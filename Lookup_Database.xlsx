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<sst xmlns="http://schemas.openxmlformats.org/spreadsheetml/2006/main" count="8" uniqueCount="8">
  <si>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ID</t>
  </si>
  <si>
    <t>Residential Address</t>
  </si>
  <si>
    <t>City/Town</t>
  </si>
  <si>
    <t>Postal Code</t>
  </si>
  <si>
    <t>Name</t>
  </si>
  <si>
    <t>Email</t>
  </si>
  <si>
    <t>Phone Number</t>
  </si>
  <si>
    <t>Alt. Phone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</si>
</sst>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Font="1" applyNumberFormat="1"/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andrew.veenstrahearthstonehomes.ca" TargetMode="External"/><Relationship Id="rId10" Type="http://schemas.openxmlformats.org/officeDocument/2006/relationships/hyperlink" Target="http://andrew.veenstrahearthstonehomes.ca" TargetMode="External"/><Relationship Id="rId13" Type="http://schemas.openxmlformats.org/officeDocument/2006/relationships/hyperlink" Target="http://pixsea2hotmail.com" TargetMode="External"/><Relationship Id="rId12" Type="http://schemas.openxmlformats.org/officeDocument/2006/relationships/hyperlink" Target="http://erikatgarner2gmail.com" TargetMode="External"/><Relationship Id="rId1" Type="http://schemas.openxmlformats.org/officeDocument/2006/relationships/hyperlink" Target="http://clintcameron792gmail.com" TargetMode="External"/><Relationship Id="rId2" Type="http://schemas.openxmlformats.org/officeDocument/2006/relationships/hyperlink" Target="http://ken2kjhodgsonpeng.com" TargetMode="External"/><Relationship Id="rId3" Type="http://schemas.openxmlformats.org/officeDocument/2006/relationships/hyperlink" Target="http://mail.richardkeating.com" TargetMode="External"/><Relationship Id="rId4" Type="http://schemas.openxmlformats.org/officeDocument/2006/relationships/hyperlink" Target="http://slarnoldbusgmail.com" TargetMode="External"/><Relationship Id="rId9" Type="http://schemas.openxmlformats.org/officeDocument/2006/relationships/hyperlink" Target="http://dwyte2bell.net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://jasperheeagle.ca" TargetMode="External"/><Relationship Id="rId6" Type="http://schemas.openxmlformats.org/officeDocument/2006/relationships/hyperlink" Target="http://dougclark.net" TargetMode="External"/><Relationship Id="rId7" Type="http://schemas.openxmlformats.org/officeDocument/2006/relationships/hyperlink" Target="http://doriterenovations88.com" TargetMode="External"/><Relationship Id="rId8" Type="http://schemas.openxmlformats.org/officeDocument/2006/relationships/hyperlink" Target="http://kellyparsons2342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9.25"/>
    <col customWidth="1" min="3" max="3" width="25.63"/>
    <col customWidth="1" min="4" max="4" width="10.88"/>
    <col customWidth="1" min="5" max="5" width="37.63"/>
    <col customWidth="1" min="6" max="6" width="45.88"/>
    <col customWidth="1" min="7" max="7" width="14.75"/>
    <col customWidth="1" min="8" max="8" width="17.0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>
      <c r="A3" s="2">
        <f>IFERROR(__xludf.DUMMYFUNCTION("QUERY({QUERY(IMPORTRANGE(""https://docs.google.com/spreadsheets/d/18xla62vjP77TD0zT6NYr3xy1AQIDBwJ0bmtfQ1JlEqY/"", ""OLT1!A5:AO""), ""select Col1, Col6, Col13, Col14, Col15, Col16, Col17, Col18""); QUERY(IMPORTRANGE(""https://docs.google.com/spreadsheets/"&amp;"d/18xla62vjP77TD0zT6NYr3xy1AQIDBwJ0bmtfQ1JlEqY/"", ""OLT2!A5:AO""), ""select Col1, Col6, Col13, Col14, Col15, Col16, Col17, Col18""); QUERY(IMPORTRANGE(""https://docs.google.com/spreadsheets/d/18xla62vjP77TD0zT6NYr3xy1AQIDBwJ0bmtfQ1JlEqY/"", ""OLT4!A5:AO"&amp;"""), ""select Col1, Col6, Col13, Col14, Col15, Col16, Col17, Col18""); QUERY(IMPORTRANGE(""https://docs.google.com/spreadsheets/d/18xla62vjP77TD0zT6NYr3xy1AQIDBwJ0bmtfQ1JlEqY/"", ""OLT6!A5:AO""), ""select Col1, Col6, Col13, Col14, Col15, Col16, Col17, Col"&amp;"18""); QUERY(IMPORTRANGE(""https://docs.google.com/spreadsheets/d/18xla62vjP77TD0zT6NYr3xy1AQIDBwJ0bmtfQ1JlEqY/"", ""OLT8!A5:AO""), ""select Col1, Col6, Col13, Col14, Col15, Col16, Col17, Col18""); QUERY(IMPORTRANGE(""https://docs.google.com/spreadsheets/"&amp;"d/18xla62vjP77TD0zT6NYr3xy1AQIDBwJ0bmtfQ1JlEqY/"", ""OLT9!A5:AO""), ""select Col1, Col6, Col13, Col14, Col15, Col16, Col17, Col18""); QUERY(IMPORTRANGE(""https://docs.google.com/spreadsheets/d/1N2ZBGnA-e_UVrK19opZ8sc7_gMbR0jJ8kyejkaedH8E/"", ""OLT3!A5:AM"&amp;"""), ""select Col1, Col6, Col13, Col14, Col15, Col16, Col17, Col18""); QUERY(IMPORTRANGE(""https://docs.google.com/spreadsheets/d/1Xkz9iE3nPyZipmrHshcSxXXCqE4nejpe3FJe5r7Dg6k/"", ""OLT5!A5:AN""), ""select Col1, Col6, Col13, Col14, Col15, Col16, Col17, Col"&amp;"18""); QUERY(IMPORTRANGE(""https://docs.google.com/spreadsheets/d/1xiiDxraGrfrc1vj4Znr0yUrASi824foRsqShwtMOmqM/"", ""OLT7!A5:AN""), ""select Col1, Col6, Col13, Col14, Col15, Col16, Col17, Col18"")}, ""where Col1 is not null"")"),10509.0)</f>
        <v>10509</v>
      </c>
      <c r="B3" s="3" t="str">
        <f>IFERROR(__xludf.DUMMYFUNCTION("""COMPUTED_VALUE"""),"500 COUNTY RD 2 A")</f>
        <v>500 COUNTY RD 2 A</v>
      </c>
      <c r="C3" s="3" t="str">
        <f>IFERROR(__xludf.DUMMYFUNCTION("""COMPUTED_VALUE"""),"PORT HOPE")</f>
        <v>PORT HOPE</v>
      </c>
      <c r="D3" s="3" t="str">
        <f>IFERROR(__xludf.DUMMYFUNCTION("""COMPUTED_VALUE"""),"L1A 3V7")</f>
        <v>L1A 3V7</v>
      </c>
      <c r="E3" s="3" t="str">
        <f>IFERROR(__xludf.DUMMYFUNCTION("""COMPUTED_VALUE"""),"leslie mcbride ")</f>
        <v>leslie mcbride </v>
      </c>
      <c r="F3" s="3" t="str">
        <f>IFERROR(__xludf.DUMMYFUNCTION("""COMPUTED_VALUE"""),"lkmcbride@hotmail..com")</f>
        <v>lkmcbride@hotmail..com</v>
      </c>
      <c r="G3" s="3"/>
      <c r="H3" s="3"/>
    </row>
    <row r="4">
      <c r="A4" s="2">
        <f>IFERROR(__xludf.DUMMYFUNCTION("""COMPUTED_VALUE"""),10293.0)</f>
        <v>10293</v>
      </c>
      <c r="B4" s="3" t="str">
        <f>IFERROR(__xludf.DUMMYFUNCTION("""COMPUTED_VALUE"""),"7160 BETHEL GROVE RD")</f>
        <v>7160 BETHEL GROVE RD</v>
      </c>
      <c r="C4" s="3" t="str">
        <f>IFERROR(__xludf.DUMMYFUNCTION("""COMPUTED_VALUE"""),"PORT HOPE")</f>
        <v>PORT HOPE</v>
      </c>
      <c r="D4" s="3" t="str">
        <f>IFERROR(__xludf.DUMMYFUNCTION("""COMPUTED_VALUE"""),"L1A 3V6")</f>
        <v>L1A 3V6</v>
      </c>
      <c r="E4" s="3" t="str">
        <f>IFERROR(__xludf.DUMMYFUNCTION("""COMPUTED_VALUE"""),"Anthony Walker")</f>
        <v>Anthony Walker</v>
      </c>
      <c r="F4" s="3" t="str">
        <f>IFERROR(__xludf.DUMMYFUNCTION("""COMPUTED_VALUE"""),"anthony.c.walker@gmail.com")</f>
        <v>anthony.c.walker@gmail.com</v>
      </c>
      <c r="G4" s="3"/>
      <c r="H4" s="3"/>
    </row>
    <row r="5">
      <c r="A5" s="2">
        <f>IFERROR(__xludf.DUMMYFUNCTION("""COMPUTED_VALUE"""),11362.0)</f>
        <v>11362</v>
      </c>
      <c r="B5" s="3" t="str">
        <f>IFERROR(__xludf.DUMMYFUNCTION("""COMPUTED_VALUE"""),"4111 RICE LAKE DR S")</f>
        <v>4111 RICE LAKE DR S</v>
      </c>
      <c r="C5" s="3" t="str">
        <f>IFERROR(__xludf.DUMMYFUNCTION("""COMPUTED_VALUE"""),"PORT HOPE")</f>
        <v>PORT HOPE</v>
      </c>
      <c r="D5" s="3" t="str">
        <f>IFERROR(__xludf.DUMMYFUNCTION("""COMPUTED_VALUE"""),"L1A 3V6")</f>
        <v>L1A 3V6</v>
      </c>
      <c r="E5" s="3" t="str">
        <f>IFERROR(__xludf.DUMMYFUNCTION("""COMPUTED_VALUE"""),"Dand Dunn")</f>
        <v>Dand Dunn</v>
      </c>
      <c r="F5" s="3" t="str">
        <f>IFERROR(__xludf.DUMMYFUNCTION("""COMPUTED_VALUE"""),"screedog77@yahoo.ca")</f>
        <v>screedog77@yahoo.ca</v>
      </c>
      <c r="G5" s="3"/>
      <c r="H5" s="3"/>
    </row>
    <row r="6">
      <c r="A6" s="2">
        <f>IFERROR(__xludf.DUMMYFUNCTION("""COMPUTED_VALUE"""),11364.0)</f>
        <v>11364</v>
      </c>
      <c r="B6" s="3" t="str">
        <f>IFERROR(__xludf.DUMMYFUNCTION("""COMPUTED_VALUE"""),"4118 RICE LAKE DR S")</f>
        <v>4118 RICE LAKE DR S</v>
      </c>
      <c r="C6" s="3" t="str">
        <f>IFERROR(__xludf.DUMMYFUNCTION("""COMPUTED_VALUE"""),"PORT HOPE")</f>
        <v>PORT HOPE</v>
      </c>
      <c r="D6" s="3" t="str">
        <f>IFERROR(__xludf.DUMMYFUNCTION("""COMPUTED_VALUE"""),"L1A 3V6")</f>
        <v>L1A 3V6</v>
      </c>
      <c r="E6" s="3" t="str">
        <f>IFERROR(__xludf.DUMMYFUNCTION("""COMPUTED_VALUE"""),"Natalia Nokros")</f>
        <v>Natalia Nokros</v>
      </c>
      <c r="F6" s="3" t="str">
        <f>IFERROR(__xludf.DUMMYFUNCTION("""COMPUTED_VALUE"""),"natalianokros@gmail.com")</f>
        <v>natalianokros@gmail.com</v>
      </c>
      <c r="G6" s="3"/>
      <c r="H6" s="3"/>
    </row>
    <row r="7">
      <c r="A7" s="2">
        <f>IFERROR(__xludf.DUMMYFUNCTION("""COMPUTED_VALUE"""),11368.0)</f>
        <v>11368</v>
      </c>
      <c r="B7" s="3" t="str">
        <f>IFERROR(__xludf.DUMMYFUNCTION("""COMPUTED_VALUE"""),"4153 RICE LAKE DR S")</f>
        <v>4153 RICE LAKE DR S</v>
      </c>
      <c r="C7" s="3" t="str">
        <f>IFERROR(__xludf.DUMMYFUNCTION("""COMPUTED_VALUE"""),"PORT HOPE")</f>
        <v>PORT HOPE</v>
      </c>
      <c r="D7" s="3" t="str">
        <f>IFERROR(__xludf.DUMMYFUNCTION("""COMPUTED_VALUE"""),"L1A 3V6")</f>
        <v>L1A 3V6</v>
      </c>
      <c r="E7" s="3" t="str">
        <f>IFERROR(__xludf.DUMMYFUNCTION("""COMPUTED_VALUE"""),"Tricia Houston")</f>
        <v>Tricia Houston</v>
      </c>
      <c r="F7" s="3" t="str">
        <f>IFERROR(__xludf.DUMMYFUNCTION("""COMPUTED_VALUE"""),"tricia.houston68@gmail.com")</f>
        <v>tricia.houston68@gmail.com</v>
      </c>
      <c r="G7" s="3"/>
      <c r="H7" s="3"/>
    </row>
    <row r="8">
      <c r="A8" s="2">
        <f>IFERROR(__xludf.DUMMYFUNCTION("""COMPUTED_VALUE"""),10356.0)</f>
        <v>10356</v>
      </c>
      <c r="B8" s="3" t="str">
        <f>IFERROR(__xludf.DUMMYFUNCTION("""COMPUTED_VALUE"""),"7419 BYERS RD")</f>
        <v>7419 BYERS RD</v>
      </c>
      <c r="C8" s="3" t="str">
        <f>IFERROR(__xludf.DUMMYFUNCTION("""COMPUTED_VALUE"""),"BAILIEBORO")</f>
        <v>BAILIEBORO</v>
      </c>
      <c r="D8" s="3" t="str">
        <f>IFERROR(__xludf.DUMMYFUNCTION("""COMPUTED_VALUE"""),"K0L 1B0")</f>
        <v>K0L 1B0</v>
      </c>
      <c r="E8" s="3" t="str">
        <f>IFERROR(__xludf.DUMMYFUNCTION("""COMPUTED_VALUE"""),"Mike Stumpf &amp; Laura Simson-Stumpf")</f>
        <v>Mike Stumpf &amp; Laura Simson-Stumpf</v>
      </c>
      <c r="F8" s="3" t="str">
        <f>IFERROR(__xludf.DUMMYFUNCTION("""COMPUTED_VALUE"""),"medic16717@gmail.com")</f>
        <v>medic16717@gmail.com</v>
      </c>
      <c r="G8" s="3"/>
      <c r="H8" s="3"/>
    </row>
    <row r="9">
      <c r="A9" s="2">
        <f>IFERROR(__xludf.DUMMYFUNCTION("""COMPUTED_VALUE"""),10177.0)</f>
        <v>10177</v>
      </c>
      <c r="B9" s="3" t="str">
        <f>IFERROR(__xludf.DUMMYFUNCTION("""COMPUTED_VALUE"""),"2735 7TH LINE")</f>
        <v>2735 7TH LINE</v>
      </c>
      <c r="C9" s="3" t="str">
        <f>IFERROR(__xludf.DUMMYFUNCTION("""COMPUTED_VALUE"""),"PORT HOPE")</f>
        <v>PORT HOPE</v>
      </c>
      <c r="D9" s="3" t="str">
        <f>IFERROR(__xludf.DUMMYFUNCTION("""COMPUTED_VALUE"""),"L1A 3V5")</f>
        <v>L1A 3V5</v>
      </c>
      <c r="E9" s="3"/>
      <c r="F9" s="3"/>
      <c r="G9" s="3"/>
      <c r="H9" s="3"/>
    </row>
    <row r="10">
      <c r="A10" s="2">
        <f>IFERROR(__xludf.DUMMYFUNCTION("""COMPUTED_VALUE"""),10604.0)</f>
        <v>10604</v>
      </c>
      <c r="B10" s="3" t="str">
        <f>IFERROR(__xludf.DUMMYFUNCTION("""COMPUTED_VALUE"""),"2735 COUNTY RD 28")</f>
        <v>2735 COUNTY RD 28</v>
      </c>
      <c r="C10" s="3" t="str">
        <f>IFERROR(__xludf.DUMMYFUNCTION("""COMPUTED_VALUE"""),"PORT HOPE")</f>
        <v>PORT HOPE</v>
      </c>
      <c r="D10" s="3" t="str">
        <f>IFERROR(__xludf.DUMMYFUNCTION("""COMPUTED_VALUE"""),"L1A 3V6")</f>
        <v>L1A 3V6</v>
      </c>
      <c r="E10" s="3"/>
      <c r="F10" s="3"/>
      <c r="G10" s="3"/>
      <c r="H10" s="3"/>
    </row>
    <row r="11">
      <c r="A11" s="2">
        <f>IFERROR(__xludf.DUMMYFUNCTION("""COMPUTED_VALUE"""),10608.0)</f>
        <v>10608</v>
      </c>
      <c r="B11" s="3" t="str">
        <f>IFERROR(__xludf.DUMMYFUNCTION("""COMPUTED_VALUE"""),"2788 COUNTY RD 28")</f>
        <v>2788 COUNTY RD 28</v>
      </c>
      <c r="C11" s="3" t="str">
        <f>IFERROR(__xludf.DUMMYFUNCTION("""COMPUTED_VALUE"""),"PORT HOPE")</f>
        <v>PORT HOPE</v>
      </c>
      <c r="D11" s="3" t="str">
        <f>IFERROR(__xludf.DUMMYFUNCTION("""COMPUTED_VALUE"""),"L1A 3V6")</f>
        <v>L1A 3V6</v>
      </c>
      <c r="E11" s="3"/>
      <c r="F11" s="3"/>
      <c r="G11" s="3"/>
      <c r="H11" s="3"/>
    </row>
    <row r="12">
      <c r="A12" s="2">
        <f>IFERROR(__xludf.DUMMYFUNCTION("""COMPUTED_VALUE"""),11325.0)</f>
        <v>11325</v>
      </c>
      <c r="B12" s="3" t="str">
        <f>IFERROR(__xludf.DUMMYFUNCTION("""COMPUTED_VALUE"""),"3694 PERCY ROSE RD")</f>
        <v>3694 PERCY ROSE RD</v>
      </c>
      <c r="C12" s="3" t="str">
        <f>IFERROR(__xludf.DUMMYFUNCTION("""COMPUTED_VALUE"""),"PORT HOPE")</f>
        <v>PORT HOPE</v>
      </c>
      <c r="D12" s="3" t="str">
        <f>IFERROR(__xludf.DUMMYFUNCTION("""COMPUTED_VALUE"""),"L1A 3V6")</f>
        <v>L1A 3V6</v>
      </c>
      <c r="E12" s="3" t="str">
        <f>IFERROR(__xludf.DUMMYFUNCTION("""COMPUTED_VALUE"""),"michelle goody")</f>
        <v>michelle goody</v>
      </c>
      <c r="F12" s="3" t="str">
        <f>IFERROR(__xludf.DUMMYFUNCTION("""COMPUTED_VALUE"""),"quietcornerfarms@hotmail.com")</f>
        <v>quietcornerfarms@hotmail.com</v>
      </c>
      <c r="G12" s="3"/>
      <c r="H12" s="3"/>
    </row>
    <row r="13">
      <c r="A13" s="2">
        <f>IFERROR(__xludf.DUMMYFUNCTION("""COMPUTED_VALUE"""),11480.0)</f>
        <v>11480</v>
      </c>
      <c r="B13" s="3" t="str">
        <f>IFERROR(__xludf.DUMMYFUNCTION("""COMPUTED_VALUE"""),"7052 VIMY-RIDGE RD")</f>
        <v>7052 VIMY-RIDGE RD</v>
      </c>
      <c r="C13" s="3" t="str">
        <f>IFERROR(__xludf.DUMMYFUNCTION("""COMPUTED_VALUE"""),"PORT HOPE")</f>
        <v>PORT HOPE</v>
      </c>
      <c r="D13" s="3" t="str">
        <f>IFERROR(__xludf.DUMMYFUNCTION("""COMPUTED_VALUE"""),"L1A 3V6")</f>
        <v>L1A 3V6</v>
      </c>
      <c r="E13" s="3"/>
      <c r="F13" s="3"/>
      <c r="G13" s="3"/>
      <c r="H13" s="3"/>
    </row>
    <row r="14">
      <c r="A14" s="2">
        <f>IFERROR(__xludf.DUMMYFUNCTION("""COMPUTED_VALUE"""),11482.0)</f>
        <v>11482</v>
      </c>
      <c r="B14" s="3" t="str">
        <f>IFERROR(__xludf.DUMMYFUNCTION("""COMPUTED_VALUE"""),"7064 VIMY-RIDGE RD")</f>
        <v>7064 VIMY-RIDGE RD</v>
      </c>
      <c r="C14" s="3" t="str">
        <f>IFERROR(__xludf.DUMMYFUNCTION("""COMPUTED_VALUE"""),"PORT HOPE")</f>
        <v>PORT HOPE</v>
      </c>
      <c r="D14" s="3" t="str">
        <f>IFERROR(__xludf.DUMMYFUNCTION("""COMPUTED_VALUE"""),"L1A 3V6")</f>
        <v>L1A 3V6</v>
      </c>
      <c r="E14" s="3" t="str">
        <f>IFERROR(__xludf.DUMMYFUNCTION("""COMPUTED_VALUE"""),"Sarah Robertson")</f>
        <v>Sarah Robertson</v>
      </c>
      <c r="F14" s="3" t="str">
        <f>IFERROR(__xludf.DUMMYFUNCTION("""COMPUTED_VALUE"""),"sarah.robertson@live.ca")</f>
        <v>sarah.robertson@live.ca</v>
      </c>
      <c r="G14" s="3"/>
      <c r="H14" s="3"/>
    </row>
    <row r="15">
      <c r="A15" s="2">
        <f>IFERROR(__xludf.DUMMYFUNCTION("""COMPUTED_VALUE"""),11589.0)</f>
        <v>11589</v>
      </c>
      <c r="B15" s="3" t="str">
        <f>IFERROR(__xludf.DUMMYFUNCTION("""COMPUTED_VALUE"""),"5754 EVERTSON RD")</f>
        <v>5754 EVERTSON RD</v>
      </c>
      <c r="C15" s="3" t="str">
        <f>IFERROR(__xludf.DUMMYFUNCTION("""COMPUTED_VALUE"""),"BALIEBORO")</f>
        <v>BALIEBORO</v>
      </c>
      <c r="D15" s="3" t="str">
        <f>IFERROR(__xludf.DUMMYFUNCTION("""COMPUTED_VALUE"""),"K0L 1B0")</f>
        <v>K0L 1B0</v>
      </c>
      <c r="E15" s="3" t="str">
        <f>IFERROR(__xludf.DUMMYFUNCTION("""COMPUTED_VALUE"""),"JEREMY LEFEBVRE")</f>
        <v>JEREMY LEFEBVRE</v>
      </c>
      <c r="F15" s="3" t="str">
        <f>IFERROR(__xludf.DUMMYFUNCTION("""COMPUTED_VALUE"""),"jeremy@itcgi.ca")</f>
        <v>jeremy@itcgi.ca</v>
      </c>
      <c r="G15" s="3"/>
      <c r="H15" s="3"/>
    </row>
    <row r="16">
      <c r="A16" s="2">
        <f>IFERROR(__xludf.DUMMYFUNCTION("""COMPUTED_VALUE"""),10854.0)</f>
        <v>10854</v>
      </c>
      <c r="B16" s="3" t="str">
        <f>IFERROR(__xludf.DUMMYFUNCTION("""COMPUTED_VALUE"""),"5775 EVERTSON RD")</f>
        <v>5775 EVERTSON RD</v>
      </c>
      <c r="C16" s="3" t="str">
        <f>IFERROR(__xludf.DUMMYFUNCTION("""COMPUTED_VALUE"""),"BAILIEBORO")</f>
        <v>BAILIEBORO</v>
      </c>
      <c r="D16" s="3" t="str">
        <f>IFERROR(__xludf.DUMMYFUNCTION("""COMPUTED_VALUE"""),"K0L 1B0")</f>
        <v>K0L 1B0</v>
      </c>
      <c r="E16" s="3" t="str">
        <f>IFERROR(__xludf.DUMMYFUNCTION("""COMPUTED_VALUE"""),"Jamie nieuwenhuis")</f>
        <v>Jamie nieuwenhuis</v>
      </c>
      <c r="F16" s="3" t="str">
        <f>IFERROR(__xludf.DUMMYFUNCTION("""COMPUTED_VALUE"""),"Klair_gvarini@icloud.com")</f>
        <v>Klair_gvarini@icloud.com</v>
      </c>
      <c r="G16" s="3"/>
      <c r="H16" s="3"/>
    </row>
    <row r="17">
      <c r="A17" s="2">
        <f>IFERROR(__xludf.DUMMYFUNCTION("""COMPUTED_VALUE"""),10956.0)</f>
        <v>10956</v>
      </c>
      <c r="B17" s="3" t="str">
        <f>IFERROR(__xludf.DUMMYFUNCTION("""COMPUTED_VALUE"""),"429 HANNAH RD")</f>
        <v>429 HANNAH RD</v>
      </c>
      <c r="C17" s="3" t="str">
        <f>IFERROR(__xludf.DUMMYFUNCTION("""COMPUTED_VALUE"""),"BAILIEBORO")</f>
        <v>BAILIEBORO</v>
      </c>
      <c r="D17" s="3" t="str">
        <f>IFERROR(__xludf.DUMMYFUNCTION("""COMPUTED_VALUE"""),"K0L 1B0")</f>
        <v>K0L 1B0</v>
      </c>
      <c r="E17" s="3" t="str">
        <f>IFERROR(__xludf.DUMMYFUNCTION("""COMPUTED_VALUE"""),"Dennis Robert Hansen")</f>
        <v>Dennis Robert Hansen</v>
      </c>
      <c r="F17" s="3" t="str">
        <f>IFERROR(__xludf.DUMMYFUNCTION("""COMPUTED_VALUE"""),"denbo99@hotmail.com")</f>
        <v>denbo99@hotmail.com</v>
      </c>
      <c r="G17" s="3"/>
      <c r="H17" s="3"/>
    </row>
    <row r="18">
      <c r="A18" s="2">
        <f>IFERROR(__xludf.DUMMYFUNCTION("""COMPUTED_VALUE"""),11462.0)</f>
        <v>11462</v>
      </c>
      <c r="B18" s="3" t="str">
        <f>IFERROR(__xludf.DUMMYFUNCTION("""COMPUTED_VALUE"""),"3012 SYLVAN GLEN RD")</f>
        <v>3012 SYLVAN GLEN RD</v>
      </c>
      <c r="C18" s="3" t="str">
        <f>IFERROR(__xludf.DUMMYFUNCTION("""COMPUTED_VALUE"""),"PORT HOPE")</f>
        <v>PORT HOPE</v>
      </c>
      <c r="D18" s="3" t="str">
        <f>IFERROR(__xludf.DUMMYFUNCTION("""COMPUTED_VALUE"""),"L1A 3V5")</f>
        <v>L1A 3V5</v>
      </c>
      <c r="E18" s="3" t="str">
        <f>IFERROR(__xludf.DUMMYFUNCTION("""COMPUTED_VALUE"""),"Angello Morra")</f>
        <v>Angello Morra</v>
      </c>
      <c r="F18" s="3" t="str">
        <f>IFERROR(__xludf.DUMMYFUNCTION("""COMPUTED_VALUE"""),"amorra29@live.com")</f>
        <v>amorra29@live.com</v>
      </c>
      <c r="G18" s="3"/>
      <c r="H18" s="3"/>
    </row>
    <row r="19">
      <c r="A19" s="2">
        <f>IFERROR(__xludf.DUMMYFUNCTION("""COMPUTED_VALUE"""),10959.0)</f>
        <v>10959</v>
      </c>
      <c r="B19" s="3" t="str">
        <f>IFERROR(__xludf.DUMMYFUNCTION("""COMPUTED_VALUE"""),"441 HANNAH RD")</f>
        <v>441 HANNAH RD</v>
      </c>
      <c r="C19" s="3" t="str">
        <f>IFERROR(__xludf.DUMMYFUNCTION("""COMPUTED_VALUE"""),"BAILIEBORO")</f>
        <v>BAILIEBORO</v>
      </c>
      <c r="D19" s="3" t="str">
        <f>IFERROR(__xludf.DUMMYFUNCTION("""COMPUTED_VALUE"""),"K0L 1B0")</f>
        <v>K0L 1B0</v>
      </c>
      <c r="E19" s="3" t="str">
        <f>IFERROR(__xludf.DUMMYFUNCTION("""COMPUTED_VALUE"""),"Adam Carter ")</f>
        <v>Adam Carter </v>
      </c>
      <c r="F19" s="3" t="str">
        <f>IFERROR(__xludf.DUMMYFUNCTION("""COMPUTED_VALUE"""),"Canadahvacdesign@gmail.com")</f>
        <v>Canadahvacdesign@gmail.com</v>
      </c>
      <c r="G19" s="3"/>
      <c r="H19" s="3"/>
    </row>
    <row r="20">
      <c r="A20" s="2">
        <f>IFERROR(__xludf.DUMMYFUNCTION("""COMPUTED_VALUE"""),10544.0)</f>
        <v>10544</v>
      </c>
      <c r="B20" s="3" t="str">
        <f>IFERROR(__xludf.DUMMYFUNCTION("""COMPUTED_VALUE"""),"3250 COUNTY RD 2")</f>
        <v>3250 COUNTY RD 2</v>
      </c>
      <c r="C20" s="3" t="str">
        <f>IFERROR(__xludf.DUMMYFUNCTION("""COMPUTED_VALUE"""),"PORT HOPE")</f>
        <v>PORT HOPE</v>
      </c>
      <c r="D20" s="3" t="str">
        <f>IFERROR(__xludf.DUMMYFUNCTION("""COMPUTED_VALUE"""),"L1A 3V5")</f>
        <v>L1A 3V5</v>
      </c>
      <c r="E20" s="3" t="str">
        <f>IFERROR(__xludf.DUMMYFUNCTION("""COMPUTED_VALUE"""),"James C Milfolm")</f>
        <v>James C Milfolm</v>
      </c>
      <c r="F20" s="3"/>
      <c r="G20" s="3"/>
      <c r="H20" s="3"/>
    </row>
    <row r="21">
      <c r="A21" s="2">
        <f>IFERROR(__xludf.DUMMYFUNCTION("""COMPUTED_VALUE"""),10545.0)</f>
        <v>10545</v>
      </c>
      <c r="B21" s="3" t="str">
        <f>IFERROR(__xludf.DUMMYFUNCTION("""COMPUTED_VALUE"""),"3488 COUNTY RD 2")</f>
        <v>3488 COUNTY RD 2</v>
      </c>
      <c r="C21" s="3" t="str">
        <f>IFERROR(__xludf.DUMMYFUNCTION("""COMPUTED_VALUE"""),"PORT HOPE")</f>
        <v>PORT HOPE</v>
      </c>
      <c r="D21" s="3" t="str">
        <f>IFERROR(__xludf.DUMMYFUNCTION("""COMPUTED_VALUE"""),"L1A 3V5")</f>
        <v>L1A 3V5</v>
      </c>
      <c r="E21" s="3" t="str">
        <f>IFERROR(__xludf.DUMMYFUNCTION("""COMPUTED_VALUE"""),"Bob Beckett")</f>
        <v>Bob Beckett</v>
      </c>
      <c r="F21" s="3" t="str">
        <f>IFERROR(__xludf.DUMMYFUNCTION("""COMPUTED_VALUE"""),"rhbeckett47@gmail.com")</f>
        <v>rhbeckett47@gmail.com</v>
      </c>
      <c r="G21" s="3"/>
      <c r="H21" s="3"/>
    </row>
    <row r="22">
      <c r="A22" s="2">
        <f>IFERROR(__xludf.DUMMYFUNCTION("""COMPUTED_VALUE"""),10546.0)</f>
        <v>10546</v>
      </c>
      <c r="B22" s="3" t="str">
        <f>IFERROR(__xludf.DUMMYFUNCTION("""COMPUTED_VALUE"""),"3537 COUNTY RD 2")</f>
        <v>3537 COUNTY RD 2</v>
      </c>
      <c r="C22" s="3" t="str">
        <f>IFERROR(__xludf.DUMMYFUNCTION("""COMPUTED_VALUE"""),"PORT HOPE")</f>
        <v>PORT HOPE</v>
      </c>
      <c r="D22" s="3" t="str">
        <f>IFERROR(__xludf.DUMMYFUNCTION("""COMPUTED_VALUE"""),"L1A 3V5")</f>
        <v>L1A 3V5</v>
      </c>
      <c r="E22" s="3" t="str">
        <f>IFERROR(__xludf.DUMMYFUNCTION("""COMPUTED_VALUE"""),"Ross million")</f>
        <v>Ross million</v>
      </c>
      <c r="F22" s="3" t="str">
        <f>IFERROR(__xludf.DUMMYFUNCTION("""COMPUTED_VALUE"""),"Mapleg8@sympatico.ca")</f>
        <v>Mapleg8@sympatico.ca</v>
      </c>
      <c r="G22" s="3"/>
      <c r="H22" s="3"/>
    </row>
    <row r="23">
      <c r="A23" s="2">
        <f>IFERROR(__xludf.DUMMYFUNCTION("""COMPUTED_VALUE"""),10547.0)</f>
        <v>10547</v>
      </c>
      <c r="B23" s="3" t="str">
        <f>IFERROR(__xludf.DUMMYFUNCTION("""COMPUTED_VALUE"""),"3562 COUNTY RD 2")</f>
        <v>3562 COUNTY RD 2</v>
      </c>
      <c r="C23" s="3" t="str">
        <f>IFERROR(__xludf.DUMMYFUNCTION("""COMPUTED_VALUE"""),"PORT HOPE")</f>
        <v>PORT HOPE</v>
      </c>
      <c r="D23" s="3" t="str">
        <f>IFERROR(__xludf.DUMMYFUNCTION("""COMPUTED_VALUE"""),"L1A 3V5")</f>
        <v>L1A 3V5</v>
      </c>
      <c r="E23" s="3" t="str">
        <f>IFERROR(__xludf.DUMMYFUNCTION("""COMPUTED_VALUE"""),"Steve R Beckett")</f>
        <v>Steve R Beckett</v>
      </c>
      <c r="F23" s="3" t="str">
        <f>IFERROR(__xludf.DUMMYFUNCTION("""COMPUTED_VALUE"""),"sbeckett2907@gmail.com")</f>
        <v>sbeckett2907@gmail.com</v>
      </c>
      <c r="G23" s="3"/>
      <c r="H23" s="3"/>
    </row>
    <row r="24">
      <c r="A24" s="2">
        <f>IFERROR(__xludf.DUMMYFUNCTION("""COMPUTED_VALUE"""),10726.0)</f>
        <v>10726</v>
      </c>
      <c r="B24" s="3" t="str">
        <f>IFERROR(__xludf.DUMMYFUNCTION("""COMPUTED_VALUE"""),"5012 DALE RD")</f>
        <v>5012 DALE RD</v>
      </c>
      <c r="C24" s="3" t="str">
        <f>IFERROR(__xludf.DUMMYFUNCTION("""COMPUTED_VALUE"""),"PORT HOPE")</f>
        <v>PORT HOPE</v>
      </c>
      <c r="D24" s="3" t="str">
        <f>IFERROR(__xludf.DUMMYFUNCTION("""COMPUTED_VALUE"""),"L1A 3V5")</f>
        <v>L1A 3V5</v>
      </c>
      <c r="E24" s="3" t="str">
        <f>IFERROR(__xludf.DUMMYFUNCTION("""COMPUTED_VALUE"""),"Graham Callieu")</f>
        <v>Graham Callieu</v>
      </c>
      <c r="F24" s="3" t="str">
        <f>IFERROR(__xludf.DUMMYFUNCTION("""COMPUTED_VALUE"""),"thecompositeguy@rogers.com")</f>
        <v>thecompositeguy@rogers.com</v>
      </c>
      <c r="G24" s="3"/>
      <c r="H24" s="3"/>
    </row>
    <row r="25">
      <c r="A25" s="2">
        <f>IFERROR(__xludf.DUMMYFUNCTION("""COMPUTED_VALUE"""),10730.0)</f>
        <v>10730</v>
      </c>
      <c r="B25" s="3" t="str">
        <f>IFERROR(__xludf.DUMMYFUNCTION("""COMPUTED_VALUE"""),"5210 DALE RD")</f>
        <v>5210 DALE RD</v>
      </c>
      <c r="C25" s="3" t="str">
        <f>IFERROR(__xludf.DUMMYFUNCTION("""COMPUTED_VALUE"""),"PORT HOPE")</f>
        <v>PORT HOPE</v>
      </c>
      <c r="D25" s="3" t="str">
        <f>IFERROR(__xludf.DUMMYFUNCTION("""COMPUTED_VALUE"""),"L1A 3V5")</f>
        <v>L1A 3V5</v>
      </c>
      <c r="E25" s="3" t="str">
        <f>IFERROR(__xludf.DUMMYFUNCTION("""COMPUTED_VALUE"""),"John Bachmaier")</f>
        <v>John Bachmaier</v>
      </c>
      <c r="F25" s="3" t="str">
        <f>IFERROR(__xludf.DUMMYFUNCTION("""COMPUTED_VALUE"""),"bachmaier4@gmail.com")</f>
        <v>bachmaier4@gmail.com</v>
      </c>
      <c r="G25" s="3"/>
      <c r="H25" s="3"/>
    </row>
    <row r="26">
      <c r="A26" s="2">
        <f>IFERROR(__xludf.DUMMYFUNCTION("""COMPUTED_VALUE"""),10731.0)</f>
        <v>10731</v>
      </c>
      <c r="B26" s="3" t="str">
        <f>IFERROR(__xludf.DUMMYFUNCTION("""COMPUTED_VALUE"""),"5270 DALE RD")</f>
        <v>5270 DALE RD</v>
      </c>
      <c r="C26" s="3" t="str">
        <f>IFERROR(__xludf.DUMMYFUNCTION("""COMPUTED_VALUE"""),"PORT HOPE")</f>
        <v>PORT HOPE</v>
      </c>
      <c r="D26" s="3" t="str">
        <f>IFERROR(__xludf.DUMMYFUNCTION("""COMPUTED_VALUE"""),"L1A 3V5")</f>
        <v>L1A 3V5</v>
      </c>
      <c r="E26" s="3" t="str">
        <f>IFERROR(__xludf.DUMMYFUNCTION("""COMPUTED_VALUE"""),"Marie Melzler")</f>
        <v>Marie Melzler</v>
      </c>
      <c r="F26" s="3" t="str">
        <f>IFERROR(__xludf.DUMMYFUNCTION("""COMPUTED_VALUE"""),"mmetzler@sympatico.ca")</f>
        <v>mmetzler@sympatico.ca</v>
      </c>
      <c r="G26" s="3"/>
      <c r="H26" s="3"/>
    </row>
    <row r="27">
      <c r="A27" s="2">
        <f>IFERROR(__xludf.DUMMYFUNCTION("""COMPUTED_VALUE"""),10733.0)</f>
        <v>10733</v>
      </c>
      <c r="B27" s="3" t="str">
        <f>IFERROR(__xludf.DUMMYFUNCTION("""COMPUTED_VALUE"""),"5696 DALE RD")</f>
        <v>5696 DALE RD</v>
      </c>
      <c r="C27" s="3" t="str">
        <f>IFERROR(__xludf.DUMMYFUNCTION("""COMPUTED_VALUE"""),"PORT HOPE")</f>
        <v>PORT HOPE</v>
      </c>
      <c r="D27" s="3" t="str">
        <f>IFERROR(__xludf.DUMMYFUNCTION("""COMPUTED_VALUE"""),"L1A 3V5")</f>
        <v>L1A 3V5</v>
      </c>
      <c r="E27" s="3" t="str">
        <f>IFERROR(__xludf.DUMMYFUNCTION("""COMPUTED_VALUE"""),"Chad Van Dorp")</f>
        <v>Chad Van Dorp</v>
      </c>
      <c r="F27" s="3" t="str">
        <f>IFERROR(__xludf.DUMMYFUNCTION("""COMPUTED_VALUE"""),"chadvandorp@hotmail.ca")</f>
        <v>chadvandorp@hotmail.ca</v>
      </c>
      <c r="G27" s="3"/>
      <c r="H27" s="3"/>
    </row>
    <row r="28">
      <c r="A28" s="2">
        <f>IFERROR(__xludf.DUMMYFUNCTION("""COMPUTED_VALUE"""),10751.0)</f>
        <v>10751</v>
      </c>
      <c r="B28" s="3" t="str">
        <f>IFERROR(__xludf.DUMMYFUNCTION("""COMPUTED_VALUE"""),"6755 DALE RD")</f>
        <v>6755 DALE RD</v>
      </c>
      <c r="C28" s="3" t="str">
        <f>IFERROR(__xludf.DUMMYFUNCTION("""COMPUTED_VALUE"""),"PORT HOPE")</f>
        <v>PORT HOPE</v>
      </c>
      <c r="D28" s="3" t="str">
        <f>IFERROR(__xludf.DUMMYFUNCTION("""COMPUTED_VALUE"""),"L1A 3V6")</f>
        <v>L1A 3V6</v>
      </c>
      <c r="E28" s="3" t="str">
        <f>IFERROR(__xludf.DUMMYFUNCTION("""COMPUTED_VALUE"""),"H. Speksnijder")</f>
        <v>H. Speksnijder</v>
      </c>
      <c r="F28" s="3"/>
      <c r="G28" s="3"/>
      <c r="H28" s="3"/>
    </row>
    <row r="29">
      <c r="A29" s="2">
        <f>IFERROR(__xludf.DUMMYFUNCTION("""COMPUTED_VALUE"""),10752.0)</f>
        <v>10752</v>
      </c>
      <c r="B29" s="3" t="str">
        <f>IFERROR(__xludf.DUMMYFUNCTION("""COMPUTED_VALUE"""),"6771 DALE RD")</f>
        <v>6771 DALE RD</v>
      </c>
      <c r="C29" s="3" t="str">
        <f>IFERROR(__xludf.DUMMYFUNCTION("""COMPUTED_VALUE"""),"PORT HOPE")</f>
        <v>PORT HOPE</v>
      </c>
      <c r="D29" s="3" t="str">
        <f>IFERROR(__xludf.DUMMYFUNCTION("""COMPUTED_VALUE"""),"L1A 3V6")</f>
        <v>L1A 3V6</v>
      </c>
      <c r="E29" s="3"/>
      <c r="F29" s="3"/>
      <c r="G29" s="3"/>
      <c r="H29" s="3"/>
    </row>
    <row r="30">
      <c r="A30" s="2">
        <f>IFERROR(__xludf.DUMMYFUNCTION("""COMPUTED_VALUE"""),10415.0)</f>
        <v>10415</v>
      </c>
      <c r="B30" s="3" t="str">
        <f>IFERROR(__xludf.DUMMYFUNCTION("""COMPUTED_VALUE"""),"3028 COUNTY RD 10")</f>
        <v>3028 COUNTY RD 10</v>
      </c>
      <c r="C30" s="3" t="str">
        <f>IFERROR(__xludf.DUMMYFUNCTION("""COMPUTED_VALUE"""),"PORT HOPE")</f>
        <v>PORT HOPE</v>
      </c>
      <c r="D30" s="3" t="str">
        <f>IFERROR(__xludf.DUMMYFUNCTION("""COMPUTED_VALUE"""),"L1A 3V5")</f>
        <v>L1A 3V5</v>
      </c>
      <c r="E30" s="3" t="str">
        <f>IFERROR(__xludf.DUMMYFUNCTION("""COMPUTED_VALUE"""),"kash ramjohn")</f>
        <v>kash ramjohn</v>
      </c>
      <c r="F30" s="3" t="str">
        <f>IFERROR(__xludf.DUMMYFUNCTION("""COMPUTED_VALUE"""),"kremjohn@gmail.com")</f>
        <v>kremjohn@gmail.com</v>
      </c>
      <c r="G30" s="3"/>
      <c r="H30" s="3"/>
    </row>
    <row r="31">
      <c r="A31" s="2">
        <f>IFERROR(__xludf.DUMMYFUNCTION("""COMPUTED_VALUE"""),10416.0)</f>
        <v>10416</v>
      </c>
      <c r="B31" s="3" t="str">
        <f>IFERROR(__xludf.DUMMYFUNCTION("""COMPUTED_VALUE"""),"3040 COUNTY RD 10")</f>
        <v>3040 COUNTY RD 10</v>
      </c>
      <c r="C31" s="3" t="str">
        <f>IFERROR(__xludf.DUMMYFUNCTION("""COMPUTED_VALUE"""),"PORT HOPE")</f>
        <v>PORT HOPE</v>
      </c>
      <c r="D31" s="3" t="str">
        <f>IFERROR(__xludf.DUMMYFUNCTION("""COMPUTED_VALUE"""),"L1A 3V5")</f>
        <v>L1A 3V5</v>
      </c>
      <c r="E31" s="3" t="str">
        <f>IFERROR(__xludf.DUMMYFUNCTION("""COMPUTED_VALUE"""),"Ray Chesney")</f>
        <v>Ray Chesney</v>
      </c>
      <c r="F31" s="3" t="str">
        <f>IFERROR(__xludf.DUMMYFUNCTION("""COMPUTED_VALUE"""),"rwchesney@yahoo.ca")</f>
        <v>rwchesney@yahoo.ca</v>
      </c>
      <c r="G31" s="3"/>
      <c r="H31" s="3"/>
    </row>
    <row r="32">
      <c r="A32" s="2">
        <f>IFERROR(__xludf.DUMMYFUNCTION("""COMPUTED_VALUE"""),10548.0)</f>
        <v>10548</v>
      </c>
      <c r="B32" s="3" t="str">
        <f>IFERROR(__xludf.DUMMYFUNCTION("""COMPUTED_VALUE"""),"3669 COUNTY RD 2")</f>
        <v>3669 COUNTY RD 2</v>
      </c>
      <c r="C32" s="3" t="str">
        <f>IFERROR(__xludf.DUMMYFUNCTION("""COMPUTED_VALUE"""),"PORT HOPE")</f>
        <v>PORT HOPE</v>
      </c>
      <c r="D32" s="3" t="str">
        <f>IFERROR(__xludf.DUMMYFUNCTION("""COMPUTED_VALUE"""),"L1A 3V5")</f>
        <v>L1A 3V5</v>
      </c>
      <c r="E32" s="3"/>
      <c r="F32" s="3"/>
      <c r="G32" s="3"/>
      <c r="H32" s="3"/>
    </row>
    <row r="33">
      <c r="A33" s="2">
        <f>IFERROR(__xludf.DUMMYFUNCTION("""COMPUTED_VALUE"""),10417.0)</f>
        <v>10417</v>
      </c>
      <c r="B33" s="3" t="str">
        <f>IFERROR(__xludf.DUMMYFUNCTION("""COMPUTED_VALUE"""),"3045 COUNTY RD 10")</f>
        <v>3045 COUNTY RD 10</v>
      </c>
      <c r="C33" s="3" t="str">
        <f>IFERROR(__xludf.DUMMYFUNCTION("""COMPUTED_VALUE"""),"PORT HOPE")</f>
        <v>PORT HOPE</v>
      </c>
      <c r="D33" s="3" t="str">
        <f>IFERROR(__xludf.DUMMYFUNCTION("""COMPUTED_VALUE"""),"L1A 3V5")</f>
        <v>L1A 3V5</v>
      </c>
      <c r="E33" s="3" t="str">
        <f>IFERROR(__xludf.DUMMYFUNCTION("""COMPUTED_VALUE"""),"David Sammual Schaub")</f>
        <v>David Sammual Schaub</v>
      </c>
      <c r="F33" s="3" t="str">
        <f>IFERROR(__xludf.DUMMYFUNCTION("""COMPUTED_VALUE"""),"dave_sandra66@hotmail.com")</f>
        <v>dave_sandra66@hotmail.com</v>
      </c>
      <c r="G33" s="3"/>
      <c r="H33" s="3"/>
    </row>
    <row r="34">
      <c r="A34" s="2">
        <f>IFERROR(__xludf.DUMMYFUNCTION("""COMPUTED_VALUE"""),10418.0)</f>
        <v>10418</v>
      </c>
      <c r="B34" s="3" t="str">
        <f>IFERROR(__xludf.DUMMYFUNCTION("""COMPUTED_VALUE"""),"3052 COUNTY RD 10")</f>
        <v>3052 COUNTY RD 10</v>
      </c>
      <c r="C34" s="3" t="str">
        <f>IFERROR(__xludf.DUMMYFUNCTION("""COMPUTED_VALUE"""),"PORT HOPE")</f>
        <v>PORT HOPE</v>
      </c>
      <c r="D34" s="3" t="str">
        <f>IFERROR(__xludf.DUMMYFUNCTION("""COMPUTED_VALUE"""),"L1A 3V5")</f>
        <v>L1A 3V5</v>
      </c>
      <c r="E34" s="3" t="str">
        <f>IFERROR(__xludf.DUMMYFUNCTION("""COMPUTED_VALUE"""),"Tim Duzley")</f>
        <v>Tim Duzley</v>
      </c>
      <c r="F34" s="3" t="str">
        <f>IFERROR(__xludf.DUMMYFUNCTION("""COMPUTED_VALUE"""),"telly2282@hotmail.com")</f>
        <v>telly2282@hotmail.com</v>
      </c>
      <c r="G34" s="3"/>
      <c r="H34" s="3"/>
    </row>
    <row r="35">
      <c r="A35" s="2">
        <f>IFERROR(__xludf.DUMMYFUNCTION("""COMPUTED_VALUE"""),10419.0)</f>
        <v>10419</v>
      </c>
      <c r="B35" s="3" t="str">
        <f>IFERROR(__xludf.DUMMYFUNCTION("""COMPUTED_VALUE"""),"3064 COUNTY RD 10")</f>
        <v>3064 COUNTY RD 10</v>
      </c>
      <c r="C35" s="3" t="str">
        <f>IFERROR(__xludf.DUMMYFUNCTION("""COMPUTED_VALUE"""),"PORT HOPE")</f>
        <v>PORT HOPE</v>
      </c>
      <c r="D35" s="3" t="str">
        <f>IFERROR(__xludf.DUMMYFUNCTION("""COMPUTED_VALUE"""),"L1A 3V5")</f>
        <v>L1A 3V5</v>
      </c>
      <c r="E35" s="3" t="str">
        <f>IFERROR(__xludf.DUMMYFUNCTION("""COMPUTED_VALUE"""),"Carol Bennett")</f>
        <v>Carol Bennett</v>
      </c>
      <c r="F35" s="3" t="str">
        <f>IFERROR(__xludf.DUMMYFUNCTION("""COMPUTED_VALUE"""),"carolsusanb@gmail.com")</f>
        <v>carolsusanb@gmail.com</v>
      </c>
      <c r="G35" s="3"/>
      <c r="H35" s="3"/>
    </row>
    <row r="36">
      <c r="A36" s="2">
        <f>IFERROR(__xludf.DUMMYFUNCTION("""COMPUTED_VALUE"""),10420.0)</f>
        <v>10420</v>
      </c>
      <c r="B36" s="3" t="str">
        <f>IFERROR(__xludf.DUMMYFUNCTION("""COMPUTED_VALUE"""),"3069 COUNTY RD 10")</f>
        <v>3069 COUNTY RD 10</v>
      </c>
      <c r="C36" s="3" t="str">
        <f>IFERROR(__xludf.DUMMYFUNCTION("""COMPUTED_VALUE"""),"PORT HOPE")</f>
        <v>PORT HOPE</v>
      </c>
      <c r="D36" s="3" t="str">
        <f>IFERROR(__xludf.DUMMYFUNCTION("""COMPUTED_VALUE"""),"L1A 3V5")</f>
        <v>L1A 3V5</v>
      </c>
      <c r="E36" s="3" t="str">
        <f>IFERROR(__xludf.DUMMYFUNCTION("""COMPUTED_VALUE"""),"Ryan Vesuwalu")</f>
        <v>Ryan Vesuwalu</v>
      </c>
      <c r="F36" s="3" t="str">
        <f>IFERROR(__xludf.DUMMYFUNCTION("""COMPUTED_VALUE"""),"ryan.u@hotmail.com")</f>
        <v>ryan.u@hotmail.com</v>
      </c>
      <c r="G36" s="3"/>
      <c r="H36" s="3"/>
    </row>
    <row r="37">
      <c r="A37" s="2">
        <f>IFERROR(__xludf.DUMMYFUNCTION("""COMPUTED_VALUE"""),10421.0)</f>
        <v>10421</v>
      </c>
      <c r="B37" s="3" t="str">
        <f>IFERROR(__xludf.DUMMYFUNCTION("""COMPUTED_VALUE"""),"3077 COUNTY RD 10")</f>
        <v>3077 COUNTY RD 10</v>
      </c>
      <c r="C37" s="3" t="str">
        <f>IFERROR(__xludf.DUMMYFUNCTION("""COMPUTED_VALUE"""),"PORT HOPE")</f>
        <v>PORT HOPE</v>
      </c>
      <c r="D37" s="3" t="str">
        <f>IFERROR(__xludf.DUMMYFUNCTION("""COMPUTED_VALUE"""),"L1A 3V5")</f>
        <v>L1A 3V5</v>
      </c>
      <c r="E37" s="3" t="str">
        <f>IFERROR(__xludf.DUMMYFUNCTION("""COMPUTED_VALUE"""),"Linda Hale")</f>
        <v>Linda Hale</v>
      </c>
      <c r="F37" s="3" t="str">
        <f>IFERROR(__xludf.DUMMYFUNCTION("""COMPUTED_VALUE"""),"summertimegirl2015@gmail.com")</f>
        <v>summertimegirl2015@gmail.com</v>
      </c>
      <c r="G37" s="3"/>
      <c r="H37" s="3"/>
    </row>
    <row r="38">
      <c r="A38" s="2">
        <f>IFERROR(__xludf.DUMMYFUNCTION("""COMPUTED_VALUE"""),11363.0)</f>
        <v>11363</v>
      </c>
      <c r="B38" s="3" t="str">
        <f>IFERROR(__xludf.DUMMYFUNCTION("""COMPUTED_VALUE"""),"4116 RICE LAKE DR S")</f>
        <v>4116 RICE LAKE DR S</v>
      </c>
      <c r="C38" s="3" t="str">
        <f>IFERROR(__xludf.DUMMYFUNCTION("""COMPUTED_VALUE"""),"PORT HOPE")</f>
        <v>PORT HOPE</v>
      </c>
      <c r="D38" s="3" t="str">
        <f>IFERROR(__xludf.DUMMYFUNCTION("""COMPUTED_VALUE"""),"L1A 3V6")</f>
        <v>L1A 3V6</v>
      </c>
      <c r="E38" s="3"/>
      <c r="F38" s="3"/>
      <c r="G38" s="3"/>
      <c r="H38" s="3"/>
    </row>
    <row r="39">
      <c r="A39" s="2">
        <f>IFERROR(__xludf.DUMMYFUNCTION("""COMPUTED_VALUE"""),10888.0)</f>
        <v>10888</v>
      </c>
      <c r="B39" s="3" t="str">
        <f>IFERROR(__xludf.DUMMYFUNCTION("""COMPUTED_VALUE"""),"6330 GANARASKA RD")</f>
        <v>6330 GANARASKA RD</v>
      </c>
      <c r="C39" s="3" t="str">
        <f>IFERROR(__xludf.DUMMYFUNCTION("""COMPUTED_VALUE"""),"CAMPBELLCROFT")</f>
        <v>CAMPBELLCROFT</v>
      </c>
      <c r="D39" s="3" t="str">
        <f>IFERROR(__xludf.DUMMYFUNCTION("""COMPUTED_VALUE"""),"L0A 1B0")</f>
        <v>L0A 1B0</v>
      </c>
      <c r="E39" s="3" t="str">
        <f>IFERROR(__xludf.DUMMYFUNCTION("""COMPUTED_VALUE"""),"Kauri Beatt")</f>
        <v>Kauri Beatt</v>
      </c>
      <c r="F39" s="3" t="str">
        <f>IFERROR(__xludf.DUMMYFUNCTION("""COMPUTED_VALUE"""),"karibt102@gmail.com")</f>
        <v>karibt102@gmail.com</v>
      </c>
      <c r="G39" s="3"/>
      <c r="H39" s="3"/>
    </row>
    <row r="40">
      <c r="A40" s="2">
        <f>IFERROR(__xludf.DUMMYFUNCTION("""COMPUTED_VALUE"""),10892.0)</f>
        <v>10892</v>
      </c>
      <c r="B40" s="3" t="str">
        <f>IFERROR(__xludf.DUMMYFUNCTION("""COMPUTED_VALUE"""),"6778 GANARASKA RD")</f>
        <v>6778 GANARASKA RD</v>
      </c>
      <c r="C40" s="3" t="str">
        <f>IFERROR(__xludf.DUMMYFUNCTION("""COMPUTED_VALUE"""),"CAMPBELLCROFT")</f>
        <v>CAMPBELLCROFT</v>
      </c>
      <c r="D40" s="3" t="str">
        <f>IFERROR(__xludf.DUMMYFUNCTION("""COMPUTED_VALUE"""),"L0A 1B0")</f>
        <v>L0A 1B0</v>
      </c>
      <c r="E40" s="3" t="str">
        <f>IFERROR(__xludf.DUMMYFUNCTION("""COMPUTED_VALUE"""),"Robert Robinson")</f>
        <v>Robert Robinson</v>
      </c>
      <c r="F40" s="3"/>
      <c r="G40" s="3"/>
      <c r="H40" s="3"/>
    </row>
    <row r="41">
      <c r="A41" s="2">
        <f>IFERROR(__xludf.DUMMYFUNCTION("""COMPUTED_VALUE"""),10894.0)</f>
        <v>10894</v>
      </c>
      <c r="B41" s="3" t="str">
        <f>IFERROR(__xludf.DUMMYFUNCTION("""COMPUTED_VALUE"""),"6876 GANARASKA RD")</f>
        <v>6876 GANARASKA RD</v>
      </c>
      <c r="C41" s="3" t="str">
        <f>IFERROR(__xludf.DUMMYFUNCTION("""COMPUTED_VALUE"""),"CAMPBELLCROFT")</f>
        <v>CAMPBELLCROFT</v>
      </c>
      <c r="D41" s="3" t="str">
        <f>IFERROR(__xludf.DUMMYFUNCTION("""COMPUTED_VALUE"""),"L0A 1B0")</f>
        <v>L0A 1B0</v>
      </c>
      <c r="E41" s="3" t="str">
        <f>IFERROR(__xludf.DUMMYFUNCTION("""COMPUTED_VALUE"""),"Jenna McLeod")</f>
        <v>Jenna McLeod</v>
      </c>
      <c r="F41" s="3" t="str">
        <f>IFERROR(__xludf.DUMMYFUNCTION("""COMPUTED_VALUE"""),"jennakillen@gmail.com")</f>
        <v>jennakillen@gmail.com</v>
      </c>
      <c r="G41" s="3"/>
      <c r="H41" s="3"/>
    </row>
    <row r="42">
      <c r="A42" s="2">
        <f>IFERROR(__xludf.DUMMYFUNCTION("""COMPUTED_VALUE"""),10650.0)</f>
        <v>10650</v>
      </c>
      <c r="B42" s="3" t="str">
        <f>IFERROR(__xludf.DUMMYFUNCTION("""COMPUTED_VALUE"""),"7736 COUNTY RD 28")</f>
        <v>7736 COUNTY RD 28</v>
      </c>
      <c r="C42" s="3" t="str">
        <f>IFERROR(__xludf.DUMMYFUNCTION("""COMPUTED_VALUE"""),"CAMPBELLCROFT")</f>
        <v>CAMPBELLCROFT</v>
      </c>
      <c r="D42" s="3" t="str">
        <f>IFERROR(__xludf.DUMMYFUNCTION("""COMPUTED_VALUE"""),"L0A 1B0")</f>
        <v>L0A 1B0</v>
      </c>
      <c r="E42" s="3" t="str">
        <f>IFERROR(__xludf.DUMMYFUNCTION("""COMPUTED_VALUE"""),"RUTH POLLEY")</f>
        <v>RUTH POLLEY</v>
      </c>
      <c r="F42" s="3" t="str">
        <f>IFERROR(__xludf.DUMMYFUNCTION("""COMPUTED_VALUE"""),"ruth_polley@yahoo.ca")</f>
        <v>ruth_polley@yahoo.ca</v>
      </c>
      <c r="G42" s="3"/>
      <c r="H42" s="3"/>
    </row>
    <row r="43">
      <c r="A43" s="2">
        <f>IFERROR(__xludf.DUMMYFUNCTION("""COMPUTED_VALUE"""),10657.0)</f>
        <v>10657</v>
      </c>
      <c r="B43" s="3" t="str">
        <f>IFERROR(__xludf.DUMMYFUNCTION("""COMPUTED_VALUE"""),"9182 COUNTY RD 28")</f>
        <v>9182 COUNTY RD 28</v>
      </c>
      <c r="C43" s="3" t="str">
        <f>IFERROR(__xludf.DUMMYFUNCTION("""COMPUTED_VALUE"""),"BAILIEBORO")</f>
        <v>BAILIEBORO</v>
      </c>
      <c r="D43" s="3" t="str">
        <f>IFERROR(__xludf.DUMMYFUNCTION("""COMPUTED_VALUE"""),"K0L 1B0")</f>
        <v>K0L 1B0</v>
      </c>
      <c r="E43" s="3" t="str">
        <f>IFERROR(__xludf.DUMMYFUNCTION("""COMPUTED_VALUE"""),"LINDA SCOTT")</f>
        <v>LINDA SCOTT</v>
      </c>
      <c r="F43" s="3"/>
      <c r="G43" s="3"/>
      <c r="H43" s="3"/>
    </row>
    <row r="44">
      <c r="A44" s="2">
        <f>IFERROR(__xludf.DUMMYFUNCTION("""COMPUTED_VALUE"""),10196.0)</f>
        <v>10196</v>
      </c>
      <c r="B44" s="3" t="str">
        <f>IFERROR(__xludf.DUMMYFUNCTION("""COMPUTED_VALUE"""),"4620 7TH LINE")</f>
        <v>4620 7TH LINE</v>
      </c>
      <c r="C44" s="3" t="str">
        <f>IFERROR(__xludf.DUMMYFUNCTION("""COMPUTED_VALUE"""),"PORT HOPE")</f>
        <v>PORT HOPE</v>
      </c>
      <c r="D44" s="3" t="str">
        <f>IFERROR(__xludf.DUMMYFUNCTION("""COMPUTED_VALUE"""),"L1A 3V5")</f>
        <v>L1A 3V5</v>
      </c>
      <c r="E44" s="3"/>
      <c r="F44" s="3"/>
      <c r="G44" s="3"/>
      <c r="H44" s="3"/>
    </row>
    <row r="45">
      <c r="A45" s="2">
        <f>IFERROR(__xludf.DUMMYFUNCTION("""COMPUTED_VALUE"""),10679.0)</f>
        <v>10679</v>
      </c>
      <c r="B45" s="3" t="str">
        <f>IFERROR(__xludf.DUMMYFUNCTION("""COMPUTED_VALUE"""),"5871 COUNTY RD 65")</f>
        <v>5871 COUNTY RD 65</v>
      </c>
      <c r="C45" s="3" t="str">
        <f>IFERROR(__xludf.DUMMYFUNCTION("""COMPUTED_VALUE"""),"PORT HOPE")</f>
        <v>PORT HOPE</v>
      </c>
      <c r="D45" s="3" t="str">
        <f>IFERROR(__xludf.DUMMYFUNCTION("""COMPUTED_VALUE"""),"L1A 3V5")</f>
        <v>L1A 3V5</v>
      </c>
      <c r="E45" s="3" t="str">
        <f>IFERROR(__xludf.DUMMYFUNCTION("""COMPUTED_VALUE"""),"Glenn Durrant")</f>
        <v>Glenn Durrant</v>
      </c>
      <c r="F45" s="3" t="str">
        <f>IFERROR(__xludf.DUMMYFUNCTION("""COMPUTED_VALUE"""),"glenn.crgs@yahoo.com")</f>
        <v>glenn.crgs@yahoo.com</v>
      </c>
      <c r="G45" s="3"/>
      <c r="H45" s="3"/>
    </row>
    <row r="46">
      <c r="A46" s="2">
        <f>IFERROR(__xludf.DUMMYFUNCTION("""COMPUTED_VALUE"""),10711.0)</f>
        <v>10711</v>
      </c>
      <c r="B46" s="3" t="str">
        <f>IFERROR(__xludf.DUMMYFUNCTION("""COMPUTED_VALUE"""),"4683 DALE RD")</f>
        <v>4683 DALE RD</v>
      </c>
      <c r="C46" s="3" t="str">
        <f>IFERROR(__xludf.DUMMYFUNCTION("""COMPUTED_VALUE"""),"PORT HOPE")</f>
        <v>PORT HOPE</v>
      </c>
      <c r="D46" s="3" t="str">
        <f>IFERROR(__xludf.DUMMYFUNCTION("""COMPUTED_VALUE"""),"L1A 3V5")</f>
        <v>L1A 3V5</v>
      </c>
      <c r="E46" s="3" t="str">
        <f>IFERROR(__xludf.DUMMYFUNCTION("""COMPUTED_VALUE"""),"Albert Dobrini")</f>
        <v>Albert Dobrini</v>
      </c>
      <c r="F46" s="3"/>
      <c r="G46" s="3"/>
      <c r="H46" s="3"/>
    </row>
    <row r="47">
      <c r="A47" s="2">
        <f>IFERROR(__xludf.DUMMYFUNCTION("""COMPUTED_VALUE"""),10618.0)</f>
        <v>10618</v>
      </c>
      <c r="B47" s="3" t="str">
        <f>IFERROR(__xludf.DUMMYFUNCTION("""COMPUTED_VALUE"""),"3250 COUNTY RD 28")</f>
        <v>3250 COUNTY RD 28</v>
      </c>
      <c r="C47" s="3" t="str">
        <f>IFERROR(__xludf.DUMMYFUNCTION("""COMPUTED_VALUE"""),"PORT HOPE")</f>
        <v>PORT HOPE</v>
      </c>
      <c r="D47" s="3" t="str">
        <f>IFERROR(__xludf.DUMMYFUNCTION("""COMPUTED_VALUE"""),"L1A 3V6")</f>
        <v>L1A 3V6</v>
      </c>
      <c r="E47" s="3" t="str">
        <f>IFERROR(__xludf.DUMMYFUNCTION("""COMPUTED_VALUE"""),"ken ingrave")</f>
        <v>ken ingrave</v>
      </c>
      <c r="F47" s="3"/>
      <c r="G47" s="3"/>
      <c r="H47" s="3"/>
    </row>
    <row r="48">
      <c r="A48" s="2">
        <f>IFERROR(__xludf.DUMMYFUNCTION("""COMPUTED_VALUE"""),10716.0)</f>
        <v>10716</v>
      </c>
      <c r="B48" s="3" t="str">
        <f>IFERROR(__xludf.DUMMYFUNCTION("""COMPUTED_VALUE"""),"4724 DALE RD")</f>
        <v>4724 DALE RD</v>
      </c>
      <c r="C48" s="3" t="str">
        <f>IFERROR(__xludf.DUMMYFUNCTION("""COMPUTED_VALUE"""),"PORT HOPE")</f>
        <v>PORT HOPE</v>
      </c>
      <c r="D48" s="3" t="str">
        <f>IFERROR(__xludf.DUMMYFUNCTION("""COMPUTED_VALUE"""),"L1A 3V5")</f>
        <v>L1A 3V5</v>
      </c>
      <c r="E48" s="3"/>
      <c r="F48" s="3"/>
      <c r="G48" s="3"/>
      <c r="H48" s="3"/>
    </row>
    <row r="49">
      <c r="A49" s="2">
        <f>IFERROR(__xludf.DUMMYFUNCTION("""COMPUTED_VALUE"""),10738.0)</f>
        <v>10738</v>
      </c>
      <c r="B49" s="3" t="str">
        <f>IFERROR(__xludf.DUMMYFUNCTION("""COMPUTED_VALUE"""),"6352 DALE RD")</f>
        <v>6352 DALE RD</v>
      </c>
      <c r="C49" s="3" t="str">
        <f>IFERROR(__xludf.DUMMYFUNCTION("""COMPUTED_VALUE"""),"PORT HOPE")</f>
        <v>PORT HOPE</v>
      </c>
      <c r="D49" s="3" t="str">
        <f>IFERROR(__xludf.DUMMYFUNCTION("""COMPUTED_VALUE"""),"L1A 3V5")</f>
        <v>L1A 3V5</v>
      </c>
      <c r="E49" s="3" t="str">
        <f>IFERROR(__xludf.DUMMYFUNCTION("""COMPUTED_VALUE"""),"Mary Meadow")</f>
        <v>Mary Meadow</v>
      </c>
      <c r="F49" s="3" t="str">
        <f>IFERROR(__xludf.DUMMYFUNCTION("""COMPUTED_VALUE"""),"marymeadows@hotmail.ca")</f>
        <v>marymeadows@hotmail.ca</v>
      </c>
      <c r="G49" s="3"/>
      <c r="H49" s="3"/>
    </row>
    <row r="50">
      <c r="A50" s="2">
        <f>IFERROR(__xludf.DUMMYFUNCTION("""COMPUTED_VALUE"""),10422.0)</f>
        <v>10422</v>
      </c>
      <c r="B50" s="3" t="str">
        <f>IFERROR(__xludf.DUMMYFUNCTION("""COMPUTED_VALUE"""),"3086 COUNTY RD 10")</f>
        <v>3086 COUNTY RD 10</v>
      </c>
      <c r="C50" s="3" t="str">
        <f>IFERROR(__xludf.DUMMYFUNCTION("""COMPUTED_VALUE"""),"PORT HOPE")</f>
        <v>PORT HOPE</v>
      </c>
      <c r="D50" s="3" t="str">
        <f>IFERROR(__xludf.DUMMYFUNCTION("""COMPUTED_VALUE"""),"L1A 3V5")</f>
        <v>L1A 3V5</v>
      </c>
      <c r="E50" s="3" t="str">
        <f>IFERROR(__xludf.DUMMYFUNCTION("""COMPUTED_VALUE"""),"Brett Turck")</f>
        <v>Brett Turck</v>
      </c>
      <c r="F50" s="3" t="str">
        <f>IFERROR(__xludf.DUMMYFUNCTION("""COMPUTED_VALUE"""),"bturck@gmail.com")</f>
        <v>bturck@gmail.com</v>
      </c>
      <c r="G50" s="3"/>
      <c r="H50" s="3"/>
    </row>
    <row r="51">
      <c r="A51" s="2">
        <f>IFERROR(__xludf.DUMMYFUNCTION("""COMPUTED_VALUE"""),10423.0)</f>
        <v>10423</v>
      </c>
      <c r="B51" s="3" t="str">
        <f>IFERROR(__xludf.DUMMYFUNCTION("""COMPUTED_VALUE"""),"3098 COUNTY RD 10")</f>
        <v>3098 COUNTY RD 10</v>
      </c>
      <c r="C51" s="3" t="str">
        <f>IFERROR(__xludf.DUMMYFUNCTION("""COMPUTED_VALUE"""),"PORT HOPE")</f>
        <v>PORT HOPE</v>
      </c>
      <c r="D51" s="3" t="str">
        <f>IFERROR(__xludf.DUMMYFUNCTION("""COMPUTED_VALUE"""),"L1A 3V5")</f>
        <v>L1A 3V5</v>
      </c>
      <c r="E51" s="3" t="str">
        <f>IFERROR(__xludf.DUMMYFUNCTION("""COMPUTED_VALUE"""),"Mike sucee / SUCEE MILLIE")</f>
        <v>Mike sucee / SUCEE MILLIE</v>
      </c>
      <c r="F51" s="3" t="str">
        <f>IFERROR(__xludf.DUMMYFUNCTION("""COMPUTED_VALUE"""),"mikesucee@gmail.com")</f>
        <v>mikesucee@gmail.com</v>
      </c>
      <c r="G51" s="3"/>
      <c r="H51" s="3"/>
    </row>
    <row r="52">
      <c r="A52" s="2">
        <f>IFERROR(__xludf.DUMMYFUNCTION("""COMPUTED_VALUE"""),10424.0)</f>
        <v>10424</v>
      </c>
      <c r="B52" s="3" t="str">
        <f>IFERROR(__xludf.DUMMYFUNCTION("""COMPUTED_VALUE"""),"3099 COUNTY RD 10")</f>
        <v>3099 COUNTY RD 10</v>
      </c>
      <c r="C52" s="3" t="str">
        <f>IFERROR(__xludf.DUMMYFUNCTION("""COMPUTED_VALUE"""),"PORT HOPE")</f>
        <v>PORT HOPE</v>
      </c>
      <c r="D52" s="3" t="str">
        <f>IFERROR(__xludf.DUMMYFUNCTION("""COMPUTED_VALUE"""),"L1A 3V5")</f>
        <v>L1A 3V5</v>
      </c>
      <c r="E52" s="3"/>
      <c r="F52" s="3"/>
      <c r="G52" s="3"/>
      <c r="H52" s="3"/>
    </row>
    <row r="53">
      <c r="A53" s="2">
        <f>IFERROR(__xludf.DUMMYFUNCTION("""COMPUTED_VALUE"""),11227.0)</f>
        <v>11227</v>
      </c>
      <c r="B53" s="3" t="str">
        <f>IFERROR(__xludf.DUMMYFUNCTION("""COMPUTED_VALUE"""),"4857 MASTWOOD RD")</f>
        <v>4857 MASTWOOD RD</v>
      </c>
      <c r="C53" s="3" t="str">
        <f>IFERROR(__xludf.DUMMYFUNCTION("""COMPUTED_VALUE"""),"PORT HOPE")</f>
        <v>PORT HOPE</v>
      </c>
      <c r="D53" s="3" t="str">
        <f>IFERROR(__xludf.DUMMYFUNCTION("""COMPUTED_VALUE"""),"L1A 3V5")</f>
        <v>L1A 3V5</v>
      </c>
      <c r="E53" s="3"/>
      <c r="F53" s="3"/>
      <c r="G53" s="3"/>
      <c r="H53" s="3"/>
    </row>
    <row r="54">
      <c r="A54" s="2">
        <f>IFERROR(__xludf.DUMMYFUNCTION("""COMPUTED_VALUE"""),10565.0)</f>
        <v>10565</v>
      </c>
      <c r="B54" s="3" t="str">
        <f>IFERROR(__xludf.DUMMYFUNCTION("""COMPUTED_VALUE"""),"4496 COUNTY RD 2")</f>
        <v>4496 COUNTY RD 2</v>
      </c>
      <c r="C54" s="3" t="str">
        <f>IFERROR(__xludf.DUMMYFUNCTION("""COMPUTED_VALUE"""),"PORT HOPE")</f>
        <v>PORT HOPE</v>
      </c>
      <c r="D54" s="3" t="str">
        <f>IFERROR(__xludf.DUMMYFUNCTION("""COMPUTED_VALUE"""),"L1A 3V5")</f>
        <v>L1A 3V5</v>
      </c>
      <c r="E54" s="3" t="str">
        <f>IFERROR(__xludf.DUMMYFUNCTION("""COMPUTED_VALUE"""),"Richard Whyte")</f>
        <v>Richard Whyte</v>
      </c>
      <c r="F54" s="3" t="str">
        <f>IFERROR(__xludf.DUMMYFUNCTION("""COMPUTED_VALUE"""),"camricco@gmail.com")</f>
        <v>camricco@gmail.com</v>
      </c>
      <c r="G54" s="3"/>
      <c r="H54" s="3"/>
    </row>
    <row r="55">
      <c r="A55" s="2">
        <f>IFERROR(__xludf.DUMMYFUNCTION("""COMPUTED_VALUE"""),10706.0)</f>
        <v>10706</v>
      </c>
      <c r="B55" s="3" t="str">
        <f>IFERROR(__xludf.DUMMYFUNCTION("""COMPUTED_VALUE"""),"4643 DALE RD")</f>
        <v>4643 DALE RD</v>
      </c>
      <c r="C55" s="3" t="str">
        <f>IFERROR(__xludf.DUMMYFUNCTION("""COMPUTED_VALUE"""),"PORT HOPE")</f>
        <v>PORT HOPE</v>
      </c>
      <c r="D55" s="3" t="str">
        <f>IFERROR(__xludf.DUMMYFUNCTION("""COMPUTED_VALUE"""),"L1A 3V5")</f>
        <v>L1A 3V5</v>
      </c>
      <c r="E55" s="3" t="str">
        <f>IFERROR(__xludf.DUMMYFUNCTION("""COMPUTED_VALUE"""),"kathy drummond")</f>
        <v>kathy drummond</v>
      </c>
      <c r="F55" s="3" t="str">
        <f>IFERROR(__xludf.DUMMYFUNCTION("""COMPUTED_VALUE"""),"kjdrummond@gmail.com")</f>
        <v>kjdrummond@gmail.com</v>
      </c>
      <c r="G55" s="3"/>
      <c r="H55" s="3"/>
    </row>
    <row r="56">
      <c r="A56" s="2">
        <f>IFERROR(__xludf.DUMMYFUNCTION("""COMPUTED_VALUE"""),10715.0)</f>
        <v>10715</v>
      </c>
      <c r="B56" s="3" t="str">
        <f>IFERROR(__xludf.DUMMYFUNCTION("""COMPUTED_VALUE"""),"4713 DALE RD")</f>
        <v>4713 DALE RD</v>
      </c>
      <c r="C56" s="3" t="str">
        <f>IFERROR(__xludf.DUMMYFUNCTION("""COMPUTED_VALUE"""),"PORT HOPE")</f>
        <v>PORT HOPE</v>
      </c>
      <c r="D56" s="3" t="str">
        <f>IFERROR(__xludf.DUMMYFUNCTION("""COMPUTED_VALUE"""),"L1A 3V5")</f>
        <v>L1A 3V5</v>
      </c>
      <c r="E56" s="3" t="str">
        <f>IFERROR(__xludf.DUMMYFUNCTION("""COMPUTED_VALUE"""),"dan whitney")</f>
        <v>dan whitney</v>
      </c>
      <c r="F56" s="3" t="str">
        <f>IFERROR(__xludf.DUMMYFUNCTION("""COMPUTED_VALUE"""),"dan.whitney.73@gmail.com")</f>
        <v>dan.whitney.73@gmail.com</v>
      </c>
      <c r="G56" s="3"/>
      <c r="H56" s="3"/>
    </row>
    <row r="57">
      <c r="A57" s="2">
        <f>IFERROR(__xludf.DUMMYFUNCTION("""COMPUTED_VALUE"""),10719.0)</f>
        <v>10719</v>
      </c>
      <c r="B57" s="3" t="str">
        <f>IFERROR(__xludf.DUMMYFUNCTION("""COMPUTED_VALUE"""),"4753 DALE RD")</f>
        <v>4753 DALE RD</v>
      </c>
      <c r="C57" s="3" t="str">
        <f>IFERROR(__xludf.DUMMYFUNCTION("""COMPUTED_VALUE"""),"PORT HOPE")</f>
        <v>PORT HOPE</v>
      </c>
      <c r="D57" s="3" t="str">
        <f>IFERROR(__xludf.DUMMYFUNCTION("""COMPUTED_VALUE"""),"L1A 3V5")</f>
        <v>L1A 3V5</v>
      </c>
      <c r="E57" s="3" t="str">
        <f>IFERROR(__xludf.DUMMYFUNCTION("""COMPUTED_VALUE"""),"Laura + Josh Vandermeer")</f>
        <v>Laura + Josh Vandermeer</v>
      </c>
      <c r="F57" s="3" t="str">
        <f>IFERROR(__xludf.DUMMYFUNCTION("""COMPUTED_VALUE"""),"lauracdeboer@hotmail.com")</f>
        <v>lauracdeboer@hotmail.com</v>
      </c>
      <c r="G57" s="3"/>
      <c r="H57" s="3"/>
    </row>
    <row r="58">
      <c r="A58" s="2">
        <f>IFERROR(__xludf.DUMMYFUNCTION("""COMPUTED_VALUE"""),10845.0)</f>
        <v>10845</v>
      </c>
      <c r="B58" s="3" t="str">
        <f>IFERROR(__xludf.DUMMYFUNCTION("""COMPUTED_VALUE"""),"1665 EAST TOWNLINE RD")</f>
        <v>1665 EAST TOWNLINE RD</v>
      </c>
      <c r="C58" s="3" t="str">
        <f>IFERROR(__xludf.DUMMYFUNCTION("""COMPUTED_VALUE"""),"NEWCASTLE")</f>
        <v>NEWCASTLE</v>
      </c>
      <c r="D58" s="3" t="str">
        <f>IFERROR(__xludf.DUMMYFUNCTION("""COMPUTED_VALUE"""),"L1B 1L9")</f>
        <v>L1B 1L9</v>
      </c>
      <c r="E58" s="3" t="str">
        <f>IFERROR(__xludf.DUMMYFUNCTION("""COMPUTED_VALUE"""),"John Fledderus")</f>
        <v>John Fledderus</v>
      </c>
      <c r="F58" s="3" t="str">
        <f>IFERROR(__xludf.DUMMYFUNCTION("""COMPUTED_VALUE"""),"john.fledderus@owasco.com")</f>
        <v>john.fledderus@owasco.com</v>
      </c>
      <c r="G58" s="3"/>
      <c r="H58" s="3"/>
    </row>
    <row r="59">
      <c r="A59" s="2">
        <f>IFERROR(__xludf.DUMMYFUNCTION("""COMPUTED_VALUE"""),10783.0)</f>
        <v>10783</v>
      </c>
      <c r="B59" s="3" t="str">
        <f>IFERROR(__xludf.DUMMYFUNCTION("""COMPUTED_VALUE"""),"2810 DEER PARK RD")</f>
        <v>2810 DEER PARK RD</v>
      </c>
      <c r="C59" s="3" t="str">
        <f>IFERROR(__xludf.DUMMYFUNCTION("""COMPUTED_VALUE"""),"PORT HOPE")</f>
        <v>PORT HOPE</v>
      </c>
      <c r="D59" s="3" t="str">
        <f>IFERROR(__xludf.DUMMYFUNCTION("""COMPUTED_VALUE"""),"L1A 3V7")</f>
        <v>L1A 3V7</v>
      </c>
      <c r="E59" s="3" t="str">
        <f>IFERROR(__xludf.DUMMYFUNCTION("""COMPUTED_VALUE"""),"paul dundas")</f>
        <v>paul dundas</v>
      </c>
      <c r="F59" s="3" t="str">
        <f>IFERROR(__xludf.DUMMYFUNCTION("""COMPUTED_VALUE"""),"nadinedundas10@gmail.com")</f>
        <v>nadinedundas10@gmail.com</v>
      </c>
      <c r="G59" s="3"/>
      <c r="H59" s="3"/>
    </row>
    <row r="60">
      <c r="A60" s="2">
        <f>IFERROR(__xludf.DUMMYFUNCTION("""COMPUTED_VALUE"""),10979.0)</f>
        <v>10979</v>
      </c>
      <c r="B60" s="3" t="str">
        <f>IFERROR(__xludf.DUMMYFUNCTION("""COMPUTED_VALUE"""),"2881 HAWKINS RD")</f>
        <v>2881 HAWKINS RD</v>
      </c>
      <c r="C60" s="3" t="str">
        <f>IFERROR(__xludf.DUMMYFUNCTION("""COMPUTED_VALUE"""),"PORT HOPE")</f>
        <v>PORT HOPE</v>
      </c>
      <c r="D60" s="3" t="str">
        <f>IFERROR(__xludf.DUMMYFUNCTION("""COMPUTED_VALUE"""),"L1A 3V8")</f>
        <v>L1A 3V8</v>
      </c>
      <c r="E60" s="3"/>
      <c r="F60" s="3"/>
      <c r="G60" s="3"/>
      <c r="H60" s="3"/>
    </row>
    <row r="61">
      <c r="A61" s="2">
        <f>IFERROR(__xludf.DUMMYFUNCTION("""COMPUTED_VALUE"""),10078.0)</f>
        <v>10078</v>
      </c>
      <c r="B61" s="3" t="str">
        <f>IFERROR(__xludf.DUMMYFUNCTION("""COMPUTED_VALUE"""),"1875 5TH LINE")</f>
        <v>1875 5TH LINE</v>
      </c>
      <c r="C61" s="3" t="str">
        <f>IFERROR(__xludf.DUMMYFUNCTION("""COMPUTED_VALUE"""),"NEWTONVILLE")</f>
        <v>NEWTONVILLE</v>
      </c>
      <c r="D61" s="3" t="str">
        <f>IFERROR(__xludf.DUMMYFUNCTION("""COMPUTED_VALUE"""),"L0A 1J0")</f>
        <v>L0A 1J0</v>
      </c>
      <c r="E61" s="3"/>
      <c r="F61" s="3"/>
      <c r="G61" s="3"/>
      <c r="H61" s="3"/>
    </row>
    <row r="62">
      <c r="A62" s="2">
        <f>IFERROR(__xludf.DUMMYFUNCTION("""COMPUTED_VALUE"""),11623.0)</f>
        <v>11623</v>
      </c>
      <c r="B62" s="3" t="str">
        <f>IFERROR(__xludf.DUMMYFUNCTION("""COMPUTED_VALUE"""),"2827 MANCHOFF RD")</f>
        <v>2827 MANCHOFF RD</v>
      </c>
      <c r="C62" s="3" t="str">
        <f>IFERROR(__xludf.DUMMYFUNCTION("""COMPUTED_VALUE"""),"PORT HOPE")</f>
        <v>PORT HOPE</v>
      </c>
      <c r="D62" s="3" t="str">
        <f>IFERROR(__xludf.DUMMYFUNCTION("""COMPUTED_VALUE"""),"L1A 3V5")</f>
        <v>L1A 3V5</v>
      </c>
      <c r="E62" s="3" t="str">
        <f>IFERROR(__xludf.DUMMYFUNCTION("""COMPUTED_VALUE"""),"Jake Herron")</f>
        <v>Jake Herron</v>
      </c>
      <c r="F62" s="3" t="str">
        <f>IFERROR(__xludf.DUMMYFUNCTION("""COMPUTED_VALUE"""),"jherron4468@gmail.com")</f>
        <v>jherron4468@gmail.com</v>
      </c>
      <c r="G62" s="3"/>
      <c r="H62" s="3"/>
    </row>
    <row r="63">
      <c r="A63" s="2">
        <f>IFERROR(__xludf.DUMMYFUNCTION("""COMPUTED_VALUE"""),11177.0)</f>
        <v>11177</v>
      </c>
      <c r="B63" s="3" t="str">
        <f>IFERROR(__xludf.DUMMYFUNCTION("""COMPUTED_VALUE"""),"2857 MANCHOFF RD")</f>
        <v>2857 MANCHOFF RD</v>
      </c>
      <c r="C63" s="3" t="str">
        <f>IFERROR(__xludf.DUMMYFUNCTION("""COMPUTED_VALUE"""),"PORT HOPE")</f>
        <v>PORT HOPE</v>
      </c>
      <c r="D63" s="3" t="str">
        <f>IFERROR(__xludf.DUMMYFUNCTION("""COMPUTED_VALUE"""),"L1A 3V5")</f>
        <v>L1A 3V5</v>
      </c>
      <c r="E63" s="3" t="str">
        <f>IFERROR(__xludf.DUMMYFUNCTION("""COMPUTED_VALUE"""),"Ralph Worthington ")</f>
        <v>Ralph Worthington </v>
      </c>
      <c r="F63" s="3" t="str">
        <f>IFERROR(__xludf.DUMMYFUNCTION("""COMPUTED_VALUE"""),"ralphworthington55@yahoo.ca")</f>
        <v>ralphworthington55@yahoo.ca</v>
      </c>
      <c r="G63" s="3"/>
      <c r="H63" s="3"/>
    </row>
    <row r="64">
      <c r="A64" s="2">
        <f>IFERROR(__xludf.DUMMYFUNCTION("""COMPUTED_VALUE"""),10425.0)</f>
        <v>10425</v>
      </c>
      <c r="B64" s="3" t="str">
        <f>IFERROR(__xludf.DUMMYFUNCTION("""COMPUTED_VALUE"""),"3103 COUNTY RD 10")</f>
        <v>3103 COUNTY RD 10</v>
      </c>
      <c r="C64" s="3" t="str">
        <f>IFERROR(__xludf.DUMMYFUNCTION("""COMPUTED_VALUE"""),"PORT HOPE")</f>
        <v>PORT HOPE</v>
      </c>
      <c r="D64" s="3" t="str">
        <f>IFERROR(__xludf.DUMMYFUNCTION("""COMPUTED_VALUE"""),"L1A 3V5")</f>
        <v>L1A 3V5</v>
      </c>
      <c r="E64" s="3" t="str">
        <f>IFERROR(__xludf.DUMMYFUNCTION("""COMPUTED_VALUE"""),"Tim Johnston")</f>
        <v>Tim Johnston</v>
      </c>
      <c r="F64" s="3" t="str">
        <f>IFERROR(__xludf.DUMMYFUNCTION("""COMPUTED_VALUE"""),"timmythepainter21@gmail.com")</f>
        <v>timmythepainter21@gmail.com</v>
      </c>
      <c r="G64" s="3"/>
      <c r="H64" s="3"/>
    </row>
    <row r="65">
      <c r="A65" s="2">
        <f>IFERROR(__xludf.DUMMYFUNCTION("""COMPUTED_VALUE"""),11178.0)</f>
        <v>11178</v>
      </c>
      <c r="B65" s="3" t="str">
        <f>IFERROR(__xludf.DUMMYFUNCTION("""COMPUTED_VALUE"""),"2910 MANCHOFF RD")</f>
        <v>2910 MANCHOFF RD</v>
      </c>
      <c r="C65" s="3" t="str">
        <f>IFERROR(__xludf.DUMMYFUNCTION("""COMPUTED_VALUE"""),"PORT HOPE")</f>
        <v>PORT HOPE</v>
      </c>
      <c r="D65" s="3" t="str">
        <f>IFERROR(__xludf.DUMMYFUNCTION("""COMPUTED_VALUE"""),"L1A 3V5")</f>
        <v>L1A 3V5</v>
      </c>
      <c r="E65" s="3" t="str">
        <f>IFERROR(__xludf.DUMMYFUNCTION("""COMPUTED_VALUE"""),"Les Godfrey")</f>
        <v>Les Godfrey</v>
      </c>
      <c r="F65" s="3" t="str">
        <f>IFERROR(__xludf.DUMMYFUNCTION("""COMPUTED_VALUE"""),"lesgodfrey@lescoir.com")</f>
        <v>lesgodfrey@lescoir.com</v>
      </c>
      <c r="G65" s="3"/>
      <c r="H65" s="3"/>
    </row>
    <row r="66">
      <c r="A66" s="2">
        <f>IFERROR(__xludf.DUMMYFUNCTION("""COMPUTED_VALUE"""),11180.0)</f>
        <v>11180</v>
      </c>
      <c r="B66" s="3" t="str">
        <f>IFERROR(__xludf.DUMMYFUNCTION("""COMPUTED_VALUE"""),"2960 MANCHOFF RD")</f>
        <v>2960 MANCHOFF RD</v>
      </c>
      <c r="C66" s="3" t="str">
        <f>IFERROR(__xludf.DUMMYFUNCTION("""COMPUTED_VALUE"""),"PORT HOPE")</f>
        <v>PORT HOPE</v>
      </c>
      <c r="D66" s="3" t="str">
        <f>IFERROR(__xludf.DUMMYFUNCTION("""COMPUTED_VALUE"""),"L1A 3V5")</f>
        <v>L1A 3V5</v>
      </c>
      <c r="E66" s="3" t="str">
        <f>IFERROR(__xludf.DUMMYFUNCTION("""COMPUTED_VALUE"""),"David Archibald")</f>
        <v>David Archibald</v>
      </c>
      <c r="F66" s="3" t="str">
        <f>IFERROR(__xludf.DUMMYFUNCTION("""COMPUTED_VALUE"""),"archibalddja@gmail.com")</f>
        <v>archibalddja@gmail.com</v>
      </c>
      <c r="G66" s="3"/>
      <c r="H66" s="3"/>
    </row>
    <row r="67">
      <c r="A67" s="2">
        <f>IFERROR(__xludf.DUMMYFUNCTION("""COMPUTED_VALUE"""),11312.0)</f>
        <v>11312</v>
      </c>
      <c r="B67" s="3" t="str">
        <f>IFERROR(__xludf.DUMMYFUNCTION("""COMPUTED_VALUE"""),"4053 PELMO PARK DR")</f>
        <v>4053 PELMO PARK DR</v>
      </c>
      <c r="C67" s="3" t="str">
        <f>IFERROR(__xludf.DUMMYFUNCTION("""COMPUTED_VALUE"""),"PORT HOPE")</f>
        <v>PORT HOPE</v>
      </c>
      <c r="D67" s="3" t="str">
        <f>IFERROR(__xludf.DUMMYFUNCTION("""COMPUTED_VALUE"""),"L1A 3V5")</f>
        <v>L1A 3V5</v>
      </c>
      <c r="E67" s="3" t="str">
        <f>IFERROR(__xludf.DUMMYFUNCTION("""COMPUTED_VALUE"""),"Robert Navjot Vaid")</f>
        <v>Robert Navjot Vaid</v>
      </c>
      <c r="F67" s="3" t="str">
        <f>IFERROR(__xludf.DUMMYFUNCTION("""COMPUTED_VALUE"""),"robertnvaid@gmail.com")</f>
        <v>robertnvaid@gmail.com</v>
      </c>
      <c r="G67" s="3"/>
      <c r="H67" s="3"/>
    </row>
    <row r="68">
      <c r="A68" s="2">
        <f>IFERROR(__xludf.DUMMYFUNCTION("""COMPUTED_VALUE"""),10426.0)</f>
        <v>10426</v>
      </c>
      <c r="B68" s="3" t="str">
        <f>IFERROR(__xludf.DUMMYFUNCTION("""COMPUTED_VALUE"""),"3111 COUNTY RD 10")</f>
        <v>3111 COUNTY RD 10</v>
      </c>
      <c r="C68" s="3" t="str">
        <f>IFERROR(__xludf.DUMMYFUNCTION("""COMPUTED_VALUE"""),"PORT HOPE")</f>
        <v>PORT HOPE</v>
      </c>
      <c r="D68" s="3" t="str">
        <f>IFERROR(__xludf.DUMMYFUNCTION("""COMPUTED_VALUE"""),"L1A 3V5")</f>
        <v>L1A 3V5</v>
      </c>
      <c r="E68" s="3"/>
      <c r="F68" s="3"/>
      <c r="G68" s="3"/>
      <c r="H68" s="3"/>
    </row>
    <row r="69">
      <c r="A69" s="2">
        <f>IFERROR(__xludf.DUMMYFUNCTION("""COMPUTED_VALUE"""),11317.0)</f>
        <v>11317</v>
      </c>
      <c r="B69" s="3" t="str">
        <f>IFERROR(__xludf.DUMMYFUNCTION("""COMPUTED_VALUE"""),"4071 PELMO PARK DR")</f>
        <v>4071 PELMO PARK DR</v>
      </c>
      <c r="C69" s="3" t="str">
        <f>IFERROR(__xludf.DUMMYFUNCTION("""COMPUTED_VALUE"""),"PORT HOPE")</f>
        <v>PORT HOPE</v>
      </c>
      <c r="D69" s="3" t="str">
        <f>IFERROR(__xludf.DUMMYFUNCTION("""COMPUTED_VALUE"""),"L1A 3V5")</f>
        <v>L1A 3V5</v>
      </c>
      <c r="E69" s="3" t="str">
        <f>IFERROR(__xludf.DUMMYFUNCTION("""COMPUTED_VALUE"""),"Craig Burton")</f>
        <v>Craig Burton</v>
      </c>
      <c r="F69" s="3" t="str">
        <f>IFERROR(__xludf.DUMMYFUNCTION("""COMPUTED_VALUE"""),"cjrburton@gmail.com")</f>
        <v>cjrburton@gmail.com</v>
      </c>
      <c r="G69" s="3"/>
      <c r="H69" s="3"/>
    </row>
    <row r="70">
      <c r="A70" s="2">
        <f>IFERROR(__xludf.DUMMYFUNCTION("""COMPUTED_VALUE"""),11319.0)</f>
        <v>11319</v>
      </c>
      <c r="B70" s="3" t="str">
        <f>IFERROR(__xludf.DUMMYFUNCTION("""COMPUTED_VALUE"""),"4077 PELMO PARK DR")</f>
        <v>4077 PELMO PARK DR</v>
      </c>
      <c r="C70" s="3" t="str">
        <f>IFERROR(__xludf.DUMMYFUNCTION("""COMPUTED_VALUE"""),"PORT HOPE")</f>
        <v>PORT HOPE</v>
      </c>
      <c r="D70" s="3" t="str">
        <f>IFERROR(__xludf.DUMMYFUNCTION("""COMPUTED_VALUE"""),"L1A 3V5")</f>
        <v>L1A 3V5</v>
      </c>
      <c r="E70" s="3" t="str">
        <f>IFERROR(__xludf.DUMMYFUNCTION("""COMPUTED_VALUE"""),"Jim Broome")</f>
        <v>Jim Broome</v>
      </c>
      <c r="F70" s="3"/>
      <c r="G70" s="3"/>
      <c r="H70" s="3"/>
    </row>
    <row r="71">
      <c r="A71" s="2">
        <f>IFERROR(__xludf.DUMMYFUNCTION("""COMPUTED_VALUE"""),11228.0)</f>
        <v>11228</v>
      </c>
      <c r="B71" s="3" t="str">
        <f>IFERROR(__xludf.DUMMYFUNCTION("""COMPUTED_VALUE"""),"4882 MASTWOOD RD")</f>
        <v>4882 MASTWOOD RD</v>
      </c>
      <c r="C71" s="3" t="str">
        <f>IFERROR(__xludf.DUMMYFUNCTION("""COMPUTED_VALUE"""),"PORT HOPE")</f>
        <v>PORT HOPE</v>
      </c>
      <c r="D71" s="3" t="str">
        <f>IFERROR(__xludf.DUMMYFUNCTION("""COMPUTED_VALUE"""),"L1A 3V5")</f>
        <v>L1A 3V5</v>
      </c>
      <c r="E71" s="3" t="str">
        <f>IFERROR(__xludf.DUMMYFUNCTION("""COMPUTED_VALUE"""),"Philip Stratford")</f>
        <v>Philip Stratford</v>
      </c>
      <c r="F71" s="3" t="str">
        <f>IFERROR(__xludf.DUMMYFUNCTION("""COMPUTED_VALUE"""),"philipstratford@yahoo.ca")</f>
        <v>philipstratford@yahoo.ca</v>
      </c>
      <c r="G71" s="3"/>
      <c r="H71" s="3"/>
    </row>
    <row r="72">
      <c r="A72" s="2">
        <f>IFERROR(__xludf.DUMMYFUNCTION("""COMPUTED_VALUE"""),11229.0)</f>
        <v>11229</v>
      </c>
      <c r="B72" s="3" t="str">
        <f>IFERROR(__xludf.DUMMYFUNCTION("""COMPUTED_VALUE"""),"4889 MASTWOOD RD")</f>
        <v>4889 MASTWOOD RD</v>
      </c>
      <c r="C72" s="3" t="str">
        <f>IFERROR(__xludf.DUMMYFUNCTION("""COMPUTED_VALUE"""),"PORT HOPE")</f>
        <v>PORT HOPE</v>
      </c>
      <c r="D72" s="3" t="str">
        <f>IFERROR(__xludf.DUMMYFUNCTION("""COMPUTED_VALUE"""),"L1A 3V5")</f>
        <v>L1A 3V5</v>
      </c>
      <c r="E72" s="3" t="str">
        <f>IFERROR(__xludf.DUMMYFUNCTION("""COMPUTED_VALUE"""),"John Noronha")</f>
        <v>John Noronha</v>
      </c>
      <c r="F72" s="3" t="str">
        <f>IFERROR(__xludf.DUMMYFUNCTION("""COMPUTED_VALUE"""),"johnny.boy30@hotmail.com")</f>
        <v>johnny.boy30@hotmail.com</v>
      </c>
      <c r="G72" s="3"/>
      <c r="H72" s="3"/>
    </row>
    <row r="73">
      <c r="A73" s="2">
        <f>IFERROR(__xludf.DUMMYFUNCTION("""COMPUTED_VALUE"""),10029.0)</f>
        <v>10029</v>
      </c>
      <c r="B73" s="3" t="str">
        <f>IFERROR(__xludf.DUMMYFUNCTION("""COMPUTED_VALUE"""),"2494 4TH LINE")</f>
        <v>2494 4TH LINE</v>
      </c>
      <c r="C73" s="3" t="str">
        <f>IFERROR(__xludf.DUMMYFUNCTION("""COMPUTED_VALUE"""),"PORT HOPE")</f>
        <v>PORT HOPE</v>
      </c>
      <c r="D73" s="3" t="str">
        <f>IFERROR(__xludf.DUMMYFUNCTION("""COMPUTED_VALUE"""),"L1A 3V7")</f>
        <v>L1A 3V7</v>
      </c>
      <c r="E73" s="3" t="str">
        <f>IFERROR(__xludf.DUMMYFUNCTION("""COMPUTED_VALUE"""),"Greg Forfar")</f>
        <v>Greg Forfar</v>
      </c>
      <c r="F73" s="3" t="str">
        <f>IFERROR(__xludf.DUMMYFUNCTION("""COMPUTED_VALUE"""),"gregory.forfar@gmail.com")</f>
        <v>gregory.forfar@gmail.com</v>
      </c>
      <c r="G73" s="3"/>
      <c r="H73" s="3"/>
    </row>
    <row r="74">
      <c r="A74" s="2">
        <f>IFERROR(__xludf.DUMMYFUNCTION("""COMPUTED_VALUE"""),10039.0)</f>
        <v>10039</v>
      </c>
      <c r="B74" s="3" t="str">
        <f>IFERROR(__xludf.DUMMYFUNCTION("""COMPUTED_VALUE"""),"3472 4TH LINE")</f>
        <v>3472 4TH LINE</v>
      </c>
      <c r="C74" s="3" t="str">
        <f>IFERROR(__xludf.DUMMYFUNCTION("""COMPUTED_VALUE"""),"PORT HOPE")</f>
        <v>PORT HOPE</v>
      </c>
      <c r="D74" s="3" t="str">
        <f>IFERROR(__xludf.DUMMYFUNCTION("""COMPUTED_VALUE"""),"L1A 3V7")</f>
        <v>L1A 3V7</v>
      </c>
      <c r="E74" s="3" t="str">
        <f>IFERROR(__xludf.DUMMYFUNCTION("""COMPUTED_VALUE"""),"Leigh Winfield")</f>
        <v>Leigh Winfield</v>
      </c>
      <c r="F74" s="3" t="str">
        <f>IFERROR(__xludf.DUMMYFUNCTION("""COMPUTED_VALUE"""),"leigh.h.winfield@gmail.com")</f>
        <v>leigh.h.winfield@gmail.com</v>
      </c>
      <c r="G74" s="3"/>
      <c r="H74" s="3"/>
    </row>
    <row r="75">
      <c r="A75" s="2">
        <f>IFERROR(__xludf.DUMMYFUNCTION("""COMPUTED_VALUE"""),11023.0)</f>
        <v>11023</v>
      </c>
      <c r="B75" s="3" t="str">
        <f>IFERROR(__xludf.DUMMYFUNCTION("""COMPUTED_VALUE"""),"4140 KELLOGG RD")</f>
        <v>4140 KELLOGG RD</v>
      </c>
      <c r="C75" s="3" t="str">
        <f>IFERROR(__xludf.DUMMYFUNCTION("""COMPUTED_VALUE"""),"PORT HOPE")</f>
        <v>PORT HOPE</v>
      </c>
      <c r="D75" s="3" t="str">
        <f>IFERROR(__xludf.DUMMYFUNCTION("""COMPUTED_VALUE"""),"L1A 3V7")</f>
        <v>L1A 3V7</v>
      </c>
      <c r="E75" s="3" t="str">
        <f>IFERROR(__xludf.DUMMYFUNCTION("""COMPUTED_VALUE"""),"Valery Curtis")</f>
        <v>Valery Curtis</v>
      </c>
      <c r="F75" s="3" t="str">
        <f>IFERROR(__xludf.DUMMYFUNCTION("""COMPUTED_VALUE"""),"valery.curtis@gmail.comm")</f>
        <v>valery.curtis@gmail.comm</v>
      </c>
      <c r="G75" s="3"/>
      <c r="H75" s="3"/>
    </row>
    <row r="76">
      <c r="A76" s="2">
        <f>IFERROR(__xludf.DUMMYFUNCTION("""COMPUTED_VALUE"""),10183.0)</f>
        <v>10183</v>
      </c>
      <c r="B76" s="3" t="str">
        <f>IFERROR(__xludf.DUMMYFUNCTION("""COMPUTED_VALUE"""),"3252 7TH LINE")</f>
        <v>3252 7TH LINE</v>
      </c>
      <c r="C76" s="3" t="str">
        <f>IFERROR(__xludf.DUMMYFUNCTION("""COMPUTED_VALUE"""),"PORT HOPE")</f>
        <v>PORT HOPE</v>
      </c>
      <c r="D76" s="3" t="str">
        <f>IFERROR(__xludf.DUMMYFUNCTION("""COMPUTED_VALUE"""),"L1A 3V5")</f>
        <v>L1A 3V5</v>
      </c>
      <c r="E76" s="3" t="str">
        <f>IFERROR(__xludf.DUMMYFUNCTION("""COMPUTED_VALUE"""),"Leslile Jensen ")</f>
        <v>Leslile Jensen </v>
      </c>
      <c r="F76" s="3" t="str">
        <f>IFERROR(__xludf.DUMMYFUNCTION("""COMPUTED_VALUE"""),"lesarnjen@gmail.com")</f>
        <v>lesarnjen@gmail.com</v>
      </c>
      <c r="G76" s="3"/>
      <c r="H76" s="3"/>
    </row>
    <row r="77">
      <c r="A77" s="2">
        <f>IFERROR(__xludf.DUMMYFUNCTION("""COMPUTED_VALUE"""),10184.0)</f>
        <v>10184</v>
      </c>
      <c r="B77" s="3" t="str">
        <f>IFERROR(__xludf.DUMMYFUNCTION("""COMPUTED_VALUE"""),"3505 7TH LINE")</f>
        <v>3505 7TH LINE</v>
      </c>
      <c r="C77" s="3" t="str">
        <f>IFERROR(__xludf.DUMMYFUNCTION("""COMPUTED_VALUE"""),"PORT HOPE")</f>
        <v>PORT HOPE</v>
      </c>
      <c r="D77" s="3" t="str">
        <f>IFERROR(__xludf.DUMMYFUNCTION("""COMPUTED_VALUE"""),"L1A 3V5")</f>
        <v>L1A 3V5</v>
      </c>
      <c r="E77" s="3" t="str">
        <f>IFERROR(__xludf.DUMMYFUNCTION("""COMPUTED_VALUE"""),"Kevin Brady")</f>
        <v>Kevin Brady</v>
      </c>
      <c r="F77" s="3" t="str">
        <f>IFERROR(__xludf.DUMMYFUNCTION("""COMPUTED_VALUE"""),"kkbrady65@live.ca")</f>
        <v>kkbrady65@live.ca</v>
      </c>
      <c r="G77" s="3"/>
      <c r="H77" s="3"/>
    </row>
    <row r="78">
      <c r="A78" s="2">
        <f>IFERROR(__xludf.DUMMYFUNCTION("""COMPUTED_VALUE"""),10427.0)</f>
        <v>10427</v>
      </c>
      <c r="B78" s="3" t="str">
        <f>IFERROR(__xludf.DUMMYFUNCTION("""COMPUTED_VALUE"""),"3116 COUNTY RD 10")</f>
        <v>3116 COUNTY RD 10</v>
      </c>
      <c r="C78" s="3" t="str">
        <f>IFERROR(__xludf.DUMMYFUNCTION("""COMPUTED_VALUE"""),"PORT HOPE")</f>
        <v>PORT HOPE</v>
      </c>
      <c r="D78" s="3" t="str">
        <f>IFERROR(__xludf.DUMMYFUNCTION("""COMPUTED_VALUE"""),"L1A 3V5")</f>
        <v>L1A 3V5</v>
      </c>
      <c r="E78" s="3" t="str">
        <f>IFERROR(__xludf.DUMMYFUNCTION("""COMPUTED_VALUE"""),"ASTRIT DEMALIAJ")</f>
        <v>ASTRIT DEMALIAJ</v>
      </c>
      <c r="F78" s="3" t="str">
        <f>IFERROR(__xludf.DUMMYFUNCTION("""COMPUTED_VALUE"""),"astritdemaliaj@yahoo.com")</f>
        <v>astritdemaliaj@yahoo.com</v>
      </c>
      <c r="G78" s="3"/>
      <c r="H78" s="3"/>
    </row>
    <row r="79">
      <c r="A79" s="2">
        <f>IFERROR(__xludf.DUMMYFUNCTION("""COMPUTED_VALUE"""),10283.0)</f>
        <v>10283</v>
      </c>
      <c r="B79" s="3" t="str">
        <f>IFERROR(__xludf.DUMMYFUNCTION("""COMPUTED_VALUE"""),"7366 BEECH HILL RD")</f>
        <v>7366 BEECH HILL RD</v>
      </c>
      <c r="C79" s="3" t="str">
        <f>IFERROR(__xludf.DUMMYFUNCTION("""COMPUTED_VALUE"""),"CAMPBELLCROFT")</f>
        <v>CAMPBELLCROFT</v>
      </c>
      <c r="D79" s="3" t="str">
        <f>IFERROR(__xludf.DUMMYFUNCTION("""COMPUTED_VALUE"""),"L0A 1B0")</f>
        <v>L0A 1B0</v>
      </c>
      <c r="E79" s="3" t="str">
        <f>IFERROR(__xludf.DUMMYFUNCTION("""COMPUTED_VALUE"""),"John zealand ")</f>
        <v>John zealand </v>
      </c>
      <c r="F79" s="3" t="str">
        <f>IFERROR(__xludf.DUMMYFUNCTION("""COMPUTED_VALUE"""),"Johnzealand2@gmail.com")</f>
        <v>Johnzealand2@gmail.com</v>
      </c>
      <c r="G79" s="3"/>
      <c r="H79" s="3"/>
    </row>
    <row r="80">
      <c r="A80" s="2">
        <f>IFERROR(__xludf.DUMMYFUNCTION("""COMPUTED_VALUE"""),10108.0)</f>
        <v>10108</v>
      </c>
      <c r="B80" s="3" t="str">
        <f>IFERROR(__xludf.DUMMYFUNCTION("""COMPUTED_VALUE"""),"6250 5TH LINE")</f>
        <v>6250 5TH LINE</v>
      </c>
      <c r="C80" s="3" t="str">
        <f>IFERROR(__xludf.DUMMYFUNCTION("""COMPUTED_VALUE"""),"PORT HOPE")</f>
        <v>PORT HOPE</v>
      </c>
      <c r="D80" s="3" t="str">
        <f>IFERROR(__xludf.DUMMYFUNCTION("""COMPUTED_VALUE"""),"L1A 3V6")</f>
        <v>L1A 3V6</v>
      </c>
      <c r="E80" s="3"/>
      <c r="F80" s="3"/>
      <c r="G80" s="3"/>
      <c r="H80" s="3"/>
    </row>
    <row r="81">
      <c r="A81" s="2">
        <f>IFERROR(__xludf.DUMMYFUNCTION("""COMPUTED_VALUE"""),11516.0)</f>
        <v>11516</v>
      </c>
      <c r="B81" s="3" t="str">
        <f>IFERROR(__xludf.DUMMYFUNCTION("""COMPUTED_VALUE"""),"7777 WILSON LANE")</f>
        <v>7777 WILSON LANE</v>
      </c>
      <c r="C81" s="3" t="str">
        <f>IFERROR(__xludf.DUMMYFUNCTION("""COMPUTED_VALUE"""),"CAMPBELLCROFT")</f>
        <v>CAMPBELLCROFT</v>
      </c>
      <c r="D81" s="3" t="str">
        <f>IFERROR(__xludf.DUMMYFUNCTION("""COMPUTED_VALUE"""),"L0A 1B0")</f>
        <v>L0A 1B0</v>
      </c>
      <c r="E81" s="3" t="str">
        <f>IFERROR(__xludf.DUMMYFUNCTION("""COMPUTED_VALUE"""),"Catherine Wilson")</f>
        <v>Catherine Wilson</v>
      </c>
      <c r="F81" s="3" t="str">
        <f>IFERROR(__xludf.DUMMYFUNCTION("""COMPUTED_VALUE"""),"catwilson7777@gmail.com")</f>
        <v>catwilson7777@gmail.com</v>
      </c>
      <c r="G81" s="3"/>
      <c r="H81" s="3"/>
    </row>
    <row r="82">
      <c r="A82" s="2">
        <f>IFERROR(__xludf.DUMMYFUNCTION("""COMPUTED_VALUE"""),10930.0)</f>
        <v>10930</v>
      </c>
      <c r="B82" s="3" t="str">
        <f>IFERROR(__xludf.DUMMYFUNCTION("""COMPUTED_VALUE"""),"8210 HAMMILL RD")</f>
        <v>8210 HAMMILL RD</v>
      </c>
      <c r="C82" s="3" t="str">
        <f>IFERROR(__xludf.DUMMYFUNCTION("""COMPUTED_VALUE"""),"CAMPBELLCROFT")</f>
        <v>CAMPBELLCROFT</v>
      </c>
      <c r="D82" s="3" t="str">
        <f>IFERROR(__xludf.DUMMYFUNCTION("""COMPUTED_VALUE"""),"L0A 1B0")</f>
        <v>L0A 1B0</v>
      </c>
      <c r="E82" s="3" t="str">
        <f>IFERROR(__xludf.DUMMYFUNCTION("""COMPUTED_VALUE"""),"tj eilert")</f>
        <v>tj eilert</v>
      </c>
      <c r="F82" s="3"/>
      <c r="G82" s="3"/>
      <c r="H82" s="3"/>
    </row>
    <row r="83">
      <c r="A83" s="2">
        <f>IFERROR(__xludf.DUMMYFUNCTION("""COMPUTED_VALUE"""),10760.0)</f>
        <v>10760</v>
      </c>
      <c r="B83" s="3" t="str">
        <f>IFERROR(__xludf.DUMMYFUNCTION("""COMPUTED_VALUE"""),"8260 DEANS HILL RD")</f>
        <v>8260 DEANS HILL RD</v>
      </c>
      <c r="C83" s="3" t="str">
        <f>IFERROR(__xludf.DUMMYFUNCTION("""COMPUTED_VALUE"""),"CAMPBELLCROFT")</f>
        <v>CAMPBELLCROFT</v>
      </c>
      <c r="D83" s="3" t="str">
        <f>IFERROR(__xludf.DUMMYFUNCTION("""COMPUTED_VALUE"""),"L0A 1B0")</f>
        <v>L0A 1B0</v>
      </c>
      <c r="E83" s="3" t="str">
        <f>IFERROR(__xludf.DUMMYFUNCTION("""COMPUTED_VALUE"""),"Hugh Johnson")</f>
        <v>Hugh Johnson</v>
      </c>
      <c r="F83" s="3" t="str">
        <f>IFERROR(__xludf.DUMMYFUNCTION("""COMPUTED_VALUE"""),"hughyvonne@hotmail.com")</f>
        <v>hughyvonne@hotmail.com</v>
      </c>
      <c r="G83" s="3"/>
      <c r="H83" s="3"/>
    </row>
    <row r="84">
      <c r="A84" s="2">
        <f>IFERROR(__xludf.DUMMYFUNCTION("""COMPUTED_VALUE"""),10761.0)</f>
        <v>10761</v>
      </c>
      <c r="B84" s="3" t="str">
        <f>IFERROR(__xludf.DUMMYFUNCTION("""COMPUTED_VALUE"""),"8288 DEANS HILL RD")</f>
        <v>8288 DEANS HILL RD</v>
      </c>
      <c r="C84" s="3" t="str">
        <f>IFERROR(__xludf.DUMMYFUNCTION("""COMPUTED_VALUE"""),"CAMPBELLCROFT")</f>
        <v>CAMPBELLCROFT</v>
      </c>
      <c r="D84" s="3" t="str">
        <f>IFERROR(__xludf.DUMMYFUNCTION("""COMPUTED_VALUE"""),"L0A 1B0")</f>
        <v>L0A 1B0</v>
      </c>
      <c r="E84" s="3" t="str">
        <f>IFERROR(__xludf.DUMMYFUNCTION("""COMPUTED_VALUE"""),"helen lovigek")</f>
        <v>helen lovigek</v>
      </c>
      <c r="F84" s="3" t="str">
        <f>IFERROR(__xludf.DUMMYFUNCTION("""COMPUTED_VALUE"""),"toots160@sympatico.ca")</f>
        <v>toots160@sympatico.ca</v>
      </c>
      <c r="G84" s="3"/>
      <c r="H84" s="3"/>
    </row>
    <row r="85">
      <c r="A85" s="2">
        <f>IFERROR(__xludf.DUMMYFUNCTION("""COMPUTED_VALUE"""),10766.0)</f>
        <v>10766</v>
      </c>
      <c r="B85" s="3" t="str">
        <f>IFERROR(__xludf.DUMMYFUNCTION("""COMPUTED_VALUE"""),"8482 DEANS HILL RD")</f>
        <v>8482 DEANS HILL RD</v>
      </c>
      <c r="C85" s="3" t="str">
        <f>IFERROR(__xludf.DUMMYFUNCTION("""COMPUTED_VALUE"""),"CAMPBELLCROFT")</f>
        <v>CAMPBELLCROFT</v>
      </c>
      <c r="D85" s="3" t="str">
        <f>IFERROR(__xludf.DUMMYFUNCTION("""COMPUTED_VALUE"""),"L0A 1B0")</f>
        <v>L0A 1B0</v>
      </c>
      <c r="E85" s="3" t="str">
        <f>IFERROR(__xludf.DUMMYFUNCTION("""COMPUTED_VALUE"""),"Barbara &amp; Christopher Jones")</f>
        <v>Barbara &amp; Christopher Jones</v>
      </c>
      <c r="F85" s="3" t="str">
        <f>IFERROR(__xludf.DUMMYFUNCTION("""COMPUTED_VALUE"""),"christopheredward_jones@hotmail.com")</f>
        <v>christopheredward_jones@hotmail.com</v>
      </c>
      <c r="G85" s="3"/>
      <c r="H85" s="3"/>
    </row>
    <row r="86">
      <c r="A86" s="2">
        <f>IFERROR(__xludf.DUMMYFUNCTION("""COMPUTED_VALUE"""),10768.0)</f>
        <v>10768</v>
      </c>
      <c r="B86" s="3" t="str">
        <f>IFERROR(__xludf.DUMMYFUNCTION("""COMPUTED_VALUE"""),"8556 DEANS HILL RD")</f>
        <v>8556 DEANS HILL RD</v>
      </c>
      <c r="C86" s="3" t="str">
        <f>IFERROR(__xludf.DUMMYFUNCTION("""COMPUTED_VALUE"""),"CAMPBELLCROFT")</f>
        <v>CAMPBELLCROFT</v>
      </c>
      <c r="D86" s="3" t="str">
        <f>IFERROR(__xludf.DUMMYFUNCTION("""COMPUTED_VALUE"""),"L0A 1B0")</f>
        <v>L0A 1B0</v>
      </c>
      <c r="E86" s="3" t="str">
        <f>IFERROR(__xludf.DUMMYFUNCTION("""COMPUTED_VALUE"""),"ed brayley")</f>
        <v>ed brayley</v>
      </c>
      <c r="F86" s="3"/>
      <c r="G86" s="3"/>
      <c r="H86" s="3"/>
    </row>
    <row r="87">
      <c r="A87" s="2">
        <f>IFERROR(__xludf.DUMMYFUNCTION("""COMPUTED_VALUE"""),11291.0)</f>
        <v>11291</v>
      </c>
      <c r="B87" s="3" t="str">
        <f>IFERROR(__xludf.DUMMYFUNCTION("""COMPUTED_VALUE"""),"6742 OUGH'S RD")</f>
        <v>6742 OUGH'S RD</v>
      </c>
      <c r="C87" s="3" t="str">
        <f>IFERROR(__xludf.DUMMYFUNCTION("""COMPUTED_VALUE"""),"PORT HOPE")</f>
        <v>PORT HOPE</v>
      </c>
      <c r="D87" s="3" t="str">
        <f>IFERROR(__xludf.DUMMYFUNCTION("""COMPUTED_VALUE"""),"L1A 3V6")</f>
        <v>L1A 3V6</v>
      </c>
      <c r="E87" s="3"/>
      <c r="F87" s="3"/>
      <c r="G87" s="3"/>
      <c r="H87" s="3"/>
    </row>
    <row r="88">
      <c r="A88" s="2">
        <f>IFERROR(__xludf.DUMMYFUNCTION("""COMPUTED_VALUE"""),10086.0)</f>
        <v>10086</v>
      </c>
      <c r="B88" s="3" t="str">
        <f>IFERROR(__xludf.DUMMYFUNCTION("""COMPUTED_VALUE"""),"4853 5TH LINE")</f>
        <v>4853 5TH LINE</v>
      </c>
      <c r="C88" s="3" t="str">
        <f>IFERROR(__xludf.DUMMYFUNCTION("""COMPUTED_VALUE"""),"PORT HOPE")</f>
        <v>PORT HOPE</v>
      </c>
      <c r="D88" s="3" t="str">
        <f>IFERROR(__xludf.DUMMYFUNCTION("""COMPUTED_VALUE"""),"L1A 3V8")</f>
        <v>L1A 3V8</v>
      </c>
      <c r="E88" s="3" t="str">
        <f>IFERROR(__xludf.DUMMYFUNCTION("""COMPUTED_VALUE"""),"Caitlin McCormack")</f>
        <v>Caitlin McCormack</v>
      </c>
      <c r="F88" s="3" t="str">
        <f>IFERROR(__xludf.DUMMYFUNCTION("""COMPUTED_VALUE"""),"mccormack.caitlin@gmail.com")</f>
        <v>mccormack.caitlin@gmail.com</v>
      </c>
      <c r="G88" s="3"/>
      <c r="H88" s="3"/>
    </row>
    <row r="89">
      <c r="A89" s="2">
        <f>IFERROR(__xludf.DUMMYFUNCTION("""COMPUTED_VALUE"""),11292.0)</f>
        <v>11292</v>
      </c>
      <c r="B89" s="3" t="str">
        <f>IFERROR(__xludf.DUMMYFUNCTION("""COMPUTED_VALUE"""),"6758 OUGH'S RD")</f>
        <v>6758 OUGH'S RD</v>
      </c>
      <c r="C89" s="3" t="str">
        <f>IFERROR(__xludf.DUMMYFUNCTION("""COMPUTED_VALUE"""),"PORT HOPE")</f>
        <v>PORT HOPE</v>
      </c>
      <c r="D89" s="3" t="str">
        <f>IFERROR(__xludf.DUMMYFUNCTION("""COMPUTED_VALUE"""),"L1A 3V6")</f>
        <v>L1A 3V6</v>
      </c>
      <c r="E89" s="3"/>
      <c r="F89" s="3"/>
      <c r="G89" s="3"/>
      <c r="H89" s="3"/>
    </row>
    <row r="90">
      <c r="A90" s="2">
        <f>IFERROR(__xludf.DUMMYFUNCTION("""COMPUTED_VALUE"""),11634.0)</f>
        <v>11634</v>
      </c>
      <c r="B90" s="3" t="str">
        <f>IFERROR(__xludf.DUMMYFUNCTION("""COMPUTED_VALUE"""),"5095 5TH LINE UNIT B")</f>
        <v>5095 5TH LINE UNIT B</v>
      </c>
      <c r="C90" s="3" t="str">
        <f>IFERROR(__xludf.DUMMYFUNCTION("""COMPUTED_VALUE"""),"PORT HOPE")</f>
        <v>PORT HOPE</v>
      </c>
      <c r="D90" s="3" t="str">
        <f>IFERROR(__xludf.DUMMYFUNCTION("""COMPUTED_VALUE"""),"L1A 3V6")</f>
        <v>L1A 3V6</v>
      </c>
      <c r="E90" s="3" t="str">
        <f>IFERROR(__xludf.DUMMYFUNCTION("""COMPUTED_VALUE"""),"Cheryl Fulford")</f>
        <v>Cheryl Fulford</v>
      </c>
      <c r="F90" s="3" t="str">
        <f>IFERROR(__xludf.DUMMYFUNCTION("""COMPUTED_VALUE"""),"cherylfulford@gmail.com")</f>
        <v>cherylfulford@gmail.com</v>
      </c>
      <c r="G90" s="3"/>
      <c r="H90" s="3"/>
    </row>
    <row r="91">
      <c r="A91" s="2">
        <f>IFERROR(__xludf.DUMMYFUNCTION("""COMPUTED_VALUE"""),10095.0)</f>
        <v>10095</v>
      </c>
      <c r="B91" s="3" t="str">
        <f>IFERROR(__xludf.DUMMYFUNCTION("""COMPUTED_VALUE"""),"5565 5TH LINE")</f>
        <v>5565 5TH LINE</v>
      </c>
      <c r="C91" s="3" t="str">
        <f>IFERROR(__xludf.DUMMYFUNCTION("""COMPUTED_VALUE"""),"PORT HOPE")</f>
        <v>PORT HOPE</v>
      </c>
      <c r="D91" s="3" t="str">
        <f>IFERROR(__xludf.DUMMYFUNCTION("""COMPUTED_VALUE"""),"L1A 3V6")</f>
        <v>L1A 3V6</v>
      </c>
      <c r="E91" s="3" t="str">
        <f>IFERROR(__xludf.DUMMYFUNCTION("""COMPUTED_VALUE"""),"BEV GAUTHIER (old owner: Ashleigh Corvers)")</f>
        <v>BEV GAUTHIER (old owner: Ashleigh Corvers)</v>
      </c>
      <c r="F91" s="3" t="str">
        <f>IFERROR(__xludf.DUMMYFUNCTION("""COMPUTED_VALUE"""),"bevgauthier63@gmail.com (ashleighmilne7@gmail.com)")</f>
        <v>bevgauthier63@gmail.com (ashleighmilne7@gmail.com)</v>
      </c>
      <c r="G91" s="3"/>
      <c r="H91" s="3"/>
    </row>
    <row r="92">
      <c r="A92" s="2">
        <f>IFERROR(__xludf.DUMMYFUNCTION("""COMPUTED_VALUE"""),11293.0)</f>
        <v>11293</v>
      </c>
      <c r="B92" s="3" t="str">
        <f>IFERROR(__xludf.DUMMYFUNCTION("""COMPUTED_VALUE"""),"6782 OUGH'S RD")</f>
        <v>6782 OUGH'S RD</v>
      </c>
      <c r="C92" s="3" t="str">
        <f>IFERROR(__xludf.DUMMYFUNCTION("""COMPUTED_VALUE"""),"PORT HOPE")</f>
        <v>PORT HOPE</v>
      </c>
      <c r="D92" s="3" t="str">
        <f>IFERROR(__xludf.DUMMYFUNCTION("""COMPUTED_VALUE"""),"L1A 3V6")</f>
        <v>L1A 3V6</v>
      </c>
      <c r="E92" s="3"/>
      <c r="F92" s="3"/>
      <c r="G92" s="3"/>
      <c r="H92" s="3"/>
    </row>
    <row r="93">
      <c r="A93" s="2">
        <f>IFERROR(__xludf.DUMMYFUNCTION("""COMPUTED_VALUE"""),10096.0)</f>
        <v>10096</v>
      </c>
      <c r="B93" s="3" t="str">
        <f>IFERROR(__xludf.DUMMYFUNCTION("""COMPUTED_VALUE"""),"5583 5TH LINE")</f>
        <v>5583 5TH LINE</v>
      </c>
      <c r="C93" s="3" t="str">
        <f>IFERROR(__xludf.DUMMYFUNCTION("""COMPUTED_VALUE"""),"PORT HOPE")</f>
        <v>PORT HOPE</v>
      </c>
      <c r="D93" s="3" t="str">
        <f>IFERROR(__xludf.DUMMYFUNCTION("""COMPUTED_VALUE"""),"L1A 3V6")</f>
        <v>L1A 3V6</v>
      </c>
      <c r="E93" s="3" t="str">
        <f>IFERROR(__xludf.DUMMYFUNCTION("""COMPUTED_VALUE"""),"Nigel Radley")</f>
        <v>Nigel Radley</v>
      </c>
      <c r="F93" s="3" t="str">
        <f>IFERROR(__xludf.DUMMYFUNCTION("""COMPUTED_VALUE"""),"nradley4@gmail.com")</f>
        <v>nradley4@gmail.com</v>
      </c>
      <c r="G93" s="3"/>
      <c r="H93" s="3"/>
    </row>
    <row r="94">
      <c r="A94" s="2">
        <f>IFERROR(__xludf.DUMMYFUNCTION("""COMPUTED_VALUE"""),10753.0)</f>
        <v>10753</v>
      </c>
      <c r="B94" s="3" t="str">
        <f>IFERROR(__xludf.DUMMYFUNCTION("""COMPUTED_VALUE"""),"6829 DALE RD")</f>
        <v>6829 DALE RD</v>
      </c>
      <c r="C94" s="3" t="str">
        <f>IFERROR(__xludf.DUMMYFUNCTION("""COMPUTED_VALUE"""),"PORT HOPE")</f>
        <v>PORT HOPE</v>
      </c>
      <c r="D94" s="3" t="str">
        <f>IFERROR(__xludf.DUMMYFUNCTION("""COMPUTED_VALUE"""),"L1A 3V6")</f>
        <v>L1A 3V6</v>
      </c>
      <c r="E94" s="3"/>
      <c r="F94" s="3"/>
      <c r="G94" s="3"/>
      <c r="H94" s="3"/>
    </row>
    <row r="95">
      <c r="A95" s="2">
        <f>IFERROR(__xludf.DUMMYFUNCTION("""COMPUTED_VALUE"""),10754.0)</f>
        <v>10754</v>
      </c>
      <c r="B95" s="3" t="str">
        <f>IFERROR(__xludf.DUMMYFUNCTION("""COMPUTED_VALUE"""),"6857 DALE RD")</f>
        <v>6857 DALE RD</v>
      </c>
      <c r="C95" s="3" t="str">
        <f>IFERROR(__xludf.DUMMYFUNCTION("""COMPUTED_VALUE"""),"PORT HOPE")</f>
        <v>PORT HOPE</v>
      </c>
      <c r="D95" s="3" t="str">
        <f>IFERROR(__xludf.DUMMYFUNCTION("""COMPUTED_VALUE"""),"L1A 3V6")</f>
        <v>L1A 3V6</v>
      </c>
      <c r="E95" s="3"/>
      <c r="F95" s="3"/>
      <c r="G95" s="3"/>
      <c r="H95" s="3"/>
    </row>
    <row r="96">
      <c r="A96" s="2">
        <f>IFERROR(__xludf.DUMMYFUNCTION("""COMPUTED_VALUE"""),10102.0)</f>
        <v>10102</v>
      </c>
      <c r="B96" s="3" t="str">
        <f>IFERROR(__xludf.DUMMYFUNCTION("""COMPUTED_VALUE"""),"5831 5TH LINE")</f>
        <v>5831 5TH LINE</v>
      </c>
      <c r="C96" s="3" t="str">
        <f>IFERROR(__xludf.DUMMYFUNCTION("""COMPUTED_VALUE"""),"PORT HOPE")</f>
        <v>PORT HOPE</v>
      </c>
      <c r="D96" s="3" t="str">
        <f>IFERROR(__xludf.DUMMYFUNCTION("""COMPUTED_VALUE"""),"L1A 3V6")</f>
        <v>L1A 3V6</v>
      </c>
      <c r="E96" s="3" t="str">
        <f>IFERROR(__xludf.DUMMYFUNCTION("""COMPUTED_VALUE"""),"Peter Gabany")</f>
        <v>Peter Gabany</v>
      </c>
      <c r="F96" s="3" t="str">
        <f>IFERROR(__xludf.DUMMYFUNCTION("""COMPUTED_VALUE"""),"peter@limelight.org")</f>
        <v>peter@limelight.org</v>
      </c>
      <c r="G96" s="3"/>
      <c r="H96" s="3"/>
    </row>
    <row r="97">
      <c r="A97" s="2">
        <f>IFERROR(__xludf.DUMMYFUNCTION("""COMPUTED_VALUE"""),10106.0)</f>
        <v>10106</v>
      </c>
      <c r="B97" s="3" t="str">
        <f>IFERROR(__xludf.DUMMYFUNCTION("""COMPUTED_VALUE"""),"6219 5TH LINE")</f>
        <v>6219 5TH LINE</v>
      </c>
      <c r="C97" s="3" t="str">
        <f>IFERROR(__xludf.DUMMYFUNCTION("""COMPUTED_VALUE"""),"PORT HOPE")</f>
        <v>PORT HOPE</v>
      </c>
      <c r="D97" s="3" t="str">
        <f>IFERROR(__xludf.DUMMYFUNCTION("""COMPUTED_VALUE"""),"L1A 3V6")</f>
        <v>L1A 3V6</v>
      </c>
      <c r="E97" s="3" t="str">
        <f>IFERROR(__xludf.DUMMYFUNCTION("""COMPUTED_VALUE"""),"Nicolett Jakab")</f>
        <v>Nicolett Jakab</v>
      </c>
      <c r="F97" s="3" t="str">
        <f>IFERROR(__xludf.DUMMYFUNCTION("""COMPUTED_VALUE"""),"nicolettjakab@hotmail.com")</f>
        <v>nicolettjakab@hotmail.com</v>
      </c>
      <c r="G97" s="3"/>
      <c r="H97" s="3"/>
    </row>
    <row r="98">
      <c r="A98" s="2">
        <f>IFERROR(__xludf.DUMMYFUNCTION("""COMPUTED_VALUE"""),11611.0)</f>
        <v>11611</v>
      </c>
      <c r="B98" s="3" t="str">
        <f>IFERROR(__xludf.DUMMYFUNCTION("""COMPUTED_VALUE"""),"6425 5TH LINE")</f>
        <v>6425 5TH LINE</v>
      </c>
      <c r="C98" s="3" t="str">
        <f>IFERROR(__xludf.DUMMYFUNCTION("""COMPUTED_VALUE"""),"PORT HOPE")</f>
        <v>PORT HOPE</v>
      </c>
      <c r="D98" s="3" t="str">
        <f>IFERROR(__xludf.DUMMYFUNCTION("""COMPUTED_VALUE"""),"L1A 3V6")</f>
        <v>L1A 3V6</v>
      </c>
      <c r="E98" s="3" t="str">
        <f>IFERROR(__xludf.DUMMYFUNCTION("""COMPUTED_VALUE"""),"Jarrod Whyte")</f>
        <v>Jarrod Whyte</v>
      </c>
      <c r="F98" s="3" t="str">
        <f>IFERROR(__xludf.DUMMYFUNCTION("""COMPUTED_VALUE"""),"jarrodwhyte@icloud.com")</f>
        <v>jarrodwhyte@icloud.com</v>
      </c>
      <c r="G98" s="3"/>
      <c r="H98" s="3"/>
    </row>
    <row r="99">
      <c r="A99" s="2">
        <f>IFERROR(__xludf.DUMMYFUNCTION("""COMPUTED_VALUE"""),11498.0)</f>
        <v>11498</v>
      </c>
      <c r="B99" s="3" t="str">
        <f>IFERROR(__xludf.DUMMYFUNCTION("""COMPUTED_VALUE"""),"5723 WESTVIEW PK")</f>
        <v>5723 WESTVIEW PK</v>
      </c>
      <c r="C99" s="3" t="str">
        <f>IFERROR(__xludf.DUMMYFUNCTION("""COMPUTED_VALUE"""),"PORT HOPE")</f>
        <v>PORT HOPE</v>
      </c>
      <c r="D99" s="3" t="str">
        <f>IFERROR(__xludf.DUMMYFUNCTION("""COMPUTED_VALUE"""),"L1A 3V8")</f>
        <v>L1A 3V8</v>
      </c>
      <c r="E99" s="3" t="str">
        <f>IFERROR(__xludf.DUMMYFUNCTION("""COMPUTED_VALUE"""),"Michael Giannini ")</f>
        <v>Michael Giannini </v>
      </c>
      <c r="F99" s="3" t="str">
        <f>IFERROR(__xludf.DUMMYFUNCTION("""COMPUTED_VALUE"""),"megsixfive@gmail.com")</f>
        <v>megsixfive@gmail.com</v>
      </c>
      <c r="G99" s="3"/>
      <c r="H99" s="3"/>
    </row>
    <row r="100">
      <c r="A100" s="2">
        <f>IFERROR(__xludf.DUMMYFUNCTION("""COMPUTED_VALUE"""),10195.0)</f>
        <v>10195</v>
      </c>
      <c r="B100" s="3" t="str">
        <f>IFERROR(__xludf.DUMMYFUNCTION("""COMPUTED_VALUE"""),"4592 7TH LINE")</f>
        <v>4592 7TH LINE</v>
      </c>
      <c r="C100" s="3" t="str">
        <f>IFERROR(__xludf.DUMMYFUNCTION("""COMPUTED_VALUE"""),"PORT HOPE")</f>
        <v>PORT HOPE</v>
      </c>
      <c r="D100" s="3" t="str">
        <f>IFERROR(__xludf.DUMMYFUNCTION("""COMPUTED_VALUE"""),"L1A 3V5")</f>
        <v>L1A 3V5</v>
      </c>
      <c r="E100" s="3" t="str">
        <f>IFERROR(__xludf.DUMMYFUNCTION("""COMPUTED_VALUE"""),"Sarah Hickman Rappl")</f>
        <v>Sarah Hickman Rappl</v>
      </c>
      <c r="F100" s="3" t="str">
        <f>IFERROR(__xludf.DUMMYFUNCTION("""COMPUTED_VALUE"""),"sarahhickmanrappl@gmail.com")</f>
        <v>sarahhickmanrappl@gmail.com</v>
      </c>
      <c r="G100" s="3"/>
      <c r="H100" s="3"/>
    </row>
    <row r="101">
      <c r="A101" s="2">
        <f>IFERROR(__xludf.DUMMYFUNCTION("""COMPUTED_VALUE"""),10198.0)</f>
        <v>10198</v>
      </c>
      <c r="B101" s="3" t="str">
        <f>IFERROR(__xludf.DUMMYFUNCTION("""COMPUTED_VALUE"""),"4918 7TH LINE")</f>
        <v>4918 7TH LINE</v>
      </c>
      <c r="C101" s="3" t="str">
        <f>IFERROR(__xludf.DUMMYFUNCTION("""COMPUTED_VALUE"""),"PORT HOPE")</f>
        <v>PORT HOPE</v>
      </c>
      <c r="D101" s="3" t="str">
        <f>IFERROR(__xludf.DUMMYFUNCTION("""COMPUTED_VALUE"""),"L1A 3V5")</f>
        <v>L1A 3V5</v>
      </c>
      <c r="E101" s="3" t="str">
        <f>IFERROR(__xludf.DUMMYFUNCTION("""COMPUTED_VALUE"""),"Paul Brydson")</f>
        <v>Paul Brydson</v>
      </c>
      <c r="F101" s="3" t="str">
        <f>IFERROR(__xludf.DUMMYFUNCTION("""COMPUTED_VALUE"""),"paulbrydson@hotmail.com")</f>
        <v>paulbrydson@hotmail.com</v>
      </c>
      <c r="G101" s="3"/>
      <c r="H101" s="3"/>
    </row>
    <row r="102">
      <c r="A102" s="2">
        <f>IFERROR(__xludf.DUMMYFUNCTION("""COMPUTED_VALUE"""),10223.0)</f>
        <v>10223</v>
      </c>
      <c r="B102" s="3" t="str">
        <f>IFERROR(__xludf.DUMMYFUNCTION("""COMPUTED_VALUE"""),"6990 7TH LINE")</f>
        <v>6990 7TH LINE</v>
      </c>
      <c r="C102" s="3" t="str">
        <f>IFERROR(__xludf.DUMMYFUNCTION("""COMPUTED_VALUE"""),"CAMPBELLCROFT")</f>
        <v>CAMPBELLCROFT</v>
      </c>
      <c r="D102" s="3" t="str">
        <f>IFERROR(__xludf.DUMMYFUNCTION("""COMPUTED_VALUE"""),"L0A 1B0")</f>
        <v>L0A 1B0</v>
      </c>
      <c r="E102" s="3" t="str">
        <f>IFERROR(__xludf.DUMMYFUNCTION("""COMPUTED_VALUE"""),"Gerald Stedman")</f>
        <v>Gerald Stedman</v>
      </c>
      <c r="F102" s="3" t="str">
        <f>IFERROR(__xludf.DUMMYFUNCTION("""COMPUTED_VALUE"""),"gpsted@hotmail.com")</f>
        <v>gpsted@hotmail.com</v>
      </c>
      <c r="G102" s="3"/>
      <c r="H102" s="3"/>
    </row>
    <row r="103">
      <c r="A103" s="2">
        <f>IFERROR(__xludf.DUMMYFUNCTION("""COMPUTED_VALUE"""),10226.0)</f>
        <v>10226</v>
      </c>
      <c r="B103" s="3" t="str">
        <f>IFERROR(__xludf.DUMMYFUNCTION("""COMPUTED_VALUE"""),"6998 7TH LINE")</f>
        <v>6998 7TH LINE</v>
      </c>
      <c r="C103" s="3" t="str">
        <f>IFERROR(__xludf.DUMMYFUNCTION("""COMPUTED_VALUE"""),"CAMPBELLCROFT")</f>
        <v>CAMPBELLCROFT</v>
      </c>
      <c r="D103" s="3" t="str">
        <f>IFERROR(__xludf.DUMMYFUNCTION("""COMPUTED_VALUE"""),"L0A 1B0")</f>
        <v>L0A 1B0</v>
      </c>
      <c r="E103" s="3" t="str">
        <f>IFERROR(__xludf.DUMMYFUNCTION("""COMPUTED_VALUE"""),"Adam Jankowski")</f>
        <v>Adam Jankowski</v>
      </c>
      <c r="F103" s="3" t="str">
        <f>IFERROR(__xludf.DUMMYFUNCTION("""COMPUTED_VALUE"""),"adam.jankowski@live,ca")</f>
        <v>adam.jankowski@live,ca</v>
      </c>
      <c r="G103" s="3"/>
      <c r="H103" s="3"/>
    </row>
    <row r="104">
      <c r="A104" s="2">
        <f>IFERROR(__xludf.DUMMYFUNCTION("""COMPUTED_VALUE"""),10993.0)</f>
        <v>10993</v>
      </c>
      <c r="B104" s="3" t="str">
        <f>IFERROR(__xludf.DUMMYFUNCTION("""COMPUTED_VALUE"""),"9065 HONEY RD")</f>
        <v>9065 HONEY RD</v>
      </c>
      <c r="C104" s="3" t="str">
        <f>IFERROR(__xludf.DUMMYFUNCTION("""COMPUTED_VALUE"""),"BAILIEBORO")</f>
        <v>BAILIEBORO</v>
      </c>
      <c r="D104" s="3" t="str">
        <f>IFERROR(__xludf.DUMMYFUNCTION("""COMPUTED_VALUE"""),"K0L 1B0")</f>
        <v>K0L 1B0</v>
      </c>
      <c r="E104" s="3" t="str">
        <f>IFERROR(__xludf.DUMMYFUNCTION("""COMPUTED_VALUE"""),"Brenda Seeney")</f>
        <v>Brenda Seeney</v>
      </c>
      <c r="F104" s="3"/>
      <c r="G104" s="3"/>
      <c r="H104" s="3"/>
    </row>
    <row r="105">
      <c r="A105" s="2">
        <f>IFERROR(__xludf.DUMMYFUNCTION("""COMPUTED_VALUE"""),11549.0)</f>
        <v>11549</v>
      </c>
      <c r="B105" s="3" t="str">
        <f>IFERROR(__xludf.DUMMYFUNCTION("""COMPUTED_VALUE"""),"9344 WOODVALE SCHOOL RD")</f>
        <v>9344 WOODVALE SCHOOL RD</v>
      </c>
      <c r="C105" s="3" t="str">
        <f>IFERROR(__xludf.DUMMYFUNCTION("""COMPUTED_VALUE"""),"BAILIEBORO")</f>
        <v>BAILIEBORO</v>
      </c>
      <c r="D105" s="3" t="str">
        <f>IFERROR(__xludf.DUMMYFUNCTION("""COMPUTED_VALUE"""),"K0L 1B0")</f>
        <v>K0L 1B0</v>
      </c>
      <c r="E105" s="3" t="str">
        <f>IFERROR(__xludf.DUMMYFUNCTION("""COMPUTED_VALUE"""),"kim stewart")</f>
        <v>kim stewart</v>
      </c>
      <c r="F105" s="3" t="str">
        <f>IFERROR(__xludf.DUMMYFUNCTION("""COMPUTED_VALUE"""),"kimberly-stewart85@icloud.com")</f>
        <v>kimberly-stewart85@icloud.com</v>
      </c>
      <c r="G105" s="3"/>
      <c r="H105" s="3"/>
    </row>
    <row r="106">
      <c r="A106" s="2">
        <f>IFERROR(__xludf.DUMMYFUNCTION("""COMPUTED_VALUE"""),11550.0)</f>
        <v>11550</v>
      </c>
      <c r="B106" s="3" t="str">
        <f>IFERROR(__xludf.DUMMYFUNCTION("""COMPUTED_VALUE"""),"9406 WOODVALE SCHOOL RD")</f>
        <v>9406 WOODVALE SCHOOL RD</v>
      </c>
      <c r="C106" s="3" t="str">
        <f>IFERROR(__xludf.DUMMYFUNCTION("""COMPUTED_VALUE"""),"BAILIEBORO")</f>
        <v>BAILIEBORO</v>
      </c>
      <c r="D106" s="3" t="str">
        <f>IFERROR(__xludf.DUMMYFUNCTION("""COMPUTED_VALUE"""),"K0L 1B0")</f>
        <v>K0L 1B0</v>
      </c>
      <c r="E106" s="3" t="str">
        <f>IFERROR(__xludf.DUMMYFUNCTION("""COMPUTED_VALUE"""),"Bruno pencils")</f>
        <v>Bruno pencils</v>
      </c>
      <c r="F106" s="3" t="str">
        <f>IFERROR(__xludf.DUMMYFUNCTION("""COMPUTED_VALUE"""),"pecilebruno@gmail.com")</f>
        <v>pecilebruno@gmail.com</v>
      </c>
      <c r="G106" s="3"/>
      <c r="H106" s="3"/>
    </row>
    <row r="107">
      <c r="A107" s="2">
        <f>IFERROR(__xludf.DUMMYFUNCTION("""COMPUTED_VALUE"""),11288.0)</f>
        <v>11288</v>
      </c>
      <c r="B107" s="3" t="str">
        <f>IFERROR(__xludf.DUMMYFUNCTION("""COMPUTED_VALUE"""),"6602 OUGH'S RD")</f>
        <v>6602 OUGH'S RD</v>
      </c>
      <c r="C107" s="3" t="str">
        <f>IFERROR(__xludf.DUMMYFUNCTION("""COMPUTED_VALUE"""),"PORT HOPE")</f>
        <v>PORT HOPE</v>
      </c>
      <c r="D107" s="3" t="str">
        <f>IFERROR(__xludf.DUMMYFUNCTION("""COMPUTED_VALUE"""),"L1A 3V6")</f>
        <v>L1A 3V6</v>
      </c>
      <c r="E107" s="3" t="str">
        <f>IFERROR(__xludf.DUMMYFUNCTION("""COMPUTED_VALUE"""),"james margeson")</f>
        <v>james margeson</v>
      </c>
      <c r="F107" s="3" t="str">
        <f>IFERROR(__xludf.DUMMYFUNCTION("""COMPUTED_VALUE"""),"margesonjames@gmail.com")</f>
        <v>margesonjames@gmail.com</v>
      </c>
      <c r="G107" s="3"/>
      <c r="H107" s="3"/>
    </row>
    <row r="108">
      <c r="A108" s="2">
        <f>IFERROR(__xludf.DUMMYFUNCTION("""COMPUTED_VALUE"""),11289.0)</f>
        <v>11289</v>
      </c>
      <c r="B108" s="3" t="str">
        <f>IFERROR(__xludf.DUMMYFUNCTION("""COMPUTED_VALUE"""),"6712 OUGH'S RD")</f>
        <v>6712 OUGH'S RD</v>
      </c>
      <c r="C108" s="3" t="str">
        <f>IFERROR(__xludf.DUMMYFUNCTION("""COMPUTED_VALUE"""),"PORT HOPE")</f>
        <v>PORT HOPE</v>
      </c>
      <c r="D108" s="3" t="str">
        <f>IFERROR(__xludf.DUMMYFUNCTION("""COMPUTED_VALUE"""),"L1A 3V6")</f>
        <v>L1A 3V6</v>
      </c>
      <c r="E108" s="3" t="str">
        <f>IFERROR(__xludf.DUMMYFUNCTION("""COMPUTED_VALUE"""),"Matt Hanter")</f>
        <v>Matt Hanter</v>
      </c>
      <c r="F108" s="3" t="str">
        <f>IFERROR(__xludf.DUMMYFUNCTION("""COMPUTED_VALUE"""),"mhuntssa@hotmail.com")</f>
        <v>mhuntssa@hotmail.com</v>
      </c>
      <c r="G108" s="3"/>
      <c r="H108" s="3"/>
    </row>
    <row r="109">
      <c r="A109" s="2">
        <f>IFERROR(__xludf.DUMMYFUNCTION("""COMPUTED_VALUE"""),11290.0)</f>
        <v>11290</v>
      </c>
      <c r="B109" s="3" t="str">
        <f>IFERROR(__xludf.DUMMYFUNCTION("""COMPUTED_VALUE"""),"6724 OUGH'S RD")</f>
        <v>6724 OUGH'S RD</v>
      </c>
      <c r="C109" s="3" t="str">
        <f>IFERROR(__xludf.DUMMYFUNCTION("""COMPUTED_VALUE"""),"PORT HOPE")</f>
        <v>PORT HOPE</v>
      </c>
      <c r="D109" s="3" t="str">
        <f>IFERROR(__xludf.DUMMYFUNCTION("""COMPUTED_VALUE"""),"L1A 3V6")</f>
        <v>L1A 3V6</v>
      </c>
      <c r="E109" s="3" t="str">
        <f>IFERROR(__xludf.DUMMYFUNCTION("""COMPUTED_VALUE"""),"Scott Byers")</f>
        <v>Scott Byers</v>
      </c>
      <c r="F109" s="3" t="str">
        <f>IFERROR(__xludf.DUMMYFUNCTION("""COMPUTED_VALUE"""),"scottbyersmail@gmail.com")</f>
        <v>scottbyersmail@gmail.com</v>
      </c>
      <c r="G109" s="3"/>
      <c r="H109" s="3"/>
    </row>
    <row r="110">
      <c r="A110" s="2">
        <f>IFERROR(__xludf.DUMMYFUNCTION("""COMPUTED_VALUE"""),10762.0)</f>
        <v>10762</v>
      </c>
      <c r="B110" s="3" t="str">
        <f>IFERROR(__xludf.DUMMYFUNCTION("""COMPUTED_VALUE"""),"8352 DEANS HILL RD")</f>
        <v>8352 DEANS HILL RD</v>
      </c>
      <c r="C110" s="3" t="str">
        <f>IFERROR(__xludf.DUMMYFUNCTION("""COMPUTED_VALUE"""),"CAMPBELLCROFT")</f>
        <v>CAMPBELLCROFT</v>
      </c>
      <c r="D110" s="3" t="str">
        <f>IFERROR(__xludf.DUMMYFUNCTION("""COMPUTED_VALUE"""),"L0A 1B0")</f>
        <v>L0A 1B0</v>
      </c>
      <c r="E110" s="3"/>
      <c r="F110" s="3"/>
      <c r="G110" s="3"/>
      <c r="H110" s="3"/>
    </row>
    <row r="111">
      <c r="A111" s="2">
        <f>IFERROR(__xludf.DUMMYFUNCTION("""COMPUTED_VALUE"""),11294.0)</f>
        <v>11294</v>
      </c>
      <c r="B111" s="3" t="str">
        <f>IFERROR(__xludf.DUMMYFUNCTION("""COMPUTED_VALUE"""),"6792 OUGH'S RD")</f>
        <v>6792 OUGH'S RD</v>
      </c>
      <c r="C111" s="3" t="str">
        <f>IFERROR(__xludf.DUMMYFUNCTION("""COMPUTED_VALUE"""),"PORT HOPE")</f>
        <v>PORT HOPE</v>
      </c>
      <c r="D111" s="3" t="str">
        <f>IFERROR(__xludf.DUMMYFUNCTION("""COMPUTED_VALUE"""),"L1A 3V6")</f>
        <v>L1A 3V6</v>
      </c>
      <c r="E111" s="3" t="str">
        <f>IFERROR(__xludf.DUMMYFUNCTION("""COMPUTED_VALUE"""),"Lisa stapleton")</f>
        <v>Lisa stapleton</v>
      </c>
      <c r="F111" s="3" t="str">
        <f>IFERROR(__xludf.DUMMYFUNCTION("""COMPUTED_VALUE"""),"lisa-stapleton@hotmail.com")</f>
        <v>lisa-stapleton@hotmail.com</v>
      </c>
      <c r="G111" s="3"/>
      <c r="H111" s="3"/>
    </row>
    <row r="112">
      <c r="A112" s="2">
        <f>IFERROR(__xludf.DUMMYFUNCTION("""COMPUTED_VALUE"""),11633.0)</f>
        <v>11633</v>
      </c>
      <c r="B112" s="3" t="str">
        <f>IFERROR(__xludf.DUMMYFUNCTION("""COMPUTED_VALUE"""),"4801 DODD'S RD Unit B")</f>
        <v>4801 DODD'S RD Unit B</v>
      </c>
      <c r="C112" s="3" t="str">
        <f>IFERROR(__xludf.DUMMYFUNCTION("""COMPUTED_VALUE"""),"PORT HOPE")</f>
        <v>PORT HOPE</v>
      </c>
      <c r="D112" s="3" t="str">
        <f>IFERROR(__xludf.DUMMYFUNCTION("""COMPUTED_VALUE"""),"L1A 3V5")</f>
        <v>L1A 3V5</v>
      </c>
      <c r="E112" s="3" t="str">
        <f>IFERROR(__xludf.DUMMYFUNCTION("""COMPUTED_VALUE"""),"Robert Matte")</f>
        <v>Robert Matte</v>
      </c>
      <c r="F112" s="3" t="str">
        <f>IFERROR(__xludf.DUMMYFUNCTION("""COMPUTED_VALUE"""),"fspc1@xplornet.com")</f>
        <v>fspc1@xplornet.com</v>
      </c>
      <c r="G112" s="3"/>
      <c r="H112" s="3"/>
    </row>
    <row r="113">
      <c r="A113" s="2">
        <f>IFERROR(__xludf.DUMMYFUNCTION("""COMPUTED_VALUE"""),10802.0)</f>
        <v>10802</v>
      </c>
      <c r="B113" s="3" t="str">
        <f>IFERROR(__xludf.DUMMYFUNCTION("""COMPUTED_VALUE"""),"4851 DODD'S RD")</f>
        <v>4851 DODD'S RD</v>
      </c>
      <c r="C113" s="3" t="str">
        <f>IFERROR(__xludf.DUMMYFUNCTION("""COMPUTED_VALUE"""),"PORT HOPE")</f>
        <v>PORT HOPE</v>
      </c>
      <c r="D113" s="3" t="str">
        <f>IFERROR(__xludf.DUMMYFUNCTION("""COMPUTED_VALUE"""),"L1A 3V5")</f>
        <v>L1A 3V5</v>
      </c>
      <c r="E113" s="3" t="str">
        <f>IFERROR(__xludf.DUMMYFUNCTION("""COMPUTED_VALUE"""),"Ernest &amp; Ellen Schouwerwou")</f>
        <v>Ernest &amp; Ellen Schouwerwou</v>
      </c>
      <c r="F113" s="3" t="str">
        <f>IFERROR(__xludf.DUMMYFUNCTION("""COMPUTED_VALUE"""),"ernschou@gmail.com")</f>
        <v>ernschou@gmail.com</v>
      </c>
      <c r="G113" s="3"/>
      <c r="H113" s="3"/>
    </row>
    <row r="114">
      <c r="A114" s="2">
        <f>IFERROR(__xludf.DUMMYFUNCTION("""COMPUTED_VALUE"""),10803.0)</f>
        <v>10803</v>
      </c>
      <c r="B114" s="3" t="str">
        <f>IFERROR(__xludf.DUMMYFUNCTION("""COMPUTED_VALUE"""),"4900 DODD'S RD")</f>
        <v>4900 DODD'S RD</v>
      </c>
      <c r="C114" s="3" t="str">
        <f>IFERROR(__xludf.DUMMYFUNCTION("""COMPUTED_VALUE"""),"PORT HOPE")</f>
        <v>PORT HOPE</v>
      </c>
      <c r="D114" s="3" t="str">
        <f>IFERROR(__xludf.DUMMYFUNCTION("""COMPUTED_VALUE"""),"L1A 3V5")</f>
        <v>L1A 3V5</v>
      </c>
      <c r="E114" s="3" t="str">
        <f>IFERROR(__xludf.DUMMYFUNCTION("""COMPUTED_VALUE"""),"Georges Foliot")</f>
        <v>Georges Foliot</v>
      </c>
      <c r="F114" s="3" t="str">
        <f>IFERROR(__xludf.DUMMYFUNCTION("""COMPUTED_VALUE"""),"gfideas@gmail.com")</f>
        <v>gfideas@gmail.com</v>
      </c>
      <c r="G114" s="3"/>
      <c r="H114" s="3"/>
    </row>
    <row r="115">
      <c r="A115" s="2">
        <f>IFERROR(__xludf.DUMMYFUNCTION("""COMPUTED_VALUE"""),11020.0)</f>
        <v>11020</v>
      </c>
      <c r="B115" s="3" t="str">
        <f>IFERROR(__xludf.DUMMYFUNCTION("""COMPUTED_VALUE"""),"3045 KELLOGG RD")</f>
        <v>3045 KELLOGG RD</v>
      </c>
      <c r="C115" s="3" t="str">
        <f>IFERROR(__xludf.DUMMYFUNCTION("""COMPUTED_VALUE"""),"PORT HOPE")</f>
        <v>PORT HOPE</v>
      </c>
      <c r="D115" s="3" t="str">
        <f>IFERROR(__xludf.DUMMYFUNCTION("""COMPUTED_VALUE"""),"L1A 3V5")</f>
        <v>L1A 3V5</v>
      </c>
      <c r="E115" s="3" t="str">
        <f>IFERROR(__xludf.DUMMYFUNCTION("""COMPUTED_VALUE"""),"Natalie Kellogg")</f>
        <v>Natalie Kellogg</v>
      </c>
      <c r="F115" s="3" t="str">
        <f>IFERROR(__xludf.DUMMYFUNCTION("""COMPUTED_VALUE"""),"natkellogg20@gmail.com")</f>
        <v>natkellogg20@gmail.com</v>
      </c>
      <c r="G115" s="3"/>
      <c r="H115" s="3"/>
    </row>
    <row r="116">
      <c r="A116" s="2">
        <f>IFERROR(__xludf.DUMMYFUNCTION("""COMPUTED_VALUE"""),11238.0)</f>
        <v>11238</v>
      </c>
      <c r="B116" s="3" t="str">
        <f>IFERROR(__xludf.DUMMYFUNCTION("""COMPUTED_VALUE"""),"5898 MASTWOOD RD")</f>
        <v>5898 MASTWOOD RD</v>
      </c>
      <c r="C116" s="3" t="str">
        <f>IFERROR(__xludf.DUMMYFUNCTION("""COMPUTED_VALUE"""),"PORT HOPE")</f>
        <v>PORT HOPE</v>
      </c>
      <c r="D116" s="3" t="str">
        <f>IFERROR(__xludf.DUMMYFUNCTION("""COMPUTED_VALUE"""),"L1A 3V5")</f>
        <v>L1A 3V5</v>
      </c>
      <c r="E116" s="3"/>
      <c r="F116" s="3"/>
      <c r="G116" s="3"/>
      <c r="H116" s="3"/>
    </row>
    <row r="117">
      <c r="A117" s="2">
        <f>IFERROR(__xludf.DUMMYFUNCTION("""COMPUTED_VALUE"""),11061.0)</f>
        <v>11061</v>
      </c>
      <c r="B117" s="3" t="str">
        <f>IFERROR(__xludf.DUMMYFUNCTION("""COMPUTED_VALUE"""),"17 LAKESHORE RD")</f>
        <v>17 LAKESHORE RD</v>
      </c>
      <c r="C117" s="3" t="str">
        <f>IFERROR(__xludf.DUMMYFUNCTION("""COMPUTED_VALUE"""),"NEWCASTLE")</f>
        <v>NEWCASTLE</v>
      </c>
      <c r="D117" s="3" t="str">
        <f>IFERROR(__xludf.DUMMYFUNCTION("""COMPUTED_VALUE"""),"L1B 1L9")</f>
        <v>L1B 1L9</v>
      </c>
      <c r="E117" s="3" t="str">
        <f>IFERROR(__xludf.DUMMYFUNCTION("""COMPUTED_VALUE"""),"Frances Brooks ")</f>
        <v>Frances Brooks </v>
      </c>
      <c r="F117" s="3" t="str">
        <f>IFERROR(__xludf.DUMMYFUNCTION("""COMPUTED_VALUE"""),"broofran@gmail.com")</f>
        <v>broofran@gmail.com</v>
      </c>
      <c r="G117" s="3"/>
      <c r="H117" s="3"/>
    </row>
    <row r="118">
      <c r="A118" s="2">
        <f>IFERROR(__xludf.DUMMYFUNCTION("""COMPUTED_VALUE"""),10506.0)</f>
        <v>10506</v>
      </c>
      <c r="B118" s="3" t="str">
        <f>IFERROR(__xludf.DUMMYFUNCTION("""COMPUTED_VALUE"""),"115 COUNTY RD 2")</f>
        <v>115 COUNTY RD 2</v>
      </c>
      <c r="C118" s="3" t="str">
        <f>IFERROR(__xludf.DUMMYFUNCTION("""COMPUTED_VALUE"""),"PORT HOPE")</f>
        <v>PORT HOPE</v>
      </c>
      <c r="D118" s="3" t="str">
        <f>IFERROR(__xludf.DUMMYFUNCTION("""COMPUTED_VALUE"""),"L1A 3V7")</f>
        <v>L1A 3V7</v>
      </c>
      <c r="E118" s="3"/>
      <c r="F118" s="3"/>
      <c r="G118" s="3"/>
      <c r="H118" s="3"/>
    </row>
    <row r="119">
      <c r="A119" s="2">
        <f>IFERROR(__xludf.DUMMYFUNCTION("""COMPUTED_VALUE"""),10829.0)</f>
        <v>10829</v>
      </c>
      <c r="B119" s="3" t="str">
        <f>IFERROR(__xludf.DUMMYFUNCTION("""COMPUTED_VALUE"""),"119 EAST TOWNLINE RD")</f>
        <v>119 EAST TOWNLINE RD</v>
      </c>
      <c r="C119" s="3" t="str">
        <f>IFERROR(__xludf.DUMMYFUNCTION("""COMPUTED_VALUE"""),"NEWCASTLE")</f>
        <v>NEWCASTLE</v>
      </c>
      <c r="D119" s="3" t="str">
        <f>IFERROR(__xludf.DUMMYFUNCTION("""COMPUTED_VALUE"""),"L1B 1L9")</f>
        <v>L1B 1L9</v>
      </c>
      <c r="E119" s="3" t="str">
        <f>IFERROR(__xludf.DUMMYFUNCTION("""COMPUTED_VALUE"""),"Janice Ovenden")</f>
        <v>Janice Ovenden</v>
      </c>
      <c r="F119" s="3" t="str">
        <f>IFERROR(__xludf.DUMMYFUNCTION("""COMPUTED_VALUE"""),"bumptrails@gmail.com")</f>
        <v>bumptrails@gmail.com</v>
      </c>
      <c r="G119" s="3"/>
      <c r="H119" s="3"/>
    </row>
    <row r="120">
      <c r="A120" s="2">
        <f>IFERROR(__xludf.DUMMYFUNCTION("""COMPUTED_VALUE"""),10830.0)</f>
        <v>10830</v>
      </c>
      <c r="B120" s="3" t="str">
        <f>IFERROR(__xludf.DUMMYFUNCTION("""COMPUTED_VALUE"""),"131 EAST TOWNLINE RD")</f>
        <v>131 EAST TOWNLINE RD</v>
      </c>
      <c r="C120" s="3" t="str">
        <f>IFERROR(__xludf.DUMMYFUNCTION("""COMPUTED_VALUE"""),"NEWCASTLE")</f>
        <v>NEWCASTLE</v>
      </c>
      <c r="D120" s="3" t="str">
        <f>IFERROR(__xludf.DUMMYFUNCTION("""COMPUTED_VALUE"""),"L1B 1L9")</f>
        <v>L1B 1L9</v>
      </c>
      <c r="E120" s="3" t="str">
        <f>IFERROR(__xludf.DUMMYFUNCTION("""COMPUTED_VALUE"""),"Kevin Parkin")</f>
        <v>Kevin Parkin</v>
      </c>
      <c r="F120" s="3" t="str">
        <f>IFERROR(__xludf.DUMMYFUNCTION("""COMPUTED_VALUE"""),"kevin7again@yahoo.com")</f>
        <v>kevin7again@yahoo.com</v>
      </c>
      <c r="G120" s="3"/>
      <c r="H120" s="3"/>
    </row>
    <row r="121">
      <c r="A121" s="2">
        <f>IFERROR(__xludf.DUMMYFUNCTION("""COMPUTED_VALUE"""),10119.0)</f>
        <v>10119</v>
      </c>
      <c r="B121" s="3" t="str">
        <f>IFERROR(__xludf.DUMMYFUNCTION("""COMPUTED_VALUE"""),"135 6TH LINE")</f>
        <v>135 6TH LINE</v>
      </c>
      <c r="C121" s="3" t="str">
        <f>IFERROR(__xludf.DUMMYFUNCTION("""COMPUTED_VALUE"""),"NEWTONVILLE")</f>
        <v>NEWTONVILLE</v>
      </c>
      <c r="D121" s="3" t="str">
        <f>IFERROR(__xludf.DUMMYFUNCTION("""COMPUTED_VALUE"""),"L0A 1J0")</f>
        <v>L0A 1J0</v>
      </c>
      <c r="E121" s="3"/>
      <c r="F121" s="3"/>
      <c r="G121" s="3"/>
      <c r="H121" s="3"/>
    </row>
    <row r="122">
      <c r="A122" s="2">
        <f>IFERROR(__xludf.DUMMYFUNCTION("""COMPUTED_VALUE"""),10831.0)</f>
        <v>10831</v>
      </c>
      <c r="B122" s="3" t="str">
        <f>IFERROR(__xludf.DUMMYFUNCTION("""COMPUTED_VALUE"""),"151 EAST TOWNLINE RD")</f>
        <v>151 EAST TOWNLINE RD</v>
      </c>
      <c r="C122" s="3" t="str">
        <f>IFERROR(__xludf.DUMMYFUNCTION("""COMPUTED_VALUE"""),"NEWCASTLE")</f>
        <v>NEWCASTLE</v>
      </c>
      <c r="D122" s="3" t="str">
        <f>IFERROR(__xludf.DUMMYFUNCTION("""COMPUTED_VALUE"""),"L1B 1L9")</f>
        <v>L1B 1L9</v>
      </c>
      <c r="E122" s="3"/>
      <c r="F122" s="3"/>
      <c r="G122" s="3"/>
      <c r="H122" s="3"/>
    </row>
    <row r="123">
      <c r="A123" s="2">
        <f>IFERROR(__xludf.DUMMYFUNCTION("""COMPUTED_VALUE"""),10065.0)</f>
        <v>10065</v>
      </c>
      <c r="B123" s="3" t="str">
        <f>IFERROR(__xludf.DUMMYFUNCTION("""COMPUTED_VALUE"""),"200 5TH LINE")</f>
        <v>200 5TH LINE</v>
      </c>
      <c r="C123" s="3" t="str">
        <f>IFERROR(__xludf.DUMMYFUNCTION("""COMPUTED_VALUE"""),"NEWTONVILLE")</f>
        <v>NEWTONVILLE</v>
      </c>
      <c r="D123" s="3" t="str">
        <f>IFERROR(__xludf.DUMMYFUNCTION("""COMPUTED_VALUE"""),"L0A 1J0")</f>
        <v>L0A 1J0</v>
      </c>
      <c r="E123" s="3" t="str">
        <f>IFERROR(__xludf.DUMMYFUNCTION("""COMPUTED_VALUE"""),"Dave Hancock ")</f>
        <v>Dave Hancock </v>
      </c>
      <c r="F123" s="3" t="str">
        <f>IFERROR(__xludf.DUMMYFUNCTION("""COMPUTED_VALUE"""),"Dave Hancock 65@gmail.com")</f>
        <v>Dave Hancock 65@gmail.com</v>
      </c>
      <c r="G123" s="3"/>
      <c r="H123" s="3"/>
    </row>
    <row r="124">
      <c r="A124" s="2">
        <f>IFERROR(__xludf.DUMMYFUNCTION("""COMPUTED_VALUE"""),10832.0)</f>
        <v>10832</v>
      </c>
      <c r="B124" s="3" t="str">
        <f>IFERROR(__xludf.DUMMYFUNCTION("""COMPUTED_VALUE"""),"201 EAST TOWNLINE RD")</f>
        <v>201 EAST TOWNLINE RD</v>
      </c>
      <c r="C124" s="3" t="str">
        <f>IFERROR(__xludf.DUMMYFUNCTION("""COMPUTED_VALUE"""),"NEWCASTLE")</f>
        <v>NEWCASTLE</v>
      </c>
      <c r="D124" s="3" t="str">
        <f>IFERROR(__xludf.DUMMYFUNCTION("""COMPUTED_VALUE"""),"L1B 1L9")</f>
        <v>L1B 1L9</v>
      </c>
      <c r="E124" s="3" t="str">
        <f>IFERROR(__xludf.DUMMYFUNCTION("""COMPUTED_VALUE"""),"Susan Kinmond")</f>
        <v>Susan Kinmond</v>
      </c>
      <c r="F124" s="3" t="str">
        <f>IFERROR(__xludf.DUMMYFUNCTION("""COMPUTED_VALUE"""),"kinmonds@gmail.com")</f>
        <v>kinmonds@gmail.com</v>
      </c>
      <c r="G124" s="3"/>
      <c r="H124" s="3"/>
    </row>
    <row r="125">
      <c r="A125" s="2">
        <f>IFERROR(__xludf.DUMMYFUNCTION("""COMPUTED_VALUE"""),10011.0)</f>
        <v>10011</v>
      </c>
      <c r="B125" s="3" t="str">
        <f>IFERROR(__xludf.DUMMYFUNCTION("""COMPUTED_VALUE"""),"216 4TH LINE")</f>
        <v>216 4TH LINE</v>
      </c>
      <c r="C125" s="3" t="str">
        <f>IFERROR(__xludf.DUMMYFUNCTION("""COMPUTED_VALUE"""),"PORT HOPE")</f>
        <v>PORT HOPE</v>
      </c>
      <c r="D125" s="3" t="str">
        <f>IFERROR(__xludf.DUMMYFUNCTION("""COMPUTED_VALUE"""),"L1A 3V7")</f>
        <v>L1A 3V7</v>
      </c>
      <c r="E125" s="3" t="str">
        <f>IFERROR(__xludf.DUMMYFUNCTION("""COMPUTED_VALUE"""),"Robert mcarthur ")</f>
        <v>Robert mcarthur </v>
      </c>
      <c r="F125" s="3" t="str">
        <f>IFERROR(__xludf.DUMMYFUNCTION("""COMPUTED_VALUE"""),"Robertmcarthur.rm@gmail.com")</f>
        <v>Robertmcarthur.rm@gmail.com</v>
      </c>
      <c r="G125" s="3"/>
      <c r="H125" s="3"/>
    </row>
    <row r="126">
      <c r="A126" s="2">
        <f>IFERROR(__xludf.DUMMYFUNCTION("""COMPUTED_VALUE"""),10507.0)</f>
        <v>10507</v>
      </c>
      <c r="B126" s="3" t="str">
        <f>IFERROR(__xludf.DUMMYFUNCTION("""COMPUTED_VALUE"""),"217 COUNTY RD 2")</f>
        <v>217 COUNTY RD 2</v>
      </c>
      <c r="C126" s="3" t="str">
        <f>IFERROR(__xludf.DUMMYFUNCTION("""COMPUTED_VALUE"""),"PORT HOPE")</f>
        <v>PORT HOPE</v>
      </c>
      <c r="D126" s="3" t="str">
        <f>IFERROR(__xludf.DUMMYFUNCTION("""COMPUTED_VALUE"""),"L1A 3V7")</f>
        <v>L1A 3V7</v>
      </c>
      <c r="E126" s="3" t="str">
        <f>IFERROR(__xludf.DUMMYFUNCTION("""COMPUTED_VALUE"""),"frank balling ")</f>
        <v>frank balling </v>
      </c>
      <c r="F126" s="3" t="str">
        <f>IFERROR(__xludf.DUMMYFUNCTION("""COMPUTED_VALUE"""),"fballing64@gmail.com")</f>
        <v>fballing64@gmail.com</v>
      </c>
      <c r="G126" s="3"/>
      <c r="H126" s="3"/>
    </row>
    <row r="127">
      <c r="A127" s="2">
        <f>IFERROR(__xludf.DUMMYFUNCTION("""COMPUTED_VALUE"""),10066.0)</f>
        <v>10066</v>
      </c>
      <c r="B127" s="3" t="str">
        <f>IFERROR(__xludf.DUMMYFUNCTION("""COMPUTED_VALUE"""),"221 5TH LINE")</f>
        <v>221 5TH LINE</v>
      </c>
      <c r="C127" s="3" t="str">
        <f>IFERROR(__xludf.DUMMYFUNCTION("""COMPUTED_VALUE"""),"NEWTONVILLE")</f>
        <v>NEWTONVILLE</v>
      </c>
      <c r="D127" s="3" t="str">
        <f>IFERROR(__xludf.DUMMYFUNCTION("""COMPUTED_VALUE"""),"L0A 1J0")</f>
        <v>L0A 1J0</v>
      </c>
      <c r="E127" s="3"/>
      <c r="F127" s="3"/>
      <c r="G127" s="3"/>
      <c r="H127" s="3"/>
    </row>
    <row r="128">
      <c r="A128" s="2">
        <f>IFERROR(__xludf.DUMMYFUNCTION("""COMPUTED_VALUE"""),10067.0)</f>
        <v>10067</v>
      </c>
      <c r="B128" s="3" t="str">
        <f>IFERROR(__xludf.DUMMYFUNCTION("""COMPUTED_VALUE"""),"222 5TH LINE")</f>
        <v>222 5TH LINE</v>
      </c>
      <c r="C128" s="3" t="str">
        <f>IFERROR(__xludf.DUMMYFUNCTION("""COMPUTED_VALUE"""),"NEWTONVILLE")</f>
        <v>NEWTONVILLE</v>
      </c>
      <c r="D128" s="3" t="str">
        <f>IFERROR(__xludf.DUMMYFUNCTION("""COMPUTED_VALUE"""),"L0A 1J0")</f>
        <v>L0A 1J0</v>
      </c>
      <c r="E128" s="3" t="str">
        <f>IFERROR(__xludf.DUMMYFUNCTION("""COMPUTED_VALUE"""),"John treen")</f>
        <v>John treen</v>
      </c>
      <c r="F128" s="3" t="str">
        <f>IFERROR(__xludf.DUMMYFUNCTION("""COMPUTED_VALUE"""),"Jetreen348@yahoo.ca")</f>
        <v>Jetreen348@yahoo.ca</v>
      </c>
      <c r="G128" s="3"/>
      <c r="H128" s="3"/>
    </row>
    <row r="129">
      <c r="A129" s="2">
        <f>IFERROR(__xludf.DUMMYFUNCTION("""COMPUTED_VALUE"""),10120.0)</f>
        <v>10120</v>
      </c>
      <c r="B129" s="3" t="str">
        <f>IFERROR(__xludf.DUMMYFUNCTION("""COMPUTED_VALUE"""),"233 6TH LINE")</f>
        <v>233 6TH LINE</v>
      </c>
      <c r="C129" s="3" t="str">
        <f>IFERROR(__xludf.DUMMYFUNCTION("""COMPUTED_VALUE"""),"NEWTONVILLE")</f>
        <v>NEWTONVILLE</v>
      </c>
      <c r="D129" s="3" t="str">
        <f>IFERROR(__xludf.DUMMYFUNCTION("""COMPUTED_VALUE"""),"L0A 1J0")</f>
        <v>L0A 1J0</v>
      </c>
      <c r="E129" s="3"/>
      <c r="F129" s="3"/>
      <c r="G129" s="3"/>
      <c r="H129" s="3"/>
    </row>
    <row r="130">
      <c r="A130" s="2">
        <f>IFERROR(__xludf.DUMMYFUNCTION("""COMPUTED_VALUE"""),10121.0)</f>
        <v>10121</v>
      </c>
      <c r="B130" s="3" t="str">
        <f>IFERROR(__xludf.DUMMYFUNCTION("""COMPUTED_VALUE"""),"234 6TH LINE")</f>
        <v>234 6TH LINE</v>
      </c>
      <c r="C130" s="3" t="str">
        <f>IFERROR(__xludf.DUMMYFUNCTION("""COMPUTED_VALUE"""),"NEWTONVILLE")</f>
        <v>NEWTONVILLE</v>
      </c>
      <c r="D130" s="3" t="str">
        <f>IFERROR(__xludf.DUMMYFUNCTION("""COMPUTED_VALUE"""),"L0A 1J0")</f>
        <v>L0A 1J0</v>
      </c>
      <c r="E130" s="3"/>
      <c r="F130" s="3"/>
      <c r="G130" s="3"/>
      <c r="H130" s="3"/>
    </row>
    <row r="131">
      <c r="A131" s="2">
        <f>IFERROR(__xludf.DUMMYFUNCTION("""COMPUTED_VALUE"""),10833.0)</f>
        <v>10833</v>
      </c>
      <c r="B131" s="3" t="str">
        <f>IFERROR(__xludf.DUMMYFUNCTION("""COMPUTED_VALUE"""),"243 EAST TOWNLINE RD")</f>
        <v>243 EAST TOWNLINE RD</v>
      </c>
      <c r="C131" s="3" t="str">
        <f>IFERROR(__xludf.DUMMYFUNCTION("""COMPUTED_VALUE"""),"NEWCASTLE")</f>
        <v>NEWCASTLE</v>
      </c>
      <c r="D131" s="3" t="str">
        <f>IFERROR(__xludf.DUMMYFUNCTION("""COMPUTED_VALUE"""),"L1B 1L9")</f>
        <v>L1B 1L9</v>
      </c>
      <c r="E131" s="3" t="str">
        <f>IFERROR(__xludf.DUMMYFUNCTION("""COMPUTED_VALUE"""),"David Vargo")</f>
        <v>David Vargo</v>
      </c>
      <c r="F131" s="3" t="str">
        <f>IFERROR(__xludf.DUMMYFUNCTION("""COMPUTED_VALUE"""),"vargz_1@hotmail.com")</f>
        <v>vargz_1@hotmail.com</v>
      </c>
      <c r="G131" s="3"/>
      <c r="H131" s="3"/>
    </row>
    <row r="132">
      <c r="A132" s="2">
        <f>IFERROR(__xludf.DUMMYFUNCTION("""COMPUTED_VALUE"""),10933.0)</f>
        <v>10933</v>
      </c>
      <c r="B132" s="3" t="str">
        <f>IFERROR(__xludf.DUMMYFUNCTION("""COMPUTED_VALUE"""),"245 HANNAH RD")</f>
        <v>245 HANNAH RD</v>
      </c>
      <c r="C132" s="3" t="str">
        <f>IFERROR(__xludf.DUMMYFUNCTION("""COMPUTED_VALUE"""),"BAILIEBORO")</f>
        <v>BAILIEBORO</v>
      </c>
      <c r="D132" s="3" t="str">
        <f>IFERROR(__xludf.DUMMYFUNCTION("""COMPUTED_VALUE"""),"K0L 1B0")</f>
        <v>K0L 1B0</v>
      </c>
      <c r="E132" s="3"/>
      <c r="F132" s="3"/>
      <c r="G132" s="3"/>
      <c r="H132" s="3"/>
    </row>
    <row r="133">
      <c r="A133" s="2">
        <f>IFERROR(__xludf.DUMMYFUNCTION("""COMPUTED_VALUE"""),10012.0)</f>
        <v>10012</v>
      </c>
      <c r="B133" s="3" t="str">
        <f>IFERROR(__xludf.DUMMYFUNCTION("""COMPUTED_VALUE"""),"249 4TH LINE")</f>
        <v>249 4TH LINE</v>
      </c>
      <c r="C133" s="3" t="str">
        <f>IFERROR(__xludf.DUMMYFUNCTION("""COMPUTED_VALUE"""),"PORT HOPE")</f>
        <v>PORT HOPE</v>
      </c>
      <c r="D133" s="3" t="str">
        <f>IFERROR(__xludf.DUMMYFUNCTION("""COMPUTED_VALUE"""),"L1A 3V7")</f>
        <v>L1A 3V7</v>
      </c>
      <c r="E133" s="3" t="str">
        <f>IFERROR(__xludf.DUMMYFUNCTION("""COMPUTED_VALUE"""),"Corey Marlow")</f>
        <v>Corey Marlow</v>
      </c>
      <c r="F133" s="3" t="str">
        <f>IFERROR(__xludf.DUMMYFUNCTION("""COMPUTED_VALUE"""),"torontoleafs_rock@hotmail.com")</f>
        <v>torontoleafs_rock@hotmail.com</v>
      </c>
      <c r="G133" s="3"/>
      <c r="H133" s="3"/>
    </row>
    <row r="134">
      <c r="A134" s="2">
        <f>IFERROR(__xludf.DUMMYFUNCTION("""COMPUTED_VALUE"""),10834.0)</f>
        <v>10834</v>
      </c>
      <c r="B134" s="3" t="str">
        <f>IFERROR(__xludf.DUMMYFUNCTION("""COMPUTED_VALUE"""),"283 EAST TOWNLINE RD")</f>
        <v>283 EAST TOWNLINE RD</v>
      </c>
      <c r="C134" s="3" t="str">
        <f>IFERROR(__xludf.DUMMYFUNCTION("""COMPUTED_VALUE"""),"NEWCASTLE")</f>
        <v>NEWCASTLE</v>
      </c>
      <c r="D134" s="3" t="str">
        <f>IFERROR(__xludf.DUMMYFUNCTION("""COMPUTED_VALUE"""),"L1B 1L9")</f>
        <v>L1B 1L9</v>
      </c>
      <c r="E134" s="3"/>
      <c r="F134" s="3"/>
      <c r="G134" s="3"/>
      <c r="H134" s="3"/>
    </row>
    <row r="135">
      <c r="A135" s="2">
        <f>IFERROR(__xludf.DUMMYFUNCTION("""COMPUTED_VALUE"""),10835.0)</f>
        <v>10835</v>
      </c>
      <c r="B135" s="3" t="str">
        <f>IFERROR(__xludf.DUMMYFUNCTION("""COMPUTED_VALUE"""),"315 EAST TOWNLINE RD")</f>
        <v>315 EAST TOWNLINE RD</v>
      </c>
      <c r="C135" s="3" t="str">
        <f>IFERROR(__xludf.DUMMYFUNCTION("""COMPUTED_VALUE"""),"NEWCASTLE")</f>
        <v>NEWCASTLE</v>
      </c>
      <c r="D135" s="3" t="str">
        <f>IFERROR(__xludf.DUMMYFUNCTION("""COMPUTED_VALUE"""),"L1B 1L9")</f>
        <v>L1B 1L9</v>
      </c>
      <c r="E135" s="3"/>
      <c r="F135" s="3"/>
      <c r="G135" s="3"/>
      <c r="H135" s="3"/>
    </row>
    <row r="136">
      <c r="A136" s="2">
        <f>IFERROR(__xludf.DUMMYFUNCTION("""COMPUTED_VALUE"""),10934.0)</f>
        <v>10934</v>
      </c>
      <c r="B136" s="3" t="str">
        <f>IFERROR(__xludf.DUMMYFUNCTION("""COMPUTED_VALUE"""),"335 HANNAH RD")</f>
        <v>335 HANNAH RD</v>
      </c>
      <c r="C136" s="3" t="str">
        <f>IFERROR(__xludf.DUMMYFUNCTION("""COMPUTED_VALUE"""),"BAILIEBORO")</f>
        <v>BAILIEBORO</v>
      </c>
      <c r="D136" s="3" t="str">
        <f>IFERROR(__xludf.DUMMYFUNCTION("""COMPUTED_VALUE"""),"K0L 1B0")</f>
        <v>K0L 1B0</v>
      </c>
      <c r="E136" s="3" t="str">
        <f>IFERROR(__xludf.DUMMYFUNCTION("""COMPUTED_VALUE"""),"Marya duckworth")</f>
        <v>Marya duckworth</v>
      </c>
      <c r="F136" s="3" t="str">
        <f>IFERROR(__xludf.DUMMYFUNCTION("""COMPUTED_VALUE"""),"Marya.duckworth@gmail.com")</f>
        <v>Marya.duckworth@gmail.com</v>
      </c>
      <c r="G136" s="3"/>
      <c r="H136" s="3"/>
    </row>
    <row r="137">
      <c r="A137" s="2">
        <f>IFERROR(__xludf.DUMMYFUNCTION("""COMPUTED_VALUE"""),10935.0)</f>
        <v>10935</v>
      </c>
      <c r="B137" s="3" t="str">
        <f>IFERROR(__xludf.DUMMYFUNCTION("""COMPUTED_VALUE"""),"361 HANNAH RD SUITE 215")</f>
        <v>361 HANNAH RD SUITE 215</v>
      </c>
      <c r="C137" s="3" t="str">
        <f>IFERROR(__xludf.DUMMYFUNCTION("""COMPUTED_VALUE"""),"BAILIEBORO")</f>
        <v>BAILIEBORO</v>
      </c>
      <c r="D137" s="3" t="str">
        <f>IFERROR(__xludf.DUMMYFUNCTION("""COMPUTED_VALUE"""),"K0L 1B0")</f>
        <v>K0L 1B0</v>
      </c>
      <c r="E137" s="3" t="str">
        <f>IFERROR(__xludf.DUMMYFUNCTION("""COMPUTED_VALUE"""),"John Bothwell")</f>
        <v>John Bothwell</v>
      </c>
      <c r="F137" s="3" t="str">
        <f>IFERROR(__xludf.DUMMYFUNCTION("""COMPUTED_VALUE"""),"j.bothwell@sympatico.ca")</f>
        <v>j.bothwell@sympatico.ca</v>
      </c>
      <c r="G137" s="3"/>
      <c r="H137" s="3"/>
    </row>
    <row r="138">
      <c r="A138" s="2">
        <f>IFERROR(__xludf.DUMMYFUNCTION("""COMPUTED_VALUE"""),10936.0)</f>
        <v>10936</v>
      </c>
      <c r="B138" s="3" t="str">
        <f>IFERROR(__xludf.DUMMYFUNCTION("""COMPUTED_VALUE"""),"361 HANNAH RD SUITE 245")</f>
        <v>361 HANNAH RD SUITE 245</v>
      </c>
      <c r="C138" s="3" t="str">
        <f>IFERROR(__xludf.DUMMYFUNCTION("""COMPUTED_VALUE"""),"BAILIEBORO")</f>
        <v>BAILIEBORO</v>
      </c>
      <c r="D138" s="3" t="str">
        <f>IFERROR(__xludf.DUMMYFUNCTION("""COMPUTED_VALUE"""),"K0L 1B0")</f>
        <v>K0L 1B0</v>
      </c>
      <c r="E138" s="3" t="str">
        <f>IFERROR(__xludf.DUMMYFUNCTION("""COMPUTED_VALUE"""),"lynda harnden")</f>
        <v>lynda harnden</v>
      </c>
      <c r="F138" s="3"/>
      <c r="G138" s="3"/>
      <c r="H138" s="3"/>
    </row>
    <row r="139">
      <c r="A139" s="2">
        <f>IFERROR(__xludf.DUMMYFUNCTION("""COMPUTED_VALUE"""),10937.0)</f>
        <v>10937</v>
      </c>
      <c r="B139" s="3" t="str">
        <f>IFERROR(__xludf.DUMMYFUNCTION("""COMPUTED_VALUE"""),"361 HANNAH RD SUITE 255")</f>
        <v>361 HANNAH RD SUITE 255</v>
      </c>
      <c r="C139" s="3" t="str">
        <f>IFERROR(__xludf.DUMMYFUNCTION("""COMPUTED_VALUE"""),"BAILIEBORO")</f>
        <v>BAILIEBORO</v>
      </c>
      <c r="D139" s="3" t="str">
        <f>IFERROR(__xludf.DUMMYFUNCTION("""COMPUTED_VALUE"""),"K0L 1B0")</f>
        <v>K0L 1B0</v>
      </c>
      <c r="E139" s="3"/>
      <c r="F139" s="3"/>
      <c r="G139" s="3"/>
      <c r="H139" s="3"/>
    </row>
    <row r="140">
      <c r="A140" s="2">
        <f>IFERROR(__xludf.DUMMYFUNCTION("""COMPUTED_VALUE"""),10938.0)</f>
        <v>10938</v>
      </c>
      <c r="B140" s="3" t="str">
        <f>IFERROR(__xludf.DUMMYFUNCTION("""COMPUTED_VALUE"""),"361 HANNAH RD SUITE 275")</f>
        <v>361 HANNAH RD SUITE 275</v>
      </c>
      <c r="C140" s="3" t="str">
        <f>IFERROR(__xludf.DUMMYFUNCTION("""COMPUTED_VALUE"""),"BAILIEBORO")</f>
        <v>BAILIEBORO</v>
      </c>
      <c r="D140" s="3" t="str">
        <f>IFERROR(__xludf.DUMMYFUNCTION("""COMPUTED_VALUE"""),"K0L 1B0")</f>
        <v>K0L 1B0</v>
      </c>
      <c r="E140" s="3" t="str">
        <f>IFERROR(__xludf.DUMMYFUNCTION("""COMPUTED_VALUE"""),"Hong")</f>
        <v>Hong</v>
      </c>
      <c r="F140" s="3" t="str">
        <f>IFERROR(__xludf.DUMMYFUNCTION("""COMPUTED_VALUE"""),"mikejeon96@hotmail.com")</f>
        <v>mikejeon96@hotmail.com</v>
      </c>
      <c r="G140" s="3"/>
      <c r="H140" s="3"/>
    </row>
    <row r="141">
      <c r="A141" s="2">
        <f>IFERROR(__xludf.DUMMYFUNCTION("""COMPUTED_VALUE"""),10939.0)</f>
        <v>10939</v>
      </c>
      <c r="B141" s="3" t="str">
        <f>IFERROR(__xludf.DUMMYFUNCTION("""COMPUTED_VALUE"""),"361 HANNAH RD SUITE 285")</f>
        <v>361 HANNAH RD SUITE 285</v>
      </c>
      <c r="C141" s="3" t="str">
        <f>IFERROR(__xludf.DUMMYFUNCTION("""COMPUTED_VALUE"""),"BAILIEBORO")</f>
        <v>BAILIEBORO</v>
      </c>
      <c r="D141" s="3" t="str">
        <f>IFERROR(__xludf.DUMMYFUNCTION("""COMPUTED_VALUE"""),"K0L 1B0")</f>
        <v>K0L 1B0</v>
      </c>
      <c r="E141" s="3" t="str">
        <f>IFERROR(__xludf.DUMMYFUNCTION("""COMPUTED_VALUE"""),"Mike North ")</f>
        <v>Mike North </v>
      </c>
      <c r="F141" s="3" t="str">
        <f>IFERROR(__xludf.DUMMYFUNCTION("""COMPUTED_VALUE"""),"mike.north12@icloud.com")</f>
        <v>mike.north12@icloud.com</v>
      </c>
      <c r="G141" s="3"/>
      <c r="H141" s="3"/>
    </row>
    <row r="142">
      <c r="A142" s="2">
        <f>IFERROR(__xludf.DUMMYFUNCTION("""COMPUTED_VALUE"""),10940.0)</f>
        <v>10940</v>
      </c>
      <c r="B142" s="3" t="str">
        <f>IFERROR(__xludf.DUMMYFUNCTION("""COMPUTED_VALUE"""),"361 HANNAH RD SUITE 305")</f>
        <v>361 HANNAH RD SUITE 305</v>
      </c>
      <c r="C142" s="3" t="str">
        <f>IFERROR(__xludf.DUMMYFUNCTION("""COMPUTED_VALUE"""),"BAILIEBORO")</f>
        <v>BAILIEBORO</v>
      </c>
      <c r="D142" s="3" t="str">
        <f>IFERROR(__xludf.DUMMYFUNCTION("""COMPUTED_VALUE"""),"K0L 1B0")</f>
        <v>K0L 1B0</v>
      </c>
      <c r="E142" s="3" t="str">
        <f>IFERROR(__xludf.DUMMYFUNCTION("""COMPUTED_VALUE"""),"prisca kenel")</f>
        <v>prisca kenel</v>
      </c>
      <c r="F142" s="3"/>
      <c r="G142" s="3"/>
      <c r="H142" s="3"/>
    </row>
    <row r="143">
      <c r="A143" s="2">
        <f>IFERROR(__xludf.DUMMYFUNCTION("""COMPUTED_VALUE"""),10942.0)</f>
        <v>10942</v>
      </c>
      <c r="B143" s="3" t="str">
        <f>IFERROR(__xludf.DUMMYFUNCTION("""COMPUTED_VALUE"""),"361 HANNAH RD SUITE 335")</f>
        <v>361 HANNAH RD SUITE 335</v>
      </c>
      <c r="C143" s="3" t="str">
        <f>IFERROR(__xludf.DUMMYFUNCTION("""COMPUTED_VALUE"""),"BAILIEBORO")</f>
        <v>BAILIEBORO</v>
      </c>
      <c r="D143" s="3" t="str">
        <f>IFERROR(__xludf.DUMMYFUNCTION("""COMPUTED_VALUE"""),"K0L 1B0")</f>
        <v>K0L 1B0</v>
      </c>
      <c r="E143" s="3"/>
      <c r="F143" s="3"/>
      <c r="G143" s="3"/>
      <c r="H143" s="3"/>
    </row>
    <row r="144">
      <c r="A144" s="2">
        <f>IFERROR(__xludf.DUMMYFUNCTION("""COMPUTED_VALUE"""),10943.0)</f>
        <v>10943</v>
      </c>
      <c r="B144" s="3" t="str">
        <f>IFERROR(__xludf.DUMMYFUNCTION("""COMPUTED_VALUE"""),"361 HANNAH RD SUITE 355")</f>
        <v>361 HANNAH RD SUITE 355</v>
      </c>
      <c r="C144" s="3" t="str">
        <f>IFERROR(__xludf.DUMMYFUNCTION("""COMPUTED_VALUE"""),"BAILIEBORO")</f>
        <v>BAILIEBORO</v>
      </c>
      <c r="D144" s="3" t="str">
        <f>IFERROR(__xludf.DUMMYFUNCTION("""COMPUTED_VALUE"""),"K0L 1B0")</f>
        <v>K0L 1B0</v>
      </c>
      <c r="E144" s="3"/>
      <c r="F144" s="3"/>
      <c r="G144" s="3"/>
      <c r="H144" s="3"/>
    </row>
    <row r="145">
      <c r="A145" s="2">
        <f>IFERROR(__xludf.DUMMYFUNCTION("""COMPUTED_VALUE"""),10941.0)</f>
        <v>10941</v>
      </c>
      <c r="B145" s="3" t="str">
        <f>IFERROR(__xludf.DUMMYFUNCTION("""COMPUTED_VALUE"""),"361 HANNAH RD UNIT 325")</f>
        <v>361 HANNAH RD UNIT 325</v>
      </c>
      <c r="C145" s="3" t="str">
        <f>IFERROR(__xludf.DUMMYFUNCTION("""COMPUTED_VALUE"""),"BAILIEBORO")</f>
        <v>BAILIEBORO</v>
      </c>
      <c r="D145" s="3" t="str">
        <f>IFERROR(__xludf.DUMMYFUNCTION("""COMPUTED_VALUE"""),"K0L 1B0")</f>
        <v>K0L 1B0</v>
      </c>
      <c r="E145" s="3"/>
      <c r="F145" s="3"/>
      <c r="G145" s="3"/>
      <c r="H145" s="3"/>
    </row>
    <row r="146">
      <c r="A146" s="2">
        <f>IFERROR(__xludf.DUMMYFUNCTION("""COMPUTED_VALUE"""),10946.0)</f>
        <v>10946</v>
      </c>
      <c r="B146" s="3" t="str">
        <f>IFERROR(__xludf.DUMMYFUNCTION("""COMPUTED_VALUE"""),"373 HANNAH RD UNIT 150")</f>
        <v>373 HANNAH RD UNIT 150</v>
      </c>
      <c r="C146" s="3" t="str">
        <f>IFERROR(__xludf.DUMMYFUNCTION("""COMPUTED_VALUE"""),"BAILIEBORO")</f>
        <v>BAILIEBORO</v>
      </c>
      <c r="D146" s="3" t="str">
        <f>IFERROR(__xludf.DUMMYFUNCTION("""COMPUTED_VALUE"""),"K0L 1B0")</f>
        <v>K0L 1B0</v>
      </c>
      <c r="E146" s="3" t="str">
        <f>IFERROR(__xludf.DUMMYFUNCTION("""COMPUTED_VALUE"""),"Terry Elgar")</f>
        <v>Terry Elgar</v>
      </c>
      <c r="F146" s="3" t="str">
        <f>IFERROR(__xludf.DUMMYFUNCTION("""COMPUTED_VALUE"""),"terry.elgar@gmail.com")</f>
        <v>terry.elgar@gmail.com</v>
      </c>
      <c r="G146" s="3"/>
      <c r="H146" s="3"/>
    </row>
    <row r="147">
      <c r="A147" s="2">
        <f>IFERROR(__xludf.DUMMYFUNCTION("""COMPUTED_VALUE"""),10944.0)</f>
        <v>10944</v>
      </c>
      <c r="B147" s="3" t="str">
        <f>IFERROR(__xludf.DUMMYFUNCTION("""COMPUTED_VALUE"""),"373 HANNAH RD UNIT 125")</f>
        <v>373 HANNAH RD UNIT 125</v>
      </c>
      <c r="C147" s="3" t="str">
        <f>IFERROR(__xludf.DUMMYFUNCTION("""COMPUTED_VALUE"""),"BAILIEBORO")</f>
        <v>BAILIEBORO</v>
      </c>
      <c r="D147" s="3" t="str">
        <f>IFERROR(__xludf.DUMMYFUNCTION("""COMPUTED_VALUE"""),"K0L 1B0")</f>
        <v>K0L 1B0</v>
      </c>
      <c r="E147" s="3" t="str">
        <f>IFERROR(__xludf.DUMMYFUNCTION("""COMPUTED_VALUE"""),"Terry Elgar")</f>
        <v>Terry Elgar</v>
      </c>
      <c r="F147" s="3" t="str">
        <f>IFERROR(__xludf.DUMMYFUNCTION("""COMPUTED_VALUE"""),"terry.elgar@gmail.com")</f>
        <v>terry.elgar@gmail.com</v>
      </c>
      <c r="G147" s="3"/>
      <c r="H147" s="3"/>
    </row>
    <row r="148">
      <c r="A148" s="2">
        <f>IFERROR(__xludf.DUMMYFUNCTION("""COMPUTED_VALUE"""),10945.0)</f>
        <v>10945</v>
      </c>
      <c r="B148" s="3" t="str">
        <f>IFERROR(__xludf.DUMMYFUNCTION("""COMPUTED_VALUE"""),"373 HANNAH RD UNIT 145")</f>
        <v>373 HANNAH RD UNIT 145</v>
      </c>
      <c r="C148" s="3" t="str">
        <f>IFERROR(__xludf.DUMMYFUNCTION("""COMPUTED_VALUE"""),"BAILIEBORO")</f>
        <v>BAILIEBORO</v>
      </c>
      <c r="D148" s="3" t="str">
        <f>IFERROR(__xludf.DUMMYFUNCTION("""COMPUTED_VALUE"""),"K0L 1B0")</f>
        <v>K0L 1B0</v>
      </c>
      <c r="E148" s="3" t="str">
        <f>IFERROR(__xludf.DUMMYFUNCTION("""COMPUTED_VALUE"""),"Terry Elgar")</f>
        <v>Terry Elgar</v>
      </c>
      <c r="F148" s="3" t="str">
        <f>IFERROR(__xludf.DUMMYFUNCTION("""COMPUTED_VALUE"""),"terry.elgar@gmail.com")</f>
        <v>terry.elgar@gmail.com</v>
      </c>
      <c r="G148" s="3"/>
      <c r="H148" s="3"/>
    </row>
    <row r="149">
      <c r="A149" s="2">
        <f>IFERROR(__xludf.DUMMYFUNCTION("""COMPUTED_VALUE"""),10508.0)</f>
        <v>10508</v>
      </c>
      <c r="B149" s="3" t="str">
        <f>IFERROR(__xludf.DUMMYFUNCTION("""COMPUTED_VALUE"""),"374 COUNTY RD 2")</f>
        <v>374 COUNTY RD 2</v>
      </c>
      <c r="C149" s="3" t="str">
        <f>IFERROR(__xludf.DUMMYFUNCTION("""COMPUTED_VALUE"""),"PORT HOPE")</f>
        <v>PORT HOPE</v>
      </c>
      <c r="D149" s="3" t="str">
        <f>IFERROR(__xludf.DUMMYFUNCTION("""COMPUTED_VALUE"""),"L1A 3V7")</f>
        <v>L1A 3V7</v>
      </c>
      <c r="E149" s="3" t="str">
        <f>IFERROR(__xludf.DUMMYFUNCTION("""COMPUTED_VALUE"""),"Brenna Ammans")</f>
        <v>Brenna Ammans</v>
      </c>
      <c r="F149" s="3" t="str">
        <f>IFERROR(__xludf.DUMMYFUNCTION("""COMPUTED_VALUE"""),"brenna.ammans@gmail.com")</f>
        <v>brenna.ammans@gmail.com</v>
      </c>
      <c r="G149" s="3"/>
      <c r="H149" s="3"/>
    </row>
    <row r="150">
      <c r="A150" s="2">
        <f>IFERROR(__xludf.DUMMYFUNCTION("""COMPUTED_VALUE"""),10947.0)</f>
        <v>10947</v>
      </c>
      <c r="B150" s="3" t="str">
        <f>IFERROR(__xludf.DUMMYFUNCTION("""COMPUTED_VALUE"""),"387 HANNAH RD SUITE 130")</f>
        <v>387 HANNAH RD SUITE 130</v>
      </c>
      <c r="C150" s="3" t="str">
        <f>IFERROR(__xludf.DUMMYFUNCTION("""COMPUTED_VALUE"""),"BAILIEBORO")</f>
        <v>BAILIEBORO</v>
      </c>
      <c r="D150" s="3" t="str">
        <f>IFERROR(__xludf.DUMMYFUNCTION("""COMPUTED_VALUE"""),"K0L 1B0")</f>
        <v>K0L 1B0</v>
      </c>
      <c r="E150" s="3" t="str">
        <f>IFERROR(__xludf.DUMMYFUNCTION("""COMPUTED_VALUE"""),"Augustus Norman")</f>
        <v>Augustus Norman</v>
      </c>
      <c r="F150" s="3" t="str">
        <f>IFERROR(__xludf.DUMMYFUNCTION("""COMPUTED_VALUE"""),"gusgrill2go@gmail.com")</f>
        <v>gusgrill2go@gmail.com</v>
      </c>
      <c r="G150" s="3"/>
      <c r="H150" s="3"/>
    </row>
    <row r="151">
      <c r="A151" s="2">
        <f>IFERROR(__xludf.DUMMYFUNCTION("""COMPUTED_VALUE"""),10948.0)</f>
        <v>10948</v>
      </c>
      <c r="B151" s="3" t="str">
        <f>IFERROR(__xludf.DUMMYFUNCTION("""COMPUTED_VALUE"""),"387 HANNAH RD UNIT 135")</f>
        <v>387 HANNAH RD UNIT 135</v>
      </c>
      <c r="C151" s="3" t="str">
        <f>IFERROR(__xludf.DUMMYFUNCTION("""COMPUTED_VALUE"""),"BAILIEBORO")</f>
        <v>BAILIEBORO</v>
      </c>
      <c r="D151" s="3" t="str">
        <f>IFERROR(__xludf.DUMMYFUNCTION("""COMPUTED_VALUE"""),"K0L 1B0")</f>
        <v>K0L 1B0</v>
      </c>
      <c r="E151" s="3" t="str">
        <f>IFERROR(__xludf.DUMMYFUNCTION("""COMPUTED_VALUE"""),"John Edgar")</f>
        <v>John Edgar</v>
      </c>
      <c r="F151" s="3"/>
      <c r="G151" s="3"/>
      <c r="H151" s="3"/>
    </row>
    <row r="152">
      <c r="A152" s="2">
        <f>IFERROR(__xludf.DUMMYFUNCTION("""COMPUTED_VALUE"""),10949.0)</f>
        <v>10949</v>
      </c>
      <c r="B152" s="3" t="str">
        <f>IFERROR(__xludf.DUMMYFUNCTION("""COMPUTED_VALUE"""),"391 HANNAH RD")</f>
        <v>391 HANNAH RD</v>
      </c>
      <c r="C152" s="3" t="str">
        <f>IFERROR(__xludf.DUMMYFUNCTION("""COMPUTED_VALUE"""),"BAILIEBORO")</f>
        <v>BAILIEBORO</v>
      </c>
      <c r="D152" s="3" t="str">
        <f>IFERROR(__xludf.DUMMYFUNCTION("""COMPUTED_VALUE"""),"K0L 1B0")</f>
        <v>K0L 1B0</v>
      </c>
      <c r="E152" s="3"/>
      <c r="F152" s="3"/>
      <c r="G152" s="3"/>
      <c r="H152" s="3"/>
    </row>
    <row r="153">
      <c r="A153" s="2">
        <f>IFERROR(__xludf.DUMMYFUNCTION("""COMPUTED_VALUE"""),10950.0)</f>
        <v>10950</v>
      </c>
      <c r="B153" s="3" t="str">
        <f>IFERROR(__xludf.DUMMYFUNCTION("""COMPUTED_VALUE"""),"401 HANNAH RD")</f>
        <v>401 HANNAH RD</v>
      </c>
      <c r="C153" s="3" t="str">
        <f>IFERROR(__xludf.DUMMYFUNCTION("""COMPUTED_VALUE"""),"BAILIEBORO")</f>
        <v>BAILIEBORO</v>
      </c>
      <c r="D153" s="3" t="str">
        <f>IFERROR(__xludf.DUMMYFUNCTION("""COMPUTED_VALUE"""),"K0L 1B0")</f>
        <v>K0L 1B0</v>
      </c>
      <c r="E153" s="3"/>
      <c r="F153" s="3"/>
      <c r="G153" s="3"/>
      <c r="H153" s="3"/>
    </row>
    <row r="154">
      <c r="A154" s="2">
        <f>IFERROR(__xludf.DUMMYFUNCTION("""COMPUTED_VALUE"""),10951.0)</f>
        <v>10951</v>
      </c>
      <c r="B154" s="3" t="str">
        <f>IFERROR(__xludf.DUMMYFUNCTION("""COMPUTED_VALUE"""),"403 HANNAH RD")</f>
        <v>403 HANNAH RD</v>
      </c>
      <c r="C154" s="3" t="str">
        <f>IFERROR(__xludf.DUMMYFUNCTION("""COMPUTED_VALUE"""),"BAILIEBORO")</f>
        <v>BAILIEBORO</v>
      </c>
      <c r="D154" s="3" t="str">
        <f>IFERROR(__xludf.DUMMYFUNCTION("""COMPUTED_VALUE"""),"K0L 1B0")</f>
        <v>K0L 1B0</v>
      </c>
      <c r="E154" s="3"/>
      <c r="F154" s="3"/>
      <c r="G154" s="3"/>
      <c r="H154" s="3"/>
    </row>
    <row r="155">
      <c r="A155" s="2">
        <f>IFERROR(__xludf.DUMMYFUNCTION("""COMPUTED_VALUE"""),10952.0)</f>
        <v>10952</v>
      </c>
      <c r="B155" s="3" t="str">
        <f>IFERROR(__xludf.DUMMYFUNCTION("""COMPUTED_VALUE"""),"407 HANNAH RD")</f>
        <v>407 HANNAH RD</v>
      </c>
      <c r="C155" s="3" t="str">
        <f>IFERROR(__xludf.DUMMYFUNCTION("""COMPUTED_VALUE"""),"BAILIEBORO")</f>
        <v>BAILIEBORO</v>
      </c>
      <c r="D155" s="3" t="str">
        <f>IFERROR(__xludf.DUMMYFUNCTION("""COMPUTED_VALUE"""),"K0L 1B0")</f>
        <v>K0L 1B0</v>
      </c>
      <c r="E155" s="3"/>
      <c r="F155" s="3"/>
      <c r="G155" s="3"/>
      <c r="H155" s="3"/>
    </row>
    <row r="156">
      <c r="A156" s="2">
        <f>IFERROR(__xludf.DUMMYFUNCTION("""COMPUTED_VALUE"""),10953.0)</f>
        <v>10953</v>
      </c>
      <c r="B156" s="3" t="str">
        <f>IFERROR(__xludf.DUMMYFUNCTION("""COMPUTED_VALUE"""),"409 HANNAH RD")</f>
        <v>409 HANNAH RD</v>
      </c>
      <c r="C156" s="3" t="str">
        <f>IFERROR(__xludf.DUMMYFUNCTION("""COMPUTED_VALUE"""),"BAILIEBORO")</f>
        <v>BAILIEBORO</v>
      </c>
      <c r="D156" s="3" t="str">
        <f>IFERROR(__xludf.DUMMYFUNCTION("""COMPUTED_VALUE"""),"K0L 1B0")</f>
        <v>K0L 1B0</v>
      </c>
      <c r="E156" s="3"/>
      <c r="F156" s="3"/>
      <c r="G156" s="3"/>
      <c r="H156" s="3"/>
    </row>
    <row r="157">
      <c r="A157" s="2">
        <f>IFERROR(__xludf.DUMMYFUNCTION("""COMPUTED_VALUE"""),10954.0)</f>
        <v>10954</v>
      </c>
      <c r="B157" s="3" t="str">
        <f>IFERROR(__xludf.DUMMYFUNCTION("""COMPUTED_VALUE"""),"415 HANNAH RD")</f>
        <v>415 HANNAH RD</v>
      </c>
      <c r="C157" s="3" t="str">
        <f>IFERROR(__xludf.DUMMYFUNCTION("""COMPUTED_VALUE"""),"BAILIEBORO")</f>
        <v>BAILIEBORO</v>
      </c>
      <c r="D157" s="3" t="str">
        <f>IFERROR(__xludf.DUMMYFUNCTION("""COMPUTED_VALUE"""),"K0L 1B0")</f>
        <v>K0L 1B0</v>
      </c>
      <c r="E157" s="3" t="str">
        <f>IFERROR(__xludf.DUMMYFUNCTION("""COMPUTED_VALUE"""),"Alan &amp; Chris louden")</f>
        <v>Alan &amp; Chris louden</v>
      </c>
      <c r="F157" s="3" t="str">
        <f>IFERROR(__xludf.DUMMYFUNCTION("""COMPUTED_VALUE"""),"Alandchrissie@gmail.com")</f>
        <v>Alandchrissie@gmail.com</v>
      </c>
      <c r="G157" s="3"/>
      <c r="H157" s="3"/>
    </row>
    <row r="158">
      <c r="A158" s="2">
        <f>IFERROR(__xludf.DUMMYFUNCTION("""COMPUTED_VALUE"""),10955.0)</f>
        <v>10955</v>
      </c>
      <c r="B158" s="3" t="str">
        <f>IFERROR(__xludf.DUMMYFUNCTION("""COMPUTED_VALUE"""),"423 HANNAH RD")</f>
        <v>423 HANNAH RD</v>
      </c>
      <c r="C158" s="3" t="str">
        <f>IFERROR(__xludf.DUMMYFUNCTION("""COMPUTED_VALUE"""),"BAILIEBORO")</f>
        <v>BAILIEBORO</v>
      </c>
      <c r="D158" s="3" t="str">
        <f>IFERROR(__xludf.DUMMYFUNCTION("""COMPUTED_VALUE"""),"K0L 1B0")</f>
        <v>K0L 1B0</v>
      </c>
      <c r="E158" s="3"/>
      <c r="F158" s="3"/>
      <c r="G158" s="3"/>
      <c r="H158" s="3"/>
    </row>
    <row r="159">
      <c r="A159" s="2">
        <f>IFERROR(__xludf.DUMMYFUNCTION("""COMPUTED_VALUE"""),10957.0)</f>
        <v>10957</v>
      </c>
      <c r="B159" s="3" t="str">
        <f>IFERROR(__xludf.DUMMYFUNCTION("""COMPUTED_VALUE"""),"435 HANNAH RD")</f>
        <v>435 HANNAH RD</v>
      </c>
      <c r="C159" s="3" t="str">
        <f>IFERROR(__xludf.DUMMYFUNCTION("""COMPUTED_VALUE"""),"BAILIEBORO")</f>
        <v>BAILIEBORO</v>
      </c>
      <c r="D159" s="3" t="str">
        <f>IFERROR(__xludf.DUMMYFUNCTION("""COMPUTED_VALUE"""),"K0L 1B0")</f>
        <v>K0L 1B0</v>
      </c>
      <c r="E159" s="3" t="str">
        <f>IFERROR(__xludf.DUMMYFUNCTION("""COMPUTED_VALUE"""),"Larry Philipidis")</f>
        <v>Larry Philipidis</v>
      </c>
      <c r="F159" s="3"/>
      <c r="G159" s="3"/>
      <c r="H159" s="3"/>
    </row>
    <row r="160">
      <c r="A160" s="2">
        <f>IFERROR(__xludf.DUMMYFUNCTION("""COMPUTED_VALUE"""),10958.0)</f>
        <v>10958</v>
      </c>
      <c r="B160" s="3" t="str">
        <f>IFERROR(__xludf.DUMMYFUNCTION("""COMPUTED_VALUE"""),"439 HANNAH RD")</f>
        <v>439 HANNAH RD</v>
      </c>
      <c r="C160" s="3" t="str">
        <f>IFERROR(__xludf.DUMMYFUNCTION("""COMPUTED_VALUE"""),"BAILIEBORO")</f>
        <v>BAILIEBORO</v>
      </c>
      <c r="D160" s="3" t="str">
        <f>IFERROR(__xludf.DUMMYFUNCTION("""COMPUTED_VALUE"""),"K0L 1B0")</f>
        <v>K0L 1B0</v>
      </c>
      <c r="E160" s="3"/>
      <c r="F160" s="3"/>
      <c r="G160" s="3"/>
      <c r="H160" s="3"/>
    </row>
    <row r="161">
      <c r="A161" s="2">
        <f>IFERROR(__xludf.DUMMYFUNCTION("""COMPUTED_VALUE"""),10960.0)</f>
        <v>10960</v>
      </c>
      <c r="B161" s="3" t="str">
        <f>IFERROR(__xludf.DUMMYFUNCTION("""COMPUTED_VALUE"""),"449 HANNAH RD")</f>
        <v>449 HANNAH RD</v>
      </c>
      <c r="C161" s="3" t="str">
        <f>IFERROR(__xludf.DUMMYFUNCTION("""COMPUTED_VALUE"""),"BAILIEBORO")</f>
        <v>BAILIEBORO</v>
      </c>
      <c r="D161" s="3" t="str">
        <f>IFERROR(__xludf.DUMMYFUNCTION("""COMPUTED_VALUE"""),"K0L 1B0")</f>
        <v>K0L 1B0</v>
      </c>
      <c r="E161" s="3" t="str">
        <f>IFERROR(__xludf.DUMMYFUNCTION("""COMPUTED_VALUE"""),"Adam Carter ")</f>
        <v>Adam Carter </v>
      </c>
      <c r="F161" s="3" t="str">
        <f>IFERROR(__xludf.DUMMYFUNCTION("""COMPUTED_VALUE"""),"Canadahvacdesign@gmail.com")</f>
        <v>Canadahvacdesign@gmail.com</v>
      </c>
      <c r="G161" s="3"/>
      <c r="H161" s="3"/>
    </row>
    <row r="162">
      <c r="A162" s="2">
        <f>IFERROR(__xludf.DUMMYFUNCTION("""COMPUTED_VALUE"""),10836.0)</f>
        <v>10836</v>
      </c>
      <c r="B162" s="3" t="str">
        <f>IFERROR(__xludf.DUMMYFUNCTION("""COMPUTED_VALUE"""),"471 EAST TOWNLINE RD")</f>
        <v>471 EAST TOWNLINE RD</v>
      </c>
      <c r="C162" s="3" t="str">
        <f>IFERROR(__xludf.DUMMYFUNCTION("""COMPUTED_VALUE"""),"NEWCASTLE")</f>
        <v>NEWCASTLE</v>
      </c>
      <c r="D162" s="3" t="str">
        <f>IFERROR(__xludf.DUMMYFUNCTION("""COMPUTED_VALUE"""),"L1B 1L9")</f>
        <v>L1B 1L9</v>
      </c>
      <c r="E162" s="3" t="str">
        <f>IFERROR(__xludf.DUMMYFUNCTION("""COMPUTED_VALUE"""),"Robert Edgar")</f>
        <v>Robert Edgar</v>
      </c>
      <c r="F162" s="3" t="str">
        <f>IFERROR(__xludf.DUMMYFUNCTION("""COMPUTED_VALUE"""),"lakeboobay@aol.com")</f>
        <v>lakeboobay@aol.com</v>
      </c>
      <c r="G162" s="3"/>
      <c r="H162" s="3"/>
    </row>
    <row r="163">
      <c r="A163" s="2">
        <f>IFERROR(__xludf.DUMMYFUNCTION("""COMPUTED_VALUE"""),10122.0)</f>
        <v>10122</v>
      </c>
      <c r="B163" s="3" t="str">
        <f>IFERROR(__xludf.DUMMYFUNCTION("""COMPUTED_VALUE"""),"483 6TH LINE")</f>
        <v>483 6TH LINE</v>
      </c>
      <c r="C163" s="3" t="str">
        <f>IFERROR(__xludf.DUMMYFUNCTION("""COMPUTED_VALUE"""),"NEWTONVILLE")</f>
        <v>NEWTONVILLE</v>
      </c>
      <c r="D163" s="3" t="str">
        <f>IFERROR(__xludf.DUMMYFUNCTION("""COMPUTED_VALUE"""),"L0A 1J0")</f>
        <v>L0A 1J0</v>
      </c>
      <c r="E163" s="3" t="str">
        <f>IFERROR(__xludf.DUMMYFUNCTION("""COMPUTED_VALUE"""),"Sabrina Ellis")</f>
        <v>Sabrina Ellis</v>
      </c>
      <c r="F163" s="3" t="str">
        <f>IFERROR(__xludf.DUMMYFUNCTION("""COMPUTED_VALUE"""),"sabrina8891@hotmail.com")</f>
        <v>sabrina8891@hotmail.com</v>
      </c>
      <c r="G163" s="3"/>
      <c r="H163" s="3"/>
    </row>
    <row r="164">
      <c r="A164" s="2">
        <f>IFERROR(__xludf.DUMMYFUNCTION("""COMPUTED_VALUE"""),10837.0)</f>
        <v>10837</v>
      </c>
      <c r="B164" s="3" t="str">
        <f>IFERROR(__xludf.DUMMYFUNCTION("""COMPUTED_VALUE"""),"485 EAST TOWNLINE RD")</f>
        <v>485 EAST TOWNLINE RD</v>
      </c>
      <c r="C164" s="3" t="str">
        <f>IFERROR(__xludf.DUMMYFUNCTION("""COMPUTED_VALUE"""),"NEWCASTLE")</f>
        <v>NEWCASTLE</v>
      </c>
      <c r="D164" s="3" t="str">
        <f>IFERROR(__xludf.DUMMYFUNCTION("""COMPUTED_VALUE"""),"L1B 1L9")</f>
        <v>L1B 1L9</v>
      </c>
      <c r="E164" s="3" t="str">
        <f>IFERROR(__xludf.DUMMYFUNCTION("""COMPUTED_VALUE"""),"Carole Owens")</f>
        <v>Carole Owens</v>
      </c>
      <c r="F164" s="3"/>
      <c r="G164" s="3"/>
      <c r="H164" s="3"/>
    </row>
    <row r="165">
      <c r="A165" s="2">
        <f>IFERROR(__xludf.DUMMYFUNCTION("""COMPUTED_VALUE"""),10510.0)</f>
        <v>10510</v>
      </c>
      <c r="B165" s="3" t="str">
        <f>IFERROR(__xludf.DUMMYFUNCTION("""COMPUTED_VALUE"""),"500 COUNTY RD 2 B")</f>
        <v>500 COUNTY RD 2 B</v>
      </c>
      <c r="C165" s="3" t="str">
        <f>IFERROR(__xludf.DUMMYFUNCTION("""COMPUTED_VALUE"""),"PORT HOPE")</f>
        <v>PORT HOPE</v>
      </c>
      <c r="D165" s="3" t="str">
        <f>IFERROR(__xludf.DUMMYFUNCTION("""COMPUTED_VALUE"""),"L1A 3V7")</f>
        <v>L1A 3V7</v>
      </c>
      <c r="E165" s="3" t="str">
        <f>IFERROR(__xludf.DUMMYFUNCTION("""COMPUTED_VALUE"""),"lonnie mcbride")</f>
        <v>lonnie mcbride</v>
      </c>
      <c r="F165" s="3" t="str">
        <f>IFERROR(__xludf.DUMMYFUNCTION("""COMPUTED_VALUE"""),"mcbridefarms@hotmail.com")</f>
        <v>mcbridefarms@hotmail.com</v>
      </c>
      <c r="G165" s="3"/>
      <c r="H165" s="3"/>
    </row>
    <row r="166">
      <c r="A166" s="2">
        <f>IFERROR(__xludf.DUMMYFUNCTION("""COMPUTED_VALUE"""),10511.0)</f>
        <v>10511</v>
      </c>
      <c r="B166" s="3" t="str">
        <f>IFERROR(__xludf.DUMMYFUNCTION("""COMPUTED_VALUE"""),"500 COUNTY RD 2 C")</f>
        <v>500 COUNTY RD 2 C</v>
      </c>
      <c r="C166" s="3" t="str">
        <f>IFERROR(__xludf.DUMMYFUNCTION("""COMPUTED_VALUE"""),"PORT HOPE")</f>
        <v>PORT HOPE</v>
      </c>
      <c r="D166" s="3" t="str">
        <f>IFERROR(__xludf.DUMMYFUNCTION("""COMPUTED_VALUE"""),"L1A 3V7")</f>
        <v>L1A 3V7</v>
      </c>
      <c r="E166" s="3" t="str">
        <f>IFERROR(__xludf.DUMMYFUNCTION("""COMPUTED_VALUE"""),"leslie mcbride ")</f>
        <v>leslie mcbride </v>
      </c>
      <c r="F166" s="3" t="str">
        <f>IFERROR(__xludf.DUMMYFUNCTION("""COMPUTED_VALUE"""),"lkmcbride@hotmail..com")</f>
        <v>lkmcbride@hotmail..com</v>
      </c>
      <c r="G166" s="3"/>
      <c r="H166" s="3"/>
    </row>
    <row r="167">
      <c r="A167" s="2">
        <f>IFERROR(__xludf.DUMMYFUNCTION("""COMPUTED_VALUE"""),10512.0)</f>
        <v>10512</v>
      </c>
      <c r="B167" s="3" t="str">
        <f>IFERROR(__xludf.DUMMYFUNCTION("""COMPUTED_VALUE"""),"513 COUNTY RD 2")</f>
        <v>513 COUNTY RD 2</v>
      </c>
      <c r="C167" s="3" t="str">
        <f>IFERROR(__xludf.DUMMYFUNCTION("""COMPUTED_VALUE"""),"PORT HOPE")</f>
        <v>PORT HOPE</v>
      </c>
      <c r="D167" s="3" t="str">
        <f>IFERROR(__xludf.DUMMYFUNCTION("""COMPUTED_VALUE"""),"L1A 3V7")</f>
        <v>L1A 3V7</v>
      </c>
      <c r="E167" s="3" t="str">
        <f>IFERROR(__xludf.DUMMYFUNCTION("""COMPUTED_VALUE"""),"Larrie McBride ")</f>
        <v>Larrie McBride </v>
      </c>
      <c r="F167" s="3"/>
      <c r="G167" s="3"/>
      <c r="H167" s="3"/>
    </row>
    <row r="168">
      <c r="A168" s="2">
        <f>IFERROR(__xludf.DUMMYFUNCTION("""COMPUTED_VALUE"""),10838.0)</f>
        <v>10838</v>
      </c>
      <c r="B168" s="3" t="str">
        <f>IFERROR(__xludf.DUMMYFUNCTION("""COMPUTED_VALUE"""),"517 EAST TOWNLINE RD")</f>
        <v>517 EAST TOWNLINE RD</v>
      </c>
      <c r="C168" s="3" t="str">
        <f>IFERROR(__xludf.DUMMYFUNCTION("""COMPUTED_VALUE"""),"NEWCASTLE")</f>
        <v>NEWCASTLE</v>
      </c>
      <c r="D168" s="3" t="str">
        <f>IFERROR(__xludf.DUMMYFUNCTION("""COMPUTED_VALUE"""),"L1B 1L9")</f>
        <v>L1B 1L9</v>
      </c>
      <c r="E168" s="3" t="str">
        <f>IFERROR(__xludf.DUMMYFUNCTION("""COMPUTED_VALUE"""),"Donald &amp; Kelley Truax ")</f>
        <v>Donald &amp; Kelley Truax </v>
      </c>
      <c r="F168" s="3" t="str">
        <f>IFERROR(__xludf.DUMMYFUNCTION("""COMPUTED_VALUE"""),"kelleytruax@gmail.com")</f>
        <v>kelleytruax@gmail.com</v>
      </c>
      <c r="G168" s="3"/>
      <c r="H168" s="3"/>
    </row>
    <row r="169">
      <c r="A169" s="2">
        <f>IFERROR(__xludf.DUMMYFUNCTION("""COMPUTED_VALUE"""),10839.0)</f>
        <v>10839</v>
      </c>
      <c r="B169" s="3" t="str">
        <f>IFERROR(__xludf.DUMMYFUNCTION("""COMPUTED_VALUE"""),"529 EAST TOWNLINE RD")</f>
        <v>529 EAST TOWNLINE RD</v>
      </c>
      <c r="C169" s="3" t="str">
        <f>IFERROR(__xludf.DUMMYFUNCTION("""COMPUTED_VALUE"""),"NEWCASTLE")</f>
        <v>NEWCASTLE</v>
      </c>
      <c r="D169" s="3" t="str">
        <f>IFERROR(__xludf.DUMMYFUNCTION("""COMPUTED_VALUE"""),"L1B 1L9")</f>
        <v>L1B 1L9</v>
      </c>
      <c r="E169" s="3"/>
      <c r="F169" s="3"/>
      <c r="G169" s="3"/>
      <c r="H169" s="3"/>
    </row>
    <row r="170">
      <c r="A170" s="2">
        <f>IFERROR(__xludf.DUMMYFUNCTION("""COMPUTED_VALUE"""),10840.0)</f>
        <v>10840</v>
      </c>
      <c r="B170" s="3" t="str">
        <f>IFERROR(__xludf.DUMMYFUNCTION("""COMPUTED_VALUE"""),"543 EAST TOWNLINE RD")</f>
        <v>543 EAST TOWNLINE RD</v>
      </c>
      <c r="C170" s="3" t="str">
        <f>IFERROR(__xludf.DUMMYFUNCTION("""COMPUTED_VALUE"""),"NEWCASTLE")</f>
        <v>NEWCASTLE</v>
      </c>
      <c r="D170" s="3" t="str">
        <f>IFERROR(__xludf.DUMMYFUNCTION("""COMPUTED_VALUE"""),"L1B 1L9")</f>
        <v>L1B 1L9</v>
      </c>
      <c r="E170" s="3" t="str">
        <f>IFERROR(__xludf.DUMMYFUNCTION("""COMPUTED_VALUE"""),"Ferrier")</f>
        <v>Ferrier</v>
      </c>
      <c r="F170" s="3"/>
      <c r="G170" s="3"/>
      <c r="H170" s="3"/>
    </row>
    <row r="171">
      <c r="A171" s="2">
        <f>IFERROR(__xludf.DUMMYFUNCTION("""COMPUTED_VALUE"""),10123.0)</f>
        <v>10123</v>
      </c>
      <c r="B171" s="3" t="str">
        <f>IFERROR(__xludf.DUMMYFUNCTION("""COMPUTED_VALUE"""),"572 6TH LINE")</f>
        <v>572 6TH LINE</v>
      </c>
      <c r="C171" s="3" t="str">
        <f>IFERROR(__xludf.DUMMYFUNCTION("""COMPUTED_VALUE"""),"NEWTONVILLE")</f>
        <v>NEWTONVILLE</v>
      </c>
      <c r="D171" s="3" t="str">
        <f>IFERROR(__xludf.DUMMYFUNCTION("""COMPUTED_VALUE"""),"L0A 1J0")</f>
        <v>L0A 1J0</v>
      </c>
      <c r="E171" s="3" t="str">
        <f>IFERROR(__xludf.DUMMYFUNCTION("""COMPUTED_VALUE"""),"tony mercieca")</f>
        <v>tony mercieca</v>
      </c>
      <c r="F171" s="3" t="str">
        <f>IFERROR(__xludf.DUMMYFUNCTION("""COMPUTED_VALUE"""),"tmercieca572@gmail.com")</f>
        <v>tmercieca572@gmail.com</v>
      </c>
      <c r="G171" s="3"/>
      <c r="H171" s="3"/>
    </row>
    <row r="172">
      <c r="A172" s="2">
        <f>IFERROR(__xludf.DUMMYFUNCTION("""COMPUTED_VALUE"""),10068.0)</f>
        <v>10068</v>
      </c>
      <c r="B172" s="3" t="str">
        <f>IFERROR(__xludf.DUMMYFUNCTION("""COMPUTED_VALUE"""),"609 5TH LINE SUITE A")</f>
        <v>609 5TH LINE SUITE A</v>
      </c>
      <c r="C172" s="3" t="str">
        <f>IFERROR(__xludf.DUMMYFUNCTION("""COMPUTED_VALUE"""),"NEWTONVILLE")</f>
        <v>NEWTONVILLE</v>
      </c>
      <c r="D172" s="3" t="str">
        <f>IFERROR(__xludf.DUMMYFUNCTION("""COMPUTED_VALUE"""),"L0A 1J0")</f>
        <v>L0A 1J0</v>
      </c>
      <c r="E172" s="3"/>
      <c r="F172" s="3"/>
      <c r="G172" s="3"/>
      <c r="H172" s="3"/>
    </row>
    <row r="173">
      <c r="A173" s="2">
        <f>IFERROR(__xludf.DUMMYFUNCTION("""COMPUTED_VALUE"""),10513.0)</f>
        <v>10513</v>
      </c>
      <c r="B173" s="3" t="str">
        <f>IFERROR(__xludf.DUMMYFUNCTION("""COMPUTED_VALUE"""),"654 COUNTY RD 2")</f>
        <v>654 COUNTY RD 2</v>
      </c>
      <c r="C173" s="3" t="str">
        <f>IFERROR(__xludf.DUMMYFUNCTION("""COMPUTED_VALUE"""),"PORT HOPE")</f>
        <v>PORT HOPE</v>
      </c>
      <c r="D173" s="3" t="str">
        <f>IFERROR(__xludf.DUMMYFUNCTION("""COMPUTED_VALUE"""),"L1A 3V7")</f>
        <v>L1A 3V7</v>
      </c>
      <c r="E173" s="3" t="str">
        <f>IFERROR(__xludf.DUMMYFUNCTION("""COMPUTED_VALUE"""),"JERAMIE J MCBRIDE")</f>
        <v>JERAMIE J MCBRIDE</v>
      </c>
      <c r="F173" s="3" t="str">
        <f>IFERROR(__xludf.DUMMYFUNCTION("""COMPUTED_VALUE"""),"purelyirish@hotmail.com")</f>
        <v>purelyirish@hotmail.com</v>
      </c>
      <c r="G173" s="3"/>
      <c r="H173" s="3"/>
    </row>
    <row r="174">
      <c r="A174" s="2">
        <f>IFERROR(__xludf.DUMMYFUNCTION("""COMPUTED_VALUE"""),10852.0)</f>
        <v>10852</v>
      </c>
      <c r="B174" s="3" t="str">
        <f>IFERROR(__xludf.DUMMYFUNCTION("""COMPUTED_VALUE"""),"685 EAST TOWNLINE RD")</f>
        <v>685 EAST TOWNLINE RD</v>
      </c>
      <c r="C174" s="3" t="str">
        <f>IFERROR(__xludf.DUMMYFUNCTION("""COMPUTED_VALUE"""),"NEWCASTLE")</f>
        <v>NEWCASTLE</v>
      </c>
      <c r="D174" s="3" t="str">
        <f>IFERROR(__xludf.DUMMYFUNCTION("""COMPUTED_VALUE"""),"L1B 1L9")</f>
        <v>L1B 1L9</v>
      </c>
      <c r="E174" s="3"/>
      <c r="F174" s="3"/>
      <c r="G174" s="3"/>
      <c r="H174" s="3"/>
    </row>
    <row r="175">
      <c r="A175" s="2">
        <f>IFERROR(__xludf.DUMMYFUNCTION("""COMPUTED_VALUE"""),10124.0)</f>
        <v>10124</v>
      </c>
      <c r="B175" s="3" t="str">
        <f>IFERROR(__xludf.DUMMYFUNCTION("""COMPUTED_VALUE"""),"765 6TH LINE")</f>
        <v>765 6TH LINE</v>
      </c>
      <c r="C175" s="3" t="str">
        <f>IFERROR(__xludf.DUMMYFUNCTION("""COMPUTED_VALUE"""),"NEWTONVILLE")</f>
        <v>NEWTONVILLE</v>
      </c>
      <c r="D175" s="3" t="str">
        <f>IFERROR(__xludf.DUMMYFUNCTION("""COMPUTED_VALUE"""),"L0A 1J0")</f>
        <v>L0A 1J0</v>
      </c>
      <c r="E175" s="3" t="str">
        <f>IFERROR(__xludf.DUMMYFUNCTION("""COMPUTED_VALUE"""),"Peter Traicus")</f>
        <v>Peter Traicus</v>
      </c>
      <c r="F175" s="3" t="str">
        <f>IFERROR(__xludf.DUMMYFUNCTION("""COMPUTED_VALUE"""),"ktraicus@yahoo.ca")</f>
        <v>ktraicus@yahoo.ca</v>
      </c>
      <c r="G175" s="3"/>
      <c r="H175" s="3"/>
    </row>
    <row r="176">
      <c r="A176" s="2">
        <f>IFERROR(__xludf.DUMMYFUNCTION("""COMPUTED_VALUE"""),10069.0)</f>
        <v>10069</v>
      </c>
      <c r="B176" s="3" t="str">
        <f>IFERROR(__xludf.DUMMYFUNCTION("""COMPUTED_VALUE"""),"788 5TH LINE")</f>
        <v>788 5TH LINE</v>
      </c>
      <c r="C176" s="3" t="str">
        <f>IFERROR(__xludf.DUMMYFUNCTION("""COMPUTED_VALUE"""),"NEWTONVILLE")</f>
        <v>NEWTONVILLE</v>
      </c>
      <c r="D176" s="3" t="str">
        <f>IFERROR(__xludf.DUMMYFUNCTION("""COMPUTED_VALUE"""),"L0A 1J0")</f>
        <v>L0A 1J0</v>
      </c>
      <c r="E176" s="3" t="str">
        <f>IFERROR(__xludf.DUMMYFUNCTION("""COMPUTED_VALUE"""),"GREG MCDOWELL")</f>
        <v>GREG MCDOWELL</v>
      </c>
      <c r="F176" s="3" t="str">
        <f>IFERROR(__xludf.DUMMYFUNCTION("""COMPUTED_VALUE"""),"rentals@istar.ca")</f>
        <v>rentals@istar.ca</v>
      </c>
      <c r="G176" s="3"/>
      <c r="H176" s="3"/>
    </row>
    <row r="177">
      <c r="A177" s="2">
        <f>IFERROR(__xludf.DUMMYFUNCTION("""COMPUTED_VALUE"""),10125.0)</f>
        <v>10125</v>
      </c>
      <c r="B177" s="3" t="str">
        <f>IFERROR(__xludf.DUMMYFUNCTION("""COMPUTED_VALUE"""),"813 6TH LINE")</f>
        <v>813 6TH LINE</v>
      </c>
      <c r="C177" s="3" t="str">
        <f>IFERROR(__xludf.DUMMYFUNCTION("""COMPUTED_VALUE"""),"NEWTONVILLE")</f>
        <v>NEWTONVILLE</v>
      </c>
      <c r="D177" s="3" t="str">
        <f>IFERROR(__xludf.DUMMYFUNCTION("""COMPUTED_VALUE"""),"L0A 1J0")</f>
        <v>L0A 1J0</v>
      </c>
      <c r="E177" s="3"/>
      <c r="F177" s="3"/>
      <c r="G177" s="3"/>
      <c r="H177" s="3"/>
    </row>
    <row r="178">
      <c r="A178" s="2">
        <f>IFERROR(__xludf.DUMMYFUNCTION("""COMPUTED_VALUE"""),10013.0)</f>
        <v>10013</v>
      </c>
      <c r="B178" s="3" t="str">
        <f>IFERROR(__xludf.DUMMYFUNCTION("""COMPUTED_VALUE"""),"826 4TH LINE")</f>
        <v>826 4TH LINE</v>
      </c>
      <c r="C178" s="3" t="str">
        <f>IFERROR(__xludf.DUMMYFUNCTION("""COMPUTED_VALUE"""),"PORT HOPE")</f>
        <v>PORT HOPE</v>
      </c>
      <c r="D178" s="3" t="str">
        <f>IFERROR(__xludf.DUMMYFUNCTION("""COMPUTED_VALUE"""),"L1A 3V7")</f>
        <v>L1A 3V7</v>
      </c>
      <c r="E178" s="3" t="str">
        <f>IFERROR(__xludf.DUMMYFUNCTION("""COMPUTED_VALUE"""),"Ramethkener shanmuganathan")</f>
        <v>Ramethkener shanmuganathan</v>
      </c>
      <c r="F178" s="3" t="str">
        <f>IFERROR(__xludf.DUMMYFUNCTION("""COMPUTED_VALUE"""),"ramasfarm@gmail.com")</f>
        <v>ramasfarm@gmail.com</v>
      </c>
      <c r="G178" s="3"/>
      <c r="H178" s="3"/>
    </row>
    <row r="179">
      <c r="A179" s="2">
        <f>IFERROR(__xludf.DUMMYFUNCTION("""COMPUTED_VALUE"""),10514.0)</f>
        <v>10514</v>
      </c>
      <c r="B179" s="3" t="str">
        <f>IFERROR(__xludf.DUMMYFUNCTION("""COMPUTED_VALUE"""),"848 COUNTY RD 2")</f>
        <v>848 COUNTY RD 2</v>
      </c>
      <c r="C179" s="3" t="str">
        <f>IFERROR(__xludf.DUMMYFUNCTION("""COMPUTED_VALUE"""),"PORT HOPE")</f>
        <v>PORT HOPE</v>
      </c>
      <c r="D179" s="3" t="str">
        <f>IFERROR(__xludf.DUMMYFUNCTION("""COMPUTED_VALUE"""),"L1A 3V7")</f>
        <v>L1A 3V7</v>
      </c>
      <c r="E179" s="3" t="str">
        <f>IFERROR(__xludf.DUMMYFUNCTION("""COMPUTED_VALUE""")," Rameshkumar shanmuganathan")</f>
        <v> Rameshkumar shanmuganathan</v>
      </c>
      <c r="F179" s="3"/>
      <c r="G179" s="3"/>
      <c r="H179" s="3"/>
    </row>
    <row r="180">
      <c r="A180" s="2">
        <f>IFERROR(__xludf.DUMMYFUNCTION("""COMPUTED_VALUE"""),10070.0)</f>
        <v>10070</v>
      </c>
      <c r="B180" s="3" t="str">
        <f>IFERROR(__xludf.DUMMYFUNCTION("""COMPUTED_VALUE"""),"864 5TH LINE")</f>
        <v>864 5TH LINE</v>
      </c>
      <c r="C180" s="3" t="str">
        <f>IFERROR(__xludf.DUMMYFUNCTION("""COMPUTED_VALUE"""),"NEWTONVILLE")</f>
        <v>NEWTONVILLE</v>
      </c>
      <c r="D180" s="3" t="str">
        <f>IFERROR(__xludf.DUMMYFUNCTION("""COMPUTED_VALUE"""),"L0A 1J0")</f>
        <v>L0A 1J0</v>
      </c>
      <c r="E180" s="3"/>
      <c r="F180" s="3"/>
      <c r="G180" s="3"/>
      <c r="H180" s="3"/>
    </row>
    <row r="181">
      <c r="A181" s="2">
        <f>IFERROR(__xludf.DUMMYFUNCTION("""COMPUTED_VALUE"""),10126.0)</f>
        <v>10126</v>
      </c>
      <c r="B181" s="3" t="str">
        <f>IFERROR(__xludf.DUMMYFUNCTION("""COMPUTED_VALUE"""),"867 6TH LINE")</f>
        <v>867 6TH LINE</v>
      </c>
      <c r="C181" s="3" t="str">
        <f>IFERROR(__xludf.DUMMYFUNCTION("""COMPUTED_VALUE"""),"NEWTONVILLE")</f>
        <v>NEWTONVILLE</v>
      </c>
      <c r="D181" s="3" t="str">
        <f>IFERROR(__xludf.DUMMYFUNCTION("""COMPUTED_VALUE"""),"L0A 1J0")</f>
        <v>L0A 1J0</v>
      </c>
      <c r="E181" s="3"/>
      <c r="F181" s="3"/>
      <c r="G181" s="3"/>
      <c r="H181" s="3"/>
    </row>
    <row r="182">
      <c r="A182" s="2">
        <f>IFERROR(__xludf.DUMMYFUNCTION("""COMPUTED_VALUE"""),10515.0)</f>
        <v>10515</v>
      </c>
      <c r="B182" s="3" t="str">
        <f>IFERROR(__xludf.DUMMYFUNCTION("""COMPUTED_VALUE"""),"881 COUNTY RD 2")</f>
        <v>881 COUNTY RD 2</v>
      </c>
      <c r="C182" s="3" t="str">
        <f>IFERROR(__xludf.DUMMYFUNCTION("""COMPUTED_VALUE"""),"PORT HOPE")</f>
        <v>PORT HOPE</v>
      </c>
      <c r="D182" s="3" t="str">
        <f>IFERROR(__xludf.DUMMYFUNCTION("""COMPUTED_VALUE"""),"L1A 3V7")</f>
        <v>L1A 3V7</v>
      </c>
      <c r="E182" s="3" t="str">
        <f>IFERROR(__xludf.DUMMYFUNCTION("""COMPUTED_VALUE"""),"Matthew Mcbride")</f>
        <v>Matthew Mcbride</v>
      </c>
      <c r="F182" s="3"/>
      <c r="G182" s="3"/>
      <c r="H182" s="3"/>
    </row>
    <row r="183">
      <c r="A183" s="2">
        <f>IFERROR(__xludf.DUMMYFUNCTION("""COMPUTED_VALUE"""),10516.0)</f>
        <v>10516</v>
      </c>
      <c r="B183" s="3" t="str">
        <f>IFERROR(__xludf.DUMMYFUNCTION("""COMPUTED_VALUE"""),"922 COUNTY RD 2")</f>
        <v>922 COUNTY RD 2</v>
      </c>
      <c r="C183" s="3" t="str">
        <f>IFERROR(__xludf.DUMMYFUNCTION("""COMPUTED_VALUE"""),"PORT HOPE")</f>
        <v>PORT HOPE</v>
      </c>
      <c r="D183" s="3" t="str">
        <f>IFERROR(__xludf.DUMMYFUNCTION("""COMPUTED_VALUE"""),"L1A 3V7")</f>
        <v>L1A 3V7</v>
      </c>
      <c r="E183" s="3" t="str">
        <f>IFERROR(__xludf.DUMMYFUNCTION("""COMPUTED_VALUE"""),"Judy Paulsen")</f>
        <v>Judy Paulsen</v>
      </c>
      <c r="F183" s="3" t="str">
        <f>IFERROR(__xludf.DUMMYFUNCTION("""COMPUTED_VALUE"""),"japaulsen25@gmail.com")</f>
        <v>japaulsen25@gmail.com</v>
      </c>
      <c r="G183" s="3"/>
      <c r="H183" s="3"/>
    </row>
    <row r="184">
      <c r="A184" s="2">
        <f>IFERROR(__xludf.DUMMYFUNCTION("""COMPUTED_VALUE"""),10071.0)</f>
        <v>10071</v>
      </c>
      <c r="B184" s="3" t="str">
        <f>IFERROR(__xludf.DUMMYFUNCTION("""COMPUTED_VALUE"""),"928 5TH LINE")</f>
        <v>928 5TH LINE</v>
      </c>
      <c r="C184" s="3" t="str">
        <f>IFERROR(__xludf.DUMMYFUNCTION("""COMPUTED_VALUE"""),"NEWTONVILLE")</f>
        <v>NEWTONVILLE</v>
      </c>
      <c r="D184" s="3" t="str">
        <f>IFERROR(__xludf.DUMMYFUNCTION("""COMPUTED_VALUE"""),"L0A 1J0")</f>
        <v>L0A 1J0</v>
      </c>
      <c r="E184" s="3" t="str">
        <f>IFERROR(__xludf.DUMMYFUNCTION("""COMPUTED_VALUE"""),"Margo &amp; Jim Kelly ")</f>
        <v>Margo &amp; Jim Kelly </v>
      </c>
      <c r="F184" s="3" t="str">
        <f>IFERROR(__xludf.DUMMYFUNCTION("""COMPUTED_VALUE"""),"mkelly928@icloud.com")</f>
        <v>mkelly928@icloud.com</v>
      </c>
      <c r="G184" s="3"/>
      <c r="H184" s="3"/>
    </row>
    <row r="185">
      <c r="A185" s="2">
        <f>IFERROR(__xludf.DUMMYFUNCTION("""COMPUTED_VALUE"""),10127.0)</f>
        <v>10127</v>
      </c>
      <c r="B185" s="3" t="str">
        <f>IFERROR(__xludf.DUMMYFUNCTION("""COMPUTED_VALUE"""),"931 6TH LINE")</f>
        <v>931 6TH LINE</v>
      </c>
      <c r="C185" s="3" t="str">
        <f>IFERROR(__xludf.DUMMYFUNCTION("""COMPUTED_VALUE"""),"NEWTONVILLE")</f>
        <v>NEWTONVILLE</v>
      </c>
      <c r="D185" s="3" t="str">
        <f>IFERROR(__xludf.DUMMYFUNCTION("""COMPUTED_VALUE"""),"L0A 1J0")</f>
        <v>L0A 1J0</v>
      </c>
      <c r="E185" s="3"/>
      <c r="F185" s="3"/>
      <c r="G185" s="3"/>
      <c r="H185" s="3"/>
    </row>
    <row r="186">
      <c r="A186" s="2">
        <f>IFERROR(__xludf.DUMMYFUNCTION("""COMPUTED_VALUE"""),10517.0)</f>
        <v>10517</v>
      </c>
      <c r="B186" s="3" t="str">
        <f>IFERROR(__xludf.DUMMYFUNCTION("""COMPUTED_VALUE"""),"953 COUNTY RD 2")</f>
        <v>953 COUNTY RD 2</v>
      </c>
      <c r="C186" s="3" t="str">
        <f>IFERROR(__xludf.DUMMYFUNCTION("""COMPUTED_VALUE"""),"PORT HOPE")</f>
        <v>PORT HOPE</v>
      </c>
      <c r="D186" s="3" t="str">
        <f>IFERROR(__xludf.DUMMYFUNCTION("""COMPUTED_VALUE"""),"L1A 3V7")</f>
        <v>L1A 3V7</v>
      </c>
      <c r="E186" s="3" t="str">
        <f>IFERROR(__xludf.DUMMYFUNCTION("""COMPUTED_VALUE"""),"clara riel")</f>
        <v>clara riel</v>
      </c>
      <c r="F186" s="3" t="str">
        <f>IFERROR(__xludf.DUMMYFUNCTION("""COMPUTED_VALUE"""),"claramayriel@gmail.com")</f>
        <v>claramayriel@gmail.com</v>
      </c>
      <c r="G186" s="3"/>
      <c r="H186" s="3"/>
    </row>
    <row r="187">
      <c r="A187" s="2">
        <f>IFERROR(__xludf.DUMMYFUNCTION("""COMPUTED_VALUE"""),10014.0)</f>
        <v>10014</v>
      </c>
      <c r="B187" s="3" t="str">
        <f>IFERROR(__xludf.DUMMYFUNCTION("""COMPUTED_VALUE"""),"964 4TH LINE")</f>
        <v>964 4TH LINE</v>
      </c>
      <c r="C187" s="3" t="str">
        <f>IFERROR(__xludf.DUMMYFUNCTION("""COMPUTED_VALUE"""),"PORT HOPE")</f>
        <v>PORT HOPE</v>
      </c>
      <c r="D187" s="3" t="str">
        <f>IFERROR(__xludf.DUMMYFUNCTION("""COMPUTED_VALUE"""),"L1A 3V7")</f>
        <v>L1A 3V7</v>
      </c>
      <c r="E187" s="3" t="str">
        <f>IFERROR(__xludf.DUMMYFUNCTION("""COMPUTED_VALUE"""),"branden mcbride")</f>
        <v>branden mcbride</v>
      </c>
      <c r="F187" s="3"/>
      <c r="G187" s="3"/>
      <c r="H187" s="3"/>
    </row>
    <row r="188">
      <c r="A188" s="2">
        <f>IFERROR(__xludf.DUMMYFUNCTION("""COMPUTED_VALUE"""),10015.0)</f>
        <v>10015</v>
      </c>
      <c r="B188" s="3" t="str">
        <f>IFERROR(__xludf.DUMMYFUNCTION("""COMPUTED_VALUE"""),"973 4TH LINE")</f>
        <v>973 4TH LINE</v>
      </c>
      <c r="C188" s="3" t="str">
        <f>IFERROR(__xludf.DUMMYFUNCTION("""COMPUTED_VALUE"""),"PORT HOPE")</f>
        <v>PORT HOPE</v>
      </c>
      <c r="D188" s="3" t="str">
        <f>IFERROR(__xludf.DUMMYFUNCTION("""COMPUTED_VALUE"""),"L1A 3V7")</f>
        <v>L1A 3V7</v>
      </c>
      <c r="E188" s="3" t="str">
        <f>IFERROR(__xludf.DUMMYFUNCTION("""COMPUTED_VALUE"""),"john knight")</f>
        <v>john knight</v>
      </c>
      <c r="F188" s="3"/>
      <c r="G188" s="3"/>
      <c r="H188" s="3"/>
    </row>
    <row r="189">
      <c r="A189" s="2">
        <f>IFERROR(__xludf.DUMMYFUNCTION("""COMPUTED_VALUE"""),10518.0)</f>
        <v>10518</v>
      </c>
      <c r="B189" s="3" t="str">
        <f>IFERROR(__xludf.DUMMYFUNCTION("""COMPUTED_VALUE"""),"994 COUNTY RD 2")</f>
        <v>994 COUNTY RD 2</v>
      </c>
      <c r="C189" s="3" t="str">
        <f>IFERROR(__xludf.DUMMYFUNCTION("""COMPUTED_VALUE"""),"PORT HOPE")</f>
        <v>PORT HOPE</v>
      </c>
      <c r="D189" s="3" t="str">
        <f>IFERROR(__xludf.DUMMYFUNCTION("""COMPUTED_VALUE"""),"L1A 3V7")</f>
        <v>L1A 3V7</v>
      </c>
      <c r="E189" s="3"/>
      <c r="F189" s="3"/>
      <c r="G189" s="3"/>
      <c r="H189" s="3"/>
    </row>
    <row r="190">
      <c r="A190" s="2">
        <f>IFERROR(__xludf.DUMMYFUNCTION("""COMPUTED_VALUE"""),10128.0)</f>
        <v>10128</v>
      </c>
      <c r="B190" s="3" t="str">
        <f>IFERROR(__xludf.DUMMYFUNCTION("""COMPUTED_VALUE"""),"995 6TH LINE")</f>
        <v>995 6TH LINE</v>
      </c>
      <c r="C190" s="3" t="str">
        <f>IFERROR(__xludf.DUMMYFUNCTION("""COMPUTED_VALUE"""),"NEWTONVILLE")</f>
        <v>NEWTONVILLE</v>
      </c>
      <c r="D190" s="3" t="str">
        <f>IFERROR(__xludf.DUMMYFUNCTION("""COMPUTED_VALUE"""),"L0A 1J0")</f>
        <v>L0A 1J0</v>
      </c>
      <c r="E190" s="3"/>
      <c r="F190" s="3"/>
      <c r="G190" s="3"/>
      <c r="H190" s="3"/>
    </row>
    <row r="191">
      <c r="A191" s="2">
        <f>IFERROR(__xludf.DUMMYFUNCTION("""COMPUTED_VALUE"""),10016.0)</f>
        <v>10016</v>
      </c>
      <c r="B191" s="3" t="str">
        <f>IFERROR(__xludf.DUMMYFUNCTION("""COMPUTED_VALUE"""),"1038 4TH LINE")</f>
        <v>1038 4TH LINE</v>
      </c>
      <c r="C191" s="3" t="str">
        <f>IFERROR(__xludf.DUMMYFUNCTION("""COMPUTED_VALUE"""),"PORT HOPE")</f>
        <v>PORT HOPE</v>
      </c>
      <c r="D191" s="3" t="str">
        <f>IFERROR(__xludf.DUMMYFUNCTION("""COMPUTED_VALUE"""),"L1A 3V7")</f>
        <v>L1A 3V7</v>
      </c>
      <c r="E191" s="3"/>
      <c r="F191" s="3"/>
      <c r="G191" s="3"/>
      <c r="H191" s="3"/>
    </row>
    <row r="192">
      <c r="A192" s="2">
        <f>IFERROR(__xludf.DUMMYFUNCTION("""COMPUTED_VALUE"""),10519.0)</f>
        <v>10519</v>
      </c>
      <c r="B192" s="3" t="str">
        <f>IFERROR(__xludf.DUMMYFUNCTION("""COMPUTED_VALUE"""),"1046 COUNTY RD 2")</f>
        <v>1046 COUNTY RD 2</v>
      </c>
      <c r="C192" s="3" t="str">
        <f>IFERROR(__xludf.DUMMYFUNCTION("""COMPUTED_VALUE"""),"PORT HOPE")</f>
        <v>PORT HOPE</v>
      </c>
      <c r="D192" s="3" t="str">
        <f>IFERROR(__xludf.DUMMYFUNCTION("""COMPUTED_VALUE"""),"L1A 3V7")</f>
        <v>L1A 3V7</v>
      </c>
      <c r="E192" s="3"/>
      <c r="F192" s="3"/>
      <c r="G192" s="3"/>
      <c r="H192" s="3"/>
    </row>
    <row r="193">
      <c r="A193" s="2">
        <f>IFERROR(__xludf.DUMMYFUNCTION("""COMPUTED_VALUE"""),11062.0)</f>
        <v>11062</v>
      </c>
      <c r="B193" s="3" t="str">
        <f>IFERROR(__xludf.DUMMYFUNCTION("""COMPUTED_VALUE"""),"1048 LAKESHORE RD")</f>
        <v>1048 LAKESHORE RD</v>
      </c>
      <c r="C193" s="3" t="str">
        <f>IFERROR(__xludf.DUMMYFUNCTION("""COMPUTED_VALUE"""),"NEWCASTLE")</f>
        <v>NEWCASTLE</v>
      </c>
      <c r="D193" s="3" t="str">
        <f>IFERROR(__xludf.DUMMYFUNCTION("""COMPUTED_VALUE"""),"L1B 1L9")</f>
        <v>L1B 1L9</v>
      </c>
      <c r="E193" s="3" t="str">
        <f>IFERROR(__xludf.DUMMYFUNCTION("""COMPUTED_VALUE"""),"doug koke")</f>
        <v>doug koke</v>
      </c>
      <c r="F193" s="3" t="str">
        <f>IFERROR(__xludf.DUMMYFUNCTION("""COMPUTED_VALUE"""),"doug.koke@gmail.com")</f>
        <v>doug.koke@gmail.com</v>
      </c>
      <c r="G193" s="3"/>
      <c r="H193" s="3"/>
    </row>
    <row r="194">
      <c r="A194" s="2">
        <f>IFERROR(__xludf.DUMMYFUNCTION("""COMPUTED_VALUE"""),10072.0)</f>
        <v>10072</v>
      </c>
      <c r="B194" s="3" t="str">
        <f>IFERROR(__xludf.DUMMYFUNCTION("""COMPUTED_VALUE"""),"1055 5TH LINE")</f>
        <v>1055 5TH LINE</v>
      </c>
      <c r="C194" s="3" t="str">
        <f>IFERROR(__xludf.DUMMYFUNCTION("""COMPUTED_VALUE"""),"NEWTONVILLE")</f>
        <v>NEWTONVILLE</v>
      </c>
      <c r="D194" s="3" t="str">
        <f>IFERROR(__xludf.DUMMYFUNCTION("""COMPUTED_VALUE"""),"L0A 1J0")</f>
        <v>L0A 1J0</v>
      </c>
      <c r="E194" s="3" t="str">
        <f>IFERROR(__xludf.DUMMYFUNCTION("""COMPUTED_VALUE"""),"Claudeste Lapierre &amp; Ken Gilmour")</f>
        <v>Claudeste Lapierre &amp; Ken Gilmour</v>
      </c>
      <c r="F194" s="3"/>
      <c r="G194" s="3"/>
      <c r="H194" s="3"/>
    </row>
    <row r="195">
      <c r="A195" s="2">
        <f>IFERROR(__xludf.DUMMYFUNCTION("""COMPUTED_VALUE"""),10073.0)</f>
        <v>10073</v>
      </c>
      <c r="B195" s="3" t="str">
        <f>IFERROR(__xludf.DUMMYFUNCTION("""COMPUTED_VALUE"""),"1058 5TH LINE")</f>
        <v>1058 5TH LINE</v>
      </c>
      <c r="C195" s="3" t="str">
        <f>IFERROR(__xludf.DUMMYFUNCTION("""COMPUTED_VALUE"""),"NEWTONVILLE")</f>
        <v>NEWTONVILLE</v>
      </c>
      <c r="D195" s="3" t="str">
        <f>IFERROR(__xludf.DUMMYFUNCTION("""COMPUTED_VALUE"""),"L0A 1J0")</f>
        <v>L0A 1J0</v>
      </c>
      <c r="E195" s="3" t="str">
        <f>IFERROR(__xludf.DUMMYFUNCTION("""COMPUTED_VALUE"""),"Leanne Marchen")</f>
        <v>Leanne Marchen</v>
      </c>
      <c r="F195" s="3" t="str">
        <f>IFERROR(__xludf.DUMMYFUNCTION("""COMPUTED_VALUE"""),"leannemarchen@gmail.com")</f>
        <v>leannemarchen@gmail.com</v>
      </c>
      <c r="G195" s="3"/>
      <c r="H195" s="3"/>
    </row>
    <row r="196">
      <c r="A196" s="2">
        <f>IFERROR(__xludf.DUMMYFUNCTION("""COMPUTED_VALUE"""),11203.0)</f>
        <v>11203</v>
      </c>
      <c r="B196" s="3" t="str">
        <f>IFERROR(__xludf.DUMMYFUNCTION("""COMPUTED_VALUE"""),"1063 MARYDALE PARK RD")</f>
        <v>1063 MARYDALE PARK RD</v>
      </c>
      <c r="C196" s="3" t="str">
        <f>IFERROR(__xludf.DUMMYFUNCTION("""COMPUTED_VALUE"""),"PORT HOPE")</f>
        <v>PORT HOPE</v>
      </c>
      <c r="D196" s="3" t="str">
        <f>IFERROR(__xludf.DUMMYFUNCTION("""COMPUTED_VALUE"""),"L1A 3V7")</f>
        <v>L1A 3V7</v>
      </c>
      <c r="E196" s="3" t="str">
        <f>IFERROR(__xludf.DUMMYFUNCTION("""COMPUTED_VALUE"""),"Case Jansen")</f>
        <v>Case Jansen</v>
      </c>
      <c r="F196" s="3" t="str">
        <f>IFERROR(__xludf.DUMMYFUNCTION("""COMPUTED_VALUE"""),"case.jansen@gmail.com")</f>
        <v>case.jansen@gmail.com</v>
      </c>
      <c r="G196" s="3"/>
      <c r="H196" s="3"/>
    </row>
    <row r="197">
      <c r="A197" s="2">
        <f>IFERROR(__xludf.DUMMYFUNCTION("""COMPUTED_VALUE"""),10520.0)</f>
        <v>10520</v>
      </c>
      <c r="B197" s="3" t="str">
        <f>IFERROR(__xludf.DUMMYFUNCTION("""COMPUTED_VALUE"""),"1094 COUNTY RD 2")</f>
        <v>1094 COUNTY RD 2</v>
      </c>
      <c r="C197" s="3" t="str">
        <f>IFERROR(__xludf.DUMMYFUNCTION("""COMPUTED_VALUE"""),"PORT HOPE")</f>
        <v>PORT HOPE</v>
      </c>
      <c r="D197" s="3" t="str">
        <f>IFERROR(__xludf.DUMMYFUNCTION("""COMPUTED_VALUE"""),"L1A 3V7")</f>
        <v>L1A 3V7</v>
      </c>
      <c r="E197" s="3" t="str">
        <f>IFERROR(__xludf.DUMMYFUNCTION("""COMPUTED_VALUE"""),"Sandra Brooking")</f>
        <v>Sandra Brooking</v>
      </c>
      <c r="F197" s="3"/>
      <c r="G197" s="3"/>
      <c r="H197" s="3"/>
    </row>
    <row r="198">
      <c r="A198" s="2">
        <f>IFERROR(__xludf.DUMMYFUNCTION("""COMPUTED_VALUE"""),11063.0)</f>
        <v>11063</v>
      </c>
      <c r="B198" s="3" t="str">
        <f>IFERROR(__xludf.DUMMYFUNCTION("""COMPUTED_VALUE"""),"1105 LAKESHORE RD")</f>
        <v>1105 LAKESHORE RD</v>
      </c>
      <c r="C198" s="3" t="str">
        <f>IFERROR(__xludf.DUMMYFUNCTION("""COMPUTED_VALUE"""),"NEWCASTLE")</f>
        <v>NEWCASTLE</v>
      </c>
      <c r="D198" s="3" t="str">
        <f>IFERROR(__xludf.DUMMYFUNCTION("""COMPUTED_VALUE"""),"L1B 1L9")</f>
        <v>L1B 1L9</v>
      </c>
      <c r="E198" s="3" t="str">
        <f>IFERROR(__xludf.DUMMYFUNCTION("""COMPUTED_VALUE"""),"brian higgins")</f>
        <v>brian higgins</v>
      </c>
      <c r="F198" s="3" t="str">
        <f>IFERROR(__xludf.DUMMYFUNCTION("""COMPUTED_VALUE"""),"goldngang01@yahoo.ca")</f>
        <v>goldngang01@yahoo.ca</v>
      </c>
      <c r="G198" s="3"/>
      <c r="H198" s="3"/>
    </row>
    <row r="199">
      <c r="A199" s="2">
        <f>IFERROR(__xludf.DUMMYFUNCTION("""COMPUTED_VALUE"""),10129.0)</f>
        <v>10129</v>
      </c>
      <c r="B199" s="3" t="str">
        <f>IFERROR(__xludf.DUMMYFUNCTION("""COMPUTED_VALUE"""),"1115 6TH LINE")</f>
        <v>1115 6TH LINE</v>
      </c>
      <c r="C199" s="3" t="str">
        <f>IFERROR(__xludf.DUMMYFUNCTION("""COMPUTED_VALUE"""),"NEWTONVILLE")</f>
        <v>NEWTONVILLE</v>
      </c>
      <c r="D199" s="3" t="str">
        <f>IFERROR(__xludf.DUMMYFUNCTION("""COMPUTED_VALUE"""),"L0A 1J0")</f>
        <v>L0A 1J0</v>
      </c>
      <c r="E199" s="3"/>
      <c r="F199" s="3"/>
      <c r="G199" s="3"/>
      <c r="H199" s="3"/>
    </row>
    <row r="200">
      <c r="A200" s="2">
        <f>IFERROR(__xludf.DUMMYFUNCTION("""COMPUTED_VALUE"""),11064.0)</f>
        <v>11064</v>
      </c>
      <c r="B200" s="3" t="str">
        <f>IFERROR(__xludf.DUMMYFUNCTION("""COMPUTED_VALUE"""),"1116 LAKESHORE RD")</f>
        <v>1116 LAKESHORE RD</v>
      </c>
      <c r="C200" s="3" t="str">
        <f>IFERROR(__xludf.DUMMYFUNCTION("""COMPUTED_VALUE"""),"NEWCASTLE")</f>
        <v>NEWCASTLE</v>
      </c>
      <c r="D200" s="3" t="str">
        <f>IFERROR(__xludf.DUMMYFUNCTION("""COMPUTED_VALUE"""),"L1B 1L9")</f>
        <v>L1B 1L9</v>
      </c>
      <c r="E200" s="3"/>
      <c r="F200" s="3"/>
      <c r="G200" s="3"/>
      <c r="H200" s="3"/>
    </row>
    <row r="201">
      <c r="A201" s="2">
        <f>IFERROR(__xludf.DUMMYFUNCTION("""COMPUTED_VALUE"""),11065.0)</f>
        <v>11065</v>
      </c>
      <c r="B201" s="3" t="str">
        <f>IFERROR(__xludf.DUMMYFUNCTION("""COMPUTED_VALUE"""),"1129 LAKESHORE RD")</f>
        <v>1129 LAKESHORE RD</v>
      </c>
      <c r="C201" s="3" t="str">
        <f>IFERROR(__xludf.DUMMYFUNCTION("""COMPUTED_VALUE"""),"NEWCASTLE")</f>
        <v>NEWCASTLE</v>
      </c>
      <c r="D201" s="3" t="str">
        <f>IFERROR(__xludf.DUMMYFUNCTION("""COMPUTED_VALUE"""),"L1B 1L9")</f>
        <v>L1B 1L9</v>
      </c>
      <c r="E201" s="3"/>
      <c r="F201" s="3"/>
      <c r="G201" s="3"/>
      <c r="H201" s="3"/>
    </row>
    <row r="202">
      <c r="A202" s="2">
        <f>IFERROR(__xludf.DUMMYFUNCTION("""COMPUTED_VALUE"""),11204.0)</f>
        <v>11204</v>
      </c>
      <c r="B202" s="3" t="str">
        <f>IFERROR(__xludf.DUMMYFUNCTION("""COMPUTED_VALUE"""),"1136 MARYDALE PARK RD")</f>
        <v>1136 MARYDALE PARK RD</v>
      </c>
      <c r="C202" s="3" t="str">
        <f>IFERROR(__xludf.DUMMYFUNCTION("""COMPUTED_VALUE"""),"PORT HOPE")</f>
        <v>PORT HOPE</v>
      </c>
      <c r="D202" s="3" t="str">
        <f>IFERROR(__xludf.DUMMYFUNCTION("""COMPUTED_VALUE"""),"L1A 3V7")</f>
        <v>L1A 3V7</v>
      </c>
      <c r="E202" s="3"/>
      <c r="F202" s="3"/>
      <c r="G202" s="3"/>
      <c r="H202" s="3"/>
    </row>
    <row r="203">
      <c r="A203" s="2">
        <f>IFERROR(__xludf.DUMMYFUNCTION("""COMPUTED_VALUE"""),11066.0)</f>
        <v>11066</v>
      </c>
      <c r="B203" s="3" t="str">
        <f>IFERROR(__xludf.DUMMYFUNCTION("""COMPUTED_VALUE"""),"1150 LAKESHORE RD")</f>
        <v>1150 LAKESHORE RD</v>
      </c>
      <c r="C203" s="3" t="str">
        <f>IFERROR(__xludf.DUMMYFUNCTION("""COMPUTED_VALUE"""),"NEWCASTLE")</f>
        <v>NEWCASTLE</v>
      </c>
      <c r="D203" s="3" t="str">
        <f>IFERROR(__xludf.DUMMYFUNCTION("""COMPUTED_VALUE"""),"L1B 1L9")</f>
        <v>L1B 1L9</v>
      </c>
      <c r="E203" s="3" t="str">
        <f>IFERROR(__xludf.DUMMYFUNCTION("""COMPUTED_VALUE"""),"Dwight Searle")</f>
        <v>Dwight Searle</v>
      </c>
      <c r="F203" s="3" t="str">
        <f>IFERROR(__xludf.DUMMYFUNCTION("""COMPUTED_VALUE"""),"dwightsearle@gmail.com")</f>
        <v>dwightsearle@gmail.com</v>
      </c>
      <c r="G203" s="3"/>
      <c r="H203" s="3"/>
    </row>
    <row r="204">
      <c r="A204" s="2">
        <f>IFERROR(__xludf.DUMMYFUNCTION("""COMPUTED_VALUE"""),11067.0)</f>
        <v>11067</v>
      </c>
      <c r="B204" s="3" t="str">
        <f>IFERROR(__xludf.DUMMYFUNCTION("""COMPUTED_VALUE"""),"1157 LAKESHORE RD")</f>
        <v>1157 LAKESHORE RD</v>
      </c>
      <c r="C204" s="3" t="str">
        <f>IFERROR(__xludf.DUMMYFUNCTION("""COMPUTED_VALUE"""),"NEWCASTLE")</f>
        <v>NEWCASTLE</v>
      </c>
      <c r="D204" s="3" t="str">
        <f>IFERROR(__xludf.DUMMYFUNCTION("""COMPUTED_VALUE"""),"L1B 1L9")</f>
        <v>L1B 1L9</v>
      </c>
      <c r="E204" s="3" t="str">
        <f>IFERROR(__xludf.DUMMYFUNCTION("""COMPUTED_VALUE"""),"mike harris")</f>
        <v>mike harris</v>
      </c>
      <c r="F204" s="3" t="str">
        <f>IFERROR(__xludf.DUMMYFUNCTION("""COMPUTED_VALUE"""),"hekim1951@gmail.com")</f>
        <v>hekim1951@gmail.com</v>
      </c>
      <c r="G204" s="3"/>
      <c r="H204" s="3"/>
    </row>
    <row r="205">
      <c r="A205" s="2">
        <f>IFERROR(__xludf.DUMMYFUNCTION("""COMPUTED_VALUE"""),11068.0)</f>
        <v>11068</v>
      </c>
      <c r="B205" s="3" t="str">
        <f>IFERROR(__xludf.DUMMYFUNCTION("""COMPUTED_VALUE"""),"1160 LAKESHORE RD")</f>
        <v>1160 LAKESHORE RD</v>
      </c>
      <c r="C205" s="3" t="str">
        <f>IFERROR(__xludf.DUMMYFUNCTION("""COMPUTED_VALUE"""),"NEWCASTLE")</f>
        <v>NEWCASTLE</v>
      </c>
      <c r="D205" s="3" t="str">
        <f>IFERROR(__xludf.DUMMYFUNCTION("""COMPUTED_VALUE"""),"L1B 1L9")</f>
        <v>L1B 1L9</v>
      </c>
      <c r="E205" s="3" t="str">
        <f>IFERROR(__xludf.DUMMYFUNCTION("""COMPUTED_VALUE"""),"Linda Langer")</f>
        <v>Linda Langer</v>
      </c>
      <c r="F205" s="3" t="str">
        <f>IFERROR(__xludf.DUMMYFUNCTION("""COMPUTED_VALUE"""),"linda-langer@hotmail.com")</f>
        <v>linda-langer@hotmail.com</v>
      </c>
      <c r="G205" s="3"/>
      <c r="H205" s="3"/>
    </row>
    <row r="206">
      <c r="A206" s="2">
        <f>IFERROR(__xludf.DUMMYFUNCTION("""COMPUTED_VALUE"""),10130.0)</f>
        <v>10130</v>
      </c>
      <c r="B206" s="3" t="str">
        <f>IFERROR(__xludf.DUMMYFUNCTION("""COMPUTED_VALUE"""),"1165 6TH LINE")</f>
        <v>1165 6TH LINE</v>
      </c>
      <c r="C206" s="3" t="str">
        <f>IFERROR(__xludf.DUMMYFUNCTION("""COMPUTED_VALUE"""),"NEWTONVILLE")</f>
        <v>NEWTONVILLE</v>
      </c>
      <c r="D206" s="3" t="str">
        <f>IFERROR(__xludf.DUMMYFUNCTION("""COMPUTED_VALUE"""),"L0A 1J0")</f>
        <v>L0A 1J0</v>
      </c>
      <c r="E206" s="3" t="str">
        <f>IFERROR(__xludf.DUMMYFUNCTION("""COMPUTED_VALUE"""),"Dave Escott")</f>
        <v>Dave Escott</v>
      </c>
      <c r="F206" s="3" t="str">
        <f>IFERROR(__xludf.DUMMYFUNCTION("""COMPUTED_VALUE"""),"daveescott@live.ca")</f>
        <v>daveescott@live.ca</v>
      </c>
      <c r="G206" s="3"/>
      <c r="H206" s="3"/>
    </row>
    <row r="207">
      <c r="A207" s="2">
        <f>IFERROR(__xludf.DUMMYFUNCTION("""COMPUTED_VALUE"""),11069.0)</f>
        <v>11069</v>
      </c>
      <c r="B207" s="3" t="str">
        <f>IFERROR(__xludf.DUMMYFUNCTION("""COMPUTED_VALUE"""),"1165 LAKESHORE RD")</f>
        <v>1165 LAKESHORE RD</v>
      </c>
      <c r="C207" s="3" t="str">
        <f>IFERROR(__xludf.DUMMYFUNCTION("""COMPUTED_VALUE"""),"PORT HOPE")</f>
        <v>PORT HOPE</v>
      </c>
      <c r="D207" s="3" t="str">
        <f>IFERROR(__xludf.DUMMYFUNCTION("""COMPUTED_VALUE"""),"L1A 3V7")</f>
        <v>L1A 3V7</v>
      </c>
      <c r="E207" s="3" t="str">
        <f>IFERROR(__xludf.DUMMYFUNCTION("""COMPUTED_VALUE"""),"p. weibe")</f>
        <v>p. weibe</v>
      </c>
      <c r="F207" s="3"/>
      <c r="G207" s="3"/>
      <c r="H207" s="3"/>
    </row>
    <row r="208">
      <c r="A208" s="2">
        <f>IFERROR(__xludf.DUMMYFUNCTION("""COMPUTED_VALUE"""),10074.0)</f>
        <v>10074</v>
      </c>
      <c r="B208" s="3" t="str">
        <f>IFERROR(__xludf.DUMMYFUNCTION("""COMPUTED_VALUE"""),"1166 5TH LINE")</f>
        <v>1166 5TH LINE</v>
      </c>
      <c r="C208" s="3" t="str">
        <f>IFERROR(__xludf.DUMMYFUNCTION("""COMPUTED_VALUE"""),"NEWTONVILLE")</f>
        <v>NEWTONVILLE</v>
      </c>
      <c r="D208" s="3" t="str">
        <f>IFERROR(__xludf.DUMMYFUNCTION("""COMPUTED_VALUE"""),"L0A 1J0")</f>
        <v>L0A 1J0</v>
      </c>
      <c r="E208" s="3" t="str">
        <f>IFERROR(__xludf.DUMMYFUNCTION("""COMPUTED_VALUE"""),"Debbie Nightingale")</f>
        <v>Debbie Nightingale</v>
      </c>
      <c r="F208" s="3" t="str">
        <f>IFERROR(__xludf.DUMMYFUNCTION("""COMPUTED_VALUE"""),"debbie@hautegoat.com")</f>
        <v>debbie@hautegoat.com</v>
      </c>
      <c r="G208" s="3"/>
      <c r="H208" s="3"/>
    </row>
    <row r="209">
      <c r="A209" s="2">
        <f>IFERROR(__xludf.DUMMYFUNCTION("""COMPUTED_VALUE"""),10017.0)</f>
        <v>10017</v>
      </c>
      <c r="B209" s="3" t="str">
        <f>IFERROR(__xludf.DUMMYFUNCTION("""COMPUTED_VALUE"""),"1170 4TH LINE")</f>
        <v>1170 4TH LINE</v>
      </c>
      <c r="C209" s="3" t="str">
        <f>IFERROR(__xludf.DUMMYFUNCTION("""COMPUTED_VALUE"""),"PORT HOPE")</f>
        <v>PORT HOPE</v>
      </c>
      <c r="D209" s="3" t="str">
        <f>IFERROR(__xludf.DUMMYFUNCTION("""COMPUTED_VALUE"""),"L1A 3V7")</f>
        <v>L1A 3V7</v>
      </c>
      <c r="E209" s="3" t="str">
        <f>IFERROR(__xludf.DUMMYFUNCTION("""COMPUTED_VALUE"""),"Betsey Price")</f>
        <v>Betsey Price</v>
      </c>
      <c r="F209" s="3" t="str">
        <f>IFERROR(__xludf.DUMMYFUNCTION("""COMPUTED_VALUE"""),"office@phorganics.com")</f>
        <v>office@phorganics.com</v>
      </c>
      <c r="G209" s="3"/>
      <c r="H209" s="3"/>
    </row>
    <row r="210">
      <c r="A210" s="2">
        <f>IFERROR(__xludf.DUMMYFUNCTION("""COMPUTED_VALUE"""),11070.0)</f>
        <v>11070</v>
      </c>
      <c r="B210" s="3" t="str">
        <f>IFERROR(__xludf.DUMMYFUNCTION("""COMPUTED_VALUE"""),"1175 LAKESHORE RD")</f>
        <v>1175 LAKESHORE RD</v>
      </c>
      <c r="C210" s="3" t="str">
        <f>IFERROR(__xludf.DUMMYFUNCTION("""COMPUTED_VALUE"""),"PORT HOPE")</f>
        <v>PORT HOPE</v>
      </c>
      <c r="D210" s="3" t="str">
        <f>IFERROR(__xludf.DUMMYFUNCTION("""COMPUTED_VALUE"""),"L1A 3V7")</f>
        <v>L1A 3V7</v>
      </c>
      <c r="E210" s="3" t="str">
        <f>IFERROR(__xludf.DUMMYFUNCTION("""COMPUTED_VALUE"""),"robert wheatley")</f>
        <v>robert wheatley</v>
      </c>
      <c r="F210" s="3" t="str">
        <f>IFERROR(__xludf.DUMMYFUNCTION("""COMPUTED_VALUE"""),"robw7851@yahoo.ca")</f>
        <v>robw7851@yahoo.ca</v>
      </c>
      <c r="G210" s="3"/>
      <c r="H210" s="3"/>
    </row>
    <row r="211">
      <c r="A211" s="2">
        <f>IFERROR(__xludf.DUMMYFUNCTION("""COMPUTED_VALUE"""),11071.0)</f>
        <v>11071</v>
      </c>
      <c r="B211" s="3" t="str">
        <f>IFERROR(__xludf.DUMMYFUNCTION("""COMPUTED_VALUE"""),"1184 LAKESHORE RD")</f>
        <v>1184 LAKESHORE RD</v>
      </c>
      <c r="C211" s="3" t="str">
        <f>IFERROR(__xludf.DUMMYFUNCTION("""COMPUTED_VALUE"""),"PORT HOPE")</f>
        <v>PORT HOPE</v>
      </c>
      <c r="D211" s="3" t="str">
        <f>IFERROR(__xludf.DUMMYFUNCTION("""COMPUTED_VALUE"""),"L1A 3V7")</f>
        <v>L1A 3V7</v>
      </c>
      <c r="E211" s="3" t="str">
        <f>IFERROR(__xludf.DUMMYFUNCTION("""COMPUTED_VALUE"""),"myron and louise cooper")</f>
        <v>myron and louise cooper</v>
      </c>
      <c r="F211" s="3" t="str">
        <f>IFERROR(__xludf.DUMMYFUNCTION("""COMPUTED_VALUE"""),"lakeshore3@hotmail.com")</f>
        <v>lakeshore3@hotmail.com</v>
      </c>
      <c r="G211" s="3"/>
      <c r="H211" s="3"/>
    </row>
    <row r="212">
      <c r="A212" s="2">
        <f>IFERROR(__xludf.DUMMYFUNCTION("""COMPUTED_VALUE"""),11072.0)</f>
        <v>11072</v>
      </c>
      <c r="B212" s="3" t="str">
        <f>IFERROR(__xludf.DUMMYFUNCTION("""COMPUTED_VALUE"""),"1189 LAKESHORE RD")</f>
        <v>1189 LAKESHORE RD</v>
      </c>
      <c r="C212" s="3" t="str">
        <f>IFERROR(__xludf.DUMMYFUNCTION("""COMPUTED_VALUE"""),"PORT HOPE")</f>
        <v>PORT HOPE</v>
      </c>
      <c r="D212" s="3" t="str">
        <f>IFERROR(__xludf.DUMMYFUNCTION("""COMPUTED_VALUE"""),"L1A 3V7")</f>
        <v>L1A 3V7</v>
      </c>
      <c r="E212" s="3" t="str">
        <f>IFERROR(__xludf.DUMMYFUNCTION("""COMPUTED_VALUE"""),"greg zwier &amp; Amy Zwier")</f>
        <v>greg zwier &amp; Amy Zwier</v>
      </c>
      <c r="F212" s="3" t="str">
        <f>IFERROR(__xludf.DUMMYFUNCTION("""COMPUTED_VALUE"""),"branchestrec1@gmail.com
amyzwier@gmail.com")</f>
        <v>branchestrec1@gmail.com
amyzwier@gmail.com</v>
      </c>
      <c r="G212" s="3"/>
      <c r="H212" s="3"/>
    </row>
    <row r="213">
      <c r="A213" s="2">
        <f>IFERROR(__xludf.DUMMYFUNCTION("""COMPUTED_VALUE"""),10841.0)</f>
        <v>10841</v>
      </c>
      <c r="B213" s="3" t="str">
        <f>IFERROR(__xludf.DUMMYFUNCTION("""COMPUTED_VALUE"""),"1195 EAST TOWNLINE RD")</f>
        <v>1195 EAST TOWNLINE RD</v>
      </c>
      <c r="C213" s="3" t="str">
        <f>IFERROR(__xludf.DUMMYFUNCTION("""COMPUTED_VALUE"""),"NEWCASTLE")</f>
        <v>NEWCASTLE</v>
      </c>
      <c r="D213" s="3" t="str">
        <f>IFERROR(__xludf.DUMMYFUNCTION("""COMPUTED_VALUE"""),"L1B 1L9")</f>
        <v>L1B 1L9</v>
      </c>
      <c r="E213" s="3" t="str">
        <f>IFERROR(__xludf.DUMMYFUNCTION("""COMPUTED_VALUE"""),"ADAM PHILIPPE")</f>
        <v>ADAM PHILIPPE</v>
      </c>
      <c r="F213" s="3" t="str">
        <f>IFERROR(__xludf.DUMMYFUNCTION("""COMPUTED_VALUE"""),"kim.kindratiuk@hotmail.com")</f>
        <v>kim.kindratiuk@hotmail.com</v>
      </c>
      <c r="G213" s="3"/>
      <c r="H213" s="3"/>
    </row>
    <row r="214">
      <c r="A214" s="2">
        <f>IFERROR(__xludf.DUMMYFUNCTION("""COMPUTED_VALUE"""),11073.0)</f>
        <v>11073</v>
      </c>
      <c r="B214" s="3" t="str">
        <f>IFERROR(__xludf.DUMMYFUNCTION("""COMPUTED_VALUE"""),"1201 LAKESHORE RD")</f>
        <v>1201 LAKESHORE RD</v>
      </c>
      <c r="C214" s="3" t="str">
        <f>IFERROR(__xludf.DUMMYFUNCTION("""COMPUTED_VALUE"""),"PORT HOPE")</f>
        <v>PORT HOPE</v>
      </c>
      <c r="D214" s="3" t="str">
        <f>IFERROR(__xludf.DUMMYFUNCTION("""COMPUTED_VALUE"""),"L1A 3V7")</f>
        <v>L1A 3V7</v>
      </c>
      <c r="E214" s="3" t="str">
        <f>IFERROR(__xludf.DUMMYFUNCTION("""COMPUTED_VALUE"""),"Sherri &amp; Mike Mahaney")</f>
        <v>Sherri &amp; Mike Mahaney</v>
      </c>
      <c r="F214" s="3" t="str">
        <f>IFERROR(__xludf.DUMMYFUNCTION("""COMPUTED_VALUE"""),"sherrimahanery@outlook.com")</f>
        <v>sherrimahanery@outlook.com</v>
      </c>
      <c r="G214" s="3"/>
      <c r="H214" s="3"/>
    </row>
    <row r="215">
      <c r="A215" s="2">
        <f>IFERROR(__xludf.DUMMYFUNCTION("""COMPUTED_VALUE"""),11074.0)</f>
        <v>11074</v>
      </c>
      <c r="B215" s="3" t="str">
        <f>IFERROR(__xludf.DUMMYFUNCTION("""COMPUTED_VALUE"""),"1211 LAKESHORE RD")</f>
        <v>1211 LAKESHORE RD</v>
      </c>
      <c r="C215" s="3" t="str">
        <f>IFERROR(__xludf.DUMMYFUNCTION("""COMPUTED_VALUE"""),"PORT HOPE")</f>
        <v>PORT HOPE</v>
      </c>
      <c r="D215" s="3" t="str">
        <f>IFERROR(__xludf.DUMMYFUNCTION("""COMPUTED_VALUE"""),"L1A 3V7")</f>
        <v>L1A 3V7</v>
      </c>
      <c r="E215" s="3"/>
      <c r="F215" s="3"/>
      <c r="G215" s="3"/>
      <c r="H215" s="3"/>
    </row>
    <row r="216">
      <c r="A216" s="2">
        <f>IFERROR(__xludf.DUMMYFUNCTION("""COMPUTED_VALUE"""),10018.0)</f>
        <v>10018</v>
      </c>
      <c r="B216" s="3" t="str">
        <f>IFERROR(__xludf.DUMMYFUNCTION("""COMPUTED_VALUE"""),"1230 4TH LINE")</f>
        <v>1230 4TH LINE</v>
      </c>
      <c r="C216" s="3" t="str">
        <f>IFERROR(__xludf.DUMMYFUNCTION("""COMPUTED_VALUE"""),"PORT HOPE")</f>
        <v>PORT HOPE</v>
      </c>
      <c r="D216" s="3" t="str">
        <f>IFERROR(__xludf.DUMMYFUNCTION("""COMPUTED_VALUE"""),"L1A 3V7")</f>
        <v>L1A 3V7</v>
      </c>
      <c r="E216" s="3" t="str">
        <f>IFERROR(__xludf.DUMMYFUNCTION("""COMPUTED_VALUE"""),"steve gauthier")</f>
        <v>steve gauthier</v>
      </c>
      <c r="F216" s="3"/>
      <c r="G216" s="3"/>
      <c r="H216" s="3"/>
    </row>
    <row r="217">
      <c r="A217" s="2">
        <f>IFERROR(__xludf.DUMMYFUNCTION("""COMPUTED_VALUE"""),11458.0)</f>
        <v>11458</v>
      </c>
      <c r="B217" s="3" t="str">
        <f>IFERROR(__xludf.DUMMYFUNCTION("""COMPUTED_VALUE"""),"1258 STACEY RD")</f>
        <v>1258 STACEY RD</v>
      </c>
      <c r="C217" s="3" t="str">
        <f>IFERROR(__xludf.DUMMYFUNCTION("""COMPUTED_VALUE"""),"PORT HOPE")</f>
        <v>PORT HOPE</v>
      </c>
      <c r="D217" s="3" t="str">
        <f>IFERROR(__xludf.DUMMYFUNCTION("""COMPUTED_VALUE"""),"L1A 3V7")</f>
        <v>L1A 3V7</v>
      </c>
      <c r="E217" s="3" t="str">
        <f>IFERROR(__xludf.DUMMYFUNCTION("""COMPUTED_VALUE"""),"Dave spooner")</f>
        <v>Dave spooner</v>
      </c>
      <c r="F217" s="3" t="str">
        <f>IFERROR(__xludf.DUMMYFUNCTION("""COMPUTED_VALUE"""),"Dave.spooner@hotmail.ca")</f>
        <v>Dave.spooner@hotmail.ca</v>
      </c>
      <c r="G217" s="3"/>
      <c r="H217" s="3"/>
    </row>
    <row r="218">
      <c r="A218" s="2">
        <f>IFERROR(__xludf.DUMMYFUNCTION("""COMPUTED_VALUE"""),11075.0)</f>
        <v>11075</v>
      </c>
      <c r="B218" s="3" t="str">
        <f>IFERROR(__xludf.DUMMYFUNCTION("""COMPUTED_VALUE"""),"1273 LAKESHORE RD")</f>
        <v>1273 LAKESHORE RD</v>
      </c>
      <c r="C218" s="3" t="str">
        <f>IFERROR(__xludf.DUMMYFUNCTION("""COMPUTED_VALUE"""),"PORT HOPE")</f>
        <v>PORT HOPE</v>
      </c>
      <c r="D218" s="3" t="str">
        <f>IFERROR(__xludf.DUMMYFUNCTION("""COMPUTED_VALUE"""),"L1A 3V7")</f>
        <v>L1A 3V7</v>
      </c>
      <c r="E218" s="3" t="str">
        <f>IFERROR(__xludf.DUMMYFUNCTION("""COMPUTED_VALUE"""),"Matthew Hilts")</f>
        <v>Matthew Hilts</v>
      </c>
      <c r="F218" s="3" t="str">
        <f>IFERROR(__xludf.DUMMYFUNCTION("""COMPUTED_VALUE"""),"mahilts@live.ca")</f>
        <v>mahilts@live.ca</v>
      </c>
      <c r="G218" s="3"/>
      <c r="H218" s="3"/>
    </row>
    <row r="219">
      <c r="A219" s="2">
        <f>IFERROR(__xludf.DUMMYFUNCTION("""COMPUTED_VALUE"""),10131.0)</f>
        <v>10131</v>
      </c>
      <c r="B219" s="3" t="str">
        <f>IFERROR(__xludf.DUMMYFUNCTION("""COMPUTED_VALUE"""),"1283 6TH LINE")</f>
        <v>1283 6TH LINE</v>
      </c>
      <c r="C219" s="3" t="str">
        <f>IFERROR(__xludf.DUMMYFUNCTION("""COMPUTED_VALUE"""),"NEWTONVILLE")</f>
        <v>NEWTONVILLE</v>
      </c>
      <c r="D219" s="3" t="str">
        <f>IFERROR(__xludf.DUMMYFUNCTION("""COMPUTED_VALUE"""),"L0A 1J0")</f>
        <v>L0A 1J0</v>
      </c>
      <c r="E219" s="3" t="str">
        <f>IFERROR(__xludf.DUMMYFUNCTION("""COMPUTED_VALUE"""),"DAVE CAIRNS")</f>
        <v>DAVE CAIRNS</v>
      </c>
      <c r="F219" s="3" t="str">
        <f>IFERROR(__xludf.DUMMYFUNCTION("""COMPUTED_VALUE"""),"davecairns1971@hotmail.com")</f>
        <v>davecairns1971@hotmail.com</v>
      </c>
      <c r="G219" s="3"/>
      <c r="H219" s="3"/>
    </row>
    <row r="220">
      <c r="A220" s="2">
        <f>IFERROR(__xludf.DUMMYFUNCTION("""COMPUTED_VALUE"""),11459.0)</f>
        <v>11459</v>
      </c>
      <c r="B220" s="3" t="str">
        <f>IFERROR(__xludf.DUMMYFUNCTION("""COMPUTED_VALUE"""),"1283 STACEY RD")</f>
        <v>1283 STACEY RD</v>
      </c>
      <c r="C220" s="3" t="str">
        <f>IFERROR(__xludf.DUMMYFUNCTION("""COMPUTED_VALUE"""),"PORT HOPE")</f>
        <v>PORT HOPE</v>
      </c>
      <c r="D220" s="3" t="str">
        <f>IFERROR(__xludf.DUMMYFUNCTION("""COMPUTED_VALUE"""),"L1A 3V7")</f>
        <v>L1A 3V7</v>
      </c>
      <c r="E220" s="3"/>
      <c r="F220" s="3"/>
      <c r="G220" s="3"/>
      <c r="H220" s="3"/>
    </row>
    <row r="221">
      <c r="A221" s="2">
        <f>IFERROR(__xludf.DUMMYFUNCTION("""COMPUTED_VALUE"""),11076.0)</f>
        <v>11076</v>
      </c>
      <c r="B221" s="3" t="str">
        <f>IFERROR(__xludf.DUMMYFUNCTION("""COMPUTED_VALUE"""),"1283 LAKESHORE RD")</f>
        <v>1283 LAKESHORE RD</v>
      </c>
      <c r="C221" s="3" t="str">
        <f>IFERROR(__xludf.DUMMYFUNCTION("""COMPUTED_VALUE"""),"PORT HOPE")</f>
        <v>PORT HOPE</v>
      </c>
      <c r="D221" s="3" t="str">
        <f>IFERROR(__xludf.DUMMYFUNCTION("""COMPUTED_VALUE"""),"L1A 3V7")</f>
        <v>L1A 3V7</v>
      </c>
      <c r="E221" s="3" t="str">
        <f>IFERROR(__xludf.DUMMYFUNCTION("""COMPUTED_VALUE"""),"Emily Marston")</f>
        <v>Emily Marston</v>
      </c>
      <c r="F221" s="3" t="str">
        <f>IFERROR(__xludf.DUMMYFUNCTION("""COMPUTED_VALUE"""),"emily.flim@ontariotechu.net")</f>
        <v>emily.flim@ontariotechu.net</v>
      </c>
      <c r="G221" s="3"/>
      <c r="H221" s="3"/>
    </row>
    <row r="222">
      <c r="A222" s="2">
        <f>IFERROR(__xludf.DUMMYFUNCTION("""COMPUTED_VALUE"""),10132.0)</f>
        <v>10132</v>
      </c>
      <c r="B222" s="3" t="str">
        <f>IFERROR(__xludf.DUMMYFUNCTION("""COMPUTED_VALUE"""),"1290 6TH LINE")</f>
        <v>1290 6TH LINE</v>
      </c>
      <c r="C222" s="3" t="str">
        <f>IFERROR(__xludf.DUMMYFUNCTION("""COMPUTED_VALUE"""),"NEWTONVILLE")</f>
        <v>NEWTONVILLE</v>
      </c>
      <c r="D222" s="3" t="str">
        <f>IFERROR(__xludf.DUMMYFUNCTION("""COMPUTED_VALUE"""),"L0A 1J0")</f>
        <v>L0A 1J0</v>
      </c>
      <c r="E222" s="3" t="str">
        <f>IFERROR(__xludf.DUMMYFUNCTION("""COMPUTED_VALUE"""),"ANGELIE AND BENJAMIN CENDANA")</f>
        <v>ANGELIE AND BENJAMIN CENDANA</v>
      </c>
      <c r="F222" s="3" t="str">
        <f>IFERROR(__xludf.DUMMYFUNCTION("""COMPUTED_VALUE"""),"cendanaange@gmail.com")</f>
        <v>cendanaange@gmail.com</v>
      </c>
      <c r="G222" s="3"/>
      <c r="H222" s="3"/>
    </row>
    <row r="223">
      <c r="A223" s="2">
        <f>IFERROR(__xludf.DUMMYFUNCTION("""COMPUTED_VALUE"""),10842.0)</f>
        <v>10842</v>
      </c>
      <c r="B223" s="3" t="str">
        <f>IFERROR(__xludf.DUMMYFUNCTION("""COMPUTED_VALUE"""),"1291 EAST TOWNLINE RD")</f>
        <v>1291 EAST TOWNLINE RD</v>
      </c>
      <c r="C223" s="3" t="str">
        <f>IFERROR(__xludf.DUMMYFUNCTION("""COMPUTED_VALUE"""),"NEWCASTLE")</f>
        <v>NEWCASTLE</v>
      </c>
      <c r="D223" s="3" t="str">
        <f>IFERROR(__xludf.DUMMYFUNCTION("""COMPUTED_VALUE"""),"L1B 1L9")</f>
        <v>L1B 1L9</v>
      </c>
      <c r="E223" s="3" t="str">
        <f>IFERROR(__xludf.DUMMYFUNCTION("""COMPUTED_VALUE"""),"Jamie Logassie")</f>
        <v>Jamie Logassie</v>
      </c>
      <c r="F223" s="3" t="str">
        <f>IFERROR(__xludf.DUMMYFUNCTION("""COMPUTED_VALUE"""),"logassie.jr@gmail.com")</f>
        <v>logassie.jr@gmail.com</v>
      </c>
      <c r="G223" s="3"/>
      <c r="H223" s="3"/>
    </row>
    <row r="224">
      <c r="A224" s="2">
        <f>IFERROR(__xludf.DUMMYFUNCTION("""COMPUTED_VALUE"""),11077.0)</f>
        <v>11077</v>
      </c>
      <c r="B224" s="3" t="str">
        <f>IFERROR(__xludf.DUMMYFUNCTION("""COMPUTED_VALUE"""),"1305 LAKESHORE RD")</f>
        <v>1305 LAKESHORE RD</v>
      </c>
      <c r="C224" s="3" t="str">
        <f>IFERROR(__xludf.DUMMYFUNCTION("""COMPUTED_VALUE"""),"PORT HOPE")</f>
        <v>PORT HOPE</v>
      </c>
      <c r="D224" s="3" t="str">
        <f>IFERROR(__xludf.DUMMYFUNCTION("""COMPUTED_VALUE"""),"L1A 3V7")</f>
        <v>L1A 3V7</v>
      </c>
      <c r="E224" s="3" t="str">
        <f>IFERROR(__xludf.DUMMYFUNCTION("""COMPUTED_VALUE"""),"Coleen Platz")</f>
        <v>Coleen Platz</v>
      </c>
      <c r="F224" s="3" t="str">
        <f>IFERROR(__xludf.DUMMYFUNCTION("""COMPUTED_VALUE"""),"colplatz@gmail.com")</f>
        <v>colplatz@gmail.com</v>
      </c>
      <c r="G224" s="3"/>
      <c r="H224" s="3"/>
    </row>
    <row r="225">
      <c r="A225" s="2">
        <f>IFERROR(__xludf.DUMMYFUNCTION("""COMPUTED_VALUE"""),11078.0)</f>
        <v>11078</v>
      </c>
      <c r="B225" s="3" t="str">
        <f>IFERROR(__xludf.DUMMYFUNCTION("""COMPUTED_VALUE"""),"1324 LAKESHORE RD")</f>
        <v>1324 LAKESHORE RD</v>
      </c>
      <c r="C225" s="3" t="str">
        <f>IFERROR(__xludf.DUMMYFUNCTION("""COMPUTED_VALUE"""),"PORT HOPE")</f>
        <v>PORT HOPE</v>
      </c>
      <c r="D225" s="3" t="str">
        <f>IFERROR(__xludf.DUMMYFUNCTION("""COMPUTED_VALUE"""),"L1A 3V7")</f>
        <v>L1A 3V7</v>
      </c>
      <c r="E225" s="3" t="str">
        <f>IFERROR(__xludf.DUMMYFUNCTION("""COMPUTED_VALUE"""),"Monique Dobson")</f>
        <v>Monique Dobson</v>
      </c>
      <c r="F225" s="3"/>
      <c r="G225" s="3"/>
      <c r="H225" s="3"/>
    </row>
    <row r="226">
      <c r="A226" s="2">
        <f>IFERROR(__xludf.DUMMYFUNCTION("""COMPUTED_VALUE"""),11079.0)</f>
        <v>11079</v>
      </c>
      <c r="B226" s="3" t="str">
        <f>IFERROR(__xludf.DUMMYFUNCTION("""COMPUTED_VALUE"""),"1325 LAKESHORE RD")</f>
        <v>1325 LAKESHORE RD</v>
      </c>
      <c r="C226" s="3" t="str">
        <f>IFERROR(__xludf.DUMMYFUNCTION("""COMPUTED_VALUE"""),"PORT HOPE")</f>
        <v>PORT HOPE</v>
      </c>
      <c r="D226" s="3" t="str">
        <f>IFERROR(__xludf.DUMMYFUNCTION("""COMPUTED_VALUE"""),"L1A 3V7")</f>
        <v>L1A 3V7</v>
      </c>
      <c r="E226" s="3" t="str">
        <f>IFERROR(__xludf.DUMMYFUNCTION("""COMPUTED_VALUE"""),"Dean and Sandra Mc Rae")</f>
        <v>Dean and Sandra Mc Rae</v>
      </c>
      <c r="F226" s="3" t="str">
        <f>IFERROR(__xludf.DUMMYFUNCTION("""COMPUTED_VALUE"""),"sixmcraes@gmail.com")</f>
        <v>sixmcraes@gmail.com</v>
      </c>
      <c r="G226" s="3"/>
      <c r="H226" s="3"/>
    </row>
    <row r="227">
      <c r="A227" s="2">
        <f>IFERROR(__xludf.DUMMYFUNCTION("""COMPUTED_VALUE"""),11625.0)</f>
        <v>11625</v>
      </c>
      <c r="B227" s="3" t="str">
        <f>IFERROR(__xludf.DUMMYFUNCTION("""COMPUTED_VALUE"""),"1334 6TH LINE")</f>
        <v>1334 6TH LINE</v>
      </c>
      <c r="C227" s="3" t="str">
        <f>IFERROR(__xludf.DUMMYFUNCTION("""COMPUTED_VALUE"""),"NEWTONVILLE")</f>
        <v>NEWTONVILLE</v>
      </c>
      <c r="D227" s="3" t="str">
        <f>IFERROR(__xludf.DUMMYFUNCTION("""COMPUTED_VALUE"""),"L0A 1J0")</f>
        <v>L0A 1J0</v>
      </c>
      <c r="E227" s="3" t="str">
        <f>IFERROR(__xludf.DUMMYFUNCTION("""COMPUTED_VALUE"""),"Mike Dykstra")</f>
        <v>Mike Dykstra</v>
      </c>
      <c r="F227" s="3" t="str">
        <f>IFERROR(__xludf.DUMMYFUNCTION("""COMPUTED_VALUE"""),"dykstramoney@gmail.com")</f>
        <v>dykstramoney@gmail.com</v>
      </c>
      <c r="G227" s="3"/>
      <c r="H227" s="3"/>
    </row>
    <row r="228">
      <c r="A228" s="2">
        <f>IFERROR(__xludf.DUMMYFUNCTION("""COMPUTED_VALUE"""),10133.0)</f>
        <v>10133</v>
      </c>
      <c r="B228" s="3" t="str">
        <f>IFERROR(__xludf.DUMMYFUNCTION("""COMPUTED_VALUE"""),"1340 6TH LINE")</f>
        <v>1340 6TH LINE</v>
      </c>
      <c r="C228" s="3" t="str">
        <f>IFERROR(__xludf.DUMMYFUNCTION("""COMPUTED_VALUE"""),"NEWTONVILLE")</f>
        <v>NEWTONVILLE</v>
      </c>
      <c r="D228" s="3" t="str">
        <f>IFERROR(__xludf.DUMMYFUNCTION("""COMPUTED_VALUE"""),"L0A 1J0")</f>
        <v>L0A 1J0</v>
      </c>
      <c r="E228" s="3"/>
      <c r="F228" s="3"/>
      <c r="G228" s="3"/>
      <c r="H228" s="3"/>
    </row>
    <row r="229">
      <c r="A229" s="2">
        <f>IFERROR(__xludf.DUMMYFUNCTION("""COMPUTED_VALUE"""),11080.0)</f>
        <v>11080</v>
      </c>
      <c r="B229" s="3" t="str">
        <f>IFERROR(__xludf.DUMMYFUNCTION("""COMPUTED_VALUE"""),"1349 LAKESHORE RD")</f>
        <v>1349 LAKESHORE RD</v>
      </c>
      <c r="C229" s="3" t="str">
        <f>IFERROR(__xludf.DUMMYFUNCTION("""COMPUTED_VALUE"""),"PORT HOPE")</f>
        <v>PORT HOPE</v>
      </c>
      <c r="D229" s="3" t="str">
        <f>IFERROR(__xludf.DUMMYFUNCTION("""COMPUTED_VALUE"""),"L1A 3V7")</f>
        <v>L1A 3V7</v>
      </c>
      <c r="E229" s="3" t="str">
        <f>IFERROR(__xludf.DUMMYFUNCTION("""COMPUTED_VALUE"""),"Graham whyte")</f>
        <v>Graham whyte</v>
      </c>
      <c r="F229" s="3" t="str">
        <f>IFERROR(__xludf.DUMMYFUNCTION("""COMPUTED_VALUE"""),"g-Jb-whyte@hotmail.com")</f>
        <v>g-Jb-whyte@hotmail.com</v>
      </c>
      <c r="G229" s="3"/>
      <c r="H229" s="3"/>
    </row>
    <row r="230">
      <c r="A230" s="2">
        <f>IFERROR(__xludf.DUMMYFUNCTION("""COMPUTED_VALUE"""),10019.0)</f>
        <v>10019</v>
      </c>
      <c r="B230" s="3" t="str">
        <f>IFERROR(__xludf.DUMMYFUNCTION("""COMPUTED_VALUE"""),"1350 4TH LINE")</f>
        <v>1350 4TH LINE</v>
      </c>
      <c r="C230" s="3" t="str">
        <f>IFERROR(__xludf.DUMMYFUNCTION("""COMPUTED_VALUE"""),"PORT HOPE")</f>
        <v>PORT HOPE</v>
      </c>
      <c r="D230" s="3" t="str">
        <f>IFERROR(__xludf.DUMMYFUNCTION("""COMPUTED_VALUE"""),"L1A 3V7")</f>
        <v>L1A 3V7</v>
      </c>
      <c r="E230" s="3" t="str">
        <f>IFERROR(__xludf.DUMMYFUNCTION("""COMPUTED_VALUE"""),"Lois Boyko")</f>
        <v>Lois Boyko</v>
      </c>
      <c r="F230" s="3" t="str">
        <f>IFERROR(__xludf.DUMMYFUNCTION("""COMPUTED_VALUE"""),"lanamillson@gmail.com")</f>
        <v>lanamillson@gmail.com</v>
      </c>
      <c r="G230" s="3"/>
      <c r="H230" s="3"/>
    </row>
    <row r="231">
      <c r="A231" s="2">
        <f>IFERROR(__xludf.DUMMYFUNCTION("""COMPUTED_VALUE"""),10134.0)</f>
        <v>10134</v>
      </c>
      <c r="B231" s="3" t="str">
        <f>IFERROR(__xludf.DUMMYFUNCTION("""COMPUTED_VALUE"""),"1367 6TH LINE")</f>
        <v>1367 6TH LINE</v>
      </c>
      <c r="C231" s="3" t="str">
        <f>IFERROR(__xludf.DUMMYFUNCTION("""COMPUTED_VALUE"""),"NEWTONVILLE")</f>
        <v>NEWTONVILLE</v>
      </c>
      <c r="D231" s="3" t="str">
        <f>IFERROR(__xludf.DUMMYFUNCTION("""COMPUTED_VALUE"""),"L0A 1J0")</f>
        <v>L0A 1J0</v>
      </c>
      <c r="E231" s="3"/>
      <c r="F231" s="3"/>
      <c r="G231" s="3"/>
      <c r="H231" s="3"/>
    </row>
    <row r="232">
      <c r="A232" s="2">
        <f>IFERROR(__xludf.DUMMYFUNCTION("""COMPUTED_VALUE"""),10135.0)</f>
        <v>10135</v>
      </c>
      <c r="B232" s="3" t="str">
        <f>IFERROR(__xludf.DUMMYFUNCTION("""COMPUTED_VALUE"""),"1368 6TH LINE")</f>
        <v>1368 6TH LINE</v>
      </c>
      <c r="C232" s="3" t="str">
        <f>IFERROR(__xludf.DUMMYFUNCTION("""COMPUTED_VALUE"""),"NEWTONVILLE")</f>
        <v>NEWTONVILLE</v>
      </c>
      <c r="D232" s="3" t="str">
        <f>IFERROR(__xludf.DUMMYFUNCTION("""COMPUTED_VALUE"""),"L0A 1J0")</f>
        <v>L0A 1J0</v>
      </c>
      <c r="E232" s="3"/>
      <c r="F232" s="3"/>
      <c r="G232" s="3"/>
      <c r="H232" s="3"/>
    </row>
    <row r="233">
      <c r="A233" s="2">
        <f>IFERROR(__xludf.DUMMYFUNCTION("""COMPUTED_VALUE"""),10136.0)</f>
        <v>10136</v>
      </c>
      <c r="B233" s="3" t="str">
        <f>IFERROR(__xludf.DUMMYFUNCTION("""COMPUTED_VALUE"""),"1376 6TH LINE")</f>
        <v>1376 6TH LINE</v>
      </c>
      <c r="C233" s="3" t="str">
        <f>IFERROR(__xludf.DUMMYFUNCTION("""COMPUTED_VALUE"""),"NEWTONVILLE")</f>
        <v>NEWTONVILLE</v>
      </c>
      <c r="D233" s="3" t="str">
        <f>IFERROR(__xludf.DUMMYFUNCTION("""COMPUTED_VALUE"""),"L0A 1J0")</f>
        <v>L0A 1J0</v>
      </c>
      <c r="E233" s="3"/>
      <c r="F233" s="3"/>
      <c r="G233" s="3"/>
      <c r="H233" s="3"/>
    </row>
    <row r="234">
      <c r="A234" s="2">
        <f>IFERROR(__xludf.DUMMYFUNCTION("""COMPUTED_VALUE"""),11081.0)</f>
        <v>11081</v>
      </c>
      <c r="B234" s="3" t="str">
        <f>IFERROR(__xludf.DUMMYFUNCTION("""COMPUTED_VALUE"""),"1386 LAKESHORE RD")</f>
        <v>1386 LAKESHORE RD</v>
      </c>
      <c r="C234" s="3" t="str">
        <f>IFERROR(__xludf.DUMMYFUNCTION("""COMPUTED_VALUE"""),"PORT HOPE")</f>
        <v>PORT HOPE</v>
      </c>
      <c r="D234" s="3" t="str">
        <f>IFERROR(__xludf.DUMMYFUNCTION("""COMPUTED_VALUE"""),"L1A 3V7")</f>
        <v>L1A 3V7</v>
      </c>
      <c r="E234" s="3" t="str">
        <f>IFERROR(__xludf.DUMMYFUNCTION("""COMPUTED_VALUE"""),"Braden Naughton")</f>
        <v>Braden Naughton</v>
      </c>
      <c r="F234" s="3" t="str">
        <f>IFERROR(__xludf.DUMMYFUNCTION("""COMPUTED_VALUE"""),"braden.naughton@gmail.com")</f>
        <v>braden.naughton@gmail.com</v>
      </c>
      <c r="G234" s="3"/>
      <c r="H234" s="3"/>
    </row>
    <row r="235">
      <c r="A235" s="2">
        <f>IFERROR(__xludf.DUMMYFUNCTION("""COMPUTED_VALUE"""),11082.0)</f>
        <v>11082</v>
      </c>
      <c r="B235" s="3" t="str">
        <f>IFERROR(__xludf.DUMMYFUNCTION("""COMPUTED_VALUE"""),"1400 LAKESHORE RD")</f>
        <v>1400 LAKESHORE RD</v>
      </c>
      <c r="C235" s="3" t="str">
        <f>IFERROR(__xludf.DUMMYFUNCTION("""COMPUTED_VALUE"""),"PORT HOPE")</f>
        <v>PORT HOPE</v>
      </c>
      <c r="D235" s="3" t="str">
        <f>IFERROR(__xludf.DUMMYFUNCTION("""COMPUTED_VALUE"""),"L1A 3V7")</f>
        <v>L1A 3V7</v>
      </c>
      <c r="E235" s="3" t="str">
        <f>IFERROR(__xludf.DUMMYFUNCTION("""COMPUTED_VALUE"""),"stephanie casselman")</f>
        <v>stephanie casselman</v>
      </c>
      <c r="F235" s="3" t="str">
        <f>IFERROR(__xludf.DUMMYFUNCTION("""COMPUTED_VALUE"""),"scasselman1@gmail.com")</f>
        <v>scasselman1@gmail.com</v>
      </c>
      <c r="G235" s="3"/>
      <c r="H235" s="3"/>
    </row>
    <row r="236">
      <c r="A236" s="2">
        <f>IFERROR(__xludf.DUMMYFUNCTION("""COMPUTED_VALUE"""),11083.0)</f>
        <v>11083</v>
      </c>
      <c r="B236" s="3" t="str">
        <f>IFERROR(__xludf.DUMMYFUNCTION("""COMPUTED_VALUE"""),"1405 LAKESHORE RD")</f>
        <v>1405 LAKESHORE RD</v>
      </c>
      <c r="C236" s="3" t="str">
        <f>IFERROR(__xludf.DUMMYFUNCTION("""COMPUTED_VALUE"""),"PORT HOPE")</f>
        <v>PORT HOPE</v>
      </c>
      <c r="D236" s="3" t="str">
        <f>IFERROR(__xludf.DUMMYFUNCTION("""COMPUTED_VALUE"""),"L1A 3V7")</f>
        <v>L1A 3V7</v>
      </c>
      <c r="E236" s="3" t="str">
        <f>IFERROR(__xludf.DUMMYFUNCTION("""COMPUTED_VALUE"""),"Emma Stafford")</f>
        <v>Emma Stafford</v>
      </c>
      <c r="F236" s="3" t="str">
        <f>IFERROR(__xludf.DUMMYFUNCTION("""COMPUTED_VALUE"""),"coyte.emma@gmail.com")</f>
        <v>coyte.emma@gmail.com</v>
      </c>
      <c r="G236" s="3"/>
      <c r="H236" s="3"/>
    </row>
    <row r="237">
      <c r="A237" s="2">
        <f>IFERROR(__xludf.DUMMYFUNCTION("""COMPUTED_VALUE"""),11084.0)</f>
        <v>11084</v>
      </c>
      <c r="B237" s="3" t="str">
        <f>IFERROR(__xludf.DUMMYFUNCTION("""COMPUTED_VALUE"""),"1418 LAKESHORE RD")</f>
        <v>1418 LAKESHORE RD</v>
      </c>
      <c r="C237" s="3" t="str">
        <f>IFERROR(__xludf.DUMMYFUNCTION("""COMPUTED_VALUE"""),"PORT HOPE")</f>
        <v>PORT HOPE</v>
      </c>
      <c r="D237" s="3" t="str">
        <f>IFERROR(__xludf.DUMMYFUNCTION("""COMPUTED_VALUE"""),"L1A 3V7")</f>
        <v>L1A 3V7</v>
      </c>
      <c r="E237" s="3" t="str">
        <f>IFERROR(__xludf.DUMMYFUNCTION("""COMPUTED_VALUE"""),"stan mcnair")</f>
        <v>stan mcnair</v>
      </c>
      <c r="F237" s="3" t="str">
        <f>IFERROR(__xludf.DUMMYFUNCTION("""COMPUTED_VALUE"""),"mcnairstan@gmail.com")</f>
        <v>mcnairstan@gmail.com</v>
      </c>
      <c r="G237" s="3"/>
      <c r="H237" s="3"/>
    </row>
    <row r="238">
      <c r="A238" s="2">
        <f>IFERROR(__xludf.DUMMYFUNCTION("""COMPUTED_VALUE"""),11085.0)</f>
        <v>11085</v>
      </c>
      <c r="B238" s="3" t="str">
        <f>IFERROR(__xludf.DUMMYFUNCTION("""COMPUTED_VALUE"""),"1434 LAKESHORE RD")</f>
        <v>1434 LAKESHORE RD</v>
      </c>
      <c r="C238" s="3" t="str">
        <f>IFERROR(__xludf.DUMMYFUNCTION("""COMPUTED_VALUE"""),"PORT HOPE")</f>
        <v>PORT HOPE</v>
      </c>
      <c r="D238" s="3" t="str">
        <f>IFERROR(__xludf.DUMMYFUNCTION("""COMPUTED_VALUE"""),"L1A 3V7")</f>
        <v>L1A 3V7</v>
      </c>
      <c r="E238" s="3" t="str">
        <f>IFERROR(__xludf.DUMMYFUNCTION("""COMPUTED_VALUE"""),"ryan middaugh")</f>
        <v>ryan middaugh</v>
      </c>
      <c r="F238" s="3" t="str">
        <f>IFERROR(__xludf.DUMMYFUNCTION("""COMPUTED_VALUE"""),"rmiddaugh04@hotmail.com")</f>
        <v>rmiddaugh04@hotmail.com</v>
      </c>
      <c r="G238" s="3"/>
      <c r="H238" s="3"/>
    </row>
    <row r="239">
      <c r="A239" s="2">
        <f>IFERROR(__xludf.DUMMYFUNCTION("""COMPUTED_VALUE"""),10075.0)</f>
        <v>10075</v>
      </c>
      <c r="B239" s="3" t="str">
        <f>IFERROR(__xludf.DUMMYFUNCTION("""COMPUTED_VALUE"""),"1454 5TH LINE")</f>
        <v>1454 5TH LINE</v>
      </c>
      <c r="C239" s="3" t="str">
        <f>IFERROR(__xludf.DUMMYFUNCTION("""COMPUTED_VALUE"""),"NEWTONVILLE")</f>
        <v>NEWTONVILLE</v>
      </c>
      <c r="D239" s="3" t="str">
        <f>IFERROR(__xludf.DUMMYFUNCTION("""COMPUTED_VALUE"""),"L0A 1J0")</f>
        <v>L0A 1J0</v>
      </c>
      <c r="E239" s="3" t="str">
        <f>IFERROR(__xludf.DUMMYFUNCTION("""COMPUTED_VALUE"""),"Kenneth Thompson")</f>
        <v>Kenneth Thompson</v>
      </c>
      <c r="F239" s="3" t="str">
        <f>IFERROR(__xludf.DUMMYFUNCTION("""COMPUTED_VALUE"""),"beken938@hotmail.com")</f>
        <v>beken938@hotmail.com</v>
      </c>
      <c r="G239" s="3"/>
      <c r="H239" s="3"/>
    </row>
    <row r="240">
      <c r="A240" s="2">
        <f>IFERROR(__xludf.DUMMYFUNCTION("""COMPUTED_VALUE"""),11086.0)</f>
        <v>11086</v>
      </c>
      <c r="B240" s="3" t="str">
        <f>IFERROR(__xludf.DUMMYFUNCTION("""COMPUTED_VALUE"""),"1454 LAKESHORE RD")</f>
        <v>1454 LAKESHORE RD</v>
      </c>
      <c r="C240" s="3" t="str">
        <f>IFERROR(__xludf.DUMMYFUNCTION("""COMPUTED_VALUE"""),"PORT HOPE")</f>
        <v>PORT HOPE</v>
      </c>
      <c r="D240" s="3" t="str">
        <f>IFERROR(__xludf.DUMMYFUNCTION("""COMPUTED_VALUE"""),"L1A 3V7")</f>
        <v>L1A 3V7</v>
      </c>
      <c r="E240" s="3" t="str">
        <f>IFERROR(__xludf.DUMMYFUNCTION("""COMPUTED_VALUE"""),"ron dinner ")</f>
        <v>ron dinner </v>
      </c>
      <c r="F240" s="3" t="str">
        <f>IFERROR(__xludf.DUMMYFUNCTION("""COMPUTED_VALUE"""),"r.l1.dinner@gmail.com")</f>
        <v>r.l1.dinner@gmail.com</v>
      </c>
      <c r="G240" s="3"/>
      <c r="H240" s="3"/>
    </row>
    <row r="241">
      <c r="A241" s="2">
        <f>IFERROR(__xludf.DUMMYFUNCTION("""COMPUTED_VALUE"""),10076.0)</f>
        <v>10076</v>
      </c>
      <c r="B241" s="3" t="str">
        <f>IFERROR(__xludf.DUMMYFUNCTION("""COMPUTED_VALUE"""),"1481 5TH LINE")</f>
        <v>1481 5TH LINE</v>
      </c>
      <c r="C241" s="3" t="str">
        <f>IFERROR(__xludf.DUMMYFUNCTION("""COMPUTED_VALUE"""),"NEWTONVILLE")</f>
        <v>NEWTONVILLE</v>
      </c>
      <c r="D241" s="3" t="str">
        <f>IFERROR(__xludf.DUMMYFUNCTION("""COMPUTED_VALUE"""),"L0A 1J0")</f>
        <v>L0A 1J0</v>
      </c>
      <c r="E241" s="3" t="str">
        <f>IFERROR(__xludf.DUMMYFUNCTION("""COMPUTED_VALUE"""),"Richard Tukendorf")</f>
        <v>Richard Tukendorf</v>
      </c>
      <c r="F241" s="3" t="str">
        <f>IFERROR(__xludf.DUMMYFUNCTION("""COMPUTED_VALUE"""),"ricktuk@gmail.com")</f>
        <v>ricktuk@gmail.com</v>
      </c>
      <c r="G241" s="3"/>
      <c r="H241" s="3"/>
    </row>
    <row r="242">
      <c r="A242" s="2">
        <f>IFERROR(__xludf.DUMMYFUNCTION("""COMPUTED_VALUE"""),11087.0)</f>
        <v>11087</v>
      </c>
      <c r="B242" s="3" t="str">
        <f>IFERROR(__xludf.DUMMYFUNCTION("""COMPUTED_VALUE"""),"1492 LAKESHORE RD")</f>
        <v>1492 LAKESHORE RD</v>
      </c>
      <c r="C242" s="3" t="str">
        <f>IFERROR(__xludf.DUMMYFUNCTION("""COMPUTED_VALUE"""),"PORT HOPE")</f>
        <v>PORT HOPE</v>
      </c>
      <c r="D242" s="3" t="str">
        <f>IFERROR(__xludf.DUMMYFUNCTION("""COMPUTED_VALUE"""),"L1A 3V7")</f>
        <v>L1A 3V7</v>
      </c>
      <c r="E242" s="3" t="str">
        <f>IFERROR(__xludf.DUMMYFUNCTION("""COMPUTED_VALUE"""),"mike wilson")</f>
        <v>mike wilson</v>
      </c>
      <c r="F242" s="3" t="str">
        <f>IFERROR(__xludf.DUMMYFUNCTION("""COMPUTED_VALUE"""),"jmrestoration@bell.net")</f>
        <v>jmrestoration@bell.net</v>
      </c>
      <c r="G242" s="3"/>
      <c r="H242" s="3"/>
    </row>
    <row r="243">
      <c r="A243" s="2">
        <f>IFERROR(__xludf.DUMMYFUNCTION("""COMPUTED_VALUE"""),10843.0)</f>
        <v>10843</v>
      </c>
      <c r="B243" s="3" t="str">
        <f>IFERROR(__xludf.DUMMYFUNCTION("""COMPUTED_VALUE"""),"1513 EAST TOWNLINE RD")</f>
        <v>1513 EAST TOWNLINE RD</v>
      </c>
      <c r="C243" s="3" t="str">
        <f>IFERROR(__xludf.DUMMYFUNCTION("""COMPUTED_VALUE"""),"NEWCASTLE")</f>
        <v>NEWCASTLE</v>
      </c>
      <c r="D243" s="3" t="str">
        <f>IFERROR(__xludf.DUMMYFUNCTION("""COMPUTED_VALUE"""),"L1B 1L9")</f>
        <v>L1B 1L9</v>
      </c>
      <c r="E243" s="3" t="str">
        <f>IFERROR(__xludf.DUMMYFUNCTION("""COMPUTED_VALUE"""),"Jane Bennion")</f>
        <v>Jane Bennion</v>
      </c>
      <c r="F243" s="3" t="str">
        <f>IFERROR(__xludf.DUMMYFUNCTION("""COMPUTED_VALUE"""),"janebennion@yahoo.ca")</f>
        <v>janebennion@yahoo.ca</v>
      </c>
      <c r="G243" s="3"/>
      <c r="H243" s="3"/>
    </row>
    <row r="244">
      <c r="A244" s="2">
        <f>IFERROR(__xludf.DUMMYFUNCTION("""COMPUTED_VALUE"""),11088.0)</f>
        <v>11088</v>
      </c>
      <c r="B244" s="3" t="str">
        <f>IFERROR(__xludf.DUMMYFUNCTION("""COMPUTED_VALUE"""),"1524 LAKESHORE RD")</f>
        <v>1524 LAKESHORE RD</v>
      </c>
      <c r="C244" s="3" t="str">
        <f>IFERROR(__xludf.DUMMYFUNCTION("""COMPUTED_VALUE"""),"PORT HOPE")</f>
        <v>PORT HOPE</v>
      </c>
      <c r="D244" s="3" t="str">
        <f>IFERROR(__xludf.DUMMYFUNCTION("""COMPUTED_VALUE"""),"L1A 3V7")</f>
        <v>L1A 3V7</v>
      </c>
      <c r="E244" s="3"/>
      <c r="F244" s="3"/>
      <c r="G244" s="3"/>
      <c r="H244" s="3"/>
    </row>
    <row r="245">
      <c r="A245" s="2">
        <f>IFERROR(__xludf.DUMMYFUNCTION("""COMPUTED_VALUE"""),10844.0)</f>
        <v>10844</v>
      </c>
      <c r="B245" s="3" t="str">
        <f>IFERROR(__xludf.DUMMYFUNCTION("""COMPUTED_VALUE"""),"1529 EAST TOWNLINE RD")</f>
        <v>1529 EAST TOWNLINE RD</v>
      </c>
      <c r="C245" s="3" t="str">
        <f>IFERROR(__xludf.DUMMYFUNCTION("""COMPUTED_VALUE"""),"NEWCASTLE")</f>
        <v>NEWCASTLE</v>
      </c>
      <c r="D245" s="3" t="str">
        <f>IFERROR(__xludf.DUMMYFUNCTION("""COMPUTED_VALUE"""),"L1B 1L9")</f>
        <v>L1B 1L9</v>
      </c>
      <c r="E245" s="3" t="str">
        <f>IFERROR(__xludf.DUMMYFUNCTION("""COMPUTED_VALUE"""),"Jeff Alldread")</f>
        <v>Jeff Alldread</v>
      </c>
      <c r="F245" s="3" t="str">
        <f>IFERROR(__xludf.DUMMYFUNCTION("""COMPUTED_VALUE"""),"lynn_dlr@hotmail.com")</f>
        <v>lynn_dlr@hotmail.com</v>
      </c>
      <c r="G245" s="3"/>
      <c r="H245" s="3"/>
    </row>
    <row r="246">
      <c r="A246" s="2">
        <f>IFERROR(__xludf.DUMMYFUNCTION("""COMPUTED_VALUE"""),10521.0)</f>
        <v>10521</v>
      </c>
      <c r="B246" s="3" t="str">
        <f>IFERROR(__xludf.DUMMYFUNCTION("""COMPUTED_VALUE"""),"1535 COUNTY RD 2")</f>
        <v>1535 COUNTY RD 2</v>
      </c>
      <c r="C246" s="3" t="str">
        <f>IFERROR(__xludf.DUMMYFUNCTION("""COMPUTED_VALUE"""),"PORT HOPE")</f>
        <v>PORT HOPE</v>
      </c>
      <c r="D246" s="3" t="str">
        <f>IFERROR(__xludf.DUMMYFUNCTION("""COMPUTED_VALUE"""),"L1A 3V7")</f>
        <v>L1A 3V7</v>
      </c>
      <c r="E246" s="3"/>
      <c r="F246" s="3"/>
      <c r="G246" s="3"/>
      <c r="H246" s="3"/>
    </row>
    <row r="247">
      <c r="A247" s="2">
        <f>IFERROR(__xludf.DUMMYFUNCTION("""COMPUTED_VALUE"""),11089.0)</f>
        <v>11089</v>
      </c>
      <c r="B247" s="3" t="str">
        <f>IFERROR(__xludf.DUMMYFUNCTION("""COMPUTED_VALUE"""),"1548 LAKESHORE RD")</f>
        <v>1548 LAKESHORE RD</v>
      </c>
      <c r="C247" s="3" t="str">
        <f>IFERROR(__xludf.DUMMYFUNCTION("""COMPUTED_VALUE"""),"PORT HOPE")</f>
        <v>PORT HOPE</v>
      </c>
      <c r="D247" s="3" t="str">
        <f>IFERROR(__xludf.DUMMYFUNCTION("""COMPUTED_VALUE"""),"L1A 3V7")</f>
        <v>L1A 3V7</v>
      </c>
      <c r="E247" s="3" t="str">
        <f>IFERROR(__xludf.DUMMYFUNCTION("""COMPUTED_VALUE"""),"aaron rosnak")</f>
        <v>aaron rosnak</v>
      </c>
      <c r="F247" s="3" t="str">
        <f>IFERROR(__xludf.DUMMYFUNCTION("""COMPUTED_VALUE"""),"arosnak74@gmail.com")</f>
        <v>arosnak74@gmail.com</v>
      </c>
      <c r="G247" s="3"/>
      <c r="H247" s="3"/>
    </row>
    <row r="248">
      <c r="A248" s="2">
        <f>IFERROR(__xludf.DUMMYFUNCTION("""COMPUTED_VALUE"""),11090.0)</f>
        <v>11090</v>
      </c>
      <c r="B248" s="3" t="str">
        <f>IFERROR(__xludf.DUMMYFUNCTION("""COMPUTED_VALUE"""),"1568 LAKESHORE RD")</f>
        <v>1568 LAKESHORE RD</v>
      </c>
      <c r="C248" s="3" t="str">
        <f>IFERROR(__xludf.DUMMYFUNCTION("""COMPUTED_VALUE"""),"PORT HOPE")</f>
        <v>PORT HOPE</v>
      </c>
      <c r="D248" s="3" t="str">
        <f>IFERROR(__xludf.DUMMYFUNCTION("""COMPUTED_VALUE"""),"L1A 3V7")</f>
        <v>L1A 3V7</v>
      </c>
      <c r="E248" s="3" t="str">
        <f>IFERROR(__xludf.DUMMYFUNCTION("""COMPUTED_VALUE"""),"Ron &amp; Lorraine Baker")</f>
        <v>Ron &amp; Lorraine Baker</v>
      </c>
      <c r="F248" s="3" t="str">
        <f>IFERROR(__xludf.DUMMYFUNCTION("""COMPUTED_VALUE"""),"lorronbaker@hotmail.com")</f>
        <v>lorronbaker@hotmail.com</v>
      </c>
      <c r="G248" s="3"/>
      <c r="H248" s="3"/>
    </row>
    <row r="249">
      <c r="A249" s="2">
        <f>IFERROR(__xludf.DUMMYFUNCTION("""COMPUTED_VALUE"""),11091.0)</f>
        <v>11091</v>
      </c>
      <c r="B249" s="3" t="str">
        <f>IFERROR(__xludf.DUMMYFUNCTION("""COMPUTED_VALUE"""),"1596 LAKESHORE RD")</f>
        <v>1596 LAKESHORE RD</v>
      </c>
      <c r="C249" s="3" t="str">
        <f>IFERROR(__xludf.DUMMYFUNCTION("""COMPUTED_VALUE"""),"PORT HOPE")</f>
        <v>PORT HOPE</v>
      </c>
      <c r="D249" s="3" t="str">
        <f>IFERROR(__xludf.DUMMYFUNCTION("""COMPUTED_VALUE"""),"L1A 3V7")</f>
        <v>L1A 3V7</v>
      </c>
      <c r="E249" s="3" t="str">
        <f>IFERROR(__xludf.DUMMYFUNCTION("""COMPUTED_VALUE"""),"Stephen Foss")</f>
        <v>Stephen Foss</v>
      </c>
      <c r="F249" s="3" t="str">
        <f>IFERROR(__xludf.DUMMYFUNCTION("""COMPUTED_VALUE"""),"v-foss@hotmail.com")</f>
        <v>v-foss@hotmail.com</v>
      </c>
      <c r="G249" s="3"/>
      <c r="H249" s="3"/>
    </row>
    <row r="250">
      <c r="A250" s="2">
        <f>IFERROR(__xludf.DUMMYFUNCTION("""COMPUTED_VALUE"""),11092.0)</f>
        <v>11092</v>
      </c>
      <c r="B250" s="3" t="str">
        <f>IFERROR(__xludf.DUMMYFUNCTION("""COMPUTED_VALUE"""),"1610 LAKESHORE RD")</f>
        <v>1610 LAKESHORE RD</v>
      </c>
      <c r="C250" s="3" t="str">
        <f>IFERROR(__xludf.DUMMYFUNCTION("""COMPUTED_VALUE"""),"PORT HOPE")</f>
        <v>PORT HOPE</v>
      </c>
      <c r="D250" s="3" t="str">
        <f>IFERROR(__xludf.DUMMYFUNCTION("""COMPUTED_VALUE"""),"L1A 3V7")</f>
        <v>L1A 3V7</v>
      </c>
      <c r="E250" s="3"/>
      <c r="F250" s="3"/>
      <c r="G250" s="3"/>
      <c r="H250" s="3"/>
    </row>
    <row r="251">
      <c r="A251" s="2">
        <f>IFERROR(__xludf.DUMMYFUNCTION("""COMPUTED_VALUE"""),11093.0)</f>
        <v>11093</v>
      </c>
      <c r="B251" s="3" t="str">
        <f>IFERROR(__xludf.DUMMYFUNCTION("""COMPUTED_VALUE"""),"1647 LAKESHORE RD")</f>
        <v>1647 LAKESHORE RD</v>
      </c>
      <c r="C251" s="3" t="str">
        <f>IFERROR(__xludf.DUMMYFUNCTION("""COMPUTED_VALUE"""),"PORT HOPE")</f>
        <v>PORT HOPE</v>
      </c>
      <c r="D251" s="3" t="str">
        <f>IFERROR(__xludf.DUMMYFUNCTION("""COMPUTED_VALUE"""),"L1A 3V7")</f>
        <v>L1A 3V7</v>
      </c>
      <c r="E251" s="3" t="str">
        <f>IFERROR(__xludf.DUMMYFUNCTION("""COMPUTED_VALUE"""),"lon thorndyke")</f>
        <v>lon thorndyke</v>
      </c>
      <c r="F251" s="3"/>
      <c r="G251" s="3"/>
      <c r="H251" s="3"/>
    </row>
    <row r="252">
      <c r="A252" s="2">
        <f>IFERROR(__xludf.DUMMYFUNCTION("""COMPUTED_VALUE"""),10522.0)</f>
        <v>10522</v>
      </c>
      <c r="B252" s="3" t="str">
        <f>IFERROR(__xludf.DUMMYFUNCTION("""COMPUTED_VALUE"""),"1691 COUNTY RD 2")</f>
        <v>1691 COUNTY RD 2</v>
      </c>
      <c r="C252" s="3" t="str">
        <f>IFERROR(__xludf.DUMMYFUNCTION("""COMPUTED_VALUE"""),"PORT HOPE")</f>
        <v>PORT HOPE</v>
      </c>
      <c r="D252" s="3" t="str">
        <f>IFERROR(__xludf.DUMMYFUNCTION("""COMPUTED_VALUE"""),"L1A 3V7")</f>
        <v>L1A 3V7</v>
      </c>
      <c r="E252" s="3" t="str">
        <f>IFERROR(__xludf.DUMMYFUNCTION("""COMPUTED_VALUE"""),"Linda Beaulieu")</f>
        <v>Linda Beaulieu</v>
      </c>
      <c r="F252" s="3"/>
      <c r="G252" s="3"/>
      <c r="H252" s="3"/>
    </row>
    <row r="253">
      <c r="A253" s="2">
        <f>IFERROR(__xludf.DUMMYFUNCTION("""COMPUTED_VALUE"""),11094.0)</f>
        <v>11094</v>
      </c>
      <c r="B253" s="3" t="str">
        <f>IFERROR(__xludf.DUMMYFUNCTION("""COMPUTED_VALUE"""),"1790 LAKESHORE RD")</f>
        <v>1790 LAKESHORE RD</v>
      </c>
      <c r="C253" s="3" t="str">
        <f>IFERROR(__xludf.DUMMYFUNCTION("""COMPUTED_VALUE"""),"PORT HOPE")</f>
        <v>PORT HOPE</v>
      </c>
      <c r="D253" s="3" t="str">
        <f>IFERROR(__xludf.DUMMYFUNCTION("""COMPUTED_VALUE"""),"L1A 3V7")</f>
        <v>L1A 3V7</v>
      </c>
      <c r="E253" s="3"/>
      <c r="F253" s="3"/>
      <c r="G253" s="3"/>
      <c r="H253" s="3"/>
    </row>
    <row r="254">
      <c r="A254" s="2">
        <f>IFERROR(__xludf.DUMMYFUNCTION("""COMPUTED_VALUE"""),10077.0)</f>
        <v>10077</v>
      </c>
      <c r="B254" s="3" t="str">
        <f>IFERROR(__xludf.DUMMYFUNCTION("""COMPUTED_VALUE"""),"1820 5TH LINE")</f>
        <v>1820 5TH LINE</v>
      </c>
      <c r="C254" s="3" t="str">
        <f>IFERROR(__xludf.DUMMYFUNCTION("""COMPUTED_VALUE"""),"NEWTONVILLE")</f>
        <v>NEWTONVILLE</v>
      </c>
      <c r="D254" s="3" t="str">
        <f>IFERROR(__xludf.DUMMYFUNCTION("""COMPUTED_VALUE"""),"L0A 1J0")</f>
        <v>L0A 1J0</v>
      </c>
      <c r="E254" s="3" t="str">
        <f>IFERROR(__xludf.DUMMYFUNCTION("""COMPUTED_VALUE"""),"Margie Wilson ")</f>
        <v>Margie Wilson </v>
      </c>
      <c r="F254" s="3" t="str">
        <f>IFERROR(__xludf.DUMMYFUNCTION("""COMPUTED_VALUE"""),"mdw1820@gmail.com")</f>
        <v>mdw1820@gmail.com</v>
      </c>
      <c r="G254" s="3"/>
      <c r="H254" s="3"/>
    </row>
    <row r="255">
      <c r="A255" s="2">
        <f>IFERROR(__xludf.DUMMYFUNCTION("""COMPUTED_VALUE"""),10523.0)</f>
        <v>10523</v>
      </c>
      <c r="B255" s="3" t="str">
        <f>IFERROR(__xludf.DUMMYFUNCTION("""COMPUTED_VALUE"""),"1838 COUNTY RD 2")</f>
        <v>1838 COUNTY RD 2</v>
      </c>
      <c r="C255" s="3" t="str">
        <f>IFERROR(__xludf.DUMMYFUNCTION("""COMPUTED_VALUE"""),"PORT HOPE")</f>
        <v>PORT HOPE</v>
      </c>
      <c r="D255" s="3" t="str">
        <f>IFERROR(__xludf.DUMMYFUNCTION("""COMPUTED_VALUE"""),"L1A 3V7")</f>
        <v>L1A 3V7</v>
      </c>
      <c r="E255" s="3" t="str">
        <f>IFERROR(__xludf.DUMMYFUNCTION("""COMPUTED_VALUE"""),"Praveen Thakore")</f>
        <v>Praveen Thakore</v>
      </c>
      <c r="F255" s="3" t="str">
        <f>IFERROR(__xludf.DUMMYFUNCTION("""COMPUTED_VALUE"""),"sai0724@gmail.com")</f>
        <v>sai0724@gmail.com</v>
      </c>
      <c r="G255" s="3"/>
      <c r="H255" s="3"/>
    </row>
    <row r="256">
      <c r="A256" s="2">
        <f>IFERROR(__xludf.DUMMYFUNCTION("""COMPUTED_VALUE"""),10524.0)</f>
        <v>10524</v>
      </c>
      <c r="B256" s="3" t="str">
        <f>IFERROR(__xludf.DUMMYFUNCTION("""COMPUTED_VALUE"""),"1933 COUNTY RD 2")</f>
        <v>1933 COUNTY RD 2</v>
      </c>
      <c r="C256" s="3" t="str">
        <f>IFERROR(__xludf.DUMMYFUNCTION("""COMPUTED_VALUE"""),"PORT HOPE")</f>
        <v>PORT HOPE</v>
      </c>
      <c r="D256" s="3" t="str">
        <f>IFERROR(__xludf.DUMMYFUNCTION("""COMPUTED_VALUE"""),"L1A 3V7")</f>
        <v>L1A 3V7</v>
      </c>
      <c r="E256" s="3" t="str">
        <f>IFERROR(__xludf.DUMMYFUNCTION("""COMPUTED_VALUE"""),"Tracey Harness")</f>
        <v>Tracey Harness</v>
      </c>
      <c r="F256" s="3" t="str">
        <f>IFERROR(__xludf.DUMMYFUNCTION("""COMPUTED_VALUE"""),"tracey.harness@gmail.com")</f>
        <v>tracey.harness@gmail.com</v>
      </c>
      <c r="G256" s="3"/>
      <c r="H256" s="3"/>
    </row>
    <row r="257">
      <c r="A257" s="2">
        <f>IFERROR(__xludf.DUMMYFUNCTION("""COMPUTED_VALUE"""),10079.0)</f>
        <v>10079</v>
      </c>
      <c r="B257" s="3" t="str">
        <f>IFERROR(__xludf.DUMMYFUNCTION("""COMPUTED_VALUE"""),"1940 5TH LINE")</f>
        <v>1940 5TH LINE</v>
      </c>
      <c r="C257" s="3" t="str">
        <f>IFERROR(__xludf.DUMMYFUNCTION("""COMPUTED_VALUE"""),"NEWTONVILLE")</f>
        <v>NEWTONVILLE</v>
      </c>
      <c r="D257" s="3" t="str">
        <f>IFERROR(__xludf.DUMMYFUNCTION("""COMPUTED_VALUE"""),"L0A 1J0")</f>
        <v>L0A 1J0</v>
      </c>
      <c r="E257" s="3" t="str">
        <f>IFERROR(__xludf.DUMMYFUNCTION("""COMPUTED_VALUE"""),"Durocher Regino")</f>
        <v>Durocher Regino</v>
      </c>
      <c r="F257" s="3"/>
      <c r="G257" s="3"/>
      <c r="H257" s="3"/>
    </row>
    <row r="258">
      <c r="A258" s="2">
        <f>IFERROR(__xludf.DUMMYFUNCTION("""COMPUTED_VALUE"""),10525.0)</f>
        <v>10525</v>
      </c>
      <c r="B258" s="3" t="str">
        <f>IFERROR(__xludf.DUMMYFUNCTION("""COMPUTED_VALUE"""),"1974 COUNTY RD 2")</f>
        <v>1974 COUNTY RD 2</v>
      </c>
      <c r="C258" s="3" t="str">
        <f>IFERROR(__xludf.DUMMYFUNCTION("""COMPUTED_VALUE"""),"PORT HOPE")</f>
        <v>PORT HOPE</v>
      </c>
      <c r="D258" s="3" t="str">
        <f>IFERROR(__xludf.DUMMYFUNCTION("""COMPUTED_VALUE"""),"L1A 3V7")</f>
        <v>L1A 3V7</v>
      </c>
      <c r="E258" s="3"/>
      <c r="F258" s="3"/>
      <c r="G258" s="3"/>
      <c r="H258" s="3"/>
    </row>
    <row r="259">
      <c r="A259" s="2">
        <f>IFERROR(__xludf.DUMMYFUNCTION("""COMPUTED_VALUE"""),10081.0)</f>
        <v>10081</v>
      </c>
      <c r="B259" s="3" t="str">
        <f>IFERROR(__xludf.DUMMYFUNCTION("""COMPUTED_VALUE"""),"1990 5TH LINE")</f>
        <v>1990 5TH LINE</v>
      </c>
      <c r="C259" s="3" t="str">
        <f>IFERROR(__xludf.DUMMYFUNCTION("""COMPUTED_VALUE"""),"NEWTONVILLE")</f>
        <v>NEWTONVILLE</v>
      </c>
      <c r="D259" s="3" t="str">
        <f>IFERROR(__xludf.DUMMYFUNCTION("""COMPUTED_VALUE"""),"L0A 1J0")</f>
        <v>L0A 1J0</v>
      </c>
      <c r="E259" s="3"/>
      <c r="F259" s="3"/>
      <c r="G259" s="3"/>
      <c r="H259" s="3"/>
    </row>
    <row r="260">
      <c r="A260" s="2">
        <f>IFERROR(__xludf.DUMMYFUNCTION("""COMPUTED_VALUE"""),10082.0)</f>
        <v>10082</v>
      </c>
      <c r="B260" s="3" t="str">
        <f>IFERROR(__xludf.DUMMYFUNCTION("""COMPUTED_VALUE"""),"2017 5TH LINE")</f>
        <v>2017 5TH LINE</v>
      </c>
      <c r="C260" s="3" t="str">
        <f>IFERROR(__xludf.DUMMYFUNCTION("""COMPUTED_VALUE"""),"NEWTONVILLE")</f>
        <v>NEWTONVILLE</v>
      </c>
      <c r="D260" s="3" t="str">
        <f>IFERROR(__xludf.DUMMYFUNCTION("""COMPUTED_VALUE"""),"L0A 1J0")</f>
        <v>L0A 1J0</v>
      </c>
      <c r="E260" s="3" t="str">
        <f>IFERROR(__xludf.DUMMYFUNCTION("""COMPUTED_VALUE"""),"elizabeth fellous")</f>
        <v>elizabeth fellous</v>
      </c>
      <c r="F260" s="3"/>
      <c r="G260" s="3"/>
      <c r="H260" s="3"/>
    </row>
    <row r="261">
      <c r="A261" s="2">
        <f>IFERROR(__xludf.DUMMYFUNCTION("""COMPUTED_VALUE"""),10083.0)</f>
        <v>10083</v>
      </c>
      <c r="B261" s="3" t="str">
        <f>IFERROR(__xludf.DUMMYFUNCTION("""COMPUTED_VALUE"""),"2026 5TH LINE")</f>
        <v>2026 5TH LINE</v>
      </c>
      <c r="C261" s="3" t="str">
        <f>IFERROR(__xludf.DUMMYFUNCTION("""COMPUTED_VALUE"""),"NEWTONVILLE")</f>
        <v>NEWTONVILLE</v>
      </c>
      <c r="D261" s="3" t="str">
        <f>IFERROR(__xludf.DUMMYFUNCTION("""COMPUTED_VALUE"""),"L0A 1J0")</f>
        <v>L0A 1J0</v>
      </c>
      <c r="E261" s="3" t="str">
        <f>IFERROR(__xludf.DUMMYFUNCTION("""COMPUTED_VALUE"""),"june banks")</f>
        <v>june banks</v>
      </c>
      <c r="F261" s="3" t="str">
        <f>IFERROR(__xludf.DUMMYFUNCTION("""COMPUTED_VALUE"""),"julieplath@yahoo.ca")</f>
        <v>julieplath@yahoo.ca</v>
      </c>
      <c r="G261" s="3"/>
      <c r="H261" s="3"/>
    </row>
    <row r="262">
      <c r="A262" s="2">
        <f>IFERROR(__xludf.DUMMYFUNCTION("""COMPUTED_VALUE"""),10526.0)</f>
        <v>10526</v>
      </c>
      <c r="B262" s="3" t="str">
        <f>IFERROR(__xludf.DUMMYFUNCTION("""COMPUTED_VALUE"""),"2031 COUNTY RD 2")</f>
        <v>2031 COUNTY RD 2</v>
      </c>
      <c r="C262" s="3" t="str">
        <f>IFERROR(__xludf.DUMMYFUNCTION("""COMPUTED_VALUE"""),"PORT HOPE")</f>
        <v>PORT HOPE</v>
      </c>
      <c r="D262" s="3" t="str">
        <f>IFERROR(__xludf.DUMMYFUNCTION("""COMPUTED_VALUE"""),"L1A 3V7")</f>
        <v>L1A 3V7</v>
      </c>
      <c r="E262" s="3" t="str">
        <f>IFERROR(__xludf.DUMMYFUNCTION("""COMPUTED_VALUE"""),"GURPREET KHOSA")</f>
        <v>GURPREET KHOSA</v>
      </c>
      <c r="F262" s="3" t="str">
        <f>IFERROR(__xludf.DUMMYFUNCTION("""COMPUTED_VALUE"""),"khosag326@gmail.com")</f>
        <v>khosag326@gmail.com</v>
      </c>
      <c r="G262" s="3"/>
      <c r="H262" s="3"/>
    </row>
    <row r="263">
      <c r="A263" s="2">
        <f>IFERROR(__xludf.DUMMYFUNCTION("""COMPUTED_VALUE"""),10021.0)</f>
        <v>10021</v>
      </c>
      <c r="B263" s="3" t="str">
        <f>IFERROR(__xludf.DUMMYFUNCTION("""COMPUTED_VALUE"""),"2035 4TH LINE")</f>
        <v>2035 4TH LINE</v>
      </c>
      <c r="C263" s="3" t="str">
        <f>IFERROR(__xludf.DUMMYFUNCTION("""COMPUTED_VALUE"""),"PORT HOPE")</f>
        <v>PORT HOPE</v>
      </c>
      <c r="D263" s="3" t="str">
        <f>IFERROR(__xludf.DUMMYFUNCTION("""COMPUTED_VALUE"""),"L1A 3V7")</f>
        <v>L1A 3V7</v>
      </c>
      <c r="E263" s="3" t="str">
        <f>IFERROR(__xludf.DUMMYFUNCTION("""COMPUTED_VALUE"""),"Lou Marshall")</f>
        <v>Lou Marshall</v>
      </c>
      <c r="F263" s="3"/>
      <c r="G263" s="3"/>
      <c r="H263" s="3"/>
    </row>
    <row r="264">
      <c r="A264" s="2">
        <f>IFERROR(__xludf.DUMMYFUNCTION("""COMPUTED_VALUE"""),10527.0)</f>
        <v>10527</v>
      </c>
      <c r="B264" s="3" t="str">
        <f>IFERROR(__xludf.DUMMYFUNCTION("""COMPUTED_VALUE"""),"2046 COUNTY RD 2")</f>
        <v>2046 COUNTY RD 2</v>
      </c>
      <c r="C264" s="3" t="str">
        <f>IFERROR(__xludf.DUMMYFUNCTION("""COMPUTED_VALUE"""),"PORT HOPE")</f>
        <v>PORT HOPE</v>
      </c>
      <c r="D264" s="3" t="str">
        <f>IFERROR(__xludf.DUMMYFUNCTION("""COMPUTED_VALUE"""),"L1A 3V7")</f>
        <v>L1A 3V7</v>
      </c>
      <c r="E264" s="3" t="str">
        <f>IFERROR(__xludf.DUMMYFUNCTION("""COMPUTED_VALUE"""),"Marianne Patterson ")</f>
        <v>Marianne Patterson </v>
      </c>
      <c r="F264" s="3" t="str">
        <f>IFERROR(__xludf.DUMMYFUNCTION("""COMPUTED_VALUE"""),"Mariannepatterson8@gmail.com")</f>
        <v>Mariannepatterson8@gmail.com</v>
      </c>
      <c r="G264" s="3"/>
      <c r="H264" s="3"/>
    </row>
    <row r="265">
      <c r="A265" s="2">
        <f>IFERROR(__xludf.DUMMYFUNCTION("""COMPUTED_VALUE"""),10084.0)</f>
        <v>10084</v>
      </c>
      <c r="B265" s="3" t="str">
        <f>IFERROR(__xludf.DUMMYFUNCTION("""COMPUTED_VALUE"""),"2110 5TH LINE")</f>
        <v>2110 5TH LINE</v>
      </c>
      <c r="C265" s="3" t="str">
        <f>IFERROR(__xludf.DUMMYFUNCTION("""COMPUTED_VALUE"""),"NEWTONVILLE")</f>
        <v>NEWTONVILLE</v>
      </c>
      <c r="D265" s="3" t="str">
        <f>IFERROR(__xludf.DUMMYFUNCTION("""COMPUTED_VALUE"""),"L0A 1J0")</f>
        <v>L0A 1J0</v>
      </c>
      <c r="E265" s="3" t="str">
        <f>IFERROR(__xludf.DUMMYFUNCTION("""COMPUTED_VALUE"""),"aaron fids")</f>
        <v>aaron fids</v>
      </c>
      <c r="F265" s="3"/>
      <c r="G265" s="3"/>
      <c r="H265" s="3"/>
    </row>
    <row r="266">
      <c r="A266" s="2">
        <f>IFERROR(__xludf.DUMMYFUNCTION("""COMPUTED_VALUE"""),10022.0)</f>
        <v>10022</v>
      </c>
      <c r="B266" s="3" t="str">
        <f>IFERROR(__xludf.DUMMYFUNCTION("""COMPUTED_VALUE"""),"2115 4TH LINE")</f>
        <v>2115 4TH LINE</v>
      </c>
      <c r="C266" s="3" t="str">
        <f>IFERROR(__xludf.DUMMYFUNCTION("""COMPUTED_VALUE"""),"PORT HOPE")</f>
        <v>PORT HOPE</v>
      </c>
      <c r="D266" s="3" t="str">
        <f>IFERROR(__xludf.DUMMYFUNCTION("""COMPUTED_VALUE"""),"L1A 3V7")</f>
        <v>L1A 3V7</v>
      </c>
      <c r="E266" s="3" t="str">
        <f>IFERROR(__xludf.DUMMYFUNCTION("""COMPUTED_VALUE"""),"James Bell")</f>
        <v>James Bell</v>
      </c>
      <c r="F266" s="3" t="str">
        <f>IFERROR(__xludf.DUMMYFUNCTION("""COMPUTED_VALUE"""),"jamesbell154@hotmail.com")</f>
        <v>jamesbell154@hotmail.com</v>
      </c>
      <c r="G266" s="3"/>
      <c r="H266" s="3"/>
    </row>
    <row r="267">
      <c r="A267" s="2">
        <f>IFERROR(__xludf.DUMMYFUNCTION("""COMPUTED_VALUE"""),10023.0)</f>
        <v>10023</v>
      </c>
      <c r="B267" s="3" t="str">
        <f>IFERROR(__xludf.DUMMYFUNCTION("""COMPUTED_VALUE"""),"2131 4TH LINE")</f>
        <v>2131 4TH LINE</v>
      </c>
      <c r="C267" s="3" t="str">
        <f>IFERROR(__xludf.DUMMYFUNCTION("""COMPUTED_VALUE"""),"PORT HOPE")</f>
        <v>PORT HOPE</v>
      </c>
      <c r="D267" s="3" t="str">
        <f>IFERROR(__xludf.DUMMYFUNCTION("""COMPUTED_VALUE"""),"L1A 3V7")</f>
        <v>L1A 3V7</v>
      </c>
      <c r="E267" s="3"/>
      <c r="F267" s="3"/>
      <c r="G267" s="3"/>
      <c r="H267" s="3"/>
    </row>
    <row r="268">
      <c r="A268" s="2">
        <f>IFERROR(__xludf.DUMMYFUNCTION("""COMPUTED_VALUE"""),10024.0)</f>
        <v>10024</v>
      </c>
      <c r="B268" s="3" t="str">
        <f>IFERROR(__xludf.DUMMYFUNCTION("""COMPUTED_VALUE"""),"2169 4TH LINE")</f>
        <v>2169 4TH LINE</v>
      </c>
      <c r="C268" s="3" t="str">
        <f>IFERROR(__xludf.DUMMYFUNCTION("""COMPUTED_VALUE"""),"PORT HOPE")</f>
        <v>PORT HOPE</v>
      </c>
      <c r="D268" s="3" t="str">
        <f>IFERROR(__xludf.DUMMYFUNCTION("""COMPUTED_VALUE"""),"L1A 3V7")</f>
        <v>L1A 3V7</v>
      </c>
      <c r="E268" s="3" t="str">
        <f>IFERROR(__xludf.DUMMYFUNCTION("""COMPUTED_VALUE"""),"Peter K. Ostrowski")</f>
        <v>Peter K. Ostrowski</v>
      </c>
      <c r="F268" s="3" t="str">
        <f>IFERROR(__xludf.DUMMYFUNCTION("""COMPUTED_VALUE"""),"peterko@rogers.com")</f>
        <v>peterko@rogers.com</v>
      </c>
      <c r="G268" s="3"/>
      <c r="H268" s="3"/>
    </row>
    <row r="269">
      <c r="A269" s="2">
        <f>IFERROR(__xludf.DUMMYFUNCTION("""COMPUTED_VALUE"""),11635.0)</f>
        <v>11635</v>
      </c>
      <c r="B269" s="3" t="str">
        <f>IFERROR(__xludf.DUMMYFUNCTION("""COMPUTED_VALUE"""),"2216 COUNTY RD 28")</f>
        <v>2216 COUNTY RD 28</v>
      </c>
      <c r="C269" s="3" t="str">
        <f>IFERROR(__xludf.DUMMYFUNCTION("""COMPUTED_VALUE"""),"PORT HOPE")</f>
        <v>PORT HOPE</v>
      </c>
      <c r="D269" s="3" t="str">
        <f>IFERROR(__xludf.DUMMYFUNCTION("""COMPUTED_VALUE"""),"L1A 3V8")</f>
        <v>L1A 3V8</v>
      </c>
      <c r="E269" s="3" t="str">
        <f>IFERROR(__xludf.DUMMYFUNCTION("""COMPUTED_VALUE"""),"Jeff Moxley")</f>
        <v>Jeff Moxley</v>
      </c>
      <c r="F269" s="3" t="str">
        <f>IFERROR(__xludf.DUMMYFUNCTION("""COMPUTED_VALUE"""),"jmoxley@grca.on.ca")</f>
        <v>jmoxley@grca.on.ca</v>
      </c>
      <c r="G269" s="3"/>
      <c r="H269" s="3"/>
    </row>
    <row r="270">
      <c r="A270" s="2">
        <f>IFERROR(__xludf.DUMMYFUNCTION("""COMPUTED_VALUE"""),10595.0)</f>
        <v>10595</v>
      </c>
      <c r="B270" s="3" t="str">
        <f>IFERROR(__xludf.DUMMYFUNCTION("""COMPUTED_VALUE"""),"2256 COUNTY RD 28")</f>
        <v>2256 COUNTY RD 28</v>
      </c>
      <c r="C270" s="3" t="str">
        <f>IFERROR(__xludf.DUMMYFUNCTION("""COMPUTED_VALUE"""),"PORT HOPE")</f>
        <v>PORT HOPE</v>
      </c>
      <c r="D270" s="3" t="str">
        <f>IFERROR(__xludf.DUMMYFUNCTION("""COMPUTED_VALUE"""),"L1A 3V8")</f>
        <v>L1A 3V8</v>
      </c>
      <c r="E270" s="3"/>
      <c r="F270" s="3"/>
      <c r="G270" s="3"/>
      <c r="H270" s="3"/>
    </row>
    <row r="271">
      <c r="A271" s="2">
        <f>IFERROR(__xludf.DUMMYFUNCTION("""COMPUTED_VALUE"""),10528.0)</f>
        <v>10528</v>
      </c>
      <c r="B271" s="3" t="str">
        <f>IFERROR(__xludf.DUMMYFUNCTION("""COMPUTED_VALUE"""),"2256 COUNTY RD 2")</f>
        <v>2256 COUNTY RD 2</v>
      </c>
      <c r="C271" s="3" t="str">
        <f>IFERROR(__xludf.DUMMYFUNCTION("""COMPUTED_VALUE"""),"PORT HOPE")</f>
        <v>PORT HOPE</v>
      </c>
      <c r="D271" s="3" t="str">
        <f>IFERROR(__xludf.DUMMYFUNCTION("""COMPUTED_VALUE"""),"L1A 3V5")</f>
        <v>L1A 3V5</v>
      </c>
      <c r="E271" s="3" t="str">
        <f>IFERROR(__xludf.DUMMYFUNCTION("""COMPUTED_VALUE"""),"Janice Durand ")</f>
        <v>Janice Durand </v>
      </c>
      <c r="F271" s="3" t="str">
        <f>IFERROR(__xludf.DUMMYFUNCTION("""COMPUTED_VALUE"""),"Janice.durand@gmail.com")</f>
        <v>Janice.durand@gmail.com</v>
      </c>
      <c r="G271" s="3"/>
      <c r="H271" s="3"/>
    </row>
    <row r="272">
      <c r="A272" s="2">
        <f>IFERROR(__xludf.DUMMYFUNCTION("""COMPUTED_VALUE"""),10025.0)</f>
        <v>10025</v>
      </c>
      <c r="B272" s="3" t="str">
        <f>IFERROR(__xludf.DUMMYFUNCTION("""COMPUTED_VALUE"""),"2300 4TH LINE")</f>
        <v>2300 4TH LINE</v>
      </c>
      <c r="C272" s="3" t="str">
        <f>IFERROR(__xludf.DUMMYFUNCTION("""COMPUTED_VALUE"""),"PORT HOPE")</f>
        <v>PORT HOPE</v>
      </c>
      <c r="D272" s="3" t="str">
        <f>IFERROR(__xludf.DUMMYFUNCTION("""COMPUTED_VALUE"""),"L1A 3V7")</f>
        <v>L1A 3V7</v>
      </c>
      <c r="E272" s="3" t="str">
        <f>IFERROR(__xludf.DUMMYFUNCTION("""COMPUTED_VALUE"""),"mike szalawiga")</f>
        <v>mike szalawiga</v>
      </c>
      <c r="F272" s="3"/>
      <c r="G272" s="3"/>
      <c r="H272" s="3"/>
    </row>
    <row r="273">
      <c r="A273" s="2">
        <f>IFERROR(__xludf.DUMMYFUNCTION("""COMPUTED_VALUE"""),10529.0)</f>
        <v>10529</v>
      </c>
      <c r="B273" s="3" t="str">
        <f>IFERROR(__xludf.DUMMYFUNCTION("""COMPUTED_VALUE"""),"2303 COUNTY RD 2")</f>
        <v>2303 COUNTY RD 2</v>
      </c>
      <c r="C273" s="3" t="str">
        <f>IFERROR(__xludf.DUMMYFUNCTION("""COMPUTED_VALUE"""),"PORT HOPE")</f>
        <v>PORT HOPE</v>
      </c>
      <c r="D273" s="3" t="str">
        <f>IFERROR(__xludf.DUMMYFUNCTION("""COMPUTED_VALUE"""),"L1A 3V5")</f>
        <v>L1A 3V5</v>
      </c>
      <c r="E273" s="3"/>
      <c r="F273" s="3"/>
      <c r="G273" s="3"/>
      <c r="H273" s="3"/>
    </row>
    <row r="274">
      <c r="A274" s="2">
        <f>IFERROR(__xludf.DUMMYFUNCTION("""COMPUTED_VALUE"""),10026.0)</f>
        <v>10026</v>
      </c>
      <c r="B274" s="3" t="str">
        <f>IFERROR(__xludf.DUMMYFUNCTION("""COMPUTED_VALUE"""),"2311 4TH LINE")</f>
        <v>2311 4TH LINE</v>
      </c>
      <c r="C274" s="3" t="str">
        <f>IFERROR(__xludf.DUMMYFUNCTION("""COMPUTED_VALUE"""),"PORT HOPE")</f>
        <v>PORT HOPE</v>
      </c>
      <c r="D274" s="3" t="str">
        <f>IFERROR(__xludf.DUMMYFUNCTION("""COMPUTED_VALUE"""),"L1A 3V7")</f>
        <v>L1A 3V7</v>
      </c>
      <c r="E274" s="3" t="str">
        <f>IFERROR(__xludf.DUMMYFUNCTION("""COMPUTED_VALUE"""),"Chris million")</f>
        <v>Chris million</v>
      </c>
      <c r="F274" s="3" t="str">
        <f>IFERROR(__xludf.DUMMYFUNCTION("""COMPUTED_VALUE"""),"Millsonc65@gmail.com")</f>
        <v>Millsonc65@gmail.com</v>
      </c>
      <c r="G274" s="3"/>
      <c r="H274" s="3"/>
    </row>
    <row r="275">
      <c r="A275" s="2">
        <f>IFERROR(__xludf.DUMMYFUNCTION("""COMPUTED_VALUE"""),10530.0)</f>
        <v>10530</v>
      </c>
      <c r="B275" s="3" t="str">
        <f>IFERROR(__xludf.DUMMYFUNCTION("""COMPUTED_VALUE"""),"2348 COUNTY RD 2")</f>
        <v>2348 COUNTY RD 2</v>
      </c>
      <c r="C275" s="3" t="str">
        <f>IFERROR(__xludf.DUMMYFUNCTION("""COMPUTED_VALUE"""),"PORT HOPE")</f>
        <v>PORT HOPE</v>
      </c>
      <c r="D275" s="3" t="str">
        <f>IFERROR(__xludf.DUMMYFUNCTION("""COMPUTED_VALUE"""),"L1A 3V5")</f>
        <v>L1A 3V5</v>
      </c>
      <c r="E275" s="3" t="str">
        <f>IFERROR(__xludf.DUMMYFUNCTION("""COMPUTED_VALUE"""),"Karen smith")</f>
        <v>Karen smith</v>
      </c>
      <c r="F275" s="3" t="str">
        <f>IFERROR(__xludf.DUMMYFUNCTION("""COMPUTED_VALUE"""),"karsmi53@hotmail.ca")</f>
        <v>karsmi53@hotmail.ca</v>
      </c>
      <c r="G275" s="3"/>
      <c r="H275" s="3"/>
    </row>
    <row r="276">
      <c r="A276" s="2">
        <f>IFERROR(__xludf.DUMMYFUNCTION("""COMPUTED_VALUE"""),10531.0)</f>
        <v>10531</v>
      </c>
      <c r="B276" s="3" t="str">
        <f>IFERROR(__xludf.DUMMYFUNCTION("""COMPUTED_VALUE"""),"2362 COUNTY RD 2")</f>
        <v>2362 COUNTY RD 2</v>
      </c>
      <c r="C276" s="3" t="str">
        <f>IFERROR(__xludf.DUMMYFUNCTION("""COMPUTED_VALUE"""),"PORT HOPE")</f>
        <v>PORT HOPE</v>
      </c>
      <c r="D276" s="3" t="str">
        <f>IFERROR(__xludf.DUMMYFUNCTION("""COMPUTED_VALUE"""),"L1A 3V5")</f>
        <v>L1A 3V5</v>
      </c>
      <c r="E276" s="3" t="str">
        <f>IFERROR(__xludf.DUMMYFUNCTION("""COMPUTED_VALUE"""),"Albert woodruff")</f>
        <v>Albert woodruff</v>
      </c>
      <c r="F276" s="3"/>
      <c r="G276" s="3"/>
      <c r="H276" s="3"/>
    </row>
    <row r="277">
      <c r="A277" s="2">
        <f>IFERROR(__xludf.DUMMYFUNCTION("""COMPUTED_VALUE"""),10027.0)</f>
        <v>10027</v>
      </c>
      <c r="B277" s="3" t="str">
        <f>IFERROR(__xludf.DUMMYFUNCTION("""COMPUTED_VALUE"""),"2365 4TH LINE")</f>
        <v>2365 4TH LINE</v>
      </c>
      <c r="C277" s="3" t="str">
        <f>IFERROR(__xludf.DUMMYFUNCTION("""COMPUTED_VALUE"""),"PORT HOPE")</f>
        <v>PORT HOPE</v>
      </c>
      <c r="D277" s="3" t="str">
        <f>IFERROR(__xludf.DUMMYFUNCTION("""COMPUTED_VALUE"""),"L1A 3V7")</f>
        <v>L1A 3V7</v>
      </c>
      <c r="E277" s="3" t="str">
        <f>IFERROR(__xludf.DUMMYFUNCTION("""COMPUTED_VALUE"""),"Bonnie Wood")</f>
        <v>Bonnie Wood</v>
      </c>
      <c r="F277" s="3" t="str">
        <f>IFERROR(__xludf.DUMMYFUNCTION("""COMPUTED_VALUE"""),"bontomsmith@hotmail.com")</f>
        <v>bontomsmith@hotmail.com</v>
      </c>
      <c r="G277" s="3"/>
      <c r="H277" s="3"/>
    </row>
    <row r="278">
      <c r="A278" s="2">
        <f>IFERROR(__xludf.DUMMYFUNCTION("""COMPUTED_VALUE"""),10028.0)</f>
        <v>10028</v>
      </c>
      <c r="B278" s="3" t="str">
        <f>IFERROR(__xludf.DUMMYFUNCTION("""COMPUTED_VALUE"""),"2387 4TH LINE")</f>
        <v>2387 4TH LINE</v>
      </c>
      <c r="C278" s="3" t="str">
        <f>IFERROR(__xludf.DUMMYFUNCTION("""COMPUTED_VALUE"""),"PORT HOPE")</f>
        <v>PORT HOPE</v>
      </c>
      <c r="D278" s="3" t="str">
        <f>IFERROR(__xludf.DUMMYFUNCTION("""COMPUTED_VALUE"""),"L1A 3V7")</f>
        <v>L1A 3V7</v>
      </c>
      <c r="E278" s="3" t="str">
        <f>IFERROR(__xludf.DUMMYFUNCTION("""COMPUTED_VALUE"""),"diana campbell")</f>
        <v>diana campbell</v>
      </c>
      <c r="F278" s="3"/>
      <c r="G278" s="3"/>
      <c r="H278" s="3"/>
    </row>
    <row r="279">
      <c r="A279" s="2">
        <f>IFERROR(__xludf.DUMMYFUNCTION("""COMPUTED_VALUE"""),10596.0)</f>
        <v>10596</v>
      </c>
      <c r="B279" s="3" t="str">
        <f>IFERROR(__xludf.DUMMYFUNCTION("""COMPUTED_VALUE"""),"2400 COUNTY RD 28")</f>
        <v>2400 COUNTY RD 28</v>
      </c>
      <c r="C279" s="3" t="str">
        <f>IFERROR(__xludf.DUMMYFUNCTION("""COMPUTED_VALUE"""),"PORT HOPE")</f>
        <v>PORT HOPE</v>
      </c>
      <c r="D279" s="3" t="str">
        <f>IFERROR(__xludf.DUMMYFUNCTION("""COMPUTED_VALUE"""),"L1A 3V8")</f>
        <v>L1A 3V8</v>
      </c>
      <c r="E279" s="3"/>
      <c r="F279" s="3"/>
      <c r="G279" s="3"/>
      <c r="H279" s="3"/>
    </row>
    <row r="280">
      <c r="A280" s="2">
        <f>IFERROR(__xludf.DUMMYFUNCTION("""COMPUTED_VALUE"""),10597.0)</f>
        <v>10597</v>
      </c>
      <c r="B280" s="3" t="str">
        <f>IFERROR(__xludf.DUMMYFUNCTION("""COMPUTED_VALUE"""),"2404 COUNTY RD 28")</f>
        <v>2404 COUNTY RD 28</v>
      </c>
      <c r="C280" s="3" t="str">
        <f>IFERROR(__xludf.DUMMYFUNCTION("""COMPUTED_VALUE"""),"PORT HOPE")</f>
        <v>PORT HOPE</v>
      </c>
      <c r="D280" s="3" t="str">
        <f>IFERROR(__xludf.DUMMYFUNCTION("""COMPUTED_VALUE"""),"L1A 3V8")</f>
        <v>L1A 3V8</v>
      </c>
      <c r="E280" s="3"/>
      <c r="F280" s="3"/>
      <c r="G280" s="3"/>
      <c r="H280" s="3"/>
    </row>
    <row r="281">
      <c r="A281" s="2">
        <f>IFERROR(__xludf.DUMMYFUNCTION("""COMPUTED_VALUE"""),10532.0)</f>
        <v>10532</v>
      </c>
      <c r="B281" s="3" t="str">
        <f>IFERROR(__xludf.DUMMYFUNCTION("""COMPUTED_VALUE"""),"2421 COUNTY RD 2")</f>
        <v>2421 COUNTY RD 2</v>
      </c>
      <c r="C281" s="3" t="str">
        <f>IFERROR(__xludf.DUMMYFUNCTION("""COMPUTED_VALUE"""),"PORT HOPE")</f>
        <v>PORT HOPE</v>
      </c>
      <c r="D281" s="3" t="str">
        <f>IFERROR(__xludf.DUMMYFUNCTION("""COMPUTED_VALUE"""),"L1A 3V5")</f>
        <v>L1A 3V5</v>
      </c>
      <c r="E281" s="3" t="str">
        <f>IFERROR(__xludf.DUMMYFUNCTION("""COMPUTED_VALUE"""),"debbie o donoghue")</f>
        <v>debbie o donoghue</v>
      </c>
      <c r="F281" s="3" t="str">
        <f>IFERROR(__xludf.DUMMYFUNCTION("""COMPUTED_VALUE"""),"deborahodonoghue7@gmail.com")</f>
        <v>deborahodonoghue7@gmail.com</v>
      </c>
      <c r="G281" s="3"/>
      <c r="H281" s="3"/>
    </row>
    <row r="282">
      <c r="A282" s="2">
        <f>IFERROR(__xludf.DUMMYFUNCTION("""COMPUTED_VALUE"""),10698.0)</f>
        <v>10698</v>
      </c>
      <c r="B282" s="3" t="str">
        <f>IFERROR(__xludf.DUMMYFUNCTION("""COMPUTED_VALUE"""),"2424 CRANBERRY RD SUITE A")</f>
        <v>2424 CRANBERRY RD SUITE A</v>
      </c>
      <c r="C282" s="3" t="str">
        <f>IFERROR(__xludf.DUMMYFUNCTION("""COMPUTED_VALUE"""),"PORT HOPE")</f>
        <v>PORT HOPE</v>
      </c>
      <c r="D282" s="3" t="str">
        <f>IFERROR(__xludf.DUMMYFUNCTION("""COMPUTED_VALUE"""),"L1A 3V8")</f>
        <v>L1A 3V8</v>
      </c>
      <c r="E282" s="3" t="str">
        <f>IFERROR(__xludf.DUMMYFUNCTION("""COMPUTED_VALUE"""),"Colin Bourke")</f>
        <v>Colin Bourke</v>
      </c>
      <c r="F282" s="3"/>
      <c r="G282" s="3"/>
      <c r="H282" s="3"/>
    </row>
    <row r="283">
      <c r="A283" s="2">
        <f>IFERROR(__xludf.DUMMYFUNCTION("""COMPUTED_VALUE"""),10533.0)</f>
        <v>10533</v>
      </c>
      <c r="B283" s="3" t="str">
        <f>IFERROR(__xludf.DUMMYFUNCTION("""COMPUTED_VALUE"""),"2448 COUNTY RD 2")</f>
        <v>2448 COUNTY RD 2</v>
      </c>
      <c r="C283" s="3" t="str">
        <f>IFERROR(__xludf.DUMMYFUNCTION("""COMPUTED_VALUE"""),"PORT HOPE")</f>
        <v>PORT HOPE</v>
      </c>
      <c r="D283" s="3" t="str">
        <f>IFERROR(__xludf.DUMMYFUNCTION("""COMPUTED_VALUE"""),"L1A 3V5")</f>
        <v>L1A 3V5</v>
      </c>
      <c r="E283" s="3" t="str">
        <f>IFERROR(__xludf.DUMMYFUNCTION("""COMPUTED_VALUE"""),"Edward Henderson")</f>
        <v>Edward Henderson</v>
      </c>
      <c r="F283" s="3" t="str">
        <f>IFERROR(__xludf.DUMMYFUNCTION("""COMPUTED_VALUE"""),"Henderlanefarms@sympatico.ca")</f>
        <v>Henderlanefarms@sympatico.ca</v>
      </c>
      <c r="G283" s="3"/>
      <c r="H283" s="3"/>
    </row>
    <row r="284">
      <c r="A284" s="2">
        <f>IFERROR(__xludf.DUMMYFUNCTION("""COMPUTED_VALUE"""),10534.0)</f>
        <v>10534</v>
      </c>
      <c r="B284" s="3" t="str">
        <f>IFERROR(__xludf.DUMMYFUNCTION("""COMPUTED_VALUE"""),"2474 COUNTY RD 2")</f>
        <v>2474 COUNTY RD 2</v>
      </c>
      <c r="C284" s="3" t="str">
        <f>IFERROR(__xludf.DUMMYFUNCTION("""COMPUTED_VALUE"""),"PORT HOPE")</f>
        <v>PORT HOPE</v>
      </c>
      <c r="D284" s="3" t="str">
        <f>IFERROR(__xludf.DUMMYFUNCTION("""COMPUTED_VALUE"""),"L1A 3V5")</f>
        <v>L1A 3V5</v>
      </c>
      <c r="E284" s="3"/>
      <c r="F284" s="3"/>
      <c r="G284" s="3"/>
      <c r="H284" s="3"/>
    </row>
    <row r="285">
      <c r="A285" s="2">
        <f>IFERROR(__xludf.DUMMYFUNCTION("""COMPUTED_VALUE"""),10699.0)</f>
        <v>10699</v>
      </c>
      <c r="B285" s="3" t="str">
        <f>IFERROR(__xludf.DUMMYFUNCTION("""COMPUTED_VALUE"""),"2475 CRANBERRY RD")</f>
        <v>2475 CRANBERRY RD</v>
      </c>
      <c r="C285" s="3" t="str">
        <f>IFERROR(__xludf.DUMMYFUNCTION("""COMPUTED_VALUE"""),"PORT HOPE")</f>
        <v>PORT HOPE</v>
      </c>
      <c r="D285" s="3" t="str">
        <f>IFERROR(__xludf.DUMMYFUNCTION("""COMPUTED_VALUE"""),"L1A 3V8")</f>
        <v>L1A 3V8</v>
      </c>
      <c r="E285" s="3"/>
      <c r="F285" s="3"/>
      <c r="G285" s="3"/>
      <c r="H285" s="3"/>
    </row>
    <row r="286">
      <c r="A286" s="2">
        <f>IFERROR(__xludf.DUMMYFUNCTION("""COMPUTED_VALUE"""),10535.0)</f>
        <v>10535</v>
      </c>
      <c r="B286" s="3" t="str">
        <f>IFERROR(__xludf.DUMMYFUNCTION("""COMPUTED_VALUE"""),"2525 COUNTY RD 2")</f>
        <v>2525 COUNTY RD 2</v>
      </c>
      <c r="C286" s="3" t="str">
        <f>IFERROR(__xludf.DUMMYFUNCTION("""COMPUTED_VALUE"""),"PORT HOPE")</f>
        <v>PORT HOPE</v>
      </c>
      <c r="D286" s="3" t="str">
        <f>IFERROR(__xludf.DUMMYFUNCTION("""COMPUTED_VALUE"""),"L1A 3V5")</f>
        <v>L1A 3V5</v>
      </c>
      <c r="E286" s="3" t="str">
        <f>IFERROR(__xludf.DUMMYFUNCTION("""COMPUTED_VALUE"""),"Andrew McClatchey")</f>
        <v>Andrew McClatchey</v>
      </c>
      <c r="F286" s="3" t="str">
        <f>IFERROR(__xludf.DUMMYFUNCTION("""COMPUTED_VALUE"""),"drew.mcclatchey@gmail.com")</f>
        <v>drew.mcclatchey@gmail.com</v>
      </c>
      <c r="G286" s="3"/>
      <c r="H286" s="3"/>
    </row>
    <row r="287">
      <c r="A287" s="2">
        <f>IFERROR(__xludf.DUMMYFUNCTION("""COMPUTED_VALUE"""),10408.0)</f>
        <v>10408</v>
      </c>
      <c r="B287" s="3" t="str">
        <f>IFERROR(__xludf.DUMMYFUNCTION("""COMPUTED_VALUE"""),"2593 CLARKE RD")</f>
        <v>2593 CLARKE RD</v>
      </c>
      <c r="C287" s="3" t="str">
        <f>IFERROR(__xludf.DUMMYFUNCTION("""COMPUTED_VALUE"""),"PORT HOPE")</f>
        <v>PORT HOPE</v>
      </c>
      <c r="D287" s="3" t="str">
        <f>IFERROR(__xludf.DUMMYFUNCTION("""COMPUTED_VALUE"""),"L1A 3V5")</f>
        <v>L1A 3V5</v>
      </c>
      <c r="E287" s="3" t="str">
        <f>IFERROR(__xludf.DUMMYFUNCTION("""COMPUTED_VALUE"""),"Faye McDonnell")</f>
        <v>Faye McDonnell</v>
      </c>
      <c r="F287" s="3" t="str">
        <f>IFERROR(__xludf.DUMMYFUNCTION("""COMPUTED_VALUE"""),"suremac@hotmail.com")</f>
        <v>suremac@hotmail.com</v>
      </c>
      <c r="G287" s="3"/>
      <c r="H287" s="3"/>
    </row>
    <row r="288">
      <c r="A288" s="2">
        <f>IFERROR(__xludf.DUMMYFUNCTION("""COMPUTED_VALUE"""),10536.0)</f>
        <v>10536</v>
      </c>
      <c r="B288" s="3" t="str">
        <f>IFERROR(__xludf.DUMMYFUNCTION("""COMPUTED_VALUE"""),"2600 COUNTY RD 2")</f>
        <v>2600 COUNTY RD 2</v>
      </c>
      <c r="C288" s="3" t="str">
        <f>IFERROR(__xludf.DUMMYFUNCTION("""COMPUTED_VALUE"""),"PORT HOPE")</f>
        <v>PORT HOPE</v>
      </c>
      <c r="D288" s="3" t="str">
        <f>IFERROR(__xludf.DUMMYFUNCTION("""COMPUTED_VALUE"""),"L1A 3V5")</f>
        <v>L1A 3V5</v>
      </c>
      <c r="E288" s="3"/>
      <c r="F288" s="3"/>
      <c r="G288" s="3"/>
      <c r="H288" s="3"/>
    </row>
    <row r="289">
      <c r="A289" s="2">
        <f>IFERROR(__xludf.DUMMYFUNCTION("""COMPUTED_VALUE"""),10598.0)</f>
        <v>10598</v>
      </c>
      <c r="B289" s="3" t="str">
        <f>IFERROR(__xludf.DUMMYFUNCTION("""COMPUTED_VALUE"""),"2608 COUNTY RD 28")</f>
        <v>2608 COUNTY RD 28</v>
      </c>
      <c r="C289" s="3" t="str">
        <f>IFERROR(__xludf.DUMMYFUNCTION("""COMPUTED_VALUE"""),"PORT HOPE")</f>
        <v>PORT HOPE</v>
      </c>
      <c r="D289" s="3" t="str">
        <f>IFERROR(__xludf.DUMMYFUNCTION("""COMPUTED_VALUE"""),"L1A 3V6")</f>
        <v>L1A 3V6</v>
      </c>
      <c r="E289" s="3" t="str">
        <f>IFERROR(__xludf.DUMMYFUNCTION("""COMPUTED_VALUE"""),"emma giroux")</f>
        <v>emma giroux</v>
      </c>
      <c r="F289" s="3" t="str">
        <f>IFERROR(__xludf.DUMMYFUNCTION("""COMPUTED_VALUE"""),"giroemma@gmail.com")</f>
        <v>giroemma@gmail.com</v>
      </c>
      <c r="G289" s="3"/>
      <c r="H289" s="3"/>
    </row>
    <row r="290">
      <c r="A290" s="2">
        <f>IFERROR(__xludf.DUMMYFUNCTION("""COMPUTED_VALUE"""),10700.0)</f>
        <v>10700</v>
      </c>
      <c r="B290" s="3" t="str">
        <f>IFERROR(__xludf.DUMMYFUNCTION("""COMPUTED_VALUE"""),"2650A CRANBERRY RD")</f>
        <v>2650A CRANBERRY RD</v>
      </c>
      <c r="C290" s="3" t="str">
        <f>IFERROR(__xludf.DUMMYFUNCTION("""COMPUTED_VALUE"""),"PORT HOPE")</f>
        <v>PORT HOPE</v>
      </c>
      <c r="D290" s="3" t="str">
        <f>IFERROR(__xludf.DUMMYFUNCTION("""COMPUTED_VALUE"""),"L1A 3V8")</f>
        <v>L1A 3V8</v>
      </c>
      <c r="E290" s="3"/>
      <c r="F290" s="3"/>
      <c r="G290" s="3"/>
      <c r="H290" s="3"/>
    </row>
    <row r="291">
      <c r="A291" s="2">
        <f>IFERROR(__xludf.DUMMYFUNCTION("""COMPUTED_VALUE"""),10782.0)</f>
        <v>10782</v>
      </c>
      <c r="B291" s="3" t="str">
        <f>IFERROR(__xludf.DUMMYFUNCTION("""COMPUTED_VALUE"""),"2674 DEER PARK RD")</f>
        <v>2674 DEER PARK RD</v>
      </c>
      <c r="C291" s="3" t="str">
        <f>IFERROR(__xludf.DUMMYFUNCTION("""COMPUTED_VALUE"""),"PORT HOPE")</f>
        <v>PORT HOPE</v>
      </c>
      <c r="D291" s="3" t="str">
        <f>IFERROR(__xludf.DUMMYFUNCTION("""COMPUTED_VALUE"""),"L1A 3V7")</f>
        <v>L1A 3V7</v>
      </c>
      <c r="E291" s="3" t="str">
        <f>IFERROR(__xludf.DUMMYFUNCTION("""COMPUTED_VALUE"""),"gus/elizabeth mcbride")</f>
        <v>gus/elizabeth mcbride</v>
      </c>
      <c r="F291" s="3" t="str">
        <f>IFERROR(__xludf.DUMMYFUNCTION("""COMPUTED_VALUE"""),"megamemcbride@hotmail.com")</f>
        <v>megamemcbride@hotmail.com</v>
      </c>
      <c r="G291" s="3"/>
      <c r="H291" s="3"/>
    </row>
    <row r="292">
      <c r="A292" s="2">
        <f>IFERROR(__xludf.DUMMYFUNCTION("""COMPUTED_VALUE"""),10030.0)</f>
        <v>10030</v>
      </c>
      <c r="B292" s="3" t="str">
        <f>IFERROR(__xludf.DUMMYFUNCTION("""COMPUTED_VALUE"""),"2675 4TH LINE")</f>
        <v>2675 4TH LINE</v>
      </c>
      <c r="C292" s="3" t="str">
        <f>IFERROR(__xludf.DUMMYFUNCTION("""COMPUTED_VALUE"""),"PORT HOPE")</f>
        <v>PORT HOPE</v>
      </c>
      <c r="D292" s="3" t="str">
        <f>IFERROR(__xludf.DUMMYFUNCTION("""COMPUTED_VALUE"""),"L1A 3V7")</f>
        <v>L1A 3V7</v>
      </c>
      <c r="E292" s="3" t="str">
        <f>IFERROR(__xludf.DUMMYFUNCTION("""COMPUTED_VALUE"""),"Wade Clarke")</f>
        <v>Wade Clarke</v>
      </c>
      <c r="F292" s="3" t="str">
        <f>IFERROR(__xludf.DUMMYFUNCTION("""COMPUTED_VALUE"""),"wadecclarke@gmail.com")</f>
        <v>wadecclarke@gmail.com</v>
      </c>
      <c r="G292" s="3"/>
      <c r="H292" s="3"/>
    </row>
    <row r="293">
      <c r="A293" s="2">
        <f>IFERROR(__xludf.DUMMYFUNCTION("""COMPUTED_VALUE"""),10599.0)</f>
        <v>10599</v>
      </c>
      <c r="B293" s="3" t="str">
        <f>IFERROR(__xludf.DUMMYFUNCTION("""COMPUTED_VALUE"""),"2685 COUNTY RD 28")</f>
        <v>2685 COUNTY RD 28</v>
      </c>
      <c r="C293" s="3" t="str">
        <f>IFERROR(__xludf.DUMMYFUNCTION("""COMPUTED_VALUE"""),"PORT HOPE")</f>
        <v>PORT HOPE</v>
      </c>
      <c r="D293" s="3" t="str">
        <f>IFERROR(__xludf.DUMMYFUNCTION("""COMPUTED_VALUE"""),"L1A 3V6")</f>
        <v>L1A 3V6</v>
      </c>
      <c r="E293" s="3"/>
      <c r="F293" s="3"/>
      <c r="G293" s="3"/>
      <c r="H293" s="3"/>
    </row>
    <row r="294">
      <c r="A294" s="2">
        <f>IFERROR(__xludf.DUMMYFUNCTION("""COMPUTED_VALUE"""),10409.0)</f>
        <v>10409</v>
      </c>
      <c r="B294" s="3" t="str">
        <f>IFERROR(__xludf.DUMMYFUNCTION("""COMPUTED_VALUE"""),"2695 CLARKE RD")</f>
        <v>2695 CLARKE RD</v>
      </c>
      <c r="C294" s="3" t="str">
        <f>IFERROR(__xludf.DUMMYFUNCTION("""COMPUTED_VALUE"""),"PORT HOPE")</f>
        <v>PORT HOPE</v>
      </c>
      <c r="D294" s="3" t="str">
        <f>IFERROR(__xludf.DUMMYFUNCTION("""COMPUTED_VALUE"""),"L1A 3V5")</f>
        <v>L1A 3V5</v>
      </c>
      <c r="E294" s="3" t="str">
        <f>IFERROR(__xludf.DUMMYFUNCTION("""COMPUTED_VALUE"""),"Bram Everitt")</f>
        <v>Bram Everitt</v>
      </c>
      <c r="F294" s="3" t="str">
        <f>IFERROR(__xludf.DUMMYFUNCTION("""COMPUTED_VALUE"""),"bheveritt@bell.net")</f>
        <v>bheveritt@bell.net</v>
      </c>
      <c r="G294" s="3"/>
      <c r="H294" s="3"/>
    </row>
    <row r="295">
      <c r="A295" s="2">
        <f>IFERROR(__xludf.DUMMYFUNCTION("""COMPUTED_VALUE"""),10600.0)</f>
        <v>10600</v>
      </c>
      <c r="B295" s="3" t="str">
        <f>IFERROR(__xludf.DUMMYFUNCTION("""COMPUTED_VALUE"""),"2697 COUNTY RD 28")</f>
        <v>2697 COUNTY RD 28</v>
      </c>
      <c r="C295" s="3" t="str">
        <f>IFERROR(__xludf.DUMMYFUNCTION("""COMPUTED_VALUE"""),"PORT HOPE")</f>
        <v>PORT HOPE</v>
      </c>
      <c r="D295" s="3" t="str">
        <f>IFERROR(__xludf.DUMMYFUNCTION("""COMPUTED_VALUE"""),"L1A 3V6")</f>
        <v>L1A 3V6</v>
      </c>
      <c r="E295" s="3"/>
      <c r="F295" s="3"/>
      <c r="G295" s="3"/>
      <c r="H295" s="3"/>
    </row>
    <row r="296">
      <c r="A296" s="2">
        <f>IFERROR(__xludf.DUMMYFUNCTION("""COMPUTED_VALUE"""),10537.0)</f>
        <v>10537</v>
      </c>
      <c r="B296" s="3" t="str">
        <f>IFERROR(__xludf.DUMMYFUNCTION("""COMPUTED_VALUE"""),"2703 COUNTY RD 2")</f>
        <v>2703 COUNTY RD 2</v>
      </c>
      <c r="C296" s="3" t="str">
        <f>IFERROR(__xludf.DUMMYFUNCTION("""COMPUTED_VALUE"""),"PORT HOPE")</f>
        <v>PORT HOPE</v>
      </c>
      <c r="D296" s="3" t="str">
        <f>IFERROR(__xludf.DUMMYFUNCTION("""COMPUTED_VALUE"""),"L1A 3V5")</f>
        <v>L1A 3V5</v>
      </c>
      <c r="E296" s="3" t="str">
        <f>IFERROR(__xludf.DUMMYFUNCTION("""COMPUTED_VALUE"""),"Wanda Leach ")</f>
        <v>Wanda Leach </v>
      </c>
      <c r="F296" s="3" t="str">
        <f>IFERROR(__xludf.DUMMYFUNCTION("""COMPUTED_VALUE"""),"wlkellar@outlook.com")</f>
        <v>wlkellar@outlook.com</v>
      </c>
      <c r="G296" s="3"/>
      <c r="H296" s="3"/>
    </row>
    <row r="297">
      <c r="A297" s="2">
        <f>IFERROR(__xludf.DUMMYFUNCTION("""COMPUTED_VALUE"""),10601.0)</f>
        <v>10601</v>
      </c>
      <c r="B297" s="3" t="str">
        <f>IFERROR(__xludf.DUMMYFUNCTION("""COMPUTED_VALUE"""),"2708 COUNTY RD 28")</f>
        <v>2708 COUNTY RD 28</v>
      </c>
      <c r="C297" s="3" t="str">
        <f>IFERROR(__xludf.DUMMYFUNCTION("""COMPUTED_VALUE"""),"PORT HOPE")</f>
        <v>PORT HOPE</v>
      </c>
      <c r="D297" s="3" t="str">
        <f>IFERROR(__xludf.DUMMYFUNCTION("""COMPUTED_VALUE"""),"L1A 3V6")</f>
        <v>L1A 3V6</v>
      </c>
      <c r="E297" s="3" t="str">
        <f>IFERROR(__xludf.DUMMYFUNCTION("""COMPUTED_VALUE"""),"elwood fenton")</f>
        <v>elwood fenton</v>
      </c>
      <c r="F297" s="3"/>
      <c r="G297" s="3"/>
      <c r="H297" s="3"/>
    </row>
    <row r="298">
      <c r="A298" s="2">
        <f>IFERROR(__xludf.DUMMYFUNCTION("""COMPUTED_VALUE"""),10602.0)</f>
        <v>10602</v>
      </c>
      <c r="B298" s="3" t="str">
        <f>IFERROR(__xludf.DUMMYFUNCTION("""COMPUTED_VALUE"""),"2709 COUNTY RD 28")</f>
        <v>2709 COUNTY RD 28</v>
      </c>
      <c r="C298" s="3" t="str">
        <f>IFERROR(__xludf.DUMMYFUNCTION("""COMPUTED_VALUE"""),"PORT HOPE")</f>
        <v>PORT HOPE</v>
      </c>
      <c r="D298" s="3" t="str">
        <f>IFERROR(__xludf.DUMMYFUNCTION("""COMPUTED_VALUE"""),"L1A 3V6")</f>
        <v>L1A 3V6</v>
      </c>
      <c r="E298" s="3" t="str">
        <f>IFERROR(__xludf.DUMMYFUNCTION("""COMPUTED_VALUE"""),"cheryl burli")</f>
        <v>cheryl burli</v>
      </c>
      <c r="F298" s="3" t="str">
        <f>IFERROR(__xludf.DUMMYFUNCTION("""COMPUTED_VALUE"""),"faburlis@gmail.com")</f>
        <v>faburlis@gmail.com</v>
      </c>
      <c r="G298" s="3"/>
      <c r="H298" s="3"/>
    </row>
    <row r="299">
      <c r="A299" s="2">
        <f>IFERROR(__xludf.DUMMYFUNCTION("""COMPUTED_VALUE"""),10603.0)</f>
        <v>10603</v>
      </c>
      <c r="B299" s="3" t="str">
        <f>IFERROR(__xludf.DUMMYFUNCTION("""COMPUTED_VALUE"""),"2721 COUNTY RD 28")</f>
        <v>2721 COUNTY RD 28</v>
      </c>
      <c r="C299" s="3" t="str">
        <f>IFERROR(__xludf.DUMMYFUNCTION("""COMPUTED_VALUE"""),"PORT HOPE")</f>
        <v>PORT HOPE</v>
      </c>
      <c r="D299" s="3" t="str">
        <f>IFERROR(__xludf.DUMMYFUNCTION("""COMPUTED_VALUE"""),"L1A 3V6")</f>
        <v>L1A 3V6</v>
      </c>
      <c r="E299" s="3" t="str">
        <f>IFERROR(__xludf.DUMMYFUNCTION("""COMPUTED_VALUE"""),"stapler? sutton")</f>
        <v>stapler? sutton</v>
      </c>
      <c r="F299" s="3"/>
      <c r="G299" s="3"/>
      <c r="H299" s="3"/>
    </row>
    <row r="300">
      <c r="A300" s="2">
        <f>IFERROR(__xludf.DUMMYFUNCTION("""COMPUTED_VALUE"""),10410.0)</f>
        <v>10410</v>
      </c>
      <c r="B300" s="3" t="str">
        <f>IFERROR(__xludf.DUMMYFUNCTION("""COMPUTED_VALUE"""),"2729 CLARKE RD")</f>
        <v>2729 CLARKE RD</v>
      </c>
      <c r="C300" s="3" t="str">
        <f>IFERROR(__xludf.DUMMYFUNCTION("""COMPUTED_VALUE"""),"PORT HOPE")</f>
        <v>PORT HOPE</v>
      </c>
      <c r="D300" s="3" t="str">
        <f>IFERROR(__xludf.DUMMYFUNCTION("""COMPUTED_VALUE"""),"L1A 3V5")</f>
        <v>L1A 3V5</v>
      </c>
      <c r="E300" s="3"/>
      <c r="F300" s="3"/>
      <c r="G300" s="3"/>
      <c r="H300" s="3"/>
    </row>
    <row r="301">
      <c r="A301" s="2">
        <f>IFERROR(__xludf.DUMMYFUNCTION("""COMPUTED_VALUE"""),10411.0)</f>
        <v>10411</v>
      </c>
      <c r="B301" s="3" t="str">
        <f>IFERROR(__xludf.DUMMYFUNCTION("""COMPUTED_VALUE"""),"2735 CLARKE RD")</f>
        <v>2735 CLARKE RD</v>
      </c>
      <c r="C301" s="3" t="str">
        <f>IFERROR(__xludf.DUMMYFUNCTION("""COMPUTED_VALUE"""),"PORT HOPE")</f>
        <v>PORT HOPE</v>
      </c>
      <c r="D301" s="3" t="str">
        <f>IFERROR(__xludf.DUMMYFUNCTION("""COMPUTED_VALUE"""),"L1A 3V5")</f>
        <v>L1A 3V5</v>
      </c>
      <c r="E301" s="3" t="str">
        <f>IFERROR(__xludf.DUMMYFUNCTION("""COMPUTED_VALUE"""),"Trudy BENNETT")</f>
        <v>Trudy BENNETT</v>
      </c>
      <c r="F301" s="3" t="str">
        <f>IFERROR(__xludf.DUMMYFUNCTION("""COMPUTED_VALUE"""),"bennetttrudy3090@gmail.com")</f>
        <v>bennetttrudy3090@gmail.com</v>
      </c>
      <c r="G301" s="3"/>
      <c r="H301" s="3"/>
    </row>
    <row r="302">
      <c r="A302" s="2">
        <f>IFERROR(__xludf.DUMMYFUNCTION("""COMPUTED_VALUE"""),11283.0)</f>
        <v>11283</v>
      </c>
      <c r="B302" s="3" t="str">
        <f>IFERROR(__xludf.DUMMYFUNCTION("""COMPUTED_VALUE"""),"2761 OAK HILL RD")</f>
        <v>2761 OAK HILL RD</v>
      </c>
      <c r="C302" s="3" t="str">
        <f>IFERROR(__xludf.DUMMYFUNCTION("""COMPUTED_VALUE"""),"CAMPBELLCROFT")</f>
        <v>CAMPBELLCROFT</v>
      </c>
      <c r="D302" s="3" t="str">
        <f>IFERROR(__xludf.DUMMYFUNCTION("""COMPUTED_VALUE"""),"L0A 1B0")</f>
        <v>L0A 1B0</v>
      </c>
      <c r="E302" s="3" t="str">
        <f>IFERROR(__xludf.DUMMYFUNCTION("""COMPUTED_VALUE"""),"Rick Norman")</f>
        <v>Rick Norman</v>
      </c>
      <c r="F302" s="3" t="str">
        <f>IFERROR(__xludf.DUMMYFUNCTION("""COMPUTED_VALUE"""),"norden2@eagle.ca")</f>
        <v>norden2@eagle.ca</v>
      </c>
      <c r="G302" s="3"/>
      <c r="H302" s="3"/>
    </row>
    <row r="303">
      <c r="A303" s="2">
        <f>IFERROR(__xludf.DUMMYFUNCTION("""COMPUTED_VALUE"""),10605.0)</f>
        <v>10605</v>
      </c>
      <c r="B303" s="3" t="str">
        <f>IFERROR(__xludf.DUMMYFUNCTION("""COMPUTED_VALUE"""),"2762 COUNTY RD 28")</f>
        <v>2762 COUNTY RD 28</v>
      </c>
      <c r="C303" s="3" t="str">
        <f>IFERROR(__xludf.DUMMYFUNCTION("""COMPUTED_VALUE"""),"PORT HOPE")</f>
        <v>PORT HOPE</v>
      </c>
      <c r="D303" s="3" t="str">
        <f>IFERROR(__xludf.DUMMYFUNCTION("""COMPUTED_VALUE"""),"L1A 3V6")</f>
        <v>L1A 3V6</v>
      </c>
      <c r="E303" s="3"/>
      <c r="F303" s="3"/>
      <c r="G303" s="3"/>
      <c r="H303" s="3"/>
    </row>
    <row r="304">
      <c r="A304" s="2">
        <f>IFERROR(__xludf.DUMMYFUNCTION("""COMPUTED_VALUE"""),10606.0)</f>
        <v>10606</v>
      </c>
      <c r="B304" s="3" t="str">
        <f>IFERROR(__xludf.DUMMYFUNCTION("""COMPUTED_VALUE"""),"2771 COUNTY RD 28")</f>
        <v>2771 COUNTY RD 28</v>
      </c>
      <c r="C304" s="3" t="str">
        <f>IFERROR(__xludf.DUMMYFUNCTION("""COMPUTED_VALUE"""),"PORT HOPE")</f>
        <v>PORT HOPE</v>
      </c>
      <c r="D304" s="3" t="str">
        <f>IFERROR(__xludf.DUMMYFUNCTION("""COMPUTED_VALUE"""),"L1A 3V6")</f>
        <v>L1A 3V6</v>
      </c>
      <c r="E304" s="3"/>
      <c r="F304" s="3"/>
      <c r="G304" s="3"/>
      <c r="H304" s="3"/>
    </row>
    <row r="305">
      <c r="A305" s="2">
        <f>IFERROR(__xludf.DUMMYFUNCTION("""COMPUTED_VALUE"""),10031.0)</f>
        <v>10031</v>
      </c>
      <c r="B305" s="3" t="str">
        <f>IFERROR(__xludf.DUMMYFUNCTION("""COMPUTED_VALUE"""),"2775 4TH LINE")</f>
        <v>2775 4TH LINE</v>
      </c>
      <c r="C305" s="3" t="str">
        <f>IFERROR(__xludf.DUMMYFUNCTION("""COMPUTED_VALUE"""),"PORT HOPE")</f>
        <v>PORT HOPE</v>
      </c>
      <c r="D305" s="3" t="str">
        <f>IFERROR(__xludf.DUMMYFUNCTION("""COMPUTED_VALUE"""),"L1A 3V7")</f>
        <v>L1A 3V7</v>
      </c>
      <c r="E305" s="3" t="str">
        <f>IFERROR(__xludf.DUMMYFUNCTION("""COMPUTED_VALUE"""),"Jane Currelly")</f>
        <v>Jane Currelly</v>
      </c>
      <c r="F305" s="3" t="str">
        <f>IFERROR(__xludf.DUMMYFUNCTION("""COMPUTED_VALUE"""),"jane.currelly@gmail.com")</f>
        <v>jane.currelly@gmail.com</v>
      </c>
      <c r="G305" s="3"/>
      <c r="H305" s="3"/>
    </row>
    <row r="306">
      <c r="A306" s="2">
        <f>IFERROR(__xludf.DUMMYFUNCTION("""COMPUTED_VALUE"""),11174.0)</f>
        <v>11174</v>
      </c>
      <c r="B306" s="3" t="str">
        <f>IFERROR(__xludf.DUMMYFUNCTION("""COMPUTED_VALUE"""),"2775 MANCHOFF RD")</f>
        <v>2775 MANCHOFF RD</v>
      </c>
      <c r="C306" s="3" t="str">
        <f>IFERROR(__xludf.DUMMYFUNCTION("""COMPUTED_VALUE"""),"PORT HOPE")</f>
        <v>PORT HOPE</v>
      </c>
      <c r="D306" s="3" t="str">
        <f>IFERROR(__xludf.DUMMYFUNCTION("""COMPUTED_VALUE"""),"L1A 3V5")</f>
        <v>L1A 3V5</v>
      </c>
      <c r="E306" s="3" t="str">
        <f>IFERROR(__xludf.DUMMYFUNCTION("""COMPUTED_VALUE"""),"Brady Ibbotson")</f>
        <v>Brady Ibbotson</v>
      </c>
      <c r="F306" s="3" t="str">
        <f>IFERROR(__xludf.DUMMYFUNCTION("""COMPUTED_VALUE"""),"bradyibbotson@gmail.com")</f>
        <v>bradyibbotson@gmail.com</v>
      </c>
      <c r="G306" s="3"/>
      <c r="H306" s="3"/>
    </row>
    <row r="307">
      <c r="A307" s="2">
        <f>IFERROR(__xludf.DUMMYFUNCTION("""COMPUTED_VALUE"""),10032.0)</f>
        <v>10032</v>
      </c>
      <c r="B307" s="3" t="str">
        <f>IFERROR(__xludf.DUMMYFUNCTION("""COMPUTED_VALUE"""),"2776 4TH LINE")</f>
        <v>2776 4TH LINE</v>
      </c>
      <c r="C307" s="3" t="str">
        <f>IFERROR(__xludf.DUMMYFUNCTION("""COMPUTED_VALUE"""),"PORT HOPE")</f>
        <v>PORT HOPE</v>
      </c>
      <c r="D307" s="3" t="str">
        <f>IFERROR(__xludf.DUMMYFUNCTION("""COMPUTED_VALUE"""),"L1A 3V7")</f>
        <v>L1A 3V7</v>
      </c>
      <c r="E307" s="3" t="str">
        <f>IFERROR(__xludf.DUMMYFUNCTION("""COMPUTED_VALUE"""),"Angela")</f>
        <v>Angela</v>
      </c>
      <c r="F307" s="3" t="str">
        <f>IFERROR(__xludf.DUMMYFUNCTION("""COMPUTED_VALUE"""),"acclark1@live.com")</f>
        <v>acclark1@live.com</v>
      </c>
      <c r="G307" s="3"/>
      <c r="H307" s="3"/>
    </row>
    <row r="308">
      <c r="A308" s="2">
        <f>IFERROR(__xludf.DUMMYFUNCTION("""COMPUTED_VALUE"""),10607.0)</f>
        <v>10607</v>
      </c>
      <c r="B308" s="3" t="str">
        <f>IFERROR(__xludf.DUMMYFUNCTION("""COMPUTED_VALUE"""),"2783 COUNTY RD 28")</f>
        <v>2783 COUNTY RD 28</v>
      </c>
      <c r="C308" s="3" t="str">
        <f>IFERROR(__xludf.DUMMYFUNCTION("""COMPUTED_VALUE"""),"PORT HOPE")</f>
        <v>PORT HOPE</v>
      </c>
      <c r="D308" s="3" t="str">
        <f>IFERROR(__xludf.DUMMYFUNCTION("""COMPUTED_VALUE"""),"L1A 3V6")</f>
        <v>L1A 3V6</v>
      </c>
      <c r="E308" s="3"/>
      <c r="F308" s="3"/>
      <c r="G308" s="3"/>
      <c r="H308" s="3"/>
    </row>
    <row r="309">
      <c r="A309" s="2">
        <f>IFERROR(__xludf.DUMMYFUNCTION("""COMPUTED_VALUE"""),10609.0)</f>
        <v>10609</v>
      </c>
      <c r="B309" s="3" t="str">
        <f>IFERROR(__xludf.DUMMYFUNCTION("""COMPUTED_VALUE"""),"2805 COUNTY RD 28")</f>
        <v>2805 COUNTY RD 28</v>
      </c>
      <c r="C309" s="3" t="str">
        <f>IFERROR(__xludf.DUMMYFUNCTION("""COMPUTED_VALUE"""),"PORT HOPE")</f>
        <v>PORT HOPE</v>
      </c>
      <c r="D309" s="3" t="str">
        <f>IFERROR(__xludf.DUMMYFUNCTION("""COMPUTED_VALUE"""),"L1A 3V6")</f>
        <v>L1A 3V6</v>
      </c>
      <c r="E309" s="3" t="str">
        <f>IFERROR(__xludf.DUMMYFUNCTION("""COMPUTED_VALUE"""),"george zweerink")</f>
        <v>george zweerink</v>
      </c>
      <c r="F309" s="3" t="str">
        <f>IFERROR(__xludf.DUMMYFUNCTION("""COMPUTED_VALUE"""),"crush665@hotmail.com")</f>
        <v>crush665@hotmail.com</v>
      </c>
      <c r="G309" s="3"/>
      <c r="H309" s="3"/>
    </row>
    <row r="310">
      <c r="A310" s="2">
        <f>IFERROR(__xludf.DUMMYFUNCTION("""COMPUTED_VALUE"""),11175.0)</f>
        <v>11175</v>
      </c>
      <c r="B310" s="3" t="str">
        <f>IFERROR(__xludf.DUMMYFUNCTION("""COMPUTED_VALUE"""),"2809 MANCHOFF RD")</f>
        <v>2809 MANCHOFF RD</v>
      </c>
      <c r="C310" s="3" t="str">
        <f>IFERROR(__xludf.DUMMYFUNCTION("""COMPUTED_VALUE"""),"PORT HOPE")</f>
        <v>PORT HOPE</v>
      </c>
      <c r="D310" s="3" t="str">
        <f>IFERROR(__xludf.DUMMYFUNCTION("""COMPUTED_VALUE"""),"L1A 3V5")</f>
        <v>L1A 3V5</v>
      </c>
      <c r="E310" s="3" t="str">
        <f>IFERROR(__xludf.DUMMYFUNCTION("""COMPUTED_VALUE"""),"Thomas Atkinson")</f>
        <v>Thomas Atkinson</v>
      </c>
      <c r="F310" s="3"/>
      <c r="G310" s="3"/>
      <c r="H310" s="3"/>
    </row>
    <row r="311">
      <c r="A311" s="2">
        <f>IFERROR(__xludf.DUMMYFUNCTION("""COMPUTED_VALUE"""),10033.0)</f>
        <v>10033</v>
      </c>
      <c r="B311" s="3" t="str">
        <f>IFERROR(__xludf.DUMMYFUNCTION("""COMPUTED_VALUE"""),"2810 4TH LINE")</f>
        <v>2810 4TH LINE</v>
      </c>
      <c r="C311" s="3" t="str">
        <f>IFERROR(__xludf.DUMMYFUNCTION("""COMPUTED_VALUE"""),"PORT HOPE")</f>
        <v>PORT HOPE</v>
      </c>
      <c r="D311" s="3" t="str">
        <f>IFERROR(__xludf.DUMMYFUNCTION("""COMPUTED_VALUE"""),"L1A 3V7")</f>
        <v>L1A 3V7</v>
      </c>
      <c r="E311" s="3" t="str">
        <f>IFERROR(__xludf.DUMMYFUNCTION("""COMPUTED_VALUE"""),"Paul Andrus")</f>
        <v>Paul Andrus</v>
      </c>
      <c r="F311" s="3" t="str">
        <f>IFERROR(__xludf.DUMMYFUNCTION("""COMPUTED_VALUE"""),"pfandrus@hotmail.com")</f>
        <v>pfandrus@hotmail.com</v>
      </c>
      <c r="G311" s="3"/>
      <c r="H311" s="3"/>
    </row>
    <row r="312">
      <c r="A312" s="2">
        <f>IFERROR(__xludf.DUMMYFUNCTION("""COMPUTED_VALUE"""),10610.0)</f>
        <v>10610</v>
      </c>
      <c r="B312" s="3" t="str">
        <f>IFERROR(__xludf.DUMMYFUNCTION("""COMPUTED_VALUE"""),"2830 COUNTY RD 28")</f>
        <v>2830 COUNTY RD 28</v>
      </c>
      <c r="C312" s="3" t="str">
        <f>IFERROR(__xludf.DUMMYFUNCTION("""COMPUTED_VALUE"""),"PORT HOPE")</f>
        <v>PORT HOPE</v>
      </c>
      <c r="D312" s="3" t="str">
        <f>IFERROR(__xludf.DUMMYFUNCTION("""COMPUTED_VALUE"""),"L1A 3V6")</f>
        <v>L1A 3V6</v>
      </c>
      <c r="E312" s="3" t="str">
        <f>IFERROR(__xludf.DUMMYFUNCTION("""COMPUTED_VALUE"""),"Rob Bebee")</f>
        <v>Rob Bebee</v>
      </c>
      <c r="F312" s="3" t="str">
        <f>IFERROR(__xludf.DUMMYFUNCTION("""COMPUTED_VALUE"""),"rob.bebee@hotmail.com")</f>
        <v>rob.bebee@hotmail.com</v>
      </c>
      <c r="G312" s="3"/>
      <c r="H312" s="3"/>
    </row>
    <row r="313">
      <c r="A313" s="2">
        <f>IFERROR(__xludf.DUMMYFUNCTION("""COMPUTED_VALUE"""),10611.0)</f>
        <v>10611</v>
      </c>
      <c r="B313" s="3" t="str">
        <f>IFERROR(__xludf.DUMMYFUNCTION("""COMPUTED_VALUE"""),"2845 COUNTY RD 28")</f>
        <v>2845 COUNTY RD 28</v>
      </c>
      <c r="C313" s="3" t="str">
        <f>IFERROR(__xludf.DUMMYFUNCTION("""COMPUTED_VALUE"""),"PORT HOPE")</f>
        <v>PORT HOPE</v>
      </c>
      <c r="D313" s="3" t="str">
        <f>IFERROR(__xludf.DUMMYFUNCTION("""COMPUTED_VALUE"""),"L1A 3V6")</f>
        <v>L1A 3V6</v>
      </c>
      <c r="E313" s="3" t="str">
        <f>IFERROR(__xludf.DUMMYFUNCTION("""COMPUTED_VALUE"""),"nick jones")</f>
        <v>nick jones</v>
      </c>
      <c r="F313" s="3"/>
      <c r="G313" s="3"/>
      <c r="H313" s="3"/>
    </row>
    <row r="314">
      <c r="A314" s="2">
        <f>IFERROR(__xludf.DUMMYFUNCTION("""COMPUTED_VALUE"""),11176.0)</f>
        <v>11176</v>
      </c>
      <c r="B314" s="3" t="str">
        <f>IFERROR(__xludf.DUMMYFUNCTION("""COMPUTED_VALUE"""),"2845 MANCHOFF RD")</f>
        <v>2845 MANCHOFF RD</v>
      </c>
      <c r="C314" s="3" t="str">
        <f>IFERROR(__xludf.DUMMYFUNCTION("""COMPUTED_VALUE"""),"PORT HOPE")</f>
        <v>PORT HOPE</v>
      </c>
      <c r="D314" s="3" t="str">
        <f>IFERROR(__xludf.DUMMYFUNCTION("""COMPUTED_VALUE"""),"L1A 3V5")</f>
        <v>L1A 3V5</v>
      </c>
      <c r="E314" s="3" t="str">
        <f>IFERROR(__xludf.DUMMYFUNCTION("""COMPUTED_VALUE"""),"Bob Edmonds")</f>
        <v>Bob Edmonds</v>
      </c>
      <c r="F314" s="3" t="str">
        <f>IFERROR(__xludf.DUMMYFUNCTION("""COMPUTED_VALUE"""),"edmondsmail@yahoo.ca")</f>
        <v>edmondsmail@yahoo.ca</v>
      </c>
      <c r="G314" s="3"/>
      <c r="H314" s="3"/>
    </row>
    <row r="315">
      <c r="A315" s="2">
        <f>IFERROR(__xludf.DUMMYFUNCTION("""COMPUTED_VALUE"""),11637.0)</f>
        <v>11637</v>
      </c>
      <c r="B315" s="3" t="str">
        <f>IFERROR(__xludf.DUMMYFUNCTION("""COMPUTED_VALUE"""),"2853 MANCHOFF RD")</f>
        <v>2853 MANCHOFF RD</v>
      </c>
      <c r="C315" s="3" t="str">
        <f>IFERROR(__xludf.DUMMYFUNCTION("""COMPUTED_VALUE"""),"PORT HOPE")</f>
        <v>PORT HOPE</v>
      </c>
      <c r="D315" s="3" t="str">
        <f>IFERROR(__xludf.DUMMYFUNCTION("""COMPUTED_VALUE"""),"L1A 3V5")</f>
        <v>L1A 3V5</v>
      </c>
      <c r="E315" s="3" t="str">
        <f>IFERROR(__xludf.DUMMYFUNCTION("""COMPUTED_VALUE"""),"Ralph Worthington ")</f>
        <v>Ralph Worthington </v>
      </c>
      <c r="F315" s="3" t="str">
        <f>IFERROR(__xludf.DUMMYFUNCTION("""COMPUTED_VALUE"""),"ralphworthington55@yahoo.ca")</f>
        <v>ralphworthington55@yahoo.ca</v>
      </c>
      <c r="G315" s="3"/>
      <c r="H315" s="3"/>
    </row>
    <row r="316">
      <c r="A316" s="2">
        <f>IFERROR(__xludf.DUMMYFUNCTION("""COMPUTED_VALUE"""),11603.0)</f>
        <v>11603</v>
      </c>
      <c r="B316" s="3" t="str">
        <f>IFERROR(__xludf.DUMMYFUNCTION("""COMPUTED_VALUE"""),"2874 DEER PARK RD")</f>
        <v>2874 DEER PARK RD</v>
      </c>
      <c r="C316" s="3" t="str">
        <f>IFERROR(__xludf.DUMMYFUNCTION("""COMPUTED_VALUE"""),"PORT HOPE")</f>
        <v>PORT HOPE</v>
      </c>
      <c r="D316" s="3" t="str">
        <f>IFERROR(__xludf.DUMMYFUNCTION("""COMPUTED_VALUE"""),"L1A 3V7")</f>
        <v>L1A 3V7</v>
      </c>
      <c r="E316" s="3" t="str">
        <f>IFERROR(__xludf.DUMMYFUNCTION("""COMPUTED_VALUE"""),"ben mcbride ")</f>
        <v>ben mcbride </v>
      </c>
      <c r="F316" s="3" t="str">
        <f>IFERROR(__xludf.DUMMYFUNCTION("""COMPUTED_VALUE"""),"benjaminmcbride@hotmail.com")</f>
        <v>benjaminmcbride@hotmail.com</v>
      </c>
      <c r="G316" s="3"/>
      <c r="H316" s="3"/>
    </row>
    <row r="317">
      <c r="A317" s="2">
        <f>IFERROR(__xludf.DUMMYFUNCTION("""COMPUTED_VALUE"""),11246.0)</f>
        <v>11246</v>
      </c>
      <c r="B317" s="3" t="str">
        <f>IFERROR(__xludf.DUMMYFUNCTION("""COMPUTED_VALUE"""),"2878 MCCULLOUGH RD")</f>
        <v>2878 MCCULLOUGH RD</v>
      </c>
      <c r="C317" s="3" t="str">
        <f>IFERROR(__xludf.DUMMYFUNCTION("""COMPUTED_VALUE"""),"PORT HOPE")</f>
        <v>PORT HOPE</v>
      </c>
      <c r="D317" s="3" t="str">
        <f>IFERROR(__xludf.DUMMYFUNCTION("""COMPUTED_VALUE"""),"L1A 3V5")</f>
        <v>L1A 3V5</v>
      </c>
      <c r="E317" s="3"/>
      <c r="F317" s="3"/>
      <c r="G317" s="3"/>
      <c r="H317" s="3"/>
    </row>
    <row r="318">
      <c r="A318" s="2">
        <f>IFERROR(__xludf.DUMMYFUNCTION("""COMPUTED_VALUE"""),11431.0)</f>
        <v>11431</v>
      </c>
      <c r="B318" s="3" t="str">
        <f>IFERROR(__xludf.DUMMYFUNCTION("""COMPUTED_VALUE"""),"2881 ROSEBERRY HILL RD")</f>
        <v>2881 ROSEBERRY HILL RD</v>
      </c>
      <c r="C318" s="3" t="str">
        <f>IFERROR(__xludf.DUMMYFUNCTION("""COMPUTED_VALUE"""),"PORT HOPE")</f>
        <v>PORT HOPE</v>
      </c>
      <c r="D318" s="3" t="str">
        <f>IFERROR(__xludf.DUMMYFUNCTION("""COMPUTED_VALUE"""),"L1A 3V7")</f>
        <v>L1A 3V7</v>
      </c>
      <c r="E318" s="3" t="str">
        <f>IFERROR(__xludf.DUMMYFUNCTION("""COMPUTED_VALUE"""),"Trevor Caruso")</f>
        <v>Trevor Caruso</v>
      </c>
      <c r="F318" s="3" t="str">
        <f>IFERROR(__xludf.DUMMYFUNCTION("""COMPUTED_VALUE"""),"tjcaruso@hotmail.com")</f>
        <v>tjcaruso@hotmail.com</v>
      </c>
      <c r="G318" s="3"/>
      <c r="H318" s="3"/>
    </row>
    <row r="319">
      <c r="A319" s="2">
        <f>IFERROR(__xludf.DUMMYFUNCTION("""COMPUTED_VALUE"""),10612.0)</f>
        <v>10612</v>
      </c>
      <c r="B319" s="3" t="str">
        <f>IFERROR(__xludf.DUMMYFUNCTION("""COMPUTED_VALUE"""),"2905 COUNTY RD 28")</f>
        <v>2905 COUNTY RD 28</v>
      </c>
      <c r="C319" s="3" t="str">
        <f>IFERROR(__xludf.DUMMYFUNCTION("""COMPUTED_VALUE"""),"PORT HOPE")</f>
        <v>PORT HOPE</v>
      </c>
      <c r="D319" s="3" t="str">
        <f>IFERROR(__xludf.DUMMYFUNCTION("""COMPUTED_VALUE"""),"L1A 3V6")</f>
        <v>L1A 3V6</v>
      </c>
      <c r="E319" s="3" t="str">
        <f>IFERROR(__xludf.DUMMYFUNCTION("""COMPUTED_VALUE"""),"paul lowry")</f>
        <v>paul lowry</v>
      </c>
      <c r="F319" s="3" t="str">
        <f>IFERROR(__xludf.DUMMYFUNCTION("""COMPUTED_VALUE"""),"paullowry64@icloud.com")</f>
        <v>paullowry64@icloud.com</v>
      </c>
      <c r="G319" s="3"/>
      <c r="H319" s="3"/>
    </row>
    <row r="320">
      <c r="A320" s="2">
        <f>IFERROR(__xludf.DUMMYFUNCTION("""COMPUTED_VALUE"""),10613.0)</f>
        <v>10613</v>
      </c>
      <c r="B320" s="3" t="str">
        <f>IFERROR(__xludf.DUMMYFUNCTION("""COMPUTED_VALUE"""),"2908 COUNTY RD 28")</f>
        <v>2908 COUNTY RD 28</v>
      </c>
      <c r="C320" s="3" t="str">
        <f>IFERROR(__xludf.DUMMYFUNCTION("""COMPUTED_VALUE"""),"PORT HOPE")</f>
        <v>PORT HOPE</v>
      </c>
      <c r="D320" s="3" t="str">
        <f>IFERROR(__xludf.DUMMYFUNCTION("""COMPUTED_VALUE"""),"L1A 3V6")</f>
        <v>L1A 3V6</v>
      </c>
      <c r="E320" s="3"/>
      <c r="F320" s="3"/>
      <c r="G320" s="3"/>
      <c r="H320" s="3"/>
    </row>
    <row r="321">
      <c r="A321" s="2">
        <f>IFERROR(__xludf.DUMMYFUNCTION("""COMPUTED_VALUE"""),11179.0)</f>
        <v>11179</v>
      </c>
      <c r="B321" s="3" t="str">
        <f>IFERROR(__xludf.DUMMYFUNCTION("""COMPUTED_VALUE"""),"2913 MANCHOFF RD")</f>
        <v>2913 MANCHOFF RD</v>
      </c>
      <c r="C321" s="3" t="str">
        <f>IFERROR(__xludf.DUMMYFUNCTION("""COMPUTED_VALUE"""),"PORT HOPE")</f>
        <v>PORT HOPE</v>
      </c>
      <c r="D321" s="3" t="str">
        <f>IFERROR(__xludf.DUMMYFUNCTION("""COMPUTED_VALUE"""),"L1A 3V5")</f>
        <v>L1A 3V5</v>
      </c>
      <c r="E321" s="3" t="str">
        <f>IFERROR(__xludf.DUMMYFUNCTION("""COMPUTED_VALUE"""),"Dianne Lott")</f>
        <v>Dianne Lott</v>
      </c>
      <c r="F321" s="3" t="str">
        <f>IFERROR(__xludf.DUMMYFUNCTION("""COMPUTED_VALUE"""),"dlottmail@yahoo.ca")</f>
        <v>dlottmail@yahoo.ca</v>
      </c>
      <c r="G321" s="3"/>
      <c r="H321" s="3"/>
    </row>
    <row r="322">
      <c r="A322" s="2">
        <f>IFERROR(__xludf.DUMMYFUNCTION("""COMPUTED_VALUE"""),10922.0)</f>
        <v>10922</v>
      </c>
      <c r="B322" s="3" t="str">
        <f>IFERROR(__xludf.DUMMYFUNCTION("""COMPUTED_VALUE"""),"2916 HAMILTON RD")</f>
        <v>2916 HAMILTON RD</v>
      </c>
      <c r="C322" s="3" t="str">
        <f>IFERROR(__xludf.DUMMYFUNCTION("""COMPUTED_VALUE"""),"PORT HOPE")</f>
        <v>PORT HOPE</v>
      </c>
      <c r="D322" s="3" t="str">
        <f>IFERROR(__xludf.DUMMYFUNCTION("""COMPUTED_VALUE"""),"L1A 3V6")</f>
        <v>L1A 3V6</v>
      </c>
      <c r="E322" s="3" t="str">
        <f>IFERROR(__xludf.DUMMYFUNCTION("""COMPUTED_VALUE"""),"Elizabeth Rowland")</f>
        <v>Elizabeth Rowland</v>
      </c>
      <c r="F322" s="3" t="str">
        <f>IFERROR(__xludf.DUMMYFUNCTION("""COMPUTED_VALUE"""),"e-jrowland@hotmail.com")</f>
        <v>e-jrowland@hotmail.com</v>
      </c>
      <c r="G322" s="3"/>
      <c r="H322" s="3"/>
    </row>
    <row r="323">
      <c r="A323" s="2">
        <f>IFERROR(__xludf.DUMMYFUNCTION("""COMPUTED_VALUE"""),10614.0)</f>
        <v>10614</v>
      </c>
      <c r="B323" s="3" t="str">
        <f>IFERROR(__xludf.DUMMYFUNCTION("""COMPUTED_VALUE"""),"2925 COUNTY RD 28")</f>
        <v>2925 COUNTY RD 28</v>
      </c>
      <c r="C323" s="3" t="str">
        <f>IFERROR(__xludf.DUMMYFUNCTION("""COMPUTED_VALUE"""),"PORT HOPE")</f>
        <v>PORT HOPE</v>
      </c>
      <c r="D323" s="3" t="str">
        <f>IFERROR(__xludf.DUMMYFUNCTION("""COMPUTED_VALUE"""),"L1A 3V6")</f>
        <v>L1A 3V6</v>
      </c>
      <c r="E323" s="3"/>
      <c r="F323" s="3"/>
      <c r="G323" s="3"/>
      <c r="H323" s="3"/>
    </row>
    <row r="324">
      <c r="A324" s="2">
        <f>IFERROR(__xludf.DUMMYFUNCTION("""COMPUTED_VALUE"""),10923.0)</f>
        <v>10923</v>
      </c>
      <c r="B324" s="3" t="str">
        <f>IFERROR(__xludf.DUMMYFUNCTION("""COMPUTED_VALUE"""),"2930 HAMILTON RD")</f>
        <v>2930 HAMILTON RD</v>
      </c>
      <c r="C324" s="3" t="str">
        <f>IFERROR(__xludf.DUMMYFUNCTION("""COMPUTED_VALUE"""),"PORT HOPE")</f>
        <v>PORT HOPE</v>
      </c>
      <c r="D324" s="3" t="str">
        <f>IFERROR(__xludf.DUMMYFUNCTION("""COMPUTED_VALUE"""),"L1A 3V6")</f>
        <v>L1A 3V6</v>
      </c>
      <c r="E324" s="3"/>
      <c r="F324" s="3"/>
      <c r="G324" s="3"/>
      <c r="H324" s="3"/>
    </row>
    <row r="325">
      <c r="A325" s="2">
        <f>IFERROR(__xludf.DUMMYFUNCTION("""COMPUTED_VALUE"""),10615.0)</f>
        <v>10615</v>
      </c>
      <c r="B325" s="3" t="str">
        <f>IFERROR(__xludf.DUMMYFUNCTION("""COMPUTED_VALUE"""),"2941 COUNTY RD 28")</f>
        <v>2941 COUNTY RD 28</v>
      </c>
      <c r="C325" s="3" t="str">
        <f>IFERROR(__xludf.DUMMYFUNCTION("""COMPUTED_VALUE"""),"PORT HOPE")</f>
        <v>PORT HOPE</v>
      </c>
      <c r="D325" s="3" t="str">
        <f>IFERROR(__xludf.DUMMYFUNCTION("""COMPUTED_VALUE"""),"L1A 3V6")</f>
        <v>L1A 3V6</v>
      </c>
      <c r="E325" s="3" t="str">
        <f>IFERROR(__xludf.DUMMYFUNCTION("""COMPUTED_VALUE"""),"Paul Schettini")</f>
        <v>Paul Schettini</v>
      </c>
      <c r="F325" s="3" t="str">
        <f>IFERROR(__xludf.DUMMYFUNCTION("""COMPUTED_VALUE"""),"wirelessking@hotmail.com")</f>
        <v>wirelessking@hotmail.com</v>
      </c>
      <c r="G325" s="3"/>
      <c r="H325" s="3"/>
    </row>
    <row r="326">
      <c r="A326" s="2">
        <f>IFERROR(__xludf.DUMMYFUNCTION("""COMPUTED_VALUE"""),10924.0)</f>
        <v>10924</v>
      </c>
      <c r="B326" s="3" t="str">
        <f>IFERROR(__xludf.DUMMYFUNCTION("""COMPUTED_VALUE"""),"2948 HAMILTON RD")</f>
        <v>2948 HAMILTON RD</v>
      </c>
      <c r="C326" s="3" t="str">
        <f>IFERROR(__xludf.DUMMYFUNCTION("""COMPUTED_VALUE"""),"PORT HOPE")</f>
        <v>PORT HOPE</v>
      </c>
      <c r="D326" s="3" t="str">
        <f>IFERROR(__xludf.DUMMYFUNCTION("""COMPUTED_VALUE"""),"L1A 3V6")</f>
        <v>L1A 3V6</v>
      </c>
      <c r="E326" s="3" t="str">
        <f>IFERROR(__xludf.DUMMYFUNCTION("""COMPUTED_VALUE"""),"Robin Nicholl")</f>
        <v>Robin Nicholl</v>
      </c>
      <c r="F326" s="3" t="str">
        <f>IFERROR(__xludf.DUMMYFUNCTION("""COMPUTED_VALUE"""),"robinnicholls@gmail.com")</f>
        <v>robinnicholls@gmail.com</v>
      </c>
      <c r="G326" s="3"/>
      <c r="H326" s="3"/>
    </row>
    <row r="327">
      <c r="A327" s="2">
        <f>IFERROR(__xludf.DUMMYFUNCTION("""COMPUTED_VALUE"""),10784.0)</f>
        <v>10784</v>
      </c>
      <c r="B327" s="3" t="str">
        <f>IFERROR(__xludf.DUMMYFUNCTION("""COMPUTED_VALUE"""),"2966 DEER PARK RD")</f>
        <v>2966 DEER PARK RD</v>
      </c>
      <c r="C327" s="3" t="str">
        <f>IFERROR(__xludf.DUMMYFUNCTION("""COMPUTED_VALUE"""),"PORT HOPE")</f>
        <v>PORT HOPE</v>
      </c>
      <c r="D327" s="3" t="str">
        <f>IFERROR(__xludf.DUMMYFUNCTION("""COMPUTED_VALUE"""),"L1A 3V7")</f>
        <v>L1A 3V7</v>
      </c>
      <c r="E327" s="3" t="str">
        <f>IFERROR(__xludf.DUMMYFUNCTION("""COMPUTED_VALUE"""),"Frances Berney")</f>
        <v>Frances Berney</v>
      </c>
      <c r="F327" s="3" t="str">
        <f>IFERROR(__xludf.DUMMYFUNCTION("""COMPUTED_VALUE"""),"francesatherhouse@gmail.com")</f>
        <v>francesatherhouse@gmail.com</v>
      </c>
      <c r="G327" s="3"/>
      <c r="H327" s="3"/>
    </row>
    <row r="328">
      <c r="A328" s="2">
        <f>IFERROR(__xludf.DUMMYFUNCTION("""COMPUTED_VALUE"""),10925.0)</f>
        <v>10925</v>
      </c>
      <c r="B328" s="3" t="str">
        <f>IFERROR(__xludf.DUMMYFUNCTION("""COMPUTED_VALUE"""),"2970 HAMILTON RD")</f>
        <v>2970 HAMILTON RD</v>
      </c>
      <c r="C328" s="3" t="str">
        <f>IFERROR(__xludf.DUMMYFUNCTION("""COMPUTED_VALUE"""),"PORT HOPE")</f>
        <v>PORT HOPE</v>
      </c>
      <c r="D328" s="3" t="str">
        <f>IFERROR(__xludf.DUMMYFUNCTION("""COMPUTED_VALUE"""),"L1A 3V6")</f>
        <v>L1A 3V6</v>
      </c>
      <c r="E328" s="3"/>
      <c r="F328" s="3"/>
      <c r="G328" s="3"/>
      <c r="H328" s="3"/>
    </row>
    <row r="329">
      <c r="A329" s="2">
        <f>IFERROR(__xludf.DUMMYFUNCTION("""COMPUTED_VALUE"""),10616.0)</f>
        <v>10616</v>
      </c>
      <c r="B329" s="3" t="str">
        <f>IFERROR(__xludf.DUMMYFUNCTION("""COMPUTED_VALUE"""),"2971 COUNTY RD 28")</f>
        <v>2971 COUNTY RD 28</v>
      </c>
      <c r="C329" s="3" t="str">
        <f>IFERROR(__xludf.DUMMYFUNCTION("""COMPUTED_VALUE"""),"PORT HOPE")</f>
        <v>PORT HOPE</v>
      </c>
      <c r="D329" s="3" t="str">
        <f>IFERROR(__xludf.DUMMYFUNCTION("""COMPUTED_VALUE"""),"L1A 3V6")</f>
        <v>L1A 3V6</v>
      </c>
      <c r="E329" s="3"/>
      <c r="F329" s="3"/>
      <c r="G329" s="3"/>
      <c r="H329" s="3"/>
    </row>
    <row r="330">
      <c r="A330" s="2">
        <f>IFERROR(__xludf.DUMMYFUNCTION("""COMPUTED_VALUE"""),10538.0)</f>
        <v>10538</v>
      </c>
      <c r="B330" s="3" t="str">
        <f>IFERROR(__xludf.DUMMYFUNCTION("""COMPUTED_VALUE"""),"2976 COUNTY RD 2")</f>
        <v>2976 COUNTY RD 2</v>
      </c>
      <c r="C330" s="3" t="str">
        <f>IFERROR(__xludf.DUMMYFUNCTION("""COMPUTED_VALUE"""),"PORT HOPE")</f>
        <v>PORT HOPE</v>
      </c>
      <c r="D330" s="3" t="str">
        <f>IFERROR(__xludf.DUMMYFUNCTION("""COMPUTED_VALUE"""),"L1A 3V5")</f>
        <v>L1A 3V5</v>
      </c>
      <c r="E330" s="3" t="str">
        <f>IFERROR(__xludf.DUMMYFUNCTION("""COMPUTED_VALUE"""),"Donna &amp; Art Marvin")</f>
        <v>Donna &amp; Art Marvin</v>
      </c>
      <c r="F330" s="3" t="str">
        <f>IFERROR(__xludf.DUMMYFUNCTION("""COMPUTED_VALUE"""),"donnamarvin2480@yahoo.com")</f>
        <v>donnamarvin2480@yahoo.com</v>
      </c>
      <c r="G330" s="3"/>
      <c r="H330" s="3"/>
    </row>
    <row r="331">
      <c r="A331" s="2">
        <f>IFERROR(__xludf.DUMMYFUNCTION("""COMPUTED_VALUE"""),10867.0)</f>
        <v>10867</v>
      </c>
      <c r="B331" s="3" t="str">
        <f>IFERROR(__xludf.DUMMYFUNCTION("""COMPUTED_VALUE"""),"2979 FOX RD N")</f>
        <v>2979 FOX RD N</v>
      </c>
      <c r="C331" s="3" t="str">
        <f>IFERROR(__xludf.DUMMYFUNCTION("""COMPUTED_VALUE"""),"PORT HOPE")</f>
        <v>PORT HOPE</v>
      </c>
      <c r="D331" s="3" t="str">
        <f>IFERROR(__xludf.DUMMYFUNCTION("""COMPUTED_VALUE"""),"L1A 3V8")</f>
        <v>L1A 3V8</v>
      </c>
      <c r="E331" s="3"/>
      <c r="F331" s="3"/>
      <c r="G331" s="3"/>
      <c r="H331" s="3"/>
    </row>
    <row r="332">
      <c r="A332" s="2">
        <f>IFERROR(__xludf.DUMMYFUNCTION("""COMPUTED_VALUE"""),10539.0)</f>
        <v>10539</v>
      </c>
      <c r="B332" s="3" t="str">
        <f>IFERROR(__xludf.DUMMYFUNCTION("""COMPUTED_VALUE"""),"2980 COUNTY RD 2")</f>
        <v>2980 COUNTY RD 2</v>
      </c>
      <c r="C332" s="3" t="str">
        <f>IFERROR(__xludf.DUMMYFUNCTION("""COMPUTED_VALUE"""),"PORT HOPE")</f>
        <v>PORT HOPE</v>
      </c>
      <c r="D332" s="3" t="str">
        <f>IFERROR(__xludf.DUMMYFUNCTION("""COMPUTED_VALUE"""),"L1A 3V5")</f>
        <v>L1A 3V5</v>
      </c>
      <c r="E332" s="3" t="str">
        <f>IFERROR(__xludf.DUMMYFUNCTION("""COMPUTED_VALUE"""),"Donna &amp; Art Marvin")</f>
        <v>Donna &amp; Art Marvin</v>
      </c>
      <c r="F332" s="3" t="str">
        <f>IFERROR(__xludf.DUMMYFUNCTION("""COMPUTED_VALUE"""),"donnamarvin2480@yahoo.com")</f>
        <v>donnamarvin2480@yahoo.com</v>
      </c>
      <c r="G332" s="3"/>
      <c r="H332" s="3"/>
    </row>
    <row r="333">
      <c r="A333" s="2">
        <f>IFERROR(__xludf.DUMMYFUNCTION("""COMPUTED_VALUE"""),11467.0)</f>
        <v>11467</v>
      </c>
      <c r="B333" s="3" t="str">
        <f>IFERROR(__xludf.DUMMYFUNCTION("""COMPUTED_VALUE"""),"2983 SYMONS RD")</f>
        <v>2983 SYMONS RD</v>
      </c>
      <c r="C333" s="3" t="str">
        <f>IFERROR(__xludf.DUMMYFUNCTION("""COMPUTED_VALUE"""),"PORT HOPE")</f>
        <v>PORT HOPE</v>
      </c>
      <c r="D333" s="3" t="str">
        <f>IFERROR(__xludf.DUMMYFUNCTION("""COMPUTED_VALUE"""),"L1A 3V5")</f>
        <v>L1A 3V5</v>
      </c>
      <c r="E333" s="3" t="str">
        <f>IFERROR(__xludf.DUMMYFUNCTION("""COMPUTED_VALUE"""),"Toni Marvin")</f>
        <v>Toni Marvin</v>
      </c>
      <c r="F333" s="3" t="str">
        <f>IFERROR(__xludf.DUMMYFUNCTION("""COMPUTED_VALUE"""),"tonimarvin@yahoo.com")</f>
        <v>tonimarvin@yahoo.com</v>
      </c>
      <c r="G333" s="3"/>
      <c r="H333" s="3"/>
    </row>
    <row r="334">
      <c r="A334" s="2">
        <f>IFERROR(__xludf.DUMMYFUNCTION("""COMPUTED_VALUE"""),11432.0)</f>
        <v>11432</v>
      </c>
      <c r="B334" s="3" t="str">
        <f>IFERROR(__xludf.DUMMYFUNCTION("""COMPUTED_VALUE"""),"2990 ROSEBERRY HILL RD")</f>
        <v>2990 ROSEBERRY HILL RD</v>
      </c>
      <c r="C334" s="3" t="str">
        <f>IFERROR(__xludf.DUMMYFUNCTION("""COMPUTED_VALUE"""),"PORT HOPE")</f>
        <v>PORT HOPE</v>
      </c>
      <c r="D334" s="3" t="str">
        <f>IFERROR(__xludf.DUMMYFUNCTION("""COMPUTED_VALUE"""),"L1A 3V7")</f>
        <v>L1A 3V7</v>
      </c>
      <c r="E334" s="3"/>
      <c r="F334" s="3"/>
      <c r="G334" s="3"/>
      <c r="H334" s="3"/>
    </row>
    <row r="335">
      <c r="A335" s="2">
        <f>IFERROR(__xludf.DUMMYFUNCTION("""COMPUTED_VALUE"""),11284.0)</f>
        <v>11284</v>
      </c>
      <c r="B335" s="3" t="str">
        <f>IFERROR(__xludf.DUMMYFUNCTION("""COMPUTED_VALUE"""),"2991 OAK HILL RD")</f>
        <v>2991 OAK HILL RD</v>
      </c>
      <c r="C335" s="3" t="str">
        <f>IFERROR(__xludf.DUMMYFUNCTION("""COMPUTED_VALUE"""),"CAMPBELLCROFT")</f>
        <v>CAMPBELLCROFT</v>
      </c>
      <c r="D335" s="3" t="str">
        <f>IFERROR(__xludf.DUMMYFUNCTION("""COMPUTED_VALUE"""),"L0A 1B0")</f>
        <v>L0A 1B0</v>
      </c>
      <c r="E335" s="3" t="str">
        <f>IFERROR(__xludf.DUMMYFUNCTION("""COMPUTED_VALUE"""),"ANDREW PATTERSON")</f>
        <v>ANDREW PATTERSON</v>
      </c>
      <c r="F335" s="3" t="str">
        <f>IFERROR(__xludf.DUMMYFUNCTION("""COMPUTED_VALUE"""),"lotuseuropa@hotmail.ca  |  andrew.patterson@ellisdon.com")</f>
        <v>lotuseuropa@hotmail.ca  |  andrew.patterson@ellisdon.com</v>
      </c>
      <c r="G335" s="3"/>
      <c r="H335" s="3"/>
    </row>
    <row r="336">
      <c r="A336" s="2">
        <f>IFERROR(__xludf.DUMMYFUNCTION("""COMPUTED_VALUE"""),11572.0)</f>
        <v>11572</v>
      </c>
      <c r="B336" s="3" t="str">
        <f>IFERROR(__xludf.DUMMYFUNCTION("""COMPUTED_VALUE"""),"3006 ZION RD")</f>
        <v>3006 ZION RD</v>
      </c>
      <c r="C336" s="3" t="str">
        <f>IFERROR(__xludf.DUMMYFUNCTION("""COMPUTED_VALUE"""),"PORT HOPE")</f>
        <v>PORT HOPE</v>
      </c>
      <c r="D336" s="3" t="str">
        <f>IFERROR(__xludf.DUMMYFUNCTION("""COMPUTED_VALUE"""),"L1A 3V7")</f>
        <v>L1A 3V7</v>
      </c>
      <c r="E336" s="3"/>
      <c r="F336" s="3"/>
      <c r="G336" s="3"/>
      <c r="H336" s="3"/>
    </row>
    <row r="337">
      <c r="A337" s="2">
        <f>IFERROR(__xludf.DUMMYFUNCTION("""COMPUTED_VALUE"""),11573.0)</f>
        <v>11573</v>
      </c>
      <c r="B337" s="3" t="str">
        <f>IFERROR(__xludf.DUMMYFUNCTION("""COMPUTED_VALUE"""),"3011 ZION RD")</f>
        <v>3011 ZION RD</v>
      </c>
      <c r="C337" s="3" t="str">
        <f>IFERROR(__xludf.DUMMYFUNCTION("""COMPUTED_VALUE"""),"PORT HOPE")</f>
        <v>PORT HOPE</v>
      </c>
      <c r="D337" s="3" t="str">
        <f>IFERROR(__xludf.DUMMYFUNCTION("""COMPUTED_VALUE"""),"L1A 3V7")</f>
        <v>L1A 3V7</v>
      </c>
      <c r="E337" s="3" t="str">
        <f>IFERROR(__xludf.DUMMYFUNCTION("""COMPUTED_VALUE"""),"Joseph Eastwood")</f>
        <v>Joseph Eastwood</v>
      </c>
      <c r="F337" s="3" t="str">
        <f>IFERROR(__xludf.DUMMYFUNCTION("""COMPUTED_VALUE"""),"eastwooj@hotmail.com")</f>
        <v>eastwooj@hotmail.com</v>
      </c>
      <c r="G337" s="3"/>
      <c r="H337" s="3"/>
    </row>
    <row r="338">
      <c r="A338" s="2">
        <f>IFERROR(__xludf.DUMMYFUNCTION("""COMPUTED_VALUE"""),11438.0)</f>
        <v>11438</v>
      </c>
      <c r="B338" s="3" t="str">
        <f>IFERROR(__xludf.DUMMYFUNCTION("""COMPUTED_VALUE"""),"3022 SAWMILL RD")</f>
        <v>3022 SAWMILL RD</v>
      </c>
      <c r="C338" s="3" t="str">
        <f>IFERROR(__xludf.DUMMYFUNCTION("""COMPUTED_VALUE"""),"PORT HOPE")</f>
        <v>PORT HOPE</v>
      </c>
      <c r="D338" s="3" t="str">
        <f>IFERROR(__xludf.DUMMYFUNCTION("""COMPUTED_VALUE"""),"L1A 3V7")</f>
        <v>L1A 3V7</v>
      </c>
      <c r="E338" s="3" t="str">
        <f>IFERROR(__xludf.DUMMYFUNCTION("""COMPUTED_VALUE"""),"Alana/ victor clarke")</f>
        <v>Alana/ victor clarke</v>
      </c>
      <c r="F338" s="3"/>
      <c r="G338" s="3"/>
      <c r="H338" s="3"/>
    </row>
    <row r="339">
      <c r="A339" s="2">
        <f>IFERROR(__xludf.DUMMYFUNCTION("""COMPUTED_VALUE"""),11298.0)</f>
        <v>11298</v>
      </c>
      <c r="B339" s="3" t="str">
        <f>IFERROR(__xludf.DUMMYFUNCTION("""COMPUTED_VALUE"""),"3024 PEARCE RD")</f>
        <v>3024 PEARCE RD</v>
      </c>
      <c r="C339" s="3" t="str">
        <f>IFERROR(__xludf.DUMMYFUNCTION("""COMPUTED_VALUE"""),"PORT HOPE")</f>
        <v>PORT HOPE</v>
      </c>
      <c r="D339" s="3" t="str">
        <f>IFERROR(__xludf.DUMMYFUNCTION("""COMPUTED_VALUE"""),"L1A 3V5")</f>
        <v>L1A 3V5</v>
      </c>
      <c r="E339" s="3"/>
      <c r="F339" s="3"/>
      <c r="G339" s="3"/>
      <c r="H339" s="3"/>
    </row>
    <row r="340">
      <c r="A340" s="2">
        <f>IFERROR(__xludf.DUMMYFUNCTION("""COMPUTED_VALUE"""),11439.0)</f>
        <v>11439</v>
      </c>
      <c r="B340" s="3" t="str">
        <f>IFERROR(__xludf.DUMMYFUNCTION("""COMPUTED_VALUE"""),"3024 SAWMILL RD")</f>
        <v>3024 SAWMILL RD</v>
      </c>
      <c r="C340" s="3" t="str">
        <f>IFERROR(__xludf.DUMMYFUNCTION("""COMPUTED_VALUE"""),"PORT HOPE")</f>
        <v>PORT HOPE</v>
      </c>
      <c r="D340" s="3" t="str">
        <f>IFERROR(__xludf.DUMMYFUNCTION("""COMPUTED_VALUE"""),"L1A 3V7")</f>
        <v>L1A 3V7</v>
      </c>
      <c r="E340" s="3" t="str">
        <f>IFERROR(__xludf.DUMMYFUNCTION("""COMPUTED_VALUE"""),"Jeffery White")</f>
        <v>Jeffery White</v>
      </c>
      <c r="F340" s="3" t="str">
        <f>IFERROR(__xludf.DUMMYFUNCTION("""COMPUTED_VALUE"""),"whiteknightyamaha91@hotmail.com")</f>
        <v>whiteknightyamaha91@hotmail.com</v>
      </c>
      <c r="G340" s="3"/>
      <c r="H340" s="3"/>
    </row>
    <row r="341">
      <c r="A341" s="2">
        <f>IFERROR(__xludf.DUMMYFUNCTION("""COMPUTED_VALUE"""),10980.0)</f>
        <v>10980</v>
      </c>
      <c r="B341" s="3" t="str">
        <f>IFERROR(__xludf.DUMMYFUNCTION("""COMPUTED_VALUE"""),"3026 HAWKINS RD")</f>
        <v>3026 HAWKINS RD</v>
      </c>
      <c r="C341" s="3" t="str">
        <f>IFERROR(__xludf.DUMMYFUNCTION("""COMPUTED_VALUE"""),"PORT HOPE")</f>
        <v>PORT HOPE</v>
      </c>
      <c r="D341" s="3" t="str">
        <f>IFERROR(__xludf.DUMMYFUNCTION("""COMPUTED_VALUE"""),"L1A 3V8")</f>
        <v>L1A 3V8</v>
      </c>
      <c r="E341" s="3"/>
      <c r="F341" s="3"/>
      <c r="G341" s="3"/>
      <c r="H341" s="3"/>
    </row>
    <row r="342">
      <c r="A342" s="2">
        <f>IFERROR(__xludf.DUMMYFUNCTION("""COMPUTED_VALUE"""),10428.0)</f>
        <v>10428</v>
      </c>
      <c r="B342" s="3" t="str">
        <f>IFERROR(__xludf.DUMMYFUNCTION("""COMPUTED_VALUE"""),"3121 COUNTY RD 10")</f>
        <v>3121 COUNTY RD 10</v>
      </c>
      <c r="C342" s="3" t="str">
        <f>IFERROR(__xludf.DUMMYFUNCTION("""COMPUTED_VALUE"""),"PORT HOPE")</f>
        <v>PORT HOPE</v>
      </c>
      <c r="D342" s="3" t="str">
        <f>IFERROR(__xludf.DUMMYFUNCTION("""COMPUTED_VALUE"""),"L1A 3V5")</f>
        <v>L1A 3V5</v>
      </c>
      <c r="E342" s="3" t="str">
        <f>IFERROR(__xludf.DUMMYFUNCTION("""COMPUTED_VALUE"""),"Pat Hallett")</f>
        <v>Pat Hallett</v>
      </c>
      <c r="F342" s="3"/>
      <c r="G342" s="3"/>
      <c r="H342" s="3"/>
    </row>
    <row r="343">
      <c r="A343" s="2">
        <f>IFERROR(__xludf.DUMMYFUNCTION("""COMPUTED_VALUE"""),10429.0)</f>
        <v>10429</v>
      </c>
      <c r="B343" s="3" t="str">
        <f>IFERROR(__xludf.DUMMYFUNCTION("""COMPUTED_VALUE"""),"3130 COUNTY RD 10")</f>
        <v>3130 COUNTY RD 10</v>
      </c>
      <c r="C343" s="3" t="str">
        <f>IFERROR(__xludf.DUMMYFUNCTION("""COMPUTED_VALUE"""),"PORT HOPE")</f>
        <v>PORT HOPE</v>
      </c>
      <c r="D343" s="3" t="str">
        <f>IFERROR(__xludf.DUMMYFUNCTION("""COMPUTED_VALUE"""),"L1A 3V5")</f>
        <v>L1A 3V5</v>
      </c>
      <c r="E343" s="3"/>
      <c r="F343" s="3"/>
      <c r="G343" s="3"/>
      <c r="H343" s="3"/>
    </row>
    <row r="344">
      <c r="A344" s="2">
        <f>IFERROR(__xludf.DUMMYFUNCTION("""COMPUTED_VALUE"""),10540.0)</f>
        <v>10540</v>
      </c>
      <c r="B344" s="3" t="str">
        <f>IFERROR(__xludf.DUMMYFUNCTION("""COMPUTED_VALUE"""),"3043 COUNTY RD 2")</f>
        <v>3043 COUNTY RD 2</v>
      </c>
      <c r="C344" s="3" t="str">
        <f>IFERROR(__xludf.DUMMYFUNCTION("""COMPUTED_VALUE"""),"PORT HOPE")</f>
        <v>PORT HOPE</v>
      </c>
      <c r="D344" s="3" t="str">
        <f>IFERROR(__xludf.DUMMYFUNCTION("""COMPUTED_VALUE"""),"L1A 3V5")</f>
        <v>L1A 3V5</v>
      </c>
      <c r="E344" s="3" t="str">
        <f>IFERROR(__xludf.DUMMYFUNCTION("""COMPUTED_VALUE"""),"Joel Schraven")</f>
        <v>Joel Schraven</v>
      </c>
      <c r="F344" s="3" t="str">
        <f>IFERROR(__xludf.DUMMYFUNCTION("""COMPUTED_VALUE"""),"joelschraven@gmail.com")</f>
        <v>joelschraven@gmail.com</v>
      </c>
      <c r="G344" s="3"/>
      <c r="H344" s="3"/>
    </row>
    <row r="345">
      <c r="A345" s="2">
        <f>IFERROR(__xludf.DUMMYFUNCTION("""COMPUTED_VALUE"""),11631.0)</f>
        <v>11631</v>
      </c>
      <c r="B345" s="3" t="str">
        <f>IFERROR(__xludf.DUMMYFUNCTION("""COMPUTED_VALUE"""),"3043 COUNTY RD 2 Unit B")</f>
        <v>3043 COUNTY RD 2 Unit B</v>
      </c>
      <c r="C345" s="3" t="str">
        <f>IFERROR(__xludf.DUMMYFUNCTION("""COMPUTED_VALUE"""),"PORT HOPE")</f>
        <v>PORT HOPE</v>
      </c>
      <c r="D345" s="3" t="str">
        <f>IFERROR(__xludf.DUMMYFUNCTION("""COMPUTED_VALUE"""),"L1A 3V5")</f>
        <v>L1A 3V5</v>
      </c>
      <c r="E345" s="3" t="str">
        <f>IFERROR(__xludf.DUMMYFUNCTION("""COMPUTED_VALUE"""),"Joel Schraven")</f>
        <v>Joel Schraven</v>
      </c>
      <c r="F345" s="3" t="str">
        <f>IFERROR(__xludf.DUMMYFUNCTION("""COMPUTED_VALUE"""),"joelschraven@gmail.com")</f>
        <v>joelschraven@gmail.com</v>
      </c>
      <c r="G345" s="3"/>
      <c r="H345" s="3"/>
    </row>
    <row r="346">
      <c r="A346" s="2">
        <f>IFERROR(__xludf.DUMMYFUNCTION("""COMPUTED_VALUE"""),10430.0)</f>
        <v>10430</v>
      </c>
      <c r="B346" s="3" t="str">
        <f>IFERROR(__xludf.DUMMYFUNCTION("""COMPUTED_VALUE"""),"3151 COUNTY RD 10")</f>
        <v>3151 COUNTY RD 10</v>
      </c>
      <c r="C346" s="3" t="str">
        <f>IFERROR(__xludf.DUMMYFUNCTION("""COMPUTED_VALUE"""),"PORT HOPE")</f>
        <v>PORT HOPE</v>
      </c>
      <c r="D346" s="3" t="str">
        <f>IFERROR(__xludf.DUMMYFUNCTION("""COMPUTED_VALUE"""),"L1A 3V5")</f>
        <v>L1A 3V5</v>
      </c>
      <c r="E346" s="3" t="str">
        <f>IFERROR(__xludf.DUMMYFUNCTION("""COMPUTED_VALUE"""),"Mike Howe")</f>
        <v>Mike Howe</v>
      </c>
      <c r="F346" s="3" t="str">
        <f>IFERROR(__xludf.DUMMYFUNCTION("""COMPUTED_VALUE"""),"middlehowe@hotmail.com")</f>
        <v>middlehowe@hotmail.com</v>
      </c>
      <c r="G346" s="3"/>
      <c r="H346" s="3"/>
    </row>
    <row r="347">
      <c r="A347" s="2">
        <f>IFERROR(__xludf.DUMMYFUNCTION("""COMPUTED_VALUE"""),11574.0)</f>
        <v>11574</v>
      </c>
      <c r="B347" s="3" t="str">
        <f>IFERROR(__xludf.DUMMYFUNCTION("""COMPUTED_VALUE"""),"3045 ZION RD")</f>
        <v>3045 ZION RD</v>
      </c>
      <c r="C347" s="3" t="str">
        <f>IFERROR(__xludf.DUMMYFUNCTION("""COMPUTED_VALUE"""),"PORT HOPE")</f>
        <v>PORT HOPE</v>
      </c>
      <c r="D347" s="3" t="str">
        <f>IFERROR(__xludf.DUMMYFUNCTION("""COMPUTED_VALUE"""),"L1A 3V7")</f>
        <v>L1A 3V7</v>
      </c>
      <c r="E347" s="3" t="str">
        <f>IFERROR(__xludf.DUMMYFUNCTION("""COMPUTED_VALUE"""),"DAVID SAMMUAL SCHAUB")</f>
        <v>DAVID SAMMUAL SCHAUB</v>
      </c>
      <c r="F347" s="3" t="str">
        <f>IFERROR(__xludf.DUMMYFUNCTION("""COMPUTED_VALUE"""),"dave_sandra66@hotmail.com")</f>
        <v>dave_sandra66@hotmail.com</v>
      </c>
      <c r="G347" s="3"/>
      <c r="H347" s="3"/>
    </row>
    <row r="348">
      <c r="A348" s="2">
        <f>IFERROR(__xludf.DUMMYFUNCTION("""COMPUTED_VALUE"""),10431.0)</f>
        <v>10431</v>
      </c>
      <c r="B348" s="3" t="str">
        <f>IFERROR(__xludf.DUMMYFUNCTION("""COMPUTED_VALUE"""),"3179 COUNTY RD 10")</f>
        <v>3179 COUNTY RD 10</v>
      </c>
      <c r="C348" s="3" t="str">
        <f>IFERROR(__xludf.DUMMYFUNCTION("""COMPUTED_VALUE"""),"PORT HOPE")</f>
        <v>PORT HOPE</v>
      </c>
      <c r="D348" s="3" t="str">
        <f>IFERROR(__xludf.DUMMYFUNCTION("""COMPUTED_VALUE"""),"L1A 3V5")</f>
        <v>L1A 3V5</v>
      </c>
      <c r="E348" s="3" t="str">
        <f>IFERROR(__xludf.DUMMYFUNCTION("""COMPUTED_VALUE"""),"Rose MacInnes")</f>
        <v>Rose MacInnes</v>
      </c>
      <c r="F348" s="3" t="str">
        <f>IFERROR(__xludf.DUMMYFUNCTION("""COMPUTED_VALUE"""),"rdmacinnes@hotmail.com")</f>
        <v>rdmacinnes@hotmail.com</v>
      </c>
      <c r="G348" s="3"/>
      <c r="H348" s="3"/>
    </row>
    <row r="349">
      <c r="A349" s="2">
        <f>IFERROR(__xludf.DUMMYFUNCTION("""COMPUTED_VALUE"""),11607.0)</f>
        <v>11607</v>
      </c>
      <c r="B349" s="3" t="str">
        <f>IFERROR(__xludf.DUMMYFUNCTION("""COMPUTED_VALUE"""),"3055 SAWMILL RD")</f>
        <v>3055 SAWMILL RD</v>
      </c>
      <c r="C349" s="3" t="str">
        <f>IFERROR(__xludf.DUMMYFUNCTION("""COMPUTED_VALUE"""),"PORT HOPE")</f>
        <v>PORT HOPE</v>
      </c>
      <c r="D349" s="3" t="str">
        <f>IFERROR(__xludf.DUMMYFUNCTION("""COMPUTED_VALUE"""),"L1A 3V7")</f>
        <v>L1A 3V7</v>
      </c>
      <c r="E349" s="3" t="str">
        <f>IFERROR(__xludf.DUMMYFUNCTION("""COMPUTED_VALUE"""),"JENNIFER WILSON")</f>
        <v>JENNIFER WILSON</v>
      </c>
      <c r="F349" s="3" t="str">
        <f>IFERROR(__xludf.DUMMYFUNCTION("""COMPUTED_VALUE"""),"jenniferlawilson@gmail.com")</f>
        <v>jenniferlawilson@gmail.com</v>
      </c>
      <c r="G349" s="3"/>
      <c r="H349" s="3"/>
    </row>
    <row r="350">
      <c r="A350" s="2">
        <f>IFERROR(__xludf.DUMMYFUNCTION("""COMPUTED_VALUE"""),10876.0)</f>
        <v>10876</v>
      </c>
      <c r="B350" s="3" t="str">
        <f>IFERROR(__xludf.DUMMYFUNCTION("""COMPUTED_VALUE"""),"3058 GANARASKA RD")</f>
        <v>3058 GANARASKA RD</v>
      </c>
      <c r="C350" s="3" t="str">
        <f>IFERROR(__xludf.DUMMYFUNCTION("""COMPUTED_VALUE"""),"CAMPBELLCROFT")</f>
        <v>CAMPBELLCROFT</v>
      </c>
      <c r="D350" s="3" t="str">
        <f>IFERROR(__xludf.DUMMYFUNCTION("""COMPUTED_VALUE"""),"L0A 1B0")</f>
        <v>L0A 1B0</v>
      </c>
      <c r="E350" s="3" t="str">
        <f>IFERROR(__xludf.DUMMYFUNCTION("""COMPUTED_VALUE"""),"malcolm skinner")</f>
        <v>malcolm skinner</v>
      </c>
      <c r="F350" s="3" t="str">
        <f>IFERROR(__xludf.DUMMYFUNCTION("""COMPUTED_VALUE"""),"malcolm.skinner@gmail.com")</f>
        <v>malcolm.skinner@gmail.com</v>
      </c>
      <c r="G350" s="3"/>
      <c r="H350" s="3"/>
    </row>
    <row r="351">
      <c r="A351" s="2">
        <f>IFERROR(__xludf.DUMMYFUNCTION("""COMPUTED_VALUE"""),11575.0)</f>
        <v>11575</v>
      </c>
      <c r="B351" s="3" t="str">
        <f>IFERROR(__xludf.DUMMYFUNCTION("""COMPUTED_VALUE"""),"3061 ZION RD")</f>
        <v>3061 ZION RD</v>
      </c>
      <c r="C351" s="3" t="str">
        <f>IFERROR(__xludf.DUMMYFUNCTION("""COMPUTED_VALUE"""),"PORT HOPE")</f>
        <v>PORT HOPE</v>
      </c>
      <c r="D351" s="3" t="str">
        <f>IFERROR(__xludf.DUMMYFUNCTION("""COMPUTED_VALUE"""),"L1A 3V7")</f>
        <v>L1A 3V7</v>
      </c>
      <c r="E351" s="3"/>
      <c r="F351" s="3"/>
      <c r="G351" s="3"/>
      <c r="H351" s="3"/>
    </row>
    <row r="352">
      <c r="A352" s="2">
        <f>IFERROR(__xludf.DUMMYFUNCTION("""COMPUTED_VALUE"""),10432.0)</f>
        <v>10432</v>
      </c>
      <c r="B352" s="3" t="str">
        <f>IFERROR(__xludf.DUMMYFUNCTION("""COMPUTED_VALUE"""),"3191 COUNTY RD 10")</f>
        <v>3191 COUNTY RD 10</v>
      </c>
      <c r="C352" s="3" t="str">
        <f>IFERROR(__xludf.DUMMYFUNCTION("""COMPUTED_VALUE"""),"PORT HOPE")</f>
        <v>PORT HOPE</v>
      </c>
      <c r="D352" s="3" t="str">
        <f>IFERROR(__xludf.DUMMYFUNCTION("""COMPUTED_VALUE"""),"L1A 3V5")</f>
        <v>L1A 3V5</v>
      </c>
      <c r="E352" s="3"/>
      <c r="F352" s="3"/>
      <c r="G352" s="3"/>
      <c r="H352" s="3"/>
    </row>
    <row r="353">
      <c r="A353" s="2">
        <f>IFERROR(__xludf.DUMMYFUNCTION("""COMPUTED_VALUE"""),10433.0)</f>
        <v>10433</v>
      </c>
      <c r="B353" s="3" t="str">
        <f>IFERROR(__xludf.DUMMYFUNCTION("""COMPUTED_VALUE"""),"3200 COUNTY RD 10")</f>
        <v>3200 COUNTY RD 10</v>
      </c>
      <c r="C353" s="3" t="str">
        <f>IFERROR(__xludf.DUMMYFUNCTION("""COMPUTED_VALUE"""),"PORT HOPE")</f>
        <v>PORT HOPE</v>
      </c>
      <c r="D353" s="3" t="str">
        <f>IFERROR(__xludf.DUMMYFUNCTION("""COMPUTED_VALUE"""),"L1A 3V5")</f>
        <v>L1A 3V5</v>
      </c>
      <c r="E353" s="3"/>
      <c r="F353" s="3"/>
      <c r="G353" s="3"/>
      <c r="H353" s="3"/>
    </row>
    <row r="354">
      <c r="A354" s="2">
        <f>IFERROR(__xludf.DUMMYFUNCTION("""COMPUTED_VALUE"""),11576.0)</f>
        <v>11576</v>
      </c>
      <c r="B354" s="3" t="str">
        <f>IFERROR(__xludf.DUMMYFUNCTION("""COMPUTED_VALUE"""),"3075 ZION RD")</f>
        <v>3075 ZION RD</v>
      </c>
      <c r="C354" s="3" t="str">
        <f>IFERROR(__xludf.DUMMYFUNCTION("""COMPUTED_VALUE"""),"PORT HOPE")</f>
        <v>PORT HOPE</v>
      </c>
      <c r="D354" s="3" t="str">
        <f>IFERROR(__xludf.DUMMYFUNCTION("""COMPUTED_VALUE"""),"L1A 3V7")</f>
        <v>L1A 3V7</v>
      </c>
      <c r="E354" s="3" t="str">
        <f>IFERROR(__xludf.DUMMYFUNCTION("""COMPUTED_VALUE"""),"Steve Middleton")</f>
        <v>Steve Middleton</v>
      </c>
      <c r="F354" s="3"/>
      <c r="G354" s="3"/>
      <c r="H354" s="3"/>
    </row>
    <row r="355">
      <c r="A355" s="2">
        <f>IFERROR(__xludf.DUMMYFUNCTION("""COMPUTED_VALUE"""),10434.0)</f>
        <v>10434</v>
      </c>
      <c r="B355" s="3" t="str">
        <f>IFERROR(__xludf.DUMMYFUNCTION("""COMPUTED_VALUE"""),"3231 COUNTY RD 10")</f>
        <v>3231 COUNTY RD 10</v>
      </c>
      <c r="C355" s="3" t="str">
        <f>IFERROR(__xludf.DUMMYFUNCTION("""COMPUTED_VALUE"""),"PORT HOPE")</f>
        <v>PORT HOPE</v>
      </c>
      <c r="D355" s="3" t="str">
        <f>IFERROR(__xludf.DUMMYFUNCTION("""COMPUTED_VALUE"""),"L1A 3V5")</f>
        <v>L1A 3V5</v>
      </c>
      <c r="E355" s="3" t="str">
        <f>IFERROR(__xludf.DUMMYFUNCTION("""COMPUTED_VALUE"""),"aimee inwards")</f>
        <v>aimee inwards</v>
      </c>
      <c r="F355" s="3"/>
      <c r="G355" s="3"/>
      <c r="H355" s="3"/>
    </row>
    <row r="356">
      <c r="A356" s="2">
        <f>IFERROR(__xludf.DUMMYFUNCTION("""COMPUTED_VALUE"""),10435.0)</f>
        <v>10435</v>
      </c>
      <c r="B356" s="3" t="str">
        <f>IFERROR(__xludf.DUMMYFUNCTION("""COMPUTED_VALUE"""),"3234 COUNTY RD 10")</f>
        <v>3234 COUNTY RD 10</v>
      </c>
      <c r="C356" s="3" t="str">
        <f>IFERROR(__xludf.DUMMYFUNCTION("""COMPUTED_VALUE"""),"PORT HOPE")</f>
        <v>PORT HOPE</v>
      </c>
      <c r="D356" s="3" t="str">
        <f>IFERROR(__xludf.DUMMYFUNCTION("""COMPUTED_VALUE"""),"L1A 3V5")</f>
        <v>L1A 3V5</v>
      </c>
      <c r="E356" s="3" t="str">
        <f>IFERROR(__xludf.DUMMYFUNCTION("""COMPUTED_VALUE"""),"mike kupp")</f>
        <v>mike kupp</v>
      </c>
      <c r="F356" s="3"/>
      <c r="G356" s="3"/>
      <c r="H356" s="3"/>
    </row>
    <row r="357">
      <c r="A357" s="2">
        <f>IFERROR(__xludf.DUMMYFUNCTION("""COMPUTED_VALUE"""),11577.0)</f>
        <v>11577</v>
      </c>
      <c r="B357" s="3" t="str">
        <f>IFERROR(__xludf.DUMMYFUNCTION("""COMPUTED_VALUE"""),"3091 ZION RD")</f>
        <v>3091 ZION RD</v>
      </c>
      <c r="C357" s="3" t="str">
        <f>IFERROR(__xludf.DUMMYFUNCTION("""COMPUTED_VALUE"""),"PORT HOPE")</f>
        <v>PORT HOPE</v>
      </c>
      <c r="D357" s="3" t="str">
        <f>IFERROR(__xludf.DUMMYFUNCTION("""COMPUTED_VALUE"""),"L1A 3V7")</f>
        <v>L1A 3V7</v>
      </c>
      <c r="E357" s="3" t="str">
        <f>IFERROR(__xludf.DUMMYFUNCTION("""COMPUTED_VALUE"""),"Harry Talsma")</f>
        <v>Harry Talsma</v>
      </c>
      <c r="F357" s="3" t="str">
        <f>IFERROR(__xludf.DUMMYFUNCTION("""COMPUTED_VALUE"""),"harrytalsma@gmail.com")</f>
        <v>harrytalsma@gmail.com</v>
      </c>
      <c r="G357" s="3"/>
      <c r="H357" s="3"/>
    </row>
    <row r="358">
      <c r="A358" s="2">
        <f>IFERROR(__xludf.DUMMYFUNCTION("""COMPUTED_VALUE"""),10436.0)</f>
        <v>10436</v>
      </c>
      <c r="B358" s="3" t="str">
        <f>IFERROR(__xludf.DUMMYFUNCTION("""COMPUTED_VALUE"""),"3281 COUNTY RD 10")</f>
        <v>3281 COUNTY RD 10</v>
      </c>
      <c r="C358" s="3" t="str">
        <f>IFERROR(__xludf.DUMMYFUNCTION("""COMPUTED_VALUE"""),"PORT HOPE")</f>
        <v>PORT HOPE</v>
      </c>
      <c r="D358" s="3" t="str">
        <f>IFERROR(__xludf.DUMMYFUNCTION("""COMPUTED_VALUE"""),"L1A 3V5")</f>
        <v>L1A 3V5</v>
      </c>
      <c r="E358" s="3"/>
      <c r="F358" s="3"/>
      <c r="G358" s="3"/>
      <c r="H358" s="3"/>
    </row>
    <row r="359">
      <c r="A359" s="2">
        <f>IFERROR(__xludf.DUMMYFUNCTION("""COMPUTED_VALUE"""),11578.0)</f>
        <v>11578</v>
      </c>
      <c r="B359" s="3" t="str">
        <f>IFERROR(__xludf.DUMMYFUNCTION("""COMPUTED_VALUE"""),"3109 ZION RD")</f>
        <v>3109 ZION RD</v>
      </c>
      <c r="C359" s="3" t="str">
        <f>IFERROR(__xludf.DUMMYFUNCTION("""COMPUTED_VALUE"""),"PORT HOPE")</f>
        <v>PORT HOPE</v>
      </c>
      <c r="D359" s="3" t="str">
        <f>IFERROR(__xludf.DUMMYFUNCTION("""COMPUTED_VALUE"""),"L1A 3V7")</f>
        <v>L1A 3V7</v>
      </c>
      <c r="E359" s="3" t="str">
        <f>IFERROR(__xludf.DUMMYFUNCTION("""COMPUTED_VALUE"""),"Keith Luff")</f>
        <v>Keith Luff</v>
      </c>
      <c r="F359" s="3" t="str">
        <f>IFERROR(__xludf.DUMMYFUNCTION("""COMPUTED_VALUE"""),"eclmech@yahoo.ca")</f>
        <v>eclmech@yahoo.ca</v>
      </c>
      <c r="G359" s="3"/>
      <c r="H359" s="3"/>
    </row>
    <row r="360">
      <c r="A360" s="2">
        <f>IFERROR(__xludf.DUMMYFUNCTION("""COMPUTED_VALUE"""),10437.0)</f>
        <v>10437</v>
      </c>
      <c r="B360" s="3" t="str">
        <f>IFERROR(__xludf.DUMMYFUNCTION("""COMPUTED_VALUE"""),"3431 COUNTY RD 10")</f>
        <v>3431 COUNTY RD 10</v>
      </c>
      <c r="C360" s="3" t="str">
        <f>IFERROR(__xludf.DUMMYFUNCTION("""COMPUTED_VALUE"""),"PORT HOPE")</f>
        <v>PORT HOPE</v>
      </c>
      <c r="D360" s="3" t="str">
        <f>IFERROR(__xludf.DUMMYFUNCTION("""COMPUTED_VALUE"""),"L1A 3V5")</f>
        <v>L1A 3V5</v>
      </c>
      <c r="E360" s="3"/>
      <c r="F360" s="3"/>
      <c r="G360" s="3"/>
      <c r="H360" s="3"/>
    </row>
    <row r="361">
      <c r="A361" s="2">
        <f>IFERROR(__xludf.DUMMYFUNCTION("""COMPUTED_VALUE"""),10981.0)</f>
        <v>10981</v>
      </c>
      <c r="B361" s="3" t="str">
        <f>IFERROR(__xludf.DUMMYFUNCTION("""COMPUTED_VALUE"""),"3116 HAWKINS RD")</f>
        <v>3116 HAWKINS RD</v>
      </c>
      <c r="C361" s="3" t="str">
        <f>IFERROR(__xludf.DUMMYFUNCTION("""COMPUTED_VALUE"""),"PORT HOPE")</f>
        <v>PORT HOPE</v>
      </c>
      <c r="D361" s="3" t="str">
        <f>IFERROR(__xludf.DUMMYFUNCTION("""COMPUTED_VALUE"""),"L1A 3V8")</f>
        <v>L1A 3V8</v>
      </c>
      <c r="E361" s="3"/>
      <c r="F361" s="3"/>
      <c r="G361" s="3"/>
      <c r="H361" s="3"/>
    </row>
    <row r="362">
      <c r="A362" s="2">
        <f>IFERROR(__xludf.DUMMYFUNCTION("""COMPUTED_VALUE"""),10438.0)</f>
        <v>10438</v>
      </c>
      <c r="B362" s="3" t="str">
        <f>IFERROR(__xludf.DUMMYFUNCTION("""COMPUTED_VALUE"""),"3535 COUNTY RD 10")</f>
        <v>3535 COUNTY RD 10</v>
      </c>
      <c r="C362" s="3" t="str">
        <f>IFERROR(__xludf.DUMMYFUNCTION("""COMPUTED_VALUE"""),"PORT HOPE")</f>
        <v>PORT HOPE</v>
      </c>
      <c r="D362" s="3" t="str">
        <f>IFERROR(__xludf.DUMMYFUNCTION("""COMPUTED_VALUE"""),"L1A 3V5")</f>
        <v>L1A 3V5</v>
      </c>
      <c r="E362" s="3"/>
      <c r="F362" s="3"/>
      <c r="G362" s="3"/>
      <c r="H362" s="3"/>
    </row>
    <row r="363">
      <c r="A363" s="2">
        <f>IFERROR(__xludf.DUMMYFUNCTION("""COMPUTED_VALUE"""),10178.0)</f>
        <v>10178</v>
      </c>
      <c r="B363" s="3" t="str">
        <f>IFERROR(__xludf.DUMMYFUNCTION("""COMPUTED_VALUE"""),"3120 7TH LINE")</f>
        <v>3120 7TH LINE</v>
      </c>
      <c r="C363" s="3" t="str">
        <f>IFERROR(__xludf.DUMMYFUNCTION("""COMPUTED_VALUE"""),"PORT HOPE")</f>
        <v>PORT HOPE</v>
      </c>
      <c r="D363" s="3" t="str">
        <f>IFERROR(__xludf.DUMMYFUNCTION("""COMPUTED_VALUE"""),"L1A 3V5")</f>
        <v>L1A 3V5</v>
      </c>
      <c r="E363" s="3" t="str">
        <f>IFERROR(__xludf.DUMMYFUNCTION("""COMPUTED_VALUE"""),"ARTHUR GARDINER")</f>
        <v>ARTHUR GARDINER</v>
      </c>
      <c r="F363" s="3" t="str">
        <f>IFERROR(__xludf.DUMMYFUNCTION("""COMPUTED_VALUE"""),"a.gardiner1826@gmail.com")</f>
        <v>a.gardiner1826@gmail.com</v>
      </c>
      <c r="G363" s="3"/>
      <c r="H363" s="3"/>
    </row>
    <row r="364">
      <c r="A364" s="2">
        <f>IFERROR(__xludf.DUMMYFUNCTION("""COMPUTED_VALUE"""),11579.0)</f>
        <v>11579</v>
      </c>
      <c r="B364" s="3" t="str">
        <f>IFERROR(__xludf.DUMMYFUNCTION("""COMPUTED_VALUE"""),"3121 ZION RD")</f>
        <v>3121 ZION RD</v>
      </c>
      <c r="C364" s="3" t="str">
        <f>IFERROR(__xludf.DUMMYFUNCTION("""COMPUTED_VALUE"""),"PORT HOPE")</f>
        <v>PORT HOPE</v>
      </c>
      <c r="D364" s="3" t="str">
        <f>IFERROR(__xludf.DUMMYFUNCTION("""COMPUTED_VALUE"""),"L1A 3V7")</f>
        <v>L1A 3V7</v>
      </c>
      <c r="E364" s="3"/>
      <c r="F364" s="3"/>
      <c r="G364" s="3"/>
      <c r="H364" s="3"/>
    </row>
    <row r="365">
      <c r="A365" s="2">
        <f>IFERROR(__xludf.DUMMYFUNCTION("""COMPUTED_VALUE"""),10439.0)</f>
        <v>10439</v>
      </c>
      <c r="B365" s="3" t="str">
        <f>IFERROR(__xludf.DUMMYFUNCTION("""COMPUTED_VALUE"""),"3710 COUNTY RD 10")</f>
        <v>3710 COUNTY RD 10</v>
      </c>
      <c r="C365" s="3" t="str">
        <f>IFERROR(__xludf.DUMMYFUNCTION("""COMPUTED_VALUE"""),"PORT HOPE")</f>
        <v>PORT HOPE</v>
      </c>
      <c r="D365" s="3" t="str">
        <f>IFERROR(__xludf.DUMMYFUNCTION("""COMPUTED_VALUE"""),"L1A 3V5")</f>
        <v>L1A 3V5</v>
      </c>
      <c r="E365" s="3" t="str">
        <f>IFERROR(__xludf.DUMMYFUNCTION("""COMPUTED_VALUE"""),"SUSAN LYNCH")</f>
        <v>SUSAN LYNCH</v>
      </c>
      <c r="F365" s="3" t="str">
        <f>IFERROR(__xludf.DUMMYFUNCTION("""COMPUTED_VALUE"""),"ecogrl@bell.net")</f>
        <v>ecogrl@bell.net</v>
      </c>
      <c r="G365" s="3"/>
      <c r="H365" s="3"/>
    </row>
    <row r="366">
      <c r="A366" s="2">
        <f>IFERROR(__xludf.DUMMYFUNCTION("""COMPUTED_VALUE"""),10440.0)</f>
        <v>10440</v>
      </c>
      <c r="B366" s="3" t="str">
        <f>IFERROR(__xludf.DUMMYFUNCTION("""COMPUTED_VALUE"""),"4027 COUNTY RD 10")</f>
        <v>4027 COUNTY RD 10</v>
      </c>
      <c r="C366" s="3" t="str">
        <f>IFERROR(__xludf.DUMMYFUNCTION("""COMPUTED_VALUE"""),"PORT HOPE")</f>
        <v>PORT HOPE</v>
      </c>
      <c r="D366" s="3" t="str">
        <f>IFERROR(__xludf.DUMMYFUNCTION("""COMPUTED_VALUE"""),"L1A 3V5")</f>
        <v>L1A 3V5</v>
      </c>
      <c r="E366" s="3" t="str">
        <f>IFERROR(__xludf.DUMMYFUNCTION("""COMPUTED_VALUE"""),"Dean Irvin")</f>
        <v>Dean Irvin</v>
      </c>
      <c r="F366" s="3"/>
      <c r="G366" s="3"/>
      <c r="H366" s="3"/>
    </row>
    <row r="367">
      <c r="A367" s="2">
        <f>IFERROR(__xludf.DUMMYFUNCTION("""COMPUTED_VALUE"""),10035.0)</f>
        <v>10035</v>
      </c>
      <c r="B367" s="3" t="str">
        <f>IFERROR(__xludf.DUMMYFUNCTION("""COMPUTED_VALUE"""),"3135 4TH LINE")</f>
        <v>3135 4TH LINE</v>
      </c>
      <c r="C367" s="3" t="str">
        <f>IFERROR(__xludf.DUMMYFUNCTION("""COMPUTED_VALUE"""),"PORT HOPE")</f>
        <v>PORT HOPE</v>
      </c>
      <c r="D367" s="3" t="str">
        <f>IFERROR(__xludf.DUMMYFUNCTION("""COMPUTED_VALUE"""),"L1A 3V7")</f>
        <v>L1A 3V7</v>
      </c>
      <c r="E367" s="3" t="str">
        <f>IFERROR(__xludf.DUMMYFUNCTION("""COMPUTED_VALUE"""),"Theresa Shaw")</f>
        <v>Theresa Shaw</v>
      </c>
      <c r="F367" s="3" t="str">
        <f>IFERROR(__xludf.DUMMYFUNCTION("""COMPUTED_VALUE"""),"biosckoi@gmail.com")</f>
        <v>biosckoi@gmail.com</v>
      </c>
      <c r="G367" s="3"/>
      <c r="H367" s="3"/>
    </row>
    <row r="368">
      <c r="A368" s="2">
        <f>IFERROR(__xludf.DUMMYFUNCTION("""COMPUTED_VALUE"""),11580.0)</f>
        <v>11580</v>
      </c>
      <c r="B368" s="3" t="str">
        <f>IFERROR(__xludf.DUMMYFUNCTION("""COMPUTED_VALUE"""),"3135 ZION RD")</f>
        <v>3135 ZION RD</v>
      </c>
      <c r="C368" s="3" t="str">
        <f>IFERROR(__xludf.DUMMYFUNCTION("""COMPUTED_VALUE"""),"PORT HOPE")</f>
        <v>PORT HOPE</v>
      </c>
      <c r="D368" s="3" t="str">
        <f>IFERROR(__xludf.DUMMYFUNCTION("""COMPUTED_VALUE"""),"L1A 3V7")</f>
        <v>L1A 3V7</v>
      </c>
      <c r="E368" s="3"/>
      <c r="F368" s="3"/>
      <c r="G368" s="3"/>
      <c r="H368" s="3"/>
    </row>
    <row r="369">
      <c r="A369" s="2">
        <f>IFERROR(__xludf.DUMMYFUNCTION("""COMPUTED_VALUE"""),10179.0)</f>
        <v>10179</v>
      </c>
      <c r="B369" s="3" t="str">
        <f>IFERROR(__xludf.DUMMYFUNCTION("""COMPUTED_VALUE"""),"3138 7TH LINE")</f>
        <v>3138 7TH LINE</v>
      </c>
      <c r="C369" s="3" t="str">
        <f>IFERROR(__xludf.DUMMYFUNCTION("""COMPUTED_VALUE"""),"PORT HOPE")</f>
        <v>PORT HOPE</v>
      </c>
      <c r="D369" s="3" t="str">
        <f>IFERROR(__xludf.DUMMYFUNCTION("""COMPUTED_VALUE"""),"L1A 3V5")</f>
        <v>L1A 3V5</v>
      </c>
      <c r="E369" s="3" t="str">
        <f>IFERROR(__xludf.DUMMYFUNCTION("""COMPUTED_VALUE"""),"megan mcgregor")</f>
        <v>megan mcgregor</v>
      </c>
      <c r="F369" s="3"/>
      <c r="G369" s="3"/>
      <c r="H369" s="3"/>
    </row>
    <row r="370">
      <c r="A370" s="2">
        <f>IFERROR(__xludf.DUMMYFUNCTION("""COMPUTED_VALUE"""),11440.0)</f>
        <v>11440</v>
      </c>
      <c r="B370" s="3" t="str">
        <f>IFERROR(__xludf.DUMMYFUNCTION("""COMPUTED_VALUE"""),"3146 SAWMILL RD")</f>
        <v>3146 SAWMILL RD</v>
      </c>
      <c r="C370" s="3" t="str">
        <f>IFERROR(__xludf.DUMMYFUNCTION("""COMPUTED_VALUE"""),"PORT HOPE")</f>
        <v>PORT HOPE</v>
      </c>
      <c r="D370" s="3" t="str">
        <f>IFERROR(__xludf.DUMMYFUNCTION("""COMPUTED_VALUE"""),"L1A 3V7")</f>
        <v>L1A 3V7</v>
      </c>
      <c r="E370" s="3" t="str">
        <f>IFERROR(__xludf.DUMMYFUNCTION("""COMPUTED_VALUE"""),"Silvia fox")</f>
        <v>Silvia fox</v>
      </c>
      <c r="F370" s="3"/>
      <c r="G370" s="3"/>
      <c r="H370" s="3"/>
    </row>
    <row r="371">
      <c r="A371" s="2">
        <f>IFERROR(__xludf.DUMMYFUNCTION("""COMPUTED_VALUE"""),11581.0)</f>
        <v>11581</v>
      </c>
      <c r="B371" s="3" t="str">
        <f>IFERROR(__xludf.DUMMYFUNCTION("""COMPUTED_VALUE"""),"3151 ZION RD")</f>
        <v>3151 ZION RD</v>
      </c>
      <c r="C371" s="3" t="str">
        <f>IFERROR(__xludf.DUMMYFUNCTION("""COMPUTED_VALUE"""),"PORT HOPE")</f>
        <v>PORT HOPE</v>
      </c>
      <c r="D371" s="3" t="str">
        <f>IFERROR(__xludf.DUMMYFUNCTION("""COMPUTED_VALUE"""),"L1A 3V7")</f>
        <v>L1A 3V7</v>
      </c>
      <c r="E371" s="3" t="str">
        <f>IFERROR(__xludf.DUMMYFUNCTION("""COMPUTED_VALUE"""),"Randy &amp; Jan Katchaluba")</f>
        <v>Randy &amp; Jan Katchaluba</v>
      </c>
      <c r="F371" s="3" t="str">
        <f>IFERROR(__xludf.DUMMYFUNCTION("""COMPUTED_VALUE"""),"katchaluba@gmail.com")</f>
        <v>katchaluba@gmail.com</v>
      </c>
      <c r="G371" s="3"/>
      <c r="H371" s="3"/>
    </row>
    <row r="372">
      <c r="A372" s="2">
        <f>IFERROR(__xludf.DUMMYFUNCTION("""COMPUTED_VALUE"""),10180.0)</f>
        <v>10180</v>
      </c>
      <c r="B372" s="3" t="str">
        <f>IFERROR(__xludf.DUMMYFUNCTION("""COMPUTED_VALUE"""),"3153 7TH LINE")</f>
        <v>3153 7TH LINE</v>
      </c>
      <c r="C372" s="3" t="str">
        <f>IFERROR(__xludf.DUMMYFUNCTION("""COMPUTED_VALUE"""),"PORT HOPE")</f>
        <v>PORT HOPE</v>
      </c>
      <c r="D372" s="3" t="str">
        <f>IFERROR(__xludf.DUMMYFUNCTION("""COMPUTED_VALUE"""),"L1A 3V5")</f>
        <v>L1A 3V5</v>
      </c>
      <c r="E372" s="3"/>
      <c r="F372" s="3"/>
      <c r="G372" s="3"/>
      <c r="H372" s="3"/>
    </row>
    <row r="373">
      <c r="A373" s="2">
        <f>IFERROR(__xludf.DUMMYFUNCTION("""COMPUTED_VALUE"""),10036.0)</f>
        <v>10036</v>
      </c>
      <c r="B373" s="3" t="str">
        <f>IFERROR(__xludf.DUMMYFUNCTION("""COMPUTED_VALUE"""),"3156 4TH LINE")</f>
        <v>3156 4TH LINE</v>
      </c>
      <c r="C373" s="3" t="str">
        <f>IFERROR(__xludf.DUMMYFUNCTION("""COMPUTED_VALUE"""),"PORT HOPE")</f>
        <v>PORT HOPE</v>
      </c>
      <c r="D373" s="3" t="str">
        <f>IFERROR(__xludf.DUMMYFUNCTION("""COMPUTED_VALUE"""),"L1A 3V7")</f>
        <v>L1A 3V7</v>
      </c>
      <c r="E373" s="3" t="str">
        <f>IFERROR(__xludf.DUMMYFUNCTION("""COMPUTED_VALUE"""),"Gordon Clark")</f>
        <v>Gordon Clark</v>
      </c>
      <c r="F373" s="3" t="str">
        <f>IFERROR(__xludf.DUMMYFUNCTION("""COMPUTED_VALUE"""),"gail.clark45@gmail.com")</f>
        <v>gail.clark45@gmail.com</v>
      </c>
      <c r="G373" s="3"/>
      <c r="H373" s="3"/>
    </row>
    <row r="374">
      <c r="A374" s="2">
        <f>IFERROR(__xludf.DUMMYFUNCTION("""COMPUTED_VALUE"""),10541.0)</f>
        <v>10541</v>
      </c>
      <c r="B374" s="3" t="str">
        <f>IFERROR(__xludf.DUMMYFUNCTION("""COMPUTED_VALUE"""),"3156 COUNTY RD 2")</f>
        <v>3156 COUNTY RD 2</v>
      </c>
      <c r="C374" s="3" t="str">
        <f>IFERROR(__xludf.DUMMYFUNCTION("""COMPUTED_VALUE"""),"PORT HOPE")</f>
        <v>PORT HOPE</v>
      </c>
      <c r="D374" s="3" t="str">
        <f>IFERROR(__xludf.DUMMYFUNCTION("""COMPUTED_VALUE"""),"L1A 3V5")</f>
        <v>L1A 3V5</v>
      </c>
      <c r="E374" s="3" t="str">
        <f>IFERROR(__xludf.DUMMYFUNCTION("""COMPUTED_VALUE"""),"Rachel Dyson")</f>
        <v>Rachel Dyson</v>
      </c>
      <c r="F374" s="3" t="str">
        <f>IFERROR(__xludf.DUMMYFUNCTION("""COMPUTED_VALUE"""),"rachel_vandorp@hotmail.com")</f>
        <v>rachel_vandorp@hotmail.com</v>
      </c>
      <c r="G374" s="3"/>
      <c r="H374" s="3"/>
    </row>
    <row r="375">
      <c r="A375" s="2">
        <f>IFERROR(__xludf.DUMMYFUNCTION("""COMPUTED_VALUE"""),10878.0)</f>
        <v>10878</v>
      </c>
      <c r="B375" s="3" t="str">
        <f>IFERROR(__xludf.DUMMYFUNCTION("""COMPUTED_VALUE"""),"3166 GANARASKA RD")</f>
        <v>3166 GANARASKA RD</v>
      </c>
      <c r="C375" s="3" t="str">
        <f>IFERROR(__xludf.DUMMYFUNCTION("""COMPUTED_VALUE"""),"CAMPBELLCROFT")</f>
        <v>CAMPBELLCROFT</v>
      </c>
      <c r="D375" s="3" t="str">
        <f>IFERROR(__xludf.DUMMYFUNCTION("""COMPUTED_VALUE"""),"L0A 1B0")</f>
        <v>L0A 1B0</v>
      </c>
      <c r="E375" s="3" t="str">
        <f>IFERROR(__xludf.DUMMYFUNCTION("""COMPUTED_VALUE"""),"sarah dey")</f>
        <v>sarah dey</v>
      </c>
      <c r="F375" s="3"/>
      <c r="G375" s="3"/>
      <c r="H375" s="3"/>
    </row>
    <row r="376">
      <c r="A376" s="2">
        <f>IFERROR(__xludf.DUMMYFUNCTION("""COMPUTED_VALUE"""),10542.0)</f>
        <v>10542</v>
      </c>
      <c r="B376" s="3" t="str">
        <f>IFERROR(__xludf.DUMMYFUNCTION("""COMPUTED_VALUE"""),"3170 COUNTY RD 2")</f>
        <v>3170 COUNTY RD 2</v>
      </c>
      <c r="C376" s="3" t="str">
        <f>IFERROR(__xludf.DUMMYFUNCTION("""COMPUTED_VALUE"""),"PORT HOPE")</f>
        <v>PORT HOPE</v>
      </c>
      <c r="D376" s="3" t="str">
        <f>IFERROR(__xludf.DUMMYFUNCTION("""COMPUTED_VALUE"""),"L1A 3V5")</f>
        <v>L1A 3V5</v>
      </c>
      <c r="E376" s="3"/>
      <c r="F376" s="3"/>
      <c r="G376" s="3"/>
      <c r="H376" s="3"/>
    </row>
    <row r="377">
      <c r="A377" s="2">
        <f>IFERROR(__xludf.DUMMYFUNCTION("""COMPUTED_VALUE"""),10441.0)</f>
        <v>10441</v>
      </c>
      <c r="B377" s="3" t="str">
        <f>IFERROR(__xludf.DUMMYFUNCTION("""COMPUTED_VALUE"""),"4036 COUNTY RD 10")</f>
        <v>4036 COUNTY RD 10</v>
      </c>
      <c r="C377" s="3" t="str">
        <f>IFERROR(__xludf.DUMMYFUNCTION("""COMPUTED_VALUE"""),"PORT HOPE")</f>
        <v>PORT HOPE</v>
      </c>
      <c r="D377" s="3" t="str">
        <f>IFERROR(__xludf.DUMMYFUNCTION("""COMPUTED_VALUE"""),"L1A 3V5")</f>
        <v>L1A 3V5</v>
      </c>
      <c r="E377" s="3" t="str">
        <f>IFERROR(__xludf.DUMMYFUNCTION("""COMPUTED_VALUE"""),"FARLEY BICKLE")</f>
        <v>FARLEY BICKLE</v>
      </c>
      <c r="F377" s="3" t="str">
        <f>IFERROR(__xludf.DUMMYFUNCTION("""COMPUTED_VALUE"""),"bickle@eagle.ca")</f>
        <v>bickle@eagle.ca</v>
      </c>
      <c r="G377" s="3"/>
      <c r="H377" s="3"/>
    </row>
    <row r="378">
      <c r="A378" s="2">
        <f>IFERROR(__xludf.DUMMYFUNCTION("""COMPUTED_VALUE"""),10617.0)</f>
        <v>10617</v>
      </c>
      <c r="B378" s="3" t="str">
        <f>IFERROR(__xludf.DUMMYFUNCTION("""COMPUTED_VALUE"""),"3185 COUNTY RD 28")</f>
        <v>3185 COUNTY RD 28</v>
      </c>
      <c r="C378" s="3" t="str">
        <f>IFERROR(__xludf.DUMMYFUNCTION("""COMPUTED_VALUE"""),"PORT HOPE")</f>
        <v>PORT HOPE</v>
      </c>
      <c r="D378" s="3" t="str">
        <f>IFERROR(__xludf.DUMMYFUNCTION("""COMPUTED_VALUE"""),"L1A 3V6")</f>
        <v>L1A 3V6</v>
      </c>
      <c r="E378" s="3"/>
      <c r="F378" s="3"/>
      <c r="G378" s="3"/>
      <c r="H378" s="3"/>
    </row>
    <row r="379">
      <c r="A379" s="2">
        <f>IFERROR(__xludf.DUMMYFUNCTION("""COMPUTED_VALUE"""),10181.0)</f>
        <v>10181</v>
      </c>
      <c r="B379" s="3" t="str">
        <f>IFERROR(__xludf.DUMMYFUNCTION("""COMPUTED_VALUE"""),"3186 7TH LINE")</f>
        <v>3186 7TH LINE</v>
      </c>
      <c r="C379" s="3" t="str">
        <f>IFERROR(__xludf.DUMMYFUNCTION("""COMPUTED_VALUE"""),"PORT HOPE")</f>
        <v>PORT HOPE</v>
      </c>
      <c r="D379" s="3" t="str">
        <f>IFERROR(__xludf.DUMMYFUNCTION("""COMPUTED_VALUE"""),"L1A 3V5")</f>
        <v>L1A 3V5</v>
      </c>
      <c r="E379" s="3" t="str">
        <f>IFERROR(__xludf.DUMMYFUNCTION("""COMPUTED_VALUE"""),"Frank")</f>
        <v>Frank</v>
      </c>
      <c r="F379" s="3"/>
      <c r="G379" s="3"/>
      <c r="H379" s="3"/>
    </row>
    <row r="380">
      <c r="A380" s="2">
        <f>IFERROR(__xludf.DUMMYFUNCTION("""COMPUTED_VALUE"""),10543.0)</f>
        <v>10543</v>
      </c>
      <c r="B380" s="3" t="str">
        <f>IFERROR(__xludf.DUMMYFUNCTION("""COMPUTED_VALUE"""),"3190 COUNTY RD 2")</f>
        <v>3190 COUNTY RD 2</v>
      </c>
      <c r="C380" s="3" t="str">
        <f>IFERROR(__xludf.DUMMYFUNCTION("""COMPUTED_VALUE"""),"PORT HOPE")</f>
        <v>PORT HOPE</v>
      </c>
      <c r="D380" s="3" t="str">
        <f>IFERROR(__xludf.DUMMYFUNCTION("""COMPUTED_VALUE"""),"L1A 3V5")</f>
        <v>L1A 3V5</v>
      </c>
      <c r="E380" s="3" t="str">
        <f>IFERROR(__xludf.DUMMYFUNCTION("""COMPUTED_VALUE"""),"Prab")</f>
        <v>Prab</v>
      </c>
      <c r="F380" s="3"/>
      <c r="G380" s="3"/>
      <c r="H380" s="3"/>
    </row>
    <row r="381">
      <c r="A381" s="2">
        <f>IFERROR(__xludf.DUMMYFUNCTION("""COMPUTED_VALUE"""),10442.0)</f>
        <v>10442</v>
      </c>
      <c r="B381" s="3" t="str">
        <f>IFERROR(__xludf.DUMMYFUNCTION("""COMPUTED_VALUE"""),"4120 COUNTY RD 10")</f>
        <v>4120 COUNTY RD 10</v>
      </c>
      <c r="C381" s="3" t="str">
        <f>IFERROR(__xludf.DUMMYFUNCTION("""COMPUTED_VALUE"""),"PORT HOPE")</f>
        <v>PORT HOPE</v>
      </c>
      <c r="D381" s="3" t="str">
        <f>IFERROR(__xludf.DUMMYFUNCTION("""COMPUTED_VALUE"""),"L1A 3V5")</f>
        <v>L1A 3V5</v>
      </c>
      <c r="E381" s="3"/>
      <c r="F381" s="3"/>
      <c r="G381" s="3"/>
      <c r="H381" s="3"/>
    </row>
    <row r="382">
      <c r="A382" s="2">
        <f>IFERROR(__xludf.DUMMYFUNCTION("""COMPUTED_VALUE"""),11433.0)</f>
        <v>11433</v>
      </c>
      <c r="B382" s="3" t="str">
        <f>IFERROR(__xludf.DUMMYFUNCTION("""COMPUTED_VALUE"""),"3192 ROSEBERRY HILL RD")</f>
        <v>3192 ROSEBERRY HILL RD</v>
      </c>
      <c r="C382" s="3" t="str">
        <f>IFERROR(__xludf.DUMMYFUNCTION("""COMPUTED_VALUE"""),"PORT HOPE")</f>
        <v>PORT HOPE</v>
      </c>
      <c r="D382" s="3" t="str">
        <f>IFERROR(__xludf.DUMMYFUNCTION("""COMPUTED_VALUE"""),"L1A 3V5")</f>
        <v>L1A 3V5</v>
      </c>
      <c r="E382" s="3" t="str">
        <f>IFERROR(__xludf.DUMMYFUNCTION("""COMPUTED_VALUE"""),"Paul Sadiwnyk")</f>
        <v>Paul Sadiwnyk</v>
      </c>
      <c r="F382" s="3" t="str">
        <f>IFERROR(__xludf.DUMMYFUNCTION("""COMPUTED_VALUE"""),"biscuitsandbeans@hotmail.com")</f>
        <v>biscuitsandbeans@hotmail.com</v>
      </c>
      <c r="G382" s="3"/>
      <c r="H382" s="3"/>
    </row>
    <row r="383">
      <c r="A383" s="2">
        <f>IFERROR(__xludf.DUMMYFUNCTION("""COMPUTED_VALUE"""),11434.0)</f>
        <v>11434</v>
      </c>
      <c r="B383" s="3" t="str">
        <f>IFERROR(__xludf.DUMMYFUNCTION("""COMPUTED_VALUE"""),"3197 ROSEBERRY HILL RD")</f>
        <v>3197 ROSEBERRY HILL RD</v>
      </c>
      <c r="C383" s="3" t="str">
        <f>IFERROR(__xludf.DUMMYFUNCTION("""COMPUTED_VALUE"""),"PORT HOPE")</f>
        <v>PORT HOPE</v>
      </c>
      <c r="D383" s="3" t="str">
        <f>IFERROR(__xludf.DUMMYFUNCTION("""COMPUTED_VALUE"""),"L1A 3V5")</f>
        <v>L1A 3V5</v>
      </c>
      <c r="E383" s="3" t="str">
        <f>IFERROR(__xludf.DUMMYFUNCTION("""COMPUTED_VALUE"""),"Scott Bolger")</f>
        <v>Scott Bolger</v>
      </c>
      <c r="F383" s="3" t="str">
        <f>IFERROR(__xludf.DUMMYFUNCTION("""COMPUTED_VALUE"""),"roseberryhill1@gmail.com")</f>
        <v>roseberryhill1@gmail.com</v>
      </c>
      <c r="G383" s="3"/>
      <c r="H383" s="3"/>
    </row>
    <row r="384">
      <c r="A384" s="2">
        <f>IFERROR(__xludf.DUMMYFUNCTION("""COMPUTED_VALUE"""),10443.0)</f>
        <v>10443</v>
      </c>
      <c r="B384" s="3" t="str">
        <f>IFERROR(__xludf.DUMMYFUNCTION("""COMPUTED_VALUE"""),"4243 COUNTY RD 10")</f>
        <v>4243 COUNTY RD 10</v>
      </c>
      <c r="C384" s="3" t="str">
        <f>IFERROR(__xludf.DUMMYFUNCTION("""COMPUTED_VALUE"""),"PORT HOPE")</f>
        <v>PORT HOPE</v>
      </c>
      <c r="D384" s="3" t="str">
        <f>IFERROR(__xludf.DUMMYFUNCTION("""COMPUTED_VALUE"""),"L1A 3V5")</f>
        <v>L1A 3V5</v>
      </c>
      <c r="E384" s="3" t="str">
        <f>IFERROR(__xludf.DUMMYFUNCTION("""COMPUTED_VALUE"""),"Jennifer Quirt")</f>
        <v>Jennifer Quirt</v>
      </c>
      <c r="F384" s="3" t="str">
        <f>IFERROR(__xludf.DUMMYFUNCTION("""COMPUTED_VALUE"""),"jiquirt@gmail.com")</f>
        <v>jiquirt@gmail.com</v>
      </c>
      <c r="G384" s="3"/>
      <c r="H384" s="3"/>
    </row>
    <row r="385">
      <c r="A385" s="2">
        <f>IFERROR(__xludf.DUMMYFUNCTION("""COMPUTED_VALUE"""),11602.0)</f>
        <v>11602</v>
      </c>
      <c r="B385" s="3" t="str">
        <f>IFERROR(__xludf.DUMMYFUNCTION("""COMPUTED_VALUE"""),"3224 COUNTY RD 2")</f>
        <v>3224 COUNTY RD 2</v>
      </c>
      <c r="C385" s="3" t="str">
        <f>IFERROR(__xludf.DUMMYFUNCTION("""COMPUTED_VALUE"""),"PORT HOPE")</f>
        <v>PORT HOPE</v>
      </c>
      <c r="D385" s="3" t="str">
        <f>IFERROR(__xludf.DUMMYFUNCTION("""COMPUTED_VALUE"""),"L1A 3V5")</f>
        <v>L1A 3V5</v>
      </c>
      <c r="E385" s="3"/>
      <c r="F385" s="3"/>
      <c r="G385" s="3"/>
      <c r="H385" s="3"/>
    </row>
    <row r="386">
      <c r="A386" s="2">
        <f>IFERROR(__xludf.DUMMYFUNCTION("""COMPUTED_VALUE"""),10444.0)</f>
        <v>10444</v>
      </c>
      <c r="B386" s="3" t="str">
        <f>IFERROR(__xludf.DUMMYFUNCTION("""COMPUTED_VALUE"""),"4323 COUNTY RD 10")</f>
        <v>4323 COUNTY RD 10</v>
      </c>
      <c r="C386" s="3" t="str">
        <f>IFERROR(__xludf.DUMMYFUNCTION("""COMPUTED_VALUE"""),"PORT HOPE")</f>
        <v>PORT HOPE</v>
      </c>
      <c r="D386" s="3" t="str">
        <f>IFERROR(__xludf.DUMMYFUNCTION("""COMPUTED_VALUE"""),"L1A 3V5")</f>
        <v>L1A 3V5</v>
      </c>
      <c r="E386" s="3" t="str">
        <f>IFERROR(__xludf.DUMMYFUNCTION("""COMPUTED_VALUE"""),"Jessica Sanders")</f>
        <v>Jessica Sanders</v>
      </c>
      <c r="F386" s="3" t="str">
        <f>IFERROR(__xludf.DUMMYFUNCTION("""COMPUTED_VALUE"""),"jessica.samoyloff@hotmail.com")</f>
        <v>jessica.samoyloff@hotmail.com</v>
      </c>
      <c r="G386" s="3"/>
      <c r="H386" s="3"/>
    </row>
    <row r="387">
      <c r="A387" s="2">
        <f>IFERROR(__xludf.DUMMYFUNCTION("""COMPUTED_VALUE"""),10182.0)</f>
        <v>10182</v>
      </c>
      <c r="B387" s="3" t="str">
        <f>IFERROR(__xludf.DUMMYFUNCTION("""COMPUTED_VALUE"""),"3236 7TH LINE")</f>
        <v>3236 7TH LINE</v>
      </c>
      <c r="C387" s="3" t="str">
        <f>IFERROR(__xludf.DUMMYFUNCTION("""COMPUTED_VALUE"""),"PORT HOPE")</f>
        <v>PORT HOPE</v>
      </c>
      <c r="D387" s="3" t="str">
        <f>IFERROR(__xludf.DUMMYFUNCTION("""COMPUTED_VALUE"""),"L1A 3V5")</f>
        <v>L1A 3V5</v>
      </c>
      <c r="E387" s="3"/>
      <c r="F387" s="3"/>
      <c r="G387" s="3"/>
      <c r="H387" s="3"/>
    </row>
    <row r="388">
      <c r="A388" s="2">
        <f>IFERROR(__xludf.DUMMYFUNCTION("""COMPUTED_VALUE"""),11470.0)</f>
        <v>11470</v>
      </c>
      <c r="B388" s="3" t="str">
        <f>IFERROR(__xludf.DUMMYFUNCTION("""COMPUTED_VALUE"""),"3254 COUNTY RD 28")</f>
        <v>3254 COUNTY RD 28</v>
      </c>
      <c r="C388" s="3" t="str">
        <f>IFERROR(__xludf.DUMMYFUNCTION("""COMPUTED_VALUE"""),"PORT HOPE")</f>
        <v>PORT HOPE</v>
      </c>
      <c r="D388" s="3" t="str">
        <f>IFERROR(__xludf.DUMMYFUNCTION("""COMPUTED_VALUE"""),"L1A 3V6")</f>
        <v>L1A 3V6</v>
      </c>
      <c r="E388" s="3"/>
      <c r="F388" s="3"/>
      <c r="G388" s="3"/>
      <c r="H388" s="3"/>
    </row>
    <row r="389">
      <c r="A389" s="2">
        <f>IFERROR(__xludf.DUMMYFUNCTION("""COMPUTED_VALUE"""),10619.0)</f>
        <v>10619</v>
      </c>
      <c r="B389" s="3" t="str">
        <f>IFERROR(__xludf.DUMMYFUNCTION("""COMPUTED_VALUE"""),"3260 COUNTY RD 28")</f>
        <v>3260 COUNTY RD 28</v>
      </c>
      <c r="C389" s="3" t="str">
        <f>IFERROR(__xludf.DUMMYFUNCTION("""COMPUTED_VALUE"""),"PORT HOPE")</f>
        <v>PORT HOPE</v>
      </c>
      <c r="D389" s="3" t="str">
        <f>IFERROR(__xludf.DUMMYFUNCTION("""COMPUTED_VALUE"""),"L1A 3V6")</f>
        <v>L1A 3V6</v>
      </c>
      <c r="E389" s="3" t="str">
        <f>IFERROR(__xludf.DUMMYFUNCTION("""COMPUTED_VALUE"""),"Mary Jean Van Dorp")</f>
        <v>Mary Jean Van Dorp</v>
      </c>
      <c r="F389" s="3" t="str">
        <f>IFERROR(__xludf.DUMMYFUNCTION("""COMPUTED_VALUE"""),"mjvandorp@hotmail.com")</f>
        <v>mjvandorp@hotmail.com</v>
      </c>
      <c r="G389" s="3"/>
      <c r="H389" s="3"/>
    </row>
    <row r="390">
      <c r="A390" s="2">
        <f>IFERROR(__xludf.DUMMYFUNCTION("""COMPUTED_VALUE"""),10037.0)</f>
        <v>10037</v>
      </c>
      <c r="B390" s="3" t="str">
        <f>IFERROR(__xludf.DUMMYFUNCTION("""COMPUTED_VALUE"""),"3265 4TH LINE")</f>
        <v>3265 4TH LINE</v>
      </c>
      <c r="C390" s="3" t="str">
        <f>IFERROR(__xludf.DUMMYFUNCTION("""COMPUTED_VALUE"""),"PORT HOPE")</f>
        <v>PORT HOPE</v>
      </c>
      <c r="D390" s="3" t="str">
        <f>IFERROR(__xludf.DUMMYFUNCTION("""COMPUTED_VALUE"""),"L1A 3V7")</f>
        <v>L1A 3V7</v>
      </c>
      <c r="E390" s="3"/>
      <c r="F390" s="3"/>
      <c r="G390" s="3"/>
      <c r="H390" s="3"/>
    </row>
    <row r="391">
      <c r="A391" s="2">
        <f>IFERROR(__xludf.DUMMYFUNCTION("""COMPUTED_VALUE"""),10879.0)</f>
        <v>10879</v>
      </c>
      <c r="B391" s="3" t="str">
        <f>IFERROR(__xludf.DUMMYFUNCTION("""COMPUTED_VALUE"""),"3278 GANARASKA RD")</f>
        <v>3278 GANARASKA RD</v>
      </c>
      <c r="C391" s="3" t="str">
        <f>IFERROR(__xludf.DUMMYFUNCTION("""COMPUTED_VALUE"""),"CAMPBELLCROFT")</f>
        <v>CAMPBELLCROFT</v>
      </c>
      <c r="D391" s="3" t="str">
        <f>IFERROR(__xludf.DUMMYFUNCTION("""COMPUTED_VALUE"""),"L0A 1B0")</f>
        <v>L0A 1B0</v>
      </c>
      <c r="E391" s="3"/>
      <c r="F391" s="3"/>
      <c r="G391" s="3"/>
      <c r="H391" s="3"/>
    </row>
    <row r="392">
      <c r="A392" s="2">
        <f>IFERROR(__xludf.DUMMYFUNCTION("""COMPUTED_VALUE"""),10445.0)</f>
        <v>10445</v>
      </c>
      <c r="B392" s="3" t="str">
        <f>IFERROR(__xludf.DUMMYFUNCTION("""COMPUTED_VALUE"""),"4347 COUNTY RD 10")</f>
        <v>4347 COUNTY RD 10</v>
      </c>
      <c r="C392" s="3" t="str">
        <f>IFERROR(__xludf.DUMMYFUNCTION("""COMPUTED_VALUE"""),"PORT HOPE")</f>
        <v>PORT HOPE</v>
      </c>
      <c r="D392" s="3" t="str">
        <f>IFERROR(__xludf.DUMMYFUNCTION("""COMPUTED_VALUE"""),"L1A 3V5")</f>
        <v>L1A 3V5</v>
      </c>
      <c r="E392" s="3"/>
      <c r="F392" s="3"/>
      <c r="G392" s="3"/>
      <c r="H392" s="3"/>
    </row>
    <row r="393">
      <c r="A393" s="2">
        <f>IFERROR(__xludf.DUMMYFUNCTION("""COMPUTED_VALUE"""),10038.0)</f>
        <v>10038</v>
      </c>
      <c r="B393" s="3" t="str">
        <f>IFERROR(__xludf.DUMMYFUNCTION("""COMPUTED_VALUE"""),"3286 4TH LINE")</f>
        <v>3286 4TH LINE</v>
      </c>
      <c r="C393" s="3" t="str">
        <f>IFERROR(__xludf.DUMMYFUNCTION("""COMPUTED_VALUE"""),"PORT HOPE")</f>
        <v>PORT HOPE</v>
      </c>
      <c r="D393" s="3" t="str">
        <f>IFERROR(__xludf.DUMMYFUNCTION("""COMPUTED_VALUE"""),"L1A 3V7")</f>
        <v>L1A 3V7</v>
      </c>
      <c r="E393" s="3" t="str">
        <f>IFERROR(__xludf.DUMMYFUNCTION("""COMPUTED_VALUE"""),"Ronald &amp; Donna Brimacombe")</f>
        <v>Ronald &amp; Donna Brimacombe</v>
      </c>
      <c r="F393" s="3" t="str">
        <f>IFERROR(__xludf.DUMMYFUNCTION("""COMPUTED_VALUE"""),"donna.brimacombe@yahoo.ca")</f>
        <v>donna.brimacombe@yahoo.ca</v>
      </c>
      <c r="G393" s="3"/>
      <c r="H393" s="3"/>
    </row>
    <row r="394">
      <c r="A394" s="2">
        <f>IFERROR(__xludf.DUMMYFUNCTION("""COMPUTED_VALUE"""),10880.0)</f>
        <v>10880</v>
      </c>
      <c r="B394" s="3" t="str">
        <f>IFERROR(__xludf.DUMMYFUNCTION("""COMPUTED_VALUE"""),"3308 GANARASKA RD")</f>
        <v>3308 GANARASKA RD</v>
      </c>
      <c r="C394" s="3" t="str">
        <f>IFERROR(__xludf.DUMMYFUNCTION("""COMPUTED_VALUE"""),"CAMPBELLCROFT")</f>
        <v>CAMPBELLCROFT</v>
      </c>
      <c r="D394" s="3" t="str">
        <f>IFERROR(__xludf.DUMMYFUNCTION("""COMPUTED_VALUE"""),"L0A 1B0")</f>
        <v>L0A 1B0</v>
      </c>
      <c r="E394" s="3" t="str">
        <f>IFERROR(__xludf.DUMMYFUNCTION("""COMPUTED_VALUE"""),"cathy dey ")</f>
        <v>cathy dey </v>
      </c>
      <c r="F394" s="3"/>
      <c r="G394" s="3"/>
      <c r="H394" s="3"/>
    </row>
    <row r="395">
      <c r="A395" s="2">
        <f>IFERROR(__xludf.DUMMYFUNCTION("""COMPUTED_VALUE"""),11582.0)</f>
        <v>11582</v>
      </c>
      <c r="B395" s="3" t="str">
        <f>IFERROR(__xludf.DUMMYFUNCTION("""COMPUTED_VALUE"""),"3311 ZION RD")</f>
        <v>3311 ZION RD</v>
      </c>
      <c r="C395" s="3" t="str">
        <f>IFERROR(__xludf.DUMMYFUNCTION("""COMPUTED_VALUE"""),"PORT HOPE")</f>
        <v>PORT HOPE</v>
      </c>
      <c r="D395" s="3" t="str">
        <f>IFERROR(__xludf.DUMMYFUNCTION("""COMPUTED_VALUE"""),"L1A 3V7")</f>
        <v>L1A 3V7</v>
      </c>
      <c r="E395" s="3" t="str">
        <f>IFERROR(__xludf.DUMMYFUNCTION("""COMPUTED_VALUE"""),"Simon Andrew Genich")</f>
        <v>Simon Andrew Genich</v>
      </c>
      <c r="F395" s="3" t="str">
        <f>IFERROR(__xludf.DUMMYFUNCTION("""COMPUTED_VALUE"""),"genichsimon@gmail.com")</f>
        <v>genichsimon@gmail.com</v>
      </c>
      <c r="G395" s="3"/>
      <c r="H395" s="3"/>
    </row>
    <row r="396">
      <c r="A396" s="2">
        <f>IFERROR(__xludf.DUMMYFUNCTION("""COMPUTED_VALUE"""),10446.0)</f>
        <v>10446</v>
      </c>
      <c r="B396" s="3" t="str">
        <f>IFERROR(__xludf.DUMMYFUNCTION("""COMPUTED_VALUE"""),"4453 COUNTY RD 10")</f>
        <v>4453 COUNTY RD 10</v>
      </c>
      <c r="C396" s="3" t="str">
        <f>IFERROR(__xludf.DUMMYFUNCTION("""COMPUTED_VALUE"""),"PORT HOPE")</f>
        <v>PORT HOPE</v>
      </c>
      <c r="D396" s="3" t="str">
        <f>IFERROR(__xludf.DUMMYFUNCTION("""COMPUTED_VALUE"""),"L1A 3V5")</f>
        <v>L1A 3V5</v>
      </c>
      <c r="E396" s="3" t="str">
        <f>IFERROR(__xludf.DUMMYFUNCTION("""COMPUTED_VALUE"""),"Penelope Wood")</f>
        <v>Penelope Wood</v>
      </c>
      <c r="F396" s="3" t="str">
        <f>IFERROR(__xludf.DUMMYFUNCTION("""COMPUTED_VALUE"""),"dicksonwood@rogers.com")</f>
        <v>dicksonwood@rogers.com</v>
      </c>
      <c r="G396" s="3"/>
      <c r="H396" s="3"/>
    </row>
    <row r="397">
      <c r="A397" s="2">
        <f>IFERROR(__xludf.DUMMYFUNCTION("""COMPUTED_VALUE"""),11583.0)</f>
        <v>11583</v>
      </c>
      <c r="B397" s="3" t="str">
        <f>IFERROR(__xludf.DUMMYFUNCTION("""COMPUTED_VALUE"""),"3451 ZION RD")</f>
        <v>3451 ZION RD</v>
      </c>
      <c r="C397" s="3" t="str">
        <f>IFERROR(__xludf.DUMMYFUNCTION("""COMPUTED_VALUE"""),"PORT HOPE")</f>
        <v>PORT HOPE</v>
      </c>
      <c r="D397" s="3" t="str">
        <f>IFERROR(__xludf.DUMMYFUNCTION("""COMPUTED_VALUE"""),"L1A 3V7")</f>
        <v>L1A 3V7</v>
      </c>
      <c r="E397" s="3" t="str">
        <f>IFERROR(__xludf.DUMMYFUNCTION("""COMPUTED_VALUE"""),"Richard Goulding ")</f>
        <v>Richard Goulding </v>
      </c>
      <c r="F397" s="3" t="str">
        <f>IFERROR(__xludf.DUMMYFUNCTION("""COMPUTED_VALUE"""),"branic@gotwisted.com")</f>
        <v>branic@gotwisted.com</v>
      </c>
      <c r="G397" s="3"/>
      <c r="H397" s="3"/>
    </row>
    <row r="398">
      <c r="A398" s="2">
        <f>IFERROR(__xludf.DUMMYFUNCTION("""COMPUTED_VALUE"""),11584.0)</f>
        <v>11584</v>
      </c>
      <c r="B398" s="3" t="str">
        <f>IFERROR(__xludf.DUMMYFUNCTION("""COMPUTED_VALUE"""),"3471 ZION RD")</f>
        <v>3471 ZION RD</v>
      </c>
      <c r="C398" s="3" t="str">
        <f>IFERROR(__xludf.DUMMYFUNCTION("""COMPUTED_VALUE"""),"PORT HOPE")</f>
        <v>PORT HOPE</v>
      </c>
      <c r="D398" s="3" t="str">
        <f>IFERROR(__xludf.DUMMYFUNCTION("""COMPUTED_VALUE"""),"L1A 3V7")</f>
        <v>L1A 3V7</v>
      </c>
      <c r="E398" s="3" t="str">
        <f>IFERROR(__xludf.DUMMYFUNCTION("""COMPUTED_VALUE"""),"Les Sziklasi")</f>
        <v>Les Sziklasi</v>
      </c>
      <c r="F398" s="3" t="str">
        <f>IFERROR(__xludf.DUMMYFUNCTION("""COMPUTED_VALUE"""),"isziklasi@gmail.com")</f>
        <v>isziklasi@gmail.com</v>
      </c>
      <c r="G398" s="3"/>
      <c r="H398" s="3"/>
    </row>
    <row r="399">
      <c r="A399" s="2">
        <f>IFERROR(__xludf.DUMMYFUNCTION("""COMPUTED_VALUE"""),11585.0)</f>
        <v>11585</v>
      </c>
      <c r="B399" s="3" t="str">
        <f>IFERROR(__xludf.DUMMYFUNCTION("""COMPUTED_VALUE"""),"3486 ZION RD")</f>
        <v>3486 ZION RD</v>
      </c>
      <c r="C399" s="3" t="str">
        <f>IFERROR(__xludf.DUMMYFUNCTION("""COMPUTED_VALUE"""),"PORT HOPE")</f>
        <v>PORT HOPE</v>
      </c>
      <c r="D399" s="3" t="str">
        <f>IFERROR(__xludf.DUMMYFUNCTION("""COMPUTED_VALUE"""),"L1A 3V7")</f>
        <v>L1A 3V7</v>
      </c>
      <c r="E399" s="3" t="str">
        <f>IFERROR(__xludf.DUMMYFUNCTION("""COMPUTED_VALUE"""),"Tom Beattie")</f>
        <v>Tom Beattie</v>
      </c>
      <c r="F399" s="3" t="str">
        <f>IFERROR(__xludf.DUMMYFUNCTION("""COMPUTED_VALUE"""),"bt2teesie@gmail.com")</f>
        <v>bt2teesie@gmail.com</v>
      </c>
      <c r="G399" s="3"/>
      <c r="H399" s="3"/>
    </row>
    <row r="400">
      <c r="A400" s="2">
        <f>IFERROR(__xludf.DUMMYFUNCTION("""COMPUTED_VALUE"""),10185.0)</f>
        <v>10185</v>
      </c>
      <c r="B400" s="3" t="str">
        <f>IFERROR(__xludf.DUMMYFUNCTION("""COMPUTED_VALUE"""),"3508 7TH LINE")</f>
        <v>3508 7TH LINE</v>
      </c>
      <c r="C400" s="3" t="str">
        <f>IFERROR(__xludf.DUMMYFUNCTION("""COMPUTED_VALUE"""),"PORT HOPE")</f>
        <v>PORT HOPE</v>
      </c>
      <c r="D400" s="3" t="str">
        <f>IFERROR(__xludf.DUMMYFUNCTION("""COMPUTED_VALUE"""),"L1A 3V5")</f>
        <v>L1A 3V5</v>
      </c>
      <c r="E400" s="3" t="str">
        <f>IFERROR(__xludf.DUMMYFUNCTION("""COMPUTED_VALUE"""),"Dr Ernest Salmon")</f>
        <v>Dr Ernest Salmon</v>
      </c>
      <c r="F400" s="3" t="str">
        <f>IFERROR(__xludf.DUMMYFUNCTION("""COMPUTED_VALUE"""),"e.salmon@simpatico.ca")</f>
        <v>e.salmon@simpatico.ca</v>
      </c>
      <c r="G400" s="3"/>
      <c r="H400" s="3"/>
    </row>
    <row r="401">
      <c r="A401" s="2">
        <f>IFERROR(__xludf.DUMMYFUNCTION("""COMPUTED_VALUE"""),10663.0)</f>
        <v>10663</v>
      </c>
      <c r="B401" s="3" t="str">
        <f>IFERROR(__xludf.DUMMYFUNCTION("""COMPUTED_VALUE"""),"3510 COUNTY RD 65")</f>
        <v>3510 COUNTY RD 65</v>
      </c>
      <c r="C401" s="3" t="str">
        <f>IFERROR(__xludf.DUMMYFUNCTION("""COMPUTED_VALUE"""),"BAILIEBORO")</f>
        <v>BAILIEBORO</v>
      </c>
      <c r="D401" s="3" t="str">
        <f>IFERROR(__xludf.DUMMYFUNCTION("""COMPUTED_VALUE"""),"K0L 1B0")</f>
        <v>K0L 1B0</v>
      </c>
      <c r="E401" s="3"/>
      <c r="F401" s="3"/>
      <c r="G401" s="3"/>
      <c r="H401" s="3"/>
    </row>
    <row r="402">
      <c r="A402" s="2">
        <f>IFERROR(__xludf.DUMMYFUNCTION("""COMPUTED_VALUE"""),11586.0)</f>
        <v>11586</v>
      </c>
      <c r="B402" s="3" t="str">
        <f>IFERROR(__xludf.DUMMYFUNCTION("""COMPUTED_VALUE"""),"3531 ZION RD")</f>
        <v>3531 ZION RD</v>
      </c>
      <c r="C402" s="3" t="str">
        <f>IFERROR(__xludf.DUMMYFUNCTION("""COMPUTED_VALUE"""),"PORT HOPE")</f>
        <v>PORT HOPE</v>
      </c>
      <c r="D402" s="3" t="str">
        <f>IFERROR(__xludf.DUMMYFUNCTION("""COMPUTED_VALUE"""),"L1A 3V7")</f>
        <v>L1A 3V7</v>
      </c>
      <c r="E402" s="3" t="str">
        <f>IFERROR(__xludf.DUMMYFUNCTION("""COMPUTED_VALUE"""),"Susie young ")</f>
        <v>Susie young </v>
      </c>
      <c r="F402" s="3" t="str">
        <f>IFERROR(__xludf.DUMMYFUNCTION("""COMPUTED_VALUE"""),"Susie.young45@gmail.com")</f>
        <v>Susie.young45@gmail.com</v>
      </c>
      <c r="G402" s="3"/>
      <c r="H402" s="3"/>
    </row>
    <row r="403">
      <c r="A403" s="2">
        <f>IFERROR(__xludf.DUMMYFUNCTION("""COMPUTED_VALUE"""),11622.0)</f>
        <v>11622</v>
      </c>
      <c r="B403" s="3" t="str">
        <f>IFERROR(__xludf.DUMMYFUNCTION("""COMPUTED_VALUE"""),"4476 COUNTY RD 10")</f>
        <v>4476 COUNTY RD 10</v>
      </c>
      <c r="C403" s="3" t="str">
        <f>IFERROR(__xludf.DUMMYFUNCTION("""COMPUTED_VALUE"""),"PORT HOPE")</f>
        <v>PORT HOPE</v>
      </c>
      <c r="D403" s="3" t="str">
        <f>IFERROR(__xludf.DUMMYFUNCTION("""COMPUTED_VALUE"""),"L1A 3V5")</f>
        <v>L1A 3V5</v>
      </c>
      <c r="E403" s="3" t="str">
        <f>IFERROR(__xludf.DUMMYFUNCTION("""COMPUTED_VALUE"""),"GREG HORTON")</f>
        <v>GREG HORTON</v>
      </c>
      <c r="F403" s="3" t="str">
        <f>IFERROR(__xludf.DUMMYFUNCTION("""COMPUTED_VALUE"""),"greg@sharkteethfilms.com")</f>
        <v>greg@sharkteethfilms.com</v>
      </c>
      <c r="G403" s="3"/>
      <c r="H403" s="3"/>
    </row>
    <row r="404">
      <c r="A404" s="2">
        <f>IFERROR(__xludf.DUMMYFUNCTION("""COMPUTED_VALUE"""),10664.0)</f>
        <v>10664</v>
      </c>
      <c r="B404" s="3" t="str">
        <f>IFERROR(__xludf.DUMMYFUNCTION("""COMPUTED_VALUE"""),"3568 COUNTY RD 65")</f>
        <v>3568 COUNTY RD 65</v>
      </c>
      <c r="C404" s="3" t="str">
        <f>IFERROR(__xludf.DUMMYFUNCTION("""COMPUTED_VALUE"""),"PORT HOPE")</f>
        <v>PORT HOPE</v>
      </c>
      <c r="D404" s="3" t="str">
        <f>IFERROR(__xludf.DUMMYFUNCTION("""COMPUTED_VALUE"""),"L1A 3V7")</f>
        <v>L1A 3V7</v>
      </c>
      <c r="E404" s="3" t="str">
        <f>IFERROR(__xludf.DUMMYFUNCTION("""COMPUTED_VALUE"""),"Jane North")</f>
        <v>Jane North</v>
      </c>
      <c r="F404" s="3" t="str">
        <f>IFERROR(__xludf.DUMMYFUNCTION("""COMPUTED_VALUE"""),"janemillerelizabethnorth@gmail.com")</f>
        <v>janemillerelizabethnorth@gmail.com</v>
      </c>
      <c r="G404" s="3"/>
      <c r="H404" s="3"/>
    </row>
    <row r="405">
      <c r="A405" s="2">
        <f>IFERROR(__xludf.DUMMYFUNCTION("""COMPUTED_VALUE"""),10665.0)</f>
        <v>10665</v>
      </c>
      <c r="B405" s="3" t="str">
        <f>IFERROR(__xludf.DUMMYFUNCTION("""COMPUTED_VALUE"""),"3577 COUNTY RD 65")</f>
        <v>3577 COUNTY RD 65</v>
      </c>
      <c r="C405" s="3" t="str">
        <f>IFERROR(__xludf.DUMMYFUNCTION("""COMPUTED_VALUE"""),"PORT HOPE")</f>
        <v>PORT HOPE</v>
      </c>
      <c r="D405" s="3" t="str">
        <f>IFERROR(__xludf.DUMMYFUNCTION("""COMPUTED_VALUE"""),"L1A 3V7")</f>
        <v>L1A 3V7</v>
      </c>
      <c r="E405" s="3"/>
      <c r="F405" s="3"/>
      <c r="G405" s="3"/>
      <c r="H405" s="3"/>
    </row>
    <row r="406">
      <c r="A406" s="2">
        <f>IFERROR(__xludf.DUMMYFUNCTION("""COMPUTED_VALUE"""),11323.0)</f>
        <v>11323</v>
      </c>
      <c r="B406" s="3" t="str">
        <f>IFERROR(__xludf.DUMMYFUNCTION("""COMPUTED_VALUE"""),"3621 PERCY ROSE RD")</f>
        <v>3621 PERCY ROSE RD</v>
      </c>
      <c r="C406" s="3" t="str">
        <f>IFERROR(__xludf.DUMMYFUNCTION("""COMPUTED_VALUE"""),"PORT HOPE")</f>
        <v>PORT HOPE</v>
      </c>
      <c r="D406" s="3" t="str">
        <f>IFERROR(__xludf.DUMMYFUNCTION("""COMPUTED_VALUE"""),"L1A 3V6")</f>
        <v>L1A 3V6</v>
      </c>
      <c r="E406" s="3" t="str">
        <f>IFERROR(__xludf.DUMMYFUNCTION("""COMPUTED_VALUE"""),"John Beverley Rose")</f>
        <v>John Beverley Rose</v>
      </c>
      <c r="F406" s="3"/>
      <c r="G406" s="3"/>
      <c r="H406" s="3"/>
    </row>
    <row r="407">
      <c r="A407" s="2">
        <f>IFERROR(__xludf.DUMMYFUNCTION("""COMPUTED_VALUE"""),11324.0)</f>
        <v>11324</v>
      </c>
      <c r="B407" s="3" t="str">
        <f>IFERROR(__xludf.DUMMYFUNCTION("""COMPUTED_VALUE"""),"3622 PERCY ROSE RD")</f>
        <v>3622 PERCY ROSE RD</v>
      </c>
      <c r="C407" s="3" t="str">
        <f>IFERROR(__xludf.DUMMYFUNCTION("""COMPUTED_VALUE"""),"PORT HOPE")</f>
        <v>PORT HOPE</v>
      </c>
      <c r="D407" s="3" t="str">
        <f>IFERROR(__xludf.DUMMYFUNCTION("""COMPUTED_VALUE"""),"L1A 3V6")</f>
        <v>L1A 3V6</v>
      </c>
      <c r="E407" s="3" t="str">
        <f>IFERROR(__xludf.DUMMYFUNCTION("""COMPUTED_VALUE"""),"Angus Workman")</f>
        <v>Angus Workman</v>
      </c>
      <c r="F407" s="3" t="str">
        <f>IFERROR(__xludf.DUMMYFUNCTION("""COMPUTED_VALUE"""),"awork3622@gmail.com")</f>
        <v>awork3622@gmail.com</v>
      </c>
      <c r="G407" s="3"/>
      <c r="H407" s="3"/>
    </row>
    <row r="408">
      <c r="A408" s="2">
        <f>IFERROR(__xludf.DUMMYFUNCTION("""COMPUTED_VALUE"""),10666.0)</f>
        <v>10666</v>
      </c>
      <c r="B408" s="3" t="str">
        <f>IFERROR(__xludf.DUMMYFUNCTION("""COMPUTED_VALUE"""),"3669 COUNTY RD 65")</f>
        <v>3669 COUNTY RD 65</v>
      </c>
      <c r="C408" s="3" t="str">
        <f>IFERROR(__xludf.DUMMYFUNCTION("""COMPUTED_VALUE"""),"PORT HOPE")</f>
        <v>PORT HOPE</v>
      </c>
      <c r="D408" s="3" t="str">
        <f>IFERROR(__xludf.DUMMYFUNCTION("""COMPUTED_VALUE"""),"L1A 3V7")</f>
        <v>L1A 3V7</v>
      </c>
      <c r="E408" s="3" t="str">
        <f>IFERROR(__xludf.DUMMYFUNCTION("""COMPUTED_VALUE"""),"Rachelle Harris")</f>
        <v>Rachelle Harris</v>
      </c>
      <c r="F408" s="3"/>
      <c r="G408" s="3"/>
      <c r="H408" s="3"/>
    </row>
    <row r="409">
      <c r="A409" s="2">
        <f>IFERROR(__xludf.DUMMYFUNCTION("""COMPUTED_VALUE"""),10549.0)</f>
        <v>10549</v>
      </c>
      <c r="B409" s="3" t="str">
        <f>IFERROR(__xludf.DUMMYFUNCTION("""COMPUTED_VALUE"""),"3676 COUNTY RD 2")</f>
        <v>3676 COUNTY RD 2</v>
      </c>
      <c r="C409" s="3" t="str">
        <f>IFERROR(__xludf.DUMMYFUNCTION("""COMPUTED_VALUE"""),"PORT HOPE")</f>
        <v>PORT HOPE</v>
      </c>
      <c r="D409" s="3" t="str">
        <f>IFERROR(__xludf.DUMMYFUNCTION("""COMPUTED_VALUE"""),"L1A 3V5")</f>
        <v>L1A 3V5</v>
      </c>
      <c r="E409" s="3" t="str">
        <f>IFERROR(__xludf.DUMMYFUNCTION("""COMPUTED_VALUE"""),"Bruce Hendry ")</f>
        <v>Bruce Hendry </v>
      </c>
      <c r="F409" s="3"/>
      <c r="G409" s="3"/>
      <c r="H409" s="3"/>
    </row>
    <row r="410">
      <c r="A410" s="2">
        <f>IFERROR(__xludf.DUMMYFUNCTION("""COMPUTED_VALUE"""),10550.0)</f>
        <v>10550</v>
      </c>
      <c r="B410" s="3" t="str">
        <f>IFERROR(__xludf.DUMMYFUNCTION("""COMPUTED_VALUE"""),"3679 COUNTY RD 2")</f>
        <v>3679 COUNTY RD 2</v>
      </c>
      <c r="C410" s="3" t="str">
        <f>IFERROR(__xludf.DUMMYFUNCTION("""COMPUTED_VALUE"""),"PORT HOPE")</f>
        <v>PORT HOPE</v>
      </c>
      <c r="D410" s="3" t="str">
        <f>IFERROR(__xludf.DUMMYFUNCTION("""COMPUTED_VALUE"""),"L1A 3V5")</f>
        <v>L1A 3V5</v>
      </c>
      <c r="E410" s="3" t="str">
        <f>IFERROR(__xludf.DUMMYFUNCTION("""COMPUTED_VALUE"""),"Amanda faclem ")</f>
        <v>Amanda faclem </v>
      </c>
      <c r="F410" s="3"/>
      <c r="G410" s="3"/>
      <c r="H410" s="3"/>
    </row>
    <row r="411">
      <c r="A411" s="2">
        <f>IFERROR(__xludf.DUMMYFUNCTION("""COMPUTED_VALUE"""),10667.0)</f>
        <v>10667</v>
      </c>
      <c r="B411" s="3" t="str">
        <f>IFERROR(__xludf.DUMMYFUNCTION("""COMPUTED_VALUE"""),"3699 COUNTY RD 65")</f>
        <v>3699 COUNTY RD 65</v>
      </c>
      <c r="C411" s="3" t="str">
        <f>IFERROR(__xludf.DUMMYFUNCTION("""COMPUTED_VALUE"""),"PORT HOPE")</f>
        <v>PORT HOPE</v>
      </c>
      <c r="D411" s="3" t="str">
        <f>IFERROR(__xludf.DUMMYFUNCTION("""COMPUTED_VALUE"""),"L1A 3V7")</f>
        <v>L1A 3V7</v>
      </c>
      <c r="E411" s="3" t="str">
        <f>IFERROR(__xludf.DUMMYFUNCTION("""COMPUTED_VALUE"""),"Maryjaylanna Leardon")</f>
        <v>Maryjaylanna Leardon</v>
      </c>
      <c r="F411" s="3"/>
      <c r="G411" s="3"/>
      <c r="H411" s="3"/>
    </row>
    <row r="412">
      <c r="A412" s="2">
        <f>IFERROR(__xludf.DUMMYFUNCTION("""COMPUTED_VALUE"""),10447.0)</f>
        <v>10447</v>
      </c>
      <c r="B412" s="3" t="str">
        <f>IFERROR(__xludf.DUMMYFUNCTION("""COMPUTED_VALUE"""),"4557 COUNTY RD 10")</f>
        <v>4557 COUNTY RD 10</v>
      </c>
      <c r="C412" s="3" t="str">
        <f>IFERROR(__xludf.DUMMYFUNCTION("""COMPUTED_VALUE"""),"PORT HOPE")</f>
        <v>PORT HOPE</v>
      </c>
      <c r="D412" s="3" t="str">
        <f>IFERROR(__xludf.DUMMYFUNCTION("""COMPUTED_VALUE"""),"L1A 3V5")</f>
        <v>L1A 3V5</v>
      </c>
      <c r="E412" s="3"/>
      <c r="F412" s="3"/>
      <c r="G412" s="3"/>
      <c r="H412" s="3"/>
    </row>
    <row r="413">
      <c r="A413" s="2">
        <f>IFERROR(__xludf.DUMMYFUNCTION("""COMPUTED_VALUE"""),10668.0)</f>
        <v>10668</v>
      </c>
      <c r="B413" s="3" t="str">
        <f>IFERROR(__xludf.DUMMYFUNCTION("""COMPUTED_VALUE"""),"3720 COUNTY RD 65")</f>
        <v>3720 COUNTY RD 65</v>
      </c>
      <c r="C413" s="3" t="str">
        <f>IFERROR(__xludf.DUMMYFUNCTION("""COMPUTED_VALUE"""),"PORT HOPE")</f>
        <v>PORT HOPE</v>
      </c>
      <c r="D413" s="3" t="str">
        <f>IFERROR(__xludf.DUMMYFUNCTION("""COMPUTED_VALUE"""),"L1A 3V7")</f>
        <v>L1A 3V7</v>
      </c>
      <c r="E413" s="3"/>
      <c r="F413" s="3"/>
      <c r="G413" s="3"/>
      <c r="H413" s="3"/>
    </row>
    <row r="414">
      <c r="A414" s="2">
        <f>IFERROR(__xludf.DUMMYFUNCTION("""COMPUTED_VALUE"""),10186.0)</f>
        <v>10186</v>
      </c>
      <c r="B414" s="3" t="str">
        <f>IFERROR(__xludf.DUMMYFUNCTION("""COMPUTED_VALUE"""),"3723 7TH LINE")</f>
        <v>3723 7TH LINE</v>
      </c>
      <c r="C414" s="3" t="str">
        <f>IFERROR(__xludf.DUMMYFUNCTION("""COMPUTED_VALUE"""),"PORT HOPE")</f>
        <v>PORT HOPE</v>
      </c>
      <c r="D414" s="3" t="str">
        <f>IFERROR(__xludf.DUMMYFUNCTION("""COMPUTED_VALUE"""),"L1A 3V5")</f>
        <v>L1A 3V5</v>
      </c>
      <c r="E414" s="3" t="str">
        <f>IFERROR(__xludf.DUMMYFUNCTION("""COMPUTED_VALUE"""),"Kevin Brady")</f>
        <v>Kevin Brady</v>
      </c>
      <c r="F414" s="3" t="str">
        <f>IFERROR(__xludf.DUMMYFUNCTION("""COMPUTED_VALUE"""),"kkbrady65@live.ca")</f>
        <v>kkbrady65@live.ca</v>
      </c>
      <c r="G414" s="3"/>
      <c r="H414" s="3"/>
    </row>
    <row r="415">
      <c r="A415" s="2">
        <f>IFERROR(__xludf.DUMMYFUNCTION("""COMPUTED_VALUE"""),10187.0)</f>
        <v>10187</v>
      </c>
      <c r="B415" s="3" t="str">
        <f>IFERROR(__xludf.DUMMYFUNCTION("""COMPUTED_VALUE"""),"3748 7TH LINE")</f>
        <v>3748 7TH LINE</v>
      </c>
      <c r="C415" s="3" t="str">
        <f>IFERROR(__xludf.DUMMYFUNCTION("""COMPUTED_VALUE"""),"PORT HOPE")</f>
        <v>PORT HOPE</v>
      </c>
      <c r="D415" s="3" t="str">
        <f>IFERROR(__xludf.DUMMYFUNCTION("""COMPUTED_VALUE"""),"L1A 3V5")</f>
        <v>L1A 3V5</v>
      </c>
      <c r="E415" s="3"/>
      <c r="F415" s="3"/>
      <c r="G415" s="3"/>
      <c r="H415" s="3"/>
    </row>
    <row r="416">
      <c r="A416" s="2">
        <f>IFERROR(__xludf.DUMMYFUNCTION("""COMPUTED_VALUE"""),10620.0)</f>
        <v>10620</v>
      </c>
      <c r="B416" s="3" t="str">
        <f>IFERROR(__xludf.DUMMYFUNCTION("""COMPUTED_VALUE"""),"3786 COUNTY RD 28")</f>
        <v>3786 COUNTY RD 28</v>
      </c>
      <c r="C416" s="3" t="str">
        <f>IFERROR(__xludf.DUMMYFUNCTION("""COMPUTED_VALUE"""),"PORT HOPE")</f>
        <v>PORT HOPE</v>
      </c>
      <c r="D416" s="3" t="str">
        <f>IFERROR(__xludf.DUMMYFUNCTION("""COMPUTED_VALUE"""),"L1A 3V6")</f>
        <v>L1A 3V6</v>
      </c>
      <c r="E416" s="3" t="str">
        <f>IFERROR(__xludf.DUMMYFUNCTION("""COMPUTED_VALUE"""),"jared vandorp")</f>
        <v>jared vandorp</v>
      </c>
      <c r="F416" s="3" t="str">
        <f>IFERROR(__xludf.DUMMYFUNCTION("""COMPUTED_VALUE"""),"jvandorp@hotmail.com")</f>
        <v>jvandorp@hotmail.com</v>
      </c>
      <c r="G416" s="3"/>
      <c r="H416" s="3"/>
    </row>
    <row r="417">
      <c r="A417" s="2">
        <f>IFERROR(__xludf.DUMMYFUNCTION("""COMPUTED_VALUE"""),10551.0)</f>
        <v>10551</v>
      </c>
      <c r="B417" s="3" t="str">
        <f>IFERROR(__xludf.DUMMYFUNCTION("""COMPUTED_VALUE"""),"3803 COUNTY RD 2")</f>
        <v>3803 COUNTY RD 2</v>
      </c>
      <c r="C417" s="3" t="str">
        <f>IFERROR(__xludf.DUMMYFUNCTION("""COMPUTED_VALUE"""),"PORT HOPE")</f>
        <v>PORT HOPE</v>
      </c>
      <c r="D417" s="3" t="str">
        <f>IFERROR(__xludf.DUMMYFUNCTION("""COMPUTED_VALUE"""),"L1A 3V5")</f>
        <v>L1A 3V5</v>
      </c>
      <c r="E417" s="3" t="str">
        <f>IFERROR(__xludf.DUMMYFUNCTION("""COMPUTED_VALUE"""),"Nicole L Beckett")</f>
        <v>Nicole L Beckett</v>
      </c>
      <c r="F417" s="3" t="str">
        <f>IFERROR(__xludf.DUMMYFUNCTION("""COMPUTED_VALUE"""),"beckettn73@gmail.com")</f>
        <v>beckettn73@gmail.com</v>
      </c>
      <c r="G417" s="3"/>
      <c r="H417" s="3"/>
    </row>
    <row r="418">
      <c r="A418" s="2">
        <f>IFERROR(__xludf.DUMMYFUNCTION("""COMPUTED_VALUE"""),10552.0)</f>
        <v>10552</v>
      </c>
      <c r="B418" s="3" t="str">
        <f>IFERROR(__xludf.DUMMYFUNCTION("""COMPUTED_VALUE"""),"3825 COUNTY RD 2")</f>
        <v>3825 COUNTY RD 2</v>
      </c>
      <c r="C418" s="3" t="str">
        <f>IFERROR(__xludf.DUMMYFUNCTION("""COMPUTED_VALUE"""),"PORT HOPE")</f>
        <v>PORT HOPE</v>
      </c>
      <c r="D418" s="3" t="str">
        <f>IFERROR(__xludf.DUMMYFUNCTION("""COMPUTED_VALUE"""),"L1A 3V5")</f>
        <v>L1A 3V5</v>
      </c>
      <c r="E418" s="3" t="str">
        <f>IFERROR(__xludf.DUMMYFUNCTION("""COMPUTED_VALUE"""),"Keira Beckett")</f>
        <v>Keira Beckett</v>
      </c>
      <c r="F418" s="3" t="str">
        <f>IFERROR(__xludf.DUMMYFUNCTION("""COMPUTED_VALUE"""),"keira.beckett@hotmail.ca")</f>
        <v>keira.beckett@hotmail.ca</v>
      </c>
      <c r="G418" s="3"/>
      <c r="H418" s="3"/>
    </row>
    <row r="419">
      <c r="A419" s="2">
        <f>IFERROR(__xludf.DUMMYFUNCTION("""COMPUTED_VALUE"""),10786.0)</f>
        <v>10786</v>
      </c>
      <c r="B419" s="3" t="str">
        <f>IFERROR(__xludf.DUMMYFUNCTION("""COMPUTED_VALUE"""),"3826 DEER PARK RD")</f>
        <v>3826 DEER PARK RD</v>
      </c>
      <c r="C419" s="3" t="str">
        <f>IFERROR(__xludf.DUMMYFUNCTION("""COMPUTED_VALUE"""),"PORT HOPE")</f>
        <v>PORT HOPE</v>
      </c>
      <c r="D419" s="3" t="str">
        <f>IFERROR(__xludf.DUMMYFUNCTION("""COMPUTED_VALUE"""),"L1A 3V7")</f>
        <v>L1A 3V7</v>
      </c>
      <c r="E419" s="3"/>
      <c r="F419" s="3"/>
      <c r="G419" s="3"/>
      <c r="H419" s="3"/>
    </row>
    <row r="420">
      <c r="A420" s="2">
        <f>IFERROR(__xludf.DUMMYFUNCTION("""COMPUTED_VALUE"""),10553.0)</f>
        <v>10553</v>
      </c>
      <c r="B420" s="3" t="str">
        <f>IFERROR(__xludf.DUMMYFUNCTION("""COMPUTED_VALUE"""),"3859 COUNTY RD 2")</f>
        <v>3859 COUNTY RD 2</v>
      </c>
      <c r="C420" s="3" t="str">
        <f>IFERROR(__xludf.DUMMYFUNCTION("""COMPUTED_VALUE"""),"PORT HOPE")</f>
        <v>PORT HOPE</v>
      </c>
      <c r="D420" s="3" t="str">
        <f>IFERROR(__xludf.DUMMYFUNCTION("""COMPUTED_VALUE"""),"L1A 3V5")</f>
        <v>L1A 3V5</v>
      </c>
      <c r="E420" s="3" t="str">
        <f>IFERROR(__xludf.DUMMYFUNCTION("""COMPUTED_VALUE"""),"Steven Brooking")</f>
        <v>Steven Brooking</v>
      </c>
      <c r="F420" s="3" t="str">
        <f>IFERROR(__xludf.DUMMYFUNCTION("""COMPUTED_VALUE"""),"throttlesteve@hotmail.com")</f>
        <v>throttlesteve@hotmail.com</v>
      </c>
      <c r="G420" s="3"/>
      <c r="H420" s="3"/>
    </row>
    <row r="421">
      <c r="A421" s="2">
        <f>IFERROR(__xludf.DUMMYFUNCTION("""COMPUTED_VALUE"""),10554.0)</f>
        <v>10554</v>
      </c>
      <c r="B421" s="3" t="str">
        <f>IFERROR(__xludf.DUMMYFUNCTION("""COMPUTED_VALUE"""),"3864 COUNTY RD 2")</f>
        <v>3864 COUNTY RD 2</v>
      </c>
      <c r="C421" s="3" t="str">
        <f>IFERROR(__xludf.DUMMYFUNCTION("""COMPUTED_VALUE"""),"PORT HOPE")</f>
        <v>PORT HOPE</v>
      </c>
      <c r="D421" s="3" t="str">
        <f>IFERROR(__xludf.DUMMYFUNCTION("""COMPUTED_VALUE"""),"L1A 3V5")</f>
        <v>L1A 3V5</v>
      </c>
      <c r="E421" s="3"/>
      <c r="F421" s="3"/>
      <c r="G421" s="3"/>
      <c r="H421" s="3"/>
    </row>
    <row r="422">
      <c r="A422" s="2">
        <f>IFERROR(__xludf.DUMMYFUNCTION("""COMPUTED_VALUE"""),10555.0)</f>
        <v>10555</v>
      </c>
      <c r="B422" s="3" t="str">
        <f>IFERROR(__xludf.DUMMYFUNCTION("""COMPUTED_VALUE"""),"3865 COUNTY RD 2")</f>
        <v>3865 COUNTY RD 2</v>
      </c>
      <c r="C422" s="3" t="str">
        <f>IFERROR(__xludf.DUMMYFUNCTION("""COMPUTED_VALUE"""),"PORT HOPE")</f>
        <v>PORT HOPE</v>
      </c>
      <c r="D422" s="3" t="str">
        <f>IFERROR(__xludf.DUMMYFUNCTION("""COMPUTED_VALUE"""),"L1A 3V5")</f>
        <v>L1A 3V5</v>
      </c>
      <c r="E422" s="3" t="str">
        <f>IFERROR(__xludf.DUMMYFUNCTION("""COMPUTED_VALUE"""),"Nicole Bryant")</f>
        <v>Nicole Bryant</v>
      </c>
      <c r="F422" s="3" t="str">
        <f>IFERROR(__xludf.DUMMYFUNCTION("""COMPUTED_VALUE"""),"nikib28@hotmail.com")</f>
        <v>nikib28@hotmail.com</v>
      </c>
      <c r="G422" s="3"/>
      <c r="H422" s="3"/>
    </row>
    <row r="423">
      <c r="A423" s="2">
        <f>IFERROR(__xludf.DUMMYFUNCTION("""COMPUTED_VALUE"""),10040.0)</f>
        <v>10040</v>
      </c>
      <c r="B423" s="3" t="str">
        <f>IFERROR(__xludf.DUMMYFUNCTION("""COMPUTED_VALUE"""),"3878 4TH LINE")</f>
        <v>3878 4TH LINE</v>
      </c>
      <c r="C423" s="3" t="str">
        <f>IFERROR(__xludf.DUMMYFUNCTION("""COMPUTED_VALUE"""),"PORT HOPE")</f>
        <v>PORT HOPE</v>
      </c>
      <c r="D423" s="3" t="str">
        <f>IFERROR(__xludf.DUMMYFUNCTION("""COMPUTED_VALUE"""),"L1A 3V7")</f>
        <v>L1A 3V7</v>
      </c>
      <c r="E423" s="3" t="str">
        <f>IFERROR(__xludf.DUMMYFUNCTION("""COMPUTED_VALUE"""),"deborah m. frosst ")</f>
        <v>deborah m. frosst </v>
      </c>
      <c r="F423" s="3"/>
      <c r="G423" s="3"/>
      <c r="H423" s="3"/>
    </row>
    <row r="424">
      <c r="A424" s="2">
        <f>IFERROR(__xludf.DUMMYFUNCTION("""COMPUTED_VALUE"""),11021.0)</f>
        <v>11021</v>
      </c>
      <c r="B424" s="3" t="str">
        <f>IFERROR(__xludf.DUMMYFUNCTION("""COMPUTED_VALUE"""),"3886 KELLOGG RD")</f>
        <v>3886 KELLOGG RD</v>
      </c>
      <c r="C424" s="3" t="str">
        <f>IFERROR(__xludf.DUMMYFUNCTION("""COMPUTED_VALUE"""),"PORT HOPE")</f>
        <v>PORT HOPE</v>
      </c>
      <c r="D424" s="3" t="str">
        <f>IFERROR(__xludf.DUMMYFUNCTION("""COMPUTED_VALUE"""),"L1A 3V7")</f>
        <v>L1A 3V7</v>
      </c>
      <c r="E424" s="3" t="str">
        <f>IFERROR(__xludf.DUMMYFUNCTION("""COMPUTED_VALUE"""),"Michelle Currelly")</f>
        <v>Michelle Currelly</v>
      </c>
      <c r="F424" s="3" t="str">
        <f>IFERROR(__xludf.DUMMYFUNCTION("""COMPUTED_VALUE"""),"jrcurrelly@hotmail.com")</f>
        <v>jrcurrelly@hotmail.com</v>
      </c>
      <c r="G424" s="3"/>
      <c r="H424" s="3"/>
    </row>
    <row r="425">
      <c r="A425" s="2">
        <f>IFERROR(__xludf.DUMMYFUNCTION("""COMPUTED_VALUE"""),10669.0)</f>
        <v>10669</v>
      </c>
      <c r="B425" s="3" t="str">
        <f>IFERROR(__xludf.DUMMYFUNCTION("""COMPUTED_VALUE"""),"3911 COUNTY RD 65")</f>
        <v>3911 COUNTY RD 65</v>
      </c>
      <c r="C425" s="3" t="str">
        <f>IFERROR(__xludf.DUMMYFUNCTION("""COMPUTED_VALUE"""),"PORT HOPE")</f>
        <v>PORT HOPE</v>
      </c>
      <c r="D425" s="3" t="str">
        <f>IFERROR(__xludf.DUMMYFUNCTION("""COMPUTED_VALUE"""),"L1A 3V7")</f>
        <v>L1A 3V7</v>
      </c>
      <c r="E425" s="3" t="str">
        <f>IFERROR(__xludf.DUMMYFUNCTION("""COMPUTED_VALUE"""),"John &amp; Peggy Graham")</f>
        <v>John &amp; Peggy Graham</v>
      </c>
      <c r="F425" s="3" t="str">
        <f>IFERROR(__xludf.DUMMYFUNCTION("""COMPUTED_VALUE"""),"grahampbc@hotmail.com")</f>
        <v>grahampbc@hotmail.com</v>
      </c>
      <c r="G425" s="3"/>
      <c r="H425" s="3"/>
    </row>
    <row r="426">
      <c r="A426" s="2">
        <f>IFERROR(__xludf.DUMMYFUNCTION("""COMPUTED_VALUE"""),10670.0)</f>
        <v>10670</v>
      </c>
      <c r="B426" s="3" t="str">
        <f>IFERROR(__xludf.DUMMYFUNCTION("""COMPUTED_VALUE"""),"3920 COUNTY RD 65")</f>
        <v>3920 COUNTY RD 65</v>
      </c>
      <c r="C426" s="3" t="str">
        <f>IFERROR(__xludf.DUMMYFUNCTION("""COMPUTED_VALUE"""),"PORT HOPE")</f>
        <v>PORT HOPE</v>
      </c>
      <c r="D426" s="3" t="str">
        <f>IFERROR(__xludf.DUMMYFUNCTION("""COMPUTED_VALUE"""),"L1A 3V7")</f>
        <v>L1A 3V7</v>
      </c>
      <c r="E426" s="3"/>
      <c r="F426" s="3"/>
      <c r="G426" s="3"/>
      <c r="H426" s="3"/>
    </row>
    <row r="427">
      <c r="A427" s="2">
        <f>IFERROR(__xludf.DUMMYFUNCTION("""COMPUTED_VALUE"""),10621.0)</f>
        <v>10621</v>
      </c>
      <c r="B427" s="3" t="str">
        <f>IFERROR(__xludf.DUMMYFUNCTION("""COMPUTED_VALUE"""),"3923 COUNTY RD 28")</f>
        <v>3923 COUNTY RD 28</v>
      </c>
      <c r="C427" s="3" t="str">
        <f>IFERROR(__xludf.DUMMYFUNCTION("""COMPUTED_VALUE"""),"PORT HOPE")</f>
        <v>PORT HOPE</v>
      </c>
      <c r="D427" s="3" t="str">
        <f>IFERROR(__xludf.DUMMYFUNCTION("""COMPUTED_VALUE"""),"L1A 3V6")</f>
        <v>L1A 3V6</v>
      </c>
      <c r="E427" s="3"/>
      <c r="F427" s="3"/>
      <c r="G427" s="3"/>
      <c r="H427" s="3"/>
    </row>
    <row r="428">
      <c r="A428" s="2">
        <f>IFERROR(__xludf.DUMMYFUNCTION("""COMPUTED_VALUE"""),11257.0)</f>
        <v>11257</v>
      </c>
      <c r="B428" s="3" t="str">
        <f>IFERROR(__xludf.DUMMYFUNCTION("""COMPUTED_VALUE"""),"3938 MORRISH CHURCH RD")</f>
        <v>3938 MORRISH CHURCH RD</v>
      </c>
      <c r="C428" s="3" t="str">
        <f>IFERROR(__xludf.DUMMYFUNCTION("""COMPUTED_VALUE"""),"PORT HOPE")</f>
        <v>PORT HOPE</v>
      </c>
      <c r="D428" s="3" t="str">
        <f>IFERROR(__xludf.DUMMYFUNCTION("""COMPUTED_VALUE"""),"L1A 3V7")</f>
        <v>L1A 3V7</v>
      </c>
      <c r="E428" s="3" t="str">
        <f>IFERROR(__xludf.DUMMYFUNCTION("""COMPUTED_VALUE"""),"fanny ouyang")</f>
        <v>fanny ouyang</v>
      </c>
      <c r="F428" s="3" t="str">
        <f>IFERROR(__xludf.DUMMYFUNCTION("""COMPUTED_VALUE"""),"gfanny0804@hotmail.com")</f>
        <v>gfanny0804@hotmail.com</v>
      </c>
      <c r="G428" s="3"/>
      <c r="H428" s="3"/>
    </row>
    <row r="429">
      <c r="A429" s="2">
        <f>IFERROR(__xludf.DUMMYFUNCTION("""COMPUTED_VALUE"""),11258.0)</f>
        <v>11258</v>
      </c>
      <c r="B429" s="3" t="str">
        <f>IFERROR(__xludf.DUMMYFUNCTION("""COMPUTED_VALUE"""),"3941 MORRISH CHURCH RD")</f>
        <v>3941 MORRISH CHURCH RD</v>
      </c>
      <c r="C429" s="3" t="str">
        <f>IFERROR(__xludf.DUMMYFUNCTION("""COMPUTED_VALUE"""),"PORT HOPE")</f>
        <v>PORT HOPE</v>
      </c>
      <c r="D429" s="3" t="str">
        <f>IFERROR(__xludf.DUMMYFUNCTION("""COMPUTED_VALUE"""),"L1A 3V7")</f>
        <v>L1A 3V7</v>
      </c>
      <c r="E429" s="3" t="str">
        <f>IFERROR(__xludf.DUMMYFUNCTION("""COMPUTED_VALUE"""),"Douglas Millson")</f>
        <v>Douglas Millson</v>
      </c>
      <c r="F429" s="3"/>
      <c r="G429" s="3"/>
      <c r="H429" s="3"/>
    </row>
    <row r="430">
      <c r="A430" s="2">
        <f>IFERROR(__xludf.DUMMYFUNCTION("""COMPUTED_VALUE"""),11587.0)</f>
        <v>11587</v>
      </c>
      <c r="B430" s="3" t="str">
        <f>IFERROR(__xludf.DUMMYFUNCTION("""COMPUTED_VALUE"""),"3948 ZION RD")</f>
        <v>3948 ZION RD</v>
      </c>
      <c r="C430" s="3" t="str">
        <f>IFERROR(__xludf.DUMMYFUNCTION("""COMPUTED_VALUE"""),"PORT HOPE")</f>
        <v>PORT HOPE</v>
      </c>
      <c r="D430" s="3" t="str">
        <f>IFERROR(__xludf.DUMMYFUNCTION("""COMPUTED_VALUE"""),"L1A 3V7")</f>
        <v>L1A 3V7</v>
      </c>
      <c r="E430" s="3" t="str">
        <f>IFERROR(__xludf.DUMMYFUNCTION("""COMPUTED_VALUE"""),"Jeff Henry ")</f>
        <v>Jeff Henry </v>
      </c>
      <c r="F430" s="3" t="str">
        <f>IFERROR(__xludf.DUMMYFUNCTION("""COMPUTED_VALUE"""),"Jeffonzion@gmail.com")</f>
        <v>Jeffonzion@gmail.com</v>
      </c>
      <c r="G430" s="3"/>
      <c r="H430" s="3"/>
    </row>
    <row r="431">
      <c r="A431" s="2">
        <f>IFERROR(__xludf.DUMMYFUNCTION("""COMPUTED_VALUE"""),10556.0)</f>
        <v>10556</v>
      </c>
      <c r="B431" s="3" t="str">
        <f>IFERROR(__xludf.DUMMYFUNCTION("""COMPUTED_VALUE"""),"3966 COUNTY RD 2")</f>
        <v>3966 COUNTY RD 2</v>
      </c>
      <c r="C431" s="3" t="str">
        <f>IFERROR(__xludf.DUMMYFUNCTION("""COMPUTED_VALUE"""),"PORT HOPE")</f>
        <v>PORT HOPE</v>
      </c>
      <c r="D431" s="3" t="str">
        <f>IFERROR(__xludf.DUMMYFUNCTION("""COMPUTED_VALUE"""),"L1A 3V5")</f>
        <v>L1A 3V5</v>
      </c>
      <c r="E431" s="3" t="str">
        <f>IFERROR(__xludf.DUMMYFUNCTION("""COMPUTED_VALUE"""),"Charlene bowman")</f>
        <v>Charlene bowman</v>
      </c>
      <c r="F431" s="3"/>
      <c r="G431" s="3"/>
      <c r="H431" s="3"/>
    </row>
    <row r="432">
      <c r="A432" s="2">
        <f>IFERROR(__xludf.DUMMYFUNCTION("""COMPUTED_VALUE"""),10622.0)</f>
        <v>10622</v>
      </c>
      <c r="B432" s="3" t="str">
        <f>IFERROR(__xludf.DUMMYFUNCTION("""COMPUTED_VALUE"""),"3995 COUNTY RD 28")</f>
        <v>3995 COUNTY RD 28</v>
      </c>
      <c r="C432" s="3" t="str">
        <f>IFERROR(__xludf.DUMMYFUNCTION("""COMPUTED_VALUE"""),"PORT HOPE")</f>
        <v>PORT HOPE</v>
      </c>
      <c r="D432" s="3" t="str">
        <f>IFERROR(__xludf.DUMMYFUNCTION("""COMPUTED_VALUE"""),"L1A 3V6")</f>
        <v>L1A 3V6</v>
      </c>
      <c r="E432" s="3" t="str">
        <f>IFERROR(__xludf.DUMMYFUNCTION("""COMPUTED_VALUE"""),"myron vaz")</f>
        <v>myron vaz</v>
      </c>
      <c r="F432" s="3" t="str">
        <f>IFERROR(__xludf.DUMMYFUNCTION("""COMPUTED_VALUE"""),"myronvaz4@gmail.com")</f>
        <v>myronvaz4@gmail.com</v>
      </c>
      <c r="G432" s="3"/>
      <c r="H432" s="3"/>
    </row>
    <row r="433">
      <c r="A433" s="2">
        <f>IFERROR(__xludf.DUMMYFUNCTION("""COMPUTED_VALUE"""),11300.0)</f>
        <v>11300</v>
      </c>
      <c r="B433" s="3" t="str">
        <f>IFERROR(__xludf.DUMMYFUNCTION("""COMPUTED_VALUE"""),"4004 PELMO PARK DR")</f>
        <v>4004 PELMO PARK DR</v>
      </c>
      <c r="C433" s="3" t="str">
        <f>IFERROR(__xludf.DUMMYFUNCTION("""COMPUTED_VALUE"""),"PORT HOPE")</f>
        <v>PORT HOPE</v>
      </c>
      <c r="D433" s="3" t="str">
        <f>IFERROR(__xludf.DUMMYFUNCTION("""COMPUTED_VALUE"""),"L1A 3V5")</f>
        <v>L1A 3V5</v>
      </c>
      <c r="E433" s="3" t="str">
        <f>IFERROR(__xludf.DUMMYFUNCTION("""COMPUTED_VALUE"""),"Steve Disney")</f>
        <v>Steve Disney</v>
      </c>
      <c r="F433" s="3" t="str">
        <f>IFERROR(__xludf.DUMMYFUNCTION("""COMPUTED_VALUE"""),"disneyappraisals@gmail.com")</f>
        <v>disneyappraisals@gmail.com</v>
      </c>
      <c r="G433" s="3"/>
      <c r="H433" s="3"/>
    </row>
    <row r="434">
      <c r="A434" s="2">
        <f>IFERROR(__xludf.DUMMYFUNCTION("""COMPUTED_VALUE"""),11301.0)</f>
        <v>11301</v>
      </c>
      <c r="B434" s="3" t="str">
        <f>IFERROR(__xludf.DUMMYFUNCTION("""COMPUTED_VALUE"""),"4005 PELMO PARK DR")</f>
        <v>4005 PELMO PARK DR</v>
      </c>
      <c r="C434" s="3" t="str">
        <f>IFERROR(__xludf.DUMMYFUNCTION("""COMPUTED_VALUE"""),"PORT HOPE")</f>
        <v>PORT HOPE</v>
      </c>
      <c r="D434" s="3" t="str">
        <f>IFERROR(__xludf.DUMMYFUNCTION("""COMPUTED_VALUE"""),"L1A 3V5")</f>
        <v>L1A 3V5</v>
      </c>
      <c r="E434" s="3" t="str">
        <f>IFERROR(__xludf.DUMMYFUNCTION("""COMPUTED_VALUE"""),"Nicole Burch")</f>
        <v>Nicole Burch</v>
      </c>
      <c r="F434" s="3" t="str">
        <f>IFERROR(__xludf.DUMMYFUNCTION("""COMPUTED_VALUE"""),"nicoleburchrm@gmail.com")</f>
        <v>nicoleburchrm@gmail.com</v>
      </c>
      <c r="G434" s="3"/>
      <c r="H434" s="3"/>
    </row>
    <row r="435">
      <c r="A435" s="2">
        <f>IFERROR(__xludf.DUMMYFUNCTION("""COMPUTED_VALUE"""),11302.0)</f>
        <v>11302</v>
      </c>
      <c r="B435" s="3" t="str">
        <f>IFERROR(__xludf.DUMMYFUNCTION("""COMPUTED_VALUE"""),"4010 PELMO PARK DR")</f>
        <v>4010 PELMO PARK DR</v>
      </c>
      <c r="C435" s="3" t="str">
        <f>IFERROR(__xludf.DUMMYFUNCTION("""COMPUTED_VALUE"""),"PORT HOPE")</f>
        <v>PORT HOPE</v>
      </c>
      <c r="D435" s="3" t="str">
        <f>IFERROR(__xludf.DUMMYFUNCTION("""COMPUTED_VALUE"""),"L1A 3V5")</f>
        <v>L1A 3V5</v>
      </c>
      <c r="E435" s="3" t="str">
        <f>IFERROR(__xludf.DUMMYFUNCTION("""COMPUTED_VALUE"""),"murray finalayson")</f>
        <v>murray finalayson</v>
      </c>
      <c r="F435" s="3" t="str">
        <f>IFERROR(__xludf.DUMMYFUNCTION("""COMPUTED_VALUE"""),"murray.finlayson43@gmail.com")</f>
        <v>murray.finlayson43@gmail.com</v>
      </c>
      <c r="G435" s="3"/>
      <c r="H435" s="3"/>
    </row>
    <row r="436">
      <c r="A436" s="2">
        <f>IFERROR(__xludf.DUMMYFUNCTION("""COMPUTED_VALUE"""),11303.0)</f>
        <v>11303</v>
      </c>
      <c r="B436" s="3" t="str">
        <f>IFERROR(__xludf.DUMMYFUNCTION("""COMPUTED_VALUE"""),"4011 PELMO PARK DR")</f>
        <v>4011 PELMO PARK DR</v>
      </c>
      <c r="C436" s="3" t="str">
        <f>IFERROR(__xludf.DUMMYFUNCTION("""COMPUTED_VALUE"""),"PORT HOPE")</f>
        <v>PORT HOPE</v>
      </c>
      <c r="D436" s="3" t="str">
        <f>IFERROR(__xludf.DUMMYFUNCTION("""COMPUTED_VALUE"""),"L1A 3V5")</f>
        <v>L1A 3V5</v>
      </c>
      <c r="E436" s="3" t="str">
        <f>IFERROR(__xludf.DUMMYFUNCTION("""COMPUTED_VALUE"""),"Mark Loster")</f>
        <v>Mark Loster</v>
      </c>
      <c r="F436" s="3" t="str">
        <f>IFERROR(__xludf.DUMMYFUNCTION("""COMPUTED_VALUE"""),"manna_loster@hotmail.com")</f>
        <v>manna_loster@hotmail.com</v>
      </c>
      <c r="G436" s="3"/>
      <c r="H436" s="3"/>
    </row>
    <row r="437">
      <c r="A437" s="2">
        <f>IFERROR(__xludf.DUMMYFUNCTION("""COMPUTED_VALUE"""),11304.0)</f>
        <v>11304</v>
      </c>
      <c r="B437" s="3" t="str">
        <f>IFERROR(__xludf.DUMMYFUNCTION("""COMPUTED_VALUE"""),"4016 PELMO PARK DR")</f>
        <v>4016 PELMO PARK DR</v>
      </c>
      <c r="C437" s="3" t="str">
        <f>IFERROR(__xludf.DUMMYFUNCTION("""COMPUTED_VALUE"""),"PORT HOPE")</f>
        <v>PORT HOPE</v>
      </c>
      <c r="D437" s="3" t="str">
        <f>IFERROR(__xludf.DUMMYFUNCTION("""COMPUTED_VALUE"""),"L1A 3V5")</f>
        <v>L1A 3V5</v>
      </c>
      <c r="E437" s="3" t="str">
        <f>IFERROR(__xludf.DUMMYFUNCTION("""COMPUTED_VALUE"""),"Amy Whitby")</f>
        <v>Amy Whitby</v>
      </c>
      <c r="F437" s="3" t="str">
        <f>IFERROR(__xludf.DUMMYFUNCTION("""COMPUTED_VALUE"""),"amycochrane7@gmail.com")</f>
        <v>amycochrane7@gmail.com</v>
      </c>
      <c r="G437" s="3"/>
      <c r="H437" s="3"/>
    </row>
    <row r="438">
      <c r="A438" s="2">
        <f>IFERROR(__xludf.DUMMYFUNCTION("""COMPUTED_VALUE"""),11305.0)</f>
        <v>11305</v>
      </c>
      <c r="B438" s="3" t="str">
        <f>IFERROR(__xludf.DUMMYFUNCTION("""COMPUTED_VALUE"""),"4017 PELMO PARK DR")</f>
        <v>4017 PELMO PARK DR</v>
      </c>
      <c r="C438" s="3" t="str">
        <f>IFERROR(__xludf.DUMMYFUNCTION("""COMPUTED_VALUE"""),"PORT HOPE")</f>
        <v>PORT HOPE</v>
      </c>
      <c r="D438" s="3" t="str">
        <f>IFERROR(__xludf.DUMMYFUNCTION("""COMPUTED_VALUE"""),"L1A 3V5")</f>
        <v>L1A 3V5</v>
      </c>
      <c r="E438" s="3" t="str">
        <f>IFERROR(__xludf.DUMMYFUNCTION("""COMPUTED_VALUE"""),"Sally Durante")</f>
        <v>Sally Durante</v>
      </c>
      <c r="F438" s="3" t="str">
        <f>IFERROR(__xludf.DUMMYFUNCTION("""COMPUTED_VALUE"""),"sallyd57@gmail.com")</f>
        <v>sallyd57@gmail.com</v>
      </c>
      <c r="G438" s="3"/>
      <c r="H438" s="3"/>
    </row>
    <row r="439">
      <c r="A439" s="2">
        <f>IFERROR(__xludf.DUMMYFUNCTION("""COMPUTED_VALUE"""),11306.0)</f>
        <v>11306</v>
      </c>
      <c r="B439" s="3" t="str">
        <f>IFERROR(__xludf.DUMMYFUNCTION("""COMPUTED_VALUE"""),"4023 PELMO PARK DR")</f>
        <v>4023 PELMO PARK DR</v>
      </c>
      <c r="C439" s="3" t="str">
        <f>IFERROR(__xludf.DUMMYFUNCTION("""COMPUTED_VALUE"""),"PORT HOPE")</f>
        <v>PORT HOPE</v>
      </c>
      <c r="D439" s="3" t="str">
        <f>IFERROR(__xludf.DUMMYFUNCTION("""COMPUTED_VALUE"""),"L1A 3V5")</f>
        <v>L1A 3V5</v>
      </c>
      <c r="E439" s="3" t="str">
        <f>IFERROR(__xludf.DUMMYFUNCTION("""COMPUTED_VALUE"""),"Wayne Lawrie")</f>
        <v>Wayne Lawrie</v>
      </c>
      <c r="F439" s="3" t="str">
        <f>IFERROR(__xludf.DUMMYFUNCTION("""COMPUTED_VALUE"""),"lawrie4645@gmail.com")</f>
        <v>lawrie4645@gmail.com</v>
      </c>
      <c r="G439" s="3"/>
      <c r="H439" s="3"/>
    </row>
    <row r="440">
      <c r="A440" s="2">
        <f>IFERROR(__xludf.DUMMYFUNCTION("""COMPUTED_VALUE"""),11307.0)</f>
        <v>11307</v>
      </c>
      <c r="B440" s="3" t="str">
        <f>IFERROR(__xludf.DUMMYFUNCTION("""COMPUTED_VALUE"""),"4026 PELMO PARK DR")</f>
        <v>4026 PELMO PARK DR</v>
      </c>
      <c r="C440" s="3" t="str">
        <f>IFERROR(__xludf.DUMMYFUNCTION("""COMPUTED_VALUE"""),"PORT HOPE")</f>
        <v>PORT HOPE</v>
      </c>
      <c r="D440" s="3" t="str">
        <f>IFERROR(__xludf.DUMMYFUNCTION("""COMPUTED_VALUE"""),"L1A 3V5")</f>
        <v>L1A 3V5</v>
      </c>
      <c r="E440" s="3" t="str">
        <f>IFERROR(__xludf.DUMMYFUNCTION("""COMPUTED_VALUE"""),"Steve Rypstra")</f>
        <v>Steve Rypstra</v>
      </c>
      <c r="F440" s="3" t="str">
        <f>IFERROR(__xludf.DUMMYFUNCTION("""COMPUTED_VALUE"""),"steve.rypstra@icloud.com")</f>
        <v>steve.rypstra@icloud.com</v>
      </c>
      <c r="G440" s="3"/>
      <c r="H440" s="3"/>
    </row>
    <row r="441">
      <c r="A441" s="2">
        <f>IFERROR(__xludf.DUMMYFUNCTION("""COMPUTED_VALUE"""),10448.0)</f>
        <v>10448</v>
      </c>
      <c r="B441" s="3" t="str">
        <f>IFERROR(__xludf.DUMMYFUNCTION("""COMPUTED_VALUE"""),"4558 COUNTY RD 10")</f>
        <v>4558 COUNTY RD 10</v>
      </c>
      <c r="C441" s="3" t="str">
        <f>IFERROR(__xludf.DUMMYFUNCTION("""COMPUTED_VALUE"""),"PORT HOPE")</f>
        <v>PORT HOPE</v>
      </c>
      <c r="D441" s="3" t="str">
        <f>IFERROR(__xludf.DUMMYFUNCTION("""COMPUTED_VALUE"""),"L1A 3V5")</f>
        <v>L1A 3V5</v>
      </c>
      <c r="E441" s="3" t="str">
        <f>IFERROR(__xludf.DUMMYFUNCTION("""COMPUTED_VALUE"""),"Will Ryan ")</f>
        <v>Will Ryan </v>
      </c>
      <c r="F441" s="3" t="str">
        <f>IFERROR(__xludf.DUMMYFUNCTION("""COMPUTED_VALUE"""),"jennieryan@icloud.com")</f>
        <v>jennieryan@icloud.com</v>
      </c>
      <c r="G441" s="3"/>
      <c r="H441" s="3"/>
    </row>
    <row r="442">
      <c r="A442" s="2">
        <f>IFERROR(__xludf.DUMMYFUNCTION("""COMPUTED_VALUE"""),10188.0)</f>
        <v>10188</v>
      </c>
      <c r="B442" s="3" t="str">
        <f>IFERROR(__xludf.DUMMYFUNCTION("""COMPUTED_VALUE"""),"4029 7TH LINE")</f>
        <v>4029 7TH LINE</v>
      </c>
      <c r="C442" s="3" t="str">
        <f>IFERROR(__xludf.DUMMYFUNCTION("""COMPUTED_VALUE"""),"PORT HOPE")</f>
        <v>PORT HOPE</v>
      </c>
      <c r="D442" s="3" t="str">
        <f>IFERROR(__xludf.DUMMYFUNCTION("""COMPUTED_VALUE"""),"L1A 3V5")</f>
        <v>L1A 3V5</v>
      </c>
      <c r="E442" s="3" t="str">
        <f>IFERROR(__xludf.DUMMYFUNCTION("""COMPUTED_VALUE"""),"peter reitkneckt")</f>
        <v>peter reitkneckt</v>
      </c>
      <c r="F442" s="3"/>
      <c r="G442" s="3"/>
      <c r="H442" s="3"/>
    </row>
    <row r="443">
      <c r="A443" s="2">
        <f>IFERROR(__xludf.DUMMYFUNCTION("""COMPUTED_VALUE"""),11308.0)</f>
        <v>11308</v>
      </c>
      <c r="B443" s="3" t="str">
        <f>IFERROR(__xludf.DUMMYFUNCTION("""COMPUTED_VALUE"""),"4029 PELMO PARK DR")</f>
        <v>4029 PELMO PARK DR</v>
      </c>
      <c r="C443" s="3" t="str">
        <f>IFERROR(__xludf.DUMMYFUNCTION("""COMPUTED_VALUE"""),"PORT HOPE")</f>
        <v>PORT HOPE</v>
      </c>
      <c r="D443" s="3" t="str">
        <f>IFERROR(__xludf.DUMMYFUNCTION("""COMPUTED_VALUE"""),"L1A 3V5")</f>
        <v>L1A 3V5</v>
      </c>
      <c r="E443" s="3" t="str">
        <f>IFERROR(__xludf.DUMMYFUNCTION("""COMPUTED_VALUE"""),"Gerald Veleke")</f>
        <v>Gerald Veleke</v>
      </c>
      <c r="F443" s="3" t="str">
        <f>IFERROR(__xludf.DUMMYFUNCTION("""COMPUTED_VALUE"""),"lianeveleke@gmail.com")</f>
        <v>lianeveleke@gmail.com</v>
      </c>
      <c r="G443" s="3"/>
      <c r="H443" s="3"/>
    </row>
    <row r="444">
      <c r="A444" s="2">
        <f>IFERROR(__xludf.DUMMYFUNCTION("""COMPUTED_VALUE"""),11309.0)</f>
        <v>11309</v>
      </c>
      <c r="B444" s="3" t="str">
        <f>IFERROR(__xludf.DUMMYFUNCTION("""COMPUTED_VALUE"""),"4035 PELMO PARK DR")</f>
        <v>4035 PELMO PARK DR</v>
      </c>
      <c r="C444" s="3" t="str">
        <f>IFERROR(__xludf.DUMMYFUNCTION("""COMPUTED_VALUE"""),"PORT HOPE")</f>
        <v>PORT HOPE</v>
      </c>
      <c r="D444" s="3" t="str">
        <f>IFERROR(__xludf.DUMMYFUNCTION("""COMPUTED_VALUE"""),"L1A 3V5")</f>
        <v>L1A 3V5</v>
      </c>
      <c r="E444" s="3" t="str">
        <f>IFERROR(__xludf.DUMMYFUNCTION("""COMPUTED_VALUE"""),"kathy angus")</f>
        <v>kathy angus</v>
      </c>
      <c r="F444" s="3" t="str">
        <f>IFERROR(__xludf.DUMMYFUNCTION("""COMPUTED_VALUE"""),"kathy4035@gmail.com")</f>
        <v>kathy4035@gmail.com</v>
      </c>
      <c r="G444" s="3"/>
      <c r="H444" s="3"/>
    </row>
    <row r="445">
      <c r="A445" s="2">
        <f>IFERROR(__xludf.DUMMYFUNCTION("""COMPUTED_VALUE"""),10449.0)</f>
        <v>10449</v>
      </c>
      <c r="B445" s="3" t="str">
        <f>IFERROR(__xludf.DUMMYFUNCTION("""COMPUTED_VALUE"""),"4747 COUNTY RD 10")</f>
        <v>4747 COUNTY RD 10</v>
      </c>
      <c r="C445" s="3" t="str">
        <f>IFERROR(__xludf.DUMMYFUNCTION("""COMPUTED_VALUE"""),"PORT HOPE")</f>
        <v>PORT HOPE</v>
      </c>
      <c r="D445" s="3" t="str">
        <f>IFERROR(__xludf.DUMMYFUNCTION("""COMPUTED_VALUE"""),"L1A 3V5")</f>
        <v>L1A 3V5</v>
      </c>
      <c r="E445" s="3" t="str">
        <f>IFERROR(__xludf.DUMMYFUNCTION("""COMPUTED_VALUE"""),"DAVID TATE")</f>
        <v>DAVID TATE</v>
      </c>
      <c r="F445" s="3" t="str">
        <f>IFERROR(__xludf.DUMMYFUNCTION("""COMPUTED_VALUE"""),"dave4747@gmail.com")</f>
        <v>dave4747@gmail.com</v>
      </c>
      <c r="G445" s="3"/>
      <c r="H445" s="3"/>
    </row>
    <row r="446">
      <c r="A446" s="2">
        <f>IFERROR(__xludf.DUMMYFUNCTION("""COMPUTED_VALUE"""),10671.0)</f>
        <v>10671</v>
      </c>
      <c r="B446" s="3" t="str">
        <f>IFERROR(__xludf.DUMMYFUNCTION("""COMPUTED_VALUE"""),"4036 COUNTY RD 65")</f>
        <v>4036 COUNTY RD 65</v>
      </c>
      <c r="C446" s="3" t="str">
        <f>IFERROR(__xludf.DUMMYFUNCTION("""COMPUTED_VALUE"""),"PORT HOPE")</f>
        <v>PORT HOPE</v>
      </c>
      <c r="D446" s="3" t="str">
        <f>IFERROR(__xludf.DUMMYFUNCTION("""COMPUTED_VALUE"""),"L1A 3V5")</f>
        <v>L1A 3V5</v>
      </c>
      <c r="E446" s="3" t="str">
        <f>IFERROR(__xludf.DUMMYFUNCTION("""COMPUTED_VALUE"""),"Linde Herner")</f>
        <v>Linde Herner</v>
      </c>
      <c r="F446" s="3"/>
      <c r="G446" s="3"/>
      <c r="H446" s="3"/>
    </row>
    <row r="447">
      <c r="A447" s="2">
        <f>IFERROR(__xludf.DUMMYFUNCTION("""COMPUTED_VALUE"""),11453.0)</f>
        <v>11453</v>
      </c>
      <c r="B447" s="3" t="str">
        <f>IFERROR(__xludf.DUMMYFUNCTION("""COMPUTED_VALUE"""),"4038 SPRING RD")</f>
        <v>4038 SPRING RD</v>
      </c>
      <c r="C447" s="3" t="str">
        <f>IFERROR(__xludf.DUMMYFUNCTION("""COMPUTED_VALUE"""),"PORT HOPE")</f>
        <v>PORT HOPE</v>
      </c>
      <c r="D447" s="3" t="str">
        <f>IFERROR(__xludf.DUMMYFUNCTION("""COMPUTED_VALUE"""),"L1A 3V6")</f>
        <v>L1A 3V6</v>
      </c>
      <c r="E447" s="3" t="str">
        <f>IFERROR(__xludf.DUMMYFUNCTION("""COMPUTED_VALUE"""),"Dennis Lagrois")</f>
        <v>Dennis Lagrois</v>
      </c>
      <c r="F447" s="3" t="str">
        <f>IFERROR(__xludf.DUMMYFUNCTION("""COMPUTED_VALUE"""),"dlagrois@aol.com")</f>
        <v>dlagrois@aol.com</v>
      </c>
      <c r="G447" s="3"/>
      <c r="H447" s="3"/>
    </row>
    <row r="448">
      <c r="A448" s="2">
        <f>IFERROR(__xludf.DUMMYFUNCTION("""COMPUTED_VALUE"""),10623.0)</f>
        <v>10623</v>
      </c>
      <c r="B448" s="3" t="str">
        <f>IFERROR(__xludf.DUMMYFUNCTION("""COMPUTED_VALUE"""),"4041 COUNTY RD 28")</f>
        <v>4041 COUNTY RD 28</v>
      </c>
      <c r="C448" s="3" t="str">
        <f>IFERROR(__xludf.DUMMYFUNCTION("""COMPUTED_VALUE"""),"PORT HOPE")</f>
        <v>PORT HOPE</v>
      </c>
      <c r="D448" s="3" t="str">
        <f>IFERROR(__xludf.DUMMYFUNCTION("""COMPUTED_VALUE"""),"L1A 3V6")</f>
        <v>L1A 3V6</v>
      </c>
      <c r="E448" s="3"/>
      <c r="F448" s="3"/>
      <c r="G448" s="3"/>
      <c r="H448" s="3"/>
    </row>
    <row r="449">
      <c r="A449" s="2">
        <f>IFERROR(__xludf.DUMMYFUNCTION("""COMPUTED_VALUE"""),11310.0)</f>
        <v>11310</v>
      </c>
      <c r="B449" s="3" t="str">
        <f>IFERROR(__xludf.DUMMYFUNCTION("""COMPUTED_VALUE"""),"4041 PELMO PARK DR")</f>
        <v>4041 PELMO PARK DR</v>
      </c>
      <c r="C449" s="3" t="str">
        <f>IFERROR(__xludf.DUMMYFUNCTION("""COMPUTED_VALUE"""),"PORT HOPE")</f>
        <v>PORT HOPE</v>
      </c>
      <c r="D449" s="3" t="str">
        <f>IFERROR(__xludf.DUMMYFUNCTION("""COMPUTED_VALUE"""),"L1A 3V5")</f>
        <v>L1A 3V5</v>
      </c>
      <c r="E449" s="3" t="str">
        <f>IFERROR(__xludf.DUMMYFUNCTION("""COMPUTED_VALUE"""),"Claire Reed - Cassells")</f>
        <v>Claire Reed - Cassells</v>
      </c>
      <c r="F449" s="3" t="str">
        <f>IFERROR(__xludf.DUMMYFUNCTION("""COMPUTED_VALUE"""),"reedclaire1983@gmail.com")</f>
        <v>reedclaire1983@gmail.com</v>
      </c>
      <c r="G449" s="3"/>
      <c r="H449" s="3"/>
    </row>
    <row r="450">
      <c r="A450" s="2">
        <f>IFERROR(__xludf.DUMMYFUNCTION("""COMPUTED_VALUE"""),11311.0)</f>
        <v>11311</v>
      </c>
      <c r="B450" s="3" t="str">
        <f>IFERROR(__xludf.DUMMYFUNCTION("""COMPUTED_VALUE"""),"4047 PELMO PARK DR")</f>
        <v>4047 PELMO PARK DR</v>
      </c>
      <c r="C450" s="3" t="str">
        <f>IFERROR(__xludf.DUMMYFUNCTION("""COMPUTED_VALUE"""),"PORT HOPE")</f>
        <v>PORT HOPE</v>
      </c>
      <c r="D450" s="3" t="str">
        <f>IFERROR(__xludf.DUMMYFUNCTION("""COMPUTED_VALUE"""),"L1A 3V5")</f>
        <v>L1A 3V5</v>
      </c>
      <c r="E450" s="3" t="str">
        <f>IFERROR(__xludf.DUMMYFUNCTION("""COMPUTED_VALUE"""),"Jason Zeran")</f>
        <v>Jason Zeran</v>
      </c>
      <c r="F450" s="3" t="str">
        <f>IFERROR(__xludf.DUMMYFUNCTION("""COMPUTED_VALUE"""),"jasonzeran@hotmail.com")</f>
        <v>jasonzeran@hotmail.com</v>
      </c>
      <c r="G450" s="3"/>
      <c r="H450" s="3"/>
    </row>
    <row r="451">
      <c r="A451" s="2">
        <f>IFERROR(__xludf.DUMMYFUNCTION("""COMPUTED_VALUE"""),11313.0)</f>
        <v>11313</v>
      </c>
      <c r="B451" s="3" t="str">
        <f>IFERROR(__xludf.DUMMYFUNCTION("""COMPUTED_VALUE"""),"4056 PELMO PARK DR")</f>
        <v>4056 PELMO PARK DR</v>
      </c>
      <c r="C451" s="3" t="str">
        <f>IFERROR(__xludf.DUMMYFUNCTION("""COMPUTED_VALUE"""),"PORT HOPE")</f>
        <v>PORT HOPE</v>
      </c>
      <c r="D451" s="3" t="str">
        <f>IFERROR(__xludf.DUMMYFUNCTION("""COMPUTED_VALUE"""),"L1A 3V5")</f>
        <v>L1A 3V5</v>
      </c>
      <c r="E451" s="3" t="str">
        <f>IFERROR(__xludf.DUMMYFUNCTION("""COMPUTED_VALUE"""),"Ian Cowan")</f>
        <v>Ian Cowan</v>
      </c>
      <c r="F451" s="3" t="str">
        <f>IFERROR(__xludf.DUMMYFUNCTION("""COMPUTED_VALUE"""),"melody@connectiontours.ca")</f>
        <v>melody@connectiontours.ca</v>
      </c>
      <c r="G451" s="3"/>
      <c r="H451" s="3"/>
    </row>
    <row r="452">
      <c r="A452" s="2">
        <f>IFERROR(__xludf.DUMMYFUNCTION("""COMPUTED_VALUE"""),11314.0)</f>
        <v>11314</v>
      </c>
      <c r="B452" s="3" t="str">
        <f>IFERROR(__xludf.DUMMYFUNCTION("""COMPUTED_VALUE"""),"4059 PELMO PARK DR")</f>
        <v>4059 PELMO PARK DR</v>
      </c>
      <c r="C452" s="3" t="str">
        <f>IFERROR(__xludf.DUMMYFUNCTION("""COMPUTED_VALUE"""),"PORT HOPE")</f>
        <v>PORT HOPE</v>
      </c>
      <c r="D452" s="3" t="str">
        <f>IFERROR(__xludf.DUMMYFUNCTION("""COMPUTED_VALUE"""),"L1A 3V5")</f>
        <v>L1A 3V5</v>
      </c>
      <c r="E452" s="3" t="str">
        <f>IFERROR(__xludf.DUMMYFUNCTION("""COMPUTED_VALUE"""),"Anne Manczyk")</f>
        <v>Anne Manczyk</v>
      </c>
      <c r="F452" s="3" t="str">
        <f>IFERROR(__xludf.DUMMYFUNCTION("""COMPUTED_VALUE"""),"bamanczyk@gmail.com")</f>
        <v>bamanczyk@gmail.com</v>
      </c>
      <c r="G452" s="3"/>
      <c r="H452" s="3"/>
    </row>
    <row r="453">
      <c r="A453" s="2">
        <f>IFERROR(__xludf.DUMMYFUNCTION("""COMPUTED_VALUE"""),11454.0)</f>
        <v>11454</v>
      </c>
      <c r="B453" s="3" t="str">
        <f>IFERROR(__xludf.DUMMYFUNCTION("""COMPUTED_VALUE"""),"4062 SPRING RD")</f>
        <v>4062 SPRING RD</v>
      </c>
      <c r="C453" s="3" t="str">
        <f>IFERROR(__xludf.DUMMYFUNCTION("""COMPUTED_VALUE"""),"PORT HOPE")</f>
        <v>PORT HOPE</v>
      </c>
      <c r="D453" s="3" t="str">
        <f>IFERROR(__xludf.DUMMYFUNCTION("""COMPUTED_VALUE"""),"L1A 3V6")</f>
        <v>L1A 3V6</v>
      </c>
      <c r="E453" s="3"/>
      <c r="F453" s="3"/>
      <c r="G453" s="3"/>
      <c r="H453" s="3"/>
    </row>
    <row r="454">
      <c r="A454" s="2">
        <f>IFERROR(__xludf.DUMMYFUNCTION("""COMPUTED_VALUE"""),11315.0)</f>
        <v>11315</v>
      </c>
      <c r="B454" s="3" t="str">
        <f>IFERROR(__xludf.DUMMYFUNCTION("""COMPUTED_VALUE"""),"4065 PELMO PARK DR")</f>
        <v>4065 PELMO PARK DR</v>
      </c>
      <c r="C454" s="3" t="str">
        <f>IFERROR(__xludf.DUMMYFUNCTION("""COMPUTED_VALUE"""),"PORT HOPE")</f>
        <v>PORT HOPE</v>
      </c>
      <c r="D454" s="3" t="str">
        <f>IFERROR(__xludf.DUMMYFUNCTION("""COMPUTED_VALUE"""),"L1A 3V5")</f>
        <v>L1A 3V5</v>
      </c>
      <c r="E454" s="3" t="str">
        <f>IFERROR(__xludf.DUMMYFUNCTION("""COMPUTED_VALUE"""),"Magaret Turner")</f>
        <v>Magaret Turner</v>
      </c>
      <c r="F454" s="3"/>
      <c r="G454" s="3"/>
      <c r="H454" s="3"/>
    </row>
    <row r="455">
      <c r="A455" s="2">
        <f>IFERROR(__xludf.DUMMYFUNCTION("""COMPUTED_VALUE"""),11316.0)</f>
        <v>11316</v>
      </c>
      <c r="B455" s="3" t="str">
        <f>IFERROR(__xludf.DUMMYFUNCTION("""COMPUTED_VALUE"""),"4068 PELMO PARK DR")</f>
        <v>4068 PELMO PARK DR</v>
      </c>
      <c r="C455" s="3" t="str">
        <f>IFERROR(__xludf.DUMMYFUNCTION("""COMPUTED_VALUE"""),"PORT HOPE")</f>
        <v>PORT HOPE</v>
      </c>
      <c r="D455" s="3" t="str">
        <f>IFERROR(__xludf.DUMMYFUNCTION("""COMPUTED_VALUE"""),"L1A 3V5")</f>
        <v>L1A 3V5</v>
      </c>
      <c r="E455" s="3" t="str">
        <f>IFERROR(__xludf.DUMMYFUNCTION("""COMPUTED_VALUE"""),"Bernard Jackson")</f>
        <v>Bernard Jackson</v>
      </c>
      <c r="F455" s="3" t="str">
        <f>IFERROR(__xludf.DUMMYFUNCTION("""COMPUTED_VALUE"""),"anna.and.bern@gmail.com")</f>
        <v>anna.and.bern@gmail.com</v>
      </c>
      <c r="G455" s="3"/>
      <c r="H455" s="3"/>
    </row>
    <row r="456">
      <c r="A456" s="2">
        <f>IFERROR(__xludf.DUMMYFUNCTION("""COMPUTED_VALUE"""),10041.0)</f>
        <v>10041</v>
      </c>
      <c r="B456" s="3" t="str">
        <f>IFERROR(__xludf.DUMMYFUNCTION("""COMPUTED_VALUE"""),"4070 4TH LINE")</f>
        <v>4070 4TH LINE</v>
      </c>
      <c r="C456" s="3" t="str">
        <f>IFERROR(__xludf.DUMMYFUNCTION("""COMPUTED_VALUE"""),"PORT HOPE")</f>
        <v>PORT HOPE</v>
      </c>
      <c r="D456" s="3" t="str">
        <f>IFERROR(__xludf.DUMMYFUNCTION("""COMPUTED_VALUE"""),"L1A 3V7")</f>
        <v>L1A 3V7</v>
      </c>
      <c r="E456" s="3" t="str">
        <f>IFERROR(__xludf.DUMMYFUNCTION("""COMPUTED_VALUE"""),"Louise Moore")</f>
        <v>Louise Moore</v>
      </c>
      <c r="F456" s="3"/>
      <c r="G456" s="3"/>
      <c r="H456" s="3"/>
    </row>
    <row r="457">
      <c r="A457" s="2">
        <f>IFERROR(__xludf.DUMMYFUNCTION("""COMPUTED_VALUE"""),10624.0)</f>
        <v>10624</v>
      </c>
      <c r="B457" s="3" t="str">
        <f>IFERROR(__xludf.DUMMYFUNCTION("""COMPUTED_VALUE"""),"4071 COUNTY RD 28")</f>
        <v>4071 COUNTY RD 28</v>
      </c>
      <c r="C457" s="3" t="str">
        <f>IFERROR(__xludf.DUMMYFUNCTION("""COMPUTED_VALUE"""),"PORT HOPE")</f>
        <v>PORT HOPE</v>
      </c>
      <c r="D457" s="3" t="str">
        <f>IFERROR(__xludf.DUMMYFUNCTION("""COMPUTED_VALUE"""),"L1A 3V6")</f>
        <v>L1A 3V6</v>
      </c>
      <c r="E457" s="3"/>
      <c r="F457" s="3"/>
      <c r="G457" s="3"/>
      <c r="H457" s="3"/>
    </row>
    <row r="458">
      <c r="A458" s="2">
        <f>IFERROR(__xludf.DUMMYFUNCTION("""COMPUTED_VALUE"""),11318.0)</f>
        <v>11318</v>
      </c>
      <c r="B458" s="3" t="str">
        <f>IFERROR(__xludf.DUMMYFUNCTION("""COMPUTED_VALUE"""),"4074 PELMO PARK DR")</f>
        <v>4074 PELMO PARK DR</v>
      </c>
      <c r="C458" s="3" t="str">
        <f>IFERROR(__xludf.DUMMYFUNCTION("""COMPUTED_VALUE"""),"PORT HOPE")</f>
        <v>PORT HOPE</v>
      </c>
      <c r="D458" s="3" t="str">
        <f>IFERROR(__xludf.DUMMYFUNCTION("""COMPUTED_VALUE"""),"L1A 3V5")</f>
        <v>L1A 3V5</v>
      </c>
      <c r="E458" s="3"/>
      <c r="F458" s="3"/>
      <c r="G458" s="3"/>
      <c r="H458" s="3"/>
    </row>
    <row r="459">
      <c r="A459" s="2">
        <f>IFERROR(__xludf.DUMMYFUNCTION("""COMPUTED_VALUE"""),11455.0)</f>
        <v>11455</v>
      </c>
      <c r="B459" s="3" t="str">
        <f>IFERROR(__xludf.DUMMYFUNCTION("""COMPUTED_VALUE"""),"4074 SPRING RD")</f>
        <v>4074 SPRING RD</v>
      </c>
      <c r="C459" s="3" t="str">
        <f>IFERROR(__xludf.DUMMYFUNCTION("""COMPUTED_VALUE"""),"PORT HOPE")</f>
        <v>PORT HOPE</v>
      </c>
      <c r="D459" s="3" t="str">
        <f>IFERROR(__xludf.DUMMYFUNCTION("""COMPUTED_VALUE"""),"L1A 3V6")</f>
        <v>L1A 3V6</v>
      </c>
      <c r="E459" s="3"/>
      <c r="F459" s="3"/>
      <c r="G459" s="3"/>
      <c r="H459" s="3"/>
    </row>
    <row r="460">
      <c r="A460" s="2">
        <f>IFERROR(__xludf.DUMMYFUNCTION("""COMPUTED_VALUE"""),11320.0)</f>
        <v>11320</v>
      </c>
      <c r="B460" s="3" t="str">
        <f>IFERROR(__xludf.DUMMYFUNCTION("""COMPUTED_VALUE"""),"4083 PELMO PARK DR")</f>
        <v>4083 PELMO PARK DR</v>
      </c>
      <c r="C460" s="3" t="str">
        <f>IFERROR(__xludf.DUMMYFUNCTION("""COMPUTED_VALUE"""),"PORT HOPE")</f>
        <v>PORT HOPE</v>
      </c>
      <c r="D460" s="3" t="str">
        <f>IFERROR(__xludf.DUMMYFUNCTION("""COMPUTED_VALUE"""),"L1A 3V5")</f>
        <v>L1A 3V5</v>
      </c>
      <c r="E460" s="3" t="str">
        <f>IFERROR(__xludf.DUMMYFUNCTION("""COMPUTED_VALUE"""),"Dick Algera")</f>
        <v>Dick Algera</v>
      </c>
      <c r="F460" s="3" t="str">
        <f>IFERROR(__xludf.DUMMYFUNCTION("""COMPUTED_VALUE"""),"dsalgera@gmail.com")</f>
        <v>dsalgera@gmail.com</v>
      </c>
      <c r="G460" s="3"/>
      <c r="H460" s="3"/>
    </row>
    <row r="461">
      <c r="A461" s="2">
        <f>IFERROR(__xludf.DUMMYFUNCTION("""COMPUTED_VALUE"""),11321.0)</f>
        <v>11321</v>
      </c>
      <c r="B461" s="3" t="str">
        <f>IFERROR(__xludf.DUMMYFUNCTION("""COMPUTED_VALUE"""),"4090 PELMO PARK DR")</f>
        <v>4090 PELMO PARK DR</v>
      </c>
      <c r="C461" s="3" t="str">
        <f>IFERROR(__xludf.DUMMYFUNCTION("""COMPUTED_VALUE"""),"PORT HOPE")</f>
        <v>PORT HOPE</v>
      </c>
      <c r="D461" s="3" t="str">
        <f>IFERROR(__xludf.DUMMYFUNCTION("""COMPUTED_VALUE"""),"L1A 3V5")</f>
        <v>L1A 3V5</v>
      </c>
      <c r="E461" s="3" t="str">
        <f>IFERROR(__xludf.DUMMYFUNCTION("""COMPUTED_VALUE"""),"J.S Moorcraft")</f>
        <v>J.S Moorcraft</v>
      </c>
      <c r="F461" s="3"/>
      <c r="G461" s="3"/>
      <c r="H461" s="3"/>
    </row>
    <row r="462">
      <c r="A462" s="2">
        <f>IFERROR(__xludf.DUMMYFUNCTION("""COMPUTED_VALUE"""),11360.0)</f>
        <v>11360</v>
      </c>
      <c r="B462" s="3" t="str">
        <f>IFERROR(__xludf.DUMMYFUNCTION("""COMPUTED_VALUE"""),"4090 RICE LAKE DR S")</f>
        <v>4090 RICE LAKE DR S</v>
      </c>
      <c r="C462" s="3" t="str">
        <f>IFERROR(__xludf.DUMMYFUNCTION("""COMPUTED_VALUE"""),"PORT HOPE")</f>
        <v>PORT HOPE</v>
      </c>
      <c r="D462" s="3" t="str">
        <f>IFERROR(__xludf.DUMMYFUNCTION("""COMPUTED_VALUE"""),"L1A 3V6")</f>
        <v>L1A 3V6</v>
      </c>
      <c r="E462" s="3" t="str">
        <f>IFERROR(__xludf.DUMMYFUNCTION("""COMPUTED_VALUE"""),"Madison Thompson")</f>
        <v>Madison Thompson</v>
      </c>
      <c r="F462" s="3" t="str">
        <f>IFERROR(__xludf.DUMMYFUNCTION("""COMPUTED_VALUE"""),"maddythompson@live.com")</f>
        <v>maddythompson@live.com</v>
      </c>
      <c r="G462" s="3"/>
      <c r="H462" s="3"/>
    </row>
    <row r="463">
      <c r="A463" s="2">
        <f>IFERROR(__xludf.DUMMYFUNCTION("""COMPUTED_VALUE"""),11322.0)</f>
        <v>11322</v>
      </c>
      <c r="B463" s="3" t="str">
        <f>IFERROR(__xludf.DUMMYFUNCTION("""COMPUTED_VALUE"""),"4092 PELMO PARK DR")</f>
        <v>4092 PELMO PARK DR</v>
      </c>
      <c r="C463" s="3" t="str">
        <f>IFERROR(__xludf.DUMMYFUNCTION("""COMPUTED_VALUE"""),"PORT HOPE")</f>
        <v>PORT HOPE</v>
      </c>
      <c r="D463" s="3" t="str">
        <f>IFERROR(__xludf.DUMMYFUNCTION("""COMPUTED_VALUE"""),"L1A 3V5")</f>
        <v>L1A 3V5</v>
      </c>
      <c r="E463" s="3" t="str">
        <f>IFERROR(__xludf.DUMMYFUNCTION("""COMPUTED_VALUE"""),"John and Linda Gray")</f>
        <v>John and Linda Gray</v>
      </c>
      <c r="F463" s="3" t="str">
        <f>IFERROR(__xludf.DUMMYFUNCTION("""COMPUTED_VALUE"""),"jgray@hotmail.ca")</f>
        <v>jgray@hotmail.ca</v>
      </c>
      <c r="G463" s="3"/>
      <c r="H463" s="3"/>
    </row>
    <row r="464">
      <c r="A464" s="2">
        <f>IFERROR(__xludf.DUMMYFUNCTION("""COMPUTED_VALUE"""),11361.0)</f>
        <v>11361</v>
      </c>
      <c r="B464" s="3" t="str">
        <f>IFERROR(__xludf.DUMMYFUNCTION("""COMPUTED_VALUE"""),"4100 RICE LAKE DR S")</f>
        <v>4100 RICE LAKE DR S</v>
      </c>
      <c r="C464" s="3" t="str">
        <f>IFERROR(__xludf.DUMMYFUNCTION("""COMPUTED_VALUE"""),"PORT HOPE")</f>
        <v>PORT HOPE</v>
      </c>
      <c r="D464" s="3" t="str">
        <f>IFERROR(__xludf.DUMMYFUNCTION("""COMPUTED_VALUE"""),"L1A 3V6")</f>
        <v>L1A 3V6</v>
      </c>
      <c r="E464" s="3" t="str">
        <f>IFERROR(__xludf.DUMMYFUNCTION("""COMPUTED_VALUE"""),"Mackenzie King")</f>
        <v>Mackenzie King</v>
      </c>
      <c r="F464" s="3" t="str">
        <f>IFERROR(__xludf.DUMMYFUNCTION("""COMPUTED_VALUE"""),"mackenziecashking@gmail.com")</f>
        <v>mackenziecashking@gmail.com</v>
      </c>
      <c r="G464" s="3"/>
      <c r="H464" s="3"/>
    </row>
    <row r="465">
      <c r="A465" s="2">
        <f>IFERROR(__xludf.DUMMYFUNCTION("""COMPUTED_VALUE"""),10672.0)</f>
        <v>10672</v>
      </c>
      <c r="B465" s="3" t="str">
        <f>IFERROR(__xludf.DUMMYFUNCTION("""COMPUTED_VALUE"""),"4104 COUNTY RD 65")</f>
        <v>4104 COUNTY RD 65</v>
      </c>
      <c r="C465" s="3" t="str">
        <f>IFERROR(__xludf.DUMMYFUNCTION("""COMPUTED_VALUE"""),"PORT HOPE")</f>
        <v>PORT HOPE</v>
      </c>
      <c r="D465" s="3" t="str">
        <f>IFERROR(__xludf.DUMMYFUNCTION("""COMPUTED_VALUE"""),"L1A 3V5")</f>
        <v>L1A 3V5</v>
      </c>
      <c r="E465" s="3" t="str">
        <f>IFERROR(__xludf.DUMMYFUNCTION("""COMPUTED_VALUE"""),"N Williamson")</f>
        <v>N Williamson</v>
      </c>
      <c r="F465" s="3"/>
      <c r="G465" s="3"/>
      <c r="H465" s="3"/>
    </row>
    <row r="466">
      <c r="A466" s="2">
        <f>IFERROR(__xludf.DUMMYFUNCTION("""COMPUTED_VALUE"""),11017.0)</f>
        <v>11017</v>
      </c>
      <c r="B466" s="3" t="str">
        <f>IFERROR(__xludf.DUMMYFUNCTION("""COMPUTED_VALUE"""),"4108 JONES RD")</f>
        <v>4108 JONES RD</v>
      </c>
      <c r="C466" s="3" t="str">
        <f>IFERROR(__xludf.DUMMYFUNCTION("""COMPUTED_VALUE"""),"PORT HOPE")</f>
        <v>PORT HOPE</v>
      </c>
      <c r="D466" s="3" t="str">
        <f>IFERROR(__xludf.DUMMYFUNCTION("""COMPUTED_VALUE"""),"L1A 3V7")</f>
        <v>L1A 3V7</v>
      </c>
      <c r="E466" s="3" t="str">
        <f>IFERROR(__xludf.DUMMYFUNCTION("""COMPUTED_VALUE"""),"Larry defosse")</f>
        <v>Larry defosse</v>
      </c>
      <c r="F466" s="3" t="str">
        <f>IFERROR(__xludf.DUMMYFUNCTION("""COMPUTED_VALUE"""),"Larrydefosse@hotmail.com")</f>
        <v>Larrydefosse@hotmail.com</v>
      </c>
      <c r="G466" s="3"/>
      <c r="H466" s="3"/>
    </row>
    <row r="467">
      <c r="A467" s="2">
        <f>IFERROR(__xludf.DUMMYFUNCTION("""COMPUTED_VALUE"""),10189.0)</f>
        <v>10189</v>
      </c>
      <c r="B467" s="3" t="str">
        <f>IFERROR(__xludf.DUMMYFUNCTION("""COMPUTED_VALUE"""),"4111 7TH LINE")</f>
        <v>4111 7TH LINE</v>
      </c>
      <c r="C467" s="3" t="str">
        <f>IFERROR(__xludf.DUMMYFUNCTION("""COMPUTED_VALUE"""),"PORT HOPE")</f>
        <v>PORT HOPE</v>
      </c>
      <c r="D467" s="3" t="str">
        <f>IFERROR(__xludf.DUMMYFUNCTION("""COMPUTED_VALUE"""),"L1A 3V5")</f>
        <v>L1A 3V5</v>
      </c>
      <c r="E467" s="3" t="str">
        <f>IFERROR(__xludf.DUMMYFUNCTION("""COMPUTED_VALUE"""),"dale clark")</f>
        <v>dale clark</v>
      </c>
      <c r="F467" s="3" t="str">
        <f>IFERROR(__xludf.DUMMYFUNCTION("""COMPUTED_VALUE"""),"orangecapdesign@gmail.com")</f>
        <v>orangecapdesign@gmail.com</v>
      </c>
      <c r="G467" s="3"/>
      <c r="H467" s="3"/>
    </row>
    <row r="468">
      <c r="A468" s="2">
        <f>IFERROR(__xludf.DUMMYFUNCTION("""COMPUTED_VALUE"""),10450.0)</f>
        <v>10450</v>
      </c>
      <c r="B468" s="3" t="str">
        <f>IFERROR(__xludf.DUMMYFUNCTION("""COMPUTED_VALUE"""),"4807 COUNTY RD 10")</f>
        <v>4807 COUNTY RD 10</v>
      </c>
      <c r="C468" s="3" t="str">
        <f>IFERROR(__xludf.DUMMYFUNCTION("""COMPUTED_VALUE"""),"PORT HOPE")</f>
        <v>PORT HOPE</v>
      </c>
      <c r="D468" s="3" t="str">
        <f>IFERROR(__xludf.DUMMYFUNCTION("""COMPUTED_VALUE"""),"L1A 3V5")</f>
        <v>L1A 3V5</v>
      </c>
      <c r="E468" s="3" t="str">
        <f>IFERROR(__xludf.DUMMYFUNCTION("""COMPUTED_VALUE"""),"CAROLANN BURLEY")</f>
        <v>CAROLANN BURLEY</v>
      </c>
      <c r="F468" s="3" t="str">
        <f>IFERROR(__xludf.DUMMYFUNCTION("""COMPUTED_VALUE"""),"carolannb@bell.net")</f>
        <v>carolannb@bell.net</v>
      </c>
      <c r="G468" s="3"/>
      <c r="H468" s="3"/>
    </row>
    <row r="469">
      <c r="A469" s="2">
        <f>IFERROR(__xludf.DUMMYFUNCTION("""COMPUTED_VALUE"""),11365.0)</f>
        <v>11365</v>
      </c>
      <c r="B469" s="3" t="str">
        <f>IFERROR(__xludf.DUMMYFUNCTION("""COMPUTED_VALUE"""),"4130 RICE LAKE DR S")</f>
        <v>4130 RICE LAKE DR S</v>
      </c>
      <c r="C469" s="3" t="str">
        <f>IFERROR(__xludf.DUMMYFUNCTION("""COMPUTED_VALUE"""),"PORT HOPE")</f>
        <v>PORT HOPE</v>
      </c>
      <c r="D469" s="3" t="str">
        <f>IFERROR(__xludf.DUMMYFUNCTION("""COMPUTED_VALUE"""),"L1A 3V6")</f>
        <v>L1A 3V6</v>
      </c>
      <c r="E469" s="3"/>
      <c r="F469" s="3"/>
      <c r="G469" s="3"/>
      <c r="H469" s="3"/>
    </row>
    <row r="470">
      <c r="A470" s="2">
        <f>IFERROR(__xludf.DUMMYFUNCTION("""COMPUTED_VALUE"""),11022.0)</f>
        <v>11022</v>
      </c>
      <c r="B470" s="3" t="str">
        <f>IFERROR(__xludf.DUMMYFUNCTION("""COMPUTED_VALUE"""),"4135 KELLOGG RD")</f>
        <v>4135 KELLOGG RD</v>
      </c>
      <c r="C470" s="3" t="str">
        <f>IFERROR(__xludf.DUMMYFUNCTION("""COMPUTED_VALUE"""),"PORT HOPE")</f>
        <v>PORT HOPE</v>
      </c>
      <c r="D470" s="3" t="str">
        <f>IFERROR(__xludf.DUMMYFUNCTION("""COMPUTED_VALUE"""),"L1A 3V7")</f>
        <v>L1A 3V7</v>
      </c>
      <c r="E470" s="3" t="str">
        <f>IFERROR(__xludf.DUMMYFUNCTION("""COMPUTED_VALUE"""),"Candace Shaw/Graham Pugh")</f>
        <v>Candace Shaw/Graham Pugh</v>
      </c>
      <c r="F470" s="3" t="str">
        <f>IFERROR(__xludf.DUMMYFUNCTION("""COMPUTED_VALUE"""),"shawcandace00@gmail.com")</f>
        <v>shawcandace00@gmail.com</v>
      </c>
      <c r="G470" s="3"/>
      <c r="H470" s="3"/>
    </row>
    <row r="471">
      <c r="A471" s="2">
        <f>IFERROR(__xludf.DUMMYFUNCTION("""COMPUTED_VALUE"""),11366.0)</f>
        <v>11366</v>
      </c>
      <c r="B471" s="3" t="str">
        <f>IFERROR(__xludf.DUMMYFUNCTION("""COMPUTED_VALUE"""),"4140 RICE LAKE DR S")</f>
        <v>4140 RICE LAKE DR S</v>
      </c>
      <c r="C471" s="3" t="str">
        <f>IFERROR(__xludf.DUMMYFUNCTION("""COMPUTED_VALUE"""),"PORT HOPE")</f>
        <v>PORT HOPE</v>
      </c>
      <c r="D471" s="3" t="str">
        <f>IFERROR(__xludf.DUMMYFUNCTION("""COMPUTED_VALUE"""),"L1A 3V6")</f>
        <v>L1A 3V6</v>
      </c>
      <c r="E471" s="3" t="str">
        <f>IFERROR(__xludf.DUMMYFUNCTION("""COMPUTED_VALUE"""),"Gary Thorneycroft")</f>
        <v>Gary Thorneycroft</v>
      </c>
      <c r="F471" s="3" t="str">
        <f>IFERROR(__xludf.DUMMYFUNCTION("""COMPUTED_VALUE"""),"cdnmover@gmail.com")</f>
        <v>cdnmover@gmail.com</v>
      </c>
      <c r="G471" s="3"/>
      <c r="H471" s="3"/>
    </row>
    <row r="472">
      <c r="A472" s="2">
        <f>IFERROR(__xludf.DUMMYFUNCTION("""COMPUTED_VALUE"""),10625.0)</f>
        <v>10625</v>
      </c>
      <c r="B472" s="3" t="str">
        <f>IFERROR(__xludf.DUMMYFUNCTION("""COMPUTED_VALUE"""),"4143 COUNTY RD 28")</f>
        <v>4143 COUNTY RD 28</v>
      </c>
      <c r="C472" s="3" t="str">
        <f>IFERROR(__xludf.DUMMYFUNCTION("""COMPUTED_VALUE"""),"PORT HOPE")</f>
        <v>PORT HOPE</v>
      </c>
      <c r="D472" s="3" t="str">
        <f>IFERROR(__xludf.DUMMYFUNCTION("""COMPUTED_VALUE"""),"L1A 3V6")</f>
        <v>L1A 3V6</v>
      </c>
      <c r="E472" s="3" t="str">
        <f>IFERROR(__xludf.DUMMYFUNCTION("""COMPUTED_VALUE"""),"Jun Chen")</f>
        <v>Jun Chen</v>
      </c>
      <c r="F472" s="3" t="str">
        <f>IFERROR(__xludf.DUMMYFUNCTION("""COMPUTED_VALUE"""),"junchenca@gmail.com")</f>
        <v>junchenca@gmail.com</v>
      </c>
      <c r="G472" s="3"/>
      <c r="H472" s="3"/>
    </row>
    <row r="473">
      <c r="A473" s="2">
        <f>IFERROR(__xludf.DUMMYFUNCTION("""COMPUTED_VALUE"""),10042.0)</f>
        <v>10042</v>
      </c>
      <c r="B473" s="3" t="str">
        <f>IFERROR(__xludf.DUMMYFUNCTION("""COMPUTED_VALUE"""),"4144 4TH LINE")</f>
        <v>4144 4TH LINE</v>
      </c>
      <c r="C473" s="3" t="str">
        <f>IFERROR(__xludf.DUMMYFUNCTION("""COMPUTED_VALUE"""),"PORT HOPE")</f>
        <v>PORT HOPE</v>
      </c>
      <c r="D473" s="3" t="str">
        <f>IFERROR(__xludf.DUMMYFUNCTION("""COMPUTED_VALUE"""),"L1A 3V7")</f>
        <v>L1A 3V7</v>
      </c>
      <c r="E473" s="3" t="str">
        <f>IFERROR(__xludf.DUMMYFUNCTION("""COMPUTED_VALUE"""),"Carl Swanston")</f>
        <v>Carl Swanston</v>
      </c>
      <c r="F473" s="3" t="str">
        <f>IFERROR(__xludf.DUMMYFUNCTION("""COMPUTED_VALUE"""),"carl.swanston@yahoo.ca")</f>
        <v>carl.swanston@yahoo.ca</v>
      </c>
      <c r="G473" s="3"/>
      <c r="H473" s="3"/>
    </row>
    <row r="474">
      <c r="A474" s="2">
        <f>IFERROR(__xludf.DUMMYFUNCTION("""COMPUTED_VALUE"""),11367.0)</f>
        <v>11367</v>
      </c>
      <c r="B474" s="3" t="str">
        <f>IFERROR(__xludf.DUMMYFUNCTION("""COMPUTED_VALUE"""),"4145 RICE LAKE DR S")</f>
        <v>4145 RICE LAKE DR S</v>
      </c>
      <c r="C474" s="3" t="str">
        <f>IFERROR(__xludf.DUMMYFUNCTION("""COMPUTED_VALUE"""),"PORT HOPE")</f>
        <v>PORT HOPE</v>
      </c>
      <c r="D474" s="3" t="str">
        <f>IFERROR(__xludf.DUMMYFUNCTION("""COMPUTED_VALUE"""),"L1A 3V6")</f>
        <v>L1A 3V6</v>
      </c>
      <c r="E474" s="3" t="str">
        <f>IFERROR(__xludf.DUMMYFUNCTION("""COMPUTED_VALUE"""),"Richard Allen")</f>
        <v>Richard Allen</v>
      </c>
      <c r="F474" s="3" t="str">
        <f>IFERROR(__xludf.DUMMYFUNCTION("""COMPUTED_VALUE"""),"r.allen17@hotmail.com")</f>
        <v>r.allen17@hotmail.com</v>
      </c>
      <c r="G474" s="3"/>
      <c r="H474" s="3"/>
    </row>
    <row r="475">
      <c r="A475" s="2">
        <f>IFERROR(__xludf.DUMMYFUNCTION("""COMPUTED_VALUE"""),11214.0)</f>
        <v>11214</v>
      </c>
      <c r="B475" s="3" t="str">
        <f>IFERROR(__xludf.DUMMYFUNCTION("""COMPUTED_VALUE"""),"4150 MASTWOOD RD")</f>
        <v>4150 MASTWOOD RD</v>
      </c>
      <c r="C475" s="3" t="str">
        <f>IFERROR(__xludf.DUMMYFUNCTION("""COMPUTED_VALUE"""),"PORT HOPE")</f>
        <v>PORT HOPE</v>
      </c>
      <c r="D475" s="3" t="str">
        <f>IFERROR(__xludf.DUMMYFUNCTION("""COMPUTED_VALUE"""),"L1A 3V5")</f>
        <v>L1A 3V5</v>
      </c>
      <c r="E475" s="3" t="str">
        <f>IFERROR(__xludf.DUMMYFUNCTION("""COMPUTED_VALUE"""),"brad clark ")</f>
        <v>brad clark </v>
      </c>
      <c r="F475" s="3" t="str">
        <f>IFERROR(__xludf.DUMMYFUNCTION("""COMPUTED_VALUE"""),"bradanita.clark@yahoo.com")</f>
        <v>bradanita.clark@yahoo.com</v>
      </c>
      <c r="G475" s="3"/>
      <c r="H475" s="3"/>
    </row>
    <row r="476">
      <c r="A476" s="2">
        <f>IFERROR(__xludf.DUMMYFUNCTION("""COMPUTED_VALUE"""),11018.0)</f>
        <v>11018</v>
      </c>
      <c r="B476" s="3" t="str">
        <f>IFERROR(__xludf.DUMMYFUNCTION("""COMPUTED_VALUE"""),"4154 JONES RD")</f>
        <v>4154 JONES RD</v>
      </c>
      <c r="C476" s="3" t="str">
        <f>IFERROR(__xludf.DUMMYFUNCTION("""COMPUTED_VALUE"""),"PORT HOPE")</f>
        <v>PORT HOPE</v>
      </c>
      <c r="D476" s="3" t="str">
        <f>IFERROR(__xludf.DUMMYFUNCTION("""COMPUTED_VALUE"""),"L1A 3V7")</f>
        <v>L1A 3V7</v>
      </c>
      <c r="E476" s="3"/>
      <c r="F476" s="3"/>
      <c r="G476" s="3"/>
      <c r="H476" s="3"/>
    </row>
    <row r="477">
      <c r="A477" s="2">
        <f>IFERROR(__xludf.DUMMYFUNCTION("""COMPUTED_VALUE"""),10043.0)</f>
        <v>10043</v>
      </c>
      <c r="B477" s="3" t="str">
        <f>IFERROR(__xludf.DUMMYFUNCTION("""COMPUTED_VALUE"""),"4154 4TH LINE")</f>
        <v>4154 4TH LINE</v>
      </c>
      <c r="C477" s="3" t="str">
        <f>IFERROR(__xludf.DUMMYFUNCTION("""COMPUTED_VALUE"""),"PORT HOPE")</f>
        <v>PORT HOPE</v>
      </c>
      <c r="D477" s="3" t="str">
        <f>IFERROR(__xludf.DUMMYFUNCTION("""COMPUTED_VALUE"""),"L1A 3V7")</f>
        <v>L1A 3V7</v>
      </c>
      <c r="E477" s="3" t="str">
        <f>IFERROR(__xludf.DUMMYFUNCTION("""COMPUTED_VALUE"""),"Ann Hibbard")</f>
        <v>Ann Hibbard</v>
      </c>
      <c r="F477" s="3" t="str">
        <f>IFERROR(__xludf.DUMMYFUNCTION("""COMPUTED_VALUE"""),"ann.hibbard@comcast.net")</f>
        <v>ann.hibbard@comcast.net</v>
      </c>
      <c r="G477" s="3"/>
      <c r="H477" s="3"/>
    </row>
    <row r="478">
      <c r="A478" s="2">
        <f>IFERROR(__xludf.DUMMYFUNCTION("""COMPUTED_VALUE"""),10557.0)</f>
        <v>10557</v>
      </c>
      <c r="B478" s="3" t="str">
        <f>IFERROR(__xludf.DUMMYFUNCTION("""COMPUTED_VALUE"""),"4160 COUNTY RD 2")</f>
        <v>4160 COUNTY RD 2</v>
      </c>
      <c r="C478" s="3" t="str">
        <f>IFERROR(__xludf.DUMMYFUNCTION("""COMPUTED_VALUE"""),"PORT HOPE")</f>
        <v>PORT HOPE</v>
      </c>
      <c r="D478" s="3" t="str">
        <f>IFERROR(__xludf.DUMMYFUNCTION("""COMPUTED_VALUE"""),"L1A 3V5")</f>
        <v>L1A 3V5</v>
      </c>
      <c r="E478" s="3" t="str">
        <f>IFERROR(__xludf.DUMMYFUNCTION("""COMPUTED_VALUE"""),"Jonathan Zita ")</f>
        <v>Jonathan Zita </v>
      </c>
      <c r="F478" s="3" t="str">
        <f>IFERROR(__xludf.DUMMYFUNCTION("""COMPUTED_VALUE"""),"zitajo@yahoo.ca")</f>
        <v>zitajo@yahoo.ca</v>
      </c>
      <c r="G478" s="3"/>
      <c r="H478" s="3"/>
    </row>
    <row r="479">
      <c r="A479" s="2">
        <f>IFERROR(__xludf.DUMMYFUNCTION("""COMPUTED_VALUE"""),10558.0)</f>
        <v>10558</v>
      </c>
      <c r="B479" s="3" t="str">
        <f>IFERROR(__xludf.DUMMYFUNCTION("""COMPUTED_VALUE"""),"4161A COUNTY RD 2")</f>
        <v>4161A COUNTY RD 2</v>
      </c>
      <c r="C479" s="3" t="str">
        <f>IFERROR(__xludf.DUMMYFUNCTION("""COMPUTED_VALUE"""),"PORT HOPE")</f>
        <v>PORT HOPE</v>
      </c>
      <c r="D479" s="3" t="str">
        <f>IFERROR(__xludf.DUMMYFUNCTION("""COMPUTED_VALUE"""),"L1A 3V5")</f>
        <v>L1A 3V5</v>
      </c>
      <c r="E479" s="3"/>
      <c r="F479" s="3"/>
      <c r="G479" s="3"/>
      <c r="H479" s="3"/>
    </row>
    <row r="480">
      <c r="A480" s="2">
        <f>IFERROR(__xludf.DUMMYFUNCTION("""COMPUTED_VALUE"""),10190.0)</f>
        <v>10190</v>
      </c>
      <c r="B480" s="3" t="str">
        <f>IFERROR(__xludf.DUMMYFUNCTION("""COMPUTED_VALUE"""),"4164 7TH LINE")</f>
        <v>4164 7TH LINE</v>
      </c>
      <c r="C480" s="3" t="str">
        <f>IFERROR(__xludf.DUMMYFUNCTION("""COMPUTED_VALUE"""),"PORT HOPE")</f>
        <v>PORT HOPE</v>
      </c>
      <c r="D480" s="3" t="str">
        <f>IFERROR(__xludf.DUMMYFUNCTION("""COMPUTED_VALUE"""),"L1A 3V5")</f>
        <v>L1A 3V5</v>
      </c>
      <c r="E480" s="3" t="str">
        <f>IFERROR(__xludf.DUMMYFUNCTION("""COMPUTED_VALUE"""),"percy woodcox")</f>
        <v>percy woodcox</v>
      </c>
      <c r="F480" s="3" t="str">
        <f>IFERROR(__xludf.DUMMYFUNCTION("""COMPUTED_VALUE"""),"bruce-marg@hotmail.com")</f>
        <v>bruce-marg@hotmail.com</v>
      </c>
      <c r="G480" s="3"/>
      <c r="H480" s="3"/>
    </row>
    <row r="481">
      <c r="A481" s="2">
        <f>IFERROR(__xludf.DUMMYFUNCTION("""COMPUTED_VALUE"""),10044.0)</f>
        <v>10044</v>
      </c>
      <c r="B481" s="3" t="str">
        <f>IFERROR(__xludf.DUMMYFUNCTION("""COMPUTED_VALUE"""),"4166 4TH LINE")</f>
        <v>4166 4TH LINE</v>
      </c>
      <c r="C481" s="3" t="str">
        <f>IFERROR(__xludf.DUMMYFUNCTION("""COMPUTED_VALUE"""),"PORT HOPE")</f>
        <v>PORT HOPE</v>
      </c>
      <c r="D481" s="3" t="str">
        <f>IFERROR(__xludf.DUMMYFUNCTION("""COMPUTED_VALUE"""),"L1A 3V7")</f>
        <v>L1A 3V7</v>
      </c>
      <c r="E481" s="3" t="str">
        <f>IFERROR(__xludf.DUMMYFUNCTION("""COMPUTED_VALUE"""),"Donald Ward")</f>
        <v>Donald Ward</v>
      </c>
      <c r="F481" s="3" t="str">
        <f>IFERROR(__xludf.DUMMYFUNCTION("""COMPUTED_VALUE"""),"theperfectday@yahoo.com")</f>
        <v>theperfectday@yahoo.com</v>
      </c>
      <c r="G481" s="3"/>
      <c r="H481" s="3"/>
    </row>
    <row r="482">
      <c r="A482" s="2">
        <f>IFERROR(__xludf.DUMMYFUNCTION("""COMPUTED_VALUE"""),10191.0)</f>
        <v>10191</v>
      </c>
      <c r="B482" s="3" t="str">
        <f>IFERROR(__xludf.DUMMYFUNCTION("""COMPUTED_VALUE"""),"4171 7TH LINE")</f>
        <v>4171 7TH LINE</v>
      </c>
      <c r="C482" s="3" t="str">
        <f>IFERROR(__xludf.DUMMYFUNCTION("""COMPUTED_VALUE"""),"PORT HOPE")</f>
        <v>PORT HOPE</v>
      </c>
      <c r="D482" s="3" t="str">
        <f>IFERROR(__xludf.DUMMYFUNCTION("""COMPUTED_VALUE"""),"L1A 3V5")</f>
        <v>L1A 3V5</v>
      </c>
      <c r="E482" s="3" t="str">
        <f>IFERROR(__xludf.DUMMYFUNCTION("""COMPUTED_VALUE"""),"Micheal Merklinger")</f>
        <v>Micheal Merklinger</v>
      </c>
      <c r="F482" s="3" t="str">
        <f>IFERROR(__xludf.DUMMYFUNCTION("""COMPUTED_VALUE"""),"shinglerking@hotmail.com")</f>
        <v>shinglerking@hotmail.com</v>
      </c>
      <c r="G482" s="3"/>
      <c r="H482" s="3"/>
    </row>
    <row r="483">
      <c r="A483" s="2">
        <f>IFERROR(__xludf.DUMMYFUNCTION("""COMPUTED_VALUE"""),11621.0)</f>
        <v>11621</v>
      </c>
      <c r="B483" s="3" t="str">
        <f>IFERROR(__xludf.DUMMYFUNCTION("""COMPUTED_VALUE"""),"4175 KELLOGG RD")</f>
        <v>4175 KELLOGG RD</v>
      </c>
      <c r="C483" s="3" t="str">
        <f>IFERROR(__xludf.DUMMYFUNCTION("""COMPUTED_VALUE"""),"PORT HOPE")</f>
        <v>PORT HOPE</v>
      </c>
      <c r="D483" s="3" t="str">
        <f>IFERROR(__xludf.DUMMYFUNCTION("""COMPUTED_VALUE"""),"L1A 3V7")</f>
        <v>L1A 3V7</v>
      </c>
      <c r="E483" s="3" t="str">
        <f>IFERROR(__xludf.DUMMYFUNCTION("""COMPUTED_VALUE"""),"don &amp; sue carter")</f>
        <v>don &amp; sue carter</v>
      </c>
      <c r="F483" s="3" t="str">
        <f>IFERROR(__xludf.DUMMYFUNCTION("""COMPUTED_VALUE"""),"susan jcarter@live.ca")</f>
        <v>susan jcarter@live.ca</v>
      </c>
      <c r="G483" s="3"/>
      <c r="H483" s="3"/>
    </row>
    <row r="484">
      <c r="A484" s="2">
        <f>IFERROR(__xludf.DUMMYFUNCTION("""COMPUTED_VALUE"""),10192.0)</f>
        <v>10192</v>
      </c>
      <c r="B484" s="3" t="str">
        <f>IFERROR(__xludf.DUMMYFUNCTION("""COMPUTED_VALUE"""),"4182 7TH LINE")</f>
        <v>4182 7TH LINE</v>
      </c>
      <c r="C484" s="3" t="str">
        <f>IFERROR(__xludf.DUMMYFUNCTION("""COMPUTED_VALUE"""),"PORT HOPE")</f>
        <v>PORT HOPE</v>
      </c>
      <c r="D484" s="3" t="str">
        <f>IFERROR(__xludf.DUMMYFUNCTION("""COMPUTED_VALUE"""),"L1A 3V5")</f>
        <v>L1A 3V5</v>
      </c>
      <c r="E484" s="3" t="str">
        <f>IFERROR(__xludf.DUMMYFUNCTION("""COMPUTED_VALUE"""),"Gary Parsons")</f>
        <v>Gary Parsons</v>
      </c>
      <c r="F484" s="3"/>
      <c r="G484" s="3"/>
      <c r="H484" s="3"/>
    </row>
    <row r="485">
      <c r="A485" s="2">
        <f>IFERROR(__xludf.DUMMYFUNCTION("""COMPUTED_VALUE"""),10673.0)</f>
        <v>10673</v>
      </c>
      <c r="B485" s="3" t="str">
        <f>IFERROR(__xludf.DUMMYFUNCTION("""COMPUTED_VALUE"""),"4188 COUNTY RD 65")</f>
        <v>4188 COUNTY RD 65</v>
      </c>
      <c r="C485" s="3" t="str">
        <f>IFERROR(__xludf.DUMMYFUNCTION("""COMPUTED_VALUE"""),"PORT HOPE")</f>
        <v>PORT HOPE</v>
      </c>
      <c r="D485" s="3" t="str">
        <f>IFERROR(__xludf.DUMMYFUNCTION("""COMPUTED_VALUE"""),"L1A 3V5")</f>
        <v>L1A 3V5</v>
      </c>
      <c r="E485" s="3" t="str">
        <f>IFERROR(__xludf.DUMMYFUNCTION("""COMPUTED_VALUE"""),"Koreen Farmer")</f>
        <v>Koreen Farmer</v>
      </c>
      <c r="F485" s="3" t="str">
        <f>IFERROR(__xludf.DUMMYFUNCTION("""COMPUTED_VALUE"""),"fpgkcf@rogers.com")</f>
        <v>fpgkcf@rogers.com</v>
      </c>
      <c r="G485" s="3"/>
      <c r="H485" s="3"/>
    </row>
    <row r="486">
      <c r="A486" s="2">
        <f>IFERROR(__xludf.DUMMYFUNCTION("""COMPUTED_VALUE"""),10193.0)</f>
        <v>10193</v>
      </c>
      <c r="B486" s="3" t="str">
        <f>IFERROR(__xludf.DUMMYFUNCTION("""COMPUTED_VALUE"""),"4191 7TH LINE")</f>
        <v>4191 7TH LINE</v>
      </c>
      <c r="C486" s="3" t="str">
        <f>IFERROR(__xludf.DUMMYFUNCTION("""COMPUTED_VALUE"""),"PORT HOPE")</f>
        <v>PORT HOPE</v>
      </c>
      <c r="D486" s="3" t="str">
        <f>IFERROR(__xludf.DUMMYFUNCTION("""COMPUTED_VALUE"""),"L1A 3V5")</f>
        <v>L1A 3V5</v>
      </c>
      <c r="E486" s="3" t="str">
        <f>IFERROR(__xludf.DUMMYFUNCTION("""COMPUTED_VALUE"""),"tanya campbell")</f>
        <v>tanya campbell</v>
      </c>
      <c r="F486" s="3" t="str">
        <f>IFERROR(__xludf.DUMMYFUNCTION("""COMPUTED_VALUE"""),"tcampbell@cbvcollections.com")</f>
        <v>tcampbell@cbvcollections.com</v>
      </c>
      <c r="G486" s="3"/>
      <c r="H486" s="3"/>
    </row>
    <row r="487">
      <c r="A487" s="2">
        <f>IFERROR(__xludf.DUMMYFUNCTION("""COMPUTED_VALUE"""),10626.0)</f>
        <v>10626</v>
      </c>
      <c r="B487" s="3" t="str">
        <f>IFERROR(__xludf.DUMMYFUNCTION("""COMPUTED_VALUE"""),"4193 COUNTY RD 28")</f>
        <v>4193 COUNTY RD 28</v>
      </c>
      <c r="C487" s="3" t="str">
        <f>IFERROR(__xludf.DUMMYFUNCTION("""COMPUTED_VALUE"""),"PORT HOPE")</f>
        <v>PORT HOPE</v>
      </c>
      <c r="D487" s="3" t="str">
        <f>IFERROR(__xludf.DUMMYFUNCTION("""COMPUTED_VALUE"""),"L1A 3V6")</f>
        <v>L1A 3V6</v>
      </c>
      <c r="E487" s="3" t="str">
        <f>IFERROR(__xludf.DUMMYFUNCTION("""COMPUTED_VALUE"""),"John Cullen ")</f>
        <v>John Cullen </v>
      </c>
      <c r="F487" s="3" t="str">
        <f>IFERROR(__xludf.DUMMYFUNCTION("""COMPUTED_VALUE"""),"cj350s@outlook.com")</f>
        <v>cj350s@outlook.com</v>
      </c>
      <c r="G487" s="3"/>
      <c r="H487" s="3"/>
    </row>
    <row r="488">
      <c r="A488" s="2">
        <f>IFERROR(__xludf.DUMMYFUNCTION("""COMPUTED_VALUE"""),11369.0)</f>
        <v>11369</v>
      </c>
      <c r="B488" s="3" t="str">
        <f>IFERROR(__xludf.DUMMYFUNCTION("""COMPUTED_VALUE"""),"4200 RICE LAKE DR S")</f>
        <v>4200 RICE LAKE DR S</v>
      </c>
      <c r="C488" s="3" t="str">
        <f>IFERROR(__xludf.DUMMYFUNCTION("""COMPUTED_VALUE"""),"PORT HOPE")</f>
        <v>PORT HOPE</v>
      </c>
      <c r="D488" s="3" t="str">
        <f>IFERROR(__xludf.DUMMYFUNCTION("""COMPUTED_VALUE"""),"L1A 3V6")</f>
        <v>L1A 3V6</v>
      </c>
      <c r="E488" s="3" t="str">
        <f>IFERROR(__xludf.DUMMYFUNCTION("""COMPUTED_VALUE"""),"Dan Charysz")</f>
        <v>Dan Charysz</v>
      </c>
      <c r="F488" s="3" t="str">
        <f>IFERROR(__xludf.DUMMYFUNCTION("""COMPUTED_VALUE"""),"dancharysz@gmail.com")</f>
        <v>dancharysz@gmail.com</v>
      </c>
      <c r="G488" s="3"/>
      <c r="H488" s="3"/>
    </row>
    <row r="489">
      <c r="A489" s="2">
        <f>IFERROR(__xludf.DUMMYFUNCTION("""COMPUTED_VALUE"""),11370.0)</f>
        <v>11370</v>
      </c>
      <c r="B489" s="3" t="str">
        <f>IFERROR(__xludf.DUMMYFUNCTION("""COMPUTED_VALUE"""),"4206 RICE LAKE DR S")</f>
        <v>4206 RICE LAKE DR S</v>
      </c>
      <c r="C489" s="3" t="str">
        <f>IFERROR(__xludf.DUMMYFUNCTION("""COMPUTED_VALUE"""),"PORT HOPE")</f>
        <v>PORT HOPE</v>
      </c>
      <c r="D489" s="3" t="str">
        <f>IFERROR(__xludf.DUMMYFUNCTION("""COMPUTED_VALUE"""),"L1A 3V6")</f>
        <v>L1A 3V6</v>
      </c>
      <c r="E489" s="3" t="str">
        <f>IFERROR(__xludf.DUMMYFUNCTION("""COMPUTED_VALUE"""),"Greg Perry")</f>
        <v>Greg Perry</v>
      </c>
      <c r="F489" s="3" t="str">
        <f>IFERROR(__xludf.DUMMYFUNCTION("""COMPUTED_VALUE"""),"rhondaperry@xplornet.ca")</f>
        <v>rhondaperry@xplornet.ca</v>
      </c>
      <c r="G489" s="3"/>
      <c r="H489" s="3"/>
    </row>
    <row r="490">
      <c r="A490" s="2">
        <f>IFERROR(__xludf.DUMMYFUNCTION("""COMPUTED_VALUE"""),11371.0)</f>
        <v>11371</v>
      </c>
      <c r="B490" s="3" t="str">
        <f>IFERROR(__xludf.DUMMYFUNCTION("""COMPUTED_VALUE"""),"4207 RICE LAKE DR S")</f>
        <v>4207 RICE LAKE DR S</v>
      </c>
      <c r="C490" s="3" t="str">
        <f>IFERROR(__xludf.DUMMYFUNCTION("""COMPUTED_VALUE"""),"PORT HOPE")</f>
        <v>PORT HOPE</v>
      </c>
      <c r="D490" s="3" t="str">
        <f>IFERROR(__xludf.DUMMYFUNCTION("""COMPUTED_VALUE"""),"L1A 3V6")</f>
        <v>L1A 3V6</v>
      </c>
      <c r="E490" s="3"/>
      <c r="F490" s="3"/>
      <c r="G490" s="3"/>
      <c r="H490" s="3"/>
    </row>
    <row r="491">
      <c r="A491" s="2">
        <f>IFERROR(__xludf.DUMMYFUNCTION("""COMPUTED_VALUE"""),10627.0)</f>
        <v>10627</v>
      </c>
      <c r="B491" s="3" t="str">
        <f>IFERROR(__xludf.DUMMYFUNCTION("""COMPUTED_VALUE"""),"4214 COUNTY RD 28")</f>
        <v>4214 COUNTY RD 28</v>
      </c>
      <c r="C491" s="3" t="str">
        <f>IFERROR(__xludf.DUMMYFUNCTION("""COMPUTED_VALUE"""),"PORT HOPE")</f>
        <v>PORT HOPE</v>
      </c>
      <c r="D491" s="3" t="str">
        <f>IFERROR(__xludf.DUMMYFUNCTION("""COMPUTED_VALUE"""),"L1A 3V6")</f>
        <v>L1A 3V6</v>
      </c>
      <c r="E491" s="3" t="str">
        <f>IFERROR(__xludf.DUMMYFUNCTION("""COMPUTED_VALUE"""),"gwen watkins")</f>
        <v>gwen watkins</v>
      </c>
      <c r="F491" s="3" t="str">
        <f>IFERROR(__xludf.DUMMYFUNCTION("""COMPUTED_VALUE"""),"gwenw@eagle.ca")</f>
        <v>gwenw@eagle.ca</v>
      </c>
      <c r="G491" s="3"/>
      <c r="H491" s="3"/>
    </row>
    <row r="492">
      <c r="A492" s="2">
        <f>IFERROR(__xludf.DUMMYFUNCTION("""COMPUTED_VALUE"""),11372.0)</f>
        <v>11372</v>
      </c>
      <c r="B492" s="3" t="str">
        <f>IFERROR(__xludf.DUMMYFUNCTION("""COMPUTED_VALUE"""),"4214 RICE LAKE DR S")</f>
        <v>4214 RICE LAKE DR S</v>
      </c>
      <c r="C492" s="3" t="str">
        <f>IFERROR(__xludf.DUMMYFUNCTION("""COMPUTED_VALUE"""),"PORT HOPE")</f>
        <v>PORT HOPE</v>
      </c>
      <c r="D492" s="3" t="str">
        <f>IFERROR(__xludf.DUMMYFUNCTION("""COMPUTED_VALUE"""),"L1A 3V6")</f>
        <v>L1A 3V6</v>
      </c>
      <c r="E492" s="3" t="str">
        <f>IFERROR(__xludf.DUMMYFUNCTION("""COMPUTED_VALUE"""),"Terry Cross")</f>
        <v>Terry Cross</v>
      </c>
      <c r="F492" s="3" t="str">
        <f>IFERROR(__xludf.DUMMYFUNCTION("""COMPUTED_VALUE"""),"crosst@gmail.com")</f>
        <v>crosst@gmail.com</v>
      </c>
      <c r="G492" s="3"/>
      <c r="H492" s="3"/>
    </row>
    <row r="493">
      <c r="A493" s="2">
        <f>IFERROR(__xludf.DUMMYFUNCTION("""COMPUTED_VALUE"""),10559.0)</f>
        <v>10559</v>
      </c>
      <c r="B493" s="3" t="str">
        <f>IFERROR(__xludf.DUMMYFUNCTION("""COMPUTED_VALUE"""),"4220 COUNTY RD 2")</f>
        <v>4220 COUNTY RD 2</v>
      </c>
      <c r="C493" s="3" t="str">
        <f>IFERROR(__xludf.DUMMYFUNCTION("""COMPUTED_VALUE"""),"PORT HOPE")</f>
        <v>PORT HOPE</v>
      </c>
      <c r="D493" s="3" t="str">
        <f>IFERROR(__xludf.DUMMYFUNCTION("""COMPUTED_VALUE"""),"L1A 3V5")</f>
        <v>L1A 3V5</v>
      </c>
      <c r="E493" s="3"/>
      <c r="F493" s="3"/>
      <c r="G493" s="3"/>
      <c r="H493" s="3"/>
    </row>
    <row r="494">
      <c r="A494" s="2">
        <f>IFERROR(__xludf.DUMMYFUNCTION("""COMPUTED_VALUE"""),11373.0)</f>
        <v>11373</v>
      </c>
      <c r="B494" s="3" t="str">
        <f>IFERROR(__xludf.DUMMYFUNCTION("""COMPUTED_VALUE"""),"4226 RICE LAKE DR S")</f>
        <v>4226 RICE LAKE DR S</v>
      </c>
      <c r="C494" s="3" t="str">
        <f>IFERROR(__xludf.DUMMYFUNCTION("""COMPUTED_VALUE"""),"PORT HOPE")</f>
        <v>PORT HOPE</v>
      </c>
      <c r="D494" s="3" t="str">
        <f>IFERROR(__xludf.DUMMYFUNCTION("""COMPUTED_VALUE"""),"L1A 3V6")</f>
        <v>L1A 3V6</v>
      </c>
      <c r="E494" s="3" t="str">
        <f>IFERROR(__xludf.DUMMYFUNCTION("""COMPUTED_VALUE"""),"Heather &amp; Kevin Lang")</f>
        <v>Heather &amp; Kevin Lang</v>
      </c>
      <c r="F494" s="3" t="str">
        <f>IFERROR(__xludf.DUMMYFUNCTION("""COMPUTED_VALUE"""),"klewes4u@hotmail.com")</f>
        <v>klewes4u@hotmail.com</v>
      </c>
      <c r="G494" s="3"/>
      <c r="H494" s="3"/>
    </row>
    <row r="495">
      <c r="A495" s="2">
        <f>IFERROR(__xludf.DUMMYFUNCTION("""COMPUTED_VALUE"""),10194.0)</f>
        <v>10194</v>
      </c>
      <c r="B495" s="3" t="str">
        <f>IFERROR(__xludf.DUMMYFUNCTION("""COMPUTED_VALUE"""),"4230 7TH LINE")</f>
        <v>4230 7TH LINE</v>
      </c>
      <c r="C495" s="3" t="str">
        <f>IFERROR(__xludf.DUMMYFUNCTION("""COMPUTED_VALUE"""),"PORT HOPE")</f>
        <v>PORT HOPE</v>
      </c>
      <c r="D495" s="3" t="str">
        <f>IFERROR(__xludf.DUMMYFUNCTION("""COMPUTED_VALUE"""),"L1A 3V5")</f>
        <v>L1A 3V5</v>
      </c>
      <c r="E495" s="3" t="str">
        <f>IFERROR(__xludf.DUMMYFUNCTION("""COMPUTED_VALUE"""),"Kyle Hudson")</f>
        <v>Kyle Hudson</v>
      </c>
      <c r="F495" s="3" t="str">
        <f>IFERROR(__xludf.DUMMYFUNCTION("""COMPUTED_VALUE"""),"kylehudson424@gmail.com")</f>
        <v>kylehudson424@gmail.com</v>
      </c>
      <c r="G495" s="3"/>
      <c r="H495" s="3"/>
    </row>
    <row r="496">
      <c r="A496" s="2">
        <f>IFERROR(__xludf.DUMMYFUNCTION("""COMPUTED_VALUE"""),11374.0)</f>
        <v>11374</v>
      </c>
      <c r="B496" s="3" t="str">
        <f>IFERROR(__xludf.DUMMYFUNCTION("""COMPUTED_VALUE"""),"4240 RICE LAKE DR S")</f>
        <v>4240 RICE LAKE DR S</v>
      </c>
      <c r="C496" s="3" t="str">
        <f>IFERROR(__xludf.DUMMYFUNCTION("""COMPUTED_VALUE"""),"PORT HOPE")</f>
        <v>PORT HOPE</v>
      </c>
      <c r="D496" s="3" t="str">
        <f>IFERROR(__xludf.DUMMYFUNCTION("""COMPUTED_VALUE"""),"L1A 3V6")</f>
        <v>L1A 3V6</v>
      </c>
      <c r="E496" s="3" t="str">
        <f>IFERROR(__xludf.DUMMYFUNCTION("""COMPUTED_VALUE"""),"SAMANTHA IRWIN")</f>
        <v>SAMANTHA IRWIN</v>
      </c>
      <c r="F496" s="3" t="str">
        <f>IFERROR(__xludf.DUMMYFUNCTION("""COMPUTED_VALUE"""),"hood.samantha@me.com")</f>
        <v>hood.samantha@me.com</v>
      </c>
      <c r="G496" s="3"/>
      <c r="H496" s="3"/>
    </row>
    <row r="497">
      <c r="A497" s="2">
        <f>IFERROR(__xludf.DUMMYFUNCTION("""COMPUTED_VALUE"""),10560.0)</f>
        <v>10560</v>
      </c>
      <c r="B497" s="3" t="str">
        <f>IFERROR(__xludf.DUMMYFUNCTION("""COMPUTED_VALUE"""),"4241 COUNTY RD 2")</f>
        <v>4241 COUNTY RD 2</v>
      </c>
      <c r="C497" s="3" t="str">
        <f>IFERROR(__xludf.DUMMYFUNCTION("""COMPUTED_VALUE"""),"PORT HOPE")</f>
        <v>PORT HOPE</v>
      </c>
      <c r="D497" s="3" t="str">
        <f>IFERROR(__xludf.DUMMYFUNCTION("""COMPUTED_VALUE"""),"L1A 3V5")</f>
        <v>L1A 3V5</v>
      </c>
      <c r="E497" s="3"/>
      <c r="F497" s="3"/>
      <c r="G497" s="3"/>
      <c r="H497" s="3"/>
    </row>
    <row r="498">
      <c r="A498" s="2">
        <f>IFERROR(__xludf.DUMMYFUNCTION("""COMPUTED_VALUE"""),10451.0)</f>
        <v>10451</v>
      </c>
      <c r="B498" s="3" t="str">
        <f>IFERROR(__xludf.DUMMYFUNCTION("""COMPUTED_VALUE"""),"4829 COUNTY RD 10")</f>
        <v>4829 COUNTY RD 10</v>
      </c>
      <c r="C498" s="3" t="str">
        <f>IFERROR(__xludf.DUMMYFUNCTION("""COMPUTED_VALUE"""),"PORT HOPE")</f>
        <v>PORT HOPE</v>
      </c>
      <c r="D498" s="3" t="str">
        <f>IFERROR(__xludf.DUMMYFUNCTION("""COMPUTED_VALUE"""),"L1A 3V5")</f>
        <v>L1A 3V5</v>
      </c>
      <c r="E498" s="3" t="str">
        <f>IFERROR(__xludf.DUMMYFUNCTION("""COMPUTED_VALUE"""),"Brenda Brown")</f>
        <v>Brenda Brown</v>
      </c>
      <c r="F498" s="3" t="str">
        <f>IFERROR(__xludf.DUMMYFUNCTION("""COMPUTED_VALUE"""),"brown4x4@gmail.com")</f>
        <v>brown4x4@gmail.com</v>
      </c>
      <c r="G498" s="3"/>
      <c r="H498" s="3"/>
    </row>
    <row r="499">
      <c r="A499" s="2">
        <f>IFERROR(__xludf.DUMMYFUNCTION("""COMPUTED_VALUE"""),10045.0)</f>
        <v>10045</v>
      </c>
      <c r="B499" s="3" t="str">
        <f>IFERROR(__xludf.DUMMYFUNCTION("""COMPUTED_VALUE"""),"4248 4TH LINE")</f>
        <v>4248 4TH LINE</v>
      </c>
      <c r="C499" s="3" t="str">
        <f>IFERROR(__xludf.DUMMYFUNCTION("""COMPUTED_VALUE"""),"PORT HOPE")</f>
        <v>PORT HOPE</v>
      </c>
      <c r="D499" s="3" t="str">
        <f>IFERROR(__xludf.DUMMYFUNCTION("""COMPUTED_VALUE"""),"L1A 3V7")</f>
        <v>L1A 3V7</v>
      </c>
      <c r="E499" s="3"/>
      <c r="F499" s="3"/>
      <c r="G499" s="3"/>
      <c r="H499" s="3"/>
    </row>
    <row r="500">
      <c r="A500" s="2">
        <f>IFERROR(__xludf.DUMMYFUNCTION("""COMPUTED_VALUE"""),10561.0)</f>
        <v>10561</v>
      </c>
      <c r="B500" s="3" t="str">
        <f>IFERROR(__xludf.DUMMYFUNCTION("""COMPUTED_VALUE"""),"4250 COUNTY RD 2")</f>
        <v>4250 COUNTY RD 2</v>
      </c>
      <c r="C500" s="3" t="str">
        <f>IFERROR(__xludf.DUMMYFUNCTION("""COMPUTED_VALUE"""),"PORT HOPE")</f>
        <v>PORT HOPE</v>
      </c>
      <c r="D500" s="3" t="str">
        <f>IFERROR(__xludf.DUMMYFUNCTION("""COMPUTED_VALUE"""),"L1A 3V5")</f>
        <v>L1A 3V5</v>
      </c>
      <c r="E500" s="3" t="str">
        <f>IFERROR(__xludf.DUMMYFUNCTION("""COMPUTED_VALUE"""),"Alvin Soucy")</f>
        <v>Alvin Soucy</v>
      </c>
      <c r="F500" s="3"/>
      <c r="G500" s="3"/>
      <c r="H500" s="3"/>
    </row>
    <row r="501">
      <c r="A501" s="2">
        <f>IFERROR(__xludf.DUMMYFUNCTION("""COMPUTED_VALUE"""),10046.0)</f>
        <v>10046</v>
      </c>
      <c r="B501" s="3" t="str">
        <f>IFERROR(__xludf.DUMMYFUNCTION("""COMPUTED_VALUE"""),"4251 4TH LINE")</f>
        <v>4251 4TH LINE</v>
      </c>
      <c r="C501" s="3" t="str">
        <f>IFERROR(__xludf.DUMMYFUNCTION("""COMPUTED_VALUE"""),"PORT HOPE")</f>
        <v>PORT HOPE</v>
      </c>
      <c r="D501" s="3" t="str">
        <f>IFERROR(__xludf.DUMMYFUNCTION("""COMPUTED_VALUE"""),"L1A 3V7")</f>
        <v>L1A 3V7</v>
      </c>
      <c r="E501" s="3"/>
      <c r="F501" s="3"/>
      <c r="G501" s="3"/>
      <c r="H501" s="3"/>
    </row>
    <row r="502">
      <c r="A502" s="2">
        <f>IFERROR(__xludf.DUMMYFUNCTION("""COMPUTED_VALUE"""),11375.0)</f>
        <v>11375</v>
      </c>
      <c r="B502" s="3" t="str">
        <f>IFERROR(__xludf.DUMMYFUNCTION("""COMPUTED_VALUE"""),"4272 RICE LAKE DR S")</f>
        <v>4272 RICE LAKE DR S</v>
      </c>
      <c r="C502" s="3" t="str">
        <f>IFERROR(__xludf.DUMMYFUNCTION("""COMPUTED_VALUE"""),"PORT HOPE")</f>
        <v>PORT HOPE</v>
      </c>
      <c r="D502" s="3" t="str">
        <f>IFERROR(__xludf.DUMMYFUNCTION("""COMPUTED_VALUE"""),"L1A 3V6")</f>
        <v>L1A 3V6</v>
      </c>
      <c r="E502" s="3" t="str">
        <f>IFERROR(__xludf.DUMMYFUNCTION("""COMPUTED_VALUE"""),"Kathleen Cook")</f>
        <v>Kathleen Cook</v>
      </c>
      <c r="F502" s="3" t="str">
        <f>IFERROR(__xludf.DUMMYFUNCTION("""COMPUTED_VALUE"""),"cooksfuels@gmail.com")</f>
        <v>cooksfuels@gmail.com</v>
      </c>
      <c r="G502" s="3"/>
      <c r="H502" s="3"/>
    </row>
    <row r="503">
      <c r="A503" s="2">
        <f>IFERROR(__xludf.DUMMYFUNCTION("""COMPUTED_VALUE"""),11205.0)</f>
        <v>11205</v>
      </c>
      <c r="B503" s="3" t="str">
        <f>IFERROR(__xludf.DUMMYFUNCTION("""COMPUTED_VALUE"""),"4282 MASSEY RD")</f>
        <v>4282 MASSEY RD</v>
      </c>
      <c r="C503" s="3" t="str">
        <f>IFERROR(__xludf.DUMMYFUNCTION("""COMPUTED_VALUE"""),"PORT HOPE")</f>
        <v>PORT HOPE</v>
      </c>
      <c r="D503" s="3" t="str">
        <f>IFERROR(__xludf.DUMMYFUNCTION("""COMPUTED_VALUE"""),"L1A 3V5")</f>
        <v>L1A 3V5</v>
      </c>
      <c r="E503" s="3" t="str">
        <f>IFERROR(__xludf.DUMMYFUNCTION("""COMPUTED_VALUE"""),"Ian Angus (tenant &gt; howard charlton)")</f>
        <v>Ian Angus (tenant &gt; howard charlton)</v>
      </c>
      <c r="F503" s="3" t="str">
        <f>IFERROR(__xludf.DUMMYFUNCTION("""COMPUTED_VALUE"""),"anguslaw1@xplornet.com")</f>
        <v>anguslaw1@xplornet.com</v>
      </c>
      <c r="G503" s="3"/>
      <c r="H503" s="3"/>
    </row>
    <row r="504">
      <c r="A504" s="2">
        <f>IFERROR(__xludf.DUMMYFUNCTION("""COMPUTED_VALUE"""),11630.0)</f>
        <v>11630</v>
      </c>
      <c r="B504" s="3" t="str">
        <f>IFERROR(__xludf.DUMMYFUNCTION("""COMPUTED_VALUE"""),"4285 MASTWOOD RD Unit A/B")</f>
        <v>4285 MASTWOOD RD Unit A/B</v>
      </c>
      <c r="C504" s="3" t="str">
        <f>IFERROR(__xludf.DUMMYFUNCTION("""COMPUTED_VALUE"""),"PORT HOPE")</f>
        <v>PORT HOPE</v>
      </c>
      <c r="D504" s="3" t="str">
        <f>IFERROR(__xludf.DUMMYFUNCTION("""COMPUTED_VALUE"""),"L1A 3V5")</f>
        <v>L1A 3V5</v>
      </c>
      <c r="E504" s="3"/>
      <c r="F504" s="3"/>
      <c r="G504" s="3"/>
      <c r="H504" s="3"/>
    </row>
    <row r="505">
      <c r="A505" s="2">
        <f>IFERROR(__xludf.DUMMYFUNCTION("""COMPUTED_VALUE"""),11215.0)</f>
        <v>11215</v>
      </c>
      <c r="B505" s="3" t="str">
        <f>IFERROR(__xludf.DUMMYFUNCTION("""COMPUTED_VALUE"""),"4311 MASTWOOD RD")</f>
        <v>4311 MASTWOOD RD</v>
      </c>
      <c r="C505" s="3" t="str">
        <f>IFERROR(__xludf.DUMMYFUNCTION("""COMPUTED_VALUE"""),"PORT HOPE")</f>
        <v>PORT HOPE</v>
      </c>
      <c r="D505" s="3" t="str">
        <f>IFERROR(__xludf.DUMMYFUNCTION("""COMPUTED_VALUE"""),"L1A 3V5")</f>
        <v>L1A 3V5</v>
      </c>
      <c r="E505" s="3"/>
      <c r="F505" s="3"/>
      <c r="G505" s="3"/>
      <c r="H505" s="3"/>
    </row>
    <row r="506">
      <c r="A506" s="2">
        <f>IFERROR(__xludf.DUMMYFUNCTION("""COMPUTED_VALUE"""),10452.0)</f>
        <v>10452</v>
      </c>
      <c r="B506" s="3" t="str">
        <f>IFERROR(__xludf.DUMMYFUNCTION("""COMPUTED_VALUE"""),"4847 COUNTY RD 10")</f>
        <v>4847 COUNTY RD 10</v>
      </c>
      <c r="C506" s="3" t="str">
        <f>IFERROR(__xludf.DUMMYFUNCTION("""COMPUTED_VALUE"""),"PORT HOPE")</f>
        <v>PORT HOPE</v>
      </c>
      <c r="D506" s="3" t="str">
        <f>IFERROR(__xludf.DUMMYFUNCTION("""COMPUTED_VALUE"""),"L1A 3V5")</f>
        <v>L1A 3V5</v>
      </c>
      <c r="E506" s="3" t="str">
        <f>IFERROR(__xludf.DUMMYFUNCTION("""COMPUTED_VALUE"""),"Michael Chad")</f>
        <v>Michael Chad</v>
      </c>
      <c r="F506" s="3" t="str">
        <f>IFERROR(__xludf.DUMMYFUNCTION("""COMPUTED_VALUE"""),"janeandmikechad@gmail.com")</f>
        <v>janeandmikechad@gmail.com</v>
      </c>
      <c r="G506" s="3"/>
      <c r="H506" s="3"/>
    </row>
    <row r="507">
      <c r="A507" s="2">
        <f>IFERROR(__xludf.DUMMYFUNCTION("""COMPUTED_VALUE"""),11206.0)</f>
        <v>11206</v>
      </c>
      <c r="B507" s="3" t="str">
        <f>IFERROR(__xludf.DUMMYFUNCTION("""COMPUTED_VALUE"""),"4339 MASSEY RD")</f>
        <v>4339 MASSEY RD</v>
      </c>
      <c r="C507" s="3" t="str">
        <f>IFERROR(__xludf.DUMMYFUNCTION("""COMPUTED_VALUE"""),"PORT HOPE")</f>
        <v>PORT HOPE</v>
      </c>
      <c r="D507" s="3" t="str">
        <f>IFERROR(__xludf.DUMMYFUNCTION("""COMPUTED_VALUE"""),"L1A 3V5")</f>
        <v>L1A 3V5</v>
      </c>
      <c r="E507" s="3" t="str">
        <f>IFERROR(__xludf.DUMMYFUNCTION("""COMPUTED_VALUE"""),"Jason Selk")</f>
        <v>Jason Selk</v>
      </c>
      <c r="F507" s="3" t="str">
        <f>IFERROR(__xludf.DUMMYFUNCTION("""COMPUTED_VALUE"""),"kellysilk73@gmail.com")</f>
        <v>kellysilk73@gmail.com</v>
      </c>
      <c r="G507" s="3"/>
      <c r="H507" s="3"/>
    </row>
    <row r="508">
      <c r="A508" s="2">
        <f>IFERROR(__xludf.DUMMYFUNCTION("""COMPUTED_VALUE"""),11019.0)</f>
        <v>11019</v>
      </c>
      <c r="B508" s="3" t="str">
        <f>IFERROR(__xludf.DUMMYFUNCTION("""COMPUTED_VALUE"""),"4340 JONES RD")</f>
        <v>4340 JONES RD</v>
      </c>
      <c r="C508" s="3" t="str">
        <f>IFERROR(__xludf.DUMMYFUNCTION("""COMPUTED_VALUE"""),"PORT HOPE")</f>
        <v>PORT HOPE</v>
      </c>
      <c r="D508" s="3" t="str">
        <f>IFERROR(__xludf.DUMMYFUNCTION("""COMPUTED_VALUE"""),"L1A 3V7")</f>
        <v>L1A 3V7</v>
      </c>
      <c r="E508" s="3" t="str">
        <f>IFERROR(__xludf.DUMMYFUNCTION("""COMPUTED_VALUE"""),"Laurie O'Brien")</f>
        <v>Laurie O'Brien</v>
      </c>
      <c r="F508" s="3" t="str">
        <f>IFERROR(__xludf.DUMMYFUNCTION("""COMPUTED_VALUE"""),"laurieobrien325@gmail.com")</f>
        <v>laurieobrien325@gmail.com</v>
      </c>
      <c r="G508" s="3"/>
      <c r="H508" s="3"/>
    </row>
    <row r="509">
      <c r="A509" s="2">
        <f>IFERROR(__xludf.DUMMYFUNCTION("""COMPUTED_VALUE"""),10453.0)</f>
        <v>10453</v>
      </c>
      <c r="B509" s="3" t="str">
        <f>IFERROR(__xludf.DUMMYFUNCTION("""COMPUTED_VALUE"""),"4887 COUNTY RD 10")</f>
        <v>4887 COUNTY RD 10</v>
      </c>
      <c r="C509" s="3" t="str">
        <f>IFERROR(__xludf.DUMMYFUNCTION("""COMPUTED_VALUE"""),"PORT HOPE")</f>
        <v>PORT HOPE</v>
      </c>
      <c r="D509" s="3" t="str">
        <f>IFERROR(__xludf.DUMMYFUNCTION("""COMPUTED_VALUE"""),"L1A 3V5")</f>
        <v>L1A 3V5</v>
      </c>
      <c r="E509" s="3" t="str">
        <f>IFERROR(__xludf.DUMMYFUNCTION("""COMPUTED_VALUE"""),"Marlene Pomlinson ")</f>
        <v>Marlene Pomlinson </v>
      </c>
      <c r="F509" s="3" t="str">
        <f>IFERROR(__xludf.DUMMYFUNCTION("""COMPUTED_VALUE"""),"dukeincanton@hotmail.com")</f>
        <v>dukeincanton@hotmail.com</v>
      </c>
      <c r="G509" s="3"/>
      <c r="H509" s="3"/>
    </row>
    <row r="510">
      <c r="A510" s="2">
        <f>IFERROR(__xludf.DUMMYFUNCTION("""COMPUTED_VALUE"""),11216.0)</f>
        <v>11216</v>
      </c>
      <c r="B510" s="3" t="str">
        <f>IFERROR(__xludf.DUMMYFUNCTION("""COMPUTED_VALUE"""),"4355 MASTWOOD RD")</f>
        <v>4355 MASTWOOD RD</v>
      </c>
      <c r="C510" s="3" t="str">
        <f>IFERROR(__xludf.DUMMYFUNCTION("""COMPUTED_VALUE"""),"PORT HOPE")</f>
        <v>PORT HOPE</v>
      </c>
      <c r="D510" s="3" t="str">
        <f>IFERROR(__xludf.DUMMYFUNCTION("""COMPUTED_VALUE"""),"L1A 3V5")</f>
        <v>L1A 3V5</v>
      </c>
      <c r="E510" s="3" t="str">
        <f>IFERROR(__xludf.DUMMYFUNCTION("""COMPUTED_VALUE"""),"Emanuel Baston")</f>
        <v>Emanuel Baston</v>
      </c>
      <c r="F510" s="3" t="str">
        <f>IFERROR(__xludf.DUMMYFUNCTION("""COMPUTED_VALUE"""),"emanuelbaston@hotmail.com")</f>
        <v>emanuelbaston@hotmail.com</v>
      </c>
      <c r="G510" s="3"/>
      <c r="H510" s="3"/>
    </row>
    <row r="511">
      <c r="A511" s="2">
        <f>IFERROR(__xludf.DUMMYFUNCTION("""COMPUTED_VALUE"""),10562.0)</f>
        <v>10562</v>
      </c>
      <c r="B511" s="3" t="str">
        <f>IFERROR(__xludf.DUMMYFUNCTION("""COMPUTED_VALUE"""),"4366 COUNTY RD 2")</f>
        <v>4366 COUNTY RD 2</v>
      </c>
      <c r="C511" s="3" t="str">
        <f>IFERROR(__xludf.DUMMYFUNCTION("""COMPUTED_VALUE"""),"PORT HOPE")</f>
        <v>PORT HOPE</v>
      </c>
      <c r="D511" s="3" t="str">
        <f>IFERROR(__xludf.DUMMYFUNCTION("""COMPUTED_VALUE"""),"L1A 3V5")</f>
        <v>L1A 3V5</v>
      </c>
      <c r="E511" s="3"/>
      <c r="F511" s="3"/>
      <c r="G511" s="3"/>
      <c r="H511" s="3"/>
    </row>
    <row r="512">
      <c r="A512" s="2">
        <f>IFERROR(__xludf.DUMMYFUNCTION("""COMPUTED_VALUE"""),10047.0)</f>
        <v>10047</v>
      </c>
      <c r="B512" s="3" t="str">
        <f>IFERROR(__xludf.DUMMYFUNCTION("""COMPUTED_VALUE"""),"4378 4TH LINE")</f>
        <v>4378 4TH LINE</v>
      </c>
      <c r="C512" s="3" t="str">
        <f>IFERROR(__xludf.DUMMYFUNCTION("""COMPUTED_VALUE"""),"PORT HOPE")</f>
        <v>PORT HOPE</v>
      </c>
      <c r="D512" s="3" t="str">
        <f>IFERROR(__xludf.DUMMYFUNCTION("""COMPUTED_VALUE"""),"L1A 3V5")</f>
        <v>L1A 3V5</v>
      </c>
      <c r="E512" s="3" t="str">
        <f>IFERROR(__xludf.DUMMYFUNCTION("""COMPUTED_VALUE"""),"murray mann ")</f>
        <v>murray mann </v>
      </c>
      <c r="F512" s="3" t="str">
        <f>IFERROR(__xludf.DUMMYFUNCTION("""COMPUTED_VALUE"""),"murray.mann@sympatico.ca")</f>
        <v>murray.mann@sympatico.ca</v>
      </c>
      <c r="G512" s="3"/>
      <c r="H512" s="3"/>
    </row>
    <row r="513">
      <c r="A513" s="2">
        <f>IFERROR(__xludf.DUMMYFUNCTION("""COMPUTED_VALUE"""),11612.0)</f>
        <v>11612</v>
      </c>
      <c r="B513" s="3" t="str">
        <f>IFERROR(__xludf.DUMMYFUNCTION("""COMPUTED_VALUE"""),"4386 RICE LAKE DR S")</f>
        <v>4386 RICE LAKE DR S</v>
      </c>
      <c r="C513" s="3" t="str">
        <f>IFERROR(__xludf.DUMMYFUNCTION("""COMPUTED_VALUE"""),"PORT HOPE")</f>
        <v>PORT HOPE</v>
      </c>
      <c r="D513" s="3" t="str">
        <f>IFERROR(__xludf.DUMMYFUNCTION("""COMPUTED_VALUE"""),"L1A 3V6")</f>
        <v>L1A 3V6</v>
      </c>
      <c r="E513" s="3"/>
      <c r="F513" s="3"/>
      <c r="G513" s="3"/>
      <c r="H513" s="3"/>
    </row>
    <row r="514">
      <c r="A514" s="2">
        <f>IFERROR(__xludf.DUMMYFUNCTION("""COMPUTED_VALUE"""),11376.0)</f>
        <v>11376</v>
      </c>
      <c r="B514" s="3" t="str">
        <f>IFERROR(__xludf.DUMMYFUNCTION("""COMPUTED_VALUE"""),"4387 RICE LAKE DR S A")</f>
        <v>4387 RICE LAKE DR S A</v>
      </c>
      <c r="C514" s="3" t="str">
        <f>IFERROR(__xludf.DUMMYFUNCTION("""COMPUTED_VALUE"""),"PORT HOPE")</f>
        <v>PORT HOPE</v>
      </c>
      <c r="D514" s="3" t="str">
        <f>IFERROR(__xludf.DUMMYFUNCTION("""COMPUTED_VALUE"""),"L1A 3V6")</f>
        <v>L1A 3V6</v>
      </c>
      <c r="E514" s="3" t="str">
        <f>IFERROR(__xludf.DUMMYFUNCTION("""COMPUTED_VALUE"""),"Doug &amp; Judy cook")</f>
        <v>Doug &amp; Judy cook</v>
      </c>
      <c r="F514" s="3" t="str">
        <f>IFERROR(__xludf.DUMMYFUNCTION("""COMPUTED_VALUE"""),"Dcookie@gmail.com")</f>
        <v>Dcookie@gmail.com</v>
      </c>
      <c r="G514" s="3"/>
      <c r="H514" s="3"/>
    </row>
    <row r="515">
      <c r="A515" s="2">
        <f>IFERROR(__xludf.DUMMYFUNCTION("""COMPUTED_VALUE"""),11636.0)</f>
        <v>11636</v>
      </c>
      <c r="B515" s="3" t="str">
        <f>IFERROR(__xludf.DUMMYFUNCTION("""COMPUTED_VALUE"""),"4387 RICE LAKE DR S B")</f>
        <v>4387 RICE LAKE DR S B</v>
      </c>
      <c r="C515" s="3" t="str">
        <f>IFERROR(__xludf.DUMMYFUNCTION("""COMPUTED_VALUE"""),"PORT HOPE")</f>
        <v>PORT HOPE</v>
      </c>
      <c r="D515" s="3" t="str">
        <f>IFERROR(__xludf.DUMMYFUNCTION("""COMPUTED_VALUE"""),"L1A 3V6")</f>
        <v>L1A 3V6</v>
      </c>
      <c r="E515" s="3" t="str">
        <f>IFERROR(__xludf.DUMMYFUNCTION("""COMPUTED_VALUE"""),"Doug &amp; Judy cook")</f>
        <v>Doug &amp; Judy cook</v>
      </c>
      <c r="F515" s="3" t="str">
        <f>IFERROR(__xludf.DUMMYFUNCTION("""COMPUTED_VALUE"""),"Dcookie@gmail.com")</f>
        <v>Dcookie@gmail.com</v>
      </c>
      <c r="G515" s="3"/>
      <c r="H515" s="3"/>
    </row>
    <row r="516">
      <c r="A516" s="2">
        <f>IFERROR(__xludf.DUMMYFUNCTION("""COMPUTED_VALUE"""),10309.0)</f>
        <v>10309</v>
      </c>
      <c r="B516" s="3" t="str">
        <f>IFERROR(__xludf.DUMMYFUNCTION("""COMPUTED_VALUE"""),"4417 BROWNS RD")</f>
        <v>4417 BROWNS RD</v>
      </c>
      <c r="C516" s="3" t="str">
        <f>IFERROR(__xludf.DUMMYFUNCTION("""COMPUTED_VALUE"""),"PORT HOPE")</f>
        <v>PORT HOPE</v>
      </c>
      <c r="D516" s="3" t="str">
        <f>IFERROR(__xludf.DUMMYFUNCTION("""COMPUTED_VALUE"""),"L1A 3V8")</f>
        <v>L1A 3V8</v>
      </c>
      <c r="E516" s="3" t="str">
        <f>IFERROR(__xludf.DUMMYFUNCTION("""COMPUTED_VALUE"""),"Edward William Thomas")</f>
        <v>Edward William Thomas</v>
      </c>
      <c r="F516" s="3" t="str">
        <f>IFERROR(__xludf.DUMMYFUNCTION("""COMPUTED_VALUE"""),"et4417@icloud.com")</f>
        <v>et4417@icloud.com</v>
      </c>
      <c r="G516" s="3"/>
      <c r="H516" s="3"/>
    </row>
    <row r="517">
      <c r="A517" s="2">
        <f>IFERROR(__xludf.DUMMYFUNCTION("""COMPUTED_VALUE"""),11217.0)</f>
        <v>11217</v>
      </c>
      <c r="B517" s="3" t="str">
        <f>IFERROR(__xludf.DUMMYFUNCTION("""COMPUTED_VALUE"""),"4421 MASTWOOD RD")</f>
        <v>4421 MASTWOOD RD</v>
      </c>
      <c r="C517" s="3" t="str">
        <f>IFERROR(__xludf.DUMMYFUNCTION("""COMPUTED_VALUE"""),"PORT HOPE")</f>
        <v>PORT HOPE</v>
      </c>
      <c r="D517" s="3" t="str">
        <f>IFERROR(__xludf.DUMMYFUNCTION("""COMPUTED_VALUE"""),"L1A 3V5")</f>
        <v>L1A 3V5</v>
      </c>
      <c r="E517" s="3" t="str">
        <f>IFERROR(__xludf.DUMMYFUNCTION("""COMPUTED_VALUE"""),"Michael Greer")</f>
        <v>Michael Greer</v>
      </c>
      <c r="F517" s="3" t="str">
        <f>IFERROR(__xludf.DUMMYFUNCTION("""COMPUTED_VALUE"""),"greermichael@me.com")</f>
        <v>greermichael@me.com</v>
      </c>
      <c r="G517" s="3"/>
      <c r="H517" s="3"/>
    </row>
    <row r="518">
      <c r="A518" s="2">
        <f>IFERROR(__xludf.DUMMYFUNCTION("""COMPUTED_VALUE"""),10628.0)</f>
        <v>10628</v>
      </c>
      <c r="B518" s="3" t="str">
        <f>IFERROR(__xludf.DUMMYFUNCTION("""COMPUTED_VALUE"""),"4439 COUNTY RD 28 A")</f>
        <v>4439 COUNTY RD 28 A</v>
      </c>
      <c r="C518" s="3" t="str">
        <f>IFERROR(__xludf.DUMMYFUNCTION("""COMPUTED_VALUE"""),"PORT HOPE")</f>
        <v>PORT HOPE</v>
      </c>
      <c r="D518" s="3" t="str">
        <f>IFERROR(__xludf.DUMMYFUNCTION("""COMPUTED_VALUE"""),"L1A 3V6")</f>
        <v>L1A 3V6</v>
      </c>
      <c r="E518" s="3" t="str">
        <f>IFERROR(__xludf.DUMMYFUNCTION("""COMPUTED_VALUE"""),"humberto ")</f>
        <v>humberto </v>
      </c>
      <c r="F518" s="3"/>
      <c r="G518" s="3"/>
      <c r="H518" s="3"/>
    </row>
    <row r="519">
      <c r="A519" s="2">
        <f>IFERROR(__xludf.DUMMYFUNCTION("""COMPUTED_VALUE"""),11628.0)</f>
        <v>11628</v>
      </c>
      <c r="B519" s="3" t="str">
        <f>IFERROR(__xludf.DUMMYFUNCTION("""COMPUTED_VALUE"""),"4439 COUNTY RD 28 B")</f>
        <v>4439 COUNTY RD 28 B</v>
      </c>
      <c r="C519" s="3" t="str">
        <f>IFERROR(__xludf.DUMMYFUNCTION("""COMPUTED_VALUE"""),"PORT HOPE")</f>
        <v>PORT HOPE</v>
      </c>
      <c r="D519" s="3" t="str">
        <f>IFERROR(__xludf.DUMMYFUNCTION("""COMPUTED_VALUE"""),"L1A 3V6")</f>
        <v>L1A 3V6</v>
      </c>
      <c r="E519" s="3" t="str">
        <f>IFERROR(__xludf.DUMMYFUNCTION("""COMPUTED_VALUE"""),"humberto ")</f>
        <v>humberto </v>
      </c>
      <c r="F519" s="3"/>
      <c r="G519" s="3"/>
      <c r="H519" s="3"/>
    </row>
    <row r="520">
      <c r="A520" s="2">
        <f>IFERROR(__xludf.DUMMYFUNCTION("""COMPUTED_VALUE"""),11207.0)</f>
        <v>11207</v>
      </c>
      <c r="B520" s="3" t="str">
        <f>IFERROR(__xludf.DUMMYFUNCTION("""COMPUTED_VALUE"""),"4440 MASSEY RD")</f>
        <v>4440 MASSEY RD</v>
      </c>
      <c r="C520" s="3" t="str">
        <f>IFERROR(__xludf.DUMMYFUNCTION("""COMPUTED_VALUE"""),"PORT HOPE")</f>
        <v>PORT HOPE</v>
      </c>
      <c r="D520" s="3" t="str">
        <f>IFERROR(__xludf.DUMMYFUNCTION("""COMPUTED_VALUE"""),"L1A 3V5")</f>
        <v>L1A 3V5</v>
      </c>
      <c r="E520" s="3" t="str">
        <f>IFERROR(__xludf.DUMMYFUNCTION("""COMPUTED_VALUE"""),"Ian Angus")</f>
        <v>Ian Angus</v>
      </c>
      <c r="F520" s="3" t="str">
        <f>IFERROR(__xludf.DUMMYFUNCTION("""COMPUTED_VALUE"""),"anguslaw1@xplornet.com")</f>
        <v>anguslaw1@xplornet.com</v>
      </c>
      <c r="G520" s="3"/>
      <c r="H520" s="3"/>
    </row>
    <row r="521">
      <c r="A521" s="2">
        <f>IFERROR(__xludf.DUMMYFUNCTION("""COMPUTED_VALUE"""),10454.0)</f>
        <v>10454</v>
      </c>
      <c r="B521" s="3" t="str">
        <f>IFERROR(__xludf.DUMMYFUNCTION("""COMPUTED_VALUE"""),"4909 COUNTY RD 10")</f>
        <v>4909 COUNTY RD 10</v>
      </c>
      <c r="C521" s="3" t="str">
        <f>IFERROR(__xludf.DUMMYFUNCTION("""COMPUTED_VALUE"""),"PORT HOPE")</f>
        <v>PORT HOPE</v>
      </c>
      <c r="D521" s="3" t="str">
        <f>IFERROR(__xludf.DUMMYFUNCTION("""COMPUTED_VALUE"""),"L1A 3V5")</f>
        <v>L1A 3V5</v>
      </c>
      <c r="E521" s="3" t="str">
        <f>IFERROR(__xludf.DUMMYFUNCTION("""COMPUTED_VALUE"""),"Guy Carriere")</f>
        <v>Guy Carriere</v>
      </c>
      <c r="F521" s="3" t="str">
        <f>IFERROR(__xludf.DUMMYFUNCTION("""COMPUTED_VALUE"""),"planer62@live.com")</f>
        <v>planer62@live.com</v>
      </c>
      <c r="G521" s="3"/>
      <c r="H521" s="3"/>
    </row>
    <row r="522">
      <c r="A522" s="2">
        <f>IFERROR(__xludf.DUMMYFUNCTION("""COMPUTED_VALUE"""),10563.0)</f>
        <v>10563</v>
      </c>
      <c r="B522" s="3" t="str">
        <f>IFERROR(__xludf.DUMMYFUNCTION("""COMPUTED_VALUE"""),"4455 COUNTY RD 2")</f>
        <v>4455 COUNTY RD 2</v>
      </c>
      <c r="C522" s="3" t="str">
        <f>IFERROR(__xludf.DUMMYFUNCTION("""COMPUTED_VALUE"""),"PORT HOPE")</f>
        <v>PORT HOPE</v>
      </c>
      <c r="D522" s="3" t="str">
        <f>IFERROR(__xludf.DUMMYFUNCTION("""COMPUTED_VALUE"""),"L1A 3V5")</f>
        <v>L1A 3V5</v>
      </c>
      <c r="E522" s="3"/>
      <c r="F522" s="3"/>
      <c r="G522" s="3"/>
      <c r="H522" s="3"/>
    </row>
    <row r="523">
      <c r="A523" s="2">
        <f>IFERROR(__xludf.DUMMYFUNCTION("""COMPUTED_VALUE"""),10674.0)</f>
        <v>10674</v>
      </c>
      <c r="B523" s="3" t="str">
        <f>IFERROR(__xludf.DUMMYFUNCTION("""COMPUTED_VALUE"""),"4460 COUNTY RD 65")</f>
        <v>4460 COUNTY RD 65</v>
      </c>
      <c r="C523" s="3" t="str">
        <f>IFERROR(__xludf.DUMMYFUNCTION("""COMPUTED_VALUE"""),"PORT HOPE")</f>
        <v>PORT HOPE</v>
      </c>
      <c r="D523" s="3" t="str">
        <f>IFERROR(__xludf.DUMMYFUNCTION("""COMPUTED_VALUE"""),"L1A 3V5")</f>
        <v>L1A 3V5</v>
      </c>
      <c r="E523" s="3"/>
      <c r="F523" s="3"/>
      <c r="G523" s="3"/>
      <c r="H523" s="3"/>
    </row>
    <row r="524">
      <c r="A524" s="2">
        <f>IFERROR(__xludf.DUMMYFUNCTION("""COMPUTED_VALUE"""),11024.0)</f>
        <v>11024</v>
      </c>
      <c r="B524" s="3" t="str">
        <f>IFERROR(__xludf.DUMMYFUNCTION("""COMPUTED_VALUE"""),"4460 KELLOGG RD")</f>
        <v>4460 KELLOGG RD</v>
      </c>
      <c r="C524" s="3" t="str">
        <f>IFERROR(__xludf.DUMMYFUNCTION("""COMPUTED_VALUE"""),"PORT HOPE")</f>
        <v>PORT HOPE</v>
      </c>
      <c r="D524" s="3" t="str">
        <f>IFERROR(__xludf.DUMMYFUNCTION("""COMPUTED_VALUE"""),"L1A 3V7")</f>
        <v>L1A 3V7</v>
      </c>
      <c r="E524" s="3" t="str">
        <f>IFERROR(__xludf.DUMMYFUNCTION("""COMPUTED_VALUE"""),"Rafe Currelly")</f>
        <v>Rafe Currelly</v>
      </c>
      <c r="F524" s="3" t="str">
        <f>IFERROR(__xludf.DUMMYFUNCTION("""COMPUTED_VALUE"""),"rafe@ganaraskagrain.com")</f>
        <v>rafe@ganaraskagrain.com</v>
      </c>
      <c r="G524" s="3"/>
      <c r="H524" s="3"/>
    </row>
    <row r="525">
      <c r="A525" s="2">
        <f>IFERROR(__xludf.DUMMYFUNCTION("""COMPUTED_VALUE"""),10455.0)</f>
        <v>10455</v>
      </c>
      <c r="B525" s="3" t="str">
        <f>IFERROR(__xludf.DUMMYFUNCTION("""COMPUTED_VALUE"""),"4919 COUNTY RD 10")</f>
        <v>4919 COUNTY RD 10</v>
      </c>
      <c r="C525" s="3" t="str">
        <f>IFERROR(__xludf.DUMMYFUNCTION("""COMPUTED_VALUE"""),"PORT HOPE")</f>
        <v>PORT HOPE</v>
      </c>
      <c r="D525" s="3" t="str">
        <f>IFERROR(__xludf.DUMMYFUNCTION("""COMPUTED_VALUE"""),"L1A 3V5")</f>
        <v>L1A 3V5</v>
      </c>
      <c r="E525" s="3" t="str">
        <f>IFERROR(__xludf.DUMMYFUNCTION("""COMPUTED_VALUE"""),"James E Srill")</f>
        <v>James E Srill</v>
      </c>
      <c r="F525" s="3"/>
      <c r="G525" s="3"/>
      <c r="H525" s="3"/>
    </row>
    <row r="526">
      <c r="A526" s="2">
        <f>IFERROR(__xludf.DUMMYFUNCTION("""COMPUTED_VALUE"""),10310.0)</f>
        <v>10310</v>
      </c>
      <c r="B526" s="3" t="str">
        <f>IFERROR(__xludf.DUMMYFUNCTION("""COMPUTED_VALUE"""),"4488 BROWN'S RD")</f>
        <v>4488 BROWN'S RD</v>
      </c>
      <c r="C526" s="3" t="str">
        <f>IFERROR(__xludf.DUMMYFUNCTION("""COMPUTED_VALUE"""),"PORT HOPE")</f>
        <v>PORT HOPE</v>
      </c>
      <c r="D526" s="3" t="str">
        <f>IFERROR(__xludf.DUMMYFUNCTION("""COMPUTED_VALUE"""),"L1A 3V8")</f>
        <v>L1A 3V8</v>
      </c>
      <c r="E526" s="3" t="str">
        <f>IFERROR(__xludf.DUMMYFUNCTION("""COMPUTED_VALUE"""),"John tanaka ")</f>
        <v>John tanaka </v>
      </c>
      <c r="F526" s="3"/>
      <c r="G526" s="3"/>
      <c r="H526" s="3"/>
    </row>
    <row r="527">
      <c r="A527" s="2">
        <f>IFERROR(__xludf.DUMMYFUNCTION("""COMPUTED_VALUE"""),10564.0)</f>
        <v>10564</v>
      </c>
      <c r="B527" s="3" t="str">
        <f>IFERROR(__xludf.DUMMYFUNCTION("""COMPUTED_VALUE"""),"4493 COUNTY RD 2")</f>
        <v>4493 COUNTY RD 2</v>
      </c>
      <c r="C527" s="3" t="str">
        <f>IFERROR(__xludf.DUMMYFUNCTION("""COMPUTED_VALUE"""),"PORT HOPE")</f>
        <v>PORT HOPE</v>
      </c>
      <c r="D527" s="3" t="str">
        <f>IFERROR(__xludf.DUMMYFUNCTION("""COMPUTED_VALUE"""),"L1A 3V5")</f>
        <v>L1A 3V5</v>
      </c>
      <c r="E527" s="3"/>
      <c r="F527" s="3"/>
      <c r="G527" s="3"/>
      <c r="H527" s="3"/>
    </row>
    <row r="528">
      <c r="A528" s="2">
        <f>IFERROR(__xludf.DUMMYFUNCTION("""COMPUTED_VALUE"""),11616.0)</f>
        <v>11616</v>
      </c>
      <c r="B528" s="3" t="str">
        <f>IFERROR(__xludf.DUMMYFUNCTION("""COMPUTED_VALUE"""),"4510 KELLOGG RD A")</f>
        <v>4510 KELLOGG RD A</v>
      </c>
      <c r="C528" s="3" t="str">
        <f>IFERROR(__xludf.DUMMYFUNCTION("""COMPUTED_VALUE"""),"PORT HOPE")</f>
        <v>PORT HOPE</v>
      </c>
      <c r="D528" s="3" t="str">
        <f>IFERROR(__xludf.DUMMYFUNCTION("""COMPUTED_VALUE"""),"L1A 3V7")</f>
        <v>L1A 3V7</v>
      </c>
      <c r="E528" s="3" t="str">
        <f>IFERROR(__xludf.DUMMYFUNCTION("""COMPUTED_VALUE"""),"MARGOT CURRELLY")</f>
        <v>MARGOT CURRELLY</v>
      </c>
      <c r="F528" s="3" t="str">
        <f>IFERROR(__xludf.DUMMYFUNCTION("""COMPUTED_VALUE"""),"margot@ganaraskagrain.com")</f>
        <v>margot@ganaraskagrain.com</v>
      </c>
      <c r="G528" s="3"/>
      <c r="H528" s="3"/>
    </row>
    <row r="529">
      <c r="A529" s="2">
        <f>IFERROR(__xludf.DUMMYFUNCTION("""COMPUTED_VALUE"""),11617.0)</f>
        <v>11617</v>
      </c>
      <c r="B529" s="3" t="str">
        <f>IFERROR(__xludf.DUMMYFUNCTION("""COMPUTED_VALUE"""),"4510 KELLOGG RD B")</f>
        <v>4510 KELLOGG RD B</v>
      </c>
      <c r="C529" s="3" t="str">
        <f>IFERROR(__xludf.DUMMYFUNCTION("""COMPUTED_VALUE"""),"PORT HOPE")</f>
        <v>PORT HOPE</v>
      </c>
      <c r="D529" s="3" t="str">
        <f>IFERROR(__xludf.DUMMYFUNCTION("""COMPUTED_VALUE"""),"L1A 3V7")</f>
        <v>L1A 3V7</v>
      </c>
      <c r="E529" s="3"/>
      <c r="F529" s="3"/>
      <c r="G529" s="3"/>
      <c r="H529" s="3"/>
    </row>
    <row r="530">
      <c r="A530" s="2">
        <f>IFERROR(__xludf.DUMMYFUNCTION("""COMPUTED_VALUE"""),10566.0)</f>
        <v>10566</v>
      </c>
      <c r="B530" s="3" t="str">
        <f>IFERROR(__xludf.DUMMYFUNCTION("""COMPUTED_VALUE"""),"4510 COUNTY RD 2")</f>
        <v>4510 COUNTY RD 2</v>
      </c>
      <c r="C530" s="3" t="str">
        <f>IFERROR(__xludf.DUMMYFUNCTION("""COMPUTED_VALUE"""),"PORT HOPE")</f>
        <v>PORT HOPE</v>
      </c>
      <c r="D530" s="3" t="str">
        <f>IFERROR(__xludf.DUMMYFUNCTION("""COMPUTED_VALUE"""),"L1A 3V5")</f>
        <v>L1A 3V5</v>
      </c>
      <c r="E530" s="3" t="str">
        <f>IFERROR(__xludf.DUMMYFUNCTION("""COMPUTED_VALUE"""),"Rajesh Dhirubhai Patel")</f>
        <v>Rajesh Dhirubhai Patel</v>
      </c>
      <c r="F530" s="3" t="str">
        <f>IFERROR(__xludf.DUMMYFUNCTION("""COMPUTED_VALUE"""),"patelrajdp@yahoo.com")</f>
        <v>patelrajdp@yahoo.com</v>
      </c>
      <c r="G530" s="3"/>
      <c r="H530" s="3"/>
    </row>
    <row r="531">
      <c r="A531" s="2">
        <f>IFERROR(__xludf.DUMMYFUNCTION("""COMPUTED_VALUE"""),11377.0)</f>
        <v>11377</v>
      </c>
      <c r="B531" s="3" t="str">
        <f>IFERROR(__xludf.DUMMYFUNCTION("""COMPUTED_VALUE"""),"4514 RICE LAKE DR S")</f>
        <v>4514 RICE LAKE DR S</v>
      </c>
      <c r="C531" s="3" t="str">
        <f>IFERROR(__xludf.DUMMYFUNCTION("""COMPUTED_VALUE"""),"PORT HOPE")</f>
        <v>PORT HOPE</v>
      </c>
      <c r="D531" s="3" t="str">
        <f>IFERROR(__xludf.DUMMYFUNCTION("""COMPUTED_VALUE"""),"L1A 3V6")</f>
        <v>L1A 3V6</v>
      </c>
      <c r="E531" s="3"/>
      <c r="F531" s="3"/>
      <c r="G531" s="3"/>
      <c r="H531" s="3"/>
    </row>
    <row r="532">
      <c r="A532" s="2">
        <f>IFERROR(__xludf.DUMMYFUNCTION("""COMPUTED_VALUE"""),11208.0)</f>
        <v>11208</v>
      </c>
      <c r="B532" s="3" t="str">
        <f>IFERROR(__xludf.DUMMYFUNCTION("""COMPUTED_VALUE"""),"4534 MASSEY RD")</f>
        <v>4534 MASSEY RD</v>
      </c>
      <c r="C532" s="3" t="str">
        <f>IFERROR(__xludf.DUMMYFUNCTION("""COMPUTED_VALUE"""),"PORT HOPE")</f>
        <v>PORT HOPE</v>
      </c>
      <c r="D532" s="3" t="str">
        <f>IFERROR(__xludf.DUMMYFUNCTION("""COMPUTED_VALUE"""),"L1A 3V5")</f>
        <v>L1A 3V5</v>
      </c>
      <c r="E532" s="3" t="str">
        <f>IFERROR(__xludf.DUMMYFUNCTION("""COMPUTED_VALUE"""),"Ian Angus")</f>
        <v>Ian Angus</v>
      </c>
      <c r="F532" s="3" t="str">
        <f>IFERROR(__xludf.DUMMYFUNCTION("""COMPUTED_VALUE"""),"anguslaw1@xplornet.com")</f>
        <v>anguslaw1@xplornet.com</v>
      </c>
      <c r="G532" s="3"/>
      <c r="H532" s="3"/>
    </row>
    <row r="533">
      <c r="A533" s="2">
        <f>IFERROR(__xludf.DUMMYFUNCTION("""COMPUTED_VALUE"""),11378.0)</f>
        <v>11378</v>
      </c>
      <c r="B533" s="3" t="str">
        <f>IFERROR(__xludf.DUMMYFUNCTION("""COMPUTED_VALUE"""),"4534 RICE LAKE DR S")</f>
        <v>4534 RICE LAKE DR S</v>
      </c>
      <c r="C533" s="3" t="str">
        <f>IFERROR(__xludf.DUMMYFUNCTION("""COMPUTED_VALUE"""),"PORT HOPE")</f>
        <v>PORT HOPE</v>
      </c>
      <c r="D533" s="3" t="str">
        <f>IFERROR(__xludf.DUMMYFUNCTION("""COMPUTED_VALUE"""),"L1A 3V6")</f>
        <v>L1A 3V6</v>
      </c>
      <c r="E533" s="3" t="str">
        <f>IFERROR(__xludf.DUMMYFUNCTION("""COMPUTED_VALUE"""),"Vernon Hotte")</f>
        <v>Vernon Hotte</v>
      </c>
      <c r="F533" s="3" t="str">
        <f>IFERROR(__xludf.DUMMYFUNCTION("""COMPUTED_VALUE"""),"vnhotte@gmail.com")</f>
        <v>vnhotte@gmail.com</v>
      </c>
      <c r="G533" s="3"/>
      <c r="H533" s="3"/>
    </row>
    <row r="534">
      <c r="A534" s="2">
        <f>IFERROR(__xludf.DUMMYFUNCTION("""COMPUTED_VALUE"""),10567.0)</f>
        <v>10567</v>
      </c>
      <c r="B534" s="3" t="str">
        <f>IFERROR(__xludf.DUMMYFUNCTION("""COMPUTED_VALUE"""),"4542 COUNTY RD 2")</f>
        <v>4542 COUNTY RD 2</v>
      </c>
      <c r="C534" s="3" t="str">
        <f>IFERROR(__xludf.DUMMYFUNCTION("""COMPUTED_VALUE"""),"PORT HOPE")</f>
        <v>PORT HOPE</v>
      </c>
      <c r="D534" s="3" t="str">
        <f>IFERROR(__xludf.DUMMYFUNCTION("""COMPUTED_VALUE"""),"L1A 3V5")</f>
        <v>L1A 3V5</v>
      </c>
      <c r="E534" s="3"/>
      <c r="F534" s="3"/>
      <c r="G534" s="3"/>
      <c r="H534" s="3"/>
    </row>
    <row r="535">
      <c r="A535" s="2">
        <f>IFERROR(__xludf.DUMMYFUNCTION("""COMPUTED_VALUE"""),11379.0)</f>
        <v>11379</v>
      </c>
      <c r="B535" s="3" t="str">
        <f>IFERROR(__xludf.DUMMYFUNCTION("""COMPUTED_VALUE"""),"4543 RICE LAKE DR S")</f>
        <v>4543 RICE LAKE DR S</v>
      </c>
      <c r="C535" s="3" t="str">
        <f>IFERROR(__xludf.DUMMYFUNCTION("""COMPUTED_VALUE"""),"PORT HOPE")</f>
        <v>PORT HOPE</v>
      </c>
      <c r="D535" s="3" t="str">
        <f>IFERROR(__xludf.DUMMYFUNCTION("""COMPUTED_VALUE"""),"L1A 3V6")</f>
        <v>L1A 3V6</v>
      </c>
      <c r="E535" s="3" t="str">
        <f>IFERROR(__xludf.DUMMYFUNCTION("""COMPUTED_VALUE"""),"Dean Papineau")</f>
        <v>Dean Papineau</v>
      </c>
      <c r="F535" s="3" t="str">
        <f>IFERROR(__xludf.DUMMYFUNCTION("""COMPUTED_VALUE"""),"papineau.ld@gmail.com")</f>
        <v>papineau.ld@gmail.com</v>
      </c>
      <c r="G535" s="3"/>
      <c r="H535" s="3"/>
    </row>
    <row r="536">
      <c r="A536" s="2">
        <f>IFERROR(__xludf.DUMMYFUNCTION("""COMPUTED_VALUE"""),11380.0)</f>
        <v>11380</v>
      </c>
      <c r="B536" s="3" t="str">
        <f>IFERROR(__xludf.DUMMYFUNCTION("""COMPUTED_VALUE"""),"4549 RICE LAKE DR S")</f>
        <v>4549 RICE LAKE DR S</v>
      </c>
      <c r="C536" s="3" t="str">
        <f>IFERROR(__xludf.DUMMYFUNCTION("""COMPUTED_VALUE"""),"PORT HOPE")</f>
        <v>PORT HOPE</v>
      </c>
      <c r="D536" s="3" t="str">
        <f>IFERROR(__xludf.DUMMYFUNCTION("""COMPUTED_VALUE"""),"L1A 3V6")</f>
        <v>L1A 3V6</v>
      </c>
      <c r="E536" s="3" t="str">
        <f>IFERROR(__xludf.DUMMYFUNCTION("""COMPUTED_VALUE"""),"Chrishna Brown &amp; Andrew Godman")</f>
        <v>Chrishna Brown &amp; Andrew Godman</v>
      </c>
      <c r="F536" s="3" t="str">
        <f>IFERROR(__xludf.DUMMYFUNCTION("""COMPUTED_VALUE"""),"chrissybo91@icloud.com")</f>
        <v>chrissybo91@icloud.com</v>
      </c>
      <c r="G536" s="3"/>
      <c r="H536" s="3"/>
    </row>
    <row r="537">
      <c r="A537" s="2">
        <f>IFERROR(__xludf.DUMMYFUNCTION("""COMPUTED_VALUE"""),11381.0)</f>
        <v>11381</v>
      </c>
      <c r="B537" s="3" t="str">
        <f>IFERROR(__xludf.DUMMYFUNCTION("""COMPUTED_VALUE"""),"4555 RICE LAKE DR S")</f>
        <v>4555 RICE LAKE DR S</v>
      </c>
      <c r="C537" s="3" t="str">
        <f>IFERROR(__xludf.DUMMYFUNCTION("""COMPUTED_VALUE"""),"PORT HOPE")</f>
        <v>PORT HOPE</v>
      </c>
      <c r="D537" s="3" t="str">
        <f>IFERROR(__xludf.DUMMYFUNCTION("""COMPUTED_VALUE"""),"L1A 3V6")</f>
        <v>L1A 3V6</v>
      </c>
      <c r="E537" s="3" t="str">
        <f>IFERROR(__xludf.DUMMYFUNCTION("""COMPUTED_VALUE"""),"Christina Smith")</f>
        <v>Christina Smith</v>
      </c>
      <c r="F537" s="3"/>
      <c r="G537" s="3"/>
      <c r="H537" s="3"/>
    </row>
    <row r="538">
      <c r="A538" s="2">
        <f>IFERROR(__xludf.DUMMYFUNCTION("""COMPUTED_VALUE"""),10456.0)</f>
        <v>10456</v>
      </c>
      <c r="B538" s="3" t="str">
        <f>IFERROR(__xludf.DUMMYFUNCTION("""COMPUTED_VALUE"""),"4929 COUNTY RD 10")</f>
        <v>4929 COUNTY RD 10</v>
      </c>
      <c r="C538" s="3" t="str">
        <f>IFERROR(__xludf.DUMMYFUNCTION("""COMPUTED_VALUE"""),"PORT HOPE")</f>
        <v>PORT HOPE</v>
      </c>
      <c r="D538" s="3" t="str">
        <f>IFERROR(__xludf.DUMMYFUNCTION("""COMPUTED_VALUE"""),"L1A 3V5")</f>
        <v>L1A 3V5</v>
      </c>
      <c r="E538" s="3" t="str">
        <f>IFERROR(__xludf.DUMMYFUNCTION("""COMPUTED_VALUE"""),"Rhys Palma")</f>
        <v>Rhys Palma</v>
      </c>
      <c r="F538" s="3" t="str">
        <f>IFERROR(__xludf.DUMMYFUNCTION("""COMPUTED_VALUE"""),"palmarhys@gmail.com")</f>
        <v>palmarhys@gmail.com</v>
      </c>
      <c r="G538" s="3"/>
      <c r="H538" s="3"/>
    </row>
    <row r="539">
      <c r="A539" s="2">
        <f>IFERROR(__xludf.DUMMYFUNCTION("""COMPUTED_VALUE"""),10457.0)</f>
        <v>10457</v>
      </c>
      <c r="B539" s="3" t="str">
        <f>IFERROR(__xludf.DUMMYFUNCTION("""COMPUTED_VALUE"""),"4941 COUNTY RD 10")</f>
        <v>4941 COUNTY RD 10</v>
      </c>
      <c r="C539" s="3" t="str">
        <f>IFERROR(__xludf.DUMMYFUNCTION("""COMPUTED_VALUE"""),"PORT HOPE")</f>
        <v>PORT HOPE</v>
      </c>
      <c r="D539" s="3" t="str">
        <f>IFERROR(__xludf.DUMMYFUNCTION("""COMPUTED_VALUE"""),"L1A 3V5")</f>
        <v>L1A 3V5</v>
      </c>
      <c r="E539" s="3" t="str">
        <f>IFERROR(__xludf.DUMMYFUNCTION("""COMPUTED_VALUE"""),"ERIN BELL-ANDERSON")</f>
        <v>ERIN BELL-ANDERSON</v>
      </c>
      <c r="F539" s="3" t="str">
        <f>IFERROR(__xludf.DUMMYFUNCTION("""COMPUTED_VALUE"""),"Bellanderson2017@gmail.com")</f>
        <v>Bellanderson2017@gmail.com</v>
      </c>
      <c r="G539" s="3"/>
      <c r="H539" s="3"/>
    </row>
    <row r="540">
      <c r="A540" s="2">
        <f>IFERROR(__xludf.DUMMYFUNCTION("""COMPUTED_VALUE"""),11382.0)</f>
        <v>11382</v>
      </c>
      <c r="B540" s="3" t="str">
        <f>IFERROR(__xludf.DUMMYFUNCTION("""COMPUTED_VALUE"""),"4561 RICE LAKE DR S")</f>
        <v>4561 RICE LAKE DR S</v>
      </c>
      <c r="C540" s="3" t="str">
        <f>IFERROR(__xludf.DUMMYFUNCTION("""COMPUTED_VALUE"""),"PORT HOPE")</f>
        <v>PORT HOPE</v>
      </c>
      <c r="D540" s="3" t="str">
        <f>IFERROR(__xludf.DUMMYFUNCTION("""COMPUTED_VALUE"""),"L1A 3V6")</f>
        <v>L1A 3V6</v>
      </c>
      <c r="E540" s="3" t="str">
        <f>IFERROR(__xludf.DUMMYFUNCTION("""COMPUTED_VALUE"""),"Joanna Ivasiuk")</f>
        <v>Joanna Ivasiuk</v>
      </c>
      <c r="F540" s="3" t="str">
        <f>IFERROR(__xludf.DUMMYFUNCTION("""COMPUTED_VALUE"""),"joanna@bwmscanada.net")</f>
        <v>joanna@bwmscanada.net</v>
      </c>
      <c r="G540" s="3"/>
      <c r="H540" s="3"/>
    </row>
    <row r="541">
      <c r="A541" s="2">
        <f>IFERROR(__xludf.DUMMYFUNCTION("""COMPUTED_VALUE"""),11383.0)</f>
        <v>11383</v>
      </c>
      <c r="B541" s="3" t="str">
        <f>IFERROR(__xludf.DUMMYFUNCTION("""COMPUTED_VALUE"""),"4565 RICE LAKE DR S")</f>
        <v>4565 RICE LAKE DR S</v>
      </c>
      <c r="C541" s="3" t="str">
        <f>IFERROR(__xludf.DUMMYFUNCTION("""COMPUTED_VALUE"""),"PORT HOPE")</f>
        <v>PORT HOPE</v>
      </c>
      <c r="D541" s="3" t="str">
        <f>IFERROR(__xludf.DUMMYFUNCTION("""COMPUTED_VALUE"""),"L1A 3V6")</f>
        <v>L1A 3V6</v>
      </c>
      <c r="E541" s="3" t="str">
        <f>IFERROR(__xludf.DUMMYFUNCTION("""COMPUTED_VALUE"""),"Neil &amp; Judy Smith")</f>
        <v>Neil &amp; Judy Smith</v>
      </c>
      <c r="F541" s="3"/>
      <c r="G541" s="3"/>
      <c r="H541" s="3"/>
    </row>
    <row r="542">
      <c r="A542" s="2">
        <f>IFERROR(__xludf.DUMMYFUNCTION("""COMPUTED_VALUE"""),11025.0)</f>
        <v>11025</v>
      </c>
      <c r="B542" s="3" t="str">
        <f>IFERROR(__xludf.DUMMYFUNCTION("""COMPUTED_VALUE"""),"4566 KELLOGG RD")</f>
        <v>4566 KELLOGG RD</v>
      </c>
      <c r="C542" s="3" t="str">
        <f>IFERROR(__xludf.DUMMYFUNCTION("""COMPUTED_VALUE"""),"PORT HOPE")</f>
        <v>PORT HOPE</v>
      </c>
      <c r="D542" s="3" t="str">
        <f>IFERROR(__xludf.DUMMYFUNCTION("""COMPUTED_VALUE"""),"L1A 3V7")</f>
        <v>L1A 3V7</v>
      </c>
      <c r="E542" s="3" t="str">
        <f>IFERROR(__xludf.DUMMYFUNCTION("""COMPUTED_VALUE"""),"Margot Currelly")</f>
        <v>Margot Currelly</v>
      </c>
      <c r="F542" s="3" t="str">
        <f>IFERROR(__xludf.DUMMYFUNCTION("""COMPUTED_VALUE"""),"margot@ganaraskagrain.com")</f>
        <v>margot@ganaraskagrain.com</v>
      </c>
      <c r="G542" s="3"/>
      <c r="H542" s="3"/>
    </row>
    <row r="543">
      <c r="A543" s="2">
        <f>IFERROR(__xludf.DUMMYFUNCTION("""COMPUTED_VALUE"""),10568.0)</f>
        <v>10568</v>
      </c>
      <c r="B543" s="3" t="str">
        <f>IFERROR(__xludf.DUMMYFUNCTION("""COMPUTED_VALUE"""),"4571 COUNTY RD 2")</f>
        <v>4571 COUNTY RD 2</v>
      </c>
      <c r="C543" s="3" t="str">
        <f>IFERROR(__xludf.DUMMYFUNCTION("""COMPUTED_VALUE"""),"PORT HOPE")</f>
        <v>PORT HOPE</v>
      </c>
      <c r="D543" s="3" t="str">
        <f>IFERROR(__xludf.DUMMYFUNCTION("""COMPUTED_VALUE"""),"L1A 3V5")</f>
        <v>L1A 3V5</v>
      </c>
      <c r="E543" s="3"/>
      <c r="F543" s="3"/>
      <c r="G543" s="3"/>
      <c r="H543" s="3"/>
    </row>
    <row r="544">
      <c r="A544" s="2">
        <f>IFERROR(__xludf.DUMMYFUNCTION("""COMPUTED_VALUE"""),10569.0)</f>
        <v>10569</v>
      </c>
      <c r="B544" s="3" t="str">
        <f>IFERROR(__xludf.DUMMYFUNCTION("""COMPUTED_VALUE"""),"4572 COUNTY RD 2")</f>
        <v>4572 COUNTY RD 2</v>
      </c>
      <c r="C544" s="3" t="str">
        <f>IFERROR(__xludf.DUMMYFUNCTION("""COMPUTED_VALUE"""),"PORT HOPE")</f>
        <v>PORT HOPE</v>
      </c>
      <c r="D544" s="3" t="str">
        <f>IFERROR(__xludf.DUMMYFUNCTION("""COMPUTED_VALUE"""),"L1A 3V5")</f>
        <v>L1A 3V5</v>
      </c>
      <c r="E544" s="3" t="str">
        <f>IFERROR(__xludf.DUMMYFUNCTION("""COMPUTED_VALUE"""),"RAJ VAID")</f>
        <v>RAJ VAID</v>
      </c>
      <c r="F544" s="3" t="str">
        <f>IFERROR(__xludf.DUMMYFUNCTION("""COMPUTED_VALUE"""),"rajvaidesso@gmail.com")</f>
        <v>rajvaidesso@gmail.com</v>
      </c>
      <c r="G544" s="3"/>
      <c r="H544" s="3"/>
    </row>
    <row r="545">
      <c r="A545" s="2">
        <f>IFERROR(__xludf.DUMMYFUNCTION("""COMPUTED_VALUE"""),10311.0)</f>
        <v>10311</v>
      </c>
      <c r="B545" s="3" t="str">
        <f>IFERROR(__xludf.DUMMYFUNCTION("""COMPUTED_VALUE"""),"4578 BROWN'S RD")</f>
        <v>4578 BROWN'S RD</v>
      </c>
      <c r="C545" s="3" t="str">
        <f>IFERROR(__xludf.DUMMYFUNCTION("""COMPUTED_VALUE"""),"PORT HOPE")</f>
        <v>PORT HOPE</v>
      </c>
      <c r="D545" s="3" t="str">
        <f>IFERROR(__xludf.DUMMYFUNCTION("""COMPUTED_VALUE"""),"L1A 3V8")</f>
        <v>L1A 3V8</v>
      </c>
      <c r="E545" s="3" t="str">
        <f>IFERROR(__xludf.DUMMYFUNCTION("""COMPUTED_VALUE"""),"Paul and Margaret Appleman")</f>
        <v>Paul and Margaret Appleman</v>
      </c>
      <c r="F545" s="3" t="str">
        <f>IFERROR(__xludf.DUMMYFUNCTION("""COMPUTED_VALUE"""),"pmapple6@gmail.com")</f>
        <v>pmapple6@gmail.com</v>
      </c>
      <c r="G545" s="3"/>
      <c r="H545" s="3"/>
    </row>
    <row r="546">
      <c r="A546" s="2">
        <f>IFERROR(__xludf.DUMMYFUNCTION("""COMPUTED_VALUE"""),11384.0)</f>
        <v>11384</v>
      </c>
      <c r="B546" s="3" t="str">
        <f>IFERROR(__xludf.DUMMYFUNCTION("""COMPUTED_VALUE"""),"4579 RICE LAKE DR S")</f>
        <v>4579 RICE LAKE DR S</v>
      </c>
      <c r="C546" s="3" t="str">
        <f>IFERROR(__xludf.DUMMYFUNCTION("""COMPUTED_VALUE"""),"PORT HOPE")</f>
        <v>PORT HOPE</v>
      </c>
      <c r="D546" s="3" t="str">
        <f>IFERROR(__xludf.DUMMYFUNCTION("""COMPUTED_VALUE"""),"L1A 3V6")</f>
        <v>L1A 3V6</v>
      </c>
      <c r="E546" s="3" t="str">
        <f>IFERROR(__xludf.DUMMYFUNCTION("""COMPUTED_VALUE"""),"Christopher James Wakelin")</f>
        <v>Christopher James Wakelin</v>
      </c>
      <c r="F546" s="3" t="str">
        <f>IFERROR(__xludf.DUMMYFUNCTION("""COMPUTED_VALUE"""),"chriswakelin@hotmail.com")</f>
        <v>chriswakelin@hotmail.com</v>
      </c>
      <c r="G546" s="3"/>
      <c r="H546" s="3"/>
    </row>
    <row r="547">
      <c r="A547" s="2">
        <f>IFERROR(__xludf.DUMMYFUNCTION("""COMPUTED_VALUE"""),11385.0)</f>
        <v>11385</v>
      </c>
      <c r="B547" s="3" t="str">
        <f>IFERROR(__xludf.DUMMYFUNCTION("""COMPUTED_VALUE"""),"4583 RICE LAKE DR S")</f>
        <v>4583 RICE LAKE DR S</v>
      </c>
      <c r="C547" s="3" t="str">
        <f>IFERROR(__xludf.DUMMYFUNCTION("""COMPUTED_VALUE"""),"PORT HOPE")</f>
        <v>PORT HOPE</v>
      </c>
      <c r="D547" s="3" t="str">
        <f>IFERROR(__xludf.DUMMYFUNCTION("""COMPUTED_VALUE"""),"L1A 3V6")</f>
        <v>L1A 3V6</v>
      </c>
      <c r="E547" s="3" t="str">
        <f>IFERROR(__xludf.DUMMYFUNCTION("""COMPUTED_VALUE"""),"Glenn Kennedy ")</f>
        <v>Glenn Kennedy </v>
      </c>
      <c r="F547" s="3" t="str">
        <f>IFERROR(__xludf.DUMMYFUNCTION("""COMPUTED_VALUE"""),"glennkimken@gmail.com")</f>
        <v>glennkimken@gmail.com</v>
      </c>
      <c r="G547" s="3"/>
      <c r="H547" s="3"/>
    </row>
    <row r="548">
      <c r="A548" s="2">
        <f>IFERROR(__xludf.DUMMYFUNCTION("""COMPUTED_VALUE"""),11209.0)</f>
        <v>11209</v>
      </c>
      <c r="B548" s="3" t="str">
        <f>IFERROR(__xludf.DUMMYFUNCTION("""COMPUTED_VALUE"""),"4585 MASSEY RD")</f>
        <v>4585 MASSEY RD</v>
      </c>
      <c r="C548" s="3" t="str">
        <f>IFERROR(__xludf.DUMMYFUNCTION("""COMPUTED_VALUE"""),"PORT HOPE")</f>
        <v>PORT HOPE</v>
      </c>
      <c r="D548" s="3" t="str">
        <f>IFERROR(__xludf.DUMMYFUNCTION("""COMPUTED_VALUE"""),"L1A 3V5")</f>
        <v>L1A 3V5</v>
      </c>
      <c r="E548" s="3" t="str">
        <f>IFERROR(__xludf.DUMMYFUNCTION("""COMPUTED_VALUE"""),"Promise Shepherd")</f>
        <v>Promise Shepherd</v>
      </c>
      <c r="F548" s="3" t="str">
        <f>IFERROR(__xludf.DUMMYFUNCTION("""COMPUTED_VALUE"""),"theshepherdsonline@gmail.com")</f>
        <v>theshepherdsonline@gmail.com</v>
      </c>
      <c r="G548" s="3"/>
      <c r="H548" s="3"/>
    </row>
    <row r="549">
      <c r="A549" s="2">
        <f>IFERROR(__xludf.DUMMYFUNCTION("""COMPUTED_VALUE"""),11386.0)</f>
        <v>11386</v>
      </c>
      <c r="B549" s="3" t="str">
        <f>IFERROR(__xludf.DUMMYFUNCTION("""COMPUTED_VALUE"""),"4589 RICE LAKE DR S")</f>
        <v>4589 RICE LAKE DR S</v>
      </c>
      <c r="C549" s="3" t="str">
        <f>IFERROR(__xludf.DUMMYFUNCTION("""COMPUTED_VALUE"""),"PORT HOPE")</f>
        <v>PORT HOPE</v>
      </c>
      <c r="D549" s="3" t="str">
        <f>IFERROR(__xludf.DUMMYFUNCTION("""COMPUTED_VALUE"""),"L1A 3V6")</f>
        <v>L1A 3V6</v>
      </c>
      <c r="E549" s="3" t="str">
        <f>IFERROR(__xludf.DUMMYFUNCTION("""COMPUTED_VALUE"""),"Steve verge | Jackie Verge")</f>
        <v>Steve verge | Jackie Verge</v>
      </c>
      <c r="F549" s="3" t="str">
        <f>IFERROR(__xludf.DUMMYFUNCTION("""COMPUTED_VALUE"""),"Sverge@gmail.com")</f>
        <v>Sverge@gmail.com</v>
      </c>
      <c r="G549" s="3"/>
      <c r="H549" s="3"/>
    </row>
    <row r="550">
      <c r="A550" s="2">
        <f>IFERROR(__xludf.DUMMYFUNCTION("""COMPUTED_VALUE"""),11387.0)</f>
        <v>11387</v>
      </c>
      <c r="B550" s="3" t="str">
        <f>IFERROR(__xludf.DUMMYFUNCTION("""COMPUTED_VALUE"""),"4595 RICE LAKE DR S")</f>
        <v>4595 RICE LAKE DR S</v>
      </c>
      <c r="C550" s="3" t="str">
        <f>IFERROR(__xludf.DUMMYFUNCTION("""COMPUTED_VALUE"""),"PORT HOPE")</f>
        <v>PORT HOPE</v>
      </c>
      <c r="D550" s="3" t="str">
        <f>IFERROR(__xludf.DUMMYFUNCTION("""COMPUTED_VALUE"""),"L1A 3V6")</f>
        <v>L1A 3V6</v>
      </c>
      <c r="E550" s="3"/>
      <c r="F550" s="3"/>
      <c r="G550" s="3"/>
      <c r="H550" s="3"/>
    </row>
    <row r="551">
      <c r="A551" s="2">
        <f>IFERROR(__xludf.DUMMYFUNCTION("""COMPUTED_VALUE"""),11210.0)</f>
        <v>11210</v>
      </c>
      <c r="B551" s="3" t="str">
        <f>IFERROR(__xludf.DUMMYFUNCTION("""COMPUTED_VALUE"""),"4599 MASSEY RD")</f>
        <v>4599 MASSEY RD</v>
      </c>
      <c r="C551" s="3" t="str">
        <f>IFERROR(__xludf.DUMMYFUNCTION("""COMPUTED_VALUE"""),"PORT HOPE")</f>
        <v>PORT HOPE</v>
      </c>
      <c r="D551" s="3" t="str">
        <f>IFERROR(__xludf.DUMMYFUNCTION("""COMPUTED_VALUE"""),"L1A 3V5")</f>
        <v>L1A 3V5</v>
      </c>
      <c r="E551" s="3" t="str">
        <f>IFERROR(__xludf.DUMMYFUNCTION("""COMPUTED_VALUE"""),"Pamela Tate")</f>
        <v>Pamela Tate</v>
      </c>
      <c r="F551" s="3" t="str">
        <f>IFERROR(__xludf.DUMMYFUNCTION("""COMPUTED_VALUE"""),"thetategallery@hotmail.com")</f>
        <v>thetategallery@hotmail.com</v>
      </c>
      <c r="G551" s="3"/>
      <c r="H551" s="3"/>
    </row>
    <row r="552">
      <c r="A552" s="2">
        <f>IFERROR(__xludf.DUMMYFUNCTION("""COMPUTED_VALUE"""),11618.0)</f>
        <v>11618</v>
      </c>
      <c r="B552" s="3" t="str">
        <f>IFERROR(__xludf.DUMMYFUNCTION("""COMPUTED_VALUE"""),"4600 MASSEY RD")</f>
        <v>4600 MASSEY RD</v>
      </c>
      <c r="C552" s="3" t="str">
        <f>IFERROR(__xludf.DUMMYFUNCTION("""COMPUTED_VALUE"""),"PORT HOPE")</f>
        <v>PORT HOPE</v>
      </c>
      <c r="D552" s="3" t="str">
        <f>IFERROR(__xludf.DUMMYFUNCTION("""COMPUTED_VALUE"""),"L1A 3V5")</f>
        <v>L1A 3V5</v>
      </c>
      <c r="E552" s="3" t="str">
        <f>IFERROR(__xludf.DUMMYFUNCTION("""COMPUTED_VALUE"""),"Paul clarke")</f>
        <v>Paul clarke</v>
      </c>
      <c r="F552" s="3"/>
      <c r="G552" s="3"/>
      <c r="H552" s="3"/>
    </row>
    <row r="553">
      <c r="A553" s="2">
        <f>IFERROR(__xludf.DUMMYFUNCTION("""COMPUTED_VALUE"""),11619.0)</f>
        <v>11619</v>
      </c>
      <c r="B553" s="3" t="str">
        <f>IFERROR(__xludf.DUMMYFUNCTION("""COMPUTED_VALUE"""),"4600 MASSEY RD")</f>
        <v>4600 MASSEY RD</v>
      </c>
      <c r="C553" s="3" t="str">
        <f>IFERROR(__xludf.DUMMYFUNCTION("""COMPUTED_VALUE"""),"PORT HOPE")</f>
        <v>PORT HOPE</v>
      </c>
      <c r="D553" s="3" t="str">
        <f>IFERROR(__xludf.DUMMYFUNCTION("""COMPUTED_VALUE"""),"L1A 3V5")</f>
        <v>L1A 3V5</v>
      </c>
      <c r="E553" s="3" t="str">
        <f>IFERROR(__xludf.DUMMYFUNCTION("""COMPUTED_VALUE"""),"Ken Morden")</f>
        <v>Ken Morden</v>
      </c>
      <c r="F553" s="3"/>
      <c r="G553" s="3"/>
      <c r="H553" s="3"/>
    </row>
    <row r="554">
      <c r="A554" s="2">
        <f>IFERROR(__xludf.DUMMYFUNCTION("""COMPUTED_VALUE"""),11620.0)</f>
        <v>11620</v>
      </c>
      <c r="B554" s="3" t="str">
        <f>IFERROR(__xludf.DUMMYFUNCTION("""COMPUTED_VALUE"""),"4600 MASSEY RD")</f>
        <v>4600 MASSEY RD</v>
      </c>
      <c r="C554" s="3" t="str">
        <f>IFERROR(__xludf.DUMMYFUNCTION("""COMPUTED_VALUE"""),"PORT HOPE")</f>
        <v>PORT HOPE</v>
      </c>
      <c r="D554" s="3" t="str">
        <f>IFERROR(__xludf.DUMMYFUNCTION("""COMPUTED_VALUE"""),"L1A 3V5")</f>
        <v>L1A 3V5</v>
      </c>
      <c r="E554" s="3"/>
      <c r="F554" s="3"/>
      <c r="G554" s="3"/>
      <c r="H554" s="3"/>
    </row>
    <row r="555">
      <c r="A555" s="2">
        <f>IFERROR(__xludf.DUMMYFUNCTION("""COMPUTED_VALUE"""),11213.0)</f>
        <v>11213</v>
      </c>
      <c r="B555" s="3" t="str">
        <f>IFERROR(__xludf.DUMMYFUNCTION("""COMPUTED_VALUE"""),"4600 MASSEY RD")</f>
        <v>4600 MASSEY RD</v>
      </c>
      <c r="C555" s="3" t="str">
        <f>IFERROR(__xludf.DUMMYFUNCTION("""COMPUTED_VALUE"""),"PORT HOPE")</f>
        <v>PORT HOPE</v>
      </c>
      <c r="D555" s="3" t="str">
        <f>IFERROR(__xludf.DUMMYFUNCTION("""COMPUTED_VALUE"""),"L1A 3V5")</f>
        <v>L1A 3V5</v>
      </c>
      <c r="E555" s="3"/>
      <c r="F555" s="3"/>
      <c r="G555" s="3"/>
      <c r="H555" s="3"/>
    </row>
    <row r="556">
      <c r="A556" s="2">
        <f>IFERROR(__xludf.DUMMYFUNCTION("""COMPUTED_VALUE"""),11388.0)</f>
        <v>11388</v>
      </c>
      <c r="B556" s="3" t="str">
        <f>IFERROR(__xludf.DUMMYFUNCTION("""COMPUTED_VALUE"""),"4601 RICE LAKE DR S")</f>
        <v>4601 RICE LAKE DR S</v>
      </c>
      <c r="C556" s="3" t="str">
        <f>IFERROR(__xludf.DUMMYFUNCTION("""COMPUTED_VALUE"""),"PORT HOPE")</f>
        <v>PORT HOPE</v>
      </c>
      <c r="D556" s="3" t="str">
        <f>IFERROR(__xludf.DUMMYFUNCTION("""COMPUTED_VALUE"""),"L1A 3V6")</f>
        <v>L1A 3V6</v>
      </c>
      <c r="E556" s="3" t="str">
        <f>IFERROR(__xludf.DUMMYFUNCTION("""COMPUTED_VALUE"""),"Terry &amp; Brenda Jesseau")</f>
        <v>Terry &amp; Brenda Jesseau</v>
      </c>
      <c r="F556" s="3" t="str">
        <f>IFERROR(__xludf.DUMMYFUNCTION("""COMPUTED_VALUE"""),"tjesseau01@gmail.com")</f>
        <v>tjesseau01@gmail.com</v>
      </c>
      <c r="G556" s="3"/>
      <c r="H556" s="3"/>
    </row>
    <row r="557">
      <c r="A557" s="2">
        <f>IFERROR(__xludf.DUMMYFUNCTION("""COMPUTED_VALUE"""),11211.0)</f>
        <v>11211</v>
      </c>
      <c r="B557" s="3" t="str">
        <f>IFERROR(__xludf.DUMMYFUNCTION("""COMPUTED_VALUE"""),"4602 MASSEY RD")</f>
        <v>4602 MASSEY RD</v>
      </c>
      <c r="C557" s="3" t="str">
        <f>IFERROR(__xludf.DUMMYFUNCTION("""COMPUTED_VALUE"""),"PORT HOPE")</f>
        <v>PORT HOPE</v>
      </c>
      <c r="D557" s="3" t="str">
        <f>IFERROR(__xludf.DUMMYFUNCTION("""COMPUTED_VALUE"""),"L1A 3V5")</f>
        <v>L1A 3V5</v>
      </c>
      <c r="E557" s="3"/>
      <c r="F557" s="3"/>
      <c r="G557" s="3"/>
      <c r="H557" s="3"/>
    </row>
    <row r="558">
      <c r="A558" s="2">
        <f>IFERROR(__xludf.DUMMYFUNCTION("""COMPUTED_VALUE"""),11212.0)</f>
        <v>11212</v>
      </c>
      <c r="B558" s="3" t="str">
        <f>IFERROR(__xludf.DUMMYFUNCTION("""COMPUTED_VALUE"""),"4606 MASSEY RD")</f>
        <v>4606 MASSEY RD</v>
      </c>
      <c r="C558" s="3" t="str">
        <f>IFERROR(__xludf.DUMMYFUNCTION("""COMPUTED_VALUE"""),"PORT HOPE")</f>
        <v>PORT HOPE</v>
      </c>
      <c r="D558" s="3" t="str">
        <f>IFERROR(__xludf.DUMMYFUNCTION("""COMPUTED_VALUE"""),"L1A 3V5")</f>
        <v>L1A 3V5</v>
      </c>
      <c r="E558" s="3" t="str">
        <f>IFERROR(__xludf.DUMMYFUNCTION("""COMPUTED_VALUE"""),"Kevin Murphy &amp; Maria Murphy")</f>
        <v>Kevin Murphy &amp; Maria Murphy</v>
      </c>
      <c r="F558" s="3" t="str">
        <f>IFERROR(__xludf.DUMMYFUNCTION("""COMPUTED_VALUE"""),"rose83barrie@gmail.com")</f>
        <v>rose83barrie@gmail.com</v>
      </c>
      <c r="G558" s="3"/>
      <c r="H558" s="3"/>
    </row>
    <row r="559">
      <c r="A559" s="2">
        <f>IFERROR(__xludf.DUMMYFUNCTION("""COMPUTED_VALUE"""),11389.0)</f>
        <v>11389</v>
      </c>
      <c r="B559" s="3" t="str">
        <f>IFERROR(__xludf.DUMMYFUNCTION("""COMPUTED_VALUE"""),"4607 RICE LAKE DR S")</f>
        <v>4607 RICE LAKE DR S</v>
      </c>
      <c r="C559" s="3" t="str">
        <f>IFERROR(__xludf.DUMMYFUNCTION("""COMPUTED_VALUE"""),"PORT HOPE")</f>
        <v>PORT HOPE</v>
      </c>
      <c r="D559" s="3" t="str">
        <f>IFERROR(__xludf.DUMMYFUNCTION("""COMPUTED_VALUE"""),"L1A 3V6")</f>
        <v>L1A 3V6</v>
      </c>
      <c r="E559" s="3" t="str">
        <f>IFERROR(__xludf.DUMMYFUNCTION("""COMPUTED_VALUE"""),"Carole Thomson")</f>
        <v>Carole Thomson</v>
      </c>
      <c r="F559" s="3" t="str">
        <f>IFERROR(__xludf.DUMMYFUNCTION("""COMPUTED_VALUE"""),"carole_thomson@hotmail.com")</f>
        <v>carole_thomson@hotmail.com</v>
      </c>
      <c r="G559" s="3"/>
      <c r="H559" s="3"/>
    </row>
    <row r="560">
      <c r="A560" s="2">
        <f>IFERROR(__xludf.DUMMYFUNCTION("""COMPUTED_VALUE"""),11390.0)</f>
        <v>11390</v>
      </c>
      <c r="B560" s="3" t="str">
        <f>IFERROR(__xludf.DUMMYFUNCTION("""COMPUTED_VALUE"""),"4615 RICE LAKE DR S")</f>
        <v>4615 RICE LAKE DR S</v>
      </c>
      <c r="C560" s="3" t="str">
        <f>IFERROR(__xludf.DUMMYFUNCTION("""COMPUTED_VALUE"""),"PORT HOPE")</f>
        <v>PORT HOPE</v>
      </c>
      <c r="D560" s="3" t="str">
        <f>IFERROR(__xludf.DUMMYFUNCTION("""COMPUTED_VALUE"""),"L1A 3V6")</f>
        <v>L1A 3V6</v>
      </c>
      <c r="E560" s="3" t="str">
        <f>IFERROR(__xludf.DUMMYFUNCTION("""COMPUTED_VALUE"""),"George Martin")</f>
        <v>George Martin</v>
      </c>
      <c r="F560" s="3" t="str">
        <f>IFERROR(__xludf.DUMMYFUNCTION("""COMPUTED_VALUE"""),"george_the_dj@hotmail.com")</f>
        <v>george_the_dj@hotmail.com</v>
      </c>
      <c r="G560" s="3"/>
      <c r="H560" s="3"/>
    </row>
    <row r="561">
      <c r="A561" s="2">
        <f>IFERROR(__xludf.DUMMYFUNCTION("""COMPUTED_VALUE"""),10702.0)</f>
        <v>10702</v>
      </c>
      <c r="B561" s="3" t="str">
        <f>IFERROR(__xludf.DUMMYFUNCTION("""COMPUTED_VALUE"""),"4616 DALE RD")</f>
        <v>4616 DALE RD</v>
      </c>
      <c r="C561" s="3" t="str">
        <f>IFERROR(__xludf.DUMMYFUNCTION("""COMPUTED_VALUE"""),"PORT HOPE")</f>
        <v>PORT HOPE</v>
      </c>
      <c r="D561" s="3" t="str">
        <f>IFERROR(__xludf.DUMMYFUNCTION("""COMPUTED_VALUE"""),"L1A 3V5")</f>
        <v>L1A 3V5</v>
      </c>
      <c r="E561" s="3" t="str">
        <f>IFERROR(__xludf.DUMMYFUNCTION("""COMPUTED_VALUE"""),"Ted Kounousis")</f>
        <v>Ted Kounousis</v>
      </c>
      <c r="F561" s="3"/>
      <c r="G561" s="3"/>
      <c r="H561" s="3"/>
    </row>
    <row r="562">
      <c r="A562" s="2">
        <f>IFERROR(__xludf.DUMMYFUNCTION("""COMPUTED_VALUE"""),11391.0)</f>
        <v>11391</v>
      </c>
      <c r="B562" s="3" t="str">
        <f>IFERROR(__xludf.DUMMYFUNCTION("""COMPUTED_VALUE"""),"4621 RICE LAKE DR S")</f>
        <v>4621 RICE LAKE DR S</v>
      </c>
      <c r="C562" s="3" t="str">
        <f>IFERROR(__xludf.DUMMYFUNCTION("""COMPUTED_VALUE"""),"PORT HOPE")</f>
        <v>PORT HOPE</v>
      </c>
      <c r="D562" s="3" t="str">
        <f>IFERROR(__xludf.DUMMYFUNCTION("""COMPUTED_VALUE"""),"L1A 3V6")</f>
        <v>L1A 3V6</v>
      </c>
      <c r="E562" s="3" t="str">
        <f>IFERROR(__xludf.DUMMYFUNCTION("""COMPUTED_VALUE"""),"Rylee Halford")</f>
        <v>Rylee Halford</v>
      </c>
      <c r="F562" s="3" t="str">
        <f>IFERROR(__xludf.DUMMYFUNCTION("""COMPUTED_VALUE"""),"rylee.halford87@hotmail.com")</f>
        <v>rylee.halford87@hotmail.com</v>
      </c>
      <c r="G562" s="3"/>
      <c r="H562" s="3"/>
    </row>
    <row r="563">
      <c r="A563" s="2">
        <f>IFERROR(__xludf.DUMMYFUNCTION("""COMPUTED_VALUE"""),10703.0)</f>
        <v>10703</v>
      </c>
      <c r="B563" s="3" t="str">
        <f>IFERROR(__xludf.DUMMYFUNCTION("""COMPUTED_VALUE"""),"4626 DALE RD")</f>
        <v>4626 DALE RD</v>
      </c>
      <c r="C563" s="3" t="str">
        <f>IFERROR(__xludf.DUMMYFUNCTION("""COMPUTED_VALUE"""),"PORT HOPE")</f>
        <v>PORT HOPE</v>
      </c>
      <c r="D563" s="3" t="str">
        <f>IFERROR(__xludf.DUMMYFUNCTION("""COMPUTED_VALUE"""),"L1A 3V5")</f>
        <v>L1A 3V5</v>
      </c>
      <c r="E563" s="3"/>
      <c r="F563" s="3"/>
      <c r="G563" s="3"/>
      <c r="H563" s="3"/>
    </row>
    <row r="564">
      <c r="A564" s="2">
        <f>IFERROR(__xludf.DUMMYFUNCTION("""COMPUTED_VALUE"""),11392.0)</f>
        <v>11392</v>
      </c>
      <c r="B564" s="3" t="str">
        <f>IFERROR(__xludf.DUMMYFUNCTION("""COMPUTED_VALUE"""),"4629 RICE LAKE DR S")</f>
        <v>4629 RICE LAKE DR S</v>
      </c>
      <c r="C564" s="3" t="str">
        <f>IFERROR(__xludf.DUMMYFUNCTION("""COMPUTED_VALUE"""),"PORT HOPE")</f>
        <v>PORT HOPE</v>
      </c>
      <c r="D564" s="3" t="str">
        <f>IFERROR(__xludf.DUMMYFUNCTION("""COMPUTED_VALUE"""),"L1A 3V6")</f>
        <v>L1A 3V6</v>
      </c>
      <c r="E564" s="3" t="str">
        <f>IFERROR(__xludf.DUMMYFUNCTION("""COMPUTED_VALUE"""),"James Cunningham")</f>
        <v>James Cunningham</v>
      </c>
      <c r="F564" s="3" t="str">
        <f>IFERROR(__xludf.DUMMYFUNCTION("""COMPUTED_VALUE"""),"jccabins4rent@yahoo.ca")</f>
        <v>jccabins4rent@yahoo.ca</v>
      </c>
      <c r="G564" s="3"/>
      <c r="H564" s="3"/>
    </row>
    <row r="565">
      <c r="A565" s="2">
        <f>IFERROR(__xludf.DUMMYFUNCTION("""COMPUTED_VALUE"""),10704.0)</f>
        <v>10704</v>
      </c>
      <c r="B565" s="3" t="str">
        <f>IFERROR(__xludf.DUMMYFUNCTION("""COMPUTED_VALUE"""),"4634 DALE RD")</f>
        <v>4634 DALE RD</v>
      </c>
      <c r="C565" s="3" t="str">
        <f>IFERROR(__xludf.DUMMYFUNCTION("""COMPUTED_VALUE"""),"PORT HOPE")</f>
        <v>PORT HOPE</v>
      </c>
      <c r="D565" s="3" t="str">
        <f>IFERROR(__xludf.DUMMYFUNCTION("""COMPUTED_VALUE"""),"L1A 3V5")</f>
        <v>L1A 3V5</v>
      </c>
      <c r="E565" s="3"/>
      <c r="F565" s="3"/>
      <c r="G565" s="3"/>
      <c r="H565" s="3"/>
    </row>
    <row r="566">
      <c r="A566" s="2">
        <f>IFERROR(__xludf.DUMMYFUNCTION("""COMPUTED_VALUE"""),10312.0)</f>
        <v>10312</v>
      </c>
      <c r="B566" s="3" t="str">
        <f>IFERROR(__xludf.DUMMYFUNCTION("""COMPUTED_VALUE"""),"4636 BROWN'S RD")</f>
        <v>4636 BROWN'S RD</v>
      </c>
      <c r="C566" s="3" t="str">
        <f>IFERROR(__xludf.DUMMYFUNCTION("""COMPUTED_VALUE"""),"PORT HOPE")</f>
        <v>PORT HOPE</v>
      </c>
      <c r="D566" s="3" t="str">
        <f>IFERROR(__xludf.DUMMYFUNCTION("""COMPUTED_VALUE"""),"L1A 3V8")</f>
        <v>L1A 3V8</v>
      </c>
      <c r="E566" s="3" t="str">
        <f>IFERROR(__xludf.DUMMYFUNCTION("""COMPUTED_VALUE"""),"Samantha smith")</f>
        <v>Samantha smith</v>
      </c>
      <c r="F566" s="3" t="str">
        <f>IFERROR(__xludf.DUMMYFUNCTION("""COMPUTED_VALUE"""),"Samantha.jean.smith93@gmail.com")</f>
        <v>Samantha.jean.smith93@gmail.com</v>
      </c>
      <c r="G566" s="3"/>
      <c r="H566" s="3"/>
    </row>
    <row r="567">
      <c r="A567" s="2">
        <f>IFERROR(__xludf.DUMMYFUNCTION("""COMPUTED_VALUE"""),10707.0)</f>
        <v>10707</v>
      </c>
      <c r="B567" s="3" t="str">
        <f>IFERROR(__xludf.DUMMYFUNCTION("""COMPUTED_VALUE"""),"4650 DALE RD")</f>
        <v>4650 DALE RD</v>
      </c>
      <c r="C567" s="3" t="str">
        <f>IFERROR(__xludf.DUMMYFUNCTION("""COMPUTED_VALUE"""),"PORT HOPE")</f>
        <v>PORT HOPE</v>
      </c>
      <c r="D567" s="3" t="str">
        <f>IFERROR(__xludf.DUMMYFUNCTION("""COMPUTED_VALUE"""),"L1A 3V5")</f>
        <v>L1A 3V5</v>
      </c>
      <c r="E567" s="3" t="str">
        <f>IFERROR(__xludf.DUMMYFUNCTION("""COMPUTED_VALUE"""),"Elizabeth Holmes")</f>
        <v>Elizabeth Holmes</v>
      </c>
      <c r="F567" s="3"/>
      <c r="G567" s="3"/>
      <c r="H567" s="3"/>
    </row>
    <row r="568">
      <c r="A568" s="2">
        <f>IFERROR(__xludf.DUMMYFUNCTION("""COMPUTED_VALUE"""),10629.0)</f>
        <v>10629</v>
      </c>
      <c r="B568" s="3" t="str">
        <f>IFERROR(__xludf.DUMMYFUNCTION("""COMPUTED_VALUE"""),"4651 COUNTY RD 28")</f>
        <v>4651 COUNTY RD 28</v>
      </c>
      <c r="C568" s="3" t="str">
        <f>IFERROR(__xludf.DUMMYFUNCTION("""COMPUTED_VALUE"""),"PORT HOPE")</f>
        <v>PORT HOPE</v>
      </c>
      <c r="D568" s="3" t="str">
        <f>IFERROR(__xludf.DUMMYFUNCTION("""COMPUTED_VALUE"""),"L1A 3V6")</f>
        <v>L1A 3V6</v>
      </c>
      <c r="E568" s="3" t="str">
        <f>IFERROR(__xludf.DUMMYFUNCTION("""COMPUTED_VALUE"""),"elsbieta gesiarz")</f>
        <v>elsbieta gesiarz</v>
      </c>
      <c r="F568" s="3"/>
      <c r="G568" s="3"/>
      <c r="H568" s="3"/>
    </row>
    <row r="569">
      <c r="A569" s="2">
        <f>IFERROR(__xludf.DUMMYFUNCTION("""COMPUTED_VALUE"""),10048.0)</f>
        <v>10048</v>
      </c>
      <c r="B569" s="3" t="str">
        <f>IFERROR(__xludf.DUMMYFUNCTION("""COMPUTED_VALUE"""),"4654 4TH LINE")</f>
        <v>4654 4TH LINE</v>
      </c>
      <c r="C569" s="3" t="str">
        <f>IFERROR(__xludf.DUMMYFUNCTION("""COMPUTED_VALUE"""),"PORT HOPE")</f>
        <v>PORT HOPE</v>
      </c>
      <c r="D569" s="3" t="str">
        <f>IFERROR(__xludf.DUMMYFUNCTION("""COMPUTED_VALUE"""),"L1A 3V5")</f>
        <v>L1A 3V5</v>
      </c>
      <c r="E569" s="3" t="str">
        <f>IFERROR(__xludf.DUMMYFUNCTION("""COMPUTED_VALUE"""),"luke chatterton")</f>
        <v>luke chatterton</v>
      </c>
      <c r="F569" s="3" t="str">
        <f>IFERROR(__xludf.DUMMYFUNCTION("""COMPUTED_VALUE"""),"l.chatterton19@gmail.com")</f>
        <v>l.chatterton19@gmail.com</v>
      </c>
      <c r="G569" s="3"/>
      <c r="H569" s="3"/>
    </row>
    <row r="570">
      <c r="A570" s="2">
        <f>IFERROR(__xludf.DUMMYFUNCTION("""COMPUTED_VALUE"""),10791.0)</f>
        <v>10791</v>
      </c>
      <c r="B570" s="3" t="str">
        <f>IFERROR(__xludf.DUMMYFUNCTION("""COMPUTED_VALUE"""),"4654 DODD'S RD")</f>
        <v>4654 DODD'S RD</v>
      </c>
      <c r="C570" s="3" t="str">
        <f>IFERROR(__xludf.DUMMYFUNCTION("""COMPUTED_VALUE"""),"PORT HOPE")</f>
        <v>PORT HOPE</v>
      </c>
      <c r="D570" s="3" t="str">
        <f>IFERROR(__xludf.DUMMYFUNCTION("""COMPUTED_VALUE"""),"L1A 3V5")</f>
        <v>L1A 3V5</v>
      </c>
      <c r="E570" s="3" t="str">
        <f>IFERROR(__xludf.DUMMYFUNCTION("""COMPUTED_VALUE"""),"Susan Smita")</f>
        <v>Susan Smita</v>
      </c>
      <c r="F570" s="3" t="str">
        <f>IFERROR(__xludf.DUMMYFUNCTION("""COMPUTED_VALUE"""),"porthopechick@gmail.com")</f>
        <v>porthopechick@gmail.com</v>
      </c>
      <c r="G570" s="3"/>
      <c r="H570" s="3"/>
    </row>
    <row r="571">
      <c r="A571" s="2">
        <f>IFERROR(__xludf.DUMMYFUNCTION("""COMPUTED_VALUE"""),11393.0)</f>
        <v>11393</v>
      </c>
      <c r="B571" s="3" t="str">
        <f>IFERROR(__xludf.DUMMYFUNCTION("""COMPUTED_VALUE"""),"4661 RICE LAKE DR S")</f>
        <v>4661 RICE LAKE DR S</v>
      </c>
      <c r="C571" s="3" t="str">
        <f>IFERROR(__xludf.DUMMYFUNCTION("""COMPUTED_VALUE"""),"PORT HOPE")</f>
        <v>PORT HOPE</v>
      </c>
      <c r="D571" s="3" t="str">
        <f>IFERROR(__xludf.DUMMYFUNCTION("""COMPUTED_VALUE"""),"L1A 3V6")</f>
        <v>L1A 3V6</v>
      </c>
      <c r="E571" s="3"/>
      <c r="F571" s="3"/>
      <c r="G571" s="3"/>
      <c r="H571" s="3"/>
    </row>
    <row r="572">
      <c r="A572" s="2">
        <f>IFERROR(__xludf.DUMMYFUNCTION("""COMPUTED_VALUE"""),10708.0)</f>
        <v>10708</v>
      </c>
      <c r="B572" s="3" t="str">
        <f>IFERROR(__xludf.DUMMYFUNCTION("""COMPUTED_VALUE"""),"4662 DALE RD")</f>
        <v>4662 DALE RD</v>
      </c>
      <c r="C572" s="3" t="str">
        <f>IFERROR(__xludf.DUMMYFUNCTION("""COMPUTED_VALUE"""),"PORT HOPE")</f>
        <v>PORT HOPE</v>
      </c>
      <c r="D572" s="3" t="str">
        <f>IFERROR(__xludf.DUMMYFUNCTION("""COMPUTED_VALUE"""),"L1A 3V5")</f>
        <v>L1A 3V5</v>
      </c>
      <c r="E572" s="3"/>
      <c r="F572" s="3"/>
      <c r="G572" s="3"/>
      <c r="H572" s="3"/>
    </row>
    <row r="573">
      <c r="A573" s="2">
        <f>IFERROR(__xludf.DUMMYFUNCTION("""COMPUTED_VALUE"""),10709.0)</f>
        <v>10709</v>
      </c>
      <c r="B573" s="3" t="str">
        <f>IFERROR(__xludf.DUMMYFUNCTION("""COMPUTED_VALUE"""),"4671 DALE RD")</f>
        <v>4671 DALE RD</v>
      </c>
      <c r="C573" s="3" t="str">
        <f>IFERROR(__xludf.DUMMYFUNCTION("""COMPUTED_VALUE"""),"PORT HOPE")</f>
        <v>PORT HOPE</v>
      </c>
      <c r="D573" s="3" t="str">
        <f>IFERROR(__xludf.DUMMYFUNCTION("""COMPUTED_VALUE"""),"L1A 3V5")</f>
        <v>L1A 3V5</v>
      </c>
      <c r="E573" s="3" t="str">
        <f>IFERROR(__xludf.DUMMYFUNCTION("""COMPUTED_VALUE"""),"Gail Drummond")</f>
        <v>Gail Drummond</v>
      </c>
      <c r="F573" s="3"/>
      <c r="G573" s="3"/>
      <c r="H573" s="3"/>
    </row>
    <row r="574">
      <c r="A574" s="2">
        <f>IFERROR(__xludf.DUMMYFUNCTION("""COMPUTED_VALUE"""),10710.0)</f>
        <v>10710</v>
      </c>
      <c r="B574" s="3" t="str">
        <f>IFERROR(__xludf.DUMMYFUNCTION("""COMPUTED_VALUE"""),"4674 DALE RD")</f>
        <v>4674 DALE RD</v>
      </c>
      <c r="C574" s="3" t="str">
        <f>IFERROR(__xludf.DUMMYFUNCTION("""COMPUTED_VALUE"""),"PORT HOPE")</f>
        <v>PORT HOPE</v>
      </c>
      <c r="D574" s="3" t="str">
        <f>IFERROR(__xludf.DUMMYFUNCTION("""COMPUTED_VALUE"""),"L1A 3V5")</f>
        <v>L1A 3V5</v>
      </c>
      <c r="E574" s="3"/>
      <c r="F574" s="3"/>
      <c r="G574" s="3"/>
      <c r="H574" s="3"/>
    </row>
    <row r="575">
      <c r="A575" s="2">
        <f>IFERROR(__xludf.DUMMYFUNCTION("""COMPUTED_VALUE"""),10049.0)</f>
        <v>10049</v>
      </c>
      <c r="B575" s="3" t="str">
        <f>IFERROR(__xludf.DUMMYFUNCTION("""COMPUTED_VALUE"""),"4676 4TH LINE")</f>
        <v>4676 4TH LINE</v>
      </c>
      <c r="C575" s="3" t="str">
        <f>IFERROR(__xludf.DUMMYFUNCTION("""COMPUTED_VALUE"""),"PORT HOPE")</f>
        <v>PORT HOPE</v>
      </c>
      <c r="D575" s="3" t="str">
        <f>IFERROR(__xludf.DUMMYFUNCTION("""COMPUTED_VALUE"""),"L1A 3V5")</f>
        <v>L1A 3V5</v>
      </c>
      <c r="E575" s="3"/>
      <c r="F575" s="3"/>
      <c r="G575" s="3"/>
      <c r="H575" s="3"/>
    </row>
    <row r="576">
      <c r="A576" s="2">
        <f>IFERROR(__xludf.DUMMYFUNCTION("""COMPUTED_VALUE"""),10792.0)</f>
        <v>10792</v>
      </c>
      <c r="B576" s="3" t="str">
        <f>IFERROR(__xludf.DUMMYFUNCTION("""COMPUTED_VALUE"""),"4684 DODD'S RD")</f>
        <v>4684 DODD'S RD</v>
      </c>
      <c r="C576" s="3" t="str">
        <f>IFERROR(__xludf.DUMMYFUNCTION("""COMPUTED_VALUE"""),"PORT HOPE")</f>
        <v>PORT HOPE</v>
      </c>
      <c r="D576" s="3" t="str">
        <f>IFERROR(__xludf.DUMMYFUNCTION("""COMPUTED_VALUE"""),"L1A 3V5")</f>
        <v>L1A 3V5</v>
      </c>
      <c r="E576" s="3" t="str">
        <f>IFERROR(__xludf.DUMMYFUNCTION("""COMPUTED_VALUE"""),"Ronald S Wakely")</f>
        <v>Ronald S Wakely</v>
      </c>
      <c r="F576" s="3" t="str">
        <f>IFERROR(__xludf.DUMMYFUNCTION("""COMPUTED_VALUE"""),"cobie1@xplornet.com")</f>
        <v>cobie1@xplornet.com</v>
      </c>
      <c r="G576" s="3"/>
      <c r="H576" s="3"/>
    </row>
    <row r="577">
      <c r="A577" s="2">
        <f>IFERROR(__xludf.DUMMYFUNCTION("""COMPUTED_VALUE"""),10712.0)</f>
        <v>10712</v>
      </c>
      <c r="B577" s="3" t="str">
        <f>IFERROR(__xludf.DUMMYFUNCTION("""COMPUTED_VALUE"""),"4688 DALE RD")</f>
        <v>4688 DALE RD</v>
      </c>
      <c r="C577" s="3" t="str">
        <f>IFERROR(__xludf.DUMMYFUNCTION("""COMPUTED_VALUE"""),"PORT HOPE")</f>
        <v>PORT HOPE</v>
      </c>
      <c r="D577" s="3" t="str">
        <f>IFERROR(__xludf.DUMMYFUNCTION("""COMPUTED_VALUE"""),"L1A 3V5")</f>
        <v>L1A 3V5</v>
      </c>
      <c r="E577" s="3" t="str">
        <f>IFERROR(__xludf.DUMMYFUNCTION("""COMPUTED_VALUE"""),"Derek Elion")</f>
        <v>Derek Elion</v>
      </c>
      <c r="F577" s="3" t="str">
        <f>IFERROR(__xludf.DUMMYFUNCTION("""COMPUTED_VALUE"""),"derek.elion@gmail.com")</f>
        <v>derek.elion@gmail.com</v>
      </c>
      <c r="G577" s="3"/>
      <c r="H577" s="3"/>
    </row>
    <row r="578">
      <c r="A578" s="2">
        <f>IFERROR(__xludf.DUMMYFUNCTION("""COMPUTED_VALUE"""),10793.0)</f>
        <v>10793</v>
      </c>
      <c r="B578" s="3" t="str">
        <f>IFERROR(__xludf.DUMMYFUNCTION("""COMPUTED_VALUE"""),"4689 DODD'S RD")</f>
        <v>4689 DODD'S RD</v>
      </c>
      <c r="C578" s="3" t="str">
        <f>IFERROR(__xludf.DUMMYFUNCTION("""COMPUTED_VALUE"""),"PORT HOPE")</f>
        <v>PORT HOPE</v>
      </c>
      <c r="D578" s="3" t="str">
        <f>IFERROR(__xludf.DUMMYFUNCTION("""COMPUTED_VALUE"""),"L1A 3V5")</f>
        <v>L1A 3V5</v>
      </c>
      <c r="E578" s="3" t="str">
        <f>IFERROR(__xludf.DUMMYFUNCTION("""COMPUTED_VALUE"""),"Shaelene McInnis")</f>
        <v>Shaelene McInnis</v>
      </c>
      <c r="F578" s="3" t="str">
        <f>IFERROR(__xludf.DUMMYFUNCTION("""COMPUTED_VALUE"""),"shaelene@booksinline.ca")</f>
        <v>shaelene@booksinline.ca</v>
      </c>
      <c r="G578" s="3"/>
      <c r="H578" s="3"/>
    </row>
    <row r="579">
      <c r="A579" s="2">
        <f>IFERROR(__xludf.DUMMYFUNCTION("""COMPUTED_VALUE"""),10313.0)</f>
        <v>10313</v>
      </c>
      <c r="B579" s="3" t="str">
        <f>IFERROR(__xludf.DUMMYFUNCTION("""COMPUTED_VALUE"""),"4694 BROWN'S RD")</f>
        <v>4694 BROWN'S RD</v>
      </c>
      <c r="C579" s="3" t="str">
        <f>IFERROR(__xludf.DUMMYFUNCTION("""COMPUTED_VALUE"""),"PORT HOPE")</f>
        <v>PORT HOPE</v>
      </c>
      <c r="D579" s="3" t="str">
        <f>IFERROR(__xludf.DUMMYFUNCTION("""COMPUTED_VALUE"""),"L1A 3V8")</f>
        <v>L1A 3V8</v>
      </c>
      <c r="E579" s="3"/>
      <c r="F579" s="3"/>
      <c r="G579" s="3"/>
      <c r="H579" s="3"/>
    </row>
    <row r="580">
      <c r="A580" s="2">
        <f>IFERROR(__xludf.DUMMYFUNCTION("""COMPUTED_VALUE"""),10713.0)</f>
        <v>10713</v>
      </c>
      <c r="B580" s="3" t="str">
        <f>IFERROR(__xludf.DUMMYFUNCTION("""COMPUTED_VALUE"""),"4697 DALE RD")</f>
        <v>4697 DALE RD</v>
      </c>
      <c r="C580" s="3" t="str">
        <f>IFERROR(__xludf.DUMMYFUNCTION("""COMPUTED_VALUE"""),"PORT HOPE")</f>
        <v>PORT HOPE</v>
      </c>
      <c r="D580" s="3" t="str">
        <f>IFERROR(__xludf.DUMMYFUNCTION("""COMPUTED_VALUE"""),"L1A 3V5")</f>
        <v>L1A 3V5</v>
      </c>
      <c r="E580" s="3" t="str">
        <f>IFERROR(__xludf.DUMMYFUNCTION("""COMPUTED_VALUE"""),"Dana Grisold")</f>
        <v>Dana Grisold</v>
      </c>
      <c r="F580" s="3" t="str">
        <f>IFERROR(__xludf.DUMMYFUNCTION("""COMPUTED_VALUE"""),"danagrisold@hotmail.com")</f>
        <v>danagrisold@hotmail.com</v>
      </c>
      <c r="G580" s="3"/>
      <c r="H580" s="3"/>
    </row>
    <row r="581">
      <c r="A581" s="2">
        <f>IFERROR(__xludf.DUMMYFUNCTION("""COMPUTED_VALUE"""),10714.0)</f>
        <v>10714</v>
      </c>
      <c r="B581" s="3" t="str">
        <f>IFERROR(__xludf.DUMMYFUNCTION("""COMPUTED_VALUE"""),"4712 DALE RD")</f>
        <v>4712 DALE RD</v>
      </c>
      <c r="C581" s="3" t="str">
        <f>IFERROR(__xludf.DUMMYFUNCTION("""COMPUTED_VALUE"""),"PORT HOPE")</f>
        <v>PORT HOPE</v>
      </c>
      <c r="D581" s="3" t="str">
        <f>IFERROR(__xludf.DUMMYFUNCTION("""COMPUTED_VALUE"""),"L1A 3V5")</f>
        <v>L1A 3V5</v>
      </c>
      <c r="E581" s="3"/>
      <c r="F581" s="3"/>
      <c r="G581" s="3"/>
      <c r="H581" s="3"/>
    </row>
    <row r="582">
      <c r="A582" s="2">
        <f>IFERROR(__xludf.DUMMYFUNCTION("""COMPUTED_VALUE"""),10794.0)</f>
        <v>10794</v>
      </c>
      <c r="B582" s="3" t="str">
        <f>IFERROR(__xludf.DUMMYFUNCTION("""COMPUTED_VALUE"""),"4716 DODD'S RD")</f>
        <v>4716 DODD'S RD</v>
      </c>
      <c r="C582" s="3" t="str">
        <f>IFERROR(__xludf.DUMMYFUNCTION("""COMPUTED_VALUE"""),"PORT HOPE")</f>
        <v>PORT HOPE</v>
      </c>
      <c r="D582" s="3" t="str">
        <f>IFERROR(__xludf.DUMMYFUNCTION("""COMPUTED_VALUE"""),"L1A 3V5")</f>
        <v>L1A 3V5</v>
      </c>
      <c r="E582" s="3"/>
      <c r="F582" s="3"/>
      <c r="G582" s="3"/>
      <c r="H582" s="3"/>
    </row>
    <row r="583">
      <c r="A583" s="2">
        <f>IFERROR(__xludf.DUMMYFUNCTION("""COMPUTED_VALUE"""),10795.0)</f>
        <v>10795</v>
      </c>
      <c r="B583" s="3" t="str">
        <f>IFERROR(__xludf.DUMMYFUNCTION("""COMPUTED_VALUE"""),"4719 DODDS RD")</f>
        <v>4719 DODDS RD</v>
      </c>
      <c r="C583" s="3" t="str">
        <f>IFERROR(__xludf.DUMMYFUNCTION("""COMPUTED_VALUE"""),"PORT HOPE")</f>
        <v>PORT HOPE</v>
      </c>
      <c r="D583" s="3" t="str">
        <f>IFERROR(__xludf.DUMMYFUNCTION("""COMPUTED_VALUE"""),"L1A 3V5")</f>
        <v>L1A 3V5</v>
      </c>
      <c r="E583" s="3" t="str">
        <f>IFERROR(__xludf.DUMMYFUNCTION("""COMPUTED_VALUE"""),"Kathy Drummond")</f>
        <v>Kathy Drummond</v>
      </c>
      <c r="F583" s="3" t="str">
        <f>IFERROR(__xludf.DUMMYFUNCTION("""COMPUTED_VALUE"""),"kjdrummond@yahoo.ca")</f>
        <v>kjdrummond@yahoo.ca</v>
      </c>
      <c r="G583" s="3"/>
      <c r="H583" s="3"/>
    </row>
    <row r="584">
      <c r="A584" s="2">
        <f>IFERROR(__xludf.DUMMYFUNCTION("""COMPUTED_VALUE"""),10717.0)</f>
        <v>10717</v>
      </c>
      <c r="B584" s="3" t="str">
        <f>IFERROR(__xludf.DUMMYFUNCTION("""COMPUTED_VALUE"""),"4733 DALE RD")</f>
        <v>4733 DALE RD</v>
      </c>
      <c r="C584" s="3" t="str">
        <f>IFERROR(__xludf.DUMMYFUNCTION("""COMPUTED_VALUE"""),"PORT HOPE")</f>
        <v>PORT HOPE</v>
      </c>
      <c r="D584" s="3" t="str">
        <f>IFERROR(__xludf.DUMMYFUNCTION("""COMPUTED_VALUE"""),"L1A 3V5")</f>
        <v>L1A 3V5</v>
      </c>
      <c r="E584" s="3" t="str">
        <f>IFERROR(__xludf.DUMMYFUNCTION("""COMPUTED_VALUE"""),"Roopnarine singh")</f>
        <v>Roopnarine singh</v>
      </c>
      <c r="F584" s="3" t="str">
        <f>IFERROR(__xludf.DUMMYFUNCTION("""COMPUTED_VALUE"""),"govo@rogers.con")</f>
        <v>govo@rogers.con</v>
      </c>
      <c r="G584" s="3"/>
      <c r="H584" s="3"/>
    </row>
    <row r="585">
      <c r="A585" s="2">
        <f>IFERROR(__xludf.DUMMYFUNCTION("""COMPUTED_VALUE"""),11605.0)</f>
        <v>11605</v>
      </c>
      <c r="B585" s="3" t="str">
        <f>IFERROR(__xludf.DUMMYFUNCTION("""COMPUTED_VALUE"""),"4741 5TH LINE")</f>
        <v>4741 5TH LINE</v>
      </c>
      <c r="C585" s="3" t="str">
        <f>IFERROR(__xludf.DUMMYFUNCTION("""COMPUTED_VALUE"""),"NEWTONVILLE")</f>
        <v>NEWTONVILLE</v>
      </c>
      <c r="D585" s="3" t="str">
        <f>IFERROR(__xludf.DUMMYFUNCTION("""COMPUTED_VALUE"""),"L0A 1J0")</f>
        <v>L0A 1J0</v>
      </c>
      <c r="E585" s="3"/>
      <c r="F585" s="3"/>
      <c r="G585" s="3"/>
      <c r="H585" s="3"/>
    </row>
    <row r="586">
      <c r="A586" s="2">
        <f>IFERROR(__xludf.DUMMYFUNCTION("""COMPUTED_VALUE"""),11032.0)</f>
        <v>11032</v>
      </c>
      <c r="B586" s="3" t="str">
        <f>IFERROR(__xludf.DUMMYFUNCTION("""COMPUTED_VALUE"""),"4743 KNOXVILLE RD")</f>
        <v>4743 KNOXVILLE RD</v>
      </c>
      <c r="C586" s="3" t="str">
        <f>IFERROR(__xludf.DUMMYFUNCTION("""COMPUTED_VALUE"""),"PORT HOPE")</f>
        <v>PORT HOPE</v>
      </c>
      <c r="D586" s="3" t="str">
        <f>IFERROR(__xludf.DUMMYFUNCTION("""COMPUTED_VALUE"""),"L1A 3V8")</f>
        <v>L1A 3V8</v>
      </c>
      <c r="E586" s="3" t="str">
        <f>IFERROR(__xludf.DUMMYFUNCTION("""COMPUTED_VALUE"""),"Colin Racine")</f>
        <v>Colin Racine</v>
      </c>
      <c r="F586" s="3" t="str">
        <f>IFERROR(__xludf.DUMMYFUNCTION("""COMPUTED_VALUE"""),"racine.colin@gmail.com")</f>
        <v>racine.colin@gmail.com</v>
      </c>
      <c r="G586" s="3"/>
      <c r="H586" s="3"/>
    </row>
    <row r="587">
      <c r="A587" s="2">
        <f>IFERROR(__xludf.DUMMYFUNCTION("""COMPUTED_VALUE"""),10796.0)</f>
        <v>10796</v>
      </c>
      <c r="B587" s="3" t="str">
        <f>IFERROR(__xludf.DUMMYFUNCTION("""COMPUTED_VALUE"""),"4745 DODD'S RD")</f>
        <v>4745 DODD'S RD</v>
      </c>
      <c r="C587" s="3" t="str">
        <f>IFERROR(__xludf.DUMMYFUNCTION("""COMPUTED_VALUE"""),"PORT HOPE")</f>
        <v>PORT HOPE</v>
      </c>
      <c r="D587" s="3" t="str">
        <f>IFERROR(__xludf.DUMMYFUNCTION("""COMPUTED_VALUE"""),"L1A 3V5")</f>
        <v>L1A 3V5</v>
      </c>
      <c r="E587" s="3" t="str">
        <f>IFERROR(__xludf.DUMMYFUNCTION("""COMPUTED_VALUE"""),"Alexander Hart")</f>
        <v>Alexander Hart</v>
      </c>
      <c r="F587" s="3" t="str">
        <f>IFERROR(__xludf.DUMMYFUNCTION("""COMPUTED_VALUE"""),"alexander.hart29@hotmail.com")</f>
        <v>alexander.hart29@hotmail.com</v>
      </c>
      <c r="G587" s="3"/>
      <c r="H587" s="3"/>
    </row>
    <row r="588">
      <c r="A588" s="2">
        <f>IFERROR(__xludf.DUMMYFUNCTION("""COMPUTED_VALUE"""),10718.0)</f>
        <v>10718</v>
      </c>
      <c r="B588" s="3" t="str">
        <f>IFERROR(__xludf.DUMMYFUNCTION("""COMPUTED_VALUE"""),"4746 DALE RD")</f>
        <v>4746 DALE RD</v>
      </c>
      <c r="C588" s="3" t="str">
        <f>IFERROR(__xludf.DUMMYFUNCTION("""COMPUTED_VALUE"""),"PORT HOPE")</f>
        <v>PORT HOPE</v>
      </c>
      <c r="D588" s="3" t="str">
        <f>IFERROR(__xludf.DUMMYFUNCTION("""COMPUTED_VALUE"""),"L1A 3V5")</f>
        <v>L1A 3V5</v>
      </c>
      <c r="E588" s="3"/>
      <c r="F588" s="3"/>
      <c r="G588" s="3"/>
      <c r="H588" s="3"/>
    </row>
    <row r="589">
      <c r="A589" s="2">
        <f>IFERROR(__xludf.DUMMYFUNCTION("""COMPUTED_VALUE"""),10458.0)</f>
        <v>10458</v>
      </c>
      <c r="B589" s="3" t="str">
        <f>IFERROR(__xludf.DUMMYFUNCTION("""COMPUTED_VALUE"""),"4955 COUNTY RD 10")</f>
        <v>4955 COUNTY RD 10</v>
      </c>
      <c r="C589" s="3" t="str">
        <f>IFERROR(__xludf.DUMMYFUNCTION("""COMPUTED_VALUE"""),"PORT HOPE")</f>
        <v>PORT HOPE</v>
      </c>
      <c r="D589" s="3" t="str">
        <f>IFERROR(__xludf.DUMMYFUNCTION("""COMPUTED_VALUE"""),"L1A 3V5")</f>
        <v>L1A 3V5</v>
      </c>
      <c r="E589" s="3" t="str">
        <f>IFERROR(__xludf.DUMMYFUNCTION("""COMPUTED_VALUE"""),"SAL CARIOTO")</f>
        <v>SAL CARIOTO</v>
      </c>
      <c r="F589" s="3" t="str">
        <f>IFERROR(__xludf.DUMMYFUNCTION("""COMPUTED_VALUE"""),"salcarioto@hotmail.com")</f>
        <v>salcarioto@hotmail.com</v>
      </c>
      <c r="G589" s="3"/>
      <c r="H589" s="3"/>
    </row>
    <row r="590">
      <c r="A590" s="2">
        <f>IFERROR(__xludf.DUMMYFUNCTION("""COMPUTED_VALUE"""),10797.0)</f>
        <v>10797</v>
      </c>
      <c r="B590" s="3" t="str">
        <f>IFERROR(__xludf.DUMMYFUNCTION("""COMPUTED_VALUE"""),"4748 DODD'S RD")</f>
        <v>4748 DODD'S RD</v>
      </c>
      <c r="C590" s="3" t="str">
        <f>IFERROR(__xludf.DUMMYFUNCTION("""COMPUTED_VALUE"""),"PORT HOPE")</f>
        <v>PORT HOPE</v>
      </c>
      <c r="D590" s="3" t="str">
        <f>IFERROR(__xludf.DUMMYFUNCTION("""COMPUTED_VALUE"""),"L1A 3V5")</f>
        <v>L1A 3V5</v>
      </c>
      <c r="E590" s="3" t="str">
        <f>IFERROR(__xludf.DUMMYFUNCTION("""COMPUTED_VALUE"""),"James Peters")</f>
        <v>James Peters</v>
      </c>
      <c r="F590" s="3" t="str">
        <f>IFERROR(__xludf.DUMMYFUNCTION("""COMPUTED_VALUE"""),"jimpeters1948@gmail.com")</f>
        <v>jimpeters1948@gmail.com</v>
      </c>
      <c r="G590" s="3"/>
      <c r="H590" s="3"/>
    </row>
    <row r="591">
      <c r="A591" s="2">
        <f>IFERROR(__xludf.DUMMYFUNCTION("""COMPUTED_VALUE"""),10298.0)</f>
        <v>10298</v>
      </c>
      <c r="B591" s="3" t="str">
        <f>IFERROR(__xludf.DUMMYFUNCTION("""COMPUTED_VALUE"""),"4752 BICKLE RD")</f>
        <v>4752 BICKLE RD</v>
      </c>
      <c r="C591" s="3" t="str">
        <f>IFERROR(__xludf.DUMMYFUNCTION("""COMPUTED_VALUE"""),"PORT HOPE")</f>
        <v>PORT HOPE</v>
      </c>
      <c r="D591" s="3" t="str">
        <f>IFERROR(__xludf.DUMMYFUNCTION("""COMPUTED_VALUE"""),"L1A 3V5")</f>
        <v>L1A 3V5</v>
      </c>
      <c r="E591" s="3" t="str">
        <f>IFERROR(__xludf.DUMMYFUNCTION("""COMPUTED_VALUE"""),"Brian &amp; Amy Gilmer")</f>
        <v>Brian &amp; Amy Gilmer</v>
      </c>
      <c r="F591" s="3" t="str">
        <f>IFERROR(__xludf.DUMMYFUNCTION("""COMPUTED_VALUE"""),"brianwgilmer@gmail.com")</f>
        <v>brianwgilmer@gmail.com</v>
      </c>
      <c r="G591" s="3"/>
      <c r="H591" s="3"/>
    </row>
    <row r="592">
      <c r="A592" s="2">
        <f>IFERROR(__xludf.DUMMYFUNCTION("""COMPUTED_VALUE"""),11218.0)</f>
        <v>11218</v>
      </c>
      <c r="B592" s="3" t="str">
        <f>IFERROR(__xludf.DUMMYFUNCTION("""COMPUTED_VALUE"""),"4753A MASTWOOD RD")</f>
        <v>4753A MASTWOOD RD</v>
      </c>
      <c r="C592" s="3" t="str">
        <f>IFERROR(__xludf.DUMMYFUNCTION("""COMPUTED_VALUE"""),"PORT HOPE")</f>
        <v>PORT HOPE</v>
      </c>
      <c r="D592" s="3" t="str">
        <f>IFERROR(__xludf.DUMMYFUNCTION("""COMPUTED_VALUE"""),"L1A 3V5")</f>
        <v>L1A 3V5</v>
      </c>
      <c r="E592" s="3" t="str">
        <f>IFERROR(__xludf.DUMMYFUNCTION("""COMPUTED_VALUE"""),"Robert Elliott")</f>
        <v>Robert Elliott</v>
      </c>
      <c r="F592" s="3"/>
      <c r="G592" s="3"/>
      <c r="H592" s="3"/>
    </row>
    <row r="593">
      <c r="A593" s="2">
        <f>IFERROR(__xludf.DUMMYFUNCTION("""COMPUTED_VALUE"""),11219.0)</f>
        <v>11219</v>
      </c>
      <c r="B593" s="3" t="str">
        <f>IFERROR(__xludf.DUMMYFUNCTION("""COMPUTED_VALUE"""),"4753B MASTWOOD RD")</f>
        <v>4753B MASTWOOD RD</v>
      </c>
      <c r="C593" s="3" t="str">
        <f>IFERROR(__xludf.DUMMYFUNCTION("""COMPUTED_VALUE"""),"PORT HOPE")</f>
        <v>PORT HOPE</v>
      </c>
      <c r="D593" s="3" t="str">
        <f>IFERROR(__xludf.DUMMYFUNCTION("""COMPUTED_VALUE"""),"L1A 3V5")</f>
        <v>L1A 3V5</v>
      </c>
      <c r="E593" s="3" t="str">
        <f>IFERROR(__xludf.DUMMYFUNCTION("""COMPUTED_VALUE"""),"Christine C. Rowland")</f>
        <v>Christine C. Rowland</v>
      </c>
      <c r="F593" s="3" t="str">
        <f>IFERROR(__xludf.DUMMYFUNCTION("""COMPUTED_VALUE"""),"christinecollie@gmail.com")</f>
        <v>christinecollie@gmail.com</v>
      </c>
      <c r="G593" s="3"/>
      <c r="H593" s="3"/>
    </row>
    <row r="594">
      <c r="A594" s="2">
        <f>IFERROR(__xludf.DUMMYFUNCTION("""COMPUTED_VALUE"""),11220.0)</f>
        <v>11220</v>
      </c>
      <c r="B594" s="3" t="str">
        <f>IFERROR(__xludf.DUMMYFUNCTION("""COMPUTED_VALUE"""),"4753C MASTWOOD RD")</f>
        <v>4753C MASTWOOD RD</v>
      </c>
      <c r="C594" s="3" t="str">
        <f>IFERROR(__xludf.DUMMYFUNCTION("""COMPUTED_VALUE"""),"PORT HOPE")</f>
        <v>PORT HOPE</v>
      </c>
      <c r="D594" s="3" t="str">
        <f>IFERROR(__xludf.DUMMYFUNCTION("""COMPUTED_VALUE"""),"L1A 3V5")</f>
        <v>L1A 3V5</v>
      </c>
      <c r="E594" s="3" t="str">
        <f>IFERROR(__xludf.DUMMYFUNCTION("""COMPUTED_VALUE"""),"Kris Fairservice")</f>
        <v>Kris Fairservice</v>
      </c>
      <c r="F594" s="3" t="str">
        <f>IFERROR(__xludf.DUMMYFUNCTION("""COMPUTED_VALUE"""),"thefairservices@gmail.com")</f>
        <v>thefairservices@gmail.com</v>
      </c>
      <c r="G594" s="3"/>
      <c r="H594" s="3"/>
    </row>
    <row r="595">
      <c r="A595" s="2">
        <f>IFERROR(__xludf.DUMMYFUNCTION("""COMPUTED_VALUE"""),11221.0)</f>
        <v>11221</v>
      </c>
      <c r="B595" s="3" t="str">
        <f>IFERROR(__xludf.DUMMYFUNCTION("""COMPUTED_VALUE"""),"4753D MASTWOOD RD")</f>
        <v>4753D MASTWOOD RD</v>
      </c>
      <c r="C595" s="3" t="str">
        <f>IFERROR(__xludf.DUMMYFUNCTION("""COMPUTED_VALUE"""),"PORT HOPE")</f>
        <v>PORT HOPE</v>
      </c>
      <c r="D595" s="3" t="str">
        <f>IFERROR(__xludf.DUMMYFUNCTION("""COMPUTED_VALUE"""),"L1A 3V5")</f>
        <v>L1A 3V5</v>
      </c>
      <c r="E595" s="3" t="str">
        <f>IFERROR(__xludf.DUMMYFUNCTION("""COMPUTED_VALUE"""),"Rob Snoek")</f>
        <v>Rob Snoek</v>
      </c>
      <c r="F595" s="3" t="str">
        <f>IFERROR(__xludf.DUMMYFUNCTION("""COMPUTED_VALUE"""),"robsnoeklive@gmail.com")</f>
        <v>robsnoeklive@gmail.com</v>
      </c>
      <c r="G595" s="3"/>
      <c r="H595" s="3"/>
    </row>
    <row r="596">
      <c r="A596" s="2">
        <f>IFERROR(__xludf.DUMMYFUNCTION("""COMPUTED_VALUE"""),11033.0)</f>
        <v>11033</v>
      </c>
      <c r="B596" s="3" t="str">
        <f>IFERROR(__xludf.DUMMYFUNCTION("""COMPUTED_VALUE"""),"4753 KNOXVILLE RD")</f>
        <v>4753 KNOXVILLE RD</v>
      </c>
      <c r="C596" s="3" t="str">
        <f>IFERROR(__xludf.DUMMYFUNCTION("""COMPUTED_VALUE"""),"PORT HOPE")</f>
        <v>PORT HOPE</v>
      </c>
      <c r="D596" s="3" t="str">
        <f>IFERROR(__xludf.DUMMYFUNCTION("""COMPUTED_VALUE"""),"L1A 3V8")</f>
        <v>L1A 3V8</v>
      </c>
      <c r="E596" s="3" t="str">
        <f>IFERROR(__xludf.DUMMYFUNCTION("""COMPUTED_VALUE"""),"Michelle Stothart")</f>
        <v>Michelle Stothart</v>
      </c>
      <c r="F596" s="3" t="str">
        <f>IFERROR(__xludf.DUMMYFUNCTION("""COMPUTED_VALUE"""),"tmqstothart@live.ca")</f>
        <v>tmqstothart@live.ca</v>
      </c>
      <c r="G596" s="3"/>
      <c r="H596" s="3"/>
    </row>
    <row r="597">
      <c r="A597" s="2">
        <f>IFERROR(__xludf.DUMMYFUNCTION("""COMPUTED_VALUE"""),11222.0)</f>
        <v>11222</v>
      </c>
      <c r="B597" s="3" t="str">
        <f>IFERROR(__xludf.DUMMYFUNCTION("""COMPUTED_VALUE"""),"4753F MASTWOOD RD")</f>
        <v>4753F MASTWOOD RD</v>
      </c>
      <c r="C597" s="3" t="str">
        <f>IFERROR(__xludf.DUMMYFUNCTION("""COMPUTED_VALUE"""),"PORT HOPE")</f>
        <v>PORT HOPE</v>
      </c>
      <c r="D597" s="3" t="str">
        <f>IFERROR(__xludf.DUMMYFUNCTION("""COMPUTED_VALUE"""),"L1A 3V5")</f>
        <v>L1A 3V5</v>
      </c>
      <c r="E597" s="3"/>
      <c r="F597" s="3"/>
      <c r="G597" s="3"/>
      <c r="H597" s="3"/>
    </row>
    <row r="598">
      <c r="A598" s="2">
        <f>IFERROR(__xludf.DUMMYFUNCTION("""COMPUTED_VALUE"""),11223.0)</f>
        <v>11223</v>
      </c>
      <c r="B598" s="3" t="str">
        <f>IFERROR(__xludf.DUMMYFUNCTION("""COMPUTED_VALUE"""),"4753H MASTWOOD RD")</f>
        <v>4753H MASTWOOD RD</v>
      </c>
      <c r="C598" s="3" t="str">
        <f>IFERROR(__xludf.DUMMYFUNCTION("""COMPUTED_VALUE"""),"PORT HOPE")</f>
        <v>PORT HOPE</v>
      </c>
      <c r="D598" s="3" t="str">
        <f>IFERROR(__xludf.DUMMYFUNCTION("""COMPUTED_VALUE"""),"L1A 3V5")</f>
        <v>L1A 3V5</v>
      </c>
      <c r="E598" s="3" t="str">
        <f>IFERROR(__xludf.DUMMYFUNCTION("""COMPUTED_VALUE"""),"Lou Petro")</f>
        <v>Lou Petro</v>
      </c>
      <c r="F598" s="3" t="str">
        <f>IFERROR(__xludf.DUMMYFUNCTION("""COMPUTED_VALUE"""),"annapetro4@gmail.com")</f>
        <v>annapetro4@gmail.com</v>
      </c>
      <c r="G598" s="3"/>
      <c r="H598" s="3"/>
    </row>
    <row r="599">
      <c r="A599" s="2">
        <f>IFERROR(__xludf.DUMMYFUNCTION("""COMPUTED_VALUE"""),10050.0)</f>
        <v>10050</v>
      </c>
      <c r="B599" s="3" t="str">
        <f>IFERROR(__xludf.DUMMYFUNCTION("""COMPUTED_VALUE"""),"4754 4TH LINE")</f>
        <v>4754 4TH LINE</v>
      </c>
      <c r="C599" s="3" t="str">
        <f>IFERROR(__xludf.DUMMYFUNCTION("""COMPUTED_VALUE"""),"PORT HOPE")</f>
        <v>PORT HOPE</v>
      </c>
      <c r="D599" s="3" t="str">
        <f>IFERROR(__xludf.DUMMYFUNCTION("""COMPUTED_VALUE"""),"L1A 3V5")</f>
        <v>L1A 3V5</v>
      </c>
      <c r="E599" s="3" t="str">
        <f>IFERROR(__xludf.DUMMYFUNCTION("""COMPUTED_VALUE"""),"Robert Vanderwindt")</f>
        <v>Robert Vanderwindt</v>
      </c>
      <c r="F599" s="3" t="str">
        <f>IFERROR(__xludf.DUMMYFUNCTION("""COMPUTED_VALUE"""),"vanfarm86@yahoo.com")</f>
        <v>vanfarm86@yahoo.com</v>
      </c>
      <c r="G599" s="3"/>
      <c r="H599" s="3"/>
    </row>
    <row r="600">
      <c r="A600" s="2">
        <f>IFERROR(__xludf.DUMMYFUNCTION("""COMPUTED_VALUE"""),11034.0)</f>
        <v>11034</v>
      </c>
      <c r="B600" s="3" t="str">
        <f>IFERROR(__xludf.DUMMYFUNCTION("""COMPUTED_VALUE"""),"4773 KNOXVILLE RD")</f>
        <v>4773 KNOXVILLE RD</v>
      </c>
      <c r="C600" s="3" t="str">
        <f>IFERROR(__xludf.DUMMYFUNCTION("""COMPUTED_VALUE"""),"PORT HOPE")</f>
        <v>PORT HOPE</v>
      </c>
      <c r="D600" s="3" t="str">
        <f>IFERROR(__xludf.DUMMYFUNCTION("""COMPUTED_VALUE"""),"L1A 3V8")</f>
        <v>L1A 3V8</v>
      </c>
      <c r="E600" s="3" t="str">
        <f>IFERROR(__xludf.DUMMYFUNCTION("""COMPUTED_VALUE"""),"michael oliver")</f>
        <v>michael oliver</v>
      </c>
      <c r="F600" s="3" t="str">
        <f>IFERROR(__xludf.DUMMYFUNCTION("""COMPUTED_VALUE"""),"moliver@donolivers.ca")</f>
        <v>moliver@donolivers.ca</v>
      </c>
      <c r="G600" s="3"/>
      <c r="H600" s="3"/>
    </row>
    <row r="601">
      <c r="A601" s="2">
        <f>IFERROR(__xludf.DUMMYFUNCTION("""COMPUTED_VALUE"""),10051.0)</f>
        <v>10051</v>
      </c>
      <c r="B601" s="3" t="str">
        <f>IFERROR(__xludf.DUMMYFUNCTION("""COMPUTED_VALUE"""),"4773 4TH LINE")</f>
        <v>4773 4TH LINE</v>
      </c>
      <c r="C601" s="3" t="str">
        <f>IFERROR(__xludf.DUMMYFUNCTION("""COMPUTED_VALUE"""),"PORT HOPE")</f>
        <v>PORT HOPE</v>
      </c>
      <c r="D601" s="3" t="str">
        <f>IFERROR(__xludf.DUMMYFUNCTION("""COMPUTED_VALUE"""),"L1A 3V5")</f>
        <v>L1A 3V5</v>
      </c>
      <c r="E601" s="3"/>
      <c r="F601" s="3"/>
      <c r="G601" s="3"/>
      <c r="H601" s="3"/>
    </row>
    <row r="602">
      <c r="A602" s="2">
        <f>IFERROR(__xludf.DUMMYFUNCTION("""COMPUTED_VALUE"""),11606.0)</f>
        <v>11606</v>
      </c>
      <c r="B602" s="3" t="str">
        <f>IFERROR(__xludf.DUMMYFUNCTION("""COMPUTED_VALUE"""),"4775 5TH LINE")</f>
        <v>4775 5TH LINE</v>
      </c>
      <c r="C602" s="3" t="str">
        <f>IFERROR(__xludf.DUMMYFUNCTION("""COMPUTED_VALUE"""),"NEWTONVILLE")</f>
        <v>NEWTONVILLE</v>
      </c>
      <c r="D602" s="3" t="str">
        <f>IFERROR(__xludf.DUMMYFUNCTION("""COMPUTED_VALUE"""),"L0A 1J0")</f>
        <v>L0A 1J0</v>
      </c>
      <c r="E602" s="3"/>
      <c r="F602" s="3"/>
      <c r="G602" s="3"/>
      <c r="H602" s="3"/>
    </row>
    <row r="603">
      <c r="A603" s="2">
        <f>IFERROR(__xludf.DUMMYFUNCTION("""COMPUTED_VALUE"""),10798.0)</f>
        <v>10798</v>
      </c>
      <c r="B603" s="3" t="str">
        <f>IFERROR(__xludf.DUMMYFUNCTION("""COMPUTED_VALUE"""),"4778 DODD'S RD")</f>
        <v>4778 DODD'S RD</v>
      </c>
      <c r="C603" s="3" t="str">
        <f>IFERROR(__xludf.DUMMYFUNCTION("""COMPUTED_VALUE"""),"PORT HOPE")</f>
        <v>PORT HOPE</v>
      </c>
      <c r="D603" s="3" t="str">
        <f>IFERROR(__xludf.DUMMYFUNCTION("""COMPUTED_VALUE"""),"L1A 3V5")</f>
        <v>L1A 3V5</v>
      </c>
      <c r="E603" s="3" t="str">
        <f>IFERROR(__xludf.DUMMYFUNCTION("""COMPUTED_VALUE"""),"Janet Fishlock")</f>
        <v>Janet Fishlock</v>
      </c>
      <c r="F603" s="3" t="str">
        <f>IFERROR(__xludf.DUMMYFUNCTION("""COMPUTED_VALUE"""),"jfishlock@hotmail.com")</f>
        <v>jfishlock@hotmail.com</v>
      </c>
      <c r="G603" s="3"/>
      <c r="H603" s="3"/>
    </row>
    <row r="604">
      <c r="A604" s="2">
        <f>IFERROR(__xludf.DUMMYFUNCTION("""COMPUTED_VALUE"""),11614.0)</f>
        <v>11614</v>
      </c>
      <c r="B604" s="3" t="str">
        <f>IFERROR(__xludf.DUMMYFUNCTION("""COMPUTED_VALUE"""),"4780 BICKLE RD")</f>
        <v>4780 BICKLE RD</v>
      </c>
      <c r="C604" s="3" t="str">
        <f>IFERROR(__xludf.DUMMYFUNCTION("""COMPUTED_VALUE"""),"PORT HOPE")</f>
        <v>PORT HOPE</v>
      </c>
      <c r="D604" s="3" t="str">
        <f>IFERROR(__xludf.DUMMYFUNCTION("""COMPUTED_VALUE"""),"L1A 3V5")</f>
        <v>L1A 3V5</v>
      </c>
      <c r="E604" s="3"/>
      <c r="F604" s="3"/>
      <c r="G604" s="3"/>
      <c r="H604" s="3"/>
    </row>
    <row r="605">
      <c r="A605" s="2">
        <f>IFERROR(__xludf.DUMMYFUNCTION("""COMPUTED_VALUE"""),10720.0)</f>
        <v>10720</v>
      </c>
      <c r="B605" s="3" t="str">
        <f>IFERROR(__xludf.DUMMYFUNCTION("""COMPUTED_VALUE"""),"4783 DALE RD")</f>
        <v>4783 DALE RD</v>
      </c>
      <c r="C605" s="3" t="str">
        <f>IFERROR(__xludf.DUMMYFUNCTION("""COMPUTED_VALUE"""),"PORT HOPE")</f>
        <v>PORT HOPE</v>
      </c>
      <c r="D605" s="3" t="str">
        <f>IFERROR(__xludf.DUMMYFUNCTION("""COMPUTED_VALUE"""),"L1A 3V5")</f>
        <v>L1A 3V5</v>
      </c>
      <c r="E605" s="3" t="str">
        <f>IFERROR(__xludf.DUMMYFUNCTION("""COMPUTED_VALUE"""),"Cheryl &amp; Derek Sanders")</f>
        <v>Cheryl &amp; Derek Sanders</v>
      </c>
      <c r="F605" s="3" t="str">
        <f>IFERROR(__xludf.DUMMYFUNCTION("""COMPUTED_VALUE"""),"hill-sanders11@hotmail.com")</f>
        <v>hill-sanders11@hotmail.com</v>
      </c>
      <c r="G605" s="3"/>
      <c r="H605" s="3"/>
    </row>
    <row r="606">
      <c r="A606" s="2">
        <f>IFERROR(__xludf.DUMMYFUNCTION("""COMPUTED_VALUE"""),10799.0)</f>
        <v>10799</v>
      </c>
      <c r="B606" s="3" t="str">
        <f>IFERROR(__xludf.DUMMYFUNCTION("""COMPUTED_VALUE"""),"4801 DODD'S RD")</f>
        <v>4801 DODD'S RD</v>
      </c>
      <c r="C606" s="3" t="str">
        <f>IFERROR(__xludf.DUMMYFUNCTION("""COMPUTED_VALUE"""),"PORT HOPE")</f>
        <v>PORT HOPE</v>
      </c>
      <c r="D606" s="3" t="str">
        <f>IFERROR(__xludf.DUMMYFUNCTION("""COMPUTED_VALUE"""),"L1A 3V5")</f>
        <v>L1A 3V5</v>
      </c>
      <c r="E606" s="3" t="str">
        <f>IFERROR(__xludf.DUMMYFUNCTION("""COMPUTED_VALUE"""),"Robert Matte")</f>
        <v>Robert Matte</v>
      </c>
      <c r="F606" s="3" t="str">
        <f>IFERROR(__xludf.DUMMYFUNCTION("""COMPUTED_VALUE"""),"fspc1@xplornet.com")</f>
        <v>fspc1@xplornet.com</v>
      </c>
      <c r="G606" s="3"/>
      <c r="H606" s="3"/>
    </row>
    <row r="607">
      <c r="A607" s="2">
        <f>IFERROR(__xludf.DUMMYFUNCTION("""COMPUTED_VALUE"""),11224.0)</f>
        <v>11224</v>
      </c>
      <c r="B607" s="3" t="str">
        <f>IFERROR(__xludf.DUMMYFUNCTION("""COMPUTED_VALUE"""),"4805 MASTWOOD RD")</f>
        <v>4805 MASTWOOD RD</v>
      </c>
      <c r="C607" s="3" t="str">
        <f>IFERROR(__xludf.DUMMYFUNCTION("""COMPUTED_VALUE"""),"PORT HOPE")</f>
        <v>PORT HOPE</v>
      </c>
      <c r="D607" s="3" t="str">
        <f>IFERROR(__xludf.DUMMYFUNCTION("""COMPUTED_VALUE"""),"L1A 3V5")</f>
        <v>L1A 3V5</v>
      </c>
      <c r="E607" s="3" t="str">
        <f>IFERROR(__xludf.DUMMYFUNCTION("""COMPUTED_VALUE"""),"Darren Fraser")</f>
        <v>Darren Fraser</v>
      </c>
      <c r="F607" s="3" t="str">
        <f>IFERROR(__xludf.DUMMYFUNCTION("""COMPUTED_VALUE"""),"darren.p.fraser@gmail.com")</f>
        <v>darren.p.fraser@gmail.com</v>
      </c>
      <c r="G607" s="3"/>
      <c r="H607" s="3"/>
    </row>
    <row r="608">
      <c r="A608" s="2">
        <f>IFERROR(__xludf.DUMMYFUNCTION("""COMPUTED_VALUE"""),10459.0)</f>
        <v>10459</v>
      </c>
      <c r="B608" s="3" t="str">
        <f>IFERROR(__xludf.DUMMYFUNCTION("""COMPUTED_VALUE"""),"4978 COUNTY RD 10")</f>
        <v>4978 COUNTY RD 10</v>
      </c>
      <c r="C608" s="3" t="str">
        <f>IFERROR(__xludf.DUMMYFUNCTION("""COMPUTED_VALUE"""),"PORT HOPE")</f>
        <v>PORT HOPE</v>
      </c>
      <c r="D608" s="3" t="str">
        <f>IFERROR(__xludf.DUMMYFUNCTION("""COMPUTED_VALUE"""),"L1A 3V5")</f>
        <v>L1A 3V5</v>
      </c>
      <c r="E608" s="3" t="str">
        <f>IFERROR(__xludf.DUMMYFUNCTION("""COMPUTED_VALUE"""),"Kevin Lax")</f>
        <v>Kevin Lax</v>
      </c>
      <c r="F608" s="3" t="str">
        <f>IFERROR(__xludf.DUMMYFUNCTION("""COMPUTED_VALUE"""),"laxy.kevin@hotmail.com")</f>
        <v>laxy.kevin@hotmail.com</v>
      </c>
      <c r="G608" s="3"/>
      <c r="H608" s="3"/>
    </row>
    <row r="609">
      <c r="A609" s="2">
        <f>IFERROR(__xludf.DUMMYFUNCTION("""COMPUTED_VALUE"""),10800.0)</f>
        <v>10800</v>
      </c>
      <c r="B609" s="3" t="str">
        <f>IFERROR(__xludf.DUMMYFUNCTION("""COMPUTED_VALUE"""),"4812 DODD'S RD")</f>
        <v>4812 DODD'S RD</v>
      </c>
      <c r="C609" s="3" t="str">
        <f>IFERROR(__xludf.DUMMYFUNCTION("""COMPUTED_VALUE"""),"PORT HOPE")</f>
        <v>PORT HOPE</v>
      </c>
      <c r="D609" s="3" t="str">
        <f>IFERROR(__xludf.DUMMYFUNCTION("""COMPUTED_VALUE"""),"L1A 3V5")</f>
        <v>L1A 3V5</v>
      </c>
      <c r="E609" s="3" t="str">
        <f>IFERROR(__xludf.DUMMYFUNCTION("""COMPUTED_VALUE"""),"Bud Lauria / Sara Lauria")</f>
        <v>Bud Lauria / Sara Lauria</v>
      </c>
      <c r="F609" s="3" t="str">
        <f>IFERROR(__xludf.DUMMYFUNCTION("""COMPUTED_VALUE"""),"bud.lauria@lauria.ca")</f>
        <v>bud.lauria@lauria.ca</v>
      </c>
      <c r="G609" s="3"/>
      <c r="H609" s="3"/>
    </row>
    <row r="610">
      <c r="A610" s="2">
        <f>IFERROR(__xludf.DUMMYFUNCTION("""COMPUTED_VALUE"""),10721.0)</f>
        <v>10721</v>
      </c>
      <c r="B610" s="3" t="str">
        <f>IFERROR(__xludf.DUMMYFUNCTION("""COMPUTED_VALUE"""),"4815 DALE RD")</f>
        <v>4815 DALE RD</v>
      </c>
      <c r="C610" s="3" t="str">
        <f>IFERROR(__xludf.DUMMYFUNCTION("""COMPUTED_VALUE"""),"PORT HOPE")</f>
        <v>PORT HOPE</v>
      </c>
      <c r="D610" s="3" t="str">
        <f>IFERROR(__xludf.DUMMYFUNCTION("""COMPUTED_VALUE"""),"L1A 3V5")</f>
        <v>L1A 3V5</v>
      </c>
      <c r="E610" s="3" t="str">
        <f>IFERROR(__xludf.DUMMYFUNCTION("""COMPUTED_VALUE"""),"Nick Hill")</f>
        <v>Nick Hill</v>
      </c>
      <c r="F610" s="3" t="str">
        <f>IFERROR(__xludf.DUMMYFUNCTION("""COMPUTED_VALUE"""),"n-hill@live.ca")</f>
        <v>n-hill@live.ca</v>
      </c>
      <c r="G610" s="3"/>
      <c r="H610" s="3"/>
    </row>
    <row r="611">
      <c r="A611" s="2">
        <f>IFERROR(__xludf.DUMMYFUNCTION("""COMPUTED_VALUE"""),10460.0)</f>
        <v>10460</v>
      </c>
      <c r="B611" s="3" t="str">
        <f>IFERROR(__xludf.DUMMYFUNCTION("""COMPUTED_VALUE"""),"4981 COUNTY RD 10")</f>
        <v>4981 COUNTY RD 10</v>
      </c>
      <c r="C611" s="3" t="str">
        <f>IFERROR(__xludf.DUMMYFUNCTION("""COMPUTED_VALUE"""),"PORT HOPE")</f>
        <v>PORT HOPE</v>
      </c>
      <c r="D611" s="3" t="str">
        <f>IFERROR(__xludf.DUMMYFUNCTION("""COMPUTED_VALUE"""),"L1A 3V5")</f>
        <v>L1A 3V5</v>
      </c>
      <c r="E611" s="3" t="str">
        <f>IFERROR(__xludf.DUMMYFUNCTION("""COMPUTED_VALUE"""),"GLEN HURST")</f>
        <v>GLEN HURST</v>
      </c>
      <c r="F611" s="3" t="str">
        <f>IFERROR(__xludf.DUMMYFUNCTION("""COMPUTED_VALUE"""),"glen_hurst@hotmail.com")</f>
        <v>glen_hurst@hotmail.com</v>
      </c>
      <c r="G611" s="3"/>
      <c r="H611" s="3"/>
    </row>
    <row r="612">
      <c r="A612" s="2">
        <f>IFERROR(__xludf.DUMMYFUNCTION("""COMPUTED_VALUE"""),10630.0)</f>
        <v>10630</v>
      </c>
      <c r="B612" s="3" t="str">
        <f>IFERROR(__xludf.DUMMYFUNCTION("""COMPUTED_VALUE"""),"4829 COUNTY RD 28")</f>
        <v>4829 COUNTY RD 28</v>
      </c>
      <c r="C612" s="3" t="str">
        <f>IFERROR(__xludf.DUMMYFUNCTION("""COMPUTED_VALUE"""),"PORT HOPE")</f>
        <v>PORT HOPE</v>
      </c>
      <c r="D612" s="3" t="str">
        <f>IFERROR(__xludf.DUMMYFUNCTION("""COMPUTED_VALUE"""),"L1A 3V6")</f>
        <v>L1A 3V6</v>
      </c>
      <c r="E612" s="3" t="str">
        <f>IFERROR(__xludf.DUMMYFUNCTION("""COMPUTED_VALUE"""),"john and sheila goheel")</f>
        <v>john and sheila goheel</v>
      </c>
      <c r="F612" s="3"/>
      <c r="G612" s="3"/>
      <c r="H612" s="3"/>
    </row>
    <row r="613">
      <c r="A613" s="2">
        <f>IFERROR(__xludf.DUMMYFUNCTION("""COMPUTED_VALUE"""),10722.0)</f>
        <v>10722</v>
      </c>
      <c r="B613" s="3" t="str">
        <f>IFERROR(__xludf.DUMMYFUNCTION("""COMPUTED_VALUE"""),"4829 DALE RD")</f>
        <v>4829 DALE RD</v>
      </c>
      <c r="C613" s="3" t="str">
        <f>IFERROR(__xludf.DUMMYFUNCTION("""COMPUTED_VALUE"""),"PORT HOPE")</f>
        <v>PORT HOPE</v>
      </c>
      <c r="D613" s="3" t="str">
        <f>IFERROR(__xludf.DUMMYFUNCTION("""COMPUTED_VALUE"""),"L1A 3V5")</f>
        <v>L1A 3V5</v>
      </c>
      <c r="E613" s="3" t="str">
        <f>IFERROR(__xludf.DUMMYFUNCTION("""COMPUTED_VALUE"""),"James McKnight")</f>
        <v>James McKnight</v>
      </c>
      <c r="F613" s="3" t="str">
        <f>IFERROR(__xludf.DUMMYFUNCTION("""COMPUTED_VALUE"""),"mcknight1@sympatico.ca")</f>
        <v>mcknight1@sympatico.ca</v>
      </c>
      <c r="G613" s="3"/>
      <c r="H613" s="3"/>
    </row>
    <row r="614">
      <c r="A614" s="2">
        <f>IFERROR(__xludf.DUMMYFUNCTION("""COMPUTED_VALUE"""),11225.0)</f>
        <v>11225</v>
      </c>
      <c r="B614" s="3" t="str">
        <f>IFERROR(__xludf.DUMMYFUNCTION("""COMPUTED_VALUE"""),"4831 MASTWOOD RD")</f>
        <v>4831 MASTWOOD RD</v>
      </c>
      <c r="C614" s="3" t="str">
        <f>IFERROR(__xludf.DUMMYFUNCTION("""COMPUTED_VALUE"""),"PORT HOPE")</f>
        <v>PORT HOPE</v>
      </c>
      <c r="D614" s="3" t="str">
        <f>IFERROR(__xludf.DUMMYFUNCTION("""COMPUTED_VALUE"""),"L1A 3V5")</f>
        <v>L1A 3V5</v>
      </c>
      <c r="E614" s="3" t="str">
        <f>IFERROR(__xludf.DUMMYFUNCTION("""COMPUTED_VALUE"""),"Jordan Barr")</f>
        <v>Jordan Barr</v>
      </c>
      <c r="F614" s="3" t="str">
        <f>IFERROR(__xludf.DUMMYFUNCTION("""COMPUTED_VALUE"""),"jordan_barr@live.com")</f>
        <v>jordan_barr@live.com</v>
      </c>
      <c r="G614" s="3"/>
      <c r="H614" s="3"/>
    </row>
    <row r="615">
      <c r="A615" s="2">
        <f>IFERROR(__xludf.DUMMYFUNCTION("""COMPUTED_VALUE"""),10723.0)</f>
        <v>10723</v>
      </c>
      <c r="B615" s="3" t="str">
        <f>IFERROR(__xludf.DUMMYFUNCTION("""COMPUTED_VALUE"""),"4841 DALE RD")</f>
        <v>4841 DALE RD</v>
      </c>
      <c r="C615" s="3" t="str">
        <f>IFERROR(__xludf.DUMMYFUNCTION("""COMPUTED_VALUE"""),"PORT HOPE")</f>
        <v>PORT HOPE</v>
      </c>
      <c r="D615" s="3" t="str">
        <f>IFERROR(__xludf.DUMMYFUNCTION("""COMPUTED_VALUE"""),"L1A 3V5")</f>
        <v>L1A 3V5</v>
      </c>
      <c r="E615" s="3" t="str">
        <f>IFERROR(__xludf.DUMMYFUNCTION("""COMPUTED_VALUE"""),"Christopher Bolton")</f>
        <v>Christopher Bolton</v>
      </c>
      <c r="F615" s="3" t="str">
        <f>IFERROR(__xludf.DUMMYFUNCTION("""COMPUTED_VALUE"""),"cjbolton2002@outlook.com")</f>
        <v>cjbolton2002@outlook.com</v>
      </c>
      <c r="G615" s="3"/>
      <c r="H615" s="3"/>
    </row>
    <row r="616">
      <c r="A616" s="2">
        <f>IFERROR(__xludf.DUMMYFUNCTION("""COMPUTED_VALUE"""),11226.0)</f>
        <v>11226</v>
      </c>
      <c r="B616" s="3" t="str">
        <f>IFERROR(__xludf.DUMMYFUNCTION("""COMPUTED_VALUE"""),"4845 MASTWOOD RD")</f>
        <v>4845 MASTWOOD RD</v>
      </c>
      <c r="C616" s="3" t="str">
        <f>IFERROR(__xludf.DUMMYFUNCTION("""COMPUTED_VALUE"""),"PORT HOPE")</f>
        <v>PORT HOPE</v>
      </c>
      <c r="D616" s="3" t="str">
        <f>IFERROR(__xludf.DUMMYFUNCTION("""COMPUTED_VALUE"""),"L1A 3V5")</f>
        <v>L1A 3V5</v>
      </c>
      <c r="E616" s="3" t="str">
        <f>IFERROR(__xludf.DUMMYFUNCTION("""COMPUTED_VALUE"""),"Amanda Worthington")</f>
        <v>Amanda Worthington</v>
      </c>
      <c r="F616" s="3" t="str">
        <f>IFERROR(__xludf.DUMMYFUNCTION("""COMPUTED_VALUE"""),"amandacoulard@hotmail.com")</f>
        <v>amandacoulard@hotmail.com</v>
      </c>
      <c r="G616" s="3"/>
      <c r="H616" s="3"/>
    </row>
    <row r="617">
      <c r="A617" s="2">
        <f>IFERROR(__xludf.DUMMYFUNCTION("""COMPUTED_VALUE"""),10461.0)</f>
        <v>10461</v>
      </c>
      <c r="B617" s="3" t="str">
        <f>IFERROR(__xludf.DUMMYFUNCTION("""COMPUTED_VALUE"""),"4984 COUNTY RD 10")</f>
        <v>4984 COUNTY RD 10</v>
      </c>
      <c r="C617" s="3" t="str">
        <f>IFERROR(__xludf.DUMMYFUNCTION("""COMPUTED_VALUE"""),"PORT HOPE")</f>
        <v>PORT HOPE</v>
      </c>
      <c r="D617" s="3" t="str">
        <f>IFERROR(__xludf.DUMMYFUNCTION("""COMPUTED_VALUE"""),"L1A 3V5")</f>
        <v>L1A 3V5</v>
      </c>
      <c r="E617" s="3" t="str">
        <f>IFERROR(__xludf.DUMMYFUNCTION("""COMPUTED_VALUE"""),"John Macmillan")</f>
        <v>John Macmillan</v>
      </c>
      <c r="F617" s="3" t="str">
        <f>IFERROR(__xludf.DUMMYFUNCTION("""COMPUTED_VALUE"""),"jhmacmillan223@gmail.com")</f>
        <v>jhmacmillan223@gmail.com</v>
      </c>
      <c r="G617" s="3"/>
      <c r="H617" s="3"/>
    </row>
    <row r="618">
      <c r="A618" s="2">
        <f>IFERROR(__xludf.DUMMYFUNCTION("""COMPUTED_VALUE"""),10801.0)</f>
        <v>10801</v>
      </c>
      <c r="B618" s="3" t="str">
        <f>IFERROR(__xludf.DUMMYFUNCTION("""COMPUTED_VALUE"""),"4848 DODD'S RD")</f>
        <v>4848 DODD'S RD</v>
      </c>
      <c r="C618" s="3" t="str">
        <f>IFERROR(__xludf.DUMMYFUNCTION("""COMPUTED_VALUE"""),"PORT HOPE")</f>
        <v>PORT HOPE</v>
      </c>
      <c r="D618" s="3" t="str">
        <f>IFERROR(__xludf.DUMMYFUNCTION("""COMPUTED_VALUE"""),"L1A 3V5")</f>
        <v>L1A 3V5</v>
      </c>
      <c r="E618" s="3" t="str">
        <f>IFERROR(__xludf.DUMMYFUNCTION("""COMPUTED_VALUE"""),"Komar J+K")</f>
        <v>Komar J+K</v>
      </c>
      <c r="F618" s="3" t="str">
        <f>IFERROR(__xludf.DUMMYFUNCTION("""COMPUTED_VALUE"""),"kitkmr@yahoo.com")</f>
        <v>kitkmr@yahoo.com</v>
      </c>
      <c r="G618" s="3"/>
      <c r="H618" s="3"/>
    </row>
    <row r="619">
      <c r="A619" s="2">
        <f>IFERROR(__xludf.DUMMYFUNCTION("""COMPUTED_VALUE"""),10085.0)</f>
        <v>10085</v>
      </c>
      <c r="B619" s="3" t="str">
        <f>IFERROR(__xludf.DUMMYFUNCTION("""COMPUTED_VALUE"""),"4850 5TH LINE")</f>
        <v>4850 5TH LINE</v>
      </c>
      <c r="C619" s="3" t="str">
        <f>IFERROR(__xludf.DUMMYFUNCTION("""COMPUTED_VALUE"""),"PORT HOPE")</f>
        <v>PORT HOPE</v>
      </c>
      <c r="D619" s="3" t="str">
        <f>IFERROR(__xludf.DUMMYFUNCTION("""COMPUTED_VALUE"""),"L1A 3V8")</f>
        <v>L1A 3V8</v>
      </c>
      <c r="E619" s="3" t="str">
        <f>IFERROR(__xludf.DUMMYFUNCTION("""COMPUTED_VALUE"""),"brena sauve")</f>
        <v>brena sauve</v>
      </c>
      <c r="F619" s="3"/>
      <c r="G619" s="3"/>
      <c r="H619" s="3"/>
    </row>
    <row r="620">
      <c r="A620" s="2">
        <f>IFERROR(__xludf.DUMMYFUNCTION("""COMPUTED_VALUE"""),10052.0)</f>
        <v>10052</v>
      </c>
      <c r="B620" s="3" t="str">
        <f>IFERROR(__xludf.DUMMYFUNCTION("""COMPUTED_VALUE"""),"4850 4TH LINE")</f>
        <v>4850 4TH LINE</v>
      </c>
      <c r="C620" s="3" t="str">
        <f>IFERROR(__xludf.DUMMYFUNCTION("""COMPUTED_VALUE"""),"PORT HOPE")</f>
        <v>PORT HOPE</v>
      </c>
      <c r="D620" s="3" t="str">
        <f>IFERROR(__xludf.DUMMYFUNCTION("""COMPUTED_VALUE"""),"L1A 3V5")</f>
        <v>L1A 3V5</v>
      </c>
      <c r="E620" s="3"/>
      <c r="F620" s="3"/>
      <c r="G620" s="3"/>
      <c r="H620" s="3"/>
    </row>
    <row r="621">
      <c r="A621" s="2">
        <f>IFERROR(__xludf.DUMMYFUNCTION("""COMPUTED_VALUE"""),10724.0)</f>
        <v>10724</v>
      </c>
      <c r="B621" s="3" t="str">
        <f>IFERROR(__xludf.DUMMYFUNCTION("""COMPUTED_VALUE"""),"4857 DALE RD")</f>
        <v>4857 DALE RD</v>
      </c>
      <c r="C621" s="3" t="str">
        <f>IFERROR(__xludf.DUMMYFUNCTION("""COMPUTED_VALUE"""),"PORT HOPE")</f>
        <v>PORT HOPE</v>
      </c>
      <c r="D621" s="3" t="str">
        <f>IFERROR(__xludf.DUMMYFUNCTION("""COMPUTED_VALUE"""),"L1A 3V5")</f>
        <v>L1A 3V5</v>
      </c>
      <c r="E621" s="3"/>
      <c r="F621" s="3"/>
      <c r="G621" s="3"/>
      <c r="H621" s="3"/>
    </row>
    <row r="622">
      <c r="A622" s="2">
        <f>IFERROR(__xludf.DUMMYFUNCTION("""COMPUTED_VALUE"""),10197.0)</f>
        <v>10197</v>
      </c>
      <c r="B622" s="3" t="str">
        <f>IFERROR(__xludf.DUMMYFUNCTION("""COMPUTED_VALUE"""),"4871 7TH LINE")</f>
        <v>4871 7TH LINE</v>
      </c>
      <c r="C622" s="3" t="str">
        <f>IFERROR(__xludf.DUMMYFUNCTION("""COMPUTED_VALUE"""),"PORT HOPE")</f>
        <v>PORT HOPE</v>
      </c>
      <c r="D622" s="3" t="str">
        <f>IFERROR(__xludf.DUMMYFUNCTION("""COMPUTED_VALUE"""),"L1A 3V5")</f>
        <v>L1A 3V5</v>
      </c>
      <c r="E622" s="3" t="str">
        <f>IFERROR(__xludf.DUMMYFUNCTION("""COMPUTED_VALUE"""),"Craig Gladding")</f>
        <v>Craig Gladding</v>
      </c>
      <c r="F622" s="3"/>
      <c r="G622" s="3"/>
      <c r="H622" s="3"/>
    </row>
    <row r="623">
      <c r="A623" s="2">
        <f>IFERROR(__xludf.DUMMYFUNCTION("""COMPUTED_VALUE"""),10462.0)</f>
        <v>10462</v>
      </c>
      <c r="B623" s="3" t="str">
        <f>IFERROR(__xludf.DUMMYFUNCTION("""COMPUTED_VALUE"""),"5017 COUNTY RD 10")</f>
        <v>5017 COUNTY RD 10</v>
      </c>
      <c r="C623" s="3" t="str">
        <f>IFERROR(__xludf.DUMMYFUNCTION("""COMPUTED_VALUE"""),"PORT HOPE")</f>
        <v>PORT HOPE</v>
      </c>
      <c r="D623" s="3" t="str">
        <f>IFERROR(__xludf.DUMMYFUNCTION("""COMPUTED_VALUE"""),"L1A 3V5")</f>
        <v>L1A 3V5</v>
      </c>
      <c r="E623" s="3" t="str">
        <f>IFERROR(__xludf.DUMMYFUNCTION("""COMPUTED_VALUE"""),"Paul Strutch")</f>
        <v>Paul Strutch</v>
      </c>
      <c r="F623" s="3"/>
      <c r="G623" s="3"/>
      <c r="H623" s="3"/>
    </row>
    <row r="624">
      <c r="A624" s="2">
        <f>IFERROR(__xludf.DUMMYFUNCTION("""COMPUTED_VALUE"""),10053.0)</f>
        <v>10053</v>
      </c>
      <c r="B624" s="3" t="str">
        <f>IFERROR(__xludf.DUMMYFUNCTION("""COMPUTED_VALUE"""),"4891 4TH LINE")</f>
        <v>4891 4TH LINE</v>
      </c>
      <c r="C624" s="3" t="str">
        <f>IFERROR(__xludf.DUMMYFUNCTION("""COMPUTED_VALUE"""),"PORT HOPE")</f>
        <v>PORT HOPE</v>
      </c>
      <c r="D624" s="3" t="str">
        <f>IFERROR(__xludf.DUMMYFUNCTION("""COMPUTED_VALUE"""),"L1A 3V5")</f>
        <v>L1A 3V5</v>
      </c>
      <c r="E624" s="3"/>
      <c r="F624" s="3"/>
      <c r="G624" s="3"/>
      <c r="H624" s="3"/>
    </row>
    <row r="625">
      <c r="A625" s="2">
        <f>IFERROR(__xludf.DUMMYFUNCTION("""COMPUTED_VALUE"""),10725.0)</f>
        <v>10725</v>
      </c>
      <c r="B625" s="3" t="str">
        <f>IFERROR(__xludf.DUMMYFUNCTION("""COMPUTED_VALUE"""),"4892 DALE RD")</f>
        <v>4892 DALE RD</v>
      </c>
      <c r="C625" s="3" t="str">
        <f>IFERROR(__xludf.DUMMYFUNCTION("""COMPUTED_VALUE"""),"PORT HOPE")</f>
        <v>PORT HOPE</v>
      </c>
      <c r="D625" s="3" t="str">
        <f>IFERROR(__xludf.DUMMYFUNCTION("""COMPUTED_VALUE"""),"L1A 3V5")</f>
        <v>L1A 3V5</v>
      </c>
      <c r="E625" s="3" t="str">
        <f>IFERROR(__xludf.DUMMYFUNCTION("""COMPUTED_VALUE"""),"DALE E SOOS")</f>
        <v>DALE E SOOS</v>
      </c>
      <c r="F625" s="3" t="str">
        <f>IFERROR(__xludf.DUMMYFUNCTION("""COMPUTED_VALUE"""),"fishrman1@gmail.com")</f>
        <v>fishrman1@gmail.com</v>
      </c>
      <c r="G625" s="3"/>
      <c r="H625" s="3"/>
    </row>
    <row r="626">
      <c r="A626" s="2">
        <f>IFERROR(__xludf.DUMMYFUNCTION("""COMPUTED_VALUE"""),11035.0)</f>
        <v>11035</v>
      </c>
      <c r="B626" s="3" t="str">
        <f>IFERROR(__xludf.DUMMYFUNCTION("""COMPUTED_VALUE"""),"4895 KNOXVILLE RD")</f>
        <v>4895 KNOXVILLE RD</v>
      </c>
      <c r="C626" s="3" t="str">
        <f>IFERROR(__xludf.DUMMYFUNCTION("""COMPUTED_VALUE"""),"PORT HOPE")</f>
        <v>PORT HOPE</v>
      </c>
      <c r="D626" s="3" t="str">
        <f>IFERROR(__xludf.DUMMYFUNCTION("""COMPUTED_VALUE"""),"L1A 3V8")</f>
        <v>L1A 3V8</v>
      </c>
      <c r="E626" s="3" t="str">
        <f>IFERROR(__xludf.DUMMYFUNCTION("""COMPUTED_VALUE"""),"Susanne Karrer")</f>
        <v>Susanne Karrer</v>
      </c>
      <c r="F626" s="3" t="str">
        <f>IFERROR(__xludf.DUMMYFUNCTION("""COMPUTED_VALUE"""),"susanne.karrer@protonmail.com")</f>
        <v>susanne.karrer@protonmail.com</v>
      </c>
      <c r="G626" s="3"/>
      <c r="H626" s="3"/>
    </row>
    <row r="627">
      <c r="A627" s="2">
        <f>IFERROR(__xludf.DUMMYFUNCTION("""COMPUTED_VALUE"""),11601.0)</f>
        <v>11601</v>
      </c>
      <c r="B627" s="3" t="str">
        <f>IFERROR(__xludf.DUMMYFUNCTION("""COMPUTED_VALUE"""),"4898 COUNTY RD 28")</f>
        <v>4898 COUNTY RD 28</v>
      </c>
      <c r="C627" s="3" t="str">
        <f>IFERROR(__xludf.DUMMYFUNCTION("""COMPUTED_VALUE"""),"PORT HOPE")</f>
        <v>PORT HOPE</v>
      </c>
      <c r="D627" s="3" t="str">
        <f>IFERROR(__xludf.DUMMYFUNCTION("""COMPUTED_VALUE"""),"L1A 3V6")</f>
        <v>L1A 3V6</v>
      </c>
      <c r="E627" s="3"/>
      <c r="F627" s="3"/>
      <c r="G627" s="3"/>
      <c r="H627" s="3"/>
    </row>
    <row r="628">
      <c r="A628" s="2">
        <f>IFERROR(__xludf.DUMMYFUNCTION("""COMPUTED_VALUE"""),10846.0)</f>
        <v>10846</v>
      </c>
      <c r="B628" s="3" t="str">
        <f>IFERROR(__xludf.DUMMYFUNCTION("""COMPUTED_VALUE"""),"4901 EAST TOWNLINE RD")</f>
        <v>4901 EAST TOWNLINE RD</v>
      </c>
      <c r="C628" s="3" t="str">
        <f>IFERROR(__xludf.DUMMYFUNCTION("""COMPUTED_VALUE"""),"NEWTONVILLE")</f>
        <v>NEWTONVILLE</v>
      </c>
      <c r="D628" s="3" t="str">
        <f>IFERROR(__xludf.DUMMYFUNCTION("""COMPUTED_VALUE"""),"L0A 1J0")</f>
        <v>L0A 1J0</v>
      </c>
      <c r="E628" s="3"/>
      <c r="F628" s="3"/>
      <c r="G628" s="3"/>
      <c r="H628" s="3"/>
    </row>
    <row r="629">
      <c r="A629" s="2">
        <f>IFERROR(__xludf.DUMMYFUNCTION("""COMPUTED_VALUE"""),10314.0)</f>
        <v>10314</v>
      </c>
      <c r="B629" s="3" t="str">
        <f>IFERROR(__xludf.DUMMYFUNCTION("""COMPUTED_VALUE"""),"4904 BROWN'S RD")</f>
        <v>4904 BROWN'S RD</v>
      </c>
      <c r="C629" s="3" t="str">
        <f>IFERROR(__xludf.DUMMYFUNCTION("""COMPUTED_VALUE"""),"PORT HOPE")</f>
        <v>PORT HOPE</v>
      </c>
      <c r="D629" s="3" t="str">
        <f>IFERROR(__xludf.DUMMYFUNCTION("""COMPUTED_VALUE"""),"L1A 3V8")</f>
        <v>L1A 3V8</v>
      </c>
      <c r="E629" s="3" t="str">
        <f>IFERROR(__xludf.DUMMYFUNCTION("""COMPUTED_VALUE"""),"Dave Ingalls")</f>
        <v>Dave Ingalls</v>
      </c>
      <c r="F629" s="3" t="str">
        <f>IFERROR(__xludf.DUMMYFUNCTION("""COMPUTED_VALUE"""),"theingalls@icloud.com")</f>
        <v>theingalls@icloud.com</v>
      </c>
      <c r="G629" s="3"/>
      <c r="H629" s="3"/>
    </row>
    <row r="630">
      <c r="A630" s="2">
        <f>IFERROR(__xludf.DUMMYFUNCTION("""COMPUTED_VALUE"""),10463.0)</f>
        <v>10463</v>
      </c>
      <c r="B630" s="3" t="str">
        <f>IFERROR(__xludf.DUMMYFUNCTION("""COMPUTED_VALUE"""),"5022 COUNTY RD 10")</f>
        <v>5022 COUNTY RD 10</v>
      </c>
      <c r="C630" s="3" t="str">
        <f>IFERROR(__xludf.DUMMYFUNCTION("""COMPUTED_VALUE"""),"PORT HOPE")</f>
        <v>PORT HOPE</v>
      </c>
      <c r="D630" s="3" t="str">
        <f>IFERROR(__xludf.DUMMYFUNCTION("""COMPUTED_VALUE"""),"L1A 3V5")</f>
        <v>L1A 3V5</v>
      </c>
      <c r="E630" s="3" t="str">
        <f>IFERROR(__xludf.DUMMYFUNCTION("""COMPUTED_VALUE"""),"Larry Tapscot")</f>
        <v>Larry Tapscot</v>
      </c>
      <c r="F630" s="3" t="str">
        <f>IFERROR(__xludf.DUMMYFUNCTION("""COMPUTED_VALUE"""),"larryctapscot@yahoo.com")</f>
        <v>larryctapscot@yahoo.com</v>
      </c>
      <c r="G630" s="3"/>
      <c r="H630" s="3"/>
    </row>
    <row r="631">
      <c r="A631" s="2">
        <f>IFERROR(__xludf.DUMMYFUNCTION("""COMPUTED_VALUE"""),10631.0)</f>
        <v>10631</v>
      </c>
      <c r="B631" s="3" t="str">
        <f>IFERROR(__xludf.DUMMYFUNCTION("""COMPUTED_VALUE"""),"4911 COUNTY RD 28")</f>
        <v>4911 COUNTY RD 28</v>
      </c>
      <c r="C631" s="3" t="str">
        <f>IFERROR(__xludf.DUMMYFUNCTION("""COMPUTED_VALUE"""),"PORT HOPE")</f>
        <v>PORT HOPE</v>
      </c>
      <c r="D631" s="3" t="str">
        <f>IFERROR(__xludf.DUMMYFUNCTION("""COMPUTED_VALUE"""),"L1A 3V6")</f>
        <v>L1A 3V6</v>
      </c>
      <c r="E631" s="3" t="str">
        <f>IFERROR(__xludf.DUMMYFUNCTION("""COMPUTED_VALUE"""),"MELISSA GOHEEN")</f>
        <v>MELISSA GOHEEN</v>
      </c>
      <c r="F631" s="3" t="str">
        <f>IFERROR(__xludf.DUMMYFUNCTION("""COMPUTED_VALUE"""),"mel.em.lucas@gmail.com")</f>
        <v>mel.em.lucas@gmail.com</v>
      </c>
      <c r="G631" s="3"/>
      <c r="H631" s="3"/>
    </row>
    <row r="632">
      <c r="A632" s="2">
        <f>IFERROR(__xludf.DUMMYFUNCTION("""COMPUTED_VALUE"""),10054.0)</f>
        <v>10054</v>
      </c>
      <c r="B632" s="3" t="str">
        <f>IFERROR(__xludf.DUMMYFUNCTION("""COMPUTED_VALUE"""),"4914 4TH LINE")</f>
        <v>4914 4TH LINE</v>
      </c>
      <c r="C632" s="3" t="str">
        <f>IFERROR(__xludf.DUMMYFUNCTION("""COMPUTED_VALUE"""),"PORT HOPE")</f>
        <v>PORT HOPE</v>
      </c>
      <c r="D632" s="3" t="str">
        <f>IFERROR(__xludf.DUMMYFUNCTION("""COMPUTED_VALUE"""),"L1A 3V5")</f>
        <v>L1A 3V5</v>
      </c>
      <c r="E632" s="3"/>
      <c r="F632" s="3"/>
      <c r="G632" s="3"/>
      <c r="H632" s="3"/>
    </row>
    <row r="633">
      <c r="A633" s="2">
        <f>IFERROR(__xludf.DUMMYFUNCTION("""COMPUTED_VALUE"""),11230.0)</f>
        <v>11230</v>
      </c>
      <c r="B633" s="3" t="str">
        <f>IFERROR(__xludf.DUMMYFUNCTION("""COMPUTED_VALUE"""),"4921 MASTWOOD RD")</f>
        <v>4921 MASTWOOD RD</v>
      </c>
      <c r="C633" s="3" t="str">
        <f>IFERROR(__xludf.DUMMYFUNCTION("""COMPUTED_VALUE"""),"PORT HOPE")</f>
        <v>PORT HOPE</v>
      </c>
      <c r="D633" s="3" t="str">
        <f>IFERROR(__xludf.DUMMYFUNCTION("""COMPUTED_VALUE"""),"L1A 3V5")</f>
        <v>L1A 3V5</v>
      </c>
      <c r="E633" s="3" t="str">
        <f>IFERROR(__xludf.DUMMYFUNCTION("""COMPUTED_VALUE"""),"Scott Kingston")</f>
        <v>Scott Kingston</v>
      </c>
      <c r="F633" s="3" t="str">
        <f>IFERROR(__xludf.DUMMYFUNCTION("""COMPUTED_VALUE"""),"scott.kingston@hotmail.com")</f>
        <v>scott.kingston@hotmail.com</v>
      </c>
      <c r="G633" s="3"/>
      <c r="H633" s="3"/>
    </row>
    <row r="634">
      <c r="A634" s="2">
        <f>IFERROR(__xludf.DUMMYFUNCTION("""COMPUTED_VALUE"""),10464.0)</f>
        <v>10464</v>
      </c>
      <c r="B634" s="3" t="str">
        <f>IFERROR(__xludf.DUMMYFUNCTION("""COMPUTED_VALUE"""),"5049 COUNTY RD 10")</f>
        <v>5049 COUNTY RD 10</v>
      </c>
      <c r="C634" s="3" t="str">
        <f>IFERROR(__xludf.DUMMYFUNCTION("""COMPUTED_VALUE"""),"PORT HOPE")</f>
        <v>PORT HOPE</v>
      </c>
      <c r="D634" s="3" t="str">
        <f>IFERROR(__xludf.DUMMYFUNCTION("""COMPUTED_VALUE"""),"L1A 3V5")</f>
        <v>L1A 3V5</v>
      </c>
      <c r="E634" s="3" t="str">
        <f>IFERROR(__xludf.DUMMYFUNCTION("""COMPUTED_VALUE"""),"Mark &amp; Charlene Jenkins")</f>
        <v>Mark &amp; Charlene Jenkins</v>
      </c>
      <c r="F634" s="3" t="str">
        <f>IFERROR(__xludf.DUMMYFUNCTION("""COMPUTED_VALUE"""),"cmjenfam@gmail.com")</f>
        <v>cmjenfam@gmail.com</v>
      </c>
      <c r="G634" s="3"/>
      <c r="H634" s="3"/>
    </row>
    <row r="635">
      <c r="A635" s="2">
        <f>IFERROR(__xludf.DUMMYFUNCTION("""COMPUTED_VALUE"""),11036.0)</f>
        <v>11036</v>
      </c>
      <c r="B635" s="3" t="str">
        <f>IFERROR(__xludf.DUMMYFUNCTION("""COMPUTED_VALUE"""),"4929 KNOXVILLE RD")</f>
        <v>4929 KNOXVILLE RD</v>
      </c>
      <c r="C635" s="3" t="str">
        <f>IFERROR(__xludf.DUMMYFUNCTION("""COMPUTED_VALUE"""),"PORT HOPE")</f>
        <v>PORT HOPE</v>
      </c>
      <c r="D635" s="3" t="str">
        <f>IFERROR(__xludf.DUMMYFUNCTION("""COMPUTED_VALUE"""),"L1A 3V8")</f>
        <v>L1A 3V8</v>
      </c>
      <c r="E635" s="3" t="str">
        <f>IFERROR(__xludf.DUMMYFUNCTION("""COMPUTED_VALUE"""),"Colin Racine")</f>
        <v>Colin Racine</v>
      </c>
      <c r="F635" s="3" t="str">
        <f>IFERROR(__xludf.DUMMYFUNCTION("""COMPUTED_VALUE"""),"racine.colin@gmail.com")</f>
        <v>racine.colin@gmail.com</v>
      </c>
      <c r="G635" s="3"/>
      <c r="H635" s="3"/>
    </row>
    <row r="636">
      <c r="A636" s="2">
        <f>IFERROR(__xludf.DUMMYFUNCTION("""COMPUTED_VALUE"""),10465.0)</f>
        <v>10465</v>
      </c>
      <c r="B636" s="3" t="str">
        <f>IFERROR(__xludf.DUMMYFUNCTION("""COMPUTED_VALUE"""),"5082 COUNTY RD 10")</f>
        <v>5082 COUNTY RD 10</v>
      </c>
      <c r="C636" s="3" t="str">
        <f>IFERROR(__xludf.DUMMYFUNCTION("""COMPUTED_VALUE"""),"PORT HOPE")</f>
        <v>PORT HOPE</v>
      </c>
      <c r="D636" s="3" t="str">
        <f>IFERROR(__xludf.DUMMYFUNCTION("""COMPUTED_VALUE"""),"L1A 3V5")</f>
        <v>L1A 3V5</v>
      </c>
      <c r="E636" s="3" t="str">
        <f>IFERROR(__xludf.DUMMYFUNCTION("""COMPUTED_VALUE"""),"Robert Lang")</f>
        <v>Robert Lang</v>
      </c>
      <c r="F636" s="3" t="str">
        <f>IFERROR(__xludf.DUMMYFUNCTION("""COMPUTED_VALUE"""),"langrg1@gmail.com")</f>
        <v>langrg1@gmail.com</v>
      </c>
      <c r="G636" s="3"/>
      <c r="H636" s="3"/>
    </row>
    <row r="637">
      <c r="A637" s="2">
        <f>IFERROR(__xludf.DUMMYFUNCTION("""COMPUTED_VALUE"""),10466.0)</f>
        <v>10466</v>
      </c>
      <c r="B637" s="3" t="str">
        <f>IFERROR(__xludf.DUMMYFUNCTION("""COMPUTED_VALUE"""),"5097 COUNTY RD 10")</f>
        <v>5097 COUNTY RD 10</v>
      </c>
      <c r="C637" s="3" t="str">
        <f>IFERROR(__xludf.DUMMYFUNCTION("""COMPUTED_VALUE"""),"PORT HOPE")</f>
        <v>PORT HOPE</v>
      </c>
      <c r="D637" s="3" t="str">
        <f>IFERROR(__xludf.DUMMYFUNCTION("""COMPUTED_VALUE"""),"L1A 3V5")</f>
        <v>L1A 3V5</v>
      </c>
      <c r="E637" s="3" t="str">
        <f>IFERROR(__xludf.DUMMYFUNCTION("""COMPUTED_VALUE"""),"John A. Arnold")</f>
        <v>John A. Arnold</v>
      </c>
      <c r="F637" s="3" t="str">
        <f>IFERROR(__xludf.DUMMYFUNCTION("""COMPUTED_VALUE"""),"maureen.hermann-arnold@hotmail.com")</f>
        <v>maureen.hermann-arnold@hotmail.com</v>
      </c>
      <c r="G637" s="3"/>
      <c r="H637" s="3"/>
    </row>
    <row r="638">
      <c r="A638" s="2">
        <f>IFERROR(__xludf.DUMMYFUNCTION("""COMPUTED_VALUE"""),10467.0)</f>
        <v>10467</v>
      </c>
      <c r="B638" s="3" t="str">
        <f>IFERROR(__xludf.DUMMYFUNCTION("""COMPUTED_VALUE"""),"5117 COUNTY RD 10")</f>
        <v>5117 COUNTY RD 10</v>
      </c>
      <c r="C638" s="3" t="str">
        <f>IFERROR(__xludf.DUMMYFUNCTION("""COMPUTED_VALUE"""),"PORT HOPE")</f>
        <v>PORT HOPE</v>
      </c>
      <c r="D638" s="3" t="str">
        <f>IFERROR(__xludf.DUMMYFUNCTION("""COMPUTED_VALUE"""),"L1A 3V5")</f>
        <v>L1A 3V5</v>
      </c>
      <c r="E638" s="3" t="str">
        <f>IFERROR(__xludf.DUMMYFUNCTION("""COMPUTED_VALUE"""),"Shirley Mills")</f>
        <v>Shirley Mills</v>
      </c>
      <c r="F638" s="3" t="str">
        <f>IFERROR(__xludf.DUMMYFUNCTION("""COMPUTED_VALUE"""),"shirleyemills@hotmail.com")</f>
        <v>shirleyemills@hotmail.com</v>
      </c>
      <c r="G638" s="3"/>
      <c r="H638" s="3"/>
    </row>
    <row r="639">
      <c r="A639" s="2">
        <f>IFERROR(__xludf.DUMMYFUNCTION("""COMPUTED_VALUE"""),10468.0)</f>
        <v>10468</v>
      </c>
      <c r="B639" s="3" t="str">
        <f>IFERROR(__xludf.DUMMYFUNCTION("""COMPUTED_VALUE"""),"5143 COUNTY RD 10")</f>
        <v>5143 COUNTY RD 10</v>
      </c>
      <c r="C639" s="3" t="str">
        <f>IFERROR(__xludf.DUMMYFUNCTION("""COMPUTED_VALUE"""),"PORT HOPE")</f>
        <v>PORT HOPE</v>
      </c>
      <c r="D639" s="3" t="str">
        <f>IFERROR(__xludf.DUMMYFUNCTION("""COMPUTED_VALUE"""),"L1A 3V5")</f>
        <v>L1A 3V5</v>
      </c>
      <c r="E639" s="3" t="str">
        <f>IFERROR(__xludf.DUMMYFUNCTION("""COMPUTED_VALUE"""),"CAROL ELDRIDGE")</f>
        <v>CAROL ELDRIDGE</v>
      </c>
      <c r="F639" s="3" t="str">
        <f>IFERROR(__xludf.DUMMYFUNCTION("""COMPUTED_VALUE"""),"caroleldridge53@gmail.com")</f>
        <v>caroleldridge53@gmail.com</v>
      </c>
      <c r="G639" s="3"/>
      <c r="H639" s="3"/>
    </row>
    <row r="640">
      <c r="A640" s="2">
        <f>IFERROR(__xludf.DUMMYFUNCTION("""COMPUTED_VALUE"""),10675.0)</f>
        <v>10675</v>
      </c>
      <c r="B640" s="3" t="str">
        <f>IFERROR(__xludf.DUMMYFUNCTION("""COMPUTED_VALUE"""),"4986 COUNTY RD 65")</f>
        <v>4986 COUNTY RD 65</v>
      </c>
      <c r="C640" s="3" t="str">
        <f>IFERROR(__xludf.DUMMYFUNCTION("""COMPUTED_VALUE"""),"PORT HOPE")</f>
        <v>PORT HOPE</v>
      </c>
      <c r="D640" s="3" t="str">
        <f>IFERROR(__xludf.DUMMYFUNCTION("""COMPUTED_VALUE"""),"L1A 3V5")</f>
        <v>L1A 3V5</v>
      </c>
      <c r="E640" s="3" t="str">
        <f>IFERROR(__xludf.DUMMYFUNCTION("""COMPUTED_VALUE"""),"WAYNE MILLSON")</f>
        <v>WAYNE MILLSON</v>
      </c>
      <c r="F640" s="3" t="str">
        <f>IFERROR(__xludf.DUMMYFUNCTION("""COMPUTED_VALUE"""),"wmillson1@gmail.com")</f>
        <v>wmillson1@gmail.com</v>
      </c>
      <c r="G640" s="3"/>
      <c r="H640" s="3"/>
    </row>
    <row r="641">
      <c r="A641" s="2">
        <f>IFERROR(__xludf.DUMMYFUNCTION("""COMPUTED_VALUE"""),11037.0)</f>
        <v>11037</v>
      </c>
      <c r="B641" s="3" t="str">
        <f>IFERROR(__xludf.DUMMYFUNCTION("""COMPUTED_VALUE"""),"4988 KNOXVILLE RD")</f>
        <v>4988 KNOXVILLE RD</v>
      </c>
      <c r="C641" s="3" t="str">
        <f>IFERROR(__xludf.DUMMYFUNCTION("""COMPUTED_VALUE"""),"PORT HOPE")</f>
        <v>PORT HOPE</v>
      </c>
      <c r="D641" s="3" t="str">
        <f>IFERROR(__xludf.DUMMYFUNCTION("""COMPUTED_VALUE"""),"L1A 3V8")</f>
        <v>L1A 3V8</v>
      </c>
      <c r="E641" s="3" t="str">
        <f>IFERROR(__xludf.DUMMYFUNCTION("""COMPUTED_VALUE"""),"Derek Dobos")</f>
        <v>Derek Dobos</v>
      </c>
      <c r="F641" s="3" t="str">
        <f>IFERROR(__xludf.DUMMYFUNCTION("""COMPUTED_VALUE"""),"dldobos99@gmail.com")</f>
        <v>dldobos99@gmail.com</v>
      </c>
      <c r="G641" s="3"/>
      <c r="H641" s="3"/>
    </row>
    <row r="642">
      <c r="A642" s="2">
        <f>IFERROR(__xludf.DUMMYFUNCTION("""COMPUTED_VALUE"""),10267.0)</f>
        <v>10267</v>
      </c>
      <c r="B642" s="3" t="str">
        <f>IFERROR(__xludf.DUMMYFUNCTION("""COMPUTED_VALUE"""),"4990 BARRIE RD")</f>
        <v>4990 BARRIE RD</v>
      </c>
      <c r="C642" s="3" t="str">
        <f>IFERROR(__xludf.DUMMYFUNCTION("""COMPUTED_VALUE"""),"PORT HOPE")</f>
        <v>PORT HOPE</v>
      </c>
      <c r="D642" s="3" t="str">
        <f>IFERROR(__xludf.DUMMYFUNCTION("""COMPUTED_VALUE"""),"L1A 3V8")</f>
        <v>L1A 3V8</v>
      </c>
      <c r="E642" s="3" t="str">
        <f>IFERROR(__xludf.DUMMYFUNCTION("""COMPUTED_VALUE"""),"russell trickett")</f>
        <v>russell trickett</v>
      </c>
      <c r="F642" s="3" t="str">
        <f>IFERROR(__xludf.DUMMYFUNCTION("""COMPUTED_VALUE"""),"roadrashruss@hotmail.com")</f>
        <v>roadrashruss@hotmail.com</v>
      </c>
      <c r="G642" s="3"/>
      <c r="H642" s="3"/>
    </row>
    <row r="643">
      <c r="A643" s="2">
        <f>IFERROR(__xludf.DUMMYFUNCTION("""COMPUTED_VALUE"""),10087.0)</f>
        <v>10087</v>
      </c>
      <c r="B643" s="3" t="str">
        <f>IFERROR(__xludf.DUMMYFUNCTION("""COMPUTED_VALUE"""),"4996 5TH LINE")</f>
        <v>4996 5TH LINE</v>
      </c>
      <c r="C643" s="3" t="str">
        <f>IFERROR(__xludf.DUMMYFUNCTION("""COMPUTED_VALUE"""),"PORT HOPE")</f>
        <v>PORT HOPE</v>
      </c>
      <c r="D643" s="3" t="str">
        <f>IFERROR(__xludf.DUMMYFUNCTION("""COMPUTED_VALUE"""),"L1A 3V8")</f>
        <v>L1A 3V8</v>
      </c>
      <c r="E643" s="3" t="str">
        <f>IFERROR(__xludf.DUMMYFUNCTION("""COMPUTED_VALUE"""),"Cynthia Osland")</f>
        <v>Cynthia Osland</v>
      </c>
      <c r="F643" s="3" t="str">
        <f>IFERROR(__xludf.DUMMYFUNCTION("""COMPUTED_VALUE"""),"osland.farm@hotmail.com")</f>
        <v>osland.farm@hotmail.com</v>
      </c>
      <c r="G643" s="3"/>
      <c r="H643" s="3"/>
    </row>
    <row r="644">
      <c r="A644" s="2">
        <f>IFERROR(__xludf.DUMMYFUNCTION("""COMPUTED_VALUE"""),11038.0)</f>
        <v>11038</v>
      </c>
      <c r="B644" s="3" t="str">
        <f>IFERROR(__xludf.DUMMYFUNCTION("""COMPUTED_VALUE"""),"4997 KNOXVILLE RD")</f>
        <v>4997 KNOXVILLE RD</v>
      </c>
      <c r="C644" s="3" t="str">
        <f>IFERROR(__xludf.DUMMYFUNCTION("""COMPUTED_VALUE"""),"PORT HOPE")</f>
        <v>PORT HOPE</v>
      </c>
      <c r="D644" s="3" t="str">
        <f>IFERROR(__xludf.DUMMYFUNCTION("""COMPUTED_VALUE"""),"L1A 3V8")</f>
        <v>L1A 3V8</v>
      </c>
      <c r="E644" s="3" t="str">
        <f>IFERROR(__xludf.DUMMYFUNCTION("""COMPUTED_VALUE"""),"craig roger ")</f>
        <v>craig roger </v>
      </c>
      <c r="F644" s="3" t="str">
        <f>IFERROR(__xludf.DUMMYFUNCTION("""COMPUTED_VALUE"""),"evaandcraig@hotmail.com")</f>
        <v>evaandcraig@hotmail.com</v>
      </c>
      <c r="G644" s="3"/>
      <c r="H644" s="3"/>
    </row>
    <row r="645">
      <c r="A645" s="2">
        <f>IFERROR(__xludf.DUMMYFUNCTION("""COMPUTED_VALUE"""),10847.0)</f>
        <v>10847</v>
      </c>
      <c r="B645" s="3" t="str">
        <f>IFERROR(__xludf.DUMMYFUNCTION("""COMPUTED_VALUE"""),"5011A EAST TOWNLINE RD")</f>
        <v>5011A EAST TOWNLINE RD</v>
      </c>
      <c r="C645" s="3" t="str">
        <f>IFERROR(__xludf.DUMMYFUNCTION("""COMPUTED_VALUE"""),"NEWTONVILLE")</f>
        <v>NEWTONVILLE</v>
      </c>
      <c r="D645" s="3" t="str">
        <f>IFERROR(__xludf.DUMMYFUNCTION("""COMPUTED_VALUE"""),"L0A 1J0")</f>
        <v>L0A 1J0</v>
      </c>
      <c r="E645" s="3"/>
      <c r="F645" s="3"/>
      <c r="G645" s="3"/>
      <c r="H645" s="3"/>
    </row>
    <row r="646">
      <c r="A646" s="2">
        <f>IFERROR(__xludf.DUMMYFUNCTION("""COMPUTED_VALUE"""),10848.0)</f>
        <v>10848</v>
      </c>
      <c r="B646" s="3" t="str">
        <f>IFERROR(__xludf.DUMMYFUNCTION("""COMPUTED_VALUE"""),"5011B EAST TOWNLINE RD")</f>
        <v>5011B EAST TOWNLINE RD</v>
      </c>
      <c r="C646" s="3" t="str">
        <f>IFERROR(__xludf.DUMMYFUNCTION("""COMPUTED_VALUE"""),"NEWTONVILLE")</f>
        <v>NEWTONVILLE</v>
      </c>
      <c r="D646" s="3" t="str">
        <f>IFERROR(__xludf.DUMMYFUNCTION("""COMPUTED_VALUE"""),"L0A 1J0")</f>
        <v>L0A 1J0</v>
      </c>
      <c r="E646" s="3"/>
      <c r="F646" s="3"/>
      <c r="G646" s="3"/>
      <c r="H646" s="3"/>
    </row>
    <row r="647">
      <c r="A647" s="2">
        <f>IFERROR(__xludf.DUMMYFUNCTION("""COMPUTED_VALUE"""),10469.0)</f>
        <v>10469</v>
      </c>
      <c r="B647" s="3" t="str">
        <f>IFERROR(__xludf.DUMMYFUNCTION("""COMPUTED_VALUE"""),"5325 COUNTY RD 10")</f>
        <v>5325 COUNTY RD 10</v>
      </c>
      <c r="C647" s="3" t="str">
        <f>IFERROR(__xludf.DUMMYFUNCTION("""COMPUTED_VALUE"""),"PORT HOPE")</f>
        <v>PORT HOPE</v>
      </c>
      <c r="D647" s="3" t="str">
        <f>IFERROR(__xludf.DUMMYFUNCTION("""COMPUTED_VALUE"""),"L1A 3V5")</f>
        <v>L1A 3V5</v>
      </c>
      <c r="E647" s="3"/>
      <c r="F647" s="3"/>
      <c r="G647" s="3"/>
      <c r="H647" s="3"/>
    </row>
    <row r="648">
      <c r="A648" s="2">
        <f>IFERROR(__xludf.DUMMYFUNCTION("""COMPUTED_VALUE"""),10470.0)</f>
        <v>10470</v>
      </c>
      <c r="B648" s="3" t="str">
        <f>IFERROR(__xludf.DUMMYFUNCTION("""COMPUTED_VALUE"""),"5425 COUNTY RD 10")</f>
        <v>5425 COUNTY RD 10</v>
      </c>
      <c r="C648" s="3" t="str">
        <f>IFERROR(__xludf.DUMMYFUNCTION("""COMPUTED_VALUE"""),"PORT HOPE")</f>
        <v>PORT HOPE</v>
      </c>
      <c r="D648" s="3" t="str">
        <f>IFERROR(__xludf.DUMMYFUNCTION("""COMPUTED_VALUE"""),"L1A 3V5")</f>
        <v>L1A 3V5</v>
      </c>
      <c r="E648" s="3" t="str">
        <f>IFERROR(__xludf.DUMMYFUNCTION("""COMPUTED_VALUE"""),"dave amgoeo / AMODEO DAVE")</f>
        <v>dave amgoeo / AMODEO DAVE</v>
      </c>
      <c r="F648" s="3" t="str">
        <f>IFERROR(__xludf.DUMMYFUNCTION("""COMPUTED_VALUE"""),"procuteast@gmail.com")</f>
        <v>procuteast@gmail.com</v>
      </c>
      <c r="G648" s="3"/>
      <c r="H648" s="3"/>
    </row>
    <row r="649">
      <c r="A649" s="2">
        <f>IFERROR(__xludf.DUMMYFUNCTION("""COMPUTED_VALUE"""),11002.0)</f>
        <v>11002</v>
      </c>
      <c r="B649" s="3" t="str">
        <f>IFERROR(__xludf.DUMMYFUNCTION("""COMPUTED_VALUE"""),"5024 JAMIESON RD")</f>
        <v>5024 JAMIESON RD</v>
      </c>
      <c r="C649" s="3" t="str">
        <f>IFERROR(__xludf.DUMMYFUNCTION("""COMPUTED_VALUE"""),"PORT HOPE")</f>
        <v>PORT HOPE</v>
      </c>
      <c r="D649" s="3" t="str">
        <f>IFERROR(__xludf.DUMMYFUNCTION("""COMPUTED_VALUE"""),"L1A 3V8")</f>
        <v>L1A 3V8</v>
      </c>
      <c r="E649" s="3" t="str">
        <f>IFERROR(__xludf.DUMMYFUNCTION("""COMPUTED_VALUE"""),"Marsha Northey")</f>
        <v>Marsha Northey</v>
      </c>
      <c r="F649" s="3" t="str">
        <f>IFERROR(__xludf.DUMMYFUNCTION("""COMPUTED_VALUE"""),"marshanorthey@outlook.com")</f>
        <v>marshanorthey@outlook.com</v>
      </c>
      <c r="G649" s="3"/>
      <c r="H649" s="3"/>
    </row>
    <row r="650">
      <c r="A650" s="2">
        <f>IFERROR(__xludf.DUMMYFUNCTION("""COMPUTED_VALUE"""),10632.0)</f>
        <v>10632</v>
      </c>
      <c r="B650" s="3" t="str">
        <f>IFERROR(__xludf.DUMMYFUNCTION("""COMPUTED_VALUE"""),"5027 COUNTY RD 28")</f>
        <v>5027 COUNTY RD 28</v>
      </c>
      <c r="C650" s="3" t="str">
        <f>IFERROR(__xludf.DUMMYFUNCTION("""COMPUTED_VALUE"""),"PORT HOPE")</f>
        <v>PORT HOPE</v>
      </c>
      <c r="D650" s="3" t="str">
        <f>IFERROR(__xludf.DUMMYFUNCTION("""COMPUTED_VALUE"""),"L1A 3V6")</f>
        <v>L1A 3V6</v>
      </c>
      <c r="E650" s="3" t="str">
        <f>IFERROR(__xludf.DUMMYFUNCTION("""COMPUTED_VALUE"""),"Arlene and Mike pellipas")</f>
        <v>Arlene and Mike pellipas</v>
      </c>
      <c r="F650" s="3"/>
      <c r="G650" s="3"/>
      <c r="H650" s="3"/>
    </row>
    <row r="651">
      <c r="A651" s="2">
        <f>IFERROR(__xludf.DUMMYFUNCTION("""COMPUTED_VALUE"""),10315.0)</f>
        <v>10315</v>
      </c>
      <c r="B651" s="3" t="str">
        <f>IFERROR(__xludf.DUMMYFUNCTION("""COMPUTED_VALUE"""),"5028 BROWN'S RD")</f>
        <v>5028 BROWN'S RD</v>
      </c>
      <c r="C651" s="3" t="str">
        <f>IFERROR(__xludf.DUMMYFUNCTION("""COMPUTED_VALUE"""),"PORT HOPE")</f>
        <v>PORT HOPE</v>
      </c>
      <c r="D651" s="3" t="str">
        <f>IFERROR(__xludf.DUMMYFUNCTION("""COMPUTED_VALUE"""),"L1A 3V8")</f>
        <v>L1A 3V8</v>
      </c>
      <c r="E651" s="3" t="str">
        <f>IFERROR(__xludf.DUMMYFUNCTION("""COMPUTED_VALUE"""),"Amanda Willson")</f>
        <v>Amanda Willson</v>
      </c>
      <c r="F651" s="3" t="str">
        <f>IFERROR(__xludf.DUMMYFUNCTION("""COMPUTED_VALUE"""),"amawillson@gmail.com")</f>
        <v>amawillson@gmail.com</v>
      </c>
      <c r="G651" s="3"/>
      <c r="H651" s="3"/>
    </row>
    <row r="652">
      <c r="A652" s="2">
        <f>IFERROR(__xludf.DUMMYFUNCTION("""COMPUTED_VALUE"""),11003.0)</f>
        <v>11003</v>
      </c>
      <c r="B652" s="3" t="str">
        <f>IFERROR(__xludf.DUMMYFUNCTION("""COMPUTED_VALUE"""),"5031 JAMIESON RD")</f>
        <v>5031 JAMIESON RD</v>
      </c>
      <c r="C652" s="3" t="str">
        <f>IFERROR(__xludf.DUMMYFUNCTION("""COMPUTED_VALUE"""),"PORT HOPE")</f>
        <v>PORT HOPE</v>
      </c>
      <c r="D652" s="3" t="str">
        <f>IFERROR(__xludf.DUMMYFUNCTION("""COMPUTED_VALUE"""),"L1A 3V8")</f>
        <v>L1A 3V8</v>
      </c>
      <c r="E652" s="3" t="str">
        <f>IFERROR(__xludf.DUMMYFUNCTION("""COMPUTED_VALUE"""),"Murray O'Brien")</f>
        <v>Murray O'Brien</v>
      </c>
      <c r="F652" s="3" t="str">
        <f>IFERROR(__xludf.DUMMYFUNCTION("""COMPUTED_VALUE"""),"moeob@hotmail.com")</f>
        <v>moeob@hotmail.com</v>
      </c>
      <c r="G652" s="3"/>
      <c r="H652" s="3"/>
    </row>
    <row r="653">
      <c r="A653" s="2">
        <f>IFERROR(__xludf.DUMMYFUNCTION("""COMPUTED_VALUE"""),10983.0)</f>
        <v>10983</v>
      </c>
      <c r="B653" s="3" t="str">
        <f>IFERROR(__xludf.DUMMYFUNCTION("""COMPUTED_VALUE"""),"5036 HEASLIP LANE")</f>
        <v>5036 HEASLIP LANE</v>
      </c>
      <c r="C653" s="3" t="str">
        <f>IFERROR(__xludf.DUMMYFUNCTION("""COMPUTED_VALUE"""),"PORT HOPE")</f>
        <v>PORT HOPE</v>
      </c>
      <c r="D653" s="3" t="str">
        <f>IFERROR(__xludf.DUMMYFUNCTION("""COMPUTED_VALUE"""),"L1A 3V8")</f>
        <v>L1A 3V8</v>
      </c>
      <c r="E653" s="3" t="str">
        <f>IFERROR(__xludf.DUMMYFUNCTION("""COMPUTED_VALUE"""),"michelle burley")</f>
        <v>michelle burley</v>
      </c>
      <c r="F653" s="3" t="str">
        <f>IFERROR(__xludf.DUMMYFUNCTION("""COMPUTED_VALUE"""),"shylah555@yahoo.ca")</f>
        <v>shylah555@yahoo.ca</v>
      </c>
      <c r="G653" s="3"/>
      <c r="H653" s="3"/>
    </row>
    <row r="654">
      <c r="A654" s="2">
        <f>IFERROR(__xludf.DUMMYFUNCTION("""COMPUTED_VALUE"""),11039.0)</f>
        <v>11039</v>
      </c>
      <c r="B654" s="3" t="str">
        <f>IFERROR(__xludf.DUMMYFUNCTION("""COMPUTED_VALUE"""),"5040 KNOXVILLE RD")</f>
        <v>5040 KNOXVILLE RD</v>
      </c>
      <c r="C654" s="3" t="str">
        <f>IFERROR(__xludf.DUMMYFUNCTION("""COMPUTED_VALUE"""),"PORT HOPE")</f>
        <v>PORT HOPE</v>
      </c>
      <c r="D654" s="3" t="str">
        <f>IFERROR(__xludf.DUMMYFUNCTION("""COMPUTED_VALUE"""),"L1A 3V8")</f>
        <v>L1A 3V8</v>
      </c>
      <c r="E654" s="3" t="str">
        <f>IFERROR(__xludf.DUMMYFUNCTION("""COMPUTED_VALUE"""),"Dianne Nietvelt")</f>
        <v>Dianne Nietvelt</v>
      </c>
      <c r="F654" s="3"/>
      <c r="G654" s="3"/>
      <c r="H654" s="3"/>
    </row>
    <row r="655">
      <c r="A655" s="2">
        <f>IFERROR(__xludf.DUMMYFUNCTION("""COMPUTED_VALUE"""),10633.0)</f>
        <v>10633</v>
      </c>
      <c r="B655" s="3" t="str">
        <f>IFERROR(__xludf.DUMMYFUNCTION("""COMPUTED_VALUE"""),"5041 COUNTY RD 28")</f>
        <v>5041 COUNTY RD 28</v>
      </c>
      <c r="C655" s="3" t="str">
        <f>IFERROR(__xludf.DUMMYFUNCTION("""COMPUTED_VALUE"""),"PORT HOPE")</f>
        <v>PORT HOPE</v>
      </c>
      <c r="D655" s="3" t="str">
        <f>IFERROR(__xludf.DUMMYFUNCTION("""COMPUTED_VALUE"""),"L1A 3V6")</f>
        <v>L1A 3V6</v>
      </c>
      <c r="E655" s="3"/>
      <c r="F655" s="3"/>
      <c r="G655" s="3"/>
      <c r="H655" s="3"/>
    </row>
    <row r="656">
      <c r="A656" s="2">
        <f>IFERROR(__xludf.DUMMYFUNCTION("""COMPUTED_VALUE"""),10387.0)</f>
        <v>10387</v>
      </c>
      <c r="B656" s="3" t="str">
        <f>IFERROR(__xludf.DUMMYFUNCTION("""COMPUTED_VALUE"""),"5042 CHOATE RD")</f>
        <v>5042 CHOATE RD</v>
      </c>
      <c r="C656" s="3" t="str">
        <f>IFERROR(__xludf.DUMMYFUNCTION("""COMPUTED_VALUE"""),"PORT HOPE")</f>
        <v>PORT HOPE</v>
      </c>
      <c r="D656" s="3" t="str">
        <f>IFERROR(__xludf.DUMMYFUNCTION("""COMPUTED_VALUE"""),"L1A 3V8")</f>
        <v>L1A 3V8</v>
      </c>
      <c r="E656" s="3" t="str">
        <f>IFERROR(__xludf.DUMMYFUNCTION("""COMPUTED_VALUE"""),"Desmond Hamlyn")</f>
        <v>Desmond Hamlyn</v>
      </c>
      <c r="F656" s="3" t="str">
        <f>IFERROR(__xludf.DUMMYFUNCTION("""COMPUTED_VALUE"""),"hamlyn.desmond@gmail.com")</f>
        <v>hamlyn.desmond@gmail.com</v>
      </c>
      <c r="G656" s="3"/>
      <c r="H656" s="3"/>
    </row>
    <row r="657">
      <c r="A657" s="2">
        <f>IFERROR(__xludf.DUMMYFUNCTION("""COMPUTED_VALUE"""),10471.0)</f>
        <v>10471</v>
      </c>
      <c r="B657" s="3" t="str">
        <f>IFERROR(__xludf.DUMMYFUNCTION("""COMPUTED_VALUE"""),"5455 COUNTY RD 10")</f>
        <v>5455 COUNTY RD 10</v>
      </c>
      <c r="C657" s="3" t="str">
        <f>IFERROR(__xludf.DUMMYFUNCTION("""COMPUTED_VALUE"""),"PORT HOPE")</f>
        <v>PORT HOPE</v>
      </c>
      <c r="D657" s="3" t="str">
        <f>IFERROR(__xludf.DUMMYFUNCTION("""COMPUTED_VALUE"""),"L1A 3V5")</f>
        <v>L1A 3V5</v>
      </c>
      <c r="E657" s="3" t="str">
        <f>IFERROR(__xludf.DUMMYFUNCTION("""COMPUTED_VALUE"""),"Donald Earle")</f>
        <v>Donald Earle</v>
      </c>
      <c r="F657" s="3"/>
      <c r="G657" s="3"/>
      <c r="H657" s="3"/>
    </row>
    <row r="658">
      <c r="A658" s="2">
        <f>IFERROR(__xludf.DUMMYFUNCTION("""COMPUTED_VALUE"""),10316.0)</f>
        <v>10316</v>
      </c>
      <c r="B658" s="3" t="str">
        <f>IFERROR(__xludf.DUMMYFUNCTION("""COMPUTED_VALUE"""),"5057 BROWN'S RD")</f>
        <v>5057 BROWN'S RD</v>
      </c>
      <c r="C658" s="3" t="str">
        <f>IFERROR(__xludf.DUMMYFUNCTION("""COMPUTED_VALUE"""),"PORT HOPE")</f>
        <v>PORT HOPE</v>
      </c>
      <c r="D658" s="3" t="str">
        <f>IFERROR(__xludf.DUMMYFUNCTION("""COMPUTED_VALUE"""),"L1A 3V8")</f>
        <v>L1A 3V8</v>
      </c>
      <c r="E658" s="3" t="str">
        <f>IFERROR(__xludf.DUMMYFUNCTION("""COMPUTED_VALUE"""),"Cathy Lynde")</f>
        <v>Cathy Lynde</v>
      </c>
      <c r="F658" s="3" t="str">
        <f>IFERROR(__xludf.DUMMYFUNCTION("""COMPUTED_VALUE"""),"cathynrs05@gmail.com")</f>
        <v>cathynrs05@gmail.com</v>
      </c>
      <c r="G658" s="3"/>
      <c r="H658" s="3"/>
    </row>
    <row r="659">
      <c r="A659" s="2">
        <f>IFERROR(__xludf.DUMMYFUNCTION("""COMPUTED_VALUE"""),10388.0)</f>
        <v>10388</v>
      </c>
      <c r="B659" s="3" t="str">
        <f>IFERROR(__xludf.DUMMYFUNCTION("""COMPUTED_VALUE"""),"5060 CHOATE RD")</f>
        <v>5060 CHOATE RD</v>
      </c>
      <c r="C659" s="3" t="str">
        <f>IFERROR(__xludf.DUMMYFUNCTION("""COMPUTED_VALUE"""),"PORT HOPE")</f>
        <v>PORT HOPE</v>
      </c>
      <c r="D659" s="3" t="str">
        <f>IFERROR(__xludf.DUMMYFUNCTION("""COMPUTED_VALUE"""),"L1A 3V8")</f>
        <v>L1A 3V8</v>
      </c>
      <c r="E659" s="3" t="str">
        <f>IFERROR(__xludf.DUMMYFUNCTION("""COMPUTED_VALUE"""),"Gisele Romanell")</f>
        <v>Gisele Romanell</v>
      </c>
      <c r="F659" s="3" t="str">
        <f>IFERROR(__xludf.DUMMYFUNCTION("""COMPUTED_VALUE"""),"gisroma@hotmail.com")</f>
        <v>gisroma@hotmail.com</v>
      </c>
      <c r="G659" s="3"/>
      <c r="H659" s="3"/>
    </row>
    <row r="660">
      <c r="A660" s="2">
        <f>IFERROR(__xludf.DUMMYFUNCTION("""COMPUTED_VALUE"""),10727.0)</f>
        <v>10727</v>
      </c>
      <c r="B660" s="3" t="str">
        <f>IFERROR(__xludf.DUMMYFUNCTION("""COMPUTED_VALUE"""),"5069 DALE RD")</f>
        <v>5069 DALE RD</v>
      </c>
      <c r="C660" s="3" t="str">
        <f>IFERROR(__xludf.DUMMYFUNCTION("""COMPUTED_VALUE"""),"PORT HOPE")</f>
        <v>PORT HOPE</v>
      </c>
      <c r="D660" s="3" t="str">
        <f>IFERROR(__xludf.DUMMYFUNCTION("""COMPUTED_VALUE"""),"L1A 3V5")</f>
        <v>L1A 3V5</v>
      </c>
      <c r="E660" s="3" t="str">
        <f>IFERROR(__xludf.DUMMYFUNCTION("""COMPUTED_VALUE"""),"Richard Shaw")</f>
        <v>Richard Shaw</v>
      </c>
      <c r="F660" s="3" t="str">
        <f>IFERROR(__xludf.DUMMYFUNCTION("""COMPUTED_VALUE"""),"shaw.davis@sympatico.ca")</f>
        <v>shaw.davis@sympatico.ca</v>
      </c>
      <c r="G660" s="3"/>
      <c r="H660" s="3"/>
    </row>
    <row r="661">
      <c r="A661" s="2">
        <f>IFERROR(__xludf.DUMMYFUNCTION("""COMPUTED_VALUE"""),11040.0)</f>
        <v>11040</v>
      </c>
      <c r="B661" s="3" t="str">
        <f>IFERROR(__xludf.DUMMYFUNCTION("""COMPUTED_VALUE"""),"5071 KNOXVILLE RD")</f>
        <v>5071 KNOXVILLE RD</v>
      </c>
      <c r="C661" s="3" t="str">
        <f>IFERROR(__xludf.DUMMYFUNCTION("""COMPUTED_VALUE"""),"PORT HOPE")</f>
        <v>PORT HOPE</v>
      </c>
      <c r="D661" s="3" t="str">
        <f>IFERROR(__xludf.DUMMYFUNCTION("""COMPUTED_VALUE"""),"L1A 3V8")</f>
        <v>L1A 3V8</v>
      </c>
      <c r="E661" s="3" t="str">
        <f>IFERROR(__xludf.DUMMYFUNCTION("""COMPUTED_VALUE"""),"Robert Witheridge")</f>
        <v>Robert Witheridge</v>
      </c>
      <c r="F661" s="3" t="str">
        <f>IFERROR(__xludf.DUMMYFUNCTION("""COMPUTED_VALUE"""),"rwitheridge@protonmail.com")</f>
        <v>rwitheridge@protonmail.com</v>
      </c>
      <c r="G661" s="3"/>
      <c r="H661" s="3"/>
    </row>
    <row r="662">
      <c r="A662" s="2">
        <f>IFERROR(__xludf.DUMMYFUNCTION("""COMPUTED_VALUE"""),10472.0)</f>
        <v>10472</v>
      </c>
      <c r="B662" s="3" t="str">
        <f>IFERROR(__xludf.DUMMYFUNCTION("""COMPUTED_VALUE"""),"5483 COUNTY RD 10")</f>
        <v>5483 COUNTY RD 10</v>
      </c>
      <c r="C662" s="3" t="str">
        <f>IFERROR(__xludf.DUMMYFUNCTION("""COMPUTED_VALUE"""),"PORT HOPE")</f>
        <v>PORT HOPE</v>
      </c>
      <c r="D662" s="3" t="str">
        <f>IFERROR(__xludf.DUMMYFUNCTION("""COMPUTED_VALUE"""),"L1A 3V5")</f>
        <v>L1A 3V5</v>
      </c>
      <c r="E662" s="3"/>
      <c r="F662" s="3"/>
      <c r="G662" s="3"/>
      <c r="H662" s="3"/>
    </row>
    <row r="663">
      <c r="A663" s="2">
        <f>IFERROR(__xludf.DUMMYFUNCTION("""COMPUTED_VALUE"""),10317.0)</f>
        <v>10317</v>
      </c>
      <c r="B663" s="3" t="str">
        <f>IFERROR(__xludf.DUMMYFUNCTION("""COMPUTED_VALUE"""),"5083 BROWNS RD")</f>
        <v>5083 BROWNS RD</v>
      </c>
      <c r="C663" s="3" t="str">
        <f>IFERROR(__xludf.DUMMYFUNCTION("""COMPUTED_VALUE"""),"PORT HOPE")</f>
        <v>PORT HOPE</v>
      </c>
      <c r="D663" s="3" t="str">
        <f>IFERROR(__xludf.DUMMYFUNCTION("""COMPUTED_VALUE"""),"L1A 3V8")</f>
        <v>L1A 3V8</v>
      </c>
      <c r="E663" s="3"/>
      <c r="F663" s="3"/>
      <c r="G663" s="3"/>
      <c r="H663" s="3"/>
    </row>
    <row r="664">
      <c r="A664" s="2">
        <f>IFERROR(__xludf.DUMMYFUNCTION("""COMPUTED_VALUE"""),10088.0)</f>
        <v>10088</v>
      </c>
      <c r="B664" s="3" t="str">
        <f>IFERROR(__xludf.DUMMYFUNCTION("""COMPUTED_VALUE"""),"5095 5TH LINE UNIT A")</f>
        <v>5095 5TH LINE UNIT A</v>
      </c>
      <c r="C664" s="3" t="str">
        <f>IFERROR(__xludf.DUMMYFUNCTION("""COMPUTED_VALUE"""),"PORT HOPE")</f>
        <v>PORT HOPE</v>
      </c>
      <c r="D664" s="3" t="str">
        <f>IFERROR(__xludf.DUMMYFUNCTION("""COMPUTED_VALUE"""),"L1A 3V6")</f>
        <v>L1A 3V6</v>
      </c>
      <c r="E664" s="3" t="str">
        <f>IFERROR(__xludf.DUMMYFUNCTION("""COMPUTED_VALUE"""),"Cheryl Fulford")</f>
        <v>Cheryl Fulford</v>
      </c>
      <c r="F664" s="3" t="str">
        <f>IFERROR(__xludf.DUMMYFUNCTION("""COMPUTED_VALUE"""),"cherylfulford@gmail.com")</f>
        <v>cherylfulford@gmail.com</v>
      </c>
      <c r="G664" s="3"/>
      <c r="H664" s="3"/>
    </row>
    <row r="665">
      <c r="A665" s="2">
        <f>IFERROR(__xludf.DUMMYFUNCTION("""COMPUTED_VALUE"""),10728.0)</f>
        <v>10728</v>
      </c>
      <c r="B665" s="3" t="str">
        <f>IFERROR(__xludf.DUMMYFUNCTION("""COMPUTED_VALUE"""),"5095 DALE RD")</f>
        <v>5095 DALE RD</v>
      </c>
      <c r="C665" s="3" t="str">
        <f>IFERROR(__xludf.DUMMYFUNCTION("""COMPUTED_VALUE"""),"PORT HOPE")</f>
        <v>PORT HOPE</v>
      </c>
      <c r="D665" s="3" t="str">
        <f>IFERROR(__xludf.DUMMYFUNCTION("""COMPUTED_VALUE"""),"L1A 3V5")</f>
        <v>L1A 3V5</v>
      </c>
      <c r="E665" s="3" t="str">
        <f>IFERROR(__xludf.DUMMYFUNCTION("""COMPUTED_VALUE"""),"Tammy Shaw-Davis")</f>
        <v>Tammy Shaw-Davis</v>
      </c>
      <c r="F665" s="3" t="str">
        <f>IFERROR(__xludf.DUMMYFUNCTION("""COMPUTED_VALUE"""),"shaw.davis@sympatico.ca")</f>
        <v>shaw.davis@sympatico.ca</v>
      </c>
      <c r="G665" s="3"/>
      <c r="H665" s="3"/>
    </row>
    <row r="666">
      <c r="A666" s="2">
        <f>IFERROR(__xludf.DUMMYFUNCTION("""COMPUTED_VALUE"""),10473.0)</f>
        <v>10473</v>
      </c>
      <c r="B666" s="3" t="str">
        <f>IFERROR(__xludf.DUMMYFUNCTION("""COMPUTED_VALUE"""),"5511 COUNTY RD 10")</f>
        <v>5511 COUNTY RD 10</v>
      </c>
      <c r="C666" s="3" t="str">
        <f>IFERROR(__xludf.DUMMYFUNCTION("""COMPUTED_VALUE"""),"PORT HOPE")</f>
        <v>PORT HOPE</v>
      </c>
      <c r="D666" s="3" t="str">
        <f>IFERROR(__xludf.DUMMYFUNCTION("""COMPUTED_VALUE"""),"L1A 3V5")</f>
        <v>L1A 3V5</v>
      </c>
      <c r="E666" s="3"/>
      <c r="F666" s="3"/>
      <c r="G666" s="3"/>
      <c r="H666" s="3"/>
    </row>
    <row r="667">
      <c r="A667" s="2">
        <f>IFERROR(__xludf.DUMMYFUNCTION("""COMPUTED_VALUE"""),10984.0)</f>
        <v>10984</v>
      </c>
      <c r="B667" s="3" t="str">
        <f>IFERROR(__xludf.DUMMYFUNCTION("""COMPUTED_VALUE"""),"5100 HEASLIP LANE")</f>
        <v>5100 HEASLIP LANE</v>
      </c>
      <c r="C667" s="3" t="str">
        <f>IFERROR(__xludf.DUMMYFUNCTION("""COMPUTED_VALUE"""),"PORT HOPE")</f>
        <v>PORT HOPE</v>
      </c>
      <c r="D667" s="3" t="str">
        <f>IFERROR(__xludf.DUMMYFUNCTION("""COMPUTED_VALUE"""),"L1A 3V8")</f>
        <v>L1A 3V8</v>
      </c>
      <c r="E667" s="3" t="str">
        <f>IFERROR(__xludf.DUMMYFUNCTION("""COMPUTED_VALUE"""),"Jamie Tetroe")</f>
        <v>Jamie Tetroe</v>
      </c>
      <c r="F667" s="3" t="str">
        <f>IFERROR(__xludf.DUMMYFUNCTION("""COMPUTED_VALUE"""),"jtetroe@hotmail.com")</f>
        <v>jtetroe@hotmail.com</v>
      </c>
      <c r="G667" s="3"/>
      <c r="H667" s="3"/>
    </row>
    <row r="668">
      <c r="A668" s="2">
        <f>IFERROR(__xludf.DUMMYFUNCTION("""COMPUTED_VALUE"""),10389.0)</f>
        <v>10389</v>
      </c>
      <c r="B668" s="3" t="str">
        <f>IFERROR(__xludf.DUMMYFUNCTION("""COMPUTED_VALUE"""),"5102 CHOATE RD")</f>
        <v>5102 CHOATE RD</v>
      </c>
      <c r="C668" s="3" t="str">
        <f>IFERROR(__xludf.DUMMYFUNCTION("""COMPUTED_VALUE"""),"PORT HOPE")</f>
        <v>PORT HOPE</v>
      </c>
      <c r="D668" s="3" t="str">
        <f>IFERROR(__xludf.DUMMYFUNCTION("""COMPUTED_VALUE"""),"L1A 3V8")</f>
        <v>L1A 3V8</v>
      </c>
      <c r="E668" s="3" t="str">
        <f>IFERROR(__xludf.DUMMYFUNCTION("""COMPUTED_VALUE"""),"Mark Allen Hill Geraldine Blanche Hill")</f>
        <v>Mark Allen Hill Geraldine Blanche Hill</v>
      </c>
      <c r="F668" s="3" t="str">
        <f>IFERROR(__xludf.DUMMYFUNCTION("""COMPUTED_VALUE"""),"mark-hill@live.ca")</f>
        <v>mark-hill@live.ca</v>
      </c>
      <c r="G668" s="3"/>
      <c r="H668" s="3"/>
    </row>
    <row r="669">
      <c r="A669" s="2">
        <f>IFERROR(__xludf.DUMMYFUNCTION("""COMPUTED_VALUE"""),11041.0)</f>
        <v>11041</v>
      </c>
      <c r="B669" s="3" t="str">
        <f>IFERROR(__xludf.DUMMYFUNCTION("""COMPUTED_VALUE"""),"5105 KNOXVILLE RD")</f>
        <v>5105 KNOXVILLE RD</v>
      </c>
      <c r="C669" s="3" t="str">
        <f>IFERROR(__xludf.DUMMYFUNCTION("""COMPUTED_VALUE"""),"PORT HOPE")</f>
        <v>PORT HOPE</v>
      </c>
      <c r="D669" s="3" t="str">
        <f>IFERROR(__xludf.DUMMYFUNCTION("""COMPUTED_VALUE"""),"L1A 3V8")</f>
        <v>L1A 3V8</v>
      </c>
      <c r="E669" s="3" t="str">
        <f>IFERROR(__xludf.DUMMYFUNCTION("""COMPUTED_VALUE"""),"GWENDOLYN ANN SCHEPERS")</f>
        <v>GWENDOLYN ANN SCHEPERS</v>
      </c>
      <c r="F669" s="3" t="str">
        <f>IFERROR(__xludf.DUMMYFUNCTION("""COMPUTED_VALUE"""),"gas102cats@gmail.com")</f>
        <v>gas102cats@gmail.com</v>
      </c>
      <c r="G669" s="3"/>
      <c r="H669" s="3"/>
    </row>
    <row r="670">
      <c r="A670" s="2">
        <f>IFERROR(__xludf.DUMMYFUNCTION("""COMPUTED_VALUE"""),11042.0)</f>
        <v>11042</v>
      </c>
      <c r="B670" s="3" t="str">
        <f>IFERROR(__xludf.DUMMYFUNCTION("""COMPUTED_VALUE"""),"5110 KNOXVILLE RD")</f>
        <v>5110 KNOXVILLE RD</v>
      </c>
      <c r="C670" s="3" t="str">
        <f>IFERROR(__xludf.DUMMYFUNCTION("""COMPUTED_VALUE"""),"PORT HOPE")</f>
        <v>PORT HOPE</v>
      </c>
      <c r="D670" s="3" t="str">
        <f>IFERROR(__xludf.DUMMYFUNCTION("""COMPUTED_VALUE"""),"L1A 3V8")</f>
        <v>L1A 3V8</v>
      </c>
      <c r="E670" s="3" t="str">
        <f>IFERROR(__xludf.DUMMYFUNCTION("""COMPUTED_VALUE"""),"sandra l. toms")</f>
        <v>sandra l. toms</v>
      </c>
      <c r="F670" s="3" t="str">
        <f>IFERROR(__xludf.DUMMYFUNCTION("""COMPUTED_VALUE"""),"toms721@hotmail.com")</f>
        <v>toms721@hotmail.com</v>
      </c>
      <c r="G670" s="3"/>
      <c r="H670" s="3"/>
    </row>
    <row r="671">
      <c r="A671" s="2">
        <f>IFERROR(__xludf.DUMMYFUNCTION("""COMPUTED_VALUE"""),10474.0)</f>
        <v>10474</v>
      </c>
      <c r="B671" s="3" t="str">
        <f>IFERROR(__xludf.DUMMYFUNCTION("""COMPUTED_VALUE"""),"5514 COUNTY RD 10")</f>
        <v>5514 COUNTY RD 10</v>
      </c>
      <c r="C671" s="3" t="str">
        <f>IFERROR(__xludf.DUMMYFUNCTION("""COMPUTED_VALUE"""),"PORT HOPE")</f>
        <v>PORT HOPE</v>
      </c>
      <c r="D671" s="3" t="str">
        <f>IFERROR(__xludf.DUMMYFUNCTION("""COMPUTED_VALUE"""),"L1A 3V5")</f>
        <v>L1A 3V5</v>
      </c>
      <c r="E671" s="3" t="str">
        <f>IFERROR(__xludf.DUMMYFUNCTION("""COMPUTED_VALUE"""),"Lindsey Woodman")</f>
        <v>Lindsey Woodman</v>
      </c>
      <c r="F671" s="3" t="str">
        <f>IFERROR(__xludf.DUMMYFUNCTION("""COMPUTED_VALUE"""),"lindsey-mcbride@hotmail.com")</f>
        <v>lindsey-mcbride@hotmail.com</v>
      </c>
      <c r="G671" s="3"/>
      <c r="H671" s="3"/>
    </row>
    <row r="672">
      <c r="A672" s="2">
        <f>IFERROR(__xludf.DUMMYFUNCTION("""COMPUTED_VALUE"""),10407.0)</f>
        <v>10407</v>
      </c>
      <c r="B672" s="3" t="str">
        <f>IFERROR(__xludf.DUMMYFUNCTION("""COMPUTED_VALUE"""),"5120 CHOATE RD")</f>
        <v>5120 CHOATE RD</v>
      </c>
      <c r="C672" s="3" t="str">
        <f>IFERROR(__xludf.DUMMYFUNCTION("""COMPUTED_VALUE"""),"PORT HOPE")</f>
        <v>PORT HOPE</v>
      </c>
      <c r="D672" s="3" t="str">
        <f>IFERROR(__xludf.DUMMYFUNCTION("""COMPUTED_VALUE"""),"L1A 3V8")</f>
        <v>L1A 3V8</v>
      </c>
      <c r="E672" s="3"/>
      <c r="F672" s="3"/>
      <c r="G672" s="3"/>
      <c r="H672" s="3"/>
    </row>
    <row r="673">
      <c r="A673" s="2">
        <f>IFERROR(__xludf.DUMMYFUNCTION("""COMPUTED_VALUE"""),10634.0)</f>
        <v>10634</v>
      </c>
      <c r="B673" s="3" t="str">
        <f>IFERROR(__xludf.DUMMYFUNCTION("""COMPUTED_VALUE"""),"5121 COUNTY RD 28")</f>
        <v>5121 COUNTY RD 28</v>
      </c>
      <c r="C673" s="3" t="str">
        <f>IFERROR(__xludf.DUMMYFUNCTION("""COMPUTED_VALUE"""),"PORT HOPE")</f>
        <v>PORT HOPE</v>
      </c>
      <c r="D673" s="3" t="str">
        <f>IFERROR(__xludf.DUMMYFUNCTION("""COMPUTED_VALUE"""),"L1A 3V6")</f>
        <v>L1A 3V6</v>
      </c>
      <c r="E673" s="3"/>
      <c r="F673" s="3"/>
      <c r="G673" s="3"/>
      <c r="H673" s="3"/>
    </row>
    <row r="674">
      <c r="A674" s="2">
        <f>IFERROR(__xludf.DUMMYFUNCTION("""COMPUTED_VALUE"""),10729.0)</f>
        <v>10729</v>
      </c>
      <c r="B674" s="3" t="str">
        <f>IFERROR(__xludf.DUMMYFUNCTION("""COMPUTED_VALUE"""),"5121 DALE RD")</f>
        <v>5121 DALE RD</v>
      </c>
      <c r="C674" s="3" t="str">
        <f>IFERROR(__xludf.DUMMYFUNCTION("""COMPUTED_VALUE"""),"PORT HOPE")</f>
        <v>PORT HOPE</v>
      </c>
      <c r="D674" s="3" t="str">
        <f>IFERROR(__xludf.DUMMYFUNCTION("""COMPUTED_VALUE"""),"L1A 3V5")</f>
        <v>L1A 3V5</v>
      </c>
      <c r="E674" s="3" t="str">
        <f>IFERROR(__xludf.DUMMYFUNCTION("""COMPUTED_VALUE"""),"Nicholas Nelson")</f>
        <v>Nicholas Nelson</v>
      </c>
      <c r="F674" s="3" t="str">
        <f>IFERROR(__xludf.DUMMYFUNCTION("""COMPUTED_VALUE"""),"nrnelson94@gmail.com")</f>
        <v>nrnelson94@gmail.com</v>
      </c>
      <c r="G674" s="3"/>
      <c r="H674" s="3"/>
    </row>
    <row r="675">
      <c r="A675" s="2">
        <f>IFERROR(__xludf.DUMMYFUNCTION("""COMPUTED_VALUE"""),10849.0)</f>
        <v>10849</v>
      </c>
      <c r="B675" s="3" t="str">
        <f>IFERROR(__xludf.DUMMYFUNCTION("""COMPUTED_VALUE"""),"5125 EAST TOWNLINE RD")</f>
        <v>5125 EAST TOWNLINE RD</v>
      </c>
      <c r="C675" s="3" t="str">
        <f>IFERROR(__xludf.DUMMYFUNCTION("""COMPUTED_VALUE"""),"NEWTONVILLE")</f>
        <v>NEWTONVILLE</v>
      </c>
      <c r="D675" s="3" t="str">
        <f>IFERROR(__xludf.DUMMYFUNCTION("""COMPUTED_VALUE"""),"L0A 1J0")</f>
        <v>L0A 1J0</v>
      </c>
      <c r="E675" s="3"/>
      <c r="F675" s="3"/>
      <c r="G675" s="3"/>
      <c r="H675" s="3"/>
    </row>
    <row r="676">
      <c r="A676" s="2">
        <f>IFERROR(__xludf.DUMMYFUNCTION("""COMPUTED_VALUE"""),10390.0)</f>
        <v>10390</v>
      </c>
      <c r="B676" s="3" t="str">
        <f>IFERROR(__xludf.DUMMYFUNCTION("""COMPUTED_VALUE"""),"5138 CHOATE RD")</f>
        <v>5138 CHOATE RD</v>
      </c>
      <c r="C676" s="3" t="str">
        <f>IFERROR(__xludf.DUMMYFUNCTION("""COMPUTED_VALUE"""),"PORT HOPE")</f>
        <v>PORT HOPE</v>
      </c>
      <c r="D676" s="3" t="str">
        <f>IFERROR(__xludf.DUMMYFUNCTION("""COMPUTED_VALUE"""),"L1A 3V8")</f>
        <v>L1A 3V8</v>
      </c>
      <c r="E676" s="3" t="str">
        <f>IFERROR(__xludf.DUMMYFUNCTION("""COMPUTED_VALUE"""),"Michael Blossetti")</f>
        <v>Michael Blossetti</v>
      </c>
      <c r="F676" s="3" t="str">
        <f>IFERROR(__xludf.DUMMYFUNCTION("""COMPUTED_VALUE"""),"michael.roxx5@gmail.com")</f>
        <v>michael.roxx5@gmail.com</v>
      </c>
      <c r="G676" s="3"/>
      <c r="H676" s="3"/>
    </row>
    <row r="677">
      <c r="A677" s="2">
        <f>IFERROR(__xludf.DUMMYFUNCTION("""COMPUTED_VALUE"""),10475.0)</f>
        <v>10475</v>
      </c>
      <c r="B677" s="3" t="str">
        <f>IFERROR(__xludf.DUMMYFUNCTION("""COMPUTED_VALUE"""),"5559 COUNTY RD 10")</f>
        <v>5559 COUNTY RD 10</v>
      </c>
      <c r="C677" s="3" t="str">
        <f>IFERROR(__xludf.DUMMYFUNCTION("""COMPUTED_VALUE"""),"PORT HOPE")</f>
        <v>PORT HOPE</v>
      </c>
      <c r="D677" s="3" t="str">
        <f>IFERROR(__xludf.DUMMYFUNCTION("""COMPUTED_VALUE"""),"L1A 3V5")</f>
        <v>L1A 3V5</v>
      </c>
      <c r="E677" s="3"/>
      <c r="F677" s="3"/>
      <c r="G677" s="3"/>
      <c r="H677" s="3"/>
    </row>
    <row r="678">
      <c r="A678" s="2">
        <f>IFERROR(__xludf.DUMMYFUNCTION("""COMPUTED_VALUE"""),11043.0)</f>
        <v>11043</v>
      </c>
      <c r="B678" s="3" t="str">
        <f>IFERROR(__xludf.DUMMYFUNCTION("""COMPUTED_VALUE"""),"5150 KNOXVILLE RD")</f>
        <v>5150 KNOXVILLE RD</v>
      </c>
      <c r="C678" s="3" t="str">
        <f>IFERROR(__xludf.DUMMYFUNCTION("""COMPUTED_VALUE"""),"PORT HOPE")</f>
        <v>PORT HOPE</v>
      </c>
      <c r="D678" s="3" t="str">
        <f>IFERROR(__xludf.DUMMYFUNCTION("""COMPUTED_VALUE"""),"L1A 3V8")</f>
        <v>L1A 3V8</v>
      </c>
      <c r="E678" s="3" t="str">
        <f>IFERROR(__xludf.DUMMYFUNCTION("""COMPUTED_VALUE"""),"ronald good ")</f>
        <v>ronald good </v>
      </c>
      <c r="F678" s="3" t="str">
        <f>IFERROR(__xludf.DUMMYFUNCTION("""COMPUTED_VALUE"""),"rsgood@eagle.com")</f>
        <v>rsgood@eagle.com</v>
      </c>
      <c r="G678" s="3"/>
      <c r="H678" s="3"/>
    </row>
    <row r="679">
      <c r="A679" s="2">
        <f>IFERROR(__xludf.DUMMYFUNCTION("""COMPUTED_VALUE"""),10318.0)</f>
        <v>10318</v>
      </c>
      <c r="B679" s="3" t="str">
        <f>IFERROR(__xludf.DUMMYFUNCTION("""COMPUTED_VALUE"""),"5180 BROWN'S RD")</f>
        <v>5180 BROWN'S RD</v>
      </c>
      <c r="C679" s="3" t="str">
        <f>IFERROR(__xludf.DUMMYFUNCTION("""COMPUTED_VALUE"""),"PORT HOPE")</f>
        <v>PORT HOPE</v>
      </c>
      <c r="D679" s="3" t="str">
        <f>IFERROR(__xludf.DUMMYFUNCTION("""COMPUTED_VALUE"""),"L1A 3V8")</f>
        <v>L1A 3V8</v>
      </c>
      <c r="E679" s="3" t="str">
        <f>IFERROR(__xludf.DUMMYFUNCTION("""COMPUTED_VALUE"""),"Bruce fulford ")</f>
        <v>Bruce fulford </v>
      </c>
      <c r="F679" s="3" t="str">
        <f>IFERROR(__xludf.DUMMYFUNCTION("""COMPUTED_VALUE"""),"Bfulford12@gmail.com")</f>
        <v>Bfulford12@gmail.com</v>
      </c>
      <c r="G679" s="3"/>
      <c r="H679" s="3"/>
    </row>
    <row r="680">
      <c r="A680" s="2">
        <f>IFERROR(__xludf.DUMMYFUNCTION("""COMPUTED_VALUE"""),11004.0)</f>
        <v>11004</v>
      </c>
      <c r="B680" s="3" t="str">
        <f>IFERROR(__xludf.DUMMYFUNCTION("""COMPUTED_VALUE"""),"5215 JAMIESON RD")</f>
        <v>5215 JAMIESON RD</v>
      </c>
      <c r="C680" s="3" t="str">
        <f>IFERROR(__xludf.DUMMYFUNCTION("""COMPUTED_VALUE"""),"PORT HOPE")</f>
        <v>PORT HOPE</v>
      </c>
      <c r="D680" s="3" t="str">
        <f>IFERROR(__xludf.DUMMYFUNCTION("""COMPUTED_VALUE"""),"L1A 3V8")</f>
        <v>L1A 3V8</v>
      </c>
      <c r="E680" s="3" t="str">
        <f>IFERROR(__xludf.DUMMYFUNCTION("""COMPUTED_VALUE"""),"Paul Tweedie")</f>
        <v>Paul Tweedie</v>
      </c>
      <c r="F680" s="3" t="str">
        <f>IFERROR(__xludf.DUMMYFUNCTION("""COMPUTED_VALUE"""),"maxwellroo@live.ca")</f>
        <v>maxwellroo@live.ca</v>
      </c>
      <c r="G680" s="3"/>
      <c r="H680" s="3"/>
    </row>
    <row r="681">
      <c r="A681" s="2">
        <f>IFERROR(__xludf.DUMMYFUNCTION("""COMPUTED_VALUE"""),11624.0)</f>
        <v>11624</v>
      </c>
      <c r="B681" s="3" t="str">
        <f>IFERROR(__xludf.DUMMYFUNCTION("""COMPUTED_VALUE"""),"5227 KNOXVILLE RD")</f>
        <v>5227 KNOXVILLE RD</v>
      </c>
      <c r="C681" s="3" t="str">
        <f>IFERROR(__xludf.DUMMYFUNCTION("""COMPUTED_VALUE"""),"PORT HOPE")</f>
        <v>PORT HOPE</v>
      </c>
      <c r="D681" s="3" t="str">
        <f>IFERROR(__xludf.DUMMYFUNCTION("""COMPUTED_VALUE"""),"L1A 3V8")</f>
        <v>L1A 3V8</v>
      </c>
      <c r="E681" s="3" t="str">
        <f>IFERROR(__xludf.DUMMYFUNCTION("""COMPUTED_VALUE"""),"katlyn prescott")</f>
        <v>katlyn prescott</v>
      </c>
      <c r="F681" s="3" t="str">
        <f>IFERROR(__xludf.DUMMYFUNCTION("""COMPUTED_VALUE"""),"katep@quantrillchev.com")</f>
        <v>katep@quantrillchev.com</v>
      </c>
      <c r="G681" s="3"/>
      <c r="H681" s="3"/>
    </row>
    <row r="682">
      <c r="A682" s="2">
        <f>IFERROR(__xludf.DUMMYFUNCTION("""COMPUTED_VALUE"""),11044.0)</f>
        <v>11044</v>
      </c>
      <c r="B682" s="3" t="str">
        <f>IFERROR(__xludf.DUMMYFUNCTION("""COMPUTED_VALUE"""),"5230 KNOXVILLE RD")</f>
        <v>5230 KNOXVILLE RD</v>
      </c>
      <c r="C682" s="3" t="str">
        <f>IFERROR(__xludf.DUMMYFUNCTION("""COMPUTED_VALUE"""),"PORT HOPE")</f>
        <v>PORT HOPE</v>
      </c>
      <c r="D682" s="3" t="str">
        <f>IFERROR(__xludf.DUMMYFUNCTION("""COMPUTED_VALUE"""),"L1A 3V8")</f>
        <v>L1A 3V8</v>
      </c>
      <c r="E682" s="3" t="str">
        <f>IFERROR(__xludf.DUMMYFUNCTION("""COMPUTED_VALUE"""),"ronald martin robinson")</f>
        <v>ronald martin robinson</v>
      </c>
      <c r="F682" s="3" t="str">
        <f>IFERROR(__xludf.DUMMYFUNCTION("""COMPUTED_VALUE"""),"mrrobinson@porthope.ca")</f>
        <v>mrrobinson@porthope.ca</v>
      </c>
      <c r="G682" s="3"/>
      <c r="H682" s="3"/>
    </row>
    <row r="683">
      <c r="A683" s="2">
        <f>IFERROR(__xludf.DUMMYFUNCTION("""COMPUTED_VALUE"""),11045.0)</f>
        <v>11045</v>
      </c>
      <c r="B683" s="3" t="str">
        <f>IFERROR(__xludf.DUMMYFUNCTION("""COMPUTED_VALUE"""),"5264 KNOXVILLE RD")</f>
        <v>5264 KNOXVILLE RD</v>
      </c>
      <c r="C683" s="3" t="str">
        <f>IFERROR(__xludf.DUMMYFUNCTION("""COMPUTED_VALUE"""),"PORT HOPE")</f>
        <v>PORT HOPE</v>
      </c>
      <c r="D683" s="3" t="str">
        <f>IFERROR(__xludf.DUMMYFUNCTION("""COMPUTED_VALUE"""),"L1A 3V8")</f>
        <v>L1A 3V8</v>
      </c>
      <c r="E683" s="3" t="str">
        <f>IFERROR(__xludf.DUMMYFUNCTION("""COMPUTED_VALUE"""),"carol shaw")</f>
        <v>carol shaw</v>
      </c>
      <c r="F683" s="3" t="str">
        <f>IFERROR(__xludf.DUMMYFUNCTION("""COMPUTED_VALUE"""),"abct.shaw@sympatico.com")</f>
        <v>abct.shaw@sympatico.com</v>
      </c>
      <c r="G683" s="3"/>
      <c r="H683" s="3"/>
    </row>
    <row r="684">
      <c r="A684" s="2">
        <f>IFERROR(__xludf.DUMMYFUNCTION("""COMPUTED_VALUE"""),10391.0)</f>
        <v>10391</v>
      </c>
      <c r="B684" s="3" t="str">
        <f>IFERROR(__xludf.DUMMYFUNCTION("""COMPUTED_VALUE"""),"5266 CHOATE RD")</f>
        <v>5266 CHOATE RD</v>
      </c>
      <c r="C684" s="3" t="str">
        <f>IFERROR(__xludf.DUMMYFUNCTION("""COMPUTED_VALUE"""),"PORT HOPE")</f>
        <v>PORT HOPE</v>
      </c>
      <c r="D684" s="3" t="str">
        <f>IFERROR(__xludf.DUMMYFUNCTION("""COMPUTED_VALUE"""),"L1A 3V8")</f>
        <v>L1A 3V8</v>
      </c>
      <c r="E684" s="3"/>
      <c r="F684" s="3"/>
      <c r="G684" s="3"/>
      <c r="H684" s="3"/>
    </row>
    <row r="685">
      <c r="A685" s="2">
        <f>IFERROR(__xludf.DUMMYFUNCTION("""COMPUTED_VALUE"""),10319.0)</f>
        <v>10319</v>
      </c>
      <c r="B685" s="3" t="str">
        <f>IFERROR(__xludf.DUMMYFUNCTION("""COMPUTED_VALUE"""),"5267 BROWN'S RD")</f>
        <v>5267 BROWN'S RD</v>
      </c>
      <c r="C685" s="3" t="str">
        <f>IFERROR(__xludf.DUMMYFUNCTION("""COMPUTED_VALUE"""),"PORT HOPE")</f>
        <v>PORT HOPE</v>
      </c>
      <c r="D685" s="3" t="str">
        <f>IFERROR(__xludf.DUMMYFUNCTION("""COMPUTED_VALUE"""),"L1A 3V8")</f>
        <v>L1A 3V8</v>
      </c>
      <c r="E685" s="3" t="str">
        <f>IFERROR(__xludf.DUMMYFUNCTION("""COMPUTED_VALUE"""),"Keith Connor ")</f>
        <v>Keith Connor </v>
      </c>
      <c r="F685" s="3" t="str">
        <f>IFERROR(__xludf.DUMMYFUNCTION("""COMPUTED_VALUE"""),"Keithaconnor@gmail.com")</f>
        <v>Keithaconnor@gmail.com</v>
      </c>
      <c r="G685" s="3"/>
      <c r="H685" s="3"/>
    </row>
    <row r="686">
      <c r="A686" s="2">
        <f>IFERROR(__xludf.DUMMYFUNCTION("""COMPUTED_VALUE"""),10985.0)</f>
        <v>10985</v>
      </c>
      <c r="B686" s="3" t="str">
        <f>IFERROR(__xludf.DUMMYFUNCTION("""COMPUTED_VALUE"""),"5270 HEASLIP LANE")</f>
        <v>5270 HEASLIP LANE</v>
      </c>
      <c r="C686" s="3" t="str">
        <f>IFERROR(__xludf.DUMMYFUNCTION("""COMPUTED_VALUE"""),"PORT HOPE")</f>
        <v>PORT HOPE</v>
      </c>
      <c r="D686" s="3" t="str">
        <f>IFERROR(__xludf.DUMMYFUNCTION("""COMPUTED_VALUE"""),"L1A 3V8")</f>
        <v>L1A 3V8</v>
      </c>
      <c r="E686" s="3" t="str">
        <f>IFERROR(__xludf.DUMMYFUNCTION("""COMPUTED_VALUE"""),"Rod Cotter")</f>
        <v>Rod Cotter</v>
      </c>
      <c r="F686" s="3" t="str">
        <f>IFERROR(__xludf.DUMMYFUNCTION("""COMPUTED_VALUE"""),"uniquepoolsupplies@bellnet.ca")</f>
        <v>uniquepoolsupplies@bellnet.ca</v>
      </c>
      <c r="G686" s="3"/>
      <c r="H686" s="3"/>
    </row>
    <row r="687">
      <c r="A687" s="2">
        <f>IFERROR(__xludf.DUMMYFUNCTION("""COMPUTED_VALUE"""),10988.0)</f>
        <v>10988</v>
      </c>
      <c r="B687" s="3" t="str">
        <f>IFERROR(__xludf.DUMMYFUNCTION("""COMPUTED_VALUE"""),"5274 COUNTY RD 28")</f>
        <v>5274 COUNTY RD 28</v>
      </c>
      <c r="C687" s="3" t="str">
        <f>IFERROR(__xludf.DUMMYFUNCTION("""COMPUTED_VALUE"""),"PORT HOPE")</f>
        <v>PORT HOPE</v>
      </c>
      <c r="D687" s="3" t="str">
        <f>IFERROR(__xludf.DUMMYFUNCTION("""COMPUTED_VALUE"""),"L1A 3V6")</f>
        <v>L1A 3V6</v>
      </c>
      <c r="E687" s="3"/>
      <c r="F687" s="3"/>
      <c r="G687" s="3"/>
      <c r="H687" s="3"/>
    </row>
    <row r="688">
      <c r="A688" s="2">
        <f>IFERROR(__xludf.DUMMYFUNCTION("""COMPUTED_VALUE"""),10676.0)</f>
        <v>10676</v>
      </c>
      <c r="B688" s="3" t="str">
        <f>IFERROR(__xludf.DUMMYFUNCTION("""COMPUTED_VALUE"""),"5280 COUNTY RD 65")</f>
        <v>5280 COUNTY RD 65</v>
      </c>
      <c r="C688" s="3" t="str">
        <f>IFERROR(__xludf.DUMMYFUNCTION("""COMPUTED_VALUE"""),"PORT HOPE")</f>
        <v>PORT HOPE</v>
      </c>
      <c r="D688" s="3" t="str">
        <f>IFERROR(__xludf.DUMMYFUNCTION("""COMPUTED_VALUE"""),"L1A 3V5")</f>
        <v>L1A 3V5</v>
      </c>
      <c r="E688" s="3"/>
      <c r="F688" s="3"/>
      <c r="G688" s="3"/>
      <c r="H688" s="3"/>
    </row>
    <row r="689">
      <c r="A689" s="2">
        <f>IFERROR(__xludf.DUMMYFUNCTION("""COMPUTED_VALUE"""),10392.0)</f>
        <v>10392</v>
      </c>
      <c r="B689" s="3" t="str">
        <f>IFERROR(__xludf.DUMMYFUNCTION("""COMPUTED_VALUE"""),"5281 CHOATE RD")</f>
        <v>5281 CHOATE RD</v>
      </c>
      <c r="C689" s="3" t="str">
        <f>IFERROR(__xludf.DUMMYFUNCTION("""COMPUTED_VALUE"""),"PORT HOPE")</f>
        <v>PORT HOPE</v>
      </c>
      <c r="D689" s="3" t="str">
        <f>IFERROR(__xludf.DUMMYFUNCTION("""COMPUTED_VALUE"""),"L1A 3V8")</f>
        <v>L1A 3V8</v>
      </c>
      <c r="E689" s="3"/>
      <c r="F689" s="3"/>
      <c r="G689" s="3"/>
      <c r="H689" s="3"/>
    </row>
    <row r="690">
      <c r="A690" s="2">
        <f>IFERROR(__xludf.DUMMYFUNCTION("""COMPUTED_VALUE"""),10816.0)</f>
        <v>10816</v>
      </c>
      <c r="B690" s="3" t="str">
        <f>IFERROR(__xludf.DUMMYFUNCTION("""COMPUTED_VALUE"""),"5282 DUNN RD")</f>
        <v>5282 DUNN RD</v>
      </c>
      <c r="C690" s="3" t="str">
        <f>IFERROR(__xludf.DUMMYFUNCTION("""COMPUTED_VALUE"""),"NEWTONVILLE")</f>
        <v>NEWTONVILLE</v>
      </c>
      <c r="D690" s="3" t="str">
        <f>IFERROR(__xludf.DUMMYFUNCTION("""COMPUTED_VALUE"""),"L0A 1J0")</f>
        <v>L0A 1J0</v>
      </c>
      <c r="E690" s="3" t="str">
        <f>IFERROR(__xludf.DUMMYFUNCTION("""COMPUTED_VALUE"""),"dave russnell")</f>
        <v>dave russnell</v>
      </c>
      <c r="F690" s="3" t="str">
        <f>IFERROR(__xludf.DUMMYFUNCTION("""COMPUTED_VALUE"""),"drussnell@gmail.com")</f>
        <v>drussnell@gmail.com</v>
      </c>
      <c r="G690" s="3"/>
      <c r="H690" s="3"/>
    </row>
    <row r="691">
      <c r="A691" s="2">
        <f>IFERROR(__xludf.DUMMYFUNCTION("""COMPUTED_VALUE"""),10089.0)</f>
        <v>10089</v>
      </c>
      <c r="B691" s="3" t="str">
        <f>IFERROR(__xludf.DUMMYFUNCTION("""COMPUTED_VALUE"""),"5294 5TH LINE")</f>
        <v>5294 5TH LINE</v>
      </c>
      <c r="C691" s="3" t="str">
        <f>IFERROR(__xludf.DUMMYFUNCTION("""COMPUTED_VALUE"""),"PORT HOPE")</f>
        <v>PORT HOPE</v>
      </c>
      <c r="D691" s="3" t="str">
        <f>IFERROR(__xludf.DUMMYFUNCTION("""COMPUTED_VALUE"""),"L1A 3V6")</f>
        <v>L1A 3V6</v>
      </c>
      <c r="E691" s="3" t="str">
        <f>IFERROR(__xludf.DUMMYFUNCTION("""COMPUTED_VALUE"""),"TRAVIS B DARES")</f>
        <v>TRAVIS B DARES</v>
      </c>
      <c r="F691" s="3" t="str">
        <f>IFERROR(__xludf.DUMMYFUNCTION("""COMPUTED_VALUE"""),"travis.dares@gmail.com")</f>
        <v>travis.dares@gmail.com</v>
      </c>
      <c r="G691" s="3"/>
      <c r="H691" s="3"/>
    </row>
    <row r="692">
      <c r="A692" s="2">
        <f>IFERROR(__xludf.DUMMYFUNCTION("""COMPUTED_VALUE"""),10817.0)</f>
        <v>10817</v>
      </c>
      <c r="B692" s="3" t="str">
        <f>IFERROR(__xludf.DUMMYFUNCTION("""COMPUTED_VALUE"""),"5304 DUNN RD")</f>
        <v>5304 DUNN RD</v>
      </c>
      <c r="C692" s="3" t="str">
        <f>IFERROR(__xludf.DUMMYFUNCTION("""COMPUTED_VALUE"""),"NEWTONVILLE")</f>
        <v>NEWTONVILLE</v>
      </c>
      <c r="D692" s="3" t="str">
        <f>IFERROR(__xludf.DUMMYFUNCTION("""COMPUTED_VALUE"""),"L0A 1J0")</f>
        <v>L0A 1J0</v>
      </c>
      <c r="E692" s="3"/>
      <c r="F692" s="3"/>
      <c r="G692" s="3"/>
      <c r="H692" s="3"/>
    </row>
    <row r="693">
      <c r="A693" s="2">
        <f>IFERROR(__xludf.DUMMYFUNCTION("""COMPUTED_VALUE"""),10140.0)</f>
        <v>10140</v>
      </c>
      <c r="B693" s="3" t="str">
        <f>IFERROR(__xludf.DUMMYFUNCTION("""COMPUTED_VALUE"""),"5308 6TH LINE")</f>
        <v>5308 6TH LINE</v>
      </c>
      <c r="C693" s="3" t="str">
        <f>IFERROR(__xludf.DUMMYFUNCTION("""COMPUTED_VALUE"""),"PORT HOPE")</f>
        <v>PORT HOPE</v>
      </c>
      <c r="D693" s="3" t="str">
        <f>IFERROR(__xludf.DUMMYFUNCTION("""COMPUTED_VALUE"""),"L1A 3V8")</f>
        <v>L1A 3V8</v>
      </c>
      <c r="E693" s="3" t="str">
        <f>IFERROR(__xludf.DUMMYFUNCTION("""COMPUTED_VALUE"""),"Earl Ashby")</f>
        <v>Earl Ashby</v>
      </c>
      <c r="F693" s="3" t="str">
        <f>IFERROR(__xludf.DUMMYFUNCTION("""COMPUTED_VALUE"""),"Earl@ashbyfarmequipment.com")</f>
        <v>Earl@ashbyfarmequipment.com</v>
      </c>
      <c r="G693" s="3"/>
      <c r="H693" s="3"/>
    </row>
    <row r="694">
      <c r="A694" s="2">
        <f>IFERROR(__xludf.DUMMYFUNCTION("""COMPUTED_VALUE"""),10818.0)</f>
        <v>10818</v>
      </c>
      <c r="B694" s="3" t="str">
        <f>IFERROR(__xludf.DUMMYFUNCTION("""COMPUTED_VALUE"""),"5313 DUNN RD")</f>
        <v>5313 DUNN RD</v>
      </c>
      <c r="C694" s="3" t="str">
        <f>IFERROR(__xludf.DUMMYFUNCTION("""COMPUTED_VALUE"""),"NEWTONVILLE")</f>
        <v>NEWTONVILLE</v>
      </c>
      <c r="D694" s="3" t="str">
        <f>IFERROR(__xludf.DUMMYFUNCTION("""COMPUTED_VALUE"""),"L0A 1J0")</f>
        <v>L0A 1J0</v>
      </c>
      <c r="E694" s="3" t="str">
        <f>IFERROR(__xludf.DUMMYFUNCTION("""COMPUTED_VALUE"""),"Gordon Halleran")</f>
        <v>Gordon Halleran</v>
      </c>
      <c r="F694" s="3" t="str">
        <f>IFERROR(__xludf.DUMMYFUNCTION("""COMPUTED_VALUE"""),"gjhalleran@gmail.com")</f>
        <v>gjhalleran@gmail.com</v>
      </c>
      <c r="G694" s="3"/>
      <c r="H694" s="3"/>
    </row>
    <row r="695">
      <c r="A695" s="2">
        <f>IFERROR(__xludf.DUMMYFUNCTION("""COMPUTED_VALUE"""),10635.0)</f>
        <v>10635</v>
      </c>
      <c r="B695" s="3" t="str">
        <f>IFERROR(__xludf.DUMMYFUNCTION("""COMPUTED_VALUE"""),"5316 COUNTY RD 28 UNIT A")</f>
        <v>5316 COUNTY RD 28 UNIT A</v>
      </c>
      <c r="C695" s="3" t="str">
        <f>IFERROR(__xludf.DUMMYFUNCTION("""COMPUTED_VALUE"""),"PORT HOPE")</f>
        <v>PORT HOPE</v>
      </c>
      <c r="D695" s="3" t="str">
        <f>IFERROR(__xludf.DUMMYFUNCTION("""COMPUTED_VALUE"""),"L1A 3V6")</f>
        <v>L1A 3V6</v>
      </c>
      <c r="E695" s="3" t="str">
        <f>IFERROR(__xludf.DUMMYFUNCTION("""COMPUTED_VALUE"""),"herma ender ")</f>
        <v>herma ender </v>
      </c>
      <c r="F695" s="3" t="str">
        <f>IFERROR(__xludf.DUMMYFUNCTION("""COMPUTED_VALUE"""),"harmas@eagle.ca")</f>
        <v>harmas@eagle.ca</v>
      </c>
      <c r="G695" s="3"/>
      <c r="H695" s="3"/>
    </row>
    <row r="696">
      <c r="A696" s="2">
        <f>IFERROR(__xludf.DUMMYFUNCTION("""COMPUTED_VALUE"""),11626.0)</f>
        <v>11626</v>
      </c>
      <c r="B696" s="3" t="str">
        <f>IFERROR(__xludf.DUMMYFUNCTION("""COMPUTED_VALUE"""),"5316 COUNTY RD 28 UNIT B")</f>
        <v>5316 COUNTY RD 28 UNIT B</v>
      </c>
      <c r="C696" s="3" t="str">
        <f>IFERROR(__xludf.DUMMYFUNCTION("""COMPUTED_VALUE"""),"PORT HOPE")</f>
        <v>PORT HOPE</v>
      </c>
      <c r="D696" s="3" t="str">
        <f>IFERROR(__xludf.DUMMYFUNCTION("""COMPUTED_VALUE"""),"L1A 3V6")</f>
        <v>L1A 3V6</v>
      </c>
      <c r="E696" s="3" t="str">
        <f>IFERROR(__xludf.DUMMYFUNCTION("""COMPUTED_VALUE"""),"herma ender ")</f>
        <v>herma ender </v>
      </c>
      <c r="F696" s="3" t="str">
        <f>IFERROR(__xludf.DUMMYFUNCTION("""COMPUTED_VALUE"""),"harmas@eagle.ca")</f>
        <v>harmas@eagle.ca</v>
      </c>
      <c r="G696" s="3"/>
      <c r="H696" s="3"/>
    </row>
    <row r="697">
      <c r="A697" s="2">
        <f>IFERROR(__xludf.DUMMYFUNCTION("""COMPUTED_VALUE"""),10476.0)</f>
        <v>10476</v>
      </c>
      <c r="B697" s="3" t="str">
        <f>IFERROR(__xludf.DUMMYFUNCTION("""COMPUTED_VALUE"""),"5586 COUNTY RD 10")</f>
        <v>5586 COUNTY RD 10</v>
      </c>
      <c r="C697" s="3" t="str">
        <f>IFERROR(__xludf.DUMMYFUNCTION("""COMPUTED_VALUE"""),"PORT HOPE")</f>
        <v>PORT HOPE</v>
      </c>
      <c r="D697" s="3" t="str">
        <f>IFERROR(__xludf.DUMMYFUNCTION("""COMPUTED_VALUE"""),"L1A 3V5")</f>
        <v>L1A 3V5</v>
      </c>
      <c r="E697" s="3" t="str">
        <f>IFERROR(__xludf.DUMMYFUNCTION("""COMPUTED_VALUE"""),"Gunther Rappl")</f>
        <v>Gunther Rappl</v>
      </c>
      <c r="F697" s="3"/>
      <c r="G697" s="3"/>
      <c r="H697" s="3"/>
    </row>
    <row r="698">
      <c r="A698" s="2">
        <f>IFERROR(__xludf.DUMMYFUNCTION("""COMPUTED_VALUE"""),11046.0)</f>
        <v>11046</v>
      </c>
      <c r="B698" s="3" t="str">
        <f>IFERROR(__xludf.DUMMYFUNCTION("""COMPUTED_VALUE"""),"5337 KNOXVILLE RD")</f>
        <v>5337 KNOXVILLE RD</v>
      </c>
      <c r="C698" s="3" t="str">
        <f>IFERROR(__xludf.DUMMYFUNCTION("""COMPUTED_VALUE"""),"PORT HOPE")</f>
        <v>PORT HOPE</v>
      </c>
      <c r="D698" s="3" t="str">
        <f>IFERROR(__xludf.DUMMYFUNCTION("""COMPUTED_VALUE"""),"L1A 3V8")</f>
        <v>L1A 3V8</v>
      </c>
      <c r="E698" s="3" t="str">
        <f>IFERROR(__xludf.DUMMYFUNCTION("""COMPUTED_VALUE"""),"Dan Moulton")</f>
        <v>Dan Moulton</v>
      </c>
      <c r="F698" s="3" t="str">
        <f>IFERROR(__xludf.DUMMYFUNCTION("""COMPUTED_VALUE"""),"d.moulton@mac.com")</f>
        <v>d.moulton@mac.com</v>
      </c>
      <c r="G698" s="3"/>
      <c r="H698" s="3"/>
    </row>
    <row r="699">
      <c r="A699" s="2">
        <f>IFERROR(__xludf.DUMMYFUNCTION("""COMPUTED_VALUE"""),10858.0)</f>
        <v>10858</v>
      </c>
      <c r="B699" s="3" t="str">
        <f>IFERROR(__xludf.DUMMYFUNCTION("""COMPUTED_VALUE"""),"5347 FISHER RD")</f>
        <v>5347 FISHER RD</v>
      </c>
      <c r="C699" s="3" t="str">
        <f>IFERROR(__xludf.DUMMYFUNCTION("""COMPUTED_VALUE"""),"PORT HOPE")</f>
        <v>PORT HOPE</v>
      </c>
      <c r="D699" s="3" t="str">
        <f>IFERROR(__xludf.DUMMYFUNCTION("""COMPUTED_VALUE"""),"L1A 3V5")</f>
        <v>L1A 3V5</v>
      </c>
      <c r="E699" s="3" t="str">
        <f>IFERROR(__xludf.DUMMYFUNCTION("""COMPUTED_VALUE"""),"TAYLOR GILBANK")</f>
        <v>TAYLOR GILBANK</v>
      </c>
      <c r="F699" s="3" t="str">
        <f>IFERROR(__xludf.DUMMYFUNCTION("""COMPUTED_VALUE"""),"taylor.gilbank@gmail.com")</f>
        <v>taylor.gilbank@gmail.com</v>
      </c>
      <c r="G699" s="3"/>
      <c r="H699" s="3"/>
    </row>
    <row r="700">
      <c r="A700" s="2">
        <f>IFERROR(__xludf.DUMMYFUNCTION("""COMPUTED_VALUE"""),10141.0)</f>
        <v>10141</v>
      </c>
      <c r="B700" s="3" t="str">
        <f>IFERROR(__xludf.DUMMYFUNCTION("""COMPUTED_VALUE"""),"5351A 6TH LINE")</f>
        <v>5351A 6TH LINE</v>
      </c>
      <c r="C700" s="3" t="str">
        <f>IFERROR(__xludf.DUMMYFUNCTION("""COMPUTED_VALUE"""),"PORT HOPE")</f>
        <v>PORT HOPE</v>
      </c>
      <c r="D700" s="3" t="str">
        <f>IFERROR(__xludf.DUMMYFUNCTION("""COMPUTED_VALUE"""),"L1A 3V8")</f>
        <v>L1A 3V8</v>
      </c>
      <c r="E700" s="3" t="str">
        <f>IFERROR(__xludf.DUMMYFUNCTION("""COMPUTED_VALUE"""),"bob mcdonald")</f>
        <v>bob mcdonald</v>
      </c>
      <c r="F700" s="3" t="str">
        <f>IFERROR(__xludf.DUMMYFUNCTION("""COMPUTED_VALUE"""),"bobrmcdonald53@gmail.com")</f>
        <v>bobrmcdonald53@gmail.com</v>
      </c>
      <c r="G700" s="3"/>
      <c r="H700" s="3"/>
    </row>
    <row r="701">
      <c r="A701" s="2">
        <f>IFERROR(__xludf.DUMMYFUNCTION("""COMPUTED_VALUE"""),11632.0)</f>
        <v>11632</v>
      </c>
      <c r="B701" s="3" t="str">
        <f>IFERROR(__xludf.DUMMYFUNCTION("""COMPUTED_VALUE"""),"5351B 6TH LINE")</f>
        <v>5351B 6TH LINE</v>
      </c>
      <c r="C701" s="3" t="str">
        <f>IFERROR(__xludf.DUMMYFUNCTION("""COMPUTED_VALUE"""),"PORT HOPE")</f>
        <v>PORT HOPE</v>
      </c>
      <c r="D701" s="3" t="str">
        <f>IFERROR(__xludf.DUMMYFUNCTION("""COMPUTED_VALUE"""),"L1A 3V8")</f>
        <v>L1A 3V8</v>
      </c>
      <c r="E701" s="3" t="str">
        <f>IFERROR(__xludf.DUMMYFUNCTION("""COMPUTED_VALUE"""),"bob mcdonald")</f>
        <v>bob mcdonald</v>
      </c>
      <c r="F701" s="3" t="str">
        <f>IFERROR(__xludf.DUMMYFUNCTION("""COMPUTED_VALUE"""),"bobrmcdonald53@gmail.com")</f>
        <v>bobrmcdonald53@gmail.com</v>
      </c>
      <c r="G701" s="3"/>
      <c r="H701" s="3"/>
    </row>
    <row r="702">
      <c r="A702" s="2">
        <f>IFERROR(__xludf.DUMMYFUNCTION("""COMPUTED_VALUE"""),11047.0)</f>
        <v>11047</v>
      </c>
      <c r="B702" s="3" t="str">
        <f>IFERROR(__xludf.DUMMYFUNCTION("""COMPUTED_VALUE"""),"5366 KNOXVILLE RD")</f>
        <v>5366 KNOXVILLE RD</v>
      </c>
      <c r="C702" s="3" t="str">
        <f>IFERROR(__xludf.DUMMYFUNCTION("""COMPUTED_VALUE"""),"PORT HOPE")</f>
        <v>PORT HOPE</v>
      </c>
      <c r="D702" s="3" t="str">
        <f>IFERROR(__xludf.DUMMYFUNCTION("""COMPUTED_VALUE"""),"L1A 3V8")</f>
        <v>L1A 3V8</v>
      </c>
      <c r="E702" s="3" t="str">
        <f>IFERROR(__xludf.DUMMYFUNCTION("""COMPUTED_VALUE"""),"ARMITA ZOHOOR")</f>
        <v>ARMITA ZOHOOR</v>
      </c>
      <c r="F702" s="3" t="str">
        <f>IFERROR(__xludf.DUMMYFUNCTION("""COMPUTED_VALUE"""),"armitazohoorhere@gmail.com")</f>
        <v>armitazohoorhere@gmail.com</v>
      </c>
      <c r="G702" s="3"/>
      <c r="H702" s="3"/>
    </row>
    <row r="703">
      <c r="A703" s="2">
        <f>IFERROR(__xludf.DUMMYFUNCTION("""COMPUTED_VALUE"""),10090.0)</f>
        <v>10090</v>
      </c>
      <c r="B703" s="3" t="str">
        <f>IFERROR(__xludf.DUMMYFUNCTION("""COMPUTED_VALUE"""),"5381 5TH LINE")</f>
        <v>5381 5TH LINE</v>
      </c>
      <c r="C703" s="3" t="str">
        <f>IFERROR(__xludf.DUMMYFUNCTION("""COMPUTED_VALUE"""),"PORT HOPE")</f>
        <v>PORT HOPE</v>
      </c>
      <c r="D703" s="3" t="str">
        <f>IFERROR(__xludf.DUMMYFUNCTION("""COMPUTED_VALUE"""),"L1A 3V6")</f>
        <v>L1A 3V6</v>
      </c>
      <c r="E703" s="3"/>
      <c r="F703" s="3"/>
      <c r="G703" s="3"/>
      <c r="H703" s="3"/>
    </row>
    <row r="704">
      <c r="A704" s="2">
        <f>IFERROR(__xludf.DUMMYFUNCTION("""COMPUTED_VALUE"""),11048.0)</f>
        <v>11048</v>
      </c>
      <c r="B704" s="3" t="str">
        <f>IFERROR(__xludf.DUMMYFUNCTION("""COMPUTED_VALUE"""),"5385 KNOXVILLE RD")</f>
        <v>5385 KNOXVILLE RD</v>
      </c>
      <c r="C704" s="3" t="str">
        <f>IFERROR(__xludf.DUMMYFUNCTION("""COMPUTED_VALUE"""),"PORT HOPE")</f>
        <v>PORT HOPE</v>
      </c>
      <c r="D704" s="3" t="str">
        <f>IFERROR(__xludf.DUMMYFUNCTION("""COMPUTED_VALUE"""),"L1A 3V8")</f>
        <v>L1A 3V8</v>
      </c>
      <c r="E704" s="3" t="str">
        <f>IFERROR(__xludf.DUMMYFUNCTION("""COMPUTED_VALUE"""),"G, Reid ")</f>
        <v>G, Reid </v>
      </c>
      <c r="F704" s="3"/>
      <c r="G704" s="3"/>
      <c r="H704" s="3"/>
    </row>
    <row r="705">
      <c r="A705" s="2">
        <f>IFERROR(__xludf.DUMMYFUNCTION("""COMPUTED_VALUE"""),10091.0)</f>
        <v>10091</v>
      </c>
      <c r="B705" s="3" t="str">
        <f>IFERROR(__xludf.DUMMYFUNCTION("""COMPUTED_VALUE"""),"5391 5TH LINE")</f>
        <v>5391 5TH LINE</v>
      </c>
      <c r="C705" s="3" t="str">
        <f>IFERROR(__xludf.DUMMYFUNCTION("""COMPUTED_VALUE"""),"PORT HOPE")</f>
        <v>PORT HOPE</v>
      </c>
      <c r="D705" s="3" t="str">
        <f>IFERROR(__xludf.DUMMYFUNCTION("""COMPUTED_VALUE"""),"L1A 3V6")</f>
        <v>L1A 3V6</v>
      </c>
      <c r="E705" s="3" t="str">
        <f>IFERROR(__xludf.DUMMYFUNCTION("""COMPUTED_VALUE"""),"Amy Sharpe")</f>
        <v>Amy Sharpe</v>
      </c>
      <c r="F705" s="3" t="str">
        <f>IFERROR(__xludf.DUMMYFUNCTION("""COMPUTED_VALUE"""),"amyarch80@hotmail.com")</f>
        <v>amyarch80@hotmail.com</v>
      </c>
      <c r="G705" s="3"/>
      <c r="H705" s="3"/>
    </row>
    <row r="706">
      <c r="A706" s="2">
        <f>IFERROR(__xludf.DUMMYFUNCTION("""COMPUTED_VALUE"""),10092.0)</f>
        <v>10092</v>
      </c>
      <c r="B706" s="3" t="str">
        <f>IFERROR(__xludf.DUMMYFUNCTION("""COMPUTED_VALUE"""),"5405 5TH LINE")</f>
        <v>5405 5TH LINE</v>
      </c>
      <c r="C706" s="3" t="str">
        <f>IFERROR(__xludf.DUMMYFUNCTION("""COMPUTED_VALUE"""),"PORT HOPE")</f>
        <v>PORT HOPE</v>
      </c>
      <c r="D706" s="3" t="str">
        <f>IFERROR(__xludf.DUMMYFUNCTION("""COMPUTED_VALUE"""),"L1A 3V6")</f>
        <v>L1A 3V6</v>
      </c>
      <c r="E706" s="3" t="str">
        <f>IFERROR(__xludf.DUMMYFUNCTION("""COMPUTED_VALUE"""),"Mike O'Brien")</f>
        <v>Mike O'Brien</v>
      </c>
      <c r="F706" s="3" t="str">
        <f>IFERROR(__xludf.DUMMYFUNCTION("""COMPUTED_VALUE"""),"mikekennethobrien@gmail.com")</f>
        <v>mikekennethobrien@gmail.com</v>
      </c>
      <c r="G706" s="3"/>
      <c r="H706" s="3"/>
    </row>
    <row r="707">
      <c r="A707" s="2">
        <f>IFERROR(__xludf.DUMMYFUNCTION("""COMPUTED_VALUE"""),10677.0)</f>
        <v>10677</v>
      </c>
      <c r="B707" s="3" t="str">
        <f>IFERROR(__xludf.DUMMYFUNCTION("""COMPUTED_VALUE"""),"5417 COUNTY RD 65")</f>
        <v>5417 COUNTY RD 65</v>
      </c>
      <c r="C707" s="3" t="str">
        <f>IFERROR(__xludf.DUMMYFUNCTION("""COMPUTED_VALUE"""),"PORT HOPE")</f>
        <v>PORT HOPE</v>
      </c>
      <c r="D707" s="3" t="str">
        <f>IFERROR(__xludf.DUMMYFUNCTION("""COMPUTED_VALUE"""),"L1A 3V5")</f>
        <v>L1A 3V5</v>
      </c>
      <c r="E707" s="3"/>
      <c r="F707" s="3"/>
      <c r="G707" s="3"/>
      <c r="H707" s="3"/>
    </row>
    <row r="708">
      <c r="A708" s="2">
        <f>IFERROR(__xludf.DUMMYFUNCTION("""COMPUTED_VALUE"""),11518.0)</f>
        <v>11518</v>
      </c>
      <c r="B708" s="3" t="str">
        <f>IFERROR(__xludf.DUMMYFUNCTION("""COMPUTED_VALUE"""),"5418 WINFIELD DR")</f>
        <v>5418 WINFIELD DR</v>
      </c>
      <c r="C708" s="3" t="str">
        <f>IFERROR(__xludf.DUMMYFUNCTION("""COMPUTED_VALUE"""),"PORT HOPE")</f>
        <v>PORT HOPE</v>
      </c>
      <c r="D708" s="3" t="str">
        <f>IFERROR(__xludf.DUMMYFUNCTION("""COMPUTED_VALUE"""),"L1A 0G1")</f>
        <v>L1A 0G1</v>
      </c>
      <c r="E708" s="3" t="str">
        <f>IFERROR(__xludf.DUMMYFUNCTION("""COMPUTED_VALUE"""),"Micheal Battaglia")</f>
        <v>Micheal Battaglia</v>
      </c>
      <c r="F708" s="3" t="str">
        <f>IFERROR(__xludf.DUMMYFUNCTION("""COMPUTED_VALUE"""),"Battagliahomesinc@gmail.com")</f>
        <v>Battagliahomesinc@gmail.com</v>
      </c>
      <c r="G708" s="3"/>
      <c r="H708" s="3"/>
    </row>
    <row r="709">
      <c r="A709" s="2">
        <f>IFERROR(__xludf.DUMMYFUNCTION("""COMPUTED_VALUE"""),10142.0)</f>
        <v>10142</v>
      </c>
      <c r="B709" s="3" t="str">
        <f>IFERROR(__xludf.DUMMYFUNCTION("""COMPUTED_VALUE"""),"5419 6TH LINE")</f>
        <v>5419 6TH LINE</v>
      </c>
      <c r="C709" s="3" t="str">
        <f>IFERROR(__xludf.DUMMYFUNCTION("""COMPUTED_VALUE"""),"PORT HOPE")</f>
        <v>PORT HOPE</v>
      </c>
      <c r="D709" s="3" t="str">
        <f>IFERROR(__xludf.DUMMYFUNCTION("""COMPUTED_VALUE"""),"L1A 3V8")</f>
        <v>L1A 3V8</v>
      </c>
      <c r="E709" s="3" t="str">
        <f>IFERROR(__xludf.DUMMYFUNCTION("""COMPUTED_VALUE"""),"Perry Dunlop")</f>
        <v>Perry Dunlop</v>
      </c>
      <c r="F709" s="3" t="str">
        <f>IFERROR(__xludf.DUMMYFUNCTION("""COMPUTED_VALUE"""),"pdunlop1500@gmail.com")</f>
        <v>pdunlop1500@gmail.com</v>
      </c>
      <c r="G709" s="3"/>
      <c r="H709" s="3"/>
    </row>
    <row r="710">
      <c r="A710" s="2">
        <f>IFERROR(__xludf.DUMMYFUNCTION("""COMPUTED_VALUE"""),11519.0)</f>
        <v>11519</v>
      </c>
      <c r="B710" s="3" t="str">
        <f>IFERROR(__xludf.DUMMYFUNCTION("""COMPUTED_VALUE"""),"5419 WINFIELD DR")</f>
        <v>5419 WINFIELD DR</v>
      </c>
      <c r="C710" s="3" t="str">
        <f>IFERROR(__xludf.DUMMYFUNCTION("""COMPUTED_VALUE"""),"PORT HOPE")</f>
        <v>PORT HOPE</v>
      </c>
      <c r="D710" s="3" t="str">
        <f>IFERROR(__xludf.DUMMYFUNCTION("""COMPUTED_VALUE"""),"L1A 0G1")</f>
        <v>L1A 0G1</v>
      </c>
      <c r="E710" s="3" t="str">
        <f>IFERROR(__xludf.DUMMYFUNCTION("""COMPUTED_VALUE"""),"Micheal Battaglia")</f>
        <v>Micheal Battaglia</v>
      </c>
      <c r="F710" s="3" t="str">
        <f>IFERROR(__xludf.DUMMYFUNCTION("""COMPUTED_VALUE"""),"Battagliahomesinc@gmail.com")</f>
        <v>Battagliahomesinc@gmail.com</v>
      </c>
      <c r="G710" s="3"/>
      <c r="H710" s="3"/>
    </row>
    <row r="711">
      <c r="A711" s="2">
        <f>IFERROR(__xludf.DUMMYFUNCTION("""COMPUTED_VALUE"""),11520.0)</f>
        <v>11520</v>
      </c>
      <c r="B711" s="3" t="str">
        <f>IFERROR(__xludf.DUMMYFUNCTION("""COMPUTED_VALUE"""),"5420 WINFIELD DR")</f>
        <v>5420 WINFIELD DR</v>
      </c>
      <c r="C711" s="3" t="str">
        <f>IFERROR(__xludf.DUMMYFUNCTION("""COMPUTED_VALUE"""),"PORT HOPE")</f>
        <v>PORT HOPE</v>
      </c>
      <c r="D711" s="3" t="str">
        <f>IFERROR(__xludf.DUMMYFUNCTION("""COMPUTED_VALUE"""),"L1A 0G1")</f>
        <v>L1A 0G1</v>
      </c>
      <c r="E711" s="3" t="str">
        <f>IFERROR(__xludf.DUMMYFUNCTION("""COMPUTED_VALUE"""),"Micheal Battaglia")</f>
        <v>Micheal Battaglia</v>
      </c>
      <c r="F711" s="3" t="str">
        <f>IFERROR(__xludf.DUMMYFUNCTION("""COMPUTED_VALUE"""),"Battagliahomesinc@gmail.com")</f>
        <v>Battagliahomesinc@gmail.com</v>
      </c>
      <c r="G711" s="3"/>
      <c r="H711" s="3"/>
    </row>
    <row r="712">
      <c r="A712" s="2">
        <f>IFERROR(__xludf.DUMMYFUNCTION("""COMPUTED_VALUE"""),11521.0)</f>
        <v>11521</v>
      </c>
      <c r="B712" s="3" t="str">
        <f>IFERROR(__xludf.DUMMYFUNCTION("""COMPUTED_VALUE"""),"5421 WINFIELD DR")</f>
        <v>5421 WINFIELD DR</v>
      </c>
      <c r="C712" s="3" t="str">
        <f>IFERROR(__xludf.DUMMYFUNCTION("""COMPUTED_VALUE"""),"PORT HOPE")</f>
        <v>PORT HOPE</v>
      </c>
      <c r="D712" s="3" t="str">
        <f>IFERROR(__xludf.DUMMYFUNCTION("""COMPUTED_VALUE"""),"L1A 0G1")</f>
        <v>L1A 0G1</v>
      </c>
      <c r="E712" s="3" t="str">
        <f>IFERROR(__xludf.DUMMYFUNCTION("""COMPUTED_VALUE"""),"Micheal Battaglia")</f>
        <v>Micheal Battaglia</v>
      </c>
      <c r="F712" s="3" t="str">
        <f>IFERROR(__xludf.DUMMYFUNCTION("""COMPUTED_VALUE"""),"Battagliahomesinc@gmail.com")</f>
        <v>Battagliahomesinc@gmail.com</v>
      </c>
      <c r="G712" s="3"/>
      <c r="H712" s="3"/>
    </row>
    <row r="713">
      <c r="A713" s="2">
        <f>IFERROR(__xludf.DUMMYFUNCTION("""COMPUTED_VALUE"""),11522.0)</f>
        <v>11522</v>
      </c>
      <c r="B713" s="3" t="str">
        <f>IFERROR(__xludf.DUMMYFUNCTION("""COMPUTED_VALUE"""),"5422 WINFIELD DR")</f>
        <v>5422 WINFIELD DR</v>
      </c>
      <c r="C713" s="3" t="str">
        <f>IFERROR(__xludf.DUMMYFUNCTION("""COMPUTED_VALUE"""),"PORT HOPE")</f>
        <v>PORT HOPE</v>
      </c>
      <c r="D713" s="3" t="str">
        <f>IFERROR(__xludf.DUMMYFUNCTION("""COMPUTED_VALUE"""),"L1A 0G1")</f>
        <v>L1A 0G1</v>
      </c>
      <c r="E713" s="3" t="str">
        <f>IFERROR(__xludf.DUMMYFUNCTION("""COMPUTED_VALUE"""),"Micheal Battaglia")</f>
        <v>Micheal Battaglia</v>
      </c>
      <c r="F713" s="3" t="str">
        <f>IFERROR(__xludf.DUMMYFUNCTION("""COMPUTED_VALUE"""),"Battagliahomesinc@gmail.com")</f>
        <v>Battagliahomesinc@gmail.com</v>
      </c>
      <c r="G713" s="3"/>
      <c r="H713" s="3"/>
    </row>
    <row r="714">
      <c r="A714" s="2">
        <f>IFERROR(__xludf.DUMMYFUNCTION("""COMPUTED_VALUE"""),11523.0)</f>
        <v>11523</v>
      </c>
      <c r="B714" s="3" t="str">
        <f>IFERROR(__xludf.DUMMYFUNCTION("""COMPUTED_VALUE"""),"5423 WINFIELD DR")</f>
        <v>5423 WINFIELD DR</v>
      </c>
      <c r="C714" s="3" t="str">
        <f>IFERROR(__xludf.DUMMYFUNCTION("""COMPUTED_VALUE"""),"PORT HOPE")</f>
        <v>PORT HOPE</v>
      </c>
      <c r="D714" s="3" t="str">
        <f>IFERROR(__xludf.DUMMYFUNCTION("""COMPUTED_VALUE"""),"L1A 0G1")</f>
        <v>L1A 0G1</v>
      </c>
      <c r="E714" s="3" t="str">
        <f>IFERROR(__xludf.DUMMYFUNCTION("""COMPUTED_VALUE"""),"Micheal Battaglia")</f>
        <v>Micheal Battaglia</v>
      </c>
      <c r="F714" s="3" t="str">
        <f>IFERROR(__xludf.DUMMYFUNCTION("""COMPUTED_VALUE"""),"Battagliahomesinc@gmail.com")</f>
        <v>Battagliahomesinc@gmail.com</v>
      </c>
      <c r="G714" s="3"/>
      <c r="H714" s="3"/>
    </row>
    <row r="715">
      <c r="A715" s="2">
        <f>IFERROR(__xludf.DUMMYFUNCTION("""COMPUTED_VALUE"""),11524.0)</f>
        <v>11524</v>
      </c>
      <c r="B715" s="3" t="str">
        <f>IFERROR(__xludf.DUMMYFUNCTION("""COMPUTED_VALUE"""),"5424 WINFIELD DR")</f>
        <v>5424 WINFIELD DR</v>
      </c>
      <c r="C715" s="3" t="str">
        <f>IFERROR(__xludf.DUMMYFUNCTION("""COMPUTED_VALUE"""),"PORT HOPE")</f>
        <v>PORT HOPE</v>
      </c>
      <c r="D715" s="3" t="str">
        <f>IFERROR(__xludf.DUMMYFUNCTION("""COMPUTED_VALUE"""),"L1A 0G1")</f>
        <v>L1A 0G1</v>
      </c>
      <c r="E715" s="3" t="str">
        <f>IFERROR(__xludf.DUMMYFUNCTION("""COMPUTED_VALUE"""),"a, campitelli")</f>
        <v>a, campitelli</v>
      </c>
      <c r="F715" s="3" t="str">
        <f>IFERROR(__xludf.DUMMYFUNCTION("""COMPUTED_VALUE"""),"a-camp@outlook.com")</f>
        <v>a-camp@outlook.com</v>
      </c>
      <c r="G715" s="3"/>
      <c r="H715" s="3"/>
    </row>
    <row r="716">
      <c r="A716" s="2">
        <f>IFERROR(__xludf.DUMMYFUNCTION("""COMPUTED_VALUE"""),10477.0)</f>
        <v>10477</v>
      </c>
      <c r="B716" s="3" t="str">
        <f>IFERROR(__xludf.DUMMYFUNCTION("""COMPUTED_VALUE"""),"5605 COUNTY RD 10")</f>
        <v>5605 COUNTY RD 10</v>
      </c>
      <c r="C716" s="3" t="str">
        <f>IFERROR(__xludf.DUMMYFUNCTION("""COMPUTED_VALUE"""),"PORT HOPE")</f>
        <v>PORT HOPE</v>
      </c>
      <c r="D716" s="3" t="str">
        <f>IFERROR(__xludf.DUMMYFUNCTION("""COMPUTED_VALUE"""),"L1A 3V5")</f>
        <v>L1A 3V5</v>
      </c>
      <c r="E716" s="3"/>
      <c r="F716" s="3"/>
      <c r="G716" s="3"/>
      <c r="H716" s="3"/>
    </row>
    <row r="717">
      <c r="A717" s="2">
        <f>IFERROR(__xludf.DUMMYFUNCTION("""COMPUTED_VALUE"""),11525.0)</f>
        <v>11525</v>
      </c>
      <c r="B717" s="3" t="str">
        <f>IFERROR(__xludf.DUMMYFUNCTION("""COMPUTED_VALUE"""),"5425 WINFIELD DR")</f>
        <v>5425 WINFIELD DR</v>
      </c>
      <c r="C717" s="3" t="str">
        <f>IFERROR(__xludf.DUMMYFUNCTION("""COMPUTED_VALUE"""),"PORT HOPE")</f>
        <v>PORT HOPE</v>
      </c>
      <c r="D717" s="3" t="str">
        <f>IFERROR(__xludf.DUMMYFUNCTION("""COMPUTED_VALUE"""),"L1A 0G1")</f>
        <v>L1A 0G1</v>
      </c>
      <c r="E717" s="3" t="str">
        <f>IFERROR(__xludf.DUMMYFUNCTION("""COMPUTED_VALUE"""),"Micheal Battaglia")</f>
        <v>Micheal Battaglia</v>
      </c>
      <c r="F717" s="3" t="str">
        <f>IFERROR(__xludf.DUMMYFUNCTION("""COMPUTED_VALUE"""),"Battagliahomesinc@gmail.com")</f>
        <v>Battagliahomesinc@gmail.com</v>
      </c>
      <c r="G717" s="3"/>
      <c r="H717" s="3"/>
    </row>
    <row r="718">
      <c r="A718" s="2">
        <f>IFERROR(__xludf.DUMMYFUNCTION("""COMPUTED_VALUE"""),11526.0)</f>
        <v>11526</v>
      </c>
      <c r="B718" s="3" t="str">
        <f>IFERROR(__xludf.DUMMYFUNCTION("""COMPUTED_VALUE"""),"5426 WINFIELD DR")</f>
        <v>5426 WINFIELD DR</v>
      </c>
      <c r="C718" s="3" t="str">
        <f>IFERROR(__xludf.DUMMYFUNCTION("""COMPUTED_VALUE"""),"PORT HOPE")</f>
        <v>PORT HOPE</v>
      </c>
      <c r="D718" s="3" t="str">
        <f>IFERROR(__xludf.DUMMYFUNCTION("""COMPUTED_VALUE"""),"L1A 0G1")</f>
        <v>L1A 0G1</v>
      </c>
      <c r="E718" s="3" t="str">
        <f>IFERROR(__xludf.DUMMYFUNCTION("""COMPUTED_VALUE"""),"Micheal Battaglia")</f>
        <v>Micheal Battaglia</v>
      </c>
      <c r="F718" s="3" t="str">
        <f>IFERROR(__xludf.DUMMYFUNCTION("""COMPUTED_VALUE"""),"Battagliahomesinc@gmail.com")</f>
        <v>Battagliahomesinc@gmail.com</v>
      </c>
      <c r="G718" s="3"/>
      <c r="H718" s="3"/>
    </row>
    <row r="719">
      <c r="A719" s="2">
        <f>IFERROR(__xludf.DUMMYFUNCTION("""COMPUTED_VALUE"""),11527.0)</f>
        <v>11527</v>
      </c>
      <c r="B719" s="3" t="str">
        <f>IFERROR(__xludf.DUMMYFUNCTION("""COMPUTED_VALUE"""),"5427 WINFIELD DR")</f>
        <v>5427 WINFIELD DR</v>
      </c>
      <c r="C719" s="3" t="str">
        <f>IFERROR(__xludf.DUMMYFUNCTION("""COMPUTED_VALUE"""),"PORT HOPE")</f>
        <v>PORT HOPE</v>
      </c>
      <c r="D719" s="3" t="str">
        <f>IFERROR(__xludf.DUMMYFUNCTION("""COMPUTED_VALUE"""),"L1A 0G1")</f>
        <v>L1A 0G1</v>
      </c>
      <c r="E719" s="3" t="str">
        <f>IFERROR(__xludf.DUMMYFUNCTION("""COMPUTED_VALUE"""),"Micheal Battaglia")</f>
        <v>Micheal Battaglia</v>
      </c>
      <c r="F719" s="3" t="str">
        <f>IFERROR(__xludf.DUMMYFUNCTION("""COMPUTED_VALUE"""),"Battagliahomesinc@gmail.com")</f>
        <v>Battagliahomesinc@gmail.com</v>
      </c>
      <c r="G719" s="3"/>
      <c r="H719" s="3"/>
    </row>
    <row r="720">
      <c r="A720" s="2">
        <f>IFERROR(__xludf.DUMMYFUNCTION("""COMPUTED_VALUE"""),11528.0)</f>
        <v>11528</v>
      </c>
      <c r="B720" s="3" t="str">
        <f>IFERROR(__xludf.DUMMYFUNCTION("""COMPUTED_VALUE"""),"5428 WINFIELD DR")</f>
        <v>5428 WINFIELD DR</v>
      </c>
      <c r="C720" s="3" t="str">
        <f>IFERROR(__xludf.DUMMYFUNCTION("""COMPUTED_VALUE"""),"PORT HOPE")</f>
        <v>PORT HOPE</v>
      </c>
      <c r="D720" s="3" t="str">
        <f>IFERROR(__xludf.DUMMYFUNCTION("""COMPUTED_VALUE"""),"L1A 0G1")</f>
        <v>L1A 0G1</v>
      </c>
      <c r="E720" s="3" t="str">
        <f>IFERROR(__xludf.DUMMYFUNCTION("""COMPUTED_VALUE"""),"Micheal Battaglia")</f>
        <v>Micheal Battaglia</v>
      </c>
      <c r="F720" s="3" t="str">
        <f>IFERROR(__xludf.DUMMYFUNCTION("""COMPUTED_VALUE"""),"Battagliahomesinc@gmail.com")</f>
        <v>Battagliahomesinc@gmail.com</v>
      </c>
      <c r="G720" s="3"/>
      <c r="H720" s="3"/>
    </row>
    <row r="721">
      <c r="A721" s="2">
        <f>IFERROR(__xludf.DUMMYFUNCTION("""COMPUTED_VALUE"""),11529.0)</f>
        <v>11529</v>
      </c>
      <c r="B721" s="3" t="str">
        <f>IFERROR(__xludf.DUMMYFUNCTION("""COMPUTED_VALUE"""),"5430 WINFIELD DR")</f>
        <v>5430 WINFIELD DR</v>
      </c>
      <c r="C721" s="3" t="str">
        <f>IFERROR(__xludf.DUMMYFUNCTION("""COMPUTED_VALUE"""),"PORT HOPE")</f>
        <v>PORT HOPE</v>
      </c>
      <c r="D721" s="3" t="str">
        <f>IFERROR(__xludf.DUMMYFUNCTION("""COMPUTED_VALUE"""),"L1A 0G1")</f>
        <v>L1A 0G1</v>
      </c>
      <c r="E721" s="3" t="str">
        <f>IFERROR(__xludf.DUMMYFUNCTION("""COMPUTED_VALUE"""),"Micheal Battaglia")</f>
        <v>Micheal Battaglia</v>
      </c>
      <c r="F721" s="3" t="str">
        <f>IFERROR(__xludf.DUMMYFUNCTION("""COMPUTED_VALUE"""),"Battagliahomesinc@gmail.com")</f>
        <v>Battagliahomesinc@gmail.com</v>
      </c>
      <c r="G721" s="3"/>
      <c r="H721" s="3"/>
    </row>
    <row r="722">
      <c r="A722" s="2">
        <f>IFERROR(__xludf.DUMMYFUNCTION("""COMPUTED_VALUE"""),11530.0)</f>
        <v>11530</v>
      </c>
      <c r="B722" s="3" t="str">
        <f>IFERROR(__xludf.DUMMYFUNCTION("""COMPUTED_VALUE"""),"5432 WINFIELD DR")</f>
        <v>5432 WINFIELD DR</v>
      </c>
      <c r="C722" s="3" t="str">
        <f>IFERROR(__xludf.DUMMYFUNCTION("""COMPUTED_VALUE"""),"PORT HOPE")</f>
        <v>PORT HOPE</v>
      </c>
      <c r="D722" s="3" t="str">
        <f>IFERROR(__xludf.DUMMYFUNCTION("""COMPUTED_VALUE"""),"L1A 0G1")</f>
        <v>L1A 0G1</v>
      </c>
      <c r="E722" s="3" t="str">
        <f>IFERROR(__xludf.DUMMYFUNCTION("""COMPUTED_VALUE"""),"Micheal Battaglia")</f>
        <v>Micheal Battaglia</v>
      </c>
      <c r="F722" s="3" t="str">
        <f>IFERROR(__xludf.DUMMYFUNCTION("""COMPUTED_VALUE"""),"Battagliahomesinc@gmail.com")</f>
        <v>Battagliahomesinc@gmail.com</v>
      </c>
      <c r="G722" s="3"/>
      <c r="H722" s="3"/>
    </row>
    <row r="723">
      <c r="A723" s="2">
        <f>IFERROR(__xludf.DUMMYFUNCTION("""COMPUTED_VALUE"""),11531.0)</f>
        <v>11531</v>
      </c>
      <c r="B723" s="3" t="str">
        <f>IFERROR(__xludf.DUMMYFUNCTION("""COMPUTED_VALUE"""),"5434 WINFIELD DR")</f>
        <v>5434 WINFIELD DR</v>
      </c>
      <c r="C723" s="3" t="str">
        <f>IFERROR(__xludf.DUMMYFUNCTION("""COMPUTED_VALUE"""),"PORT HOPE")</f>
        <v>PORT HOPE</v>
      </c>
      <c r="D723" s="3" t="str">
        <f>IFERROR(__xludf.DUMMYFUNCTION("""COMPUTED_VALUE"""),"L1A 0G1")</f>
        <v>L1A 0G1</v>
      </c>
      <c r="E723" s="3" t="str">
        <f>IFERROR(__xludf.DUMMYFUNCTION("""COMPUTED_VALUE"""),"Micheal Battaglia")</f>
        <v>Micheal Battaglia</v>
      </c>
      <c r="F723" s="3" t="str">
        <f>IFERROR(__xludf.DUMMYFUNCTION("""COMPUTED_VALUE"""),"Battagliahomesinc@gmail.com")</f>
        <v>Battagliahomesinc@gmail.com</v>
      </c>
      <c r="G723" s="3"/>
      <c r="H723" s="3"/>
    </row>
    <row r="724">
      <c r="A724" s="2">
        <f>IFERROR(__xludf.DUMMYFUNCTION("""COMPUTED_VALUE"""),11532.0)</f>
        <v>11532</v>
      </c>
      <c r="B724" s="3" t="str">
        <f>IFERROR(__xludf.DUMMYFUNCTION("""COMPUTED_VALUE"""),"5436 WINFIELD DR")</f>
        <v>5436 WINFIELD DR</v>
      </c>
      <c r="C724" s="3" t="str">
        <f>IFERROR(__xludf.DUMMYFUNCTION("""COMPUTED_VALUE"""),"PORT HOPE")</f>
        <v>PORT HOPE</v>
      </c>
      <c r="D724" s="3" t="str">
        <f>IFERROR(__xludf.DUMMYFUNCTION("""COMPUTED_VALUE"""),"L1A 0G1")</f>
        <v>L1A 0G1</v>
      </c>
      <c r="E724" s="3" t="str">
        <f>IFERROR(__xludf.DUMMYFUNCTION("""COMPUTED_VALUE"""),"Micheal Battaglia")</f>
        <v>Micheal Battaglia</v>
      </c>
      <c r="F724" s="3" t="str">
        <f>IFERROR(__xludf.DUMMYFUNCTION("""COMPUTED_VALUE"""),"Battagliahomesinc@gmail.com")</f>
        <v>Battagliahomesinc@gmail.com</v>
      </c>
      <c r="G724" s="3"/>
      <c r="H724" s="3"/>
    </row>
    <row r="725">
      <c r="A725" s="2">
        <f>IFERROR(__xludf.DUMMYFUNCTION("""COMPUTED_VALUE"""),11533.0)</f>
        <v>11533</v>
      </c>
      <c r="B725" s="3" t="str">
        <f>IFERROR(__xludf.DUMMYFUNCTION("""COMPUTED_VALUE"""),"5438 WINFIELD DR")</f>
        <v>5438 WINFIELD DR</v>
      </c>
      <c r="C725" s="3" t="str">
        <f>IFERROR(__xludf.DUMMYFUNCTION("""COMPUTED_VALUE"""),"PORT HOPE")</f>
        <v>PORT HOPE</v>
      </c>
      <c r="D725" s="3" t="str">
        <f>IFERROR(__xludf.DUMMYFUNCTION("""COMPUTED_VALUE"""),"L1A 0G1")</f>
        <v>L1A 0G1</v>
      </c>
      <c r="E725" s="3" t="str">
        <f>IFERROR(__xludf.DUMMYFUNCTION("""COMPUTED_VALUE"""),"Micheal Battaglia")</f>
        <v>Micheal Battaglia</v>
      </c>
      <c r="F725" s="3" t="str">
        <f>IFERROR(__xludf.DUMMYFUNCTION("""COMPUTED_VALUE"""),"Battagliahomesinc@gmail.com")</f>
        <v>Battagliahomesinc@gmail.com</v>
      </c>
      <c r="G725" s="3"/>
      <c r="H725" s="3"/>
    </row>
    <row r="726">
      <c r="A726" s="2">
        <f>IFERROR(__xludf.DUMMYFUNCTION("""COMPUTED_VALUE"""),11534.0)</f>
        <v>11534</v>
      </c>
      <c r="B726" s="3" t="str">
        <f>IFERROR(__xludf.DUMMYFUNCTION("""COMPUTED_VALUE"""),"5440 WINFIELD DR")</f>
        <v>5440 WINFIELD DR</v>
      </c>
      <c r="C726" s="3" t="str">
        <f>IFERROR(__xludf.DUMMYFUNCTION("""COMPUTED_VALUE"""),"PORT HOPE")</f>
        <v>PORT HOPE</v>
      </c>
      <c r="D726" s="3" t="str">
        <f>IFERROR(__xludf.DUMMYFUNCTION("""COMPUTED_VALUE"""),"L1A 0G1")</f>
        <v>L1A 0G1</v>
      </c>
      <c r="E726" s="3" t="str">
        <f>IFERROR(__xludf.DUMMYFUNCTION("""COMPUTED_VALUE"""),"Micheal Battaglia")</f>
        <v>Micheal Battaglia</v>
      </c>
      <c r="F726" s="3" t="str">
        <f>IFERROR(__xludf.DUMMYFUNCTION("""COMPUTED_VALUE"""),"Battagliahomesinc@gmail.com")</f>
        <v>Battagliahomesinc@gmail.com</v>
      </c>
      <c r="G726" s="3"/>
      <c r="H726" s="3"/>
    </row>
    <row r="727">
      <c r="A727" s="2">
        <f>IFERROR(__xludf.DUMMYFUNCTION("""COMPUTED_VALUE"""),11535.0)</f>
        <v>11535</v>
      </c>
      <c r="B727" s="3" t="str">
        <f>IFERROR(__xludf.DUMMYFUNCTION("""COMPUTED_VALUE"""),"5442 WINFIELD DR")</f>
        <v>5442 WINFIELD DR</v>
      </c>
      <c r="C727" s="3" t="str">
        <f>IFERROR(__xludf.DUMMYFUNCTION("""COMPUTED_VALUE"""),"PORT HOPE")</f>
        <v>PORT HOPE</v>
      </c>
      <c r="D727" s="3" t="str">
        <f>IFERROR(__xludf.DUMMYFUNCTION("""COMPUTED_VALUE"""),"L1A 0G1")</f>
        <v>L1A 0G1</v>
      </c>
      <c r="E727" s="3" t="str">
        <f>IFERROR(__xludf.DUMMYFUNCTION("""COMPUTED_VALUE"""),"Micheal Battaglia")</f>
        <v>Micheal Battaglia</v>
      </c>
      <c r="F727" s="3" t="str">
        <f>IFERROR(__xludf.DUMMYFUNCTION("""COMPUTED_VALUE"""),"Battagliahomesinc@gmail.com")</f>
        <v>Battagliahomesinc@gmail.com</v>
      </c>
      <c r="G727" s="3"/>
      <c r="H727" s="3"/>
    </row>
    <row r="728">
      <c r="A728" s="2">
        <f>IFERROR(__xludf.DUMMYFUNCTION("""COMPUTED_VALUE"""),11536.0)</f>
        <v>11536</v>
      </c>
      <c r="B728" s="3" t="str">
        <f>IFERROR(__xludf.DUMMYFUNCTION("""COMPUTED_VALUE"""),"5444 WINFIELD DR")</f>
        <v>5444 WINFIELD DR</v>
      </c>
      <c r="C728" s="3" t="str">
        <f>IFERROR(__xludf.DUMMYFUNCTION("""COMPUTED_VALUE"""),"PORT HOPE")</f>
        <v>PORT HOPE</v>
      </c>
      <c r="D728" s="3" t="str">
        <f>IFERROR(__xludf.DUMMYFUNCTION("""COMPUTED_VALUE"""),"L1A 0G1")</f>
        <v>L1A 0G1</v>
      </c>
      <c r="E728" s="3" t="str">
        <f>IFERROR(__xludf.DUMMYFUNCTION("""COMPUTED_VALUE"""),"Micheal Battaglia")</f>
        <v>Micheal Battaglia</v>
      </c>
      <c r="F728" s="3" t="str">
        <f>IFERROR(__xludf.DUMMYFUNCTION("""COMPUTED_VALUE"""),"Battagliahomesinc@gmail.com")</f>
        <v>Battagliahomesinc@gmail.com</v>
      </c>
      <c r="G728" s="3"/>
      <c r="H728" s="3"/>
    </row>
    <row r="729">
      <c r="A729" s="2">
        <f>IFERROR(__xludf.DUMMYFUNCTION("""COMPUTED_VALUE"""),11537.0)</f>
        <v>11537</v>
      </c>
      <c r="B729" s="3" t="str">
        <f>IFERROR(__xludf.DUMMYFUNCTION("""COMPUTED_VALUE"""),"5446 WINFIELD DR")</f>
        <v>5446 WINFIELD DR</v>
      </c>
      <c r="C729" s="3" t="str">
        <f>IFERROR(__xludf.DUMMYFUNCTION("""COMPUTED_VALUE"""),"PORT HOPE")</f>
        <v>PORT HOPE</v>
      </c>
      <c r="D729" s="3" t="str">
        <f>IFERROR(__xludf.DUMMYFUNCTION("""COMPUTED_VALUE"""),"L1A 0G1")</f>
        <v>L1A 0G1</v>
      </c>
      <c r="E729" s="3" t="str">
        <f>IFERROR(__xludf.DUMMYFUNCTION("""COMPUTED_VALUE"""),"Micheal Battaglia")</f>
        <v>Micheal Battaglia</v>
      </c>
      <c r="F729" s="3" t="str">
        <f>IFERROR(__xludf.DUMMYFUNCTION("""COMPUTED_VALUE"""),"Battagliahomesinc@gmail.com")</f>
        <v>Battagliahomesinc@gmail.com</v>
      </c>
      <c r="G729" s="3"/>
      <c r="H729" s="3"/>
    </row>
    <row r="730">
      <c r="A730" s="2">
        <f>IFERROR(__xludf.DUMMYFUNCTION("""COMPUTED_VALUE"""),10478.0)</f>
        <v>10478</v>
      </c>
      <c r="B730" s="3" t="str">
        <f>IFERROR(__xludf.DUMMYFUNCTION("""COMPUTED_VALUE"""),"5606 COUNTY RD 10")</f>
        <v>5606 COUNTY RD 10</v>
      </c>
      <c r="C730" s="3" t="str">
        <f>IFERROR(__xludf.DUMMYFUNCTION("""COMPUTED_VALUE"""),"PORT HOPE")</f>
        <v>PORT HOPE</v>
      </c>
      <c r="D730" s="3" t="str">
        <f>IFERROR(__xludf.DUMMYFUNCTION("""COMPUTED_VALUE"""),"L1A 3V5")</f>
        <v>L1A 3V5</v>
      </c>
      <c r="E730" s="3" t="str">
        <f>IFERROR(__xludf.DUMMYFUNCTION("""COMPUTED_VALUE"""),"David Macalpine")</f>
        <v>David Macalpine</v>
      </c>
      <c r="F730" s="3" t="str">
        <f>IFERROR(__xludf.DUMMYFUNCTION("""COMPUTED_VALUE"""),"davemac0725@hotmail.ca")</f>
        <v>davemac0725@hotmail.ca</v>
      </c>
      <c r="G730" s="3"/>
      <c r="H730" s="3"/>
    </row>
    <row r="731">
      <c r="A731" s="2">
        <f>IFERROR(__xludf.DUMMYFUNCTION("""COMPUTED_VALUE"""),10143.0)</f>
        <v>10143</v>
      </c>
      <c r="B731" s="3" t="str">
        <f>IFERROR(__xludf.DUMMYFUNCTION("""COMPUTED_VALUE"""),"5460 6TH LINE")</f>
        <v>5460 6TH LINE</v>
      </c>
      <c r="C731" s="3" t="str">
        <f>IFERROR(__xludf.DUMMYFUNCTION("""COMPUTED_VALUE"""),"PORT HOPE")</f>
        <v>PORT HOPE</v>
      </c>
      <c r="D731" s="3" t="str">
        <f>IFERROR(__xludf.DUMMYFUNCTION("""COMPUTED_VALUE"""),"L1A 3V8")</f>
        <v>L1A 3V8</v>
      </c>
      <c r="E731" s="3" t="str">
        <f>IFERROR(__xludf.DUMMYFUNCTION("""COMPUTED_VALUE"""),"Sarah Longden")</f>
        <v>Sarah Longden</v>
      </c>
      <c r="F731" s="3" t="str">
        <f>IFERROR(__xludf.DUMMYFUNCTION("""COMPUTED_VALUE"""),"safreeman.longden@gmail.com")</f>
        <v>safreeman.longden@gmail.com</v>
      </c>
      <c r="G731" s="3"/>
      <c r="H731" s="3"/>
    </row>
    <row r="732">
      <c r="A732" s="2">
        <f>IFERROR(__xludf.DUMMYFUNCTION("""COMPUTED_VALUE"""),10479.0)</f>
        <v>10479</v>
      </c>
      <c r="B732" s="3" t="str">
        <f>IFERROR(__xludf.DUMMYFUNCTION("""COMPUTED_VALUE"""),"5790 COUNTY RD 10")</f>
        <v>5790 COUNTY RD 10</v>
      </c>
      <c r="C732" s="3" t="str">
        <f>IFERROR(__xludf.DUMMYFUNCTION("""COMPUTED_VALUE"""),"PORT HOPE")</f>
        <v>PORT HOPE</v>
      </c>
      <c r="D732" s="3" t="str">
        <f>IFERROR(__xludf.DUMMYFUNCTION("""COMPUTED_VALUE"""),"L1A 3V5")</f>
        <v>L1A 3V5</v>
      </c>
      <c r="E732" s="3" t="str">
        <f>IFERROR(__xludf.DUMMYFUNCTION("""COMPUTED_VALUE"""),"Marg Page")</f>
        <v>Marg Page</v>
      </c>
      <c r="F732" s="3"/>
      <c r="G732" s="3"/>
      <c r="H732" s="3"/>
    </row>
    <row r="733">
      <c r="A733" s="2">
        <f>IFERROR(__xludf.DUMMYFUNCTION("""COMPUTED_VALUE"""),10093.0)</f>
        <v>10093</v>
      </c>
      <c r="B733" s="3" t="str">
        <f>IFERROR(__xludf.DUMMYFUNCTION("""COMPUTED_VALUE"""),"5485 5TH LINE")</f>
        <v>5485 5TH LINE</v>
      </c>
      <c r="C733" s="3" t="str">
        <f>IFERROR(__xludf.DUMMYFUNCTION("""COMPUTED_VALUE"""),"PORT HOPE")</f>
        <v>PORT HOPE</v>
      </c>
      <c r="D733" s="3" t="str">
        <f>IFERROR(__xludf.DUMMYFUNCTION("""COMPUTED_VALUE"""),"L1A 3V6")</f>
        <v>L1A 3V6</v>
      </c>
      <c r="E733" s="3" t="str">
        <f>IFERROR(__xludf.DUMMYFUNCTION("""COMPUTED_VALUE"""),"Devon Witheridge")</f>
        <v>Devon Witheridge</v>
      </c>
      <c r="F733" s="3" t="str">
        <f>IFERROR(__xludf.DUMMYFUNCTION("""COMPUTED_VALUE"""),"devonwitheridge@gmail.com")</f>
        <v>devonwitheridge@gmail.com</v>
      </c>
      <c r="G733" s="3"/>
      <c r="H733" s="3"/>
    </row>
    <row r="734">
      <c r="A734" s="2">
        <f>IFERROR(__xludf.DUMMYFUNCTION("""COMPUTED_VALUE"""),10199.0)</f>
        <v>10199</v>
      </c>
      <c r="B734" s="3" t="str">
        <f>IFERROR(__xludf.DUMMYFUNCTION("""COMPUTED_VALUE"""),"5490 7TH LINE")</f>
        <v>5490 7TH LINE</v>
      </c>
      <c r="C734" s="3" t="str">
        <f>IFERROR(__xludf.DUMMYFUNCTION("""COMPUTED_VALUE"""),"CAMPBELLCROFT")</f>
        <v>CAMPBELLCROFT</v>
      </c>
      <c r="D734" s="3" t="str">
        <f>IFERROR(__xludf.DUMMYFUNCTION("""COMPUTED_VALUE"""),"L0A 1B0")</f>
        <v>L0A 1B0</v>
      </c>
      <c r="E734" s="3"/>
      <c r="F734" s="3"/>
      <c r="G734" s="3"/>
      <c r="H734" s="3"/>
    </row>
    <row r="735">
      <c r="A735" s="2">
        <f>IFERROR(__xludf.DUMMYFUNCTION("""COMPUTED_VALUE"""),10819.0)</f>
        <v>10819</v>
      </c>
      <c r="B735" s="3" t="str">
        <f>IFERROR(__xludf.DUMMYFUNCTION("""COMPUTED_VALUE"""),"5503 DUNN RD")</f>
        <v>5503 DUNN RD</v>
      </c>
      <c r="C735" s="3" t="str">
        <f>IFERROR(__xludf.DUMMYFUNCTION("""COMPUTED_VALUE"""),"NEWTONVILLE")</f>
        <v>NEWTONVILLE</v>
      </c>
      <c r="D735" s="3" t="str">
        <f>IFERROR(__xludf.DUMMYFUNCTION("""COMPUTED_VALUE"""),"L0A 1J0")</f>
        <v>L0A 1J0</v>
      </c>
      <c r="E735" s="3" t="str">
        <f>IFERROR(__xludf.DUMMYFUNCTION("""COMPUTED_VALUE"""),"Ac Wahab")</f>
        <v>Ac Wahab</v>
      </c>
      <c r="F735" s="3"/>
      <c r="G735" s="3"/>
      <c r="H735" s="3"/>
    </row>
    <row r="736">
      <c r="A736" s="2">
        <f>IFERROR(__xludf.DUMMYFUNCTION("""COMPUTED_VALUE"""),10480.0)</f>
        <v>10480</v>
      </c>
      <c r="B736" s="3" t="str">
        <f>IFERROR(__xludf.DUMMYFUNCTION("""COMPUTED_VALUE"""),"5907 COUNTY RD 10")</f>
        <v>5907 COUNTY RD 10</v>
      </c>
      <c r="C736" s="3" t="str">
        <f>IFERROR(__xludf.DUMMYFUNCTION("""COMPUTED_VALUE"""),"PORT HOPE")</f>
        <v>PORT HOPE</v>
      </c>
      <c r="D736" s="3" t="str">
        <f>IFERROR(__xludf.DUMMYFUNCTION("""COMPUTED_VALUE"""),"L1A 3V5")</f>
        <v>L1A 3V5</v>
      </c>
      <c r="E736" s="3" t="str">
        <f>IFERROR(__xludf.DUMMYFUNCTION("""COMPUTED_VALUE"""),"boylen lurrienne")</f>
        <v>boylen lurrienne</v>
      </c>
      <c r="F736" s="3"/>
      <c r="G736" s="3"/>
      <c r="H736" s="3"/>
    </row>
    <row r="737">
      <c r="A737" s="2">
        <f>IFERROR(__xludf.DUMMYFUNCTION("""COMPUTED_VALUE"""),10481.0)</f>
        <v>10481</v>
      </c>
      <c r="B737" s="3" t="str">
        <f>IFERROR(__xludf.DUMMYFUNCTION("""COMPUTED_VALUE"""),"6179 COUNTY RD 10")</f>
        <v>6179 COUNTY RD 10</v>
      </c>
      <c r="C737" s="3" t="str">
        <f>IFERROR(__xludf.DUMMYFUNCTION("""COMPUTED_VALUE"""),"PORT HOPE")</f>
        <v>PORT HOPE</v>
      </c>
      <c r="D737" s="3" t="str">
        <f>IFERROR(__xludf.DUMMYFUNCTION("""COMPUTED_VALUE"""),"L1A 3V5")</f>
        <v>L1A 3V5</v>
      </c>
      <c r="E737" s="3"/>
      <c r="F737" s="3"/>
      <c r="G737" s="3"/>
      <c r="H737" s="3"/>
    </row>
    <row r="738">
      <c r="A738" s="2">
        <f>IFERROR(__xludf.DUMMYFUNCTION("""COMPUTED_VALUE"""),10094.0)</f>
        <v>10094</v>
      </c>
      <c r="B738" s="3" t="str">
        <f>IFERROR(__xludf.DUMMYFUNCTION("""COMPUTED_VALUE"""),"5531 5TH LINE")</f>
        <v>5531 5TH LINE</v>
      </c>
      <c r="C738" s="3" t="str">
        <f>IFERROR(__xludf.DUMMYFUNCTION("""COMPUTED_VALUE"""),"PORT HOPE")</f>
        <v>PORT HOPE</v>
      </c>
      <c r="D738" s="3" t="str">
        <f>IFERROR(__xludf.DUMMYFUNCTION("""COMPUTED_VALUE"""),"L1A 3V6")</f>
        <v>L1A 3V6</v>
      </c>
      <c r="E738" s="3" t="str">
        <f>IFERROR(__xludf.DUMMYFUNCTION("""COMPUTED_VALUE"""),"Paul Melrose")</f>
        <v>Paul Melrose</v>
      </c>
      <c r="F738" s="3" t="str">
        <f>IFERROR(__xludf.DUMMYFUNCTION("""COMPUTED_VALUE"""),"paulmelrose@hotmail.com")</f>
        <v>paulmelrose@hotmail.com</v>
      </c>
      <c r="G738" s="3"/>
      <c r="H738" s="3"/>
    </row>
    <row r="739">
      <c r="A739" s="2">
        <f>IFERROR(__xludf.DUMMYFUNCTION("""COMPUTED_VALUE"""),10732.0)</f>
        <v>10732</v>
      </c>
      <c r="B739" s="3" t="str">
        <f>IFERROR(__xludf.DUMMYFUNCTION("""COMPUTED_VALUE"""),"5546 DALE RD")</f>
        <v>5546 DALE RD</v>
      </c>
      <c r="C739" s="3" t="str">
        <f>IFERROR(__xludf.DUMMYFUNCTION("""COMPUTED_VALUE"""),"PORT HOPE")</f>
        <v>PORT HOPE</v>
      </c>
      <c r="D739" s="3" t="str">
        <f>IFERROR(__xludf.DUMMYFUNCTION("""COMPUTED_VALUE"""),"L1A 3V5")</f>
        <v>L1A 3V5</v>
      </c>
      <c r="E739" s="3" t="str">
        <f>IFERROR(__xludf.DUMMYFUNCTION("""COMPUTED_VALUE"""),"Petra Polok-Leffler")</f>
        <v>Petra Polok-Leffler</v>
      </c>
      <c r="F739" s="3" t="str">
        <f>IFERROR(__xludf.DUMMYFUNCTION("""COMPUTED_VALUE"""),"driftwood_petra@hotmail.com")</f>
        <v>driftwood_petra@hotmail.com</v>
      </c>
      <c r="G739" s="3"/>
      <c r="H739" s="3"/>
    </row>
    <row r="740">
      <c r="A740" s="2">
        <f>IFERROR(__xludf.DUMMYFUNCTION("""COMPUTED_VALUE"""),10986.0)</f>
        <v>10986</v>
      </c>
      <c r="B740" s="3" t="str">
        <f>IFERROR(__xludf.DUMMYFUNCTION("""COMPUTED_VALUE"""),"5647 HEASLIP LANE")</f>
        <v>5647 HEASLIP LANE</v>
      </c>
      <c r="C740" s="3" t="str">
        <f>IFERROR(__xludf.DUMMYFUNCTION("""COMPUTED_VALUE"""),"PORT HOPE")</f>
        <v>PORT HOPE</v>
      </c>
      <c r="D740" s="3" t="str">
        <f>IFERROR(__xludf.DUMMYFUNCTION("""COMPUTED_VALUE"""),"L1A 3V8")</f>
        <v>L1A 3V8</v>
      </c>
      <c r="E740" s="3" t="str">
        <f>IFERROR(__xludf.DUMMYFUNCTION("""COMPUTED_VALUE"""),"Andrew McMartin")</f>
        <v>Andrew McMartin</v>
      </c>
      <c r="F740" s="3" t="str">
        <f>IFERROR(__xludf.DUMMYFUNCTION("""COMPUTED_VALUE"""),"andrewmcmartin@gmail.com")</f>
        <v>andrewmcmartin@gmail.com</v>
      </c>
      <c r="G740" s="3"/>
      <c r="H740" s="3"/>
    </row>
    <row r="741">
      <c r="A741" s="2">
        <f>IFERROR(__xludf.DUMMYFUNCTION("""COMPUTED_VALUE"""),10636.0)</f>
        <v>10636</v>
      </c>
      <c r="B741" s="3" t="str">
        <f>IFERROR(__xludf.DUMMYFUNCTION("""COMPUTED_VALUE"""),"5648 COUNTY RD 28")</f>
        <v>5648 COUNTY RD 28</v>
      </c>
      <c r="C741" s="3" t="str">
        <f>IFERROR(__xludf.DUMMYFUNCTION("""COMPUTED_VALUE"""),"PORT HOPE")</f>
        <v>PORT HOPE</v>
      </c>
      <c r="D741" s="3" t="str">
        <f>IFERROR(__xludf.DUMMYFUNCTION("""COMPUTED_VALUE"""),"L1A 3V6")</f>
        <v>L1A 3V6</v>
      </c>
      <c r="E741" s="3" t="str">
        <f>IFERROR(__xludf.DUMMYFUNCTION("""COMPUTED_VALUE"""),"mike toomey")</f>
        <v>mike toomey</v>
      </c>
      <c r="F741" s="3"/>
      <c r="G741" s="3"/>
      <c r="H741" s="3"/>
    </row>
    <row r="742">
      <c r="A742" s="2">
        <f>IFERROR(__xludf.DUMMYFUNCTION("""COMPUTED_VALUE"""),10961.0)</f>
        <v>10961</v>
      </c>
      <c r="B742" s="3" t="str">
        <f>IFERROR(__xludf.DUMMYFUNCTION("""COMPUTED_VALUE"""),"5658 HARMONY RD")</f>
        <v>5658 HARMONY RD</v>
      </c>
      <c r="C742" s="3" t="str">
        <f>IFERROR(__xludf.DUMMYFUNCTION("""COMPUTED_VALUE"""),"BAILIEBORO")</f>
        <v>BAILIEBORO</v>
      </c>
      <c r="D742" s="3" t="str">
        <f>IFERROR(__xludf.DUMMYFUNCTION("""COMPUTED_VALUE"""),"K0L 1B0")</f>
        <v>K0L 1B0</v>
      </c>
      <c r="E742" s="3"/>
      <c r="F742" s="3"/>
      <c r="G742" s="3"/>
      <c r="H742" s="3"/>
    </row>
    <row r="743">
      <c r="A743" s="2">
        <f>IFERROR(__xludf.DUMMYFUNCTION("""COMPUTED_VALUE"""),10097.0)</f>
        <v>10097</v>
      </c>
      <c r="B743" s="3" t="str">
        <f>IFERROR(__xludf.DUMMYFUNCTION("""COMPUTED_VALUE"""),"5659 5TH LINE")</f>
        <v>5659 5TH LINE</v>
      </c>
      <c r="C743" s="3" t="str">
        <f>IFERROR(__xludf.DUMMYFUNCTION("""COMPUTED_VALUE"""),"PORT HOPE")</f>
        <v>PORT HOPE</v>
      </c>
      <c r="D743" s="3" t="str">
        <f>IFERROR(__xludf.DUMMYFUNCTION("""COMPUTED_VALUE"""),"L1A 3V6")</f>
        <v>L1A 3V6</v>
      </c>
      <c r="E743" s="3" t="str">
        <f>IFERROR(__xludf.DUMMYFUNCTION("""COMPUTED_VALUE"""),"Derek Dobos (Leslie &amp; Angela Dobos)")</f>
        <v>Derek Dobos (Leslie &amp; Angela Dobos)</v>
      </c>
      <c r="F743" s="3" t="str">
        <f>IFERROR(__xludf.DUMMYFUNCTION("""COMPUTED_VALUE"""),"dldobos99@gmail.com")</f>
        <v>dldobos99@gmail.com</v>
      </c>
      <c r="G743" s="3"/>
      <c r="H743" s="3"/>
    </row>
    <row r="744">
      <c r="A744" s="2">
        <f>IFERROR(__xludf.DUMMYFUNCTION("""COMPUTED_VALUE"""),10969.0)</f>
        <v>10969</v>
      </c>
      <c r="B744" s="3" t="str">
        <f>IFERROR(__xludf.DUMMYFUNCTION("""COMPUTED_VALUE"""),"5660 HARMONY RD SUITE 195")</f>
        <v>5660 HARMONY RD SUITE 195</v>
      </c>
      <c r="C744" s="3" t="str">
        <f>IFERROR(__xludf.DUMMYFUNCTION("""COMPUTED_VALUE"""),"BAILIEBORO")</f>
        <v>BAILIEBORO</v>
      </c>
      <c r="D744" s="3" t="str">
        <f>IFERROR(__xludf.DUMMYFUNCTION("""COMPUTED_VALUE"""),"K0L 1B0")</f>
        <v>K0L 1B0</v>
      </c>
      <c r="E744" s="3" t="str">
        <f>IFERROR(__xludf.DUMMYFUNCTION("""COMPUTED_VALUE"""),"Garland Hancock")</f>
        <v>Garland Hancock</v>
      </c>
      <c r="F744" s="3" t="str">
        <f>IFERROR(__xludf.DUMMYFUNCTION("""COMPUTED_VALUE"""),"garland.h@xplornet.ca")</f>
        <v>garland.h@xplornet.ca</v>
      </c>
      <c r="G744" s="3"/>
      <c r="H744" s="3"/>
    </row>
    <row r="745">
      <c r="A745" s="2">
        <f>IFERROR(__xludf.DUMMYFUNCTION("""COMPUTED_VALUE"""),10962.0)</f>
        <v>10962</v>
      </c>
      <c r="B745" s="3" t="str">
        <f>IFERROR(__xludf.DUMMYFUNCTION("""COMPUTED_VALUE"""),"5660 HARMONY RD SUITE 115")</f>
        <v>5660 HARMONY RD SUITE 115</v>
      </c>
      <c r="C745" s="3" t="str">
        <f>IFERROR(__xludf.DUMMYFUNCTION("""COMPUTED_VALUE"""),"BAILIEBORO")</f>
        <v>BAILIEBORO</v>
      </c>
      <c r="D745" s="3" t="str">
        <f>IFERROR(__xludf.DUMMYFUNCTION("""COMPUTED_VALUE"""),"K0L 1B0")</f>
        <v>K0L 1B0</v>
      </c>
      <c r="E745" s="3" t="str">
        <f>IFERROR(__xludf.DUMMYFUNCTION("""COMPUTED_VALUE"""),"Robert Docherty")</f>
        <v>Robert Docherty</v>
      </c>
      <c r="F745" s="3" t="str">
        <f>IFERROR(__xludf.DUMMYFUNCTION("""COMPUTED_VALUE"""),"dochertyri@gmail.comm")</f>
        <v>dochertyri@gmail.comm</v>
      </c>
      <c r="G745" s="3"/>
      <c r="H745" s="3"/>
    </row>
    <row r="746">
      <c r="A746" s="2">
        <f>IFERROR(__xludf.DUMMYFUNCTION("""COMPUTED_VALUE"""),10965.0)</f>
        <v>10965</v>
      </c>
      <c r="B746" s="3" t="str">
        <f>IFERROR(__xludf.DUMMYFUNCTION("""COMPUTED_VALUE"""),"5660 HARMONY RD SUITE 145")</f>
        <v>5660 HARMONY RD SUITE 145</v>
      </c>
      <c r="C746" s="3" t="str">
        <f>IFERROR(__xludf.DUMMYFUNCTION("""COMPUTED_VALUE"""),"BAILIEBORO")</f>
        <v>BAILIEBORO</v>
      </c>
      <c r="D746" s="3" t="str">
        <f>IFERROR(__xludf.DUMMYFUNCTION("""COMPUTED_VALUE"""),"K0L 1B0")</f>
        <v>K0L 1B0</v>
      </c>
      <c r="E746" s="3" t="str">
        <f>IFERROR(__xludf.DUMMYFUNCTION("""COMPUTED_VALUE"""),"Allison Wense")</f>
        <v>Allison Wense</v>
      </c>
      <c r="F746" s="3"/>
      <c r="G746" s="3"/>
      <c r="H746" s="3"/>
    </row>
    <row r="747">
      <c r="A747" s="2">
        <f>IFERROR(__xludf.DUMMYFUNCTION("""COMPUTED_VALUE"""),10963.0)</f>
        <v>10963</v>
      </c>
      <c r="B747" s="3" t="str">
        <f>IFERROR(__xludf.DUMMYFUNCTION("""COMPUTED_VALUE"""),"5660 HARMONY RD UNIT 125")</f>
        <v>5660 HARMONY RD UNIT 125</v>
      </c>
      <c r="C747" s="3" t="str">
        <f>IFERROR(__xludf.DUMMYFUNCTION("""COMPUTED_VALUE"""),"BAILIEBORO")</f>
        <v>BAILIEBORO</v>
      </c>
      <c r="D747" s="3" t="str">
        <f>IFERROR(__xludf.DUMMYFUNCTION("""COMPUTED_VALUE"""),"K0L 1B0")</f>
        <v>K0L 1B0</v>
      </c>
      <c r="E747" s="3" t="str">
        <f>IFERROR(__xludf.DUMMYFUNCTION("""COMPUTED_VALUE"""),"Carol Pakosz")</f>
        <v>Carol Pakosz</v>
      </c>
      <c r="F747" s="3" t="str">
        <f>IFERROR(__xludf.DUMMYFUNCTION("""COMPUTED_VALUE"""),"cp0314@hotmail.com")</f>
        <v>cp0314@hotmail.com</v>
      </c>
      <c r="G747" s="3"/>
      <c r="H747" s="3"/>
    </row>
    <row r="748">
      <c r="A748" s="2">
        <f>IFERROR(__xludf.DUMMYFUNCTION("""COMPUTED_VALUE"""),10964.0)</f>
        <v>10964</v>
      </c>
      <c r="B748" s="3" t="str">
        <f>IFERROR(__xludf.DUMMYFUNCTION("""COMPUTED_VALUE"""),"5660 HARMONY RD UNIT 135")</f>
        <v>5660 HARMONY RD UNIT 135</v>
      </c>
      <c r="C748" s="3" t="str">
        <f>IFERROR(__xludf.DUMMYFUNCTION("""COMPUTED_VALUE"""),"BAILIEBORO")</f>
        <v>BAILIEBORO</v>
      </c>
      <c r="D748" s="3" t="str">
        <f>IFERROR(__xludf.DUMMYFUNCTION("""COMPUTED_VALUE"""),"K0L 1B0")</f>
        <v>K0L 1B0</v>
      </c>
      <c r="E748" s="3"/>
      <c r="F748" s="3"/>
      <c r="G748" s="3"/>
      <c r="H748" s="3"/>
    </row>
    <row r="749">
      <c r="A749" s="2">
        <f>IFERROR(__xludf.DUMMYFUNCTION("""COMPUTED_VALUE"""),10966.0)</f>
        <v>10966</v>
      </c>
      <c r="B749" s="3" t="str">
        <f>IFERROR(__xludf.DUMMYFUNCTION("""COMPUTED_VALUE"""),"5660 HARMONY RD SUITE 155")</f>
        <v>5660 HARMONY RD SUITE 155</v>
      </c>
      <c r="C749" s="3" t="str">
        <f>IFERROR(__xludf.DUMMYFUNCTION("""COMPUTED_VALUE"""),"BAILIEBORO")</f>
        <v>BAILIEBORO</v>
      </c>
      <c r="D749" s="3" t="str">
        <f>IFERROR(__xludf.DUMMYFUNCTION("""COMPUTED_VALUE"""),"K0L 1B0")</f>
        <v>K0L 1B0</v>
      </c>
      <c r="E749" s="3"/>
      <c r="F749" s="3"/>
      <c r="G749" s="3"/>
      <c r="H749" s="3"/>
    </row>
    <row r="750">
      <c r="A750" s="2">
        <f>IFERROR(__xludf.DUMMYFUNCTION("""COMPUTED_VALUE"""),10968.0)</f>
        <v>10968</v>
      </c>
      <c r="B750" s="3" t="str">
        <f>IFERROR(__xludf.DUMMYFUNCTION("""COMPUTED_VALUE"""),"5660 HARMONY RD SUITE 185")</f>
        <v>5660 HARMONY RD SUITE 185</v>
      </c>
      <c r="C750" s="3" t="str">
        <f>IFERROR(__xludf.DUMMYFUNCTION("""COMPUTED_VALUE"""),"BAILIEBORO")</f>
        <v>BAILIEBORO</v>
      </c>
      <c r="D750" s="3" t="str">
        <f>IFERROR(__xludf.DUMMYFUNCTION("""COMPUTED_VALUE"""),"K0L 1B0")</f>
        <v>K0L 1B0</v>
      </c>
      <c r="E750" s="3"/>
      <c r="F750" s="3"/>
      <c r="G750" s="3"/>
      <c r="H750" s="3"/>
    </row>
    <row r="751">
      <c r="A751" s="2">
        <f>IFERROR(__xludf.DUMMYFUNCTION("""COMPUTED_VALUE"""),10970.0)</f>
        <v>10970</v>
      </c>
      <c r="B751" s="3" t="str">
        <f>IFERROR(__xludf.DUMMYFUNCTION("""COMPUTED_VALUE"""),"5660 HARMONY RD SUITE 205")</f>
        <v>5660 HARMONY RD SUITE 205</v>
      </c>
      <c r="C751" s="3" t="str">
        <f>IFERROR(__xludf.DUMMYFUNCTION("""COMPUTED_VALUE"""),"BAILIEBORO")</f>
        <v>BAILIEBORO</v>
      </c>
      <c r="D751" s="3" t="str">
        <f>IFERROR(__xludf.DUMMYFUNCTION("""COMPUTED_VALUE"""),"K0L 1B0")</f>
        <v>K0L 1B0</v>
      </c>
      <c r="E751" s="3"/>
      <c r="F751" s="3"/>
      <c r="G751" s="3"/>
      <c r="H751" s="3"/>
    </row>
    <row r="752">
      <c r="A752" s="2">
        <f>IFERROR(__xludf.DUMMYFUNCTION("""COMPUTED_VALUE"""),10972.0)</f>
        <v>10972</v>
      </c>
      <c r="B752" s="3" t="str">
        <f>IFERROR(__xludf.DUMMYFUNCTION("""COMPUTED_VALUE"""),"5660 HARMONY RD SUITE 225")</f>
        <v>5660 HARMONY RD SUITE 225</v>
      </c>
      <c r="C752" s="3" t="str">
        <f>IFERROR(__xludf.DUMMYFUNCTION("""COMPUTED_VALUE"""),"BAILIEBORO")</f>
        <v>BAILIEBORO</v>
      </c>
      <c r="D752" s="3" t="str">
        <f>IFERROR(__xludf.DUMMYFUNCTION("""COMPUTED_VALUE"""),"K0L 1B0")</f>
        <v>K0L 1B0</v>
      </c>
      <c r="E752" s="3"/>
      <c r="F752" s="3"/>
      <c r="G752" s="3"/>
      <c r="H752" s="3"/>
    </row>
    <row r="753">
      <c r="A753" s="2">
        <f>IFERROR(__xludf.DUMMYFUNCTION("""COMPUTED_VALUE"""),10967.0)</f>
        <v>10967</v>
      </c>
      <c r="B753" s="3" t="str">
        <f>IFERROR(__xludf.DUMMYFUNCTION("""COMPUTED_VALUE"""),"5660 HARMONY RD SUITE 165")</f>
        <v>5660 HARMONY RD SUITE 165</v>
      </c>
      <c r="C753" s="3" t="str">
        <f>IFERROR(__xludf.DUMMYFUNCTION("""COMPUTED_VALUE"""),"BAILIEBORO")</f>
        <v>BAILIEBORO</v>
      </c>
      <c r="D753" s="3" t="str">
        <f>IFERROR(__xludf.DUMMYFUNCTION("""COMPUTED_VALUE"""),"K0L 1B0")</f>
        <v>K0L 1B0</v>
      </c>
      <c r="E753" s="3"/>
      <c r="F753" s="3"/>
      <c r="G753" s="3"/>
      <c r="H753" s="3"/>
    </row>
    <row r="754">
      <c r="A754" s="2">
        <f>IFERROR(__xludf.DUMMYFUNCTION("""COMPUTED_VALUE"""),10971.0)</f>
        <v>10971</v>
      </c>
      <c r="B754" s="3" t="str">
        <f>IFERROR(__xludf.DUMMYFUNCTION("""COMPUTED_VALUE"""),"5660 HARMONY RD SUITE 215")</f>
        <v>5660 HARMONY RD SUITE 215</v>
      </c>
      <c r="C754" s="3" t="str">
        <f>IFERROR(__xludf.DUMMYFUNCTION("""COMPUTED_VALUE"""),"BAILIEBORO")</f>
        <v>BAILIEBORO</v>
      </c>
      <c r="D754" s="3" t="str">
        <f>IFERROR(__xludf.DUMMYFUNCTION("""COMPUTED_VALUE"""),"K0L 1B0")</f>
        <v>K0L 1B0</v>
      </c>
      <c r="E754" s="3"/>
      <c r="F754" s="3"/>
      <c r="G754" s="3"/>
      <c r="H754" s="3"/>
    </row>
    <row r="755">
      <c r="A755" s="2">
        <f>IFERROR(__xludf.DUMMYFUNCTION("""COMPUTED_VALUE"""),10973.0)</f>
        <v>10973</v>
      </c>
      <c r="B755" s="3" t="str">
        <f>IFERROR(__xludf.DUMMYFUNCTION("""COMPUTED_VALUE"""),"5661 HARMONY RD")</f>
        <v>5661 HARMONY RD</v>
      </c>
      <c r="C755" s="3" t="str">
        <f>IFERROR(__xludf.DUMMYFUNCTION("""COMPUTED_VALUE"""),"BAILIEBORO")</f>
        <v>BAILIEBORO</v>
      </c>
      <c r="D755" s="3" t="str">
        <f>IFERROR(__xludf.DUMMYFUNCTION("""COMPUTED_VALUE"""),"K0L 1B0")</f>
        <v>K0L 1B0</v>
      </c>
      <c r="E755" s="3"/>
      <c r="F755" s="3"/>
      <c r="G755" s="3"/>
      <c r="H755" s="3"/>
    </row>
    <row r="756">
      <c r="A756" s="2">
        <f>IFERROR(__xludf.DUMMYFUNCTION("""COMPUTED_VALUE"""),10974.0)</f>
        <v>10974</v>
      </c>
      <c r="B756" s="3" t="str">
        <f>IFERROR(__xludf.DUMMYFUNCTION("""COMPUTED_VALUE"""),"5663 HARMONY RD")</f>
        <v>5663 HARMONY RD</v>
      </c>
      <c r="C756" s="3" t="str">
        <f>IFERROR(__xludf.DUMMYFUNCTION("""COMPUTED_VALUE"""),"BAILIEBORO")</f>
        <v>BAILIEBORO</v>
      </c>
      <c r="D756" s="3" t="str">
        <f>IFERROR(__xludf.DUMMYFUNCTION("""COMPUTED_VALUE"""),"K0L 1B0")</f>
        <v>K0L 1B0</v>
      </c>
      <c r="E756" s="3" t="str">
        <f>IFERROR(__xludf.DUMMYFUNCTION("""COMPUTED_VALUE"""),"Dian Yanev Rashkov")</f>
        <v>Dian Yanev Rashkov</v>
      </c>
      <c r="F756" s="3" t="str">
        <f>IFERROR(__xludf.DUMMYFUNCTION("""COMPUTED_VALUE"""),"ricelakecottage123@gmail.com")</f>
        <v>ricelakecottage123@gmail.com</v>
      </c>
      <c r="G756" s="3"/>
      <c r="H756" s="3"/>
    </row>
    <row r="757">
      <c r="A757" s="2">
        <f>IFERROR(__xludf.DUMMYFUNCTION("""COMPUTED_VALUE"""),10975.0)</f>
        <v>10975</v>
      </c>
      <c r="B757" s="3" t="str">
        <f>IFERROR(__xludf.DUMMYFUNCTION("""COMPUTED_VALUE"""),"5665 HARMONY RD")</f>
        <v>5665 HARMONY RD</v>
      </c>
      <c r="C757" s="3" t="str">
        <f>IFERROR(__xludf.DUMMYFUNCTION("""COMPUTED_VALUE"""),"BAILIEBORO")</f>
        <v>BAILIEBORO</v>
      </c>
      <c r="D757" s="3" t="str">
        <f>IFERROR(__xludf.DUMMYFUNCTION("""COMPUTED_VALUE"""),"K0L 1B0")</f>
        <v>K0L 1B0</v>
      </c>
      <c r="E757" s="3"/>
      <c r="F757" s="3"/>
      <c r="G757" s="3"/>
      <c r="H757" s="3"/>
    </row>
    <row r="758">
      <c r="A758" s="2">
        <f>IFERROR(__xludf.DUMMYFUNCTION("""COMPUTED_VALUE"""),10247.0)</f>
        <v>10247</v>
      </c>
      <c r="B758" s="3" t="str">
        <f>IFERROR(__xludf.DUMMYFUNCTION("""COMPUTED_VALUE"""),"5670 ARROWHEAD RD")</f>
        <v>5670 ARROWHEAD RD</v>
      </c>
      <c r="C758" s="3" t="str">
        <f>IFERROR(__xludf.DUMMYFUNCTION("""COMPUTED_VALUE"""),"BAILIEBORO")</f>
        <v>BAILIEBORO</v>
      </c>
      <c r="D758" s="3" t="str">
        <f>IFERROR(__xludf.DUMMYFUNCTION("""COMPUTED_VALUE"""),"K0L 1B0")</f>
        <v>K0L 1B0</v>
      </c>
      <c r="E758" s="3"/>
      <c r="F758" s="3"/>
      <c r="G758" s="3"/>
      <c r="H758" s="3"/>
    </row>
    <row r="759">
      <c r="A759" s="2">
        <f>IFERROR(__xludf.DUMMYFUNCTION("""COMPUTED_VALUE"""),10098.0)</f>
        <v>10098</v>
      </c>
      <c r="B759" s="3" t="str">
        <f>IFERROR(__xludf.DUMMYFUNCTION("""COMPUTED_VALUE"""),"5671 5TH LINE")</f>
        <v>5671 5TH LINE</v>
      </c>
      <c r="C759" s="3" t="str">
        <f>IFERROR(__xludf.DUMMYFUNCTION("""COMPUTED_VALUE"""),"PORT HOPE")</f>
        <v>PORT HOPE</v>
      </c>
      <c r="D759" s="3" t="str">
        <f>IFERROR(__xludf.DUMMYFUNCTION("""COMPUTED_VALUE"""),"L1A 3V6")</f>
        <v>L1A 3V6</v>
      </c>
      <c r="E759" s="3" t="str">
        <f>IFERROR(__xludf.DUMMYFUNCTION("""COMPUTED_VALUE"""),"Cole Abrams")</f>
        <v>Cole Abrams</v>
      </c>
      <c r="F759" s="3" t="str">
        <f>IFERROR(__xludf.DUMMYFUNCTION("""COMPUTED_VALUE"""),"coleabrams@gmail.com")</f>
        <v>coleabrams@gmail.com</v>
      </c>
      <c r="G759" s="3"/>
      <c r="H759" s="3"/>
    </row>
    <row r="760">
      <c r="A760" s="2">
        <f>IFERROR(__xludf.DUMMYFUNCTION("""COMPUTED_VALUE"""),10099.0)</f>
        <v>10099</v>
      </c>
      <c r="B760" s="3" t="str">
        <f>IFERROR(__xludf.DUMMYFUNCTION("""COMPUTED_VALUE"""),"5672 5TH LINE")</f>
        <v>5672 5TH LINE</v>
      </c>
      <c r="C760" s="3" t="str">
        <f>IFERROR(__xludf.DUMMYFUNCTION("""COMPUTED_VALUE"""),"PORT HOPE")</f>
        <v>PORT HOPE</v>
      </c>
      <c r="D760" s="3" t="str">
        <f>IFERROR(__xludf.DUMMYFUNCTION("""COMPUTED_VALUE"""),"L1A 3V6")</f>
        <v>L1A 3V6</v>
      </c>
      <c r="E760" s="3"/>
      <c r="F760" s="3"/>
      <c r="G760" s="3"/>
      <c r="H760" s="3"/>
    </row>
    <row r="761">
      <c r="A761" s="2">
        <f>IFERROR(__xludf.DUMMYFUNCTION("""COMPUTED_VALUE"""),11049.0)</f>
        <v>11049</v>
      </c>
      <c r="B761" s="3" t="str">
        <f>IFERROR(__xludf.DUMMYFUNCTION("""COMPUTED_VALUE"""),"5688 KNOXVILLE RD")</f>
        <v>5688 KNOXVILLE RD</v>
      </c>
      <c r="C761" s="3" t="str">
        <f>IFERROR(__xludf.DUMMYFUNCTION("""COMPUTED_VALUE"""),"PORT HOPE")</f>
        <v>PORT HOPE</v>
      </c>
      <c r="D761" s="3" t="str">
        <f>IFERROR(__xludf.DUMMYFUNCTION("""COMPUTED_VALUE"""),"L1A 3V8")</f>
        <v>L1A 3V8</v>
      </c>
      <c r="E761" s="3" t="str">
        <f>IFERROR(__xludf.DUMMYFUNCTION("""COMPUTED_VALUE"""),"JEFF REED")</f>
        <v>JEFF REED</v>
      </c>
      <c r="F761" s="3" t="str">
        <f>IFERROR(__xludf.DUMMYFUNCTION("""COMPUTED_VALUE"""),"Jeffr@quantrillchev.com")</f>
        <v>Jeffr@quantrillchev.com</v>
      </c>
      <c r="G761" s="3"/>
      <c r="H761" s="3"/>
    </row>
    <row r="762">
      <c r="A762" s="2">
        <f>IFERROR(__xludf.DUMMYFUNCTION("""COMPUTED_VALUE"""),10637.0)</f>
        <v>10637</v>
      </c>
      <c r="B762" s="3" t="str">
        <f>IFERROR(__xludf.DUMMYFUNCTION("""COMPUTED_VALUE"""),"5694 COUNTY RD 28")</f>
        <v>5694 COUNTY RD 28</v>
      </c>
      <c r="C762" s="3" t="str">
        <f>IFERROR(__xludf.DUMMYFUNCTION("""COMPUTED_VALUE"""),"PORT HOPE")</f>
        <v>PORT HOPE</v>
      </c>
      <c r="D762" s="3" t="str">
        <f>IFERROR(__xludf.DUMMYFUNCTION("""COMPUTED_VALUE"""),"L1A 3V6")</f>
        <v>L1A 3V6</v>
      </c>
      <c r="E762" s="3"/>
      <c r="F762" s="3"/>
      <c r="G762" s="3"/>
      <c r="H762" s="3"/>
    </row>
    <row r="763">
      <c r="A763" s="2">
        <f>IFERROR(__xludf.DUMMYFUNCTION("""COMPUTED_VALUE"""),10144.0)</f>
        <v>10144</v>
      </c>
      <c r="B763" s="3" t="str">
        <f>IFERROR(__xludf.DUMMYFUNCTION("""COMPUTED_VALUE"""),"5702 6TH LINE")</f>
        <v>5702 6TH LINE</v>
      </c>
      <c r="C763" s="3" t="str">
        <f>IFERROR(__xludf.DUMMYFUNCTION("""COMPUTED_VALUE"""),"PORT HOPE")</f>
        <v>PORT HOPE</v>
      </c>
      <c r="D763" s="3" t="str">
        <f>IFERROR(__xludf.DUMMYFUNCTION("""COMPUTED_VALUE"""),"L1A 3V8")</f>
        <v>L1A 3V8</v>
      </c>
      <c r="E763" s="3" t="str">
        <f>IFERROR(__xludf.DUMMYFUNCTION("""COMPUTED_VALUE"""),"Chris Stark")</f>
        <v>Chris Stark</v>
      </c>
      <c r="F763" s="3" t="str">
        <f>IFERROR(__xludf.DUMMYFUNCTION("""COMPUTED_VALUE"""),"chris.stark94@gmail.com")</f>
        <v>chris.stark94@gmail.com</v>
      </c>
      <c r="G763" s="3"/>
      <c r="H763" s="3"/>
    </row>
    <row r="764">
      <c r="A764" s="2">
        <f>IFERROR(__xludf.DUMMYFUNCTION("""COMPUTED_VALUE"""),11491.0)</f>
        <v>11491</v>
      </c>
      <c r="B764" s="3" t="str">
        <f>IFERROR(__xludf.DUMMYFUNCTION("""COMPUTED_VALUE"""),"5704 WESTVIEW PK")</f>
        <v>5704 WESTVIEW PK</v>
      </c>
      <c r="C764" s="3" t="str">
        <f>IFERROR(__xludf.DUMMYFUNCTION("""COMPUTED_VALUE"""),"PORT HOPE")</f>
        <v>PORT HOPE</v>
      </c>
      <c r="D764" s="3" t="str">
        <f>IFERROR(__xludf.DUMMYFUNCTION("""COMPUTED_VALUE"""),"L1A 3V8")</f>
        <v>L1A 3V8</v>
      </c>
      <c r="E764" s="3" t="str">
        <f>IFERROR(__xludf.DUMMYFUNCTION("""COMPUTED_VALUE"""),"Mark Sokay")</f>
        <v>Mark Sokay</v>
      </c>
      <c r="F764" s="3" t="str">
        <f>IFERROR(__xludf.DUMMYFUNCTION("""COMPUTED_VALUE"""),"sokay91@gmail.com")</f>
        <v>sokay91@gmail.com</v>
      </c>
      <c r="G764" s="3"/>
      <c r="H764" s="3"/>
    </row>
    <row r="765">
      <c r="A765" s="2">
        <f>IFERROR(__xludf.DUMMYFUNCTION("""COMPUTED_VALUE"""),11492.0)</f>
        <v>11492</v>
      </c>
      <c r="B765" s="3" t="str">
        <f>IFERROR(__xludf.DUMMYFUNCTION("""COMPUTED_VALUE"""),"5705 WESTVIEW PK")</f>
        <v>5705 WESTVIEW PK</v>
      </c>
      <c r="C765" s="3" t="str">
        <f>IFERROR(__xludf.DUMMYFUNCTION("""COMPUTED_VALUE"""),"PORT HOPE")</f>
        <v>PORT HOPE</v>
      </c>
      <c r="D765" s="3" t="str">
        <f>IFERROR(__xludf.DUMMYFUNCTION("""COMPUTED_VALUE"""),"L1A 3V8")</f>
        <v>L1A 3V8</v>
      </c>
      <c r="E765" s="3"/>
      <c r="F765" s="3"/>
      <c r="G765" s="3"/>
      <c r="H765" s="3"/>
    </row>
    <row r="766">
      <c r="A766" s="2">
        <f>IFERROR(__xludf.DUMMYFUNCTION("""COMPUTED_VALUE"""),11493.0)</f>
        <v>11493</v>
      </c>
      <c r="B766" s="3" t="str">
        <f>IFERROR(__xludf.DUMMYFUNCTION("""COMPUTED_VALUE"""),"5708 WESTVIEW PK")</f>
        <v>5708 WESTVIEW PK</v>
      </c>
      <c r="C766" s="3" t="str">
        <f>IFERROR(__xludf.DUMMYFUNCTION("""COMPUTED_VALUE"""),"MUNICIPALITY OF PORT HOPE")</f>
        <v>MUNICIPALITY OF PORT HOPE</v>
      </c>
      <c r="D766" s="3" t="str">
        <f>IFERROR(__xludf.DUMMYFUNCTION("""COMPUTED_VALUE"""),"L1A 3V8")</f>
        <v>L1A 3V8</v>
      </c>
      <c r="E766" s="3" t="str">
        <f>IFERROR(__xludf.DUMMYFUNCTION("""COMPUTED_VALUE"""),"paul gibson")</f>
        <v>paul gibson</v>
      </c>
      <c r="F766" s="3" t="str">
        <f>IFERROR(__xludf.DUMMYFUNCTION("""COMPUTED_VALUE"""),"creativeimagerydesign@hotmail.ca")</f>
        <v>creativeimagerydesign@hotmail.ca</v>
      </c>
      <c r="G766" s="3"/>
      <c r="H766" s="3"/>
    </row>
    <row r="767">
      <c r="A767" s="2">
        <f>IFERROR(__xludf.DUMMYFUNCTION("""COMPUTED_VALUE"""),11494.0)</f>
        <v>11494</v>
      </c>
      <c r="B767" s="3" t="str">
        <f>IFERROR(__xludf.DUMMYFUNCTION("""COMPUTED_VALUE"""),"5711 WESTVIEW PK")</f>
        <v>5711 WESTVIEW PK</v>
      </c>
      <c r="C767" s="3" t="str">
        <f>IFERROR(__xludf.DUMMYFUNCTION("""COMPUTED_VALUE"""),"PORT HOPE")</f>
        <v>PORT HOPE</v>
      </c>
      <c r="D767" s="3" t="str">
        <f>IFERROR(__xludf.DUMMYFUNCTION("""COMPUTED_VALUE"""),"L1A 3V8")</f>
        <v>L1A 3V8</v>
      </c>
      <c r="E767" s="3"/>
      <c r="F767" s="3"/>
      <c r="G767" s="3"/>
      <c r="H767" s="3"/>
    </row>
    <row r="768">
      <c r="A768" s="2">
        <f>IFERROR(__xludf.DUMMYFUNCTION("""COMPUTED_VALUE"""),11495.0)</f>
        <v>11495</v>
      </c>
      <c r="B768" s="3" t="str">
        <f>IFERROR(__xludf.DUMMYFUNCTION("""COMPUTED_VALUE"""),"5715 WESTVIEW PK")</f>
        <v>5715 WESTVIEW PK</v>
      </c>
      <c r="C768" s="3" t="str">
        <f>IFERROR(__xludf.DUMMYFUNCTION("""COMPUTED_VALUE"""),"PORT HOPE")</f>
        <v>PORT HOPE</v>
      </c>
      <c r="D768" s="3" t="str">
        <f>IFERROR(__xludf.DUMMYFUNCTION("""COMPUTED_VALUE"""),"L1A 3V8")</f>
        <v>L1A 3V8</v>
      </c>
      <c r="E768" s="3" t="str">
        <f>IFERROR(__xludf.DUMMYFUNCTION("""COMPUTED_VALUE"""),"Patricia Limebeer")</f>
        <v>Patricia Limebeer</v>
      </c>
      <c r="F768" s="3" t="str">
        <f>IFERROR(__xludf.DUMMYFUNCTION("""COMPUTED_VALUE"""),"trish.limebeer@gmail.com")</f>
        <v>trish.limebeer@gmail.com</v>
      </c>
      <c r="G768" s="3"/>
      <c r="H768" s="3"/>
    </row>
    <row r="769">
      <c r="A769" s="2">
        <f>IFERROR(__xludf.DUMMYFUNCTION("""COMPUTED_VALUE"""),11496.0)</f>
        <v>11496</v>
      </c>
      <c r="B769" s="3" t="str">
        <f>IFERROR(__xludf.DUMMYFUNCTION("""COMPUTED_VALUE"""),"5719 WESTVIEW PK")</f>
        <v>5719 WESTVIEW PK</v>
      </c>
      <c r="C769" s="3" t="str">
        <f>IFERROR(__xludf.DUMMYFUNCTION("""COMPUTED_VALUE"""),"PORT HOPE")</f>
        <v>PORT HOPE</v>
      </c>
      <c r="D769" s="3" t="str">
        <f>IFERROR(__xludf.DUMMYFUNCTION("""COMPUTED_VALUE"""),"L1A 3V8")</f>
        <v>L1A 3V8</v>
      </c>
      <c r="E769" s="3" t="str">
        <f>IFERROR(__xludf.DUMMYFUNCTION("""COMPUTED_VALUE"""),"jeff wannamaker")</f>
        <v>jeff wannamaker</v>
      </c>
      <c r="F769" s="3"/>
      <c r="G769" s="3"/>
      <c r="H769" s="3"/>
    </row>
    <row r="770">
      <c r="A770" s="2">
        <f>IFERROR(__xludf.DUMMYFUNCTION("""COMPUTED_VALUE"""),11497.0)</f>
        <v>11497</v>
      </c>
      <c r="B770" s="3" t="str">
        <f>IFERROR(__xludf.DUMMYFUNCTION("""COMPUTED_VALUE"""),"5720 WESTVIEW PK")</f>
        <v>5720 WESTVIEW PK</v>
      </c>
      <c r="C770" s="3" t="str">
        <f>IFERROR(__xludf.DUMMYFUNCTION("""COMPUTED_VALUE"""),"PORT HOPE")</f>
        <v>PORT HOPE</v>
      </c>
      <c r="D770" s="3" t="str">
        <f>IFERROR(__xludf.DUMMYFUNCTION("""COMPUTED_VALUE"""),"L1A 3V8")</f>
        <v>L1A 3V8</v>
      </c>
      <c r="E770" s="3" t="str">
        <f>IFERROR(__xludf.DUMMYFUNCTION("""COMPUTED_VALUE"""),"peter angelo")</f>
        <v>peter angelo</v>
      </c>
      <c r="F770" s="3" t="str">
        <f>IFERROR(__xludf.DUMMYFUNCTION("""COMPUTED_VALUE"""),"pangelo333@gmail.com")</f>
        <v>pangelo333@gmail.com</v>
      </c>
      <c r="G770" s="3"/>
      <c r="H770" s="3"/>
    </row>
    <row r="771">
      <c r="A771" s="2">
        <f>IFERROR(__xludf.DUMMYFUNCTION("""COMPUTED_VALUE"""),11499.0)</f>
        <v>11499</v>
      </c>
      <c r="B771" s="3" t="str">
        <f>IFERROR(__xludf.DUMMYFUNCTION("""COMPUTED_VALUE"""),"5727 WESTVIEW PK")</f>
        <v>5727 WESTVIEW PK</v>
      </c>
      <c r="C771" s="3" t="str">
        <f>IFERROR(__xludf.DUMMYFUNCTION("""COMPUTED_VALUE"""),"PORT HOPE")</f>
        <v>PORT HOPE</v>
      </c>
      <c r="D771" s="3" t="str">
        <f>IFERROR(__xludf.DUMMYFUNCTION("""COMPUTED_VALUE"""),"L1A 3V8")</f>
        <v>L1A 3V8</v>
      </c>
      <c r="E771" s="3" t="str">
        <f>IFERROR(__xludf.DUMMYFUNCTION("""COMPUTED_VALUE"""),"Ole-Kristian Hope")</f>
        <v>Ole-Kristian Hope</v>
      </c>
      <c r="F771" s="3" t="str">
        <f>IFERROR(__xludf.DUMMYFUNCTION("""COMPUTED_VALUE"""),"rda0379@gmail.com")</f>
        <v>rda0379@gmail.com</v>
      </c>
      <c r="G771" s="3"/>
      <c r="H771" s="3"/>
    </row>
    <row r="772">
      <c r="A772" s="2">
        <f>IFERROR(__xludf.DUMMYFUNCTION("""COMPUTED_VALUE"""),11500.0)</f>
        <v>11500</v>
      </c>
      <c r="B772" s="3" t="str">
        <f>IFERROR(__xludf.DUMMYFUNCTION("""COMPUTED_VALUE"""),"5728 WESTVIEW PK")</f>
        <v>5728 WESTVIEW PK</v>
      </c>
      <c r="C772" s="3" t="str">
        <f>IFERROR(__xludf.DUMMYFUNCTION("""COMPUTED_VALUE"""),"PORT HOPE")</f>
        <v>PORT HOPE</v>
      </c>
      <c r="D772" s="3" t="str">
        <f>IFERROR(__xludf.DUMMYFUNCTION("""COMPUTED_VALUE"""),"L1A 3V8")</f>
        <v>L1A 3V8</v>
      </c>
      <c r="E772" s="3" t="str">
        <f>IFERROR(__xludf.DUMMYFUNCTION("""COMPUTED_VALUE"""),"Greg Annis")</f>
        <v>Greg Annis</v>
      </c>
      <c r="F772" s="3" t="str">
        <f>IFERROR(__xludf.DUMMYFUNCTION("""COMPUTED_VALUE"""),"gna11247@gmail.com")</f>
        <v>gna11247@gmail.com</v>
      </c>
      <c r="G772" s="3"/>
      <c r="H772" s="3"/>
    </row>
    <row r="773">
      <c r="A773" s="2">
        <f>IFERROR(__xludf.DUMMYFUNCTION("""COMPUTED_VALUE"""),11501.0)</f>
        <v>11501</v>
      </c>
      <c r="B773" s="3" t="str">
        <f>IFERROR(__xludf.DUMMYFUNCTION("""COMPUTED_VALUE"""),"5731 WESTVIEW PK")</f>
        <v>5731 WESTVIEW PK</v>
      </c>
      <c r="C773" s="3" t="str">
        <f>IFERROR(__xludf.DUMMYFUNCTION("""COMPUTED_VALUE"""),"PORT HOPE")</f>
        <v>PORT HOPE</v>
      </c>
      <c r="D773" s="3" t="str">
        <f>IFERROR(__xludf.DUMMYFUNCTION("""COMPUTED_VALUE"""),"L1A 3V8")</f>
        <v>L1A 3V8</v>
      </c>
      <c r="E773" s="3" t="str">
        <f>IFERROR(__xludf.DUMMYFUNCTION("""COMPUTED_VALUE"""),"Erin Duncan")</f>
        <v>Erin Duncan</v>
      </c>
      <c r="F773" s="3" t="str">
        <f>IFERROR(__xludf.DUMMYFUNCTION("""COMPUTED_VALUE"""),"erin.duncan1724@gmail.com")</f>
        <v>erin.duncan1724@gmail.com</v>
      </c>
      <c r="G773" s="3"/>
      <c r="H773" s="3"/>
    </row>
    <row r="774">
      <c r="A774" s="2">
        <f>IFERROR(__xludf.DUMMYFUNCTION("""COMPUTED_VALUE"""),11502.0)</f>
        <v>11502</v>
      </c>
      <c r="B774" s="3" t="str">
        <f>IFERROR(__xludf.DUMMYFUNCTION("""COMPUTED_VALUE"""),"5735 WESTVIEW PK")</f>
        <v>5735 WESTVIEW PK</v>
      </c>
      <c r="C774" s="3" t="str">
        <f>IFERROR(__xludf.DUMMYFUNCTION("""COMPUTED_VALUE"""),"PORT HOPE")</f>
        <v>PORT HOPE</v>
      </c>
      <c r="D774" s="3" t="str">
        <f>IFERROR(__xludf.DUMMYFUNCTION("""COMPUTED_VALUE"""),"L1A 3V8")</f>
        <v>L1A 3V8</v>
      </c>
      <c r="E774" s="3" t="str">
        <f>IFERROR(__xludf.DUMMYFUNCTION("""COMPUTED_VALUE"""),"Ryan Beatty")</f>
        <v>Ryan Beatty</v>
      </c>
      <c r="F774" s="3" t="str">
        <f>IFERROR(__xludf.DUMMYFUNCTION("""COMPUTED_VALUE"""),"rswbeatty@hotmail.com")</f>
        <v>rswbeatty@hotmail.com</v>
      </c>
      <c r="G774" s="3"/>
      <c r="H774" s="3"/>
    </row>
    <row r="775">
      <c r="A775" s="2">
        <f>IFERROR(__xludf.DUMMYFUNCTION("""COMPUTED_VALUE"""),11503.0)</f>
        <v>11503</v>
      </c>
      <c r="B775" s="3" t="str">
        <f>IFERROR(__xludf.DUMMYFUNCTION("""COMPUTED_VALUE"""),"5740 WESTVIEW PK")</f>
        <v>5740 WESTVIEW PK</v>
      </c>
      <c r="C775" s="3" t="str">
        <f>IFERROR(__xludf.DUMMYFUNCTION("""COMPUTED_VALUE"""),"PORT HOPE")</f>
        <v>PORT HOPE</v>
      </c>
      <c r="D775" s="3" t="str">
        <f>IFERROR(__xludf.DUMMYFUNCTION("""COMPUTED_VALUE"""),"L1A 3V8")</f>
        <v>L1A 3V8</v>
      </c>
      <c r="E775" s="3" t="str">
        <f>IFERROR(__xludf.DUMMYFUNCTION("""COMPUTED_VALUE"""),"mike robinson")</f>
        <v>mike robinson</v>
      </c>
      <c r="F775" s="3"/>
      <c r="G775" s="3"/>
      <c r="H775" s="3"/>
    </row>
    <row r="776">
      <c r="A776" s="2">
        <f>IFERROR(__xludf.DUMMYFUNCTION("""COMPUTED_VALUE"""),11504.0)</f>
        <v>11504</v>
      </c>
      <c r="B776" s="3" t="str">
        <f>IFERROR(__xludf.DUMMYFUNCTION("""COMPUTED_VALUE"""),"5741 WESTVIEW PK")</f>
        <v>5741 WESTVIEW PK</v>
      </c>
      <c r="C776" s="3" t="str">
        <f>IFERROR(__xludf.DUMMYFUNCTION("""COMPUTED_VALUE"""),"PORT HOPE")</f>
        <v>PORT HOPE</v>
      </c>
      <c r="D776" s="3" t="str">
        <f>IFERROR(__xludf.DUMMYFUNCTION("""COMPUTED_VALUE"""),"L1A 3V8")</f>
        <v>L1A 3V8</v>
      </c>
      <c r="E776" s="3" t="str">
        <f>IFERROR(__xludf.DUMMYFUNCTION("""COMPUTED_VALUE"""),"Frank Lombardo")</f>
        <v>Frank Lombardo</v>
      </c>
      <c r="F776" s="3" t="str">
        <f>IFERROR(__xludf.DUMMYFUNCTION("""COMPUTED_VALUE"""),"fvlombardo@gmail.com")</f>
        <v>fvlombardo@gmail.com</v>
      </c>
      <c r="G776" s="3"/>
      <c r="H776" s="3"/>
    </row>
    <row r="777">
      <c r="A777" s="2">
        <f>IFERROR(__xludf.DUMMYFUNCTION("""COMPUTED_VALUE"""),11050.0)</f>
        <v>11050</v>
      </c>
      <c r="B777" s="3" t="str">
        <f>IFERROR(__xludf.DUMMYFUNCTION("""COMPUTED_VALUE"""),"5742 KNOXVILLE RD")</f>
        <v>5742 KNOXVILLE RD</v>
      </c>
      <c r="C777" s="3" t="str">
        <f>IFERROR(__xludf.DUMMYFUNCTION("""COMPUTED_VALUE"""),"PORT HOPE")</f>
        <v>PORT HOPE</v>
      </c>
      <c r="D777" s="3" t="str">
        <f>IFERROR(__xludf.DUMMYFUNCTION("""COMPUTED_VALUE"""),"L1A 3V8")</f>
        <v>L1A 3V8</v>
      </c>
      <c r="E777" s="3" t="str">
        <f>IFERROR(__xludf.DUMMYFUNCTION("""COMPUTED_VALUE"""),"paul quantrill")</f>
        <v>paul quantrill</v>
      </c>
      <c r="F777" s="3" t="str">
        <f>IFERROR(__xludf.DUMMYFUNCTION("""COMPUTED_VALUE"""),"qcanada@msn.com")</f>
        <v>qcanada@msn.com</v>
      </c>
      <c r="G777" s="3"/>
      <c r="H777" s="3"/>
    </row>
    <row r="778">
      <c r="A778" s="2">
        <f>IFERROR(__xludf.DUMMYFUNCTION("""COMPUTED_VALUE"""),11505.0)</f>
        <v>11505</v>
      </c>
      <c r="B778" s="3" t="str">
        <f>IFERROR(__xludf.DUMMYFUNCTION("""COMPUTED_VALUE"""),"5745 WESTVIEW PK")</f>
        <v>5745 WESTVIEW PK</v>
      </c>
      <c r="C778" s="3" t="str">
        <f>IFERROR(__xludf.DUMMYFUNCTION("""COMPUTED_VALUE"""),"PORT HOPE")</f>
        <v>PORT HOPE</v>
      </c>
      <c r="D778" s="3" t="str">
        <f>IFERROR(__xludf.DUMMYFUNCTION("""COMPUTED_VALUE"""),"L1A 3V8")</f>
        <v>L1A 3V8</v>
      </c>
      <c r="E778" s="3" t="str">
        <f>IFERROR(__xludf.DUMMYFUNCTION("""COMPUTED_VALUE"""),"MARC THIBODEAU")</f>
        <v>MARC THIBODEAU</v>
      </c>
      <c r="F778" s="3" t="str">
        <f>IFERROR(__xludf.DUMMYFUNCTION("""COMPUTED_VALUE"""),"marc.t53@icloud.col")</f>
        <v>marc.t53@icloud.col</v>
      </c>
      <c r="G778" s="3"/>
      <c r="H778" s="3"/>
    </row>
    <row r="779">
      <c r="A779" s="2">
        <f>IFERROR(__xludf.DUMMYFUNCTION("""COMPUTED_VALUE"""),11506.0)</f>
        <v>11506</v>
      </c>
      <c r="B779" s="3" t="str">
        <f>IFERROR(__xludf.DUMMYFUNCTION("""COMPUTED_VALUE"""),"5749 WESTVIEW PK")</f>
        <v>5749 WESTVIEW PK</v>
      </c>
      <c r="C779" s="3" t="str">
        <f>IFERROR(__xludf.DUMMYFUNCTION("""COMPUTED_VALUE"""),"PORT HOPE")</f>
        <v>PORT HOPE</v>
      </c>
      <c r="D779" s="3" t="str">
        <f>IFERROR(__xludf.DUMMYFUNCTION("""COMPUTED_VALUE"""),"L1A 3V8")</f>
        <v>L1A 3V8</v>
      </c>
      <c r="E779" s="3" t="str">
        <f>IFERROR(__xludf.DUMMYFUNCTION("""COMPUTED_VALUE"""),"Ron Cullen")</f>
        <v>Ron Cullen</v>
      </c>
      <c r="F779" s="3" t="str">
        <f>IFERROR(__xludf.DUMMYFUNCTION("""COMPUTED_VALUE"""),"scron@yahoo.com")</f>
        <v>scron@yahoo.com</v>
      </c>
      <c r="G779" s="3"/>
      <c r="H779" s="3"/>
    </row>
    <row r="780">
      <c r="A780" s="2">
        <f>IFERROR(__xludf.DUMMYFUNCTION("""COMPUTED_VALUE"""),11507.0)</f>
        <v>11507</v>
      </c>
      <c r="B780" s="3" t="str">
        <f>IFERROR(__xludf.DUMMYFUNCTION("""COMPUTED_VALUE"""),"5750 WESTVIEW PK")</f>
        <v>5750 WESTVIEW PK</v>
      </c>
      <c r="C780" s="3" t="str">
        <f>IFERROR(__xludf.DUMMYFUNCTION("""COMPUTED_VALUE"""),"PORT HOPE")</f>
        <v>PORT HOPE</v>
      </c>
      <c r="D780" s="3" t="str">
        <f>IFERROR(__xludf.DUMMYFUNCTION("""COMPUTED_VALUE"""),"L1A 3V8")</f>
        <v>L1A 3V8</v>
      </c>
      <c r="E780" s="3" t="str">
        <f>IFERROR(__xludf.DUMMYFUNCTION("""COMPUTED_VALUE"""),"Michael Cook")</f>
        <v>Michael Cook</v>
      </c>
      <c r="F780" s="3" t="str">
        <f>IFERROR(__xludf.DUMMYFUNCTION("""COMPUTED_VALUE"""),"michaeljcook.mjc@gmail.com")</f>
        <v>michaeljcook.mjc@gmail.com</v>
      </c>
      <c r="G780" s="3"/>
      <c r="H780" s="3"/>
    </row>
    <row r="781">
      <c r="A781" s="2">
        <f>IFERROR(__xludf.DUMMYFUNCTION("""COMPUTED_VALUE"""),10145.0)</f>
        <v>10145</v>
      </c>
      <c r="B781" s="3" t="str">
        <f>IFERROR(__xludf.DUMMYFUNCTION("""COMPUTED_VALUE"""),"5751 6TH LINE")</f>
        <v>5751 6TH LINE</v>
      </c>
      <c r="C781" s="3" t="str">
        <f>IFERROR(__xludf.DUMMYFUNCTION("""COMPUTED_VALUE"""),"PORT HOPE")</f>
        <v>PORT HOPE</v>
      </c>
      <c r="D781" s="3" t="str">
        <f>IFERROR(__xludf.DUMMYFUNCTION("""COMPUTED_VALUE"""),"L1A 3V8")</f>
        <v>L1A 3V8</v>
      </c>
      <c r="E781" s="3" t="str">
        <f>IFERROR(__xludf.DUMMYFUNCTION("""COMPUTED_VALUE"""),"TIMOTHY RYPSTRA")</f>
        <v>TIMOTHY RYPSTRA</v>
      </c>
      <c r="F781" s="3" t="str">
        <f>IFERROR(__xludf.DUMMYFUNCTION("""COMPUTED_VALUE"""),"timrypstra84@gmail.com")</f>
        <v>timrypstra84@gmail.com</v>
      </c>
      <c r="G781" s="3"/>
      <c r="H781" s="3"/>
    </row>
    <row r="782">
      <c r="A782" s="2">
        <f>IFERROR(__xludf.DUMMYFUNCTION("""COMPUTED_VALUE"""),10146.0)</f>
        <v>10146</v>
      </c>
      <c r="B782" s="3" t="str">
        <f>IFERROR(__xludf.DUMMYFUNCTION("""COMPUTED_VALUE"""),"5752 6TH LINE")</f>
        <v>5752 6TH LINE</v>
      </c>
      <c r="C782" s="3" t="str">
        <f>IFERROR(__xludf.DUMMYFUNCTION("""COMPUTED_VALUE"""),"PORT HOPE")</f>
        <v>PORT HOPE</v>
      </c>
      <c r="D782" s="3" t="str">
        <f>IFERROR(__xludf.DUMMYFUNCTION("""COMPUTED_VALUE"""),"L1A 3V8")</f>
        <v>L1A 3V8</v>
      </c>
      <c r="E782" s="3" t="str">
        <f>IFERROR(__xludf.DUMMYFUNCTION("""COMPUTED_VALUE"""),"Alex Steele ")</f>
        <v>Alex Steele </v>
      </c>
      <c r="F782" s="3" t="str">
        <f>IFERROR(__xludf.DUMMYFUNCTION("""COMPUTED_VALUE"""),"Alexandersteele7@gmail.com")</f>
        <v>Alexandersteele7@gmail.com</v>
      </c>
      <c r="G782" s="3"/>
      <c r="H782" s="3"/>
    </row>
    <row r="783">
      <c r="A783" s="2">
        <f>IFERROR(__xludf.DUMMYFUNCTION("""COMPUTED_VALUE"""),10853.0)</f>
        <v>10853</v>
      </c>
      <c r="B783" s="3" t="str">
        <f>IFERROR(__xludf.DUMMYFUNCTION("""COMPUTED_VALUE"""),"5753 EVERTSON RD")</f>
        <v>5753 EVERTSON RD</v>
      </c>
      <c r="C783" s="3" t="str">
        <f>IFERROR(__xludf.DUMMYFUNCTION("""COMPUTED_VALUE"""),"BAILIEBORO")</f>
        <v>BAILIEBORO</v>
      </c>
      <c r="D783" s="3" t="str">
        <f>IFERROR(__xludf.DUMMYFUNCTION("""COMPUTED_VALUE"""),"K0L 1B0")</f>
        <v>K0L 1B0</v>
      </c>
      <c r="E783" s="3" t="str">
        <f>IFERROR(__xludf.DUMMYFUNCTION("""COMPUTED_VALUE"""),"Glen &amp; Heather Evertsen")</f>
        <v>Glen &amp; Heather Evertsen</v>
      </c>
      <c r="F783" s="3" t="str">
        <f>IFERROR(__xludf.DUMMYFUNCTION("""COMPUTED_VALUE"""),"ghevertsen@yahoo.ca")</f>
        <v>ghevertsen@yahoo.ca</v>
      </c>
      <c r="G783" s="3"/>
      <c r="H783" s="3"/>
    </row>
    <row r="784">
      <c r="A784" s="2">
        <f>IFERROR(__xludf.DUMMYFUNCTION("""COMPUTED_VALUE"""),11508.0)</f>
        <v>11508</v>
      </c>
      <c r="B784" s="3" t="str">
        <f>IFERROR(__xludf.DUMMYFUNCTION("""COMPUTED_VALUE"""),"5753 WESTVIEW PK")</f>
        <v>5753 WESTVIEW PK</v>
      </c>
      <c r="C784" s="3" t="str">
        <f>IFERROR(__xludf.DUMMYFUNCTION("""COMPUTED_VALUE"""),"PORT HOPE")</f>
        <v>PORT HOPE</v>
      </c>
      <c r="D784" s="3" t="str">
        <f>IFERROR(__xludf.DUMMYFUNCTION("""COMPUTED_VALUE"""),"L1A 3V8")</f>
        <v>L1A 3V8</v>
      </c>
      <c r="E784" s="3" t="str">
        <f>IFERROR(__xludf.DUMMYFUNCTION("""COMPUTED_VALUE"""),"Heather Mitchell")</f>
        <v>Heather Mitchell</v>
      </c>
      <c r="F784" s="3" t="str">
        <f>IFERROR(__xludf.DUMMYFUNCTION("""COMPUTED_VALUE"""),"geomitchell@rogers.com")</f>
        <v>geomitchell@rogers.com</v>
      </c>
      <c r="G784" s="3"/>
      <c r="H784" s="3"/>
    </row>
    <row r="785">
      <c r="A785" s="2">
        <f>IFERROR(__xludf.DUMMYFUNCTION("""COMPUTED_VALUE"""),11509.0)</f>
        <v>11509</v>
      </c>
      <c r="B785" s="3" t="str">
        <f>IFERROR(__xludf.DUMMYFUNCTION("""COMPUTED_VALUE"""),"5754 WESTVIEW PK")</f>
        <v>5754 WESTVIEW PK</v>
      </c>
      <c r="C785" s="3" t="str">
        <f>IFERROR(__xludf.DUMMYFUNCTION("""COMPUTED_VALUE"""),"PORT HOPE")</f>
        <v>PORT HOPE</v>
      </c>
      <c r="D785" s="3" t="str">
        <f>IFERROR(__xludf.DUMMYFUNCTION("""COMPUTED_VALUE"""),"L1A 3V8")</f>
        <v>L1A 3V8</v>
      </c>
      <c r="E785" s="3" t="str">
        <f>IFERROR(__xludf.DUMMYFUNCTION("""COMPUTED_VALUE"""),"Donald Love ")</f>
        <v>Donald Love </v>
      </c>
      <c r="F785" s="3" t="str">
        <f>IFERROR(__xludf.DUMMYFUNCTION("""COMPUTED_VALUE"""),"donald.love19481948@gmail.com")</f>
        <v>donald.love19481948@gmail.com</v>
      </c>
      <c r="G785" s="3"/>
      <c r="H785" s="3"/>
    </row>
    <row r="786">
      <c r="A786" s="2">
        <f>IFERROR(__xludf.DUMMYFUNCTION("""COMPUTED_VALUE"""),11051.0)</f>
        <v>11051</v>
      </c>
      <c r="B786" s="3" t="str">
        <f>IFERROR(__xludf.DUMMYFUNCTION("""COMPUTED_VALUE"""),"5766 KNOXVILLE RD")</f>
        <v>5766 KNOXVILLE RD</v>
      </c>
      <c r="C786" s="3" t="str">
        <f>IFERROR(__xludf.DUMMYFUNCTION("""COMPUTED_VALUE"""),"PORT HOPE")</f>
        <v>PORT HOPE</v>
      </c>
      <c r="D786" s="3" t="str">
        <f>IFERROR(__xludf.DUMMYFUNCTION("""COMPUTED_VALUE"""),"L1A 3V8")</f>
        <v>L1A 3V8</v>
      </c>
      <c r="E786" s="3" t="str">
        <f>IFERROR(__xludf.DUMMYFUNCTION("""COMPUTED_VALUE"""),"Steve&amp; Lesley Mason")</f>
        <v>Steve&amp; Lesley Mason</v>
      </c>
      <c r="F786" s="3" t="str">
        <f>IFERROR(__xludf.DUMMYFUNCTION("""COMPUTED_VALUE"""),"smasoncan@gmail.com")</f>
        <v>smasoncan@gmail.com</v>
      </c>
      <c r="G786" s="3"/>
      <c r="H786" s="3"/>
    </row>
    <row r="787">
      <c r="A787" s="2">
        <f>IFERROR(__xludf.DUMMYFUNCTION("""COMPUTED_VALUE"""),11052.0)</f>
        <v>11052</v>
      </c>
      <c r="B787" s="3" t="str">
        <f>IFERROR(__xludf.DUMMYFUNCTION("""COMPUTED_VALUE"""),"5777 KNOXVILLE RD")</f>
        <v>5777 KNOXVILLE RD</v>
      </c>
      <c r="C787" s="3" t="str">
        <f>IFERROR(__xludf.DUMMYFUNCTION("""COMPUTED_VALUE"""),"PORT HOPE")</f>
        <v>PORT HOPE</v>
      </c>
      <c r="D787" s="3" t="str">
        <f>IFERROR(__xludf.DUMMYFUNCTION("""COMPUTED_VALUE"""),"L1A 3V8")</f>
        <v>L1A 3V8</v>
      </c>
      <c r="E787" s="3" t="str">
        <f>IFERROR(__xludf.DUMMYFUNCTION("""COMPUTED_VALUE"""),"Doug Smith ")</f>
        <v>Doug Smith </v>
      </c>
      <c r="F787" s="3" t="str">
        <f>IFERROR(__xludf.DUMMYFUNCTION("""COMPUTED_VALUE"""),"doughs54@hotmail.com")</f>
        <v>doughs54@hotmail.com</v>
      </c>
      <c r="G787" s="3"/>
      <c r="H787" s="3"/>
    </row>
    <row r="788">
      <c r="A788" s="2">
        <f>IFERROR(__xludf.DUMMYFUNCTION("""COMPUTED_VALUE"""),11053.0)</f>
        <v>11053</v>
      </c>
      <c r="B788" s="3" t="str">
        <f>IFERROR(__xludf.DUMMYFUNCTION("""COMPUTED_VALUE"""),"5786 KNOXVILLE RD")</f>
        <v>5786 KNOXVILLE RD</v>
      </c>
      <c r="C788" s="3" t="str">
        <f>IFERROR(__xludf.DUMMYFUNCTION("""COMPUTED_VALUE"""),"PORT HOPE")</f>
        <v>PORT HOPE</v>
      </c>
      <c r="D788" s="3" t="str">
        <f>IFERROR(__xludf.DUMMYFUNCTION("""COMPUTED_VALUE"""),"L1A 3V8")</f>
        <v>L1A 3V8</v>
      </c>
      <c r="E788" s="3"/>
      <c r="F788" s="3"/>
      <c r="G788" s="3"/>
      <c r="H788" s="3"/>
    </row>
    <row r="789">
      <c r="A789" s="2">
        <f>IFERROR(__xludf.DUMMYFUNCTION("""COMPUTED_VALUE"""),10100.0)</f>
        <v>10100</v>
      </c>
      <c r="B789" s="3" t="str">
        <f>IFERROR(__xludf.DUMMYFUNCTION("""COMPUTED_VALUE"""),"5787 5TH LINE")</f>
        <v>5787 5TH LINE</v>
      </c>
      <c r="C789" s="3" t="str">
        <f>IFERROR(__xludf.DUMMYFUNCTION("""COMPUTED_VALUE"""),"PORT HOPE")</f>
        <v>PORT HOPE</v>
      </c>
      <c r="D789" s="3" t="str">
        <f>IFERROR(__xludf.DUMMYFUNCTION("""COMPUTED_VALUE"""),"L1A 3V6")</f>
        <v>L1A 3V6</v>
      </c>
      <c r="E789" s="3"/>
      <c r="F789" s="3"/>
      <c r="G789" s="3"/>
      <c r="H789" s="3"/>
    </row>
    <row r="790">
      <c r="A790" s="2">
        <f>IFERROR(__xludf.DUMMYFUNCTION("""COMPUTED_VALUE"""),10482.0)</f>
        <v>10482</v>
      </c>
      <c r="B790" s="3" t="str">
        <f>IFERROR(__xludf.DUMMYFUNCTION("""COMPUTED_VALUE"""),"6254 COUNTY RD 10")</f>
        <v>6254 COUNTY RD 10</v>
      </c>
      <c r="C790" s="3" t="str">
        <f>IFERROR(__xludf.DUMMYFUNCTION("""COMPUTED_VALUE"""),"PORT HOPE")</f>
        <v>PORT HOPE</v>
      </c>
      <c r="D790" s="3" t="str">
        <f>IFERROR(__xludf.DUMMYFUNCTION("""COMPUTED_VALUE"""),"L1A 3V5")</f>
        <v>L1A 3V5</v>
      </c>
      <c r="E790" s="3"/>
      <c r="F790" s="3"/>
      <c r="G790" s="3"/>
      <c r="H790" s="3"/>
    </row>
    <row r="791">
      <c r="A791" s="2">
        <f>IFERROR(__xludf.DUMMYFUNCTION("""COMPUTED_VALUE"""),10101.0)</f>
        <v>10101</v>
      </c>
      <c r="B791" s="3" t="str">
        <f>IFERROR(__xludf.DUMMYFUNCTION("""COMPUTED_VALUE"""),"5799 5TH LINE")</f>
        <v>5799 5TH LINE</v>
      </c>
      <c r="C791" s="3" t="str">
        <f>IFERROR(__xludf.DUMMYFUNCTION("""COMPUTED_VALUE"""),"PORT HOPE")</f>
        <v>PORT HOPE</v>
      </c>
      <c r="D791" s="3" t="str">
        <f>IFERROR(__xludf.DUMMYFUNCTION("""COMPUTED_VALUE"""),"L1A 3V6")</f>
        <v>L1A 3V6</v>
      </c>
      <c r="E791" s="3"/>
      <c r="F791" s="3"/>
      <c r="G791" s="3"/>
      <c r="H791" s="3"/>
    </row>
    <row r="792">
      <c r="A792" s="2">
        <f>IFERROR(__xludf.DUMMYFUNCTION("""COMPUTED_VALUE"""),10200.0)</f>
        <v>10200</v>
      </c>
      <c r="B792" s="3" t="str">
        <f>IFERROR(__xludf.DUMMYFUNCTION("""COMPUTED_VALUE"""),"5800 7TH LINE")</f>
        <v>5800 7TH LINE</v>
      </c>
      <c r="C792" s="3" t="str">
        <f>IFERROR(__xludf.DUMMYFUNCTION("""COMPUTED_VALUE"""),"CAMPBELLCROFT")</f>
        <v>CAMPBELLCROFT</v>
      </c>
      <c r="D792" s="3" t="str">
        <f>IFERROR(__xludf.DUMMYFUNCTION("""COMPUTED_VALUE"""),"L0A 1B0")</f>
        <v>L0A 1B0</v>
      </c>
      <c r="E792" s="3" t="str">
        <f>IFERROR(__xludf.DUMMYFUNCTION("""COMPUTED_VALUE"""),"John Michael Christopher Routh")</f>
        <v>John Michael Christopher Routh</v>
      </c>
      <c r="F792" s="3" t="str">
        <f>IFERROR(__xludf.DUMMYFUNCTION("""COMPUTED_VALUE"""),"johnmcrouth@gmail.com")</f>
        <v>johnmcrouth@gmail.com</v>
      </c>
      <c r="G792" s="3"/>
      <c r="H792" s="3"/>
    </row>
    <row r="793">
      <c r="A793" s="2">
        <f>IFERROR(__xludf.DUMMYFUNCTION("""COMPUTED_VALUE"""),10638.0)</f>
        <v>10638</v>
      </c>
      <c r="B793" s="3" t="str">
        <f>IFERROR(__xludf.DUMMYFUNCTION("""COMPUTED_VALUE"""),"5839 COUNTY RD 28")</f>
        <v>5839 COUNTY RD 28</v>
      </c>
      <c r="C793" s="3" t="str">
        <f>IFERROR(__xludf.DUMMYFUNCTION("""COMPUTED_VALUE"""),"PORT HOPE")</f>
        <v>PORT HOPE</v>
      </c>
      <c r="D793" s="3" t="str">
        <f>IFERROR(__xludf.DUMMYFUNCTION("""COMPUTED_VALUE"""),"L1A 3V6")</f>
        <v>L1A 3V6</v>
      </c>
      <c r="E793" s="3" t="str">
        <f>IFERROR(__xludf.DUMMYFUNCTION("""COMPUTED_VALUE"""),"Dennis LAGROIS")</f>
        <v>Dennis LAGROIS</v>
      </c>
      <c r="F793" s="3" t="str">
        <f>IFERROR(__xludf.DUMMYFUNCTION("""COMPUTED_VALUE"""),"dlagrois@aol.com")</f>
        <v>dlagrois@aol.com</v>
      </c>
      <c r="G793" s="3"/>
      <c r="H793" s="3"/>
    </row>
    <row r="794">
      <c r="A794" s="2">
        <f>IFERROR(__xludf.DUMMYFUNCTION("""COMPUTED_VALUE"""),10678.0)</f>
        <v>10678</v>
      </c>
      <c r="B794" s="3" t="str">
        <f>IFERROR(__xludf.DUMMYFUNCTION("""COMPUTED_VALUE"""),"5868 COUNTY RD 65")</f>
        <v>5868 COUNTY RD 65</v>
      </c>
      <c r="C794" s="3" t="str">
        <f>IFERROR(__xludf.DUMMYFUNCTION("""COMPUTED_VALUE"""),"PORT HOPE")</f>
        <v>PORT HOPE</v>
      </c>
      <c r="D794" s="3" t="str">
        <f>IFERROR(__xludf.DUMMYFUNCTION("""COMPUTED_VALUE"""),"L1A 3V5")</f>
        <v>L1A 3V5</v>
      </c>
      <c r="E794" s="3"/>
      <c r="F794" s="3"/>
      <c r="G794" s="3"/>
      <c r="H794" s="3"/>
    </row>
    <row r="795">
      <c r="A795" s="2">
        <f>IFERROR(__xludf.DUMMYFUNCTION("""COMPUTED_VALUE"""),10734.0)</f>
        <v>10734</v>
      </c>
      <c r="B795" s="3" t="str">
        <f>IFERROR(__xludf.DUMMYFUNCTION("""COMPUTED_VALUE"""),"5871 DALE RD")</f>
        <v>5871 DALE RD</v>
      </c>
      <c r="C795" s="3" t="str">
        <f>IFERROR(__xludf.DUMMYFUNCTION("""COMPUTED_VALUE"""),"PORT HOPE")</f>
        <v>PORT HOPE</v>
      </c>
      <c r="D795" s="3" t="str">
        <f>IFERROR(__xludf.DUMMYFUNCTION("""COMPUTED_VALUE"""),"L1A 3V5")</f>
        <v>L1A 3V5</v>
      </c>
      <c r="E795" s="3"/>
      <c r="F795" s="3"/>
      <c r="G795" s="3"/>
      <c r="H795" s="3"/>
    </row>
    <row r="796">
      <c r="A796" s="2">
        <f>IFERROR(__xludf.DUMMYFUNCTION("""COMPUTED_VALUE"""),11237.0)</f>
        <v>11237</v>
      </c>
      <c r="B796" s="3" t="str">
        <f>IFERROR(__xludf.DUMMYFUNCTION("""COMPUTED_VALUE"""),"5875 MASTWOOD RD")</f>
        <v>5875 MASTWOOD RD</v>
      </c>
      <c r="C796" s="3" t="str">
        <f>IFERROR(__xludf.DUMMYFUNCTION("""COMPUTED_VALUE"""),"PORT HOPE")</f>
        <v>PORT HOPE</v>
      </c>
      <c r="D796" s="3" t="str">
        <f>IFERROR(__xludf.DUMMYFUNCTION("""COMPUTED_VALUE"""),"L1A 3V5")</f>
        <v>L1A 3V5</v>
      </c>
      <c r="E796" s="3"/>
      <c r="F796" s="3"/>
      <c r="G796" s="3"/>
      <c r="H796" s="3"/>
    </row>
    <row r="797">
      <c r="A797" s="2">
        <f>IFERROR(__xludf.DUMMYFUNCTION("""COMPUTED_VALUE"""),10201.0)</f>
        <v>10201</v>
      </c>
      <c r="B797" s="3" t="str">
        <f>IFERROR(__xludf.DUMMYFUNCTION("""COMPUTED_VALUE"""),"5885 7TH LINE")</f>
        <v>5885 7TH LINE</v>
      </c>
      <c r="C797" s="3" t="str">
        <f>IFERROR(__xludf.DUMMYFUNCTION("""COMPUTED_VALUE"""),"CAMPBELLCROFT")</f>
        <v>CAMPBELLCROFT</v>
      </c>
      <c r="D797" s="3" t="str">
        <f>IFERROR(__xludf.DUMMYFUNCTION("""COMPUTED_VALUE"""),"L0A 1B0")</f>
        <v>L0A 1B0</v>
      </c>
      <c r="E797" s="3" t="str">
        <f>IFERROR(__xludf.DUMMYFUNCTION("""COMPUTED_VALUE"""),"Dr. Steven Douglas Levinson")</f>
        <v>Dr. Steven Douglas Levinson</v>
      </c>
      <c r="F797" s="3" t="str">
        <f>IFERROR(__xludf.DUMMYFUNCTION("""COMPUTED_VALUE"""),"slevins22@gmail.com")</f>
        <v>slevins22@gmail.com</v>
      </c>
      <c r="G797" s="3"/>
      <c r="H797" s="3"/>
    </row>
    <row r="798">
      <c r="A798" s="2">
        <f>IFERROR(__xludf.DUMMYFUNCTION("""COMPUTED_VALUE"""),10103.0)</f>
        <v>10103</v>
      </c>
      <c r="B798" s="3" t="str">
        <f>IFERROR(__xludf.DUMMYFUNCTION("""COMPUTED_VALUE"""),"5888 5TH LINE")</f>
        <v>5888 5TH LINE</v>
      </c>
      <c r="C798" s="3" t="str">
        <f>IFERROR(__xludf.DUMMYFUNCTION("""COMPUTED_VALUE"""),"PORT HOPE")</f>
        <v>PORT HOPE</v>
      </c>
      <c r="D798" s="3" t="str">
        <f>IFERROR(__xludf.DUMMYFUNCTION("""COMPUTED_VALUE"""),"L1A 3V6")</f>
        <v>L1A 3V6</v>
      </c>
      <c r="E798" s="3" t="str">
        <f>IFERROR(__xludf.DUMMYFUNCTION("""COMPUTED_VALUE"""),"KARL SOETENS")</f>
        <v>KARL SOETENS</v>
      </c>
      <c r="F798" s="3" t="str">
        <f>IFERROR(__xludf.DUMMYFUNCTION("""COMPUTED_VALUE"""),"Ksoetens730@gmail.com")</f>
        <v>Ksoetens730@gmail.com</v>
      </c>
      <c r="G798" s="3"/>
      <c r="H798" s="3"/>
    </row>
    <row r="799">
      <c r="A799" s="2">
        <f>IFERROR(__xludf.DUMMYFUNCTION("""COMPUTED_VALUE"""),10202.0)</f>
        <v>10202</v>
      </c>
      <c r="B799" s="3" t="str">
        <f>IFERROR(__xludf.DUMMYFUNCTION("""COMPUTED_VALUE"""),"5890 7TH LINE")</f>
        <v>5890 7TH LINE</v>
      </c>
      <c r="C799" s="3" t="str">
        <f>IFERROR(__xludf.DUMMYFUNCTION("""COMPUTED_VALUE"""),"CAMPBELLCROFT")</f>
        <v>CAMPBELLCROFT</v>
      </c>
      <c r="D799" s="3" t="str">
        <f>IFERROR(__xludf.DUMMYFUNCTION("""COMPUTED_VALUE"""),"L0A 1B0")</f>
        <v>L0A 1B0</v>
      </c>
      <c r="E799" s="3" t="str">
        <f>IFERROR(__xludf.DUMMYFUNCTION("""COMPUTED_VALUE"""),"Ken Naylor")</f>
        <v>Ken Naylor</v>
      </c>
      <c r="F799" s="3" t="str">
        <f>IFERROR(__xludf.DUMMYFUNCTION("""COMPUTED_VALUE"""),"dnaylor17@yahoo.com")</f>
        <v>dnaylor17@yahoo.com</v>
      </c>
      <c r="G799" s="3"/>
      <c r="H799" s="3"/>
    </row>
    <row r="800">
      <c r="A800" s="2">
        <f>IFERROR(__xludf.DUMMYFUNCTION("""COMPUTED_VALUE"""),10203.0)</f>
        <v>10203</v>
      </c>
      <c r="B800" s="3" t="str">
        <f>IFERROR(__xludf.DUMMYFUNCTION("""COMPUTED_VALUE"""),"5922 7TH LINE")</f>
        <v>5922 7TH LINE</v>
      </c>
      <c r="C800" s="3" t="str">
        <f>IFERROR(__xludf.DUMMYFUNCTION("""COMPUTED_VALUE"""),"CAMPBELLCROFT")</f>
        <v>CAMPBELLCROFT</v>
      </c>
      <c r="D800" s="3" t="str">
        <f>IFERROR(__xludf.DUMMYFUNCTION("""COMPUTED_VALUE"""),"L0A 1B0")</f>
        <v>L0A 1B0</v>
      </c>
      <c r="E800" s="3" t="str">
        <f>IFERROR(__xludf.DUMMYFUNCTION("""COMPUTED_VALUE"""),"M Freeman")</f>
        <v>M Freeman</v>
      </c>
      <c r="F800" s="3" t="str">
        <f>IFERROR(__xludf.DUMMYFUNCTION("""COMPUTED_VALUE"""),"mikro_cedar@hotmail.com")</f>
        <v>mikro_cedar@hotmail.com</v>
      </c>
      <c r="G800" s="3"/>
      <c r="H800" s="3"/>
    </row>
    <row r="801">
      <c r="A801" s="2">
        <f>IFERROR(__xludf.DUMMYFUNCTION("""COMPUTED_VALUE"""),10147.0)</f>
        <v>10147</v>
      </c>
      <c r="B801" s="3" t="str">
        <f>IFERROR(__xludf.DUMMYFUNCTION("""COMPUTED_VALUE"""),"5925 6TH LINE")</f>
        <v>5925 6TH LINE</v>
      </c>
      <c r="C801" s="3" t="str">
        <f>IFERROR(__xludf.DUMMYFUNCTION("""COMPUTED_VALUE"""),"PORT HOPE")</f>
        <v>PORT HOPE</v>
      </c>
      <c r="D801" s="3" t="str">
        <f>IFERROR(__xludf.DUMMYFUNCTION("""COMPUTED_VALUE"""),"L1A 3V8")</f>
        <v>L1A 3V8</v>
      </c>
      <c r="E801" s="3" t="str">
        <f>IFERROR(__xludf.DUMMYFUNCTION("""COMPUTED_VALUE"""),"Marilyn &amp; Garry Smith")</f>
        <v>Marilyn &amp; Garry Smith</v>
      </c>
      <c r="F801" s="3" t="str">
        <f>IFERROR(__xludf.DUMMYFUNCTION("""COMPUTED_VALUE"""),"rachsami231@gmail.com")</f>
        <v>rachsami231@gmail.com</v>
      </c>
      <c r="G801" s="3"/>
      <c r="H801" s="3"/>
    </row>
    <row r="802">
      <c r="A802" s="2">
        <f>IFERROR(__xludf.DUMMYFUNCTION("""COMPUTED_VALUE"""),10735.0)</f>
        <v>10735</v>
      </c>
      <c r="B802" s="3" t="str">
        <f>IFERROR(__xludf.DUMMYFUNCTION("""COMPUTED_VALUE"""),"5940 DALE RD A")</f>
        <v>5940 DALE RD A</v>
      </c>
      <c r="C802" s="3" t="str">
        <f>IFERROR(__xludf.DUMMYFUNCTION("""COMPUTED_VALUE"""),"PORT HOPE")</f>
        <v>PORT HOPE</v>
      </c>
      <c r="D802" s="3" t="str">
        <f>IFERROR(__xludf.DUMMYFUNCTION("""COMPUTED_VALUE"""),"L1A 3V5")</f>
        <v>L1A 3V5</v>
      </c>
      <c r="E802" s="3"/>
      <c r="F802" s="3"/>
      <c r="G802" s="3"/>
      <c r="H802" s="3"/>
    </row>
    <row r="803">
      <c r="A803" s="2">
        <f>IFERROR(__xludf.DUMMYFUNCTION("""COMPUTED_VALUE"""),10204.0)</f>
        <v>10204</v>
      </c>
      <c r="B803" s="3" t="str">
        <f>IFERROR(__xludf.DUMMYFUNCTION("""COMPUTED_VALUE"""),"5950 7TH LINE")</f>
        <v>5950 7TH LINE</v>
      </c>
      <c r="C803" s="3" t="str">
        <f>IFERROR(__xludf.DUMMYFUNCTION("""COMPUTED_VALUE"""),"CAMPBELLCROFT")</f>
        <v>CAMPBELLCROFT</v>
      </c>
      <c r="D803" s="3" t="str">
        <f>IFERROR(__xludf.DUMMYFUNCTION("""COMPUTED_VALUE"""),"L0A 1B0")</f>
        <v>L0A 1B0</v>
      </c>
      <c r="E803" s="3" t="str">
        <f>IFERROR(__xludf.DUMMYFUNCTION("""COMPUTED_VALUE"""),"Brendan Kerin")</f>
        <v>Brendan Kerin</v>
      </c>
      <c r="F803" s="3" t="str">
        <f>IFERROR(__xludf.DUMMYFUNCTION("""COMPUTED_VALUE"""),"brendankerin@protonmail.com")</f>
        <v>brendankerin@protonmail.com</v>
      </c>
      <c r="G803" s="3"/>
      <c r="H803" s="3"/>
    </row>
    <row r="804">
      <c r="A804" s="2">
        <f>IFERROR(__xludf.DUMMYFUNCTION("""COMPUTED_VALUE"""),10205.0)</f>
        <v>10205</v>
      </c>
      <c r="B804" s="3" t="str">
        <f>IFERROR(__xludf.DUMMYFUNCTION("""COMPUTED_VALUE"""),"5974 7TH LINE")</f>
        <v>5974 7TH LINE</v>
      </c>
      <c r="C804" s="3" t="str">
        <f>IFERROR(__xludf.DUMMYFUNCTION("""COMPUTED_VALUE"""),"CAMPBELLCROFT")</f>
        <v>CAMPBELLCROFT</v>
      </c>
      <c r="D804" s="3" t="str">
        <f>IFERROR(__xludf.DUMMYFUNCTION("""COMPUTED_VALUE"""),"L0A 1B0")</f>
        <v>L0A 1B0</v>
      </c>
      <c r="E804" s="3" t="str">
        <f>IFERROR(__xludf.DUMMYFUNCTION("""COMPUTED_VALUE"""),"Brandon Bliss")</f>
        <v>Brandon Bliss</v>
      </c>
      <c r="F804" s="3"/>
      <c r="G804" s="3"/>
      <c r="H804" s="3"/>
    </row>
    <row r="805">
      <c r="A805" s="2">
        <f>IFERROR(__xludf.DUMMYFUNCTION("""COMPUTED_VALUE"""),10736.0)</f>
        <v>10736</v>
      </c>
      <c r="B805" s="3" t="str">
        <f>IFERROR(__xludf.DUMMYFUNCTION("""COMPUTED_VALUE"""),"5981 DALE RD")</f>
        <v>5981 DALE RD</v>
      </c>
      <c r="C805" s="3" t="str">
        <f>IFERROR(__xludf.DUMMYFUNCTION("""COMPUTED_VALUE"""),"PORT HOPE")</f>
        <v>PORT HOPE</v>
      </c>
      <c r="D805" s="3" t="str">
        <f>IFERROR(__xludf.DUMMYFUNCTION("""COMPUTED_VALUE"""),"L1A 3V5")</f>
        <v>L1A 3V5</v>
      </c>
      <c r="E805" s="3" t="str">
        <f>IFERROR(__xludf.DUMMYFUNCTION("""COMPUTED_VALUE"""),"ANDREW KILEEG")</f>
        <v>ANDREW KILEEG</v>
      </c>
      <c r="F805" s="3" t="str">
        <f>IFERROR(__xludf.DUMMYFUNCTION("""COMPUTED_VALUE"""),"andrew.kileeg@gmail.com")</f>
        <v>andrew.kileeg@gmail.com</v>
      </c>
      <c r="G805" s="3"/>
      <c r="H805" s="3"/>
    </row>
    <row r="806">
      <c r="A806" s="2">
        <f>IFERROR(__xludf.DUMMYFUNCTION("""COMPUTED_VALUE"""),11239.0)</f>
        <v>11239</v>
      </c>
      <c r="B806" s="3" t="str">
        <f>IFERROR(__xludf.DUMMYFUNCTION("""COMPUTED_VALUE"""),"5990 MASTWOOD RD")</f>
        <v>5990 MASTWOOD RD</v>
      </c>
      <c r="C806" s="3" t="str">
        <f>IFERROR(__xludf.DUMMYFUNCTION("""COMPUTED_VALUE"""),"PORT HOPE")</f>
        <v>PORT HOPE</v>
      </c>
      <c r="D806" s="3" t="str">
        <f>IFERROR(__xludf.DUMMYFUNCTION("""COMPUTED_VALUE"""),"L1A 3V5")</f>
        <v>L1A 3V5</v>
      </c>
      <c r="E806" s="3"/>
      <c r="F806" s="3"/>
      <c r="G806" s="3"/>
      <c r="H806" s="3"/>
    </row>
    <row r="807">
      <c r="A807" s="2">
        <f>IFERROR(__xludf.DUMMYFUNCTION("""COMPUTED_VALUE"""),10680.0)</f>
        <v>10680</v>
      </c>
      <c r="B807" s="3" t="str">
        <f>IFERROR(__xludf.DUMMYFUNCTION("""COMPUTED_VALUE"""),"5990 COUNTY RD 65")</f>
        <v>5990 COUNTY RD 65</v>
      </c>
      <c r="C807" s="3" t="str">
        <f>IFERROR(__xludf.DUMMYFUNCTION("""COMPUTED_VALUE"""),"PORT HOPE")</f>
        <v>PORT HOPE</v>
      </c>
      <c r="D807" s="3" t="str">
        <f>IFERROR(__xludf.DUMMYFUNCTION("""COMPUTED_VALUE"""),"L1A 3V5")</f>
        <v>L1A 3V5</v>
      </c>
      <c r="E807" s="3" t="str">
        <f>IFERROR(__xludf.DUMMYFUNCTION("""COMPUTED_VALUE"""),"Amanda &amp; Matthew Duncan")</f>
        <v>Amanda &amp; Matthew Duncan</v>
      </c>
      <c r="F807" s="3" t="str">
        <f>IFERROR(__xludf.DUMMYFUNCTION("""COMPUTED_VALUE"""),"amandakjduncan@gmail.com")</f>
        <v>amandakjduncan@gmail.com</v>
      </c>
      <c r="G807" s="3"/>
      <c r="H807" s="3"/>
    </row>
    <row r="808">
      <c r="A808" s="2">
        <f>IFERROR(__xludf.DUMMYFUNCTION("""COMPUTED_VALUE"""),10681.0)</f>
        <v>10681</v>
      </c>
      <c r="B808" s="3" t="str">
        <f>IFERROR(__xludf.DUMMYFUNCTION("""COMPUTED_VALUE"""),"5992 COUNTY RD 65")</f>
        <v>5992 COUNTY RD 65</v>
      </c>
      <c r="C808" s="3" t="str">
        <f>IFERROR(__xludf.DUMMYFUNCTION("""COMPUTED_VALUE"""),"PORT HOPE")</f>
        <v>PORT HOPE</v>
      </c>
      <c r="D808" s="3" t="str">
        <f>IFERROR(__xludf.DUMMYFUNCTION("""COMPUTED_VALUE"""),"L1A 3V5")</f>
        <v>L1A 3V5</v>
      </c>
      <c r="E808" s="3" t="str">
        <f>IFERROR(__xludf.DUMMYFUNCTION("""COMPUTED_VALUE"""),"Kyletoms")</f>
        <v>Kyletoms</v>
      </c>
      <c r="F808" s="3" t="str">
        <f>IFERROR(__xludf.DUMMYFUNCTION("""COMPUTED_VALUE"""),"kyle_toms@hotmail.com")</f>
        <v>kyle_toms@hotmail.com</v>
      </c>
      <c r="G808" s="3"/>
      <c r="H808" s="3"/>
    </row>
    <row r="809">
      <c r="A809" s="2">
        <f>IFERROR(__xludf.DUMMYFUNCTION("""COMPUTED_VALUE"""),10682.0)</f>
        <v>10682</v>
      </c>
      <c r="B809" s="3" t="str">
        <f>IFERROR(__xludf.DUMMYFUNCTION("""COMPUTED_VALUE"""),"5996 COUNTY RD 65")</f>
        <v>5996 COUNTY RD 65</v>
      </c>
      <c r="C809" s="3" t="str">
        <f>IFERROR(__xludf.DUMMYFUNCTION("""COMPUTED_VALUE"""),"PORT HOPE")</f>
        <v>PORT HOPE</v>
      </c>
      <c r="D809" s="3" t="str">
        <f>IFERROR(__xludf.DUMMYFUNCTION("""COMPUTED_VALUE"""),"L1A 3V5")</f>
        <v>L1A 3V5</v>
      </c>
      <c r="E809" s="3" t="str">
        <f>IFERROR(__xludf.DUMMYFUNCTION("""COMPUTED_VALUE"""),"j, bowman")</f>
        <v>j, bowman</v>
      </c>
      <c r="F809" s="3"/>
      <c r="G809" s="3"/>
      <c r="H809" s="3"/>
    </row>
    <row r="810">
      <c r="A810" s="2">
        <f>IFERROR(__xludf.DUMMYFUNCTION("""COMPUTED_VALUE"""),10683.0)</f>
        <v>10683</v>
      </c>
      <c r="B810" s="3" t="str">
        <f>IFERROR(__xludf.DUMMYFUNCTION("""COMPUTED_VALUE"""),"5998 COUNTY RD 65")</f>
        <v>5998 COUNTY RD 65</v>
      </c>
      <c r="C810" s="3" t="str">
        <f>IFERROR(__xludf.DUMMYFUNCTION("""COMPUTED_VALUE"""),"PORT HOPE")</f>
        <v>PORT HOPE</v>
      </c>
      <c r="D810" s="3" t="str">
        <f>IFERROR(__xludf.DUMMYFUNCTION("""COMPUTED_VALUE"""),"L1A 3V5")</f>
        <v>L1A 3V5</v>
      </c>
      <c r="E810" s="3"/>
      <c r="F810" s="3"/>
      <c r="G810" s="3"/>
      <c r="H810" s="3"/>
    </row>
    <row r="811">
      <c r="A811" s="2">
        <f>IFERROR(__xludf.DUMMYFUNCTION("""COMPUTED_VALUE"""),10684.0)</f>
        <v>10684</v>
      </c>
      <c r="B811" s="3" t="str">
        <f>IFERROR(__xludf.DUMMYFUNCTION("""COMPUTED_VALUE"""),"6011 COUNTY RD 65")</f>
        <v>6011 COUNTY RD 65</v>
      </c>
      <c r="C811" s="3" t="str">
        <f>IFERROR(__xludf.DUMMYFUNCTION("""COMPUTED_VALUE"""),"PORT HOPE")</f>
        <v>PORT HOPE</v>
      </c>
      <c r="D811" s="3" t="str">
        <f>IFERROR(__xludf.DUMMYFUNCTION("""COMPUTED_VALUE"""),"L1A 3V5")</f>
        <v>L1A 3V5</v>
      </c>
      <c r="E811" s="3"/>
      <c r="F811" s="3"/>
      <c r="G811" s="3"/>
      <c r="H811" s="3"/>
    </row>
    <row r="812">
      <c r="A812" s="2">
        <f>IFERROR(__xludf.DUMMYFUNCTION("""COMPUTED_VALUE"""),10685.0)</f>
        <v>10685</v>
      </c>
      <c r="B812" s="3" t="str">
        <f>IFERROR(__xludf.DUMMYFUNCTION("""COMPUTED_VALUE"""),"6014 COUNTY RD 65")</f>
        <v>6014 COUNTY RD 65</v>
      </c>
      <c r="C812" s="3" t="str">
        <f>IFERROR(__xludf.DUMMYFUNCTION("""COMPUTED_VALUE"""),"PORT HOPE")</f>
        <v>PORT HOPE</v>
      </c>
      <c r="D812" s="3" t="str">
        <f>IFERROR(__xludf.DUMMYFUNCTION("""COMPUTED_VALUE"""),"L1A 3V5")</f>
        <v>L1A 3V5</v>
      </c>
      <c r="E812" s="3" t="str">
        <f>IFERROR(__xludf.DUMMYFUNCTION("""COMPUTED_VALUE"""),"TYLER ROBINSON")</f>
        <v>TYLER ROBINSON</v>
      </c>
      <c r="F812" s="3" t="str">
        <f>IFERROR(__xludf.DUMMYFUNCTION("""COMPUTED_VALUE"""),"rocksteady44@hotmail.com")</f>
        <v>rocksteady44@hotmail.com</v>
      </c>
      <c r="G812" s="3"/>
      <c r="H812" s="3"/>
    </row>
    <row r="813">
      <c r="A813" s="2">
        <f>IFERROR(__xludf.DUMMYFUNCTION("""COMPUTED_VALUE"""),10286.0)</f>
        <v>10286</v>
      </c>
      <c r="B813" s="3" t="str">
        <f>IFERROR(__xludf.DUMMYFUNCTION("""COMPUTED_VALUE"""),"6035 BELLS HILL RD")</f>
        <v>6035 BELLS HILL RD</v>
      </c>
      <c r="C813" s="3" t="str">
        <f>IFERROR(__xludf.DUMMYFUNCTION("""COMPUTED_VALUE"""),"PORT HOPE")</f>
        <v>PORT HOPE</v>
      </c>
      <c r="D813" s="3" t="str">
        <f>IFERROR(__xludf.DUMMYFUNCTION("""COMPUTED_VALUE"""),"L1A 3V5")</f>
        <v>L1A 3V5</v>
      </c>
      <c r="E813" s="3" t="str">
        <f>IFERROR(__xludf.DUMMYFUNCTION("""COMPUTED_VALUE"""),"Jesse Andrews /jennifer Thornbury")</f>
        <v>Jesse Andrews /jennifer Thornbury</v>
      </c>
      <c r="F813" s="3" t="str">
        <f>IFERROR(__xludf.DUMMYFUNCTION("""COMPUTED_VALUE"""),"ballygirl74@hotmail.com")</f>
        <v>ballygirl74@hotmail.com</v>
      </c>
      <c r="G813" s="3"/>
      <c r="H813" s="3"/>
    </row>
    <row r="814">
      <c r="A814" s="2">
        <f>IFERROR(__xludf.DUMMYFUNCTION("""COMPUTED_VALUE"""),10639.0)</f>
        <v>10639</v>
      </c>
      <c r="B814" s="3" t="str">
        <f>IFERROR(__xludf.DUMMYFUNCTION("""COMPUTED_VALUE"""),"6043 COUNTY RD 28")</f>
        <v>6043 COUNTY RD 28</v>
      </c>
      <c r="C814" s="3" t="str">
        <f>IFERROR(__xludf.DUMMYFUNCTION("""COMPUTED_VALUE"""),"PORT HOPE")</f>
        <v>PORT HOPE</v>
      </c>
      <c r="D814" s="3" t="str">
        <f>IFERROR(__xludf.DUMMYFUNCTION("""COMPUTED_VALUE"""),"L1A 3V6")</f>
        <v>L1A 3V6</v>
      </c>
      <c r="E814" s="3"/>
      <c r="F814" s="3"/>
      <c r="G814" s="3"/>
      <c r="H814" s="3"/>
    </row>
    <row r="815">
      <c r="A815" s="2">
        <f>IFERROR(__xludf.DUMMYFUNCTION("""COMPUTED_VALUE"""),10057.0)</f>
        <v>10057</v>
      </c>
      <c r="B815" s="3" t="str">
        <f>IFERROR(__xludf.DUMMYFUNCTION("""COMPUTED_VALUE"""),"6055 4TH LINE")</f>
        <v>6055 4TH LINE</v>
      </c>
      <c r="C815" s="3" t="str">
        <f>IFERROR(__xludf.DUMMYFUNCTION("""COMPUTED_VALUE"""),"PORT HOPE")</f>
        <v>PORT HOPE</v>
      </c>
      <c r="D815" s="3" t="str">
        <f>IFERROR(__xludf.DUMMYFUNCTION("""COMPUTED_VALUE"""),"L1A 3V8")</f>
        <v>L1A 3V8</v>
      </c>
      <c r="E815" s="3" t="str">
        <f>IFERROR(__xludf.DUMMYFUNCTION("""COMPUTED_VALUE"""),"Cathy Stapleton")</f>
        <v>Cathy Stapleton</v>
      </c>
      <c r="F815" s="3" t="str">
        <f>IFERROR(__xludf.DUMMYFUNCTION("""COMPUTED_VALUE"""),"cathykelly91@gmail.com")</f>
        <v>cathykelly91@gmail.com</v>
      </c>
      <c r="G815" s="3"/>
      <c r="H815" s="3"/>
    </row>
    <row r="816">
      <c r="A816" s="2">
        <f>IFERROR(__xludf.DUMMYFUNCTION("""COMPUTED_VALUE"""),10640.0)</f>
        <v>10640</v>
      </c>
      <c r="B816" s="3" t="str">
        <f>IFERROR(__xludf.DUMMYFUNCTION("""COMPUTED_VALUE"""),"6065 COUNTY RD 28")</f>
        <v>6065 COUNTY RD 28</v>
      </c>
      <c r="C816" s="3" t="str">
        <f>IFERROR(__xludf.DUMMYFUNCTION("""COMPUTED_VALUE"""),"PORT HOPE")</f>
        <v>PORT HOPE</v>
      </c>
      <c r="D816" s="3" t="str">
        <f>IFERROR(__xludf.DUMMYFUNCTION("""COMPUTED_VALUE"""),"L1A 3V6")</f>
        <v>L1A 3V6</v>
      </c>
      <c r="E816" s="3" t="str">
        <f>IFERROR(__xludf.DUMMYFUNCTION("""COMPUTED_VALUE"""),"Greg &amp; Jill Williams ")</f>
        <v>Greg &amp; Jill Williams </v>
      </c>
      <c r="F816" s="3" t="str">
        <f>IFERROR(__xludf.DUMMYFUNCTION("""COMPUTED_VALUE"""),"weasywilliams@gmail.com")</f>
        <v>weasywilliams@gmail.com</v>
      </c>
      <c r="G816" s="3"/>
      <c r="H816" s="3"/>
    </row>
    <row r="817">
      <c r="A817" s="2">
        <f>IFERROR(__xludf.DUMMYFUNCTION("""COMPUTED_VALUE"""),11054.0)</f>
        <v>11054</v>
      </c>
      <c r="B817" s="3" t="str">
        <f>IFERROR(__xludf.DUMMYFUNCTION("""COMPUTED_VALUE"""),"6070 KNOXVILLE RD")</f>
        <v>6070 KNOXVILLE RD</v>
      </c>
      <c r="C817" s="3" t="str">
        <f>IFERROR(__xludf.DUMMYFUNCTION("""COMPUTED_VALUE"""),"PORT HOPE")</f>
        <v>PORT HOPE</v>
      </c>
      <c r="D817" s="3" t="str">
        <f>IFERROR(__xludf.DUMMYFUNCTION("""COMPUTED_VALUE"""),"L1A 3V8")</f>
        <v>L1A 3V8</v>
      </c>
      <c r="E817" s="3" t="str">
        <f>IFERROR(__xludf.DUMMYFUNCTION("""COMPUTED_VALUE"""),"Marg stark ")</f>
        <v>Marg stark </v>
      </c>
      <c r="F817" s="3" t="str">
        <f>IFERROR(__xludf.DUMMYFUNCTION("""COMPUTED_VALUE"""),"Mumqe@gmail.com")</f>
        <v>Mumqe@gmail.com</v>
      </c>
      <c r="G817" s="3"/>
      <c r="H817" s="3"/>
    </row>
    <row r="818">
      <c r="A818" s="2">
        <f>IFERROR(__xludf.DUMMYFUNCTION("""COMPUTED_VALUE"""),11055.0)</f>
        <v>11055</v>
      </c>
      <c r="B818" s="3" t="str">
        <f>IFERROR(__xludf.DUMMYFUNCTION("""COMPUTED_VALUE"""),"6083 KNOXVILLE RD")</f>
        <v>6083 KNOXVILLE RD</v>
      </c>
      <c r="C818" s="3" t="str">
        <f>IFERROR(__xludf.DUMMYFUNCTION("""COMPUTED_VALUE"""),"PORT HOPE")</f>
        <v>PORT HOPE</v>
      </c>
      <c r="D818" s="3" t="str">
        <f>IFERROR(__xludf.DUMMYFUNCTION("""COMPUTED_VALUE"""),"L1A 3V8")</f>
        <v>L1A 3V8</v>
      </c>
      <c r="E818" s="3" t="str">
        <f>IFERROR(__xludf.DUMMYFUNCTION("""COMPUTED_VALUE"""),"lorrie morley")</f>
        <v>lorrie morley</v>
      </c>
      <c r="F818" s="3" t="str">
        <f>IFERROR(__xludf.DUMMYFUNCTION("""COMPUTED_VALUE"""),"lmorley@me.com")</f>
        <v>lmorley@me.com</v>
      </c>
      <c r="G818" s="3"/>
      <c r="H818" s="3"/>
    </row>
    <row r="819">
      <c r="A819" s="2">
        <f>IFERROR(__xludf.DUMMYFUNCTION("""COMPUTED_VALUE"""),10058.0)</f>
        <v>10058</v>
      </c>
      <c r="B819" s="3" t="str">
        <f>IFERROR(__xludf.DUMMYFUNCTION("""COMPUTED_VALUE"""),"6094 4TH LINE")</f>
        <v>6094 4TH LINE</v>
      </c>
      <c r="C819" s="3" t="str">
        <f>IFERROR(__xludf.DUMMYFUNCTION("""COMPUTED_VALUE"""),"PORT HOPE")</f>
        <v>PORT HOPE</v>
      </c>
      <c r="D819" s="3" t="str">
        <f>IFERROR(__xludf.DUMMYFUNCTION("""COMPUTED_VALUE"""),"L1A 3V8")</f>
        <v>L1A 3V8</v>
      </c>
      <c r="E819" s="3" t="str">
        <f>IFERROR(__xludf.DUMMYFUNCTION("""COMPUTED_VALUE"""),"judith austin")</f>
        <v>judith austin</v>
      </c>
      <c r="F819" s="3"/>
      <c r="G819" s="3"/>
      <c r="H819" s="3"/>
    </row>
    <row r="820">
      <c r="A820" s="2">
        <f>IFERROR(__xludf.DUMMYFUNCTION("""COMPUTED_VALUE"""),10206.0)</f>
        <v>10206</v>
      </c>
      <c r="B820" s="3" t="str">
        <f>IFERROR(__xludf.DUMMYFUNCTION("""COMPUTED_VALUE"""),"6097 7TH LINE")</f>
        <v>6097 7TH LINE</v>
      </c>
      <c r="C820" s="3" t="str">
        <f>IFERROR(__xludf.DUMMYFUNCTION("""COMPUTED_VALUE"""),"CAMPBELLCROFT")</f>
        <v>CAMPBELLCROFT</v>
      </c>
      <c r="D820" s="3" t="str">
        <f>IFERROR(__xludf.DUMMYFUNCTION("""COMPUTED_VALUE"""),"L0A 1B0")</f>
        <v>L0A 1B0</v>
      </c>
      <c r="E820" s="3" t="str">
        <f>IFERROR(__xludf.DUMMYFUNCTION("""COMPUTED_VALUE"""),"Andy Coffin")</f>
        <v>Andy Coffin</v>
      </c>
      <c r="F820" s="3" t="str">
        <f>IFERROR(__xludf.DUMMYFUNCTION("""COMPUTED_VALUE"""),"andyjcoffin@gmail.com")</f>
        <v>andyjcoffin@gmail.com</v>
      </c>
      <c r="G820" s="3"/>
      <c r="H820" s="3"/>
    </row>
    <row r="821">
      <c r="A821" s="2">
        <f>IFERROR(__xludf.DUMMYFUNCTION("""COMPUTED_VALUE"""),10686.0)</f>
        <v>10686</v>
      </c>
      <c r="B821" s="3" t="str">
        <f>IFERROR(__xludf.DUMMYFUNCTION("""COMPUTED_VALUE"""),"6097 COUNTY RD 65")</f>
        <v>6097 COUNTY RD 65</v>
      </c>
      <c r="C821" s="3" t="str">
        <f>IFERROR(__xludf.DUMMYFUNCTION("""COMPUTED_VALUE"""),"PORT HOPE")</f>
        <v>PORT HOPE</v>
      </c>
      <c r="D821" s="3" t="str">
        <f>IFERROR(__xludf.DUMMYFUNCTION("""COMPUTED_VALUE"""),"L1A 3V5")</f>
        <v>L1A 3V5</v>
      </c>
      <c r="E821" s="3"/>
      <c r="F821" s="3"/>
      <c r="G821" s="3"/>
      <c r="H821" s="3"/>
    </row>
    <row r="822">
      <c r="A822" s="2">
        <f>IFERROR(__xludf.DUMMYFUNCTION("""COMPUTED_VALUE"""),10287.0)</f>
        <v>10287</v>
      </c>
      <c r="B822" s="3" t="str">
        <f>IFERROR(__xludf.DUMMYFUNCTION("""COMPUTED_VALUE"""),"6098A BELL'S HILL RD")</f>
        <v>6098A BELL'S HILL RD</v>
      </c>
      <c r="C822" s="3" t="str">
        <f>IFERROR(__xludf.DUMMYFUNCTION("""COMPUTED_VALUE"""),"PORT HOPE")</f>
        <v>PORT HOPE</v>
      </c>
      <c r="D822" s="3" t="str">
        <f>IFERROR(__xludf.DUMMYFUNCTION("""COMPUTED_VALUE"""),"L1A 3V5")</f>
        <v>L1A 3V5</v>
      </c>
      <c r="E822" s="3" t="str">
        <f>IFERROR(__xludf.DUMMYFUNCTION("""COMPUTED_VALUE"""),"David Pereira")</f>
        <v>David Pereira</v>
      </c>
      <c r="F822" s="3" t="str">
        <f>IFERROR(__xludf.DUMMYFUNCTION("""COMPUTED_VALUE"""),"david.pereira.mobile@gmail.com")</f>
        <v>david.pereira.mobile@gmail.com</v>
      </c>
      <c r="G822" s="3"/>
      <c r="H822" s="3"/>
    </row>
    <row r="823">
      <c r="A823" s="2">
        <f>IFERROR(__xludf.DUMMYFUNCTION("""COMPUTED_VALUE"""),10207.0)</f>
        <v>10207</v>
      </c>
      <c r="B823" s="3" t="str">
        <f>IFERROR(__xludf.DUMMYFUNCTION("""COMPUTED_VALUE"""),"6127 7TH LINE")</f>
        <v>6127 7TH LINE</v>
      </c>
      <c r="C823" s="3" t="str">
        <f>IFERROR(__xludf.DUMMYFUNCTION("""COMPUTED_VALUE"""),"CAMPBELLCROFT")</f>
        <v>CAMPBELLCROFT</v>
      </c>
      <c r="D823" s="3" t="str">
        <f>IFERROR(__xludf.DUMMYFUNCTION("""COMPUTED_VALUE"""),"L0A 1B0")</f>
        <v>L0A 1B0</v>
      </c>
      <c r="E823" s="3"/>
      <c r="F823" s="3"/>
      <c r="G823" s="3"/>
      <c r="H823" s="3"/>
    </row>
    <row r="824">
      <c r="A824" s="2">
        <f>IFERROR(__xludf.DUMMYFUNCTION("""COMPUTED_VALUE"""),10208.0)</f>
        <v>10208</v>
      </c>
      <c r="B824" s="3" t="str">
        <f>IFERROR(__xludf.DUMMYFUNCTION("""COMPUTED_VALUE"""),"6131 7TH LINE")</f>
        <v>6131 7TH LINE</v>
      </c>
      <c r="C824" s="3" t="str">
        <f>IFERROR(__xludf.DUMMYFUNCTION("""COMPUTED_VALUE"""),"CAMPBELLCROFT")</f>
        <v>CAMPBELLCROFT</v>
      </c>
      <c r="D824" s="3" t="str">
        <f>IFERROR(__xludf.DUMMYFUNCTION("""COMPUTED_VALUE"""),"L0A 1B0")</f>
        <v>L0A 1B0</v>
      </c>
      <c r="E824" s="3" t="str">
        <f>IFERROR(__xludf.DUMMYFUNCTION("""COMPUTED_VALUE"""),"Anne Downing")</f>
        <v>Anne Downing</v>
      </c>
      <c r="F824" s="3" t="str">
        <f>IFERROR(__xludf.DUMMYFUNCTION("""COMPUTED_VALUE"""),"myowndragon@aol.com")</f>
        <v>myowndragon@aol.com</v>
      </c>
      <c r="G824" s="3"/>
      <c r="H824" s="3"/>
    </row>
    <row r="825">
      <c r="A825" s="2">
        <f>IFERROR(__xludf.DUMMYFUNCTION("""COMPUTED_VALUE"""),10104.0)</f>
        <v>10104</v>
      </c>
      <c r="B825" s="3" t="str">
        <f>IFERROR(__xludf.DUMMYFUNCTION("""COMPUTED_VALUE"""),"6145 5TH LINE")</f>
        <v>6145 5TH LINE</v>
      </c>
      <c r="C825" s="3" t="str">
        <f>IFERROR(__xludf.DUMMYFUNCTION("""COMPUTED_VALUE"""),"PORT HOPE")</f>
        <v>PORT HOPE</v>
      </c>
      <c r="D825" s="3" t="str">
        <f>IFERROR(__xludf.DUMMYFUNCTION("""COMPUTED_VALUE"""),"L1A 3V6")</f>
        <v>L1A 3V6</v>
      </c>
      <c r="E825" s="3"/>
      <c r="F825" s="3"/>
      <c r="G825" s="3"/>
      <c r="H825" s="3"/>
    </row>
    <row r="826">
      <c r="A826" s="2">
        <f>IFERROR(__xludf.DUMMYFUNCTION("""COMPUTED_VALUE"""),10360.0)</f>
        <v>10360</v>
      </c>
      <c r="B826" s="3" t="str">
        <f>IFERROR(__xludf.DUMMYFUNCTION("""COMPUTED_VALUE"""),"6166 CAMPBELL RD")</f>
        <v>6166 CAMPBELL RD</v>
      </c>
      <c r="C826" s="3" t="str">
        <f>IFERROR(__xludf.DUMMYFUNCTION("""COMPUTED_VALUE"""),"PORT HOPE")</f>
        <v>PORT HOPE</v>
      </c>
      <c r="D826" s="3" t="str">
        <f>IFERROR(__xludf.DUMMYFUNCTION("""COMPUTED_VALUE"""),"L1A 3V8")</f>
        <v>L1A 3V8</v>
      </c>
      <c r="E826" s="3" t="str">
        <f>IFERROR(__xludf.DUMMYFUNCTION("""COMPUTED_VALUE"""),"Lori-Ann Leigh")</f>
        <v>Lori-Ann Leigh</v>
      </c>
      <c r="F826" s="3" t="str">
        <f>IFERROR(__xludf.DUMMYFUNCTION("""COMPUTED_VALUE"""),"leighloriann@yahoo.ca ")</f>
        <v>leighloriann@yahoo.ca </v>
      </c>
      <c r="G826" s="3"/>
      <c r="H826" s="3"/>
    </row>
    <row r="827">
      <c r="A827" s="2">
        <f>IFERROR(__xludf.DUMMYFUNCTION("""COMPUTED_VALUE"""),11296.0)</f>
        <v>11296</v>
      </c>
      <c r="B827" s="3" t="str">
        <f>IFERROR(__xludf.DUMMYFUNCTION("""COMPUTED_VALUE"""),"6170 PARSONS RD")</f>
        <v>6170 PARSONS RD</v>
      </c>
      <c r="C827" s="3" t="str">
        <f>IFERROR(__xludf.DUMMYFUNCTION("""COMPUTED_VALUE"""),"NEWTONVILLE")</f>
        <v>NEWTONVILLE</v>
      </c>
      <c r="D827" s="3" t="str">
        <f>IFERROR(__xludf.DUMMYFUNCTION("""COMPUTED_VALUE"""),"L0A 1J0")</f>
        <v>L0A 1J0</v>
      </c>
      <c r="E827" s="3"/>
      <c r="F827" s="3"/>
      <c r="G827" s="3"/>
      <c r="H827" s="3"/>
    </row>
    <row r="828">
      <c r="A828" s="2">
        <f>IFERROR(__xludf.DUMMYFUNCTION("""COMPUTED_VALUE"""),11297.0)</f>
        <v>11297</v>
      </c>
      <c r="B828" s="3" t="str">
        <f>IFERROR(__xludf.DUMMYFUNCTION("""COMPUTED_VALUE"""),"6173 PARSONS RD")</f>
        <v>6173 PARSONS RD</v>
      </c>
      <c r="C828" s="3" t="str">
        <f>IFERROR(__xludf.DUMMYFUNCTION("""COMPUTED_VALUE"""),"NEWTONVILLE")</f>
        <v>NEWTONVILLE</v>
      </c>
      <c r="D828" s="3" t="str">
        <f>IFERROR(__xludf.DUMMYFUNCTION("""COMPUTED_VALUE"""),"L0A 1J0")</f>
        <v>L0A 1J0</v>
      </c>
      <c r="E828" s="3"/>
      <c r="F828" s="3"/>
      <c r="G828" s="3"/>
      <c r="H828" s="3"/>
    </row>
    <row r="829">
      <c r="A829" s="2">
        <f>IFERROR(__xludf.DUMMYFUNCTION("""COMPUTED_VALUE"""),10361.0)</f>
        <v>10361</v>
      </c>
      <c r="B829" s="3" t="str">
        <f>IFERROR(__xludf.DUMMYFUNCTION("""COMPUTED_VALUE"""),"6200 CAMPBELL RD")</f>
        <v>6200 CAMPBELL RD</v>
      </c>
      <c r="C829" s="3" t="str">
        <f>IFERROR(__xludf.DUMMYFUNCTION("""COMPUTED_VALUE"""),"PORT HOPE")</f>
        <v>PORT HOPE</v>
      </c>
      <c r="D829" s="3" t="str">
        <f>IFERROR(__xludf.DUMMYFUNCTION("""COMPUTED_VALUE"""),"L1A 3V8")</f>
        <v>L1A 3V8</v>
      </c>
      <c r="E829" s="3" t="str">
        <f>IFERROR(__xludf.DUMMYFUNCTION("""COMPUTED_VALUE"""),"BOB ADAMS")</f>
        <v>BOB ADAMS</v>
      </c>
      <c r="F829" s="3" t="str">
        <f>IFERROR(__xludf.DUMMYFUNCTION("""COMPUTED_VALUE"""),"shakeydad@gmail.com")</f>
        <v>shakeydad@gmail.com</v>
      </c>
      <c r="G829" s="3"/>
      <c r="H829" s="3"/>
    </row>
    <row r="830">
      <c r="A830" s="2">
        <f>IFERROR(__xludf.DUMMYFUNCTION("""COMPUTED_VALUE"""),10105.0)</f>
        <v>10105</v>
      </c>
      <c r="B830" s="3" t="str">
        <f>IFERROR(__xludf.DUMMYFUNCTION("""COMPUTED_VALUE"""),"6207 5TH LINE")</f>
        <v>6207 5TH LINE</v>
      </c>
      <c r="C830" s="3" t="str">
        <f>IFERROR(__xludf.DUMMYFUNCTION("""COMPUTED_VALUE"""),"PORT HOPE")</f>
        <v>PORT HOPE</v>
      </c>
      <c r="D830" s="3" t="str">
        <f>IFERROR(__xludf.DUMMYFUNCTION("""COMPUTED_VALUE"""),"L1A 3V6")</f>
        <v>L1A 3V6</v>
      </c>
      <c r="E830" s="3" t="str">
        <f>IFERROR(__xludf.DUMMYFUNCTION("""COMPUTED_VALUE"""),"daryll jeffrey")</f>
        <v>daryll jeffrey</v>
      </c>
      <c r="F830" s="3"/>
      <c r="G830" s="3"/>
      <c r="H830" s="3"/>
    </row>
    <row r="831">
      <c r="A831" s="2">
        <f>IFERROR(__xludf.DUMMYFUNCTION("""COMPUTED_VALUE"""),10059.0)</f>
        <v>10059</v>
      </c>
      <c r="B831" s="3" t="str">
        <f>IFERROR(__xludf.DUMMYFUNCTION("""COMPUTED_VALUE"""),"6210 4TH LINE")</f>
        <v>6210 4TH LINE</v>
      </c>
      <c r="C831" s="3" t="str">
        <f>IFERROR(__xludf.DUMMYFUNCTION("""COMPUTED_VALUE"""),"PORT HOPE")</f>
        <v>PORT HOPE</v>
      </c>
      <c r="D831" s="3" t="str">
        <f>IFERROR(__xludf.DUMMYFUNCTION("""COMPUTED_VALUE"""),"L1A 3V8")</f>
        <v>L1A 3V8</v>
      </c>
      <c r="E831" s="3" t="str">
        <f>IFERROR(__xludf.DUMMYFUNCTION("""COMPUTED_VALUE"""),"John Owen")</f>
        <v>John Owen</v>
      </c>
      <c r="F831" s="3"/>
      <c r="G831" s="3"/>
      <c r="H831" s="3"/>
    </row>
    <row r="832">
      <c r="A832" s="2">
        <f>IFERROR(__xludf.DUMMYFUNCTION("""COMPUTED_VALUE"""),10362.0)</f>
        <v>10362</v>
      </c>
      <c r="B832" s="3" t="str">
        <f>IFERROR(__xludf.DUMMYFUNCTION("""COMPUTED_VALUE"""),"6221 CAMPBELL RD")</f>
        <v>6221 CAMPBELL RD</v>
      </c>
      <c r="C832" s="3" t="str">
        <f>IFERROR(__xludf.DUMMYFUNCTION("""COMPUTED_VALUE"""),"PORT HOPE")</f>
        <v>PORT HOPE</v>
      </c>
      <c r="D832" s="3" t="str">
        <f>IFERROR(__xludf.DUMMYFUNCTION("""COMPUTED_VALUE"""),"L1A 3V8")</f>
        <v>L1A 3V8</v>
      </c>
      <c r="E832" s="3" t="str">
        <f>IFERROR(__xludf.DUMMYFUNCTION("""COMPUTED_VALUE"""),"Bruce Williamson")</f>
        <v>Bruce Williamson</v>
      </c>
      <c r="F832" s="3" t="str">
        <f>IFERROR(__xludf.DUMMYFUNCTION("""COMPUTED_VALUE"""),"bwilliamsonnhb.com@gmail.com")</f>
        <v>bwilliamsonnhb.com@gmail.com</v>
      </c>
      <c r="G832" s="3"/>
      <c r="H832" s="3"/>
    </row>
    <row r="833">
      <c r="A833" s="2">
        <f>IFERROR(__xludf.DUMMYFUNCTION("""COMPUTED_VALUE"""),10107.0)</f>
        <v>10107</v>
      </c>
      <c r="B833" s="3" t="str">
        <f>IFERROR(__xludf.DUMMYFUNCTION("""COMPUTED_VALUE"""),"6225 5TH LINE")</f>
        <v>6225 5TH LINE</v>
      </c>
      <c r="C833" s="3" t="str">
        <f>IFERROR(__xludf.DUMMYFUNCTION("""COMPUTED_VALUE"""),"PORT HOPE")</f>
        <v>PORT HOPE</v>
      </c>
      <c r="D833" s="3" t="str">
        <f>IFERROR(__xludf.DUMMYFUNCTION("""COMPUTED_VALUE"""),"L1A 3V6")</f>
        <v>L1A 3V6</v>
      </c>
      <c r="E833" s="3" t="str">
        <f>IFERROR(__xludf.DUMMYFUNCTION("""COMPUTED_VALUE"""),"Frank Bylsma ")</f>
        <v>Frank Bylsma </v>
      </c>
      <c r="F833" s="3"/>
      <c r="G833" s="3"/>
      <c r="H833" s="3"/>
    </row>
    <row r="834">
      <c r="A834" s="2">
        <f>IFERROR(__xludf.DUMMYFUNCTION("""COMPUTED_VALUE"""),10363.0)</f>
        <v>10363</v>
      </c>
      <c r="B834" s="3" t="str">
        <f>IFERROR(__xludf.DUMMYFUNCTION("""COMPUTED_VALUE"""),"6227 CAMPBELL RD")</f>
        <v>6227 CAMPBELL RD</v>
      </c>
      <c r="C834" s="3" t="str">
        <f>IFERROR(__xludf.DUMMYFUNCTION("""COMPUTED_VALUE"""),"PORT HOPE")</f>
        <v>PORT HOPE</v>
      </c>
      <c r="D834" s="3" t="str">
        <f>IFERROR(__xludf.DUMMYFUNCTION("""COMPUTED_VALUE"""),"L1A 3V8")</f>
        <v>L1A 3V8</v>
      </c>
      <c r="E834" s="3" t="str">
        <f>IFERROR(__xludf.DUMMYFUNCTION("""COMPUTED_VALUE"""),"Cameron Garland")</f>
        <v>Cameron Garland</v>
      </c>
      <c r="F834" s="3" t="str">
        <f>IFERROR(__xludf.DUMMYFUNCTION("""COMPUTED_VALUE"""),"cameron_bg@hotmail.com")</f>
        <v>cameron_bg@hotmail.com</v>
      </c>
      <c r="G834" s="3"/>
      <c r="H834" s="3"/>
    </row>
    <row r="835">
      <c r="A835" s="2">
        <f>IFERROR(__xludf.DUMMYFUNCTION("""COMPUTED_VALUE"""),10364.0)</f>
        <v>10364</v>
      </c>
      <c r="B835" s="3" t="str">
        <f>IFERROR(__xludf.DUMMYFUNCTION("""COMPUTED_VALUE"""),"6249 CAMPBELL RD")</f>
        <v>6249 CAMPBELL RD</v>
      </c>
      <c r="C835" s="3" t="str">
        <f>IFERROR(__xludf.DUMMYFUNCTION("""COMPUTED_VALUE"""),"PORT HOPE")</f>
        <v>PORT HOPE</v>
      </c>
      <c r="D835" s="3" t="str">
        <f>IFERROR(__xludf.DUMMYFUNCTION("""COMPUTED_VALUE"""),"L1A 3V8")</f>
        <v>L1A 3V8</v>
      </c>
      <c r="E835" s="3"/>
      <c r="F835" s="3"/>
      <c r="G835" s="3"/>
      <c r="H835" s="3"/>
    </row>
    <row r="836">
      <c r="A836" s="2">
        <f>IFERROR(__xludf.DUMMYFUNCTION("""COMPUTED_VALUE"""),11613.0)</f>
        <v>11613</v>
      </c>
      <c r="B836" s="3" t="str">
        <f>IFERROR(__xludf.DUMMYFUNCTION("""COMPUTED_VALUE"""),"6270 COUNTY RD 10")</f>
        <v>6270 COUNTY RD 10</v>
      </c>
      <c r="C836" s="3" t="str">
        <f>IFERROR(__xludf.DUMMYFUNCTION("""COMPUTED_VALUE"""),"PORT HOPE")</f>
        <v>PORT HOPE</v>
      </c>
      <c r="D836" s="3" t="str">
        <f>IFERROR(__xludf.DUMMYFUNCTION("""COMPUTED_VALUE"""),"L1A 3V5")</f>
        <v>L1A 3V5</v>
      </c>
      <c r="E836" s="3"/>
      <c r="F836" s="3"/>
      <c r="G836" s="3"/>
      <c r="H836" s="3"/>
    </row>
    <row r="837">
      <c r="A837" s="2">
        <f>IFERROR(__xludf.DUMMYFUNCTION("""COMPUTED_VALUE"""),11588.0)</f>
        <v>11588</v>
      </c>
      <c r="B837" s="3" t="str">
        <f>IFERROR(__xludf.DUMMYFUNCTION("""COMPUTED_VALUE"""),"6259 DALE RD")</f>
        <v>6259 DALE RD</v>
      </c>
      <c r="C837" s="3" t="str">
        <f>IFERROR(__xludf.DUMMYFUNCTION("""COMPUTED_VALUE"""),"PORT HOPE")</f>
        <v>PORT HOPE</v>
      </c>
      <c r="D837" s="3" t="str">
        <f>IFERROR(__xludf.DUMMYFUNCTION("""COMPUTED_VALUE"""),"L1A 3V5")</f>
        <v>L1A 3V5</v>
      </c>
      <c r="E837" s="3"/>
      <c r="F837" s="3"/>
      <c r="G837" s="3"/>
      <c r="H837" s="3"/>
    </row>
    <row r="838">
      <c r="A838" s="2">
        <f>IFERROR(__xludf.DUMMYFUNCTION("""COMPUTED_VALUE"""),10483.0)</f>
        <v>10483</v>
      </c>
      <c r="B838" s="3" t="str">
        <f>IFERROR(__xludf.DUMMYFUNCTION("""COMPUTED_VALUE"""),"6469 COUNTY RD 10")</f>
        <v>6469 COUNTY RD 10</v>
      </c>
      <c r="C838" s="3" t="str">
        <f>IFERROR(__xludf.DUMMYFUNCTION("""COMPUTED_VALUE"""),"PORT HOPE")</f>
        <v>PORT HOPE</v>
      </c>
      <c r="D838" s="3" t="str">
        <f>IFERROR(__xludf.DUMMYFUNCTION("""COMPUTED_VALUE"""),"L1A 3V5")</f>
        <v>L1A 3V5</v>
      </c>
      <c r="E838" s="3"/>
      <c r="F838" s="3"/>
      <c r="G838" s="3"/>
      <c r="H838" s="3"/>
    </row>
    <row r="839">
      <c r="A839" s="2">
        <f>IFERROR(__xludf.DUMMYFUNCTION("""COMPUTED_VALUE"""),10060.0)</f>
        <v>10060</v>
      </c>
      <c r="B839" s="3" t="str">
        <f>IFERROR(__xludf.DUMMYFUNCTION("""COMPUTED_VALUE"""),"6302 4TH LINE")</f>
        <v>6302 4TH LINE</v>
      </c>
      <c r="C839" s="3" t="str">
        <f>IFERROR(__xludf.DUMMYFUNCTION("""COMPUTED_VALUE"""),"PORT HOPE")</f>
        <v>PORT HOPE</v>
      </c>
      <c r="D839" s="3" t="str">
        <f>IFERROR(__xludf.DUMMYFUNCTION("""COMPUTED_VALUE"""),"L1A 3V8")</f>
        <v>L1A 3V8</v>
      </c>
      <c r="E839" s="3"/>
      <c r="F839" s="3"/>
      <c r="G839" s="3"/>
      <c r="H839" s="3"/>
    </row>
    <row r="840">
      <c r="A840" s="2">
        <f>IFERROR(__xludf.DUMMYFUNCTION("""COMPUTED_VALUE"""),10228.0)</f>
        <v>10228</v>
      </c>
      <c r="B840" s="3" t="str">
        <f>IFERROR(__xludf.DUMMYFUNCTION("""COMPUTED_VALUE"""),"6311 9TH LINE")</f>
        <v>6311 9TH LINE</v>
      </c>
      <c r="C840" s="3" t="str">
        <f>IFERROR(__xludf.DUMMYFUNCTION("""COMPUTED_VALUE"""),"BAILIEBORO")</f>
        <v>BAILIEBORO</v>
      </c>
      <c r="D840" s="3" t="str">
        <f>IFERROR(__xludf.DUMMYFUNCTION("""COMPUTED_VALUE"""),"K0L 1B0")</f>
        <v>K0L 1B0</v>
      </c>
      <c r="E840" s="3" t="str">
        <f>IFERROR(__xludf.DUMMYFUNCTION("""COMPUTED_VALUE"""),"Arron Foote")</f>
        <v>Arron Foote</v>
      </c>
      <c r="F840" s="3" t="str">
        <f>IFERROR(__xludf.DUMMYFUNCTION("""COMPUTED_VALUE"""),"arronfoote@yahoo.com")</f>
        <v>arronfoote@yahoo.com</v>
      </c>
      <c r="G840" s="3"/>
      <c r="H840" s="3"/>
    </row>
    <row r="841">
      <c r="A841" s="2">
        <f>IFERROR(__xludf.DUMMYFUNCTION("""COMPUTED_VALUE"""),10209.0)</f>
        <v>10209</v>
      </c>
      <c r="B841" s="3" t="str">
        <f>IFERROR(__xludf.DUMMYFUNCTION("""COMPUTED_VALUE"""),"6318 7TH LINE")</f>
        <v>6318 7TH LINE</v>
      </c>
      <c r="C841" s="3" t="str">
        <f>IFERROR(__xludf.DUMMYFUNCTION("""COMPUTED_VALUE"""),"CAMPBELLCROFT")</f>
        <v>CAMPBELLCROFT</v>
      </c>
      <c r="D841" s="3" t="str">
        <f>IFERROR(__xludf.DUMMYFUNCTION("""COMPUTED_VALUE"""),"L0A 1B0")</f>
        <v>L0A 1B0</v>
      </c>
      <c r="E841" s="3"/>
      <c r="F841" s="3"/>
      <c r="G841" s="3"/>
      <c r="H841" s="3"/>
    </row>
    <row r="842">
      <c r="A842" s="2">
        <f>IFERROR(__xludf.DUMMYFUNCTION("""COMPUTED_VALUE"""),11056.0)</f>
        <v>11056</v>
      </c>
      <c r="B842" s="3" t="str">
        <f>IFERROR(__xludf.DUMMYFUNCTION("""COMPUTED_VALUE"""),"6325 KNOXVILLE RD")</f>
        <v>6325 KNOXVILLE RD</v>
      </c>
      <c r="C842" s="3" t="str">
        <f>IFERROR(__xludf.DUMMYFUNCTION("""COMPUTED_VALUE"""),"PORT HOPE")</f>
        <v>PORT HOPE</v>
      </c>
      <c r="D842" s="3" t="str">
        <f>IFERROR(__xludf.DUMMYFUNCTION("""COMPUTED_VALUE"""),"L1A 3V8")</f>
        <v>L1A 3V8</v>
      </c>
      <c r="E842" s="3" t="str">
        <f>IFERROR(__xludf.DUMMYFUNCTION("""COMPUTED_VALUE"""),"erin hart-thompson")</f>
        <v>erin hart-thompson</v>
      </c>
      <c r="F842" s="3" t="str">
        <f>IFERROR(__xludf.DUMMYFUNCTION("""COMPUTED_VALUE"""),"hartthompson@gmail.com")</f>
        <v>hartthompson@gmail.com</v>
      </c>
      <c r="G842" s="3"/>
      <c r="H842" s="3"/>
    </row>
    <row r="843">
      <c r="A843" s="2">
        <f>IFERROR(__xludf.DUMMYFUNCTION("""COMPUTED_VALUE"""),10687.0)</f>
        <v>10687</v>
      </c>
      <c r="B843" s="3" t="str">
        <f>IFERROR(__xludf.DUMMYFUNCTION("""COMPUTED_VALUE"""),"6325 COUNTY RD 65")</f>
        <v>6325 COUNTY RD 65</v>
      </c>
      <c r="C843" s="3" t="str">
        <f>IFERROR(__xludf.DUMMYFUNCTION("""COMPUTED_VALUE"""),"PORT HOPE")</f>
        <v>PORT HOPE</v>
      </c>
      <c r="D843" s="3" t="str">
        <f>IFERROR(__xludf.DUMMYFUNCTION("""COMPUTED_VALUE"""),"L1A 3V5")</f>
        <v>L1A 3V5</v>
      </c>
      <c r="E843" s="3"/>
      <c r="F843" s="3"/>
      <c r="G843" s="3"/>
      <c r="H843" s="3"/>
    </row>
    <row r="844">
      <c r="A844" s="2">
        <f>IFERROR(__xludf.DUMMYFUNCTION("""COMPUTED_VALUE"""),10061.0)</f>
        <v>10061</v>
      </c>
      <c r="B844" s="3" t="str">
        <f>IFERROR(__xludf.DUMMYFUNCTION("""COMPUTED_VALUE"""),"6339 4TH LINE")</f>
        <v>6339 4TH LINE</v>
      </c>
      <c r="C844" s="3" t="str">
        <f>IFERROR(__xludf.DUMMYFUNCTION("""COMPUTED_VALUE"""),"PORT HOPE")</f>
        <v>PORT HOPE</v>
      </c>
      <c r="D844" s="3" t="str">
        <f>IFERROR(__xludf.DUMMYFUNCTION("""COMPUTED_VALUE"""),"L1A 3V8")</f>
        <v>L1A 3V8</v>
      </c>
      <c r="E844" s="3" t="str">
        <f>IFERROR(__xludf.DUMMYFUNCTION("""COMPUTED_VALUE"""),"judy bamsey")</f>
        <v>judy bamsey</v>
      </c>
      <c r="F844" s="3"/>
      <c r="G844" s="3"/>
      <c r="H844" s="3"/>
    </row>
    <row r="845">
      <c r="A845" s="2">
        <f>IFERROR(__xludf.DUMMYFUNCTION("""COMPUTED_VALUE"""),10210.0)</f>
        <v>10210</v>
      </c>
      <c r="B845" s="3" t="str">
        <f>IFERROR(__xludf.DUMMYFUNCTION("""COMPUTED_VALUE"""),"6344 7TH LINE")</f>
        <v>6344 7TH LINE</v>
      </c>
      <c r="C845" s="3" t="str">
        <f>IFERROR(__xludf.DUMMYFUNCTION("""COMPUTED_VALUE"""),"CAMPBELLCROFT")</f>
        <v>CAMPBELLCROFT</v>
      </c>
      <c r="D845" s="3" t="str">
        <f>IFERROR(__xludf.DUMMYFUNCTION("""COMPUTED_VALUE"""),"L0A 1B0")</f>
        <v>L0A 1B0</v>
      </c>
      <c r="E845" s="3"/>
      <c r="F845" s="3"/>
      <c r="G845" s="3"/>
      <c r="H845" s="3"/>
    </row>
    <row r="846">
      <c r="A846" s="2">
        <f>IFERROR(__xludf.DUMMYFUNCTION("""COMPUTED_VALUE"""),10889.0)</f>
        <v>10889</v>
      </c>
      <c r="B846" s="3" t="str">
        <f>IFERROR(__xludf.DUMMYFUNCTION("""COMPUTED_VALUE"""),"6349 GANARASKA RD")</f>
        <v>6349 GANARASKA RD</v>
      </c>
      <c r="C846" s="3" t="str">
        <f>IFERROR(__xludf.DUMMYFUNCTION("""COMPUTED_VALUE"""),"CAMPBELLCROFT")</f>
        <v>CAMPBELLCROFT</v>
      </c>
      <c r="D846" s="3" t="str">
        <f>IFERROR(__xludf.DUMMYFUNCTION("""COMPUTED_VALUE"""),"L0A 1B0")</f>
        <v>L0A 1B0</v>
      </c>
      <c r="E846" s="3"/>
      <c r="F846" s="3"/>
      <c r="G846" s="3"/>
      <c r="H846" s="3"/>
    </row>
    <row r="847">
      <c r="A847" s="2">
        <f>IFERROR(__xludf.DUMMYFUNCTION("""COMPUTED_VALUE"""),10737.0)</f>
        <v>10737</v>
      </c>
      <c r="B847" s="3" t="str">
        <f>IFERROR(__xludf.DUMMYFUNCTION("""COMPUTED_VALUE"""),"6351 DALE RD")</f>
        <v>6351 DALE RD</v>
      </c>
      <c r="C847" s="3" t="str">
        <f>IFERROR(__xludf.DUMMYFUNCTION("""COMPUTED_VALUE"""),"PORT HOPE")</f>
        <v>PORT HOPE</v>
      </c>
      <c r="D847" s="3" t="str">
        <f>IFERROR(__xludf.DUMMYFUNCTION("""COMPUTED_VALUE"""),"L1A 3V5")</f>
        <v>L1A 3V5</v>
      </c>
      <c r="E847" s="3"/>
      <c r="F847" s="3"/>
      <c r="G847" s="3"/>
      <c r="H847" s="3"/>
    </row>
    <row r="848">
      <c r="A848" s="2">
        <f>IFERROR(__xludf.DUMMYFUNCTION("""COMPUTED_VALUE"""),11057.0)</f>
        <v>11057</v>
      </c>
      <c r="B848" s="3" t="str">
        <f>IFERROR(__xludf.DUMMYFUNCTION("""COMPUTED_VALUE"""),"6358 KNOXVILLE RD")</f>
        <v>6358 KNOXVILLE RD</v>
      </c>
      <c r="C848" s="3" t="str">
        <f>IFERROR(__xludf.DUMMYFUNCTION("""COMPUTED_VALUE"""),"PORT HOPE")</f>
        <v>PORT HOPE</v>
      </c>
      <c r="D848" s="3" t="str">
        <f>IFERROR(__xludf.DUMMYFUNCTION("""COMPUTED_VALUE"""),"L1A 3V8")</f>
        <v>L1A 3V8</v>
      </c>
      <c r="E848" s="3" t="str">
        <f>IFERROR(__xludf.DUMMYFUNCTION("""COMPUTED_VALUE"""),"Mark Vahamaki")</f>
        <v>Mark Vahamaki</v>
      </c>
      <c r="F848" s="3" t="str">
        <f>IFERROR(__xludf.DUMMYFUNCTION("""COMPUTED_VALUE"""),"markv@trimstamping.com")</f>
        <v>markv@trimstamping.com</v>
      </c>
      <c r="G848" s="3"/>
      <c r="H848" s="3"/>
    </row>
    <row r="849">
      <c r="A849" s="2">
        <f>IFERROR(__xludf.DUMMYFUNCTION("""COMPUTED_VALUE"""),11058.0)</f>
        <v>11058</v>
      </c>
      <c r="B849" s="3" t="str">
        <f>IFERROR(__xludf.DUMMYFUNCTION("""COMPUTED_VALUE"""),"6360 KNOXVILLE RD")</f>
        <v>6360 KNOXVILLE RD</v>
      </c>
      <c r="C849" s="3" t="str">
        <f>IFERROR(__xludf.DUMMYFUNCTION("""COMPUTED_VALUE"""),"PORT HOPE")</f>
        <v>PORT HOPE</v>
      </c>
      <c r="D849" s="3" t="str">
        <f>IFERROR(__xludf.DUMMYFUNCTION("""COMPUTED_VALUE"""),"L1A 3V8")</f>
        <v>L1A 3V8</v>
      </c>
      <c r="E849" s="3" t="str">
        <f>IFERROR(__xludf.DUMMYFUNCTION("""COMPUTED_VALUE"""),"Banri Nakamura")</f>
        <v>Banri Nakamura</v>
      </c>
      <c r="F849" s="3" t="str">
        <f>IFERROR(__xludf.DUMMYFUNCTION("""COMPUTED_VALUE"""),"banribanri@gmail.com")</f>
        <v>banribanri@gmail.com</v>
      </c>
      <c r="G849" s="3"/>
      <c r="H849" s="3"/>
    </row>
    <row r="850">
      <c r="A850" s="2">
        <f>IFERROR(__xludf.DUMMYFUNCTION("""COMPUTED_VALUE"""),10062.0)</f>
        <v>10062</v>
      </c>
      <c r="B850" s="3" t="str">
        <f>IFERROR(__xludf.DUMMYFUNCTION("""COMPUTED_VALUE"""),"6366 4TH LINE")</f>
        <v>6366 4TH LINE</v>
      </c>
      <c r="C850" s="3" t="str">
        <f>IFERROR(__xludf.DUMMYFUNCTION("""COMPUTED_VALUE"""),"PORT HOPE")</f>
        <v>PORT HOPE</v>
      </c>
      <c r="D850" s="3" t="str">
        <f>IFERROR(__xludf.DUMMYFUNCTION("""COMPUTED_VALUE"""),"L1A 3V8")</f>
        <v>L1A 3V8</v>
      </c>
      <c r="E850" s="3"/>
      <c r="F850" s="3"/>
      <c r="G850" s="3"/>
      <c r="H850" s="3"/>
    </row>
    <row r="851">
      <c r="A851" s="2">
        <f>IFERROR(__xludf.DUMMYFUNCTION("""COMPUTED_VALUE"""),10288.0)</f>
        <v>10288</v>
      </c>
      <c r="B851" s="3" t="str">
        <f>IFERROR(__xludf.DUMMYFUNCTION("""COMPUTED_VALUE"""),"6371 BELLS HILL RD")</f>
        <v>6371 BELLS HILL RD</v>
      </c>
      <c r="C851" s="3" t="str">
        <f>IFERROR(__xludf.DUMMYFUNCTION("""COMPUTED_VALUE"""),"PORT HOPE")</f>
        <v>PORT HOPE</v>
      </c>
      <c r="D851" s="3" t="str">
        <f>IFERROR(__xludf.DUMMYFUNCTION("""COMPUTED_VALUE"""),"L1A 3V5")</f>
        <v>L1A 3V5</v>
      </c>
      <c r="E851" s="3"/>
      <c r="F851" s="3"/>
      <c r="G851" s="3"/>
      <c r="H851" s="3"/>
    </row>
    <row r="852">
      <c r="A852" s="2">
        <f>IFERROR(__xludf.DUMMYFUNCTION("""COMPUTED_VALUE"""),10365.0)</f>
        <v>10365</v>
      </c>
      <c r="B852" s="3" t="str">
        <f>IFERROR(__xludf.DUMMYFUNCTION("""COMPUTED_VALUE"""),"6384 CAMPBELL RD")</f>
        <v>6384 CAMPBELL RD</v>
      </c>
      <c r="C852" s="3" t="str">
        <f>IFERROR(__xludf.DUMMYFUNCTION("""COMPUTED_VALUE"""),"PORT HOPE")</f>
        <v>PORT HOPE</v>
      </c>
      <c r="D852" s="3" t="str">
        <f>IFERROR(__xludf.DUMMYFUNCTION("""COMPUTED_VALUE"""),"L1A 3V8")</f>
        <v>L1A 3V8</v>
      </c>
      <c r="E852" s="3" t="str">
        <f>IFERROR(__xludf.DUMMYFUNCTION("""COMPUTED_VALUE"""),"Bill Proskov")</f>
        <v>Bill Proskov</v>
      </c>
      <c r="F852" s="3" t="str">
        <f>IFERROR(__xludf.DUMMYFUNCTION("""COMPUTED_VALUE"""),"bproskov53@gmail.com")</f>
        <v>bproskov53@gmail.com</v>
      </c>
      <c r="G852" s="3"/>
      <c r="H852" s="3"/>
    </row>
    <row r="853">
      <c r="A853" s="2">
        <f>IFERROR(__xludf.DUMMYFUNCTION("""COMPUTED_VALUE"""),11472.0)</f>
        <v>11472</v>
      </c>
      <c r="B853" s="3" t="str">
        <f>IFERROR(__xludf.DUMMYFUNCTION("""COMPUTED_VALUE"""),"6400 TELEPHONE RD")</f>
        <v>6400 TELEPHONE RD</v>
      </c>
      <c r="C853" s="3" t="str">
        <f>IFERROR(__xludf.DUMMYFUNCTION("""COMPUTED_VALUE"""),"PORT HOPE")</f>
        <v>PORT HOPE</v>
      </c>
      <c r="D853" s="3" t="str">
        <f>IFERROR(__xludf.DUMMYFUNCTION("""COMPUTED_VALUE"""),"L1A 3V6")</f>
        <v>L1A 3V6</v>
      </c>
      <c r="E853" s="3"/>
      <c r="F853" s="3"/>
      <c r="G853" s="3"/>
      <c r="H853" s="3"/>
    </row>
    <row r="854">
      <c r="A854" s="2">
        <f>IFERROR(__xludf.DUMMYFUNCTION("""COMPUTED_VALUE"""),10063.0)</f>
        <v>10063</v>
      </c>
      <c r="B854" s="3" t="str">
        <f>IFERROR(__xludf.DUMMYFUNCTION("""COMPUTED_VALUE"""),"6400 4TH LINE")</f>
        <v>6400 4TH LINE</v>
      </c>
      <c r="C854" s="3" t="str">
        <f>IFERROR(__xludf.DUMMYFUNCTION("""COMPUTED_VALUE"""),"PORT HOPE")</f>
        <v>PORT HOPE</v>
      </c>
      <c r="D854" s="3" t="str">
        <f>IFERROR(__xludf.DUMMYFUNCTION("""COMPUTED_VALUE"""),"L1A 3V8")</f>
        <v>L1A 3V8</v>
      </c>
      <c r="E854" s="3" t="str">
        <f>IFERROR(__xludf.DUMMYFUNCTION("""COMPUTED_VALUE"""),"fred perry ")</f>
        <v>fred perry </v>
      </c>
      <c r="F854" s="3"/>
      <c r="G854" s="3"/>
      <c r="H854" s="3"/>
    </row>
    <row r="855">
      <c r="A855" s="2">
        <f>IFERROR(__xludf.DUMMYFUNCTION("""COMPUTED_VALUE"""),10229.0)</f>
        <v>10229</v>
      </c>
      <c r="B855" s="3" t="str">
        <f>IFERROR(__xludf.DUMMYFUNCTION("""COMPUTED_VALUE"""),"6409 9TH LINE")</f>
        <v>6409 9TH LINE</v>
      </c>
      <c r="C855" s="3" t="str">
        <f>IFERROR(__xludf.DUMMYFUNCTION("""COMPUTED_VALUE"""),"BAILIEBORO")</f>
        <v>BAILIEBORO</v>
      </c>
      <c r="D855" s="3" t="str">
        <f>IFERROR(__xludf.DUMMYFUNCTION("""COMPUTED_VALUE"""),"K0L 1B0")</f>
        <v>K0L 1B0</v>
      </c>
      <c r="E855" s="3" t="str">
        <f>IFERROR(__xludf.DUMMYFUNCTION("""COMPUTED_VALUE"""),"Kevin lowery")</f>
        <v>Kevin lowery</v>
      </c>
      <c r="F855" s="3" t="str">
        <f>IFERROR(__xludf.DUMMYFUNCTION("""COMPUTED_VALUE"""),"Kevin.lowery1@outlook.com")</f>
        <v>Kevin.lowery1@outlook.com</v>
      </c>
      <c r="G855" s="3"/>
      <c r="H855" s="3"/>
    </row>
    <row r="856">
      <c r="A856" s="2">
        <f>IFERROR(__xludf.DUMMYFUNCTION("""COMPUTED_VALUE"""),10739.0)</f>
        <v>10739</v>
      </c>
      <c r="B856" s="3" t="str">
        <f>IFERROR(__xludf.DUMMYFUNCTION("""COMPUTED_VALUE"""),"6412 DALE RD")</f>
        <v>6412 DALE RD</v>
      </c>
      <c r="C856" s="3" t="str">
        <f>IFERROR(__xludf.DUMMYFUNCTION("""COMPUTED_VALUE"""),"PORT HOPE")</f>
        <v>PORT HOPE</v>
      </c>
      <c r="D856" s="3" t="str">
        <f>IFERROR(__xludf.DUMMYFUNCTION("""COMPUTED_VALUE"""),"L1A 3V5")</f>
        <v>L1A 3V5</v>
      </c>
      <c r="E856" s="3"/>
      <c r="F856" s="3"/>
      <c r="G856" s="3"/>
      <c r="H856" s="3"/>
    </row>
    <row r="857">
      <c r="A857" s="2">
        <f>IFERROR(__xludf.DUMMYFUNCTION("""COMPUTED_VALUE"""),10064.0)</f>
        <v>10064</v>
      </c>
      <c r="B857" s="3" t="str">
        <f>IFERROR(__xludf.DUMMYFUNCTION("""COMPUTED_VALUE"""),"6420 4TH LINE")</f>
        <v>6420 4TH LINE</v>
      </c>
      <c r="C857" s="3" t="str">
        <f>IFERROR(__xludf.DUMMYFUNCTION("""COMPUTED_VALUE"""),"PORT HOPE")</f>
        <v>PORT HOPE</v>
      </c>
      <c r="D857" s="3" t="str">
        <f>IFERROR(__xludf.DUMMYFUNCTION("""COMPUTED_VALUE"""),"L1A 3V8")</f>
        <v>L1A 3V8</v>
      </c>
      <c r="E857" s="3" t="str">
        <f>IFERROR(__xludf.DUMMYFUNCTION("""COMPUTED_VALUE"""),"Betsy Beatty")</f>
        <v>Betsy Beatty</v>
      </c>
      <c r="F857" s="3" t="str">
        <f>IFERROR(__xludf.DUMMYFUNCTION("""COMPUTED_VALUE"""),"betsy.beatty@hotmail.ca")</f>
        <v>betsy.beatty@hotmail.ca</v>
      </c>
      <c r="G857" s="3"/>
      <c r="H857" s="3"/>
    </row>
    <row r="858">
      <c r="A858" s="2">
        <f>IFERROR(__xludf.DUMMYFUNCTION("""COMPUTED_VALUE"""),10740.0)</f>
        <v>10740</v>
      </c>
      <c r="B858" s="3" t="str">
        <f>IFERROR(__xludf.DUMMYFUNCTION("""COMPUTED_VALUE"""),"6423 DALE RD")</f>
        <v>6423 DALE RD</v>
      </c>
      <c r="C858" s="3" t="str">
        <f>IFERROR(__xludf.DUMMYFUNCTION("""COMPUTED_VALUE"""),"PORT HOPE")</f>
        <v>PORT HOPE</v>
      </c>
      <c r="D858" s="3" t="str">
        <f>IFERROR(__xludf.DUMMYFUNCTION("""COMPUTED_VALUE"""),"L1A 3V5")</f>
        <v>L1A 3V5</v>
      </c>
      <c r="E858" s="3"/>
      <c r="F858" s="3"/>
      <c r="G858" s="3"/>
      <c r="H858" s="3"/>
    </row>
    <row r="859">
      <c r="A859" s="2">
        <f>IFERROR(__xludf.DUMMYFUNCTION("""COMPUTED_VALUE"""),10484.0)</f>
        <v>10484</v>
      </c>
      <c r="B859" s="3" t="str">
        <f>IFERROR(__xludf.DUMMYFUNCTION("""COMPUTED_VALUE"""),"6815 COUNTY RD 10")</f>
        <v>6815 COUNTY RD 10</v>
      </c>
      <c r="C859" s="3" t="str">
        <f>IFERROR(__xludf.DUMMYFUNCTION("""COMPUTED_VALUE"""),"PORT HOPE")</f>
        <v>PORT HOPE</v>
      </c>
      <c r="D859" s="3" t="str">
        <f>IFERROR(__xludf.DUMMYFUNCTION("""COMPUTED_VALUE"""),"L1A 3V5")</f>
        <v>L1A 3V5</v>
      </c>
      <c r="E859" s="3" t="str">
        <f>IFERROR(__xludf.DUMMYFUNCTION("""COMPUTED_VALUE"""),"Bill Starke")</f>
        <v>Bill Starke</v>
      </c>
      <c r="F859" s="3"/>
      <c r="G859" s="3"/>
      <c r="H859" s="3"/>
    </row>
    <row r="860">
      <c r="A860" s="2">
        <f>IFERROR(__xludf.DUMMYFUNCTION("""COMPUTED_VALUE"""),10230.0)</f>
        <v>10230</v>
      </c>
      <c r="B860" s="3" t="str">
        <f>IFERROR(__xludf.DUMMYFUNCTION("""COMPUTED_VALUE"""),"6474 9TH LINE")</f>
        <v>6474 9TH LINE</v>
      </c>
      <c r="C860" s="3" t="str">
        <f>IFERROR(__xludf.DUMMYFUNCTION("""COMPUTED_VALUE"""),"BAILIEBORO")</f>
        <v>BAILIEBORO</v>
      </c>
      <c r="D860" s="3" t="str">
        <f>IFERROR(__xludf.DUMMYFUNCTION("""COMPUTED_VALUE"""),"K0L 1B0")</f>
        <v>K0L 1B0</v>
      </c>
      <c r="E860" s="3" t="str">
        <f>IFERROR(__xludf.DUMMYFUNCTION("""COMPUTED_VALUE"""),"Vicki Varcoe")</f>
        <v>Vicki Varcoe</v>
      </c>
      <c r="F860" s="3"/>
      <c r="G860" s="3"/>
      <c r="H860" s="3"/>
    </row>
    <row r="861">
      <c r="A861" s="2">
        <f>IFERROR(__xludf.DUMMYFUNCTION("""COMPUTED_VALUE"""),10231.0)</f>
        <v>10231</v>
      </c>
      <c r="B861" s="3" t="str">
        <f>IFERROR(__xludf.DUMMYFUNCTION("""COMPUTED_VALUE"""),"6475 9TH LINE")</f>
        <v>6475 9TH LINE</v>
      </c>
      <c r="C861" s="3" t="str">
        <f>IFERROR(__xludf.DUMMYFUNCTION("""COMPUTED_VALUE"""),"BAILIEBORO")</f>
        <v>BAILIEBORO</v>
      </c>
      <c r="D861" s="3" t="str">
        <f>IFERROR(__xludf.DUMMYFUNCTION("""COMPUTED_VALUE"""),"K0L 1B0")</f>
        <v>K0L 1B0</v>
      </c>
      <c r="E861" s="3" t="str">
        <f>IFERROR(__xludf.DUMMYFUNCTION("""COMPUTED_VALUE"""),"ALEXANDRA MCGUFFIN")</f>
        <v>ALEXANDRA MCGUFFIN</v>
      </c>
      <c r="F861" s="3" t="str">
        <f>IFERROR(__xludf.DUMMYFUNCTION("""COMPUTED_VALUE"""),"alexandramcguffin@hotmail.com")</f>
        <v>alexandramcguffin@hotmail.com</v>
      </c>
      <c r="G861" s="3"/>
      <c r="H861" s="3"/>
    </row>
    <row r="862">
      <c r="A862" s="2">
        <f>IFERROR(__xludf.DUMMYFUNCTION("""COMPUTED_VALUE"""),10366.0)</f>
        <v>10366</v>
      </c>
      <c r="B862" s="3" t="str">
        <f>IFERROR(__xludf.DUMMYFUNCTION("""COMPUTED_VALUE"""),"6475 CAMPBELL RD")</f>
        <v>6475 CAMPBELL RD</v>
      </c>
      <c r="C862" s="3" t="str">
        <f>IFERROR(__xludf.DUMMYFUNCTION("""COMPUTED_VALUE"""),"PORT HOPE")</f>
        <v>PORT HOPE</v>
      </c>
      <c r="D862" s="3" t="str">
        <f>IFERROR(__xludf.DUMMYFUNCTION("""COMPUTED_VALUE"""),"L1A 3V8")</f>
        <v>L1A 3V8</v>
      </c>
      <c r="E862" s="3" t="str">
        <f>IFERROR(__xludf.DUMMYFUNCTION("""COMPUTED_VALUE"""),"Taz Khodadadi")</f>
        <v>Taz Khodadadi</v>
      </c>
      <c r="F862" s="3"/>
      <c r="G862" s="3"/>
      <c r="H862" s="3"/>
    </row>
    <row r="863">
      <c r="A863" s="2">
        <f>IFERROR(__xludf.DUMMYFUNCTION("""COMPUTED_VALUE"""),10741.0)</f>
        <v>10741</v>
      </c>
      <c r="B863" s="3" t="str">
        <f>IFERROR(__xludf.DUMMYFUNCTION("""COMPUTED_VALUE"""),"6477 DALE RD")</f>
        <v>6477 DALE RD</v>
      </c>
      <c r="C863" s="3" t="str">
        <f>IFERROR(__xludf.DUMMYFUNCTION("""COMPUTED_VALUE"""),"PORT HOPE")</f>
        <v>PORT HOPE</v>
      </c>
      <c r="D863" s="3" t="str">
        <f>IFERROR(__xludf.DUMMYFUNCTION("""COMPUTED_VALUE"""),"L1A 3V5")</f>
        <v>L1A 3V5</v>
      </c>
      <c r="E863" s="3"/>
      <c r="F863" s="3"/>
      <c r="G863" s="3"/>
      <c r="H863" s="3"/>
    </row>
    <row r="864">
      <c r="A864" s="2">
        <f>IFERROR(__xludf.DUMMYFUNCTION("""COMPUTED_VALUE"""),10742.0)</f>
        <v>10742</v>
      </c>
      <c r="B864" s="3" t="str">
        <f>IFERROR(__xludf.DUMMYFUNCTION("""COMPUTED_VALUE"""),"6478 DALE RD")</f>
        <v>6478 DALE RD</v>
      </c>
      <c r="C864" s="3" t="str">
        <f>IFERROR(__xludf.DUMMYFUNCTION("""COMPUTED_VALUE"""),"PORT HOPE")</f>
        <v>PORT HOPE</v>
      </c>
      <c r="D864" s="3" t="str">
        <f>IFERROR(__xludf.DUMMYFUNCTION("""COMPUTED_VALUE"""),"L1A 3V5")</f>
        <v>L1A 3V5</v>
      </c>
      <c r="E864" s="3"/>
      <c r="F864" s="3"/>
      <c r="G864" s="3"/>
      <c r="H864" s="3"/>
    </row>
    <row r="865">
      <c r="A865" s="2">
        <f>IFERROR(__xludf.DUMMYFUNCTION("""COMPUTED_VALUE"""),10211.0)</f>
        <v>10211</v>
      </c>
      <c r="B865" s="3" t="str">
        <f>IFERROR(__xludf.DUMMYFUNCTION("""COMPUTED_VALUE"""),"6504 7TH LINE")</f>
        <v>6504 7TH LINE</v>
      </c>
      <c r="C865" s="3" t="str">
        <f>IFERROR(__xludf.DUMMYFUNCTION("""COMPUTED_VALUE"""),"CAMPBELLCROFT")</f>
        <v>CAMPBELLCROFT</v>
      </c>
      <c r="D865" s="3" t="str">
        <f>IFERROR(__xludf.DUMMYFUNCTION("""COMPUTED_VALUE"""),"L0A 1B0")</f>
        <v>L0A 1B0</v>
      </c>
      <c r="E865" s="3" t="str">
        <f>IFERROR(__xludf.DUMMYFUNCTION("""COMPUTED_VALUE"""),"candy sellers")</f>
        <v>candy sellers</v>
      </c>
      <c r="F865" s="3" t="str">
        <f>IFERROR(__xludf.DUMMYFUNCTION("""COMPUTED_VALUE"""),"canysellers@roders.com")</f>
        <v>canysellers@roders.com</v>
      </c>
      <c r="G865" s="3"/>
      <c r="H865" s="3"/>
    </row>
    <row r="866">
      <c r="A866" s="2">
        <f>IFERROR(__xludf.DUMMYFUNCTION("""COMPUTED_VALUE"""),10232.0)</f>
        <v>10232</v>
      </c>
      <c r="B866" s="3" t="str">
        <f>IFERROR(__xludf.DUMMYFUNCTION("""COMPUTED_VALUE"""),"6521 9TH LINE")</f>
        <v>6521 9TH LINE</v>
      </c>
      <c r="C866" s="3" t="str">
        <f>IFERROR(__xludf.DUMMYFUNCTION("""COMPUTED_VALUE"""),"BAILIEBORO")</f>
        <v>BAILIEBORO</v>
      </c>
      <c r="D866" s="3" t="str">
        <f>IFERROR(__xludf.DUMMYFUNCTION("""COMPUTED_VALUE"""),"K0L 1B0")</f>
        <v>K0L 1B0</v>
      </c>
      <c r="E866" s="3" t="str">
        <f>IFERROR(__xludf.DUMMYFUNCTION("""COMPUTED_VALUE"""),"Lesslie Quinn")</f>
        <v>Lesslie Quinn</v>
      </c>
      <c r="F866" s="3" t="str">
        <f>IFERROR(__xludf.DUMMYFUNCTION("""COMPUTED_VALUE"""),"lesslieq89@gmail.com")</f>
        <v>lesslieq89@gmail.com</v>
      </c>
      <c r="G866" s="3"/>
      <c r="H866" s="3"/>
    </row>
    <row r="867">
      <c r="A867" s="2">
        <f>IFERROR(__xludf.DUMMYFUNCTION("""COMPUTED_VALUE"""),10212.0)</f>
        <v>10212</v>
      </c>
      <c r="B867" s="3" t="str">
        <f>IFERROR(__xludf.DUMMYFUNCTION("""COMPUTED_VALUE"""),"6535 7TH LINE")</f>
        <v>6535 7TH LINE</v>
      </c>
      <c r="C867" s="3" t="str">
        <f>IFERROR(__xludf.DUMMYFUNCTION("""COMPUTED_VALUE"""),"CAMPBELLCROFT")</f>
        <v>CAMPBELLCROFT</v>
      </c>
      <c r="D867" s="3" t="str">
        <f>IFERROR(__xludf.DUMMYFUNCTION("""COMPUTED_VALUE"""),"L0A 1B0")</f>
        <v>L0A 1B0</v>
      </c>
      <c r="E867" s="3"/>
      <c r="F867" s="3"/>
      <c r="G867" s="3"/>
      <c r="H867" s="3"/>
    </row>
    <row r="868">
      <c r="A868" s="2">
        <f>IFERROR(__xludf.DUMMYFUNCTION("""COMPUTED_VALUE"""),10213.0)</f>
        <v>10213</v>
      </c>
      <c r="B868" s="3" t="str">
        <f>IFERROR(__xludf.DUMMYFUNCTION("""COMPUTED_VALUE"""),"6536 7TH LINE")</f>
        <v>6536 7TH LINE</v>
      </c>
      <c r="C868" s="3" t="str">
        <f>IFERROR(__xludf.DUMMYFUNCTION("""COMPUTED_VALUE"""),"CAMPBELLCROFT")</f>
        <v>CAMPBELLCROFT</v>
      </c>
      <c r="D868" s="3" t="str">
        <f>IFERROR(__xludf.DUMMYFUNCTION("""COMPUTED_VALUE"""),"L0A 1B0")</f>
        <v>L0A 1B0</v>
      </c>
      <c r="E868" s="3"/>
      <c r="F868" s="3"/>
      <c r="G868" s="3"/>
      <c r="H868" s="3"/>
    </row>
    <row r="869">
      <c r="A869" s="2">
        <f>IFERROR(__xludf.DUMMYFUNCTION("""COMPUTED_VALUE"""),10233.0)</f>
        <v>10233</v>
      </c>
      <c r="B869" s="3" t="str">
        <f>IFERROR(__xludf.DUMMYFUNCTION("""COMPUTED_VALUE"""),"6543 9TH LINE")</f>
        <v>6543 9TH LINE</v>
      </c>
      <c r="C869" s="3" t="str">
        <f>IFERROR(__xludf.DUMMYFUNCTION("""COMPUTED_VALUE"""),"BAILIEBORO")</f>
        <v>BAILIEBORO</v>
      </c>
      <c r="D869" s="3" t="str">
        <f>IFERROR(__xludf.DUMMYFUNCTION("""COMPUTED_VALUE"""),"K0L 1B0")</f>
        <v>K0L 1B0</v>
      </c>
      <c r="E869" s="3"/>
      <c r="F869" s="3"/>
      <c r="G869" s="3"/>
      <c r="H869" s="3"/>
    </row>
    <row r="870">
      <c r="A870" s="2">
        <f>IFERROR(__xludf.DUMMYFUNCTION("""COMPUTED_VALUE"""),10688.0)</f>
        <v>10688</v>
      </c>
      <c r="B870" s="3" t="str">
        <f>IFERROR(__xludf.DUMMYFUNCTION("""COMPUTED_VALUE"""),"6545 COUNTY RD 65")</f>
        <v>6545 COUNTY RD 65</v>
      </c>
      <c r="C870" s="3" t="str">
        <f>IFERROR(__xludf.DUMMYFUNCTION("""COMPUTED_VALUE"""),"PORT HOPE")</f>
        <v>PORT HOPE</v>
      </c>
      <c r="D870" s="3" t="str">
        <f>IFERROR(__xludf.DUMMYFUNCTION("""COMPUTED_VALUE"""),"L1A 3V5")</f>
        <v>L1A 3V5</v>
      </c>
      <c r="E870" s="3" t="str">
        <f>IFERROR(__xludf.DUMMYFUNCTION("""COMPUTED_VALUE"""),"j. a. whalen ")</f>
        <v>j. a. whalen </v>
      </c>
      <c r="F870" s="3" t="str">
        <f>IFERROR(__xludf.DUMMYFUNCTION("""COMPUTED_VALUE"""),"jack_825@hotmail.com")</f>
        <v>jack_825@hotmail.com</v>
      </c>
      <c r="G870" s="3"/>
      <c r="H870" s="3"/>
    </row>
    <row r="871">
      <c r="A871" s="2">
        <f>IFERROR(__xludf.DUMMYFUNCTION("""COMPUTED_VALUE"""),10234.0)</f>
        <v>10234</v>
      </c>
      <c r="B871" s="3" t="str">
        <f>IFERROR(__xludf.DUMMYFUNCTION("""COMPUTED_VALUE"""),"6561 9TH LINE")</f>
        <v>6561 9TH LINE</v>
      </c>
      <c r="C871" s="3" t="str">
        <f>IFERROR(__xludf.DUMMYFUNCTION("""COMPUTED_VALUE"""),"BAILIEBORO")</f>
        <v>BAILIEBORO</v>
      </c>
      <c r="D871" s="3" t="str">
        <f>IFERROR(__xludf.DUMMYFUNCTION("""COMPUTED_VALUE"""),"K0L 1B0")</f>
        <v>K0L 1B0</v>
      </c>
      <c r="E871" s="3" t="str">
        <f>IFERROR(__xludf.DUMMYFUNCTION("""COMPUTED_VALUE"""),"Rob Harris")</f>
        <v>Rob Harris</v>
      </c>
      <c r="F871" s="3"/>
      <c r="G871" s="3"/>
      <c r="H871" s="3"/>
    </row>
    <row r="872">
      <c r="A872" s="2">
        <f>IFERROR(__xludf.DUMMYFUNCTION("""COMPUTED_VALUE"""),10109.0)</f>
        <v>10109</v>
      </c>
      <c r="B872" s="3" t="str">
        <f>IFERROR(__xludf.DUMMYFUNCTION("""COMPUTED_VALUE"""),"6565 5TH LINE")</f>
        <v>6565 5TH LINE</v>
      </c>
      <c r="C872" s="3" t="str">
        <f>IFERROR(__xludf.DUMMYFUNCTION("""COMPUTED_VALUE"""),"PORT HOPE")</f>
        <v>PORT HOPE</v>
      </c>
      <c r="D872" s="3" t="str">
        <f>IFERROR(__xludf.DUMMYFUNCTION("""COMPUTED_VALUE"""),"L1A 3V6")</f>
        <v>L1A 3V6</v>
      </c>
      <c r="E872" s="3" t="str">
        <f>IFERROR(__xludf.DUMMYFUNCTION("""COMPUTED_VALUE"""),"Eric litz ")</f>
        <v>Eric litz </v>
      </c>
      <c r="F872" s="3" t="str">
        <f>IFERROR(__xludf.DUMMYFUNCTION("""COMPUTED_VALUE"""),"Litzbobcat@gmail.com")</f>
        <v>Litzbobcat@gmail.com</v>
      </c>
      <c r="G872" s="3"/>
      <c r="H872" s="3"/>
    </row>
    <row r="873">
      <c r="A873" s="2">
        <f>IFERROR(__xludf.DUMMYFUNCTION("""COMPUTED_VALUE"""),10367.0)</f>
        <v>10367</v>
      </c>
      <c r="B873" s="3" t="str">
        <f>IFERROR(__xludf.DUMMYFUNCTION("""COMPUTED_VALUE"""),"6585 CAMPBELL RD S")</f>
        <v>6585 CAMPBELL RD S</v>
      </c>
      <c r="C873" s="3" t="str">
        <f>IFERROR(__xludf.DUMMYFUNCTION("""COMPUTED_VALUE"""),"CAMPBELLCROFT")</f>
        <v>CAMPBELLCROFT</v>
      </c>
      <c r="D873" s="3" t="str">
        <f>IFERROR(__xludf.DUMMYFUNCTION("""COMPUTED_VALUE"""),"L0A 1B0")</f>
        <v>L0A 1B0</v>
      </c>
      <c r="E873" s="3" t="str">
        <f>IFERROR(__xludf.DUMMYFUNCTION("""COMPUTED_VALUE"""),"Wayne Dephoure &amp; EVa Bryan ")</f>
        <v>Wayne Dephoure &amp; EVa Bryan </v>
      </c>
      <c r="F873" s="3" t="str">
        <f>IFERROR(__xludf.DUMMYFUNCTION("""COMPUTED_VALUE"""),"wdephoure@hotmail.com")</f>
        <v>wdephoure@hotmail.com</v>
      </c>
      <c r="G873" s="3"/>
      <c r="H873" s="3"/>
    </row>
    <row r="874">
      <c r="A874" s="2">
        <f>IFERROR(__xludf.DUMMYFUNCTION("""COMPUTED_VALUE"""),10743.0)</f>
        <v>10743</v>
      </c>
      <c r="B874" s="3" t="str">
        <f>IFERROR(__xludf.DUMMYFUNCTION("""COMPUTED_VALUE"""),"6597 DALE RD")</f>
        <v>6597 DALE RD</v>
      </c>
      <c r="C874" s="3" t="str">
        <f>IFERROR(__xludf.DUMMYFUNCTION("""COMPUTED_VALUE"""),"PORT HOPE")</f>
        <v>PORT HOPE</v>
      </c>
      <c r="D874" s="3" t="str">
        <f>IFERROR(__xludf.DUMMYFUNCTION("""COMPUTED_VALUE"""),"L1A 3V6")</f>
        <v>L1A 3V6</v>
      </c>
      <c r="E874" s="3" t="str">
        <f>IFERROR(__xludf.DUMMYFUNCTION("""COMPUTED_VALUE"""),"John Bartlett")</f>
        <v>John Bartlett</v>
      </c>
      <c r="F874" s="3" t="str">
        <f>IFERROR(__xludf.DUMMYFUNCTION("""COMPUTED_VALUE"""),"admin@porthopeemergvet.com")</f>
        <v>admin@porthopeemergvet.com</v>
      </c>
      <c r="G874" s="3"/>
      <c r="H874" s="3"/>
    </row>
    <row r="875">
      <c r="A875" s="2">
        <f>IFERROR(__xludf.DUMMYFUNCTION("""COMPUTED_VALUE"""),10235.0)</f>
        <v>10235</v>
      </c>
      <c r="B875" s="3" t="str">
        <f>IFERROR(__xludf.DUMMYFUNCTION("""COMPUTED_VALUE"""),"6607 9TH LINE")</f>
        <v>6607 9TH LINE</v>
      </c>
      <c r="C875" s="3" t="str">
        <f>IFERROR(__xludf.DUMMYFUNCTION("""COMPUTED_VALUE"""),"BAILIEBORO")</f>
        <v>BAILIEBORO</v>
      </c>
      <c r="D875" s="3" t="str">
        <f>IFERROR(__xludf.DUMMYFUNCTION("""COMPUTED_VALUE"""),"K0L 1B0")</f>
        <v>K0L 1B0</v>
      </c>
      <c r="E875" s="3" t="str">
        <f>IFERROR(__xludf.DUMMYFUNCTION("""COMPUTED_VALUE"""),"becky macdonald")</f>
        <v>becky macdonald</v>
      </c>
      <c r="F875" s="3" t="str">
        <f>IFERROR(__xludf.DUMMYFUNCTION("""COMPUTED_VALUE"""),"tarynstewert8@g,ail.com")</f>
        <v>tarynstewert8@g,ail.com</v>
      </c>
      <c r="G875" s="3"/>
      <c r="H875" s="3"/>
    </row>
    <row r="876">
      <c r="A876" s="2">
        <f>IFERROR(__xludf.DUMMYFUNCTION("""COMPUTED_VALUE"""),10150.0)</f>
        <v>10150</v>
      </c>
      <c r="B876" s="3" t="str">
        <f>IFERROR(__xludf.DUMMYFUNCTION("""COMPUTED_VALUE"""),"6611 6TH LINE")</f>
        <v>6611 6TH LINE</v>
      </c>
      <c r="C876" s="3" t="str">
        <f>IFERROR(__xludf.DUMMYFUNCTION("""COMPUTED_VALUE"""),"PORT HOPE")</f>
        <v>PORT HOPE</v>
      </c>
      <c r="D876" s="3" t="str">
        <f>IFERROR(__xludf.DUMMYFUNCTION("""COMPUTED_VALUE"""),"L1A 3V8")</f>
        <v>L1A 3V8</v>
      </c>
      <c r="E876" s="3" t="str">
        <f>IFERROR(__xludf.DUMMYFUNCTION("""COMPUTED_VALUE"""),"Darryl A. Withrow")</f>
        <v>Darryl A. Withrow</v>
      </c>
      <c r="F876" s="3" t="str">
        <f>IFERROR(__xludf.DUMMYFUNCTION("""COMPUTED_VALUE"""),"withrow.darryl@gmail.com")</f>
        <v>withrow.darryl@gmail.com</v>
      </c>
      <c r="G876" s="3"/>
      <c r="H876" s="3"/>
    </row>
    <row r="877">
      <c r="A877" s="2">
        <f>IFERROR(__xludf.DUMMYFUNCTION("""COMPUTED_VALUE"""),10744.0)</f>
        <v>10744</v>
      </c>
      <c r="B877" s="3" t="str">
        <f>IFERROR(__xludf.DUMMYFUNCTION("""COMPUTED_VALUE"""),"6613 DALE RD")</f>
        <v>6613 DALE RD</v>
      </c>
      <c r="C877" s="3" t="str">
        <f>IFERROR(__xludf.DUMMYFUNCTION("""COMPUTED_VALUE"""),"PORT HOPE")</f>
        <v>PORT HOPE</v>
      </c>
      <c r="D877" s="3" t="str">
        <f>IFERROR(__xludf.DUMMYFUNCTION("""COMPUTED_VALUE"""),"L1A 3V6")</f>
        <v>L1A 3V6</v>
      </c>
      <c r="E877" s="3" t="str">
        <f>IFERROR(__xludf.DUMMYFUNCTION("""COMPUTED_VALUE"""),"Barry Worth ")</f>
        <v>Barry Worth </v>
      </c>
      <c r="F877" s="3" t="str">
        <f>IFERROR(__xludf.DUMMYFUNCTION("""COMPUTED_VALUE"""),"worthjbarry@gmail.com")</f>
        <v>worthjbarry@gmail.com</v>
      </c>
      <c r="G877" s="3"/>
      <c r="H877" s="3"/>
    </row>
    <row r="878">
      <c r="A878" s="2">
        <f>IFERROR(__xludf.DUMMYFUNCTION("""COMPUTED_VALUE"""),11604.0)</f>
        <v>11604</v>
      </c>
      <c r="B878" s="3" t="str">
        <f>IFERROR(__xludf.DUMMYFUNCTION("""COMPUTED_VALUE"""),"6616 GANARASKA RD")</f>
        <v>6616 GANARASKA RD</v>
      </c>
      <c r="C878" s="3" t="str">
        <f>IFERROR(__xludf.DUMMYFUNCTION("""COMPUTED_VALUE"""),"CAMPBELLCROFT")</f>
        <v>CAMPBELLCROFT</v>
      </c>
      <c r="D878" s="3" t="str">
        <f>IFERROR(__xludf.DUMMYFUNCTION("""COMPUTED_VALUE"""),"L0A 1B0")</f>
        <v>L0A 1B0</v>
      </c>
      <c r="E878" s="3"/>
      <c r="F878" s="3"/>
      <c r="G878" s="3"/>
      <c r="H878" s="3"/>
    </row>
    <row r="879">
      <c r="A879" s="2">
        <f>IFERROR(__xludf.DUMMYFUNCTION("""COMPUTED_VALUE"""),10151.0)</f>
        <v>10151</v>
      </c>
      <c r="B879" s="3" t="str">
        <f>IFERROR(__xludf.DUMMYFUNCTION("""COMPUTED_VALUE"""),"6625 6TH LINE")</f>
        <v>6625 6TH LINE</v>
      </c>
      <c r="C879" s="3" t="str">
        <f>IFERROR(__xludf.DUMMYFUNCTION("""COMPUTED_VALUE"""),"PORT HOPE")</f>
        <v>PORT HOPE</v>
      </c>
      <c r="D879" s="3" t="str">
        <f>IFERROR(__xludf.DUMMYFUNCTION("""COMPUTED_VALUE"""),"L1A 3V8")</f>
        <v>L1A 3V8</v>
      </c>
      <c r="E879" s="3" t="str">
        <f>IFERROR(__xludf.DUMMYFUNCTION("""COMPUTED_VALUE"""),"Paula Lemieux ")</f>
        <v>Paula Lemieux </v>
      </c>
      <c r="F879" s="3" t="str">
        <f>IFERROR(__xludf.DUMMYFUNCTION("""COMPUTED_VALUE"""),"Paula.Ann.lemieux@gmail.com")</f>
        <v>Paula.Ann.lemieux@gmail.com</v>
      </c>
      <c r="G879" s="3"/>
      <c r="H879" s="3"/>
    </row>
    <row r="880">
      <c r="A880" s="2">
        <f>IFERROR(__xludf.DUMMYFUNCTION("""COMPUTED_VALUE"""),10110.0)</f>
        <v>10110</v>
      </c>
      <c r="B880" s="3" t="str">
        <f>IFERROR(__xludf.DUMMYFUNCTION("""COMPUTED_VALUE"""),"6626 5TH LINE")</f>
        <v>6626 5TH LINE</v>
      </c>
      <c r="C880" s="3" t="str">
        <f>IFERROR(__xludf.DUMMYFUNCTION("""COMPUTED_VALUE"""),"PORT HOPE")</f>
        <v>PORT HOPE</v>
      </c>
      <c r="D880" s="3" t="str">
        <f>IFERROR(__xludf.DUMMYFUNCTION("""COMPUTED_VALUE"""),"L1A 3V6")</f>
        <v>L1A 3V6</v>
      </c>
      <c r="E880" s="3" t="str">
        <f>IFERROR(__xludf.DUMMYFUNCTION("""COMPUTED_VALUE"""),"annette edisbury")</f>
        <v>annette edisbury</v>
      </c>
      <c r="F880" s="3"/>
      <c r="G880" s="3"/>
      <c r="H880" s="3"/>
    </row>
    <row r="881">
      <c r="A881" s="2">
        <f>IFERROR(__xludf.DUMMYFUNCTION("""COMPUTED_VALUE"""),10745.0)</f>
        <v>10745</v>
      </c>
      <c r="B881" s="3" t="str">
        <f>IFERROR(__xludf.DUMMYFUNCTION("""COMPUTED_VALUE"""),"6633 DALE RD")</f>
        <v>6633 DALE RD</v>
      </c>
      <c r="C881" s="3" t="str">
        <f>IFERROR(__xludf.DUMMYFUNCTION("""COMPUTED_VALUE"""),"PORT HOPE")</f>
        <v>PORT HOPE</v>
      </c>
      <c r="D881" s="3" t="str">
        <f>IFERROR(__xludf.DUMMYFUNCTION("""COMPUTED_VALUE"""),"L1A 3V6")</f>
        <v>L1A 3V6</v>
      </c>
      <c r="E881" s="3"/>
      <c r="F881" s="3"/>
      <c r="G881" s="3"/>
      <c r="H881" s="3"/>
    </row>
    <row r="882">
      <c r="A882" s="2">
        <f>IFERROR(__xludf.DUMMYFUNCTION("""COMPUTED_VALUE"""),10890.0)</f>
        <v>10890</v>
      </c>
      <c r="B882" s="3" t="str">
        <f>IFERROR(__xludf.DUMMYFUNCTION("""COMPUTED_VALUE"""),"6645 GANARASKA RD")</f>
        <v>6645 GANARASKA RD</v>
      </c>
      <c r="C882" s="3" t="str">
        <f>IFERROR(__xludf.DUMMYFUNCTION("""COMPUTED_VALUE"""),"CAMPBELLCROFT")</f>
        <v>CAMPBELLCROFT</v>
      </c>
      <c r="D882" s="3" t="str">
        <f>IFERROR(__xludf.DUMMYFUNCTION("""COMPUTED_VALUE"""),"L0A 1B0")</f>
        <v>L0A 1B0</v>
      </c>
      <c r="E882" s="3"/>
      <c r="F882" s="3"/>
      <c r="G882" s="3"/>
      <c r="H882" s="3"/>
    </row>
    <row r="883">
      <c r="A883" s="2">
        <f>IFERROR(__xludf.DUMMYFUNCTION("""COMPUTED_VALUE"""),10689.0)</f>
        <v>10689</v>
      </c>
      <c r="B883" s="3" t="str">
        <f>IFERROR(__xludf.DUMMYFUNCTION("""COMPUTED_VALUE"""),"6646 COUNTY RD 65")</f>
        <v>6646 COUNTY RD 65</v>
      </c>
      <c r="C883" s="3" t="str">
        <f>IFERROR(__xludf.DUMMYFUNCTION("""COMPUTED_VALUE"""),"PORT HOPE")</f>
        <v>PORT HOPE</v>
      </c>
      <c r="D883" s="3" t="str">
        <f>IFERROR(__xludf.DUMMYFUNCTION("""COMPUTED_VALUE"""),"L1A 3V5")</f>
        <v>L1A 3V5</v>
      </c>
      <c r="E883" s="3" t="str">
        <f>IFERROR(__xludf.DUMMYFUNCTION("""COMPUTED_VALUE"""),"NATALIE SOKAY")</f>
        <v>NATALIE SOKAY</v>
      </c>
      <c r="F883" s="3" t="str">
        <f>IFERROR(__xludf.DUMMYFUNCTION("""COMPUTED_VALUE"""),"stoneycreek77@gmail.com")</f>
        <v>stoneycreek77@gmail.com</v>
      </c>
      <c r="G883" s="3"/>
      <c r="H883" s="3"/>
    </row>
    <row r="884">
      <c r="A884" s="2">
        <f>IFERROR(__xludf.DUMMYFUNCTION("""COMPUTED_VALUE"""),11326.0)</f>
        <v>11326</v>
      </c>
      <c r="B884" s="3" t="str">
        <f>IFERROR(__xludf.DUMMYFUNCTION("""COMPUTED_VALUE"""),"6653 PERRYTOWN RD")</f>
        <v>6653 PERRYTOWN RD</v>
      </c>
      <c r="C884" s="3" t="str">
        <f>IFERROR(__xludf.DUMMYFUNCTION("""COMPUTED_VALUE"""),"PORT HOPE")</f>
        <v>PORT HOPE</v>
      </c>
      <c r="D884" s="3" t="str">
        <f>IFERROR(__xludf.DUMMYFUNCTION("""COMPUTED_VALUE"""),"L1A 3V5")</f>
        <v>L1A 3V5</v>
      </c>
      <c r="E884" s="3"/>
      <c r="F884" s="3"/>
      <c r="G884" s="3"/>
      <c r="H884" s="3"/>
    </row>
    <row r="885">
      <c r="A885" s="2">
        <f>IFERROR(__xludf.DUMMYFUNCTION("""COMPUTED_VALUE"""),10746.0)</f>
        <v>10746</v>
      </c>
      <c r="B885" s="3" t="str">
        <f>IFERROR(__xludf.DUMMYFUNCTION("""COMPUTED_VALUE"""),"6655 DALE RD")</f>
        <v>6655 DALE RD</v>
      </c>
      <c r="C885" s="3" t="str">
        <f>IFERROR(__xludf.DUMMYFUNCTION("""COMPUTED_VALUE"""),"PORT HOPE")</f>
        <v>PORT HOPE</v>
      </c>
      <c r="D885" s="3" t="str">
        <f>IFERROR(__xludf.DUMMYFUNCTION("""COMPUTED_VALUE"""),"L1A 3V6")</f>
        <v>L1A 3V6</v>
      </c>
      <c r="E885" s="3" t="str">
        <f>IFERROR(__xludf.DUMMYFUNCTION("""COMPUTED_VALUE"""),"Theresa Cassidy")</f>
        <v>Theresa Cassidy</v>
      </c>
      <c r="F885" s="3" t="str">
        <f>IFERROR(__xludf.DUMMYFUNCTION("""COMPUTED_VALUE"""),"cassidy.terri@gmail.com")</f>
        <v>cassidy.terri@gmail.com</v>
      </c>
      <c r="G885" s="3"/>
      <c r="H885" s="3"/>
    </row>
    <row r="886">
      <c r="A886" s="2">
        <f>IFERROR(__xludf.DUMMYFUNCTION("""COMPUTED_VALUE"""),10236.0)</f>
        <v>10236</v>
      </c>
      <c r="B886" s="3" t="str">
        <f>IFERROR(__xludf.DUMMYFUNCTION("""COMPUTED_VALUE"""),"6667 9TH LINE")</f>
        <v>6667 9TH LINE</v>
      </c>
      <c r="C886" s="3" t="str">
        <f>IFERROR(__xludf.DUMMYFUNCTION("""COMPUTED_VALUE"""),"BAILIEBORO")</f>
        <v>BAILIEBORO</v>
      </c>
      <c r="D886" s="3" t="str">
        <f>IFERROR(__xludf.DUMMYFUNCTION("""COMPUTED_VALUE"""),"K0L 1B0")</f>
        <v>K0L 1B0</v>
      </c>
      <c r="E886" s="3" t="str">
        <f>IFERROR(__xludf.DUMMYFUNCTION("""COMPUTED_VALUE"""),"ted krempa ")</f>
        <v>ted krempa </v>
      </c>
      <c r="F886" s="3" t="str">
        <f>IFERROR(__xludf.DUMMYFUNCTION("""COMPUTED_VALUE"""),"krempated2@gmail.com")</f>
        <v>krempated2@gmail.com</v>
      </c>
      <c r="G886" s="3"/>
      <c r="H886" s="3"/>
    </row>
    <row r="887">
      <c r="A887" s="2">
        <f>IFERROR(__xludf.DUMMYFUNCTION("""COMPUTED_VALUE"""),10747.0)</f>
        <v>10747</v>
      </c>
      <c r="B887" s="3" t="str">
        <f>IFERROR(__xludf.DUMMYFUNCTION("""COMPUTED_VALUE"""),"6667 DALE RD")</f>
        <v>6667 DALE RD</v>
      </c>
      <c r="C887" s="3" t="str">
        <f>IFERROR(__xludf.DUMMYFUNCTION("""COMPUTED_VALUE"""),"PORT HOPE")</f>
        <v>PORT HOPE</v>
      </c>
      <c r="D887" s="3" t="str">
        <f>IFERROR(__xludf.DUMMYFUNCTION("""COMPUTED_VALUE"""),"L1A 3V6")</f>
        <v>L1A 3V6</v>
      </c>
      <c r="E887" s="3" t="str">
        <f>IFERROR(__xludf.DUMMYFUNCTION("""COMPUTED_VALUE"""),"patricia newell")</f>
        <v>patricia newell</v>
      </c>
      <c r="F887" s="3"/>
      <c r="G887" s="3"/>
      <c r="H887" s="3"/>
    </row>
    <row r="888">
      <c r="A888" s="2">
        <f>IFERROR(__xludf.DUMMYFUNCTION("""COMPUTED_VALUE"""),10748.0)</f>
        <v>10748</v>
      </c>
      <c r="B888" s="3" t="str">
        <f>IFERROR(__xludf.DUMMYFUNCTION("""COMPUTED_VALUE"""),"6683 DALE RD")</f>
        <v>6683 DALE RD</v>
      </c>
      <c r="C888" s="3" t="str">
        <f>IFERROR(__xludf.DUMMYFUNCTION("""COMPUTED_VALUE"""),"PORT HOPE")</f>
        <v>PORT HOPE</v>
      </c>
      <c r="D888" s="3" t="str">
        <f>IFERROR(__xludf.DUMMYFUNCTION("""COMPUTED_VALUE"""),"L1A 3V6")</f>
        <v>L1A 3V6</v>
      </c>
      <c r="E888" s="3"/>
      <c r="F888" s="3"/>
      <c r="G888" s="3"/>
      <c r="H888" s="3"/>
    </row>
    <row r="889">
      <c r="A889" s="2">
        <f>IFERROR(__xludf.DUMMYFUNCTION("""COMPUTED_VALUE"""),10111.0)</f>
        <v>10111</v>
      </c>
      <c r="B889" s="3" t="str">
        <f>IFERROR(__xludf.DUMMYFUNCTION("""COMPUTED_VALUE"""),"6684 5TH LINE")</f>
        <v>6684 5TH LINE</v>
      </c>
      <c r="C889" s="3" t="str">
        <f>IFERROR(__xludf.DUMMYFUNCTION("""COMPUTED_VALUE"""),"PORT HOPE")</f>
        <v>PORT HOPE</v>
      </c>
      <c r="D889" s="3" t="str">
        <f>IFERROR(__xludf.DUMMYFUNCTION("""COMPUTED_VALUE"""),"L1A 3V6")</f>
        <v>L1A 3V6</v>
      </c>
      <c r="E889" s="3" t="str">
        <f>IFERROR(__xludf.DUMMYFUNCTION("""COMPUTED_VALUE"""),"Jennifer Souch")</f>
        <v>Jennifer Souch</v>
      </c>
      <c r="F889" s="3" t="str">
        <f>IFERROR(__xludf.DUMMYFUNCTION("""COMPUTED_VALUE"""),"jenn.souch@gmail.com")</f>
        <v>jenn.souch@gmail.com</v>
      </c>
      <c r="G889" s="3"/>
      <c r="H889" s="3"/>
    </row>
    <row r="890">
      <c r="A890" s="2">
        <f>IFERROR(__xludf.DUMMYFUNCTION("""COMPUTED_VALUE"""),10891.0)</f>
        <v>10891</v>
      </c>
      <c r="B890" s="3" t="str">
        <f>IFERROR(__xludf.DUMMYFUNCTION("""COMPUTED_VALUE"""),"6686 GANARASKA RD")</f>
        <v>6686 GANARASKA RD</v>
      </c>
      <c r="C890" s="3" t="str">
        <f>IFERROR(__xludf.DUMMYFUNCTION("""COMPUTED_VALUE"""),"CAMPBELLCROFT")</f>
        <v>CAMPBELLCROFT</v>
      </c>
      <c r="D890" s="3" t="str">
        <f>IFERROR(__xludf.DUMMYFUNCTION("""COMPUTED_VALUE"""),"L0A 1B0")</f>
        <v>L0A 1B0</v>
      </c>
      <c r="E890" s="3"/>
      <c r="F890" s="3"/>
      <c r="G890" s="3"/>
      <c r="H890" s="3"/>
    </row>
    <row r="891">
      <c r="A891" s="2">
        <f>IFERROR(__xludf.DUMMYFUNCTION("""COMPUTED_VALUE"""),10214.0)</f>
        <v>10214</v>
      </c>
      <c r="B891" s="3" t="str">
        <f>IFERROR(__xludf.DUMMYFUNCTION("""COMPUTED_VALUE"""),"6692 7TH LINE RD")</f>
        <v>6692 7TH LINE RD</v>
      </c>
      <c r="C891" s="3" t="str">
        <f>IFERROR(__xludf.DUMMYFUNCTION("""COMPUTED_VALUE"""),"CAMPBELLCROFT")</f>
        <v>CAMPBELLCROFT</v>
      </c>
      <c r="D891" s="3" t="str">
        <f>IFERROR(__xludf.DUMMYFUNCTION("""COMPUTED_VALUE"""),"L0A 1B0")</f>
        <v>L0A 1B0</v>
      </c>
      <c r="E891" s="3" t="str">
        <f>IFERROR(__xludf.DUMMYFUNCTION("""COMPUTED_VALUE"""),"MARY MARGARET JOHNSON")</f>
        <v>MARY MARGARET JOHNSON</v>
      </c>
      <c r="F891" s="3" t="str">
        <f>IFERROR(__xludf.DUMMYFUNCTION("""COMPUTED_VALUE"""),"johnsonm971@gmail.com")</f>
        <v>johnsonm971@gmail.com</v>
      </c>
      <c r="G891" s="3"/>
      <c r="H891" s="3"/>
    </row>
    <row r="892">
      <c r="A892" s="2">
        <f>IFERROR(__xludf.DUMMYFUNCTION("""COMPUTED_VALUE"""),10152.0)</f>
        <v>10152</v>
      </c>
      <c r="B892" s="3" t="str">
        <f>IFERROR(__xludf.DUMMYFUNCTION("""COMPUTED_VALUE"""),"6700 6TH LINE")</f>
        <v>6700 6TH LINE</v>
      </c>
      <c r="C892" s="3" t="str">
        <f>IFERROR(__xludf.DUMMYFUNCTION("""COMPUTED_VALUE"""),"PORT HOPE")</f>
        <v>PORT HOPE</v>
      </c>
      <c r="D892" s="3" t="str">
        <f>IFERROR(__xludf.DUMMYFUNCTION("""COMPUTED_VALUE"""),"L1A 3V8")</f>
        <v>L1A 3V8</v>
      </c>
      <c r="E892" s="3" t="str">
        <f>IFERROR(__xludf.DUMMYFUNCTION("""COMPUTED_VALUE"""),"Anni Graham &amp; Keith Woodward ")</f>
        <v>Anni Graham &amp; Keith Woodward </v>
      </c>
      <c r="F892" s="3" t="str">
        <f>IFERROR(__xludf.DUMMYFUNCTION("""COMPUTED_VALUE"""),"anniegraham2@gmail.com")</f>
        <v>anniegraham2@gmail.com</v>
      </c>
      <c r="G892" s="3"/>
      <c r="H892" s="3"/>
    </row>
    <row r="893">
      <c r="A893" s="2">
        <f>IFERROR(__xludf.DUMMYFUNCTION("""COMPUTED_VALUE"""),10112.0)</f>
        <v>10112</v>
      </c>
      <c r="B893" s="3" t="str">
        <f>IFERROR(__xludf.DUMMYFUNCTION("""COMPUTED_VALUE"""),"6706 5TH LINE")</f>
        <v>6706 5TH LINE</v>
      </c>
      <c r="C893" s="3" t="str">
        <f>IFERROR(__xludf.DUMMYFUNCTION("""COMPUTED_VALUE"""),"PORT HOPE")</f>
        <v>PORT HOPE</v>
      </c>
      <c r="D893" s="3" t="str">
        <f>IFERROR(__xludf.DUMMYFUNCTION("""COMPUTED_VALUE"""),"L1A 3V6")</f>
        <v>L1A 3V6</v>
      </c>
      <c r="E893" s="3"/>
      <c r="F893" s="3"/>
      <c r="G893" s="3"/>
      <c r="H893" s="3"/>
    </row>
    <row r="894">
      <c r="A894" s="2">
        <f>IFERROR(__xludf.DUMMYFUNCTION("""COMPUTED_VALUE"""),11629.0)</f>
        <v>11629</v>
      </c>
      <c r="B894" s="3" t="str">
        <f>IFERROR(__xludf.DUMMYFUNCTION("""COMPUTED_VALUE"""),"6710 GANARASKA RD")</f>
        <v>6710 GANARASKA RD</v>
      </c>
      <c r="C894" s="3" t="str">
        <f>IFERROR(__xludf.DUMMYFUNCTION("""COMPUTED_VALUE"""),"CAMPBELLCROFT")</f>
        <v>CAMPBELLCROFT</v>
      </c>
      <c r="D894" s="3" t="str">
        <f>IFERROR(__xludf.DUMMYFUNCTION("""COMPUTED_VALUE"""),"L0A 1B0")</f>
        <v>L0A 1B0</v>
      </c>
      <c r="E894" s="3" t="str">
        <f>IFERROR(__xludf.DUMMYFUNCTION("""COMPUTED_VALUE"""),"Corey Robinson")</f>
        <v>Corey Robinson</v>
      </c>
      <c r="F894" s="3" t="str">
        <f>IFERROR(__xludf.DUMMYFUNCTION("""COMPUTED_VALUE"""),"corey.arj.robinson@gmail.com")</f>
        <v>corey.arj.robinson@gmail.com</v>
      </c>
      <c r="G894" s="3"/>
      <c r="H894" s="3"/>
    </row>
    <row r="895">
      <c r="A895" s="2">
        <f>IFERROR(__xludf.DUMMYFUNCTION("""COMPUTED_VALUE"""),10749.0)</f>
        <v>10749</v>
      </c>
      <c r="B895" s="3" t="str">
        <f>IFERROR(__xludf.DUMMYFUNCTION("""COMPUTED_VALUE"""),"6721 DALE RD")</f>
        <v>6721 DALE RD</v>
      </c>
      <c r="C895" s="3" t="str">
        <f>IFERROR(__xludf.DUMMYFUNCTION("""COMPUTED_VALUE"""),"PORT HOPE")</f>
        <v>PORT HOPE</v>
      </c>
      <c r="D895" s="3" t="str">
        <f>IFERROR(__xludf.DUMMYFUNCTION("""COMPUTED_VALUE"""),"L1A 3V6")</f>
        <v>L1A 3V6</v>
      </c>
      <c r="E895" s="3"/>
      <c r="F895" s="3"/>
      <c r="G895" s="3"/>
      <c r="H895" s="3"/>
    </row>
    <row r="896">
      <c r="A896" s="2">
        <f>IFERROR(__xludf.DUMMYFUNCTION("""COMPUTED_VALUE"""),10153.0)</f>
        <v>10153</v>
      </c>
      <c r="B896" s="3" t="str">
        <f>IFERROR(__xludf.DUMMYFUNCTION("""COMPUTED_VALUE"""),"6727 6TH LINE")</f>
        <v>6727 6TH LINE</v>
      </c>
      <c r="C896" s="3" t="str">
        <f>IFERROR(__xludf.DUMMYFUNCTION("""COMPUTED_VALUE"""),"PORT HOPE")</f>
        <v>PORT HOPE</v>
      </c>
      <c r="D896" s="3" t="str">
        <f>IFERROR(__xludf.DUMMYFUNCTION("""COMPUTED_VALUE"""),"L1A 3V8")</f>
        <v>L1A 3V8</v>
      </c>
      <c r="E896" s="3"/>
      <c r="F896" s="3"/>
      <c r="G896" s="3"/>
      <c r="H896" s="3"/>
    </row>
    <row r="897">
      <c r="A897" s="2">
        <f>IFERROR(__xludf.DUMMYFUNCTION("""COMPUTED_VALUE"""),10113.0)</f>
        <v>10113</v>
      </c>
      <c r="B897" s="3" t="str">
        <f>IFERROR(__xludf.DUMMYFUNCTION("""COMPUTED_VALUE"""),"6730 5TH LINE")</f>
        <v>6730 5TH LINE</v>
      </c>
      <c r="C897" s="3" t="str">
        <f>IFERROR(__xludf.DUMMYFUNCTION("""COMPUTED_VALUE"""),"PORT HOPE")</f>
        <v>PORT HOPE</v>
      </c>
      <c r="D897" s="3" t="str">
        <f>IFERROR(__xludf.DUMMYFUNCTION("""COMPUTED_VALUE"""),"L1A 3V6")</f>
        <v>L1A 3V6</v>
      </c>
      <c r="E897" s="3" t="str">
        <f>IFERROR(__xludf.DUMMYFUNCTION("""COMPUTED_VALUE"""),"Peter Szydlowski")</f>
        <v>Peter Szydlowski</v>
      </c>
      <c r="F897" s="3" t="str">
        <f>IFERROR(__xludf.DUMMYFUNCTION("""COMPUTED_VALUE"""),"wallykandp@msn.com")</f>
        <v>wallykandp@msn.com</v>
      </c>
      <c r="G897" s="3"/>
      <c r="H897" s="3"/>
    </row>
    <row r="898">
      <c r="A898" s="2">
        <f>IFERROR(__xludf.DUMMYFUNCTION("""COMPUTED_VALUE"""),10368.0)</f>
        <v>10368</v>
      </c>
      <c r="B898" s="3" t="str">
        <f>IFERROR(__xludf.DUMMYFUNCTION("""COMPUTED_VALUE"""),"6734 CAMPBELL RD S")</f>
        <v>6734 CAMPBELL RD S</v>
      </c>
      <c r="C898" s="3" t="str">
        <f>IFERROR(__xludf.DUMMYFUNCTION("""COMPUTED_VALUE"""),"CAMPBELLCROFT")</f>
        <v>CAMPBELLCROFT</v>
      </c>
      <c r="D898" s="3" t="str">
        <f>IFERROR(__xludf.DUMMYFUNCTION("""COMPUTED_VALUE"""),"L0A 1B0")</f>
        <v>L0A 1B0</v>
      </c>
      <c r="E898" s="3" t="str">
        <f>IFERROR(__xludf.DUMMYFUNCTION("""COMPUTED_VALUE"""),"Wayne Lang")</f>
        <v>Wayne Lang</v>
      </c>
      <c r="F898" s="3"/>
      <c r="G898" s="3"/>
      <c r="H898" s="3"/>
    </row>
    <row r="899">
      <c r="A899" s="2">
        <f>IFERROR(__xludf.DUMMYFUNCTION("""COMPUTED_VALUE"""),10750.0)</f>
        <v>10750</v>
      </c>
      <c r="B899" s="3" t="str">
        <f>IFERROR(__xludf.DUMMYFUNCTION("""COMPUTED_VALUE"""),"6739 DALE RD")</f>
        <v>6739 DALE RD</v>
      </c>
      <c r="C899" s="3" t="str">
        <f>IFERROR(__xludf.DUMMYFUNCTION("""COMPUTED_VALUE"""),"PORT HOPE")</f>
        <v>PORT HOPE</v>
      </c>
      <c r="D899" s="3" t="str">
        <f>IFERROR(__xludf.DUMMYFUNCTION("""COMPUTED_VALUE"""),"L1A 3V6")</f>
        <v>L1A 3V6</v>
      </c>
      <c r="E899" s="3" t="str">
        <f>IFERROR(__xludf.DUMMYFUNCTION("""COMPUTED_VALUE"""),"Matthew Hall")</f>
        <v>Matthew Hall</v>
      </c>
      <c r="F899" s="3" t="str">
        <f>IFERROR(__xludf.DUMMYFUNCTION("""COMPUTED_VALUE"""),"hallamaniac07@yahoo.com")</f>
        <v>hallamaniac07@yahoo.com</v>
      </c>
      <c r="G899" s="3"/>
      <c r="H899" s="3"/>
    </row>
    <row r="900">
      <c r="A900" s="2">
        <f>IFERROR(__xludf.DUMMYFUNCTION("""COMPUTED_VALUE"""),10215.0)</f>
        <v>10215</v>
      </c>
      <c r="B900" s="3" t="str">
        <f>IFERROR(__xludf.DUMMYFUNCTION("""COMPUTED_VALUE"""),"6743 7TH LINE")</f>
        <v>6743 7TH LINE</v>
      </c>
      <c r="C900" s="3" t="str">
        <f>IFERROR(__xludf.DUMMYFUNCTION("""COMPUTED_VALUE"""),"CAMPBELLCROFT")</f>
        <v>CAMPBELLCROFT</v>
      </c>
      <c r="D900" s="3" t="str">
        <f>IFERROR(__xludf.DUMMYFUNCTION("""COMPUTED_VALUE"""),"L0A 1B0")</f>
        <v>L0A 1B0</v>
      </c>
      <c r="E900" s="3" t="str">
        <f>IFERROR(__xludf.DUMMYFUNCTION("""COMPUTED_VALUE"""),"mark carlson")</f>
        <v>mark carlson</v>
      </c>
      <c r="F900" s="3" t="str">
        <f>IFERROR(__xludf.DUMMYFUNCTION("""COMPUTED_VALUE"""),"crasy1@gmail.com")</f>
        <v>crasy1@gmail.com</v>
      </c>
      <c r="G900" s="3"/>
      <c r="H900" s="3"/>
    </row>
    <row r="901">
      <c r="A901" s="2">
        <f>IFERROR(__xludf.DUMMYFUNCTION("""COMPUTED_VALUE"""),10237.0)</f>
        <v>10237</v>
      </c>
      <c r="B901" s="3" t="str">
        <f>IFERROR(__xludf.DUMMYFUNCTION("""COMPUTED_VALUE"""),"6746 9TH LINE")</f>
        <v>6746 9TH LINE</v>
      </c>
      <c r="C901" s="3" t="str">
        <f>IFERROR(__xludf.DUMMYFUNCTION("""COMPUTED_VALUE"""),"BAILIEBORO")</f>
        <v>BAILIEBORO</v>
      </c>
      <c r="D901" s="3" t="str">
        <f>IFERROR(__xludf.DUMMYFUNCTION("""COMPUTED_VALUE"""),"K0L 1B0")</f>
        <v>K0L 1B0</v>
      </c>
      <c r="E901" s="3" t="str">
        <f>IFERROR(__xludf.DUMMYFUNCTION("""COMPUTED_VALUE"""),"Robert + Eydie Vandenberg")</f>
        <v>Robert + Eydie Vandenberg</v>
      </c>
      <c r="F901" s="3" t="str">
        <f>IFERROR(__xludf.DUMMYFUNCTION("""COMPUTED_VALUE"""),"rob.quartus@gmail.com")</f>
        <v>rob.quartus@gmail.com</v>
      </c>
      <c r="G901" s="3"/>
      <c r="H901" s="3"/>
    </row>
    <row r="902">
      <c r="A902" s="2">
        <f>IFERROR(__xludf.DUMMYFUNCTION("""COMPUTED_VALUE"""),11327.0)</f>
        <v>11327</v>
      </c>
      <c r="B902" s="3" t="str">
        <f>IFERROR(__xludf.DUMMYFUNCTION("""COMPUTED_VALUE"""),"6752 PERRYTOWN RD")</f>
        <v>6752 PERRYTOWN RD</v>
      </c>
      <c r="C902" s="3" t="str">
        <f>IFERROR(__xludf.DUMMYFUNCTION("""COMPUTED_VALUE"""),"PORT HOPE")</f>
        <v>PORT HOPE</v>
      </c>
      <c r="D902" s="3" t="str">
        <f>IFERROR(__xludf.DUMMYFUNCTION("""COMPUTED_VALUE"""),"L1A 3V5")</f>
        <v>L1A 3V5</v>
      </c>
      <c r="E902" s="3"/>
      <c r="F902" s="3"/>
      <c r="G902" s="3"/>
      <c r="H902" s="3"/>
    </row>
    <row r="903">
      <c r="A903" s="2">
        <f>IFERROR(__xludf.DUMMYFUNCTION("""COMPUTED_VALUE"""),10369.0)</f>
        <v>10369</v>
      </c>
      <c r="B903" s="3" t="str">
        <f>IFERROR(__xludf.DUMMYFUNCTION("""COMPUTED_VALUE"""),"6753 CAMPBELL RD S")</f>
        <v>6753 CAMPBELL RD S</v>
      </c>
      <c r="C903" s="3" t="str">
        <f>IFERROR(__xludf.DUMMYFUNCTION("""COMPUTED_VALUE"""),"CAMPBELLCROFT")</f>
        <v>CAMPBELLCROFT</v>
      </c>
      <c r="D903" s="3" t="str">
        <f>IFERROR(__xludf.DUMMYFUNCTION("""COMPUTED_VALUE"""),"L0A 1B0")</f>
        <v>L0A 1B0</v>
      </c>
      <c r="E903" s="3" t="str">
        <f>IFERROR(__xludf.DUMMYFUNCTION("""COMPUTED_VALUE"""),"Thomas Zverina ")</f>
        <v>Thomas Zverina </v>
      </c>
      <c r="F903" s="3" t="str">
        <f>IFERROR(__xludf.DUMMYFUNCTION("""COMPUTED_VALUE"""),"thomas.zverina@gmail.com")</f>
        <v>thomas.zverina@gmail.com</v>
      </c>
      <c r="G903" s="3"/>
      <c r="H903" s="3"/>
    </row>
    <row r="904">
      <c r="A904" s="2">
        <f>IFERROR(__xludf.DUMMYFUNCTION("""COMPUTED_VALUE"""),10114.0)</f>
        <v>10114</v>
      </c>
      <c r="B904" s="3" t="str">
        <f>IFERROR(__xludf.DUMMYFUNCTION("""COMPUTED_VALUE"""),"6756 5TH LINE")</f>
        <v>6756 5TH LINE</v>
      </c>
      <c r="C904" s="3" t="str">
        <f>IFERROR(__xludf.DUMMYFUNCTION("""COMPUTED_VALUE"""),"PORT HOPE")</f>
        <v>PORT HOPE</v>
      </c>
      <c r="D904" s="3" t="str">
        <f>IFERROR(__xludf.DUMMYFUNCTION("""COMPUTED_VALUE"""),"L1A 3V6")</f>
        <v>L1A 3V6</v>
      </c>
      <c r="E904" s="3" t="str">
        <f>IFERROR(__xludf.DUMMYFUNCTION("""COMPUTED_VALUE"""),"Samantha Dunford")</f>
        <v>Samantha Dunford</v>
      </c>
      <c r="F904" s="3" t="str">
        <f>IFERROR(__xludf.DUMMYFUNCTION("""COMPUTED_VALUE"""),"samanthadunford45@gmail.com")</f>
        <v>samanthadunford45@gmail.com</v>
      </c>
      <c r="G904" s="3"/>
      <c r="H904" s="3"/>
    </row>
    <row r="905">
      <c r="A905" s="2">
        <f>IFERROR(__xludf.DUMMYFUNCTION("""COMPUTED_VALUE"""),10216.0)</f>
        <v>10216</v>
      </c>
      <c r="B905" s="3" t="str">
        <f>IFERROR(__xludf.DUMMYFUNCTION("""COMPUTED_VALUE"""),"6765 7TH LINE")</f>
        <v>6765 7TH LINE</v>
      </c>
      <c r="C905" s="3" t="str">
        <f>IFERROR(__xludf.DUMMYFUNCTION("""COMPUTED_VALUE"""),"CAMPBELLCROFT")</f>
        <v>CAMPBELLCROFT</v>
      </c>
      <c r="D905" s="3" t="str">
        <f>IFERROR(__xludf.DUMMYFUNCTION("""COMPUTED_VALUE"""),"L0A 1B0")</f>
        <v>L0A 1B0</v>
      </c>
      <c r="E905" s="3" t="str">
        <f>IFERROR(__xludf.DUMMYFUNCTION("""COMPUTED_VALUE"""),"BRIAN MACGILLIVRAY")</f>
        <v>BRIAN MACGILLIVRAY</v>
      </c>
      <c r="F905" s="3" t="str">
        <f>IFERROR(__xludf.DUMMYFUNCTION("""COMPUTED_VALUE"""),"brianfreedom51@hotmail.comm")</f>
        <v>brianfreedom51@hotmail.comm</v>
      </c>
      <c r="G905" s="3"/>
      <c r="H905" s="3"/>
    </row>
    <row r="906">
      <c r="A906" s="2">
        <f>IFERROR(__xludf.DUMMYFUNCTION("""COMPUTED_VALUE"""),10115.0)</f>
        <v>10115</v>
      </c>
      <c r="B906" s="3" t="str">
        <f>IFERROR(__xludf.DUMMYFUNCTION("""COMPUTED_VALUE"""),"6770 5TH LINE")</f>
        <v>6770 5TH LINE</v>
      </c>
      <c r="C906" s="3" t="str">
        <f>IFERROR(__xludf.DUMMYFUNCTION("""COMPUTED_VALUE"""),"PORT HOPE")</f>
        <v>PORT HOPE</v>
      </c>
      <c r="D906" s="3" t="str">
        <f>IFERROR(__xludf.DUMMYFUNCTION("""COMPUTED_VALUE"""),"L1A 3V6")</f>
        <v>L1A 3V6</v>
      </c>
      <c r="E906" s="3" t="str">
        <f>IFERROR(__xludf.DUMMYFUNCTION("""COMPUTED_VALUE"""),"Neil Sheppard")</f>
        <v>Neil Sheppard</v>
      </c>
      <c r="F906" s="3"/>
      <c r="G906" s="3"/>
      <c r="H906" s="3"/>
    </row>
    <row r="907">
      <c r="A907" s="2">
        <f>IFERROR(__xludf.DUMMYFUNCTION("""COMPUTED_VALUE"""),10154.0)</f>
        <v>10154</v>
      </c>
      <c r="B907" s="3" t="str">
        <f>IFERROR(__xludf.DUMMYFUNCTION("""COMPUTED_VALUE"""),"6771 6TH LINE")</f>
        <v>6771 6TH LINE</v>
      </c>
      <c r="C907" s="3" t="str">
        <f>IFERROR(__xludf.DUMMYFUNCTION("""COMPUTED_VALUE"""),"PORT HOPE")</f>
        <v>PORT HOPE</v>
      </c>
      <c r="D907" s="3" t="str">
        <f>IFERROR(__xludf.DUMMYFUNCTION("""COMPUTED_VALUE"""),"L1A 3V8")</f>
        <v>L1A 3V8</v>
      </c>
      <c r="E907" s="3"/>
      <c r="F907" s="3"/>
      <c r="G907" s="3"/>
      <c r="H907" s="3"/>
    </row>
    <row r="908">
      <c r="A908" s="2">
        <f>IFERROR(__xludf.DUMMYFUNCTION("""COMPUTED_VALUE"""),10238.0)</f>
        <v>10238</v>
      </c>
      <c r="B908" s="3" t="str">
        <f>IFERROR(__xludf.DUMMYFUNCTION("""COMPUTED_VALUE"""),"6780 9TH LINE")</f>
        <v>6780 9TH LINE</v>
      </c>
      <c r="C908" s="3" t="str">
        <f>IFERROR(__xludf.DUMMYFUNCTION("""COMPUTED_VALUE"""),"BAILIEBORO")</f>
        <v>BAILIEBORO</v>
      </c>
      <c r="D908" s="3" t="str">
        <f>IFERROR(__xludf.DUMMYFUNCTION("""COMPUTED_VALUE"""),"K0L 1B0")</f>
        <v>K0L 1B0</v>
      </c>
      <c r="E908" s="3"/>
      <c r="F908" s="3"/>
      <c r="G908" s="3"/>
      <c r="H908" s="3"/>
    </row>
    <row r="909">
      <c r="A909" s="2">
        <f>IFERROR(__xludf.DUMMYFUNCTION("""COMPUTED_VALUE"""),10116.0)</f>
        <v>10116</v>
      </c>
      <c r="B909" s="3" t="str">
        <f>IFERROR(__xludf.DUMMYFUNCTION("""COMPUTED_VALUE"""),"6796 5TH LINE")</f>
        <v>6796 5TH LINE</v>
      </c>
      <c r="C909" s="3" t="str">
        <f>IFERROR(__xludf.DUMMYFUNCTION("""COMPUTED_VALUE"""),"PORT HOPE")</f>
        <v>PORT HOPE</v>
      </c>
      <c r="D909" s="3" t="str">
        <f>IFERROR(__xludf.DUMMYFUNCTION("""COMPUTED_VALUE"""),"L1A 3V6")</f>
        <v>L1A 3V6</v>
      </c>
      <c r="E909" s="3" t="str">
        <f>IFERROR(__xludf.DUMMYFUNCTION("""COMPUTED_VALUE"""),"Hayley Doyle")</f>
        <v>Hayley Doyle</v>
      </c>
      <c r="F909" s="3" t="str">
        <f>IFERROR(__xludf.DUMMYFUNCTION("""COMPUTED_VALUE"""),"hayleydoyle@xplornet.ca")</f>
        <v>hayleydoyle@xplornet.ca</v>
      </c>
      <c r="G909" s="3"/>
      <c r="H909" s="3"/>
    </row>
    <row r="910">
      <c r="A910" s="2">
        <f>IFERROR(__xludf.DUMMYFUNCTION("""COMPUTED_VALUE"""),10893.0)</f>
        <v>10893</v>
      </c>
      <c r="B910" s="3" t="str">
        <f>IFERROR(__xludf.DUMMYFUNCTION("""COMPUTED_VALUE"""),"6800 GANARASKA RD")</f>
        <v>6800 GANARASKA RD</v>
      </c>
      <c r="C910" s="3" t="str">
        <f>IFERROR(__xludf.DUMMYFUNCTION("""COMPUTED_VALUE"""),"CAMPBELLCROFT")</f>
        <v>CAMPBELLCROFT</v>
      </c>
      <c r="D910" s="3" t="str">
        <f>IFERROR(__xludf.DUMMYFUNCTION("""COMPUTED_VALUE"""),"L0A 1B0")</f>
        <v>L0A 1B0</v>
      </c>
      <c r="E910" s="3"/>
      <c r="F910" s="3"/>
      <c r="G910" s="3"/>
      <c r="H910" s="3"/>
    </row>
    <row r="911">
      <c r="A911" s="2">
        <f>IFERROR(__xludf.DUMMYFUNCTION("""COMPUTED_VALUE"""),10485.0)</f>
        <v>10485</v>
      </c>
      <c r="B911" s="3" t="str">
        <f>IFERROR(__xludf.DUMMYFUNCTION("""COMPUTED_VALUE"""),"6849 COUNTY RD 10")</f>
        <v>6849 COUNTY RD 10</v>
      </c>
      <c r="C911" s="3" t="str">
        <f>IFERROR(__xludf.DUMMYFUNCTION("""COMPUTED_VALUE"""),"PORT HOPE")</f>
        <v>PORT HOPE</v>
      </c>
      <c r="D911" s="3" t="str">
        <f>IFERROR(__xludf.DUMMYFUNCTION("""COMPUTED_VALUE"""),"L1A 3V5")</f>
        <v>L1A 3V5</v>
      </c>
      <c r="E911" s="3" t="str">
        <f>IFERROR(__xludf.DUMMYFUNCTION("""COMPUTED_VALUE"""),"neal pope ")</f>
        <v>neal pope </v>
      </c>
      <c r="F911" s="3" t="str">
        <f>IFERROR(__xludf.DUMMYFUNCTION("""COMPUTED_VALUE"""),"npope@npcservice.ca")</f>
        <v>npope@npcservice.ca</v>
      </c>
      <c r="G911" s="3"/>
      <c r="H911" s="3"/>
    </row>
    <row r="912">
      <c r="A912" s="2">
        <f>IFERROR(__xludf.DUMMYFUNCTION("""COMPUTED_VALUE"""),10370.0)</f>
        <v>10370</v>
      </c>
      <c r="B912" s="3" t="str">
        <f>IFERROR(__xludf.DUMMYFUNCTION("""COMPUTED_VALUE"""),"6822 CAMPBELL RD S")</f>
        <v>6822 CAMPBELL RD S</v>
      </c>
      <c r="C912" s="3" t="str">
        <f>IFERROR(__xludf.DUMMYFUNCTION("""COMPUTED_VALUE"""),"CAMPBELLCROFT")</f>
        <v>CAMPBELLCROFT</v>
      </c>
      <c r="D912" s="3" t="str">
        <f>IFERROR(__xludf.DUMMYFUNCTION("""COMPUTED_VALUE"""),"L0A 1B0")</f>
        <v>L0A 1B0</v>
      </c>
      <c r="E912" s="3" t="str">
        <f>IFERROR(__xludf.DUMMYFUNCTION("""COMPUTED_VALUE"""),"Michael Griffiths")</f>
        <v>Michael Griffiths</v>
      </c>
      <c r="F912" s="3" t="str">
        <f>IFERROR(__xludf.DUMMYFUNCTION("""COMPUTED_VALUE"""),"griffiths.michael1@icloud.com")</f>
        <v>griffiths.michael1@icloud.com</v>
      </c>
      <c r="G912" s="3"/>
      <c r="H912" s="3"/>
    </row>
    <row r="913">
      <c r="A913" s="2">
        <f>IFERROR(__xludf.DUMMYFUNCTION("""COMPUTED_VALUE"""),10239.0)</f>
        <v>10239</v>
      </c>
      <c r="B913" s="3" t="str">
        <f>IFERROR(__xludf.DUMMYFUNCTION("""COMPUTED_VALUE"""),"6835 9TH LINE")</f>
        <v>6835 9TH LINE</v>
      </c>
      <c r="C913" s="3" t="str">
        <f>IFERROR(__xludf.DUMMYFUNCTION("""COMPUTED_VALUE"""),"BAILIEBORO")</f>
        <v>BAILIEBORO</v>
      </c>
      <c r="D913" s="3" t="str">
        <f>IFERROR(__xludf.DUMMYFUNCTION("""COMPUTED_VALUE"""),"K0L 1B0")</f>
        <v>K0L 1B0</v>
      </c>
      <c r="E913" s="3"/>
      <c r="F913" s="3"/>
      <c r="G913" s="3"/>
      <c r="H913" s="3"/>
    </row>
    <row r="914">
      <c r="A914" s="2">
        <f>IFERROR(__xludf.DUMMYFUNCTION("""COMPUTED_VALUE"""),11328.0)</f>
        <v>11328</v>
      </c>
      <c r="B914" s="3" t="str">
        <f>IFERROR(__xludf.DUMMYFUNCTION("""COMPUTED_VALUE"""),"6835 PERRYTOWN RD")</f>
        <v>6835 PERRYTOWN RD</v>
      </c>
      <c r="C914" s="3" t="str">
        <f>IFERROR(__xludf.DUMMYFUNCTION("""COMPUTED_VALUE"""),"PORT HOPE")</f>
        <v>PORT HOPE</v>
      </c>
      <c r="D914" s="3" t="str">
        <f>IFERROR(__xludf.DUMMYFUNCTION("""COMPUTED_VALUE"""),"L1A 3V5")</f>
        <v>L1A 3V5</v>
      </c>
      <c r="E914" s="3" t="str">
        <f>IFERROR(__xludf.DUMMYFUNCTION("""COMPUTED_VALUE"""),"evelyn vandelmay")</f>
        <v>evelyn vandelmay</v>
      </c>
      <c r="F914" s="3" t="str">
        <f>IFERROR(__xludf.DUMMYFUNCTION("""COMPUTED_VALUE"""),"everemay@gmail.com")</f>
        <v>everemay@gmail.com</v>
      </c>
      <c r="G914" s="3"/>
      <c r="H914" s="3"/>
    </row>
    <row r="915">
      <c r="A915" s="2">
        <f>IFERROR(__xludf.DUMMYFUNCTION("""COMPUTED_VALUE"""),10217.0)</f>
        <v>10217</v>
      </c>
      <c r="B915" s="3" t="str">
        <f>IFERROR(__xludf.DUMMYFUNCTION("""COMPUTED_VALUE"""),"6845 7TH LINE")</f>
        <v>6845 7TH LINE</v>
      </c>
      <c r="C915" s="3" t="str">
        <f>IFERROR(__xludf.DUMMYFUNCTION("""COMPUTED_VALUE"""),"CAMPBELLCROFT")</f>
        <v>CAMPBELLCROFT</v>
      </c>
      <c r="D915" s="3" t="str">
        <f>IFERROR(__xludf.DUMMYFUNCTION("""COMPUTED_VALUE"""),"L0A 1B0")</f>
        <v>L0A 1B0</v>
      </c>
      <c r="E915" s="3" t="str">
        <f>IFERROR(__xludf.DUMMYFUNCTION("""COMPUTED_VALUE"""),"Jane Ann Scott")</f>
        <v>Jane Ann Scott</v>
      </c>
      <c r="F915" s="3" t="str">
        <f>IFERROR(__xludf.DUMMYFUNCTION("""COMPUTED_VALUE"""),"annscott1135@gmail.com")</f>
        <v>annscott1135@gmail.com</v>
      </c>
      <c r="G915" s="3"/>
      <c r="H915" s="3"/>
    </row>
    <row r="916">
      <c r="A916" s="2">
        <f>IFERROR(__xludf.DUMMYFUNCTION("""COMPUTED_VALUE"""),10486.0)</f>
        <v>10486</v>
      </c>
      <c r="B916" s="3" t="str">
        <f>IFERROR(__xludf.DUMMYFUNCTION("""COMPUTED_VALUE"""),"6876 COUNTY RD 10")</f>
        <v>6876 COUNTY RD 10</v>
      </c>
      <c r="C916" s="3" t="str">
        <f>IFERROR(__xludf.DUMMYFUNCTION("""COMPUTED_VALUE"""),"PORT HOPE")</f>
        <v>PORT HOPE</v>
      </c>
      <c r="D916" s="3" t="str">
        <f>IFERROR(__xludf.DUMMYFUNCTION("""COMPUTED_VALUE"""),"L1A 3V5")</f>
        <v>L1A 3V5</v>
      </c>
      <c r="E916" s="3" t="str">
        <f>IFERROR(__xludf.DUMMYFUNCTION("""COMPUTED_VALUE"""),"Bill Moore -Ede")</f>
        <v>Bill Moore -Ede</v>
      </c>
      <c r="F916" s="3" t="str">
        <f>IFERROR(__xludf.DUMMYFUNCTION("""COMPUTED_VALUE"""),"bill.mooreede@eagle.ca")</f>
        <v>bill.mooreede@eagle.ca</v>
      </c>
      <c r="G916" s="3"/>
      <c r="H916" s="3"/>
    </row>
    <row r="917">
      <c r="A917" s="2">
        <f>IFERROR(__xludf.DUMMYFUNCTION("""COMPUTED_VALUE"""),10218.0)</f>
        <v>10218</v>
      </c>
      <c r="B917" s="3" t="str">
        <f>IFERROR(__xludf.DUMMYFUNCTION("""COMPUTED_VALUE"""),"6852 7TH LINE")</f>
        <v>6852 7TH LINE</v>
      </c>
      <c r="C917" s="3" t="str">
        <f>IFERROR(__xludf.DUMMYFUNCTION("""COMPUTED_VALUE"""),"CAMPBELLCROFT")</f>
        <v>CAMPBELLCROFT</v>
      </c>
      <c r="D917" s="3" t="str">
        <f>IFERROR(__xludf.DUMMYFUNCTION("""COMPUTED_VALUE"""),"L0A 1B0")</f>
        <v>L0A 1B0</v>
      </c>
      <c r="E917" s="3" t="str">
        <f>IFERROR(__xludf.DUMMYFUNCTION("""COMPUTED_VALUE"""),"D Joyce Ferauson")</f>
        <v>D Joyce Ferauson</v>
      </c>
      <c r="F917" s="3"/>
      <c r="G917" s="3"/>
      <c r="H917" s="3"/>
    </row>
    <row r="918">
      <c r="A918" s="2">
        <f>IFERROR(__xludf.DUMMYFUNCTION("""COMPUTED_VALUE"""),10117.0)</f>
        <v>10117</v>
      </c>
      <c r="B918" s="3" t="str">
        <f>IFERROR(__xludf.DUMMYFUNCTION("""COMPUTED_VALUE"""),"6859 5TH LINE")</f>
        <v>6859 5TH LINE</v>
      </c>
      <c r="C918" s="3" t="str">
        <f>IFERROR(__xludf.DUMMYFUNCTION("""COMPUTED_VALUE"""),"PORT HOPE")</f>
        <v>PORT HOPE</v>
      </c>
      <c r="D918" s="3" t="str">
        <f>IFERROR(__xludf.DUMMYFUNCTION("""COMPUTED_VALUE"""),"L1A 3V6")</f>
        <v>L1A 3V6</v>
      </c>
      <c r="E918" s="3" t="str">
        <f>IFERROR(__xludf.DUMMYFUNCTION("""COMPUTED_VALUE"""),"pat appleman")</f>
        <v>pat appleman</v>
      </c>
      <c r="F918" s="3" t="str">
        <f>IFERROR(__xludf.DUMMYFUNCTION("""COMPUTED_VALUE"""),"blackalice460@hotmail.com")</f>
        <v>blackalice460@hotmail.com</v>
      </c>
      <c r="G918" s="3"/>
      <c r="H918" s="3"/>
    </row>
    <row r="919">
      <c r="A919" s="2">
        <f>IFERROR(__xludf.DUMMYFUNCTION("""COMPUTED_VALUE"""),10487.0)</f>
        <v>10487</v>
      </c>
      <c r="B919" s="3" t="str">
        <f>IFERROR(__xludf.DUMMYFUNCTION("""COMPUTED_VALUE"""),"7052 COUNTY RD 10")</f>
        <v>7052 COUNTY RD 10</v>
      </c>
      <c r="C919" s="3" t="str">
        <f>IFERROR(__xludf.DUMMYFUNCTION("""COMPUTED_VALUE"""),"PORT HOPE")</f>
        <v>PORT HOPE</v>
      </c>
      <c r="D919" s="3" t="str">
        <f>IFERROR(__xludf.DUMMYFUNCTION("""COMPUTED_VALUE"""),"L1A 3V5")</f>
        <v>L1A 3V5</v>
      </c>
      <c r="E919" s="3" t="str">
        <f>IFERROR(__xludf.DUMMYFUNCTION("""COMPUTED_VALUE"""),"Celina Stevens")</f>
        <v>Celina Stevens</v>
      </c>
      <c r="F919" s="3" t="str">
        <f>IFERROR(__xludf.DUMMYFUNCTION("""COMPUTED_VALUE"""),"cstevens@rcms.ca")</f>
        <v>cstevens@rcms.ca</v>
      </c>
      <c r="G919" s="3"/>
      <c r="H919" s="3"/>
    </row>
    <row r="920">
      <c r="A920" s="2">
        <f>IFERROR(__xludf.DUMMYFUNCTION("""COMPUTED_VALUE"""),10219.0)</f>
        <v>10219</v>
      </c>
      <c r="B920" s="3" t="str">
        <f>IFERROR(__xludf.DUMMYFUNCTION("""COMPUTED_VALUE"""),"6882 7TH LINE")</f>
        <v>6882 7TH LINE</v>
      </c>
      <c r="C920" s="3" t="str">
        <f>IFERROR(__xludf.DUMMYFUNCTION("""COMPUTED_VALUE"""),"CAMPBELLCROFT")</f>
        <v>CAMPBELLCROFT</v>
      </c>
      <c r="D920" s="3" t="str">
        <f>IFERROR(__xludf.DUMMYFUNCTION("""COMPUTED_VALUE"""),"L0A 1B0")</f>
        <v>L0A 1B0</v>
      </c>
      <c r="E920" s="3" t="str">
        <f>IFERROR(__xludf.DUMMYFUNCTION("""COMPUTED_VALUE"""),"kevin jensen")</f>
        <v>kevin jensen</v>
      </c>
      <c r="F920" s="3"/>
      <c r="G920" s="3"/>
      <c r="H920" s="3"/>
    </row>
    <row r="921">
      <c r="A921" s="2">
        <f>IFERROR(__xludf.DUMMYFUNCTION("""COMPUTED_VALUE"""),10755.0)</f>
        <v>10755</v>
      </c>
      <c r="B921" s="3" t="str">
        <f>IFERROR(__xludf.DUMMYFUNCTION("""COMPUTED_VALUE"""),"6893 DALE RD")</f>
        <v>6893 DALE RD</v>
      </c>
      <c r="C921" s="3" t="str">
        <f>IFERROR(__xludf.DUMMYFUNCTION("""COMPUTED_VALUE"""),"PORT HOPE")</f>
        <v>PORT HOPE</v>
      </c>
      <c r="D921" s="3" t="str">
        <f>IFERROR(__xludf.DUMMYFUNCTION("""COMPUTED_VALUE"""),"L1A 3V6")</f>
        <v>L1A 3V6</v>
      </c>
      <c r="E921" s="3"/>
      <c r="F921" s="3"/>
      <c r="G921" s="3"/>
      <c r="H921" s="3"/>
    </row>
    <row r="922">
      <c r="A922" s="2">
        <f>IFERROR(__xludf.DUMMYFUNCTION("""COMPUTED_VALUE"""),11013.0)</f>
        <v>11013</v>
      </c>
      <c r="B922" s="3" t="str">
        <f>IFERROR(__xludf.DUMMYFUNCTION("""COMPUTED_VALUE"""),"6904 JAMIESON RD")</f>
        <v>6904 JAMIESON RD</v>
      </c>
      <c r="C922" s="3" t="str">
        <f>IFERROR(__xludf.DUMMYFUNCTION("""COMPUTED_VALUE"""),"CAMPBELLCROFT")</f>
        <v>CAMPBELLCROFT</v>
      </c>
      <c r="D922" s="3" t="str">
        <f>IFERROR(__xludf.DUMMYFUNCTION("""COMPUTED_VALUE"""),"L0A 1B0")</f>
        <v>L0A 1B0</v>
      </c>
      <c r="E922" s="3"/>
      <c r="F922" s="3"/>
      <c r="G922" s="3"/>
      <c r="H922" s="3"/>
    </row>
    <row r="923">
      <c r="A923" s="2">
        <f>IFERROR(__xludf.DUMMYFUNCTION("""COMPUTED_VALUE"""),10118.0)</f>
        <v>10118</v>
      </c>
      <c r="B923" s="3" t="str">
        <f>IFERROR(__xludf.DUMMYFUNCTION("""COMPUTED_VALUE"""),"6906 5TH LINE")</f>
        <v>6906 5TH LINE</v>
      </c>
      <c r="C923" s="3" t="str">
        <f>IFERROR(__xludf.DUMMYFUNCTION("""COMPUTED_VALUE"""),"PORT HOPE")</f>
        <v>PORT HOPE</v>
      </c>
      <c r="D923" s="3" t="str">
        <f>IFERROR(__xludf.DUMMYFUNCTION("""COMPUTED_VALUE"""),"L1A 3V6")</f>
        <v>L1A 3V6</v>
      </c>
      <c r="E923" s="3" t="str">
        <f>IFERROR(__xludf.DUMMYFUNCTION("""COMPUTED_VALUE"""),"MISOOK SHIN")</f>
        <v>MISOOK SHIN</v>
      </c>
      <c r="F923" s="3" t="str">
        <f>IFERROR(__xludf.DUMMYFUNCTION("""COMPUTED_VALUE"""),"beckers80305@gmail.com")</f>
        <v>beckers80305@gmail.com</v>
      </c>
      <c r="G923" s="3"/>
      <c r="H923" s="3"/>
    </row>
    <row r="924">
      <c r="A924" s="2">
        <f>IFERROR(__xludf.DUMMYFUNCTION("""COMPUTED_VALUE"""),10220.0)</f>
        <v>10220</v>
      </c>
      <c r="B924" s="3" t="str">
        <f>IFERROR(__xludf.DUMMYFUNCTION("""COMPUTED_VALUE"""),"6914 7TH LINE")</f>
        <v>6914 7TH LINE</v>
      </c>
      <c r="C924" s="3" t="str">
        <f>IFERROR(__xludf.DUMMYFUNCTION("""COMPUTED_VALUE"""),"CAMPBELLCROFT")</f>
        <v>CAMPBELLCROFT</v>
      </c>
      <c r="D924" s="3" t="str">
        <f>IFERROR(__xludf.DUMMYFUNCTION("""COMPUTED_VALUE"""),"L0A 1B0")</f>
        <v>L0A 1B0</v>
      </c>
      <c r="E924" s="3" t="str">
        <f>IFERROR(__xludf.DUMMYFUNCTION("""COMPUTED_VALUE"""),"sarah held")</f>
        <v>sarah held</v>
      </c>
      <c r="F924" s="3"/>
      <c r="G924" s="3"/>
      <c r="H924" s="3"/>
    </row>
    <row r="925">
      <c r="A925" s="2">
        <f>IFERROR(__xludf.DUMMYFUNCTION("""COMPUTED_VALUE"""),10371.0)</f>
        <v>10371</v>
      </c>
      <c r="B925" s="3" t="str">
        <f>IFERROR(__xludf.DUMMYFUNCTION("""COMPUTED_VALUE"""),"6915 CAMPBELL RD S")</f>
        <v>6915 CAMPBELL RD S</v>
      </c>
      <c r="C925" s="3" t="str">
        <f>IFERROR(__xludf.DUMMYFUNCTION("""COMPUTED_VALUE"""),"CAMPBELLCROFT")</f>
        <v>CAMPBELLCROFT</v>
      </c>
      <c r="D925" s="3" t="str">
        <f>IFERROR(__xludf.DUMMYFUNCTION("""COMPUTED_VALUE"""),"L0A 1B0")</f>
        <v>L0A 1B0</v>
      </c>
      <c r="E925" s="3" t="str">
        <f>IFERROR(__xludf.DUMMYFUNCTION("""COMPUTED_VALUE"""),"Robert Aukema")</f>
        <v>Robert Aukema</v>
      </c>
      <c r="F925" s="3" t="str">
        <f>IFERROR(__xludf.DUMMYFUNCTION("""COMPUTED_VALUE"""),"robaukema@hotmail.com")</f>
        <v>robaukema@hotmail.com</v>
      </c>
      <c r="G925" s="3"/>
      <c r="H925" s="3"/>
    </row>
    <row r="926">
      <c r="A926" s="2">
        <f>IFERROR(__xludf.DUMMYFUNCTION("""COMPUTED_VALUE"""),10155.0)</f>
        <v>10155</v>
      </c>
      <c r="B926" s="3" t="str">
        <f>IFERROR(__xludf.DUMMYFUNCTION("""COMPUTED_VALUE"""),"6920 6TH LINE")</f>
        <v>6920 6TH LINE</v>
      </c>
      <c r="C926" s="3" t="str">
        <f>IFERROR(__xludf.DUMMYFUNCTION("""COMPUTED_VALUE"""),"PORT HOPE")</f>
        <v>PORT HOPE</v>
      </c>
      <c r="D926" s="3" t="str">
        <f>IFERROR(__xludf.DUMMYFUNCTION("""COMPUTED_VALUE"""),"L1A 3V8")</f>
        <v>L1A 3V8</v>
      </c>
      <c r="E926" s="3" t="str">
        <f>IFERROR(__xludf.DUMMYFUNCTION("""COMPUTED_VALUE"""),"Gary Russell ")</f>
        <v>Gary Russell </v>
      </c>
      <c r="F926" s="3"/>
      <c r="G926" s="3"/>
      <c r="H926" s="3"/>
    </row>
    <row r="927">
      <c r="A927" s="2">
        <f>IFERROR(__xludf.DUMMYFUNCTION("""COMPUTED_VALUE"""),10156.0)</f>
        <v>10156</v>
      </c>
      <c r="B927" s="3" t="str">
        <f>IFERROR(__xludf.DUMMYFUNCTION("""COMPUTED_VALUE"""),"6921 6TH LINE")</f>
        <v>6921 6TH LINE</v>
      </c>
      <c r="C927" s="3" t="str">
        <f>IFERROR(__xludf.DUMMYFUNCTION("""COMPUTED_VALUE"""),"PORT HOPE")</f>
        <v>PORT HOPE</v>
      </c>
      <c r="D927" s="3" t="str">
        <f>IFERROR(__xludf.DUMMYFUNCTION("""COMPUTED_VALUE"""),"L1A 3V8")</f>
        <v>L1A 3V8</v>
      </c>
      <c r="E927" s="3"/>
      <c r="F927" s="3"/>
      <c r="G927" s="3"/>
      <c r="H927" s="3"/>
    </row>
    <row r="928">
      <c r="A928" s="2">
        <f>IFERROR(__xludf.DUMMYFUNCTION("""COMPUTED_VALUE"""),10756.0)</f>
        <v>10756</v>
      </c>
      <c r="B928" s="3" t="str">
        <f>IFERROR(__xludf.DUMMYFUNCTION("""COMPUTED_VALUE"""),"6931 DALE RD")</f>
        <v>6931 DALE RD</v>
      </c>
      <c r="C928" s="3" t="str">
        <f>IFERROR(__xludf.DUMMYFUNCTION("""COMPUTED_VALUE"""),"PORT HOPE")</f>
        <v>PORT HOPE</v>
      </c>
      <c r="D928" s="3" t="str">
        <f>IFERROR(__xludf.DUMMYFUNCTION("""COMPUTED_VALUE"""),"L1A 3V6")</f>
        <v>L1A 3V6</v>
      </c>
      <c r="E928" s="3"/>
      <c r="F928" s="3"/>
      <c r="G928" s="3"/>
      <c r="H928" s="3"/>
    </row>
    <row r="929">
      <c r="A929" s="2">
        <f>IFERROR(__xludf.DUMMYFUNCTION("""COMPUTED_VALUE"""),11014.0)</f>
        <v>11014</v>
      </c>
      <c r="B929" s="3" t="str">
        <f>IFERROR(__xludf.DUMMYFUNCTION("""COMPUTED_VALUE"""),"6934 JAMIESON RD")</f>
        <v>6934 JAMIESON RD</v>
      </c>
      <c r="C929" s="3" t="str">
        <f>IFERROR(__xludf.DUMMYFUNCTION("""COMPUTED_VALUE"""),"CAMPBELLCROFT")</f>
        <v>CAMPBELLCROFT</v>
      </c>
      <c r="D929" s="3" t="str">
        <f>IFERROR(__xludf.DUMMYFUNCTION("""COMPUTED_VALUE"""),"L0A 1B0")</f>
        <v>L0A 1B0</v>
      </c>
      <c r="E929" s="3" t="str">
        <f>IFERROR(__xludf.DUMMYFUNCTION("""COMPUTED_VALUE"""),"Tina Wells")</f>
        <v>Tina Wells</v>
      </c>
      <c r="F929" s="3" t="str">
        <f>IFERROR(__xludf.DUMMYFUNCTION("""COMPUTED_VALUE"""),"tinalouisewells@hotmail.com")</f>
        <v>tinalouisewells@hotmail.com</v>
      </c>
      <c r="G929" s="3"/>
      <c r="H929" s="3"/>
    </row>
    <row r="930">
      <c r="A930" s="2">
        <f>IFERROR(__xludf.DUMMYFUNCTION("""COMPUTED_VALUE"""),10221.0)</f>
        <v>10221</v>
      </c>
      <c r="B930" s="3" t="str">
        <f>IFERROR(__xludf.DUMMYFUNCTION("""COMPUTED_VALUE"""),"6940 7TH LINE")</f>
        <v>6940 7TH LINE</v>
      </c>
      <c r="C930" s="3" t="str">
        <f>IFERROR(__xludf.DUMMYFUNCTION("""COMPUTED_VALUE"""),"CAMPBELLCROFT")</f>
        <v>CAMPBELLCROFT</v>
      </c>
      <c r="D930" s="3" t="str">
        <f>IFERROR(__xludf.DUMMYFUNCTION("""COMPUTED_VALUE"""),"L0A 1B0")</f>
        <v>L0A 1B0</v>
      </c>
      <c r="E930" s="3" t="str">
        <f>IFERROR(__xludf.DUMMYFUNCTION("""COMPUTED_VALUE"""),"Terry Lugdon")</f>
        <v>Terry Lugdon</v>
      </c>
      <c r="F930" s="3" t="str">
        <f>IFERROR(__xludf.DUMMYFUNCTION("""COMPUTED_VALUE"""),"tlugdon@gmail.com")</f>
        <v>tlugdon@gmail.com</v>
      </c>
      <c r="G930" s="3"/>
      <c r="H930" s="3"/>
    </row>
    <row r="931">
      <c r="A931" s="2">
        <f>IFERROR(__xludf.DUMMYFUNCTION("""COMPUTED_VALUE"""),10856.0)</f>
        <v>10856</v>
      </c>
      <c r="B931" s="3" t="str">
        <f>IFERROR(__xludf.DUMMYFUNCTION("""COMPUTED_VALUE"""),"6940 FARINI RD")</f>
        <v>6940 FARINI RD</v>
      </c>
      <c r="C931" s="3" t="str">
        <f>IFERROR(__xludf.DUMMYFUNCTION("""COMPUTED_VALUE"""),"PORT HOPE")</f>
        <v>PORT HOPE</v>
      </c>
      <c r="D931" s="3" t="str">
        <f>IFERROR(__xludf.DUMMYFUNCTION("""COMPUTED_VALUE"""),"L1A 3V5")</f>
        <v>L1A 3V5</v>
      </c>
      <c r="E931" s="3" t="str">
        <f>IFERROR(__xludf.DUMMYFUNCTION("""COMPUTED_VALUE"""),"Robert Smart")</f>
        <v>Robert Smart</v>
      </c>
      <c r="F931" s="3" t="str">
        <f>IFERROR(__xludf.DUMMYFUNCTION("""COMPUTED_VALUE"""),"gus4519@outlook.com")</f>
        <v>gus4519@outlook.com</v>
      </c>
      <c r="G931" s="3"/>
      <c r="H931" s="3"/>
    </row>
    <row r="932">
      <c r="A932" s="2">
        <f>IFERROR(__xludf.DUMMYFUNCTION("""COMPUTED_VALUE"""),10757.0)</f>
        <v>10757</v>
      </c>
      <c r="B932" s="3" t="str">
        <f>IFERROR(__xludf.DUMMYFUNCTION("""COMPUTED_VALUE"""),"6949 DALE RD")</f>
        <v>6949 DALE RD</v>
      </c>
      <c r="C932" s="3" t="str">
        <f>IFERROR(__xludf.DUMMYFUNCTION("""COMPUTED_VALUE"""),"PORT HOPE")</f>
        <v>PORT HOPE</v>
      </c>
      <c r="D932" s="3" t="str">
        <f>IFERROR(__xludf.DUMMYFUNCTION("""COMPUTED_VALUE"""),"L1A 3V6")</f>
        <v>L1A 3V6</v>
      </c>
      <c r="E932" s="3" t="str">
        <f>IFERROR(__xludf.DUMMYFUNCTION("""COMPUTED_VALUE"""),"Teresa Sherry")</f>
        <v>Teresa Sherry</v>
      </c>
      <c r="F932" s="3" t="str">
        <f>IFERROR(__xludf.DUMMYFUNCTION("""COMPUTED_VALUE"""),"bill20@live.ca")</f>
        <v>bill20@live.ca</v>
      </c>
      <c r="G932" s="3"/>
      <c r="H932" s="3"/>
    </row>
    <row r="933">
      <c r="A933" s="2">
        <f>IFERROR(__xludf.DUMMYFUNCTION("""COMPUTED_VALUE"""),11015.0)</f>
        <v>11015</v>
      </c>
      <c r="B933" s="3" t="str">
        <f>IFERROR(__xludf.DUMMYFUNCTION("""COMPUTED_VALUE"""),"6960 JAMIESON RD")</f>
        <v>6960 JAMIESON RD</v>
      </c>
      <c r="C933" s="3" t="str">
        <f>IFERROR(__xludf.DUMMYFUNCTION("""COMPUTED_VALUE"""),"CAMPBELLCROFT")</f>
        <v>CAMPBELLCROFT</v>
      </c>
      <c r="D933" s="3" t="str">
        <f>IFERROR(__xludf.DUMMYFUNCTION("""COMPUTED_VALUE"""),"L0A 1B0")</f>
        <v>L0A 1B0</v>
      </c>
      <c r="E933" s="3" t="str">
        <f>IFERROR(__xludf.DUMMYFUNCTION("""COMPUTED_VALUE"""),"Dana Turner ")</f>
        <v>Dana Turner </v>
      </c>
      <c r="F933" s="3" t="str">
        <f>IFERROR(__xludf.DUMMYFUNCTION("""COMPUTED_VALUE"""),"dj3106@hotmail.com")</f>
        <v>dj3106@hotmail.com</v>
      </c>
      <c r="G933" s="3"/>
      <c r="H933" s="3"/>
    </row>
    <row r="934">
      <c r="A934" s="2">
        <f>IFERROR(__xludf.DUMMYFUNCTION("""COMPUTED_VALUE"""),10758.0)</f>
        <v>10758</v>
      </c>
      <c r="B934" s="3" t="str">
        <f>IFERROR(__xludf.DUMMYFUNCTION("""COMPUTED_VALUE"""),"6965 DALE RD")</f>
        <v>6965 DALE RD</v>
      </c>
      <c r="C934" s="3" t="str">
        <f>IFERROR(__xludf.DUMMYFUNCTION("""COMPUTED_VALUE"""),"PORT HOPE")</f>
        <v>PORT HOPE</v>
      </c>
      <c r="D934" s="3" t="str">
        <f>IFERROR(__xludf.DUMMYFUNCTION("""COMPUTED_VALUE"""),"L1A 3V6")</f>
        <v>L1A 3V6</v>
      </c>
      <c r="E934" s="3" t="str">
        <f>IFERROR(__xludf.DUMMYFUNCTION("""COMPUTED_VALUE"""),"Steve Albert")</f>
        <v>Steve Albert</v>
      </c>
      <c r="F934" s="3" t="str">
        <f>IFERROR(__xludf.DUMMYFUNCTION("""COMPUTED_VALUE"""),"steve@motionpac.com")</f>
        <v>steve@motionpac.com</v>
      </c>
      <c r="G934" s="3"/>
      <c r="H934" s="3"/>
    </row>
    <row r="935">
      <c r="A935" s="2">
        <f>IFERROR(__xludf.DUMMYFUNCTION("""COMPUTED_VALUE"""),10222.0)</f>
        <v>10222</v>
      </c>
      <c r="B935" s="3" t="str">
        <f>IFERROR(__xludf.DUMMYFUNCTION("""COMPUTED_VALUE"""),"6982 7TH LINE")</f>
        <v>6982 7TH LINE</v>
      </c>
      <c r="C935" s="3" t="str">
        <f>IFERROR(__xludf.DUMMYFUNCTION("""COMPUTED_VALUE"""),"CAMPBELLCROFT")</f>
        <v>CAMPBELLCROFT</v>
      </c>
      <c r="D935" s="3" t="str">
        <f>IFERROR(__xludf.DUMMYFUNCTION("""COMPUTED_VALUE"""),"L0A 1B0")</f>
        <v>L0A 1B0</v>
      </c>
      <c r="E935" s="3" t="str">
        <f>IFERROR(__xludf.DUMMYFUNCTION("""COMPUTED_VALUE"""),"GILLIAN AYLOTT")</f>
        <v>GILLIAN AYLOTT</v>
      </c>
      <c r="F935" s="3" t="str">
        <f>IFERROR(__xludf.DUMMYFUNCTION("""COMPUTED_VALUE"""),"gillian.miehe@hotmail.com")</f>
        <v>gillian.miehe@hotmail.com</v>
      </c>
      <c r="G935" s="3"/>
      <c r="H935" s="3"/>
    </row>
    <row r="936">
      <c r="A936" s="2">
        <f>IFERROR(__xludf.DUMMYFUNCTION("""COMPUTED_VALUE"""),11609.0)</f>
        <v>11609</v>
      </c>
      <c r="B936" s="3" t="str">
        <f>IFERROR(__xludf.DUMMYFUNCTION("""COMPUTED_VALUE"""),"6983 7TH LINE B (HOME)")</f>
        <v>6983 7TH LINE B (HOME)</v>
      </c>
      <c r="C936" s="3" t="str">
        <f>IFERROR(__xludf.DUMMYFUNCTION("""COMPUTED_VALUE"""),"CAMPBELLCROFT")</f>
        <v>CAMPBELLCROFT</v>
      </c>
      <c r="D936" s="3" t="str">
        <f>IFERROR(__xludf.DUMMYFUNCTION("""COMPUTED_VALUE"""),"L0A 1B0")</f>
        <v>L0A 1B0</v>
      </c>
      <c r="E936" s="3" t="str">
        <f>IFERROR(__xludf.DUMMYFUNCTION("""COMPUTED_VALUE"""),"DIANNE MASON ")</f>
        <v>DIANNE MASON </v>
      </c>
      <c r="F936" s="3" t="str">
        <f>IFERROR(__xludf.DUMMYFUNCTION("""COMPUTED_VALUE"""),"dmason43@hotmail.com")</f>
        <v>dmason43@hotmail.com</v>
      </c>
      <c r="G936" s="3"/>
      <c r="H936" s="3"/>
    </row>
    <row r="937">
      <c r="A937" s="2">
        <f>IFERROR(__xludf.DUMMYFUNCTION("""COMPUTED_VALUE"""),11608.0)</f>
        <v>11608</v>
      </c>
      <c r="B937" s="3" t="str">
        <f>IFERROR(__xludf.DUMMYFUNCTION("""COMPUTED_VALUE"""),"6983 7TH LINE A (SHOP)")</f>
        <v>6983 7TH LINE A (SHOP)</v>
      </c>
      <c r="C937" s="3" t="str">
        <f>IFERROR(__xludf.DUMMYFUNCTION("""COMPUTED_VALUE"""),"CAMPBELLCROFT")</f>
        <v>CAMPBELLCROFT</v>
      </c>
      <c r="D937" s="3" t="str">
        <f>IFERROR(__xludf.DUMMYFUNCTION("""COMPUTED_VALUE"""),"L0A 1B0")</f>
        <v>L0A 1B0</v>
      </c>
      <c r="E937" s="3" t="str">
        <f>IFERROR(__xludf.DUMMYFUNCTION("""COMPUTED_VALUE"""),"DIANNE MASON")</f>
        <v>DIANNE MASON</v>
      </c>
      <c r="F937" s="3" t="str">
        <f>IFERROR(__xludf.DUMMYFUNCTION("""COMPUTED_VALUE"""),"dmason43@hotmail.com")</f>
        <v>dmason43@hotmail.com</v>
      </c>
      <c r="G937" s="3"/>
      <c r="H937" s="3"/>
    </row>
    <row r="938">
      <c r="A938" s="2">
        <f>IFERROR(__xludf.DUMMYFUNCTION("""COMPUTED_VALUE"""),11016.0)</f>
        <v>11016</v>
      </c>
      <c r="B938" s="3" t="str">
        <f>IFERROR(__xludf.DUMMYFUNCTION("""COMPUTED_VALUE"""),"6986 JAMIESON RD")</f>
        <v>6986 JAMIESON RD</v>
      </c>
      <c r="C938" s="3" t="str">
        <f>IFERROR(__xludf.DUMMYFUNCTION("""COMPUTED_VALUE"""),"CAMPBELLCROFT")</f>
        <v>CAMPBELLCROFT</v>
      </c>
      <c r="D938" s="3" t="str">
        <f>IFERROR(__xludf.DUMMYFUNCTION("""COMPUTED_VALUE"""),"L0A 1B0")</f>
        <v>L0A 1B0</v>
      </c>
      <c r="E938" s="3"/>
      <c r="F938" s="3"/>
      <c r="G938" s="3"/>
      <c r="H938" s="3"/>
    </row>
    <row r="939">
      <c r="A939" s="2">
        <f>IFERROR(__xludf.DUMMYFUNCTION("""COMPUTED_VALUE"""),10224.0)</f>
        <v>10224</v>
      </c>
      <c r="B939" s="3" t="str">
        <f>IFERROR(__xludf.DUMMYFUNCTION("""COMPUTED_VALUE"""),"6992 7TH LINE")</f>
        <v>6992 7TH LINE</v>
      </c>
      <c r="C939" s="3" t="str">
        <f>IFERROR(__xludf.DUMMYFUNCTION("""COMPUTED_VALUE"""),"CAMPBELLCROFT")</f>
        <v>CAMPBELLCROFT</v>
      </c>
      <c r="D939" s="3" t="str">
        <f>IFERROR(__xludf.DUMMYFUNCTION("""COMPUTED_VALUE"""),"L0A 1B0")</f>
        <v>L0A 1B0</v>
      </c>
      <c r="E939" s="3"/>
      <c r="F939" s="3"/>
      <c r="G939" s="3"/>
      <c r="H939" s="3"/>
    </row>
    <row r="940">
      <c r="A940" s="2">
        <f>IFERROR(__xludf.DUMMYFUNCTION("""COMPUTED_VALUE"""),10225.0)</f>
        <v>10225</v>
      </c>
      <c r="B940" s="3" t="str">
        <f>IFERROR(__xludf.DUMMYFUNCTION("""COMPUTED_VALUE"""),"6997 7TH LINE")</f>
        <v>6997 7TH LINE</v>
      </c>
      <c r="C940" s="3" t="str">
        <f>IFERROR(__xludf.DUMMYFUNCTION("""COMPUTED_VALUE"""),"CAMPBELLCROFT")</f>
        <v>CAMPBELLCROFT</v>
      </c>
      <c r="D940" s="3" t="str">
        <f>IFERROR(__xludf.DUMMYFUNCTION("""COMPUTED_VALUE"""),"L0A 1B0")</f>
        <v>L0A 1B0</v>
      </c>
      <c r="E940" s="3" t="str">
        <f>IFERROR(__xludf.DUMMYFUNCTION("""COMPUTED_VALUE"""),"Marie Watkins")</f>
        <v>Marie Watkins</v>
      </c>
      <c r="F940" s="3" t="str">
        <f>IFERROR(__xludf.DUMMYFUNCTION("""COMPUTED_VALUE"""),"hcook64@gmail.com")</f>
        <v>hcook64@gmail.com</v>
      </c>
      <c r="G940" s="3"/>
      <c r="H940" s="3"/>
    </row>
    <row r="941">
      <c r="A941" s="2">
        <f>IFERROR(__xludf.DUMMYFUNCTION("""COMPUTED_VALUE"""),10240.0)</f>
        <v>10240</v>
      </c>
      <c r="B941" s="3" t="str">
        <f>IFERROR(__xludf.DUMMYFUNCTION("""COMPUTED_VALUE"""),"6999 9TH LINE")</f>
        <v>6999 9TH LINE</v>
      </c>
      <c r="C941" s="3" t="str">
        <f>IFERROR(__xludf.DUMMYFUNCTION("""COMPUTED_VALUE"""),"BAILIEBORO")</f>
        <v>BAILIEBORO</v>
      </c>
      <c r="D941" s="3" t="str">
        <f>IFERROR(__xludf.DUMMYFUNCTION("""COMPUTED_VALUE"""),"K0L 1B0")</f>
        <v>K0L 1B0</v>
      </c>
      <c r="E941" s="3" t="str">
        <f>IFERROR(__xludf.DUMMYFUNCTION("""COMPUTED_VALUE"""),"Ahileas Eddie Mantsios")</f>
        <v>Ahileas Eddie Mantsios</v>
      </c>
      <c r="F941" s="3" t="str">
        <f>IFERROR(__xludf.DUMMYFUNCTION("""COMPUTED_VALUE"""),"a.e.mantsios@hotmail.com")</f>
        <v>a.e.mantsios@hotmail.com</v>
      </c>
      <c r="G941" s="3"/>
      <c r="H941" s="3"/>
    </row>
    <row r="942">
      <c r="A942" s="2">
        <f>IFERROR(__xludf.DUMMYFUNCTION("""COMPUTED_VALUE"""),11329.0)</f>
        <v>11329</v>
      </c>
      <c r="B942" s="3" t="str">
        <f>IFERROR(__xludf.DUMMYFUNCTION("""COMPUTED_VALUE"""),"7007 PERRYTOWN RD")</f>
        <v>7007 PERRYTOWN RD</v>
      </c>
      <c r="C942" s="3" t="str">
        <f>IFERROR(__xludf.DUMMYFUNCTION("""COMPUTED_VALUE"""),"PORT HOPE")</f>
        <v>PORT HOPE</v>
      </c>
      <c r="D942" s="3" t="str">
        <f>IFERROR(__xludf.DUMMYFUNCTION("""COMPUTED_VALUE"""),"L1A 3V5")</f>
        <v>L1A 3V5</v>
      </c>
      <c r="E942" s="3" t="str">
        <f>IFERROR(__xludf.DUMMYFUNCTION("""COMPUTED_VALUE"""),"dwight vorsteveld")</f>
        <v>dwight vorsteveld</v>
      </c>
      <c r="F942" s="3" t="str">
        <f>IFERROR(__xludf.DUMMYFUNCTION("""COMPUTED_VALUE"""),"kelly-vorsteveld@yahoo.ca")</f>
        <v>kelly-vorsteveld@yahoo.ca</v>
      </c>
      <c r="G942" s="3"/>
      <c r="H942" s="3"/>
    </row>
    <row r="943">
      <c r="A943" s="2">
        <f>IFERROR(__xludf.DUMMYFUNCTION("""COMPUTED_VALUE"""),11330.0)</f>
        <v>11330</v>
      </c>
      <c r="B943" s="3" t="str">
        <f>IFERROR(__xludf.DUMMYFUNCTION("""COMPUTED_VALUE"""),"7008 PERRYTOWN RD")</f>
        <v>7008 PERRYTOWN RD</v>
      </c>
      <c r="C943" s="3" t="str">
        <f>IFERROR(__xludf.DUMMYFUNCTION("""COMPUTED_VALUE"""),"PORT HOPE")</f>
        <v>PORT HOPE</v>
      </c>
      <c r="D943" s="3" t="str">
        <f>IFERROR(__xludf.DUMMYFUNCTION("""COMPUTED_VALUE"""),"L1A 3V5")</f>
        <v>L1A 3V5</v>
      </c>
      <c r="E943" s="3" t="str">
        <f>IFERROR(__xludf.DUMMYFUNCTION("""COMPUTED_VALUE"""),"Yvonne Richard")</f>
        <v>Yvonne Richard</v>
      </c>
      <c r="F943" s="3" t="str">
        <f>IFERROR(__xludf.DUMMYFUNCTION("""COMPUTED_VALUE"""),"mausidee@gmail.com")</f>
        <v>mausidee@gmail.com</v>
      </c>
      <c r="G943" s="3"/>
      <c r="H943" s="3"/>
    </row>
    <row r="944">
      <c r="A944" s="2">
        <f>IFERROR(__xludf.DUMMYFUNCTION("""COMPUTED_VALUE"""),11331.0)</f>
        <v>11331</v>
      </c>
      <c r="B944" s="3" t="str">
        <f>IFERROR(__xludf.DUMMYFUNCTION("""COMPUTED_VALUE"""),"7016 PERRYTOWN RD")</f>
        <v>7016 PERRYTOWN RD</v>
      </c>
      <c r="C944" s="3" t="str">
        <f>IFERROR(__xludf.DUMMYFUNCTION("""COMPUTED_VALUE"""),"PORT HOPE")</f>
        <v>PORT HOPE</v>
      </c>
      <c r="D944" s="3" t="str">
        <f>IFERROR(__xludf.DUMMYFUNCTION("""COMPUTED_VALUE"""),"L1A 3V5")</f>
        <v>L1A 3V5</v>
      </c>
      <c r="E944" s="3"/>
      <c r="F944" s="3"/>
      <c r="G944" s="3"/>
      <c r="H944" s="3"/>
    </row>
    <row r="945">
      <c r="A945" s="2">
        <f>IFERROR(__xludf.DUMMYFUNCTION("""COMPUTED_VALUE"""),11332.0)</f>
        <v>11332</v>
      </c>
      <c r="B945" s="3" t="str">
        <f>IFERROR(__xludf.DUMMYFUNCTION("""COMPUTED_VALUE"""),"7021 PERRYTOWN RD")</f>
        <v>7021 PERRYTOWN RD</v>
      </c>
      <c r="C945" s="3" t="str">
        <f>IFERROR(__xludf.DUMMYFUNCTION("""COMPUTED_VALUE"""),"PORT HOPE")</f>
        <v>PORT HOPE</v>
      </c>
      <c r="D945" s="3" t="str">
        <f>IFERROR(__xludf.DUMMYFUNCTION("""COMPUTED_VALUE"""),"L1A 3V5")</f>
        <v>L1A 3V5</v>
      </c>
      <c r="E945" s="3" t="str">
        <f>IFERROR(__xludf.DUMMYFUNCTION("""COMPUTED_VALUE"""),"DAN DUVAL")</f>
        <v>DAN DUVAL</v>
      </c>
      <c r="F945" s="3" t="str">
        <f>IFERROR(__xludf.DUMMYFUNCTION("""COMPUTED_VALUE"""),"tugstrap@hotmail.com")</f>
        <v>tugstrap@hotmail.com</v>
      </c>
      <c r="G945" s="3"/>
      <c r="H945" s="3"/>
    </row>
    <row r="946">
      <c r="A946" s="2">
        <f>IFERROR(__xludf.DUMMYFUNCTION("""COMPUTED_VALUE"""),11333.0)</f>
        <v>11333</v>
      </c>
      <c r="B946" s="3" t="str">
        <f>IFERROR(__xludf.DUMMYFUNCTION("""COMPUTED_VALUE"""),"7022 PERRYTOWN RD")</f>
        <v>7022 PERRYTOWN RD</v>
      </c>
      <c r="C946" s="3" t="str">
        <f>IFERROR(__xludf.DUMMYFUNCTION("""COMPUTED_VALUE"""),"PORT HOPE")</f>
        <v>PORT HOPE</v>
      </c>
      <c r="D946" s="3" t="str">
        <f>IFERROR(__xludf.DUMMYFUNCTION("""COMPUTED_VALUE"""),"L1A 3V5")</f>
        <v>L1A 3V5</v>
      </c>
      <c r="E946" s="3" t="str">
        <f>IFERROR(__xludf.DUMMYFUNCTION("""COMPUTED_VALUE"""),"Robert Jean ")</f>
        <v>Robert Jean </v>
      </c>
      <c r="F946" s="3" t="str">
        <f>IFERROR(__xludf.DUMMYFUNCTION("""COMPUTED_VALUE"""),"mrjean@eagle.ca")</f>
        <v>mrjean@eagle.ca</v>
      </c>
      <c r="G946" s="3"/>
      <c r="H946" s="3"/>
    </row>
    <row r="947">
      <c r="A947" s="2">
        <f>IFERROR(__xludf.DUMMYFUNCTION("""COMPUTED_VALUE"""),10804.0)</f>
        <v>10804</v>
      </c>
      <c r="B947" s="3" t="str">
        <f>IFERROR(__xludf.DUMMYFUNCTION("""COMPUTED_VALUE"""),"7023 DONALDSON RD W")</f>
        <v>7023 DONALDSON RD W</v>
      </c>
      <c r="C947" s="3" t="str">
        <f>IFERROR(__xludf.DUMMYFUNCTION("""COMPUTED_VALUE"""),"CAMPBELLCROFT")</f>
        <v>CAMPBELLCROFT</v>
      </c>
      <c r="D947" s="3" t="str">
        <f>IFERROR(__xludf.DUMMYFUNCTION("""COMPUTED_VALUE"""),"L0A 1B0")</f>
        <v>L0A 1B0</v>
      </c>
      <c r="E947" s="3" t="str">
        <f>IFERROR(__xludf.DUMMYFUNCTION("""COMPUTED_VALUE"""),"ken jenkins/ Jessica Jenkins")</f>
        <v>ken jenkins/ Jessica Jenkins</v>
      </c>
      <c r="F947" s="3" t="str">
        <f>IFERROR(__xludf.DUMMYFUNCTION("""COMPUTED_VALUE"""),"jenkis902@gmail..com / jessicaljenkins007@gmail.com")</f>
        <v>jenkis902@gmail..com / jessicaljenkins007@gmail.com</v>
      </c>
      <c r="G947" s="3"/>
      <c r="H947" s="3"/>
    </row>
    <row r="948">
      <c r="A948" s="2">
        <f>IFERROR(__xludf.DUMMYFUNCTION("""COMPUTED_VALUE"""),11334.0)</f>
        <v>11334</v>
      </c>
      <c r="B948" s="3" t="str">
        <f>IFERROR(__xludf.DUMMYFUNCTION("""COMPUTED_VALUE"""),"7027 PERRYTOWN RD")</f>
        <v>7027 PERRYTOWN RD</v>
      </c>
      <c r="C948" s="3" t="str">
        <f>IFERROR(__xludf.DUMMYFUNCTION("""COMPUTED_VALUE"""),"PORT HOPE")</f>
        <v>PORT HOPE</v>
      </c>
      <c r="D948" s="3" t="str">
        <f>IFERROR(__xludf.DUMMYFUNCTION("""COMPUTED_VALUE"""),"L1A 3V5")</f>
        <v>L1A 3V5</v>
      </c>
      <c r="E948" s="3" t="str">
        <f>IFERROR(__xludf.DUMMYFUNCTION("""COMPUTED_VALUE"""),"Megan Love")</f>
        <v>Megan Love</v>
      </c>
      <c r="F948" s="3" t="str">
        <f>IFERROR(__xludf.DUMMYFUNCTION("""COMPUTED_VALUE"""),"mlove1979@icloud.com")</f>
        <v>mlove1979@icloud.com</v>
      </c>
      <c r="G948" s="3"/>
      <c r="H948" s="3"/>
    </row>
    <row r="949">
      <c r="A949" s="2">
        <f>IFERROR(__xludf.DUMMYFUNCTION("""COMPUTED_VALUE"""),10805.0)</f>
        <v>10805</v>
      </c>
      <c r="B949" s="3" t="str">
        <f>IFERROR(__xludf.DUMMYFUNCTION("""COMPUTED_VALUE"""),"7035 DONALDSON RD W")</f>
        <v>7035 DONALDSON RD W</v>
      </c>
      <c r="C949" s="3" t="str">
        <f>IFERROR(__xludf.DUMMYFUNCTION("""COMPUTED_VALUE"""),"CAMPBELLCROFT")</f>
        <v>CAMPBELLCROFT</v>
      </c>
      <c r="D949" s="3" t="str">
        <f>IFERROR(__xludf.DUMMYFUNCTION("""COMPUTED_VALUE"""),"L0A 1B0")</f>
        <v>L0A 1B0</v>
      </c>
      <c r="E949" s="3" t="str">
        <f>IFERROR(__xludf.DUMMYFUNCTION("""COMPUTED_VALUE"""),"Ken Jenkins")</f>
        <v>Ken Jenkins</v>
      </c>
      <c r="F949" s="3" t="str">
        <f>IFERROR(__xludf.DUMMYFUNCTION("""COMPUTED_VALUE"""),"kwj17@hotmail.com")</f>
        <v>kwj17@hotmail.com</v>
      </c>
      <c r="G949" s="3"/>
      <c r="H949" s="3"/>
    </row>
    <row r="950">
      <c r="A950" s="2">
        <f>IFERROR(__xludf.DUMMYFUNCTION("""COMPUTED_VALUE"""),10806.0)</f>
        <v>10806</v>
      </c>
      <c r="B950" s="3" t="str">
        <f>IFERROR(__xludf.DUMMYFUNCTION("""COMPUTED_VALUE"""),"7038 DONALDSON RD W")</f>
        <v>7038 DONALDSON RD W</v>
      </c>
      <c r="C950" s="3" t="str">
        <f>IFERROR(__xludf.DUMMYFUNCTION("""COMPUTED_VALUE"""),"CAMPBELLCROFT")</f>
        <v>CAMPBELLCROFT</v>
      </c>
      <c r="D950" s="3" t="str">
        <f>IFERROR(__xludf.DUMMYFUNCTION("""COMPUTED_VALUE"""),"L0A 1B0")</f>
        <v>L0A 1B0</v>
      </c>
      <c r="E950" s="3" t="str">
        <f>IFERROR(__xludf.DUMMYFUNCTION("""COMPUTED_VALUE"""),"Jay Moran")</f>
        <v>Jay Moran</v>
      </c>
      <c r="F950" s="3"/>
      <c r="G950" s="3"/>
      <c r="H950" s="3"/>
    </row>
    <row r="951">
      <c r="A951" s="2">
        <f>IFERROR(__xludf.DUMMYFUNCTION("""COMPUTED_VALUE"""),11447.0)</f>
        <v>11447</v>
      </c>
      <c r="B951" s="3" t="str">
        <f>IFERROR(__xludf.DUMMYFUNCTION("""COMPUTED_VALUE"""),"7044 SLEEPY HOLLOW LANE")</f>
        <v>7044 SLEEPY HOLLOW LANE</v>
      </c>
      <c r="C951" s="3" t="str">
        <f>IFERROR(__xludf.DUMMYFUNCTION("""COMPUTED_VALUE"""),"PORT HOPE")</f>
        <v>PORT HOPE</v>
      </c>
      <c r="D951" s="3" t="str">
        <f>IFERROR(__xludf.DUMMYFUNCTION("""COMPUTED_VALUE"""),"L1A 3V5")</f>
        <v>L1A 3V5</v>
      </c>
      <c r="E951" s="3" t="str">
        <f>IFERROR(__xludf.DUMMYFUNCTION("""COMPUTED_VALUE"""),"Hollie brown")</f>
        <v>Hollie brown</v>
      </c>
      <c r="F951" s="3" t="str">
        <f>IFERROR(__xludf.DUMMYFUNCTION("""COMPUTED_VALUE"""),"Birch-t@hotmail.com")</f>
        <v>Birch-t@hotmail.com</v>
      </c>
      <c r="G951" s="3"/>
      <c r="H951" s="3"/>
    </row>
    <row r="952">
      <c r="A952" s="2">
        <f>IFERROR(__xludf.DUMMYFUNCTION("""COMPUTED_VALUE"""),10807.0)</f>
        <v>10807</v>
      </c>
      <c r="B952" s="3" t="str">
        <f>IFERROR(__xludf.DUMMYFUNCTION("""COMPUTED_VALUE"""),"7051 DONALDSON RD W")</f>
        <v>7051 DONALDSON RD W</v>
      </c>
      <c r="C952" s="3" t="str">
        <f>IFERROR(__xludf.DUMMYFUNCTION("""COMPUTED_VALUE"""),"CAMPBELLCROFT")</f>
        <v>CAMPBELLCROFT</v>
      </c>
      <c r="D952" s="3" t="str">
        <f>IFERROR(__xludf.DUMMYFUNCTION("""COMPUTED_VALUE"""),"L0A 1B0")</f>
        <v>L0A 1B0</v>
      </c>
      <c r="E952" s="3" t="str">
        <f>IFERROR(__xludf.DUMMYFUNCTION("""COMPUTED_VALUE"""),"Jay Nesbitt")</f>
        <v>Jay Nesbitt</v>
      </c>
      <c r="F952" s="3" t="str">
        <f>IFERROR(__xludf.DUMMYFUNCTION("""COMPUTED_VALUE"""),"anesbitt@live.ca")</f>
        <v>anesbitt@live.ca</v>
      </c>
      <c r="G952" s="3"/>
      <c r="H952" s="3"/>
    </row>
    <row r="953">
      <c r="A953" s="2">
        <f>IFERROR(__xludf.DUMMYFUNCTION("""COMPUTED_VALUE"""),10488.0)</f>
        <v>10488</v>
      </c>
      <c r="B953" s="3" t="str">
        <f>IFERROR(__xludf.DUMMYFUNCTION("""COMPUTED_VALUE"""),"7070 COUNTY RD 10")</f>
        <v>7070 COUNTY RD 10</v>
      </c>
      <c r="C953" s="3" t="str">
        <f>IFERROR(__xludf.DUMMYFUNCTION("""COMPUTED_VALUE"""),"PORT HOPE")</f>
        <v>PORT HOPE</v>
      </c>
      <c r="D953" s="3" t="str">
        <f>IFERROR(__xludf.DUMMYFUNCTION("""COMPUTED_VALUE"""),"L1A 3V5")</f>
        <v>L1A 3V5</v>
      </c>
      <c r="E953" s="3" t="str">
        <f>IFERROR(__xludf.DUMMYFUNCTION("""COMPUTED_VALUE"""),"NATHAN EA FOOTE")</f>
        <v>NATHAN EA FOOTE</v>
      </c>
      <c r="F953" s="3" t="str">
        <f>IFERROR(__xludf.DUMMYFUNCTION("""COMPUTED_VALUE"""),"n_foote@live.ca")</f>
        <v>n_foote@live.ca</v>
      </c>
      <c r="G953" s="3"/>
      <c r="H953" s="3"/>
    </row>
    <row r="954">
      <c r="A954" s="2">
        <f>IFERROR(__xludf.DUMMYFUNCTION("""COMPUTED_VALUE"""),10291.0)</f>
        <v>10291</v>
      </c>
      <c r="B954" s="3" t="str">
        <f>IFERROR(__xludf.DUMMYFUNCTION("""COMPUTED_VALUE"""),"7057 BETHEL GROVE RD")</f>
        <v>7057 BETHEL GROVE RD</v>
      </c>
      <c r="C954" s="3" t="str">
        <f>IFERROR(__xludf.DUMMYFUNCTION("""COMPUTED_VALUE"""),"PORT HOPE")</f>
        <v>PORT HOPE</v>
      </c>
      <c r="D954" s="3" t="str">
        <f>IFERROR(__xludf.DUMMYFUNCTION("""COMPUTED_VALUE"""),"L1A 3V6")</f>
        <v>L1A 3V6</v>
      </c>
      <c r="E954" s="3"/>
      <c r="F954" s="3"/>
      <c r="G954" s="3"/>
      <c r="H954" s="3"/>
    </row>
    <row r="955">
      <c r="A955" s="2">
        <f>IFERROR(__xludf.DUMMYFUNCTION("""COMPUTED_VALUE"""),11481.0)</f>
        <v>11481</v>
      </c>
      <c r="B955" s="3" t="str">
        <f>IFERROR(__xludf.DUMMYFUNCTION("""COMPUTED_VALUE"""),"7058 VIMY-RIDGE RD")</f>
        <v>7058 VIMY-RIDGE RD</v>
      </c>
      <c r="C955" s="3" t="str">
        <f>IFERROR(__xludf.DUMMYFUNCTION("""COMPUTED_VALUE"""),"PORT HOPE")</f>
        <v>PORT HOPE</v>
      </c>
      <c r="D955" s="3" t="str">
        <f>IFERROR(__xludf.DUMMYFUNCTION("""COMPUTED_VALUE"""),"L1A 3V6")</f>
        <v>L1A 3V6</v>
      </c>
      <c r="E955" s="3" t="str">
        <f>IFERROR(__xludf.DUMMYFUNCTION("""COMPUTED_VALUE"""),"marilyn jarvis")</f>
        <v>marilyn jarvis</v>
      </c>
      <c r="F955" s="3"/>
      <c r="G955" s="3"/>
      <c r="H955" s="3"/>
    </row>
    <row r="956">
      <c r="A956" s="2">
        <f>IFERROR(__xludf.DUMMYFUNCTION("""COMPUTED_VALUE"""),10808.0)</f>
        <v>10808</v>
      </c>
      <c r="B956" s="3" t="str">
        <f>IFERROR(__xludf.DUMMYFUNCTION("""COMPUTED_VALUE"""),"7063 DONALDSON RD W")</f>
        <v>7063 DONALDSON RD W</v>
      </c>
      <c r="C956" s="3" t="str">
        <f>IFERROR(__xludf.DUMMYFUNCTION("""COMPUTED_VALUE"""),"CAMPBELLCROFT")</f>
        <v>CAMPBELLCROFT</v>
      </c>
      <c r="D956" s="3" t="str">
        <f>IFERROR(__xludf.DUMMYFUNCTION("""COMPUTED_VALUE"""),"L0A 1B0")</f>
        <v>L0A 1B0</v>
      </c>
      <c r="E956" s="3"/>
      <c r="F956" s="3"/>
      <c r="G956" s="3"/>
      <c r="H956" s="3"/>
    </row>
    <row r="957">
      <c r="A957" s="2">
        <f>IFERROR(__xludf.DUMMYFUNCTION("""COMPUTED_VALUE"""),10489.0)</f>
        <v>10489</v>
      </c>
      <c r="B957" s="3" t="str">
        <f>IFERROR(__xludf.DUMMYFUNCTION("""COMPUTED_VALUE"""),"7082 COUNTY RD 10")</f>
        <v>7082 COUNTY RD 10</v>
      </c>
      <c r="C957" s="3" t="str">
        <f>IFERROR(__xludf.DUMMYFUNCTION("""COMPUTED_VALUE"""),"PORT HOPE")</f>
        <v>PORT HOPE</v>
      </c>
      <c r="D957" s="3" t="str">
        <f>IFERROR(__xludf.DUMMYFUNCTION("""COMPUTED_VALUE"""),"L1A 3V5")</f>
        <v>L1A 3V5</v>
      </c>
      <c r="E957" s="3" t="str">
        <f>IFERROR(__xludf.DUMMYFUNCTION("""COMPUTED_VALUE"""),"Lawrence ")</f>
        <v>Lawrence </v>
      </c>
      <c r="F957" s="3" t="str">
        <f>IFERROR(__xludf.DUMMYFUNCTION("""COMPUTED_VALUE"""),"bkktmcc@gmail.com")</f>
        <v>bkktmcc@gmail.com</v>
      </c>
      <c r="G957" s="3"/>
      <c r="H957" s="3"/>
    </row>
    <row r="958">
      <c r="A958" s="2">
        <f>IFERROR(__xludf.DUMMYFUNCTION("""COMPUTED_VALUE"""),10490.0)</f>
        <v>10490</v>
      </c>
      <c r="B958" s="3" t="str">
        <f>IFERROR(__xludf.DUMMYFUNCTION("""COMPUTED_VALUE"""),"7102 COUNTY RD 10")</f>
        <v>7102 COUNTY RD 10</v>
      </c>
      <c r="C958" s="3" t="str">
        <f>IFERROR(__xludf.DUMMYFUNCTION("""COMPUTED_VALUE"""),"PORT HOPE")</f>
        <v>PORT HOPE</v>
      </c>
      <c r="D958" s="3" t="str">
        <f>IFERROR(__xludf.DUMMYFUNCTION("""COMPUTED_VALUE"""),"L1A 3V5")</f>
        <v>L1A 3V5</v>
      </c>
      <c r="E958" s="3" t="str">
        <f>IFERROR(__xludf.DUMMYFUNCTION("""COMPUTED_VALUE"""),"kris petersons")</f>
        <v>kris petersons</v>
      </c>
      <c r="F958" s="3" t="str">
        <f>IFERROR(__xludf.DUMMYFUNCTION("""COMPUTED_VALUE"""),"kpetersons@hotmail.com")</f>
        <v>kpetersons@hotmail.com</v>
      </c>
      <c r="G958" s="3"/>
      <c r="H958" s="3"/>
    </row>
    <row r="959">
      <c r="A959" s="2">
        <f>IFERROR(__xludf.DUMMYFUNCTION("""COMPUTED_VALUE"""),10320.0)</f>
        <v>10320</v>
      </c>
      <c r="B959" s="3" t="str">
        <f>IFERROR(__xludf.DUMMYFUNCTION("""COMPUTED_VALUE"""),"7089 BYERS RD")</f>
        <v>7089 BYERS RD</v>
      </c>
      <c r="C959" s="3" t="str">
        <f>IFERROR(__xludf.DUMMYFUNCTION("""COMPUTED_VALUE"""),"BAILIEBORO")</f>
        <v>BAILIEBORO</v>
      </c>
      <c r="D959" s="3" t="str">
        <f>IFERROR(__xludf.DUMMYFUNCTION("""COMPUTED_VALUE"""),"K0L 1B0")</f>
        <v>K0L 1B0</v>
      </c>
      <c r="E959" s="3" t="str">
        <f>IFERROR(__xludf.DUMMYFUNCTION("""COMPUTED_VALUE"""),"April T Coker")</f>
        <v>April T Coker</v>
      </c>
      <c r="F959" s="3" t="str">
        <f>IFERROR(__xludf.DUMMYFUNCTION("""COMPUTED_VALUE"""),"springangel101@gmail.com")</f>
        <v>springangel101@gmail.com</v>
      </c>
      <c r="G959" s="3"/>
      <c r="H959" s="3"/>
    </row>
    <row r="960">
      <c r="A960" s="2">
        <f>IFERROR(__xludf.DUMMYFUNCTION("""COMPUTED_VALUE"""),10321.0)</f>
        <v>10321</v>
      </c>
      <c r="B960" s="3" t="str">
        <f>IFERROR(__xludf.DUMMYFUNCTION("""COMPUTED_VALUE"""),"7093 BYERS RD")</f>
        <v>7093 BYERS RD</v>
      </c>
      <c r="C960" s="3" t="str">
        <f>IFERROR(__xludf.DUMMYFUNCTION("""COMPUTED_VALUE"""),"BAILIEBORO")</f>
        <v>BAILIEBORO</v>
      </c>
      <c r="D960" s="3" t="str">
        <f>IFERROR(__xludf.DUMMYFUNCTION("""COMPUTED_VALUE"""),"K0L 1B0")</f>
        <v>K0L 1B0</v>
      </c>
      <c r="E960" s="3" t="str">
        <f>IFERROR(__xludf.DUMMYFUNCTION("""COMPUTED_VALUE"""),"William Metcalfe ")</f>
        <v>William Metcalfe </v>
      </c>
      <c r="F960" s="3" t="str">
        <f>IFERROR(__xludf.DUMMYFUNCTION("""COMPUTED_VALUE"""),"billmetcalfe3@gmail.com")</f>
        <v>billmetcalfe3@gmail.com</v>
      </c>
      <c r="G960" s="3"/>
      <c r="H960" s="3"/>
    </row>
    <row r="961">
      <c r="A961" s="2">
        <f>IFERROR(__xludf.DUMMYFUNCTION("""COMPUTED_VALUE"""),10322.0)</f>
        <v>10322</v>
      </c>
      <c r="B961" s="3" t="str">
        <f>IFERROR(__xludf.DUMMYFUNCTION("""COMPUTED_VALUE"""),"7101 BYERS RD")</f>
        <v>7101 BYERS RD</v>
      </c>
      <c r="C961" s="3" t="str">
        <f>IFERROR(__xludf.DUMMYFUNCTION("""COMPUTED_VALUE"""),"BAILIEBORO")</f>
        <v>BAILIEBORO</v>
      </c>
      <c r="D961" s="3" t="str">
        <f>IFERROR(__xludf.DUMMYFUNCTION("""COMPUTED_VALUE"""),"K0L 1B0")</f>
        <v>K0L 1B0</v>
      </c>
      <c r="E961" s="3" t="str">
        <f>IFERROR(__xludf.DUMMYFUNCTION("""COMPUTED_VALUE"""),"Doyle Rowden + MONIKA ROWDEN")</f>
        <v>Doyle Rowden + MONIKA ROWDEN</v>
      </c>
      <c r="F961" s="3" t="str">
        <f>IFERROR(__xludf.DUMMYFUNCTION("""COMPUTED_VALUE"""),"doylerowden@hotmail.com")</f>
        <v>doylerowden@hotmail.com</v>
      </c>
      <c r="G961" s="3"/>
      <c r="H961" s="3"/>
    </row>
    <row r="962">
      <c r="A962" s="2">
        <f>IFERROR(__xludf.DUMMYFUNCTION("""COMPUTED_VALUE"""),10491.0)</f>
        <v>10491</v>
      </c>
      <c r="B962" s="3" t="str">
        <f>IFERROR(__xludf.DUMMYFUNCTION("""COMPUTED_VALUE"""),"7175 COUNTY RD 10")</f>
        <v>7175 COUNTY RD 10</v>
      </c>
      <c r="C962" s="3" t="str">
        <f>IFERROR(__xludf.DUMMYFUNCTION("""COMPUTED_VALUE"""),"PORT HOPE")</f>
        <v>PORT HOPE</v>
      </c>
      <c r="D962" s="3" t="str">
        <f>IFERROR(__xludf.DUMMYFUNCTION("""COMPUTED_VALUE"""),"L1A 3V5")</f>
        <v>L1A 3V5</v>
      </c>
      <c r="E962" s="3" t="str">
        <f>IFERROR(__xludf.DUMMYFUNCTION("""COMPUTED_VALUE"""),"Scott Gray")</f>
        <v>Scott Gray</v>
      </c>
      <c r="F962" s="3" t="str">
        <f>IFERROR(__xludf.DUMMYFUNCTION("""COMPUTED_VALUE"""),"bgrayins@peterboro.net")</f>
        <v>bgrayins@peterboro.net</v>
      </c>
      <c r="G962" s="3"/>
      <c r="H962" s="3"/>
    </row>
    <row r="963">
      <c r="A963" s="2">
        <f>IFERROR(__xludf.DUMMYFUNCTION("""COMPUTED_VALUE"""),11448.0)</f>
        <v>11448</v>
      </c>
      <c r="B963" s="3" t="str">
        <f>IFERROR(__xludf.DUMMYFUNCTION("""COMPUTED_VALUE"""),"7102 SLEEPY HOLLOW LANE")</f>
        <v>7102 SLEEPY HOLLOW LANE</v>
      </c>
      <c r="C963" s="3" t="str">
        <f>IFERROR(__xludf.DUMMYFUNCTION("""COMPUTED_VALUE"""),"PORT HOPE")</f>
        <v>PORT HOPE</v>
      </c>
      <c r="D963" s="3" t="str">
        <f>IFERROR(__xludf.DUMMYFUNCTION("""COMPUTED_VALUE"""),"L1A 3V5")</f>
        <v>L1A 3V5</v>
      </c>
      <c r="E963" s="3" t="str">
        <f>IFERROR(__xludf.DUMMYFUNCTION("""COMPUTED_VALUE"""),"Tyler Gardiner")</f>
        <v>Tyler Gardiner</v>
      </c>
      <c r="F963" s="3" t="str">
        <f>IFERROR(__xludf.DUMMYFUNCTION("""COMPUTED_VALUE"""),"tyler@touchbass.ca")</f>
        <v>tyler@touchbass.ca</v>
      </c>
      <c r="G963" s="3"/>
      <c r="H963" s="3"/>
    </row>
    <row r="964">
      <c r="A964" s="2">
        <f>IFERROR(__xludf.DUMMYFUNCTION("""COMPUTED_VALUE"""),10292.0)</f>
        <v>10292</v>
      </c>
      <c r="B964" s="3" t="str">
        <f>IFERROR(__xludf.DUMMYFUNCTION("""COMPUTED_VALUE"""),"7104 BETHEL GROVE RD")</f>
        <v>7104 BETHEL GROVE RD</v>
      </c>
      <c r="C964" s="3" t="str">
        <f>IFERROR(__xludf.DUMMYFUNCTION("""COMPUTED_VALUE"""),"PORT HOPE")</f>
        <v>PORT HOPE</v>
      </c>
      <c r="D964" s="3" t="str">
        <f>IFERROR(__xludf.DUMMYFUNCTION("""COMPUTED_VALUE"""),"L1A 3V6")</f>
        <v>L1A 3V6</v>
      </c>
      <c r="E964" s="3" t="str">
        <f>IFERROR(__xludf.DUMMYFUNCTION("""COMPUTED_VALUE"""),"Donna Zuckerbrot")</f>
        <v>Donna Zuckerbrot</v>
      </c>
      <c r="F964" s="3" t="str">
        <f>IFERROR(__xludf.DUMMYFUNCTION("""COMPUTED_VALUE"""),"donnazuckerbrot@gmail.com")</f>
        <v>donnazuckerbrot@gmail.com</v>
      </c>
      <c r="G964" s="3"/>
      <c r="H964" s="3"/>
    </row>
    <row r="965">
      <c r="A965" s="2">
        <f>IFERROR(__xludf.DUMMYFUNCTION("""COMPUTED_VALUE"""),10323.0)</f>
        <v>10323</v>
      </c>
      <c r="B965" s="3" t="str">
        <f>IFERROR(__xludf.DUMMYFUNCTION("""COMPUTED_VALUE"""),"7105 BYERS RD")</f>
        <v>7105 BYERS RD</v>
      </c>
      <c r="C965" s="3" t="str">
        <f>IFERROR(__xludf.DUMMYFUNCTION("""COMPUTED_VALUE"""),"BAILIEBORO")</f>
        <v>BAILIEBORO</v>
      </c>
      <c r="D965" s="3" t="str">
        <f>IFERROR(__xludf.DUMMYFUNCTION("""COMPUTED_VALUE"""),"K0L 1B0")</f>
        <v>K0L 1B0</v>
      </c>
      <c r="E965" s="3"/>
      <c r="F965" s="3"/>
      <c r="G965" s="3"/>
      <c r="H965" s="3"/>
    </row>
    <row r="966">
      <c r="A966" s="2">
        <f>IFERROR(__xludf.DUMMYFUNCTION("""COMPUTED_VALUE"""),11250.0)</f>
        <v>11250</v>
      </c>
      <c r="B966" s="3" t="str">
        <f>IFERROR(__xludf.DUMMYFUNCTION("""COMPUTED_VALUE"""),"7117 MILL ST")</f>
        <v>7117 MILL ST</v>
      </c>
      <c r="C966" s="3" t="str">
        <f>IFERROR(__xludf.DUMMYFUNCTION("""COMPUTED_VALUE"""),"PORT HOPE")</f>
        <v>PORT HOPE</v>
      </c>
      <c r="D966" s="3" t="str">
        <f>IFERROR(__xludf.DUMMYFUNCTION("""COMPUTED_VALUE"""),"L1A 3V5")</f>
        <v>L1A 3V5</v>
      </c>
      <c r="E966" s="3" t="str">
        <f>IFERROR(__xludf.DUMMYFUNCTION("""COMPUTED_VALUE"""),"Hilary Holt")</f>
        <v>Hilary Holt</v>
      </c>
      <c r="F966" s="3" t="str">
        <f>IFERROR(__xludf.DUMMYFUNCTION("""COMPUTED_VALUE"""),"hilaryholt11@gmail.com")</f>
        <v>hilaryholt11@gmail.com</v>
      </c>
      <c r="G966" s="3"/>
      <c r="H966" s="3"/>
    </row>
    <row r="967">
      <c r="A967" s="2">
        <f>IFERROR(__xludf.DUMMYFUNCTION("""COMPUTED_VALUE"""),10324.0)</f>
        <v>10324</v>
      </c>
      <c r="B967" s="3" t="str">
        <f>IFERROR(__xludf.DUMMYFUNCTION("""COMPUTED_VALUE"""),"7125 BYERS RD")</f>
        <v>7125 BYERS RD</v>
      </c>
      <c r="C967" s="3" t="str">
        <f>IFERROR(__xludf.DUMMYFUNCTION("""COMPUTED_VALUE"""),"BAILIEBORO")</f>
        <v>BAILIEBORO</v>
      </c>
      <c r="D967" s="3" t="str">
        <f>IFERROR(__xludf.DUMMYFUNCTION("""COMPUTED_VALUE"""),"K0L 1B0")</f>
        <v>K0L 1B0</v>
      </c>
      <c r="E967" s="3"/>
      <c r="F967" s="3"/>
      <c r="G967" s="3"/>
      <c r="H967" s="3"/>
    </row>
    <row r="968">
      <c r="A968" s="2">
        <f>IFERROR(__xludf.DUMMYFUNCTION("""COMPUTED_VALUE"""),10809.0)</f>
        <v>10809</v>
      </c>
      <c r="B968" s="3" t="str">
        <f>IFERROR(__xludf.DUMMYFUNCTION("""COMPUTED_VALUE"""),"7126 DONALDSON RD W")</f>
        <v>7126 DONALDSON RD W</v>
      </c>
      <c r="C968" s="3" t="str">
        <f>IFERROR(__xludf.DUMMYFUNCTION("""COMPUTED_VALUE"""),"CAMPBELLCROFT")</f>
        <v>CAMPBELLCROFT</v>
      </c>
      <c r="D968" s="3" t="str">
        <f>IFERROR(__xludf.DUMMYFUNCTION("""COMPUTED_VALUE"""),"L0A 1B0")</f>
        <v>L0A 1B0</v>
      </c>
      <c r="E968" s="3"/>
      <c r="F968" s="3"/>
      <c r="G968" s="3"/>
      <c r="H968" s="3"/>
    </row>
    <row r="969">
      <c r="A969" s="2">
        <f>IFERROR(__xludf.DUMMYFUNCTION("""COMPUTED_VALUE"""),10372.0)</f>
        <v>10372</v>
      </c>
      <c r="B969" s="3" t="str">
        <f>IFERROR(__xludf.DUMMYFUNCTION("""COMPUTED_VALUE"""),"7132 CAMPBELL RD S")</f>
        <v>7132 CAMPBELL RD S</v>
      </c>
      <c r="C969" s="3" t="str">
        <f>IFERROR(__xludf.DUMMYFUNCTION("""COMPUTED_VALUE"""),"CAMPBELLCROFT")</f>
        <v>CAMPBELLCROFT</v>
      </c>
      <c r="D969" s="3" t="str">
        <f>IFERROR(__xludf.DUMMYFUNCTION("""COMPUTED_VALUE"""),"L0A 1B0")</f>
        <v>L0A 1B0</v>
      </c>
      <c r="E969" s="3" t="str">
        <f>IFERROR(__xludf.DUMMYFUNCTION("""COMPUTED_VALUE"""),"Eamonn McConnell")</f>
        <v>Eamonn McConnell</v>
      </c>
      <c r="F969" s="3" t="str">
        <f>IFERROR(__xludf.DUMMYFUNCTION("""COMPUTED_VALUE"""),"emcconnell@kcpl.ca")</f>
        <v>emcconnell@kcpl.ca</v>
      </c>
      <c r="G969" s="3"/>
      <c r="H969" s="3"/>
    </row>
    <row r="970">
      <c r="A970" s="2">
        <f>IFERROR(__xludf.DUMMYFUNCTION("""COMPUTED_VALUE"""),10325.0)</f>
        <v>10325</v>
      </c>
      <c r="B970" s="3" t="str">
        <f>IFERROR(__xludf.DUMMYFUNCTION("""COMPUTED_VALUE"""),"7133 BYERS RD")</f>
        <v>7133 BYERS RD</v>
      </c>
      <c r="C970" s="3" t="str">
        <f>IFERROR(__xludf.DUMMYFUNCTION("""COMPUTED_VALUE"""),"BAILIEBORO")</f>
        <v>BAILIEBORO</v>
      </c>
      <c r="D970" s="3" t="str">
        <f>IFERROR(__xludf.DUMMYFUNCTION("""COMPUTED_VALUE"""),"K0L 1B0")</f>
        <v>K0L 1B0</v>
      </c>
      <c r="E970" s="3"/>
      <c r="F970" s="3"/>
      <c r="G970" s="3"/>
      <c r="H970" s="3"/>
    </row>
    <row r="971">
      <c r="A971" s="2">
        <f>IFERROR(__xludf.DUMMYFUNCTION("""COMPUTED_VALUE"""),10326.0)</f>
        <v>10326</v>
      </c>
      <c r="B971" s="3" t="str">
        <f>IFERROR(__xludf.DUMMYFUNCTION("""COMPUTED_VALUE"""),"7139 BYERS RD")</f>
        <v>7139 BYERS RD</v>
      </c>
      <c r="C971" s="3" t="str">
        <f>IFERROR(__xludf.DUMMYFUNCTION("""COMPUTED_VALUE"""),"BAILIEBORO")</f>
        <v>BAILIEBORO</v>
      </c>
      <c r="D971" s="3" t="str">
        <f>IFERROR(__xludf.DUMMYFUNCTION("""COMPUTED_VALUE"""),"K0L 1B0")</f>
        <v>K0L 1B0</v>
      </c>
      <c r="E971" s="3" t="str">
        <f>IFERROR(__xludf.DUMMYFUNCTION("""COMPUTED_VALUE"""),"Colleen Ristok")</f>
        <v>Colleen Ristok</v>
      </c>
      <c r="F971" s="3" t="str">
        <f>IFERROR(__xludf.DUMMYFUNCTION("""COMPUTED_VALUE"""),"acristok@gmail.com")</f>
        <v>acristok@gmail.com</v>
      </c>
      <c r="G971" s="3"/>
      <c r="H971" s="3"/>
    </row>
    <row r="972">
      <c r="A972" s="2">
        <f>IFERROR(__xludf.DUMMYFUNCTION("""COMPUTED_VALUE"""),10327.0)</f>
        <v>10327</v>
      </c>
      <c r="B972" s="3" t="str">
        <f>IFERROR(__xludf.DUMMYFUNCTION("""COMPUTED_VALUE"""),"7145 BYERS RD")</f>
        <v>7145 BYERS RD</v>
      </c>
      <c r="C972" s="3" t="str">
        <f>IFERROR(__xludf.DUMMYFUNCTION("""COMPUTED_VALUE"""),"BAILIEBORO")</f>
        <v>BAILIEBORO</v>
      </c>
      <c r="D972" s="3" t="str">
        <f>IFERROR(__xludf.DUMMYFUNCTION("""COMPUTED_VALUE"""),"K0L 1B0")</f>
        <v>K0L 1B0</v>
      </c>
      <c r="E972" s="3" t="str">
        <f>IFERROR(__xludf.DUMMYFUNCTION("""COMPUTED_VALUE"""),"Lorne Haynes")</f>
        <v>Lorne Haynes</v>
      </c>
      <c r="F972" s="3" t="str">
        <f>IFERROR(__xludf.DUMMYFUNCTION("""COMPUTED_VALUE"""),"lorne_haynes@hotmail.com")</f>
        <v>lorne_haynes@hotmail.com</v>
      </c>
      <c r="G972" s="3"/>
      <c r="H972" s="3"/>
    </row>
    <row r="973">
      <c r="A973" s="2">
        <f>IFERROR(__xludf.DUMMYFUNCTION("""COMPUTED_VALUE"""),10328.0)</f>
        <v>10328</v>
      </c>
      <c r="B973" s="3" t="str">
        <f>IFERROR(__xludf.DUMMYFUNCTION("""COMPUTED_VALUE"""),"7149 BYERS RD")</f>
        <v>7149 BYERS RD</v>
      </c>
      <c r="C973" s="3" t="str">
        <f>IFERROR(__xludf.DUMMYFUNCTION("""COMPUTED_VALUE"""),"BAILIEBORO")</f>
        <v>BAILIEBORO</v>
      </c>
      <c r="D973" s="3" t="str">
        <f>IFERROR(__xludf.DUMMYFUNCTION("""COMPUTED_VALUE"""),"K0L 1B0")</f>
        <v>K0L 1B0</v>
      </c>
      <c r="E973" s="3"/>
      <c r="F973" s="3"/>
      <c r="G973" s="3"/>
      <c r="H973" s="3"/>
    </row>
    <row r="974">
      <c r="A974" s="2">
        <f>IFERROR(__xludf.DUMMYFUNCTION("""COMPUTED_VALUE"""),10329.0)</f>
        <v>10329</v>
      </c>
      <c r="B974" s="3" t="str">
        <f>IFERROR(__xludf.DUMMYFUNCTION("""COMPUTED_VALUE"""),"7165 BYERS RD")</f>
        <v>7165 BYERS RD</v>
      </c>
      <c r="C974" s="3" t="str">
        <f>IFERROR(__xludf.DUMMYFUNCTION("""COMPUTED_VALUE"""),"BAILIEBORO")</f>
        <v>BAILIEBORO</v>
      </c>
      <c r="D974" s="3" t="str">
        <f>IFERROR(__xludf.DUMMYFUNCTION("""COMPUTED_VALUE"""),"K0L 1B0")</f>
        <v>K0L 1B0</v>
      </c>
      <c r="E974" s="3" t="str">
        <f>IFERROR(__xludf.DUMMYFUNCTION("""COMPUTED_VALUE"""),"Diane Boucher")</f>
        <v>Diane Boucher</v>
      </c>
      <c r="F974" s="3" t="str">
        <f>IFERROR(__xludf.DUMMYFUNCTION("""COMPUTED_VALUE"""),"dmgb02@hotmail.com")</f>
        <v>dmgb02@hotmail.com</v>
      </c>
      <c r="G974" s="3"/>
      <c r="H974" s="3"/>
    </row>
    <row r="975">
      <c r="A975" s="2">
        <f>IFERROR(__xludf.DUMMYFUNCTION("""COMPUTED_VALUE"""),10330.0)</f>
        <v>10330</v>
      </c>
      <c r="B975" s="3" t="str">
        <f>IFERROR(__xludf.DUMMYFUNCTION("""COMPUTED_VALUE"""),"7173 BYERS RD")</f>
        <v>7173 BYERS RD</v>
      </c>
      <c r="C975" s="3" t="str">
        <f>IFERROR(__xludf.DUMMYFUNCTION("""COMPUTED_VALUE"""),"BAILIEBORO")</f>
        <v>BAILIEBORO</v>
      </c>
      <c r="D975" s="3" t="str">
        <f>IFERROR(__xludf.DUMMYFUNCTION("""COMPUTED_VALUE"""),"K0L 1B0")</f>
        <v>K0L 1B0</v>
      </c>
      <c r="E975" s="3"/>
      <c r="F975" s="3"/>
      <c r="G975" s="3"/>
      <c r="H975" s="3"/>
    </row>
    <row r="976">
      <c r="A976" s="2">
        <f>IFERROR(__xludf.DUMMYFUNCTION("""COMPUTED_VALUE"""),10294.0)</f>
        <v>10294</v>
      </c>
      <c r="B976" s="3" t="str">
        <f>IFERROR(__xludf.DUMMYFUNCTION("""COMPUTED_VALUE"""),"7174 BETHEL GROVE RD")</f>
        <v>7174 BETHEL GROVE RD</v>
      </c>
      <c r="C976" s="3" t="str">
        <f>IFERROR(__xludf.DUMMYFUNCTION("""COMPUTED_VALUE"""),"PORT HOPE")</f>
        <v>PORT HOPE</v>
      </c>
      <c r="D976" s="3" t="str">
        <f>IFERROR(__xludf.DUMMYFUNCTION("""COMPUTED_VALUE"""),"L1A 3V6")</f>
        <v>L1A 3V6</v>
      </c>
      <c r="E976" s="3" t="str">
        <f>IFERROR(__xludf.DUMMYFUNCTION("""COMPUTED_VALUE"""),"Suzanne Calabrese")</f>
        <v>Suzanne Calabrese</v>
      </c>
      <c r="F976" s="3" t="str">
        <f>IFERROR(__xludf.DUMMYFUNCTION("""COMPUTED_VALUE"""),"suzannecalabrese@gmail.com")</f>
        <v>suzannecalabrese@gmail.com</v>
      </c>
      <c r="G976" s="3"/>
      <c r="H976" s="3"/>
    </row>
    <row r="977">
      <c r="A977" s="2">
        <f>IFERROR(__xludf.DUMMYFUNCTION("""COMPUTED_VALUE"""),10331.0)</f>
        <v>10331</v>
      </c>
      <c r="B977" s="3" t="str">
        <f>IFERROR(__xludf.DUMMYFUNCTION("""COMPUTED_VALUE"""),"7225 BYERS RD")</f>
        <v>7225 BYERS RD</v>
      </c>
      <c r="C977" s="3" t="str">
        <f>IFERROR(__xludf.DUMMYFUNCTION("""COMPUTED_VALUE"""),"BAILIEBORO")</f>
        <v>BAILIEBORO</v>
      </c>
      <c r="D977" s="3" t="str">
        <f>IFERROR(__xludf.DUMMYFUNCTION("""COMPUTED_VALUE"""),"K0L 1B0")</f>
        <v>K0L 1B0</v>
      </c>
      <c r="E977" s="3" t="str">
        <f>IFERROR(__xludf.DUMMYFUNCTION("""COMPUTED_VALUE"""),"Art")</f>
        <v>Art</v>
      </c>
      <c r="F977" s="3" t="str">
        <f>IFERROR(__xludf.DUMMYFUNCTION("""COMPUTED_VALUE"""),"aartevertsen@icloud.com")</f>
        <v>aartevertsen@icloud.com</v>
      </c>
      <c r="G977" s="3"/>
      <c r="H977" s="3"/>
    </row>
    <row r="978">
      <c r="A978" s="2">
        <f>IFERROR(__xludf.DUMMYFUNCTION("""COMPUTED_VALUE"""),10282.0)</f>
        <v>10282</v>
      </c>
      <c r="B978" s="3" t="str">
        <f>IFERROR(__xludf.DUMMYFUNCTION("""COMPUTED_VALUE"""),"7228 BEECH HILL RD")</f>
        <v>7228 BEECH HILL RD</v>
      </c>
      <c r="C978" s="3" t="str">
        <f>IFERROR(__xludf.DUMMYFUNCTION("""COMPUTED_VALUE"""),"CAMPBELLCROFT")</f>
        <v>CAMPBELLCROFT</v>
      </c>
      <c r="D978" s="3" t="str">
        <f>IFERROR(__xludf.DUMMYFUNCTION("""COMPUTED_VALUE"""),"L0A 1B0")</f>
        <v>L0A 1B0</v>
      </c>
      <c r="E978" s="3" t="str">
        <f>IFERROR(__xludf.DUMMYFUNCTION("""COMPUTED_VALUE"""),"Connie Zylstra")</f>
        <v>Connie Zylstra</v>
      </c>
      <c r="F978" s="3" t="str">
        <f>IFERROR(__xludf.DUMMYFUNCTION("""COMPUTED_VALUE"""),"cosmotheslender@yahoo.com")</f>
        <v>cosmotheslender@yahoo.com</v>
      </c>
      <c r="G978" s="3"/>
      <c r="H978" s="3"/>
    </row>
    <row r="979">
      <c r="A979" s="2">
        <f>IFERROR(__xludf.DUMMYFUNCTION("""COMPUTED_VALUE"""),10642.0)</f>
        <v>10642</v>
      </c>
      <c r="B979" s="3" t="str">
        <f>IFERROR(__xludf.DUMMYFUNCTION("""COMPUTED_VALUE"""),"7248 COUNTY RD 28")</f>
        <v>7248 COUNTY RD 28</v>
      </c>
      <c r="C979" s="3" t="str">
        <f>IFERROR(__xludf.DUMMYFUNCTION("""COMPUTED_VALUE"""),"CAMPBELLCROFT")</f>
        <v>CAMPBELLCROFT</v>
      </c>
      <c r="D979" s="3" t="str">
        <f>IFERROR(__xludf.DUMMYFUNCTION("""COMPUTED_VALUE"""),"L0A 1B0")</f>
        <v>L0A 1B0</v>
      </c>
      <c r="E979" s="3" t="str">
        <f>IFERROR(__xludf.DUMMYFUNCTION("""COMPUTED_VALUE"""),"Jason Tombs")</f>
        <v>Jason Tombs</v>
      </c>
      <c r="F979" s="3" t="str">
        <f>IFERROR(__xludf.DUMMYFUNCTION("""COMPUTED_VALUE"""),"tombs2010@yahoo.com")</f>
        <v>tombs2010@yahoo.com</v>
      </c>
      <c r="G979" s="3"/>
      <c r="H979" s="3"/>
    </row>
    <row r="980">
      <c r="A980" s="2">
        <f>IFERROR(__xludf.DUMMYFUNCTION("""COMPUTED_VALUE"""),10295.0)</f>
        <v>10295</v>
      </c>
      <c r="B980" s="3" t="str">
        <f>IFERROR(__xludf.DUMMYFUNCTION("""COMPUTED_VALUE"""),"7248 BETHEL GROVE RD")</f>
        <v>7248 BETHEL GROVE RD</v>
      </c>
      <c r="C980" s="3" t="str">
        <f>IFERROR(__xludf.DUMMYFUNCTION("""COMPUTED_VALUE"""),"PORT HOPE")</f>
        <v>PORT HOPE</v>
      </c>
      <c r="D980" s="3" t="str">
        <f>IFERROR(__xludf.DUMMYFUNCTION("""COMPUTED_VALUE"""),"L1A 3V6")</f>
        <v>L1A 3V6</v>
      </c>
      <c r="E980" s="3"/>
      <c r="F980" s="3"/>
      <c r="G980" s="3"/>
      <c r="H980" s="3"/>
    </row>
    <row r="981">
      <c r="A981" s="2">
        <f>IFERROR(__xludf.DUMMYFUNCTION("""COMPUTED_VALUE"""),10332.0)</f>
        <v>10332</v>
      </c>
      <c r="B981" s="3" t="str">
        <f>IFERROR(__xludf.DUMMYFUNCTION("""COMPUTED_VALUE"""),"7297 BYERS RD")</f>
        <v>7297 BYERS RD</v>
      </c>
      <c r="C981" s="3" t="str">
        <f>IFERROR(__xludf.DUMMYFUNCTION("""COMPUTED_VALUE"""),"BAILIEBORO")</f>
        <v>BAILIEBORO</v>
      </c>
      <c r="D981" s="3" t="str">
        <f>IFERROR(__xludf.DUMMYFUNCTION("""COMPUTED_VALUE"""),"K0L 1B0")</f>
        <v>K0L 1B0</v>
      </c>
      <c r="E981" s="3" t="str">
        <f>IFERROR(__xludf.DUMMYFUNCTION("""COMPUTED_VALUE"""),"Maureen Glynn")</f>
        <v>Maureen Glynn</v>
      </c>
      <c r="F981" s="3" t="str">
        <f>IFERROR(__xludf.DUMMYFUNCTION("""COMPUTED_VALUE"""),"maureen.glynn@explornet.ca")</f>
        <v>maureen.glynn@explornet.ca</v>
      </c>
      <c r="G981" s="3"/>
      <c r="H981" s="3"/>
    </row>
    <row r="982">
      <c r="A982" s="2">
        <f>IFERROR(__xludf.DUMMYFUNCTION("""COMPUTED_VALUE"""),10296.0)</f>
        <v>10296</v>
      </c>
      <c r="B982" s="3" t="str">
        <f>IFERROR(__xludf.DUMMYFUNCTION("""COMPUTED_VALUE"""),"7298 BETHEL GROVE RD")</f>
        <v>7298 BETHEL GROVE RD</v>
      </c>
      <c r="C982" s="3" t="str">
        <f>IFERROR(__xludf.DUMMYFUNCTION("""COMPUTED_VALUE"""),"PORT HOPE")</f>
        <v>PORT HOPE</v>
      </c>
      <c r="D982" s="3" t="str">
        <f>IFERROR(__xludf.DUMMYFUNCTION("""COMPUTED_VALUE"""),"L1A 3V6")</f>
        <v>L1A 3V6</v>
      </c>
      <c r="E982" s="3" t="str">
        <f>IFERROR(__xludf.DUMMYFUNCTION("""COMPUTED_VALUE"""),"Ellen+David Martinell")</f>
        <v>Ellen+David Martinell</v>
      </c>
      <c r="F982" s="3" t="str">
        <f>IFERROR(__xludf.DUMMYFUNCTION("""COMPUTED_VALUE"""),"ellen_martinell@kprdsb.ca")</f>
        <v>ellen_martinell@kprdsb.ca</v>
      </c>
      <c r="G982" s="3"/>
      <c r="H982" s="3"/>
    </row>
    <row r="983">
      <c r="A983" s="2">
        <f>IFERROR(__xludf.DUMMYFUNCTION("""COMPUTED_VALUE"""),10333.0)</f>
        <v>10333</v>
      </c>
      <c r="B983" s="3" t="str">
        <f>IFERROR(__xludf.DUMMYFUNCTION("""COMPUTED_VALUE"""),"7307 BYERS RD")</f>
        <v>7307 BYERS RD</v>
      </c>
      <c r="C983" s="3" t="str">
        <f>IFERROR(__xludf.DUMMYFUNCTION("""COMPUTED_VALUE"""),"BAILIEBORO")</f>
        <v>BAILIEBORO</v>
      </c>
      <c r="D983" s="3" t="str">
        <f>IFERROR(__xludf.DUMMYFUNCTION("""COMPUTED_VALUE"""),"K0L 1B0")</f>
        <v>K0L 1B0</v>
      </c>
      <c r="E983" s="3" t="str">
        <f>IFERROR(__xludf.DUMMYFUNCTION("""COMPUTED_VALUE"""),"Lars Skjaueland")</f>
        <v>Lars Skjaueland</v>
      </c>
      <c r="F983" s="3"/>
      <c r="G983" s="3"/>
      <c r="H983" s="3"/>
    </row>
    <row r="984">
      <c r="A984" s="2">
        <f>IFERROR(__xludf.DUMMYFUNCTION("""COMPUTED_VALUE"""),11251.0)</f>
        <v>11251</v>
      </c>
      <c r="B984" s="3" t="str">
        <f>IFERROR(__xludf.DUMMYFUNCTION("""COMPUTED_VALUE"""),"7311 MILL ST")</f>
        <v>7311 MILL ST</v>
      </c>
      <c r="C984" s="3" t="str">
        <f>IFERROR(__xludf.DUMMYFUNCTION("""COMPUTED_VALUE"""),"PORT HOPE")</f>
        <v>PORT HOPE</v>
      </c>
      <c r="D984" s="3" t="str">
        <f>IFERROR(__xludf.DUMMYFUNCTION("""COMPUTED_VALUE"""),"L1A 3V5")</f>
        <v>L1A 3V5</v>
      </c>
      <c r="E984" s="3" t="str">
        <f>IFERROR(__xludf.DUMMYFUNCTION("""COMPUTED_VALUE"""),"Scott Gray")</f>
        <v>Scott Gray</v>
      </c>
      <c r="F984" s="3" t="str">
        <f>IFERROR(__xludf.DUMMYFUNCTION("""COMPUTED_VALUE"""),"bgrayins@peterboro.net/ morris_muffin@hotmail.com")</f>
        <v>bgrayins@peterboro.net/ morris_muffin@hotmail.com</v>
      </c>
      <c r="G984" s="3"/>
      <c r="H984" s="3"/>
    </row>
    <row r="985">
      <c r="A985" s="2">
        <f>IFERROR(__xludf.DUMMYFUNCTION("""COMPUTED_VALUE"""),10334.0)</f>
        <v>10334</v>
      </c>
      <c r="B985" s="3" t="str">
        <f>IFERROR(__xludf.DUMMYFUNCTION("""COMPUTED_VALUE"""),"7325 BYERS RD")</f>
        <v>7325 BYERS RD</v>
      </c>
      <c r="C985" s="3" t="str">
        <f>IFERROR(__xludf.DUMMYFUNCTION("""COMPUTED_VALUE"""),"BAILIEBORO")</f>
        <v>BAILIEBORO</v>
      </c>
      <c r="D985" s="3" t="str">
        <f>IFERROR(__xludf.DUMMYFUNCTION("""COMPUTED_VALUE"""),"K0L 1B0")</f>
        <v>K0L 1B0</v>
      </c>
      <c r="E985" s="3" t="str">
        <f>IFERROR(__xludf.DUMMYFUNCTION("""COMPUTED_VALUE"""),"David Allen")</f>
        <v>David Allen</v>
      </c>
      <c r="F985" s="3" t="str">
        <f>IFERROR(__xludf.DUMMYFUNCTION("""COMPUTED_VALUE"""),"david.allen@xplornet.com")</f>
        <v>david.allen@xplornet.com</v>
      </c>
      <c r="G985" s="3"/>
      <c r="H985" s="3"/>
    </row>
    <row r="986">
      <c r="A986" s="2">
        <f>IFERROR(__xludf.DUMMYFUNCTION("""COMPUTED_VALUE"""),10335.0)</f>
        <v>10335</v>
      </c>
      <c r="B986" s="3" t="str">
        <f>IFERROR(__xludf.DUMMYFUNCTION("""COMPUTED_VALUE"""),"7335 BYERS RD")</f>
        <v>7335 BYERS RD</v>
      </c>
      <c r="C986" s="3" t="str">
        <f>IFERROR(__xludf.DUMMYFUNCTION("""COMPUTED_VALUE"""),"BAILIEBORO")</f>
        <v>BAILIEBORO</v>
      </c>
      <c r="D986" s="3" t="str">
        <f>IFERROR(__xludf.DUMMYFUNCTION("""COMPUTED_VALUE"""),"K0L 1B0")</f>
        <v>K0L 1B0</v>
      </c>
      <c r="E986" s="3" t="str">
        <f>IFERROR(__xludf.DUMMYFUNCTION("""COMPUTED_VALUE"""),"Martha Mcllaughlin")</f>
        <v>Martha Mcllaughlin</v>
      </c>
      <c r="F986" s="3" t="str">
        <f>IFERROR(__xludf.DUMMYFUNCTION("""COMPUTED_VALUE"""),"marthalmclaughlin@gmail.com")</f>
        <v>marthalmclaughlin@gmail.com</v>
      </c>
      <c r="G986" s="3"/>
      <c r="H986" s="3"/>
    </row>
    <row r="987">
      <c r="A987" s="2">
        <f>IFERROR(__xludf.DUMMYFUNCTION("""COMPUTED_VALUE"""),10337.0)</f>
        <v>10337</v>
      </c>
      <c r="B987" s="3" t="str">
        <f>IFERROR(__xludf.DUMMYFUNCTION("""COMPUTED_VALUE"""),"7341 BYERS RD")</f>
        <v>7341 BYERS RD</v>
      </c>
      <c r="C987" s="3" t="str">
        <f>IFERROR(__xludf.DUMMYFUNCTION("""COMPUTED_VALUE"""),"BAILIEBORO")</f>
        <v>BAILIEBORO</v>
      </c>
      <c r="D987" s="3" t="str">
        <f>IFERROR(__xludf.DUMMYFUNCTION("""COMPUTED_VALUE"""),"K0L 1B0")</f>
        <v>K0L 1B0</v>
      </c>
      <c r="E987" s="3" t="str">
        <f>IFERROR(__xludf.DUMMYFUNCTION("""COMPUTED_VALUE"""),"Erin Howcroft")</f>
        <v>Erin Howcroft</v>
      </c>
      <c r="F987" s="3" t="str">
        <f>IFERROR(__xludf.DUMMYFUNCTION("""COMPUTED_VALUE"""),"mamah2672@gmail.com")</f>
        <v>mamah2672@gmail.com</v>
      </c>
      <c r="G987" s="3"/>
      <c r="H987" s="3"/>
    </row>
    <row r="988">
      <c r="A988" s="2">
        <f>IFERROR(__xludf.DUMMYFUNCTION("""COMPUTED_VALUE"""),10336.0)</f>
        <v>10336</v>
      </c>
      <c r="B988" s="3" t="str">
        <f>IFERROR(__xludf.DUMMYFUNCTION("""COMPUTED_VALUE"""),"7341 BYERS RD UNIT 145")</f>
        <v>7341 BYERS RD UNIT 145</v>
      </c>
      <c r="C988" s="3" t="str">
        <f>IFERROR(__xludf.DUMMYFUNCTION("""COMPUTED_VALUE"""),"BAILIEBORO")</f>
        <v>BAILIEBORO</v>
      </c>
      <c r="D988" s="3" t="str">
        <f>IFERROR(__xludf.DUMMYFUNCTION("""COMPUTED_VALUE"""),"K0L 1B0")</f>
        <v>K0L 1B0</v>
      </c>
      <c r="E988" s="3" t="str">
        <f>IFERROR(__xludf.DUMMYFUNCTION("""COMPUTED_VALUE"""),"Ian James")</f>
        <v>Ian James</v>
      </c>
      <c r="F988" s="3" t="str">
        <f>IFERROR(__xludf.DUMMYFUNCTION("""COMPUTED_VALUE"""),"ipj.bailieboro@gmail.com")</f>
        <v>ipj.bailieboro@gmail.com</v>
      </c>
      <c r="G988" s="3"/>
      <c r="H988" s="3"/>
    </row>
    <row r="989">
      <c r="A989" s="2">
        <f>IFERROR(__xludf.DUMMYFUNCTION("""COMPUTED_VALUE"""),10338.0)</f>
        <v>10338</v>
      </c>
      <c r="B989" s="3" t="str">
        <f>IFERROR(__xludf.DUMMYFUNCTION("""COMPUTED_VALUE"""),"7349 BYERS RD")</f>
        <v>7349 BYERS RD</v>
      </c>
      <c r="C989" s="3" t="str">
        <f>IFERROR(__xludf.DUMMYFUNCTION("""COMPUTED_VALUE"""),"BAILIEBORO")</f>
        <v>BAILIEBORO</v>
      </c>
      <c r="D989" s="3" t="str">
        <f>IFERROR(__xludf.DUMMYFUNCTION("""COMPUTED_VALUE"""),"K0L 1B0")</f>
        <v>K0L 1B0</v>
      </c>
      <c r="E989" s="3" t="str">
        <f>IFERROR(__xludf.DUMMYFUNCTION("""COMPUTED_VALUE"""),"Juha Tuominen")</f>
        <v>Juha Tuominen</v>
      </c>
      <c r="F989" s="3" t="str">
        <f>IFERROR(__xludf.DUMMYFUNCTION("""COMPUTED_VALUE"""),"juha@sympatico.ca")</f>
        <v>juha@sympatico.ca</v>
      </c>
      <c r="G989" s="3"/>
      <c r="H989" s="3"/>
    </row>
    <row r="990">
      <c r="A990" s="2">
        <f>IFERROR(__xludf.DUMMYFUNCTION("""COMPUTED_VALUE"""),10339.0)</f>
        <v>10339</v>
      </c>
      <c r="B990" s="3" t="str">
        <f>IFERROR(__xludf.DUMMYFUNCTION("""COMPUTED_VALUE"""),"7351 BYERS RD")</f>
        <v>7351 BYERS RD</v>
      </c>
      <c r="C990" s="3" t="str">
        <f>IFERROR(__xludf.DUMMYFUNCTION("""COMPUTED_VALUE"""),"BAILIEBORO")</f>
        <v>BAILIEBORO</v>
      </c>
      <c r="D990" s="3" t="str">
        <f>IFERROR(__xludf.DUMMYFUNCTION("""COMPUTED_VALUE"""),"K0L 1B0")</f>
        <v>K0L 1B0</v>
      </c>
      <c r="E990" s="3" t="str">
        <f>IFERROR(__xludf.DUMMYFUNCTION("""COMPUTED_VALUE"""),"Juha Tuominen (POA)")</f>
        <v>Juha Tuominen (POA)</v>
      </c>
      <c r="F990" s="3" t="str">
        <f>IFERROR(__xludf.DUMMYFUNCTION("""COMPUTED_VALUE"""),"juha@sympatico.ca")</f>
        <v>juha@sympatico.ca</v>
      </c>
      <c r="G990" s="3"/>
      <c r="H990" s="3"/>
    </row>
    <row r="991">
      <c r="A991" s="2">
        <f>IFERROR(__xludf.DUMMYFUNCTION("""COMPUTED_VALUE"""),10340.0)</f>
        <v>10340</v>
      </c>
      <c r="B991" s="3" t="str">
        <f>IFERROR(__xludf.DUMMYFUNCTION("""COMPUTED_VALUE"""),"7353 BYERS RD")</f>
        <v>7353 BYERS RD</v>
      </c>
      <c r="C991" s="3" t="str">
        <f>IFERROR(__xludf.DUMMYFUNCTION("""COMPUTED_VALUE"""),"BAILIEBORO")</f>
        <v>BAILIEBORO</v>
      </c>
      <c r="D991" s="3" t="str">
        <f>IFERROR(__xludf.DUMMYFUNCTION("""COMPUTED_VALUE"""),"K0L 1B0")</f>
        <v>K0L 1B0</v>
      </c>
      <c r="E991" s="3" t="str">
        <f>IFERROR(__xludf.DUMMYFUNCTION("""COMPUTED_VALUE"""),"Erin Howcroft")</f>
        <v>Erin Howcroft</v>
      </c>
      <c r="F991" s="3" t="str">
        <f>IFERROR(__xludf.DUMMYFUNCTION("""COMPUTED_VALUE"""),"mamah2672@gmail.com")</f>
        <v>mamah2672@gmail.com</v>
      </c>
      <c r="G991" s="3"/>
      <c r="H991" s="3"/>
    </row>
    <row r="992">
      <c r="A992" s="2">
        <f>IFERROR(__xludf.DUMMYFUNCTION("""COMPUTED_VALUE"""),10344.0)</f>
        <v>10344</v>
      </c>
      <c r="B992" s="3" t="str">
        <f>IFERROR(__xludf.DUMMYFUNCTION("""COMPUTED_VALUE"""),"7359 BYERS RD UNIT 165")</f>
        <v>7359 BYERS RD UNIT 165</v>
      </c>
      <c r="C992" s="3" t="str">
        <f>IFERROR(__xludf.DUMMYFUNCTION("""COMPUTED_VALUE"""),"BAILIEBORO")</f>
        <v>BAILIEBORO</v>
      </c>
      <c r="D992" s="3" t="str">
        <f>IFERROR(__xludf.DUMMYFUNCTION("""COMPUTED_VALUE"""),"K0L 1B0")</f>
        <v>K0L 1B0</v>
      </c>
      <c r="E992" s="3" t="str">
        <f>IFERROR(__xludf.DUMMYFUNCTION("""COMPUTED_VALUE"""),"Dianne Nietvelt")</f>
        <v>Dianne Nietvelt</v>
      </c>
      <c r="F992" s="3"/>
      <c r="G992" s="3"/>
      <c r="H992" s="3"/>
    </row>
    <row r="993">
      <c r="A993" s="2">
        <f>IFERROR(__xludf.DUMMYFUNCTION("""COMPUTED_VALUE"""),10341.0)</f>
        <v>10341</v>
      </c>
      <c r="B993" s="3" t="str">
        <f>IFERROR(__xludf.DUMMYFUNCTION("""COMPUTED_VALUE"""),"7359 BYERS RD SUITE 120")</f>
        <v>7359 BYERS RD SUITE 120</v>
      </c>
      <c r="C993" s="3" t="str">
        <f>IFERROR(__xludf.DUMMYFUNCTION("""COMPUTED_VALUE"""),"BAILIEBORO")</f>
        <v>BAILIEBORO</v>
      </c>
      <c r="D993" s="3" t="str">
        <f>IFERROR(__xludf.DUMMYFUNCTION("""COMPUTED_VALUE"""),"K0L 1B0")</f>
        <v>K0L 1B0</v>
      </c>
      <c r="E993" s="3" t="str">
        <f>IFERROR(__xludf.DUMMYFUNCTION("""COMPUTED_VALUE"""),"Ernie Kuzenko")</f>
        <v>Ernie Kuzenko</v>
      </c>
      <c r="F993" s="3"/>
      <c r="G993" s="3"/>
      <c r="H993" s="3"/>
    </row>
    <row r="994">
      <c r="A994" s="2">
        <f>IFERROR(__xludf.DUMMYFUNCTION("""COMPUTED_VALUE"""),10342.0)</f>
        <v>10342</v>
      </c>
      <c r="B994" s="3" t="str">
        <f>IFERROR(__xludf.DUMMYFUNCTION("""COMPUTED_VALUE"""),"7359 BYERS RD SUITE 140")</f>
        <v>7359 BYERS RD SUITE 140</v>
      </c>
      <c r="C994" s="3" t="str">
        <f>IFERROR(__xludf.DUMMYFUNCTION("""COMPUTED_VALUE"""),"BAILIEBORO")</f>
        <v>BAILIEBORO</v>
      </c>
      <c r="D994" s="3" t="str">
        <f>IFERROR(__xludf.DUMMYFUNCTION("""COMPUTED_VALUE"""),"K0L 1B0")</f>
        <v>K0L 1B0</v>
      </c>
      <c r="E994" s="3"/>
      <c r="F994" s="3"/>
      <c r="G994" s="3"/>
      <c r="H994" s="3"/>
    </row>
    <row r="995">
      <c r="A995" s="2">
        <f>IFERROR(__xludf.DUMMYFUNCTION("""COMPUTED_VALUE"""),10343.0)</f>
        <v>10343</v>
      </c>
      <c r="B995" s="3" t="str">
        <f>IFERROR(__xludf.DUMMYFUNCTION("""COMPUTED_VALUE"""),"7359 BYERS RD UNIT 160")</f>
        <v>7359 BYERS RD UNIT 160</v>
      </c>
      <c r="C995" s="3" t="str">
        <f>IFERROR(__xludf.DUMMYFUNCTION("""COMPUTED_VALUE"""),"BAILIEBORO")</f>
        <v>BAILIEBORO</v>
      </c>
      <c r="D995" s="3" t="str">
        <f>IFERROR(__xludf.DUMMYFUNCTION("""COMPUTED_VALUE"""),"K0L 1B0")</f>
        <v>K0L 1B0</v>
      </c>
      <c r="E995" s="3"/>
      <c r="F995" s="3"/>
      <c r="G995" s="3"/>
      <c r="H995" s="3"/>
    </row>
    <row r="996">
      <c r="A996" s="2">
        <f>IFERROR(__xludf.DUMMYFUNCTION("""COMPUTED_VALUE"""),11538.0)</f>
        <v>11538</v>
      </c>
      <c r="B996" s="3" t="str">
        <f>IFERROR(__xludf.DUMMYFUNCTION("""COMPUTED_VALUE"""),"7361 WOODVALE SCHOOL RD S")</f>
        <v>7361 WOODVALE SCHOOL RD S</v>
      </c>
      <c r="C996" s="3" t="str">
        <f>IFERROR(__xludf.DUMMYFUNCTION("""COMPUTED_VALUE"""),"CAMPBELLCROFT")</f>
        <v>CAMPBELLCROFT</v>
      </c>
      <c r="D996" s="3" t="str">
        <f>IFERROR(__xludf.DUMMYFUNCTION("""COMPUTED_VALUE"""),"L0A 1B0")</f>
        <v>L0A 1B0</v>
      </c>
      <c r="E996" s="3"/>
      <c r="F996" s="3"/>
      <c r="G996" s="3"/>
      <c r="H996" s="3"/>
    </row>
    <row r="997">
      <c r="A997" s="2">
        <f>IFERROR(__xludf.DUMMYFUNCTION("""COMPUTED_VALUE"""),10373.0)</f>
        <v>10373</v>
      </c>
      <c r="B997" s="3" t="str">
        <f>IFERROR(__xludf.DUMMYFUNCTION("""COMPUTED_VALUE"""),"7368 CAMPBELL RD")</f>
        <v>7368 CAMPBELL RD</v>
      </c>
      <c r="C997" s="3" t="str">
        <f>IFERROR(__xludf.DUMMYFUNCTION("""COMPUTED_VALUE"""),"CAMPBELLCROFT")</f>
        <v>CAMPBELLCROFT</v>
      </c>
      <c r="D997" s="3" t="str">
        <f>IFERROR(__xludf.DUMMYFUNCTION("""COMPUTED_VALUE"""),"L0A 1B0")</f>
        <v>L0A 1B0</v>
      </c>
      <c r="E997" s="3" t="str">
        <f>IFERROR(__xludf.DUMMYFUNCTION("""COMPUTED_VALUE"""),"COLETTE BARON-REID AND MARC LINDEMAN")</f>
        <v>COLETTE BARON-REID AND MARC LINDEMAN</v>
      </c>
      <c r="F997" s="3" t="str">
        <f>IFERROR(__xludf.DUMMYFUNCTION("""COMPUTED_VALUE"""),"cbrtai@me.com")</f>
        <v>cbrtai@me.com</v>
      </c>
      <c r="G997" s="3"/>
      <c r="H997" s="3"/>
    </row>
    <row r="998">
      <c r="A998" s="2">
        <f>IFERROR(__xludf.DUMMYFUNCTION("""COMPUTED_VALUE"""),10643.0)</f>
        <v>10643</v>
      </c>
      <c r="B998" s="3" t="str">
        <f>IFERROR(__xludf.DUMMYFUNCTION("""COMPUTED_VALUE"""),"7374 COUNTY RD 28")</f>
        <v>7374 COUNTY RD 28</v>
      </c>
      <c r="C998" s="3" t="str">
        <f>IFERROR(__xludf.DUMMYFUNCTION("""COMPUTED_VALUE"""),"CAMPBELLCROFT")</f>
        <v>CAMPBELLCROFT</v>
      </c>
      <c r="D998" s="3" t="str">
        <f>IFERROR(__xludf.DUMMYFUNCTION("""COMPUTED_VALUE"""),"L0A 1B0")</f>
        <v>L0A 1B0</v>
      </c>
      <c r="E998" s="3" t="str">
        <f>IFERROR(__xludf.DUMMYFUNCTION("""COMPUTED_VALUE"""),"Dorothy Armstrong")</f>
        <v>Dorothy Armstrong</v>
      </c>
      <c r="F998" s="3" t="str">
        <f>IFERROR(__xludf.DUMMYFUNCTION("""COMPUTED_VALUE"""),"d__armstrong@hotmail.com")</f>
        <v>d__armstrong@hotmail.com</v>
      </c>
      <c r="G998" s="3"/>
      <c r="H998" s="3"/>
    </row>
    <row r="999">
      <c r="A999" s="2">
        <f>IFERROR(__xludf.DUMMYFUNCTION("""COMPUTED_VALUE"""),10345.0)</f>
        <v>10345</v>
      </c>
      <c r="B999" s="3" t="str">
        <f>IFERROR(__xludf.DUMMYFUNCTION("""COMPUTED_VALUE"""),"7385 BYERS RD")</f>
        <v>7385 BYERS RD</v>
      </c>
      <c r="C999" s="3" t="str">
        <f>IFERROR(__xludf.DUMMYFUNCTION("""COMPUTED_VALUE"""),"BAILIEBORO")</f>
        <v>BAILIEBORO</v>
      </c>
      <c r="D999" s="3" t="str">
        <f>IFERROR(__xludf.DUMMYFUNCTION("""COMPUTED_VALUE"""),"K0L 1B0")</f>
        <v>K0L 1B0</v>
      </c>
      <c r="E999" s="3"/>
      <c r="F999" s="3"/>
      <c r="G999" s="3"/>
      <c r="H999" s="3"/>
    </row>
    <row r="1000">
      <c r="A1000" s="2">
        <f>IFERROR(__xludf.DUMMYFUNCTION("""COMPUTED_VALUE"""),10346.0)</f>
        <v>10346</v>
      </c>
      <c r="B1000" s="3" t="str">
        <f>IFERROR(__xludf.DUMMYFUNCTION("""COMPUTED_VALUE"""),"7389 BYERS RD")</f>
        <v>7389 BYERS RD</v>
      </c>
      <c r="C1000" s="3" t="str">
        <f>IFERROR(__xludf.DUMMYFUNCTION("""COMPUTED_VALUE"""),"BAILIEBORO")</f>
        <v>BAILIEBORO</v>
      </c>
      <c r="D1000" s="3" t="str">
        <f>IFERROR(__xludf.DUMMYFUNCTION("""COMPUTED_VALUE"""),"K0L 1B0")</f>
        <v>K0L 1B0</v>
      </c>
      <c r="E1000" s="3" t="str">
        <f>IFERROR(__xludf.DUMMYFUNCTION("""COMPUTED_VALUE"""),"Miichelle Brinklow")</f>
        <v>Miichelle Brinklow</v>
      </c>
      <c r="F1000" s="3" t="str">
        <f>IFERROR(__xludf.DUMMYFUNCTION("""COMPUTED_VALUE"""),"mbrinklowrmt@gmail.com")</f>
        <v>mbrinklowrmt@gmail.com</v>
      </c>
      <c r="G1000" s="3"/>
      <c r="H1000" s="3"/>
    </row>
    <row r="1001">
      <c r="A1001" s="2">
        <f>IFERROR(__xludf.DUMMYFUNCTION("""COMPUTED_VALUE"""),10347.0)</f>
        <v>10347</v>
      </c>
      <c r="B1001" s="3" t="str">
        <f>IFERROR(__xludf.DUMMYFUNCTION("""COMPUTED_VALUE"""),"7393 BYERS RD")</f>
        <v>7393 BYERS RD</v>
      </c>
      <c r="C1001" s="3" t="str">
        <f>IFERROR(__xludf.DUMMYFUNCTION("""COMPUTED_VALUE"""),"BAILIEBORO")</f>
        <v>BAILIEBORO</v>
      </c>
      <c r="D1001" s="3" t="str">
        <f>IFERROR(__xludf.DUMMYFUNCTION("""COMPUTED_VALUE"""),"K0L 1B0")</f>
        <v>K0L 1B0</v>
      </c>
      <c r="E1001" s="3" t="str">
        <f>IFERROR(__xludf.DUMMYFUNCTION("""COMPUTED_VALUE"""),"Pete Eagleson")</f>
        <v>Pete Eagleson</v>
      </c>
      <c r="F1001" s="3" t="str">
        <f>IFERROR(__xludf.DUMMYFUNCTION("""COMPUTED_VALUE"""),"peteeagleson13@gmail.com")</f>
        <v>peteeagleson13@gmail.com</v>
      </c>
      <c r="G1001" s="3"/>
      <c r="H1001" s="3"/>
    </row>
    <row r="1002">
      <c r="A1002" s="2">
        <f>IFERROR(__xludf.DUMMYFUNCTION("""COMPUTED_VALUE"""),10348.0)</f>
        <v>10348</v>
      </c>
      <c r="B1002" s="3" t="str">
        <f>IFERROR(__xludf.DUMMYFUNCTION("""COMPUTED_VALUE"""),"7396 BYERS RD")</f>
        <v>7396 BYERS RD</v>
      </c>
      <c r="C1002" s="3" t="str">
        <f>IFERROR(__xludf.DUMMYFUNCTION("""COMPUTED_VALUE"""),"BAILIEBORO")</f>
        <v>BAILIEBORO</v>
      </c>
      <c r="D1002" s="3" t="str">
        <f>IFERROR(__xludf.DUMMYFUNCTION("""COMPUTED_VALUE"""),"K0L 1B0")</f>
        <v>K0L 1B0</v>
      </c>
      <c r="E1002" s="3" t="str">
        <f>IFERROR(__xludf.DUMMYFUNCTION("""COMPUTED_VALUE"""),"Clark Mulder")</f>
        <v>Clark Mulder</v>
      </c>
      <c r="F1002" s="3" t="str">
        <f>IFERROR(__xludf.DUMMYFUNCTION("""COMPUTED_VALUE"""),"lcm19542003@yahoo.ca")</f>
        <v>lcm19542003@yahoo.ca</v>
      </c>
      <c r="G1002" s="3"/>
      <c r="H1002" s="3"/>
    </row>
    <row r="1003">
      <c r="A1003" s="2">
        <f>IFERROR(__xludf.DUMMYFUNCTION("""COMPUTED_VALUE"""),10349.0)</f>
        <v>10349</v>
      </c>
      <c r="B1003" s="3" t="str">
        <f>IFERROR(__xludf.DUMMYFUNCTION("""COMPUTED_VALUE"""),"7402 BYERS RD")</f>
        <v>7402 BYERS RD</v>
      </c>
      <c r="C1003" s="3" t="str">
        <f>IFERROR(__xludf.DUMMYFUNCTION("""COMPUTED_VALUE"""),"BAILIEBORO")</f>
        <v>BAILIEBORO</v>
      </c>
      <c r="D1003" s="3" t="str">
        <f>IFERROR(__xludf.DUMMYFUNCTION("""COMPUTED_VALUE"""),"K0L 1B0")</f>
        <v>K0L 1B0</v>
      </c>
      <c r="E1003" s="3" t="str">
        <f>IFERROR(__xludf.DUMMYFUNCTION("""COMPUTED_VALUE"""),"Sam Pilch")</f>
        <v>Sam Pilch</v>
      </c>
      <c r="F1003" s="3" t="str">
        <f>IFERROR(__xludf.DUMMYFUNCTION("""COMPUTED_VALUE"""),"sampilch@gmail.com")</f>
        <v>sampilch@gmail.com</v>
      </c>
      <c r="G1003" s="3"/>
      <c r="H1003" s="3"/>
    </row>
    <row r="1004">
      <c r="A1004" s="2">
        <f>IFERROR(__xludf.DUMMYFUNCTION("""COMPUTED_VALUE"""),10350.0)</f>
        <v>10350</v>
      </c>
      <c r="B1004" s="3" t="str">
        <f>IFERROR(__xludf.DUMMYFUNCTION("""COMPUTED_VALUE"""),"7403 BYERS RD")</f>
        <v>7403 BYERS RD</v>
      </c>
      <c r="C1004" s="3" t="str">
        <f>IFERROR(__xludf.DUMMYFUNCTION("""COMPUTED_VALUE"""),"BAILIEBORO")</f>
        <v>BAILIEBORO</v>
      </c>
      <c r="D1004" s="3" t="str">
        <f>IFERROR(__xludf.DUMMYFUNCTION("""COMPUTED_VALUE"""),"K0L 1B0")</f>
        <v>K0L 1B0</v>
      </c>
      <c r="E1004" s="3"/>
      <c r="F1004" s="3"/>
      <c r="G1004" s="3"/>
      <c r="H1004" s="3"/>
    </row>
    <row r="1005">
      <c r="A1005" s="2">
        <f>IFERROR(__xludf.DUMMYFUNCTION("""COMPUTED_VALUE"""),10351.0)</f>
        <v>10351</v>
      </c>
      <c r="B1005" s="3" t="str">
        <f>IFERROR(__xludf.DUMMYFUNCTION("""COMPUTED_VALUE"""),"7407 BYERS RD")</f>
        <v>7407 BYERS RD</v>
      </c>
      <c r="C1005" s="3" t="str">
        <f>IFERROR(__xludf.DUMMYFUNCTION("""COMPUTED_VALUE"""),"BAILIEBORO")</f>
        <v>BAILIEBORO</v>
      </c>
      <c r="D1005" s="3" t="str">
        <f>IFERROR(__xludf.DUMMYFUNCTION("""COMPUTED_VALUE"""),"K0L 1B0")</f>
        <v>K0L 1B0</v>
      </c>
      <c r="E1005" s="3" t="str">
        <f>IFERROR(__xludf.DUMMYFUNCTION("""COMPUTED_VALUE"""),"Kozar ZBigniew")</f>
        <v>Kozar ZBigniew</v>
      </c>
      <c r="F1005" s="3" t="str">
        <f>IFERROR(__xludf.DUMMYFUNCTION("""COMPUTED_VALUE"""),"zb.ko@hotmail.cm")</f>
        <v>zb.ko@hotmail.cm</v>
      </c>
      <c r="G1005" s="3"/>
      <c r="H1005" s="3"/>
    </row>
    <row r="1006">
      <c r="A1006" s="2">
        <f>IFERROR(__xludf.DUMMYFUNCTION("""COMPUTED_VALUE"""),10352.0)</f>
        <v>10352</v>
      </c>
      <c r="B1006" s="3" t="str">
        <f>IFERROR(__xludf.DUMMYFUNCTION("""COMPUTED_VALUE"""),"7411 BYERS RD")</f>
        <v>7411 BYERS RD</v>
      </c>
      <c r="C1006" s="3" t="str">
        <f>IFERROR(__xludf.DUMMYFUNCTION("""COMPUTED_VALUE"""),"BAILIEBORO")</f>
        <v>BAILIEBORO</v>
      </c>
      <c r="D1006" s="3" t="str">
        <f>IFERROR(__xludf.DUMMYFUNCTION("""COMPUTED_VALUE"""),"K0L 1B0")</f>
        <v>K0L 1B0</v>
      </c>
      <c r="E1006" s="3" t="str">
        <f>IFERROR(__xludf.DUMMYFUNCTION("""COMPUTED_VALUE"""),"Larry &amp; Cindy Gibbons ")</f>
        <v>Larry &amp; Cindy Gibbons </v>
      </c>
      <c r="F1006" s="3" t="str">
        <f>IFERROR(__xludf.DUMMYFUNCTION("""COMPUTED_VALUE"""),"larrygibbons@msn.com")</f>
        <v>larrygibbons@msn.com</v>
      </c>
      <c r="G1006" s="3"/>
      <c r="H1006" s="3"/>
    </row>
    <row r="1007">
      <c r="A1007" s="2">
        <f>IFERROR(__xludf.DUMMYFUNCTION("""COMPUTED_VALUE"""),10353.0)</f>
        <v>10353</v>
      </c>
      <c r="B1007" s="3" t="str">
        <f>IFERROR(__xludf.DUMMYFUNCTION("""COMPUTED_VALUE"""),"7413 BYERS RD")</f>
        <v>7413 BYERS RD</v>
      </c>
      <c r="C1007" s="3" t="str">
        <f>IFERROR(__xludf.DUMMYFUNCTION("""COMPUTED_VALUE"""),"BAILIEBORO")</f>
        <v>BAILIEBORO</v>
      </c>
      <c r="D1007" s="3" t="str">
        <f>IFERROR(__xludf.DUMMYFUNCTION("""COMPUTED_VALUE"""),"K0L 1B0")</f>
        <v>K0L 1B0</v>
      </c>
      <c r="E1007" s="3" t="str">
        <f>IFERROR(__xludf.DUMMYFUNCTION("""COMPUTED_VALUE"""),"Jennifer Crilly-Glover")</f>
        <v>Jennifer Crilly-Glover</v>
      </c>
      <c r="F1007" s="3" t="str">
        <f>IFERROR(__xludf.DUMMYFUNCTION("""COMPUTED_VALUE"""),"jencglover@gmail.com")</f>
        <v>jencglover@gmail.com</v>
      </c>
      <c r="G1007" s="3"/>
      <c r="H1007" s="3"/>
    </row>
    <row r="1008">
      <c r="A1008" s="2">
        <f>IFERROR(__xludf.DUMMYFUNCTION("""COMPUTED_VALUE"""),10354.0)</f>
        <v>10354</v>
      </c>
      <c r="B1008" s="3" t="str">
        <f>IFERROR(__xludf.DUMMYFUNCTION("""COMPUTED_VALUE"""),"7417 BYERS RD")</f>
        <v>7417 BYERS RD</v>
      </c>
      <c r="C1008" s="3" t="str">
        <f>IFERROR(__xludf.DUMMYFUNCTION("""COMPUTED_VALUE"""),"BAILIEBORO")</f>
        <v>BAILIEBORO</v>
      </c>
      <c r="D1008" s="3" t="str">
        <f>IFERROR(__xludf.DUMMYFUNCTION("""COMPUTED_VALUE"""),"K0L 1B0")</f>
        <v>K0L 1B0</v>
      </c>
      <c r="E1008" s="3" t="str">
        <f>IFERROR(__xludf.DUMMYFUNCTION("""COMPUTED_VALUE"""),"Keith Smith")</f>
        <v>Keith Smith</v>
      </c>
      <c r="F1008" s="3" t="str">
        <f>IFERROR(__xludf.DUMMYFUNCTION("""COMPUTED_VALUE"""),"keith_smith5@msw.com")</f>
        <v>keith_smith5@msw.com</v>
      </c>
      <c r="G1008" s="3"/>
      <c r="H1008" s="3"/>
    </row>
    <row r="1009">
      <c r="A1009" s="2">
        <f>IFERROR(__xludf.DUMMYFUNCTION("""COMPUTED_VALUE"""),10355.0)</f>
        <v>10355</v>
      </c>
      <c r="B1009" s="3" t="str">
        <f>IFERROR(__xludf.DUMMYFUNCTION("""COMPUTED_VALUE"""),"7418 BYERS RD")</f>
        <v>7418 BYERS RD</v>
      </c>
      <c r="C1009" s="3" t="str">
        <f>IFERROR(__xludf.DUMMYFUNCTION("""COMPUTED_VALUE"""),"BAILIEBORO")</f>
        <v>BAILIEBORO</v>
      </c>
      <c r="D1009" s="3" t="str">
        <f>IFERROR(__xludf.DUMMYFUNCTION("""COMPUTED_VALUE"""),"K0L 1B0")</f>
        <v>K0L 1B0</v>
      </c>
      <c r="E1009" s="3" t="str">
        <f>IFERROR(__xludf.DUMMYFUNCTION("""COMPUTED_VALUE"""),"Donna Butler")</f>
        <v>Donna Butler</v>
      </c>
      <c r="F1009" s="3" t="str">
        <f>IFERROR(__xludf.DUMMYFUNCTION("""COMPUTED_VALUE"""),"donnagbutler@rogers.com")</f>
        <v>donnagbutler@rogers.com</v>
      </c>
      <c r="G1009" s="3"/>
      <c r="H1009" s="3"/>
    </row>
    <row r="1010">
      <c r="A1010" s="2">
        <f>IFERROR(__xludf.DUMMYFUNCTION("""COMPUTED_VALUE"""),10284.0)</f>
        <v>10284</v>
      </c>
      <c r="B1010" s="3" t="str">
        <f>IFERROR(__xludf.DUMMYFUNCTION("""COMPUTED_VALUE"""),"7426 BEECH HILL RD")</f>
        <v>7426 BEECH HILL RD</v>
      </c>
      <c r="C1010" s="3" t="str">
        <f>IFERROR(__xludf.DUMMYFUNCTION("""COMPUTED_VALUE"""),"CAMPBELLCROFT")</f>
        <v>CAMPBELLCROFT</v>
      </c>
      <c r="D1010" s="3" t="str">
        <f>IFERROR(__xludf.DUMMYFUNCTION("""COMPUTED_VALUE"""),"L0A 1B0")</f>
        <v>L0A 1B0</v>
      </c>
      <c r="E1010" s="3" t="str">
        <f>IFERROR(__xludf.DUMMYFUNCTION("""COMPUTED_VALUE"""),"Murray Treloar")</f>
        <v>Murray Treloar</v>
      </c>
      <c r="F1010" s="3" t="str">
        <f>IFERROR(__xludf.DUMMYFUNCTION("""COMPUTED_VALUE"""),"mtreloar@treloar.on.ca")</f>
        <v>mtreloar@treloar.on.ca</v>
      </c>
      <c r="G1010" s="3"/>
      <c r="H1010" s="3"/>
    </row>
    <row r="1011">
      <c r="A1011" s="2">
        <f>IFERROR(__xludf.DUMMYFUNCTION("""COMPUTED_VALUE"""),10357.0)</f>
        <v>10357</v>
      </c>
      <c r="B1011" s="3" t="str">
        <f>IFERROR(__xludf.DUMMYFUNCTION("""COMPUTED_VALUE"""),"7433 BYERS RD")</f>
        <v>7433 BYERS RD</v>
      </c>
      <c r="C1011" s="3" t="str">
        <f>IFERROR(__xludf.DUMMYFUNCTION("""COMPUTED_VALUE"""),"BAILIEBORO")</f>
        <v>BAILIEBORO</v>
      </c>
      <c r="D1011" s="3" t="str">
        <f>IFERROR(__xludf.DUMMYFUNCTION("""COMPUTED_VALUE"""),"K0L 1B0")</f>
        <v>K0L 1B0</v>
      </c>
      <c r="E1011" s="3"/>
      <c r="F1011" s="3"/>
      <c r="G1011" s="3"/>
      <c r="H1011" s="3"/>
    </row>
    <row r="1012">
      <c r="A1012" s="2">
        <f>IFERROR(__xludf.DUMMYFUNCTION("""COMPUTED_VALUE"""),10358.0)</f>
        <v>10358</v>
      </c>
      <c r="B1012" s="3" t="str">
        <f>IFERROR(__xludf.DUMMYFUNCTION("""COMPUTED_VALUE"""),"7439 BYERS RD")</f>
        <v>7439 BYERS RD</v>
      </c>
      <c r="C1012" s="3" t="str">
        <f>IFERROR(__xludf.DUMMYFUNCTION("""COMPUTED_VALUE"""),"BAILIEBORO")</f>
        <v>BAILIEBORO</v>
      </c>
      <c r="D1012" s="3" t="str">
        <f>IFERROR(__xludf.DUMMYFUNCTION("""COMPUTED_VALUE"""),"K0L 1B0")</f>
        <v>K0L 1B0</v>
      </c>
      <c r="E1012" s="3" t="str">
        <f>IFERROR(__xludf.DUMMYFUNCTION("""COMPUTED_VALUE"""),"Tim A")</f>
        <v>Tim A</v>
      </c>
      <c r="F1012" s="3" t="str">
        <f>IFERROR(__xludf.DUMMYFUNCTION("""COMPUTED_VALUE"""),"Timachs@live.com")</f>
        <v>Timachs@live.com</v>
      </c>
      <c r="G1012" s="3"/>
      <c r="H1012" s="3"/>
    </row>
    <row r="1013">
      <c r="A1013" s="2">
        <f>IFERROR(__xludf.DUMMYFUNCTION("""COMPUTED_VALUE"""),10359.0)</f>
        <v>10359</v>
      </c>
      <c r="B1013" s="3" t="str">
        <f>IFERROR(__xludf.DUMMYFUNCTION("""COMPUTED_VALUE"""),"7441 BYERS RD")</f>
        <v>7441 BYERS RD</v>
      </c>
      <c r="C1013" s="3" t="str">
        <f>IFERROR(__xludf.DUMMYFUNCTION("""COMPUTED_VALUE"""),"BAILIEBORO")</f>
        <v>BAILIEBORO</v>
      </c>
      <c r="D1013" s="3" t="str">
        <f>IFERROR(__xludf.DUMMYFUNCTION("""COMPUTED_VALUE"""),"K0L 1B0")</f>
        <v>K0L 1B0</v>
      </c>
      <c r="E1013" s="3"/>
      <c r="F1013" s="3"/>
      <c r="G1013" s="3"/>
      <c r="H1013" s="3"/>
    </row>
    <row r="1014">
      <c r="A1014" s="2">
        <f>IFERROR(__xludf.DUMMYFUNCTION("""COMPUTED_VALUE"""),10644.0)</f>
        <v>10644</v>
      </c>
      <c r="B1014" s="3" t="str">
        <f>IFERROR(__xludf.DUMMYFUNCTION("""COMPUTED_VALUE"""),"7442 COUNTY RD 28")</f>
        <v>7442 COUNTY RD 28</v>
      </c>
      <c r="C1014" s="3" t="str">
        <f>IFERROR(__xludf.DUMMYFUNCTION("""COMPUTED_VALUE"""),"CAMPBELLCROFT")</f>
        <v>CAMPBELLCROFT</v>
      </c>
      <c r="D1014" s="3" t="str">
        <f>IFERROR(__xludf.DUMMYFUNCTION("""COMPUTED_VALUE"""),"33")</f>
        <v>33</v>
      </c>
      <c r="E1014" s="3" t="str">
        <f>IFERROR(__xludf.DUMMYFUNCTION("""COMPUTED_VALUE"""),"Errin Langley")</f>
        <v>Errin Langley</v>
      </c>
      <c r="F1014" s="3"/>
      <c r="G1014" s="3"/>
      <c r="H1014" s="3"/>
    </row>
    <row r="1015">
      <c r="A1015" s="2">
        <f>IFERROR(__xludf.DUMMYFUNCTION("""COMPUTED_VALUE"""),10645.0)</f>
        <v>10645</v>
      </c>
      <c r="B1015" s="3" t="str">
        <f>IFERROR(__xludf.DUMMYFUNCTION("""COMPUTED_VALUE"""),"7444 COUNTY RD 28")</f>
        <v>7444 COUNTY RD 28</v>
      </c>
      <c r="C1015" s="3" t="str">
        <f>IFERROR(__xludf.DUMMYFUNCTION("""COMPUTED_VALUE"""),"CAMPBELLCROFT")</f>
        <v>CAMPBELLCROFT</v>
      </c>
      <c r="D1015" s="3" t="str">
        <f>IFERROR(__xludf.DUMMYFUNCTION("""COMPUTED_VALUE"""),"L0A 1B0")</f>
        <v>L0A 1B0</v>
      </c>
      <c r="E1015" s="3" t="str">
        <f>IFERROR(__xludf.DUMMYFUNCTION("""COMPUTED_VALUE"""),"Gord Scott")</f>
        <v>Gord Scott</v>
      </c>
      <c r="F1015" s="3" t="str">
        <f>IFERROR(__xludf.DUMMYFUNCTION("""COMPUTED_VALUE"""),"g.s.scott@hotmail.com")</f>
        <v>g.s.scott@hotmail.com</v>
      </c>
      <c r="G1015" s="3"/>
      <c r="H1015" s="3"/>
    </row>
    <row r="1016">
      <c r="A1016" s="2">
        <f>IFERROR(__xludf.DUMMYFUNCTION("""COMPUTED_VALUE"""),10646.0)</f>
        <v>10646</v>
      </c>
      <c r="B1016" s="3" t="str">
        <f>IFERROR(__xludf.DUMMYFUNCTION("""COMPUTED_VALUE"""),"7490 COUNTY RD 28")</f>
        <v>7490 COUNTY RD 28</v>
      </c>
      <c r="C1016" s="3" t="str">
        <f>IFERROR(__xludf.DUMMYFUNCTION("""COMPUTED_VALUE"""),"CAMPBELLCROFT")</f>
        <v>CAMPBELLCROFT</v>
      </c>
      <c r="D1016" s="3" t="str">
        <f>IFERROR(__xludf.DUMMYFUNCTION("""COMPUTED_VALUE"""),"L0A 1B0")</f>
        <v>L0A 1B0</v>
      </c>
      <c r="E1016" s="3" t="str">
        <f>IFERROR(__xludf.DUMMYFUNCTION("""COMPUTED_VALUE"""),"Mark HIndmarch")</f>
        <v>Mark HIndmarch</v>
      </c>
      <c r="F1016" s="3" t="str">
        <f>IFERROR(__xludf.DUMMYFUNCTION("""COMPUTED_VALUE"""),"minhindmarch@hotmail.com")</f>
        <v>minhindmarch@hotmail.com</v>
      </c>
      <c r="G1016" s="3"/>
      <c r="H1016" s="3"/>
    </row>
    <row r="1017">
      <c r="A1017" s="2">
        <f>IFERROR(__xludf.DUMMYFUNCTION("""COMPUTED_VALUE"""),10647.0)</f>
        <v>10647</v>
      </c>
      <c r="B1017" s="3" t="str">
        <f>IFERROR(__xludf.DUMMYFUNCTION("""COMPUTED_VALUE"""),"7530 COUNTY RD 28")</f>
        <v>7530 COUNTY RD 28</v>
      </c>
      <c r="C1017" s="3" t="str">
        <f>IFERROR(__xludf.DUMMYFUNCTION("""COMPUTED_VALUE"""),"CAMPBELLCROFT")</f>
        <v>CAMPBELLCROFT</v>
      </c>
      <c r="D1017" s="3" t="str">
        <f>IFERROR(__xludf.DUMMYFUNCTION("""COMPUTED_VALUE"""),"L0A 1B0")</f>
        <v>L0A 1B0</v>
      </c>
      <c r="E1017" s="3" t="str">
        <f>IFERROR(__xludf.DUMMYFUNCTION("""COMPUTED_VALUE"""),"Chris Hart")</f>
        <v>Chris Hart</v>
      </c>
      <c r="F1017" s="3" t="str">
        <f>IFERROR(__xludf.DUMMYFUNCTION("""COMPUTED_VALUE"""),"chrishart38@hotmail.com")</f>
        <v>chrishart38@hotmail.com</v>
      </c>
      <c r="G1017" s="3"/>
      <c r="H1017" s="3"/>
    </row>
    <row r="1018">
      <c r="A1018" s="2">
        <f>IFERROR(__xludf.DUMMYFUNCTION("""COMPUTED_VALUE"""),10374.0)</f>
        <v>10374</v>
      </c>
      <c r="B1018" s="3" t="str">
        <f>IFERROR(__xludf.DUMMYFUNCTION("""COMPUTED_VALUE"""),"7540 CAMPBELL RD")</f>
        <v>7540 CAMPBELL RD</v>
      </c>
      <c r="C1018" s="3" t="str">
        <f>IFERROR(__xludf.DUMMYFUNCTION("""COMPUTED_VALUE"""),"CAMPBELLCROFT")</f>
        <v>CAMPBELLCROFT</v>
      </c>
      <c r="D1018" s="3" t="str">
        <f>IFERROR(__xludf.DUMMYFUNCTION("""COMPUTED_VALUE"""),"L0A 1B0")</f>
        <v>L0A 1B0</v>
      </c>
      <c r="E1018" s="3" t="str">
        <f>IFERROR(__xludf.DUMMYFUNCTION("""COMPUTED_VALUE"""),"josh bowman")</f>
        <v>josh bowman</v>
      </c>
      <c r="F1018" s="3"/>
      <c r="G1018" s="3"/>
      <c r="H1018" s="3"/>
    </row>
    <row r="1019">
      <c r="A1019" s="2">
        <f>IFERROR(__xludf.DUMMYFUNCTION("""COMPUTED_VALUE"""),10375.0)</f>
        <v>10375</v>
      </c>
      <c r="B1019" s="3" t="str">
        <f>IFERROR(__xludf.DUMMYFUNCTION("""COMPUTED_VALUE"""),"7551 CAMPBELL RD")</f>
        <v>7551 CAMPBELL RD</v>
      </c>
      <c r="C1019" s="3" t="str">
        <f>IFERROR(__xludf.DUMMYFUNCTION("""COMPUTED_VALUE"""),"CAMPBELLCROFT")</f>
        <v>CAMPBELLCROFT</v>
      </c>
      <c r="D1019" s="3" t="str">
        <f>IFERROR(__xludf.DUMMYFUNCTION("""COMPUTED_VALUE"""),"L0A 1B0")</f>
        <v>L0A 1B0</v>
      </c>
      <c r="E1019" s="3" t="str">
        <f>IFERROR(__xludf.DUMMYFUNCTION("""COMPUTED_VALUE"""),"Linda Sauve")</f>
        <v>Linda Sauve</v>
      </c>
      <c r="F1019" s="3" t="str">
        <f>IFERROR(__xludf.DUMMYFUNCTION("""COMPUTED_VALUE"""),"ldsauve@hotmail.com")</f>
        <v>ldsauve@hotmail.com</v>
      </c>
      <c r="G1019" s="3"/>
      <c r="H1019" s="3"/>
    </row>
    <row r="1020">
      <c r="A1020" s="2">
        <f>IFERROR(__xludf.DUMMYFUNCTION("""COMPUTED_VALUE"""),11615.0)</f>
        <v>11615</v>
      </c>
      <c r="B1020" s="3" t="str">
        <f>IFERROR(__xludf.DUMMYFUNCTION("""COMPUTED_VALUE"""),"7612 COUNTY RD 28")</f>
        <v>7612 COUNTY RD 28</v>
      </c>
      <c r="C1020" s="3" t="str">
        <f>IFERROR(__xludf.DUMMYFUNCTION("""COMPUTED_VALUE"""),"CAMPBELLCROFT")</f>
        <v>CAMPBELLCROFT</v>
      </c>
      <c r="D1020" s="3" t="str">
        <f>IFERROR(__xludf.DUMMYFUNCTION("""COMPUTED_VALUE"""),"L0A 1B0")</f>
        <v>L0A 1B0</v>
      </c>
      <c r="E1020" s="3"/>
      <c r="F1020" s="3"/>
      <c r="G1020" s="3"/>
      <c r="H1020" s="3"/>
    </row>
    <row r="1021">
      <c r="A1021" s="2">
        <f>IFERROR(__xludf.DUMMYFUNCTION("""COMPUTED_VALUE"""),10648.0)</f>
        <v>10648</v>
      </c>
      <c r="B1021" s="3" t="str">
        <f>IFERROR(__xludf.DUMMYFUNCTION("""COMPUTED_VALUE"""),"7628 COUNTY RD 28")</f>
        <v>7628 COUNTY RD 28</v>
      </c>
      <c r="C1021" s="3" t="str">
        <f>IFERROR(__xludf.DUMMYFUNCTION("""COMPUTED_VALUE"""),"CAMPBELLCROFT")</f>
        <v>CAMPBELLCROFT</v>
      </c>
      <c r="D1021" s="3" t="str">
        <f>IFERROR(__xludf.DUMMYFUNCTION("""COMPUTED_VALUE"""),"L0A 1B0")</f>
        <v>L0A 1B0</v>
      </c>
      <c r="E1021" s="3" t="str">
        <f>IFERROR(__xludf.DUMMYFUNCTION("""COMPUTED_VALUE"""),"Brian Latino")</f>
        <v>Brian Latino</v>
      </c>
      <c r="F1021" s="3" t="str">
        <f>IFERROR(__xludf.DUMMYFUNCTION("""COMPUTED_VALUE"""),"brian.e.latino@gmail.com")</f>
        <v>brian.e.latino@gmail.com</v>
      </c>
      <c r="G1021" s="3"/>
      <c r="H1021" s="3"/>
    </row>
    <row r="1022">
      <c r="A1022" s="2">
        <f>IFERROR(__xludf.DUMMYFUNCTION("""COMPUTED_VALUE"""),10649.0)</f>
        <v>10649</v>
      </c>
      <c r="B1022" s="3" t="str">
        <f>IFERROR(__xludf.DUMMYFUNCTION("""COMPUTED_VALUE"""),"7676 COUNTY RD 28")</f>
        <v>7676 COUNTY RD 28</v>
      </c>
      <c r="C1022" s="3" t="str">
        <f>IFERROR(__xludf.DUMMYFUNCTION("""COMPUTED_VALUE"""),"CAMPBELLCROFT")</f>
        <v>CAMPBELLCROFT</v>
      </c>
      <c r="D1022" s="3" t="str">
        <f>IFERROR(__xludf.DUMMYFUNCTION("""COMPUTED_VALUE"""),"L0A 1B0")</f>
        <v>L0A 1B0</v>
      </c>
      <c r="E1022" s="3"/>
      <c r="F1022" s="3"/>
      <c r="G1022" s="3"/>
      <c r="H1022" s="3"/>
    </row>
    <row r="1023">
      <c r="A1023" s="2">
        <f>IFERROR(__xludf.DUMMYFUNCTION("""COMPUTED_VALUE"""),10651.0)</f>
        <v>10651</v>
      </c>
      <c r="B1023" s="3" t="str">
        <f>IFERROR(__xludf.DUMMYFUNCTION("""COMPUTED_VALUE"""),"7776 COUNTY RD 28")</f>
        <v>7776 COUNTY RD 28</v>
      </c>
      <c r="C1023" s="3" t="str">
        <f>IFERROR(__xludf.DUMMYFUNCTION("""COMPUTED_VALUE"""),"CAMPBELLCROFT")</f>
        <v>CAMPBELLCROFT</v>
      </c>
      <c r="D1023" s="3" t="str">
        <f>IFERROR(__xludf.DUMMYFUNCTION("""COMPUTED_VALUE"""),"L0A 1B0")</f>
        <v>L0A 1B0</v>
      </c>
      <c r="E1023" s="3" t="str">
        <f>IFERROR(__xludf.DUMMYFUNCTION("""COMPUTED_VALUE"""),"kenneth elder")</f>
        <v>kenneth elder</v>
      </c>
      <c r="F1023" s="3" t="str">
        <f>IFERROR(__xludf.DUMMYFUNCTION("""COMPUTED_VALUE"""),"kenielder1@gmail.com")</f>
        <v>kenielder1@gmail.com</v>
      </c>
      <c r="G1023" s="3"/>
      <c r="H1023" s="3"/>
    </row>
    <row r="1024">
      <c r="A1024" s="2">
        <f>IFERROR(__xludf.DUMMYFUNCTION("""COMPUTED_VALUE"""),11517.0)</f>
        <v>11517</v>
      </c>
      <c r="B1024" s="3" t="str">
        <f>IFERROR(__xludf.DUMMYFUNCTION("""COMPUTED_VALUE"""),"7800 WILSON LANE")</f>
        <v>7800 WILSON LANE</v>
      </c>
      <c r="C1024" s="3" t="str">
        <f>IFERROR(__xludf.DUMMYFUNCTION("""COMPUTED_VALUE"""),"CAMPBELLCROFT")</f>
        <v>CAMPBELLCROFT</v>
      </c>
      <c r="D1024" s="3" t="str">
        <f>IFERROR(__xludf.DUMMYFUNCTION("""COMPUTED_VALUE"""),"L0A 1B0")</f>
        <v>L0A 1B0</v>
      </c>
      <c r="E1024" s="3"/>
      <c r="F1024" s="3"/>
      <c r="G1024" s="3"/>
      <c r="H1024" s="3"/>
    </row>
    <row r="1025">
      <c r="A1025" s="2">
        <f>IFERROR(__xludf.DUMMYFUNCTION("""COMPUTED_VALUE"""),10701.0)</f>
        <v>10701</v>
      </c>
      <c r="B1025" s="3" t="str">
        <f>IFERROR(__xludf.DUMMYFUNCTION("""COMPUTED_VALUE"""),"7805 CRUISE LANE")</f>
        <v>7805 CRUISE LANE</v>
      </c>
      <c r="C1025" s="3" t="str">
        <f>IFERROR(__xludf.DUMMYFUNCTION("""COMPUTED_VALUE"""),"CAMPBELLCROFT")</f>
        <v>CAMPBELLCROFT</v>
      </c>
      <c r="D1025" s="3" t="str">
        <f>IFERROR(__xludf.DUMMYFUNCTION("""COMPUTED_VALUE"""),"L0A 1B0")</f>
        <v>L0A 1B0</v>
      </c>
      <c r="E1025" s="3" t="str">
        <f>IFERROR(__xludf.DUMMYFUNCTION("""COMPUTED_VALUE"""),"Mitch matiyek ")</f>
        <v>Mitch matiyek </v>
      </c>
      <c r="F1025" s="3" t="str">
        <f>IFERROR(__xludf.DUMMYFUNCTION("""COMPUTED_VALUE"""),"Brendamatiyek8@gmail.com")</f>
        <v>Brendamatiyek8@gmail.com</v>
      </c>
      <c r="G1025" s="3"/>
      <c r="H1025" s="3"/>
    </row>
    <row r="1026">
      <c r="A1026" s="2">
        <f>IFERROR(__xludf.DUMMYFUNCTION("""COMPUTED_VALUE"""),10652.0)</f>
        <v>10652</v>
      </c>
      <c r="B1026" s="3" t="str">
        <f>IFERROR(__xludf.DUMMYFUNCTION("""COMPUTED_VALUE"""),"7814 COUNTY RD 28")</f>
        <v>7814 COUNTY RD 28</v>
      </c>
      <c r="C1026" s="3" t="str">
        <f>IFERROR(__xludf.DUMMYFUNCTION("""COMPUTED_VALUE"""),"CAMPBELLCROFT")</f>
        <v>CAMPBELLCROFT</v>
      </c>
      <c r="D1026" s="3" t="str">
        <f>IFERROR(__xludf.DUMMYFUNCTION("""COMPUTED_VALUE"""),"L0A 1B0")</f>
        <v>L0A 1B0</v>
      </c>
      <c r="E1026" s="3" t="str">
        <f>IFERROR(__xludf.DUMMYFUNCTION("""COMPUTED_VALUE"""),"Michael Herron")</f>
        <v>Michael Herron</v>
      </c>
      <c r="F1026" s="3" t="str">
        <f>IFERROR(__xludf.DUMMYFUNCTION("""COMPUTED_VALUE"""),"blueheronmd@gmail.com")</f>
        <v>blueheronmd@gmail.com</v>
      </c>
      <c r="G1026" s="3"/>
      <c r="H1026" s="3"/>
    </row>
    <row r="1027">
      <c r="A1027" s="2">
        <f>IFERROR(__xludf.DUMMYFUNCTION("""COMPUTED_VALUE"""),10376.0)</f>
        <v>10376</v>
      </c>
      <c r="B1027" s="3" t="str">
        <f>IFERROR(__xludf.DUMMYFUNCTION("""COMPUTED_VALUE"""),"7827 CAMPBELL RD")</f>
        <v>7827 CAMPBELL RD</v>
      </c>
      <c r="C1027" s="3" t="str">
        <f>IFERROR(__xludf.DUMMYFUNCTION("""COMPUTED_VALUE"""),"CAMPBELLCROFT")</f>
        <v>CAMPBELLCROFT</v>
      </c>
      <c r="D1027" s="3" t="str">
        <f>IFERROR(__xludf.DUMMYFUNCTION("""COMPUTED_VALUE"""),"L0A 1B0")</f>
        <v>L0A 1B0</v>
      </c>
      <c r="E1027" s="3" t="str">
        <f>IFERROR(__xludf.DUMMYFUNCTION("""COMPUTED_VALUE"""),"Briust Thila")</f>
        <v>Briust Thila</v>
      </c>
      <c r="F1027" s="3" t="str">
        <f>IFERROR(__xludf.DUMMYFUNCTION("""COMPUTED_VALUE"""),"dawgpoundbla@gmail.com")</f>
        <v>dawgpoundbla@gmail.com</v>
      </c>
      <c r="G1027" s="3"/>
      <c r="H1027" s="3"/>
    </row>
    <row r="1028">
      <c r="A1028" s="2">
        <f>IFERROR(__xludf.DUMMYFUNCTION("""COMPUTED_VALUE"""),10653.0)</f>
        <v>10653</v>
      </c>
      <c r="B1028" s="3" t="str">
        <f>IFERROR(__xludf.DUMMYFUNCTION("""COMPUTED_VALUE"""),"7864 COUNTY RD 28")</f>
        <v>7864 COUNTY RD 28</v>
      </c>
      <c r="C1028" s="3" t="str">
        <f>IFERROR(__xludf.DUMMYFUNCTION("""COMPUTED_VALUE"""),"CAMPBELLCROFT")</f>
        <v>CAMPBELLCROFT</v>
      </c>
      <c r="D1028" s="3" t="str">
        <f>IFERROR(__xludf.DUMMYFUNCTION("""COMPUTED_VALUE"""),"L0A 1B0")</f>
        <v>L0A 1B0</v>
      </c>
      <c r="E1028" s="3" t="str">
        <f>IFERROR(__xludf.DUMMYFUNCTION("""COMPUTED_VALUE"""),"Jeff Lee")</f>
        <v>Jeff Lee</v>
      </c>
      <c r="F1028" s="3" t="str">
        <f>IFERROR(__xludf.DUMMYFUNCTION("""COMPUTED_VALUE"""),"arden.jeff.lee@gmail.com")</f>
        <v>arden.jeff.lee@gmail.com</v>
      </c>
      <c r="G1028" s="3"/>
      <c r="H1028" s="3"/>
    </row>
    <row r="1029">
      <c r="A1029" s="2">
        <f>IFERROR(__xludf.DUMMYFUNCTION("""COMPUTED_VALUE"""),10654.0)</f>
        <v>10654</v>
      </c>
      <c r="B1029" s="3" t="str">
        <f>IFERROR(__xludf.DUMMYFUNCTION("""COMPUTED_VALUE"""),"7888 COUNTY RD 28")</f>
        <v>7888 COUNTY RD 28</v>
      </c>
      <c r="C1029" s="3" t="str">
        <f>IFERROR(__xludf.DUMMYFUNCTION("""COMPUTED_VALUE"""),"CAMPBELLCROFT")</f>
        <v>CAMPBELLCROFT</v>
      </c>
      <c r="D1029" s="3" t="str">
        <f>IFERROR(__xludf.DUMMYFUNCTION("""COMPUTED_VALUE"""),"L0A 1B0")</f>
        <v>L0A 1B0</v>
      </c>
      <c r="E1029" s="3" t="str">
        <f>IFERROR(__xludf.DUMMYFUNCTION("""COMPUTED_VALUE"""),"Amanda Gerrits")</f>
        <v>Amanda Gerrits</v>
      </c>
      <c r="F1029" s="3" t="str">
        <f>IFERROR(__xludf.DUMMYFUNCTION("""COMPUTED_VALUE"""),"amandagerrits@hotmail.com")</f>
        <v>amandagerrits@hotmail.com</v>
      </c>
      <c r="G1029" s="3"/>
      <c r="H1029" s="3"/>
    </row>
    <row r="1030">
      <c r="A1030" s="2">
        <f>IFERROR(__xludf.DUMMYFUNCTION("""COMPUTED_VALUE"""),10377.0)</f>
        <v>10377</v>
      </c>
      <c r="B1030" s="3" t="str">
        <f>IFERROR(__xludf.DUMMYFUNCTION("""COMPUTED_VALUE"""),"7967 CAMPBELL RD")</f>
        <v>7967 CAMPBELL RD</v>
      </c>
      <c r="C1030" s="3" t="str">
        <f>IFERROR(__xludf.DUMMYFUNCTION("""COMPUTED_VALUE"""),"CAMPBELLCROFT")</f>
        <v>CAMPBELLCROFT</v>
      </c>
      <c r="D1030" s="3" t="str">
        <f>IFERROR(__xludf.DUMMYFUNCTION("""COMPUTED_VALUE"""),"L0A 1B0")</f>
        <v>L0A 1B0</v>
      </c>
      <c r="E1030" s="3" t="str">
        <f>IFERROR(__xludf.DUMMYFUNCTION("""COMPUTED_VALUE"""),"BRENT CAMPBELL")</f>
        <v>BRENT CAMPBELL</v>
      </c>
      <c r="F1030" s="3" t="str">
        <f>IFERROR(__xludf.DUMMYFUNCTION("""COMPUTED_VALUE"""),"patcamp33@hotmail.com")</f>
        <v>patcamp33@hotmail.com</v>
      </c>
      <c r="G1030" s="3"/>
      <c r="H1030" s="3"/>
    </row>
    <row r="1031">
      <c r="A1031" s="2">
        <f>IFERROR(__xludf.DUMMYFUNCTION("""COMPUTED_VALUE"""),10285.0)</f>
        <v>10285</v>
      </c>
      <c r="B1031" s="3" t="str">
        <f>IFERROR(__xludf.DUMMYFUNCTION("""COMPUTED_VALUE"""),"7985 BEECH HILL RD")</f>
        <v>7985 BEECH HILL RD</v>
      </c>
      <c r="C1031" s="3" t="str">
        <f>IFERROR(__xludf.DUMMYFUNCTION("""COMPUTED_VALUE"""),"CAMPBELLCROFT")</f>
        <v>CAMPBELLCROFT</v>
      </c>
      <c r="D1031" s="3" t="str">
        <f>IFERROR(__xludf.DUMMYFUNCTION("""COMPUTED_VALUE"""),"L0A 1B0")</f>
        <v>L0A 1B0</v>
      </c>
      <c r="E1031" s="3"/>
      <c r="F1031" s="3"/>
      <c r="G1031" s="3"/>
      <c r="H1031" s="3"/>
    </row>
    <row r="1032">
      <c r="A1032" s="2">
        <f>IFERROR(__xludf.DUMMYFUNCTION("""COMPUTED_VALUE"""),11540.0)</f>
        <v>11540</v>
      </c>
      <c r="B1032" s="3" t="str">
        <f>IFERROR(__xludf.DUMMYFUNCTION("""COMPUTED_VALUE"""),"8030 WOODVALE SCHOOL RD N")</f>
        <v>8030 WOODVALE SCHOOL RD N</v>
      </c>
      <c r="C1032" s="3" t="str">
        <f>IFERROR(__xludf.DUMMYFUNCTION("""COMPUTED_VALUE"""),"CAMPBELLCROFT")</f>
        <v>CAMPBELLCROFT</v>
      </c>
      <c r="D1032" s="3" t="str">
        <f>IFERROR(__xludf.DUMMYFUNCTION("""COMPUTED_VALUE"""),"L0A 1B0")</f>
        <v>L0A 1B0</v>
      </c>
      <c r="E1032" s="3" t="str">
        <f>IFERROR(__xludf.DUMMYFUNCTION("""COMPUTED_VALUE"""),"ryan armstrong ")</f>
        <v>ryan armstrong </v>
      </c>
      <c r="F1032" s="3"/>
      <c r="G1032" s="3"/>
      <c r="H1032" s="3"/>
    </row>
    <row r="1033">
      <c r="A1033" s="2">
        <f>IFERROR(__xludf.DUMMYFUNCTION("""COMPUTED_VALUE"""),10926.0)</f>
        <v>10926</v>
      </c>
      <c r="B1033" s="3" t="str">
        <f>IFERROR(__xludf.DUMMYFUNCTION("""COMPUTED_VALUE"""),"8090 HAMMILL RD")</f>
        <v>8090 HAMMILL RD</v>
      </c>
      <c r="C1033" s="3" t="str">
        <f>IFERROR(__xludf.DUMMYFUNCTION("""COMPUTED_VALUE"""),"CAMPBELLCROFT")</f>
        <v>CAMPBELLCROFT</v>
      </c>
      <c r="D1033" s="3" t="str">
        <f>IFERROR(__xludf.DUMMYFUNCTION("""COMPUTED_VALUE"""),"L0A 1B0")</f>
        <v>L0A 1B0</v>
      </c>
      <c r="E1033" s="3" t="str">
        <f>IFERROR(__xludf.DUMMYFUNCTION("""COMPUTED_VALUE"""),"Sylvia Swain")</f>
        <v>Sylvia Swain</v>
      </c>
      <c r="F1033" s="3" t="str">
        <f>IFERROR(__xludf.DUMMYFUNCTION("""COMPUTED_VALUE"""),"sylvia3082@hotmail.com")</f>
        <v>sylvia3082@hotmail.com</v>
      </c>
      <c r="G1033" s="3"/>
      <c r="H1033" s="3"/>
    </row>
    <row r="1034">
      <c r="A1034" s="2">
        <f>IFERROR(__xludf.DUMMYFUNCTION("""COMPUTED_VALUE"""),10759.0)</f>
        <v>10759</v>
      </c>
      <c r="B1034" s="3" t="str">
        <f>IFERROR(__xludf.DUMMYFUNCTION("""COMPUTED_VALUE"""),"8104 DEANS HILL RD")</f>
        <v>8104 DEANS HILL RD</v>
      </c>
      <c r="C1034" s="3" t="str">
        <f>IFERROR(__xludf.DUMMYFUNCTION("""COMPUTED_VALUE"""),"CAMPBELLCROFT")</f>
        <v>CAMPBELLCROFT</v>
      </c>
      <c r="D1034" s="3" t="str">
        <f>IFERROR(__xludf.DUMMYFUNCTION("""COMPUTED_VALUE"""),"L0A 1B0")</f>
        <v>L0A 1B0</v>
      </c>
      <c r="E1034" s="3" t="str">
        <f>IFERROR(__xludf.DUMMYFUNCTION("""COMPUTED_VALUE"""),"Terri Morrison")</f>
        <v>Terri Morrison</v>
      </c>
      <c r="F1034" s="3"/>
      <c r="G1034" s="3"/>
      <c r="H1034" s="3"/>
    </row>
    <row r="1035">
      <c r="A1035" s="2">
        <f>IFERROR(__xludf.DUMMYFUNCTION("""COMPUTED_VALUE"""),10927.0)</f>
        <v>10927</v>
      </c>
      <c r="B1035" s="3" t="str">
        <f>IFERROR(__xludf.DUMMYFUNCTION("""COMPUTED_VALUE"""),"8114 HAMMILL RD")</f>
        <v>8114 HAMMILL RD</v>
      </c>
      <c r="C1035" s="3" t="str">
        <f>IFERROR(__xludf.DUMMYFUNCTION("""COMPUTED_VALUE"""),"CAMPBELLCROFT")</f>
        <v>CAMPBELLCROFT</v>
      </c>
      <c r="D1035" s="3" t="str">
        <f>IFERROR(__xludf.DUMMYFUNCTION("""COMPUTED_VALUE"""),"L0A 1B0")</f>
        <v>L0A 1B0</v>
      </c>
      <c r="E1035" s="3"/>
      <c r="F1035" s="3"/>
      <c r="G1035" s="3"/>
      <c r="H1035" s="3"/>
    </row>
    <row r="1036">
      <c r="A1036" s="2">
        <f>IFERROR(__xludf.DUMMYFUNCTION("""COMPUTED_VALUE"""),10928.0)</f>
        <v>10928</v>
      </c>
      <c r="B1036" s="3" t="str">
        <f>IFERROR(__xludf.DUMMYFUNCTION("""COMPUTED_VALUE"""),"8157 HAMMILL RD")</f>
        <v>8157 HAMMILL RD</v>
      </c>
      <c r="C1036" s="3" t="str">
        <f>IFERROR(__xludf.DUMMYFUNCTION("""COMPUTED_VALUE"""),"CAMPBELLCROFT")</f>
        <v>CAMPBELLCROFT</v>
      </c>
      <c r="D1036" s="3" t="str">
        <f>IFERROR(__xludf.DUMMYFUNCTION("""COMPUTED_VALUE"""),"L0A 1B0")</f>
        <v>L0A 1B0</v>
      </c>
      <c r="E1036" s="3" t="str">
        <f>IFERROR(__xludf.DUMMYFUNCTION("""COMPUTED_VALUE"""),"brian sneyd")</f>
        <v>brian sneyd</v>
      </c>
      <c r="F1036" s="3" t="str">
        <f>IFERROR(__xludf.DUMMYFUNCTION("""COMPUTED_VALUE"""),"bsneyde@flenv.com")</f>
        <v>bsneyde@flenv.com</v>
      </c>
      <c r="G1036" s="3"/>
      <c r="H1036" s="3"/>
    </row>
    <row r="1037">
      <c r="A1037" s="2">
        <f>IFERROR(__xludf.DUMMYFUNCTION("""COMPUTED_VALUE"""),10929.0)</f>
        <v>10929</v>
      </c>
      <c r="B1037" s="3" t="str">
        <f>IFERROR(__xludf.DUMMYFUNCTION("""COMPUTED_VALUE"""),"8182 HAMMILL RD")</f>
        <v>8182 HAMMILL RD</v>
      </c>
      <c r="C1037" s="3" t="str">
        <f>IFERROR(__xludf.DUMMYFUNCTION("""COMPUTED_VALUE"""),"CAMPBELLCROFT")</f>
        <v>CAMPBELLCROFT</v>
      </c>
      <c r="D1037" s="3" t="str">
        <f>IFERROR(__xludf.DUMMYFUNCTION("""COMPUTED_VALUE"""),"L0A 1B0")</f>
        <v>L0A 1B0</v>
      </c>
      <c r="E1037" s="3" t="str">
        <f>IFERROR(__xludf.DUMMYFUNCTION("""COMPUTED_VALUE"""),"Brett Barraball")</f>
        <v>Brett Barraball</v>
      </c>
      <c r="F1037" s="3" t="str">
        <f>IFERROR(__xludf.DUMMYFUNCTION("""COMPUTED_VALUE"""),"bbarraball@yahoo.com")</f>
        <v>bbarraball@yahoo.com</v>
      </c>
      <c r="G1037" s="3"/>
      <c r="H1037" s="3"/>
    </row>
    <row r="1038">
      <c r="A1038" s="2">
        <f>IFERROR(__xludf.DUMMYFUNCTION("""COMPUTED_VALUE"""),11541.0)</f>
        <v>11541</v>
      </c>
      <c r="B1038" s="3" t="str">
        <f>IFERROR(__xludf.DUMMYFUNCTION("""COMPUTED_VALUE"""),"8216 WOODVALE SCHOOL RD")</f>
        <v>8216 WOODVALE SCHOOL RD</v>
      </c>
      <c r="C1038" s="3" t="str">
        <f>IFERROR(__xludf.DUMMYFUNCTION("""COMPUTED_VALUE"""),"CAMPBELLCROFT")</f>
        <v>CAMPBELLCROFT</v>
      </c>
      <c r="D1038" s="3" t="str">
        <f>IFERROR(__xludf.DUMMYFUNCTION("""COMPUTED_VALUE"""),"L0A 1B0")</f>
        <v>L0A 1B0</v>
      </c>
      <c r="E1038" s="3" t="str">
        <f>IFERROR(__xludf.DUMMYFUNCTION("""COMPUTED_VALUE"""),"Hugh MacDonald")</f>
        <v>Hugh MacDonald</v>
      </c>
      <c r="F1038" s="3" t="str">
        <f>IFERROR(__xludf.DUMMYFUNCTION("""COMPUTED_VALUE"""),"smacdonald0162@gmail.com")</f>
        <v>smacdonald0162@gmail.com</v>
      </c>
      <c r="G1038" s="3"/>
      <c r="H1038" s="3"/>
    </row>
    <row r="1039">
      <c r="A1039" s="2">
        <f>IFERROR(__xludf.DUMMYFUNCTION("""COMPUTED_VALUE"""),10931.0)</f>
        <v>10931</v>
      </c>
      <c r="B1039" s="3" t="str">
        <f>IFERROR(__xludf.DUMMYFUNCTION("""COMPUTED_VALUE"""),"8284 HAMMILL RD")</f>
        <v>8284 HAMMILL RD</v>
      </c>
      <c r="C1039" s="3" t="str">
        <f>IFERROR(__xludf.DUMMYFUNCTION("""COMPUTED_VALUE"""),"CAMPBELLCROFT")</f>
        <v>CAMPBELLCROFT</v>
      </c>
      <c r="D1039" s="3" t="str">
        <f>IFERROR(__xludf.DUMMYFUNCTION("""COMPUTED_VALUE"""),"L0A 1B0")</f>
        <v>L0A 1B0</v>
      </c>
      <c r="E1039" s="3" t="str">
        <f>IFERROR(__xludf.DUMMYFUNCTION("""COMPUTED_VALUE"""),"Greg hendren")</f>
        <v>Greg hendren</v>
      </c>
      <c r="F1039" s="3" t="str">
        <f>IFERROR(__xludf.DUMMYFUNCTION("""COMPUTED_VALUE"""),"ghendren@gflenv.com")</f>
        <v>ghendren@gflenv.com</v>
      </c>
      <c r="G1039" s="3"/>
      <c r="H1039" s="3"/>
    </row>
    <row r="1040">
      <c r="A1040" s="2">
        <f>IFERROR(__xludf.DUMMYFUNCTION("""COMPUTED_VALUE"""),11542.0)</f>
        <v>11542</v>
      </c>
      <c r="B1040" s="3" t="str">
        <f>IFERROR(__xludf.DUMMYFUNCTION("""COMPUTED_VALUE"""),"8309 WOODVALE SCHOOL RD N")</f>
        <v>8309 WOODVALE SCHOOL RD N</v>
      </c>
      <c r="C1040" s="3" t="str">
        <f>IFERROR(__xludf.DUMMYFUNCTION("""COMPUTED_VALUE"""),"CAMPBELLCROFT")</f>
        <v>CAMPBELLCROFT</v>
      </c>
      <c r="D1040" s="3" t="str">
        <f>IFERROR(__xludf.DUMMYFUNCTION("""COMPUTED_VALUE"""),"L0A 1B0")</f>
        <v>L0A 1B0</v>
      </c>
      <c r="E1040" s="3" t="str">
        <f>IFERROR(__xludf.DUMMYFUNCTION("""COMPUTED_VALUE"""),"Mike Murphy")</f>
        <v>Mike Murphy</v>
      </c>
      <c r="F1040" s="3" t="str">
        <f>IFERROR(__xludf.DUMMYFUNCTION("""COMPUTED_VALUE"""),"Polarisfst2006@yahoo.com")</f>
        <v>Polarisfst2006@yahoo.com</v>
      </c>
      <c r="G1040" s="3"/>
      <c r="H1040" s="3"/>
    </row>
    <row r="1041">
      <c r="A1041" s="2">
        <f>IFERROR(__xludf.DUMMYFUNCTION("""COMPUTED_VALUE"""),10763.0)</f>
        <v>10763</v>
      </c>
      <c r="B1041" s="3" t="str">
        <f>IFERROR(__xludf.DUMMYFUNCTION("""COMPUTED_VALUE"""),"8385 DEANS HILL RD")</f>
        <v>8385 DEANS HILL RD</v>
      </c>
      <c r="C1041" s="3" t="str">
        <f>IFERROR(__xludf.DUMMYFUNCTION("""COMPUTED_VALUE"""),"CAMPBELLCROFT")</f>
        <v>CAMPBELLCROFT</v>
      </c>
      <c r="D1041" s="3" t="str">
        <f>IFERROR(__xludf.DUMMYFUNCTION("""COMPUTED_VALUE"""),"L0A 1B0")</f>
        <v>L0A 1B0</v>
      </c>
      <c r="E1041" s="3" t="str">
        <f>IFERROR(__xludf.DUMMYFUNCTION("""COMPUTED_VALUE"""),"RANGEL PISTORI MENDES")</f>
        <v>RANGEL PISTORI MENDES</v>
      </c>
      <c r="F1041" s="3" t="str">
        <f>IFERROR(__xludf.DUMMYFUNCTION("""COMPUTED_VALUE"""),"SORBARAMENDES@OUTLOOK.COM")</f>
        <v>SORBARAMENDES@OUTLOOK.COM</v>
      </c>
      <c r="G1041" s="3"/>
      <c r="H1041" s="3"/>
    </row>
    <row r="1042">
      <c r="A1042" s="2">
        <f>IFERROR(__xludf.DUMMYFUNCTION("""COMPUTED_VALUE"""),10764.0)</f>
        <v>10764</v>
      </c>
      <c r="B1042" s="3" t="str">
        <f>IFERROR(__xludf.DUMMYFUNCTION("""COMPUTED_VALUE"""),"8416 DEANS HILL RD")</f>
        <v>8416 DEANS HILL RD</v>
      </c>
      <c r="C1042" s="3" t="str">
        <f>IFERROR(__xludf.DUMMYFUNCTION("""COMPUTED_VALUE"""),"CAMPBELLCROFT")</f>
        <v>CAMPBELLCROFT</v>
      </c>
      <c r="D1042" s="3" t="str">
        <f>IFERROR(__xludf.DUMMYFUNCTION("""COMPUTED_VALUE"""),"L0A 1B0")</f>
        <v>L0A 1B0</v>
      </c>
      <c r="E1042" s="3"/>
      <c r="F1042" s="3"/>
      <c r="G1042" s="3"/>
      <c r="H1042" s="3"/>
    </row>
    <row r="1043">
      <c r="A1043" s="2">
        <f>IFERROR(__xludf.DUMMYFUNCTION("""COMPUTED_VALUE"""),10765.0)</f>
        <v>10765</v>
      </c>
      <c r="B1043" s="3" t="str">
        <f>IFERROR(__xludf.DUMMYFUNCTION("""COMPUTED_VALUE"""),"8440 DEANS HILL RD")</f>
        <v>8440 DEANS HILL RD</v>
      </c>
      <c r="C1043" s="3" t="str">
        <f>IFERROR(__xludf.DUMMYFUNCTION("""COMPUTED_VALUE"""),"CAMPBELLCROFT")</f>
        <v>CAMPBELLCROFT</v>
      </c>
      <c r="D1043" s="3" t="str">
        <f>IFERROR(__xludf.DUMMYFUNCTION("""COMPUTED_VALUE"""),"L0A 1B0")</f>
        <v>L0A 1B0</v>
      </c>
      <c r="E1043" s="3"/>
      <c r="F1043" s="3"/>
      <c r="G1043" s="3"/>
      <c r="H1043" s="3"/>
    </row>
    <row r="1044">
      <c r="A1044" s="2">
        <f>IFERROR(__xludf.DUMMYFUNCTION("""COMPUTED_VALUE"""),11543.0)</f>
        <v>11543</v>
      </c>
      <c r="B1044" s="3" t="str">
        <f>IFERROR(__xludf.DUMMYFUNCTION("""COMPUTED_VALUE"""),"8448 WOODVALE SCHOOL RD N")</f>
        <v>8448 WOODVALE SCHOOL RD N</v>
      </c>
      <c r="C1044" s="3" t="str">
        <f>IFERROR(__xludf.DUMMYFUNCTION("""COMPUTED_VALUE"""),"CAMPBELLCROFT")</f>
        <v>CAMPBELLCROFT</v>
      </c>
      <c r="D1044" s="3" t="str">
        <f>IFERROR(__xludf.DUMMYFUNCTION("""COMPUTED_VALUE"""),"L0A 1B0")</f>
        <v>L0A 1B0</v>
      </c>
      <c r="E1044" s="3" t="str">
        <f>IFERROR(__xludf.DUMMYFUNCTION("""COMPUTED_VALUE"""),"Mike Staub")</f>
        <v>Mike Staub</v>
      </c>
      <c r="F1044" s="3" t="str">
        <f>IFERROR(__xludf.DUMMYFUNCTION("""COMPUTED_VALUE"""),"amtstaub2014@gmail.com")</f>
        <v>amtstaub2014@gmail.com</v>
      </c>
      <c r="G1044" s="3"/>
      <c r="H1044" s="3"/>
    </row>
    <row r="1045">
      <c r="A1045" s="2">
        <f>IFERROR(__xludf.DUMMYFUNCTION("""COMPUTED_VALUE"""),11544.0)</f>
        <v>11544</v>
      </c>
      <c r="B1045" s="3" t="str">
        <f>IFERROR(__xludf.DUMMYFUNCTION("""COMPUTED_VALUE"""),"8489 WOODVALE SCHOOL RD N")</f>
        <v>8489 WOODVALE SCHOOL RD N</v>
      </c>
      <c r="C1045" s="3" t="str">
        <f>IFERROR(__xludf.DUMMYFUNCTION("""COMPUTED_VALUE"""),"CAMPBELLCROFT")</f>
        <v>CAMPBELLCROFT</v>
      </c>
      <c r="D1045" s="3" t="str">
        <f>IFERROR(__xludf.DUMMYFUNCTION("""COMPUTED_VALUE"""),"L0A 1B0")</f>
        <v>L0A 1B0</v>
      </c>
      <c r="E1045" s="3" t="str">
        <f>IFERROR(__xludf.DUMMYFUNCTION("""COMPUTED_VALUE"""),"Karen Faith")</f>
        <v>Karen Faith</v>
      </c>
      <c r="F1045" s="3" t="str">
        <f>IFERROR(__xludf.DUMMYFUNCTION("""COMPUTED_VALUE"""),"karenmfaith@gmail.com")</f>
        <v>karenmfaith@gmail.com</v>
      </c>
      <c r="G1045" s="3"/>
      <c r="H1045" s="3"/>
    </row>
    <row r="1046">
      <c r="A1046" s="2">
        <f>IFERROR(__xludf.DUMMYFUNCTION("""COMPUTED_VALUE"""),11545.0)</f>
        <v>11545</v>
      </c>
      <c r="B1046" s="3" t="str">
        <f>IFERROR(__xludf.DUMMYFUNCTION("""COMPUTED_VALUE"""),"8507 WOODVALE SCHOOL RD N")</f>
        <v>8507 WOODVALE SCHOOL RD N</v>
      </c>
      <c r="C1046" s="3" t="str">
        <f>IFERROR(__xludf.DUMMYFUNCTION("""COMPUTED_VALUE"""),"CAMPBELLCROFT")</f>
        <v>CAMPBELLCROFT</v>
      </c>
      <c r="D1046" s="3" t="str">
        <f>IFERROR(__xludf.DUMMYFUNCTION("""COMPUTED_VALUE"""),"L0A 1B0")</f>
        <v>L0A 1B0</v>
      </c>
      <c r="E1046" s="3" t="str">
        <f>IFERROR(__xludf.DUMMYFUNCTION("""COMPUTED_VALUE"""),"Joanne Hamlin")</f>
        <v>Joanne Hamlin</v>
      </c>
      <c r="F1046" s="3" t="str">
        <f>IFERROR(__xludf.DUMMYFUNCTION("""COMPUTED_VALUE"""),"joanne.hamlin@outlook.com")</f>
        <v>joanne.hamlin@outlook.com</v>
      </c>
      <c r="G1046" s="3"/>
      <c r="H1046" s="3"/>
    </row>
    <row r="1047">
      <c r="A1047" s="2">
        <f>IFERROR(__xludf.DUMMYFUNCTION("""COMPUTED_VALUE"""),10767.0)</f>
        <v>10767</v>
      </c>
      <c r="B1047" s="3" t="str">
        <f>IFERROR(__xludf.DUMMYFUNCTION("""COMPUTED_VALUE"""),"8526 DEANS HILL RD")</f>
        <v>8526 DEANS HILL RD</v>
      </c>
      <c r="C1047" s="3" t="str">
        <f>IFERROR(__xludf.DUMMYFUNCTION("""COMPUTED_VALUE"""),"CAMPBELLCROFT")</f>
        <v>CAMPBELLCROFT</v>
      </c>
      <c r="D1047" s="3" t="str">
        <f>IFERROR(__xludf.DUMMYFUNCTION("""COMPUTED_VALUE"""),"L0A 1B0")</f>
        <v>L0A 1B0</v>
      </c>
      <c r="E1047" s="3" t="str">
        <f>IFERROR(__xludf.DUMMYFUNCTION("""COMPUTED_VALUE"""),"Sean McCutcheon")</f>
        <v>Sean McCutcheon</v>
      </c>
      <c r="F1047" s="3" t="str">
        <f>IFERROR(__xludf.DUMMYFUNCTION("""COMPUTED_VALUE"""),"cutch@auracom.com")</f>
        <v>cutch@auracom.com</v>
      </c>
      <c r="G1047" s="3"/>
      <c r="H1047" s="3"/>
    </row>
    <row r="1048">
      <c r="A1048" s="2">
        <f>IFERROR(__xludf.DUMMYFUNCTION("""COMPUTED_VALUE"""),10769.0)</f>
        <v>10769</v>
      </c>
      <c r="B1048" s="3" t="str">
        <f>IFERROR(__xludf.DUMMYFUNCTION("""COMPUTED_VALUE"""),"8586 DEANS HILL RD")</f>
        <v>8586 DEANS HILL RD</v>
      </c>
      <c r="C1048" s="3" t="str">
        <f>IFERROR(__xludf.DUMMYFUNCTION("""COMPUTED_VALUE"""),"CAMPBELLCROFT")</f>
        <v>CAMPBELLCROFT</v>
      </c>
      <c r="D1048" s="3" t="str">
        <f>IFERROR(__xludf.DUMMYFUNCTION("""COMPUTED_VALUE"""),"L0A 1B0")</f>
        <v>L0A 1B0</v>
      </c>
      <c r="E1048" s="3"/>
      <c r="F1048" s="3"/>
      <c r="G1048" s="3"/>
      <c r="H1048" s="3"/>
    </row>
    <row r="1049">
      <c r="A1049" s="2">
        <f>IFERROR(__xludf.DUMMYFUNCTION("""COMPUTED_VALUE"""),11546.0)</f>
        <v>11546</v>
      </c>
      <c r="B1049" s="3" t="str">
        <f>IFERROR(__xludf.DUMMYFUNCTION("""COMPUTED_VALUE"""),"8610 WOODVALE SCHOOL RD N")</f>
        <v>8610 WOODVALE SCHOOL RD N</v>
      </c>
      <c r="C1049" s="3" t="str">
        <f>IFERROR(__xludf.DUMMYFUNCTION("""COMPUTED_VALUE"""),"CAMPBELLCROFT")</f>
        <v>CAMPBELLCROFT</v>
      </c>
      <c r="D1049" s="3" t="str">
        <f>IFERROR(__xludf.DUMMYFUNCTION("""COMPUTED_VALUE"""),"L0A 1B0")</f>
        <v>L0A 1B0</v>
      </c>
      <c r="E1049" s="3" t="str">
        <f>IFERROR(__xludf.DUMMYFUNCTION("""COMPUTED_VALUE"""),"C. Larcombe ")</f>
        <v>C. Larcombe </v>
      </c>
      <c r="F1049" s="3" t="str">
        <f>IFERROR(__xludf.DUMMYFUNCTION("""COMPUTED_VALUE"""),"Clarcom@pobox.com")</f>
        <v>Clarcom@pobox.com</v>
      </c>
      <c r="G1049" s="3"/>
      <c r="H1049" s="3"/>
    </row>
    <row r="1050">
      <c r="A1050" s="2">
        <f>IFERROR(__xludf.DUMMYFUNCTION("""COMPUTED_VALUE"""),11547.0)</f>
        <v>11547</v>
      </c>
      <c r="B1050" s="3" t="str">
        <f>IFERROR(__xludf.DUMMYFUNCTION("""COMPUTED_VALUE"""),"8626 WOODVALE SCHOOL RD N")</f>
        <v>8626 WOODVALE SCHOOL RD N</v>
      </c>
      <c r="C1050" s="3" t="str">
        <f>IFERROR(__xludf.DUMMYFUNCTION("""COMPUTED_VALUE"""),"CAMPBELLCROFT")</f>
        <v>CAMPBELLCROFT</v>
      </c>
      <c r="D1050" s="3" t="str">
        <f>IFERROR(__xludf.DUMMYFUNCTION("""COMPUTED_VALUE"""),"L0A 1B0")</f>
        <v>L0A 1B0</v>
      </c>
      <c r="E1050" s="3" t="str">
        <f>IFERROR(__xludf.DUMMYFUNCTION("""COMPUTED_VALUE"""),"Phil Carey")</f>
        <v>Phil Carey</v>
      </c>
      <c r="F1050" s="3" t="str">
        <f>IFERROR(__xludf.DUMMYFUNCTION("""COMPUTED_VALUE"""),"Heidicroot@gmail.com")</f>
        <v>Heidicroot@gmail.com</v>
      </c>
      <c r="G1050" s="3"/>
      <c r="H1050" s="3"/>
    </row>
    <row r="1051">
      <c r="A1051" s="2">
        <f>IFERROR(__xludf.DUMMYFUNCTION("""COMPUTED_VALUE"""),10770.0)</f>
        <v>10770</v>
      </c>
      <c r="B1051" s="3" t="str">
        <f>IFERROR(__xludf.DUMMYFUNCTION("""COMPUTED_VALUE"""),"8649 DEANS HILL RD")</f>
        <v>8649 DEANS HILL RD</v>
      </c>
      <c r="C1051" s="3" t="str">
        <f>IFERROR(__xludf.DUMMYFUNCTION("""COMPUTED_VALUE"""),"CAMPBELLCROFT")</f>
        <v>CAMPBELLCROFT</v>
      </c>
      <c r="D1051" s="3" t="str">
        <f>IFERROR(__xludf.DUMMYFUNCTION("""COMPUTED_VALUE"""),"L0A 1B0")</f>
        <v>L0A 1B0</v>
      </c>
      <c r="E1051" s="3"/>
      <c r="F1051" s="3"/>
      <c r="G1051" s="3"/>
      <c r="H1051" s="3"/>
    </row>
    <row r="1052">
      <c r="A1052" s="2">
        <f>IFERROR(__xludf.DUMMYFUNCTION("""COMPUTED_VALUE"""),10771.0)</f>
        <v>10771</v>
      </c>
      <c r="B1052" s="3" t="str">
        <f>IFERROR(__xludf.DUMMYFUNCTION("""COMPUTED_VALUE"""),"8664 DEANS HILL RD")</f>
        <v>8664 DEANS HILL RD</v>
      </c>
      <c r="C1052" s="3" t="str">
        <f>IFERROR(__xludf.DUMMYFUNCTION("""COMPUTED_VALUE"""),"CAMPBELLCROFT")</f>
        <v>CAMPBELLCROFT</v>
      </c>
      <c r="D1052" s="3" t="str">
        <f>IFERROR(__xludf.DUMMYFUNCTION("""COMPUTED_VALUE"""),"L0A 1B0")</f>
        <v>L0A 1B0</v>
      </c>
      <c r="E1052" s="3" t="str">
        <f>IFERROR(__xludf.DUMMYFUNCTION("""COMPUTED_VALUE"""),"Sheldon S Stork ")</f>
        <v>Sheldon S Stork </v>
      </c>
      <c r="F1052" s="3" t="str">
        <f>IFERROR(__xludf.DUMMYFUNCTION("""COMPUTED_VALUE"""),"yorkironman@gmail.com")</f>
        <v>yorkironman@gmail.com</v>
      </c>
      <c r="G1052" s="3"/>
      <c r="H1052" s="3"/>
    </row>
    <row r="1053">
      <c r="A1053" s="2">
        <f>IFERROR(__xludf.DUMMYFUNCTION("""COMPUTED_VALUE"""),11610.0)</f>
        <v>11610</v>
      </c>
      <c r="B1053" s="3" t="str">
        <f>IFERROR(__xludf.DUMMYFUNCTION("""COMPUTED_VALUE"""),"8716 WOODVALE SCHOOL RD N")</f>
        <v>8716 WOODVALE SCHOOL RD N</v>
      </c>
      <c r="C1053" s="3" t="str">
        <f>IFERROR(__xludf.DUMMYFUNCTION("""COMPUTED_VALUE"""),"CAMPBELLCROFT")</f>
        <v>CAMPBELLCROFT</v>
      </c>
      <c r="D1053" s="3" t="str">
        <f>IFERROR(__xludf.DUMMYFUNCTION("""COMPUTED_VALUE"""),"L0A 1B0")</f>
        <v>L0A 1B0</v>
      </c>
      <c r="E1053" s="3"/>
      <c r="F1053" s="3"/>
      <c r="G1053" s="3"/>
      <c r="H1053" s="3"/>
    </row>
    <row r="1054">
      <c r="A1054" s="2">
        <f>IFERROR(__xludf.DUMMYFUNCTION("""COMPUTED_VALUE"""),10772.0)</f>
        <v>10772</v>
      </c>
      <c r="B1054" s="3" t="str">
        <f>IFERROR(__xludf.DUMMYFUNCTION("""COMPUTED_VALUE"""),"8740 DEANS HILL RD")</f>
        <v>8740 DEANS HILL RD</v>
      </c>
      <c r="C1054" s="3" t="str">
        <f>IFERROR(__xludf.DUMMYFUNCTION("""COMPUTED_VALUE"""),"CAMPBELLCROFT")</f>
        <v>CAMPBELLCROFT</v>
      </c>
      <c r="D1054" s="3" t="str">
        <f>IFERROR(__xludf.DUMMYFUNCTION("""COMPUTED_VALUE"""),"L0A 1B0")</f>
        <v>L0A 1B0</v>
      </c>
      <c r="E1054" s="3" t="str">
        <f>IFERROR(__xludf.DUMMYFUNCTION("""COMPUTED_VALUE"""),"Jeremy Dupuis")</f>
        <v>Jeremy Dupuis</v>
      </c>
      <c r="F1054" s="3" t="str">
        <f>IFERROR(__xludf.DUMMYFUNCTION("""COMPUTED_VALUE"""),"jdwelding@live.ca")</f>
        <v>jdwelding@live.ca</v>
      </c>
      <c r="G1054" s="3"/>
      <c r="H1054" s="3"/>
    </row>
    <row r="1055">
      <c r="A1055" s="2">
        <f>IFERROR(__xludf.DUMMYFUNCTION("""COMPUTED_VALUE"""),10773.0)</f>
        <v>10773</v>
      </c>
      <c r="B1055" s="3" t="str">
        <f>IFERROR(__xludf.DUMMYFUNCTION("""COMPUTED_VALUE"""),"8896 DEANS HILL RD")</f>
        <v>8896 DEANS HILL RD</v>
      </c>
      <c r="C1055" s="3" t="str">
        <f>IFERROR(__xludf.DUMMYFUNCTION("""COMPUTED_VALUE"""),"CAMPBELLCROFT")</f>
        <v>CAMPBELLCROFT</v>
      </c>
      <c r="D1055" s="3" t="str">
        <f>IFERROR(__xludf.DUMMYFUNCTION("""COMPUTED_VALUE"""),"L0A 1B0")</f>
        <v>L0A 1B0</v>
      </c>
      <c r="E1055" s="3"/>
      <c r="F1055" s="3"/>
      <c r="G1055" s="3"/>
      <c r="H1055" s="3"/>
    </row>
    <row r="1056">
      <c r="A1056" s="2">
        <f>IFERROR(__xludf.DUMMYFUNCTION("""COMPUTED_VALUE"""),10991.0)</f>
        <v>10991</v>
      </c>
      <c r="B1056" s="3" t="str">
        <f>IFERROR(__xludf.DUMMYFUNCTION("""COMPUTED_VALUE"""),"9027 HONEY RD")</f>
        <v>9027 HONEY RD</v>
      </c>
      <c r="C1056" s="3" t="str">
        <f>IFERROR(__xludf.DUMMYFUNCTION("""COMPUTED_VALUE"""),"BAILIEBORO")</f>
        <v>BAILIEBORO</v>
      </c>
      <c r="D1056" s="3" t="str">
        <f>IFERROR(__xludf.DUMMYFUNCTION("""COMPUTED_VALUE"""),"K0L 1B0")</f>
        <v>K0L 1B0</v>
      </c>
      <c r="E1056" s="3" t="str">
        <f>IFERROR(__xludf.DUMMYFUNCTION("""COMPUTED_VALUE"""),"Michael Denis")</f>
        <v>Michael Denis</v>
      </c>
      <c r="F1056" s="3" t="str">
        <f>IFERROR(__xludf.DUMMYFUNCTION("""COMPUTED_VALUE"""),"mike.denis12@gmail.com")</f>
        <v>mike.denis12@gmail.com</v>
      </c>
      <c r="G1056" s="3"/>
      <c r="H1056" s="3"/>
    </row>
    <row r="1057">
      <c r="A1057" s="2">
        <f>IFERROR(__xludf.DUMMYFUNCTION("""COMPUTED_VALUE"""),10992.0)</f>
        <v>10992</v>
      </c>
      <c r="B1057" s="3" t="str">
        <f>IFERROR(__xludf.DUMMYFUNCTION("""COMPUTED_VALUE"""),"9044 HONEY RD")</f>
        <v>9044 HONEY RD</v>
      </c>
      <c r="C1057" s="3" t="str">
        <f>IFERROR(__xludf.DUMMYFUNCTION("""COMPUTED_VALUE"""),"BAILIEBORO")</f>
        <v>BAILIEBORO</v>
      </c>
      <c r="D1057" s="3" t="str">
        <f>IFERROR(__xludf.DUMMYFUNCTION("""COMPUTED_VALUE"""),"K0L 1B0")</f>
        <v>K0L 1B0</v>
      </c>
      <c r="E1057" s="3" t="str">
        <f>IFERROR(__xludf.DUMMYFUNCTION("""COMPUTED_VALUE"""),"Robert Tate")</f>
        <v>Robert Tate</v>
      </c>
      <c r="F1057" s="3" t="str">
        <f>IFERROR(__xludf.DUMMYFUNCTION("""COMPUTED_VALUE"""),"robert.h.tate@gmail.com")</f>
        <v>robert.h.tate@gmail.com</v>
      </c>
      <c r="G1057" s="3"/>
      <c r="H1057" s="3"/>
    </row>
    <row r="1058">
      <c r="A1058" s="2">
        <f>IFERROR(__xludf.DUMMYFUNCTION("""COMPUTED_VALUE"""),11548.0)</f>
        <v>11548</v>
      </c>
      <c r="B1058" s="3" t="str">
        <f>IFERROR(__xludf.DUMMYFUNCTION("""COMPUTED_VALUE"""),"9124 WOODVALE SCHOOL RD")</f>
        <v>9124 WOODVALE SCHOOL RD</v>
      </c>
      <c r="C1058" s="3" t="str">
        <f>IFERROR(__xludf.DUMMYFUNCTION("""COMPUTED_VALUE"""),"BAILIEBORO")</f>
        <v>BAILIEBORO</v>
      </c>
      <c r="D1058" s="3" t="str">
        <f>IFERROR(__xludf.DUMMYFUNCTION("""COMPUTED_VALUE"""),"K0L 1B0")</f>
        <v>K0L 1B0</v>
      </c>
      <c r="E1058" s="3" t="str">
        <f>IFERROR(__xludf.DUMMYFUNCTION("""COMPUTED_VALUE"""),"Garry Lean")</f>
        <v>Garry Lean</v>
      </c>
      <c r="F1058" s="3" t="str">
        <f>IFERROR(__xludf.DUMMYFUNCTION("""COMPUTED_VALUE"""),"garrylean@gmail.com")</f>
        <v>garrylean@gmail.com</v>
      </c>
      <c r="G1058" s="3"/>
      <c r="H1058" s="3"/>
    </row>
    <row r="1059">
      <c r="A1059" s="2">
        <f>IFERROR(__xludf.DUMMYFUNCTION("""COMPUTED_VALUE"""),10994.0)</f>
        <v>10994</v>
      </c>
      <c r="B1059" s="3" t="str">
        <f>IFERROR(__xludf.DUMMYFUNCTION("""COMPUTED_VALUE"""),"9225 HONEY RD")</f>
        <v>9225 HONEY RD</v>
      </c>
      <c r="C1059" s="3" t="str">
        <f>IFERROR(__xludf.DUMMYFUNCTION("""COMPUTED_VALUE"""),"BAILIEBORO")</f>
        <v>BAILIEBORO</v>
      </c>
      <c r="D1059" s="3" t="str">
        <f>IFERROR(__xludf.DUMMYFUNCTION("""COMPUTED_VALUE"""),"K0L 1B0")</f>
        <v>K0L 1B0</v>
      </c>
      <c r="E1059" s="3" t="str">
        <f>IFERROR(__xludf.DUMMYFUNCTION("""COMPUTED_VALUE"""),"aaron stewart ")</f>
        <v>aaron stewart </v>
      </c>
      <c r="F1059" s="3" t="str">
        <f>IFERROR(__xludf.DUMMYFUNCTION("""COMPUTED_VALUE"""),"aaron.ar.stewart@gmail.com")</f>
        <v>aaron.ar.stewart@gmail.com</v>
      </c>
      <c r="G1059" s="3"/>
      <c r="H1059" s="3"/>
    </row>
    <row r="1060">
      <c r="A1060" s="2">
        <f>IFERROR(__xludf.DUMMYFUNCTION("""COMPUTED_VALUE"""),11591.0)</f>
        <v>11591</v>
      </c>
      <c r="B1060" s="3" t="str">
        <f>IFERROR(__xludf.DUMMYFUNCTION("""COMPUTED_VALUE"""),"9313 COUNTY RD 28")</f>
        <v>9313 COUNTY RD 28</v>
      </c>
      <c r="C1060" s="3" t="str">
        <f>IFERROR(__xludf.DUMMYFUNCTION("""COMPUTED_VALUE"""),"BAILIEBORO")</f>
        <v>BAILIEBORO</v>
      </c>
      <c r="D1060" s="3" t="str">
        <f>IFERROR(__xludf.DUMMYFUNCTION("""COMPUTED_VALUE"""),"K0L 1B0")</f>
        <v>K0L 1B0</v>
      </c>
      <c r="E1060" s="3"/>
      <c r="F1060" s="3"/>
      <c r="G1060" s="3"/>
      <c r="H1060" s="3"/>
    </row>
    <row r="1061">
      <c r="A1061" s="2">
        <f>IFERROR(__xludf.DUMMYFUNCTION("""COMPUTED_VALUE"""),11590.0)</f>
        <v>11590</v>
      </c>
      <c r="B1061" s="3" t="str">
        <f>IFERROR(__xludf.DUMMYFUNCTION("""COMPUTED_VALUE"""),"9333 COUNTY RD 28")</f>
        <v>9333 COUNTY RD 28</v>
      </c>
      <c r="C1061" s="3" t="str">
        <f>IFERROR(__xludf.DUMMYFUNCTION("""COMPUTED_VALUE"""),"BAILIEBORO")</f>
        <v>BAILIEBORO</v>
      </c>
      <c r="D1061" s="3" t="str">
        <f>IFERROR(__xludf.DUMMYFUNCTION("""COMPUTED_VALUE"""),"K0L 1B0")</f>
        <v>K0L 1B0</v>
      </c>
      <c r="E1061" s="3"/>
      <c r="F1061" s="3"/>
      <c r="G1061" s="3"/>
      <c r="H1061" s="3"/>
    </row>
    <row r="1062">
      <c r="A1062" s="2">
        <f>IFERROR(__xludf.DUMMYFUNCTION("""COMPUTED_VALUE"""),10995.0)</f>
        <v>10995</v>
      </c>
      <c r="B1062" s="3" t="str">
        <f>IFERROR(__xludf.DUMMYFUNCTION("""COMPUTED_VALUE"""),"9336 HONEY RD")</f>
        <v>9336 HONEY RD</v>
      </c>
      <c r="C1062" s="3" t="str">
        <f>IFERROR(__xludf.DUMMYFUNCTION("""COMPUTED_VALUE"""),"BAILIEBORO")</f>
        <v>BAILIEBORO</v>
      </c>
      <c r="D1062" s="3" t="str">
        <f>IFERROR(__xludf.DUMMYFUNCTION("""COMPUTED_VALUE"""),"K0L 1B0")</f>
        <v>K0L 1B0</v>
      </c>
      <c r="E1062" s="3" t="str">
        <f>IFERROR(__xludf.DUMMYFUNCTION("""COMPUTED_VALUE"""),"Marg Recoskie")</f>
        <v>Marg Recoskie</v>
      </c>
      <c r="F1062" s="3" t="str">
        <f>IFERROR(__xludf.DUMMYFUNCTION("""COMPUTED_VALUE"""),"margi.333@hotmail.com")</f>
        <v>margi.333@hotmail.com</v>
      </c>
      <c r="G1062" s="3"/>
      <c r="H1062" s="3"/>
    </row>
    <row r="1063">
      <c r="A1063" s="2">
        <f>IFERROR(__xludf.DUMMYFUNCTION("""COMPUTED_VALUE"""),10996.0)</f>
        <v>10996</v>
      </c>
      <c r="B1063" s="3" t="str">
        <f>IFERROR(__xludf.DUMMYFUNCTION("""COMPUTED_VALUE"""),"9385 HONEY RD")</f>
        <v>9385 HONEY RD</v>
      </c>
      <c r="C1063" s="3" t="str">
        <f>IFERROR(__xludf.DUMMYFUNCTION("""COMPUTED_VALUE"""),"BAILIEBORO")</f>
        <v>BAILIEBORO</v>
      </c>
      <c r="D1063" s="3" t="str">
        <f>IFERROR(__xludf.DUMMYFUNCTION("""COMPUTED_VALUE"""),"K0L 1B0")</f>
        <v>K0L 1B0</v>
      </c>
      <c r="E1063" s="3" t="str">
        <f>IFERROR(__xludf.DUMMYFUNCTION("""COMPUTED_VALUE"""),"Amiel Dennis")</f>
        <v>Amiel Dennis</v>
      </c>
      <c r="F1063" s="3"/>
      <c r="G1063" s="3"/>
      <c r="H1063" s="3"/>
    </row>
    <row r="1064">
      <c r="A1064" s="2">
        <f>IFERROR(__xludf.DUMMYFUNCTION("""COMPUTED_VALUE"""),10997.0)</f>
        <v>10997</v>
      </c>
      <c r="B1064" s="3" t="str">
        <f>IFERROR(__xludf.DUMMYFUNCTION("""COMPUTED_VALUE"""),"9404 HONEY RD")</f>
        <v>9404 HONEY RD</v>
      </c>
      <c r="C1064" s="3" t="str">
        <f>IFERROR(__xludf.DUMMYFUNCTION("""COMPUTED_VALUE"""),"BAILIEBORO")</f>
        <v>BAILIEBORO</v>
      </c>
      <c r="D1064" s="3" t="str">
        <f>IFERROR(__xludf.DUMMYFUNCTION("""COMPUTED_VALUE"""),"K0L 1B0")</f>
        <v>K0L 1B0</v>
      </c>
      <c r="E1064" s="3" t="str">
        <f>IFERROR(__xludf.DUMMYFUNCTION("""COMPUTED_VALUE"""),"Sue + Rick")</f>
        <v>Sue + Rick</v>
      </c>
      <c r="F1064" s="3" t="str">
        <f>IFERROR(__xludf.DUMMYFUNCTION("""COMPUTED_VALUE"""),"sgdocmartin@gmail.com")</f>
        <v>sgdocmartin@gmail.com</v>
      </c>
      <c r="G1064" s="3"/>
      <c r="H1064" s="3"/>
    </row>
    <row r="1065">
      <c r="A1065" s="2">
        <f>IFERROR(__xludf.DUMMYFUNCTION("""COMPUTED_VALUE"""),11551.0)</f>
        <v>11551</v>
      </c>
      <c r="B1065" s="3" t="str">
        <f>IFERROR(__xludf.DUMMYFUNCTION("""COMPUTED_VALUE"""),"9451 WOODVALE SCHOOL RD")</f>
        <v>9451 WOODVALE SCHOOL RD</v>
      </c>
      <c r="C1065" s="3" t="str">
        <f>IFERROR(__xludf.DUMMYFUNCTION("""COMPUTED_VALUE"""),"BAILIEBORO")</f>
        <v>BAILIEBORO</v>
      </c>
      <c r="D1065" s="3" t="str">
        <f>IFERROR(__xludf.DUMMYFUNCTION("""COMPUTED_VALUE"""),"K0L 1B0")</f>
        <v>K0L 1B0</v>
      </c>
      <c r="E1065" s="3"/>
      <c r="F1065" s="3"/>
      <c r="G1065" s="3"/>
      <c r="H1065" s="3"/>
    </row>
    <row r="1066">
      <c r="A1066" s="2">
        <f>IFERROR(__xludf.DUMMYFUNCTION("""COMPUTED_VALUE"""),11552.0)</f>
        <v>11552</v>
      </c>
      <c r="B1066" s="3" t="str">
        <f>IFERROR(__xludf.DUMMYFUNCTION("""COMPUTED_VALUE"""),"9474 WOODVALE SCHOOL RD")</f>
        <v>9474 WOODVALE SCHOOL RD</v>
      </c>
      <c r="C1066" s="3" t="str">
        <f>IFERROR(__xludf.DUMMYFUNCTION("""COMPUTED_VALUE"""),"BAILIEBORO")</f>
        <v>BAILIEBORO</v>
      </c>
      <c r="D1066" s="3" t="str">
        <f>IFERROR(__xludf.DUMMYFUNCTION("""COMPUTED_VALUE"""),"K0L 1B0")</f>
        <v>K0L 1B0</v>
      </c>
      <c r="E1066" s="3" t="str">
        <f>IFERROR(__xludf.DUMMYFUNCTION("""COMPUTED_VALUE"""),"Crystal Hannon")</f>
        <v>Crystal Hannon</v>
      </c>
      <c r="F1066" s="3" t="str">
        <f>IFERROR(__xludf.DUMMYFUNCTION("""COMPUTED_VALUE"""),"hannon.crystal@gmail.ca")</f>
        <v>hannon.crystal@gmail.ca</v>
      </c>
      <c r="G1066" s="3"/>
      <c r="H1066" s="3"/>
    </row>
    <row r="1067">
      <c r="A1067" s="2">
        <f>IFERROR(__xludf.DUMMYFUNCTION("""COMPUTED_VALUE"""),10998.0)</f>
        <v>10998</v>
      </c>
      <c r="B1067" s="3" t="str">
        <f>IFERROR(__xludf.DUMMYFUNCTION("""COMPUTED_VALUE"""),"9581 HONEY RD")</f>
        <v>9581 HONEY RD</v>
      </c>
      <c r="C1067" s="3" t="str">
        <f>IFERROR(__xludf.DUMMYFUNCTION("""COMPUTED_VALUE"""),"BAILIEBORO")</f>
        <v>BAILIEBORO</v>
      </c>
      <c r="D1067" s="3" t="str">
        <f>IFERROR(__xludf.DUMMYFUNCTION("""COMPUTED_VALUE"""),"K0L 1B0")</f>
        <v>K0L 1B0</v>
      </c>
      <c r="E1067" s="3"/>
      <c r="F1067" s="3"/>
      <c r="G1067" s="3"/>
      <c r="H1067" s="3"/>
    </row>
    <row r="1068">
      <c r="A1068" s="2">
        <f>IFERROR(__xludf.DUMMYFUNCTION("""COMPUTED_VALUE"""),10999.0)</f>
        <v>10999</v>
      </c>
      <c r="B1068" s="3" t="str">
        <f>IFERROR(__xludf.DUMMYFUNCTION("""COMPUTED_VALUE"""),"9604 HONEY RD")</f>
        <v>9604 HONEY RD</v>
      </c>
      <c r="C1068" s="3" t="str">
        <f>IFERROR(__xludf.DUMMYFUNCTION("""COMPUTED_VALUE"""),"BAILIEBORO")</f>
        <v>BAILIEBORO</v>
      </c>
      <c r="D1068" s="3" t="str">
        <f>IFERROR(__xludf.DUMMYFUNCTION("""COMPUTED_VALUE"""),"K0L 1B0")</f>
        <v>K0L 1B0</v>
      </c>
      <c r="E1068" s="3" t="str">
        <f>IFERROR(__xludf.DUMMYFUNCTION("""COMPUTED_VALUE"""),"John Marsh")</f>
        <v>John Marsh</v>
      </c>
      <c r="F1068" s="3" t="str">
        <f>IFERROR(__xludf.DUMMYFUNCTION("""COMPUTED_VALUE"""),"johnnilmarsh@gmail.com")</f>
        <v>johnnilmarsh@gmail.com</v>
      </c>
      <c r="G1068" s="3"/>
      <c r="H1068" s="3"/>
    </row>
    <row r="1069">
      <c r="A1069" s="2">
        <f>IFERROR(__xludf.DUMMYFUNCTION("""COMPUTED_VALUE"""),11000.0)</f>
        <v>11000</v>
      </c>
      <c r="B1069" s="3" t="str">
        <f>IFERROR(__xludf.DUMMYFUNCTION("""COMPUTED_VALUE"""),"9606 HONEY RD")</f>
        <v>9606 HONEY RD</v>
      </c>
      <c r="C1069" s="3" t="str">
        <f>IFERROR(__xludf.DUMMYFUNCTION("""COMPUTED_VALUE"""),"BAILIEBORO")</f>
        <v>BAILIEBORO</v>
      </c>
      <c r="D1069" s="3" t="str">
        <f>IFERROR(__xludf.DUMMYFUNCTION("""COMPUTED_VALUE"""),"K0L 1B0")</f>
        <v>K0L 1B0</v>
      </c>
      <c r="E1069" s="3"/>
      <c r="F1069" s="3"/>
      <c r="G1069" s="3"/>
      <c r="H1069" s="3"/>
    </row>
    <row r="1070">
      <c r="A1070" s="2">
        <f>IFERROR(__xludf.DUMMYFUNCTION("""COMPUTED_VALUE"""),11553.0)</f>
        <v>11553</v>
      </c>
      <c r="B1070" s="3" t="str">
        <f>IFERROR(__xludf.DUMMYFUNCTION("""COMPUTED_VALUE"""),"9653 WOODVALE SCHOOL RD")</f>
        <v>9653 WOODVALE SCHOOL RD</v>
      </c>
      <c r="C1070" s="3" t="str">
        <f>IFERROR(__xludf.DUMMYFUNCTION("""COMPUTED_VALUE"""),"BAILIEBORO")</f>
        <v>BAILIEBORO</v>
      </c>
      <c r="D1070" s="3" t="str">
        <f>IFERROR(__xludf.DUMMYFUNCTION("""COMPUTED_VALUE"""),"K0L 1B0")</f>
        <v>K0L 1B0</v>
      </c>
      <c r="E1070" s="3" t="str">
        <f>IFERROR(__xludf.DUMMYFUNCTION("""COMPUTED_VALUE"""),"Krystle")</f>
        <v>Krystle</v>
      </c>
      <c r="F1070" s="3" t="str">
        <f>IFERROR(__xludf.DUMMYFUNCTION("""COMPUTED_VALUE"""),"krystle_lawson2015@outlook.com")</f>
        <v>krystle_lawson2015@outlook.com</v>
      </c>
      <c r="G1070" s="3"/>
      <c r="H1070" s="3"/>
    </row>
    <row r="1071">
      <c r="A1071" s="2">
        <f>IFERROR(__xludf.DUMMYFUNCTION("""COMPUTED_VALUE"""),11127.0)</f>
        <v>11127</v>
      </c>
      <c r="B1071" s="3" t="str">
        <f>IFERROR(__xludf.DUMMYFUNCTION("""COMPUTED_VALUE"""),"9742 LAKEVIEW LANE")</f>
        <v>9742 LAKEVIEW LANE</v>
      </c>
      <c r="C1071" s="3" t="str">
        <f>IFERROR(__xludf.DUMMYFUNCTION("""COMPUTED_VALUE"""),"BAILIEBORO")</f>
        <v>BAILIEBORO</v>
      </c>
      <c r="D1071" s="3" t="str">
        <f>IFERROR(__xludf.DUMMYFUNCTION("""COMPUTED_VALUE"""),"K0L 1B0")</f>
        <v>K0L 1B0</v>
      </c>
      <c r="E1071" s="3" t="str">
        <f>IFERROR(__xludf.DUMMYFUNCTION("""COMPUTED_VALUE"""),"Steve and Cathy Fraser")</f>
        <v>Steve and Cathy Fraser</v>
      </c>
      <c r="F1071" s="3" t="str">
        <f>IFERROR(__xludf.DUMMYFUNCTION("""COMPUTED_VALUE"""),"cathy.j.fraser@gmail.comm")</f>
        <v>cathy.j.fraser@gmail.comm</v>
      </c>
      <c r="G1071" s="3"/>
      <c r="H1071" s="3"/>
    </row>
    <row r="1072">
      <c r="A1072" s="2">
        <f>IFERROR(__xludf.DUMMYFUNCTION("""COMPUTED_VALUE"""),11123.0)</f>
        <v>11123</v>
      </c>
      <c r="B1072" s="3" t="str">
        <f>IFERROR(__xludf.DUMMYFUNCTION("""COMPUTED_VALUE"""),"9754 LAKEVIEW LANE")</f>
        <v>9754 LAKEVIEW LANE</v>
      </c>
      <c r="C1072" s="3" t="str">
        <f>IFERROR(__xludf.DUMMYFUNCTION("""COMPUTED_VALUE"""),"BAILIEBORO")</f>
        <v>BAILIEBORO</v>
      </c>
      <c r="D1072" s="3" t="str">
        <f>IFERROR(__xludf.DUMMYFUNCTION("""COMPUTED_VALUE"""),"K0L 1B0")</f>
        <v>K0L 1B0</v>
      </c>
      <c r="E1072" s="3" t="str">
        <f>IFERROR(__xludf.DUMMYFUNCTION("""COMPUTED_VALUE"""),"Dale Kernohan")</f>
        <v>Dale Kernohan</v>
      </c>
      <c r="F1072" s="3" t="str">
        <f>IFERROR(__xludf.DUMMYFUNCTION("""COMPUTED_VALUE"""),"dale@lardaleconstruction.com")</f>
        <v>dale@lardaleconstruction.com</v>
      </c>
      <c r="G1072" s="3"/>
      <c r="H1072" s="3"/>
    </row>
    <row r="1073">
      <c r="A1073" s="2">
        <f>IFERROR(__xludf.DUMMYFUNCTION("""COMPUTED_VALUE"""),11124.0)</f>
        <v>11124</v>
      </c>
      <c r="B1073" s="3" t="str">
        <f>IFERROR(__xludf.DUMMYFUNCTION("""COMPUTED_VALUE"""),"9770 LAKEVIEW LANE")</f>
        <v>9770 LAKEVIEW LANE</v>
      </c>
      <c r="C1073" s="3" t="str">
        <f>IFERROR(__xludf.DUMMYFUNCTION("""COMPUTED_VALUE"""),"BAILIEBORO")</f>
        <v>BAILIEBORO</v>
      </c>
      <c r="D1073" s="3" t="str">
        <f>IFERROR(__xludf.DUMMYFUNCTION("""COMPUTED_VALUE"""),"K0L 1B0")</f>
        <v>K0L 1B0</v>
      </c>
      <c r="E1073" s="3" t="str">
        <f>IFERROR(__xludf.DUMMYFUNCTION("""COMPUTED_VALUE"""),"gail wilcock")</f>
        <v>gail wilcock</v>
      </c>
      <c r="F1073" s="3" t="str">
        <f>IFERROR(__xludf.DUMMYFUNCTION("""COMPUTED_VALUE"""),"gailwilcock50@outlook.com")</f>
        <v>gailwilcock50@outlook.com</v>
      </c>
      <c r="G1073" s="3"/>
      <c r="H1073" s="3"/>
    </row>
    <row r="1074">
      <c r="A1074" s="2">
        <f>IFERROR(__xludf.DUMMYFUNCTION("""COMPUTED_VALUE"""),11125.0)</f>
        <v>11125</v>
      </c>
      <c r="B1074" s="3" t="str">
        <f>IFERROR(__xludf.DUMMYFUNCTION("""COMPUTED_VALUE"""),"9782 LAKEVIEW LANE")</f>
        <v>9782 LAKEVIEW LANE</v>
      </c>
      <c r="C1074" s="3" t="str">
        <f>IFERROR(__xludf.DUMMYFUNCTION("""COMPUTED_VALUE"""),"BAILIEBORO")</f>
        <v>BAILIEBORO</v>
      </c>
      <c r="D1074" s="3" t="str">
        <f>IFERROR(__xludf.DUMMYFUNCTION("""COMPUTED_VALUE"""),"K0L 1B0")</f>
        <v>K0L 1B0</v>
      </c>
      <c r="E1074" s="3" t="str">
        <f>IFERROR(__xludf.DUMMYFUNCTION("""COMPUTED_VALUE"""),"Ronald Marshall")</f>
        <v>Ronald Marshall</v>
      </c>
      <c r="F1074" s="3" t="str">
        <f>IFERROR(__xludf.DUMMYFUNCTION("""COMPUTED_VALUE"""),"brenda.marshall245@gmail.com")</f>
        <v>brenda.marshall245@gmail.com</v>
      </c>
      <c r="G1074" s="3"/>
      <c r="H1074" s="3"/>
    </row>
    <row r="1075">
      <c r="A1075" s="2">
        <f>IFERROR(__xludf.DUMMYFUNCTION("""COMPUTED_VALUE"""),11126.0)</f>
        <v>11126</v>
      </c>
      <c r="B1075" s="3" t="str">
        <f>IFERROR(__xludf.DUMMYFUNCTION("""COMPUTED_VALUE"""),"9796 LAKEVIEW LANE")</f>
        <v>9796 LAKEVIEW LANE</v>
      </c>
      <c r="C1075" s="3" t="str">
        <f>IFERROR(__xludf.DUMMYFUNCTION("""COMPUTED_VALUE"""),"BAILIEBORO")</f>
        <v>BAILIEBORO</v>
      </c>
      <c r="D1075" s="3" t="str">
        <f>IFERROR(__xludf.DUMMYFUNCTION("""COMPUTED_VALUE"""),"K0L 1B0")</f>
        <v>K0L 1B0</v>
      </c>
      <c r="E1075" s="3" t="str">
        <f>IFERROR(__xludf.DUMMYFUNCTION("""COMPUTED_VALUE"""),"Dan Moore")</f>
        <v>Dan Moore</v>
      </c>
      <c r="F1075" s="3" t="str">
        <f>IFERROR(__xludf.DUMMYFUNCTION("""COMPUTED_VALUE"""),"dmoorej14@yahoo.ca")</f>
        <v>dmoorej14@yahoo.ca</v>
      </c>
      <c r="G1075" s="3"/>
      <c r="H1075" s="3"/>
    </row>
    <row r="1076">
      <c r="A1076" s="2">
        <f>IFERROR(__xludf.DUMMYFUNCTION("""COMPUTED_VALUE"""),10658.0)</f>
        <v>10658</v>
      </c>
      <c r="B1076" s="3" t="str">
        <f>IFERROR(__xludf.DUMMYFUNCTION("""COMPUTED_VALUE"""),"9910 COUNTY RD 28")</f>
        <v>9910 COUNTY RD 28</v>
      </c>
      <c r="C1076" s="3" t="str">
        <f>IFERROR(__xludf.DUMMYFUNCTION("""COMPUTED_VALUE"""),"BAILIEBORO")</f>
        <v>BAILIEBORO</v>
      </c>
      <c r="D1076" s="3" t="str">
        <f>IFERROR(__xludf.DUMMYFUNCTION("""COMPUTED_VALUE"""),"K0L 1B0")</f>
        <v>K0L 1B0</v>
      </c>
      <c r="E1076" s="3" t="str">
        <f>IFERROR(__xludf.DUMMYFUNCTION("""COMPUTED_VALUE"""),"John &amp; Kelly Gainer")</f>
        <v>John &amp; Kelly Gainer</v>
      </c>
      <c r="F1076" s="3" t="str">
        <f>IFERROR(__xludf.DUMMYFUNCTION("""COMPUTED_VALUE"""),"gainer.kelly@gmail.com")</f>
        <v>gainer.kelly@gmail.com</v>
      </c>
      <c r="G1076" s="3"/>
      <c r="H1076" s="3"/>
    </row>
    <row r="1077">
      <c r="A1077" s="2">
        <f>IFERROR(__xludf.DUMMYFUNCTION("""COMPUTED_VALUE"""),10659.0)</f>
        <v>10659</v>
      </c>
      <c r="B1077" s="3" t="str">
        <f>IFERROR(__xludf.DUMMYFUNCTION("""COMPUTED_VALUE"""),"9935 COUNTY RD 28")</f>
        <v>9935 COUNTY RD 28</v>
      </c>
      <c r="C1077" s="3" t="str">
        <f>IFERROR(__xludf.DUMMYFUNCTION("""COMPUTED_VALUE"""),"BAILIEBORO")</f>
        <v>BAILIEBORO</v>
      </c>
      <c r="D1077" s="3" t="str">
        <f>IFERROR(__xludf.DUMMYFUNCTION("""COMPUTED_VALUE"""),"K0L 1B0")</f>
        <v>K0L 1B0</v>
      </c>
      <c r="E1077" s="3" t="str">
        <f>IFERROR(__xludf.DUMMYFUNCTION("""COMPUTED_VALUE"""),"SARA SCHOLTES")</f>
        <v>SARA SCHOLTES</v>
      </c>
      <c r="F1077" s="3" t="str">
        <f>IFERROR(__xludf.DUMMYFUNCTION("""COMPUTED_VALUE"""),"s_scholtes@yahoo.ca")</f>
        <v>s_scholtes@yahoo.ca</v>
      </c>
      <c r="G1077" s="3"/>
      <c r="H1077" s="3"/>
    </row>
    <row r="1078">
      <c r="A1078" s="2">
        <f>IFERROR(__xludf.DUMMYFUNCTION("""COMPUTED_VALUE"""),20023.0)</f>
        <v>20023</v>
      </c>
      <c r="B1078" s="3" t="str">
        <f>IFERROR(__xludf.DUMMYFUNCTION("""COMPUTED_VALUE"""),"3502 ALBERTS ALLEY")</f>
        <v>3502 ALBERTS ALLEY</v>
      </c>
      <c r="C1078" s="3" t="str">
        <f>IFERROR(__xludf.DUMMYFUNCTION("""COMPUTED_VALUE"""),"COBOURG")</f>
        <v>COBOURG</v>
      </c>
      <c r="D1078" s="3" t="str">
        <f>IFERROR(__xludf.DUMMYFUNCTION("""COMPUTED_VALUE"""),"K9A 4J7")</f>
        <v>K9A 4J7</v>
      </c>
      <c r="E1078" s="3" t="str">
        <f>IFERROR(__xludf.DUMMYFUNCTION("""COMPUTED_VALUE"""),"Jamie Fraser")</f>
        <v>Jamie Fraser</v>
      </c>
      <c r="F1078" s="3" t="str">
        <f>IFERROR(__xludf.DUMMYFUNCTION("""COMPUTED_VALUE"""),"blomeleyfraser1966@gmail.com")</f>
        <v>blomeleyfraser1966@gmail.com</v>
      </c>
      <c r="G1078" s="3">
        <f>IFERROR(__xludf.DUMMYFUNCTION("""COMPUTED_VALUE"""),9.053750629E9)</f>
        <v>9053750629</v>
      </c>
      <c r="H1078" s="3">
        <f>IFERROR(__xludf.DUMMYFUNCTION("""COMPUTED_VALUE"""),9.053423019E9)</f>
        <v>9053423019</v>
      </c>
    </row>
    <row r="1079">
      <c r="A1079" s="2">
        <f>IFERROR(__xludf.DUMMYFUNCTION("""COMPUTED_VALUE"""),20024.0)</f>
        <v>20024</v>
      </c>
      <c r="B1079" s="3" t="str">
        <f>IFERROR(__xludf.DUMMYFUNCTION("""COMPUTED_VALUE"""),"3507 ALBERTS ALLEY")</f>
        <v>3507 ALBERTS ALLEY</v>
      </c>
      <c r="C1079" s="3" t="str">
        <f>IFERROR(__xludf.DUMMYFUNCTION("""COMPUTED_VALUE"""),"COBOURG")</f>
        <v>COBOURG</v>
      </c>
      <c r="D1079" s="3" t="str">
        <f>IFERROR(__xludf.DUMMYFUNCTION("""COMPUTED_VALUE"""),"K9A 4J7")</f>
        <v>K9A 4J7</v>
      </c>
      <c r="E1079" s="3" t="str">
        <f>IFERROR(__xludf.DUMMYFUNCTION("""COMPUTED_VALUE"""),"Jordan Hoogendam")</f>
        <v>Jordan Hoogendam</v>
      </c>
      <c r="F1079" s="3" t="str">
        <f>IFERROR(__xludf.DUMMYFUNCTION("""COMPUTED_VALUE"""),"hoogendam@gmail.com")</f>
        <v>hoogendam@gmail.com</v>
      </c>
      <c r="G1079" s="3">
        <f>IFERROR(__xludf.DUMMYFUNCTION("""COMPUTED_VALUE"""),5.199986238E9)</f>
        <v>5199986238</v>
      </c>
      <c r="H1079" s="3"/>
    </row>
    <row r="1080">
      <c r="A1080" s="2">
        <f>IFERROR(__xludf.DUMMYFUNCTION("""COMPUTED_VALUE"""),20025.0)</f>
        <v>20025</v>
      </c>
      <c r="B1080" s="3" t="str">
        <f>IFERROR(__xludf.DUMMYFUNCTION("""COMPUTED_VALUE"""),"3508 ALBERTS ALLEY")</f>
        <v>3508 ALBERTS ALLEY</v>
      </c>
      <c r="C1080" s="3" t="str">
        <f>IFERROR(__xludf.DUMMYFUNCTION("""COMPUTED_VALUE"""),"COBOURG")</f>
        <v>COBOURG</v>
      </c>
      <c r="D1080" s="3" t="str">
        <f>IFERROR(__xludf.DUMMYFUNCTION("""COMPUTED_VALUE"""),"K9A 4J7")</f>
        <v>K9A 4J7</v>
      </c>
      <c r="E1080" s="3" t="str">
        <f>IFERROR(__xludf.DUMMYFUNCTION("""COMPUTED_VALUE"""),"david storms")</f>
        <v>david storms</v>
      </c>
      <c r="F1080" s="3" t="str">
        <f>IFERROR(__xludf.DUMMYFUNCTION("""COMPUTED_VALUE"""),"stormsda@outlook.com")</f>
        <v>stormsda@outlook.com</v>
      </c>
      <c r="G1080" s="3">
        <f>IFERROR(__xludf.DUMMYFUNCTION("""COMPUTED_VALUE"""),9.053733036E9)</f>
        <v>9053733036</v>
      </c>
      <c r="H1080" s="3"/>
    </row>
    <row r="1081">
      <c r="A1081" s="2">
        <f>IFERROR(__xludf.DUMMYFUNCTION("""COMPUTED_VALUE"""),20026.0)</f>
        <v>20026</v>
      </c>
      <c r="B1081" s="3" t="str">
        <f>IFERROR(__xludf.DUMMYFUNCTION("""COMPUTED_VALUE"""),"3516 ALBERTS ALLEY")</f>
        <v>3516 ALBERTS ALLEY</v>
      </c>
      <c r="C1081" s="3" t="str">
        <f>IFERROR(__xludf.DUMMYFUNCTION("""COMPUTED_VALUE"""),"COBOURG")</f>
        <v>COBOURG</v>
      </c>
      <c r="D1081" s="3" t="str">
        <f>IFERROR(__xludf.DUMMYFUNCTION("""COMPUTED_VALUE"""),"K9A 4J7")</f>
        <v>K9A 4J7</v>
      </c>
      <c r="E1081" s="3" t="str">
        <f>IFERROR(__xludf.DUMMYFUNCTION("""COMPUTED_VALUE"""),"Terry Brown and Kelly May")</f>
        <v>Terry Brown and Kelly May</v>
      </c>
      <c r="F1081" s="3" t="str">
        <f>IFERROR(__xludf.DUMMYFUNCTION("""COMPUTED_VALUE"""),"gammakelly188@gmail.com")</f>
        <v>gammakelly188@gmail.com</v>
      </c>
      <c r="G1081" s="3">
        <f>IFERROR(__xludf.DUMMYFUNCTION("""COMPUTED_VALUE"""),9.053423037E9)</f>
        <v>9053423037</v>
      </c>
      <c r="H1081" s="3"/>
    </row>
    <row r="1082">
      <c r="A1082" s="2">
        <f>IFERROR(__xludf.DUMMYFUNCTION("""COMPUTED_VALUE"""),20027.0)</f>
        <v>20027</v>
      </c>
      <c r="B1082" s="3" t="str">
        <f>IFERROR(__xludf.DUMMYFUNCTION("""COMPUTED_VALUE"""),"3522 ALBERTS ALLEY")</f>
        <v>3522 ALBERTS ALLEY</v>
      </c>
      <c r="C1082" s="3" t="str">
        <f>IFERROR(__xludf.DUMMYFUNCTION("""COMPUTED_VALUE"""),"COBOURG")</f>
        <v>COBOURG</v>
      </c>
      <c r="D1082" s="3" t="str">
        <f>IFERROR(__xludf.DUMMYFUNCTION("""COMPUTED_VALUE"""),"K9A 4J7")</f>
        <v>K9A 4J7</v>
      </c>
      <c r="E1082" s="3" t="str">
        <f>IFERROR(__xludf.DUMMYFUNCTION("""COMPUTED_VALUE"""),"ryan wits ")</f>
        <v>ryan wits </v>
      </c>
      <c r="F1082" s="3" t="str">
        <f>IFERROR(__xludf.DUMMYFUNCTION("""COMPUTED_VALUE"""),"ryanw@acicommm.ca")</f>
        <v>ryanw@acicommm.ca</v>
      </c>
      <c r="G1082" s="3">
        <f>IFERROR(__xludf.DUMMYFUNCTION("""COMPUTED_VALUE"""),9.054314112E9)</f>
        <v>9054314112</v>
      </c>
      <c r="H1082" s="3"/>
    </row>
    <row r="1083">
      <c r="A1083" s="2">
        <f>IFERROR(__xludf.DUMMYFUNCTION("""COMPUTED_VALUE"""),20028.0)</f>
        <v>20028</v>
      </c>
      <c r="B1083" s="3" t="str">
        <f>IFERROR(__xludf.DUMMYFUNCTION("""COMPUTED_VALUE"""),"3493 ALNWICK HILL RD")</f>
        <v>3493 ALNWICK HILL RD</v>
      </c>
      <c r="C1083" s="3" t="str">
        <f>IFERROR(__xludf.DUMMYFUNCTION("""COMPUTED_VALUE"""),"BALTIMORE")</f>
        <v>BALTIMORE</v>
      </c>
      <c r="D1083" s="3" t="str">
        <f>IFERROR(__xludf.DUMMYFUNCTION("""COMPUTED_VALUE"""),"K0K 1C0")</f>
        <v>K0K 1C0</v>
      </c>
      <c r="E1083" s="3" t="str">
        <f>IFERROR(__xludf.DUMMYFUNCTION("""COMPUTED_VALUE"""),"Heather Johnston")</f>
        <v>Heather Johnston</v>
      </c>
      <c r="F1083" s="3" t="str">
        <f>IFERROR(__xludf.DUMMYFUNCTION("""COMPUTED_VALUE"""),"heatherjohnston3493@gmail.com")</f>
        <v>heatherjohnston3493@gmail.com</v>
      </c>
      <c r="G1083" s="3">
        <f>IFERROR(__xludf.DUMMYFUNCTION("""COMPUTED_VALUE"""),9.053758038E9)</f>
        <v>9053758038</v>
      </c>
      <c r="H1083" s="3"/>
    </row>
    <row r="1084">
      <c r="A1084" s="2">
        <f>IFERROR(__xludf.DUMMYFUNCTION("""COMPUTED_VALUE"""),20029.0)</f>
        <v>20029</v>
      </c>
      <c r="B1084" s="3" t="str">
        <f>IFERROR(__xludf.DUMMYFUNCTION("""COMPUTED_VALUE"""),"3534 ALNWICK HILL RD")</f>
        <v>3534 ALNWICK HILL RD</v>
      </c>
      <c r="C1084" s="3" t="str">
        <f>IFERROR(__xludf.DUMMYFUNCTION("""COMPUTED_VALUE"""),"BALTIMORE")</f>
        <v>BALTIMORE</v>
      </c>
      <c r="D1084" s="3" t="str">
        <f>IFERROR(__xludf.DUMMYFUNCTION("""COMPUTED_VALUE"""),"K0K 1C0")</f>
        <v>K0K 1C0</v>
      </c>
      <c r="E1084" s="3"/>
      <c r="F1084" s="3"/>
      <c r="G1084" s="3"/>
      <c r="H1084" s="3"/>
    </row>
    <row r="1085">
      <c r="A1085" s="2">
        <f>IFERROR(__xludf.DUMMYFUNCTION("""COMPUTED_VALUE"""),20030.0)</f>
        <v>20030</v>
      </c>
      <c r="B1085" s="3" t="str">
        <f>IFERROR(__xludf.DUMMYFUNCTION("""COMPUTED_VALUE"""),"3610 ALNWICK HILL RD")</f>
        <v>3610 ALNWICK HILL RD</v>
      </c>
      <c r="C1085" s="3" t="str">
        <f>IFERROR(__xludf.DUMMYFUNCTION("""COMPUTED_VALUE"""),"BALTIMORE")</f>
        <v>BALTIMORE</v>
      </c>
      <c r="D1085" s="3" t="str">
        <f>IFERROR(__xludf.DUMMYFUNCTION("""COMPUTED_VALUE"""),"K0K 1C0")</f>
        <v>K0K 1C0</v>
      </c>
      <c r="E1085" s="3" t="str">
        <f>IFERROR(__xludf.DUMMYFUNCTION("""COMPUTED_VALUE"""),"Brian Johnston ")</f>
        <v>Brian Johnston </v>
      </c>
      <c r="F1085" s="3" t="str">
        <f>IFERROR(__xludf.DUMMYFUNCTION("""COMPUTED_VALUE"""),"bj@brianjohnston.ca")</f>
        <v>bj@brianjohnston.ca</v>
      </c>
      <c r="G1085" s="3">
        <f>IFERROR(__xludf.DUMMYFUNCTION("""COMPUTED_VALUE"""),9.058761763E9)</f>
        <v>9058761763</v>
      </c>
      <c r="H1085" s="3"/>
    </row>
    <row r="1086">
      <c r="A1086" s="2">
        <f>IFERROR(__xludf.DUMMYFUNCTION("""COMPUTED_VALUE"""),20031.0)</f>
        <v>20031</v>
      </c>
      <c r="B1086" s="3" t="str">
        <f>IFERROR(__xludf.DUMMYFUNCTION("""COMPUTED_VALUE"""),"3617 ALNWICK HILL RD")</f>
        <v>3617 ALNWICK HILL RD</v>
      </c>
      <c r="C1086" s="3" t="str">
        <f>IFERROR(__xludf.DUMMYFUNCTION("""COMPUTED_VALUE"""),"BALTIMORE")</f>
        <v>BALTIMORE</v>
      </c>
      <c r="D1086" s="3" t="str">
        <f>IFERROR(__xludf.DUMMYFUNCTION("""COMPUTED_VALUE"""),"K0K 1C0")</f>
        <v>K0K 1C0</v>
      </c>
      <c r="E1086" s="3" t="str">
        <f>IFERROR(__xludf.DUMMYFUNCTION("""COMPUTED_VALUE"""),"Diane Hruska")</f>
        <v>Diane Hruska</v>
      </c>
      <c r="F1086" s="3" t="str">
        <f>IFERROR(__xludf.DUMMYFUNCTION("""COMPUTED_VALUE"""),"hruska.diane@gmail.com")</f>
        <v>hruska.diane@gmail.com</v>
      </c>
      <c r="G1086" s="3">
        <f>IFERROR(__xludf.DUMMYFUNCTION("""COMPUTED_VALUE"""),9.052421647E9)</f>
        <v>9052421647</v>
      </c>
      <c r="H1086" s="3"/>
    </row>
    <row r="1087">
      <c r="A1087" s="2">
        <f>IFERROR(__xludf.DUMMYFUNCTION("""COMPUTED_VALUE"""),20032.0)</f>
        <v>20032</v>
      </c>
      <c r="B1087" s="3" t="str">
        <f>IFERROR(__xludf.DUMMYFUNCTION("""COMPUTED_VALUE"""),"3622 ALNWICK HILL RD")</f>
        <v>3622 ALNWICK HILL RD</v>
      </c>
      <c r="C1087" s="3" t="str">
        <f>IFERROR(__xludf.DUMMYFUNCTION("""COMPUTED_VALUE"""),"BALTIMORE")</f>
        <v>BALTIMORE</v>
      </c>
      <c r="D1087" s="3" t="str">
        <f>IFERROR(__xludf.DUMMYFUNCTION("""COMPUTED_VALUE"""),"K0K 1C0")</f>
        <v>K0K 1C0</v>
      </c>
      <c r="E1087" s="3"/>
      <c r="F1087" s="3"/>
      <c r="G1087" s="3"/>
      <c r="H1087" s="3"/>
    </row>
    <row r="1088">
      <c r="A1088" s="2">
        <f>IFERROR(__xludf.DUMMYFUNCTION("""COMPUTED_VALUE"""),20033.0)</f>
        <v>20033</v>
      </c>
      <c r="B1088" s="3" t="str">
        <f>IFERROR(__xludf.DUMMYFUNCTION("""COMPUTED_VALUE"""),"3625 ALNWICK HILL RD")</f>
        <v>3625 ALNWICK HILL RD</v>
      </c>
      <c r="C1088" s="3" t="str">
        <f>IFERROR(__xludf.DUMMYFUNCTION("""COMPUTED_VALUE"""),"BALTIMORE")</f>
        <v>BALTIMORE</v>
      </c>
      <c r="D1088" s="3" t="str">
        <f>IFERROR(__xludf.DUMMYFUNCTION("""COMPUTED_VALUE"""),"K0K 1C0")</f>
        <v>K0K 1C0</v>
      </c>
      <c r="E1088" s="3" t="str">
        <f>IFERROR(__xludf.DUMMYFUNCTION("""COMPUTED_VALUE"""),"Bert Sedgwick")</f>
        <v>Bert Sedgwick</v>
      </c>
      <c r="F1088" s="3" t="str">
        <f>IFERROR(__xludf.DUMMYFUNCTION("""COMPUTED_VALUE"""),"sedgwick.clan@gmail.com")</f>
        <v>sedgwick.clan@gmail.com</v>
      </c>
      <c r="G1088" s="3">
        <f>IFERROR(__xludf.DUMMYFUNCTION("""COMPUTED_VALUE"""),4.169482372E9)</f>
        <v>4169482372</v>
      </c>
      <c r="H1088" s="3">
        <f>IFERROR(__xludf.DUMMYFUNCTION("""COMPUTED_VALUE"""),4.16525257E9)</f>
        <v>4165252570</v>
      </c>
    </row>
    <row r="1089">
      <c r="A1089" s="2">
        <f>IFERROR(__xludf.DUMMYFUNCTION("""COMPUTED_VALUE"""),20034.0)</f>
        <v>20034</v>
      </c>
      <c r="B1089" s="3" t="str">
        <f>IFERROR(__xludf.DUMMYFUNCTION("""COMPUTED_VALUE"""),"3639 ALNWICK HILL RD")</f>
        <v>3639 ALNWICK HILL RD</v>
      </c>
      <c r="C1089" s="3" t="str">
        <f>IFERROR(__xludf.DUMMYFUNCTION("""COMPUTED_VALUE"""),"BALTIMORE")</f>
        <v>BALTIMORE</v>
      </c>
      <c r="D1089" s="3" t="str">
        <f>IFERROR(__xludf.DUMMYFUNCTION("""COMPUTED_VALUE"""),"K0K 1C0")</f>
        <v>K0K 1C0</v>
      </c>
      <c r="E1089" s="3" t="str">
        <f>IFERROR(__xludf.DUMMYFUNCTION("""COMPUTED_VALUE"""),"Barbara Dickenson")</f>
        <v>Barbara Dickenson</v>
      </c>
      <c r="F1089" s="3" t="str">
        <f>IFERROR(__xludf.DUMMYFUNCTION("""COMPUTED_VALUE"""),"bluebird@eagle.ca")</f>
        <v>bluebird@eagle.ca</v>
      </c>
      <c r="G1089" s="3">
        <f>IFERROR(__xludf.DUMMYFUNCTION("""COMPUTED_VALUE"""),9.053423359E9)</f>
        <v>9053423359</v>
      </c>
      <c r="H1089" s="3">
        <f>IFERROR(__xludf.DUMMYFUNCTION("""COMPUTED_VALUE"""),6.135320788E9)</f>
        <v>6135320788</v>
      </c>
    </row>
    <row r="1090">
      <c r="A1090" s="2">
        <f>IFERROR(__xludf.DUMMYFUNCTION("""COMPUTED_VALUE"""),20035.0)</f>
        <v>20035</v>
      </c>
      <c r="B1090" s="3" t="str">
        <f>IFERROR(__xludf.DUMMYFUNCTION("""COMPUTED_VALUE"""),"3651 ALNWICK HILL RD")</f>
        <v>3651 ALNWICK HILL RD</v>
      </c>
      <c r="C1090" s="3" t="str">
        <f>IFERROR(__xludf.DUMMYFUNCTION("""COMPUTED_VALUE"""),"BALTIMORE")</f>
        <v>BALTIMORE</v>
      </c>
      <c r="D1090" s="3" t="str">
        <f>IFERROR(__xludf.DUMMYFUNCTION("""COMPUTED_VALUE"""),"K0K 1C0")</f>
        <v>K0K 1C0</v>
      </c>
      <c r="E1090" s="3" t="str">
        <f>IFERROR(__xludf.DUMMYFUNCTION("""COMPUTED_VALUE"""),"Faye McFarlane")</f>
        <v>Faye McFarlane</v>
      </c>
      <c r="F1090" s="3" t="str">
        <f>IFERROR(__xludf.DUMMYFUNCTION("""COMPUTED_VALUE"""),"fmcfarlane@live.ca")</f>
        <v>fmcfarlane@live.ca</v>
      </c>
      <c r="G1090" s="3">
        <f>IFERROR(__xludf.DUMMYFUNCTION("""COMPUTED_VALUE"""),9.05342209E9)</f>
        <v>9053422090</v>
      </c>
      <c r="H1090" s="3">
        <f>IFERROR(__xludf.DUMMYFUNCTION("""COMPUTED_VALUE"""),9.052693293E9)</f>
        <v>9052693293</v>
      </c>
    </row>
    <row r="1091">
      <c r="A1091" s="2">
        <f>IFERROR(__xludf.DUMMYFUNCTION("""COMPUTED_VALUE"""),20036.0)</f>
        <v>20036</v>
      </c>
      <c r="B1091" s="3" t="str">
        <f>IFERROR(__xludf.DUMMYFUNCTION("""COMPUTED_VALUE"""),"3668 ALNWICK HILL RD")</f>
        <v>3668 ALNWICK HILL RD</v>
      </c>
      <c r="C1091" s="3" t="str">
        <f>IFERROR(__xludf.DUMMYFUNCTION("""COMPUTED_VALUE"""),"BALTIMORE")</f>
        <v>BALTIMORE</v>
      </c>
      <c r="D1091" s="3" t="str">
        <f>IFERROR(__xludf.DUMMYFUNCTION("""COMPUTED_VALUE"""),"K0K 1C0")</f>
        <v>K0K 1C0</v>
      </c>
      <c r="E1091" s="3" t="str">
        <f>IFERROR(__xludf.DUMMYFUNCTION("""COMPUTED_VALUE"""),"Phil Patterson ")</f>
        <v>Phil Patterson </v>
      </c>
      <c r="F1091" s="3" t="str">
        <f>IFERROR(__xludf.DUMMYFUNCTION("""COMPUTED_VALUE"""),"philpatterson@rogers.com")</f>
        <v>philpatterson@rogers.com</v>
      </c>
      <c r="G1091" s="3"/>
      <c r="H1091" s="3"/>
    </row>
    <row r="1092">
      <c r="A1092" s="2">
        <f>IFERROR(__xludf.DUMMYFUNCTION("""COMPUTED_VALUE"""),20037.0)</f>
        <v>20037</v>
      </c>
      <c r="B1092" s="3" t="str">
        <f>IFERROR(__xludf.DUMMYFUNCTION("""COMPUTED_VALUE"""),"3669 ALNWICK HILL RD")</f>
        <v>3669 ALNWICK HILL RD</v>
      </c>
      <c r="C1092" s="3" t="str">
        <f>IFERROR(__xludf.DUMMYFUNCTION("""COMPUTED_VALUE"""),"BALTIMORE")</f>
        <v>BALTIMORE</v>
      </c>
      <c r="D1092" s="3" t="str">
        <f>IFERROR(__xludf.DUMMYFUNCTION("""COMPUTED_VALUE"""),"K0K 1C0")</f>
        <v>K0K 1C0</v>
      </c>
      <c r="E1092" s="3"/>
      <c r="F1092" s="3"/>
      <c r="G1092" s="3"/>
      <c r="H1092" s="3"/>
    </row>
    <row r="1093">
      <c r="A1093" s="2">
        <f>IFERROR(__xludf.DUMMYFUNCTION("""COMPUTED_VALUE"""),20038.0)</f>
        <v>20038</v>
      </c>
      <c r="B1093" s="3" t="str">
        <f>IFERROR(__xludf.DUMMYFUNCTION("""COMPUTED_VALUE"""),"3734 ALNWICK HILL RD")</f>
        <v>3734 ALNWICK HILL RD</v>
      </c>
      <c r="C1093" s="3" t="str">
        <f>IFERROR(__xludf.DUMMYFUNCTION("""COMPUTED_VALUE"""),"BALTIMORE")</f>
        <v>BALTIMORE</v>
      </c>
      <c r="D1093" s="3" t="str">
        <f>IFERROR(__xludf.DUMMYFUNCTION("""COMPUTED_VALUE"""),"K0K 1C0")</f>
        <v>K0K 1C0</v>
      </c>
      <c r="E1093" s="3"/>
      <c r="F1093" s="3"/>
      <c r="G1093" s="3"/>
      <c r="H1093" s="3"/>
    </row>
    <row r="1094">
      <c r="A1094" s="2">
        <f>IFERROR(__xludf.DUMMYFUNCTION("""COMPUTED_VALUE"""),20039.0)</f>
        <v>20039</v>
      </c>
      <c r="B1094" s="3" t="str">
        <f>IFERROR(__xludf.DUMMYFUNCTION("""COMPUTED_VALUE"""),"3735 ALNWICK HILL RD")</f>
        <v>3735 ALNWICK HILL RD</v>
      </c>
      <c r="C1094" s="3" t="str">
        <f>IFERROR(__xludf.DUMMYFUNCTION("""COMPUTED_VALUE"""),"BALTIMORE")</f>
        <v>BALTIMORE</v>
      </c>
      <c r="D1094" s="3" t="str">
        <f>IFERROR(__xludf.DUMMYFUNCTION("""COMPUTED_VALUE"""),"K0K 1C0")</f>
        <v>K0K 1C0</v>
      </c>
      <c r="E1094" s="3" t="str">
        <f>IFERROR(__xludf.DUMMYFUNCTION("""COMPUTED_VALUE"""),"garry j campbell")</f>
        <v>garry j campbell</v>
      </c>
      <c r="F1094" s="3" t="str">
        <f>IFERROR(__xludf.DUMMYFUNCTION("""COMPUTED_VALUE"""),"garrycanpbell1251@gmail.com")</f>
        <v>garrycanpbell1251@gmail.com</v>
      </c>
      <c r="G1094" s="3">
        <f>IFERROR(__xludf.DUMMYFUNCTION("""COMPUTED_VALUE"""),4.168897714E9)</f>
        <v>4168897714</v>
      </c>
      <c r="H1094" s="3"/>
    </row>
    <row r="1095">
      <c r="A1095" s="2">
        <f>IFERROR(__xludf.DUMMYFUNCTION("""COMPUTED_VALUE"""),20049.0)</f>
        <v>20049</v>
      </c>
      <c r="B1095" s="3" t="str">
        <f>IFERROR(__xludf.DUMMYFUNCTION("""COMPUTED_VALUE"""),"9574 ARDAGH CRES")</f>
        <v>9574 ARDAGH CRES</v>
      </c>
      <c r="C1095" s="3" t="str">
        <f>IFERROR(__xludf.DUMMYFUNCTION("""COMPUTED_VALUE"""),"HARWOOD")</f>
        <v>HARWOOD</v>
      </c>
      <c r="D1095" s="3" t="str">
        <f>IFERROR(__xludf.DUMMYFUNCTION("""COMPUTED_VALUE"""),"K0K 2H0")</f>
        <v>K0K 2H0</v>
      </c>
      <c r="E1095" s="3" t="str">
        <f>IFERROR(__xludf.DUMMYFUNCTION("""COMPUTED_VALUE"""),"chanel irwin")</f>
        <v>chanel irwin</v>
      </c>
      <c r="F1095" s="3" t="str">
        <f>IFERROR(__xludf.DUMMYFUNCTION("""COMPUTED_VALUE"""),"chanel.irwin@hotmail.com")</f>
        <v>chanel.irwin@hotmail.com</v>
      </c>
      <c r="G1095" s="3">
        <f>IFERROR(__xludf.DUMMYFUNCTION("""COMPUTED_VALUE"""),9.053961994E9)</f>
        <v>9053961994</v>
      </c>
      <c r="H1095" s="3"/>
    </row>
    <row r="1096">
      <c r="A1096" s="2">
        <f>IFERROR(__xludf.DUMMYFUNCTION("""COMPUTED_VALUE"""),20050.0)</f>
        <v>20050</v>
      </c>
      <c r="B1096" s="3" t="str">
        <f>IFERROR(__xludf.DUMMYFUNCTION("""COMPUTED_VALUE"""),"9582 ARDAGH CRES")</f>
        <v>9582 ARDAGH CRES</v>
      </c>
      <c r="C1096" s="3" t="str">
        <f>IFERROR(__xludf.DUMMYFUNCTION("""COMPUTED_VALUE"""),"HARWOOD")</f>
        <v>HARWOOD</v>
      </c>
      <c r="D1096" s="3" t="str">
        <f>IFERROR(__xludf.DUMMYFUNCTION("""COMPUTED_VALUE"""),"K0K 2H0")</f>
        <v>K0K 2H0</v>
      </c>
      <c r="E1096" s="3" t="str">
        <f>IFERROR(__xludf.DUMMYFUNCTION("""COMPUTED_VALUE"""),"t, beck ")</f>
        <v>t, beck </v>
      </c>
      <c r="F1096" s="3" t="str">
        <f>IFERROR(__xludf.DUMMYFUNCTION("""COMPUTED_VALUE"""),"thbeck79@hotmail.com")</f>
        <v>thbeck79@hotmail.com</v>
      </c>
      <c r="G1096" s="3">
        <f>IFERROR(__xludf.DUMMYFUNCTION("""COMPUTED_VALUE"""),9.054411034E9)</f>
        <v>9054411034</v>
      </c>
      <c r="H1096" s="3"/>
    </row>
    <row r="1097">
      <c r="A1097" s="2">
        <f>IFERROR(__xludf.DUMMYFUNCTION("""COMPUTED_VALUE"""),20051.0)</f>
        <v>20051</v>
      </c>
      <c r="B1097" s="3" t="str">
        <f>IFERROR(__xludf.DUMMYFUNCTION("""COMPUTED_VALUE"""),"9588 ARDAGH CRES")</f>
        <v>9588 ARDAGH CRES</v>
      </c>
      <c r="C1097" s="3" t="str">
        <f>IFERROR(__xludf.DUMMYFUNCTION("""COMPUTED_VALUE"""),"HARWOOD")</f>
        <v>HARWOOD</v>
      </c>
      <c r="D1097" s="3" t="str">
        <f>IFERROR(__xludf.DUMMYFUNCTION("""COMPUTED_VALUE"""),"K0K 2H0")</f>
        <v>K0K 2H0</v>
      </c>
      <c r="E1097" s="3" t="str">
        <f>IFERROR(__xludf.DUMMYFUNCTION("""COMPUTED_VALUE"""),"annette waddington")</f>
        <v>annette waddington</v>
      </c>
      <c r="F1097" s="3" t="str">
        <f>IFERROR(__xludf.DUMMYFUNCTION("""COMPUTED_VALUE"""),"annvadd@live.ca")</f>
        <v>annvadd@live.ca</v>
      </c>
      <c r="G1097" s="3">
        <f>IFERROR(__xludf.DUMMYFUNCTION("""COMPUTED_VALUE"""),9.05376094E9)</f>
        <v>9053760940</v>
      </c>
      <c r="H1097" s="3"/>
    </row>
    <row r="1098">
      <c r="A1098" s="2">
        <f>IFERROR(__xludf.DUMMYFUNCTION("""COMPUTED_VALUE"""),20052.0)</f>
        <v>20052</v>
      </c>
      <c r="B1098" s="3" t="str">
        <f>IFERROR(__xludf.DUMMYFUNCTION("""COMPUTED_VALUE"""),"9590 ARDAGH CRES")</f>
        <v>9590 ARDAGH CRES</v>
      </c>
      <c r="C1098" s="3" t="str">
        <f>IFERROR(__xludf.DUMMYFUNCTION("""COMPUTED_VALUE"""),"HARWOOD")</f>
        <v>HARWOOD</v>
      </c>
      <c r="D1098" s="3" t="str">
        <f>IFERROR(__xludf.DUMMYFUNCTION("""COMPUTED_VALUE"""),"K0K 2H0")</f>
        <v>K0K 2H0</v>
      </c>
      <c r="E1098" s="3" t="str">
        <f>IFERROR(__xludf.DUMMYFUNCTION("""COMPUTED_VALUE"""),"patricia krakenberg")</f>
        <v>patricia krakenberg</v>
      </c>
      <c r="F1098" s="3" t="str">
        <f>IFERROR(__xludf.DUMMYFUNCTION("""COMPUTED_VALUE"""),"kpkraky@gmail.com")</f>
        <v>kpkraky@gmail.com</v>
      </c>
      <c r="G1098" s="3">
        <f>IFERROR(__xludf.DUMMYFUNCTION("""COMPUTED_VALUE"""),9.052698483E9)</f>
        <v>9052698483</v>
      </c>
      <c r="H1098" s="3"/>
    </row>
    <row r="1099">
      <c r="A1099" s="2">
        <f>IFERROR(__xludf.DUMMYFUNCTION("""COMPUTED_VALUE"""),20053.0)</f>
        <v>20053</v>
      </c>
      <c r="B1099" s="3" t="str">
        <f>IFERROR(__xludf.DUMMYFUNCTION("""COMPUTED_VALUE"""),"9592 ARDAGH CRES")</f>
        <v>9592 ARDAGH CRES</v>
      </c>
      <c r="C1099" s="3" t="str">
        <f>IFERROR(__xludf.DUMMYFUNCTION("""COMPUTED_VALUE"""),"HARWOOD")</f>
        <v>HARWOOD</v>
      </c>
      <c r="D1099" s="3" t="str">
        <f>IFERROR(__xludf.DUMMYFUNCTION("""COMPUTED_VALUE"""),"K0K 2H0")</f>
        <v>K0K 2H0</v>
      </c>
      <c r="E1099" s="3" t="str">
        <f>IFERROR(__xludf.DUMMYFUNCTION("""COMPUTED_VALUE"""),"mike weaver")</f>
        <v>mike weaver</v>
      </c>
      <c r="F1099" s="3"/>
      <c r="G1099" s="3">
        <f>IFERROR(__xludf.DUMMYFUNCTION("""COMPUTED_VALUE"""),9.053739592E9)</f>
        <v>9053739592</v>
      </c>
      <c r="H1099" s="3"/>
    </row>
    <row r="1100">
      <c r="A1100" s="2">
        <f>IFERROR(__xludf.DUMMYFUNCTION("""COMPUTED_VALUE"""),20054.0)</f>
        <v>20054</v>
      </c>
      <c r="B1100" s="3" t="str">
        <f>IFERROR(__xludf.DUMMYFUNCTION("""COMPUTED_VALUE"""),"9596 ARDAGH CRES")</f>
        <v>9596 ARDAGH CRES</v>
      </c>
      <c r="C1100" s="3" t="str">
        <f>IFERROR(__xludf.DUMMYFUNCTION("""COMPUTED_VALUE"""),"HARWOOD")</f>
        <v>HARWOOD</v>
      </c>
      <c r="D1100" s="3" t="str">
        <f>IFERROR(__xludf.DUMMYFUNCTION("""COMPUTED_VALUE"""),"K0K 2H0")</f>
        <v>K0K 2H0</v>
      </c>
      <c r="E1100" s="3" t="str">
        <f>IFERROR(__xludf.DUMMYFUNCTION("""COMPUTED_VALUE"""),"Rick Andrus")</f>
        <v>Rick Andrus</v>
      </c>
      <c r="F1100" s="3" t="str">
        <f>IFERROR(__xludf.DUMMYFUNCTION("""COMPUTED_VALUE"""),"rickandrus@hotmail.com")</f>
        <v>rickandrus@hotmail.com</v>
      </c>
      <c r="G1100" s="3">
        <f>IFERROR(__xludf.DUMMYFUNCTION("""COMPUTED_VALUE"""),9.053738929E9)</f>
        <v>9053738929</v>
      </c>
      <c r="H1100" s="3"/>
    </row>
    <row r="1101">
      <c r="A1101" s="2">
        <f>IFERROR(__xludf.DUMMYFUNCTION("""COMPUTED_VALUE"""),20055.0)</f>
        <v>20055</v>
      </c>
      <c r="B1101" s="3" t="str">
        <f>IFERROR(__xludf.DUMMYFUNCTION("""COMPUTED_VALUE"""),"9599 ARDAGH CRES")</f>
        <v>9599 ARDAGH CRES</v>
      </c>
      <c r="C1101" s="3" t="str">
        <f>IFERROR(__xludf.DUMMYFUNCTION("""COMPUTED_VALUE"""),"HARWOOD")</f>
        <v>HARWOOD</v>
      </c>
      <c r="D1101" s="3" t="str">
        <f>IFERROR(__xludf.DUMMYFUNCTION("""COMPUTED_VALUE"""),"K0K 2H0")</f>
        <v>K0K 2H0</v>
      </c>
      <c r="E1101" s="3"/>
      <c r="F1101" s="3"/>
      <c r="G1101" s="3"/>
      <c r="H1101" s="3"/>
    </row>
    <row r="1102">
      <c r="A1102" s="2">
        <f>IFERROR(__xludf.DUMMYFUNCTION("""COMPUTED_VALUE"""),20056.0)</f>
        <v>20056</v>
      </c>
      <c r="B1102" s="3" t="str">
        <f>IFERROR(__xludf.DUMMYFUNCTION("""COMPUTED_VALUE"""),"9606 ARDAGH CRES")</f>
        <v>9606 ARDAGH CRES</v>
      </c>
      <c r="C1102" s="3" t="str">
        <f>IFERROR(__xludf.DUMMYFUNCTION("""COMPUTED_VALUE"""),"HARWOOD")</f>
        <v>HARWOOD</v>
      </c>
      <c r="D1102" s="3" t="str">
        <f>IFERROR(__xludf.DUMMYFUNCTION("""COMPUTED_VALUE"""),"K0K 2H0")</f>
        <v>K0K 2H0</v>
      </c>
      <c r="E1102" s="3"/>
      <c r="F1102" s="3"/>
      <c r="G1102" s="3"/>
      <c r="H1102" s="3"/>
    </row>
    <row r="1103">
      <c r="A1103" s="2">
        <f>IFERROR(__xludf.DUMMYFUNCTION("""COMPUTED_VALUE"""),20057.0)</f>
        <v>20057</v>
      </c>
      <c r="B1103" s="3" t="str">
        <f>IFERROR(__xludf.DUMMYFUNCTION("""COMPUTED_VALUE"""),"9609 ARDAGH CRES")</f>
        <v>9609 ARDAGH CRES</v>
      </c>
      <c r="C1103" s="3" t="str">
        <f>IFERROR(__xludf.DUMMYFUNCTION("""COMPUTED_VALUE"""),"HARWOOD")</f>
        <v>HARWOOD</v>
      </c>
      <c r="D1103" s="3" t="str">
        <f>IFERROR(__xludf.DUMMYFUNCTION("""COMPUTED_VALUE"""),"K0K 2H0")</f>
        <v>K0K 2H0</v>
      </c>
      <c r="E1103" s="3" t="str">
        <f>IFERROR(__xludf.DUMMYFUNCTION("""COMPUTED_VALUE"""),"Fiona Osmond")</f>
        <v>Fiona Osmond</v>
      </c>
      <c r="F1103" s="3" t="str">
        <f>IFERROR(__xludf.DUMMYFUNCTION("""COMPUTED_VALUE"""),"joshuachristophersaunders@gmail.com")</f>
        <v>joshuachristophersaunders@gmail.com</v>
      </c>
      <c r="G1103" s="3">
        <f>IFERROR(__xludf.DUMMYFUNCTION("""COMPUTED_VALUE"""),2.89251379E9)</f>
        <v>2892513790</v>
      </c>
      <c r="H1103" s="3">
        <f>IFERROR(__xludf.DUMMYFUNCTION("""COMPUTED_VALUE"""),2.892512068E9)</f>
        <v>2892512068</v>
      </c>
    </row>
    <row r="1104">
      <c r="A1104" s="2">
        <f>IFERROR(__xludf.DUMMYFUNCTION("""COMPUTED_VALUE"""),22876.0)</f>
        <v>22876</v>
      </c>
      <c r="B1104" s="3" t="str">
        <f>IFERROR(__xludf.DUMMYFUNCTION("""COMPUTED_VALUE"""),"5295 OLD SCHOOL HOUSE RD")</f>
        <v>5295 OLD SCHOOL HOUSE RD</v>
      </c>
      <c r="C1104" s="3" t="str">
        <f>IFERROR(__xludf.DUMMYFUNCTION("""COMPUTED_VALUE"""),"HARWOOD")</f>
        <v>HARWOOD</v>
      </c>
      <c r="D1104" s="3" t="str">
        <f>IFERROR(__xludf.DUMMYFUNCTION("""COMPUTED_VALUE"""),"K0K 2H0")</f>
        <v>K0K 2H0</v>
      </c>
      <c r="E1104" s="3" t="str">
        <f>IFERROR(__xludf.DUMMYFUNCTION("""COMPUTED_VALUE"""),"Richard Stagg")</f>
        <v>Richard Stagg</v>
      </c>
      <c r="F1104" s="3" t="str">
        <f>IFERROR(__xludf.DUMMYFUNCTION("""COMPUTED_VALUE"""),"rickstagg3877@gmail.com")</f>
        <v>rickstagg3877@gmail.com</v>
      </c>
      <c r="G1104" s="3"/>
      <c r="H1104" s="3"/>
    </row>
    <row r="1105">
      <c r="A1105" s="2">
        <f>IFERROR(__xludf.DUMMYFUNCTION("""COMPUTED_VALUE"""),20061.0)</f>
        <v>20061</v>
      </c>
      <c r="B1105" s="3" t="str">
        <f>IFERROR(__xludf.DUMMYFUNCTION("""COMPUTED_VALUE"""),"2851 ATANASOFF RD")</f>
        <v>2851 ATANASOFF RD</v>
      </c>
      <c r="C1105" s="3" t="str">
        <f>IFERROR(__xludf.DUMMYFUNCTION("""COMPUTED_VALUE"""),"BALTIMORE")</f>
        <v>BALTIMORE</v>
      </c>
      <c r="D1105" s="3" t="str">
        <f>IFERROR(__xludf.DUMMYFUNCTION("""COMPUTED_VALUE"""),"K0K 1C0")</f>
        <v>K0K 1C0</v>
      </c>
      <c r="E1105" s="3" t="str">
        <f>IFERROR(__xludf.DUMMYFUNCTION("""COMPUTED_VALUE"""),"Richard Madsen")</f>
        <v>Richard Madsen</v>
      </c>
      <c r="F1105" s="3" t="str">
        <f>IFERROR(__xludf.DUMMYFUNCTION("""COMPUTED_VALUE"""),"rmadsen@live.ca")</f>
        <v>rmadsen@live.ca</v>
      </c>
      <c r="G1105" s="3">
        <f>IFERROR(__xludf.DUMMYFUNCTION("""COMPUTED_VALUE"""),9.053730769E9)</f>
        <v>9053730769</v>
      </c>
      <c r="H1105" s="3"/>
    </row>
    <row r="1106">
      <c r="A1106" s="2">
        <f>IFERROR(__xludf.DUMMYFUNCTION("""COMPUTED_VALUE"""),20062.0)</f>
        <v>20062</v>
      </c>
      <c r="B1106" s="3" t="str">
        <f>IFERROR(__xludf.DUMMYFUNCTION("""COMPUTED_VALUE"""),"2873 ATANASOFF RD")</f>
        <v>2873 ATANASOFF RD</v>
      </c>
      <c r="C1106" s="3" t="str">
        <f>IFERROR(__xludf.DUMMYFUNCTION("""COMPUTED_VALUE"""),"BALTIMORE")</f>
        <v>BALTIMORE</v>
      </c>
      <c r="D1106" s="3" t="str">
        <f>IFERROR(__xludf.DUMMYFUNCTION("""COMPUTED_VALUE"""),"K0K 1C0")</f>
        <v>K0K 1C0</v>
      </c>
      <c r="E1106" s="3" t="str">
        <f>IFERROR(__xludf.DUMMYFUNCTION("""COMPUTED_VALUE"""),"brenda and rick wright ")</f>
        <v>brenda and rick wright </v>
      </c>
      <c r="F1106" s="3" t="str">
        <f>IFERROR(__xludf.DUMMYFUNCTION("""COMPUTED_VALUE"""),"branda.j.wright1@gmail.com")</f>
        <v>branda.j.wright1@gmail.com</v>
      </c>
      <c r="G1106" s="3">
        <f>IFERROR(__xludf.DUMMYFUNCTION("""COMPUTED_VALUE"""),9.053960534E9)</f>
        <v>9053960534</v>
      </c>
      <c r="H1106" s="3"/>
    </row>
    <row r="1107">
      <c r="A1107" s="2">
        <f>IFERROR(__xludf.DUMMYFUNCTION("""COMPUTED_VALUE"""),20075.0)</f>
        <v>20075</v>
      </c>
      <c r="B1107" s="3" t="str">
        <f>IFERROR(__xludf.DUMMYFUNCTION("""COMPUTED_VALUE"""),"7470 BAMSEY DR")</f>
        <v>7470 BAMSEY DR</v>
      </c>
      <c r="C1107" s="3" t="str">
        <f>IFERROR(__xludf.DUMMYFUNCTION("""COMPUTED_VALUE"""),"HAMILTON TOWNSHIP")</f>
        <v>HAMILTON TOWNSHIP</v>
      </c>
      <c r="D1107" s="3" t="str">
        <f>IFERROR(__xludf.DUMMYFUNCTION("""COMPUTED_VALUE"""),"K0L 1E0")</f>
        <v>K0L 1E0</v>
      </c>
      <c r="E1107" s="3" t="str">
        <f>IFERROR(__xludf.DUMMYFUNCTION("""COMPUTED_VALUE"""),"Mark White")</f>
        <v>Mark White</v>
      </c>
      <c r="F1107" s="3" t="str">
        <f>IFERROR(__xludf.DUMMYFUNCTION("""COMPUTED_VALUE"""),"mark.white1717@gmail.com")</f>
        <v>mark.white1717@gmail.com</v>
      </c>
      <c r="G1107" s="3">
        <f>IFERROR(__xludf.DUMMYFUNCTION("""COMPUTED_VALUE"""),9.055501112E9)</f>
        <v>9055501112</v>
      </c>
      <c r="H1107" s="3"/>
    </row>
    <row r="1108">
      <c r="A1108" s="2">
        <f>IFERROR(__xludf.DUMMYFUNCTION("""COMPUTED_VALUE"""),20076.0)</f>
        <v>20076</v>
      </c>
      <c r="B1108" s="3" t="str">
        <f>IFERROR(__xludf.DUMMYFUNCTION("""COMPUTED_VALUE"""),"7471 BAMSEY DR")</f>
        <v>7471 BAMSEY DR</v>
      </c>
      <c r="C1108" s="3" t="str">
        <f>IFERROR(__xludf.DUMMYFUNCTION("""COMPUTED_VALUE"""),"HAMILTON TOWNSHIP")</f>
        <v>HAMILTON TOWNSHIP</v>
      </c>
      <c r="D1108" s="3" t="str">
        <f>IFERROR(__xludf.DUMMYFUNCTION("""COMPUTED_VALUE"""),"K0L 1E0")</f>
        <v>K0L 1E0</v>
      </c>
      <c r="E1108" s="3" t="str">
        <f>IFERROR(__xludf.DUMMYFUNCTION("""COMPUTED_VALUE"""),"roger fortin")</f>
        <v>roger fortin</v>
      </c>
      <c r="F1108" s="3" t="str">
        <f>IFERROR(__xludf.DUMMYFUNCTION("""COMPUTED_VALUE"""),"humblepie16@live.com")</f>
        <v>humblepie16@live.com</v>
      </c>
      <c r="G1108" s="3">
        <f>IFERROR(__xludf.DUMMYFUNCTION("""COMPUTED_VALUE"""),9.053422489E9)</f>
        <v>9053422489</v>
      </c>
      <c r="H1108" s="3"/>
    </row>
    <row r="1109">
      <c r="A1109" s="2">
        <f>IFERROR(__xludf.DUMMYFUNCTION("""COMPUTED_VALUE"""),20077.0)</f>
        <v>20077</v>
      </c>
      <c r="B1109" s="3" t="str">
        <f>IFERROR(__xludf.DUMMYFUNCTION("""COMPUTED_VALUE"""),"7473 BAMSEY DR")</f>
        <v>7473 BAMSEY DR</v>
      </c>
      <c r="C1109" s="3" t="str">
        <f>IFERROR(__xludf.DUMMYFUNCTION("""COMPUTED_VALUE"""),"HAMILTON TOWNSHIP")</f>
        <v>HAMILTON TOWNSHIP</v>
      </c>
      <c r="D1109" s="3" t="str">
        <f>IFERROR(__xludf.DUMMYFUNCTION("""COMPUTED_VALUE"""),"K0L 1E0")</f>
        <v>K0L 1E0</v>
      </c>
      <c r="E1109" s="3" t="str">
        <f>IFERROR(__xludf.DUMMYFUNCTION("""COMPUTED_VALUE"""),"M, Blake ")</f>
        <v>M, Blake </v>
      </c>
      <c r="F1109" s="3"/>
      <c r="G1109" s="3">
        <f>IFERROR(__xludf.DUMMYFUNCTION("""COMPUTED_VALUE"""),5.196714157E9)</f>
        <v>5196714157</v>
      </c>
      <c r="H1109" s="3">
        <f>IFERROR(__xludf.DUMMYFUNCTION("""COMPUTED_VALUE"""),7.053133679E9)</f>
        <v>7053133679</v>
      </c>
    </row>
    <row r="1110">
      <c r="A1110" s="2">
        <f>IFERROR(__xludf.DUMMYFUNCTION("""COMPUTED_VALUE"""),20078.0)</f>
        <v>20078</v>
      </c>
      <c r="B1110" s="3" t="str">
        <f>IFERROR(__xludf.DUMMYFUNCTION("""COMPUTED_VALUE"""),"7486 BAMSEY DR")</f>
        <v>7486 BAMSEY DR</v>
      </c>
      <c r="C1110" s="3" t="str">
        <f>IFERROR(__xludf.DUMMYFUNCTION("""COMPUTED_VALUE"""),"HAMILTON TOWNSHIP")</f>
        <v>HAMILTON TOWNSHIP</v>
      </c>
      <c r="D1110" s="3" t="str">
        <f>IFERROR(__xludf.DUMMYFUNCTION("""COMPUTED_VALUE"""),"K0L 1E0")</f>
        <v>K0L 1E0</v>
      </c>
      <c r="E1110" s="3" t="str">
        <f>IFERROR(__xludf.DUMMYFUNCTION("""COMPUTED_VALUE"""),"Robert Pellerin ")</f>
        <v>Robert Pellerin </v>
      </c>
      <c r="F1110" s="3" t="str">
        <f>IFERROR(__xludf.DUMMYFUNCTION("""COMPUTED_VALUE"""),"Rajapellerin@gmail.com")</f>
        <v>Rajapellerin@gmail.com</v>
      </c>
      <c r="G1110" s="3">
        <f>IFERROR(__xludf.DUMMYFUNCTION("""COMPUTED_VALUE"""),9.053754443E9)</f>
        <v>9053754443</v>
      </c>
      <c r="H1110" s="3">
        <f>IFERROR(__xludf.DUMMYFUNCTION("""COMPUTED_VALUE"""),9.053766889E9)</f>
        <v>9053766889</v>
      </c>
    </row>
    <row r="1111">
      <c r="A1111" s="2">
        <f>IFERROR(__xludf.DUMMYFUNCTION("""COMPUTED_VALUE"""),20079.0)</f>
        <v>20079</v>
      </c>
      <c r="B1111" s="3" t="str">
        <f>IFERROR(__xludf.DUMMYFUNCTION("""COMPUTED_VALUE"""),"7491 BAMSEY DR")</f>
        <v>7491 BAMSEY DR</v>
      </c>
      <c r="C1111" s="3" t="str">
        <f>IFERROR(__xludf.DUMMYFUNCTION("""COMPUTED_VALUE"""),"HAMILTON TOWNSHIP")</f>
        <v>HAMILTON TOWNSHIP</v>
      </c>
      <c r="D1111" s="3" t="str">
        <f>IFERROR(__xludf.DUMMYFUNCTION("""COMPUTED_VALUE"""),"K0L 1E0")</f>
        <v>K0L 1E0</v>
      </c>
      <c r="E1111" s="3" t="str">
        <f>IFERROR(__xludf.DUMMYFUNCTION("""COMPUTED_VALUE"""),"Robert Gibson")</f>
        <v>Robert Gibson</v>
      </c>
      <c r="F1111" s="3" t="str">
        <f>IFERROR(__xludf.DUMMYFUNCTION("""COMPUTED_VALUE"""),"rgibson8@gmail.com")</f>
        <v>rgibson8@gmail.com</v>
      </c>
      <c r="G1111" s="3">
        <f>IFERROR(__xludf.DUMMYFUNCTION("""COMPUTED_VALUE"""),9.053425777E9)</f>
        <v>9053425777</v>
      </c>
      <c r="H1111" s="3">
        <f>IFERROR(__xludf.DUMMYFUNCTION("""COMPUTED_VALUE"""),2.892518586E9)</f>
        <v>2892518586</v>
      </c>
    </row>
    <row r="1112">
      <c r="A1112" s="2">
        <f>IFERROR(__xludf.DUMMYFUNCTION("""COMPUTED_VALUE"""),20080.0)</f>
        <v>20080</v>
      </c>
      <c r="B1112" s="3" t="str">
        <f>IFERROR(__xludf.DUMMYFUNCTION("""COMPUTED_VALUE"""),"7494 BAMSEY DR")</f>
        <v>7494 BAMSEY DR</v>
      </c>
      <c r="C1112" s="3" t="str">
        <f>IFERROR(__xludf.DUMMYFUNCTION("""COMPUTED_VALUE"""),"HAMILTON TOWNSHIP")</f>
        <v>HAMILTON TOWNSHIP</v>
      </c>
      <c r="D1112" s="3" t="str">
        <f>IFERROR(__xludf.DUMMYFUNCTION("""COMPUTED_VALUE"""),"K0L 1E0")</f>
        <v>K0L 1E0</v>
      </c>
      <c r="E1112" s="3" t="str">
        <f>IFERROR(__xludf.DUMMYFUNCTION("""COMPUTED_VALUE"""),"corey coppina ")</f>
        <v>corey coppina </v>
      </c>
      <c r="F1112" s="3" t="str">
        <f>IFERROR(__xludf.DUMMYFUNCTION("""COMPUTED_VALUE"""),"coreyc2144@gmail.com")</f>
        <v>coreyc2144@gmail.com</v>
      </c>
      <c r="G1112" s="3">
        <f>IFERROR(__xludf.DUMMYFUNCTION("""COMPUTED_VALUE"""),4.165560799E9)</f>
        <v>4165560799</v>
      </c>
      <c r="H1112" s="3">
        <f>IFERROR(__xludf.DUMMYFUNCTION("""COMPUTED_VALUE"""),4.165501976E9)</f>
        <v>4165501976</v>
      </c>
    </row>
    <row r="1113">
      <c r="A1113" s="2">
        <f>IFERROR(__xludf.DUMMYFUNCTION("""COMPUTED_VALUE"""),20081.0)</f>
        <v>20081</v>
      </c>
      <c r="B1113" s="3" t="str">
        <f>IFERROR(__xludf.DUMMYFUNCTION("""COMPUTED_VALUE"""),"7499 BAMSEY DR")</f>
        <v>7499 BAMSEY DR</v>
      </c>
      <c r="C1113" s="3" t="str">
        <f>IFERROR(__xludf.DUMMYFUNCTION("""COMPUTED_VALUE"""),"HAMILTON TOWNSHIP")</f>
        <v>HAMILTON TOWNSHIP</v>
      </c>
      <c r="D1113" s="3" t="str">
        <f>IFERROR(__xludf.DUMMYFUNCTION("""COMPUTED_VALUE"""),"K0L 1E0")</f>
        <v>K0L 1E0</v>
      </c>
      <c r="E1113" s="3" t="str">
        <f>IFERROR(__xludf.DUMMYFUNCTION("""COMPUTED_VALUE"""),"George Poulias")</f>
        <v>George Poulias</v>
      </c>
      <c r="F1113" s="3" t="str">
        <f>IFERROR(__xludf.DUMMYFUNCTION("""COMPUTED_VALUE"""),"gpoulias@gmail.com")</f>
        <v>gpoulias@gmail.com</v>
      </c>
      <c r="G1113" s="3">
        <f>IFERROR(__xludf.DUMMYFUNCTION("""COMPUTED_VALUE"""),4.169182493E9)</f>
        <v>4169182493</v>
      </c>
      <c r="H1113" s="3"/>
    </row>
    <row r="1114">
      <c r="A1114" s="2">
        <f>IFERROR(__xludf.DUMMYFUNCTION("""COMPUTED_VALUE"""),20082.0)</f>
        <v>20082</v>
      </c>
      <c r="B1114" s="3" t="str">
        <f>IFERROR(__xludf.DUMMYFUNCTION("""COMPUTED_VALUE"""),"7502 BAMSEY DR")</f>
        <v>7502 BAMSEY DR</v>
      </c>
      <c r="C1114" s="3" t="str">
        <f>IFERROR(__xludf.DUMMYFUNCTION("""COMPUTED_VALUE"""),"HAMILTON TOWNSHIP")</f>
        <v>HAMILTON TOWNSHIP</v>
      </c>
      <c r="D1114" s="3" t="str">
        <f>IFERROR(__xludf.DUMMYFUNCTION("""COMPUTED_VALUE"""),"K0L 1E0")</f>
        <v>K0L 1E0</v>
      </c>
      <c r="E1114" s="3" t="str">
        <f>IFERROR(__xludf.DUMMYFUNCTION("""COMPUTED_VALUE"""),"Brenda Eastman")</f>
        <v>Brenda Eastman</v>
      </c>
      <c r="F1114" s="3" t="str">
        <f>IFERROR(__xludf.DUMMYFUNCTION("""COMPUTED_VALUE"""),"brendamarie@gmail.com")</f>
        <v>brendamarie@gmail.com</v>
      </c>
      <c r="G1114" s="3"/>
      <c r="H1114" s="3"/>
    </row>
    <row r="1115">
      <c r="A1115" s="2">
        <f>IFERROR(__xludf.DUMMYFUNCTION("""COMPUTED_VALUE"""),20083.0)</f>
        <v>20083</v>
      </c>
      <c r="B1115" s="3" t="str">
        <f>IFERROR(__xludf.DUMMYFUNCTION("""COMPUTED_VALUE"""),"7507 BAMSEY DR")</f>
        <v>7507 BAMSEY DR</v>
      </c>
      <c r="C1115" s="3" t="str">
        <f>IFERROR(__xludf.DUMMYFUNCTION("""COMPUTED_VALUE"""),"HAMILTON TOWNSHIP")</f>
        <v>HAMILTON TOWNSHIP</v>
      </c>
      <c r="D1115" s="3" t="str">
        <f>IFERROR(__xludf.DUMMYFUNCTION("""COMPUTED_VALUE"""),"K0L 1E0")</f>
        <v>K0L 1E0</v>
      </c>
      <c r="E1115" s="3" t="str">
        <f>IFERROR(__xludf.DUMMYFUNCTION("""COMPUTED_VALUE"""),"Matt Brady ")</f>
        <v>Matt Brady </v>
      </c>
      <c r="F1115" s="3" t="str">
        <f>IFERROR(__xludf.DUMMYFUNCTION("""COMPUTED_VALUE"""),"Matthew_brady@kprdsb.ca")</f>
        <v>Matthew_brady@kprdsb.ca</v>
      </c>
      <c r="G1115" s="3">
        <f>IFERROR(__xludf.DUMMYFUNCTION("""COMPUTED_VALUE"""),2.89251503E9)</f>
        <v>2892515030</v>
      </c>
      <c r="H1115" s="3">
        <f>IFERROR(__xludf.DUMMYFUNCTION("""COMPUTED_VALUE"""),7.053131369E9)</f>
        <v>7053131369</v>
      </c>
    </row>
    <row r="1116">
      <c r="A1116" s="2">
        <f>IFERROR(__xludf.DUMMYFUNCTION("""COMPUTED_VALUE"""),20084.0)</f>
        <v>20084</v>
      </c>
      <c r="B1116" s="3" t="str">
        <f>IFERROR(__xludf.DUMMYFUNCTION("""COMPUTED_VALUE"""),"7508 BAMSEY DR")</f>
        <v>7508 BAMSEY DR</v>
      </c>
      <c r="C1116" s="3" t="str">
        <f>IFERROR(__xludf.DUMMYFUNCTION("""COMPUTED_VALUE"""),"HAMILTON TOWNSHIP")</f>
        <v>HAMILTON TOWNSHIP</v>
      </c>
      <c r="D1116" s="3" t="str">
        <f>IFERROR(__xludf.DUMMYFUNCTION("""COMPUTED_VALUE"""),"K0L 1E0")</f>
        <v>K0L 1E0</v>
      </c>
      <c r="E1116" s="3"/>
      <c r="F1116" s="3"/>
      <c r="G1116" s="3"/>
      <c r="H1116" s="3"/>
    </row>
    <row r="1117">
      <c r="A1117" s="2">
        <f>IFERROR(__xludf.DUMMYFUNCTION("""COMPUTED_VALUE"""),20085.0)</f>
        <v>20085</v>
      </c>
      <c r="B1117" s="3" t="str">
        <f>IFERROR(__xludf.DUMMYFUNCTION("""COMPUTED_VALUE"""),"7512 BAMSEY DR")</f>
        <v>7512 BAMSEY DR</v>
      </c>
      <c r="C1117" s="3" t="str">
        <f>IFERROR(__xludf.DUMMYFUNCTION("""COMPUTED_VALUE"""),"HAMILTON TOWNSHIP")</f>
        <v>HAMILTON TOWNSHIP</v>
      </c>
      <c r="D1117" s="3" t="str">
        <f>IFERROR(__xludf.DUMMYFUNCTION("""COMPUTED_VALUE"""),"K0L 1E0")</f>
        <v>K0L 1E0</v>
      </c>
      <c r="E1117" s="3"/>
      <c r="F1117" s="3"/>
      <c r="G1117" s="3"/>
      <c r="H1117" s="3"/>
    </row>
    <row r="1118">
      <c r="A1118" s="2">
        <f>IFERROR(__xludf.DUMMYFUNCTION("""COMPUTED_VALUE"""),20086.0)</f>
        <v>20086</v>
      </c>
      <c r="B1118" s="3" t="str">
        <f>IFERROR(__xludf.DUMMYFUNCTION("""COMPUTED_VALUE"""),"7515 BAMSEY DR")</f>
        <v>7515 BAMSEY DR</v>
      </c>
      <c r="C1118" s="3" t="str">
        <f>IFERROR(__xludf.DUMMYFUNCTION("""COMPUTED_VALUE"""),"HAMILTON TOWNSHIP")</f>
        <v>HAMILTON TOWNSHIP</v>
      </c>
      <c r="D1118" s="3" t="str">
        <f>IFERROR(__xludf.DUMMYFUNCTION("""COMPUTED_VALUE"""),"K0L 1E0")</f>
        <v>K0L 1E0</v>
      </c>
      <c r="E1118" s="3" t="str">
        <f>IFERROR(__xludf.DUMMYFUNCTION("""COMPUTED_VALUE"""),"sandor jakab")</f>
        <v>sandor jakab</v>
      </c>
      <c r="F1118" s="3" t="str">
        <f>IFERROR(__xludf.DUMMYFUNCTION("""COMPUTED_VALUE"""),"sandor_jakab@hotmail.com")</f>
        <v>sandor_jakab@hotmail.com</v>
      </c>
      <c r="G1118" s="3">
        <f>IFERROR(__xludf.DUMMYFUNCTION("""COMPUTED_VALUE"""),9.053753439E9)</f>
        <v>9053753439</v>
      </c>
      <c r="H1118" s="3">
        <f>IFERROR(__xludf.DUMMYFUNCTION("""COMPUTED_VALUE"""),9.053753463E9)</f>
        <v>9053753463</v>
      </c>
    </row>
    <row r="1119">
      <c r="A1119" s="2">
        <f>IFERROR(__xludf.DUMMYFUNCTION("""COMPUTED_VALUE"""),20087.0)</f>
        <v>20087</v>
      </c>
      <c r="B1119" s="3" t="str">
        <f>IFERROR(__xludf.DUMMYFUNCTION("""COMPUTED_VALUE"""),"7520 BAMSEY DR")</f>
        <v>7520 BAMSEY DR</v>
      </c>
      <c r="C1119" s="3" t="str">
        <f>IFERROR(__xludf.DUMMYFUNCTION("""COMPUTED_VALUE"""),"HAMILTON TOWNSHIP")</f>
        <v>HAMILTON TOWNSHIP</v>
      </c>
      <c r="D1119" s="3" t="str">
        <f>IFERROR(__xludf.DUMMYFUNCTION("""COMPUTED_VALUE"""),"K0L 1E0")</f>
        <v>K0L 1E0</v>
      </c>
      <c r="E1119" s="3" t="str">
        <f>IFERROR(__xludf.DUMMYFUNCTION("""COMPUTED_VALUE"""),"Bruce Britton")</f>
        <v>Bruce Britton</v>
      </c>
      <c r="F1119" s="3" t="str">
        <f>IFERROR(__xludf.DUMMYFUNCTION("""COMPUTED_VALUE"""),"brucebritton99@yahoo.ca")</f>
        <v>brucebritton99@yahoo.ca</v>
      </c>
      <c r="G1119" s="3"/>
      <c r="H1119" s="3"/>
    </row>
    <row r="1120">
      <c r="A1120" s="2">
        <f>IFERROR(__xludf.DUMMYFUNCTION("""COMPUTED_VALUE"""),20088.0)</f>
        <v>20088</v>
      </c>
      <c r="B1120" s="3" t="str">
        <f>IFERROR(__xludf.DUMMYFUNCTION("""COMPUTED_VALUE"""),"7521 BAMSEY DR")</f>
        <v>7521 BAMSEY DR</v>
      </c>
      <c r="C1120" s="3" t="str">
        <f>IFERROR(__xludf.DUMMYFUNCTION("""COMPUTED_VALUE"""),"HAMILTON TOWNSHIP")</f>
        <v>HAMILTON TOWNSHIP</v>
      </c>
      <c r="D1120" s="3" t="str">
        <f>IFERROR(__xludf.DUMMYFUNCTION("""COMPUTED_VALUE"""),"K0L 1E0")</f>
        <v>K0L 1E0</v>
      </c>
      <c r="E1120" s="3" t="str">
        <f>IFERROR(__xludf.DUMMYFUNCTION("""COMPUTED_VALUE"""),"Robert Kassinger")</f>
        <v>Robert Kassinger</v>
      </c>
      <c r="F1120" s="3" t="str">
        <f>IFERROR(__xludf.DUMMYFUNCTION("""COMPUTED_VALUE"""),"rob.kassinger@live.ca")</f>
        <v>rob.kassinger@live.ca</v>
      </c>
      <c r="G1120" s="3">
        <f>IFERROR(__xludf.DUMMYFUNCTION("""COMPUTED_VALUE"""),9.057060643E9)</f>
        <v>9057060643</v>
      </c>
      <c r="H1120" s="3"/>
    </row>
    <row r="1121">
      <c r="A1121" s="2">
        <f>IFERROR(__xludf.DUMMYFUNCTION("""COMPUTED_VALUE"""),20089.0)</f>
        <v>20089</v>
      </c>
      <c r="B1121" s="3" t="str">
        <f>IFERROR(__xludf.DUMMYFUNCTION("""COMPUTED_VALUE"""),"7524 BAMSEY DR")</f>
        <v>7524 BAMSEY DR</v>
      </c>
      <c r="C1121" s="3" t="str">
        <f>IFERROR(__xludf.DUMMYFUNCTION("""COMPUTED_VALUE"""),"HAMILTON TOWNSHIP")</f>
        <v>HAMILTON TOWNSHIP</v>
      </c>
      <c r="D1121" s="3" t="str">
        <f>IFERROR(__xludf.DUMMYFUNCTION("""COMPUTED_VALUE"""),"K0L 1E0")</f>
        <v>K0L 1E0</v>
      </c>
      <c r="E1121" s="3" t="str">
        <f>IFERROR(__xludf.DUMMYFUNCTION("""COMPUTED_VALUE"""),"Mohamed Elkharadly")</f>
        <v>Mohamed Elkharadly</v>
      </c>
      <c r="F1121" s="3" t="str">
        <f>IFERROR(__xludf.DUMMYFUNCTION("""COMPUTED_VALUE"""),"nel@nel.ca")</f>
        <v>nel@nel.ca</v>
      </c>
      <c r="G1121" s="3">
        <f>IFERROR(__xludf.DUMMYFUNCTION("""COMPUTED_VALUE"""),4.169399898E9)</f>
        <v>4169399898</v>
      </c>
      <c r="H1121" s="3">
        <f>IFERROR(__xludf.DUMMYFUNCTION("""COMPUTED_VALUE"""),4.165590082E9)</f>
        <v>4165590082</v>
      </c>
    </row>
    <row r="1122">
      <c r="A1122" s="2">
        <f>IFERROR(__xludf.DUMMYFUNCTION("""COMPUTED_VALUE"""),20090.0)</f>
        <v>20090</v>
      </c>
      <c r="B1122" s="3" t="str">
        <f>IFERROR(__xludf.DUMMYFUNCTION("""COMPUTED_VALUE"""),"7527 BAMSEY DR")</f>
        <v>7527 BAMSEY DR</v>
      </c>
      <c r="C1122" s="3" t="str">
        <f>IFERROR(__xludf.DUMMYFUNCTION("""COMPUTED_VALUE"""),"HAMILTON TOWNSHIP")</f>
        <v>HAMILTON TOWNSHIP</v>
      </c>
      <c r="D1122" s="3" t="str">
        <f>IFERROR(__xludf.DUMMYFUNCTION("""COMPUTED_VALUE"""),"K0L 1E0")</f>
        <v>K0L 1E0</v>
      </c>
      <c r="E1122" s="3"/>
      <c r="F1122" s="3"/>
      <c r="G1122" s="3"/>
      <c r="H1122" s="3"/>
    </row>
    <row r="1123">
      <c r="A1123" s="2">
        <f>IFERROR(__xludf.DUMMYFUNCTION("""COMPUTED_VALUE"""),20091.0)</f>
        <v>20091</v>
      </c>
      <c r="B1123" s="3" t="str">
        <f>IFERROR(__xludf.DUMMYFUNCTION("""COMPUTED_VALUE"""),"7530 BAMSEY DR")</f>
        <v>7530 BAMSEY DR</v>
      </c>
      <c r="C1123" s="3" t="str">
        <f>IFERROR(__xludf.DUMMYFUNCTION("""COMPUTED_VALUE"""),"HAMILTON TOWNSHIP")</f>
        <v>HAMILTON TOWNSHIP</v>
      </c>
      <c r="D1123" s="3" t="str">
        <f>IFERROR(__xludf.DUMMYFUNCTION("""COMPUTED_VALUE"""),"K0L 1E0")</f>
        <v>K0L 1E0</v>
      </c>
      <c r="E1123" s="3" t="str">
        <f>IFERROR(__xludf.DUMMYFUNCTION("""COMPUTED_VALUE"""),"Susan Thompson")</f>
        <v>Susan Thompson</v>
      </c>
      <c r="F1123" s="3" t="str">
        <f>IFERROR(__xludf.DUMMYFUNCTION("""COMPUTED_VALUE"""),"susankthompson@hotmail.com")</f>
        <v>susankthompson@hotmail.com</v>
      </c>
      <c r="G1123" s="3"/>
      <c r="H1123" s="3"/>
    </row>
    <row r="1124">
      <c r="A1124" s="2">
        <f>IFERROR(__xludf.DUMMYFUNCTION("""COMPUTED_VALUE"""),20092.0)</f>
        <v>20092</v>
      </c>
      <c r="B1124" s="3" t="str">
        <f>IFERROR(__xludf.DUMMYFUNCTION("""COMPUTED_VALUE"""),"7531 BAMSEY DR")</f>
        <v>7531 BAMSEY DR</v>
      </c>
      <c r="C1124" s="3" t="str">
        <f>IFERROR(__xludf.DUMMYFUNCTION("""COMPUTED_VALUE"""),"HAMILTON TOWNSHIP")</f>
        <v>HAMILTON TOWNSHIP</v>
      </c>
      <c r="D1124" s="3" t="str">
        <f>IFERROR(__xludf.DUMMYFUNCTION("""COMPUTED_VALUE"""),"K0L 1E0")</f>
        <v>K0L 1E0</v>
      </c>
      <c r="E1124" s="3"/>
      <c r="F1124" s="3"/>
      <c r="G1124" s="3"/>
      <c r="H1124" s="3"/>
    </row>
    <row r="1125">
      <c r="A1125" s="2">
        <f>IFERROR(__xludf.DUMMYFUNCTION("""COMPUTED_VALUE"""),20093.0)</f>
        <v>20093</v>
      </c>
      <c r="B1125" s="3" t="str">
        <f>IFERROR(__xludf.DUMMYFUNCTION("""COMPUTED_VALUE"""),"7540 BAMSEY DR")</f>
        <v>7540 BAMSEY DR</v>
      </c>
      <c r="C1125" s="3" t="str">
        <f>IFERROR(__xludf.DUMMYFUNCTION("""COMPUTED_VALUE"""),"HAMILTON TOWNSHIP")</f>
        <v>HAMILTON TOWNSHIP</v>
      </c>
      <c r="D1125" s="3" t="str">
        <f>IFERROR(__xludf.DUMMYFUNCTION("""COMPUTED_VALUE"""),"K0L 1E0")</f>
        <v>K0L 1E0</v>
      </c>
      <c r="E1125" s="3"/>
      <c r="F1125" s="3"/>
      <c r="G1125" s="3"/>
      <c r="H1125" s="3"/>
    </row>
    <row r="1126">
      <c r="A1126" s="2">
        <f>IFERROR(__xludf.DUMMYFUNCTION("""COMPUTED_VALUE"""),20094.0)</f>
        <v>20094</v>
      </c>
      <c r="B1126" s="3" t="str">
        <f>IFERROR(__xludf.DUMMYFUNCTION("""COMPUTED_VALUE"""),"7542 BAMSEY DR")</f>
        <v>7542 BAMSEY DR</v>
      </c>
      <c r="C1126" s="3" t="str">
        <f>IFERROR(__xludf.DUMMYFUNCTION("""COMPUTED_VALUE"""),"HAMILTON TOWNSHIP")</f>
        <v>HAMILTON TOWNSHIP</v>
      </c>
      <c r="D1126" s="3" t="str">
        <f>IFERROR(__xludf.DUMMYFUNCTION("""COMPUTED_VALUE"""),"K0L 1E0")</f>
        <v>K0L 1E0</v>
      </c>
      <c r="E1126" s="3" t="str">
        <f>IFERROR(__xludf.DUMMYFUNCTION("""COMPUTED_VALUE"""),"Kevin Parker")</f>
        <v>Kevin Parker</v>
      </c>
      <c r="F1126" s="3" t="str">
        <f>IFERROR(__xludf.DUMMYFUNCTION("""COMPUTED_VALUE"""),"kevin@parkerspad.com")</f>
        <v>kevin@parkerspad.com</v>
      </c>
      <c r="G1126" s="3"/>
      <c r="H1126" s="3"/>
    </row>
    <row r="1127">
      <c r="A1127" s="2">
        <f>IFERROR(__xludf.DUMMYFUNCTION("""COMPUTED_VALUE"""),20095.0)</f>
        <v>20095</v>
      </c>
      <c r="B1127" s="3" t="str">
        <f>IFERROR(__xludf.DUMMYFUNCTION("""COMPUTED_VALUE"""),"7543 BAMSEY DR")</f>
        <v>7543 BAMSEY DR</v>
      </c>
      <c r="C1127" s="3" t="str">
        <f>IFERROR(__xludf.DUMMYFUNCTION("""COMPUTED_VALUE"""),"HAMILTON TOWNSHIP")</f>
        <v>HAMILTON TOWNSHIP</v>
      </c>
      <c r="D1127" s="3" t="str">
        <f>IFERROR(__xludf.DUMMYFUNCTION("""COMPUTED_VALUE"""),"K0L 1E0")</f>
        <v>K0L 1E0</v>
      </c>
      <c r="E1127" s="3" t="str">
        <f>IFERROR(__xludf.DUMMYFUNCTION("""COMPUTED_VALUE"""),"Peter faracaster")</f>
        <v>Peter faracaster</v>
      </c>
      <c r="F1127" s="3" t="str">
        <f>IFERROR(__xludf.DUMMYFUNCTION("""COMPUTED_VALUE"""),"Faracaster@rogers.com")</f>
        <v>Faracaster@rogers.com</v>
      </c>
      <c r="G1127" s="3">
        <f>IFERROR(__xludf.DUMMYFUNCTION("""COMPUTED_VALUE"""),4.165260407E9)</f>
        <v>4165260407</v>
      </c>
      <c r="H1127" s="3"/>
    </row>
    <row r="1128">
      <c r="A1128" s="2">
        <f>IFERROR(__xludf.DUMMYFUNCTION("""COMPUTED_VALUE"""),20096.0)</f>
        <v>20096</v>
      </c>
      <c r="B1128" s="3" t="str">
        <f>IFERROR(__xludf.DUMMYFUNCTION("""COMPUTED_VALUE"""),"7546 BAMSEY DR")</f>
        <v>7546 BAMSEY DR</v>
      </c>
      <c r="C1128" s="3" t="str">
        <f>IFERROR(__xludf.DUMMYFUNCTION("""COMPUTED_VALUE"""),"HAMILTON TOWNSHIP")</f>
        <v>HAMILTON TOWNSHIP</v>
      </c>
      <c r="D1128" s="3" t="str">
        <f>IFERROR(__xludf.DUMMYFUNCTION("""COMPUTED_VALUE"""),"K0L 1E0")</f>
        <v>K0L 1E0</v>
      </c>
      <c r="E1128" s="3" t="str">
        <f>IFERROR(__xludf.DUMMYFUNCTION("""COMPUTED_VALUE"""),"Gabe Marcelli")</f>
        <v>Gabe Marcelli</v>
      </c>
      <c r="F1128" s="3"/>
      <c r="G1128" s="3"/>
      <c r="H1128" s="3"/>
    </row>
    <row r="1129">
      <c r="A1129" s="2">
        <f>IFERROR(__xludf.DUMMYFUNCTION("""COMPUTED_VALUE"""),20097.0)</f>
        <v>20097</v>
      </c>
      <c r="B1129" s="3" t="str">
        <f>IFERROR(__xludf.DUMMYFUNCTION("""COMPUTED_VALUE"""),"7551 BAMSEY DR")</f>
        <v>7551 BAMSEY DR</v>
      </c>
      <c r="C1129" s="3" t="str">
        <f>IFERROR(__xludf.DUMMYFUNCTION("""COMPUTED_VALUE"""),"HAMILTON TOWNSHIP")</f>
        <v>HAMILTON TOWNSHIP</v>
      </c>
      <c r="D1129" s="3" t="str">
        <f>IFERROR(__xludf.DUMMYFUNCTION("""COMPUTED_VALUE"""),"K0L 1E0")</f>
        <v>K0L 1E0</v>
      </c>
      <c r="E1129" s="3" t="str">
        <f>IFERROR(__xludf.DUMMYFUNCTION("""COMPUTED_VALUE"""),"Ian white")</f>
        <v>Ian white</v>
      </c>
      <c r="F1129" s="3" t="str">
        <f>IFERROR(__xludf.DUMMYFUNCTION("""COMPUTED_VALUE"""),"Ianwh459@gmail.com")</f>
        <v>Ianwh459@gmail.com</v>
      </c>
      <c r="G1129" s="3">
        <f>IFERROR(__xludf.DUMMYFUNCTION("""COMPUTED_VALUE"""),9.057184959E9)</f>
        <v>9057184959</v>
      </c>
      <c r="H1129" s="3"/>
    </row>
    <row r="1130">
      <c r="A1130" s="2">
        <f>IFERROR(__xludf.DUMMYFUNCTION("""COMPUTED_VALUE"""),20098.0)</f>
        <v>20098</v>
      </c>
      <c r="B1130" s="3" t="str">
        <f>IFERROR(__xludf.DUMMYFUNCTION("""COMPUTED_VALUE"""),"7554 BAMSEY DR")</f>
        <v>7554 BAMSEY DR</v>
      </c>
      <c r="C1130" s="3" t="str">
        <f>IFERROR(__xludf.DUMMYFUNCTION("""COMPUTED_VALUE"""),"HAMILTON TOWNSHIP")</f>
        <v>HAMILTON TOWNSHIP</v>
      </c>
      <c r="D1130" s="3" t="str">
        <f>IFERROR(__xludf.DUMMYFUNCTION("""COMPUTED_VALUE"""),"K0L 1E0")</f>
        <v>K0L 1E0</v>
      </c>
      <c r="E1130" s="3" t="str">
        <f>IFERROR(__xludf.DUMMYFUNCTION("""COMPUTED_VALUE"""),"Bonnie ")</f>
        <v>Bonnie </v>
      </c>
      <c r="F1130" s="3" t="str">
        <f>IFERROR(__xludf.DUMMYFUNCTION("""COMPUTED_VALUE"""),"bonniege007@hotmail.com")</f>
        <v>bonniege007@hotmail.com</v>
      </c>
      <c r="G1130" s="3"/>
      <c r="H1130" s="3"/>
    </row>
    <row r="1131">
      <c r="A1131" s="2">
        <f>IFERROR(__xludf.DUMMYFUNCTION("""COMPUTED_VALUE"""),20099.0)</f>
        <v>20099</v>
      </c>
      <c r="B1131" s="3" t="str">
        <f>IFERROR(__xludf.DUMMYFUNCTION("""COMPUTED_VALUE"""),"7560 BAMSEY DR")</f>
        <v>7560 BAMSEY DR</v>
      </c>
      <c r="C1131" s="3" t="str">
        <f>IFERROR(__xludf.DUMMYFUNCTION("""COMPUTED_VALUE"""),"HAMILTON TOWNSHIP")</f>
        <v>HAMILTON TOWNSHIP</v>
      </c>
      <c r="D1131" s="3" t="str">
        <f>IFERROR(__xludf.DUMMYFUNCTION("""COMPUTED_VALUE"""),"K0L 1E0")</f>
        <v>K0L 1E0</v>
      </c>
      <c r="E1131" s="3"/>
      <c r="F1131" s="3"/>
      <c r="G1131" s="3"/>
      <c r="H1131" s="3"/>
    </row>
    <row r="1132">
      <c r="A1132" s="2">
        <f>IFERROR(__xludf.DUMMYFUNCTION("""COMPUTED_VALUE"""),20100.0)</f>
        <v>20100</v>
      </c>
      <c r="B1132" s="3" t="str">
        <f>IFERROR(__xludf.DUMMYFUNCTION("""COMPUTED_VALUE"""),"7562 BAMSEY DR")</f>
        <v>7562 BAMSEY DR</v>
      </c>
      <c r="C1132" s="3" t="str">
        <f>IFERROR(__xludf.DUMMYFUNCTION("""COMPUTED_VALUE"""),"HAMILTON TOWNSHIP")</f>
        <v>HAMILTON TOWNSHIP</v>
      </c>
      <c r="D1132" s="3" t="str">
        <f>IFERROR(__xludf.DUMMYFUNCTION("""COMPUTED_VALUE"""),"K0L 1E0")</f>
        <v>K0L 1E0</v>
      </c>
      <c r="E1132" s="3" t="str">
        <f>IFERROR(__xludf.DUMMYFUNCTION("""COMPUTED_VALUE"""),"Tam and Theresa Seto")</f>
        <v>Tam and Theresa Seto</v>
      </c>
      <c r="F1132" s="3" t="str">
        <f>IFERROR(__xludf.DUMMYFUNCTION("""COMPUTED_VALUE"""),"tam.seto@gmail.com")</f>
        <v>tam.seto@gmail.com</v>
      </c>
      <c r="G1132" s="3">
        <f>IFERROR(__xludf.DUMMYFUNCTION("""COMPUTED_VALUE"""),4.167217111E9)</f>
        <v>4167217111</v>
      </c>
      <c r="H1132" s="3">
        <f>IFERROR(__xludf.DUMMYFUNCTION("""COMPUTED_VALUE"""),6.479810895E9)</f>
        <v>6479810895</v>
      </c>
    </row>
    <row r="1133">
      <c r="A1133" s="2">
        <f>IFERROR(__xludf.DUMMYFUNCTION("""COMPUTED_VALUE"""),20101.0)</f>
        <v>20101</v>
      </c>
      <c r="B1133" s="3" t="str">
        <f>IFERROR(__xludf.DUMMYFUNCTION("""COMPUTED_VALUE"""),"7570 BAMSEY DR")</f>
        <v>7570 BAMSEY DR</v>
      </c>
      <c r="C1133" s="3" t="str">
        <f>IFERROR(__xludf.DUMMYFUNCTION("""COMPUTED_VALUE"""),"HAMILTON TOWNSHIP")</f>
        <v>HAMILTON TOWNSHIP</v>
      </c>
      <c r="D1133" s="3" t="str">
        <f>IFERROR(__xludf.DUMMYFUNCTION("""COMPUTED_VALUE"""),"K0L 1E0")</f>
        <v>K0L 1E0</v>
      </c>
      <c r="E1133" s="3" t="str">
        <f>IFERROR(__xludf.DUMMYFUNCTION("""COMPUTED_VALUE"""),"William Minion ")</f>
        <v>William Minion </v>
      </c>
      <c r="F1133" s="3" t="str">
        <f>IFERROR(__xludf.DUMMYFUNCTION("""COMPUTED_VALUE"""),"billminion@gmail.com")</f>
        <v>billminion@gmail.com</v>
      </c>
      <c r="G1133" s="3"/>
      <c r="H1133" s="3"/>
    </row>
    <row r="1134">
      <c r="A1134" s="2">
        <f>IFERROR(__xludf.DUMMYFUNCTION("""COMPUTED_VALUE"""),20102.0)</f>
        <v>20102</v>
      </c>
      <c r="B1134" s="3" t="str">
        <f>IFERROR(__xludf.DUMMYFUNCTION("""COMPUTED_VALUE"""),"7576 BAMSEY DR")</f>
        <v>7576 BAMSEY DR</v>
      </c>
      <c r="C1134" s="3" t="str">
        <f>IFERROR(__xludf.DUMMYFUNCTION("""COMPUTED_VALUE"""),"HAMILTON TOWNSHIP")</f>
        <v>HAMILTON TOWNSHIP</v>
      </c>
      <c r="D1134" s="3" t="str">
        <f>IFERROR(__xludf.DUMMYFUNCTION("""COMPUTED_VALUE"""),"K0L 1E0")</f>
        <v>K0L 1E0</v>
      </c>
      <c r="E1134" s="3" t="str">
        <f>IFERROR(__xludf.DUMMYFUNCTION("""COMPUTED_VALUE"""),"Paul smith ")</f>
        <v>Paul smith </v>
      </c>
      <c r="F1134" s="3" t="str">
        <f>IFERROR(__xludf.DUMMYFUNCTION("""COMPUTED_VALUE"""),"Bigdreamhauler@hotmail.com")</f>
        <v>Bigdreamhauler@hotmail.com</v>
      </c>
      <c r="G1134" s="3">
        <f>IFERROR(__xludf.DUMMYFUNCTION("""COMPUTED_VALUE"""),9.05914789E9)</f>
        <v>9059147890</v>
      </c>
      <c r="H1134" s="3"/>
    </row>
    <row r="1135">
      <c r="A1135" s="2">
        <f>IFERROR(__xludf.DUMMYFUNCTION("""COMPUTED_VALUE"""),20103.0)</f>
        <v>20103</v>
      </c>
      <c r="B1135" s="3" t="str">
        <f>IFERROR(__xludf.DUMMYFUNCTION("""COMPUTED_VALUE"""),"7579 BAMSEY DR")</f>
        <v>7579 BAMSEY DR</v>
      </c>
      <c r="C1135" s="3" t="str">
        <f>IFERROR(__xludf.DUMMYFUNCTION("""COMPUTED_VALUE"""),"HAMILTON TOWNSHIP")</f>
        <v>HAMILTON TOWNSHIP</v>
      </c>
      <c r="D1135" s="3" t="str">
        <f>IFERROR(__xludf.DUMMYFUNCTION("""COMPUTED_VALUE"""),"K0L 1E0")</f>
        <v>K0L 1E0</v>
      </c>
      <c r="E1135" s="3" t="str">
        <f>IFERROR(__xludf.DUMMYFUNCTION("""COMPUTED_VALUE"""),"Adrian Spiering")</f>
        <v>Adrian Spiering</v>
      </c>
      <c r="F1135" s="3" t="str">
        <f>IFERROR(__xludf.DUMMYFUNCTION("""COMPUTED_VALUE"""),"adrian.spiering@gmail.com")</f>
        <v>adrian.spiering@gmail.com</v>
      </c>
      <c r="G1135" s="3">
        <f>IFERROR(__xludf.DUMMYFUNCTION("""COMPUTED_VALUE"""),2.896004189E9)</f>
        <v>2896004189</v>
      </c>
      <c r="H1135" s="3"/>
    </row>
    <row r="1136">
      <c r="A1136" s="2">
        <f>IFERROR(__xludf.DUMMYFUNCTION("""COMPUTED_VALUE"""),20104.0)</f>
        <v>20104</v>
      </c>
      <c r="B1136" s="3" t="str">
        <f>IFERROR(__xludf.DUMMYFUNCTION("""COMPUTED_VALUE"""),"7582 BAMSEY DR")</f>
        <v>7582 BAMSEY DR</v>
      </c>
      <c r="C1136" s="3" t="str">
        <f>IFERROR(__xludf.DUMMYFUNCTION("""COMPUTED_VALUE"""),"HAMILTON TOWNSHIP")</f>
        <v>HAMILTON TOWNSHIP</v>
      </c>
      <c r="D1136" s="3" t="str">
        <f>IFERROR(__xludf.DUMMYFUNCTION("""COMPUTED_VALUE"""),"K0L 1E0")</f>
        <v>K0L 1E0</v>
      </c>
      <c r="E1136" s="3"/>
      <c r="F1136" s="3"/>
      <c r="G1136" s="3"/>
      <c r="H1136" s="3"/>
    </row>
    <row r="1137">
      <c r="A1137" s="2">
        <f>IFERROR(__xludf.DUMMYFUNCTION("""COMPUTED_VALUE"""),20105.0)</f>
        <v>20105</v>
      </c>
      <c r="B1137" s="3" t="str">
        <f>IFERROR(__xludf.DUMMYFUNCTION("""COMPUTED_VALUE"""),"7588 BAMSEY DR")</f>
        <v>7588 BAMSEY DR</v>
      </c>
      <c r="C1137" s="3" t="str">
        <f>IFERROR(__xludf.DUMMYFUNCTION("""COMPUTED_VALUE"""),"HAMILTON TOWNSHIP")</f>
        <v>HAMILTON TOWNSHIP</v>
      </c>
      <c r="D1137" s="3" t="str">
        <f>IFERROR(__xludf.DUMMYFUNCTION("""COMPUTED_VALUE"""),"K0L 1E0")</f>
        <v>K0L 1E0</v>
      </c>
      <c r="E1137" s="3" t="str">
        <f>IFERROR(__xludf.DUMMYFUNCTION("""COMPUTED_VALUE"""),"Brad Davison ")</f>
        <v>Brad Davison </v>
      </c>
      <c r="F1137" s="3" t="str">
        <f>IFERROR(__xludf.DUMMYFUNCTION("""COMPUTED_VALUE"""),"Bradhsavison@gmail.com")</f>
        <v>Bradhsavison@gmail.com</v>
      </c>
      <c r="G1137" s="3">
        <f>IFERROR(__xludf.DUMMYFUNCTION("""COMPUTED_VALUE"""),4.166480609E9)</f>
        <v>4166480609</v>
      </c>
      <c r="H1137" s="3"/>
    </row>
    <row r="1138">
      <c r="A1138" s="2">
        <f>IFERROR(__xludf.DUMMYFUNCTION("""COMPUTED_VALUE"""),23930.0)</f>
        <v>23930</v>
      </c>
      <c r="B1138" s="3" t="str">
        <f>IFERROR(__xludf.DUMMYFUNCTION("""COMPUTED_VALUE"""),"7593 BAMSEY DR")</f>
        <v>7593 BAMSEY DR</v>
      </c>
      <c r="C1138" s="3" t="str">
        <f>IFERROR(__xludf.DUMMYFUNCTION("""COMPUTED_VALUE"""),"HAMILTON TOWNSHIP")</f>
        <v>HAMILTON TOWNSHIP</v>
      </c>
      <c r="D1138" s="3" t="str">
        <f>IFERROR(__xludf.DUMMYFUNCTION("""COMPUTED_VALUE"""),"K0L 1E0")</f>
        <v>K0L 1E0</v>
      </c>
      <c r="E1138" s="3" t="str">
        <f>IFERROR(__xludf.DUMMYFUNCTION("""COMPUTED_VALUE"""),"Nolen Ryckman")</f>
        <v>Nolen Ryckman</v>
      </c>
      <c r="F1138" s="3" t="str">
        <f>IFERROR(__xludf.DUMMYFUNCTION("""COMPUTED_VALUE"""),"nolen.ryckman@gmail.com")</f>
        <v>nolen.ryckman@gmail.com</v>
      </c>
      <c r="G1138" s="3">
        <f>IFERROR(__xludf.DUMMYFUNCTION("""COMPUTED_VALUE"""),4.164346135E9)</f>
        <v>4164346135</v>
      </c>
      <c r="H1138" s="3"/>
    </row>
    <row r="1139">
      <c r="A1139" s="2">
        <f>IFERROR(__xludf.DUMMYFUNCTION("""COMPUTED_VALUE"""),20106.0)</f>
        <v>20106</v>
      </c>
      <c r="B1139" s="3" t="str">
        <f>IFERROR(__xludf.DUMMYFUNCTION("""COMPUTED_VALUE"""),"7594 BAMSEY DR")</f>
        <v>7594 BAMSEY DR</v>
      </c>
      <c r="C1139" s="3" t="str">
        <f>IFERROR(__xludf.DUMMYFUNCTION("""COMPUTED_VALUE"""),"HAMILTON TOWNSHIP")</f>
        <v>HAMILTON TOWNSHIP</v>
      </c>
      <c r="D1139" s="3" t="str">
        <f>IFERROR(__xludf.DUMMYFUNCTION("""COMPUTED_VALUE"""),"K0L 1E0")</f>
        <v>K0L 1E0</v>
      </c>
      <c r="E1139" s="3" t="str">
        <f>IFERROR(__xludf.DUMMYFUNCTION("""COMPUTED_VALUE"""),"Nadine Thomas")</f>
        <v>Nadine Thomas</v>
      </c>
      <c r="F1139" s="3" t="str">
        <f>IFERROR(__xludf.DUMMYFUNCTION("""COMPUTED_VALUE"""),"nadine_thomas@hotmail.com")</f>
        <v>nadine_thomas@hotmail.com</v>
      </c>
      <c r="G1139" s="3"/>
      <c r="H1139" s="3"/>
    </row>
    <row r="1140">
      <c r="A1140" s="2">
        <f>IFERROR(__xludf.DUMMYFUNCTION("""COMPUTED_VALUE"""),20107.0)</f>
        <v>20107</v>
      </c>
      <c r="B1140" s="3" t="str">
        <f>IFERROR(__xludf.DUMMYFUNCTION("""COMPUTED_VALUE"""),"7608 BAMSEY DR")</f>
        <v>7608 BAMSEY DR</v>
      </c>
      <c r="C1140" s="3" t="str">
        <f>IFERROR(__xludf.DUMMYFUNCTION("""COMPUTED_VALUE"""),"HAMILTON TOWNSHIP")</f>
        <v>HAMILTON TOWNSHIP</v>
      </c>
      <c r="D1140" s="3" t="str">
        <f>IFERROR(__xludf.DUMMYFUNCTION("""COMPUTED_VALUE"""),"K0L 1E0")</f>
        <v>K0L 1E0</v>
      </c>
      <c r="E1140" s="3" t="str">
        <f>IFERROR(__xludf.DUMMYFUNCTION("""COMPUTED_VALUE"""),"Dianne Overholt")</f>
        <v>Dianne Overholt</v>
      </c>
      <c r="F1140" s="3" t="str">
        <f>IFERROR(__xludf.DUMMYFUNCTION("""COMPUTED_VALUE"""),"manddoverholt@gmail.com")</f>
        <v>manddoverholt@gmail.com</v>
      </c>
      <c r="G1140" s="3"/>
      <c r="H1140" s="3"/>
    </row>
    <row r="1141">
      <c r="A1141" s="2">
        <f>IFERROR(__xludf.DUMMYFUNCTION("""COMPUTED_VALUE"""),20108.0)</f>
        <v>20108</v>
      </c>
      <c r="B1141" s="3" t="str">
        <f>IFERROR(__xludf.DUMMYFUNCTION("""COMPUTED_VALUE"""),"7614 BAMSEY DR")</f>
        <v>7614 BAMSEY DR</v>
      </c>
      <c r="C1141" s="3" t="str">
        <f>IFERROR(__xludf.DUMMYFUNCTION("""COMPUTED_VALUE"""),"HAMILTON TOWNSHIP")</f>
        <v>HAMILTON TOWNSHIP</v>
      </c>
      <c r="D1141" s="3" t="str">
        <f>IFERROR(__xludf.DUMMYFUNCTION("""COMPUTED_VALUE"""),"K0L 1E0")</f>
        <v>K0L 1E0</v>
      </c>
      <c r="E1141" s="3"/>
      <c r="F1141" s="3"/>
      <c r="G1141" s="3"/>
      <c r="H1141" s="3"/>
    </row>
    <row r="1142">
      <c r="A1142" s="2">
        <f>IFERROR(__xludf.DUMMYFUNCTION("""COMPUTED_VALUE"""),20109.0)</f>
        <v>20109</v>
      </c>
      <c r="B1142" s="3" t="str">
        <f>IFERROR(__xludf.DUMMYFUNCTION("""COMPUTED_VALUE"""),"7619 BAMSEY DR")</f>
        <v>7619 BAMSEY DR</v>
      </c>
      <c r="C1142" s="3" t="str">
        <f>IFERROR(__xludf.DUMMYFUNCTION("""COMPUTED_VALUE"""),"HAMILTON TOWNSHIP")</f>
        <v>HAMILTON TOWNSHIP</v>
      </c>
      <c r="D1142" s="3" t="str">
        <f>IFERROR(__xludf.DUMMYFUNCTION("""COMPUTED_VALUE"""),"K0L 1E0")</f>
        <v>K0L 1E0</v>
      </c>
      <c r="E1142" s="3" t="str">
        <f>IFERROR(__xludf.DUMMYFUNCTION("""COMPUTED_VALUE"""),"Jordie Westbrook")</f>
        <v>Jordie Westbrook</v>
      </c>
      <c r="F1142" s="3" t="str">
        <f>IFERROR(__xludf.DUMMYFUNCTION("""COMPUTED_VALUE"""),"jk-westbrook@hotmail.com")</f>
        <v>jk-westbrook@hotmail.com</v>
      </c>
      <c r="G1142" s="3">
        <f>IFERROR(__xludf.DUMMYFUNCTION("""COMPUTED_VALUE"""),7.059280996E9)</f>
        <v>7059280996</v>
      </c>
      <c r="H1142" s="3"/>
    </row>
    <row r="1143">
      <c r="A1143" s="2">
        <f>IFERROR(__xludf.DUMMYFUNCTION("""COMPUTED_VALUE"""),20110.0)</f>
        <v>20110</v>
      </c>
      <c r="B1143" s="3" t="str">
        <f>IFERROR(__xludf.DUMMYFUNCTION("""COMPUTED_VALUE"""),"7620 BAMSEY DR")</f>
        <v>7620 BAMSEY DR</v>
      </c>
      <c r="C1143" s="3" t="str">
        <f>IFERROR(__xludf.DUMMYFUNCTION("""COMPUTED_VALUE"""),"HAMILTON TOWNSHIP")</f>
        <v>HAMILTON TOWNSHIP</v>
      </c>
      <c r="D1143" s="3" t="str">
        <f>IFERROR(__xludf.DUMMYFUNCTION("""COMPUTED_VALUE"""),"K0L 1E0")</f>
        <v>K0L 1E0</v>
      </c>
      <c r="E1143" s="3"/>
      <c r="F1143" s="3"/>
      <c r="G1143" s="3"/>
      <c r="H1143" s="3"/>
    </row>
    <row r="1144">
      <c r="A1144" s="2">
        <f>IFERROR(__xludf.DUMMYFUNCTION("""COMPUTED_VALUE"""),20111.0)</f>
        <v>20111</v>
      </c>
      <c r="B1144" s="3" t="str">
        <f>IFERROR(__xludf.DUMMYFUNCTION("""COMPUTED_VALUE"""),"7624 BAMSEY DR")</f>
        <v>7624 BAMSEY DR</v>
      </c>
      <c r="C1144" s="3" t="str">
        <f>IFERROR(__xludf.DUMMYFUNCTION("""COMPUTED_VALUE"""),"HAMILTON TOWNSHIP")</f>
        <v>HAMILTON TOWNSHIP</v>
      </c>
      <c r="D1144" s="3" t="str">
        <f>IFERROR(__xludf.DUMMYFUNCTION("""COMPUTED_VALUE"""),"K0L 1E0")</f>
        <v>K0L 1E0</v>
      </c>
      <c r="E1144" s="3"/>
      <c r="F1144" s="3"/>
      <c r="G1144" s="3"/>
      <c r="H1144" s="3"/>
    </row>
    <row r="1145">
      <c r="A1145" s="2">
        <f>IFERROR(__xludf.DUMMYFUNCTION("""COMPUTED_VALUE"""),20112.0)</f>
        <v>20112</v>
      </c>
      <c r="B1145" s="3" t="str">
        <f>IFERROR(__xludf.DUMMYFUNCTION("""COMPUTED_VALUE"""),"7625 BAMSEY DR")</f>
        <v>7625 BAMSEY DR</v>
      </c>
      <c r="C1145" s="3" t="str">
        <f>IFERROR(__xludf.DUMMYFUNCTION("""COMPUTED_VALUE"""),"HAMILTON TOWNSHIP")</f>
        <v>HAMILTON TOWNSHIP</v>
      </c>
      <c r="D1145" s="3" t="str">
        <f>IFERROR(__xludf.DUMMYFUNCTION("""COMPUTED_VALUE"""),"K0L 1E0")</f>
        <v>K0L 1E0</v>
      </c>
      <c r="E1145" s="3"/>
      <c r="F1145" s="3"/>
      <c r="G1145" s="3"/>
      <c r="H1145" s="3"/>
    </row>
    <row r="1146">
      <c r="A1146" s="2">
        <f>IFERROR(__xludf.DUMMYFUNCTION("""COMPUTED_VALUE"""),20113.0)</f>
        <v>20113</v>
      </c>
      <c r="B1146" s="3" t="str">
        <f>IFERROR(__xludf.DUMMYFUNCTION("""COMPUTED_VALUE"""),"7630 BAMSEY DR")</f>
        <v>7630 BAMSEY DR</v>
      </c>
      <c r="C1146" s="3" t="str">
        <f>IFERROR(__xludf.DUMMYFUNCTION("""COMPUTED_VALUE"""),"HAMILTON TOWNSHIP")</f>
        <v>HAMILTON TOWNSHIP</v>
      </c>
      <c r="D1146" s="3" t="str">
        <f>IFERROR(__xludf.DUMMYFUNCTION("""COMPUTED_VALUE"""),"K0L 1E0")</f>
        <v>K0L 1E0</v>
      </c>
      <c r="E1146" s="3" t="str">
        <f>IFERROR(__xludf.DUMMYFUNCTION("""COMPUTED_VALUE"""),"Robert Henry Cook")</f>
        <v>Robert Henry Cook</v>
      </c>
      <c r="F1146" s="3" t="str">
        <f>IFERROR(__xludf.DUMMYFUNCTION("""COMPUTED_VALUE"""),"bobandglendscook@gmail.com")</f>
        <v>bobandglendscook@gmail.com</v>
      </c>
      <c r="G1146" s="3">
        <f>IFERROR(__xludf.DUMMYFUNCTION("""COMPUTED_VALUE"""),4.167559747E9)</f>
        <v>4167559747</v>
      </c>
      <c r="H1146" s="3"/>
    </row>
    <row r="1147">
      <c r="A1147" s="2">
        <f>IFERROR(__xludf.DUMMYFUNCTION("""COMPUTED_VALUE"""),20114.0)</f>
        <v>20114</v>
      </c>
      <c r="B1147" s="3" t="str">
        <f>IFERROR(__xludf.DUMMYFUNCTION("""COMPUTED_VALUE"""),"7634 BAMSEY DR")</f>
        <v>7634 BAMSEY DR</v>
      </c>
      <c r="C1147" s="3" t="str">
        <f>IFERROR(__xludf.DUMMYFUNCTION("""COMPUTED_VALUE"""),"HAMILTON TOWNSHIP")</f>
        <v>HAMILTON TOWNSHIP</v>
      </c>
      <c r="D1147" s="3" t="str">
        <f>IFERROR(__xludf.DUMMYFUNCTION("""COMPUTED_VALUE"""),"K0L 1E0")</f>
        <v>K0L 1E0</v>
      </c>
      <c r="E1147" s="3" t="str">
        <f>IFERROR(__xludf.DUMMYFUNCTION("""COMPUTED_VALUE"""),"Dan Linker")</f>
        <v>Dan Linker</v>
      </c>
      <c r="F1147" s="3" t="str">
        <f>IFERROR(__xludf.DUMMYFUNCTION("""COMPUTED_VALUE"""),"benninglink@gmail.com")</f>
        <v>benninglink@gmail.com</v>
      </c>
      <c r="G1147" s="3">
        <f>IFERROR(__xludf.DUMMYFUNCTION("""COMPUTED_VALUE"""),9.053961039E9)</f>
        <v>9053961039</v>
      </c>
      <c r="H1147" s="3">
        <f>IFERROR(__xludf.DUMMYFUNCTION("""COMPUTED_VALUE"""),9.058851042E9)</f>
        <v>9058851042</v>
      </c>
    </row>
    <row r="1148">
      <c r="A1148" s="2">
        <f>IFERROR(__xludf.DUMMYFUNCTION("""COMPUTED_VALUE"""),20115.0)</f>
        <v>20115</v>
      </c>
      <c r="B1148" s="3" t="str">
        <f>IFERROR(__xludf.DUMMYFUNCTION("""COMPUTED_VALUE"""),"7642 BAMSEY DR")</f>
        <v>7642 BAMSEY DR</v>
      </c>
      <c r="C1148" s="3" t="str">
        <f>IFERROR(__xludf.DUMMYFUNCTION("""COMPUTED_VALUE"""),"HAMILTON TOWNSHIP")</f>
        <v>HAMILTON TOWNSHIP</v>
      </c>
      <c r="D1148" s="3" t="str">
        <f>IFERROR(__xludf.DUMMYFUNCTION("""COMPUTED_VALUE"""),"K0L 1E0")</f>
        <v>K0L 1E0</v>
      </c>
      <c r="E1148" s="3" t="str">
        <f>IFERROR(__xludf.DUMMYFUNCTION("""COMPUTED_VALUE"""),"Bonnie Palmer")</f>
        <v>Bonnie Palmer</v>
      </c>
      <c r="F1148" s="3" t="str">
        <f>IFERROR(__xludf.DUMMYFUNCTION("""COMPUTED_VALUE"""),"bonnie.palmer@live.com")</f>
        <v>bonnie.palmer@live.com</v>
      </c>
      <c r="G1148" s="3"/>
      <c r="H1148" s="3"/>
    </row>
    <row r="1149">
      <c r="A1149" s="2">
        <f>IFERROR(__xludf.DUMMYFUNCTION("""COMPUTED_VALUE"""),20116.0)</f>
        <v>20116</v>
      </c>
      <c r="B1149" s="3" t="str">
        <f>IFERROR(__xludf.DUMMYFUNCTION("""COMPUTED_VALUE"""),"7644 BAMSEY DR")</f>
        <v>7644 BAMSEY DR</v>
      </c>
      <c r="C1149" s="3" t="str">
        <f>IFERROR(__xludf.DUMMYFUNCTION("""COMPUTED_VALUE"""),"HAMILTON TOWNSHIP")</f>
        <v>HAMILTON TOWNSHIP</v>
      </c>
      <c r="D1149" s="3" t="str">
        <f>IFERROR(__xludf.DUMMYFUNCTION("""COMPUTED_VALUE"""),"K0L 1E0")</f>
        <v>K0L 1E0</v>
      </c>
      <c r="E1149" s="3"/>
      <c r="F1149" s="3"/>
      <c r="G1149" s="3"/>
      <c r="H1149" s="3"/>
    </row>
    <row r="1150">
      <c r="A1150" s="2">
        <f>IFERROR(__xludf.DUMMYFUNCTION("""COMPUTED_VALUE"""),20117.0)</f>
        <v>20117</v>
      </c>
      <c r="B1150" s="3" t="str">
        <f>IFERROR(__xludf.DUMMYFUNCTION("""COMPUTED_VALUE"""),"7648 BAMSEY DR")</f>
        <v>7648 BAMSEY DR</v>
      </c>
      <c r="C1150" s="3" t="str">
        <f>IFERROR(__xludf.DUMMYFUNCTION("""COMPUTED_VALUE"""),"HAMILTON TOWNSHIP")</f>
        <v>HAMILTON TOWNSHIP</v>
      </c>
      <c r="D1150" s="3" t="str">
        <f>IFERROR(__xludf.DUMMYFUNCTION("""COMPUTED_VALUE"""),"K0L 1E0")</f>
        <v>K0L 1E0</v>
      </c>
      <c r="E1150" s="3" t="str">
        <f>IFERROR(__xludf.DUMMYFUNCTION("""COMPUTED_VALUE"""),"Aaron Pollett")</f>
        <v>Aaron Pollett</v>
      </c>
      <c r="F1150" s="3" t="str">
        <f>IFERROR(__xludf.DUMMYFUNCTION("""COMPUTED_VALUE"""),"aaronpollett@gmail.com")</f>
        <v>aaronpollett@gmail.com</v>
      </c>
      <c r="G1150" s="3">
        <f>IFERROR(__xludf.DUMMYFUNCTION("""COMPUTED_VALUE"""),6.478221278E9)</f>
        <v>6478221278</v>
      </c>
      <c r="H1150" s="3"/>
    </row>
    <row r="1151">
      <c r="A1151" s="2">
        <f>IFERROR(__xludf.DUMMYFUNCTION("""COMPUTED_VALUE"""),20118.0)</f>
        <v>20118</v>
      </c>
      <c r="B1151" s="3" t="str">
        <f>IFERROR(__xludf.DUMMYFUNCTION("""COMPUTED_VALUE"""),"7650 BAMSEY DR")</f>
        <v>7650 BAMSEY DR</v>
      </c>
      <c r="C1151" s="3" t="str">
        <f>IFERROR(__xludf.DUMMYFUNCTION("""COMPUTED_VALUE"""),"HAMILTON TOWNSHIP")</f>
        <v>HAMILTON TOWNSHIP</v>
      </c>
      <c r="D1151" s="3" t="str">
        <f>IFERROR(__xludf.DUMMYFUNCTION("""COMPUTED_VALUE"""),"K0L 1E0")</f>
        <v>K0L 1E0</v>
      </c>
      <c r="E1151" s="3" t="str">
        <f>IFERROR(__xludf.DUMMYFUNCTION("""COMPUTED_VALUE"""),"Hank Pietens")</f>
        <v>Hank Pietens</v>
      </c>
      <c r="F1151" s="3" t="str">
        <f>IFERROR(__xludf.DUMMYFUNCTION("""COMPUTED_VALUE"""),"hankpietens@gmail.com")</f>
        <v>hankpietens@gmail.com</v>
      </c>
      <c r="G1151" s="3">
        <f>IFERROR(__xludf.DUMMYFUNCTION("""COMPUTED_VALUE"""),9.053429667E9)</f>
        <v>9053429667</v>
      </c>
      <c r="H1151" s="3">
        <f>IFERROR(__xludf.DUMMYFUNCTION("""COMPUTED_VALUE"""),2.892515286E9)</f>
        <v>2892515286</v>
      </c>
    </row>
    <row r="1152">
      <c r="A1152" s="2">
        <f>IFERROR(__xludf.DUMMYFUNCTION("""COMPUTED_VALUE"""),20119.0)</f>
        <v>20119</v>
      </c>
      <c r="B1152" s="3" t="str">
        <f>IFERROR(__xludf.DUMMYFUNCTION("""COMPUTED_VALUE"""),"7652 BAMSEY DR")</f>
        <v>7652 BAMSEY DR</v>
      </c>
      <c r="C1152" s="3" t="str">
        <f>IFERROR(__xludf.DUMMYFUNCTION("""COMPUTED_VALUE"""),"HAMILTON TOWNSHIP")</f>
        <v>HAMILTON TOWNSHIP</v>
      </c>
      <c r="D1152" s="3" t="str">
        <f>IFERROR(__xludf.DUMMYFUNCTION("""COMPUTED_VALUE"""),"K0L 1E0")</f>
        <v>K0L 1E0</v>
      </c>
      <c r="E1152" s="3"/>
      <c r="F1152" s="3"/>
      <c r="G1152" s="3"/>
      <c r="H1152" s="3"/>
    </row>
    <row r="1153">
      <c r="A1153" s="2">
        <f>IFERROR(__xludf.DUMMYFUNCTION("""COMPUTED_VALUE"""),20120.0)</f>
        <v>20120</v>
      </c>
      <c r="B1153" s="3" t="str">
        <f>IFERROR(__xludf.DUMMYFUNCTION("""COMPUTED_VALUE"""),"7656 BAMSEY DR")</f>
        <v>7656 BAMSEY DR</v>
      </c>
      <c r="C1153" s="3" t="str">
        <f>IFERROR(__xludf.DUMMYFUNCTION("""COMPUTED_VALUE"""),"HAMILTON TOWNSHIP")</f>
        <v>HAMILTON TOWNSHIP</v>
      </c>
      <c r="D1153" s="3" t="str">
        <f>IFERROR(__xludf.DUMMYFUNCTION("""COMPUTED_VALUE"""),"K0L 1E0")</f>
        <v>K0L 1E0</v>
      </c>
      <c r="E1153" s="3" t="str">
        <f>IFERROR(__xludf.DUMMYFUNCTION("""COMPUTED_VALUE"""),"Michelle Kane ")</f>
        <v>Michelle Kane </v>
      </c>
      <c r="F1153" s="3" t="str">
        <f>IFERROR(__xludf.DUMMYFUNCTION("""COMPUTED_VALUE"""),"Kanemichelle@yahoo.com")</f>
        <v>Kanemichelle@yahoo.com</v>
      </c>
      <c r="G1153" s="3">
        <f>IFERROR(__xludf.DUMMYFUNCTION("""COMPUTED_VALUE"""),4.166662726E9)</f>
        <v>4166662726</v>
      </c>
      <c r="H1153" s="3">
        <f>IFERROR(__xludf.DUMMYFUNCTION("""COMPUTED_VALUE"""),4.162728901E9)</f>
        <v>4162728901</v>
      </c>
    </row>
    <row r="1154">
      <c r="A1154" s="2">
        <f>IFERROR(__xludf.DUMMYFUNCTION("""COMPUTED_VALUE"""),20121.0)</f>
        <v>20121</v>
      </c>
      <c r="B1154" s="3" t="str">
        <f>IFERROR(__xludf.DUMMYFUNCTION("""COMPUTED_VALUE"""),"7662 BAMSEY DR")</f>
        <v>7662 BAMSEY DR</v>
      </c>
      <c r="C1154" s="3" t="str">
        <f>IFERROR(__xludf.DUMMYFUNCTION("""COMPUTED_VALUE"""),"HAMILTON TOWNSHIP")</f>
        <v>HAMILTON TOWNSHIP</v>
      </c>
      <c r="D1154" s="3" t="str">
        <f>IFERROR(__xludf.DUMMYFUNCTION("""COMPUTED_VALUE"""),"K0L 1E0")</f>
        <v>K0L 1E0</v>
      </c>
      <c r="E1154" s="3" t="str">
        <f>IFERROR(__xludf.DUMMYFUNCTION("""COMPUTED_VALUE"""),"Andrew burns ")</f>
        <v>Andrew burns </v>
      </c>
      <c r="F1154" s="3" t="str">
        <f>IFERROR(__xludf.DUMMYFUNCTION("""COMPUTED_VALUE"""),"Aburns@huntlegal.ca")</f>
        <v>Aburns@huntlegal.ca</v>
      </c>
      <c r="G1154" s="3">
        <f>IFERROR(__xludf.DUMMYFUNCTION("""COMPUTED_VALUE"""),6.479997476E9)</f>
        <v>6479997476</v>
      </c>
      <c r="H1154" s="3">
        <f>IFERROR(__xludf.DUMMYFUNCTION("""COMPUTED_VALUE"""),4.169936424E9)</f>
        <v>4169936424</v>
      </c>
    </row>
    <row r="1155">
      <c r="A1155" s="2">
        <f>IFERROR(__xludf.DUMMYFUNCTION("""COMPUTED_VALUE"""),20122.0)</f>
        <v>20122</v>
      </c>
      <c r="B1155" s="3" t="str">
        <f>IFERROR(__xludf.DUMMYFUNCTION("""COMPUTED_VALUE"""),"7668 BAMSEY DR")</f>
        <v>7668 BAMSEY DR</v>
      </c>
      <c r="C1155" s="3" t="str">
        <f>IFERROR(__xludf.DUMMYFUNCTION("""COMPUTED_VALUE"""),"HAMILTON TOWNSHIP")</f>
        <v>HAMILTON TOWNSHIP</v>
      </c>
      <c r="D1155" s="3" t="str">
        <f>IFERROR(__xludf.DUMMYFUNCTION("""COMPUTED_VALUE"""),"K0L 1E0")</f>
        <v>K0L 1E0</v>
      </c>
      <c r="E1155" s="3" t="str">
        <f>IFERROR(__xludf.DUMMYFUNCTION("""COMPUTED_VALUE"""),"Jocelyn Stubbs")</f>
        <v>Jocelyn Stubbs</v>
      </c>
      <c r="F1155" s="3" t="str">
        <f>IFERROR(__xludf.DUMMYFUNCTION("""COMPUTED_VALUE"""),"jocelynstubbs.js@gmail.com")</f>
        <v>jocelynstubbs.js@gmail.com</v>
      </c>
      <c r="G1155" s="3">
        <f>IFERROR(__xludf.DUMMYFUNCTION("""COMPUTED_VALUE"""),7.059574393E9)</f>
        <v>7059574393</v>
      </c>
      <c r="H1155" s="3">
        <f>IFERROR(__xludf.DUMMYFUNCTION("""COMPUTED_VALUE"""),2.892511611E9)</f>
        <v>2892511611</v>
      </c>
    </row>
    <row r="1156">
      <c r="A1156" s="2">
        <f>IFERROR(__xludf.DUMMYFUNCTION("""COMPUTED_VALUE"""),20123.0)</f>
        <v>20123</v>
      </c>
      <c r="B1156" s="3" t="str">
        <f>IFERROR(__xludf.DUMMYFUNCTION("""COMPUTED_VALUE"""),"7672 BAMSEY DR")</f>
        <v>7672 BAMSEY DR</v>
      </c>
      <c r="C1156" s="3" t="str">
        <f>IFERROR(__xludf.DUMMYFUNCTION("""COMPUTED_VALUE"""),"HAMILTON TOWNSHIP")</f>
        <v>HAMILTON TOWNSHIP</v>
      </c>
      <c r="D1156" s="3" t="str">
        <f>IFERROR(__xludf.DUMMYFUNCTION("""COMPUTED_VALUE"""),"K0L 1E0")</f>
        <v>K0L 1E0</v>
      </c>
      <c r="E1156" s="3"/>
      <c r="F1156" s="3"/>
      <c r="G1156" s="3"/>
      <c r="H1156" s="3"/>
    </row>
    <row r="1157">
      <c r="A1157" s="2">
        <f>IFERROR(__xludf.DUMMYFUNCTION("""COMPUTED_VALUE"""),20124.0)</f>
        <v>20124</v>
      </c>
      <c r="B1157" s="3" t="str">
        <f>IFERROR(__xludf.DUMMYFUNCTION("""COMPUTED_VALUE"""),"7676 BAMSEY DR")</f>
        <v>7676 BAMSEY DR</v>
      </c>
      <c r="C1157" s="3" t="str">
        <f>IFERROR(__xludf.DUMMYFUNCTION("""COMPUTED_VALUE"""),"HAMILTON TOWNSHIP")</f>
        <v>HAMILTON TOWNSHIP</v>
      </c>
      <c r="D1157" s="3" t="str">
        <f>IFERROR(__xludf.DUMMYFUNCTION("""COMPUTED_VALUE"""),"K0L 1E0")</f>
        <v>K0L 1E0</v>
      </c>
      <c r="E1157" s="3" t="str">
        <f>IFERROR(__xludf.DUMMYFUNCTION("""COMPUTED_VALUE"""),"megan coleman")</f>
        <v>megan coleman</v>
      </c>
      <c r="F1157" s="3"/>
      <c r="G1157" s="3">
        <f>IFERROR(__xludf.DUMMYFUNCTION("""COMPUTED_VALUE"""),4.167712388E9)</f>
        <v>4167712388</v>
      </c>
      <c r="H1157" s="3"/>
    </row>
    <row r="1158">
      <c r="A1158" s="2">
        <f>IFERROR(__xludf.DUMMYFUNCTION("""COMPUTED_VALUE"""),20125.0)</f>
        <v>20125</v>
      </c>
      <c r="B1158" s="3" t="str">
        <f>IFERROR(__xludf.DUMMYFUNCTION("""COMPUTED_VALUE"""),"7685 BAMSEY DR SUITE 105")</f>
        <v>7685 BAMSEY DR SUITE 105</v>
      </c>
      <c r="C1158" s="3" t="str">
        <f>IFERROR(__xludf.DUMMYFUNCTION("""COMPUTED_VALUE"""),"HAMILTON TOWNSHIP")</f>
        <v>HAMILTON TOWNSHIP</v>
      </c>
      <c r="D1158" s="3" t="str">
        <f>IFERROR(__xludf.DUMMYFUNCTION("""COMPUTED_VALUE"""),"K0L 1E0")</f>
        <v>K0L 1E0</v>
      </c>
      <c r="E1158" s="3"/>
      <c r="F1158" s="3"/>
      <c r="G1158" s="3"/>
      <c r="H1158" s="3"/>
    </row>
    <row r="1159">
      <c r="A1159" s="2">
        <f>IFERROR(__xludf.DUMMYFUNCTION("""COMPUTED_VALUE"""),20126.0)</f>
        <v>20126</v>
      </c>
      <c r="B1159" s="3" t="str">
        <f>IFERROR(__xludf.DUMMYFUNCTION("""COMPUTED_VALUE"""),"7685 BAMSEY DR SUITE 115")</f>
        <v>7685 BAMSEY DR SUITE 115</v>
      </c>
      <c r="C1159" s="3" t="str">
        <f>IFERROR(__xludf.DUMMYFUNCTION("""COMPUTED_VALUE"""),"HAMILTON TOWNSHIP")</f>
        <v>HAMILTON TOWNSHIP</v>
      </c>
      <c r="D1159" s="3" t="str">
        <f>IFERROR(__xludf.DUMMYFUNCTION("""COMPUTED_VALUE"""),"K0L 1E0")</f>
        <v>K0L 1E0</v>
      </c>
      <c r="E1159" s="3" t="str">
        <f>IFERROR(__xludf.DUMMYFUNCTION("""COMPUTED_VALUE"""),"David Gunn")</f>
        <v>David Gunn</v>
      </c>
      <c r="F1159" s="3" t="str">
        <f>IFERROR(__xludf.DUMMYFUNCTION("""COMPUTED_VALUE"""),"dgunn000@gmail.com")</f>
        <v>dgunn000@gmail.com</v>
      </c>
      <c r="G1159" s="3">
        <f>IFERROR(__xludf.DUMMYFUNCTION("""COMPUTED_VALUE"""),2.892513719E9)</f>
        <v>2892513719</v>
      </c>
      <c r="H1159" s="3"/>
    </row>
    <row r="1160">
      <c r="A1160" s="2">
        <f>IFERROR(__xludf.DUMMYFUNCTION("""COMPUTED_VALUE"""),20127.0)</f>
        <v>20127</v>
      </c>
      <c r="B1160" s="3" t="str">
        <f>IFERROR(__xludf.DUMMYFUNCTION("""COMPUTED_VALUE"""),"7685 BAMSEY DR SUITE 135")</f>
        <v>7685 BAMSEY DR SUITE 135</v>
      </c>
      <c r="C1160" s="3" t="str">
        <f>IFERROR(__xludf.DUMMYFUNCTION("""COMPUTED_VALUE"""),"HAMILTON TOWNSHIP")</f>
        <v>HAMILTON TOWNSHIP</v>
      </c>
      <c r="D1160" s="3" t="str">
        <f>IFERROR(__xludf.DUMMYFUNCTION("""COMPUTED_VALUE"""),"K0L 1E0")</f>
        <v>K0L 1E0</v>
      </c>
      <c r="E1160" s="3" t="str">
        <f>IFERROR(__xludf.DUMMYFUNCTION("""COMPUTED_VALUE"""),"Sandra Durno")</f>
        <v>Sandra Durno</v>
      </c>
      <c r="F1160" s="3"/>
      <c r="G1160" s="3"/>
      <c r="H1160" s="3"/>
    </row>
    <row r="1161">
      <c r="A1161" s="2">
        <f>IFERROR(__xludf.DUMMYFUNCTION("""COMPUTED_VALUE"""),20128.0)</f>
        <v>20128</v>
      </c>
      <c r="B1161" s="3" t="str">
        <f>IFERROR(__xludf.DUMMYFUNCTION("""COMPUTED_VALUE"""),"7685 BAMSEY DR SUITE 145")</f>
        <v>7685 BAMSEY DR SUITE 145</v>
      </c>
      <c r="C1161" s="3" t="str">
        <f>IFERROR(__xludf.DUMMYFUNCTION("""COMPUTED_VALUE"""),"HAMILTON TOWNSHIP")</f>
        <v>HAMILTON TOWNSHIP</v>
      </c>
      <c r="D1161" s="3" t="str">
        <f>IFERROR(__xludf.DUMMYFUNCTION("""COMPUTED_VALUE"""),"K0L 1E0")</f>
        <v>K0L 1E0</v>
      </c>
      <c r="E1161" s="3" t="str">
        <f>IFERROR(__xludf.DUMMYFUNCTION("""COMPUTED_VALUE"""),"Greg Austin")</f>
        <v>Greg Austin</v>
      </c>
      <c r="F1161" s="3" t="str">
        <f>IFERROR(__xludf.DUMMYFUNCTION("""COMPUTED_VALUE"""),"gaustin_291@hotmail.com")</f>
        <v>gaustin_291@hotmail.com</v>
      </c>
      <c r="G1161" s="3">
        <f>IFERROR(__xludf.DUMMYFUNCTION("""COMPUTED_VALUE"""),9.053966025E9)</f>
        <v>9053966025</v>
      </c>
      <c r="H1161" s="3"/>
    </row>
    <row r="1162">
      <c r="A1162" s="2">
        <f>IFERROR(__xludf.DUMMYFUNCTION("""COMPUTED_VALUE"""),20129.0)</f>
        <v>20129</v>
      </c>
      <c r="B1162" s="3" t="str">
        <f>IFERROR(__xludf.DUMMYFUNCTION("""COMPUTED_VALUE"""),"7685 BAMSEY DR SUITE 155")</f>
        <v>7685 BAMSEY DR SUITE 155</v>
      </c>
      <c r="C1162" s="3" t="str">
        <f>IFERROR(__xludf.DUMMYFUNCTION("""COMPUTED_VALUE"""),"HAMILTON TOWNSHIP")</f>
        <v>HAMILTON TOWNSHIP</v>
      </c>
      <c r="D1162" s="3" t="str">
        <f>IFERROR(__xludf.DUMMYFUNCTION("""COMPUTED_VALUE"""),"K0L 1E0")</f>
        <v>K0L 1E0</v>
      </c>
      <c r="E1162" s="3" t="str">
        <f>IFERROR(__xludf.DUMMYFUNCTION("""COMPUTED_VALUE"""),"Anthony Farragos")</f>
        <v>Anthony Farragos</v>
      </c>
      <c r="F1162" s="3" t="str">
        <f>IFERROR(__xludf.DUMMYFUNCTION("""COMPUTED_VALUE"""),"afarragos@gmail.com")</f>
        <v>afarragos@gmail.com</v>
      </c>
      <c r="G1162" s="3">
        <f>IFERROR(__xludf.DUMMYFUNCTION("""COMPUTED_VALUE"""),4.163154996E9)</f>
        <v>4163154996</v>
      </c>
      <c r="H1162" s="3"/>
    </row>
    <row r="1163">
      <c r="A1163" s="2">
        <f>IFERROR(__xludf.DUMMYFUNCTION("""COMPUTED_VALUE"""),20130.0)</f>
        <v>20130</v>
      </c>
      <c r="B1163" s="3" t="str">
        <f>IFERROR(__xludf.DUMMYFUNCTION("""COMPUTED_VALUE"""),"7685 BAMSEY DR SUITE 165")</f>
        <v>7685 BAMSEY DR SUITE 165</v>
      </c>
      <c r="C1163" s="3" t="str">
        <f>IFERROR(__xludf.DUMMYFUNCTION("""COMPUTED_VALUE"""),"HAMILTON TOWNSHIP")</f>
        <v>HAMILTON TOWNSHIP</v>
      </c>
      <c r="D1163" s="3" t="str">
        <f>IFERROR(__xludf.DUMMYFUNCTION("""COMPUTED_VALUE"""),"K0L 1E0")</f>
        <v>K0L 1E0</v>
      </c>
      <c r="E1163" s="3" t="str">
        <f>IFERROR(__xludf.DUMMYFUNCTION("""COMPUTED_VALUE"""),"marie morris ")</f>
        <v>marie morris </v>
      </c>
      <c r="F1163" s="3" t="str">
        <f>IFERROR(__xludf.DUMMYFUNCTION("""COMPUTED_VALUE"""),"dandm437@gmail.com")</f>
        <v>dandm437@gmail.com</v>
      </c>
      <c r="G1163" s="3">
        <f>IFERROR(__xludf.DUMMYFUNCTION("""COMPUTED_VALUE"""),9.05342359E9)</f>
        <v>9053423590</v>
      </c>
      <c r="H1163" s="3"/>
    </row>
    <row r="1164">
      <c r="A1164" s="2">
        <f>IFERROR(__xludf.DUMMYFUNCTION("""COMPUTED_VALUE"""),20131.0)</f>
        <v>20131</v>
      </c>
      <c r="B1164" s="3" t="str">
        <f>IFERROR(__xludf.DUMMYFUNCTION("""COMPUTED_VALUE"""),"7685 BAMSEY DR SUITE 175")</f>
        <v>7685 BAMSEY DR SUITE 175</v>
      </c>
      <c r="C1164" s="3" t="str">
        <f>IFERROR(__xludf.DUMMYFUNCTION("""COMPUTED_VALUE"""),"HAMILTON TOWNSHIP")</f>
        <v>HAMILTON TOWNSHIP</v>
      </c>
      <c r="D1164" s="3" t="str">
        <f>IFERROR(__xludf.DUMMYFUNCTION("""COMPUTED_VALUE"""),"K0L 1E0")</f>
        <v>K0L 1E0</v>
      </c>
      <c r="E1164" s="3"/>
      <c r="F1164" s="3"/>
      <c r="G1164" s="3"/>
      <c r="H1164" s="3"/>
    </row>
    <row r="1165">
      <c r="A1165" s="2">
        <f>IFERROR(__xludf.DUMMYFUNCTION("""COMPUTED_VALUE"""),20132.0)</f>
        <v>20132</v>
      </c>
      <c r="B1165" s="3" t="str">
        <f>IFERROR(__xludf.DUMMYFUNCTION("""COMPUTED_VALUE"""),"106 BAPTIST RD")</f>
        <v>106 BAPTIST RD</v>
      </c>
      <c r="C1165" s="3" t="str">
        <f>IFERROR(__xludf.DUMMYFUNCTION("""COMPUTED_VALUE"""),"BALTIMORE")</f>
        <v>BALTIMORE</v>
      </c>
      <c r="D1165" s="3" t="str">
        <f>IFERROR(__xludf.DUMMYFUNCTION("""COMPUTED_VALUE"""),"K0K 1C0")</f>
        <v>K0K 1C0</v>
      </c>
      <c r="E1165" s="3" t="str">
        <f>IFERROR(__xludf.DUMMYFUNCTION("""COMPUTED_VALUE"""),"Stephen Newport")</f>
        <v>Stephen Newport</v>
      </c>
      <c r="F1165" s="3" t="str">
        <f>IFERROR(__xludf.DUMMYFUNCTION("""COMPUTED_VALUE"""),"snewport@korio.ca")</f>
        <v>snewport@korio.ca</v>
      </c>
      <c r="G1165" s="3"/>
      <c r="H1165" s="3"/>
    </row>
    <row r="1166">
      <c r="A1166" s="2">
        <f>IFERROR(__xludf.DUMMYFUNCTION("""COMPUTED_VALUE"""),20185.0)</f>
        <v>20185</v>
      </c>
      <c r="B1166" s="3" t="str">
        <f>IFERROR(__xludf.DUMMYFUNCTION("""COMPUTED_VALUE"""),"8774 BEAVER MEADOW RD W")</f>
        <v>8774 BEAVER MEADOW RD W</v>
      </c>
      <c r="C1166" s="3" t="str">
        <f>IFERROR(__xludf.DUMMYFUNCTION("""COMPUTED_VALUE"""),"GORES LANDING")</f>
        <v>GORES LANDING</v>
      </c>
      <c r="D1166" s="3" t="str">
        <f>IFERROR(__xludf.DUMMYFUNCTION("""COMPUTED_VALUE"""),"K0K 2E0")</f>
        <v>K0K 2E0</v>
      </c>
      <c r="E1166" s="3" t="str">
        <f>IFERROR(__xludf.DUMMYFUNCTION("""COMPUTED_VALUE"""),"Ralph &amp; Susan Buttar")</f>
        <v>Ralph &amp; Susan Buttar</v>
      </c>
      <c r="F1166" s="3" t="str">
        <f>IFERROR(__xludf.DUMMYFUNCTION("""COMPUTED_VALUE"""),"buttarsue@hotmail.com")</f>
        <v>buttarsue@hotmail.com</v>
      </c>
      <c r="G1166" s="3"/>
      <c r="H1166" s="3"/>
    </row>
    <row r="1167">
      <c r="A1167" s="2">
        <f>IFERROR(__xludf.DUMMYFUNCTION("""COMPUTED_VALUE"""),23984.0)</f>
        <v>23984</v>
      </c>
      <c r="B1167" s="3" t="str">
        <f>IFERROR(__xludf.DUMMYFUNCTION("""COMPUTED_VALUE"""),"8778 BEAVER MEADOW RD W")</f>
        <v>8778 BEAVER MEADOW RD W</v>
      </c>
      <c r="C1167" s="3" t="str">
        <f>IFERROR(__xludf.DUMMYFUNCTION("""COMPUTED_VALUE"""),"GORES LANDING")</f>
        <v>GORES LANDING</v>
      </c>
      <c r="D1167" s="3" t="str">
        <f>IFERROR(__xludf.DUMMYFUNCTION("""COMPUTED_VALUE"""),"K0K 2E0")</f>
        <v>K0K 2E0</v>
      </c>
      <c r="E1167" s="3" t="str">
        <f>IFERROR(__xludf.DUMMYFUNCTION("""COMPUTED_VALUE"""),"Ralph &amp; Susan Buttar")</f>
        <v>Ralph &amp; Susan Buttar</v>
      </c>
      <c r="F1167" s="3" t="str">
        <f>IFERROR(__xludf.DUMMYFUNCTION("""COMPUTED_VALUE"""),"buttarsue@hotmail.com")</f>
        <v>buttarsue@hotmail.com</v>
      </c>
      <c r="G1167" s="3"/>
      <c r="H1167" s="3"/>
    </row>
    <row r="1168">
      <c r="A1168" s="2">
        <f>IFERROR(__xludf.DUMMYFUNCTION("""COMPUTED_VALUE"""),20186.0)</f>
        <v>20186</v>
      </c>
      <c r="B1168" s="3" t="str">
        <f>IFERROR(__xludf.DUMMYFUNCTION("""COMPUTED_VALUE"""),"8815 BEAVER MEADOW RD W")</f>
        <v>8815 BEAVER MEADOW RD W</v>
      </c>
      <c r="C1168" s="3" t="str">
        <f>IFERROR(__xludf.DUMMYFUNCTION("""COMPUTED_VALUE"""),"GORES LANDING")</f>
        <v>GORES LANDING</v>
      </c>
      <c r="D1168" s="3" t="str">
        <f>IFERROR(__xludf.DUMMYFUNCTION("""COMPUTED_VALUE"""),"K0K 2E0")</f>
        <v>K0K 2E0</v>
      </c>
      <c r="E1168" s="3" t="str">
        <f>IFERROR(__xludf.DUMMYFUNCTION("""COMPUTED_VALUE"""),"Wayne Buttars / Sandra Bell Buttars")</f>
        <v>Wayne Buttars / Sandra Bell Buttars</v>
      </c>
      <c r="F1168" s="3" t="str">
        <f>IFERROR(__xludf.DUMMYFUNCTION("""COMPUTED_VALUE"""),"sandbbwayb@gmail.com")</f>
        <v>sandbbwayb@gmail.com</v>
      </c>
      <c r="G1168" s="3"/>
      <c r="H1168" s="3"/>
    </row>
    <row r="1169">
      <c r="A1169" s="2">
        <f>IFERROR(__xludf.DUMMYFUNCTION("""COMPUTED_VALUE"""),20176.0)</f>
        <v>20176</v>
      </c>
      <c r="B1169" s="3" t="str">
        <f>IFERROR(__xludf.DUMMYFUNCTION("""COMPUTED_VALUE"""),"8834 BEAVER MEADOW RD W")</f>
        <v>8834 BEAVER MEADOW RD W</v>
      </c>
      <c r="C1169" s="3" t="str">
        <f>IFERROR(__xludf.DUMMYFUNCTION("""COMPUTED_VALUE"""),"GORES LANDING")</f>
        <v>GORES LANDING</v>
      </c>
      <c r="D1169" s="3" t="str">
        <f>IFERROR(__xludf.DUMMYFUNCTION("""COMPUTED_VALUE"""),"K0K 2E0")</f>
        <v>K0K 2E0</v>
      </c>
      <c r="E1169" s="3" t="str">
        <f>IFERROR(__xludf.DUMMYFUNCTION("""COMPUTED_VALUE"""),"Ken Meddick")</f>
        <v>Ken Meddick</v>
      </c>
      <c r="F1169" s="3" t="str">
        <f>IFERROR(__xludf.DUMMYFUNCTION("""COMPUTED_VALUE"""),"n/a")</f>
        <v>n/a</v>
      </c>
      <c r="G1169" s="3"/>
      <c r="H1169" s="3"/>
    </row>
    <row r="1170">
      <c r="A1170" s="2">
        <f>IFERROR(__xludf.DUMMYFUNCTION("""COMPUTED_VALUE"""),20177.0)</f>
        <v>20177</v>
      </c>
      <c r="B1170" s="3" t="str">
        <f>IFERROR(__xludf.DUMMYFUNCTION("""COMPUTED_VALUE"""),"8919 BEAVER MEADOW RD W")</f>
        <v>8919 BEAVER MEADOW RD W</v>
      </c>
      <c r="C1170" s="3" t="str">
        <f>IFERROR(__xludf.DUMMYFUNCTION("""COMPUTED_VALUE"""),"GORES LANDING")</f>
        <v>GORES LANDING</v>
      </c>
      <c r="D1170" s="3" t="str">
        <f>IFERROR(__xludf.DUMMYFUNCTION("""COMPUTED_VALUE"""),"K0K 2E0")</f>
        <v>K0K 2E0</v>
      </c>
      <c r="E1170" s="3" t="str">
        <f>IFERROR(__xludf.DUMMYFUNCTION("""COMPUTED_VALUE"""),"Jamil Botrie")</f>
        <v>Jamil Botrie</v>
      </c>
      <c r="F1170" s="3" t="str">
        <f>IFERROR(__xludf.DUMMYFUNCTION("""COMPUTED_VALUE"""),"botriej@hotmail.com")</f>
        <v>botriej@hotmail.com</v>
      </c>
      <c r="G1170" s="3"/>
      <c r="H1170" s="3"/>
    </row>
    <row r="1171">
      <c r="A1171" s="2">
        <f>IFERROR(__xludf.DUMMYFUNCTION("""COMPUTED_VALUE"""),20178.0)</f>
        <v>20178</v>
      </c>
      <c r="B1171" s="3" t="str">
        <f>IFERROR(__xludf.DUMMYFUNCTION("""COMPUTED_VALUE"""),"8941 BEAVER MEADOW RD W")</f>
        <v>8941 BEAVER MEADOW RD W</v>
      </c>
      <c r="C1171" s="3" t="str">
        <f>IFERROR(__xludf.DUMMYFUNCTION("""COMPUTED_VALUE"""),"GORES LANDING")</f>
        <v>GORES LANDING</v>
      </c>
      <c r="D1171" s="3" t="str">
        <f>IFERROR(__xludf.DUMMYFUNCTION("""COMPUTED_VALUE"""),"K0K 2E0")</f>
        <v>K0K 2E0</v>
      </c>
      <c r="E1171" s="3"/>
      <c r="F1171" s="3"/>
      <c r="G1171" s="3"/>
      <c r="H1171" s="3"/>
    </row>
    <row r="1172">
      <c r="A1172" s="2">
        <f>IFERROR(__xludf.DUMMYFUNCTION("""COMPUTED_VALUE"""),20179.0)</f>
        <v>20179</v>
      </c>
      <c r="B1172" s="3" t="str">
        <f>IFERROR(__xludf.DUMMYFUNCTION("""COMPUTED_VALUE"""),"8962 BEAVER MEADOW RD W")</f>
        <v>8962 BEAVER MEADOW RD W</v>
      </c>
      <c r="C1172" s="3" t="str">
        <f>IFERROR(__xludf.DUMMYFUNCTION("""COMPUTED_VALUE"""),"GORES LANDING")</f>
        <v>GORES LANDING</v>
      </c>
      <c r="D1172" s="3" t="str">
        <f>IFERROR(__xludf.DUMMYFUNCTION("""COMPUTED_VALUE"""),"K0K 2E0")</f>
        <v>K0K 2E0</v>
      </c>
      <c r="E1172" s="3" t="str">
        <f>IFERROR(__xludf.DUMMYFUNCTION("""COMPUTED_VALUE"""),"Allan Buttars")</f>
        <v>Allan Buttars</v>
      </c>
      <c r="F1172" s="3" t="str">
        <f>IFERROR(__xludf.DUMMYFUNCTION("""COMPUTED_VALUE"""),"tmab292@gmail.com")</f>
        <v>tmab292@gmail.com</v>
      </c>
      <c r="G1172" s="3"/>
      <c r="H1172" s="3"/>
    </row>
    <row r="1173">
      <c r="A1173" s="2">
        <f>IFERROR(__xludf.DUMMYFUNCTION("""COMPUTED_VALUE"""),20180.0)</f>
        <v>20180</v>
      </c>
      <c r="B1173" s="3" t="str">
        <f>IFERROR(__xludf.DUMMYFUNCTION("""COMPUTED_VALUE"""),"8984 BEAVER MEADOW RD W")</f>
        <v>8984 BEAVER MEADOW RD W</v>
      </c>
      <c r="C1173" s="3" t="str">
        <f>IFERROR(__xludf.DUMMYFUNCTION("""COMPUTED_VALUE"""),"GORES LANDING")</f>
        <v>GORES LANDING</v>
      </c>
      <c r="D1173" s="3" t="str">
        <f>IFERROR(__xludf.DUMMYFUNCTION("""COMPUTED_VALUE"""),"K0K 2E0")</f>
        <v>K0K 2E0</v>
      </c>
      <c r="E1173" s="3" t="str">
        <f>IFERROR(__xludf.DUMMYFUNCTION("""COMPUTED_VALUE"""),"eric ritchie ")</f>
        <v>eric ritchie </v>
      </c>
      <c r="F1173" s="3" t="str">
        <f>IFERROR(__xludf.DUMMYFUNCTION("""COMPUTED_VALUE"""),"virginiaritchie@yahoo.ca")</f>
        <v>virginiaritchie@yahoo.ca</v>
      </c>
      <c r="G1173" s="3">
        <f>IFERROR(__xludf.DUMMYFUNCTION("""COMPUTED_VALUE"""),9.053422308E9)</f>
        <v>9053422308</v>
      </c>
      <c r="H1173" s="3">
        <f>IFERROR(__xludf.DUMMYFUNCTION("""COMPUTED_VALUE"""),9.052096215E9)</f>
        <v>9052096215</v>
      </c>
    </row>
    <row r="1174">
      <c r="A1174" s="2">
        <f>IFERROR(__xludf.DUMMYFUNCTION("""COMPUTED_VALUE"""),20181.0)</f>
        <v>20181</v>
      </c>
      <c r="B1174" s="3" t="str">
        <f>IFERROR(__xludf.DUMMYFUNCTION("""COMPUTED_VALUE"""),"9125 BEAVER MEADOW RD W")</f>
        <v>9125 BEAVER MEADOW RD W</v>
      </c>
      <c r="C1174" s="3" t="str">
        <f>IFERROR(__xludf.DUMMYFUNCTION("""COMPUTED_VALUE"""),"GORES LANDING")</f>
        <v>GORES LANDING</v>
      </c>
      <c r="D1174" s="3" t="str">
        <f>IFERROR(__xludf.DUMMYFUNCTION("""COMPUTED_VALUE"""),"K0K 2E0")</f>
        <v>K0K 2E0</v>
      </c>
      <c r="E1174" s="3"/>
      <c r="F1174" s="3"/>
      <c r="G1174" s="3"/>
      <c r="H1174" s="3"/>
    </row>
    <row r="1175">
      <c r="A1175" s="2">
        <f>IFERROR(__xludf.DUMMYFUNCTION("""COMPUTED_VALUE"""),20146.0)</f>
        <v>20146</v>
      </c>
      <c r="B1175" s="3" t="str">
        <f>IFERROR(__xludf.DUMMYFUNCTION("""COMPUTED_VALUE"""),"9126 BEAVER MEADOW RD W")</f>
        <v>9126 BEAVER MEADOW RD W</v>
      </c>
      <c r="C1175" s="3" t="str">
        <f>IFERROR(__xludf.DUMMYFUNCTION("""COMPUTED_VALUE"""),"BALTIMORE")</f>
        <v>BALTIMORE</v>
      </c>
      <c r="D1175" s="3" t="str">
        <f>IFERROR(__xludf.DUMMYFUNCTION("""COMPUTED_VALUE"""),"K0K 1C0")</f>
        <v>K0K 1C0</v>
      </c>
      <c r="E1175" s="3" t="str">
        <f>IFERROR(__xludf.DUMMYFUNCTION("""COMPUTED_VALUE"""),"Robert&amp;amber Simpson")</f>
        <v>Robert&amp;amber Simpson</v>
      </c>
      <c r="F1175" s="3" t="str">
        <f>IFERROR(__xludf.DUMMYFUNCTION("""COMPUTED_VALUE"""),"vipingh@hotmail.com")</f>
        <v>vipingh@hotmail.com</v>
      </c>
      <c r="G1175" s="3"/>
      <c r="H1175" s="3"/>
    </row>
    <row r="1176">
      <c r="A1176" s="2">
        <f>IFERROR(__xludf.DUMMYFUNCTION("""COMPUTED_VALUE"""),20182.0)</f>
        <v>20182</v>
      </c>
      <c r="B1176" s="3" t="str">
        <f>IFERROR(__xludf.DUMMYFUNCTION("""COMPUTED_VALUE"""),"9129 BEAVER MEADOW RD W")</f>
        <v>9129 BEAVER MEADOW RD W</v>
      </c>
      <c r="C1176" s="3" t="str">
        <f>IFERROR(__xludf.DUMMYFUNCTION("""COMPUTED_VALUE"""),"GORES LANDING")</f>
        <v>GORES LANDING</v>
      </c>
      <c r="D1176" s="3" t="str">
        <f>IFERROR(__xludf.DUMMYFUNCTION("""COMPUTED_VALUE"""),"K0K 2E0")</f>
        <v>K0K 2E0</v>
      </c>
      <c r="E1176" s="3"/>
      <c r="F1176" s="3"/>
      <c r="G1176" s="3"/>
      <c r="H1176" s="3"/>
    </row>
    <row r="1177">
      <c r="A1177" s="2">
        <f>IFERROR(__xludf.DUMMYFUNCTION("""COMPUTED_VALUE"""),20147.0)</f>
        <v>20147</v>
      </c>
      <c r="B1177" s="3" t="str">
        <f>IFERROR(__xludf.DUMMYFUNCTION("""COMPUTED_VALUE"""),"9135 BEAVER MEADOW RD W")</f>
        <v>9135 BEAVER MEADOW RD W</v>
      </c>
      <c r="C1177" s="3" t="str">
        <f>IFERROR(__xludf.DUMMYFUNCTION("""COMPUTED_VALUE"""),"BALTIMORE")</f>
        <v>BALTIMORE</v>
      </c>
      <c r="D1177" s="3" t="str">
        <f>IFERROR(__xludf.DUMMYFUNCTION("""COMPUTED_VALUE"""),"K0K 1C0")</f>
        <v>K0K 1C0</v>
      </c>
      <c r="E1177" s="3" t="str">
        <f>IFERROR(__xludf.DUMMYFUNCTION("""COMPUTED_VALUE"""),"Rob Ferguson")</f>
        <v>Rob Ferguson</v>
      </c>
      <c r="F1177" s="3" t="str">
        <f>IFERROR(__xludf.DUMMYFUNCTION("""COMPUTED_VALUE"""),"cerlynsky1972@gmail.com")</f>
        <v>cerlynsky1972@gmail.com</v>
      </c>
      <c r="G1177" s="3"/>
      <c r="H1177" s="3"/>
    </row>
    <row r="1178">
      <c r="A1178" s="2">
        <f>IFERROR(__xludf.DUMMYFUNCTION("""COMPUTED_VALUE"""),20183.0)</f>
        <v>20183</v>
      </c>
      <c r="B1178" s="3" t="str">
        <f>IFERROR(__xludf.DUMMYFUNCTION("""COMPUTED_VALUE"""),"9156 BEAVER MEADOW RD W")</f>
        <v>9156 BEAVER MEADOW RD W</v>
      </c>
      <c r="C1178" s="3" t="str">
        <f>IFERROR(__xludf.DUMMYFUNCTION("""COMPUTED_VALUE"""),"GORES LANDING")</f>
        <v>GORES LANDING</v>
      </c>
      <c r="D1178" s="3" t="str">
        <f>IFERROR(__xludf.DUMMYFUNCTION("""COMPUTED_VALUE"""),"K0K 2E0")</f>
        <v>K0K 2E0</v>
      </c>
      <c r="E1178" s="3"/>
      <c r="F1178" s="3"/>
      <c r="G1178" s="3"/>
      <c r="H1178" s="3"/>
    </row>
    <row r="1179">
      <c r="A1179" s="2">
        <f>IFERROR(__xludf.DUMMYFUNCTION("""COMPUTED_VALUE"""),20148.0)</f>
        <v>20148</v>
      </c>
      <c r="B1179" s="3" t="str">
        <f>IFERROR(__xludf.DUMMYFUNCTION("""COMPUTED_VALUE"""),"9167 BEAVER MEADOW RD W")</f>
        <v>9167 BEAVER MEADOW RD W</v>
      </c>
      <c r="C1179" s="3" t="str">
        <f>IFERROR(__xludf.DUMMYFUNCTION("""COMPUTED_VALUE"""),"BALTIMORE")</f>
        <v>BALTIMORE</v>
      </c>
      <c r="D1179" s="3" t="str">
        <f>IFERROR(__xludf.DUMMYFUNCTION("""COMPUTED_VALUE"""),"K0K 1C0")</f>
        <v>K0K 1C0</v>
      </c>
      <c r="E1179" s="3" t="str">
        <f>IFERROR(__xludf.DUMMYFUNCTION("""COMPUTED_VALUE"""),"donald elder")</f>
        <v>donald elder</v>
      </c>
      <c r="F1179" s="3" t="str">
        <f>IFERROR(__xludf.DUMMYFUNCTION("""COMPUTED_VALUE"""),"donaldelder99@gmail.com")</f>
        <v>donaldelder99@gmail.com</v>
      </c>
      <c r="G1179" s="3">
        <f>IFERROR(__xludf.DUMMYFUNCTION("""COMPUTED_VALUE"""),9.053421132E9)</f>
        <v>9053421132</v>
      </c>
      <c r="H1179" s="3"/>
    </row>
    <row r="1180">
      <c r="A1180" s="2">
        <f>IFERROR(__xludf.DUMMYFUNCTION("""COMPUTED_VALUE"""),20149.0)</f>
        <v>20149</v>
      </c>
      <c r="B1180" s="3" t="str">
        <f>IFERROR(__xludf.DUMMYFUNCTION("""COMPUTED_VALUE"""),"9183 BEAVER MEADOW RD W")</f>
        <v>9183 BEAVER MEADOW RD W</v>
      </c>
      <c r="C1180" s="3" t="str">
        <f>IFERROR(__xludf.DUMMYFUNCTION("""COMPUTED_VALUE"""),"BALTIMORE")</f>
        <v>BALTIMORE</v>
      </c>
      <c r="D1180" s="3" t="str">
        <f>IFERROR(__xludf.DUMMYFUNCTION("""COMPUTED_VALUE"""),"K0K 1C0")</f>
        <v>K0K 1C0</v>
      </c>
      <c r="E1180" s="3" t="str">
        <f>IFERROR(__xludf.DUMMYFUNCTION("""COMPUTED_VALUE"""),"Richard Trull")</f>
        <v>Richard Trull</v>
      </c>
      <c r="F1180" s="3" t="str">
        <f>IFERROR(__xludf.DUMMYFUNCTION("""COMPUTED_VALUE"""),"rickj2087@gmail.com")</f>
        <v>rickj2087@gmail.com</v>
      </c>
      <c r="G1180" s="3"/>
      <c r="H1180" s="3"/>
    </row>
    <row r="1181">
      <c r="A1181" s="2">
        <f>IFERROR(__xludf.DUMMYFUNCTION("""COMPUTED_VALUE"""),20184.0)</f>
        <v>20184</v>
      </c>
      <c r="B1181" s="3" t="str">
        <f>IFERROR(__xludf.DUMMYFUNCTION("""COMPUTED_VALUE"""),"9184 BEAVER MEADOW RD W")</f>
        <v>9184 BEAVER MEADOW RD W</v>
      </c>
      <c r="C1181" s="3" t="str">
        <f>IFERROR(__xludf.DUMMYFUNCTION("""COMPUTED_VALUE"""),"GORES LANDING")</f>
        <v>GORES LANDING</v>
      </c>
      <c r="D1181" s="3" t="str">
        <f>IFERROR(__xludf.DUMMYFUNCTION("""COMPUTED_VALUE"""),"K0K 2E0")</f>
        <v>K0K 2E0</v>
      </c>
      <c r="E1181" s="3"/>
      <c r="F1181" s="3"/>
      <c r="G1181" s="3"/>
      <c r="H1181" s="3"/>
    </row>
    <row r="1182">
      <c r="A1182" s="2">
        <f>IFERROR(__xludf.DUMMYFUNCTION("""COMPUTED_VALUE"""),20150.0)</f>
        <v>20150</v>
      </c>
      <c r="B1182" s="3" t="str">
        <f>IFERROR(__xludf.DUMMYFUNCTION("""COMPUTED_VALUE"""),"9196 BEAVER MEADOW RD W")</f>
        <v>9196 BEAVER MEADOW RD W</v>
      </c>
      <c r="C1182" s="3" t="str">
        <f>IFERROR(__xludf.DUMMYFUNCTION("""COMPUTED_VALUE"""),"BALTIMORE")</f>
        <v>BALTIMORE</v>
      </c>
      <c r="D1182" s="3" t="str">
        <f>IFERROR(__xludf.DUMMYFUNCTION("""COMPUTED_VALUE"""),"K0K 1C0")</f>
        <v>K0K 1C0</v>
      </c>
      <c r="E1182" s="3" t="str">
        <f>IFERROR(__xludf.DUMMYFUNCTION("""COMPUTED_VALUE"""),"David Crim")</f>
        <v>David Crim</v>
      </c>
      <c r="F1182" s="3"/>
      <c r="G1182" s="3"/>
      <c r="H1182" s="3"/>
    </row>
    <row r="1183">
      <c r="A1183" s="2">
        <f>IFERROR(__xludf.DUMMYFUNCTION("""COMPUTED_VALUE"""),20151.0)</f>
        <v>20151</v>
      </c>
      <c r="B1183" s="3" t="str">
        <f>IFERROR(__xludf.DUMMYFUNCTION("""COMPUTED_VALUE"""),"9204 BEAVER MEADOW RD W")</f>
        <v>9204 BEAVER MEADOW RD W</v>
      </c>
      <c r="C1183" s="3" t="str">
        <f>IFERROR(__xludf.DUMMYFUNCTION("""COMPUTED_VALUE"""),"BALTIMORE")</f>
        <v>BALTIMORE</v>
      </c>
      <c r="D1183" s="3" t="str">
        <f>IFERROR(__xludf.DUMMYFUNCTION("""COMPUTED_VALUE"""),"K0K 1C0")</f>
        <v>K0K 1C0</v>
      </c>
      <c r="E1183" s="3" t="str">
        <f>IFERROR(__xludf.DUMMYFUNCTION("""COMPUTED_VALUE"""),"susan tryson")</f>
        <v>susan tryson</v>
      </c>
      <c r="F1183" s="3" t="str">
        <f>IFERROR(__xludf.DUMMYFUNCTION("""COMPUTED_VALUE"""),"sue.tryson14@gmail.com")</f>
        <v>sue.tryson14@gmail.com</v>
      </c>
      <c r="G1183" s="3">
        <f>IFERROR(__xludf.DUMMYFUNCTION("""COMPUTED_VALUE"""),9.053423891E9)</f>
        <v>9053423891</v>
      </c>
      <c r="H1183" s="3">
        <f>IFERROR(__xludf.DUMMYFUNCTION("""COMPUTED_VALUE"""),9.053758865E9)</f>
        <v>9053758865</v>
      </c>
    </row>
    <row r="1184">
      <c r="A1184" s="2">
        <f>IFERROR(__xludf.DUMMYFUNCTION("""COMPUTED_VALUE"""),20152.0)</f>
        <v>20152</v>
      </c>
      <c r="B1184" s="3" t="str">
        <f>IFERROR(__xludf.DUMMYFUNCTION("""COMPUTED_VALUE"""),"9210 BEAVER MEADOW RD W")</f>
        <v>9210 BEAVER MEADOW RD W</v>
      </c>
      <c r="C1184" s="3" t="str">
        <f>IFERROR(__xludf.DUMMYFUNCTION("""COMPUTED_VALUE"""),"BALTIMORE")</f>
        <v>BALTIMORE</v>
      </c>
      <c r="D1184" s="3" t="str">
        <f>IFERROR(__xludf.DUMMYFUNCTION("""COMPUTED_VALUE"""),"K0K 1C0")</f>
        <v>K0K 1C0</v>
      </c>
      <c r="E1184" s="3" t="str">
        <f>IFERROR(__xludf.DUMMYFUNCTION("""COMPUTED_VALUE"""),"Morton G&amp;W")</f>
        <v>Morton G&amp;W</v>
      </c>
      <c r="F1184" s="3" t="str">
        <f>IFERROR(__xludf.DUMMYFUNCTION("""COMPUTED_VALUE"""),"wmorton@eagle.ca")</f>
        <v>wmorton@eagle.ca</v>
      </c>
      <c r="G1184" s="3"/>
      <c r="H1184" s="3"/>
    </row>
    <row r="1185">
      <c r="A1185" s="2">
        <f>IFERROR(__xludf.DUMMYFUNCTION("""COMPUTED_VALUE"""),20153.0)</f>
        <v>20153</v>
      </c>
      <c r="B1185" s="3" t="str">
        <f>IFERROR(__xludf.DUMMYFUNCTION("""COMPUTED_VALUE"""),"9216 BEAVER MEADOW RD W")</f>
        <v>9216 BEAVER MEADOW RD W</v>
      </c>
      <c r="C1185" s="3" t="str">
        <f>IFERROR(__xludf.DUMMYFUNCTION("""COMPUTED_VALUE"""),"BALTIMORE")</f>
        <v>BALTIMORE</v>
      </c>
      <c r="D1185" s="3" t="str">
        <f>IFERROR(__xludf.DUMMYFUNCTION("""COMPUTED_VALUE"""),"K0K 1C0")</f>
        <v>K0K 1C0</v>
      </c>
      <c r="E1185" s="3"/>
      <c r="F1185" s="3"/>
      <c r="G1185" s="3"/>
      <c r="H1185" s="3"/>
    </row>
    <row r="1186">
      <c r="A1186" s="2">
        <f>IFERROR(__xludf.DUMMYFUNCTION("""COMPUTED_VALUE"""),20154.0)</f>
        <v>20154</v>
      </c>
      <c r="B1186" s="3" t="str">
        <f>IFERROR(__xludf.DUMMYFUNCTION("""COMPUTED_VALUE"""),"9224 BEAVER MEADOW RD W")</f>
        <v>9224 BEAVER MEADOW RD W</v>
      </c>
      <c r="C1186" s="3" t="str">
        <f>IFERROR(__xludf.DUMMYFUNCTION("""COMPUTED_VALUE"""),"BALTIMORE")</f>
        <v>BALTIMORE</v>
      </c>
      <c r="D1186" s="3" t="str">
        <f>IFERROR(__xludf.DUMMYFUNCTION("""COMPUTED_VALUE"""),"K0K 1C0")</f>
        <v>K0K 1C0</v>
      </c>
      <c r="E1186" s="3" t="str">
        <f>IFERROR(__xludf.DUMMYFUNCTION("""COMPUTED_VALUE"""),"Stephen Sanders")</f>
        <v>Stephen Sanders</v>
      </c>
      <c r="F1186" s="3" t="str">
        <f>IFERROR(__xludf.DUMMYFUNCTION("""COMPUTED_VALUE"""),"stephensanders535@gmail.com")</f>
        <v>stephensanders535@gmail.com</v>
      </c>
      <c r="G1186" s="3"/>
      <c r="H1186" s="3"/>
    </row>
    <row r="1187">
      <c r="A1187" s="2">
        <f>IFERROR(__xludf.DUMMYFUNCTION("""COMPUTED_VALUE"""),20138.0)</f>
        <v>20138</v>
      </c>
      <c r="B1187" s="3" t="str">
        <f>IFERROR(__xludf.DUMMYFUNCTION("""COMPUTED_VALUE"""),"9242 BEAVERMEADOW RD E")</f>
        <v>9242 BEAVERMEADOW RD E</v>
      </c>
      <c r="C1187" s="3" t="str">
        <f>IFERROR(__xludf.DUMMYFUNCTION("""COMPUTED_VALUE"""),"BALTIMORE")</f>
        <v>BALTIMORE</v>
      </c>
      <c r="D1187" s="3" t="str">
        <f>IFERROR(__xludf.DUMMYFUNCTION("""COMPUTED_VALUE"""),"K0K 1C0")</f>
        <v>K0K 1C0</v>
      </c>
      <c r="E1187" s="3" t="str">
        <f>IFERROR(__xludf.DUMMYFUNCTION("""COMPUTED_VALUE""")," William Poelstra")</f>
        <v> William Poelstra</v>
      </c>
      <c r="F1187" s="3" t="str">
        <f>IFERROR(__xludf.DUMMYFUNCTION("""COMPUTED_VALUE""")," poelstra1982@gmail.com")</f>
        <v> poelstra1982@gmail.com</v>
      </c>
      <c r="G1187" s="3">
        <f>IFERROR(__xludf.DUMMYFUNCTION("""COMPUTED_VALUE"""),9.053422087E9)</f>
        <v>9053422087</v>
      </c>
      <c r="H1187" s="3">
        <f>IFERROR(__xludf.DUMMYFUNCTION("""COMPUTED_VALUE"""),9.053767204E9)</f>
        <v>9053767204</v>
      </c>
    </row>
    <row r="1188">
      <c r="A1188" s="2">
        <f>IFERROR(__xludf.DUMMYFUNCTION("""COMPUTED_VALUE"""),20156.0)</f>
        <v>20156</v>
      </c>
      <c r="B1188" s="3" t="str">
        <f>IFERROR(__xludf.DUMMYFUNCTION("""COMPUTED_VALUE"""),"9243 BEAVERMEADOW RD E")</f>
        <v>9243 BEAVERMEADOW RD E</v>
      </c>
      <c r="C1188" s="3" t="str">
        <f>IFERROR(__xludf.DUMMYFUNCTION("""COMPUTED_VALUE"""),"BALTIMORE")</f>
        <v>BALTIMORE</v>
      </c>
      <c r="D1188" s="3" t="str">
        <f>IFERROR(__xludf.DUMMYFUNCTION("""COMPUTED_VALUE"""),"K0K 1C0")</f>
        <v>K0K 1C0</v>
      </c>
      <c r="E1188" s="3" t="str">
        <f>IFERROR(__xludf.DUMMYFUNCTION("""COMPUTED_VALUE"""),"Cora Bevan")</f>
        <v>Cora Bevan</v>
      </c>
      <c r="F1188" s="3" t="str">
        <f>IFERROR(__xludf.DUMMYFUNCTION("""COMPUTED_VALUE"""),"bevancora@gmail.com")</f>
        <v>bevancora@gmail.com</v>
      </c>
      <c r="G1188" s="3"/>
      <c r="H1188" s="3"/>
    </row>
    <row r="1189">
      <c r="A1189" s="2">
        <f>IFERROR(__xludf.DUMMYFUNCTION("""COMPUTED_VALUE"""),20157.0)</f>
        <v>20157</v>
      </c>
      <c r="B1189" s="3" t="str">
        <f>IFERROR(__xludf.DUMMYFUNCTION("""COMPUTED_VALUE"""),"9265 BEAVERMEADOW RD E")</f>
        <v>9265 BEAVERMEADOW RD E</v>
      </c>
      <c r="C1189" s="3" t="str">
        <f>IFERROR(__xludf.DUMMYFUNCTION("""COMPUTED_VALUE"""),"BALTIMORE")</f>
        <v>BALTIMORE</v>
      </c>
      <c r="D1189" s="3" t="str">
        <f>IFERROR(__xludf.DUMMYFUNCTION("""COMPUTED_VALUE"""),"K0K 1C0")</f>
        <v>K0K 1C0</v>
      </c>
      <c r="E1189" s="3" t="str">
        <f>IFERROR(__xludf.DUMMYFUNCTION("""COMPUTED_VALUE"""),"Yvon Lauzon &amp; Joanne Cherry-Lauzon")</f>
        <v>Yvon Lauzon &amp; Joanne Cherry-Lauzon</v>
      </c>
      <c r="F1189" s="3" t="str">
        <f>IFERROR(__xludf.DUMMYFUNCTION("""COMPUTED_VALUE"""),"ylauzon@gmail.com")</f>
        <v>ylauzon@gmail.com</v>
      </c>
      <c r="G1189" s="3"/>
      <c r="H1189" s="3"/>
    </row>
    <row r="1190">
      <c r="A1190" s="2">
        <f>IFERROR(__xludf.DUMMYFUNCTION("""COMPUTED_VALUE"""),20158.0)</f>
        <v>20158</v>
      </c>
      <c r="B1190" s="3" t="str">
        <f>IFERROR(__xludf.DUMMYFUNCTION("""COMPUTED_VALUE"""),"9307 BEAVERMEADOW RD E")</f>
        <v>9307 BEAVERMEADOW RD E</v>
      </c>
      <c r="C1190" s="3" t="str">
        <f>IFERROR(__xludf.DUMMYFUNCTION("""COMPUTED_VALUE"""),"BALTIMORE")</f>
        <v>BALTIMORE</v>
      </c>
      <c r="D1190" s="3" t="str">
        <f>IFERROR(__xludf.DUMMYFUNCTION("""COMPUTED_VALUE"""),"K0K 1C0")</f>
        <v>K0K 1C0</v>
      </c>
      <c r="E1190" s="3" t="str">
        <f>IFERROR(__xludf.DUMMYFUNCTION("""COMPUTED_VALUE"""),"Derek Grycko")</f>
        <v>Derek Grycko</v>
      </c>
      <c r="F1190" s="3" t="str">
        <f>IFERROR(__xludf.DUMMYFUNCTION("""COMPUTED_VALUE"""),"dsgrycko@gmail.com")</f>
        <v>dsgrycko@gmail.com</v>
      </c>
      <c r="G1190" s="3">
        <f>IFERROR(__xludf.DUMMYFUNCTION("""COMPUTED_VALUE"""),9.052696259E9)</f>
        <v>9052696259</v>
      </c>
      <c r="H1190" s="3"/>
    </row>
    <row r="1191">
      <c r="A1191" s="2">
        <f>IFERROR(__xludf.DUMMYFUNCTION("""COMPUTED_VALUE"""),20159.0)</f>
        <v>20159</v>
      </c>
      <c r="B1191" s="3" t="str">
        <f>IFERROR(__xludf.DUMMYFUNCTION("""COMPUTED_VALUE"""),"9321 BEAVERMEADOW RD E")</f>
        <v>9321 BEAVERMEADOW RD E</v>
      </c>
      <c r="C1191" s="3" t="str">
        <f>IFERROR(__xludf.DUMMYFUNCTION("""COMPUTED_VALUE"""),"BALTIMORE")</f>
        <v>BALTIMORE</v>
      </c>
      <c r="D1191" s="3" t="str">
        <f>IFERROR(__xludf.DUMMYFUNCTION("""COMPUTED_VALUE"""),"K0K 1C0")</f>
        <v>K0K 1C0</v>
      </c>
      <c r="E1191" s="3" t="str">
        <f>IFERROR(__xludf.DUMMYFUNCTION("""COMPUTED_VALUE"""),"Barbara Henderson")</f>
        <v>Barbara Henderson</v>
      </c>
      <c r="F1191" s="3" t="str">
        <f>IFERROR(__xludf.DUMMYFUNCTION("""COMPUTED_VALUE"""),"barbrodghenderson@gmail.com")</f>
        <v>barbrodghenderson@gmail.com</v>
      </c>
      <c r="G1191" s="3"/>
      <c r="H1191" s="3"/>
    </row>
    <row r="1192">
      <c r="A1192" s="2">
        <f>IFERROR(__xludf.DUMMYFUNCTION("""COMPUTED_VALUE"""),20160.0)</f>
        <v>20160</v>
      </c>
      <c r="B1192" s="3" t="str">
        <f>IFERROR(__xludf.DUMMYFUNCTION("""COMPUTED_VALUE"""),"9355 BEAVERMEADOW RD E")</f>
        <v>9355 BEAVERMEADOW RD E</v>
      </c>
      <c r="C1192" s="3" t="str">
        <f>IFERROR(__xludf.DUMMYFUNCTION("""COMPUTED_VALUE"""),"BALTIMORE")</f>
        <v>BALTIMORE</v>
      </c>
      <c r="D1192" s="3" t="str">
        <f>IFERROR(__xludf.DUMMYFUNCTION("""COMPUTED_VALUE"""),"K0K 1C0")</f>
        <v>K0K 1C0</v>
      </c>
      <c r="E1192" s="3"/>
      <c r="F1192" s="3"/>
      <c r="G1192" s="3"/>
      <c r="H1192" s="3"/>
    </row>
    <row r="1193">
      <c r="A1193" s="2">
        <f>IFERROR(__xludf.DUMMYFUNCTION("""COMPUTED_VALUE"""),20161.0)</f>
        <v>20161</v>
      </c>
      <c r="B1193" s="3" t="str">
        <f>IFERROR(__xludf.DUMMYFUNCTION("""COMPUTED_VALUE"""),"9365 BEAVERMEADOW RD E")</f>
        <v>9365 BEAVERMEADOW RD E</v>
      </c>
      <c r="C1193" s="3" t="str">
        <f>IFERROR(__xludf.DUMMYFUNCTION("""COMPUTED_VALUE"""),"BALTIMORE")</f>
        <v>BALTIMORE</v>
      </c>
      <c r="D1193" s="3" t="str">
        <f>IFERROR(__xludf.DUMMYFUNCTION("""COMPUTED_VALUE"""),"K0K 1C0")</f>
        <v>K0K 1C0</v>
      </c>
      <c r="E1193" s="3" t="str">
        <f>IFERROR(__xludf.DUMMYFUNCTION("""COMPUTED_VALUE"""),"jeff harkness")</f>
        <v>jeff harkness</v>
      </c>
      <c r="F1193" s="3" t="str">
        <f>IFERROR(__xludf.DUMMYFUNCTION("""COMPUTED_VALUE"""),"lacdar@hotmail.com")</f>
        <v>lacdar@hotmail.com</v>
      </c>
      <c r="G1193" s="3">
        <f>IFERROR(__xludf.DUMMYFUNCTION("""COMPUTED_VALUE"""),6.048082007E9)</f>
        <v>6048082007</v>
      </c>
      <c r="H1193" s="3">
        <f>IFERROR(__xludf.DUMMYFUNCTION("""COMPUTED_VALUE"""),6.045064442E9)</f>
        <v>6045064442</v>
      </c>
    </row>
    <row r="1194">
      <c r="A1194" s="2">
        <f>IFERROR(__xludf.DUMMYFUNCTION("""COMPUTED_VALUE"""),20139.0)</f>
        <v>20139</v>
      </c>
      <c r="B1194" s="3" t="str">
        <f>IFERROR(__xludf.DUMMYFUNCTION("""COMPUTED_VALUE"""),"9398 BEAVERMEADOW RD E")</f>
        <v>9398 BEAVERMEADOW RD E</v>
      </c>
      <c r="C1194" s="3" t="str">
        <f>IFERROR(__xludf.DUMMYFUNCTION("""COMPUTED_VALUE"""),"BALTIMORE")</f>
        <v>BALTIMORE</v>
      </c>
      <c r="D1194" s="3" t="str">
        <f>IFERROR(__xludf.DUMMYFUNCTION("""COMPUTED_VALUE"""),"K0K 1C0")</f>
        <v>K0K 1C0</v>
      </c>
      <c r="E1194" s="3" t="str">
        <f>IFERROR(__xludf.DUMMYFUNCTION("""COMPUTED_VALUE"""),"Terry Bender")</f>
        <v>Terry Bender</v>
      </c>
      <c r="F1194" s="3" t="str">
        <f>IFERROR(__xludf.DUMMYFUNCTION("""COMPUTED_VALUE"""),"terry1952@xplornet.com")</f>
        <v>terry1952@xplornet.com</v>
      </c>
      <c r="G1194" s="3"/>
      <c r="H1194" s="3"/>
    </row>
    <row r="1195">
      <c r="A1195" s="2">
        <f>IFERROR(__xludf.DUMMYFUNCTION("""COMPUTED_VALUE"""),20162.0)</f>
        <v>20162</v>
      </c>
      <c r="B1195" s="3" t="str">
        <f>IFERROR(__xludf.DUMMYFUNCTION("""COMPUTED_VALUE"""),"9429 BEAVERMEADOW RD E")</f>
        <v>9429 BEAVERMEADOW RD E</v>
      </c>
      <c r="C1195" s="3" t="str">
        <f>IFERROR(__xludf.DUMMYFUNCTION("""COMPUTED_VALUE"""),"BALTIMORE")</f>
        <v>BALTIMORE</v>
      </c>
      <c r="D1195" s="3" t="str">
        <f>IFERROR(__xludf.DUMMYFUNCTION("""COMPUTED_VALUE"""),"K0K 1C0")</f>
        <v>K0K 1C0</v>
      </c>
      <c r="E1195" s="3" t="str">
        <f>IFERROR(__xludf.DUMMYFUNCTION("""COMPUTED_VALUE"""),"shanna rae")</f>
        <v>shanna rae</v>
      </c>
      <c r="F1195" s="3" t="str">
        <f>IFERROR(__xludf.DUMMYFUNCTION("""COMPUTED_VALUE"""),"sr.love2teach@gmail.com")</f>
        <v>sr.love2teach@gmail.com</v>
      </c>
      <c r="G1195" s="3">
        <f>IFERROR(__xludf.DUMMYFUNCTION("""COMPUTED_VALUE"""),9.052436062E9)</f>
        <v>9052436062</v>
      </c>
      <c r="H1195" s="3"/>
    </row>
    <row r="1196">
      <c r="A1196" s="2">
        <f>IFERROR(__xludf.DUMMYFUNCTION("""COMPUTED_VALUE"""),20163.0)</f>
        <v>20163</v>
      </c>
      <c r="B1196" s="3" t="str">
        <f>IFERROR(__xludf.DUMMYFUNCTION("""COMPUTED_VALUE"""),"9475 BEAVERMEADOW RD E")</f>
        <v>9475 BEAVERMEADOW RD E</v>
      </c>
      <c r="C1196" s="3" t="str">
        <f>IFERROR(__xludf.DUMMYFUNCTION("""COMPUTED_VALUE"""),"BALTIMORE")</f>
        <v>BALTIMORE</v>
      </c>
      <c r="D1196" s="3" t="str">
        <f>IFERROR(__xludf.DUMMYFUNCTION("""COMPUTED_VALUE"""),"K0K 1C0")</f>
        <v>K0K 1C0</v>
      </c>
      <c r="E1196" s="3" t="str">
        <f>IFERROR(__xludf.DUMMYFUNCTION("""COMPUTED_VALUE"""),"caron quinn")</f>
        <v>caron quinn</v>
      </c>
      <c r="F1196" s="3" t="str">
        <f>IFERROR(__xludf.DUMMYFUNCTION("""COMPUTED_VALUE"""),"quinncj@hotmail.com")</f>
        <v>quinncj@hotmail.com</v>
      </c>
      <c r="G1196" s="3">
        <f>IFERROR(__xludf.DUMMYFUNCTION("""COMPUTED_VALUE"""),9.053969475E9)</f>
        <v>9053969475</v>
      </c>
      <c r="H1196" s="3"/>
    </row>
    <row r="1197">
      <c r="A1197" s="2">
        <f>IFERROR(__xludf.DUMMYFUNCTION("""COMPUTED_VALUE"""),20164.0)</f>
        <v>20164</v>
      </c>
      <c r="B1197" s="3" t="str">
        <f>IFERROR(__xludf.DUMMYFUNCTION("""COMPUTED_VALUE"""),"9511 BEAVERMEADOW RD E")</f>
        <v>9511 BEAVERMEADOW RD E</v>
      </c>
      <c r="C1197" s="3" t="str">
        <f>IFERROR(__xludf.DUMMYFUNCTION("""COMPUTED_VALUE"""),"BALTIMORE")</f>
        <v>BALTIMORE</v>
      </c>
      <c r="D1197" s="3" t="str">
        <f>IFERROR(__xludf.DUMMYFUNCTION("""COMPUTED_VALUE"""),"K0K 1C0")</f>
        <v>K0K 1C0</v>
      </c>
      <c r="E1197" s="3"/>
      <c r="F1197" s="3"/>
      <c r="G1197" s="3"/>
      <c r="H1197" s="3"/>
    </row>
    <row r="1198">
      <c r="A1198" s="2">
        <f>IFERROR(__xludf.DUMMYFUNCTION("""COMPUTED_VALUE"""),20165.0)</f>
        <v>20165</v>
      </c>
      <c r="B1198" s="3" t="str">
        <f>IFERROR(__xludf.DUMMYFUNCTION("""COMPUTED_VALUE"""),"9565 BEAVERMEADOW RD E")</f>
        <v>9565 BEAVERMEADOW RD E</v>
      </c>
      <c r="C1198" s="3" t="str">
        <f>IFERROR(__xludf.DUMMYFUNCTION("""COMPUTED_VALUE"""),"BALTIMORE")</f>
        <v>BALTIMORE</v>
      </c>
      <c r="D1198" s="3" t="str">
        <f>IFERROR(__xludf.DUMMYFUNCTION("""COMPUTED_VALUE"""),"K0K 1C0")</f>
        <v>K0K 1C0</v>
      </c>
      <c r="E1198" s="3" t="str">
        <f>IFERROR(__xludf.DUMMYFUNCTION("""COMPUTED_VALUE"""),"pete perrow ")</f>
        <v>pete perrow </v>
      </c>
      <c r="F1198" s="3" t="str">
        <f>IFERROR(__xludf.DUMMYFUNCTION("""COMPUTED_VALUE"""),"peterperrow95@gmail.com")</f>
        <v>peterperrow95@gmail.com</v>
      </c>
      <c r="G1198" s="3">
        <f>IFERROR(__xludf.DUMMYFUNCTION("""COMPUTED_VALUE"""),9.052692655E9)</f>
        <v>9052692655</v>
      </c>
      <c r="H1198" s="3"/>
    </row>
    <row r="1199">
      <c r="A1199" s="2">
        <f>IFERROR(__xludf.DUMMYFUNCTION("""COMPUTED_VALUE"""),20166.0)</f>
        <v>20166</v>
      </c>
      <c r="B1199" s="3" t="str">
        <f>IFERROR(__xludf.DUMMYFUNCTION("""COMPUTED_VALUE"""),"9583 BEAVERMEADOW RD E")</f>
        <v>9583 BEAVERMEADOW RD E</v>
      </c>
      <c r="C1199" s="3" t="str">
        <f>IFERROR(__xludf.DUMMYFUNCTION("""COMPUTED_VALUE"""),"BALTIMORE")</f>
        <v>BALTIMORE</v>
      </c>
      <c r="D1199" s="3" t="str">
        <f>IFERROR(__xludf.DUMMYFUNCTION("""COMPUTED_VALUE"""),"K0K 1C0")</f>
        <v>K0K 1C0</v>
      </c>
      <c r="E1199" s="3" t="str">
        <f>IFERROR(__xludf.DUMMYFUNCTION("""COMPUTED_VALUE"""),"Marty Freeburn ")</f>
        <v>Marty Freeburn </v>
      </c>
      <c r="F1199" s="3" t="str">
        <f>IFERROR(__xludf.DUMMYFUNCTION("""COMPUTED_VALUE"""),"minifiefreeburnd@gmail.com")</f>
        <v>minifiefreeburnd@gmail.com</v>
      </c>
      <c r="G1199" s="3"/>
      <c r="H1199" s="3"/>
    </row>
    <row r="1200">
      <c r="A1200" s="2">
        <f>IFERROR(__xludf.DUMMYFUNCTION("""COMPUTED_VALUE"""),20167.0)</f>
        <v>20167</v>
      </c>
      <c r="B1200" s="3" t="str">
        <f>IFERROR(__xludf.DUMMYFUNCTION("""COMPUTED_VALUE"""),"9591 BEAVERMEADOW RD E")</f>
        <v>9591 BEAVERMEADOW RD E</v>
      </c>
      <c r="C1200" s="3" t="str">
        <f>IFERROR(__xludf.DUMMYFUNCTION("""COMPUTED_VALUE"""),"BALTIMORE")</f>
        <v>BALTIMORE</v>
      </c>
      <c r="D1200" s="3" t="str">
        <f>IFERROR(__xludf.DUMMYFUNCTION("""COMPUTED_VALUE"""),"K0K 1C0")</f>
        <v>K0K 1C0</v>
      </c>
      <c r="E1200" s="3" t="str">
        <f>IFERROR(__xludf.DUMMYFUNCTION("""COMPUTED_VALUE"""),"Mary Turner")</f>
        <v>Mary Turner</v>
      </c>
      <c r="F1200" s="3"/>
      <c r="G1200" s="3"/>
      <c r="H1200" s="3"/>
    </row>
    <row r="1201">
      <c r="A1201" s="2">
        <f>IFERROR(__xludf.DUMMYFUNCTION("""COMPUTED_VALUE"""),20168.0)</f>
        <v>20168</v>
      </c>
      <c r="B1201" s="3" t="str">
        <f>IFERROR(__xludf.DUMMYFUNCTION("""COMPUTED_VALUE"""),"9597 BEAVERMEADOW RD E")</f>
        <v>9597 BEAVERMEADOW RD E</v>
      </c>
      <c r="C1201" s="3" t="str">
        <f>IFERROR(__xludf.DUMMYFUNCTION("""COMPUTED_VALUE"""),"BALTIMORE")</f>
        <v>BALTIMORE</v>
      </c>
      <c r="D1201" s="3" t="str">
        <f>IFERROR(__xludf.DUMMYFUNCTION("""COMPUTED_VALUE"""),"K0K 1C0")</f>
        <v>K0K 1C0</v>
      </c>
      <c r="E1201" s="3" t="str">
        <f>IFERROR(__xludf.DUMMYFUNCTION("""COMPUTED_VALUE"""),"Andrew Ewart")</f>
        <v>Andrew Ewart</v>
      </c>
      <c r="F1201" s="3" t="str">
        <f>IFERROR(__xludf.DUMMYFUNCTION("""COMPUTED_VALUE"""),"Ewart_andrew@hotmail.com")</f>
        <v>Ewart_andrew@hotmail.com</v>
      </c>
      <c r="G1201" s="3">
        <f>IFERROR(__xludf.DUMMYFUNCTION("""COMPUTED_VALUE"""),9.053762422E9)</f>
        <v>9053762422</v>
      </c>
      <c r="H1201" s="3">
        <f>IFERROR(__xludf.DUMMYFUNCTION("""COMPUTED_VALUE"""),2.89385391E9)</f>
        <v>2893853910</v>
      </c>
    </row>
    <row r="1202">
      <c r="A1202" s="2">
        <f>IFERROR(__xludf.DUMMYFUNCTION("""COMPUTED_VALUE"""),20169.0)</f>
        <v>20169</v>
      </c>
      <c r="B1202" s="3" t="str">
        <f>IFERROR(__xludf.DUMMYFUNCTION("""COMPUTED_VALUE"""),"9609 BEAVERMEADOW RD E")</f>
        <v>9609 BEAVERMEADOW RD E</v>
      </c>
      <c r="C1202" s="3" t="str">
        <f>IFERROR(__xludf.DUMMYFUNCTION("""COMPUTED_VALUE"""),"BALTIMORE")</f>
        <v>BALTIMORE</v>
      </c>
      <c r="D1202" s="3" t="str">
        <f>IFERROR(__xludf.DUMMYFUNCTION("""COMPUTED_VALUE"""),"K0K 1C0")</f>
        <v>K0K 1C0</v>
      </c>
      <c r="E1202" s="3"/>
      <c r="F1202" s="3"/>
      <c r="G1202" s="3"/>
      <c r="H1202" s="3"/>
    </row>
    <row r="1203">
      <c r="A1203" s="2">
        <f>IFERROR(__xludf.DUMMYFUNCTION("""COMPUTED_VALUE"""),20170.0)</f>
        <v>20170</v>
      </c>
      <c r="B1203" s="3" t="str">
        <f>IFERROR(__xludf.DUMMYFUNCTION("""COMPUTED_VALUE"""),"9619 BEAVERMEADOW RD E")</f>
        <v>9619 BEAVERMEADOW RD E</v>
      </c>
      <c r="C1203" s="3" t="str">
        <f>IFERROR(__xludf.DUMMYFUNCTION("""COMPUTED_VALUE"""),"BALTIMORE")</f>
        <v>BALTIMORE</v>
      </c>
      <c r="D1203" s="3" t="str">
        <f>IFERROR(__xludf.DUMMYFUNCTION("""COMPUTED_VALUE"""),"K0K 1C0")</f>
        <v>K0K 1C0</v>
      </c>
      <c r="E1203" s="3" t="str">
        <f>IFERROR(__xludf.DUMMYFUNCTION("""COMPUTED_VALUE"""),"Mark bates")</f>
        <v>Mark bates</v>
      </c>
      <c r="F1203" s="3" t="str">
        <f>IFERROR(__xludf.DUMMYFUNCTION("""COMPUTED_VALUE"""),"firecapt04@hotmail.com")</f>
        <v>firecapt04@hotmail.com</v>
      </c>
      <c r="G1203" s="3">
        <f>IFERROR(__xludf.DUMMYFUNCTION("""COMPUTED_VALUE"""),9.053739673E9)</f>
        <v>9053739673</v>
      </c>
      <c r="H1203" s="3">
        <f>IFERROR(__xludf.DUMMYFUNCTION("""COMPUTED_VALUE"""),9.053422817E9)</f>
        <v>9053422817</v>
      </c>
    </row>
    <row r="1204">
      <c r="A1204" s="2">
        <f>IFERROR(__xludf.DUMMYFUNCTION("""COMPUTED_VALUE"""),20155.0)</f>
        <v>20155</v>
      </c>
      <c r="B1204" s="3" t="str">
        <f>IFERROR(__xludf.DUMMYFUNCTION("""COMPUTED_VALUE"""),"9641 BEAVERMEADOW RD E")</f>
        <v>9641 BEAVERMEADOW RD E</v>
      </c>
      <c r="C1204" s="3" t="str">
        <f>IFERROR(__xludf.DUMMYFUNCTION("""COMPUTED_VALUE"""),"GORES LANDING")</f>
        <v>GORES LANDING</v>
      </c>
      <c r="D1204" s="3" t="str">
        <f>IFERROR(__xludf.DUMMYFUNCTION("""COMPUTED_VALUE"""),"K0K 2E0")</f>
        <v>K0K 2E0</v>
      </c>
      <c r="E1204" s="3"/>
      <c r="F1204" s="3"/>
      <c r="G1204" s="3"/>
      <c r="H1204" s="3"/>
    </row>
    <row r="1205">
      <c r="A1205" s="2">
        <f>IFERROR(__xludf.DUMMYFUNCTION("""COMPUTED_VALUE"""),20140.0)</f>
        <v>20140</v>
      </c>
      <c r="B1205" s="3" t="str">
        <f>IFERROR(__xludf.DUMMYFUNCTION("""COMPUTED_VALUE"""),"9660 BEAVERMEADOW RD E")</f>
        <v>9660 BEAVERMEADOW RD E</v>
      </c>
      <c r="C1205" s="3" t="str">
        <f>IFERROR(__xludf.DUMMYFUNCTION("""COMPUTED_VALUE"""),"BALTIMORE")</f>
        <v>BALTIMORE</v>
      </c>
      <c r="D1205" s="3" t="str">
        <f>IFERROR(__xludf.DUMMYFUNCTION("""COMPUTED_VALUE"""),"K0K 1C0")</f>
        <v>K0K 1C0</v>
      </c>
      <c r="E1205" s="3"/>
      <c r="F1205" s="3"/>
      <c r="G1205" s="3"/>
      <c r="H1205" s="3"/>
    </row>
    <row r="1206">
      <c r="A1206" s="2">
        <f>IFERROR(__xludf.DUMMYFUNCTION("""COMPUTED_VALUE"""),20171.0)</f>
        <v>20171</v>
      </c>
      <c r="B1206" s="3" t="str">
        <f>IFERROR(__xludf.DUMMYFUNCTION("""COMPUTED_VALUE"""),"9663 BEAVERMEADOW RD E")</f>
        <v>9663 BEAVERMEADOW RD E</v>
      </c>
      <c r="C1206" s="3" t="str">
        <f>IFERROR(__xludf.DUMMYFUNCTION("""COMPUTED_VALUE"""),"BALTIMORE")</f>
        <v>BALTIMORE</v>
      </c>
      <c r="D1206" s="3" t="str">
        <f>IFERROR(__xludf.DUMMYFUNCTION("""COMPUTED_VALUE"""),"K0K 1C0")</f>
        <v>K0K 1C0</v>
      </c>
      <c r="E1206" s="3" t="str">
        <f>IFERROR(__xludf.DUMMYFUNCTION("""COMPUTED_VALUE"""),"Rita Hamilton ")</f>
        <v>Rita Hamilton </v>
      </c>
      <c r="F1206" s="3" t="str">
        <f>IFERROR(__xludf.DUMMYFUNCTION("""COMPUTED_VALUE"""),"rita.kelly@outlook.com")</f>
        <v>rita.kelly@outlook.com</v>
      </c>
      <c r="G1206" s="3"/>
      <c r="H1206" s="3"/>
    </row>
    <row r="1207">
      <c r="A1207" s="2">
        <f>IFERROR(__xludf.DUMMYFUNCTION("""COMPUTED_VALUE"""),20141.0)</f>
        <v>20141</v>
      </c>
      <c r="B1207" s="3" t="str">
        <f>IFERROR(__xludf.DUMMYFUNCTION("""COMPUTED_VALUE"""),"9670 BEAVERMEADOW RD E")</f>
        <v>9670 BEAVERMEADOW RD E</v>
      </c>
      <c r="C1207" s="3" t="str">
        <f>IFERROR(__xludf.DUMMYFUNCTION("""COMPUTED_VALUE"""),"BALTIMORE")</f>
        <v>BALTIMORE</v>
      </c>
      <c r="D1207" s="3" t="str">
        <f>IFERROR(__xludf.DUMMYFUNCTION("""COMPUTED_VALUE"""),"K0K 1C0")</f>
        <v>K0K 1C0</v>
      </c>
      <c r="E1207" s="3" t="str">
        <f>IFERROR(__xludf.DUMMYFUNCTION("""COMPUTED_VALUE"""),"Andrea Duncan")</f>
        <v>Andrea Duncan</v>
      </c>
      <c r="F1207" s="3" t="str">
        <f>IFERROR(__xludf.DUMMYFUNCTION("""COMPUTED_VALUE"""),"duncan-andrea@hotmail.com")</f>
        <v>duncan-andrea@hotmail.com</v>
      </c>
      <c r="G1207" s="3">
        <f>IFERROR(__xludf.DUMMYFUNCTION("""COMPUTED_VALUE"""),9.053761392E9)</f>
        <v>9053761392</v>
      </c>
      <c r="H1207" s="3"/>
    </row>
    <row r="1208">
      <c r="A1208" s="2">
        <f>IFERROR(__xludf.DUMMYFUNCTION("""COMPUTED_VALUE"""),20172.0)</f>
        <v>20172</v>
      </c>
      <c r="B1208" s="3" t="str">
        <f>IFERROR(__xludf.DUMMYFUNCTION("""COMPUTED_VALUE"""),"9673 BEAVERMEADOW RD E")</f>
        <v>9673 BEAVERMEADOW RD E</v>
      </c>
      <c r="C1208" s="3" t="str">
        <f>IFERROR(__xludf.DUMMYFUNCTION("""COMPUTED_VALUE"""),"BALTIMORE")</f>
        <v>BALTIMORE</v>
      </c>
      <c r="D1208" s="3" t="str">
        <f>IFERROR(__xludf.DUMMYFUNCTION("""COMPUTED_VALUE"""),"K0K 1C0")</f>
        <v>K0K 1C0</v>
      </c>
      <c r="E1208" s="3"/>
      <c r="F1208" s="3"/>
      <c r="G1208" s="3"/>
      <c r="H1208" s="3"/>
    </row>
    <row r="1209">
      <c r="A1209" s="2">
        <f>IFERROR(__xludf.DUMMYFUNCTION("""COMPUTED_VALUE"""),20173.0)</f>
        <v>20173</v>
      </c>
      <c r="B1209" s="3" t="str">
        <f>IFERROR(__xludf.DUMMYFUNCTION("""COMPUTED_VALUE"""),"9677 BEAVERMEADOW RD E")</f>
        <v>9677 BEAVERMEADOW RD E</v>
      </c>
      <c r="C1209" s="3" t="str">
        <f>IFERROR(__xludf.DUMMYFUNCTION("""COMPUTED_VALUE"""),"BALTIMORE")</f>
        <v>BALTIMORE</v>
      </c>
      <c r="D1209" s="3" t="str">
        <f>IFERROR(__xludf.DUMMYFUNCTION("""COMPUTED_VALUE"""),"K0K 1C0")</f>
        <v>K0K 1C0</v>
      </c>
      <c r="E1209" s="3"/>
      <c r="F1209" s="3"/>
      <c r="G1209" s="3"/>
      <c r="H1209" s="3"/>
    </row>
    <row r="1210">
      <c r="A1210" s="2">
        <f>IFERROR(__xludf.DUMMYFUNCTION("""COMPUTED_VALUE"""),20142.0)</f>
        <v>20142</v>
      </c>
      <c r="B1210" s="3" t="str">
        <f>IFERROR(__xludf.DUMMYFUNCTION("""COMPUTED_VALUE"""),"9690 BEAVERMEADOW RD E")</f>
        <v>9690 BEAVERMEADOW RD E</v>
      </c>
      <c r="C1210" s="3" t="str">
        <f>IFERROR(__xludf.DUMMYFUNCTION("""COMPUTED_VALUE"""),"BALTIMORE")</f>
        <v>BALTIMORE</v>
      </c>
      <c r="D1210" s="3" t="str">
        <f>IFERROR(__xludf.DUMMYFUNCTION("""COMPUTED_VALUE"""),"K0K 1C0")</f>
        <v>K0K 1C0</v>
      </c>
      <c r="E1210" s="3" t="str">
        <f>IFERROR(__xludf.DUMMYFUNCTION("""COMPUTED_VALUE"""),"dan gray")</f>
        <v>dan gray</v>
      </c>
      <c r="F1210" s="3" t="str">
        <f>IFERROR(__xludf.DUMMYFUNCTION("""COMPUTED_VALUE"""),"mrdangray@gmail.com")</f>
        <v>mrdangray@gmail.com</v>
      </c>
      <c r="G1210" s="3">
        <f>IFERROR(__xludf.DUMMYFUNCTION("""COMPUTED_VALUE"""),9.053758639E9)</f>
        <v>9053758639</v>
      </c>
      <c r="H1210" s="3"/>
    </row>
    <row r="1211">
      <c r="A1211" s="2">
        <f>IFERROR(__xludf.DUMMYFUNCTION("""COMPUTED_VALUE"""),20174.0)</f>
        <v>20174</v>
      </c>
      <c r="B1211" s="3" t="str">
        <f>IFERROR(__xludf.DUMMYFUNCTION("""COMPUTED_VALUE"""),"9691 BEAVERMEADOW RD E")</f>
        <v>9691 BEAVERMEADOW RD E</v>
      </c>
      <c r="C1211" s="3" t="str">
        <f>IFERROR(__xludf.DUMMYFUNCTION("""COMPUTED_VALUE"""),"BALTIMORE")</f>
        <v>BALTIMORE</v>
      </c>
      <c r="D1211" s="3" t="str">
        <f>IFERROR(__xludf.DUMMYFUNCTION("""COMPUTED_VALUE"""),"K0K 1C0")</f>
        <v>K0K 1C0</v>
      </c>
      <c r="E1211" s="3" t="str">
        <f>IFERROR(__xludf.DUMMYFUNCTION("""COMPUTED_VALUE"""),"mark haubold ")</f>
        <v>mark haubold </v>
      </c>
      <c r="F1211" s="3"/>
      <c r="G1211" s="3">
        <f>IFERROR(__xludf.DUMMYFUNCTION("""COMPUTED_VALUE"""),4.165567964E9)</f>
        <v>4165567964</v>
      </c>
      <c r="H1211" s="3"/>
    </row>
    <row r="1212">
      <c r="A1212" s="2">
        <f>IFERROR(__xludf.DUMMYFUNCTION("""COMPUTED_VALUE"""),20143.0)</f>
        <v>20143</v>
      </c>
      <c r="B1212" s="3" t="str">
        <f>IFERROR(__xludf.DUMMYFUNCTION("""COMPUTED_VALUE"""),"9708 BEAVERMEADOW RD E")</f>
        <v>9708 BEAVERMEADOW RD E</v>
      </c>
      <c r="C1212" s="3" t="str">
        <f>IFERROR(__xludf.DUMMYFUNCTION("""COMPUTED_VALUE"""),"BALTIMORE")</f>
        <v>BALTIMORE</v>
      </c>
      <c r="D1212" s="3" t="str">
        <f>IFERROR(__xludf.DUMMYFUNCTION("""COMPUTED_VALUE"""),"K0K 1C0")</f>
        <v>K0K 1C0</v>
      </c>
      <c r="E1212" s="3" t="str">
        <f>IFERROR(__xludf.DUMMYFUNCTION("""COMPUTED_VALUE"""),"JIM ROBERTSON")</f>
        <v>JIM ROBERTSON</v>
      </c>
      <c r="F1212" s="3" t="str">
        <f>IFERROR(__xludf.DUMMYFUNCTION("""COMPUTED_VALUE"""),"jimerobertson205@gmail.com")</f>
        <v>jimerobertson205@gmail.com</v>
      </c>
      <c r="G1212" s="3"/>
      <c r="H1212" s="3"/>
    </row>
    <row r="1213">
      <c r="A1213" s="2">
        <f>IFERROR(__xludf.DUMMYFUNCTION("""COMPUTED_VALUE"""),20144.0)</f>
        <v>20144</v>
      </c>
      <c r="B1213" s="3" t="str">
        <f>IFERROR(__xludf.DUMMYFUNCTION("""COMPUTED_VALUE"""),"9716 BEAVERMEADOW RD E")</f>
        <v>9716 BEAVERMEADOW RD E</v>
      </c>
      <c r="C1213" s="3" t="str">
        <f>IFERROR(__xludf.DUMMYFUNCTION("""COMPUTED_VALUE"""),"BALTIMORE")</f>
        <v>BALTIMORE</v>
      </c>
      <c r="D1213" s="3" t="str">
        <f>IFERROR(__xludf.DUMMYFUNCTION("""COMPUTED_VALUE"""),"K0K 1C0")</f>
        <v>K0K 1C0</v>
      </c>
      <c r="E1213" s="3" t="str">
        <f>IFERROR(__xludf.DUMMYFUNCTION("""COMPUTED_VALUE"""),"PAUL RICHTER")</f>
        <v>PAUL RICHTER</v>
      </c>
      <c r="F1213" s="3" t="str">
        <f>IFERROR(__xludf.DUMMYFUNCTION("""COMPUTED_VALUE"""),"paulmrichter@gmail.com")</f>
        <v>paulmrichter@gmail.com</v>
      </c>
      <c r="G1213" s="3"/>
      <c r="H1213" s="3"/>
    </row>
    <row r="1214">
      <c r="A1214" s="2">
        <f>IFERROR(__xludf.DUMMYFUNCTION("""COMPUTED_VALUE"""),20145.0)</f>
        <v>20145</v>
      </c>
      <c r="B1214" s="3" t="str">
        <f>IFERROR(__xludf.DUMMYFUNCTION("""COMPUTED_VALUE"""),"9762 BEAVERMEADOW RD E")</f>
        <v>9762 BEAVERMEADOW RD E</v>
      </c>
      <c r="C1214" s="3" t="str">
        <f>IFERROR(__xludf.DUMMYFUNCTION("""COMPUTED_VALUE"""),"BALTIMORE")</f>
        <v>BALTIMORE</v>
      </c>
      <c r="D1214" s="3" t="str">
        <f>IFERROR(__xludf.DUMMYFUNCTION("""COMPUTED_VALUE"""),"K0K 1C0")</f>
        <v>K0K 1C0</v>
      </c>
      <c r="E1214" s="3"/>
      <c r="F1214" s="3"/>
      <c r="G1214" s="3"/>
      <c r="H1214" s="3"/>
    </row>
    <row r="1215">
      <c r="A1215" s="2">
        <f>IFERROR(__xludf.DUMMYFUNCTION("""COMPUTED_VALUE"""),20207.0)</f>
        <v>20207</v>
      </c>
      <c r="B1215" s="3" t="str">
        <f>IFERROR(__xludf.DUMMYFUNCTION("""COMPUTED_VALUE"""),"7459 BETHEL GROVE RD")</f>
        <v>7459 BETHEL GROVE RD</v>
      </c>
      <c r="C1215" s="3" t="str">
        <f>IFERROR(__xludf.DUMMYFUNCTION("""COMPUTED_VALUE"""),"COBOURG")</f>
        <v>COBOURG</v>
      </c>
      <c r="D1215" s="3" t="str">
        <f>IFERROR(__xludf.DUMMYFUNCTION("""COMPUTED_VALUE"""),"K9A 4J7")</f>
        <v>K9A 4J7</v>
      </c>
      <c r="E1215" s="3" t="str">
        <f>IFERROR(__xludf.DUMMYFUNCTION("""COMPUTED_VALUE"""),"robert johnson")</f>
        <v>robert johnson</v>
      </c>
      <c r="F1215" s="3"/>
      <c r="G1215" s="3">
        <f>IFERROR(__xludf.DUMMYFUNCTION("""COMPUTED_VALUE"""),9.052695493E9)</f>
        <v>9052695493</v>
      </c>
      <c r="H1215" s="3"/>
    </row>
    <row r="1216">
      <c r="A1216" s="2">
        <f>IFERROR(__xludf.DUMMYFUNCTION("""COMPUTED_VALUE"""),20208.0)</f>
        <v>20208</v>
      </c>
      <c r="B1216" s="3" t="str">
        <f>IFERROR(__xludf.DUMMYFUNCTION("""COMPUTED_VALUE"""),"7483 BETHEL GROVE RD")</f>
        <v>7483 BETHEL GROVE RD</v>
      </c>
      <c r="C1216" s="3" t="str">
        <f>IFERROR(__xludf.DUMMYFUNCTION("""COMPUTED_VALUE"""),"COBOURG")</f>
        <v>COBOURG</v>
      </c>
      <c r="D1216" s="3" t="str">
        <f>IFERROR(__xludf.DUMMYFUNCTION("""COMPUTED_VALUE"""),"K9A 4J7")</f>
        <v>K9A 4J7</v>
      </c>
      <c r="E1216" s="3" t="str">
        <f>IFERROR(__xludf.DUMMYFUNCTION("""COMPUTED_VALUE"""),"Joanne Colebourne")</f>
        <v>Joanne Colebourne</v>
      </c>
      <c r="F1216" s="3" t="str">
        <f>IFERROR(__xludf.DUMMYFUNCTION("""COMPUTED_VALUE"""),"joannecolebourne@gmail.com")</f>
        <v>joannecolebourne@gmail.com</v>
      </c>
      <c r="G1216" s="3">
        <f>IFERROR(__xludf.DUMMYFUNCTION("""COMPUTED_VALUE"""),9.053775354E9)</f>
        <v>9053775354</v>
      </c>
      <c r="H1216" s="3">
        <f>IFERROR(__xludf.DUMMYFUNCTION("""COMPUTED_VALUE"""),9.053775883E9)</f>
        <v>9053775883</v>
      </c>
    </row>
    <row r="1217">
      <c r="A1217" s="2">
        <f>IFERROR(__xludf.DUMMYFUNCTION("""COMPUTED_VALUE"""),20209.0)</f>
        <v>20209</v>
      </c>
      <c r="B1217" s="3" t="str">
        <f>IFERROR(__xludf.DUMMYFUNCTION("""COMPUTED_VALUE"""),"7491 BETHEL GROVE RD")</f>
        <v>7491 BETHEL GROVE RD</v>
      </c>
      <c r="C1217" s="3" t="str">
        <f>IFERROR(__xludf.DUMMYFUNCTION("""COMPUTED_VALUE"""),"COBOURG")</f>
        <v>COBOURG</v>
      </c>
      <c r="D1217" s="3" t="str">
        <f>IFERROR(__xludf.DUMMYFUNCTION("""COMPUTED_VALUE"""),"K9A 4J7")</f>
        <v>K9A 4J7</v>
      </c>
      <c r="E1217" s="3" t="str">
        <f>IFERROR(__xludf.DUMMYFUNCTION("""COMPUTED_VALUE"""),"Chris Addley")</f>
        <v>Chris Addley</v>
      </c>
      <c r="F1217" s="3" t="str">
        <f>IFERROR(__xludf.DUMMYFUNCTION("""COMPUTED_VALUE"""),"addley1973@gmail.com")</f>
        <v>addley1973@gmail.com</v>
      </c>
      <c r="G1217" s="3">
        <f>IFERROR(__xludf.DUMMYFUNCTION("""COMPUTED_VALUE"""),9.052597057E9)</f>
        <v>9052597057</v>
      </c>
      <c r="H1217" s="3"/>
    </row>
    <row r="1218">
      <c r="A1218" s="2">
        <f>IFERROR(__xludf.DUMMYFUNCTION("""COMPUTED_VALUE"""),20211.0)</f>
        <v>20211</v>
      </c>
      <c r="B1218" s="3" t="str">
        <f>IFERROR(__xludf.DUMMYFUNCTION("""COMPUTED_VALUE"""),"7543 BETHEL GROVE RD")</f>
        <v>7543 BETHEL GROVE RD</v>
      </c>
      <c r="C1218" s="3" t="str">
        <f>IFERROR(__xludf.DUMMYFUNCTION("""COMPUTED_VALUE"""),"COBOURG")</f>
        <v>COBOURG</v>
      </c>
      <c r="D1218" s="3" t="str">
        <f>IFERROR(__xludf.DUMMYFUNCTION("""COMPUTED_VALUE"""),"K9A 4J7")</f>
        <v>K9A 4J7</v>
      </c>
      <c r="E1218" s="3"/>
      <c r="F1218" s="3"/>
      <c r="G1218" s="3"/>
      <c r="H1218" s="3"/>
    </row>
    <row r="1219">
      <c r="A1219" s="2">
        <f>IFERROR(__xludf.DUMMYFUNCTION("""COMPUTED_VALUE"""),20212.0)</f>
        <v>20212</v>
      </c>
      <c r="B1219" s="3" t="str">
        <f>IFERROR(__xludf.DUMMYFUNCTION("""COMPUTED_VALUE"""),"7603 BETHEL GROVE RD ")</f>
        <v>7603 BETHEL GROVE RD </v>
      </c>
      <c r="C1219" s="3" t="str">
        <f>IFERROR(__xludf.DUMMYFUNCTION("""COMPUTED_VALUE"""),"COBOURG")</f>
        <v>COBOURG</v>
      </c>
      <c r="D1219" s="3" t="str">
        <f>IFERROR(__xludf.DUMMYFUNCTION("""COMPUTED_VALUE"""),"K9A 4J7")</f>
        <v>K9A 4J7</v>
      </c>
      <c r="E1219" s="3" t="str">
        <f>IFERROR(__xludf.DUMMYFUNCTION("""COMPUTED_VALUE"""),"Nathan Noble ")</f>
        <v>Nathan Noble </v>
      </c>
      <c r="F1219" s="3" t="str">
        <f>IFERROR(__xludf.DUMMYFUNCTION("""COMPUTED_VALUE"""),"nathan.nble@gmail.com")</f>
        <v>nathan.nble@gmail.com</v>
      </c>
      <c r="G1219" s="3">
        <f>IFERROR(__xludf.DUMMYFUNCTION("""COMPUTED_VALUE"""),4.03473705E9)</f>
        <v>4034737050</v>
      </c>
      <c r="H1219" s="3">
        <f>IFERROR(__xludf.DUMMYFUNCTION("""COMPUTED_VALUE"""),4.03397366E9)</f>
        <v>4033973660</v>
      </c>
    </row>
    <row r="1220">
      <c r="A1220" s="2">
        <f>IFERROR(__xludf.DUMMYFUNCTION("""COMPUTED_VALUE"""),20213.0)</f>
        <v>20213</v>
      </c>
      <c r="B1220" s="3" t="str">
        <f>IFERROR(__xludf.DUMMYFUNCTION("""COMPUTED_VALUE"""),"7676 BETHEL GROVE RD")</f>
        <v>7676 BETHEL GROVE RD</v>
      </c>
      <c r="C1220" s="3" t="str">
        <f>IFERROR(__xludf.DUMMYFUNCTION("""COMPUTED_VALUE"""),"COBOURG")</f>
        <v>COBOURG</v>
      </c>
      <c r="D1220" s="3" t="str">
        <f>IFERROR(__xludf.DUMMYFUNCTION("""COMPUTED_VALUE"""),"K9A 4J7")</f>
        <v>K9A 4J7</v>
      </c>
      <c r="E1220" s="3" t="str">
        <f>IFERROR(__xludf.DUMMYFUNCTION("""COMPUTED_VALUE"""),"Wayne Howard &amp; Nancy Gibbons")</f>
        <v>Wayne Howard &amp; Nancy Gibbons</v>
      </c>
      <c r="F1220" s="3" t="str">
        <f>IFERROR(__xludf.DUMMYFUNCTION("""COMPUTED_VALUE"""),"gannynanny50@gmail.com")</f>
        <v>gannynanny50@gmail.com</v>
      </c>
      <c r="G1220" s="3">
        <f>IFERROR(__xludf.DUMMYFUNCTION("""COMPUTED_VALUE"""),9.053422093E9)</f>
        <v>9053422093</v>
      </c>
      <c r="H1220" s="3">
        <f>IFERROR(__xludf.DUMMYFUNCTION("""COMPUTED_VALUE"""),9.053962094E9)</f>
        <v>9053962094</v>
      </c>
    </row>
    <row r="1221">
      <c r="A1221" s="2">
        <f>IFERROR(__xludf.DUMMYFUNCTION("""COMPUTED_VALUE"""),20214.0)</f>
        <v>20214</v>
      </c>
      <c r="B1221" s="3" t="str">
        <f>IFERROR(__xludf.DUMMYFUNCTION("""COMPUTED_VALUE"""),"7677 BETHEL GROVE RD")</f>
        <v>7677 BETHEL GROVE RD</v>
      </c>
      <c r="C1221" s="3" t="str">
        <f>IFERROR(__xludf.DUMMYFUNCTION("""COMPUTED_VALUE"""),"COBOURG")</f>
        <v>COBOURG</v>
      </c>
      <c r="D1221" s="3" t="str">
        <f>IFERROR(__xludf.DUMMYFUNCTION("""COMPUTED_VALUE"""),"K9A 4J7")</f>
        <v>K9A 4J7</v>
      </c>
      <c r="E1221" s="3" t="str">
        <f>IFERROR(__xludf.DUMMYFUNCTION("""COMPUTED_VALUE"""),"Shannon Hewey")</f>
        <v>Shannon Hewey</v>
      </c>
      <c r="F1221" s="3" t="str">
        <f>IFERROR(__xludf.DUMMYFUNCTION("""COMPUTED_VALUE"""),"sjhewey@hotmail.com")</f>
        <v>sjhewey@hotmail.com</v>
      </c>
      <c r="G1221" s="3">
        <f>IFERROR(__xludf.DUMMYFUNCTION("""COMPUTED_VALUE"""),9.053962267E9)</f>
        <v>9053962267</v>
      </c>
      <c r="H1221" s="3"/>
    </row>
    <row r="1222">
      <c r="A1222" s="2">
        <f>IFERROR(__xludf.DUMMYFUNCTION("""COMPUTED_VALUE"""),20215.0)</f>
        <v>20215</v>
      </c>
      <c r="B1222" s="3" t="str">
        <f>IFERROR(__xludf.DUMMYFUNCTION("""COMPUTED_VALUE"""),"7681 BETHEL GROVE RD")</f>
        <v>7681 BETHEL GROVE RD</v>
      </c>
      <c r="C1222" s="3" t="str">
        <f>IFERROR(__xludf.DUMMYFUNCTION("""COMPUTED_VALUE"""),"COBOURG")</f>
        <v>COBOURG</v>
      </c>
      <c r="D1222" s="3" t="str">
        <f>IFERROR(__xludf.DUMMYFUNCTION("""COMPUTED_VALUE"""),"K9A 4J7")</f>
        <v>K9A 4J7</v>
      </c>
      <c r="E1222" s="3" t="str">
        <f>IFERROR(__xludf.DUMMYFUNCTION("""COMPUTED_VALUE"""),"Monica Houston")</f>
        <v>Monica Houston</v>
      </c>
      <c r="F1222" s="3" t="str">
        <f>IFERROR(__xludf.DUMMYFUNCTION("""COMPUTED_VALUE"""),"monica1898y@gmail.com")</f>
        <v>monica1898y@gmail.com</v>
      </c>
      <c r="G1222" s="3">
        <f>IFERROR(__xludf.DUMMYFUNCTION("""COMPUTED_VALUE"""),6.477027799E9)</f>
        <v>6477027799</v>
      </c>
      <c r="H1222" s="3"/>
    </row>
    <row r="1223">
      <c r="A1223" s="2">
        <f>IFERROR(__xludf.DUMMYFUNCTION("""COMPUTED_VALUE"""),20216.0)</f>
        <v>20216</v>
      </c>
      <c r="B1223" s="3" t="str">
        <f>IFERROR(__xludf.DUMMYFUNCTION("""COMPUTED_VALUE"""),"7684 BETHEL GROVE RD")</f>
        <v>7684 BETHEL GROVE RD</v>
      </c>
      <c r="C1223" s="3" t="str">
        <f>IFERROR(__xludf.DUMMYFUNCTION("""COMPUTED_VALUE"""),"COBOURG")</f>
        <v>COBOURG</v>
      </c>
      <c r="D1223" s="3" t="str">
        <f>IFERROR(__xludf.DUMMYFUNCTION("""COMPUTED_VALUE"""),"K9A 4J7")</f>
        <v>K9A 4J7</v>
      </c>
      <c r="E1223" s="3" t="str">
        <f>IFERROR(__xludf.DUMMYFUNCTION("""COMPUTED_VALUE"""),"Jodi Hazell")</f>
        <v>Jodi Hazell</v>
      </c>
      <c r="F1223" s="3" t="str">
        <f>IFERROR(__xludf.DUMMYFUNCTION("""COMPUTED_VALUE"""),"mrsbagshaw@gmail.com")</f>
        <v>mrsbagshaw@gmail.com</v>
      </c>
      <c r="G1223" s="3">
        <f>IFERROR(__xludf.DUMMYFUNCTION("""COMPUTED_VALUE"""),9.053756234E9)</f>
        <v>9053756234</v>
      </c>
      <c r="H1223" s="3"/>
    </row>
    <row r="1224">
      <c r="A1224" s="2">
        <f>IFERROR(__xludf.DUMMYFUNCTION("""COMPUTED_VALUE"""),20217.0)</f>
        <v>20217</v>
      </c>
      <c r="B1224" s="3" t="str">
        <f>IFERROR(__xludf.DUMMYFUNCTION("""COMPUTED_VALUE"""),"7685 BETHEL GROVE RD")</f>
        <v>7685 BETHEL GROVE RD</v>
      </c>
      <c r="C1224" s="3" t="str">
        <f>IFERROR(__xludf.DUMMYFUNCTION("""COMPUTED_VALUE"""),"COBOURG")</f>
        <v>COBOURG</v>
      </c>
      <c r="D1224" s="3" t="str">
        <f>IFERROR(__xludf.DUMMYFUNCTION("""COMPUTED_VALUE"""),"K9A 4J7")</f>
        <v>K9A 4J7</v>
      </c>
      <c r="E1224" s="3" t="str">
        <f>IFERROR(__xludf.DUMMYFUNCTION("""COMPUTED_VALUE"""),"dan ibanez ")</f>
        <v>dan ibanez </v>
      </c>
      <c r="F1224" s="3" t="str">
        <f>IFERROR(__xludf.DUMMYFUNCTION("""COMPUTED_VALUE"""),"dan.rambura@gmail.com")</f>
        <v>dan.rambura@gmail.com</v>
      </c>
      <c r="G1224" s="3">
        <f>IFERROR(__xludf.DUMMYFUNCTION("""COMPUTED_VALUE"""),2.898130863E9)</f>
        <v>2898130863</v>
      </c>
      <c r="H1224" s="3">
        <f>IFERROR(__xludf.DUMMYFUNCTION("""COMPUTED_VALUE"""),2.894042544E9)</f>
        <v>2894042544</v>
      </c>
    </row>
    <row r="1225">
      <c r="A1225" s="2">
        <f>IFERROR(__xludf.DUMMYFUNCTION("""COMPUTED_VALUE"""),20218.0)</f>
        <v>20218</v>
      </c>
      <c r="B1225" s="3" t="str">
        <f>IFERROR(__xludf.DUMMYFUNCTION("""COMPUTED_VALUE"""),"7711 BETHEL GROVE RD")</f>
        <v>7711 BETHEL GROVE RD</v>
      </c>
      <c r="C1225" s="3" t="str">
        <f>IFERROR(__xludf.DUMMYFUNCTION("""COMPUTED_VALUE"""),"COBOURG")</f>
        <v>COBOURG</v>
      </c>
      <c r="D1225" s="3" t="str">
        <f>IFERROR(__xludf.DUMMYFUNCTION("""COMPUTED_VALUE"""),"K9A 4J7")</f>
        <v>K9A 4J7</v>
      </c>
      <c r="E1225" s="3" t="str">
        <f>IFERROR(__xludf.DUMMYFUNCTION("""COMPUTED_VALUE"""),"Aurelio Ibanez")</f>
        <v>Aurelio Ibanez</v>
      </c>
      <c r="F1225" s="3" t="str">
        <f>IFERROR(__xludf.DUMMYFUNCTION("""COMPUTED_VALUE"""),"aibanez546@gmail.com")</f>
        <v>aibanez546@gmail.com</v>
      </c>
      <c r="G1225" s="3"/>
      <c r="H1225" s="3"/>
    </row>
    <row r="1226">
      <c r="A1226" s="2">
        <f>IFERROR(__xludf.DUMMYFUNCTION("""COMPUTED_VALUE"""),20219.0)</f>
        <v>20219</v>
      </c>
      <c r="B1226" s="3" t="str">
        <f>IFERROR(__xludf.DUMMYFUNCTION("""COMPUTED_VALUE"""),"7734 BETHEL GROVE RD")</f>
        <v>7734 BETHEL GROVE RD</v>
      </c>
      <c r="C1226" s="3" t="str">
        <f>IFERROR(__xludf.DUMMYFUNCTION("""COMPUTED_VALUE"""),"COBOURG")</f>
        <v>COBOURG</v>
      </c>
      <c r="D1226" s="3" t="str">
        <f>IFERROR(__xludf.DUMMYFUNCTION("""COMPUTED_VALUE"""),"K9A 4J7")</f>
        <v>K9A 4J7</v>
      </c>
      <c r="E1226" s="3" t="str">
        <f>IFERROR(__xludf.DUMMYFUNCTION("""COMPUTED_VALUE"""),"william symineton")</f>
        <v>william symineton</v>
      </c>
      <c r="F1226" s="3" t="str">
        <f>IFERROR(__xludf.DUMMYFUNCTION("""COMPUTED_VALUE"""),"billdabeast123@gmail.com")</f>
        <v>billdabeast123@gmail.com</v>
      </c>
      <c r="G1226" s="3">
        <f>IFERROR(__xludf.DUMMYFUNCTION("""COMPUTED_VALUE"""),9.059031939E9)</f>
        <v>9059031939</v>
      </c>
      <c r="H1226" s="3">
        <f>IFERROR(__xludf.DUMMYFUNCTION("""COMPUTED_VALUE"""),9.059039783E9)</f>
        <v>9059039783</v>
      </c>
    </row>
    <row r="1227">
      <c r="A1227" s="2">
        <f>IFERROR(__xludf.DUMMYFUNCTION("""COMPUTED_VALUE"""),20220.0)</f>
        <v>20220</v>
      </c>
      <c r="B1227" s="3" t="str">
        <f>IFERROR(__xludf.DUMMYFUNCTION("""COMPUTED_VALUE"""),"7804 BETHEL GROVE RD")</f>
        <v>7804 BETHEL GROVE RD</v>
      </c>
      <c r="C1227" s="3" t="str">
        <f>IFERROR(__xludf.DUMMYFUNCTION("""COMPUTED_VALUE"""),"COBOURG")</f>
        <v>COBOURG</v>
      </c>
      <c r="D1227" s="3" t="str">
        <f>IFERROR(__xludf.DUMMYFUNCTION("""COMPUTED_VALUE"""),"K9A 4J7")</f>
        <v>K9A 4J7</v>
      </c>
      <c r="E1227" s="3"/>
      <c r="F1227" s="3"/>
      <c r="G1227" s="3"/>
      <c r="H1227" s="3"/>
    </row>
    <row r="1228">
      <c r="A1228" s="2">
        <f>IFERROR(__xludf.DUMMYFUNCTION("""COMPUTED_VALUE"""),23972.0)</f>
        <v>23972</v>
      </c>
      <c r="B1228" s="3" t="str">
        <f>IFERROR(__xludf.DUMMYFUNCTION("""COMPUTED_VALUE"""),"7837 BETHEL GROVE RD")</f>
        <v>7837 BETHEL GROVE RD</v>
      </c>
      <c r="C1228" s="3" t="str">
        <f>IFERROR(__xludf.DUMMYFUNCTION("""COMPUTED_VALUE"""),"COBOURG")</f>
        <v>COBOURG</v>
      </c>
      <c r="D1228" s="3" t="str">
        <f>IFERROR(__xludf.DUMMYFUNCTION("""COMPUTED_VALUE"""),"K9A 4J7")</f>
        <v>K9A 4J7</v>
      </c>
      <c r="E1228" s="3"/>
      <c r="F1228" s="3"/>
      <c r="G1228" s="3"/>
      <c r="H1228" s="3"/>
    </row>
    <row r="1229">
      <c r="A1229" s="2">
        <f>IFERROR(__xludf.DUMMYFUNCTION("""COMPUTED_VALUE"""),20221.0)</f>
        <v>20221</v>
      </c>
      <c r="B1229" s="3" t="str">
        <f>IFERROR(__xludf.DUMMYFUNCTION("""COMPUTED_VALUE"""),"7882 BETHEL GROVE RD")</f>
        <v>7882 BETHEL GROVE RD</v>
      </c>
      <c r="C1229" s="3" t="str">
        <f>IFERROR(__xludf.DUMMYFUNCTION("""COMPUTED_VALUE"""),"COBOURG")</f>
        <v>COBOURG</v>
      </c>
      <c r="D1229" s="3" t="str">
        <f>IFERROR(__xludf.DUMMYFUNCTION("""COMPUTED_VALUE"""),"K9A 4J7")</f>
        <v>K9A 4J7</v>
      </c>
      <c r="E1229" s="3" t="str">
        <f>IFERROR(__xludf.DUMMYFUNCTION("""COMPUTED_VALUE"""),"Jamie Campbell ")</f>
        <v>Jamie Campbell </v>
      </c>
      <c r="F1229" s="3" t="str">
        <f>IFERROR(__xludf.DUMMYFUNCTION("""COMPUTED_VALUE"""),"campbell9@hotmail.com")</f>
        <v>campbell9@hotmail.com</v>
      </c>
      <c r="G1229" s="3"/>
      <c r="H1229" s="3"/>
    </row>
    <row r="1230">
      <c r="A1230" s="2">
        <f>IFERROR(__xludf.DUMMYFUNCTION("""COMPUTED_VALUE"""),20222.0)</f>
        <v>20222</v>
      </c>
      <c r="B1230" s="3" t="str">
        <f>IFERROR(__xludf.DUMMYFUNCTION("""COMPUTED_VALUE"""),"7916 BETHEL GROVE RD")</f>
        <v>7916 BETHEL GROVE RD</v>
      </c>
      <c r="C1230" s="3" t="str">
        <f>IFERROR(__xludf.DUMMYFUNCTION("""COMPUTED_VALUE"""),"COBOURG")</f>
        <v>COBOURG</v>
      </c>
      <c r="D1230" s="3" t="str">
        <f>IFERROR(__xludf.DUMMYFUNCTION("""COMPUTED_VALUE"""),"K9A 4J7")</f>
        <v>K9A 4J7</v>
      </c>
      <c r="E1230" s="3" t="str">
        <f>IFERROR(__xludf.DUMMYFUNCTION("""COMPUTED_VALUE"""),"stephen&amp;laura collins")</f>
        <v>stephen&amp;laura collins</v>
      </c>
      <c r="F1230" s="3" t="str">
        <f>IFERROR(__xludf.DUMMYFUNCTION("""COMPUTED_VALUE"""),"laura7lee9@gmail.com")</f>
        <v>laura7lee9@gmail.com</v>
      </c>
      <c r="G1230" s="3">
        <f>IFERROR(__xludf.DUMMYFUNCTION("""COMPUTED_VALUE"""),9.053425647E9)</f>
        <v>9053425647</v>
      </c>
      <c r="H1230" s="3">
        <f>IFERROR(__xludf.DUMMYFUNCTION("""COMPUTED_VALUE"""),3.653237433E9)</f>
        <v>3653237433</v>
      </c>
    </row>
    <row r="1231">
      <c r="A1231" s="2">
        <f>IFERROR(__xludf.DUMMYFUNCTION("""COMPUTED_VALUE"""),20223.0)</f>
        <v>20223</v>
      </c>
      <c r="B1231" s="3" t="str">
        <f>IFERROR(__xludf.DUMMYFUNCTION("""COMPUTED_VALUE"""),"7946 BETHEL GROVE RD")</f>
        <v>7946 BETHEL GROVE RD</v>
      </c>
      <c r="C1231" s="3" t="str">
        <f>IFERROR(__xludf.DUMMYFUNCTION("""COMPUTED_VALUE"""),"COBOURG")</f>
        <v>COBOURG</v>
      </c>
      <c r="D1231" s="3" t="str">
        <f>IFERROR(__xludf.DUMMYFUNCTION("""COMPUTED_VALUE"""),"K9A 4J7")</f>
        <v>K9A 4J7</v>
      </c>
      <c r="E1231" s="3" t="str">
        <f>IFERROR(__xludf.DUMMYFUNCTION("""COMPUTED_VALUE"""),"Gary Clarke")</f>
        <v>Gary Clarke</v>
      </c>
      <c r="F1231" s="3" t="str">
        <f>IFERROR(__xludf.DUMMYFUNCTION("""COMPUTED_VALUE"""),"clarkie4823@hotmail.com")</f>
        <v>clarkie4823@hotmail.com</v>
      </c>
      <c r="G1231" s="3">
        <f>IFERROR(__xludf.DUMMYFUNCTION("""COMPUTED_VALUE"""),7.057721366E9)</f>
        <v>7057721366</v>
      </c>
      <c r="H1231" s="3"/>
    </row>
    <row r="1232">
      <c r="A1232" s="2">
        <f>IFERROR(__xludf.DUMMYFUNCTION("""COMPUTED_VALUE"""),20224.0)</f>
        <v>20224</v>
      </c>
      <c r="B1232" s="3" t="str">
        <f>IFERROR(__xludf.DUMMYFUNCTION("""COMPUTED_VALUE"""),"7986 BETHEL GROVE RD")</f>
        <v>7986 BETHEL GROVE RD</v>
      </c>
      <c r="C1232" s="3" t="str">
        <f>IFERROR(__xludf.DUMMYFUNCTION("""COMPUTED_VALUE"""),"COBOURG")</f>
        <v>COBOURG</v>
      </c>
      <c r="D1232" s="3" t="str">
        <f>IFERROR(__xludf.DUMMYFUNCTION("""COMPUTED_VALUE"""),"K9A 4J7")</f>
        <v>K9A 4J7</v>
      </c>
      <c r="E1232" s="3" t="str">
        <f>IFERROR(__xludf.DUMMYFUNCTION("""COMPUTED_VALUE"""),"Robert Simon")</f>
        <v>Robert Simon</v>
      </c>
      <c r="F1232" s="3" t="str">
        <f>IFERROR(__xludf.DUMMYFUNCTION("""COMPUTED_VALUE"""),"blsimonfarm@gmail.com")</f>
        <v>blsimonfarm@gmail.com</v>
      </c>
      <c r="G1232" s="3">
        <f>IFERROR(__xludf.DUMMYFUNCTION("""COMPUTED_VALUE"""),9.053429848E9)</f>
        <v>9053429848</v>
      </c>
      <c r="H1232" s="3"/>
    </row>
    <row r="1233">
      <c r="A1233" s="2">
        <f>IFERROR(__xludf.DUMMYFUNCTION("""COMPUTED_VALUE"""),20225.0)</f>
        <v>20225</v>
      </c>
      <c r="B1233" s="3" t="str">
        <f>IFERROR(__xludf.DUMMYFUNCTION("""COMPUTED_VALUE"""),"7610 BICKLE HILL RD")</f>
        <v>7610 BICKLE HILL RD</v>
      </c>
      <c r="C1233" s="3" t="str">
        <f>IFERROR(__xludf.DUMMYFUNCTION("""COMPUTED_VALUE"""),"COBOURG")</f>
        <v>COBOURG</v>
      </c>
      <c r="D1233" s="3" t="str">
        <f>IFERROR(__xludf.DUMMYFUNCTION("""COMPUTED_VALUE"""),"K9A 4J7")</f>
        <v>K9A 4J7</v>
      </c>
      <c r="E1233" s="3" t="str">
        <f>IFERROR(__xludf.DUMMYFUNCTION("""COMPUTED_VALUE"""),"Ray Banville")</f>
        <v>Ray Banville</v>
      </c>
      <c r="F1233" s="3" t="str">
        <f>IFERROR(__xludf.DUMMYFUNCTION("""COMPUTED_VALUE"""),"rban896@gmail.com")</f>
        <v>rban896@gmail.com</v>
      </c>
      <c r="G1233" s="3"/>
      <c r="H1233" s="3"/>
    </row>
    <row r="1234">
      <c r="A1234" s="2">
        <f>IFERROR(__xludf.DUMMYFUNCTION("""COMPUTED_VALUE"""),20226.0)</f>
        <v>20226</v>
      </c>
      <c r="B1234" s="3" t="str">
        <f>IFERROR(__xludf.DUMMYFUNCTION("""COMPUTED_VALUE"""),"7611 BICKLE HILL RD")</f>
        <v>7611 BICKLE HILL RD</v>
      </c>
      <c r="C1234" s="3" t="str">
        <f>IFERROR(__xludf.DUMMYFUNCTION("""COMPUTED_VALUE"""),"COBOURG")</f>
        <v>COBOURG</v>
      </c>
      <c r="D1234" s="3" t="str">
        <f>IFERROR(__xludf.DUMMYFUNCTION("""COMPUTED_VALUE"""),"K9A 4J7")</f>
        <v>K9A 4J7</v>
      </c>
      <c r="E1234" s="3" t="str">
        <f>IFERROR(__xludf.DUMMYFUNCTION("""COMPUTED_VALUE"""),"David Farrell")</f>
        <v>David Farrell</v>
      </c>
      <c r="F1234" s="3" t="str">
        <f>IFERROR(__xludf.DUMMYFUNCTION("""COMPUTED_VALUE"""),"dmkstfarrell@gmail.com")</f>
        <v>dmkstfarrell@gmail.com</v>
      </c>
      <c r="G1234" s="3">
        <f>IFERROR(__xludf.DUMMYFUNCTION("""COMPUTED_VALUE"""),9.053758044E9)</f>
        <v>9053758044</v>
      </c>
      <c r="H1234" s="3"/>
    </row>
    <row r="1235">
      <c r="A1235" s="2">
        <f>IFERROR(__xludf.DUMMYFUNCTION("""COMPUTED_VALUE"""),20227.0)</f>
        <v>20227</v>
      </c>
      <c r="B1235" s="3" t="str">
        <f>IFERROR(__xludf.DUMMYFUNCTION("""COMPUTED_VALUE"""),"7613 BICKLE HILL RD")</f>
        <v>7613 BICKLE HILL RD</v>
      </c>
      <c r="C1235" s="3" t="str">
        <f>IFERROR(__xludf.DUMMYFUNCTION("""COMPUTED_VALUE"""),"COBOURG")</f>
        <v>COBOURG</v>
      </c>
      <c r="D1235" s="3" t="str">
        <f>IFERROR(__xludf.DUMMYFUNCTION("""COMPUTED_VALUE"""),"K9A 4J7")</f>
        <v>K9A 4J7</v>
      </c>
      <c r="E1235" s="3" t="str">
        <f>IFERROR(__xludf.DUMMYFUNCTION("""COMPUTED_VALUE"""),"Byron Holmes")</f>
        <v>Byron Holmes</v>
      </c>
      <c r="F1235" s="3" t="str">
        <f>IFERROR(__xludf.DUMMYFUNCTION("""COMPUTED_VALUE"""),"barneyholmes01@ gmail.com")</f>
        <v>barneyholmes01@ gmail.com</v>
      </c>
      <c r="G1235" s="3"/>
      <c r="H1235" s="3"/>
    </row>
    <row r="1236">
      <c r="A1236" s="2">
        <f>IFERROR(__xludf.DUMMYFUNCTION("""COMPUTED_VALUE"""),20228.0)</f>
        <v>20228</v>
      </c>
      <c r="B1236" s="3" t="str">
        <f>IFERROR(__xludf.DUMMYFUNCTION("""COMPUTED_VALUE"""),"7622 BICKLE HILL RD")</f>
        <v>7622 BICKLE HILL RD</v>
      </c>
      <c r="C1236" s="3" t="str">
        <f>IFERROR(__xludf.DUMMYFUNCTION("""COMPUTED_VALUE"""),"COBOURG")</f>
        <v>COBOURG</v>
      </c>
      <c r="D1236" s="3" t="str">
        <f>IFERROR(__xludf.DUMMYFUNCTION("""COMPUTED_VALUE"""),"K9A 4J7")</f>
        <v>K9A 4J7</v>
      </c>
      <c r="E1236" s="3" t="str">
        <f>IFERROR(__xludf.DUMMYFUNCTION("""COMPUTED_VALUE"""),"Jodie Fisher")</f>
        <v>Jodie Fisher</v>
      </c>
      <c r="F1236" s="3" t="str">
        <f>IFERROR(__xludf.DUMMYFUNCTION("""COMPUTED_VALUE"""),"jfisher@tcs.on.ca")</f>
        <v>jfisher@tcs.on.ca</v>
      </c>
      <c r="G1236" s="3">
        <f>IFERROR(__xludf.DUMMYFUNCTION("""COMPUTED_VALUE"""),2.892510328E9)</f>
        <v>2892510328</v>
      </c>
      <c r="H1236" s="3">
        <f>IFERROR(__xludf.DUMMYFUNCTION("""COMPUTED_VALUE"""),9.053755647E9)</f>
        <v>9053755647</v>
      </c>
    </row>
    <row r="1237">
      <c r="A1237" s="2">
        <f>IFERROR(__xludf.DUMMYFUNCTION("""COMPUTED_VALUE"""),20229.0)</f>
        <v>20229</v>
      </c>
      <c r="B1237" s="3" t="str">
        <f>IFERROR(__xludf.DUMMYFUNCTION("""COMPUTED_VALUE"""),"7638 BICKLE HILL RD")</f>
        <v>7638 BICKLE HILL RD</v>
      </c>
      <c r="C1237" s="3" t="str">
        <f>IFERROR(__xludf.DUMMYFUNCTION("""COMPUTED_VALUE"""),"COBOURG")</f>
        <v>COBOURG</v>
      </c>
      <c r="D1237" s="3" t="str">
        <f>IFERROR(__xludf.DUMMYFUNCTION("""COMPUTED_VALUE"""),"K9A 4J7")</f>
        <v>K9A 4J7</v>
      </c>
      <c r="E1237" s="3" t="str">
        <f>IFERROR(__xludf.DUMMYFUNCTION("""COMPUTED_VALUE"""),"FAITH ZOLDY")</f>
        <v>FAITH ZOLDY</v>
      </c>
      <c r="F1237" s="3" t="str">
        <f>IFERROR(__xludf.DUMMYFUNCTION("""COMPUTED_VALUE"""),"faithzoldy@gmail.com")</f>
        <v>faithzoldy@gmail.com</v>
      </c>
      <c r="G1237" s="3"/>
      <c r="H1237" s="3"/>
    </row>
    <row r="1238">
      <c r="A1238" s="2">
        <f>IFERROR(__xludf.DUMMYFUNCTION("""COMPUTED_VALUE"""),20230.0)</f>
        <v>20230</v>
      </c>
      <c r="B1238" s="3" t="str">
        <f>IFERROR(__xludf.DUMMYFUNCTION("""COMPUTED_VALUE"""),"7639 BICKLE HILL RD")</f>
        <v>7639 BICKLE HILL RD</v>
      </c>
      <c r="C1238" s="3" t="str">
        <f>IFERROR(__xludf.DUMMYFUNCTION("""COMPUTED_VALUE"""),"COBOURG")</f>
        <v>COBOURG</v>
      </c>
      <c r="D1238" s="3" t="str">
        <f>IFERROR(__xludf.DUMMYFUNCTION("""COMPUTED_VALUE"""),"K9A 4J7")</f>
        <v>K9A 4J7</v>
      </c>
      <c r="E1238" s="3" t="str">
        <f>IFERROR(__xludf.DUMMYFUNCTION("""COMPUTED_VALUE"""),"Richard Malowney")</f>
        <v>Richard Malowney</v>
      </c>
      <c r="F1238" s="3" t="str">
        <f>IFERROR(__xludf.DUMMYFUNCTION("""COMPUTED_VALUE"""),"malowneyd@gmail.com")</f>
        <v>malowneyd@gmail.com</v>
      </c>
      <c r="G1238" s="3">
        <f>IFERROR(__xludf.DUMMYFUNCTION("""COMPUTED_VALUE"""),9.053739559E9)</f>
        <v>9053739559</v>
      </c>
      <c r="H1238" s="3"/>
    </row>
    <row r="1239">
      <c r="A1239" s="2">
        <f>IFERROR(__xludf.DUMMYFUNCTION("""COMPUTED_VALUE"""),20231.0)</f>
        <v>20231</v>
      </c>
      <c r="B1239" s="3" t="str">
        <f>IFERROR(__xludf.DUMMYFUNCTION("""COMPUTED_VALUE"""),"7649 BICKLE HILL RD")</f>
        <v>7649 BICKLE HILL RD</v>
      </c>
      <c r="C1239" s="3" t="str">
        <f>IFERROR(__xludf.DUMMYFUNCTION("""COMPUTED_VALUE"""),"COBOURG")</f>
        <v>COBOURG</v>
      </c>
      <c r="D1239" s="3" t="str">
        <f>IFERROR(__xludf.DUMMYFUNCTION("""COMPUTED_VALUE"""),"K9A 4J7")</f>
        <v>K9A 4J7</v>
      </c>
      <c r="E1239" s="3" t="str">
        <f>IFERROR(__xludf.DUMMYFUNCTION("""COMPUTED_VALUE"""),"Henry+Jacquie Verbruggen")</f>
        <v>Henry+Jacquie Verbruggen</v>
      </c>
      <c r="F1239" s="3" t="str">
        <f>IFERROR(__xludf.DUMMYFUNCTION("""COMPUTED_VALUE"""),"hverb51@gmail.com")</f>
        <v>hverb51@gmail.com</v>
      </c>
      <c r="G1239" s="3"/>
      <c r="H1239" s="3"/>
    </row>
    <row r="1240">
      <c r="A1240" s="2">
        <f>IFERROR(__xludf.DUMMYFUNCTION("""COMPUTED_VALUE"""),20232.0)</f>
        <v>20232</v>
      </c>
      <c r="B1240" s="3" t="str">
        <f>IFERROR(__xludf.DUMMYFUNCTION("""COMPUTED_VALUE"""),"7652 BICKLE HILL RD")</f>
        <v>7652 BICKLE HILL RD</v>
      </c>
      <c r="C1240" s="3" t="str">
        <f>IFERROR(__xludf.DUMMYFUNCTION("""COMPUTED_VALUE"""),"COBOURG")</f>
        <v>COBOURG</v>
      </c>
      <c r="D1240" s="3" t="str">
        <f>IFERROR(__xludf.DUMMYFUNCTION("""COMPUTED_VALUE"""),"K9A 4J7")</f>
        <v>K9A 4J7</v>
      </c>
      <c r="E1240" s="3" t="str">
        <f>IFERROR(__xludf.DUMMYFUNCTION("""COMPUTED_VALUE"""),"Cassandra Patterson")</f>
        <v>Cassandra Patterson</v>
      </c>
      <c r="F1240" s="3" t="str">
        <f>IFERROR(__xludf.DUMMYFUNCTION("""COMPUTED_VALUE"""),"cpatters_68@yahoo.com")</f>
        <v>cpatters_68@yahoo.com</v>
      </c>
      <c r="G1240" s="3">
        <f>IFERROR(__xludf.DUMMYFUNCTION("""COMPUTED_VALUE"""),4.166916522E9)</f>
        <v>4166916522</v>
      </c>
      <c r="H1240" s="3"/>
    </row>
    <row r="1241">
      <c r="A1241" s="2">
        <f>IFERROR(__xludf.DUMMYFUNCTION("""COMPUTED_VALUE"""),20233.0)</f>
        <v>20233</v>
      </c>
      <c r="B1241" s="3" t="str">
        <f>IFERROR(__xludf.DUMMYFUNCTION("""COMPUTED_VALUE"""),"7663 BICKLE HILL RD")</f>
        <v>7663 BICKLE HILL RD</v>
      </c>
      <c r="C1241" s="3" t="str">
        <f>IFERROR(__xludf.DUMMYFUNCTION("""COMPUTED_VALUE"""),"COBOURG")</f>
        <v>COBOURG</v>
      </c>
      <c r="D1241" s="3" t="str">
        <f>IFERROR(__xludf.DUMMYFUNCTION("""COMPUTED_VALUE"""),"K9A 4J7")</f>
        <v>K9A 4J7</v>
      </c>
      <c r="E1241" s="3" t="str">
        <f>IFERROR(__xludf.DUMMYFUNCTION("""COMPUTED_VALUE"""),"Paul Reynolds")</f>
        <v>Paul Reynolds</v>
      </c>
      <c r="F1241" s="3" t="str">
        <f>IFERROR(__xludf.DUMMYFUNCTION("""COMPUTED_VALUE"""),"pauljreynolds49@gmail.com")</f>
        <v>pauljreynolds49@gmail.com</v>
      </c>
      <c r="G1241" s="3"/>
      <c r="H1241" s="3"/>
    </row>
    <row r="1242">
      <c r="A1242" s="2">
        <f>IFERROR(__xludf.DUMMYFUNCTION("""COMPUTED_VALUE"""),20234.0)</f>
        <v>20234</v>
      </c>
      <c r="B1242" s="3" t="str">
        <f>IFERROR(__xludf.DUMMYFUNCTION("""COMPUTED_VALUE"""),"7664 BICKLE HILL RD")</f>
        <v>7664 BICKLE HILL RD</v>
      </c>
      <c r="C1242" s="3" t="str">
        <f>IFERROR(__xludf.DUMMYFUNCTION("""COMPUTED_VALUE"""),"COBOURG")</f>
        <v>COBOURG</v>
      </c>
      <c r="D1242" s="3" t="str">
        <f>IFERROR(__xludf.DUMMYFUNCTION("""COMPUTED_VALUE"""),"K9A 4J7")</f>
        <v>K9A 4J7</v>
      </c>
      <c r="E1242" s="3" t="str">
        <f>IFERROR(__xludf.DUMMYFUNCTION("""COMPUTED_VALUE"""),"Bernard Mellon")</f>
        <v>Bernard Mellon</v>
      </c>
      <c r="F1242" s="3" t="str">
        <f>IFERROR(__xludf.DUMMYFUNCTION("""COMPUTED_VALUE"""),"bernie.mellon@gmail.com")</f>
        <v>bernie.mellon@gmail.com</v>
      </c>
      <c r="G1242" s="3"/>
      <c r="H1242" s="3"/>
    </row>
    <row r="1243">
      <c r="A1243" s="2">
        <f>IFERROR(__xludf.DUMMYFUNCTION("""COMPUTED_VALUE"""),20235.0)</f>
        <v>20235</v>
      </c>
      <c r="B1243" s="3" t="str">
        <f>IFERROR(__xludf.DUMMYFUNCTION("""COMPUTED_VALUE"""),"7672 BICKLE HILL RD")</f>
        <v>7672 BICKLE HILL RD</v>
      </c>
      <c r="C1243" s="3" t="str">
        <f>IFERROR(__xludf.DUMMYFUNCTION("""COMPUTED_VALUE"""),"COBOURG")</f>
        <v>COBOURG</v>
      </c>
      <c r="D1243" s="3" t="str">
        <f>IFERROR(__xludf.DUMMYFUNCTION("""COMPUTED_VALUE"""),"K9A 4J7")</f>
        <v>K9A 4J7</v>
      </c>
      <c r="E1243" s="3" t="str">
        <f>IFERROR(__xludf.DUMMYFUNCTION("""COMPUTED_VALUE"""),"Haim Hirshberg")</f>
        <v>Haim Hirshberg</v>
      </c>
      <c r="F1243" s="3" t="str">
        <f>IFERROR(__xludf.DUMMYFUNCTION("""COMPUTED_VALUE"""),"hyhirshberg@gmail.com")</f>
        <v>hyhirshberg@gmail.com</v>
      </c>
      <c r="G1243" s="3">
        <f>IFERROR(__xludf.DUMMYFUNCTION("""COMPUTED_VALUE"""),4.166180007E9)</f>
        <v>4166180007</v>
      </c>
      <c r="H1243" s="3">
        <f>IFERROR(__xludf.DUMMYFUNCTION("""COMPUTED_VALUE"""),4.165202217E9)</f>
        <v>4165202217</v>
      </c>
    </row>
    <row r="1244">
      <c r="A1244" s="2">
        <f>IFERROR(__xludf.DUMMYFUNCTION("""COMPUTED_VALUE"""),20236.0)</f>
        <v>20236</v>
      </c>
      <c r="B1244" s="3" t="str">
        <f>IFERROR(__xludf.DUMMYFUNCTION("""COMPUTED_VALUE"""),"7673 BICKLE HILL RD")</f>
        <v>7673 BICKLE HILL RD</v>
      </c>
      <c r="C1244" s="3" t="str">
        <f>IFERROR(__xludf.DUMMYFUNCTION("""COMPUTED_VALUE"""),"COBOURG")</f>
        <v>COBOURG</v>
      </c>
      <c r="D1244" s="3" t="str">
        <f>IFERROR(__xludf.DUMMYFUNCTION("""COMPUTED_VALUE"""),"K9A 4J7")</f>
        <v>K9A 4J7</v>
      </c>
      <c r="E1244" s="3" t="str">
        <f>IFERROR(__xludf.DUMMYFUNCTION("""COMPUTED_VALUE"""),"Terri-Lynn dunk ")</f>
        <v>Terri-Lynn dunk </v>
      </c>
      <c r="F1244" s="3" t="str">
        <f>IFERROR(__xludf.DUMMYFUNCTION("""COMPUTED_VALUE"""),"Tld1608@gmail.com")</f>
        <v>Tld1608@gmail.com</v>
      </c>
      <c r="G1244" s="3">
        <f>IFERROR(__xludf.DUMMYFUNCTION("""COMPUTED_VALUE"""),9.053422771E9)</f>
        <v>9053422771</v>
      </c>
      <c r="H1244" s="3">
        <f>IFERROR(__xludf.DUMMYFUNCTION("""COMPUTED_VALUE"""),9.052616815E9)</f>
        <v>9052616815</v>
      </c>
    </row>
    <row r="1245">
      <c r="A1245" s="2">
        <f>IFERROR(__xludf.DUMMYFUNCTION("""COMPUTED_VALUE"""),20238.0)</f>
        <v>20238</v>
      </c>
      <c r="B1245" s="3" t="str">
        <f>IFERROR(__xludf.DUMMYFUNCTION("""COMPUTED_VALUE"""),"7676 BICKLE HILL RD SUITE B")</f>
        <v>7676 BICKLE HILL RD SUITE B</v>
      </c>
      <c r="C1245" s="3" t="str">
        <f>IFERROR(__xludf.DUMMYFUNCTION("""COMPUTED_VALUE"""),"COBOURG")</f>
        <v>COBOURG</v>
      </c>
      <c r="D1245" s="3" t="str">
        <f>IFERROR(__xludf.DUMMYFUNCTION("""COMPUTED_VALUE"""),"K9A 4J7")</f>
        <v>K9A 4J7</v>
      </c>
      <c r="E1245" s="3"/>
      <c r="F1245" s="3"/>
      <c r="G1245" s="3"/>
      <c r="H1245" s="3"/>
    </row>
    <row r="1246">
      <c r="A1246" s="2">
        <f>IFERROR(__xludf.DUMMYFUNCTION("""COMPUTED_VALUE"""),20239.0)</f>
        <v>20239</v>
      </c>
      <c r="B1246" s="3" t="str">
        <f>IFERROR(__xludf.DUMMYFUNCTION("""COMPUTED_VALUE"""),"7676 BICKLE HILL RD SUITE C")</f>
        <v>7676 BICKLE HILL RD SUITE C</v>
      </c>
      <c r="C1246" s="3" t="str">
        <f>IFERROR(__xludf.DUMMYFUNCTION("""COMPUTED_VALUE"""),"COBOURG")</f>
        <v>COBOURG</v>
      </c>
      <c r="D1246" s="3" t="str">
        <f>IFERROR(__xludf.DUMMYFUNCTION("""COMPUTED_VALUE"""),"K9A 4J7")</f>
        <v>K9A 4J7</v>
      </c>
      <c r="E1246" s="3"/>
      <c r="F1246" s="3"/>
      <c r="G1246" s="3"/>
      <c r="H1246" s="3"/>
    </row>
    <row r="1247">
      <c r="A1247" s="2">
        <f>IFERROR(__xludf.DUMMYFUNCTION("""COMPUTED_VALUE"""),20237.0)</f>
        <v>20237</v>
      </c>
      <c r="B1247" s="3" t="str">
        <f>IFERROR(__xludf.DUMMYFUNCTION("""COMPUTED_VALUE"""),"7676 BICKLE HILL RD UNIT A")</f>
        <v>7676 BICKLE HILL RD UNIT A</v>
      </c>
      <c r="C1247" s="3" t="str">
        <f>IFERROR(__xludf.DUMMYFUNCTION("""COMPUTED_VALUE"""),"COBOURG")</f>
        <v>COBOURG</v>
      </c>
      <c r="D1247" s="3" t="str">
        <f>IFERROR(__xludf.DUMMYFUNCTION("""COMPUTED_VALUE"""),"K9A 4J7")</f>
        <v>K9A 4J7</v>
      </c>
      <c r="E1247" s="3" t="str">
        <f>IFERROR(__xludf.DUMMYFUNCTION("""COMPUTED_VALUE"""),"Deborah Carrigan and Dean Smith")</f>
        <v>Deborah Carrigan and Dean Smith</v>
      </c>
      <c r="F1247" s="3" t="str">
        <f>IFERROR(__xludf.DUMMYFUNCTION("""COMPUTED_VALUE"""),"carrsmit@hotmail.com")</f>
        <v>carrsmit@hotmail.com</v>
      </c>
      <c r="G1247" s="3">
        <f>IFERROR(__xludf.DUMMYFUNCTION("""COMPUTED_VALUE"""),9.053425505E9)</f>
        <v>9053425505</v>
      </c>
      <c r="H1247" s="3">
        <f>IFERROR(__xludf.DUMMYFUNCTION("""COMPUTED_VALUE"""),9.95376126E9)</f>
        <v>9953761260</v>
      </c>
    </row>
    <row r="1248">
      <c r="A1248" s="2">
        <f>IFERROR(__xludf.DUMMYFUNCTION("""COMPUTED_VALUE"""),20240.0)</f>
        <v>20240</v>
      </c>
      <c r="B1248" s="3" t="str">
        <f>IFERROR(__xludf.DUMMYFUNCTION("""COMPUTED_VALUE"""),"7680 BICKLE HILL RD")</f>
        <v>7680 BICKLE HILL RD</v>
      </c>
      <c r="C1248" s="3" t="str">
        <f>IFERROR(__xludf.DUMMYFUNCTION("""COMPUTED_VALUE"""),"COBOURG")</f>
        <v>COBOURG</v>
      </c>
      <c r="D1248" s="3" t="str">
        <f>IFERROR(__xludf.DUMMYFUNCTION("""COMPUTED_VALUE"""),"K9A 4J7")</f>
        <v>K9A 4J7</v>
      </c>
      <c r="E1248" s="3"/>
      <c r="F1248" s="3"/>
      <c r="G1248" s="3"/>
      <c r="H1248" s="3"/>
    </row>
    <row r="1249">
      <c r="A1249" s="2">
        <f>IFERROR(__xludf.DUMMYFUNCTION("""COMPUTED_VALUE"""),20241.0)</f>
        <v>20241</v>
      </c>
      <c r="B1249" s="3" t="str">
        <f>IFERROR(__xludf.DUMMYFUNCTION("""COMPUTED_VALUE"""),"7690 BICKLE HILL RD")</f>
        <v>7690 BICKLE HILL RD</v>
      </c>
      <c r="C1249" s="3" t="str">
        <f>IFERROR(__xludf.DUMMYFUNCTION("""COMPUTED_VALUE"""),"COBOURG")</f>
        <v>COBOURG</v>
      </c>
      <c r="D1249" s="3" t="str">
        <f>IFERROR(__xludf.DUMMYFUNCTION("""COMPUTED_VALUE"""),"K9A 4J7")</f>
        <v>K9A 4J7</v>
      </c>
      <c r="E1249" s="3"/>
      <c r="F1249" s="3"/>
      <c r="G1249" s="3"/>
      <c r="H1249" s="3"/>
    </row>
    <row r="1250">
      <c r="A1250" s="2">
        <f>IFERROR(__xludf.DUMMYFUNCTION("""COMPUTED_VALUE"""),20242.0)</f>
        <v>20242</v>
      </c>
      <c r="B1250" s="3" t="str">
        <f>IFERROR(__xludf.DUMMYFUNCTION("""COMPUTED_VALUE"""),"7706 BICKLE HILL RD")</f>
        <v>7706 BICKLE HILL RD</v>
      </c>
      <c r="C1250" s="3" t="str">
        <f>IFERROR(__xludf.DUMMYFUNCTION("""COMPUTED_VALUE"""),"COBOURG")</f>
        <v>COBOURG</v>
      </c>
      <c r="D1250" s="3" t="str">
        <f>IFERROR(__xludf.DUMMYFUNCTION("""COMPUTED_VALUE"""),"K9A 4J7")</f>
        <v>K9A 4J7</v>
      </c>
      <c r="E1250" s="3" t="str">
        <f>IFERROR(__xludf.DUMMYFUNCTION("""COMPUTED_VALUE"""),"Dan Stokes &amp; Alison Stokes")</f>
        <v>Dan Stokes &amp; Alison Stokes</v>
      </c>
      <c r="F1250" s="3" t="str">
        <f>IFERROR(__xludf.DUMMYFUNCTION("""COMPUTED_VALUE"""),"alisondan7706@gmail.com")</f>
        <v>alisondan7706@gmail.com</v>
      </c>
      <c r="G1250" s="3"/>
      <c r="H1250" s="3"/>
    </row>
    <row r="1251">
      <c r="A1251" s="2">
        <f>IFERROR(__xludf.DUMMYFUNCTION("""COMPUTED_VALUE"""),20243.0)</f>
        <v>20243</v>
      </c>
      <c r="B1251" s="3" t="str">
        <f>IFERROR(__xludf.DUMMYFUNCTION("""COMPUTED_VALUE"""),"7748 BICKLE HILL RD")</f>
        <v>7748 BICKLE HILL RD</v>
      </c>
      <c r="C1251" s="3" t="str">
        <f>IFERROR(__xludf.DUMMYFUNCTION("""COMPUTED_VALUE"""),"COBOURG")</f>
        <v>COBOURG</v>
      </c>
      <c r="D1251" s="3" t="str">
        <f>IFERROR(__xludf.DUMMYFUNCTION("""COMPUTED_VALUE"""),"K9A 4J7")</f>
        <v>K9A 4J7</v>
      </c>
      <c r="E1251" s="3" t="str">
        <f>IFERROR(__xludf.DUMMYFUNCTION("""COMPUTED_VALUE"""),"Sarah McLean")</f>
        <v>Sarah McLean</v>
      </c>
      <c r="F1251" s="3" t="str">
        <f>IFERROR(__xludf.DUMMYFUNCTION("""COMPUTED_VALUE"""),"nursebettynp@gmail.com")</f>
        <v>nursebettynp@gmail.com</v>
      </c>
      <c r="G1251" s="3">
        <f>IFERROR(__xludf.DUMMYFUNCTION("""COMPUTED_VALUE"""),6.478806191E9)</f>
        <v>6478806191</v>
      </c>
      <c r="H1251" s="3">
        <f>IFERROR(__xludf.DUMMYFUNCTION("""COMPUTED_VALUE"""),6.473090645E9)</f>
        <v>6473090645</v>
      </c>
    </row>
    <row r="1252">
      <c r="A1252" s="2">
        <f>IFERROR(__xludf.DUMMYFUNCTION("""COMPUTED_VALUE"""),20244.0)</f>
        <v>20244</v>
      </c>
      <c r="B1252" s="3" t="str">
        <f>IFERROR(__xludf.DUMMYFUNCTION("""COMPUTED_VALUE"""),"7777 BICKLE HILL RD")</f>
        <v>7777 BICKLE HILL RD</v>
      </c>
      <c r="C1252" s="3" t="str">
        <f>IFERROR(__xludf.DUMMYFUNCTION("""COMPUTED_VALUE"""),"COBOURG")</f>
        <v>COBOURG</v>
      </c>
      <c r="D1252" s="3" t="str">
        <f>IFERROR(__xludf.DUMMYFUNCTION("""COMPUTED_VALUE"""),"K9A 4J7")</f>
        <v>K9A 4J7</v>
      </c>
      <c r="E1252" s="3" t="str">
        <f>IFERROR(__xludf.DUMMYFUNCTION("""COMPUTED_VALUE"""),"Norine Wilson")</f>
        <v>Norine Wilson</v>
      </c>
      <c r="F1252" s="3" t="str">
        <f>IFERROR(__xludf.DUMMYFUNCTION("""COMPUTED_VALUE"""),"norine66wilson@gmail.com")</f>
        <v>norine66wilson@gmail.com</v>
      </c>
      <c r="G1252" s="3">
        <f>IFERROR(__xludf.DUMMYFUNCTION("""COMPUTED_VALUE"""),4.164090626E9)</f>
        <v>4164090626</v>
      </c>
      <c r="H1252" s="3"/>
    </row>
    <row r="1253">
      <c r="A1253" s="2">
        <f>IFERROR(__xludf.DUMMYFUNCTION("""COMPUTED_VALUE"""),20245.0)</f>
        <v>20245</v>
      </c>
      <c r="B1253" s="3" t="str">
        <f>IFERROR(__xludf.DUMMYFUNCTION("""COMPUTED_VALUE"""),"7783 BICKLE HILL RD")</f>
        <v>7783 BICKLE HILL RD</v>
      </c>
      <c r="C1253" s="3" t="str">
        <f>IFERROR(__xludf.DUMMYFUNCTION("""COMPUTED_VALUE"""),"COBOURG")</f>
        <v>COBOURG</v>
      </c>
      <c r="D1253" s="3" t="str">
        <f>IFERROR(__xludf.DUMMYFUNCTION("""COMPUTED_VALUE"""),"K9A 4J7")</f>
        <v>K9A 4J7</v>
      </c>
      <c r="E1253" s="3" t="str">
        <f>IFERROR(__xludf.DUMMYFUNCTION("""COMPUTED_VALUE"""),"Jan Vanbeek")</f>
        <v>Jan Vanbeek</v>
      </c>
      <c r="F1253" s="3" t="str">
        <f>IFERROR(__xludf.DUMMYFUNCTION("""COMPUTED_VALUE"""),"jverbeek57@outlook.com")</f>
        <v>jverbeek57@outlook.com</v>
      </c>
      <c r="G1253" s="3"/>
      <c r="H1253" s="3"/>
    </row>
    <row r="1254">
      <c r="A1254" s="2">
        <f>IFERROR(__xludf.DUMMYFUNCTION("""COMPUTED_VALUE"""),20246.0)</f>
        <v>20246</v>
      </c>
      <c r="B1254" s="3" t="str">
        <f>IFERROR(__xludf.DUMMYFUNCTION("""COMPUTED_VALUE"""),"7791 BICKLE HILL RD")</f>
        <v>7791 BICKLE HILL RD</v>
      </c>
      <c r="C1254" s="3" t="str">
        <f>IFERROR(__xludf.DUMMYFUNCTION("""COMPUTED_VALUE"""),"COBOURG")</f>
        <v>COBOURG</v>
      </c>
      <c r="D1254" s="3" t="str">
        <f>IFERROR(__xludf.DUMMYFUNCTION("""COMPUTED_VALUE"""),"K9A 4J7")</f>
        <v>K9A 4J7</v>
      </c>
      <c r="E1254" s="3"/>
      <c r="F1254" s="3"/>
      <c r="G1254" s="3"/>
      <c r="H1254" s="3"/>
    </row>
    <row r="1255">
      <c r="A1255" s="2">
        <f>IFERROR(__xludf.DUMMYFUNCTION("""COMPUTED_VALUE"""),20247.0)</f>
        <v>20247</v>
      </c>
      <c r="B1255" s="3" t="str">
        <f>IFERROR(__xludf.DUMMYFUNCTION("""COMPUTED_VALUE"""),"7796 BICKLE HILL RD")</f>
        <v>7796 BICKLE HILL RD</v>
      </c>
      <c r="C1255" s="3" t="str">
        <f>IFERROR(__xludf.DUMMYFUNCTION("""COMPUTED_VALUE"""),"COBOURG")</f>
        <v>COBOURG</v>
      </c>
      <c r="D1255" s="3" t="str">
        <f>IFERROR(__xludf.DUMMYFUNCTION("""COMPUTED_VALUE"""),"K9A 4J7")</f>
        <v>K9A 4J7</v>
      </c>
      <c r="E1255" s="3" t="str">
        <f>IFERROR(__xludf.DUMMYFUNCTION("""COMPUTED_VALUE"""),"Michael Killoran")</f>
        <v>Michael Killoran</v>
      </c>
      <c r="F1255" s="3" t="str">
        <f>IFERROR(__xludf.DUMMYFUNCTION("""COMPUTED_VALUE"""),"killoranmike@yahoo.ca")</f>
        <v>killoranmike@yahoo.ca</v>
      </c>
      <c r="G1255" s="3">
        <f>IFERROR(__xludf.DUMMYFUNCTION("""COMPUTED_VALUE"""),9.053750808E9)</f>
        <v>9053750808</v>
      </c>
      <c r="H1255" s="3">
        <f>IFERROR(__xludf.DUMMYFUNCTION("""COMPUTED_VALUE"""),9.052690722E9)</f>
        <v>9052690722</v>
      </c>
    </row>
    <row r="1256">
      <c r="A1256" s="2">
        <f>IFERROR(__xludf.DUMMYFUNCTION("""COMPUTED_VALUE"""),20248.0)</f>
        <v>20248</v>
      </c>
      <c r="B1256" s="3" t="str">
        <f>IFERROR(__xludf.DUMMYFUNCTION("""COMPUTED_VALUE"""),"7797 BICKLE HILL RD")</f>
        <v>7797 BICKLE HILL RD</v>
      </c>
      <c r="C1256" s="3" t="str">
        <f>IFERROR(__xludf.DUMMYFUNCTION("""COMPUTED_VALUE"""),"COBOURG")</f>
        <v>COBOURG</v>
      </c>
      <c r="D1256" s="3" t="str">
        <f>IFERROR(__xludf.DUMMYFUNCTION("""COMPUTED_VALUE"""),"K9A 4J7")</f>
        <v>K9A 4J7</v>
      </c>
      <c r="E1256" s="3" t="str">
        <f>IFERROR(__xludf.DUMMYFUNCTION("""COMPUTED_VALUE"""),"David Cressman")</f>
        <v>David Cressman</v>
      </c>
      <c r="F1256" s="3" t="str">
        <f>IFERROR(__xludf.DUMMYFUNCTION("""COMPUTED_VALUE"""),"dbcressman@gmail.com")</f>
        <v>dbcressman@gmail.com</v>
      </c>
      <c r="G1256" s="3">
        <f>IFERROR(__xludf.DUMMYFUNCTION("""COMPUTED_VALUE"""),9.053775501E9)</f>
        <v>9053775501</v>
      </c>
      <c r="H1256" s="3">
        <f>IFERROR(__xludf.DUMMYFUNCTION("""COMPUTED_VALUE"""),9.053775506E9)</f>
        <v>9053775506</v>
      </c>
    </row>
    <row r="1257">
      <c r="A1257" s="2">
        <f>IFERROR(__xludf.DUMMYFUNCTION("""COMPUTED_VALUE"""),20249.0)</f>
        <v>20249</v>
      </c>
      <c r="B1257" s="3" t="str">
        <f>IFERROR(__xludf.DUMMYFUNCTION("""COMPUTED_VALUE"""),"7808 BICKLE HILL RD")</f>
        <v>7808 BICKLE HILL RD</v>
      </c>
      <c r="C1257" s="3" t="str">
        <f>IFERROR(__xludf.DUMMYFUNCTION("""COMPUTED_VALUE"""),"COBOURG")</f>
        <v>COBOURG</v>
      </c>
      <c r="D1257" s="3" t="str">
        <f>IFERROR(__xludf.DUMMYFUNCTION("""COMPUTED_VALUE"""),"K9A 4J7")</f>
        <v>K9A 4J7</v>
      </c>
      <c r="E1257" s="3" t="str">
        <f>IFERROR(__xludf.DUMMYFUNCTION("""COMPUTED_VALUE"""),"Kathy hadwen")</f>
        <v>Kathy hadwen</v>
      </c>
      <c r="F1257" s="3" t="str">
        <f>IFERROR(__xludf.DUMMYFUNCTION("""COMPUTED_VALUE"""),"Thehadwens@gmail.com")</f>
        <v>Thehadwens@gmail.com</v>
      </c>
      <c r="G1257" s="3">
        <f>IFERROR(__xludf.DUMMYFUNCTION("""COMPUTED_VALUE"""),9.053965523E9)</f>
        <v>9053965523</v>
      </c>
      <c r="H1257" s="3"/>
    </row>
    <row r="1258">
      <c r="A1258" s="2">
        <f>IFERROR(__xludf.DUMMYFUNCTION("""COMPUTED_VALUE"""),20250.0)</f>
        <v>20250</v>
      </c>
      <c r="B1258" s="3" t="str">
        <f>IFERROR(__xludf.DUMMYFUNCTION("""COMPUTED_VALUE"""),"7817 BICKLE HILL RD")</f>
        <v>7817 BICKLE HILL RD</v>
      </c>
      <c r="C1258" s="3" t="str">
        <f>IFERROR(__xludf.DUMMYFUNCTION("""COMPUTED_VALUE"""),"COBOURG")</f>
        <v>COBOURG</v>
      </c>
      <c r="D1258" s="3" t="str">
        <f>IFERROR(__xludf.DUMMYFUNCTION("""COMPUTED_VALUE"""),"K9A 4J7")</f>
        <v>K9A 4J7</v>
      </c>
      <c r="E1258" s="3" t="str">
        <f>IFERROR(__xludf.DUMMYFUNCTION("""COMPUTED_VALUE"""),"Cameron Allen")</f>
        <v>Cameron Allen</v>
      </c>
      <c r="F1258" s="3" t="str">
        <f>IFERROR(__xludf.DUMMYFUNCTION("""COMPUTED_VALUE"""),"Bassmancam@gmail.com")</f>
        <v>Bassmancam@gmail.com</v>
      </c>
      <c r="G1258" s="3">
        <f>IFERROR(__xludf.DUMMYFUNCTION("""COMPUTED_VALUE"""),9.053757447E9)</f>
        <v>9053757447</v>
      </c>
      <c r="H1258" s="3"/>
    </row>
    <row r="1259">
      <c r="A1259" s="2">
        <f>IFERROR(__xludf.DUMMYFUNCTION("""COMPUTED_VALUE"""),20251.0)</f>
        <v>20251</v>
      </c>
      <c r="B1259" s="3" t="str">
        <f>IFERROR(__xludf.DUMMYFUNCTION("""COMPUTED_VALUE"""),"7823 BICKLE HILL RD")</f>
        <v>7823 BICKLE HILL RD</v>
      </c>
      <c r="C1259" s="3" t="str">
        <f>IFERROR(__xludf.DUMMYFUNCTION("""COMPUTED_VALUE"""),"COBOURG")</f>
        <v>COBOURG</v>
      </c>
      <c r="D1259" s="3" t="str">
        <f>IFERROR(__xludf.DUMMYFUNCTION("""COMPUTED_VALUE"""),"K9A 4J7")</f>
        <v>K9A 4J7</v>
      </c>
      <c r="E1259" s="3"/>
      <c r="F1259" s="3"/>
      <c r="G1259" s="3"/>
      <c r="H1259" s="3"/>
    </row>
    <row r="1260">
      <c r="A1260" s="2">
        <f>IFERROR(__xludf.DUMMYFUNCTION("""COMPUTED_VALUE"""),20252.0)</f>
        <v>20252</v>
      </c>
      <c r="B1260" s="3" t="str">
        <f>IFERROR(__xludf.DUMMYFUNCTION("""COMPUTED_VALUE"""),"7833 BICKLE HILL RD")</f>
        <v>7833 BICKLE HILL RD</v>
      </c>
      <c r="C1260" s="3" t="str">
        <f>IFERROR(__xludf.DUMMYFUNCTION("""COMPUTED_VALUE"""),"COBOURG")</f>
        <v>COBOURG</v>
      </c>
      <c r="D1260" s="3" t="str">
        <f>IFERROR(__xludf.DUMMYFUNCTION("""COMPUTED_VALUE"""),"K9A 4J7")</f>
        <v>K9A 4J7</v>
      </c>
      <c r="E1260" s="3" t="str">
        <f>IFERROR(__xludf.DUMMYFUNCTION("""COMPUTED_VALUE"""),"Chris Roberts")</f>
        <v>Chris Roberts</v>
      </c>
      <c r="F1260" s="3" t="str">
        <f>IFERROR(__xludf.DUMMYFUNCTION("""COMPUTED_VALUE"""),"6225wmcr@gmail.com")</f>
        <v>6225wmcr@gmail.com</v>
      </c>
      <c r="G1260" s="3">
        <f>IFERROR(__xludf.DUMMYFUNCTION("""COMPUTED_VALUE"""),9.053422849E9)</f>
        <v>9053422849</v>
      </c>
      <c r="H1260" s="3"/>
    </row>
    <row r="1261">
      <c r="A1261" s="2">
        <f>IFERROR(__xludf.DUMMYFUNCTION("""COMPUTED_VALUE"""),20253.0)</f>
        <v>20253</v>
      </c>
      <c r="B1261" s="3" t="str">
        <f>IFERROR(__xludf.DUMMYFUNCTION("""COMPUTED_VALUE"""),"7851 BICKLE HILL RD")</f>
        <v>7851 BICKLE HILL RD</v>
      </c>
      <c r="C1261" s="3" t="str">
        <f>IFERROR(__xludf.DUMMYFUNCTION("""COMPUTED_VALUE"""),"COBOURG")</f>
        <v>COBOURG</v>
      </c>
      <c r="D1261" s="3" t="str">
        <f>IFERROR(__xludf.DUMMYFUNCTION("""COMPUTED_VALUE"""),"K9A 4J7")</f>
        <v>K9A 4J7</v>
      </c>
      <c r="E1261" s="3" t="str">
        <f>IFERROR(__xludf.DUMMYFUNCTION("""COMPUTED_VALUE"""),"Brad Boundy")</f>
        <v>Brad Boundy</v>
      </c>
      <c r="F1261" s="3" t="str">
        <f>IFERROR(__xludf.DUMMYFUNCTION("""COMPUTED_VALUE"""),"beech36@hotmail.com")</f>
        <v>beech36@hotmail.com</v>
      </c>
      <c r="G1261" s="3">
        <f>IFERROR(__xludf.DUMMYFUNCTION("""COMPUTED_VALUE"""),9.053763008E9)</f>
        <v>9053763008</v>
      </c>
      <c r="H1261" s="3"/>
    </row>
    <row r="1262">
      <c r="A1262" s="2">
        <f>IFERROR(__xludf.DUMMYFUNCTION("""COMPUTED_VALUE"""),20254.0)</f>
        <v>20254</v>
      </c>
      <c r="B1262" s="3" t="str">
        <f>IFERROR(__xludf.DUMMYFUNCTION("""COMPUTED_VALUE"""),"7861 BICKLE HILL RD")</f>
        <v>7861 BICKLE HILL RD</v>
      </c>
      <c r="C1262" s="3" t="str">
        <f>IFERROR(__xludf.DUMMYFUNCTION("""COMPUTED_VALUE"""),"COBOURG")</f>
        <v>COBOURG</v>
      </c>
      <c r="D1262" s="3" t="str">
        <f>IFERROR(__xludf.DUMMYFUNCTION("""COMPUTED_VALUE"""),"K9A 4J7")</f>
        <v>K9A 4J7</v>
      </c>
      <c r="E1262" s="3" t="str">
        <f>IFERROR(__xludf.DUMMYFUNCTION("""COMPUTED_VALUE"""),"Stephanie Campbell")</f>
        <v>Stephanie Campbell</v>
      </c>
      <c r="F1262" s="3" t="str">
        <f>IFERROR(__xludf.DUMMYFUNCTION("""COMPUTED_VALUE"""),"scampbellcomm@gmail.com")</f>
        <v>scampbellcomm@gmail.com</v>
      </c>
      <c r="G1262" s="3">
        <f>IFERROR(__xludf.DUMMYFUNCTION("""COMPUTED_VALUE"""),2.89251059E9)</f>
        <v>2892510590</v>
      </c>
      <c r="H1262" s="3"/>
    </row>
    <row r="1263">
      <c r="A1263" s="2">
        <f>IFERROR(__xludf.DUMMYFUNCTION("""COMPUTED_VALUE"""),20277.0)</f>
        <v>20277</v>
      </c>
      <c r="B1263" s="3" t="str">
        <f>IFERROR(__xludf.DUMMYFUNCTION("""COMPUTED_VALUE"""),"125 BROOKS LANE")</f>
        <v>125 BROOKS LANE</v>
      </c>
      <c r="C1263" s="3" t="str">
        <f>IFERROR(__xludf.DUMMYFUNCTION("""COMPUTED_VALUE"""),"BALTIMORE")</f>
        <v>BALTIMORE</v>
      </c>
      <c r="D1263" s="3" t="str">
        <f>IFERROR(__xludf.DUMMYFUNCTION("""COMPUTED_VALUE"""),"K0K 1C0")</f>
        <v>K0K 1C0</v>
      </c>
      <c r="E1263" s="3"/>
      <c r="F1263" s="3"/>
      <c r="G1263" s="3"/>
      <c r="H1263" s="3"/>
    </row>
    <row r="1264">
      <c r="A1264" s="2">
        <f>IFERROR(__xludf.DUMMYFUNCTION("""COMPUTED_VALUE"""),20058.0)</f>
        <v>20058</v>
      </c>
      <c r="B1264" s="3" t="str">
        <f>IFERROR(__xludf.DUMMYFUNCTION("""COMPUTED_VALUE"""),"9611 ARDAGH CRES")</f>
        <v>9611 ARDAGH CRES</v>
      </c>
      <c r="C1264" s="3" t="str">
        <f>IFERROR(__xludf.DUMMYFUNCTION("""COMPUTED_VALUE"""),"HARWOOD")</f>
        <v>HARWOOD</v>
      </c>
      <c r="D1264" s="3" t="str">
        <f>IFERROR(__xludf.DUMMYFUNCTION("""COMPUTED_VALUE"""),"K0K 2H0")</f>
        <v>K0K 2H0</v>
      </c>
      <c r="E1264" s="3" t="str">
        <f>IFERROR(__xludf.DUMMYFUNCTION("""COMPUTED_VALUE"""),"Mary Burke")</f>
        <v>Mary Burke</v>
      </c>
      <c r="F1264" s="3" t="str">
        <f>IFERROR(__xludf.DUMMYFUNCTION("""COMPUTED_VALUE"""),"burkefamily@live.ca")</f>
        <v>burkefamily@live.ca</v>
      </c>
      <c r="G1264" s="3">
        <f>IFERROR(__xludf.DUMMYFUNCTION("""COMPUTED_VALUE"""),9.053763633E9)</f>
        <v>9053763633</v>
      </c>
      <c r="H1264" s="3">
        <f>IFERROR(__xludf.DUMMYFUNCTION("""COMPUTED_VALUE"""),2.892516342E9)</f>
        <v>2892516342</v>
      </c>
    </row>
    <row r="1265">
      <c r="A1265" s="2">
        <f>IFERROR(__xludf.DUMMYFUNCTION("""COMPUTED_VALUE"""),22806.0)</f>
        <v>22806</v>
      </c>
      <c r="B1265" s="3" t="str">
        <f>IFERROR(__xludf.DUMMYFUNCTION("""COMPUTED_VALUE"""),"130 NICHOL RD")</f>
        <v>130 NICHOL RD</v>
      </c>
      <c r="C1265" s="3" t="str">
        <f>IFERROR(__xludf.DUMMYFUNCTION("""COMPUTED_VALUE"""),"BALTIMORE")</f>
        <v>BALTIMORE</v>
      </c>
      <c r="D1265" s="3" t="str">
        <f>IFERROR(__xludf.DUMMYFUNCTION("""COMPUTED_VALUE"""),"K0K 1C0")</f>
        <v>K0K 1C0</v>
      </c>
      <c r="E1265" s="3"/>
      <c r="F1265" s="3"/>
      <c r="G1265" s="3"/>
      <c r="H1265" s="3"/>
    </row>
    <row r="1266">
      <c r="A1266" s="2">
        <f>IFERROR(__xludf.DUMMYFUNCTION("""COMPUTED_VALUE"""),20287.0)</f>
        <v>20287</v>
      </c>
      <c r="B1266" s="3" t="str">
        <f>IFERROR(__xludf.DUMMYFUNCTION("""COMPUTED_VALUE"""),"171 BULL'S MILL RD")</f>
        <v>171 BULL'S MILL RD</v>
      </c>
      <c r="C1266" s="3" t="str">
        <f>IFERROR(__xludf.DUMMYFUNCTION("""COMPUTED_VALUE"""),"BALTIMORE")</f>
        <v>BALTIMORE</v>
      </c>
      <c r="D1266" s="3" t="str">
        <f>IFERROR(__xludf.DUMMYFUNCTION("""COMPUTED_VALUE"""),"K0K 1C0")</f>
        <v>K0K 1C0</v>
      </c>
      <c r="E1266" s="3" t="str">
        <f>IFERROR(__xludf.DUMMYFUNCTION("""COMPUTED_VALUE"""),"Hazel Farmer")</f>
        <v>Hazel Farmer</v>
      </c>
      <c r="F1266" s="3" t="str">
        <f>IFERROR(__xludf.DUMMYFUNCTION("""COMPUTED_VALUE"""),"hazelfarmer@yahoo.ca")</f>
        <v>hazelfarmer@yahoo.ca</v>
      </c>
      <c r="G1266" s="3">
        <f>IFERROR(__xludf.DUMMYFUNCTION("""COMPUTED_VALUE"""),2.892513837E9)</f>
        <v>2892513837</v>
      </c>
      <c r="H1266" s="3"/>
    </row>
    <row r="1267">
      <c r="A1267" s="2">
        <f>IFERROR(__xludf.DUMMYFUNCTION("""COMPUTED_VALUE"""),20288.0)</f>
        <v>20288</v>
      </c>
      <c r="B1267" s="3" t="str">
        <f>IFERROR(__xludf.DUMMYFUNCTION("""COMPUTED_VALUE"""),"202 BULL'S MILL RD")</f>
        <v>202 BULL'S MILL RD</v>
      </c>
      <c r="C1267" s="3" t="str">
        <f>IFERROR(__xludf.DUMMYFUNCTION("""COMPUTED_VALUE"""),"BALTIMORE")</f>
        <v>BALTIMORE</v>
      </c>
      <c r="D1267" s="3" t="str">
        <f>IFERROR(__xludf.DUMMYFUNCTION("""COMPUTED_VALUE"""),"K0K 1C0")</f>
        <v>K0K 1C0</v>
      </c>
      <c r="E1267" s="3" t="str">
        <f>IFERROR(__xludf.DUMMYFUNCTION("""COMPUTED_VALUE"""),"clint cameron")</f>
        <v>clint cameron</v>
      </c>
      <c r="F1267" s="4" t="str">
        <f>IFERROR(__xludf.DUMMYFUNCTION("""COMPUTED_VALUE"""),"clintcameron792gmail.com")</f>
        <v>clintcameron792gmail.com</v>
      </c>
      <c r="G1267" s="3">
        <f>IFERROR(__xludf.DUMMYFUNCTION("""COMPUTED_VALUE"""),2.892510506E9)</f>
        <v>2892510506</v>
      </c>
      <c r="H1267" s="3"/>
    </row>
    <row r="1268">
      <c r="A1268" s="2">
        <f>IFERROR(__xludf.DUMMYFUNCTION("""COMPUTED_VALUE"""),20286.0)</f>
        <v>20286</v>
      </c>
      <c r="B1268" s="3" t="str">
        <f>IFERROR(__xludf.DUMMYFUNCTION("""COMPUTED_VALUE"""),"155 BULL'S MILL RD")</f>
        <v>155 BULL'S MILL RD</v>
      </c>
      <c r="C1268" s="3" t="str">
        <f>IFERROR(__xludf.DUMMYFUNCTION("""COMPUTED_VALUE"""),"BALTIMORE")</f>
        <v>BALTIMORE</v>
      </c>
      <c r="D1268" s="3" t="str">
        <f>IFERROR(__xludf.DUMMYFUNCTION("""COMPUTED_VALUE"""),"K0K 1C0")</f>
        <v>K0K 1C0</v>
      </c>
      <c r="E1268" s="3" t="str">
        <f>IFERROR(__xludf.DUMMYFUNCTION("""COMPUTED_VALUE"""),"Shawn Hofsera/Anne Walker")</f>
        <v>Shawn Hofsera/Anne Walker</v>
      </c>
      <c r="F1268" s="3" t="str">
        <f>IFERROR(__xludf.DUMMYFUNCTION("""COMPUTED_VALUE"""),"dutchy8001@live.ca")</f>
        <v>dutchy8001@live.ca</v>
      </c>
      <c r="G1268" s="3">
        <f>IFERROR(__xludf.DUMMYFUNCTION("""COMPUTED_VALUE"""),6.139222152E9)</f>
        <v>6139222152</v>
      </c>
      <c r="H1268" s="3">
        <f>IFERROR(__xludf.DUMMYFUNCTION("""COMPUTED_VALUE"""),9.052070027E9)</f>
        <v>9052070027</v>
      </c>
    </row>
    <row r="1269">
      <c r="A1269" s="2">
        <f>IFERROR(__xludf.DUMMYFUNCTION("""COMPUTED_VALUE"""),21630.0)</f>
        <v>21630</v>
      </c>
      <c r="B1269" s="3" t="str">
        <f>IFERROR(__xludf.DUMMYFUNCTION("""COMPUTED_VALUE"""),"156 EARL RD")</f>
        <v>156 EARL RD</v>
      </c>
      <c r="C1269" s="3" t="str">
        <f>IFERROR(__xludf.DUMMYFUNCTION("""COMPUTED_VALUE"""),"BALTIMORE")</f>
        <v>BALTIMORE</v>
      </c>
      <c r="D1269" s="3" t="str">
        <f>IFERROR(__xludf.DUMMYFUNCTION("""COMPUTED_VALUE"""),"K0K 1C0")</f>
        <v>K0K 1C0</v>
      </c>
      <c r="E1269" s="3" t="str">
        <f>IFERROR(__xludf.DUMMYFUNCTION("""COMPUTED_VALUE"""),"Violet Johnstone")</f>
        <v>Violet Johnstone</v>
      </c>
      <c r="F1269" s="3" t="str">
        <f>IFERROR(__xludf.DUMMYFUNCTION("""COMPUTED_VALUE"""),"nannyjstone@yahoo.ca")</f>
        <v>nannyjstone@yahoo.ca</v>
      </c>
      <c r="G1269" s="3">
        <f>IFERROR(__xludf.DUMMYFUNCTION("""COMPUTED_VALUE"""),9.053962568E9)</f>
        <v>9053962568</v>
      </c>
      <c r="H1269" s="3"/>
    </row>
    <row r="1270">
      <c r="A1270" s="2">
        <f>IFERROR(__xludf.DUMMYFUNCTION("""COMPUTED_VALUE"""),20291.0)</f>
        <v>20291</v>
      </c>
      <c r="B1270" s="3" t="str">
        <f>IFERROR(__xludf.DUMMYFUNCTION("""COMPUTED_VALUE"""),"296 BULL'S MILL RD")</f>
        <v>296 BULL'S MILL RD</v>
      </c>
      <c r="C1270" s="3" t="str">
        <f>IFERROR(__xludf.DUMMYFUNCTION("""COMPUTED_VALUE"""),"BALTIMORE")</f>
        <v>BALTIMORE</v>
      </c>
      <c r="D1270" s="3" t="str">
        <f>IFERROR(__xludf.DUMMYFUNCTION("""COMPUTED_VALUE"""),"K0K 1C0")</f>
        <v>K0K 1C0</v>
      </c>
      <c r="E1270" s="3" t="str">
        <f>IFERROR(__xludf.DUMMYFUNCTION("""COMPUTED_VALUE"""),"Kevin Brown ")</f>
        <v>Kevin Brown </v>
      </c>
      <c r="F1270" s="3" t="str">
        <f>IFERROR(__xludf.DUMMYFUNCTION("""COMPUTED_VALUE"""),"k.brown2004@outlook.ca")</f>
        <v>k.brown2004@outlook.ca</v>
      </c>
      <c r="G1270" s="3"/>
      <c r="H1270" s="3"/>
    </row>
    <row r="1271">
      <c r="A1271" s="2">
        <f>IFERROR(__xludf.DUMMYFUNCTION("""COMPUTED_VALUE"""),20292.0)</f>
        <v>20292</v>
      </c>
      <c r="B1271" s="3" t="str">
        <f>IFERROR(__xludf.DUMMYFUNCTION("""COMPUTED_VALUE"""),"322 BULL'S MILL RD")</f>
        <v>322 BULL'S MILL RD</v>
      </c>
      <c r="C1271" s="3" t="str">
        <f>IFERROR(__xludf.DUMMYFUNCTION("""COMPUTED_VALUE"""),"BALTIMORE")</f>
        <v>BALTIMORE</v>
      </c>
      <c r="D1271" s="3" t="str">
        <f>IFERROR(__xludf.DUMMYFUNCTION("""COMPUTED_VALUE"""),"K0K 1C0")</f>
        <v>K0K 1C0</v>
      </c>
      <c r="E1271" s="3" t="str">
        <f>IFERROR(__xludf.DUMMYFUNCTION("""COMPUTED_VALUE"""),"dorothy and ken noronha")</f>
        <v>dorothy and ken noronha</v>
      </c>
      <c r="F1271" s="3" t="str">
        <f>IFERROR(__xludf.DUMMYFUNCTION("""COMPUTED_VALUE"""),"dorothyzajiczek@hotmail.com")</f>
        <v>dorothyzajiczek@hotmail.com</v>
      </c>
      <c r="G1271" s="3">
        <f>IFERROR(__xludf.DUMMYFUNCTION("""COMPUTED_VALUE"""),9.053491111E9)</f>
        <v>9053491111</v>
      </c>
      <c r="H1271" s="3">
        <f>IFERROR(__xludf.DUMMYFUNCTION("""COMPUTED_VALUE"""),4.167951054E9)</f>
        <v>4167951054</v>
      </c>
    </row>
    <row r="1272">
      <c r="A1272" s="2">
        <f>IFERROR(__xludf.DUMMYFUNCTION("""COMPUTED_VALUE"""),20293.0)</f>
        <v>20293</v>
      </c>
      <c r="B1272" s="3" t="str">
        <f>IFERROR(__xludf.DUMMYFUNCTION("""COMPUTED_VALUE"""),"342 BULL'S MILL RD")</f>
        <v>342 BULL'S MILL RD</v>
      </c>
      <c r="C1272" s="3" t="str">
        <f>IFERROR(__xludf.DUMMYFUNCTION("""COMPUTED_VALUE"""),"BALTIMORE")</f>
        <v>BALTIMORE</v>
      </c>
      <c r="D1272" s="3" t="str">
        <f>IFERROR(__xludf.DUMMYFUNCTION("""COMPUTED_VALUE"""),"K0K 1C0")</f>
        <v>K0K 1C0</v>
      </c>
      <c r="E1272" s="3" t="str">
        <f>IFERROR(__xludf.DUMMYFUNCTION("""COMPUTED_VALUE"""),"GAIL VILLENEUVE")</f>
        <v>GAIL VILLENEUVE</v>
      </c>
      <c r="F1272" s="3" t="str">
        <f>IFERROR(__xludf.DUMMYFUNCTION("""COMPUTED_VALUE"""),"rayscottages@hotmail.com")</f>
        <v>rayscottages@hotmail.com</v>
      </c>
      <c r="G1272" s="3">
        <f>IFERROR(__xludf.DUMMYFUNCTION("""COMPUTED_VALUE"""),2.897711015E9)</f>
        <v>2897711015</v>
      </c>
      <c r="H1272" s="3">
        <f>IFERROR(__xludf.DUMMYFUNCTION("""COMPUTED_VALUE"""),2.892510054E9)</f>
        <v>2892510054</v>
      </c>
    </row>
    <row r="1273">
      <c r="A1273" s="2">
        <f>IFERROR(__xludf.DUMMYFUNCTION("""COMPUTED_VALUE"""),20374.0)</f>
        <v>20374</v>
      </c>
      <c r="B1273" s="3" t="str">
        <f>IFERROR(__xludf.DUMMYFUNCTION("""COMPUTED_VALUE"""),"3226 BURNHAM ST")</f>
        <v>3226 BURNHAM ST</v>
      </c>
      <c r="C1273" s="3" t="str">
        <f>IFERROR(__xludf.DUMMYFUNCTION("""COMPUTED_VALUE"""),"COBOURG")</f>
        <v>COBOURG</v>
      </c>
      <c r="D1273" s="3" t="str">
        <f>IFERROR(__xludf.DUMMYFUNCTION("""COMPUTED_VALUE"""),"K9A 0N8")</f>
        <v>K9A 0N8</v>
      </c>
      <c r="E1273" s="3"/>
      <c r="F1273" s="3"/>
      <c r="G1273" s="3"/>
      <c r="H1273" s="3"/>
    </row>
    <row r="1274">
      <c r="A1274" s="2">
        <f>IFERROR(__xludf.DUMMYFUNCTION("""COMPUTED_VALUE"""),20375.0)</f>
        <v>20375</v>
      </c>
      <c r="B1274" s="3" t="str">
        <f>IFERROR(__xludf.DUMMYFUNCTION("""COMPUTED_VALUE"""),"3227 BURNHAM ST")</f>
        <v>3227 BURNHAM ST</v>
      </c>
      <c r="C1274" s="3" t="str">
        <f>IFERROR(__xludf.DUMMYFUNCTION("""COMPUTED_VALUE"""),"COBOURG")</f>
        <v>COBOURG</v>
      </c>
      <c r="D1274" s="3" t="str">
        <f>IFERROR(__xludf.DUMMYFUNCTION("""COMPUTED_VALUE"""),"K9A 0N8")</f>
        <v>K9A 0N8</v>
      </c>
      <c r="E1274" s="3"/>
      <c r="F1274" s="3"/>
      <c r="G1274" s="3"/>
      <c r="H1274" s="3"/>
    </row>
    <row r="1275">
      <c r="A1275" s="2">
        <f>IFERROR(__xludf.DUMMYFUNCTION("""COMPUTED_VALUE"""),20376.0)</f>
        <v>20376</v>
      </c>
      <c r="B1275" s="3" t="str">
        <f>IFERROR(__xludf.DUMMYFUNCTION("""COMPUTED_VALUE"""),"3232 BURNHAM ST")</f>
        <v>3232 BURNHAM ST</v>
      </c>
      <c r="C1275" s="3" t="str">
        <f>IFERROR(__xludf.DUMMYFUNCTION("""COMPUTED_VALUE"""),"COBOURG")</f>
        <v>COBOURG</v>
      </c>
      <c r="D1275" s="3" t="str">
        <f>IFERROR(__xludf.DUMMYFUNCTION("""COMPUTED_VALUE"""),"K9A 0N8")</f>
        <v>K9A 0N8</v>
      </c>
      <c r="E1275" s="3" t="str">
        <f>IFERROR(__xludf.DUMMYFUNCTION("""COMPUTED_VALUE"""),"don houston")</f>
        <v>don houston</v>
      </c>
      <c r="F1275" s="3" t="str">
        <f>IFERROR(__xludf.DUMMYFUNCTION("""COMPUTED_VALUE"""),"houstonsnaturalmeats@gmail.com")</f>
        <v>houstonsnaturalmeats@gmail.com</v>
      </c>
      <c r="G1275" s="3">
        <f>IFERROR(__xludf.DUMMYFUNCTION("""COMPUTED_VALUE"""),9.053422499E9)</f>
        <v>9053422499</v>
      </c>
      <c r="H1275" s="3"/>
    </row>
    <row r="1276">
      <c r="A1276" s="2">
        <f>IFERROR(__xludf.DUMMYFUNCTION("""COMPUTED_VALUE"""),20326.0)</f>
        <v>20326</v>
      </c>
      <c r="B1276" s="3" t="str">
        <f>IFERROR(__xludf.DUMMYFUNCTION("""COMPUTED_VALUE"""),"3235 BURNHAM ST N")</f>
        <v>3235 BURNHAM ST N</v>
      </c>
      <c r="C1276" s="3" t="str">
        <f>IFERROR(__xludf.DUMMYFUNCTION("""COMPUTED_VALUE"""),"COBOURG")</f>
        <v>COBOURG</v>
      </c>
      <c r="D1276" s="3" t="str">
        <f>IFERROR(__xludf.DUMMYFUNCTION("""COMPUTED_VALUE"""),"K9A 4J9")</f>
        <v>K9A 4J9</v>
      </c>
      <c r="E1276" s="3" t="str">
        <f>IFERROR(__xludf.DUMMYFUNCTION("""COMPUTED_VALUE"""),"walter floris ")</f>
        <v>walter floris </v>
      </c>
      <c r="F1276" s="3" t="str">
        <f>IFERROR(__xludf.DUMMYFUNCTION("""COMPUTED_VALUE"""),"wlterfloris1989@gmail.com")</f>
        <v>wlterfloris1989@gmail.com</v>
      </c>
      <c r="G1276" s="3">
        <f>IFERROR(__xludf.DUMMYFUNCTION("""COMPUTED_VALUE"""),9.057674918E9)</f>
        <v>9057674918</v>
      </c>
      <c r="H1276" s="3"/>
    </row>
    <row r="1277">
      <c r="A1277" s="2">
        <f>IFERROR(__xludf.DUMMYFUNCTION("""COMPUTED_VALUE"""),20377.0)</f>
        <v>20377</v>
      </c>
      <c r="B1277" s="3" t="str">
        <f>IFERROR(__xludf.DUMMYFUNCTION("""COMPUTED_VALUE"""),"3244 BURNHAM ST")</f>
        <v>3244 BURNHAM ST</v>
      </c>
      <c r="C1277" s="3" t="str">
        <f>IFERROR(__xludf.DUMMYFUNCTION("""COMPUTED_VALUE"""),"COBOURG")</f>
        <v>COBOURG</v>
      </c>
      <c r="D1277" s="3" t="str">
        <f>IFERROR(__xludf.DUMMYFUNCTION("""COMPUTED_VALUE"""),"K9A 0N8")</f>
        <v>K9A 0N8</v>
      </c>
      <c r="E1277" s="3"/>
      <c r="F1277" s="3"/>
      <c r="G1277" s="3"/>
      <c r="H1277" s="3"/>
    </row>
    <row r="1278">
      <c r="A1278" s="2">
        <f>IFERROR(__xludf.DUMMYFUNCTION("""COMPUTED_VALUE"""),20378.0)</f>
        <v>20378</v>
      </c>
      <c r="B1278" s="3" t="str">
        <f>IFERROR(__xludf.DUMMYFUNCTION("""COMPUTED_VALUE"""),"3254 BURNHAM ST")</f>
        <v>3254 BURNHAM ST</v>
      </c>
      <c r="C1278" s="3" t="str">
        <f>IFERROR(__xludf.DUMMYFUNCTION("""COMPUTED_VALUE"""),"COBOURG")</f>
        <v>COBOURG</v>
      </c>
      <c r="D1278" s="3" t="str">
        <f>IFERROR(__xludf.DUMMYFUNCTION("""COMPUTED_VALUE"""),"K9A 0N8")</f>
        <v>K9A 0N8</v>
      </c>
      <c r="E1278" s="3"/>
      <c r="F1278" s="3"/>
      <c r="G1278" s="3"/>
      <c r="H1278" s="3"/>
    </row>
    <row r="1279">
      <c r="A1279" s="2">
        <f>IFERROR(__xludf.DUMMYFUNCTION("""COMPUTED_VALUE"""),20379.0)</f>
        <v>20379</v>
      </c>
      <c r="B1279" s="3" t="str">
        <f>IFERROR(__xludf.DUMMYFUNCTION("""COMPUTED_VALUE"""),"3258 BURNHAM ST")</f>
        <v>3258 BURNHAM ST</v>
      </c>
      <c r="C1279" s="3" t="str">
        <f>IFERROR(__xludf.DUMMYFUNCTION("""COMPUTED_VALUE"""),"COBOURG")</f>
        <v>COBOURG</v>
      </c>
      <c r="D1279" s="3" t="str">
        <f>IFERROR(__xludf.DUMMYFUNCTION("""COMPUTED_VALUE"""),"K9A 0N8")</f>
        <v>K9A 0N8</v>
      </c>
      <c r="E1279" s="3"/>
      <c r="F1279" s="3"/>
      <c r="G1279" s="3"/>
      <c r="H1279" s="3"/>
    </row>
    <row r="1280">
      <c r="A1280" s="2">
        <f>IFERROR(__xludf.DUMMYFUNCTION("""COMPUTED_VALUE"""),20380.0)</f>
        <v>20380</v>
      </c>
      <c r="B1280" s="3" t="str">
        <f>IFERROR(__xludf.DUMMYFUNCTION("""COMPUTED_VALUE"""),"3264 BURNHAM ST")</f>
        <v>3264 BURNHAM ST</v>
      </c>
      <c r="C1280" s="3" t="str">
        <f>IFERROR(__xludf.DUMMYFUNCTION("""COMPUTED_VALUE"""),"COBOURG")</f>
        <v>COBOURG</v>
      </c>
      <c r="D1280" s="3" t="str">
        <f>IFERROR(__xludf.DUMMYFUNCTION("""COMPUTED_VALUE"""),"K9A 0N8")</f>
        <v>K9A 0N8</v>
      </c>
      <c r="E1280" s="3" t="str">
        <f>IFERROR(__xludf.DUMMYFUNCTION("""COMPUTED_VALUE"""),"ben and marie kelly ")</f>
        <v>ben and marie kelly </v>
      </c>
      <c r="F1280" s="3" t="str">
        <f>IFERROR(__xludf.DUMMYFUNCTION("""COMPUTED_VALUE"""),"marie-stroud@hotmail.com")</f>
        <v>marie-stroud@hotmail.com</v>
      </c>
      <c r="G1280" s="3">
        <f>IFERROR(__xludf.DUMMYFUNCTION("""COMPUTED_VALUE"""),9.053766269E9)</f>
        <v>9053766269</v>
      </c>
      <c r="H1280" s="3"/>
    </row>
    <row r="1281">
      <c r="A1281" s="2">
        <f>IFERROR(__xludf.DUMMYFUNCTION("""COMPUTED_VALUE"""),20381.0)</f>
        <v>20381</v>
      </c>
      <c r="B1281" s="3" t="str">
        <f>IFERROR(__xludf.DUMMYFUNCTION("""COMPUTED_VALUE"""),"3274 BURNHAM ST")</f>
        <v>3274 BURNHAM ST</v>
      </c>
      <c r="C1281" s="3" t="str">
        <f>IFERROR(__xludf.DUMMYFUNCTION("""COMPUTED_VALUE"""),"COBOURG")</f>
        <v>COBOURG</v>
      </c>
      <c r="D1281" s="3" t="str">
        <f>IFERROR(__xludf.DUMMYFUNCTION("""COMPUTED_VALUE"""),"K9A 0N8")</f>
        <v>K9A 0N8</v>
      </c>
      <c r="E1281" s="3" t="str">
        <f>IFERROR(__xludf.DUMMYFUNCTION("""COMPUTED_VALUE"""),"JOSEPH MANTON")</f>
        <v>JOSEPH MANTON</v>
      </c>
      <c r="F1281" s="3" t="str">
        <f>IFERROR(__xludf.DUMMYFUNCTION("""COMPUTED_VALUE"""),"mantonj25@gmail.com")</f>
        <v>mantonj25@gmail.com</v>
      </c>
      <c r="G1281" s="3"/>
      <c r="H1281" s="3"/>
    </row>
    <row r="1282">
      <c r="A1282" s="2">
        <f>IFERROR(__xludf.DUMMYFUNCTION("""COMPUTED_VALUE"""),20382.0)</f>
        <v>20382</v>
      </c>
      <c r="B1282" s="3" t="str">
        <f>IFERROR(__xludf.DUMMYFUNCTION("""COMPUTED_VALUE"""),"3280 BURNHAM ST")</f>
        <v>3280 BURNHAM ST</v>
      </c>
      <c r="C1282" s="3" t="str">
        <f>IFERROR(__xludf.DUMMYFUNCTION("""COMPUTED_VALUE"""),"COBOURG")</f>
        <v>COBOURG</v>
      </c>
      <c r="D1282" s="3" t="str">
        <f>IFERROR(__xludf.DUMMYFUNCTION("""COMPUTED_VALUE"""),"K9A 0N8")</f>
        <v>K9A 0N8</v>
      </c>
      <c r="E1282" s="3"/>
      <c r="F1282" s="3"/>
      <c r="G1282" s="3"/>
      <c r="H1282" s="3"/>
    </row>
    <row r="1283">
      <c r="A1283" s="2">
        <f>IFERROR(__xludf.DUMMYFUNCTION("""COMPUTED_VALUE"""),20383.0)</f>
        <v>20383</v>
      </c>
      <c r="B1283" s="3" t="str">
        <f>IFERROR(__xludf.DUMMYFUNCTION("""COMPUTED_VALUE"""),"3286 BURNHAM ST")</f>
        <v>3286 BURNHAM ST</v>
      </c>
      <c r="C1283" s="3" t="str">
        <f>IFERROR(__xludf.DUMMYFUNCTION("""COMPUTED_VALUE"""),"COBOURG")</f>
        <v>COBOURG</v>
      </c>
      <c r="D1283" s="3" t="str">
        <f>IFERROR(__xludf.DUMMYFUNCTION("""COMPUTED_VALUE"""),"K9A 0N8")</f>
        <v>K9A 0N8</v>
      </c>
      <c r="E1283" s="3"/>
      <c r="F1283" s="3"/>
      <c r="G1283" s="3"/>
      <c r="H1283" s="3"/>
    </row>
    <row r="1284">
      <c r="A1284" s="2">
        <f>IFERROR(__xludf.DUMMYFUNCTION("""COMPUTED_VALUE"""),23969.0)</f>
        <v>23969</v>
      </c>
      <c r="B1284" s="3" t="str">
        <f>IFERROR(__xludf.DUMMYFUNCTION("""COMPUTED_VALUE"""),"3291 BURNHAM ST")</f>
        <v>3291 BURNHAM ST</v>
      </c>
      <c r="C1284" s="3" t="str">
        <f>IFERROR(__xludf.DUMMYFUNCTION("""COMPUTED_VALUE"""),"COBOURG")</f>
        <v>COBOURG</v>
      </c>
      <c r="D1284" s="3" t="str">
        <f>IFERROR(__xludf.DUMMYFUNCTION("""COMPUTED_VALUE"""),"K9A 4J7")</f>
        <v>K9A 4J7</v>
      </c>
      <c r="E1284" s="3"/>
      <c r="F1284" s="3"/>
      <c r="G1284" s="3"/>
      <c r="H1284" s="3"/>
    </row>
    <row r="1285">
      <c r="A1285" s="2">
        <f>IFERROR(__xludf.DUMMYFUNCTION("""COMPUTED_VALUE"""),20384.0)</f>
        <v>20384</v>
      </c>
      <c r="B1285" s="3" t="str">
        <f>IFERROR(__xludf.DUMMYFUNCTION("""COMPUTED_VALUE"""),"3292 BURNHAM ST")</f>
        <v>3292 BURNHAM ST</v>
      </c>
      <c r="C1285" s="3" t="str">
        <f>IFERROR(__xludf.DUMMYFUNCTION("""COMPUTED_VALUE"""),"COBOURG")</f>
        <v>COBOURG</v>
      </c>
      <c r="D1285" s="3" t="str">
        <f>IFERROR(__xludf.DUMMYFUNCTION("""COMPUTED_VALUE"""),"K9A 0N8")</f>
        <v>K9A 0N8</v>
      </c>
      <c r="E1285" s="3"/>
      <c r="F1285" s="3"/>
      <c r="G1285" s="3"/>
      <c r="H1285" s="3"/>
    </row>
    <row r="1286">
      <c r="A1286" s="2">
        <f>IFERROR(__xludf.DUMMYFUNCTION("""COMPUTED_VALUE"""),20385.0)</f>
        <v>20385</v>
      </c>
      <c r="B1286" s="3" t="str">
        <f>IFERROR(__xludf.DUMMYFUNCTION("""COMPUTED_VALUE"""),"3296 BURNHAM ST")</f>
        <v>3296 BURNHAM ST</v>
      </c>
      <c r="C1286" s="3" t="str">
        <f>IFERROR(__xludf.DUMMYFUNCTION("""COMPUTED_VALUE"""),"COBOURG")</f>
        <v>COBOURG</v>
      </c>
      <c r="D1286" s="3" t="str">
        <f>IFERROR(__xludf.DUMMYFUNCTION("""COMPUTED_VALUE"""),"K9A 0N8")</f>
        <v>K9A 0N8</v>
      </c>
      <c r="E1286" s="3"/>
      <c r="F1286" s="3"/>
      <c r="G1286" s="3"/>
      <c r="H1286" s="3"/>
    </row>
    <row r="1287">
      <c r="A1287" s="2">
        <f>IFERROR(__xludf.DUMMYFUNCTION("""COMPUTED_VALUE"""),20386.0)</f>
        <v>20386</v>
      </c>
      <c r="B1287" s="3" t="str">
        <f>IFERROR(__xludf.DUMMYFUNCTION("""COMPUTED_VALUE"""),"3300 BURNHAM ST")</f>
        <v>3300 BURNHAM ST</v>
      </c>
      <c r="C1287" s="3" t="str">
        <f>IFERROR(__xludf.DUMMYFUNCTION("""COMPUTED_VALUE"""),"COBOURG")</f>
        <v>COBOURG</v>
      </c>
      <c r="D1287" s="3" t="str">
        <f>IFERROR(__xludf.DUMMYFUNCTION("""COMPUTED_VALUE"""),"K9A 0N8")</f>
        <v>K9A 0N8</v>
      </c>
      <c r="E1287" s="3"/>
      <c r="F1287" s="3"/>
      <c r="G1287" s="3"/>
      <c r="H1287" s="3"/>
    </row>
    <row r="1288">
      <c r="A1288" s="2">
        <f>IFERROR(__xludf.DUMMYFUNCTION("""COMPUTED_VALUE"""),20387.0)</f>
        <v>20387</v>
      </c>
      <c r="B1288" s="3" t="str">
        <f>IFERROR(__xludf.DUMMYFUNCTION("""COMPUTED_VALUE"""),"3301 BURNHAM ST")</f>
        <v>3301 BURNHAM ST</v>
      </c>
      <c r="C1288" s="3" t="str">
        <f>IFERROR(__xludf.DUMMYFUNCTION("""COMPUTED_VALUE"""),"COBOURG")</f>
        <v>COBOURG</v>
      </c>
      <c r="D1288" s="3" t="str">
        <f>IFERROR(__xludf.DUMMYFUNCTION("""COMPUTED_VALUE"""),"K9A 0N8")</f>
        <v>K9A 0N8</v>
      </c>
      <c r="E1288" s="3" t="str">
        <f>IFERROR(__xludf.DUMMYFUNCTION("""COMPUTED_VALUE"""),"steven harris ")</f>
        <v>steven harris </v>
      </c>
      <c r="F1288" s="3" t="str">
        <f>IFERROR(__xludf.DUMMYFUNCTION("""COMPUTED_VALUE"""),"harriscustomwoodworking@gmail.com")</f>
        <v>harriscustomwoodworking@gmail.com</v>
      </c>
      <c r="G1288" s="3">
        <f>IFERROR(__xludf.DUMMYFUNCTION("""COMPUTED_VALUE"""),9.053422296E9)</f>
        <v>9053422296</v>
      </c>
      <c r="H1288" s="3">
        <f>IFERROR(__xludf.DUMMYFUNCTION("""COMPUTED_VALUE"""),2.894422802E9)</f>
        <v>2894422802</v>
      </c>
    </row>
    <row r="1289">
      <c r="A1289" s="2">
        <f>IFERROR(__xludf.DUMMYFUNCTION("""COMPUTED_VALUE"""),20388.0)</f>
        <v>20388</v>
      </c>
      <c r="B1289" s="3" t="str">
        <f>IFERROR(__xludf.DUMMYFUNCTION("""COMPUTED_VALUE"""),"3308 BURNHAM ST")</f>
        <v>3308 BURNHAM ST</v>
      </c>
      <c r="C1289" s="3" t="str">
        <f>IFERROR(__xludf.DUMMYFUNCTION("""COMPUTED_VALUE"""),"COBOURG")</f>
        <v>COBOURG</v>
      </c>
      <c r="D1289" s="3" t="str">
        <f>IFERROR(__xludf.DUMMYFUNCTION("""COMPUTED_VALUE"""),"K9A 0N8")</f>
        <v>K9A 0N8</v>
      </c>
      <c r="E1289" s="3" t="str">
        <f>IFERROR(__xludf.DUMMYFUNCTION("""COMPUTED_VALUE""")," ")</f>
        <v> </v>
      </c>
      <c r="F1289" s="3"/>
      <c r="G1289" s="3">
        <f>IFERROR(__xludf.DUMMYFUNCTION("""COMPUTED_VALUE"""),9.053422807E9)</f>
        <v>9053422807</v>
      </c>
      <c r="H1289" s="3">
        <f>IFERROR(__xludf.DUMMYFUNCTION("""COMPUTED_VALUE"""),9.053423138E9)</f>
        <v>9053423138</v>
      </c>
    </row>
    <row r="1290">
      <c r="A1290" s="2">
        <f>IFERROR(__xludf.DUMMYFUNCTION("""COMPUTED_VALUE"""),20389.0)</f>
        <v>20389</v>
      </c>
      <c r="B1290" s="3" t="str">
        <f>IFERROR(__xludf.DUMMYFUNCTION("""COMPUTED_VALUE"""),"3311 BURNHAM ST N")</f>
        <v>3311 BURNHAM ST N</v>
      </c>
      <c r="C1290" s="3" t="str">
        <f>IFERROR(__xludf.DUMMYFUNCTION("""COMPUTED_VALUE"""),"COBOURG")</f>
        <v>COBOURG</v>
      </c>
      <c r="D1290" s="3" t="str">
        <f>IFERROR(__xludf.DUMMYFUNCTION("""COMPUTED_VALUE"""),"K9A 4J7")</f>
        <v>K9A 4J7</v>
      </c>
      <c r="E1290" s="3" t="str">
        <f>IFERROR(__xludf.DUMMYFUNCTION("""COMPUTED_VALUE"""),"Kim Daigle")</f>
        <v>Kim Daigle</v>
      </c>
      <c r="F1290" s="3" t="str">
        <f>IFERROR(__xludf.DUMMYFUNCTION("""COMPUTED_VALUE"""),"dkdaigle@gmail.com")</f>
        <v>dkdaigle@gmail.com</v>
      </c>
      <c r="G1290" s="3"/>
      <c r="H1290" s="3"/>
    </row>
    <row r="1291">
      <c r="A1291" s="2">
        <f>IFERROR(__xludf.DUMMYFUNCTION("""COMPUTED_VALUE"""),20390.0)</f>
        <v>20390</v>
      </c>
      <c r="B1291" s="3" t="str">
        <f>IFERROR(__xludf.DUMMYFUNCTION("""COMPUTED_VALUE"""),"3318 BURNHAM ST")</f>
        <v>3318 BURNHAM ST</v>
      </c>
      <c r="C1291" s="3" t="str">
        <f>IFERROR(__xludf.DUMMYFUNCTION("""COMPUTED_VALUE"""),"COBOURG")</f>
        <v>COBOURG</v>
      </c>
      <c r="D1291" s="3" t="str">
        <f>IFERROR(__xludf.DUMMYFUNCTION("""COMPUTED_VALUE"""),"K9A 0N8")</f>
        <v>K9A 0N8</v>
      </c>
      <c r="E1291" s="3"/>
      <c r="F1291" s="3"/>
      <c r="G1291" s="3"/>
      <c r="H1291" s="3"/>
    </row>
    <row r="1292">
      <c r="A1292" s="2">
        <f>IFERROR(__xludf.DUMMYFUNCTION("""COMPUTED_VALUE"""),20391.0)</f>
        <v>20391</v>
      </c>
      <c r="B1292" s="3" t="str">
        <f>IFERROR(__xludf.DUMMYFUNCTION("""COMPUTED_VALUE"""),"3326 BURNHAM ST")</f>
        <v>3326 BURNHAM ST</v>
      </c>
      <c r="C1292" s="3" t="str">
        <f>IFERROR(__xludf.DUMMYFUNCTION("""COMPUTED_VALUE"""),"COBOURG")</f>
        <v>COBOURG</v>
      </c>
      <c r="D1292" s="3" t="str">
        <f>IFERROR(__xludf.DUMMYFUNCTION("""COMPUTED_VALUE"""),"K9A 0N8")</f>
        <v>K9A 0N8</v>
      </c>
      <c r="E1292" s="3"/>
      <c r="F1292" s="3"/>
      <c r="G1292" s="3"/>
      <c r="H1292" s="3"/>
    </row>
    <row r="1293">
      <c r="A1293" s="2">
        <f>IFERROR(__xludf.DUMMYFUNCTION("""COMPUTED_VALUE"""),20392.0)</f>
        <v>20392</v>
      </c>
      <c r="B1293" s="3" t="str">
        <f>IFERROR(__xludf.DUMMYFUNCTION("""COMPUTED_VALUE"""),"3334 BURNHAM ST")</f>
        <v>3334 BURNHAM ST</v>
      </c>
      <c r="C1293" s="3" t="str">
        <f>IFERROR(__xludf.DUMMYFUNCTION("""COMPUTED_VALUE"""),"COBOURG")</f>
        <v>COBOURG</v>
      </c>
      <c r="D1293" s="3" t="str">
        <f>IFERROR(__xludf.DUMMYFUNCTION("""COMPUTED_VALUE"""),"K9A 0N8")</f>
        <v>K9A 0N8</v>
      </c>
      <c r="E1293" s="3" t="str">
        <f>IFERROR(__xludf.DUMMYFUNCTION("""COMPUTED_VALUE"""),"joel joncas ")</f>
        <v>joel joncas </v>
      </c>
      <c r="F1293" s="3" t="str">
        <f>IFERROR(__xludf.DUMMYFUNCTION("""COMPUTED_VALUE"""),"j_jonc@yahoo.ca")</f>
        <v>j_jonc@yahoo.ca</v>
      </c>
      <c r="G1293" s="3">
        <f>IFERROR(__xludf.DUMMYFUNCTION("""COMPUTED_VALUE"""),6.472258878E9)</f>
        <v>6472258878</v>
      </c>
      <c r="H1293" s="3"/>
    </row>
    <row r="1294">
      <c r="A1294" s="2">
        <f>IFERROR(__xludf.DUMMYFUNCTION("""COMPUTED_VALUE"""),20393.0)</f>
        <v>20393</v>
      </c>
      <c r="B1294" s="3" t="str">
        <f>IFERROR(__xludf.DUMMYFUNCTION("""COMPUTED_VALUE"""),"3338 BURNHAM ST")</f>
        <v>3338 BURNHAM ST</v>
      </c>
      <c r="C1294" s="3" t="str">
        <f>IFERROR(__xludf.DUMMYFUNCTION("""COMPUTED_VALUE"""),"COBOURG")</f>
        <v>COBOURG</v>
      </c>
      <c r="D1294" s="3" t="str">
        <f>IFERROR(__xludf.DUMMYFUNCTION("""COMPUTED_VALUE"""),"K9A 0N8")</f>
        <v>K9A 0N8</v>
      </c>
      <c r="E1294" s="3"/>
      <c r="F1294" s="3"/>
      <c r="G1294" s="3"/>
      <c r="H1294" s="3"/>
    </row>
    <row r="1295">
      <c r="A1295" s="2">
        <f>IFERROR(__xludf.DUMMYFUNCTION("""COMPUTED_VALUE"""),20394.0)</f>
        <v>20394</v>
      </c>
      <c r="B1295" s="3" t="str">
        <f>IFERROR(__xludf.DUMMYFUNCTION("""COMPUTED_VALUE"""),"3342 BURNHAM ST")</f>
        <v>3342 BURNHAM ST</v>
      </c>
      <c r="C1295" s="3" t="str">
        <f>IFERROR(__xludf.DUMMYFUNCTION("""COMPUTED_VALUE"""),"COBOURG")</f>
        <v>COBOURG</v>
      </c>
      <c r="D1295" s="3" t="str">
        <f>IFERROR(__xludf.DUMMYFUNCTION("""COMPUTED_VALUE"""),"K9A 0N8")</f>
        <v>K9A 0N8</v>
      </c>
      <c r="E1295" s="3"/>
      <c r="F1295" s="3"/>
      <c r="G1295" s="3"/>
      <c r="H1295" s="3"/>
    </row>
    <row r="1296">
      <c r="A1296" s="2">
        <f>IFERROR(__xludf.DUMMYFUNCTION("""COMPUTED_VALUE"""),20395.0)</f>
        <v>20395</v>
      </c>
      <c r="B1296" s="3" t="str">
        <f>IFERROR(__xludf.DUMMYFUNCTION("""COMPUTED_VALUE"""),"3354 BURNHAM ST")</f>
        <v>3354 BURNHAM ST</v>
      </c>
      <c r="C1296" s="3" t="str">
        <f>IFERROR(__xludf.DUMMYFUNCTION("""COMPUTED_VALUE"""),"COBOURG")</f>
        <v>COBOURG</v>
      </c>
      <c r="D1296" s="3" t="str">
        <f>IFERROR(__xludf.DUMMYFUNCTION("""COMPUTED_VALUE"""),"K9A 0N8")</f>
        <v>K9A 0N8</v>
      </c>
      <c r="E1296" s="3"/>
      <c r="F1296" s="3"/>
      <c r="G1296" s="3"/>
      <c r="H1296" s="3"/>
    </row>
    <row r="1297">
      <c r="A1297" s="2">
        <f>IFERROR(__xludf.DUMMYFUNCTION("""COMPUTED_VALUE"""),20396.0)</f>
        <v>20396</v>
      </c>
      <c r="B1297" s="3" t="str">
        <f>IFERROR(__xludf.DUMMYFUNCTION("""COMPUTED_VALUE"""),"3360 BURNHAM ST")</f>
        <v>3360 BURNHAM ST</v>
      </c>
      <c r="C1297" s="3" t="str">
        <f>IFERROR(__xludf.DUMMYFUNCTION("""COMPUTED_VALUE"""),"COBOURG")</f>
        <v>COBOURG</v>
      </c>
      <c r="D1297" s="3" t="str">
        <f>IFERROR(__xludf.DUMMYFUNCTION("""COMPUTED_VALUE"""),"K9A 0N8")</f>
        <v>K9A 0N8</v>
      </c>
      <c r="E1297" s="3"/>
      <c r="F1297" s="3"/>
      <c r="G1297" s="3"/>
      <c r="H1297" s="3"/>
    </row>
    <row r="1298">
      <c r="A1298" s="2">
        <f>IFERROR(__xludf.DUMMYFUNCTION("""COMPUTED_VALUE"""),20397.0)</f>
        <v>20397</v>
      </c>
      <c r="B1298" s="3" t="str">
        <f>IFERROR(__xludf.DUMMYFUNCTION("""COMPUTED_VALUE"""),"3368 BURNHAM ST")</f>
        <v>3368 BURNHAM ST</v>
      </c>
      <c r="C1298" s="3" t="str">
        <f>IFERROR(__xludf.DUMMYFUNCTION("""COMPUTED_VALUE"""),"COBOURG")</f>
        <v>COBOURG</v>
      </c>
      <c r="D1298" s="3" t="str">
        <f>IFERROR(__xludf.DUMMYFUNCTION("""COMPUTED_VALUE"""),"K9A 0N8")</f>
        <v>K9A 0N8</v>
      </c>
      <c r="E1298" s="3"/>
      <c r="F1298" s="3"/>
      <c r="G1298" s="3"/>
      <c r="H1298" s="3"/>
    </row>
    <row r="1299">
      <c r="A1299" s="2">
        <f>IFERROR(__xludf.DUMMYFUNCTION("""COMPUTED_VALUE"""),20327.0)</f>
        <v>20327</v>
      </c>
      <c r="B1299" s="3" t="str">
        <f>IFERROR(__xludf.DUMMYFUNCTION("""COMPUTED_VALUE"""),"3397 BURNHAM ST N")</f>
        <v>3397 BURNHAM ST N</v>
      </c>
      <c r="C1299" s="3" t="str">
        <f>IFERROR(__xludf.DUMMYFUNCTION("""COMPUTED_VALUE"""),"COBOURG")</f>
        <v>COBOURG</v>
      </c>
      <c r="D1299" s="3" t="str">
        <f>IFERROR(__xludf.DUMMYFUNCTION("""COMPUTED_VALUE"""),"K9A 4J9")</f>
        <v>K9A 4J9</v>
      </c>
      <c r="E1299" s="3" t="str">
        <f>IFERROR(__xludf.DUMMYFUNCTION("""COMPUTED_VALUE"""),"ed ruis ")</f>
        <v>ed ruis </v>
      </c>
      <c r="F1299" s="3" t="str">
        <f>IFERROR(__xludf.DUMMYFUNCTION("""COMPUTED_VALUE"""),"edruis@live.ca")</f>
        <v>edruis@live.ca</v>
      </c>
      <c r="G1299" s="3">
        <f>IFERROR(__xludf.DUMMYFUNCTION("""COMPUTED_VALUE"""),2.896881449E9)</f>
        <v>2896881449</v>
      </c>
      <c r="H1299" s="3"/>
    </row>
    <row r="1300">
      <c r="A1300" s="2">
        <f>IFERROR(__xludf.DUMMYFUNCTION("""COMPUTED_VALUE"""),20328.0)</f>
        <v>20328</v>
      </c>
      <c r="B1300" s="3" t="str">
        <f>IFERROR(__xludf.DUMMYFUNCTION("""COMPUTED_VALUE"""),"3419 BURNHAM ST N")</f>
        <v>3419 BURNHAM ST N</v>
      </c>
      <c r="C1300" s="3" t="str">
        <f>IFERROR(__xludf.DUMMYFUNCTION("""COMPUTED_VALUE"""),"COBOURG")</f>
        <v>COBOURG</v>
      </c>
      <c r="D1300" s="3" t="str">
        <f>IFERROR(__xludf.DUMMYFUNCTION("""COMPUTED_VALUE"""),"K9A 4J9")</f>
        <v>K9A 4J9</v>
      </c>
      <c r="E1300" s="3"/>
      <c r="F1300" s="3"/>
      <c r="G1300" s="3"/>
      <c r="H1300" s="3"/>
    </row>
    <row r="1301">
      <c r="A1301" s="2">
        <f>IFERROR(__xludf.DUMMYFUNCTION("""COMPUTED_VALUE"""),20330.0)</f>
        <v>20330</v>
      </c>
      <c r="B1301" s="3" t="str">
        <f>IFERROR(__xludf.DUMMYFUNCTION("""COMPUTED_VALUE"""),"3427 BURNHAM ST N")</f>
        <v>3427 BURNHAM ST N</v>
      </c>
      <c r="C1301" s="3" t="str">
        <f>IFERROR(__xludf.DUMMYFUNCTION("""COMPUTED_VALUE"""),"COBOURG")</f>
        <v>COBOURG</v>
      </c>
      <c r="D1301" s="3" t="str">
        <f>IFERROR(__xludf.DUMMYFUNCTION("""COMPUTED_VALUE"""),"K9A 4J9")</f>
        <v>K9A 4J9</v>
      </c>
      <c r="E1301" s="3"/>
      <c r="F1301" s="3"/>
      <c r="G1301" s="3"/>
      <c r="H1301" s="3"/>
    </row>
    <row r="1302">
      <c r="A1302" s="2">
        <f>IFERROR(__xludf.DUMMYFUNCTION("""COMPUTED_VALUE"""),20331.0)</f>
        <v>20331</v>
      </c>
      <c r="B1302" s="3" t="str">
        <f>IFERROR(__xludf.DUMMYFUNCTION("""COMPUTED_VALUE"""),"3431 BURNHAM ST N")</f>
        <v>3431 BURNHAM ST N</v>
      </c>
      <c r="C1302" s="3" t="str">
        <f>IFERROR(__xludf.DUMMYFUNCTION("""COMPUTED_VALUE"""),"COBOURG")</f>
        <v>COBOURG</v>
      </c>
      <c r="D1302" s="3" t="str">
        <f>IFERROR(__xludf.DUMMYFUNCTION("""COMPUTED_VALUE"""),"K9A 4J9")</f>
        <v>K9A 4J9</v>
      </c>
      <c r="E1302" s="3" t="str">
        <f>IFERROR(__xludf.DUMMYFUNCTION("""COMPUTED_VALUE"""),"matthew keough")</f>
        <v>matthew keough</v>
      </c>
      <c r="F1302" s="3" t="str">
        <f>IFERROR(__xludf.DUMMYFUNCTION("""COMPUTED_VALUE"""),"matthewkeough1313@icloud.com")</f>
        <v>matthewkeough1313@icloud.com</v>
      </c>
      <c r="G1302" s="3">
        <f>IFERROR(__xludf.DUMMYFUNCTION("""COMPUTED_VALUE"""),9.053760276E9)</f>
        <v>9053760276</v>
      </c>
      <c r="H1302" s="3"/>
    </row>
    <row r="1303">
      <c r="A1303" s="2">
        <f>IFERROR(__xludf.DUMMYFUNCTION("""COMPUTED_VALUE"""),20332.0)</f>
        <v>20332</v>
      </c>
      <c r="B1303" s="3" t="str">
        <f>IFERROR(__xludf.DUMMYFUNCTION("""COMPUTED_VALUE"""),"3434 BURNHAM ST N")</f>
        <v>3434 BURNHAM ST N</v>
      </c>
      <c r="C1303" s="3" t="str">
        <f>IFERROR(__xludf.DUMMYFUNCTION("""COMPUTED_VALUE"""),"COBOURG")</f>
        <v>COBOURG</v>
      </c>
      <c r="D1303" s="3" t="str">
        <f>IFERROR(__xludf.DUMMYFUNCTION("""COMPUTED_VALUE"""),"K9A 4J9")</f>
        <v>K9A 4J9</v>
      </c>
      <c r="E1303" s="3"/>
      <c r="F1303" s="3"/>
      <c r="G1303" s="3"/>
      <c r="H1303" s="3"/>
    </row>
    <row r="1304">
      <c r="A1304" s="2">
        <f>IFERROR(__xludf.DUMMYFUNCTION("""COMPUTED_VALUE"""),20333.0)</f>
        <v>20333</v>
      </c>
      <c r="B1304" s="3" t="str">
        <f>IFERROR(__xludf.DUMMYFUNCTION("""COMPUTED_VALUE"""),"3439 BURNHAM ST N")</f>
        <v>3439 BURNHAM ST N</v>
      </c>
      <c r="C1304" s="3" t="str">
        <f>IFERROR(__xludf.DUMMYFUNCTION("""COMPUTED_VALUE"""),"COBOURG")</f>
        <v>COBOURG</v>
      </c>
      <c r="D1304" s="3" t="str">
        <f>IFERROR(__xludf.DUMMYFUNCTION("""COMPUTED_VALUE"""),"K9A 4J9")</f>
        <v>K9A 4J9</v>
      </c>
      <c r="E1304" s="3"/>
      <c r="F1304" s="3"/>
      <c r="G1304" s="3"/>
      <c r="H1304" s="3"/>
    </row>
    <row r="1305">
      <c r="A1305" s="2">
        <f>IFERROR(__xludf.DUMMYFUNCTION("""COMPUTED_VALUE"""),20334.0)</f>
        <v>20334</v>
      </c>
      <c r="B1305" s="3" t="str">
        <f>IFERROR(__xludf.DUMMYFUNCTION("""COMPUTED_VALUE"""),"3440 BURNHAM ST N")</f>
        <v>3440 BURNHAM ST N</v>
      </c>
      <c r="C1305" s="3" t="str">
        <f>IFERROR(__xludf.DUMMYFUNCTION("""COMPUTED_VALUE"""),"COBOURG")</f>
        <v>COBOURG</v>
      </c>
      <c r="D1305" s="3" t="str">
        <f>IFERROR(__xludf.DUMMYFUNCTION("""COMPUTED_VALUE"""),"K9A 4J9")</f>
        <v>K9A 4J9</v>
      </c>
      <c r="E1305" s="3"/>
      <c r="F1305" s="3"/>
      <c r="G1305" s="3"/>
      <c r="H1305" s="3"/>
    </row>
    <row r="1306">
      <c r="A1306" s="2">
        <f>IFERROR(__xludf.DUMMYFUNCTION("""COMPUTED_VALUE"""),20335.0)</f>
        <v>20335</v>
      </c>
      <c r="B1306" s="3" t="str">
        <f>IFERROR(__xludf.DUMMYFUNCTION("""COMPUTED_VALUE"""),"3443 BURNHAM ST N")</f>
        <v>3443 BURNHAM ST N</v>
      </c>
      <c r="C1306" s="3" t="str">
        <f>IFERROR(__xludf.DUMMYFUNCTION("""COMPUTED_VALUE"""),"COBOURG")</f>
        <v>COBOURG</v>
      </c>
      <c r="D1306" s="3" t="str">
        <f>IFERROR(__xludf.DUMMYFUNCTION("""COMPUTED_VALUE"""),"K9A 4J9")</f>
        <v>K9A 4J9</v>
      </c>
      <c r="E1306" s="3"/>
      <c r="F1306" s="3"/>
      <c r="G1306" s="3"/>
      <c r="H1306" s="3"/>
    </row>
    <row r="1307">
      <c r="A1307" s="2">
        <f>IFERROR(__xludf.DUMMYFUNCTION("""COMPUTED_VALUE"""),20336.0)</f>
        <v>20336</v>
      </c>
      <c r="B1307" s="3" t="str">
        <f>IFERROR(__xludf.DUMMYFUNCTION("""COMPUTED_VALUE"""),"3449 BURNHAM ST N")</f>
        <v>3449 BURNHAM ST N</v>
      </c>
      <c r="C1307" s="3" t="str">
        <f>IFERROR(__xludf.DUMMYFUNCTION("""COMPUTED_VALUE"""),"COBOURG")</f>
        <v>COBOURG</v>
      </c>
      <c r="D1307" s="3" t="str">
        <f>IFERROR(__xludf.DUMMYFUNCTION("""COMPUTED_VALUE"""),"K9A 4J9")</f>
        <v>K9A 4J9</v>
      </c>
      <c r="E1307" s="3"/>
      <c r="F1307" s="3"/>
      <c r="G1307" s="3"/>
      <c r="H1307" s="3"/>
    </row>
    <row r="1308">
      <c r="A1308" s="2">
        <f>IFERROR(__xludf.DUMMYFUNCTION("""COMPUTED_VALUE"""),20337.0)</f>
        <v>20337</v>
      </c>
      <c r="B1308" s="3" t="str">
        <f>IFERROR(__xludf.DUMMYFUNCTION("""COMPUTED_VALUE"""),"3461 BURNHAM ST N")</f>
        <v>3461 BURNHAM ST N</v>
      </c>
      <c r="C1308" s="3" t="str">
        <f>IFERROR(__xludf.DUMMYFUNCTION("""COMPUTED_VALUE"""),"COBOURG")</f>
        <v>COBOURG</v>
      </c>
      <c r="D1308" s="3" t="str">
        <f>IFERROR(__xludf.DUMMYFUNCTION("""COMPUTED_VALUE"""),"K9A 4J9")</f>
        <v>K9A 4J9</v>
      </c>
      <c r="E1308" s="3"/>
      <c r="F1308" s="3"/>
      <c r="G1308" s="3"/>
      <c r="H1308" s="3"/>
    </row>
    <row r="1309">
      <c r="A1309" s="2">
        <f>IFERROR(__xludf.DUMMYFUNCTION("""COMPUTED_VALUE"""),20398.0)</f>
        <v>20398</v>
      </c>
      <c r="B1309" s="3" t="str">
        <f>IFERROR(__xludf.DUMMYFUNCTION("""COMPUTED_VALUE"""),"3469 BURNHAM ST")</f>
        <v>3469 BURNHAM ST</v>
      </c>
      <c r="C1309" s="3" t="str">
        <f>IFERROR(__xludf.DUMMYFUNCTION("""COMPUTED_VALUE"""),"COBOURG")</f>
        <v>COBOURG</v>
      </c>
      <c r="D1309" s="3" t="str">
        <f>IFERROR(__xludf.DUMMYFUNCTION("""COMPUTED_VALUE"""),"K9A 4J7")</f>
        <v>K9A 4J7</v>
      </c>
      <c r="E1309" s="3" t="str">
        <f>IFERROR(__xludf.DUMMYFUNCTION("""COMPUTED_VALUE"""),"Jackie &amp; Kevin Rose")</f>
        <v>Jackie &amp; Kevin Rose</v>
      </c>
      <c r="F1309" s="3" t="str">
        <f>IFERROR(__xludf.DUMMYFUNCTION("""COMPUTED_VALUE"""),"jackie.white81@gmail.com")</f>
        <v>jackie.white81@gmail.com</v>
      </c>
      <c r="G1309" s="3">
        <f>IFERROR(__xludf.DUMMYFUNCTION("""COMPUTED_VALUE"""),2.892513252E9)</f>
        <v>2892513252</v>
      </c>
      <c r="H1309" s="3">
        <f>IFERROR(__xludf.DUMMYFUNCTION("""COMPUTED_VALUE"""),9.053775462E9)</f>
        <v>9053775462</v>
      </c>
    </row>
    <row r="1310">
      <c r="A1310" s="2">
        <f>IFERROR(__xludf.DUMMYFUNCTION("""COMPUTED_VALUE"""),20399.0)</f>
        <v>20399</v>
      </c>
      <c r="B1310" s="3" t="str">
        <f>IFERROR(__xludf.DUMMYFUNCTION("""COMPUTED_VALUE"""),"3481 BURNHAM ST")</f>
        <v>3481 BURNHAM ST</v>
      </c>
      <c r="C1310" s="3" t="str">
        <f>IFERROR(__xludf.DUMMYFUNCTION("""COMPUTED_VALUE"""),"COBOURG")</f>
        <v>COBOURG</v>
      </c>
      <c r="D1310" s="3" t="str">
        <f>IFERROR(__xludf.DUMMYFUNCTION("""COMPUTED_VALUE"""),"K9A 4J7")</f>
        <v>K9A 4J7</v>
      </c>
      <c r="E1310" s="3"/>
      <c r="F1310" s="3"/>
      <c r="G1310" s="3"/>
      <c r="H1310" s="3"/>
    </row>
    <row r="1311">
      <c r="A1311" s="2">
        <f>IFERROR(__xludf.DUMMYFUNCTION("""COMPUTED_VALUE"""),20338.0)</f>
        <v>20338</v>
      </c>
      <c r="B1311" s="3" t="str">
        <f>IFERROR(__xludf.DUMMYFUNCTION("""COMPUTED_VALUE"""),"3482 BURNHAM ST N")</f>
        <v>3482 BURNHAM ST N</v>
      </c>
      <c r="C1311" s="3" t="str">
        <f>IFERROR(__xludf.DUMMYFUNCTION("""COMPUTED_VALUE"""),"COBOURG")</f>
        <v>COBOURG</v>
      </c>
      <c r="D1311" s="3" t="str">
        <f>IFERROR(__xludf.DUMMYFUNCTION("""COMPUTED_VALUE"""),"K9A 4J9")</f>
        <v>K9A 4J9</v>
      </c>
      <c r="E1311" s="3"/>
      <c r="F1311" s="3"/>
      <c r="G1311" s="3"/>
      <c r="H1311" s="3"/>
    </row>
    <row r="1312">
      <c r="A1312" s="2">
        <f>IFERROR(__xludf.DUMMYFUNCTION("""COMPUTED_VALUE"""),20400.0)</f>
        <v>20400</v>
      </c>
      <c r="B1312" s="3" t="str">
        <f>IFERROR(__xludf.DUMMYFUNCTION("""COMPUTED_VALUE"""),"3491 BURNHAM ST")</f>
        <v>3491 BURNHAM ST</v>
      </c>
      <c r="C1312" s="3" t="str">
        <f>IFERROR(__xludf.DUMMYFUNCTION("""COMPUTED_VALUE"""),"COBOURG")</f>
        <v>COBOURG</v>
      </c>
      <c r="D1312" s="3" t="str">
        <f>IFERROR(__xludf.DUMMYFUNCTION("""COMPUTED_VALUE"""),"K9A 4J7")</f>
        <v>K9A 4J7</v>
      </c>
      <c r="E1312" s="3"/>
      <c r="F1312" s="3"/>
      <c r="G1312" s="3"/>
      <c r="H1312" s="3"/>
    </row>
    <row r="1313">
      <c r="A1313" s="2">
        <f>IFERROR(__xludf.DUMMYFUNCTION("""COMPUTED_VALUE"""),20339.0)</f>
        <v>20339</v>
      </c>
      <c r="B1313" s="3" t="str">
        <f>IFERROR(__xludf.DUMMYFUNCTION("""COMPUTED_VALUE"""),"3600 BURNHAM ST N")</f>
        <v>3600 BURNHAM ST N</v>
      </c>
      <c r="C1313" s="3" t="str">
        <f>IFERROR(__xludf.DUMMYFUNCTION("""COMPUTED_VALUE"""),"COBOURG")</f>
        <v>COBOURG</v>
      </c>
      <c r="D1313" s="3" t="str">
        <f>IFERROR(__xludf.DUMMYFUNCTION("""COMPUTED_VALUE"""),"K9A 4J9")</f>
        <v>K9A 4J9</v>
      </c>
      <c r="E1313" s="3"/>
      <c r="F1313" s="3"/>
      <c r="G1313" s="3"/>
      <c r="H1313" s="3"/>
    </row>
    <row r="1314">
      <c r="A1314" s="2">
        <f>IFERROR(__xludf.DUMMYFUNCTION("""COMPUTED_VALUE"""),20401.0)</f>
        <v>20401</v>
      </c>
      <c r="B1314" s="3" t="str">
        <f>IFERROR(__xludf.DUMMYFUNCTION("""COMPUTED_VALUE"""),"3612 BURNHAM ST")</f>
        <v>3612 BURNHAM ST</v>
      </c>
      <c r="C1314" s="3" t="str">
        <f>IFERROR(__xludf.DUMMYFUNCTION("""COMPUTED_VALUE"""),"COBOURG")</f>
        <v>COBOURG</v>
      </c>
      <c r="D1314" s="3" t="str">
        <f>IFERROR(__xludf.DUMMYFUNCTION("""COMPUTED_VALUE"""),"K9A 4J9")</f>
        <v>K9A 4J9</v>
      </c>
      <c r="E1314" s="3"/>
      <c r="F1314" s="3"/>
      <c r="G1314" s="3"/>
      <c r="H1314" s="3"/>
    </row>
    <row r="1315">
      <c r="A1315" s="2">
        <f>IFERROR(__xludf.DUMMYFUNCTION("""COMPUTED_VALUE"""),20402.0)</f>
        <v>20402</v>
      </c>
      <c r="B1315" s="3" t="str">
        <f>IFERROR(__xludf.DUMMYFUNCTION("""COMPUTED_VALUE"""),"3620 BURNHAM ST")</f>
        <v>3620 BURNHAM ST</v>
      </c>
      <c r="C1315" s="3" t="str">
        <f>IFERROR(__xludf.DUMMYFUNCTION("""COMPUTED_VALUE"""),"COBOURG")</f>
        <v>COBOURG</v>
      </c>
      <c r="D1315" s="3" t="str">
        <f>IFERROR(__xludf.DUMMYFUNCTION("""COMPUTED_VALUE"""),"K9A 4J9")</f>
        <v>K9A 4J9</v>
      </c>
      <c r="E1315" s="3"/>
      <c r="F1315" s="3"/>
      <c r="G1315" s="3"/>
      <c r="H1315" s="3"/>
    </row>
    <row r="1316">
      <c r="A1316" s="2">
        <f>IFERROR(__xludf.DUMMYFUNCTION("""COMPUTED_VALUE"""),20403.0)</f>
        <v>20403</v>
      </c>
      <c r="B1316" s="3" t="str">
        <f>IFERROR(__xludf.DUMMYFUNCTION("""COMPUTED_VALUE"""),"3625 BURNHAM ST")</f>
        <v>3625 BURNHAM ST</v>
      </c>
      <c r="C1316" s="3" t="str">
        <f>IFERROR(__xludf.DUMMYFUNCTION("""COMPUTED_VALUE"""),"COBOURG")</f>
        <v>COBOURG</v>
      </c>
      <c r="D1316" s="3" t="str">
        <f>IFERROR(__xludf.DUMMYFUNCTION("""COMPUTED_VALUE"""),"K9A 4J9")</f>
        <v>K9A 4J9</v>
      </c>
      <c r="E1316" s="3" t="str">
        <f>IFERROR(__xludf.DUMMYFUNCTION("""COMPUTED_VALUE"""),"Brian K Harper")</f>
        <v>Brian K Harper</v>
      </c>
      <c r="F1316" s="3" t="str">
        <f>IFERROR(__xludf.DUMMYFUNCTION("""COMPUTED_VALUE"""),"briankennethharper@gmail.com")</f>
        <v>briankennethharper@gmail.com</v>
      </c>
      <c r="G1316" s="3">
        <f>IFERROR(__xludf.DUMMYFUNCTION("""COMPUTED_VALUE"""),2.892512166E9)</f>
        <v>2892512166</v>
      </c>
      <c r="H1316" s="3">
        <f>IFERROR(__xludf.DUMMYFUNCTION("""COMPUTED_VALUE"""),2.892512119E9)</f>
        <v>2892512119</v>
      </c>
    </row>
    <row r="1317">
      <c r="A1317" s="2">
        <f>IFERROR(__xludf.DUMMYFUNCTION("""COMPUTED_VALUE"""),20404.0)</f>
        <v>20404</v>
      </c>
      <c r="B1317" s="3" t="str">
        <f>IFERROR(__xludf.DUMMYFUNCTION("""COMPUTED_VALUE"""),"3710 BURNHAM ST")</f>
        <v>3710 BURNHAM ST</v>
      </c>
      <c r="C1317" s="3" t="str">
        <f>IFERROR(__xludf.DUMMYFUNCTION("""COMPUTED_VALUE"""),"COBOURG")</f>
        <v>COBOURG</v>
      </c>
      <c r="D1317" s="3" t="str">
        <f>IFERROR(__xludf.DUMMYFUNCTION("""COMPUTED_VALUE"""),"K9A 4J9")</f>
        <v>K9A 4J9</v>
      </c>
      <c r="E1317" s="3"/>
      <c r="F1317" s="3"/>
      <c r="G1317" s="3"/>
      <c r="H1317" s="3"/>
    </row>
    <row r="1318">
      <c r="A1318" s="2">
        <f>IFERROR(__xludf.DUMMYFUNCTION("""COMPUTED_VALUE"""),20405.0)</f>
        <v>20405</v>
      </c>
      <c r="B1318" s="3" t="str">
        <f>IFERROR(__xludf.DUMMYFUNCTION("""COMPUTED_VALUE"""),"3714 BURNHAM ST")</f>
        <v>3714 BURNHAM ST</v>
      </c>
      <c r="C1318" s="3" t="str">
        <f>IFERROR(__xludf.DUMMYFUNCTION("""COMPUTED_VALUE"""),"COBOURG")</f>
        <v>COBOURG</v>
      </c>
      <c r="D1318" s="3" t="str">
        <f>IFERROR(__xludf.DUMMYFUNCTION("""COMPUTED_VALUE"""),"K9A 4J9")</f>
        <v>K9A 4J9</v>
      </c>
      <c r="E1318" s="3"/>
      <c r="F1318" s="3"/>
      <c r="G1318" s="3"/>
      <c r="H1318" s="3"/>
    </row>
    <row r="1319">
      <c r="A1319" s="2">
        <f>IFERROR(__xludf.DUMMYFUNCTION("""COMPUTED_VALUE"""),20406.0)</f>
        <v>20406</v>
      </c>
      <c r="B1319" s="3" t="str">
        <f>IFERROR(__xludf.DUMMYFUNCTION("""COMPUTED_VALUE"""),"3720 BURNHAM ST")</f>
        <v>3720 BURNHAM ST</v>
      </c>
      <c r="C1319" s="3" t="str">
        <f>IFERROR(__xludf.DUMMYFUNCTION("""COMPUTED_VALUE"""),"COBOURG")</f>
        <v>COBOURG</v>
      </c>
      <c r="D1319" s="3" t="str">
        <f>IFERROR(__xludf.DUMMYFUNCTION("""COMPUTED_VALUE"""),"K9A 4J9")</f>
        <v>K9A 4J9</v>
      </c>
      <c r="E1319" s="3" t="str">
        <f>IFERROR(__xludf.DUMMYFUNCTION("""COMPUTED_VALUE"""),"RACHEL WESSBECHER")</f>
        <v>RACHEL WESSBECHER</v>
      </c>
      <c r="F1319" s="3" t="str">
        <f>IFERROR(__xludf.DUMMYFUNCTION("""COMPUTED_VALUE"""),"wessbecher_@hotmail.com")</f>
        <v>wessbecher_@hotmail.com</v>
      </c>
      <c r="G1319" s="3"/>
      <c r="H1319" s="3"/>
    </row>
    <row r="1320">
      <c r="A1320" s="2">
        <f>IFERROR(__xludf.DUMMYFUNCTION("""COMPUTED_VALUE"""),20407.0)</f>
        <v>20407</v>
      </c>
      <c r="B1320" s="3" t="str">
        <f>IFERROR(__xludf.DUMMYFUNCTION("""COMPUTED_VALUE"""),"3726 BURNHAM ST")</f>
        <v>3726 BURNHAM ST</v>
      </c>
      <c r="C1320" s="3" t="str">
        <f>IFERROR(__xludf.DUMMYFUNCTION("""COMPUTED_VALUE"""),"COBOURG")</f>
        <v>COBOURG</v>
      </c>
      <c r="D1320" s="3" t="str">
        <f>IFERROR(__xludf.DUMMYFUNCTION("""COMPUTED_VALUE"""),"K9A 4J9")</f>
        <v>K9A 4J9</v>
      </c>
      <c r="E1320" s="3"/>
      <c r="F1320" s="3"/>
      <c r="G1320" s="3"/>
      <c r="H1320" s="3"/>
    </row>
    <row r="1321">
      <c r="A1321" s="2">
        <f>IFERROR(__xludf.DUMMYFUNCTION("""COMPUTED_VALUE"""),20408.0)</f>
        <v>20408</v>
      </c>
      <c r="B1321" s="3" t="str">
        <f>IFERROR(__xludf.DUMMYFUNCTION("""COMPUTED_VALUE"""),"3732 BURNHAM ST")</f>
        <v>3732 BURNHAM ST</v>
      </c>
      <c r="C1321" s="3" t="str">
        <f>IFERROR(__xludf.DUMMYFUNCTION("""COMPUTED_VALUE"""),"COBOURG")</f>
        <v>COBOURG</v>
      </c>
      <c r="D1321" s="3" t="str">
        <f>IFERROR(__xludf.DUMMYFUNCTION("""COMPUTED_VALUE"""),"K9A 4J9")</f>
        <v>K9A 4J9</v>
      </c>
      <c r="E1321" s="3" t="str">
        <f>IFERROR(__xludf.DUMMYFUNCTION("""COMPUTED_VALUE"""),"lisa tansley")</f>
        <v>lisa tansley</v>
      </c>
      <c r="F1321" s="3" t="str">
        <f>IFERROR(__xludf.DUMMYFUNCTION("""COMPUTED_VALUE"""),"tansleys2014@gmail.com")</f>
        <v>tansleys2014@gmail.com</v>
      </c>
      <c r="G1321" s="3">
        <f>IFERROR(__xludf.DUMMYFUNCTION("""COMPUTED_VALUE"""),6.4796791E9)</f>
        <v>6479679100</v>
      </c>
      <c r="H1321" s="3"/>
    </row>
    <row r="1322">
      <c r="A1322" s="2">
        <f>IFERROR(__xludf.DUMMYFUNCTION("""COMPUTED_VALUE"""),20409.0)</f>
        <v>20409</v>
      </c>
      <c r="B1322" s="3" t="str">
        <f>IFERROR(__xludf.DUMMYFUNCTION("""COMPUTED_VALUE"""),"3738 BURNHAM ST")</f>
        <v>3738 BURNHAM ST</v>
      </c>
      <c r="C1322" s="3" t="str">
        <f>IFERROR(__xludf.DUMMYFUNCTION("""COMPUTED_VALUE"""),"COBOURG")</f>
        <v>COBOURG</v>
      </c>
      <c r="D1322" s="3" t="str">
        <f>IFERROR(__xludf.DUMMYFUNCTION("""COMPUTED_VALUE"""),"K9A 4J9")</f>
        <v>K9A 4J9</v>
      </c>
      <c r="E1322" s="3"/>
      <c r="F1322" s="3"/>
      <c r="G1322" s="3"/>
      <c r="H1322" s="3"/>
    </row>
    <row r="1323">
      <c r="A1323" s="2">
        <f>IFERROR(__xludf.DUMMYFUNCTION("""COMPUTED_VALUE"""),20410.0)</f>
        <v>20410</v>
      </c>
      <c r="B1323" s="3" t="str">
        <f>IFERROR(__xludf.DUMMYFUNCTION("""COMPUTED_VALUE"""),"3753 BURNHAM ST")</f>
        <v>3753 BURNHAM ST</v>
      </c>
      <c r="C1323" s="3" t="str">
        <f>IFERROR(__xludf.DUMMYFUNCTION("""COMPUTED_VALUE"""),"COBOURG")</f>
        <v>COBOURG</v>
      </c>
      <c r="D1323" s="3" t="str">
        <f>IFERROR(__xludf.DUMMYFUNCTION("""COMPUTED_VALUE"""),"K9A 4J9")</f>
        <v>K9A 4J9</v>
      </c>
      <c r="E1323" s="3"/>
      <c r="F1323" s="3"/>
      <c r="G1323" s="3"/>
      <c r="H1323" s="3"/>
    </row>
    <row r="1324">
      <c r="A1324" s="2">
        <f>IFERROR(__xludf.DUMMYFUNCTION("""COMPUTED_VALUE"""),20411.0)</f>
        <v>20411</v>
      </c>
      <c r="B1324" s="3" t="str">
        <f>IFERROR(__xludf.DUMMYFUNCTION("""COMPUTED_VALUE"""),"3756 BURNHAM ST")</f>
        <v>3756 BURNHAM ST</v>
      </c>
      <c r="C1324" s="3" t="str">
        <f>IFERROR(__xludf.DUMMYFUNCTION("""COMPUTED_VALUE"""),"COBOURG")</f>
        <v>COBOURG</v>
      </c>
      <c r="D1324" s="3" t="str">
        <f>IFERROR(__xludf.DUMMYFUNCTION("""COMPUTED_VALUE"""),"K9A 4J9")</f>
        <v>K9A 4J9</v>
      </c>
      <c r="E1324" s="3"/>
      <c r="F1324" s="3"/>
      <c r="G1324" s="3"/>
      <c r="H1324" s="3"/>
    </row>
    <row r="1325">
      <c r="A1325" s="2">
        <f>IFERROR(__xludf.DUMMYFUNCTION("""COMPUTED_VALUE"""),20412.0)</f>
        <v>20412</v>
      </c>
      <c r="B1325" s="3" t="str">
        <f>IFERROR(__xludf.DUMMYFUNCTION("""COMPUTED_VALUE"""),"3778 BURNHAM ST")</f>
        <v>3778 BURNHAM ST</v>
      </c>
      <c r="C1325" s="3" t="str">
        <f>IFERROR(__xludf.DUMMYFUNCTION("""COMPUTED_VALUE"""),"COBOURG")</f>
        <v>COBOURG</v>
      </c>
      <c r="D1325" s="3" t="str">
        <f>IFERROR(__xludf.DUMMYFUNCTION("""COMPUTED_VALUE"""),"K9A 4J9")</f>
        <v>K9A 4J9</v>
      </c>
      <c r="E1325" s="3" t="str">
        <f>IFERROR(__xludf.DUMMYFUNCTION("""COMPUTED_VALUE"""),"sandra smit ")</f>
        <v>sandra smit </v>
      </c>
      <c r="F1325" s="3" t="str">
        <f>IFERROR(__xludf.DUMMYFUNCTION("""COMPUTED_VALUE"""),"sjspefanis@icloud.com")</f>
        <v>sjspefanis@icloud.com</v>
      </c>
      <c r="G1325" s="3">
        <f>IFERROR(__xludf.DUMMYFUNCTION("""COMPUTED_VALUE"""),4.165761534E9)</f>
        <v>4165761534</v>
      </c>
      <c r="H1325" s="3"/>
    </row>
    <row r="1326">
      <c r="A1326" s="2">
        <f>IFERROR(__xludf.DUMMYFUNCTION("""COMPUTED_VALUE"""),20413.0)</f>
        <v>20413</v>
      </c>
      <c r="B1326" s="3" t="str">
        <f>IFERROR(__xludf.DUMMYFUNCTION("""COMPUTED_VALUE"""),"3784 BURNHAM ST")</f>
        <v>3784 BURNHAM ST</v>
      </c>
      <c r="C1326" s="3" t="str">
        <f>IFERROR(__xludf.DUMMYFUNCTION("""COMPUTED_VALUE"""),"COBOURG")</f>
        <v>COBOURG</v>
      </c>
      <c r="D1326" s="3" t="str">
        <f>IFERROR(__xludf.DUMMYFUNCTION("""COMPUTED_VALUE"""),"K9A 4J9")</f>
        <v>K9A 4J9</v>
      </c>
      <c r="E1326" s="3" t="str">
        <f>IFERROR(__xludf.DUMMYFUNCTION("""COMPUTED_VALUE"""),"dorothy beedham")</f>
        <v>dorothy beedham</v>
      </c>
      <c r="F1326" s="3" t="str">
        <f>IFERROR(__xludf.DUMMYFUNCTION("""COMPUTED_VALUE"""),"dorboodh@eagle.ca")</f>
        <v>dorboodh@eagle.ca</v>
      </c>
      <c r="G1326" s="3">
        <f>IFERROR(__xludf.DUMMYFUNCTION("""COMPUTED_VALUE"""),9.053425772E9)</f>
        <v>9053425772</v>
      </c>
      <c r="H1326" s="3"/>
    </row>
    <row r="1327">
      <c r="A1327" s="2">
        <f>IFERROR(__xludf.DUMMYFUNCTION("""COMPUTED_VALUE"""),20414.0)</f>
        <v>20414</v>
      </c>
      <c r="B1327" s="3" t="str">
        <f>IFERROR(__xludf.DUMMYFUNCTION("""COMPUTED_VALUE"""),"3790 BURNHAM ST")</f>
        <v>3790 BURNHAM ST</v>
      </c>
      <c r="C1327" s="3" t="str">
        <f>IFERROR(__xludf.DUMMYFUNCTION("""COMPUTED_VALUE"""),"COBOURG")</f>
        <v>COBOURG</v>
      </c>
      <c r="D1327" s="3" t="str">
        <f>IFERROR(__xludf.DUMMYFUNCTION("""COMPUTED_VALUE"""),"K9A 4J9")</f>
        <v>K9A 4J9</v>
      </c>
      <c r="E1327" s="3"/>
      <c r="F1327" s="3"/>
      <c r="G1327" s="3"/>
      <c r="H1327" s="3"/>
    </row>
    <row r="1328">
      <c r="A1328" s="2">
        <f>IFERROR(__xludf.DUMMYFUNCTION("""COMPUTED_VALUE"""),20415.0)</f>
        <v>20415</v>
      </c>
      <c r="B1328" s="3" t="str">
        <f>IFERROR(__xludf.DUMMYFUNCTION("""COMPUTED_VALUE"""),"3791 BURNHAM ST")</f>
        <v>3791 BURNHAM ST</v>
      </c>
      <c r="C1328" s="3" t="str">
        <f>IFERROR(__xludf.DUMMYFUNCTION("""COMPUTED_VALUE"""),"COBOURG")</f>
        <v>COBOURG</v>
      </c>
      <c r="D1328" s="3" t="str">
        <f>IFERROR(__xludf.DUMMYFUNCTION("""COMPUTED_VALUE"""),"K9A 4J9")</f>
        <v>K9A 4J9</v>
      </c>
      <c r="E1328" s="3" t="str">
        <f>IFERROR(__xludf.DUMMYFUNCTION("""COMPUTED_VALUE"""),"SCOTT ELLIOTT")</f>
        <v>SCOTT ELLIOTT</v>
      </c>
      <c r="F1328" s="3" t="str">
        <f>IFERROR(__xludf.DUMMYFUNCTION("""COMPUTED_VALUE"""),"scottelliottt@gmail.com")</f>
        <v>scottelliottt@gmail.com</v>
      </c>
      <c r="G1328" s="3"/>
      <c r="H1328" s="3"/>
    </row>
    <row r="1329">
      <c r="A1329" s="2">
        <f>IFERROR(__xludf.DUMMYFUNCTION("""COMPUTED_VALUE"""),20416.0)</f>
        <v>20416</v>
      </c>
      <c r="B1329" s="3" t="str">
        <f>IFERROR(__xludf.DUMMYFUNCTION("""COMPUTED_VALUE"""),"3794 BURNHAM ST")</f>
        <v>3794 BURNHAM ST</v>
      </c>
      <c r="C1329" s="3" t="str">
        <f>IFERROR(__xludf.DUMMYFUNCTION("""COMPUTED_VALUE"""),"COBOURG")</f>
        <v>COBOURG</v>
      </c>
      <c r="D1329" s="3" t="str">
        <f>IFERROR(__xludf.DUMMYFUNCTION("""COMPUTED_VALUE"""),"K9A 4J9")</f>
        <v>K9A 4J9</v>
      </c>
      <c r="E1329" s="3" t="str">
        <f>IFERROR(__xludf.DUMMYFUNCTION("""COMPUTED_VALUE"""),"cassidy prescott")</f>
        <v>cassidy prescott</v>
      </c>
      <c r="F1329" s="3" t="str">
        <f>IFERROR(__xludf.DUMMYFUNCTION("""COMPUTED_VALUE"""),"prescottcassicy@gmail.com")</f>
        <v>prescottcassicy@gmail.com</v>
      </c>
      <c r="G1329" s="3">
        <f>IFERROR(__xludf.DUMMYFUNCTION("""COMPUTED_VALUE"""),9.052138155E9)</f>
        <v>9052138155</v>
      </c>
      <c r="H1329" s="3"/>
    </row>
    <row r="1330">
      <c r="A1330" s="2">
        <f>IFERROR(__xludf.DUMMYFUNCTION("""COMPUTED_VALUE"""),20340.0)</f>
        <v>20340</v>
      </c>
      <c r="B1330" s="3" t="str">
        <f>IFERROR(__xludf.DUMMYFUNCTION("""COMPUTED_VALUE"""),"3797 BURNHAM ST N")</f>
        <v>3797 BURNHAM ST N</v>
      </c>
      <c r="C1330" s="3" t="str">
        <f>IFERROR(__xludf.DUMMYFUNCTION("""COMPUTED_VALUE"""),"COBOURG")</f>
        <v>COBOURG</v>
      </c>
      <c r="D1330" s="3" t="str">
        <f>IFERROR(__xludf.DUMMYFUNCTION("""COMPUTED_VALUE"""),"K9A 4J9")</f>
        <v>K9A 4J9</v>
      </c>
      <c r="E1330" s="3" t="str">
        <f>IFERROR(__xludf.DUMMYFUNCTION("""COMPUTED_VALUE"""),"brad austin ")</f>
        <v>brad austin </v>
      </c>
      <c r="F1330" s="3" t="str">
        <f>IFERROR(__xludf.DUMMYFUNCTION("""COMPUTED_VALUE"""),"brad-austin@hotmail.com")</f>
        <v>brad-austin@hotmail.com</v>
      </c>
      <c r="G1330" s="3">
        <f>IFERROR(__xludf.DUMMYFUNCTION("""COMPUTED_VALUE"""),9.05269583E9)</f>
        <v>9052695830</v>
      </c>
      <c r="H1330" s="3"/>
    </row>
    <row r="1331">
      <c r="A1331" s="2">
        <f>IFERROR(__xludf.DUMMYFUNCTION("""COMPUTED_VALUE"""),20417.0)</f>
        <v>20417</v>
      </c>
      <c r="B1331" s="3" t="str">
        <f>IFERROR(__xludf.DUMMYFUNCTION("""COMPUTED_VALUE"""),"3798 BURNHAM ST")</f>
        <v>3798 BURNHAM ST</v>
      </c>
      <c r="C1331" s="3" t="str">
        <f>IFERROR(__xludf.DUMMYFUNCTION("""COMPUTED_VALUE"""),"COBOURG")</f>
        <v>COBOURG</v>
      </c>
      <c r="D1331" s="3" t="str">
        <f>IFERROR(__xludf.DUMMYFUNCTION("""COMPUTED_VALUE"""),"K9A 4J9")</f>
        <v>K9A 4J9</v>
      </c>
      <c r="E1331" s="3" t="str">
        <f>IFERROR(__xludf.DUMMYFUNCTION("""COMPUTED_VALUE"""),"john dolley / Lisa Wright")</f>
        <v>john dolley / Lisa Wright</v>
      </c>
      <c r="F1331" s="3" t="str">
        <f>IFERROR(__xludf.DUMMYFUNCTION("""COMPUTED_VALUE"""),"johndolley1964@gmail.com / l.a.wright67@gmail.com")</f>
        <v>johndolley1964@gmail.com / l.a.wright67@gmail.com</v>
      </c>
      <c r="G1331" s="3"/>
      <c r="H1331" s="3"/>
    </row>
    <row r="1332">
      <c r="A1332" s="2">
        <f>IFERROR(__xludf.DUMMYFUNCTION("""COMPUTED_VALUE"""),20418.0)</f>
        <v>20418</v>
      </c>
      <c r="B1332" s="3" t="str">
        <f>IFERROR(__xludf.DUMMYFUNCTION("""COMPUTED_VALUE"""),"3803 BURNHAM ST")</f>
        <v>3803 BURNHAM ST</v>
      </c>
      <c r="C1332" s="3" t="str">
        <f>IFERROR(__xludf.DUMMYFUNCTION("""COMPUTED_VALUE"""),"COBOURG")</f>
        <v>COBOURG</v>
      </c>
      <c r="D1332" s="3" t="str">
        <f>IFERROR(__xludf.DUMMYFUNCTION("""COMPUTED_VALUE"""),"K9A 4J9")</f>
        <v>K9A 4J9</v>
      </c>
      <c r="E1332" s="3" t="str">
        <f>IFERROR(__xludf.DUMMYFUNCTION("""COMPUTED_VALUE"""),"JAMISON DOWSETT")</f>
        <v>JAMISON DOWSETT</v>
      </c>
      <c r="F1332" s="3" t="str">
        <f>IFERROR(__xludf.DUMMYFUNCTION("""COMPUTED_VALUE"""),"jamison.dowsett@gmail.com")</f>
        <v>jamison.dowsett@gmail.com</v>
      </c>
      <c r="G1332" s="3"/>
      <c r="H1332" s="3"/>
    </row>
    <row r="1333">
      <c r="A1333" s="2">
        <f>IFERROR(__xludf.DUMMYFUNCTION("""COMPUTED_VALUE"""),20419.0)</f>
        <v>20419</v>
      </c>
      <c r="B1333" s="3" t="str">
        <f>IFERROR(__xludf.DUMMYFUNCTION("""COMPUTED_VALUE"""),"3807 BURNHAM ST")</f>
        <v>3807 BURNHAM ST</v>
      </c>
      <c r="C1333" s="3" t="str">
        <f>IFERROR(__xludf.DUMMYFUNCTION("""COMPUTED_VALUE"""),"COBOURG")</f>
        <v>COBOURG</v>
      </c>
      <c r="D1333" s="3" t="str">
        <f>IFERROR(__xludf.DUMMYFUNCTION("""COMPUTED_VALUE"""),"K9A 4J9")</f>
        <v>K9A 4J9</v>
      </c>
      <c r="E1333" s="3"/>
      <c r="F1333" s="3"/>
      <c r="G1333" s="3"/>
      <c r="H1333" s="3"/>
    </row>
    <row r="1334">
      <c r="A1334" s="2">
        <f>IFERROR(__xludf.DUMMYFUNCTION("""COMPUTED_VALUE"""),20420.0)</f>
        <v>20420</v>
      </c>
      <c r="B1334" s="3" t="str">
        <f>IFERROR(__xludf.DUMMYFUNCTION("""COMPUTED_VALUE"""),"3810 BURNHAM ST")</f>
        <v>3810 BURNHAM ST</v>
      </c>
      <c r="C1334" s="3" t="str">
        <f>IFERROR(__xludf.DUMMYFUNCTION("""COMPUTED_VALUE"""),"COBOURG")</f>
        <v>COBOURG</v>
      </c>
      <c r="D1334" s="3" t="str">
        <f>IFERROR(__xludf.DUMMYFUNCTION("""COMPUTED_VALUE"""),"K9A 4J9")</f>
        <v>K9A 4J9</v>
      </c>
      <c r="E1334" s="3"/>
      <c r="F1334" s="3"/>
      <c r="G1334" s="3"/>
      <c r="H1334" s="3"/>
    </row>
    <row r="1335">
      <c r="A1335" s="2">
        <f>IFERROR(__xludf.DUMMYFUNCTION("""COMPUTED_VALUE"""),20421.0)</f>
        <v>20421</v>
      </c>
      <c r="B1335" s="3" t="str">
        <f>IFERROR(__xludf.DUMMYFUNCTION("""COMPUTED_VALUE"""),"3826 BURNHAM ST")</f>
        <v>3826 BURNHAM ST</v>
      </c>
      <c r="C1335" s="3" t="str">
        <f>IFERROR(__xludf.DUMMYFUNCTION("""COMPUTED_VALUE"""),"COBOURG")</f>
        <v>COBOURG</v>
      </c>
      <c r="D1335" s="3" t="str">
        <f>IFERROR(__xludf.DUMMYFUNCTION("""COMPUTED_VALUE"""),"K9A 4J9")</f>
        <v>K9A 4J9</v>
      </c>
      <c r="E1335" s="3"/>
      <c r="F1335" s="3"/>
      <c r="G1335" s="3"/>
      <c r="H1335" s="3"/>
    </row>
    <row r="1336">
      <c r="A1336" s="2">
        <f>IFERROR(__xludf.DUMMYFUNCTION("""COMPUTED_VALUE"""),20422.0)</f>
        <v>20422</v>
      </c>
      <c r="B1336" s="3" t="str">
        <f>IFERROR(__xludf.DUMMYFUNCTION("""COMPUTED_VALUE"""),"3832 BURNHAM ST")</f>
        <v>3832 BURNHAM ST</v>
      </c>
      <c r="C1336" s="3" t="str">
        <f>IFERROR(__xludf.DUMMYFUNCTION("""COMPUTED_VALUE"""),"COBOURG")</f>
        <v>COBOURG</v>
      </c>
      <c r="D1336" s="3" t="str">
        <f>IFERROR(__xludf.DUMMYFUNCTION("""COMPUTED_VALUE"""),"K9A 4J9")</f>
        <v>K9A 4J9</v>
      </c>
      <c r="E1336" s="3"/>
      <c r="F1336" s="3"/>
      <c r="G1336" s="3"/>
      <c r="H1336" s="3"/>
    </row>
    <row r="1337">
      <c r="A1337" s="2">
        <f>IFERROR(__xludf.DUMMYFUNCTION("""COMPUTED_VALUE"""),20423.0)</f>
        <v>20423</v>
      </c>
      <c r="B1337" s="3" t="str">
        <f>IFERROR(__xludf.DUMMYFUNCTION("""COMPUTED_VALUE"""),"3836 BURNHAM ST")</f>
        <v>3836 BURNHAM ST</v>
      </c>
      <c r="C1337" s="3" t="str">
        <f>IFERROR(__xludf.DUMMYFUNCTION("""COMPUTED_VALUE"""),"COBOURG")</f>
        <v>COBOURG</v>
      </c>
      <c r="D1337" s="3" t="str">
        <f>IFERROR(__xludf.DUMMYFUNCTION("""COMPUTED_VALUE"""),"K9A 4J9")</f>
        <v>K9A 4J9</v>
      </c>
      <c r="E1337" s="3" t="str">
        <f>IFERROR(__xludf.DUMMYFUNCTION("""COMPUTED_VALUE"""),"douglas cleveland ")</f>
        <v>douglas cleveland </v>
      </c>
      <c r="F1337" s="3" t="str">
        <f>IFERROR(__xludf.DUMMYFUNCTION("""COMPUTED_VALUE"""),"dkcleveland@gmail.com")</f>
        <v>dkcleveland@gmail.com</v>
      </c>
      <c r="G1337" s="3">
        <f>IFERROR(__xludf.DUMMYFUNCTION("""COMPUTED_VALUE"""),9.053422741E9)</f>
        <v>9053422741</v>
      </c>
      <c r="H1337" s="3"/>
    </row>
    <row r="1338">
      <c r="A1338" s="2">
        <f>IFERROR(__xludf.DUMMYFUNCTION("""COMPUTED_VALUE"""),20424.0)</f>
        <v>20424</v>
      </c>
      <c r="B1338" s="3" t="str">
        <f>IFERROR(__xludf.DUMMYFUNCTION("""COMPUTED_VALUE"""),"3837 BURNHAM ST")</f>
        <v>3837 BURNHAM ST</v>
      </c>
      <c r="C1338" s="3" t="str">
        <f>IFERROR(__xludf.DUMMYFUNCTION("""COMPUTED_VALUE"""),"COBOURG")</f>
        <v>COBOURG</v>
      </c>
      <c r="D1338" s="3" t="str">
        <f>IFERROR(__xludf.DUMMYFUNCTION("""COMPUTED_VALUE"""),"K9A 4J9")</f>
        <v>K9A 4J9</v>
      </c>
      <c r="E1338" s="3" t="str">
        <f>IFERROR(__xludf.DUMMYFUNCTION("""COMPUTED_VALUE"""),"kevin &amp; lori mcintosh")</f>
        <v>kevin &amp; lori mcintosh</v>
      </c>
      <c r="F1338" s="3" t="str">
        <f>IFERROR(__xludf.DUMMYFUNCTION("""COMPUTED_VALUE"""),"kevin mcintosh@hotmail.com")</f>
        <v>kevin mcintosh@hotmail.com</v>
      </c>
      <c r="G1338" s="3">
        <f>IFERROR(__xludf.DUMMYFUNCTION("""COMPUTED_VALUE"""),9.053422527E9)</f>
        <v>9053422527</v>
      </c>
      <c r="H1338" s="3">
        <f>IFERROR(__xludf.DUMMYFUNCTION("""COMPUTED_VALUE"""),9.053736475E9)</f>
        <v>9053736475</v>
      </c>
    </row>
    <row r="1339">
      <c r="A1339" s="2">
        <f>IFERROR(__xludf.DUMMYFUNCTION("""COMPUTED_VALUE"""),20425.0)</f>
        <v>20425</v>
      </c>
      <c r="B1339" s="3" t="str">
        <f>IFERROR(__xludf.DUMMYFUNCTION("""COMPUTED_VALUE"""),"3838 BURNHAM ST")</f>
        <v>3838 BURNHAM ST</v>
      </c>
      <c r="C1339" s="3" t="str">
        <f>IFERROR(__xludf.DUMMYFUNCTION("""COMPUTED_VALUE"""),"COBOURG")</f>
        <v>COBOURG</v>
      </c>
      <c r="D1339" s="3" t="str">
        <f>IFERROR(__xludf.DUMMYFUNCTION("""COMPUTED_VALUE"""),"K9A 4J9")</f>
        <v>K9A 4J9</v>
      </c>
      <c r="E1339" s="3"/>
      <c r="F1339" s="3"/>
      <c r="G1339" s="3"/>
      <c r="H1339" s="3"/>
    </row>
    <row r="1340">
      <c r="A1340" s="2">
        <f>IFERROR(__xludf.DUMMYFUNCTION("""COMPUTED_VALUE"""),20426.0)</f>
        <v>20426</v>
      </c>
      <c r="B1340" s="3" t="str">
        <f>IFERROR(__xludf.DUMMYFUNCTION("""COMPUTED_VALUE"""),"3844 BURNHAM ST")</f>
        <v>3844 BURNHAM ST</v>
      </c>
      <c r="C1340" s="3" t="str">
        <f>IFERROR(__xludf.DUMMYFUNCTION("""COMPUTED_VALUE"""),"COBOURG")</f>
        <v>COBOURG</v>
      </c>
      <c r="D1340" s="3" t="str">
        <f>IFERROR(__xludf.DUMMYFUNCTION("""COMPUTED_VALUE"""),"K9A 4J9")</f>
        <v>K9A 4J9</v>
      </c>
      <c r="E1340" s="3"/>
      <c r="F1340" s="3"/>
      <c r="G1340" s="3"/>
      <c r="H1340" s="3"/>
    </row>
    <row r="1341">
      <c r="A1341" s="2">
        <f>IFERROR(__xludf.DUMMYFUNCTION("""COMPUTED_VALUE"""),20427.0)</f>
        <v>20427</v>
      </c>
      <c r="B1341" s="3" t="str">
        <f>IFERROR(__xludf.DUMMYFUNCTION("""COMPUTED_VALUE"""),"3847 BURNHAM ST")</f>
        <v>3847 BURNHAM ST</v>
      </c>
      <c r="C1341" s="3" t="str">
        <f>IFERROR(__xludf.DUMMYFUNCTION("""COMPUTED_VALUE"""),"COBOURG")</f>
        <v>COBOURG</v>
      </c>
      <c r="D1341" s="3" t="str">
        <f>IFERROR(__xludf.DUMMYFUNCTION("""COMPUTED_VALUE"""),"K9A 4J9")</f>
        <v>K9A 4J9</v>
      </c>
      <c r="E1341" s="3"/>
      <c r="F1341" s="3"/>
      <c r="G1341" s="3"/>
      <c r="H1341" s="3"/>
    </row>
    <row r="1342">
      <c r="A1342" s="2">
        <f>IFERROR(__xludf.DUMMYFUNCTION("""COMPUTED_VALUE"""),24010.0)</f>
        <v>24010</v>
      </c>
      <c r="B1342" s="3" t="str">
        <f>IFERROR(__xludf.DUMMYFUNCTION("""COMPUTED_VALUE"""),"3855 BURNHAM ST")</f>
        <v>3855 BURNHAM ST</v>
      </c>
      <c r="C1342" s="3" t="str">
        <f>IFERROR(__xludf.DUMMYFUNCTION("""COMPUTED_VALUE"""),"COBOURG")</f>
        <v>COBOURG</v>
      </c>
      <c r="D1342" s="3" t="str">
        <f>IFERROR(__xludf.DUMMYFUNCTION("""COMPUTED_VALUE"""),"K9A 4J9")</f>
        <v>K9A 4J9</v>
      </c>
      <c r="E1342" s="3"/>
      <c r="F1342" s="3"/>
      <c r="G1342" s="3"/>
      <c r="H1342" s="3"/>
    </row>
    <row r="1343">
      <c r="A1343" s="2">
        <f>IFERROR(__xludf.DUMMYFUNCTION("""COMPUTED_VALUE"""),20429.0)</f>
        <v>20429</v>
      </c>
      <c r="B1343" s="3" t="str">
        <f>IFERROR(__xludf.DUMMYFUNCTION("""COMPUTED_VALUE"""),"3879 BURNHAM ST")</f>
        <v>3879 BURNHAM ST</v>
      </c>
      <c r="C1343" s="3" t="str">
        <f>IFERROR(__xludf.DUMMYFUNCTION("""COMPUTED_VALUE"""),"COBOURG")</f>
        <v>COBOURG</v>
      </c>
      <c r="D1343" s="3" t="str">
        <f>IFERROR(__xludf.DUMMYFUNCTION("""COMPUTED_VALUE"""),"K9A 4J9")</f>
        <v>K9A 4J9</v>
      </c>
      <c r="E1343" s="3"/>
      <c r="F1343" s="3"/>
      <c r="G1343" s="3"/>
      <c r="H1343" s="3"/>
    </row>
    <row r="1344">
      <c r="A1344" s="2">
        <f>IFERROR(__xludf.DUMMYFUNCTION("""COMPUTED_VALUE"""),20430.0)</f>
        <v>20430</v>
      </c>
      <c r="B1344" s="3" t="str">
        <f>IFERROR(__xludf.DUMMYFUNCTION("""COMPUTED_VALUE"""),"3889 BURNHAM ST")</f>
        <v>3889 BURNHAM ST</v>
      </c>
      <c r="C1344" s="3" t="str">
        <f>IFERROR(__xludf.DUMMYFUNCTION("""COMPUTED_VALUE"""),"COBOURG")</f>
        <v>COBOURG</v>
      </c>
      <c r="D1344" s="3" t="str">
        <f>IFERROR(__xludf.DUMMYFUNCTION("""COMPUTED_VALUE"""),"K9A 4J9")</f>
        <v>K9A 4J9</v>
      </c>
      <c r="E1344" s="3"/>
      <c r="F1344" s="3"/>
      <c r="G1344" s="3"/>
      <c r="H1344" s="3"/>
    </row>
    <row r="1345">
      <c r="A1345" s="2">
        <f>IFERROR(__xludf.DUMMYFUNCTION("""COMPUTED_VALUE"""),20431.0)</f>
        <v>20431</v>
      </c>
      <c r="B1345" s="3" t="str">
        <f>IFERROR(__xludf.DUMMYFUNCTION("""COMPUTED_VALUE"""),"3914 BURNHAM ST")</f>
        <v>3914 BURNHAM ST</v>
      </c>
      <c r="C1345" s="3" t="str">
        <f>IFERROR(__xludf.DUMMYFUNCTION("""COMPUTED_VALUE"""),"COBOURG")</f>
        <v>COBOURG</v>
      </c>
      <c r="D1345" s="3" t="str">
        <f>IFERROR(__xludf.DUMMYFUNCTION("""COMPUTED_VALUE"""),"K9A 4J9")</f>
        <v>K9A 4J9</v>
      </c>
      <c r="E1345" s="3"/>
      <c r="F1345" s="3"/>
      <c r="G1345" s="3"/>
      <c r="H1345" s="3"/>
    </row>
    <row r="1346">
      <c r="A1346" s="2">
        <f>IFERROR(__xludf.DUMMYFUNCTION("""COMPUTED_VALUE"""),20341.0)</f>
        <v>20341</v>
      </c>
      <c r="B1346" s="3" t="str">
        <f>IFERROR(__xludf.DUMMYFUNCTION("""COMPUTED_VALUE"""),"4016 BURNHAM ST N")</f>
        <v>4016 BURNHAM ST N</v>
      </c>
      <c r="C1346" s="3" t="str">
        <f>IFERROR(__xludf.DUMMYFUNCTION("""COMPUTED_VALUE"""),"COBOURG")</f>
        <v>COBOURG</v>
      </c>
      <c r="D1346" s="3" t="str">
        <f>IFERROR(__xludf.DUMMYFUNCTION("""COMPUTED_VALUE"""),"K9A 4J9")</f>
        <v>K9A 4J9</v>
      </c>
      <c r="E1346" s="3"/>
      <c r="F1346" s="3"/>
      <c r="G1346" s="3"/>
      <c r="H1346" s="3"/>
    </row>
    <row r="1347">
      <c r="A1347" s="2">
        <f>IFERROR(__xludf.DUMMYFUNCTION("""COMPUTED_VALUE"""),20342.0)</f>
        <v>20342</v>
      </c>
      <c r="B1347" s="3" t="str">
        <f>IFERROR(__xludf.DUMMYFUNCTION("""COMPUTED_VALUE"""),"4051 BURNHAM ST N")</f>
        <v>4051 BURNHAM ST N</v>
      </c>
      <c r="C1347" s="3" t="str">
        <f>IFERROR(__xludf.DUMMYFUNCTION("""COMPUTED_VALUE"""),"COBOURG")</f>
        <v>COBOURG</v>
      </c>
      <c r="D1347" s="3" t="str">
        <f>IFERROR(__xludf.DUMMYFUNCTION("""COMPUTED_VALUE"""),"K9A 4J9")</f>
        <v>K9A 4J9</v>
      </c>
      <c r="E1347" s="3"/>
      <c r="F1347" s="3"/>
      <c r="G1347" s="3"/>
      <c r="H1347" s="3"/>
    </row>
    <row r="1348">
      <c r="A1348" s="2">
        <f>IFERROR(__xludf.DUMMYFUNCTION("""COMPUTED_VALUE"""),20432.0)</f>
        <v>20432</v>
      </c>
      <c r="B1348" s="3" t="str">
        <f>IFERROR(__xludf.DUMMYFUNCTION("""COMPUTED_VALUE"""),"4065 BURNHAM ST")</f>
        <v>4065 BURNHAM ST</v>
      </c>
      <c r="C1348" s="3" t="str">
        <f>IFERROR(__xludf.DUMMYFUNCTION("""COMPUTED_VALUE"""),"COBOURG")</f>
        <v>COBOURG</v>
      </c>
      <c r="D1348" s="3" t="str">
        <f>IFERROR(__xludf.DUMMYFUNCTION("""COMPUTED_VALUE"""),"K9A 4J9")</f>
        <v>K9A 4J9</v>
      </c>
      <c r="E1348" s="3" t="str">
        <f>IFERROR(__xludf.DUMMYFUNCTION("""COMPUTED_VALUE"""),"alex ronley ")</f>
        <v>alex ronley </v>
      </c>
      <c r="F1348" s="3" t="str">
        <f>IFERROR(__xludf.DUMMYFUNCTION("""COMPUTED_VALUE"""),"taz070912@gmail.com")</f>
        <v>taz070912@gmail.com</v>
      </c>
      <c r="G1348" s="3">
        <f>IFERROR(__xludf.DUMMYFUNCTION("""COMPUTED_VALUE"""),9.057690921E9)</f>
        <v>9057690921</v>
      </c>
      <c r="H1348" s="3"/>
    </row>
    <row r="1349">
      <c r="A1349" s="2">
        <f>IFERROR(__xludf.DUMMYFUNCTION("""COMPUTED_VALUE"""),20433.0)</f>
        <v>20433</v>
      </c>
      <c r="B1349" s="3" t="str">
        <f>IFERROR(__xludf.DUMMYFUNCTION("""COMPUTED_VALUE"""),"4073 BURNHAM ST")</f>
        <v>4073 BURNHAM ST</v>
      </c>
      <c r="C1349" s="3" t="str">
        <f>IFERROR(__xludf.DUMMYFUNCTION("""COMPUTED_VALUE"""),"COBOURG")</f>
        <v>COBOURG</v>
      </c>
      <c r="D1349" s="3" t="str">
        <f>IFERROR(__xludf.DUMMYFUNCTION("""COMPUTED_VALUE"""),"K9A 4J9")</f>
        <v>K9A 4J9</v>
      </c>
      <c r="E1349" s="3" t="str">
        <f>IFERROR(__xludf.DUMMYFUNCTION("""COMPUTED_VALUE"""),"lauren and matt parr ")</f>
        <v>lauren and matt parr </v>
      </c>
      <c r="F1349" s="3" t="str">
        <f>IFERROR(__xludf.DUMMYFUNCTION("""COMPUTED_VALUE"""),"lauren.a.parr@gmail.com")</f>
        <v>lauren.a.parr@gmail.com</v>
      </c>
      <c r="G1349" s="3">
        <f>IFERROR(__xludf.DUMMYFUNCTION("""COMPUTED_VALUE"""),9.059954492E9)</f>
        <v>9059954492</v>
      </c>
      <c r="H1349" s="3"/>
    </row>
    <row r="1350">
      <c r="A1350" s="2">
        <f>IFERROR(__xludf.DUMMYFUNCTION("""COMPUTED_VALUE"""),20434.0)</f>
        <v>20434</v>
      </c>
      <c r="B1350" s="3" t="str">
        <f>IFERROR(__xludf.DUMMYFUNCTION("""COMPUTED_VALUE"""),"4081 BURNHAM ST")</f>
        <v>4081 BURNHAM ST</v>
      </c>
      <c r="C1350" s="3" t="str">
        <f>IFERROR(__xludf.DUMMYFUNCTION("""COMPUTED_VALUE"""),"COBOURG")</f>
        <v>COBOURG</v>
      </c>
      <c r="D1350" s="3" t="str">
        <f>IFERROR(__xludf.DUMMYFUNCTION("""COMPUTED_VALUE"""),"K9A 4J9")</f>
        <v>K9A 4J9</v>
      </c>
      <c r="E1350" s="3" t="str">
        <f>IFERROR(__xludf.DUMMYFUNCTION("""COMPUTED_VALUE"""),"brian thommpson")</f>
        <v>brian thommpson</v>
      </c>
      <c r="F1350" s="3" t="str">
        <f>IFERROR(__xludf.DUMMYFUNCTION("""COMPUTED_VALUE"""),"tlmf.055@gmail.com")</f>
        <v>tlmf.055@gmail.com</v>
      </c>
      <c r="G1350" s="3">
        <f>IFERROR(__xludf.DUMMYFUNCTION("""COMPUTED_VALUE"""),9.053429597E9)</f>
        <v>9053429597</v>
      </c>
      <c r="H1350" s="3">
        <f>IFERROR(__xludf.DUMMYFUNCTION("""COMPUTED_VALUE"""),9.053765951E9)</f>
        <v>9053765951</v>
      </c>
    </row>
    <row r="1351">
      <c r="A1351" s="2">
        <f>IFERROR(__xludf.DUMMYFUNCTION("""COMPUTED_VALUE"""),23937.0)</f>
        <v>23937</v>
      </c>
      <c r="B1351" s="3" t="str">
        <f>IFERROR(__xludf.DUMMYFUNCTION("""COMPUTED_VALUE"""),"4857 BURNHAM ST N")</f>
        <v>4857 BURNHAM ST N</v>
      </c>
      <c r="C1351" s="3" t="str">
        <f>IFERROR(__xludf.DUMMYFUNCTION("""COMPUTED_VALUE"""),"GORES LANDING")</f>
        <v>GORES LANDING</v>
      </c>
      <c r="D1351" s="3" t="str">
        <f>IFERROR(__xludf.DUMMYFUNCTION("""COMPUTED_VALUE"""),"K0K 2E0")</f>
        <v>K0K 2E0</v>
      </c>
      <c r="E1351" s="3"/>
      <c r="F1351" s="3"/>
      <c r="G1351" s="3"/>
      <c r="H1351" s="3"/>
    </row>
    <row r="1352">
      <c r="A1352" s="2">
        <f>IFERROR(__xludf.DUMMYFUNCTION("""COMPUTED_VALUE"""),23936.0)</f>
        <v>23936</v>
      </c>
      <c r="B1352" s="3" t="str">
        <f>IFERROR(__xludf.DUMMYFUNCTION("""COMPUTED_VALUE"""),"4863 BURNHAM ST N")</f>
        <v>4863 BURNHAM ST N</v>
      </c>
      <c r="C1352" s="3" t="str">
        <f>IFERROR(__xludf.DUMMYFUNCTION("""COMPUTED_VALUE"""),"GORES LANDING")</f>
        <v>GORES LANDING</v>
      </c>
      <c r="D1352" s="3" t="str">
        <f>IFERROR(__xludf.DUMMYFUNCTION("""COMPUTED_VALUE"""),"K0K 2E0")</f>
        <v>K0K 2E0</v>
      </c>
      <c r="E1352" s="3" t="str">
        <f>IFERROR(__xludf.DUMMYFUNCTION("""COMPUTED_VALUE"""),"stephen kimmerly")</f>
        <v>stephen kimmerly</v>
      </c>
      <c r="F1352" s="3" t="str">
        <f>IFERROR(__xludf.DUMMYFUNCTION("""COMPUTED_VALUE"""),"slkimmeerly@gmail.com")</f>
        <v>slkimmeerly@gmail.com</v>
      </c>
      <c r="G1352" s="3">
        <f>IFERROR(__xludf.DUMMYFUNCTION("""COMPUTED_VALUE"""),9.053753816E9)</f>
        <v>9053753816</v>
      </c>
      <c r="H1352" s="3"/>
    </row>
    <row r="1353">
      <c r="A1353" s="2">
        <f>IFERROR(__xludf.DUMMYFUNCTION("""COMPUTED_VALUE"""),23935.0)</f>
        <v>23935</v>
      </c>
      <c r="B1353" s="3" t="str">
        <f>IFERROR(__xludf.DUMMYFUNCTION("""COMPUTED_VALUE"""),"4877 BURNHAM ST N")</f>
        <v>4877 BURNHAM ST N</v>
      </c>
      <c r="C1353" s="3" t="str">
        <f>IFERROR(__xludf.DUMMYFUNCTION("""COMPUTED_VALUE"""),"GORES LANDING")</f>
        <v>GORES LANDING</v>
      </c>
      <c r="D1353" s="3" t="str">
        <f>IFERROR(__xludf.DUMMYFUNCTION("""COMPUTED_VALUE"""),"K0K 2E0")</f>
        <v>K0K 2E0</v>
      </c>
      <c r="E1353" s="3"/>
      <c r="F1353" s="3"/>
      <c r="G1353" s="3"/>
      <c r="H1353" s="3"/>
    </row>
    <row r="1354">
      <c r="A1354" s="2">
        <f>IFERROR(__xludf.DUMMYFUNCTION("""COMPUTED_VALUE"""),20593.0)</f>
        <v>20593</v>
      </c>
      <c r="B1354" s="3" t="str">
        <f>IFERROR(__xludf.DUMMYFUNCTION("""COMPUTED_VALUE"""),"7542 CAVAN RD")</f>
        <v>7542 CAVAN RD</v>
      </c>
      <c r="C1354" s="3" t="str">
        <f>IFERROR(__xludf.DUMMYFUNCTION("""COMPUTED_VALUE"""),"HAMILTON TOWNSHIP")</f>
        <v>HAMILTON TOWNSHIP</v>
      </c>
      <c r="D1354" s="3" t="str">
        <f>IFERROR(__xludf.DUMMYFUNCTION("""COMPUTED_VALUE"""),"K0L 1E0")</f>
        <v>K0L 1E0</v>
      </c>
      <c r="E1354" s="3"/>
      <c r="F1354" s="3"/>
      <c r="G1354" s="3"/>
      <c r="H1354" s="3"/>
    </row>
    <row r="1355">
      <c r="A1355" s="2">
        <f>IFERROR(__xludf.DUMMYFUNCTION("""COMPUTED_VALUE"""),20594.0)</f>
        <v>20594</v>
      </c>
      <c r="B1355" s="3" t="str">
        <f>IFERROR(__xludf.DUMMYFUNCTION("""COMPUTED_VALUE"""),"7545 CAVAN RD")</f>
        <v>7545 CAVAN RD</v>
      </c>
      <c r="C1355" s="3" t="str">
        <f>IFERROR(__xludf.DUMMYFUNCTION("""COMPUTED_VALUE"""),"HAMILTON TOWNSHIP")</f>
        <v>HAMILTON TOWNSHIP</v>
      </c>
      <c r="D1355" s="3" t="str">
        <f>IFERROR(__xludf.DUMMYFUNCTION("""COMPUTED_VALUE"""),"K0L 1E0")</f>
        <v>K0L 1E0</v>
      </c>
      <c r="E1355" s="3"/>
      <c r="F1355" s="3"/>
      <c r="G1355" s="3"/>
      <c r="H1355" s="3"/>
    </row>
    <row r="1356">
      <c r="A1356" s="2">
        <f>IFERROR(__xludf.DUMMYFUNCTION("""COMPUTED_VALUE"""),21948.0)</f>
        <v>21948</v>
      </c>
      <c r="B1356" s="3" t="str">
        <f>IFERROR(__xludf.DUMMYFUNCTION("""COMPUTED_VALUE"""),"3059 HARWOOD RD")</f>
        <v>3059 HARWOOD RD</v>
      </c>
      <c r="C1356" s="3" t="str">
        <f>IFERROR(__xludf.DUMMYFUNCTION("""COMPUTED_VALUE"""),"BALTIMORE")</f>
        <v>BALTIMORE</v>
      </c>
      <c r="D1356" s="3" t="str">
        <f>IFERROR(__xludf.DUMMYFUNCTION("""COMPUTED_VALUE"""),"K0K 1C0")</f>
        <v>K0K 1C0</v>
      </c>
      <c r="E1356" s="3" t="str">
        <f>IFERROR(__xludf.DUMMYFUNCTION("""COMPUTED_VALUE"""),"Neil Brown")</f>
        <v>Neil Brown</v>
      </c>
      <c r="F1356" s="3" t="str">
        <f>IFERROR(__xludf.DUMMYFUNCTION("""COMPUTED_VALUE"""),"neil@themcbrowns.com")</f>
        <v>neil@themcbrowns.com</v>
      </c>
      <c r="G1356" s="3">
        <f>IFERROR(__xludf.DUMMYFUNCTION("""COMPUTED_VALUE"""),5.195725401E9)</f>
        <v>5195725401</v>
      </c>
      <c r="H1356" s="3"/>
    </row>
    <row r="1357">
      <c r="A1357" s="2">
        <f>IFERROR(__xludf.DUMMYFUNCTION("""COMPUTED_VALUE"""),20289.0)</f>
        <v>20289</v>
      </c>
      <c r="B1357" s="3" t="str">
        <f>IFERROR(__xludf.DUMMYFUNCTION("""COMPUTED_VALUE"""),"212 BULL'S MILL RD")</f>
        <v>212 BULL'S MILL RD</v>
      </c>
      <c r="C1357" s="3" t="str">
        <f>IFERROR(__xludf.DUMMYFUNCTION("""COMPUTED_VALUE"""),"BALTIMORE")</f>
        <v>BALTIMORE</v>
      </c>
      <c r="D1357" s="3" t="str">
        <f>IFERROR(__xludf.DUMMYFUNCTION("""COMPUTED_VALUE"""),"K0K 1C0")</f>
        <v>K0K 1C0</v>
      </c>
      <c r="E1357" s="3" t="str">
        <f>IFERROR(__xludf.DUMMYFUNCTION("""COMPUTED_VALUE"""),"Richard Boyd")</f>
        <v>Richard Boyd</v>
      </c>
      <c r="F1357" s="3" t="str">
        <f>IFERROR(__xludf.DUMMYFUNCTION("""COMPUTED_VALUE"""),"richardboyd73@gmail.com")</f>
        <v>richardboyd73@gmail.com</v>
      </c>
      <c r="G1357" s="3"/>
      <c r="H1357" s="3">
        <f>IFERROR(__xludf.DUMMYFUNCTION("""COMPUTED_VALUE"""),7.05632901E9)</f>
        <v>7056329010</v>
      </c>
    </row>
    <row r="1358">
      <c r="A1358" s="2">
        <f>IFERROR(__xludf.DUMMYFUNCTION("""COMPUTED_VALUE"""),21950.0)</f>
        <v>21950</v>
      </c>
      <c r="B1358" s="3" t="str">
        <f>IFERROR(__xludf.DUMMYFUNCTION("""COMPUTED_VALUE"""),"3070 HARWOOD RD")</f>
        <v>3070 HARWOOD RD</v>
      </c>
      <c r="C1358" s="3" t="str">
        <f>IFERROR(__xludf.DUMMYFUNCTION("""COMPUTED_VALUE"""),"BALTIMORE")</f>
        <v>BALTIMORE</v>
      </c>
      <c r="D1358" s="3" t="str">
        <f>IFERROR(__xludf.DUMMYFUNCTION("""COMPUTED_VALUE"""),"K0K 1C0")</f>
        <v>K0K 1C0</v>
      </c>
      <c r="E1358" s="3"/>
      <c r="F1358" s="3"/>
      <c r="G1358" s="3"/>
      <c r="H1358" s="3"/>
    </row>
    <row r="1359">
      <c r="A1359" s="2">
        <f>IFERROR(__xludf.DUMMYFUNCTION("""COMPUTED_VALUE"""),20630.0)</f>
        <v>20630</v>
      </c>
      <c r="B1359" s="3" t="str">
        <f>IFERROR(__xludf.DUMMYFUNCTION("""COMPUTED_VALUE"""),"3211 CHARBROOK CRES")</f>
        <v>3211 CHARBROOK CRES</v>
      </c>
      <c r="C1359" s="3" t="str">
        <f>IFERROR(__xludf.DUMMYFUNCTION("""COMPUTED_VALUE"""),"COBOURG")</f>
        <v>COBOURG</v>
      </c>
      <c r="D1359" s="3" t="str">
        <f>IFERROR(__xludf.DUMMYFUNCTION("""COMPUTED_VALUE"""),"K9A 4J7")</f>
        <v>K9A 4J7</v>
      </c>
      <c r="E1359" s="3" t="str">
        <f>IFERROR(__xludf.DUMMYFUNCTION("""COMPUTED_VALUE"""),"Steve Egan / Jane Anne Egan")</f>
        <v>Steve Egan / Jane Anne Egan</v>
      </c>
      <c r="F1359" s="3" t="str">
        <f>IFERROR(__xludf.DUMMYFUNCTION("""COMPUTED_VALUE"""),"corkboy61@gmail.com / janeanne.egan@gmail.com")</f>
        <v>corkboy61@gmail.com / janeanne.egan@gmail.com</v>
      </c>
      <c r="G1359" s="3">
        <f>IFERROR(__xludf.DUMMYFUNCTION("""COMPUTED_VALUE"""),9.053739887E9)</f>
        <v>9053739887</v>
      </c>
      <c r="H1359" s="3">
        <f>IFERROR(__xludf.DUMMYFUNCTION("""COMPUTED_VALUE"""),9.053429376E9)</f>
        <v>9053429376</v>
      </c>
    </row>
    <row r="1360">
      <c r="A1360" s="2">
        <f>IFERROR(__xludf.DUMMYFUNCTION("""COMPUTED_VALUE"""),20631.0)</f>
        <v>20631</v>
      </c>
      <c r="B1360" s="3" t="str">
        <f>IFERROR(__xludf.DUMMYFUNCTION("""COMPUTED_VALUE"""),"3214 CHARBROOK CRES")</f>
        <v>3214 CHARBROOK CRES</v>
      </c>
      <c r="C1360" s="3" t="str">
        <f>IFERROR(__xludf.DUMMYFUNCTION("""COMPUTED_VALUE"""),"COBOURG")</f>
        <v>COBOURG</v>
      </c>
      <c r="D1360" s="3" t="str">
        <f>IFERROR(__xludf.DUMMYFUNCTION("""COMPUTED_VALUE"""),"K9A 4J7")</f>
        <v>K9A 4J7</v>
      </c>
      <c r="E1360" s="3"/>
      <c r="F1360" s="3"/>
      <c r="G1360" s="3"/>
      <c r="H1360" s="3"/>
    </row>
    <row r="1361">
      <c r="A1361" s="2">
        <f>IFERROR(__xludf.DUMMYFUNCTION("""COMPUTED_VALUE"""),20632.0)</f>
        <v>20632</v>
      </c>
      <c r="B1361" s="3" t="str">
        <f>IFERROR(__xludf.DUMMYFUNCTION("""COMPUTED_VALUE"""),"3223 CHARBROOK CRES")</f>
        <v>3223 CHARBROOK CRES</v>
      </c>
      <c r="C1361" s="3" t="str">
        <f>IFERROR(__xludf.DUMMYFUNCTION("""COMPUTED_VALUE"""),"COBOURG")</f>
        <v>COBOURG</v>
      </c>
      <c r="D1361" s="3" t="str">
        <f>IFERROR(__xludf.DUMMYFUNCTION("""COMPUTED_VALUE"""),"K9A 4J7")</f>
        <v>K9A 4J7</v>
      </c>
      <c r="E1361" s="3" t="str">
        <f>IFERROR(__xludf.DUMMYFUNCTION("""COMPUTED_VALUE"""),"Graham Jarvis")</f>
        <v>Graham Jarvis</v>
      </c>
      <c r="F1361" s="3" t="str">
        <f>IFERROR(__xludf.DUMMYFUNCTION("""COMPUTED_VALUE"""),"gnjarvis1@gmail.com")</f>
        <v>gnjarvis1@gmail.com</v>
      </c>
      <c r="G1361" s="3">
        <f>IFERROR(__xludf.DUMMYFUNCTION("""COMPUTED_VALUE"""),9.053425246E9)</f>
        <v>9053425246</v>
      </c>
      <c r="H1361" s="3"/>
    </row>
    <row r="1362">
      <c r="A1362" s="2">
        <f>IFERROR(__xludf.DUMMYFUNCTION("""COMPUTED_VALUE"""),20633.0)</f>
        <v>20633</v>
      </c>
      <c r="B1362" s="3" t="str">
        <f>IFERROR(__xludf.DUMMYFUNCTION("""COMPUTED_VALUE"""),"3230 CHARBROOK CRES")</f>
        <v>3230 CHARBROOK CRES</v>
      </c>
      <c r="C1362" s="3" t="str">
        <f>IFERROR(__xludf.DUMMYFUNCTION("""COMPUTED_VALUE"""),"COBOURG")</f>
        <v>COBOURG</v>
      </c>
      <c r="D1362" s="3" t="str">
        <f>IFERROR(__xludf.DUMMYFUNCTION("""COMPUTED_VALUE"""),"K9A 4J7")</f>
        <v>K9A 4J7</v>
      </c>
      <c r="E1362" s="3" t="str">
        <f>IFERROR(__xludf.DUMMYFUNCTION("""COMPUTED_VALUE"""),"ANGELA MCGOVERN")</f>
        <v>ANGELA MCGOVERN</v>
      </c>
      <c r="F1362" s="3" t="str">
        <f>IFERROR(__xludf.DUMMYFUNCTION("""COMPUTED_VALUE"""),"aemcg98@aol.com")</f>
        <v>aemcg98@aol.com</v>
      </c>
      <c r="G1362" s="3">
        <f>IFERROR(__xludf.DUMMYFUNCTION("""COMPUTED_VALUE"""),9.053964979E9)</f>
        <v>9053964979</v>
      </c>
      <c r="H1362" s="3"/>
    </row>
    <row r="1363">
      <c r="A1363" s="2">
        <f>IFERROR(__xludf.DUMMYFUNCTION("""COMPUTED_VALUE"""),20634.0)</f>
        <v>20634</v>
      </c>
      <c r="B1363" s="3" t="str">
        <f>IFERROR(__xludf.DUMMYFUNCTION("""COMPUTED_VALUE"""),"3239 CHARBROOK CRES")</f>
        <v>3239 CHARBROOK CRES</v>
      </c>
      <c r="C1363" s="3" t="str">
        <f>IFERROR(__xludf.DUMMYFUNCTION("""COMPUTED_VALUE"""),"COBOURG")</f>
        <v>COBOURG</v>
      </c>
      <c r="D1363" s="3" t="str">
        <f>IFERROR(__xludf.DUMMYFUNCTION("""COMPUTED_VALUE"""),"K9A 4J7")</f>
        <v>K9A 4J7</v>
      </c>
      <c r="E1363" s="3" t="str">
        <f>IFERROR(__xludf.DUMMYFUNCTION("""COMPUTED_VALUE"""),"James &amp; Brie Awsom")</f>
        <v>James &amp; Brie Awsom</v>
      </c>
      <c r="F1363" s="3"/>
      <c r="G1363" s="3"/>
      <c r="H1363" s="3"/>
    </row>
    <row r="1364">
      <c r="A1364" s="2">
        <f>IFERROR(__xludf.DUMMYFUNCTION("""COMPUTED_VALUE"""),20635.0)</f>
        <v>20635</v>
      </c>
      <c r="B1364" s="3" t="str">
        <f>IFERROR(__xludf.DUMMYFUNCTION("""COMPUTED_VALUE"""),"3245 CHARBROOK CRES")</f>
        <v>3245 CHARBROOK CRES</v>
      </c>
      <c r="C1364" s="3" t="str">
        <f>IFERROR(__xludf.DUMMYFUNCTION("""COMPUTED_VALUE"""),"COBOURG")</f>
        <v>COBOURG</v>
      </c>
      <c r="D1364" s="3" t="str">
        <f>IFERROR(__xludf.DUMMYFUNCTION("""COMPUTED_VALUE"""),"K9A 4J7")</f>
        <v>K9A 4J7</v>
      </c>
      <c r="E1364" s="3" t="str">
        <f>IFERROR(__xludf.DUMMYFUNCTION("""COMPUTED_VALUE"""),"diane&amp;alan ney")</f>
        <v>diane&amp;alan ney</v>
      </c>
      <c r="F1364" s="3" t="str">
        <f>IFERROR(__xludf.DUMMYFUNCTION("""COMPUTED_VALUE"""),"diane_ney@hotmali.com")</f>
        <v>diane_ney@hotmali.com</v>
      </c>
      <c r="G1364" s="3">
        <f>IFERROR(__xludf.DUMMYFUNCTION("""COMPUTED_VALUE"""),9.052697687E9)</f>
        <v>9052697687</v>
      </c>
      <c r="H1364" s="3">
        <f>IFERROR(__xludf.DUMMYFUNCTION("""COMPUTED_VALUE"""),9.052699807E9)</f>
        <v>9052699807</v>
      </c>
    </row>
    <row r="1365">
      <c r="A1365" s="2">
        <f>IFERROR(__xludf.DUMMYFUNCTION("""COMPUTED_VALUE"""),20636.0)</f>
        <v>20636</v>
      </c>
      <c r="B1365" s="3" t="str">
        <f>IFERROR(__xludf.DUMMYFUNCTION("""COMPUTED_VALUE"""),"3246 CHARBROOK CRES")</f>
        <v>3246 CHARBROOK CRES</v>
      </c>
      <c r="C1365" s="3" t="str">
        <f>IFERROR(__xludf.DUMMYFUNCTION("""COMPUTED_VALUE"""),"COBOURG")</f>
        <v>COBOURG</v>
      </c>
      <c r="D1365" s="3" t="str">
        <f>IFERROR(__xludf.DUMMYFUNCTION("""COMPUTED_VALUE"""),"K9A 4J7")</f>
        <v>K9A 4J7</v>
      </c>
      <c r="E1365" s="3" t="str">
        <f>IFERROR(__xludf.DUMMYFUNCTION("""COMPUTED_VALUE"""),"HUDSON SCOTT")</f>
        <v>HUDSON SCOTT</v>
      </c>
      <c r="F1365" s="3" t="str">
        <f>IFERROR(__xludf.DUMMYFUNCTION("""COMPUTED_VALUE"""),"hudsonandbrenda@gmail.com")</f>
        <v>hudsonandbrenda@gmail.com</v>
      </c>
      <c r="G1365" s="3">
        <f>IFERROR(__xludf.DUMMYFUNCTION("""COMPUTED_VALUE"""),6.472163489E9)</f>
        <v>6472163489</v>
      </c>
      <c r="H1365" s="3"/>
    </row>
    <row r="1366">
      <c r="A1366" s="2">
        <f>IFERROR(__xludf.DUMMYFUNCTION("""COMPUTED_VALUE"""),20637.0)</f>
        <v>20637</v>
      </c>
      <c r="B1366" s="3" t="str">
        <f>IFERROR(__xludf.DUMMYFUNCTION("""COMPUTED_VALUE"""),"3262 CHARBROOK CRES")</f>
        <v>3262 CHARBROOK CRES</v>
      </c>
      <c r="C1366" s="3" t="str">
        <f>IFERROR(__xludf.DUMMYFUNCTION("""COMPUTED_VALUE"""),"COBOURG")</f>
        <v>COBOURG</v>
      </c>
      <c r="D1366" s="3" t="str">
        <f>IFERROR(__xludf.DUMMYFUNCTION("""COMPUTED_VALUE"""),"K9A 4J7")</f>
        <v>K9A 4J7</v>
      </c>
      <c r="E1366" s="3" t="str">
        <f>IFERROR(__xludf.DUMMYFUNCTION("""COMPUTED_VALUE"""),"Ryan Thompson")</f>
        <v>Ryan Thompson</v>
      </c>
      <c r="F1366" s="3" t="str">
        <f>IFERROR(__xludf.DUMMYFUNCTION("""COMPUTED_VALUE"""),"thompson.ryan@icloud.com")</f>
        <v>thompson.ryan@icloud.com</v>
      </c>
      <c r="G1366" s="3"/>
      <c r="H1366" s="3"/>
    </row>
    <row r="1367">
      <c r="A1367" s="2">
        <f>IFERROR(__xludf.DUMMYFUNCTION("""COMPUTED_VALUE"""),20638.0)</f>
        <v>20638</v>
      </c>
      <c r="B1367" s="3" t="str">
        <f>IFERROR(__xludf.DUMMYFUNCTION("""COMPUTED_VALUE"""),"3271 CHARBROOK CRES")</f>
        <v>3271 CHARBROOK CRES</v>
      </c>
      <c r="C1367" s="3" t="str">
        <f>IFERROR(__xludf.DUMMYFUNCTION("""COMPUTED_VALUE"""),"COBOURG")</f>
        <v>COBOURG</v>
      </c>
      <c r="D1367" s="3" t="str">
        <f>IFERROR(__xludf.DUMMYFUNCTION("""COMPUTED_VALUE"""),"K9A 4J7")</f>
        <v>K9A 4J7</v>
      </c>
      <c r="E1367" s="3" t="str">
        <f>IFERROR(__xludf.DUMMYFUNCTION("""COMPUTED_VALUE"""),"Chris Herron")</f>
        <v>Chris Herron</v>
      </c>
      <c r="F1367" s="3" t="str">
        <f>IFERROR(__xludf.DUMMYFUNCTION("""COMPUTED_VALUE"""),"chris.herron73@gmail.com")</f>
        <v>chris.herron73@gmail.com</v>
      </c>
      <c r="G1367" s="3">
        <f>IFERROR(__xludf.DUMMYFUNCTION("""COMPUTED_VALUE"""),2.892519755E9)</f>
        <v>2892519755</v>
      </c>
      <c r="H1367" s="3"/>
    </row>
    <row r="1368">
      <c r="A1368" s="2">
        <f>IFERROR(__xludf.DUMMYFUNCTION("""COMPUTED_VALUE"""),20639.0)</f>
        <v>20639</v>
      </c>
      <c r="B1368" s="3" t="str">
        <f>IFERROR(__xludf.DUMMYFUNCTION("""COMPUTED_VALUE"""),"9285 CHERRY LANE")</f>
        <v>9285 CHERRY LANE</v>
      </c>
      <c r="C1368" s="3" t="str">
        <f>IFERROR(__xludf.DUMMYFUNCTION("""COMPUTED_VALUE"""),"BALTIMORE")</f>
        <v>BALTIMORE</v>
      </c>
      <c r="D1368" s="3" t="str">
        <f>IFERROR(__xludf.DUMMYFUNCTION("""COMPUTED_VALUE"""),"K0K 1C0")</f>
        <v>K0K 1C0</v>
      </c>
      <c r="E1368" s="3" t="str">
        <f>IFERROR(__xludf.DUMMYFUNCTION("""COMPUTED_VALUE"""),"Denise Davey")</f>
        <v>Denise Davey</v>
      </c>
      <c r="F1368" s="3"/>
      <c r="G1368" s="3"/>
      <c r="H1368" s="3"/>
    </row>
    <row r="1369">
      <c r="A1369" s="2">
        <f>IFERROR(__xludf.DUMMYFUNCTION("""COMPUTED_VALUE"""),20640.0)</f>
        <v>20640</v>
      </c>
      <c r="B1369" s="3" t="str">
        <f>IFERROR(__xludf.DUMMYFUNCTION("""COMPUTED_VALUE"""),"9295 CHERRY LANE")</f>
        <v>9295 CHERRY LANE</v>
      </c>
      <c r="C1369" s="3" t="str">
        <f>IFERROR(__xludf.DUMMYFUNCTION("""COMPUTED_VALUE"""),"BALTIMORE")</f>
        <v>BALTIMORE</v>
      </c>
      <c r="D1369" s="3" t="str">
        <f>IFERROR(__xludf.DUMMYFUNCTION("""COMPUTED_VALUE"""),"K0K 1C0")</f>
        <v>K0K 1C0</v>
      </c>
      <c r="E1369" s="3" t="str">
        <f>IFERROR(__xludf.DUMMYFUNCTION("""COMPUTED_VALUE"""),"Evan Van Luven / Scott Van Luven")</f>
        <v>Evan Van Luven / Scott Van Luven</v>
      </c>
      <c r="F1369" s="3" t="str">
        <f>IFERROR(__xludf.DUMMYFUNCTION("""COMPUTED_VALUE"""),"vanluven.ev@gmail.com")</f>
        <v>vanluven.ev@gmail.com</v>
      </c>
      <c r="G1369" s="3">
        <f>IFERROR(__xludf.DUMMYFUNCTION("""COMPUTED_VALUE"""),6.134491286E9)</f>
        <v>6134491286</v>
      </c>
      <c r="H1369" s="3">
        <f>IFERROR(__xludf.DUMMYFUNCTION("""COMPUTED_VALUE"""),4.16476642E9)</f>
        <v>4164766420</v>
      </c>
    </row>
    <row r="1370">
      <c r="A1370" s="2">
        <f>IFERROR(__xludf.DUMMYFUNCTION("""COMPUTED_VALUE"""),20641.0)</f>
        <v>20641</v>
      </c>
      <c r="B1370" s="3" t="str">
        <f>IFERROR(__xludf.DUMMYFUNCTION("""COMPUTED_VALUE"""),"9301 CHERRY LANE")</f>
        <v>9301 CHERRY LANE</v>
      </c>
      <c r="C1370" s="3" t="str">
        <f>IFERROR(__xludf.DUMMYFUNCTION("""COMPUTED_VALUE"""),"BALTIMORE")</f>
        <v>BALTIMORE</v>
      </c>
      <c r="D1370" s="3" t="str">
        <f>IFERROR(__xludf.DUMMYFUNCTION("""COMPUTED_VALUE"""),"K0K 1C0")</f>
        <v>K0K 1C0</v>
      </c>
      <c r="E1370" s="3"/>
      <c r="F1370" s="3"/>
      <c r="G1370" s="3"/>
      <c r="H1370" s="3"/>
    </row>
    <row r="1371">
      <c r="A1371" s="2">
        <f>IFERROR(__xludf.DUMMYFUNCTION("""COMPUTED_VALUE"""),20642.0)</f>
        <v>20642</v>
      </c>
      <c r="B1371" s="3" t="str">
        <f>IFERROR(__xludf.DUMMYFUNCTION("""COMPUTED_VALUE"""),"9309 CHERRY LANE")</f>
        <v>9309 CHERRY LANE</v>
      </c>
      <c r="C1371" s="3" t="str">
        <f>IFERROR(__xludf.DUMMYFUNCTION("""COMPUTED_VALUE"""),"BALTIMORE")</f>
        <v>BALTIMORE</v>
      </c>
      <c r="D1371" s="3" t="str">
        <f>IFERROR(__xludf.DUMMYFUNCTION("""COMPUTED_VALUE"""),"K0K 1C0")</f>
        <v>K0K 1C0</v>
      </c>
      <c r="E1371" s="3" t="str">
        <f>IFERROR(__xludf.DUMMYFUNCTION("""COMPUTED_VALUE"""),"Tim Neuton")</f>
        <v>Tim Neuton</v>
      </c>
      <c r="F1371" s="3"/>
      <c r="G1371" s="3"/>
      <c r="H1371" s="3"/>
    </row>
    <row r="1372">
      <c r="A1372" s="2">
        <f>IFERROR(__xludf.DUMMYFUNCTION("""COMPUTED_VALUE"""),20643.0)</f>
        <v>20643</v>
      </c>
      <c r="B1372" s="3" t="str">
        <f>IFERROR(__xludf.DUMMYFUNCTION("""COMPUTED_VALUE"""),"9313 CHERRY LANE")</f>
        <v>9313 CHERRY LANE</v>
      </c>
      <c r="C1372" s="3" t="str">
        <f>IFERROR(__xludf.DUMMYFUNCTION("""COMPUTED_VALUE"""),"BALTIMORE")</f>
        <v>BALTIMORE</v>
      </c>
      <c r="D1372" s="3" t="str">
        <f>IFERROR(__xludf.DUMMYFUNCTION("""COMPUTED_VALUE"""),"K0K 1C0")</f>
        <v>K0K 1C0</v>
      </c>
      <c r="E1372" s="3" t="str">
        <f>IFERROR(__xludf.DUMMYFUNCTION("""COMPUTED_VALUE"""),"Mike Hargreaves")</f>
        <v>Mike Hargreaves</v>
      </c>
      <c r="F1372" s="3" t="str">
        <f>IFERROR(__xludf.DUMMYFUNCTION("""COMPUTED_VALUE"""),"michaelhargreaves46@gmail.com")</f>
        <v>michaelhargreaves46@gmail.com</v>
      </c>
      <c r="G1372" s="3">
        <f>IFERROR(__xludf.DUMMYFUNCTION("""COMPUTED_VALUE"""),9.053966453E9)</f>
        <v>9053966453</v>
      </c>
      <c r="H1372" s="3"/>
    </row>
    <row r="1373">
      <c r="A1373" s="2">
        <f>IFERROR(__xludf.DUMMYFUNCTION("""COMPUTED_VALUE"""),20644.0)</f>
        <v>20644</v>
      </c>
      <c r="B1373" s="3" t="str">
        <f>IFERROR(__xludf.DUMMYFUNCTION("""COMPUTED_VALUE"""),"9320 CHERRY LANE")</f>
        <v>9320 CHERRY LANE</v>
      </c>
      <c r="C1373" s="3" t="str">
        <f>IFERROR(__xludf.DUMMYFUNCTION("""COMPUTED_VALUE"""),"BALTIMORE")</f>
        <v>BALTIMORE</v>
      </c>
      <c r="D1373" s="3" t="str">
        <f>IFERROR(__xludf.DUMMYFUNCTION("""COMPUTED_VALUE"""),"K0K 1C0")</f>
        <v>K0K 1C0</v>
      </c>
      <c r="E1373" s="3" t="str">
        <f>IFERROR(__xludf.DUMMYFUNCTION("""COMPUTED_VALUE"""),"Joe Harvey ")</f>
        <v>Joe Harvey </v>
      </c>
      <c r="F1373" s="3" t="str">
        <f>IFERROR(__xludf.DUMMYFUNCTION("""COMPUTED_VALUE"""),"n/a")</f>
        <v>n/a</v>
      </c>
      <c r="G1373" s="3"/>
      <c r="H1373" s="3"/>
    </row>
    <row r="1374">
      <c r="A1374" s="2">
        <f>IFERROR(__xludf.DUMMYFUNCTION("""COMPUTED_VALUE"""),20645.0)</f>
        <v>20645</v>
      </c>
      <c r="B1374" s="3" t="str">
        <f>IFERROR(__xludf.DUMMYFUNCTION("""COMPUTED_VALUE"""),"9327 CHERRY LANE")</f>
        <v>9327 CHERRY LANE</v>
      </c>
      <c r="C1374" s="3" t="str">
        <f>IFERROR(__xludf.DUMMYFUNCTION("""COMPUTED_VALUE"""),"BALTIMORE")</f>
        <v>BALTIMORE</v>
      </c>
      <c r="D1374" s="3" t="str">
        <f>IFERROR(__xludf.DUMMYFUNCTION("""COMPUTED_VALUE"""),"K0K 1C0")</f>
        <v>K0K 1C0</v>
      </c>
      <c r="E1374" s="3"/>
      <c r="F1374" s="3"/>
      <c r="G1374" s="3"/>
      <c r="H1374" s="3"/>
    </row>
    <row r="1375">
      <c r="A1375" s="2">
        <f>IFERROR(__xludf.DUMMYFUNCTION("""COMPUTED_VALUE"""),20646.0)</f>
        <v>20646</v>
      </c>
      <c r="B1375" s="3" t="str">
        <f>IFERROR(__xludf.DUMMYFUNCTION("""COMPUTED_VALUE"""),"9335 CHERRY LANE")</f>
        <v>9335 CHERRY LANE</v>
      </c>
      <c r="C1375" s="3" t="str">
        <f>IFERROR(__xludf.DUMMYFUNCTION("""COMPUTED_VALUE"""),"BALTIMORE")</f>
        <v>BALTIMORE</v>
      </c>
      <c r="D1375" s="3" t="str">
        <f>IFERROR(__xludf.DUMMYFUNCTION("""COMPUTED_VALUE"""),"K0K 1C0")</f>
        <v>K0K 1C0</v>
      </c>
      <c r="E1375" s="3" t="str">
        <f>IFERROR(__xludf.DUMMYFUNCTION("""COMPUTED_VALUE"""),"Brad Ste-Croix")</f>
        <v>Brad Ste-Croix</v>
      </c>
      <c r="F1375" s="3" t="str">
        <f>IFERROR(__xludf.DUMMYFUNCTION("""COMPUTED_VALUE"""),"bradstecroix@gmail.com")</f>
        <v>bradstecroix@gmail.com</v>
      </c>
      <c r="G1375" s="3"/>
      <c r="H1375" s="3"/>
    </row>
    <row r="1376">
      <c r="A1376" s="2">
        <f>IFERROR(__xludf.DUMMYFUNCTION("""COMPUTED_VALUE"""),20647.0)</f>
        <v>20647</v>
      </c>
      <c r="B1376" s="3" t="str">
        <f>IFERROR(__xludf.DUMMYFUNCTION("""COMPUTED_VALUE"""),"9345 CHERRY LANE")</f>
        <v>9345 CHERRY LANE</v>
      </c>
      <c r="C1376" s="3" t="str">
        <f>IFERROR(__xludf.DUMMYFUNCTION("""COMPUTED_VALUE"""),"BALTIMORE")</f>
        <v>BALTIMORE</v>
      </c>
      <c r="D1376" s="3" t="str">
        <f>IFERROR(__xludf.DUMMYFUNCTION("""COMPUTED_VALUE"""),"K0K 1C0")</f>
        <v>K0K 1C0</v>
      </c>
      <c r="E1376" s="3" t="str">
        <f>IFERROR(__xludf.DUMMYFUNCTION("""COMPUTED_VALUE"""),"k, rosskoph")</f>
        <v>k, rosskoph</v>
      </c>
      <c r="F1376" s="3"/>
      <c r="G1376" s="3">
        <f>IFERROR(__xludf.DUMMYFUNCTION("""COMPUTED_VALUE"""),9.053423089E9)</f>
        <v>9053423089</v>
      </c>
      <c r="H1376" s="3"/>
    </row>
    <row r="1377">
      <c r="A1377" s="2">
        <f>IFERROR(__xludf.DUMMYFUNCTION("""COMPUTED_VALUE"""),20648.0)</f>
        <v>20648</v>
      </c>
      <c r="B1377" s="3" t="str">
        <f>IFERROR(__xludf.DUMMYFUNCTION("""COMPUTED_VALUE"""),"9358 CHERRY LANE")</f>
        <v>9358 CHERRY LANE</v>
      </c>
      <c r="C1377" s="3" t="str">
        <f>IFERROR(__xludf.DUMMYFUNCTION("""COMPUTED_VALUE"""),"BALTIMORE")</f>
        <v>BALTIMORE</v>
      </c>
      <c r="D1377" s="3" t="str">
        <f>IFERROR(__xludf.DUMMYFUNCTION("""COMPUTED_VALUE"""),"K0K 1C0")</f>
        <v>K0K 1C0</v>
      </c>
      <c r="E1377" s="3" t="str">
        <f>IFERROR(__xludf.DUMMYFUNCTION("""COMPUTED_VALUE"""),"mike hintermeister")</f>
        <v>mike hintermeister</v>
      </c>
      <c r="F1377" s="3" t="str">
        <f>IFERROR(__xludf.DUMMYFUNCTION("""COMPUTED_VALUE"""),"hinternikester@gmail.com")</f>
        <v>hinternikester@gmail.com</v>
      </c>
      <c r="G1377" s="3">
        <f>IFERROR(__xludf.DUMMYFUNCTION("""COMPUTED_VALUE"""),9.057443837E9)</f>
        <v>9057443837</v>
      </c>
      <c r="H1377" s="3"/>
    </row>
    <row r="1378">
      <c r="A1378" s="2">
        <f>IFERROR(__xludf.DUMMYFUNCTION("""COMPUTED_VALUE"""),20649.0)</f>
        <v>20649</v>
      </c>
      <c r="B1378" s="3" t="str">
        <f>IFERROR(__xludf.DUMMYFUNCTION("""COMPUTED_VALUE"""),"9365 CHERRY LANE")</f>
        <v>9365 CHERRY LANE</v>
      </c>
      <c r="C1378" s="3" t="str">
        <f>IFERROR(__xludf.DUMMYFUNCTION("""COMPUTED_VALUE"""),"BALTIMORE")</f>
        <v>BALTIMORE</v>
      </c>
      <c r="D1378" s="3" t="str">
        <f>IFERROR(__xludf.DUMMYFUNCTION("""COMPUTED_VALUE"""),"K0K 1C0")</f>
        <v>K0K 1C0</v>
      </c>
      <c r="E1378" s="3" t="str">
        <f>IFERROR(__xludf.DUMMYFUNCTION("""COMPUTED_VALUE"""),"pamela wheeler")</f>
        <v>pamela wheeler</v>
      </c>
      <c r="F1378" s="3" t="str">
        <f>IFERROR(__xludf.DUMMYFUNCTION("""COMPUTED_VALUE"""),"pam.wheeler@ymail.com")</f>
        <v>pam.wheeler@ymail.com</v>
      </c>
      <c r="G1378" s="3">
        <f>IFERROR(__xludf.DUMMYFUNCTION("""COMPUTED_VALUE"""),9.052690567E9)</f>
        <v>9052690567</v>
      </c>
      <c r="H1378" s="3"/>
    </row>
    <row r="1379">
      <c r="A1379" s="2">
        <f>IFERROR(__xludf.DUMMYFUNCTION("""COMPUTED_VALUE"""),22098.0)</f>
        <v>22098</v>
      </c>
      <c r="B1379" s="3" t="str">
        <f>IFERROR(__xludf.DUMMYFUNCTION("""COMPUTED_VALUE"""),"3223 HICKERSON RD")</f>
        <v>3223 HICKERSON RD</v>
      </c>
      <c r="C1379" s="3" t="str">
        <f>IFERROR(__xludf.DUMMYFUNCTION("""COMPUTED_VALUE"""),"BALTIMORE")</f>
        <v>BALTIMORE</v>
      </c>
      <c r="D1379" s="3" t="str">
        <f>IFERROR(__xludf.DUMMYFUNCTION("""COMPUTED_VALUE"""),"K0K 1C0")</f>
        <v>K0K 1C0</v>
      </c>
      <c r="E1379" s="3" t="str">
        <f>IFERROR(__xludf.DUMMYFUNCTION("""COMPUTED_VALUE"""),"Susan Payne")</f>
        <v>Susan Payne</v>
      </c>
      <c r="F1379" s="3" t="str">
        <f>IFERROR(__xludf.DUMMYFUNCTION("""COMPUTED_VALUE"""),"suecapayne@icloud.com")</f>
        <v>suecapayne@icloud.com</v>
      </c>
      <c r="G1379" s="3">
        <f>IFERROR(__xludf.DUMMYFUNCTION("""COMPUTED_VALUE"""),9.053731297E9)</f>
        <v>9053731297</v>
      </c>
      <c r="H1379" s="3">
        <f>IFERROR(__xludf.DUMMYFUNCTION("""COMPUTED_VALUE"""),6.479984157E9)</f>
        <v>6479984157</v>
      </c>
    </row>
    <row r="1380">
      <c r="A1380" s="2">
        <f>IFERROR(__xludf.DUMMYFUNCTION("""COMPUTED_VALUE"""),22099.0)</f>
        <v>22099</v>
      </c>
      <c r="B1380" s="3" t="str">
        <f>IFERROR(__xludf.DUMMYFUNCTION("""COMPUTED_VALUE"""),"3318 HICKERSON RD")</f>
        <v>3318 HICKERSON RD</v>
      </c>
      <c r="C1380" s="3" t="str">
        <f>IFERROR(__xludf.DUMMYFUNCTION("""COMPUTED_VALUE"""),"BALTIMORE")</f>
        <v>BALTIMORE</v>
      </c>
      <c r="D1380" s="3" t="str">
        <f>IFERROR(__xludf.DUMMYFUNCTION("""COMPUTED_VALUE"""),"K0K 1C0")</f>
        <v>K0K 1C0</v>
      </c>
      <c r="E1380" s="3" t="str">
        <f>IFERROR(__xludf.DUMMYFUNCTION("""COMPUTED_VALUE"""),"cliinton holmes")</f>
        <v>cliinton holmes</v>
      </c>
      <c r="F1380" s="3" t="str">
        <f>IFERROR(__xludf.DUMMYFUNCTION("""COMPUTED_VALUE"""),"clintholmes81@gmail.com")</f>
        <v>clintholmes81@gmail.com</v>
      </c>
      <c r="G1380" s="3">
        <f>IFERROR(__xludf.DUMMYFUNCTION("""COMPUTED_VALUE"""),2.897711559E9)</f>
        <v>2897711559</v>
      </c>
      <c r="H1380" s="3"/>
    </row>
    <row r="1381">
      <c r="A1381" s="2">
        <f>IFERROR(__xludf.DUMMYFUNCTION("""COMPUTED_VALUE"""),23656.0)</f>
        <v>23656</v>
      </c>
      <c r="B1381" s="3" t="str">
        <f>IFERROR(__xludf.DUMMYFUNCTION("""COMPUTED_VALUE"""),"9242 TURK RD")</f>
        <v>9242 TURK RD</v>
      </c>
      <c r="C1381" s="3" t="str">
        <f>IFERROR(__xludf.DUMMYFUNCTION("""COMPUTED_VALUE"""),"BALTIMORE")</f>
        <v>BALTIMORE</v>
      </c>
      <c r="D1381" s="3" t="str">
        <f>IFERROR(__xludf.DUMMYFUNCTION("""COMPUTED_VALUE"""),"K0K 1C0")</f>
        <v>K0K 1C0</v>
      </c>
      <c r="E1381" s="3" t="str">
        <f>IFERROR(__xludf.DUMMYFUNCTION("""COMPUTED_VALUE"""),"Brandon Brooks")</f>
        <v>Brandon Brooks</v>
      </c>
      <c r="F1381" s="3" t="str">
        <f>IFERROR(__xludf.DUMMYFUNCTION("""COMPUTED_VALUE"""),"brandon.brooks@hotmail.ca")</f>
        <v>brandon.brooks@hotmail.ca</v>
      </c>
      <c r="G1381" s="3">
        <f>IFERROR(__xludf.DUMMYFUNCTION("""COMPUTED_VALUE"""),9.052691689E9)</f>
        <v>9052691689</v>
      </c>
      <c r="H1381" s="3"/>
    </row>
    <row r="1382">
      <c r="A1382" s="2">
        <f>IFERROR(__xludf.DUMMYFUNCTION("""COMPUTED_VALUE"""),23657.0)</f>
        <v>23657</v>
      </c>
      <c r="B1382" s="3" t="str">
        <f>IFERROR(__xludf.DUMMYFUNCTION("""COMPUTED_VALUE"""),"9262 TURK RD")</f>
        <v>9262 TURK RD</v>
      </c>
      <c r="C1382" s="3" t="str">
        <f>IFERROR(__xludf.DUMMYFUNCTION("""COMPUTED_VALUE"""),"BALTIMORE")</f>
        <v>BALTIMORE</v>
      </c>
      <c r="D1382" s="3" t="str">
        <f>IFERROR(__xludf.DUMMYFUNCTION("""COMPUTED_VALUE"""),"K0K 1C0")</f>
        <v>K0K 1C0</v>
      </c>
      <c r="E1382" s="3" t="str">
        <f>IFERROR(__xludf.DUMMYFUNCTION("""COMPUTED_VALUE"""),"les cherry")</f>
        <v>les cherry</v>
      </c>
      <c r="F1382" s="3"/>
      <c r="G1382" s="3">
        <f>IFERROR(__xludf.DUMMYFUNCTION("""COMPUTED_VALUE"""),9.053752165E9)</f>
        <v>9053752165</v>
      </c>
      <c r="H1382" s="3"/>
    </row>
    <row r="1383">
      <c r="A1383" s="2">
        <f>IFERROR(__xludf.DUMMYFUNCTION("""COMPUTED_VALUE"""),23658.0)</f>
        <v>23658</v>
      </c>
      <c r="B1383" s="3" t="str">
        <f>IFERROR(__xludf.DUMMYFUNCTION("""COMPUTED_VALUE"""),"9285 TURK RD")</f>
        <v>9285 TURK RD</v>
      </c>
      <c r="C1383" s="3" t="str">
        <f>IFERROR(__xludf.DUMMYFUNCTION("""COMPUTED_VALUE"""),"BALTIMORE")</f>
        <v>BALTIMORE</v>
      </c>
      <c r="D1383" s="3" t="str">
        <f>IFERROR(__xludf.DUMMYFUNCTION("""COMPUTED_VALUE"""),"K0K 1C0")</f>
        <v>K0K 1C0</v>
      </c>
      <c r="E1383" s="3" t="str">
        <f>IFERROR(__xludf.DUMMYFUNCTION("""COMPUTED_VALUE"""),"Brian Turk")</f>
        <v>Brian Turk</v>
      </c>
      <c r="F1383" s="3" t="str">
        <f>IFERROR(__xludf.DUMMYFUNCTION("""COMPUTED_VALUE"""),"therriturk@gmail.com")</f>
        <v>therriturk@gmail.com</v>
      </c>
      <c r="G1383" s="3">
        <f>IFERROR(__xludf.DUMMYFUNCTION("""COMPUTED_VALUE"""),9.053968938E9)</f>
        <v>9053968938</v>
      </c>
      <c r="H1383" s="3">
        <f>IFERROR(__xludf.DUMMYFUNCTION("""COMPUTED_VALUE"""),9.053768129E9)</f>
        <v>9053768129</v>
      </c>
    </row>
    <row r="1384">
      <c r="A1384" s="2">
        <f>IFERROR(__xludf.DUMMYFUNCTION("""COMPUTED_VALUE"""),23950.0)</f>
        <v>23950</v>
      </c>
      <c r="B1384" s="3" t="str">
        <f>IFERROR(__xludf.DUMMYFUNCTION("""COMPUTED_VALUE"""),"5346 CLOSE POINT RD")</f>
        <v>5346 CLOSE POINT RD</v>
      </c>
      <c r="C1384" s="3" t="str">
        <f>IFERROR(__xludf.DUMMYFUNCTION("""COMPUTED_VALUE"""),"GORES LANDING")</f>
        <v>GORES LANDING</v>
      </c>
      <c r="D1384" s="3" t="str">
        <f>IFERROR(__xludf.DUMMYFUNCTION("""COMPUTED_VALUE"""),"K0K 2E0")</f>
        <v>K0K 2E0</v>
      </c>
      <c r="E1384" s="3"/>
      <c r="F1384" s="3"/>
      <c r="G1384" s="3"/>
      <c r="H1384" s="3"/>
    </row>
    <row r="1385">
      <c r="A1385" s="2">
        <f>IFERROR(__xludf.DUMMYFUNCTION("""COMPUTED_VALUE"""),23976.0)</f>
        <v>23976</v>
      </c>
      <c r="B1385" s="3" t="str">
        <f>IFERROR(__xludf.DUMMYFUNCTION("""COMPUTED_VALUE"""),"5358 CLOSE POINT RD")</f>
        <v>5358 CLOSE POINT RD</v>
      </c>
      <c r="C1385" s="3" t="str">
        <f>IFERROR(__xludf.DUMMYFUNCTION("""COMPUTED_VALUE"""),"GORES LANDING")</f>
        <v>GORES LANDING</v>
      </c>
      <c r="D1385" s="3" t="str">
        <f>IFERROR(__xludf.DUMMYFUNCTION("""COMPUTED_VALUE"""),"K0K 2E0")</f>
        <v>K0K 2E0</v>
      </c>
      <c r="E1385" s="3"/>
      <c r="F1385" s="3"/>
      <c r="G1385" s="3"/>
      <c r="H1385" s="3"/>
    </row>
    <row r="1386">
      <c r="A1386" s="2">
        <f>IFERROR(__xludf.DUMMYFUNCTION("""COMPUTED_VALUE"""),20663.0)</f>
        <v>20663</v>
      </c>
      <c r="B1386" s="3" t="str">
        <f>IFERROR(__xludf.DUMMYFUNCTION("""COMPUTED_VALUE"""),"5374 CLOSE POINT RD SUITE 10")</f>
        <v>5374 CLOSE POINT RD SUITE 10</v>
      </c>
      <c r="C1386" s="3" t="str">
        <f>IFERROR(__xludf.DUMMYFUNCTION("""COMPUTED_VALUE"""),"GORES LANDING")</f>
        <v>GORES LANDING</v>
      </c>
      <c r="D1386" s="3" t="str">
        <f>IFERROR(__xludf.DUMMYFUNCTION("""COMPUTED_VALUE"""),"K0K 2E0")</f>
        <v>K0K 2E0</v>
      </c>
      <c r="E1386" s="3" t="str">
        <f>IFERROR(__xludf.DUMMYFUNCTION("""COMPUTED_VALUE"""),"Robert McDonald")</f>
        <v>Robert McDonald</v>
      </c>
      <c r="F1386" s="3" t="str">
        <f>IFERROR(__xludf.DUMMYFUNCTION("""COMPUTED_VALUE"""),"rj_mcdonald@outlook.com")</f>
        <v>rj_mcdonald@outlook.com</v>
      </c>
      <c r="G1386" s="3"/>
      <c r="H1386" s="3"/>
    </row>
    <row r="1387">
      <c r="A1387" s="2">
        <f>IFERROR(__xludf.DUMMYFUNCTION("""COMPUTED_VALUE"""),20664.0)</f>
        <v>20664</v>
      </c>
      <c r="B1387" s="3" t="str">
        <f>IFERROR(__xludf.DUMMYFUNCTION("""COMPUTED_VALUE"""),"5374 CLOSE POINT RD SUITE 11")</f>
        <v>5374 CLOSE POINT RD SUITE 11</v>
      </c>
      <c r="C1387" s="3" t="str">
        <f>IFERROR(__xludf.DUMMYFUNCTION("""COMPUTED_VALUE"""),"GORES LANDING")</f>
        <v>GORES LANDING</v>
      </c>
      <c r="D1387" s="3" t="str">
        <f>IFERROR(__xludf.DUMMYFUNCTION("""COMPUTED_VALUE"""),"K0K 2E0")</f>
        <v>K0K 2E0</v>
      </c>
      <c r="E1387" s="3" t="str">
        <f>IFERROR(__xludf.DUMMYFUNCTION("""COMPUTED_VALUE"""),"steve bowes ")</f>
        <v>steve bowes </v>
      </c>
      <c r="F1387" s="3" t="str">
        <f>IFERROR(__xludf.DUMMYFUNCTION("""COMPUTED_VALUE"""),"steveb78@gmail.com")</f>
        <v>steveb78@gmail.com</v>
      </c>
      <c r="G1387" s="3">
        <f>IFERROR(__xludf.DUMMYFUNCTION("""COMPUTED_VALUE"""),4.165755036E9)</f>
        <v>4165755036</v>
      </c>
      <c r="H1387" s="3"/>
    </row>
    <row r="1388">
      <c r="A1388" s="2">
        <f>IFERROR(__xludf.DUMMYFUNCTION("""COMPUTED_VALUE"""),20665.0)</f>
        <v>20665</v>
      </c>
      <c r="B1388" s="3" t="str">
        <f>IFERROR(__xludf.DUMMYFUNCTION("""COMPUTED_VALUE"""),"5374 CLOSE POINT RD SUITE 12")</f>
        <v>5374 CLOSE POINT RD SUITE 12</v>
      </c>
      <c r="C1388" s="3" t="str">
        <f>IFERROR(__xludf.DUMMYFUNCTION("""COMPUTED_VALUE"""),"GORES LANDING")</f>
        <v>GORES LANDING</v>
      </c>
      <c r="D1388" s="3" t="str">
        <f>IFERROR(__xludf.DUMMYFUNCTION("""COMPUTED_VALUE"""),"K0K 2E0")</f>
        <v>K0K 2E0</v>
      </c>
      <c r="E1388" s="3" t="str">
        <f>IFERROR(__xludf.DUMMYFUNCTION("""COMPUTED_VALUE"""),"t. anne frost ")</f>
        <v>t. anne frost </v>
      </c>
      <c r="F1388" s="3" t="str">
        <f>IFERROR(__xludf.DUMMYFUNCTION("""COMPUTED_VALUE"""),"tannefrost@gmail.com")</f>
        <v>tannefrost@gmail.com</v>
      </c>
      <c r="G1388" s="3">
        <f>IFERROR(__xludf.DUMMYFUNCTION("""COMPUTED_VALUE"""),4.163714976E9)</f>
        <v>4163714976</v>
      </c>
      <c r="H1388" s="3">
        <f>IFERROR(__xludf.DUMMYFUNCTION("""COMPUTED_VALUE"""),4.16249993E9)</f>
        <v>4162499930</v>
      </c>
    </row>
    <row r="1389">
      <c r="A1389" s="2">
        <f>IFERROR(__xludf.DUMMYFUNCTION("""COMPUTED_VALUE"""),20666.0)</f>
        <v>20666</v>
      </c>
      <c r="B1389" s="3" t="str">
        <f>IFERROR(__xludf.DUMMYFUNCTION("""COMPUTED_VALUE"""),"5374 CLOSE POINT RD SUITE 13")</f>
        <v>5374 CLOSE POINT RD SUITE 13</v>
      </c>
      <c r="C1389" s="3" t="str">
        <f>IFERROR(__xludf.DUMMYFUNCTION("""COMPUTED_VALUE"""),"GORES LANDING")</f>
        <v>GORES LANDING</v>
      </c>
      <c r="D1389" s="3" t="str">
        <f>IFERROR(__xludf.DUMMYFUNCTION("""COMPUTED_VALUE"""),"K0K 2E0")</f>
        <v>K0K 2E0</v>
      </c>
      <c r="E1389" s="3" t="str">
        <f>IFERROR(__xludf.DUMMYFUNCTION("""COMPUTED_VALUE"""),"Carol Coleman")</f>
        <v>Carol Coleman</v>
      </c>
      <c r="F1389" s="3" t="str">
        <f>IFERROR(__xludf.DUMMYFUNCTION("""COMPUTED_VALUE"""),"carolcoleman1313@gmail.com")</f>
        <v>carolcoleman1313@gmail.com</v>
      </c>
      <c r="G1389" s="3">
        <f>IFERROR(__xludf.DUMMYFUNCTION("""COMPUTED_VALUE"""),9.052595149E9)</f>
        <v>9052595149</v>
      </c>
      <c r="H1389" s="3"/>
    </row>
    <row r="1390">
      <c r="A1390" s="2">
        <f>IFERROR(__xludf.DUMMYFUNCTION("""COMPUTED_VALUE"""),20667.0)</f>
        <v>20667</v>
      </c>
      <c r="B1390" s="3" t="str">
        <f>IFERROR(__xludf.DUMMYFUNCTION("""COMPUTED_VALUE"""),"5374 CLOSE POINT RD SUITE 14")</f>
        <v>5374 CLOSE POINT RD SUITE 14</v>
      </c>
      <c r="C1390" s="3" t="str">
        <f>IFERROR(__xludf.DUMMYFUNCTION("""COMPUTED_VALUE"""),"GORES LANDING")</f>
        <v>GORES LANDING</v>
      </c>
      <c r="D1390" s="3" t="str">
        <f>IFERROR(__xludf.DUMMYFUNCTION("""COMPUTED_VALUE"""),"K0K 2E0")</f>
        <v>K0K 2E0</v>
      </c>
      <c r="E1390" s="3" t="str">
        <f>IFERROR(__xludf.DUMMYFUNCTION("""COMPUTED_VALUE"""),"linda harris ")</f>
        <v>linda harris </v>
      </c>
      <c r="F1390" s="3" t="str">
        <f>IFERROR(__xludf.DUMMYFUNCTION("""COMPUTED_VALUE"""),"lash2929@gmail.com")</f>
        <v>lash2929@gmail.com</v>
      </c>
      <c r="G1390" s="3">
        <f>IFERROR(__xludf.DUMMYFUNCTION("""COMPUTED_VALUE"""),9.053423692E9)</f>
        <v>9053423692</v>
      </c>
      <c r="H1390" s="3"/>
    </row>
    <row r="1391">
      <c r="A1391" s="2">
        <f>IFERROR(__xludf.DUMMYFUNCTION("""COMPUTED_VALUE"""),20668.0)</f>
        <v>20668</v>
      </c>
      <c r="B1391" s="3" t="str">
        <f>IFERROR(__xludf.DUMMYFUNCTION("""COMPUTED_VALUE"""),"5374 CLOSE POINT RD SUITE 16")</f>
        <v>5374 CLOSE POINT RD SUITE 16</v>
      </c>
      <c r="C1391" s="3" t="str">
        <f>IFERROR(__xludf.DUMMYFUNCTION("""COMPUTED_VALUE"""),"GORES LANDING")</f>
        <v>GORES LANDING</v>
      </c>
      <c r="D1391" s="3" t="str">
        <f>IFERROR(__xludf.DUMMYFUNCTION("""COMPUTED_VALUE"""),"K0K 2E0")</f>
        <v>K0K 2E0</v>
      </c>
      <c r="E1391" s="3"/>
      <c r="F1391" s="3"/>
      <c r="G1391" s="3"/>
      <c r="H1391" s="3"/>
    </row>
    <row r="1392">
      <c r="A1392" s="2">
        <f>IFERROR(__xludf.DUMMYFUNCTION("""COMPUTED_VALUE"""),20669.0)</f>
        <v>20669</v>
      </c>
      <c r="B1392" s="3" t="str">
        <f>IFERROR(__xludf.DUMMYFUNCTION("""COMPUTED_VALUE"""),"5374 CLOSE POINT RD SUITE 17")</f>
        <v>5374 CLOSE POINT RD SUITE 17</v>
      </c>
      <c r="C1392" s="3" t="str">
        <f>IFERROR(__xludf.DUMMYFUNCTION("""COMPUTED_VALUE"""),"GORES LANDING")</f>
        <v>GORES LANDING</v>
      </c>
      <c r="D1392" s="3" t="str">
        <f>IFERROR(__xludf.DUMMYFUNCTION("""COMPUTED_VALUE"""),"K0K 2E0")</f>
        <v>K0K 2E0</v>
      </c>
      <c r="E1392" s="3" t="str">
        <f>IFERROR(__xludf.DUMMYFUNCTION("""COMPUTED_VALUE"""),"Virginia Shanker")</f>
        <v>Virginia Shanker</v>
      </c>
      <c r="F1392" s="3" t="str">
        <f>IFERROR(__xludf.DUMMYFUNCTION("""COMPUTED_VALUE"""),"virginashanker@gmail.com")</f>
        <v>virginashanker@gmail.com</v>
      </c>
      <c r="G1392" s="3">
        <f>IFERROR(__xludf.DUMMYFUNCTION("""COMPUTED_VALUE"""),6.474086047E9)</f>
        <v>6474086047</v>
      </c>
      <c r="H1392" s="3">
        <f>IFERROR(__xludf.DUMMYFUNCTION("""COMPUTED_VALUE"""),6.478819628E9)</f>
        <v>6478819628</v>
      </c>
    </row>
    <row r="1393">
      <c r="A1393" s="2">
        <f>IFERROR(__xludf.DUMMYFUNCTION("""COMPUTED_VALUE"""),20670.0)</f>
        <v>20670</v>
      </c>
      <c r="B1393" s="3" t="str">
        <f>IFERROR(__xludf.DUMMYFUNCTION("""COMPUTED_VALUE"""),"5374 CLOSE POINT RD SUITE 4")</f>
        <v>5374 CLOSE POINT RD SUITE 4</v>
      </c>
      <c r="C1393" s="3" t="str">
        <f>IFERROR(__xludf.DUMMYFUNCTION("""COMPUTED_VALUE"""),"GORES LANDING")</f>
        <v>GORES LANDING</v>
      </c>
      <c r="D1393" s="3" t="str">
        <f>IFERROR(__xludf.DUMMYFUNCTION("""COMPUTED_VALUE"""),"K0K 2E0")</f>
        <v>K0K 2E0</v>
      </c>
      <c r="E1393" s="3" t="str">
        <f>IFERROR(__xludf.DUMMYFUNCTION("""COMPUTED_VALUE"""),"calvin cheng ")</f>
        <v>calvin cheng </v>
      </c>
      <c r="F1393" s="3" t="str">
        <f>IFERROR(__xludf.DUMMYFUNCTION("""COMPUTED_VALUE"""),"ckycheng@rogers.com")</f>
        <v>ckycheng@rogers.com</v>
      </c>
      <c r="G1393" s="3">
        <f>IFERROR(__xludf.DUMMYFUNCTION("""COMPUTED_VALUE"""),4.162217181E9)</f>
        <v>4162217181</v>
      </c>
      <c r="H1393" s="3"/>
    </row>
    <row r="1394">
      <c r="A1394" s="2">
        <f>IFERROR(__xludf.DUMMYFUNCTION("""COMPUTED_VALUE"""),20671.0)</f>
        <v>20671</v>
      </c>
      <c r="B1394" s="3" t="str">
        <f>IFERROR(__xludf.DUMMYFUNCTION("""COMPUTED_VALUE"""),"5374 CLOSE POINT RD SUITE 5")</f>
        <v>5374 CLOSE POINT RD SUITE 5</v>
      </c>
      <c r="C1394" s="3" t="str">
        <f>IFERROR(__xludf.DUMMYFUNCTION("""COMPUTED_VALUE"""),"GORES LANDING")</f>
        <v>GORES LANDING</v>
      </c>
      <c r="D1394" s="3" t="str">
        <f>IFERROR(__xludf.DUMMYFUNCTION("""COMPUTED_VALUE"""),"K0K 2E0")</f>
        <v>K0K 2E0</v>
      </c>
      <c r="E1394" s="3" t="str">
        <f>IFERROR(__xludf.DUMMYFUNCTION("""COMPUTED_VALUE"""),"james &amp;sandra peckham")</f>
        <v>james &amp;sandra peckham</v>
      </c>
      <c r="F1394" s="3" t="str">
        <f>IFERROR(__xludf.DUMMYFUNCTION("""COMPUTED_VALUE"""),"ejm.peckham@gmail.com")</f>
        <v>ejm.peckham@gmail.com</v>
      </c>
      <c r="G1394" s="3">
        <f>IFERROR(__xludf.DUMMYFUNCTION("""COMPUTED_VALUE"""),4.167212291E9)</f>
        <v>4167212291</v>
      </c>
      <c r="H1394" s="3">
        <f>IFERROR(__xludf.DUMMYFUNCTION("""COMPUTED_VALUE"""),6.472202291E9)</f>
        <v>6472202291</v>
      </c>
    </row>
    <row r="1395">
      <c r="A1395" s="2">
        <f>IFERROR(__xludf.DUMMYFUNCTION("""COMPUTED_VALUE"""),20672.0)</f>
        <v>20672</v>
      </c>
      <c r="B1395" s="3" t="str">
        <f>IFERROR(__xludf.DUMMYFUNCTION("""COMPUTED_VALUE"""),"5374 CLOSE POINT RD SUITE 7")</f>
        <v>5374 CLOSE POINT RD SUITE 7</v>
      </c>
      <c r="C1395" s="3" t="str">
        <f>IFERROR(__xludf.DUMMYFUNCTION("""COMPUTED_VALUE"""),"GORES LANDING")</f>
        <v>GORES LANDING</v>
      </c>
      <c r="D1395" s="3" t="str">
        <f>IFERROR(__xludf.DUMMYFUNCTION("""COMPUTED_VALUE"""),"K0K 2E0")</f>
        <v>K0K 2E0</v>
      </c>
      <c r="E1395" s="3"/>
      <c r="F1395" s="3"/>
      <c r="G1395" s="3"/>
      <c r="H1395" s="3"/>
    </row>
    <row r="1396">
      <c r="A1396" s="2">
        <f>IFERROR(__xludf.DUMMYFUNCTION("""COMPUTED_VALUE"""),20673.0)</f>
        <v>20673</v>
      </c>
      <c r="B1396" s="3" t="str">
        <f>IFERROR(__xludf.DUMMYFUNCTION("""COMPUTED_VALUE"""),"5374 CLOSE POINT RD SUITE 8")</f>
        <v>5374 CLOSE POINT RD SUITE 8</v>
      </c>
      <c r="C1396" s="3" t="str">
        <f>IFERROR(__xludf.DUMMYFUNCTION("""COMPUTED_VALUE"""),"GORES LANDING")</f>
        <v>GORES LANDING</v>
      </c>
      <c r="D1396" s="3" t="str">
        <f>IFERROR(__xludf.DUMMYFUNCTION("""COMPUTED_VALUE"""),"K0K 2E0")</f>
        <v>K0K 2E0</v>
      </c>
      <c r="E1396" s="3" t="str">
        <f>IFERROR(__xludf.DUMMYFUNCTION("""COMPUTED_VALUE"""),"dan kozusko")</f>
        <v>dan kozusko</v>
      </c>
      <c r="F1396" s="3" t="str">
        <f>IFERROR(__xludf.DUMMYFUNCTION("""COMPUTED_VALUE"""),"dan.kozusko@hotmail.com")</f>
        <v>dan.kozusko@hotmail.com</v>
      </c>
      <c r="G1396" s="3">
        <f>IFERROR(__xludf.DUMMYFUNCTION("""COMPUTED_VALUE"""),2.892515012E9)</f>
        <v>2892515012</v>
      </c>
      <c r="H1396" s="3"/>
    </row>
    <row r="1397">
      <c r="A1397" s="2">
        <f>IFERROR(__xludf.DUMMYFUNCTION("""COMPUTED_VALUE"""),20674.0)</f>
        <v>20674</v>
      </c>
      <c r="B1397" s="3" t="str">
        <f>IFERROR(__xludf.DUMMYFUNCTION("""COMPUTED_VALUE"""),"5374 CLOSE POINT RD SUITE 9")</f>
        <v>5374 CLOSE POINT RD SUITE 9</v>
      </c>
      <c r="C1397" s="3" t="str">
        <f>IFERROR(__xludf.DUMMYFUNCTION("""COMPUTED_VALUE"""),"GORES LANDING")</f>
        <v>GORES LANDING</v>
      </c>
      <c r="D1397" s="3" t="str">
        <f>IFERROR(__xludf.DUMMYFUNCTION("""COMPUTED_VALUE"""),"K0K 2E0")</f>
        <v>K0K 2E0</v>
      </c>
      <c r="E1397" s="3"/>
      <c r="F1397" s="3"/>
      <c r="G1397" s="3"/>
      <c r="H1397" s="3"/>
    </row>
    <row r="1398">
      <c r="A1398" s="2">
        <f>IFERROR(__xludf.DUMMYFUNCTION("""COMPUTED_VALUE"""),20675.0)</f>
        <v>20675</v>
      </c>
      <c r="B1398" s="3" t="str">
        <f>IFERROR(__xludf.DUMMYFUNCTION("""COMPUTED_VALUE"""),"5374 CLOSE POINT RD UNIT 1")</f>
        <v>5374 CLOSE POINT RD UNIT 1</v>
      </c>
      <c r="C1398" s="3" t="str">
        <f>IFERROR(__xludf.DUMMYFUNCTION("""COMPUTED_VALUE"""),"GORES LANDING")</f>
        <v>GORES LANDING</v>
      </c>
      <c r="D1398" s="3" t="str">
        <f>IFERROR(__xludf.DUMMYFUNCTION("""COMPUTED_VALUE"""),"K0K 2E0")</f>
        <v>K0K 2E0</v>
      </c>
      <c r="E1398" s="3" t="str">
        <f>IFERROR(__xludf.DUMMYFUNCTION("""COMPUTED_VALUE"""),"Stuart Shanker")</f>
        <v>Stuart Shanker</v>
      </c>
      <c r="F1398" s="3" t="str">
        <f>IFERROR(__xludf.DUMMYFUNCTION("""COMPUTED_VALUE"""),"stuartshanker@gmail.com")</f>
        <v>stuartshanker@gmail.com</v>
      </c>
      <c r="G1398" s="3">
        <f>IFERROR(__xludf.DUMMYFUNCTION("""COMPUTED_VALUE"""),6.478819628E9)</f>
        <v>6478819628</v>
      </c>
      <c r="H1398" s="3">
        <f>IFERROR(__xludf.DUMMYFUNCTION("""COMPUTED_VALUE"""),6.474086047E9)</f>
        <v>6474086047</v>
      </c>
    </row>
    <row r="1399">
      <c r="A1399" s="2">
        <f>IFERROR(__xludf.DUMMYFUNCTION("""COMPUTED_VALUE"""),20676.0)</f>
        <v>20676</v>
      </c>
      <c r="B1399" s="3" t="str">
        <f>IFERROR(__xludf.DUMMYFUNCTION("""COMPUTED_VALUE"""),"5374 CLOSE POINT RD UNIT 15")</f>
        <v>5374 CLOSE POINT RD UNIT 15</v>
      </c>
      <c r="C1399" s="3" t="str">
        <f>IFERROR(__xludf.DUMMYFUNCTION("""COMPUTED_VALUE"""),"GORES LANDING")</f>
        <v>GORES LANDING</v>
      </c>
      <c r="D1399" s="3" t="str">
        <f>IFERROR(__xludf.DUMMYFUNCTION("""COMPUTED_VALUE"""),"K0K 2E0")</f>
        <v>K0K 2E0</v>
      </c>
      <c r="E1399" s="3"/>
      <c r="F1399" s="3"/>
      <c r="G1399" s="3"/>
      <c r="H1399" s="3"/>
    </row>
    <row r="1400">
      <c r="A1400" s="2">
        <f>IFERROR(__xludf.DUMMYFUNCTION("""COMPUTED_VALUE"""),20677.0)</f>
        <v>20677</v>
      </c>
      <c r="B1400" s="3" t="str">
        <f>IFERROR(__xludf.DUMMYFUNCTION("""COMPUTED_VALUE"""),"5374 CLOSE POINT RD UNIT 3")</f>
        <v>5374 CLOSE POINT RD UNIT 3</v>
      </c>
      <c r="C1400" s="3" t="str">
        <f>IFERROR(__xludf.DUMMYFUNCTION("""COMPUTED_VALUE"""),"GORES LANDING")</f>
        <v>GORES LANDING</v>
      </c>
      <c r="D1400" s="3" t="str">
        <f>IFERROR(__xludf.DUMMYFUNCTION("""COMPUTED_VALUE"""),"K0K 2E0")</f>
        <v>K0K 2E0</v>
      </c>
      <c r="E1400" s="3"/>
      <c r="F1400" s="3"/>
      <c r="G1400" s="3"/>
      <c r="H1400" s="3"/>
    </row>
    <row r="1401">
      <c r="A1401" s="2">
        <f>IFERROR(__xludf.DUMMYFUNCTION("""COMPUTED_VALUE"""),20678.0)</f>
        <v>20678</v>
      </c>
      <c r="B1401" s="3" t="str">
        <f>IFERROR(__xludf.DUMMYFUNCTION("""COMPUTED_VALUE"""),"5374 CLOSE POINT RD UNIT 6")</f>
        <v>5374 CLOSE POINT RD UNIT 6</v>
      </c>
      <c r="C1401" s="3" t="str">
        <f>IFERROR(__xludf.DUMMYFUNCTION("""COMPUTED_VALUE"""),"GORES LANDING")</f>
        <v>GORES LANDING</v>
      </c>
      <c r="D1401" s="3" t="str">
        <f>IFERROR(__xludf.DUMMYFUNCTION("""COMPUTED_VALUE"""),"K0K 2E0")</f>
        <v>K0K 2E0</v>
      </c>
      <c r="E1401" s="3"/>
      <c r="F1401" s="3"/>
      <c r="G1401" s="3"/>
      <c r="H1401" s="3"/>
    </row>
    <row r="1402">
      <c r="A1402" s="2">
        <f>IFERROR(__xludf.DUMMYFUNCTION("""COMPUTED_VALUE"""),23659.0)</f>
        <v>23659</v>
      </c>
      <c r="B1402" s="3" t="str">
        <f>IFERROR(__xludf.DUMMYFUNCTION("""COMPUTED_VALUE"""),"9316 TURK RD")</f>
        <v>9316 TURK RD</v>
      </c>
      <c r="C1402" s="3" t="str">
        <f>IFERROR(__xludf.DUMMYFUNCTION("""COMPUTED_VALUE"""),"BALTIMORE")</f>
        <v>BALTIMORE</v>
      </c>
      <c r="D1402" s="3" t="str">
        <f>IFERROR(__xludf.DUMMYFUNCTION("""COMPUTED_VALUE"""),"K0K 1C0")</f>
        <v>K0K 1C0</v>
      </c>
      <c r="E1402" s="3" t="str">
        <f>IFERROR(__xludf.DUMMYFUNCTION("""COMPUTED_VALUE"""),"ryan grysko")</f>
        <v>ryan grysko</v>
      </c>
      <c r="F1402" s="3" t="str">
        <f>IFERROR(__xludf.DUMMYFUNCTION("""COMPUTED_VALUE"""),"kgrycko15@gmail.com")</f>
        <v>kgrycko15@gmail.com</v>
      </c>
      <c r="G1402" s="3">
        <f>IFERROR(__xludf.DUMMYFUNCTION("""COMPUTED_VALUE"""),9.052690566E9)</f>
        <v>9052690566</v>
      </c>
      <c r="H1402" s="3">
        <f>IFERROR(__xludf.DUMMYFUNCTION("""COMPUTED_VALUE"""),9.052695202E9)</f>
        <v>9052695202</v>
      </c>
    </row>
    <row r="1403">
      <c r="A1403" s="2">
        <f>IFERROR(__xludf.DUMMYFUNCTION("""COMPUTED_VALUE"""),20768.0)</f>
        <v>20768</v>
      </c>
      <c r="B1403" s="3" t="str">
        <f>IFERROR(__xludf.DUMMYFUNCTION("""COMPUTED_VALUE"""),"9553 COMMUNITY CENTRE RD")</f>
        <v>9553 COMMUNITY CENTRE RD</v>
      </c>
      <c r="C1403" s="3" t="str">
        <f>IFERROR(__xludf.DUMMYFUNCTION("""COMPUTED_VALUE"""),"BALTIMORE")</f>
        <v>BALTIMORE</v>
      </c>
      <c r="D1403" s="3" t="str">
        <f>IFERROR(__xludf.DUMMYFUNCTION("""COMPUTED_VALUE"""),"K0K 1C0")</f>
        <v>K0K 1C0</v>
      </c>
      <c r="E1403" s="3"/>
      <c r="F1403" s="3"/>
      <c r="G1403" s="3"/>
      <c r="H1403" s="3"/>
    </row>
    <row r="1404">
      <c r="A1404" s="2">
        <f>IFERROR(__xludf.DUMMYFUNCTION("""COMPUTED_VALUE"""),20731.0)</f>
        <v>20731</v>
      </c>
      <c r="B1404" s="3" t="str">
        <f>IFERROR(__xludf.DUMMYFUNCTION("""COMPUTED_VALUE"""),"9576 COMMUNITY CENTRE RD")</f>
        <v>9576 COMMUNITY CENTRE RD</v>
      </c>
      <c r="C1404" s="3" t="str">
        <f>IFERROR(__xludf.DUMMYFUNCTION("""COMPUTED_VALUE"""),"BALTIMORE")</f>
        <v>BALTIMORE</v>
      </c>
      <c r="D1404" s="3" t="str">
        <f>IFERROR(__xludf.DUMMYFUNCTION("""COMPUTED_VALUE"""),"K0K 1C0")</f>
        <v>K0K 1C0</v>
      </c>
      <c r="E1404" s="3" t="str">
        <f>IFERROR(__xludf.DUMMYFUNCTION("""COMPUTED_VALUE"""),"Ward McKeen ")</f>
        <v>Ward McKeen </v>
      </c>
      <c r="F1404" s="3" t="str">
        <f>IFERROR(__xludf.DUMMYFUNCTION("""COMPUTED_VALUE"""),"w.mckeen@synpatico.ca")</f>
        <v>w.mckeen@synpatico.ca</v>
      </c>
      <c r="G1404" s="3"/>
      <c r="H1404" s="3"/>
    </row>
    <row r="1405">
      <c r="A1405" s="2">
        <f>IFERROR(__xludf.DUMMYFUNCTION("""COMPUTED_VALUE"""),20732.0)</f>
        <v>20732</v>
      </c>
      <c r="B1405" s="3" t="str">
        <f>IFERROR(__xludf.DUMMYFUNCTION("""COMPUTED_VALUE"""),"9611 COMMUNITY CENTRE RD")</f>
        <v>9611 COMMUNITY CENTRE RD</v>
      </c>
      <c r="C1405" s="3" t="str">
        <f>IFERROR(__xludf.DUMMYFUNCTION("""COMPUTED_VALUE"""),"BALTIMORE")</f>
        <v>BALTIMORE</v>
      </c>
      <c r="D1405" s="3" t="str">
        <f>IFERROR(__xludf.DUMMYFUNCTION("""COMPUTED_VALUE"""),"K0K 1C0")</f>
        <v>K0K 1C0</v>
      </c>
      <c r="E1405" s="3" t="str">
        <f>IFERROR(__xludf.DUMMYFUNCTION("""COMPUTED_VALUE"""),"Travis Doyle")</f>
        <v>Travis Doyle</v>
      </c>
      <c r="F1405" s="3" t="str">
        <f>IFERROR(__xludf.DUMMYFUNCTION("""COMPUTED_VALUE"""),"travis9611@hotmail.com")</f>
        <v>travis9611@hotmail.com</v>
      </c>
      <c r="G1405" s="3">
        <f>IFERROR(__xludf.DUMMYFUNCTION("""COMPUTED_VALUE"""),9.05706619E9)</f>
        <v>9057066190</v>
      </c>
      <c r="H1405" s="3"/>
    </row>
    <row r="1406">
      <c r="A1406" s="2">
        <f>IFERROR(__xludf.DUMMYFUNCTION("""COMPUTED_VALUE"""),20733.0)</f>
        <v>20733</v>
      </c>
      <c r="B1406" s="3" t="str">
        <f>IFERROR(__xludf.DUMMYFUNCTION("""COMPUTED_VALUE"""),"9721 COMMUNITY CENTRE RD")</f>
        <v>9721 COMMUNITY CENTRE RD</v>
      </c>
      <c r="C1406" s="3" t="str">
        <f>IFERROR(__xludf.DUMMYFUNCTION("""COMPUTED_VALUE"""),"BALTIMORE")</f>
        <v>BALTIMORE</v>
      </c>
      <c r="D1406" s="3" t="str">
        <f>IFERROR(__xludf.DUMMYFUNCTION("""COMPUTED_VALUE"""),"K0K 1C0")</f>
        <v>K0K 1C0</v>
      </c>
      <c r="E1406" s="3" t="str">
        <f>IFERROR(__xludf.DUMMYFUNCTION("""COMPUTED_VALUE"""),"Alfred Lam")</f>
        <v>Alfred Lam</v>
      </c>
      <c r="F1406" s="3" t="str">
        <f>IFERROR(__xludf.DUMMYFUNCTION("""COMPUTED_VALUE"""),"al_lam@hotmail.com")</f>
        <v>al_lam@hotmail.com</v>
      </c>
      <c r="G1406" s="3">
        <f>IFERROR(__xludf.DUMMYFUNCTION("""COMPUTED_VALUE"""),4.16722261E9)</f>
        <v>4167222610</v>
      </c>
      <c r="H1406" s="3"/>
    </row>
    <row r="1407">
      <c r="A1407" s="2">
        <f>IFERROR(__xludf.DUMMYFUNCTION("""COMPUTED_VALUE"""),20769.0)</f>
        <v>20769</v>
      </c>
      <c r="B1407" s="3" t="str">
        <f>IFERROR(__xludf.DUMMYFUNCTION("""COMPUTED_VALUE"""),"9819 COMMUNITY CENTRE RD")</f>
        <v>9819 COMMUNITY CENTRE RD</v>
      </c>
      <c r="C1407" s="3" t="str">
        <f>IFERROR(__xludf.DUMMYFUNCTION("""COMPUTED_VALUE"""),"BALTIMORE")</f>
        <v>BALTIMORE</v>
      </c>
      <c r="D1407" s="3" t="str">
        <f>IFERROR(__xludf.DUMMYFUNCTION("""COMPUTED_VALUE"""),"K0K 1C0")</f>
        <v>K0K 1C0</v>
      </c>
      <c r="E1407" s="3" t="str">
        <f>IFERROR(__xludf.DUMMYFUNCTION("""COMPUTED_VALUE"""),"Gord Atanasoff")</f>
        <v>Gord Atanasoff</v>
      </c>
      <c r="F1407" s="3" t="str">
        <f>IFERROR(__xludf.DUMMYFUNCTION("""COMPUTED_VALUE"""),"gordonatanasoff@gmail.com")</f>
        <v>gordonatanasoff@gmail.com</v>
      </c>
      <c r="G1407" s="3">
        <f>IFERROR(__xludf.DUMMYFUNCTION("""COMPUTED_VALUE"""),9.053969819E9)</f>
        <v>9053969819</v>
      </c>
      <c r="H1407" s="3">
        <f>IFERROR(__xludf.DUMMYFUNCTION("""COMPUTED_VALUE"""),9.053969834E9)</f>
        <v>9053969834</v>
      </c>
    </row>
    <row r="1408">
      <c r="A1408" s="2">
        <f>IFERROR(__xludf.DUMMYFUNCTION("""COMPUTED_VALUE"""),20734.0)</f>
        <v>20734</v>
      </c>
      <c r="B1408" s="3" t="str">
        <f>IFERROR(__xludf.DUMMYFUNCTION("""COMPUTED_VALUE"""),"9842 COMMUNITY CENTRE RD")</f>
        <v>9842 COMMUNITY CENTRE RD</v>
      </c>
      <c r="C1408" s="3" t="str">
        <f>IFERROR(__xludf.DUMMYFUNCTION("""COMPUTED_VALUE"""),"BALTIMORE")</f>
        <v>BALTIMORE</v>
      </c>
      <c r="D1408" s="3" t="str">
        <f>IFERROR(__xludf.DUMMYFUNCTION("""COMPUTED_VALUE"""),"K0K 1C0")</f>
        <v>K0K 1C0</v>
      </c>
      <c r="E1408" s="3" t="str">
        <f>IFERROR(__xludf.DUMMYFUNCTION("""COMPUTED_VALUE"""),"kelly wavers")</f>
        <v>kelly wavers</v>
      </c>
      <c r="F1408" s="3" t="str">
        <f>IFERROR(__xludf.DUMMYFUNCTION("""COMPUTED_VALUE"""),"realwealthestate@gmail.com")</f>
        <v>realwealthestate@gmail.com</v>
      </c>
      <c r="G1408" s="3">
        <f>IFERROR(__xludf.DUMMYFUNCTION("""COMPUTED_VALUE"""),2.892516687E9)</f>
        <v>2892516687</v>
      </c>
      <c r="H1408" s="3"/>
    </row>
    <row r="1409">
      <c r="A1409" s="2">
        <f>IFERROR(__xludf.DUMMYFUNCTION("""COMPUTED_VALUE"""),20735.0)</f>
        <v>20735</v>
      </c>
      <c r="B1409" s="3" t="str">
        <f>IFERROR(__xludf.DUMMYFUNCTION("""COMPUTED_VALUE"""),"9859 COMMUNITY CENTRE RD")</f>
        <v>9859 COMMUNITY CENTRE RD</v>
      </c>
      <c r="C1409" s="3" t="str">
        <f>IFERROR(__xludf.DUMMYFUNCTION("""COMPUTED_VALUE"""),"BALTIMORE")</f>
        <v>BALTIMORE</v>
      </c>
      <c r="D1409" s="3" t="str">
        <f>IFERROR(__xludf.DUMMYFUNCTION("""COMPUTED_VALUE"""),"K0K 1C0")</f>
        <v>K0K 1C0</v>
      </c>
      <c r="E1409" s="3" t="str">
        <f>IFERROR(__xludf.DUMMYFUNCTION("""COMPUTED_VALUE"""),"Michael Atkins")</f>
        <v>Michael Atkins</v>
      </c>
      <c r="F1409" s="3" t="str">
        <f>IFERROR(__xludf.DUMMYFUNCTION("""COMPUTED_VALUE"""),"nomorenamesareavailable@gmail.com")</f>
        <v>nomorenamesareavailable@gmail.com</v>
      </c>
      <c r="G1409" s="3">
        <f>IFERROR(__xludf.DUMMYFUNCTION("""COMPUTED_VALUE"""),4.167099203E9)</f>
        <v>4167099203</v>
      </c>
      <c r="H1409" s="3"/>
    </row>
    <row r="1410">
      <c r="A1410" s="2">
        <f>IFERROR(__xludf.DUMMYFUNCTION("""COMPUTED_VALUE"""),20736.0)</f>
        <v>20736</v>
      </c>
      <c r="B1410" s="3" t="str">
        <f>IFERROR(__xludf.DUMMYFUNCTION("""COMPUTED_VALUE"""),"9862 COMMUNITY CENTRE RD")</f>
        <v>9862 COMMUNITY CENTRE RD</v>
      </c>
      <c r="C1410" s="3" t="str">
        <f>IFERROR(__xludf.DUMMYFUNCTION("""COMPUTED_VALUE"""),"BALTIMORE")</f>
        <v>BALTIMORE</v>
      </c>
      <c r="D1410" s="3" t="str">
        <f>IFERROR(__xludf.DUMMYFUNCTION("""COMPUTED_VALUE"""),"K0K 1C0")</f>
        <v>K0K 1C0</v>
      </c>
      <c r="E1410" s="3" t="str">
        <f>IFERROR(__xludf.DUMMYFUNCTION("""COMPUTED_VALUE"""),"Kelli Narine")</f>
        <v>Kelli Narine</v>
      </c>
      <c r="F1410" s="3" t="str">
        <f>IFERROR(__xludf.DUMMYFUNCTION("""COMPUTED_VALUE"""),"kellinarine@gmail.com")</f>
        <v>kellinarine@gmail.com</v>
      </c>
      <c r="G1410" s="3"/>
      <c r="H1410" s="3"/>
    </row>
    <row r="1411">
      <c r="A1411" s="2">
        <f>IFERROR(__xludf.DUMMYFUNCTION("""COMPUTED_VALUE"""),20737.0)</f>
        <v>20737</v>
      </c>
      <c r="B1411" s="3" t="str">
        <f>IFERROR(__xludf.DUMMYFUNCTION("""COMPUTED_VALUE"""),"9869 COMMUNITY CENTRE RD")</f>
        <v>9869 COMMUNITY CENTRE RD</v>
      </c>
      <c r="C1411" s="3" t="str">
        <f>IFERROR(__xludf.DUMMYFUNCTION("""COMPUTED_VALUE"""),"BALTIMORE")</f>
        <v>BALTIMORE</v>
      </c>
      <c r="D1411" s="3" t="str">
        <f>IFERROR(__xludf.DUMMYFUNCTION("""COMPUTED_VALUE"""),"K0K 1C0")</f>
        <v>K0K 1C0</v>
      </c>
      <c r="E1411" s="3" t="str">
        <f>IFERROR(__xludf.DUMMYFUNCTION("""COMPUTED_VALUE"""),"Robert Matthew Leyland")</f>
        <v>Robert Matthew Leyland</v>
      </c>
      <c r="F1411" s="3" t="str">
        <f>IFERROR(__xludf.DUMMYFUNCTION("""COMPUTED_VALUE"""),"gmhjleyland@gmail.com")</f>
        <v>gmhjleyland@gmail.com</v>
      </c>
      <c r="G1411" s="3">
        <f>IFERROR(__xludf.DUMMYFUNCTION("""COMPUTED_VALUE"""),2.893144999E9)</f>
        <v>2893144999</v>
      </c>
      <c r="H1411" s="3"/>
    </row>
    <row r="1412">
      <c r="A1412" s="2">
        <f>IFERROR(__xludf.DUMMYFUNCTION("""COMPUTED_VALUE"""),20738.0)</f>
        <v>20738</v>
      </c>
      <c r="B1412" s="3" t="str">
        <f>IFERROR(__xludf.DUMMYFUNCTION("""COMPUTED_VALUE"""),"9870 COMMUNITY CENTRE RD")</f>
        <v>9870 COMMUNITY CENTRE RD</v>
      </c>
      <c r="C1412" s="3" t="str">
        <f>IFERROR(__xludf.DUMMYFUNCTION("""COMPUTED_VALUE"""),"BALTIMORE")</f>
        <v>BALTIMORE</v>
      </c>
      <c r="D1412" s="3" t="str">
        <f>IFERROR(__xludf.DUMMYFUNCTION("""COMPUTED_VALUE"""),"K0K 1C0")</f>
        <v>K0K 1C0</v>
      </c>
      <c r="E1412" s="3" t="str">
        <f>IFERROR(__xludf.DUMMYFUNCTION("""COMPUTED_VALUE"""),"Adrianne Walker")</f>
        <v>Adrianne Walker</v>
      </c>
      <c r="F1412" s="3"/>
      <c r="G1412" s="3"/>
      <c r="H1412" s="3"/>
    </row>
    <row r="1413">
      <c r="A1413" s="2">
        <f>IFERROR(__xludf.DUMMYFUNCTION("""COMPUTED_VALUE"""),20739.0)</f>
        <v>20739</v>
      </c>
      <c r="B1413" s="3" t="str">
        <f>IFERROR(__xludf.DUMMYFUNCTION("""COMPUTED_VALUE"""),"9910 COMMUNITY CENTRE RD")</f>
        <v>9910 COMMUNITY CENTRE RD</v>
      </c>
      <c r="C1413" s="3" t="str">
        <f>IFERROR(__xludf.DUMMYFUNCTION("""COMPUTED_VALUE"""),"BALTIMORE")</f>
        <v>BALTIMORE</v>
      </c>
      <c r="D1413" s="3" t="str">
        <f>IFERROR(__xludf.DUMMYFUNCTION("""COMPUTED_VALUE"""),"K0K 1C0")</f>
        <v>K0K 1C0</v>
      </c>
      <c r="E1413" s="3" t="str">
        <f>IFERROR(__xludf.DUMMYFUNCTION("""COMPUTED_VALUE"""),"adam shalaby ")</f>
        <v>adam shalaby </v>
      </c>
      <c r="F1413" s="3" t="str">
        <f>IFERROR(__xludf.DUMMYFUNCTION("""COMPUTED_VALUE"""),"adamshalaby@gmail.com")</f>
        <v>adamshalaby@gmail.com</v>
      </c>
      <c r="G1413" s="3">
        <f>IFERROR(__xludf.DUMMYFUNCTION("""COMPUTED_VALUE"""),4.167674665E9)</f>
        <v>4167674665</v>
      </c>
      <c r="H1413" s="3"/>
    </row>
    <row r="1414">
      <c r="A1414" s="2">
        <f>IFERROR(__xludf.DUMMYFUNCTION("""COMPUTED_VALUE"""),20740.0)</f>
        <v>20740</v>
      </c>
      <c r="B1414" s="3" t="str">
        <f>IFERROR(__xludf.DUMMYFUNCTION("""COMPUTED_VALUE"""),"9926 COMMUNITY CENTRE RD")</f>
        <v>9926 COMMUNITY CENTRE RD</v>
      </c>
      <c r="C1414" s="3" t="str">
        <f>IFERROR(__xludf.DUMMYFUNCTION("""COMPUTED_VALUE"""),"BALTIMORE")</f>
        <v>BALTIMORE</v>
      </c>
      <c r="D1414" s="3" t="str">
        <f>IFERROR(__xludf.DUMMYFUNCTION("""COMPUTED_VALUE"""),"K0K 1C0")</f>
        <v>K0K 1C0</v>
      </c>
      <c r="E1414" s="3"/>
      <c r="F1414" s="3"/>
      <c r="G1414" s="3"/>
      <c r="H1414" s="3"/>
    </row>
    <row r="1415">
      <c r="A1415" s="2">
        <f>IFERROR(__xludf.DUMMYFUNCTION("""COMPUTED_VALUE"""),20741.0)</f>
        <v>20741</v>
      </c>
      <c r="B1415" s="3" t="str">
        <f>IFERROR(__xludf.DUMMYFUNCTION("""COMPUTED_VALUE"""),"9934 COMMUNITY CENTRE RD")</f>
        <v>9934 COMMUNITY CENTRE RD</v>
      </c>
      <c r="C1415" s="3" t="str">
        <f>IFERROR(__xludf.DUMMYFUNCTION("""COMPUTED_VALUE"""),"BALTIMORE")</f>
        <v>BALTIMORE</v>
      </c>
      <c r="D1415" s="3" t="str">
        <f>IFERROR(__xludf.DUMMYFUNCTION("""COMPUTED_VALUE"""),"K0K 1C0")</f>
        <v>K0K 1C0</v>
      </c>
      <c r="E1415" s="3" t="str">
        <f>IFERROR(__xludf.DUMMYFUNCTION("""COMPUTED_VALUE"""),"david woods ")</f>
        <v>david woods </v>
      </c>
      <c r="F1415" s="3" t="str">
        <f>IFERROR(__xludf.DUMMYFUNCTION("""COMPUTED_VALUE"""),"davefwods@gmail.com")</f>
        <v>davefwods@gmail.com</v>
      </c>
      <c r="G1415" s="3">
        <f>IFERROR(__xludf.DUMMYFUNCTION("""COMPUTED_VALUE"""),9.05399279E9)</f>
        <v>9053992790</v>
      </c>
      <c r="H1415" s="3"/>
    </row>
    <row r="1416">
      <c r="A1416" s="2">
        <f>IFERROR(__xludf.DUMMYFUNCTION("""COMPUTED_VALUE"""),20742.0)</f>
        <v>20742</v>
      </c>
      <c r="B1416" s="3" t="str">
        <f>IFERROR(__xludf.DUMMYFUNCTION("""COMPUTED_VALUE"""),"9936 COMMUNITY CENTRE RD")</f>
        <v>9936 COMMUNITY CENTRE RD</v>
      </c>
      <c r="C1416" s="3" t="str">
        <f>IFERROR(__xludf.DUMMYFUNCTION("""COMPUTED_VALUE"""),"BALTIMORE")</f>
        <v>BALTIMORE</v>
      </c>
      <c r="D1416" s="3" t="str">
        <f>IFERROR(__xludf.DUMMYFUNCTION("""COMPUTED_VALUE"""),"K0K 1C0")</f>
        <v>K0K 1C0</v>
      </c>
      <c r="E1416" s="3" t="str">
        <f>IFERROR(__xludf.DUMMYFUNCTION("""COMPUTED_VALUE"""),"Kathy West ")</f>
        <v>Kathy West </v>
      </c>
      <c r="F1416" s="3"/>
      <c r="G1416" s="3"/>
      <c r="H1416" s="3"/>
    </row>
    <row r="1417">
      <c r="A1417" s="2">
        <f>IFERROR(__xludf.DUMMYFUNCTION("""COMPUTED_VALUE"""),20743.0)</f>
        <v>20743</v>
      </c>
      <c r="B1417" s="3" t="str">
        <f>IFERROR(__xludf.DUMMYFUNCTION("""COMPUTED_VALUE"""),"9938 COMMUNITY CENTRE RD")</f>
        <v>9938 COMMUNITY CENTRE RD</v>
      </c>
      <c r="C1417" s="3" t="str">
        <f>IFERROR(__xludf.DUMMYFUNCTION("""COMPUTED_VALUE"""),"BALTIMORE")</f>
        <v>BALTIMORE</v>
      </c>
      <c r="D1417" s="3" t="str">
        <f>IFERROR(__xludf.DUMMYFUNCTION("""COMPUTED_VALUE"""),"K0K 1C0")</f>
        <v>K0K 1C0</v>
      </c>
      <c r="E1417" s="3" t="str">
        <f>IFERROR(__xludf.DUMMYFUNCTION("""COMPUTED_VALUE"""),"kathy west ")</f>
        <v>kathy west </v>
      </c>
      <c r="F1417" s="3"/>
      <c r="G1417" s="3">
        <f>IFERROR(__xludf.DUMMYFUNCTION("""COMPUTED_VALUE"""),2.898291635E9)</f>
        <v>2898291635</v>
      </c>
      <c r="H1417" s="3"/>
    </row>
    <row r="1418">
      <c r="A1418" s="2">
        <f>IFERROR(__xludf.DUMMYFUNCTION("""COMPUTED_VALUE"""),20744.0)</f>
        <v>20744</v>
      </c>
      <c r="B1418" s="3" t="str">
        <f>IFERROR(__xludf.DUMMYFUNCTION("""COMPUTED_VALUE"""),"9976 COMMUNITY CENTRE RD")</f>
        <v>9976 COMMUNITY CENTRE RD</v>
      </c>
      <c r="C1418" s="3" t="str">
        <f>IFERROR(__xludf.DUMMYFUNCTION("""COMPUTED_VALUE"""),"BALTIMORE")</f>
        <v>BALTIMORE</v>
      </c>
      <c r="D1418" s="3" t="str">
        <f>IFERROR(__xludf.DUMMYFUNCTION("""COMPUTED_VALUE"""),"K0K 1C0")</f>
        <v>K0K 1C0</v>
      </c>
      <c r="E1418" s="3"/>
      <c r="F1418" s="3"/>
      <c r="G1418" s="3"/>
      <c r="H1418" s="3"/>
    </row>
    <row r="1419">
      <c r="A1419" s="2">
        <f>IFERROR(__xludf.DUMMYFUNCTION("""COMPUTED_VALUE"""),20745.0)</f>
        <v>20745</v>
      </c>
      <c r="B1419" s="3" t="str">
        <f>IFERROR(__xludf.DUMMYFUNCTION("""COMPUTED_VALUE"""),"10010 COMMUNITY CENTRE RD")</f>
        <v>10010 COMMUNITY CENTRE RD</v>
      </c>
      <c r="C1419" s="3" t="str">
        <f>IFERROR(__xludf.DUMMYFUNCTION("""COMPUTED_VALUE"""),"BALTIMORE")</f>
        <v>BALTIMORE</v>
      </c>
      <c r="D1419" s="3" t="str">
        <f>IFERROR(__xludf.DUMMYFUNCTION("""COMPUTED_VALUE"""),"K0K 1C0")</f>
        <v>K0K 1C0</v>
      </c>
      <c r="E1419" s="3" t="str">
        <f>IFERROR(__xludf.DUMMYFUNCTION("""COMPUTED_VALUE"""),"joanne serio")</f>
        <v>joanne serio</v>
      </c>
      <c r="F1419" s="3" t="str">
        <f>IFERROR(__xludf.DUMMYFUNCTION("""COMPUTED_VALUE"""),"joandyloumie@aol.com")</f>
        <v>joandyloumie@aol.com</v>
      </c>
      <c r="G1419" s="3">
        <f>IFERROR(__xludf.DUMMYFUNCTION("""COMPUTED_VALUE"""),2.892511714E9)</f>
        <v>2892511714</v>
      </c>
      <c r="H1419" s="3">
        <f>IFERROR(__xludf.DUMMYFUNCTION("""COMPUTED_VALUE"""),2.892511486E9)</f>
        <v>2892511486</v>
      </c>
    </row>
    <row r="1420">
      <c r="A1420" s="2">
        <f>IFERROR(__xludf.DUMMYFUNCTION("""COMPUTED_VALUE"""),20746.0)</f>
        <v>20746</v>
      </c>
      <c r="B1420" s="3" t="str">
        <f>IFERROR(__xludf.DUMMYFUNCTION("""COMPUTED_VALUE"""),"10057 COMMUNITY CENTRE RD")</f>
        <v>10057 COMMUNITY CENTRE RD</v>
      </c>
      <c r="C1420" s="3" t="str">
        <f>IFERROR(__xludf.DUMMYFUNCTION("""COMPUTED_VALUE"""),"BALTIMORE")</f>
        <v>BALTIMORE</v>
      </c>
      <c r="D1420" s="3" t="str">
        <f>IFERROR(__xludf.DUMMYFUNCTION("""COMPUTED_VALUE"""),"K0K 1C0")</f>
        <v>K0K 1C0</v>
      </c>
      <c r="E1420" s="3"/>
      <c r="F1420" s="3"/>
      <c r="G1420" s="3"/>
      <c r="H1420" s="3"/>
    </row>
    <row r="1421">
      <c r="A1421" s="2">
        <f>IFERROR(__xludf.DUMMYFUNCTION("""COMPUTED_VALUE"""),20691.0)</f>
        <v>20691</v>
      </c>
      <c r="B1421" s="3" t="str">
        <f>IFERROR(__xludf.DUMMYFUNCTION("""COMPUTED_VALUE"""),"10100 COMMUNITY CENTRE RD")</f>
        <v>10100 COMMUNITY CENTRE RD</v>
      </c>
      <c r="C1421" s="3" t="str">
        <f>IFERROR(__xludf.DUMMYFUNCTION("""COMPUTED_VALUE"""),"BALTIMORE")</f>
        <v>BALTIMORE</v>
      </c>
      <c r="D1421" s="3" t="str">
        <f>IFERROR(__xludf.DUMMYFUNCTION("""COMPUTED_VALUE"""),"K0K 1C0")</f>
        <v>K0K 1C0</v>
      </c>
      <c r="E1421" s="3" t="str">
        <f>IFERROR(__xludf.DUMMYFUNCTION("""COMPUTED_VALUE"""),"TYLER SOKOLJUK")</f>
        <v>TYLER SOKOLJUK</v>
      </c>
      <c r="F1421" s="3" t="str">
        <f>IFERROR(__xludf.DUMMYFUNCTION("""COMPUTED_VALUE"""),"skolnic@gmail.com")</f>
        <v>skolnic@gmail.com</v>
      </c>
      <c r="G1421" s="3"/>
      <c r="H1421" s="3"/>
    </row>
    <row r="1422">
      <c r="A1422" s="2">
        <f>IFERROR(__xludf.DUMMYFUNCTION("""COMPUTED_VALUE"""),20747.0)</f>
        <v>20747</v>
      </c>
      <c r="B1422" s="3" t="str">
        <f>IFERROR(__xludf.DUMMYFUNCTION("""COMPUTED_VALUE"""),"10110 COMMUNITY CENTRE RD")</f>
        <v>10110 COMMUNITY CENTRE RD</v>
      </c>
      <c r="C1422" s="3" t="str">
        <f>IFERROR(__xludf.DUMMYFUNCTION("""COMPUTED_VALUE"""),"BALTIMORE")</f>
        <v>BALTIMORE</v>
      </c>
      <c r="D1422" s="3" t="str">
        <f>IFERROR(__xludf.DUMMYFUNCTION("""COMPUTED_VALUE"""),"K0K 1C0")</f>
        <v>K0K 1C0</v>
      </c>
      <c r="E1422" s="3" t="str">
        <f>IFERROR(__xludf.DUMMYFUNCTION("""COMPUTED_VALUE"""),"Tyler Sokoljuk")</f>
        <v>Tyler Sokoljuk</v>
      </c>
      <c r="F1422" s="3" t="str">
        <f>IFERROR(__xludf.DUMMYFUNCTION("""COMPUTED_VALUE"""),"skolnic@gmail.com")</f>
        <v>skolnic@gmail.com</v>
      </c>
      <c r="G1422" s="3">
        <f>IFERROR(__xludf.DUMMYFUNCTION("""COMPUTED_VALUE"""),9.053732694E9)</f>
        <v>9053732694</v>
      </c>
      <c r="H1422" s="3"/>
    </row>
    <row r="1423">
      <c r="A1423" s="2">
        <f>IFERROR(__xludf.DUMMYFUNCTION("""COMPUTED_VALUE"""),20692.0)</f>
        <v>20692</v>
      </c>
      <c r="B1423" s="3" t="str">
        <f>IFERROR(__xludf.DUMMYFUNCTION("""COMPUTED_VALUE"""),"10171 COMMUNITY CENTRE RD")</f>
        <v>10171 COMMUNITY CENTRE RD</v>
      </c>
      <c r="C1423" s="3" t="str">
        <f>IFERROR(__xludf.DUMMYFUNCTION("""COMPUTED_VALUE"""),"BALTIMORE")</f>
        <v>BALTIMORE</v>
      </c>
      <c r="D1423" s="3" t="str">
        <f>IFERROR(__xludf.DUMMYFUNCTION("""COMPUTED_VALUE"""),"K0K 1C0")</f>
        <v>K0K 1C0</v>
      </c>
      <c r="E1423" s="3" t="str">
        <f>IFERROR(__xludf.DUMMYFUNCTION("""COMPUTED_VALUE"""),"joshua laron")</f>
        <v>joshua laron</v>
      </c>
      <c r="F1423" s="3" t="str">
        <f>IFERROR(__xludf.DUMMYFUNCTION("""COMPUTED_VALUE"""),"jalron1998@gmail.com")</f>
        <v>jalron1998@gmail.com</v>
      </c>
      <c r="G1423" s="3">
        <f>IFERROR(__xludf.DUMMYFUNCTION("""COMPUTED_VALUE"""),2.892513448E9)</f>
        <v>2892513448</v>
      </c>
      <c r="H1423" s="3"/>
    </row>
    <row r="1424">
      <c r="A1424" s="2">
        <f>IFERROR(__xludf.DUMMYFUNCTION("""COMPUTED_VALUE"""),20748.0)</f>
        <v>20748</v>
      </c>
      <c r="B1424" s="3" t="str">
        <f>IFERROR(__xludf.DUMMYFUNCTION("""COMPUTED_VALUE"""),"10224 COMMUNITY CENTRE RD")</f>
        <v>10224 COMMUNITY CENTRE RD</v>
      </c>
      <c r="C1424" s="3" t="str">
        <f>IFERROR(__xludf.DUMMYFUNCTION("""COMPUTED_VALUE"""),"BALTIMORE")</f>
        <v>BALTIMORE</v>
      </c>
      <c r="D1424" s="3" t="str">
        <f>IFERROR(__xludf.DUMMYFUNCTION("""COMPUTED_VALUE"""),"K0K 1C0")</f>
        <v>K0K 1C0</v>
      </c>
      <c r="E1424" s="3"/>
      <c r="F1424" s="3"/>
      <c r="G1424" s="3"/>
      <c r="H1424" s="3"/>
    </row>
    <row r="1425">
      <c r="A1425" s="2">
        <f>IFERROR(__xludf.DUMMYFUNCTION("""COMPUTED_VALUE"""),20749.0)</f>
        <v>20749</v>
      </c>
      <c r="B1425" s="3" t="str">
        <f>IFERROR(__xludf.DUMMYFUNCTION("""COMPUTED_VALUE"""),"10264 COMMUNITY CENTRE RD")</f>
        <v>10264 COMMUNITY CENTRE RD</v>
      </c>
      <c r="C1425" s="3" t="str">
        <f>IFERROR(__xludf.DUMMYFUNCTION("""COMPUTED_VALUE"""),"BALTIMORE")</f>
        <v>BALTIMORE</v>
      </c>
      <c r="D1425" s="3" t="str">
        <f>IFERROR(__xludf.DUMMYFUNCTION("""COMPUTED_VALUE"""),"K0K 1C0")</f>
        <v>K0K 1C0</v>
      </c>
      <c r="E1425" s="3" t="str">
        <f>IFERROR(__xludf.DUMMYFUNCTION("""COMPUTED_VALUE"""),"Kerry Kameka")</f>
        <v>Kerry Kameka</v>
      </c>
      <c r="F1425" s="3" t="str">
        <f>IFERROR(__xludf.DUMMYFUNCTION("""COMPUTED_VALUE"""),"mz.kameka@live.ca")</f>
        <v>mz.kameka@live.ca</v>
      </c>
      <c r="G1425" s="3"/>
      <c r="H1425" s="3"/>
    </row>
    <row r="1426">
      <c r="A1426" s="2">
        <f>IFERROR(__xludf.DUMMYFUNCTION("""COMPUTED_VALUE"""),20770.0)</f>
        <v>20770</v>
      </c>
      <c r="B1426" s="3" t="str">
        <f>IFERROR(__xludf.DUMMYFUNCTION("""COMPUTED_VALUE"""),"10272 COMMUNITY CENTRE RD")</f>
        <v>10272 COMMUNITY CENTRE RD</v>
      </c>
      <c r="C1426" s="3" t="str">
        <f>IFERROR(__xludf.DUMMYFUNCTION("""COMPUTED_VALUE"""),"BALTIMORE")</f>
        <v>BALTIMORE</v>
      </c>
      <c r="D1426" s="3" t="str">
        <f>IFERROR(__xludf.DUMMYFUNCTION("""COMPUTED_VALUE"""),"K0K 1C0")</f>
        <v>K0K 1C0</v>
      </c>
      <c r="E1426" s="3"/>
      <c r="F1426" s="3"/>
      <c r="G1426" s="3"/>
      <c r="H1426" s="3"/>
    </row>
    <row r="1427">
      <c r="A1427" s="2">
        <f>IFERROR(__xludf.DUMMYFUNCTION("""COMPUTED_VALUE"""),20750.0)</f>
        <v>20750</v>
      </c>
      <c r="B1427" s="3" t="str">
        <f>IFERROR(__xludf.DUMMYFUNCTION("""COMPUTED_VALUE"""),"10286 COMMUNITY CENTRE RD")</f>
        <v>10286 COMMUNITY CENTRE RD</v>
      </c>
      <c r="C1427" s="3" t="str">
        <f>IFERROR(__xludf.DUMMYFUNCTION("""COMPUTED_VALUE"""),"BALTIMORE")</f>
        <v>BALTIMORE</v>
      </c>
      <c r="D1427" s="3" t="str">
        <f>IFERROR(__xludf.DUMMYFUNCTION("""COMPUTED_VALUE"""),"K0K 1C0")</f>
        <v>K0K 1C0</v>
      </c>
      <c r="E1427" s="3"/>
      <c r="F1427" s="3"/>
      <c r="G1427" s="3"/>
      <c r="H1427" s="3"/>
    </row>
    <row r="1428">
      <c r="A1428" s="2">
        <f>IFERROR(__xludf.DUMMYFUNCTION("""COMPUTED_VALUE"""),20751.0)</f>
        <v>20751</v>
      </c>
      <c r="B1428" s="3" t="str">
        <f>IFERROR(__xludf.DUMMYFUNCTION("""COMPUTED_VALUE"""),"10326 COMMUNITY CENTRE RD")</f>
        <v>10326 COMMUNITY CENTRE RD</v>
      </c>
      <c r="C1428" s="3" t="str">
        <f>IFERROR(__xludf.DUMMYFUNCTION("""COMPUTED_VALUE"""),"BALTIMORE")</f>
        <v>BALTIMORE</v>
      </c>
      <c r="D1428" s="3" t="str">
        <f>IFERROR(__xludf.DUMMYFUNCTION("""COMPUTED_VALUE"""),"K0K 1C0")</f>
        <v>K0K 1C0</v>
      </c>
      <c r="E1428" s="3" t="str">
        <f>IFERROR(__xludf.DUMMYFUNCTION("""COMPUTED_VALUE"""),"michael brabrook")</f>
        <v>michael brabrook</v>
      </c>
      <c r="F1428" s="3" t="str">
        <f>IFERROR(__xludf.DUMMYFUNCTION("""COMPUTED_VALUE"""),"michaelbrabrook1@gmail.com")</f>
        <v>michaelbrabrook1@gmail.com</v>
      </c>
      <c r="G1428" s="3">
        <f>IFERROR(__xludf.DUMMYFUNCTION("""COMPUTED_VALUE"""),9.054660179E9)</f>
        <v>9054660179</v>
      </c>
      <c r="H1428" s="3"/>
    </row>
    <row r="1429">
      <c r="A1429" s="2">
        <f>IFERROR(__xludf.DUMMYFUNCTION("""COMPUTED_VALUE"""),20752.0)</f>
        <v>20752</v>
      </c>
      <c r="B1429" s="3" t="str">
        <f>IFERROR(__xludf.DUMMYFUNCTION("""COMPUTED_VALUE"""),"10384 COMMUNITY CENTRE RD")</f>
        <v>10384 COMMUNITY CENTRE RD</v>
      </c>
      <c r="C1429" s="3" t="str">
        <f>IFERROR(__xludf.DUMMYFUNCTION("""COMPUTED_VALUE"""),"BALTIMORE")</f>
        <v>BALTIMORE</v>
      </c>
      <c r="D1429" s="3" t="str">
        <f>IFERROR(__xludf.DUMMYFUNCTION("""COMPUTED_VALUE"""),"K0K 1C0")</f>
        <v>K0K 1C0</v>
      </c>
      <c r="E1429" s="3" t="str">
        <f>IFERROR(__xludf.DUMMYFUNCTION("""COMPUTED_VALUE"""),"steve shortt")</f>
        <v>steve shortt</v>
      </c>
      <c r="F1429" s="3" t="str">
        <f>IFERROR(__xludf.DUMMYFUNCTION("""COMPUTED_VALUE"""),"steveshortt65@gmail.com")</f>
        <v>steveshortt65@gmail.com</v>
      </c>
      <c r="G1429" s="3">
        <f>IFERROR(__xludf.DUMMYFUNCTION("""COMPUTED_VALUE"""),2.892512364E9)</f>
        <v>2892512364</v>
      </c>
      <c r="H1429" s="3">
        <f>IFERROR(__xludf.DUMMYFUNCTION("""COMPUTED_VALUE"""),2.892511076E9)</f>
        <v>2892511076</v>
      </c>
    </row>
    <row r="1430">
      <c r="A1430" s="2">
        <f>IFERROR(__xludf.DUMMYFUNCTION("""COMPUTED_VALUE"""),20753.0)</f>
        <v>20753</v>
      </c>
      <c r="B1430" s="3" t="str">
        <f>IFERROR(__xludf.DUMMYFUNCTION("""COMPUTED_VALUE"""),"10390 COMMUNITY CENTRE RD")</f>
        <v>10390 COMMUNITY CENTRE RD</v>
      </c>
      <c r="C1430" s="3" t="str">
        <f>IFERROR(__xludf.DUMMYFUNCTION("""COMPUTED_VALUE"""),"BALTIMORE")</f>
        <v>BALTIMORE</v>
      </c>
      <c r="D1430" s="3" t="str">
        <f>IFERROR(__xludf.DUMMYFUNCTION("""COMPUTED_VALUE"""),"K0K 1C0")</f>
        <v>K0K 1C0</v>
      </c>
      <c r="E1430" s="3" t="str">
        <f>IFERROR(__xludf.DUMMYFUNCTION("""COMPUTED_VALUE"""),"Michael Niesar")</f>
        <v>Michael Niesar</v>
      </c>
      <c r="F1430" s="3" t="str">
        <f>IFERROR(__xludf.DUMMYFUNCTION("""COMPUTED_VALUE"""),"myshar89@gmail.com")</f>
        <v>myshar89@gmail.com</v>
      </c>
      <c r="G1430" s="3"/>
      <c r="H1430" s="3"/>
    </row>
    <row r="1431">
      <c r="A1431" s="2">
        <f>IFERROR(__xludf.DUMMYFUNCTION("""COMPUTED_VALUE"""),20754.0)</f>
        <v>20754</v>
      </c>
      <c r="B1431" s="3" t="str">
        <f>IFERROR(__xludf.DUMMYFUNCTION("""COMPUTED_VALUE"""),"10441 COMMUNITY CENTRE RD")</f>
        <v>10441 COMMUNITY CENTRE RD</v>
      </c>
      <c r="C1431" s="3" t="str">
        <f>IFERROR(__xludf.DUMMYFUNCTION("""COMPUTED_VALUE"""),"BALTIMORE")</f>
        <v>BALTIMORE</v>
      </c>
      <c r="D1431" s="3" t="str">
        <f>IFERROR(__xludf.DUMMYFUNCTION("""COMPUTED_VALUE"""),"K0K 1C0")</f>
        <v>K0K 1C0</v>
      </c>
      <c r="E1431" s="3" t="str">
        <f>IFERROR(__xludf.DUMMYFUNCTION("""COMPUTED_VALUE"""),"Aird John")</f>
        <v>Aird John</v>
      </c>
      <c r="F1431" s="3"/>
      <c r="G1431" s="3"/>
      <c r="H1431" s="3"/>
    </row>
    <row r="1432">
      <c r="A1432" s="2">
        <f>IFERROR(__xludf.DUMMYFUNCTION("""COMPUTED_VALUE"""),20755.0)</f>
        <v>20755</v>
      </c>
      <c r="B1432" s="3" t="str">
        <f>IFERROR(__xludf.DUMMYFUNCTION("""COMPUTED_VALUE"""),"10469 COMMUNITY CENTRE RD")</f>
        <v>10469 COMMUNITY CENTRE RD</v>
      </c>
      <c r="C1432" s="3" t="str">
        <f>IFERROR(__xludf.DUMMYFUNCTION("""COMPUTED_VALUE"""),"BALTIMORE")</f>
        <v>BALTIMORE</v>
      </c>
      <c r="D1432" s="3" t="str">
        <f>IFERROR(__xludf.DUMMYFUNCTION("""COMPUTED_VALUE"""),"K0K 1C0")</f>
        <v>K0K 1C0</v>
      </c>
      <c r="E1432" s="3"/>
      <c r="F1432" s="3"/>
      <c r="G1432" s="3"/>
      <c r="H1432" s="3"/>
    </row>
    <row r="1433">
      <c r="A1433" s="2">
        <f>IFERROR(__xludf.DUMMYFUNCTION("""COMPUTED_VALUE"""),20756.0)</f>
        <v>20756</v>
      </c>
      <c r="B1433" s="3" t="str">
        <f>IFERROR(__xludf.DUMMYFUNCTION("""COMPUTED_VALUE"""),"10481 COMMUNITY CENTRE RD")</f>
        <v>10481 COMMUNITY CENTRE RD</v>
      </c>
      <c r="C1433" s="3" t="str">
        <f>IFERROR(__xludf.DUMMYFUNCTION("""COMPUTED_VALUE"""),"BALTIMORE")</f>
        <v>BALTIMORE</v>
      </c>
      <c r="D1433" s="3" t="str">
        <f>IFERROR(__xludf.DUMMYFUNCTION("""COMPUTED_VALUE"""),"K0K 1C0")</f>
        <v>K0K 1C0</v>
      </c>
      <c r="E1433" s="3"/>
      <c r="F1433" s="3"/>
      <c r="G1433" s="3"/>
      <c r="H1433" s="3"/>
    </row>
    <row r="1434">
      <c r="A1434" s="2">
        <f>IFERROR(__xludf.DUMMYFUNCTION("""COMPUTED_VALUE"""),20757.0)</f>
        <v>20757</v>
      </c>
      <c r="B1434" s="3" t="str">
        <f>IFERROR(__xludf.DUMMYFUNCTION("""COMPUTED_VALUE"""),"10506 COMMUNITY CENTRE RD")</f>
        <v>10506 COMMUNITY CENTRE RD</v>
      </c>
      <c r="C1434" s="3" t="str">
        <f>IFERROR(__xludf.DUMMYFUNCTION("""COMPUTED_VALUE"""),"BALTIMORE")</f>
        <v>BALTIMORE</v>
      </c>
      <c r="D1434" s="3" t="str">
        <f>IFERROR(__xludf.DUMMYFUNCTION("""COMPUTED_VALUE"""),"K0K 1C0")</f>
        <v>K0K 1C0</v>
      </c>
      <c r="E1434" s="3"/>
      <c r="F1434" s="3"/>
      <c r="G1434" s="3"/>
      <c r="H1434" s="3"/>
    </row>
    <row r="1435">
      <c r="A1435" s="2">
        <f>IFERROR(__xludf.DUMMYFUNCTION("""COMPUTED_VALUE"""),20758.0)</f>
        <v>20758</v>
      </c>
      <c r="B1435" s="3" t="str">
        <f>IFERROR(__xludf.DUMMYFUNCTION("""COMPUTED_VALUE"""),"10539 COMMUNITY CENTRE RD")</f>
        <v>10539 COMMUNITY CENTRE RD</v>
      </c>
      <c r="C1435" s="3" t="str">
        <f>IFERROR(__xludf.DUMMYFUNCTION("""COMPUTED_VALUE"""),"BALTIMORE")</f>
        <v>BALTIMORE</v>
      </c>
      <c r="D1435" s="3" t="str">
        <f>IFERROR(__xludf.DUMMYFUNCTION("""COMPUTED_VALUE"""),"K0K 1C0")</f>
        <v>K0K 1C0</v>
      </c>
      <c r="E1435" s="3" t="str">
        <f>IFERROR(__xludf.DUMMYFUNCTION("""COMPUTED_VALUE"""),"gavin ivory ")</f>
        <v>gavin ivory </v>
      </c>
      <c r="F1435" s="3" t="str">
        <f>IFERROR(__xludf.DUMMYFUNCTION("""COMPUTED_VALUE"""),"gavin.j.ivory@gmail.com")</f>
        <v>gavin.j.ivory@gmail.com</v>
      </c>
      <c r="G1435" s="3">
        <f>IFERROR(__xludf.DUMMYFUNCTION("""COMPUTED_VALUE"""),4.167253078E9)</f>
        <v>4167253078</v>
      </c>
      <c r="H1435" s="3"/>
    </row>
    <row r="1436">
      <c r="A1436" s="2">
        <f>IFERROR(__xludf.DUMMYFUNCTION("""COMPUTED_VALUE"""),20759.0)</f>
        <v>20759</v>
      </c>
      <c r="B1436" s="3" t="str">
        <f>IFERROR(__xludf.DUMMYFUNCTION("""COMPUTED_VALUE"""),"10572 COMMUNITY CENTRE RD")</f>
        <v>10572 COMMUNITY CENTRE RD</v>
      </c>
      <c r="C1436" s="3" t="str">
        <f>IFERROR(__xludf.DUMMYFUNCTION("""COMPUTED_VALUE"""),"BALTIMORE")</f>
        <v>BALTIMORE</v>
      </c>
      <c r="D1436" s="3" t="str">
        <f>IFERROR(__xludf.DUMMYFUNCTION("""COMPUTED_VALUE"""),"K0K 1C0")</f>
        <v>K0K 1C0</v>
      </c>
      <c r="E1436" s="3" t="str">
        <f>IFERROR(__xludf.DUMMYFUNCTION("""COMPUTED_VALUE"""),"RICHARD SZYMCZYK")</f>
        <v>RICHARD SZYMCZYK</v>
      </c>
      <c r="F1436" s="3" t="str">
        <f>IFERROR(__xludf.DUMMYFUNCTION("""COMPUTED_VALUE"""),"prof2u@live.ca")</f>
        <v>prof2u@live.ca</v>
      </c>
      <c r="G1436" s="3">
        <f>IFERROR(__xludf.DUMMYFUNCTION("""COMPUTED_VALUE"""),2.89677135E9)</f>
        <v>2896771350</v>
      </c>
      <c r="H1436" s="3"/>
    </row>
    <row r="1437">
      <c r="A1437" s="2">
        <f>IFERROR(__xludf.DUMMYFUNCTION("""COMPUTED_VALUE"""),20760.0)</f>
        <v>20760</v>
      </c>
      <c r="B1437" s="3" t="str">
        <f>IFERROR(__xludf.DUMMYFUNCTION("""COMPUTED_VALUE"""),"10612 COMMUNITY CENTRE RD")</f>
        <v>10612 COMMUNITY CENTRE RD</v>
      </c>
      <c r="C1437" s="3" t="str">
        <f>IFERROR(__xludf.DUMMYFUNCTION("""COMPUTED_VALUE"""),"BALTIMORE")</f>
        <v>BALTIMORE</v>
      </c>
      <c r="D1437" s="3" t="str">
        <f>IFERROR(__xludf.DUMMYFUNCTION("""COMPUTED_VALUE"""),"K0K 1C0")</f>
        <v>K0K 1C0</v>
      </c>
      <c r="E1437" s="3"/>
      <c r="F1437" s="3"/>
      <c r="G1437" s="3"/>
      <c r="H1437" s="3"/>
    </row>
    <row r="1438">
      <c r="A1438" s="2">
        <f>IFERROR(__xludf.DUMMYFUNCTION("""COMPUTED_VALUE"""),20761.0)</f>
        <v>20761</v>
      </c>
      <c r="B1438" s="3" t="str">
        <f>IFERROR(__xludf.DUMMYFUNCTION("""COMPUTED_VALUE"""),"10613 COMMUNITY CENTRE RD")</f>
        <v>10613 COMMUNITY CENTRE RD</v>
      </c>
      <c r="C1438" s="3" t="str">
        <f>IFERROR(__xludf.DUMMYFUNCTION("""COMPUTED_VALUE"""),"BALTIMORE")</f>
        <v>BALTIMORE</v>
      </c>
      <c r="D1438" s="3" t="str">
        <f>IFERROR(__xludf.DUMMYFUNCTION("""COMPUTED_VALUE"""),"K0K 1C0")</f>
        <v>K0K 1C0</v>
      </c>
      <c r="E1438" s="3"/>
      <c r="F1438" s="3"/>
      <c r="G1438" s="3"/>
      <c r="H1438" s="3"/>
    </row>
    <row r="1439">
      <c r="A1439" s="2">
        <f>IFERROR(__xludf.DUMMYFUNCTION("""COMPUTED_VALUE"""),20762.0)</f>
        <v>20762</v>
      </c>
      <c r="B1439" s="3" t="str">
        <f>IFERROR(__xludf.DUMMYFUNCTION("""COMPUTED_VALUE"""),"10664 COMMUNITY CENTRE RD")</f>
        <v>10664 COMMUNITY CENTRE RD</v>
      </c>
      <c r="C1439" s="3" t="str">
        <f>IFERROR(__xludf.DUMMYFUNCTION("""COMPUTED_VALUE"""),"BALTIMORE")</f>
        <v>BALTIMORE</v>
      </c>
      <c r="D1439" s="3" t="str">
        <f>IFERROR(__xludf.DUMMYFUNCTION("""COMPUTED_VALUE"""),"K0K 1C0")</f>
        <v>K0K 1C0</v>
      </c>
      <c r="E1439" s="3" t="str">
        <f>IFERROR(__xludf.DUMMYFUNCTION("""COMPUTED_VALUE"""),"Ken Hodgson&amp;Susan Hale")</f>
        <v>Ken Hodgson&amp;Susan Hale</v>
      </c>
      <c r="F1439" s="4" t="str">
        <f>IFERROR(__xludf.DUMMYFUNCTION("""COMPUTED_VALUE"""),"ken2kjhodgsonpeng.com")</f>
        <v>ken2kjhodgsonpeng.com</v>
      </c>
      <c r="G1439" s="3">
        <f>IFERROR(__xludf.DUMMYFUNCTION("""COMPUTED_VALUE"""),9.05349238E9)</f>
        <v>9053492380</v>
      </c>
      <c r="H1439" s="3"/>
    </row>
    <row r="1440">
      <c r="A1440" s="2">
        <f>IFERROR(__xludf.DUMMYFUNCTION("""COMPUTED_VALUE"""),20763.0)</f>
        <v>20763</v>
      </c>
      <c r="B1440" s="3" t="str">
        <f>IFERROR(__xludf.DUMMYFUNCTION("""COMPUTED_VALUE"""),"10665 COMMUNITY CENTRE RD")</f>
        <v>10665 COMMUNITY CENTRE RD</v>
      </c>
      <c r="C1440" s="3" t="str">
        <f>IFERROR(__xludf.DUMMYFUNCTION("""COMPUTED_VALUE"""),"BALTIMORE")</f>
        <v>BALTIMORE</v>
      </c>
      <c r="D1440" s="3" t="str">
        <f>IFERROR(__xludf.DUMMYFUNCTION("""COMPUTED_VALUE"""),"K0K 1C0")</f>
        <v>K0K 1C0</v>
      </c>
      <c r="E1440" s="3" t="str">
        <f>IFERROR(__xludf.DUMMYFUNCTION("""COMPUTED_VALUE"""),"Greg Booth ")</f>
        <v>Greg Booth </v>
      </c>
      <c r="F1440" s="3" t="str">
        <f>IFERROR(__xludf.DUMMYFUNCTION("""COMPUTED_VALUE"""),"gmbooth61@gmail.com")</f>
        <v>gmbooth61@gmail.com</v>
      </c>
      <c r="G1440" s="3"/>
      <c r="H1440" s="3"/>
    </row>
    <row r="1441">
      <c r="A1441" s="2">
        <f>IFERROR(__xludf.DUMMYFUNCTION("""COMPUTED_VALUE"""),20809.0)</f>
        <v>20809</v>
      </c>
      <c r="B1441" s="3" t="str">
        <f>IFERROR(__xludf.DUMMYFUNCTION("""COMPUTED_VALUE"""),"9503 CORKERY RD")</f>
        <v>9503 CORKERY RD</v>
      </c>
      <c r="C1441" s="3" t="str">
        <f>IFERROR(__xludf.DUMMYFUNCTION("""COMPUTED_VALUE"""),"BALTIMORE")</f>
        <v>BALTIMORE</v>
      </c>
      <c r="D1441" s="3" t="str">
        <f>IFERROR(__xludf.DUMMYFUNCTION("""COMPUTED_VALUE"""),"K0K 1C0")</f>
        <v>K0K 1C0</v>
      </c>
      <c r="E1441" s="3" t="str">
        <f>IFERROR(__xludf.DUMMYFUNCTION("""COMPUTED_VALUE"""),"David Nevin")</f>
        <v>David Nevin</v>
      </c>
      <c r="F1441" s="3" t="str">
        <f>IFERROR(__xludf.DUMMYFUNCTION("""COMPUTED_VALUE"""),"legacy5704@gmail.com")</f>
        <v>legacy5704@gmail.com</v>
      </c>
      <c r="G1441" s="3">
        <f>IFERROR(__xludf.DUMMYFUNCTION("""COMPUTED_VALUE"""),6.478805704E9)</f>
        <v>6478805704</v>
      </c>
      <c r="H1441" s="3"/>
    </row>
    <row r="1442">
      <c r="A1442" s="2">
        <f>IFERROR(__xludf.DUMMYFUNCTION("""COMPUTED_VALUE"""),20810.0)</f>
        <v>20810</v>
      </c>
      <c r="B1442" s="3" t="str">
        <f>IFERROR(__xludf.DUMMYFUNCTION("""COMPUTED_VALUE"""),"9516 CORKERY RD")</f>
        <v>9516 CORKERY RD</v>
      </c>
      <c r="C1442" s="3" t="str">
        <f>IFERROR(__xludf.DUMMYFUNCTION("""COMPUTED_VALUE"""),"BALTIMORE")</f>
        <v>BALTIMORE</v>
      </c>
      <c r="D1442" s="3" t="str">
        <f>IFERROR(__xludf.DUMMYFUNCTION("""COMPUTED_VALUE"""),"K0K 1C0")</f>
        <v>K0K 1C0</v>
      </c>
      <c r="E1442" s="3" t="str">
        <f>IFERROR(__xludf.DUMMYFUNCTION("""COMPUTED_VALUE"""),"murray harris")</f>
        <v>murray harris</v>
      </c>
      <c r="F1442" s="3" t="str">
        <f>IFERROR(__xludf.DUMMYFUNCTION("""COMPUTED_VALUE"""),"mharris999@xplorenet.ca")</f>
        <v>mharris999@xplorenet.ca</v>
      </c>
      <c r="G1442" s="3">
        <f>IFERROR(__xludf.DUMMYFUNCTION("""COMPUTED_VALUE"""),9.053423646E9)</f>
        <v>9053423646</v>
      </c>
      <c r="H1442" s="3"/>
    </row>
    <row r="1443">
      <c r="A1443" s="2">
        <f>IFERROR(__xludf.DUMMYFUNCTION("""COMPUTED_VALUE"""),20811.0)</f>
        <v>20811</v>
      </c>
      <c r="B1443" s="3" t="str">
        <f>IFERROR(__xludf.DUMMYFUNCTION("""COMPUTED_VALUE"""),"9563 CORKERY RD")</f>
        <v>9563 CORKERY RD</v>
      </c>
      <c r="C1443" s="3" t="str">
        <f>IFERROR(__xludf.DUMMYFUNCTION("""COMPUTED_VALUE"""),"BALTIMORE")</f>
        <v>BALTIMORE</v>
      </c>
      <c r="D1443" s="3" t="str">
        <f>IFERROR(__xludf.DUMMYFUNCTION("""COMPUTED_VALUE"""),"K0K 1C0")</f>
        <v>K0K 1C0</v>
      </c>
      <c r="E1443" s="3" t="str">
        <f>IFERROR(__xludf.DUMMYFUNCTION("""COMPUTED_VALUE"""),"greg draper")</f>
        <v>greg draper</v>
      </c>
      <c r="F1443" s="3" t="str">
        <f>IFERROR(__xludf.DUMMYFUNCTION("""COMPUTED_VALUE"""),"gregorypdraper@gmail.com")</f>
        <v>gregorypdraper@gmail.com</v>
      </c>
      <c r="G1443" s="3">
        <f>IFERROR(__xludf.DUMMYFUNCTION("""COMPUTED_VALUE"""),4.162627751E9)</f>
        <v>4162627751</v>
      </c>
      <c r="H1443" s="3"/>
    </row>
    <row r="1444">
      <c r="A1444" s="2">
        <f>IFERROR(__xludf.DUMMYFUNCTION("""COMPUTED_VALUE"""),20812.0)</f>
        <v>20812</v>
      </c>
      <c r="B1444" s="3" t="str">
        <f>IFERROR(__xludf.DUMMYFUNCTION("""COMPUTED_VALUE"""),"9585 CORKERY RD")</f>
        <v>9585 CORKERY RD</v>
      </c>
      <c r="C1444" s="3" t="str">
        <f>IFERROR(__xludf.DUMMYFUNCTION("""COMPUTED_VALUE"""),"BALTIMORE")</f>
        <v>BALTIMORE</v>
      </c>
      <c r="D1444" s="3" t="str">
        <f>IFERROR(__xludf.DUMMYFUNCTION("""COMPUTED_VALUE"""),"K0K 1C0")</f>
        <v>K0K 1C0</v>
      </c>
      <c r="E1444" s="3" t="str">
        <f>IFERROR(__xludf.DUMMYFUNCTION("""COMPUTED_VALUE"""),"terri hamel ")</f>
        <v>terri hamel </v>
      </c>
      <c r="F1444" s="3"/>
      <c r="G1444" s="3">
        <f>IFERROR(__xludf.DUMMYFUNCTION("""COMPUTED_VALUE"""),6.136174335E9)</f>
        <v>6136174335</v>
      </c>
      <c r="H1444" s="3"/>
    </row>
    <row r="1445">
      <c r="A1445" s="2">
        <f>IFERROR(__xludf.DUMMYFUNCTION("""COMPUTED_VALUE"""),20813.0)</f>
        <v>20813</v>
      </c>
      <c r="B1445" s="3" t="str">
        <f>IFERROR(__xludf.DUMMYFUNCTION("""COMPUTED_VALUE"""),"9603 CORKERY RD")</f>
        <v>9603 CORKERY RD</v>
      </c>
      <c r="C1445" s="3" t="str">
        <f>IFERROR(__xludf.DUMMYFUNCTION("""COMPUTED_VALUE"""),"BALTIMORE")</f>
        <v>BALTIMORE</v>
      </c>
      <c r="D1445" s="3" t="str">
        <f>IFERROR(__xludf.DUMMYFUNCTION("""COMPUTED_VALUE"""),"K0K 1C0")</f>
        <v>K0K 1C0</v>
      </c>
      <c r="E1445" s="3" t="str">
        <f>IFERROR(__xludf.DUMMYFUNCTION("""COMPUTED_VALUE"""),"dave rawthorpe")</f>
        <v>dave rawthorpe</v>
      </c>
      <c r="F1445" s="3" t="str">
        <f>IFERROR(__xludf.DUMMYFUNCTION("""COMPUTED_VALUE"""),"drainthorpe@hotmail.com")</f>
        <v>drainthorpe@hotmail.com</v>
      </c>
      <c r="G1445" s="3">
        <f>IFERROR(__xludf.DUMMYFUNCTION("""COMPUTED_VALUE"""),2.493871093E9)</f>
        <v>2493871093</v>
      </c>
      <c r="H1445" s="3"/>
    </row>
    <row r="1446">
      <c r="A1446" s="2">
        <f>IFERROR(__xludf.DUMMYFUNCTION("""COMPUTED_VALUE"""),20814.0)</f>
        <v>20814</v>
      </c>
      <c r="B1446" s="3" t="str">
        <f>IFERROR(__xludf.DUMMYFUNCTION("""COMPUTED_VALUE"""),"9606 CORKERY RD")</f>
        <v>9606 CORKERY RD</v>
      </c>
      <c r="C1446" s="3" t="str">
        <f>IFERROR(__xludf.DUMMYFUNCTION("""COMPUTED_VALUE"""),"BALTIMORE")</f>
        <v>BALTIMORE</v>
      </c>
      <c r="D1446" s="3" t="str">
        <f>IFERROR(__xludf.DUMMYFUNCTION("""COMPUTED_VALUE"""),"K0K 1C0")</f>
        <v>K0K 1C0</v>
      </c>
      <c r="E1446" s="3"/>
      <c r="F1446" s="3"/>
      <c r="G1446" s="3"/>
      <c r="H1446" s="3"/>
    </row>
    <row r="1447">
      <c r="A1447" s="2">
        <f>IFERROR(__xludf.DUMMYFUNCTION("""COMPUTED_VALUE"""),20290.0)</f>
        <v>20290</v>
      </c>
      <c r="B1447" s="3" t="str">
        <f>IFERROR(__xludf.DUMMYFUNCTION("""COMPUTED_VALUE"""),"218 BULL'S MILL RD")</f>
        <v>218 BULL'S MILL RD</v>
      </c>
      <c r="C1447" s="3" t="str">
        <f>IFERROR(__xludf.DUMMYFUNCTION("""COMPUTED_VALUE"""),"BALTIMORE")</f>
        <v>BALTIMORE</v>
      </c>
      <c r="D1447" s="3" t="str">
        <f>IFERROR(__xludf.DUMMYFUNCTION("""COMPUTED_VALUE"""),"K0K 1C0")</f>
        <v>K0K 1C0</v>
      </c>
      <c r="E1447" s="3" t="str">
        <f>IFERROR(__xludf.DUMMYFUNCTION("""COMPUTED_VALUE"""),"Andrew McKean")</f>
        <v>Andrew McKean</v>
      </c>
      <c r="F1447" s="3" t="str">
        <f>IFERROR(__xludf.DUMMYFUNCTION("""COMPUTED_VALUE"""),"laurie.andy.mckean@gmail.com")</f>
        <v>laurie.andy.mckean@gmail.com</v>
      </c>
      <c r="G1447" s="3">
        <f>IFERROR(__xludf.DUMMYFUNCTION("""COMPUTED_VALUE"""),4.169884947E9)</f>
        <v>4169884947</v>
      </c>
      <c r="H1447" s="3"/>
    </row>
    <row r="1448">
      <c r="A1448" s="2">
        <f>IFERROR(__xludf.DUMMYFUNCTION("""COMPUTED_VALUE"""),20623.0)</f>
        <v>20623</v>
      </c>
      <c r="B1448" s="3" t="str">
        <f>IFERROR(__xludf.DUMMYFUNCTION("""COMPUTED_VALUE"""),"9477 CEDAR CREEK TRAIL")</f>
        <v>9477 CEDAR CREEK TRAIL</v>
      </c>
      <c r="C1448" s="3" t="str">
        <f>IFERROR(__xludf.DUMMYFUNCTION("""COMPUTED_VALUE"""),"BALTIMORE")</f>
        <v>BALTIMORE</v>
      </c>
      <c r="D1448" s="3" t="str">
        <f>IFERROR(__xludf.DUMMYFUNCTION("""COMPUTED_VALUE"""),"K0K 1C0")</f>
        <v>K0K 1C0</v>
      </c>
      <c r="E1448" s="3" t="str">
        <f>IFERROR(__xludf.DUMMYFUNCTION("""COMPUTED_VALUE"""),"Robert &amp; Laurel Anderson")</f>
        <v>Robert &amp; Laurel Anderson</v>
      </c>
      <c r="F1448" s="3"/>
      <c r="G1448" s="3"/>
      <c r="H1448" s="3"/>
    </row>
    <row r="1449">
      <c r="A1449" s="2">
        <f>IFERROR(__xludf.DUMMYFUNCTION("""COMPUTED_VALUE"""),20817.0)</f>
        <v>20817</v>
      </c>
      <c r="B1449" s="3" t="str">
        <f>IFERROR(__xludf.DUMMYFUNCTION("""COMPUTED_VALUE"""),"9631 CORKERY RD")</f>
        <v>9631 CORKERY RD</v>
      </c>
      <c r="C1449" s="3" t="str">
        <f>IFERROR(__xludf.DUMMYFUNCTION("""COMPUTED_VALUE"""),"BALTIMORE")</f>
        <v>BALTIMORE</v>
      </c>
      <c r="D1449" s="3" t="str">
        <f>IFERROR(__xludf.DUMMYFUNCTION("""COMPUTED_VALUE"""),"K0K 1C0")</f>
        <v>K0K 1C0</v>
      </c>
      <c r="E1449" s="3" t="str">
        <f>IFERROR(__xludf.DUMMYFUNCTION("""COMPUTED_VALUE"""),"sarah shaw")</f>
        <v>sarah shaw</v>
      </c>
      <c r="F1449" s="3" t="str">
        <f>IFERROR(__xludf.DUMMYFUNCTION("""COMPUTED_VALUE"""),"crazy-baby@live.ca")</f>
        <v>crazy-baby@live.ca</v>
      </c>
      <c r="G1449" s="3">
        <f>IFERROR(__xludf.DUMMYFUNCTION("""COMPUTED_VALUE"""),9.052600095E9)</f>
        <v>9052600095</v>
      </c>
      <c r="H1449" s="3"/>
    </row>
    <row r="1450">
      <c r="A1450" s="2">
        <f>IFERROR(__xludf.DUMMYFUNCTION("""COMPUTED_VALUE"""),20818.0)</f>
        <v>20818</v>
      </c>
      <c r="B1450" s="3" t="str">
        <f>IFERROR(__xludf.DUMMYFUNCTION("""COMPUTED_VALUE"""),"9647 CORKERY RD")</f>
        <v>9647 CORKERY RD</v>
      </c>
      <c r="C1450" s="3" t="str">
        <f>IFERROR(__xludf.DUMMYFUNCTION("""COMPUTED_VALUE"""),"BALTIMORE")</f>
        <v>BALTIMORE</v>
      </c>
      <c r="D1450" s="3" t="str">
        <f>IFERROR(__xludf.DUMMYFUNCTION("""COMPUTED_VALUE"""),"K0K 1C0")</f>
        <v>K0K 1C0</v>
      </c>
      <c r="E1450" s="3" t="str">
        <f>IFERROR(__xludf.DUMMYFUNCTION("""COMPUTED_VALUE"""),"marie long ")</f>
        <v>marie long </v>
      </c>
      <c r="F1450" s="3" t="str">
        <f>IFERROR(__xludf.DUMMYFUNCTION("""COMPUTED_VALUE"""),"solin9@icloud.com")</f>
        <v>solin9@icloud.com</v>
      </c>
      <c r="G1450" s="3">
        <f>IFERROR(__xludf.DUMMYFUNCTION("""COMPUTED_VALUE"""),9.053423385E9)</f>
        <v>9053423385</v>
      </c>
      <c r="H1450" s="3"/>
    </row>
    <row r="1451">
      <c r="A1451" s="2">
        <f>IFERROR(__xludf.DUMMYFUNCTION("""COMPUTED_VALUE"""),20819.0)</f>
        <v>20819</v>
      </c>
      <c r="B1451" s="3" t="str">
        <f>IFERROR(__xludf.DUMMYFUNCTION("""COMPUTED_VALUE"""),"9671 CORKERY RD")</f>
        <v>9671 CORKERY RD</v>
      </c>
      <c r="C1451" s="3" t="str">
        <f>IFERROR(__xludf.DUMMYFUNCTION("""COMPUTED_VALUE"""),"BALTIMORE")</f>
        <v>BALTIMORE</v>
      </c>
      <c r="D1451" s="3" t="str">
        <f>IFERROR(__xludf.DUMMYFUNCTION("""COMPUTED_VALUE"""),"K0K 1C0")</f>
        <v>K0K 1C0</v>
      </c>
      <c r="E1451" s="3"/>
      <c r="F1451" s="3"/>
      <c r="G1451" s="3"/>
      <c r="H1451" s="3"/>
    </row>
    <row r="1452">
      <c r="A1452" s="2">
        <f>IFERROR(__xludf.DUMMYFUNCTION("""COMPUTED_VALUE"""),20820.0)</f>
        <v>20820</v>
      </c>
      <c r="B1452" s="3" t="str">
        <f>IFERROR(__xludf.DUMMYFUNCTION("""COMPUTED_VALUE"""),"9690 CORKERY RD")</f>
        <v>9690 CORKERY RD</v>
      </c>
      <c r="C1452" s="3" t="str">
        <f>IFERROR(__xludf.DUMMYFUNCTION("""COMPUTED_VALUE"""),"BALTIMORE")</f>
        <v>BALTIMORE</v>
      </c>
      <c r="D1452" s="3" t="str">
        <f>IFERROR(__xludf.DUMMYFUNCTION("""COMPUTED_VALUE"""),"K0K 1C0")</f>
        <v>K0K 1C0</v>
      </c>
      <c r="E1452" s="3" t="str">
        <f>IFERROR(__xludf.DUMMYFUNCTION("""COMPUTED_VALUE"""),"sue parcher ")</f>
        <v>sue parcher </v>
      </c>
      <c r="F1452" s="3"/>
      <c r="G1452" s="3">
        <f>IFERROR(__xludf.DUMMYFUNCTION("""COMPUTED_VALUE"""),9.05342521E9)</f>
        <v>9053425210</v>
      </c>
      <c r="H1452" s="3"/>
    </row>
    <row r="1453">
      <c r="A1453" s="2">
        <f>IFERROR(__xludf.DUMMYFUNCTION("""COMPUTED_VALUE"""),20821.0)</f>
        <v>20821</v>
      </c>
      <c r="B1453" s="3" t="str">
        <f>IFERROR(__xludf.DUMMYFUNCTION("""COMPUTED_VALUE"""),"9698 CORKERY RD")</f>
        <v>9698 CORKERY RD</v>
      </c>
      <c r="C1453" s="3" t="str">
        <f>IFERROR(__xludf.DUMMYFUNCTION("""COMPUTED_VALUE"""),"BALTIMORE")</f>
        <v>BALTIMORE</v>
      </c>
      <c r="D1453" s="3" t="str">
        <f>IFERROR(__xludf.DUMMYFUNCTION("""COMPUTED_VALUE"""),"K0K 1C0")</f>
        <v>K0K 1C0</v>
      </c>
      <c r="E1453" s="3" t="str">
        <f>IFERROR(__xludf.DUMMYFUNCTION("""COMPUTED_VALUE"""),"Steve Douglas Langlois")</f>
        <v>Steve Douglas Langlois</v>
      </c>
      <c r="F1453" s="3" t="str">
        <f>IFERROR(__xludf.DUMMYFUNCTION("""COMPUTED_VALUE"""),"steve251431@hotmail.com")</f>
        <v>steve251431@hotmail.com</v>
      </c>
      <c r="G1453" s="3"/>
      <c r="H1453" s="3"/>
    </row>
    <row r="1454">
      <c r="A1454" s="2">
        <f>IFERROR(__xludf.DUMMYFUNCTION("""COMPUTED_VALUE"""),20822.0)</f>
        <v>20822</v>
      </c>
      <c r="B1454" s="3" t="str">
        <f>IFERROR(__xludf.DUMMYFUNCTION("""COMPUTED_VALUE"""),"9701 CORKERY RD")</f>
        <v>9701 CORKERY RD</v>
      </c>
      <c r="C1454" s="3" t="str">
        <f>IFERROR(__xludf.DUMMYFUNCTION("""COMPUTED_VALUE"""),"BALTIMORE")</f>
        <v>BALTIMORE</v>
      </c>
      <c r="D1454" s="3" t="str">
        <f>IFERROR(__xludf.DUMMYFUNCTION("""COMPUTED_VALUE"""),"K0K 1C0")</f>
        <v>K0K 1C0</v>
      </c>
      <c r="E1454" s="3"/>
      <c r="F1454" s="3"/>
      <c r="G1454" s="3"/>
      <c r="H1454" s="3"/>
    </row>
    <row r="1455">
      <c r="A1455" s="2">
        <f>IFERROR(__xludf.DUMMYFUNCTION("""COMPUTED_VALUE"""),20823.0)</f>
        <v>20823</v>
      </c>
      <c r="B1455" s="3" t="str">
        <f>IFERROR(__xludf.DUMMYFUNCTION("""COMPUTED_VALUE"""),"9708 CORKERY RD")</f>
        <v>9708 CORKERY RD</v>
      </c>
      <c r="C1455" s="3" t="str">
        <f>IFERROR(__xludf.DUMMYFUNCTION("""COMPUTED_VALUE"""),"BALTIMORE")</f>
        <v>BALTIMORE</v>
      </c>
      <c r="D1455" s="3" t="str">
        <f>IFERROR(__xludf.DUMMYFUNCTION("""COMPUTED_VALUE"""),"K0K 1C0")</f>
        <v>K0K 1C0</v>
      </c>
      <c r="E1455" s="3"/>
      <c r="F1455" s="3"/>
      <c r="G1455" s="3"/>
      <c r="H1455" s="3"/>
    </row>
    <row r="1456">
      <c r="A1456" s="2">
        <f>IFERROR(__xludf.DUMMYFUNCTION("""COMPUTED_VALUE"""),20815.0)</f>
        <v>20815</v>
      </c>
      <c r="B1456" s="3" t="str">
        <f>IFERROR(__xludf.DUMMYFUNCTION("""COMPUTED_VALUE"""),"9609 CORKERY RD")</f>
        <v>9609 CORKERY RD</v>
      </c>
      <c r="C1456" s="3" t="str">
        <f>IFERROR(__xludf.DUMMYFUNCTION("""COMPUTED_VALUE"""),"BALTIMORE")</f>
        <v>BALTIMORE</v>
      </c>
      <c r="D1456" s="3" t="str">
        <f>IFERROR(__xludf.DUMMYFUNCTION("""COMPUTED_VALUE"""),"K0K 1C0")</f>
        <v>K0K 1C0</v>
      </c>
      <c r="E1456" s="3" t="str">
        <f>IFERROR(__xludf.DUMMYFUNCTION("""COMPUTED_VALUE"""),"brandy pearson ")</f>
        <v>brandy pearson </v>
      </c>
      <c r="F1456" s="3" t="str">
        <f>IFERROR(__xludf.DUMMYFUNCTION("""COMPUTED_VALUE"""),"brandypearson@gmail.com")</f>
        <v>brandypearson@gmail.com</v>
      </c>
      <c r="G1456" s="3">
        <f>IFERROR(__xludf.DUMMYFUNCTION("""COMPUTED_VALUE"""),9.053757231E9)</f>
        <v>9053757231</v>
      </c>
      <c r="H1456" s="3">
        <f>IFERROR(__xludf.DUMMYFUNCTION("""COMPUTED_VALUE"""),9.053757981E9)</f>
        <v>9053757981</v>
      </c>
    </row>
    <row r="1457">
      <c r="A1457" s="2">
        <f>IFERROR(__xludf.DUMMYFUNCTION("""COMPUTED_VALUE"""),20825.0)</f>
        <v>20825</v>
      </c>
      <c r="B1457" s="3" t="str">
        <f>IFERROR(__xludf.DUMMYFUNCTION("""COMPUTED_VALUE"""),"9714 CORKERY RD")</f>
        <v>9714 CORKERY RD</v>
      </c>
      <c r="C1457" s="3" t="str">
        <f>IFERROR(__xludf.DUMMYFUNCTION("""COMPUTED_VALUE"""),"BALTIMORE")</f>
        <v>BALTIMORE</v>
      </c>
      <c r="D1457" s="3" t="str">
        <f>IFERROR(__xludf.DUMMYFUNCTION("""COMPUTED_VALUE"""),"K0K 1C0")</f>
        <v>K0K 1C0</v>
      </c>
      <c r="E1457" s="3" t="str">
        <f>IFERROR(__xludf.DUMMYFUNCTION("""COMPUTED_VALUE"""),"Richard Knight")</f>
        <v>Richard Knight</v>
      </c>
      <c r="F1457" s="3" t="str">
        <f>IFERROR(__xludf.DUMMYFUNCTION("""COMPUTED_VALUE"""),"ric55knight@gmail.com")</f>
        <v>ric55knight@gmail.com</v>
      </c>
      <c r="G1457" s="3"/>
      <c r="H1457" s="3"/>
    </row>
    <row r="1458">
      <c r="A1458" s="2">
        <f>IFERROR(__xludf.DUMMYFUNCTION("""COMPUTED_VALUE"""),20816.0)</f>
        <v>20816</v>
      </c>
      <c r="B1458" s="3" t="str">
        <f>IFERROR(__xludf.DUMMYFUNCTION("""COMPUTED_VALUE"""),"9617 CORKERY RD")</f>
        <v>9617 CORKERY RD</v>
      </c>
      <c r="C1458" s="3" t="str">
        <f>IFERROR(__xludf.DUMMYFUNCTION("""COMPUTED_VALUE"""),"BALTIMORE")</f>
        <v>BALTIMORE</v>
      </c>
      <c r="D1458" s="3" t="str">
        <f>IFERROR(__xludf.DUMMYFUNCTION("""COMPUTED_VALUE"""),"K0K 1C0")</f>
        <v>K0K 1C0</v>
      </c>
      <c r="E1458" s="3" t="str">
        <f>IFERROR(__xludf.DUMMYFUNCTION("""COMPUTED_VALUE"""),"laura Ferguson")</f>
        <v>laura Ferguson</v>
      </c>
      <c r="F1458" s="3" t="str">
        <f>IFERROR(__xludf.DUMMYFUNCTION("""COMPUTED_VALUE"""),"laura_1010@live.ca")</f>
        <v>laura_1010@live.ca</v>
      </c>
      <c r="G1458" s="3">
        <f>IFERROR(__xludf.DUMMYFUNCTION("""COMPUTED_VALUE"""),7.059271957E9)</f>
        <v>7059271957</v>
      </c>
      <c r="H1458" s="3"/>
    </row>
    <row r="1459">
      <c r="A1459" s="2">
        <f>IFERROR(__xludf.DUMMYFUNCTION("""COMPUTED_VALUE"""),20827.0)</f>
        <v>20827</v>
      </c>
      <c r="B1459" s="3" t="str">
        <f>IFERROR(__xludf.DUMMYFUNCTION("""COMPUTED_VALUE"""),"9722 CORKERY RD")</f>
        <v>9722 CORKERY RD</v>
      </c>
      <c r="C1459" s="3" t="str">
        <f>IFERROR(__xludf.DUMMYFUNCTION("""COMPUTED_VALUE"""),"BALTIMORE")</f>
        <v>BALTIMORE</v>
      </c>
      <c r="D1459" s="3" t="str">
        <f>IFERROR(__xludf.DUMMYFUNCTION("""COMPUTED_VALUE"""),"K0K 1C0")</f>
        <v>K0K 1C0</v>
      </c>
      <c r="E1459" s="3"/>
      <c r="F1459" s="3"/>
      <c r="G1459" s="3"/>
      <c r="H1459" s="3"/>
    </row>
    <row r="1460">
      <c r="A1460" s="2">
        <f>IFERROR(__xludf.DUMMYFUNCTION("""COMPUTED_VALUE"""),20828.0)</f>
        <v>20828</v>
      </c>
      <c r="B1460" s="3" t="str">
        <f>IFERROR(__xludf.DUMMYFUNCTION("""COMPUTED_VALUE"""),"9725 CORKERY RD")</f>
        <v>9725 CORKERY RD</v>
      </c>
      <c r="C1460" s="3" t="str">
        <f>IFERROR(__xludf.DUMMYFUNCTION("""COMPUTED_VALUE"""),"BALTIMORE")</f>
        <v>BALTIMORE</v>
      </c>
      <c r="D1460" s="3" t="str">
        <f>IFERROR(__xludf.DUMMYFUNCTION("""COMPUTED_VALUE"""),"K0K 1C0")</f>
        <v>K0K 1C0</v>
      </c>
      <c r="E1460" s="3"/>
      <c r="F1460" s="3"/>
      <c r="G1460" s="3"/>
      <c r="H1460" s="3"/>
    </row>
    <row r="1461">
      <c r="A1461" s="2">
        <f>IFERROR(__xludf.DUMMYFUNCTION("""COMPUTED_VALUE"""),20824.0)</f>
        <v>20824</v>
      </c>
      <c r="B1461" s="3" t="str">
        <f>IFERROR(__xludf.DUMMYFUNCTION("""COMPUTED_VALUE"""),"9711 CORKERY RD")</f>
        <v>9711 CORKERY RD</v>
      </c>
      <c r="C1461" s="3" t="str">
        <f>IFERROR(__xludf.DUMMYFUNCTION("""COMPUTED_VALUE"""),"BALTIMORE")</f>
        <v>BALTIMORE</v>
      </c>
      <c r="D1461" s="3" t="str">
        <f>IFERROR(__xludf.DUMMYFUNCTION("""COMPUTED_VALUE"""),"K0K 1C0")</f>
        <v>K0K 1C0</v>
      </c>
      <c r="E1461" s="3" t="str">
        <f>IFERROR(__xludf.DUMMYFUNCTION("""COMPUTED_VALUE"""),"Sophie Campbell")</f>
        <v>Sophie Campbell</v>
      </c>
      <c r="F1461" s="3" t="str">
        <f>IFERROR(__xludf.DUMMYFUNCTION("""COMPUTED_VALUE"""),"zosiasoup@gmail.com")</f>
        <v>zosiasoup@gmail.com</v>
      </c>
      <c r="G1461" s="3"/>
      <c r="H1461" s="3"/>
    </row>
    <row r="1462">
      <c r="A1462" s="2">
        <f>IFERROR(__xludf.DUMMYFUNCTION("""COMPUTED_VALUE"""),20830.0)</f>
        <v>20830</v>
      </c>
      <c r="B1462" s="3" t="str">
        <f>IFERROR(__xludf.DUMMYFUNCTION("""COMPUTED_VALUE"""),"9763 CORKERY RD")</f>
        <v>9763 CORKERY RD</v>
      </c>
      <c r="C1462" s="3" t="str">
        <f>IFERROR(__xludf.DUMMYFUNCTION("""COMPUTED_VALUE"""),"BALTIMORE")</f>
        <v>BALTIMORE</v>
      </c>
      <c r="D1462" s="3" t="str">
        <f>IFERROR(__xludf.DUMMYFUNCTION("""COMPUTED_VALUE"""),"K0K 1C0")</f>
        <v>K0K 1C0</v>
      </c>
      <c r="E1462" s="3"/>
      <c r="F1462" s="3"/>
      <c r="G1462" s="3"/>
      <c r="H1462" s="3"/>
    </row>
    <row r="1463">
      <c r="A1463" s="2">
        <f>IFERROR(__xludf.DUMMYFUNCTION("""COMPUTED_VALUE"""),20831.0)</f>
        <v>20831</v>
      </c>
      <c r="B1463" s="3" t="str">
        <f>IFERROR(__xludf.DUMMYFUNCTION("""COMPUTED_VALUE"""),"9779 CORKERY RD")</f>
        <v>9779 CORKERY RD</v>
      </c>
      <c r="C1463" s="3" t="str">
        <f>IFERROR(__xludf.DUMMYFUNCTION("""COMPUTED_VALUE"""),"BALTIMORE")</f>
        <v>BALTIMORE</v>
      </c>
      <c r="D1463" s="3" t="str">
        <f>IFERROR(__xludf.DUMMYFUNCTION("""COMPUTED_VALUE"""),"K0K 1C0")</f>
        <v>K0K 1C0</v>
      </c>
      <c r="E1463" s="3" t="str">
        <f>IFERROR(__xludf.DUMMYFUNCTION("""COMPUTED_VALUE"""),"Barry Johnson")</f>
        <v>Barry Johnson</v>
      </c>
      <c r="F1463" s="3" t="str">
        <f>IFERROR(__xludf.DUMMYFUNCTION("""COMPUTED_VALUE"""),"bejohnson9779@gmail.com")</f>
        <v>bejohnson9779@gmail.com</v>
      </c>
      <c r="G1463" s="3"/>
      <c r="H1463" s="3"/>
    </row>
    <row r="1464">
      <c r="A1464" s="2">
        <f>IFERROR(__xludf.DUMMYFUNCTION("""COMPUTED_VALUE"""),20832.0)</f>
        <v>20832</v>
      </c>
      <c r="B1464" s="3" t="str">
        <f>IFERROR(__xludf.DUMMYFUNCTION("""COMPUTED_VALUE"""),"9793 CORKERY RD")</f>
        <v>9793 CORKERY RD</v>
      </c>
      <c r="C1464" s="3" t="str">
        <f>IFERROR(__xludf.DUMMYFUNCTION("""COMPUTED_VALUE"""),"BALTIMORE")</f>
        <v>BALTIMORE</v>
      </c>
      <c r="D1464" s="3" t="str">
        <f>IFERROR(__xludf.DUMMYFUNCTION("""COMPUTED_VALUE"""),"K0K 1C0")</f>
        <v>K0K 1C0</v>
      </c>
      <c r="E1464" s="3" t="str">
        <f>IFERROR(__xludf.DUMMYFUNCTION("""COMPUTED_VALUE"""),"David Carleton")</f>
        <v>David Carleton</v>
      </c>
      <c r="F1464" s="3" t="str">
        <f>IFERROR(__xludf.DUMMYFUNCTION("""COMPUTED_VALUE"""),"davidcarleton67@gmail.com")</f>
        <v>davidcarleton67@gmail.com</v>
      </c>
      <c r="G1464" s="3"/>
      <c r="H1464" s="3"/>
    </row>
    <row r="1465">
      <c r="A1465" s="2">
        <f>IFERROR(__xludf.DUMMYFUNCTION("""COMPUTED_VALUE"""),20826.0)</f>
        <v>20826</v>
      </c>
      <c r="B1465" s="3" t="str">
        <f>IFERROR(__xludf.DUMMYFUNCTION("""COMPUTED_VALUE"""),"9719 CORKERY RD")</f>
        <v>9719 CORKERY RD</v>
      </c>
      <c r="C1465" s="3" t="str">
        <f>IFERROR(__xludf.DUMMYFUNCTION("""COMPUTED_VALUE"""),"BALTIMORE")</f>
        <v>BALTIMORE</v>
      </c>
      <c r="D1465" s="3" t="str">
        <f>IFERROR(__xludf.DUMMYFUNCTION("""COMPUTED_VALUE"""),"K0K 1C0")</f>
        <v>K0K 1C0</v>
      </c>
      <c r="E1465" s="3" t="str">
        <f>IFERROR(__xludf.DUMMYFUNCTION("""COMPUTED_VALUE"""),"Judy Nicholson")</f>
        <v>Judy Nicholson</v>
      </c>
      <c r="F1465" s="3" t="str">
        <f>IFERROR(__xludf.DUMMYFUNCTION("""COMPUTED_VALUE"""),"judenicholson85@gmail.com")</f>
        <v>judenicholson85@gmail.com</v>
      </c>
      <c r="G1465" s="3">
        <f>IFERROR(__xludf.DUMMYFUNCTION("""COMPUTED_VALUE"""),9.053758884E9)</f>
        <v>9053758884</v>
      </c>
      <c r="H1465" s="3"/>
    </row>
    <row r="1466">
      <c r="A1466" s="2">
        <f>IFERROR(__xludf.DUMMYFUNCTION("""COMPUTED_VALUE"""),20834.0)</f>
        <v>20834</v>
      </c>
      <c r="B1466" s="3" t="str">
        <f>IFERROR(__xludf.DUMMYFUNCTION("""COMPUTED_VALUE"""),"9805 CORKERY RD")</f>
        <v>9805 CORKERY RD</v>
      </c>
      <c r="C1466" s="3" t="str">
        <f>IFERROR(__xludf.DUMMYFUNCTION("""COMPUTED_VALUE"""),"BALTIMORE")</f>
        <v>BALTIMORE</v>
      </c>
      <c r="D1466" s="3" t="str">
        <f>IFERROR(__xludf.DUMMYFUNCTION("""COMPUTED_VALUE"""),"K0K 1C0")</f>
        <v>K0K 1C0</v>
      </c>
      <c r="E1466" s="3" t="str">
        <f>IFERROR(__xludf.DUMMYFUNCTION("""COMPUTED_VALUE"""),"randi bevard ")</f>
        <v>randi bevard </v>
      </c>
      <c r="F1466" s="3" t="str">
        <f>IFERROR(__xludf.DUMMYFUNCTION("""COMPUTED_VALUE"""),"randi-lee123@hotmail.com")</f>
        <v>randi-lee123@hotmail.com</v>
      </c>
      <c r="G1466" s="3">
        <f>IFERROR(__xludf.DUMMYFUNCTION("""COMPUTED_VALUE"""),9.059254068E9)</f>
        <v>9059254068</v>
      </c>
      <c r="H1466" s="3"/>
    </row>
    <row r="1467">
      <c r="A1467" s="2">
        <f>IFERROR(__xludf.DUMMYFUNCTION("""COMPUTED_VALUE"""),20829.0)</f>
        <v>20829</v>
      </c>
      <c r="B1467" s="3" t="str">
        <f>IFERROR(__xludf.DUMMYFUNCTION("""COMPUTED_VALUE"""),"9747 CORKERY RD")</f>
        <v>9747 CORKERY RD</v>
      </c>
      <c r="C1467" s="3" t="str">
        <f>IFERROR(__xludf.DUMMYFUNCTION("""COMPUTED_VALUE"""),"BALTIMORE")</f>
        <v>BALTIMORE</v>
      </c>
      <c r="D1467" s="3" t="str">
        <f>IFERROR(__xludf.DUMMYFUNCTION("""COMPUTED_VALUE"""),"K0K 1C0")</f>
        <v>K0K 1C0</v>
      </c>
      <c r="E1467" s="3" t="str">
        <f>IFERROR(__xludf.DUMMYFUNCTION("""COMPUTED_VALUE"""),"samuel moshynski")</f>
        <v>samuel moshynski</v>
      </c>
      <c r="F1467" s="3"/>
      <c r="G1467" s="3">
        <f>IFERROR(__xludf.DUMMYFUNCTION("""COMPUTED_VALUE"""),2.896910413E9)</f>
        <v>2896910413</v>
      </c>
      <c r="H1467" s="3"/>
    </row>
    <row r="1468">
      <c r="A1468" s="2">
        <f>IFERROR(__xludf.DUMMYFUNCTION("""COMPUTED_VALUE"""),20833.0)</f>
        <v>20833</v>
      </c>
      <c r="B1468" s="3" t="str">
        <f>IFERROR(__xludf.DUMMYFUNCTION("""COMPUTED_VALUE"""),"9801 CORKERY RD")</f>
        <v>9801 CORKERY RD</v>
      </c>
      <c r="C1468" s="3" t="str">
        <f>IFERROR(__xludf.DUMMYFUNCTION("""COMPUTED_VALUE"""),"BALTIMORE")</f>
        <v>BALTIMORE</v>
      </c>
      <c r="D1468" s="3" t="str">
        <f>IFERROR(__xludf.DUMMYFUNCTION("""COMPUTED_VALUE"""),"K0K 1C0")</f>
        <v>K0K 1C0</v>
      </c>
      <c r="E1468" s="3" t="str">
        <f>IFERROR(__xludf.DUMMYFUNCTION("""COMPUTED_VALUE"""),"savannah pelese")</f>
        <v>savannah pelese</v>
      </c>
      <c r="F1468" s="3" t="str">
        <f>IFERROR(__xludf.DUMMYFUNCTION("""COMPUTED_VALUE"""),"sjkpelese@hotmail.com")</f>
        <v>sjkpelese@hotmail.com</v>
      </c>
      <c r="G1468" s="3">
        <f>IFERROR(__xludf.DUMMYFUNCTION("""COMPUTED_VALUE"""),7.056794103E9)</f>
        <v>7056794103</v>
      </c>
      <c r="H1468" s="3"/>
    </row>
    <row r="1469">
      <c r="A1469" s="2">
        <f>IFERROR(__xludf.DUMMYFUNCTION("""COMPUTED_VALUE"""),20835.0)</f>
        <v>20835</v>
      </c>
      <c r="B1469" s="3" t="str">
        <f>IFERROR(__xludf.DUMMYFUNCTION("""COMPUTED_VALUE"""),"9809 CORKERY RD")</f>
        <v>9809 CORKERY RD</v>
      </c>
      <c r="C1469" s="3" t="str">
        <f>IFERROR(__xludf.DUMMYFUNCTION("""COMPUTED_VALUE"""),"BALTIMORE")</f>
        <v>BALTIMORE</v>
      </c>
      <c r="D1469" s="3" t="str">
        <f>IFERROR(__xludf.DUMMYFUNCTION("""COMPUTED_VALUE"""),"K0K 1C0")</f>
        <v>K0K 1C0</v>
      </c>
      <c r="E1469" s="3" t="str">
        <f>IFERROR(__xludf.DUMMYFUNCTION("""COMPUTED_VALUE"""),"Kristin Rock")</f>
        <v>Kristin Rock</v>
      </c>
      <c r="F1469" s="3" t="str">
        <f>IFERROR(__xludf.DUMMYFUNCTION("""COMPUTED_VALUE"""),"kristinrock1013@gmail.com")</f>
        <v>kristinrock1013@gmail.com</v>
      </c>
      <c r="G1469" s="3">
        <f>IFERROR(__xludf.DUMMYFUNCTION("""COMPUTED_VALUE"""),9.053762541E9)</f>
        <v>9053762541</v>
      </c>
      <c r="H1469" s="3"/>
    </row>
    <row r="1470">
      <c r="A1470" s="2">
        <f>IFERROR(__xludf.DUMMYFUNCTION("""COMPUTED_VALUE"""),20838.0)</f>
        <v>20838</v>
      </c>
      <c r="B1470" s="3" t="str">
        <f>IFERROR(__xludf.DUMMYFUNCTION("""COMPUTED_VALUE"""),"9823 CORKERY RD")</f>
        <v>9823 CORKERY RD</v>
      </c>
      <c r="C1470" s="3" t="str">
        <f>IFERROR(__xludf.DUMMYFUNCTION("""COMPUTED_VALUE"""),"BALTIMORE")</f>
        <v>BALTIMORE</v>
      </c>
      <c r="D1470" s="3" t="str">
        <f>IFERROR(__xludf.DUMMYFUNCTION("""COMPUTED_VALUE"""),"K0K 1C0")</f>
        <v>K0K 1C0</v>
      </c>
      <c r="E1470" s="3"/>
      <c r="F1470" s="3"/>
      <c r="G1470" s="3"/>
      <c r="H1470" s="3"/>
    </row>
    <row r="1471">
      <c r="A1471" s="2">
        <f>IFERROR(__xludf.DUMMYFUNCTION("""COMPUTED_VALUE"""),24021.0)</f>
        <v>24021</v>
      </c>
      <c r="B1471" s="3" t="str">
        <f>IFERROR(__xludf.DUMMYFUNCTION("""COMPUTED_VALUE"""),"9829 CORKERY RD")</f>
        <v>9829 CORKERY RD</v>
      </c>
      <c r="C1471" s="3" t="str">
        <f>IFERROR(__xludf.DUMMYFUNCTION("""COMPUTED_VALUE"""),"BALTIMORE")</f>
        <v>BALTIMORE</v>
      </c>
      <c r="D1471" s="3" t="str">
        <f>IFERROR(__xludf.DUMMYFUNCTION("""COMPUTED_VALUE"""),"K0K 1C0")</f>
        <v>K0K 1C0</v>
      </c>
      <c r="E1471" s="3"/>
      <c r="F1471" s="3"/>
      <c r="G1471" s="3"/>
      <c r="H1471" s="3"/>
    </row>
    <row r="1472">
      <c r="A1472" s="2">
        <f>IFERROR(__xludf.DUMMYFUNCTION("""COMPUTED_VALUE"""),20839.0)</f>
        <v>20839</v>
      </c>
      <c r="B1472" s="3" t="str">
        <f>IFERROR(__xludf.DUMMYFUNCTION("""COMPUTED_VALUE"""),"9857 CORKERY RD")</f>
        <v>9857 CORKERY RD</v>
      </c>
      <c r="C1472" s="3" t="str">
        <f>IFERROR(__xludf.DUMMYFUNCTION("""COMPUTED_VALUE"""),"BALTIMORE")</f>
        <v>BALTIMORE</v>
      </c>
      <c r="D1472" s="3" t="str">
        <f>IFERROR(__xludf.DUMMYFUNCTION("""COMPUTED_VALUE"""),"K0K 1C0")</f>
        <v>K0K 1C0</v>
      </c>
      <c r="E1472" s="3"/>
      <c r="F1472" s="3"/>
      <c r="G1472" s="3"/>
      <c r="H1472" s="3"/>
    </row>
    <row r="1473">
      <c r="A1473" s="2">
        <f>IFERROR(__xludf.DUMMYFUNCTION("""COMPUTED_VALUE"""),20840.0)</f>
        <v>20840</v>
      </c>
      <c r="B1473" s="3" t="str">
        <f>IFERROR(__xludf.DUMMYFUNCTION("""COMPUTED_VALUE"""),"9865 CORKERY RD")</f>
        <v>9865 CORKERY RD</v>
      </c>
      <c r="C1473" s="3" t="str">
        <f>IFERROR(__xludf.DUMMYFUNCTION("""COMPUTED_VALUE"""),"BALTIMORE")</f>
        <v>BALTIMORE</v>
      </c>
      <c r="D1473" s="3" t="str">
        <f>IFERROR(__xludf.DUMMYFUNCTION("""COMPUTED_VALUE"""),"K0K 1C0")</f>
        <v>K0K 1C0</v>
      </c>
      <c r="E1473" s="3" t="str">
        <f>IFERROR(__xludf.DUMMYFUNCTION("""COMPUTED_VALUE"""),"kent stephen")</f>
        <v>kent stephen</v>
      </c>
      <c r="F1473" s="3" t="str">
        <f>IFERROR(__xludf.DUMMYFUNCTION("""COMPUTED_VALUE"""),"kenttwentyfourseven@gmail.com")</f>
        <v>kenttwentyfourseven@gmail.com</v>
      </c>
      <c r="G1473" s="3">
        <f>IFERROR(__xludf.DUMMYFUNCTION("""COMPUTED_VALUE"""),9.052696979E9)</f>
        <v>9052696979</v>
      </c>
      <c r="H1473" s="3"/>
    </row>
    <row r="1474">
      <c r="A1474" s="2">
        <f>IFERROR(__xludf.DUMMYFUNCTION("""COMPUTED_VALUE"""),20841.0)</f>
        <v>20841</v>
      </c>
      <c r="B1474" s="3" t="str">
        <f>IFERROR(__xludf.DUMMYFUNCTION("""COMPUTED_VALUE"""),"9875 CORKERY RD")</f>
        <v>9875 CORKERY RD</v>
      </c>
      <c r="C1474" s="3" t="str">
        <f>IFERROR(__xludf.DUMMYFUNCTION("""COMPUTED_VALUE"""),"BALTIMORE")</f>
        <v>BALTIMORE</v>
      </c>
      <c r="D1474" s="3" t="str">
        <f>IFERROR(__xludf.DUMMYFUNCTION("""COMPUTED_VALUE"""),"K0K 1C0")</f>
        <v>K0K 1C0</v>
      </c>
      <c r="E1474" s="3" t="str">
        <f>IFERROR(__xludf.DUMMYFUNCTION("""COMPUTED_VALUE"""),"robert chittenden")</f>
        <v>robert chittenden</v>
      </c>
      <c r="F1474" s="3" t="str">
        <f>IFERROR(__xludf.DUMMYFUNCTION("""COMPUTED_VALUE"""),"pms39888@live.ca")</f>
        <v>pms39888@live.ca</v>
      </c>
      <c r="G1474" s="3">
        <f>IFERROR(__xludf.DUMMYFUNCTION("""COMPUTED_VALUE"""),6.472242767E9)</f>
        <v>6472242767</v>
      </c>
      <c r="H1474" s="3"/>
    </row>
    <row r="1475">
      <c r="A1475" s="2">
        <f>IFERROR(__xludf.DUMMYFUNCTION("""COMPUTED_VALUE"""),20842.0)</f>
        <v>20842</v>
      </c>
      <c r="B1475" s="3" t="str">
        <f>IFERROR(__xludf.DUMMYFUNCTION("""COMPUTED_VALUE"""),"9887 CORKERY RD")</f>
        <v>9887 CORKERY RD</v>
      </c>
      <c r="C1475" s="3" t="str">
        <f>IFERROR(__xludf.DUMMYFUNCTION("""COMPUTED_VALUE"""),"BALTIMORE")</f>
        <v>BALTIMORE</v>
      </c>
      <c r="D1475" s="3" t="str">
        <f>IFERROR(__xludf.DUMMYFUNCTION("""COMPUTED_VALUE"""),"K0K 1C0")</f>
        <v>K0K 1C0</v>
      </c>
      <c r="E1475" s="3" t="str">
        <f>IFERROR(__xludf.DUMMYFUNCTION("""COMPUTED_VALUE"""),"norma keith ")</f>
        <v>norma keith </v>
      </c>
      <c r="F1475" s="3" t="str">
        <f>IFERROR(__xludf.DUMMYFUNCTION("""COMPUTED_VALUE"""),"norma.keth49@gmail.com")</f>
        <v>norma.keth49@gmail.com</v>
      </c>
      <c r="G1475" s="3">
        <f>IFERROR(__xludf.DUMMYFUNCTION("""COMPUTED_VALUE"""),9.053964539E9)</f>
        <v>9053964539</v>
      </c>
      <c r="H1475" s="3">
        <f>IFERROR(__xludf.DUMMYFUNCTION("""COMPUTED_VALUE"""),9.053421055E9)</f>
        <v>9053421055</v>
      </c>
    </row>
    <row r="1476">
      <c r="A1476" s="2">
        <f>IFERROR(__xludf.DUMMYFUNCTION("""COMPUTED_VALUE"""),21214.0)</f>
        <v>21214</v>
      </c>
      <c r="B1476" s="3" t="str">
        <f>IFERROR(__xludf.DUMMYFUNCTION("""COMPUTED_VALUE"""),"7300A COUNTY ROAD 18")</f>
        <v>7300A COUNTY ROAD 18</v>
      </c>
      <c r="C1476" s="3" t="str">
        <f>IFERROR(__xludf.DUMMYFUNCTION("""COMPUTED_VALUE"""),"ROSENEATH")</f>
        <v>ROSENEATH</v>
      </c>
      <c r="D1476" s="3" t="str">
        <f>IFERROR(__xludf.DUMMYFUNCTION("""COMPUTED_VALUE"""),"K0K 2X0")</f>
        <v>K0K 2X0</v>
      </c>
      <c r="E1476" s="3"/>
      <c r="F1476" s="3"/>
      <c r="G1476" s="3"/>
      <c r="H1476" s="3"/>
    </row>
    <row r="1477">
      <c r="A1477" s="2">
        <f>IFERROR(__xludf.DUMMYFUNCTION("""COMPUTED_VALUE"""),20908.0)</f>
        <v>20908</v>
      </c>
      <c r="B1477" s="3" t="str">
        <f>IFERROR(__xludf.DUMMYFUNCTION("""COMPUTED_VALUE"""),"6675 COUNTY RD 18")</f>
        <v>6675 COUNTY RD 18</v>
      </c>
      <c r="C1477" s="3" t="str">
        <f>IFERROR(__xludf.DUMMYFUNCTION("""COMPUTED_VALUE"""),"ROSENEATH")</f>
        <v>ROSENEATH</v>
      </c>
      <c r="D1477" s="3" t="str">
        <f>IFERROR(__xludf.DUMMYFUNCTION("""COMPUTED_VALUE"""),"K0K 2X0")</f>
        <v>K0K 2X0</v>
      </c>
      <c r="E1477" s="3"/>
      <c r="F1477" s="3"/>
      <c r="G1477" s="3"/>
      <c r="H1477" s="3"/>
    </row>
    <row r="1478">
      <c r="A1478" s="2">
        <f>IFERROR(__xludf.DUMMYFUNCTION("""COMPUTED_VALUE"""),20909.0)</f>
        <v>20909</v>
      </c>
      <c r="B1478" s="3" t="str">
        <f>IFERROR(__xludf.DUMMYFUNCTION("""COMPUTED_VALUE"""),"6686 COUNTY RD 18")</f>
        <v>6686 COUNTY RD 18</v>
      </c>
      <c r="C1478" s="3" t="str">
        <f>IFERROR(__xludf.DUMMYFUNCTION("""COMPUTED_VALUE"""),"ROSENEATH")</f>
        <v>ROSENEATH</v>
      </c>
      <c r="D1478" s="3" t="str">
        <f>IFERROR(__xludf.DUMMYFUNCTION("""COMPUTED_VALUE"""),"K0K 2X0")</f>
        <v>K0K 2X0</v>
      </c>
      <c r="E1478" s="3"/>
      <c r="F1478" s="3"/>
      <c r="G1478" s="3"/>
      <c r="H1478" s="3"/>
    </row>
    <row r="1479">
      <c r="A1479" s="2">
        <f>IFERROR(__xludf.DUMMYFUNCTION("""COMPUTED_VALUE"""),20910.0)</f>
        <v>20910</v>
      </c>
      <c r="B1479" s="3" t="str">
        <f>IFERROR(__xludf.DUMMYFUNCTION("""COMPUTED_VALUE"""),"6705 COUNTY RD 18")</f>
        <v>6705 COUNTY RD 18</v>
      </c>
      <c r="C1479" s="3" t="str">
        <f>IFERROR(__xludf.DUMMYFUNCTION("""COMPUTED_VALUE"""),"ROSENEATH")</f>
        <v>ROSENEATH</v>
      </c>
      <c r="D1479" s="3" t="str">
        <f>IFERROR(__xludf.DUMMYFUNCTION("""COMPUTED_VALUE"""),"K0K 2X0")</f>
        <v>K0K 2X0</v>
      </c>
      <c r="E1479" s="3"/>
      <c r="F1479" s="3"/>
      <c r="G1479" s="3"/>
      <c r="H1479" s="3"/>
    </row>
    <row r="1480">
      <c r="A1480" s="2">
        <f>IFERROR(__xludf.DUMMYFUNCTION("""COMPUTED_VALUE"""),20911.0)</f>
        <v>20911</v>
      </c>
      <c r="B1480" s="3" t="str">
        <f>IFERROR(__xludf.DUMMYFUNCTION("""COMPUTED_VALUE"""),"6732 COUNTY RD 18")</f>
        <v>6732 COUNTY RD 18</v>
      </c>
      <c r="C1480" s="3" t="str">
        <f>IFERROR(__xludf.DUMMYFUNCTION("""COMPUTED_VALUE"""),"ROSENEATH")</f>
        <v>ROSENEATH</v>
      </c>
      <c r="D1480" s="3" t="str">
        <f>IFERROR(__xludf.DUMMYFUNCTION("""COMPUTED_VALUE"""),"K0K 2X0")</f>
        <v>K0K 2X0</v>
      </c>
      <c r="E1480" s="3"/>
      <c r="F1480" s="3"/>
      <c r="G1480" s="3"/>
      <c r="H1480" s="3"/>
    </row>
    <row r="1481">
      <c r="A1481" s="2">
        <f>IFERROR(__xludf.DUMMYFUNCTION("""COMPUTED_VALUE"""),21186.0)</f>
        <v>21186</v>
      </c>
      <c r="B1481" s="3" t="str">
        <f>IFERROR(__xludf.DUMMYFUNCTION("""COMPUTED_VALUE"""),"6799 COUNTY RD 18 RD")</f>
        <v>6799 COUNTY RD 18 RD</v>
      </c>
      <c r="C1481" s="3" t="str">
        <f>IFERROR(__xludf.DUMMYFUNCTION("""COMPUTED_VALUE"""),"ROSENEATH")</f>
        <v>ROSENEATH</v>
      </c>
      <c r="D1481" s="3" t="str">
        <f>IFERROR(__xludf.DUMMYFUNCTION("""COMPUTED_VALUE"""),"K0K 2X0")</f>
        <v>K0K 2X0</v>
      </c>
      <c r="E1481" s="3"/>
      <c r="F1481" s="3"/>
      <c r="G1481" s="3"/>
      <c r="H1481" s="3"/>
    </row>
    <row r="1482">
      <c r="A1482" s="2">
        <f>IFERROR(__xludf.DUMMYFUNCTION("""COMPUTED_VALUE"""),20912.0)</f>
        <v>20912</v>
      </c>
      <c r="B1482" s="3" t="str">
        <f>IFERROR(__xludf.DUMMYFUNCTION("""COMPUTED_VALUE"""),"6808 COUNTY RD 18")</f>
        <v>6808 COUNTY RD 18</v>
      </c>
      <c r="C1482" s="3" t="str">
        <f>IFERROR(__xludf.DUMMYFUNCTION("""COMPUTED_VALUE"""),"ROSENEATH")</f>
        <v>ROSENEATH</v>
      </c>
      <c r="D1482" s="3" t="str">
        <f>IFERROR(__xludf.DUMMYFUNCTION("""COMPUTED_VALUE"""),"K0K 2X0")</f>
        <v>K0K 2X0</v>
      </c>
      <c r="E1482" s="3"/>
      <c r="F1482" s="3"/>
      <c r="G1482" s="3"/>
      <c r="H1482" s="3"/>
    </row>
    <row r="1483">
      <c r="A1483" s="2">
        <f>IFERROR(__xludf.DUMMYFUNCTION("""COMPUTED_VALUE"""),20913.0)</f>
        <v>20913</v>
      </c>
      <c r="B1483" s="3" t="str">
        <f>IFERROR(__xludf.DUMMYFUNCTION("""COMPUTED_VALUE"""),"6862 COUNTY RD 18")</f>
        <v>6862 COUNTY RD 18</v>
      </c>
      <c r="C1483" s="3" t="str">
        <f>IFERROR(__xludf.DUMMYFUNCTION("""COMPUTED_VALUE"""),"ROSENEATH")</f>
        <v>ROSENEATH</v>
      </c>
      <c r="D1483" s="3" t="str">
        <f>IFERROR(__xludf.DUMMYFUNCTION("""COMPUTED_VALUE"""),"K0K 2X0")</f>
        <v>K0K 2X0</v>
      </c>
      <c r="E1483" s="3" t="str">
        <f>IFERROR(__xludf.DUMMYFUNCTION("""COMPUTED_VALUE"""),"rick newell ")</f>
        <v>rick newell </v>
      </c>
      <c r="F1483" s="3" t="str">
        <f>IFERROR(__xludf.DUMMYFUNCTION("""COMPUTED_VALUE"""),"rnewell1961@gmail.com")</f>
        <v>rnewell1961@gmail.com</v>
      </c>
      <c r="G1483" s="3">
        <f>IFERROR(__xludf.DUMMYFUNCTION("""COMPUTED_VALUE"""),9.054313383E9)</f>
        <v>9054313383</v>
      </c>
      <c r="H1483" s="3"/>
    </row>
    <row r="1484">
      <c r="A1484" s="2">
        <f>IFERROR(__xludf.DUMMYFUNCTION("""COMPUTED_VALUE"""),21187.0)</f>
        <v>21187</v>
      </c>
      <c r="B1484" s="3" t="str">
        <f>IFERROR(__xludf.DUMMYFUNCTION("""COMPUTED_VALUE"""),"6904 COUNTY RD 18 RD")</f>
        <v>6904 COUNTY RD 18 RD</v>
      </c>
      <c r="C1484" s="3" t="str">
        <f>IFERROR(__xludf.DUMMYFUNCTION("""COMPUTED_VALUE"""),"ROSENEATH")</f>
        <v>ROSENEATH</v>
      </c>
      <c r="D1484" s="3" t="str">
        <f>IFERROR(__xludf.DUMMYFUNCTION("""COMPUTED_VALUE"""),"K0K 2X0")</f>
        <v>K0K 2X0</v>
      </c>
      <c r="E1484" s="3" t="str">
        <f>IFERROR(__xludf.DUMMYFUNCTION("""COMPUTED_VALUE"""),"Blair Gilmour")</f>
        <v>Blair Gilmour</v>
      </c>
      <c r="F1484" s="3" t="str">
        <f>IFERROR(__xludf.DUMMYFUNCTION("""COMPUTED_VALUE"""),"blairgilmour@me.com")</f>
        <v>blairgilmour@me.com</v>
      </c>
      <c r="G1484" s="3"/>
      <c r="H1484" s="3"/>
    </row>
    <row r="1485">
      <c r="A1485" s="2">
        <f>IFERROR(__xludf.DUMMYFUNCTION("""COMPUTED_VALUE"""),21188.0)</f>
        <v>21188</v>
      </c>
      <c r="B1485" s="3" t="str">
        <f>IFERROR(__xludf.DUMMYFUNCTION("""COMPUTED_VALUE"""),"6916 COUNTY RD 18 RD A")</f>
        <v>6916 COUNTY RD 18 RD A</v>
      </c>
      <c r="C1485" s="3" t="str">
        <f>IFERROR(__xludf.DUMMYFUNCTION("""COMPUTED_VALUE"""),"ROSENEATH")</f>
        <v>ROSENEATH</v>
      </c>
      <c r="D1485" s="3" t="str">
        <f>IFERROR(__xludf.DUMMYFUNCTION("""COMPUTED_VALUE"""),"K0K 2X0")</f>
        <v>K0K 2X0</v>
      </c>
      <c r="E1485" s="3"/>
      <c r="F1485" s="3"/>
      <c r="G1485" s="3"/>
      <c r="H1485" s="3"/>
    </row>
    <row r="1486">
      <c r="A1486" s="2">
        <f>IFERROR(__xludf.DUMMYFUNCTION("""COMPUTED_VALUE"""),21189.0)</f>
        <v>21189</v>
      </c>
      <c r="B1486" s="3" t="str">
        <f>IFERROR(__xludf.DUMMYFUNCTION("""COMPUTED_VALUE"""),"6916 COUNTY RD 18 RD B")</f>
        <v>6916 COUNTY RD 18 RD B</v>
      </c>
      <c r="C1486" s="3" t="str">
        <f>IFERROR(__xludf.DUMMYFUNCTION("""COMPUTED_VALUE"""),"ROSENEATH")</f>
        <v>ROSENEATH</v>
      </c>
      <c r="D1486" s="3" t="str">
        <f>IFERROR(__xludf.DUMMYFUNCTION("""COMPUTED_VALUE"""),"K0K 2X0")</f>
        <v>K0K 2X0</v>
      </c>
      <c r="E1486" s="3"/>
      <c r="F1486" s="3"/>
      <c r="G1486" s="3"/>
      <c r="H1486" s="3"/>
    </row>
    <row r="1487">
      <c r="A1487" s="2">
        <f>IFERROR(__xludf.DUMMYFUNCTION("""COMPUTED_VALUE"""),21190.0)</f>
        <v>21190</v>
      </c>
      <c r="B1487" s="3" t="str">
        <f>IFERROR(__xludf.DUMMYFUNCTION("""COMPUTED_VALUE"""),"7038 COUNTY RD 18 RD")</f>
        <v>7038 COUNTY RD 18 RD</v>
      </c>
      <c r="C1487" s="3" t="str">
        <f>IFERROR(__xludf.DUMMYFUNCTION("""COMPUTED_VALUE"""),"ROSENEATH")</f>
        <v>ROSENEATH</v>
      </c>
      <c r="D1487" s="3" t="str">
        <f>IFERROR(__xludf.DUMMYFUNCTION("""COMPUTED_VALUE"""),"K0K 2X0")</f>
        <v>K0K 2X0</v>
      </c>
      <c r="E1487" s="3" t="str">
        <f>IFERROR(__xludf.DUMMYFUNCTION("""COMPUTED_VALUE"""),"Brittany Elik")</f>
        <v>Brittany Elik</v>
      </c>
      <c r="F1487" s="3" t="str">
        <f>IFERROR(__xludf.DUMMYFUNCTION("""COMPUTED_VALUE"""),"brittanyelik@gmail.com")</f>
        <v>brittanyelik@gmail.com</v>
      </c>
      <c r="G1487" s="3">
        <f>IFERROR(__xludf.DUMMYFUNCTION("""COMPUTED_VALUE"""),9.054416018E9)</f>
        <v>9054416018</v>
      </c>
      <c r="H1487" s="3"/>
    </row>
    <row r="1488">
      <c r="A1488" s="2">
        <f>IFERROR(__xludf.DUMMYFUNCTION("""COMPUTED_VALUE"""),20914.0)</f>
        <v>20914</v>
      </c>
      <c r="B1488" s="3" t="str">
        <f>IFERROR(__xludf.DUMMYFUNCTION("""COMPUTED_VALUE"""),"7156 COUNTY RD 18")</f>
        <v>7156 COUNTY RD 18</v>
      </c>
      <c r="C1488" s="3" t="str">
        <f>IFERROR(__xludf.DUMMYFUNCTION("""COMPUTED_VALUE"""),"ROSENEATH")</f>
        <v>ROSENEATH</v>
      </c>
      <c r="D1488" s="3" t="str">
        <f>IFERROR(__xludf.DUMMYFUNCTION("""COMPUTED_VALUE"""),"K0K 2X0")</f>
        <v>K0K 2X0</v>
      </c>
      <c r="E1488" s="3" t="str">
        <f>IFERROR(__xludf.DUMMYFUNCTION("""COMPUTED_VALUE"""),"roger davies")</f>
        <v>roger davies</v>
      </c>
      <c r="F1488" s="3"/>
      <c r="G1488" s="3">
        <f>IFERROR(__xludf.DUMMYFUNCTION("""COMPUTED_VALUE"""),4.169039608E9)</f>
        <v>4169039608</v>
      </c>
      <c r="H1488" s="3"/>
    </row>
    <row r="1489">
      <c r="A1489" s="2">
        <f>IFERROR(__xludf.DUMMYFUNCTION("""COMPUTED_VALUE"""),20915.0)</f>
        <v>20915</v>
      </c>
      <c r="B1489" s="3" t="str">
        <f>IFERROR(__xludf.DUMMYFUNCTION("""COMPUTED_VALUE"""),"7202 COUNTY RD 18")</f>
        <v>7202 COUNTY RD 18</v>
      </c>
      <c r="C1489" s="3" t="str">
        <f>IFERROR(__xludf.DUMMYFUNCTION("""COMPUTED_VALUE"""),"ROSENEATH")</f>
        <v>ROSENEATH</v>
      </c>
      <c r="D1489" s="3" t="str">
        <f>IFERROR(__xludf.DUMMYFUNCTION("""COMPUTED_VALUE"""),"K0K 2X0")</f>
        <v>K0K 2X0</v>
      </c>
      <c r="E1489" s="3"/>
      <c r="F1489" s="3"/>
      <c r="G1489" s="3"/>
      <c r="H1489" s="3"/>
    </row>
    <row r="1490">
      <c r="A1490" s="2">
        <f>IFERROR(__xludf.DUMMYFUNCTION("""COMPUTED_VALUE"""),20916.0)</f>
        <v>20916</v>
      </c>
      <c r="B1490" s="3" t="str">
        <f>IFERROR(__xludf.DUMMYFUNCTION("""COMPUTED_VALUE"""),"7212 COUNTY RD 18")</f>
        <v>7212 COUNTY RD 18</v>
      </c>
      <c r="C1490" s="3" t="str">
        <f>IFERROR(__xludf.DUMMYFUNCTION("""COMPUTED_VALUE"""),"ROSENEATH")</f>
        <v>ROSENEATH</v>
      </c>
      <c r="D1490" s="3" t="str">
        <f>IFERROR(__xludf.DUMMYFUNCTION("""COMPUTED_VALUE"""),"K0K 2X0")</f>
        <v>K0K 2X0</v>
      </c>
      <c r="E1490" s="3" t="str">
        <f>IFERROR(__xludf.DUMMYFUNCTION("""COMPUTED_VALUE"""),"elen alesseer")</f>
        <v>elen alesseer</v>
      </c>
      <c r="F1490" s="3" t="str">
        <f>IFERROR(__xludf.DUMMYFUNCTION("""COMPUTED_VALUE"""),"elenadan20@gmail.com")</f>
        <v>elenadan20@gmail.com</v>
      </c>
      <c r="G1490" s="3">
        <f>IFERROR(__xludf.DUMMYFUNCTION("""COMPUTED_VALUE"""),6.472960667E9)</f>
        <v>6472960667</v>
      </c>
      <c r="H1490" s="3">
        <f>IFERROR(__xludf.DUMMYFUNCTION("""COMPUTED_VALUE"""),6.479298868E9)</f>
        <v>6479298868</v>
      </c>
    </row>
    <row r="1491">
      <c r="A1491" s="2">
        <f>IFERROR(__xludf.DUMMYFUNCTION("""COMPUTED_VALUE"""),21196.0)</f>
        <v>21196</v>
      </c>
      <c r="B1491" s="3" t="str">
        <f>IFERROR(__xludf.DUMMYFUNCTION("""COMPUTED_VALUE"""),"7214 COUNTY RD 18 RD ")</f>
        <v>7214 COUNTY RD 18 RD </v>
      </c>
      <c r="C1491" s="3" t="str">
        <f>IFERROR(__xludf.DUMMYFUNCTION("""COMPUTED_VALUE"""),"ROSENEATH")</f>
        <v>ROSENEATH</v>
      </c>
      <c r="D1491" s="3" t="str">
        <f>IFERROR(__xludf.DUMMYFUNCTION("""COMPUTED_VALUE"""),"K0K 2X0")</f>
        <v>K0K 2X0</v>
      </c>
      <c r="E1491" s="3" t="str">
        <f>IFERROR(__xludf.DUMMYFUNCTION("""COMPUTED_VALUE"""),"LESLIE BRADFORD")</f>
        <v>LESLIE BRADFORD</v>
      </c>
      <c r="F1491" s="3" t="str">
        <f>IFERROR(__xludf.DUMMYFUNCTION("""COMPUTED_VALUE"""),"leslie@waltonwoodfarm.com")</f>
        <v>leslie@waltonwoodfarm.com</v>
      </c>
      <c r="G1491" s="3"/>
      <c r="H1491" s="3"/>
    </row>
    <row r="1492">
      <c r="A1492" s="2">
        <f>IFERROR(__xludf.DUMMYFUNCTION("""COMPUTED_VALUE"""),21191.0)</f>
        <v>21191</v>
      </c>
      <c r="B1492" s="3" t="str">
        <f>IFERROR(__xludf.DUMMYFUNCTION("""COMPUTED_VALUE"""),"7214 COUNTY RD 18 RD SUITE 2")</f>
        <v>7214 COUNTY RD 18 RD SUITE 2</v>
      </c>
      <c r="C1492" s="3" t="str">
        <f>IFERROR(__xludf.DUMMYFUNCTION("""COMPUTED_VALUE"""),"ROSENEATH")</f>
        <v>ROSENEATH</v>
      </c>
      <c r="D1492" s="3" t="str">
        <f>IFERROR(__xludf.DUMMYFUNCTION("""COMPUTED_VALUE"""),"K0K 2X0")</f>
        <v>K0K 2X0</v>
      </c>
      <c r="E1492" s="3" t="str">
        <f>IFERROR(__xludf.DUMMYFUNCTION("""COMPUTED_VALUE"""),"joeseph collins")</f>
        <v>joeseph collins</v>
      </c>
      <c r="F1492" s="3" t="str">
        <f>IFERROR(__xludf.DUMMYFUNCTION("""COMPUTED_VALUE"""),"joseph.collins68@gmail.com")</f>
        <v>joseph.collins68@gmail.com</v>
      </c>
      <c r="G1492" s="3">
        <f>IFERROR(__xludf.DUMMYFUNCTION("""COMPUTED_VALUE"""),4.164593473E9)</f>
        <v>4164593473</v>
      </c>
      <c r="H1492" s="3"/>
    </row>
    <row r="1493">
      <c r="A1493" s="2">
        <f>IFERROR(__xludf.DUMMYFUNCTION("""COMPUTED_VALUE"""),21192.0)</f>
        <v>21192</v>
      </c>
      <c r="B1493" s="3" t="str">
        <f>IFERROR(__xludf.DUMMYFUNCTION("""COMPUTED_VALUE"""),"7214 COUNTY RD 18 RD SUITE 5")</f>
        <v>7214 COUNTY RD 18 RD SUITE 5</v>
      </c>
      <c r="C1493" s="3" t="str">
        <f>IFERROR(__xludf.DUMMYFUNCTION("""COMPUTED_VALUE"""),"ROSENEATH")</f>
        <v>ROSENEATH</v>
      </c>
      <c r="D1493" s="3" t="str">
        <f>IFERROR(__xludf.DUMMYFUNCTION("""COMPUTED_VALUE"""),"K0K 2X0")</f>
        <v>K0K 2X0</v>
      </c>
      <c r="E1493" s="3" t="str">
        <f>IFERROR(__xludf.DUMMYFUNCTION("""COMPUTED_VALUE"""),"Rory Quigley")</f>
        <v>Rory Quigley</v>
      </c>
      <c r="F1493" s="3" t="str">
        <f>IFERROR(__xludf.DUMMYFUNCTION("""COMPUTED_VALUE"""),"quigley@eagle.ca")</f>
        <v>quigley@eagle.ca</v>
      </c>
      <c r="G1493" s="3">
        <f>IFERROR(__xludf.DUMMYFUNCTION("""COMPUTED_VALUE"""),9.053738676E9)</f>
        <v>9053738676</v>
      </c>
      <c r="H1493" s="3"/>
    </row>
    <row r="1494">
      <c r="A1494" s="2">
        <f>IFERROR(__xludf.DUMMYFUNCTION("""COMPUTED_VALUE"""),21194.0)</f>
        <v>21194</v>
      </c>
      <c r="B1494" s="3" t="str">
        <f>IFERROR(__xludf.DUMMYFUNCTION("""COMPUTED_VALUE"""),"7214 COUNTY RD 18 RD UNIT 3")</f>
        <v>7214 COUNTY RD 18 RD UNIT 3</v>
      </c>
      <c r="C1494" s="3" t="str">
        <f>IFERROR(__xludf.DUMMYFUNCTION("""COMPUTED_VALUE"""),"ROSENEATH")</f>
        <v>ROSENEATH</v>
      </c>
      <c r="D1494" s="3" t="str">
        <f>IFERROR(__xludf.DUMMYFUNCTION("""COMPUTED_VALUE"""),"K0K 2X0")</f>
        <v>K0K 2X0</v>
      </c>
      <c r="E1494" s="3" t="str">
        <f>IFERROR(__xludf.DUMMYFUNCTION("""COMPUTED_VALUE"""),"Steve Hackney")</f>
        <v>Steve Hackney</v>
      </c>
      <c r="F1494" s="3" t="str">
        <f>IFERROR(__xludf.DUMMYFUNCTION("""COMPUTED_VALUE"""),"rshackney@outlook.com")</f>
        <v>rshackney@outlook.com</v>
      </c>
      <c r="G1494" s="3">
        <f>IFERROR(__xludf.DUMMYFUNCTION("""COMPUTED_VALUE"""),1.4165665356E10)</f>
        <v>14165665356</v>
      </c>
      <c r="H1494" s="3"/>
    </row>
    <row r="1495">
      <c r="A1495" s="2">
        <f>IFERROR(__xludf.DUMMYFUNCTION("""COMPUTED_VALUE"""),21195.0)</f>
        <v>21195</v>
      </c>
      <c r="B1495" s="3" t="str">
        <f>IFERROR(__xludf.DUMMYFUNCTION("""COMPUTED_VALUE"""),"7214 COUNTY RD 18 RD UNIT 4")</f>
        <v>7214 COUNTY RD 18 RD UNIT 4</v>
      </c>
      <c r="C1495" s="3" t="str">
        <f>IFERROR(__xludf.DUMMYFUNCTION("""COMPUTED_VALUE"""),"ROSENEATH")</f>
        <v>ROSENEATH</v>
      </c>
      <c r="D1495" s="3" t="str">
        <f>IFERROR(__xludf.DUMMYFUNCTION("""COMPUTED_VALUE"""),"K0K 2X0")</f>
        <v>K0K 2X0</v>
      </c>
      <c r="E1495" s="3" t="str">
        <f>IFERROR(__xludf.DUMMYFUNCTION("""COMPUTED_VALUE"""),"Joanne Taylor")</f>
        <v>Joanne Taylor</v>
      </c>
      <c r="F1495" s="3" t="str">
        <f>IFERROR(__xludf.DUMMYFUNCTION("""COMPUTED_VALUE"""),"thetaylors@i-zoom.net")</f>
        <v>thetaylors@i-zoom.net</v>
      </c>
      <c r="G1495" s="3">
        <f>IFERROR(__xludf.DUMMYFUNCTION("""COMPUTED_VALUE"""),2.892510339E9)</f>
        <v>2892510339</v>
      </c>
      <c r="H1495" s="3"/>
    </row>
    <row r="1496">
      <c r="A1496" s="2">
        <f>IFERROR(__xludf.DUMMYFUNCTION("""COMPUTED_VALUE"""),20917.0)</f>
        <v>20917</v>
      </c>
      <c r="B1496" s="3" t="str">
        <f>IFERROR(__xludf.DUMMYFUNCTION("""COMPUTED_VALUE"""),"7214 COUNTY RD 18 UNIT 6")</f>
        <v>7214 COUNTY RD 18 UNIT 6</v>
      </c>
      <c r="C1496" s="3" t="str">
        <f>IFERROR(__xludf.DUMMYFUNCTION("""COMPUTED_VALUE"""),"ROSENEATH")</f>
        <v>ROSENEATH</v>
      </c>
      <c r="D1496" s="3" t="str">
        <f>IFERROR(__xludf.DUMMYFUNCTION("""COMPUTED_VALUE"""),"K0K 2X0")</f>
        <v>K0K 2X0</v>
      </c>
      <c r="E1496" s="3" t="str">
        <f>IFERROR(__xludf.DUMMYFUNCTION("""COMPUTED_VALUE"""),"Steven Hackney ")</f>
        <v>Steven Hackney </v>
      </c>
      <c r="F1496" s="3" t="str">
        <f>IFERROR(__xludf.DUMMYFUNCTION("""COMPUTED_VALUE"""),"rshackney@outlook.com")</f>
        <v>rshackney@outlook.com</v>
      </c>
      <c r="G1496" s="3"/>
      <c r="H1496" s="3"/>
    </row>
    <row r="1497">
      <c r="A1497" s="2">
        <f>IFERROR(__xludf.DUMMYFUNCTION("""COMPUTED_VALUE"""),21193.0)</f>
        <v>21193</v>
      </c>
      <c r="B1497" s="3" t="str">
        <f>IFERROR(__xludf.DUMMYFUNCTION("""COMPUTED_VALUE"""),"7214 COUNTY RD 18 RD SUITE 7")</f>
        <v>7214 COUNTY RD 18 RD SUITE 7</v>
      </c>
      <c r="C1497" s="3" t="str">
        <f>IFERROR(__xludf.DUMMYFUNCTION("""COMPUTED_VALUE"""),"ROSENEATH")</f>
        <v>ROSENEATH</v>
      </c>
      <c r="D1497" s="3" t="str">
        <f>IFERROR(__xludf.DUMMYFUNCTION("""COMPUTED_VALUE"""),"K0K 2X0")</f>
        <v>K0K 2X0</v>
      </c>
      <c r="E1497" s="3" t="str">
        <f>IFERROR(__xludf.DUMMYFUNCTION("""COMPUTED_VALUE"""),"Leslie Bradford")</f>
        <v>Leslie Bradford</v>
      </c>
      <c r="F1497" s="3" t="str">
        <f>IFERROR(__xludf.DUMMYFUNCTION("""COMPUTED_VALUE"""),"leslie@waltonwoodfarm.com")</f>
        <v>leslie@waltonwoodfarm.com</v>
      </c>
      <c r="G1497" s="3">
        <f>IFERROR(__xludf.DUMMYFUNCTION("""COMPUTED_VALUE"""),7.056184394E9)</f>
        <v>7056184394</v>
      </c>
      <c r="H1497" s="3"/>
    </row>
    <row r="1498">
      <c r="A1498" s="2">
        <f>IFERROR(__xludf.DUMMYFUNCTION("""COMPUTED_VALUE"""),21197.0)</f>
        <v>21197</v>
      </c>
      <c r="B1498" s="3" t="str">
        <f>IFERROR(__xludf.DUMMYFUNCTION("""COMPUTED_VALUE"""),"7264 COUNTY RD 18 RD ")</f>
        <v>7264 COUNTY RD 18 RD </v>
      </c>
      <c r="C1498" s="3" t="str">
        <f>IFERROR(__xludf.DUMMYFUNCTION("""COMPUTED_VALUE"""),"ROSENEATH")</f>
        <v>ROSENEATH</v>
      </c>
      <c r="D1498" s="3" t="str">
        <f>IFERROR(__xludf.DUMMYFUNCTION("""COMPUTED_VALUE"""),"K0K 2X0")</f>
        <v>K0K 2X0</v>
      </c>
      <c r="E1498" s="3"/>
      <c r="F1498" s="3"/>
      <c r="G1498" s="3"/>
      <c r="H1498" s="3"/>
    </row>
    <row r="1499">
      <c r="A1499" s="2">
        <f>IFERROR(__xludf.DUMMYFUNCTION("""COMPUTED_VALUE"""),21198.0)</f>
        <v>21198</v>
      </c>
      <c r="B1499" s="3" t="str">
        <f>IFERROR(__xludf.DUMMYFUNCTION("""COMPUTED_VALUE"""),"7267 COUNTY RD 18 RD ")</f>
        <v>7267 COUNTY RD 18 RD </v>
      </c>
      <c r="C1499" s="3" t="str">
        <f>IFERROR(__xludf.DUMMYFUNCTION("""COMPUTED_VALUE"""),"ROSENEATH")</f>
        <v>ROSENEATH</v>
      </c>
      <c r="D1499" s="3" t="str">
        <f>IFERROR(__xludf.DUMMYFUNCTION("""COMPUTED_VALUE"""),"K0K 2X0")</f>
        <v>K0K 2X0</v>
      </c>
      <c r="E1499" s="3"/>
      <c r="F1499" s="3"/>
      <c r="G1499" s="3"/>
      <c r="H1499" s="3"/>
    </row>
    <row r="1500">
      <c r="A1500" s="2">
        <f>IFERROR(__xludf.DUMMYFUNCTION("""COMPUTED_VALUE"""),21199.0)</f>
        <v>21199</v>
      </c>
      <c r="B1500" s="3" t="str">
        <f>IFERROR(__xludf.DUMMYFUNCTION("""COMPUTED_VALUE"""),"7276 COUNTY RD 18 RD SUITE 1")</f>
        <v>7276 COUNTY RD 18 RD SUITE 1</v>
      </c>
      <c r="C1500" s="3" t="str">
        <f>IFERROR(__xludf.DUMMYFUNCTION("""COMPUTED_VALUE"""),"ROSENEATH")</f>
        <v>ROSENEATH</v>
      </c>
      <c r="D1500" s="3" t="str">
        <f>IFERROR(__xludf.DUMMYFUNCTION("""COMPUTED_VALUE"""),"K0K 2X0")</f>
        <v>K0K 2X0</v>
      </c>
      <c r="E1500" s="3"/>
      <c r="F1500" s="3"/>
      <c r="G1500" s="3"/>
      <c r="H1500" s="3"/>
    </row>
    <row r="1501">
      <c r="A1501" s="2">
        <f>IFERROR(__xludf.DUMMYFUNCTION("""COMPUTED_VALUE"""),21200.0)</f>
        <v>21200</v>
      </c>
      <c r="B1501" s="3" t="str">
        <f>IFERROR(__xludf.DUMMYFUNCTION("""COMPUTED_VALUE"""),"7276 COUNTY RD 18 RD SUITE 2")</f>
        <v>7276 COUNTY RD 18 RD SUITE 2</v>
      </c>
      <c r="C1501" s="3" t="str">
        <f>IFERROR(__xludf.DUMMYFUNCTION("""COMPUTED_VALUE"""),"ROSENEATH")</f>
        <v>ROSENEATH</v>
      </c>
      <c r="D1501" s="3" t="str">
        <f>IFERROR(__xludf.DUMMYFUNCTION("""COMPUTED_VALUE"""),"K0K 2X0")</f>
        <v>K0K 2X0</v>
      </c>
      <c r="E1501" s="3"/>
      <c r="F1501" s="3"/>
      <c r="G1501" s="3"/>
      <c r="H1501" s="3"/>
    </row>
    <row r="1502">
      <c r="A1502" s="2">
        <f>IFERROR(__xludf.DUMMYFUNCTION("""COMPUTED_VALUE"""),21202.0)</f>
        <v>21202</v>
      </c>
      <c r="B1502" s="3" t="str">
        <f>IFERROR(__xludf.DUMMYFUNCTION("""COMPUTED_VALUE"""),"7276 COUNTY RD 18 RD SUITE 4")</f>
        <v>7276 COUNTY RD 18 RD SUITE 4</v>
      </c>
      <c r="C1502" s="3" t="str">
        <f>IFERROR(__xludf.DUMMYFUNCTION("""COMPUTED_VALUE"""),"ROSENEATH")</f>
        <v>ROSENEATH</v>
      </c>
      <c r="D1502" s="3" t="str">
        <f>IFERROR(__xludf.DUMMYFUNCTION("""COMPUTED_VALUE"""),"K0K 2X0")</f>
        <v>K0K 2X0</v>
      </c>
      <c r="E1502" s="3"/>
      <c r="F1502" s="3"/>
      <c r="G1502" s="3"/>
      <c r="H1502" s="3"/>
    </row>
    <row r="1503">
      <c r="A1503" s="2">
        <f>IFERROR(__xludf.DUMMYFUNCTION("""COMPUTED_VALUE"""),21203.0)</f>
        <v>21203</v>
      </c>
      <c r="B1503" s="3" t="str">
        <f>IFERROR(__xludf.DUMMYFUNCTION("""COMPUTED_VALUE"""),"7276 COUNTY RD 18 RD SUITE 5")</f>
        <v>7276 COUNTY RD 18 RD SUITE 5</v>
      </c>
      <c r="C1503" s="3" t="str">
        <f>IFERROR(__xludf.DUMMYFUNCTION("""COMPUTED_VALUE"""),"ROSENEATH")</f>
        <v>ROSENEATH</v>
      </c>
      <c r="D1503" s="3" t="str">
        <f>IFERROR(__xludf.DUMMYFUNCTION("""COMPUTED_VALUE"""),"K0K 2X0")</f>
        <v>K0K 2X0</v>
      </c>
      <c r="E1503" s="3" t="str">
        <f>IFERROR(__xludf.DUMMYFUNCTION("""COMPUTED_VALUE"""),"glenn sullivan")</f>
        <v>glenn sullivan</v>
      </c>
      <c r="F1503" s="3" t="str">
        <f>IFERROR(__xludf.DUMMYFUNCTION("""COMPUTED_VALUE"""),"glennsullivan20@icloud.com")</f>
        <v>glennsullivan20@icloud.com</v>
      </c>
      <c r="G1503" s="3">
        <f>IFERROR(__xludf.DUMMYFUNCTION("""COMPUTED_VALUE"""),4.167952506E9)</f>
        <v>4167952506</v>
      </c>
      <c r="H1503" s="3"/>
    </row>
    <row r="1504">
      <c r="A1504" s="2">
        <f>IFERROR(__xludf.DUMMYFUNCTION("""COMPUTED_VALUE"""),21204.0)</f>
        <v>21204</v>
      </c>
      <c r="B1504" s="3" t="str">
        <f>IFERROR(__xludf.DUMMYFUNCTION("""COMPUTED_VALUE"""),"7276 COUNTY RD 18 RD SUITE 8")</f>
        <v>7276 COUNTY RD 18 RD SUITE 8</v>
      </c>
      <c r="C1504" s="3" t="str">
        <f>IFERROR(__xludf.DUMMYFUNCTION("""COMPUTED_VALUE"""),"ROSENEATH")</f>
        <v>ROSENEATH</v>
      </c>
      <c r="D1504" s="3" t="str">
        <f>IFERROR(__xludf.DUMMYFUNCTION("""COMPUTED_VALUE"""),"K0K 2X0")</f>
        <v>K0K 2X0</v>
      </c>
      <c r="E1504" s="3"/>
      <c r="F1504" s="3"/>
      <c r="G1504" s="3"/>
      <c r="H1504" s="3"/>
    </row>
    <row r="1505">
      <c r="A1505" s="2">
        <f>IFERROR(__xludf.DUMMYFUNCTION("""COMPUTED_VALUE"""),21205.0)</f>
        <v>21205</v>
      </c>
      <c r="B1505" s="3" t="str">
        <f>IFERROR(__xludf.DUMMYFUNCTION("""COMPUTED_VALUE"""),"7276 COUNTY RD 18 RD UNIT 1A")</f>
        <v>7276 COUNTY RD 18 RD UNIT 1A</v>
      </c>
      <c r="C1505" s="3" t="str">
        <f>IFERROR(__xludf.DUMMYFUNCTION("""COMPUTED_VALUE"""),"ROSENEATH")</f>
        <v>ROSENEATH</v>
      </c>
      <c r="D1505" s="3" t="str">
        <f>IFERROR(__xludf.DUMMYFUNCTION("""COMPUTED_VALUE"""),"K0K 2X0")</f>
        <v>K0K 2X0</v>
      </c>
      <c r="E1505" s="3"/>
      <c r="F1505" s="3"/>
      <c r="G1505" s="3"/>
      <c r="H1505" s="3"/>
    </row>
    <row r="1506">
      <c r="A1506" s="2">
        <f>IFERROR(__xludf.DUMMYFUNCTION("""COMPUTED_VALUE"""),21206.0)</f>
        <v>21206</v>
      </c>
      <c r="B1506" s="3" t="str">
        <f>IFERROR(__xludf.DUMMYFUNCTION("""COMPUTED_VALUE"""),"7276 COUNTY RD 18 RD UNIT 6")</f>
        <v>7276 COUNTY RD 18 RD UNIT 6</v>
      </c>
      <c r="C1506" s="3" t="str">
        <f>IFERROR(__xludf.DUMMYFUNCTION("""COMPUTED_VALUE"""),"ROSENEATH")</f>
        <v>ROSENEATH</v>
      </c>
      <c r="D1506" s="3" t="str">
        <f>IFERROR(__xludf.DUMMYFUNCTION("""COMPUTED_VALUE"""),"K0K 2X0")</f>
        <v>K0K 2X0</v>
      </c>
      <c r="E1506" s="3" t="str">
        <f>IFERROR(__xludf.DUMMYFUNCTION("""COMPUTED_VALUE"""),"Trevor &amp; Annette Henry")</f>
        <v>Trevor &amp; Annette Henry</v>
      </c>
      <c r="F1506" s="3" t="str">
        <f>IFERROR(__xludf.DUMMYFUNCTION("""COMPUTED_VALUE"""),"annette.henry62@icloud.com")</f>
        <v>annette.henry62@icloud.com</v>
      </c>
      <c r="G1506" s="3"/>
      <c r="H1506" s="3"/>
    </row>
    <row r="1507">
      <c r="A1507" s="2">
        <f>IFERROR(__xludf.DUMMYFUNCTION("""COMPUTED_VALUE"""),21201.0)</f>
        <v>21201</v>
      </c>
      <c r="B1507" s="3" t="str">
        <f>IFERROR(__xludf.DUMMYFUNCTION("""COMPUTED_VALUE"""),"7276 COUNTY RD 18 UNIT 3")</f>
        <v>7276 COUNTY RD 18 UNIT 3</v>
      </c>
      <c r="C1507" s="3" t="str">
        <f>IFERROR(__xludf.DUMMYFUNCTION("""COMPUTED_VALUE"""),"ROSENEATH")</f>
        <v>ROSENEATH</v>
      </c>
      <c r="D1507" s="3" t="str">
        <f>IFERROR(__xludf.DUMMYFUNCTION("""COMPUTED_VALUE"""),"K0K 2X0")</f>
        <v>K0K 2X0</v>
      </c>
      <c r="E1507" s="3" t="str">
        <f>IFERROR(__xludf.DUMMYFUNCTION("""COMPUTED_VALUE"""),"Mary-Jane Loftus")</f>
        <v>Mary-Jane Loftus</v>
      </c>
      <c r="F1507" s="3" t="str">
        <f>IFERROR(__xludf.DUMMYFUNCTION("""COMPUTED_VALUE"""),"loftus.maryjane@gmail.com")</f>
        <v>loftus.maryjane@gmail.com</v>
      </c>
      <c r="G1507" s="3">
        <f>IFERROR(__xludf.DUMMYFUNCTION("""COMPUTED_VALUE"""),9.052785812E9)</f>
        <v>9052785812</v>
      </c>
      <c r="H1507" s="3"/>
    </row>
    <row r="1508">
      <c r="A1508" s="2">
        <f>IFERROR(__xludf.DUMMYFUNCTION("""COMPUTED_VALUE"""),21207.0)</f>
        <v>21207</v>
      </c>
      <c r="B1508" s="3" t="str">
        <f>IFERROR(__xludf.DUMMYFUNCTION("""COMPUTED_VALUE"""),"7300 COUNTY RD 18 RD SUITE 3")</f>
        <v>7300 COUNTY RD 18 RD SUITE 3</v>
      </c>
      <c r="C1508" s="3" t="str">
        <f>IFERROR(__xludf.DUMMYFUNCTION("""COMPUTED_VALUE"""),"ROSENEATH")</f>
        <v>ROSENEATH</v>
      </c>
      <c r="D1508" s="3" t="str">
        <f>IFERROR(__xludf.DUMMYFUNCTION("""COMPUTED_VALUE"""),"K0K 2X0")</f>
        <v>K0K 2X0</v>
      </c>
      <c r="E1508" s="3"/>
      <c r="F1508" s="3"/>
      <c r="G1508" s="3"/>
      <c r="H1508" s="3"/>
    </row>
    <row r="1509">
      <c r="A1509" s="2">
        <f>IFERROR(__xludf.DUMMYFUNCTION("""COMPUTED_VALUE"""),21208.0)</f>
        <v>21208</v>
      </c>
      <c r="B1509" s="3" t="str">
        <f>IFERROR(__xludf.DUMMYFUNCTION("""COMPUTED_VALUE"""),"7300 COUNTY RD 18 RD SUITE 4")</f>
        <v>7300 COUNTY RD 18 RD SUITE 4</v>
      </c>
      <c r="C1509" s="3" t="str">
        <f>IFERROR(__xludf.DUMMYFUNCTION("""COMPUTED_VALUE"""),"ROSENEATH")</f>
        <v>ROSENEATH</v>
      </c>
      <c r="D1509" s="3" t="str">
        <f>IFERROR(__xludf.DUMMYFUNCTION("""COMPUTED_VALUE"""),"K0K 2X0")</f>
        <v>K0K 2X0</v>
      </c>
      <c r="E1509" s="3"/>
      <c r="F1509" s="3"/>
      <c r="G1509" s="3"/>
      <c r="H1509" s="3"/>
    </row>
    <row r="1510">
      <c r="A1510" s="2">
        <f>IFERROR(__xludf.DUMMYFUNCTION("""COMPUTED_VALUE"""),21209.0)</f>
        <v>21209</v>
      </c>
      <c r="B1510" s="3" t="str">
        <f>IFERROR(__xludf.DUMMYFUNCTION("""COMPUTED_VALUE"""),"7300 COUNTY RD 18 RD SUITE 5")</f>
        <v>7300 COUNTY RD 18 RD SUITE 5</v>
      </c>
      <c r="C1510" s="3" t="str">
        <f>IFERROR(__xludf.DUMMYFUNCTION("""COMPUTED_VALUE"""),"ROSENEATH")</f>
        <v>ROSENEATH</v>
      </c>
      <c r="D1510" s="3" t="str">
        <f>IFERROR(__xludf.DUMMYFUNCTION("""COMPUTED_VALUE"""),"K0K 2X0")</f>
        <v>K0K 2X0</v>
      </c>
      <c r="E1510" s="3" t="str">
        <f>IFERROR(__xludf.DUMMYFUNCTION("""COMPUTED_VALUE"""),"Yvonne sauve")</f>
        <v>Yvonne sauve</v>
      </c>
      <c r="F1510" s="3" t="str">
        <f>IFERROR(__xludf.DUMMYFUNCTION("""COMPUTED_VALUE"""),"dandy.sauve@gmail.com")</f>
        <v>dandy.sauve@gmail.com</v>
      </c>
      <c r="G1510" s="3">
        <f>IFERROR(__xludf.DUMMYFUNCTION("""COMPUTED_VALUE"""),9.052442744E9)</f>
        <v>9052442744</v>
      </c>
      <c r="H1510" s="3"/>
    </row>
    <row r="1511">
      <c r="A1511" s="2">
        <f>IFERROR(__xludf.DUMMYFUNCTION("""COMPUTED_VALUE"""),21210.0)</f>
        <v>21210</v>
      </c>
      <c r="B1511" s="3" t="str">
        <f>IFERROR(__xludf.DUMMYFUNCTION("""COMPUTED_VALUE"""),"7300 COUNTY RD 18 RD SUITE 6")</f>
        <v>7300 COUNTY RD 18 RD SUITE 6</v>
      </c>
      <c r="C1511" s="3" t="str">
        <f>IFERROR(__xludf.DUMMYFUNCTION("""COMPUTED_VALUE"""),"ROSENEATH")</f>
        <v>ROSENEATH</v>
      </c>
      <c r="D1511" s="3" t="str">
        <f>IFERROR(__xludf.DUMMYFUNCTION("""COMPUTED_VALUE"""),"K0K 2X0")</f>
        <v>K0K 2X0</v>
      </c>
      <c r="E1511" s="3"/>
      <c r="F1511" s="3"/>
      <c r="G1511" s="3"/>
      <c r="H1511" s="3"/>
    </row>
    <row r="1512">
      <c r="A1512" s="2">
        <f>IFERROR(__xludf.DUMMYFUNCTION("""COMPUTED_VALUE"""),21211.0)</f>
        <v>21211</v>
      </c>
      <c r="B1512" s="3" t="str">
        <f>IFERROR(__xludf.DUMMYFUNCTION("""COMPUTED_VALUE"""),"7300 COUNTY RD 18 RD UNIT 1")</f>
        <v>7300 COUNTY RD 18 RD UNIT 1</v>
      </c>
      <c r="C1512" s="3" t="str">
        <f>IFERROR(__xludf.DUMMYFUNCTION("""COMPUTED_VALUE"""),"ROSENEATH")</f>
        <v>ROSENEATH</v>
      </c>
      <c r="D1512" s="3" t="str">
        <f>IFERROR(__xludf.DUMMYFUNCTION("""COMPUTED_VALUE"""),"K0K 2X0")</f>
        <v>K0K 2X0</v>
      </c>
      <c r="E1512" s="3"/>
      <c r="F1512" s="3"/>
      <c r="G1512" s="3"/>
      <c r="H1512" s="3"/>
    </row>
    <row r="1513">
      <c r="A1513" s="2">
        <f>IFERROR(__xludf.DUMMYFUNCTION("""COMPUTED_VALUE"""),21212.0)</f>
        <v>21212</v>
      </c>
      <c r="B1513" s="3" t="str">
        <f>IFERROR(__xludf.DUMMYFUNCTION("""COMPUTED_VALUE"""),"7300 COUNTY RD 18 RD UNIT 2")</f>
        <v>7300 COUNTY RD 18 RD UNIT 2</v>
      </c>
      <c r="C1513" s="3" t="str">
        <f>IFERROR(__xludf.DUMMYFUNCTION("""COMPUTED_VALUE"""),"ROSENEATH")</f>
        <v>ROSENEATH</v>
      </c>
      <c r="D1513" s="3" t="str">
        <f>IFERROR(__xludf.DUMMYFUNCTION("""COMPUTED_VALUE"""),"K0K 2X0")</f>
        <v>K0K 2X0</v>
      </c>
      <c r="E1513" s="3"/>
      <c r="F1513" s="3"/>
      <c r="G1513" s="3"/>
      <c r="H1513" s="3"/>
    </row>
    <row r="1514">
      <c r="A1514" s="2">
        <f>IFERROR(__xludf.DUMMYFUNCTION("""COMPUTED_VALUE"""),21213.0)</f>
        <v>21213</v>
      </c>
      <c r="B1514" s="3" t="str">
        <f>IFERROR(__xludf.DUMMYFUNCTION("""COMPUTED_VALUE"""),"7380 COUNTY RD 18 RD ")</f>
        <v>7380 COUNTY RD 18 RD </v>
      </c>
      <c r="C1514" s="3" t="str">
        <f>IFERROR(__xludf.DUMMYFUNCTION("""COMPUTED_VALUE"""),"ROSENEATH")</f>
        <v>ROSENEATH</v>
      </c>
      <c r="D1514" s="3" t="str">
        <f>IFERROR(__xludf.DUMMYFUNCTION("""COMPUTED_VALUE"""),"K0K 2X0")</f>
        <v>K0K 2X0</v>
      </c>
      <c r="E1514" s="3" t="str">
        <f>IFERROR(__xludf.DUMMYFUNCTION("""COMPUTED_VALUE"""),"Ronald Oswald")</f>
        <v>Ronald Oswald</v>
      </c>
      <c r="F1514" s="3" t="str">
        <f>IFERROR(__xludf.DUMMYFUNCTION("""COMPUTED_VALUE"""),"rjo11@me.com")</f>
        <v>rjo11@me.com</v>
      </c>
      <c r="G1514" s="3"/>
      <c r="H1514" s="3"/>
    </row>
    <row r="1515">
      <c r="A1515" s="2">
        <f>IFERROR(__xludf.DUMMYFUNCTION("""COMPUTED_VALUE"""),21215.0)</f>
        <v>21215</v>
      </c>
      <c r="B1515" s="3" t="str">
        <f>IFERROR(__xludf.DUMMYFUNCTION("""COMPUTED_VALUE"""),"7391A COUNTY RD 18 RD ")</f>
        <v>7391A COUNTY RD 18 RD </v>
      </c>
      <c r="C1515" s="3" t="str">
        <f>IFERROR(__xludf.DUMMYFUNCTION("""COMPUTED_VALUE"""),"ROSENEATH")</f>
        <v>ROSENEATH</v>
      </c>
      <c r="D1515" s="3" t="str">
        <f>IFERROR(__xludf.DUMMYFUNCTION("""COMPUTED_VALUE"""),"K0K 2X0")</f>
        <v>K0K 2X0</v>
      </c>
      <c r="E1515" s="3" t="str">
        <f>IFERROR(__xludf.DUMMYFUNCTION("""COMPUTED_VALUE"""),"Bernard Blastorah")</f>
        <v>Bernard Blastorah</v>
      </c>
      <c r="F1515" s="3" t="str">
        <f>IFERROR(__xludf.DUMMYFUNCTION("""COMPUTED_VALUE"""),"b.blastorah@hotmail.com")</f>
        <v>b.blastorah@hotmail.com</v>
      </c>
      <c r="G1515" s="3"/>
      <c r="H1515" s="3"/>
    </row>
    <row r="1516">
      <c r="A1516" s="2">
        <f>IFERROR(__xludf.DUMMYFUNCTION("""COMPUTED_VALUE"""),21216.0)</f>
        <v>21216</v>
      </c>
      <c r="B1516" s="3" t="str">
        <f>IFERROR(__xludf.DUMMYFUNCTION("""COMPUTED_VALUE"""),"7391B COUNTY RD 18 RD ")</f>
        <v>7391B COUNTY RD 18 RD </v>
      </c>
      <c r="C1516" s="3" t="str">
        <f>IFERROR(__xludf.DUMMYFUNCTION("""COMPUTED_VALUE"""),"ROSENEATH")</f>
        <v>ROSENEATH</v>
      </c>
      <c r="D1516" s="3" t="str">
        <f>IFERROR(__xludf.DUMMYFUNCTION("""COMPUTED_VALUE"""),"K0K 2X0")</f>
        <v>K0K 2X0</v>
      </c>
      <c r="E1516" s="3" t="str">
        <f>IFERROR(__xludf.DUMMYFUNCTION("""COMPUTED_VALUE"""),"Bernard Blastorah")</f>
        <v>Bernard Blastorah</v>
      </c>
      <c r="F1516" s="3" t="str">
        <f>IFERROR(__xludf.DUMMYFUNCTION("""COMPUTED_VALUE"""),"b.blastorah@hotmail.com")</f>
        <v>b.blastorah@hotmail.com</v>
      </c>
      <c r="G1516" s="3"/>
      <c r="H1516" s="3"/>
    </row>
    <row r="1517">
      <c r="A1517" s="2">
        <f>IFERROR(__xludf.DUMMYFUNCTION("""COMPUTED_VALUE"""),20955.0)</f>
        <v>20955</v>
      </c>
      <c r="B1517" s="3" t="str">
        <f>IFERROR(__xludf.DUMMYFUNCTION("""COMPUTED_VALUE"""),"123 COUNTY RD 22")</f>
        <v>123 COUNTY RD 22</v>
      </c>
      <c r="C1517" s="3" t="str">
        <f>IFERROR(__xludf.DUMMYFUNCTION("""COMPUTED_VALUE"""),"BALTIMORE")</f>
        <v>BALTIMORE</v>
      </c>
      <c r="D1517" s="3" t="str">
        <f>IFERROR(__xludf.DUMMYFUNCTION("""COMPUTED_VALUE"""),"K0K 1C0")</f>
        <v>K0K 1C0</v>
      </c>
      <c r="E1517" s="3" t="str">
        <f>IFERROR(__xludf.DUMMYFUNCTION("""COMPUTED_VALUE"""),"ralph robins")</f>
        <v>ralph robins</v>
      </c>
      <c r="F1517" s="3"/>
      <c r="G1517" s="3">
        <f>IFERROR(__xludf.DUMMYFUNCTION("""COMPUTED_VALUE"""),9.053492768E9)</f>
        <v>9053492768</v>
      </c>
      <c r="H1517" s="3">
        <f>IFERROR(__xludf.DUMMYFUNCTION("""COMPUTED_VALUE"""),9.053769307E9)</f>
        <v>9053769307</v>
      </c>
    </row>
    <row r="1518">
      <c r="A1518" s="2">
        <f>IFERROR(__xludf.DUMMYFUNCTION("""COMPUTED_VALUE"""),20956.0)</f>
        <v>20956</v>
      </c>
      <c r="B1518" s="3" t="str">
        <f>IFERROR(__xludf.DUMMYFUNCTION("""COMPUTED_VALUE"""),"128 COUNTY RD 22")</f>
        <v>128 COUNTY RD 22</v>
      </c>
      <c r="C1518" s="3" t="str">
        <f>IFERROR(__xludf.DUMMYFUNCTION("""COMPUTED_VALUE"""),"BALTIMORE")</f>
        <v>BALTIMORE</v>
      </c>
      <c r="D1518" s="3" t="str">
        <f>IFERROR(__xludf.DUMMYFUNCTION("""COMPUTED_VALUE"""),"K0K 1C0")</f>
        <v>K0K 1C0</v>
      </c>
      <c r="E1518" s="3" t="str">
        <f>IFERROR(__xludf.DUMMYFUNCTION("""COMPUTED_VALUE"""),"VINCENT MOSHER")</f>
        <v>VINCENT MOSHER</v>
      </c>
      <c r="F1518" s="3" t="str">
        <f>IFERROR(__xludf.DUMMYFUNCTION("""COMPUTED_VALUE"""),"vincemosher@yahoo.ca")</f>
        <v>vincemosher@yahoo.ca</v>
      </c>
      <c r="G1518" s="3"/>
      <c r="H1518" s="3"/>
    </row>
    <row r="1519">
      <c r="A1519" s="2">
        <f>IFERROR(__xludf.DUMMYFUNCTION("""COMPUTED_VALUE"""),21629.0)</f>
        <v>21629</v>
      </c>
      <c r="B1519" s="3" t="str">
        <f>IFERROR(__xludf.DUMMYFUNCTION("""COMPUTED_VALUE"""),"145 EARL RD")</f>
        <v>145 EARL RD</v>
      </c>
      <c r="C1519" s="3" t="str">
        <f>IFERROR(__xludf.DUMMYFUNCTION("""COMPUTED_VALUE"""),"BALTIMORE")</f>
        <v>BALTIMORE</v>
      </c>
      <c r="D1519" s="3" t="str">
        <f>IFERROR(__xludf.DUMMYFUNCTION("""COMPUTED_VALUE"""),"K0K 1C0")</f>
        <v>K0K 1C0</v>
      </c>
      <c r="E1519" s="3"/>
      <c r="F1519" s="3"/>
      <c r="G1519" s="3"/>
      <c r="H1519" s="3"/>
    </row>
    <row r="1520">
      <c r="A1520" s="2">
        <f>IFERROR(__xludf.DUMMYFUNCTION("""COMPUTED_VALUE"""),22807.0)</f>
        <v>22807</v>
      </c>
      <c r="B1520" s="3" t="str">
        <f>IFERROR(__xludf.DUMMYFUNCTION("""COMPUTED_VALUE"""),"157 NICHOL RD")</f>
        <v>157 NICHOL RD</v>
      </c>
      <c r="C1520" s="3" t="str">
        <f>IFERROR(__xludf.DUMMYFUNCTION("""COMPUTED_VALUE"""),"BALTIMORE")</f>
        <v>BALTIMORE</v>
      </c>
      <c r="D1520" s="3" t="str">
        <f>IFERROR(__xludf.DUMMYFUNCTION("""COMPUTED_VALUE"""),"K0K 1C0")</f>
        <v>K0K 1C0</v>
      </c>
      <c r="E1520" s="3"/>
      <c r="F1520" s="3"/>
      <c r="G1520" s="3"/>
      <c r="H1520" s="3"/>
    </row>
    <row r="1521">
      <c r="A1521" s="2">
        <f>IFERROR(__xludf.DUMMYFUNCTION("""COMPUTED_VALUE"""),23369.0)</f>
        <v>23369</v>
      </c>
      <c r="B1521" s="3" t="str">
        <f>IFERROR(__xludf.DUMMYFUNCTION("""COMPUTED_VALUE"""),"163 STEWART RD")</f>
        <v>163 STEWART RD</v>
      </c>
      <c r="C1521" s="3" t="str">
        <f>IFERROR(__xludf.DUMMYFUNCTION("""COMPUTED_VALUE"""),"BALTIMORE")</f>
        <v>BALTIMORE</v>
      </c>
      <c r="D1521" s="3" t="str">
        <f>IFERROR(__xludf.DUMMYFUNCTION("""COMPUTED_VALUE"""),"K0K 1C0")</f>
        <v>K0K 1C0</v>
      </c>
      <c r="E1521" s="3"/>
      <c r="F1521" s="3"/>
      <c r="G1521" s="3"/>
      <c r="H1521" s="3"/>
    </row>
    <row r="1522">
      <c r="A1522" s="2">
        <f>IFERROR(__xludf.DUMMYFUNCTION("""COMPUTED_VALUE"""),20957.0)</f>
        <v>20957</v>
      </c>
      <c r="B1522" s="3" t="str">
        <f>IFERROR(__xludf.DUMMYFUNCTION("""COMPUTED_VALUE"""),"170 COUNTY RD 22")</f>
        <v>170 COUNTY RD 22</v>
      </c>
      <c r="C1522" s="3" t="str">
        <f>IFERROR(__xludf.DUMMYFUNCTION("""COMPUTED_VALUE"""),"BALTIMORE")</f>
        <v>BALTIMORE</v>
      </c>
      <c r="D1522" s="3" t="str">
        <f>IFERROR(__xludf.DUMMYFUNCTION("""COMPUTED_VALUE"""),"K0K 1C0")</f>
        <v>K0K 1C0</v>
      </c>
      <c r="E1522" s="3" t="str">
        <f>IFERROR(__xludf.DUMMYFUNCTION("""COMPUTED_VALUE"""),"anne-marie burrus")</f>
        <v>anne-marie burrus</v>
      </c>
      <c r="F1522" s="3" t="str">
        <f>IFERROR(__xludf.DUMMYFUNCTION("""COMPUTED_VALUE"""),"miaburrus@gmail.com")</f>
        <v>miaburrus@gmail.com</v>
      </c>
      <c r="G1522" s="3">
        <f>IFERROR(__xludf.DUMMYFUNCTION("""COMPUTED_VALUE"""),9.053492706E9)</f>
        <v>9053492706</v>
      </c>
      <c r="H1522" s="3"/>
    </row>
    <row r="1523">
      <c r="A1523" s="2">
        <f>IFERROR(__xludf.DUMMYFUNCTION("""COMPUTED_VALUE"""),20958.0)</f>
        <v>20958</v>
      </c>
      <c r="B1523" s="3" t="str">
        <f>IFERROR(__xludf.DUMMYFUNCTION("""COMPUTED_VALUE"""),"174 COUNTY RD 22")</f>
        <v>174 COUNTY RD 22</v>
      </c>
      <c r="C1523" s="3" t="str">
        <f>IFERROR(__xludf.DUMMYFUNCTION("""COMPUTED_VALUE"""),"BALTIMORE")</f>
        <v>BALTIMORE</v>
      </c>
      <c r="D1523" s="3" t="str">
        <f>IFERROR(__xludf.DUMMYFUNCTION("""COMPUTED_VALUE"""),"K0K 1C0")</f>
        <v>K0K 1C0</v>
      </c>
      <c r="E1523" s="3" t="str">
        <f>IFERROR(__xludf.DUMMYFUNCTION("""COMPUTED_VALUE"""),"phillip veenhof")</f>
        <v>phillip veenhof</v>
      </c>
      <c r="F1523" s="3" t="str">
        <f>IFERROR(__xludf.DUMMYFUNCTION("""COMPUTED_VALUE"""),"philyukon@gmail.com")</f>
        <v>philyukon@gmail.com</v>
      </c>
      <c r="G1523" s="3">
        <f>IFERROR(__xludf.DUMMYFUNCTION("""COMPUTED_VALUE"""),2.503080415E9)</f>
        <v>2503080415</v>
      </c>
      <c r="H1523" s="3"/>
    </row>
    <row r="1524">
      <c r="A1524" s="2">
        <f>IFERROR(__xludf.DUMMYFUNCTION("""COMPUTED_VALUE"""),22808.0)</f>
        <v>22808</v>
      </c>
      <c r="B1524" s="3" t="str">
        <f>IFERROR(__xludf.DUMMYFUNCTION("""COMPUTED_VALUE"""),"180 NICHOL RD")</f>
        <v>180 NICHOL RD</v>
      </c>
      <c r="C1524" s="3" t="str">
        <f>IFERROR(__xludf.DUMMYFUNCTION("""COMPUTED_VALUE"""),"BALTIMORE")</f>
        <v>BALTIMORE</v>
      </c>
      <c r="D1524" s="3" t="str">
        <f>IFERROR(__xludf.DUMMYFUNCTION("""COMPUTED_VALUE"""),"K0K 1C0")</f>
        <v>K0K 1C0</v>
      </c>
      <c r="E1524" s="3" t="str">
        <f>IFERROR(__xludf.DUMMYFUNCTION("""COMPUTED_VALUE"""),"Thomas Allmendinger")</f>
        <v>Thomas Allmendinger</v>
      </c>
      <c r="F1524" s="3" t="str">
        <f>IFERROR(__xludf.DUMMYFUNCTION("""COMPUTED_VALUE"""),"Allmendingert@gmail.com")</f>
        <v>Allmendingert@gmail.com</v>
      </c>
      <c r="G1524" s="3"/>
      <c r="H1524" s="3"/>
    </row>
    <row r="1525">
      <c r="A1525" s="2">
        <f>IFERROR(__xludf.DUMMYFUNCTION("""COMPUTED_VALUE"""),20959.0)</f>
        <v>20959</v>
      </c>
      <c r="B1525" s="3" t="str">
        <f>IFERROR(__xludf.DUMMYFUNCTION("""COMPUTED_VALUE"""),"189 COUNTY RD 22")</f>
        <v>189 COUNTY RD 22</v>
      </c>
      <c r="C1525" s="3" t="str">
        <f>IFERROR(__xludf.DUMMYFUNCTION("""COMPUTED_VALUE"""),"BALTIMORE")</f>
        <v>BALTIMORE</v>
      </c>
      <c r="D1525" s="3" t="str">
        <f>IFERROR(__xludf.DUMMYFUNCTION("""COMPUTED_VALUE"""),"K0K 1C0")</f>
        <v>K0K 1C0</v>
      </c>
      <c r="E1525" s="3"/>
      <c r="F1525" s="3"/>
      <c r="G1525" s="3"/>
      <c r="H1525" s="3"/>
    </row>
    <row r="1526">
      <c r="A1526" s="2">
        <f>IFERROR(__xludf.DUMMYFUNCTION("""COMPUTED_VALUE"""),23370.0)</f>
        <v>23370</v>
      </c>
      <c r="B1526" s="3" t="str">
        <f>IFERROR(__xludf.DUMMYFUNCTION("""COMPUTED_VALUE"""),"222 STEWART RD")</f>
        <v>222 STEWART RD</v>
      </c>
      <c r="C1526" s="3" t="str">
        <f>IFERROR(__xludf.DUMMYFUNCTION("""COMPUTED_VALUE"""),"BALTIMORE")</f>
        <v>BALTIMORE</v>
      </c>
      <c r="D1526" s="3" t="str">
        <f>IFERROR(__xludf.DUMMYFUNCTION("""COMPUTED_VALUE"""),"K0K 1C0")</f>
        <v>K0K 1C0</v>
      </c>
      <c r="E1526" s="3"/>
      <c r="F1526" s="3"/>
      <c r="G1526" s="3"/>
      <c r="H1526" s="3"/>
    </row>
    <row r="1527">
      <c r="A1527" s="2">
        <f>IFERROR(__xludf.DUMMYFUNCTION("""COMPUTED_VALUE"""),22809.0)</f>
        <v>22809</v>
      </c>
      <c r="B1527" s="3" t="str">
        <f>IFERROR(__xludf.DUMMYFUNCTION("""COMPUTED_VALUE"""),"226 NICHOL RD")</f>
        <v>226 NICHOL RD</v>
      </c>
      <c r="C1527" s="3" t="str">
        <f>IFERROR(__xludf.DUMMYFUNCTION("""COMPUTED_VALUE"""),"BALTIMORE")</f>
        <v>BALTIMORE</v>
      </c>
      <c r="D1527" s="3" t="str">
        <f>IFERROR(__xludf.DUMMYFUNCTION("""COMPUTED_VALUE"""),"K0K 1C0")</f>
        <v>K0K 1C0</v>
      </c>
      <c r="E1527" s="3" t="str">
        <f>IFERROR(__xludf.DUMMYFUNCTION("""COMPUTED_VALUE"""),"jen jensen ")</f>
        <v>jen jensen </v>
      </c>
      <c r="F1527" s="3" t="str">
        <f>IFERROR(__xludf.DUMMYFUNCTION("""COMPUTED_VALUE"""),"kennethrjensen@gmail.com")</f>
        <v>kennethrjensen@gmail.com</v>
      </c>
      <c r="G1527" s="3">
        <f>IFERROR(__xludf.DUMMYFUNCTION("""COMPUTED_VALUE"""),9.053760033E9)</f>
        <v>9053760033</v>
      </c>
      <c r="H1527" s="3"/>
    </row>
    <row r="1528">
      <c r="A1528" s="2">
        <f>IFERROR(__xludf.DUMMYFUNCTION("""COMPUTED_VALUE"""),24000.0)</f>
        <v>24000</v>
      </c>
      <c r="B1528" s="3" t="str">
        <f>IFERROR(__xludf.DUMMYFUNCTION("""COMPUTED_VALUE"""),"226 NICHOL RD - Unit B")</f>
        <v>226 NICHOL RD - Unit B</v>
      </c>
      <c r="C1528" s="3" t="str">
        <f>IFERROR(__xludf.DUMMYFUNCTION("""COMPUTED_VALUE"""),"BALTIMORE")</f>
        <v>BALTIMORE</v>
      </c>
      <c r="D1528" s="3" t="str">
        <f>IFERROR(__xludf.DUMMYFUNCTION("""COMPUTED_VALUE"""),"K0K 1C0")</f>
        <v>K0K 1C0</v>
      </c>
      <c r="E1528" s="3" t="str">
        <f>IFERROR(__xludf.DUMMYFUNCTION("""COMPUTED_VALUE"""),"jen jensen ")</f>
        <v>jen jensen </v>
      </c>
      <c r="F1528" s="3" t="str">
        <f>IFERROR(__xludf.DUMMYFUNCTION("""COMPUTED_VALUE"""),"kennethrjensen@gmail.com")</f>
        <v>kennethrjensen@gmail.com</v>
      </c>
      <c r="G1528" s="3">
        <f>IFERROR(__xludf.DUMMYFUNCTION("""COMPUTED_VALUE"""),9.053760033E9)</f>
        <v>9053760033</v>
      </c>
      <c r="H1528" s="3"/>
    </row>
    <row r="1529">
      <c r="A1529" s="2">
        <f>IFERROR(__xludf.DUMMYFUNCTION("""COMPUTED_VALUE"""),21093.0)</f>
        <v>21093</v>
      </c>
      <c r="B1529" s="3" t="str">
        <f>IFERROR(__xludf.DUMMYFUNCTION("""COMPUTED_VALUE"""),"4863 COUNTY RD 45")</f>
        <v>4863 COUNTY RD 45</v>
      </c>
      <c r="C1529" s="3" t="str">
        <f>IFERROR(__xludf.DUMMYFUNCTION("""COMPUTED_VALUE"""),"COBOURG")</f>
        <v>COBOURG</v>
      </c>
      <c r="D1529" s="3" t="str">
        <f>IFERROR(__xludf.DUMMYFUNCTION("""COMPUTED_VALUE"""),"K9A 4J9")</f>
        <v>K9A 4J9</v>
      </c>
      <c r="E1529" s="3" t="str">
        <f>IFERROR(__xludf.DUMMYFUNCTION("""COMPUTED_VALUE"""),"lorraine woods ")</f>
        <v>lorraine woods </v>
      </c>
      <c r="F1529" s="3" t="str">
        <f>IFERROR(__xludf.DUMMYFUNCTION("""COMPUTED_VALUE"""),"lorwoods@gmail.com")</f>
        <v>lorwoods@gmail.com</v>
      </c>
      <c r="G1529" s="3">
        <f>IFERROR(__xludf.DUMMYFUNCTION("""COMPUTED_VALUE"""),9.053722657E9)</f>
        <v>9053722657</v>
      </c>
      <c r="H1529" s="3"/>
    </row>
    <row r="1530">
      <c r="A1530" s="2">
        <f>IFERROR(__xludf.DUMMYFUNCTION("""COMPUTED_VALUE"""),21181.0)</f>
        <v>21181</v>
      </c>
      <c r="B1530" s="3" t="str">
        <f>IFERROR(__xludf.DUMMYFUNCTION("""COMPUTED_VALUE"""),"4871 COUNTY RD 45")</f>
        <v>4871 COUNTY RD 45</v>
      </c>
      <c r="C1530" s="3" t="str">
        <f>IFERROR(__xludf.DUMMYFUNCTION("""COMPUTED_VALUE"""),"BALTIMORE")</f>
        <v>BALTIMORE</v>
      </c>
      <c r="D1530" s="3" t="str">
        <f>IFERROR(__xludf.DUMMYFUNCTION("""COMPUTED_VALUE"""),"K0K 1C0")</f>
        <v>K0K 1C0</v>
      </c>
      <c r="E1530" s="3" t="str">
        <f>IFERROR(__xludf.DUMMYFUNCTION("""COMPUTED_VALUE"""),"mary rylanee")</f>
        <v>mary rylanee</v>
      </c>
      <c r="F1530" s="3" t="str">
        <f>IFERROR(__xludf.DUMMYFUNCTION("""COMPUTED_VALUE"""),"cobourgpegasus@gmail.com")</f>
        <v>cobourgpegasus@gmail.com</v>
      </c>
      <c r="G1530" s="3">
        <f>IFERROR(__xludf.DUMMYFUNCTION("""COMPUTED_VALUE"""),9.052647615E9)</f>
        <v>9052647615</v>
      </c>
      <c r="H1530" s="3"/>
    </row>
    <row r="1531">
      <c r="A1531" s="2">
        <f>IFERROR(__xludf.DUMMYFUNCTION("""COMPUTED_VALUE"""),23981.0)</f>
        <v>23981</v>
      </c>
      <c r="B1531" s="3" t="str">
        <f>IFERROR(__xludf.DUMMYFUNCTION("""COMPUTED_VALUE"""),"4875 COUNTY RD 45")</f>
        <v>4875 COUNTY RD 45</v>
      </c>
      <c r="C1531" s="3" t="str">
        <f>IFERROR(__xludf.DUMMYFUNCTION("""COMPUTED_VALUE"""),"BALTIMORE")</f>
        <v>BALTIMORE</v>
      </c>
      <c r="D1531" s="3" t="str">
        <f>IFERROR(__xludf.DUMMYFUNCTION("""COMPUTED_VALUE"""),"K0K 1C0")</f>
        <v>K0K 1C0</v>
      </c>
      <c r="E1531" s="3" t="str">
        <f>IFERROR(__xludf.DUMMYFUNCTION("""COMPUTED_VALUE"""),"mary rylanee")</f>
        <v>mary rylanee</v>
      </c>
      <c r="F1531" s="3" t="str">
        <f>IFERROR(__xludf.DUMMYFUNCTION("""COMPUTED_VALUE"""),"cobourgpegasus@gmail.com")</f>
        <v>cobourgpegasus@gmail.com</v>
      </c>
      <c r="G1531" s="3">
        <f>IFERROR(__xludf.DUMMYFUNCTION("""COMPUTED_VALUE"""),9.052647615E9)</f>
        <v>9052647615</v>
      </c>
      <c r="H1531" s="3"/>
    </row>
    <row r="1532">
      <c r="A1532" s="2">
        <f>IFERROR(__xludf.DUMMYFUNCTION("""COMPUTED_VALUE"""),21094.0)</f>
        <v>21094</v>
      </c>
      <c r="B1532" s="3" t="str">
        <f>IFERROR(__xludf.DUMMYFUNCTION("""COMPUTED_VALUE"""),"4881 COUNTY RD 45")</f>
        <v>4881 COUNTY RD 45</v>
      </c>
      <c r="C1532" s="3" t="str">
        <f>IFERROR(__xludf.DUMMYFUNCTION("""COMPUTED_VALUE"""),"BALTIMORE")</f>
        <v>BALTIMORE</v>
      </c>
      <c r="D1532" s="3" t="str">
        <f>IFERROR(__xludf.DUMMYFUNCTION("""COMPUTED_VALUE"""),"K0K 1C0")</f>
        <v>K0K 1C0</v>
      </c>
      <c r="E1532" s="3"/>
      <c r="F1532" s="3"/>
      <c r="G1532" s="3"/>
      <c r="H1532" s="3"/>
    </row>
    <row r="1533">
      <c r="A1533" s="2">
        <f>IFERROR(__xludf.DUMMYFUNCTION("""COMPUTED_VALUE"""),21095.0)</f>
        <v>21095</v>
      </c>
      <c r="B1533" s="3" t="str">
        <f>IFERROR(__xludf.DUMMYFUNCTION("""COMPUTED_VALUE"""),"4882 COUNTY RD 45")</f>
        <v>4882 COUNTY RD 45</v>
      </c>
      <c r="C1533" s="3" t="str">
        <f>IFERROR(__xludf.DUMMYFUNCTION("""COMPUTED_VALUE"""),"BALTIMORE")</f>
        <v>BALTIMORE</v>
      </c>
      <c r="D1533" s="3" t="str">
        <f>IFERROR(__xludf.DUMMYFUNCTION("""COMPUTED_VALUE"""),"K0K 1C0")</f>
        <v>K0K 1C0</v>
      </c>
      <c r="E1533" s="3" t="str">
        <f>IFERROR(__xludf.DUMMYFUNCTION("""COMPUTED_VALUE"""),"jennifer muncini")</f>
        <v>jennifer muncini</v>
      </c>
      <c r="F1533" s="3"/>
      <c r="G1533" s="3">
        <f>IFERROR(__xludf.DUMMYFUNCTION("""COMPUTED_VALUE"""),2.898290842E9)</f>
        <v>2898290842</v>
      </c>
      <c r="H1533" s="3"/>
    </row>
    <row r="1534">
      <c r="A1534" s="2">
        <f>IFERROR(__xludf.DUMMYFUNCTION("""COMPUTED_VALUE"""),21096.0)</f>
        <v>21096</v>
      </c>
      <c r="B1534" s="3" t="str">
        <f>IFERROR(__xludf.DUMMYFUNCTION("""COMPUTED_VALUE"""),"4885 COUNTY RD 45")</f>
        <v>4885 COUNTY RD 45</v>
      </c>
      <c r="C1534" s="3" t="str">
        <f>IFERROR(__xludf.DUMMYFUNCTION("""COMPUTED_VALUE"""),"BALTIMORE")</f>
        <v>BALTIMORE</v>
      </c>
      <c r="D1534" s="3" t="str">
        <f>IFERROR(__xludf.DUMMYFUNCTION("""COMPUTED_VALUE"""),"K0K 1C0")</f>
        <v>K0K 1C0</v>
      </c>
      <c r="E1534" s="3"/>
      <c r="F1534" s="3"/>
      <c r="G1534" s="3"/>
      <c r="H1534" s="3"/>
    </row>
    <row r="1535">
      <c r="A1535" s="2">
        <f>IFERROR(__xludf.DUMMYFUNCTION("""COMPUTED_VALUE"""),21097.0)</f>
        <v>21097</v>
      </c>
      <c r="B1535" s="3" t="str">
        <f>IFERROR(__xludf.DUMMYFUNCTION("""COMPUTED_VALUE"""),"4890 COUNTY RD 45")</f>
        <v>4890 COUNTY RD 45</v>
      </c>
      <c r="C1535" s="3" t="str">
        <f>IFERROR(__xludf.DUMMYFUNCTION("""COMPUTED_VALUE"""),"BALTIMORE")</f>
        <v>BALTIMORE</v>
      </c>
      <c r="D1535" s="3" t="str">
        <f>IFERROR(__xludf.DUMMYFUNCTION("""COMPUTED_VALUE"""),"K0K 1C0")</f>
        <v>K0K 1C0</v>
      </c>
      <c r="E1535" s="3" t="str">
        <f>IFERROR(__xludf.DUMMYFUNCTION("""COMPUTED_VALUE"""),"Mary Visconti ")</f>
        <v>Mary Visconti </v>
      </c>
      <c r="F1535" s="3" t="str">
        <f>IFERROR(__xludf.DUMMYFUNCTION("""COMPUTED_VALUE"""),"mary.visconti@icloud.com ")</f>
        <v>mary.visconti@icloud.com </v>
      </c>
      <c r="G1535" s="3">
        <f>IFERROR(__xludf.DUMMYFUNCTION("""COMPUTED_VALUE"""),9.053730652E9)</f>
        <v>9053730652</v>
      </c>
      <c r="H1535" s="3">
        <f>IFERROR(__xludf.DUMMYFUNCTION("""COMPUTED_VALUE"""),4.169902544E9)</f>
        <v>4169902544</v>
      </c>
    </row>
    <row r="1536">
      <c r="A1536" s="2">
        <f>IFERROR(__xludf.DUMMYFUNCTION("""COMPUTED_VALUE"""),21098.0)</f>
        <v>21098</v>
      </c>
      <c r="B1536" s="3" t="str">
        <f>IFERROR(__xludf.DUMMYFUNCTION("""COMPUTED_VALUE"""),"4891 COUNTY RD 45")</f>
        <v>4891 COUNTY RD 45</v>
      </c>
      <c r="C1536" s="3" t="str">
        <f>IFERROR(__xludf.DUMMYFUNCTION("""COMPUTED_VALUE"""),"BALTIMORE")</f>
        <v>BALTIMORE</v>
      </c>
      <c r="D1536" s="3" t="str">
        <f>IFERROR(__xludf.DUMMYFUNCTION("""COMPUTED_VALUE"""),"K0K 1C0")</f>
        <v>K0K 1C0</v>
      </c>
      <c r="E1536" s="3"/>
      <c r="F1536" s="3"/>
      <c r="G1536" s="3"/>
      <c r="H1536" s="3"/>
    </row>
    <row r="1537">
      <c r="A1537" s="2">
        <f>IFERROR(__xludf.DUMMYFUNCTION("""COMPUTED_VALUE"""),21099.0)</f>
        <v>21099</v>
      </c>
      <c r="B1537" s="3" t="str">
        <f>IFERROR(__xludf.DUMMYFUNCTION("""COMPUTED_VALUE"""),"4897 COUNTY RD 45")</f>
        <v>4897 COUNTY RD 45</v>
      </c>
      <c r="C1537" s="3" t="str">
        <f>IFERROR(__xludf.DUMMYFUNCTION("""COMPUTED_VALUE"""),"BALTIMORE")</f>
        <v>BALTIMORE</v>
      </c>
      <c r="D1537" s="3" t="str">
        <f>IFERROR(__xludf.DUMMYFUNCTION("""COMPUTED_VALUE"""),"K0K 1C0")</f>
        <v>K0K 1C0</v>
      </c>
      <c r="E1537" s="3"/>
      <c r="F1537" s="3"/>
      <c r="G1537" s="3"/>
      <c r="H1537" s="3"/>
    </row>
    <row r="1538">
      <c r="A1538" s="2">
        <f>IFERROR(__xludf.DUMMYFUNCTION("""COMPUTED_VALUE"""),21100.0)</f>
        <v>21100</v>
      </c>
      <c r="B1538" s="3" t="str">
        <f>IFERROR(__xludf.DUMMYFUNCTION("""COMPUTED_VALUE"""),"4903 COUNTY RD 45")</f>
        <v>4903 COUNTY RD 45</v>
      </c>
      <c r="C1538" s="3" t="str">
        <f>IFERROR(__xludf.DUMMYFUNCTION("""COMPUTED_VALUE"""),"BALTIMORE")</f>
        <v>BALTIMORE</v>
      </c>
      <c r="D1538" s="3" t="str">
        <f>IFERROR(__xludf.DUMMYFUNCTION("""COMPUTED_VALUE"""),"K0K 1C0")</f>
        <v>K0K 1C0</v>
      </c>
      <c r="E1538" s="3" t="str">
        <f>IFERROR(__xludf.DUMMYFUNCTION("""COMPUTED_VALUE"""),"michaela zacharuff ")</f>
        <v>michaela zacharuff </v>
      </c>
      <c r="F1538" s="3" t="str">
        <f>IFERROR(__xludf.DUMMYFUNCTION("""COMPUTED_VALUE"""),"michaela.zacharuff@yahoo.com")</f>
        <v>michaela.zacharuff@yahoo.com</v>
      </c>
      <c r="G1538" s="3">
        <f>IFERROR(__xludf.DUMMYFUNCTION("""COMPUTED_VALUE"""),9.053961828E9)</f>
        <v>9053961828</v>
      </c>
      <c r="H1538" s="3"/>
    </row>
    <row r="1539">
      <c r="A1539" s="2">
        <f>IFERROR(__xludf.DUMMYFUNCTION("""COMPUTED_VALUE"""),21101.0)</f>
        <v>21101</v>
      </c>
      <c r="B1539" s="3" t="str">
        <f>IFERROR(__xludf.DUMMYFUNCTION("""COMPUTED_VALUE"""),"4911 COUNTY RD 45")</f>
        <v>4911 COUNTY RD 45</v>
      </c>
      <c r="C1539" s="3" t="str">
        <f>IFERROR(__xludf.DUMMYFUNCTION("""COMPUTED_VALUE"""),"BALTIMORE")</f>
        <v>BALTIMORE</v>
      </c>
      <c r="D1539" s="3" t="str">
        <f>IFERROR(__xludf.DUMMYFUNCTION("""COMPUTED_VALUE"""),"K0K 1C0")</f>
        <v>K0K 1C0</v>
      </c>
      <c r="E1539" s="3" t="str">
        <f>IFERROR(__xludf.DUMMYFUNCTION("""COMPUTED_VALUE"""),"patricia parker ")</f>
        <v>patricia parker </v>
      </c>
      <c r="F1539" s="3"/>
      <c r="G1539" s="3">
        <f>IFERROR(__xludf.DUMMYFUNCTION("""COMPUTED_VALUE"""),4.168902016E9)</f>
        <v>4168902016</v>
      </c>
      <c r="H1539" s="3"/>
    </row>
    <row r="1540">
      <c r="A1540" s="2">
        <f>IFERROR(__xludf.DUMMYFUNCTION("""COMPUTED_VALUE"""),21102.0)</f>
        <v>21102</v>
      </c>
      <c r="B1540" s="3" t="str">
        <f>IFERROR(__xludf.DUMMYFUNCTION("""COMPUTED_VALUE"""),"4915 COUNTY RD 45")</f>
        <v>4915 COUNTY RD 45</v>
      </c>
      <c r="C1540" s="3" t="str">
        <f>IFERROR(__xludf.DUMMYFUNCTION("""COMPUTED_VALUE"""),"BALTIMORE")</f>
        <v>BALTIMORE</v>
      </c>
      <c r="D1540" s="3" t="str">
        <f>IFERROR(__xludf.DUMMYFUNCTION("""COMPUTED_VALUE"""),"K0K 1C0")</f>
        <v>K0K 1C0</v>
      </c>
      <c r="E1540" s="3" t="str">
        <f>IFERROR(__xludf.DUMMYFUNCTION("""COMPUTED_VALUE"""),"mark kolinsnk")</f>
        <v>mark kolinsnk</v>
      </c>
      <c r="F1540" s="3" t="str">
        <f>IFERROR(__xludf.DUMMYFUNCTION("""COMPUTED_VALUE"""),"mark.kolinsnyk@gmail.con")</f>
        <v>mark.kolinsnyk@gmail.con</v>
      </c>
      <c r="G1540" s="3">
        <f>IFERROR(__xludf.DUMMYFUNCTION("""COMPUTED_VALUE"""),2.892520788E9)</f>
        <v>2892520788</v>
      </c>
      <c r="H1540" s="3"/>
    </row>
    <row r="1541">
      <c r="A1541" s="2">
        <f>IFERROR(__xludf.DUMMYFUNCTION("""COMPUTED_VALUE"""),21103.0)</f>
        <v>21103</v>
      </c>
      <c r="B1541" s="3" t="str">
        <f>IFERROR(__xludf.DUMMYFUNCTION("""COMPUTED_VALUE"""),"4923 COUNTY RD 45")</f>
        <v>4923 COUNTY RD 45</v>
      </c>
      <c r="C1541" s="3" t="str">
        <f>IFERROR(__xludf.DUMMYFUNCTION("""COMPUTED_VALUE"""),"BALTIMORE")</f>
        <v>BALTIMORE</v>
      </c>
      <c r="D1541" s="3" t="str">
        <f>IFERROR(__xludf.DUMMYFUNCTION("""COMPUTED_VALUE"""),"K0K 1C0")</f>
        <v>K0K 1C0</v>
      </c>
      <c r="E1541" s="3"/>
      <c r="F1541" s="3"/>
      <c r="G1541" s="3"/>
      <c r="H1541" s="3"/>
    </row>
    <row r="1542">
      <c r="A1542" s="2">
        <f>IFERROR(__xludf.DUMMYFUNCTION("""COMPUTED_VALUE"""),21104.0)</f>
        <v>21104</v>
      </c>
      <c r="B1542" s="3" t="str">
        <f>IFERROR(__xludf.DUMMYFUNCTION("""COMPUTED_VALUE"""),"4926 COUNTY RD 45")</f>
        <v>4926 COUNTY RD 45</v>
      </c>
      <c r="C1542" s="3" t="str">
        <f>IFERROR(__xludf.DUMMYFUNCTION("""COMPUTED_VALUE"""),"BALTIMORE")</f>
        <v>BALTIMORE</v>
      </c>
      <c r="D1542" s="3" t="str">
        <f>IFERROR(__xludf.DUMMYFUNCTION("""COMPUTED_VALUE"""),"K0K 1C0")</f>
        <v>K0K 1C0</v>
      </c>
      <c r="E1542" s="3"/>
      <c r="F1542" s="3"/>
      <c r="G1542" s="3"/>
      <c r="H1542" s="3"/>
    </row>
    <row r="1543">
      <c r="A1543" s="2">
        <f>IFERROR(__xludf.DUMMYFUNCTION("""COMPUTED_VALUE"""),21105.0)</f>
        <v>21105</v>
      </c>
      <c r="B1543" s="3" t="str">
        <f>IFERROR(__xludf.DUMMYFUNCTION("""COMPUTED_VALUE"""),"4933 COUNTY RD 45")</f>
        <v>4933 COUNTY RD 45</v>
      </c>
      <c r="C1543" s="3" t="str">
        <f>IFERROR(__xludf.DUMMYFUNCTION("""COMPUTED_VALUE"""),"BALTIMORE")</f>
        <v>BALTIMORE</v>
      </c>
      <c r="D1543" s="3" t="str">
        <f>IFERROR(__xludf.DUMMYFUNCTION("""COMPUTED_VALUE"""),"K0K 1C0")</f>
        <v>K0K 1C0</v>
      </c>
      <c r="E1543" s="3"/>
      <c r="F1543" s="3"/>
      <c r="G1543" s="3"/>
      <c r="H1543" s="3"/>
    </row>
    <row r="1544">
      <c r="A1544" s="2">
        <f>IFERROR(__xludf.DUMMYFUNCTION("""COMPUTED_VALUE"""),21106.0)</f>
        <v>21106</v>
      </c>
      <c r="B1544" s="3" t="str">
        <f>IFERROR(__xludf.DUMMYFUNCTION("""COMPUTED_VALUE"""),"4938 COUNTY RD 45")</f>
        <v>4938 COUNTY RD 45</v>
      </c>
      <c r="C1544" s="3" t="str">
        <f>IFERROR(__xludf.DUMMYFUNCTION("""COMPUTED_VALUE"""),"BALTIMORE")</f>
        <v>BALTIMORE</v>
      </c>
      <c r="D1544" s="3" t="str">
        <f>IFERROR(__xludf.DUMMYFUNCTION("""COMPUTED_VALUE"""),"K0K 1C0")</f>
        <v>K0K 1C0</v>
      </c>
      <c r="E1544" s="3"/>
      <c r="F1544" s="3"/>
      <c r="G1544" s="3"/>
      <c r="H1544" s="3"/>
    </row>
    <row r="1545">
      <c r="A1545" s="2">
        <f>IFERROR(__xludf.DUMMYFUNCTION("""COMPUTED_VALUE"""),21107.0)</f>
        <v>21107</v>
      </c>
      <c r="B1545" s="3" t="str">
        <f>IFERROR(__xludf.DUMMYFUNCTION("""COMPUTED_VALUE"""),"4947 COUNTY RD 45")</f>
        <v>4947 COUNTY RD 45</v>
      </c>
      <c r="C1545" s="3" t="str">
        <f>IFERROR(__xludf.DUMMYFUNCTION("""COMPUTED_VALUE"""),"BALTIMORE")</f>
        <v>BALTIMORE</v>
      </c>
      <c r="D1545" s="3" t="str">
        <f>IFERROR(__xludf.DUMMYFUNCTION("""COMPUTED_VALUE"""),"K0K 1C0")</f>
        <v>K0K 1C0</v>
      </c>
      <c r="E1545" s="3"/>
      <c r="F1545" s="3"/>
      <c r="G1545" s="3"/>
      <c r="H1545" s="3"/>
    </row>
    <row r="1546">
      <c r="A1546" s="2">
        <f>IFERROR(__xludf.DUMMYFUNCTION("""COMPUTED_VALUE"""),21108.0)</f>
        <v>21108</v>
      </c>
      <c r="B1546" s="3" t="str">
        <f>IFERROR(__xludf.DUMMYFUNCTION("""COMPUTED_VALUE"""),"4951 COUNTY RD 45")</f>
        <v>4951 COUNTY RD 45</v>
      </c>
      <c r="C1546" s="3" t="str">
        <f>IFERROR(__xludf.DUMMYFUNCTION("""COMPUTED_VALUE"""),"BALTIMORE")</f>
        <v>BALTIMORE</v>
      </c>
      <c r="D1546" s="3" t="str">
        <f>IFERROR(__xludf.DUMMYFUNCTION("""COMPUTED_VALUE"""),"K0K 1C0")</f>
        <v>K0K 1C0</v>
      </c>
      <c r="E1546" s="3"/>
      <c r="F1546" s="3"/>
      <c r="G1546" s="3"/>
      <c r="H1546" s="3"/>
    </row>
    <row r="1547">
      <c r="A1547" s="2">
        <f>IFERROR(__xludf.DUMMYFUNCTION("""COMPUTED_VALUE"""),21109.0)</f>
        <v>21109</v>
      </c>
      <c r="B1547" s="3" t="str">
        <f>IFERROR(__xludf.DUMMYFUNCTION("""COMPUTED_VALUE"""),"4959 COUNTY RD 45")</f>
        <v>4959 COUNTY RD 45</v>
      </c>
      <c r="C1547" s="3" t="str">
        <f>IFERROR(__xludf.DUMMYFUNCTION("""COMPUTED_VALUE"""),"BALTIMORE")</f>
        <v>BALTIMORE</v>
      </c>
      <c r="D1547" s="3" t="str">
        <f>IFERROR(__xludf.DUMMYFUNCTION("""COMPUTED_VALUE"""),"K0K 1C0")</f>
        <v>K0K 1C0</v>
      </c>
      <c r="E1547" s="3" t="str">
        <f>IFERROR(__xludf.DUMMYFUNCTION("""COMPUTED_VALUE"""),"betty hunt kennedy")</f>
        <v>betty hunt kennedy</v>
      </c>
      <c r="F1547" s="3" t="str">
        <f>IFERROR(__xludf.DUMMYFUNCTION("""COMPUTED_VALUE"""),"kennedybetty89@gmail.com")</f>
        <v>kennedybetty89@gmail.com</v>
      </c>
      <c r="G1547" s="3">
        <f>IFERROR(__xludf.DUMMYFUNCTION("""COMPUTED_VALUE"""),2.892515947E9)</f>
        <v>2892515947</v>
      </c>
      <c r="H1547" s="3"/>
    </row>
    <row r="1548">
      <c r="A1548" s="2">
        <f>IFERROR(__xludf.DUMMYFUNCTION("""COMPUTED_VALUE"""),21110.0)</f>
        <v>21110</v>
      </c>
      <c r="B1548" s="3" t="str">
        <f>IFERROR(__xludf.DUMMYFUNCTION("""COMPUTED_VALUE"""),"4969 COUNTY RD 45")</f>
        <v>4969 COUNTY RD 45</v>
      </c>
      <c r="C1548" s="3" t="str">
        <f>IFERROR(__xludf.DUMMYFUNCTION("""COMPUTED_VALUE"""),"BALTIMORE")</f>
        <v>BALTIMORE</v>
      </c>
      <c r="D1548" s="3" t="str">
        <f>IFERROR(__xludf.DUMMYFUNCTION("""COMPUTED_VALUE"""),"K0K 1C0")</f>
        <v>K0K 1C0</v>
      </c>
      <c r="E1548" s="3" t="str">
        <f>IFERROR(__xludf.DUMMYFUNCTION("""COMPUTED_VALUE"""),"joe green")</f>
        <v>joe green</v>
      </c>
      <c r="F1548" s="3" t="str">
        <f>IFERROR(__xludf.DUMMYFUNCTION("""COMPUTED_VALUE"""),"joessawshop@gmail.com")</f>
        <v>joessawshop@gmail.com</v>
      </c>
      <c r="G1548" s="3">
        <f>IFERROR(__xludf.DUMMYFUNCTION("""COMPUTED_VALUE"""),9.053769903E9)</f>
        <v>9053769903</v>
      </c>
      <c r="H1548" s="3"/>
    </row>
    <row r="1549">
      <c r="A1549" s="2">
        <f>IFERROR(__xludf.DUMMYFUNCTION("""COMPUTED_VALUE"""),21111.0)</f>
        <v>21111</v>
      </c>
      <c r="B1549" s="3" t="str">
        <f>IFERROR(__xludf.DUMMYFUNCTION("""COMPUTED_VALUE"""),"4975 COUNTY RD 45")</f>
        <v>4975 COUNTY RD 45</v>
      </c>
      <c r="C1549" s="3" t="str">
        <f>IFERROR(__xludf.DUMMYFUNCTION("""COMPUTED_VALUE"""),"BALTIMORE")</f>
        <v>BALTIMORE</v>
      </c>
      <c r="D1549" s="3" t="str">
        <f>IFERROR(__xludf.DUMMYFUNCTION("""COMPUTED_VALUE"""),"K0K 1C0")</f>
        <v>K0K 1C0</v>
      </c>
      <c r="E1549" s="3" t="str">
        <f>IFERROR(__xludf.DUMMYFUNCTION("""COMPUTED_VALUE"""),"Natalie Milne -Taylor &amp; Gord Taylor")</f>
        <v>Natalie Milne -Taylor &amp; Gord Taylor</v>
      </c>
      <c r="F1549" s="3" t="str">
        <f>IFERROR(__xludf.DUMMYFUNCTION("""COMPUTED_VALUE"""),"nataliemt70@gmail.com")</f>
        <v>nataliemt70@gmail.com</v>
      </c>
      <c r="G1549" s="3">
        <f>IFERROR(__xludf.DUMMYFUNCTION("""COMPUTED_VALUE"""),9.054314902E9)</f>
        <v>9054314902</v>
      </c>
      <c r="H1549" s="3">
        <f>IFERROR(__xludf.DUMMYFUNCTION("""COMPUTED_VALUE"""),9.054317611E9)</f>
        <v>9054317611</v>
      </c>
    </row>
    <row r="1550">
      <c r="A1550" s="2">
        <f>IFERROR(__xludf.DUMMYFUNCTION("""COMPUTED_VALUE"""),23663.0)</f>
        <v>23663</v>
      </c>
      <c r="B1550" s="3" t="str">
        <f>IFERROR(__xludf.DUMMYFUNCTION("""COMPUTED_VALUE"""),"9420 TURK RD")</f>
        <v>9420 TURK RD</v>
      </c>
      <c r="C1550" s="3" t="str">
        <f>IFERROR(__xludf.DUMMYFUNCTION("""COMPUTED_VALUE"""),"BALTIMORE")</f>
        <v>BALTIMORE</v>
      </c>
      <c r="D1550" s="3" t="str">
        <f>IFERROR(__xludf.DUMMYFUNCTION("""COMPUTED_VALUE"""),"K0K 1C0")</f>
        <v>K0K 1C0</v>
      </c>
      <c r="E1550" s="3" t="str">
        <f>IFERROR(__xludf.DUMMYFUNCTION("""COMPUTED_VALUE"""),"tammy stimers ")</f>
        <v>tammy stimers </v>
      </c>
      <c r="F1550" s="3" t="str">
        <f>IFERROR(__xludf.DUMMYFUNCTION("""COMPUTED_VALUE"""),"tammystimer@gmailcom")</f>
        <v>tammystimer@gmailcom</v>
      </c>
      <c r="G1550" s="3">
        <f>IFERROR(__xludf.DUMMYFUNCTION("""COMPUTED_VALUE"""),9.053429722E9)</f>
        <v>9053429722</v>
      </c>
      <c r="H1550" s="3"/>
    </row>
    <row r="1551">
      <c r="A1551" s="2">
        <f>IFERROR(__xludf.DUMMYFUNCTION("""COMPUTED_VALUE"""),23665.0)</f>
        <v>23665</v>
      </c>
      <c r="B1551" s="3" t="str">
        <f>IFERROR(__xludf.DUMMYFUNCTION("""COMPUTED_VALUE"""),"9573 TURK RD")</f>
        <v>9573 TURK RD</v>
      </c>
      <c r="C1551" s="3" t="str">
        <f>IFERROR(__xludf.DUMMYFUNCTION("""COMPUTED_VALUE"""),"BALTIMORE")</f>
        <v>BALTIMORE</v>
      </c>
      <c r="D1551" s="3" t="str">
        <f>IFERROR(__xludf.DUMMYFUNCTION("""COMPUTED_VALUE"""),"K0K 1C0")</f>
        <v>K0K 1C0</v>
      </c>
      <c r="E1551" s="3" t="str">
        <f>IFERROR(__xludf.DUMMYFUNCTION("""COMPUTED_VALUE"""),"dave young ")</f>
        <v>dave young </v>
      </c>
      <c r="F1551" s="3" t="str">
        <f>IFERROR(__xludf.DUMMYFUNCTION("""COMPUTED_VALUE"""),"cdy631@gmail.com")</f>
        <v>cdy631@gmail.com</v>
      </c>
      <c r="G1551" s="3">
        <f>IFERROR(__xludf.DUMMYFUNCTION("""COMPUTED_VALUE"""),2.892518375E9)</f>
        <v>2892518375</v>
      </c>
      <c r="H1551" s="3"/>
    </row>
    <row r="1552">
      <c r="A1552" s="2">
        <f>IFERROR(__xludf.DUMMYFUNCTION("""COMPUTED_VALUE"""),21114.0)</f>
        <v>21114</v>
      </c>
      <c r="B1552" s="3" t="str">
        <f>IFERROR(__xludf.DUMMYFUNCTION("""COMPUTED_VALUE"""),"5081 COUNTY RD 45")</f>
        <v>5081 COUNTY RD 45</v>
      </c>
      <c r="C1552" s="3" t="str">
        <f>IFERROR(__xludf.DUMMYFUNCTION("""COMPUTED_VALUE"""),"BALTIMORE")</f>
        <v>BALTIMORE</v>
      </c>
      <c r="D1552" s="3" t="str">
        <f>IFERROR(__xludf.DUMMYFUNCTION("""COMPUTED_VALUE"""),"K0K 1C0")</f>
        <v>K0K 1C0</v>
      </c>
      <c r="E1552" s="3" t="str">
        <f>IFERROR(__xludf.DUMMYFUNCTION("""COMPUTED_VALUE"""),"ed robert ")</f>
        <v>ed robert </v>
      </c>
      <c r="F1552" s="3" t="str">
        <f>IFERROR(__xludf.DUMMYFUNCTION("""COMPUTED_VALUE"""),"erobe006@cogeco.ca")</f>
        <v>erobe006@cogeco.ca</v>
      </c>
      <c r="G1552" s="3">
        <f>IFERROR(__xludf.DUMMYFUNCTION("""COMPUTED_VALUE"""),9.053765781E9)</f>
        <v>9053765781</v>
      </c>
      <c r="H1552" s="3"/>
    </row>
    <row r="1553">
      <c r="A1553" s="2">
        <f>IFERROR(__xludf.DUMMYFUNCTION("""COMPUTED_VALUE"""),20836.0)</f>
        <v>20836</v>
      </c>
      <c r="B1553" s="3" t="str">
        <f>IFERROR(__xludf.DUMMYFUNCTION("""COMPUTED_VALUE"""),"9815 CORKERY RD")</f>
        <v>9815 CORKERY RD</v>
      </c>
      <c r="C1553" s="3" t="str">
        <f>IFERROR(__xludf.DUMMYFUNCTION("""COMPUTED_VALUE"""),"BALTIMORE")</f>
        <v>BALTIMORE</v>
      </c>
      <c r="D1553" s="3" t="str">
        <f>IFERROR(__xludf.DUMMYFUNCTION("""COMPUTED_VALUE"""),"K0K 1C0")</f>
        <v>K0K 1C0</v>
      </c>
      <c r="E1553" s="3" t="str">
        <f>IFERROR(__xludf.DUMMYFUNCTION("""COMPUTED_VALUE"""),"Lizanne Dubreuil")</f>
        <v>Lizanne Dubreuil</v>
      </c>
      <c r="F1553" s="3" t="str">
        <f>IFERROR(__xludf.DUMMYFUNCTION("""COMPUTED_VALUE"""),"annaur_so@yahoo.com")</f>
        <v>annaur_so@yahoo.com</v>
      </c>
      <c r="G1553" s="3"/>
      <c r="H1553" s="3"/>
    </row>
    <row r="1554">
      <c r="A1554" s="2">
        <f>IFERROR(__xludf.DUMMYFUNCTION("""COMPUTED_VALUE"""),23673.0)</f>
        <v>23673</v>
      </c>
      <c r="B1554" s="3" t="str">
        <f>IFERROR(__xludf.DUMMYFUNCTION("""COMPUTED_VALUE"""),"9661 TURK RD")</f>
        <v>9661 TURK RD</v>
      </c>
      <c r="C1554" s="3" t="str">
        <f>IFERROR(__xludf.DUMMYFUNCTION("""COMPUTED_VALUE"""),"BALTIMORE")</f>
        <v>BALTIMORE</v>
      </c>
      <c r="D1554" s="3" t="str">
        <f>IFERROR(__xludf.DUMMYFUNCTION("""COMPUTED_VALUE"""),"K0K 1C0")</f>
        <v>K0K 1C0</v>
      </c>
      <c r="E1554" s="3" t="str">
        <f>IFERROR(__xludf.DUMMYFUNCTION("""COMPUTED_VALUE"""),"john&amp;beth garland")</f>
        <v>john&amp;beth garland</v>
      </c>
      <c r="F1554" s="3" t="str">
        <f>IFERROR(__xludf.DUMMYFUNCTION("""COMPUTED_VALUE"""),"beth.garland42@gmail.com")</f>
        <v>beth.garland42@gmail.com</v>
      </c>
      <c r="G1554" s="3">
        <f>IFERROR(__xludf.DUMMYFUNCTION("""COMPUTED_VALUE"""),9.053761854E9)</f>
        <v>9053761854</v>
      </c>
      <c r="H1554" s="3">
        <f>IFERROR(__xludf.DUMMYFUNCTION("""COMPUTED_VALUE"""),9.053760662E9)</f>
        <v>9053760662</v>
      </c>
    </row>
    <row r="1555">
      <c r="A1555" s="2">
        <f>IFERROR(__xludf.DUMMYFUNCTION("""COMPUTED_VALUE"""),23112.0)</f>
        <v>23112</v>
      </c>
      <c r="B1555" s="3" t="str">
        <f>IFERROR(__xludf.DUMMYFUNCTION("""COMPUTED_VALUE"""),"3362 PIONEER RD")</f>
        <v>3362 PIONEER RD</v>
      </c>
      <c r="C1555" s="3" t="str">
        <f>IFERROR(__xludf.DUMMYFUNCTION("""COMPUTED_VALUE"""),"BALTIMORE")</f>
        <v>BALTIMORE</v>
      </c>
      <c r="D1555" s="3" t="str">
        <f>IFERROR(__xludf.DUMMYFUNCTION("""COMPUTED_VALUE"""),"K0K 1C0")</f>
        <v>K0K 1C0</v>
      </c>
      <c r="E1555" s="3" t="str">
        <f>IFERROR(__xludf.DUMMYFUNCTION("""COMPUTED_VALUE"""),"david rad ")</f>
        <v>david rad </v>
      </c>
      <c r="F1555" s="3" t="str">
        <f>IFERROR(__xludf.DUMMYFUNCTION("""COMPUTED_VALUE"""),"david@radresality.com")</f>
        <v>david@radresality.com</v>
      </c>
      <c r="G1555" s="3">
        <f>IFERROR(__xludf.DUMMYFUNCTION("""COMPUTED_VALUE"""),4.163159938E9)</f>
        <v>4163159938</v>
      </c>
      <c r="H1555" s="3"/>
    </row>
    <row r="1556">
      <c r="A1556" s="2">
        <f>IFERROR(__xludf.DUMMYFUNCTION("""COMPUTED_VALUE"""),23674.0)</f>
        <v>23674</v>
      </c>
      <c r="B1556" s="3" t="str">
        <f>IFERROR(__xludf.DUMMYFUNCTION("""COMPUTED_VALUE"""),"9671 TURK RD")</f>
        <v>9671 TURK RD</v>
      </c>
      <c r="C1556" s="3" t="str">
        <f>IFERROR(__xludf.DUMMYFUNCTION("""COMPUTED_VALUE"""),"BALTIMORE")</f>
        <v>BALTIMORE</v>
      </c>
      <c r="D1556" s="3" t="str">
        <f>IFERROR(__xludf.DUMMYFUNCTION("""COMPUTED_VALUE"""),"K0K 1C0")</f>
        <v>K0K 1C0</v>
      </c>
      <c r="E1556" s="3" t="str">
        <f>IFERROR(__xludf.DUMMYFUNCTION("""COMPUTED_VALUE"""),"Rob Northcott")</f>
        <v>Rob Northcott</v>
      </c>
      <c r="F1556" s="3" t="str">
        <f>IFERROR(__xludf.DUMMYFUNCTION("""COMPUTED_VALUE"""),"savannahnorthcott@gmail.com")</f>
        <v>savannahnorthcott@gmail.com</v>
      </c>
      <c r="G1556" s="3">
        <f>IFERROR(__xludf.DUMMYFUNCTION("""COMPUTED_VALUE"""),4.162094019E9)</f>
        <v>4162094019</v>
      </c>
      <c r="H1556" s="3"/>
    </row>
    <row r="1557">
      <c r="A1557" s="2">
        <f>IFERROR(__xludf.DUMMYFUNCTION("""COMPUTED_VALUE"""),21119.0)</f>
        <v>21119</v>
      </c>
      <c r="B1557" s="3" t="str">
        <f>IFERROR(__xludf.DUMMYFUNCTION("""COMPUTED_VALUE"""),"5146 COUNTY RD 45")</f>
        <v>5146 COUNTY RD 45</v>
      </c>
      <c r="C1557" s="3" t="str">
        <f>IFERROR(__xludf.DUMMYFUNCTION("""COMPUTED_VALUE"""),"BALTIMORE")</f>
        <v>BALTIMORE</v>
      </c>
      <c r="D1557" s="3" t="str">
        <f>IFERROR(__xludf.DUMMYFUNCTION("""COMPUTED_VALUE"""),"K0K 1C0")</f>
        <v>K0K 1C0</v>
      </c>
      <c r="E1557" s="3" t="str">
        <f>IFERROR(__xludf.DUMMYFUNCTION("""COMPUTED_VALUE"""),"David Wieland")</f>
        <v>David Wieland</v>
      </c>
      <c r="F1557" s="3" t="str">
        <f>IFERROR(__xludf.DUMMYFUNCTION("""COMPUTED_VALUE"""),"cwieland@protonmail.com")</f>
        <v>cwieland@protonmail.com</v>
      </c>
      <c r="G1557" s="3">
        <f>IFERROR(__xludf.DUMMYFUNCTION("""COMPUTED_VALUE"""),6.47300079E9)</f>
        <v>6473000790</v>
      </c>
      <c r="H1557" s="3"/>
    </row>
    <row r="1558">
      <c r="A1558" s="2">
        <f>IFERROR(__xludf.DUMMYFUNCTION("""COMPUTED_VALUE"""),21120.0)</f>
        <v>21120</v>
      </c>
      <c r="B1558" s="3" t="str">
        <f>IFERROR(__xludf.DUMMYFUNCTION("""COMPUTED_VALUE"""),"5156 COUNTY RD 45")</f>
        <v>5156 COUNTY RD 45</v>
      </c>
      <c r="C1558" s="3" t="str">
        <f>IFERROR(__xludf.DUMMYFUNCTION("""COMPUTED_VALUE"""),"BALTIMORE")</f>
        <v>BALTIMORE</v>
      </c>
      <c r="D1558" s="3" t="str">
        <f>IFERROR(__xludf.DUMMYFUNCTION("""COMPUTED_VALUE"""),"K0K 1C0")</f>
        <v>K0K 1C0</v>
      </c>
      <c r="E1558" s="3"/>
      <c r="F1558" s="3"/>
      <c r="G1558" s="3"/>
      <c r="H1558" s="3"/>
    </row>
    <row r="1559">
      <c r="A1559" s="2">
        <f>IFERROR(__xludf.DUMMYFUNCTION("""COMPUTED_VALUE"""),23676.0)</f>
        <v>23676</v>
      </c>
      <c r="B1559" s="3" t="str">
        <f>IFERROR(__xludf.DUMMYFUNCTION("""COMPUTED_VALUE"""),"9687 TURK RD")</f>
        <v>9687 TURK RD</v>
      </c>
      <c r="C1559" s="3" t="str">
        <f>IFERROR(__xludf.DUMMYFUNCTION("""COMPUTED_VALUE"""),"BALTIMORE")</f>
        <v>BALTIMORE</v>
      </c>
      <c r="D1559" s="3" t="str">
        <f>IFERROR(__xludf.DUMMYFUNCTION("""COMPUTED_VALUE"""),"K0K 1C0")</f>
        <v>K0K 1C0</v>
      </c>
      <c r="E1559" s="3" t="str">
        <f>IFERROR(__xludf.DUMMYFUNCTION("""COMPUTED_VALUE"""),"Daphne Livingstone")</f>
        <v>Daphne Livingstone</v>
      </c>
      <c r="F1559" s="3" t="str">
        <f>IFERROR(__xludf.DUMMYFUNCTION("""COMPUTED_VALUE"""),"dlivingstone@hamiltontownship.ca")</f>
        <v>dlivingstone@hamiltontownship.ca</v>
      </c>
      <c r="G1559" s="3">
        <f>IFERROR(__xludf.DUMMYFUNCTION("""COMPUTED_VALUE"""),5.19217643E9)</f>
        <v>5192176430</v>
      </c>
      <c r="H1559" s="3">
        <f>IFERROR(__xludf.DUMMYFUNCTION("""COMPUTED_VALUE"""),9.05342281E9)</f>
        <v>9053422810</v>
      </c>
    </row>
    <row r="1560">
      <c r="A1560" s="2">
        <f>IFERROR(__xludf.DUMMYFUNCTION("""COMPUTED_VALUE"""),23677.0)</f>
        <v>23677</v>
      </c>
      <c r="B1560" s="3" t="str">
        <f>IFERROR(__xludf.DUMMYFUNCTION("""COMPUTED_VALUE"""),"9688 TURK RD")</f>
        <v>9688 TURK RD</v>
      </c>
      <c r="C1560" s="3" t="str">
        <f>IFERROR(__xludf.DUMMYFUNCTION("""COMPUTED_VALUE"""),"BALTIMORE")</f>
        <v>BALTIMORE</v>
      </c>
      <c r="D1560" s="3" t="str">
        <f>IFERROR(__xludf.DUMMYFUNCTION("""COMPUTED_VALUE"""),"K0K 1C0")</f>
        <v>K0K 1C0</v>
      </c>
      <c r="E1560" s="3" t="str">
        <f>IFERROR(__xludf.DUMMYFUNCTION("""COMPUTED_VALUE"""),"RUTH FAWCETT")</f>
        <v>RUTH FAWCETT</v>
      </c>
      <c r="F1560" s="3" t="str">
        <f>IFERROR(__xludf.DUMMYFUNCTION("""COMPUTED_VALUE"""),"magicalwillowbark@gmail.com")</f>
        <v>magicalwillowbark@gmail.com</v>
      </c>
      <c r="G1560" s="3"/>
      <c r="H1560" s="3"/>
    </row>
    <row r="1561">
      <c r="A1561" s="2">
        <f>IFERROR(__xludf.DUMMYFUNCTION("""COMPUTED_VALUE"""),20837.0)</f>
        <v>20837</v>
      </c>
      <c r="B1561" s="3" t="str">
        <f>IFERROR(__xludf.DUMMYFUNCTION("""COMPUTED_VALUE"""),"9816 CORKERY RD")</f>
        <v>9816 CORKERY RD</v>
      </c>
      <c r="C1561" s="3" t="str">
        <f>IFERROR(__xludf.DUMMYFUNCTION("""COMPUTED_VALUE"""),"BALTIMORE")</f>
        <v>BALTIMORE</v>
      </c>
      <c r="D1561" s="3" t="str">
        <f>IFERROR(__xludf.DUMMYFUNCTION("""COMPUTED_VALUE"""),"K0K 1C0")</f>
        <v>K0K 1C0</v>
      </c>
      <c r="E1561" s="3" t="str">
        <f>IFERROR(__xludf.DUMMYFUNCTION("""COMPUTED_VALUE"""),"Bruno Romano")</f>
        <v>Bruno Romano</v>
      </c>
      <c r="F1561" s="3" t="str">
        <f>IFERROR(__xludf.DUMMYFUNCTION("""COMPUTED_VALUE"""),"bru_rom@yahoo.ca")</f>
        <v>bru_rom@yahoo.ca</v>
      </c>
      <c r="G1561" s="3">
        <f>IFERROR(__xludf.DUMMYFUNCTION("""COMPUTED_VALUE"""),4.165746506E9)</f>
        <v>4165746506</v>
      </c>
      <c r="H1561" s="3">
        <f>IFERROR(__xludf.DUMMYFUNCTION("""COMPUTED_VALUE"""),6.479659517E9)</f>
        <v>6479659517</v>
      </c>
    </row>
    <row r="1562">
      <c r="A1562" s="2">
        <f>IFERROR(__xludf.DUMMYFUNCTION("""COMPUTED_VALUE"""),21124.0)</f>
        <v>21124</v>
      </c>
      <c r="B1562" s="3" t="str">
        <f>IFERROR(__xludf.DUMMYFUNCTION("""COMPUTED_VALUE"""),"5189 COUNTY RD 45")</f>
        <v>5189 COUNTY RD 45</v>
      </c>
      <c r="C1562" s="3" t="str">
        <f>IFERROR(__xludf.DUMMYFUNCTION("""COMPUTED_VALUE"""),"BALTIMORE")</f>
        <v>BALTIMORE</v>
      </c>
      <c r="D1562" s="3" t="str">
        <f>IFERROR(__xludf.DUMMYFUNCTION("""COMPUTED_VALUE"""),"K0K 1C0")</f>
        <v>K0K 1C0</v>
      </c>
      <c r="E1562" s="3" t="str">
        <f>IFERROR(__xludf.DUMMYFUNCTION("""COMPUTED_VALUE"""),"paul gonsalves ")</f>
        <v>paul gonsalves </v>
      </c>
      <c r="F1562" s="3" t="str">
        <f>IFERROR(__xludf.DUMMYFUNCTION("""COMPUTED_VALUE"""),"shannagonsalves@gmail.com")</f>
        <v>shannagonsalves@gmail.com</v>
      </c>
      <c r="G1562" s="3">
        <f>IFERROR(__xludf.DUMMYFUNCTION("""COMPUTED_VALUE"""),4.167378685E9)</f>
        <v>4167378685</v>
      </c>
      <c r="H1562" s="3">
        <f>IFERROR(__xludf.DUMMYFUNCTION("""COMPUTED_VALUE"""),4.374336932E9)</f>
        <v>4374336932</v>
      </c>
    </row>
    <row r="1563">
      <c r="A1563" s="2">
        <f>IFERROR(__xludf.DUMMYFUNCTION("""COMPUTED_VALUE"""),23678.0)</f>
        <v>23678</v>
      </c>
      <c r="B1563" s="3" t="str">
        <f>IFERROR(__xludf.DUMMYFUNCTION("""COMPUTED_VALUE"""),"9699 TURK RD")</f>
        <v>9699 TURK RD</v>
      </c>
      <c r="C1563" s="3" t="str">
        <f>IFERROR(__xludf.DUMMYFUNCTION("""COMPUTED_VALUE"""),"BALTIMORE")</f>
        <v>BALTIMORE</v>
      </c>
      <c r="D1563" s="3" t="str">
        <f>IFERROR(__xludf.DUMMYFUNCTION("""COMPUTED_VALUE"""),"K0K 1C0")</f>
        <v>K0K 1C0</v>
      </c>
      <c r="E1563" s="3" t="str">
        <f>IFERROR(__xludf.DUMMYFUNCTION("""COMPUTED_VALUE"""),"Cathy Williams")</f>
        <v>Cathy Williams</v>
      </c>
      <c r="F1563" s="3" t="str">
        <f>IFERROR(__xludf.DUMMYFUNCTION("""COMPUTED_VALUE"""),"cbibeau@hotmail.com")</f>
        <v>cbibeau@hotmail.com</v>
      </c>
      <c r="G1563" s="3">
        <f>IFERROR(__xludf.DUMMYFUNCTION("""COMPUTED_VALUE"""),6.133294404E9)</f>
        <v>6133294404</v>
      </c>
      <c r="H1563" s="3"/>
    </row>
    <row r="1564">
      <c r="A1564" s="2">
        <f>IFERROR(__xludf.DUMMYFUNCTION("""COMPUTED_VALUE"""),21126.0)</f>
        <v>21126</v>
      </c>
      <c r="B1564" s="3" t="str">
        <f>IFERROR(__xludf.DUMMYFUNCTION("""COMPUTED_VALUE"""),"5204 COUNTY RD 45")</f>
        <v>5204 COUNTY RD 45</v>
      </c>
      <c r="C1564" s="3" t="str">
        <f>IFERROR(__xludf.DUMMYFUNCTION("""COMPUTED_VALUE"""),"BALTIMORE")</f>
        <v>BALTIMORE</v>
      </c>
      <c r="D1564" s="3" t="str">
        <f>IFERROR(__xludf.DUMMYFUNCTION("""COMPUTED_VALUE"""),"K0K 1C0")</f>
        <v>K0K 1C0</v>
      </c>
      <c r="E1564" s="3" t="str">
        <f>IFERROR(__xludf.DUMMYFUNCTION("""COMPUTED_VALUE"""),"ryan prentice ")</f>
        <v>ryan prentice </v>
      </c>
      <c r="F1564" s="3" t="str">
        <f>IFERROR(__xludf.DUMMYFUNCTION("""COMPUTED_VALUE"""),"prentice_ryan02@hotmail.com")</f>
        <v>prentice_ryan02@hotmail.com</v>
      </c>
      <c r="G1564" s="3">
        <f>IFERROR(__xludf.DUMMYFUNCTION("""COMPUTED_VALUE"""),9.053722828E9)</f>
        <v>9053722828</v>
      </c>
      <c r="H1564" s="3">
        <f>IFERROR(__xludf.DUMMYFUNCTION("""COMPUTED_VALUE"""),7.05761203E9)</f>
        <v>7057612030</v>
      </c>
    </row>
    <row r="1565">
      <c r="A1565" s="2">
        <f>IFERROR(__xludf.DUMMYFUNCTION("""COMPUTED_VALUE"""),21127.0)</f>
        <v>21127</v>
      </c>
      <c r="B1565" s="3" t="str">
        <f>IFERROR(__xludf.DUMMYFUNCTION("""COMPUTED_VALUE"""),"5205 COUNTY RD 45")</f>
        <v>5205 COUNTY RD 45</v>
      </c>
      <c r="C1565" s="3" t="str">
        <f>IFERROR(__xludf.DUMMYFUNCTION("""COMPUTED_VALUE"""),"BALTIMORE")</f>
        <v>BALTIMORE</v>
      </c>
      <c r="D1565" s="3" t="str">
        <f>IFERROR(__xludf.DUMMYFUNCTION("""COMPUTED_VALUE"""),"K0K 1C0")</f>
        <v>K0K 1C0</v>
      </c>
      <c r="E1565" s="3" t="str">
        <f>IFERROR(__xludf.DUMMYFUNCTION("""COMPUTED_VALUE"""),"John Johnston")</f>
        <v>John Johnston</v>
      </c>
      <c r="F1565" s="3" t="str">
        <f>IFERROR(__xludf.DUMMYFUNCTION("""COMPUTED_VALUE"""),"jjohnston2871@gmail.com")</f>
        <v>jjohnston2871@gmail.com</v>
      </c>
      <c r="G1565" s="3">
        <f>IFERROR(__xludf.DUMMYFUNCTION("""COMPUTED_VALUE"""),4.166765511E9)</f>
        <v>4166765511</v>
      </c>
      <c r="H1565" s="3"/>
    </row>
    <row r="1566">
      <c r="A1566" s="2">
        <f>IFERROR(__xludf.DUMMYFUNCTION("""COMPUTED_VALUE"""),23679.0)</f>
        <v>23679</v>
      </c>
      <c r="B1566" s="3" t="str">
        <f>IFERROR(__xludf.DUMMYFUNCTION("""COMPUTED_VALUE"""),"9700 TURK RD")</f>
        <v>9700 TURK RD</v>
      </c>
      <c r="C1566" s="3" t="str">
        <f>IFERROR(__xludf.DUMMYFUNCTION("""COMPUTED_VALUE"""),"BALTIMORE")</f>
        <v>BALTIMORE</v>
      </c>
      <c r="D1566" s="3" t="str">
        <f>IFERROR(__xludf.DUMMYFUNCTION("""COMPUTED_VALUE"""),"K0K 1C0")</f>
        <v>K0K 1C0</v>
      </c>
      <c r="E1566" s="3" t="str">
        <f>IFERROR(__xludf.DUMMYFUNCTION("""COMPUTED_VALUE"""),"Samantha Sine")</f>
        <v>Samantha Sine</v>
      </c>
      <c r="F1566" s="3" t="str">
        <f>IFERROR(__xludf.DUMMYFUNCTION("""COMPUTED_VALUE"""),"samantha.mwilson@gmail.com")</f>
        <v>samantha.mwilson@gmail.com</v>
      </c>
      <c r="G1566" s="3">
        <f>IFERROR(__xludf.DUMMYFUNCTION("""COMPUTED_VALUE"""),9.053913035E9)</f>
        <v>9053913035</v>
      </c>
      <c r="H1566" s="3"/>
    </row>
    <row r="1567">
      <c r="A1567" s="2">
        <f>IFERROR(__xludf.DUMMYFUNCTION("""COMPUTED_VALUE"""),21129.0)</f>
        <v>21129</v>
      </c>
      <c r="B1567" s="3" t="str">
        <f>IFERROR(__xludf.DUMMYFUNCTION("""COMPUTED_VALUE"""),"5213 COUNTY RD 45")</f>
        <v>5213 COUNTY RD 45</v>
      </c>
      <c r="C1567" s="3" t="str">
        <f>IFERROR(__xludf.DUMMYFUNCTION("""COMPUTED_VALUE"""),"BALTIMORE")</f>
        <v>BALTIMORE</v>
      </c>
      <c r="D1567" s="3" t="str">
        <f>IFERROR(__xludf.DUMMYFUNCTION("""COMPUTED_VALUE"""),"K0K 1C0")</f>
        <v>K0K 1C0</v>
      </c>
      <c r="E1567" s="3" t="str">
        <f>IFERROR(__xludf.DUMMYFUNCTION("""COMPUTED_VALUE"""),"Eric Churchley")</f>
        <v>Eric Churchley</v>
      </c>
      <c r="F1567" s="3"/>
      <c r="G1567" s="3">
        <f>IFERROR(__xludf.DUMMYFUNCTION("""COMPUTED_VALUE"""),9.053732118E9)</f>
        <v>9053732118</v>
      </c>
      <c r="H1567" s="3"/>
    </row>
    <row r="1568">
      <c r="A1568" s="2">
        <f>IFERROR(__xludf.DUMMYFUNCTION("""COMPUTED_VALUE"""),21130.0)</f>
        <v>21130</v>
      </c>
      <c r="B1568" s="3" t="str">
        <f>IFERROR(__xludf.DUMMYFUNCTION("""COMPUTED_VALUE"""),"5227 COUNTY RD 45")</f>
        <v>5227 COUNTY RD 45</v>
      </c>
      <c r="C1568" s="3" t="str">
        <f>IFERROR(__xludf.DUMMYFUNCTION("""COMPUTED_VALUE"""),"BALTIMORE")</f>
        <v>BALTIMORE</v>
      </c>
      <c r="D1568" s="3" t="str">
        <f>IFERROR(__xludf.DUMMYFUNCTION("""COMPUTED_VALUE"""),"K0K 1C0")</f>
        <v>K0K 1C0</v>
      </c>
      <c r="E1568" s="3"/>
      <c r="F1568" s="3"/>
      <c r="G1568" s="3"/>
      <c r="H1568" s="3"/>
    </row>
    <row r="1569">
      <c r="A1569" s="2">
        <f>IFERROR(__xludf.DUMMYFUNCTION("""COMPUTED_VALUE"""),21131.0)</f>
        <v>21131</v>
      </c>
      <c r="B1569" s="3" t="str">
        <f>IFERROR(__xludf.DUMMYFUNCTION("""COMPUTED_VALUE"""),"5233 COUNTY RD 45")</f>
        <v>5233 COUNTY RD 45</v>
      </c>
      <c r="C1569" s="3" t="str">
        <f>IFERROR(__xludf.DUMMYFUNCTION("""COMPUTED_VALUE"""),"BALTIMORE")</f>
        <v>BALTIMORE</v>
      </c>
      <c r="D1569" s="3" t="str">
        <f>IFERROR(__xludf.DUMMYFUNCTION("""COMPUTED_VALUE"""),"K0K 1C0")</f>
        <v>K0K 1C0</v>
      </c>
      <c r="E1569" s="3"/>
      <c r="F1569" s="3"/>
      <c r="G1569" s="3"/>
      <c r="H1569" s="3"/>
    </row>
    <row r="1570">
      <c r="A1570" s="2">
        <f>IFERROR(__xludf.DUMMYFUNCTION("""COMPUTED_VALUE"""),21132.0)</f>
        <v>21132</v>
      </c>
      <c r="B1570" s="3" t="str">
        <f>IFERROR(__xludf.DUMMYFUNCTION("""COMPUTED_VALUE"""),"5237 COUNTY RD 45")</f>
        <v>5237 COUNTY RD 45</v>
      </c>
      <c r="C1570" s="3" t="str">
        <f>IFERROR(__xludf.DUMMYFUNCTION("""COMPUTED_VALUE"""),"BALTIMORE")</f>
        <v>BALTIMORE</v>
      </c>
      <c r="D1570" s="3" t="str">
        <f>IFERROR(__xludf.DUMMYFUNCTION("""COMPUTED_VALUE"""),"K0K 1C0")</f>
        <v>K0K 1C0</v>
      </c>
      <c r="E1570" s="3"/>
      <c r="F1570" s="3"/>
      <c r="G1570" s="3"/>
      <c r="H1570" s="3"/>
    </row>
    <row r="1571">
      <c r="A1571" s="2">
        <f>IFERROR(__xludf.DUMMYFUNCTION("""COMPUTED_VALUE"""),20657.0)</f>
        <v>20657</v>
      </c>
      <c r="B1571" s="3" t="str">
        <f>IFERROR(__xludf.DUMMYFUNCTION("""COMPUTED_VALUE"""),"9541 CLAPPERTON RD")</f>
        <v>9541 CLAPPERTON RD</v>
      </c>
      <c r="C1571" s="3" t="str">
        <f>IFERROR(__xludf.DUMMYFUNCTION("""COMPUTED_VALUE"""),"BALTIMORE")</f>
        <v>BALTIMORE</v>
      </c>
      <c r="D1571" s="3" t="str">
        <f>IFERROR(__xludf.DUMMYFUNCTION("""COMPUTED_VALUE"""),"K0K 1C0")</f>
        <v>K0K 1C0</v>
      </c>
      <c r="E1571" s="3" t="str">
        <f>IFERROR(__xludf.DUMMYFUNCTION("""COMPUTED_VALUE"""),"Marilyn Coons ")</f>
        <v>Marilyn Coons </v>
      </c>
      <c r="F1571" s="3" t="str">
        <f>IFERROR(__xludf.DUMMYFUNCTION("""COMPUTED_VALUE"""),"mjcoons@icloud.com")</f>
        <v>mjcoons@icloud.com</v>
      </c>
      <c r="G1571" s="3"/>
      <c r="H1571" s="3"/>
    </row>
    <row r="1572">
      <c r="A1572" s="2">
        <f>IFERROR(__xludf.DUMMYFUNCTION("""COMPUTED_VALUE"""),20658.0)</f>
        <v>20658</v>
      </c>
      <c r="B1572" s="3" t="str">
        <f>IFERROR(__xludf.DUMMYFUNCTION("""COMPUTED_VALUE"""),"9555 CLAPPERTON RD")</f>
        <v>9555 CLAPPERTON RD</v>
      </c>
      <c r="C1572" s="3" t="str">
        <f>IFERROR(__xludf.DUMMYFUNCTION("""COMPUTED_VALUE"""),"BALTIMORE")</f>
        <v>BALTIMORE</v>
      </c>
      <c r="D1572" s="3" t="str">
        <f>IFERROR(__xludf.DUMMYFUNCTION("""COMPUTED_VALUE"""),"K0K 1C0")</f>
        <v>K0K 1C0</v>
      </c>
      <c r="E1572" s="3" t="str">
        <f>IFERROR(__xludf.DUMMYFUNCTION("""COMPUTED_VALUE"""),"Alisha Bovie")</f>
        <v>Alisha Bovie</v>
      </c>
      <c r="F1572" s="3" t="str">
        <f>IFERROR(__xludf.DUMMYFUNCTION("""COMPUTED_VALUE"""),"boviea@live.com")</f>
        <v>boviea@live.com</v>
      </c>
      <c r="G1572" s="3">
        <f>IFERROR(__xludf.DUMMYFUNCTION("""COMPUTED_VALUE"""),7.05934092E9)</f>
        <v>7059340920</v>
      </c>
      <c r="H1572" s="3"/>
    </row>
    <row r="1573">
      <c r="A1573" s="2">
        <f>IFERROR(__xludf.DUMMYFUNCTION("""COMPUTED_VALUE"""),20659.0)</f>
        <v>20659</v>
      </c>
      <c r="B1573" s="3" t="str">
        <f>IFERROR(__xludf.DUMMYFUNCTION("""COMPUTED_VALUE"""),"9621 CLAPPERTON RD")</f>
        <v>9621 CLAPPERTON RD</v>
      </c>
      <c r="C1573" s="3" t="str">
        <f>IFERROR(__xludf.DUMMYFUNCTION("""COMPUTED_VALUE"""),"BALTIMORE")</f>
        <v>BALTIMORE</v>
      </c>
      <c r="D1573" s="3" t="str">
        <f>IFERROR(__xludf.DUMMYFUNCTION("""COMPUTED_VALUE"""),"K0K 1C0")</f>
        <v>K0K 1C0</v>
      </c>
      <c r="E1573" s="3" t="str">
        <f>IFERROR(__xludf.DUMMYFUNCTION("""COMPUTED_VALUE"""),"Chris Brown")</f>
        <v>Chris Brown</v>
      </c>
      <c r="F1573" s="3" t="str">
        <f>IFERROR(__xludf.DUMMYFUNCTION("""COMPUTED_VALUE"""),"Cbrown9621@gmail.com")</f>
        <v>Cbrown9621@gmail.com</v>
      </c>
      <c r="G1573" s="3">
        <f>IFERROR(__xludf.DUMMYFUNCTION("""COMPUTED_VALUE"""),9.053960863E9)</f>
        <v>9053960863</v>
      </c>
      <c r="H1573" s="3">
        <f>IFERROR(__xludf.DUMMYFUNCTION("""COMPUTED_VALUE"""),9.053968461E9)</f>
        <v>9053968461</v>
      </c>
    </row>
    <row r="1574">
      <c r="A1574" s="2">
        <f>IFERROR(__xludf.DUMMYFUNCTION("""COMPUTED_VALUE"""),21626.0)</f>
        <v>21626</v>
      </c>
      <c r="B1574" s="3" t="str">
        <f>IFERROR(__xludf.DUMMYFUNCTION("""COMPUTED_VALUE"""),"132 EARL RD")</f>
        <v>132 EARL RD</v>
      </c>
      <c r="C1574" s="3" t="str">
        <f>IFERROR(__xludf.DUMMYFUNCTION("""COMPUTED_VALUE"""),"BALTIMORE")</f>
        <v>BALTIMORE</v>
      </c>
      <c r="D1574" s="3" t="str">
        <f>IFERROR(__xludf.DUMMYFUNCTION("""COMPUTED_VALUE"""),"K0K 1C0")</f>
        <v>K0K 1C0</v>
      </c>
      <c r="E1574" s="3" t="str">
        <f>IFERROR(__xludf.DUMMYFUNCTION("""COMPUTED_VALUE"""),"pat tanaka ")</f>
        <v>pat tanaka </v>
      </c>
      <c r="F1574" s="3" t="str">
        <f>IFERROR(__xludf.DUMMYFUNCTION("""COMPUTED_VALUE"""),"pabotan@eagle.ca")</f>
        <v>pabotan@eagle.ca</v>
      </c>
      <c r="G1574" s="3">
        <f>IFERROR(__xludf.DUMMYFUNCTION("""COMPUTED_VALUE"""),9.053468192E9)</f>
        <v>9053468192</v>
      </c>
      <c r="H1574" s="3">
        <f>IFERROR(__xludf.DUMMYFUNCTION("""COMPUTED_VALUE"""),9.05396311E9)</f>
        <v>9053963110</v>
      </c>
    </row>
    <row r="1575">
      <c r="A1575" s="2">
        <f>IFERROR(__xludf.DUMMYFUNCTION("""COMPUTED_VALUE"""),20660.0)</f>
        <v>20660</v>
      </c>
      <c r="B1575" s="3" t="str">
        <f>IFERROR(__xludf.DUMMYFUNCTION("""COMPUTED_VALUE"""),"9624 CLAPPERTON RD")</f>
        <v>9624 CLAPPERTON RD</v>
      </c>
      <c r="C1575" s="3" t="str">
        <f>IFERROR(__xludf.DUMMYFUNCTION("""COMPUTED_VALUE"""),"BALTIMORE")</f>
        <v>BALTIMORE</v>
      </c>
      <c r="D1575" s="3" t="str">
        <f>IFERROR(__xludf.DUMMYFUNCTION("""COMPUTED_VALUE"""),"K0K 1C0")</f>
        <v>K0K 1C0</v>
      </c>
      <c r="E1575" s="3" t="str">
        <f>IFERROR(__xludf.DUMMYFUNCTION("""COMPUTED_VALUE"""),"Larry Klitzke")</f>
        <v>Larry Klitzke</v>
      </c>
      <c r="F1575" s="3" t="str">
        <f>IFERROR(__xludf.DUMMYFUNCTION("""COMPUTED_VALUE"""),"laklitzke@hotmail.com")</f>
        <v>laklitzke@hotmail.com</v>
      </c>
      <c r="G1575" s="3">
        <f>IFERROR(__xludf.DUMMYFUNCTION("""COMPUTED_VALUE"""),9.05372853E9)</f>
        <v>9053728530</v>
      </c>
      <c r="H1575" s="3">
        <f>IFERROR(__xludf.DUMMYFUNCTION("""COMPUTED_VALUE"""),9.053736504E9)</f>
        <v>9053736504</v>
      </c>
    </row>
    <row r="1576">
      <c r="A1576" s="2">
        <f>IFERROR(__xludf.DUMMYFUNCTION("""COMPUTED_VALUE"""),21137.0)</f>
        <v>21137</v>
      </c>
      <c r="B1576" s="3" t="str">
        <f>IFERROR(__xludf.DUMMYFUNCTION("""COMPUTED_VALUE"""),"5259 COUNTY RD 45")</f>
        <v>5259 COUNTY RD 45</v>
      </c>
      <c r="C1576" s="3" t="str">
        <f>IFERROR(__xludf.DUMMYFUNCTION("""COMPUTED_VALUE"""),"BALTIMORE")</f>
        <v>BALTIMORE</v>
      </c>
      <c r="D1576" s="3" t="str">
        <f>IFERROR(__xludf.DUMMYFUNCTION("""COMPUTED_VALUE"""),"K0K 1C0")</f>
        <v>K0K 1C0</v>
      </c>
      <c r="E1576" s="3"/>
      <c r="F1576" s="3"/>
      <c r="G1576" s="3"/>
      <c r="H1576" s="3"/>
    </row>
    <row r="1577">
      <c r="A1577" s="2">
        <f>IFERROR(__xludf.DUMMYFUNCTION("""COMPUTED_VALUE"""),21138.0)</f>
        <v>21138</v>
      </c>
      <c r="B1577" s="3" t="str">
        <f>IFERROR(__xludf.DUMMYFUNCTION("""COMPUTED_VALUE"""),"5267 COUNTY RD 45")</f>
        <v>5267 COUNTY RD 45</v>
      </c>
      <c r="C1577" s="3" t="str">
        <f>IFERROR(__xludf.DUMMYFUNCTION("""COMPUTED_VALUE"""),"BALTIMORE")</f>
        <v>BALTIMORE</v>
      </c>
      <c r="D1577" s="3" t="str">
        <f>IFERROR(__xludf.DUMMYFUNCTION("""COMPUTED_VALUE"""),"K0K 1C0")</f>
        <v>K0K 1C0</v>
      </c>
      <c r="E1577" s="3" t="str">
        <f>IFERROR(__xludf.DUMMYFUNCTION("""COMPUTED_VALUE"""),"Jim Harding/Dorothy Pittman")</f>
        <v>Jim Harding/Dorothy Pittman</v>
      </c>
      <c r="F1577" s="3" t="str">
        <f>IFERROR(__xludf.DUMMYFUNCTION("""COMPUTED_VALUE"""),"drthypittman@gmail.com")</f>
        <v>drthypittman@gmail.com</v>
      </c>
      <c r="G1577" s="3"/>
      <c r="H1577" s="3"/>
    </row>
    <row r="1578">
      <c r="A1578" s="2">
        <f>IFERROR(__xludf.DUMMYFUNCTION("""COMPUTED_VALUE"""),20661.0)</f>
        <v>20661</v>
      </c>
      <c r="B1578" s="3" t="str">
        <f>IFERROR(__xludf.DUMMYFUNCTION("""COMPUTED_VALUE"""),"9707 CLAPPERTON RD")</f>
        <v>9707 CLAPPERTON RD</v>
      </c>
      <c r="C1578" s="3" t="str">
        <f>IFERROR(__xludf.DUMMYFUNCTION("""COMPUTED_VALUE"""),"BALTIMORE")</f>
        <v>BALTIMORE</v>
      </c>
      <c r="D1578" s="3" t="str">
        <f>IFERROR(__xludf.DUMMYFUNCTION("""COMPUTED_VALUE"""),"K0K 1C0")</f>
        <v>K0K 1C0</v>
      </c>
      <c r="E1578" s="3" t="str">
        <f>IFERROR(__xludf.DUMMYFUNCTION("""COMPUTED_VALUE"""),"Howard Murrant")</f>
        <v>Howard Murrant</v>
      </c>
      <c r="F1578" s="3" t="str">
        <f>IFERROR(__xludf.DUMMYFUNCTION("""COMPUTED_VALUE"""),"cmurrant@gmail.com")</f>
        <v>cmurrant@gmail.com</v>
      </c>
      <c r="G1578" s="3">
        <f>IFERROR(__xludf.DUMMYFUNCTION("""COMPUTED_VALUE"""),9.053752214E9)</f>
        <v>9053752214</v>
      </c>
      <c r="H1578" s="3">
        <f>IFERROR(__xludf.DUMMYFUNCTION("""COMPUTED_VALUE"""),9.053756023E9)</f>
        <v>9053756023</v>
      </c>
    </row>
    <row r="1579">
      <c r="A1579" s="2">
        <f>IFERROR(__xludf.DUMMYFUNCTION("""COMPUTED_VALUE"""),21140.0)</f>
        <v>21140</v>
      </c>
      <c r="B1579" s="3" t="str">
        <f>IFERROR(__xludf.DUMMYFUNCTION("""COMPUTED_VALUE"""),"5278 COUNTY RD 45")</f>
        <v>5278 COUNTY RD 45</v>
      </c>
      <c r="C1579" s="3" t="str">
        <f>IFERROR(__xludf.DUMMYFUNCTION("""COMPUTED_VALUE"""),"BALTIMORE")</f>
        <v>BALTIMORE</v>
      </c>
      <c r="D1579" s="3" t="str">
        <f>IFERROR(__xludf.DUMMYFUNCTION("""COMPUTED_VALUE"""),"K0K 1C0")</f>
        <v>K0K 1C0</v>
      </c>
      <c r="E1579" s="3"/>
      <c r="F1579" s="3"/>
      <c r="G1579" s="3"/>
      <c r="H1579" s="3"/>
    </row>
    <row r="1580">
      <c r="A1580" s="2">
        <f>IFERROR(__xludf.DUMMYFUNCTION("""COMPUTED_VALUE"""),21141.0)</f>
        <v>21141</v>
      </c>
      <c r="B1580" s="3" t="str">
        <f>IFERROR(__xludf.DUMMYFUNCTION("""COMPUTED_VALUE"""),"5280 COUNTY RD 45")</f>
        <v>5280 COUNTY RD 45</v>
      </c>
      <c r="C1580" s="3" t="str">
        <f>IFERROR(__xludf.DUMMYFUNCTION("""COMPUTED_VALUE"""),"BALTIMORE")</f>
        <v>BALTIMORE</v>
      </c>
      <c r="D1580" s="3" t="str">
        <f>IFERROR(__xludf.DUMMYFUNCTION("""COMPUTED_VALUE"""),"K0K 1C0")</f>
        <v>K0K 1C0</v>
      </c>
      <c r="E1580" s="3" t="str">
        <f>IFERROR(__xludf.DUMMYFUNCTION("""COMPUTED_VALUE"""),"Andrew Godin")</f>
        <v>Andrew Godin</v>
      </c>
      <c r="F1580" s="3" t="str">
        <f>IFERROR(__xludf.DUMMYFUNCTION("""COMPUTED_VALUE"""),"andrew.godin@dcdsb.ca")</f>
        <v>andrew.godin@dcdsb.ca</v>
      </c>
      <c r="G1580" s="3">
        <f>IFERROR(__xludf.DUMMYFUNCTION("""COMPUTED_VALUE"""),9.054312665E9)</f>
        <v>9054312665</v>
      </c>
      <c r="H1580" s="3"/>
    </row>
    <row r="1581">
      <c r="A1581" s="2">
        <f>IFERROR(__xludf.DUMMYFUNCTION("""COMPUTED_VALUE"""),21142.0)</f>
        <v>21142</v>
      </c>
      <c r="B1581" s="3" t="str">
        <f>IFERROR(__xludf.DUMMYFUNCTION("""COMPUTED_VALUE"""),"5281 COUNTY RD 45")</f>
        <v>5281 COUNTY RD 45</v>
      </c>
      <c r="C1581" s="3" t="str">
        <f>IFERROR(__xludf.DUMMYFUNCTION("""COMPUTED_VALUE"""),"BALTIMORE")</f>
        <v>BALTIMORE</v>
      </c>
      <c r="D1581" s="3" t="str">
        <f>IFERROR(__xludf.DUMMYFUNCTION("""COMPUTED_VALUE"""),"K0K 1C0")</f>
        <v>K0K 1C0</v>
      </c>
      <c r="E1581" s="3" t="str">
        <f>IFERROR(__xludf.DUMMYFUNCTION("""COMPUTED_VALUE"""),"matt west ")</f>
        <v>matt west </v>
      </c>
      <c r="F1581" s="3"/>
      <c r="G1581" s="3">
        <f>IFERROR(__xludf.DUMMYFUNCTION("""COMPUTED_VALUE"""),9.052697838E9)</f>
        <v>9052697838</v>
      </c>
      <c r="H1581" s="3"/>
    </row>
    <row r="1582">
      <c r="A1582" s="2">
        <f>IFERROR(__xludf.DUMMYFUNCTION("""COMPUTED_VALUE"""),21143.0)</f>
        <v>21143</v>
      </c>
      <c r="B1582" s="3" t="str">
        <f>IFERROR(__xludf.DUMMYFUNCTION("""COMPUTED_VALUE"""),"5286 COUNTY RD 45")</f>
        <v>5286 COUNTY RD 45</v>
      </c>
      <c r="C1582" s="3" t="str">
        <f>IFERROR(__xludf.DUMMYFUNCTION("""COMPUTED_VALUE"""),"BALTIMORE")</f>
        <v>BALTIMORE</v>
      </c>
      <c r="D1582" s="3" t="str">
        <f>IFERROR(__xludf.DUMMYFUNCTION("""COMPUTED_VALUE"""),"K0K 1C0")</f>
        <v>K0K 1C0</v>
      </c>
      <c r="E1582" s="3" t="str">
        <f>IFERROR(__xludf.DUMMYFUNCTION("""COMPUTED_VALUE"""),"Liam Coughlin")</f>
        <v>Liam Coughlin</v>
      </c>
      <c r="F1582" s="3" t="str">
        <f>IFERROR(__xludf.DUMMYFUNCTION("""COMPUTED_VALUE"""),"coughlin.ld@gmail.com")</f>
        <v>coughlin.ld@gmail.com</v>
      </c>
      <c r="G1582" s="3">
        <f>IFERROR(__xludf.DUMMYFUNCTION("""COMPUTED_VALUE"""),6.479992944E9)</f>
        <v>6479992944</v>
      </c>
      <c r="H1582" s="3"/>
    </row>
    <row r="1583">
      <c r="A1583" s="2">
        <f>IFERROR(__xludf.DUMMYFUNCTION("""COMPUTED_VALUE"""),20964.0)</f>
        <v>20964</v>
      </c>
      <c r="B1583" s="3" t="str">
        <f>IFERROR(__xludf.DUMMYFUNCTION("""COMPUTED_VALUE"""),"437 COUNTY RD 22")</f>
        <v>437 COUNTY RD 22</v>
      </c>
      <c r="C1583" s="3" t="str">
        <f>IFERROR(__xludf.DUMMYFUNCTION("""COMPUTED_VALUE"""),"BALTIMORE")</f>
        <v>BALTIMORE</v>
      </c>
      <c r="D1583" s="3" t="str">
        <f>IFERROR(__xludf.DUMMYFUNCTION("""COMPUTED_VALUE"""),"K0K 1C0")</f>
        <v>K0K 1C0</v>
      </c>
      <c r="E1583" s="3" t="str">
        <f>IFERROR(__xludf.DUMMYFUNCTION("""COMPUTED_VALUE"""),"jeff reeves")</f>
        <v>jeff reeves</v>
      </c>
      <c r="F1583" s="3" t="str">
        <f>IFERROR(__xludf.DUMMYFUNCTION("""COMPUTED_VALUE"""),"jeffreeves437@gmail.com")</f>
        <v>jeffreeves437@gmail.com</v>
      </c>
      <c r="G1583" s="3">
        <f>IFERROR(__xludf.DUMMYFUNCTION("""COMPUTED_VALUE"""),2.892519909E9)</f>
        <v>2892519909</v>
      </c>
      <c r="H1583" s="3"/>
    </row>
    <row r="1584">
      <c r="A1584" s="2">
        <f>IFERROR(__xludf.DUMMYFUNCTION("""COMPUTED_VALUE"""),20965.0)</f>
        <v>20965</v>
      </c>
      <c r="B1584" s="3" t="str">
        <f>IFERROR(__xludf.DUMMYFUNCTION("""COMPUTED_VALUE"""),"445 COUNTY RD 22")</f>
        <v>445 COUNTY RD 22</v>
      </c>
      <c r="C1584" s="3" t="str">
        <f>IFERROR(__xludf.DUMMYFUNCTION("""COMPUTED_VALUE"""),"BALTIMORE")</f>
        <v>BALTIMORE</v>
      </c>
      <c r="D1584" s="3" t="str">
        <f>IFERROR(__xludf.DUMMYFUNCTION("""COMPUTED_VALUE"""),"K0K 1C0")</f>
        <v>K0K 1C0</v>
      </c>
      <c r="E1584" s="3" t="str">
        <f>IFERROR(__xludf.DUMMYFUNCTION("""COMPUTED_VALUE"""),"mabel piper")</f>
        <v>mabel piper</v>
      </c>
      <c r="F1584" s="3" t="str">
        <f>IFERROR(__xludf.DUMMYFUNCTION("""COMPUTED_VALUE"""),"mabs1026@gmail.com")</f>
        <v>mabs1026@gmail.com</v>
      </c>
      <c r="G1584" s="3">
        <f>IFERROR(__xludf.DUMMYFUNCTION("""COMPUTED_VALUE"""),2.892510341E9)</f>
        <v>2892510341</v>
      </c>
      <c r="H1584" s="3">
        <f>IFERROR(__xludf.DUMMYFUNCTION("""COMPUTED_VALUE"""),9.05375029E9)</f>
        <v>9053750290</v>
      </c>
    </row>
    <row r="1585">
      <c r="A1585" s="2">
        <f>IFERROR(__xludf.DUMMYFUNCTION("""COMPUTED_VALUE"""),21953.0)</f>
        <v>21953</v>
      </c>
      <c r="B1585" s="3" t="str">
        <f>IFERROR(__xludf.DUMMYFUNCTION("""COMPUTED_VALUE"""),"3093 HARWOOD RD")</f>
        <v>3093 HARWOOD RD</v>
      </c>
      <c r="C1585" s="3" t="str">
        <f>IFERROR(__xludf.DUMMYFUNCTION("""COMPUTED_VALUE"""),"BALTIMORE")</f>
        <v>BALTIMORE</v>
      </c>
      <c r="D1585" s="3" t="str">
        <f>IFERROR(__xludf.DUMMYFUNCTION("""COMPUTED_VALUE"""),"K0K 1C0")</f>
        <v>K0K 1C0</v>
      </c>
      <c r="E1585" s="3" t="str">
        <f>IFERROR(__xludf.DUMMYFUNCTION("""COMPUTED_VALUE"""),"Frank Ambrosie")</f>
        <v>Frank Ambrosie</v>
      </c>
      <c r="F1585" s="3" t="str">
        <f>IFERROR(__xludf.DUMMYFUNCTION("""COMPUTED_VALUE"""),"ambrosiefrank@gmail.com")</f>
        <v>ambrosiefrank@gmail.com</v>
      </c>
      <c r="G1585" s="3"/>
      <c r="H1585" s="3"/>
    </row>
    <row r="1586">
      <c r="A1586" s="2">
        <f>IFERROR(__xludf.DUMMYFUNCTION("""COMPUTED_VALUE"""),21954.0)</f>
        <v>21954</v>
      </c>
      <c r="B1586" s="3" t="str">
        <f>IFERROR(__xludf.DUMMYFUNCTION("""COMPUTED_VALUE"""),"3099 HARWOOD RD")</f>
        <v>3099 HARWOOD RD</v>
      </c>
      <c r="C1586" s="3" t="str">
        <f>IFERROR(__xludf.DUMMYFUNCTION("""COMPUTED_VALUE"""),"BALTIMORE")</f>
        <v>BALTIMORE</v>
      </c>
      <c r="D1586" s="3" t="str">
        <f>IFERROR(__xludf.DUMMYFUNCTION("""COMPUTED_VALUE"""),"K0K 1C0")</f>
        <v>K0K 1C0</v>
      </c>
      <c r="E1586" s="3"/>
      <c r="F1586" s="3"/>
      <c r="G1586" s="3"/>
      <c r="H1586" s="3"/>
    </row>
    <row r="1587">
      <c r="A1587" s="2">
        <f>IFERROR(__xludf.DUMMYFUNCTION("""COMPUTED_VALUE"""),21955.0)</f>
        <v>21955</v>
      </c>
      <c r="B1587" s="3" t="str">
        <f>IFERROR(__xludf.DUMMYFUNCTION("""COMPUTED_VALUE"""),"3103 HARWOOD RD")</f>
        <v>3103 HARWOOD RD</v>
      </c>
      <c r="C1587" s="3" t="str">
        <f>IFERROR(__xludf.DUMMYFUNCTION("""COMPUTED_VALUE"""),"BALTIMORE")</f>
        <v>BALTIMORE</v>
      </c>
      <c r="D1587" s="3" t="str">
        <f>IFERROR(__xludf.DUMMYFUNCTION("""COMPUTED_VALUE"""),"K0K 1C0")</f>
        <v>K0K 1C0</v>
      </c>
      <c r="E1587" s="3" t="str">
        <f>IFERROR(__xludf.DUMMYFUNCTION("""COMPUTED_VALUE"""),"JOSH COGHILL")</f>
        <v>JOSH COGHILL</v>
      </c>
      <c r="F1587" s="3" t="str">
        <f>IFERROR(__xludf.DUMMYFUNCTION("""COMPUTED_VALUE"""),"coghilljosh@gmail.com")</f>
        <v>coghilljosh@gmail.com</v>
      </c>
      <c r="G1587" s="3"/>
      <c r="H1587" s="3"/>
    </row>
    <row r="1588">
      <c r="A1588" s="2">
        <f>IFERROR(__xludf.DUMMYFUNCTION("""COMPUTED_VALUE"""),21956.0)</f>
        <v>21956</v>
      </c>
      <c r="B1588" s="3" t="str">
        <f>IFERROR(__xludf.DUMMYFUNCTION("""COMPUTED_VALUE"""),"3107 HARWOOD RD")</f>
        <v>3107 HARWOOD RD</v>
      </c>
      <c r="C1588" s="3" t="str">
        <f>IFERROR(__xludf.DUMMYFUNCTION("""COMPUTED_VALUE"""),"BALTIMORE")</f>
        <v>BALTIMORE</v>
      </c>
      <c r="D1588" s="3" t="str">
        <f>IFERROR(__xludf.DUMMYFUNCTION("""COMPUTED_VALUE"""),"K0K 1C0")</f>
        <v>K0K 1C0</v>
      </c>
      <c r="E1588" s="3" t="str">
        <f>IFERROR(__xludf.DUMMYFUNCTION("""COMPUTED_VALUE"""),"James E Barnes")</f>
        <v>James E Barnes</v>
      </c>
      <c r="F1588" s="3" t="str">
        <f>IFERROR(__xludf.DUMMYFUNCTION("""COMPUTED_VALUE"""),"barnesej@gmail.com")</f>
        <v>barnesej@gmail.com</v>
      </c>
      <c r="G1588" s="3"/>
      <c r="H1588" s="3"/>
    </row>
    <row r="1589">
      <c r="A1589" s="2">
        <f>IFERROR(__xludf.DUMMYFUNCTION("""COMPUTED_VALUE"""),21163.0)</f>
        <v>21163</v>
      </c>
      <c r="B1589" s="3" t="str">
        <f>IFERROR(__xludf.DUMMYFUNCTION("""COMPUTED_VALUE"""),"5707 COUNTY RD 45")</f>
        <v>5707 COUNTY RD 45</v>
      </c>
      <c r="C1589" s="3" t="str">
        <f>IFERROR(__xludf.DUMMYFUNCTION("""COMPUTED_VALUE"""),"BALTIMORE")</f>
        <v>BALTIMORE</v>
      </c>
      <c r="D1589" s="3" t="str">
        <f>IFERROR(__xludf.DUMMYFUNCTION("""COMPUTED_VALUE"""),"K0K 1C0")</f>
        <v>K0K 1C0</v>
      </c>
      <c r="E1589" s="3" t="str">
        <f>IFERROR(__xludf.DUMMYFUNCTION("""COMPUTED_VALUE"""),"Krista Calvert")</f>
        <v>Krista Calvert</v>
      </c>
      <c r="F1589" s="3" t="str">
        <f>IFERROR(__xludf.DUMMYFUNCTION("""COMPUTED_VALUE"""),"kaelcalv@xplornet.ca")</f>
        <v>kaelcalv@xplornet.ca</v>
      </c>
      <c r="G1589" s="3">
        <f>IFERROR(__xludf.DUMMYFUNCTION("""COMPUTED_VALUE"""),9.053734322E9)</f>
        <v>9053734322</v>
      </c>
      <c r="H1589" s="3"/>
    </row>
    <row r="1590">
      <c r="A1590" s="2">
        <f>IFERROR(__xludf.DUMMYFUNCTION("""COMPUTED_VALUE"""),21398.0)</f>
        <v>21398</v>
      </c>
      <c r="B1590" s="3" t="str">
        <f>IFERROR(__xludf.DUMMYFUNCTION("""COMPUTED_VALUE"""),"7704 DALE RD")</f>
        <v>7704 DALE RD</v>
      </c>
      <c r="C1590" s="3" t="str">
        <f>IFERROR(__xludf.DUMMYFUNCTION("""COMPUTED_VALUE"""),"COBOURG")</f>
        <v>COBOURG</v>
      </c>
      <c r="D1590" s="3" t="str">
        <f>IFERROR(__xludf.DUMMYFUNCTION("""COMPUTED_VALUE"""),"K9A 4J9")</f>
        <v>K9A 4J9</v>
      </c>
      <c r="E1590" s="3" t="str">
        <f>IFERROR(__xludf.DUMMYFUNCTION("""COMPUTED_VALUE"""),"Stacey Simpson")</f>
        <v>Stacey Simpson</v>
      </c>
      <c r="F1590" s="3" t="str">
        <f>IFERROR(__xludf.DUMMYFUNCTION("""COMPUTED_VALUE"""),"Stacey_parks08@hotmail.com")</f>
        <v>Stacey_parks08@hotmail.com</v>
      </c>
      <c r="G1590" s="3">
        <f>IFERROR(__xludf.DUMMYFUNCTION("""COMPUTED_VALUE"""),6.138898439E9)</f>
        <v>6138898439</v>
      </c>
      <c r="H1590" s="3"/>
    </row>
    <row r="1591">
      <c r="A1591" s="2">
        <f>IFERROR(__xludf.DUMMYFUNCTION("""COMPUTED_VALUE"""),21959.0)</f>
        <v>21959</v>
      </c>
      <c r="B1591" s="3" t="str">
        <f>IFERROR(__xludf.DUMMYFUNCTION("""COMPUTED_VALUE"""),"3121 HARWOOD RD")</f>
        <v>3121 HARWOOD RD</v>
      </c>
      <c r="C1591" s="3" t="str">
        <f>IFERROR(__xludf.DUMMYFUNCTION("""COMPUTED_VALUE"""),"BALTIMORE")</f>
        <v>BALTIMORE</v>
      </c>
      <c r="D1591" s="3" t="str">
        <f>IFERROR(__xludf.DUMMYFUNCTION("""COMPUTED_VALUE"""),"K0K 1C0")</f>
        <v>K0K 1C0</v>
      </c>
      <c r="E1591" s="3" t="str">
        <f>IFERROR(__xludf.DUMMYFUNCTION("""COMPUTED_VALUE"""),"larry citajar")</f>
        <v>larry citajar</v>
      </c>
      <c r="F1591" s="3" t="str">
        <f>IFERROR(__xludf.DUMMYFUNCTION("""COMPUTED_VALUE"""),"larrysolary@gmail.com")</f>
        <v>larrysolary@gmail.com</v>
      </c>
      <c r="G1591" s="3">
        <f>IFERROR(__xludf.DUMMYFUNCTION("""COMPUTED_VALUE"""),9.053760422E9)</f>
        <v>9053760422</v>
      </c>
      <c r="H1591" s="3"/>
    </row>
    <row r="1592">
      <c r="A1592" s="2">
        <f>IFERROR(__xludf.DUMMYFUNCTION("""COMPUTED_VALUE"""),21286.0)</f>
        <v>21286</v>
      </c>
      <c r="B1592" s="3" t="str">
        <f>IFERROR(__xludf.DUMMYFUNCTION("""COMPUTED_VALUE"""),"8134 DALE RD")</f>
        <v>8134 DALE RD</v>
      </c>
      <c r="C1592" s="3" t="str">
        <f>IFERROR(__xludf.DUMMYFUNCTION("""COMPUTED_VALUE"""),"COBOURG")</f>
        <v>COBOURG</v>
      </c>
      <c r="D1592" s="3" t="str">
        <f>IFERROR(__xludf.DUMMYFUNCTION("""COMPUTED_VALUE"""),"K9A 4J7")</f>
        <v>K9A 4J7</v>
      </c>
      <c r="E1592" s="3" t="str">
        <f>IFERROR(__xludf.DUMMYFUNCTION("""COMPUTED_VALUE"""),"LIANA WOLOSUK")</f>
        <v>LIANA WOLOSUK</v>
      </c>
      <c r="F1592" s="3" t="str">
        <f>IFERROR(__xludf.DUMMYFUNCTION("""COMPUTED_VALUE"""),"countrygirl@xplornet.com")</f>
        <v>countrygirl@xplornet.com</v>
      </c>
      <c r="G1592" s="3"/>
      <c r="H1592" s="3"/>
    </row>
    <row r="1593">
      <c r="A1593" s="2">
        <f>IFERROR(__xludf.DUMMYFUNCTION("""COMPUTED_VALUE"""),21154.0)</f>
        <v>21154</v>
      </c>
      <c r="B1593" s="3" t="str">
        <f>IFERROR(__xludf.DUMMYFUNCTION("""COMPUTED_VALUE"""),"5384 COUNTY RD 45")</f>
        <v>5384 COUNTY RD 45</v>
      </c>
      <c r="C1593" s="3" t="str">
        <f>IFERROR(__xludf.DUMMYFUNCTION("""COMPUTED_VALUE"""),"BALTIMORE")</f>
        <v>BALTIMORE</v>
      </c>
      <c r="D1593" s="3" t="str">
        <f>IFERROR(__xludf.DUMMYFUNCTION("""COMPUTED_VALUE"""),"K0K 1C0")</f>
        <v>K0K 1C0</v>
      </c>
      <c r="E1593" s="3"/>
      <c r="F1593" s="3"/>
      <c r="G1593" s="3"/>
      <c r="H1593" s="3"/>
    </row>
    <row r="1594">
      <c r="A1594" s="2">
        <f>IFERROR(__xludf.DUMMYFUNCTION("""COMPUTED_VALUE"""),21961.0)</f>
        <v>21961</v>
      </c>
      <c r="B1594" s="3" t="str">
        <f>IFERROR(__xludf.DUMMYFUNCTION("""COMPUTED_VALUE"""),"3126 HARWOOD RD")</f>
        <v>3126 HARWOOD RD</v>
      </c>
      <c r="C1594" s="3" t="str">
        <f>IFERROR(__xludf.DUMMYFUNCTION("""COMPUTED_VALUE"""),"BALTIMORE")</f>
        <v>BALTIMORE</v>
      </c>
      <c r="D1594" s="3" t="str">
        <f>IFERROR(__xludf.DUMMYFUNCTION("""COMPUTED_VALUE"""),"K0K 1C0")</f>
        <v>K0K 1C0</v>
      </c>
      <c r="E1594" s="3"/>
      <c r="F1594" s="3"/>
      <c r="G1594" s="3"/>
      <c r="H1594" s="3"/>
    </row>
    <row r="1595">
      <c r="A1595" s="2">
        <f>IFERROR(__xludf.DUMMYFUNCTION("""COMPUTED_VALUE"""),21962.0)</f>
        <v>21962</v>
      </c>
      <c r="B1595" s="3" t="str">
        <f>IFERROR(__xludf.DUMMYFUNCTION("""COMPUTED_VALUE"""),"3130 HARWOOD RD")</f>
        <v>3130 HARWOOD RD</v>
      </c>
      <c r="C1595" s="3" t="str">
        <f>IFERROR(__xludf.DUMMYFUNCTION("""COMPUTED_VALUE"""),"BALTIMORE")</f>
        <v>BALTIMORE</v>
      </c>
      <c r="D1595" s="3" t="str">
        <f>IFERROR(__xludf.DUMMYFUNCTION("""COMPUTED_VALUE"""),"K0K 1C0")</f>
        <v>K0K 1C0</v>
      </c>
      <c r="E1595" s="3"/>
      <c r="F1595" s="3"/>
      <c r="G1595" s="3"/>
      <c r="H1595" s="3"/>
    </row>
    <row r="1596">
      <c r="A1596" s="2">
        <f>IFERROR(__xludf.DUMMYFUNCTION("""COMPUTED_VALUE"""),21963.0)</f>
        <v>21963</v>
      </c>
      <c r="B1596" s="3" t="str">
        <f>IFERROR(__xludf.DUMMYFUNCTION("""COMPUTED_VALUE"""),"3131 HARWOOD RD")</f>
        <v>3131 HARWOOD RD</v>
      </c>
      <c r="C1596" s="3" t="str">
        <f>IFERROR(__xludf.DUMMYFUNCTION("""COMPUTED_VALUE"""),"BALTIMORE")</f>
        <v>BALTIMORE</v>
      </c>
      <c r="D1596" s="3" t="str">
        <f>IFERROR(__xludf.DUMMYFUNCTION("""COMPUTED_VALUE"""),"K0K 1C0")</f>
        <v>K0K 1C0</v>
      </c>
      <c r="E1596" s="3"/>
      <c r="F1596" s="3"/>
      <c r="G1596" s="3"/>
      <c r="H1596" s="3"/>
    </row>
    <row r="1597">
      <c r="A1597" s="2">
        <f>IFERROR(__xludf.DUMMYFUNCTION("""COMPUTED_VALUE"""),21158.0)</f>
        <v>21158</v>
      </c>
      <c r="B1597" s="3" t="str">
        <f>IFERROR(__xludf.DUMMYFUNCTION("""COMPUTED_VALUE"""),"5599 COUNTY RD 45")</f>
        <v>5599 COUNTY RD 45</v>
      </c>
      <c r="C1597" s="3" t="str">
        <f>IFERROR(__xludf.DUMMYFUNCTION("""COMPUTED_VALUE"""),"BALTIMORE")</f>
        <v>BALTIMORE</v>
      </c>
      <c r="D1597" s="3" t="str">
        <f>IFERROR(__xludf.DUMMYFUNCTION("""COMPUTED_VALUE"""),"K0K 1C0")</f>
        <v>K0K 1C0</v>
      </c>
      <c r="E1597" s="3"/>
      <c r="F1597" s="3"/>
      <c r="G1597" s="3"/>
      <c r="H1597" s="3"/>
    </row>
    <row r="1598">
      <c r="A1598" s="2">
        <f>IFERROR(__xludf.DUMMYFUNCTION("""COMPUTED_VALUE"""),21159.0)</f>
        <v>21159</v>
      </c>
      <c r="B1598" s="3" t="str">
        <f>IFERROR(__xludf.DUMMYFUNCTION("""COMPUTED_VALUE"""),"5608 COUNTY RD 45")</f>
        <v>5608 COUNTY RD 45</v>
      </c>
      <c r="C1598" s="3" t="str">
        <f>IFERROR(__xludf.DUMMYFUNCTION("""COMPUTED_VALUE"""),"BALTIMORE")</f>
        <v>BALTIMORE</v>
      </c>
      <c r="D1598" s="3" t="str">
        <f>IFERROR(__xludf.DUMMYFUNCTION("""COMPUTED_VALUE"""),"K0K 1C0")</f>
        <v>K0K 1C0</v>
      </c>
      <c r="E1598" s="3" t="str">
        <f>IFERROR(__xludf.DUMMYFUNCTION("""COMPUTED_VALUE"""),"shelley keys")</f>
        <v>shelley keys</v>
      </c>
      <c r="F1598" s="3" t="str">
        <f>IFERROR(__xludf.DUMMYFUNCTION("""COMPUTED_VALUE"""),"shelley.keys@outlook.com")</f>
        <v>shelley.keys@outlook.com</v>
      </c>
      <c r="G1598" s="3">
        <f>IFERROR(__xludf.DUMMYFUNCTION("""COMPUTED_VALUE"""),9.053964566E9)</f>
        <v>9053964566</v>
      </c>
      <c r="H1598" s="3">
        <f>IFERROR(__xludf.DUMMYFUNCTION("""COMPUTED_VALUE"""),9.053773006E9)</f>
        <v>9053773006</v>
      </c>
    </row>
    <row r="1599">
      <c r="A1599" s="2">
        <f>IFERROR(__xludf.DUMMYFUNCTION("""COMPUTED_VALUE"""),21160.0)</f>
        <v>21160</v>
      </c>
      <c r="B1599" s="3" t="str">
        <f>IFERROR(__xludf.DUMMYFUNCTION("""COMPUTED_VALUE"""),"5611 COUNTY RD 45")</f>
        <v>5611 COUNTY RD 45</v>
      </c>
      <c r="C1599" s="3" t="str">
        <f>IFERROR(__xludf.DUMMYFUNCTION("""COMPUTED_VALUE"""),"BALTIMORE")</f>
        <v>BALTIMORE</v>
      </c>
      <c r="D1599" s="3" t="str">
        <f>IFERROR(__xludf.DUMMYFUNCTION("""COMPUTED_VALUE"""),"K0K 1C0")</f>
        <v>K0K 1C0</v>
      </c>
      <c r="E1599" s="3" t="str">
        <f>IFERROR(__xludf.DUMMYFUNCTION("""COMPUTED_VALUE"""),"gerald finlay construction ")</f>
        <v>gerald finlay construction </v>
      </c>
      <c r="F1599" s="3" t="str">
        <f>IFERROR(__xludf.DUMMYFUNCTION("""COMPUTED_VALUE"""),"info@finlayconstruction.com")</f>
        <v>info@finlayconstruction.com</v>
      </c>
      <c r="G1599" s="3">
        <f>IFERROR(__xludf.DUMMYFUNCTION("""COMPUTED_VALUE"""),9.053722334E9)</f>
        <v>9053722334</v>
      </c>
      <c r="H1599" s="3">
        <f>IFERROR(__xludf.DUMMYFUNCTION("""COMPUTED_VALUE"""),9.53738958E8)</f>
        <v>953738958</v>
      </c>
    </row>
    <row r="1600">
      <c r="A1600" s="2">
        <f>IFERROR(__xludf.DUMMYFUNCTION("""COMPUTED_VALUE"""),21161.0)</f>
        <v>21161</v>
      </c>
      <c r="B1600" s="3" t="str">
        <f>IFERROR(__xludf.DUMMYFUNCTION("""COMPUTED_VALUE"""),"5685 COUNTY RD 45")</f>
        <v>5685 COUNTY RD 45</v>
      </c>
      <c r="C1600" s="3" t="str">
        <f>IFERROR(__xludf.DUMMYFUNCTION("""COMPUTED_VALUE"""),"BALTIMORE")</f>
        <v>BALTIMORE</v>
      </c>
      <c r="D1600" s="3" t="str">
        <f>IFERROR(__xludf.DUMMYFUNCTION("""COMPUTED_VALUE"""),"K0K 1C0")</f>
        <v>K0K 1C0</v>
      </c>
      <c r="E1600" s="3" t="str">
        <f>IFERROR(__xludf.DUMMYFUNCTION("""COMPUTED_VALUE"""),"Krishan Jayatunge")</f>
        <v>Krishan Jayatunge</v>
      </c>
      <c r="F1600" s="3" t="str">
        <f>IFERROR(__xludf.DUMMYFUNCTION("""COMPUTED_VALUE"""),"kro@kroworks.com")</f>
        <v>kro@kroworks.com</v>
      </c>
      <c r="G1600" s="3">
        <f>IFERROR(__xludf.DUMMYFUNCTION("""COMPUTED_VALUE"""),6.477197197E9)</f>
        <v>6477197197</v>
      </c>
      <c r="H1600" s="3"/>
    </row>
    <row r="1601">
      <c r="A1601" s="2">
        <f>IFERROR(__xludf.DUMMYFUNCTION("""COMPUTED_VALUE"""),21162.0)</f>
        <v>21162</v>
      </c>
      <c r="B1601" s="3" t="str">
        <f>IFERROR(__xludf.DUMMYFUNCTION("""COMPUTED_VALUE"""),"5700 COUNTY RD 45")</f>
        <v>5700 COUNTY RD 45</v>
      </c>
      <c r="C1601" s="3" t="str">
        <f>IFERROR(__xludf.DUMMYFUNCTION("""COMPUTED_VALUE"""),"BALTIMORE")</f>
        <v>BALTIMORE</v>
      </c>
      <c r="D1601" s="3" t="str">
        <f>IFERROR(__xludf.DUMMYFUNCTION("""COMPUTED_VALUE"""),"K0K 1C0")</f>
        <v>K0K 1C0</v>
      </c>
      <c r="E1601" s="3"/>
      <c r="F1601" s="3"/>
      <c r="G1601" s="3"/>
      <c r="H1601" s="3"/>
    </row>
    <row r="1602">
      <c r="A1602" s="2">
        <f>IFERROR(__xludf.DUMMYFUNCTION("""COMPUTED_VALUE"""),21316.0)</f>
        <v>21316</v>
      </c>
      <c r="B1602" s="3" t="str">
        <f>IFERROR(__xludf.DUMMYFUNCTION("""COMPUTED_VALUE"""),"8449 DALE RD")</f>
        <v>8449 DALE RD</v>
      </c>
      <c r="C1602" s="3" t="str">
        <f>IFERROR(__xludf.DUMMYFUNCTION("""COMPUTED_VALUE"""),"COBOURG")</f>
        <v>COBOURG</v>
      </c>
      <c r="D1602" s="3" t="str">
        <f>IFERROR(__xludf.DUMMYFUNCTION("""COMPUTED_VALUE"""),"K9A 0T5")</f>
        <v>K9A 0T5</v>
      </c>
      <c r="E1602" s="3" t="str">
        <f>IFERROR(__xludf.DUMMYFUNCTION("""COMPUTED_VALUE"""),"Justin Whalen")</f>
        <v>Justin Whalen</v>
      </c>
      <c r="F1602" s="3" t="str">
        <f>IFERROR(__xludf.DUMMYFUNCTION("""COMPUTED_VALUE"""),"justintwhalen@gmail.com")</f>
        <v>justintwhalen@gmail.com</v>
      </c>
      <c r="G1602" s="3">
        <f>IFERROR(__xludf.DUMMYFUNCTION("""COMPUTED_VALUE"""),9.053732274E9)</f>
        <v>9053732274</v>
      </c>
      <c r="H1602" s="3"/>
    </row>
    <row r="1603">
      <c r="A1603" s="2">
        <f>IFERROR(__xludf.DUMMYFUNCTION("""COMPUTED_VALUE"""),20285.0)</f>
        <v>20285</v>
      </c>
      <c r="B1603" s="3" t="str">
        <f>IFERROR(__xludf.DUMMYFUNCTION("""COMPUTED_VALUE"""),"141 BULL'S MILL RD")</f>
        <v>141 BULL'S MILL RD</v>
      </c>
      <c r="C1603" s="3" t="str">
        <f>IFERROR(__xludf.DUMMYFUNCTION("""COMPUTED_VALUE"""),"BALTIMORE")</f>
        <v>BALTIMORE</v>
      </c>
      <c r="D1603" s="3" t="str">
        <f>IFERROR(__xludf.DUMMYFUNCTION("""COMPUTED_VALUE"""),"K0K 1C0")</f>
        <v>K0K 1C0</v>
      </c>
      <c r="E1603" s="3" t="str">
        <f>IFERROR(__xludf.DUMMYFUNCTION("""COMPUTED_VALUE"""),"bernadett copps")</f>
        <v>bernadett copps</v>
      </c>
      <c r="F1603" s="3"/>
      <c r="G1603" s="3">
        <f>IFERROR(__xludf.DUMMYFUNCTION("""COMPUTED_VALUE"""),9.053493521E9)</f>
        <v>9053493521</v>
      </c>
      <c r="H1603" s="3"/>
    </row>
    <row r="1604">
      <c r="A1604" s="2">
        <f>IFERROR(__xludf.DUMMYFUNCTION("""COMPUTED_VALUE"""),21165.0)</f>
        <v>21165</v>
      </c>
      <c r="B1604" s="3" t="str">
        <f>IFERROR(__xludf.DUMMYFUNCTION("""COMPUTED_VALUE"""),"5794 COUNTY RD 45")</f>
        <v>5794 COUNTY RD 45</v>
      </c>
      <c r="C1604" s="3" t="str">
        <f>IFERROR(__xludf.DUMMYFUNCTION("""COMPUTED_VALUE"""),"BALTIMORE")</f>
        <v>BALTIMORE</v>
      </c>
      <c r="D1604" s="3" t="str">
        <f>IFERROR(__xludf.DUMMYFUNCTION("""COMPUTED_VALUE"""),"K0K 1C0")</f>
        <v>K0K 1C0</v>
      </c>
      <c r="E1604" s="3" t="str">
        <f>IFERROR(__xludf.DUMMYFUNCTION("""COMPUTED_VALUE"""),"janet leadbeater ")</f>
        <v>janet leadbeater </v>
      </c>
      <c r="F1604" s="3" t="str">
        <f>IFERROR(__xludf.DUMMYFUNCTION("""COMPUTED_VALUE"""),"janeteleadbeater@gmail.ocm")</f>
        <v>janeteleadbeater@gmail.ocm</v>
      </c>
      <c r="G1604" s="3">
        <f>IFERROR(__xludf.DUMMYFUNCTION("""COMPUTED_VALUE"""),2.892517789E9)</f>
        <v>2892517789</v>
      </c>
      <c r="H1604" s="3"/>
    </row>
    <row r="1605">
      <c r="A1605" s="2">
        <f>IFERROR(__xludf.DUMMYFUNCTION("""COMPUTED_VALUE"""),21166.0)</f>
        <v>21166</v>
      </c>
      <c r="B1605" s="3" t="str">
        <f>IFERROR(__xludf.DUMMYFUNCTION("""COMPUTED_VALUE"""),"5854 COUNTY RD 45")</f>
        <v>5854 COUNTY RD 45</v>
      </c>
      <c r="C1605" s="3" t="str">
        <f>IFERROR(__xludf.DUMMYFUNCTION("""COMPUTED_VALUE"""),"BALTIMORE")</f>
        <v>BALTIMORE</v>
      </c>
      <c r="D1605" s="3" t="str">
        <f>IFERROR(__xludf.DUMMYFUNCTION("""COMPUTED_VALUE"""),"K0K 1C0")</f>
        <v>K0K 1C0</v>
      </c>
      <c r="E1605" s="3" t="str">
        <f>IFERROR(__xludf.DUMMYFUNCTION("""COMPUTED_VALUE"""),"dan holmes ")</f>
        <v>dan holmes </v>
      </c>
      <c r="F1605" s="3" t="str">
        <f>IFERROR(__xludf.DUMMYFUNCTION("""COMPUTED_VALUE"""),"theholmesboys4@gmail.com | cameron9holmes@gmail.com")</f>
        <v>theholmesboys4@gmail.com | cameron9holmes@gmail.com</v>
      </c>
      <c r="G1605" s="3">
        <f>IFERROR(__xludf.DUMMYFUNCTION("""COMPUTED_VALUE"""),4.164600645E9)</f>
        <v>4164600645</v>
      </c>
      <c r="H1605" s="3">
        <f>IFERROR(__xludf.DUMMYFUNCTION("""COMPUTED_VALUE"""),9.053760227E9)</f>
        <v>9053760227</v>
      </c>
    </row>
    <row r="1606">
      <c r="A1606" s="2">
        <f>IFERROR(__xludf.DUMMYFUNCTION("""COMPUTED_VALUE"""),21167.0)</f>
        <v>21167</v>
      </c>
      <c r="B1606" s="3" t="str">
        <f>IFERROR(__xludf.DUMMYFUNCTION("""COMPUTED_VALUE"""),"5899 COUNTY RD 45")</f>
        <v>5899 COUNTY RD 45</v>
      </c>
      <c r="C1606" s="3" t="str">
        <f>IFERROR(__xludf.DUMMYFUNCTION("""COMPUTED_VALUE"""),"BALTIMORE")</f>
        <v>BALTIMORE</v>
      </c>
      <c r="D1606" s="3" t="str">
        <f>IFERROR(__xludf.DUMMYFUNCTION("""COMPUTED_VALUE"""),"K0K 1C0")</f>
        <v>K0K 1C0</v>
      </c>
      <c r="E1606" s="3" t="str">
        <f>IFERROR(__xludf.DUMMYFUNCTION("""COMPUTED_VALUE"""),"dan baley ")</f>
        <v>dan baley </v>
      </c>
      <c r="F1606" s="3"/>
      <c r="G1606" s="3">
        <f>IFERROR(__xludf.DUMMYFUNCTION("""COMPUTED_VALUE"""),9.053721022E9)</f>
        <v>9053721022</v>
      </c>
      <c r="H1606" s="3"/>
    </row>
    <row r="1607">
      <c r="A1607" s="2">
        <f>IFERROR(__xludf.DUMMYFUNCTION("""COMPUTED_VALUE"""),21168.0)</f>
        <v>21168</v>
      </c>
      <c r="B1607" s="3" t="str">
        <f>IFERROR(__xludf.DUMMYFUNCTION("""COMPUTED_VALUE"""),"5920 COUNTY RD 45")</f>
        <v>5920 COUNTY RD 45</v>
      </c>
      <c r="C1607" s="3" t="str">
        <f>IFERROR(__xludf.DUMMYFUNCTION("""COMPUTED_VALUE"""),"BALTIMORE")</f>
        <v>BALTIMORE</v>
      </c>
      <c r="D1607" s="3" t="str">
        <f>IFERROR(__xludf.DUMMYFUNCTION("""COMPUTED_VALUE"""),"K0K 1C0")</f>
        <v>K0K 1C0</v>
      </c>
      <c r="E1607" s="3" t="str">
        <f>IFERROR(__xludf.DUMMYFUNCTION("""COMPUTED_VALUE"""),"wesley barnes &amp; Gwen Barnes (Mom)")</f>
        <v>wesley barnes &amp; Gwen Barnes (Mom)</v>
      </c>
      <c r="F1607" s="3" t="str">
        <f>IFERROR(__xludf.DUMMYFUNCTION("""COMPUTED_VALUE"""),"thenoblemechanic@gmail.com")</f>
        <v>thenoblemechanic@gmail.com</v>
      </c>
      <c r="G1607" s="3"/>
      <c r="H1607" s="3"/>
    </row>
    <row r="1608">
      <c r="A1608" s="2">
        <f>IFERROR(__xludf.DUMMYFUNCTION("""COMPUTED_VALUE"""),21169.0)</f>
        <v>21169</v>
      </c>
      <c r="B1608" s="3" t="str">
        <f>IFERROR(__xludf.DUMMYFUNCTION("""COMPUTED_VALUE"""),"5940 COUNTY RD 45")</f>
        <v>5940 COUNTY RD 45</v>
      </c>
      <c r="C1608" s="3" t="str">
        <f>IFERROR(__xludf.DUMMYFUNCTION("""COMPUTED_VALUE"""),"BALTIMORE")</f>
        <v>BALTIMORE</v>
      </c>
      <c r="D1608" s="3" t="str">
        <f>IFERROR(__xludf.DUMMYFUNCTION("""COMPUTED_VALUE"""),"K0K 1C0")</f>
        <v>K0K 1C0</v>
      </c>
      <c r="E1608" s="3" t="str">
        <f>IFERROR(__xludf.DUMMYFUNCTION("""COMPUTED_VALUE"""),"Lynne Brown")</f>
        <v>Lynne Brown</v>
      </c>
      <c r="F1608" s="3" t="str">
        <f>IFERROR(__xludf.DUMMYFUNCTION("""COMPUTED_VALUE"""),"lynnekbrown@hotmail.com")</f>
        <v>lynnekbrown@hotmail.com</v>
      </c>
      <c r="G1608" s="3">
        <f>IFERROR(__xludf.DUMMYFUNCTION("""COMPUTED_VALUE"""),2.892511518E9)</f>
        <v>2892511518</v>
      </c>
      <c r="H1608" s="3"/>
    </row>
    <row r="1609">
      <c r="A1609" s="2">
        <f>IFERROR(__xludf.DUMMYFUNCTION("""COMPUTED_VALUE"""),21170.0)</f>
        <v>21170</v>
      </c>
      <c r="B1609" s="3" t="str">
        <f>IFERROR(__xludf.DUMMYFUNCTION("""COMPUTED_VALUE"""),"5956 COUNTY RD 45")</f>
        <v>5956 COUNTY RD 45</v>
      </c>
      <c r="C1609" s="3" t="str">
        <f>IFERROR(__xludf.DUMMYFUNCTION("""COMPUTED_VALUE"""),"BALTIMORE")</f>
        <v>BALTIMORE</v>
      </c>
      <c r="D1609" s="3" t="str">
        <f>IFERROR(__xludf.DUMMYFUNCTION("""COMPUTED_VALUE"""),"K0K 1C0")</f>
        <v>K0K 1C0</v>
      </c>
      <c r="E1609" s="3" t="str">
        <f>IFERROR(__xludf.DUMMYFUNCTION("""COMPUTED_VALUE"""),"Dawn Dickenson")</f>
        <v>Dawn Dickenson</v>
      </c>
      <c r="F1609" s="3" t="str">
        <f>IFERROR(__xludf.DUMMYFUNCTION("""COMPUTED_VALUE"""),"5956dawn@gmail.com")</f>
        <v>5956dawn@gmail.com</v>
      </c>
      <c r="G1609" s="3">
        <f>IFERROR(__xludf.DUMMYFUNCTION("""COMPUTED_VALUE"""),9.054391778E9)</f>
        <v>9054391778</v>
      </c>
      <c r="H1609" s="3"/>
    </row>
    <row r="1610">
      <c r="A1610" s="2">
        <f>IFERROR(__xludf.DUMMYFUNCTION("""COMPUTED_VALUE"""),21184.0)</f>
        <v>21184</v>
      </c>
      <c r="B1610" s="3" t="str">
        <f>IFERROR(__xludf.DUMMYFUNCTION("""COMPUTED_VALUE"""),"6191 COUNTY RD 45")</f>
        <v>6191 COUNTY RD 45</v>
      </c>
      <c r="C1610" s="3" t="str">
        <f>IFERROR(__xludf.DUMMYFUNCTION("""COMPUTED_VALUE"""),"BALTIMORE")</f>
        <v>BALTIMORE</v>
      </c>
      <c r="D1610" s="3" t="str">
        <f>IFERROR(__xludf.DUMMYFUNCTION("""COMPUTED_VALUE"""),"K0K 1C0")</f>
        <v>K0K 1C0</v>
      </c>
      <c r="E1610" s="3"/>
      <c r="F1610" s="3"/>
      <c r="G1610" s="3"/>
      <c r="H1610" s="3"/>
    </row>
    <row r="1611">
      <c r="A1611" s="2">
        <f>IFERROR(__xludf.DUMMYFUNCTION("""COMPUTED_VALUE"""),22811.0)</f>
        <v>22811</v>
      </c>
      <c r="B1611" s="3" t="str">
        <f>IFERROR(__xludf.DUMMYFUNCTION("""COMPUTED_VALUE"""),"235 NICHOL RD")</f>
        <v>235 NICHOL RD</v>
      </c>
      <c r="C1611" s="3" t="str">
        <f>IFERROR(__xludf.DUMMYFUNCTION("""COMPUTED_VALUE"""),"BALTIMORE")</f>
        <v>BALTIMORE</v>
      </c>
      <c r="D1611" s="3" t="str">
        <f>IFERROR(__xludf.DUMMYFUNCTION("""COMPUTED_VALUE"""),"K0K 1C0")</f>
        <v>K0K 1C0</v>
      </c>
      <c r="E1611" s="3" t="str">
        <f>IFERROR(__xludf.DUMMYFUNCTION("""COMPUTED_VALUE"""),"mavine &amp; Jennifer  acorn")</f>
        <v>mavine &amp; Jennifer  acorn</v>
      </c>
      <c r="F1611" s="3" t="str">
        <f>IFERROR(__xludf.DUMMYFUNCTION("""COMPUTED_VALUE"""),"jacorn@jacorn.ca")</f>
        <v>jacorn@jacorn.ca</v>
      </c>
      <c r="G1611" s="3">
        <f>IFERROR(__xludf.DUMMYFUNCTION("""COMPUTED_VALUE"""),9.053482261E9)</f>
        <v>9053482261</v>
      </c>
      <c r="H1611" s="3">
        <f>IFERROR(__xludf.DUMMYFUNCTION("""COMPUTED_VALUE"""),6.476316955E9)</f>
        <v>6476316955</v>
      </c>
    </row>
    <row r="1612">
      <c r="A1612" s="2">
        <f>IFERROR(__xludf.DUMMYFUNCTION("""COMPUTED_VALUE"""),21172.0)</f>
        <v>21172</v>
      </c>
      <c r="B1612" s="3" t="str">
        <f>IFERROR(__xludf.DUMMYFUNCTION("""COMPUTED_VALUE"""),"6277 COUNTY RD 45")</f>
        <v>6277 COUNTY RD 45</v>
      </c>
      <c r="C1612" s="3" t="str">
        <f>IFERROR(__xludf.DUMMYFUNCTION("""COMPUTED_VALUE"""),"BALTIMORE")</f>
        <v>BALTIMORE</v>
      </c>
      <c r="D1612" s="3" t="str">
        <f>IFERROR(__xludf.DUMMYFUNCTION("""COMPUTED_VALUE"""),"K0K 1C0")</f>
        <v>K0K 1C0</v>
      </c>
      <c r="E1612" s="3" t="str">
        <f>IFERROR(__xludf.DUMMYFUNCTION("""COMPUTED_VALUE"""),"doug boulton")</f>
        <v>doug boulton</v>
      </c>
      <c r="F1612" s="3"/>
      <c r="G1612" s="3">
        <f>IFERROR(__xludf.DUMMYFUNCTION("""COMPUTED_VALUE"""),9.052693684E9)</f>
        <v>9052693684</v>
      </c>
      <c r="H1612" s="3"/>
    </row>
    <row r="1613">
      <c r="A1613" s="2">
        <f>IFERROR(__xludf.DUMMYFUNCTION("""COMPUTED_VALUE"""),21173.0)</f>
        <v>21173</v>
      </c>
      <c r="B1613" s="3" t="str">
        <f>IFERROR(__xludf.DUMMYFUNCTION("""COMPUTED_VALUE"""),"6299 COUNTY RD 45")</f>
        <v>6299 COUNTY RD 45</v>
      </c>
      <c r="C1613" s="3" t="str">
        <f>IFERROR(__xludf.DUMMYFUNCTION("""COMPUTED_VALUE"""),"BALTIMORE")</f>
        <v>BALTIMORE</v>
      </c>
      <c r="D1613" s="3" t="str">
        <f>IFERROR(__xludf.DUMMYFUNCTION("""COMPUTED_VALUE"""),"K0K 1C0")</f>
        <v>K0K 1C0</v>
      </c>
      <c r="E1613" s="3" t="str">
        <f>IFERROR(__xludf.DUMMYFUNCTION("""COMPUTED_VALUE"""),"danielle keith ")</f>
        <v>danielle keith </v>
      </c>
      <c r="F1613" s="3" t="str">
        <f>IFERROR(__xludf.DUMMYFUNCTION("""COMPUTED_VALUE"""),"d_newlands@hotmail.com")</f>
        <v>d_newlands@hotmail.com</v>
      </c>
      <c r="G1613" s="3">
        <f>IFERROR(__xludf.DUMMYFUNCTION("""COMPUTED_VALUE"""),9.059254187E9)</f>
        <v>9059254187</v>
      </c>
      <c r="H1613" s="3">
        <f>IFERROR(__xludf.DUMMYFUNCTION("""COMPUTED_VALUE"""),9.054315617E9)</f>
        <v>9054315617</v>
      </c>
    </row>
    <row r="1614">
      <c r="A1614" s="2">
        <f>IFERROR(__xludf.DUMMYFUNCTION("""COMPUTED_VALUE"""),21174.0)</f>
        <v>21174</v>
      </c>
      <c r="B1614" s="3" t="str">
        <f>IFERROR(__xludf.DUMMYFUNCTION("""COMPUTED_VALUE"""),"6318 COUNTY RD 45 - Unit A")</f>
        <v>6318 COUNTY RD 45 - Unit A</v>
      </c>
      <c r="C1614" s="3" t="str">
        <f>IFERROR(__xludf.DUMMYFUNCTION("""COMPUTED_VALUE"""),"BALTIMORE")</f>
        <v>BALTIMORE</v>
      </c>
      <c r="D1614" s="3" t="str">
        <f>IFERROR(__xludf.DUMMYFUNCTION("""COMPUTED_VALUE"""),"K0K 1C0")</f>
        <v>K0K 1C0</v>
      </c>
      <c r="E1614" s="3" t="str">
        <f>IFERROR(__xludf.DUMMYFUNCTION("""COMPUTED_VALUE"""),"mark nelson")</f>
        <v>mark nelson</v>
      </c>
      <c r="F1614" s="3" t="str">
        <f>IFERROR(__xludf.DUMMYFUNCTION("""COMPUTED_VALUE"""),"snafu@eagle.ca")</f>
        <v>snafu@eagle.ca</v>
      </c>
      <c r="G1614" s="3">
        <f>IFERROR(__xludf.DUMMYFUNCTION("""COMPUTED_VALUE"""),9.053683937E9)</f>
        <v>9053683937</v>
      </c>
      <c r="H1614" s="3">
        <f>IFERROR(__xludf.DUMMYFUNCTION("""COMPUTED_VALUE"""),9.053683938E9)</f>
        <v>9053683938</v>
      </c>
    </row>
    <row r="1615">
      <c r="A1615" s="2">
        <f>IFERROR(__xludf.DUMMYFUNCTION("""COMPUTED_VALUE"""),24002.0)</f>
        <v>24002</v>
      </c>
      <c r="B1615" s="3" t="str">
        <f>IFERROR(__xludf.DUMMYFUNCTION("""COMPUTED_VALUE"""),"6318 COUNTY RD 45 - Unit B")</f>
        <v>6318 COUNTY RD 45 - Unit B</v>
      </c>
      <c r="C1615" s="3" t="str">
        <f>IFERROR(__xludf.DUMMYFUNCTION("""COMPUTED_VALUE"""),"BALTIMORE")</f>
        <v>BALTIMORE</v>
      </c>
      <c r="D1615" s="3" t="str">
        <f>IFERROR(__xludf.DUMMYFUNCTION("""COMPUTED_VALUE"""),"K0K 1C0")</f>
        <v>K0K 1C0</v>
      </c>
      <c r="E1615" s="3" t="str">
        <f>IFERROR(__xludf.DUMMYFUNCTION("""COMPUTED_VALUE"""),"mark nelson")</f>
        <v>mark nelson</v>
      </c>
      <c r="F1615" s="3" t="str">
        <f>IFERROR(__xludf.DUMMYFUNCTION("""COMPUTED_VALUE"""),"snafu@eagle.ca")</f>
        <v>snafu@eagle.ca</v>
      </c>
      <c r="G1615" s="3">
        <f>IFERROR(__xludf.DUMMYFUNCTION("""COMPUTED_VALUE"""),9.053683937E9)</f>
        <v>9053683937</v>
      </c>
      <c r="H1615" s="3">
        <f>IFERROR(__xludf.DUMMYFUNCTION("""COMPUTED_VALUE"""),9.053683938E9)</f>
        <v>9053683938</v>
      </c>
    </row>
    <row r="1616">
      <c r="A1616" s="2">
        <f>IFERROR(__xludf.DUMMYFUNCTION("""COMPUTED_VALUE"""),24003.0)</f>
        <v>24003</v>
      </c>
      <c r="B1616" s="3" t="str">
        <f>IFERROR(__xludf.DUMMYFUNCTION("""COMPUTED_VALUE"""),"6328 COUNTY RD 45")</f>
        <v>6328 COUNTY RD 45</v>
      </c>
      <c r="C1616" s="3" t="str">
        <f>IFERROR(__xludf.DUMMYFUNCTION("""COMPUTED_VALUE"""),"BALTIMORE")</f>
        <v>BALTIMORE</v>
      </c>
      <c r="D1616" s="3" t="str">
        <f>IFERROR(__xludf.DUMMYFUNCTION("""COMPUTED_VALUE"""),"K0K 1C0")</f>
        <v>K0K 1C0</v>
      </c>
      <c r="E1616" s="3" t="str">
        <f>IFERROR(__xludf.DUMMYFUNCTION("""COMPUTED_VALUE"""),"mark nelson")</f>
        <v>mark nelson</v>
      </c>
      <c r="F1616" s="3" t="str">
        <f>IFERROR(__xludf.DUMMYFUNCTION("""COMPUTED_VALUE"""),"snafu@eagle.ca")</f>
        <v>snafu@eagle.ca</v>
      </c>
      <c r="G1616" s="3">
        <f>IFERROR(__xludf.DUMMYFUNCTION("""COMPUTED_VALUE"""),9.053683937E9)</f>
        <v>9053683937</v>
      </c>
      <c r="H1616" s="3">
        <f>IFERROR(__xludf.DUMMYFUNCTION("""COMPUTED_VALUE"""),9.053683938E9)</f>
        <v>9053683938</v>
      </c>
    </row>
    <row r="1617">
      <c r="A1617" s="2">
        <f>IFERROR(__xludf.DUMMYFUNCTION("""COMPUTED_VALUE"""),23374.0)</f>
        <v>23374</v>
      </c>
      <c r="B1617" s="3" t="str">
        <f>IFERROR(__xludf.DUMMYFUNCTION("""COMPUTED_VALUE"""),"633 STEWART RD")</f>
        <v>633 STEWART RD</v>
      </c>
      <c r="C1617" s="3" t="str">
        <f>IFERROR(__xludf.DUMMYFUNCTION("""COMPUTED_VALUE"""),"BALTIMORE")</f>
        <v>BALTIMORE</v>
      </c>
      <c r="D1617" s="3" t="str">
        <f>IFERROR(__xludf.DUMMYFUNCTION("""COMPUTED_VALUE"""),"K0K 1C0")</f>
        <v>K0K 1C0</v>
      </c>
      <c r="E1617" s="3" t="str">
        <f>IFERROR(__xludf.DUMMYFUNCTION("""COMPUTED_VALUE"""),"ERIN TOMS")</f>
        <v>ERIN TOMS</v>
      </c>
      <c r="F1617" s="3" t="str">
        <f>IFERROR(__xludf.DUMMYFUNCTION("""COMPUTED_VALUE"""),"witherin@outlook.com")</f>
        <v>witherin@outlook.com</v>
      </c>
      <c r="G1617" s="3"/>
      <c r="H1617" s="3"/>
    </row>
    <row r="1618">
      <c r="A1618" s="2">
        <f>IFERROR(__xludf.DUMMYFUNCTION("""COMPUTED_VALUE"""),21176.0)</f>
        <v>21176</v>
      </c>
      <c r="B1618" s="3" t="str">
        <f>IFERROR(__xludf.DUMMYFUNCTION("""COMPUTED_VALUE"""),"6452 COUNTY RD 45")</f>
        <v>6452 COUNTY RD 45</v>
      </c>
      <c r="C1618" s="3" t="str">
        <f>IFERROR(__xludf.DUMMYFUNCTION("""COMPUTED_VALUE"""),"BALTIMORE")</f>
        <v>BALTIMORE</v>
      </c>
      <c r="D1618" s="3" t="str">
        <f>IFERROR(__xludf.DUMMYFUNCTION("""COMPUTED_VALUE"""),"K0K 1C0")</f>
        <v>K0K 1C0</v>
      </c>
      <c r="E1618" s="3" t="str">
        <f>IFERROR(__xludf.DUMMYFUNCTION("""COMPUTED_VALUE"""),"Sharlene Glenn")</f>
        <v>Sharlene Glenn</v>
      </c>
      <c r="F1618" s="3" t="str">
        <f>IFERROR(__xludf.DUMMYFUNCTION("""COMPUTED_VALUE"""),"sharleneglenn58@gmail.com")</f>
        <v>sharleneglenn58@gmail.com</v>
      </c>
      <c r="G1618" s="3">
        <f>IFERROR(__xludf.DUMMYFUNCTION("""COMPUTED_VALUE"""),9.05375788E9)</f>
        <v>9053757880</v>
      </c>
      <c r="H1618" s="3"/>
    </row>
    <row r="1619">
      <c r="A1619" s="2">
        <f>IFERROR(__xludf.DUMMYFUNCTION("""COMPUTED_VALUE"""),21177.0)</f>
        <v>21177</v>
      </c>
      <c r="B1619" s="3" t="str">
        <f>IFERROR(__xludf.DUMMYFUNCTION("""COMPUTED_VALUE"""),"6454 COUNTY RD 45")</f>
        <v>6454 COUNTY RD 45</v>
      </c>
      <c r="C1619" s="3" t="str">
        <f>IFERROR(__xludf.DUMMYFUNCTION("""COMPUTED_VALUE"""),"BALTIMORE")</f>
        <v>BALTIMORE</v>
      </c>
      <c r="D1619" s="3" t="str">
        <f>IFERROR(__xludf.DUMMYFUNCTION("""COMPUTED_VALUE"""),"K0K 1C0")</f>
        <v>K0K 1C0</v>
      </c>
      <c r="E1619" s="3"/>
      <c r="F1619" s="3"/>
      <c r="G1619" s="3"/>
      <c r="H1619" s="3"/>
    </row>
    <row r="1620">
      <c r="A1620" s="2">
        <f>IFERROR(__xludf.DUMMYFUNCTION("""COMPUTED_VALUE"""),21178.0)</f>
        <v>21178</v>
      </c>
      <c r="B1620" s="3" t="str">
        <f>IFERROR(__xludf.DUMMYFUNCTION("""COMPUTED_VALUE"""),"6465 COUNTY RD 45")</f>
        <v>6465 COUNTY RD 45</v>
      </c>
      <c r="C1620" s="3" t="str">
        <f>IFERROR(__xludf.DUMMYFUNCTION("""COMPUTED_VALUE"""),"BALTIMORE")</f>
        <v>BALTIMORE</v>
      </c>
      <c r="D1620" s="3" t="str">
        <f>IFERROR(__xludf.DUMMYFUNCTION("""COMPUTED_VALUE"""),"K0K 1C0")</f>
        <v>K0K 1C0</v>
      </c>
      <c r="E1620" s="3"/>
      <c r="F1620" s="3"/>
      <c r="G1620" s="3"/>
      <c r="H1620" s="3"/>
    </row>
    <row r="1621">
      <c r="A1621" s="2">
        <f>IFERROR(__xludf.DUMMYFUNCTION("""COMPUTED_VALUE"""),21179.0)</f>
        <v>21179</v>
      </c>
      <c r="B1621" s="3" t="str">
        <f>IFERROR(__xludf.DUMMYFUNCTION("""COMPUTED_VALUE"""),"6863 COUNTY RD 45")</f>
        <v>6863 COUNTY RD 45</v>
      </c>
      <c r="C1621" s="3" t="str">
        <f>IFERROR(__xludf.DUMMYFUNCTION("""COMPUTED_VALUE"""),"BALTIMORE")</f>
        <v>BALTIMORE</v>
      </c>
      <c r="D1621" s="3" t="str">
        <f>IFERROR(__xludf.DUMMYFUNCTION("""COMPUTED_VALUE"""),"K0K 1C0")</f>
        <v>K0K 1C0</v>
      </c>
      <c r="E1621" s="3"/>
      <c r="F1621" s="3"/>
      <c r="G1621" s="3"/>
      <c r="H1621" s="3"/>
    </row>
    <row r="1622">
      <c r="A1622" s="2">
        <f>IFERROR(__xludf.DUMMYFUNCTION("""COMPUTED_VALUE"""),21240.0)</f>
        <v>21240</v>
      </c>
      <c r="B1622" s="3" t="str">
        <f>IFERROR(__xludf.DUMMYFUNCTION("""COMPUTED_VALUE"""),"7010 DALE RD")</f>
        <v>7010 DALE RD</v>
      </c>
      <c r="C1622" s="3" t="str">
        <f>IFERROR(__xludf.DUMMYFUNCTION("""COMPUTED_VALUE"""),"PORT HOPE")</f>
        <v>PORT HOPE</v>
      </c>
      <c r="D1622" s="3" t="str">
        <f>IFERROR(__xludf.DUMMYFUNCTION("""COMPUTED_VALUE"""),"L1A 3V6")</f>
        <v>L1A 3V6</v>
      </c>
      <c r="E1622" s="3"/>
      <c r="F1622" s="3"/>
      <c r="G1622" s="3"/>
      <c r="H1622" s="3"/>
    </row>
    <row r="1623">
      <c r="A1623" s="2">
        <f>IFERROR(__xludf.DUMMYFUNCTION("""COMPUTED_VALUE"""),21235.0)</f>
        <v>21235</v>
      </c>
      <c r="B1623" s="3" t="str">
        <f>IFERROR(__xludf.DUMMYFUNCTION("""COMPUTED_VALUE"""),"9488 DAIGNAULT RD")</f>
        <v>9488 DAIGNAULT RD</v>
      </c>
      <c r="C1623" s="3" t="str">
        <f>IFERROR(__xludf.DUMMYFUNCTION("""COMPUTED_VALUE"""),"BALTIMORE")</f>
        <v>BALTIMORE</v>
      </c>
      <c r="D1623" s="3" t="str">
        <f>IFERROR(__xludf.DUMMYFUNCTION("""COMPUTED_VALUE"""),"K0K 1C0")</f>
        <v>K0K 1C0</v>
      </c>
      <c r="E1623" s="3" t="str">
        <f>IFERROR(__xludf.DUMMYFUNCTION("""COMPUTED_VALUE"""),"jessica daignault ")</f>
        <v>jessica daignault </v>
      </c>
      <c r="F1623" s="3" t="str">
        <f>IFERROR(__xludf.DUMMYFUNCTION("""COMPUTED_VALUE"""),"jessicadaignault22@gmail.com")</f>
        <v>jessicadaignault22@gmail.com</v>
      </c>
      <c r="G1623" s="3">
        <f>IFERROR(__xludf.DUMMYFUNCTION("""COMPUTED_VALUE"""),9.052696884E9)</f>
        <v>9052696884</v>
      </c>
      <c r="H1623" s="3">
        <f>IFERROR(__xludf.DUMMYFUNCTION("""COMPUTED_VALUE"""),9.053425437E9)</f>
        <v>9053425437</v>
      </c>
    </row>
    <row r="1624">
      <c r="A1624" s="2">
        <f>IFERROR(__xludf.DUMMYFUNCTION("""COMPUTED_VALUE"""),21236.0)</f>
        <v>21236</v>
      </c>
      <c r="B1624" s="3" t="str">
        <f>IFERROR(__xludf.DUMMYFUNCTION("""COMPUTED_VALUE"""),"9502 DAIGNAULT RD")</f>
        <v>9502 DAIGNAULT RD</v>
      </c>
      <c r="C1624" s="3" t="str">
        <f>IFERROR(__xludf.DUMMYFUNCTION("""COMPUTED_VALUE"""),"BALTIMORE")</f>
        <v>BALTIMORE</v>
      </c>
      <c r="D1624" s="3" t="str">
        <f>IFERROR(__xludf.DUMMYFUNCTION("""COMPUTED_VALUE"""),"K0K 1C0")</f>
        <v>K0K 1C0</v>
      </c>
      <c r="E1624" s="3" t="str">
        <f>IFERROR(__xludf.DUMMYFUNCTION("""COMPUTED_VALUE"""),"richard keating")</f>
        <v>richard keating</v>
      </c>
      <c r="F1624" s="4" t="str">
        <f>IFERROR(__xludf.DUMMYFUNCTION("""COMPUTED_VALUE"""),"mail.richardkeating.com")</f>
        <v>mail.richardkeating.com</v>
      </c>
      <c r="G1624" s="3">
        <f>IFERROR(__xludf.DUMMYFUNCTION("""COMPUTED_VALUE"""),4.164007619E9)</f>
        <v>4164007619</v>
      </c>
      <c r="H1624" s="3"/>
    </row>
    <row r="1625">
      <c r="A1625" s="2">
        <f>IFERROR(__xludf.DUMMYFUNCTION("""COMPUTED_VALUE"""),21237.0)</f>
        <v>21237</v>
      </c>
      <c r="B1625" s="3" t="str">
        <f>IFERROR(__xludf.DUMMYFUNCTION("""COMPUTED_VALUE"""),"9535 DAIGNAULT RD")</f>
        <v>9535 DAIGNAULT RD</v>
      </c>
      <c r="C1625" s="3" t="str">
        <f>IFERROR(__xludf.DUMMYFUNCTION("""COMPUTED_VALUE"""),"BALTIMORE")</f>
        <v>BALTIMORE</v>
      </c>
      <c r="D1625" s="3" t="str">
        <f>IFERROR(__xludf.DUMMYFUNCTION("""COMPUTED_VALUE"""),"K0K 1C0")</f>
        <v>K0K 1C0</v>
      </c>
      <c r="E1625" s="3" t="str">
        <f>IFERROR(__xludf.DUMMYFUNCTION("""COMPUTED_VALUE"""),"Leslie David Manley")</f>
        <v>Leslie David Manley</v>
      </c>
      <c r="F1625" s="3" t="str">
        <f>IFERROR(__xludf.DUMMYFUNCTION("""COMPUTED_VALUE"""),"manleyles@mac.com")</f>
        <v>manleyles@mac.com</v>
      </c>
      <c r="G1625" s="3">
        <f>IFERROR(__xludf.DUMMYFUNCTION("""COMPUTED_VALUE"""),4.165006595E9)</f>
        <v>4165006595</v>
      </c>
      <c r="H1625" s="3">
        <f>IFERROR(__xludf.DUMMYFUNCTION("""COMPUTED_VALUE"""),9.053753343E9)</f>
        <v>9053753343</v>
      </c>
    </row>
    <row r="1626">
      <c r="A1626" s="2">
        <f>IFERROR(__xludf.DUMMYFUNCTION("""COMPUTED_VALUE"""),21238.0)</f>
        <v>21238</v>
      </c>
      <c r="B1626" s="3" t="str">
        <f>IFERROR(__xludf.DUMMYFUNCTION("""COMPUTED_VALUE"""),"9540 DAIGNAULT RD")</f>
        <v>9540 DAIGNAULT RD</v>
      </c>
      <c r="C1626" s="3" t="str">
        <f>IFERROR(__xludf.DUMMYFUNCTION("""COMPUTED_VALUE"""),"BALTIMORE")</f>
        <v>BALTIMORE</v>
      </c>
      <c r="D1626" s="3" t="str">
        <f>IFERROR(__xludf.DUMMYFUNCTION("""COMPUTED_VALUE"""),"K0K 1C0")</f>
        <v>K0K 1C0</v>
      </c>
      <c r="E1626" s="3" t="str">
        <f>IFERROR(__xludf.DUMMYFUNCTION("""COMPUTED_VALUE"""),"Bradley Rogers")</f>
        <v>Bradley Rogers</v>
      </c>
      <c r="F1626" s="3" t="str">
        <f>IFERROR(__xludf.DUMMYFUNCTION("""COMPUTED_VALUE"""),"bradley.rogers@sympatico.ca")</f>
        <v>bradley.rogers@sympatico.ca</v>
      </c>
      <c r="G1626" s="3">
        <f>IFERROR(__xludf.DUMMYFUNCTION("""COMPUTED_VALUE"""),4.165316508E9)</f>
        <v>4165316508</v>
      </c>
      <c r="H1626" s="3">
        <f>IFERROR(__xludf.DUMMYFUNCTION("""COMPUTED_VALUE"""),6.476364187E9)</f>
        <v>6476364187</v>
      </c>
    </row>
    <row r="1627">
      <c r="A1627" s="2">
        <f>IFERROR(__xludf.DUMMYFUNCTION("""COMPUTED_VALUE"""),21964.0)</f>
        <v>21964</v>
      </c>
      <c r="B1627" s="3" t="str">
        <f>IFERROR(__xludf.DUMMYFUNCTION("""COMPUTED_VALUE"""),"3133 HARWOOD RD")</f>
        <v>3133 HARWOOD RD</v>
      </c>
      <c r="C1627" s="3" t="str">
        <f>IFERROR(__xludf.DUMMYFUNCTION("""COMPUTED_VALUE"""),"BALTIMORE")</f>
        <v>BALTIMORE</v>
      </c>
      <c r="D1627" s="3" t="str">
        <f>IFERROR(__xludf.DUMMYFUNCTION("""COMPUTED_VALUE"""),"K0K 1C0")</f>
        <v>K0K 1C0</v>
      </c>
      <c r="E1627" s="3" t="str">
        <f>IFERROR(__xludf.DUMMYFUNCTION("""COMPUTED_VALUE"""),"Monica Long &amp; Keith Long")</f>
        <v>Monica Long &amp; Keith Long</v>
      </c>
      <c r="F1627" s="3" t="str">
        <f>IFERROR(__xludf.DUMMYFUNCTION("""COMPUTED_VALUE"""),"monniekei@hotmail.com")</f>
        <v>monniekei@hotmail.com</v>
      </c>
      <c r="G1627" s="3"/>
      <c r="H1627" s="3"/>
    </row>
    <row r="1628">
      <c r="A1628" s="2">
        <f>IFERROR(__xludf.DUMMYFUNCTION("""COMPUTED_VALUE"""),21965.0)</f>
        <v>21965</v>
      </c>
      <c r="B1628" s="3" t="str">
        <f>IFERROR(__xludf.DUMMYFUNCTION("""COMPUTED_VALUE"""),"3134 HARWOOD RD")</f>
        <v>3134 HARWOOD RD</v>
      </c>
      <c r="C1628" s="3" t="str">
        <f>IFERROR(__xludf.DUMMYFUNCTION("""COMPUTED_VALUE"""),"BALTIMORE")</f>
        <v>BALTIMORE</v>
      </c>
      <c r="D1628" s="3" t="str">
        <f>IFERROR(__xludf.DUMMYFUNCTION("""COMPUTED_VALUE"""),"K0K 1C0")</f>
        <v>K0K 1C0</v>
      </c>
      <c r="E1628" s="3" t="str">
        <f>IFERROR(__xludf.DUMMYFUNCTION("""COMPUTED_VALUE"""),"gerry archer ")</f>
        <v>gerry archer </v>
      </c>
      <c r="F1628" s="3" t="str">
        <f>IFERROR(__xludf.DUMMYFUNCTION("""COMPUTED_VALUE"""),"gerry_archer@yahoo.com")</f>
        <v>gerry_archer@yahoo.com</v>
      </c>
      <c r="G1628" s="3"/>
      <c r="H1628" s="3"/>
    </row>
    <row r="1629">
      <c r="A1629" s="2">
        <f>IFERROR(__xludf.DUMMYFUNCTION("""COMPUTED_VALUE"""),21243.0)</f>
        <v>21243</v>
      </c>
      <c r="B1629" s="3" t="str">
        <f>IFERROR(__xludf.DUMMYFUNCTION("""COMPUTED_VALUE"""),"7115 DALE RD")</f>
        <v>7115 DALE RD</v>
      </c>
      <c r="C1629" s="3" t="str">
        <f>IFERROR(__xludf.DUMMYFUNCTION("""COMPUTED_VALUE"""),"PORT HOPE")</f>
        <v>PORT HOPE</v>
      </c>
      <c r="D1629" s="3" t="str">
        <f>IFERROR(__xludf.DUMMYFUNCTION("""COMPUTED_VALUE"""),"L1A 3V6")</f>
        <v>L1A 3V6</v>
      </c>
      <c r="E1629" s="3" t="str">
        <f>IFERROR(__xludf.DUMMYFUNCTION("""COMPUTED_VALUE"""),"Naeem Chaudary")</f>
        <v>Naeem Chaudary</v>
      </c>
      <c r="F1629" s="3"/>
      <c r="G1629" s="3"/>
      <c r="H1629" s="3"/>
    </row>
    <row r="1630">
      <c r="A1630" s="2">
        <f>IFERROR(__xludf.DUMMYFUNCTION("""COMPUTED_VALUE"""),21244.0)</f>
        <v>21244</v>
      </c>
      <c r="B1630" s="3" t="str">
        <f>IFERROR(__xludf.DUMMYFUNCTION("""COMPUTED_VALUE"""),"7144 DALE RD")</f>
        <v>7144 DALE RD</v>
      </c>
      <c r="C1630" s="3" t="str">
        <f>IFERROR(__xludf.DUMMYFUNCTION("""COMPUTED_VALUE"""),"PORT HOPE")</f>
        <v>PORT HOPE</v>
      </c>
      <c r="D1630" s="3" t="str">
        <f>IFERROR(__xludf.DUMMYFUNCTION("""COMPUTED_VALUE"""),"L1A 3V6")</f>
        <v>L1A 3V6</v>
      </c>
      <c r="E1630" s="3" t="str">
        <f>IFERROR(__xludf.DUMMYFUNCTION("""COMPUTED_VALUE"""),"Jenna Reid")</f>
        <v>Jenna Reid</v>
      </c>
      <c r="F1630" s="3" t="str">
        <f>IFERROR(__xludf.DUMMYFUNCTION("""COMPUTED_VALUE"""),"jlwilliams21@hotmail.com")</f>
        <v>jlwilliams21@hotmail.com</v>
      </c>
      <c r="G1630" s="3">
        <f>IFERROR(__xludf.DUMMYFUNCTION("""COMPUTED_VALUE"""),9.054102844E9)</f>
        <v>9054102844</v>
      </c>
      <c r="H1630" s="3">
        <f>IFERROR(__xludf.DUMMYFUNCTION("""COMPUTED_VALUE"""),9.059141605E9)</f>
        <v>9059141605</v>
      </c>
    </row>
    <row r="1631">
      <c r="A1631" s="2">
        <f>IFERROR(__xludf.DUMMYFUNCTION("""COMPUTED_VALUE"""),21245.0)</f>
        <v>21245</v>
      </c>
      <c r="B1631" s="3" t="str">
        <f>IFERROR(__xludf.DUMMYFUNCTION("""COMPUTED_VALUE"""),"7158 DALE RD")</f>
        <v>7158 DALE RD</v>
      </c>
      <c r="C1631" s="3" t="str">
        <f>IFERROR(__xludf.DUMMYFUNCTION("""COMPUTED_VALUE"""),"PORT HOPE")</f>
        <v>PORT HOPE</v>
      </c>
      <c r="D1631" s="3" t="str">
        <f>IFERROR(__xludf.DUMMYFUNCTION("""COMPUTED_VALUE"""),"L1A 3V6")</f>
        <v>L1A 3V6</v>
      </c>
      <c r="E1631" s="3" t="str">
        <f>IFERROR(__xludf.DUMMYFUNCTION("""COMPUTED_VALUE"""),"raymond foote")</f>
        <v>raymond foote</v>
      </c>
      <c r="F1631" s="3"/>
      <c r="G1631" s="3">
        <f>IFERROR(__xludf.DUMMYFUNCTION("""COMPUTED_VALUE"""),9.058855861E9)</f>
        <v>9058855861</v>
      </c>
      <c r="H1631" s="3"/>
    </row>
    <row r="1632">
      <c r="A1632" s="2">
        <f>IFERROR(__xludf.DUMMYFUNCTION("""COMPUTED_VALUE"""),21364.0)</f>
        <v>21364</v>
      </c>
      <c r="B1632" s="3" t="str">
        <f>IFERROR(__xludf.DUMMYFUNCTION("""COMPUTED_VALUE"""),"8834 DALE RD")</f>
        <v>8834 DALE RD</v>
      </c>
      <c r="C1632" s="3" t="str">
        <f>IFERROR(__xludf.DUMMYFUNCTION("""COMPUTED_VALUE"""),"COBOURG")</f>
        <v>COBOURG</v>
      </c>
      <c r="D1632" s="3" t="str">
        <f>IFERROR(__xludf.DUMMYFUNCTION("""COMPUTED_VALUE"""),"K9A 4J9")</f>
        <v>K9A 4J9</v>
      </c>
      <c r="E1632" s="3" t="str">
        <f>IFERROR(__xludf.DUMMYFUNCTION("""COMPUTED_VALUE"""),"Ken Meddick ")</f>
        <v>Ken Meddick </v>
      </c>
      <c r="F1632" s="3" t="str">
        <f>IFERROR(__xludf.DUMMYFUNCTION("""COMPUTED_VALUE"""),"kenmeddick@hotmail.com")</f>
        <v>kenmeddick@hotmail.com</v>
      </c>
      <c r="G1632" s="3"/>
      <c r="H1632" s="3"/>
    </row>
    <row r="1633">
      <c r="A1633" s="2">
        <f>IFERROR(__xludf.DUMMYFUNCTION("""COMPUTED_VALUE"""),21247.0)</f>
        <v>21247</v>
      </c>
      <c r="B1633" s="3" t="str">
        <f>IFERROR(__xludf.DUMMYFUNCTION("""COMPUTED_VALUE"""),"7171 DALE RD")</f>
        <v>7171 DALE RD</v>
      </c>
      <c r="C1633" s="3" t="str">
        <f>IFERROR(__xludf.DUMMYFUNCTION("""COMPUTED_VALUE"""),"PORT HOPE")</f>
        <v>PORT HOPE</v>
      </c>
      <c r="D1633" s="3" t="str">
        <f>IFERROR(__xludf.DUMMYFUNCTION("""COMPUTED_VALUE"""),"L1A 3V6")</f>
        <v>L1A 3V6</v>
      </c>
      <c r="E1633" s="3" t="str">
        <f>IFERROR(__xludf.DUMMYFUNCTION("""COMPUTED_VALUE"""),"John Stevenson")</f>
        <v>John Stevenson</v>
      </c>
      <c r="F1633" s="3" t="str">
        <f>IFERROR(__xludf.DUMMYFUNCTION("""COMPUTED_VALUE"""),"johnstevenson1986@hotmail.com")</f>
        <v>johnstevenson1986@hotmail.com</v>
      </c>
      <c r="G1633" s="3"/>
      <c r="H1633" s="3"/>
    </row>
    <row r="1634">
      <c r="A1634" s="2">
        <f>IFERROR(__xludf.DUMMYFUNCTION("""COMPUTED_VALUE"""),21248.0)</f>
        <v>21248</v>
      </c>
      <c r="B1634" s="3" t="str">
        <f>IFERROR(__xludf.DUMMYFUNCTION("""COMPUTED_VALUE"""),"7214 DALE RD")</f>
        <v>7214 DALE RD</v>
      </c>
      <c r="C1634" s="3" t="str">
        <f>IFERROR(__xludf.DUMMYFUNCTION("""COMPUTED_VALUE"""),"PORT HOPE")</f>
        <v>PORT HOPE</v>
      </c>
      <c r="D1634" s="3" t="str">
        <f>IFERROR(__xludf.DUMMYFUNCTION("""COMPUTED_VALUE"""),"L1A 3V6")</f>
        <v>L1A 3V6</v>
      </c>
      <c r="E1634" s="3" t="str">
        <f>IFERROR(__xludf.DUMMYFUNCTION("""COMPUTED_VALUE"""),"Rick and Greta Holmes")</f>
        <v>Rick and Greta Holmes</v>
      </c>
      <c r="F1634" s="3" t="str">
        <f>IFERROR(__xludf.DUMMYFUNCTION("""COMPUTED_VALUE"""),"greta@eagle.ca")</f>
        <v>greta@eagle.ca</v>
      </c>
      <c r="G1634" s="3">
        <f>IFERROR(__xludf.DUMMYFUNCTION("""COMPUTED_VALUE"""),9.058859739E9)</f>
        <v>9058859739</v>
      </c>
      <c r="H1634" s="3">
        <f>IFERROR(__xludf.DUMMYFUNCTION("""COMPUTED_VALUE"""),9.053762488E9)</f>
        <v>9053762488</v>
      </c>
    </row>
    <row r="1635">
      <c r="A1635" s="2">
        <f>IFERROR(__xludf.DUMMYFUNCTION("""COMPUTED_VALUE"""),21967.0)</f>
        <v>21967</v>
      </c>
      <c r="B1635" s="3" t="str">
        <f>IFERROR(__xludf.DUMMYFUNCTION("""COMPUTED_VALUE"""),"3138 HARWOOD RD")</f>
        <v>3138 HARWOOD RD</v>
      </c>
      <c r="C1635" s="3" t="str">
        <f>IFERROR(__xludf.DUMMYFUNCTION("""COMPUTED_VALUE"""),"BALTIMORE")</f>
        <v>BALTIMORE</v>
      </c>
      <c r="D1635" s="3" t="str">
        <f>IFERROR(__xludf.DUMMYFUNCTION("""COMPUTED_VALUE"""),"K0K 1C0")</f>
        <v>K0K 1C0</v>
      </c>
      <c r="E1635" s="3"/>
      <c r="F1635" s="3"/>
      <c r="G1635" s="3"/>
      <c r="H1635" s="3"/>
    </row>
    <row r="1636">
      <c r="A1636" s="2">
        <f>IFERROR(__xludf.DUMMYFUNCTION("""COMPUTED_VALUE"""),21250.0)</f>
        <v>21250</v>
      </c>
      <c r="B1636" s="3" t="str">
        <f>IFERROR(__xludf.DUMMYFUNCTION("""COMPUTED_VALUE"""),"7260 DALE RD")</f>
        <v>7260 DALE RD</v>
      </c>
      <c r="C1636" s="3" t="str">
        <f>IFERROR(__xludf.DUMMYFUNCTION("""COMPUTED_VALUE"""),"COBOURG")</f>
        <v>COBOURG</v>
      </c>
      <c r="D1636" s="3" t="str">
        <f>IFERROR(__xludf.DUMMYFUNCTION("""COMPUTED_VALUE"""),"K9A 4J7")</f>
        <v>K9A 4J7</v>
      </c>
      <c r="E1636" s="3"/>
      <c r="F1636" s="3"/>
      <c r="G1636" s="3"/>
      <c r="H1636" s="3"/>
    </row>
    <row r="1637">
      <c r="A1637" s="2">
        <f>IFERROR(__xludf.DUMMYFUNCTION("""COMPUTED_VALUE"""),21968.0)</f>
        <v>21968</v>
      </c>
      <c r="B1637" s="3" t="str">
        <f>IFERROR(__xludf.DUMMYFUNCTION("""COMPUTED_VALUE"""),"3142 HARWOOD RD")</f>
        <v>3142 HARWOOD RD</v>
      </c>
      <c r="C1637" s="3" t="str">
        <f>IFERROR(__xludf.DUMMYFUNCTION("""COMPUTED_VALUE"""),"BALTIMORE")</f>
        <v>BALTIMORE</v>
      </c>
      <c r="D1637" s="3" t="str">
        <f>IFERROR(__xludf.DUMMYFUNCTION("""COMPUTED_VALUE"""),"K0K 1C0")</f>
        <v>K0K 1C0</v>
      </c>
      <c r="E1637" s="3" t="str">
        <f>IFERROR(__xludf.DUMMYFUNCTION("""COMPUTED_VALUE"""),"Rob Nicholas")</f>
        <v>Rob Nicholas</v>
      </c>
      <c r="F1637" s="3" t="str">
        <f>IFERROR(__xludf.DUMMYFUNCTION("""COMPUTED_VALUE"""),"r.jn13@yahoo.com")</f>
        <v>r.jn13@yahoo.com</v>
      </c>
      <c r="G1637" s="3"/>
      <c r="H1637" s="3">
        <f>IFERROR(__xludf.DUMMYFUNCTION("""COMPUTED_VALUE"""),9.053017543E9)</f>
        <v>9053017543</v>
      </c>
    </row>
    <row r="1638">
      <c r="A1638" s="2">
        <f>IFERROR(__xludf.DUMMYFUNCTION("""COMPUTED_VALUE"""),21365.0)</f>
        <v>21365</v>
      </c>
      <c r="B1638" s="3" t="str">
        <f>IFERROR(__xludf.DUMMYFUNCTION("""COMPUTED_VALUE"""),"8890 DALE RD")</f>
        <v>8890 DALE RD</v>
      </c>
      <c r="C1638" s="3" t="str">
        <f>IFERROR(__xludf.DUMMYFUNCTION("""COMPUTED_VALUE"""),"COBOURG")</f>
        <v>COBOURG</v>
      </c>
      <c r="D1638" s="3" t="str">
        <f>IFERROR(__xludf.DUMMYFUNCTION("""COMPUTED_VALUE"""),"K9A 4J9")</f>
        <v>K9A 4J9</v>
      </c>
      <c r="E1638" s="3" t="str">
        <f>IFERROR(__xludf.DUMMYFUNCTION("""COMPUTED_VALUE"""),"Greg mcculloch")</f>
        <v>Greg mcculloch</v>
      </c>
      <c r="F1638" s="3" t="str">
        <f>IFERROR(__xludf.DUMMYFUNCTION("""COMPUTED_VALUE"""),"mccullochgreg@hotmail.com")</f>
        <v>mccullochgreg@hotmail.com</v>
      </c>
      <c r="G1638" s="3">
        <f>IFERROR(__xludf.DUMMYFUNCTION("""COMPUTED_VALUE"""),9.052612926E9)</f>
        <v>9052612926</v>
      </c>
      <c r="H1638" s="3"/>
    </row>
    <row r="1639">
      <c r="A1639" s="2">
        <f>IFERROR(__xludf.DUMMYFUNCTION("""COMPUTED_VALUE"""),21369.0)</f>
        <v>21369</v>
      </c>
      <c r="B1639" s="3" t="str">
        <f>IFERROR(__xludf.DUMMYFUNCTION("""COMPUTED_VALUE"""),"8946 DALE RD")</f>
        <v>8946 DALE RD</v>
      </c>
      <c r="C1639" s="3" t="str">
        <f>IFERROR(__xludf.DUMMYFUNCTION("""COMPUTED_VALUE"""),"COBOURG")</f>
        <v>COBOURG</v>
      </c>
      <c r="D1639" s="3" t="str">
        <f>IFERROR(__xludf.DUMMYFUNCTION("""COMPUTED_VALUE"""),"K9A 4J9")</f>
        <v>K9A 4J9</v>
      </c>
      <c r="E1639" s="3" t="str">
        <f>IFERROR(__xludf.DUMMYFUNCTION("""COMPUTED_VALUE"""),"Brad Pomeroy")</f>
        <v>Brad Pomeroy</v>
      </c>
      <c r="F1639" s="3" t="str">
        <f>IFERROR(__xludf.DUMMYFUNCTION("""COMPUTED_VALUE"""),"moss120@hotmail.com")</f>
        <v>moss120@hotmail.com</v>
      </c>
      <c r="G1639" s="3">
        <f>IFERROR(__xludf.DUMMYFUNCTION("""COMPUTED_VALUE"""),7.057600077E9)</f>
        <v>7057600077</v>
      </c>
      <c r="H1639" s="3"/>
    </row>
    <row r="1640">
      <c r="A1640" s="2">
        <f>IFERROR(__xludf.DUMMYFUNCTION("""COMPUTED_VALUE"""),21971.0)</f>
        <v>21971</v>
      </c>
      <c r="B1640" s="3" t="str">
        <f>IFERROR(__xludf.DUMMYFUNCTION("""COMPUTED_VALUE"""),"3171 HARWOOD RD")</f>
        <v>3171 HARWOOD RD</v>
      </c>
      <c r="C1640" s="3" t="str">
        <f>IFERROR(__xludf.DUMMYFUNCTION("""COMPUTED_VALUE"""),"BALTIMORE")</f>
        <v>BALTIMORE</v>
      </c>
      <c r="D1640" s="3" t="str">
        <f>IFERROR(__xludf.DUMMYFUNCTION("""COMPUTED_VALUE"""),"K0K 1C0")</f>
        <v>K0K 1C0</v>
      </c>
      <c r="E1640" s="3" t="str">
        <f>IFERROR(__xludf.DUMMYFUNCTION("""COMPUTED_VALUE"""),"karin and adam anstee")</f>
        <v>karin and adam anstee</v>
      </c>
      <c r="F1640" s="3" t="str">
        <f>IFERROR(__xludf.DUMMYFUNCTION("""COMPUTED_VALUE"""),"ansteecrew@yahoo.com")</f>
        <v>ansteecrew@yahoo.com</v>
      </c>
      <c r="G1640" s="3">
        <f>IFERROR(__xludf.DUMMYFUNCTION("""COMPUTED_VALUE"""),2.893855483E9)</f>
        <v>2893855483</v>
      </c>
      <c r="H1640" s="3">
        <f>IFERROR(__xludf.DUMMYFUNCTION("""COMPUTED_VALUE"""),9.05396545E9)</f>
        <v>9053965450</v>
      </c>
    </row>
    <row r="1641">
      <c r="A1641" s="2">
        <f>IFERROR(__xludf.DUMMYFUNCTION("""COMPUTED_VALUE"""),21972.0)</f>
        <v>21972</v>
      </c>
      <c r="B1641" s="3" t="str">
        <f>IFERROR(__xludf.DUMMYFUNCTION("""COMPUTED_VALUE"""),"3175 HARWOOD RD")</f>
        <v>3175 HARWOOD RD</v>
      </c>
      <c r="C1641" s="3" t="str">
        <f>IFERROR(__xludf.DUMMYFUNCTION("""COMPUTED_VALUE"""),"BALTIMORE")</f>
        <v>BALTIMORE</v>
      </c>
      <c r="D1641" s="3" t="str">
        <f>IFERROR(__xludf.DUMMYFUNCTION("""COMPUTED_VALUE"""),"K0K 1C0")</f>
        <v>K0K 1C0</v>
      </c>
      <c r="E1641" s="3" t="str">
        <f>IFERROR(__xludf.DUMMYFUNCTION("""COMPUTED_VALUE"""),"Colleen Callacott")</f>
        <v>Colleen Callacott</v>
      </c>
      <c r="F1641" s="3" t="str">
        <f>IFERROR(__xludf.DUMMYFUNCTION("""COMPUTED_VALUE"""),"colleen791@hotmail.com")</f>
        <v>colleen791@hotmail.com</v>
      </c>
      <c r="G1641" s="3">
        <f>IFERROR(__xludf.DUMMYFUNCTION("""COMPUTED_VALUE"""),2.892514122E9)</f>
        <v>2892514122</v>
      </c>
      <c r="H1641" s="3">
        <f>IFERROR(__xludf.DUMMYFUNCTION("""COMPUTED_VALUE"""),2.892513912E9)</f>
        <v>2892513912</v>
      </c>
    </row>
    <row r="1642">
      <c r="A1642" s="2">
        <f>IFERROR(__xludf.DUMMYFUNCTION("""COMPUTED_VALUE"""),21973.0)</f>
        <v>21973</v>
      </c>
      <c r="B1642" s="3" t="str">
        <f>IFERROR(__xludf.DUMMYFUNCTION("""COMPUTED_VALUE"""),"3176 HARWOOD RD")</f>
        <v>3176 HARWOOD RD</v>
      </c>
      <c r="C1642" s="3" t="str">
        <f>IFERROR(__xludf.DUMMYFUNCTION("""COMPUTED_VALUE"""),"BALTIMORE")</f>
        <v>BALTIMORE</v>
      </c>
      <c r="D1642" s="3" t="str">
        <f>IFERROR(__xludf.DUMMYFUNCTION("""COMPUTED_VALUE"""),"K0K 1C0")</f>
        <v>K0K 1C0</v>
      </c>
      <c r="E1642" s="3" t="str">
        <f>IFERROR(__xludf.DUMMYFUNCTION("""COMPUTED_VALUE"""),"MATTHEW LAWDER")</f>
        <v>MATTHEW LAWDER</v>
      </c>
      <c r="F1642" s="3" t="str">
        <f>IFERROR(__xludf.DUMMYFUNCTION("""COMPUTED_VALUE"""),"matthew.lawder@outlook.com")</f>
        <v>matthew.lawder@outlook.com</v>
      </c>
      <c r="G1642" s="3">
        <f>IFERROR(__xludf.DUMMYFUNCTION("""COMPUTED_VALUE"""),7.059306905E9)</f>
        <v>7059306905</v>
      </c>
      <c r="H1642" s="3"/>
    </row>
    <row r="1643">
      <c r="A1643" s="2">
        <f>IFERROR(__xludf.DUMMYFUNCTION("""COMPUTED_VALUE"""),21256.0)</f>
        <v>21256</v>
      </c>
      <c r="B1643" s="3" t="str">
        <f>IFERROR(__xludf.DUMMYFUNCTION("""COMPUTED_VALUE"""),"7357 DALE RD")</f>
        <v>7357 DALE RD</v>
      </c>
      <c r="C1643" s="3" t="str">
        <f>IFERROR(__xludf.DUMMYFUNCTION("""COMPUTED_VALUE"""),"COBOURG")</f>
        <v>COBOURG</v>
      </c>
      <c r="D1643" s="3" t="str">
        <f>IFERROR(__xludf.DUMMYFUNCTION("""COMPUTED_VALUE"""),"K9A 4J7")</f>
        <v>K9A 4J7</v>
      </c>
      <c r="E1643" s="3" t="str">
        <f>IFERROR(__xludf.DUMMYFUNCTION("""COMPUTED_VALUE"""),"Linda Little")</f>
        <v>Linda Little</v>
      </c>
      <c r="F1643" s="3" t="str">
        <f>IFERROR(__xludf.DUMMYFUNCTION("""COMPUTED_VALUE"""),"l.little4516@gmail.com")</f>
        <v>l.little4516@gmail.com</v>
      </c>
      <c r="G1643" s="3"/>
      <c r="H1643" s="3"/>
    </row>
    <row r="1644">
      <c r="A1644" s="2">
        <f>IFERROR(__xludf.DUMMYFUNCTION("""COMPUTED_VALUE"""),21974.0)</f>
        <v>21974</v>
      </c>
      <c r="B1644" s="3" t="str">
        <f>IFERROR(__xludf.DUMMYFUNCTION("""COMPUTED_VALUE"""),"3177 HARWOOD RD")</f>
        <v>3177 HARWOOD RD</v>
      </c>
      <c r="C1644" s="3" t="str">
        <f>IFERROR(__xludf.DUMMYFUNCTION("""COMPUTED_VALUE"""),"BALTIMORE")</f>
        <v>BALTIMORE</v>
      </c>
      <c r="D1644" s="3" t="str">
        <f>IFERROR(__xludf.DUMMYFUNCTION("""COMPUTED_VALUE"""),"K0K 1C0")</f>
        <v>K0K 1C0</v>
      </c>
      <c r="E1644" s="3" t="str">
        <f>IFERROR(__xludf.DUMMYFUNCTION("""COMPUTED_VALUE"""),"Michael Walsh")</f>
        <v>Michael Walsh</v>
      </c>
      <c r="F1644" s="3" t="str">
        <f>IFERROR(__xludf.DUMMYFUNCTION("""COMPUTED_VALUE"""),"embedub@gmail.com")</f>
        <v>embedub@gmail.com</v>
      </c>
      <c r="G1644" s="3">
        <f>IFERROR(__xludf.DUMMYFUNCTION("""COMPUTED_VALUE"""),9.059147167E9)</f>
        <v>9059147167</v>
      </c>
      <c r="H1644" s="3"/>
    </row>
    <row r="1645">
      <c r="A1645" s="2">
        <f>IFERROR(__xludf.DUMMYFUNCTION("""COMPUTED_VALUE"""),21258.0)</f>
        <v>21258</v>
      </c>
      <c r="B1645" s="3" t="str">
        <f>IFERROR(__xludf.DUMMYFUNCTION("""COMPUTED_VALUE"""),"7372 DALE RD")</f>
        <v>7372 DALE RD</v>
      </c>
      <c r="C1645" s="3" t="str">
        <f>IFERROR(__xludf.DUMMYFUNCTION("""COMPUTED_VALUE"""),"COBOURG")</f>
        <v>COBOURG</v>
      </c>
      <c r="D1645" s="3" t="str">
        <f>IFERROR(__xludf.DUMMYFUNCTION("""COMPUTED_VALUE"""),"K9A 4J7")</f>
        <v>K9A 4J7</v>
      </c>
      <c r="E1645" s="3" t="str">
        <f>IFERROR(__xludf.DUMMYFUNCTION("""COMPUTED_VALUE"""),"Jane O Donnell")</f>
        <v>Jane O Donnell</v>
      </c>
      <c r="F1645" s="3" t="str">
        <f>IFERROR(__xludf.DUMMYFUNCTION("""COMPUTED_VALUE"""),"al.jane.odonnell@gmail.com")</f>
        <v>al.jane.odonnell@gmail.com</v>
      </c>
      <c r="G1645" s="3"/>
      <c r="H1645" s="3"/>
    </row>
    <row r="1646">
      <c r="A1646" s="2">
        <f>IFERROR(__xludf.DUMMYFUNCTION("""COMPUTED_VALUE"""),21259.0)</f>
        <v>21259</v>
      </c>
      <c r="B1646" s="3" t="str">
        <f>IFERROR(__xludf.DUMMYFUNCTION("""COMPUTED_VALUE"""),"7374 DALE RD")</f>
        <v>7374 DALE RD</v>
      </c>
      <c r="C1646" s="3" t="str">
        <f>IFERROR(__xludf.DUMMYFUNCTION("""COMPUTED_VALUE"""),"COBOURG")</f>
        <v>COBOURG</v>
      </c>
      <c r="D1646" s="3" t="str">
        <f>IFERROR(__xludf.DUMMYFUNCTION("""COMPUTED_VALUE"""),"K9A 4J7")</f>
        <v>K9A 4J7</v>
      </c>
      <c r="E1646" s="3"/>
      <c r="F1646" s="3"/>
      <c r="G1646" s="3"/>
      <c r="H1646" s="3"/>
    </row>
    <row r="1647">
      <c r="A1647" s="2">
        <f>IFERROR(__xludf.DUMMYFUNCTION("""COMPUTED_VALUE"""),21260.0)</f>
        <v>21260</v>
      </c>
      <c r="B1647" s="3" t="str">
        <f>IFERROR(__xludf.DUMMYFUNCTION("""COMPUTED_VALUE"""),"7381 DALE RD")</f>
        <v>7381 DALE RD</v>
      </c>
      <c r="C1647" s="3" t="str">
        <f>IFERROR(__xludf.DUMMYFUNCTION("""COMPUTED_VALUE"""),"COBOURG")</f>
        <v>COBOURG</v>
      </c>
      <c r="D1647" s="3" t="str">
        <f>IFERROR(__xludf.DUMMYFUNCTION("""COMPUTED_VALUE"""),"K9A 4J7")</f>
        <v>K9A 4J7</v>
      </c>
      <c r="E1647" s="3" t="str">
        <f>IFERROR(__xludf.DUMMYFUNCTION("""COMPUTED_VALUE"""),"Nicole Devilliers")</f>
        <v>Nicole Devilliers</v>
      </c>
      <c r="F1647" s="3" t="str">
        <f>IFERROR(__xludf.DUMMYFUNCTION("""COMPUTED_VALUE"""),"cindy.nicole@hotmail.com")</f>
        <v>cindy.nicole@hotmail.com</v>
      </c>
      <c r="G1647" s="3"/>
      <c r="H1647" s="3"/>
    </row>
    <row r="1648">
      <c r="A1648" s="2">
        <f>IFERROR(__xludf.DUMMYFUNCTION("""COMPUTED_VALUE"""),23995.0)</f>
        <v>23995</v>
      </c>
      <c r="B1648" s="3" t="str">
        <f>IFERROR(__xludf.DUMMYFUNCTION("""COMPUTED_VALUE"""),"7381 DALE RD - UNIT 2")</f>
        <v>7381 DALE RD - UNIT 2</v>
      </c>
      <c r="C1648" s="3" t="str">
        <f>IFERROR(__xludf.DUMMYFUNCTION("""COMPUTED_VALUE"""),"COBOURG")</f>
        <v>COBOURG</v>
      </c>
      <c r="D1648" s="3" t="str">
        <f>IFERROR(__xludf.DUMMYFUNCTION("""COMPUTED_VALUE"""),"K9A 4J7")</f>
        <v>K9A 4J7</v>
      </c>
      <c r="E1648" s="3"/>
      <c r="F1648" s="3"/>
      <c r="G1648" s="3"/>
      <c r="H1648" s="3"/>
    </row>
    <row r="1649">
      <c r="A1649" s="2">
        <f>IFERROR(__xludf.DUMMYFUNCTION("""COMPUTED_VALUE"""),21261.0)</f>
        <v>21261</v>
      </c>
      <c r="B1649" s="3" t="str">
        <f>IFERROR(__xludf.DUMMYFUNCTION("""COMPUTED_VALUE"""),"7423 DALE RD")</f>
        <v>7423 DALE RD</v>
      </c>
      <c r="C1649" s="3" t="str">
        <f>IFERROR(__xludf.DUMMYFUNCTION("""COMPUTED_VALUE"""),"COBOURG")</f>
        <v>COBOURG</v>
      </c>
      <c r="D1649" s="3" t="str">
        <f>IFERROR(__xludf.DUMMYFUNCTION("""COMPUTED_VALUE"""),"K9A 4J7")</f>
        <v>K9A 4J7</v>
      </c>
      <c r="E1649" s="3" t="str">
        <f>IFERROR(__xludf.DUMMYFUNCTION("""COMPUTED_VALUE"""),"MICHAEL DAINARD")</f>
        <v>MICHAEL DAINARD</v>
      </c>
      <c r="F1649" s="3" t="str">
        <f>IFERROR(__xludf.DUMMYFUNCTION("""COMPUTED_VALUE"""),"mdainard@gmail.com")</f>
        <v>mdainard@gmail.com</v>
      </c>
      <c r="G1649" s="3">
        <f>IFERROR(__xludf.DUMMYFUNCTION("""COMPUTED_VALUE"""),4.16669004E8)</f>
        <v>416669004</v>
      </c>
      <c r="H1649" s="3"/>
    </row>
    <row r="1650">
      <c r="A1650" s="2">
        <f>IFERROR(__xludf.DUMMYFUNCTION("""COMPUTED_VALUE"""),21262.0)</f>
        <v>21262</v>
      </c>
      <c r="B1650" s="3" t="str">
        <f>IFERROR(__xludf.DUMMYFUNCTION("""COMPUTED_VALUE"""),"7428 DALE RD")</f>
        <v>7428 DALE RD</v>
      </c>
      <c r="C1650" s="3" t="str">
        <f>IFERROR(__xludf.DUMMYFUNCTION("""COMPUTED_VALUE"""),"COBOURG")</f>
        <v>COBOURG</v>
      </c>
      <c r="D1650" s="3" t="str">
        <f>IFERROR(__xludf.DUMMYFUNCTION("""COMPUTED_VALUE"""),"K9A 4J7")</f>
        <v>K9A 4J7</v>
      </c>
      <c r="E1650" s="3"/>
      <c r="F1650" s="3"/>
      <c r="G1650" s="3"/>
      <c r="H1650" s="3"/>
    </row>
    <row r="1651">
      <c r="A1651" s="2">
        <f>IFERROR(__xludf.DUMMYFUNCTION("""COMPUTED_VALUE"""),21263.0)</f>
        <v>21263</v>
      </c>
      <c r="B1651" s="3" t="str">
        <f>IFERROR(__xludf.DUMMYFUNCTION("""COMPUTED_VALUE"""),"7460 DALE RD")</f>
        <v>7460 DALE RD</v>
      </c>
      <c r="C1651" s="3" t="str">
        <f>IFERROR(__xludf.DUMMYFUNCTION("""COMPUTED_VALUE"""),"COBOURG")</f>
        <v>COBOURG</v>
      </c>
      <c r="D1651" s="3" t="str">
        <f>IFERROR(__xludf.DUMMYFUNCTION("""COMPUTED_VALUE"""),"K9A 4J7")</f>
        <v>K9A 4J7</v>
      </c>
      <c r="E1651" s="3"/>
      <c r="F1651" s="3"/>
      <c r="G1651" s="3"/>
      <c r="H1651" s="3"/>
    </row>
    <row r="1652">
      <c r="A1652" s="2">
        <f>IFERROR(__xludf.DUMMYFUNCTION("""COMPUTED_VALUE"""),21975.0)</f>
        <v>21975</v>
      </c>
      <c r="B1652" s="3" t="str">
        <f>IFERROR(__xludf.DUMMYFUNCTION("""COMPUTED_VALUE"""),"3187 HARWOOD RD")</f>
        <v>3187 HARWOOD RD</v>
      </c>
      <c r="C1652" s="3" t="str">
        <f>IFERROR(__xludf.DUMMYFUNCTION("""COMPUTED_VALUE"""),"BALTIMORE")</f>
        <v>BALTIMORE</v>
      </c>
      <c r="D1652" s="3" t="str">
        <f>IFERROR(__xludf.DUMMYFUNCTION("""COMPUTED_VALUE"""),"K0K 1C0")</f>
        <v>K0K 1C0</v>
      </c>
      <c r="E1652" s="3" t="str">
        <f>IFERROR(__xludf.DUMMYFUNCTION("""COMPUTED_VALUE"""),"paul panipinto ")</f>
        <v>paul panipinto </v>
      </c>
      <c r="F1652" s="3" t="str">
        <f>IFERROR(__xludf.DUMMYFUNCTION("""COMPUTED_VALUE"""),"pavolopanepinto@gmail.com")</f>
        <v>pavolopanepinto@gmail.com</v>
      </c>
      <c r="G1652" s="3">
        <f>IFERROR(__xludf.DUMMYFUNCTION("""COMPUTED_VALUE"""),9.053960843E9)</f>
        <v>9053960843</v>
      </c>
      <c r="H1652" s="3">
        <f>IFERROR(__xludf.DUMMYFUNCTION("""COMPUTED_VALUE"""),9.053960844E9)</f>
        <v>9053960844</v>
      </c>
    </row>
    <row r="1653">
      <c r="A1653" s="2">
        <f>IFERROR(__xludf.DUMMYFUNCTION("""COMPUTED_VALUE"""),21265.0)</f>
        <v>21265</v>
      </c>
      <c r="B1653" s="3" t="str">
        <f>IFERROR(__xludf.DUMMYFUNCTION("""COMPUTED_VALUE"""),"7534 DALE RD")</f>
        <v>7534 DALE RD</v>
      </c>
      <c r="C1653" s="3" t="str">
        <f>IFERROR(__xludf.DUMMYFUNCTION("""COMPUTED_VALUE"""),"COBOURG")</f>
        <v>COBOURG</v>
      </c>
      <c r="D1653" s="3" t="str">
        <f>IFERROR(__xludf.DUMMYFUNCTION("""COMPUTED_VALUE"""),"K9A 4J7")</f>
        <v>K9A 4J7</v>
      </c>
      <c r="E1653" s="3"/>
      <c r="F1653" s="3"/>
      <c r="G1653" s="3"/>
      <c r="H1653" s="3"/>
    </row>
    <row r="1654">
      <c r="A1654" s="2">
        <f>IFERROR(__xludf.DUMMYFUNCTION("""COMPUTED_VALUE"""),21976.0)</f>
        <v>21976</v>
      </c>
      <c r="B1654" s="3" t="str">
        <f>IFERROR(__xludf.DUMMYFUNCTION("""COMPUTED_VALUE"""),"3190 HARWOOD RD A")</f>
        <v>3190 HARWOOD RD A</v>
      </c>
      <c r="C1654" s="3" t="str">
        <f>IFERROR(__xludf.DUMMYFUNCTION("""COMPUTED_VALUE"""),"BALTIMORE")</f>
        <v>BALTIMORE</v>
      </c>
      <c r="D1654" s="3" t="str">
        <f>IFERROR(__xludf.DUMMYFUNCTION("""COMPUTED_VALUE"""),"K0K 1C0")</f>
        <v>K0K 1C0</v>
      </c>
      <c r="E1654" s="3" t="str">
        <f>IFERROR(__xludf.DUMMYFUNCTION("""COMPUTED_VALUE"""),"andrea woodland")</f>
        <v>andrea woodland</v>
      </c>
      <c r="F1654" s="3" t="str">
        <f>IFERROR(__xludf.DUMMYFUNCTION("""COMPUTED_VALUE"""),"xsvnrg@gmail.com")</f>
        <v>xsvnrg@gmail.com</v>
      </c>
      <c r="G1654" s="3">
        <f>IFERROR(__xludf.DUMMYFUNCTION("""COMPUTED_VALUE"""),9.053758318E9)</f>
        <v>9053758318</v>
      </c>
      <c r="H1654" s="3"/>
    </row>
    <row r="1655">
      <c r="A1655" s="2">
        <f>IFERROR(__xludf.DUMMYFUNCTION("""COMPUTED_VALUE"""),21267.0)</f>
        <v>21267</v>
      </c>
      <c r="B1655" s="3" t="str">
        <f>IFERROR(__xludf.DUMMYFUNCTION("""COMPUTED_VALUE"""),"7541 DALE RD")</f>
        <v>7541 DALE RD</v>
      </c>
      <c r="C1655" s="3" t="str">
        <f>IFERROR(__xludf.DUMMYFUNCTION("""COMPUTED_VALUE"""),"COBOURG")</f>
        <v>COBOURG</v>
      </c>
      <c r="D1655" s="3" t="str">
        <f>IFERROR(__xludf.DUMMYFUNCTION("""COMPUTED_VALUE"""),"K9A 4J7")</f>
        <v>K9A 4J7</v>
      </c>
      <c r="E1655" s="3" t="str">
        <f>IFERROR(__xludf.DUMMYFUNCTION("""COMPUTED_VALUE"""),"Michael Tanner")</f>
        <v>Michael Tanner</v>
      </c>
      <c r="F1655" s="3" t="str">
        <f>IFERROR(__xludf.DUMMYFUNCTION("""COMPUTED_VALUE"""),"tanner5052@icloud.com")</f>
        <v>tanner5052@icloud.com</v>
      </c>
      <c r="G1655" s="3">
        <f>IFERROR(__xludf.DUMMYFUNCTION("""COMPUTED_VALUE"""),9.058855052E9)</f>
        <v>9058855052</v>
      </c>
      <c r="H1655" s="3"/>
    </row>
    <row r="1656">
      <c r="A1656" s="2">
        <f>IFERROR(__xludf.DUMMYFUNCTION("""COMPUTED_VALUE"""),24008.0)</f>
        <v>24008</v>
      </c>
      <c r="B1656" s="3" t="str">
        <f>IFERROR(__xludf.DUMMYFUNCTION("""COMPUTED_VALUE"""),"3190 HARWOOD RD B")</f>
        <v>3190 HARWOOD RD B</v>
      </c>
      <c r="C1656" s="3" t="str">
        <f>IFERROR(__xludf.DUMMYFUNCTION("""COMPUTED_VALUE"""),"BALTIMORE")</f>
        <v>BALTIMORE</v>
      </c>
      <c r="D1656" s="3" t="str">
        <f>IFERROR(__xludf.DUMMYFUNCTION("""COMPUTED_VALUE"""),"K0K 1C0")</f>
        <v>K0K 1C0</v>
      </c>
      <c r="E1656" s="3" t="str">
        <f>IFERROR(__xludf.DUMMYFUNCTION("""COMPUTED_VALUE"""),"andrea woodland")</f>
        <v>andrea woodland</v>
      </c>
      <c r="F1656" s="3" t="str">
        <f>IFERROR(__xludf.DUMMYFUNCTION("""COMPUTED_VALUE"""),"xsvnrg@gmail.com")</f>
        <v>xsvnrg@gmail.com</v>
      </c>
      <c r="G1656" s="3">
        <f>IFERROR(__xludf.DUMMYFUNCTION("""COMPUTED_VALUE"""),9.053758318E9)</f>
        <v>9053758318</v>
      </c>
      <c r="H1656" s="3"/>
    </row>
    <row r="1657">
      <c r="A1657" s="2">
        <f>IFERROR(__xludf.DUMMYFUNCTION("""COMPUTED_VALUE"""),21977.0)</f>
        <v>21977</v>
      </c>
      <c r="B1657" s="3" t="str">
        <f>IFERROR(__xludf.DUMMYFUNCTION("""COMPUTED_VALUE"""),"3193 HARWOOD RD")</f>
        <v>3193 HARWOOD RD</v>
      </c>
      <c r="C1657" s="3" t="str">
        <f>IFERROR(__xludf.DUMMYFUNCTION("""COMPUTED_VALUE"""),"BALTIMORE")</f>
        <v>BALTIMORE</v>
      </c>
      <c r="D1657" s="3" t="str">
        <f>IFERROR(__xludf.DUMMYFUNCTION("""COMPUTED_VALUE"""),"K0K 1C0")</f>
        <v>K0K 1C0</v>
      </c>
      <c r="E1657" s="3" t="str">
        <f>IFERROR(__xludf.DUMMYFUNCTION("""COMPUTED_VALUE"""),"kate daniels ")</f>
        <v>kate daniels </v>
      </c>
      <c r="F1657" s="3" t="str">
        <f>IFERROR(__xludf.DUMMYFUNCTION("""COMPUTED_VALUE"""),"daniels2325@outlook.com")</f>
        <v>daniels2325@outlook.com</v>
      </c>
      <c r="G1657" s="3">
        <f>IFERROR(__xludf.DUMMYFUNCTION("""COMPUTED_VALUE"""),9.053758848E9)</f>
        <v>9053758848</v>
      </c>
      <c r="H1657" s="3"/>
    </row>
    <row r="1658">
      <c r="A1658" s="2">
        <f>IFERROR(__xludf.DUMMYFUNCTION("""COMPUTED_VALUE"""),21978.0)</f>
        <v>21978</v>
      </c>
      <c r="B1658" s="3" t="str">
        <f>IFERROR(__xludf.DUMMYFUNCTION("""COMPUTED_VALUE"""),"3199 HARWOOD RD")</f>
        <v>3199 HARWOOD RD</v>
      </c>
      <c r="C1658" s="3" t="str">
        <f>IFERROR(__xludf.DUMMYFUNCTION("""COMPUTED_VALUE"""),"BALTIMORE")</f>
        <v>BALTIMORE</v>
      </c>
      <c r="D1658" s="3" t="str">
        <f>IFERROR(__xludf.DUMMYFUNCTION("""COMPUTED_VALUE"""),"K0K 1C0")</f>
        <v>K0K 1C0</v>
      </c>
      <c r="E1658" s="3" t="str">
        <f>IFERROR(__xludf.DUMMYFUNCTION("""COMPUTED_VALUE"""),"richard j ash")</f>
        <v>richard j ash</v>
      </c>
      <c r="F1658" s="3" t="str">
        <f>IFERROR(__xludf.DUMMYFUNCTION("""COMPUTED_VALUE"""),"chonch1966@hotmail.com")</f>
        <v>chonch1966@hotmail.com</v>
      </c>
      <c r="G1658" s="3">
        <f>IFERROR(__xludf.DUMMYFUNCTION("""COMPUTED_VALUE"""),9.053723998E9)</f>
        <v>9053723998</v>
      </c>
      <c r="H1658" s="3"/>
    </row>
    <row r="1659">
      <c r="A1659" s="2">
        <f>IFERROR(__xludf.DUMMYFUNCTION("""COMPUTED_VALUE"""),21271.0)</f>
        <v>21271</v>
      </c>
      <c r="B1659" s="3" t="str">
        <f>IFERROR(__xludf.DUMMYFUNCTION("""COMPUTED_VALUE"""),"7562 DALE RD")</f>
        <v>7562 DALE RD</v>
      </c>
      <c r="C1659" s="3" t="str">
        <f>IFERROR(__xludf.DUMMYFUNCTION("""COMPUTED_VALUE"""),"COBOURG")</f>
        <v>COBOURG</v>
      </c>
      <c r="D1659" s="3" t="str">
        <f>IFERROR(__xludf.DUMMYFUNCTION("""COMPUTED_VALUE"""),"K9A 4J7")</f>
        <v>K9A 4J7</v>
      </c>
      <c r="E1659" s="3"/>
      <c r="F1659" s="3"/>
      <c r="G1659" s="3"/>
      <c r="H1659" s="3"/>
    </row>
    <row r="1660">
      <c r="A1660" s="2">
        <f>IFERROR(__xludf.DUMMYFUNCTION("""COMPUTED_VALUE"""),21979.0)</f>
        <v>21979</v>
      </c>
      <c r="B1660" s="3" t="str">
        <f>IFERROR(__xludf.DUMMYFUNCTION("""COMPUTED_VALUE"""),"3205 HARWOOD RD")</f>
        <v>3205 HARWOOD RD</v>
      </c>
      <c r="C1660" s="3" t="str">
        <f>IFERROR(__xludf.DUMMYFUNCTION("""COMPUTED_VALUE"""),"BALTIMORE")</f>
        <v>BALTIMORE</v>
      </c>
      <c r="D1660" s="3" t="str">
        <f>IFERROR(__xludf.DUMMYFUNCTION("""COMPUTED_VALUE"""),"K0K 1C0")</f>
        <v>K0K 1C0</v>
      </c>
      <c r="E1660" s="3" t="str">
        <f>IFERROR(__xludf.DUMMYFUNCTION("""COMPUTED_VALUE"""),"dean graham")</f>
        <v>dean graham</v>
      </c>
      <c r="F1660" s="3" t="str">
        <f>IFERROR(__xludf.DUMMYFUNCTION("""COMPUTED_VALUE"""),"deanrgraham@gmail.com")</f>
        <v>deanrgraham@gmail.com</v>
      </c>
      <c r="G1660" s="3">
        <f>IFERROR(__xludf.DUMMYFUNCTION("""COMPUTED_VALUE"""),6.473888375E9)</f>
        <v>6473888375</v>
      </c>
      <c r="H1660" s="3"/>
    </row>
    <row r="1661">
      <c r="A1661" s="2">
        <f>IFERROR(__xludf.DUMMYFUNCTION("""COMPUTED_VALUE"""),21628.0)</f>
        <v>21628</v>
      </c>
      <c r="B1661" s="3" t="str">
        <f>IFERROR(__xludf.DUMMYFUNCTION("""COMPUTED_VALUE"""),"137 EARL RD")</f>
        <v>137 EARL RD</v>
      </c>
      <c r="C1661" s="3" t="str">
        <f>IFERROR(__xludf.DUMMYFUNCTION("""COMPUTED_VALUE"""),"BALTIMORE")</f>
        <v>BALTIMORE</v>
      </c>
      <c r="D1661" s="3" t="str">
        <f>IFERROR(__xludf.DUMMYFUNCTION("""COMPUTED_VALUE"""),"K0K 1C0")</f>
        <v>K0K 1C0</v>
      </c>
      <c r="E1661" s="3" t="str">
        <f>IFERROR(__xludf.DUMMYFUNCTION("""COMPUTED_VALUE"""),"david broomfield")</f>
        <v>david broomfield</v>
      </c>
      <c r="F1661" s="3" t="str">
        <f>IFERROR(__xludf.DUMMYFUNCTION("""COMPUTED_VALUE"""),"broomfieldconst@gmail.com")</f>
        <v>broomfieldconst@gmail.com</v>
      </c>
      <c r="G1661" s="3">
        <f>IFERROR(__xludf.DUMMYFUNCTION("""COMPUTED_VALUE"""),9.053768135E9)</f>
        <v>9053768135</v>
      </c>
      <c r="H1661" s="3"/>
    </row>
    <row r="1662">
      <c r="A1662" s="2">
        <f>IFERROR(__xludf.DUMMYFUNCTION("""COMPUTED_VALUE"""),21274.0)</f>
        <v>21274</v>
      </c>
      <c r="B1662" s="3" t="str">
        <f>IFERROR(__xludf.DUMMYFUNCTION("""COMPUTED_VALUE"""),"7604 DALE RD")</f>
        <v>7604 DALE RD</v>
      </c>
      <c r="C1662" s="3" t="str">
        <f>IFERROR(__xludf.DUMMYFUNCTION("""COMPUTED_VALUE"""),"COBOURG")</f>
        <v>COBOURG</v>
      </c>
      <c r="D1662" s="3" t="str">
        <f>IFERROR(__xludf.DUMMYFUNCTION("""COMPUTED_VALUE"""),"K9A 4J7")</f>
        <v>K9A 4J7</v>
      </c>
      <c r="E1662" s="3" t="str">
        <f>IFERROR(__xludf.DUMMYFUNCTION("""COMPUTED_VALUE"""),"Aubrey J Harris")</f>
        <v>Aubrey J Harris</v>
      </c>
      <c r="F1662" s="3"/>
      <c r="G1662" s="3"/>
      <c r="H1662" s="3"/>
    </row>
    <row r="1663">
      <c r="A1663" s="2">
        <f>IFERROR(__xludf.DUMMYFUNCTION("""COMPUTED_VALUE"""),21634.0)</f>
        <v>21634</v>
      </c>
      <c r="B1663" s="3" t="str">
        <f>IFERROR(__xludf.DUMMYFUNCTION("""COMPUTED_VALUE"""),"263 EARL RD")</f>
        <v>263 EARL RD</v>
      </c>
      <c r="C1663" s="3" t="str">
        <f>IFERROR(__xludf.DUMMYFUNCTION("""COMPUTED_VALUE"""),"BALTIMORE")</f>
        <v>BALTIMORE</v>
      </c>
      <c r="D1663" s="3" t="str">
        <f>IFERROR(__xludf.DUMMYFUNCTION("""COMPUTED_VALUE"""),"K0K 1C0")</f>
        <v>K0K 1C0</v>
      </c>
      <c r="E1663" s="3" t="str">
        <f>IFERROR(__xludf.DUMMYFUNCTION("""COMPUTED_VALUE"""),"grace broomfield")</f>
        <v>grace broomfield</v>
      </c>
      <c r="F1663" s="3" t="str">
        <f>IFERROR(__xludf.DUMMYFUNCTION("""COMPUTED_VALUE"""),"broomfieldconst@gmail.com")</f>
        <v>broomfieldconst@gmail.com</v>
      </c>
      <c r="G1663" s="3">
        <f>IFERROR(__xludf.DUMMYFUNCTION("""COMPUTED_VALUE"""),9.053768135E9)</f>
        <v>9053768135</v>
      </c>
      <c r="H1663" s="3"/>
    </row>
    <row r="1664">
      <c r="A1664" s="2">
        <f>IFERROR(__xludf.DUMMYFUNCTION("""COMPUTED_VALUE"""),21981.0)</f>
        <v>21981</v>
      </c>
      <c r="B1664" s="3" t="str">
        <f>IFERROR(__xludf.DUMMYFUNCTION("""COMPUTED_VALUE"""),"3217 HARWOOD RD")</f>
        <v>3217 HARWOOD RD</v>
      </c>
      <c r="C1664" s="3" t="str">
        <f>IFERROR(__xludf.DUMMYFUNCTION("""COMPUTED_VALUE"""),"BALTIMORE")</f>
        <v>BALTIMORE</v>
      </c>
      <c r="D1664" s="3" t="str">
        <f>IFERROR(__xludf.DUMMYFUNCTION("""COMPUTED_VALUE"""),"K0K 1C0")</f>
        <v>K0K 1C0</v>
      </c>
      <c r="E1664" s="3" t="str">
        <f>IFERROR(__xludf.DUMMYFUNCTION("""COMPUTED_VALUE"""),"shawn herman ")</f>
        <v>shawn herman </v>
      </c>
      <c r="F1664" s="3" t="str">
        <f>IFERROR(__xludf.DUMMYFUNCTION("""COMPUTED_VALUE"""),"shawn_herman@kprosb.ca")</f>
        <v>shawn_herman@kprosb.ca</v>
      </c>
      <c r="G1664" s="3">
        <f>IFERROR(__xludf.DUMMYFUNCTION("""COMPUTED_VALUE"""),9.053753062E9)</f>
        <v>9053753062</v>
      </c>
      <c r="H1664" s="3"/>
    </row>
    <row r="1665">
      <c r="A1665" s="2">
        <f>IFERROR(__xludf.DUMMYFUNCTION("""COMPUTED_VALUE"""),21949.0)</f>
        <v>21949</v>
      </c>
      <c r="B1665" s="3" t="str">
        <f>IFERROR(__xludf.DUMMYFUNCTION("""COMPUTED_VALUE"""),"3064 HARWOOD RD")</f>
        <v>3064 HARWOOD RD</v>
      </c>
      <c r="C1665" s="3" t="str">
        <f>IFERROR(__xludf.DUMMYFUNCTION("""COMPUTED_VALUE"""),"BALTIMORE")</f>
        <v>BALTIMORE</v>
      </c>
      <c r="D1665" s="3" t="str">
        <f>IFERROR(__xludf.DUMMYFUNCTION("""COMPUTED_VALUE"""),"K0K 1C0")</f>
        <v>K0K 1C0</v>
      </c>
      <c r="E1665" s="3" t="str">
        <f>IFERROR(__xludf.DUMMYFUNCTION("""COMPUTED_VALUE"""),"Christian Sirett")</f>
        <v>Christian Sirett</v>
      </c>
      <c r="F1665" s="3" t="str">
        <f>IFERROR(__xludf.DUMMYFUNCTION("""COMPUTED_VALUE"""),"kritchin11@hotmail.com")</f>
        <v>kritchin11@hotmail.com</v>
      </c>
      <c r="G1665" s="3">
        <f>IFERROR(__xludf.DUMMYFUNCTION("""COMPUTED_VALUE"""),2.892516422E9)</f>
        <v>2892516422</v>
      </c>
      <c r="H1665" s="3">
        <f>IFERROR(__xludf.DUMMYFUNCTION("""COMPUTED_VALUE"""),2.892516522E9)</f>
        <v>2892516522</v>
      </c>
    </row>
    <row r="1666">
      <c r="A1666" s="2">
        <f>IFERROR(__xludf.DUMMYFUNCTION("""COMPUTED_VALUE"""),21951.0)</f>
        <v>21951</v>
      </c>
      <c r="B1666" s="3" t="str">
        <f>IFERROR(__xludf.DUMMYFUNCTION("""COMPUTED_VALUE"""),"3083 HARWOOD RD")</f>
        <v>3083 HARWOOD RD</v>
      </c>
      <c r="C1666" s="3" t="str">
        <f>IFERROR(__xludf.DUMMYFUNCTION("""COMPUTED_VALUE"""),"BALTIMORE")</f>
        <v>BALTIMORE</v>
      </c>
      <c r="D1666" s="3" t="str">
        <f>IFERROR(__xludf.DUMMYFUNCTION("""COMPUTED_VALUE"""),"K0K 1C0")</f>
        <v>K0K 1C0</v>
      </c>
      <c r="E1666" s="3" t="str">
        <f>IFERROR(__xludf.DUMMYFUNCTION("""COMPUTED_VALUE"""),"Daniel Lavoy")</f>
        <v>Daniel Lavoy</v>
      </c>
      <c r="F1666" s="3" t="str">
        <f>IFERROR(__xludf.DUMMYFUNCTION("""COMPUTED_VALUE"""),"Daniel.Lavoy.21@gmail.com")</f>
        <v>Daniel.Lavoy.21@gmail.com</v>
      </c>
      <c r="G1666" s="3">
        <f>IFERROR(__xludf.DUMMYFUNCTION("""COMPUTED_VALUE"""),2.892513043E9)</f>
        <v>2892513043</v>
      </c>
      <c r="H1666" s="3"/>
    </row>
    <row r="1667">
      <c r="A1667" s="2">
        <f>IFERROR(__xludf.DUMMYFUNCTION("""COMPUTED_VALUE"""),23375.0)</f>
        <v>23375</v>
      </c>
      <c r="B1667" s="3" t="str">
        <f>IFERROR(__xludf.DUMMYFUNCTION("""COMPUTED_VALUE"""),"668 STEWART RD")</f>
        <v>668 STEWART RD</v>
      </c>
      <c r="C1667" s="3" t="str">
        <f>IFERROR(__xludf.DUMMYFUNCTION("""COMPUTED_VALUE"""),"BALTIMORE")</f>
        <v>BALTIMORE</v>
      </c>
      <c r="D1667" s="3" t="str">
        <f>IFERROR(__xludf.DUMMYFUNCTION("""COMPUTED_VALUE"""),"K0K 1C0")</f>
        <v>K0K 1C0</v>
      </c>
      <c r="E1667" s="3" t="str">
        <f>IFERROR(__xludf.DUMMYFUNCTION("""COMPUTED_VALUE"""),"diane whitefield")</f>
        <v>diane whitefield</v>
      </c>
      <c r="F1667" s="3" t="str">
        <f>IFERROR(__xludf.DUMMYFUNCTION("""COMPUTED_VALUE"""),"auntdi668@gmail.com")</f>
        <v>auntdi668@gmail.com</v>
      </c>
      <c r="G1667" s="3">
        <f>IFERROR(__xludf.DUMMYFUNCTION("""COMPUTED_VALUE"""),9.053755514E9)</f>
        <v>9053755514</v>
      </c>
      <c r="H1667" s="3"/>
    </row>
    <row r="1668">
      <c r="A1668" s="2">
        <f>IFERROR(__xludf.DUMMYFUNCTION("""COMPUTED_VALUE"""),21952.0)</f>
        <v>21952</v>
      </c>
      <c r="B1668" s="3" t="str">
        <f>IFERROR(__xludf.DUMMYFUNCTION("""COMPUTED_VALUE"""),"3089 HARWOOD RD")</f>
        <v>3089 HARWOOD RD</v>
      </c>
      <c r="C1668" s="3" t="str">
        <f>IFERROR(__xludf.DUMMYFUNCTION("""COMPUTED_VALUE"""),"BALTIMORE")</f>
        <v>BALTIMORE</v>
      </c>
      <c r="D1668" s="3" t="str">
        <f>IFERROR(__xludf.DUMMYFUNCTION("""COMPUTED_VALUE"""),"K0K 1C0")</f>
        <v>K0K 1C0</v>
      </c>
      <c r="E1668" s="3" t="str">
        <f>IFERROR(__xludf.DUMMYFUNCTION("""COMPUTED_VALUE"""),"Donald Linton")</f>
        <v>Donald Linton</v>
      </c>
      <c r="F1668" s="3" t="str">
        <f>IFERROR(__xludf.DUMMYFUNCTION("""COMPUTED_VALUE"""),"nancy.don11@gmail.com")</f>
        <v>nancy.don11@gmail.com</v>
      </c>
      <c r="G1668" s="3">
        <f>IFERROR(__xludf.DUMMYFUNCTION("""COMPUTED_VALUE"""),9.053732196E9)</f>
        <v>9053732196</v>
      </c>
      <c r="H1668" s="3">
        <f>IFERROR(__xludf.DUMMYFUNCTION("""COMPUTED_VALUE"""),9.053720085E9)</f>
        <v>9053720085</v>
      </c>
    </row>
    <row r="1669">
      <c r="A1669" s="2">
        <f>IFERROR(__xludf.DUMMYFUNCTION("""COMPUTED_VALUE"""),21983.0)</f>
        <v>21983</v>
      </c>
      <c r="B1669" s="3" t="str">
        <f>IFERROR(__xludf.DUMMYFUNCTION("""COMPUTED_VALUE"""),"3232 HARWOOD RD")</f>
        <v>3232 HARWOOD RD</v>
      </c>
      <c r="C1669" s="3" t="str">
        <f>IFERROR(__xludf.DUMMYFUNCTION("""COMPUTED_VALUE"""),"BALTIMORE")</f>
        <v>BALTIMORE</v>
      </c>
      <c r="D1669" s="3" t="str">
        <f>IFERROR(__xludf.DUMMYFUNCTION("""COMPUTED_VALUE"""),"K0K 1C0")</f>
        <v>K0K 1C0</v>
      </c>
      <c r="E1669" s="3" t="str">
        <f>IFERROR(__xludf.DUMMYFUNCTION("""COMPUTED_VALUE"""),"Sebastien Sparling")</f>
        <v>Sebastien Sparling</v>
      </c>
      <c r="F1669" s="3" t="str">
        <f>IFERROR(__xludf.DUMMYFUNCTION("""COMPUTED_VALUE"""),"kayak_2@hotmail.com")</f>
        <v>kayak_2@hotmail.com</v>
      </c>
      <c r="G1669" s="3"/>
      <c r="H1669" s="3"/>
    </row>
    <row r="1670">
      <c r="A1670" s="2">
        <f>IFERROR(__xludf.DUMMYFUNCTION("""COMPUTED_VALUE"""),21280.0)</f>
        <v>21280</v>
      </c>
      <c r="B1670" s="3" t="str">
        <f>IFERROR(__xludf.DUMMYFUNCTION("""COMPUTED_VALUE"""),"7968 DALE RD")</f>
        <v>7968 DALE RD</v>
      </c>
      <c r="C1670" s="3" t="str">
        <f>IFERROR(__xludf.DUMMYFUNCTION("""COMPUTED_VALUE"""),"COBOURG")</f>
        <v>COBOURG</v>
      </c>
      <c r="D1670" s="3" t="str">
        <f>IFERROR(__xludf.DUMMYFUNCTION("""COMPUTED_VALUE"""),"K9A 4J7")</f>
        <v>K9A 4J7</v>
      </c>
      <c r="E1670" s="3"/>
      <c r="F1670" s="3"/>
      <c r="G1670" s="3"/>
      <c r="H1670" s="3"/>
    </row>
    <row r="1671">
      <c r="A1671" s="2">
        <f>IFERROR(__xludf.DUMMYFUNCTION("""COMPUTED_VALUE"""),21984.0)</f>
        <v>21984</v>
      </c>
      <c r="B1671" s="3" t="str">
        <f>IFERROR(__xludf.DUMMYFUNCTION("""COMPUTED_VALUE"""),"3236 HARWOOD RD")</f>
        <v>3236 HARWOOD RD</v>
      </c>
      <c r="C1671" s="3" t="str">
        <f>IFERROR(__xludf.DUMMYFUNCTION("""COMPUTED_VALUE"""),"BALTIMORE")</f>
        <v>BALTIMORE</v>
      </c>
      <c r="D1671" s="3" t="str">
        <f>IFERROR(__xludf.DUMMYFUNCTION("""COMPUTED_VALUE"""),"K0K 1C0")</f>
        <v>K0K 1C0</v>
      </c>
      <c r="E1671" s="3" t="str">
        <f>IFERROR(__xludf.DUMMYFUNCTION("""COMPUTED_VALUE"""),"ed balsdon")</f>
        <v>ed balsdon</v>
      </c>
      <c r="F1671" s="3"/>
      <c r="G1671" s="3">
        <f>IFERROR(__xludf.DUMMYFUNCTION("""COMPUTED_VALUE"""),9.05372672E9)</f>
        <v>9053726720</v>
      </c>
      <c r="H1671" s="3"/>
    </row>
    <row r="1672">
      <c r="A1672" s="2">
        <f>IFERROR(__xludf.DUMMYFUNCTION("""COMPUTED_VALUE"""),23377.0)</f>
        <v>23377</v>
      </c>
      <c r="B1672" s="3" t="str">
        <f>IFERROR(__xludf.DUMMYFUNCTION("""COMPUTED_VALUE"""),"703 STEWART RD")</f>
        <v>703 STEWART RD</v>
      </c>
      <c r="C1672" s="3" t="str">
        <f>IFERROR(__xludf.DUMMYFUNCTION("""COMPUTED_VALUE"""),"BALTIMORE")</f>
        <v>BALTIMORE</v>
      </c>
      <c r="D1672" s="3" t="str">
        <f>IFERROR(__xludf.DUMMYFUNCTION("""COMPUTED_VALUE"""),"K0K 1C0")</f>
        <v>K0K 1C0</v>
      </c>
      <c r="E1672" s="3" t="str">
        <f>IFERROR(__xludf.DUMMYFUNCTION("""COMPUTED_VALUE"""),"greg clarke ")</f>
        <v>greg clarke </v>
      </c>
      <c r="F1672" s="3" t="str">
        <f>IFERROR(__xludf.DUMMYFUNCTION("""COMPUTED_VALUE"""),"tucker703@hotmail.com")</f>
        <v>tucker703@hotmail.com</v>
      </c>
      <c r="G1672" s="3">
        <f>IFERROR(__xludf.DUMMYFUNCTION("""COMPUTED_VALUE"""),9.053965632E9)</f>
        <v>9053965632</v>
      </c>
      <c r="H1672" s="3"/>
    </row>
    <row r="1673">
      <c r="A1673" s="2">
        <f>IFERROR(__xludf.DUMMYFUNCTION("""COMPUTED_VALUE"""),21985.0)</f>
        <v>21985</v>
      </c>
      <c r="B1673" s="3" t="str">
        <f>IFERROR(__xludf.DUMMYFUNCTION("""COMPUTED_VALUE"""),"3241 HARWOOD RD")</f>
        <v>3241 HARWOOD RD</v>
      </c>
      <c r="C1673" s="3" t="str">
        <f>IFERROR(__xludf.DUMMYFUNCTION("""COMPUTED_VALUE"""),"BALTIMORE")</f>
        <v>BALTIMORE</v>
      </c>
      <c r="D1673" s="3" t="str">
        <f>IFERROR(__xludf.DUMMYFUNCTION("""COMPUTED_VALUE"""),"K0K 1C0")</f>
        <v>K0K 1C0</v>
      </c>
      <c r="E1673" s="3" t="str">
        <f>IFERROR(__xludf.DUMMYFUNCTION("""COMPUTED_VALUE"""),"haydey ferguson")</f>
        <v>haydey ferguson</v>
      </c>
      <c r="F1673" s="3"/>
      <c r="G1673" s="3">
        <f>IFERROR(__xludf.DUMMYFUNCTION("""COMPUTED_VALUE"""),9.053722693E9)</f>
        <v>9053722693</v>
      </c>
      <c r="H1673" s="3"/>
    </row>
    <row r="1674">
      <c r="A1674" s="2">
        <f>IFERROR(__xludf.DUMMYFUNCTION("""COMPUTED_VALUE"""),21284.0)</f>
        <v>21284</v>
      </c>
      <c r="B1674" s="3" t="str">
        <f>IFERROR(__xludf.DUMMYFUNCTION("""COMPUTED_VALUE"""),"8093 DALE RD")</f>
        <v>8093 DALE RD</v>
      </c>
      <c r="C1674" s="3" t="str">
        <f>IFERROR(__xludf.DUMMYFUNCTION("""COMPUTED_VALUE"""),"COBOURG")</f>
        <v>COBOURG</v>
      </c>
      <c r="D1674" s="3" t="str">
        <f>IFERROR(__xludf.DUMMYFUNCTION("""COMPUTED_VALUE"""),"K9A 4J7")</f>
        <v>K9A 4J7</v>
      </c>
      <c r="E1674" s="3"/>
      <c r="F1674" s="3"/>
      <c r="G1674" s="3"/>
      <c r="H1674" s="3"/>
    </row>
    <row r="1675">
      <c r="A1675" s="2">
        <f>IFERROR(__xludf.DUMMYFUNCTION("""COMPUTED_VALUE"""),21285.0)</f>
        <v>21285</v>
      </c>
      <c r="B1675" s="3" t="str">
        <f>IFERROR(__xludf.DUMMYFUNCTION("""COMPUTED_VALUE"""),"8094 DALE RD")</f>
        <v>8094 DALE RD</v>
      </c>
      <c r="C1675" s="3" t="str">
        <f>IFERROR(__xludf.DUMMYFUNCTION("""COMPUTED_VALUE"""),"COBOURG")</f>
        <v>COBOURG</v>
      </c>
      <c r="D1675" s="3" t="str">
        <f>IFERROR(__xludf.DUMMYFUNCTION("""COMPUTED_VALUE"""),"K9A 4J7")</f>
        <v>K9A 4J7</v>
      </c>
      <c r="E1675" s="3" t="str">
        <f>IFERROR(__xludf.DUMMYFUNCTION("""COMPUTED_VALUE"""),"Cameron Davidson")</f>
        <v>Cameron Davidson</v>
      </c>
      <c r="F1675" s="3"/>
      <c r="G1675" s="3"/>
      <c r="H1675" s="3"/>
    </row>
    <row r="1676">
      <c r="A1676" s="2">
        <f>IFERROR(__xludf.DUMMYFUNCTION("""COMPUTED_VALUE"""),22804.0)</f>
        <v>22804</v>
      </c>
      <c r="B1676" s="3" t="str">
        <f>IFERROR(__xludf.DUMMYFUNCTION("""COMPUTED_VALUE"""),"100 NELSON RD")</f>
        <v>100 NELSON RD</v>
      </c>
      <c r="C1676" s="3" t="str">
        <f>IFERROR(__xludf.DUMMYFUNCTION("""COMPUTED_VALUE"""),"BALTIMORE")</f>
        <v>BALTIMORE</v>
      </c>
      <c r="D1676" s="3" t="str">
        <f>IFERROR(__xludf.DUMMYFUNCTION("""COMPUTED_VALUE"""),"K0K 1C0")</f>
        <v>K0K 1C0</v>
      </c>
      <c r="E1676" s="3" t="str">
        <f>IFERROR(__xludf.DUMMYFUNCTION("""COMPUTED_VALUE"""),"Taylor Balbini / Morley Nelson")</f>
        <v>Taylor Balbini / Morley Nelson</v>
      </c>
      <c r="F1676" s="3" t="str">
        <f>IFERROR(__xludf.DUMMYFUNCTION("""COMPUTED_VALUE"""),"ctclark2026@gmail.com")</f>
        <v>ctclark2026@gmail.com</v>
      </c>
      <c r="G1676" s="3"/>
      <c r="H1676" s="3"/>
    </row>
    <row r="1677">
      <c r="A1677" s="2">
        <f>IFERROR(__xludf.DUMMYFUNCTION("""COMPUTED_VALUE"""),21287.0)</f>
        <v>21287</v>
      </c>
      <c r="B1677" s="3" t="str">
        <f>IFERROR(__xludf.DUMMYFUNCTION("""COMPUTED_VALUE"""),"8173 DALE RD")</f>
        <v>8173 DALE RD</v>
      </c>
      <c r="C1677" s="3" t="str">
        <f>IFERROR(__xludf.DUMMYFUNCTION("""COMPUTED_VALUE"""),"COBOURG")</f>
        <v>COBOURG</v>
      </c>
      <c r="D1677" s="3" t="str">
        <f>IFERROR(__xludf.DUMMYFUNCTION("""COMPUTED_VALUE"""),"K9A 4J7")</f>
        <v>K9A 4J7</v>
      </c>
      <c r="E1677" s="3" t="str">
        <f>IFERROR(__xludf.DUMMYFUNCTION("""COMPUTED_VALUE"""),"Tammy Hale")</f>
        <v>Tammy Hale</v>
      </c>
      <c r="F1677" s="3"/>
      <c r="G1677" s="3"/>
      <c r="H1677" s="3"/>
    </row>
    <row r="1678">
      <c r="A1678" s="2">
        <f>IFERROR(__xludf.DUMMYFUNCTION("""COMPUTED_VALUE"""),21986.0)</f>
        <v>21986</v>
      </c>
      <c r="B1678" s="3" t="str">
        <f>IFERROR(__xludf.DUMMYFUNCTION("""COMPUTED_VALUE"""),"3244 HARWOOD RD")</f>
        <v>3244 HARWOOD RD</v>
      </c>
      <c r="C1678" s="3" t="str">
        <f>IFERROR(__xludf.DUMMYFUNCTION("""COMPUTED_VALUE"""),"BALTIMORE")</f>
        <v>BALTIMORE</v>
      </c>
      <c r="D1678" s="3" t="str">
        <f>IFERROR(__xludf.DUMMYFUNCTION("""COMPUTED_VALUE"""),"K0K 1C0")</f>
        <v>K0K 1C0</v>
      </c>
      <c r="E1678" s="3" t="str">
        <f>IFERROR(__xludf.DUMMYFUNCTION("""COMPUTED_VALUE"""),"jennifer febbire")</f>
        <v>jennifer febbire</v>
      </c>
      <c r="F1678" s="3" t="str">
        <f>IFERROR(__xludf.DUMMYFUNCTION("""COMPUTED_VALUE"""),"j.febbire@yahoo.ca")</f>
        <v>j.febbire@yahoo.ca</v>
      </c>
      <c r="G1678" s="3">
        <f>IFERROR(__xludf.DUMMYFUNCTION("""COMPUTED_VALUE"""),9.053963235E9)</f>
        <v>9053963235</v>
      </c>
      <c r="H1678" s="3"/>
    </row>
    <row r="1679">
      <c r="A1679" s="2">
        <f>IFERROR(__xludf.DUMMYFUNCTION("""COMPUTED_VALUE"""),21987.0)</f>
        <v>21987</v>
      </c>
      <c r="B1679" s="3" t="str">
        <f>IFERROR(__xludf.DUMMYFUNCTION("""COMPUTED_VALUE"""),"3249 HARWOOD RD")</f>
        <v>3249 HARWOOD RD</v>
      </c>
      <c r="C1679" s="3" t="str">
        <f>IFERROR(__xludf.DUMMYFUNCTION("""COMPUTED_VALUE"""),"BALTIMORE")</f>
        <v>BALTIMORE</v>
      </c>
      <c r="D1679" s="3" t="str">
        <f>IFERROR(__xludf.DUMMYFUNCTION("""COMPUTED_VALUE"""),"K0K 1C0")</f>
        <v>K0K 1C0</v>
      </c>
      <c r="E1679" s="3" t="str">
        <f>IFERROR(__xludf.DUMMYFUNCTION("""COMPUTED_VALUE"""),"angie turpin")</f>
        <v>angie turpin</v>
      </c>
      <c r="F1679" s="3" t="str">
        <f>IFERROR(__xludf.DUMMYFUNCTION("""COMPUTED_VALUE"""),"angie_clarke08@hotmail.com")</f>
        <v>angie_clarke08@hotmail.com</v>
      </c>
      <c r="G1679" s="3">
        <f>IFERROR(__xludf.DUMMYFUNCTION("""COMPUTED_VALUE"""),9.052692591E9)</f>
        <v>9052692591</v>
      </c>
      <c r="H1679" s="3"/>
    </row>
    <row r="1680">
      <c r="A1680" s="2">
        <f>IFERROR(__xludf.DUMMYFUNCTION("""COMPUTED_VALUE"""),23137.0)</f>
        <v>23137</v>
      </c>
      <c r="B1680" s="3" t="str">
        <f>IFERROR(__xludf.DUMMYFUNCTION("""COMPUTED_VALUE"""),"8829 RACETRACK RD")</f>
        <v>8829 RACETRACK RD</v>
      </c>
      <c r="C1680" s="3" t="str">
        <f>IFERROR(__xludf.DUMMYFUNCTION("""COMPUTED_VALUE"""),"COBOURG")</f>
        <v>COBOURG</v>
      </c>
      <c r="D1680" s="3" t="str">
        <f>IFERROR(__xludf.DUMMYFUNCTION("""COMPUTED_VALUE"""),"K9A 4J9")</f>
        <v>K9A 4J9</v>
      </c>
      <c r="E1680" s="3" t="str">
        <f>IFERROR(__xludf.DUMMYFUNCTION("""COMPUTED_VALUE"""),"Elizabeth Merlin")</f>
        <v>Elizabeth Merlin</v>
      </c>
      <c r="F1680" s="3" t="str">
        <f>IFERROR(__xludf.DUMMYFUNCTION("""COMPUTED_VALUE"""),"themerlins@hotmail.com")</f>
        <v>themerlins@hotmail.com</v>
      </c>
      <c r="G1680" s="3">
        <f>IFERROR(__xludf.DUMMYFUNCTION("""COMPUTED_VALUE"""),9.053759084E9)</f>
        <v>9053759084</v>
      </c>
      <c r="H1680" s="3">
        <f>IFERROR(__xludf.DUMMYFUNCTION("""COMPUTED_VALUE"""),9.9053734983E10)</f>
        <v>99053734983</v>
      </c>
    </row>
    <row r="1681">
      <c r="A1681" s="2">
        <f>IFERROR(__xludf.DUMMYFUNCTION("""COMPUTED_VALUE"""),21289.0)</f>
        <v>21289</v>
      </c>
      <c r="B1681" s="3" t="str">
        <f>IFERROR(__xludf.DUMMYFUNCTION("""COMPUTED_VALUE"""),"8204 DALE RD")</f>
        <v>8204 DALE RD</v>
      </c>
      <c r="C1681" s="3" t="str">
        <f>IFERROR(__xludf.DUMMYFUNCTION("""COMPUTED_VALUE"""),"COBOURG")</f>
        <v>COBOURG</v>
      </c>
      <c r="D1681" s="3" t="str">
        <f>IFERROR(__xludf.DUMMYFUNCTION("""COMPUTED_VALUE"""),"K9A 4J7")</f>
        <v>K9A 4J7</v>
      </c>
      <c r="E1681" s="3" t="str">
        <f>IFERROR(__xludf.DUMMYFUNCTION("""COMPUTED_VALUE"""),"Marion Behan")</f>
        <v>Marion Behan</v>
      </c>
      <c r="F1681" s="3"/>
      <c r="G1681" s="3"/>
      <c r="H1681" s="3"/>
    </row>
    <row r="1682">
      <c r="A1682" s="2">
        <f>IFERROR(__xludf.DUMMYFUNCTION("""COMPUTED_VALUE"""),21988.0)</f>
        <v>21988</v>
      </c>
      <c r="B1682" s="3" t="str">
        <f>IFERROR(__xludf.DUMMYFUNCTION("""COMPUTED_VALUE"""),"3250 HARWOOD RD")</f>
        <v>3250 HARWOOD RD</v>
      </c>
      <c r="C1682" s="3" t="str">
        <f>IFERROR(__xludf.DUMMYFUNCTION("""COMPUTED_VALUE"""),"BALTIMORE")</f>
        <v>BALTIMORE</v>
      </c>
      <c r="D1682" s="3" t="str">
        <f>IFERROR(__xludf.DUMMYFUNCTION("""COMPUTED_VALUE"""),"K0K 1C0")</f>
        <v>K0K 1C0</v>
      </c>
      <c r="E1682" s="3" t="str">
        <f>IFERROR(__xludf.DUMMYFUNCTION("""COMPUTED_VALUE"""),"Mitch Dixon")</f>
        <v>Mitch Dixon</v>
      </c>
      <c r="F1682" s="3" t="str">
        <f>IFERROR(__xludf.DUMMYFUNCTION("""COMPUTED_VALUE"""),"mitch.dixon@xplornet.ca")</f>
        <v>mitch.dixon@xplornet.ca</v>
      </c>
      <c r="G1682" s="3">
        <f>IFERROR(__xludf.DUMMYFUNCTION("""COMPUTED_VALUE"""),9.053764949E9)</f>
        <v>9053764949</v>
      </c>
      <c r="H1682" s="3">
        <f>IFERROR(__xludf.DUMMYFUNCTION("""COMPUTED_VALUE"""),9.053779474E9)</f>
        <v>9053779474</v>
      </c>
    </row>
    <row r="1683">
      <c r="A1683" s="2">
        <f>IFERROR(__xludf.DUMMYFUNCTION("""COMPUTED_VALUE"""),23376.0)</f>
        <v>23376</v>
      </c>
      <c r="B1683" s="3" t="str">
        <f>IFERROR(__xludf.DUMMYFUNCTION("""COMPUTED_VALUE"""),"673 STEWART RD")</f>
        <v>673 STEWART RD</v>
      </c>
      <c r="C1683" s="3" t="str">
        <f>IFERROR(__xludf.DUMMYFUNCTION("""COMPUTED_VALUE"""),"BALTIMORE")</f>
        <v>BALTIMORE</v>
      </c>
      <c r="D1683" s="3" t="str">
        <f>IFERROR(__xludf.DUMMYFUNCTION("""COMPUTED_VALUE"""),"K0K 1C0")</f>
        <v>K0K 1C0</v>
      </c>
      <c r="E1683" s="3"/>
      <c r="F1683" s="3"/>
      <c r="G1683" s="3"/>
      <c r="H1683" s="3"/>
    </row>
    <row r="1684">
      <c r="A1684" s="2">
        <f>IFERROR(__xludf.DUMMYFUNCTION("""COMPUTED_VALUE"""),21989.0)</f>
        <v>21989</v>
      </c>
      <c r="B1684" s="3" t="str">
        <f>IFERROR(__xludf.DUMMYFUNCTION("""COMPUTED_VALUE"""),"3257 HARWOOD RD")</f>
        <v>3257 HARWOOD RD</v>
      </c>
      <c r="C1684" s="3" t="str">
        <f>IFERROR(__xludf.DUMMYFUNCTION("""COMPUTED_VALUE"""),"BALTIMORE")</f>
        <v>BALTIMORE</v>
      </c>
      <c r="D1684" s="3" t="str">
        <f>IFERROR(__xludf.DUMMYFUNCTION("""COMPUTED_VALUE"""),"K0K 1C0")</f>
        <v>K0K 1C0</v>
      </c>
      <c r="E1684" s="3" t="str">
        <f>IFERROR(__xludf.DUMMYFUNCTION("""COMPUTED_VALUE"""),"chris denik")</f>
        <v>chris denik</v>
      </c>
      <c r="F1684" s="3"/>
      <c r="G1684" s="3">
        <f>IFERROR(__xludf.DUMMYFUNCTION("""COMPUTED_VALUE"""),9.053722492E9)</f>
        <v>9053722492</v>
      </c>
      <c r="H1684" s="3"/>
    </row>
    <row r="1685">
      <c r="A1685" s="2">
        <f>IFERROR(__xludf.DUMMYFUNCTION("""COMPUTED_VALUE"""),21990.0)</f>
        <v>21990</v>
      </c>
      <c r="B1685" s="3" t="str">
        <f>IFERROR(__xludf.DUMMYFUNCTION("""COMPUTED_VALUE"""),"3258 HARWOOD RD")</f>
        <v>3258 HARWOOD RD</v>
      </c>
      <c r="C1685" s="3" t="str">
        <f>IFERROR(__xludf.DUMMYFUNCTION("""COMPUTED_VALUE"""),"BALTIMORE")</f>
        <v>BALTIMORE</v>
      </c>
      <c r="D1685" s="3" t="str">
        <f>IFERROR(__xludf.DUMMYFUNCTION("""COMPUTED_VALUE"""),"K0K 1C0")</f>
        <v>K0K 1C0</v>
      </c>
      <c r="E1685" s="3" t="str">
        <f>IFERROR(__xludf.DUMMYFUNCTION("""COMPUTED_VALUE"""),"daniel groves ")</f>
        <v>daniel groves </v>
      </c>
      <c r="F1685" s="3"/>
      <c r="G1685" s="3">
        <f>IFERROR(__xludf.DUMMYFUNCTION("""COMPUTED_VALUE"""),9.05372558E8)</f>
        <v>905372558</v>
      </c>
      <c r="H1685" s="3">
        <f>IFERROR(__xludf.DUMMYFUNCTION("""COMPUTED_VALUE"""),6.478089754E9)</f>
        <v>6478089754</v>
      </c>
    </row>
    <row r="1686">
      <c r="A1686" s="2">
        <f>IFERROR(__xludf.DUMMYFUNCTION("""COMPUTED_VALUE"""),21991.0)</f>
        <v>21991</v>
      </c>
      <c r="B1686" s="3" t="str">
        <f>IFERROR(__xludf.DUMMYFUNCTION("""COMPUTED_VALUE"""),"3261 HARWOOD RD")</f>
        <v>3261 HARWOOD RD</v>
      </c>
      <c r="C1686" s="3" t="str">
        <f>IFERROR(__xludf.DUMMYFUNCTION("""COMPUTED_VALUE"""),"BALTIMORE")</f>
        <v>BALTIMORE</v>
      </c>
      <c r="D1686" s="3" t="str">
        <f>IFERROR(__xludf.DUMMYFUNCTION("""COMPUTED_VALUE"""),"K0K 1C0")</f>
        <v>K0K 1C0</v>
      </c>
      <c r="E1686" s="3"/>
      <c r="F1686" s="3"/>
      <c r="G1686" s="3"/>
      <c r="H1686" s="3"/>
    </row>
    <row r="1687">
      <c r="A1687" s="2">
        <f>IFERROR(__xludf.DUMMYFUNCTION("""COMPUTED_VALUE"""),21295.0)</f>
        <v>21295</v>
      </c>
      <c r="B1687" s="3" t="str">
        <f>IFERROR(__xludf.DUMMYFUNCTION("""COMPUTED_VALUE"""),"8296 DALE RD")</f>
        <v>8296 DALE RD</v>
      </c>
      <c r="C1687" s="3" t="str">
        <f>IFERROR(__xludf.DUMMYFUNCTION("""COMPUTED_VALUE"""),"COBOURG")</f>
        <v>COBOURG</v>
      </c>
      <c r="D1687" s="3" t="str">
        <f>IFERROR(__xludf.DUMMYFUNCTION("""COMPUTED_VALUE"""),"K9A 0L8")</f>
        <v>K9A 0L8</v>
      </c>
      <c r="E1687" s="3"/>
      <c r="F1687" s="3"/>
      <c r="G1687" s="3"/>
      <c r="H1687" s="3"/>
    </row>
    <row r="1688">
      <c r="A1688" s="2">
        <f>IFERROR(__xludf.DUMMYFUNCTION("""COMPUTED_VALUE"""),21296.0)</f>
        <v>21296</v>
      </c>
      <c r="B1688" s="3" t="str">
        <f>IFERROR(__xludf.DUMMYFUNCTION("""COMPUTED_VALUE"""),"8302 DALE RD")</f>
        <v>8302 DALE RD</v>
      </c>
      <c r="C1688" s="3" t="str">
        <f>IFERROR(__xludf.DUMMYFUNCTION("""COMPUTED_VALUE"""),"COBOURG")</f>
        <v>COBOURG</v>
      </c>
      <c r="D1688" s="3" t="str">
        <f>IFERROR(__xludf.DUMMYFUNCTION("""COMPUTED_VALUE"""),"K9A 0L8")</f>
        <v>K9A 0L8</v>
      </c>
      <c r="E1688" s="3"/>
      <c r="F1688" s="3"/>
      <c r="G1688" s="3"/>
      <c r="H1688" s="3"/>
    </row>
    <row r="1689">
      <c r="A1689" s="2">
        <f>IFERROR(__xludf.DUMMYFUNCTION("""COMPUTED_VALUE"""),21297.0)</f>
        <v>21297</v>
      </c>
      <c r="B1689" s="3" t="str">
        <f>IFERROR(__xludf.DUMMYFUNCTION("""COMPUTED_VALUE"""),"8310 DALE RD")</f>
        <v>8310 DALE RD</v>
      </c>
      <c r="C1689" s="3" t="str">
        <f>IFERROR(__xludf.DUMMYFUNCTION("""COMPUTED_VALUE"""),"COBOURG")</f>
        <v>COBOURG</v>
      </c>
      <c r="D1689" s="3" t="str">
        <f>IFERROR(__xludf.DUMMYFUNCTION("""COMPUTED_VALUE"""),"K9A 0L8")</f>
        <v>K9A 0L8</v>
      </c>
      <c r="E1689" s="3"/>
      <c r="F1689" s="3"/>
      <c r="G1689" s="3"/>
      <c r="H1689" s="3"/>
    </row>
    <row r="1690">
      <c r="A1690" s="2">
        <f>IFERROR(__xludf.DUMMYFUNCTION("""COMPUTED_VALUE"""),23924.0)</f>
        <v>23924</v>
      </c>
      <c r="B1690" s="3" t="str">
        <f>IFERROR(__xludf.DUMMYFUNCTION("""COMPUTED_VALUE"""),"8869 RACETRACK RD")</f>
        <v>8869 RACETRACK RD</v>
      </c>
      <c r="C1690" s="3" t="str">
        <f>IFERROR(__xludf.DUMMYFUNCTION("""COMPUTED_VALUE"""),"COBOURG")</f>
        <v>COBOURG</v>
      </c>
      <c r="D1690" s="3" t="str">
        <f>IFERROR(__xludf.DUMMYFUNCTION("""COMPUTED_VALUE"""),"K9A 4J9")</f>
        <v>K9A 4J9</v>
      </c>
      <c r="E1690" s="3" t="str">
        <f>IFERROR(__xludf.DUMMYFUNCTION("""COMPUTED_VALUE"""),"Richard Kirton")</f>
        <v>Richard Kirton</v>
      </c>
      <c r="F1690" s="3" t="str">
        <f>IFERROR(__xludf.DUMMYFUNCTION("""COMPUTED_VALUE"""),"rskautowerks@gmail.com")</f>
        <v>rskautowerks@gmail.com</v>
      </c>
      <c r="G1690" s="3">
        <f>IFERROR(__xludf.DUMMYFUNCTION("""COMPUTED_VALUE"""),9.052072886E9)</f>
        <v>9052072886</v>
      </c>
      <c r="H1690" s="3"/>
    </row>
    <row r="1691">
      <c r="A1691" s="2">
        <f>IFERROR(__xludf.DUMMYFUNCTION("""COMPUTED_VALUE"""),21957.0)</f>
        <v>21957</v>
      </c>
      <c r="B1691" s="3" t="str">
        <f>IFERROR(__xludf.DUMMYFUNCTION("""COMPUTED_VALUE"""),"3111 HARWOOD RD")</f>
        <v>3111 HARWOOD RD</v>
      </c>
      <c r="C1691" s="3" t="str">
        <f>IFERROR(__xludf.DUMMYFUNCTION("""COMPUTED_VALUE"""),"BALTIMORE")</f>
        <v>BALTIMORE</v>
      </c>
      <c r="D1691" s="3" t="str">
        <f>IFERROR(__xludf.DUMMYFUNCTION("""COMPUTED_VALUE"""),"K0K 1C0")</f>
        <v>K0K 1C0</v>
      </c>
      <c r="E1691" s="3" t="str">
        <f>IFERROR(__xludf.DUMMYFUNCTION("""COMPUTED_VALUE"""),"fay kehoe ")</f>
        <v>fay kehoe </v>
      </c>
      <c r="F1691" s="3" t="str">
        <f>IFERROR(__xludf.DUMMYFUNCTION("""COMPUTED_VALUE"""),"kehoef@live.ca")</f>
        <v>kehoef@live.ca</v>
      </c>
      <c r="G1691" s="3">
        <f>IFERROR(__xludf.DUMMYFUNCTION("""COMPUTED_VALUE"""),9.053754031E9)</f>
        <v>9053754031</v>
      </c>
      <c r="H1691" s="3"/>
    </row>
    <row r="1692">
      <c r="A1692" s="2">
        <f>IFERROR(__xludf.DUMMYFUNCTION("""COMPUTED_VALUE"""),21993.0)</f>
        <v>21993</v>
      </c>
      <c r="B1692" s="3" t="str">
        <f>IFERROR(__xludf.DUMMYFUNCTION("""COMPUTED_VALUE"""),"3266 HARWOOD RD")</f>
        <v>3266 HARWOOD RD</v>
      </c>
      <c r="C1692" s="3" t="str">
        <f>IFERROR(__xludf.DUMMYFUNCTION("""COMPUTED_VALUE"""),"BALTIMORE")</f>
        <v>BALTIMORE</v>
      </c>
      <c r="D1692" s="3" t="str">
        <f>IFERROR(__xludf.DUMMYFUNCTION("""COMPUTED_VALUE"""),"K0K 1C0")</f>
        <v>K0K 1C0</v>
      </c>
      <c r="E1692" s="3"/>
      <c r="F1692" s="3"/>
      <c r="G1692" s="3"/>
      <c r="H1692" s="3"/>
    </row>
    <row r="1693">
      <c r="A1693" s="2">
        <f>IFERROR(__xludf.DUMMYFUNCTION("""COMPUTED_VALUE"""),21958.0)</f>
        <v>21958</v>
      </c>
      <c r="B1693" s="3" t="str">
        <f>IFERROR(__xludf.DUMMYFUNCTION("""COMPUTED_VALUE"""),"3117 HARWOOD RD")</f>
        <v>3117 HARWOOD RD</v>
      </c>
      <c r="C1693" s="3" t="str">
        <f>IFERROR(__xludf.DUMMYFUNCTION("""COMPUTED_VALUE"""),"BALTIMORE")</f>
        <v>BALTIMORE</v>
      </c>
      <c r="D1693" s="3" t="str">
        <f>IFERROR(__xludf.DUMMYFUNCTION("""COMPUTED_VALUE"""),"K0K 1C0")</f>
        <v>K0K 1C0</v>
      </c>
      <c r="E1693" s="3" t="str">
        <f>IFERROR(__xludf.DUMMYFUNCTION("""COMPUTED_VALUE"""),"jody nelson ")</f>
        <v>jody nelson </v>
      </c>
      <c r="F1693" s="3" t="str">
        <f>IFERROR(__xludf.DUMMYFUNCTION("""COMPUTED_VALUE"""),"nelsonj3cn@gmail.com")</f>
        <v>nelsonj3cn@gmail.com</v>
      </c>
      <c r="G1693" s="3">
        <f>IFERROR(__xludf.DUMMYFUNCTION("""COMPUTED_VALUE"""),9.053968083E9)</f>
        <v>9053968083</v>
      </c>
      <c r="H1693" s="3"/>
    </row>
    <row r="1694">
      <c r="A1694" s="2">
        <f>IFERROR(__xludf.DUMMYFUNCTION("""COMPUTED_VALUE"""),21302.0)</f>
        <v>21302</v>
      </c>
      <c r="B1694" s="3" t="str">
        <f>IFERROR(__xludf.DUMMYFUNCTION("""COMPUTED_VALUE"""),"8358 DALE RD")</f>
        <v>8358 DALE RD</v>
      </c>
      <c r="C1694" s="3" t="str">
        <f>IFERROR(__xludf.DUMMYFUNCTION("""COMPUTED_VALUE"""),"COBOURG")</f>
        <v>COBOURG</v>
      </c>
      <c r="D1694" s="3" t="str">
        <f>IFERROR(__xludf.DUMMYFUNCTION("""COMPUTED_VALUE"""),"K9A 0L8")</f>
        <v>K9A 0L8</v>
      </c>
      <c r="E1694" s="3"/>
      <c r="F1694" s="3"/>
      <c r="G1694" s="3"/>
      <c r="H1694" s="3"/>
    </row>
    <row r="1695">
      <c r="A1695" s="2">
        <f>IFERROR(__xludf.DUMMYFUNCTION("""COMPUTED_VALUE"""),21303.0)</f>
        <v>21303</v>
      </c>
      <c r="B1695" s="3" t="str">
        <f>IFERROR(__xludf.DUMMYFUNCTION("""COMPUTED_VALUE"""),"8370 DALE RD")</f>
        <v>8370 DALE RD</v>
      </c>
      <c r="C1695" s="3" t="str">
        <f>IFERROR(__xludf.DUMMYFUNCTION("""COMPUTED_VALUE"""),"COBOURG")</f>
        <v>COBOURG</v>
      </c>
      <c r="D1695" s="3" t="str">
        <f>IFERROR(__xludf.DUMMYFUNCTION("""COMPUTED_VALUE"""),"K9A 0L8")</f>
        <v>K9A 0L8</v>
      </c>
      <c r="E1695" s="3"/>
      <c r="F1695" s="3"/>
      <c r="G1695" s="3"/>
      <c r="H1695" s="3"/>
    </row>
    <row r="1696">
      <c r="A1696" s="2">
        <f>IFERROR(__xludf.DUMMYFUNCTION("""COMPUTED_VALUE"""),21304.0)</f>
        <v>21304</v>
      </c>
      <c r="B1696" s="3" t="str">
        <f>IFERROR(__xludf.DUMMYFUNCTION("""COMPUTED_VALUE"""),"8380 DALE RD")</f>
        <v>8380 DALE RD</v>
      </c>
      <c r="C1696" s="3" t="str">
        <f>IFERROR(__xludf.DUMMYFUNCTION("""COMPUTED_VALUE"""),"COBOURG")</f>
        <v>COBOURG</v>
      </c>
      <c r="D1696" s="3" t="str">
        <f>IFERROR(__xludf.DUMMYFUNCTION("""COMPUTED_VALUE"""),"K9A 0L8")</f>
        <v>K9A 0L8</v>
      </c>
      <c r="E1696" s="3"/>
      <c r="F1696" s="3"/>
      <c r="G1696" s="3"/>
      <c r="H1696" s="3"/>
    </row>
    <row r="1697">
      <c r="A1697" s="2">
        <f>IFERROR(__xludf.DUMMYFUNCTION("""COMPUTED_VALUE"""),21305.0)</f>
        <v>21305</v>
      </c>
      <c r="B1697" s="3" t="str">
        <f>IFERROR(__xludf.DUMMYFUNCTION("""COMPUTED_VALUE"""),"8390 DALE RD")</f>
        <v>8390 DALE RD</v>
      </c>
      <c r="C1697" s="3" t="str">
        <f>IFERROR(__xludf.DUMMYFUNCTION("""COMPUTED_VALUE"""),"COBOURG")</f>
        <v>COBOURG</v>
      </c>
      <c r="D1697" s="3" t="str">
        <f>IFERROR(__xludf.DUMMYFUNCTION("""COMPUTED_VALUE"""),"K9A 0L8")</f>
        <v>K9A 0L8</v>
      </c>
      <c r="E1697" s="3"/>
      <c r="F1697" s="3"/>
      <c r="G1697" s="3"/>
      <c r="H1697" s="3"/>
    </row>
    <row r="1698">
      <c r="A1698" s="2">
        <f>IFERROR(__xludf.DUMMYFUNCTION("""COMPUTED_VALUE"""),21306.0)</f>
        <v>21306</v>
      </c>
      <c r="B1698" s="3" t="str">
        <f>IFERROR(__xludf.DUMMYFUNCTION("""COMPUTED_VALUE"""),"8398 DALE RD")</f>
        <v>8398 DALE RD</v>
      </c>
      <c r="C1698" s="3" t="str">
        <f>IFERROR(__xludf.DUMMYFUNCTION("""COMPUTED_VALUE"""),"COBOURG")</f>
        <v>COBOURG</v>
      </c>
      <c r="D1698" s="3" t="str">
        <f>IFERROR(__xludf.DUMMYFUNCTION("""COMPUTED_VALUE"""),"K9A 0L8")</f>
        <v>K9A 0L8</v>
      </c>
      <c r="E1698" s="3"/>
      <c r="F1698" s="3"/>
      <c r="G1698" s="3"/>
      <c r="H1698" s="3"/>
    </row>
    <row r="1699">
      <c r="A1699" s="2">
        <f>IFERROR(__xludf.DUMMYFUNCTION("""COMPUTED_VALUE"""),21308.0)</f>
        <v>21308</v>
      </c>
      <c r="B1699" s="3" t="str">
        <f>IFERROR(__xludf.DUMMYFUNCTION("""COMPUTED_VALUE"""),"8404 DALE RD")</f>
        <v>8404 DALE RD</v>
      </c>
      <c r="C1699" s="3" t="str">
        <f>IFERROR(__xludf.DUMMYFUNCTION("""COMPUTED_VALUE"""),"COBOURG")</f>
        <v>COBOURG</v>
      </c>
      <c r="D1699" s="3" t="str">
        <f>IFERROR(__xludf.DUMMYFUNCTION("""COMPUTED_VALUE"""),"K9A 0L8")</f>
        <v>K9A 0L8</v>
      </c>
      <c r="E1699" s="3" t="str">
        <f>IFERROR(__xludf.DUMMYFUNCTION("""COMPUTED_VALUE"""),"Clark’s Dale rd Variety")</f>
        <v>Clark’s Dale rd Variety</v>
      </c>
      <c r="F1699" s="3" t="str">
        <f>IFERROR(__xludf.DUMMYFUNCTION("""COMPUTED_VALUE"""),"clarksvariety11@yahoo.ca")</f>
        <v>clarksvariety11@yahoo.ca</v>
      </c>
      <c r="G1699" s="3">
        <f>IFERROR(__xludf.DUMMYFUNCTION("""COMPUTED_VALUE"""),2.892521177E9)</f>
        <v>2892521177</v>
      </c>
      <c r="H1699" s="3">
        <f>IFERROR(__xludf.DUMMYFUNCTION("""COMPUTED_VALUE"""),9.053761214E9)</f>
        <v>9053761214</v>
      </c>
    </row>
    <row r="1700">
      <c r="A1700" s="2">
        <f>IFERROR(__xludf.DUMMYFUNCTION("""COMPUTED_VALUE"""),21995.0)</f>
        <v>21995</v>
      </c>
      <c r="B1700" s="3" t="str">
        <f>IFERROR(__xludf.DUMMYFUNCTION("""COMPUTED_VALUE"""),"3272 HARWOOD RD")</f>
        <v>3272 HARWOOD RD</v>
      </c>
      <c r="C1700" s="3" t="str">
        <f>IFERROR(__xludf.DUMMYFUNCTION("""COMPUTED_VALUE"""),"BALTIMORE")</f>
        <v>BALTIMORE</v>
      </c>
      <c r="D1700" s="3" t="str">
        <f>IFERROR(__xludf.DUMMYFUNCTION("""COMPUTED_VALUE"""),"K0K 1C0")</f>
        <v>K0K 1C0</v>
      </c>
      <c r="E1700" s="3" t="str">
        <f>IFERROR(__xludf.DUMMYFUNCTION("""COMPUTED_VALUE"""),"Maxim Ovchinnikov")</f>
        <v>Maxim Ovchinnikov</v>
      </c>
      <c r="F1700" s="3" t="str">
        <f>IFERROR(__xludf.DUMMYFUNCTION("""COMPUTED_VALUE"""),"maximovchin@gmail.com")</f>
        <v>maximovchin@gmail.com</v>
      </c>
      <c r="G1700" s="3">
        <f>IFERROR(__xludf.DUMMYFUNCTION("""COMPUTED_VALUE"""),6.478850407E9)</f>
        <v>6478850407</v>
      </c>
      <c r="H1700" s="3"/>
    </row>
    <row r="1701">
      <c r="A1701" s="2">
        <f>IFERROR(__xludf.DUMMYFUNCTION("""COMPUTED_VALUE"""),21996.0)</f>
        <v>21996</v>
      </c>
      <c r="B1701" s="3" t="str">
        <f>IFERROR(__xludf.DUMMYFUNCTION("""COMPUTED_VALUE"""),"3273 HARWOOD RD")</f>
        <v>3273 HARWOOD RD</v>
      </c>
      <c r="C1701" s="3" t="str">
        <f>IFERROR(__xludf.DUMMYFUNCTION("""COMPUTED_VALUE"""),"BALTIMORE")</f>
        <v>BALTIMORE</v>
      </c>
      <c r="D1701" s="3" t="str">
        <f>IFERROR(__xludf.DUMMYFUNCTION("""COMPUTED_VALUE"""),"K0K 1C0")</f>
        <v>K0K 1C0</v>
      </c>
      <c r="E1701" s="3" t="str">
        <f>IFERROR(__xludf.DUMMYFUNCTION("""COMPUTED_VALUE"""),"John Hinds / Paulene Hinds")</f>
        <v>John Hinds / Paulene Hinds</v>
      </c>
      <c r="F1701" s="3" t="str">
        <f>IFERROR(__xludf.DUMMYFUNCTION("""COMPUTED_VALUE"""),"jhinds745@gmail.com / paulenebaltimore@gmail.com")</f>
        <v>jhinds745@gmail.com / paulenebaltimore@gmail.com</v>
      </c>
      <c r="G1701" s="3">
        <f>IFERROR(__xludf.DUMMYFUNCTION("""COMPUTED_VALUE"""),9.059268206E9)</f>
        <v>9059268206</v>
      </c>
      <c r="H1701" s="3">
        <f>IFERROR(__xludf.DUMMYFUNCTION("""COMPUTED_VALUE"""),9.052422077E9)</f>
        <v>9052422077</v>
      </c>
    </row>
    <row r="1702">
      <c r="A1702" s="2">
        <f>IFERROR(__xludf.DUMMYFUNCTION("""COMPUTED_VALUE"""),21311.0)</f>
        <v>21311</v>
      </c>
      <c r="B1702" s="3" t="str">
        <f>IFERROR(__xludf.DUMMYFUNCTION("""COMPUTED_VALUE"""),"8427 DALE RD")</f>
        <v>8427 DALE RD</v>
      </c>
      <c r="C1702" s="3" t="str">
        <f>IFERROR(__xludf.DUMMYFUNCTION("""COMPUTED_VALUE"""),"COBOURG")</f>
        <v>COBOURG</v>
      </c>
      <c r="D1702" s="3" t="str">
        <f>IFERROR(__xludf.DUMMYFUNCTION("""COMPUTED_VALUE"""),"K9A 0T5")</f>
        <v>K9A 0T5</v>
      </c>
      <c r="E1702" s="3"/>
      <c r="F1702" s="3"/>
      <c r="G1702" s="3"/>
      <c r="H1702" s="3"/>
    </row>
    <row r="1703">
      <c r="A1703" s="2">
        <f>IFERROR(__xludf.DUMMYFUNCTION("""COMPUTED_VALUE"""),3276.0)</f>
        <v>3276</v>
      </c>
      <c r="B1703" s="3" t="str">
        <f>IFERROR(__xludf.DUMMYFUNCTION("""COMPUTED_VALUE"""),"3276 HARWOOD RD")</f>
        <v>3276 HARWOOD RD</v>
      </c>
      <c r="C1703" s="3" t="str">
        <f>IFERROR(__xludf.DUMMYFUNCTION("""COMPUTED_VALUE"""),"BALTIMORE")</f>
        <v>BALTIMORE</v>
      </c>
      <c r="D1703" s="3" t="str">
        <f>IFERROR(__xludf.DUMMYFUNCTION("""COMPUTED_VALUE"""),"K0K 1C0")</f>
        <v>K0K 1C0</v>
      </c>
      <c r="E1703" s="3" t="str">
        <f>IFERROR(__xludf.DUMMYFUNCTION("""COMPUTED_VALUE"""),"Trevor Windsor")</f>
        <v>Trevor Windsor</v>
      </c>
      <c r="F1703" s="3" t="str">
        <f>IFERROR(__xludf.DUMMYFUNCTION("""COMPUTED_VALUE"""),"baltimorians@gmail.com")</f>
        <v>baltimorians@gmail.com</v>
      </c>
      <c r="G1703" s="3"/>
      <c r="H1703" s="3"/>
    </row>
    <row r="1704">
      <c r="A1704" s="2">
        <f>IFERROR(__xludf.DUMMYFUNCTION("""COMPUTED_VALUE"""),21998.0)</f>
        <v>21998</v>
      </c>
      <c r="B1704" s="3" t="str">
        <f>IFERROR(__xludf.DUMMYFUNCTION("""COMPUTED_VALUE"""),"3280 HARWOOD RD")</f>
        <v>3280 HARWOOD RD</v>
      </c>
      <c r="C1704" s="3" t="str">
        <f>IFERROR(__xludf.DUMMYFUNCTION("""COMPUTED_VALUE"""),"BALTIMORE")</f>
        <v>BALTIMORE</v>
      </c>
      <c r="D1704" s="3" t="str">
        <f>IFERROR(__xludf.DUMMYFUNCTION("""COMPUTED_VALUE"""),"K0K 1C0")</f>
        <v>K0K 1C0</v>
      </c>
      <c r="E1704" s="3" t="str">
        <f>IFERROR(__xludf.DUMMYFUNCTION("""COMPUTED_VALUE"""),"Calvin Stone")</f>
        <v>Calvin Stone</v>
      </c>
      <c r="F1704" s="3" t="str">
        <f>IFERROR(__xludf.DUMMYFUNCTION("""COMPUTED_VALUE"""),"calcifystone@hotmail.com")</f>
        <v>calcifystone@hotmail.com</v>
      </c>
      <c r="G1704" s="3">
        <f>IFERROR(__xludf.DUMMYFUNCTION("""COMPUTED_VALUE"""),9.053730205E9)</f>
        <v>9053730205</v>
      </c>
      <c r="H1704" s="3"/>
    </row>
    <row r="1705">
      <c r="A1705" s="2">
        <f>IFERROR(__xludf.DUMMYFUNCTION("""COMPUTED_VALUE"""),21960.0)</f>
        <v>21960</v>
      </c>
      <c r="B1705" s="3" t="str">
        <f>IFERROR(__xludf.DUMMYFUNCTION("""COMPUTED_VALUE"""),"3125 HARWOOD RD")</f>
        <v>3125 HARWOOD RD</v>
      </c>
      <c r="C1705" s="3" t="str">
        <f>IFERROR(__xludf.DUMMYFUNCTION("""COMPUTED_VALUE"""),"BALTIMORE")</f>
        <v>BALTIMORE</v>
      </c>
      <c r="D1705" s="3" t="str">
        <f>IFERROR(__xludf.DUMMYFUNCTION("""COMPUTED_VALUE"""),"K0K 1C0")</f>
        <v>K0K 1C0</v>
      </c>
      <c r="E1705" s="3" t="str">
        <f>IFERROR(__xludf.DUMMYFUNCTION("""COMPUTED_VALUE"""),"scott henderson ")</f>
        <v>scott henderson </v>
      </c>
      <c r="F1705" s="3" t="str">
        <f>IFERROR(__xludf.DUMMYFUNCTION("""COMPUTED_VALUE"""),"s.fitter40@gmail.com")</f>
        <v>s.fitter40@gmail.com</v>
      </c>
      <c r="G1705" s="3">
        <f>IFERROR(__xludf.DUMMYFUNCTION("""COMPUTED_VALUE"""),9.059674335E9)</f>
        <v>9059674335</v>
      </c>
      <c r="H1705" s="3"/>
    </row>
    <row r="1706">
      <c r="A1706" s="2">
        <f>IFERROR(__xludf.DUMMYFUNCTION("""COMPUTED_VALUE"""),21966.0)</f>
        <v>21966</v>
      </c>
      <c r="B1706" s="3" t="str">
        <f>IFERROR(__xludf.DUMMYFUNCTION("""COMPUTED_VALUE"""),"3137 HARWOOD RD")</f>
        <v>3137 HARWOOD RD</v>
      </c>
      <c r="C1706" s="3" t="str">
        <f>IFERROR(__xludf.DUMMYFUNCTION("""COMPUTED_VALUE"""),"BALTIMORE")</f>
        <v>BALTIMORE</v>
      </c>
      <c r="D1706" s="3" t="str">
        <f>IFERROR(__xludf.DUMMYFUNCTION("""COMPUTED_VALUE"""),"K0K 1C0")</f>
        <v>K0K 1C0</v>
      </c>
      <c r="E1706" s="3" t="str">
        <f>IFERROR(__xludf.DUMMYFUNCTION("""COMPUTED_VALUE"""),"Chris Bartha")</f>
        <v>Chris Bartha</v>
      </c>
      <c r="F1706" s="3" t="str">
        <f>IFERROR(__xludf.DUMMYFUNCTION("""COMPUTED_VALUE"""),"chrislcoproduction@gmail.com")</f>
        <v>chrislcoproduction@gmail.com</v>
      </c>
      <c r="G1706" s="3"/>
      <c r="H1706" s="3"/>
    </row>
    <row r="1707">
      <c r="A1707" s="2">
        <f>IFERROR(__xludf.DUMMYFUNCTION("""COMPUTED_VALUE"""),21969.0)</f>
        <v>21969</v>
      </c>
      <c r="B1707" s="3" t="str">
        <f>IFERROR(__xludf.DUMMYFUNCTION("""COMPUTED_VALUE"""),"3145 HARWOOD RD")</f>
        <v>3145 HARWOOD RD</v>
      </c>
      <c r="C1707" s="3" t="str">
        <f>IFERROR(__xludf.DUMMYFUNCTION("""COMPUTED_VALUE"""),"BALTIMORE")</f>
        <v>BALTIMORE</v>
      </c>
      <c r="D1707" s="3" t="str">
        <f>IFERROR(__xludf.DUMMYFUNCTION("""COMPUTED_VALUE"""),"K0K 1C0")</f>
        <v>K0K 1C0</v>
      </c>
      <c r="E1707" s="3" t="str">
        <f>IFERROR(__xludf.DUMMYFUNCTION("""COMPUTED_VALUE"""),"scott and cheryl dobbie")</f>
        <v>scott and cheryl dobbie</v>
      </c>
      <c r="F1707" s="3" t="str">
        <f>IFERROR(__xludf.DUMMYFUNCTION("""COMPUTED_VALUE"""),"srdobbie@hotmail.com")</f>
        <v>srdobbie@hotmail.com</v>
      </c>
      <c r="G1707" s="3">
        <f>IFERROR(__xludf.DUMMYFUNCTION("""COMPUTED_VALUE"""),7.059574835E9)</f>
        <v>7059574835</v>
      </c>
      <c r="H1707" s="3">
        <f>IFERROR(__xludf.DUMMYFUNCTION("""COMPUTED_VALUE"""),9.053758071E9)</f>
        <v>9053758071</v>
      </c>
    </row>
    <row r="1708">
      <c r="A1708" s="2">
        <f>IFERROR(__xludf.DUMMYFUNCTION("""COMPUTED_VALUE"""),21999.0)</f>
        <v>21999</v>
      </c>
      <c r="B1708" s="3" t="str">
        <f>IFERROR(__xludf.DUMMYFUNCTION("""COMPUTED_VALUE"""),"3281 HARWOOD RD")</f>
        <v>3281 HARWOOD RD</v>
      </c>
      <c r="C1708" s="3" t="str">
        <f>IFERROR(__xludf.DUMMYFUNCTION("""COMPUTED_VALUE"""),"BALTIMORE")</f>
        <v>BALTIMORE</v>
      </c>
      <c r="D1708" s="3" t="str">
        <f>IFERROR(__xludf.DUMMYFUNCTION("""COMPUTED_VALUE"""),"K0K 1C0")</f>
        <v>K0K 1C0</v>
      </c>
      <c r="E1708" s="3"/>
      <c r="F1708" s="3"/>
      <c r="G1708" s="3"/>
      <c r="H1708" s="3"/>
    </row>
    <row r="1709">
      <c r="A1709" s="2">
        <f>IFERROR(__xludf.DUMMYFUNCTION("""COMPUTED_VALUE"""),21970.0)</f>
        <v>21970</v>
      </c>
      <c r="B1709" s="3" t="str">
        <f>IFERROR(__xludf.DUMMYFUNCTION("""COMPUTED_VALUE"""),"3165 HARWOOD RD")</f>
        <v>3165 HARWOOD RD</v>
      </c>
      <c r="C1709" s="3" t="str">
        <f>IFERROR(__xludf.DUMMYFUNCTION("""COMPUTED_VALUE"""),"BALTIMORE")</f>
        <v>BALTIMORE</v>
      </c>
      <c r="D1709" s="3" t="str">
        <f>IFERROR(__xludf.DUMMYFUNCTION("""COMPUTED_VALUE"""),"K0K 1C0")</f>
        <v>K0K 1C0</v>
      </c>
      <c r="E1709" s="3" t="str">
        <f>IFERROR(__xludf.DUMMYFUNCTION("""COMPUTED_VALUE"""),"Adam Creen")</f>
        <v>Adam Creen</v>
      </c>
      <c r="F1709" s="3" t="str">
        <f>IFERROR(__xludf.DUMMYFUNCTION("""COMPUTED_VALUE"""),"a_creen@hotmail.com")</f>
        <v>a_creen@hotmail.com</v>
      </c>
      <c r="G1709" s="3">
        <f>IFERROR(__xludf.DUMMYFUNCTION("""COMPUTED_VALUE"""),4.163616365E9)</f>
        <v>4163616365</v>
      </c>
      <c r="H1709" s="3"/>
    </row>
    <row r="1710">
      <c r="A1710" s="2">
        <f>IFERROR(__xludf.DUMMYFUNCTION("""COMPUTED_VALUE"""),21980.0)</f>
        <v>21980</v>
      </c>
      <c r="B1710" s="3" t="str">
        <f>IFERROR(__xludf.DUMMYFUNCTION("""COMPUTED_VALUE"""),"3209 HARWOOD RD")</f>
        <v>3209 HARWOOD RD</v>
      </c>
      <c r="C1710" s="3" t="str">
        <f>IFERROR(__xludf.DUMMYFUNCTION("""COMPUTED_VALUE"""),"BALTIMORE")</f>
        <v>BALTIMORE</v>
      </c>
      <c r="D1710" s="3" t="str">
        <f>IFERROR(__xludf.DUMMYFUNCTION("""COMPUTED_VALUE"""),"K0K 1C0")</f>
        <v>K0K 1C0</v>
      </c>
      <c r="E1710" s="3" t="str">
        <f>IFERROR(__xludf.DUMMYFUNCTION("""COMPUTED_VALUE"""),"Roderick Bovay")</f>
        <v>Roderick Bovay</v>
      </c>
      <c r="F1710" s="3" t="str">
        <f>IFERROR(__xludf.DUMMYFUNCTION("""COMPUTED_VALUE"""),"linjor@xplornet.ca")</f>
        <v>linjor@xplornet.ca</v>
      </c>
      <c r="G1710" s="3">
        <f>IFERROR(__xludf.DUMMYFUNCTION("""COMPUTED_VALUE"""),2.892517077E9)</f>
        <v>2892517077</v>
      </c>
      <c r="H1710" s="3">
        <f>IFERROR(__xludf.DUMMYFUNCTION("""COMPUTED_VALUE"""),9.053968112E9)</f>
        <v>9053968112</v>
      </c>
    </row>
    <row r="1711">
      <c r="A1711" s="2">
        <f>IFERROR(__xludf.DUMMYFUNCTION("""COMPUTED_VALUE"""),21982.0)</f>
        <v>21982</v>
      </c>
      <c r="B1711" s="3" t="str">
        <f>IFERROR(__xludf.DUMMYFUNCTION("""COMPUTED_VALUE"""),"3223 HARWOOD RD")</f>
        <v>3223 HARWOOD RD</v>
      </c>
      <c r="C1711" s="3" t="str">
        <f>IFERROR(__xludf.DUMMYFUNCTION("""COMPUTED_VALUE"""),"BALTIMORE")</f>
        <v>BALTIMORE</v>
      </c>
      <c r="D1711" s="3" t="str">
        <f>IFERROR(__xludf.DUMMYFUNCTION("""COMPUTED_VALUE"""),"K0K 1C0")</f>
        <v>K0K 1C0</v>
      </c>
      <c r="E1711" s="3" t="str">
        <f>IFERROR(__xludf.DUMMYFUNCTION("""COMPUTED_VALUE"""),"Dana-lyn Lepard")</f>
        <v>Dana-lyn Lepard</v>
      </c>
      <c r="F1711" s="3" t="str">
        <f>IFERROR(__xludf.DUMMYFUNCTION("""COMPUTED_VALUE"""),"danalepard@yahoo.com")</f>
        <v>danalepard@yahoo.com</v>
      </c>
      <c r="G1711" s="3">
        <f>IFERROR(__xludf.DUMMYFUNCTION("""COMPUTED_VALUE"""),9.05261789E9)</f>
        <v>9052617890</v>
      </c>
      <c r="H1711" s="3">
        <f>IFERROR(__xludf.DUMMYFUNCTION("""COMPUTED_VALUE"""),9.053916473E9)</f>
        <v>9053916473</v>
      </c>
    </row>
    <row r="1712">
      <c r="A1712" s="2">
        <f>IFERROR(__xludf.DUMMYFUNCTION("""COMPUTED_VALUE"""),23110.0)</f>
        <v>23110</v>
      </c>
      <c r="B1712" s="3" t="str">
        <f>IFERROR(__xludf.DUMMYFUNCTION("""COMPUTED_VALUE"""),"3325 PIONEER RD")</f>
        <v>3325 PIONEER RD</v>
      </c>
      <c r="C1712" s="3" t="str">
        <f>IFERROR(__xludf.DUMMYFUNCTION("""COMPUTED_VALUE"""),"BALTIMORE")</f>
        <v>BALTIMORE</v>
      </c>
      <c r="D1712" s="3" t="str">
        <f>IFERROR(__xludf.DUMMYFUNCTION("""COMPUTED_VALUE"""),"K0K 1C0")</f>
        <v>K0K 1C0</v>
      </c>
      <c r="E1712" s="3"/>
      <c r="F1712" s="3"/>
      <c r="G1712" s="3"/>
      <c r="H1712" s="3"/>
    </row>
    <row r="1713">
      <c r="A1713" s="2">
        <f>IFERROR(__xludf.DUMMYFUNCTION("""COMPUTED_VALUE"""),21322.0)</f>
        <v>21322</v>
      </c>
      <c r="B1713" s="3" t="str">
        <f>IFERROR(__xludf.DUMMYFUNCTION("""COMPUTED_VALUE"""),"8473 DALE RD")</f>
        <v>8473 DALE RD</v>
      </c>
      <c r="C1713" s="3" t="str">
        <f>IFERROR(__xludf.DUMMYFUNCTION("""COMPUTED_VALUE"""),"COBOURG")</f>
        <v>COBOURG</v>
      </c>
      <c r="D1713" s="3" t="str">
        <f>IFERROR(__xludf.DUMMYFUNCTION("""COMPUTED_VALUE"""),"K9A 0T5")</f>
        <v>K9A 0T5</v>
      </c>
      <c r="E1713" s="3"/>
      <c r="F1713" s="3"/>
      <c r="G1713" s="3"/>
      <c r="H1713" s="3"/>
    </row>
    <row r="1714">
      <c r="A1714" s="2">
        <f>IFERROR(__xludf.DUMMYFUNCTION("""COMPUTED_VALUE"""),21323.0)</f>
        <v>21323</v>
      </c>
      <c r="B1714" s="3" t="str">
        <f>IFERROR(__xludf.DUMMYFUNCTION("""COMPUTED_VALUE"""),"8478 DALE RD")</f>
        <v>8478 DALE RD</v>
      </c>
      <c r="C1714" s="3" t="str">
        <f>IFERROR(__xludf.DUMMYFUNCTION("""COMPUTED_VALUE"""),"COBOURG")</f>
        <v>COBOURG</v>
      </c>
      <c r="D1714" s="3" t="str">
        <f>IFERROR(__xludf.DUMMYFUNCTION("""COMPUTED_VALUE"""),"K9A 0T4")</f>
        <v>K9A 0T4</v>
      </c>
      <c r="E1714" s="3"/>
      <c r="F1714" s="3"/>
      <c r="G1714" s="3"/>
      <c r="H1714" s="3"/>
    </row>
    <row r="1715">
      <c r="A1715" s="2">
        <f>IFERROR(__xludf.DUMMYFUNCTION("""COMPUTED_VALUE"""),21324.0)</f>
        <v>21324</v>
      </c>
      <c r="B1715" s="3" t="str">
        <f>IFERROR(__xludf.DUMMYFUNCTION("""COMPUTED_VALUE"""),"8498 DALE RD")</f>
        <v>8498 DALE RD</v>
      </c>
      <c r="C1715" s="3" t="str">
        <f>IFERROR(__xludf.DUMMYFUNCTION("""COMPUTED_VALUE"""),"COBOURG")</f>
        <v>COBOURG</v>
      </c>
      <c r="D1715" s="3" t="str">
        <f>IFERROR(__xludf.DUMMYFUNCTION("""COMPUTED_VALUE"""),"K9A 0T4")</f>
        <v>K9A 0T4</v>
      </c>
      <c r="E1715" s="3"/>
      <c r="F1715" s="3"/>
      <c r="G1715" s="3"/>
      <c r="H1715" s="3"/>
    </row>
    <row r="1716">
      <c r="A1716" s="2">
        <f>IFERROR(__xludf.DUMMYFUNCTION("""COMPUTED_VALUE"""),22000.0)</f>
        <v>22000</v>
      </c>
      <c r="B1716" s="3" t="str">
        <f>IFERROR(__xludf.DUMMYFUNCTION("""COMPUTED_VALUE"""),"3286 HARWOOD RD")</f>
        <v>3286 HARWOOD RD</v>
      </c>
      <c r="C1716" s="3" t="str">
        <f>IFERROR(__xludf.DUMMYFUNCTION("""COMPUTED_VALUE"""),"BALTIMORE")</f>
        <v>BALTIMORE</v>
      </c>
      <c r="D1716" s="3" t="str">
        <f>IFERROR(__xludf.DUMMYFUNCTION("""COMPUTED_VALUE"""),"K0K 1C0")</f>
        <v>K0K 1C0</v>
      </c>
      <c r="E1716" s="3" t="str">
        <f>IFERROR(__xludf.DUMMYFUNCTION("""COMPUTED_VALUE"""),"jody and bill carr ")</f>
        <v>jody and bill carr </v>
      </c>
      <c r="F1716" s="3" t="str">
        <f>IFERROR(__xludf.DUMMYFUNCTION("""COMPUTED_VALUE"""),"jodycarr3286@yahoo.com")</f>
        <v>jodycarr3286@yahoo.com</v>
      </c>
      <c r="G1716" s="3">
        <f>IFERROR(__xludf.DUMMYFUNCTION("""COMPUTED_VALUE"""),9.052690571E9)</f>
        <v>9052690571</v>
      </c>
      <c r="H1716" s="3"/>
    </row>
    <row r="1717">
      <c r="A1717" s="2">
        <f>IFERROR(__xludf.DUMMYFUNCTION("""COMPUTED_VALUE"""),21326.0)</f>
        <v>21326</v>
      </c>
      <c r="B1717" s="3" t="str">
        <f>IFERROR(__xludf.DUMMYFUNCTION("""COMPUTED_VALUE"""),"8508 DALE RD")</f>
        <v>8508 DALE RD</v>
      </c>
      <c r="C1717" s="3" t="str">
        <f>IFERROR(__xludf.DUMMYFUNCTION("""COMPUTED_VALUE"""),"COBOURG")</f>
        <v>COBOURG</v>
      </c>
      <c r="D1717" s="3" t="str">
        <f>IFERROR(__xludf.DUMMYFUNCTION("""COMPUTED_VALUE"""),"K9A 0T4")</f>
        <v>K9A 0T4</v>
      </c>
      <c r="E1717" s="3" t="str">
        <f>IFERROR(__xludf.DUMMYFUNCTION("""COMPUTED_VALUE"""),"Nancy Massie")</f>
        <v>Nancy Massie</v>
      </c>
      <c r="F1717" s="3" t="str">
        <f>IFERROR(__xludf.DUMMYFUNCTION("""COMPUTED_VALUE"""),"ncsnan@gmail.com")</f>
        <v>ncsnan@gmail.com</v>
      </c>
      <c r="G1717" s="3"/>
      <c r="H1717" s="3"/>
    </row>
    <row r="1718">
      <c r="A1718" s="2">
        <f>IFERROR(__xludf.DUMMYFUNCTION("""COMPUTED_VALUE"""),22001.0)</f>
        <v>22001</v>
      </c>
      <c r="B1718" s="3" t="str">
        <f>IFERROR(__xludf.DUMMYFUNCTION("""COMPUTED_VALUE"""),"3287 HARWOOD RD")</f>
        <v>3287 HARWOOD RD</v>
      </c>
      <c r="C1718" s="3" t="str">
        <f>IFERROR(__xludf.DUMMYFUNCTION("""COMPUTED_VALUE"""),"BALTIMORE")</f>
        <v>BALTIMORE</v>
      </c>
      <c r="D1718" s="3" t="str">
        <f>IFERROR(__xludf.DUMMYFUNCTION("""COMPUTED_VALUE"""),"K0K 1C0")</f>
        <v>K0K 1C0</v>
      </c>
      <c r="E1718" s="3"/>
      <c r="F1718" s="3"/>
      <c r="G1718" s="3"/>
      <c r="H1718" s="3"/>
    </row>
    <row r="1719">
      <c r="A1719" s="2">
        <f>IFERROR(__xludf.DUMMYFUNCTION("""COMPUTED_VALUE"""),21328.0)</f>
        <v>21328</v>
      </c>
      <c r="B1719" s="3" t="str">
        <f>IFERROR(__xludf.DUMMYFUNCTION("""COMPUTED_VALUE"""),"8524 DALE RD")</f>
        <v>8524 DALE RD</v>
      </c>
      <c r="C1719" s="3" t="str">
        <f>IFERROR(__xludf.DUMMYFUNCTION("""COMPUTED_VALUE"""),"COBOURG")</f>
        <v>COBOURG</v>
      </c>
      <c r="D1719" s="3" t="str">
        <f>IFERROR(__xludf.DUMMYFUNCTION("""COMPUTED_VALUE"""),"K9A 0T4")</f>
        <v>K9A 0T4</v>
      </c>
      <c r="E1719" s="3"/>
      <c r="F1719" s="3"/>
      <c r="G1719" s="3"/>
      <c r="H1719" s="3"/>
    </row>
    <row r="1720">
      <c r="A1720" s="2">
        <f>IFERROR(__xludf.DUMMYFUNCTION("""COMPUTED_VALUE"""),21329.0)</f>
        <v>21329</v>
      </c>
      <c r="B1720" s="3" t="str">
        <f>IFERROR(__xludf.DUMMYFUNCTION("""COMPUTED_VALUE"""),"8528 DALE RD")</f>
        <v>8528 DALE RD</v>
      </c>
      <c r="C1720" s="3" t="str">
        <f>IFERROR(__xludf.DUMMYFUNCTION("""COMPUTED_VALUE"""),"COBOURG")</f>
        <v>COBOURG</v>
      </c>
      <c r="D1720" s="3" t="str">
        <f>IFERROR(__xludf.DUMMYFUNCTION("""COMPUTED_VALUE"""),"K9A 0T4")</f>
        <v>K9A 0T4</v>
      </c>
      <c r="E1720" s="3"/>
      <c r="F1720" s="3"/>
      <c r="G1720" s="3"/>
      <c r="H1720" s="3"/>
    </row>
    <row r="1721">
      <c r="A1721" s="2">
        <f>IFERROR(__xludf.DUMMYFUNCTION("""COMPUTED_VALUE"""),21330.0)</f>
        <v>21330</v>
      </c>
      <c r="B1721" s="3" t="str">
        <f>IFERROR(__xludf.DUMMYFUNCTION("""COMPUTED_VALUE"""),"8534 DALE RD")</f>
        <v>8534 DALE RD</v>
      </c>
      <c r="C1721" s="3" t="str">
        <f>IFERROR(__xludf.DUMMYFUNCTION("""COMPUTED_VALUE"""),"COBOURG")</f>
        <v>COBOURG</v>
      </c>
      <c r="D1721" s="3" t="str">
        <f>IFERROR(__xludf.DUMMYFUNCTION("""COMPUTED_VALUE"""),"K9A 0T4")</f>
        <v>K9A 0T4</v>
      </c>
      <c r="E1721" s="3"/>
      <c r="F1721" s="3"/>
      <c r="G1721" s="3"/>
      <c r="H1721" s="3"/>
    </row>
    <row r="1722">
      <c r="A1722" s="2">
        <f>IFERROR(__xludf.DUMMYFUNCTION("""COMPUTED_VALUE"""),23147.0)</f>
        <v>23147</v>
      </c>
      <c r="B1722" s="3" t="str">
        <f>IFERROR(__xludf.DUMMYFUNCTION("""COMPUTED_VALUE"""),"9141 RACETRACK RD")</f>
        <v>9141 RACETRACK RD</v>
      </c>
      <c r="C1722" s="3" t="str">
        <f>IFERROR(__xludf.DUMMYFUNCTION("""COMPUTED_VALUE"""),"COBOURG")</f>
        <v>COBOURG</v>
      </c>
      <c r="D1722" s="3" t="str">
        <f>IFERROR(__xludf.DUMMYFUNCTION("""COMPUTED_VALUE"""),"K9A 4J9")</f>
        <v>K9A 4J9</v>
      </c>
      <c r="E1722" s="3" t="str">
        <f>IFERROR(__xludf.DUMMYFUNCTION("""COMPUTED_VALUE"""),"Elizabeth Peters-Mitchell")</f>
        <v>Elizabeth Peters-Mitchell</v>
      </c>
      <c r="F1722" s="3" t="str">
        <f>IFERROR(__xludf.DUMMYFUNCTION("""COMPUTED_VALUE"""),"lzbthpetersmitchell@gmail.com")</f>
        <v>lzbthpetersmitchell@gmail.com</v>
      </c>
      <c r="G1722" s="3"/>
      <c r="H1722" s="3"/>
    </row>
    <row r="1723">
      <c r="A1723" s="2">
        <f>IFERROR(__xludf.DUMMYFUNCTION("""COMPUTED_VALUE"""),22002.0)</f>
        <v>22002</v>
      </c>
      <c r="B1723" s="3" t="str">
        <f>IFERROR(__xludf.DUMMYFUNCTION("""COMPUTED_VALUE"""),"3290 HARWOOD RD")</f>
        <v>3290 HARWOOD RD</v>
      </c>
      <c r="C1723" s="3" t="str">
        <f>IFERROR(__xludf.DUMMYFUNCTION("""COMPUTED_VALUE"""),"BALTIMORE")</f>
        <v>BALTIMORE</v>
      </c>
      <c r="D1723" s="3" t="str">
        <f>IFERROR(__xludf.DUMMYFUNCTION("""COMPUTED_VALUE"""),"K0K 1C0")</f>
        <v>K0K 1C0</v>
      </c>
      <c r="E1723" s="3" t="str">
        <f>IFERROR(__xludf.DUMMYFUNCTION("""COMPUTED_VALUE"""),"lindsay a ")</f>
        <v>lindsay a </v>
      </c>
      <c r="F1723" s="3"/>
      <c r="G1723" s="3">
        <f>IFERROR(__xludf.DUMMYFUNCTION("""COMPUTED_VALUE"""),9.052591761E9)</f>
        <v>9052591761</v>
      </c>
      <c r="H1723" s="3"/>
    </row>
    <row r="1724">
      <c r="A1724" s="2">
        <f>IFERROR(__xludf.DUMMYFUNCTION("""COMPUTED_VALUE"""),21333.0)</f>
        <v>21333</v>
      </c>
      <c r="B1724" s="3" t="str">
        <f>IFERROR(__xludf.DUMMYFUNCTION("""COMPUTED_VALUE"""),"8550 DALE RD")</f>
        <v>8550 DALE RD</v>
      </c>
      <c r="C1724" s="3" t="str">
        <f>IFERROR(__xludf.DUMMYFUNCTION("""COMPUTED_VALUE"""),"COBOURG")</f>
        <v>COBOURG</v>
      </c>
      <c r="D1724" s="3" t="str">
        <f>IFERROR(__xludf.DUMMYFUNCTION("""COMPUTED_VALUE"""),"K9A 0T4")</f>
        <v>K9A 0T4</v>
      </c>
      <c r="E1724" s="3" t="str">
        <f>IFERROR(__xludf.DUMMYFUNCTION("""COMPUTED_VALUE"""),"ALLAN REID")</f>
        <v>ALLAN REID</v>
      </c>
      <c r="F1724" s="3" t="str">
        <f>IFERROR(__xludf.DUMMYFUNCTION("""COMPUTED_VALUE"""),"drfs10@xplornet.com")</f>
        <v>drfs10@xplornet.com</v>
      </c>
      <c r="G1724" s="3"/>
      <c r="H1724" s="3"/>
    </row>
    <row r="1725">
      <c r="A1725" s="2">
        <f>IFERROR(__xludf.DUMMYFUNCTION("""COMPUTED_VALUE"""),22003.0)</f>
        <v>22003</v>
      </c>
      <c r="B1725" s="3" t="str">
        <f>IFERROR(__xludf.DUMMYFUNCTION("""COMPUTED_VALUE"""),"3294 HARWOOD RD")</f>
        <v>3294 HARWOOD RD</v>
      </c>
      <c r="C1725" s="3" t="str">
        <f>IFERROR(__xludf.DUMMYFUNCTION("""COMPUTED_VALUE"""),"BALTIMORE")</f>
        <v>BALTIMORE</v>
      </c>
      <c r="D1725" s="3" t="str">
        <f>IFERROR(__xludf.DUMMYFUNCTION("""COMPUTED_VALUE"""),"K0K 1C0")</f>
        <v>K0K 1C0</v>
      </c>
      <c r="E1725" s="3" t="str">
        <f>IFERROR(__xludf.DUMMYFUNCTION("""COMPUTED_VALUE"""),"mark lemke ")</f>
        <v>mark lemke </v>
      </c>
      <c r="F1725" s="3" t="str">
        <f>IFERROR(__xludf.DUMMYFUNCTION("""COMPUTED_VALUE"""),"markglemke@gmail.com")</f>
        <v>markglemke@gmail.com</v>
      </c>
      <c r="G1725" s="3">
        <f>IFERROR(__xludf.DUMMYFUNCTION("""COMPUTED_VALUE"""),9.05375557E9)</f>
        <v>9053755570</v>
      </c>
      <c r="H1725" s="3"/>
    </row>
    <row r="1726">
      <c r="A1726" s="2">
        <f>IFERROR(__xludf.DUMMYFUNCTION("""COMPUTED_VALUE"""),22004.0)</f>
        <v>22004</v>
      </c>
      <c r="B1726" s="3" t="str">
        <f>IFERROR(__xludf.DUMMYFUNCTION("""COMPUTED_VALUE"""),"3295 HARWOOD RD")</f>
        <v>3295 HARWOOD RD</v>
      </c>
      <c r="C1726" s="3" t="str">
        <f>IFERROR(__xludf.DUMMYFUNCTION("""COMPUTED_VALUE"""),"BALTIMORE")</f>
        <v>BALTIMORE</v>
      </c>
      <c r="D1726" s="3" t="str">
        <f>IFERROR(__xludf.DUMMYFUNCTION("""COMPUTED_VALUE"""),"K0K 1C0")</f>
        <v>K0K 1C0</v>
      </c>
      <c r="E1726" s="3" t="str">
        <f>IFERROR(__xludf.DUMMYFUNCTION("""COMPUTED_VALUE"""),"BRIGITTE EGGLETON")</f>
        <v>BRIGITTE EGGLETON</v>
      </c>
      <c r="F1726" s="3" t="str">
        <f>IFERROR(__xludf.DUMMYFUNCTION("""COMPUTED_VALUE"""),"blazer76@live.ca")</f>
        <v>blazer76@live.ca</v>
      </c>
      <c r="G1726" s="3"/>
      <c r="H1726" s="3"/>
    </row>
    <row r="1727">
      <c r="A1727" s="2">
        <f>IFERROR(__xludf.DUMMYFUNCTION("""COMPUTED_VALUE"""),21241.0)</f>
        <v>21241</v>
      </c>
      <c r="B1727" s="3" t="str">
        <f>IFERROR(__xludf.DUMMYFUNCTION("""COMPUTED_VALUE"""),"7086 DALE RD")</f>
        <v>7086 DALE RD</v>
      </c>
      <c r="C1727" s="3" t="str">
        <f>IFERROR(__xludf.DUMMYFUNCTION("""COMPUTED_VALUE"""),"PORT HOPE")</f>
        <v>PORT HOPE</v>
      </c>
      <c r="D1727" s="3" t="str">
        <f>IFERROR(__xludf.DUMMYFUNCTION("""COMPUTED_VALUE"""),"L1A 3V6")</f>
        <v>L1A 3V6</v>
      </c>
      <c r="E1727" s="3" t="str">
        <f>IFERROR(__xludf.DUMMYFUNCTION("""COMPUTED_VALUE"""),"Rick Veenhot")</f>
        <v>Rick Veenhot</v>
      </c>
      <c r="F1727" s="3"/>
      <c r="G1727" s="3"/>
      <c r="H1727" s="3"/>
    </row>
    <row r="1728">
      <c r="A1728" s="2">
        <f>IFERROR(__xludf.DUMMYFUNCTION("""COMPUTED_VALUE"""),21242.0)</f>
        <v>21242</v>
      </c>
      <c r="B1728" s="3" t="str">
        <f>IFERROR(__xludf.DUMMYFUNCTION("""COMPUTED_VALUE"""),"7088 DALE RD")</f>
        <v>7088 DALE RD</v>
      </c>
      <c r="C1728" s="3" t="str">
        <f>IFERROR(__xludf.DUMMYFUNCTION("""COMPUTED_VALUE"""),"PORT HOPE")</f>
        <v>PORT HOPE</v>
      </c>
      <c r="D1728" s="3" t="str">
        <f>IFERROR(__xludf.DUMMYFUNCTION("""COMPUTED_VALUE"""),"L1A 3V6")</f>
        <v>L1A 3V6</v>
      </c>
      <c r="E1728" s="3" t="str">
        <f>IFERROR(__xludf.DUMMYFUNCTION("""COMPUTED_VALUE"""),"Rick Veenhot")</f>
        <v>Rick Veenhot</v>
      </c>
      <c r="F1728" s="3"/>
      <c r="G1728" s="3"/>
      <c r="H1728" s="3"/>
    </row>
    <row r="1729">
      <c r="A1729" s="2">
        <f>IFERROR(__xludf.DUMMYFUNCTION("""COMPUTED_VALUE"""),21246.0)</f>
        <v>21246</v>
      </c>
      <c r="B1729" s="3" t="str">
        <f>IFERROR(__xludf.DUMMYFUNCTION("""COMPUTED_VALUE"""),"7166 DALE RD")</f>
        <v>7166 DALE RD</v>
      </c>
      <c r="C1729" s="3" t="str">
        <f>IFERROR(__xludf.DUMMYFUNCTION("""COMPUTED_VALUE"""),"PORT HOPE")</f>
        <v>PORT HOPE</v>
      </c>
      <c r="D1729" s="3" t="str">
        <f>IFERROR(__xludf.DUMMYFUNCTION("""COMPUTED_VALUE"""),"L1A 3V6")</f>
        <v>L1A 3V6</v>
      </c>
      <c r="E1729" s="3" t="str">
        <f>IFERROR(__xludf.DUMMYFUNCTION("""COMPUTED_VALUE"""),"Sonia Ghrairi")</f>
        <v>Sonia Ghrairi</v>
      </c>
      <c r="F1729" s="3" t="str">
        <f>IFERROR(__xludf.DUMMYFUNCTION("""COMPUTED_VALUE"""),"steckleysonia@gmail.com")</f>
        <v>steckleysonia@gmail.com</v>
      </c>
      <c r="G1729" s="3"/>
      <c r="H1729" s="3"/>
    </row>
    <row r="1730">
      <c r="A1730" s="2">
        <f>IFERROR(__xludf.DUMMYFUNCTION("""COMPUTED_VALUE"""),21249.0)</f>
        <v>21249</v>
      </c>
      <c r="B1730" s="3" t="str">
        <f>IFERROR(__xludf.DUMMYFUNCTION("""COMPUTED_VALUE"""),"7251 DALE RD")</f>
        <v>7251 DALE RD</v>
      </c>
      <c r="C1730" s="3" t="str">
        <f>IFERROR(__xludf.DUMMYFUNCTION("""COMPUTED_VALUE"""),"PORT HOPE")</f>
        <v>PORT HOPE</v>
      </c>
      <c r="D1730" s="3" t="str">
        <f>IFERROR(__xludf.DUMMYFUNCTION("""COMPUTED_VALUE"""),"L1A 3V6")</f>
        <v>L1A 3V6</v>
      </c>
      <c r="E1730" s="3" t="str">
        <f>IFERROR(__xludf.DUMMYFUNCTION("""COMPUTED_VALUE"""),"Laurel A Crain")</f>
        <v>Laurel A Crain</v>
      </c>
      <c r="F1730" s="3" t="str">
        <f>IFERROR(__xludf.DUMMYFUNCTION("""COMPUTED_VALUE"""),"laurel-crain@hotmail.com")</f>
        <v>laurel-crain@hotmail.com</v>
      </c>
      <c r="G1730" s="3"/>
      <c r="H1730" s="3"/>
    </row>
    <row r="1731">
      <c r="A1731" s="2">
        <f>IFERROR(__xludf.DUMMYFUNCTION("""COMPUTED_VALUE"""),21251.0)</f>
        <v>21251</v>
      </c>
      <c r="B1731" s="3" t="str">
        <f>IFERROR(__xludf.DUMMYFUNCTION("""COMPUTED_VALUE"""),"7263 DALE RD")</f>
        <v>7263 DALE RD</v>
      </c>
      <c r="C1731" s="3" t="str">
        <f>IFERROR(__xludf.DUMMYFUNCTION("""COMPUTED_VALUE"""),"COBOURG")</f>
        <v>COBOURG</v>
      </c>
      <c r="D1731" s="3" t="str">
        <f>IFERROR(__xludf.DUMMYFUNCTION("""COMPUTED_VALUE"""),"K9A 4J7")</f>
        <v>K9A 4J7</v>
      </c>
      <c r="E1731" s="3" t="str">
        <f>IFERROR(__xludf.DUMMYFUNCTION("""COMPUTED_VALUE"""),"Melissa Emerson")</f>
        <v>Melissa Emerson</v>
      </c>
      <c r="F1731" s="3" t="str">
        <f>IFERROR(__xludf.DUMMYFUNCTION("""COMPUTED_VALUE"""),"garymelissa1992@hotmail.com")</f>
        <v>garymelissa1992@hotmail.com</v>
      </c>
      <c r="G1731" s="3"/>
      <c r="H1731" s="3"/>
    </row>
    <row r="1732">
      <c r="A1732" s="2">
        <f>IFERROR(__xludf.DUMMYFUNCTION("""COMPUTED_VALUE"""),21341.0)</f>
        <v>21341</v>
      </c>
      <c r="B1732" s="3" t="str">
        <f>IFERROR(__xludf.DUMMYFUNCTION("""COMPUTED_VALUE"""),"8634 DALE RD")</f>
        <v>8634 DALE RD</v>
      </c>
      <c r="C1732" s="3" t="str">
        <f>IFERROR(__xludf.DUMMYFUNCTION("""COMPUTED_VALUE"""),"COBOURG")</f>
        <v>COBOURG</v>
      </c>
      <c r="D1732" s="3" t="str">
        <f>IFERROR(__xludf.DUMMYFUNCTION("""COMPUTED_VALUE"""),"K9A 0M4")</f>
        <v>K9A 0M4</v>
      </c>
      <c r="E1732" s="3" t="str">
        <f>IFERROR(__xludf.DUMMYFUNCTION("""COMPUTED_VALUE"""),"Anita Friedrich")</f>
        <v>Anita Friedrich</v>
      </c>
      <c r="F1732" s="3" t="str">
        <f>IFERROR(__xludf.DUMMYFUNCTION("""COMPUTED_VALUE"""),"anita@callderektoday.ca")</f>
        <v>anita@callderektoday.ca</v>
      </c>
      <c r="G1732" s="3">
        <f>IFERROR(__xludf.DUMMYFUNCTION("""COMPUTED_VALUE"""),9.052692565E9)</f>
        <v>9052692565</v>
      </c>
      <c r="H1732" s="3">
        <f>IFERROR(__xludf.DUMMYFUNCTION("""COMPUTED_VALUE"""),9.052694853E9)</f>
        <v>9052694853</v>
      </c>
    </row>
    <row r="1733">
      <c r="A1733" s="2">
        <f>IFERROR(__xludf.DUMMYFUNCTION("""COMPUTED_VALUE"""),21252.0)</f>
        <v>21252</v>
      </c>
      <c r="B1733" s="3" t="str">
        <f>IFERROR(__xludf.DUMMYFUNCTION("""COMPUTED_VALUE"""),"7295 DALE RD 1")</f>
        <v>7295 DALE RD 1</v>
      </c>
      <c r="C1733" s="3" t="str">
        <f>IFERROR(__xludf.DUMMYFUNCTION("""COMPUTED_VALUE"""),"COBOURG")</f>
        <v>COBOURG</v>
      </c>
      <c r="D1733" s="3" t="str">
        <f>IFERROR(__xludf.DUMMYFUNCTION("""COMPUTED_VALUE"""),"K9A 4J7")</f>
        <v>K9A 4J7</v>
      </c>
      <c r="E1733" s="3" t="str">
        <f>IFERROR(__xludf.DUMMYFUNCTION("""COMPUTED_VALUE"""),"Stephanie &amp; Tim Cook")</f>
        <v>Stephanie &amp; Tim Cook</v>
      </c>
      <c r="F1733" s="3" t="str">
        <f>IFERROR(__xludf.DUMMYFUNCTION("""COMPUTED_VALUE"""),"thecookfamily@hotmail.ca")</f>
        <v>thecookfamily@hotmail.ca</v>
      </c>
      <c r="G1733" s="3">
        <f>IFERROR(__xludf.DUMMYFUNCTION("""COMPUTED_VALUE"""),9.053733106E9)</f>
        <v>9053733106</v>
      </c>
      <c r="H1733" s="3"/>
    </row>
    <row r="1734">
      <c r="A1734" s="2">
        <f>IFERROR(__xludf.DUMMYFUNCTION("""COMPUTED_VALUE"""),24005.0)</f>
        <v>24005</v>
      </c>
      <c r="B1734" s="3" t="str">
        <f>IFERROR(__xludf.DUMMYFUNCTION("""COMPUTED_VALUE"""),"7295 DALE RD 2")</f>
        <v>7295 DALE RD 2</v>
      </c>
      <c r="C1734" s="3" t="str">
        <f>IFERROR(__xludf.DUMMYFUNCTION("""COMPUTED_VALUE"""),"COBOURG")</f>
        <v>COBOURG</v>
      </c>
      <c r="D1734" s="3" t="str">
        <f>IFERROR(__xludf.DUMMYFUNCTION("""COMPUTED_VALUE"""),"K9A 4J7")</f>
        <v>K9A 4J7</v>
      </c>
      <c r="E1734" s="3" t="str">
        <f>IFERROR(__xludf.DUMMYFUNCTION("""COMPUTED_VALUE"""),"Stephanie &amp; Tim Cook")</f>
        <v>Stephanie &amp; Tim Cook</v>
      </c>
      <c r="F1734" s="3" t="str">
        <f>IFERROR(__xludf.DUMMYFUNCTION("""COMPUTED_VALUE"""),"thecookfamily@hotmail.ca")</f>
        <v>thecookfamily@hotmail.ca</v>
      </c>
      <c r="G1734" s="3">
        <f>IFERROR(__xludf.DUMMYFUNCTION("""COMPUTED_VALUE"""),9.053733106E9)</f>
        <v>9053733106</v>
      </c>
      <c r="H1734" s="3"/>
    </row>
    <row r="1735">
      <c r="A1735" s="2">
        <f>IFERROR(__xludf.DUMMYFUNCTION("""COMPUTED_VALUE"""),21253.0)</f>
        <v>21253</v>
      </c>
      <c r="B1735" s="3" t="str">
        <f>IFERROR(__xludf.DUMMYFUNCTION("""COMPUTED_VALUE"""),"7296 DALE RD")</f>
        <v>7296 DALE RD</v>
      </c>
      <c r="C1735" s="3" t="str">
        <f>IFERROR(__xludf.DUMMYFUNCTION("""COMPUTED_VALUE"""),"COBOURG")</f>
        <v>COBOURG</v>
      </c>
      <c r="D1735" s="3" t="str">
        <f>IFERROR(__xludf.DUMMYFUNCTION("""COMPUTED_VALUE"""),"K9A 4J7")</f>
        <v>K9A 4J7</v>
      </c>
      <c r="E1735" s="3" t="str">
        <f>IFERROR(__xludf.DUMMYFUNCTION("""COMPUTED_VALUE"""),"Robert Kollaard")</f>
        <v>Robert Kollaard</v>
      </c>
      <c r="F1735" s="3" t="str">
        <f>IFERROR(__xludf.DUMMYFUNCTION("""COMPUTED_VALUE"""),"kollaard@gmail.com")</f>
        <v>kollaard@gmail.com</v>
      </c>
      <c r="G1735" s="3">
        <f>IFERROR(__xludf.DUMMYFUNCTION("""COMPUTED_VALUE"""),9.054043755E9)</f>
        <v>9054043755</v>
      </c>
      <c r="H1735" s="3"/>
    </row>
    <row r="1736">
      <c r="A1736" s="2">
        <f>IFERROR(__xludf.DUMMYFUNCTION("""COMPUTED_VALUE"""),21345.0)</f>
        <v>21345</v>
      </c>
      <c r="B1736" s="3" t="str">
        <f>IFERROR(__xludf.DUMMYFUNCTION("""COMPUTED_VALUE"""),"8680 DALE RD")</f>
        <v>8680 DALE RD</v>
      </c>
      <c r="C1736" s="3" t="str">
        <f>IFERROR(__xludf.DUMMYFUNCTION("""COMPUTED_VALUE"""),"COBOURG")</f>
        <v>COBOURG</v>
      </c>
      <c r="D1736" s="3" t="str">
        <f>IFERROR(__xludf.DUMMYFUNCTION("""COMPUTED_VALUE"""),"K9A 0M4")</f>
        <v>K9A 0M4</v>
      </c>
      <c r="E1736" s="3" t="str">
        <f>IFERROR(__xludf.DUMMYFUNCTION("""COMPUTED_VALUE"""),"Fred Mason")</f>
        <v>Fred Mason</v>
      </c>
      <c r="F1736" s="3" t="str">
        <f>IFERROR(__xludf.DUMMYFUNCTION("""COMPUTED_VALUE"""),"ttfnmason@yahoo.ca")</f>
        <v>ttfnmason@yahoo.ca</v>
      </c>
      <c r="G1736" s="3">
        <f>IFERROR(__xludf.DUMMYFUNCTION("""COMPUTED_VALUE"""),9.05261656E9)</f>
        <v>9052616560</v>
      </c>
      <c r="H1736" s="3">
        <f>IFERROR(__xludf.DUMMYFUNCTION("""COMPUTED_VALUE"""),9.059959605E9)</f>
        <v>9059959605</v>
      </c>
    </row>
    <row r="1737">
      <c r="A1737" s="2">
        <f>IFERROR(__xludf.DUMMYFUNCTION("""COMPUTED_VALUE"""),21346.0)</f>
        <v>21346</v>
      </c>
      <c r="B1737" s="3" t="str">
        <f>IFERROR(__xludf.DUMMYFUNCTION("""COMPUTED_VALUE"""),"8685 DALE RD")</f>
        <v>8685 DALE RD</v>
      </c>
      <c r="C1737" s="3" t="str">
        <f>IFERROR(__xludf.DUMMYFUNCTION("""COMPUTED_VALUE"""),"COBOURG")</f>
        <v>COBOURG</v>
      </c>
      <c r="D1737" s="3" t="str">
        <f>IFERROR(__xludf.DUMMYFUNCTION("""COMPUTED_VALUE"""),"K9A 0M5")</f>
        <v>K9A 0M5</v>
      </c>
      <c r="E1737" s="3"/>
      <c r="F1737" s="3"/>
      <c r="G1737" s="3"/>
      <c r="H1737" s="3"/>
    </row>
    <row r="1738">
      <c r="A1738" s="2">
        <f>IFERROR(__xludf.DUMMYFUNCTION("""COMPUTED_VALUE"""),21347.0)</f>
        <v>21347</v>
      </c>
      <c r="B1738" s="3" t="str">
        <f>IFERROR(__xludf.DUMMYFUNCTION("""COMPUTED_VALUE"""),"8686 DALE RD")</f>
        <v>8686 DALE RD</v>
      </c>
      <c r="C1738" s="3" t="str">
        <f>IFERROR(__xludf.DUMMYFUNCTION("""COMPUTED_VALUE"""),"COBOURG")</f>
        <v>COBOURG</v>
      </c>
      <c r="D1738" s="3" t="str">
        <f>IFERROR(__xludf.DUMMYFUNCTION("""COMPUTED_VALUE"""),"K9A 0M4")</f>
        <v>K9A 0M4</v>
      </c>
      <c r="E1738" s="3"/>
      <c r="F1738" s="3"/>
      <c r="G1738" s="3"/>
      <c r="H1738" s="3"/>
    </row>
    <row r="1739">
      <c r="A1739" s="2">
        <f>IFERROR(__xludf.DUMMYFUNCTION("""COMPUTED_VALUE"""),21348.0)</f>
        <v>21348</v>
      </c>
      <c r="B1739" s="3" t="str">
        <f>IFERROR(__xludf.DUMMYFUNCTION("""COMPUTED_VALUE"""),"8690 DALE RD")</f>
        <v>8690 DALE RD</v>
      </c>
      <c r="C1739" s="3" t="str">
        <f>IFERROR(__xludf.DUMMYFUNCTION("""COMPUTED_VALUE"""),"COBOURG")</f>
        <v>COBOURG</v>
      </c>
      <c r="D1739" s="3" t="str">
        <f>IFERROR(__xludf.DUMMYFUNCTION("""COMPUTED_VALUE"""),"K9A 0M4")</f>
        <v>K9A 0M4</v>
      </c>
      <c r="E1739" s="3"/>
      <c r="F1739" s="3"/>
      <c r="G1739" s="3"/>
      <c r="H1739" s="3"/>
    </row>
    <row r="1740">
      <c r="A1740" s="2">
        <f>IFERROR(__xludf.DUMMYFUNCTION("""COMPUTED_VALUE"""),21254.0)</f>
        <v>21254</v>
      </c>
      <c r="B1740" s="3" t="str">
        <f>IFERROR(__xludf.DUMMYFUNCTION("""COMPUTED_VALUE"""),"7343 DALE RD")</f>
        <v>7343 DALE RD</v>
      </c>
      <c r="C1740" s="3" t="str">
        <f>IFERROR(__xludf.DUMMYFUNCTION("""COMPUTED_VALUE"""),"COBOURG")</f>
        <v>COBOURG</v>
      </c>
      <c r="D1740" s="3" t="str">
        <f>IFERROR(__xludf.DUMMYFUNCTION("""COMPUTED_VALUE"""),"K9A 4J7")</f>
        <v>K9A 4J7</v>
      </c>
      <c r="E1740" s="3" t="str">
        <f>IFERROR(__xludf.DUMMYFUNCTION("""COMPUTED_VALUE"""),"Jana &amp; Peter Skora")</f>
        <v>Jana &amp; Peter Skora</v>
      </c>
      <c r="F1740" s="3" t="str">
        <f>IFERROR(__xludf.DUMMYFUNCTION("""COMPUTED_VALUE"""),"jannaskora@yahoo.com")</f>
        <v>jannaskora@yahoo.com</v>
      </c>
      <c r="G1740" s="3"/>
      <c r="H1740" s="3"/>
    </row>
    <row r="1741">
      <c r="A1741" s="2">
        <f>IFERROR(__xludf.DUMMYFUNCTION("""COMPUTED_VALUE"""),21255.0)</f>
        <v>21255</v>
      </c>
      <c r="B1741" s="3" t="str">
        <f>IFERROR(__xludf.DUMMYFUNCTION("""COMPUTED_VALUE"""),"7354 DALE RD")</f>
        <v>7354 DALE RD</v>
      </c>
      <c r="C1741" s="3" t="str">
        <f>IFERROR(__xludf.DUMMYFUNCTION("""COMPUTED_VALUE"""),"COBOURG")</f>
        <v>COBOURG</v>
      </c>
      <c r="D1741" s="3" t="str">
        <f>IFERROR(__xludf.DUMMYFUNCTION("""COMPUTED_VALUE"""),"K9A 4J7")</f>
        <v>K9A 4J7</v>
      </c>
      <c r="E1741" s="3" t="str">
        <f>IFERROR(__xludf.DUMMYFUNCTION("""COMPUTED_VALUE"""),"Nicole Maurer")</f>
        <v>Nicole Maurer</v>
      </c>
      <c r="F1741" s="3" t="str">
        <f>IFERROR(__xludf.DUMMYFUNCTION("""COMPUTED_VALUE"""),"N.etches7@gmail.com")</f>
        <v>N.etches7@gmail.com</v>
      </c>
      <c r="G1741" s="3">
        <f>IFERROR(__xludf.DUMMYFUNCTION("""COMPUTED_VALUE"""),6.478845159E9)</f>
        <v>6478845159</v>
      </c>
      <c r="H1741" s="3"/>
    </row>
    <row r="1742">
      <c r="A1742" s="2">
        <f>IFERROR(__xludf.DUMMYFUNCTION("""COMPUTED_VALUE"""),21257.0)</f>
        <v>21257</v>
      </c>
      <c r="B1742" s="3" t="str">
        <f>IFERROR(__xludf.DUMMYFUNCTION("""COMPUTED_VALUE"""),"7367 DALE RD")</f>
        <v>7367 DALE RD</v>
      </c>
      <c r="C1742" s="3" t="str">
        <f>IFERROR(__xludf.DUMMYFUNCTION("""COMPUTED_VALUE"""),"COBOURG")</f>
        <v>COBOURG</v>
      </c>
      <c r="D1742" s="3" t="str">
        <f>IFERROR(__xludf.DUMMYFUNCTION("""COMPUTED_VALUE"""),"K9A 4J7")</f>
        <v>K9A 4J7</v>
      </c>
      <c r="E1742" s="3" t="str">
        <f>IFERROR(__xludf.DUMMYFUNCTION("""COMPUTED_VALUE"""),"Eric Rockarts")</f>
        <v>Eric Rockarts</v>
      </c>
      <c r="F1742" s="3" t="str">
        <f>IFERROR(__xludf.DUMMYFUNCTION("""COMPUTED_VALUE"""),"erockarts50@gmail.com")</f>
        <v>erockarts50@gmail.com</v>
      </c>
      <c r="G1742" s="3"/>
      <c r="H1742" s="3"/>
    </row>
    <row r="1743">
      <c r="A1743" s="2">
        <f>IFERROR(__xludf.DUMMYFUNCTION("""COMPUTED_VALUE"""),21352.0)</f>
        <v>21352</v>
      </c>
      <c r="B1743" s="3" t="str">
        <f>IFERROR(__xludf.DUMMYFUNCTION("""COMPUTED_VALUE"""),"8699 DALE RD")</f>
        <v>8699 DALE RD</v>
      </c>
      <c r="C1743" s="3" t="str">
        <f>IFERROR(__xludf.DUMMYFUNCTION("""COMPUTED_VALUE"""),"COBOURG")</f>
        <v>COBOURG</v>
      </c>
      <c r="D1743" s="3" t="str">
        <f>IFERROR(__xludf.DUMMYFUNCTION("""COMPUTED_VALUE"""),"K9A 0M5")</f>
        <v>K9A 0M5</v>
      </c>
      <c r="E1743" s="3"/>
      <c r="F1743" s="3"/>
      <c r="G1743" s="3"/>
      <c r="H1743" s="3"/>
    </row>
    <row r="1744">
      <c r="A1744" s="2">
        <f>IFERROR(__xludf.DUMMYFUNCTION("""COMPUTED_VALUE"""),21264.0)</f>
        <v>21264</v>
      </c>
      <c r="B1744" s="3" t="str">
        <f>IFERROR(__xludf.DUMMYFUNCTION("""COMPUTED_VALUE"""),"7522 DALE RD")</f>
        <v>7522 DALE RD</v>
      </c>
      <c r="C1744" s="3" t="str">
        <f>IFERROR(__xludf.DUMMYFUNCTION("""COMPUTED_VALUE"""),"COBOURG")</f>
        <v>COBOURG</v>
      </c>
      <c r="D1744" s="3" t="str">
        <f>IFERROR(__xludf.DUMMYFUNCTION("""COMPUTED_VALUE"""),"K9A 4J7")</f>
        <v>K9A 4J7</v>
      </c>
      <c r="E1744" s="3" t="str">
        <f>IFERROR(__xludf.DUMMYFUNCTION("""COMPUTED_VALUE"""),"roger hardy")</f>
        <v>roger hardy</v>
      </c>
      <c r="F1744" s="3"/>
      <c r="G1744" s="3">
        <f>IFERROR(__xludf.DUMMYFUNCTION("""COMPUTED_VALUE"""),2.892511408E9)</f>
        <v>2892511408</v>
      </c>
      <c r="H1744" s="3"/>
    </row>
    <row r="1745">
      <c r="A1745" s="2">
        <f>IFERROR(__xludf.DUMMYFUNCTION("""COMPUTED_VALUE"""),21354.0)</f>
        <v>21354</v>
      </c>
      <c r="B1745" s="3" t="str">
        <f>IFERROR(__xludf.DUMMYFUNCTION("""COMPUTED_VALUE"""),"8706 DALE RD")</f>
        <v>8706 DALE RD</v>
      </c>
      <c r="C1745" s="3" t="str">
        <f>IFERROR(__xludf.DUMMYFUNCTION("""COMPUTED_VALUE"""),"COBOURG")</f>
        <v>COBOURG</v>
      </c>
      <c r="D1745" s="3" t="str">
        <f>IFERROR(__xludf.DUMMYFUNCTION("""COMPUTED_VALUE"""),"K9A 0M4")</f>
        <v>K9A 0M4</v>
      </c>
      <c r="E1745" s="3"/>
      <c r="F1745" s="3"/>
      <c r="G1745" s="3"/>
      <c r="H1745" s="3"/>
    </row>
    <row r="1746">
      <c r="A1746" s="2">
        <f>IFERROR(__xludf.DUMMYFUNCTION("""COMPUTED_VALUE"""),21266.0)</f>
        <v>21266</v>
      </c>
      <c r="B1746" s="3" t="str">
        <f>IFERROR(__xludf.DUMMYFUNCTION("""COMPUTED_VALUE"""),"7540 DALE RD")</f>
        <v>7540 DALE RD</v>
      </c>
      <c r="C1746" s="3" t="str">
        <f>IFERROR(__xludf.DUMMYFUNCTION("""COMPUTED_VALUE"""),"COBOURG")</f>
        <v>COBOURG</v>
      </c>
      <c r="D1746" s="3" t="str">
        <f>IFERROR(__xludf.DUMMYFUNCTION("""COMPUTED_VALUE"""),"K9A 4J7")</f>
        <v>K9A 4J7</v>
      </c>
      <c r="E1746" s="3" t="str">
        <f>IFERROR(__xludf.DUMMYFUNCTION("""COMPUTED_VALUE"""),"Craig Mathson")</f>
        <v>Craig Mathson</v>
      </c>
      <c r="F1746" s="3" t="str">
        <f>IFERROR(__xludf.DUMMYFUNCTION("""COMPUTED_VALUE"""),"mathson55@yahoo.ca")</f>
        <v>mathson55@yahoo.ca</v>
      </c>
      <c r="G1746" s="3"/>
      <c r="H1746" s="3"/>
    </row>
    <row r="1747">
      <c r="A1747" s="2">
        <f>IFERROR(__xludf.DUMMYFUNCTION("""COMPUTED_VALUE"""),21356.0)</f>
        <v>21356</v>
      </c>
      <c r="B1747" s="3" t="str">
        <f>IFERROR(__xludf.DUMMYFUNCTION("""COMPUTED_VALUE"""),"8725 DALE RD")</f>
        <v>8725 DALE RD</v>
      </c>
      <c r="C1747" s="3" t="str">
        <f>IFERROR(__xludf.DUMMYFUNCTION("""COMPUTED_VALUE"""),"COBOURG")</f>
        <v>COBOURG</v>
      </c>
      <c r="D1747" s="3" t="str">
        <f>IFERROR(__xludf.DUMMYFUNCTION("""COMPUTED_VALUE"""),"K9A 0M5")</f>
        <v>K9A 0M5</v>
      </c>
      <c r="E1747" s="3"/>
      <c r="F1747" s="3"/>
      <c r="G1747" s="3"/>
      <c r="H1747" s="3"/>
    </row>
    <row r="1748">
      <c r="A1748" s="2">
        <f>IFERROR(__xludf.DUMMYFUNCTION("""COMPUTED_VALUE"""),21268.0)</f>
        <v>21268</v>
      </c>
      <c r="B1748" s="3" t="str">
        <f>IFERROR(__xludf.DUMMYFUNCTION("""COMPUTED_VALUE"""),"7542 DALE RD")</f>
        <v>7542 DALE RD</v>
      </c>
      <c r="C1748" s="3" t="str">
        <f>IFERROR(__xludf.DUMMYFUNCTION("""COMPUTED_VALUE"""),"COBOURG")</f>
        <v>COBOURG</v>
      </c>
      <c r="D1748" s="3" t="str">
        <f>IFERROR(__xludf.DUMMYFUNCTION("""COMPUTED_VALUE"""),"K9A 4J7")</f>
        <v>K9A 4J7</v>
      </c>
      <c r="E1748" s="3" t="str">
        <f>IFERROR(__xludf.DUMMYFUNCTION("""COMPUTED_VALUE"""),"Kevaugn Manley")</f>
        <v>Kevaugn Manley</v>
      </c>
      <c r="F1748" s="3" t="str">
        <f>IFERROR(__xludf.DUMMYFUNCTION("""COMPUTED_VALUE"""),"kevaugnmanley@gmail.com")</f>
        <v>kevaugnmanley@gmail.com</v>
      </c>
      <c r="G1748" s="3"/>
      <c r="H1748" s="3"/>
    </row>
    <row r="1749">
      <c r="A1749" s="2">
        <f>IFERROR(__xludf.DUMMYFUNCTION("""COMPUTED_VALUE"""),21269.0)</f>
        <v>21269</v>
      </c>
      <c r="B1749" s="3" t="str">
        <f>IFERROR(__xludf.DUMMYFUNCTION("""COMPUTED_VALUE"""),"7543 DALE RD")</f>
        <v>7543 DALE RD</v>
      </c>
      <c r="C1749" s="3" t="str">
        <f>IFERROR(__xludf.DUMMYFUNCTION("""COMPUTED_VALUE"""),"COBOURG")</f>
        <v>COBOURG</v>
      </c>
      <c r="D1749" s="3" t="str">
        <f>IFERROR(__xludf.DUMMYFUNCTION("""COMPUTED_VALUE"""),"K9A 4J7")</f>
        <v>K9A 4J7</v>
      </c>
      <c r="E1749" s="3" t="str">
        <f>IFERROR(__xludf.DUMMYFUNCTION("""COMPUTED_VALUE"""),"Karen Varty")</f>
        <v>Karen Varty</v>
      </c>
      <c r="F1749" s="3" t="str">
        <f>IFERROR(__xludf.DUMMYFUNCTION("""COMPUTED_VALUE"""),"Vartykaren@gmail.com")</f>
        <v>Vartykaren@gmail.com</v>
      </c>
      <c r="G1749" s="3">
        <f>IFERROR(__xludf.DUMMYFUNCTION("""COMPUTED_VALUE"""),9.059265444E9)</f>
        <v>9059265444</v>
      </c>
      <c r="H1749" s="3"/>
    </row>
    <row r="1750">
      <c r="A1750" s="2">
        <f>IFERROR(__xludf.DUMMYFUNCTION("""COMPUTED_VALUE"""),21359.0)</f>
        <v>21359</v>
      </c>
      <c r="B1750" s="3" t="str">
        <f>IFERROR(__xludf.DUMMYFUNCTION("""COMPUTED_VALUE"""),"8741 DALE RD")</f>
        <v>8741 DALE RD</v>
      </c>
      <c r="C1750" s="3" t="str">
        <f>IFERROR(__xludf.DUMMYFUNCTION("""COMPUTED_VALUE"""),"COBOURG")</f>
        <v>COBOURG</v>
      </c>
      <c r="D1750" s="3" t="str">
        <f>IFERROR(__xludf.DUMMYFUNCTION("""COMPUTED_VALUE"""),"K9A 0M5")</f>
        <v>K9A 0M5</v>
      </c>
      <c r="E1750" s="3" t="str">
        <f>IFERROR(__xludf.DUMMYFUNCTION("""COMPUTED_VALUE"""),"Kathleen Darling")</f>
        <v>Kathleen Darling</v>
      </c>
      <c r="F1750" s="3" t="str">
        <f>IFERROR(__xludf.DUMMYFUNCTION("""COMPUTED_VALUE"""),"katpdarling@gmail.com")</f>
        <v>katpdarling@gmail.com</v>
      </c>
      <c r="G1750" s="3">
        <f>IFERROR(__xludf.DUMMYFUNCTION("""COMPUTED_VALUE"""),9.059269393E9)</f>
        <v>9059269393</v>
      </c>
      <c r="H1750" s="3"/>
    </row>
    <row r="1751">
      <c r="A1751" s="2">
        <f>IFERROR(__xludf.DUMMYFUNCTION("""COMPUTED_VALUE"""),21270.0)</f>
        <v>21270</v>
      </c>
      <c r="B1751" s="3" t="str">
        <f>IFERROR(__xludf.DUMMYFUNCTION("""COMPUTED_VALUE"""),"7555 DALE RD")</f>
        <v>7555 DALE RD</v>
      </c>
      <c r="C1751" s="3" t="str">
        <f>IFERROR(__xludf.DUMMYFUNCTION("""COMPUTED_VALUE"""),"COBOURG")</f>
        <v>COBOURG</v>
      </c>
      <c r="D1751" s="3" t="str">
        <f>IFERROR(__xludf.DUMMYFUNCTION("""COMPUTED_VALUE"""),"K9A 4J7")</f>
        <v>K9A 4J7</v>
      </c>
      <c r="E1751" s="3" t="str">
        <f>IFERROR(__xludf.DUMMYFUNCTION("""COMPUTED_VALUE"""),"edward farrell")</f>
        <v>edward farrell</v>
      </c>
      <c r="F1751" s="3" t="str">
        <f>IFERROR(__xludf.DUMMYFUNCTION("""COMPUTED_VALUE"""),"glendamaidens@gmail.com")</f>
        <v>glendamaidens@gmail.com</v>
      </c>
      <c r="G1751" s="3">
        <f>IFERROR(__xludf.DUMMYFUNCTION("""COMPUTED_VALUE"""),9.054313361E9)</f>
        <v>9054313361</v>
      </c>
      <c r="H1751" s="3">
        <f>IFERROR(__xludf.DUMMYFUNCTION("""COMPUTED_VALUE"""),9.053736532E9)</f>
        <v>9053736532</v>
      </c>
    </row>
    <row r="1752">
      <c r="A1752" s="2">
        <f>IFERROR(__xludf.DUMMYFUNCTION("""COMPUTED_VALUE"""),23111.0)</f>
        <v>23111</v>
      </c>
      <c r="B1752" s="3" t="str">
        <f>IFERROR(__xludf.DUMMYFUNCTION("""COMPUTED_VALUE"""),"3359 PIONEER RD")</f>
        <v>3359 PIONEER RD</v>
      </c>
      <c r="C1752" s="3" t="str">
        <f>IFERROR(__xludf.DUMMYFUNCTION("""COMPUTED_VALUE"""),"BALTIMORE")</f>
        <v>BALTIMORE</v>
      </c>
      <c r="D1752" s="3" t="str">
        <f>IFERROR(__xludf.DUMMYFUNCTION("""COMPUTED_VALUE"""),"K0K 1C0")</f>
        <v>K0K 1C0</v>
      </c>
      <c r="E1752" s="3"/>
      <c r="F1752" s="3"/>
      <c r="G1752" s="3"/>
      <c r="H1752" s="3"/>
    </row>
    <row r="1753">
      <c r="A1753" s="2">
        <f>IFERROR(__xludf.DUMMYFUNCTION("""COMPUTED_VALUE"""),23161.0)</f>
        <v>23161</v>
      </c>
      <c r="B1753" s="3" t="str">
        <f>IFERROR(__xludf.DUMMYFUNCTION("""COMPUTED_VALUE"""),"9343 RACETRACK RD")</f>
        <v>9343 RACETRACK RD</v>
      </c>
      <c r="C1753" s="3" t="str">
        <f>IFERROR(__xludf.DUMMYFUNCTION("""COMPUTED_VALUE"""),"BALTIMORE")</f>
        <v>BALTIMORE</v>
      </c>
      <c r="D1753" s="3" t="str">
        <f>IFERROR(__xludf.DUMMYFUNCTION("""COMPUTED_VALUE"""),"K0K 1C0")</f>
        <v>K0K 1C0</v>
      </c>
      <c r="E1753" s="3" t="str">
        <f>IFERROR(__xludf.DUMMYFUNCTION("""COMPUTED_VALUE"""),"Melchora Mulla")</f>
        <v>Melchora Mulla</v>
      </c>
      <c r="F1753" s="3" t="str">
        <f>IFERROR(__xludf.DUMMYFUNCTION("""COMPUTED_VALUE"""),"melchoralaurel@yahoo.ca")</f>
        <v>melchoralaurel@yahoo.ca</v>
      </c>
      <c r="G1753" s="3">
        <f>IFERROR(__xludf.DUMMYFUNCTION("""COMPUTED_VALUE"""),6.476291451E9)</f>
        <v>6476291451</v>
      </c>
      <c r="H1753" s="3">
        <f>IFERROR(__xludf.DUMMYFUNCTION("""COMPUTED_VALUE"""),6.474572958E9)</f>
        <v>6474572958</v>
      </c>
    </row>
    <row r="1754">
      <c r="A1754" s="2">
        <f>IFERROR(__xludf.DUMMYFUNCTION("""COMPUTED_VALUE"""),21992.0)</f>
        <v>21992</v>
      </c>
      <c r="B1754" s="3" t="str">
        <f>IFERROR(__xludf.DUMMYFUNCTION("""COMPUTED_VALUE"""),"3264 HARWOOD RD")</f>
        <v>3264 HARWOOD RD</v>
      </c>
      <c r="C1754" s="3" t="str">
        <f>IFERROR(__xludf.DUMMYFUNCTION("""COMPUTED_VALUE"""),"BALTIMORE")</f>
        <v>BALTIMORE</v>
      </c>
      <c r="D1754" s="3" t="str">
        <f>IFERROR(__xludf.DUMMYFUNCTION("""COMPUTED_VALUE"""),"K0K 1C0")</f>
        <v>K0K 1C0</v>
      </c>
      <c r="E1754" s="3" t="str">
        <f>IFERROR(__xludf.DUMMYFUNCTION("""COMPUTED_VALUE"""),"Eric Niemeyer")</f>
        <v>Eric Niemeyer</v>
      </c>
      <c r="F1754" s="3" t="str">
        <f>IFERROR(__xludf.DUMMYFUNCTION("""COMPUTED_VALUE"""),"ericmeyer1214@gmail.com")</f>
        <v>ericmeyer1214@gmail.com</v>
      </c>
      <c r="G1754" s="3"/>
      <c r="H1754" s="3"/>
    </row>
    <row r="1755">
      <c r="A1755" s="2">
        <f>IFERROR(__xludf.DUMMYFUNCTION("""COMPUTED_VALUE"""),21994.0)</f>
        <v>21994</v>
      </c>
      <c r="B1755" s="3" t="str">
        <f>IFERROR(__xludf.DUMMYFUNCTION("""COMPUTED_VALUE"""),"3269 HARWOOD RD")</f>
        <v>3269 HARWOOD RD</v>
      </c>
      <c r="C1755" s="3" t="str">
        <f>IFERROR(__xludf.DUMMYFUNCTION("""COMPUTED_VALUE"""),"BALTIMORE")</f>
        <v>BALTIMORE</v>
      </c>
      <c r="D1755" s="3" t="str">
        <f>IFERROR(__xludf.DUMMYFUNCTION("""COMPUTED_VALUE"""),"K0K 1C0")</f>
        <v>K0K 1C0</v>
      </c>
      <c r="E1755" s="3" t="str">
        <f>IFERROR(__xludf.DUMMYFUNCTION("""COMPUTED_VALUE"""),"milvia green")</f>
        <v>milvia green</v>
      </c>
      <c r="F1755" s="3" t="str">
        <f>IFERROR(__xludf.DUMMYFUNCTION("""COMPUTED_VALUE"""),"milvia.green@gmail.com")</f>
        <v>milvia.green@gmail.com</v>
      </c>
      <c r="G1755" s="3">
        <f>IFERROR(__xludf.DUMMYFUNCTION("""COMPUTED_VALUE"""),4.169866515E9)</f>
        <v>4169866515</v>
      </c>
      <c r="H1755" s="3"/>
    </row>
    <row r="1756">
      <c r="A1756" s="2">
        <f>IFERROR(__xludf.DUMMYFUNCTION("""COMPUTED_VALUE"""),22298.0)</f>
        <v>22298</v>
      </c>
      <c r="B1756" s="3" t="str">
        <f>IFERROR(__xludf.DUMMYFUNCTION("""COMPUTED_VALUE"""),"3510 KENNEDY RD")</f>
        <v>3510 KENNEDY RD</v>
      </c>
      <c r="C1756" s="3" t="str">
        <f>IFERROR(__xludf.DUMMYFUNCTION("""COMPUTED_VALUE"""),"COBOURG")</f>
        <v>COBOURG</v>
      </c>
      <c r="D1756" s="3" t="str">
        <f>IFERROR(__xludf.DUMMYFUNCTION("""COMPUTED_VALUE"""),"K9A 4J7")</f>
        <v>K9A 4J7</v>
      </c>
      <c r="E1756" s="3"/>
      <c r="F1756" s="3"/>
      <c r="G1756" s="3"/>
      <c r="H1756" s="3"/>
    </row>
    <row r="1757">
      <c r="A1757" s="2">
        <f>IFERROR(__xludf.DUMMYFUNCTION("""COMPUTED_VALUE"""),21366.0)</f>
        <v>21366</v>
      </c>
      <c r="B1757" s="3" t="str">
        <f>IFERROR(__xludf.DUMMYFUNCTION("""COMPUTED_VALUE"""),"8912 DALE RD")</f>
        <v>8912 DALE RD</v>
      </c>
      <c r="C1757" s="3" t="str">
        <f>IFERROR(__xludf.DUMMYFUNCTION("""COMPUTED_VALUE"""),"COBOURG")</f>
        <v>COBOURG</v>
      </c>
      <c r="D1757" s="3" t="str">
        <f>IFERROR(__xludf.DUMMYFUNCTION("""COMPUTED_VALUE"""),"K9A 4J9")</f>
        <v>K9A 4J9</v>
      </c>
      <c r="E1757" s="3"/>
      <c r="F1757" s="3"/>
      <c r="G1757" s="3"/>
      <c r="H1757" s="3"/>
    </row>
    <row r="1758">
      <c r="A1758" s="2">
        <f>IFERROR(__xludf.DUMMYFUNCTION("""COMPUTED_VALUE"""),21367.0)</f>
        <v>21367</v>
      </c>
      <c r="B1758" s="3" t="str">
        <f>IFERROR(__xludf.DUMMYFUNCTION("""COMPUTED_VALUE"""),"8934 DALE RD")</f>
        <v>8934 DALE RD</v>
      </c>
      <c r="C1758" s="3" t="str">
        <f>IFERROR(__xludf.DUMMYFUNCTION("""COMPUTED_VALUE"""),"COBOURG")</f>
        <v>COBOURG</v>
      </c>
      <c r="D1758" s="3" t="str">
        <f>IFERROR(__xludf.DUMMYFUNCTION("""COMPUTED_VALUE"""),"K9A 4J9")</f>
        <v>K9A 4J9</v>
      </c>
      <c r="E1758" s="3" t="str">
        <f>IFERROR(__xludf.DUMMYFUNCTION("""COMPUTED_VALUE"""),"ZEESHAN RAHEEL")</f>
        <v>ZEESHAN RAHEEL</v>
      </c>
      <c r="F1758" s="3" t="str">
        <f>IFERROR(__xludf.DUMMYFUNCTION("""COMPUTED_VALUE"""),"zraheel@pm.me")</f>
        <v>zraheel@pm.me</v>
      </c>
      <c r="G1758" s="3">
        <f>IFERROR(__xludf.DUMMYFUNCTION("""COMPUTED_VALUE"""),6.477837825E9)</f>
        <v>6477837825</v>
      </c>
      <c r="H1758" s="3"/>
    </row>
    <row r="1759">
      <c r="A1759" s="2">
        <f>IFERROR(__xludf.DUMMYFUNCTION("""COMPUTED_VALUE"""),21368.0)</f>
        <v>21368</v>
      </c>
      <c r="B1759" s="3" t="str">
        <f>IFERROR(__xludf.DUMMYFUNCTION("""COMPUTED_VALUE"""),"8940 DALE RD")</f>
        <v>8940 DALE RD</v>
      </c>
      <c r="C1759" s="3" t="str">
        <f>IFERROR(__xludf.DUMMYFUNCTION("""COMPUTED_VALUE"""),"COBOURG")</f>
        <v>COBOURG</v>
      </c>
      <c r="D1759" s="3" t="str">
        <f>IFERROR(__xludf.DUMMYFUNCTION("""COMPUTED_VALUE"""),"K9A 4J9")</f>
        <v>K9A 4J9</v>
      </c>
      <c r="E1759" s="3"/>
      <c r="F1759" s="3"/>
      <c r="G1759" s="3"/>
      <c r="H1759" s="3"/>
    </row>
    <row r="1760">
      <c r="A1760" s="2">
        <f>IFERROR(__xludf.DUMMYFUNCTION("""COMPUTED_VALUE"""),22299.0)</f>
        <v>22299</v>
      </c>
      <c r="B1760" s="3" t="str">
        <f>IFERROR(__xludf.DUMMYFUNCTION("""COMPUTED_VALUE"""),"3517 KENNEDY RD")</f>
        <v>3517 KENNEDY RD</v>
      </c>
      <c r="C1760" s="3" t="str">
        <f>IFERROR(__xludf.DUMMYFUNCTION("""COMPUTED_VALUE"""),"COBOURG")</f>
        <v>COBOURG</v>
      </c>
      <c r="D1760" s="3" t="str">
        <f>IFERROR(__xludf.DUMMYFUNCTION("""COMPUTED_VALUE"""),"K9A 4J7")</f>
        <v>K9A 4J7</v>
      </c>
      <c r="E1760" s="3"/>
      <c r="F1760" s="3"/>
      <c r="G1760" s="3"/>
      <c r="H1760" s="3"/>
    </row>
    <row r="1761">
      <c r="A1761" s="2">
        <f>IFERROR(__xludf.DUMMYFUNCTION("""COMPUTED_VALUE"""),21370.0)</f>
        <v>21370</v>
      </c>
      <c r="B1761" s="3" t="str">
        <f>IFERROR(__xludf.DUMMYFUNCTION("""COMPUTED_VALUE"""),"8949 DALE RD")</f>
        <v>8949 DALE RD</v>
      </c>
      <c r="C1761" s="3" t="str">
        <f>IFERROR(__xludf.DUMMYFUNCTION("""COMPUTED_VALUE"""),"COBOURG")</f>
        <v>COBOURG</v>
      </c>
      <c r="D1761" s="3" t="str">
        <f>IFERROR(__xludf.DUMMYFUNCTION("""COMPUTED_VALUE"""),"K9A 4J9")</f>
        <v>K9A 4J9</v>
      </c>
      <c r="E1761" s="3" t="str">
        <f>IFERROR(__xludf.DUMMYFUNCTION("""COMPUTED_VALUE"""),"chesley zdanowicz")</f>
        <v>chesley zdanowicz</v>
      </c>
      <c r="F1761" s="3" t="str">
        <f>IFERROR(__xludf.DUMMYFUNCTION("""COMPUTED_VALUE"""),"czdanowicz54@hotmail.com")</f>
        <v>czdanowicz54@hotmail.com</v>
      </c>
      <c r="G1761" s="3">
        <f>IFERROR(__xludf.DUMMYFUNCTION("""COMPUTED_VALUE"""),9.053754163E9)</f>
        <v>9053754163</v>
      </c>
      <c r="H1761" s="3"/>
    </row>
    <row r="1762">
      <c r="A1762" s="2">
        <f>IFERROR(__xludf.DUMMYFUNCTION("""COMPUTED_VALUE"""),21371.0)</f>
        <v>21371</v>
      </c>
      <c r="B1762" s="3" t="str">
        <f>IFERROR(__xludf.DUMMYFUNCTION("""COMPUTED_VALUE"""),"8962 DALE RD")</f>
        <v>8962 DALE RD</v>
      </c>
      <c r="C1762" s="3" t="str">
        <f>IFERROR(__xludf.DUMMYFUNCTION("""COMPUTED_VALUE"""),"COBOURG")</f>
        <v>COBOURG</v>
      </c>
      <c r="D1762" s="3" t="str">
        <f>IFERROR(__xludf.DUMMYFUNCTION("""COMPUTED_VALUE"""),"K9A 4J9")</f>
        <v>K9A 4J9</v>
      </c>
      <c r="E1762" s="3" t="str">
        <f>IFERROR(__xludf.DUMMYFUNCTION("""COMPUTED_VALUE"""),"dennis &amp; sherry krhoe")</f>
        <v>dennis &amp; sherry krhoe</v>
      </c>
      <c r="F1762" s="3" t="str">
        <f>IFERROR(__xludf.DUMMYFUNCTION("""COMPUTED_VALUE"""),"dts-luke@hotmail.com")</f>
        <v>dts-luke@hotmail.com</v>
      </c>
      <c r="G1762" s="3">
        <f>IFERROR(__xludf.DUMMYFUNCTION("""COMPUTED_VALUE"""),9.053964042E9)</f>
        <v>9053964042</v>
      </c>
      <c r="H1762" s="3">
        <f>IFERROR(__xludf.DUMMYFUNCTION("""COMPUTED_VALUE"""),9.053724041E9)</f>
        <v>9053724041</v>
      </c>
    </row>
    <row r="1763">
      <c r="A1763" s="2">
        <f>IFERROR(__xludf.DUMMYFUNCTION("""COMPUTED_VALUE"""),21372.0)</f>
        <v>21372</v>
      </c>
      <c r="B1763" s="3" t="str">
        <f>IFERROR(__xludf.DUMMYFUNCTION("""COMPUTED_VALUE"""),"8991 DALE RD")</f>
        <v>8991 DALE RD</v>
      </c>
      <c r="C1763" s="3" t="str">
        <f>IFERROR(__xludf.DUMMYFUNCTION("""COMPUTED_VALUE"""),"COBOURG")</f>
        <v>COBOURG</v>
      </c>
      <c r="D1763" s="3" t="str">
        <f>IFERROR(__xludf.DUMMYFUNCTION("""COMPUTED_VALUE"""),"K9A 4J9")</f>
        <v>K9A 4J9</v>
      </c>
      <c r="E1763" s="3"/>
      <c r="F1763" s="3"/>
      <c r="G1763" s="3"/>
      <c r="H1763" s="3"/>
    </row>
    <row r="1764">
      <c r="A1764" s="2">
        <f>IFERROR(__xludf.DUMMYFUNCTION("""COMPUTED_VALUE"""),21373.0)</f>
        <v>21373</v>
      </c>
      <c r="B1764" s="3" t="str">
        <f>IFERROR(__xludf.DUMMYFUNCTION("""COMPUTED_VALUE"""),"9028 DALE RD")</f>
        <v>9028 DALE RD</v>
      </c>
      <c r="C1764" s="3" t="str">
        <f>IFERROR(__xludf.DUMMYFUNCTION("""COMPUTED_VALUE"""),"COBOURG")</f>
        <v>COBOURG</v>
      </c>
      <c r="D1764" s="3" t="str">
        <f>IFERROR(__xludf.DUMMYFUNCTION("""COMPUTED_VALUE"""),"K9A 4J9")</f>
        <v>K9A 4J9</v>
      </c>
      <c r="E1764" s="3" t="str">
        <f>IFERROR(__xludf.DUMMYFUNCTION("""COMPUTED_VALUE"""),"Brenda Larsen")</f>
        <v>Brenda Larsen</v>
      </c>
      <c r="F1764" s="3"/>
      <c r="G1764" s="3"/>
      <c r="H1764" s="3"/>
    </row>
    <row r="1765">
      <c r="A1765" s="2">
        <f>IFERROR(__xludf.DUMMYFUNCTION("""COMPUTED_VALUE"""),21374.0)</f>
        <v>21374</v>
      </c>
      <c r="B1765" s="3" t="str">
        <f>IFERROR(__xludf.DUMMYFUNCTION("""COMPUTED_VALUE"""),"9052 DALE RD")</f>
        <v>9052 DALE RD</v>
      </c>
      <c r="C1765" s="3" t="str">
        <f>IFERROR(__xludf.DUMMYFUNCTION("""COMPUTED_VALUE"""),"COBOURG")</f>
        <v>COBOURG</v>
      </c>
      <c r="D1765" s="3" t="str">
        <f>IFERROR(__xludf.DUMMYFUNCTION("""COMPUTED_VALUE"""),"K9A 4J9")</f>
        <v>K9A 4J9</v>
      </c>
      <c r="E1765" s="3" t="str">
        <f>IFERROR(__xludf.DUMMYFUNCTION("""COMPUTED_VALUE"""),"tim brudy")</f>
        <v>tim brudy</v>
      </c>
      <c r="F1765" s="3" t="str">
        <f>IFERROR(__xludf.DUMMYFUNCTION("""COMPUTED_VALUE"""),"bimtudy@gmail.com")</f>
        <v>bimtudy@gmail.com</v>
      </c>
      <c r="G1765" s="3">
        <f>IFERROR(__xludf.DUMMYFUNCTION("""COMPUTED_VALUE"""),9.05376625E9)</f>
        <v>9053766250</v>
      </c>
      <c r="H1765" s="3"/>
    </row>
    <row r="1766">
      <c r="A1766" s="2">
        <f>IFERROR(__xludf.DUMMYFUNCTION("""COMPUTED_VALUE"""),21375.0)</f>
        <v>21375</v>
      </c>
      <c r="B1766" s="3" t="str">
        <f>IFERROR(__xludf.DUMMYFUNCTION("""COMPUTED_VALUE"""),"9054 DALE RD")</f>
        <v>9054 DALE RD</v>
      </c>
      <c r="C1766" s="3" t="str">
        <f>IFERROR(__xludf.DUMMYFUNCTION("""COMPUTED_VALUE"""),"COBOURG")</f>
        <v>COBOURG</v>
      </c>
      <c r="D1766" s="3" t="str">
        <f>IFERROR(__xludf.DUMMYFUNCTION("""COMPUTED_VALUE"""),"K9A 4J9")</f>
        <v>K9A 4J9</v>
      </c>
      <c r="E1766" s="3" t="str">
        <f>IFERROR(__xludf.DUMMYFUNCTION("""COMPUTED_VALUE"""),"troy stiller ")</f>
        <v>troy stiller </v>
      </c>
      <c r="F1766" s="3" t="str">
        <f>IFERROR(__xludf.DUMMYFUNCTION("""COMPUTED_VALUE"""),"troystiller3@gmail.com")</f>
        <v>troystiller3@gmail.com</v>
      </c>
      <c r="G1766" s="3">
        <f>IFERROR(__xludf.DUMMYFUNCTION("""COMPUTED_VALUE"""),2.892510294E9)</f>
        <v>2892510294</v>
      </c>
      <c r="H1766" s="3"/>
    </row>
    <row r="1767">
      <c r="A1767" s="2">
        <f>IFERROR(__xludf.DUMMYFUNCTION("""COMPUTED_VALUE"""),21376.0)</f>
        <v>21376</v>
      </c>
      <c r="B1767" s="3" t="str">
        <f>IFERROR(__xludf.DUMMYFUNCTION("""COMPUTED_VALUE"""),"9062 DALE RD")</f>
        <v>9062 DALE RD</v>
      </c>
      <c r="C1767" s="3" t="str">
        <f>IFERROR(__xludf.DUMMYFUNCTION("""COMPUTED_VALUE"""),"COBOURG")</f>
        <v>COBOURG</v>
      </c>
      <c r="D1767" s="3" t="str">
        <f>IFERROR(__xludf.DUMMYFUNCTION("""COMPUTED_VALUE"""),"K9A 4J9")</f>
        <v>K9A 4J9</v>
      </c>
      <c r="E1767" s="3"/>
      <c r="F1767" s="3"/>
      <c r="G1767" s="3"/>
      <c r="H1767" s="3"/>
    </row>
    <row r="1768">
      <c r="A1768" s="2">
        <f>IFERROR(__xludf.DUMMYFUNCTION("""COMPUTED_VALUE"""),21377.0)</f>
        <v>21377</v>
      </c>
      <c r="B1768" s="3" t="str">
        <f>IFERROR(__xludf.DUMMYFUNCTION("""COMPUTED_VALUE"""),"9068 DALE RD")</f>
        <v>9068 DALE RD</v>
      </c>
      <c r="C1768" s="3" t="str">
        <f>IFERROR(__xludf.DUMMYFUNCTION("""COMPUTED_VALUE"""),"COBOURG")</f>
        <v>COBOURG</v>
      </c>
      <c r="D1768" s="3" t="str">
        <f>IFERROR(__xludf.DUMMYFUNCTION("""COMPUTED_VALUE"""),"K9A 4J9")</f>
        <v>K9A 4J9</v>
      </c>
      <c r="E1768" s="3" t="str">
        <f>IFERROR(__xludf.DUMMYFUNCTION("""COMPUTED_VALUE"""),"Kevin Adley")</f>
        <v>Kevin Adley</v>
      </c>
      <c r="F1768" s="3" t="str">
        <f>IFERROR(__xludf.DUMMYFUNCTION("""COMPUTED_VALUE"""),"kevin@adley.ca")</f>
        <v>kevin@adley.ca</v>
      </c>
      <c r="G1768" s="3">
        <f>IFERROR(__xludf.DUMMYFUNCTION("""COMPUTED_VALUE"""),2.892516326E9)</f>
        <v>2892516326</v>
      </c>
      <c r="H1768" s="3"/>
    </row>
    <row r="1769">
      <c r="A1769" s="2">
        <f>IFERROR(__xludf.DUMMYFUNCTION("""COMPUTED_VALUE"""),21378.0)</f>
        <v>21378</v>
      </c>
      <c r="B1769" s="3" t="str">
        <f>IFERROR(__xludf.DUMMYFUNCTION("""COMPUTED_VALUE"""),"9078 DALE RD")</f>
        <v>9078 DALE RD</v>
      </c>
      <c r="C1769" s="3" t="str">
        <f>IFERROR(__xludf.DUMMYFUNCTION("""COMPUTED_VALUE"""),"COBOURG")</f>
        <v>COBOURG</v>
      </c>
      <c r="D1769" s="3" t="str">
        <f>IFERROR(__xludf.DUMMYFUNCTION("""COMPUTED_VALUE"""),"K9A 4J9")</f>
        <v>K9A 4J9</v>
      </c>
      <c r="E1769" s="3" t="str">
        <f>IFERROR(__xludf.DUMMYFUNCTION("""COMPUTED_VALUE"""),"Fiona duncan sullivan")</f>
        <v>Fiona duncan sullivan</v>
      </c>
      <c r="F1769" s="3" t="str">
        <f>IFERROR(__xludf.DUMMYFUNCTION("""COMPUTED_VALUE"""),"fionaduncan125@gmail.com")</f>
        <v>fionaduncan125@gmail.com</v>
      </c>
      <c r="G1769" s="3">
        <f>IFERROR(__xludf.DUMMYFUNCTION("""COMPUTED_VALUE"""),9.054421755E9)</f>
        <v>9054421755</v>
      </c>
      <c r="H1769" s="3">
        <f>IFERROR(__xludf.DUMMYFUNCTION("""COMPUTED_VALUE"""),9.0539148E9)</f>
        <v>9053914800</v>
      </c>
    </row>
    <row r="1770">
      <c r="A1770" s="2">
        <f>IFERROR(__xludf.DUMMYFUNCTION("""COMPUTED_VALUE"""),21379.0)</f>
        <v>21379</v>
      </c>
      <c r="B1770" s="3" t="str">
        <f>IFERROR(__xludf.DUMMYFUNCTION("""COMPUTED_VALUE"""),"9084 DALE RD")</f>
        <v>9084 DALE RD</v>
      </c>
      <c r="C1770" s="3" t="str">
        <f>IFERROR(__xludf.DUMMYFUNCTION("""COMPUTED_VALUE"""),"COBOURG")</f>
        <v>COBOURG</v>
      </c>
      <c r="D1770" s="3" t="str">
        <f>IFERROR(__xludf.DUMMYFUNCTION("""COMPUTED_VALUE"""),"K9A 4J9")</f>
        <v>K9A 4J9</v>
      </c>
      <c r="E1770" s="3" t="str">
        <f>IFERROR(__xludf.DUMMYFUNCTION("""COMPUTED_VALUE"""),"Christi Osborne")</f>
        <v>Christi Osborne</v>
      </c>
      <c r="F1770" s="3" t="str">
        <f>IFERROR(__xludf.DUMMYFUNCTION("""COMPUTED_VALUE"""),"cala905@hotmail.com")</f>
        <v>cala905@hotmail.com</v>
      </c>
      <c r="G1770" s="3">
        <f>IFERROR(__xludf.DUMMYFUNCTION("""COMPUTED_VALUE"""),4.166242392E9)</f>
        <v>4166242392</v>
      </c>
      <c r="H1770" s="3"/>
    </row>
    <row r="1771">
      <c r="A1771" s="2">
        <f>IFERROR(__xludf.DUMMYFUNCTION("""COMPUTED_VALUE"""),21380.0)</f>
        <v>21380</v>
      </c>
      <c r="B1771" s="3" t="str">
        <f>IFERROR(__xludf.DUMMYFUNCTION("""COMPUTED_VALUE"""),"9090 DALE RD")</f>
        <v>9090 DALE RD</v>
      </c>
      <c r="C1771" s="3" t="str">
        <f>IFERROR(__xludf.DUMMYFUNCTION("""COMPUTED_VALUE"""),"COBOURG")</f>
        <v>COBOURG</v>
      </c>
      <c r="D1771" s="3" t="str">
        <f>IFERROR(__xludf.DUMMYFUNCTION("""COMPUTED_VALUE"""),"K9A 4J9")</f>
        <v>K9A 4J9</v>
      </c>
      <c r="E1771" s="3" t="str">
        <f>IFERROR(__xludf.DUMMYFUNCTION("""COMPUTED_VALUE"""),"DEBORAH MILLS")</f>
        <v>DEBORAH MILLS</v>
      </c>
      <c r="F1771" s="3" t="str">
        <f>IFERROR(__xludf.DUMMYFUNCTION("""COMPUTED_VALUE"""),"debbie.debbiemills.mills2@gmail.com")</f>
        <v>debbie.debbiemills.mills2@gmail.com</v>
      </c>
      <c r="G1771" s="3"/>
      <c r="H1771" s="3"/>
    </row>
    <row r="1772">
      <c r="A1772" s="2">
        <f>IFERROR(__xludf.DUMMYFUNCTION("""COMPUTED_VALUE"""),21381.0)</f>
        <v>21381</v>
      </c>
      <c r="B1772" s="3" t="str">
        <f>IFERROR(__xludf.DUMMYFUNCTION("""COMPUTED_VALUE"""),"9096 DALE RD")</f>
        <v>9096 DALE RD</v>
      </c>
      <c r="C1772" s="3" t="str">
        <f>IFERROR(__xludf.DUMMYFUNCTION("""COMPUTED_VALUE"""),"COBOURG")</f>
        <v>COBOURG</v>
      </c>
      <c r="D1772" s="3" t="str">
        <f>IFERROR(__xludf.DUMMYFUNCTION("""COMPUTED_VALUE"""),"K9A 4J9")</f>
        <v>K9A 4J9</v>
      </c>
      <c r="E1772" s="3"/>
      <c r="F1772" s="3"/>
      <c r="G1772" s="3"/>
      <c r="H1772" s="3"/>
    </row>
    <row r="1773">
      <c r="A1773" s="2">
        <f>IFERROR(__xludf.DUMMYFUNCTION("""COMPUTED_VALUE"""),21382.0)</f>
        <v>21382</v>
      </c>
      <c r="B1773" s="3" t="str">
        <f>IFERROR(__xludf.DUMMYFUNCTION("""COMPUTED_VALUE"""),"9112 DALE RD")</f>
        <v>9112 DALE RD</v>
      </c>
      <c r="C1773" s="3" t="str">
        <f>IFERROR(__xludf.DUMMYFUNCTION("""COMPUTED_VALUE"""),"COBOURG")</f>
        <v>COBOURG</v>
      </c>
      <c r="D1773" s="3" t="str">
        <f>IFERROR(__xludf.DUMMYFUNCTION("""COMPUTED_VALUE"""),"K9A 4J9")</f>
        <v>K9A 4J9</v>
      </c>
      <c r="E1773" s="3"/>
      <c r="F1773" s="3"/>
      <c r="G1773" s="3"/>
      <c r="H1773" s="3"/>
    </row>
    <row r="1774">
      <c r="A1774" s="2">
        <f>IFERROR(__xludf.DUMMYFUNCTION("""COMPUTED_VALUE"""),21383.0)</f>
        <v>21383</v>
      </c>
      <c r="B1774" s="3" t="str">
        <f>IFERROR(__xludf.DUMMYFUNCTION("""COMPUTED_VALUE"""),"9116 DALE RD")</f>
        <v>9116 DALE RD</v>
      </c>
      <c r="C1774" s="3" t="str">
        <f>IFERROR(__xludf.DUMMYFUNCTION("""COMPUTED_VALUE"""),"COBOURG")</f>
        <v>COBOURG</v>
      </c>
      <c r="D1774" s="3" t="str">
        <f>IFERROR(__xludf.DUMMYFUNCTION("""COMPUTED_VALUE"""),"K9A 4J9")</f>
        <v>K9A 4J9</v>
      </c>
      <c r="E1774" s="3"/>
      <c r="F1774" s="3"/>
      <c r="G1774" s="3"/>
      <c r="H1774" s="3"/>
    </row>
    <row r="1775">
      <c r="A1775" s="2">
        <f>IFERROR(__xludf.DUMMYFUNCTION("""COMPUTED_VALUE"""),21384.0)</f>
        <v>21384</v>
      </c>
      <c r="B1775" s="3" t="str">
        <f>IFERROR(__xludf.DUMMYFUNCTION("""COMPUTED_VALUE"""),"9119 DALE RD")</f>
        <v>9119 DALE RD</v>
      </c>
      <c r="C1775" s="3" t="str">
        <f>IFERROR(__xludf.DUMMYFUNCTION("""COMPUTED_VALUE"""),"COBOURG")</f>
        <v>COBOURG</v>
      </c>
      <c r="D1775" s="3" t="str">
        <f>IFERROR(__xludf.DUMMYFUNCTION("""COMPUTED_VALUE"""),"K9A 4J9")</f>
        <v>K9A 4J9</v>
      </c>
      <c r="E1775" s="3" t="str">
        <f>IFERROR(__xludf.DUMMYFUNCTION("""COMPUTED_VALUE"""),"scott bell")</f>
        <v>scott bell</v>
      </c>
      <c r="F1775" s="3" t="str">
        <f>IFERROR(__xludf.DUMMYFUNCTION("""COMPUTED_VALUE"""),"bellscott13@gmail.com")</f>
        <v>bellscott13@gmail.com</v>
      </c>
      <c r="G1775" s="3">
        <f>IFERROR(__xludf.DUMMYFUNCTION("""COMPUTED_VALUE"""),5.19217054E9)</f>
        <v>5192170540</v>
      </c>
      <c r="H1775" s="3"/>
    </row>
    <row r="1776">
      <c r="A1776" s="2">
        <f>IFERROR(__xludf.DUMMYFUNCTION("""COMPUTED_VALUE"""),21385.0)</f>
        <v>21385</v>
      </c>
      <c r="B1776" s="3" t="str">
        <f>IFERROR(__xludf.DUMMYFUNCTION("""COMPUTED_VALUE"""),"9120 DALE RD")</f>
        <v>9120 DALE RD</v>
      </c>
      <c r="C1776" s="3" t="str">
        <f>IFERROR(__xludf.DUMMYFUNCTION("""COMPUTED_VALUE"""),"COBOURG")</f>
        <v>COBOURG</v>
      </c>
      <c r="D1776" s="3" t="str">
        <f>IFERROR(__xludf.DUMMYFUNCTION("""COMPUTED_VALUE"""),"K9A 4J9")</f>
        <v>K9A 4J9</v>
      </c>
      <c r="E1776" s="3" t="str">
        <f>IFERROR(__xludf.DUMMYFUNCTION("""COMPUTED_VALUE"""),"norm sherwin")</f>
        <v>norm sherwin</v>
      </c>
      <c r="F1776" s="3" t="str">
        <f>IFERROR(__xludf.DUMMYFUNCTION("""COMPUTED_VALUE"""),"cormon@xplornet.com")</f>
        <v>cormon@xplornet.com</v>
      </c>
      <c r="G1776" s="3">
        <f>IFERROR(__xludf.DUMMYFUNCTION("""COMPUTED_VALUE"""),9.053728007E9)</f>
        <v>9053728007</v>
      </c>
      <c r="H1776" s="3">
        <f>IFERROR(__xludf.DUMMYFUNCTION("""COMPUTED_VALUE"""),9.05269588E9)</f>
        <v>9052695880</v>
      </c>
    </row>
    <row r="1777">
      <c r="A1777" s="2">
        <f>IFERROR(__xludf.DUMMYFUNCTION("""COMPUTED_VALUE"""),21386.0)</f>
        <v>21386</v>
      </c>
      <c r="B1777" s="3" t="str">
        <f>IFERROR(__xludf.DUMMYFUNCTION("""COMPUTED_VALUE"""),"9140 DALE RD")</f>
        <v>9140 DALE RD</v>
      </c>
      <c r="C1777" s="3" t="str">
        <f>IFERROR(__xludf.DUMMYFUNCTION("""COMPUTED_VALUE"""),"COBOURG")</f>
        <v>COBOURG</v>
      </c>
      <c r="D1777" s="3" t="str">
        <f>IFERROR(__xludf.DUMMYFUNCTION("""COMPUTED_VALUE"""),"K9A 4J9")</f>
        <v>K9A 4J9</v>
      </c>
      <c r="E1777" s="3" t="str">
        <f>IFERROR(__xludf.DUMMYFUNCTION("""COMPUTED_VALUE"""),"Tricia Flint")</f>
        <v>Tricia Flint</v>
      </c>
      <c r="F1777" s="3" t="str">
        <f>IFERROR(__xludf.DUMMYFUNCTION("""COMPUTED_VALUE"""),"lc123lc@hotmail.ca")</f>
        <v>lc123lc@hotmail.ca</v>
      </c>
      <c r="G1777" s="3"/>
      <c r="H1777" s="3"/>
    </row>
    <row r="1778">
      <c r="A1778" s="2">
        <f>IFERROR(__xludf.DUMMYFUNCTION("""COMPUTED_VALUE"""),21272.0)</f>
        <v>21272</v>
      </c>
      <c r="B1778" s="3" t="str">
        <f>IFERROR(__xludf.DUMMYFUNCTION("""COMPUTED_VALUE"""),"7563 DALE RD")</f>
        <v>7563 DALE RD</v>
      </c>
      <c r="C1778" s="3" t="str">
        <f>IFERROR(__xludf.DUMMYFUNCTION("""COMPUTED_VALUE"""),"COBOURG")</f>
        <v>COBOURG</v>
      </c>
      <c r="D1778" s="3" t="str">
        <f>IFERROR(__xludf.DUMMYFUNCTION("""COMPUTED_VALUE"""),"K9A 4J7")</f>
        <v>K9A 4J7</v>
      </c>
      <c r="E1778" s="3" t="str">
        <f>IFERROR(__xludf.DUMMYFUNCTION("""COMPUTED_VALUE"""),"Nayake Wannigama")</f>
        <v>Nayake Wannigama</v>
      </c>
      <c r="F1778" s="3" t="str">
        <f>IFERROR(__xludf.DUMMYFUNCTION("""COMPUTED_VALUE"""),"nayake@gmail.com")</f>
        <v>nayake@gmail.com</v>
      </c>
      <c r="G1778" s="3">
        <f>IFERROR(__xludf.DUMMYFUNCTION("""COMPUTED_VALUE"""),6.478248842E9)</f>
        <v>6478248842</v>
      </c>
      <c r="H1778" s="3"/>
    </row>
    <row r="1779">
      <c r="A1779" s="2">
        <f>IFERROR(__xludf.DUMMYFUNCTION("""COMPUTED_VALUE"""),21388.0)</f>
        <v>21388</v>
      </c>
      <c r="B1779" s="3" t="str">
        <f>IFERROR(__xludf.DUMMYFUNCTION("""COMPUTED_VALUE"""),"9150 DALE RD")</f>
        <v>9150 DALE RD</v>
      </c>
      <c r="C1779" s="3" t="str">
        <f>IFERROR(__xludf.DUMMYFUNCTION("""COMPUTED_VALUE"""),"COBOURG")</f>
        <v>COBOURG</v>
      </c>
      <c r="D1779" s="3" t="str">
        <f>IFERROR(__xludf.DUMMYFUNCTION("""COMPUTED_VALUE"""),"K9A 4J9")</f>
        <v>K9A 4J9</v>
      </c>
      <c r="E1779" s="3"/>
      <c r="F1779" s="3"/>
      <c r="G1779" s="3"/>
      <c r="H1779" s="3"/>
    </row>
    <row r="1780">
      <c r="A1780" s="2">
        <f>IFERROR(__xludf.DUMMYFUNCTION("""COMPUTED_VALUE"""),21390.0)</f>
        <v>21390</v>
      </c>
      <c r="B1780" s="3" t="str">
        <f>IFERROR(__xludf.DUMMYFUNCTION("""COMPUTED_VALUE"""),"9198 DALE RD")</f>
        <v>9198 DALE RD</v>
      </c>
      <c r="C1780" s="3" t="str">
        <f>IFERROR(__xludf.DUMMYFUNCTION("""COMPUTED_VALUE"""),"COBOURG")</f>
        <v>COBOURG</v>
      </c>
      <c r="D1780" s="3" t="str">
        <f>IFERROR(__xludf.DUMMYFUNCTION("""COMPUTED_VALUE"""),"K9A 4J9")</f>
        <v>K9A 4J9</v>
      </c>
      <c r="E1780" s="3" t="str">
        <f>IFERROR(__xludf.DUMMYFUNCTION("""COMPUTED_VALUE"""),"Vanessa Azzoli")</f>
        <v>Vanessa Azzoli</v>
      </c>
      <c r="F1780" s="3" t="str">
        <f>IFERROR(__xludf.DUMMYFUNCTION("""COMPUTED_VALUE"""),"vazzoli@gmail.com")</f>
        <v>vazzoli@gmail.com</v>
      </c>
      <c r="G1780" s="3">
        <f>IFERROR(__xludf.DUMMYFUNCTION("""COMPUTED_VALUE"""),6.474607277E9)</f>
        <v>6474607277</v>
      </c>
      <c r="H1780" s="3"/>
    </row>
    <row r="1781">
      <c r="A1781" s="2">
        <f>IFERROR(__xludf.DUMMYFUNCTION("""COMPUTED_VALUE"""),21391.0)</f>
        <v>21391</v>
      </c>
      <c r="B1781" s="3" t="str">
        <f>IFERROR(__xludf.DUMMYFUNCTION("""COMPUTED_VALUE"""),"9213 DALE RD")</f>
        <v>9213 DALE RD</v>
      </c>
      <c r="C1781" s="3" t="str">
        <f>IFERROR(__xludf.DUMMYFUNCTION("""COMPUTED_VALUE"""),"COBOURG")</f>
        <v>COBOURG</v>
      </c>
      <c r="D1781" s="3" t="str">
        <f>IFERROR(__xludf.DUMMYFUNCTION("""COMPUTED_VALUE"""),"K9A 4J9")</f>
        <v>K9A 4J9</v>
      </c>
      <c r="E1781" s="3"/>
      <c r="F1781" s="3"/>
      <c r="G1781" s="3"/>
      <c r="H1781" s="3"/>
    </row>
    <row r="1782">
      <c r="A1782" s="2">
        <f>IFERROR(__xludf.DUMMYFUNCTION("""COMPUTED_VALUE"""),21392.0)</f>
        <v>21392</v>
      </c>
      <c r="B1782" s="3" t="str">
        <f>IFERROR(__xludf.DUMMYFUNCTION("""COMPUTED_VALUE"""),"9215 DALE RD")</f>
        <v>9215 DALE RD</v>
      </c>
      <c r="C1782" s="3" t="str">
        <f>IFERROR(__xludf.DUMMYFUNCTION("""COMPUTED_VALUE"""),"COBOURG")</f>
        <v>COBOURG</v>
      </c>
      <c r="D1782" s="3" t="str">
        <f>IFERROR(__xludf.DUMMYFUNCTION("""COMPUTED_VALUE"""),"K9A 4J9")</f>
        <v>K9A 4J9</v>
      </c>
      <c r="E1782" s="3"/>
      <c r="F1782" s="3"/>
      <c r="G1782" s="3"/>
      <c r="H1782" s="3"/>
    </row>
    <row r="1783">
      <c r="A1783" s="2">
        <f>IFERROR(__xludf.DUMMYFUNCTION("""COMPUTED_VALUE"""),21393.0)</f>
        <v>21393</v>
      </c>
      <c r="B1783" s="3" t="str">
        <f>IFERROR(__xludf.DUMMYFUNCTION("""COMPUTED_VALUE"""),"9229 DALE RD")</f>
        <v>9229 DALE RD</v>
      </c>
      <c r="C1783" s="3" t="str">
        <f>IFERROR(__xludf.DUMMYFUNCTION("""COMPUTED_VALUE"""),"COBOURG")</f>
        <v>COBOURG</v>
      </c>
      <c r="D1783" s="3" t="str">
        <f>IFERROR(__xludf.DUMMYFUNCTION("""COMPUTED_VALUE"""),"K9A 4J9")</f>
        <v>K9A 4J9</v>
      </c>
      <c r="E1783" s="3" t="str">
        <f>IFERROR(__xludf.DUMMYFUNCTION("""COMPUTED_VALUE"""),"Gerald Metherel")</f>
        <v>Gerald Metherel</v>
      </c>
      <c r="F1783" s="3" t="str">
        <f>IFERROR(__xludf.DUMMYFUNCTION("""COMPUTED_VALUE"""),"gerrymetherel@gmail.com")</f>
        <v>gerrymetherel@gmail.com</v>
      </c>
      <c r="G1783" s="3">
        <f>IFERROR(__xludf.DUMMYFUNCTION("""COMPUTED_VALUE"""),9.053727959E9)</f>
        <v>9053727959</v>
      </c>
      <c r="H1783" s="3">
        <f>IFERROR(__xludf.DUMMYFUNCTION("""COMPUTED_VALUE"""),9.053760329E9)</f>
        <v>9053760329</v>
      </c>
    </row>
    <row r="1784">
      <c r="A1784" s="2">
        <f>IFERROR(__xludf.DUMMYFUNCTION("""COMPUTED_VALUE"""),21394.0)</f>
        <v>21394</v>
      </c>
      <c r="B1784" s="3" t="str">
        <f>IFERROR(__xludf.DUMMYFUNCTION("""COMPUTED_VALUE"""),"9258 DALE RD SUITE A")</f>
        <v>9258 DALE RD SUITE A</v>
      </c>
      <c r="C1784" s="3" t="str">
        <f>IFERROR(__xludf.DUMMYFUNCTION("""COMPUTED_VALUE"""),"COBOURG")</f>
        <v>COBOURG</v>
      </c>
      <c r="D1784" s="3" t="str">
        <f>IFERROR(__xludf.DUMMYFUNCTION("""COMPUTED_VALUE"""),"K9A 4J9")</f>
        <v>K9A 4J9</v>
      </c>
      <c r="E1784" s="3"/>
      <c r="F1784" s="3"/>
      <c r="G1784" s="3"/>
      <c r="H1784" s="3"/>
    </row>
    <row r="1785">
      <c r="A1785" s="2">
        <f>IFERROR(__xludf.DUMMYFUNCTION("""COMPUTED_VALUE"""),24009.0)</f>
        <v>24009</v>
      </c>
      <c r="B1785" s="3" t="str">
        <f>IFERROR(__xludf.DUMMYFUNCTION("""COMPUTED_VALUE"""),"9258 DALE RD SUITE B")</f>
        <v>9258 DALE RD SUITE B</v>
      </c>
      <c r="C1785" s="3" t="str">
        <f>IFERROR(__xludf.DUMMYFUNCTION("""COMPUTED_VALUE"""),"COBOURG")</f>
        <v>COBOURG</v>
      </c>
      <c r="D1785" s="3" t="str">
        <f>IFERROR(__xludf.DUMMYFUNCTION("""COMPUTED_VALUE"""),"K9A 4J9")</f>
        <v>K9A 4J9</v>
      </c>
      <c r="E1785" s="3"/>
      <c r="F1785" s="3"/>
      <c r="G1785" s="3"/>
      <c r="H1785" s="3"/>
    </row>
    <row r="1786">
      <c r="A1786" s="2">
        <f>IFERROR(__xludf.DUMMYFUNCTION("""COMPUTED_VALUE"""),21273.0)</f>
        <v>21273</v>
      </c>
      <c r="B1786" s="3" t="str">
        <f>IFERROR(__xludf.DUMMYFUNCTION("""COMPUTED_VALUE"""),"7570 DALE RD")</f>
        <v>7570 DALE RD</v>
      </c>
      <c r="C1786" s="3" t="str">
        <f>IFERROR(__xludf.DUMMYFUNCTION("""COMPUTED_VALUE"""),"COBOURG")</f>
        <v>COBOURG</v>
      </c>
      <c r="D1786" s="3" t="str">
        <f>IFERROR(__xludf.DUMMYFUNCTION("""COMPUTED_VALUE"""),"K9A 4J7")</f>
        <v>K9A 4J7</v>
      </c>
      <c r="E1786" s="3" t="str">
        <f>IFERROR(__xludf.DUMMYFUNCTION("""COMPUTED_VALUE"""),"Gladys Wagor")</f>
        <v>Gladys Wagor</v>
      </c>
      <c r="F1786" s="3" t="str">
        <f>IFERROR(__xludf.DUMMYFUNCTION("""COMPUTED_VALUE"""),"igladyswagor@gmail.com")</f>
        <v>igladyswagor@gmail.com</v>
      </c>
      <c r="G1786" s="3"/>
      <c r="H1786" s="3"/>
    </row>
    <row r="1787">
      <c r="A1787" s="2">
        <f>IFERROR(__xludf.DUMMYFUNCTION("""COMPUTED_VALUE"""),21183.0)</f>
        <v>21183</v>
      </c>
      <c r="B1787" s="3" t="str">
        <f>IFERROR(__xludf.DUMMYFUNCTION("""COMPUTED_VALUE"""),"5196 COUNTY RD 45")</f>
        <v>5196 COUNTY RD 45</v>
      </c>
      <c r="C1787" s="3" t="str">
        <f>IFERROR(__xludf.DUMMYFUNCTION("""COMPUTED_VALUE"""),"BALTIMORE")</f>
        <v>BALTIMORE</v>
      </c>
      <c r="D1787" s="3" t="str">
        <f>IFERROR(__xludf.DUMMYFUNCTION("""COMPUTED_VALUE"""),"K0K 1C0")</f>
        <v>K0K 1C0</v>
      </c>
      <c r="E1787" s="3"/>
      <c r="F1787" s="3"/>
      <c r="G1787" s="3"/>
      <c r="H1787" s="3"/>
    </row>
    <row r="1788">
      <c r="A1788" s="2">
        <f>IFERROR(__xludf.DUMMYFUNCTION("""COMPUTED_VALUE"""),21396.0)</f>
        <v>21396</v>
      </c>
      <c r="B1788" s="3" t="str">
        <f>IFERROR(__xludf.DUMMYFUNCTION("""COMPUTED_VALUE"""),"7199-7215 DALE RD")</f>
        <v>7199-7215 DALE RD</v>
      </c>
      <c r="C1788" s="3" t="str">
        <f>IFERROR(__xludf.DUMMYFUNCTION("""COMPUTED_VALUE"""),"COBOURG")</f>
        <v>COBOURG</v>
      </c>
      <c r="D1788" s="3" t="str">
        <f>IFERROR(__xludf.DUMMYFUNCTION("""COMPUTED_VALUE"""),"K9A 4J9")</f>
        <v>K9A 4J9</v>
      </c>
      <c r="E1788" s="3"/>
      <c r="F1788" s="3"/>
      <c r="G1788" s="3"/>
      <c r="H1788" s="3"/>
    </row>
    <row r="1789">
      <c r="A1789" s="2">
        <f>IFERROR(__xludf.DUMMYFUNCTION("""COMPUTED_VALUE"""),21397.0)</f>
        <v>21397</v>
      </c>
      <c r="B1789" s="3" t="str">
        <f>IFERROR(__xludf.DUMMYFUNCTION("""COMPUTED_VALUE"""),"7465 DALE RD")</f>
        <v>7465 DALE RD</v>
      </c>
      <c r="C1789" s="3" t="str">
        <f>IFERROR(__xludf.DUMMYFUNCTION("""COMPUTED_VALUE"""),"COBOURG")</f>
        <v>COBOURG</v>
      </c>
      <c r="D1789" s="3" t="str">
        <f>IFERROR(__xludf.DUMMYFUNCTION("""COMPUTED_VALUE"""),"K9A 4J7")</f>
        <v>K9A 4J7</v>
      </c>
      <c r="E1789" s="3" t="str">
        <f>IFERROR(__xludf.DUMMYFUNCTION("""COMPUTED_VALUE"""),"KEVIN GUNTER")</f>
        <v>KEVIN GUNTER</v>
      </c>
      <c r="F1789" s="3" t="str">
        <f>IFERROR(__xludf.DUMMYFUNCTION("""COMPUTED_VALUE"""),"kgunter@dalewood.ca")</f>
        <v>kgunter@dalewood.ca</v>
      </c>
      <c r="G1789" s="3">
        <f>IFERROR(__xludf.DUMMYFUNCTION("""COMPUTED_VALUE"""),9.058858144E9)</f>
        <v>9058858144</v>
      </c>
      <c r="H1789" s="3"/>
    </row>
    <row r="1790">
      <c r="A1790" s="2">
        <f>IFERROR(__xludf.DUMMYFUNCTION("""COMPUTED_VALUE"""),24020.0)</f>
        <v>24020</v>
      </c>
      <c r="B1790" s="3" t="str">
        <f>IFERROR(__xludf.DUMMYFUNCTION("""COMPUTED_VALUE"""),"7706 DALE RD")</f>
        <v>7706 DALE RD</v>
      </c>
      <c r="C1790" s="3" t="str">
        <f>IFERROR(__xludf.DUMMYFUNCTION("""COMPUTED_VALUE"""),"COBOURG")</f>
        <v>COBOURG</v>
      </c>
      <c r="D1790" s="3" t="str">
        <f>IFERROR(__xludf.DUMMYFUNCTION("""COMPUTED_VALUE"""),"K9A 4J9")</f>
        <v>K9A 4J9</v>
      </c>
      <c r="E1790" s="3" t="str">
        <f>IFERROR(__xludf.DUMMYFUNCTION("""COMPUTED_VALUE"""),"Stacey Simpson")</f>
        <v>Stacey Simpson</v>
      </c>
      <c r="F1790" s="3" t="str">
        <f>IFERROR(__xludf.DUMMYFUNCTION("""COMPUTED_VALUE"""),"Stacey_parks08@hotmail.com")</f>
        <v>Stacey_parks08@hotmail.com</v>
      </c>
      <c r="G1790" s="3">
        <f>IFERROR(__xludf.DUMMYFUNCTION("""COMPUTED_VALUE"""),6.138898439E9)</f>
        <v>6138898439</v>
      </c>
      <c r="H1790" s="3"/>
    </row>
    <row r="1791">
      <c r="A1791" s="2">
        <f>IFERROR(__xludf.DUMMYFUNCTION("""COMPUTED_VALUE"""),21278.0)</f>
        <v>21278</v>
      </c>
      <c r="B1791" s="3" t="str">
        <f>IFERROR(__xludf.DUMMYFUNCTION("""COMPUTED_VALUE"""),"7887 DALE RD")</f>
        <v>7887 DALE RD</v>
      </c>
      <c r="C1791" s="3" t="str">
        <f>IFERROR(__xludf.DUMMYFUNCTION("""COMPUTED_VALUE"""),"COBOURG")</f>
        <v>COBOURG</v>
      </c>
      <c r="D1791" s="3" t="str">
        <f>IFERROR(__xludf.DUMMYFUNCTION("""COMPUTED_VALUE"""),"K9A 4J7")</f>
        <v>K9A 4J7</v>
      </c>
      <c r="E1791" s="3" t="str">
        <f>IFERROR(__xludf.DUMMYFUNCTION("""COMPUTED_VALUE"""),"Stephen Shaw")</f>
        <v>Stephen Shaw</v>
      </c>
      <c r="F1791" s="3" t="str">
        <f>IFERROR(__xludf.DUMMYFUNCTION("""COMPUTED_VALUE"""),"ve3jpi@gmail.com")</f>
        <v>ve3jpi@gmail.com</v>
      </c>
      <c r="G1791" s="3"/>
      <c r="H1791" s="3"/>
    </row>
    <row r="1792">
      <c r="A1792" s="2">
        <f>IFERROR(__xludf.DUMMYFUNCTION("""COMPUTED_VALUE"""),21402.0)</f>
        <v>21402</v>
      </c>
      <c r="B1792" s="3" t="str">
        <f>IFERROR(__xludf.DUMMYFUNCTION("""COMPUTED_VALUE"""),"8781-8783 DALE RD")</f>
        <v>8781-8783 DALE RD</v>
      </c>
      <c r="C1792" s="3" t="str">
        <f>IFERROR(__xludf.DUMMYFUNCTION("""COMPUTED_VALUE"""),"COBOURG")</f>
        <v>COBOURG</v>
      </c>
      <c r="D1792" s="3" t="str">
        <f>IFERROR(__xludf.DUMMYFUNCTION("""COMPUTED_VALUE"""),"K9A 4J9")</f>
        <v>K9A 4J9</v>
      </c>
      <c r="E1792" s="3" t="str">
        <f>IFERROR(__xludf.DUMMYFUNCTION("""COMPUTED_VALUE"""),"Jennifer and Brian Stadtke
Dwayne Virag")</f>
        <v>Jennifer and Brian Stadtke
Dwayne Virag</v>
      </c>
      <c r="F1792" s="3" t="str">
        <f>IFERROR(__xludf.DUMMYFUNCTION("""COMPUTED_VALUE"""),"jennifer@stadtke.com
dwayne@defineddesigns.ca")</f>
        <v>jennifer@stadtke.com
dwayne@defineddesigns.ca</v>
      </c>
      <c r="G1792" s="3"/>
      <c r="H1792" s="3"/>
    </row>
    <row r="1793">
      <c r="A1793" s="2">
        <f>IFERROR(__xludf.DUMMYFUNCTION("""COMPUTED_VALUE"""),21403.0)</f>
        <v>21403</v>
      </c>
      <c r="B1793" s="3" t="str">
        <f>IFERROR(__xludf.DUMMYFUNCTION("""COMPUTED_VALUE"""),"2772 DALEWOOD CRT")</f>
        <v>2772 DALEWOOD CRT</v>
      </c>
      <c r="C1793" s="3" t="str">
        <f>IFERROR(__xludf.DUMMYFUNCTION("""COMPUTED_VALUE"""),"COBOURG")</f>
        <v>COBOURG</v>
      </c>
      <c r="D1793" s="3" t="str">
        <f>IFERROR(__xludf.DUMMYFUNCTION("""COMPUTED_VALUE"""),"K9A 0V8")</f>
        <v>K9A 0V8</v>
      </c>
      <c r="E1793" s="3"/>
      <c r="F1793" s="3"/>
      <c r="G1793" s="3"/>
      <c r="H1793" s="3"/>
    </row>
    <row r="1794">
      <c r="A1794" s="2">
        <f>IFERROR(__xludf.DUMMYFUNCTION("""COMPUTED_VALUE"""),21404.0)</f>
        <v>21404</v>
      </c>
      <c r="B1794" s="3" t="str">
        <f>IFERROR(__xludf.DUMMYFUNCTION("""COMPUTED_VALUE"""),"2776 DALEWOOD CRT")</f>
        <v>2776 DALEWOOD CRT</v>
      </c>
      <c r="C1794" s="3" t="str">
        <f>IFERROR(__xludf.DUMMYFUNCTION("""COMPUTED_VALUE"""),"COBOURG")</f>
        <v>COBOURG</v>
      </c>
      <c r="D1794" s="3" t="str">
        <f>IFERROR(__xludf.DUMMYFUNCTION("""COMPUTED_VALUE"""),"K9A 0V8")</f>
        <v>K9A 0V8</v>
      </c>
      <c r="E1794" s="3" t="str">
        <f>IFERROR(__xludf.DUMMYFUNCTION("""COMPUTED_VALUE"""),"Gary Taylor")</f>
        <v>Gary Taylor</v>
      </c>
      <c r="F1794" s="3" t="str">
        <f>IFERROR(__xludf.DUMMYFUNCTION("""COMPUTED_VALUE"""),"debandgary@outlook.com")</f>
        <v>debandgary@outlook.com</v>
      </c>
      <c r="G1794" s="3">
        <f>IFERROR(__xludf.DUMMYFUNCTION("""COMPUTED_VALUE"""),4.379864475E9)</f>
        <v>4379864475</v>
      </c>
      <c r="H1794" s="3">
        <f>IFERROR(__xludf.DUMMYFUNCTION("""COMPUTED_VALUE"""),4.164173523E9)</f>
        <v>4164173523</v>
      </c>
    </row>
    <row r="1795">
      <c r="A1795" s="2">
        <f>IFERROR(__xludf.DUMMYFUNCTION("""COMPUTED_VALUE"""),21405.0)</f>
        <v>21405</v>
      </c>
      <c r="B1795" s="3" t="str">
        <f>IFERROR(__xludf.DUMMYFUNCTION("""COMPUTED_VALUE"""),"2777 DALEWOOD CRT")</f>
        <v>2777 DALEWOOD CRT</v>
      </c>
      <c r="C1795" s="3" t="str">
        <f>IFERROR(__xludf.DUMMYFUNCTION("""COMPUTED_VALUE"""),"COBOURG")</f>
        <v>COBOURG</v>
      </c>
      <c r="D1795" s="3" t="str">
        <f>IFERROR(__xludf.DUMMYFUNCTION("""COMPUTED_VALUE"""),"K9A 0V8")</f>
        <v>K9A 0V8</v>
      </c>
      <c r="E1795" s="3" t="str">
        <f>IFERROR(__xludf.DUMMYFUNCTION("""COMPUTED_VALUE"""),"Sherri Cormier")</f>
        <v>Sherri Cormier</v>
      </c>
      <c r="F1795" s="3" t="str">
        <f>IFERROR(__xludf.DUMMYFUNCTION("""COMPUTED_VALUE"""),"Sherritoad@hotmail.com")</f>
        <v>Sherritoad@hotmail.com</v>
      </c>
      <c r="G1795" s="3">
        <f>IFERROR(__xludf.DUMMYFUNCTION("""COMPUTED_VALUE"""),9.052438054E9)</f>
        <v>9052438054</v>
      </c>
      <c r="H1795" s="3">
        <f>IFERROR(__xludf.DUMMYFUNCTION("""COMPUTED_VALUE"""),9.052428387E9)</f>
        <v>9052428387</v>
      </c>
    </row>
    <row r="1796">
      <c r="A1796" s="2">
        <f>IFERROR(__xludf.DUMMYFUNCTION("""COMPUTED_VALUE"""),21406.0)</f>
        <v>21406</v>
      </c>
      <c r="B1796" s="3" t="str">
        <f>IFERROR(__xludf.DUMMYFUNCTION("""COMPUTED_VALUE"""),"2783 DALEWOOD CRT")</f>
        <v>2783 DALEWOOD CRT</v>
      </c>
      <c r="C1796" s="3" t="str">
        <f>IFERROR(__xludf.DUMMYFUNCTION("""COMPUTED_VALUE"""),"COBOURG")</f>
        <v>COBOURG</v>
      </c>
      <c r="D1796" s="3" t="str">
        <f>IFERROR(__xludf.DUMMYFUNCTION("""COMPUTED_VALUE"""),"K9A 0V8")</f>
        <v>K9A 0V8</v>
      </c>
      <c r="E1796" s="3" t="str">
        <f>IFERROR(__xludf.DUMMYFUNCTION("""COMPUTED_VALUE"""),"Jennifer Cormack")</f>
        <v>Jennifer Cormack</v>
      </c>
      <c r="F1796" s="3" t="str">
        <f>IFERROR(__xludf.DUMMYFUNCTION("""COMPUTED_VALUE"""),"jencormack5@gmail.com")</f>
        <v>jencormack5@gmail.com</v>
      </c>
      <c r="G1796" s="3"/>
      <c r="H1796" s="3"/>
    </row>
    <row r="1797">
      <c r="A1797" s="2">
        <f>IFERROR(__xludf.DUMMYFUNCTION("""COMPUTED_VALUE"""),21407.0)</f>
        <v>21407</v>
      </c>
      <c r="B1797" s="3" t="str">
        <f>IFERROR(__xludf.DUMMYFUNCTION("""COMPUTED_VALUE"""),"2784 DALEWOOD CRT")</f>
        <v>2784 DALEWOOD CRT</v>
      </c>
      <c r="C1797" s="3" t="str">
        <f>IFERROR(__xludf.DUMMYFUNCTION("""COMPUTED_VALUE"""),"COBOURG")</f>
        <v>COBOURG</v>
      </c>
      <c r="D1797" s="3" t="str">
        <f>IFERROR(__xludf.DUMMYFUNCTION("""COMPUTED_VALUE"""),"K9A 0V8")</f>
        <v>K9A 0V8</v>
      </c>
      <c r="E1797" s="3" t="str">
        <f>IFERROR(__xludf.DUMMYFUNCTION("""COMPUTED_VALUE"""),"Lyn Lowry")</f>
        <v>Lyn Lowry</v>
      </c>
      <c r="F1797" s="3"/>
      <c r="G1797" s="3"/>
      <c r="H1797" s="3"/>
    </row>
    <row r="1798">
      <c r="A1798" s="2">
        <f>IFERROR(__xludf.DUMMYFUNCTION("""COMPUTED_VALUE"""),21408.0)</f>
        <v>21408</v>
      </c>
      <c r="B1798" s="3" t="str">
        <f>IFERROR(__xludf.DUMMYFUNCTION("""COMPUTED_VALUE"""),"2789 DALEWOOD CRT")</f>
        <v>2789 DALEWOOD CRT</v>
      </c>
      <c r="C1798" s="3" t="str">
        <f>IFERROR(__xludf.DUMMYFUNCTION("""COMPUTED_VALUE"""),"COBOURG")</f>
        <v>COBOURG</v>
      </c>
      <c r="D1798" s="3" t="str">
        <f>IFERROR(__xludf.DUMMYFUNCTION("""COMPUTED_VALUE"""),"K9A 0V8")</f>
        <v>K9A 0V8</v>
      </c>
      <c r="E1798" s="3" t="str">
        <f>IFERROR(__xludf.DUMMYFUNCTION("""COMPUTED_VALUE"""),"Deock sung Ha")</f>
        <v>Deock sung Ha</v>
      </c>
      <c r="F1798" s="3" t="str">
        <f>IFERROR(__xludf.DUMMYFUNCTION("""COMPUTED_VALUE"""),"moremoresip@gmail.com")</f>
        <v>moremoresip@gmail.com</v>
      </c>
      <c r="G1798" s="3">
        <f>IFERROR(__xludf.DUMMYFUNCTION("""COMPUTED_VALUE"""),6.472327905E9)</f>
        <v>6472327905</v>
      </c>
      <c r="H1798" s="3"/>
    </row>
    <row r="1799">
      <c r="A1799" s="2">
        <f>IFERROR(__xludf.DUMMYFUNCTION("""COMPUTED_VALUE"""),21409.0)</f>
        <v>21409</v>
      </c>
      <c r="B1799" s="3" t="str">
        <f>IFERROR(__xludf.DUMMYFUNCTION("""COMPUTED_VALUE"""),"2790 DALEWOOD CRT")</f>
        <v>2790 DALEWOOD CRT</v>
      </c>
      <c r="C1799" s="3" t="str">
        <f>IFERROR(__xludf.DUMMYFUNCTION("""COMPUTED_VALUE"""),"COBOURG")</f>
        <v>COBOURG</v>
      </c>
      <c r="D1799" s="3" t="str">
        <f>IFERROR(__xludf.DUMMYFUNCTION("""COMPUTED_VALUE"""),"K9A 0V8")</f>
        <v>K9A 0V8</v>
      </c>
      <c r="E1799" s="3" t="str">
        <f>IFERROR(__xludf.DUMMYFUNCTION("""COMPUTED_VALUE"""),"Chris markle")</f>
        <v>Chris markle</v>
      </c>
      <c r="F1799" s="3" t="str">
        <f>IFERROR(__xludf.DUMMYFUNCTION("""COMPUTED_VALUE"""),"chrismarkle03@gmail.com")</f>
        <v>chrismarkle03@gmail.com</v>
      </c>
      <c r="G1799" s="3">
        <f>IFERROR(__xludf.DUMMYFUNCTION("""COMPUTED_VALUE"""),9.052694253E9)</f>
        <v>9052694253</v>
      </c>
      <c r="H1799" s="3"/>
    </row>
    <row r="1800">
      <c r="A1800" s="2">
        <f>IFERROR(__xludf.DUMMYFUNCTION("""COMPUTED_VALUE"""),21410.0)</f>
        <v>21410</v>
      </c>
      <c r="B1800" s="3" t="str">
        <f>IFERROR(__xludf.DUMMYFUNCTION("""COMPUTED_VALUE"""),"2795 DALEWOOD CRT")</f>
        <v>2795 DALEWOOD CRT</v>
      </c>
      <c r="C1800" s="3" t="str">
        <f>IFERROR(__xludf.DUMMYFUNCTION("""COMPUTED_VALUE"""),"COBOURG")</f>
        <v>COBOURG</v>
      </c>
      <c r="D1800" s="3" t="str">
        <f>IFERROR(__xludf.DUMMYFUNCTION("""COMPUTED_VALUE"""),"K9A 0V8")</f>
        <v>K9A 0V8</v>
      </c>
      <c r="E1800" s="3"/>
      <c r="F1800" s="3"/>
      <c r="G1800" s="3"/>
      <c r="H1800" s="3"/>
    </row>
    <row r="1801">
      <c r="A1801" s="2">
        <f>IFERROR(__xludf.DUMMYFUNCTION("""COMPUTED_VALUE"""),21411.0)</f>
        <v>21411</v>
      </c>
      <c r="B1801" s="3" t="str">
        <f>IFERROR(__xludf.DUMMYFUNCTION("""COMPUTED_VALUE"""),"2796 DALEWOOD CRT")</f>
        <v>2796 DALEWOOD CRT</v>
      </c>
      <c r="C1801" s="3" t="str">
        <f>IFERROR(__xludf.DUMMYFUNCTION("""COMPUTED_VALUE"""),"COBOURG")</f>
        <v>COBOURG</v>
      </c>
      <c r="D1801" s="3" t="str">
        <f>IFERROR(__xludf.DUMMYFUNCTION("""COMPUTED_VALUE"""),"K9A 0V8")</f>
        <v>K9A 0V8</v>
      </c>
      <c r="E1801" s="3"/>
      <c r="F1801" s="3"/>
      <c r="G1801" s="3"/>
      <c r="H1801" s="3"/>
    </row>
    <row r="1802">
      <c r="A1802" s="2">
        <f>IFERROR(__xludf.DUMMYFUNCTION("""COMPUTED_VALUE"""),23974.0)</f>
        <v>23974</v>
      </c>
      <c r="B1802" s="3" t="str">
        <f>IFERROR(__xludf.DUMMYFUNCTION("""COMPUTED_VALUE"""),"7962 DANFORTH RD W")</f>
        <v>7962 DANFORTH RD W</v>
      </c>
      <c r="C1802" s="3" t="str">
        <f>IFERROR(__xludf.DUMMYFUNCTION("""COMPUTED_VALUE"""),"COBOURG")</f>
        <v>COBOURG</v>
      </c>
      <c r="D1802" s="3" t="str">
        <f>IFERROR(__xludf.DUMMYFUNCTION("""COMPUTED_VALUE"""),"K9A 0M7")</f>
        <v>K9A 0M7</v>
      </c>
      <c r="E1802" s="3"/>
      <c r="F1802" s="3"/>
      <c r="G1802" s="3"/>
      <c r="H1802" s="3"/>
    </row>
    <row r="1803">
      <c r="A1803" s="2">
        <f>IFERROR(__xludf.DUMMYFUNCTION("""COMPUTED_VALUE"""),21412.0)</f>
        <v>21412</v>
      </c>
      <c r="B1803" s="3" t="str">
        <f>IFERROR(__xludf.DUMMYFUNCTION("""COMPUTED_VALUE"""),"7971 DANFORTH RD")</f>
        <v>7971 DANFORTH RD</v>
      </c>
      <c r="C1803" s="3" t="str">
        <f>IFERROR(__xludf.DUMMYFUNCTION("""COMPUTED_VALUE"""),"COBOURG")</f>
        <v>COBOURG</v>
      </c>
      <c r="D1803" s="3" t="str">
        <f>IFERROR(__xludf.DUMMYFUNCTION("""COMPUTED_VALUE"""),"K9A 0N9")</f>
        <v>K9A 0N9</v>
      </c>
      <c r="E1803" s="3" t="str">
        <f>IFERROR(__xludf.DUMMYFUNCTION("""COMPUTED_VALUE"""),"Lori Beatty")</f>
        <v>Lori Beatty</v>
      </c>
      <c r="F1803" s="3" t="str">
        <f>IFERROR(__xludf.DUMMYFUNCTION("""COMPUTED_VALUE"""),"lori.beatty61@gmail.com")</f>
        <v>lori.beatty61@gmail.com</v>
      </c>
      <c r="G1803" s="3"/>
      <c r="H1803" s="3"/>
    </row>
    <row r="1804">
      <c r="A1804" s="2">
        <f>IFERROR(__xludf.DUMMYFUNCTION("""COMPUTED_VALUE"""),21413.0)</f>
        <v>21413</v>
      </c>
      <c r="B1804" s="3" t="str">
        <f>IFERROR(__xludf.DUMMYFUNCTION("""COMPUTED_VALUE"""),"7976 DANFORTH RD")</f>
        <v>7976 DANFORTH RD</v>
      </c>
      <c r="C1804" s="3" t="str">
        <f>IFERROR(__xludf.DUMMYFUNCTION("""COMPUTED_VALUE"""),"COBOURG")</f>
        <v>COBOURG</v>
      </c>
      <c r="D1804" s="3" t="str">
        <f>IFERROR(__xludf.DUMMYFUNCTION("""COMPUTED_VALUE"""),"K9A 0P1")</f>
        <v>K9A 0P1</v>
      </c>
      <c r="E1804" s="3" t="str">
        <f>IFERROR(__xludf.DUMMYFUNCTION("""COMPUTED_VALUE"""),"Bill Garrard")</f>
        <v>Bill Garrard</v>
      </c>
      <c r="F1804" s="3" t="str">
        <f>IFERROR(__xludf.DUMMYFUNCTION("""COMPUTED_VALUE"""),"garrardbill@hotmail.com")</f>
        <v>garrardbill@hotmail.com</v>
      </c>
      <c r="G1804" s="3">
        <f>IFERROR(__xludf.DUMMYFUNCTION("""COMPUTED_VALUE"""),9.053764481E9)</f>
        <v>9053764481</v>
      </c>
      <c r="H1804" s="3">
        <f>IFERROR(__xludf.DUMMYFUNCTION("""COMPUTED_VALUE"""),9.053768808E9)</f>
        <v>9053768808</v>
      </c>
    </row>
    <row r="1805">
      <c r="A1805" s="2">
        <f>IFERROR(__xludf.DUMMYFUNCTION("""COMPUTED_VALUE"""),21414.0)</f>
        <v>21414</v>
      </c>
      <c r="B1805" s="3" t="str">
        <f>IFERROR(__xludf.DUMMYFUNCTION("""COMPUTED_VALUE"""),"7977 DANFORTH RD")</f>
        <v>7977 DANFORTH RD</v>
      </c>
      <c r="C1805" s="3" t="str">
        <f>IFERROR(__xludf.DUMMYFUNCTION("""COMPUTED_VALUE"""),"COBOURG")</f>
        <v>COBOURG</v>
      </c>
      <c r="D1805" s="3" t="str">
        <f>IFERROR(__xludf.DUMMYFUNCTION("""COMPUTED_VALUE"""),"K9A 0N9")</f>
        <v>K9A 0N9</v>
      </c>
      <c r="E1805" s="3" t="str">
        <f>IFERROR(__xludf.DUMMYFUNCTION("""COMPUTED_VALUE"""),"Lambert and Margaret Beatty")</f>
        <v>Lambert and Margaret Beatty</v>
      </c>
      <c r="F1805" s="3"/>
      <c r="G1805" s="3"/>
      <c r="H1805" s="3"/>
    </row>
    <row r="1806">
      <c r="A1806" s="2">
        <f>IFERROR(__xludf.DUMMYFUNCTION("""COMPUTED_VALUE"""),21415.0)</f>
        <v>21415</v>
      </c>
      <c r="B1806" s="3" t="str">
        <f>IFERROR(__xludf.DUMMYFUNCTION("""COMPUTED_VALUE"""),"7980 DANFORTH RD")</f>
        <v>7980 DANFORTH RD</v>
      </c>
      <c r="C1806" s="3" t="str">
        <f>IFERROR(__xludf.DUMMYFUNCTION("""COMPUTED_VALUE"""),"COBOURG")</f>
        <v>COBOURG</v>
      </c>
      <c r="D1806" s="3" t="str">
        <f>IFERROR(__xludf.DUMMYFUNCTION("""COMPUTED_VALUE"""),"K9A 0P1")</f>
        <v>K9A 0P1</v>
      </c>
      <c r="E1806" s="3" t="str">
        <f>IFERROR(__xludf.DUMMYFUNCTION("""COMPUTED_VALUE"""),"Kyle A G Davey")</f>
        <v>Kyle A G Davey</v>
      </c>
      <c r="F1806" s="3" t="str">
        <f>IFERROR(__xludf.DUMMYFUNCTION("""COMPUTED_VALUE"""),"kyledaveycarpentry@gmail.com")</f>
        <v>kyledaveycarpentry@gmail.com</v>
      </c>
      <c r="G1806" s="3"/>
      <c r="H1806" s="3"/>
    </row>
    <row r="1807">
      <c r="A1807" s="2">
        <f>IFERROR(__xludf.DUMMYFUNCTION("""COMPUTED_VALUE"""),21416.0)</f>
        <v>21416</v>
      </c>
      <c r="B1807" s="3" t="str">
        <f>IFERROR(__xludf.DUMMYFUNCTION("""COMPUTED_VALUE"""),"8021 DANFORTH RD")</f>
        <v>8021 DANFORTH RD</v>
      </c>
      <c r="C1807" s="3" t="str">
        <f>IFERROR(__xludf.DUMMYFUNCTION("""COMPUTED_VALUE"""),"COBOURG")</f>
        <v>COBOURG</v>
      </c>
      <c r="D1807" s="3" t="str">
        <f>IFERROR(__xludf.DUMMYFUNCTION("""COMPUTED_VALUE"""),"K9A 0N9")</f>
        <v>K9A 0N9</v>
      </c>
      <c r="E1807" s="3"/>
      <c r="F1807" s="3"/>
      <c r="G1807" s="3"/>
      <c r="H1807" s="3"/>
    </row>
    <row r="1808">
      <c r="A1808" s="2">
        <f>IFERROR(__xludf.DUMMYFUNCTION("""COMPUTED_VALUE"""),21417.0)</f>
        <v>21417</v>
      </c>
      <c r="B1808" s="3" t="str">
        <f>IFERROR(__xludf.DUMMYFUNCTION("""COMPUTED_VALUE"""),"8049 DANFORTH RD")</f>
        <v>8049 DANFORTH RD</v>
      </c>
      <c r="C1808" s="3" t="str">
        <f>IFERROR(__xludf.DUMMYFUNCTION("""COMPUTED_VALUE"""),"COBOURG")</f>
        <v>COBOURG</v>
      </c>
      <c r="D1808" s="3" t="str">
        <f>IFERROR(__xludf.DUMMYFUNCTION("""COMPUTED_VALUE"""),"K9A 0N9")</f>
        <v>K9A 0N9</v>
      </c>
      <c r="E1808" s="3" t="str">
        <f>IFERROR(__xludf.DUMMYFUNCTION("""COMPUTED_VALUE"""),"Nasser Abu Awad")</f>
        <v>Nasser Abu Awad</v>
      </c>
      <c r="F1808" s="3" t="str">
        <f>IFERROR(__xludf.DUMMYFUNCTION("""COMPUTED_VALUE"""),"n.abuawad@mail.utoronto.ca")</f>
        <v>n.abuawad@mail.utoronto.ca</v>
      </c>
      <c r="G1808" s="3">
        <f>IFERROR(__xludf.DUMMYFUNCTION("""COMPUTED_VALUE"""),9.057829596E9)</f>
        <v>9057829596</v>
      </c>
      <c r="H1808" s="3"/>
    </row>
    <row r="1809">
      <c r="A1809" s="2">
        <f>IFERROR(__xludf.DUMMYFUNCTION("""COMPUTED_VALUE"""),21418.0)</f>
        <v>21418</v>
      </c>
      <c r="B1809" s="3" t="str">
        <f>IFERROR(__xludf.DUMMYFUNCTION("""COMPUTED_VALUE"""),"8050 DANFORTH RD")</f>
        <v>8050 DANFORTH RD</v>
      </c>
      <c r="C1809" s="3" t="str">
        <f>IFERROR(__xludf.DUMMYFUNCTION("""COMPUTED_VALUE"""),"COBOURG")</f>
        <v>COBOURG</v>
      </c>
      <c r="D1809" s="3" t="str">
        <f>IFERROR(__xludf.DUMMYFUNCTION("""COMPUTED_VALUE"""),"K9A 0P1")</f>
        <v>K9A 0P1</v>
      </c>
      <c r="E1809" s="3" t="str">
        <f>IFERROR(__xludf.DUMMYFUNCTION("""COMPUTED_VALUE"""),"Paul &amp; Joan Mackler")</f>
        <v>Paul &amp; Joan Mackler</v>
      </c>
      <c r="F1809" s="3" t="str">
        <f>IFERROR(__xludf.DUMMYFUNCTION("""COMPUTED_VALUE"""),"pmac@eagle.ca")</f>
        <v>pmac@eagle.ca</v>
      </c>
      <c r="G1809" s="3"/>
      <c r="H1809" s="3"/>
    </row>
    <row r="1810">
      <c r="A1810" s="2">
        <f>IFERROR(__xludf.DUMMYFUNCTION("""COMPUTED_VALUE"""),21419.0)</f>
        <v>21419</v>
      </c>
      <c r="B1810" s="3" t="str">
        <f>IFERROR(__xludf.DUMMYFUNCTION("""COMPUTED_VALUE"""),"8083 DANFORTH RD")</f>
        <v>8083 DANFORTH RD</v>
      </c>
      <c r="C1810" s="3" t="str">
        <f>IFERROR(__xludf.DUMMYFUNCTION("""COMPUTED_VALUE"""),"COBOURG")</f>
        <v>COBOURG</v>
      </c>
      <c r="D1810" s="3" t="str">
        <f>IFERROR(__xludf.DUMMYFUNCTION("""COMPUTED_VALUE"""),"K9A 0N9")</f>
        <v>K9A 0N9</v>
      </c>
      <c r="E1810" s="3" t="str">
        <f>IFERROR(__xludf.DUMMYFUNCTION("""COMPUTED_VALUE"""),"Rodger Cooper")</f>
        <v>Rodger Cooper</v>
      </c>
      <c r="F1810" s="3" t="str">
        <f>IFERROR(__xludf.DUMMYFUNCTION("""COMPUTED_VALUE"""),"cooper@eagle.ca")</f>
        <v>cooper@eagle.ca</v>
      </c>
      <c r="G1810" s="3"/>
      <c r="H1810" s="3"/>
    </row>
    <row r="1811">
      <c r="A1811" s="2">
        <f>IFERROR(__xludf.DUMMYFUNCTION("""COMPUTED_VALUE"""),21420.0)</f>
        <v>21420</v>
      </c>
      <c r="B1811" s="3" t="str">
        <f>IFERROR(__xludf.DUMMYFUNCTION("""COMPUTED_VALUE"""),"8128 DANFORTH RD")</f>
        <v>8128 DANFORTH RD</v>
      </c>
      <c r="C1811" s="3" t="str">
        <f>IFERROR(__xludf.DUMMYFUNCTION("""COMPUTED_VALUE"""),"COBOURG")</f>
        <v>COBOURG</v>
      </c>
      <c r="D1811" s="3" t="str">
        <f>IFERROR(__xludf.DUMMYFUNCTION("""COMPUTED_VALUE"""),"K9A 0P1")</f>
        <v>K9A 0P1</v>
      </c>
      <c r="E1811" s="3" t="str">
        <f>IFERROR(__xludf.DUMMYFUNCTION("""COMPUTED_VALUE"""),"Heather Powell")</f>
        <v>Heather Powell</v>
      </c>
      <c r="F1811" s="3" t="str">
        <f>IFERROR(__xludf.DUMMYFUNCTION("""COMPUTED_VALUE"""),"dmcapowell@hotmail.com")</f>
        <v>dmcapowell@hotmail.com</v>
      </c>
      <c r="G1811" s="3"/>
      <c r="H1811" s="3"/>
    </row>
    <row r="1812">
      <c r="A1812" s="2">
        <f>IFERROR(__xludf.DUMMYFUNCTION("""COMPUTED_VALUE"""),21421.0)</f>
        <v>21421</v>
      </c>
      <c r="B1812" s="3" t="str">
        <f>IFERROR(__xludf.DUMMYFUNCTION("""COMPUTED_VALUE"""),"8136 DANFORTH RD")</f>
        <v>8136 DANFORTH RD</v>
      </c>
      <c r="C1812" s="3" t="str">
        <f>IFERROR(__xludf.DUMMYFUNCTION("""COMPUTED_VALUE"""),"COBOURG")</f>
        <v>COBOURG</v>
      </c>
      <c r="D1812" s="3" t="str">
        <f>IFERROR(__xludf.DUMMYFUNCTION("""COMPUTED_VALUE"""),"K9A 0P1")</f>
        <v>K9A 0P1</v>
      </c>
      <c r="E1812" s="3" t="str">
        <f>IFERROR(__xludf.DUMMYFUNCTION("""COMPUTED_VALUE"""),"Ann Biggar")</f>
        <v>Ann Biggar</v>
      </c>
      <c r="F1812" s="3"/>
      <c r="G1812" s="3"/>
      <c r="H1812" s="3"/>
    </row>
    <row r="1813">
      <c r="A1813" s="2">
        <f>IFERROR(__xludf.DUMMYFUNCTION("""COMPUTED_VALUE"""),21422.0)</f>
        <v>21422</v>
      </c>
      <c r="B1813" s="3" t="str">
        <f>IFERROR(__xludf.DUMMYFUNCTION("""COMPUTED_VALUE"""),"8143 DANFORTH RD")</f>
        <v>8143 DANFORTH RD</v>
      </c>
      <c r="C1813" s="3" t="str">
        <f>IFERROR(__xludf.DUMMYFUNCTION("""COMPUTED_VALUE"""),"COBOURG")</f>
        <v>COBOURG</v>
      </c>
      <c r="D1813" s="3" t="str">
        <f>IFERROR(__xludf.DUMMYFUNCTION("""COMPUTED_VALUE"""),"K9A 0N9")</f>
        <v>K9A 0N9</v>
      </c>
      <c r="E1813" s="3" t="str">
        <f>IFERROR(__xludf.DUMMYFUNCTION("""COMPUTED_VALUE"""),"ken shehan")</f>
        <v>ken shehan</v>
      </c>
      <c r="F1813" s="3" t="str">
        <f>IFERROR(__xludf.DUMMYFUNCTION("""COMPUTED_VALUE"""),"kenshehan@gmail.com")</f>
        <v>kenshehan@gmail.com</v>
      </c>
      <c r="G1813" s="3">
        <f>IFERROR(__xludf.DUMMYFUNCTION("""COMPUTED_VALUE"""),9.053725509E9)</f>
        <v>9053725509</v>
      </c>
      <c r="H1813" s="3"/>
    </row>
    <row r="1814">
      <c r="A1814" s="2">
        <f>IFERROR(__xludf.DUMMYFUNCTION("""COMPUTED_VALUE"""),21423.0)</f>
        <v>21423</v>
      </c>
      <c r="B1814" s="3" t="str">
        <f>IFERROR(__xludf.DUMMYFUNCTION("""COMPUTED_VALUE"""),"8144 DANFORTH RD")</f>
        <v>8144 DANFORTH RD</v>
      </c>
      <c r="C1814" s="3" t="str">
        <f>IFERROR(__xludf.DUMMYFUNCTION("""COMPUTED_VALUE"""),"COBOURG")</f>
        <v>COBOURG</v>
      </c>
      <c r="D1814" s="3" t="str">
        <f>IFERROR(__xludf.DUMMYFUNCTION("""COMPUTED_VALUE"""),"K9A 0P1")</f>
        <v>K9A 0P1</v>
      </c>
      <c r="E1814" s="3" t="str">
        <f>IFERROR(__xludf.DUMMYFUNCTION("""COMPUTED_VALUE"""),"Hank Vandermeer")</f>
        <v>Hank Vandermeer</v>
      </c>
      <c r="F1814" s="3" t="str">
        <f>IFERROR(__xludf.DUMMYFUNCTION("""COMPUTED_VALUE"""),"hvandermeer@vandermeer.toyota.ca")</f>
        <v>hvandermeer@vandermeer.toyota.ca</v>
      </c>
      <c r="G1814" s="3">
        <f>IFERROR(__xludf.DUMMYFUNCTION("""COMPUTED_VALUE"""),9.053775278E9)</f>
        <v>9053775278</v>
      </c>
      <c r="H1814" s="3">
        <f>IFERROR(__xludf.DUMMYFUNCTION("""COMPUTED_VALUE"""),9.053775489E9)</f>
        <v>9053775489</v>
      </c>
    </row>
    <row r="1815">
      <c r="A1815" s="2">
        <f>IFERROR(__xludf.DUMMYFUNCTION("""COMPUTED_VALUE"""),21424.0)</f>
        <v>21424</v>
      </c>
      <c r="B1815" s="3" t="str">
        <f>IFERROR(__xludf.DUMMYFUNCTION("""COMPUTED_VALUE"""),"8151 DANFORTH RD")</f>
        <v>8151 DANFORTH RD</v>
      </c>
      <c r="C1815" s="3" t="str">
        <f>IFERROR(__xludf.DUMMYFUNCTION("""COMPUTED_VALUE"""),"COBOURG")</f>
        <v>COBOURG</v>
      </c>
      <c r="D1815" s="3" t="str">
        <f>IFERROR(__xludf.DUMMYFUNCTION("""COMPUTED_VALUE"""),"K9A 0N9")</f>
        <v>K9A 0N9</v>
      </c>
      <c r="E1815" s="3" t="str">
        <f>IFERROR(__xludf.DUMMYFUNCTION("""COMPUTED_VALUE"""),"Brenda Kloostra")</f>
        <v>Brenda Kloostra</v>
      </c>
      <c r="F1815" s="3"/>
      <c r="G1815" s="3"/>
      <c r="H1815" s="3"/>
    </row>
    <row r="1816">
      <c r="A1816" s="2">
        <f>IFERROR(__xludf.DUMMYFUNCTION("""COMPUTED_VALUE"""),21425.0)</f>
        <v>21425</v>
      </c>
      <c r="B1816" s="3" t="str">
        <f>IFERROR(__xludf.DUMMYFUNCTION("""COMPUTED_VALUE"""),"8152 DANFORTH RD")</f>
        <v>8152 DANFORTH RD</v>
      </c>
      <c r="C1816" s="3" t="str">
        <f>IFERROR(__xludf.DUMMYFUNCTION("""COMPUTED_VALUE"""),"COBOURG")</f>
        <v>COBOURG</v>
      </c>
      <c r="D1816" s="3" t="str">
        <f>IFERROR(__xludf.DUMMYFUNCTION("""COMPUTED_VALUE"""),"K9A 0P1")</f>
        <v>K9A 0P1</v>
      </c>
      <c r="E1816" s="3" t="str">
        <f>IFERROR(__xludf.DUMMYFUNCTION("""COMPUTED_VALUE"""),"Elizabeth + Stan Muir")</f>
        <v>Elizabeth + Stan Muir</v>
      </c>
      <c r="F1816" s="3" t="str">
        <f>IFERROR(__xludf.DUMMYFUNCTION("""COMPUTED_VALUE"""),"muirelizabeth15@gmail.com")</f>
        <v>muirelizabeth15@gmail.com</v>
      </c>
      <c r="G1816" s="3"/>
      <c r="H1816" s="3"/>
    </row>
    <row r="1817">
      <c r="A1817" s="2">
        <f>IFERROR(__xludf.DUMMYFUNCTION("""COMPUTED_VALUE"""),21426.0)</f>
        <v>21426</v>
      </c>
      <c r="B1817" s="3" t="str">
        <f>IFERROR(__xludf.DUMMYFUNCTION("""COMPUTED_VALUE"""),"8161 DANFORTH RD")</f>
        <v>8161 DANFORTH RD</v>
      </c>
      <c r="C1817" s="3" t="str">
        <f>IFERROR(__xludf.DUMMYFUNCTION("""COMPUTED_VALUE"""),"COBOURG")</f>
        <v>COBOURG</v>
      </c>
      <c r="D1817" s="3" t="str">
        <f>IFERROR(__xludf.DUMMYFUNCTION("""COMPUTED_VALUE"""),"K9A 0N9")</f>
        <v>K9A 0N9</v>
      </c>
      <c r="E1817" s="3" t="str">
        <f>IFERROR(__xludf.DUMMYFUNCTION("""COMPUTED_VALUE"""),"m, holland")</f>
        <v>m, holland</v>
      </c>
      <c r="F1817" s="3" t="str">
        <f>IFERROR(__xludf.DUMMYFUNCTION("""COMPUTED_VALUE"""),"00.gmax@gmail.com")</f>
        <v>00.gmax@gmail.com</v>
      </c>
      <c r="G1817" s="3">
        <f>IFERROR(__xludf.DUMMYFUNCTION("""COMPUTED_VALUE"""),9.052699698E9)</f>
        <v>9052699698</v>
      </c>
      <c r="H1817" s="3"/>
    </row>
    <row r="1818">
      <c r="A1818" s="2">
        <f>IFERROR(__xludf.DUMMYFUNCTION("""COMPUTED_VALUE"""),21427.0)</f>
        <v>21427</v>
      </c>
      <c r="B1818" s="3" t="str">
        <f>IFERROR(__xludf.DUMMYFUNCTION("""COMPUTED_VALUE"""),"8168 DANFORTH RD")</f>
        <v>8168 DANFORTH RD</v>
      </c>
      <c r="C1818" s="3" t="str">
        <f>IFERROR(__xludf.DUMMYFUNCTION("""COMPUTED_VALUE"""),"COBOURG")</f>
        <v>COBOURG</v>
      </c>
      <c r="D1818" s="3" t="str">
        <f>IFERROR(__xludf.DUMMYFUNCTION("""COMPUTED_VALUE"""),"K9A 0P1")</f>
        <v>K9A 0P1</v>
      </c>
      <c r="E1818" s="3" t="str">
        <f>IFERROR(__xludf.DUMMYFUNCTION("""COMPUTED_VALUE"""),"Matthew Wardle")</f>
        <v>Matthew Wardle</v>
      </c>
      <c r="F1818" s="3" t="str">
        <f>IFERROR(__xludf.DUMMYFUNCTION("""COMPUTED_VALUE"""),"mwardle.22@gmail.com")</f>
        <v>mwardle.22@gmail.com</v>
      </c>
      <c r="G1818" s="3">
        <f>IFERROR(__xludf.DUMMYFUNCTION("""COMPUTED_VALUE"""),2.269729465E9)</f>
        <v>2269729465</v>
      </c>
      <c r="H1818" s="3"/>
    </row>
    <row r="1819">
      <c r="A1819" s="2">
        <f>IFERROR(__xludf.DUMMYFUNCTION("""COMPUTED_VALUE"""),21428.0)</f>
        <v>21428</v>
      </c>
      <c r="B1819" s="3" t="str">
        <f>IFERROR(__xludf.DUMMYFUNCTION("""COMPUTED_VALUE"""),"8169 DANFORTH RD")</f>
        <v>8169 DANFORTH RD</v>
      </c>
      <c r="C1819" s="3" t="str">
        <f>IFERROR(__xludf.DUMMYFUNCTION("""COMPUTED_VALUE"""),"COBOURG")</f>
        <v>COBOURG</v>
      </c>
      <c r="D1819" s="3" t="str">
        <f>IFERROR(__xludf.DUMMYFUNCTION("""COMPUTED_VALUE"""),"K9A 0N9")</f>
        <v>K9A 0N9</v>
      </c>
      <c r="E1819" s="3" t="str">
        <f>IFERROR(__xludf.DUMMYFUNCTION("""COMPUTED_VALUE"""),"murray macklin")</f>
        <v>murray macklin</v>
      </c>
      <c r="F1819" s="3" t="str">
        <f>IFERROR(__xludf.DUMMYFUNCTION("""COMPUTED_VALUE"""),"murrayandlynda345@gmail.com")</f>
        <v>murrayandlynda345@gmail.com</v>
      </c>
      <c r="G1819" s="3">
        <f>IFERROR(__xludf.DUMMYFUNCTION("""COMPUTED_VALUE"""),9.053961044E9)</f>
        <v>9053961044</v>
      </c>
      <c r="H1819" s="3">
        <f>IFERROR(__xludf.DUMMYFUNCTION("""COMPUTED_VALUE"""),9.053967696E9)</f>
        <v>9053967696</v>
      </c>
    </row>
    <row r="1820">
      <c r="A1820" s="2">
        <f>IFERROR(__xludf.DUMMYFUNCTION("""COMPUTED_VALUE"""),21429.0)</f>
        <v>21429</v>
      </c>
      <c r="B1820" s="3" t="str">
        <f>IFERROR(__xludf.DUMMYFUNCTION("""COMPUTED_VALUE"""),"8216 DANFORTH RD")</f>
        <v>8216 DANFORTH RD</v>
      </c>
      <c r="C1820" s="3" t="str">
        <f>IFERROR(__xludf.DUMMYFUNCTION("""COMPUTED_VALUE"""),"COBOURG")</f>
        <v>COBOURG</v>
      </c>
      <c r="D1820" s="3" t="str">
        <f>IFERROR(__xludf.DUMMYFUNCTION("""COMPUTED_VALUE"""),"K9A 0P1")</f>
        <v>K9A 0P1</v>
      </c>
      <c r="E1820" s="3" t="str">
        <f>IFERROR(__xludf.DUMMYFUNCTION("""COMPUTED_VALUE"""),"peter and karen kuehn")</f>
        <v>peter and karen kuehn</v>
      </c>
      <c r="F1820" s="3" t="str">
        <f>IFERROR(__xludf.DUMMYFUNCTION("""COMPUTED_VALUE"""),"karenkuehnqy@gmail.com")</f>
        <v>karenkuehnqy@gmail.com</v>
      </c>
      <c r="G1820" s="3">
        <f>IFERROR(__xludf.DUMMYFUNCTION("""COMPUTED_VALUE"""),9.05375915E9)</f>
        <v>9053759150</v>
      </c>
      <c r="H1820" s="3">
        <f>IFERROR(__xludf.DUMMYFUNCTION("""COMPUTED_VALUE"""),9.05375926E9)</f>
        <v>9053759260</v>
      </c>
    </row>
    <row r="1821">
      <c r="A1821" s="2">
        <f>IFERROR(__xludf.DUMMYFUNCTION("""COMPUTED_VALUE"""),23973.0)</f>
        <v>23973</v>
      </c>
      <c r="B1821" s="3" t="str">
        <f>IFERROR(__xludf.DUMMYFUNCTION("""COMPUTED_VALUE"""),"8224 DANFORTH RD W")</f>
        <v>8224 DANFORTH RD W</v>
      </c>
      <c r="C1821" s="3" t="str">
        <f>IFERROR(__xludf.DUMMYFUNCTION("""COMPUTED_VALUE"""),"COBOURG")</f>
        <v>COBOURG</v>
      </c>
      <c r="D1821" s="3" t="str">
        <f>IFERROR(__xludf.DUMMYFUNCTION("""COMPUTED_VALUE"""),"K9A 0M7")</f>
        <v>K9A 0M7</v>
      </c>
      <c r="E1821" s="3"/>
      <c r="F1821" s="3"/>
      <c r="G1821" s="3"/>
      <c r="H1821" s="3"/>
    </row>
    <row r="1822">
      <c r="A1822" s="2">
        <f>IFERROR(__xludf.DUMMYFUNCTION("""COMPUTED_VALUE"""),21430.0)</f>
        <v>21430</v>
      </c>
      <c r="B1822" s="3" t="str">
        <f>IFERROR(__xludf.DUMMYFUNCTION("""COMPUTED_VALUE"""),"8233 DANFORTH RD")</f>
        <v>8233 DANFORTH RD</v>
      </c>
      <c r="C1822" s="3" t="str">
        <f>IFERROR(__xludf.DUMMYFUNCTION("""COMPUTED_VALUE"""),"COBOURG")</f>
        <v>COBOURG</v>
      </c>
      <c r="D1822" s="3" t="str">
        <f>IFERROR(__xludf.DUMMYFUNCTION("""COMPUTED_VALUE"""),"K9A 0N9")</f>
        <v>K9A 0N9</v>
      </c>
      <c r="E1822" s="3" t="str">
        <f>IFERROR(__xludf.DUMMYFUNCTION("""COMPUTED_VALUE"""),"Dan stanley")</f>
        <v>Dan stanley</v>
      </c>
      <c r="F1822" s="3"/>
      <c r="G1822" s="3">
        <f>IFERROR(__xludf.DUMMYFUNCTION("""COMPUTED_VALUE"""),9.053729482E9)</f>
        <v>9053729482</v>
      </c>
      <c r="H1822" s="3"/>
    </row>
    <row r="1823">
      <c r="A1823" s="2">
        <f>IFERROR(__xludf.DUMMYFUNCTION("""COMPUTED_VALUE"""),21431.0)</f>
        <v>21431</v>
      </c>
      <c r="B1823" s="3" t="str">
        <f>IFERROR(__xludf.DUMMYFUNCTION("""COMPUTED_VALUE"""),"8288 DANFORTH RD")</f>
        <v>8288 DANFORTH RD</v>
      </c>
      <c r="C1823" s="3" t="str">
        <f>IFERROR(__xludf.DUMMYFUNCTION("""COMPUTED_VALUE"""),"COBOURG")</f>
        <v>COBOURG</v>
      </c>
      <c r="D1823" s="3" t="str">
        <f>IFERROR(__xludf.DUMMYFUNCTION("""COMPUTED_VALUE"""),"K9A 0M6")</f>
        <v>K9A 0M6</v>
      </c>
      <c r="E1823" s="3" t="str">
        <f>IFERROR(__xludf.DUMMYFUNCTION("""COMPUTED_VALUE"""),"Darlene Boyle ")</f>
        <v>Darlene Boyle </v>
      </c>
      <c r="F1823" s="3" t="str">
        <f>IFERROR(__xludf.DUMMYFUNCTION("""COMPUTED_VALUE"""),"gardengirl_ss@hotmail.com")</f>
        <v>gardengirl_ss@hotmail.com</v>
      </c>
      <c r="G1823" s="3"/>
      <c r="H1823" s="3"/>
    </row>
    <row r="1824">
      <c r="A1824" s="2">
        <f>IFERROR(__xludf.DUMMYFUNCTION("""COMPUTED_VALUE"""),21432.0)</f>
        <v>21432</v>
      </c>
      <c r="B1824" s="3" t="str">
        <f>IFERROR(__xludf.DUMMYFUNCTION("""COMPUTED_VALUE"""),"8304 DANFORTH RD")</f>
        <v>8304 DANFORTH RD</v>
      </c>
      <c r="C1824" s="3" t="str">
        <f>IFERROR(__xludf.DUMMYFUNCTION("""COMPUTED_VALUE"""),"COBOURG")</f>
        <v>COBOURG</v>
      </c>
      <c r="D1824" s="3" t="str">
        <f>IFERROR(__xludf.DUMMYFUNCTION("""COMPUTED_VALUE"""),"K9A 0M6")</f>
        <v>K9A 0M6</v>
      </c>
      <c r="E1824" s="3" t="str">
        <f>IFERROR(__xludf.DUMMYFUNCTION("""COMPUTED_VALUE"""),"Elizabeth Burtnik")</f>
        <v>Elizabeth Burtnik</v>
      </c>
      <c r="F1824" s="3" t="str">
        <f>IFERROR(__xludf.DUMMYFUNCTION("""COMPUTED_VALUE"""),"elizabethburtnik@gmail.com")</f>
        <v>elizabethburtnik@gmail.com</v>
      </c>
      <c r="G1824" s="3">
        <f>IFERROR(__xludf.DUMMYFUNCTION("""COMPUTED_VALUE"""),9.056214608E9)</f>
        <v>9056214608</v>
      </c>
      <c r="H1824" s="3">
        <f>IFERROR(__xludf.DUMMYFUNCTION("""COMPUTED_VALUE"""),9.0562319424E10)</f>
        <v>90562319424</v>
      </c>
    </row>
    <row r="1825">
      <c r="A1825" s="2">
        <f>IFERROR(__xludf.DUMMYFUNCTION("""COMPUTED_VALUE"""),21433.0)</f>
        <v>21433</v>
      </c>
      <c r="B1825" s="3" t="str">
        <f>IFERROR(__xludf.DUMMYFUNCTION("""COMPUTED_VALUE"""),"8312 DANFORTH RD")</f>
        <v>8312 DANFORTH RD</v>
      </c>
      <c r="C1825" s="3" t="str">
        <f>IFERROR(__xludf.DUMMYFUNCTION("""COMPUTED_VALUE"""),"COBOURG")</f>
        <v>COBOURG</v>
      </c>
      <c r="D1825" s="3" t="str">
        <f>IFERROR(__xludf.DUMMYFUNCTION("""COMPUTED_VALUE"""),"K9A 0M6")</f>
        <v>K9A 0M6</v>
      </c>
      <c r="E1825" s="3" t="str">
        <f>IFERROR(__xludf.DUMMYFUNCTION("""COMPUTED_VALUE"""),"Don Van Neste")</f>
        <v>Don Van Neste</v>
      </c>
      <c r="F1825" s="3" t="str">
        <f>IFERROR(__xludf.DUMMYFUNCTION("""COMPUTED_VALUE"""),"Dbmwvanneste@rogers.com")</f>
        <v>Dbmwvanneste@rogers.com</v>
      </c>
      <c r="G1825" s="3">
        <f>IFERROR(__xludf.DUMMYFUNCTION("""COMPUTED_VALUE"""),2.892513503E9)</f>
        <v>2892513503</v>
      </c>
      <c r="H1825" s="3"/>
    </row>
    <row r="1826">
      <c r="A1826" s="2">
        <f>IFERROR(__xludf.DUMMYFUNCTION("""COMPUTED_VALUE"""),21434.0)</f>
        <v>21434</v>
      </c>
      <c r="B1826" s="3" t="str">
        <f>IFERROR(__xludf.DUMMYFUNCTION("""COMPUTED_VALUE"""),"8338 DANFORTH RD")</f>
        <v>8338 DANFORTH RD</v>
      </c>
      <c r="C1826" s="3" t="str">
        <f>IFERROR(__xludf.DUMMYFUNCTION("""COMPUTED_VALUE"""),"COBOURG")</f>
        <v>COBOURG</v>
      </c>
      <c r="D1826" s="3" t="str">
        <f>IFERROR(__xludf.DUMMYFUNCTION("""COMPUTED_VALUE"""),"K9A 0M6")</f>
        <v>K9A 0M6</v>
      </c>
      <c r="E1826" s="3" t="str">
        <f>IFERROR(__xludf.DUMMYFUNCTION("""COMPUTED_VALUE"""),"sheila &amp;hunter drew")</f>
        <v>sheila &amp;hunter drew</v>
      </c>
      <c r="F1826" s="3" t="str">
        <f>IFERROR(__xludf.DUMMYFUNCTION("""COMPUTED_VALUE"""),"sheiladrew1@explornet.ca")</f>
        <v>sheiladrew1@explornet.ca</v>
      </c>
      <c r="G1826" s="3">
        <f>IFERROR(__xludf.DUMMYFUNCTION("""COMPUTED_VALUE"""),9.053969044E9)</f>
        <v>9053969044</v>
      </c>
      <c r="H1826" s="3">
        <f>IFERROR(__xludf.DUMMYFUNCTION("""COMPUTED_VALUE"""),9.053732621E9)</f>
        <v>9053732621</v>
      </c>
    </row>
    <row r="1827">
      <c r="A1827" s="2">
        <f>IFERROR(__xludf.DUMMYFUNCTION("""COMPUTED_VALUE"""),21435.0)</f>
        <v>21435</v>
      </c>
      <c r="B1827" s="3" t="str">
        <f>IFERROR(__xludf.DUMMYFUNCTION("""COMPUTED_VALUE"""),"8365 DANFORTH RD")</f>
        <v>8365 DANFORTH RD</v>
      </c>
      <c r="C1827" s="3" t="str">
        <f>IFERROR(__xludf.DUMMYFUNCTION("""COMPUTED_VALUE"""),"COBOURG")</f>
        <v>COBOURG</v>
      </c>
      <c r="D1827" s="3" t="str">
        <f>IFERROR(__xludf.DUMMYFUNCTION("""COMPUTED_VALUE"""),"K9A 0M7")</f>
        <v>K9A 0M7</v>
      </c>
      <c r="E1827" s="3"/>
      <c r="F1827" s="3"/>
      <c r="G1827" s="3"/>
      <c r="H1827" s="3"/>
    </row>
    <row r="1828">
      <c r="A1828" s="2">
        <f>IFERROR(__xludf.DUMMYFUNCTION("""COMPUTED_VALUE"""),21436.0)</f>
        <v>21436</v>
      </c>
      <c r="B1828" s="3" t="str">
        <f>IFERROR(__xludf.DUMMYFUNCTION("""COMPUTED_VALUE"""),"8379 DANFORTH RD")</f>
        <v>8379 DANFORTH RD</v>
      </c>
      <c r="C1828" s="3" t="str">
        <f>IFERROR(__xludf.DUMMYFUNCTION("""COMPUTED_VALUE"""),"COBOURG")</f>
        <v>COBOURG</v>
      </c>
      <c r="D1828" s="3" t="str">
        <f>IFERROR(__xludf.DUMMYFUNCTION("""COMPUTED_VALUE"""),"K9A 0M7")</f>
        <v>K9A 0M7</v>
      </c>
      <c r="E1828" s="3" t="str">
        <f>IFERROR(__xludf.DUMMYFUNCTION("""COMPUTED_VALUE"""),"alana ormerod")</f>
        <v>alana ormerod</v>
      </c>
      <c r="F1828" s="3"/>
      <c r="G1828" s="3">
        <f>IFERROR(__xludf.DUMMYFUNCTION("""COMPUTED_VALUE"""),9.053771666E9)</f>
        <v>9053771666</v>
      </c>
      <c r="H1828" s="3"/>
    </row>
    <row r="1829">
      <c r="A1829" s="2">
        <f>IFERROR(__xludf.DUMMYFUNCTION("""COMPUTED_VALUE"""),21438.0)</f>
        <v>21438</v>
      </c>
      <c r="B1829" s="3" t="str">
        <f>IFERROR(__xludf.DUMMYFUNCTION("""COMPUTED_VALUE"""),"8407 DANFORTH RD")</f>
        <v>8407 DANFORTH RD</v>
      </c>
      <c r="C1829" s="3" t="str">
        <f>IFERROR(__xludf.DUMMYFUNCTION("""COMPUTED_VALUE"""),"COBOURG")</f>
        <v>COBOURG</v>
      </c>
      <c r="D1829" s="3" t="str">
        <f>IFERROR(__xludf.DUMMYFUNCTION("""COMPUTED_VALUE"""),"K9A 0M7")</f>
        <v>K9A 0M7</v>
      </c>
      <c r="E1829" s="3" t="str">
        <f>IFERROR(__xludf.DUMMYFUNCTION("""COMPUTED_VALUE"""),"Brian Spry")</f>
        <v>Brian Spry</v>
      </c>
      <c r="F1829" s="3" t="str">
        <f>IFERROR(__xludf.DUMMYFUNCTION("""COMPUTED_VALUE"""),"bjspry@gmail.com")</f>
        <v>bjspry@gmail.com</v>
      </c>
      <c r="G1829" s="3">
        <f>IFERROR(__xludf.DUMMYFUNCTION("""COMPUTED_VALUE"""),9.053739632E9)</f>
        <v>9053739632</v>
      </c>
      <c r="H1829" s="3">
        <f>IFERROR(__xludf.DUMMYFUNCTION("""COMPUTED_VALUE"""),9.053732506E9)</f>
        <v>9053732506</v>
      </c>
    </row>
    <row r="1830">
      <c r="A1830" s="2">
        <f>IFERROR(__xludf.DUMMYFUNCTION("""COMPUTED_VALUE"""),21553.0)</f>
        <v>21553</v>
      </c>
      <c r="B1830" s="3" t="str">
        <f>IFERROR(__xludf.DUMMYFUNCTION("""COMPUTED_VALUE"""),"2503 DIVISION ST")</f>
        <v>2503 DIVISION ST</v>
      </c>
      <c r="C1830" s="3" t="str">
        <f>IFERROR(__xludf.DUMMYFUNCTION("""COMPUTED_VALUE"""),"COBOURG")</f>
        <v>COBOURG</v>
      </c>
      <c r="D1830" s="3" t="str">
        <f>IFERROR(__xludf.DUMMYFUNCTION("""COMPUTED_VALUE"""),"K9A 0M9")</f>
        <v>K9A 0M9</v>
      </c>
      <c r="E1830" s="3" t="str">
        <f>IFERROR(__xludf.DUMMYFUNCTION("""COMPUTED_VALUE"""),"Colton Quinn")</f>
        <v>Colton Quinn</v>
      </c>
      <c r="F1830" s="3" t="str">
        <f>IFERROR(__xludf.DUMMYFUNCTION("""COMPUTED_VALUE"""),"cqcyclone@hotmail.com")</f>
        <v>cqcyclone@hotmail.com</v>
      </c>
      <c r="G1830" s="3">
        <f>IFERROR(__xludf.DUMMYFUNCTION("""COMPUTED_VALUE"""),2.89251459E9)</f>
        <v>2892514590</v>
      </c>
      <c r="H1830" s="3"/>
    </row>
    <row r="1831">
      <c r="A1831" s="2">
        <f>IFERROR(__xludf.DUMMYFUNCTION("""COMPUTED_VALUE"""),21554.0)</f>
        <v>21554</v>
      </c>
      <c r="B1831" s="3" t="str">
        <f>IFERROR(__xludf.DUMMYFUNCTION("""COMPUTED_VALUE"""),"2509 DIVISION ST")</f>
        <v>2509 DIVISION ST</v>
      </c>
      <c r="C1831" s="3" t="str">
        <f>IFERROR(__xludf.DUMMYFUNCTION("""COMPUTED_VALUE"""),"COBOURG")</f>
        <v>COBOURG</v>
      </c>
      <c r="D1831" s="3" t="str">
        <f>IFERROR(__xludf.DUMMYFUNCTION("""COMPUTED_VALUE"""),"K9A 0M9")</f>
        <v>K9A 0M9</v>
      </c>
      <c r="E1831" s="3"/>
      <c r="F1831" s="3"/>
      <c r="G1831" s="3"/>
      <c r="H1831" s="3"/>
    </row>
    <row r="1832">
      <c r="A1832" s="2">
        <f>IFERROR(__xludf.DUMMYFUNCTION("""COMPUTED_VALUE"""),21527.0)</f>
        <v>21527</v>
      </c>
      <c r="B1832" s="3" t="str">
        <f>IFERROR(__xludf.DUMMYFUNCTION("""COMPUTED_VALUE"""),"2512 DIVISION ST N")</f>
        <v>2512 DIVISION ST N</v>
      </c>
      <c r="C1832" s="3" t="str">
        <f>IFERROR(__xludf.DUMMYFUNCTION("""COMPUTED_VALUE"""),"COBOURG")</f>
        <v>COBOURG</v>
      </c>
      <c r="D1832" s="3" t="str">
        <f>IFERROR(__xludf.DUMMYFUNCTION("""COMPUTED_VALUE"""),"K9A 0M8")</f>
        <v>K9A 0M8</v>
      </c>
      <c r="E1832" s="3" t="str">
        <f>IFERROR(__xludf.DUMMYFUNCTION("""COMPUTED_VALUE"""),"Jason Clark ")</f>
        <v>Jason Clark </v>
      </c>
      <c r="F1832" s="3" t="str">
        <f>IFERROR(__xludf.DUMMYFUNCTION("""COMPUTED_VALUE"""),"xtremewerx@yahoo.ca")</f>
        <v>xtremewerx@yahoo.ca</v>
      </c>
      <c r="G1832" s="3"/>
      <c r="H1832" s="3"/>
    </row>
    <row r="1833">
      <c r="A1833" s="2">
        <f>IFERROR(__xludf.DUMMYFUNCTION("""COMPUTED_VALUE"""),21555.0)</f>
        <v>21555</v>
      </c>
      <c r="B1833" s="3" t="str">
        <f>IFERROR(__xludf.DUMMYFUNCTION("""COMPUTED_VALUE"""),"2515 DIVISION ST")</f>
        <v>2515 DIVISION ST</v>
      </c>
      <c r="C1833" s="3" t="str">
        <f>IFERROR(__xludf.DUMMYFUNCTION("""COMPUTED_VALUE"""),"COBOURG")</f>
        <v>COBOURG</v>
      </c>
      <c r="D1833" s="3" t="str">
        <f>IFERROR(__xludf.DUMMYFUNCTION("""COMPUTED_VALUE"""),"K9A 0M9")</f>
        <v>K9A 0M9</v>
      </c>
      <c r="E1833" s="3" t="str">
        <f>IFERROR(__xludf.DUMMYFUNCTION("""COMPUTED_VALUE"""),"tom taylor")</f>
        <v>tom taylor</v>
      </c>
      <c r="F1833" s="3" t="str">
        <f>IFERROR(__xludf.DUMMYFUNCTION("""COMPUTED_VALUE"""),"thomas0371@hotmail.com")</f>
        <v>thomas0371@hotmail.com</v>
      </c>
      <c r="G1833" s="3">
        <f>IFERROR(__xludf.DUMMYFUNCTION("""COMPUTED_VALUE"""),2.892518668E9)</f>
        <v>2892518668</v>
      </c>
      <c r="H1833" s="3">
        <f>IFERROR(__xludf.DUMMYFUNCTION("""COMPUTED_VALUE"""),9.053753445E9)</f>
        <v>9053753445</v>
      </c>
    </row>
    <row r="1834">
      <c r="A1834" s="2">
        <f>IFERROR(__xludf.DUMMYFUNCTION("""COMPUTED_VALUE"""),21556.0)</f>
        <v>21556</v>
      </c>
      <c r="B1834" s="3" t="str">
        <f>IFERROR(__xludf.DUMMYFUNCTION("""COMPUTED_VALUE"""),"2525 DIVISION ST")</f>
        <v>2525 DIVISION ST</v>
      </c>
      <c r="C1834" s="3" t="str">
        <f>IFERROR(__xludf.DUMMYFUNCTION("""COMPUTED_VALUE"""),"COBOURG")</f>
        <v>COBOURG</v>
      </c>
      <c r="D1834" s="3" t="str">
        <f>IFERROR(__xludf.DUMMYFUNCTION("""COMPUTED_VALUE"""),"K9A 0M9")</f>
        <v>K9A 0M9</v>
      </c>
      <c r="E1834" s="3" t="str">
        <f>IFERROR(__xludf.DUMMYFUNCTION("""COMPUTED_VALUE"""),"Tyler Lees")</f>
        <v>Tyler Lees</v>
      </c>
      <c r="F1834" s="3" t="str">
        <f>IFERROR(__xludf.DUMMYFUNCTION("""COMPUTED_VALUE"""),"tyler_lees@live.com")</f>
        <v>tyler_lees@live.com</v>
      </c>
      <c r="G1834" s="3">
        <f>IFERROR(__xludf.DUMMYFUNCTION("""COMPUTED_VALUE"""),9.059252129E9)</f>
        <v>9059252129</v>
      </c>
      <c r="H1834" s="3">
        <f>IFERROR(__xludf.DUMMYFUNCTION("""COMPUTED_VALUE"""),9.057184007E9)</f>
        <v>9057184007</v>
      </c>
    </row>
    <row r="1835">
      <c r="A1835" s="2">
        <f>IFERROR(__xludf.DUMMYFUNCTION("""COMPUTED_VALUE"""),21528.0)</f>
        <v>21528</v>
      </c>
      <c r="B1835" s="3" t="str">
        <f>IFERROR(__xludf.DUMMYFUNCTION("""COMPUTED_VALUE"""),"2526 DIVISION ST N")</f>
        <v>2526 DIVISION ST N</v>
      </c>
      <c r="C1835" s="3" t="str">
        <f>IFERROR(__xludf.DUMMYFUNCTION("""COMPUTED_VALUE"""),"COBOURG")</f>
        <v>COBOURG</v>
      </c>
      <c r="D1835" s="3" t="str">
        <f>IFERROR(__xludf.DUMMYFUNCTION("""COMPUTED_VALUE"""),"K9A 0M8")</f>
        <v>K9A 0M8</v>
      </c>
      <c r="E1835" s="3" t="str">
        <f>IFERROR(__xludf.DUMMYFUNCTION("""COMPUTED_VALUE"""),"Bill Callahan/Kelly Crossman")</f>
        <v>Bill Callahan/Kelly Crossman</v>
      </c>
      <c r="F1835" s="3"/>
      <c r="G1835" s="3"/>
      <c r="H1835" s="3"/>
    </row>
    <row r="1836">
      <c r="A1836" s="2">
        <f>IFERROR(__xludf.DUMMYFUNCTION("""COMPUTED_VALUE"""),21557.0)</f>
        <v>21557</v>
      </c>
      <c r="B1836" s="3" t="str">
        <f>IFERROR(__xludf.DUMMYFUNCTION("""COMPUTED_VALUE"""),"2529 DIVISION ST")</f>
        <v>2529 DIVISION ST</v>
      </c>
      <c r="C1836" s="3" t="str">
        <f>IFERROR(__xludf.DUMMYFUNCTION("""COMPUTED_VALUE"""),"COBOURG")</f>
        <v>COBOURG</v>
      </c>
      <c r="D1836" s="3" t="str">
        <f>IFERROR(__xludf.DUMMYFUNCTION("""COMPUTED_VALUE"""),"K9A 0M9")</f>
        <v>K9A 0M9</v>
      </c>
      <c r="E1836" s="3" t="str">
        <f>IFERROR(__xludf.DUMMYFUNCTION("""COMPUTED_VALUE"""),"Katrina Howell")</f>
        <v>Katrina Howell</v>
      </c>
      <c r="F1836" s="3" t="str">
        <f>IFERROR(__xludf.DUMMYFUNCTION("""COMPUTED_VALUE"""),"katrina8howell@gmail.com")</f>
        <v>katrina8howell@gmail.com</v>
      </c>
      <c r="G1836" s="3"/>
      <c r="H1836" s="3"/>
    </row>
    <row r="1837">
      <c r="A1837" s="2">
        <f>IFERROR(__xludf.DUMMYFUNCTION("""COMPUTED_VALUE"""),21558.0)</f>
        <v>21558</v>
      </c>
      <c r="B1837" s="3" t="str">
        <f>IFERROR(__xludf.DUMMYFUNCTION("""COMPUTED_VALUE"""),"2537 DIVISION ST")</f>
        <v>2537 DIVISION ST</v>
      </c>
      <c r="C1837" s="3" t="str">
        <f>IFERROR(__xludf.DUMMYFUNCTION("""COMPUTED_VALUE"""),"COBOURG")</f>
        <v>COBOURG</v>
      </c>
      <c r="D1837" s="3" t="str">
        <f>IFERROR(__xludf.DUMMYFUNCTION("""COMPUTED_VALUE"""),"K9A 0M9")</f>
        <v>K9A 0M9</v>
      </c>
      <c r="E1837" s="3" t="str">
        <f>IFERROR(__xludf.DUMMYFUNCTION("""COMPUTED_VALUE"""),"MIKE BEDFORD")</f>
        <v>MIKE BEDFORD</v>
      </c>
      <c r="F1837" s="3" t="str">
        <f>IFERROR(__xludf.DUMMYFUNCTION("""COMPUTED_VALUE"""),"mbedford@sympatico.ca")</f>
        <v>mbedford@sympatico.ca</v>
      </c>
      <c r="G1837" s="3"/>
      <c r="H1837" s="3"/>
    </row>
    <row r="1838">
      <c r="A1838" s="2">
        <f>IFERROR(__xludf.DUMMYFUNCTION("""COMPUTED_VALUE"""),24004.0)</f>
        <v>24004</v>
      </c>
      <c r="B1838" s="3" t="str">
        <f>IFERROR(__xludf.DUMMYFUNCTION("""COMPUTED_VALUE"""),"2549 DIVISION ST N")</f>
        <v>2549 DIVISION ST N</v>
      </c>
      <c r="C1838" s="3" t="str">
        <f>IFERROR(__xludf.DUMMYFUNCTION("""COMPUTED_VALUE"""),"COBOURG")</f>
        <v>COBOURG</v>
      </c>
      <c r="D1838" s="3" t="str">
        <f>IFERROR(__xludf.DUMMYFUNCTION("""COMPUTED_VALUE"""),"K9A 0M9")</f>
        <v>K9A 0M9</v>
      </c>
      <c r="E1838" s="3" t="str">
        <f>IFERROR(__xludf.DUMMYFUNCTION("""COMPUTED_VALUE"""),"BRIAN KANE")</f>
        <v>BRIAN KANE</v>
      </c>
      <c r="F1838" s="3" t="str">
        <f>IFERROR(__xludf.DUMMYFUNCTION("""COMPUTED_VALUE"""),"Brian.kane2013@gmail.com")</f>
        <v>Brian.kane2013@gmail.com</v>
      </c>
      <c r="G1838" s="3"/>
      <c r="H1838" s="3"/>
    </row>
    <row r="1839">
      <c r="A1839" s="2">
        <f>IFERROR(__xludf.DUMMYFUNCTION("""COMPUTED_VALUE"""),21559.0)</f>
        <v>21559</v>
      </c>
      <c r="B1839" s="3" t="str">
        <f>IFERROR(__xludf.DUMMYFUNCTION("""COMPUTED_VALUE"""),"2571 DIVISION ST")</f>
        <v>2571 DIVISION ST</v>
      </c>
      <c r="C1839" s="3" t="str">
        <f>IFERROR(__xludf.DUMMYFUNCTION("""COMPUTED_VALUE"""),"COBOURG")</f>
        <v>COBOURG</v>
      </c>
      <c r="D1839" s="3" t="str">
        <f>IFERROR(__xludf.DUMMYFUNCTION("""COMPUTED_VALUE"""),"K9A 0M9")</f>
        <v>K9A 0M9</v>
      </c>
      <c r="E1839" s="3" t="str">
        <f>IFERROR(__xludf.DUMMYFUNCTION("""COMPUTED_VALUE"""),"Paul + Laura Gruntz")</f>
        <v>Paul + Laura Gruntz</v>
      </c>
      <c r="F1839" s="3" t="str">
        <f>IFERROR(__xludf.DUMMYFUNCTION("""COMPUTED_VALUE"""),"gruntzlaura@gmail.com")</f>
        <v>gruntzlaura@gmail.com</v>
      </c>
      <c r="G1839" s="3"/>
      <c r="H1839" s="3"/>
    </row>
    <row r="1840">
      <c r="A1840" s="2">
        <f>IFERROR(__xludf.DUMMYFUNCTION("""COMPUTED_VALUE"""),21560.0)</f>
        <v>21560</v>
      </c>
      <c r="B1840" s="3" t="str">
        <f>IFERROR(__xludf.DUMMYFUNCTION("""COMPUTED_VALUE"""),"2594 DIVISION ST")</f>
        <v>2594 DIVISION ST</v>
      </c>
      <c r="C1840" s="3" t="str">
        <f>IFERROR(__xludf.DUMMYFUNCTION("""COMPUTED_VALUE"""),"COBOURG")</f>
        <v>COBOURG</v>
      </c>
      <c r="D1840" s="3" t="str">
        <f>IFERROR(__xludf.DUMMYFUNCTION("""COMPUTED_VALUE"""),"K9A 0M8")</f>
        <v>K9A 0M8</v>
      </c>
      <c r="E1840" s="3" t="str">
        <f>IFERROR(__xludf.DUMMYFUNCTION("""COMPUTED_VALUE"""),"Kirk Fudge")</f>
        <v>Kirk Fudge</v>
      </c>
      <c r="F1840" s="3" t="str">
        <f>IFERROR(__xludf.DUMMYFUNCTION("""COMPUTED_VALUE"""),"kirkfudge@hotmail.com")</f>
        <v>kirkfudge@hotmail.com</v>
      </c>
      <c r="G1840" s="3">
        <f>IFERROR(__xludf.DUMMYFUNCTION("""COMPUTED_VALUE"""),9.053967233E9)</f>
        <v>9053967233</v>
      </c>
      <c r="H1840" s="3"/>
    </row>
    <row r="1841">
      <c r="A1841" s="2">
        <f>IFERROR(__xludf.DUMMYFUNCTION("""COMPUTED_VALUE"""),21561.0)</f>
        <v>21561</v>
      </c>
      <c r="B1841" s="3" t="str">
        <f>IFERROR(__xludf.DUMMYFUNCTION("""COMPUTED_VALUE"""),"2601 DIVISION ST")</f>
        <v>2601 DIVISION ST</v>
      </c>
      <c r="C1841" s="3" t="str">
        <f>IFERROR(__xludf.DUMMYFUNCTION("""COMPUTED_VALUE"""),"COBOURG")</f>
        <v>COBOURG</v>
      </c>
      <c r="D1841" s="3" t="str">
        <f>IFERROR(__xludf.DUMMYFUNCTION("""COMPUTED_VALUE"""),"K9A 0M9")</f>
        <v>K9A 0M9</v>
      </c>
      <c r="E1841" s="3"/>
      <c r="F1841" s="3"/>
      <c r="G1841" s="3"/>
      <c r="H1841" s="3"/>
    </row>
    <row r="1842">
      <c r="A1842" s="2">
        <f>IFERROR(__xludf.DUMMYFUNCTION("""COMPUTED_VALUE"""),21562.0)</f>
        <v>21562</v>
      </c>
      <c r="B1842" s="3" t="str">
        <f>IFERROR(__xludf.DUMMYFUNCTION("""COMPUTED_VALUE"""),"2604 DIVISION ST")</f>
        <v>2604 DIVISION ST</v>
      </c>
      <c r="C1842" s="3" t="str">
        <f>IFERROR(__xludf.DUMMYFUNCTION("""COMPUTED_VALUE"""),"COBOURG")</f>
        <v>COBOURG</v>
      </c>
      <c r="D1842" s="3" t="str">
        <f>IFERROR(__xludf.DUMMYFUNCTION("""COMPUTED_VALUE"""),"K9A 0M8")</f>
        <v>K9A 0M8</v>
      </c>
      <c r="E1842" s="3" t="str">
        <f>IFERROR(__xludf.DUMMYFUNCTION("""COMPUTED_VALUE"""),"Joe &amp; Nancy  Demarco ")</f>
        <v>Joe &amp; Nancy  Demarco </v>
      </c>
      <c r="F1842" s="3" t="str">
        <f>IFERROR(__xludf.DUMMYFUNCTION("""COMPUTED_VALUE"""),"Joedemarco38@gmail.com")</f>
        <v>Joedemarco38@gmail.com</v>
      </c>
      <c r="G1842" s="3">
        <f>IFERROR(__xludf.DUMMYFUNCTION("""COMPUTED_VALUE"""),9.05375495E9)</f>
        <v>9053754950</v>
      </c>
      <c r="H1842" s="3"/>
    </row>
    <row r="1843">
      <c r="A1843" s="2">
        <f>IFERROR(__xludf.DUMMYFUNCTION("""COMPUTED_VALUE"""),21563.0)</f>
        <v>21563</v>
      </c>
      <c r="B1843" s="3" t="str">
        <f>IFERROR(__xludf.DUMMYFUNCTION("""COMPUTED_VALUE"""),"2609 DIVISION ST")</f>
        <v>2609 DIVISION ST</v>
      </c>
      <c r="C1843" s="3" t="str">
        <f>IFERROR(__xludf.DUMMYFUNCTION("""COMPUTED_VALUE"""),"COBOURG")</f>
        <v>COBOURG</v>
      </c>
      <c r="D1843" s="3" t="str">
        <f>IFERROR(__xludf.DUMMYFUNCTION("""COMPUTED_VALUE"""),"K9A 0M9")</f>
        <v>K9A 0M9</v>
      </c>
      <c r="E1843" s="3" t="str">
        <f>IFERROR(__xludf.DUMMYFUNCTION("""COMPUTED_VALUE"""),"JAMES PATTERSON BIRCH")</f>
        <v>JAMES PATTERSON BIRCH</v>
      </c>
      <c r="F1843" s="3" t="str">
        <f>IFERROR(__xludf.DUMMYFUNCTION("""COMPUTED_VALUE"""),"jimpbirch@gmail.com")</f>
        <v>jimpbirch@gmail.com</v>
      </c>
      <c r="G1843" s="3"/>
      <c r="H1843" s="3"/>
    </row>
    <row r="1844">
      <c r="A1844" s="2">
        <f>IFERROR(__xludf.DUMMYFUNCTION("""COMPUTED_VALUE"""),21529.0)</f>
        <v>21529</v>
      </c>
      <c r="B1844" s="3" t="str">
        <f>IFERROR(__xludf.DUMMYFUNCTION("""COMPUTED_VALUE"""),"2611 DIVISION ST N")</f>
        <v>2611 DIVISION ST N</v>
      </c>
      <c r="C1844" s="3" t="str">
        <f>IFERROR(__xludf.DUMMYFUNCTION("""COMPUTED_VALUE"""),"COBOURG")</f>
        <v>COBOURG</v>
      </c>
      <c r="D1844" s="3" t="str">
        <f>IFERROR(__xludf.DUMMYFUNCTION("""COMPUTED_VALUE"""),"K9A 0M9")</f>
        <v>K9A 0M9</v>
      </c>
      <c r="E1844" s="3" t="str">
        <f>IFERROR(__xludf.DUMMYFUNCTION("""COMPUTED_VALUE"""),"Susan Emerick")</f>
        <v>Susan Emerick</v>
      </c>
      <c r="F1844" s="3" t="str">
        <f>IFERROR(__xludf.DUMMYFUNCTION("""COMPUTED_VALUE"""),"emericksusan@gmail.com")</f>
        <v>emericksusan@gmail.com</v>
      </c>
      <c r="G1844" s="3">
        <f>IFERROR(__xludf.DUMMYFUNCTION("""COMPUTED_VALUE"""),6.037161423E9)</f>
        <v>6037161423</v>
      </c>
      <c r="H1844" s="3">
        <f>IFERROR(__xludf.DUMMYFUNCTION("""COMPUTED_VALUE"""),6.037995444E9)</f>
        <v>6037995444</v>
      </c>
    </row>
    <row r="1845">
      <c r="A1845" s="2">
        <f>IFERROR(__xludf.DUMMYFUNCTION("""COMPUTED_VALUE"""),21564.0)</f>
        <v>21564</v>
      </c>
      <c r="B1845" s="3" t="str">
        <f>IFERROR(__xludf.DUMMYFUNCTION("""COMPUTED_VALUE"""),"2612 DIVISION ST")</f>
        <v>2612 DIVISION ST</v>
      </c>
      <c r="C1845" s="3" t="str">
        <f>IFERROR(__xludf.DUMMYFUNCTION("""COMPUTED_VALUE"""),"COBOURG")</f>
        <v>COBOURG</v>
      </c>
      <c r="D1845" s="3" t="str">
        <f>IFERROR(__xludf.DUMMYFUNCTION("""COMPUTED_VALUE"""),"K9A 0M8")</f>
        <v>K9A 0M8</v>
      </c>
      <c r="E1845" s="3" t="str">
        <f>IFERROR(__xludf.DUMMYFUNCTION("""COMPUTED_VALUE"""),"Randy Bedford")</f>
        <v>Randy Bedford</v>
      </c>
      <c r="F1845" s="3" t="str">
        <f>IFERROR(__xludf.DUMMYFUNCTION("""COMPUTED_VALUE"""),"rescuerandy38@hotmail.com")</f>
        <v>rescuerandy38@hotmail.com</v>
      </c>
      <c r="G1845" s="3"/>
      <c r="H1845" s="3"/>
    </row>
    <row r="1846">
      <c r="A1846" s="2">
        <f>IFERROR(__xludf.DUMMYFUNCTION("""COMPUTED_VALUE"""),21565.0)</f>
        <v>21565</v>
      </c>
      <c r="B1846" s="3" t="str">
        <f>IFERROR(__xludf.DUMMYFUNCTION("""COMPUTED_VALUE"""),"2621 DIVISION ST")</f>
        <v>2621 DIVISION ST</v>
      </c>
      <c r="C1846" s="3" t="str">
        <f>IFERROR(__xludf.DUMMYFUNCTION("""COMPUTED_VALUE"""),"COBOURG")</f>
        <v>COBOURG</v>
      </c>
      <c r="D1846" s="3" t="str">
        <f>IFERROR(__xludf.DUMMYFUNCTION("""COMPUTED_VALUE"""),"K9A 0M9")</f>
        <v>K9A 0M9</v>
      </c>
      <c r="E1846" s="3" t="str">
        <f>IFERROR(__xludf.DUMMYFUNCTION("""COMPUTED_VALUE"""),"Andrew Jeninga")</f>
        <v>Andrew Jeninga</v>
      </c>
      <c r="F1846" s="3" t="str">
        <f>IFERROR(__xludf.DUMMYFUNCTION("""COMPUTED_VALUE"""),"atjeninga@live.ca")</f>
        <v>atjeninga@live.ca</v>
      </c>
      <c r="G1846" s="3">
        <f>IFERROR(__xludf.DUMMYFUNCTION("""COMPUTED_VALUE"""),9.054498812E9)</f>
        <v>9054498812</v>
      </c>
      <c r="H1846" s="3"/>
    </row>
    <row r="1847">
      <c r="A1847" s="2">
        <f>IFERROR(__xludf.DUMMYFUNCTION("""COMPUTED_VALUE"""),21566.0)</f>
        <v>21566</v>
      </c>
      <c r="B1847" s="3" t="str">
        <f>IFERROR(__xludf.DUMMYFUNCTION("""COMPUTED_VALUE"""),"2625 DIVISION ST")</f>
        <v>2625 DIVISION ST</v>
      </c>
      <c r="C1847" s="3" t="str">
        <f>IFERROR(__xludf.DUMMYFUNCTION("""COMPUTED_VALUE"""),"COBOURG")</f>
        <v>COBOURG</v>
      </c>
      <c r="D1847" s="3" t="str">
        <f>IFERROR(__xludf.DUMMYFUNCTION("""COMPUTED_VALUE"""),"K9A 0M9")</f>
        <v>K9A 0M9</v>
      </c>
      <c r="E1847" s="3" t="str">
        <f>IFERROR(__xludf.DUMMYFUNCTION("""COMPUTED_VALUE"""),"Gary Curtis")</f>
        <v>Gary Curtis</v>
      </c>
      <c r="F1847" s="3"/>
      <c r="G1847" s="3"/>
      <c r="H1847" s="3"/>
    </row>
    <row r="1848">
      <c r="A1848" s="2">
        <f>IFERROR(__xludf.DUMMYFUNCTION("""COMPUTED_VALUE"""),21567.0)</f>
        <v>21567</v>
      </c>
      <c r="B1848" s="3" t="str">
        <f>IFERROR(__xludf.DUMMYFUNCTION("""COMPUTED_VALUE"""),"2626 DIVISION ST")</f>
        <v>2626 DIVISION ST</v>
      </c>
      <c r="C1848" s="3" t="str">
        <f>IFERROR(__xludf.DUMMYFUNCTION("""COMPUTED_VALUE"""),"COBOURG")</f>
        <v>COBOURG</v>
      </c>
      <c r="D1848" s="3" t="str">
        <f>IFERROR(__xludf.DUMMYFUNCTION("""COMPUTED_VALUE"""),"K9A 0M8")</f>
        <v>K9A 0M8</v>
      </c>
      <c r="E1848" s="3" t="str">
        <f>IFERROR(__xludf.DUMMYFUNCTION("""COMPUTED_VALUE"""),"Franklin Bowness")</f>
        <v>Franklin Bowness</v>
      </c>
      <c r="F1848" s="3" t="str">
        <f>IFERROR(__xludf.DUMMYFUNCTION("""COMPUTED_VALUE"""),"gwenfrankb@hotmail.com")</f>
        <v>gwenfrankb@hotmail.com</v>
      </c>
      <c r="G1848" s="3">
        <f>IFERROR(__xludf.DUMMYFUNCTION("""COMPUTED_VALUE"""),9.05372608E9)</f>
        <v>9053726080</v>
      </c>
      <c r="H1848" s="3">
        <f>IFERROR(__xludf.DUMMYFUNCTION("""COMPUTED_VALUE"""),9.052694466E9)</f>
        <v>9052694466</v>
      </c>
    </row>
    <row r="1849">
      <c r="A1849" s="2">
        <f>IFERROR(__xludf.DUMMYFUNCTION("""COMPUTED_VALUE"""),21568.0)</f>
        <v>21568</v>
      </c>
      <c r="B1849" s="3" t="str">
        <f>IFERROR(__xludf.DUMMYFUNCTION("""COMPUTED_VALUE"""),"2633 DIVISION ST")</f>
        <v>2633 DIVISION ST</v>
      </c>
      <c r="C1849" s="3" t="str">
        <f>IFERROR(__xludf.DUMMYFUNCTION("""COMPUTED_VALUE"""),"COBOURG")</f>
        <v>COBOURG</v>
      </c>
      <c r="D1849" s="3" t="str">
        <f>IFERROR(__xludf.DUMMYFUNCTION("""COMPUTED_VALUE"""),"K9A 0M9")</f>
        <v>K9A 0M9</v>
      </c>
      <c r="E1849" s="3" t="str">
        <f>IFERROR(__xludf.DUMMYFUNCTION("""COMPUTED_VALUE"""),"laura allen ")</f>
        <v>laura allen </v>
      </c>
      <c r="F1849" s="3" t="str">
        <f>IFERROR(__xludf.DUMMYFUNCTION("""COMPUTED_VALUE"""),"r&amp;lleagalservices@hotmail.com")</f>
        <v>r&amp;lleagalservices@hotmail.com</v>
      </c>
      <c r="G1849" s="3">
        <f>IFERROR(__xludf.DUMMYFUNCTION("""COMPUTED_VALUE"""),9.053757569E9)</f>
        <v>9053757569</v>
      </c>
      <c r="H1849" s="3"/>
    </row>
    <row r="1850">
      <c r="A1850" s="2">
        <f>IFERROR(__xludf.DUMMYFUNCTION("""COMPUTED_VALUE"""),21569.0)</f>
        <v>21569</v>
      </c>
      <c r="B1850" s="3" t="str">
        <f>IFERROR(__xludf.DUMMYFUNCTION("""COMPUTED_VALUE"""),"2636 DIVISION ST")</f>
        <v>2636 DIVISION ST</v>
      </c>
      <c r="C1850" s="3" t="str">
        <f>IFERROR(__xludf.DUMMYFUNCTION("""COMPUTED_VALUE"""),"COBOURG")</f>
        <v>COBOURG</v>
      </c>
      <c r="D1850" s="3" t="str">
        <f>IFERROR(__xludf.DUMMYFUNCTION("""COMPUTED_VALUE"""),"K9A 0M8")</f>
        <v>K9A 0M8</v>
      </c>
      <c r="E1850" s="3" t="str">
        <f>IFERROR(__xludf.DUMMYFUNCTION("""COMPUTED_VALUE"""),"Andy SKumavec")</f>
        <v>Andy SKumavec</v>
      </c>
      <c r="F1850" s="3" t="str">
        <f>IFERROR(__xludf.DUMMYFUNCTION("""COMPUTED_VALUE"""),"andyskumavec@gmail.com")</f>
        <v>andyskumavec@gmail.com</v>
      </c>
      <c r="G1850" s="3">
        <f>IFERROR(__xludf.DUMMYFUNCTION("""COMPUTED_VALUE"""),9.053721532E9)</f>
        <v>9053721532</v>
      </c>
      <c r="H1850" s="3"/>
    </row>
    <row r="1851">
      <c r="A1851" s="2">
        <f>IFERROR(__xludf.DUMMYFUNCTION("""COMPUTED_VALUE"""),21570.0)</f>
        <v>21570</v>
      </c>
      <c r="B1851" s="3" t="str">
        <f>IFERROR(__xludf.DUMMYFUNCTION("""COMPUTED_VALUE"""),"2645 DIVISION ST")</f>
        <v>2645 DIVISION ST</v>
      </c>
      <c r="C1851" s="3" t="str">
        <f>IFERROR(__xludf.DUMMYFUNCTION("""COMPUTED_VALUE"""),"COBOURG")</f>
        <v>COBOURG</v>
      </c>
      <c r="D1851" s="3" t="str">
        <f>IFERROR(__xludf.DUMMYFUNCTION("""COMPUTED_VALUE"""),"K9A 0M9")</f>
        <v>K9A 0M9</v>
      </c>
      <c r="E1851" s="3" t="str">
        <f>IFERROR(__xludf.DUMMYFUNCTION("""COMPUTED_VALUE"""),"Ronald Pillar")</f>
        <v>Ronald Pillar</v>
      </c>
      <c r="F1851" s="3" t="str">
        <f>IFERROR(__xludf.DUMMYFUNCTION("""COMPUTED_VALUE"""),"info@pillarpestmanagement.com")</f>
        <v>info@pillarpestmanagement.com</v>
      </c>
      <c r="G1851" s="3">
        <f>IFERROR(__xludf.DUMMYFUNCTION("""COMPUTED_VALUE"""),9.053770776E9)</f>
        <v>9053770776</v>
      </c>
      <c r="H1851" s="3">
        <f>IFERROR(__xludf.DUMMYFUNCTION("""COMPUTED_VALUE"""),2.896757667E9)</f>
        <v>2896757667</v>
      </c>
    </row>
    <row r="1852">
      <c r="A1852" s="2">
        <f>IFERROR(__xludf.DUMMYFUNCTION("""COMPUTED_VALUE"""),21571.0)</f>
        <v>21571</v>
      </c>
      <c r="B1852" s="3" t="str">
        <f>IFERROR(__xludf.DUMMYFUNCTION("""COMPUTED_VALUE"""),"2650 DIVISION ST")</f>
        <v>2650 DIVISION ST</v>
      </c>
      <c r="C1852" s="3" t="str">
        <f>IFERROR(__xludf.DUMMYFUNCTION("""COMPUTED_VALUE"""),"COBOURG")</f>
        <v>COBOURG</v>
      </c>
      <c r="D1852" s="3" t="str">
        <f>IFERROR(__xludf.DUMMYFUNCTION("""COMPUTED_VALUE"""),"K9A 0M8")</f>
        <v>K9A 0M8</v>
      </c>
      <c r="E1852" s="3" t="str">
        <f>IFERROR(__xludf.DUMMYFUNCTION("""COMPUTED_VALUE"""),"Jennifer Scott")</f>
        <v>Jennifer Scott</v>
      </c>
      <c r="F1852" s="3" t="str">
        <f>IFERROR(__xludf.DUMMYFUNCTION("""COMPUTED_VALUE"""),"mjlscott81@gmail.com")</f>
        <v>mjlscott81@gmail.com</v>
      </c>
      <c r="G1852" s="3"/>
      <c r="H1852" s="3"/>
    </row>
    <row r="1853">
      <c r="A1853" s="2">
        <f>IFERROR(__xludf.DUMMYFUNCTION("""COMPUTED_VALUE"""),21572.0)</f>
        <v>21572</v>
      </c>
      <c r="B1853" s="3" t="str">
        <f>IFERROR(__xludf.DUMMYFUNCTION("""COMPUTED_VALUE"""),"2654 DIVISION ST")</f>
        <v>2654 DIVISION ST</v>
      </c>
      <c r="C1853" s="3" t="str">
        <f>IFERROR(__xludf.DUMMYFUNCTION("""COMPUTED_VALUE"""),"COBOURG")</f>
        <v>COBOURG</v>
      </c>
      <c r="D1853" s="3" t="str">
        <f>IFERROR(__xludf.DUMMYFUNCTION("""COMPUTED_VALUE"""),"K9A 0M8")</f>
        <v>K9A 0M8</v>
      </c>
      <c r="E1853" s="3" t="str">
        <f>IFERROR(__xludf.DUMMYFUNCTION("""COMPUTED_VALUE"""),"Terry Neville ")</f>
        <v>Terry Neville </v>
      </c>
      <c r="F1853" s="3"/>
      <c r="G1853" s="3">
        <f>IFERROR(__xludf.DUMMYFUNCTION("""COMPUTED_VALUE"""),2.898291123E9)</f>
        <v>2898291123</v>
      </c>
      <c r="H1853" s="3"/>
    </row>
    <row r="1854">
      <c r="A1854" s="2">
        <f>IFERROR(__xludf.DUMMYFUNCTION("""COMPUTED_VALUE"""),21573.0)</f>
        <v>21573</v>
      </c>
      <c r="B1854" s="3" t="str">
        <f>IFERROR(__xludf.DUMMYFUNCTION("""COMPUTED_VALUE"""),"2660 DIVISION ST")</f>
        <v>2660 DIVISION ST</v>
      </c>
      <c r="C1854" s="3" t="str">
        <f>IFERROR(__xludf.DUMMYFUNCTION("""COMPUTED_VALUE"""),"COBOURG")</f>
        <v>COBOURG</v>
      </c>
      <c r="D1854" s="3" t="str">
        <f>IFERROR(__xludf.DUMMYFUNCTION("""COMPUTED_VALUE"""),"K9A 0M8")</f>
        <v>K9A 0M8</v>
      </c>
      <c r="E1854" s="3" t="str">
        <f>IFERROR(__xludf.DUMMYFUNCTION("""COMPUTED_VALUE"""),"Scott Crosty")</f>
        <v>Scott Crosty</v>
      </c>
      <c r="F1854" s="3" t="str">
        <f>IFERROR(__xludf.DUMMYFUNCTION("""COMPUTED_VALUE"""),"kim.crosty@hotmail.com")</f>
        <v>kim.crosty@hotmail.com</v>
      </c>
      <c r="G1854" s="3"/>
      <c r="H1854" s="3"/>
    </row>
    <row r="1855">
      <c r="A1855" s="2">
        <f>IFERROR(__xludf.DUMMYFUNCTION("""COMPUTED_VALUE"""),21574.0)</f>
        <v>21574</v>
      </c>
      <c r="B1855" s="3" t="str">
        <f>IFERROR(__xludf.DUMMYFUNCTION("""COMPUTED_VALUE"""),"2666 DIVISION ST")</f>
        <v>2666 DIVISION ST</v>
      </c>
      <c r="C1855" s="3" t="str">
        <f>IFERROR(__xludf.DUMMYFUNCTION("""COMPUTED_VALUE"""),"COBOURG")</f>
        <v>COBOURG</v>
      </c>
      <c r="D1855" s="3" t="str">
        <f>IFERROR(__xludf.DUMMYFUNCTION("""COMPUTED_VALUE"""),"K9A 0M8")</f>
        <v>K9A 0M8</v>
      </c>
      <c r="E1855" s="3"/>
      <c r="F1855" s="3"/>
      <c r="G1855" s="3"/>
      <c r="H1855" s="3"/>
    </row>
    <row r="1856">
      <c r="A1856" s="2">
        <f>IFERROR(__xludf.DUMMYFUNCTION("""COMPUTED_VALUE"""),21575.0)</f>
        <v>21575</v>
      </c>
      <c r="B1856" s="3" t="str">
        <f>IFERROR(__xludf.DUMMYFUNCTION("""COMPUTED_VALUE"""),"2683 DIVISION ST")</f>
        <v>2683 DIVISION ST</v>
      </c>
      <c r="C1856" s="3" t="str">
        <f>IFERROR(__xludf.DUMMYFUNCTION("""COMPUTED_VALUE"""),"COBOURG")</f>
        <v>COBOURG</v>
      </c>
      <c r="D1856" s="3" t="str">
        <f>IFERROR(__xludf.DUMMYFUNCTION("""COMPUTED_VALUE"""),"K9A 0M9")</f>
        <v>K9A 0M9</v>
      </c>
      <c r="E1856" s="3" t="str">
        <f>IFERROR(__xludf.DUMMYFUNCTION("""COMPUTED_VALUE"""),"Davey &amp; Lois Barton")</f>
        <v>Davey &amp; Lois Barton</v>
      </c>
      <c r="F1856" s="3"/>
      <c r="G1856" s="3"/>
      <c r="H1856" s="3"/>
    </row>
    <row r="1857">
      <c r="A1857" s="2">
        <f>IFERROR(__xludf.DUMMYFUNCTION("""COMPUTED_VALUE"""),21576.0)</f>
        <v>21576</v>
      </c>
      <c r="B1857" s="3" t="str">
        <f>IFERROR(__xludf.DUMMYFUNCTION("""COMPUTED_VALUE"""),"2690 DIVISION ST")</f>
        <v>2690 DIVISION ST</v>
      </c>
      <c r="C1857" s="3" t="str">
        <f>IFERROR(__xludf.DUMMYFUNCTION("""COMPUTED_VALUE"""),"COBOURG")</f>
        <v>COBOURG</v>
      </c>
      <c r="D1857" s="3" t="str">
        <f>IFERROR(__xludf.DUMMYFUNCTION("""COMPUTED_VALUE"""),"K9A 0M8")</f>
        <v>K9A 0M8</v>
      </c>
      <c r="E1857" s="3" t="str">
        <f>IFERROR(__xludf.DUMMYFUNCTION("""COMPUTED_VALUE"""),"Mike Rostetter")</f>
        <v>Mike Rostetter</v>
      </c>
      <c r="F1857" s="3" t="str">
        <f>IFERROR(__xludf.DUMMYFUNCTION("""COMPUTED_VALUE"""),"mike_rostetter@hotmail.com")</f>
        <v>mike_rostetter@hotmail.com</v>
      </c>
      <c r="G1857" s="3"/>
      <c r="H1857" s="3"/>
    </row>
    <row r="1858">
      <c r="A1858" s="2">
        <f>IFERROR(__xludf.DUMMYFUNCTION("""COMPUTED_VALUE"""),21577.0)</f>
        <v>21577</v>
      </c>
      <c r="B1858" s="3" t="str">
        <f>IFERROR(__xludf.DUMMYFUNCTION("""COMPUTED_VALUE"""),"2693 DIVISION ST")</f>
        <v>2693 DIVISION ST</v>
      </c>
      <c r="C1858" s="3" t="str">
        <f>IFERROR(__xludf.DUMMYFUNCTION("""COMPUTED_VALUE"""),"COBOURG")</f>
        <v>COBOURG</v>
      </c>
      <c r="D1858" s="3" t="str">
        <f>IFERROR(__xludf.DUMMYFUNCTION("""COMPUTED_VALUE"""),"K9A 0M9")</f>
        <v>K9A 0M9</v>
      </c>
      <c r="E1858" s="3"/>
      <c r="F1858" s="3"/>
      <c r="G1858" s="3"/>
      <c r="H1858" s="3"/>
    </row>
    <row r="1859">
      <c r="A1859" s="2">
        <f>IFERROR(__xludf.DUMMYFUNCTION("""COMPUTED_VALUE"""),21578.0)</f>
        <v>21578</v>
      </c>
      <c r="B1859" s="3" t="str">
        <f>IFERROR(__xludf.DUMMYFUNCTION("""COMPUTED_VALUE"""),"2696 DIVISION ST")</f>
        <v>2696 DIVISION ST</v>
      </c>
      <c r="C1859" s="3" t="str">
        <f>IFERROR(__xludf.DUMMYFUNCTION("""COMPUTED_VALUE"""),"COBOURG")</f>
        <v>COBOURG</v>
      </c>
      <c r="D1859" s="3" t="str">
        <f>IFERROR(__xludf.DUMMYFUNCTION("""COMPUTED_VALUE"""),"K9A 0M8")</f>
        <v>K9A 0M8</v>
      </c>
      <c r="E1859" s="3" t="str">
        <f>IFERROR(__xludf.DUMMYFUNCTION("""COMPUTED_VALUE"""),"JUSTIN MASON")</f>
        <v>JUSTIN MASON</v>
      </c>
      <c r="F1859" s="3" t="str">
        <f>IFERROR(__xludf.DUMMYFUNCTION("""COMPUTED_VALUE"""),"justinmason1987@hotmail.com")</f>
        <v>justinmason1987@hotmail.com</v>
      </c>
      <c r="G1859" s="3"/>
      <c r="H1859" s="3"/>
    </row>
    <row r="1860">
      <c r="A1860" s="2">
        <f>IFERROR(__xludf.DUMMYFUNCTION("""COMPUTED_VALUE"""),21579.0)</f>
        <v>21579</v>
      </c>
      <c r="B1860" s="3" t="str">
        <f>IFERROR(__xludf.DUMMYFUNCTION("""COMPUTED_VALUE"""),"2702 DIVISION ST")</f>
        <v>2702 DIVISION ST</v>
      </c>
      <c r="C1860" s="3" t="str">
        <f>IFERROR(__xludf.DUMMYFUNCTION("""COMPUTED_VALUE"""),"COBOURG")</f>
        <v>COBOURG</v>
      </c>
      <c r="D1860" s="3" t="str">
        <f>IFERROR(__xludf.DUMMYFUNCTION("""COMPUTED_VALUE"""),"K9A 0M8")</f>
        <v>K9A 0M8</v>
      </c>
      <c r="E1860" s="3"/>
      <c r="F1860" s="3"/>
      <c r="G1860" s="3"/>
      <c r="H1860" s="3"/>
    </row>
    <row r="1861">
      <c r="A1861" s="2">
        <f>IFERROR(__xludf.DUMMYFUNCTION("""COMPUTED_VALUE"""),21580.0)</f>
        <v>21580</v>
      </c>
      <c r="B1861" s="3" t="str">
        <f>IFERROR(__xludf.DUMMYFUNCTION("""COMPUTED_VALUE"""),"2703 DIVISION ST")</f>
        <v>2703 DIVISION ST</v>
      </c>
      <c r="C1861" s="3" t="str">
        <f>IFERROR(__xludf.DUMMYFUNCTION("""COMPUTED_VALUE"""),"COBOURG")</f>
        <v>COBOURG</v>
      </c>
      <c r="D1861" s="3" t="str">
        <f>IFERROR(__xludf.DUMMYFUNCTION("""COMPUTED_VALUE"""),"K9A 0M9")</f>
        <v>K9A 0M9</v>
      </c>
      <c r="E1861" s="3" t="str">
        <f>IFERROR(__xludf.DUMMYFUNCTION("""COMPUTED_VALUE"""),"Dan Milligan")</f>
        <v>Dan Milligan</v>
      </c>
      <c r="F1861" s="3" t="str">
        <f>IFERROR(__xludf.DUMMYFUNCTION("""COMPUTED_VALUE"""),"danmilligan@mvpsports.ca")</f>
        <v>danmilligan@mvpsports.ca</v>
      </c>
      <c r="G1861" s="3"/>
      <c r="H1861" s="3"/>
    </row>
    <row r="1862">
      <c r="A1862" s="2">
        <f>IFERROR(__xludf.DUMMYFUNCTION("""COMPUTED_VALUE"""),21581.0)</f>
        <v>21581</v>
      </c>
      <c r="B1862" s="3" t="str">
        <f>IFERROR(__xludf.DUMMYFUNCTION("""COMPUTED_VALUE"""),"2710 DIVISION ST")</f>
        <v>2710 DIVISION ST</v>
      </c>
      <c r="C1862" s="3" t="str">
        <f>IFERROR(__xludf.DUMMYFUNCTION("""COMPUTED_VALUE"""),"COBOURG")</f>
        <v>COBOURG</v>
      </c>
      <c r="D1862" s="3" t="str">
        <f>IFERROR(__xludf.DUMMYFUNCTION("""COMPUTED_VALUE"""),"K9A 0M8")</f>
        <v>K9A 0M8</v>
      </c>
      <c r="E1862" s="3"/>
      <c r="F1862" s="3"/>
      <c r="G1862" s="3"/>
      <c r="H1862" s="3"/>
    </row>
    <row r="1863">
      <c r="A1863" s="2">
        <f>IFERROR(__xludf.DUMMYFUNCTION("""COMPUTED_VALUE"""),21582.0)</f>
        <v>21582</v>
      </c>
      <c r="B1863" s="3" t="str">
        <f>IFERROR(__xludf.DUMMYFUNCTION("""COMPUTED_VALUE"""),"2715 DIVISION ST")</f>
        <v>2715 DIVISION ST</v>
      </c>
      <c r="C1863" s="3" t="str">
        <f>IFERROR(__xludf.DUMMYFUNCTION("""COMPUTED_VALUE"""),"COBOURG")</f>
        <v>COBOURG</v>
      </c>
      <c r="D1863" s="3" t="str">
        <f>IFERROR(__xludf.DUMMYFUNCTION("""COMPUTED_VALUE"""),"K9A 0M9")</f>
        <v>K9A 0M9</v>
      </c>
      <c r="E1863" s="3" t="str">
        <f>IFERROR(__xludf.DUMMYFUNCTION("""COMPUTED_VALUE"""),"Jane Holmes")</f>
        <v>Jane Holmes</v>
      </c>
      <c r="F1863" s="3" t="str">
        <f>IFERROR(__xludf.DUMMYFUNCTION("""COMPUTED_VALUE"""),"janeholmes16@hotmail.com")</f>
        <v>janeholmes16@hotmail.com</v>
      </c>
      <c r="G1863" s="3">
        <f>IFERROR(__xludf.DUMMYFUNCTION("""COMPUTED_VALUE"""),9.053755705E9)</f>
        <v>9053755705</v>
      </c>
      <c r="H1863" s="3"/>
    </row>
    <row r="1864">
      <c r="A1864" s="2">
        <f>IFERROR(__xludf.DUMMYFUNCTION("""COMPUTED_VALUE"""),21583.0)</f>
        <v>21583</v>
      </c>
      <c r="B1864" s="3" t="str">
        <f>IFERROR(__xludf.DUMMYFUNCTION("""COMPUTED_VALUE"""),"2717 DIVISION ST")</f>
        <v>2717 DIVISION ST</v>
      </c>
      <c r="C1864" s="3" t="str">
        <f>IFERROR(__xludf.DUMMYFUNCTION("""COMPUTED_VALUE"""),"COBOURG")</f>
        <v>COBOURG</v>
      </c>
      <c r="D1864" s="3" t="str">
        <f>IFERROR(__xludf.DUMMYFUNCTION("""COMPUTED_VALUE"""),"K9A 0M9")</f>
        <v>K9A 0M9</v>
      </c>
      <c r="E1864" s="3"/>
      <c r="F1864" s="3"/>
      <c r="G1864" s="3"/>
      <c r="H1864" s="3"/>
    </row>
    <row r="1865">
      <c r="A1865" s="2">
        <f>IFERROR(__xludf.DUMMYFUNCTION("""COMPUTED_VALUE"""),21584.0)</f>
        <v>21584</v>
      </c>
      <c r="B1865" s="3" t="str">
        <f>IFERROR(__xludf.DUMMYFUNCTION("""COMPUTED_VALUE"""),"2718 DIVISION ST")</f>
        <v>2718 DIVISION ST</v>
      </c>
      <c r="C1865" s="3" t="str">
        <f>IFERROR(__xludf.DUMMYFUNCTION("""COMPUTED_VALUE"""),"COBOURG")</f>
        <v>COBOURG</v>
      </c>
      <c r="D1865" s="3" t="str">
        <f>IFERROR(__xludf.DUMMYFUNCTION("""COMPUTED_VALUE"""),"K9A 0M8")</f>
        <v>K9A 0M8</v>
      </c>
      <c r="E1865" s="3" t="str">
        <f>IFERROR(__xludf.DUMMYFUNCTION("""COMPUTED_VALUE"""),"Ron DeMille")</f>
        <v>Ron DeMille</v>
      </c>
      <c r="F1865" s="3" t="str">
        <f>IFERROR(__xludf.DUMMYFUNCTION("""COMPUTED_VALUE"""),"ron.demille@yahoo.ca")</f>
        <v>ron.demille@yahoo.ca</v>
      </c>
      <c r="G1865" s="3">
        <f>IFERROR(__xludf.DUMMYFUNCTION("""COMPUTED_VALUE"""),9.059147228E9)</f>
        <v>9059147228</v>
      </c>
      <c r="H1865" s="3"/>
    </row>
    <row r="1866">
      <c r="A1866" s="2">
        <f>IFERROR(__xludf.DUMMYFUNCTION("""COMPUTED_VALUE"""),21585.0)</f>
        <v>21585</v>
      </c>
      <c r="B1866" s="3" t="str">
        <f>IFERROR(__xludf.DUMMYFUNCTION("""COMPUTED_VALUE"""),"2726 DIVISION ST")</f>
        <v>2726 DIVISION ST</v>
      </c>
      <c r="C1866" s="3" t="str">
        <f>IFERROR(__xludf.DUMMYFUNCTION("""COMPUTED_VALUE"""),"COBOURG")</f>
        <v>COBOURG</v>
      </c>
      <c r="D1866" s="3" t="str">
        <f>IFERROR(__xludf.DUMMYFUNCTION("""COMPUTED_VALUE"""),"K9A 0M8")</f>
        <v>K9A 0M8</v>
      </c>
      <c r="E1866" s="3"/>
      <c r="F1866" s="3"/>
      <c r="G1866" s="3"/>
      <c r="H1866" s="3"/>
    </row>
    <row r="1867">
      <c r="A1867" s="2">
        <f>IFERROR(__xludf.DUMMYFUNCTION("""COMPUTED_VALUE"""),21586.0)</f>
        <v>21586</v>
      </c>
      <c r="B1867" s="3" t="str">
        <f>IFERROR(__xludf.DUMMYFUNCTION("""COMPUTED_VALUE"""),"2727 DIVISION ST")</f>
        <v>2727 DIVISION ST</v>
      </c>
      <c r="C1867" s="3" t="str">
        <f>IFERROR(__xludf.DUMMYFUNCTION("""COMPUTED_VALUE"""),"COBOURG")</f>
        <v>COBOURG</v>
      </c>
      <c r="D1867" s="3" t="str">
        <f>IFERROR(__xludf.DUMMYFUNCTION("""COMPUTED_VALUE"""),"K9A 0M9")</f>
        <v>K9A 0M9</v>
      </c>
      <c r="E1867" s="3" t="str">
        <f>IFERROR(__xludf.DUMMYFUNCTION("""COMPUTED_VALUE"""),"Tom Clarke ")</f>
        <v>Tom Clarke </v>
      </c>
      <c r="F1867" s="3" t="str">
        <f>IFERROR(__xludf.DUMMYFUNCTION("""COMPUTED_VALUE"""),"tomclarke2727@gmail.com")</f>
        <v>tomclarke2727@gmail.com</v>
      </c>
      <c r="G1867" s="3"/>
      <c r="H1867" s="3"/>
    </row>
    <row r="1868">
      <c r="A1868" s="2">
        <f>IFERROR(__xludf.DUMMYFUNCTION("""COMPUTED_VALUE"""),21587.0)</f>
        <v>21587</v>
      </c>
      <c r="B1868" s="3" t="str">
        <f>IFERROR(__xludf.DUMMYFUNCTION("""COMPUTED_VALUE"""),"2733 DIVISION ST")</f>
        <v>2733 DIVISION ST</v>
      </c>
      <c r="C1868" s="3" t="str">
        <f>IFERROR(__xludf.DUMMYFUNCTION("""COMPUTED_VALUE"""),"COBOURG")</f>
        <v>COBOURG</v>
      </c>
      <c r="D1868" s="3" t="str">
        <f>IFERROR(__xludf.DUMMYFUNCTION("""COMPUTED_VALUE"""),"K9A 0M9")</f>
        <v>K9A 0M9</v>
      </c>
      <c r="E1868" s="3" t="str">
        <f>IFERROR(__xludf.DUMMYFUNCTION("""COMPUTED_VALUE"""),"debbie craig")</f>
        <v>debbie craig</v>
      </c>
      <c r="F1868" s="3" t="str">
        <f>IFERROR(__xludf.DUMMYFUNCTION("""COMPUTED_VALUE"""),"deb7279@gmail.com")</f>
        <v>deb7279@gmail.com</v>
      </c>
      <c r="G1868" s="3">
        <f>IFERROR(__xludf.DUMMYFUNCTION("""COMPUTED_VALUE"""),9.053759696E9)</f>
        <v>9053759696</v>
      </c>
      <c r="H1868" s="3"/>
    </row>
    <row r="1869">
      <c r="A1869" s="2">
        <f>IFERROR(__xludf.DUMMYFUNCTION("""COMPUTED_VALUE"""),21588.0)</f>
        <v>21588</v>
      </c>
      <c r="B1869" s="3" t="str">
        <f>IFERROR(__xludf.DUMMYFUNCTION("""COMPUTED_VALUE"""),"2736 DIVISION ST")</f>
        <v>2736 DIVISION ST</v>
      </c>
      <c r="C1869" s="3" t="str">
        <f>IFERROR(__xludf.DUMMYFUNCTION("""COMPUTED_VALUE"""),"COBOURG")</f>
        <v>COBOURG</v>
      </c>
      <c r="D1869" s="3" t="str">
        <f>IFERROR(__xludf.DUMMYFUNCTION("""COMPUTED_VALUE"""),"K9A 0M8")</f>
        <v>K9A 0M8</v>
      </c>
      <c r="E1869" s="3" t="str">
        <f>IFERROR(__xludf.DUMMYFUNCTION("""COMPUTED_VALUE"""),"Adam Walsh")</f>
        <v>Adam Walsh</v>
      </c>
      <c r="F1869" s="3" t="str">
        <f>IFERROR(__xludf.DUMMYFUNCTION("""COMPUTED_VALUE"""),"21awalsh21@gmail.com")</f>
        <v>21awalsh21@gmail.com</v>
      </c>
      <c r="G1869" s="3">
        <f>IFERROR(__xludf.DUMMYFUNCTION("""COMPUTED_VALUE"""),9.052130806E9)</f>
        <v>9052130806</v>
      </c>
      <c r="H1869" s="3"/>
    </row>
    <row r="1870">
      <c r="A1870" s="2">
        <f>IFERROR(__xludf.DUMMYFUNCTION("""COMPUTED_VALUE"""),21589.0)</f>
        <v>21589</v>
      </c>
      <c r="B1870" s="3" t="str">
        <f>IFERROR(__xludf.DUMMYFUNCTION("""COMPUTED_VALUE"""),"2739 DIVISION ST")</f>
        <v>2739 DIVISION ST</v>
      </c>
      <c r="C1870" s="3" t="str">
        <f>IFERROR(__xludf.DUMMYFUNCTION("""COMPUTED_VALUE"""),"COBOURG")</f>
        <v>COBOURG</v>
      </c>
      <c r="D1870" s="3" t="str">
        <f>IFERROR(__xludf.DUMMYFUNCTION("""COMPUTED_VALUE"""),"K9A 0M9")</f>
        <v>K9A 0M9</v>
      </c>
      <c r="E1870" s="3" t="str">
        <f>IFERROR(__xludf.DUMMYFUNCTION("""COMPUTED_VALUE"""),"fred gouvea")</f>
        <v>fred gouvea</v>
      </c>
      <c r="F1870" s="3" t="str">
        <f>IFERROR(__xludf.DUMMYFUNCTION("""COMPUTED_VALUE"""),"fgouv29@gmail.com")</f>
        <v>fgouv29@gmail.com</v>
      </c>
      <c r="G1870" s="3">
        <f>IFERROR(__xludf.DUMMYFUNCTION("""COMPUTED_VALUE"""),9.053778019E9)</f>
        <v>9053778019</v>
      </c>
      <c r="H1870" s="3">
        <f>IFERROR(__xludf.DUMMYFUNCTION("""COMPUTED_VALUE"""),9.053760765E9)</f>
        <v>9053760765</v>
      </c>
    </row>
    <row r="1871">
      <c r="A1871" s="2">
        <f>IFERROR(__xludf.DUMMYFUNCTION("""COMPUTED_VALUE"""),21590.0)</f>
        <v>21590</v>
      </c>
      <c r="B1871" s="3" t="str">
        <f>IFERROR(__xludf.DUMMYFUNCTION("""COMPUTED_VALUE"""),"2741 DIVISION ST")</f>
        <v>2741 DIVISION ST</v>
      </c>
      <c r="C1871" s="3" t="str">
        <f>IFERROR(__xludf.DUMMYFUNCTION("""COMPUTED_VALUE"""),"COBOURG")</f>
        <v>COBOURG</v>
      </c>
      <c r="D1871" s="3" t="str">
        <f>IFERROR(__xludf.DUMMYFUNCTION("""COMPUTED_VALUE"""),"K9A 0M9")</f>
        <v>K9A 0M9</v>
      </c>
      <c r="E1871" s="3" t="str">
        <f>IFERROR(__xludf.DUMMYFUNCTION("""COMPUTED_VALUE"""),"Jack boeve")</f>
        <v>Jack boeve</v>
      </c>
      <c r="F1871" s="3" t="str">
        <f>IFERROR(__xludf.DUMMYFUNCTION("""COMPUTED_VALUE"""),"jacktina.boeve@yahoo.com")</f>
        <v>jacktina.boeve@yahoo.com</v>
      </c>
      <c r="G1871" s="3">
        <f>IFERROR(__xludf.DUMMYFUNCTION("""COMPUTED_VALUE"""),9.053766218E9)</f>
        <v>9053766218</v>
      </c>
      <c r="H1871" s="3"/>
    </row>
    <row r="1872">
      <c r="A1872" s="2">
        <f>IFERROR(__xludf.DUMMYFUNCTION("""COMPUTED_VALUE"""),21591.0)</f>
        <v>21591</v>
      </c>
      <c r="B1872" s="3" t="str">
        <f>IFERROR(__xludf.DUMMYFUNCTION("""COMPUTED_VALUE"""),"2750 DIVISION ST")</f>
        <v>2750 DIVISION ST</v>
      </c>
      <c r="C1872" s="3" t="str">
        <f>IFERROR(__xludf.DUMMYFUNCTION("""COMPUTED_VALUE"""),"COBOURG")</f>
        <v>COBOURG</v>
      </c>
      <c r="D1872" s="3" t="str">
        <f>IFERROR(__xludf.DUMMYFUNCTION("""COMPUTED_VALUE"""),"K9A 0M8")</f>
        <v>K9A 0M8</v>
      </c>
      <c r="E1872" s="3" t="str">
        <f>IFERROR(__xludf.DUMMYFUNCTION("""COMPUTED_VALUE"""),"Nathan Caruana")</f>
        <v>Nathan Caruana</v>
      </c>
      <c r="F1872" s="3" t="str">
        <f>IFERROR(__xludf.DUMMYFUNCTION("""COMPUTED_VALUE"""),"ncaruana18@gmail.com")</f>
        <v>ncaruana18@gmail.com</v>
      </c>
      <c r="G1872" s="3">
        <f>IFERROR(__xludf.DUMMYFUNCTION("""COMPUTED_VALUE"""),9.054476283E9)</f>
        <v>9054476283</v>
      </c>
      <c r="H1872" s="3"/>
    </row>
    <row r="1873">
      <c r="A1873" s="2">
        <f>IFERROR(__xludf.DUMMYFUNCTION("""COMPUTED_VALUE"""),21592.0)</f>
        <v>21592</v>
      </c>
      <c r="B1873" s="3" t="str">
        <f>IFERROR(__xludf.DUMMYFUNCTION("""COMPUTED_VALUE"""),"2753 DIVISION ST")</f>
        <v>2753 DIVISION ST</v>
      </c>
      <c r="C1873" s="3" t="str">
        <f>IFERROR(__xludf.DUMMYFUNCTION("""COMPUTED_VALUE"""),"COBOURG")</f>
        <v>COBOURG</v>
      </c>
      <c r="D1873" s="3" t="str">
        <f>IFERROR(__xludf.DUMMYFUNCTION("""COMPUTED_VALUE"""),"K9A 0M9")</f>
        <v>K9A 0M9</v>
      </c>
      <c r="E1873" s="3" t="str">
        <f>IFERROR(__xludf.DUMMYFUNCTION("""COMPUTED_VALUE"""),"wayne mitchell")</f>
        <v>wayne mitchell</v>
      </c>
      <c r="F1873" s="3" t="str">
        <f>IFERROR(__xludf.DUMMYFUNCTION("""COMPUTED_VALUE"""),"wm3001790@gmail.com")</f>
        <v>wm3001790@gmail.com</v>
      </c>
      <c r="G1873" s="3">
        <f>IFERROR(__xludf.DUMMYFUNCTION("""COMPUTED_VALUE"""),3.657240108E9)</f>
        <v>3657240108</v>
      </c>
      <c r="H1873" s="3"/>
    </row>
    <row r="1874">
      <c r="A1874" s="2">
        <f>IFERROR(__xludf.DUMMYFUNCTION("""COMPUTED_VALUE"""),21530.0)</f>
        <v>21530</v>
      </c>
      <c r="B1874" s="3" t="str">
        <f>IFERROR(__xludf.DUMMYFUNCTION("""COMPUTED_VALUE"""),"2758 DIVISION ST N")</f>
        <v>2758 DIVISION ST N</v>
      </c>
      <c r="C1874" s="3" t="str">
        <f>IFERROR(__xludf.DUMMYFUNCTION("""COMPUTED_VALUE"""),"COBOURG")</f>
        <v>COBOURG</v>
      </c>
      <c r="D1874" s="3" t="str">
        <f>IFERROR(__xludf.DUMMYFUNCTION("""COMPUTED_VALUE"""),"K9A 0M8")</f>
        <v>K9A 0M8</v>
      </c>
      <c r="E1874" s="3"/>
      <c r="F1874" s="3"/>
      <c r="G1874" s="3"/>
      <c r="H1874" s="3"/>
    </row>
    <row r="1875">
      <c r="A1875" s="2">
        <f>IFERROR(__xludf.DUMMYFUNCTION("""COMPUTED_VALUE"""),21593.0)</f>
        <v>21593</v>
      </c>
      <c r="B1875" s="3" t="str">
        <f>IFERROR(__xludf.DUMMYFUNCTION("""COMPUTED_VALUE"""),"2761 DIVISION ST")</f>
        <v>2761 DIVISION ST</v>
      </c>
      <c r="C1875" s="3" t="str">
        <f>IFERROR(__xludf.DUMMYFUNCTION("""COMPUTED_VALUE"""),"COBOURG")</f>
        <v>COBOURG</v>
      </c>
      <c r="D1875" s="3" t="str">
        <f>IFERROR(__xludf.DUMMYFUNCTION("""COMPUTED_VALUE"""),"K9A 0M9")</f>
        <v>K9A 0M9</v>
      </c>
      <c r="E1875" s="3" t="str">
        <f>IFERROR(__xludf.DUMMYFUNCTION("""COMPUTED_VALUE"""),"Gerald &amp; Carol Harrison")</f>
        <v>Gerald &amp; Carol Harrison</v>
      </c>
      <c r="F1875" s="3" t="str">
        <f>IFERROR(__xludf.DUMMYFUNCTION("""COMPUTED_VALUE"""),"arthurha@xplornet.ca")</f>
        <v>arthurha@xplornet.ca</v>
      </c>
      <c r="G1875" s="3">
        <f>IFERROR(__xludf.DUMMYFUNCTION("""COMPUTED_VALUE"""),9.053725216E9)</f>
        <v>9053725216</v>
      </c>
      <c r="H1875" s="3"/>
    </row>
    <row r="1876">
      <c r="A1876" s="2">
        <f>IFERROR(__xludf.DUMMYFUNCTION("""COMPUTED_VALUE"""),21594.0)</f>
        <v>21594</v>
      </c>
      <c r="B1876" s="3" t="str">
        <f>IFERROR(__xludf.DUMMYFUNCTION("""COMPUTED_VALUE"""),"2766 DIVISION ST")</f>
        <v>2766 DIVISION ST</v>
      </c>
      <c r="C1876" s="3" t="str">
        <f>IFERROR(__xludf.DUMMYFUNCTION("""COMPUTED_VALUE"""),"COBOURG")</f>
        <v>COBOURG</v>
      </c>
      <c r="D1876" s="3" t="str">
        <f>IFERROR(__xludf.DUMMYFUNCTION("""COMPUTED_VALUE"""),"K9A 0M8")</f>
        <v>K9A 0M8</v>
      </c>
      <c r="E1876" s="3" t="str">
        <f>IFERROR(__xludf.DUMMYFUNCTION("""COMPUTED_VALUE"""),"Brad &amp; Ruth Shehan")</f>
        <v>Brad &amp; Ruth Shehan</v>
      </c>
      <c r="F1876" s="3" t="str">
        <f>IFERROR(__xludf.DUMMYFUNCTION("""COMPUTED_VALUE"""),"bradshehan@gmail.com")</f>
        <v>bradshehan@gmail.com</v>
      </c>
      <c r="G1876" s="3"/>
      <c r="H1876" s="3"/>
    </row>
    <row r="1877">
      <c r="A1877" s="2">
        <f>IFERROR(__xludf.DUMMYFUNCTION("""COMPUTED_VALUE"""),21595.0)</f>
        <v>21595</v>
      </c>
      <c r="B1877" s="3" t="str">
        <f>IFERROR(__xludf.DUMMYFUNCTION("""COMPUTED_VALUE"""),"2767 DIVISION ST")</f>
        <v>2767 DIVISION ST</v>
      </c>
      <c r="C1877" s="3" t="str">
        <f>IFERROR(__xludf.DUMMYFUNCTION("""COMPUTED_VALUE"""),"COBOURG")</f>
        <v>COBOURG</v>
      </c>
      <c r="D1877" s="3" t="str">
        <f>IFERROR(__xludf.DUMMYFUNCTION("""COMPUTED_VALUE"""),"K9A 0M9")</f>
        <v>K9A 0M9</v>
      </c>
      <c r="E1877" s="3" t="str">
        <f>IFERROR(__xludf.DUMMYFUNCTION("""COMPUTED_VALUE"""),"Anne Ball")</f>
        <v>Anne Ball</v>
      </c>
      <c r="F1877" s="3" t="str">
        <f>IFERROR(__xludf.DUMMYFUNCTION("""COMPUTED_VALUE"""),"anne_ball@xplornet.com")</f>
        <v>anne_ball@xplornet.com</v>
      </c>
      <c r="G1877" s="3">
        <f>IFERROR(__xludf.DUMMYFUNCTION("""COMPUTED_VALUE"""),9.053760856E9)</f>
        <v>9053760856</v>
      </c>
      <c r="H1877" s="3"/>
    </row>
    <row r="1878">
      <c r="A1878" s="2">
        <f>IFERROR(__xludf.DUMMYFUNCTION("""COMPUTED_VALUE"""),21596.0)</f>
        <v>21596</v>
      </c>
      <c r="B1878" s="3" t="str">
        <f>IFERROR(__xludf.DUMMYFUNCTION("""COMPUTED_VALUE"""),"2772 DIVISION ST")</f>
        <v>2772 DIVISION ST</v>
      </c>
      <c r="C1878" s="3" t="str">
        <f>IFERROR(__xludf.DUMMYFUNCTION("""COMPUTED_VALUE"""),"COBOURG")</f>
        <v>COBOURG</v>
      </c>
      <c r="D1878" s="3" t="str">
        <f>IFERROR(__xludf.DUMMYFUNCTION("""COMPUTED_VALUE"""),"K9A 0M8")</f>
        <v>K9A 0M8</v>
      </c>
      <c r="E1878" s="3" t="str">
        <f>IFERROR(__xludf.DUMMYFUNCTION("""COMPUTED_VALUE"""),"Gillian Smith-Clark")</f>
        <v>Gillian Smith-Clark</v>
      </c>
      <c r="F1878" s="3" t="str">
        <f>IFERROR(__xludf.DUMMYFUNCTION("""COMPUTED_VALUE"""),"gillian@the44north.ca")</f>
        <v>gillian@the44north.ca</v>
      </c>
      <c r="G1878" s="3"/>
      <c r="H1878" s="3"/>
    </row>
    <row r="1879">
      <c r="A1879" s="2">
        <f>IFERROR(__xludf.DUMMYFUNCTION("""COMPUTED_VALUE"""),21597.0)</f>
        <v>21597</v>
      </c>
      <c r="B1879" s="3" t="str">
        <f>IFERROR(__xludf.DUMMYFUNCTION("""COMPUTED_VALUE"""),"2773 DIVISION ST")</f>
        <v>2773 DIVISION ST</v>
      </c>
      <c r="C1879" s="3" t="str">
        <f>IFERROR(__xludf.DUMMYFUNCTION("""COMPUTED_VALUE"""),"COBOURG")</f>
        <v>COBOURG</v>
      </c>
      <c r="D1879" s="3" t="str">
        <f>IFERROR(__xludf.DUMMYFUNCTION("""COMPUTED_VALUE"""),"K9A 0M9")</f>
        <v>K9A 0M9</v>
      </c>
      <c r="E1879" s="3" t="str">
        <f>IFERROR(__xludf.DUMMYFUNCTION("""COMPUTED_VALUE"""),"Steve+Linda Arnold")</f>
        <v>Steve+Linda Arnold</v>
      </c>
      <c r="F1879" s="4" t="str">
        <f>IFERROR(__xludf.DUMMYFUNCTION("""COMPUTED_VALUE"""),"slarnoldbusgmail.com")</f>
        <v>slarnoldbusgmail.com</v>
      </c>
      <c r="G1879" s="3"/>
      <c r="H1879" s="3"/>
    </row>
    <row r="1880">
      <c r="A1880" s="2">
        <f>IFERROR(__xludf.DUMMYFUNCTION("""COMPUTED_VALUE"""),21598.0)</f>
        <v>21598</v>
      </c>
      <c r="B1880" s="3" t="str">
        <f>IFERROR(__xludf.DUMMYFUNCTION("""COMPUTED_VALUE"""),"2779 DIVISION ST")</f>
        <v>2779 DIVISION ST</v>
      </c>
      <c r="C1880" s="3" t="str">
        <f>IFERROR(__xludf.DUMMYFUNCTION("""COMPUTED_VALUE"""),"COBOURG")</f>
        <v>COBOURG</v>
      </c>
      <c r="D1880" s="3" t="str">
        <f>IFERROR(__xludf.DUMMYFUNCTION("""COMPUTED_VALUE"""),"K9A 0M9")</f>
        <v>K9A 0M9</v>
      </c>
      <c r="E1880" s="3" t="str">
        <f>IFERROR(__xludf.DUMMYFUNCTION("""COMPUTED_VALUE"""),"Robert Burke")</f>
        <v>Robert Burke</v>
      </c>
      <c r="F1880" s="3" t="str">
        <f>IFERROR(__xludf.DUMMYFUNCTION("""COMPUTED_VALUE"""),"rburke10000@gmail.com")</f>
        <v>rburke10000@gmail.com</v>
      </c>
      <c r="G1880" s="3">
        <f>IFERROR(__xludf.DUMMYFUNCTION("""COMPUTED_VALUE"""),4.164192015E9)</f>
        <v>4164192015</v>
      </c>
      <c r="H1880" s="3"/>
    </row>
    <row r="1881">
      <c r="A1881" s="2">
        <f>IFERROR(__xludf.DUMMYFUNCTION("""COMPUTED_VALUE"""),21599.0)</f>
        <v>21599</v>
      </c>
      <c r="B1881" s="3" t="str">
        <f>IFERROR(__xludf.DUMMYFUNCTION("""COMPUTED_VALUE"""),"2780 DIVISION ST")</f>
        <v>2780 DIVISION ST</v>
      </c>
      <c r="C1881" s="3" t="str">
        <f>IFERROR(__xludf.DUMMYFUNCTION("""COMPUTED_VALUE"""),"COBOURG")</f>
        <v>COBOURG</v>
      </c>
      <c r="D1881" s="3" t="str">
        <f>IFERROR(__xludf.DUMMYFUNCTION("""COMPUTED_VALUE"""),"K9A 0M8")</f>
        <v>K9A 0M8</v>
      </c>
      <c r="E1881" s="3" t="str">
        <f>IFERROR(__xludf.DUMMYFUNCTION("""COMPUTED_VALUE"""),"Jim Goody")</f>
        <v>Jim Goody</v>
      </c>
      <c r="F1881" s="3" t="str">
        <f>IFERROR(__xludf.DUMMYFUNCTION("""COMPUTED_VALUE"""),"goodyhardwoodflooring@gmail.com")</f>
        <v>goodyhardwoodflooring@gmail.com</v>
      </c>
      <c r="G1881" s="3"/>
      <c r="H1881" s="3"/>
    </row>
    <row r="1882">
      <c r="A1882" s="2">
        <f>IFERROR(__xludf.DUMMYFUNCTION("""COMPUTED_VALUE"""),21600.0)</f>
        <v>21600</v>
      </c>
      <c r="B1882" s="3" t="str">
        <f>IFERROR(__xludf.DUMMYFUNCTION("""COMPUTED_VALUE"""),"2785 DIVISION ST")</f>
        <v>2785 DIVISION ST</v>
      </c>
      <c r="C1882" s="3" t="str">
        <f>IFERROR(__xludf.DUMMYFUNCTION("""COMPUTED_VALUE"""),"COBOURG")</f>
        <v>COBOURG</v>
      </c>
      <c r="D1882" s="3" t="str">
        <f>IFERROR(__xludf.DUMMYFUNCTION("""COMPUTED_VALUE"""),"K9A 0M9")</f>
        <v>K9A 0M9</v>
      </c>
      <c r="E1882" s="3" t="str">
        <f>IFERROR(__xludf.DUMMYFUNCTION("""COMPUTED_VALUE"""),"EDWARD SHARMAN")</f>
        <v>EDWARD SHARMAN</v>
      </c>
      <c r="F1882" s="3" t="str">
        <f>IFERROR(__xludf.DUMMYFUNCTION("""COMPUTED_VALUE"""),"essharman@gmail.com")</f>
        <v>essharman@gmail.com</v>
      </c>
      <c r="G1882" s="3"/>
      <c r="H1882" s="3"/>
    </row>
    <row r="1883">
      <c r="A1883" s="2">
        <f>IFERROR(__xludf.DUMMYFUNCTION("""COMPUTED_VALUE"""),21601.0)</f>
        <v>21601</v>
      </c>
      <c r="B1883" s="3" t="str">
        <f>IFERROR(__xludf.DUMMYFUNCTION("""COMPUTED_VALUE"""),"2793 DIVISION ST")</f>
        <v>2793 DIVISION ST</v>
      </c>
      <c r="C1883" s="3" t="str">
        <f>IFERROR(__xludf.DUMMYFUNCTION("""COMPUTED_VALUE"""),"COBOURG")</f>
        <v>COBOURG</v>
      </c>
      <c r="D1883" s="3" t="str">
        <f>IFERROR(__xludf.DUMMYFUNCTION("""COMPUTED_VALUE"""),"K9A 0M9")</f>
        <v>K9A 0M9</v>
      </c>
      <c r="E1883" s="3" t="str">
        <f>IFERROR(__xludf.DUMMYFUNCTION("""COMPUTED_VALUE"""),"Patricia Ann Adams")</f>
        <v>Patricia Ann Adams</v>
      </c>
      <c r="F1883" s="3" t="str">
        <f>IFERROR(__xludf.DUMMYFUNCTION("""COMPUTED_VALUE"""),"pdadams@eagle.ca")</f>
        <v>pdadams@eagle.ca</v>
      </c>
      <c r="G1883" s="3"/>
      <c r="H1883" s="3"/>
    </row>
    <row r="1884">
      <c r="A1884" s="2">
        <f>IFERROR(__xludf.DUMMYFUNCTION("""COMPUTED_VALUE"""),21623.0)</f>
        <v>21623</v>
      </c>
      <c r="B1884" s="3" t="str">
        <f>IFERROR(__xludf.DUMMYFUNCTION("""COMPUTED_VALUE"""),"4033 EAGLESON RD")</f>
        <v>4033 EAGLESON RD</v>
      </c>
      <c r="C1884" s="3" t="str">
        <f>IFERROR(__xludf.DUMMYFUNCTION("""COMPUTED_VALUE"""),"COBOURG")</f>
        <v>COBOURG</v>
      </c>
      <c r="D1884" s="3" t="str">
        <f>IFERROR(__xludf.DUMMYFUNCTION("""COMPUTED_VALUE"""),"K9A 4J9")</f>
        <v>K9A 4J9</v>
      </c>
      <c r="E1884" s="3"/>
      <c r="F1884" s="3"/>
      <c r="G1884" s="3"/>
      <c r="H1884" s="3"/>
    </row>
    <row r="1885">
      <c r="A1885" s="2">
        <f>IFERROR(__xludf.DUMMYFUNCTION("""COMPUTED_VALUE"""),22303.0)</f>
        <v>22303</v>
      </c>
      <c r="B1885" s="3" t="str">
        <f>IFERROR(__xludf.DUMMYFUNCTION("""COMPUTED_VALUE"""),"3547 KENNEDY RD")</f>
        <v>3547 KENNEDY RD</v>
      </c>
      <c r="C1885" s="3" t="str">
        <f>IFERROR(__xludf.DUMMYFUNCTION("""COMPUTED_VALUE"""),"COBOURG")</f>
        <v>COBOURG</v>
      </c>
      <c r="D1885" s="3" t="str">
        <f>IFERROR(__xludf.DUMMYFUNCTION("""COMPUTED_VALUE"""),"K9A 4J7")</f>
        <v>K9A 4J7</v>
      </c>
      <c r="E1885" s="3" t="str">
        <f>IFERROR(__xludf.DUMMYFUNCTION("""COMPUTED_VALUE"""),"derek boyer ")</f>
        <v>derek boyer </v>
      </c>
      <c r="F1885" s="3" t="str">
        <f>IFERROR(__xludf.DUMMYFUNCTION("""COMPUTED_VALUE"""),"boyer_61@hotmail.com")</f>
        <v>boyer_61@hotmail.com</v>
      </c>
      <c r="G1885" s="3">
        <f>IFERROR(__xludf.DUMMYFUNCTION("""COMPUTED_VALUE"""),9.053759073E9)</f>
        <v>9053759073</v>
      </c>
      <c r="H1885" s="3">
        <f>IFERROR(__xludf.DUMMYFUNCTION("""COMPUTED_VALUE"""),2.898290319E9)</f>
        <v>2898290319</v>
      </c>
    </row>
    <row r="1886">
      <c r="A1886" s="2">
        <f>IFERROR(__xludf.DUMMYFUNCTION("""COMPUTED_VALUE"""),21627.0)</f>
        <v>21627</v>
      </c>
      <c r="B1886" s="3" t="str">
        <f>IFERROR(__xludf.DUMMYFUNCTION("""COMPUTED_VALUE"""),"133 EARL RD")</f>
        <v>133 EARL RD</v>
      </c>
      <c r="C1886" s="3" t="str">
        <f>IFERROR(__xludf.DUMMYFUNCTION("""COMPUTED_VALUE"""),"BALTIMORE")</f>
        <v>BALTIMORE</v>
      </c>
      <c r="D1886" s="3" t="str">
        <f>IFERROR(__xludf.DUMMYFUNCTION("""COMPUTED_VALUE"""),"K0K 1C0")</f>
        <v>K0K 1C0</v>
      </c>
      <c r="E1886" s="3" t="str">
        <f>IFERROR(__xludf.DUMMYFUNCTION("""COMPUTED_VALUE"""),"alisha oreily ")</f>
        <v>alisha oreily </v>
      </c>
      <c r="F1886" s="3"/>
      <c r="G1886" s="3">
        <f>IFERROR(__xludf.DUMMYFUNCTION("""COMPUTED_VALUE"""),2.892510628E9)</f>
        <v>2892510628</v>
      </c>
      <c r="H1886" s="3"/>
    </row>
    <row r="1887">
      <c r="A1887" s="2">
        <f>IFERROR(__xludf.DUMMYFUNCTION("""COMPUTED_VALUE"""),22300.0)</f>
        <v>22300</v>
      </c>
      <c r="B1887" s="3" t="str">
        <f>IFERROR(__xludf.DUMMYFUNCTION("""COMPUTED_VALUE"""),"3523 KENNEDY RD")</f>
        <v>3523 KENNEDY RD</v>
      </c>
      <c r="C1887" s="3" t="str">
        <f>IFERROR(__xludf.DUMMYFUNCTION("""COMPUTED_VALUE"""),"COBOURG")</f>
        <v>COBOURG</v>
      </c>
      <c r="D1887" s="3" t="str">
        <f>IFERROR(__xludf.DUMMYFUNCTION("""COMPUTED_VALUE"""),"K9A 4J7")</f>
        <v>K9A 4J7</v>
      </c>
      <c r="E1887" s="3"/>
      <c r="F1887" s="3"/>
      <c r="G1887" s="3"/>
      <c r="H1887" s="3"/>
    </row>
    <row r="1888">
      <c r="A1888" s="2">
        <f>IFERROR(__xludf.DUMMYFUNCTION("""COMPUTED_VALUE"""),22302.0)</f>
        <v>22302</v>
      </c>
      <c r="B1888" s="3" t="str">
        <f>IFERROR(__xludf.DUMMYFUNCTION("""COMPUTED_VALUE"""),"3546 KENNEDY RD")</f>
        <v>3546 KENNEDY RD</v>
      </c>
      <c r="C1888" s="3" t="str">
        <f>IFERROR(__xludf.DUMMYFUNCTION("""COMPUTED_VALUE"""),"COBOURG")</f>
        <v>COBOURG</v>
      </c>
      <c r="D1888" s="3" t="str">
        <f>IFERROR(__xludf.DUMMYFUNCTION("""COMPUTED_VALUE"""),"K9A 4J7")</f>
        <v>K9A 4J7</v>
      </c>
      <c r="E1888" s="3"/>
      <c r="F1888" s="3"/>
      <c r="G1888" s="3"/>
      <c r="H1888" s="3"/>
    </row>
    <row r="1889">
      <c r="A1889" s="2">
        <f>IFERROR(__xludf.DUMMYFUNCTION("""COMPUTED_VALUE"""),23323.0)</f>
        <v>23323</v>
      </c>
      <c r="B1889" s="3" t="str">
        <f>IFERROR(__xludf.DUMMYFUNCTION("""COMPUTED_VALUE"""),"3157 SMITH SETTLEMENT RD")</f>
        <v>3157 SMITH SETTLEMENT RD</v>
      </c>
      <c r="C1889" s="3" t="str">
        <f>IFERROR(__xludf.DUMMYFUNCTION("""COMPUTED_VALUE"""),"BALTIMORE")</f>
        <v>BALTIMORE</v>
      </c>
      <c r="D1889" s="3" t="str">
        <f>IFERROR(__xludf.DUMMYFUNCTION("""COMPUTED_VALUE"""),"K0K 1C0")</f>
        <v>K0K 1C0</v>
      </c>
      <c r="E1889" s="3" t="str">
        <f>IFERROR(__xludf.DUMMYFUNCTION("""COMPUTED_VALUE"""),"Tim and Leeann Batchellor")</f>
        <v>Tim and Leeann Batchellor</v>
      </c>
      <c r="F1889" s="3" t="str">
        <f>IFERROR(__xludf.DUMMYFUNCTION("""COMPUTED_VALUE"""),"timbatchellor@gmail.com")</f>
        <v>timbatchellor@gmail.com</v>
      </c>
      <c r="G1889" s="3">
        <f>IFERROR(__xludf.DUMMYFUNCTION("""COMPUTED_VALUE"""),9.05376883E9)</f>
        <v>9053768830</v>
      </c>
      <c r="H1889" s="3">
        <f>IFERROR(__xludf.DUMMYFUNCTION("""COMPUTED_VALUE"""),9.054318425E9)</f>
        <v>9054318425</v>
      </c>
    </row>
    <row r="1890">
      <c r="A1890" s="2">
        <f>IFERROR(__xludf.DUMMYFUNCTION("""COMPUTED_VALUE"""),21631.0)</f>
        <v>21631</v>
      </c>
      <c r="B1890" s="3" t="str">
        <f>IFERROR(__xludf.DUMMYFUNCTION("""COMPUTED_VALUE"""),"195 EARL RD")</f>
        <v>195 EARL RD</v>
      </c>
      <c r="C1890" s="3" t="str">
        <f>IFERROR(__xludf.DUMMYFUNCTION("""COMPUTED_VALUE"""),"BALTIMORE")</f>
        <v>BALTIMORE</v>
      </c>
      <c r="D1890" s="3" t="str">
        <f>IFERROR(__xludf.DUMMYFUNCTION("""COMPUTED_VALUE"""),"K0K 1C0")</f>
        <v>K0K 1C0</v>
      </c>
      <c r="E1890" s="3" t="str">
        <f>IFERROR(__xludf.DUMMYFUNCTION("""COMPUTED_VALUE"""),"david broomfield")</f>
        <v>david broomfield</v>
      </c>
      <c r="F1890" s="3" t="str">
        <f>IFERROR(__xludf.DUMMYFUNCTION("""COMPUTED_VALUE"""),"broomfieldconst@gmail.com")</f>
        <v>broomfieldconst@gmail.com</v>
      </c>
      <c r="G1890" s="3">
        <f>IFERROR(__xludf.DUMMYFUNCTION("""COMPUTED_VALUE"""),9.053768135E9)</f>
        <v>9053768135</v>
      </c>
      <c r="H1890" s="3"/>
    </row>
    <row r="1891">
      <c r="A1891" s="2">
        <f>IFERROR(__xludf.DUMMYFUNCTION("""COMPUTED_VALUE"""),21632.0)</f>
        <v>21632</v>
      </c>
      <c r="B1891" s="3" t="str">
        <f>IFERROR(__xludf.DUMMYFUNCTION("""COMPUTED_VALUE"""),"196 EARL RD")</f>
        <v>196 EARL RD</v>
      </c>
      <c r="C1891" s="3" t="str">
        <f>IFERROR(__xludf.DUMMYFUNCTION("""COMPUTED_VALUE"""),"BALTIMORE")</f>
        <v>BALTIMORE</v>
      </c>
      <c r="D1891" s="3" t="str">
        <f>IFERROR(__xludf.DUMMYFUNCTION("""COMPUTED_VALUE"""),"K0K 1C0")</f>
        <v>K0K 1C0</v>
      </c>
      <c r="E1891" s="3" t="str">
        <f>IFERROR(__xludf.DUMMYFUNCTION("""COMPUTED_VALUE"""),"Stephen Johnstone")</f>
        <v>Stephen Johnstone</v>
      </c>
      <c r="F1891" s="3" t="str">
        <f>IFERROR(__xludf.DUMMYFUNCTION("""COMPUTED_VALUE"""),"stephenj2011@live.ca")</f>
        <v>stephenj2011@live.ca</v>
      </c>
      <c r="G1891" s="3">
        <f>IFERROR(__xludf.DUMMYFUNCTION("""COMPUTED_VALUE"""),9.053755631E9)</f>
        <v>9053755631</v>
      </c>
      <c r="H1891" s="3"/>
    </row>
    <row r="1892">
      <c r="A1892" s="2">
        <f>IFERROR(__xludf.DUMMYFUNCTION("""COMPUTED_VALUE"""),21633.0)</f>
        <v>21633</v>
      </c>
      <c r="B1892" s="3" t="str">
        <f>IFERROR(__xludf.DUMMYFUNCTION("""COMPUTED_VALUE"""),"258 EARL RD")</f>
        <v>258 EARL RD</v>
      </c>
      <c r="C1892" s="3" t="str">
        <f>IFERROR(__xludf.DUMMYFUNCTION("""COMPUTED_VALUE"""),"BALTIMORE")</f>
        <v>BALTIMORE</v>
      </c>
      <c r="D1892" s="3" t="str">
        <f>IFERROR(__xludf.DUMMYFUNCTION("""COMPUTED_VALUE"""),"K0K 1C0")</f>
        <v>K0K 1C0</v>
      </c>
      <c r="E1892" s="3" t="str">
        <f>IFERROR(__xludf.DUMMYFUNCTION("""COMPUTED_VALUE"""),"Tim Blake")</f>
        <v>Tim Blake</v>
      </c>
      <c r="F1892" s="3" t="str">
        <f>IFERROR(__xludf.DUMMYFUNCTION("""COMPUTED_VALUE"""),"tblakewinter@htomail.com")</f>
        <v>tblakewinter@htomail.com</v>
      </c>
      <c r="G1892" s="3"/>
      <c r="H1892" s="3"/>
    </row>
    <row r="1893">
      <c r="A1893" s="2">
        <f>IFERROR(__xludf.DUMMYFUNCTION("""COMPUTED_VALUE"""),22304.0)</f>
        <v>22304</v>
      </c>
      <c r="B1893" s="3" t="str">
        <f>IFERROR(__xludf.DUMMYFUNCTION("""COMPUTED_VALUE"""),"3553 KENNEDY RD")</f>
        <v>3553 KENNEDY RD</v>
      </c>
      <c r="C1893" s="3" t="str">
        <f>IFERROR(__xludf.DUMMYFUNCTION("""COMPUTED_VALUE"""),"COBOURG")</f>
        <v>COBOURG</v>
      </c>
      <c r="D1893" s="3" t="str">
        <f>IFERROR(__xludf.DUMMYFUNCTION("""COMPUTED_VALUE"""),"K9A 4J7")</f>
        <v>K9A 4J7</v>
      </c>
      <c r="E1893" s="3"/>
      <c r="F1893" s="3"/>
      <c r="G1893" s="3"/>
      <c r="H1893" s="3"/>
    </row>
    <row r="1894">
      <c r="A1894" s="2">
        <f>IFERROR(__xludf.DUMMYFUNCTION("""COMPUTED_VALUE"""),21639.0)</f>
        <v>21639</v>
      </c>
      <c r="B1894" s="3" t="str">
        <f>IFERROR(__xludf.DUMMYFUNCTION("""COMPUTED_VALUE"""),"9824 ELLIS RD")</f>
        <v>9824 ELLIS RD</v>
      </c>
      <c r="C1894" s="3" t="str">
        <f>IFERROR(__xludf.DUMMYFUNCTION("""COMPUTED_VALUE"""),"BALTIMORE")</f>
        <v>BALTIMORE</v>
      </c>
      <c r="D1894" s="3" t="str">
        <f>IFERROR(__xludf.DUMMYFUNCTION("""COMPUTED_VALUE"""),"K0K 1C0")</f>
        <v>K0K 1C0</v>
      </c>
      <c r="E1894" s="3" t="str">
        <f>IFERROR(__xludf.DUMMYFUNCTION("""COMPUTED_VALUE"""),"ava boucher ")</f>
        <v>ava boucher </v>
      </c>
      <c r="F1894" s="3"/>
      <c r="G1894" s="3">
        <f>IFERROR(__xludf.DUMMYFUNCTION("""COMPUTED_VALUE"""),9.053963923E9)</f>
        <v>9053963923</v>
      </c>
      <c r="H1894" s="3"/>
    </row>
    <row r="1895">
      <c r="A1895" s="2">
        <f>IFERROR(__xludf.DUMMYFUNCTION("""COMPUTED_VALUE"""),21640.0)</f>
        <v>21640</v>
      </c>
      <c r="B1895" s="3" t="str">
        <f>IFERROR(__xludf.DUMMYFUNCTION("""COMPUTED_VALUE"""),"9827 ELLIS RD")</f>
        <v>9827 ELLIS RD</v>
      </c>
      <c r="C1895" s="3" t="str">
        <f>IFERROR(__xludf.DUMMYFUNCTION("""COMPUTED_VALUE"""),"BALTIMORE")</f>
        <v>BALTIMORE</v>
      </c>
      <c r="D1895" s="3" t="str">
        <f>IFERROR(__xludf.DUMMYFUNCTION("""COMPUTED_VALUE"""),"K0K 1C0")</f>
        <v>K0K 1C0</v>
      </c>
      <c r="E1895" s="3" t="str">
        <f>IFERROR(__xludf.DUMMYFUNCTION("""COMPUTED_VALUE"""),"DAVID KURPJUWEIT")</f>
        <v>DAVID KURPJUWEIT</v>
      </c>
      <c r="F1895" s="3" t="str">
        <f>IFERROR(__xludf.DUMMYFUNCTION("""COMPUTED_VALUE"""),"djkurp@gmail.com")</f>
        <v>djkurp@gmail.com</v>
      </c>
      <c r="G1895" s="3">
        <f>IFERROR(__xludf.DUMMYFUNCTION("""COMPUTED_VALUE"""),9.053764665E9)</f>
        <v>9053764665</v>
      </c>
      <c r="H1895" s="3"/>
    </row>
    <row r="1896">
      <c r="A1896" s="2">
        <f>IFERROR(__xludf.DUMMYFUNCTION("""COMPUTED_VALUE"""),21641.0)</f>
        <v>21641</v>
      </c>
      <c r="B1896" s="3" t="str">
        <f>IFERROR(__xludf.DUMMYFUNCTION("""COMPUTED_VALUE"""),"9828 ELLIS RD")</f>
        <v>9828 ELLIS RD</v>
      </c>
      <c r="C1896" s="3" t="str">
        <f>IFERROR(__xludf.DUMMYFUNCTION("""COMPUTED_VALUE"""),"BALTIMORE")</f>
        <v>BALTIMORE</v>
      </c>
      <c r="D1896" s="3" t="str">
        <f>IFERROR(__xludf.DUMMYFUNCTION("""COMPUTED_VALUE"""),"K0K 1C0")</f>
        <v>K0K 1C0</v>
      </c>
      <c r="E1896" s="3" t="str">
        <f>IFERROR(__xludf.DUMMYFUNCTION("""COMPUTED_VALUE"""),"Jack Chou")</f>
        <v>Jack Chou</v>
      </c>
      <c r="F1896" s="3" t="str">
        <f>IFERROR(__xludf.DUMMYFUNCTION("""COMPUTED_VALUE"""),"jackchou@xplornet.com")</f>
        <v>jackchou@xplornet.com</v>
      </c>
      <c r="G1896" s="3">
        <f>IFERROR(__xludf.DUMMYFUNCTION("""COMPUTED_VALUE"""),6.478873409E9)</f>
        <v>6478873409</v>
      </c>
      <c r="H1896" s="3">
        <f>IFERROR(__xludf.DUMMYFUNCTION("""COMPUTED_VALUE"""),9.053778455E9)</f>
        <v>9053778455</v>
      </c>
    </row>
    <row r="1897">
      <c r="A1897" s="2">
        <f>IFERROR(__xludf.DUMMYFUNCTION("""COMPUTED_VALUE"""),21642.0)</f>
        <v>21642</v>
      </c>
      <c r="B1897" s="3" t="str">
        <f>IFERROR(__xludf.DUMMYFUNCTION("""COMPUTED_VALUE"""),"9838 ELLIS RD")</f>
        <v>9838 ELLIS RD</v>
      </c>
      <c r="C1897" s="3" t="str">
        <f>IFERROR(__xludf.DUMMYFUNCTION("""COMPUTED_VALUE"""),"BALTIMORE")</f>
        <v>BALTIMORE</v>
      </c>
      <c r="D1897" s="3" t="str">
        <f>IFERROR(__xludf.DUMMYFUNCTION("""COMPUTED_VALUE"""),"K0K 1C0")</f>
        <v>K0K 1C0</v>
      </c>
      <c r="E1897" s="3"/>
      <c r="F1897" s="3"/>
      <c r="G1897" s="3"/>
      <c r="H1897" s="3"/>
    </row>
    <row r="1898">
      <c r="A1898" s="2">
        <f>IFERROR(__xludf.DUMMYFUNCTION("""COMPUTED_VALUE"""),21643.0)</f>
        <v>21643</v>
      </c>
      <c r="B1898" s="3" t="str">
        <f>IFERROR(__xludf.DUMMYFUNCTION("""COMPUTED_VALUE"""),"9841 ELLIS RD")</f>
        <v>9841 ELLIS RD</v>
      </c>
      <c r="C1898" s="3" t="str">
        <f>IFERROR(__xludf.DUMMYFUNCTION("""COMPUTED_VALUE"""),"BALTIMORE")</f>
        <v>BALTIMORE</v>
      </c>
      <c r="D1898" s="3" t="str">
        <f>IFERROR(__xludf.DUMMYFUNCTION("""COMPUTED_VALUE"""),"K0K 1C0")</f>
        <v>K0K 1C0</v>
      </c>
      <c r="E1898" s="3" t="str">
        <f>IFERROR(__xludf.DUMMYFUNCTION("""COMPUTED_VALUE"""),"peter mason ")</f>
        <v>peter mason </v>
      </c>
      <c r="F1898" s="3" t="str">
        <f>IFERROR(__xludf.DUMMYFUNCTION("""COMPUTED_VALUE"""),"peter.mason06@gmail.com")</f>
        <v>peter.mason06@gmail.com</v>
      </c>
      <c r="G1898" s="3">
        <f>IFERROR(__xludf.DUMMYFUNCTION("""COMPUTED_VALUE"""),7.059271902E9)</f>
        <v>7059271902</v>
      </c>
      <c r="H1898" s="3"/>
    </row>
    <row r="1899">
      <c r="A1899" s="2">
        <f>IFERROR(__xludf.DUMMYFUNCTION("""COMPUTED_VALUE"""),21644.0)</f>
        <v>21644</v>
      </c>
      <c r="B1899" s="3" t="str">
        <f>IFERROR(__xludf.DUMMYFUNCTION("""COMPUTED_VALUE"""),"9850 ELLIS RD")</f>
        <v>9850 ELLIS RD</v>
      </c>
      <c r="C1899" s="3" t="str">
        <f>IFERROR(__xludf.DUMMYFUNCTION("""COMPUTED_VALUE"""),"BALTIMORE")</f>
        <v>BALTIMORE</v>
      </c>
      <c r="D1899" s="3" t="str">
        <f>IFERROR(__xludf.DUMMYFUNCTION("""COMPUTED_VALUE"""),"K0K 1C0")</f>
        <v>K0K 1C0</v>
      </c>
      <c r="E1899" s="3" t="str">
        <f>IFERROR(__xludf.DUMMYFUNCTION("""COMPUTED_VALUE"""),"chris palfrey")</f>
        <v>chris palfrey</v>
      </c>
      <c r="F1899" s="3" t="str">
        <f>IFERROR(__xludf.DUMMYFUNCTION("""COMPUTED_VALUE"""),"chris_palfrey@live.ca")</f>
        <v>chris_palfrey@live.ca</v>
      </c>
      <c r="G1899" s="3">
        <f>IFERROR(__xludf.DUMMYFUNCTION("""COMPUTED_VALUE"""),9.05269643E9)</f>
        <v>9052696430</v>
      </c>
      <c r="H1899" s="3"/>
    </row>
    <row r="1900">
      <c r="A1900" s="2">
        <f>IFERROR(__xludf.DUMMYFUNCTION("""COMPUTED_VALUE"""),21645.0)</f>
        <v>21645</v>
      </c>
      <c r="B1900" s="3" t="str">
        <f>IFERROR(__xludf.DUMMYFUNCTION("""COMPUTED_VALUE"""),"9860 ELLIS RD")</f>
        <v>9860 ELLIS RD</v>
      </c>
      <c r="C1900" s="3" t="str">
        <f>IFERROR(__xludf.DUMMYFUNCTION("""COMPUTED_VALUE"""),"BALTIMORE")</f>
        <v>BALTIMORE</v>
      </c>
      <c r="D1900" s="3" t="str">
        <f>IFERROR(__xludf.DUMMYFUNCTION("""COMPUTED_VALUE"""),"K0K 1C0")</f>
        <v>K0K 1C0</v>
      </c>
      <c r="E1900" s="3" t="str">
        <f>IFERROR(__xludf.DUMMYFUNCTION("""COMPUTED_VALUE"""),"Andrew Berzins")</f>
        <v>Andrew Berzins</v>
      </c>
      <c r="F1900" s="3" t="str">
        <f>IFERROR(__xludf.DUMMYFUNCTION("""COMPUTED_VALUE"""),"andyberzinspm@gmail.com")</f>
        <v>andyberzinspm@gmail.com</v>
      </c>
      <c r="G1900" s="3">
        <f>IFERROR(__xludf.DUMMYFUNCTION("""COMPUTED_VALUE"""),9.058084056E9)</f>
        <v>9058084056</v>
      </c>
      <c r="H1900" s="3"/>
    </row>
    <row r="1901">
      <c r="A1901" s="2">
        <f>IFERROR(__xludf.DUMMYFUNCTION("""COMPUTED_VALUE"""),21646.0)</f>
        <v>21646</v>
      </c>
      <c r="B1901" s="3" t="str">
        <f>IFERROR(__xludf.DUMMYFUNCTION("""COMPUTED_VALUE"""),"9865 ELLIS RD")</f>
        <v>9865 ELLIS RD</v>
      </c>
      <c r="C1901" s="3" t="str">
        <f>IFERROR(__xludf.DUMMYFUNCTION("""COMPUTED_VALUE"""),"BALTIMORE")</f>
        <v>BALTIMORE</v>
      </c>
      <c r="D1901" s="3" t="str">
        <f>IFERROR(__xludf.DUMMYFUNCTION("""COMPUTED_VALUE"""),"K0K 1C0")</f>
        <v>K0K 1C0</v>
      </c>
      <c r="E1901" s="3" t="str">
        <f>IFERROR(__xludf.DUMMYFUNCTION("""COMPUTED_VALUE"""),"p. riuth ")</f>
        <v>p. riuth </v>
      </c>
      <c r="F1901" s="3"/>
      <c r="G1901" s="3">
        <f>IFERROR(__xludf.DUMMYFUNCTION("""COMPUTED_VALUE"""),4.167207597E9)</f>
        <v>4167207597</v>
      </c>
      <c r="H1901" s="3"/>
    </row>
    <row r="1902">
      <c r="A1902" s="2">
        <f>IFERROR(__xludf.DUMMYFUNCTION("""COMPUTED_VALUE"""),21647.0)</f>
        <v>21647</v>
      </c>
      <c r="B1902" s="3" t="str">
        <f>IFERROR(__xludf.DUMMYFUNCTION("""COMPUTED_VALUE"""),"9866 ELLIS RD")</f>
        <v>9866 ELLIS RD</v>
      </c>
      <c r="C1902" s="3" t="str">
        <f>IFERROR(__xludf.DUMMYFUNCTION("""COMPUTED_VALUE"""),"BALTIMORE")</f>
        <v>BALTIMORE</v>
      </c>
      <c r="D1902" s="3" t="str">
        <f>IFERROR(__xludf.DUMMYFUNCTION("""COMPUTED_VALUE"""),"K0K 1C0")</f>
        <v>K0K 1C0</v>
      </c>
      <c r="E1902" s="3" t="str">
        <f>IFERROR(__xludf.DUMMYFUNCTION("""COMPUTED_VALUE"""),"peter and denise lorenz ")</f>
        <v>peter and denise lorenz </v>
      </c>
      <c r="F1902" s="3" t="str">
        <f>IFERROR(__xludf.DUMMYFUNCTION("""COMPUTED_VALUE"""),"lorenzp@eagle.com")</f>
        <v>lorenzp@eagle.com</v>
      </c>
      <c r="G1902" s="3">
        <f>IFERROR(__xludf.DUMMYFUNCTION("""COMPUTED_VALUE"""),9.053732719E9)</f>
        <v>9053732719</v>
      </c>
      <c r="H1902" s="3"/>
    </row>
    <row r="1903">
      <c r="A1903" s="2">
        <f>IFERROR(__xludf.DUMMYFUNCTION("""COMPUTED_VALUE"""),23997.0)</f>
        <v>23997</v>
      </c>
      <c r="B1903" s="3" t="str">
        <f>IFERROR(__xludf.DUMMYFUNCTION("""COMPUTED_VALUE"""),"9867 ELLIS RD")</f>
        <v>9867 ELLIS RD</v>
      </c>
      <c r="C1903" s="3" t="str">
        <f>IFERROR(__xludf.DUMMYFUNCTION("""COMPUTED_VALUE"""),"BALTIMORE")</f>
        <v>BALTIMORE</v>
      </c>
      <c r="D1903" s="3" t="str">
        <f>IFERROR(__xludf.DUMMYFUNCTION("""COMPUTED_VALUE"""),"K0K 1C0")</f>
        <v>K0K 1C0</v>
      </c>
      <c r="E1903" s="3" t="str">
        <f>IFERROR(__xludf.DUMMYFUNCTION("""COMPUTED_VALUE"""),"JEFF NICHOLAS")</f>
        <v>JEFF NICHOLAS</v>
      </c>
      <c r="F1903" s="3" t="str">
        <f>IFERROR(__xludf.DUMMYFUNCTION("""COMPUTED_VALUE"""),"jk.nicholas@hotmail.com")</f>
        <v>jk.nicholas@hotmail.com</v>
      </c>
      <c r="G1903" s="3"/>
      <c r="H1903" s="3"/>
    </row>
    <row r="1904">
      <c r="A1904" s="2">
        <f>IFERROR(__xludf.DUMMYFUNCTION("""COMPUTED_VALUE"""),21648.0)</f>
        <v>21648</v>
      </c>
      <c r="B1904" s="3" t="str">
        <f>IFERROR(__xludf.DUMMYFUNCTION("""COMPUTED_VALUE"""),"9868 ELLIS RD")</f>
        <v>9868 ELLIS RD</v>
      </c>
      <c r="C1904" s="3" t="str">
        <f>IFERROR(__xludf.DUMMYFUNCTION("""COMPUTED_VALUE"""),"BALTIMORE")</f>
        <v>BALTIMORE</v>
      </c>
      <c r="D1904" s="3" t="str">
        <f>IFERROR(__xludf.DUMMYFUNCTION("""COMPUTED_VALUE"""),"K0K 1C0")</f>
        <v>K0K 1C0</v>
      </c>
      <c r="E1904" s="3" t="str">
        <f>IFERROR(__xludf.DUMMYFUNCTION("""COMPUTED_VALUE"""),"janet&amp;john dzumek")</f>
        <v>janet&amp;john dzumek</v>
      </c>
      <c r="F1904" s="3" t="str">
        <f>IFERROR(__xludf.DUMMYFUNCTION("""COMPUTED_VALUE"""),"mittens9868@gmail.com")</f>
        <v>mittens9868@gmail.com</v>
      </c>
      <c r="G1904" s="3">
        <f>IFERROR(__xludf.DUMMYFUNCTION("""COMPUTED_VALUE"""),9.053723057E9)</f>
        <v>9053723057</v>
      </c>
      <c r="H1904" s="3">
        <f>IFERROR(__xludf.DUMMYFUNCTION("""COMPUTED_VALUE"""),9.053759516E9)</f>
        <v>9053759516</v>
      </c>
    </row>
    <row r="1905">
      <c r="A1905" s="2">
        <f>IFERROR(__xludf.DUMMYFUNCTION("""COMPUTED_VALUE"""),21649.0)</f>
        <v>21649</v>
      </c>
      <c r="B1905" s="3" t="str">
        <f>IFERROR(__xludf.DUMMYFUNCTION("""COMPUTED_VALUE"""),"9890 ELLIS RD")</f>
        <v>9890 ELLIS RD</v>
      </c>
      <c r="C1905" s="3" t="str">
        <f>IFERROR(__xludf.DUMMYFUNCTION("""COMPUTED_VALUE"""),"BALTIMORE")</f>
        <v>BALTIMORE</v>
      </c>
      <c r="D1905" s="3" t="str">
        <f>IFERROR(__xludf.DUMMYFUNCTION("""COMPUTED_VALUE"""),"K0K 1C0")</f>
        <v>K0K 1C0</v>
      </c>
      <c r="E1905" s="3" t="str">
        <f>IFERROR(__xludf.DUMMYFUNCTION("""COMPUTED_VALUE"""),"kyle ritchie ")</f>
        <v>kyle ritchie </v>
      </c>
      <c r="F1905" s="3" t="str">
        <f>IFERROR(__xludf.DUMMYFUNCTION("""COMPUTED_VALUE"""),"danielleamarel_1@hotmail.com")</f>
        <v>danielleamarel_1@hotmail.com</v>
      </c>
      <c r="G1905" s="3">
        <f>IFERROR(__xludf.DUMMYFUNCTION("""COMPUTED_VALUE"""),9.054103275E9)</f>
        <v>9054103275</v>
      </c>
      <c r="H1905" s="3">
        <f>IFERROR(__xludf.DUMMYFUNCTION("""COMPUTED_VALUE"""),9.054391561E9)</f>
        <v>9054391561</v>
      </c>
    </row>
    <row r="1906">
      <c r="A1906" s="2">
        <f>IFERROR(__xludf.DUMMYFUNCTION("""COMPUTED_VALUE"""),21671.0)</f>
        <v>21671</v>
      </c>
      <c r="B1906" s="3" t="str">
        <f>IFERROR(__xludf.DUMMYFUNCTION("""COMPUTED_VALUE"""),"3068 FERGUSON RD")</f>
        <v>3068 FERGUSON RD</v>
      </c>
      <c r="C1906" s="3" t="str">
        <f>IFERROR(__xludf.DUMMYFUNCTION("""COMPUTED_VALUE"""),"COBOURG")</f>
        <v>COBOURG</v>
      </c>
      <c r="D1906" s="3" t="str">
        <f>IFERROR(__xludf.DUMMYFUNCTION("""COMPUTED_VALUE"""),"K9A 4J9")</f>
        <v>K9A 4J9</v>
      </c>
      <c r="E1906" s="3" t="str">
        <f>IFERROR(__xludf.DUMMYFUNCTION("""COMPUTED_VALUE"""),"robert&amp;alex ferguson")</f>
        <v>robert&amp;alex ferguson</v>
      </c>
      <c r="F1906" s="3" t="str">
        <f>IFERROR(__xludf.DUMMYFUNCTION("""COMPUTED_VALUE"""),"aljoferg@gmail.com")</f>
        <v>aljoferg@gmail.com</v>
      </c>
      <c r="G1906" s="3">
        <f>IFERROR(__xludf.DUMMYFUNCTION("""COMPUTED_VALUE"""),9.05342309E9)</f>
        <v>9053423090</v>
      </c>
      <c r="H1906" s="3">
        <f>IFERROR(__xludf.DUMMYFUNCTION("""COMPUTED_VALUE"""),9.053761882E9)</f>
        <v>9053761882</v>
      </c>
    </row>
    <row r="1907">
      <c r="A1907" s="2">
        <f>IFERROR(__xludf.DUMMYFUNCTION("""COMPUTED_VALUE"""),21681.0)</f>
        <v>21681</v>
      </c>
      <c r="B1907" s="3" t="str">
        <f>IFERROR(__xludf.DUMMYFUNCTION("""COMPUTED_VALUE"""),"3086 FERGUSON RD")</f>
        <v>3086 FERGUSON RD</v>
      </c>
      <c r="C1907" s="3" t="str">
        <f>IFERROR(__xludf.DUMMYFUNCTION("""COMPUTED_VALUE"""),"COBOURG")</f>
        <v>COBOURG</v>
      </c>
      <c r="D1907" s="3" t="str">
        <f>IFERROR(__xludf.DUMMYFUNCTION("""COMPUTED_VALUE"""),"K9A 4J9")</f>
        <v>K9A 4J9</v>
      </c>
      <c r="E1907" s="3"/>
      <c r="F1907" s="3"/>
      <c r="G1907" s="3"/>
      <c r="H1907" s="3"/>
    </row>
    <row r="1908">
      <c r="A1908" s="2">
        <f>IFERROR(__xludf.DUMMYFUNCTION("""COMPUTED_VALUE"""),24011.0)</f>
        <v>24011</v>
      </c>
      <c r="B1908" s="3" t="str">
        <f>IFERROR(__xludf.DUMMYFUNCTION("""COMPUTED_VALUE"""),"3130 FERGUSON RD")</f>
        <v>3130 FERGUSON RD</v>
      </c>
      <c r="C1908" s="3" t="str">
        <f>IFERROR(__xludf.DUMMYFUNCTION("""COMPUTED_VALUE"""),"COBOURG")</f>
        <v>COBOURG</v>
      </c>
      <c r="D1908" s="3" t="str">
        <f>IFERROR(__xludf.DUMMYFUNCTION("""COMPUTED_VALUE"""),"K9A 4J9")</f>
        <v>K9A 4J9</v>
      </c>
      <c r="E1908" s="3"/>
      <c r="F1908" s="3"/>
      <c r="G1908" s="3"/>
      <c r="H1908" s="3"/>
    </row>
    <row r="1909">
      <c r="A1909" s="2">
        <f>IFERROR(__xludf.DUMMYFUNCTION("""COMPUTED_VALUE"""),21672.0)</f>
        <v>21672</v>
      </c>
      <c r="B1909" s="3" t="str">
        <f>IFERROR(__xludf.DUMMYFUNCTION("""COMPUTED_VALUE"""),"3149 FERGUSON RD")</f>
        <v>3149 FERGUSON RD</v>
      </c>
      <c r="C1909" s="3" t="str">
        <f>IFERROR(__xludf.DUMMYFUNCTION("""COMPUTED_VALUE"""),"COBOURG")</f>
        <v>COBOURG</v>
      </c>
      <c r="D1909" s="3" t="str">
        <f>IFERROR(__xludf.DUMMYFUNCTION("""COMPUTED_VALUE"""),"K9A 4J9")</f>
        <v>K9A 4J9</v>
      </c>
      <c r="E1909" s="3" t="str">
        <f>IFERROR(__xludf.DUMMYFUNCTION("""COMPUTED_VALUE"""),"brittany mcbride ")</f>
        <v>brittany mcbride </v>
      </c>
      <c r="F1909" s="3" t="str">
        <f>IFERROR(__xludf.DUMMYFUNCTION("""COMPUTED_VALUE"""),"peka97@hotmail.com")</f>
        <v>peka97@hotmail.com</v>
      </c>
      <c r="G1909" s="3">
        <f>IFERROR(__xludf.DUMMYFUNCTION("""COMPUTED_VALUE"""),2.892514904E9)</f>
        <v>2892514904</v>
      </c>
      <c r="H1909" s="3"/>
    </row>
    <row r="1910">
      <c r="A1910" s="2">
        <f>IFERROR(__xludf.DUMMYFUNCTION("""COMPUTED_VALUE"""),21673.0)</f>
        <v>21673</v>
      </c>
      <c r="B1910" s="3" t="str">
        <f>IFERROR(__xludf.DUMMYFUNCTION("""COMPUTED_VALUE"""),"3233 FERGUSON RD")</f>
        <v>3233 FERGUSON RD</v>
      </c>
      <c r="C1910" s="3" t="str">
        <f>IFERROR(__xludf.DUMMYFUNCTION("""COMPUTED_VALUE"""),"COBOURG")</f>
        <v>COBOURG</v>
      </c>
      <c r="D1910" s="3" t="str">
        <f>IFERROR(__xludf.DUMMYFUNCTION("""COMPUTED_VALUE"""),"K9A 4J9")</f>
        <v>K9A 4J9</v>
      </c>
      <c r="E1910" s="3"/>
      <c r="F1910" s="3"/>
      <c r="G1910" s="3"/>
      <c r="H1910" s="3"/>
    </row>
    <row r="1911">
      <c r="A1911" s="2">
        <f>IFERROR(__xludf.DUMMYFUNCTION("""COMPUTED_VALUE"""),21759.0)</f>
        <v>21759</v>
      </c>
      <c r="B1911" s="3" t="str">
        <f>IFERROR(__xludf.DUMMYFUNCTION("""COMPUTED_VALUE"""),"2820 GARLAND RD")</f>
        <v>2820 GARLAND RD</v>
      </c>
      <c r="C1911" s="3" t="str">
        <f>IFERROR(__xludf.DUMMYFUNCTION("""COMPUTED_VALUE"""),"COBOURG")</f>
        <v>COBOURG</v>
      </c>
      <c r="D1911" s="3" t="str">
        <f>IFERROR(__xludf.DUMMYFUNCTION("""COMPUTED_VALUE"""),"K9A 4J7")</f>
        <v>K9A 4J7</v>
      </c>
      <c r="E1911" s="3" t="str">
        <f>IFERROR(__xludf.DUMMYFUNCTION("""COMPUTED_VALUE"""),"Karen VanNeste")</f>
        <v>Karen VanNeste</v>
      </c>
      <c r="F1911" s="3" t="str">
        <f>IFERROR(__xludf.DUMMYFUNCTION("""COMPUTED_VALUE"""),"kvanneste69@gmail.com")</f>
        <v>kvanneste69@gmail.com</v>
      </c>
      <c r="G1911" s="3"/>
      <c r="H1911" s="3"/>
    </row>
    <row r="1912">
      <c r="A1912" s="2">
        <f>IFERROR(__xludf.DUMMYFUNCTION("""COMPUTED_VALUE"""),21760.0)</f>
        <v>21760</v>
      </c>
      <c r="B1912" s="3" t="str">
        <f>IFERROR(__xludf.DUMMYFUNCTION("""COMPUTED_VALUE"""),"2836 GARLAND RD")</f>
        <v>2836 GARLAND RD</v>
      </c>
      <c r="C1912" s="3" t="str">
        <f>IFERROR(__xludf.DUMMYFUNCTION("""COMPUTED_VALUE"""),"COBOURG")</f>
        <v>COBOURG</v>
      </c>
      <c r="D1912" s="3" t="str">
        <f>IFERROR(__xludf.DUMMYFUNCTION("""COMPUTED_VALUE"""),"K9A 4J7")</f>
        <v>K9A 4J7</v>
      </c>
      <c r="E1912" s="3" t="str">
        <f>IFERROR(__xludf.DUMMYFUNCTION("""COMPUTED_VALUE"""),"Donald Pinet")</f>
        <v>Donald Pinet</v>
      </c>
      <c r="F1912" s="3" t="str">
        <f>IFERROR(__xludf.DUMMYFUNCTION("""COMPUTED_VALUE"""),"dipinet@outlook.com")</f>
        <v>dipinet@outlook.com</v>
      </c>
      <c r="G1912" s="3"/>
      <c r="H1912" s="3"/>
    </row>
    <row r="1913">
      <c r="A1913" s="2">
        <f>IFERROR(__xludf.DUMMYFUNCTION("""COMPUTED_VALUE"""),21761.0)</f>
        <v>21761</v>
      </c>
      <c r="B1913" s="3" t="str">
        <f>IFERROR(__xludf.DUMMYFUNCTION("""COMPUTED_VALUE"""),"2847 GARLAND RD")</f>
        <v>2847 GARLAND RD</v>
      </c>
      <c r="C1913" s="3" t="str">
        <f>IFERROR(__xludf.DUMMYFUNCTION("""COMPUTED_VALUE"""),"COBOURG")</f>
        <v>COBOURG</v>
      </c>
      <c r="D1913" s="3" t="str">
        <f>IFERROR(__xludf.DUMMYFUNCTION("""COMPUTED_VALUE"""),"K9A 4J7")</f>
        <v>K9A 4J7</v>
      </c>
      <c r="E1913" s="3"/>
      <c r="F1913" s="3"/>
      <c r="G1913" s="3"/>
      <c r="H1913" s="3"/>
    </row>
    <row r="1914">
      <c r="A1914" s="2">
        <f>IFERROR(__xludf.DUMMYFUNCTION("""COMPUTED_VALUE"""),21762.0)</f>
        <v>21762</v>
      </c>
      <c r="B1914" s="3" t="str">
        <f>IFERROR(__xludf.DUMMYFUNCTION("""COMPUTED_VALUE"""),"2852 GARLAND RD")</f>
        <v>2852 GARLAND RD</v>
      </c>
      <c r="C1914" s="3" t="str">
        <f>IFERROR(__xludf.DUMMYFUNCTION("""COMPUTED_VALUE"""),"COBOURG")</f>
        <v>COBOURG</v>
      </c>
      <c r="D1914" s="3" t="str">
        <f>IFERROR(__xludf.DUMMYFUNCTION("""COMPUTED_VALUE"""),"K9A 4J7")</f>
        <v>K9A 4J7</v>
      </c>
      <c r="E1914" s="3"/>
      <c r="F1914" s="3"/>
      <c r="G1914" s="3"/>
      <c r="H1914" s="3"/>
    </row>
    <row r="1915">
      <c r="A1915" s="2">
        <f>IFERROR(__xludf.DUMMYFUNCTION("""COMPUTED_VALUE"""),21772.0)</f>
        <v>21772</v>
      </c>
      <c r="B1915" s="3" t="str">
        <f>IFERROR(__xludf.DUMMYFUNCTION("""COMPUTED_VALUE"""),"8540 GLEN LYNDEN RD")</f>
        <v>8540 GLEN LYNDEN RD</v>
      </c>
      <c r="C1915" s="3" t="str">
        <f>IFERROR(__xludf.DUMMYFUNCTION("""COMPUTED_VALUE"""),"GORES LANDING")</f>
        <v>GORES LANDING</v>
      </c>
      <c r="D1915" s="3" t="str">
        <f>IFERROR(__xludf.DUMMYFUNCTION("""COMPUTED_VALUE"""),"K0K 2E0")</f>
        <v>K0K 2E0</v>
      </c>
      <c r="E1915" s="3"/>
      <c r="F1915" s="3"/>
      <c r="G1915" s="3"/>
      <c r="H1915" s="3"/>
    </row>
    <row r="1916">
      <c r="A1916" s="2">
        <f>IFERROR(__xludf.DUMMYFUNCTION("""COMPUTED_VALUE"""),21776.0)</f>
        <v>21776</v>
      </c>
      <c r="B1916" s="3" t="str">
        <f>IFERROR(__xludf.DUMMYFUNCTION("""COMPUTED_VALUE"""),"8971 GLENDALE DR")</f>
        <v>8971 GLENDALE DR</v>
      </c>
      <c r="C1916" s="3" t="str">
        <f>IFERROR(__xludf.DUMMYFUNCTION("""COMPUTED_VALUE"""),"COBOURG")</f>
        <v>COBOURG</v>
      </c>
      <c r="D1916" s="3" t="str">
        <f>IFERROR(__xludf.DUMMYFUNCTION("""COMPUTED_VALUE"""),"K9A 4J9")</f>
        <v>K9A 4J9</v>
      </c>
      <c r="E1916" s="3" t="str">
        <f>IFERROR(__xludf.DUMMYFUNCTION("""COMPUTED_VALUE"""),"Ryan Sloggett")</f>
        <v>Ryan Sloggett</v>
      </c>
      <c r="F1916" s="3" t="str">
        <f>IFERROR(__xludf.DUMMYFUNCTION("""COMPUTED_VALUE"""),"ryan_sloggett@yahoo.ca")</f>
        <v>ryan_sloggett@yahoo.ca</v>
      </c>
      <c r="G1916" s="3">
        <f>IFERROR(__xludf.DUMMYFUNCTION("""COMPUTED_VALUE"""),4.165560326E9)</f>
        <v>4165560326</v>
      </c>
      <c r="H1916" s="3"/>
    </row>
    <row r="1917">
      <c r="A1917" s="2">
        <f>IFERROR(__xludf.DUMMYFUNCTION("""COMPUTED_VALUE"""),21777.0)</f>
        <v>21777</v>
      </c>
      <c r="B1917" s="3" t="str">
        <f>IFERROR(__xludf.DUMMYFUNCTION("""COMPUTED_VALUE"""),"8974 GLENDALE DR")</f>
        <v>8974 GLENDALE DR</v>
      </c>
      <c r="C1917" s="3" t="str">
        <f>IFERROR(__xludf.DUMMYFUNCTION("""COMPUTED_VALUE"""),"COBOURG")</f>
        <v>COBOURG</v>
      </c>
      <c r="D1917" s="3" t="str">
        <f>IFERROR(__xludf.DUMMYFUNCTION("""COMPUTED_VALUE"""),"K9A 4J9")</f>
        <v>K9A 4J9</v>
      </c>
      <c r="E1917" s="3" t="str">
        <f>IFERROR(__xludf.DUMMYFUNCTION("""COMPUTED_VALUE"""),"Mike Maloney")</f>
        <v>Mike Maloney</v>
      </c>
      <c r="F1917" s="3" t="str">
        <f>IFERROR(__xludf.DUMMYFUNCTION("""COMPUTED_VALUE"""),"mike.maloney@ymail.com")</f>
        <v>mike.maloney@ymail.com</v>
      </c>
      <c r="G1917" s="3">
        <f>IFERROR(__xludf.DUMMYFUNCTION("""COMPUTED_VALUE"""),6.138647772E9)</f>
        <v>6138647772</v>
      </c>
      <c r="H1917" s="3"/>
    </row>
    <row r="1918">
      <c r="A1918" s="2">
        <f>IFERROR(__xludf.DUMMYFUNCTION("""COMPUTED_VALUE"""),21778.0)</f>
        <v>21778</v>
      </c>
      <c r="B1918" s="3" t="str">
        <f>IFERROR(__xludf.DUMMYFUNCTION("""COMPUTED_VALUE"""),"8978 GLENDALE DR")</f>
        <v>8978 GLENDALE DR</v>
      </c>
      <c r="C1918" s="3" t="str">
        <f>IFERROR(__xludf.DUMMYFUNCTION("""COMPUTED_VALUE"""),"COBOURG")</f>
        <v>COBOURG</v>
      </c>
      <c r="D1918" s="3" t="str">
        <f>IFERROR(__xludf.DUMMYFUNCTION("""COMPUTED_VALUE"""),"K9A 4J9")</f>
        <v>K9A 4J9</v>
      </c>
      <c r="E1918" s="3" t="str">
        <f>IFERROR(__xludf.DUMMYFUNCTION("""COMPUTED_VALUE"""),"KATHY MORGAN")</f>
        <v>KATHY MORGAN</v>
      </c>
      <c r="F1918" s="3" t="str">
        <f>IFERROR(__xludf.DUMMYFUNCTION("""COMPUTED_VALUE"""),"kathymorgan19@gmail.com")</f>
        <v>kathymorgan19@gmail.com</v>
      </c>
      <c r="G1918" s="3"/>
      <c r="H1918" s="3"/>
    </row>
    <row r="1919">
      <c r="A1919" s="2">
        <f>IFERROR(__xludf.DUMMYFUNCTION("""COMPUTED_VALUE"""),21779.0)</f>
        <v>21779</v>
      </c>
      <c r="B1919" s="3" t="str">
        <f>IFERROR(__xludf.DUMMYFUNCTION("""COMPUTED_VALUE"""),"8979 GLENDALE DR")</f>
        <v>8979 GLENDALE DR</v>
      </c>
      <c r="C1919" s="3" t="str">
        <f>IFERROR(__xludf.DUMMYFUNCTION("""COMPUTED_VALUE"""),"COBOURG")</f>
        <v>COBOURG</v>
      </c>
      <c r="D1919" s="3" t="str">
        <f>IFERROR(__xludf.DUMMYFUNCTION("""COMPUTED_VALUE"""),"K9A 4J9")</f>
        <v>K9A 4J9</v>
      </c>
      <c r="E1919" s="3" t="str">
        <f>IFERROR(__xludf.DUMMYFUNCTION("""COMPUTED_VALUE"""),"wanda brooks")</f>
        <v>wanda brooks</v>
      </c>
      <c r="F1919" s="3" t="str">
        <f>IFERROR(__xludf.DUMMYFUNCTION("""COMPUTED_VALUE"""),"brookswanda22@gmail.com")</f>
        <v>brookswanda22@gmail.com</v>
      </c>
      <c r="G1919" s="3">
        <f>IFERROR(__xludf.DUMMYFUNCTION("""COMPUTED_VALUE"""),9.05269762E9)</f>
        <v>9052697620</v>
      </c>
      <c r="H1919" s="3"/>
    </row>
    <row r="1920">
      <c r="A1920" s="2">
        <f>IFERROR(__xludf.DUMMYFUNCTION("""COMPUTED_VALUE"""),21780.0)</f>
        <v>21780</v>
      </c>
      <c r="B1920" s="3" t="str">
        <f>IFERROR(__xludf.DUMMYFUNCTION("""COMPUTED_VALUE"""),"8987 GLENDALE DR")</f>
        <v>8987 GLENDALE DR</v>
      </c>
      <c r="C1920" s="3" t="str">
        <f>IFERROR(__xludf.DUMMYFUNCTION("""COMPUTED_VALUE"""),"COBOURG")</f>
        <v>COBOURG</v>
      </c>
      <c r="D1920" s="3" t="str">
        <f>IFERROR(__xludf.DUMMYFUNCTION("""COMPUTED_VALUE"""),"K9A 4J9")</f>
        <v>K9A 4J9</v>
      </c>
      <c r="E1920" s="3" t="str">
        <f>IFERROR(__xludf.DUMMYFUNCTION("""COMPUTED_VALUE"""),"TARA BRYANS")</f>
        <v>TARA BRYANS</v>
      </c>
      <c r="F1920" s="3" t="str">
        <f>IFERROR(__xludf.DUMMYFUNCTION("""COMPUTED_VALUE"""),"tarabryans@gmail.com")</f>
        <v>tarabryans@gmail.com</v>
      </c>
      <c r="G1920" s="3"/>
      <c r="H1920" s="3"/>
    </row>
    <row r="1921">
      <c r="A1921" s="2">
        <f>IFERROR(__xludf.DUMMYFUNCTION("""COMPUTED_VALUE"""),21781.0)</f>
        <v>21781</v>
      </c>
      <c r="B1921" s="3" t="str">
        <f>IFERROR(__xludf.DUMMYFUNCTION("""COMPUTED_VALUE"""),"8988 GLENDALE DR")</f>
        <v>8988 GLENDALE DR</v>
      </c>
      <c r="C1921" s="3" t="str">
        <f>IFERROR(__xludf.DUMMYFUNCTION("""COMPUTED_VALUE"""),"COBOURG")</f>
        <v>COBOURG</v>
      </c>
      <c r="D1921" s="3" t="str">
        <f>IFERROR(__xludf.DUMMYFUNCTION("""COMPUTED_VALUE"""),"K9A 4J9")</f>
        <v>K9A 4J9</v>
      </c>
      <c r="E1921" s="3" t="str">
        <f>IFERROR(__xludf.DUMMYFUNCTION("""COMPUTED_VALUE"""),"Lina Wash")</f>
        <v>Lina Wash</v>
      </c>
      <c r="F1921" s="3" t="str">
        <f>IFERROR(__xludf.DUMMYFUNCTION("""COMPUTED_VALUE"""),"carter.lina.ot@gmail.com")</f>
        <v>carter.lina.ot@gmail.com</v>
      </c>
      <c r="G1921" s="3">
        <f>IFERROR(__xludf.DUMMYFUNCTION("""COMPUTED_VALUE"""),7.057722019E9)</f>
        <v>7057722019</v>
      </c>
      <c r="H1921" s="3"/>
    </row>
    <row r="1922">
      <c r="A1922" s="2">
        <f>IFERROR(__xludf.DUMMYFUNCTION("""COMPUTED_VALUE"""),21782.0)</f>
        <v>21782</v>
      </c>
      <c r="B1922" s="3" t="str">
        <f>IFERROR(__xludf.DUMMYFUNCTION("""COMPUTED_VALUE"""),"8992 GLENDALE DR")</f>
        <v>8992 GLENDALE DR</v>
      </c>
      <c r="C1922" s="3" t="str">
        <f>IFERROR(__xludf.DUMMYFUNCTION("""COMPUTED_VALUE"""),"COBOURG")</f>
        <v>COBOURG</v>
      </c>
      <c r="D1922" s="3" t="str">
        <f>IFERROR(__xludf.DUMMYFUNCTION("""COMPUTED_VALUE"""),"K9A 4J9")</f>
        <v>K9A 4J9</v>
      </c>
      <c r="E1922" s="3" t="str">
        <f>IFERROR(__xludf.DUMMYFUNCTION("""COMPUTED_VALUE"""),"Danielle&amp;nick Ferguson")</f>
        <v>Danielle&amp;nick Ferguson</v>
      </c>
      <c r="F1922" s="3" t="str">
        <f>IFERROR(__xludf.DUMMYFUNCTION("""COMPUTED_VALUE"""),"danielle.luxton26@gmail.com")</f>
        <v>danielle.luxton26@gmail.com</v>
      </c>
      <c r="G1922" s="3">
        <f>IFERROR(__xludf.DUMMYFUNCTION("""COMPUTED_VALUE"""),2.893553248E9)</f>
        <v>2893553248</v>
      </c>
      <c r="H1922" s="3"/>
    </row>
    <row r="1923">
      <c r="A1923" s="2">
        <f>IFERROR(__xludf.DUMMYFUNCTION("""COMPUTED_VALUE"""),21783.0)</f>
        <v>21783</v>
      </c>
      <c r="B1923" s="3" t="str">
        <f>IFERROR(__xludf.DUMMYFUNCTION("""COMPUTED_VALUE"""),"8995 GLENDALE DR")</f>
        <v>8995 GLENDALE DR</v>
      </c>
      <c r="C1923" s="3" t="str">
        <f>IFERROR(__xludf.DUMMYFUNCTION("""COMPUTED_VALUE"""),"COBOURG")</f>
        <v>COBOURG</v>
      </c>
      <c r="D1923" s="3" t="str">
        <f>IFERROR(__xludf.DUMMYFUNCTION("""COMPUTED_VALUE"""),"K9A 4J9")</f>
        <v>K9A 4J9</v>
      </c>
      <c r="E1923" s="3" t="str">
        <f>IFERROR(__xludf.DUMMYFUNCTION("""COMPUTED_VALUE"""),"Jennifer Anne Ashley")</f>
        <v>Jennifer Anne Ashley</v>
      </c>
      <c r="F1923" s="3" t="str">
        <f>IFERROR(__xludf.DUMMYFUNCTION("""COMPUTED_VALUE"""),"jenashley22@outlook.com")</f>
        <v>jenashley22@outlook.com</v>
      </c>
      <c r="G1923" s="3"/>
      <c r="H1923" s="3"/>
    </row>
    <row r="1924">
      <c r="A1924" s="2">
        <f>IFERROR(__xludf.DUMMYFUNCTION("""COMPUTED_VALUE"""),21784.0)</f>
        <v>21784</v>
      </c>
      <c r="B1924" s="3" t="str">
        <f>IFERROR(__xludf.DUMMYFUNCTION("""COMPUTED_VALUE"""),"8999 GLENDALE DR")</f>
        <v>8999 GLENDALE DR</v>
      </c>
      <c r="C1924" s="3" t="str">
        <f>IFERROR(__xludf.DUMMYFUNCTION("""COMPUTED_VALUE"""),"COBOURG")</f>
        <v>COBOURG</v>
      </c>
      <c r="D1924" s="3" t="str">
        <f>IFERROR(__xludf.DUMMYFUNCTION("""COMPUTED_VALUE"""),"K9A 4J9")</f>
        <v>K9A 4J9</v>
      </c>
      <c r="E1924" s="3"/>
      <c r="F1924" s="3"/>
      <c r="G1924" s="3"/>
      <c r="H1924" s="3"/>
    </row>
    <row r="1925">
      <c r="A1925" s="2">
        <f>IFERROR(__xludf.DUMMYFUNCTION("""COMPUTED_VALUE"""),21785.0)</f>
        <v>21785</v>
      </c>
      <c r="B1925" s="3" t="str">
        <f>IFERROR(__xludf.DUMMYFUNCTION("""COMPUTED_VALUE"""),"9000 GLENDALE DR")</f>
        <v>9000 GLENDALE DR</v>
      </c>
      <c r="C1925" s="3" t="str">
        <f>IFERROR(__xludf.DUMMYFUNCTION("""COMPUTED_VALUE"""),"COBOURG")</f>
        <v>COBOURG</v>
      </c>
      <c r="D1925" s="3" t="str">
        <f>IFERROR(__xludf.DUMMYFUNCTION("""COMPUTED_VALUE"""),"K9A 4J9")</f>
        <v>K9A 4J9</v>
      </c>
      <c r="E1925" s="3"/>
      <c r="F1925" s="3"/>
      <c r="G1925" s="3"/>
      <c r="H1925" s="3"/>
    </row>
    <row r="1926">
      <c r="A1926" s="2">
        <f>IFERROR(__xludf.DUMMYFUNCTION("""COMPUTED_VALUE"""),21786.0)</f>
        <v>21786</v>
      </c>
      <c r="B1926" s="3" t="str">
        <f>IFERROR(__xludf.DUMMYFUNCTION("""COMPUTED_VALUE"""),"9005 GLENDALE DR")</f>
        <v>9005 GLENDALE DR</v>
      </c>
      <c r="C1926" s="3" t="str">
        <f>IFERROR(__xludf.DUMMYFUNCTION("""COMPUTED_VALUE"""),"COBOURG")</f>
        <v>COBOURG</v>
      </c>
      <c r="D1926" s="3" t="str">
        <f>IFERROR(__xludf.DUMMYFUNCTION("""COMPUTED_VALUE"""),"K9A 4J9")</f>
        <v>K9A 4J9</v>
      </c>
      <c r="E1926" s="3" t="str">
        <f>IFERROR(__xludf.DUMMYFUNCTION("""COMPUTED_VALUE"""),"Pharen Wilson")</f>
        <v>Pharen Wilson</v>
      </c>
      <c r="F1926" s="3" t="str">
        <f>IFERROR(__xludf.DUMMYFUNCTION("""COMPUTED_VALUE"""),"pharenwilson@live.com")</f>
        <v>pharenwilson@live.com</v>
      </c>
      <c r="G1926" s="3">
        <f>IFERROR(__xludf.DUMMYFUNCTION("""COMPUTED_VALUE"""),9.053738049E9)</f>
        <v>9053738049</v>
      </c>
      <c r="H1926" s="3"/>
    </row>
    <row r="1927">
      <c r="A1927" s="2">
        <f>IFERROR(__xludf.DUMMYFUNCTION("""COMPUTED_VALUE"""),21787.0)</f>
        <v>21787</v>
      </c>
      <c r="B1927" s="3" t="str">
        <f>IFERROR(__xludf.DUMMYFUNCTION("""COMPUTED_VALUE"""),"9006 GLENDALE DR")</f>
        <v>9006 GLENDALE DR</v>
      </c>
      <c r="C1927" s="3" t="str">
        <f>IFERROR(__xludf.DUMMYFUNCTION("""COMPUTED_VALUE"""),"COBOURG")</f>
        <v>COBOURG</v>
      </c>
      <c r="D1927" s="3" t="str">
        <f>IFERROR(__xludf.DUMMYFUNCTION("""COMPUTED_VALUE"""),"K9A 4J9")</f>
        <v>K9A 4J9</v>
      </c>
      <c r="E1927" s="3" t="str">
        <f>IFERROR(__xludf.DUMMYFUNCTION("""COMPUTED_VALUE"""),"diana&amp;jim flesch")</f>
        <v>diana&amp;jim flesch</v>
      </c>
      <c r="F1927" s="3" t="str">
        <f>IFERROR(__xludf.DUMMYFUNCTION("""COMPUTED_VALUE"""),"dianaflesch@gmail.com")</f>
        <v>dianaflesch@gmail.com</v>
      </c>
      <c r="G1927" s="3">
        <f>IFERROR(__xludf.DUMMYFUNCTION("""COMPUTED_VALUE"""),2.892513866E9)</f>
        <v>2892513866</v>
      </c>
      <c r="H1927" s="3">
        <f>IFERROR(__xludf.DUMMYFUNCTION("""COMPUTED_VALUE"""),2.892519326E9)</f>
        <v>2892519326</v>
      </c>
    </row>
    <row r="1928">
      <c r="A1928" s="2">
        <f>IFERROR(__xludf.DUMMYFUNCTION("""COMPUTED_VALUE"""),21788.0)</f>
        <v>21788</v>
      </c>
      <c r="B1928" s="3" t="str">
        <f>IFERROR(__xludf.DUMMYFUNCTION("""COMPUTED_VALUE"""),"9007 GLENDALE DR")</f>
        <v>9007 GLENDALE DR</v>
      </c>
      <c r="C1928" s="3" t="str">
        <f>IFERROR(__xludf.DUMMYFUNCTION("""COMPUTED_VALUE"""),"COBOURG")</f>
        <v>COBOURG</v>
      </c>
      <c r="D1928" s="3" t="str">
        <f>IFERROR(__xludf.DUMMYFUNCTION("""COMPUTED_VALUE"""),"K9A 4J9")</f>
        <v>K9A 4J9</v>
      </c>
      <c r="E1928" s="3" t="str">
        <f>IFERROR(__xludf.DUMMYFUNCTION("""COMPUTED_VALUE"""),"Kathy Morgan")</f>
        <v>Kathy Morgan</v>
      </c>
      <c r="F1928" s="3" t="str">
        <f>IFERROR(__xludf.DUMMYFUNCTION("""COMPUTED_VALUE"""),"kathymorgan19@gmail.com")</f>
        <v>kathymorgan19@gmail.com</v>
      </c>
      <c r="G1928" s="3">
        <f>IFERROR(__xludf.DUMMYFUNCTION("""COMPUTED_VALUE"""),9.053764663E9)</f>
        <v>9053764663</v>
      </c>
      <c r="H1928" s="3">
        <f>IFERROR(__xludf.DUMMYFUNCTION("""COMPUTED_VALUE"""),9.053736365E9)</f>
        <v>9053736365</v>
      </c>
    </row>
    <row r="1929">
      <c r="A1929" s="2">
        <f>IFERROR(__xludf.DUMMYFUNCTION("""COMPUTED_VALUE"""),23988.0)</f>
        <v>23988</v>
      </c>
      <c r="B1929" s="3" t="str">
        <f>IFERROR(__xludf.DUMMYFUNCTION("""COMPUTED_VALUE"""),"5189 GOOSE CREEK RD")</f>
        <v>5189 GOOSE CREEK RD</v>
      </c>
      <c r="C1929" s="3" t="str">
        <f>IFERROR(__xludf.DUMMYFUNCTION("""COMPUTED_VALUE"""),"BALTIMORE")</f>
        <v>BALTIMORE</v>
      </c>
      <c r="D1929" s="3" t="str">
        <f>IFERROR(__xludf.DUMMYFUNCTION("""COMPUTED_VALUE"""),"K0K 1C0")</f>
        <v>K0K 1C0</v>
      </c>
      <c r="E1929" s="3" t="str">
        <f>IFERROR(__xludf.DUMMYFUNCTION("""COMPUTED_VALUE"""),"Brendan Cheung")</f>
        <v>Brendan Cheung</v>
      </c>
      <c r="F1929" s="3" t="str">
        <f>IFERROR(__xludf.DUMMYFUNCTION("""COMPUTED_VALUE"""),"brendan.cheung@gmail.com")</f>
        <v>brendan.cheung@gmail.com</v>
      </c>
      <c r="G1929" s="3"/>
      <c r="H1929" s="3"/>
    </row>
    <row r="1930">
      <c r="A1930" s="2">
        <f>IFERROR(__xludf.DUMMYFUNCTION("""COMPUTED_VALUE"""),21789.0)</f>
        <v>21789</v>
      </c>
      <c r="B1930" s="3" t="str">
        <f>IFERROR(__xludf.DUMMYFUNCTION("""COMPUTED_VALUE"""),"5192 GOOSE CREEK RD")</f>
        <v>5192 GOOSE CREEK RD</v>
      </c>
      <c r="C1930" s="3" t="str">
        <f>IFERROR(__xludf.DUMMYFUNCTION("""COMPUTED_VALUE"""),"HARWOOD")</f>
        <v>HARWOOD</v>
      </c>
      <c r="D1930" s="3" t="str">
        <f>IFERROR(__xludf.DUMMYFUNCTION("""COMPUTED_VALUE"""),"K0K 2H0")</f>
        <v>K0K 2H0</v>
      </c>
      <c r="E1930" s="3"/>
      <c r="F1930" s="3"/>
      <c r="G1930" s="3"/>
      <c r="H1930" s="3"/>
    </row>
    <row r="1931">
      <c r="A1931" s="2">
        <f>IFERROR(__xludf.DUMMYFUNCTION("""COMPUTED_VALUE"""),21790.0)</f>
        <v>21790</v>
      </c>
      <c r="B1931" s="3" t="str">
        <f>IFERROR(__xludf.DUMMYFUNCTION("""COMPUTED_VALUE"""),"5207 GOOSE CREEK RD")</f>
        <v>5207 GOOSE CREEK RD</v>
      </c>
      <c r="C1931" s="3" t="str">
        <f>IFERROR(__xludf.DUMMYFUNCTION("""COMPUTED_VALUE"""),"BALTIMORE")</f>
        <v>BALTIMORE</v>
      </c>
      <c r="D1931" s="3" t="str">
        <f>IFERROR(__xludf.DUMMYFUNCTION("""COMPUTED_VALUE"""),"K0K 1C0")</f>
        <v>K0K 1C0</v>
      </c>
      <c r="E1931" s="3" t="str">
        <f>IFERROR(__xludf.DUMMYFUNCTION("""COMPUTED_VALUE"""),"colin heikkila ")</f>
        <v>colin heikkila </v>
      </c>
      <c r="F1931" s="3" t="str">
        <f>IFERROR(__xludf.DUMMYFUNCTION("""COMPUTED_VALUE"""),"colin.heikkila@gmail.com")</f>
        <v>colin.heikkila@gmail.com</v>
      </c>
      <c r="G1931" s="3">
        <f>IFERROR(__xludf.DUMMYFUNCTION("""COMPUTED_VALUE"""),2.893212296E9)</f>
        <v>2893212296</v>
      </c>
      <c r="H1931" s="3">
        <f>IFERROR(__xludf.DUMMYFUNCTION("""COMPUTED_VALUE"""),2.898230426E9)</f>
        <v>2898230426</v>
      </c>
    </row>
    <row r="1932">
      <c r="A1932" s="2">
        <f>IFERROR(__xludf.DUMMYFUNCTION("""COMPUTED_VALUE"""),21791.0)</f>
        <v>21791</v>
      </c>
      <c r="B1932" s="3" t="str">
        <f>IFERROR(__xludf.DUMMYFUNCTION("""COMPUTED_VALUE"""),"5217 GOOSE CREEK RD")</f>
        <v>5217 GOOSE CREEK RD</v>
      </c>
      <c r="C1932" s="3" t="str">
        <f>IFERROR(__xludf.DUMMYFUNCTION("""COMPUTED_VALUE"""),"BALTIMORE")</f>
        <v>BALTIMORE</v>
      </c>
      <c r="D1932" s="3" t="str">
        <f>IFERROR(__xludf.DUMMYFUNCTION("""COMPUTED_VALUE"""),"K0K 1C0")</f>
        <v>K0K 1C0</v>
      </c>
      <c r="E1932" s="3"/>
      <c r="F1932" s="3"/>
      <c r="G1932" s="3"/>
      <c r="H1932" s="3"/>
    </row>
    <row r="1933">
      <c r="A1933" s="2">
        <f>IFERROR(__xludf.DUMMYFUNCTION("""COMPUTED_VALUE"""),21792.0)</f>
        <v>21792</v>
      </c>
      <c r="B1933" s="3" t="str">
        <f>IFERROR(__xludf.DUMMYFUNCTION("""COMPUTED_VALUE"""),"5265 GOOSE CREEK RD")</f>
        <v>5265 GOOSE CREEK RD</v>
      </c>
      <c r="C1933" s="3" t="str">
        <f>IFERROR(__xludf.DUMMYFUNCTION("""COMPUTED_VALUE"""),"BALTIMORE")</f>
        <v>BALTIMORE</v>
      </c>
      <c r="D1933" s="3" t="str">
        <f>IFERROR(__xludf.DUMMYFUNCTION("""COMPUTED_VALUE"""),"K0K 1C0")</f>
        <v>K0K 1C0</v>
      </c>
      <c r="E1933" s="3" t="str">
        <f>IFERROR(__xludf.DUMMYFUNCTION("""COMPUTED_VALUE"""),"SHAWN DE SALVO")</f>
        <v>SHAWN DE SALVO</v>
      </c>
      <c r="F1933" s="3" t="str">
        <f>IFERROR(__xludf.DUMMYFUNCTION("""COMPUTED_VALUE"""),"shawndesalvo@gmail.com")</f>
        <v>shawndesalvo@gmail.com</v>
      </c>
      <c r="G1933" s="3"/>
      <c r="H1933" s="3"/>
    </row>
    <row r="1934">
      <c r="A1934" s="2">
        <f>IFERROR(__xludf.DUMMYFUNCTION("""COMPUTED_VALUE"""),23926.0)</f>
        <v>23926</v>
      </c>
      <c r="B1934" s="3" t="str">
        <f>IFERROR(__xludf.DUMMYFUNCTION("""COMPUTED_VALUE"""),"4851 HALSTEAD BEACH RD")</f>
        <v>4851 HALSTEAD BEACH RD</v>
      </c>
      <c r="C1934" s="3" t="str">
        <f>IFERROR(__xludf.DUMMYFUNCTION("""COMPUTED_VALUE"""),"HAMILTON TOWNSHIP")</f>
        <v>HAMILTON TOWNSHIP</v>
      </c>
      <c r="D1934" s="3" t="str">
        <f>IFERROR(__xludf.DUMMYFUNCTION("""COMPUTED_VALUE"""),"K0L 1E0")</f>
        <v>K0L 1E0</v>
      </c>
      <c r="E1934" s="3"/>
      <c r="F1934" s="3"/>
      <c r="G1934" s="3"/>
      <c r="H1934" s="3"/>
    </row>
    <row r="1935">
      <c r="A1935" s="2">
        <f>IFERROR(__xludf.DUMMYFUNCTION("""COMPUTED_VALUE"""),21895.0)</f>
        <v>21895</v>
      </c>
      <c r="B1935" s="3" t="str">
        <f>IFERROR(__xludf.DUMMYFUNCTION("""COMPUTED_VALUE"""),"3466 HARDING RD")</f>
        <v>3466 HARDING RD</v>
      </c>
      <c r="C1935" s="3" t="str">
        <f>IFERROR(__xludf.DUMMYFUNCTION("""COMPUTED_VALUE"""),"COBOURG")</f>
        <v>COBOURG</v>
      </c>
      <c r="D1935" s="3" t="str">
        <f>IFERROR(__xludf.DUMMYFUNCTION("""COMPUTED_VALUE"""),"K9A 4J7")</f>
        <v>K9A 4J7</v>
      </c>
      <c r="E1935" s="3" t="str">
        <f>IFERROR(__xludf.DUMMYFUNCTION("""COMPUTED_VALUE"""),"Tom Elliott")</f>
        <v>Tom Elliott</v>
      </c>
      <c r="F1935" s="3" t="str">
        <f>IFERROR(__xludf.DUMMYFUNCTION("""COMPUTED_VALUE"""),"tom.elliott@kawarthametals.com")</f>
        <v>tom.elliott@kawarthametals.com</v>
      </c>
      <c r="G1935" s="3">
        <f>IFERROR(__xludf.DUMMYFUNCTION("""COMPUTED_VALUE"""),7.057507771E9)</f>
        <v>7057507771</v>
      </c>
      <c r="H1935" s="3">
        <f>IFERROR(__xludf.DUMMYFUNCTION("""COMPUTED_VALUE"""),9.053758103E9)</f>
        <v>9053758103</v>
      </c>
    </row>
    <row r="1936">
      <c r="A1936" s="2">
        <f>IFERROR(__xludf.DUMMYFUNCTION("""COMPUTED_VALUE"""),21896.0)</f>
        <v>21896</v>
      </c>
      <c r="B1936" s="3" t="str">
        <f>IFERROR(__xludf.DUMMYFUNCTION("""COMPUTED_VALUE"""),"3468 HARDING RD")</f>
        <v>3468 HARDING RD</v>
      </c>
      <c r="C1936" s="3" t="str">
        <f>IFERROR(__xludf.DUMMYFUNCTION("""COMPUTED_VALUE"""),"COBOURG")</f>
        <v>COBOURG</v>
      </c>
      <c r="D1936" s="3" t="str">
        <f>IFERROR(__xludf.DUMMYFUNCTION("""COMPUTED_VALUE"""),"K9A 4J7")</f>
        <v>K9A 4J7</v>
      </c>
      <c r="E1936" s="3" t="str">
        <f>IFERROR(__xludf.DUMMYFUNCTION("""COMPUTED_VALUE"""),"teresa cheung ")</f>
        <v>teresa cheung </v>
      </c>
      <c r="F1936" s="3" t="str">
        <f>IFERROR(__xludf.DUMMYFUNCTION("""COMPUTED_VALUE"""),"tpcn4@icloud.com")</f>
        <v>tpcn4@icloud.com</v>
      </c>
      <c r="G1936" s="3">
        <f>IFERROR(__xludf.DUMMYFUNCTION("""COMPUTED_VALUE"""),9.053737972E9)</f>
        <v>9053737972</v>
      </c>
      <c r="H1936" s="3">
        <f>IFERROR(__xludf.DUMMYFUNCTION("""COMPUTED_VALUE"""),2.892515665E9)</f>
        <v>2892515665</v>
      </c>
    </row>
    <row r="1937">
      <c r="A1937" s="2">
        <f>IFERROR(__xludf.DUMMYFUNCTION("""COMPUTED_VALUE"""),21279.0)</f>
        <v>21279</v>
      </c>
      <c r="B1937" s="3" t="str">
        <f>IFERROR(__xludf.DUMMYFUNCTION("""COMPUTED_VALUE"""),"7888 DALE RD")</f>
        <v>7888 DALE RD</v>
      </c>
      <c r="C1937" s="3" t="str">
        <f>IFERROR(__xludf.DUMMYFUNCTION("""COMPUTED_VALUE"""),"COBOURG")</f>
        <v>COBOURG</v>
      </c>
      <c r="D1937" s="3" t="str">
        <f>IFERROR(__xludf.DUMMYFUNCTION("""COMPUTED_VALUE"""),"K9A 4J7")</f>
        <v>K9A 4J7</v>
      </c>
      <c r="E1937" s="3" t="str">
        <f>IFERROR(__xludf.DUMMYFUNCTION("""COMPUTED_VALUE"""),"Catherine Hazell")</f>
        <v>Catherine Hazell</v>
      </c>
      <c r="F1937" s="3" t="str">
        <f>IFERROR(__xludf.DUMMYFUNCTION("""COMPUTED_VALUE"""),"nunihazell@gmail.com")</f>
        <v>nunihazell@gmail.com</v>
      </c>
      <c r="G1937" s="3"/>
      <c r="H1937" s="3"/>
    </row>
    <row r="1938">
      <c r="A1938" s="2">
        <f>IFERROR(__xludf.DUMMYFUNCTION("""COMPUTED_VALUE"""),22305.0)</f>
        <v>22305</v>
      </c>
      <c r="B1938" s="3" t="str">
        <f>IFERROR(__xludf.DUMMYFUNCTION("""COMPUTED_VALUE"""),"3559 KENNEDY RD")</f>
        <v>3559 KENNEDY RD</v>
      </c>
      <c r="C1938" s="3" t="str">
        <f>IFERROR(__xludf.DUMMYFUNCTION("""COMPUTED_VALUE"""),"COBOURG")</f>
        <v>COBOURG</v>
      </c>
      <c r="D1938" s="3" t="str">
        <f>IFERROR(__xludf.DUMMYFUNCTION("""COMPUTED_VALUE"""),"K9A 4J7")</f>
        <v>K9A 4J7</v>
      </c>
      <c r="E1938" s="3"/>
      <c r="F1938" s="3"/>
      <c r="G1938" s="3"/>
      <c r="H1938" s="3"/>
    </row>
    <row r="1939">
      <c r="A1939" s="2">
        <f>IFERROR(__xludf.DUMMYFUNCTION("""COMPUTED_VALUE"""),22668.0)</f>
        <v>22668</v>
      </c>
      <c r="B1939" s="3" t="str">
        <f>IFERROR(__xludf.DUMMYFUNCTION("""COMPUTED_VALUE"""),"3979 MCINTOSH ST")</f>
        <v>3979 MCINTOSH ST</v>
      </c>
      <c r="C1939" s="3" t="str">
        <f>IFERROR(__xludf.DUMMYFUNCTION("""COMPUTED_VALUE"""),"COBOURG")</f>
        <v>COBOURG</v>
      </c>
      <c r="D1939" s="3" t="str">
        <f>IFERROR(__xludf.DUMMYFUNCTION("""COMPUTED_VALUE"""),"K9A 4J9")</f>
        <v>K9A 4J9</v>
      </c>
      <c r="E1939" s="3" t="str">
        <f>IFERROR(__xludf.DUMMYFUNCTION("""COMPUTED_VALUE"""),"Fraser House")</f>
        <v>Fraser House</v>
      </c>
      <c r="F1939" s="3" t="str">
        <f>IFERROR(__xludf.DUMMYFUNCTION("""COMPUTED_VALUE"""),"fgchouse@gmail.com")</f>
        <v>fgchouse@gmail.com</v>
      </c>
      <c r="G1939" s="3">
        <f>IFERROR(__xludf.DUMMYFUNCTION("""COMPUTED_VALUE"""),6.136012252E9)</f>
        <v>6136012252</v>
      </c>
      <c r="H1939" s="3"/>
    </row>
    <row r="1940">
      <c r="A1940" s="2">
        <f>IFERROR(__xludf.DUMMYFUNCTION("""COMPUTED_VALUE"""),22669.0)</f>
        <v>22669</v>
      </c>
      <c r="B1940" s="3" t="str">
        <f>IFERROR(__xludf.DUMMYFUNCTION("""COMPUTED_VALUE"""),"3989 MCINTOSH ST")</f>
        <v>3989 MCINTOSH ST</v>
      </c>
      <c r="C1940" s="3" t="str">
        <f>IFERROR(__xludf.DUMMYFUNCTION("""COMPUTED_VALUE"""),"COBOURG")</f>
        <v>COBOURG</v>
      </c>
      <c r="D1940" s="3" t="str">
        <f>IFERROR(__xludf.DUMMYFUNCTION("""COMPUTED_VALUE"""),"K9A 4J9")</f>
        <v>K9A 4J9</v>
      </c>
      <c r="E1940" s="3"/>
      <c r="F1940" s="3"/>
      <c r="G1940" s="3"/>
      <c r="H1940" s="3"/>
    </row>
    <row r="1941">
      <c r="A1941" s="2">
        <f>IFERROR(__xludf.DUMMYFUNCTION("""COMPUTED_VALUE"""),22670.0)</f>
        <v>22670</v>
      </c>
      <c r="B1941" s="3" t="str">
        <f>IFERROR(__xludf.DUMMYFUNCTION("""COMPUTED_VALUE"""),"3996 MCINTOSH ST")</f>
        <v>3996 MCINTOSH ST</v>
      </c>
      <c r="C1941" s="3" t="str">
        <f>IFERROR(__xludf.DUMMYFUNCTION("""COMPUTED_VALUE"""),"COBOURG")</f>
        <v>COBOURG</v>
      </c>
      <c r="D1941" s="3" t="str">
        <f>IFERROR(__xludf.DUMMYFUNCTION("""COMPUTED_VALUE"""),"K9A 4J9")</f>
        <v>K9A 4J9</v>
      </c>
      <c r="E1941" s="3" t="str">
        <f>IFERROR(__xludf.DUMMYFUNCTION("""COMPUTED_VALUE"""),"Craig Martell")</f>
        <v>Craig Martell</v>
      </c>
      <c r="F1941" s="3" t="str">
        <f>IFERROR(__xludf.DUMMYFUNCTION("""COMPUTED_VALUE"""),"jmartell58@hotmail.com")</f>
        <v>jmartell58@hotmail.com</v>
      </c>
      <c r="G1941" s="3">
        <f>IFERROR(__xludf.DUMMYFUNCTION("""COMPUTED_VALUE"""),6.138853459E9)</f>
        <v>6138853459</v>
      </c>
      <c r="H1941" s="3">
        <f>IFERROR(__xludf.DUMMYFUNCTION("""COMPUTED_VALUE"""),9.053423911E9)</f>
        <v>9053423911</v>
      </c>
    </row>
    <row r="1942">
      <c r="A1942" s="2">
        <f>IFERROR(__xludf.DUMMYFUNCTION("""COMPUTED_VALUE"""),21281.0)</f>
        <v>21281</v>
      </c>
      <c r="B1942" s="3" t="str">
        <f>IFERROR(__xludf.DUMMYFUNCTION("""COMPUTED_VALUE"""),"7979 DALE RD")</f>
        <v>7979 DALE RD</v>
      </c>
      <c r="C1942" s="3" t="str">
        <f>IFERROR(__xludf.DUMMYFUNCTION("""COMPUTED_VALUE"""),"COBOURG")</f>
        <v>COBOURG</v>
      </c>
      <c r="D1942" s="3" t="str">
        <f>IFERROR(__xludf.DUMMYFUNCTION("""COMPUTED_VALUE"""),"K9A 4J7")</f>
        <v>K9A 4J7</v>
      </c>
      <c r="E1942" s="3" t="str">
        <f>IFERROR(__xludf.DUMMYFUNCTION("""COMPUTED_VALUE"""),"Cecil Loder")</f>
        <v>Cecil Loder</v>
      </c>
      <c r="F1942" s="3" t="str">
        <f>IFERROR(__xludf.DUMMYFUNCTION("""COMPUTED_VALUE"""),"cloder@live.ca")</f>
        <v>cloder@live.ca</v>
      </c>
      <c r="G1942" s="3">
        <f>IFERROR(__xludf.DUMMYFUNCTION("""COMPUTED_VALUE"""),9.054248087E9)</f>
        <v>9054248087</v>
      </c>
      <c r="H1942" s="3"/>
    </row>
    <row r="1943">
      <c r="A1943" s="2">
        <f>IFERROR(__xludf.DUMMYFUNCTION("""COMPUTED_VALUE"""),22005.0)</f>
        <v>22005</v>
      </c>
      <c r="B1943" s="3" t="str">
        <f>IFERROR(__xludf.DUMMYFUNCTION("""COMPUTED_VALUE"""),"3299 HARWOOD RD")</f>
        <v>3299 HARWOOD RD</v>
      </c>
      <c r="C1943" s="3" t="str">
        <f>IFERROR(__xludf.DUMMYFUNCTION("""COMPUTED_VALUE"""),"BALTIMORE")</f>
        <v>BALTIMORE</v>
      </c>
      <c r="D1943" s="3" t="str">
        <f>IFERROR(__xludf.DUMMYFUNCTION("""COMPUTED_VALUE"""),"K0K 1C0")</f>
        <v>K0K 1C0</v>
      </c>
      <c r="E1943" s="3" t="str">
        <f>IFERROR(__xludf.DUMMYFUNCTION("""COMPUTED_VALUE"""),"Adam Scott")</f>
        <v>Adam Scott</v>
      </c>
      <c r="F1943" s="3" t="str">
        <f>IFERROR(__xludf.DUMMYFUNCTION("""COMPUTED_VALUE"""),"adamscott1313@gmail.com")</f>
        <v>adamscott1313@gmail.com</v>
      </c>
      <c r="G1943" s="3">
        <f>IFERROR(__xludf.DUMMYFUNCTION("""COMPUTED_VALUE"""),2.892510447E9)</f>
        <v>2892510447</v>
      </c>
      <c r="H1943" s="3">
        <f>IFERROR(__xludf.DUMMYFUNCTION("""COMPUTED_VALUE"""),2.892510815E9)</f>
        <v>2892510815</v>
      </c>
    </row>
    <row r="1944">
      <c r="A1944" s="2">
        <f>IFERROR(__xludf.DUMMYFUNCTION("""COMPUTED_VALUE"""),22006.0)</f>
        <v>22006</v>
      </c>
      <c r="B1944" s="3" t="str">
        <f>IFERROR(__xludf.DUMMYFUNCTION("""COMPUTED_VALUE"""),"3308 HARWOOD RD")</f>
        <v>3308 HARWOOD RD</v>
      </c>
      <c r="C1944" s="3" t="str">
        <f>IFERROR(__xludf.DUMMYFUNCTION("""COMPUTED_VALUE"""),"BALTIMORE")</f>
        <v>BALTIMORE</v>
      </c>
      <c r="D1944" s="3" t="str">
        <f>IFERROR(__xludf.DUMMYFUNCTION("""COMPUTED_VALUE"""),"K0K 1C0")</f>
        <v>K0K 1C0</v>
      </c>
      <c r="E1944" s="3" t="str">
        <f>IFERROR(__xludf.DUMMYFUNCTION("""COMPUTED_VALUE"""),"Ken &amp; Dorothy Way")</f>
        <v>Ken &amp; Dorothy Way</v>
      </c>
      <c r="F1944" s="3" t="str">
        <f>IFERROR(__xludf.DUMMYFUNCTION("""COMPUTED_VALUE"""),"kdw3308@xplornet.ca")</f>
        <v>kdw3308@xplornet.ca</v>
      </c>
      <c r="G1944" s="3"/>
      <c r="H1944" s="3"/>
    </row>
    <row r="1945">
      <c r="A1945" s="2">
        <f>IFERROR(__xludf.DUMMYFUNCTION("""COMPUTED_VALUE"""),21282.0)</f>
        <v>21282</v>
      </c>
      <c r="B1945" s="3" t="str">
        <f>IFERROR(__xludf.DUMMYFUNCTION("""COMPUTED_VALUE"""),"7996 DALE RD")</f>
        <v>7996 DALE RD</v>
      </c>
      <c r="C1945" s="3" t="str">
        <f>IFERROR(__xludf.DUMMYFUNCTION("""COMPUTED_VALUE"""),"COBOURG")</f>
        <v>COBOURG</v>
      </c>
      <c r="D1945" s="3" t="str">
        <f>IFERROR(__xludf.DUMMYFUNCTION("""COMPUTED_VALUE"""),"K9A 4J7")</f>
        <v>K9A 4J7</v>
      </c>
      <c r="E1945" s="3" t="str">
        <f>IFERROR(__xludf.DUMMYFUNCTION("""COMPUTED_VALUE"""),"Myles Baker")</f>
        <v>Myles Baker</v>
      </c>
      <c r="F1945" s="3" t="str">
        <f>IFERROR(__xludf.DUMMYFUNCTION("""COMPUTED_VALUE"""),"mylesbaker260@hotmail.com")</f>
        <v>mylesbaker260@hotmail.com</v>
      </c>
      <c r="G1945" s="3"/>
      <c r="H1945" s="3"/>
    </row>
    <row r="1946">
      <c r="A1946" s="2">
        <f>IFERROR(__xludf.DUMMYFUNCTION("""COMPUTED_VALUE"""),21283.0)</f>
        <v>21283</v>
      </c>
      <c r="B1946" s="3" t="str">
        <f>IFERROR(__xludf.DUMMYFUNCTION("""COMPUTED_VALUE"""),"8054 DALE RD")</f>
        <v>8054 DALE RD</v>
      </c>
      <c r="C1946" s="3" t="str">
        <f>IFERROR(__xludf.DUMMYFUNCTION("""COMPUTED_VALUE"""),"COBOURG")</f>
        <v>COBOURG</v>
      </c>
      <c r="D1946" s="3" t="str">
        <f>IFERROR(__xludf.DUMMYFUNCTION("""COMPUTED_VALUE"""),"K9A 4J7")</f>
        <v>K9A 4J7</v>
      </c>
      <c r="E1946" s="3" t="str">
        <f>IFERROR(__xludf.DUMMYFUNCTION("""COMPUTED_VALUE"""),"cmaeron davidson")</f>
        <v>cmaeron davidson</v>
      </c>
      <c r="F1946" s="3"/>
      <c r="G1946" s="3">
        <f>IFERROR(__xludf.DUMMYFUNCTION("""COMPUTED_VALUE"""),2.898293607E9)</f>
        <v>2898293607</v>
      </c>
      <c r="H1946" s="3"/>
    </row>
    <row r="1947">
      <c r="A1947" s="2">
        <f>IFERROR(__xludf.DUMMYFUNCTION("""COMPUTED_VALUE"""),21288.0)</f>
        <v>21288</v>
      </c>
      <c r="B1947" s="3" t="str">
        <f>IFERROR(__xludf.DUMMYFUNCTION("""COMPUTED_VALUE"""),"8182 DALE RD A")</f>
        <v>8182 DALE RD A</v>
      </c>
      <c r="C1947" s="3" t="str">
        <f>IFERROR(__xludf.DUMMYFUNCTION("""COMPUTED_VALUE"""),"COBOURG")</f>
        <v>COBOURG</v>
      </c>
      <c r="D1947" s="3" t="str">
        <f>IFERROR(__xludf.DUMMYFUNCTION("""COMPUTED_VALUE"""),"K9A 4J7")</f>
        <v>K9A 4J7</v>
      </c>
      <c r="E1947" s="3" t="str">
        <f>IFERROR(__xludf.DUMMYFUNCTION("""COMPUTED_VALUE"""),"Chris Sayers")</f>
        <v>Chris Sayers</v>
      </c>
      <c r="F1947" s="3" t="str">
        <f>IFERROR(__xludf.DUMMYFUNCTION("""COMPUTED_VALUE"""),"sayerszy@gmail.com")</f>
        <v>sayerszy@gmail.com</v>
      </c>
      <c r="G1947" s="3"/>
      <c r="H1947" s="3"/>
    </row>
    <row r="1948">
      <c r="A1948" s="2">
        <f>IFERROR(__xludf.DUMMYFUNCTION("""COMPUTED_VALUE"""),21399.0)</f>
        <v>21399</v>
      </c>
      <c r="B1948" s="3" t="str">
        <f>IFERROR(__xludf.DUMMYFUNCTION("""COMPUTED_VALUE"""),"8182 DALE RD B1")</f>
        <v>8182 DALE RD B1</v>
      </c>
      <c r="C1948" s="3" t="str">
        <f>IFERROR(__xludf.DUMMYFUNCTION("""COMPUTED_VALUE"""),"COBOURG")</f>
        <v>COBOURG</v>
      </c>
      <c r="D1948" s="3" t="str">
        <f>IFERROR(__xludf.DUMMYFUNCTION("""COMPUTED_VALUE"""),"K9A 4J7")</f>
        <v>K9A 4J7</v>
      </c>
      <c r="E1948" s="3" t="str">
        <f>IFERROR(__xludf.DUMMYFUNCTION("""COMPUTED_VALUE"""),"Chris Sayers")</f>
        <v>Chris Sayers</v>
      </c>
      <c r="F1948" s="3" t="str">
        <f>IFERROR(__xludf.DUMMYFUNCTION("""COMPUTED_VALUE"""),"sayerszy@gmail.com")</f>
        <v>sayerszy@gmail.com</v>
      </c>
      <c r="G1948" s="3"/>
      <c r="H1948" s="3"/>
    </row>
    <row r="1949">
      <c r="A1949" s="2">
        <f>IFERROR(__xludf.DUMMYFUNCTION("""COMPUTED_VALUE"""),24007.0)</f>
        <v>24007</v>
      </c>
      <c r="B1949" s="3" t="str">
        <f>IFERROR(__xludf.DUMMYFUNCTION("""COMPUTED_VALUE"""),"8182 DALE RD B2")</f>
        <v>8182 DALE RD B2</v>
      </c>
      <c r="C1949" s="3" t="str">
        <f>IFERROR(__xludf.DUMMYFUNCTION("""COMPUTED_VALUE"""),"COBOURG")</f>
        <v>COBOURG</v>
      </c>
      <c r="D1949" s="3" t="str">
        <f>IFERROR(__xludf.DUMMYFUNCTION("""COMPUTED_VALUE"""),"K9A 4J7")</f>
        <v>K9A 4J7</v>
      </c>
      <c r="E1949" s="3" t="str">
        <f>IFERROR(__xludf.DUMMYFUNCTION("""COMPUTED_VALUE"""),"Chris Sayers")</f>
        <v>Chris Sayers</v>
      </c>
      <c r="F1949" s="3" t="str">
        <f>IFERROR(__xludf.DUMMYFUNCTION("""COMPUTED_VALUE"""),"sayerszy@gmail.com")</f>
        <v>sayerszy@gmail.com</v>
      </c>
      <c r="G1949" s="3"/>
      <c r="H1949" s="3"/>
    </row>
    <row r="1950">
      <c r="A1950" s="2">
        <f>IFERROR(__xludf.DUMMYFUNCTION("""COMPUTED_VALUE"""),22007.0)</f>
        <v>22007</v>
      </c>
      <c r="B1950" s="3" t="str">
        <f>IFERROR(__xludf.DUMMYFUNCTION("""COMPUTED_VALUE"""),"3321 HARWOOD RD")</f>
        <v>3321 HARWOOD RD</v>
      </c>
      <c r="C1950" s="3" t="str">
        <f>IFERROR(__xludf.DUMMYFUNCTION("""COMPUTED_VALUE"""),"BALTIMORE")</f>
        <v>BALTIMORE</v>
      </c>
      <c r="D1950" s="3" t="str">
        <f>IFERROR(__xludf.DUMMYFUNCTION("""COMPUTED_VALUE"""),"K0K 1C0")</f>
        <v>K0K 1C0</v>
      </c>
      <c r="E1950" s="3"/>
      <c r="F1950" s="3"/>
      <c r="G1950" s="3"/>
      <c r="H1950" s="3"/>
    </row>
    <row r="1951">
      <c r="A1951" s="2">
        <f>IFERROR(__xludf.DUMMYFUNCTION("""COMPUTED_VALUE"""),22008.0)</f>
        <v>22008</v>
      </c>
      <c r="B1951" s="3" t="str">
        <f>IFERROR(__xludf.DUMMYFUNCTION("""COMPUTED_VALUE"""),"3352 HARWOOD RD")</f>
        <v>3352 HARWOOD RD</v>
      </c>
      <c r="C1951" s="3" t="str">
        <f>IFERROR(__xludf.DUMMYFUNCTION("""COMPUTED_VALUE"""),"BALTIMORE")</f>
        <v>BALTIMORE</v>
      </c>
      <c r="D1951" s="3" t="str">
        <f>IFERROR(__xludf.DUMMYFUNCTION("""COMPUTED_VALUE"""),"K0K 1C0")</f>
        <v>K0K 1C0</v>
      </c>
      <c r="E1951" s="3" t="str">
        <f>IFERROR(__xludf.DUMMYFUNCTION("""COMPUTED_VALUE"""),"Grant Comissiong")</f>
        <v>Grant Comissiong</v>
      </c>
      <c r="F1951" s="3" t="str">
        <f>IFERROR(__xludf.DUMMYFUNCTION("""COMPUTED_VALUE"""),"grant@technitask.com")</f>
        <v>grant@technitask.com</v>
      </c>
      <c r="G1951" s="3">
        <f>IFERROR(__xludf.DUMMYFUNCTION("""COMPUTED_VALUE"""),4.169313853E9)</f>
        <v>4169313853</v>
      </c>
      <c r="H1951" s="3">
        <f>IFERROR(__xludf.DUMMYFUNCTION("""COMPUTED_VALUE"""),9.053964699E9)</f>
        <v>9053964699</v>
      </c>
    </row>
    <row r="1952">
      <c r="A1952" s="2">
        <f>IFERROR(__xludf.DUMMYFUNCTION("""COMPUTED_VALUE"""),22009.0)</f>
        <v>22009</v>
      </c>
      <c r="B1952" s="3" t="str">
        <f>IFERROR(__xludf.DUMMYFUNCTION("""COMPUTED_VALUE"""),"3360 HARWOOD RD")</f>
        <v>3360 HARWOOD RD</v>
      </c>
      <c r="C1952" s="3" t="str">
        <f>IFERROR(__xludf.DUMMYFUNCTION("""COMPUTED_VALUE"""),"BALTIMORE")</f>
        <v>BALTIMORE</v>
      </c>
      <c r="D1952" s="3" t="str">
        <f>IFERROR(__xludf.DUMMYFUNCTION("""COMPUTED_VALUE"""),"K0K 1C0")</f>
        <v>K0K 1C0</v>
      </c>
      <c r="E1952" s="3" t="str">
        <f>IFERROR(__xludf.DUMMYFUNCTION("""COMPUTED_VALUE"""),"Rod Bergeron")</f>
        <v>Rod Bergeron</v>
      </c>
      <c r="F1952" s="3" t="str">
        <f>IFERROR(__xludf.DUMMYFUNCTION("""COMPUTED_VALUE"""),"rodbergeron1@gmail.com")</f>
        <v>rodbergeron1@gmail.com</v>
      </c>
      <c r="G1952" s="3">
        <f>IFERROR(__xludf.DUMMYFUNCTION("""COMPUTED_VALUE"""),9.053961167E9)</f>
        <v>9053961167</v>
      </c>
      <c r="H1952" s="3"/>
    </row>
    <row r="1953">
      <c r="A1953" s="2">
        <f>IFERROR(__xludf.DUMMYFUNCTION("""COMPUTED_VALUE"""),22010.0)</f>
        <v>22010</v>
      </c>
      <c r="B1953" s="3" t="str">
        <f>IFERROR(__xludf.DUMMYFUNCTION("""COMPUTED_VALUE"""),"3384 HARWOOD RD")</f>
        <v>3384 HARWOOD RD</v>
      </c>
      <c r="C1953" s="3" t="str">
        <f>IFERROR(__xludf.DUMMYFUNCTION("""COMPUTED_VALUE"""),"BALTIMORE")</f>
        <v>BALTIMORE</v>
      </c>
      <c r="D1953" s="3" t="str">
        <f>IFERROR(__xludf.DUMMYFUNCTION("""COMPUTED_VALUE"""),"K0K 1C0")</f>
        <v>K0K 1C0</v>
      </c>
      <c r="E1953" s="3" t="str">
        <f>IFERROR(__xludf.DUMMYFUNCTION("""COMPUTED_VALUE"""),"mary m ferguson ")</f>
        <v>mary m ferguson </v>
      </c>
      <c r="F1953" s="3"/>
      <c r="G1953" s="3">
        <f>IFERROR(__xludf.DUMMYFUNCTION("""COMPUTED_VALUE"""),9.053722554E9)</f>
        <v>9053722554</v>
      </c>
      <c r="H1953" s="3"/>
    </row>
    <row r="1954">
      <c r="A1954" s="2">
        <f>IFERROR(__xludf.DUMMYFUNCTION("""COMPUTED_VALUE"""),21290.0)</f>
        <v>21290</v>
      </c>
      <c r="B1954" s="3" t="str">
        <f>IFERROR(__xludf.DUMMYFUNCTION("""COMPUTED_VALUE"""),"8215 DALE RD")</f>
        <v>8215 DALE RD</v>
      </c>
      <c r="C1954" s="3" t="str">
        <f>IFERROR(__xludf.DUMMYFUNCTION("""COMPUTED_VALUE"""),"COBOURG")</f>
        <v>COBOURG</v>
      </c>
      <c r="D1954" s="3" t="str">
        <f>IFERROR(__xludf.DUMMYFUNCTION("""COMPUTED_VALUE"""),"K9A 4J7")</f>
        <v>K9A 4J7</v>
      </c>
      <c r="E1954" s="3" t="str">
        <f>IFERROR(__xludf.DUMMYFUNCTION("""COMPUTED_VALUE"""),"E+N Fields")</f>
        <v>E+N Fields</v>
      </c>
      <c r="F1954" s="3"/>
      <c r="G1954" s="3"/>
      <c r="H1954" s="3"/>
    </row>
    <row r="1955">
      <c r="A1955" s="2">
        <f>IFERROR(__xludf.DUMMYFUNCTION("""COMPUTED_VALUE"""),21292.0)</f>
        <v>21292</v>
      </c>
      <c r="B1955" s="3" t="str">
        <f>IFERROR(__xludf.DUMMYFUNCTION("""COMPUTED_VALUE"""),"8237 DALE RD")</f>
        <v>8237 DALE RD</v>
      </c>
      <c r="C1955" s="3" t="str">
        <f>IFERROR(__xludf.DUMMYFUNCTION("""COMPUTED_VALUE"""),"COBOURG")</f>
        <v>COBOURG</v>
      </c>
      <c r="D1955" s="3" t="str">
        <f>IFERROR(__xludf.DUMMYFUNCTION("""COMPUTED_VALUE"""),"K9A 4J7")</f>
        <v>K9A 4J7</v>
      </c>
      <c r="E1955" s="3" t="str">
        <f>IFERROR(__xludf.DUMMYFUNCTION("""COMPUTED_VALUE"""),"Glenn Hunter")</f>
        <v>Glenn Hunter</v>
      </c>
      <c r="F1955" s="3" t="str">
        <f>IFERROR(__xludf.DUMMYFUNCTION("""COMPUTED_VALUE"""),"glenn49hunter@gmail.com")</f>
        <v>glenn49hunter@gmail.com</v>
      </c>
      <c r="G1955" s="3">
        <f>IFERROR(__xludf.DUMMYFUNCTION("""COMPUTED_VALUE"""),4.169106801E9)</f>
        <v>4169106801</v>
      </c>
      <c r="H1955" s="3"/>
    </row>
    <row r="1956">
      <c r="A1956" s="2">
        <f>IFERROR(__xludf.DUMMYFUNCTION("""COMPUTED_VALUE"""),22011.0)</f>
        <v>22011</v>
      </c>
      <c r="B1956" s="3" t="str">
        <f>IFERROR(__xludf.DUMMYFUNCTION("""COMPUTED_VALUE"""),"3399 HARWOOD RD")</f>
        <v>3399 HARWOOD RD</v>
      </c>
      <c r="C1956" s="3" t="str">
        <f>IFERROR(__xludf.DUMMYFUNCTION("""COMPUTED_VALUE"""),"BALTIMORE")</f>
        <v>BALTIMORE</v>
      </c>
      <c r="D1956" s="3" t="str">
        <f>IFERROR(__xludf.DUMMYFUNCTION("""COMPUTED_VALUE"""),"K0K 1C0")</f>
        <v>K0K 1C0</v>
      </c>
      <c r="E1956" s="3"/>
      <c r="F1956" s="3"/>
      <c r="G1956" s="3"/>
      <c r="H1956" s="3"/>
    </row>
    <row r="1957">
      <c r="A1957" s="2">
        <f>IFERROR(__xludf.DUMMYFUNCTION("""COMPUTED_VALUE"""),21293.0)</f>
        <v>21293</v>
      </c>
      <c r="B1957" s="3" t="str">
        <f>IFERROR(__xludf.DUMMYFUNCTION("""COMPUTED_VALUE"""),"8246 DALE RD")</f>
        <v>8246 DALE RD</v>
      </c>
      <c r="C1957" s="3" t="str">
        <f>IFERROR(__xludf.DUMMYFUNCTION("""COMPUTED_VALUE"""),"COBOURG")</f>
        <v>COBOURG</v>
      </c>
      <c r="D1957" s="3" t="str">
        <f>IFERROR(__xludf.DUMMYFUNCTION("""COMPUTED_VALUE"""),"K9A 4J7")</f>
        <v>K9A 4J7</v>
      </c>
      <c r="E1957" s="3"/>
      <c r="F1957" s="3"/>
      <c r="G1957" s="3"/>
      <c r="H1957" s="3"/>
    </row>
    <row r="1958">
      <c r="A1958" s="2">
        <f>IFERROR(__xludf.DUMMYFUNCTION("""COMPUTED_VALUE"""),21294.0)</f>
        <v>21294</v>
      </c>
      <c r="B1958" s="3" t="str">
        <f>IFERROR(__xludf.DUMMYFUNCTION("""COMPUTED_VALUE"""),"8252 DALE RD")</f>
        <v>8252 DALE RD</v>
      </c>
      <c r="C1958" s="3" t="str">
        <f>IFERROR(__xludf.DUMMYFUNCTION("""COMPUTED_VALUE"""),"COBOURG")</f>
        <v>COBOURG</v>
      </c>
      <c r="D1958" s="3" t="str">
        <f>IFERROR(__xludf.DUMMYFUNCTION("""COMPUTED_VALUE"""),"K9A 4J7")</f>
        <v>K9A 4J7</v>
      </c>
      <c r="E1958" s="3"/>
      <c r="F1958" s="3"/>
      <c r="G1958" s="3"/>
      <c r="H1958" s="3"/>
    </row>
    <row r="1959">
      <c r="A1959" s="2">
        <f>IFERROR(__xludf.DUMMYFUNCTION("""COMPUTED_VALUE"""),21309.0)</f>
        <v>21309</v>
      </c>
      <c r="B1959" s="3" t="str">
        <f>IFERROR(__xludf.DUMMYFUNCTION("""COMPUTED_VALUE"""),"8414 DALE RD")</f>
        <v>8414 DALE RD</v>
      </c>
      <c r="C1959" s="3" t="str">
        <f>IFERROR(__xludf.DUMMYFUNCTION("""COMPUTED_VALUE"""),"COBOURG")</f>
        <v>COBOURG</v>
      </c>
      <c r="D1959" s="3" t="str">
        <f>IFERROR(__xludf.DUMMYFUNCTION("""COMPUTED_VALUE"""),"K9A 0L8")</f>
        <v>K9A 0L8</v>
      </c>
      <c r="E1959" s="3" t="str">
        <f>IFERROR(__xludf.DUMMYFUNCTION("""COMPUTED_VALUE"""),"Tammy-Lee Brown")</f>
        <v>Tammy-Lee Brown</v>
      </c>
      <c r="F1959" s="3" t="str">
        <f>IFERROR(__xludf.DUMMYFUNCTION("""COMPUTED_VALUE"""),"thefivebrownies@cogeco.ca")</f>
        <v>thefivebrownies@cogeco.ca</v>
      </c>
      <c r="G1959" s="3">
        <f>IFERROR(__xludf.DUMMYFUNCTION("""COMPUTED_VALUE"""),9.053764692E9)</f>
        <v>9053764692</v>
      </c>
      <c r="H1959" s="3"/>
    </row>
    <row r="1960">
      <c r="A1960" s="2">
        <f>IFERROR(__xludf.DUMMYFUNCTION("""COMPUTED_VALUE"""),21310.0)</f>
        <v>21310</v>
      </c>
      <c r="B1960" s="3" t="str">
        <f>IFERROR(__xludf.DUMMYFUNCTION("""COMPUTED_VALUE"""),"8418 DALE RD")</f>
        <v>8418 DALE RD</v>
      </c>
      <c r="C1960" s="3" t="str">
        <f>IFERROR(__xludf.DUMMYFUNCTION("""COMPUTED_VALUE"""),"COBOURG")</f>
        <v>COBOURG</v>
      </c>
      <c r="D1960" s="3" t="str">
        <f>IFERROR(__xludf.DUMMYFUNCTION("""COMPUTED_VALUE"""),"K9A 0L8")</f>
        <v>K9A 0L8</v>
      </c>
      <c r="E1960" s="3" t="str">
        <f>IFERROR(__xludf.DUMMYFUNCTION("""COMPUTED_VALUE"""),"Jennifer Weagle")</f>
        <v>Jennifer Weagle</v>
      </c>
      <c r="F1960" s="3" t="str">
        <f>IFERROR(__xludf.DUMMYFUNCTION("""COMPUTED_VALUE"""),"theweagles@gmail.com")</f>
        <v>theweagles@gmail.com</v>
      </c>
      <c r="G1960" s="3">
        <f>IFERROR(__xludf.DUMMYFUNCTION("""COMPUTED_VALUE"""),9.057678679E9)</f>
        <v>9057678679</v>
      </c>
      <c r="H1960" s="3"/>
    </row>
    <row r="1961">
      <c r="A1961" s="2">
        <f>IFERROR(__xludf.DUMMYFUNCTION("""COMPUTED_VALUE"""),22012.0)</f>
        <v>22012</v>
      </c>
      <c r="B1961" s="3" t="str">
        <f>IFERROR(__xludf.DUMMYFUNCTION("""COMPUTED_VALUE"""),"3418 HARWOOD RD")</f>
        <v>3418 HARWOOD RD</v>
      </c>
      <c r="C1961" s="3" t="str">
        <f>IFERROR(__xludf.DUMMYFUNCTION("""COMPUTED_VALUE"""),"BALTIMORE")</f>
        <v>BALTIMORE</v>
      </c>
      <c r="D1961" s="3" t="str">
        <f>IFERROR(__xludf.DUMMYFUNCTION("""COMPUTED_VALUE"""),"K0K 1C0")</f>
        <v>K0K 1C0</v>
      </c>
      <c r="E1961" s="3" t="str">
        <f>IFERROR(__xludf.DUMMYFUNCTION("""COMPUTED_VALUE"""),"Robert Lee")</f>
        <v>Robert Lee</v>
      </c>
      <c r="F1961" s="3" t="str">
        <f>IFERROR(__xludf.DUMMYFUNCTION("""COMPUTED_VALUE"""),"nasandpm@gmail.com")</f>
        <v>nasandpm@gmail.com</v>
      </c>
      <c r="G1961" s="3">
        <f>IFERROR(__xludf.DUMMYFUNCTION("""COMPUTED_VALUE"""),2.892511602E9)</f>
        <v>2892511602</v>
      </c>
      <c r="H1961" s="3">
        <f>IFERROR(__xludf.DUMMYFUNCTION("""COMPUTED_VALUE"""),2.892513578E9)</f>
        <v>2892513578</v>
      </c>
    </row>
    <row r="1962">
      <c r="A1962" s="2">
        <f>IFERROR(__xludf.DUMMYFUNCTION("""COMPUTED_VALUE"""),22013.0)</f>
        <v>22013</v>
      </c>
      <c r="B1962" s="3" t="str">
        <f>IFERROR(__xludf.DUMMYFUNCTION("""COMPUTED_VALUE"""),"3428 HARWOOD RD")</f>
        <v>3428 HARWOOD RD</v>
      </c>
      <c r="C1962" s="3" t="str">
        <f>IFERROR(__xludf.DUMMYFUNCTION("""COMPUTED_VALUE"""),"BALTIMORE")</f>
        <v>BALTIMORE</v>
      </c>
      <c r="D1962" s="3" t="str">
        <f>IFERROR(__xludf.DUMMYFUNCTION("""COMPUTED_VALUE"""),"K0K 1C0")</f>
        <v>K0K 1C0</v>
      </c>
      <c r="E1962" s="3" t="str">
        <f>IFERROR(__xludf.DUMMYFUNCTION("""COMPUTED_VALUE"""),"virginia and mike patten ")</f>
        <v>virginia and mike patten </v>
      </c>
      <c r="F1962" s="3" t="str">
        <f>IFERROR(__xludf.DUMMYFUNCTION("""COMPUTED_VALUE"""),"virgipatten@outlook.com")</f>
        <v>virgipatten@outlook.com</v>
      </c>
      <c r="G1962" s="3">
        <f>IFERROR(__xludf.DUMMYFUNCTION("""COMPUTED_VALUE"""),2.898290954E9)</f>
        <v>2898290954</v>
      </c>
      <c r="H1962" s="3"/>
    </row>
    <row r="1963">
      <c r="A1963" s="2">
        <f>IFERROR(__xludf.DUMMYFUNCTION("""COMPUTED_VALUE"""),22014.0)</f>
        <v>22014</v>
      </c>
      <c r="B1963" s="3" t="str">
        <f>IFERROR(__xludf.DUMMYFUNCTION("""COMPUTED_VALUE"""),"3444 HARWOOD RD")</f>
        <v>3444 HARWOOD RD</v>
      </c>
      <c r="C1963" s="3" t="str">
        <f>IFERROR(__xludf.DUMMYFUNCTION("""COMPUTED_VALUE"""),"BALTIMORE")</f>
        <v>BALTIMORE</v>
      </c>
      <c r="D1963" s="3" t="str">
        <f>IFERROR(__xludf.DUMMYFUNCTION("""COMPUTED_VALUE"""),"K0K 1C0")</f>
        <v>K0K 1C0</v>
      </c>
      <c r="E1963" s="3" t="str">
        <f>IFERROR(__xludf.DUMMYFUNCTION("""COMPUTED_VALUE"""),"g and f ferguson ")</f>
        <v>g and f ferguson </v>
      </c>
      <c r="F1963" s="3"/>
      <c r="G1963" s="3">
        <f>IFERROR(__xludf.DUMMYFUNCTION("""COMPUTED_VALUE"""),9.053723706E9)</f>
        <v>9053723706</v>
      </c>
      <c r="H1963" s="3"/>
    </row>
    <row r="1964">
      <c r="A1964" s="2">
        <f>IFERROR(__xludf.DUMMYFUNCTION("""COMPUTED_VALUE"""),21313.0)</f>
        <v>21313</v>
      </c>
      <c r="B1964" s="3" t="str">
        <f>IFERROR(__xludf.DUMMYFUNCTION("""COMPUTED_VALUE"""),"8438 DALE RD")</f>
        <v>8438 DALE RD</v>
      </c>
      <c r="C1964" s="3" t="str">
        <f>IFERROR(__xludf.DUMMYFUNCTION("""COMPUTED_VALUE"""),"COBOURG")</f>
        <v>COBOURG</v>
      </c>
      <c r="D1964" s="3" t="str">
        <f>IFERROR(__xludf.DUMMYFUNCTION("""COMPUTED_VALUE"""),"K9A 0T5")</f>
        <v>K9A 0T5</v>
      </c>
      <c r="E1964" s="3" t="str">
        <f>IFERROR(__xludf.DUMMYFUNCTION("""COMPUTED_VALUE"""),"Louise Lovshin")</f>
        <v>Louise Lovshin</v>
      </c>
      <c r="F1964" s="3" t="str">
        <f>IFERROR(__xludf.DUMMYFUNCTION("""COMPUTED_VALUE"""),"nurse505@icloud.com")</f>
        <v>nurse505@icloud.com</v>
      </c>
      <c r="G1964" s="3"/>
      <c r="H1964" s="3"/>
    </row>
    <row r="1965">
      <c r="A1965" s="2">
        <f>IFERROR(__xludf.DUMMYFUNCTION("""COMPUTED_VALUE"""),21317.0)</f>
        <v>21317</v>
      </c>
      <c r="B1965" s="3" t="str">
        <f>IFERROR(__xludf.DUMMYFUNCTION("""COMPUTED_VALUE"""),"8455 DALE RD")</f>
        <v>8455 DALE RD</v>
      </c>
      <c r="C1965" s="3" t="str">
        <f>IFERROR(__xludf.DUMMYFUNCTION("""COMPUTED_VALUE"""),"COBOURG")</f>
        <v>COBOURG</v>
      </c>
      <c r="D1965" s="3" t="str">
        <f>IFERROR(__xludf.DUMMYFUNCTION("""COMPUTED_VALUE"""),"K9A 0T5")</f>
        <v>K9A 0T5</v>
      </c>
      <c r="E1965" s="3"/>
      <c r="F1965" s="3"/>
      <c r="G1965" s="3"/>
      <c r="H1965" s="3"/>
    </row>
    <row r="1966">
      <c r="A1966" s="2">
        <f>IFERROR(__xludf.DUMMYFUNCTION("""COMPUTED_VALUE"""),21325.0)</f>
        <v>21325</v>
      </c>
      <c r="B1966" s="3" t="str">
        <f>IFERROR(__xludf.DUMMYFUNCTION("""COMPUTED_VALUE"""),"8503 DALE RD")</f>
        <v>8503 DALE RD</v>
      </c>
      <c r="C1966" s="3" t="str">
        <f>IFERROR(__xludf.DUMMYFUNCTION("""COMPUTED_VALUE"""),"COBOURG")</f>
        <v>COBOURG</v>
      </c>
      <c r="D1966" s="3" t="str">
        <f>IFERROR(__xludf.DUMMYFUNCTION("""COMPUTED_VALUE"""),"K9A 0T5")</f>
        <v>K9A 0T5</v>
      </c>
      <c r="E1966" s="3"/>
      <c r="F1966" s="3"/>
      <c r="G1966" s="3"/>
      <c r="H1966" s="3"/>
    </row>
    <row r="1967">
      <c r="A1967" s="2">
        <f>IFERROR(__xludf.DUMMYFUNCTION("""COMPUTED_VALUE"""),22015.0)</f>
        <v>22015</v>
      </c>
      <c r="B1967" s="3" t="str">
        <f>IFERROR(__xludf.DUMMYFUNCTION("""COMPUTED_VALUE"""),"3470 HARWOOD RD")</f>
        <v>3470 HARWOOD RD</v>
      </c>
      <c r="C1967" s="3" t="str">
        <f>IFERROR(__xludf.DUMMYFUNCTION("""COMPUTED_VALUE"""),"BALTIMORE")</f>
        <v>BALTIMORE</v>
      </c>
      <c r="D1967" s="3" t="str">
        <f>IFERROR(__xludf.DUMMYFUNCTION("""COMPUTED_VALUE"""),"K0K 1C0")</f>
        <v>K0K 1C0</v>
      </c>
      <c r="E1967" s="3" t="str">
        <f>IFERROR(__xludf.DUMMYFUNCTION("""COMPUTED_VALUE"""),"kevin skinner ")</f>
        <v>kevin skinner </v>
      </c>
      <c r="F1967" s="3"/>
      <c r="G1967" s="3">
        <f>IFERROR(__xludf.DUMMYFUNCTION("""COMPUTED_VALUE"""),9.053964568E9)</f>
        <v>9053964568</v>
      </c>
      <c r="H1967" s="3"/>
    </row>
    <row r="1968">
      <c r="A1968" s="2">
        <f>IFERROR(__xludf.DUMMYFUNCTION("""COMPUTED_VALUE"""),22016.0)</f>
        <v>22016</v>
      </c>
      <c r="B1968" s="3" t="str">
        <f>IFERROR(__xludf.DUMMYFUNCTION("""COMPUTED_VALUE"""),"3476 HARWOOD RD")</f>
        <v>3476 HARWOOD RD</v>
      </c>
      <c r="C1968" s="3" t="str">
        <f>IFERROR(__xludf.DUMMYFUNCTION("""COMPUTED_VALUE"""),"BALTIMORE")</f>
        <v>BALTIMORE</v>
      </c>
      <c r="D1968" s="3" t="str">
        <f>IFERROR(__xludf.DUMMYFUNCTION("""COMPUTED_VALUE"""),"K0K 1C0")</f>
        <v>K0K 1C0</v>
      </c>
      <c r="E1968" s="3" t="str">
        <f>IFERROR(__xludf.DUMMYFUNCTION("""COMPUTED_VALUE"""),"gordon p bates ")</f>
        <v>gordon p bates </v>
      </c>
      <c r="F1968" s="3"/>
      <c r="G1968" s="3">
        <f>IFERROR(__xludf.DUMMYFUNCTION("""COMPUTED_VALUE"""),9.053422384E9)</f>
        <v>9053422384</v>
      </c>
      <c r="H1968" s="3"/>
    </row>
    <row r="1969">
      <c r="A1969" s="2">
        <f>IFERROR(__xludf.DUMMYFUNCTION("""COMPUTED_VALUE"""),21327.0)</f>
        <v>21327</v>
      </c>
      <c r="B1969" s="3" t="str">
        <f>IFERROR(__xludf.DUMMYFUNCTION("""COMPUTED_VALUE"""),"8515 DALE RD")</f>
        <v>8515 DALE RD</v>
      </c>
      <c r="C1969" s="3" t="str">
        <f>IFERROR(__xludf.DUMMYFUNCTION("""COMPUTED_VALUE"""),"COBOURG")</f>
        <v>COBOURG</v>
      </c>
      <c r="D1969" s="3" t="str">
        <f>IFERROR(__xludf.DUMMYFUNCTION("""COMPUTED_VALUE"""),"K9A 0T5")</f>
        <v>K9A 0T5</v>
      </c>
      <c r="E1969" s="3" t="str">
        <f>IFERROR(__xludf.DUMMYFUNCTION("""COMPUTED_VALUE"""),"George F Potter")</f>
        <v>George F Potter</v>
      </c>
      <c r="F1969" s="3" t="str">
        <f>IFERROR(__xludf.DUMMYFUNCTION("""COMPUTED_VALUE"""),"mpotter11@cogeco.ca")</f>
        <v>mpotter11@cogeco.ca</v>
      </c>
      <c r="G1969" s="3"/>
      <c r="H1969" s="3"/>
    </row>
    <row r="1970">
      <c r="A1970" s="2">
        <f>IFERROR(__xludf.DUMMYFUNCTION("""COMPUTED_VALUE"""),22017.0)</f>
        <v>22017</v>
      </c>
      <c r="B1970" s="3" t="str">
        <f>IFERROR(__xludf.DUMMYFUNCTION("""COMPUTED_VALUE"""),"3543 HARWOOD RD")</f>
        <v>3543 HARWOOD RD</v>
      </c>
      <c r="C1970" s="3" t="str">
        <f>IFERROR(__xludf.DUMMYFUNCTION("""COMPUTED_VALUE"""),"BALTIMORE")</f>
        <v>BALTIMORE</v>
      </c>
      <c r="D1970" s="3" t="str">
        <f>IFERROR(__xludf.DUMMYFUNCTION("""COMPUTED_VALUE"""),"K0K 1C0")</f>
        <v>K0K 1C0</v>
      </c>
      <c r="E1970" s="3"/>
      <c r="F1970" s="3"/>
      <c r="G1970" s="3"/>
      <c r="H1970" s="3"/>
    </row>
    <row r="1971">
      <c r="A1971" s="2">
        <f>IFERROR(__xludf.DUMMYFUNCTION("""COMPUTED_VALUE"""),21331.0)</f>
        <v>21331</v>
      </c>
      <c r="B1971" s="3" t="str">
        <f>IFERROR(__xludf.DUMMYFUNCTION("""COMPUTED_VALUE"""),"8537 DALE RD")</f>
        <v>8537 DALE RD</v>
      </c>
      <c r="C1971" s="3" t="str">
        <f>IFERROR(__xludf.DUMMYFUNCTION("""COMPUTED_VALUE"""),"COBOURG")</f>
        <v>COBOURG</v>
      </c>
      <c r="D1971" s="3" t="str">
        <f>IFERROR(__xludf.DUMMYFUNCTION("""COMPUTED_VALUE"""),"K9A 0T5")</f>
        <v>K9A 0T5</v>
      </c>
      <c r="E1971" s="3" t="str">
        <f>IFERROR(__xludf.DUMMYFUNCTION("""COMPUTED_VALUE"""),"Deanna Jones")</f>
        <v>Deanna Jones</v>
      </c>
      <c r="F1971" s="3" t="str">
        <f>IFERROR(__xludf.DUMMYFUNCTION("""COMPUTED_VALUE"""),"deedeejones@hotmail.com")</f>
        <v>deedeejones@hotmail.com</v>
      </c>
      <c r="G1971" s="3"/>
      <c r="H1971" s="3"/>
    </row>
    <row r="1972">
      <c r="A1972" s="2">
        <f>IFERROR(__xludf.DUMMYFUNCTION("""COMPUTED_VALUE"""),21332.0)</f>
        <v>21332</v>
      </c>
      <c r="B1972" s="3" t="str">
        <f>IFERROR(__xludf.DUMMYFUNCTION("""COMPUTED_VALUE"""),"8538 DALE RD")</f>
        <v>8538 DALE RD</v>
      </c>
      <c r="C1972" s="3" t="str">
        <f>IFERROR(__xludf.DUMMYFUNCTION("""COMPUTED_VALUE"""),"COBOURG")</f>
        <v>COBOURG</v>
      </c>
      <c r="D1972" s="3" t="str">
        <f>IFERROR(__xludf.DUMMYFUNCTION("""COMPUTED_VALUE"""),"K9A 0T4")</f>
        <v>K9A 0T4</v>
      </c>
      <c r="E1972" s="3"/>
      <c r="F1972" s="3"/>
      <c r="G1972" s="3"/>
      <c r="H1972" s="3"/>
    </row>
    <row r="1973">
      <c r="A1973" s="2">
        <f>IFERROR(__xludf.DUMMYFUNCTION("""COMPUTED_VALUE"""),21334.0)</f>
        <v>21334</v>
      </c>
      <c r="B1973" s="3" t="str">
        <f>IFERROR(__xludf.DUMMYFUNCTION("""COMPUTED_VALUE"""),"8570 DALE RD")</f>
        <v>8570 DALE RD</v>
      </c>
      <c r="C1973" s="3" t="str">
        <f>IFERROR(__xludf.DUMMYFUNCTION("""COMPUTED_VALUE"""),"COBOURG")</f>
        <v>COBOURG</v>
      </c>
      <c r="D1973" s="3" t="str">
        <f>IFERROR(__xludf.DUMMYFUNCTION("""COMPUTED_VALUE"""),"K9A 0M4")</f>
        <v>K9A 0M4</v>
      </c>
      <c r="E1973" s="3"/>
      <c r="F1973" s="3"/>
      <c r="G1973" s="3"/>
      <c r="H1973" s="3"/>
    </row>
    <row r="1974">
      <c r="A1974" s="2">
        <f>IFERROR(__xludf.DUMMYFUNCTION("""COMPUTED_VALUE"""),22018.0)</f>
        <v>22018</v>
      </c>
      <c r="B1974" s="3" t="str">
        <f>IFERROR(__xludf.DUMMYFUNCTION("""COMPUTED_VALUE"""),"3559 HARWOOD RD")</f>
        <v>3559 HARWOOD RD</v>
      </c>
      <c r="C1974" s="3" t="str">
        <f>IFERROR(__xludf.DUMMYFUNCTION("""COMPUTED_VALUE"""),"BALTIMORE")</f>
        <v>BALTIMORE</v>
      </c>
      <c r="D1974" s="3" t="str">
        <f>IFERROR(__xludf.DUMMYFUNCTION("""COMPUTED_VALUE"""),"K0K 1C0")</f>
        <v>K0K 1C0</v>
      </c>
      <c r="E1974" s="3" t="str">
        <f>IFERROR(__xludf.DUMMYFUNCTION("""COMPUTED_VALUE"""),"ryan and tara scavuzzo ")</f>
        <v>ryan and tara scavuzzo </v>
      </c>
      <c r="F1974" s="3" t="str">
        <f>IFERROR(__xludf.DUMMYFUNCTION("""COMPUTED_VALUE"""),"rscavuzzo@live.ca")</f>
        <v>rscavuzzo@live.ca</v>
      </c>
      <c r="G1974" s="3">
        <f>IFERROR(__xludf.DUMMYFUNCTION("""COMPUTED_VALUE"""),9.054419414E9)</f>
        <v>9054419414</v>
      </c>
      <c r="H1974" s="3">
        <f>IFERROR(__xludf.DUMMYFUNCTION("""COMPUTED_VALUE"""),9.059261451E9)</f>
        <v>9059261451</v>
      </c>
    </row>
    <row r="1975">
      <c r="A1975" s="2">
        <f>IFERROR(__xludf.DUMMYFUNCTION("""COMPUTED_VALUE"""),23925.0)</f>
        <v>23925</v>
      </c>
      <c r="B1975" s="3" t="str">
        <f>IFERROR(__xludf.DUMMYFUNCTION("""COMPUTED_VALUE"""),"3566 HARWOOD RD")</f>
        <v>3566 HARWOOD RD</v>
      </c>
      <c r="C1975" s="3" t="str">
        <f>IFERROR(__xludf.DUMMYFUNCTION("""COMPUTED_VALUE"""),"BALTIMORE")</f>
        <v>BALTIMORE</v>
      </c>
      <c r="D1975" s="3" t="str">
        <f>IFERROR(__xludf.DUMMYFUNCTION("""COMPUTED_VALUE"""),"K0K 1C0")</f>
        <v>K0K 1C0</v>
      </c>
      <c r="E1975" s="3"/>
      <c r="F1975" s="3"/>
      <c r="G1975" s="3"/>
      <c r="H1975" s="3"/>
    </row>
    <row r="1976">
      <c r="A1976" s="2">
        <f>IFERROR(__xludf.DUMMYFUNCTION("""COMPUTED_VALUE"""),22019.0)</f>
        <v>22019</v>
      </c>
      <c r="B1976" s="3" t="str">
        <f>IFERROR(__xludf.DUMMYFUNCTION("""COMPUTED_VALUE"""),"3616 HARWOOD RD")</f>
        <v>3616 HARWOOD RD</v>
      </c>
      <c r="C1976" s="3" t="str">
        <f>IFERROR(__xludf.DUMMYFUNCTION("""COMPUTED_VALUE"""),"BALTIMORE")</f>
        <v>BALTIMORE</v>
      </c>
      <c r="D1976" s="3" t="str">
        <f>IFERROR(__xludf.DUMMYFUNCTION("""COMPUTED_VALUE"""),"K0K 1C0")</f>
        <v>K0K 1C0</v>
      </c>
      <c r="E1976" s="3"/>
      <c r="F1976" s="3"/>
      <c r="G1976" s="3"/>
      <c r="H1976" s="3"/>
    </row>
    <row r="1977">
      <c r="A1977" s="2">
        <f>IFERROR(__xludf.DUMMYFUNCTION("""COMPUTED_VALUE"""),21335.0)</f>
        <v>21335</v>
      </c>
      <c r="B1977" s="3" t="str">
        <f>IFERROR(__xludf.DUMMYFUNCTION("""COMPUTED_VALUE"""),"8590 DALE RD")</f>
        <v>8590 DALE RD</v>
      </c>
      <c r="C1977" s="3" t="str">
        <f>IFERROR(__xludf.DUMMYFUNCTION("""COMPUTED_VALUE"""),"COBOURG")</f>
        <v>COBOURG</v>
      </c>
      <c r="D1977" s="3" t="str">
        <f>IFERROR(__xludf.DUMMYFUNCTION("""COMPUTED_VALUE"""),"K9A 0M4")</f>
        <v>K9A 0M4</v>
      </c>
      <c r="E1977" s="3" t="str">
        <f>IFERROR(__xludf.DUMMYFUNCTION("""COMPUTED_VALUE"""),"Blythe Elliott")</f>
        <v>Blythe Elliott</v>
      </c>
      <c r="F1977" s="3" t="str">
        <f>IFERROR(__xludf.DUMMYFUNCTION("""COMPUTED_VALUE"""),"blythe.elliott7@gmail.com")</f>
        <v>blythe.elliott7@gmail.com</v>
      </c>
      <c r="G1977" s="3">
        <f>IFERROR(__xludf.DUMMYFUNCTION("""COMPUTED_VALUE"""),2.896851347E9)</f>
        <v>2896851347</v>
      </c>
      <c r="H1977" s="3"/>
    </row>
    <row r="1978">
      <c r="A1978" s="2">
        <f>IFERROR(__xludf.DUMMYFUNCTION("""COMPUTED_VALUE"""),21336.0)</f>
        <v>21336</v>
      </c>
      <c r="B1978" s="3" t="str">
        <f>IFERROR(__xludf.DUMMYFUNCTION("""COMPUTED_VALUE"""),"8598 DALE RD")</f>
        <v>8598 DALE RD</v>
      </c>
      <c r="C1978" s="3" t="str">
        <f>IFERROR(__xludf.DUMMYFUNCTION("""COMPUTED_VALUE"""),"COBOURG")</f>
        <v>COBOURG</v>
      </c>
      <c r="D1978" s="3" t="str">
        <f>IFERROR(__xludf.DUMMYFUNCTION("""COMPUTED_VALUE"""),"K9A 0M4")</f>
        <v>K9A 0M4</v>
      </c>
      <c r="E1978" s="3" t="str">
        <f>IFERROR(__xludf.DUMMYFUNCTION("""COMPUTED_VALUE"""),"mark mcginn")</f>
        <v>mark mcginn</v>
      </c>
      <c r="F1978" s="3" t="str">
        <f>IFERROR(__xludf.DUMMYFUNCTION("""COMPUTED_VALUE"""),"mmcginn50@gmail.com")</f>
        <v>mmcginn50@gmail.com</v>
      </c>
      <c r="G1978" s="3">
        <f>IFERROR(__xludf.DUMMYFUNCTION("""COMPUTED_VALUE"""),9.052694514E9)</f>
        <v>9052694514</v>
      </c>
      <c r="H1978" s="3"/>
    </row>
    <row r="1979">
      <c r="A1979" s="2">
        <f>IFERROR(__xludf.DUMMYFUNCTION("""COMPUTED_VALUE"""),22020.0)</f>
        <v>22020</v>
      </c>
      <c r="B1979" s="3" t="str">
        <f>IFERROR(__xludf.DUMMYFUNCTION("""COMPUTED_VALUE"""),"3619 HARWOOD RD")</f>
        <v>3619 HARWOOD RD</v>
      </c>
      <c r="C1979" s="3" t="str">
        <f>IFERROR(__xludf.DUMMYFUNCTION("""COMPUTED_VALUE"""),"BALTIMORE")</f>
        <v>BALTIMORE</v>
      </c>
      <c r="D1979" s="3" t="str">
        <f>IFERROR(__xludf.DUMMYFUNCTION("""COMPUTED_VALUE"""),"K0K 1C0")</f>
        <v>K0K 1C0</v>
      </c>
      <c r="E1979" s="3" t="str">
        <f>IFERROR(__xludf.DUMMYFUNCTION("""COMPUTED_VALUE"""),"douglas radford ")</f>
        <v>douglas radford </v>
      </c>
      <c r="F1979" s="3" t="str">
        <f>IFERROR(__xludf.DUMMYFUNCTION("""COMPUTED_VALUE"""),"houseonthehillfarm@gmail.com")</f>
        <v>houseonthehillfarm@gmail.com</v>
      </c>
      <c r="G1979" s="3">
        <f>IFERROR(__xludf.DUMMYFUNCTION("""COMPUTED_VALUE"""),9.055161496E9)</f>
        <v>9055161496</v>
      </c>
      <c r="H1979" s="3"/>
    </row>
    <row r="1980">
      <c r="A1980" s="2">
        <f>IFERROR(__xludf.DUMMYFUNCTION("""COMPUTED_VALUE"""),21337.0)</f>
        <v>21337</v>
      </c>
      <c r="B1980" s="3" t="str">
        <f>IFERROR(__xludf.DUMMYFUNCTION("""COMPUTED_VALUE"""),"8604 DALE RD")</f>
        <v>8604 DALE RD</v>
      </c>
      <c r="C1980" s="3" t="str">
        <f>IFERROR(__xludf.DUMMYFUNCTION("""COMPUTED_VALUE"""),"COBOURG")</f>
        <v>COBOURG</v>
      </c>
      <c r="D1980" s="3" t="str">
        <f>IFERROR(__xludf.DUMMYFUNCTION("""COMPUTED_VALUE"""),"K9A 0M4")</f>
        <v>K9A 0M4</v>
      </c>
      <c r="E1980" s="3" t="str">
        <f>IFERROR(__xludf.DUMMYFUNCTION("""COMPUTED_VALUE"""),"marie waskowec")</f>
        <v>marie waskowec</v>
      </c>
      <c r="F1980" s="3"/>
      <c r="G1980" s="3">
        <f>IFERROR(__xludf.DUMMYFUNCTION("""COMPUTED_VALUE"""),9.053768306E9)</f>
        <v>9053768306</v>
      </c>
      <c r="H1980" s="3"/>
    </row>
    <row r="1981">
      <c r="A1981" s="2">
        <f>IFERROR(__xludf.DUMMYFUNCTION("""COMPUTED_VALUE"""),22021.0)</f>
        <v>22021</v>
      </c>
      <c r="B1981" s="3" t="str">
        <f>IFERROR(__xludf.DUMMYFUNCTION("""COMPUTED_VALUE"""),"3652 HARWOOD RD")</f>
        <v>3652 HARWOOD RD</v>
      </c>
      <c r="C1981" s="3" t="str">
        <f>IFERROR(__xludf.DUMMYFUNCTION("""COMPUTED_VALUE"""),"BALTIMORE")</f>
        <v>BALTIMORE</v>
      </c>
      <c r="D1981" s="3" t="str">
        <f>IFERROR(__xludf.DUMMYFUNCTION("""COMPUTED_VALUE"""),"K0K 1C0")</f>
        <v>K0K 1C0</v>
      </c>
      <c r="E1981" s="3" t="str">
        <f>IFERROR(__xludf.DUMMYFUNCTION("""COMPUTED_VALUE"""),"David Hempstead")</f>
        <v>David Hempstead</v>
      </c>
      <c r="F1981" s="3" t="str">
        <f>IFERROR(__xludf.DUMMYFUNCTION("""COMPUTED_VALUE"""),"rope@eagle.ca")</f>
        <v>rope@eagle.ca</v>
      </c>
      <c r="G1981" s="3">
        <f>IFERROR(__xludf.DUMMYFUNCTION("""COMPUTED_VALUE"""),9.053422824E9)</f>
        <v>9053422824</v>
      </c>
      <c r="H1981" s="3">
        <f>IFERROR(__xludf.DUMMYFUNCTION("""COMPUTED_VALUE"""),9.053763639E9)</f>
        <v>9053763639</v>
      </c>
    </row>
    <row r="1982">
      <c r="A1982" s="2">
        <f>IFERROR(__xludf.DUMMYFUNCTION("""COMPUTED_VALUE"""),21338.0)</f>
        <v>21338</v>
      </c>
      <c r="B1982" s="3" t="str">
        <f>IFERROR(__xludf.DUMMYFUNCTION("""COMPUTED_VALUE"""),"8610 DALE RD")</f>
        <v>8610 DALE RD</v>
      </c>
      <c r="C1982" s="3" t="str">
        <f>IFERROR(__xludf.DUMMYFUNCTION("""COMPUTED_VALUE"""),"COBOURG")</f>
        <v>COBOURG</v>
      </c>
      <c r="D1982" s="3" t="str">
        <f>IFERROR(__xludf.DUMMYFUNCTION("""COMPUTED_VALUE"""),"K9A 0M4")</f>
        <v>K9A 0M4</v>
      </c>
      <c r="E1982" s="3" t="str">
        <f>IFERROR(__xludf.DUMMYFUNCTION("""COMPUTED_VALUE"""),"Constance McGinn")</f>
        <v>Constance McGinn</v>
      </c>
      <c r="F1982" s="3"/>
      <c r="G1982" s="3"/>
      <c r="H1982" s="3"/>
    </row>
    <row r="1983">
      <c r="A1983" s="2">
        <f>IFERROR(__xludf.DUMMYFUNCTION("""COMPUTED_VALUE"""),22022.0)</f>
        <v>22022</v>
      </c>
      <c r="B1983" s="3" t="str">
        <f>IFERROR(__xludf.DUMMYFUNCTION("""COMPUTED_VALUE"""),"3659 HARWOOD RD")</f>
        <v>3659 HARWOOD RD</v>
      </c>
      <c r="C1983" s="3" t="str">
        <f>IFERROR(__xludf.DUMMYFUNCTION("""COMPUTED_VALUE"""),"BALTIMORE")</f>
        <v>BALTIMORE</v>
      </c>
      <c r="D1983" s="3" t="str">
        <f>IFERROR(__xludf.DUMMYFUNCTION("""COMPUTED_VALUE"""),"K0K 1C0")</f>
        <v>K0K 1C0</v>
      </c>
      <c r="E1983" s="3" t="str">
        <f>IFERROR(__xludf.DUMMYFUNCTION("""COMPUTED_VALUE"""),"Melissa Mccabe")</f>
        <v>Melissa Mccabe</v>
      </c>
      <c r="F1983" s="3" t="str">
        <f>IFERROR(__xludf.DUMMYFUNCTION("""COMPUTED_VALUE"""),"melissammccabe@gmail.com")</f>
        <v>melissammccabe@gmail.com</v>
      </c>
      <c r="G1983" s="3">
        <f>IFERROR(__xludf.DUMMYFUNCTION("""COMPUTED_VALUE"""),9.053735244E9)</f>
        <v>9053735244</v>
      </c>
      <c r="H1983" s="3">
        <f>IFERROR(__xludf.DUMMYFUNCTION("""COMPUTED_VALUE"""),2.892423656E9)</f>
        <v>2892423656</v>
      </c>
    </row>
    <row r="1984">
      <c r="A1984" s="2">
        <f>IFERROR(__xludf.DUMMYFUNCTION("""COMPUTED_VALUE"""),21339.0)</f>
        <v>21339</v>
      </c>
      <c r="B1984" s="3" t="str">
        <f>IFERROR(__xludf.DUMMYFUNCTION("""COMPUTED_VALUE"""),"8615 DALE RD")</f>
        <v>8615 DALE RD</v>
      </c>
      <c r="C1984" s="3" t="str">
        <f>IFERROR(__xludf.DUMMYFUNCTION("""COMPUTED_VALUE"""),"COBOURG")</f>
        <v>COBOURG</v>
      </c>
      <c r="D1984" s="3" t="str">
        <f>IFERROR(__xludf.DUMMYFUNCTION("""COMPUTED_VALUE"""),"K9A 0M5")</f>
        <v>K9A 0M5</v>
      </c>
      <c r="E1984" s="3"/>
      <c r="F1984" s="3"/>
      <c r="G1984" s="3"/>
      <c r="H1984" s="3"/>
    </row>
    <row r="1985">
      <c r="A1985" s="2">
        <f>IFERROR(__xludf.DUMMYFUNCTION("""COMPUTED_VALUE"""),22121.0)</f>
        <v>22121</v>
      </c>
      <c r="B1985" s="3" t="str">
        <f>IFERROR(__xludf.DUMMYFUNCTION("""COMPUTED_VALUE"""),"4990 HILLVIEW DR")</f>
        <v>4990 HILLVIEW DR</v>
      </c>
      <c r="C1985" s="3" t="str">
        <f>IFERROR(__xludf.DUMMYFUNCTION("""COMPUTED_VALUE"""),"BALTIMORE")</f>
        <v>BALTIMORE</v>
      </c>
      <c r="D1985" s="3" t="str">
        <f>IFERROR(__xludf.DUMMYFUNCTION("""COMPUTED_VALUE"""),"K0K 1C0")</f>
        <v>K0K 1C0</v>
      </c>
      <c r="E1985" s="3" t="str">
        <f>IFERROR(__xludf.DUMMYFUNCTION("""COMPUTED_VALUE"""),"Linda Hrncir")</f>
        <v>Linda Hrncir</v>
      </c>
      <c r="F1985" s="3" t="str">
        <f>IFERROR(__xludf.DUMMYFUNCTION("""COMPUTED_VALUE"""),"hrncir4@hotmail.com")</f>
        <v>hrncir4@hotmail.com</v>
      </c>
      <c r="G1985" s="3"/>
      <c r="H1985" s="3"/>
    </row>
    <row r="1986">
      <c r="A1986" s="2">
        <f>IFERROR(__xludf.DUMMYFUNCTION("""COMPUTED_VALUE"""),22023.0)</f>
        <v>22023</v>
      </c>
      <c r="B1986" s="3" t="str">
        <f>IFERROR(__xludf.DUMMYFUNCTION("""COMPUTED_VALUE"""),"3660 HARWOOD RD")</f>
        <v>3660 HARWOOD RD</v>
      </c>
      <c r="C1986" s="3" t="str">
        <f>IFERROR(__xludf.DUMMYFUNCTION("""COMPUTED_VALUE"""),"BALTIMORE")</f>
        <v>BALTIMORE</v>
      </c>
      <c r="D1986" s="3" t="str">
        <f>IFERROR(__xludf.DUMMYFUNCTION("""COMPUTED_VALUE"""),"K0K 1C0")</f>
        <v>K0K 1C0</v>
      </c>
      <c r="E1986" s="3" t="str">
        <f>IFERROR(__xludf.DUMMYFUNCTION("""COMPUTED_VALUE"""),"sarah mcbride ")</f>
        <v>sarah mcbride </v>
      </c>
      <c r="F1986" s="3" t="str">
        <f>IFERROR(__xludf.DUMMYFUNCTION("""COMPUTED_VALUE"""),"sarahmcbride07@gmail.com")</f>
        <v>sarahmcbride07@gmail.com</v>
      </c>
      <c r="G1986" s="3">
        <f>IFERROR(__xludf.DUMMYFUNCTION("""COMPUTED_VALUE"""),2.892005661E9)</f>
        <v>2892005661</v>
      </c>
      <c r="H1986" s="3">
        <f>IFERROR(__xludf.DUMMYFUNCTION("""COMPUTED_VALUE"""),2.893290337E9)</f>
        <v>2893290337</v>
      </c>
    </row>
    <row r="1987">
      <c r="A1987" s="2">
        <f>IFERROR(__xludf.DUMMYFUNCTION("""COMPUTED_VALUE"""),22122.0)</f>
        <v>22122</v>
      </c>
      <c r="B1987" s="3" t="str">
        <f>IFERROR(__xludf.DUMMYFUNCTION("""COMPUTED_VALUE"""),"5000 HILLVIEW DR")</f>
        <v>5000 HILLVIEW DR</v>
      </c>
      <c r="C1987" s="3" t="str">
        <f>IFERROR(__xludf.DUMMYFUNCTION("""COMPUTED_VALUE"""),"BALTIMORE")</f>
        <v>BALTIMORE</v>
      </c>
      <c r="D1987" s="3" t="str">
        <f>IFERROR(__xludf.DUMMYFUNCTION("""COMPUTED_VALUE"""),"K0K 1C0")</f>
        <v>K0K 1C0</v>
      </c>
      <c r="E1987" s="3" t="str">
        <f>IFERROR(__xludf.DUMMYFUNCTION("""COMPUTED_VALUE"""),"Angela Vaneyk")</f>
        <v>Angela Vaneyk</v>
      </c>
      <c r="F1987" s="3" t="str">
        <f>IFERROR(__xludf.DUMMYFUNCTION("""COMPUTED_VALUE"""),"angelavaneyk@gmail.com")</f>
        <v>angelavaneyk@gmail.com</v>
      </c>
      <c r="G1987" s="3">
        <f>IFERROR(__xludf.DUMMYFUNCTION("""COMPUTED_VALUE"""),9.05435868E9)</f>
        <v>9054358680</v>
      </c>
      <c r="H1987" s="3"/>
    </row>
    <row r="1988">
      <c r="A1988" s="2">
        <f>IFERROR(__xludf.DUMMYFUNCTION("""COMPUTED_VALUE"""),22123.0)</f>
        <v>22123</v>
      </c>
      <c r="B1988" s="3" t="str">
        <f>IFERROR(__xludf.DUMMYFUNCTION("""COMPUTED_VALUE"""),"5012 HILLVIEW DR")</f>
        <v>5012 HILLVIEW DR</v>
      </c>
      <c r="C1988" s="3" t="str">
        <f>IFERROR(__xludf.DUMMYFUNCTION("""COMPUTED_VALUE"""),"BALTIMORE")</f>
        <v>BALTIMORE</v>
      </c>
      <c r="D1988" s="3" t="str">
        <f>IFERROR(__xludf.DUMMYFUNCTION("""COMPUTED_VALUE"""),"K0K 1C0")</f>
        <v>K0K 1C0</v>
      </c>
      <c r="E1988" s="3" t="str">
        <f>IFERROR(__xludf.DUMMYFUNCTION("""COMPUTED_VALUE"""),"James Baxter")</f>
        <v>James Baxter</v>
      </c>
      <c r="F1988" s="3" t="str">
        <f>IFERROR(__xludf.DUMMYFUNCTION("""COMPUTED_VALUE"""),"james@jbcomputers.ca")</f>
        <v>james@jbcomputers.ca</v>
      </c>
      <c r="G1988" s="3">
        <f>IFERROR(__xludf.DUMMYFUNCTION("""COMPUTED_VALUE"""),9.052693445E9)</f>
        <v>9052693445</v>
      </c>
      <c r="H1988" s="3"/>
    </row>
    <row r="1989">
      <c r="A1989" s="2">
        <f>IFERROR(__xludf.DUMMYFUNCTION("""COMPUTED_VALUE"""),22024.0)</f>
        <v>22024</v>
      </c>
      <c r="B1989" s="3" t="str">
        <f>IFERROR(__xludf.DUMMYFUNCTION("""COMPUTED_VALUE"""),"3682 HARWOOD RD")</f>
        <v>3682 HARWOOD RD</v>
      </c>
      <c r="C1989" s="3" t="str">
        <f>IFERROR(__xludf.DUMMYFUNCTION("""COMPUTED_VALUE"""),"BALTIMORE")</f>
        <v>BALTIMORE</v>
      </c>
      <c r="D1989" s="3" t="str">
        <f>IFERROR(__xludf.DUMMYFUNCTION("""COMPUTED_VALUE"""),"K0K 1C0")</f>
        <v>K0K 1C0</v>
      </c>
      <c r="E1989" s="3" t="str">
        <f>IFERROR(__xludf.DUMMYFUNCTION("""COMPUTED_VALUE"""),"Carol &amp; Stephen Weir")</f>
        <v>Carol &amp; Stephen Weir</v>
      </c>
      <c r="F1989" s="3" t="str">
        <f>IFERROR(__xludf.DUMMYFUNCTION("""COMPUTED_VALUE"""),"carolmannweir@gmail.com")</f>
        <v>carolmannweir@gmail.com</v>
      </c>
      <c r="G1989" s="3"/>
      <c r="H1989" s="3"/>
    </row>
    <row r="1990">
      <c r="A1990" s="2">
        <f>IFERROR(__xludf.DUMMYFUNCTION("""COMPUTED_VALUE"""),23963.0)</f>
        <v>23963</v>
      </c>
      <c r="B1990" s="3" t="str">
        <f>IFERROR(__xludf.DUMMYFUNCTION("""COMPUTED_VALUE"""),"2801 COCHRANE RD")</f>
        <v>2801 COCHRANE RD</v>
      </c>
      <c r="C1990" s="3" t="str">
        <f>IFERROR(__xludf.DUMMYFUNCTION("""COMPUTED_VALUE"""),"COBOURG")</f>
        <v>COBOURG</v>
      </c>
      <c r="D1990" s="3" t="str">
        <f>IFERROR(__xludf.DUMMYFUNCTION("""COMPUTED_VALUE"""),"K9A 0M1")</f>
        <v>K9A 0M1</v>
      </c>
      <c r="E1990" s="3" t="str">
        <f>IFERROR(__xludf.DUMMYFUNCTION("""COMPUTED_VALUE"""),"Kyle Friedrich")</f>
        <v>Kyle Friedrich</v>
      </c>
      <c r="F1990" s="3" t="str">
        <f>IFERROR(__xludf.DUMMYFUNCTION("""COMPUTED_VALUE"""),"kylefriedrich@gmail.com")</f>
        <v>kylefriedrich@gmail.com</v>
      </c>
      <c r="G1990" s="3">
        <f>IFERROR(__xludf.DUMMYFUNCTION("""COMPUTED_VALUE"""),9.052694411E9)</f>
        <v>9052694411</v>
      </c>
      <c r="H1990" s="3"/>
    </row>
    <row r="1991">
      <c r="A1991" s="2">
        <f>IFERROR(__xludf.DUMMYFUNCTION("""COMPUTED_VALUE"""),22025.0)</f>
        <v>22025</v>
      </c>
      <c r="B1991" s="3" t="str">
        <f>IFERROR(__xludf.DUMMYFUNCTION("""COMPUTED_VALUE"""),"3696 HARWOOD RD")</f>
        <v>3696 HARWOOD RD</v>
      </c>
      <c r="C1991" s="3" t="str">
        <f>IFERROR(__xludf.DUMMYFUNCTION("""COMPUTED_VALUE"""),"BALTIMORE")</f>
        <v>BALTIMORE</v>
      </c>
      <c r="D1991" s="3" t="str">
        <f>IFERROR(__xludf.DUMMYFUNCTION("""COMPUTED_VALUE"""),"K0K 1C0")</f>
        <v>K0K 1C0</v>
      </c>
      <c r="E1991" s="3" t="str">
        <f>IFERROR(__xludf.DUMMYFUNCTION("""COMPUTED_VALUE"""),"John Berry")</f>
        <v>John Berry</v>
      </c>
      <c r="F1991" s="3" t="str">
        <f>IFERROR(__xludf.DUMMYFUNCTION("""COMPUTED_VALUE"""),"johngberry1@gmail.com")</f>
        <v>johngberry1@gmail.com</v>
      </c>
      <c r="G1991" s="3">
        <f>IFERROR(__xludf.DUMMYFUNCTION("""COMPUTED_VALUE"""),2.89356569E9)</f>
        <v>2893565690</v>
      </c>
      <c r="H1991" s="3"/>
    </row>
    <row r="1992">
      <c r="A1992" s="2">
        <f>IFERROR(__xludf.DUMMYFUNCTION("""COMPUTED_VALUE"""),21112.0)</f>
        <v>21112</v>
      </c>
      <c r="B1992" s="3" t="str">
        <f>IFERROR(__xludf.DUMMYFUNCTION("""COMPUTED_VALUE"""),"4994 COUNTY RD 45")</f>
        <v>4994 COUNTY RD 45</v>
      </c>
      <c r="C1992" s="3" t="str">
        <f>IFERROR(__xludf.DUMMYFUNCTION("""COMPUTED_VALUE"""),"BALTIMORE")</f>
        <v>BALTIMORE</v>
      </c>
      <c r="D1992" s="3" t="str">
        <f>IFERROR(__xludf.DUMMYFUNCTION("""COMPUTED_VALUE"""),"K0K 1C0")</f>
        <v>K0K 1C0</v>
      </c>
      <c r="E1992" s="3" t="str">
        <f>IFERROR(__xludf.DUMMYFUNCTION("""COMPUTED_VALUE"""),"mara markofski")</f>
        <v>mara markofski</v>
      </c>
      <c r="F1992" s="3" t="str">
        <f>IFERROR(__xludf.DUMMYFUNCTION("""COMPUTED_VALUE"""),"maramarkofski@gmail.com")</f>
        <v>maramarkofski@gmail.com</v>
      </c>
      <c r="G1992" s="3">
        <f>IFERROR(__xludf.DUMMYFUNCTION("""COMPUTED_VALUE"""),2.8925162247E10)</f>
        <v>28925162247</v>
      </c>
      <c r="H1992" s="3"/>
    </row>
    <row r="1993">
      <c r="A1993" s="2">
        <f>IFERROR(__xludf.DUMMYFUNCTION("""COMPUTED_VALUE"""),21113.0)</f>
        <v>21113</v>
      </c>
      <c r="B1993" s="3" t="str">
        <f>IFERROR(__xludf.DUMMYFUNCTION("""COMPUTED_VALUE"""),"5057 COUNTY RD 45")</f>
        <v>5057 COUNTY RD 45</v>
      </c>
      <c r="C1993" s="3" t="str">
        <f>IFERROR(__xludf.DUMMYFUNCTION("""COMPUTED_VALUE"""),"BALTIMORE")</f>
        <v>BALTIMORE</v>
      </c>
      <c r="D1993" s="3" t="str">
        <f>IFERROR(__xludf.DUMMYFUNCTION("""COMPUTED_VALUE"""),"K0K 1C0")</f>
        <v>K0K 1C0</v>
      </c>
      <c r="E1993" s="3" t="str">
        <f>IFERROR(__xludf.DUMMYFUNCTION("""COMPUTED_VALUE"""),"ryan holtmann")</f>
        <v>ryan holtmann</v>
      </c>
      <c r="F1993" s="3" t="str">
        <f>IFERROR(__xludf.DUMMYFUNCTION("""COMPUTED_VALUE"""),"ryanholtmann1@gmail.com")</f>
        <v>ryanholtmann1@gmail.com</v>
      </c>
      <c r="G1993" s="3">
        <f>IFERROR(__xludf.DUMMYFUNCTION("""COMPUTED_VALUE"""),9.052431771E9)</f>
        <v>9052431771</v>
      </c>
      <c r="H1993" s="3"/>
    </row>
    <row r="1994">
      <c r="A1994" s="2">
        <f>IFERROR(__xludf.DUMMYFUNCTION("""COMPUTED_VALUE"""),22026.0)</f>
        <v>22026</v>
      </c>
      <c r="B1994" s="3" t="str">
        <f>IFERROR(__xludf.DUMMYFUNCTION("""COMPUTED_VALUE"""),"3703 HARWOOD RD")</f>
        <v>3703 HARWOOD RD</v>
      </c>
      <c r="C1994" s="3" t="str">
        <f>IFERROR(__xludf.DUMMYFUNCTION("""COMPUTED_VALUE"""),"BALTIMORE")</f>
        <v>BALTIMORE</v>
      </c>
      <c r="D1994" s="3" t="str">
        <f>IFERROR(__xludf.DUMMYFUNCTION("""COMPUTED_VALUE"""),"K0K 1C0")</f>
        <v>K0K 1C0</v>
      </c>
      <c r="E1994" s="3"/>
      <c r="F1994" s="3"/>
      <c r="G1994" s="3"/>
      <c r="H1994" s="3"/>
    </row>
    <row r="1995">
      <c r="A1995" s="2">
        <f>IFERROR(__xludf.DUMMYFUNCTION("""COMPUTED_VALUE"""),21116.0)</f>
        <v>21116</v>
      </c>
      <c r="B1995" s="3" t="str">
        <f>IFERROR(__xludf.DUMMYFUNCTION("""COMPUTED_VALUE"""),"5128 COUNTY RD 45")</f>
        <v>5128 COUNTY RD 45</v>
      </c>
      <c r="C1995" s="3" t="str">
        <f>IFERROR(__xludf.DUMMYFUNCTION("""COMPUTED_VALUE"""),"BALTIMORE")</f>
        <v>BALTIMORE</v>
      </c>
      <c r="D1995" s="3" t="str">
        <f>IFERROR(__xludf.DUMMYFUNCTION("""COMPUTED_VALUE"""),"K0K 1C0")</f>
        <v>K0K 1C0</v>
      </c>
      <c r="E1995" s="3" t="str">
        <f>IFERROR(__xludf.DUMMYFUNCTION("""COMPUTED_VALUE"""),"darryl slack")</f>
        <v>darryl slack</v>
      </c>
      <c r="F1995" s="3" t="str">
        <f>IFERROR(__xludf.DUMMYFUNCTION("""COMPUTED_VALUE"""),"slacker-75@hotmail.com")</f>
        <v>slacker-75@hotmail.com</v>
      </c>
      <c r="G1995" s="3">
        <f>IFERROR(__xludf.DUMMYFUNCTION("""COMPUTED_VALUE"""),9.059262126E9)</f>
        <v>9059262126</v>
      </c>
      <c r="H1995" s="3"/>
    </row>
    <row r="1996">
      <c r="A1996" s="2">
        <f>IFERROR(__xludf.DUMMYFUNCTION("""COMPUTED_VALUE"""),21118.0)</f>
        <v>21118</v>
      </c>
      <c r="B1996" s="3" t="str">
        <f>IFERROR(__xludf.DUMMYFUNCTION("""COMPUTED_VALUE"""),"5142 COUNTY RD 45")</f>
        <v>5142 COUNTY RD 45</v>
      </c>
      <c r="C1996" s="3" t="str">
        <f>IFERROR(__xludf.DUMMYFUNCTION("""COMPUTED_VALUE"""),"BALTIMORE")</f>
        <v>BALTIMORE</v>
      </c>
      <c r="D1996" s="3" t="str">
        <f>IFERROR(__xludf.DUMMYFUNCTION("""COMPUTED_VALUE"""),"K0K 1C0")</f>
        <v>K0K 1C0</v>
      </c>
      <c r="E1996" s="3" t="str">
        <f>IFERROR(__xludf.DUMMYFUNCTION("""COMPUTED_VALUE"""),"john pearson")</f>
        <v>john pearson</v>
      </c>
      <c r="F1996" s="3" t="str">
        <f>IFERROR(__xludf.DUMMYFUNCTION("""COMPUTED_VALUE"""),"2john.w@gmail.com")</f>
        <v>2john.w@gmail.com</v>
      </c>
      <c r="G1996" s="3">
        <f>IFERROR(__xludf.DUMMYFUNCTION("""COMPUTED_VALUE"""),7.053723074E9)</f>
        <v>7053723074</v>
      </c>
      <c r="H1996" s="3"/>
    </row>
    <row r="1997">
      <c r="A1997" s="2">
        <f>IFERROR(__xludf.DUMMYFUNCTION("""COMPUTED_VALUE"""),22027.0)</f>
        <v>22027</v>
      </c>
      <c r="B1997" s="3" t="str">
        <f>IFERROR(__xludf.DUMMYFUNCTION("""COMPUTED_VALUE"""),"3736 HARWOOD RD")</f>
        <v>3736 HARWOOD RD</v>
      </c>
      <c r="C1997" s="3" t="str">
        <f>IFERROR(__xludf.DUMMYFUNCTION("""COMPUTED_VALUE"""),"BALTIMORE")</f>
        <v>BALTIMORE</v>
      </c>
      <c r="D1997" s="3" t="str">
        <f>IFERROR(__xludf.DUMMYFUNCTION("""COMPUTED_VALUE"""),"K0K 1C0")</f>
        <v>K0K 1C0</v>
      </c>
      <c r="E1997" s="3" t="str">
        <f>IFERROR(__xludf.DUMMYFUNCTION("""COMPUTED_VALUE"""),"jennifer kerswill")</f>
        <v>jennifer kerswill</v>
      </c>
      <c r="F1997" s="3" t="str">
        <f>IFERROR(__xludf.DUMMYFUNCTION("""COMPUTED_VALUE"""),"jennkerswill@hotmail.com")</f>
        <v>jennkerswill@hotmail.com</v>
      </c>
      <c r="G1997" s="3">
        <f>IFERROR(__xludf.DUMMYFUNCTION("""COMPUTED_VALUE"""),9.059143122E9)</f>
        <v>9059143122</v>
      </c>
      <c r="H1997" s="3">
        <f>IFERROR(__xludf.DUMMYFUNCTION("""COMPUTED_VALUE"""),2.893563122E9)</f>
        <v>2893563122</v>
      </c>
    </row>
    <row r="1998">
      <c r="A1998" s="2">
        <f>IFERROR(__xludf.DUMMYFUNCTION("""COMPUTED_VALUE"""),22028.0)</f>
        <v>22028</v>
      </c>
      <c r="B1998" s="3" t="str">
        <f>IFERROR(__xludf.DUMMYFUNCTION("""COMPUTED_VALUE"""),"3745 HARWOOD RD")</f>
        <v>3745 HARWOOD RD</v>
      </c>
      <c r="C1998" s="3" t="str">
        <f>IFERROR(__xludf.DUMMYFUNCTION("""COMPUTED_VALUE"""),"BALTIMORE")</f>
        <v>BALTIMORE</v>
      </c>
      <c r="D1998" s="3" t="str">
        <f>IFERROR(__xludf.DUMMYFUNCTION("""COMPUTED_VALUE"""),"K0K 1C0")</f>
        <v>K0K 1C0</v>
      </c>
      <c r="E1998" s="3" t="str">
        <f>IFERROR(__xludf.DUMMYFUNCTION("""COMPUTED_VALUE"""),"ralph dorian ")</f>
        <v>ralph dorian </v>
      </c>
      <c r="F1998" s="3"/>
      <c r="G1998" s="3">
        <f>IFERROR(__xludf.DUMMYFUNCTION("""COMPUTED_VALUE"""),9.053423085E9)</f>
        <v>9053423085</v>
      </c>
      <c r="H1998" s="3"/>
    </row>
    <row r="1999">
      <c r="A1999" s="2">
        <f>IFERROR(__xludf.DUMMYFUNCTION("""COMPUTED_VALUE"""),21121.0)</f>
        <v>21121</v>
      </c>
      <c r="B1999" s="3" t="str">
        <f>IFERROR(__xludf.DUMMYFUNCTION("""COMPUTED_VALUE"""),"5163 COUNTY RD 45")</f>
        <v>5163 COUNTY RD 45</v>
      </c>
      <c r="C1999" s="3" t="str">
        <f>IFERROR(__xludf.DUMMYFUNCTION("""COMPUTED_VALUE"""),"BALTIMORE")</f>
        <v>BALTIMORE</v>
      </c>
      <c r="D1999" s="3" t="str">
        <f>IFERROR(__xludf.DUMMYFUNCTION("""COMPUTED_VALUE"""),"K0K 1C0")</f>
        <v>K0K 1C0</v>
      </c>
      <c r="E1999" s="3" t="str">
        <f>IFERROR(__xludf.DUMMYFUNCTION("""COMPUTED_VALUE"""),"howard toyne ")</f>
        <v>howard toyne </v>
      </c>
      <c r="F1999" s="3" t="str">
        <f>IFERROR(__xludf.DUMMYFUNCTION("""COMPUTED_VALUE"""),"hjtoyne@gmail.com")</f>
        <v>hjtoyne@gmail.com</v>
      </c>
      <c r="G1999" s="3">
        <f>IFERROR(__xludf.DUMMYFUNCTION("""COMPUTED_VALUE"""),9.053722545E9)</f>
        <v>9053722545</v>
      </c>
      <c r="H1999" s="3"/>
    </row>
    <row r="2000">
      <c r="A2000" s="2">
        <f>IFERROR(__xludf.DUMMYFUNCTION("""COMPUTED_VALUE"""),21122.0)</f>
        <v>21122</v>
      </c>
      <c r="B2000" s="3" t="str">
        <f>IFERROR(__xludf.DUMMYFUNCTION("""COMPUTED_VALUE"""),"5175 COUNTY RD 45")</f>
        <v>5175 COUNTY RD 45</v>
      </c>
      <c r="C2000" s="3" t="str">
        <f>IFERROR(__xludf.DUMMYFUNCTION("""COMPUTED_VALUE"""),"BALTIMORE")</f>
        <v>BALTIMORE</v>
      </c>
      <c r="D2000" s="3" t="str">
        <f>IFERROR(__xludf.DUMMYFUNCTION("""COMPUTED_VALUE"""),"K0K 1C0")</f>
        <v>K0K 1C0</v>
      </c>
      <c r="E2000" s="3" t="str">
        <f>IFERROR(__xludf.DUMMYFUNCTION("""COMPUTED_VALUE"""),"miles ibbitson ")</f>
        <v>miles ibbitson </v>
      </c>
      <c r="F2000" s="3"/>
      <c r="G2000" s="3">
        <f>IFERROR(__xludf.DUMMYFUNCTION("""COMPUTED_VALUE"""),9.053728746E9)</f>
        <v>9053728746</v>
      </c>
      <c r="H2000" s="3"/>
    </row>
    <row r="2001">
      <c r="A2001" s="2">
        <f>IFERROR(__xludf.DUMMYFUNCTION("""COMPUTED_VALUE"""),22029.0)</f>
        <v>22029</v>
      </c>
      <c r="B2001" s="3" t="str">
        <f>IFERROR(__xludf.DUMMYFUNCTION("""COMPUTED_VALUE"""),"3767 HARWOOD RD")</f>
        <v>3767 HARWOOD RD</v>
      </c>
      <c r="C2001" s="3" t="str">
        <f>IFERROR(__xludf.DUMMYFUNCTION("""COMPUTED_VALUE"""),"BALTIMORE")</f>
        <v>BALTIMORE</v>
      </c>
      <c r="D2001" s="3" t="str">
        <f>IFERROR(__xludf.DUMMYFUNCTION("""COMPUTED_VALUE"""),"K0K 1C0")</f>
        <v>K0K 1C0</v>
      </c>
      <c r="E2001" s="3"/>
      <c r="F2001" s="3"/>
      <c r="G2001" s="3"/>
      <c r="H2001" s="3"/>
    </row>
    <row r="2002">
      <c r="A2002" s="2">
        <f>IFERROR(__xludf.DUMMYFUNCTION("""COMPUTED_VALUE"""),21125.0)</f>
        <v>21125</v>
      </c>
      <c r="B2002" s="3" t="str">
        <f>IFERROR(__xludf.DUMMYFUNCTION("""COMPUTED_VALUE"""),"5199 COUNTY RD 45")</f>
        <v>5199 COUNTY RD 45</v>
      </c>
      <c r="C2002" s="3" t="str">
        <f>IFERROR(__xludf.DUMMYFUNCTION("""COMPUTED_VALUE"""),"BALTIMORE")</f>
        <v>BALTIMORE</v>
      </c>
      <c r="D2002" s="3" t="str">
        <f>IFERROR(__xludf.DUMMYFUNCTION("""COMPUTED_VALUE"""),"K0K 1C0")</f>
        <v>K0K 1C0</v>
      </c>
      <c r="E2002" s="3"/>
      <c r="F2002" s="3"/>
      <c r="G2002" s="3"/>
      <c r="H2002" s="3"/>
    </row>
    <row r="2003">
      <c r="A2003" s="2">
        <f>IFERROR(__xludf.DUMMYFUNCTION("""COMPUTED_VALUE"""),21128.0)</f>
        <v>21128</v>
      </c>
      <c r="B2003" s="3" t="str">
        <f>IFERROR(__xludf.DUMMYFUNCTION("""COMPUTED_VALUE"""),"5212 COUNTY RD 45")</f>
        <v>5212 COUNTY RD 45</v>
      </c>
      <c r="C2003" s="3" t="str">
        <f>IFERROR(__xludf.DUMMYFUNCTION("""COMPUTED_VALUE"""),"BALTIMORE")</f>
        <v>BALTIMORE</v>
      </c>
      <c r="D2003" s="3" t="str">
        <f>IFERROR(__xludf.DUMMYFUNCTION("""COMPUTED_VALUE"""),"K0K 1C0")</f>
        <v>K0K 1C0</v>
      </c>
      <c r="E2003" s="3" t="str">
        <f>IFERROR(__xludf.DUMMYFUNCTION("""COMPUTED_VALUE"""),"DavId Bolduc")</f>
        <v>DavId Bolduc</v>
      </c>
      <c r="F2003" s="3" t="str">
        <f>IFERROR(__xludf.DUMMYFUNCTION("""COMPUTED_VALUE"""),"yvonne.bolduc@ymail.com")</f>
        <v>yvonne.bolduc@ymail.com</v>
      </c>
      <c r="G2003" s="3"/>
      <c r="H2003" s="3"/>
    </row>
    <row r="2004">
      <c r="A2004" s="2">
        <f>IFERROR(__xludf.DUMMYFUNCTION("""COMPUTED_VALUE"""),21133.0)</f>
        <v>21133</v>
      </c>
      <c r="B2004" s="3" t="str">
        <f>IFERROR(__xludf.DUMMYFUNCTION("""COMPUTED_VALUE"""),"5245 COUNTY RD 45")</f>
        <v>5245 COUNTY RD 45</v>
      </c>
      <c r="C2004" s="3" t="str">
        <f>IFERROR(__xludf.DUMMYFUNCTION("""COMPUTED_VALUE"""),"BALTIMORE")</f>
        <v>BALTIMORE</v>
      </c>
      <c r="D2004" s="3" t="str">
        <f>IFERROR(__xludf.DUMMYFUNCTION("""COMPUTED_VALUE"""),"K0K 1C0")</f>
        <v>K0K 1C0</v>
      </c>
      <c r="E2004" s="3" t="str">
        <f>IFERROR(__xludf.DUMMYFUNCTION("""COMPUTED_VALUE"""),"angela ferguson ")</f>
        <v>angela ferguson </v>
      </c>
      <c r="F2004" s="3"/>
      <c r="G2004" s="3">
        <f>IFERROR(__xludf.DUMMYFUNCTION("""COMPUTED_VALUE"""),9.053727235E9)</f>
        <v>9053727235</v>
      </c>
      <c r="H2004" s="3"/>
    </row>
    <row r="2005">
      <c r="A2005" s="2">
        <f>IFERROR(__xludf.DUMMYFUNCTION("""COMPUTED_VALUE"""),20906.0)</f>
        <v>20906</v>
      </c>
      <c r="B2005" s="3" t="str">
        <f>IFERROR(__xludf.DUMMYFUNCTION("""COMPUTED_VALUE"""),"5250 COUNTY RD 45 UNIT A")</f>
        <v>5250 COUNTY RD 45 UNIT A</v>
      </c>
      <c r="C2005" s="3" t="str">
        <f>IFERROR(__xludf.DUMMYFUNCTION("""COMPUTED_VALUE"""),"BALTIMORE")</f>
        <v>BALTIMORE</v>
      </c>
      <c r="D2005" s="3" t="str">
        <f>IFERROR(__xludf.DUMMYFUNCTION("""COMPUTED_VALUE"""),"K0K 1C0")</f>
        <v>K0K 1C0</v>
      </c>
      <c r="E2005" s="3" t="str">
        <f>IFERROR(__xludf.DUMMYFUNCTION("""COMPUTED_VALUE"""),"rob and lorraine")</f>
        <v>rob and lorraine</v>
      </c>
      <c r="F2005" s="3" t="str">
        <f>IFERROR(__xludf.DUMMYFUNCTION("""COMPUTED_VALUE"""),"benson1616@icloud.com")</f>
        <v>benson1616@icloud.com</v>
      </c>
      <c r="G2005" s="3">
        <f>IFERROR(__xludf.DUMMYFUNCTION("""COMPUTED_VALUE"""),9.053961307E9)</f>
        <v>9053961307</v>
      </c>
      <c r="H2005" s="3"/>
    </row>
    <row r="2006">
      <c r="A2006" s="2">
        <f>IFERROR(__xludf.DUMMYFUNCTION("""COMPUTED_VALUE"""),21134.0)</f>
        <v>21134</v>
      </c>
      <c r="B2006" s="3" t="str">
        <f>IFERROR(__xludf.DUMMYFUNCTION("""COMPUTED_VALUE"""),"5250 COUNTY RD 45 UNIT B")</f>
        <v>5250 COUNTY RD 45 UNIT B</v>
      </c>
      <c r="C2006" s="3" t="str">
        <f>IFERROR(__xludf.DUMMYFUNCTION("""COMPUTED_VALUE"""),"BALTIMORE")</f>
        <v>BALTIMORE</v>
      </c>
      <c r="D2006" s="3" t="str">
        <f>IFERROR(__xludf.DUMMYFUNCTION("""COMPUTED_VALUE"""),"K0K 1C0")</f>
        <v>K0K 1C0</v>
      </c>
      <c r="E2006" s="3" t="str">
        <f>IFERROR(__xludf.DUMMYFUNCTION("""COMPUTED_VALUE"""),"mark mills ")</f>
        <v>mark mills </v>
      </c>
      <c r="F2006" s="3" t="str">
        <f>IFERROR(__xludf.DUMMYFUNCTION("""COMPUTED_VALUE"""),"markdm15@gmail.com")</f>
        <v>markdm15@gmail.com</v>
      </c>
      <c r="G2006" s="3">
        <f>IFERROR(__xludf.DUMMYFUNCTION("""COMPUTED_VALUE"""),9.053758892E9)</f>
        <v>9053758892</v>
      </c>
      <c r="H2006" s="3"/>
    </row>
    <row r="2007">
      <c r="A2007" s="2">
        <f>IFERROR(__xludf.DUMMYFUNCTION("""COMPUTED_VALUE"""),22030.0)</f>
        <v>22030</v>
      </c>
      <c r="B2007" s="3" t="str">
        <f>IFERROR(__xludf.DUMMYFUNCTION("""COMPUTED_VALUE"""),"3777 HARWOOD RD")</f>
        <v>3777 HARWOOD RD</v>
      </c>
      <c r="C2007" s="3" t="str">
        <f>IFERROR(__xludf.DUMMYFUNCTION("""COMPUTED_VALUE"""),"BALTIMORE")</f>
        <v>BALTIMORE</v>
      </c>
      <c r="D2007" s="3" t="str">
        <f>IFERROR(__xludf.DUMMYFUNCTION("""COMPUTED_VALUE"""),"K0K 1C0")</f>
        <v>K0K 1C0</v>
      </c>
      <c r="E2007" s="3"/>
      <c r="F2007" s="3"/>
      <c r="G2007" s="3"/>
      <c r="H2007" s="3"/>
    </row>
    <row r="2008">
      <c r="A2008" s="2">
        <f>IFERROR(__xludf.DUMMYFUNCTION("""COMPUTED_VALUE"""),21136.0)</f>
        <v>21136</v>
      </c>
      <c r="B2008" s="3" t="str">
        <f>IFERROR(__xludf.DUMMYFUNCTION("""COMPUTED_VALUE"""),"5253 COUNTY RD 45")</f>
        <v>5253 COUNTY RD 45</v>
      </c>
      <c r="C2008" s="3" t="str">
        <f>IFERROR(__xludf.DUMMYFUNCTION("""COMPUTED_VALUE"""),"BALTIMORE")</f>
        <v>BALTIMORE</v>
      </c>
      <c r="D2008" s="3" t="str">
        <f>IFERROR(__xludf.DUMMYFUNCTION("""COMPUTED_VALUE"""),"K0K 1C0")</f>
        <v>K0K 1C0</v>
      </c>
      <c r="E2008" s="3" t="str">
        <f>IFERROR(__xludf.DUMMYFUNCTION("""COMPUTED_VALUE"""),"Jane Hook")</f>
        <v>Jane Hook</v>
      </c>
      <c r="F2008" s="3" t="str">
        <f>IFERROR(__xludf.DUMMYFUNCTION("""COMPUTED_VALUE"""),"janef18@hotmail.com")</f>
        <v>janef18@hotmail.com</v>
      </c>
      <c r="G2008" s="3">
        <f>IFERROR(__xludf.DUMMYFUNCTION("""COMPUTED_VALUE"""),9.053762625E9)</f>
        <v>9053762625</v>
      </c>
      <c r="H2008" s="3"/>
    </row>
    <row r="2009">
      <c r="A2009" s="2">
        <f>IFERROR(__xludf.DUMMYFUNCTION("""COMPUTED_VALUE"""),22031.0)</f>
        <v>22031</v>
      </c>
      <c r="B2009" s="3" t="str">
        <f>IFERROR(__xludf.DUMMYFUNCTION("""COMPUTED_VALUE"""),"3791 HARWOOD RD")</f>
        <v>3791 HARWOOD RD</v>
      </c>
      <c r="C2009" s="3" t="str">
        <f>IFERROR(__xludf.DUMMYFUNCTION("""COMPUTED_VALUE"""),"BALTIMORE")</f>
        <v>BALTIMORE</v>
      </c>
      <c r="D2009" s="3" t="str">
        <f>IFERROR(__xludf.DUMMYFUNCTION("""COMPUTED_VALUE"""),"K0K 1C0")</f>
        <v>K0K 1C0</v>
      </c>
      <c r="E2009" s="3" t="str">
        <f>IFERROR(__xludf.DUMMYFUNCTION("""COMPUTED_VALUE"""),"bruce guthrie ")</f>
        <v>bruce guthrie </v>
      </c>
      <c r="F2009" s="3"/>
      <c r="G2009" s="3">
        <f>IFERROR(__xludf.DUMMYFUNCTION("""COMPUTED_VALUE"""),9.052691374E9)</f>
        <v>9052691374</v>
      </c>
      <c r="H2009" s="3"/>
    </row>
    <row r="2010">
      <c r="A2010" s="2">
        <f>IFERROR(__xludf.DUMMYFUNCTION("""COMPUTED_VALUE"""),22032.0)</f>
        <v>22032</v>
      </c>
      <c r="B2010" s="3" t="str">
        <f>IFERROR(__xludf.DUMMYFUNCTION("""COMPUTED_VALUE"""),"3802 HARWOOD RD")</f>
        <v>3802 HARWOOD RD</v>
      </c>
      <c r="C2010" s="3" t="str">
        <f>IFERROR(__xludf.DUMMYFUNCTION("""COMPUTED_VALUE"""),"BALTIMORE")</f>
        <v>BALTIMORE</v>
      </c>
      <c r="D2010" s="3" t="str">
        <f>IFERROR(__xludf.DUMMYFUNCTION("""COMPUTED_VALUE"""),"K0K 1C0")</f>
        <v>K0K 1C0</v>
      </c>
      <c r="E2010" s="3" t="str">
        <f>IFERROR(__xludf.DUMMYFUNCTION("""COMPUTED_VALUE"""),"nathan copeland ")</f>
        <v>nathan copeland </v>
      </c>
      <c r="F2010" s="3" t="str">
        <f>IFERROR(__xludf.DUMMYFUNCTION("""COMPUTED_VALUE"""),"ncopeland18@gmail.com")</f>
        <v>ncopeland18@gmail.com</v>
      </c>
      <c r="G2010" s="3">
        <f>IFERROR(__xludf.DUMMYFUNCTION("""COMPUTED_VALUE"""),9.53760092E8)</f>
        <v>953760092</v>
      </c>
      <c r="H2010" s="3"/>
    </row>
    <row r="2011">
      <c r="A2011" s="2">
        <f>IFERROR(__xludf.DUMMYFUNCTION("""COMPUTED_VALUE"""),22033.0)</f>
        <v>22033</v>
      </c>
      <c r="B2011" s="3" t="str">
        <f>IFERROR(__xludf.DUMMYFUNCTION("""COMPUTED_VALUE"""),"3806 HARWOOD RD")</f>
        <v>3806 HARWOOD RD</v>
      </c>
      <c r="C2011" s="3" t="str">
        <f>IFERROR(__xludf.DUMMYFUNCTION("""COMPUTED_VALUE"""),"BALTIMORE")</f>
        <v>BALTIMORE</v>
      </c>
      <c r="D2011" s="3" t="str">
        <f>IFERROR(__xludf.DUMMYFUNCTION("""COMPUTED_VALUE"""),"K0K 1C0")</f>
        <v>K0K 1C0</v>
      </c>
      <c r="E2011" s="3" t="str">
        <f>IFERROR(__xludf.DUMMYFUNCTION("""COMPUTED_VALUE"""),"CATHERINE MORRIS")</f>
        <v>CATHERINE MORRIS</v>
      </c>
      <c r="F2011" s="3" t="str">
        <f>IFERROR(__xludf.DUMMYFUNCTION("""COMPUTED_VALUE"""),"cmorris45@outlook.com")</f>
        <v>cmorris45@outlook.com</v>
      </c>
      <c r="G2011" s="3"/>
      <c r="H2011" s="3"/>
    </row>
    <row r="2012">
      <c r="A2012" s="2">
        <f>IFERROR(__xludf.DUMMYFUNCTION("""COMPUTED_VALUE"""),21139.0)</f>
        <v>21139</v>
      </c>
      <c r="B2012" s="3" t="str">
        <f>IFERROR(__xludf.DUMMYFUNCTION("""COMPUTED_VALUE"""),"5268 COUNTY RD 45")</f>
        <v>5268 COUNTY RD 45</v>
      </c>
      <c r="C2012" s="3" t="str">
        <f>IFERROR(__xludf.DUMMYFUNCTION("""COMPUTED_VALUE"""),"BALTIMORE")</f>
        <v>BALTIMORE</v>
      </c>
      <c r="D2012" s="3" t="str">
        <f>IFERROR(__xludf.DUMMYFUNCTION("""COMPUTED_VALUE"""),"K0K 1C0")</f>
        <v>K0K 1C0</v>
      </c>
      <c r="E2012" s="3" t="str">
        <f>IFERROR(__xludf.DUMMYFUNCTION("""COMPUTED_VALUE"""),"Stephanie Knapp")</f>
        <v>Stephanie Knapp</v>
      </c>
      <c r="F2012" s="3" t="str">
        <f>IFERROR(__xludf.DUMMYFUNCTION("""COMPUTED_VALUE"""),"stephaniesknapp@gmail.com")</f>
        <v>stephaniesknapp@gmail.com</v>
      </c>
      <c r="G2012" s="3"/>
      <c r="H2012" s="3"/>
    </row>
    <row r="2013">
      <c r="A2013" s="2">
        <f>IFERROR(__xludf.DUMMYFUNCTION("""COMPUTED_VALUE"""),21144.0)</f>
        <v>21144</v>
      </c>
      <c r="B2013" s="3" t="str">
        <f>IFERROR(__xludf.DUMMYFUNCTION("""COMPUTED_VALUE"""),"5287 COUNTY RD 45")</f>
        <v>5287 COUNTY RD 45</v>
      </c>
      <c r="C2013" s="3" t="str">
        <f>IFERROR(__xludf.DUMMYFUNCTION("""COMPUTED_VALUE"""),"BALTIMORE")</f>
        <v>BALTIMORE</v>
      </c>
      <c r="D2013" s="3" t="str">
        <f>IFERROR(__xludf.DUMMYFUNCTION("""COMPUTED_VALUE"""),"K0K 1C0")</f>
        <v>K0K 1C0</v>
      </c>
      <c r="E2013" s="3" t="str">
        <f>IFERROR(__xludf.DUMMYFUNCTION("""COMPUTED_VALUE"""),"randy crossen ")</f>
        <v>randy crossen </v>
      </c>
      <c r="F2013" s="3" t="str">
        <f>IFERROR(__xludf.DUMMYFUNCTION("""COMPUTED_VALUE"""),"nine0fivegraphics@gmail.com")</f>
        <v>nine0fivegraphics@gmail.com</v>
      </c>
      <c r="G2013" s="3">
        <f>IFERROR(__xludf.DUMMYFUNCTION("""COMPUTED_VALUE"""),9.053769962E9)</f>
        <v>9053769962</v>
      </c>
      <c r="H2013" s="3"/>
    </row>
    <row r="2014">
      <c r="A2014" s="2">
        <f>IFERROR(__xludf.DUMMYFUNCTION("""COMPUTED_VALUE"""),21145.0)</f>
        <v>21145</v>
      </c>
      <c r="B2014" s="3" t="str">
        <f>IFERROR(__xludf.DUMMYFUNCTION("""COMPUTED_VALUE"""),"5291 COUNTY RD 45")</f>
        <v>5291 COUNTY RD 45</v>
      </c>
      <c r="C2014" s="3" t="str">
        <f>IFERROR(__xludf.DUMMYFUNCTION("""COMPUTED_VALUE"""),"BALTIMORE")</f>
        <v>BALTIMORE</v>
      </c>
      <c r="D2014" s="3" t="str">
        <f>IFERROR(__xludf.DUMMYFUNCTION("""COMPUTED_VALUE"""),"K0K 1C0")</f>
        <v>K0K 1C0</v>
      </c>
      <c r="E2014" s="3"/>
      <c r="F2014" s="3"/>
      <c r="G2014" s="3"/>
      <c r="H2014" s="3"/>
    </row>
    <row r="2015">
      <c r="A2015" s="2">
        <f>IFERROR(__xludf.DUMMYFUNCTION("""COMPUTED_VALUE"""),21146.0)</f>
        <v>21146</v>
      </c>
      <c r="B2015" s="3" t="str">
        <f>IFERROR(__xludf.DUMMYFUNCTION("""COMPUTED_VALUE"""),"5294 COUNTY RD 45")</f>
        <v>5294 COUNTY RD 45</v>
      </c>
      <c r="C2015" s="3" t="str">
        <f>IFERROR(__xludf.DUMMYFUNCTION("""COMPUTED_VALUE"""),"BALTIMORE")</f>
        <v>BALTIMORE</v>
      </c>
      <c r="D2015" s="3" t="str">
        <f>IFERROR(__xludf.DUMMYFUNCTION("""COMPUTED_VALUE"""),"K0K 1C0")</f>
        <v>K0K 1C0</v>
      </c>
      <c r="E2015" s="3" t="str">
        <f>IFERROR(__xludf.DUMMYFUNCTION("""COMPUTED_VALUE"""),"Matt Benschop")</f>
        <v>Matt Benschop</v>
      </c>
      <c r="F2015" s="3" t="str">
        <f>IFERROR(__xludf.DUMMYFUNCTION("""COMPUTED_VALUE"""),"mbenschop45@gmail.com")</f>
        <v>mbenschop45@gmail.com</v>
      </c>
      <c r="G2015" s="3">
        <f>IFERROR(__xludf.DUMMYFUNCTION("""COMPUTED_VALUE"""),9.053736882E9)</f>
        <v>9053736882</v>
      </c>
      <c r="H2015" s="3"/>
    </row>
    <row r="2016">
      <c r="A2016" s="2">
        <f>IFERROR(__xludf.DUMMYFUNCTION("""COMPUTED_VALUE"""),21147.0)</f>
        <v>21147</v>
      </c>
      <c r="B2016" s="3" t="str">
        <f>IFERROR(__xludf.DUMMYFUNCTION("""COMPUTED_VALUE"""),"5297 COUNTY RD 45")</f>
        <v>5297 COUNTY RD 45</v>
      </c>
      <c r="C2016" s="3" t="str">
        <f>IFERROR(__xludf.DUMMYFUNCTION("""COMPUTED_VALUE"""),"BALTIMORE")</f>
        <v>BALTIMORE</v>
      </c>
      <c r="D2016" s="3" t="str">
        <f>IFERROR(__xludf.DUMMYFUNCTION("""COMPUTED_VALUE"""),"K0K 1C0")</f>
        <v>K0K 1C0</v>
      </c>
      <c r="E2016" s="3" t="str">
        <f>IFERROR(__xludf.DUMMYFUNCTION("""COMPUTED_VALUE"""),"carly macguire ")</f>
        <v>carly macguire </v>
      </c>
      <c r="F2016" s="3" t="str">
        <f>IFERROR(__xludf.DUMMYFUNCTION("""COMPUTED_VALUE"""),"mashach.09@gmail.com")</f>
        <v>mashach.09@gmail.com</v>
      </c>
      <c r="G2016" s="3">
        <f>IFERROR(__xludf.DUMMYFUNCTION("""COMPUTED_VALUE"""),9.053728169E9)</f>
        <v>9053728169</v>
      </c>
      <c r="H2016" s="3"/>
    </row>
    <row r="2017">
      <c r="A2017" s="2">
        <f>IFERROR(__xludf.DUMMYFUNCTION("""COMPUTED_VALUE"""),22034.0)</f>
        <v>22034</v>
      </c>
      <c r="B2017" s="3" t="str">
        <f>IFERROR(__xludf.DUMMYFUNCTION("""COMPUTED_VALUE"""),"3809 HARWOOD RD")</f>
        <v>3809 HARWOOD RD</v>
      </c>
      <c r="C2017" s="3" t="str">
        <f>IFERROR(__xludf.DUMMYFUNCTION("""COMPUTED_VALUE"""),"BALTIMORE")</f>
        <v>BALTIMORE</v>
      </c>
      <c r="D2017" s="3" t="str">
        <f>IFERROR(__xludf.DUMMYFUNCTION("""COMPUTED_VALUE"""),"K0K 1C0")</f>
        <v>K0K 1C0</v>
      </c>
      <c r="E2017" s="3" t="str">
        <f>IFERROR(__xludf.DUMMYFUNCTION("""COMPUTED_VALUE"""),"jason and melissa schultz")</f>
        <v>jason and melissa schultz</v>
      </c>
      <c r="F2017" s="3" t="str">
        <f>IFERROR(__xludf.DUMMYFUNCTION("""COMPUTED_VALUE"""),"9053754448")</f>
        <v>9053754448</v>
      </c>
      <c r="G2017" s="3">
        <f>IFERROR(__xludf.DUMMYFUNCTION("""COMPUTED_VALUE"""),9.053754448E9)</f>
        <v>9053754448</v>
      </c>
      <c r="H2017" s="3">
        <f>IFERROR(__xludf.DUMMYFUNCTION("""COMPUTED_VALUE"""),9.054405877E9)</f>
        <v>9054405877</v>
      </c>
    </row>
    <row r="2018">
      <c r="A2018" s="2">
        <f>IFERROR(__xludf.DUMMYFUNCTION("""COMPUTED_VALUE"""),21148.0)</f>
        <v>21148</v>
      </c>
      <c r="B2018" s="3" t="str">
        <f>IFERROR(__xludf.DUMMYFUNCTION("""COMPUTED_VALUE"""),"5301 COUNTY RD 45")</f>
        <v>5301 COUNTY RD 45</v>
      </c>
      <c r="C2018" s="3" t="str">
        <f>IFERROR(__xludf.DUMMYFUNCTION("""COMPUTED_VALUE"""),"BALTIMORE")</f>
        <v>BALTIMORE</v>
      </c>
      <c r="D2018" s="3" t="str">
        <f>IFERROR(__xludf.DUMMYFUNCTION("""COMPUTED_VALUE"""),"K0K 1C0")</f>
        <v>K0K 1C0</v>
      </c>
      <c r="E2018" s="3" t="str">
        <f>IFERROR(__xludf.DUMMYFUNCTION("""COMPUTED_VALUE"""),"Ashley Keith")</f>
        <v>Ashley Keith</v>
      </c>
      <c r="F2018" s="3" t="str">
        <f>IFERROR(__xludf.DUMMYFUNCTION("""COMPUTED_VALUE"""),"ash.keith89@gmail.com")</f>
        <v>ash.keith89@gmail.com</v>
      </c>
      <c r="G2018" s="3">
        <f>IFERROR(__xludf.DUMMYFUNCTION("""COMPUTED_VALUE"""),2.899928886E9)</f>
        <v>2899928886</v>
      </c>
      <c r="H2018" s="3"/>
    </row>
    <row r="2019">
      <c r="A2019" s="2">
        <f>IFERROR(__xludf.DUMMYFUNCTION("""COMPUTED_VALUE"""),22035.0)</f>
        <v>22035</v>
      </c>
      <c r="B2019" s="3" t="str">
        <f>IFERROR(__xludf.DUMMYFUNCTION("""COMPUTED_VALUE"""),"3835 HARWOOD RD")</f>
        <v>3835 HARWOOD RD</v>
      </c>
      <c r="C2019" s="3" t="str">
        <f>IFERROR(__xludf.DUMMYFUNCTION("""COMPUTED_VALUE"""),"BALTIMORE")</f>
        <v>BALTIMORE</v>
      </c>
      <c r="D2019" s="3" t="str">
        <f>IFERROR(__xludf.DUMMYFUNCTION("""COMPUTED_VALUE"""),"K0K 1C0")</f>
        <v>K0K 1C0</v>
      </c>
      <c r="E2019" s="3"/>
      <c r="F2019" s="3"/>
      <c r="G2019" s="3"/>
      <c r="H2019" s="3"/>
    </row>
    <row r="2020">
      <c r="A2020" s="2">
        <f>IFERROR(__xludf.DUMMYFUNCTION("""COMPUTED_VALUE"""),22036.0)</f>
        <v>22036</v>
      </c>
      <c r="B2020" s="3" t="str">
        <f>IFERROR(__xludf.DUMMYFUNCTION("""COMPUTED_VALUE"""),"3845 HARWOOD RD")</f>
        <v>3845 HARWOOD RD</v>
      </c>
      <c r="C2020" s="3" t="str">
        <f>IFERROR(__xludf.DUMMYFUNCTION("""COMPUTED_VALUE"""),"BALTIMORE")</f>
        <v>BALTIMORE</v>
      </c>
      <c r="D2020" s="3" t="str">
        <f>IFERROR(__xludf.DUMMYFUNCTION("""COMPUTED_VALUE"""),"K0K 1C0")</f>
        <v>K0K 1C0</v>
      </c>
      <c r="E2020" s="3" t="str">
        <f>IFERROR(__xludf.DUMMYFUNCTION("""COMPUTED_VALUE"""),"Chris Haertel")</f>
        <v>Chris Haertel</v>
      </c>
      <c r="F2020" s="3" t="str">
        <f>IFERROR(__xludf.DUMMYFUNCTION("""COMPUTED_VALUE"""),"thehaertels@hotmail.com")</f>
        <v>thehaertels@hotmail.com</v>
      </c>
      <c r="G2020" s="3">
        <f>IFERROR(__xludf.DUMMYFUNCTION("""COMPUTED_VALUE"""),9.053422297E9)</f>
        <v>9053422297</v>
      </c>
      <c r="H2020" s="3">
        <f>IFERROR(__xludf.DUMMYFUNCTION("""COMPUTED_VALUE"""),9.054100681E9)</f>
        <v>9054100681</v>
      </c>
    </row>
    <row r="2021">
      <c r="A2021" s="2">
        <f>IFERROR(__xludf.DUMMYFUNCTION("""COMPUTED_VALUE"""),22037.0)</f>
        <v>22037</v>
      </c>
      <c r="B2021" s="3" t="str">
        <f>IFERROR(__xludf.DUMMYFUNCTION("""COMPUTED_VALUE"""),"3861 HARWOOD RD")</f>
        <v>3861 HARWOOD RD</v>
      </c>
      <c r="C2021" s="3" t="str">
        <f>IFERROR(__xludf.DUMMYFUNCTION("""COMPUTED_VALUE"""),"BALTIMORE")</f>
        <v>BALTIMORE</v>
      </c>
      <c r="D2021" s="3" t="str">
        <f>IFERROR(__xludf.DUMMYFUNCTION("""COMPUTED_VALUE"""),"K0K 1C0")</f>
        <v>K0K 1C0</v>
      </c>
      <c r="E2021" s="3" t="str">
        <f>IFERROR(__xludf.DUMMYFUNCTION("""COMPUTED_VALUE"""),"Donald Wayne McAulay")</f>
        <v>Donald Wayne McAulay</v>
      </c>
      <c r="F2021" s="3" t="str">
        <f>IFERROR(__xludf.DUMMYFUNCTION("""COMPUTED_VALUE"""),"waynemcaulay@gmail.com")</f>
        <v>waynemcaulay@gmail.com</v>
      </c>
      <c r="G2021" s="3">
        <f>IFERROR(__xludf.DUMMYFUNCTION("""COMPUTED_VALUE"""),9.053963292E9)</f>
        <v>9053963292</v>
      </c>
      <c r="H2021" s="3"/>
    </row>
    <row r="2022">
      <c r="A2022" s="2">
        <f>IFERROR(__xludf.DUMMYFUNCTION("""COMPUTED_VALUE"""),21149.0)</f>
        <v>21149</v>
      </c>
      <c r="B2022" s="3" t="str">
        <f>IFERROR(__xludf.DUMMYFUNCTION("""COMPUTED_VALUE"""),"5342 COUNTY RD 45")</f>
        <v>5342 COUNTY RD 45</v>
      </c>
      <c r="C2022" s="3" t="str">
        <f>IFERROR(__xludf.DUMMYFUNCTION("""COMPUTED_VALUE"""),"BALTIMORE")</f>
        <v>BALTIMORE</v>
      </c>
      <c r="D2022" s="3" t="str">
        <f>IFERROR(__xludf.DUMMYFUNCTION("""COMPUTED_VALUE"""),"K0K 1C0")</f>
        <v>K0K 1C0</v>
      </c>
      <c r="E2022" s="3" t="str">
        <f>IFERROR(__xludf.DUMMYFUNCTION("""COMPUTED_VALUE"""),"Melissa Esler")</f>
        <v>Melissa Esler</v>
      </c>
      <c r="F2022" s="3" t="str">
        <f>IFERROR(__xludf.DUMMYFUNCTION("""COMPUTED_VALUE"""),"melissajesler@gmail.com")</f>
        <v>melissajesler@gmail.com</v>
      </c>
      <c r="G2022" s="3">
        <f>IFERROR(__xludf.DUMMYFUNCTION("""COMPUTED_VALUE"""),9.052591777E9)</f>
        <v>9052591777</v>
      </c>
      <c r="H2022" s="3"/>
    </row>
    <row r="2023">
      <c r="A2023" s="2">
        <f>IFERROR(__xludf.DUMMYFUNCTION("""COMPUTED_VALUE"""),21150.0)</f>
        <v>21150</v>
      </c>
      <c r="B2023" s="3" t="str">
        <f>IFERROR(__xludf.DUMMYFUNCTION("""COMPUTED_VALUE"""),"5344 COUNTY RD 45")</f>
        <v>5344 COUNTY RD 45</v>
      </c>
      <c r="C2023" s="3" t="str">
        <f>IFERROR(__xludf.DUMMYFUNCTION("""COMPUTED_VALUE"""),"BALTIMORE")</f>
        <v>BALTIMORE</v>
      </c>
      <c r="D2023" s="3" t="str">
        <f>IFERROR(__xludf.DUMMYFUNCTION("""COMPUTED_VALUE"""),"K0K 1C0")</f>
        <v>K0K 1C0</v>
      </c>
      <c r="E2023" s="3" t="str">
        <f>IFERROR(__xludf.DUMMYFUNCTION("""COMPUTED_VALUE"""),"pierre gilbert ")</f>
        <v>pierre gilbert </v>
      </c>
      <c r="F2023" s="3"/>
      <c r="G2023" s="3">
        <f>IFERROR(__xludf.DUMMYFUNCTION("""COMPUTED_VALUE"""),9.05269459E9)</f>
        <v>9052694590</v>
      </c>
      <c r="H2023" s="3"/>
    </row>
    <row r="2024">
      <c r="A2024" s="2">
        <f>IFERROR(__xludf.DUMMYFUNCTION("""COMPUTED_VALUE"""),22038.0)</f>
        <v>22038</v>
      </c>
      <c r="B2024" s="3" t="str">
        <f>IFERROR(__xludf.DUMMYFUNCTION("""COMPUTED_VALUE"""),"3866 HARWOOD RD")</f>
        <v>3866 HARWOOD RD</v>
      </c>
      <c r="C2024" s="3" t="str">
        <f>IFERROR(__xludf.DUMMYFUNCTION("""COMPUTED_VALUE"""),"BALTIMORE")</f>
        <v>BALTIMORE</v>
      </c>
      <c r="D2024" s="3" t="str">
        <f>IFERROR(__xludf.DUMMYFUNCTION("""COMPUTED_VALUE"""),"K0K 1C0")</f>
        <v>K0K 1C0</v>
      </c>
      <c r="E2024" s="3" t="str">
        <f>IFERROR(__xludf.DUMMYFUNCTION("""COMPUTED_VALUE"""),"erin kelly")</f>
        <v>erin kelly</v>
      </c>
      <c r="F2024" s="3" t="str">
        <f>IFERROR(__xludf.DUMMYFUNCTION("""COMPUTED_VALUE"""),"eirekelly145@gmail.com")</f>
        <v>eirekelly145@gmail.com</v>
      </c>
      <c r="G2024" s="3">
        <f>IFERROR(__xludf.DUMMYFUNCTION("""COMPUTED_VALUE"""),9.059267291E9)</f>
        <v>9059267291</v>
      </c>
      <c r="H2024" s="3"/>
    </row>
    <row r="2025">
      <c r="A2025" s="2">
        <f>IFERROR(__xludf.DUMMYFUNCTION("""COMPUTED_VALUE"""),21151.0)</f>
        <v>21151</v>
      </c>
      <c r="B2025" s="3" t="str">
        <f>IFERROR(__xludf.DUMMYFUNCTION("""COMPUTED_VALUE"""),"5357 COUNTY RD 45")</f>
        <v>5357 COUNTY RD 45</v>
      </c>
      <c r="C2025" s="3" t="str">
        <f>IFERROR(__xludf.DUMMYFUNCTION("""COMPUTED_VALUE"""),"BALTIMORE")</f>
        <v>BALTIMORE</v>
      </c>
      <c r="D2025" s="3" t="str">
        <f>IFERROR(__xludf.DUMMYFUNCTION("""COMPUTED_VALUE"""),"K0K 1C0")</f>
        <v>K0K 1C0</v>
      </c>
      <c r="E2025" s="3"/>
      <c r="F2025" s="3"/>
      <c r="G2025" s="3"/>
      <c r="H2025" s="3"/>
    </row>
    <row r="2026">
      <c r="A2026" s="2">
        <f>IFERROR(__xludf.DUMMYFUNCTION("""COMPUTED_VALUE"""),22039.0)</f>
        <v>22039</v>
      </c>
      <c r="B2026" s="3" t="str">
        <f>IFERROR(__xludf.DUMMYFUNCTION("""COMPUTED_VALUE"""),"3991 HARWOOD RD")</f>
        <v>3991 HARWOOD RD</v>
      </c>
      <c r="C2026" s="3" t="str">
        <f>IFERROR(__xludf.DUMMYFUNCTION("""COMPUTED_VALUE"""),"BALTIMORE")</f>
        <v>BALTIMORE</v>
      </c>
      <c r="D2026" s="3" t="str">
        <f>IFERROR(__xludf.DUMMYFUNCTION("""COMPUTED_VALUE"""),"K0K 1C0")</f>
        <v>K0K 1C0</v>
      </c>
      <c r="E2026" s="3" t="str">
        <f>IFERROR(__xludf.DUMMYFUNCTION("""COMPUTED_VALUE"""),"Adam Gladstone")</f>
        <v>Adam Gladstone</v>
      </c>
      <c r="F2026" s="3" t="str">
        <f>IFERROR(__xludf.DUMMYFUNCTION("""COMPUTED_VALUE"""),"adamgladstone12@gmail.com")</f>
        <v>adamgladstone12@gmail.com</v>
      </c>
      <c r="G2026" s="3">
        <f>IFERROR(__xludf.DUMMYFUNCTION("""COMPUTED_VALUE"""),4.163159262E9)</f>
        <v>4163159262</v>
      </c>
      <c r="H2026" s="3">
        <f>IFERROR(__xludf.DUMMYFUNCTION("""COMPUTED_VALUE"""),6.47300406E9)</f>
        <v>6473004060</v>
      </c>
    </row>
    <row r="2027">
      <c r="A2027" s="2">
        <f>IFERROR(__xludf.DUMMYFUNCTION("""COMPUTED_VALUE"""),21152.0)</f>
        <v>21152</v>
      </c>
      <c r="B2027" s="3" t="str">
        <f>IFERROR(__xludf.DUMMYFUNCTION("""COMPUTED_VALUE"""),"5376 COUNTY RD 45")</f>
        <v>5376 COUNTY RD 45</v>
      </c>
      <c r="C2027" s="3" t="str">
        <f>IFERROR(__xludf.DUMMYFUNCTION("""COMPUTED_VALUE"""),"BALTIMORE")</f>
        <v>BALTIMORE</v>
      </c>
      <c r="D2027" s="3" t="str">
        <f>IFERROR(__xludf.DUMMYFUNCTION("""COMPUTED_VALUE"""),"K0K 1C0")</f>
        <v>K0K 1C0</v>
      </c>
      <c r="E2027" s="3" t="str">
        <f>IFERROR(__xludf.DUMMYFUNCTION("""COMPUTED_VALUE"""),"paul muia ")</f>
        <v>paul muia </v>
      </c>
      <c r="F2027" s="3" t="str">
        <f>IFERROR(__xludf.DUMMYFUNCTION("""COMPUTED_VALUE"""),"pete.muia@hotmail.com")</f>
        <v>pete.muia@hotmail.com</v>
      </c>
      <c r="G2027" s="3">
        <f>IFERROR(__xludf.DUMMYFUNCTION("""COMPUTED_VALUE"""),9.059141597E9)</f>
        <v>9059141597</v>
      </c>
      <c r="H2027" s="3"/>
    </row>
    <row r="2028">
      <c r="A2028" s="2">
        <f>IFERROR(__xludf.DUMMYFUNCTION("""COMPUTED_VALUE"""),21153.0)</f>
        <v>21153</v>
      </c>
      <c r="B2028" s="3" t="str">
        <f>IFERROR(__xludf.DUMMYFUNCTION("""COMPUTED_VALUE"""),"5378 COUNTY RD 45 SUITE A")</f>
        <v>5378 COUNTY RD 45 SUITE A</v>
      </c>
      <c r="C2028" s="3" t="str">
        <f>IFERROR(__xludf.DUMMYFUNCTION("""COMPUTED_VALUE"""),"BALTIMORE")</f>
        <v>BALTIMORE</v>
      </c>
      <c r="D2028" s="3" t="str">
        <f>IFERROR(__xludf.DUMMYFUNCTION("""COMPUTED_VALUE"""),"K0K 1C0")</f>
        <v>K0K 1C0</v>
      </c>
      <c r="E2028" s="3" t="str">
        <f>IFERROR(__xludf.DUMMYFUNCTION("""COMPUTED_VALUE"""),"lee henry ")</f>
        <v>lee henry </v>
      </c>
      <c r="F2028" s="3" t="str">
        <f>IFERROR(__xludf.DUMMYFUNCTION("""COMPUTED_VALUE"""),"leehenry85@gmail.com")</f>
        <v>leehenry85@gmail.com</v>
      </c>
      <c r="G2028" s="3">
        <f>IFERROR(__xludf.DUMMYFUNCTION("""COMPUTED_VALUE"""),9.053968006E9)</f>
        <v>9053968006</v>
      </c>
      <c r="H2028" s="3">
        <f>IFERROR(__xludf.DUMMYFUNCTION("""COMPUTED_VALUE"""),9.052690956E9)</f>
        <v>9052690956</v>
      </c>
    </row>
    <row r="2029">
      <c r="A2029" s="2">
        <f>IFERROR(__xludf.DUMMYFUNCTION("""COMPUTED_VALUE"""),21155.0)</f>
        <v>21155</v>
      </c>
      <c r="B2029" s="3" t="str">
        <f>IFERROR(__xludf.DUMMYFUNCTION("""COMPUTED_VALUE"""),"5391 COUNTY RD 45")</f>
        <v>5391 COUNTY RD 45</v>
      </c>
      <c r="C2029" s="3" t="str">
        <f>IFERROR(__xludf.DUMMYFUNCTION("""COMPUTED_VALUE"""),"BALTIMORE")</f>
        <v>BALTIMORE</v>
      </c>
      <c r="D2029" s="3" t="str">
        <f>IFERROR(__xludf.DUMMYFUNCTION("""COMPUTED_VALUE"""),"K0K 1C0")</f>
        <v>K0K 1C0</v>
      </c>
      <c r="E2029" s="3" t="str">
        <f>IFERROR(__xludf.DUMMYFUNCTION("""COMPUTED_VALUE"""),"nick seaborn ")</f>
        <v>nick seaborn </v>
      </c>
      <c r="F2029" s="3" t="str">
        <f>IFERROR(__xludf.DUMMYFUNCTION("""COMPUTED_VALUE"""),"seabornnick2@gmail.com")</f>
        <v>seabornnick2@gmail.com</v>
      </c>
      <c r="G2029" s="3">
        <f>IFERROR(__xludf.DUMMYFUNCTION("""COMPUTED_VALUE"""),9.053750211E9)</f>
        <v>9053750211</v>
      </c>
      <c r="H2029" s="3">
        <f>IFERROR(__xludf.DUMMYFUNCTION("""COMPUTED_VALUE"""),9.057055754E9)</f>
        <v>9057055754</v>
      </c>
    </row>
    <row r="2030">
      <c r="A2030" s="2">
        <f>IFERROR(__xludf.DUMMYFUNCTION("""COMPUTED_VALUE"""),21156.0)</f>
        <v>21156</v>
      </c>
      <c r="B2030" s="3" t="str">
        <f>IFERROR(__xludf.DUMMYFUNCTION("""COMPUTED_VALUE"""),"5397 COUNTY RD 45")</f>
        <v>5397 COUNTY RD 45</v>
      </c>
      <c r="C2030" s="3" t="str">
        <f>IFERROR(__xludf.DUMMYFUNCTION("""COMPUTED_VALUE"""),"BALTIMORE")</f>
        <v>BALTIMORE</v>
      </c>
      <c r="D2030" s="3" t="str">
        <f>IFERROR(__xludf.DUMMYFUNCTION("""COMPUTED_VALUE"""),"K0K 1C0")</f>
        <v>K0K 1C0</v>
      </c>
      <c r="E2030" s="3"/>
      <c r="F2030" s="3"/>
      <c r="G2030" s="3"/>
      <c r="H2030" s="3"/>
    </row>
    <row r="2031">
      <c r="A2031" s="2">
        <f>IFERROR(__xludf.DUMMYFUNCTION("""COMPUTED_VALUE"""),22040.0)</f>
        <v>22040</v>
      </c>
      <c r="B2031" s="3" t="str">
        <f>IFERROR(__xludf.DUMMYFUNCTION("""COMPUTED_VALUE"""),"4034 HARWOOD RD")</f>
        <v>4034 HARWOOD RD</v>
      </c>
      <c r="C2031" s="3" t="str">
        <f>IFERROR(__xludf.DUMMYFUNCTION("""COMPUTED_VALUE"""),"BALTIMORE")</f>
        <v>BALTIMORE</v>
      </c>
      <c r="D2031" s="3" t="str">
        <f>IFERROR(__xludf.DUMMYFUNCTION("""COMPUTED_VALUE"""),"K0K 1C0")</f>
        <v>K0K 1C0</v>
      </c>
      <c r="E2031" s="3" t="str">
        <f>IFERROR(__xludf.DUMMYFUNCTION("""COMPUTED_VALUE"""),"gord minifie")</f>
        <v>gord minifie</v>
      </c>
      <c r="F2031" s="3" t="str">
        <f>IFERROR(__xludf.DUMMYFUNCTION("""COMPUTED_VALUE"""),"minifieg@yahoo.ca")</f>
        <v>minifieg@yahoo.ca</v>
      </c>
      <c r="G2031" s="3">
        <f>IFERROR(__xludf.DUMMYFUNCTION("""COMPUTED_VALUE"""),9.053425797E9)</f>
        <v>9053425797</v>
      </c>
      <c r="H2031" s="3"/>
    </row>
    <row r="2032">
      <c r="A2032" s="2">
        <f>IFERROR(__xludf.DUMMYFUNCTION("""COMPUTED_VALUE"""),22041.0)</f>
        <v>22041</v>
      </c>
      <c r="B2032" s="3" t="str">
        <f>IFERROR(__xludf.DUMMYFUNCTION("""COMPUTED_VALUE"""),"4038 HARWOOD RD")</f>
        <v>4038 HARWOOD RD</v>
      </c>
      <c r="C2032" s="3" t="str">
        <f>IFERROR(__xludf.DUMMYFUNCTION("""COMPUTED_VALUE"""),"BALTIMORE")</f>
        <v>BALTIMORE</v>
      </c>
      <c r="D2032" s="3" t="str">
        <f>IFERROR(__xludf.DUMMYFUNCTION("""COMPUTED_VALUE"""),"K0K 1C0")</f>
        <v>K0K 1C0</v>
      </c>
      <c r="E2032" s="3"/>
      <c r="F2032" s="3"/>
      <c r="G2032" s="3"/>
      <c r="H2032" s="3"/>
    </row>
    <row r="2033">
      <c r="A2033" s="2">
        <f>IFERROR(__xludf.DUMMYFUNCTION("""COMPUTED_VALUE"""),22042.0)</f>
        <v>22042</v>
      </c>
      <c r="B2033" s="3" t="str">
        <f>IFERROR(__xludf.DUMMYFUNCTION("""COMPUTED_VALUE"""),"4139 HARWOOD RD")</f>
        <v>4139 HARWOOD RD</v>
      </c>
      <c r="C2033" s="3" t="str">
        <f>IFERROR(__xludf.DUMMYFUNCTION("""COMPUTED_VALUE"""),"BALTIMORE")</f>
        <v>BALTIMORE</v>
      </c>
      <c r="D2033" s="3" t="str">
        <f>IFERROR(__xludf.DUMMYFUNCTION("""COMPUTED_VALUE"""),"K0K 1C0")</f>
        <v>K0K 1C0</v>
      </c>
      <c r="E2033" s="3" t="str">
        <f>IFERROR(__xludf.DUMMYFUNCTION("""COMPUTED_VALUE"""),"David Mcwhirter")</f>
        <v>David Mcwhirter</v>
      </c>
      <c r="F2033" s="3" t="str">
        <f>IFERROR(__xludf.DUMMYFUNCTION("""COMPUTED_VALUE"""),"thedamfarm2@gmail.com")</f>
        <v>thedamfarm2@gmail.com</v>
      </c>
      <c r="G2033" s="3">
        <f>IFERROR(__xludf.DUMMYFUNCTION("""COMPUTED_VALUE"""),9.053963146E9)</f>
        <v>9053963146</v>
      </c>
      <c r="H2033" s="3">
        <f>IFERROR(__xludf.DUMMYFUNCTION("""COMPUTED_VALUE"""),9.053963147E9)</f>
        <v>9053963147</v>
      </c>
    </row>
    <row r="2034">
      <c r="A2034" s="2">
        <f>IFERROR(__xludf.DUMMYFUNCTION("""COMPUTED_VALUE"""),22043.0)</f>
        <v>22043</v>
      </c>
      <c r="B2034" s="3" t="str">
        <f>IFERROR(__xludf.DUMMYFUNCTION("""COMPUTED_VALUE"""),"4142 HARWOOD RD")</f>
        <v>4142 HARWOOD RD</v>
      </c>
      <c r="C2034" s="3" t="str">
        <f>IFERROR(__xludf.DUMMYFUNCTION("""COMPUTED_VALUE"""),"BALTIMORE")</f>
        <v>BALTIMORE</v>
      </c>
      <c r="D2034" s="3" t="str">
        <f>IFERROR(__xludf.DUMMYFUNCTION("""COMPUTED_VALUE"""),"K0K 1C0")</f>
        <v>K0K 1C0</v>
      </c>
      <c r="E2034" s="3" t="str">
        <f>IFERROR(__xludf.DUMMYFUNCTION("""COMPUTED_VALUE"""),"kirk elder ")</f>
        <v>kirk elder </v>
      </c>
      <c r="F2034" s="3" t="str">
        <f>IFERROR(__xludf.DUMMYFUNCTION("""COMPUTED_VALUE"""),"canadianexcavating@gmail.com")</f>
        <v>canadianexcavating@gmail.com</v>
      </c>
      <c r="G2034" s="3">
        <f>IFERROR(__xludf.DUMMYFUNCTION("""COMPUTED_VALUE"""),9.053963177E9)</f>
        <v>9053963177</v>
      </c>
      <c r="H2034" s="3"/>
    </row>
    <row r="2035">
      <c r="A2035" s="2">
        <f>IFERROR(__xludf.DUMMYFUNCTION("""COMPUTED_VALUE"""),22044.0)</f>
        <v>22044</v>
      </c>
      <c r="B2035" s="3" t="str">
        <f>IFERROR(__xludf.DUMMYFUNCTION("""COMPUTED_VALUE"""),"4226 HARWOOD RD")</f>
        <v>4226 HARWOOD RD</v>
      </c>
      <c r="C2035" s="3" t="str">
        <f>IFERROR(__xludf.DUMMYFUNCTION("""COMPUTED_VALUE"""),"BALTIMORE")</f>
        <v>BALTIMORE</v>
      </c>
      <c r="D2035" s="3" t="str">
        <f>IFERROR(__xludf.DUMMYFUNCTION("""COMPUTED_VALUE"""),"K0K 1C0")</f>
        <v>K0K 1C0</v>
      </c>
      <c r="E2035" s="3" t="str">
        <f>IFERROR(__xludf.DUMMYFUNCTION("""COMPUTED_VALUE"""),"Stuart birney")</f>
        <v>Stuart birney</v>
      </c>
      <c r="F2035" s="3" t="str">
        <f>IFERROR(__xludf.DUMMYFUNCTION("""COMPUTED_VALUE"""),"Stuart_birney@live.ca")</f>
        <v>Stuart_birney@live.ca</v>
      </c>
      <c r="G2035" s="3">
        <f>IFERROR(__xludf.DUMMYFUNCTION("""COMPUTED_VALUE"""),9.05376082E9)</f>
        <v>9053760820</v>
      </c>
      <c r="H2035" s="3"/>
    </row>
    <row r="2036">
      <c r="A2036" s="2">
        <f>IFERROR(__xludf.DUMMYFUNCTION("""COMPUTED_VALUE"""),22045.0)</f>
        <v>22045</v>
      </c>
      <c r="B2036" s="3" t="str">
        <f>IFERROR(__xludf.DUMMYFUNCTION("""COMPUTED_VALUE"""),"4318 HARWOOD RD")</f>
        <v>4318 HARWOOD RD</v>
      </c>
      <c r="C2036" s="3" t="str">
        <f>IFERROR(__xludf.DUMMYFUNCTION("""COMPUTED_VALUE"""),"BALTIMORE")</f>
        <v>BALTIMORE</v>
      </c>
      <c r="D2036" s="3" t="str">
        <f>IFERROR(__xludf.DUMMYFUNCTION("""COMPUTED_VALUE"""),"K0K 1C0")</f>
        <v>K0K 1C0</v>
      </c>
      <c r="E2036" s="3" t="str">
        <f>IFERROR(__xludf.DUMMYFUNCTION("""COMPUTED_VALUE"""),"janet ali ")</f>
        <v>janet ali </v>
      </c>
      <c r="F2036" s="3" t="str">
        <f>IFERROR(__xludf.DUMMYFUNCTION("""COMPUTED_VALUE"""),"janetali09@gmail.com")</f>
        <v>janetali09@gmail.com</v>
      </c>
      <c r="G2036" s="3">
        <f>IFERROR(__xludf.DUMMYFUNCTION("""COMPUTED_VALUE"""),6.472487151E9)</f>
        <v>6472487151</v>
      </c>
      <c r="H2036" s="3"/>
    </row>
    <row r="2037">
      <c r="A2037" s="2">
        <f>IFERROR(__xludf.DUMMYFUNCTION("""COMPUTED_VALUE"""),22046.0)</f>
        <v>22046</v>
      </c>
      <c r="B2037" s="3" t="str">
        <f>IFERROR(__xludf.DUMMYFUNCTION("""COMPUTED_VALUE"""),"4363 HARWOOD RD")</f>
        <v>4363 HARWOOD RD</v>
      </c>
      <c r="C2037" s="3" t="str">
        <f>IFERROR(__xludf.DUMMYFUNCTION("""COMPUTED_VALUE"""),"BALTIMORE")</f>
        <v>BALTIMORE</v>
      </c>
      <c r="D2037" s="3" t="str">
        <f>IFERROR(__xludf.DUMMYFUNCTION("""COMPUTED_VALUE"""),"K0K 1C0")</f>
        <v>K0K 1C0</v>
      </c>
      <c r="E2037" s="3" t="str">
        <f>IFERROR(__xludf.DUMMYFUNCTION("""COMPUTED_VALUE"""),"pam and carmen tinney ")</f>
        <v>pam and carmen tinney </v>
      </c>
      <c r="F2037" s="3" t="str">
        <f>IFERROR(__xludf.DUMMYFUNCTION("""COMPUTED_VALUE"""),"cptinney@xplorenet.com ")</f>
        <v>cptinney@xplorenet.com </v>
      </c>
      <c r="G2037" s="3">
        <f>IFERROR(__xludf.DUMMYFUNCTION("""COMPUTED_VALUE"""),9.053962672E9)</f>
        <v>9053962672</v>
      </c>
      <c r="H2037" s="3"/>
    </row>
    <row r="2038">
      <c r="A2038" s="2">
        <f>IFERROR(__xludf.DUMMYFUNCTION("""COMPUTED_VALUE"""),22047.0)</f>
        <v>22047</v>
      </c>
      <c r="B2038" s="3" t="str">
        <f>IFERROR(__xludf.DUMMYFUNCTION("""COMPUTED_VALUE"""),"4385 HARWOOD RD")</f>
        <v>4385 HARWOOD RD</v>
      </c>
      <c r="C2038" s="3" t="str">
        <f>IFERROR(__xludf.DUMMYFUNCTION("""COMPUTED_VALUE"""),"BALTIMORE")</f>
        <v>BALTIMORE</v>
      </c>
      <c r="D2038" s="3" t="str">
        <f>IFERROR(__xludf.DUMMYFUNCTION("""COMPUTED_VALUE"""),"K0K 1C0")</f>
        <v>K0K 1C0</v>
      </c>
      <c r="E2038" s="3" t="str">
        <f>IFERROR(__xludf.DUMMYFUNCTION("""COMPUTED_VALUE"""),"ray&amp;donna grycko")</f>
        <v>ray&amp;donna grycko</v>
      </c>
      <c r="F2038" s="3" t="str">
        <f>IFERROR(__xludf.DUMMYFUNCTION("""COMPUTED_VALUE"""),"rgrycko@yahoo.ca")</f>
        <v>rgrycko@yahoo.ca</v>
      </c>
      <c r="G2038" s="3">
        <f>IFERROR(__xludf.DUMMYFUNCTION("""COMPUTED_VALUE"""),9.05342376E9)</f>
        <v>9053423760</v>
      </c>
      <c r="H2038" s="3">
        <f>IFERROR(__xludf.DUMMYFUNCTION("""COMPUTED_VALUE"""),7.057167498E9)</f>
        <v>7057167498</v>
      </c>
    </row>
    <row r="2039">
      <c r="A2039" s="2">
        <f>IFERROR(__xludf.DUMMYFUNCTION("""COMPUTED_VALUE"""),22048.0)</f>
        <v>22048</v>
      </c>
      <c r="B2039" s="3" t="str">
        <f>IFERROR(__xludf.DUMMYFUNCTION("""COMPUTED_VALUE"""),"4470 HARWOOD RD")</f>
        <v>4470 HARWOOD RD</v>
      </c>
      <c r="C2039" s="3" t="str">
        <f>IFERROR(__xludf.DUMMYFUNCTION("""COMPUTED_VALUE"""),"BALTIMORE")</f>
        <v>BALTIMORE</v>
      </c>
      <c r="D2039" s="3" t="str">
        <f>IFERROR(__xludf.DUMMYFUNCTION("""COMPUTED_VALUE"""),"K0K 1C0")</f>
        <v>K0K 1C0</v>
      </c>
      <c r="E2039" s="3" t="str">
        <f>IFERROR(__xludf.DUMMYFUNCTION("""COMPUTED_VALUE"""),"edward morewood")</f>
        <v>edward morewood</v>
      </c>
      <c r="F2039" s="3" t="str">
        <f>IFERROR(__xludf.DUMMYFUNCTION("""COMPUTED_VALUE"""),"emorewood@gmail.com")</f>
        <v>emorewood@gmail.com</v>
      </c>
      <c r="G2039" s="3">
        <f>IFERROR(__xludf.DUMMYFUNCTION("""COMPUTED_VALUE"""),2.892510187E9)</f>
        <v>2892510187</v>
      </c>
      <c r="H2039" s="3"/>
    </row>
    <row r="2040">
      <c r="A2040" s="2">
        <f>IFERROR(__xludf.DUMMYFUNCTION("""COMPUTED_VALUE"""),22049.0)</f>
        <v>22049</v>
      </c>
      <c r="B2040" s="3" t="str">
        <f>IFERROR(__xludf.DUMMYFUNCTION("""COMPUTED_VALUE"""),"4474 HARWOOD RD")</f>
        <v>4474 HARWOOD RD</v>
      </c>
      <c r="C2040" s="3" t="str">
        <f>IFERROR(__xludf.DUMMYFUNCTION("""COMPUTED_VALUE"""),"BALTIMORE")</f>
        <v>BALTIMORE</v>
      </c>
      <c r="D2040" s="3" t="str">
        <f>IFERROR(__xludf.DUMMYFUNCTION("""COMPUTED_VALUE"""),"K0K 1C0")</f>
        <v>K0K 1C0</v>
      </c>
      <c r="E2040" s="3"/>
      <c r="F2040" s="3"/>
      <c r="G2040" s="3"/>
      <c r="H2040" s="3"/>
    </row>
    <row r="2041">
      <c r="A2041" s="2">
        <f>IFERROR(__xludf.DUMMYFUNCTION("""COMPUTED_VALUE"""),22050.0)</f>
        <v>22050</v>
      </c>
      <c r="B2041" s="3" t="str">
        <f>IFERROR(__xludf.DUMMYFUNCTION("""COMPUTED_VALUE"""),"4498 HARWOOD RD")</f>
        <v>4498 HARWOOD RD</v>
      </c>
      <c r="C2041" s="3" t="str">
        <f>IFERROR(__xludf.DUMMYFUNCTION("""COMPUTED_VALUE"""),"BALTIMORE")</f>
        <v>BALTIMORE</v>
      </c>
      <c r="D2041" s="3" t="str">
        <f>IFERROR(__xludf.DUMMYFUNCTION("""COMPUTED_VALUE"""),"K0K 1C0")</f>
        <v>K0K 1C0</v>
      </c>
      <c r="E2041" s="3" t="str">
        <f>IFERROR(__xludf.DUMMYFUNCTION("""COMPUTED_VALUE"""),"rita reed ")</f>
        <v>rita reed </v>
      </c>
      <c r="F2041" s="3" t="str">
        <f>IFERROR(__xludf.DUMMYFUNCTION("""COMPUTED_VALUE"""),"swift-fox@hotmail.com")</f>
        <v>swift-fox@hotmail.com</v>
      </c>
      <c r="G2041" s="3">
        <f>IFERROR(__xludf.DUMMYFUNCTION("""COMPUTED_VALUE"""),9.053423142E9)</f>
        <v>9053423142</v>
      </c>
      <c r="H2041" s="3"/>
    </row>
    <row r="2042">
      <c r="A2042" s="2">
        <f>IFERROR(__xludf.DUMMYFUNCTION("""COMPUTED_VALUE"""),22051.0)</f>
        <v>22051</v>
      </c>
      <c r="B2042" s="3" t="str">
        <f>IFERROR(__xludf.DUMMYFUNCTION("""COMPUTED_VALUE"""),"4566 HARWOOD RD")</f>
        <v>4566 HARWOOD RD</v>
      </c>
      <c r="C2042" s="3" t="str">
        <f>IFERROR(__xludf.DUMMYFUNCTION("""COMPUTED_VALUE"""),"BALTIMORE")</f>
        <v>BALTIMORE</v>
      </c>
      <c r="D2042" s="3" t="str">
        <f>IFERROR(__xludf.DUMMYFUNCTION("""COMPUTED_VALUE"""),"K0K 1C0")</f>
        <v>K0K 1C0</v>
      </c>
      <c r="E2042" s="3"/>
      <c r="F2042" s="3"/>
      <c r="G2042" s="3"/>
      <c r="H2042" s="3"/>
    </row>
    <row r="2043">
      <c r="A2043" s="2">
        <f>IFERROR(__xludf.DUMMYFUNCTION("""COMPUTED_VALUE"""),22052.0)</f>
        <v>22052</v>
      </c>
      <c r="B2043" s="3" t="str">
        <f>IFERROR(__xludf.DUMMYFUNCTION("""COMPUTED_VALUE"""),"4594 HARWOOD RD")</f>
        <v>4594 HARWOOD RD</v>
      </c>
      <c r="C2043" s="3" t="str">
        <f>IFERROR(__xludf.DUMMYFUNCTION("""COMPUTED_VALUE"""),"BALTIMORE")</f>
        <v>BALTIMORE</v>
      </c>
      <c r="D2043" s="3" t="str">
        <f>IFERROR(__xludf.DUMMYFUNCTION("""COMPUTED_VALUE"""),"K0K 1C0")</f>
        <v>K0K 1C0</v>
      </c>
      <c r="E2043" s="3" t="str">
        <f>IFERROR(__xludf.DUMMYFUNCTION("""COMPUTED_VALUE"""),"luke biener ")</f>
        <v>luke biener </v>
      </c>
      <c r="F2043" s="3" t="str">
        <f>IFERROR(__xludf.DUMMYFUNCTION("""COMPUTED_VALUE"""),"lukebiener5@gmail.com")</f>
        <v>lukebiener5@gmail.com</v>
      </c>
      <c r="G2043" s="3">
        <f>IFERROR(__xludf.DUMMYFUNCTION("""COMPUTED_VALUE"""),9.053766557E9)</f>
        <v>9053766557</v>
      </c>
      <c r="H2043" s="3">
        <f>IFERROR(__xludf.DUMMYFUNCTION("""COMPUTED_VALUE"""),9.053769809E9)</f>
        <v>9053769809</v>
      </c>
    </row>
    <row r="2044">
      <c r="A2044" s="2">
        <f>IFERROR(__xludf.DUMMYFUNCTION("""COMPUTED_VALUE"""),22053.0)</f>
        <v>22053</v>
      </c>
      <c r="B2044" s="3" t="str">
        <f>IFERROR(__xludf.DUMMYFUNCTION("""COMPUTED_VALUE"""),"4608 HARWOOD RD")</f>
        <v>4608 HARWOOD RD</v>
      </c>
      <c r="C2044" s="3" t="str">
        <f>IFERROR(__xludf.DUMMYFUNCTION("""COMPUTED_VALUE"""),"BALTIMORE")</f>
        <v>BALTIMORE</v>
      </c>
      <c r="D2044" s="3" t="str">
        <f>IFERROR(__xludf.DUMMYFUNCTION("""COMPUTED_VALUE"""),"K0K 1C0")</f>
        <v>K0K 1C0</v>
      </c>
      <c r="E2044" s="3" t="str">
        <f>IFERROR(__xludf.DUMMYFUNCTION("""COMPUTED_VALUE"""),"ADAM BRASENELL")</f>
        <v>ADAM BRASENELL</v>
      </c>
      <c r="F2044" s="3" t="str">
        <f>IFERROR(__xludf.DUMMYFUNCTION("""COMPUTED_VALUE"""),"adam.brasenell@hotmail.com")</f>
        <v>adam.brasenell@hotmail.com</v>
      </c>
      <c r="G2044" s="3">
        <f>IFERROR(__xludf.DUMMYFUNCTION("""COMPUTED_VALUE"""),9.054405338E9)</f>
        <v>9054405338</v>
      </c>
      <c r="H2044" s="3"/>
    </row>
    <row r="2045">
      <c r="A2045" s="2">
        <f>IFERROR(__xludf.DUMMYFUNCTION("""COMPUTED_VALUE"""),22054.0)</f>
        <v>22054</v>
      </c>
      <c r="B2045" s="3" t="str">
        <f>IFERROR(__xludf.DUMMYFUNCTION("""COMPUTED_VALUE"""),"4662 HARWOOD RD")</f>
        <v>4662 HARWOOD RD</v>
      </c>
      <c r="C2045" s="3" t="str">
        <f>IFERROR(__xludf.DUMMYFUNCTION("""COMPUTED_VALUE"""),"BALTIMORE")</f>
        <v>BALTIMORE</v>
      </c>
      <c r="D2045" s="3" t="str">
        <f>IFERROR(__xludf.DUMMYFUNCTION("""COMPUTED_VALUE"""),"K0K 1C0")</f>
        <v>K0K 1C0</v>
      </c>
      <c r="E2045" s="3" t="str">
        <f>IFERROR(__xludf.DUMMYFUNCTION("""COMPUTED_VALUE"""),"karden&amp;dale hall ")</f>
        <v>karden&amp;dale hall </v>
      </c>
      <c r="F2045" s="3" t="str">
        <f>IFERROR(__xludf.DUMMYFUNCTION("""COMPUTED_VALUE"""),"kardencarolynhall@gmail.com")</f>
        <v>kardencarolynhall@gmail.com</v>
      </c>
      <c r="G2045" s="3">
        <f>IFERROR(__xludf.DUMMYFUNCTION("""COMPUTED_VALUE"""),9.053423755E9)</f>
        <v>9053423755</v>
      </c>
      <c r="H2045" s="3">
        <f>IFERROR(__xludf.DUMMYFUNCTION("""COMPUTED_VALUE"""),9.053739695E9)</f>
        <v>9053739695</v>
      </c>
    </row>
    <row r="2046">
      <c r="A2046" s="2">
        <f>IFERROR(__xludf.DUMMYFUNCTION("""COMPUTED_VALUE"""),22055.0)</f>
        <v>22055</v>
      </c>
      <c r="B2046" s="3" t="str">
        <f>IFERROR(__xludf.DUMMYFUNCTION("""COMPUTED_VALUE"""),"4688 HARWOOD RD")</f>
        <v>4688 HARWOOD RD</v>
      </c>
      <c r="C2046" s="3" t="str">
        <f>IFERROR(__xludf.DUMMYFUNCTION("""COMPUTED_VALUE"""),"BALTIMORE")</f>
        <v>BALTIMORE</v>
      </c>
      <c r="D2046" s="3" t="str">
        <f>IFERROR(__xludf.DUMMYFUNCTION("""COMPUTED_VALUE"""),"K0K 1C0")</f>
        <v>K0K 1C0</v>
      </c>
      <c r="E2046" s="3" t="str">
        <f>IFERROR(__xludf.DUMMYFUNCTION("""COMPUTED_VALUE"""),"nicole gibson ")</f>
        <v>nicole gibson </v>
      </c>
      <c r="F2046" s="3" t="str">
        <f>IFERROR(__xludf.DUMMYFUNCTION("""COMPUTED_VALUE"""),"shanicgibson@gmail.com")</f>
        <v>shanicgibson@gmail.com</v>
      </c>
      <c r="G2046" s="3">
        <f>IFERROR(__xludf.DUMMYFUNCTION("""COMPUTED_VALUE"""),9.053425775E9)</f>
        <v>9053425775</v>
      </c>
      <c r="H2046" s="3">
        <f>IFERROR(__xludf.DUMMYFUNCTION("""COMPUTED_VALUE"""),2.896915775E9)</f>
        <v>2896915775</v>
      </c>
    </row>
    <row r="2047">
      <c r="A2047" s="2">
        <f>IFERROR(__xludf.DUMMYFUNCTION("""COMPUTED_VALUE"""),22056.0)</f>
        <v>22056</v>
      </c>
      <c r="B2047" s="3" t="str">
        <f>IFERROR(__xludf.DUMMYFUNCTION("""COMPUTED_VALUE"""),"4698 HARWOOD RD")</f>
        <v>4698 HARWOOD RD</v>
      </c>
      <c r="C2047" s="3" t="str">
        <f>IFERROR(__xludf.DUMMYFUNCTION("""COMPUTED_VALUE"""),"BALTIMORE")</f>
        <v>BALTIMORE</v>
      </c>
      <c r="D2047" s="3" t="str">
        <f>IFERROR(__xludf.DUMMYFUNCTION("""COMPUTED_VALUE"""),"K0K 1C0")</f>
        <v>K0K 1C0</v>
      </c>
      <c r="E2047" s="3" t="str">
        <f>IFERROR(__xludf.DUMMYFUNCTION("""COMPUTED_VALUE"""),"nelson harvey ")</f>
        <v>nelson harvey </v>
      </c>
      <c r="F2047" s="3" t="str">
        <f>IFERROR(__xludf.DUMMYFUNCTION("""COMPUTED_VALUE"""),"nelsonharvey@gmail.com")</f>
        <v>nelsonharvey@gmail.com</v>
      </c>
      <c r="G2047" s="3">
        <f>IFERROR(__xludf.DUMMYFUNCTION("""COMPUTED_VALUE"""),9.053758436E9)</f>
        <v>9053758436</v>
      </c>
      <c r="H2047" s="3"/>
    </row>
    <row r="2048">
      <c r="A2048" s="2">
        <f>IFERROR(__xludf.DUMMYFUNCTION("""COMPUTED_VALUE"""),22057.0)</f>
        <v>22057</v>
      </c>
      <c r="B2048" s="3" t="str">
        <f>IFERROR(__xludf.DUMMYFUNCTION("""COMPUTED_VALUE"""),"4706 HARWOOD RD")</f>
        <v>4706 HARWOOD RD</v>
      </c>
      <c r="C2048" s="3" t="str">
        <f>IFERROR(__xludf.DUMMYFUNCTION("""COMPUTED_VALUE"""),"BALTIMORE")</f>
        <v>BALTIMORE</v>
      </c>
      <c r="D2048" s="3" t="str">
        <f>IFERROR(__xludf.DUMMYFUNCTION("""COMPUTED_VALUE"""),"K0K 1C0")</f>
        <v>K0K 1C0</v>
      </c>
      <c r="E2048" s="3" t="str">
        <f>IFERROR(__xludf.DUMMYFUNCTION("""COMPUTED_VALUE"""),"JEFF M BALDINI")</f>
        <v>JEFF M BALDINI</v>
      </c>
      <c r="F2048" s="3" t="str">
        <f>IFERROR(__xludf.DUMMYFUNCTION("""COMPUTED_VALUE"""),"jbaldini2@gmail.com")</f>
        <v>jbaldini2@gmail.com</v>
      </c>
      <c r="G2048" s="3"/>
      <c r="H2048" s="3"/>
    </row>
    <row r="2049">
      <c r="A2049" s="2">
        <f>IFERROR(__xludf.DUMMYFUNCTION("""COMPUTED_VALUE"""),22058.0)</f>
        <v>22058</v>
      </c>
      <c r="B2049" s="3" t="str">
        <f>IFERROR(__xludf.DUMMYFUNCTION("""COMPUTED_VALUE"""),"4714 HARWOOD RD")</f>
        <v>4714 HARWOOD RD</v>
      </c>
      <c r="C2049" s="3" t="str">
        <f>IFERROR(__xludf.DUMMYFUNCTION("""COMPUTED_VALUE"""),"BALTIMORE")</f>
        <v>BALTIMORE</v>
      </c>
      <c r="D2049" s="3" t="str">
        <f>IFERROR(__xludf.DUMMYFUNCTION("""COMPUTED_VALUE"""),"K0K 1C0")</f>
        <v>K0K 1C0</v>
      </c>
      <c r="E2049" s="3" t="str">
        <f>IFERROR(__xludf.DUMMYFUNCTION("""COMPUTED_VALUE"""),"catie mcgarrity ")</f>
        <v>catie mcgarrity </v>
      </c>
      <c r="F2049" s="3" t="str">
        <f>IFERROR(__xludf.DUMMYFUNCTION("""COMPUTED_VALUE"""),"clash911@gmail.com")</f>
        <v>clash911@gmail.com</v>
      </c>
      <c r="G2049" s="3">
        <f>IFERROR(__xludf.DUMMYFUNCTION("""COMPUTED_VALUE"""),2.892513362E9)</f>
        <v>2892513362</v>
      </c>
      <c r="H2049" s="3">
        <f>IFERROR(__xludf.DUMMYFUNCTION("""COMPUTED_VALUE"""),2.892513361E9)</f>
        <v>2892513361</v>
      </c>
    </row>
    <row r="2050">
      <c r="A2050" s="2">
        <f>IFERROR(__xludf.DUMMYFUNCTION("""COMPUTED_VALUE"""),22059.0)</f>
        <v>22059</v>
      </c>
      <c r="B2050" s="3" t="str">
        <f>IFERROR(__xludf.DUMMYFUNCTION("""COMPUTED_VALUE"""),"4722 HARWOOD RD")</f>
        <v>4722 HARWOOD RD</v>
      </c>
      <c r="C2050" s="3" t="str">
        <f>IFERROR(__xludf.DUMMYFUNCTION("""COMPUTED_VALUE"""),"BALTIMORE")</f>
        <v>BALTIMORE</v>
      </c>
      <c r="D2050" s="3" t="str">
        <f>IFERROR(__xludf.DUMMYFUNCTION("""COMPUTED_VALUE"""),"K0K 1C0")</f>
        <v>K0K 1C0</v>
      </c>
      <c r="E2050" s="3" t="str">
        <f>IFERROR(__xludf.DUMMYFUNCTION("""COMPUTED_VALUE"""),"Tracy Collins")</f>
        <v>Tracy Collins</v>
      </c>
      <c r="F2050" s="3" t="str">
        <f>IFERROR(__xludf.DUMMYFUNCTION("""COMPUTED_VALUE"""),"littlered34@hotmail.ca")</f>
        <v>littlered34@hotmail.ca</v>
      </c>
      <c r="G2050" s="3">
        <f>IFERROR(__xludf.DUMMYFUNCTION("""COMPUTED_VALUE"""),2.892510213E9)</f>
        <v>2892510213</v>
      </c>
      <c r="H2050" s="3"/>
    </row>
    <row r="2051">
      <c r="A2051" s="2">
        <f>IFERROR(__xludf.DUMMYFUNCTION("""COMPUTED_VALUE"""),22060.0)</f>
        <v>22060</v>
      </c>
      <c r="B2051" s="3" t="str">
        <f>IFERROR(__xludf.DUMMYFUNCTION("""COMPUTED_VALUE"""),"4782 HARWOOD RD")</f>
        <v>4782 HARWOOD RD</v>
      </c>
      <c r="C2051" s="3" t="str">
        <f>IFERROR(__xludf.DUMMYFUNCTION("""COMPUTED_VALUE"""),"BALTIMORE")</f>
        <v>BALTIMORE</v>
      </c>
      <c r="D2051" s="3" t="str">
        <f>IFERROR(__xludf.DUMMYFUNCTION("""COMPUTED_VALUE"""),"K0K 1C0")</f>
        <v>K0K 1C0</v>
      </c>
      <c r="E2051" s="3"/>
      <c r="F2051" s="3"/>
      <c r="G2051" s="3"/>
      <c r="H2051" s="3"/>
    </row>
    <row r="2052">
      <c r="A2052" s="2">
        <f>IFERROR(__xludf.DUMMYFUNCTION("""COMPUTED_VALUE"""),22061.0)</f>
        <v>22061</v>
      </c>
      <c r="B2052" s="3" t="str">
        <f>IFERROR(__xludf.DUMMYFUNCTION("""COMPUTED_VALUE"""),"4855 HARWOOD RD")</f>
        <v>4855 HARWOOD RD</v>
      </c>
      <c r="C2052" s="3" t="str">
        <f>IFERROR(__xludf.DUMMYFUNCTION("""COMPUTED_VALUE"""),"BALTIMORE")</f>
        <v>BALTIMORE</v>
      </c>
      <c r="D2052" s="3" t="str">
        <f>IFERROR(__xludf.DUMMYFUNCTION("""COMPUTED_VALUE"""),"K0K 1C0")</f>
        <v>K0K 1C0</v>
      </c>
      <c r="E2052" s="3" t="str">
        <f>IFERROR(__xludf.DUMMYFUNCTION("""COMPUTED_VALUE"""),"kneppeck ")</f>
        <v>kneppeck </v>
      </c>
      <c r="F2052" s="3" t="str">
        <f>IFERROR(__xludf.DUMMYFUNCTION("""COMPUTED_VALUE"""),"bitovwit@hotmail.com")</f>
        <v>bitovwit@hotmail.com</v>
      </c>
      <c r="G2052" s="3">
        <f>IFERROR(__xludf.DUMMYFUNCTION("""COMPUTED_VALUE"""),2.892518833E9)</f>
        <v>2892518833</v>
      </c>
      <c r="H2052" s="3"/>
    </row>
    <row r="2053">
      <c r="A2053" s="2">
        <f>IFERROR(__xludf.DUMMYFUNCTION("""COMPUTED_VALUE"""),22062.0)</f>
        <v>22062</v>
      </c>
      <c r="B2053" s="3" t="str">
        <f>IFERROR(__xludf.DUMMYFUNCTION("""COMPUTED_VALUE"""),"4882 HARWOOD RD")</f>
        <v>4882 HARWOOD RD</v>
      </c>
      <c r="C2053" s="3" t="str">
        <f>IFERROR(__xludf.DUMMYFUNCTION("""COMPUTED_VALUE"""),"BALTIMORE")</f>
        <v>BALTIMORE</v>
      </c>
      <c r="D2053" s="3" t="str">
        <f>IFERROR(__xludf.DUMMYFUNCTION("""COMPUTED_VALUE"""),"K0K 1C0")</f>
        <v>K0K 1C0</v>
      </c>
      <c r="E2053" s="3"/>
      <c r="F2053" s="3"/>
      <c r="G2053" s="3"/>
      <c r="H2053" s="3"/>
    </row>
    <row r="2054">
      <c r="A2054" s="2">
        <f>IFERROR(__xludf.DUMMYFUNCTION("""COMPUTED_VALUE"""),22063.0)</f>
        <v>22063</v>
      </c>
      <c r="B2054" s="3" t="str">
        <f>IFERROR(__xludf.DUMMYFUNCTION("""COMPUTED_VALUE"""),"4924 HARWOOD RD")</f>
        <v>4924 HARWOOD RD</v>
      </c>
      <c r="C2054" s="3" t="str">
        <f>IFERROR(__xludf.DUMMYFUNCTION("""COMPUTED_VALUE"""),"BALTIMORE")</f>
        <v>BALTIMORE</v>
      </c>
      <c r="D2054" s="3" t="str">
        <f>IFERROR(__xludf.DUMMYFUNCTION("""COMPUTED_VALUE"""),"K0K 1C0")</f>
        <v>K0K 1C0</v>
      </c>
      <c r="E2054" s="3" t="str">
        <f>IFERROR(__xludf.DUMMYFUNCTION("""COMPUTED_VALUE"""),"scott minife")</f>
        <v>scott minife</v>
      </c>
      <c r="F2054" s="3" t="str">
        <f>IFERROR(__xludf.DUMMYFUNCTION("""COMPUTED_VALUE"""),"scottminife@hotmail.com")</f>
        <v>scottminife@hotmail.com</v>
      </c>
      <c r="G2054" s="3">
        <f>IFERROR(__xludf.DUMMYFUNCTION("""COMPUTED_VALUE"""),9.053963009E9)</f>
        <v>9053963009</v>
      </c>
      <c r="H2054" s="3"/>
    </row>
    <row r="2055">
      <c r="A2055" s="2">
        <f>IFERROR(__xludf.DUMMYFUNCTION("""COMPUTED_VALUE"""),22064.0)</f>
        <v>22064</v>
      </c>
      <c r="B2055" s="3" t="str">
        <f>IFERROR(__xludf.DUMMYFUNCTION("""COMPUTED_VALUE"""),"5012 HARWOOD RD")</f>
        <v>5012 HARWOOD RD</v>
      </c>
      <c r="C2055" s="3" t="str">
        <f>IFERROR(__xludf.DUMMYFUNCTION("""COMPUTED_VALUE"""),"BALTIMORE")</f>
        <v>BALTIMORE</v>
      </c>
      <c r="D2055" s="3" t="str">
        <f>IFERROR(__xludf.DUMMYFUNCTION("""COMPUTED_VALUE"""),"K0K 1C0")</f>
        <v>K0K 1C0</v>
      </c>
      <c r="E2055" s="3" t="str">
        <f>IFERROR(__xludf.DUMMYFUNCTION("""COMPUTED_VALUE"""),"Kevin Pratt")</f>
        <v>Kevin Pratt</v>
      </c>
      <c r="F2055" s="3" t="str">
        <f>IFERROR(__xludf.DUMMYFUNCTION("""COMPUTED_VALUE"""),"prattsheating@gmail.com")</f>
        <v>prattsheating@gmail.com</v>
      </c>
      <c r="G2055" s="3">
        <f>IFERROR(__xludf.DUMMYFUNCTION("""COMPUTED_VALUE"""),9.05914099E9)</f>
        <v>9059140990</v>
      </c>
      <c r="H2055" s="3"/>
    </row>
    <row r="2056">
      <c r="A2056" s="2">
        <f>IFERROR(__xludf.DUMMYFUNCTION("""COMPUTED_VALUE"""),22065.0)</f>
        <v>22065</v>
      </c>
      <c r="B2056" s="3" t="str">
        <f>IFERROR(__xludf.DUMMYFUNCTION("""COMPUTED_VALUE"""),"5024 HARWOOD RD")</f>
        <v>5024 HARWOOD RD</v>
      </c>
      <c r="C2056" s="3" t="str">
        <f>IFERROR(__xludf.DUMMYFUNCTION("""COMPUTED_VALUE"""),"HARWOOD")</f>
        <v>HARWOOD</v>
      </c>
      <c r="D2056" s="3" t="str">
        <f>IFERROR(__xludf.DUMMYFUNCTION("""COMPUTED_VALUE"""),"K0K 2H0")</f>
        <v>K0K 2H0</v>
      </c>
      <c r="E2056" s="3" t="str">
        <f>IFERROR(__xludf.DUMMYFUNCTION("""COMPUTED_VALUE"""),"lynn macrae ")</f>
        <v>lynn macrae </v>
      </c>
      <c r="F2056" s="3"/>
      <c r="G2056" s="3">
        <f>IFERROR(__xludf.DUMMYFUNCTION("""COMPUTED_VALUE"""),9.053425159E9)</f>
        <v>9053425159</v>
      </c>
      <c r="H2056" s="3"/>
    </row>
    <row r="2057">
      <c r="A2057" s="2">
        <f>IFERROR(__xludf.DUMMYFUNCTION("""COMPUTED_VALUE"""),22066.0)</f>
        <v>22066</v>
      </c>
      <c r="B2057" s="3" t="str">
        <f>IFERROR(__xludf.DUMMYFUNCTION("""COMPUTED_VALUE"""),"5060 HARWOOD RD")</f>
        <v>5060 HARWOOD RD</v>
      </c>
      <c r="C2057" s="3" t="str">
        <f>IFERROR(__xludf.DUMMYFUNCTION("""COMPUTED_VALUE"""),"HARWOOD")</f>
        <v>HARWOOD</v>
      </c>
      <c r="D2057" s="3" t="str">
        <f>IFERROR(__xludf.DUMMYFUNCTION("""COMPUTED_VALUE"""),"K0K 2H0")</f>
        <v>K0K 2H0</v>
      </c>
      <c r="E2057" s="3"/>
      <c r="F2057" s="3"/>
      <c r="G2057" s="3"/>
      <c r="H2057" s="3"/>
    </row>
    <row r="2058">
      <c r="A2058" s="2">
        <f>IFERROR(__xludf.DUMMYFUNCTION("""COMPUTED_VALUE"""),22067.0)</f>
        <v>22067</v>
      </c>
      <c r="B2058" s="3" t="str">
        <f>IFERROR(__xludf.DUMMYFUNCTION("""COMPUTED_VALUE"""),"5080 HARWOOD RD")</f>
        <v>5080 HARWOOD RD</v>
      </c>
      <c r="C2058" s="3" t="str">
        <f>IFERROR(__xludf.DUMMYFUNCTION("""COMPUTED_VALUE"""),"HARWOOD")</f>
        <v>HARWOOD</v>
      </c>
      <c r="D2058" s="3" t="str">
        <f>IFERROR(__xludf.DUMMYFUNCTION("""COMPUTED_VALUE"""),"K0K 2H0")</f>
        <v>K0K 2H0</v>
      </c>
      <c r="E2058" s="3"/>
      <c r="F2058" s="3"/>
      <c r="G2058" s="3"/>
      <c r="H2058" s="3"/>
    </row>
    <row r="2059">
      <c r="A2059" s="2">
        <f>IFERROR(__xludf.DUMMYFUNCTION("""COMPUTED_VALUE"""),22068.0)</f>
        <v>22068</v>
      </c>
      <c r="B2059" s="3" t="str">
        <f>IFERROR(__xludf.DUMMYFUNCTION("""COMPUTED_VALUE"""),"5102 HARWOOD RD")</f>
        <v>5102 HARWOOD RD</v>
      </c>
      <c r="C2059" s="3" t="str">
        <f>IFERROR(__xludf.DUMMYFUNCTION("""COMPUTED_VALUE"""),"HARWOOD")</f>
        <v>HARWOOD</v>
      </c>
      <c r="D2059" s="3" t="str">
        <f>IFERROR(__xludf.DUMMYFUNCTION("""COMPUTED_VALUE"""),"K0K 2H0")</f>
        <v>K0K 2H0</v>
      </c>
      <c r="E2059" s="3"/>
      <c r="F2059" s="3"/>
      <c r="G2059" s="3"/>
      <c r="H2059" s="3"/>
    </row>
    <row r="2060">
      <c r="A2060" s="2">
        <f>IFERROR(__xludf.DUMMYFUNCTION("""COMPUTED_VALUE"""),22069.0)</f>
        <v>22069</v>
      </c>
      <c r="B2060" s="3" t="str">
        <f>IFERROR(__xludf.DUMMYFUNCTION("""COMPUTED_VALUE"""),"5319 HARWOOD RD")</f>
        <v>5319 HARWOOD RD</v>
      </c>
      <c r="C2060" s="3" t="str">
        <f>IFERROR(__xludf.DUMMYFUNCTION("""COMPUTED_VALUE"""),"HARWOOD")</f>
        <v>HARWOOD</v>
      </c>
      <c r="D2060" s="3" t="str">
        <f>IFERROR(__xludf.DUMMYFUNCTION("""COMPUTED_VALUE"""),"K0K 2H0")</f>
        <v>K0K 2H0</v>
      </c>
      <c r="E2060" s="3"/>
      <c r="F2060" s="3"/>
      <c r="G2060" s="3"/>
      <c r="H2060" s="3"/>
    </row>
    <row r="2061">
      <c r="A2061" s="2">
        <f>IFERROR(__xludf.DUMMYFUNCTION("""COMPUTED_VALUE"""),22070.0)</f>
        <v>22070</v>
      </c>
      <c r="B2061" s="3" t="str">
        <f>IFERROR(__xludf.DUMMYFUNCTION("""COMPUTED_VALUE"""),"5325 HARWOOD RD")</f>
        <v>5325 HARWOOD RD</v>
      </c>
      <c r="C2061" s="3" t="str">
        <f>IFERROR(__xludf.DUMMYFUNCTION("""COMPUTED_VALUE"""),"HARWOOD")</f>
        <v>HARWOOD</v>
      </c>
      <c r="D2061" s="3" t="str">
        <f>IFERROR(__xludf.DUMMYFUNCTION("""COMPUTED_VALUE"""),"K0K 2H0")</f>
        <v>K0K 2H0</v>
      </c>
      <c r="E2061" s="3" t="str">
        <f>IFERROR(__xludf.DUMMYFUNCTION("""COMPUTED_VALUE"""),"Kirk&amp;karen Cork")</f>
        <v>Kirk&amp;karen Cork</v>
      </c>
      <c r="F2061" s="3" t="str">
        <f>IFERROR(__xludf.DUMMYFUNCTION("""COMPUTED_VALUE"""),"kkrcork@hotmail.com")</f>
        <v>kkrcork@hotmail.com</v>
      </c>
      <c r="G2061" s="3">
        <f>IFERROR(__xludf.DUMMYFUNCTION("""COMPUTED_VALUE"""),9.053767275E9)</f>
        <v>9053767275</v>
      </c>
      <c r="H2061" s="3">
        <f>IFERROR(__xludf.DUMMYFUNCTION("""COMPUTED_VALUE"""),9.05378448E8)</f>
        <v>905378448</v>
      </c>
    </row>
    <row r="2062">
      <c r="A2062" s="2">
        <f>IFERROR(__xludf.DUMMYFUNCTION("""COMPUTED_VALUE"""),22071.0)</f>
        <v>22071</v>
      </c>
      <c r="B2062" s="3" t="str">
        <f>IFERROR(__xludf.DUMMYFUNCTION("""COMPUTED_VALUE"""),"5331 HARWOOD RD")</f>
        <v>5331 HARWOOD RD</v>
      </c>
      <c r="C2062" s="3" t="str">
        <f>IFERROR(__xludf.DUMMYFUNCTION("""COMPUTED_VALUE"""),"HARWOOD")</f>
        <v>HARWOOD</v>
      </c>
      <c r="D2062" s="3" t="str">
        <f>IFERROR(__xludf.DUMMYFUNCTION("""COMPUTED_VALUE"""),"K0K 2H0")</f>
        <v>K0K 2H0</v>
      </c>
      <c r="E2062" s="3" t="str">
        <f>IFERROR(__xludf.DUMMYFUNCTION("""COMPUTED_VALUE"""),"rob may ")</f>
        <v>rob may </v>
      </c>
      <c r="F2062" s="3" t="str">
        <f>IFERROR(__xludf.DUMMYFUNCTION("""COMPUTED_VALUE"""),"davisray709@gmail.com&gt;")</f>
        <v>davisray709@gmail.com&gt;</v>
      </c>
      <c r="G2062" s="3">
        <f>IFERROR(__xludf.DUMMYFUNCTION("""COMPUTED_VALUE"""),9.053425633E9)</f>
        <v>9053425633</v>
      </c>
      <c r="H2062" s="3">
        <f>IFERROR(__xludf.DUMMYFUNCTION("""COMPUTED_VALUE"""),2.894041742E9)</f>
        <v>2894041742</v>
      </c>
    </row>
    <row r="2063">
      <c r="A2063" s="2">
        <f>IFERROR(__xludf.DUMMYFUNCTION("""COMPUTED_VALUE"""),22072.0)</f>
        <v>22072</v>
      </c>
      <c r="B2063" s="3" t="str">
        <f>IFERROR(__xludf.DUMMYFUNCTION("""COMPUTED_VALUE"""),"5350 HARWOOD RD")</f>
        <v>5350 HARWOOD RD</v>
      </c>
      <c r="C2063" s="3" t="str">
        <f>IFERROR(__xludf.DUMMYFUNCTION("""COMPUTED_VALUE"""),"HARWOOD")</f>
        <v>HARWOOD</v>
      </c>
      <c r="D2063" s="3" t="str">
        <f>IFERROR(__xludf.DUMMYFUNCTION("""COMPUTED_VALUE"""),"K0K 2H0")</f>
        <v>K0K 2H0</v>
      </c>
      <c r="E2063" s="3" t="str">
        <f>IFERROR(__xludf.DUMMYFUNCTION("""COMPUTED_VALUE"""),"Sam Jex")</f>
        <v>Sam Jex</v>
      </c>
      <c r="F2063" s="3" t="str">
        <f>IFERROR(__xludf.DUMMYFUNCTION("""COMPUTED_VALUE"""),"sjex5@icloud.com")</f>
        <v>sjex5@icloud.com</v>
      </c>
      <c r="G2063" s="3">
        <f>IFERROR(__xludf.DUMMYFUNCTION("""COMPUTED_VALUE"""),9.053738013E9)</f>
        <v>9053738013</v>
      </c>
      <c r="H2063" s="3"/>
    </row>
    <row r="2064">
      <c r="A2064" s="2">
        <f>IFERROR(__xludf.DUMMYFUNCTION("""COMPUTED_VALUE"""),22073.0)</f>
        <v>22073</v>
      </c>
      <c r="B2064" s="3" t="str">
        <f>IFERROR(__xludf.DUMMYFUNCTION("""COMPUTED_VALUE"""),"5356 HARWOOD RD")</f>
        <v>5356 HARWOOD RD</v>
      </c>
      <c r="C2064" s="3" t="str">
        <f>IFERROR(__xludf.DUMMYFUNCTION("""COMPUTED_VALUE"""),"HARWOOD")</f>
        <v>HARWOOD</v>
      </c>
      <c r="D2064" s="3" t="str">
        <f>IFERROR(__xludf.DUMMYFUNCTION("""COMPUTED_VALUE"""),"K0K 2H0")</f>
        <v>K0K 2H0</v>
      </c>
      <c r="E2064" s="3"/>
      <c r="F2064" s="3"/>
      <c r="G2064" s="3"/>
      <c r="H2064" s="3"/>
    </row>
    <row r="2065">
      <c r="A2065" s="2">
        <f>IFERROR(__xludf.DUMMYFUNCTION("""COMPUTED_VALUE"""),22074.0)</f>
        <v>22074</v>
      </c>
      <c r="B2065" s="3" t="str">
        <f>IFERROR(__xludf.DUMMYFUNCTION("""COMPUTED_VALUE"""),"5358 HARWOOD RD")</f>
        <v>5358 HARWOOD RD</v>
      </c>
      <c r="C2065" s="3" t="str">
        <f>IFERROR(__xludf.DUMMYFUNCTION("""COMPUTED_VALUE"""),"HARWOOD")</f>
        <v>HARWOOD</v>
      </c>
      <c r="D2065" s="3" t="str">
        <f>IFERROR(__xludf.DUMMYFUNCTION("""COMPUTED_VALUE"""),"K0K 2H0")</f>
        <v>K0K 2H0</v>
      </c>
      <c r="E2065" s="3" t="str">
        <f>IFERROR(__xludf.DUMMYFUNCTION("""COMPUTED_VALUE"""),"sarah&amp;ben parisien")</f>
        <v>sarah&amp;ben parisien</v>
      </c>
      <c r="F2065" s="3" t="str">
        <f>IFERROR(__xludf.DUMMYFUNCTION("""COMPUTED_VALUE"""),"benparisien@outlook.com")</f>
        <v>benparisien@outlook.com</v>
      </c>
      <c r="G2065" s="3">
        <f>IFERROR(__xludf.DUMMYFUNCTION("""COMPUTED_VALUE"""),2.896910951E9)</f>
        <v>2896910951</v>
      </c>
      <c r="H2065" s="3"/>
    </row>
    <row r="2066">
      <c r="A2066" s="2">
        <f>IFERROR(__xludf.DUMMYFUNCTION("""COMPUTED_VALUE"""),22075.0)</f>
        <v>22075</v>
      </c>
      <c r="B2066" s="3" t="str">
        <f>IFERROR(__xludf.DUMMYFUNCTION("""COMPUTED_VALUE"""),"5364 HARWOOD RD")</f>
        <v>5364 HARWOOD RD</v>
      </c>
      <c r="C2066" s="3" t="str">
        <f>IFERROR(__xludf.DUMMYFUNCTION("""COMPUTED_VALUE"""),"HARWOOD")</f>
        <v>HARWOOD</v>
      </c>
      <c r="D2066" s="3" t="str">
        <f>IFERROR(__xludf.DUMMYFUNCTION("""COMPUTED_VALUE"""),"K0K 2H0")</f>
        <v>K0K 2H0</v>
      </c>
      <c r="E2066" s="3" t="str">
        <f>IFERROR(__xludf.DUMMYFUNCTION("""COMPUTED_VALUE"""),"Helen")</f>
        <v>Helen</v>
      </c>
      <c r="F2066" s="3" t="str">
        <f>IFERROR(__xludf.DUMMYFUNCTION("""COMPUTED_VALUE"""),"grammi65@hotmail.com")</f>
        <v>grammi65@hotmail.com</v>
      </c>
      <c r="G2066" s="3">
        <f>IFERROR(__xludf.DUMMYFUNCTION("""COMPUTED_VALUE"""),9.053766505E9)</f>
        <v>9053766505</v>
      </c>
      <c r="H2066" s="3"/>
    </row>
    <row r="2067">
      <c r="A2067" s="2">
        <f>IFERROR(__xludf.DUMMYFUNCTION("""COMPUTED_VALUE"""),22076.0)</f>
        <v>22076</v>
      </c>
      <c r="B2067" s="3" t="str">
        <f>IFERROR(__xludf.DUMMYFUNCTION("""COMPUTED_VALUE"""),"5370 HARWOOD RD")</f>
        <v>5370 HARWOOD RD</v>
      </c>
      <c r="C2067" s="3" t="str">
        <f>IFERROR(__xludf.DUMMYFUNCTION("""COMPUTED_VALUE"""),"HARWOOD")</f>
        <v>HARWOOD</v>
      </c>
      <c r="D2067" s="3" t="str">
        <f>IFERROR(__xludf.DUMMYFUNCTION("""COMPUTED_VALUE"""),"K0K 2H0")</f>
        <v>K0K 2H0</v>
      </c>
      <c r="E2067" s="3"/>
      <c r="F2067" s="3"/>
      <c r="G2067" s="3"/>
      <c r="H2067" s="3"/>
    </row>
    <row r="2068">
      <c r="A2068" s="2">
        <f>IFERROR(__xludf.DUMMYFUNCTION("""COMPUTED_VALUE"""),20622.0)</f>
        <v>20622</v>
      </c>
      <c r="B2068" s="3" t="str">
        <f>IFERROR(__xludf.DUMMYFUNCTION("""COMPUTED_VALUE"""),"9469 CEDAR CREEK TRAIL")</f>
        <v>9469 CEDAR CREEK TRAIL</v>
      </c>
      <c r="C2068" s="3" t="str">
        <f>IFERROR(__xludf.DUMMYFUNCTION("""COMPUTED_VALUE"""),"BALTIMORE")</f>
        <v>BALTIMORE</v>
      </c>
      <c r="D2068" s="3" t="str">
        <f>IFERROR(__xludf.DUMMYFUNCTION("""COMPUTED_VALUE"""),"K0K 1C0")</f>
        <v>K0K 1C0</v>
      </c>
      <c r="E2068" s="3" t="str">
        <f>IFERROR(__xludf.DUMMYFUNCTION("""COMPUTED_VALUE"""),"Ashley Johns")</f>
        <v>Ashley Johns</v>
      </c>
      <c r="F2068" s="3" t="str">
        <f>IFERROR(__xludf.DUMMYFUNCTION("""COMPUTED_VALUE"""),"johns_ashley@hotmail.com")</f>
        <v>johns_ashley@hotmail.com</v>
      </c>
      <c r="G2068" s="3">
        <f>IFERROR(__xludf.DUMMYFUNCTION("""COMPUTED_VALUE"""),9.059244838E9)</f>
        <v>9059244838</v>
      </c>
      <c r="H2068" s="3"/>
    </row>
    <row r="2069">
      <c r="A2069" s="2">
        <f>IFERROR(__xludf.DUMMYFUNCTION("""COMPUTED_VALUE"""),22077.0)</f>
        <v>22077</v>
      </c>
      <c r="B2069" s="3" t="str">
        <f>IFERROR(__xludf.DUMMYFUNCTION("""COMPUTED_VALUE"""),"5382 HARWOOD RD")</f>
        <v>5382 HARWOOD RD</v>
      </c>
      <c r="C2069" s="3" t="str">
        <f>IFERROR(__xludf.DUMMYFUNCTION("""COMPUTED_VALUE"""),"HARWOOD")</f>
        <v>HARWOOD</v>
      </c>
      <c r="D2069" s="3" t="str">
        <f>IFERROR(__xludf.DUMMYFUNCTION("""COMPUTED_VALUE"""),"K0K 2H0")</f>
        <v>K0K 2H0</v>
      </c>
      <c r="E2069" s="3" t="str">
        <f>IFERROR(__xludf.DUMMYFUNCTION("""COMPUTED_VALUE"""),"lorne pigeau")</f>
        <v>lorne pigeau</v>
      </c>
      <c r="F2069" s="3" t="str">
        <f>IFERROR(__xludf.DUMMYFUNCTION("""COMPUTED_VALUE"""),"pigeaulorne@gmail.com")</f>
        <v>pigeaulorne@gmail.com</v>
      </c>
      <c r="G2069" s="3">
        <f>IFERROR(__xludf.DUMMYFUNCTION("""COMPUTED_VALUE"""),9.052139674E9)</f>
        <v>9052139674</v>
      </c>
      <c r="H2069" s="3"/>
    </row>
    <row r="2070">
      <c r="A2070" s="2">
        <f>IFERROR(__xludf.DUMMYFUNCTION("""COMPUTED_VALUE"""),22297.0)</f>
        <v>22297</v>
      </c>
      <c r="B2070" s="3" t="str">
        <f>IFERROR(__xludf.DUMMYFUNCTION("""COMPUTED_VALUE"""),"3506 KENNEDY RD")</f>
        <v>3506 KENNEDY RD</v>
      </c>
      <c r="C2070" s="3" t="str">
        <f>IFERROR(__xludf.DUMMYFUNCTION("""COMPUTED_VALUE"""),"COBOURG")</f>
        <v>COBOURG</v>
      </c>
      <c r="D2070" s="3" t="str">
        <f>IFERROR(__xludf.DUMMYFUNCTION("""COMPUTED_VALUE"""),"K9A 4J7")</f>
        <v>K9A 4J7</v>
      </c>
      <c r="E2070" s="3" t="str">
        <f>IFERROR(__xludf.DUMMYFUNCTION("""COMPUTED_VALUE"""),"Samantha Grasso")</f>
        <v>Samantha Grasso</v>
      </c>
      <c r="F2070" s="3" t="str">
        <f>IFERROR(__xludf.DUMMYFUNCTION("""COMPUTED_VALUE"""),"sgrasso573@gmail.com")</f>
        <v>sgrasso573@gmail.com</v>
      </c>
      <c r="G2070" s="3"/>
      <c r="H2070" s="3"/>
    </row>
    <row r="2071">
      <c r="A2071" s="2">
        <f>IFERROR(__xludf.DUMMYFUNCTION("""COMPUTED_VALUE"""),20624.0)</f>
        <v>20624</v>
      </c>
      <c r="B2071" s="3" t="str">
        <f>IFERROR(__xludf.DUMMYFUNCTION("""COMPUTED_VALUE"""),"9491 CEDAR CREEK TRAIL")</f>
        <v>9491 CEDAR CREEK TRAIL</v>
      </c>
      <c r="C2071" s="3" t="str">
        <f>IFERROR(__xludf.DUMMYFUNCTION("""COMPUTED_VALUE"""),"BALTIMORE")</f>
        <v>BALTIMORE</v>
      </c>
      <c r="D2071" s="3" t="str">
        <f>IFERROR(__xludf.DUMMYFUNCTION("""COMPUTED_VALUE"""),"K0K 1C0")</f>
        <v>K0K 1C0</v>
      </c>
      <c r="E2071" s="3" t="str">
        <f>IFERROR(__xludf.DUMMYFUNCTION("""COMPUTED_VALUE"""),"george&amp;jane Mcnulty")</f>
        <v>george&amp;jane Mcnulty</v>
      </c>
      <c r="F2071" s="3" t="str">
        <f>IFERROR(__xludf.DUMMYFUNCTION("""COMPUTED_VALUE"""),"georgejanemcnulty@gmail.com")</f>
        <v>georgejanemcnulty@gmail.com</v>
      </c>
      <c r="G2071" s="3">
        <f>IFERROR(__xludf.DUMMYFUNCTION("""COMPUTED_VALUE"""),9.052694163E9)</f>
        <v>9052694163</v>
      </c>
      <c r="H2071" s="3">
        <f>IFERROR(__xludf.DUMMYFUNCTION("""COMPUTED_VALUE"""),9.052697158E9)</f>
        <v>9052697158</v>
      </c>
    </row>
    <row r="2072">
      <c r="A2072" s="2">
        <f>IFERROR(__xludf.DUMMYFUNCTION("""COMPUTED_VALUE"""),22082.0)</f>
        <v>22082</v>
      </c>
      <c r="B2072" s="3" t="str">
        <f>IFERROR(__xludf.DUMMYFUNCTION("""COMPUTED_VALUE"""),"110 HAYDEN RD")</f>
        <v>110 HAYDEN RD</v>
      </c>
      <c r="C2072" s="3" t="str">
        <f>IFERROR(__xludf.DUMMYFUNCTION("""COMPUTED_VALUE"""),"BALTIMORE")</f>
        <v>BALTIMORE</v>
      </c>
      <c r="D2072" s="3" t="str">
        <f>IFERROR(__xludf.DUMMYFUNCTION("""COMPUTED_VALUE"""),"K0K 1C0")</f>
        <v>K0K 1C0</v>
      </c>
      <c r="E2072" s="3"/>
      <c r="F2072" s="3"/>
      <c r="G2072" s="3"/>
      <c r="H2072" s="3"/>
    </row>
    <row r="2073">
      <c r="A2073" s="2">
        <f>IFERROR(__xludf.DUMMYFUNCTION("""COMPUTED_VALUE"""),22097.0)</f>
        <v>22097</v>
      </c>
      <c r="B2073" s="3" t="str">
        <f>IFERROR(__xludf.DUMMYFUNCTION("""COMPUTED_VALUE"""),"3218 HICKERSON RD")</f>
        <v>3218 HICKERSON RD</v>
      </c>
      <c r="C2073" s="3" t="str">
        <f>IFERROR(__xludf.DUMMYFUNCTION("""COMPUTED_VALUE"""),"BALTIMORE")</f>
        <v>BALTIMORE</v>
      </c>
      <c r="D2073" s="3" t="str">
        <f>IFERROR(__xludf.DUMMYFUNCTION("""COMPUTED_VALUE"""),"K0K 1C0")</f>
        <v>K0K 1C0</v>
      </c>
      <c r="E2073" s="3"/>
      <c r="F2073" s="3"/>
      <c r="G2073" s="3"/>
      <c r="H2073" s="3"/>
    </row>
    <row r="2074">
      <c r="A2074" s="2">
        <f>IFERROR(__xludf.DUMMYFUNCTION("""COMPUTED_VALUE"""),21157.0)</f>
        <v>21157</v>
      </c>
      <c r="B2074" s="3" t="str">
        <f>IFERROR(__xludf.DUMMYFUNCTION("""COMPUTED_VALUE"""),"5435 COUNTY RD 45")</f>
        <v>5435 COUNTY RD 45</v>
      </c>
      <c r="C2074" s="3" t="str">
        <f>IFERROR(__xludf.DUMMYFUNCTION("""COMPUTED_VALUE"""),"BALTIMORE")</f>
        <v>BALTIMORE</v>
      </c>
      <c r="D2074" s="3" t="str">
        <f>IFERROR(__xludf.DUMMYFUNCTION("""COMPUTED_VALUE"""),"K0K 1C0")</f>
        <v>K0K 1C0</v>
      </c>
      <c r="E2074" s="3" t="str">
        <f>IFERROR(__xludf.DUMMYFUNCTION("""COMPUTED_VALUE"""),"Tom &amp; Andrea Fraser")</f>
        <v>Tom &amp; Andrea Fraser</v>
      </c>
      <c r="F2074" s="3" t="str">
        <f>IFERROR(__xludf.DUMMYFUNCTION("""COMPUTED_VALUE"""),"alynnfraser@gmail.com")</f>
        <v>alynnfraser@gmail.com</v>
      </c>
      <c r="G2074" s="3"/>
      <c r="H2074" s="3"/>
    </row>
    <row r="2075">
      <c r="A2075" s="2">
        <f>IFERROR(__xludf.DUMMYFUNCTION("""COMPUTED_VALUE"""),21340.0)</f>
        <v>21340</v>
      </c>
      <c r="B2075" s="3" t="str">
        <f>IFERROR(__xludf.DUMMYFUNCTION("""COMPUTED_VALUE"""),"8629 DALE RD")</f>
        <v>8629 DALE RD</v>
      </c>
      <c r="C2075" s="3" t="str">
        <f>IFERROR(__xludf.DUMMYFUNCTION("""COMPUTED_VALUE"""),"COBOURG")</f>
        <v>COBOURG</v>
      </c>
      <c r="D2075" s="3" t="str">
        <f>IFERROR(__xludf.DUMMYFUNCTION("""COMPUTED_VALUE"""),"K9A 0M5")</f>
        <v>K9A 0M5</v>
      </c>
      <c r="E2075" s="3" t="str">
        <f>IFERROR(__xludf.DUMMYFUNCTION("""COMPUTED_VALUE"""),"Anita Best")</f>
        <v>Anita Best</v>
      </c>
      <c r="F2075" s="3" t="str">
        <f>IFERROR(__xludf.DUMMYFUNCTION("""COMPUTED_VALUE"""),"bestgirl27@hotmail.com")</f>
        <v>bestgirl27@hotmail.com</v>
      </c>
      <c r="G2075" s="3">
        <f>IFERROR(__xludf.DUMMYFUNCTION("""COMPUTED_VALUE"""),9.052693584E9)</f>
        <v>9052693584</v>
      </c>
      <c r="H2075" s="3">
        <f>IFERROR(__xludf.DUMMYFUNCTION("""COMPUTED_VALUE"""),9.052692545E9)</f>
        <v>9052692545</v>
      </c>
    </row>
    <row r="2076">
      <c r="A2076" s="2">
        <f>IFERROR(__xludf.DUMMYFUNCTION("""COMPUTED_VALUE"""),22100.0)</f>
        <v>22100</v>
      </c>
      <c r="B2076" s="3" t="str">
        <f>IFERROR(__xludf.DUMMYFUNCTION("""COMPUTED_VALUE"""),"3430 HICKERSON RD")</f>
        <v>3430 HICKERSON RD</v>
      </c>
      <c r="C2076" s="3" t="str">
        <f>IFERROR(__xludf.DUMMYFUNCTION("""COMPUTED_VALUE"""),"BALTIMORE")</f>
        <v>BALTIMORE</v>
      </c>
      <c r="D2076" s="3" t="str">
        <f>IFERROR(__xludf.DUMMYFUNCTION("""COMPUTED_VALUE"""),"K0K 1C0")</f>
        <v>K0K 1C0</v>
      </c>
      <c r="E2076" s="3" t="str">
        <f>IFERROR(__xludf.DUMMYFUNCTION("""COMPUTED_VALUE"""),"MICHELLE LEFOLII")</f>
        <v>MICHELLE LEFOLII</v>
      </c>
      <c r="F2076" s="3" t="str">
        <f>IFERROR(__xludf.DUMMYFUNCTION("""COMPUTED_VALUE"""),"mlefolii@gmail.com")</f>
        <v>mlefolii@gmail.com</v>
      </c>
      <c r="G2076" s="3"/>
      <c r="H2076" s="3"/>
    </row>
    <row r="2077">
      <c r="A2077" s="2">
        <f>IFERROR(__xludf.DUMMYFUNCTION("""COMPUTED_VALUE"""),22101.0)</f>
        <v>22101</v>
      </c>
      <c r="B2077" s="3" t="str">
        <f>IFERROR(__xludf.DUMMYFUNCTION("""COMPUTED_VALUE"""),"3474 HICKERSON RD")</f>
        <v>3474 HICKERSON RD</v>
      </c>
      <c r="C2077" s="3" t="str">
        <f>IFERROR(__xludf.DUMMYFUNCTION("""COMPUTED_VALUE"""),"BALTIMORE")</f>
        <v>BALTIMORE</v>
      </c>
      <c r="D2077" s="3" t="str">
        <f>IFERROR(__xludf.DUMMYFUNCTION("""COMPUTED_VALUE"""),"K0K 1C0")</f>
        <v>K0K 1C0</v>
      </c>
      <c r="E2077" s="3" t="str">
        <f>IFERROR(__xludf.DUMMYFUNCTION("""COMPUTED_VALUE"""),"Pearl Davey")</f>
        <v>Pearl Davey</v>
      </c>
      <c r="F2077" s="3"/>
      <c r="G2077" s="3"/>
      <c r="H2077" s="3"/>
    </row>
    <row r="2078">
      <c r="A2078" s="2">
        <f>IFERROR(__xludf.DUMMYFUNCTION("""COMPUTED_VALUE"""),22102.0)</f>
        <v>22102</v>
      </c>
      <c r="B2078" s="3" t="str">
        <f>IFERROR(__xludf.DUMMYFUNCTION("""COMPUTED_VALUE"""),"3489 HICKERSON RD")</f>
        <v>3489 HICKERSON RD</v>
      </c>
      <c r="C2078" s="3" t="str">
        <f>IFERROR(__xludf.DUMMYFUNCTION("""COMPUTED_VALUE"""),"BALTIMORE")</f>
        <v>BALTIMORE</v>
      </c>
      <c r="D2078" s="3" t="str">
        <f>IFERROR(__xludf.DUMMYFUNCTION("""COMPUTED_VALUE"""),"K0K 1C0")</f>
        <v>K0K 1C0</v>
      </c>
      <c r="E2078" s="3"/>
      <c r="F2078" s="3"/>
      <c r="G2078" s="3"/>
      <c r="H2078" s="3"/>
    </row>
    <row r="2079">
      <c r="A2079" s="2">
        <f>IFERROR(__xludf.DUMMYFUNCTION("""COMPUTED_VALUE"""),22103.0)</f>
        <v>22103</v>
      </c>
      <c r="B2079" s="3" t="str">
        <f>IFERROR(__xludf.DUMMYFUNCTION("""COMPUTED_VALUE"""),"3497 HICKERSON RD")</f>
        <v>3497 HICKERSON RD</v>
      </c>
      <c r="C2079" s="3" t="str">
        <f>IFERROR(__xludf.DUMMYFUNCTION("""COMPUTED_VALUE"""),"BALTIMORE")</f>
        <v>BALTIMORE</v>
      </c>
      <c r="D2079" s="3" t="str">
        <f>IFERROR(__xludf.DUMMYFUNCTION("""COMPUTED_VALUE"""),"K0K 1C0")</f>
        <v>K0K 1C0</v>
      </c>
      <c r="E2079" s="3" t="str">
        <f>IFERROR(__xludf.DUMMYFUNCTION("""COMPUTED_VALUE"""),"Courtney Christ")</f>
        <v>Courtney Christ</v>
      </c>
      <c r="F2079" s="3" t="str">
        <f>IFERROR(__xludf.DUMMYFUNCTION("""COMPUTED_VALUE"""),"courtney.christ@gmail.com")</f>
        <v>courtney.christ@gmail.com</v>
      </c>
      <c r="G2079" s="3"/>
      <c r="H2079" s="3"/>
    </row>
    <row r="2080">
      <c r="A2080" s="2">
        <f>IFERROR(__xludf.DUMMYFUNCTION("""COMPUTED_VALUE"""),22104.0)</f>
        <v>22104</v>
      </c>
      <c r="B2080" s="3" t="str">
        <f>IFERROR(__xludf.DUMMYFUNCTION("""COMPUTED_VALUE"""),"3524 HICKERSON RD")</f>
        <v>3524 HICKERSON RD</v>
      </c>
      <c r="C2080" s="3" t="str">
        <f>IFERROR(__xludf.DUMMYFUNCTION("""COMPUTED_VALUE"""),"BALTIMORE")</f>
        <v>BALTIMORE</v>
      </c>
      <c r="D2080" s="3" t="str">
        <f>IFERROR(__xludf.DUMMYFUNCTION("""COMPUTED_VALUE"""),"K0K 1C0")</f>
        <v>K0K 1C0</v>
      </c>
      <c r="E2080" s="3"/>
      <c r="F2080" s="3"/>
      <c r="G2080" s="3"/>
      <c r="H2080" s="3"/>
    </row>
    <row r="2081">
      <c r="A2081" s="2">
        <f>IFERROR(__xludf.DUMMYFUNCTION("""COMPUTED_VALUE"""),22105.0)</f>
        <v>22105</v>
      </c>
      <c r="B2081" s="3" t="str">
        <f>IFERROR(__xludf.DUMMYFUNCTION("""COMPUTED_VALUE"""),"3565 HICKERSON RD - Unit 1")</f>
        <v>3565 HICKERSON RD - Unit 1</v>
      </c>
      <c r="C2081" s="3" t="str">
        <f>IFERROR(__xludf.DUMMYFUNCTION("""COMPUTED_VALUE"""),"BALTIMORE")</f>
        <v>BALTIMORE</v>
      </c>
      <c r="D2081" s="3" t="str">
        <f>IFERROR(__xludf.DUMMYFUNCTION("""COMPUTED_VALUE"""),"K0K 1C0")</f>
        <v>K0K 1C0</v>
      </c>
      <c r="E2081" s="3" t="str">
        <f>IFERROR(__xludf.DUMMYFUNCTION("""COMPUTED_VALUE"""),"Sven Kraumans")</f>
        <v>Sven Kraumans</v>
      </c>
      <c r="F2081" s="3" t="str">
        <f>IFERROR(__xludf.DUMMYFUNCTION("""COMPUTED_VALUE"""),"svenkraumans2@gmail.com")</f>
        <v>svenkraumans2@gmail.com</v>
      </c>
      <c r="G2081" s="3"/>
      <c r="H2081" s="3"/>
    </row>
    <row r="2082">
      <c r="A2082" s="2">
        <f>IFERROR(__xludf.DUMMYFUNCTION("""COMPUTED_VALUE"""),23990.0)</f>
        <v>23990</v>
      </c>
      <c r="B2082" s="3" t="str">
        <f>IFERROR(__xludf.DUMMYFUNCTION("""COMPUTED_VALUE"""),"3565 HICKERSON RD - Unit 2")</f>
        <v>3565 HICKERSON RD - Unit 2</v>
      </c>
      <c r="C2082" s="3" t="str">
        <f>IFERROR(__xludf.DUMMYFUNCTION("""COMPUTED_VALUE"""),"BALTIMORE")</f>
        <v>BALTIMORE</v>
      </c>
      <c r="D2082" s="3" t="str">
        <f>IFERROR(__xludf.DUMMYFUNCTION("""COMPUTED_VALUE"""),"K0K 1C0")</f>
        <v>K0K 1C0</v>
      </c>
      <c r="E2082" s="3" t="str">
        <f>IFERROR(__xludf.DUMMYFUNCTION("""COMPUTED_VALUE"""),"Sven Kraumans")</f>
        <v>Sven Kraumans</v>
      </c>
      <c r="F2082" s="3" t="str">
        <f>IFERROR(__xludf.DUMMYFUNCTION("""COMPUTED_VALUE"""),"svenkraumans2@gmail.com")</f>
        <v>svenkraumans2@gmail.com</v>
      </c>
      <c r="G2082" s="3"/>
      <c r="H2082" s="3"/>
    </row>
    <row r="2083">
      <c r="A2083" s="2">
        <f>IFERROR(__xludf.DUMMYFUNCTION("""COMPUTED_VALUE"""),22106.0)</f>
        <v>22106</v>
      </c>
      <c r="B2083" s="3" t="str">
        <f>IFERROR(__xludf.DUMMYFUNCTION("""COMPUTED_VALUE"""),"3570 HICKERSON RD")</f>
        <v>3570 HICKERSON RD</v>
      </c>
      <c r="C2083" s="3" t="str">
        <f>IFERROR(__xludf.DUMMYFUNCTION("""COMPUTED_VALUE"""),"BALTIMORE")</f>
        <v>BALTIMORE</v>
      </c>
      <c r="D2083" s="3" t="str">
        <f>IFERROR(__xludf.DUMMYFUNCTION("""COMPUTED_VALUE"""),"K0K 1C0")</f>
        <v>K0K 1C0</v>
      </c>
      <c r="E2083" s="3" t="str">
        <f>IFERROR(__xludf.DUMMYFUNCTION("""COMPUTED_VALUE"""),"Judy O'Grady ")</f>
        <v>Judy O'Grady </v>
      </c>
      <c r="F2083" s="3" t="str">
        <f>IFERROR(__xludf.DUMMYFUNCTION("""COMPUTED_VALUE"""),"judy.ogrady@email.com")</f>
        <v>judy.ogrady@email.com</v>
      </c>
      <c r="G2083" s="3"/>
      <c r="H2083" s="3"/>
    </row>
    <row r="2084">
      <c r="A2084" s="2">
        <f>IFERROR(__xludf.DUMMYFUNCTION("""COMPUTED_VALUE"""),22113.0)</f>
        <v>22113</v>
      </c>
      <c r="B2084" s="3" t="str">
        <f>IFERROR(__xludf.DUMMYFUNCTION("""COMPUTED_VALUE"""),"4852 HILLVIEW DR")</f>
        <v>4852 HILLVIEW DR</v>
      </c>
      <c r="C2084" s="3" t="str">
        <f>IFERROR(__xludf.DUMMYFUNCTION("""COMPUTED_VALUE"""),"BALTIMORE")</f>
        <v>BALTIMORE</v>
      </c>
      <c r="D2084" s="3" t="str">
        <f>IFERROR(__xludf.DUMMYFUNCTION("""COMPUTED_VALUE"""),"K0K 1C0")</f>
        <v>K0K 1C0</v>
      </c>
      <c r="E2084" s="3"/>
      <c r="F2084" s="3"/>
      <c r="G2084" s="3"/>
      <c r="H2084" s="3"/>
    </row>
    <row r="2085">
      <c r="A2085" s="2">
        <f>IFERROR(__xludf.DUMMYFUNCTION("""COMPUTED_VALUE"""),22114.0)</f>
        <v>22114</v>
      </c>
      <c r="B2085" s="3" t="str">
        <f>IFERROR(__xludf.DUMMYFUNCTION("""COMPUTED_VALUE"""),"4860 HILLVIEW DR")</f>
        <v>4860 HILLVIEW DR</v>
      </c>
      <c r="C2085" s="3" t="str">
        <f>IFERROR(__xludf.DUMMYFUNCTION("""COMPUTED_VALUE"""),"BALTIMORE")</f>
        <v>BALTIMORE</v>
      </c>
      <c r="D2085" s="3" t="str">
        <f>IFERROR(__xludf.DUMMYFUNCTION("""COMPUTED_VALUE"""),"K0K 1C0")</f>
        <v>K0K 1C0</v>
      </c>
      <c r="E2085" s="3" t="str">
        <f>IFERROR(__xludf.DUMMYFUNCTION("""COMPUTED_VALUE"""),"Stephen Austin")</f>
        <v>Stephen Austin</v>
      </c>
      <c r="F2085" s="3" t="str">
        <f>IFERROR(__xludf.DUMMYFUNCTION("""COMPUTED_VALUE"""),"phps39@hotmail.com")</f>
        <v>phps39@hotmail.com</v>
      </c>
      <c r="G2085" s="3">
        <f>IFERROR(__xludf.DUMMYFUNCTION("""COMPUTED_VALUE"""),9.05396486E9)</f>
        <v>9053964860</v>
      </c>
      <c r="H2085" s="3"/>
    </row>
    <row r="2086">
      <c r="A2086" s="2">
        <f>IFERROR(__xludf.DUMMYFUNCTION("""COMPUTED_VALUE"""),22115.0)</f>
        <v>22115</v>
      </c>
      <c r="B2086" s="3" t="str">
        <f>IFERROR(__xludf.DUMMYFUNCTION("""COMPUTED_VALUE"""),"4870 HILLVIEW DR")</f>
        <v>4870 HILLVIEW DR</v>
      </c>
      <c r="C2086" s="3" t="str">
        <f>IFERROR(__xludf.DUMMYFUNCTION("""COMPUTED_VALUE"""),"BALTIMORE")</f>
        <v>BALTIMORE</v>
      </c>
      <c r="D2086" s="3" t="str">
        <f>IFERROR(__xludf.DUMMYFUNCTION("""COMPUTED_VALUE"""),"K0K 1C0")</f>
        <v>K0K 1C0</v>
      </c>
      <c r="E2086" s="3" t="str">
        <f>IFERROR(__xludf.DUMMYFUNCTION("""COMPUTED_VALUE"""),"Sarah jukes")</f>
        <v>Sarah jukes</v>
      </c>
      <c r="F2086" s="3" t="str">
        <f>IFERROR(__xludf.DUMMYFUNCTION("""COMPUTED_VALUE"""),"sjukes3177@gmail.com")</f>
        <v>sjukes3177@gmail.com</v>
      </c>
      <c r="G2086" s="3">
        <f>IFERROR(__xludf.DUMMYFUNCTION("""COMPUTED_VALUE"""),9.052695007E9)</f>
        <v>9052695007</v>
      </c>
      <c r="H2086" s="3"/>
    </row>
    <row r="2087">
      <c r="A2087" s="2">
        <f>IFERROR(__xludf.DUMMYFUNCTION("""COMPUTED_VALUE"""),22116.0)</f>
        <v>22116</v>
      </c>
      <c r="B2087" s="3" t="str">
        <f>IFERROR(__xludf.DUMMYFUNCTION("""COMPUTED_VALUE"""),"4875 HILLVIEW DR")</f>
        <v>4875 HILLVIEW DR</v>
      </c>
      <c r="C2087" s="3" t="str">
        <f>IFERROR(__xludf.DUMMYFUNCTION("""COMPUTED_VALUE"""),"BALTIMORE")</f>
        <v>BALTIMORE</v>
      </c>
      <c r="D2087" s="3" t="str">
        <f>IFERROR(__xludf.DUMMYFUNCTION("""COMPUTED_VALUE"""),"K0K 1C0")</f>
        <v>K0K 1C0</v>
      </c>
      <c r="E2087" s="3" t="str">
        <f>IFERROR(__xludf.DUMMYFUNCTION("""COMPUTED_VALUE"""),"william john Beyette")</f>
        <v>william john Beyette</v>
      </c>
      <c r="F2087" s="3" t="str">
        <f>IFERROR(__xludf.DUMMYFUNCTION("""COMPUTED_VALUE"""),"wjbeyette@gmail.com")</f>
        <v>wjbeyette@gmail.com</v>
      </c>
      <c r="G2087" s="3">
        <f>IFERROR(__xludf.DUMMYFUNCTION("""COMPUTED_VALUE"""),9.053965646E9)</f>
        <v>9053965646</v>
      </c>
      <c r="H2087" s="3"/>
    </row>
    <row r="2088">
      <c r="A2088" s="2">
        <f>IFERROR(__xludf.DUMMYFUNCTION("""COMPUTED_VALUE"""),22117.0)</f>
        <v>22117</v>
      </c>
      <c r="B2088" s="3" t="str">
        <f>IFERROR(__xludf.DUMMYFUNCTION("""COMPUTED_VALUE"""),"4881 HILLVIEW DR")</f>
        <v>4881 HILLVIEW DR</v>
      </c>
      <c r="C2088" s="3" t="str">
        <f>IFERROR(__xludf.DUMMYFUNCTION("""COMPUTED_VALUE"""),"BALTIMORE")</f>
        <v>BALTIMORE</v>
      </c>
      <c r="D2088" s="3" t="str">
        <f>IFERROR(__xludf.DUMMYFUNCTION("""COMPUTED_VALUE"""),"K0K 1C0")</f>
        <v>K0K 1C0</v>
      </c>
      <c r="E2088" s="3" t="str">
        <f>IFERROR(__xludf.DUMMYFUNCTION("""COMPUTED_VALUE"""),"JENNIFER STEPHEN")</f>
        <v>JENNIFER STEPHEN</v>
      </c>
      <c r="F2088" s="3" t="str">
        <f>IFERROR(__xludf.DUMMYFUNCTION("""COMPUTED_VALUE"""),"j.stephen.88@hotmail.com")</f>
        <v>j.stephen.88@hotmail.com</v>
      </c>
      <c r="G2088" s="3"/>
      <c r="H2088" s="3"/>
    </row>
    <row r="2089">
      <c r="A2089" s="2">
        <f>IFERROR(__xludf.DUMMYFUNCTION("""COMPUTED_VALUE"""),22118.0)</f>
        <v>22118</v>
      </c>
      <c r="B2089" s="3" t="str">
        <f>IFERROR(__xludf.DUMMYFUNCTION("""COMPUTED_VALUE"""),"4894 HILLVIEW DR")</f>
        <v>4894 HILLVIEW DR</v>
      </c>
      <c r="C2089" s="3" t="str">
        <f>IFERROR(__xludf.DUMMYFUNCTION("""COMPUTED_VALUE"""),"BALTIMORE")</f>
        <v>BALTIMORE</v>
      </c>
      <c r="D2089" s="3" t="str">
        <f>IFERROR(__xludf.DUMMYFUNCTION("""COMPUTED_VALUE"""),"K0K 1C0")</f>
        <v>K0K 1C0</v>
      </c>
      <c r="E2089" s="3" t="str">
        <f>IFERROR(__xludf.DUMMYFUNCTION("""COMPUTED_VALUE"""),"Trevor Bunting ")</f>
        <v>Trevor Bunting </v>
      </c>
      <c r="F2089" s="3" t="str">
        <f>IFERROR(__xludf.DUMMYFUNCTION("""COMPUTED_VALUE"""),"t-bunting2@hotmail.com")</f>
        <v>t-bunting2@hotmail.com</v>
      </c>
      <c r="G2089" s="3"/>
      <c r="H2089" s="3"/>
    </row>
    <row r="2090">
      <c r="A2090" s="2">
        <f>IFERROR(__xludf.DUMMYFUNCTION("""COMPUTED_VALUE"""),23999.0)</f>
        <v>23999</v>
      </c>
      <c r="B2090" s="3" t="str">
        <f>IFERROR(__xludf.DUMMYFUNCTION("""COMPUTED_VALUE"""),"4894 HILLVIEW DR - UNIT B")</f>
        <v>4894 HILLVIEW DR - UNIT B</v>
      </c>
      <c r="C2090" s="3" t="str">
        <f>IFERROR(__xludf.DUMMYFUNCTION("""COMPUTED_VALUE"""),"BALTIMORE")</f>
        <v>BALTIMORE</v>
      </c>
      <c r="D2090" s="3" t="str">
        <f>IFERROR(__xludf.DUMMYFUNCTION("""COMPUTED_VALUE"""),"K0K 1C0")</f>
        <v>K0K 1C0</v>
      </c>
      <c r="E2090" s="3"/>
      <c r="F2090" s="3"/>
      <c r="G2090" s="3"/>
      <c r="H2090" s="3"/>
    </row>
    <row r="2091">
      <c r="A2091" s="2">
        <f>IFERROR(__xludf.DUMMYFUNCTION("""COMPUTED_VALUE"""),22119.0)</f>
        <v>22119</v>
      </c>
      <c r="B2091" s="3" t="str">
        <f>IFERROR(__xludf.DUMMYFUNCTION("""COMPUTED_VALUE"""),"4917 HILLVIEW DR")</f>
        <v>4917 HILLVIEW DR</v>
      </c>
      <c r="C2091" s="3" t="str">
        <f>IFERROR(__xludf.DUMMYFUNCTION("""COMPUTED_VALUE"""),"BALTIMORE")</f>
        <v>BALTIMORE</v>
      </c>
      <c r="D2091" s="3" t="str">
        <f>IFERROR(__xludf.DUMMYFUNCTION("""COMPUTED_VALUE"""),"K0K 1C0")</f>
        <v>K0K 1C0</v>
      </c>
      <c r="E2091" s="3"/>
      <c r="F2091" s="3"/>
      <c r="G2091" s="3"/>
      <c r="H2091" s="3"/>
    </row>
    <row r="2092">
      <c r="A2092" s="2">
        <f>IFERROR(__xludf.DUMMYFUNCTION("""COMPUTED_VALUE"""),22120.0)</f>
        <v>22120</v>
      </c>
      <c r="B2092" s="3" t="str">
        <f>IFERROR(__xludf.DUMMYFUNCTION("""COMPUTED_VALUE"""),"4971 HILLVIEW DR")</f>
        <v>4971 HILLVIEW DR</v>
      </c>
      <c r="C2092" s="3" t="str">
        <f>IFERROR(__xludf.DUMMYFUNCTION("""COMPUTED_VALUE"""),"BALTIMORE")</f>
        <v>BALTIMORE</v>
      </c>
      <c r="D2092" s="3" t="str">
        <f>IFERROR(__xludf.DUMMYFUNCTION("""COMPUTED_VALUE"""),"K0K 1C0")</f>
        <v>K0K 1C0</v>
      </c>
      <c r="E2092" s="3" t="str">
        <f>IFERROR(__xludf.DUMMYFUNCTION("""COMPUTED_VALUE"""),"gary hubbard ")</f>
        <v>gary hubbard </v>
      </c>
      <c r="F2092" s="3" t="str">
        <f>IFERROR(__xludf.DUMMYFUNCTION("""COMPUTED_VALUE"""),"gwhub59@gmail.com")</f>
        <v>gwhub59@gmail.com</v>
      </c>
      <c r="G2092" s="3">
        <f>IFERROR(__xludf.DUMMYFUNCTION("""COMPUTED_VALUE"""),9.053423961E9)</f>
        <v>9053423961</v>
      </c>
      <c r="H2092" s="3">
        <f>IFERROR(__xludf.DUMMYFUNCTION("""COMPUTED_VALUE"""),9.057182662E9)</f>
        <v>9057182662</v>
      </c>
    </row>
    <row r="2093">
      <c r="A2093" s="2">
        <f>IFERROR(__xludf.DUMMYFUNCTION("""COMPUTED_VALUE"""),23987.0)</f>
        <v>23987</v>
      </c>
      <c r="B2093" s="3" t="str">
        <f>IFERROR(__xludf.DUMMYFUNCTION("""COMPUTED_VALUE"""),"5245 KING RD")</f>
        <v>5245 KING RD</v>
      </c>
      <c r="C2093" s="3" t="str">
        <f>IFERROR(__xludf.DUMMYFUNCTION("""COMPUTED_VALUE"""),"GORES LANDING")</f>
        <v>GORES LANDING</v>
      </c>
      <c r="D2093" s="3" t="str">
        <f>IFERROR(__xludf.DUMMYFUNCTION("""COMPUTED_VALUE"""),"K0K 2E0")</f>
        <v>K0K 2E0</v>
      </c>
      <c r="E2093" s="3" t="str">
        <f>IFERROR(__xludf.DUMMYFUNCTION("""COMPUTED_VALUE"""),"Richard Reininger")</f>
        <v>Richard Reininger</v>
      </c>
      <c r="F2093" s="3" t="str">
        <f>IFERROR(__xludf.DUMMYFUNCTION("""COMPUTED_VALUE"""),"richard.reininger@bellnet.ca")</f>
        <v>richard.reininger@bellnet.ca</v>
      </c>
      <c r="G2093" s="3"/>
      <c r="H2093" s="3"/>
    </row>
    <row r="2094">
      <c r="A2094" s="2">
        <f>IFERROR(__xludf.DUMMYFUNCTION("""COMPUTED_VALUE"""),22367.0)</f>
        <v>22367</v>
      </c>
      <c r="B2094" s="3" t="str">
        <f>IFERROR(__xludf.DUMMYFUNCTION("""COMPUTED_VALUE"""),"5271 KING RD")</f>
        <v>5271 KING RD</v>
      </c>
      <c r="C2094" s="3" t="str">
        <f>IFERROR(__xludf.DUMMYFUNCTION("""COMPUTED_VALUE"""),"GORES LANDING")</f>
        <v>GORES LANDING</v>
      </c>
      <c r="D2094" s="3" t="str">
        <f>IFERROR(__xludf.DUMMYFUNCTION("""COMPUTED_VALUE"""),"K0K 2E0")</f>
        <v>K0K 2E0</v>
      </c>
      <c r="E2094" s="3" t="str">
        <f>IFERROR(__xludf.DUMMYFUNCTION("""COMPUTED_VALUE"""),"Richard Reininger")</f>
        <v>Richard Reininger</v>
      </c>
      <c r="F2094" s="3" t="str">
        <f>IFERROR(__xludf.DUMMYFUNCTION("""COMPUTED_VALUE"""),"richard.reininger@bellnet.ca")</f>
        <v>richard.reininger@bellnet.ca</v>
      </c>
      <c r="G2094" s="3"/>
      <c r="H2094" s="3"/>
    </row>
    <row r="2095">
      <c r="A2095" s="2">
        <f>IFERROR(__xludf.DUMMYFUNCTION("""COMPUTED_VALUE"""),22364.0)</f>
        <v>22364</v>
      </c>
      <c r="B2095" s="3" t="str">
        <f>IFERROR(__xludf.DUMMYFUNCTION("""COMPUTED_VALUE"""),"5283 KING RD A")</f>
        <v>5283 KING RD A</v>
      </c>
      <c r="C2095" s="3" t="str">
        <f>IFERROR(__xludf.DUMMYFUNCTION("""COMPUTED_VALUE"""),"GORES LANDING")</f>
        <v>GORES LANDING</v>
      </c>
      <c r="D2095" s="3" t="str">
        <f>IFERROR(__xludf.DUMMYFUNCTION("""COMPUTED_VALUE"""),"K0K 2E0")</f>
        <v>K0K 2E0</v>
      </c>
      <c r="E2095" s="3" t="str">
        <f>IFERROR(__xludf.DUMMYFUNCTION("""COMPUTED_VALUE"""),"Lois Rauter")</f>
        <v>Lois Rauter</v>
      </c>
      <c r="F2095" s="3"/>
      <c r="G2095" s="3">
        <f>IFERROR(__xludf.DUMMYFUNCTION("""COMPUTED_VALUE"""),6.473946109E9)</f>
        <v>6473946109</v>
      </c>
      <c r="H2095" s="3"/>
    </row>
    <row r="2096">
      <c r="A2096" s="2">
        <f>IFERROR(__xludf.DUMMYFUNCTION("""COMPUTED_VALUE"""),22124.0)</f>
        <v>22124</v>
      </c>
      <c r="B2096" s="3" t="str">
        <f>IFERROR(__xludf.DUMMYFUNCTION("""COMPUTED_VALUE"""),"5112 HILLVIEW DR")</f>
        <v>5112 HILLVIEW DR</v>
      </c>
      <c r="C2096" s="3" t="str">
        <f>IFERROR(__xludf.DUMMYFUNCTION("""COMPUTED_VALUE"""),"HARWOOD")</f>
        <v>HARWOOD</v>
      </c>
      <c r="D2096" s="3" t="str">
        <f>IFERROR(__xludf.DUMMYFUNCTION("""COMPUTED_VALUE"""),"K0K 2H0")</f>
        <v>K0K 2H0</v>
      </c>
      <c r="E2096" s="3" t="str">
        <f>IFERROR(__xludf.DUMMYFUNCTION("""COMPUTED_VALUE"""),"Susan Lothian")</f>
        <v>Susan Lothian</v>
      </c>
      <c r="F2096" s="3" t="str">
        <f>IFERROR(__xludf.DUMMYFUNCTION("""COMPUTED_VALUE"""),"fslothian@hotmail.com")</f>
        <v>fslothian@hotmail.com</v>
      </c>
      <c r="G2096" s="3">
        <f>IFERROR(__xludf.DUMMYFUNCTION("""COMPUTED_VALUE"""),2.89251561E9)</f>
        <v>2892515610</v>
      </c>
      <c r="H2096" s="3">
        <f>IFERROR(__xludf.DUMMYFUNCTION("""COMPUTED_VALUE"""),2.892515609E9)</f>
        <v>2892515609</v>
      </c>
    </row>
    <row r="2097">
      <c r="A2097" s="2">
        <f>IFERROR(__xludf.DUMMYFUNCTION("""COMPUTED_VALUE"""),22125.0)</f>
        <v>22125</v>
      </c>
      <c r="B2097" s="3" t="str">
        <f>IFERROR(__xludf.DUMMYFUNCTION("""COMPUTED_VALUE"""),"5114 HILLVIEW DR")</f>
        <v>5114 HILLVIEW DR</v>
      </c>
      <c r="C2097" s="3" t="str">
        <f>IFERROR(__xludf.DUMMYFUNCTION("""COMPUTED_VALUE"""),"HARWOOD")</f>
        <v>HARWOOD</v>
      </c>
      <c r="D2097" s="3" t="str">
        <f>IFERROR(__xludf.DUMMYFUNCTION("""COMPUTED_VALUE"""),"K0K 2H0")</f>
        <v>K0K 2H0</v>
      </c>
      <c r="E2097" s="3" t="str">
        <f>IFERROR(__xludf.DUMMYFUNCTION("""COMPUTED_VALUE"""),"Christina Sherwin")</f>
        <v>Christina Sherwin</v>
      </c>
      <c r="F2097" s="3" t="str">
        <f>IFERROR(__xludf.DUMMYFUNCTION("""COMPUTED_VALUE"""),"thefield4@gmail.com")</f>
        <v>thefield4@gmail.com</v>
      </c>
      <c r="G2097" s="3">
        <f>IFERROR(__xludf.DUMMYFUNCTION("""COMPUTED_VALUE"""),9.053966114E9)</f>
        <v>9053966114</v>
      </c>
      <c r="H2097" s="3">
        <f>IFERROR(__xludf.DUMMYFUNCTION("""COMPUTED_VALUE"""),9.053965114E9)</f>
        <v>9053965114</v>
      </c>
    </row>
    <row r="2098">
      <c r="A2098" s="2">
        <f>IFERROR(__xludf.DUMMYFUNCTION("""COMPUTED_VALUE"""),22126.0)</f>
        <v>22126</v>
      </c>
      <c r="B2098" s="3" t="str">
        <f>IFERROR(__xludf.DUMMYFUNCTION("""COMPUTED_VALUE"""),"5150 HILLVIEW DR")</f>
        <v>5150 HILLVIEW DR</v>
      </c>
      <c r="C2098" s="3" t="str">
        <f>IFERROR(__xludf.DUMMYFUNCTION("""COMPUTED_VALUE"""),"HARWOOD")</f>
        <v>HARWOOD</v>
      </c>
      <c r="D2098" s="3" t="str">
        <f>IFERROR(__xludf.DUMMYFUNCTION("""COMPUTED_VALUE"""),"K0K 2H0")</f>
        <v>K0K 2H0</v>
      </c>
      <c r="E2098" s="3" t="str">
        <f>IFERROR(__xludf.DUMMYFUNCTION("""COMPUTED_VALUE"""),"Clare Dietrich")</f>
        <v>Clare Dietrich</v>
      </c>
      <c r="F2098" s="3" t="str">
        <f>IFERROR(__xludf.DUMMYFUNCTION("""COMPUTED_VALUE"""),"cashdietrich@gmail.com")</f>
        <v>cashdietrich@gmail.com</v>
      </c>
      <c r="G2098" s="3">
        <f>IFERROR(__xludf.DUMMYFUNCTION("""COMPUTED_VALUE"""),4.162703333E9)</f>
        <v>4162703333</v>
      </c>
      <c r="H2098" s="3"/>
    </row>
    <row r="2099">
      <c r="A2099" s="2">
        <f>IFERROR(__xludf.DUMMYFUNCTION("""COMPUTED_VALUE"""),22127.0)</f>
        <v>22127</v>
      </c>
      <c r="B2099" s="3" t="str">
        <f>IFERROR(__xludf.DUMMYFUNCTION("""COMPUTED_VALUE"""),"5206 HILLVIEW DR")</f>
        <v>5206 HILLVIEW DR</v>
      </c>
      <c r="C2099" s="3" t="str">
        <f>IFERROR(__xludf.DUMMYFUNCTION("""COMPUTED_VALUE"""),"HARWOOD")</f>
        <v>HARWOOD</v>
      </c>
      <c r="D2099" s="3" t="str">
        <f>IFERROR(__xludf.DUMMYFUNCTION("""COMPUTED_VALUE"""),"K0K 2H0")</f>
        <v>K0K 2H0</v>
      </c>
      <c r="E2099" s="3"/>
      <c r="F2099" s="3"/>
      <c r="G2099" s="3"/>
      <c r="H2099" s="3"/>
    </row>
    <row r="2100">
      <c r="A2100" s="2">
        <f>IFERROR(__xludf.DUMMYFUNCTION("""COMPUTED_VALUE"""),22128.0)</f>
        <v>22128</v>
      </c>
      <c r="B2100" s="3" t="str">
        <f>IFERROR(__xludf.DUMMYFUNCTION("""COMPUTED_VALUE"""),"5209 HILLVIEW DR")</f>
        <v>5209 HILLVIEW DR</v>
      </c>
      <c r="C2100" s="3" t="str">
        <f>IFERROR(__xludf.DUMMYFUNCTION("""COMPUTED_VALUE"""),"HARWOOD")</f>
        <v>HARWOOD</v>
      </c>
      <c r="D2100" s="3" t="str">
        <f>IFERROR(__xludf.DUMMYFUNCTION("""COMPUTED_VALUE"""),"K0K 2H0")</f>
        <v>K0K 2H0</v>
      </c>
      <c r="E2100" s="3"/>
      <c r="F2100" s="3"/>
      <c r="G2100" s="3"/>
      <c r="H2100" s="3"/>
    </row>
    <row r="2101">
      <c r="A2101" s="2">
        <f>IFERROR(__xludf.DUMMYFUNCTION("""COMPUTED_VALUE"""),22129.0)</f>
        <v>22129</v>
      </c>
      <c r="B2101" s="3" t="str">
        <f>IFERROR(__xludf.DUMMYFUNCTION("""COMPUTED_VALUE"""),"5219 HILLVIEW DR")</f>
        <v>5219 HILLVIEW DR</v>
      </c>
      <c r="C2101" s="3" t="str">
        <f>IFERROR(__xludf.DUMMYFUNCTION("""COMPUTED_VALUE"""),"HARWOOD")</f>
        <v>HARWOOD</v>
      </c>
      <c r="D2101" s="3" t="str">
        <f>IFERROR(__xludf.DUMMYFUNCTION("""COMPUTED_VALUE"""),"K0K 2H0")</f>
        <v>K0K 2H0</v>
      </c>
      <c r="E2101" s="3" t="str">
        <f>IFERROR(__xludf.DUMMYFUNCTION("""COMPUTED_VALUE"""),"ellen cook")</f>
        <v>ellen cook</v>
      </c>
      <c r="F2101" s="3" t="str">
        <f>IFERROR(__xludf.DUMMYFUNCTION("""COMPUTED_VALUE"""),"ellencook571@gmail.com")</f>
        <v>ellencook571@gmail.com</v>
      </c>
      <c r="G2101" s="3">
        <f>IFERROR(__xludf.DUMMYFUNCTION("""COMPUTED_VALUE"""),9.053754736E9)</f>
        <v>9053754736</v>
      </c>
      <c r="H2101" s="3">
        <f>IFERROR(__xludf.DUMMYFUNCTION("""COMPUTED_VALUE"""),9.053964736E9)</f>
        <v>9053964736</v>
      </c>
    </row>
    <row r="2102">
      <c r="A2102" s="2">
        <f>IFERROR(__xludf.DUMMYFUNCTION("""COMPUTED_VALUE"""),22130.0)</f>
        <v>22130</v>
      </c>
      <c r="B2102" s="3" t="str">
        <f>IFERROR(__xludf.DUMMYFUNCTION("""COMPUTED_VALUE"""),"5222 HILLVIEW DR")</f>
        <v>5222 HILLVIEW DR</v>
      </c>
      <c r="C2102" s="3" t="str">
        <f>IFERROR(__xludf.DUMMYFUNCTION("""COMPUTED_VALUE"""),"HARWOOD")</f>
        <v>HARWOOD</v>
      </c>
      <c r="D2102" s="3" t="str">
        <f>IFERROR(__xludf.DUMMYFUNCTION("""COMPUTED_VALUE"""),"K0K 2H0")</f>
        <v>K0K 2H0</v>
      </c>
      <c r="E2102" s="3" t="str">
        <f>IFERROR(__xludf.DUMMYFUNCTION("""COMPUTED_VALUE"""),"RYAN GOUGH")</f>
        <v>RYAN GOUGH</v>
      </c>
      <c r="F2102" s="3" t="str">
        <f>IFERROR(__xludf.DUMMYFUNCTION("""COMPUTED_VALUE"""),"gougher_56@hotmail.com")</f>
        <v>gougher_56@hotmail.com</v>
      </c>
      <c r="G2102" s="3"/>
      <c r="H2102" s="3"/>
    </row>
    <row r="2103">
      <c r="A2103" s="2">
        <f>IFERROR(__xludf.DUMMYFUNCTION("""COMPUTED_VALUE"""),22131.0)</f>
        <v>22131</v>
      </c>
      <c r="B2103" s="3" t="str">
        <f>IFERROR(__xludf.DUMMYFUNCTION("""COMPUTED_VALUE"""),"5229 HILLVIEW DR")</f>
        <v>5229 HILLVIEW DR</v>
      </c>
      <c r="C2103" s="3" t="str">
        <f>IFERROR(__xludf.DUMMYFUNCTION("""COMPUTED_VALUE"""),"HARWOOD")</f>
        <v>HARWOOD</v>
      </c>
      <c r="D2103" s="3" t="str">
        <f>IFERROR(__xludf.DUMMYFUNCTION("""COMPUTED_VALUE"""),"K0K 2H0")</f>
        <v>K0K 2H0</v>
      </c>
      <c r="E2103" s="3" t="str">
        <f>IFERROR(__xludf.DUMMYFUNCTION("""COMPUTED_VALUE"""),"Warren Mathew Denomme")</f>
        <v>Warren Mathew Denomme</v>
      </c>
      <c r="F2103" s="3" t="str">
        <f>IFERROR(__xludf.DUMMYFUNCTION("""COMPUTED_VALUE"""),"warrendenomme@yahoo.ca")</f>
        <v>warrendenomme@yahoo.ca</v>
      </c>
      <c r="G2103" s="3">
        <f>IFERROR(__xludf.DUMMYFUNCTION("""COMPUTED_VALUE"""),9.053965401E9)</f>
        <v>9053965401</v>
      </c>
      <c r="H2103" s="3">
        <f>IFERROR(__xludf.DUMMYFUNCTION("""COMPUTED_VALUE"""),9.058858224E9)</f>
        <v>9058858224</v>
      </c>
    </row>
    <row r="2104">
      <c r="A2104" s="2">
        <f>IFERROR(__xludf.DUMMYFUNCTION("""COMPUTED_VALUE"""),22132.0)</f>
        <v>22132</v>
      </c>
      <c r="B2104" s="3" t="str">
        <f>IFERROR(__xludf.DUMMYFUNCTION("""COMPUTED_VALUE"""),"5234 HILLVIEW DR")</f>
        <v>5234 HILLVIEW DR</v>
      </c>
      <c r="C2104" s="3" t="str">
        <f>IFERROR(__xludf.DUMMYFUNCTION("""COMPUTED_VALUE"""),"HARWOOD")</f>
        <v>HARWOOD</v>
      </c>
      <c r="D2104" s="3" t="str">
        <f>IFERROR(__xludf.DUMMYFUNCTION("""COMPUTED_VALUE"""),"K0K 2H0")</f>
        <v>K0K 2H0</v>
      </c>
      <c r="E2104" s="3"/>
      <c r="F2104" s="3"/>
      <c r="G2104" s="3"/>
      <c r="H2104" s="3"/>
    </row>
    <row r="2105">
      <c r="A2105" s="2">
        <f>IFERROR(__xludf.DUMMYFUNCTION("""COMPUTED_VALUE"""),22133.0)</f>
        <v>22133</v>
      </c>
      <c r="B2105" s="3" t="str">
        <f>IFERROR(__xludf.DUMMYFUNCTION("""COMPUTED_VALUE"""),"5241 HILLVIEW DR")</f>
        <v>5241 HILLVIEW DR</v>
      </c>
      <c r="C2105" s="3" t="str">
        <f>IFERROR(__xludf.DUMMYFUNCTION("""COMPUTED_VALUE"""),"HARWOOD")</f>
        <v>HARWOOD</v>
      </c>
      <c r="D2105" s="3" t="str">
        <f>IFERROR(__xludf.DUMMYFUNCTION("""COMPUTED_VALUE"""),"K0K 2H0")</f>
        <v>K0K 2H0</v>
      </c>
      <c r="E2105" s="3" t="str">
        <f>IFERROR(__xludf.DUMMYFUNCTION("""COMPUTED_VALUE"""),"evan oostenbrugol")</f>
        <v>evan oostenbrugol</v>
      </c>
      <c r="F2105" s="3" t="str">
        <f>IFERROR(__xludf.DUMMYFUNCTION("""COMPUTED_VALUE"""),"sisterdarla57@gmail.com")</f>
        <v>sisterdarla57@gmail.com</v>
      </c>
      <c r="G2105" s="3">
        <f>IFERROR(__xludf.DUMMYFUNCTION("""COMPUTED_VALUE"""),9.053423454E9)</f>
        <v>9053423454</v>
      </c>
      <c r="H2105" s="3"/>
    </row>
    <row r="2106">
      <c r="A2106" s="2">
        <f>IFERROR(__xludf.DUMMYFUNCTION("""COMPUTED_VALUE"""),22134.0)</f>
        <v>22134</v>
      </c>
      <c r="B2106" s="3" t="str">
        <f>IFERROR(__xludf.DUMMYFUNCTION("""COMPUTED_VALUE"""),"5246 HILLVIEW DR")</f>
        <v>5246 HILLVIEW DR</v>
      </c>
      <c r="C2106" s="3" t="str">
        <f>IFERROR(__xludf.DUMMYFUNCTION("""COMPUTED_VALUE"""),"HARWOOD")</f>
        <v>HARWOOD</v>
      </c>
      <c r="D2106" s="3" t="str">
        <f>IFERROR(__xludf.DUMMYFUNCTION("""COMPUTED_VALUE"""),"K0K 2H0")</f>
        <v>K0K 2H0</v>
      </c>
      <c r="E2106" s="3"/>
      <c r="F2106" s="3"/>
      <c r="G2106" s="3"/>
      <c r="H2106" s="3"/>
    </row>
    <row r="2107">
      <c r="A2107" s="2">
        <f>IFERROR(__xludf.DUMMYFUNCTION("""COMPUTED_VALUE"""),22135.0)</f>
        <v>22135</v>
      </c>
      <c r="B2107" s="3" t="str">
        <f>IFERROR(__xludf.DUMMYFUNCTION("""COMPUTED_VALUE"""),"5249 HILLVIEW DR")</f>
        <v>5249 HILLVIEW DR</v>
      </c>
      <c r="C2107" s="3" t="str">
        <f>IFERROR(__xludf.DUMMYFUNCTION("""COMPUTED_VALUE"""),"HARWOOD")</f>
        <v>HARWOOD</v>
      </c>
      <c r="D2107" s="3" t="str">
        <f>IFERROR(__xludf.DUMMYFUNCTION("""COMPUTED_VALUE"""),"K0K 2H0")</f>
        <v>K0K 2H0</v>
      </c>
      <c r="E2107" s="3"/>
      <c r="F2107" s="3"/>
      <c r="G2107" s="3"/>
      <c r="H2107" s="3"/>
    </row>
    <row r="2108">
      <c r="A2108" s="2">
        <f>IFERROR(__xludf.DUMMYFUNCTION("""COMPUTED_VALUE"""),22136.0)</f>
        <v>22136</v>
      </c>
      <c r="B2108" s="3" t="str">
        <f>IFERROR(__xludf.DUMMYFUNCTION("""COMPUTED_VALUE"""),"5256 HILLVIEW DR")</f>
        <v>5256 HILLVIEW DR</v>
      </c>
      <c r="C2108" s="3" t="str">
        <f>IFERROR(__xludf.DUMMYFUNCTION("""COMPUTED_VALUE"""),"HARWOOD")</f>
        <v>HARWOOD</v>
      </c>
      <c r="D2108" s="3" t="str">
        <f>IFERROR(__xludf.DUMMYFUNCTION("""COMPUTED_VALUE"""),"K0K 2H0")</f>
        <v>K0K 2H0</v>
      </c>
      <c r="E2108" s="3" t="str">
        <f>IFERROR(__xludf.DUMMYFUNCTION("""COMPUTED_VALUE"""),"lisa&amp;jason dingman")</f>
        <v>lisa&amp;jason dingman</v>
      </c>
      <c r="F2108" s="3" t="str">
        <f>IFERROR(__xludf.DUMMYFUNCTION("""COMPUTED_VALUE"""),"lisatroke@hotmail.com")</f>
        <v>lisatroke@hotmail.com</v>
      </c>
      <c r="G2108" s="3">
        <f>IFERROR(__xludf.DUMMYFUNCTION("""COMPUTED_VALUE"""),7.055592267E9)</f>
        <v>7055592267</v>
      </c>
      <c r="H2108" s="3">
        <f>IFERROR(__xludf.DUMMYFUNCTION("""COMPUTED_VALUE"""),9.052696359E9)</f>
        <v>9052696359</v>
      </c>
    </row>
    <row r="2109">
      <c r="A2109" s="2">
        <f>IFERROR(__xludf.DUMMYFUNCTION("""COMPUTED_VALUE"""),22137.0)</f>
        <v>22137</v>
      </c>
      <c r="B2109" s="3" t="str">
        <f>IFERROR(__xludf.DUMMYFUNCTION("""COMPUTED_VALUE"""),"5257 HILLVIEW DR")</f>
        <v>5257 HILLVIEW DR</v>
      </c>
      <c r="C2109" s="3" t="str">
        <f>IFERROR(__xludf.DUMMYFUNCTION("""COMPUTED_VALUE"""),"HARWOOD")</f>
        <v>HARWOOD</v>
      </c>
      <c r="D2109" s="3" t="str">
        <f>IFERROR(__xludf.DUMMYFUNCTION("""COMPUTED_VALUE"""),"K0K 2H0")</f>
        <v>K0K 2H0</v>
      </c>
      <c r="E2109" s="3" t="str">
        <f>IFERROR(__xludf.DUMMYFUNCTION("""COMPUTED_VALUE"""),"Mark thornton")</f>
        <v>Mark thornton</v>
      </c>
      <c r="F2109" s="3" t="str">
        <f>IFERROR(__xludf.DUMMYFUNCTION("""COMPUTED_VALUE"""),"thorntom01@hotmail.com")</f>
        <v>thorntom01@hotmail.com</v>
      </c>
      <c r="G2109" s="3">
        <f>IFERROR(__xludf.DUMMYFUNCTION("""COMPUTED_VALUE"""),9.05342297E9)</f>
        <v>9053422970</v>
      </c>
      <c r="H2109" s="3"/>
    </row>
    <row r="2110">
      <c r="A2110" s="2">
        <f>IFERROR(__xludf.DUMMYFUNCTION("""COMPUTED_VALUE"""),22138.0)</f>
        <v>22138</v>
      </c>
      <c r="B2110" s="3" t="str">
        <f>IFERROR(__xludf.DUMMYFUNCTION("""COMPUTED_VALUE"""),"5266 HILLVIEW DR")</f>
        <v>5266 HILLVIEW DR</v>
      </c>
      <c r="C2110" s="3" t="str">
        <f>IFERROR(__xludf.DUMMYFUNCTION("""COMPUTED_VALUE"""),"HARWOOD")</f>
        <v>HARWOOD</v>
      </c>
      <c r="D2110" s="3" t="str">
        <f>IFERROR(__xludf.DUMMYFUNCTION("""COMPUTED_VALUE"""),"K0K 2H0")</f>
        <v>K0K 2H0</v>
      </c>
      <c r="E2110" s="3" t="str">
        <f>IFERROR(__xludf.DUMMYFUNCTION("""COMPUTED_VALUE"""),"Steve Yarlett")</f>
        <v>Steve Yarlett</v>
      </c>
      <c r="F2110" s="3" t="str">
        <f>IFERROR(__xludf.DUMMYFUNCTION("""COMPUTED_VALUE"""),"yarlett.stephen@gmail.com")</f>
        <v>yarlett.stephen@gmail.com</v>
      </c>
      <c r="G2110" s="3"/>
      <c r="H2110" s="3"/>
    </row>
    <row r="2111">
      <c r="A2111" s="2">
        <f>IFERROR(__xludf.DUMMYFUNCTION("""COMPUTED_VALUE"""),22139.0)</f>
        <v>22139</v>
      </c>
      <c r="B2111" s="3" t="str">
        <f>IFERROR(__xludf.DUMMYFUNCTION("""COMPUTED_VALUE"""),"5267 HILLVIEW DR")</f>
        <v>5267 HILLVIEW DR</v>
      </c>
      <c r="C2111" s="3" t="str">
        <f>IFERROR(__xludf.DUMMYFUNCTION("""COMPUTED_VALUE"""),"HARWOOD")</f>
        <v>HARWOOD</v>
      </c>
      <c r="D2111" s="3" t="str">
        <f>IFERROR(__xludf.DUMMYFUNCTION("""COMPUTED_VALUE"""),"K0K 2H0")</f>
        <v>K0K 2H0</v>
      </c>
      <c r="E2111" s="3" t="str">
        <f>IFERROR(__xludf.DUMMYFUNCTION("""COMPUTED_VALUE"""),"david murdoch")</f>
        <v>david murdoch</v>
      </c>
      <c r="F2111" s="3"/>
      <c r="G2111" s="3">
        <f>IFERROR(__xludf.DUMMYFUNCTION("""COMPUTED_VALUE"""),9.053968506E9)</f>
        <v>9053968506</v>
      </c>
      <c r="H2111" s="3"/>
    </row>
    <row r="2112">
      <c r="A2112" s="2">
        <f>IFERROR(__xludf.DUMMYFUNCTION("""COMPUTED_VALUE"""),22140.0)</f>
        <v>22140</v>
      </c>
      <c r="B2112" s="3" t="str">
        <f>IFERROR(__xludf.DUMMYFUNCTION("""COMPUTED_VALUE"""),"5274 HILLVIEW DR")</f>
        <v>5274 HILLVIEW DR</v>
      </c>
      <c r="C2112" s="3" t="str">
        <f>IFERROR(__xludf.DUMMYFUNCTION("""COMPUTED_VALUE"""),"HARWOOD")</f>
        <v>HARWOOD</v>
      </c>
      <c r="D2112" s="3" t="str">
        <f>IFERROR(__xludf.DUMMYFUNCTION("""COMPUTED_VALUE"""),"K0K 2H0")</f>
        <v>K0K 2H0</v>
      </c>
      <c r="E2112" s="3" t="str">
        <f>IFERROR(__xludf.DUMMYFUNCTION("""COMPUTED_VALUE"""),"Josh brown")</f>
        <v>Josh brown</v>
      </c>
      <c r="F2112" s="3" t="str">
        <f>IFERROR(__xludf.DUMMYFUNCTION("""COMPUTED_VALUE"""),"joshbrown77@live.com")</f>
        <v>joshbrown77@live.com</v>
      </c>
      <c r="G2112" s="3">
        <f>IFERROR(__xludf.DUMMYFUNCTION("""COMPUTED_VALUE"""),9.053969716E9)</f>
        <v>9053969716</v>
      </c>
      <c r="H2112" s="3"/>
    </row>
    <row r="2113">
      <c r="A2113" s="2">
        <f>IFERROR(__xludf.DUMMYFUNCTION("""COMPUTED_VALUE"""),22141.0)</f>
        <v>22141</v>
      </c>
      <c r="B2113" s="3" t="str">
        <f>IFERROR(__xludf.DUMMYFUNCTION("""COMPUTED_VALUE"""),"5275 HILLVIEW DR")</f>
        <v>5275 HILLVIEW DR</v>
      </c>
      <c r="C2113" s="3" t="str">
        <f>IFERROR(__xludf.DUMMYFUNCTION("""COMPUTED_VALUE"""),"HARWOOD")</f>
        <v>HARWOOD</v>
      </c>
      <c r="D2113" s="3" t="str">
        <f>IFERROR(__xludf.DUMMYFUNCTION("""COMPUTED_VALUE"""),"K0K 2H0")</f>
        <v>K0K 2H0</v>
      </c>
      <c r="E2113" s="3" t="str">
        <f>IFERROR(__xludf.DUMMYFUNCTION("""COMPUTED_VALUE"""),"ken butter")</f>
        <v>ken butter</v>
      </c>
      <c r="F2113" s="3"/>
      <c r="G2113" s="3">
        <f>IFERROR(__xludf.DUMMYFUNCTION("""COMPUTED_VALUE"""),5.192211605E9)</f>
        <v>5192211605</v>
      </c>
      <c r="H2113" s="3"/>
    </row>
    <row r="2114">
      <c r="A2114" s="2">
        <f>IFERROR(__xludf.DUMMYFUNCTION("""COMPUTED_VALUE"""),22142.0)</f>
        <v>22142</v>
      </c>
      <c r="B2114" s="3" t="str">
        <f>IFERROR(__xludf.DUMMYFUNCTION("""COMPUTED_VALUE"""),"5280 HILLVIEW DR")</f>
        <v>5280 HILLVIEW DR</v>
      </c>
      <c r="C2114" s="3" t="str">
        <f>IFERROR(__xludf.DUMMYFUNCTION("""COMPUTED_VALUE"""),"HARWOOD")</f>
        <v>HARWOOD</v>
      </c>
      <c r="D2114" s="3" t="str">
        <f>IFERROR(__xludf.DUMMYFUNCTION("""COMPUTED_VALUE"""),"K0K 2H0")</f>
        <v>K0K 2H0</v>
      </c>
      <c r="E2114" s="3"/>
      <c r="F2114" s="3"/>
      <c r="G2114" s="3"/>
      <c r="H2114" s="3"/>
    </row>
    <row r="2115">
      <c r="A2115" s="2">
        <f>IFERROR(__xludf.DUMMYFUNCTION("""COMPUTED_VALUE"""),22143.0)</f>
        <v>22143</v>
      </c>
      <c r="B2115" s="3" t="str">
        <f>IFERROR(__xludf.DUMMYFUNCTION("""COMPUTED_VALUE"""),"5283 HILLVIEW DR")</f>
        <v>5283 HILLVIEW DR</v>
      </c>
      <c r="C2115" s="3" t="str">
        <f>IFERROR(__xludf.DUMMYFUNCTION("""COMPUTED_VALUE"""),"HARWOOD")</f>
        <v>HARWOOD</v>
      </c>
      <c r="D2115" s="3" t="str">
        <f>IFERROR(__xludf.DUMMYFUNCTION("""COMPUTED_VALUE"""),"K0K 2H0")</f>
        <v>K0K 2H0</v>
      </c>
      <c r="E2115" s="3"/>
      <c r="F2115" s="3"/>
      <c r="G2115" s="3"/>
      <c r="H2115" s="3"/>
    </row>
    <row r="2116">
      <c r="A2116" s="2">
        <f>IFERROR(__xludf.DUMMYFUNCTION("""COMPUTED_VALUE"""),22144.0)</f>
        <v>22144</v>
      </c>
      <c r="B2116" s="3" t="str">
        <f>IFERROR(__xludf.DUMMYFUNCTION("""COMPUTED_VALUE"""),"5288 HILLVIEW DR")</f>
        <v>5288 HILLVIEW DR</v>
      </c>
      <c r="C2116" s="3" t="str">
        <f>IFERROR(__xludf.DUMMYFUNCTION("""COMPUTED_VALUE"""),"HARWOOD")</f>
        <v>HARWOOD</v>
      </c>
      <c r="D2116" s="3" t="str">
        <f>IFERROR(__xludf.DUMMYFUNCTION("""COMPUTED_VALUE"""),"K0K 2H0")</f>
        <v>K0K 2H0</v>
      </c>
      <c r="E2116" s="3"/>
      <c r="F2116" s="3"/>
      <c r="G2116" s="3"/>
      <c r="H2116" s="3"/>
    </row>
    <row r="2117">
      <c r="A2117" s="2">
        <f>IFERROR(__xludf.DUMMYFUNCTION("""COMPUTED_VALUE"""),22145.0)</f>
        <v>22145</v>
      </c>
      <c r="B2117" s="3" t="str">
        <f>IFERROR(__xludf.DUMMYFUNCTION("""COMPUTED_VALUE"""),"5294 HILLVIEW DR")</f>
        <v>5294 HILLVIEW DR</v>
      </c>
      <c r="C2117" s="3" t="str">
        <f>IFERROR(__xludf.DUMMYFUNCTION("""COMPUTED_VALUE"""),"HARWOOD")</f>
        <v>HARWOOD</v>
      </c>
      <c r="D2117" s="3" t="str">
        <f>IFERROR(__xludf.DUMMYFUNCTION("""COMPUTED_VALUE"""),"K0K 2H0")</f>
        <v>K0K 2H0</v>
      </c>
      <c r="E2117" s="3" t="str">
        <f>IFERROR(__xludf.DUMMYFUNCTION("""COMPUTED_VALUE"""),"Joseph Pietrzyk")</f>
        <v>Joseph Pietrzyk</v>
      </c>
      <c r="F2117" s="3" t="str">
        <f>IFERROR(__xludf.DUMMYFUNCTION("""COMPUTED_VALUE"""),"sevengroup1930@hotmail.com")</f>
        <v>sevengroup1930@hotmail.com</v>
      </c>
      <c r="G2117" s="3"/>
      <c r="H2117" s="3"/>
    </row>
    <row r="2118">
      <c r="A2118" s="2">
        <f>IFERROR(__xludf.DUMMYFUNCTION("""COMPUTED_VALUE"""),22146.0)</f>
        <v>22146</v>
      </c>
      <c r="B2118" s="3" t="str">
        <f>IFERROR(__xludf.DUMMYFUNCTION("""COMPUTED_VALUE"""),"4941 HILTON HARRIS RD")</f>
        <v>4941 HILTON HARRIS RD</v>
      </c>
      <c r="C2118" s="3" t="str">
        <f>IFERROR(__xludf.DUMMYFUNCTION("""COMPUTED_VALUE"""),"GORES LANDING")</f>
        <v>GORES LANDING</v>
      </c>
      <c r="D2118" s="3" t="str">
        <f>IFERROR(__xludf.DUMMYFUNCTION("""COMPUTED_VALUE"""),"K0K 2E0")</f>
        <v>K0K 2E0</v>
      </c>
      <c r="E2118" s="3" t="str">
        <f>IFERROR(__xludf.DUMMYFUNCTION("""COMPUTED_VALUE"""),"brenda beck")</f>
        <v>brenda beck</v>
      </c>
      <c r="F2118" s="3" t="str">
        <f>IFERROR(__xludf.DUMMYFUNCTION("""COMPUTED_VALUE"""),"brandaas@hiqhilton.ca")</f>
        <v>brandaas@hiqhilton.ca</v>
      </c>
      <c r="G2118" s="3">
        <f>IFERROR(__xludf.DUMMYFUNCTION("""COMPUTED_VALUE"""),9.053735456E9)</f>
        <v>9053735456</v>
      </c>
      <c r="H2118" s="3">
        <f>IFERROR(__xludf.DUMMYFUNCTION("""COMPUTED_VALUE"""),9.05375383E9)</f>
        <v>9053753830</v>
      </c>
    </row>
    <row r="2119">
      <c r="A2119" s="2">
        <f>IFERROR(__xludf.DUMMYFUNCTION("""COMPUTED_VALUE"""),22186.0)</f>
        <v>22186</v>
      </c>
      <c r="B2119" s="3" t="str">
        <f>IFERROR(__xludf.DUMMYFUNCTION("""COMPUTED_VALUE"""),"3949 IRVING GOHEEN RD")</f>
        <v>3949 IRVING GOHEEN RD</v>
      </c>
      <c r="C2119" s="3" t="str">
        <f>IFERROR(__xludf.DUMMYFUNCTION("""COMPUTED_VALUE"""),"COBOURG")</f>
        <v>COBOURG</v>
      </c>
      <c r="D2119" s="3" t="str">
        <f>IFERROR(__xludf.DUMMYFUNCTION("""COMPUTED_VALUE"""),"K9A 4J7")</f>
        <v>K9A 4J7</v>
      </c>
      <c r="E2119" s="3"/>
      <c r="F2119" s="3"/>
      <c r="G2119" s="3"/>
      <c r="H2119" s="3"/>
    </row>
    <row r="2120">
      <c r="A2120" s="2">
        <f>IFERROR(__xludf.DUMMYFUNCTION("""COMPUTED_VALUE"""),22187.0)</f>
        <v>22187</v>
      </c>
      <c r="B2120" s="3" t="str">
        <f>IFERROR(__xludf.DUMMYFUNCTION("""COMPUTED_VALUE"""),"3958 IRVING GOHEEN RD")</f>
        <v>3958 IRVING GOHEEN RD</v>
      </c>
      <c r="C2120" s="3" t="str">
        <f>IFERROR(__xludf.DUMMYFUNCTION("""COMPUTED_VALUE"""),"COBOURG")</f>
        <v>COBOURG</v>
      </c>
      <c r="D2120" s="3" t="str">
        <f>IFERROR(__xludf.DUMMYFUNCTION("""COMPUTED_VALUE"""),"K9A 4J7")</f>
        <v>K9A 4J7</v>
      </c>
      <c r="E2120" s="3"/>
      <c r="F2120" s="3"/>
      <c r="G2120" s="3"/>
      <c r="H2120" s="3"/>
    </row>
    <row r="2121">
      <c r="A2121" s="2">
        <f>IFERROR(__xludf.DUMMYFUNCTION("""COMPUTED_VALUE"""),22188.0)</f>
        <v>22188</v>
      </c>
      <c r="B2121" s="3" t="str">
        <f>IFERROR(__xludf.DUMMYFUNCTION("""COMPUTED_VALUE"""),"4015 IRVING GOHEEN RD")</f>
        <v>4015 IRVING GOHEEN RD</v>
      </c>
      <c r="C2121" s="3" t="str">
        <f>IFERROR(__xludf.DUMMYFUNCTION("""COMPUTED_VALUE"""),"COBOURG")</f>
        <v>COBOURG</v>
      </c>
      <c r="D2121" s="3" t="str">
        <f>IFERROR(__xludf.DUMMYFUNCTION("""COMPUTED_VALUE"""),"K9A 4J7")</f>
        <v>K9A 4J7</v>
      </c>
      <c r="E2121" s="3" t="str">
        <f>IFERROR(__xludf.DUMMYFUNCTION("""COMPUTED_VALUE"""),"wayne aweicker")</f>
        <v>wayne aweicker</v>
      </c>
      <c r="F2121" s="3"/>
      <c r="G2121" s="3">
        <f>IFERROR(__xludf.DUMMYFUNCTION("""COMPUTED_VALUE"""),9.053429692E9)</f>
        <v>9053429692</v>
      </c>
      <c r="H2121" s="3"/>
    </row>
    <row r="2122">
      <c r="A2122" s="2">
        <f>IFERROR(__xludf.DUMMYFUNCTION("""COMPUTED_VALUE"""),22192.0)</f>
        <v>22192</v>
      </c>
      <c r="B2122" s="3" t="str">
        <f>IFERROR(__xludf.DUMMYFUNCTION("""COMPUTED_VALUE"""),"127 JACKSON RD")</f>
        <v>127 JACKSON RD</v>
      </c>
      <c r="C2122" s="3" t="str">
        <f>IFERROR(__xludf.DUMMYFUNCTION("""COMPUTED_VALUE"""),"BALTIMORE")</f>
        <v>BALTIMORE</v>
      </c>
      <c r="D2122" s="3" t="str">
        <f>IFERROR(__xludf.DUMMYFUNCTION("""COMPUTED_VALUE"""),"K0K 1C0")</f>
        <v>K0K 1C0</v>
      </c>
      <c r="E2122" s="3"/>
      <c r="F2122" s="3"/>
      <c r="G2122" s="3"/>
      <c r="H2122" s="3"/>
    </row>
    <row r="2123">
      <c r="A2123" s="2">
        <f>IFERROR(__xludf.DUMMYFUNCTION("""COMPUTED_VALUE"""),22194.0)</f>
        <v>22194</v>
      </c>
      <c r="B2123" s="3" t="str">
        <f>IFERROR(__xludf.DUMMYFUNCTION("""COMPUTED_VALUE"""),"4771 JASPER MARTIN RD")</f>
        <v>4771 JASPER MARTIN RD</v>
      </c>
      <c r="C2123" s="3" t="str">
        <f>IFERROR(__xludf.DUMMYFUNCTION("""COMPUTED_VALUE"""),"BALTIMORE")</f>
        <v>BALTIMORE</v>
      </c>
      <c r="D2123" s="3" t="str">
        <f>IFERROR(__xludf.DUMMYFUNCTION("""COMPUTED_VALUE"""),"K0K 1C0")</f>
        <v>K0K 1C0</v>
      </c>
      <c r="E2123" s="3"/>
      <c r="F2123" s="3"/>
      <c r="G2123" s="3"/>
      <c r="H2123" s="3"/>
    </row>
    <row r="2124">
      <c r="A2124" s="2">
        <f>IFERROR(__xludf.DUMMYFUNCTION("""COMPUTED_VALUE"""),22195.0)</f>
        <v>22195</v>
      </c>
      <c r="B2124" s="3" t="str">
        <f>IFERROR(__xludf.DUMMYFUNCTION("""COMPUTED_VALUE"""),"4822 JASPER MARTIN RD")</f>
        <v>4822 JASPER MARTIN RD</v>
      </c>
      <c r="C2124" s="3" t="str">
        <f>IFERROR(__xludf.DUMMYFUNCTION("""COMPUTED_VALUE"""),"BALTIMORE")</f>
        <v>BALTIMORE</v>
      </c>
      <c r="D2124" s="3" t="str">
        <f>IFERROR(__xludf.DUMMYFUNCTION("""COMPUTED_VALUE"""),"K0K 1C0")</f>
        <v>K0K 1C0</v>
      </c>
      <c r="E2124" s="3" t="str">
        <f>IFERROR(__xludf.DUMMYFUNCTION("""COMPUTED_VALUE"""),"Ken Javinal")</f>
        <v>Ken Javinal</v>
      </c>
      <c r="F2124" s="3" t="str">
        <f>IFERROR(__xludf.DUMMYFUNCTION("""COMPUTED_VALUE"""),"ken.javinal@gmail.com")</f>
        <v>ken.javinal@gmail.com</v>
      </c>
      <c r="G2124" s="3"/>
      <c r="H2124" s="3"/>
    </row>
    <row r="2125">
      <c r="A2125" s="2">
        <f>IFERROR(__xludf.DUMMYFUNCTION("""COMPUTED_VALUE"""),22217.0)</f>
        <v>22217</v>
      </c>
      <c r="B2125" s="3" t="str">
        <f>IFERROR(__xludf.DUMMYFUNCTION("""COMPUTED_VALUE"""),"7929 JIBB RD")</f>
        <v>7929 JIBB RD</v>
      </c>
      <c r="C2125" s="3" t="str">
        <f>IFERROR(__xludf.DUMMYFUNCTION("""COMPUTED_VALUE"""),"COBOURG")</f>
        <v>COBOURG</v>
      </c>
      <c r="D2125" s="3" t="str">
        <f>IFERROR(__xludf.DUMMYFUNCTION("""COMPUTED_VALUE"""),"K9A 4J7")</f>
        <v>K9A 4J7</v>
      </c>
      <c r="E2125" s="3" t="str">
        <f>IFERROR(__xludf.DUMMYFUNCTION("""COMPUTED_VALUE"""),"Anna May McCloskey")</f>
        <v>Anna May McCloskey</v>
      </c>
      <c r="F2125" s="3" t="str">
        <f>IFERROR(__xludf.DUMMYFUNCTION("""COMPUTED_VALUE"""),"amflett@xplornet.com")</f>
        <v>amflett@xplornet.com</v>
      </c>
      <c r="G2125" s="3">
        <f>IFERROR(__xludf.DUMMYFUNCTION("""COMPUTED_VALUE"""),9.053965826E9)</f>
        <v>9053965826</v>
      </c>
      <c r="H2125" s="3"/>
    </row>
    <row r="2126">
      <c r="A2126" s="2">
        <f>IFERROR(__xludf.DUMMYFUNCTION("""COMPUTED_VALUE"""),22218.0)</f>
        <v>22218</v>
      </c>
      <c r="B2126" s="3" t="str">
        <f>IFERROR(__xludf.DUMMYFUNCTION("""COMPUTED_VALUE"""),"7950 JIBB RD")</f>
        <v>7950 JIBB RD</v>
      </c>
      <c r="C2126" s="3" t="str">
        <f>IFERROR(__xludf.DUMMYFUNCTION("""COMPUTED_VALUE"""),"COBOURG")</f>
        <v>COBOURG</v>
      </c>
      <c r="D2126" s="3" t="str">
        <f>IFERROR(__xludf.DUMMYFUNCTION("""COMPUTED_VALUE"""),"K9A 4J7")</f>
        <v>K9A 4J7</v>
      </c>
      <c r="E2126" s="3" t="str">
        <f>IFERROR(__xludf.DUMMYFUNCTION("""COMPUTED_VALUE"""),"Joseph Howse")</f>
        <v>Joseph Howse</v>
      </c>
      <c r="F2126" s="3" t="str">
        <f>IFERROR(__xludf.DUMMYFUNCTION("""COMPUTED_VALUE"""),"joseph.s.howse@gmail.com")</f>
        <v>joseph.s.howse@gmail.com</v>
      </c>
      <c r="G2126" s="3">
        <f>IFERROR(__xludf.DUMMYFUNCTION("""COMPUTED_VALUE"""),9.054356411E9)</f>
        <v>9054356411</v>
      </c>
      <c r="H2126" s="3">
        <f>IFERROR(__xludf.DUMMYFUNCTION("""COMPUTED_VALUE"""),7.059311654E9)</f>
        <v>7059311654</v>
      </c>
    </row>
    <row r="2127">
      <c r="A2127" s="2">
        <f>IFERROR(__xludf.DUMMYFUNCTION("""COMPUTED_VALUE"""),22219.0)</f>
        <v>22219</v>
      </c>
      <c r="B2127" s="3" t="str">
        <f>IFERROR(__xludf.DUMMYFUNCTION("""COMPUTED_VALUE"""),"7969 JIBB RD")</f>
        <v>7969 JIBB RD</v>
      </c>
      <c r="C2127" s="3" t="str">
        <f>IFERROR(__xludf.DUMMYFUNCTION("""COMPUTED_VALUE"""),"COBOURG")</f>
        <v>COBOURG</v>
      </c>
      <c r="D2127" s="3" t="str">
        <f>IFERROR(__xludf.DUMMYFUNCTION("""COMPUTED_VALUE"""),"K9A 4J7")</f>
        <v>K9A 4J7</v>
      </c>
      <c r="E2127" s="3" t="str">
        <f>IFERROR(__xludf.DUMMYFUNCTION("""COMPUTED_VALUE"""),"Rebecca Lane")</f>
        <v>Rebecca Lane</v>
      </c>
      <c r="F2127" s="3" t="str">
        <f>IFERROR(__xludf.DUMMYFUNCTION("""COMPUTED_VALUE"""),"rboyd_48@hotmail.com")</f>
        <v>rboyd_48@hotmail.com</v>
      </c>
      <c r="G2127" s="3">
        <f>IFERROR(__xludf.DUMMYFUNCTION("""COMPUTED_VALUE"""),9.058091186E9)</f>
        <v>9058091186</v>
      </c>
      <c r="H2127" s="3">
        <f>IFERROR(__xludf.DUMMYFUNCTION("""COMPUTED_VALUE"""),9.059263619E9)</f>
        <v>9059263619</v>
      </c>
    </row>
    <row r="2128">
      <c r="A2128" s="2">
        <f>IFERROR(__xludf.DUMMYFUNCTION("""COMPUTED_VALUE"""),22220.0)</f>
        <v>22220</v>
      </c>
      <c r="B2128" s="3" t="str">
        <f>IFERROR(__xludf.DUMMYFUNCTION("""COMPUTED_VALUE"""),"7994 JIBB RD")</f>
        <v>7994 JIBB RD</v>
      </c>
      <c r="C2128" s="3" t="str">
        <f>IFERROR(__xludf.DUMMYFUNCTION("""COMPUTED_VALUE"""),"COBOURG")</f>
        <v>COBOURG</v>
      </c>
      <c r="D2128" s="3" t="str">
        <f>IFERROR(__xludf.DUMMYFUNCTION("""COMPUTED_VALUE"""),"K9A 4J7")</f>
        <v>K9A 4J7</v>
      </c>
      <c r="E2128" s="3" t="str">
        <f>IFERROR(__xludf.DUMMYFUNCTION("""COMPUTED_VALUE"""),"kenholmes")</f>
        <v>kenholmes</v>
      </c>
      <c r="F2128" s="3" t="str">
        <f>IFERROR(__xludf.DUMMYFUNCTION("""COMPUTED_VALUE"""),"countyhomes3@gmail.com")</f>
        <v>countyhomes3@gmail.com</v>
      </c>
      <c r="G2128" s="3">
        <f>IFERROR(__xludf.DUMMYFUNCTION("""COMPUTED_VALUE"""),2.892510803E9)</f>
        <v>2892510803</v>
      </c>
      <c r="H2128" s="3"/>
    </row>
    <row r="2129">
      <c r="A2129" s="2">
        <f>IFERROR(__xludf.DUMMYFUNCTION("""COMPUTED_VALUE"""),22221.0)</f>
        <v>22221</v>
      </c>
      <c r="B2129" s="3" t="str">
        <f>IFERROR(__xludf.DUMMYFUNCTION("""COMPUTED_VALUE"""),"8003 JIBB RD")</f>
        <v>8003 JIBB RD</v>
      </c>
      <c r="C2129" s="3" t="str">
        <f>IFERROR(__xludf.DUMMYFUNCTION("""COMPUTED_VALUE"""),"COBOURG")</f>
        <v>COBOURG</v>
      </c>
      <c r="D2129" s="3" t="str">
        <f>IFERROR(__xludf.DUMMYFUNCTION("""COMPUTED_VALUE"""),"K9A 4J7")</f>
        <v>K9A 4J7</v>
      </c>
      <c r="E2129" s="3" t="str">
        <f>IFERROR(__xludf.DUMMYFUNCTION("""COMPUTED_VALUE"""),"BRADY IBANEZ")</f>
        <v>BRADY IBANEZ</v>
      </c>
      <c r="F2129" s="3" t="str">
        <f>IFERROR(__xludf.DUMMYFUNCTION("""COMPUTED_VALUE"""),"bradyjibanez@gmail.com")</f>
        <v>bradyjibanez@gmail.com</v>
      </c>
      <c r="G2129" s="3"/>
      <c r="H2129" s="3"/>
    </row>
    <row r="2130">
      <c r="A2130" s="2">
        <f>IFERROR(__xludf.DUMMYFUNCTION("""COMPUTED_VALUE"""),22222.0)</f>
        <v>22222</v>
      </c>
      <c r="B2130" s="3" t="str">
        <f>IFERROR(__xludf.DUMMYFUNCTION("""COMPUTED_VALUE"""),"8006 JIBB RD")</f>
        <v>8006 JIBB RD</v>
      </c>
      <c r="C2130" s="3" t="str">
        <f>IFERROR(__xludf.DUMMYFUNCTION("""COMPUTED_VALUE"""),"COBOURG")</f>
        <v>COBOURG</v>
      </c>
      <c r="D2130" s="3" t="str">
        <f>IFERROR(__xludf.DUMMYFUNCTION("""COMPUTED_VALUE"""),"K9A 4J7")</f>
        <v>K9A 4J7</v>
      </c>
      <c r="E2130" s="3" t="str">
        <f>IFERROR(__xludf.DUMMYFUNCTION("""COMPUTED_VALUE"""),"Alison Ness")</f>
        <v>Alison Ness</v>
      </c>
      <c r="F2130" s="3" t="str">
        <f>IFERROR(__xludf.DUMMYFUNCTION("""COMPUTED_VALUE"""),"alisonmichelleness@gmail.com")</f>
        <v>alisonmichelleness@gmail.com</v>
      </c>
      <c r="G2130" s="3">
        <f>IFERROR(__xludf.DUMMYFUNCTION("""COMPUTED_VALUE"""),6.472292093E9)</f>
        <v>6472292093</v>
      </c>
      <c r="H2130" s="3"/>
    </row>
    <row r="2131">
      <c r="A2131" s="2">
        <f>IFERROR(__xludf.DUMMYFUNCTION("""COMPUTED_VALUE"""),22223.0)</f>
        <v>22223</v>
      </c>
      <c r="B2131" s="3" t="str">
        <f>IFERROR(__xludf.DUMMYFUNCTION("""COMPUTED_VALUE"""),"8067 JIBB RD")</f>
        <v>8067 JIBB RD</v>
      </c>
      <c r="C2131" s="3" t="str">
        <f>IFERROR(__xludf.DUMMYFUNCTION("""COMPUTED_VALUE"""),"COBOURG")</f>
        <v>COBOURG</v>
      </c>
      <c r="D2131" s="3" t="str">
        <f>IFERROR(__xludf.DUMMYFUNCTION("""COMPUTED_VALUE"""),"K9A 4J7")</f>
        <v>K9A 4J7</v>
      </c>
      <c r="E2131" s="3" t="str">
        <f>IFERROR(__xludf.DUMMYFUNCTION("""COMPUTED_VALUE"""),"Anna Carreau")</f>
        <v>Anna Carreau</v>
      </c>
      <c r="F2131" s="3" t="str">
        <f>IFERROR(__xludf.DUMMYFUNCTION("""COMPUTED_VALUE"""),"annacarreau87@gmail.com")</f>
        <v>annacarreau87@gmail.com</v>
      </c>
      <c r="G2131" s="3">
        <f>IFERROR(__xludf.DUMMYFUNCTION("""COMPUTED_VALUE"""),9.052699506E9)</f>
        <v>9052699506</v>
      </c>
      <c r="H2131" s="3">
        <f>IFERROR(__xludf.DUMMYFUNCTION("""COMPUTED_VALUE"""),2.894514991E9)</f>
        <v>2894514991</v>
      </c>
    </row>
    <row r="2132">
      <c r="A2132" s="2">
        <f>IFERROR(__xludf.DUMMYFUNCTION("""COMPUTED_VALUE"""),22224.0)</f>
        <v>22224</v>
      </c>
      <c r="B2132" s="3" t="str">
        <f>IFERROR(__xludf.DUMMYFUNCTION("""COMPUTED_VALUE"""),"8075 JIBB RD")</f>
        <v>8075 JIBB RD</v>
      </c>
      <c r="C2132" s="3" t="str">
        <f>IFERROR(__xludf.DUMMYFUNCTION("""COMPUTED_VALUE"""),"COBOURG")</f>
        <v>COBOURG</v>
      </c>
      <c r="D2132" s="3" t="str">
        <f>IFERROR(__xludf.DUMMYFUNCTION("""COMPUTED_VALUE"""),"K9A 4J7")</f>
        <v>K9A 4J7</v>
      </c>
      <c r="E2132" s="3" t="str">
        <f>IFERROR(__xludf.DUMMYFUNCTION("""COMPUTED_VALUE"""),"anna Carreau")</f>
        <v>anna Carreau</v>
      </c>
      <c r="F2132" s="3" t="str">
        <f>IFERROR(__xludf.DUMMYFUNCTION("""COMPUTED_VALUE"""),"annacarreau87@gmail.com")</f>
        <v>annacarreau87@gmail.com</v>
      </c>
      <c r="G2132" s="3">
        <f>IFERROR(__xludf.DUMMYFUNCTION("""COMPUTED_VALUE"""),9.052699506E9)</f>
        <v>9052699506</v>
      </c>
      <c r="H2132" s="3">
        <f>IFERROR(__xludf.DUMMYFUNCTION("""COMPUTED_VALUE"""),2.894514991E9)</f>
        <v>2894514991</v>
      </c>
    </row>
    <row r="2133">
      <c r="A2133" s="2">
        <f>IFERROR(__xludf.DUMMYFUNCTION("""COMPUTED_VALUE"""),22225.0)</f>
        <v>22225</v>
      </c>
      <c r="B2133" s="3" t="str">
        <f>IFERROR(__xludf.DUMMYFUNCTION("""COMPUTED_VALUE"""),"8097 JIBB RD")</f>
        <v>8097 JIBB RD</v>
      </c>
      <c r="C2133" s="3" t="str">
        <f>IFERROR(__xludf.DUMMYFUNCTION("""COMPUTED_VALUE"""),"COBOURG")</f>
        <v>COBOURG</v>
      </c>
      <c r="D2133" s="3" t="str">
        <f>IFERROR(__xludf.DUMMYFUNCTION("""COMPUTED_VALUE"""),"K9A 4J7")</f>
        <v>K9A 4J7</v>
      </c>
      <c r="E2133" s="3" t="str">
        <f>IFERROR(__xludf.DUMMYFUNCTION("""COMPUTED_VALUE"""),"Doreen Smith")</f>
        <v>Doreen Smith</v>
      </c>
      <c r="F2133" s="3" t="str">
        <f>IFERROR(__xludf.DUMMYFUNCTION("""COMPUTED_VALUE"""),"doreennsmith@live.com")</f>
        <v>doreennsmith@live.com</v>
      </c>
      <c r="G2133" s="3">
        <f>IFERROR(__xludf.DUMMYFUNCTION("""COMPUTED_VALUE"""),9.053423497E9)</f>
        <v>9053423497</v>
      </c>
      <c r="H2133" s="3"/>
    </row>
    <row r="2134">
      <c r="A2134" s="2">
        <f>IFERROR(__xludf.DUMMYFUNCTION("""COMPUTED_VALUE"""),22226.0)</f>
        <v>22226</v>
      </c>
      <c r="B2134" s="3" t="str">
        <f>IFERROR(__xludf.DUMMYFUNCTION("""COMPUTED_VALUE"""),"8117 JIBB RD")</f>
        <v>8117 JIBB RD</v>
      </c>
      <c r="C2134" s="3" t="str">
        <f>IFERROR(__xludf.DUMMYFUNCTION("""COMPUTED_VALUE"""),"COBOURG")</f>
        <v>COBOURG</v>
      </c>
      <c r="D2134" s="3" t="str">
        <f>IFERROR(__xludf.DUMMYFUNCTION("""COMPUTED_VALUE"""),"K9A 4J7")</f>
        <v>K9A 4J7</v>
      </c>
      <c r="E2134" s="3"/>
      <c r="F2134" s="3"/>
      <c r="G2134" s="3"/>
      <c r="H2134" s="3"/>
    </row>
    <row r="2135">
      <c r="A2135" s="2">
        <f>IFERROR(__xludf.DUMMYFUNCTION("""COMPUTED_VALUE"""),22227.0)</f>
        <v>22227</v>
      </c>
      <c r="B2135" s="3" t="str">
        <f>IFERROR(__xludf.DUMMYFUNCTION("""COMPUTED_VALUE"""),"8125 JIBB RD")</f>
        <v>8125 JIBB RD</v>
      </c>
      <c r="C2135" s="3" t="str">
        <f>IFERROR(__xludf.DUMMYFUNCTION("""COMPUTED_VALUE"""),"COBOURG")</f>
        <v>COBOURG</v>
      </c>
      <c r="D2135" s="3" t="str">
        <f>IFERROR(__xludf.DUMMYFUNCTION("""COMPUTED_VALUE"""),"K9A 4J7")</f>
        <v>K9A 4J7</v>
      </c>
      <c r="E2135" s="3" t="str">
        <f>IFERROR(__xludf.DUMMYFUNCTION("""COMPUTED_VALUE"""),"Brad Tapscott")</f>
        <v>Brad Tapscott</v>
      </c>
      <c r="F2135" s="3" t="str">
        <f>IFERROR(__xludf.DUMMYFUNCTION("""COMPUTED_VALUE"""),"meganandbradleytapscott@gmail.com")</f>
        <v>meganandbradleytapscott@gmail.com</v>
      </c>
      <c r="G2135" s="3">
        <f>IFERROR(__xludf.DUMMYFUNCTION("""COMPUTED_VALUE"""),6.139214814E9)</f>
        <v>6139214814</v>
      </c>
      <c r="H2135" s="3"/>
    </row>
    <row r="2136">
      <c r="A2136" s="2">
        <f>IFERROR(__xludf.DUMMYFUNCTION("""COMPUTED_VALUE"""),24023.0)</f>
        <v>24023</v>
      </c>
      <c r="B2136" s="3" t="str">
        <f>IFERROR(__xludf.DUMMYFUNCTION("""COMPUTED_VALUE"""),"8131 JIBB RD")</f>
        <v>8131 JIBB RD</v>
      </c>
      <c r="C2136" s="3" t="str">
        <f>IFERROR(__xludf.DUMMYFUNCTION("""COMPUTED_VALUE"""),"COBOURG")</f>
        <v>COBOURG</v>
      </c>
      <c r="D2136" s="3" t="str">
        <f>IFERROR(__xludf.DUMMYFUNCTION("""COMPUTED_VALUE"""),"K9A 4J7")</f>
        <v>K9A 4J7</v>
      </c>
      <c r="E2136" s="3"/>
      <c r="F2136" s="3"/>
      <c r="G2136" s="3"/>
      <c r="H2136" s="3"/>
    </row>
    <row r="2137">
      <c r="A2137" s="2">
        <f>IFERROR(__xludf.DUMMYFUNCTION("""COMPUTED_VALUE"""),22228.0)</f>
        <v>22228</v>
      </c>
      <c r="B2137" s="3" t="str">
        <f>IFERROR(__xludf.DUMMYFUNCTION("""COMPUTED_VALUE"""),"8132 JIBB RD")</f>
        <v>8132 JIBB RD</v>
      </c>
      <c r="C2137" s="3" t="str">
        <f>IFERROR(__xludf.DUMMYFUNCTION("""COMPUTED_VALUE"""),"COBOURG")</f>
        <v>COBOURG</v>
      </c>
      <c r="D2137" s="3" t="str">
        <f>IFERROR(__xludf.DUMMYFUNCTION("""COMPUTED_VALUE"""),"K9A 4J7")</f>
        <v>K9A 4J7</v>
      </c>
      <c r="E2137" s="3" t="str">
        <f>IFERROR(__xludf.DUMMYFUNCTION("""COMPUTED_VALUE"""),"Jerry Kurhan")</f>
        <v>Jerry Kurhan</v>
      </c>
      <c r="F2137" s="3" t="str">
        <f>IFERROR(__xludf.DUMMYFUNCTION("""COMPUTED_VALUE"""),"jerrykurhan@gmail.com")</f>
        <v>jerrykurhan@gmail.com</v>
      </c>
      <c r="G2137" s="3">
        <f>IFERROR(__xludf.DUMMYFUNCTION("""COMPUTED_VALUE"""),9.054311002E9)</f>
        <v>9054311002</v>
      </c>
      <c r="H2137" s="3"/>
    </row>
    <row r="2138">
      <c r="A2138" s="2">
        <f>IFERROR(__xludf.DUMMYFUNCTION("""COMPUTED_VALUE"""),22229.0)</f>
        <v>22229</v>
      </c>
      <c r="B2138" s="3" t="str">
        <f>IFERROR(__xludf.DUMMYFUNCTION("""COMPUTED_VALUE"""),"8138 JIBB RD")</f>
        <v>8138 JIBB RD</v>
      </c>
      <c r="C2138" s="3" t="str">
        <f>IFERROR(__xludf.DUMMYFUNCTION("""COMPUTED_VALUE"""),"COBOURG")</f>
        <v>COBOURG</v>
      </c>
      <c r="D2138" s="3" t="str">
        <f>IFERROR(__xludf.DUMMYFUNCTION("""COMPUTED_VALUE"""),"K9A 4J7")</f>
        <v>K9A 4J7</v>
      </c>
      <c r="E2138" s="3" t="str">
        <f>IFERROR(__xludf.DUMMYFUNCTION("""COMPUTED_VALUE"""),"Derek Boden")</f>
        <v>Derek Boden</v>
      </c>
      <c r="F2138" s="3" t="str">
        <f>IFERROR(__xludf.DUMMYFUNCTION("""COMPUTED_VALUE"""),"derek_boden@hotmail.com")</f>
        <v>derek_boden@hotmail.com</v>
      </c>
      <c r="G2138" s="3">
        <f>IFERROR(__xludf.DUMMYFUNCTION("""COMPUTED_VALUE"""),1.9053739514E10)</f>
        <v>19053739514</v>
      </c>
      <c r="H2138" s="3"/>
    </row>
    <row r="2139">
      <c r="A2139" s="2">
        <f>IFERROR(__xludf.DUMMYFUNCTION("""COMPUTED_VALUE"""),22230.0)</f>
        <v>22230</v>
      </c>
      <c r="B2139" s="3" t="str">
        <f>IFERROR(__xludf.DUMMYFUNCTION("""COMPUTED_VALUE"""),"8144 JIBB RD")</f>
        <v>8144 JIBB RD</v>
      </c>
      <c r="C2139" s="3" t="str">
        <f>IFERROR(__xludf.DUMMYFUNCTION("""COMPUTED_VALUE"""),"COBOURG")</f>
        <v>COBOURG</v>
      </c>
      <c r="D2139" s="3" t="str">
        <f>IFERROR(__xludf.DUMMYFUNCTION("""COMPUTED_VALUE"""),"K9A 4J7")</f>
        <v>K9A 4J7</v>
      </c>
      <c r="E2139" s="3" t="str">
        <f>IFERROR(__xludf.DUMMYFUNCTION("""COMPUTED_VALUE"""),"Nigel Hall")</f>
        <v>Nigel Hall</v>
      </c>
      <c r="F2139" s="3" t="str">
        <f>IFERROR(__xludf.DUMMYFUNCTION("""COMPUTED_VALUE"""),"nigfd44@gmail.com")</f>
        <v>nigfd44@gmail.com</v>
      </c>
      <c r="G2139" s="3">
        <f>IFERROR(__xludf.DUMMYFUNCTION("""COMPUTED_VALUE"""),2.892514522E9)</f>
        <v>2892514522</v>
      </c>
      <c r="H2139" s="3"/>
    </row>
    <row r="2140">
      <c r="A2140" s="2">
        <f>IFERROR(__xludf.DUMMYFUNCTION("""COMPUTED_VALUE"""),22231.0)</f>
        <v>22231</v>
      </c>
      <c r="B2140" s="3" t="str">
        <f>IFERROR(__xludf.DUMMYFUNCTION("""COMPUTED_VALUE"""),"8160 JIBB RD")</f>
        <v>8160 JIBB RD</v>
      </c>
      <c r="C2140" s="3" t="str">
        <f>IFERROR(__xludf.DUMMYFUNCTION("""COMPUTED_VALUE"""),"COBOURG")</f>
        <v>COBOURG</v>
      </c>
      <c r="D2140" s="3" t="str">
        <f>IFERROR(__xludf.DUMMYFUNCTION("""COMPUTED_VALUE"""),"K9A 4J7")</f>
        <v>K9A 4J7</v>
      </c>
      <c r="E2140" s="3" t="str">
        <f>IFERROR(__xludf.DUMMYFUNCTION("""COMPUTED_VALUE"""),"Larry Bowman")</f>
        <v>Larry Bowman</v>
      </c>
      <c r="F2140" s="3" t="str">
        <f>IFERROR(__xludf.DUMMYFUNCTION("""COMPUTED_VALUE"""),"larrysuebowman@gmail.com")</f>
        <v>larrysuebowman@gmail.com</v>
      </c>
      <c r="G2140" s="3">
        <f>IFERROR(__xludf.DUMMYFUNCTION("""COMPUTED_VALUE"""),2.892510229E9)</f>
        <v>2892510229</v>
      </c>
      <c r="H2140" s="3">
        <f>IFERROR(__xludf.DUMMYFUNCTION("""COMPUTED_VALUE"""),9.053750854E9)</f>
        <v>9053750854</v>
      </c>
    </row>
    <row r="2141">
      <c r="A2141" s="2">
        <f>IFERROR(__xludf.DUMMYFUNCTION("""COMPUTED_VALUE"""),22232.0)</f>
        <v>22232</v>
      </c>
      <c r="B2141" s="3" t="str">
        <f>IFERROR(__xludf.DUMMYFUNCTION("""COMPUTED_VALUE"""),"8168 JIBB RD")</f>
        <v>8168 JIBB RD</v>
      </c>
      <c r="C2141" s="3" t="str">
        <f>IFERROR(__xludf.DUMMYFUNCTION("""COMPUTED_VALUE"""),"COBOURG")</f>
        <v>COBOURG</v>
      </c>
      <c r="D2141" s="3" t="str">
        <f>IFERROR(__xludf.DUMMYFUNCTION("""COMPUTED_VALUE"""),"K9A 4J7")</f>
        <v>K9A 4J7</v>
      </c>
      <c r="E2141" s="3" t="str">
        <f>IFERROR(__xludf.DUMMYFUNCTION("""COMPUTED_VALUE"""),"catherine bowman")</f>
        <v>catherine bowman</v>
      </c>
      <c r="F2141" s="3" t="str">
        <f>IFERROR(__xludf.DUMMYFUNCTION("""COMPUTED_VALUE"""),"katebowman68@outlook.com")</f>
        <v>katebowman68@outlook.com</v>
      </c>
      <c r="G2141" s="3">
        <f>IFERROR(__xludf.DUMMYFUNCTION("""COMPUTED_VALUE"""),9.05342101E9)</f>
        <v>9053421010</v>
      </c>
      <c r="H2141" s="3">
        <f>IFERROR(__xludf.DUMMYFUNCTION("""COMPUTED_VALUE"""),9.053961615E9)</f>
        <v>9053961615</v>
      </c>
    </row>
    <row r="2142">
      <c r="A2142" s="2">
        <f>IFERROR(__xludf.DUMMYFUNCTION("""COMPUTED_VALUE"""),22233.0)</f>
        <v>22233</v>
      </c>
      <c r="B2142" s="3" t="str">
        <f>IFERROR(__xludf.DUMMYFUNCTION("""COMPUTED_VALUE"""),"8176 JIBB RD")</f>
        <v>8176 JIBB RD</v>
      </c>
      <c r="C2142" s="3" t="str">
        <f>IFERROR(__xludf.DUMMYFUNCTION("""COMPUTED_VALUE"""),"COBOURG")</f>
        <v>COBOURG</v>
      </c>
      <c r="D2142" s="3" t="str">
        <f>IFERROR(__xludf.DUMMYFUNCTION("""COMPUTED_VALUE"""),"K9A 4J7")</f>
        <v>K9A 4J7</v>
      </c>
      <c r="E2142" s="3" t="str">
        <f>IFERROR(__xludf.DUMMYFUNCTION("""COMPUTED_VALUE"""),"catherine bowman")</f>
        <v>catherine bowman</v>
      </c>
      <c r="F2142" s="3" t="str">
        <f>IFERROR(__xludf.DUMMYFUNCTION("""COMPUTED_VALUE"""),"katebowman68@outlook.com")</f>
        <v>katebowman68@outlook.com</v>
      </c>
      <c r="G2142" s="3">
        <f>IFERROR(__xludf.DUMMYFUNCTION("""COMPUTED_VALUE"""),9.05342101E9)</f>
        <v>9053421010</v>
      </c>
      <c r="H2142" s="3">
        <f>IFERROR(__xludf.DUMMYFUNCTION("""COMPUTED_VALUE"""),9.053961615E9)</f>
        <v>9053961615</v>
      </c>
    </row>
    <row r="2143">
      <c r="A2143" s="2">
        <f>IFERROR(__xludf.DUMMYFUNCTION("""COMPUTED_VALUE"""),23970.0)</f>
        <v>23970</v>
      </c>
      <c r="B2143" s="3" t="str">
        <f>IFERROR(__xludf.DUMMYFUNCTION("""COMPUTED_VALUE"""),"8184 JIBB RD")</f>
        <v>8184 JIBB RD</v>
      </c>
      <c r="C2143" s="3" t="str">
        <f>IFERROR(__xludf.DUMMYFUNCTION("""COMPUTED_VALUE"""),"COBOURG")</f>
        <v>COBOURG</v>
      </c>
      <c r="D2143" s="3" t="str">
        <f>IFERROR(__xludf.DUMMYFUNCTION("""COMPUTED_VALUE"""),"K9A 4J7")</f>
        <v>K9A 4J7</v>
      </c>
      <c r="E2143" s="3" t="str">
        <f>IFERROR(__xludf.DUMMYFUNCTION("""COMPUTED_VALUE"""),"Michael Watt")</f>
        <v>Michael Watt</v>
      </c>
      <c r="F2143" s="3" t="str">
        <f>IFERROR(__xludf.DUMMYFUNCTION("""COMPUTED_VALUE"""),"watty21@live.ca")</f>
        <v>watty21@live.ca</v>
      </c>
      <c r="G2143" s="3">
        <f>IFERROR(__xludf.DUMMYFUNCTION("""COMPUTED_VALUE"""),9.053764317E9)</f>
        <v>9053764317</v>
      </c>
      <c r="H2143" s="3"/>
    </row>
    <row r="2144">
      <c r="A2144" s="2">
        <f>IFERROR(__xludf.DUMMYFUNCTION("""COMPUTED_VALUE"""),22234.0)</f>
        <v>22234</v>
      </c>
      <c r="B2144" s="3" t="str">
        <f>IFERROR(__xludf.DUMMYFUNCTION("""COMPUTED_VALUE"""),"8190 JIBB RD")</f>
        <v>8190 JIBB RD</v>
      </c>
      <c r="C2144" s="3" t="str">
        <f>IFERROR(__xludf.DUMMYFUNCTION("""COMPUTED_VALUE"""),"COBOURG")</f>
        <v>COBOURG</v>
      </c>
      <c r="D2144" s="3" t="str">
        <f>IFERROR(__xludf.DUMMYFUNCTION("""COMPUTED_VALUE"""),"K9A 4J7")</f>
        <v>K9A 4J7</v>
      </c>
      <c r="E2144" s="3" t="str">
        <f>IFERROR(__xludf.DUMMYFUNCTION("""COMPUTED_VALUE"""),"Lori Whiting")</f>
        <v>Lori Whiting</v>
      </c>
      <c r="F2144" s="3" t="str">
        <f>IFERROR(__xludf.DUMMYFUNCTION("""COMPUTED_VALUE"""),"lwhiting44@hotmail.com")</f>
        <v>lwhiting44@hotmail.com</v>
      </c>
      <c r="G2144" s="3">
        <f>IFERROR(__xludf.DUMMYFUNCTION("""COMPUTED_VALUE"""),9.053423541E9)</f>
        <v>9053423541</v>
      </c>
      <c r="H2144" s="3"/>
    </row>
    <row r="2145">
      <c r="A2145" s="2">
        <f>IFERROR(__xludf.DUMMYFUNCTION("""COMPUTED_VALUE"""),22235.0)</f>
        <v>22235</v>
      </c>
      <c r="B2145" s="3" t="str">
        <f>IFERROR(__xludf.DUMMYFUNCTION("""COMPUTED_VALUE"""),"8196 JIBB RD")</f>
        <v>8196 JIBB RD</v>
      </c>
      <c r="C2145" s="3" t="str">
        <f>IFERROR(__xludf.DUMMYFUNCTION("""COMPUTED_VALUE"""),"COBOURG")</f>
        <v>COBOURG</v>
      </c>
      <c r="D2145" s="3" t="str">
        <f>IFERROR(__xludf.DUMMYFUNCTION("""COMPUTED_VALUE"""),"K9A 4J7")</f>
        <v>K9A 4J7</v>
      </c>
      <c r="E2145" s="3" t="str">
        <f>IFERROR(__xludf.DUMMYFUNCTION("""COMPUTED_VALUE"""),"brad soslor")</f>
        <v>brad soslor</v>
      </c>
      <c r="F2145" s="3" t="str">
        <f>IFERROR(__xludf.DUMMYFUNCTION("""COMPUTED_VALUE"""),"twizzman61@gmail.com")</f>
        <v>twizzman61@gmail.com</v>
      </c>
      <c r="G2145" s="3">
        <f>IFERROR(__xludf.DUMMYFUNCTION("""COMPUTED_VALUE"""),9.05269385E9)</f>
        <v>9052693850</v>
      </c>
      <c r="H2145" s="3"/>
    </row>
    <row r="2146">
      <c r="A2146" s="2">
        <f>IFERROR(__xludf.DUMMYFUNCTION("""COMPUTED_VALUE"""),22236.0)</f>
        <v>22236</v>
      </c>
      <c r="B2146" s="3" t="str">
        <f>IFERROR(__xludf.DUMMYFUNCTION("""COMPUTED_VALUE"""),"8199 JIBB RD")</f>
        <v>8199 JIBB RD</v>
      </c>
      <c r="C2146" s="3" t="str">
        <f>IFERROR(__xludf.DUMMYFUNCTION("""COMPUTED_VALUE"""),"COBOURG")</f>
        <v>COBOURG</v>
      </c>
      <c r="D2146" s="3" t="str">
        <f>IFERROR(__xludf.DUMMYFUNCTION("""COMPUTED_VALUE"""),"K9A 4J7")</f>
        <v>K9A 4J7</v>
      </c>
      <c r="E2146" s="3" t="str">
        <f>IFERROR(__xludf.DUMMYFUNCTION("""COMPUTED_VALUE"""),"Kevin Kimmerly")</f>
        <v>Kevin Kimmerly</v>
      </c>
      <c r="F2146" s="3" t="str">
        <f>IFERROR(__xludf.DUMMYFUNCTION("""COMPUTED_VALUE"""),"kckimmerly@gmail.com")</f>
        <v>kckimmerly@gmail.com</v>
      </c>
      <c r="G2146" s="3"/>
      <c r="H2146" s="3"/>
    </row>
    <row r="2147">
      <c r="A2147" s="2">
        <f>IFERROR(__xludf.DUMMYFUNCTION("""COMPUTED_VALUE"""),23971.0)</f>
        <v>23971</v>
      </c>
      <c r="B2147" s="3" t="str">
        <f>IFERROR(__xludf.DUMMYFUNCTION("""COMPUTED_VALUE"""),"8200 JIBB RD")</f>
        <v>8200 JIBB RD</v>
      </c>
      <c r="C2147" s="3" t="str">
        <f>IFERROR(__xludf.DUMMYFUNCTION("""COMPUTED_VALUE"""),"COBOURG")</f>
        <v>COBOURG</v>
      </c>
      <c r="D2147" s="3" t="str">
        <f>IFERROR(__xludf.DUMMYFUNCTION("""COMPUTED_VALUE"""),"K9A 4J7")</f>
        <v>K9A 4J7</v>
      </c>
      <c r="E2147" s="3" t="str">
        <f>IFERROR(__xludf.DUMMYFUNCTION("""COMPUTED_VALUE"""),"chantelle watt")</f>
        <v>chantelle watt</v>
      </c>
      <c r="F2147" s="3" t="str">
        <f>IFERROR(__xludf.DUMMYFUNCTION("""COMPUTED_VALUE"""),"chantelle.watt7@gmail.com")</f>
        <v>chantelle.watt7@gmail.com</v>
      </c>
      <c r="G2147" s="3">
        <f>IFERROR(__xludf.DUMMYFUNCTION("""COMPUTED_VALUE"""),9.052695329E9)</f>
        <v>9052695329</v>
      </c>
      <c r="H2147" s="3">
        <f>IFERROR(__xludf.DUMMYFUNCTION("""COMPUTED_VALUE"""),9.052691811E9)</f>
        <v>9052691811</v>
      </c>
    </row>
    <row r="2148">
      <c r="A2148" s="2">
        <f>IFERROR(__xludf.DUMMYFUNCTION("""COMPUTED_VALUE"""),22237.0)</f>
        <v>22237</v>
      </c>
      <c r="B2148" s="3" t="str">
        <f>IFERROR(__xludf.DUMMYFUNCTION("""COMPUTED_VALUE"""),"8292 JIBB RD")</f>
        <v>8292 JIBB RD</v>
      </c>
      <c r="C2148" s="3" t="str">
        <f>IFERROR(__xludf.DUMMYFUNCTION("""COMPUTED_VALUE"""),"COBOURG")</f>
        <v>COBOURG</v>
      </c>
      <c r="D2148" s="3" t="str">
        <f>IFERROR(__xludf.DUMMYFUNCTION("""COMPUTED_VALUE"""),"K9A 4J7")</f>
        <v>K9A 4J7</v>
      </c>
      <c r="E2148" s="3" t="str">
        <f>IFERROR(__xludf.DUMMYFUNCTION("""COMPUTED_VALUE"""),"tawni keil")</f>
        <v>tawni keil</v>
      </c>
      <c r="F2148" s="3" t="str">
        <f>IFERROR(__xludf.DUMMYFUNCTION("""COMPUTED_VALUE"""),"tkeil172@gmail.com")</f>
        <v>tkeil172@gmail.com</v>
      </c>
      <c r="G2148" s="3">
        <f>IFERROR(__xludf.DUMMYFUNCTION("""COMPUTED_VALUE"""),9.053963722E9)</f>
        <v>9053963722</v>
      </c>
      <c r="H2148" s="3">
        <f>IFERROR(__xludf.DUMMYFUNCTION("""COMPUTED_VALUE"""),9.05269774E9)</f>
        <v>9052697740</v>
      </c>
    </row>
    <row r="2149">
      <c r="A2149" s="2">
        <f>IFERROR(__xludf.DUMMYFUNCTION("""COMPUTED_VALUE"""),22238.0)</f>
        <v>22238</v>
      </c>
      <c r="B2149" s="3" t="str">
        <f>IFERROR(__xludf.DUMMYFUNCTION("""COMPUTED_VALUE"""),"8010A JIBB RD")</f>
        <v>8010A JIBB RD</v>
      </c>
      <c r="C2149" s="3" t="str">
        <f>IFERROR(__xludf.DUMMYFUNCTION("""COMPUTED_VALUE"""),"COBOURG")</f>
        <v>COBOURG</v>
      </c>
      <c r="D2149" s="3" t="str">
        <f>IFERROR(__xludf.DUMMYFUNCTION("""COMPUTED_VALUE"""),"K9A 4J7")</f>
        <v>K9A 4J7</v>
      </c>
      <c r="E2149" s="3" t="str">
        <f>IFERROR(__xludf.DUMMYFUNCTION("""COMPUTED_VALUE"""),"Peter &amp; Darlene Fair ")</f>
        <v>Peter &amp; Darlene Fair </v>
      </c>
      <c r="F2149" s="3" t="str">
        <f>IFERROR(__xludf.DUMMYFUNCTION("""COMPUTED_VALUE"""),"petesrightfoot@yahoo.ca ")</f>
        <v>petesrightfoot@yahoo.ca </v>
      </c>
      <c r="G2149" s="3"/>
      <c r="H2149" s="3"/>
    </row>
    <row r="2150">
      <c r="A2150" s="2">
        <f>IFERROR(__xludf.DUMMYFUNCTION("""COMPUTED_VALUE"""),22239.0)</f>
        <v>22239</v>
      </c>
      <c r="B2150" s="3" t="str">
        <f>IFERROR(__xludf.DUMMYFUNCTION("""COMPUTED_VALUE"""),"8010B JIBB RD")</f>
        <v>8010B JIBB RD</v>
      </c>
      <c r="C2150" s="3" t="str">
        <f>IFERROR(__xludf.DUMMYFUNCTION("""COMPUTED_VALUE"""),"COBOURG")</f>
        <v>COBOURG</v>
      </c>
      <c r="D2150" s="3" t="str">
        <f>IFERROR(__xludf.DUMMYFUNCTION("""COMPUTED_VALUE"""),"K9A 4J7")</f>
        <v>K9A 4J7</v>
      </c>
      <c r="E2150" s="3"/>
      <c r="F2150" s="3"/>
      <c r="G2150" s="3"/>
      <c r="H2150" s="3"/>
    </row>
    <row r="2151">
      <c r="A2151" s="2">
        <f>IFERROR(__xludf.DUMMYFUNCTION("""COMPUTED_VALUE"""),22671.0)</f>
        <v>22671</v>
      </c>
      <c r="B2151" s="3" t="str">
        <f>IFERROR(__xludf.DUMMYFUNCTION("""COMPUTED_VALUE"""),"3999 MCINTOSH ST")</f>
        <v>3999 MCINTOSH ST</v>
      </c>
      <c r="C2151" s="3" t="str">
        <f>IFERROR(__xludf.DUMMYFUNCTION("""COMPUTED_VALUE"""),"COBOURG")</f>
        <v>COBOURG</v>
      </c>
      <c r="D2151" s="3" t="str">
        <f>IFERROR(__xludf.DUMMYFUNCTION("""COMPUTED_VALUE"""),"K9A 4J9")</f>
        <v>K9A 4J9</v>
      </c>
      <c r="E2151" s="3" t="str">
        <f>IFERROR(__xludf.DUMMYFUNCTION("""COMPUTED_VALUE"""),"Robert Murray ")</f>
        <v>Robert Murray </v>
      </c>
      <c r="F2151" s="3" t="str">
        <f>IFERROR(__xludf.DUMMYFUNCTION("""COMPUTED_VALUE"""),"racinrobs@yahoo.ca")</f>
        <v>racinrobs@yahoo.ca</v>
      </c>
      <c r="G2151" s="3"/>
      <c r="H2151" s="3"/>
    </row>
    <row r="2152">
      <c r="A2152" s="2">
        <f>IFERROR(__xludf.DUMMYFUNCTION("""COMPUTED_VALUE"""),22672.0)</f>
        <v>22672</v>
      </c>
      <c r="B2152" s="3" t="str">
        <f>IFERROR(__xludf.DUMMYFUNCTION("""COMPUTED_VALUE"""),"4002 MCINTOSH ST")</f>
        <v>4002 MCINTOSH ST</v>
      </c>
      <c r="C2152" s="3" t="str">
        <f>IFERROR(__xludf.DUMMYFUNCTION("""COMPUTED_VALUE"""),"COBOURG")</f>
        <v>COBOURG</v>
      </c>
      <c r="D2152" s="3" t="str">
        <f>IFERROR(__xludf.DUMMYFUNCTION("""COMPUTED_VALUE"""),"K9A 4J9")</f>
        <v>K9A 4J9</v>
      </c>
      <c r="E2152" s="3" t="str">
        <f>IFERROR(__xludf.DUMMYFUNCTION("""COMPUTED_VALUE"""),"Travis Riley")</f>
        <v>Travis Riley</v>
      </c>
      <c r="F2152" s="3" t="str">
        <f>IFERROR(__xludf.DUMMYFUNCTION("""COMPUTED_VALUE"""),"travis.m.riley88@gmail.com")</f>
        <v>travis.m.riley88@gmail.com</v>
      </c>
      <c r="G2152" s="3">
        <f>IFERROR(__xludf.DUMMYFUNCTION("""COMPUTED_VALUE"""),9.053961318E9)</f>
        <v>9053961318</v>
      </c>
      <c r="H2152" s="3"/>
    </row>
    <row r="2153">
      <c r="A2153" s="2">
        <f>IFERROR(__xludf.DUMMYFUNCTION("""COMPUTED_VALUE"""),22673.0)</f>
        <v>22673</v>
      </c>
      <c r="B2153" s="3" t="str">
        <f>IFERROR(__xludf.DUMMYFUNCTION("""COMPUTED_VALUE"""),"4007 MCINTOSH ST")</f>
        <v>4007 MCINTOSH ST</v>
      </c>
      <c r="C2153" s="3" t="str">
        <f>IFERROR(__xludf.DUMMYFUNCTION("""COMPUTED_VALUE"""),"COBOURG")</f>
        <v>COBOURG</v>
      </c>
      <c r="D2153" s="3" t="str">
        <f>IFERROR(__xludf.DUMMYFUNCTION("""COMPUTED_VALUE"""),"K9A 4J9")</f>
        <v>K9A 4J9</v>
      </c>
      <c r="E2153" s="3"/>
      <c r="F2153" s="3"/>
      <c r="G2153" s="3"/>
      <c r="H2153" s="3"/>
    </row>
    <row r="2154">
      <c r="A2154" s="2">
        <f>IFERROR(__xludf.DUMMYFUNCTION("""COMPUTED_VALUE"""),22674.0)</f>
        <v>22674</v>
      </c>
      <c r="B2154" s="3" t="str">
        <f>IFERROR(__xludf.DUMMYFUNCTION("""COMPUTED_VALUE"""),"4008 MCINTOSH ST")</f>
        <v>4008 MCINTOSH ST</v>
      </c>
      <c r="C2154" s="3" t="str">
        <f>IFERROR(__xludf.DUMMYFUNCTION("""COMPUTED_VALUE"""),"COBOURG")</f>
        <v>COBOURG</v>
      </c>
      <c r="D2154" s="3" t="str">
        <f>IFERROR(__xludf.DUMMYFUNCTION("""COMPUTED_VALUE"""),"K9A 4J9")</f>
        <v>K9A 4J9</v>
      </c>
      <c r="E2154" s="3"/>
      <c r="F2154" s="3"/>
      <c r="G2154" s="3"/>
      <c r="H2154" s="3"/>
    </row>
    <row r="2155">
      <c r="A2155" s="2">
        <f>IFERROR(__xludf.DUMMYFUNCTION("""COMPUTED_VALUE"""),22301.0)</f>
        <v>22301</v>
      </c>
      <c r="B2155" s="3" t="str">
        <f>IFERROR(__xludf.DUMMYFUNCTION("""COMPUTED_VALUE"""),"3535 KENNEDY RD")</f>
        <v>3535 KENNEDY RD</v>
      </c>
      <c r="C2155" s="3" t="str">
        <f>IFERROR(__xludf.DUMMYFUNCTION("""COMPUTED_VALUE"""),"COBOURG")</f>
        <v>COBOURG</v>
      </c>
      <c r="D2155" s="3" t="str">
        <f>IFERROR(__xludf.DUMMYFUNCTION("""COMPUTED_VALUE"""),"K9A 4J7")</f>
        <v>K9A 4J7</v>
      </c>
      <c r="E2155" s="3" t="str">
        <f>IFERROR(__xludf.DUMMYFUNCTION("""COMPUTED_VALUE"""),"Michael Quinn")</f>
        <v>Michael Quinn</v>
      </c>
      <c r="F2155" s="3" t="str">
        <f>IFERROR(__xludf.DUMMYFUNCTION("""COMPUTED_VALUE"""),"n/a")</f>
        <v>n/a</v>
      </c>
      <c r="G2155" s="3"/>
      <c r="H2155" s="3"/>
    </row>
    <row r="2156">
      <c r="A2156" s="2">
        <f>IFERROR(__xludf.DUMMYFUNCTION("""COMPUTED_VALUE"""),22365.0)</f>
        <v>22365</v>
      </c>
      <c r="B2156" s="3" t="str">
        <f>IFERROR(__xludf.DUMMYFUNCTION("""COMPUTED_VALUE"""),"5283 KING RD B")</f>
        <v>5283 KING RD B</v>
      </c>
      <c r="C2156" s="3" t="str">
        <f>IFERROR(__xludf.DUMMYFUNCTION("""COMPUTED_VALUE"""),"GORES LANDING")</f>
        <v>GORES LANDING</v>
      </c>
      <c r="D2156" s="3" t="str">
        <f>IFERROR(__xludf.DUMMYFUNCTION("""COMPUTED_VALUE"""),"K0K 2E0")</f>
        <v>K0K 2E0</v>
      </c>
      <c r="E2156" s="3" t="str">
        <f>IFERROR(__xludf.DUMMYFUNCTION("""COMPUTED_VALUE"""),"Rose Marie Rauter")</f>
        <v>Rose Marie Rauter</v>
      </c>
      <c r="F2156" s="3" t="str">
        <f>IFERROR(__xludf.DUMMYFUNCTION("""COMPUTED_VALUE"""),"rmr@look.ca")</f>
        <v>rmr@look.ca</v>
      </c>
      <c r="G2156" s="3"/>
      <c r="H2156" s="3"/>
    </row>
    <row r="2157">
      <c r="A2157" s="2">
        <f>IFERROR(__xludf.DUMMYFUNCTION("""COMPUTED_VALUE"""),22413.0)</f>
        <v>22413</v>
      </c>
      <c r="B2157" s="3" t="str">
        <f>IFERROR(__xludf.DUMMYFUNCTION("""COMPUTED_VALUE"""),"8288 LANDER RD")</f>
        <v>8288 LANDER RD</v>
      </c>
      <c r="C2157" s="3" t="str">
        <f>IFERROR(__xludf.DUMMYFUNCTION("""COMPUTED_VALUE"""),"GORES LANDING")</f>
        <v>GORES LANDING</v>
      </c>
      <c r="D2157" s="3" t="str">
        <f>IFERROR(__xludf.DUMMYFUNCTION("""COMPUTED_VALUE"""),"K0K 2E0")</f>
        <v>K0K 2E0</v>
      </c>
      <c r="E2157" s="3"/>
      <c r="F2157" s="3"/>
      <c r="G2157" s="3"/>
      <c r="H2157" s="3"/>
    </row>
    <row r="2158">
      <c r="A2158" s="2">
        <f>IFERROR(__xludf.DUMMYFUNCTION("""COMPUTED_VALUE"""),22436.0)</f>
        <v>22436</v>
      </c>
      <c r="B2158" s="3" t="str">
        <f>IFERROR(__xludf.DUMMYFUNCTION("""COMPUTED_VALUE"""),"3248 LEACH RD")</f>
        <v>3248 LEACH RD</v>
      </c>
      <c r="C2158" s="3" t="str">
        <f>IFERROR(__xludf.DUMMYFUNCTION("""COMPUTED_VALUE"""),"COBOURG")</f>
        <v>COBOURG</v>
      </c>
      <c r="D2158" s="3" t="str">
        <f>IFERROR(__xludf.DUMMYFUNCTION("""COMPUTED_VALUE"""),"K9A 4J9")</f>
        <v>K9A 4J9</v>
      </c>
      <c r="E2158" s="3" t="str">
        <f>IFERROR(__xludf.DUMMYFUNCTION("""COMPUTED_VALUE"""),"JOAN KIM WARD")</f>
        <v>JOAN KIM WARD</v>
      </c>
      <c r="F2158" s="3" t="str">
        <f>IFERROR(__xludf.DUMMYFUNCTION("""COMPUTED_VALUE"""),"regkim.ward@gmail.com")</f>
        <v>regkim.ward@gmail.com</v>
      </c>
      <c r="G2158" s="3"/>
      <c r="H2158" s="3"/>
    </row>
    <row r="2159">
      <c r="A2159" s="2">
        <f>IFERROR(__xludf.DUMMYFUNCTION("""COMPUTED_VALUE"""),22437.0)</f>
        <v>22437</v>
      </c>
      <c r="B2159" s="3" t="str">
        <f>IFERROR(__xludf.DUMMYFUNCTION("""COMPUTED_VALUE"""),"3262 LEACH RD")</f>
        <v>3262 LEACH RD</v>
      </c>
      <c r="C2159" s="3" t="str">
        <f>IFERROR(__xludf.DUMMYFUNCTION("""COMPUTED_VALUE"""),"COBOURG")</f>
        <v>COBOURG</v>
      </c>
      <c r="D2159" s="3" t="str">
        <f>IFERROR(__xludf.DUMMYFUNCTION("""COMPUTED_VALUE"""),"K9A 4J9")</f>
        <v>K9A 4J9</v>
      </c>
      <c r="E2159" s="3" t="str">
        <f>IFERROR(__xludf.DUMMYFUNCTION("""COMPUTED_VALUE"""),"andrea&amp;mike birney")</f>
        <v>andrea&amp;mike birney</v>
      </c>
      <c r="F2159" s="3" t="str">
        <f>IFERROR(__xludf.DUMMYFUNCTION("""COMPUTED_VALUE"""),"andreabirney6@gmail.com")</f>
        <v>andreabirney6@gmail.com</v>
      </c>
      <c r="G2159" s="3">
        <f>IFERROR(__xludf.DUMMYFUNCTION("""COMPUTED_VALUE"""),9.053761314E9)</f>
        <v>9053761314</v>
      </c>
      <c r="H2159" s="3"/>
    </row>
    <row r="2160">
      <c r="A2160" s="2">
        <f>IFERROR(__xludf.DUMMYFUNCTION("""COMPUTED_VALUE"""),22474.0)</f>
        <v>22474</v>
      </c>
      <c r="B2160" s="3" t="str">
        <f>IFERROR(__xludf.DUMMYFUNCTION("""COMPUTED_VALUE"""),"8910 LEWIS CRT")</f>
        <v>8910 LEWIS CRT</v>
      </c>
      <c r="C2160" s="3" t="str">
        <f>IFERROR(__xludf.DUMMYFUNCTION("""COMPUTED_VALUE"""),"GORES LANDING")</f>
        <v>GORES LANDING</v>
      </c>
      <c r="D2160" s="3" t="str">
        <f>IFERROR(__xludf.DUMMYFUNCTION("""COMPUTED_VALUE"""),"K0K 2E0")</f>
        <v>K0K 2E0</v>
      </c>
      <c r="E2160" s="3" t="str">
        <f>IFERROR(__xludf.DUMMYFUNCTION("""COMPUTED_VALUE"""),"Christina Lucescu")</f>
        <v>Christina Lucescu</v>
      </c>
      <c r="F2160" s="3" t="str">
        <f>IFERROR(__xludf.DUMMYFUNCTION("""COMPUTED_VALUE"""),"rclucescu@gmail.com")</f>
        <v>rclucescu@gmail.com</v>
      </c>
      <c r="G2160" s="3">
        <f>IFERROR(__xludf.DUMMYFUNCTION("""COMPUTED_VALUE"""),9.053759956E9)</f>
        <v>9053759956</v>
      </c>
      <c r="H2160" s="3"/>
    </row>
    <row r="2161">
      <c r="A2161" s="2">
        <f>IFERROR(__xludf.DUMMYFUNCTION("""COMPUTED_VALUE"""),22350.0)</f>
        <v>22350</v>
      </c>
      <c r="B2161" s="3" t="str">
        <f>IFERROR(__xludf.DUMMYFUNCTION("""COMPUTED_VALUE"""),"5248 KING RD SUITE 180")</f>
        <v>5248 KING RD SUITE 180</v>
      </c>
      <c r="C2161" s="3" t="str">
        <f>IFERROR(__xludf.DUMMYFUNCTION("""COMPUTED_VALUE"""),"GORES LANDING")</f>
        <v>GORES LANDING</v>
      </c>
      <c r="D2161" s="3" t="str">
        <f>IFERROR(__xludf.DUMMYFUNCTION("""COMPUTED_VALUE"""),"K0K 2E0")</f>
        <v>K0K 2E0</v>
      </c>
      <c r="E2161" s="3" t="str">
        <f>IFERROR(__xludf.DUMMYFUNCTION("""COMPUTED_VALUE"""),"ron white ")</f>
        <v>ron white </v>
      </c>
      <c r="F2161" s="3"/>
      <c r="G2161" s="3">
        <f>IFERROR(__xludf.DUMMYFUNCTION("""COMPUTED_VALUE"""),4.168918016E9)</f>
        <v>4168918016</v>
      </c>
      <c r="H2161" s="3"/>
    </row>
    <row r="2162">
      <c r="A2162" s="2">
        <f>IFERROR(__xludf.DUMMYFUNCTION("""COMPUTED_VALUE"""),22351.0)</f>
        <v>22351</v>
      </c>
      <c r="B2162" s="3" t="str">
        <f>IFERROR(__xludf.DUMMYFUNCTION("""COMPUTED_VALUE"""),"5248 KING RD SUITE 200")</f>
        <v>5248 KING RD SUITE 200</v>
      </c>
      <c r="C2162" s="3" t="str">
        <f>IFERROR(__xludf.DUMMYFUNCTION("""COMPUTED_VALUE"""),"GORES LANDING")</f>
        <v>GORES LANDING</v>
      </c>
      <c r="D2162" s="3" t="str">
        <f>IFERROR(__xludf.DUMMYFUNCTION("""COMPUTED_VALUE"""),"K0K 2E0")</f>
        <v>K0K 2E0</v>
      </c>
      <c r="E2162" s="3" t="str">
        <f>IFERROR(__xludf.DUMMYFUNCTION("""COMPUTED_VALUE"""),"lori copeland")</f>
        <v>lori copeland</v>
      </c>
      <c r="F2162" s="3" t="str">
        <f>IFERROR(__xludf.DUMMYFUNCTION("""COMPUTED_VALUE"""),"lori.copeland22@hmail.com")</f>
        <v>lori.copeland22@hmail.com</v>
      </c>
      <c r="G2162" s="3">
        <f>IFERROR(__xludf.DUMMYFUNCTION("""COMPUTED_VALUE"""),4.165763434E9)</f>
        <v>4165763434</v>
      </c>
      <c r="H2162" s="3"/>
    </row>
    <row r="2163">
      <c r="A2163" s="2">
        <f>IFERROR(__xludf.DUMMYFUNCTION("""COMPUTED_VALUE"""),22352.0)</f>
        <v>22352</v>
      </c>
      <c r="B2163" s="3" t="str">
        <f>IFERROR(__xludf.DUMMYFUNCTION("""COMPUTED_VALUE"""),"5248 KING RD SUITE 220")</f>
        <v>5248 KING RD SUITE 220</v>
      </c>
      <c r="C2163" s="3" t="str">
        <f>IFERROR(__xludf.DUMMYFUNCTION("""COMPUTED_VALUE"""),"GORES LANDING")</f>
        <v>GORES LANDING</v>
      </c>
      <c r="D2163" s="3" t="str">
        <f>IFERROR(__xludf.DUMMYFUNCTION("""COMPUTED_VALUE"""),"K0K 2E0")</f>
        <v>K0K 2E0</v>
      </c>
      <c r="E2163" s="3" t="str">
        <f>IFERROR(__xludf.DUMMYFUNCTION("""COMPUTED_VALUE"""),"mcmillan")</f>
        <v>mcmillan</v>
      </c>
      <c r="F2163" s="3"/>
      <c r="G2163" s="3">
        <f>IFERROR(__xludf.DUMMYFUNCTION("""COMPUTED_VALUE"""),9.058382826E9)</f>
        <v>9058382826</v>
      </c>
      <c r="H2163" s="3"/>
    </row>
    <row r="2164">
      <c r="A2164" s="2">
        <f>IFERROR(__xludf.DUMMYFUNCTION("""COMPUTED_VALUE"""),22353.0)</f>
        <v>22353</v>
      </c>
      <c r="B2164" s="3" t="str">
        <f>IFERROR(__xludf.DUMMYFUNCTION("""COMPUTED_VALUE"""),"5248 KING RD SUITE 230")</f>
        <v>5248 KING RD SUITE 230</v>
      </c>
      <c r="C2164" s="3" t="str">
        <f>IFERROR(__xludf.DUMMYFUNCTION("""COMPUTED_VALUE"""),"GORES LANDING")</f>
        <v>GORES LANDING</v>
      </c>
      <c r="D2164" s="3" t="str">
        <f>IFERROR(__xludf.DUMMYFUNCTION("""COMPUTED_VALUE"""),"K0K 2E0")</f>
        <v>K0K 2E0</v>
      </c>
      <c r="E2164" s="3"/>
      <c r="F2164" s="3"/>
      <c r="G2164" s="3"/>
      <c r="H2164" s="3"/>
    </row>
    <row r="2165">
      <c r="A2165" s="2">
        <f>IFERROR(__xludf.DUMMYFUNCTION("""COMPUTED_VALUE"""),22354.0)</f>
        <v>22354</v>
      </c>
      <c r="B2165" s="3" t="str">
        <f>IFERROR(__xludf.DUMMYFUNCTION("""COMPUTED_VALUE"""),"5248 KING RD SUITE 240")</f>
        <v>5248 KING RD SUITE 240</v>
      </c>
      <c r="C2165" s="3" t="str">
        <f>IFERROR(__xludf.DUMMYFUNCTION("""COMPUTED_VALUE"""),"GORES LANDING")</f>
        <v>GORES LANDING</v>
      </c>
      <c r="D2165" s="3" t="str">
        <f>IFERROR(__xludf.DUMMYFUNCTION("""COMPUTED_VALUE"""),"K0K 2E0")</f>
        <v>K0K 2E0</v>
      </c>
      <c r="E2165" s="3" t="str">
        <f>IFERROR(__xludf.DUMMYFUNCTION("""COMPUTED_VALUE"""),"Marvin de Leon")</f>
        <v>Marvin de Leon</v>
      </c>
      <c r="F2165" s="3" t="str">
        <f>IFERROR(__xludf.DUMMYFUNCTION("""COMPUTED_VALUE"""),"martian448@gmail.com")</f>
        <v>martian448@gmail.com</v>
      </c>
      <c r="G2165" s="3">
        <f>IFERROR(__xludf.DUMMYFUNCTION("""COMPUTED_VALUE"""),6.474013814E9)</f>
        <v>6474013814</v>
      </c>
      <c r="H2165" s="3">
        <f>IFERROR(__xludf.DUMMYFUNCTION("""COMPUTED_VALUE"""),9.029264125E9)</f>
        <v>9029264125</v>
      </c>
    </row>
    <row r="2166">
      <c r="A2166" s="2">
        <f>IFERROR(__xludf.DUMMYFUNCTION("""COMPUTED_VALUE"""),22355.0)</f>
        <v>22355</v>
      </c>
      <c r="B2166" s="3" t="str">
        <f>IFERROR(__xludf.DUMMYFUNCTION("""COMPUTED_VALUE"""),"5248 KING RD SUITE 250")</f>
        <v>5248 KING RD SUITE 250</v>
      </c>
      <c r="C2166" s="3" t="str">
        <f>IFERROR(__xludf.DUMMYFUNCTION("""COMPUTED_VALUE"""),"GORES LANDING")</f>
        <v>GORES LANDING</v>
      </c>
      <c r="D2166" s="3" t="str">
        <f>IFERROR(__xludf.DUMMYFUNCTION("""COMPUTED_VALUE"""),"K0K 2E0")</f>
        <v>K0K 2E0</v>
      </c>
      <c r="E2166" s="3"/>
      <c r="F2166" s="3"/>
      <c r="G2166" s="3"/>
      <c r="H2166" s="3"/>
    </row>
    <row r="2167">
      <c r="A2167" s="2">
        <f>IFERROR(__xludf.DUMMYFUNCTION("""COMPUTED_VALUE"""),22356.0)</f>
        <v>22356</v>
      </c>
      <c r="B2167" s="3" t="str">
        <f>IFERROR(__xludf.DUMMYFUNCTION("""COMPUTED_VALUE"""),"5248 KING RD SUITE 270")</f>
        <v>5248 KING RD SUITE 270</v>
      </c>
      <c r="C2167" s="3" t="str">
        <f>IFERROR(__xludf.DUMMYFUNCTION("""COMPUTED_VALUE"""),"GORES LANDING")</f>
        <v>GORES LANDING</v>
      </c>
      <c r="D2167" s="3" t="str">
        <f>IFERROR(__xludf.DUMMYFUNCTION("""COMPUTED_VALUE"""),"K0K 2E0")</f>
        <v>K0K 2E0</v>
      </c>
      <c r="E2167" s="3" t="str">
        <f>IFERROR(__xludf.DUMMYFUNCTION("""COMPUTED_VALUE"""),"richard harris")</f>
        <v>richard harris</v>
      </c>
      <c r="F2167" s="3" t="str">
        <f>IFERROR(__xludf.DUMMYFUNCTION("""COMPUTED_VALUE"""),"rikkicruz@outlook.com")</f>
        <v>rikkicruz@outlook.com</v>
      </c>
      <c r="G2167" s="3">
        <f>IFERROR(__xludf.DUMMYFUNCTION("""COMPUTED_VALUE"""),6.476365625E9)</f>
        <v>6476365625</v>
      </c>
      <c r="H2167" s="3">
        <f>IFERROR(__xludf.DUMMYFUNCTION("""COMPUTED_VALUE"""),6.474606623E9)</f>
        <v>6474606623</v>
      </c>
    </row>
    <row r="2168">
      <c r="A2168" s="2">
        <f>IFERROR(__xludf.DUMMYFUNCTION("""COMPUTED_VALUE"""),22357.0)</f>
        <v>22357</v>
      </c>
      <c r="B2168" s="3" t="str">
        <f>IFERROR(__xludf.DUMMYFUNCTION("""COMPUTED_VALUE"""),"5248 KING RD SUITE 315")</f>
        <v>5248 KING RD SUITE 315</v>
      </c>
      <c r="C2168" s="3" t="str">
        <f>IFERROR(__xludf.DUMMYFUNCTION("""COMPUTED_VALUE"""),"GORES LANDING")</f>
        <v>GORES LANDING</v>
      </c>
      <c r="D2168" s="3" t="str">
        <f>IFERROR(__xludf.DUMMYFUNCTION("""COMPUTED_VALUE"""),"K0K 2E0")</f>
        <v>K0K 2E0</v>
      </c>
      <c r="E2168" s="3" t="str">
        <f>IFERROR(__xludf.DUMMYFUNCTION("""COMPUTED_VALUE"""),"yvette and roger belaire ")</f>
        <v>yvette and roger belaire </v>
      </c>
      <c r="F2168" s="3" t="str">
        <f>IFERROR(__xludf.DUMMYFUNCTION("""COMPUTED_VALUE"""),"yvettebellaire@rogers.com")</f>
        <v>yvettebellaire@rogers.com</v>
      </c>
      <c r="G2168" s="3"/>
      <c r="H2168" s="3"/>
    </row>
    <row r="2169">
      <c r="A2169" s="2">
        <f>IFERROR(__xludf.DUMMYFUNCTION("""COMPUTED_VALUE"""),22358.0)</f>
        <v>22358</v>
      </c>
      <c r="B2169" s="3" t="str">
        <f>IFERROR(__xludf.DUMMYFUNCTION("""COMPUTED_VALUE"""),"5248 KING RD SUITE 325")</f>
        <v>5248 KING RD SUITE 325</v>
      </c>
      <c r="C2169" s="3" t="str">
        <f>IFERROR(__xludf.DUMMYFUNCTION("""COMPUTED_VALUE"""),"GORES LANDING")</f>
        <v>GORES LANDING</v>
      </c>
      <c r="D2169" s="3" t="str">
        <f>IFERROR(__xludf.DUMMYFUNCTION("""COMPUTED_VALUE"""),"K0K 2E0")</f>
        <v>K0K 2E0</v>
      </c>
      <c r="E2169" s="3"/>
      <c r="F2169" s="3"/>
      <c r="G2169" s="3"/>
      <c r="H2169" s="3"/>
    </row>
    <row r="2170">
      <c r="A2170" s="2">
        <f>IFERROR(__xludf.DUMMYFUNCTION("""COMPUTED_VALUE"""),22359.0)</f>
        <v>22359</v>
      </c>
      <c r="B2170" s="3" t="str">
        <f>IFERROR(__xludf.DUMMYFUNCTION("""COMPUTED_VALUE"""),"5248 KING RD UNIT 100")</f>
        <v>5248 KING RD UNIT 100</v>
      </c>
      <c r="C2170" s="3" t="str">
        <f>IFERROR(__xludf.DUMMYFUNCTION("""COMPUTED_VALUE"""),"GORES LANDING")</f>
        <v>GORES LANDING</v>
      </c>
      <c r="D2170" s="3" t="str">
        <f>IFERROR(__xludf.DUMMYFUNCTION("""COMPUTED_VALUE"""),"K0K 2E0")</f>
        <v>K0K 2E0</v>
      </c>
      <c r="E2170" s="3" t="str">
        <f>IFERROR(__xludf.DUMMYFUNCTION("""COMPUTED_VALUE"""),"Stephen Graham")</f>
        <v>Stephen Graham</v>
      </c>
      <c r="F2170" s="3" t="str">
        <f>IFERROR(__xludf.DUMMYFUNCTION("""COMPUTED_VALUE"""),"the.grahams21@gmail.com")</f>
        <v>the.grahams21@gmail.com</v>
      </c>
      <c r="G2170" s="3">
        <f>IFERROR(__xludf.DUMMYFUNCTION("""COMPUTED_VALUE"""),2.506893899E9)</f>
        <v>2506893899</v>
      </c>
      <c r="H2170" s="3"/>
    </row>
    <row r="2171">
      <c r="A2171" s="2">
        <f>IFERROR(__xludf.DUMMYFUNCTION("""COMPUTED_VALUE"""),22360.0)</f>
        <v>22360</v>
      </c>
      <c r="B2171" s="3" t="str">
        <f>IFERROR(__xludf.DUMMYFUNCTION("""COMPUTED_VALUE"""),"5248 KING RD UNIT 110")</f>
        <v>5248 KING RD UNIT 110</v>
      </c>
      <c r="C2171" s="3" t="str">
        <f>IFERROR(__xludf.DUMMYFUNCTION("""COMPUTED_VALUE"""),"GORES LANDING")</f>
        <v>GORES LANDING</v>
      </c>
      <c r="D2171" s="3" t="str">
        <f>IFERROR(__xludf.DUMMYFUNCTION("""COMPUTED_VALUE"""),"K0K 2E0")</f>
        <v>K0K 2E0</v>
      </c>
      <c r="E2171" s="3" t="str">
        <f>IFERROR(__xludf.DUMMYFUNCTION("""COMPUTED_VALUE"""),"jim parsons")</f>
        <v>jim parsons</v>
      </c>
      <c r="F2171" s="3" t="str">
        <f>IFERROR(__xludf.DUMMYFUNCTION("""COMPUTED_VALUE"""),"je_parsons@hotmail.com")</f>
        <v>je_parsons@hotmail.com</v>
      </c>
      <c r="G2171" s="3">
        <f>IFERROR(__xludf.DUMMYFUNCTION("""COMPUTED_VALUE"""),4.168462656E9)</f>
        <v>4168462656</v>
      </c>
      <c r="H2171" s="3">
        <f>IFERROR(__xludf.DUMMYFUNCTION("""COMPUTED_VALUE"""),4.164651899E9)</f>
        <v>4164651899</v>
      </c>
    </row>
    <row r="2172">
      <c r="A2172" s="2">
        <f>IFERROR(__xludf.DUMMYFUNCTION("""COMPUTED_VALUE"""),22361.0)</f>
        <v>22361</v>
      </c>
      <c r="B2172" s="3" t="str">
        <f>IFERROR(__xludf.DUMMYFUNCTION("""COMPUTED_VALUE"""),"5248 KING RD UNIT 140")</f>
        <v>5248 KING RD UNIT 140</v>
      </c>
      <c r="C2172" s="3" t="str">
        <f>IFERROR(__xludf.DUMMYFUNCTION("""COMPUTED_VALUE"""),"GORES LANDING")</f>
        <v>GORES LANDING</v>
      </c>
      <c r="D2172" s="3" t="str">
        <f>IFERROR(__xludf.DUMMYFUNCTION("""COMPUTED_VALUE"""),"K0K 2E0")</f>
        <v>K0K 2E0</v>
      </c>
      <c r="E2172" s="3" t="str">
        <f>IFERROR(__xludf.DUMMYFUNCTION("""COMPUTED_VALUE"""),"MARVIN DE LEON")</f>
        <v>MARVIN DE LEON</v>
      </c>
      <c r="F2172" s="3" t="str">
        <f>IFERROR(__xludf.DUMMYFUNCTION("""COMPUTED_VALUE"""),"martian448@gmail.com")</f>
        <v>martian448@gmail.com</v>
      </c>
      <c r="G2172" s="3"/>
      <c r="H2172" s="3"/>
    </row>
    <row r="2173">
      <c r="A2173" s="2">
        <f>IFERROR(__xludf.DUMMYFUNCTION("""COMPUTED_VALUE"""),22362.0)</f>
        <v>22362</v>
      </c>
      <c r="B2173" s="3" t="str">
        <f>IFERROR(__xludf.DUMMYFUNCTION("""COMPUTED_VALUE"""),"5248 KING RD UNIT 150")</f>
        <v>5248 KING RD UNIT 150</v>
      </c>
      <c r="C2173" s="3" t="str">
        <f>IFERROR(__xludf.DUMMYFUNCTION("""COMPUTED_VALUE"""),"GORES LANDING")</f>
        <v>GORES LANDING</v>
      </c>
      <c r="D2173" s="3" t="str">
        <f>IFERROR(__xludf.DUMMYFUNCTION("""COMPUTED_VALUE"""),"K0K 2E0")</f>
        <v>K0K 2E0</v>
      </c>
      <c r="E2173" s="3"/>
      <c r="F2173" s="3"/>
      <c r="G2173" s="3"/>
      <c r="H2173" s="3"/>
    </row>
    <row r="2174">
      <c r="A2174" s="2">
        <f>IFERROR(__xludf.DUMMYFUNCTION("""COMPUTED_VALUE"""),22363.0)</f>
        <v>22363</v>
      </c>
      <c r="B2174" s="3" t="str">
        <f>IFERROR(__xludf.DUMMYFUNCTION("""COMPUTED_VALUE"""),"5248 KING RD")</f>
        <v>5248 KING RD</v>
      </c>
      <c r="C2174" s="3" t="str">
        <f>IFERROR(__xludf.DUMMYFUNCTION("""COMPUTED_VALUE"""),"GORES LANDING")</f>
        <v>GORES LANDING</v>
      </c>
      <c r="D2174" s="3" t="str">
        <f>IFERROR(__xludf.DUMMYFUNCTION("""COMPUTED_VALUE"""),"K0K 2E0")</f>
        <v>K0K 2E0</v>
      </c>
      <c r="E2174" s="3"/>
      <c r="F2174" s="3"/>
      <c r="G2174" s="3"/>
      <c r="H2174" s="3"/>
    </row>
    <row r="2175">
      <c r="A2175" s="2">
        <f>IFERROR(__xludf.DUMMYFUNCTION("""COMPUTED_VALUE"""),22366.0)</f>
        <v>22366</v>
      </c>
      <c r="B2175" s="3" t="str">
        <f>IFERROR(__xludf.DUMMYFUNCTION("""COMPUTED_VALUE"""),"5264 KING RD")</f>
        <v>5264 KING RD</v>
      </c>
      <c r="C2175" s="3" t="str">
        <f>IFERROR(__xludf.DUMMYFUNCTION("""COMPUTED_VALUE"""),"GORES LANDING")</f>
        <v>GORES LANDING</v>
      </c>
      <c r="D2175" s="3" t="str">
        <f>IFERROR(__xludf.DUMMYFUNCTION("""COMPUTED_VALUE"""),"K0K 2E0")</f>
        <v>K0K 2E0</v>
      </c>
      <c r="E2175" s="3"/>
      <c r="F2175" s="3"/>
      <c r="G2175" s="3"/>
      <c r="H2175" s="3"/>
    </row>
    <row r="2176">
      <c r="A2176" s="2">
        <f>IFERROR(__xludf.DUMMYFUNCTION("""COMPUTED_VALUE"""),22475.0)</f>
        <v>22475</v>
      </c>
      <c r="B2176" s="3" t="str">
        <f>IFERROR(__xludf.DUMMYFUNCTION("""COMPUTED_VALUE"""),"8916 LEWIS CRT")</f>
        <v>8916 LEWIS CRT</v>
      </c>
      <c r="C2176" s="3" t="str">
        <f>IFERROR(__xludf.DUMMYFUNCTION("""COMPUTED_VALUE"""),"GORES LANDING")</f>
        <v>GORES LANDING</v>
      </c>
      <c r="D2176" s="3" t="str">
        <f>IFERROR(__xludf.DUMMYFUNCTION("""COMPUTED_VALUE"""),"K0K 2E0")</f>
        <v>K0K 2E0</v>
      </c>
      <c r="E2176" s="3" t="str">
        <f>IFERROR(__xludf.DUMMYFUNCTION("""COMPUTED_VALUE"""),"jenna ross")</f>
        <v>jenna ross</v>
      </c>
      <c r="F2176" s="3" t="str">
        <f>IFERROR(__xludf.DUMMYFUNCTION("""COMPUTED_VALUE"""),"macsmudder@gmail.com")</f>
        <v>macsmudder@gmail.com</v>
      </c>
      <c r="G2176" s="3">
        <f>IFERROR(__xludf.DUMMYFUNCTION("""COMPUTED_VALUE"""),9.053759586E9)</f>
        <v>9053759586</v>
      </c>
      <c r="H2176" s="3"/>
    </row>
    <row r="2177">
      <c r="A2177" s="2">
        <f>IFERROR(__xludf.DUMMYFUNCTION("""COMPUTED_VALUE"""),22476.0)</f>
        <v>22476</v>
      </c>
      <c r="B2177" s="3" t="str">
        <f>IFERROR(__xludf.DUMMYFUNCTION("""COMPUTED_VALUE"""),"8917 LEWIS CRT")</f>
        <v>8917 LEWIS CRT</v>
      </c>
      <c r="C2177" s="3" t="str">
        <f>IFERROR(__xludf.DUMMYFUNCTION("""COMPUTED_VALUE"""),"GORES LANDING")</f>
        <v>GORES LANDING</v>
      </c>
      <c r="D2177" s="3" t="str">
        <f>IFERROR(__xludf.DUMMYFUNCTION("""COMPUTED_VALUE"""),"K0K 2E0")</f>
        <v>K0K 2E0</v>
      </c>
      <c r="E2177" s="3" t="str">
        <f>IFERROR(__xludf.DUMMYFUNCTION("""COMPUTED_VALUE"""),"Emma Root")</f>
        <v>Emma Root</v>
      </c>
      <c r="F2177" s="3" t="str">
        <f>IFERROR(__xludf.DUMMYFUNCTION("""COMPUTED_VALUE"""),"emma_mike@hotmail.com")</f>
        <v>emma_mike@hotmail.com</v>
      </c>
      <c r="G2177" s="3">
        <f>IFERROR(__xludf.DUMMYFUNCTION("""COMPUTED_VALUE"""),9.053769841E9)</f>
        <v>9053769841</v>
      </c>
      <c r="H2177" s="3"/>
    </row>
    <row r="2178">
      <c r="A2178" s="2">
        <f>IFERROR(__xludf.DUMMYFUNCTION("""COMPUTED_VALUE"""),22477.0)</f>
        <v>22477</v>
      </c>
      <c r="B2178" s="3" t="str">
        <f>IFERROR(__xludf.DUMMYFUNCTION("""COMPUTED_VALUE"""),"8923 LEWIS CRT")</f>
        <v>8923 LEWIS CRT</v>
      </c>
      <c r="C2178" s="3" t="str">
        <f>IFERROR(__xludf.DUMMYFUNCTION("""COMPUTED_VALUE"""),"GORES LANDING")</f>
        <v>GORES LANDING</v>
      </c>
      <c r="D2178" s="3" t="str">
        <f>IFERROR(__xludf.DUMMYFUNCTION("""COMPUTED_VALUE"""),"K0K 2E0")</f>
        <v>K0K 2E0</v>
      </c>
      <c r="E2178" s="3" t="str">
        <f>IFERROR(__xludf.DUMMYFUNCTION("""COMPUTED_VALUE"""),"Dylan carr")</f>
        <v>Dylan carr</v>
      </c>
      <c r="F2178" s="3" t="str">
        <f>IFERROR(__xludf.DUMMYFUNCTION("""COMPUTED_VALUE"""),"baltimoreboggin@gmail.com")</f>
        <v>baltimoreboggin@gmail.com</v>
      </c>
      <c r="G2178" s="3">
        <f>IFERROR(__xludf.DUMMYFUNCTION("""COMPUTED_VALUE"""),2.892519565E9)</f>
        <v>2892519565</v>
      </c>
      <c r="H2178" s="3"/>
    </row>
    <row r="2179">
      <c r="A2179" s="2">
        <f>IFERROR(__xludf.DUMMYFUNCTION("""COMPUTED_VALUE"""),23933.0)</f>
        <v>23933</v>
      </c>
      <c r="B2179" s="3" t="str">
        <f>IFERROR(__xludf.DUMMYFUNCTION("""COMPUTED_VALUE"""),"4885 L Westington Rd")</f>
        <v>4885 L Westington Rd</v>
      </c>
      <c r="C2179" s="3" t="str">
        <f>IFERROR(__xludf.DUMMYFUNCTION("""COMPUTED_VALUE"""),"GORES LANDING")</f>
        <v>GORES LANDING</v>
      </c>
      <c r="D2179" s="3" t="str">
        <f>IFERROR(__xludf.DUMMYFUNCTION("""COMPUTED_VALUE"""),"K0K 2E0")</f>
        <v>K0K 2E0</v>
      </c>
      <c r="E2179" s="3"/>
      <c r="F2179" s="3"/>
      <c r="G2179" s="3"/>
      <c r="H2179" s="3"/>
    </row>
    <row r="2180">
      <c r="A2180" s="2">
        <f>IFERROR(__xludf.DUMMYFUNCTION("""COMPUTED_VALUE"""),22371.0)</f>
        <v>22371</v>
      </c>
      <c r="B2180" s="3" t="str">
        <f>IFERROR(__xludf.DUMMYFUNCTION("""COMPUTED_VALUE"""),"3390 LACEY RD")</f>
        <v>3390 LACEY RD</v>
      </c>
      <c r="C2180" s="3" t="str">
        <f>IFERROR(__xludf.DUMMYFUNCTION("""COMPUTED_VALUE"""),"COBOURG")</f>
        <v>COBOURG</v>
      </c>
      <c r="D2180" s="3" t="str">
        <f>IFERROR(__xludf.DUMMYFUNCTION("""COMPUTED_VALUE"""),"K9A 4J7")</f>
        <v>K9A 4J7</v>
      </c>
      <c r="E2180" s="3" t="str">
        <f>IFERROR(__xludf.DUMMYFUNCTION("""COMPUTED_VALUE"""),"jesse einarsson")</f>
        <v>jesse einarsson</v>
      </c>
      <c r="F2180" s="3" t="str">
        <f>IFERROR(__xludf.DUMMYFUNCTION("""COMPUTED_VALUE"""),"jesseeinarsson@gmail.com")</f>
        <v>jesseeinarsson@gmail.com</v>
      </c>
      <c r="G2180" s="3">
        <f>IFERROR(__xludf.DUMMYFUNCTION("""COMPUTED_VALUE"""),9.053967686E9)</f>
        <v>9053967686</v>
      </c>
      <c r="H2180" s="3">
        <f>IFERROR(__xludf.DUMMYFUNCTION("""COMPUTED_VALUE"""),9.053962225E9)</f>
        <v>9053962225</v>
      </c>
    </row>
    <row r="2181">
      <c r="A2181" s="2">
        <f>IFERROR(__xludf.DUMMYFUNCTION("""COMPUTED_VALUE"""),24015.0)</f>
        <v>24015</v>
      </c>
      <c r="B2181" s="3" t="str">
        <f>IFERROR(__xludf.DUMMYFUNCTION("""COMPUTED_VALUE"""),"3404 LACEY RD")</f>
        <v>3404 LACEY RD</v>
      </c>
      <c r="C2181" s="3" t="str">
        <f>IFERROR(__xludf.DUMMYFUNCTION("""COMPUTED_VALUE"""),"COBOURG")</f>
        <v>COBOURG</v>
      </c>
      <c r="D2181" s="3" t="str">
        <f>IFERROR(__xludf.DUMMYFUNCTION("""COMPUTED_VALUE"""),"K9A 4J7")</f>
        <v>K9A 4J7</v>
      </c>
      <c r="E2181" s="3"/>
      <c r="F2181" s="3"/>
      <c r="G2181" s="3"/>
      <c r="H2181" s="3"/>
    </row>
    <row r="2182">
      <c r="A2182" s="2">
        <f>IFERROR(__xludf.DUMMYFUNCTION("""COMPUTED_VALUE"""),22372.0)</f>
        <v>22372</v>
      </c>
      <c r="B2182" s="3" t="str">
        <f>IFERROR(__xludf.DUMMYFUNCTION("""COMPUTED_VALUE"""),"3413 LACEY RD")</f>
        <v>3413 LACEY RD</v>
      </c>
      <c r="C2182" s="3" t="str">
        <f>IFERROR(__xludf.DUMMYFUNCTION("""COMPUTED_VALUE"""),"COBOURG")</f>
        <v>COBOURG</v>
      </c>
      <c r="D2182" s="3" t="str">
        <f>IFERROR(__xludf.DUMMYFUNCTION("""COMPUTED_VALUE"""),"K9A 4J7")</f>
        <v>K9A 4J7</v>
      </c>
      <c r="E2182" s="3" t="str">
        <f>IFERROR(__xludf.DUMMYFUNCTION("""COMPUTED_VALUE"""),"Peter and Laurie Sandziuk")</f>
        <v>Peter and Laurie Sandziuk</v>
      </c>
      <c r="F2182" s="3" t="str">
        <f>IFERROR(__xludf.DUMMYFUNCTION("""COMPUTED_VALUE"""),"sandyacres13@hushmail.com")</f>
        <v>sandyacres13@hushmail.com</v>
      </c>
      <c r="G2182" s="3">
        <f>IFERROR(__xludf.DUMMYFUNCTION("""COMPUTED_VALUE"""),9.052692458E9)</f>
        <v>9052692458</v>
      </c>
      <c r="H2182" s="3">
        <f>IFERROR(__xludf.DUMMYFUNCTION("""COMPUTED_VALUE"""),9.053773471E9)</f>
        <v>9053773471</v>
      </c>
    </row>
    <row r="2183">
      <c r="A2183" s="2">
        <f>IFERROR(__xludf.DUMMYFUNCTION("""COMPUTED_VALUE"""),22373.0)</f>
        <v>22373</v>
      </c>
      <c r="B2183" s="3" t="str">
        <f>IFERROR(__xludf.DUMMYFUNCTION("""COMPUTED_VALUE"""),"3414 LACEY RD")</f>
        <v>3414 LACEY RD</v>
      </c>
      <c r="C2183" s="3" t="str">
        <f>IFERROR(__xludf.DUMMYFUNCTION("""COMPUTED_VALUE"""),"COBOURG")</f>
        <v>COBOURG</v>
      </c>
      <c r="D2183" s="3" t="str">
        <f>IFERROR(__xludf.DUMMYFUNCTION("""COMPUTED_VALUE"""),"K9A 4J7")</f>
        <v>K9A 4J7</v>
      </c>
      <c r="E2183" s="3" t="str">
        <f>IFERROR(__xludf.DUMMYFUNCTION("""COMPUTED_VALUE"""),"don&amp;donna bickle")</f>
        <v>don&amp;donna bickle</v>
      </c>
      <c r="F2183" s="3" t="str">
        <f>IFERROR(__xludf.DUMMYFUNCTION("""COMPUTED_VALUE"""),"oh.dona@hotmail.com")</f>
        <v>oh.dona@hotmail.com</v>
      </c>
      <c r="G2183" s="3">
        <f>IFERROR(__xludf.DUMMYFUNCTION("""COMPUTED_VALUE"""),9.0534232E9)</f>
        <v>9053423200</v>
      </c>
      <c r="H2183" s="3">
        <f>IFERROR(__xludf.DUMMYFUNCTION("""COMPUTED_VALUE"""),9.053775197E9)</f>
        <v>9053775197</v>
      </c>
    </row>
    <row r="2184">
      <c r="A2184" s="2">
        <f>IFERROR(__xludf.DUMMYFUNCTION("""COMPUTED_VALUE"""),22435.0)</f>
        <v>22435</v>
      </c>
      <c r="B2184" s="3" t="str">
        <f>IFERROR(__xludf.DUMMYFUNCTION("""COMPUTED_VALUE"""),"8280 LANDER RD")</f>
        <v>8280 LANDER RD</v>
      </c>
      <c r="C2184" s="3" t="str">
        <f>IFERROR(__xludf.DUMMYFUNCTION("""COMPUTED_VALUE"""),"GORES LANDING")</f>
        <v>GORES LANDING</v>
      </c>
      <c r="D2184" s="3" t="str">
        <f>IFERROR(__xludf.DUMMYFUNCTION("""COMPUTED_VALUE"""),"K0K 2E0")</f>
        <v>K0K 2E0</v>
      </c>
      <c r="E2184" s="3"/>
      <c r="F2184" s="3"/>
      <c r="G2184" s="3"/>
      <c r="H2184" s="3"/>
    </row>
    <row r="2185">
      <c r="A2185" s="2">
        <f>IFERROR(__xludf.DUMMYFUNCTION("""COMPUTED_VALUE"""),22478.0)</f>
        <v>22478</v>
      </c>
      <c r="B2185" s="3" t="str">
        <f>IFERROR(__xludf.DUMMYFUNCTION("""COMPUTED_VALUE"""),"8926 LEWIS CRT")</f>
        <v>8926 LEWIS CRT</v>
      </c>
      <c r="C2185" s="3" t="str">
        <f>IFERROR(__xludf.DUMMYFUNCTION("""COMPUTED_VALUE"""),"GORES LANDING")</f>
        <v>GORES LANDING</v>
      </c>
      <c r="D2185" s="3" t="str">
        <f>IFERROR(__xludf.DUMMYFUNCTION("""COMPUTED_VALUE"""),"K0K 2E0")</f>
        <v>K0K 2E0</v>
      </c>
      <c r="E2185" s="3" t="str">
        <f>IFERROR(__xludf.DUMMYFUNCTION("""COMPUTED_VALUE"""),"david alexander ")</f>
        <v>david alexander </v>
      </c>
      <c r="F2185" s="3" t="str">
        <f>IFERROR(__xludf.DUMMYFUNCTION("""COMPUTED_VALUE"""),"ricelakedave@gmail.com")</f>
        <v>ricelakedave@gmail.com</v>
      </c>
      <c r="G2185" s="3">
        <f>IFERROR(__xludf.DUMMYFUNCTION("""COMPUTED_VALUE"""),9.053964316E9)</f>
        <v>9053964316</v>
      </c>
      <c r="H2185" s="3">
        <f>IFERROR(__xludf.DUMMYFUNCTION("""COMPUTED_VALUE"""),9.053422784E9)</f>
        <v>9053422784</v>
      </c>
    </row>
    <row r="2186">
      <c r="A2186" s="2">
        <f>IFERROR(__xludf.DUMMYFUNCTION("""COMPUTED_VALUE"""),22414.0)</f>
        <v>22414</v>
      </c>
      <c r="B2186" s="3" t="str">
        <f>IFERROR(__xludf.DUMMYFUNCTION("""COMPUTED_VALUE"""),"8293 LANDER RD")</f>
        <v>8293 LANDER RD</v>
      </c>
      <c r="C2186" s="3" t="str">
        <f>IFERROR(__xludf.DUMMYFUNCTION("""COMPUTED_VALUE"""),"GORES LANDING")</f>
        <v>GORES LANDING</v>
      </c>
      <c r="D2186" s="3" t="str">
        <f>IFERROR(__xludf.DUMMYFUNCTION("""COMPUTED_VALUE"""),"K0K 2E0")</f>
        <v>K0K 2E0</v>
      </c>
      <c r="E2186" s="3" t="str">
        <f>IFERROR(__xludf.DUMMYFUNCTION("""COMPUTED_VALUE"""),"herve guibeat")</f>
        <v>herve guibeat</v>
      </c>
      <c r="F2186" s="3" t="str">
        <f>IFERROR(__xludf.DUMMYFUNCTION("""COMPUTED_VALUE"""),"hguibeat8@gmail.com")</f>
        <v>hguibeat8@gmail.com</v>
      </c>
      <c r="G2186" s="3">
        <f>IFERROR(__xludf.DUMMYFUNCTION("""COMPUTED_VALUE"""),4.168599369E9)</f>
        <v>4168599369</v>
      </c>
      <c r="H2186" s="3"/>
    </row>
    <row r="2187">
      <c r="A2187" s="2">
        <f>IFERROR(__xludf.DUMMYFUNCTION("""COMPUTED_VALUE"""),22415.0)</f>
        <v>22415</v>
      </c>
      <c r="B2187" s="3" t="str">
        <f>IFERROR(__xludf.DUMMYFUNCTION("""COMPUTED_VALUE"""),"8304 LANDER RD")</f>
        <v>8304 LANDER RD</v>
      </c>
      <c r="C2187" s="3" t="str">
        <f>IFERROR(__xludf.DUMMYFUNCTION("""COMPUTED_VALUE"""),"GORES LANDING")</f>
        <v>GORES LANDING</v>
      </c>
      <c r="D2187" s="3" t="str">
        <f>IFERROR(__xludf.DUMMYFUNCTION("""COMPUTED_VALUE"""),"K0K 2E0")</f>
        <v>K0K 2E0</v>
      </c>
      <c r="E2187" s="3" t="str">
        <f>IFERROR(__xludf.DUMMYFUNCTION("""COMPUTED_VALUE"""),"bojan kostelal")</f>
        <v>bojan kostelal</v>
      </c>
      <c r="F2187" s="3" t="str">
        <f>IFERROR(__xludf.DUMMYFUNCTION("""COMPUTED_VALUE"""),"bokostelal@gmail.com")</f>
        <v>bokostelal@gmail.com</v>
      </c>
      <c r="G2187" s="3">
        <f>IFERROR(__xludf.DUMMYFUNCTION("""COMPUTED_VALUE"""),6.47994373E9)</f>
        <v>6479943730</v>
      </c>
      <c r="H2187" s="3"/>
    </row>
    <row r="2188">
      <c r="A2188" s="2">
        <f>IFERROR(__xludf.DUMMYFUNCTION("""COMPUTED_VALUE"""),22416.0)</f>
        <v>22416</v>
      </c>
      <c r="B2188" s="3" t="str">
        <f>IFERROR(__xludf.DUMMYFUNCTION("""COMPUTED_VALUE"""),"8321 LANDER RD")</f>
        <v>8321 LANDER RD</v>
      </c>
      <c r="C2188" s="3" t="str">
        <f>IFERROR(__xludf.DUMMYFUNCTION("""COMPUTED_VALUE"""),"GORES LANDING")</f>
        <v>GORES LANDING</v>
      </c>
      <c r="D2188" s="3" t="str">
        <f>IFERROR(__xludf.DUMMYFUNCTION("""COMPUTED_VALUE"""),"K0K 2E0")</f>
        <v>K0K 2E0</v>
      </c>
      <c r="E2188" s="3"/>
      <c r="F2188" s="3"/>
      <c r="G2188" s="3"/>
      <c r="H2188" s="3"/>
    </row>
    <row r="2189">
      <c r="A2189" s="2">
        <f>IFERROR(__xludf.DUMMYFUNCTION("""COMPUTED_VALUE"""),22417.0)</f>
        <v>22417</v>
      </c>
      <c r="B2189" s="3" t="str">
        <f>IFERROR(__xludf.DUMMYFUNCTION("""COMPUTED_VALUE"""),"8332 LANDER RD")</f>
        <v>8332 LANDER RD</v>
      </c>
      <c r="C2189" s="3" t="str">
        <f>IFERROR(__xludf.DUMMYFUNCTION("""COMPUTED_VALUE"""),"GORES LANDING")</f>
        <v>GORES LANDING</v>
      </c>
      <c r="D2189" s="3" t="str">
        <f>IFERROR(__xludf.DUMMYFUNCTION("""COMPUTED_VALUE"""),"K0K 2E0")</f>
        <v>K0K 2E0</v>
      </c>
      <c r="E2189" s="3" t="str">
        <f>IFERROR(__xludf.DUMMYFUNCTION("""COMPUTED_VALUE"""),"craig williams")</f>
        <v>craig williams</v>
      </c>
      <c r="F2189" s="3" t="str">
        <f>IFERROR(__xludf.DUMMYFUNCTION("""COMPUTED_VALUE"""),"grandpacraig@gmail.com")</f>
        <v>grandpacraig@gmail.com</v>
      </c>
      <c r="G2189" s="3">
        <f>IFERROR(__xludf.DUMMYFUNCTION("""COMPUTED_VALUE"""),7.059773401E9)</f>
        <v>7059773401</v>
      </c>
      <c r="H2189" s="3">
        <f>IFERROR(__xludf.DUMMYFUNCTION("""COMPUTED_VALUE"""),9.053422858E9)</f>
        <v>9053422858</v>
      </c>
    </row>
    <row r="2190">
      <c r="A2190" s="2">
        <f>IFERROR(__xludf.DUMMYFUNCTION("""COMPUTED_VALUE"""),22418.0)</f>
        <v>22418</v>
      </c>
      <c r="B2190" s="3" t="str">
        <f>IFERROR(__xludf.DUMMYFUNCTION("""COMPUTED_VALUE"""),"8338 LANDER RD")</f>
        <v>8338 LANDER RD</v>
      </c>
      <c r="C2190" s="3" t="str">
        <f>IFERROR(__xludf.DUMMYFUNCTION("""COMPUTED_VALUE"""),"GORES LANDING")</f>
        <v>GORES LANDING</v>
      </c>
      <c r="D2190" s="3" t="str">
        <f>IFERROR(__xludf.DUMMYFUNCTION("""COMPUTED_VALUE"""),"K0K 2E0")</f>
        <v>K0K 2E0</v>
      </c>
      <c r="E2190" s="3" t="str">
        <f>IFERROR(__xludf.DUMMYFUNCTION("""COMPUTED_VALUE"""),"Mary")</f>
        <v>Mary</v>
      </c>
      <c r="F2190" s="3" t="str">
        <f>IFERROR(__xludf.DUMMYFUNCTION("""COMPUTED_VALUE"""),"mkrozonouski@hotmail.com")</f>
        <v>mkrozonouski@hotmail.com</v>
      </c>
      <c r="G2190" s="3">
        <f>IFERROR(__xludf.DUMMYFUNCTION("""COMPUTED_VALUE"""),4.167268952E9)</f>
        <v>4167268952</v>
      </c>
      <c r="H2190" s="3"/>
    </row>
    <row r="2191">
      <c r="A2191" s="2">
        <f>IFERROR(__xludf.DUMMYFUNCTION("""COMPUTED_VALUE"""),22419.0)</f>
        <v>22419</v>
      </c>
      <c r="B2191" s="3" t="str">
        <f>IFERROR(__xludf.DUMMYFUNCTION("""COMPUTED_VALUE"""),"8340 LANDER RD")</f>
        <v>8340 LANDER RD</v>
      </c>
      <c r="C2191" s="3" t="str">
        <f>IFERROR(__xludf.DUMMYFUNCTION("""COMPUTED_VALUE"""),"GORES LANDING")</f>
        <v>GORES LANDING</v>
      </c>
      <c r="D2191" s="3" t="str">
        <f>IFERROR(__xludf.DUMMYFUNCTION("""COMPUTED_VALUE"""),"K0K 2E0")</f>
        <v>K0K 2E0</v>
      </c>
      <c r="E2191" s="3" t="str">
        <f>IFERROR(__xludf.DUMMYFUNCTION("""COMPUTED_VALUE"""),"Nora Camps")</f>
        <v>Nora Camps</v>
      </c>
      <c r="F2191" s="3" t="str">
        <f>IFERROR(__xludf.DUMMYFUNCTION("""COMPUTED_VALUE"""),"ncamps@duo.ca")</f>
        <v>ncamps@duo.ca</v>
      </c>
      <c r="G2191" s="3">
        <f>IFERROR(__xludf.DUMMYFUNCTION("""COMPUTED_VALUE"""),4.168292245E9)</f>
        <v>4168292245</v>
      </c>
      <c r="H2191" s="3"/>
    </row>
    <row r="2192">
      <c r="A2192" s="2">
        <f>IFERROR(__xludf.DUMMYFUNCTION("""COMPUTED_VALUE"""),23088.0)</f>
        <v>23088</v>
      </c>
      <c r="B2192" s="3" t="str">
        <f>IFERROR(__xludf.DUMMYFUNCTION("""COMPUTED_VALUE"""),"2810 PETER ST")</f>
        <v>2810 PETER ST</v>
      </c>
      <c r="C2192" s="3" t="str">
        <f>IFERROR(__xludf.DUMMYFUNCTION("""COMPUTED_VALUE"""),"COBOURG")</f>
        <v>COBOURG</v>
      </c>
      <c r="D2192" s="3" t="str">
        <f>IFERROR(__xludf.DUMMYFUNCTION("""COMPUTED_VALUE"""),"K9A 4J9")</f>
        <v>K9A 4J9</v>
      </c>
      <c r="E2192" s="3" t="str">
        <f>IFERROR(__xludf.DUMMYFUNCTION("""COMPUTED_VALUE"""),"Edgar Carmen")</f>
        <v>Edgar Carmen</v>
      </c>
      <c r="F2192" s="3"/>
      <c r="G2192" s="3"/>
      <c r="H2192" s="3"/>
    </row>
    <row r="2193">
      <c r="A2193" s="2">
        <f>IFERROR(__xludf.DUMMYFUNCTION("""COMPUTED_VALUE"""),23089.0)</f>
        <v>23089</v>
      </c>
      <c r="B2193" s="3" t="str">
        <f>IFERROR(__xludf.DUMMYFUNCTION("""COMPUTED_VALUE"""),"2818 PETER ST")</f>
        <v>2818 PETER ST</v>
      </c>
      <c r="C2193" s="3" t="str">
        <f>IFERROR(__xludf.DUMMYFUNCTION("""COMPUTED_VALUE"""),"COBOURG")</f>
        <v>COBOURG</v>
      </c>
      <c r="D2193" s="3" t="str">
        <f>IFERROR(__xludf.DUMMYFUNCTION("""COMPUTED_VALUE"""),"K9A 4J9")</f>
        <v>K9A 4J9</v>
      </c>
      <c r="E2193" s="3" t="str">
        <f>IFERROR(__xludf.DUMMYFUNCTION("""COMPUTED_VALUE"""),"elizabeth beatty")</f>
        <v>elizabeth beatty</v>
      </c>
      <c r="F2193" s="3" t="str">
        <f>IFERROR(__xludf.DUMMYFUNCTION("""COMPUTED_VALUE"""),"rtbeatty03@gmail.com")</f>
        <v>rtbeatty03@gmail.com</v>
      </c>
      <c r="G2193" s="3">
        <f>IFERROR(__xludf.DUMMYFUNCTION("""COMPUTED_VALUE"""),9.053725169E9)</f>
        <v>9053725169</v>
      </c>
      <c r="H2193" s="3"/>
    </row>
    <row r="2194">
      <c r="A2194" s="2">
        <f>IFERROR(__xludf.DUMMYFUNCTION("""COMPUTED_VALUE"""),23102.0)</f>
        <v>23102</v>
      </c>
      <c r="B2194" s="3" t="str">
        <f>IFERROR(__xludf.DUMMYFUNCTION("""COMPUTED_VALUE"""),"3260 PIONEER RD")</f>
        <v>3260 PIONEER RD</v>
      </c>
      <c r="C2194" s="3" t="str">
        <f>IFERROR(__xludf.DUMMYFUNCTION("""COMPUTED_VALUE"""),"BALTIMORE")</f>
        <v>BALTIMORE</v>
      </c>
      <c r="D2194" s="3" t="str">
        <f>IFERROR(__xludf.DUMMYFUNCTION("""COMPUTED_VALUE"""),"K0K 1C0")</f>
        <v>K0K 1C0</v>
      </c>
      <c r="E2194" s="3"/>
      <c r="F2194" s="3"/>
      <c r="G2194" s="3"/>
      <c r="H2194" s="3"/>
    </row>
    <row r="2195">
      <c r="A2195" s="2">
        <f>IFERROR(__xludf.DUMMYFUNCTION("""COMPUTED_VALUE"""),23104.0)</f>
        <v>23104</v>
      </c>
      <c r="B2195" s="3" t="str">
        <f>IFERROR(__xludf.DUMMYFUNCTION("""COMPUTED_VALUE"""),"3272 PIONEER RD")</f>
        <v>3272 PIONEER RD</v>
      </c>
      <c r="C2195" s="3" t="str">
        <f>IFERROR(__xludf.DUMMYFUNCTION("""COMPUTED_VALUE"""),"BALTIMORE")</f>
        <v>BALTIMORE</v>
      </c>
      <c r="D2195" s="3" t="str">
        <f>IFERROR(__xludf.DUMMYFUNCTION("""COMPUTED_VALUE"""),"K0K 1C0")</f>
        <v>K0K 1C0</v>
      </c>
      <c r="E2195" s="3" t="str">
        <f>IFERROR(__xludf.DUMMYFUNCTION("""COMPUTED_VALUE"""),"Danny Allen Shank")</f>
        <v>Danny Allen Shank</v>
      </c>
      <c r="F2195" s="3" t="str">
        <f>IFERROR(__xludf.DUMMYFUNCTION("""COMPUTED_VALUE"""),"debraapowell20@gmail.com")</f>
        <v>debraapowell20@gmail.com</v>
      </c>
      <c r="G2195" s="3">
        <f>IFERROR(__xludf.DUMMYFUNCTION("""COMPUTED_VALUE"""),9.053760045E9)</f>
        <v>9053760045</v>
      </c>
      <c r="H2195" s="3">
        <f>IFERROR(__xludf.DUMMYFUNCTION("""COMPUTED_VALUE"""),9.053766233E9)</f>
        <v>9053766233</v>
      </c>
    </row>
    <row r="2196">
      <c r="A2196" s="2">
        <f>IFERROR(__xludf.DUMMYFUNCTION("""COMPUTED_VALUE"""),23106.0)</f>
        <v>23106</v>
      </c>
      <c r="B2196" s="3" t="str">
        <f>IFERROR(__xludf.DUMMYFUNCTION("""COMPUTED_VALUE"""),"3289 PIONEER RD")</f>
        <v>3289 PIONEER RD</v>
      </c>
      <c r="C2196" s="3" t="str">
        <f>IFERROR(__xludf.DUMMYFUNCTION("""COMPUTED_VALUE"""),"BALTIMORE")</f>
        <v>BALTIMORE</v>
      </c>
      <c r="D2196" s="3" t="str">
        <f>IFERROR(__xludf.DUMMYFUNCTION("""COMPUTED_VALUE"""),"K0K 1C0")</f>
        <v>K0K 1C0</v>
      </c>
      <c r="E2196" s="3" t="str">
        <f>IFERROR(__xludf.DUMMYFUNCTION("""COMPUTED_VALUE"""),"Rob Croft")</f>
        <v>Rob Croft</v>
      </c>
      <c r="F2196" s="3" t="str">
        <f>IFERROR(__xludf.DUMMYFUNCTION("""COMPUTED_VALUE"""),"croftrk@msn.com")</f>
        <v>croftrk@msn.com</v>
      </c>
      <c r="G2196" s="3"/>
      <c r="H2196" s="3"/>
    </row>
    <row r="2197">
      <c r="A2197" s="2">
        <f>IFERROR(__xludf.DUMMYFUNCTION("""COMPUTED_VALUE"""),23107.0)</f>
        <v>23107</v>
      </c>
      <c r="B2197" s="3" t="str">
        <f>IFERROR(__xludf.DUMMYFUNCTION("""COMPUTED_VALUE"""),"3293 PIONEER RD")</f>
        <v>3293 PIONEER RD</v>
      </c>
      <c r="C2197" s="3" t="str">
        <f>IFERROR(__xludf.DUMMYFUNCTION("""COMPUTED_VALUE"""),"BALTIMORE")</f>
        <v>BALTIMORE</v>
      </c>
      <c r="D2197" s="3" t="str">
        <f>IFERROR(__xludf.DUMMYFUNCTION("""COMPUTED_VALUE"""),"K0K 1C0")</f>
        <v>K0K 1C0</v>
      </c>
      <c r="E2197" s="3" t="str">
        <f>IFERROR(__xludf.DUMMYFUNCTION("""COMPUTED_VALUE"""),"david and rachel austin")</f>
        <v>david and rachel austin</v>
      </c>
      <c r="F2197" s="3"/>
      <c r="G2197" s="3">
        <f>IFERROR(__xludf.DUMMYFUNCTION("""COMPUTED_VALUE"""),2.2892510514E10)</f>
        <v>22892510514</v>
      </c>
      <c r="H2197" s="3">
        <f>IFERROR(__xludf.DUMMYFUNCTION("""COMPUTED_VALUE"""),2.892511716E9)</f>
        <v>2892511716</v>
      </c>
    </row>
    <row r="2198">
      <c r="A2198" s="2">
        <f>IFERROR(__xludf.DUMMYFUNCTION("""COMPUTED_VALUE"""),23114.0)</f>
        <v>23114</v>
      </c>
      <c r="B2198" s="3" t="str">
        <f>IFERROR(__xludf.DUMMYFUNCTION("""COMPUTED_VALUE"""),"3461 PIONEER RD")</f>
        <v>3461 PIONEER RD</v>
      </c>
      <c r="C2198" s="3" t="str">
        <f>IFERROR(__xludf.DUMMYFUNCTION("""COMPUTED_VALUE"""),"BALTIMORE")</f>
        <v>BALTIMORE</v>
      </c>
      <c r="D2198" s="3" t="str">
        <f>IFERROR(__xludf.DUMMYFUNCTION("""COMPUTED_VALUE"""),"K0K 1C0")</f>
        <v>K0K 1C0</v>
      </c>
      <c r="E2198" s="3" t="str">
        <f>IFERROR(__xludf.DUMMYFUNCTION("""COMPUTED_VALUE"""),"IAN PATTON")</f>
        <v>IAN PATTON</v>
      </c>
      <c r="F2198" s="3" t="str">
        <f>IFERROR(__xludf.DUMMYFUNCTION("""COMPUTED_VALUE"""),"pattonian128@gmail.com")</f>
        <v>pattonian128@gmail.com</v>
      </c>
      <c r="G2198" s="3"/>
      <c r="H2198" s="3"/>
    </row>
    <row r="2199">
      <c r="A2199" s="2">
        <f>IFERROR(__xludf.DUMMYFUNCTION("""COMPUTED_VALUE"""),22455.0)</f>
        <v>22455</v>
      </c>
      <c r="B2199" s="3" t="str">
        <f>IFERROR(__xludf.DUMMYFUNCTION("""COMPUTED_VALUE"""),"2620 LES DAVEY RD")</f>
        <v>2620 LES DAVEY RD</v>
      </c>
      <c r="C2199" s="3" t="str">
        <f>IFERROR(__xludf.DUMMYFUNCTION("""COMPUTED_VALUE"""),"BALTIMORE")</f>
        <v>BALTIMORE</v>
      </c>
      <c r="D2199" s="3" t="str">
        <f>IFERROR(__xludf.DUMMYFUNCTION("""COMPUTED_VALUE"""),"K0K 1C0")</f>
        <v>K0K 1C0</v>
      </c>
      <c r="E2199" s="3" t="str">
        <f>IFERROR(__xludf.DUMMYFUNCTION("""COMPUTED_VALUE"""),"Steven Quigley")</f>
        <v>Steven Quigley</v>
      </c>
      <c r="F2199" s="3" t="str">
        <f>IFERROR(__xludf.DUMMYFUNCTION("""COMPUTED_VALUE"""),"buildrite4u@yahoo.ca")</f>
        <v>buildrite4u@yahoo.ca</v>
      </c>
      <c r="G2199" s="3">
        <f>IFERROR(__xludf.DUMMYFUNCTION("""COMPUTED_VALUE"""),9.053969319E9)</f>
        <v>9053969319</v>
      </c>
      <c r="H2199" s="3"/>
    </row>
    <row r="2200">
      <c r="A2200" s="2">
        <f>IFERROR(__xludf.DUMMYFUNCTION("""COMPUTED_VALUE"""),22456.0)</f>
        <v>22456</v>
      </c>
      <c r="B2200" s="3" t="str">
        <f>IFERROR(__xludf.DUMMYFUNCTION("""COMPUTED_VALUE"""),"2656 LES DAVEY RD")</f>
        <v>2656 LES DAVEY RD</v>
      </c>
      <c r="C2200" s="3" t="str">
        <f>IFERROR(__xludf.DUMMYFUNCTION("""COMPUTED_VALUE"""),"BALTIMORE")</f>
        <v>BALTIMORE</v>
      </c>
      <c r="D2200" s="3" t="str">
        <f>IFERROR(__xludf.DUMMYFUNCTION("""COMPUTED_VALUE"""),"K0K 1C0")</f>
        <v>K0K 1C0</v>
      </c>
      <c r="E2200" s="3"/>
      <c r="F2200" s="3"/>
      <c r="G2200" s="3"/>
      <c r="H2200" s="3"/>
    </row>
    <row r="2201">
      <c r="A2201" s="2">
        <f>IFERROR(__xludf.DUMMYFUNCTION("""COMPUTED_VALUE"""),22457.0)</f>
        <v>22457</v>
      </c>
      <c r="B2201" s="3" t="str">
        <f>IFERROR(__xludf.DUMMYFUNCTION("""COMPUTED_VALUE"""),"2661 LES DAVEY RD")</f>
        <v>2661 LES DAVEY RD</v>
      </c>
      <c r="C2201" s="3" t="str">
        <f>IFERROR(__xludf.DUMMYFUNCTION("""COMPUTED_VALUE"""),"BALTIMORE")</f>
        <v>BALTIMORE</v>
      </c>
      <c r="D2201" s="3" t="str">
        <f>IFERROR(__xludf.DUMMYFUNCTION("""COMPUTED_VALUE"""),"K0K 1C0")</f>
        <v>K0K 1C0</v>
      </c>
      <c r="E2201" s="3"/>
      <c r="F2201" s="3"/>
      <c r="G2201" s="3"/>
      <c r="H2201" s="3"/>
    </row>
    <row r="2202">
      <c r="A2202" s="2">
        <f>IFERROR(__xludf.DUMMYFUNCTION("""COMPUTED_VALUE"""),22458.0)</f>
        <v>22458</v>
      </c>
      <c r="B2202" s="3" t="str">
        <f>IFERROR(__xludf.DUMMYFUNCTION("""COMPUTED_VALUE"""),"2709 LES DAVEY RD")</f>
        <v>2709 LES DAVEY RD</v>
      </c>
      <c r="C2202" s="3" t="str">
        <f>IFERROR(__xludf.DUMMYFUNCTION("""COMPUTED_VALUE"""),"BALTIMORE")</f>
        <v>BALTIMORE</v>
      </c>
      <c r="D2202" s="3" t="str">
        <f>IFERROR(__xludf.DUMMYFUNCTION("""COMPUTED_VALUE"""),"K0K 1C0")</f>
        <v>K0K 1C0</v>
      </c>
      <c r="E2202" s="3"/>
      <c r="F2202" s="3"/>
      <c r="G2202" s="3"/>
      <c r="H2202" s="3"/>
    </row>
    <row r="2203">
      <c r="A2203" s="2">
        <f>IFERROR(__xludf.DUMMYFUNCTION("""COMPUTED_VALUE"""),22464.0)</f>
        <v>22464</v>
      </c>
      <c r="B2203" s="3" t="str">
        <f>IFERROR(__xludf.DUMMYFUNCTION("""COMPUTED_VALUE"""),"4988 LEW HARRIS RD")</f>
        <v>4988 LEW HARRIS RD</v>
      </c>
      <c r="C2203" s="3" t="str">
        <f>IFERROR(__xludf.DUMMYFUNCTION("""COMPUTED_VALUE"""),"GORES LANDING")</f>
        <v>GORES LANDING</v>
      </c>
      <c r="D2203" s="3" t="str">
        <f>IFERROR(__xludf.DUMMYFUNCTION("""COMPUTED_VALUE"""),"K0K 2E0")</f>
        <v>K0K 2E0</v>
      </c>
      <c r="E2203" s="3"/>
      <c r="F2203" s="3"/>
      <c r="G2203" s="3"/>
      <c r="H2203" s="3"/>
    </row>
    <row r="2204">
      <c r="A2204" s="2">
        <f>IFERROR(__xludf.DUMMYFUNCTION("""COMPUTED_VALUE"""),22465.0)</f>
        <v>22465</v>
      </c>
      <c r="B2204" s="3" t="str">
        <f>IFERROR(__xludf.DUMMYFUNCTION("""COMPUTED_VALUE"""),"5139 LEW HARRIS RD")</f>
        <v>5139 LEW HARRIS RD</v>
      </c>
      <c r="C2204" s="3" t="str">
        <f>IFERROR(__xludf.DUMMYFUNCTION("""COMPUTED_VALUE"""),"GORES LANDING")</f>
        <v>GORES LANDING</v>
      </c>
      <c r="D2204" s="3" t="str">
        <f>IFERROR(__xludf.DUMMYFUNCTION("""COMPUTED_VALUE"""),"K0K 2E0")</f>
        <v>K0K 2E0</v>
      </c>
      <c r="E2204" s="3" t="str">
        <f>IFERROR(__xludf.DUMMYFUNCTION("""COMPUTED_VALUE"""),"Kim Turnbull")</f>
        <v>Kim Turnbull</v>
      </c>
      <c r="F2204" s="3" t="str">
        <f>IFERROR(__xludf.DUMMYFUNCTION("""COMPUTED_VALUE"""),"turnbull@eagle.ca")</f>
        <v>turnbull@eagle.ca</v>
      </c>
      <c r="G2204" s="3">
        <f>IFERROR(__xludf.DUMMYFUNCTION("""COMPUTED_VALUE"""),4.1640747E9)</f>
        <v>4164074700</v>
      </c>
      <c r="H2204" s="3"/>
    </row>
    <row r="2205">
      <c r="A2205" s="2">
        <f>IFERROR(__xludf.DUMMYFUNCTION("""COMPUTED_VALUE"""),23948.0)</f>
        <v>23948</v>
      </c>
      <c r="B2205" s="3" t="str">
        <f>IFERROR(__xludf.DUMMYFUNCTION("""COMPUTED_VALUE"""),"5173 LEW HARRIS RD")</f>
        <v>5173 LEW HARRIS RD</v>
      </c>
      <c r="C2205" s="3" t="str">
        <f>IFERROR(__xludf.DUMMYFUNCTION("""COMPUTED_VALUE"""),"GORES LANDING")</f>
        <v>GORES LANDING</v>
      </c>
      <c r="D2205" s="3" t="str">
        <f>IFERROR(__xludf.DUMMYFUNCTION("""COMPUTED_VALUE"""),"K0K 2E0")</f>
        <v>K0K 2E0</v>
      </c>
      <c r="E2205" s="3" t="str">
        <f>IFERROR(__xludf.DUMMYFUNCTION("""COMPUTED_VALUE"""),"Philippa McPhee")</f>
        <v>Philippa McPhee</v>
      </c>
      <c r="F2205" s="3" t="str">
        <f>IFERROR(__xludf.DUMMYFUNCTION("""COMPUTED_VALUE"""),"philippa.mcphee@gmail.com")</f>
        <v>philippa.mcphee@gmail.com</v>
      </c>
      <c r="G2205" s="3">
        <f>IFERROR(__xludf.DUMMYFUNCTION("""COMPUTED_VALUE"""),9.052421244E9)</f>
        <v>9052421244</v>
      </c>
      <c r="H2205" s="3">
        <f>IFERROR(__xludf.DUMMYFUNCTION("""COMPUTED_VALUE"""),9.053732736E9)</f>
        <v>9053732736</v>
      </c>
    </row>
    <row r="2206">
      <c r="A2206" s="2">
        <f>IFERROR(__xludf.DUMMYFUNCTION("""COMPUTED_VALUE"""),22466.0)</f>
        <v>22466</v>
      </c>
      <c r="B2206" s="3" t="str">
        <f>IFERROR(__xludf.DUMMYFUNCTION("""COMPUTED_VALUE"""),"5180 LEW HARRIS RD")</f>
        <v>5180 LEW HARRIS RD</v>
      </c>
      <c r="C2206" s="3" t="str">
        <f>IFERROR(__xludf.DUMMYFUNCTION("""COMPUTED_VALUE"""),"GORES LANDING")</f>
        <v>GORES LANDING</v>
      </c>
      <c r="D2206" s="3" t="str">
        <f>IFERROR(__xludf.DUMMYFUNCTION("""COMPUTED_VALUE"""),"K0K 2E0")</f>
        <v>K0K 2E0</v>
      </c>
      <c r="E2206" s="3" t="str">
        <f>IFERROR(__xludf.DUMMYFUNCTION("""COMPUTED_VALUE"""),"Thomas R Mccrea")</f>
        <v>Thomas R Mccrea</v>
      </c>
      <c r="F2206" s="3" t="str">
        <f>IFERROR(__xludf.DUMMYFUNCTION("""COMPUTED_VALUE"""),"trg.mccrea@gmail.com")</f>
        <v>trg.mccrea@gmail.com</v>
      </c>
      <c r="G2206" s="3">
        <f>IFERROR(__xludf.DUMMYFUNCTION("""COMPUTED_VALUE"""),6.133299395E9)</f>
        <v>6133299395</v>
      </c>
      <c r="H2206" s="3"/>
    </row>
    <row r="2207">
      <c r="A2207" s="2">
        <f>IFERROR(__xludf.DUMMYFUNCTION("""COMPUTED_VALUE"""),22467.0)</f>
        <v>22467</v>
      </c>
      <c r="B2207" s="3" t="str">
        <f>IFERROR(__xludf.DUMMYFUNCTION("""COMPUTED_VALUE"""),"5188 LEW HARRIS RD")</f>
        <v>5188 LEW HARRIS RD</v>
      </c>
      <c r="C2207" s="3" t="str">
        <f>IFERROR(__xludf.DUMMYFUNCTION("""COMPUTED_VALUE"""),"GORES LANDING")</f>
        <v>GORES LANDING</v>
      </c>
      <c r="D2207" s="3" t="str">
        <f>IFERROR(__xludf.DUMMYFUNCTION("""COMPUTED_VALUE"""),"K0K 2E0")</f>
        <v>K0K 2E0</v>
      </c>
      <c r="E2207" s="3" t="str">
        <f>IFERROR(__xludf.DUMMYFUNCTION("""COMPUTED_VALUE"""),"maija shannon")</f>
        <v>maija shannon</v>
      </c>
      <c r="F2207" s="3" t="str">
        <f>IFERROR(__xludf.DUMMYFUNCTION("""COMPUTED_VALUE"""),"shannonmaija@outlook.com")</f>
        <v>shannonmaija@outlook.com</v>
      </c>
      <c r="G2207" s="3">
        <f>IFERROR(__xludf.DUMMYFUNCTION("""COMPUTED_VALUE"""),4.162748102E9)</f>
        <v>4162748102</v>
      </c>
      <c r="H2207" s="3"/>
    </row>
    <row r="2208">
      <c r="A2208" s="2">
        <f>IFERROR(__xludf.DUMMYFUNCTION("""COMPUTED_VALUE"""),22468.0)</f>
        <v>22468</v>
      </c>
      <c r="B2208" s="3" t="str">
        <f>IFERROR(__xludf.DUMMYFUNCTION("""COMPUTED_VALUE"""),"5199 LEW HARRIS RD")</f>
        <v>5199 LEW HARRIS RD</v>
      </c>
      <c r="C2208" s="3" t="str">
        <f>IFERROR(__xludf.DUMMYFUNCTION("""COMPUTED_VALUE"""),"GORES LANDING")</f>
        <v>GORES LANDING</v>
      </c>
      <c r="D2208" s="3" t="str">
        <f>IFERROR(__xludf.DUMMYFUNCTION("""COMPUTED_VALUE"""),"K0K 2E0")</f>
        <v>K0K 2E0</v>
      </c>
      <c r="E2208" s="3" t="str">
        <f>IFERROR(__xludf.DUMMYFUNCTION("""COMPUTED_VALUE"""),"Benjamin Bouwmeester")</f>
        <v>Benjamin Bouwmeester</v>
      </c>
      <c r="F2208" s="3" t="str">
        <f>IFERROR(__xludf.DUMMYFUNCTION("""COMPUTED_VALUE"""),"beny0308@gmail.com")</f>
        <v>beny0308@gmail.com</v>
      </c>
      <c r="G2208" s="3">
        <f>IFERROR(__xludf.DUMMYFUNCTION("""COMPUTED_VALUE"""),9.052597749E9)</f>
        <v>9052597749</v>
      </c>
      <c r="H2208" s="3">
        <f>IFERROR(__xludf.DUMMYFUNCTION("""COMPUTED_VALUE"""),9.053967837E9)</f>
        <v>9053967837</v>
      </c>
    </row>
    <row r="2209">
      <c r="A2209" s="2">
        <f>IFERROR(__xludf.DUMMYFUNCTION("""COMPUTED_VALUE"""),22469.0)</f>
        <v>22469</v>
      </c>
      <c r="B2209" s="3" t="str">
        <f>IFERROR(__xludf.DUMMYFUNCTION("""COMPUTED_VALUE"""),"5202 LEW HARRIS RD")</f>
        <v>5202 LEW HARRIS RD</v>
      </c>
      <c r="C2209" s="3" t="str">
        <f>IFERROR(__xludf.DUMMYFUNCTION("""COMPUTED_VALUE"""),"GORES LANDING")</f>
        <v>GORES LANDING</v>
      </c>
      <c r="D2209" s="3" t="str">
        <f>IFERROR(__xludf.DUMMYFUNCTION("""COMPUTED_VALUE"""),"K0K 2E0")</f>
        <v>K0K 2E0</v>
      </c>
      <c r="E2209" s="3" t="str">
        <f>IFERROR(__xludf.DUMMYFUNCTION("""COMPUTED_VALUE"""),"steve lees")</f>
        <v>steve lees</v>
      </c>
      <c r="F2209" s="3" t="str">
        <f>IFERROR(__xludf.DUMMYFUNCTION("""COMPUTED_VALUE"""),"splees@myself.com")</f>
        <v>splees@myself.com</v>
      </c>
      <c r="G2209" s="3">
        <f>IFERROR(__xludf.DUMMYFUNCTION("""COMPUTED_VALUE"""),9.053766962E9)</f>
        <v>9053766962</v>
      </c>
      <c r="H2209" s="3">
        <f>IFERROR(__xludf.DUMMYFUNCTION("""COMPUTED_VALUE"""),9.059143524E9)</f>
        <v>9059143524</v>
      </c>
    </row>
    <row r="2210">
      <c r="A2210" s="2">
        <f>IFERROR(__xludf.DUMMYFUNCTION("""COMPUTED_VALUE"""),22470.0)</f>
        <v>22470</v>
      </c>
      <c r="B2210" s="3" t="str">
        <f>IFERROR(__xludf.DUMMYFUNCTION("""COMPUTED_VALUE"""),"5212 LEW HARRIS RD")</f>
        <v>5212 LEW HARRIS RD</v>
      </c>
      <c r="C2210" s="3" t="str">
        <f>IFERROR(__xludf.DUMMYFUNCTION("""COMPUTED_VALUE"""),"GORES LANDING")</f>
        <v>GORES LANDING</v>
      </c>
      <c r="D2210" s="3" t="str">
        <f>IFERROR(__xludf.DUMMYFUNCTION("""COMPUTED_VALUE"""),"K0K 2E0")</f>
        <v>K0K 2E0</v>
      </c>
      <c r="E2210" s="3" t="str">
        <f>IFERROR(__xludf.DUMMYFUNCTION("""COMPUTED_VALUE"""),"leah anne goody")</f>
        <v>leah anne goody</v>
      </c>
      <c r="F2210" s="3" t="str">
        <f>IFERROR(__xludf.DUMMYFUNCTION("""COMPUTED_VALUE"""),"goodyhug@hotmail.com")</f>
        <v>goodyhug@hotmail.com</v>
      </c>
      <c r="G2210" s="3">
        <f>IFERROR(__xludf.DUMMYFUNCTION("""COMPUTED_VALUE"""),5.194920343E9)</f>
        <v>5194920343</v>
      </c>
      <c r="H2210" s="3">
        <f>IFERROR(__xludf.DUMMYFUNCTION("""COMPUTED_VALUE"""),5.194920343E9)</f>
        <v>5194920343</v>
      </c>
    </row>
    <row r="2211">
      <c r="A2211" s="2">
        <f>IFERROR(__xludf.DUMMYFUNCTION("""COMPUTED_VALUE"""),22471.0)</f>
        <v>22471</v>
      </c>
      <c r="B2211" s="3" t="str">
        <f>IFERROR(__xludf.DUMMYFUNCTION("""COMPUTED_VALUE"""),"5229 LEW HARRIS RD")</f>
        <v>5229 LEW HARRIS RD</v>
      </c>
      <c r="C2211" s="3" t="str">
        <f>IFERROR(__xludf.DUMMYFUNCTION("""COMPUTED_VALUE"""),"GORES LANDING")</f>
        <v>GORES LANDING</v>
      </c>
      <c r="D2211" s="3" t="str">
        <f>IFERROR(__xludf.DUMMYFUNCTION("""COMPUTED_VALUE"""),"K0K 2E0")</f>
        <v>K0K 2E0</v>
      </c>
      <c r="E2211" s="3" t="str">
        <f>IFERROR(__xludf.DUMMYFUNCTION("""COMPUTED_VALUE"""),"William &amp; Susan Harris ")</f>
        <v>William &amp; Susan Harris </v>
      </c>
      <c r="F2211" s="3" t="str">
        <f>IFERROR(__xludf.DUMMYFUNCTION("""COMPUTED_VALUE"""),"subilharris@gmail.com")</f>
        <v>subilharris@gmail.com</v>
      </c>
      <c r="G2211" s="3"/>
      <c r="H2211" s="3"/>
    </row>
    <row r="2212">
      <c r="A2212" s="2">
        <f>IFERROR(__xludf.DUMMYFUNCTION("""COMPUTED_VALUE"""),22472.0)</f>
        <v>22472</v>
      </c>
      <c r="B2212" s="3" t="str">
        <f>IFERROR(__xludf.DUMMYFUNCTION("""COMPUTED_VALUE"""),"5263 LEW HARRIS RD")</f>
        <v>5263 LEW HARRIS RD</v>
      </c>
      <c r="C2212" s="3" t="str">
        <f>IFERROR(__xludf.DUMMYFUNCTION("""COMPUTED_VALUE"""),"GORES LANDING")</f>
        <v>GORES LANDING</v>
      </c>
      <c r="D2212" s="3" t="str">
        <f>IFERROR(__xludf.DUMMYFUNCTION("""COMPUTED_VALUE"""),"K0K 2E0")</f>
        <v>K0K 2E0</v>
      </c>
      <c r="E2212" s="3"/>
      <c r="F2212" s="3"/>
      <c r="G2212" s="3"/>
      <c r="H2212" s="3"/>
    </row>
    <row r="2213">
      <c r="A2213" s="2">
        <f>IFERROR(__xludf.DUMMYFUNCTION("""COMPUTED_VALUE"""),22479.0)</f>
        <v>22479</v>
      </c>
      <c r="B2213" s="3" t="str">
        <f>IFERROR(__xludf.DUMMYFUNCTION("""COMPUTED_VALUE"""),"8933 LEWIS CRT")</f>
        <v>8933 LEWIS CRT</v>
      </c>
      <c r="C2213" s="3" t="str">
        <f>IFERROR(__xludf.DUMMYFUNCTION("""COMPUTED_VALUE"""),"GORES LANDING")</f>
        <v>GORES LANDING</v>
      </c>
      <c r="D2213" s="3" t="str">
        <f>IFERROR(__xludf.DUMMYFUNCTION("""COMPUTED_VALUE"""),"K0K 2E0")</f>
        <v>K0K 2E0</v>
      </c>
      <c r="E2213" s="3" t="str">
        <f>IFERROR(__xludf.DUMMYFUNCTION("""COMPUTED_VALUE"""),"trudy morse ")</f>
        <v>trudy morse </v>
      </c>
      <c r="F2213" s="3" t="str">
        <f>IFERROR(__xludf.DUMMYFUNCTION("""COMPUTED_VALUE"""),"healingcanada@hotmail.com")</f>
        <v>healingcanada@hotmail.com</v>
      </c>
      <c r="G2213" s="3">
        <f>IFERROR(__xludf.DUMMYFUNCTION("""COMPUTED_VALUE"""),9.053736806E9)</f>
        <v>9053736806</v>
      </c>
      <c r="H2213" s="3"/>
    </row>
    <row r="2214">
      <c r="A2214" s="2">
        <f>IFERROR(__xludf.DUMMYFUNCTION("""COMPUTED_VALUE"""),22480.0)</f>
        <v>22480</v>
      </c>
      <c r="B2214" s="3" t="str">
        <f>IFERROR(__xludf.DUMMYFUNCTION("""COMPUTED_VALUE"""),"8934 LEWIS CRT")</f>
        <v>8934 LEWIS CRT</v>
      </c>
      <c r="C2214" s="3" t="str">
        <f>IFERROR(__xludf.DUMMYFUNCTION("""COMPUTED_VALUE"""),"GORES LANDING")</f>
        <v>GORES LANDING</v>
      </c>
      <c r="D2214" s="3" t="str">
        <f>IFERROR(__xludf.DUMMYFUNCTION("""COMPUTED_VALUE"""),"K0K 2E0")</f>
        <v>K0K 2E0</v>
      </c>
      <c r="E2214" s="3"/>
      <c r="F2214" s="3"/>
      <c r="G2214" s="3"/>
      <c r="H2214" s="3"/>
    </row>
    <row r="2215">
      <c r="A2215" s="2">
        <f>IFERROR(__xludf.DUMMYFUNCTION("""COMPUTED_VALUE"""),22481.0)</f>
        <v>22481</v>
      </c>
      <c r="B2215" s="3" t="str">
        <f>IFERROR(__xludf.DUMMYFUNCTION("""COMPUTED_VALUE"""),"8938 LEWIS CRT")</f>
        <v>8938 LEWIS CRT</v>
      </c>
      <c r="C2215" s="3" t="str">
        <f>IFERROR(__xludf.DUMMYFUNCTION("""COMPUTED_VALUE"""),"GORES LANDING")</f>
        <v>GORES LANDING</v>
      </c>
      <c r="D2215" s="3" t="str">
        <f>IFERROR(__xludf.DUMMYFUNCTION("""COMPUTED_VALUE"""),"K0K 2E0")</f>
        <v>K0K 2E0</v>
      </c>
      <c r="E2215" s="3" t="str">
        <f>IFERROR(__xludf.DUMMYFUNCTION("""COMPUTED_VALUE"""),"Samantha dey")</f>
        <v>Samantha dey</v>
      </c>
      <c r="F2215" s="3" t="str">
        <f>IFERROR(__xludf.DUMMYFUNCTION("""COMPUTED_VALUE"""),"samantha.dey@gmail.com")</f>
        <v>samantha.dey@gmail.com</v>
      </c>
      <c r="G2215" s="3">
        <f>IFERROR(__xludf.DUMMYFUNCTION("""COMPUTED_VALUE"""),9.05396999E9)</f>
        <v>9053969990</v>
      </c>
      <c r="H2215" s="3"/>
    </row>
    <row r="2216">
      <c r="A2216" s="2">
        <f>IFERROR(__xludf.DUMMYFUNCTION("""COMPUTED_VALUE"""),22482.0)</f>
        <v>22482</v>
      </c>
      <c r="B2216" s="3" t="str">
        <f>IFERROR(__xludf.DUMMYFUNCTION("""COMPUTED_VALUE"""),"8939 LEWIS CRT SUITE A")</f>
        <v>8939 LEWIS CRT SUITE A</v>
      </c>
      <c r="C2216" s="3" t="str">
        <f>IFERROR(__xludf.DUMMYFUNCTION("""COMPUTED_VALUE"""),"GORES LANDING")</f>
        <v>GORES LANDING</v>
      </c>
      <c r="D2216" s="3" t="str">
        <f>IFERROR(__xludf.DUMMYFUNCTION("""COMPUTED_VALUE"""),"K0K 2E0")</f>
        <v>K0K 2E0</v>
      </c>
      <c r="E2216" s="3" t="str">
        <f>IFERROR(__xludf.DUMMYFUNCTION("""COMPUTED_VALUE"""),"Sheila Ferguson ")</f>
        <v>Sheila Ferguson </v>
      </c>
      <c r="F2216" s="3"/>
      <c r="G2216" s="3"/>
      <c r="H2216" s="3"/>
    </row>
    <row r="2217">
      <c r="A2217" s="2">
        <f>IFERROR(__xludf.DUMMYFUNCTION("""COMPUTED_VALUE"""),22740.0)</f>
        <v>22740</v>
      </c>
      <c r="B2217" s="3" t="str">
        <f>IFERROR(__xludf.DUMMYFUNCTION("""COMPUTED_VALUE"""),"8689 MINIFIE RD")</f>
        <v>8689 MINIFIE RD</v>
      </c>
      <c r="C2217" s="3" t="str">
        <f>IFERROR(__xludf.DUMMYFUNCTION("""COMPUTED_VALUE"""),"COBOURG")</f>
        <v>COBOURG</v>
      </c>
      <c r="D2217" s="3" t="str">
        <f>IFERROR(__xludf.DUMMYFUNCTION("""COMPUTED_VALUE"""),"K9A 4J9")</f>
        <v>K9A 4J9</v>
      </c>
      <c r="E2217" s="3" t="str">
        <f>IFERROR(__xludf.DUMMYFUNCTION("""COMPUTED_VALUE"""),"Judy Barclay &amp; Daniel Weirsma")</f>
        <v>Judy Barclay &amp; Daniel Weirsma</v>
      </c>
      <c r="F2217" s="3" t="str">
        <f>IFERROR(__xludf.DUMMYFUNCTION("""COMPUTED_VALUE"""),"judebarclay13@gmail.com")</f>
        <v>judebarclay13@gmail.com</v>
      </c>
      <c r="G2217" s="3"/>
      <c r="H2217" s="3"/>
    </row>
    <row r="2218">
      <c r="A2218" s="2">
        <f>IFERROR(__xludf.DUMMYFUNCTION("""COMPUTED_VALUE"""),22743.0)</f>
        <v>22743</v>
      </c>
      <c r="B2218" s="3" t="str">
        <f>IFERROR(__xludf.DUMMYFUNCTION("""COMPUTED_VALUE"""),"8720 MINIFIE RD")</f>
        <v>8720 MINIFIE RD</v>
      </c>
      <c r="C2218" s="3" t="str">
        <f>IFERROR(__xludf.DUMMYFUNCTION("""COMPUTED_VALUE"""),"COBOURG")</f>
        <v>COBOURG</v>
      </c>
      <c r="D2218" s="3" t="str">
        <f>IFERROR(__xludf.DUMMYFUNCTION("""COMPUTED_VALUE"""),"K9A 4J9")</f>
        <v>K9A 4J9</v>
      </c>
      <c r="E2218" s="3" t="str">
        <f>IFERROR(__xludf.DUMMYFUNCTION("""COMPUTED_VALUE"""),"Eric Nottbeck")</f>
        <v>Eric Nottbeck</v>
      </c>
      <c r="F2218" s="3" t="str">
        <f>IFERROR(__xludf.DUMMYFUNCTION("""COMPUTED_VALUE"""),"enottbeck@gmail.com")</f>
        <v>enottbeck@gmail.com</v>
      </c>
      <c r="G2218" s="3">
        <f>IFERROR(__xludf.DUMMYFUNCTION("""COMPUTED_VALUE"""),9.057676978E9)</f>
        <v>9057676978</v>
      </c>
      <c r="H2218" s="3"/>
    </row>
    <row r="2219">
      <c r="A2219" s="2">
        <f>IFERROR(__xludf.DUMMYFUNCTION("""COMPUTED_VALUE"""),22745.0)</f>
        <v>22745</v>
      </c>
      <c r="B2219" s="3" t="str">
        <f>IFERROR(__xludf.DUMMYFUNCTION("""COMPUTED_VALUE"""),"8728 MINIFIE RD")</f>
        <v>8728 MINIFIE RD</v>
      </c>
      <c r="C2219" s="3" t="str">
        <f>IFERROR(__xludf.DUMMYFUNCTION("""COMPUTED_VALUE"""),"COBOURG")</f>
        <v>COBOURG</v>
      </c>
      <c r="D2219" s="3" t="str">
        <f>IFERROR(__xludf.DUMMYFUNCTION("""COMPUTED_VALUE"""),"K9A 4J9")</f>
        <v>K9A 4J9</v>
      </c>
      <c r="E2219" s="3" t="str">
        <f>IFERROR(__xludf.DUMMYFUNCTION("""COMPUTED_VALUE"""),"Heather Blakely")</f>
        <v>Heather Blakely</v>
      </c>
      <c r="F2219" s="3" t="str">
        <f>IFERROR(__xludf.DUMMYFUNCTION("""COMPUTED_VALUE"""),"heatherlblakely@gmail.com / heather_blakely@kprdsb.ca")</f>
        <v>heatherlblakely@gmail.com / heather_blakely@kprdsb.ca</v>
      </c>
      <c r="G2219" s="3">
        <f>IFERROR(__xludf.DUMMYFUNCTION("""COMPUTED_VALUE"""),9.053969594E9)</f>
        <v>9053969594</v>
      </c>
      <c r="H2219" s="3">
        <f>IFERROR(__xludf.DUMMYFUNCTION("""COMPUTED_VALUE"""),2.892513381E9)</f>
        <v>2892513381</v>
      </c>
    </row>
    <row r="2220">
      <c r="A2220" s="2">
        <f>IFERROR(__xludf.DUMMYFUNCTION("""COMPUTED_VALUE"""),22748.0)</f>
        <v>22748</v>
      </c>
      <c r="B2220" s="3" t="str">
        <f>IFERROR(__xludf.DUMMYFUNCTION("""COMPUTED_VALUE"""),"8758 MINIFIE RD")</f>
        <v>8758 MINIFIE RD</v>
      </c>
      <c r="C2220" s="3" t="str">
        <f>IFERROR(__xludf.DUMMYFUNCTION("""COMPUTED_VALUE"""),"COBOURG")</f>
        <v>COBOURG</v>
      </c>
      <c r="D2220" s="3" t="str">
        <f>IFERROR(__xludf.DUMMYFUNCTION("""COMPUTED_VALUE"""),"K9A 4J9")</f>
        <v>K9A 4J9</v>
      </c>
      <c r="E2220" s="3" t="str">
        <f>IFERROR(__xludf.DUMMYFUNCTION("""COMPUTED_VALUE"""),"Jannett Barrett")</f>
        <v>Jannett Barrett</v>
      </c>
      <c r="F2220" s="3" t="str">
        <f>IFERROR(__xludf.DUMMYFUNCTION("""COMPUTED_VALUE"""),"countrybabe83@yahoo.com")</f>
        <v>countrybabe83@yahoo.com</v>
      </c>
      <c r="G2220" s="3">
        <f>IFERROR(__xludf.DUMMYFUNCTION("""COMPUTED_VALUE"""),9.053760761E9)</f>
        <v>9053760761</v>
      </c>
      <c r="H2220" s="3">
        <f>IFERROR(__xludf.DUMMYFUNCTION("""COMPUTED_VALUE"""),9.053422088E9)</f>
        <v>9053422088</v>
      </c>
    </row>
    <row r="2221">
      <c r="A2221" s="2">
        <f>IFERROR(__xludf.DUMMYFUNCTION("""COMPUTED_VALUE"""),21115.0)</f>
        <v>21115</v>
      </c>
      <c r="B2221" s="3" t="str">
        <f>IFERROR(__xludf.DUMMYFUNCTION("""COMPUTED_VALUE"""),"5110 COUNTY RD 45")</f>
        <v>5110 COUNTY RD 45</v>
      </c>
      <c r="C2221" s="3" t="str">
        <f>IFERROR(__xludf.DUMMYFUNCTION("""COMPUTED_VALUE"""),"BALTIMORE")</f>
        <v>BALTIMORE</v>
      </c>
      <c r="D2221" s="3" t="str">
        <f>IFERROR(__xludf.DUMMYFUNCTION("""COMPUTED_VALUE"""),"K0K 1C0")</f>
        <v>K0K 1C0</v>
      </c>
      <c r="E2221" s="3"/>
      <c r="F2221" s="3"/>
      <c r="G2221" s="3"/>
      <c r="H2221" s="3"/>
    </row>
    <row r="2222">
      <c r="A2222" s="2">
        <f>IFERROR(__xludf.DUMMYFUNCTION("""COMPUTED_VALUE"""),22752.0)</f>
        <v>22752</v>
      </c>
      <c r="B2222" s="3" t="str">
        <f>IFERROR(__xludf.DUMMYFUNCTION("""COMPUTED_VALUE"""),"8822 MINIFIE RD")</f>
        <v>8822 MINIFIE RD</v>
      </c>
      <c r="C2222" s="3" t="str">
        <f>IFERROR(__xludf.DUMMYFUNCTION("""COMPUTED_VALUE"""),"COBOURG")</f>
        <v>COBOURG</v>
      </c>
      <c r="D2222" s="3" t="str">
        <f>IFERROR(__xludf.DUMMYFUNCTION("""COMPUTED_VALUE"""),"K9A 4J9")</f>
        <v>K9A 4J9</v>
      </c>
      <c r="E2222" s="3" t="str">
        <f>IFERROR(__xludf.DUMMYFUNCTION("""COMPUTED_VALUE"""),"Steve hann")</f>
        <v>Steve hann</v>
      </c>
      <c r="F2222" s="3" t="str">
        <f>IFERROR(__xludf.DUMMYFUNCTION("""COMPUTED_VALUE"""),"djsanka@msn.com")</f>
        <v>djsanka@msn.com</v>
      </c>
      <c r="G2222" s="3">
        <f>IFERROR(__xludf.DUMMYFUNCTION("""COMPUTED_VALUE"""),6.479704851E9)</f>
        <v>6479704851</v>
      </c>
      <c r="H2222" s="3"/>
    </row>
    <row r="2223">
      <c r="A2223" s="2">
        <f>IFERROR(__xludf.DUMMYFUNCTION("""COMPUTED_VALUE"""),22487.0)</f>
        <v>22487</v>
      </c>
      <c r="B2223" s="3" t="str">
        <f>IFERROR(__xludf.DUMMYFUNCTION("""COMPUTED_VALUE"""),"540 LILAC VALLEY RD")</f>
        <v>540 LILAC VALLEY RD</v>
      </c>
      <c r="C2223" s="3" t="str">
        <f>IFERROR(__xludf.DUMMYFUNCTION("""COMPUTED_VALUE"""),"BALTIMORE")</f>
        <v>BALTIMORE</v>
      </c>
      <c r="D2223" s="3" t="str">
        <f>IFERROR(__xludf.DUMMYFUNCTION("""COMPUTED_VALUE"""),"K0K 1C0")</f>
        <v>K0K 1C0</v>
      </c>
      <c r="E2223" s="3" t="str">
        <f>IFERROR(__xludf.DUMMYFUNCTION("""COMPUTED_VALUE"""),"steve herriot ")</f>
        <v>steve herriot </v>
      </c>
      <c r="F2223" s="3" t="str">
        <f>IFERROR(__xludf.DUMMYFUNCTION("""COMPUTED_VALUE"""),"skherriot@gmail.com")</f>
        <v>skherriot@gmail.com</v>
      </c>
      <c r="G2223" s="3">
        <f>IFERROR(__xludf.DUMMYFUNCTION("""COMPUTED_VALUE"""),2.892512891E9)</f>
        <v>2892512891</v>
      </c>
      <c r="H2223" s="3"/>
    </row>
    <row r="2224">
      <c r="A2224" s="2">
        <f>IFERROR(__xludf.DUMMYFUNCTION("""COMPUTED_VALUE"""),22488.0)</f>
        <v>22488</v>
      </c>
      <c r="B2224" s="3" t="str">
        <f>IFERROR(__xludf.DUMMYFUNCTION("""COMPUTED_VALUE"""),"552 LILAC VALLEY RD")</f>
        <v>552 LILAC VALLEY RD</v>
      </c>
      <c r="C2224" s="3" t="str">
        <f>IFERROR(__xludf.DUMMYFUNCTION("""COMPUTED_VALUE"""),"BALTIMORE")</f>
        <v>BALTIMORE</v>
      </c>
      <c r="D2224" s="3" t="str">
        <f>IFERROR(__xludf.DUMMYFUNCTION("""COMPUTED_VALUE"""),"K0K 1C0")</f>
        <v>K0K 1C0</v>
      </c>
      <c r="E2224" s="3"/>
      <c r="F2224" s="3"/>
      <c r="G2224" s="3"/>
      <c r="H2224" s="3"/>
    </row>
    <row r="2225">
      <c r="A2225" s="2">
        <f>IFERROR(__xludf.DUMMYFUNCTION("""COMPUTED_VALUE"""),22493.0)</f>
        <v>22493</v>
      </c>
      <c r="B2225" s="3" t="str">
        <f>IFERROR(__xludf.DUMMYFUNCTION("""COMPUTED_VALUE"""),"4500 LINTON RD")</f>
        <v>4500 LINTON RD</v>
      </c>
      <c r="C2225" s="3" t="str">
        <f>IFERROR(__xludf.DUMMYFUNCTION("""COMPUTED_VALUE"""),"GORES LANDING")</f>
        <v>GORES LANDING</v>
      </c>
      <c r="D2225" s="3" t="str">
        <f>IFERROR(__xludf.DUMMYFUNCTION("""COMPUTED_VALUE"""),"K0K 2E0")</f>
        <v>K0K 2E0</v>
      </c>
      <c r="E2225" s="3"/>
      <c r="F2225" s="3"/>
      <c r="G2225" s="3"/>
      <c r="H2225" s="3"/>
    </row>
    <row r="2226">
      <c r="A2226" s="2">
        <f>IFERROR(__xludf.DUMMYFUNCTION("""COMPUTED_VALUE"""),22611.0)</f>
        <v>22611</v>
      </c>
      <c r="B2226" s="3" t="str">
        <f>IFERROR(__xludf.DUMMYFUNCTION("""COMPUTED_VALUE"""),"8633 MCBRIDE RD")</f>
        <v>8633 MCBRIDE RD</v>
      </c>
      <c r="C2226" s="3" t="str">
        <f>IFERROR(__xludf.DUMMYFUNCTION("""COMPUTED_VALUE"""),"COBOURG")</f>
        <v>COBOURG</v>
      </c>
      <c r="D2226" s="3" t="str">
        <f>IFERROR(__xludf.DUMMYFUNCTION("""COMPUTED_VALUE"""),"K9A 4J9")</f>
        <v>K9A 4J9</v>
      </c>
      <c r="E2226" s="3"/>
      <c r="F2226" s="3"/>
      <c r="G2226" s="3"/>
      <c r="H2226" s="3"/>
    </row>
    <row r="2227">
      <c r="A2227" s="2">
        <f>IFERROR(__xludf.DUMMYFUNCTION("""COMPUTED_VALUE"""),23944.0)</f>
        <v>23944</v>
      </c>
      <c r="B2227" s="3" t="str">
        <f>IFERROR(__xludf.DUMMYFUNCTION("""COMPUTED_VALUE"""),"5299 MCFARLAND RD")</f>
        <v>5299 MCFARLAND RD</v>
      </c>
      <c r="C2227" s="3" t="str">
        <f>IFERROR(__xludf.DUMMYFUNCTION("""COMPUTED_VALUE"""),"GORES LANDING")</f>
        <v>GORES LANDING</v>
      </c>
      <c r="D2227" s="3" t="str">
        <f>IFERROR(__xludf.DUMMYFUNCTION("""COMPUTED_VALUE"""),"K0K 2E0")</f>
        <v>K0K 2E0</v>
      </c>
      <c r="E2227" s="3" t="str">
        <f>IFERROR(__xludf.DUMMYFUNCTION("""COMPUTED_VALUE"""),"Charles and Deborah McFarland")</f>
        <v>Charles and Deborah McFarland</v>
      </c>
      <c r="F2227" s="3" t="str">
        <f>IFERROR(__xludf.DUMMYFUNCTION("""COMPUTED_VALUE"""),"mcfarland342@gmail.com")</f>
        <v>mcfarland342@gmail.com</v>
      </c>
      <c r="G2227" s="3"/>
      <c r="H2227" s="3"/>
    </row>
    <row r="2228">
      <c r="A2228" s="2">
        <f>IFERROR(__xludf.DUMMYFUNCTION("""COMPUTED_VALUE"""),22651.0)</f>
        <v>22651</v>
      </c>
      <c r="B2228" s="3" t="str">
        <f>IFERROR(__xludf.DUMMYFUNCTION("""COMPUTED_VALUE"""),"5330 MCFARLAND RD 140")</f>
        <v>5330 MCFARLAND RD 140</v>
      </c>
      <c r="C2228" s="3" t="str">
        <f>IFERROR(__xludf.DUMMYFUNCTION("""COMPUTED_VALUE"""),"GORES LANDING")</f>
        <v>GORES LANDING</v>
      </c>
      <c r="D2228" s="3" t="str">
        <f>IFERROR(__xludf.DUMMYFUNCTION("""COMPUTED_VALUE"""),"K0K 2E0")</f>
        <v>K0K 2E0</v>
      </c>
      <c r="E2228" s="3"/>
      <c r="F2228" s="3"/>
      <c r="G2228" s="3"/>
      <c r="H2228" s="3"/>
    </row>
    <row r="2229">
      <c r="A2229" s="2">
        <f>IFERROR(__xludf.DUMMYFUNCTION("""COMPUTED_VALUE"""),22652.0)</f>
        <v>22652</v>
      </c>
      <c r="B2229" s="3" t="str">
        <f>IFERROR(__xludf.DUMMYFUNCTION("""COMPUTED_VALUE"""),"5330 MCFARLAND RD 150")</f>
        <v>5330 MCFARLAND RD 150</v>
      </c>
      <c r="C2229" s="3" t="str">
        <f>IFERROR(__xludf.DUMMYFUNCTION("""COMPUTED_VALUE"""),"GORES LANDING")</f>
        <v>GORES LANDING</v>
      </c>
      <c r="D2229" s="3" t="str">
        <f>IFERROR(__xludf.DUMMYFUNCTION("""COMPUTED_VALUE"""),"K0K 2E0")</f>
        <v>K0K 2E0</v>
      </c>
      <c r="E2229" s="3"/>
      <c r="F2229" s="3"/>
      <c r="G2229" s="3"/>
      <c r="H2229" s="3"/>
    </row>
    <row r="2230">
      <c r="A2230" s="2">
        <f>IFERROR(__xludf.DUMMYFUNCTION("""COMPUTED_VALUE"""),22663.0)</f>
        <v>22663</v>
      </c>
      <c r="B2230" s="3" t="str">
        <f>IFERROR(__xludf.DUMMYFUNCTION("""COMPUTED_VALUE"""),"5330 MCFARLAND RD UNIT 210")</f>
        <v>5330 MCFARLAND RD UNIT 210</v>
      </c>
      <c r="C2230" s="3" t="str">
        <f>IFERROR(__xludf.DUMMYFUNCTION("""COMPUTED_VALUE"""),"GORES LANDING")</f>
        <v>GORES LANDING</v>
      </c>
      <c r="D2230" s="3" t="str">
        <f>IFERROR(__xludf.DUMMYFUNCTION("""COMPUTED_VALUE"""),"K0K 2E0")</f>
        <v>K0K 2E0</v>
      </c>
      <c r="E2230" s="3"/>
      <c r="F2230" s="3"/>
      <c r="G2230" s="3"/>
      <c r="H2230" s="3"/>
    </row>
    <row r="2231">
      <c r="A2231" s="2">
        <f>IFERROR(__xludf.DUMMYFUNCTION("""COMPUTED_VALUE"""),23967.0)</f>
        <v>23967</v>
      </c>
      <c r="B2231" s="3" t="str">
        <f>IFERROR(__xludf.DUMMYFUNCTION("""COMPUTED_VALUE"""),"5330 MCFARLAND RD")</f>
        <v>5330 MCFARLAND RD</v>
      </c>
      <c r="C2231" s="3" t="str">
        <f>IFERROR(__xludf.DUMMYFUNCTION("""COMPUTED_VALUE"""),"GORES LANDING")</f>
        <v>GORES LANDING</v>
      </c>
      <c r="D2231" s="3" t="str">
        <f>IFERROR(__xludf.DUMMYFUNCTION("""COMPUTED_VALUE"""),"K0K 2E0")</f>
        <v>K0K 2E0</v>
      </c>
      <c r="E2231" s="3"/>
      <c r="F2231" s="3"/>
      <c r="G2231" s="3"/>
      <c r="H2231" s="3"/>
    </row>
    <row r="2232">
      <c r="A2232" s="2">
        <f>IFERROR(__xludf.DUMMYFUNCTION("""COMPUTED_VALUE"""),22649.0)</f>
        <v>22649</v>
      </c>
      <c r="B2232" s="3" t="str">
        <f>IFERROR(__xludf.DUMMYFUNCTION("""COMPUTED_VALUE"""),"5330 MCFARLAND RD 100")</f>
        <v>5330 MCFARLAND RD 100</v>
      </c>
      <c r="C2232" s="3" t="str">
        <f>IFERROR(__xludf.DUMMYFUNCTION("""COMPUTED_VALUE"""),"GORES LANDING")</f>
        <v>GORES LANDING</v>
      </c>
      <c r="D2232" s="3" t="str">
        <f>IFERROR(__xludf.DUMMYFUNCTION("""COMPUTED_VALUE"""),"K0K 2E0")</f>
        <v>K0K 2E0</v>
      </c>
      <c r="E2232" s="3" t="str">
        <f>IFERROR(__xludf.DUMMYFUNCTION("""COMPUTED_VALUE"""),"barb newmann")</f>
        <v>barb newmann</v>
      </c>
      <c r="F2232" s="3"/>
      <c r="G2232" s="3">
        <f>IFERROR(__xludf.DUMMYFUNCTION("""COMPUTED_VALUE"""),9.053423133E9)</f>
        <v>9053423133</v>
      </c>
      <c r="H2232" s="3"/>
    </row>
    <row r="2233">
      <c r="A2233" s="2">
        <f>IFERROR(__xludf.DUMMYFUNCTION("""COMPUTED_VALUE"""),22650.0)</f>
        <v>22650</v>
      </c>
      <c r="B2233" s="3" t="str">
        <f>IFERROR(__xludf.DUMMYFUNCTION("""COMPUTED_VALUE"""),"5330 MCFARLAND RD 110")</f>
        <v>5330 MCFARLAND RD 110</v>
      </c>
      <c r="C2233" s="3" t="str">
        <f>IFERROR(__xludf.DUMMYFUNCTION("""COMPUTED_VALUE"""),"GORES LANDING")</f>
        <v>GORES LANDING</v>
      </c>
      <c r="D2233" s="3" t="str">
        <f>IFERROR(__xludf.DUMMYFUNCTION("""COMPUTED_VALUE"""),"K0K 2E0")</f>
        <v>K0K 2E0</v>
      </c>
      <c r="E2233" s="3" t="str">
        <f>IFERROR(__xludf.DUMMYFUNCTION("""COMPUTED_VALUE"""),"peter wieczorek")</f>
        <v>peter wieczorek</v>
      </c>
      <c r="F2233" s="3"/>
      <c r="G2233" s="3">
        <f>IFERROR(__xludf.DUMMYFUNCTION("""COMPUTED_VALUE"""),9.052694665E9)</f>
        <v>9052694665</v>
      </c>
      <c r="H2233" s="3"/>
    </row>
    <row r="2234">
      <c r="A2234" s="2">
        <f>IFERROR(__xludf.DUMMYFUNCTION("""COMPUTED_VALUE"""),22653.0)</f>
        <v>22653</v>
      </c>
      <c r="B2234" s="3" t="str">
        <f>IFERROR(__xludf.DUMMYFUNCTION("""COMPUTED_VALUE"""),"5330 MCFARLAND RD 160")</f>
        <v>5330 MCFARLAND RD 160</v>
      </c>
      <c r="C2234" s="3" t="str">
        <f>IFERROR(__xludf.DUMMYFUNCTION("""COMPUTED_VALUE"""),"GORES LANDING")</f>
        <v>GORES LANDING</v>
      </c>
      <c r="D2234" s="3" t="str">
        <f>IFERROR(__xludf.DUMMYFUNCTION("""COMPUTED_VALUE"""),"K0K 2E0")</f>
        <v>K0K 2E0</v>
      </c>
      <c r="E2234" s="3" t="str">
        <f>IFERROR(__xludf.DUMMYFUNCTION("""COMPUTED_VALUE"""),"martin white ")</f>
        <v>martin white </v>
      </c>
      <c r="F2234" s="3" t="str">
        <f>IFERROR(__xludf.DUMMYFUNCTION("""COMPUTED_VALUE"""),"martywhite_85@hotmail.com")</f>
        <v>martywhite_85@hotmail.com</v>
      </c>
      <c r="G2234" s="3">
        <f>IFERROR(__xludf.DUMMYFUNCTION("""COMPUTED_VALUE"""),2.892514762E9)</f>
        <v>2892514762</v>
      </c>
      <c r="H2234" s="3"/>
    </row>
    <row r="2235">
      <c r="A2235" s="2">
        <f>IFERROR(__xludf.DUMMYFUNCTION("""COMPUTED_VALUE"""),22654.0)</f>
        <v>22654</v>
      </c>
      <c r="B2235" s="3" t="str">
        <f>IFERROR(__xludf.DUMMYFUNCTION("""COMPUTED_VALUE"""),"5330 MCFARLAND RD 170")</f>
        <v>5330 MCFARLAND RD 170</v>
      </c>
      <c r="C2235" s="3" t="str">
        <f>IFERROR(__xludf.DUMMYFUNCTION("""COMPUTED_VALUE"""),"GORES LANDING")</f>
        <v>GORES LANDING</v>
      </c>
      <c r="D2235" s="3" t="str">
        <f>IFERROR(__xludf.DUMMYFUNCTION("""COMPUTED_VALUE"""),"K0K 2E0")</f>
        <v>K0K 2E0</v>
      </c>
      <c r="E2235" s="3"/>
      <c r="F2235" s="3"/>
      <c r="G2235" s="3"/>
      <c r="H2235" s="3"/>
    </row>
    <row r="2236">
      <c r="A2236" s="2">
        <f>IFERROR(__xludf.DUMMYFUNCTION("""COMPUTED_VALUE"""),22655.0)</f>
        <v>22655</v>
      </c>
      <c r="B2236" s="3" t="str">
        <f>IFERROR(__xludf.DUMMYFUNCTION("""COMPUTED_VALUE"""),"5330 MCFARLAND RD 180")</f>
        <v>5330 MCFARLAND RD 180</v>
      </c>
      <c r="C2236" s="3" t="str">
        <f>IFERROR(__xludf.DUMMYFUNCTION("""COMPUTED_VALUE"""),"GORES LANDING")</f>
        <v>GORES LANDING</v>
      </c>
      <c r="D2236" s="3" t="str">
        <f>IFERROR(__xludf.DUMMYFUNCTION("""COMPUTED_VALUE"""),"K0K 2E0")</f>
        <v>K0K 2E0</v>
      </c>
      <c r="E2236" s="3"/>
      <c r="F2236" s="3"/>
      <c r="G2236" s="3"/>
      <c r="H2236" s="3"/>
    </row>
    <row r="2237">
      <c r="A2237" s="2">
        <f>IFERROR(__xludf.DUMMYFUNCTION("""COMPUTED_VALUE"""),22657.0)</f>
        <v>22657</v>
      </c>
      <c r="B2237" s="3" t="str">
        <f>IFERROR(__xludf.DUMMYFUNCTION("""COMPUTED_VALUE"""),"5330 MCFARLAND RD 260")</f>
        <v>5330 MCFARLAND RD 260</v>
      </c>
      <c r="C2237" s="3" t="str">
        <f>IFERROR(__xludf.DUMMYFUNCTION("""COMPUTED_VALUE"""),"GORES LANDING")</f>
        <v>GORES LANDING</v>
      </c>
      <c r="D2237" s="3" t="str">
        <f>IFERROR(__xludf.DUMMYFUNCTION("""COMPUTED_VALUE"""),"K0K 2E0")</f>
        <v>K0K 2E0</v>
      </c>
      <c r="E2237" s="3" t="str">
        <f>IFERROR(__xludf.DUMMYFUNCTION("""COMPUTED_VALUE"""),"ty deweerd")</f>
        <v>ty deweerd</v>
      </c>
      <c r="F2237" s="3" t="str">
        <f>IFERROR(__xludf.DUMMYFUNCTION("""COMPUTED_VALUE"""),"t.deweerd08@gmail.com")</f>
        <v>t.deweerd08@gmail.com</v>
      </c>
      <c r="G2237" s="3">
        <f>IFERROR(__xludf.DUMMYFUNCTION("""COMPUTED_VALUE"""),5.194412712E9)</f>
        <v>5194412712</v>
      </c>
      <c r="H2237" s="3"/>
    </row>
    <row r="2238">
      <c r="A2238" s="2">
        <f>IFERROR(__xludf.DUMMYFUNCTION("""COMPUTED_VALUE"""),22658.0)</f>
        <v>22658</v>
      </c>
      <c r="B2238" s="3" t="str">
        <f>IFERROR(__xludf.DUMMYFUNCTION("""COMPUTED_VALUE"""),"5330 MCFARLAND RD SUITE 265")</f>
        <v>5330 MCFARLAND RD SUITE 265</v>
      </c>
      <c r="C2238" s="3" t="str">
        <f>IFERROR(__xludf.DUMMYFUNCTION("""COMPUTED_VALUE"""),"GORES LANDING")</f>
        <v>GORES LANDING</v>
      </c>
      <c r="D2238" s="3" t="str">
        <f>IFERROR(__xludf.DUMMYFUNCTION("""COMPUTED_VALUE"""),"K0K 2E0")</f>
        <v>K0K 2E0</v>
      </c>
      <c r="E2238" s="3" t="str">
        <f>IFERROR(__xludf.DUMMYFUNCTION("""COMPUTED_VALUE"""),"Tymen Deweerd")</f>
        <v>Tymen Deweerd</v>
      </c>
      <c r="F2238" s="3" t="str">
        <f>IFERROR(__xludf.DUMMYFUNCTION("""COMPUTED_VALUE"""),"t.deweerd08@gmail.com")</f>
        <v>t.deweerd08@gmail.com</v>
      </c>
      <c r="G2238" s="3"/>
      <c r="H2238" s="3"/>
    </row>
    <row r="2239">
      <c r="A2239" s="2">
        <f>IFERROR(__xludf.DUMMYFUNCTION("""COMPUTED_VALUE"""),24014.0)</f>
        <v>24014</v>
      </c>
      <c r="B2239" s="3" t="str">
        <f>IFERROR(__xludf.DUMMYFUNCTION("""COMPUTED_VALUE"""),"5330 MCFARLAND RD SUITE 295")</f>
        <v>5330 MCFARLAND RD SUITE 295</v>
      </c>
      <c r="C2239" s="3" t="str">
        <f>IFERROR(__xludf.DUMMYFUNCTION("""COMPUTED_VALUE"""),"GORES LANDING")</f>
        <v>GORES LANDING</v>
      </c>
      <c r="D2239" s="3" t="str">
        <f>IFERROR(__xludf.DUMMYFUNCTION("""COMPUTED_VALUE"""),"K0K 2E0")</f>
        <v>K0K 2E0</v>
      </c>
      <c r="E2239" s="3" t="str">
        <f>IFERROR(__xludf.DUMMYFUNCTION("""COMPUTED_VALUE"""),"B. Mcdermott")</f>
        <v>B. Mcdermott</v>
      </c>
      <c r="F2239" s="3" t="str">
        <f>IFERROR(__xludf.DUMMYFUNCTION("""COMPUTED_VALUE"""),"pattimcdermott@gmail.com")</f>
        <v>pattimcdermott@gmail.com</v>
      </c>
      <c r="G2239" s="3">
        <f>IFERROR(__xludf.DUMMYFUNCTION("""COMPUTED_VALUE"""),9.056972275E9)</f>
        <v>9056972275</v>
      </c>
      <c r="H2239" s="3">
        <f>IFERROR(__xludf.DUMMYFUNCTION("""COMPUTED_VALUE"""),2.893554744E9)</f>
        <v>2893554744</v>
      </c>
    </row>
    <row r="2240">
      <c r="A2240" s="2">
        <f>IFERROR(__xludf.DUMMYFUNCTION("""COMPUTED_VALUE"""),22659.0)</f>
        <v>22659</v>
      </c>
      <c r="B2240" s="3" t="str">
        <f>IFERROR(__xludf.DUMMYFUNCTION("""COMPUTED_VALUE"""),"5330 MCFARLAND RD SUITE 300")</f>
        <v>5330 MCFARLAND RD SUITE 300</v>
      </c>
      <c r="C2240" s="3" t="str">
        <f>IFERROR(__xludf.DUMMYFUNCTION("""COMPUTED_VALUE"""),"GORES LANDING")</f>
        <v>GORES LANDING</v>
      </c>
      <c r="D2240" s="3" t="str">
        <f>IFERROR(__xludf.DUMMYFUNCTION("""COMPUTED_VALUE"""),"K0K 2E0")</f>
        <v>K0K 2E0</v>
      </c>
      <c r="E2240" s="3"/>
      <c r="F2240" s="3"/>
      <c r="G2240" s="3"/>
      <c r="H2240" s="3"/>
    </row>
    <row r="2241">
      <c r="A2241" s="2">
        <f>IFERROR(__xludf.DUMMYFUNCTION("""COMPUTED_VALUE"""),22660.0)</f>
        <v>22660</v>
      </c>
      <c r="B2241" s="3" t="str">
        <f>IFERROR(__xludf.DUMMYFUNCTION("""COMPUTED_VALUE"""),"5330 MCFARLAND RD UNIT 120")</f>
        <v>5330 MCFARLAND RD UNIT 120</v>
      </c>
      <c r="C2241" s="3" t="str">
        <f>IFERROR(__xludf.DUMMYFUNCTION("""COMPUTED_VALUE"""),"GORES LANDING")</f>
        <v>GORES LANDING</v>
      </c>
      <c r="D2241" s="3" t="str">
        <f>IFERROR(__xludf.DUMMYFUNCTION("""COMPUTED_VALUE"""),"K0K 2E0")</f>
        <v>K0K 2E0</v>
      </c>
      <c r="E2241" s="3" t="str">
        <f>IFERROR(__xludf.DUMMYFUNCTION("""COMPUTED_VALUE"""),"peter richardson ")</f>
        <v>peter richardson </v>
      </c>
      <c r="F2241" s="3" t="str">
        <f>IFERROR(__xludf.DUMMYFUNCTION("""COMPUTED_VALUE"""),"richardsonhomes@hotmail.com")</f>
        <v>richardsonhomes@hotmail.com</v>
      </c>
      <c r="G2241" s="3">
        <f>IFERROR(__xludf.DUMMYFUNCTION("""COMPUTED_VALUE"""),2.896910043E9)</f>
        <v>2896910043</v>
      </c>
      <c r="H2241" s="3"/>
    </row>
    <row r="2242">
      <c r="A2242" s="2">
        <f>IFERROR(__xludf.DUMMYFUNCTION("""COMPUTED_VALUE"""),22661.0)</f>
        <v>22661</v>
      </c>
      <c r="B2242" s="3" t="str">
        <f>IFERROR(__xludf.DUMMYFUNCTION("""COMPUTED_VALUE"""),"5330 MCFARLAND RD UNIT 130")</f>
        <v>5330 MCFARLAND RD UNIT 130</v>
      </c>
      <c r="C2242" s="3" t="str">
        <f>IFERROR(__xludf.DUMMYFUNCTION("""COMPUTED_VALUE"""),"GORES LANDING")</f>
        <v>GORES LANDING</v>
      </c>
      <c r="D2242" s="3" t="str">
        <f>IFERROR(__xludf.DUMMYFUNCTION("""COMPUTED_VALUE"""),"K0K 2E0")</f>
        <v>K0K 2E0</v>
      </c>
      <c r="E2242" s="3"/>
      <c r="F2242" s="3"/>
      <c r="G2242" s="3"/>
      <c r="H2242" s="3"/>
    </row>
    <row r="2243">
      <c r="A2243" s="2">
        <f>IFERROR(__xludf.DUMMYFUNCTION("""COMPUTED_VALUE"""),22662.0)</f>
        <v>22662</v>
      </c>
      <c r="B2243" s="3" t="str">
        <f>IFERROR(__xludf.DUMMYFUNCTION("""COMPUTED_VALUE"""),"5330 MCFARLAND RD UNIT 200")</f>
        <v>5330 MCFARLAND RD UNIT 200</v>
      </c>
      <c r="C2243" s="3" t="str">
        <f>IFERROR(__xludf.DUMMYFUNCTION("""COMPUTED_VALUE"""),"GORES LANDING")</f>
        <v>GORES LANDING</v>
      </c>
      <c r="D2243" s="3" t="str">
        <f>IFERROR(__xludf.DUMMYFUNCTION("""COMPUTED_VALUE"""),"K0K 2E0")</f>
        <v>K0K 2E0</v>
      </c>
      <c r="E2243" s="3" t="str">
        <f>IFERROR(__xludf.DUMMYFUNCTION("""COMPUTED_VALUE"""),"MARK J BROADBENT")</f>
        <v>MARK J BROADBENT</v>
      </c>
      <c r="F2243" s="3" t="str">
        <f>IFERROR(__xludf.DUMMYFUNCTION("""COMPUTED_VALUE"""),"markieebee@hotmail.com")</f>
        <v>markieebee@hotmail.com</v>
      </c>
      <c r="G2243" s="3"/>
      <c r="H2243" s="3"/>
    </row>
    <row r="2244">
      <c r="A2244" s="2">
        <f>IFERROR(__xludf.DUMMYFUNCTION("""COMPUTED_VALUE"""),22656.0)</f>
        <v>22656</v>
      </c>
      <c r="B2244" s="3" t="str">
        <f>IFERROR(__xludf.DUMMYFUNCTION("""COMPUTED_VALUE"""),"5330 MCFARLAND RD UNIT 250")</f>
        <v>5330 MCFARLAND RD UNIT 250</v>
      </c>
      <c r="C2244" s="3" t="str">
        <f>IFERROR(__xludf.DUMMYFUNCTION("""COMPUTED_VALUE"""),"GORES LANDING")</f>
        <v>GORES LANDING</v>
      </c>
      <c r="D2244" s="3" t="str">
        <f>IFERROR(__xludf.DUMMYFUNCTION("""COMPUTED_VALUE"""),"K0K 2E0")</f>
        <v>K0K 2E0</v>
      </c>
      <c r="E2244" s="3" t="str">
        <f>IFERROR(__xludf.DUMMYFUNCTION("""COMPUTED_VALUE"""),"kevin fountain ")</f>
        <v>kevin fountain </v>
      </c>
      <c r="F2244" s="3" t="str">
        <f>IFERROR(__xludf.DUMMYFUNCTION("""COMPUTED_VALUE"""),"meaniefeedback@gmail.com")</f>
        <v>meaniefeedback@gmail.com</v>
      </c>
      <c r="G2244" s="3">
        <f>IFERROR(__xludf.DUMMYFUNCTION("""COMPUTED_VALUE"""),2.899287728E9)</f>
        <v>2899287728</v>
      </c>
      <c r="H2244" s="3"/>
    </row>
    <row r="2245">
      <c r="A2245" s="2">
        <f>IFERROR(__xludf.DUMMYFUNCTION("""COMPUTED_VALUE"""),22664.0)</f>
        <v>22664</v>
      </c>
      <c r="B2245" s="3" t="str">
        <f>IFERROR(__xludf.DUMMYFUNCTION("""COMPUTED_VALUE"""),"5330 MCFARLAND RD UNIT 270")</f>
        <v>5330 MCFARLAND RD UNIT 270</v>
      </c>
      <c r="C2245" s="3" t="str">
        <f>IFERROR(__xludf.DUMMYFUNCTION("""COMPUTED_VALUE"""),"GORES LANDING")</f>
        <v>GORES LANDING</v>
      </c>
      <c r="D2245" s="3" t="str">
        <f>IFERROR(__xludf.DUMMYFUNCTION("""COMPUTED_VALUE"""),"K0K 2E0")</f>
        <v>K0K 2E0</v>
      </c>
      <c r="E2245" s="3"/>
      <c r="F2245" s="3"/>
      <c r="G2245" s="3"/>
      <c r="H2245" s="3"/>
    </row>
    <row r="2246">
      <c r="A2246" s="2">
        <f>IFERROR(__xludf.DUMMYFUNCTION("""COMPUTED_VALUE"""),22665.0)</f>
        <v>22665</v>
      </c>
      <c r="B2246" s="3" t="str">
        <f>IFERROR(__xludf.DUMMYFUNCTION("""COMPUTED_VALUE"""),"5330 MCFARLAND RD UNIT 280")</f>
        <v>5330 MCFARLAND RD UNIT 280</v>
      </c>
      <c r="C2246" s="3" t="str">
        <f>IFERROR(__xludf.DUMMYFUNCTION("""COMPUTED_VALUE"""),"GORES LANDING")</f>
        <v>GORES LANDING</v>
      </c>
      <c r="D2246" s="3" t="str">
        <f>IFERROR(__xludf.DUMMYFUNCTION("""COMPUTED_VALUE"""),"K0K 2E0")</f>
        <v>K0K 2E0</v>
      </c>
      <c r="E2246" s="3"/>
      <c r="F2246" s="3"/>
      <c r="G2246" s="3"/>
      <c r="H2246" s="3"/>
    </row>
    <row r="2247">
      <c r="A2247" s="2">
        <f>IFERROR(__xludf.DUMMYFUNCTION("""COMPUTED_VALUE"""),22666.0)</f>
        <v>22666</v>
      </c>
      <c r="B2247" s="3" t="str">
        <f>IFERROR(__xludf.DUMMYFUNCTION("""COMPUTED_VALUE"""),"5330 MCFARLAND RD UNIT 290")</f>
        <v>5330 MCFARLAND RD UNIT 290</v>
      </c>
      <c r="C2247" s="3" t="str">
        <f>IFERROR(__xludf.DUMMYFUNCTION("""COMPUTED_VALUE"""),"GORES LANDING")</f>
        <v>GORES LANDING</v>
      </c>
      <c r="D2247" s="3" t="str">
        <f>IFERROR(__xludf.DUMMYFUNCTION("""COMPUTED_VALUE"""),"K0K 2E0")</f>
        <v>K0K 2E0</v>
      </c>
      <c r="E2247" s="3" t="str">
        <f>IFERROR(__xludf.DUMMYFUNCTION("""COMPUTED_VALUE"""),"Patty (Barbara) McDermitt ")</f>
        <v>Patty (Barbara) McDermitt </v>
      </c>
      <c r="F2247" s="3" t="str">
        <f>IFERROR(__xludf.DUMMYFUNCTION("""COMPUTED_VALUE"""),"pattimcdermott812@gmail.com")</f>
        <v>pattimcdermott812@gmail.com</v>
      </c>
      <c r="G2247" s="3"/>
      <c r="H2247" s="3"/>
    </row>
    <row r="2248">
      <c r="A2248" s="2">
        <f>IFERROR(__xludf.DUMMYFUNCTION("""COMPUTED_VALUE"""),22667.0)</f>
        <v>22667</v>
      </c>
      <c r="B2248" s="3" t="str">
        <f>IFERROR(__xludf.DUMMYFUNCTION("""COMPUTED_VALUE"""),"5330 MCFARLAND RD UNIT 310")</f>
        <v>5330 MCFARLAND RD UNIT 310</v>
      </c>
      <c r="C2248" s="3" t="str">
        <f>IFERROR(__xludf.DUMMYFUNCTION("""COMPUTED_VALUE"""),"GORES LANDING")</f>
        <v>GORES LANDING</v>
      </c>
      <c r="D2248" s="3" t="str">
        <f>IFERROR(__xludf.DUMMYFUNCTION("""COMPUTED_VALUE"""),"K0K 2E0")</f>
        <v>K0K 2E0</v>
      </c>
      <c r="E2248" s="3" t="str">
        <f>IFERROR(__xludf.DUMMYFUNCTION("""COMPUTED_VALUE"""),"edward mills ")</f>
        <v>edward mills </v>
      </c>
      <c r="F2248" s="3" t="str">
        <f>IFERROR(__xludf.DUMMYFUNCTION("""COMPUTED_VALUE"""),"tmillstmills@gmail.com")</f>
        <v>tmillstmills@gmail.com</v>
      </c>
      <c r="G2248" s="3">
        <f>IFERROR(__xludf.DUMMYFUNCTION("""COMPUTED_VALUE"""),9.057185775E9)</f>
        <v>9057185775</v>
      </c>
      <c r="H2248" s="3"/>
    </row>
    <row r="2249">
      <c r="A2249" s="2">
        <f>IFERROR(__xludf.DUMMYFUNCTION("""COMPUTED_VALUE"""),22675.0)</f>
        <v>22675</v>
      </c>
      <c r="B2249" s="3" t="str">
        <f>IFERROR(__xludf.DUMMYFUNCTION("""COMPUTED_VALUE"""),"4017 MCINTOSH ST")</f>
        <v>4017 MCINTOSH ST</v>
      </c>
      <c r="C2249" s="3" t="str">
        <f>IFERROR(__xludf.DUMMYFUNCTION("""COMPUTED_VALUE"""),"COBOURG")</f>
        <v>COBOURG</v>
      </c>
      <c r="D2249" s="3" t="str">
        <f>IFERROR(__xludf.DUMMYFUNCTION("""COMPUTED_VALUE"""),"K9A 4J9")</f>
        <v>K9A 4J9</v>
      </c>
      <c r="E2249" s="3"/>
      <c r="F2249" s="3"/>
      <c r="G2249" s="3"/>
      <c r="H2249" s="3"/>
    </row>
    <row r="2250">
      <c r="A2250" s="2">
        <f>IFERROR(__xludf.DUMMYFUNCTION("""COMPUTED_VALUE"""),22676.0)</f>
        <v>22676</v>
      </c>
      <c r="B2250" s="3" t="str">
        <f>IFERROR(__xludf.DUMMYFUNCTION("""COMPUTED_VALUE"""),"4020 MCINTOSH ST")</f>
        <v>4020 MCINTOSH ST</v>
      </c>
      <c r="C2250" s="3" t="str">
        <f>IFERROR(__xludf.DUMMYFUNCTION("""COMPUTED_VALUE"""),"COBOURG")</f>
        <v>COBOURG</v>
      </c>
      <c r="D2250" s="3" t="str">
        <f>IFERROR(__xludf.DUMMYFUNCTION("""COMPUTED_VALUE"""),"K9A 4J9")</f>
        <v>K9A 4J9</v>
      </c>
      <c r="E2250" s="3"/>
      <c r="F2250" s="3"/>
      <c r="G2250" s="3"/>
      <c r="H2250" s="3"/>
    </row>
    <row r="2251">
      <c r="A2251" s="2">
        <f>IFERROR(__xludf.DUMMYFUNCTION("""COMPUTED_VALUE"""),22815.0)</f>
        <v>22815</v>
      </c>
      <c r="B2251" s="3" t="str">
        <f>IFERROR(__xludf.DUMMYFUNCTION("""COMPUTED_VALUE"""),"9221 NOBLE RD")</f>
        <v>9221 NOBLE RD</v>
      </c>
      <c r="C2251" s="3" t="str">
        <f>IFERROR(__xludf.DUMMYFUNCTION("""COMPUTED_VALUE"""),"BALTIMORE")</f>
        <v>BALTIMORE</v>
      </c>
      <c r="D2251" s="3" t="str">
        <f>IFERROR(__xludf.DUMMYFUNCTION("""COMPUTED_VALUE"""),"K0K 1C0")</f>
        <v>K0K 1C0</v>
      </c>
      <c r="E2251" s="3" t="str">
        <f>IFERROR(__xludf.DUMMYFUNCTION("""COMPUTED_VALUE"""),"Leonard Ferguson")</f>
        <v>Leonard Ferguson</v>
      </c>
      <c r="F2251" s="3"/>
      <c r="G2251" s="3">
        <f>IFERROR(__xludf.DUMMYFUNCTION("""COMPUTED_VALUE"""),9.053740351E9)</f>
        <v>9053740351</v>
      </c>
      <c r="H2251" s="3"/>
    </row>
    <row r="2252">
      <c r="A2252" s="2">
        <f>IFERROR(__xludf.DUMMYFUNCTION("""COMPUTED_VALUE"""),21117.0)</f>
        <v>21117</v>
      </c>
      <c r="B2252" s="3" t="str">
        <f>IFERROR(__xludf.DUMMYFUNCTION("""COMPUTED_VALUE"""),"5130 COUNTY RD 45")</f>
        <v>5130 COUNTY RD 45</v>
      </c>
      <c r="C2252" s="3" t="str">
        <f>IFERROR(__xludf.DUMMYFUNCTION("""COMPUTED_VALUE"""),"BALTIMORE")</f>
        <v>BALTIMORE</v>
      </c>
      <c r="D2252" s="3" t="str">
        <f>IFERROR(__xludf.DUMMYFUNCTION("""COMPUTED_VALUE"""),"K0K 1C0")</f>
        <v>K0K 1C0</v>
      </c>
      <c r="E2252" s="3"/>
      <c r="F2252" s="3"/>
      <c r="G2252" s="3"/>
      <c r="H2252" s="3"/>
    </row>
    <row r="2253">
      <c r="A2253" s="2">
        <f>IFERROR(__xludf.DUMMYFUNCTION("""COMPUTED_VALUE"""),22817.0)</f>
        <v>22817</v>
      </c>
      <c r="B2253" s="3" t="str">
        <f>IFERROR(__xludf.DUMMYFUNCTION("""COMPUTED_VALUE"""),"9236 NOBLE RD")</f>
        <v>9236 NOBLE RD</v>
      </c>
      <c r="C2253" s="3" t="str">
        <f>IFERROR(__xludf.DUMMYFUNCTION("""COMPUTED_VALUE"""),"BALTIMORE")</f>
        <v>BALTIMORE</v>
      </c>
      <c r="D2253" s="3" t="str">
        <f>IFERROR(__xludf.DUMMYFUNCTION("""COMPUTED_VALUE"""),"K0K 1C0")</f>
        <v>K0K 1C0</v>
      </c>
      <c r="E2253" s="3" t="str">
        <f>IFERROR(__xludf.DUMMYFUNCTION("""COMPUTED_VALUE"""),"Janet Dickinson")</f>
        <v>Janet Dickinson</v>
      </c>
      <c r="F2253" s="3" t="str">
        <f>IFERROR(__xludf.DUMMYFUNCTION("""COMPUTED_VALUE"""),"billjanetdickinson@gmail.com")</f>
        <v>billjanetdickinson@gmail.com</v>
      </c>
      <c r="G2253" s="3"/>
      <c r="H2253" s="3"/>
    </row>
    <row r="2254">
      <c r="A2254" s="2">
        <f>IFERROR(__xludf.DUMMYFUNCTION("""COMPUTED_VALUE"""),22833.0)</f>
        <v>22833</v>
      </c>
      <c r="B2254" s="3" t="str">
        <f>IFERROR(__xludf.DUMMYFUNCTION("""COMPUTED_VALUE"""),"5078 OAK HILLS RD")</f>
        <v>5078 OAK HILLS RD</v>
      </c>
      <c r="C2254" s="3" t="str">
        <f>IFERROR(__xludf.DUMMYFUNCTION("""COMPUTED_VALUE"""),"HAMILTON TOWNSHIP")</f>
        <v>HAMILTON TOWNSHIP</v>
      </c>
      <c r="D2254" s="3" t="str">
        <f>IFERROR(__xludf.DUMMYFUNCTION("""COMPUTED_VALUE"""),"K0L 1E0")</f>
        <v>K0L 1E0</v>
      </c>
      <c r="E2254" s="3" t="str">
        <f>IFERROR(__xludf.DUMMYFUNCTION("""COMPUTED_VALUE"""),"jacqui weber &amp; mike ")</f>
        <v>jacqui weber &amp; mike </v>
      </c>
      <c r="F2254" s="3" t="str">
        <f>IFERROR(__xludf.DUMMYFUNCTION("""COMPUTED_VALUE"""),"warriorprincess40@yahoo.ca")</f>
        <v>warriorprincess40@yahoo.ca</v>
      </c>
      <c r="G2254" s="3">
        <f>IFERROR(__xludf.DUMMYFUNCTION("""COMPUTED_VALUE"""),9.053759486E9)</f>
        <v>9053759486</v>
      </c>
      <c r="H2254" s="3">
        <f>IFERROR(__xludf.DUMMYFUNCTION("""COMPUTED_VALUE"""),9.058099916E9)</f>
        <v>9058099916</v>
      </c>
    </row>
    <row r="2255">
      <c r="A2255" s="2">
        <f>IFERROR(__xludf.DUMMYFUNCTION("""COMPUTED_VALUE"""),22834.0)</f>
        <v>22834</v>
      </c>
      <c r="B2255" s="3" t="str">
        <f>IFERROR(__xludf.DUMMYFUNCTION("""COMPUTED_VALUE"""),"5083 OAK HILLS RD")</f>
        <v>5083 OAK HILLS RD</v>
      </c>
      <c r="C2255" s="3" t="str">
        <f>IFERROR(__xludf.DUMMYFUNCTION("""COMPUTED_VALUE"""),"HAMILTON TOWNSHIP")</f>
        <v>HAMILTON TOWNSHIP</v>
      </c>
      <c r="D2255" s="3" t="str">
        <f>IFERROR(__xludf.DUMMYFUNCTION("""COMPUTED_VALUE"""),"K0L 1E0")</f>
        <v>K0L 1E0</v>
      </c>
      <c r="E2255" s="3" t="str">
        <f>IFERROR(__xludf.DUMMYFUNCTION("""COMPUTED_VALUE"""),"bryant wood")</f>
        <v>bryant wood</v>
      </c>
      <c r="F2255" s="3" t="str">
        <f>IFERROR(__xludf.DUMMYFUNCTION("""COMPUTED_VALUE"""),"bryantwood8255@gmail.com")</f>
        <v>bryantwood8255@gmail.com</v>
      </c>
      <c r="G2255" s="3">
        <f>IFERROR(__xludf.DUMMYFUNCTION("""COMPUTED_VALUE"""),9.053768154E9)</f>
        <v>9053768154</v>
      </c>
      <c r="H2255" s="3">
        <f>IFERROR(__xludf.DUMMYFUNCTION("""COMPUTED_VALUE"""),9.053966175E9)</f>
        <v>9053966175</v>
      </c>
    </row>
    <row r="2256">
      <c r="A2256" s="2">
        <f>IFERROR(__xludf.DUMMYFUNCTION("""COMPUTED_VALUE"""),22835.0)</f>
        <v>22835</v>
      </c>
      <c r="B2256" s="3" t="str">
        <f>IFERROR(__xludf.DUMMYFUNCTION("""COMPUTED_VALUE"""),"5089 OAK HILLS RD")</f>
        <v>5089 OAK HILLS RD</v>
      </c>
      <c r="C2256" s="3" t="str">
        <f>IFERROR(__xludf.DUMMYFUNCTION("""COMPUTED_VALUE"""),"HAMILTON TOWNSHIP")</f>
        <v>HAMILTON TOWNSHIP</v>
      </c>
      <c r="D2256" s="3" t="str">
        <f>IFERROR(__xludf.DUMMYFUNCTION("""COMPUTED_VALUE"""),"K0L 1E0")</f>
        <v>K0L 1E0</v>
      </c>
      <c r="E2256" s="3" t="str">
        <f>IFERROR(__xludf.DUMMYFUNCTION("""COMPUTED_VALUE"""),"Steve Goodfellow")</f>
        <v>Steve Goodfellow</v>
      </c>
      <c r="F2256" s="3" t="str">
        <f>IFERROR(__xludf.DUMMYFUNCTION("""COMPUTED_VALUE"""),"weaslemechanic403@gmail.com")</f>
        <v>weaslemechanic403@gmail.com</v>
      </c>
      <c r="G2256" s="3"/>
      <c r="H2256" s="3"/>
    </row>
    <row r="2257">
      <c r="A2257" s="2">
        <f>IFERROR(__xludf.DUMMYFUNCTION("""COMPUTED_VALUE"""),23011.0)</f>
        <v>23011</v>
      </c>
      <c r="B2257" s="3" t="str">
        <f>IFERROR(__xludf.DUMMYFUNCTION("""COMPUTED_VALUE"""),"5168 ORIOLE BEACH RD")</f>
        <v>5168 ORIOLE BEACH RD</v>
      </c>
      <c r="C2257" s="3" t="str">
        <f>IFERROR(__xludf.DUMMYFUNCTION("""COMPUTED_VALUE"""),"GORES LANDING")</f>
        <v>GORES LANDING</v>
      </c>
      <c r="D2257" s="3" t="str">
        <f>IFERROR(__xludf.DUMMYFUNCTION("""COMPUTED_VALUE"""),"K0K 2E0")</f>
        <v>K0K 2E0</v>
      </c>
      <c r="E2257" s="3"/>
      <c r="F2257" s="3"/>
      <c r="G2257" s="3"/>
      <c r="H2257" s="3"/>
    </row>
    <row r="2258">
      <c r="A2258" s="2">
        <f>IFERROR(__xludf.DUMMYFUNCTION("""COMPUTED_VALUE"""),22678.0)</f>
        <v>22678</v>
      </c>
      <c r="B2258" s="3" t="str">
        <f>IFERROR(__xludf.DUMMYFUNCTION("""COMPUTED_VALUE"""),"9850 MCMANN RD")</f>
        <v>9850 MCMANN RD</v>
      </c>
      <c r="C2258" s="3" t="str">
        <f>IFERROR(__xludf.DUMMYFUNCTION("""COMPUTED_VALUE"""),"BALTIMORE")</f>
        <v>BALTIMORE</v>
      </c>
      <c r="D2258" s="3" t="str">
        <f>IFERROR(__xludf.DUMMYFUNCTION("""COMPUTED_VALUE"""),"K0K 1C0")</f>
        <v>K0K 1C0</v>
      </c>
      <c r="E2258" s="3" t="str">
        <f>IFERROR(__xludf.DUMMYFUNCTION("""COMPUTED_VALUE"""),"Patti Gourd")</f>
        <v>Patti Gourd</v>
      </c>
      <c r="F2258" s="3" t="str">
        <f>IFERROR(__xludf.DUMMYFUNCTION("""COMPUTED_VALUE"""),"rpgourd@gmail.com")</f>
        <v>rpgourd@gmail.com</v>
      </c>
      <c r="G2258" s="3">
        <f>IFERROR(__xludf.DUMMYFUNCTION("""COMPUTED_VALUE"""),9.053752089E9)</f>
        <v>9053752089</v>
      </c>
      <c r="H2258" s="3">
        <f>IFERROR(__xludf.DUMMYFUNCTION("""COMPUTED_VALUE"""),9.053739867E9)</f>
        <v>9053739867</v>
      </c>
    </row>
    <row r="2259">
      <c r="A2259" s="2">
        <f>IFERROR(__xludf.DUMMYFUNCTION("""COMPUTED_VALUE"""),22679.0)</f>
        <v>22679</v>
      </c>
      <c r="B2259" s="3" t="str">
        <f>IFERROR(__xludf.DUMMYFUNCTION("""COMPUTED_VALUE"""),"9861 MCMANN RD")</f>
        <v>9861 MCMANN RD</v>
      </c>
      <c r="C2259" s="3" t="str">
        <f>IFERROR(__xludf.DUMMYFUNCTION("""COMPUTED_VALUE"""),"BALTIMORE")</f>
        <v>BALTIMORE</v>
      </c>
      <c r="D2259" s="3" t="str">
        <f>IFERROR(__xludf.DUMMYFUNCTION("""COMPUTED_VALUE"""),"K0K 1C0")</f>
        <v>K0K 1C0</v>
      </c>
      <c r="E2259" s="3" t="str">
        <f>IFERROR(__xludf.DUMMYFUNCTION("""COMPUTED_VALUE"""),"Rebecca Davison-Tuckett")</f>
        <v>Rebecca Davison-Tuckett</v>
      </c>
      <c r="F2259" s="3" t="str">
        <f>IFERROR(__xludf.DUMMYFUNCTION("""COMPUTED_VALUE"""),"davisonr@hotmail.com")</f>
        <v>davisonr@hotmail.com</v>
      </c>
      <c r="G2259" s="3">
        <f>IFERROR(__xludf.DUMMYFUNCTION("""COMPUTED_VALUE"""),9.053727382E9)</f>
        <v>9053727382</v>
      </c>
      <c r="H2259" s="3">
        <f>IFERROR(__xludf.DUMMYFUNCTION("""COMPUTED_VALUE"""),9.059037411E9)</f>
        <v>9059037411</v>
      </c>
    </row>
    <row r="2260">
      <c r="A2260" s="2">
        <f>IFERROR(__xludf.DUMMYFUNCTION("""COMPUTED_VALUE"""),22680.0)</f>
        <v>22680</v>
      </c>
      <c r="B2260" s="3" t="str">
        <f>IFERROR(__xludf.DUMMYFUNCTION("""COMPUTED_VALUE"""),"9875 MCMANN RD")</f>
        <v>9875 MCMANN RD</v>
      </c>
      <c r="C2260" s="3" t="str">
        <f>IFERROR(__xludf.DUMMYFUNCTION("""COMPUTED_VALUE"""),"BALTIMORE")</f>
        <v>BALTIMORE</v>
      </c>
      <c r="D2260" s="3" t="str">
        <f>IFERROR(__xludf.DUMMYFUNCTION("""COMPUTED_VALUE"""),"K0K 1C0")</f>
        <v>K0K 1C0</v>
      </c>
      <c r="E2260" s="3"/>
      <c r="F2260" s="3"/>
      <c r="G2260" s="3"/>
      <c r="H2260" s="3"/>
    </row>
    <row r="2261">
      <c r="A2261" s="2">
        <f>IFERROR(__xludf.DUMMYFUNCTION("""COMPUTED_VALUE"""),22682.0)</f>
        <v>22682</v>
      </c>
      <c r="B2261" s="3" t="str">
        <f>IFERROR(__xludf.DUMMYFUNCTION("""COMPUTED_VALUE"""),"9891 MCMANN RD")</f>
        <v>9891 MCMANN RD</v>
      </c>
      <c r="C2261" s="3" t="str">
        <f>IFERROR(__xludf.DUMMYFUNCTION("""COMPUTED_VALUE"""),"BALTIMORE")</f>
        <v>BALTIMORE</v>
      </c>
      <c r="D2261" s="3" t="str">
        <f>IFERROR(__xludf.DUMMYFUNCTION("""COMPUTED_VALUE"""),"K0K 1C0")</f>
        <v>K0K 1C0</v>
      </c>
      <c r="E2261" s="3"/>
      <c r="F2261" s="3"/>
      <c r="G2261" s="3"/>
      <c r="H2261" s="3"/>
    </row>
    <row r="2262">
      <c r="A2262" s="2">
        <f>IFERROR(__xludf.DUMMYFUNCTION("""COMPUTED_VALUE"""),22718.0)</f>
        <v>22718</v>
      </c>
      <c r="B2262" s="3" t="str">
        <f>IFERROR(__xludf.DUMMYFUNCTION("""COMPUTED_VALUE"""),"2842 MEYERS RD S")</f>
        <v>2842 MEYERS RD S</v>
      </c>
      <c r="C2262" s="3" t="str">
        <f>IFERROR(__xludf.DUMMYFUNCTION("""COMPUTED_VALUE"""),"BALTIMORE")</f>
        <v>BALTIMORE</v>
      </c>
      <c r="D2262" s="3" t="str">
        <f>IFERROR(__xludf.DUMMYFUNCTION("""COMPUTED_VALUE"""),"K0K 1C0")</f>
        <v>K0K 1C0</v>
      </c>
      <c r="E2262" s="3" t="str">
        <f>IFERROR(__xludf.DUMMYFUNCTION("""COMPUTED_VALUE"""),"rob day / Brooke West")</f>
        <v>rob day / Brooke West</v>
      </c>
      <c r="F2262" s="3" t="str">
        <f>IFERROR(__xludf.DUMMYFUNCTION("""COMPUTED_VALUE"""),"rday555@gmail.com / brooke.bailey@hotmail.com")</f>
        <v>rday555@gmail.com / brooke.bailey@hotmail.com</v>
      </c>
      <c r="G2262" s="3"/>
      <c r="H2262" s="3"/>
    </row>
    <row r="2263">
      <c r="A2263" s="2">
        <f>IFERROR(__xludf.DUMMYFUNCTION("""COMPUTED_VALUE"""),22719.0)</f>
        <v>22719</v>
      </c>
      <c r="B2263" s="3" t="str">
        <f>IFERROR(__xludf.DUMMYFUNCTION("""COMPUTED_VALUE"""),"2862 MEYERS RD S")</f>
        <v>2862 MEYERS RD S</v>
      </c>
      <c r="C2263" s="3" t="str">
        <f>IFERROR(__xludf.DUMMYFUNCTION("""COMPUTED_VALUE"""),"BALTIMORE")</f>
        <v>BALTIMORE</v>
      </c>
      <c r="D2263" s="3" t="str">
        <f>IFERROR(__xludf.DUMMYFUNCTION("""COMPUTED_VALUE"""),"K0K 1C0")</f>
        <v>K0K 1C0</v>
      </c>
      <c r="E2263" s="3" t="str">
        <f>IFERROR(__xludf.DUMMYFUNCTION("""COMPUTED_VALUE"""),"Anne Rowe")</f>
        <v>Anne Rowe</v>
      </c>
      <c r="F2263" s="3" t="str">
        <f>IFERROR(__xludf.DUMMYFUNCTION("""COMPUTED_VALUE"""),"anne.rowe@xplornet.ca")</f>
        <v>anne.rowe@xplornet.ca</v>
      </c>
      <c r="G2263" s="3"/>
      <c r="H2263" s="3"/>
    </row>
    <row r="2264">
      <c r="A2264" s="2">
        <f>IFERROR(__xludf.DUMMYFUNCTION("""COMPUTED_VALUE"""),22720.0)</f>
        <v>22720</v>
      </c>
      <c r="B2264" s="3" t="str">
        <f>IFERROR(__xludf.DUMMYFUNCTION("""COMPUTED_VALUE"""),"2872 MEYERS RD S")</f>
        <v>2872 MEYERS RD S</v>
      </c>
      <c r="C2264" s="3" t="str">
        <f>IFERROR(__xludf.DUMMYFUNCTION("""COMPUTED_VALUE"""),"BALTIMORE")</f>
        <v>BALTIMORE</v>
      </c>
      <c r="D2264" s="3" t="str">
        <f>IFERROR(__xludf.DUMMYFUNCTION("""COMPUTED_VALUE"""),"K0K 1C0")</f>
        <v>K0K 1C0</v>
      </c>
      <c r="E2264" s="3" t="str">
        <f>IFERROR(__xludf.DUMMYFUNCTION("""COMPUTED_VALUE"""),"ed&amp;laurie turza ")</f>
        <v>ed&amp;laurie turza </v>
      </c>
      <c r="F2264" s="3" t="str">
        <f>IFERROR(__xludf.DUMMYFUNCTION("""COMPUTED_VALUE"""),"turza@rogers.com")</f>
        <v>turza@rogers.com</v>
      </c>
      <c r="G2264" s="3">
        <f>IFERROR(__xludf.DUMMYFUNCTION("""COMPUTED_VALUE"""),2.269621719E9)</f>
        <v>2269621719</v>
      </c>
      <c r="H2264" s="3"/>
    </row>
    <row r="2265">
      <c r="A2265" s="2">
        <f>IFERROR(__xludf.DUMMYFUNCTION("""COMPUTED_VALUE"""),22721.0)</f>
        <v>22721</v>
      </c>
      <c r="B2265" s="3" t="str">
        <f>IFERROR(__xludf.DUMMYFUNCTION("""COMPUTED_VALUE"""),"2880 MEYERS RD S")</f>
        <v>2880 MEYERS RD S</v>
      </c>
      <c r="C2265" s="3" t="str">
        <f>IFERROR(__xludf.DUMMYFUNCTION("""COMPUTED_VALUE"""),"BALTIMORE")</f>
        <v>BALTIMORE</v>
      </c>
      <c r="D2265" s="3" t="str">
        <f>IFERROR(__xludf.DUMMYFUNCTION("""COMPUTED_VALUE"""),"K0K 1C0")</f>
        <v>K0K 1C0</v>
      </c>
      <c r="E2265" s="3" t="str">
        <f>IFERROR(__xludf.DUMMYFUNCTION("""COMPUTED_VALUE"""),"Jesse Orser")</f>
        <v>Jesse Orser</v>
      </c>
      <c r="F2265" s="3" t="str">
        <f>IFERROR(__xludf.DUMMYFUNCTION("""COMPUTED_VALUE"""),"orserjesse@gmail.com")</f>
        <v>orserjesse@gmail.com</v>
      </c>
      <c r="G2265" s="3">
        <f>IFERROR(__xludf.DUMMYFUNCTION("""COMPUTED_VALUE"""),9.052699463E9)</f>
        <v>9052699463</v>
      </c>
      <c r="H2265" s="3"/>
    </row>
    <row r="2266">
      <c r="A2266" s="2">
        <f>IFERROR(__xludf.DUMMYFUNCTION("""COMPUTED_VALUE"""),22722.0)</f>
        <v>22722</v>
      </c>
      <c r="B2266" s="3" t="str">
        <f>IFERROR(__xludf.DUMMYFUNCTION("""COMPUTED_VALUE"""),"2903 MEYERS RD S")</f>
        <v>2903 MEYERS RD S</v>
      </c>
      <c r="C2266" s="3" t="str">
        <f>IFERROR(__xludf.DUMMYFUNCTION("""COMPUTED_VALUE"""),"BALTIMORE")</f>
        <v>BALTIMORE</v>
      </c>
      <c r="D2266" s="3" t="str">
        <f>IFERROR(__xludf.DUMMYFUNCTION("""COMPUTED_VALUE"""),"K0K 1C0")</f>
        <v>K0K 1C0</v>
      </c>
      <c r="E2266" s="3"/>
      <c r="F2266" s="3"/>
      <c r="G2266" s="3"/>
      <c r="H2266" s="3"/>
    </row>
    <row r="2267">
      <c r="A2267" s="2">
        <f>IFERROR(__xludf.DUMMYFUNCTION("""COMPUTED_VALUE"""),24013.0)</f>
        <v>24013</v>
      </c>
      <c r="B2267" s="3" t="str">
        <f>IFERROR(__xludf.DUMMYFUNCTION("""COMPUTED_VALUE"""),"2926 MEYERS RD S")</f>
        <v>2926 MEYERS RD S</v>
      </c>
      <c r="C2267" s="3" t="str">
        <f>IFERROR(__xludf.DUMMYFUNCTION("""COMPUTED_VALUE"""),"BALTIMORE")</f>
        <v>BALTIMORE</v>
      </c>
      <c r="D2267" s="3" t="str">
        <f>IFERROR(__xludf.DUMMYFUNCTION("""COMPUTED_VALUE"""),"K0K 1C0")</f>
        <v>K0K 1C0</v>
      </c>
      <c r="E2267" s="3"/>
      <c r="F2267" s="3"/>
      <c r="G2267" s="3"/>
      <c r="H2267" s="3"/>
    </row>
    <row r="2268">
      <c r="A2268" s="2">
        <f>IFERROR(__xludf.DUMMYFUNCTION("""COMPUTED_VALUE"""),22723.0)</f>
        <v>22723</v>
      </c>
      <c r="B2268" s="3" t="str">
        <f>IFERROR(__xludf.DUMMYFUNCTION("""COMPUTED_VALUE"""),"2948 MEYERS RD S")</f>
        <v>2948 MEYERS RD S</v>
      </c>
      <c r="C2268" s="3" t="str">
        <f>IFERROR(__xludf.DUMMYFUNCTION("""COMPUTED_VALUE"""),"BALTIMORE")</f>
        <v>BALTIMORE</v>
      </c>
      <c r="D2268" s="3" t="str">
        <f>IFERROR(__xludf.DUMMYFUNCTION("""COMPUTED_VALUE"""),"K0K 1C0")</f>
        <v>K0K 1C0</v>
      </c>
      <c r="E2268" s="3" t="str">
        <f>IFERROR(__xludf.DUMMYFUNCTION("""COMPUTED_VALUE"""),"Mark Bellefontaine")</f>
        <v>Mark Bellefontaine</v>
      </c>
      <c r="F2268" s="3" t="str">
        <f>IFERROR(__xludf.DUMMYFUNCTION("""COMPUTED_VALUE"""),"markbellern@gmail.com")</f>
        <v>markbellern@gmail.com</v>
      </c>
      <c r="G2268" s="3"/>
      <c r="H2268" s="3"/>
    </row>
    <row r="2269">
      <c r="A2269" s="2">
        <f>IFERROR(__xludf.DUMMYFUNCTION("""COMPUTED_VALUE"""),22724.0)</f>
        <v>22724</v>
      </c>
      <c r="B2269" s="3" t="str">
        <f>IFERROR(__xludf.DUMMYFUNCTION("""COMPUTED_VALUE"""),"2949 MEYERS RD S")</f>
        <v>2949 MEYERS RD S</v>
      </c>
      <c r="C2269" s="3" t="str">
        <f>IFERROR(__xludf.DUMMYFUNCTION("""COMPUTED_VALUE"""),"BALTIMORE")</f>
        <v>BALTIMORE</v>
      </c>
      <c r="D2269" s="3" t="str">
        <f>IFERROR(__xludf.DUMMYFUNCTION("""COMPUTED_VALUE"""),"K0K 1C0")</f>
        <v>K0K 1C0</v>
      </c>
      <c r="E2269" s="3" t="str">
        <f>IFERROR(__xludf.DUMMYFUNCTION("""COMPUTED_VALUE"""),"Michael &amp; Judy Bayer")</f>
        <v>Michael &amp; Judy Bayer</v>
      </c>
      <c r="F2269" s="3" t="str">
        <f>IFERROR(__xludf.DUMMYFUNCTION("""COMPUTED_VALUE"""),"mwbayer@gmail.com")</f>
        <v>mwbayer@gmail.com</v>
      </c>
      <c r="G2269" s="3"/>
      <c r="H2269" s="3"/>
    </row>
    <row r="2270">
      <c r="A2270" s="2">
        <f>IFERROR(__xludf.DUMMYFUNCTION("""COMPUTED_VALUE"""),22725.0)</f>
        <v>22725</v>
      </c>
      <c r="B2270" s="3" t="str">
        <f>IFERROR(__xludf.DUMMYFUNCTION("""COMPUTED_VALUE"""),"2956 MEYERS RD S")</f>
        <v>2956 MEYERS RD S</v>
      </c>
      <c r="C2270" s="3" t="str">
        <f>IFERROR(__xludf.DUMMYFUNCTION("""COMPUTED_VALUE"""),"BALTIMORE")</f>
        <v>BALTIMORE</v>
      </c>
      <c r="D2270" s="3" t="str">
        <f>IFERROR(__xludf.DUMMYFUNCTION("""COMPUTED_VALUE"""),"K0K 1C0")</f>
        <v>K0K 1C0</v>
      </c>
      <c r="E2270" s="3"/>
      <c r="F2270" s="3"/>
      <c r="G2270" s="3"/>
      <c r="H2270" s="3"/>
    </row>
    <row r="2271">
      <c r="A2271" s="2">
        <f>IFERROR(__xludf.DUMMYFUNCTION("""COMPUTED_VALUE"""),22726.0)</f>
        <v>22726</v>
      </c>
      <c r="B2271" s="3" t="str">
        <f>IFERROR(__xludf.DUMMYFUNCTION("""COMPUTED_VALUE"""),"2986 MEYERS RD S")</f>
        <v>2986 MEYERS RD S</v>
      </c>
      <c r="C2271" s="3" t="str">
        <f>IFERROR(__xludf.DUMMYFUNCTION("""COMPUTED_VALUE"""),"BALTIMORE")</f>
        <v>BALTIMORE</v>
      </c>
      <c r="D2271" s="3" t="str">
        <f>IFERROR(__xludf.DUMMYFUNCTION("""COMPUTED_VALUE"""),"K0K 1C0")</f>
        <v>K0K 1C0</v>
      </c>
      <c r="E2271" s="3" t="str">
        <f>IFERROR(__xludf.DUMMYFUNCTION("""COMPUTED_VALUE"""),"Carla Carwardine")</f>
        <v>Carla Carwardine</v>
      </c>
      <c r="F2271" s="3"/>
      <c r="G2271" s="3"/>
      <c r="H2271" s="3"/>
    </row>
    <row r="2272">
      <c r="A2272" s="2">
        <f>IFERROR(__xludf.DUMMYFUNCTION("""COMPUTED_VALUE"""),22727.0)</f>
        <v>22727</v>
      </c>
      <c r="B2272" s="3" t="str">
        <f>IFERROR(__xludf.DUMMYFUNCTION("""COMPUTED_VALUE"""),"3000 MEYERS RD S")</f>
        <v>3000 MEYERS RD S</v>
      </c>
      <c r="C2272" s="3" t="str">
        <f>IFERROR(__xludf.DUMMYFUNCTION("""COMPUTED_VALUE"""),"BALTIMORE")</f>
        <v>BALTIMORE</v>
      </c>
      <c r="D2272" s="3" t="str">
        <f>IFERROR(__xludf.DUMMYFUNCTION("""COMPUTED_VALUE"""),"K0K 1C0")</f>
        <v>K0K 1C0</v>
      </c>
      <c r="E2272" s="3" t="str">
        <f>IFERROR(__xludf.DUMMYFUNCTION("""COMPUTED_VALUE"""),"Terry Allan")</f>
        <v>Terry Allan</v>
      </c>
      <c r="F2272" s="3" t="str">
        <f>IFERROR(__xludf.DUMMYFUNCTION("""COMPUTED_VALUE"""),"terryaa3@gmail.com")</f>
        <v>terryaa3@gmail.com</v>
      </c>
      <c r="G2272" s="3">
        <f>IFERROR(__xludf.DUMMYFUNCTION("""COMPUTED_VALUE"""),9.059260777E9)</f>
        <v>9059260777</v>
      </c>
      <c r="H2272" s="3"/>
    </row>
    <row r="2273">
      <c r="A2273" s="2">
        <f>IFERROR(__xludf.DUMMYFUNCTION("""COMPUTED_VALUE"""),22728.0)</f>
        <v>22728</v>
      </c>
      <c r="B2273" s="3" t="str">
        <f>IFERROR(__xludf.DUMMYFUNCTION("""COMPUTED_VALUE"""),"3023 MEYERS RD S")</f>
        <v>3023 MEYERS RD S</v>
      </c>
      <c r="C2273" s="3" t="str">
        <f>IFERROR(__xludf.DUMMYFUNCTION("""COMPUTED_VALUE"""),"BALTIMORE")</f>
        <v>BALTIMORE</v>
      </c>
      <c r="D2273" s="3" t="str">
        <f>IFERROR(__xludf.DUMMYFUNCTION("""COMPUTED_VALUE"""),"K0K 1C0")</f>
        <v>K0K 1C0</v>
      </c>
      <c r="E2273" s="3" t="str">
        <f>IFERROR(__xludf.DUMMYFUNCTION("""COMPUTED_VALUE"""),"Jane Montgomery")</f>
        <v>Jane Montgomery</v>
      </c>
      <c r="F2273" s="3" t="str">
        <f>IFERROR(__xludf.DUMMYFUNCTION("""COMPUTED_VALUE"""),"janemontgomery8@hotmail.com")</f>
        <v>janemontgomery8@hotmail.com</v>
      </c>
      <c r="G2273" s="3"/>
      <c r="H2273" s="3"/>
    </row>
    <row r="2274">
      <c r="A2274" s="2">
        <f>IFERROR(__xludf.DUMMYFUNCTION("""COMPUTED_VALUE"""),22729.0)</f>
        <v>22729</v>
      </c>
      <c r="B2274" s="3" t="str">
        <f>IFERROR(__xludf.DUMMYFUNCTION("""COMPUTED_VALUE"""),"3026 MEYERS RD S")</f>
        <v>3026 MEYERS RD S</v>
      </c>
      <c r="C2274" s="3" t="str">
        <f>IFERROR(__xludf.DUMMYFUNCTION("""COMPUTED_VALUE"""),"BALTIMORE")</f>
        <v>BALTIMORE</v>
      </c>
      <c r="D2274" s="3" t="str">
        <f>IFERROR(__xludf.DUMMYFUNCTION("""COMPUTED_VALUE"""),"K0K 1C0")</f>
        <v>K0K 1C0</v>
      </c>
      <c r="E2274" s="3" t="str">
        <f>IFERROR(__xludf.DUMMYFUNCTION("""COMPUTED_VALUE"""),"rob jaffray")</f>
        <v>rob jaffray</v>
      </c>
      <c r="F2274" s="3"/>
      <c r="G2274" s="3">
        <f>IFERROR(__xludf.DUMMYFUNCTION("""COMPUTED_VALUE"""),9.053722016E9)</f>
        <v>9053722016</v>
      </c>
      <c r="H2274" s="3"/>
    </row>
    <row r="2275">
      <c r="A2275" s="2">
        <f>IFERROR(__xludf.DUMMYFUNCTION("""COMPUTED_VALUE"""),22730.0)</f>
        <v>22730</v>
      </c>
      <c r="B2275" s="3" t="str">
        <f>IFERROR(__xludf.DUMMYFUNCTION("""COMPUTED_VALUE"""),"3070 MEYERS RD S")</f>
        <v>3070 MEYERS RD S</v>
      </c>
      <c r="C2275" s="3" t="str">
        <f>IFERROR(__xludf.DUMMYFUNCTION("""COMPUTED_VALUE"""),"BALTIMORE")</f>
        <v>BALTIMORE</v>
      </c>
      <c r="D2275" s="3" t="str">
        <f>IFERROR(__xludf.DUMMYFUNCTION("""COMPUTED_VALUE"""),"K0K 1C0")</f>
        <v>K0K 1C0</v>
      </c>
      <c r="E2275" s="3"/>
      <c r="F2275" s="3"/>
      <c r="G2275" s="3"/>
      <c r="H2275" s="3"/>
    </row>
    <row r="2276">
      <c r="A2276" s="2">
        <f>IFERROR(__xludf.DUMMYFUNCTION("""COMPUTED_VALUE"""),22731.0)</f>
        <v>22731</v>
      </c>
      <c r="B2276" s="3" t="str">
        <f>IFERROR(__xludf.DUMMYFUNCTION("""COMPUTED_VALUE"""),"3073 MEYERS RD S")</f>
        <v>3073 MEYERS RD S</v>
      </c>
      <c r="C2276" s="3" t="str">
        <f>IFERROR(__xludf.DUMMYFUNCTION("""COMPUTED_VALUE"""),"BALTIMORE")</f>
        <v>BALTIMORE</v>
      </c>
      <c r="D2276" s="3" t="str">
        <f>IFERROR(__xludf.DUMMYFUNCTION("""COMPUTED_VALUE"""),"K0K 1C0")</f>
        <v>K0K 1C0</v>
      </c>
      <c r="E2276" s="3" t="str">
        <f>IFERROR(__xludf.DUMMYFUNCTION("""COMPUTED_VALUE"""),"Brian Shea")</f>
        <v>Brian Shea</v>
      </c>
      <c r="F2276" s="3" t="str">
        <f>IFERROR(__xludf.DUMMYFUNCTION("""COMPUTED_VALUE"""),"brnshea@gmail.com")</f>
        <v>brnshea@gmail.com</v>
      </c>
      <c r="G2276" s="3">
        <f>IFERROR(__xludf.DUMMYFUNCTION("""COMPUTED_VALUE"""),9.053730275E9)</f>
        <v>9053730275</v>
      </c>
      <c r="H2276" s="3"/>
    </row>
    <row r="2277">
      <c r="A2277" s="2">
        <f>IFERROR(__xludf.DUMMYFUNCTION("""COMPUTED_VALUE"""),22732.0)</f>
        <v>22732</v>
      </c>
      <c r="B2277" s="3" t="str">
        <f>IFERROR(__xludf.DUMMYFUNCTION("""COMPUTED_VALUE"""),"3078 MEYERS RD S")</f>
        <v>3078 MEYERS RD S</v>
      </c>
      <c r="C2277" s="3" t="str">
        <f>IFERROR(__xludf.DUMMYFUNCTION("""COMPUTED_VALUE"""),"BALTIMORE")</f>
        <v>BALTIMORE</v>
      </c>
      <c r="D2277" s="3" t="str">
        <f>IFERROR(__xludf.DUMMYFUNCTION("""COMPUTED_VALUE"""),"K0K 1C0")</f>
        <v>K0K 1C0</v>
      </c>
      <c r="E2277" s="3" t="str">
        <f>IFERROR(__xludf.DUMMYFUNCTION("""COMPUTED_VALUE"""),"Dwyane Workman")</f>
        <v>Dwyane Workman</v>
      </c>
      <c r="F2277" s="3" t="str">
        <f>IFERROR(__xludf.DUMMYFUNCTION("""COMPUTED_VALUE"""),"dwworkman2000@yahoo.ca")</f>
        <v>dwworkman2000@yahoo.ca</v>
      </c>
      <c r="G2277" s="3">
        <f>IFERROR(__xludf.DUMMYFUNCTION("""COMPUTED_VALUE"""),9.052697716E9)</f>
        <v>9052697716</v>
      </c>
      <c r="H2277" s="3">
        <f>IFERROR(__xludf.DUMMYFUNCTION("""COMPUTED_VALUE"""),9.053778654E9)</f>
        <v>9053778654</v>
      </c>
    </row>
    <row r="2278">
      <c r="A2278" s="2">
        <f>IFERROR(__xludf.DUMMYFUNCTION("""COMPUTED_VALUE"""),22733.0)</f>
        <v>22733</v>
      </c>
      <c r="B2278" s="3" t="str">
        <f>IFERROR(__xludf.DUMMYFUNCTION("""COMPUTED_VALUE"""),"3101 MEYERS RD S")</f>
        <v>3101 MEYERS RD S</v>
      </c>
      <c r="C2278" s="3" t="str">
        <f>IFERROR(__xludf.DUMMYFUNCTION("""COMPUTED_VALUE"""),"BALTIMORE")</f>
        <v>BALTIMORE</v>
      </c>
      <c r="D2278" s="3" t="str">
        <f>IFERROR(__xludf.DUMMYFUNCTION("""COMPUTED_VALUE"""),"K0K 1C0")</f>
        <v>K0K 1C0</v>
      </c>
      <c r="E2278" s="3" t="str">
        <f>IFERROR(__xludf.DUMMYFUNCTION("""COMPUTED_VALUE"""),"Gary &amp; Karen  Spry")</f>
        <v>Gary &amp; Karen  Spry</v>
      </c>
      <c r="F2278" s="3" t="str">
        <f>IFERROR(__xludf.DUMMYFUNCTION("""COMPUTED_VALUE"""),"gspry@xplornet.com")</f>
        <v>gspry@xplornet.com</v>
      </c>
      <c r="G2278" s="3">
        <f>IFERROR(__xludf.DUMMYFUNCTION("""COMPUTED_VALUE"""),9.053960398E9)</f>
        <v>9053960398</v>
      </c>
      <c r="H2278" s="3"/>
    </row>
    <row r="2279">
      <c r="A2279" s="2">
        <f>IFERROR(__xludf.DUMMYFUNCTION("""COMPUTED_VALUE"""),22734.0)</f>
        <v>22734</v>
      </c>
      <c r="B2279" s="3" t="str">
        <f>IFERROR(__xludf.DUMMYFUNCTION("""COMPUTED_VALUE"""),"3115 MEYERS RD S")</f>
        <v>3115 MEYERS RD S</v>
      </c>
      <c r="C2279" s="3" t="str">
        <f>IFERROR(__xludf.DUMMYFUNCTION("""COMPUTED_VALUE"""),"BALTIMORE")</f>
        <v>BALTIMORE</v>
      </c>
      <c r="D2279" s="3" t="str">
        <f>IFERROR(__xludf.DUMMYFUNCTION("""COMPUTED_VALUE"""),"K0K 1C0")</f>
        <v>K0K 1C0</v>
      </c>
      <c r="E2279" s="3" t="str">
        <f>IFERROR(__xludf.DUMMYFUNCTION("""COMPUTED_VALUE"""),"Nick Kosonic")</f>
        <v>Nick Kosonic</v>
      </c>
      <c r="F2279" s="3" t="str">
        <f>IFERROR(__xludf.DUMMYFUNCTION("""COMPUTED_VALUE"""),"n.kosonic@gmail.com")</f>
        <v>n.kosonic@gmail.com</v>
      </c>
      <c r="G2279" s="3">
        <f>IFERROR(__xludf.DUMMYFUNCTION("""COMPUTED_VALUE"""),9.058696579E9)</f>
        <v>9058696579</v>
      </c>
      <c r="H2279" s="3"/>
    </row>
    <row r="2280">
      <c r="A2280" s="2">
        <f>IFERROR(__xludf.DUMMYFUNCTION("""COMPUTED_VALUE"""),22735.0)</f>
        <v>22735</v>
      </c>
      <c r="B2280" s="3" t="str">
        <f>IFERROR(__xludf.DUMMYFUNCTION("""COMPUTED_VALUE"""),"3129 MEYERS RD S")</f>
        <v>3129 MEYERS RD S</v>
      </c>
      <c r="C2280" s="3" t="str">
        <f>IFERROR(__xludf.DUMMYFUNCTION("""COMPUTED_VALUE"""),"BALTIMORE")</f>
        <v>BALTIMORE</v>
      </c>
      <c r="D2280" s="3" t="str">
        <f>IFERROR(__xludf.DUMMYFUNCTION("""COMPUTED_VALUE"""),"K0K 1C0")</f>
        <v>K0K 1C0</v>
      </c>
      <c r="E2280" s="3" t="str">
        <f>IFERROR(__xludf.DUMMYFUNCTION("""COMPUTED_VALUE"""),"darryl thompson")</f>
        <v>darryl thompson</v>
      </c>
      <c r="F2280" s="3" t="str">
        <f>IFERROR(__xludf.DUMMYFUNCTION("""COMPUTED_VALUE"""),"dthompson@tmtc.info")</f>
        <v>dthompson@tmtc.info</v>
      </c>
      <c r="G2280" s="3">
        <f>IFERROR(__xludf.DUMMYFUNCTION("""COMPUTED_VALUE"""),6.472265794E9)</f>
        <v>6472265794</v>
      </c>
      <c r="H2280" s="3"/>
    </row>
    <row r="2281">
      <c r="A2281" s="2">
        <f>IFERROR(__xludf.DUMMYFUNCTION("""COMPUTED_VALUE"""),22736.0)</f>
        <v>22736</v>
      </c>
      <c r="B2281" s="3" t="str">
        <f>IFERROR(__xludf.DUMMYFUNCTION("""COMPUTED_VALUE"""),"3136 MEYERS RD S")</f>
        <v>3136 MEYERS RD S</v>
      </c>
      <c r="C2281" s="3" t="str">
        <f>IFERROR(__xludf.DUMMYFUNCTION("""COMPUTED_VALUE"""),"BALTIMORE")</f>
        <v>BALTIMORE</v>
      </c>
      <c r="D2281" s="3" t="str">
        <f>IFERROR(__xludf.DUMMYFUNCTION("""COMPUTED_VALUE"""),"K0K 1C0")</f>
        <v>K0K 1C0</v>
      </c>
      <c r="E2281" s="3" t="str">
        <f>IFERROR(__xludf.DUMMYFUNCTION("""COMPUTED_VALUE"""),"Bill and Susan Rouse")</f>
        <v>Bill and Susan Rouse</v>
      </c>
      <c r="F2281" s="3" t="str">
        <f>IFERROR(__xludf.DUMMYFUNCTION("""COMPUTED_VALUE"""),"cedarcovewellness@gmail.com")</f>
        <v>cedarcovewellness@gmail.com</v>
      </c>
      <c r="G2281" s="3"/>
      <c r="H2281" s="3"/>
    </row>
    <row r="2282">
      <c r="A2282" s="2">
        <f>IFERROR(__xludf.DUMMYFUNCTION("""COMPUTED_VALUE"""),22737.0)</f>
        <v>22737</v>
      </c>
      <c r="B2282" s="3" t="str">
        <f>IFERROR(__xludf.DUMMYFUNCTION("""COMPUTED_VALUE"""),"3160 MEYERS RD S")</f>
        <v>3160 MEYERS RD S</v>
      </c>
      <c r="C2282" s="3" t="str">
        <f>IFERROR(__xludf.DUMMYFUNCTION("""COMPUTED_VALUE"""),"BALTIMORE")</f>
        <v>BALTIMORE</v>
      </c>
      <c r="D2282" s="3" t="str">
        <f>IFERROR(__xludf.DUMMYFUNCTION("""COMPUTED_VALUE"""),"K0K 1C0")</f>
        <v>K0K 1C0</v>
      </c>
      <c r="E2282" s="3"/>
      <c r="F2282" s="3"/>
      <c r="G2282" s="3"/>
      <c r="H2282" s="3"/>
    </row>
    <row r="2283">
      <c r="A2283" s="2">
        <f>IFERROR(__xludf.DUMMYFUNCTION("""COMPUTED_VALUE"""),22738.0)</f>
        <v>22738</v>
      </c>
      <c r="B2283" s="3" t="str">
        <f>IFERROR(__xludf.DUMMYFUNCTION("""COMPUTED_VALUE"""),"3179 MEYERS RD S")</f>
        <v>3179 MEYERS RD S</v>
      </c>
      <c r="C2283" s="3" t="str">
        <f>IFERROR(__xludf.DUMMYFUNCTION("""COMPUTED_VALUE"""),"BALTIMORE")</f>
        <v>BALTIMORE</v>
      </c>
      <c r="D2283" s="3" t="str">
        <f>IFERROR(__xludf.DUMMYFUNCTION("""COMPUTED_VALUE"""),"K0K 1C0")</f>
        <v>K0K 1C0</v>
      </c>
      <c r="E2283" s="3" t="str">
        <f>IFERROR(__xludf.DUMMYFUNCTION("""COMPUTED_VALUE"""),"Wendy Shannon ")</f>
        <v>Wendy Shannon </v>
      </c>
      <c r="F2283" s="3" t="str">
        <f>IFERROR(__xludf.DUMMYFUNCTION("""COMPUTED_VALUE"""),"wndyshannon997@gmail.com")</f>
        <v>wndyshannon997@gmail.com</v>
      </c>
      <c r="G2283" s="3"/>
      <c r="H2283" s="3"/>
    </row>
    <row r="2284">
      <c r="A2284" s="2">
        <f>IFERROR(__xludf.DUMMYFUNCTION("""COMPUTED_VALUE"""),22717.0)</f>
        <v>22717</v>
      </c>
      <c r="B2284" s="3" t="str">
        <f>IFERROR(__xludf.DUMMYFUNCTION("""COMPUTED_VALUE"""),"3225 MEYERS RD N")</f>
        <v>3225 MEYERS RD N</v>
      </c>
      <c r="C2284" s="3" t="str">
        <f>IFERROR(__xludf.DUMMYFUNCTION("""COMPUTED_VALUE"""),"BALTIMORE")</f>
        <v>BALTIMORE</v>
      </c>
      <c r="D2284" s="3" t="str">
        <f>IFERROR(__xludf.DUMMYFUNCTION("""COMPUTED_VALUE"""),"K0K 1C0")</f>
        <v>K0K 1C0</v>
      </c>
      <c r="E2284" s="3" t="str">
        <f>IFERROR(__xludf.DUMMYFUNCTION("""COMPUTED_VALUE"""),"Ashley Ferguson")</f>
        <v>Ashley Ferguson</v>
      </c>
      <c r="F2284" s="3"/>
      <c r="G2284" s="3"/>
      <c r="H2284" s="3"/>
    </row>
    <row r="2285">
      <c r="A2285" s="2">
        <f>IFERROR(__xludf.DUMMYFUNCTION("""COMPUTED_VALUE"""),21123.0)</f>
        <v>21123</v>
      </c>
      <c r="B2285" s="3" t="str">
        <f>IFERROR(__xludf.DUMMYFUNCTION("""COMPUTED_VALUE"""),"5188 COUNTY RD 45")</f>
        <v>5188 COUNTY RD 45</v>
      </c>
      <c r="C2285" s="3" t="str">
        <f>IFERROR(__xludf.DUMMYFUNCTION("""COMPUTED_VALUE"""),"BALTIMORE")</f>
        <v>BALTIMORE</v>
      </c>
      <c r="D2285" s="3" t="str">
        <f>IFERROR(__xludf.DUMMYFUNCTION("""COMPUTED_VALUE"""),"K0K 1C0")</f>
        <v>K0K 1C0</v>
      </c>
      <c r="E2285" s="3"/>
      <c r="F2285" s="3"/>
      <c r="G2285" s="3"/>
      <c r="H2285" s="3"/>
    </row>
    <row r="2286">
      <c r="A2286" s="2">
        <f>IFERROR(__xludf.DUMMYFUNCTION("""COMPUTED_VALUE"""),23012.0)</f>
        <v>23012</v>
      </c>
      <c r="B2286" s="3" t="str">
        <f>IFERROR(__xludf.DUMMYFUNCTION("""COMPUTED_VALUE"""),"5188 ORIOLE BEACH RD")</f>
        <v>5188 ORIOLE BEACH RD</v>
      </c>
      <c r="C2286" s="3" t="str">
        <f>IFERROR(__xludf.DUMMYFUNCTION("""COMPUTED_VALUE"""),"GORES LANDING")</f>
        <v>GORES LANDING</v>
      </c>
      <c r="D2286" s="3" t="str">
        <f>IFERROR(__xludf.DUMMYFUNCTION("""COMPUTED_VALUE"""),"K0K 2E0")</f>
        <v>K0K 2E0</v>
      </c>
      <c r="E2286" s="3"/>
      <c r="F2286" s="3"/>
      <c r="G2286" s="3"/>
      <c r="H2286" s="3"/>
    </row>
    <row r="2287">
      <c r="A2287" s="2">
        <f>IFERROR(__xludf.DUMMYFUNCTION("""COMPUTED_VALUE"""),22739.0)</f>
        <v>22739</v>
      </c>
      <c r="B2287" s="3" t="str">
        <f>IFERROR(__xludf.DUMMYFUNCTION("""COMPUTED_VALUE"""),"8675 MINIFIE RD")</f>
        <v>8675 MINIFIE RD</v>
      </c>
      <c r="C2287" s="3" t="str">
        <f>IFERROR(__xludf.DUMMYFUNCTION("""COMPUTED_VALUE"""),"COBOURG")</f>
        <v>COBOURG</v>
      </c>
      <c r="D2287" s="3" t="str">
        <f>IFERROR(__xludf.DUMMYFUNCTION("""COMPUTED_VALUE"""),"K9A 4J9")</f>
        <v>K9A 4J9</v>
      </c>
      <c r="E2287" s="3" t="str">
        <f>IFERROR(__xludf.DUMMYFUNCTION("""COMPUTED_VALUE"""),"Marley Budreau")</f>
        <v>Marley Budreau</v>
      </c>
      <c r="F2287" s="3" t="str">
        <f>IFERROR(__xludf.DUMMYFUNCTION("""COMPUTED_VALUE"""),"marley.budreau@gmail.com")</f>
        <v>marley.budreau@gmail.com</v>
      </c>
      <c r="G2287" s="3">
        <f>IFERROR(__xludf.DUMMYFUNCTION("""COMPUTED_VALUE"""),9.052693559E9)</f>
        <v>9052693559</v>
      </c>
      <c r="H2287" s="3">
        <f>IFERROR(__xludf.DUMMYFUNCTION("""COMPUTED_VALUE"""),9.05372825E9)</f>
        <v>9053728250</v>
      </c>
    </row>
    <row r="2288">
      <c r="A2288" s="2">
        <f>IFERROR(__xludf.DUMMYFUNCTION("""COMPUTED_VALUE"""),22836.0)</f>
        <v>22836</v>
      </c>
      <c r="B2288" s="3" t="str">
        <f>IFERROR(__xludf.DUMMYFUNCTION("""COMPUTED_VALUE"""),"5093 OAK HILLS RD")</f>
        <v>5093 OAK HILLS RD</v>
      </c>
      <c r="C2288" s="3" t="str">
        <f>IFERROR(__xludf.DUMMYFUNCTION("""COMPUTED_VALUE"""),"HAMILTON TOWNSHIP")</f>
        <v>HAMILTON TOWNSHIP</v>
      </c>
      <c r="D2288" s="3" t="str">
        <f>IFERROR(__xludf.DUMMYFUNCTION("""COMPUTED_VALUE"""),"K0L 1E0")</f>
        <v>K0L 1E0</v>
      </c>
      <c r="E2288" s="3" t="str">
        <f>IFERROR(__xludf.DUMMYFUNCTION("""COMPUTED_VALUE"""),"Christopher Mee")</f>
        <v>Christopher Mee</v>
      </c>
      <c r="F2288" s="3" t="str">
        <f>IFERROR(__xludf.DUMMYFUNCTION("""COMPUTED_VALUE"""),"chris.mee@rogers.com")</f>
        <v>chris.mee@rogers.com</v>
      </c>
      <c r="G2288" s="3">
        <f>IFERROR(__xludf.DUMMYFUNCTION("""COMPUTED_VALUE"""),4.165238756E9)</f>
        <v>4165238756</v>
      </c>
      <c r="H2288" s="3"/>
    </row>
    <row r="2289">
      <c r="A2289" s="2">
        <f>IFERROR(__xludf.DUMMYFUNCTION("""COMPUTED_VALUE"""),24019.0)</f>
        <v>24019</v>
      </c>
      <c r="B2289" s="3" t="str">
        <f>IFERROR(__xludf.DUMMYFUNCTION("""COMPUTED_VALUE"""),"5198 COUNTY RD 45")</f>
        <v>5198 COUNTY RD 45</v>
      </c>
      <c r="C2289" s="3" t="str">
        <f>IFERROR(__xludf.DUMMYFUNCTION("""COMPUTED_VALUE"""),"BALTIMORE")</f>
        <v>BALTIMORE</v>
      </c>
      <c r="D2289" s="3" t="str">
        <f>IFERROR(__xludf.DUMMYFUNCTION("""COMPUTED_VALUE"""),"K0K 1C0")</f>
        <v>K0K 1C0</v>
      </c>
      <c r="E2289" s="3"/>
      <c r="F2289" s="3"/>
      <c r="G2289" s="3"/>
      <c r="H2289" s="3"/>
    </row>
    <row r="2290">
      <c r="A2290" s="2">
        <f>IFERROR(__xludf.DUMMYFUNCTION("""COMPUTED_VALUE"""),23638.0)</f>
        <v>23638</v>
      </c>
      <c r="B2290" s="3" t="str">
        <f>IFERROR(__xludf.DUMMYFUNCTION("""COMPUTED_VALUE"""),"5298 TRAILL RD N")</f>
        <v>5298 TRAILL RD N</v>
      </c>
      <c r="C2290" s="3" t="str">
        <f>IFERROR(__xludf.DUMMYFUNCTION("""COMPUTED_VALUE"""),"GORES LANDING")</f>
        <v>GORES LANDING</v>
      </c>
      <c r="D2290" s="3" t="str">
        <f>IFERROR(__xludf.DUMMYFUNCTION("""COMPUTED_VALUE"""),"K0K 2E0")</f>
        <v>K0K 2E0</v>
      </c>
      <c r="E2290" s="3"/>
      <c r="F2290" s="3"/>
      <c r="G2290" s="3"/>
      <c r="H2290" s="3"/>
    </row>
    <row r="2291">
      <c r="A2291" s="2">
        <f>IFERROR(__xludf.DUMMYFUNCTION("""COMPUTED_VALUE"""),22837.0)</f>
        <v>22837</v>
      </c>
      <c r="B2291" s="3" t="str">
        <f>IFERROR(__xludf.DUMMYFUNCTION("""COMPUTED_VALUE"""),"5097 OAK HILLS RD")</f>
        <v>5097 OAK HILLS RD</v>
      </c>
      <c r="C2291" s="3" t="str">
        <f>IFERROR(__xludf.DUMMYFUNCTION("""COMPUTED_VALUE"""),"HAMILTON TOWNSHIP")</f>
        <v>HAMILTON TOWNSHIP</v>
      </c>
      <c r="D2291" s="3" t="str">
        <f>IFERROR(__xludf.DUMMYFUNCTION("""COMPUTED_VALUE"""),"K0L 1E0")</f>
        <v>K0L 1E0</v>
      </c>
      <c r="E2291" s="3" t="str">
        <f>IFERROR(__xludf.DUMMYFUNCTION("""COMPUTED_VALUE"""),"Michael Godil")</f>
        <v>Michael Godil</v>
      </c>
      <c r="F2291" s="3" t="str">
        <f>IFERROR(__xludf.DUMMYFUNCTION("""COMPUTED_VALUE"""),"mpg17654@gmail.com")</f>
        <v>mpg17654@gmail.com</v>
      </c>
      <c r="G2291" s="3"/>
      <c r="H2291" s="3"/>
    </row>
    <row r="2292">
      <c r="A2292" s="2">
        <f>IFERROR(__xludf.DUMMYFUNCTION("""COMPUTED_VALUE"""),21164.0)</f>
        <v>21164</v>
      </c>
      <c r="B2292" s="3" t="str">
        <f>IFERROR(__xludf.DUMMYFUNCTION("""COMPUTED_VALUE"""),"5717 COUNTY RD 45")</f>
        <v>5717 COUNTY RD 45</v>
      </c>
      <c r="C2292" s="3" t="str">
        <f>IFERROR(__xludf.DUMMYFUNCTION("""COMPUTED_VALUE"""),"BALTIMORE")</f>
        <v>BALTIMORE</v>
      </c>
      <c r="D2292" s="3" t="str">
        <f>IFERROR(__xludf.DUMMYFUNCTION("""COMPUTED_VALUE"""),"K0K 1C0")</f>
        <v>K0K 1C0</v>
      </c>
      <c r="E2292" s="3"/>
      <c r="F2292" s="3"/>
      <c r="G2292" s="3"/>
      <c r="H2292" s="3"/>
    </row>
    <row r="2293">
      <c r="A2293" s="2">
        <f>IFERROR(__xludf.DUMMYFUNCTION("""COMPUTED_VALUE"""),21342.0)</f>
        <v>21342</v>
      </c>
      <c r="B2293" s="3" t="str">
        <f>IFERROR(__xludf.DUMMYFUNCTION("""COMPUTED_VALUE"""),"8644 DALE RD")</f>
        <v>8644 DALE RD</v>
      </c>
      <c r="C2293" s="3" t="str">
        <f>IFERROR(__xludf.DUMMYFUNCTION("""COMPUTED_VALUE"""),"COBOURG")</f>
        <v>COBOURG</v>
      </c>
      <c r="D2293" s="3" t="str">
        <f>IFERROR(__xludf.DUMMYFUNCTION("""COMPUTED_VALUE"""),"K9A 0M4")</f>
        <v>K9A 0M4</v>
      </c>
      <c r="E2293" s="3"/>
      <c r="F2293" s="3"/>
      <c r="G2293" s="3"/>
      <c r="H2293" s="3"/>
    </row>
    <row r="2294">
      <c r="A2294" s="2">
        <f>IFERROR(__xludf.DUMMYFUNCTION("""COMPUTED_VALUE"""),23983.0)</f>
        <v>23983</v>
      </c>
      <c r="B2294" s="3" t="str">
        <f>IFERROR(__xludf.DUMMYFUNCTION("""COMPUTED_VALUE"""),"8700 MINIFIE RD")</f>
        <v>8700 MINIFIE RD</v>
      </c>
      <c r="C2294" s="3" t="str">
        <f>IFERROR(__xludf.DUMMYFUNCTION("""COMPUTED_VALUE"""),"COBOURG")</f>
        <v>COBOURG</v>
      </c>
      <c r="D2294" s="3" t="str">
        <f>IFERROR(__xludf.DUMMYFUNCTION("""COMPUTED_VALUE"""),"K9A 4J9")</f>
        <v>K9A 4J9</v>
      </c>
      <c r="E2294" s="3" t="str">
        <f>IFERROR(__xludf.DUMMYFUNCTION("""COMPUTED_VALUE"""),"MIKE WALSH")</f>
        <v>MIKE WALSH</v>
      </c>
      <c r="F2294" s="3" t="str">
        <f>IFERROR(__xludf.DUMMYFUNCTION("""COMPUTED_VALUE"""),"walsh_one@hotmail.com")</f>
        <v>walsh_one@hotmail.com</v>
      </c>
      <c r="G2294" s="3"/>
      <c r="H2294" s="3"/>
    </row>
    <row r="2295">
      <c r="A2295" s="2">
        <f>IFERROR(__xludf.DUMMYFUNCTION("""COMPUTED_VALUE"""),22741.0)</f>
        <v>22741</v>
      </c>
      <c r="B2295" s="3" t="str">
        <f>IFERROR(__xludf.DUMMYFUNCTION("""COMPUTED_VALUE"""),"8707 MINIFIE RD")</f>
        <v>8707 MINIFIE RD</v>
      </c>
      <c r="C2295" s="3" t="str">
        <f>IFERROR(__xludf.DUMMYFUNCTION("""COMPUTED_VALUE"""),"COBOURG")</f>
        <v>COBOURG</v>
      </c>
      <c r="D2295" s="3" t="str">
        <f>IFERROR(__xludf.DUMMYFUNCTION("""COMPUTED_VALUE"""),"K9A 4J9")</f>
        <v>K9A 4J9</v>
      </c>
      <c r="E2295" s="3" t="str">
        <f>IFERROR(__xludf.DUMMYFUNCTION("""COMPUTED_VALUE"""),"Jasper Hoogendam")</f>
        <v>Jasper Hoogendam</v>
      </c>
      <c r="F2295" s="4" t="str">
        <f>IFERROR(__xludf.DUMMYFUNCTION("""COMPUTED_VALUE"""),"jasperheeagle.ca")</f>
        <v>jasperheeagle.ca</v>
      </c>
      <c r="G2295" s="3">
        <f>IFERROR(__xludf.DUMMYFUNCTION("""COMPUTED_VALUE"""),9.053759492E9)</f>
        <v>9053759492</v>
      </c>
      <c r="H2295" s="3">
        <f>IFERROR(__xludf.DUMMYFUNCTION("""COMPUTED_VALUE"""),9.053423056E9)</f>
        <v>9053423056</v>
      </c>
    </row>
    <row r="2296">
      <c r="A2296" s="2">
        <f>IFERROR(__xludf.DUMMYFUNCTION("""COMPUTED_VALUE"""),22742.0)</f>
        <v>22742</v>
      </c>
      <c r="B2296" s="3" t="str">
        <f>IFERROR(__xludf.DUMMYFUNCTION("""COMPUTED_VALUE"""),"8714 MINIFIE RD")</f>
        <v>8714 MINIFIE RD</v>
      </c>
      <c r="C2296" s="3" t="str">
        <f>IFERROR(__xludf.DUMMYFUNCTION("""COMPUTED_VALUE"""),"COBOURG")</f>
        <v>COBOURG</v>
      </c>
      <c r="D2296" s="3" t="str">
        <f>IFERROR(__xludf.DUMMYFUNCTION("""COMPUTED_VALUE"""),"K9A 4J9")</f>
        <v>K9A 4J9</v>
      </c>
      <c r="E2296" s="3"/>
      <c r="F2296" s="3"/>
      <c r="G2296" s="3"/>
      <c r="H2296" s="3"/>
    </row>
    <row r="2297">
      <c r="A2297" s="2">
        <f>IFERROR(__xludf.DUMMYFUNCTION("""COMPUTED_VALUE"""),22078.0)</f>
        <v>22078</v>
      </c>
      <c r="B2297" s="3" t="str">
        <f>IFERROR(__xludf.DUMMYFUNCTION("""COMPUTED_VALUE"""),"5390 HARWOOD RD")</f>
        <v>5390 HARWOOD RD</v>
      </c>
      <c r="C2297" s="3" t="str">
        <f>IFERROR(__xludf.DUMMYFUNCTION("""COMPUTED_VALUE"""),"HARWOOD")</f>
        <v>HARWOOD</v>
      </c>
      <c r="D2297" s="3" t="str">
        <f>IFERROR(__xludf.DUMMYFUNCTION("""COMPUTED_VALUE"""),"K0K 2H0")</f>
        <v>K0K 2H0</v>
      </c>
      <c r="E2297" s="3"/>
      <c r="F2297" s="3"/>
      <c r="G2297" s="3"/>
      <c r="H2297" s="3"/>
    </row>
    <row r="2298">
      <c r="A2298" s="2">
        <f>IFERROR(__xludf.DUMMYFUNCTION("""COMPUTED_VALUE"""),22839.0)</f>
        <v>22839</v>
      </c>
      <c r="B2298" s="3" t="str">
        <f>IFERROR(__xludf.DUMMYFUNCTION("""COMPUTED_VALUE"""),"5103 OAK HILLS RD")</f>
        <v>5103 OAK HILLS RD</v>
      </c>
      <c r="C2298" s="3" t="str">
        <f>IFERROR(__xludf.DUMMYFUNCTION("""COMPUTED_VALUE"""),"HAMILTON TOWNSHIP")</f>
        <v>HAMILTON TOWNSHIP</v>
      </c>
      <c r="D2298" s="3" t="str">
        <f>IFERROR(__xludf.DUMMYFUNCTION("""COMPUTED_VALUE"""),"K0L 1E0")</f>
        <v>K0L 1E0</v>
      </c>
      <c r="E2298" s="3" t="str">
        <f>IFERROR(__xludf.DUMMYFUNCTION("""COMPUTED_VALUE"""),"Amy Atkinson-Graham")</f>
        <v>Amy Atkinson-Graham</v>
      </c>
      <c r="F2298" s="3" t="str">
        <f>IFERROR(__xludf.DUMMYFUNCTION("""COMPUTED_VALUE"""),"amy.vigliotti@gmail.com")</f>
        <v>amy.vigliotti@gmail.com</v>
      </c>
      <c r="G2298" s="3"/>
      <c r="H2298" s="3"/>
    </row>
    <row r="2299">
      <c r="A2299" s="2">
        <f>IFERROR(__xludf.DUMMYFUNCTION("""COMPUTED_VALUE"""),22744.0)</f>
        <v>22744</v>
      </c>
      <c r="B2299" s="3" t="str">
        <f>IFERROR(__xludf.DUMMYFUNCTION("""COMPUTED_VALUE"""),"8724 MINIFIE RD")</f>
        <v>8724 MINIFIE RD</v>
      </c>
      <c r="C2299" s="3" t="str">
        <f>IFERROR(__xludf.DUMMYFUNCTION("""COMPUTED_VALUE"""),"COBOURG")</f>
        <v>COBOURG</v>
      </c>
      <c r="D2299" s="3" t="str">
        <f>IFERROR(__xludf.DUMMYFUNCTION("""COMPUTED_VALUE"""),"K9A 4J9")</f>
        <v>K9A 4J9</v>
      </c>
      <c r="E2299" s="3" t="str">
        <f>IFERROR(__xludf.DUMMYFUNCTION("""COMPUTED_VALUE"""),"Ashley Margerum")</f>
        <v>Ashley Margerum</v>
      </c>
      <c r="F2299" s="3" t="str">
        <f>IFERROR(__xludf.DUMMYFUNCTION("""COMPUTED_VALUE"""),"ashleyandkyle89@gmail.com")</f>
        <v>ashleyandkyle89@gmail.com</v>
      </c>
      <c r="G2299" s="3">
        <f>IFERROR(__xludf.DUMMYFUNCTION("""COMPUTED_VALUE"""),9.057150271E9)</f>
        <v>9057150271</v>
      </c>
      <c r="H2299" s="3">
        <f>IFERROR(__xludf.DUMMYFUNCTION("""COMPUTED_VALUE"""),2.899230795E9)</f>
        <v>2899230795</v>
      </c>
    </row>
    <row r="2300">
      <c r="A2300" s="2">
        <f>IFERROR(__xludf.DUMMYFUNCTION("""COMPUTED_VALUE"""),22840.0)</f>
        <v>22840</v>
      </c>
      <c r="B2300" s="3" t="str">
        <f>IFERROR(__xludf.DUMMYFUNCTION("""COMPUTED_VALUE"""),"5109 OAK HILLS RD")</f>
        <v>5109 OAK HILLS RD</v>
      </c>
      <c r="C2300" s="3" t="str">
        <f>IFERROR(__xludf.DUMMYFUNCTION("""COMPUTED_VALUE"""),"HAMILTON TOWNSHIP")</f>
        <v>HAMILTON TOWNSHIP</v>
      </c>
      <c r="D2300" s="3" t="str">
        <f>IFERROR(__xludf.DUMMYFUNCTION("""COMPUTED_VALUE"""),"K0L 1E0")</f>
        <v>K0L 1E0</v>
      </c>
      <c r="E2300" s="3" t="str">
        <f>IFERROR(__xludf.DUMMYFUNCTION("""COMPUTED_VALUE"""),"cindy vickers")</f>
        <v>cindy vickers</v>
      </c>
      <c r="F2300" s="3"/>
      <c r="G2300" s="3">
        <f>IFERROR(__xludf.DUMMYFUNCTION("""COMPUTED_VALUE"""),9.053423915E9)</f>
        <v>9053423915</v>
      </c>
      <c r="H2300" s="3"/>
    </row>
    <row r="2301">
      <c r="A2301" s="2">
        <f>IFERROR(__xludf.DUMMYFUNCTION("""COMPUTED_VALUE"""),22079.0)</f>
        <v>22079</v>
      </c>
      <c r="B2301" s="3" t="str">
        <f>IFERROR(__xludf.DUMMYFUNCTION("""COMPUTED_VALUE"""),"5394 HARWOOD RD")</f>
        <v>5394 HARWOOD RD</v>
      </c>
      <c r="C2301" s="3" t="str">
        <f>IFERROR(__xludf.DUMMYFUNCTION("""COMPUTED_VALUE"""),"HARWOOD")</f>
        <v>HARWOOD</v>
      </c>
      <c r="D2301" s="3" t="str">
        <f>IFERROR(__xludf.DUMMYFUNCTION("""COMPUTED_VALUE"""),"K0K 2H0")</f>
        <v>K0K 2H0</v>
      </c>
      <c r="E2301" s="3" t="str">
        <f>IFERROR(__xludf.DUMMYFUNCTION("""COMPUTED_VALUE"""),"Peter Kirtley ")</f>
        <v>Peter Kirtley </v>
      </c>
      <c r="F2301" s="3"/>
      <c r="G2301" s="3"/>
      <c r="H2301" s="3"/>
    </row>
    <row r="2302">
      <c r="A2302" s="2">
        <f>IFERROR(__xludf.DUMMYFUNCTION("""COMPUTED_VALUE"""),21277.0)</f>
        <v>21277</v>
      </c>
      <c r="B2302" s="3" t="str">
        <f>IFERROR(__xludf.DUMMYFUNCTION("""COMPUTED_VALUE"""),"7858 DALE RD")</f>
        <v>7858 DALE RD</v>
      </c>
      <c r="C2302" s="3" t="str">
        <f>IFERROR(__xludf.DUMMYFUNCTION("""COMPUTED_VALUE"""),"COBOURG")</f>
        <v>COBOURG</v>
      </c>
      <c r="D2302" s="3" t="str">
        <f>IFERROR(__xludf.DUMMYFUNCTION("""COMPUTED_VALUE"""),"K9A 4J7")</f>
        <v>K9A 4J7</v>
      </c>
      <c r="E2302" s="3"/>
      <c r="F2302" s="3"/>
      <c r="G2302" s="3"/>
      <c r="H2302" s="3"/>
    </row>
    <row r="2303">
      <c r="A2303" s="2">
        <f>IFERROR(__xludf.DUMMYFUNCTION("""COMPUTED_VALUE"""),22746.0)</f>
        <v>22746</v>
      </c>
      <c r="B2303" s="3" t="str">
        <f>IFERROR(__xludf.DUMMYFUNCTION("""COMPUTED_VALUE"""),"8744 MINIFIE RD Unit A")</f>
        <v>8744 MINIFIE RD Unit A</v>
      </c>
      <c r="C2303" s="3" t="str">
        <f>IFERROR(__xludf.DUMMYFUNCTION("""COMPUTED_VALUE"""),"COBOURG")</f>
        <v>COBOURG</v>
      </c>
      <c r="D2303" s="3" t="str">
        <f>IFERROR(__xludf.DUMMYFUNCTION("""COMPUTED_VALUE"""),"K9A 4J9")</f>
        <v>K9A 4J9</v>
      </c>
      <c r="E2303" s="3"/>
      <c r="F2303" s="3"/>
      <c r="G2303" s="3"/>
      <c r="H2303" s="3"/>
    </row>
    <row r="2304">
      <c r="A2304" s="2">
        <f>IFERROR(__xludf.DUMMYFUNCTION("""COMPUTED_VALUE"""),21343.0)</f>
        <v>21343</v>
      </c>
      <c r="B2304" s="3" t="str">
        <f>IFERROR(__xludf.DUMMYFUNCTION("""COMPUTED_VALUE"""),"8660 DALE RD")</f>
        <v>8660 DALE RD</v>
      </c>
      <c r="C2304" s="3" t="str">
        <f>IFERROR(__xludf.DUMMYFUNCTION("""COMPUTED_VALUE"""),"COBOURG")</f>
        <v>COBOURG</v>
      </c>
      <c r="D2304" s="3" t="str">
        <f>IFERROR(__xludf.DUMMYFUNCTION("""COMPUTED_VALUE"""),"K9A 0M4")</f>
        <v>K9A 0M4</v>
      </c>
      <c r="E2304" s="3" t="str">
        <f>IFERROR(__xludf.DUMMYFUNCTION("""COMPUTED_VALUE"""),"shirley basinger")</f>
        <v>shirley basinger</v>
      </c>
      <c r="F2304" s="3"/>
      <c r="G2304" s="3">
        <f>IFERROR(__xludf.DUMMYFUNCTION("""COMPUTED_VALUE"""),9.053726155E9)</f>
        <v>9053726155</v>
      </c>
      <c r="H2304" s="3"/>
    </row>
    <row r="2305">
      <c r="A2305" s="2">
        <f>IFERROR(__xludf.DUMMYFUNCTION("""COMPUTED_VALUE"""),21291.0)</f>
        <v>21291</v>
      </c>
      <c r="B2305" s="3" t="str">
        <f>IFERROR(__xludf.DUMMYFUNCTION("""COMPUTED_VALUE"""),"8228 DALE RD")</f>
        <v>8228 DALE RD</v>
      </c>
      <c r="C2305" s="3" t="str">
        <f>IFERROR(__xludf.DUMMYFUNCTION("""COMPUTED_VALUE"""),"COBOURG")</f>
        <v>COBOURG</v>
      </c>
      <c r="D2305" s="3" t="str">
        <f>IFERROR(__xludf.DUMMYFUNCTION("""COMPUTED_VALUE"""),"K9A 4J7")</f>
        <v>K9A 4J7</v>
      </c>
      <c r="E2305" s="3"/>
      <c r="F2305" s="3"/>
      <c r="G2305" s="3"/>
      <c r="H2305" s="3"/>
    </row>
    <row r="2306">
      <c r="A2306" s="2">
        <f>IFERROR(__xludf.DUMMYFUNCTION("""COMPUTED_VALUE"""),24018.0)</f>
        <v>24018</v>
      </c>
      <c r="B2306" s="3" t="str">
        <f>IFERROR(__xludf.DUMMYFUNCTION("""COMPUTED_VALUE"""),"8744 MINIFIE RD Unit C")</f>
        <v>8744 MINIFIE RD Unit C</v>
      </c>
      <c r="C2306" s="3" t="str">
        <f>IFERROR(__xludf.DUMMYFUNCTION("""COMPUTED_VALUE"""),"COBOURG")</f>
        <v>COBOURG</v>
      </c>
      <c r="D2306" s="3" t="str">
        <f>IFERROR(__xludf.DUMMYFUNCTION("""COMPUTED_VALUE"""),"K9A 4J9")</f>
        <v>K9A 4J9</v>
      </c>
      <c r="E2306" s="3"/>
      <c r="F2306" s="3"/>
      <c r="G2306" s="3"/>
      <c r="H2306" s="3"/>
    </row>
    <row r="2307">
      <c r="A2307" s="2">
        <f>IFERROR(__xludf.DUMMYFUNCTION("""COMPUTED_VALUE"""),24017.0)</f>
        <v>24017</v>
      </c>
      <c r="B2307" s="3" t="str">
        <f>IFERROR(__xludf.DUMMYFUNCTION("""COMPUTED_VALUE"""),"8744 MINIFIE RD Unit B")</f>
        <v>8744 MINIFIE RD Unit B</v>
      </c>
      <c r="C2307" s="3" t="str">
        <f>IFERROR(__xludf.DUMMYFUNCTION("""COMPUTED_VALUE"""),"COBOURG")</f>
        <v>COBOURG</v>
      </c>
      <c r="D2307" s="3" t="str">
        <f>IFERROR(__xludf.DUMMYFUNCTION("""COMPUTED_VALUE"""),"K9A 4J9")</f>
        <v>K9A 4J9</v>
      </c>
      <c r="E2307" s="3"/>
      <c r="F2307" s="3"/>
      <c r="G2307" s="3"/>
      <c r="H2307" s="3"/>
    </row>
    <row r="2308">
      <c r="A2308" s="2">
        <f>IFERROR(__xludf.DUMMYFUNCTION("""COMPUTED_VALUE"""),22747.0)</f>
        <v>22747</v>
      </c>
      <c r="B2308" s="3" t="str">
        <f>IFERROR(__xludf.DUMMYFUNCTION("""COMPUTED_VALUE"""),"8754 MINIFIE RD")</f>
        <v>8754 MINIFIE RD</v>
      </c>
      <c r="C2308" s="3" t="str">
        <f>IFERROR(__xludf.DUMMYFUNCTION("""COMPUTED_VALUE"""),"COBOURG")</f>
        <v>COBOURG</v>
      </c>
      <c r="D2308" s="3" t="str">
        <f>IFERROR(__xludf.DUMMYFUNCTION("""COMPUTED_VALUE"""),"K9A 4J9")</f>
        <v>K9A 4J9</v>
      </c>
      <c r="E2308" s="3"/>
      <c r="F2308" s="3"/>
      <c r="G2308" s="3"/>
      <c r="H2308" s="3"/>
    </row>
    <row r="2309">
      <c r="A2309" s="2">
        <f>IFERROR(__xludf.DUMMYFUNCTION("""COMPUTED_VALUE"""),22763.0)</f>
        <v>22763</v>
      </c>
      <c r="B2309" s="3" t="str">
        <f>IFERROR(__xludf.DUMMYFUNCTION("""COMPUTED_VALUE"""),"100 MORRIS RD")</f>
        <v>100 MORRIS RD</v>
      </c>
      <c r="C2309" s="3" t="str">
        <f>IFERROR(__xludf.DUMMYFUNCTION("""COMPUTED_VALUE"""),"BALTIMORE")</f>
        <v>BALTIMORE</v>
      </c>
      <c r="D2309" s="3" t="str">
        <f>IFERROR(__xludf.DUMMYFUNCTION("""COMPUTED_VALUE"""),"K0K 1C0")</f>
        <v>K0K 1C0</v>
      </c>
      <c r="E2309" s="3" t="str">
        <f>IFERROR(__xludf.DUMMYFUNCTION("""COMPUTED_VALUE"""),"brian post ")</f>
        <v>brian post </v>
      </c>
      <c r="F2309" s="3" t="str">
        <f>IFERROR(__xludf.DUMMYFUNCTION("""COMPUTED_VALUE"""),"post@eagle.ca")</f>
        <v>post@eagle.ca</v>
      </c>
      <c r="G2309" s="3">
        <f>IFERROR(__xludf.DUMMYFUNCTION("""COMPUTED_VALUE"""),9.053758107E9)</f>
        <v>9053758107</v>
      </c>
      <c r="H2309" s="3"/>
    </row>
    <row r="2310">
      <c r="A2310" s="2">
        <f>IFERROR(__xludf.DUMMYFUNCTION("""COMPUTED_VALUE"""),22764.0)</f>
        <v>22764</v>
      </c>
      <c r="B2310" s="3" t="str">
        <f>IFERROR(__xludf.DUMMYFUNCTION("""COMPUTED_VALUE"""),"112 MORRIS RD")</f>
        <v>112 MORRIS RD</v>
      </c>
      <c r="C2310" s="3" t="str">
        <f>IFERROR(__xludf.DUMMYFUNCTION("""COMPUTED_VALUE"""),"BALTIMORE")</f>
        <v>BALTIMORE</v>
      </c>
      <c r="D2310" s="3" t="str">
        <f>IFERROR(__xludf.DUMMYFUNCTION("""COMPUTED_VALUE"""),"K0K 1C0")</f>
        <v>K0K 1C0</v>
      </c>
      <c r="E2310" s="3" t="str">
        <f>IFERROR(__xludf.DUMMYFUNCTION("""COMPUTED_VALUE"""),"jim tapscott")</f>
        <v>jim tapscott</v>
      </c>
      <c r="F2310" s="3" t="str">
        <f>IFERROR(__xludf.DUMMYFUNCTION("""COMPUTED_VALUE"""),"taprjim@yahoo.ca")</f>
        <v>taprjim@yahoo.ca</v>
      </c>
      <c r="G2310" s="3">
        <f>IFERROR(__xludf.DUMMYFUNCTION("""COMPUTED_VALUE"""),2.89251232E9)</f>
        <v>2892512320</v>
      </c>
      <c r="H2310" s="3"/>
    </row>
    <row r="2311">
      <c r="A2311" s="2">
        <f>IFERROR(__xludf.DUMMYFUNCTION("""COMPUTED_VALUE"""),22765.0)</f>
        <v>22765</v>
      </c>
      <c r="B2311" s="3" t="str">
        <f>IFERROR(__xludf.DUMMYFUNCTION("""COMPUTED_VALUE"""),"121 MORRIS RD")</f>
        <v>121 MORRIS RD</v>
      </c>
      <c r="C2311" s="3" t="str">
        <f>IFERROR(__xludf.DUMMYFUNCTION("""COMPUTED_VALUE"""),"BALTIMORE")</f>
        <v>BALTIMORE</v>
      </c>
      <c r="D2311" s="3" t="str">
        <f>IFERROR(__xludf.DUMMYFUNCTION("""COMPUTED_VALUE"""),"K0K 1C0")</f>
        <v>K0K 1C0</v>
      </c>
      <c r="E2311" s="3"/>
      <c r="F2311" s="3"/>
      <c r="G2311" s="3"/>
      <c r="H2311" s="3"/>
    </row>
    <row r="2312">
      <c r="A2312" s="2">
        <f>IFERROR(__xludf.DUMMYFUNCTION("""COMPUTED_VALUE"""),22766.0)</f>
        <v>22766</v>
      </c>
      <c r="B2312" s="3" t="str">
        <f>IFERROR(__xludf.DUMMYFUNCTION("""COMPUTED_VALUE"""),"122 MORRIS RD")</f>
        <v>122 MORRIS RD</v>
      </c>
      <c r="C2312" s="3" t="str">
        <f>IFERROR(__xludf.DUMMYFUNCTION("""COMPUTED_VALUE"""),"BALTIMORE")</f>
        <v>BALTIMORE</v>
      </c>
      <c r="D2312" s="3" t="str">
        <f>IFERROR(__xludf.DUMMYFUNCTION("""COMPUTED_VALUE"""),"K0K 1C0")</f>
        <v>K0K 1C0</v>
      </c>
      <c r="E2312" s="3" t="str">
        <f>IFERROR(__xludf.DUMMYFUNCTION("""COMPUTED_VALUE"""),"peter moffatt")</f>
        <v>peter moffatt</v>
      </c>
      <c r="F2312" s="3" t="str">
        <f>IFERROR(__xludf.DUMMYFUNCTION("""COMPUTED_VALUE"""),"skyview100@outlook.com")</f>
        <v>skyview100@outlook.com</v>
      </c>
      <c r="G2312" s="3">
        <f>IFERROR(__xludf.DUMMYFUNCTION("""COMPUTED_VALUE"""),4.167327956E9)</f>
        <v>4167327956</v>
      </c>
      <c r="H2312" s="3"/>
    </row>
    <row r="2313">
      <c r="A2313" s="2">
        <f>IFERROR(__xludf.DUMMYFUNCTION("""COMPUTED_VALUE"""),23980.0)</f>
        <v>23980</v>
      </c>
      <c r="B2313" s="3" t="str">
        <f>IFERROR(__xludf.DUMMYFUNCTION("""COMPUTED_VALUE"""),"3639 MULDER RD")</f>
        <v>3639 MULDER RD</v>
      </c>
      <c r="C2313" s="3" t="str">
        <f>IFERROR(__xludf.DUMMYFUNCTION("""COMPUTED_VALUE"""),"HAMILTON TOWNSHIP")</f>
        <v>HAMILTON TOWNSHIP</v>
      </c>
      <c r="D2313" s="3" t="str">
        <f>IFERROR(__xludf.DUMMYFUNCTION("""COMPUTED_VALUE"""),"K9A 4J9")</f>
        <v>K9A 4J9</v>
      </c>
      <c r="E2313" s="3"/>
      <c r="F2313" s="3"/>
      <c r="G2313" s="3"/>
      <c r="H2313" s="3"/>
    </row>
    <row r="2314">
      <c r="A2314" s="2">
        <f>IFERROR(__xludf.DUMMYFUNCTION("""COMPUTED_VALUE"""),22780.0)</f>
        <v>22780</v>
      </c>
      <c r="B2314" s="3" t="str">
        <f>IFERROR(__xludf.DUMMYFUNCTION("""COMPUTED_VALUE"""),"3645 MULDER RD")</f>
        <v>3645 MULDER RD</v>
      </c>
      <c r="C2314" s="3" t="str">
        <f>IFERROR(__xludf.DUMMYFUNCTION("""COMPUTED_VALUE"""),"COBOURG")</f>
        <v>COBOURG</v>
      </c>
      <c r="D2314" s="3" t="str">
        <f>IFERROR(__xludf.DUMMYFUNCTION("""COMPUTED_VALUE"""),"K9A 4J9")</f>
        <v>K9A 4J9</v>
      </c>
      <c r="E2314" s="3" t="str">
        <f>IFERROR(__xludf.DUMMYFUNCTION("""COMPUTED_VALUE"""),"Kenneth&amp;cathy Meehan")</f>
        <v>Kenneth&amp;cathy Meehan</v>
      </c>
      <c r="F2314" s="3" t="str">
        <f>IFERROR(__xludf.DUMMYFUNCTION("""COMPUTED_VALUE"""),"cmeehan@xplornet.ca")</f>
        <v>cmeehan@xplornet.ca</v>
      </c>
      <c r="G2314" s="3"/>
      <c r="H2314" s="3"/>
    </row>
    <row r="2315">
      <c r="A2315" s="2">
        <f>IFERROR(__xludf.DUMMYFUNCTION("""COMPUTED_VALUE"""),22781.0)</f>
        <v>22781</v>
      </c>
      <c r="B2315" s="3" t="str">
        <f>IFERROR(__xludf.DUMMYFUNCTION("""COMPUTED_VALUE"""),"3683 MULDER RD")</f>
        <v>3683 MULDER RD</v>
      </c>
      <c r="C2315" s="3" t="str">
        <f>IFERROR(__xludf.DUMMYFUNCTION("""COMPUTED_VALUE"""),"COBOURG")</f>
        <v>COBOURG</v>
      </c>
      <c r="D2315" s="3" t="str">
        <f>IFERROR(__xludf.DUMMYFUNCTION("""COMPUTED_VALUE"""),"K9A 4J9")</f>
        <v>K9A 4J9</v>
      </c>
      <c r="E2315" s="3"/>
      <c r="F2315" s="3"/>
      <c r="G2315" s="3"/>
      <c r="H2315" s="3"/>
    </row>
    <row r="2316">
      <c r="A2316" s="2">
        <f>IFERROR(__xludf.DUMMYFUNCTION("""COMPUTED_VALUE"""),22080.0)</f>
        <v>22080</v>
      </c>
      <c r="B2316" s="3" t="str">
        <f>IFERROR(__xludf.DUMMYFUNCTION("""COMPUTED_VALUE"""),"9470 HARWOOD RD")</f>
        <v>9470 HARWOOD RD</v>
      </c>
      <c r="C2316" s="3" t="str">
        <f>IFERROR(__xludf.DUMMYFUNCTION("""COMPUTED_VALUE"""),"BALTIMORE")</f>
        <v>BALTIMORE</v>
      </c>
      <c r="D2316" s="3" t="str">
        <f>IFERROR(__xludf.DUMMYFUNCTION("""COMPUTED_VALUE"""),"K0K 1C0")</f>
        <v>K0K 1C0</v>
      </c>
      <c r="E2316" s="3"/>
      <c r="F2316" s="3"/>
      <c r="G2316" s="3"/>
      <c r="H2316" s="3"/>
    </row>
    <row r="2317">
      <c r="A2317" s="2">
        <f>IFERROR(__xludf.DUMMYFUNCTION("""COMPUTED_VALUE"""),24001.0)</f>
        <v>24001</v>
      </c>
      <c r="B2317" s="3" t="str">
        <f>IFERROR(__xludf.DUMMYFUNCTION("""COMPUTED_VALUE"""),"226 NICHOL RD - Unit U")</f>
        <v>226 NICHOL RD - Unit U</v>
      </c>
      <c r="C2317" s="3" t="str">
        <f>IFERROR(__xludf.DUMMYFUNCTION("""COMPUTED_VALUE"""),"BALTIMORE")</f>
        <v>BALTIMORE</v>
      </c>
      <c r="D2317" s="3" t="str">
        <f>IFERROR(__xludf.DUMMYFUNCTION("""COMPUTED_VALUE"""),"K0K 1C0")</f>
        <v>K0K 1C0</v>
      </c>
      <c r="E2317" s="3" t="str">
        <f>IFERROR(__xludf.DUMMYFUNCTION("""COMPUTED_VALUE"""),"jen jensen ")</f>
        <v>jen jensen </v>
      </c>
      <c r="F2317" s="3" t="str">
        <f>IFERROR(__xludf.DUMMYFUNCTION("""COMPUTED_VALUE"""),"kennethrjensen@gmail.com")</f>
        <v>kennethrjensen@gmail.com</v>
      </c>
      <c r="G2317" s="3">
        <f>IFERROR(__xludf.DUMMYFUNCTION("""COMPUTED_VALUE"""),9.053760033E9)</f>
        <v>9053760033</v>
      </c>
      <c r="H2317" s="3"/>
    </row>
    <row r="2318">
      <c r="A2318" s="2">
        <f>IFERROR(__xludf.DUMMYFUNCTION("""COMPUTED_VALUE"""),20960.0)</f>
        <v>20960</v>
      </c>
      <c r="B2318" s="3" t="str">
        <f>IFERROR(__xludf.DUMMYFUNCTION("""COMPUTED_VALUE"""),"230 COUNTY RD 22")</f>
        <v>230 COUNTY RD 22</v>
      </c>
      <c r="C2318" s="3" t="str">
        <f>IFERROR(__xludf.DUMMYFUNCTION("""COMPUTED_VALUE"""),"BALTIMORE")</f>
        <v>BALTIMORE</v>
      </c>
      <c r="D2318" s="3" t="str">
        <f>IFERROR(__xludf.DUMMYFUNCTION("""COMPUTED_VALUE"""),"K0K 1C0")</f>
        <v>K0K 1C0</v>
      </c>
      <c r="E2318" s="3" t="str">
        <f>IFERROR(__xludf.DUMMYFUNCTION("""COMPUTED_VALUE"""),"donna scott")</f>
        <v>donna scott</v>
      </c>
      <c r="F2318" s="3"/>
      <c r="G2318" s="3">
        <f>IFERROR(__xludf.DUMMYFUNCTION("""COMPUTED_VALUE"""),9.05376736E9)</f>
        <v>9053767360</v>
      </c>
      <c r="H2318" s="3"/>
    </row>
    <row r="2319">
      <c r="A2319" s="2">
        <f>IFERROR(__xludf.DUMMYFUNCTION("""COMPUTED_VALUE"""),22810.0)</f>
        <v>22810</v>
      </c>
      <c r="B2319" s="3" t="str">
        <f>IFERROR(__xludf.DUMMYFUNCTION("""COMPUTED_VALUE"""),"230 NICHOL RD")</f>
        <v>230 NICHOL RD</v>
      </c>
      <c r="C2319" s="3" t="str">
        <f>IFERROR(__xludf.DUMMYFUNCTION("""COMPUTED_VALUE"""),"BALTIMORE")</f>
        <v>BALTIMORE</v>
      </c>
      <c r="D2319" s="3" t="str">
        <f>IFERROR(__xludf.DUMMYFUNCTION("""COMPUTED_VALUE"""),"K0K 1C0")</f>
        <v>K0K 1C0</v>
      </c>
      <c r="E2319" s="3"/>
      <c r="F2319" s="3"/>
      <c r="G2319" s="3"/>
      <c r="H2319" s="3"/>
    </row>
    <row r="2320">
      <c r="A2320" s="2">
        <f>IFERROR(__xludf.DUMMYFUNCTION("""COMPUTED_VALUE"""),24006.0)</f>
        <v>24006</v>
      </c>
      <c r="B2320" s="3" t="str">
        <f>IFERROR(__xludf.DUMMYFUNCTION("""COMPUTED_VALUE"""),"230 NICHOL RD - UNIT B")</f>
        <v>230 NICHOL RD - UNIT B</v>
      </c>
      <c r="C2320" s="3" t="str">
        <f>IFERROR(__xludf.DUMMYFUNCTION("""COMPUTED_VALUE"""),"BALTIMORE")</f>
        <v>BALTIMORE</v>
      </c>
      <c r="D2320" s="3" t="str">
        <f>IFERROR(__xludf.DUMMYFUNCTION("""COMPUTED_VALUE"""),"K0K 1C0")</f>
        <v>K0K 1C0</v>
      </c>
      <c r="E2320" s="3"/>
      <c r="F2320" s="3"/>
      <c r="G2320" s="3"/>
      <c r="H2320" s="3"/>
    </row>
    <row r="2321">
      <c r="A2321" s="2">
        <f>IFERROR(__xludf.DUMMYFUNCTION("""COMPUTED_VALUE"""),21298.0)</f>
        <v>21298</v>
      </c>
      <c r="B2321" s="3" t="str">
        <f>IFERROR(__xludf.DUMMYFUNCTION("""COMPUTED_VALUE"""),"8318 DALE RD")</f>
        <v>8318 DALE RD</v>
      </c>
      <c r="C2321" s="3" t="str">
        <f>IFERROR(__xludf.DUMMYFUNCTION("""COMPUTED_VALUE"""),"COBOURG")</f>
        <v>COBOURG</v>
      </c>
      <c r="D2321" s="3" t="str">
        <f>IFERROR(__xludf.DUMMYFUNCTION("""COMPUTED_VALUE"""),"K9A 0L8")</f>
        <v>K9A 0L8</v>
      </c>
      <c r="E2321" s="3"/>
      <c r="F2321" s="3"/>
      <c r="G2321" s="3"/>
      <c r="H2321" s="3"/>
    </row>
    <row r="2322">
      <c r="A2322" s="2">
        <f>IFERROR(__xludf.DUMMYFUNCTION("""COMPUTED_VALUE"""),23371.0)</f>
        <v>23371</v>
      </c>
      <c r="B2322" s="3" t="str">
        <f>IFERROR(__xludf.DUMMYFUNCTION("""COMPUTED_VALUE"""),"243 STEWART RD")</f>
        <v>243 STEWART RD</v>
      </c>
      <c r="C2322" s="3" t="str">
        <f>IFERROR(__xludf.DUMMYFUNCTION("""COMPUTED_VALUE"""),"BALTIMORE")</f>
        <v>BALTIMORE</v>
      </c>
      <c r="D2322" s="3" t="str">
        <f>IFERROR(__xludf.DUMMYFUNCTION("""COMPUTED_VALUE"""),"K0K 1C0")</f>
        <v>K0K 1C0</v>
      </c>
      <c r="E2322" s="3" t="str">
        <f>IFERROR(__xludf.DUMMYFUNCTION("""COMPUTED_VALUE"""),"Jaine Klassen Jeninga")</f>
        <v>Jaine Klassen Jeninga</v>
      </c>
      <c r="F2322" s="3" t="str">
        <f>IFERROR(__xludf.DUMMYFUNCTION("""COMPUTED_VALUE"""),"birdseyeviewgamefarm@gmail.com")</f>
        <v>birdseyeviewgamefarm@gmail.com</v>
      </c>
      <c r="G2322" s="3">
        <f>IFERROR(__xludf.DUMMYFUNCTION("""COMPUTED_VALUE"""),9.053965665E9)</f>
        <v>9053965665</v>
      </c>
      <c r="H2322" s="3"/>
    </row>
    <row r="2323">
      <c r="A2323" s="2">
        <f>IFERROR(__xludf.DUMMYFUNCTION("""COMPUTED_VALUE"""),20961.0)</f>
        <v>20961</v>
      </c>
      <c r="B2323" s="3" t="str">
        <f>IFERROR(__xludf.DUMMYFUNCTION("""COMPUTED_VALUE"""),"252 COUNTY RD 22")</f>
        <v>252 COUNTY RD 22</v>
      </c>
      <c r="C2323" s="3" t="str">
        <f>IFERROR(__xludf.DUMMYFUNCTION("""COMPUTED_VALUE"""),"BALTIMORE")</f>
        <v>BALTIMORE</v>
      </c>
      <c r="D2323" s="3" t="str">
        <f>IFERROR(__xludf.DUMMYFUNCTION("""COMPUTED_VALUE"""),"K0K 1C0")</f>
        <v>K0K 1C0</v>
      </c>
      <c r="E2323" s="3"/>
      <c r="F2323" s="3"/>
      <c r="G2323" s="3"/>
      <c r="H2323" s="3"/>
    </row>
    <row r="2324">
      <c r="A2324" s="2">
        <f>IFERROR(__xludf.DUMMYFUNCTION("""COMPUTED_VALUE"""),20962.0)</f>
        <v>20962</v>
      </c>
      <c r="B2324" s="3" t="str">
        <f>IFERROR(__xludf.DUMMYFUNCTION("""COMPUTED_VALUE"""),"268 COUNTY RD 22")</f>
        <v>268 COUNTY RD 22</v>
      </c>
      <c r="C2324" s="3" t="str">
        <f>IFERROR(__xludf.DUMMYFUNCTION("""COMPUTED_VALUE"""),"BALTIMORE")</f>
        <v>BALTIMORE</v>
      </c>
      <c r="D2324" s="3" t="str">
        <f>IFERROR(__xludf.DUMMYFUNCTION("""COMPUTED_VALUE"""),"K0K 1C0")</f>
        <v>K0K 1C0</v>
      </c>
      <c r="E2324" s="3" t="str">
        <f>IFERROR(__xludf.DUMMYFUNCTION("""COMPUTED_VALUE"""),"bart nelson")</f>
        <v>bart nelson</v>
      </c>
      <c r="F2324" s="3" t="str">
        <f>IFERROR(__xludf.DUMMYFUNCTION("""COMPUTED_VALUE"""),"bart.s.nelson@gmail.com")</f>
        <v>bart.s.nelson@gmail.com</v>
      </c>
      <c r="G2324" s="3">
        <f>IFERROR(__xludf.DUMMYFUNCTION("""COMPUTED_VALUE"""),9.053492279E9)</f>
        <v>9053492279</v>
      </c>
      <c r="H2324" s="3"/>
    </row>
    <row r="2325">
      <c r="A2325" s="2">
        <f>IFERROR(__xludf.DUMMYFUNCTION("""COMPUTED_VALUE"""),23372.0)</f>
        <v>23372</v>
      </c>
      <c r="B2325" s="3" t="str">
        <f>IFERROR(__xludf.DUMMYFUNCTION("""COMPUTED_VALUE"""),"371 STEWART RD")</f>
        <v>371 STEWART RD</v>
      </c>
      <c r="C2325" s="3" t="str">
        <f>IFERROR(__xludf.DUMMYFUNCTION("""COMPUTED_VALUE"""),"BALTIMORE")</f>
        <v>BALTIMORE</v>
      </c>
      <c r="D2325" s="3" t="str">
        <f>IFERROR(__xludf.DUMMYFUNCTION("""COMPUTED_VALUE"""),"K0K 1C0")</f>
        <v>K0K 1C0</v>
      </c>
      <c r="E2325" s="3" t="str">
        <f>IFERROR(__xludf.DUMMYFUNCTION("""COMPUTED_VALUE"""),"nancy dejong")</f>
        <v>nancy dejong</v>
      </c>
      <c r="F2325" s="3" t="str">
        <f>IFERROR(__xludf.DUMMYFUNCTION("""COMPUTED_VALUE"""),"dejongn@gmail.com")</f>
        <v>dejongn@gmail.com</v>
      </c>
      <c r="G2325" s="3">
        <f>IFERROR(__xludf.DUMMYFUNCTION("""COMPUTED_VALUE"""),9.053754377E9)</f>
        <v>9053754377</v>
      </c>
      <c r="H2325" s="3"/>
    </row>
    <row r="2326">
      <c r="A2326" s="2">
        <f>IFERROR(__xludf.DUMMYFUNCTION("""COMPUTED_VALUE"""),21299.0)</f>
        <v>21299</v>
      </c>
      <c r="B2326" s="3" t="str">
        <f>IFERROR(__xludf.DUMMYFUNCTION("""COMPUTED_VALUE"""),"8328 DALE RD")</f>
        <v>8328 DALE RD</v>
      </c>
      <c r="C2326" s="3" t="str">
        <f>IFERROR(__xludf.DUMMYFUNCTION("""COMPUTED_VALUE"""),"COBOURG")</f>
        <v>COBOURG</v>
      </c>
      <c r="D2326" s="3" t="str">
        <f>IFERROR(__xludf.DUMMYFUNCTION("""COMPUTED_VALUE"""),"K9A 0L8")</f>
        <v>K9A 0L8</v>
      </c>
      <c r="E2326" s="3"/>
      <c r="F2326" s="3"/>
      <c r="G2326" s="3"/>
      <c r="H2326" s="3"/>
    </row>
    <row r="2327">
      <c r="A2327" s="2">
        <f>IFERROR(__xludf.DUMMYFUNCTION("""COMPUTED_VALUE"""),21300.0)</f>
        <v>21300</v>
      </c>
      <c r="B2327" s="3" t="str">
        <f>IFERROR(__xludf.DUMMYFUNCTION("""COMPUTED_VALUE"""),"8332 DALE RD")</f>
        <v>8332 DALE RD</v>
      </c>
      <c r="C2327" s="3" t="str">
        <f>IFERROR(__xludf.DUMMYFUNCTION("""COMPUTED_VALUE"""),"COBOURG")</f>
        <v>COBOURG</v>
      </c>
      <c r="D2327" s="3" t="str">
        <f>IFERROR(__xludf.DUMMYFUNCTION("""COMPUTED_VALUE"""),"K9A 0L8")</f>
        <v>K9A 0L8</v>
      </c>
      <c r="E2327" s="3"/>
      <c r="F2327" s="3"/>
      <c r="G2327" s="3"/>
      <c r="H2327" s="3"/>
    </row>
    <row r="2328">
      <c r="A2328" s="2">
        <f>IFERROR(__xludf.DUMMYFUNCTION("""COMPUTED_VALUE"""),21301.0)</f>
        <v>21301</v>
      </c>
      <c r="B2328" s="3" t="str">
        <f>IFERROR(__xludf.DUMMYFUNCTION("""COMPUTED_VALUE"""),"8342 DALE RD")</f>
        <v>8342 DALE RD</v>
      </c>
      <c r="C2328" s="3" t="str">
        <f>IFERROR(__xludf.DUMMYFUNCTION("""COMPUTED_VALUE"""),"COBOURG")</f>
        <v>COBOURG</v>
      </c>
      <c r="D2328" s="3" t="str">
        <f>IFERROR(__xludf.DUMMYFUNCTION("""COMPUTED_VALUE"""),"K9A 0L8")</f>
        <v>K9A 0L8</v>
      </c>
      <c r="E2328" s="3"/>
      <c r="F2328" s="3"/>
      <c r="G2328" s="3"/>
      <c r="H2328" s="3"/>
    </row>
    <row r="2329">
      <c r="A2329" s="2">
        <f>IFERROR(__xludf.DUMMYFUNCTION("""COMPUTED_VALUE"""),22819.0)</f>
        <v>22819</v>
      </c>
      <c r="B2329" s="3" t="str">
        <f>IFERROR(__xludf.DUMMYFUNCTION("""COMPUTED_VALUE"""),"413 NORTH BETHESDA RD")</f>
        <v>413 NORTH BETHESDA RD</v>
      </c>
      <c r="C2329" s="3" t="str">
        <f>IFERROR(__xludf.DUMMYFUNCTION("""COMPUTED_VALUE"""),"BALTIMORE")</f>
        <v>BALTIMORE</v>
      </c>
      <c r="D2329" s="3" t="str">
        <f>IFERROR(__xludf.DUMMYFUNCTION("""COMPUTED_VALUE"""),"K0K 1C0")</f>
        <v>K0K 1C0</v>
      </c>
      <c r="E2329" s="3" t="str">
        <f>IFERROR(__xludf.DUMMYFUNCTION("""COMPUTED_VALUE"""),"Michael Riley")</f>
        <v>Michael Riley</v>
      </c>
      <c r="F2329" s="3" t="str">
        <f>IFERROR(__xludf.DUMMYFUNCTION("""COMPUTED_VALUE"""),"mikeriley6@hotmail.com")</f>
        <v>mikeriley6@hotmail.com</v>
      </c>
      <c r="G2329" s="3"/>
      <c r="H2329" s="3"/>
    </row>
    <row r="2330">
      <c r="A2330" s="2">
        <f>IFERROR(__xludf.DUMMYFUNCTION("""COMPUTED_VALUE"""),22820.0)</f>
        <v>22820</v>
      </c>
      <c r="B2330" s="3" t="str">
        <f>IFERROR(__xludf.DUMMYFUNCTION("""COMPUTED_VALUE"""),"429 NORTH BETHESDA RD")</f>
        <v>429 NORTH BETHESDA RD</v>
      </c>
      <c r="C2330" s="3" t="str">
        <f>IFERROR(__xludf.DUMMYFUNCTION("""COMPUTED_VALUE"""),"BALTIMORE")</f>
        <v>BALTIMORE</v>
      </c>
      <c r="D2330" s="3" t="str">
        <f>IFERROR(__xludf.DUMMYFUNCTION("""COMPUTED_VALUE"""),"K0K 1C0")</f>
        <v>K0K 1C0</v>
      </c>
      <c r="E2330" s="3" t="str">
        <f>IFERROR(__xludf.DUMMYFUNCTION("""COMPUTED_VALUE"""),"ed solell")</f>
        <v>ed solell</v>
      </c>
      <c r="F2330" s="3"/>
      <c r="G2330" s="3">
        <f>IFERROR(__xludf.DUMMYFUNCTION("""COMPUTED_VALUE"""),9.053423818E9)</f>
        <v>9053423818</v>
      </c>
      <c r="H2330" s="3"/>
    </row>
    <row r="2331">
      <c r="A2331" s="2">
        <f>IFERROR(__xludf.DUMMYFUNCTION("""COMPUTED_VALUE"""),22821.0)</f>
        <v>22821</v>
      </c>
      <c r="B2331" s="3" t="str">
        <f>IFERROR(__xludf.DUMMYFUNCTION("""COMPUTED_VALUE"""),"441 NORTH BETHESDA RD")</f>
        <v>441 NORTH BETHESDA RD</v>
      </c>
      <c r="C2331" s="3" t="str">
        <f>IFERROR(__xludf.DUMMYFUNCTION("""COMPUTED_VALUE"""),"BALTIMORE")</f>
        <v>BALTIMORE</v>
      </c>
      <c r="D2331" s="3" t="str">
        <f>IFERROR(__xludf.DUMMYFUNCTION("""COMPUTED_VALUE"""),"K0K 1C0")</f>
        <v>K0K 1C0</v>
      </c>
      <c r="E2331" s="3" t="str">
        <f>IFERROR(__xludf.DUMMYFUNCTION("""COMPUTED_VALUE"""),"ron turk")</f>
        <v>ron turk</v>
      </c>
      <c r="F2331" s="3" t="str">
        <f>IFERROR(__xludf.DUMMYFUNCTION("""COMPUTED_VALUE"""),"ron1turk@yahoo.ca")</f>
        <v>ron1turk@yahoo.ca</v>
      </c>
      <c r="G2331" s="3">
        <f>IFERROR(__xludf.DUMMYFUNCTION("""COMPUTED_VALUE"""),9.052692785E9)</f>
        <v>9052692785</v>
      </c>
      <c r="H2331" s="3"/>
    </row>
    <row r="2332">
      <c r="A2332" s="2">
        <f>IFERROR(__xludf.DUMMYFUNCTION("""COMPUTED_VALUE"""),22822.0)</f>
        <v>22822</v>
      </c>
      <c r="B2332" s="3" t="str">
        <f>IFERROR(__xludf.DUMMYFUNCTION("""COMPUTED_VALUE"""),"492 NORTH BETHESDA RD")</f>
        <v>492 NORTH BETHESDA RD</v>
      </c>
      <c r="C2332" s="3" t="str">
        <f>IFERROR(__xludf.DUMMYFUNCTION("""COMPUTED_VALUE"""),"BALTIMORE")</f>
        <v>BALTIMORE</v>
      </c>
      <c r="D2332" s="3" t="str">
        <f>IFERROR(__xludf.DUMMYFUNCTION("""COMPUTED_VALUE"""),"K0K 1C0")</f>
        <v>K0K 1C0</v>
      </c>
      <c r="E2332" s="3"/>
      <c r="F2332" s="3"/>
      <c r="G2332" s="3"/>
      <c r="H2332" s="3"/>
    </row>
    <row r="2333">
      <c r="A2333" s="2">
        <f>IFERROR(__xludf.DUMMYFUNCTION("""COMPUTED_VALUE"""),23964.0)</f>
        <v>23964</v>
      </c>
      <c r="B2333" s="3" t="str">
        <f>IFERROR(__xludf.DUMMYFUNCTION("""COMPUTED_VALUE"""),"494 NORTH BETHESDA RD")</f>
        <v>494 NORTH BETHESDA RD</v>
      </c>
      <c r="C2333" s="3" t="str">
        <f>IFERROR(__xludf.DUMMYFUNCTION("""COMPUTED_VALUE"""),"BALTIMORE")</f>
        <v>BALTIMORE</v>
      </c>
      <c r="D2333" s="3" t="str">
        <f>IFERROR(__xludf.DUMMYFUNCTION("""COMPUTED_VALUE"""),"K0K 1C0")</f>
        <v>K0K 1C0</v>
      </c>
      <c r="E2333" s="3"/>
      <c r="F2333" s="3"/>
      <c r="G2333" s="3"/>
      <c r="H2333" s="3"/>
    </row>
    <row r="2334">
      <c r="A2334" s="2">
        <f>IFERROR(__xludf.DUMMYFUNCTION("""COMPUTED_VALUE"""),22823.0)</f>
        <v>22823</v>
      </c>
      <c r="B2334" s="3" t="str">
        <f>IFERROR(__xludf.DUMMYFUNCTION("""COMPUTED_VALUE"""),"520 NORTH BETHESDA RD")</f>
        <v>520 NORTH BETHESDA RD</v>
      </c>
      <c r="C2334" s="3" t="str">
        <f>IFERROR(__xludf.DUMMYFUNCTION("""COMPUTED_VALUE"""),"BALTIMORE")</f>
        <v>BALTIMORE</v>
      </c>
      <c r="D2334" s="3" t="str">
        <f>IFERROR(__xludf.DUMMYFUNCTION("""COMPUTED_VALUE"""),"K0K 1C0")</f>
        <v>K0K 1C0</v>
      </c>
      <c r="E2334" s="3"/>
      <c r="F2334" s="3"/>
      <c r="G2334" s="3"/>
      <c r="H2334" s="3"/>
    </row>
    <row r="2335">
      <c r="A2335" s="2">
        <f>IFERROR(__xludf.DUMMYFUNCTION("""COMPUTED_VALUE"""),22827.0)</f>
        <v>22827</v>
      </c>
      <c r="B2335" s="3" t="str">
        <f>IFERROR(__xludf.DUMMYFUNCTION("""COMPUTED_VALUE"""),"1154 NORTHUMBERLAND HEIGHTS RD")</f>
        <v>1154 NORTHUMBERLAND HEIGHTS RD</v>
      </c>
      <c r="C2335" s="3" t="str">
        <f>IFERROR(__xludf.DUMMYFUNCTION("""COMPUTED_VALUE"""),"BALTIMORE")</f>
        <v>BALTIMORE</v>
      </c>
      <c r="D2335" s="3" t="str">
        <f>IFERROR(__xludf.DUMMYFUNCTION("""COMPUTED_VALUE"""),"K0K 1C0")</f>
        <v>K0K 1C0</v>
      </c>
      <c r="E2335" s="3"/>
      <c r="F2335" s="3"/>
      <c r="G2335" s="3"/>
      <c r="H2335" s="3"/>
    </row>
    <row r="2336">
      <c r="A2336" s="2">
        <f>IFERROR(__xludf.DUMMYFUNCTION("""COMPUTED_VALUE"""),22828.0)</f>
        <v>22828</v>
      </c>
      <c r="B2336" s="3" t="str">
        <f>IFERROR(__xludf.DUMMYFUNCTION("""COMPUTED_VALUE"""),"1193 NORTHUMBERLAND HEIGHTS RD")</f>
        <v>1193 NORTHUMBERLAND HEIGHTS RD</v>
      </c>
      <c r="C2336" s="3" t="str">
        <f>IFERROR(__xludf.DUMMYFUNCTION("""COMPUTED_VALUE"""),"BALTIMORE")</f>
        <v>BALTIMORE</v>
      </c>
      <c r="D2336" s="3" t="str">
        <f>IFERROR(__xludf.DUMMYFUNCTION("""COMPUTED_VALUE"""),"K0K 1C0")</f>
        <v>K0K 1C0</v>
      </c>
      <c r="E2336" s="3" t="str">
        <f>IFERROR(__xludf.DUMMYFUNCTION("""COMPUTED_VALUE"""),"glen prentice ")</f>
        <v>glen prentice </v>
      </c>
      <c r="F2336" s="3" t="str">
        <f>IFERROR(__xludf.DUMMYFUNCTION("""COMPUTED_VALUE"""),"cgprentice@gmail.com")</f>
        <v>cgprentice@gmail.com</v>
      </c>
      <c r="G2336" s="3">
        <f>IFERROR(__xludf.DUMMYFUNCTION("""COMPUTED_VALUE"""),2.892515241E9)</f>
        <v>2892515241</v>
      </c>
      <c r="H2336" s="3"/>
    </row>
    <row r="2337">
      <c r="A2337" s="2">
        <f>IFERROR(__xludf.DUMMYFUNCTION("""COMPUTED_VALUE"""),23985.0)</f>
        <v>23985</v>
      </c>
      <c r="B2337" s="3" t="str">
        <f>IFERROR(__xludf.DUMMYFUNCTION("""COMPUTED_VALUE"""),"4859 OAK HILLS RD")</f>
        <v>4859 OAK HILLS RD</v>
      </c>
      <c r="C2337" s="3" t="str">
        <f>IFERROR(__xludf.DUMMYFUNCTION("""COMPUTED_VALUE"""),"HAMILTON TOWNSHIP")</f>
        <v>HAMILTON TOWNSHIP</v>
      </c>
      <c r="D2337" s="3" t="str">
        <f>IFERROR(__xludf.DUMMYFUNCTION("""COMPUTED_VALUE"""),"K0L 1E0")</f>
        <v>K0L 1E0</v>
      </c>
      <c r="E2337" s="3"/>
      <c r="F2337" s="3"/>
      <c r="G2337" s="3"/>
      <c r="H2337" s="3"/>
    </row>
    <row r="2338">
      <c r="A2338" s="2">
        <f>IFERROR(__xludf.DUMMYFUNCTION("""COMPUTED_VALUE"""),22829.0)</f>
        <v>22829</v>
      </c>
      <c r="B2338" s="3" t="str">
        <f>IFERROR(__xludf.DUMMYFUNCTION("""COMPUTED_VALUE"""),"4891 OAK HILLS RD")</f>
        <v>4891 OAK HILLS RD</v>
      </c>
      <c r="C2338" s="3" t="str">
        <f>IFERROR(__xludf.DUMMYFUNCTION("""COMPUTED_VALUE"""),"HAMILTON TOWNSHIP")</f>
        <v>HAMILTON TOWNSHIP</v>
      </c>
      <c r="D2338" s="3" t="str">
        <f>IFERROR(__xludf.DUMMYFUNCTION("""COMPUTED_VALUE"""),"K0L 1E0")</f>
        <v>K0L 1E0</v>
      </c>
      <c r="E2338" s="3" t="str">
        <f>IFERROR(__xludf.DUMMYFUNCTION("""COMPUTED_VALUE"""),"Tanya Bowles")</f>
        <v>Tanya Bowles</v>
      </c>
      <c r="F2338" s="3" t="str">
        <f>IFERROR(__xludf.DUMMYFUNCTION("""COMPUTED_VALUE"""),"tanya_rypstra@hotmail.com")</f>
        <v>tanya_rypstra@hotmail.com</v>
      </c>
      <c r="G2338" s="3">
        <f>IFERROR(__xludf.DUMMYFUNCTION("""COMPUTED_VALUE"""),9.052443091E9)</f>
        <v>9052443091</v>
      </c>
      <c r="H2338" s="3"/>
    </row>
    <row r="2339">
      <c r="A2339" s="2">
        <f>IFERROR(__xludf.DUMMYFUNCTION("""COMPUTED_VALUE"""),22830.0)</f>
        <v>22830</v>
      </c>
      <c r="B2339" s="3" t="str">
        <f>IFERROR(__xludf.DUMMYFUNCTION("""COMPUTED_VALUE"""),"4909 OAK HILLS RD")</f>
        <v>4909 OAK HILLS RD</v>
      </c>
      <c r="C2339" s="3" t="str">
        <f>IFERROR(__xludf.DUMMYFUNCTION("""COMPUTED_VALUE"""),"HAMILTON TOWNSHIP")</f>
        <v>HAMILTON TOWNSHIP</v>
      </c>
      <c r="D2339" s="3" t="str">
        <f>IFERROR(__xludf.DUMMYFUNCTION("""COMPUTED_VALUE"""),"K0L 1E0")</f>
        <v>K0L 1E0</v>
      </c>
      <c r="E2339" s="3" t="str">
        <f>IFERROR(__xludf.DUMMYFUNCTION("""COMPUTED_VALUE"""),"Bert Verboort55@gmail.com")</f>
        <v>Bert Verboort55@gmail.com</v>
      </c>
      <c r="F2339" s="3" t="str">
        <f>IFERROR(__xludf.DUMMYFUNCTION("""COMPUTED_VALUE"""),"bert.vervoort55@gmail.com")</f>
        <v>bert.vervoort55@gmail.com</v>
      </c>
      <c r="G2339" s="3"/>
      <c r="H2339" s="3"/>
    </row>
    <row r="2340">
      <c r="A2340" s="2">
        <f>IFERROR(__xludf.DUMMYFUNCTION("""COMPUTED_VALUE"""),22831.0)</f>
        <v>22831</v>
      </c>
      <c r="B2340" s="3" t="str">
        <f>IFERROR(__xludf.DUMMYFUNCTION("""COMPUTED_VALUE"""),"4945 OAK HILLS RD")</f>
        <v>4945 OAK HILLS RD</v>
      </c>
      <c r="C2340" s="3" t="str">
        <f>IFERROR(__xludf.DUMMYFUNCTION("""COMPUTED_VALUE"""),"HAMILTON TOWNSHIP")</f>
        <v>HAMILTON TOWNSHIP</v>
      </c>
      <c r="D2340" s="3" t="str">
        <f>IFERROR(__xludf.DUMMYFUNCTION("""COMPUTED_VALUE"""),"K0L 1E0")</f>
        <v>K0L 1E0</v>
      </c>
      <c r="E2340" s="3"/>
      <c r="F2340" s="3"/>
      <c r="G2340" s="3"/>
      <c r="H2340" s="3"/>
    </row>
    <row r="2341">
      <c r="A2341" s="2">
        <f>IFERROR(__xludf.DUMMYFUNCTION("""COMPUTED_VALUE"""),22832.0)</f>
        <v>22832</v>
      </c>
      <c r="B2341" s="3" t="str">
        <f>IFERROR(__xludf.DUMMYFUNCTION("""COMPUTED_VALUE"""),"5062 OAK HILLS RD")</f>
        <v>5062 OAK HILLS RD</v>
      </c>
      <c r="C2341" s="3" t="str">
        <f>IFERROR(__xludf.DUMMYFUNCTION("""COMPUTED_VALUE"""),"HAMILTON TOWNSHIP")</f>
        <v>HAMILTON TOWNSHIP</v>
      </c>
      <c r="D2341" s="3" t="str">
        <f>IFERROR(__xludf.DUMMYFUNCTION("""COMPUTED_VALUE"""),"K0L 1E0")</f>
        <v>K0L 1E0</v>
      </c>
      <c r="E2341" s="3" t="str">
        <f>IFERROR(__xludf.DUMMYFUNCTION("""COMPUTED_VALUE"""),"Jeff Pretty ")</f>
        <v>Jeff Pretty </v>
      </c>
      <c r="F2341" s="3"/>
      <c r="G2341" s="3"/>
      <c r="H2341" s="3"/>
    </row>
    <row r="2342">
      <c r="A2342" s="2">
        <f>IFERROR(__xludf.DUMMYFUNCTION("""COMPUTED_VALUE"""),21312.0)</f>
        <v>21312</v>
      </c>
      <c r="B2342" s="3" t="str">
        <f>IFERROR(__xludf.DUMMYFUNCTION("""COMPUTED_VALUE"""),"8431 DALE RD")</f>
        <v>8431 DALE RD</v>
      </c>
      <c r="C2342" s="3" t="str">
        <f>IFERROR(__xludf.DUMMYFUNCTION("""COMPUTED_VALUE"""),"COBOURG")</f>
        <v>COBOURG</v>
      </c>
      <c r="D2342" s="3" t="str">
        <f>IFERROR(__xludf.DUMMYFUNCTION("""COMPUTED_VALUE"""),"K9A 0T5")</f>
        <v>K9A 0T5</v>
      </c>
      <c r="E2342" s="3"/>
      <c r="F2342" s="3"/>
      <c r="G2342" s="3"/>
      <c r="H2342" s="3"/>
    </row>
    <row r="2343">
      <c r="A2343" s="2">
        <f>IFERROR(__xludf.DUMMYFUNCTION("""COMPUTED_VALUE"""),21314.0)</f>
        <v>21314</v>
      </c>
      <c r="B2343" s="3" t="str">
        <f>IFERROR(__xludf.DUMMYFUNCTION("""COMPUTED_VALUE"""),"8439 DALE RD")</f>
        <v>8439 DALE RD</v>
      </c>
      <c r="C2343" s="3" t="str">
        <f>IFERROR(__xludf.DUMMYFUNCTION("""COMPUTED_VALUE"""),"COBOURG")</f>
        <v>COBOURG</v>
      </c>
      <c r="D2343" s="3" t="str">
        <f>IFERROR(__xludf.DUMMYFUNCTION("""COMPUTED_VALUE"""),"K9A 0T5")</f>
        <v>K9A 0T5</v>
      </c>
      <c r="E2343" s="3"/>
      <c r="F2343" s="3"/>
      <c r="G2343" s="3"/>
      <c r="H2343" s="3"/>
    </row>
    <row r="2344">
      <c r="A2344" s="2">
        <f>IFERROR(__xludf.DUMMYFUNCTION("""COMPUTED_VALUE"""),21315.0)</f>
        <v>21315</v>
      </c>
      <c r="B2344" s="3" t="str">
        <f>IFERROR(__xludf.DUMMYFUNCTION("""COMPUTED_VALUE"""),"8445 DALE RD")</f>
        <v>8445 DALE RD</v>
      </c>
      <c r="C2344" s="3" t="str">
        <f>IFERROR(__xludf.DUMMYFUNCTION("""COMPUTED_VALUE"""),"COBOURG")</f>
        <v>COBOURG</v>
      </c>
      <c r="D2344" s="3" t="str">
        <f>IFERROR(__xludf.DUMMYFUNCTION("""COMPUTED_VALUE"""),"K9A 0T5")</f>
        <v>K9A 0T5</v>
      </c>
      <c r="E2344" s="3"/>
      <c r="F2344" s="3"/>
      <c r="G2344" s="3"/>
      <c r="H2344" s="3"/>
    </row>
    <row r="2345">
      <c r="A2345" s="2">
        <f>IFERROR(__xludf.DUMMYFUNCTION("""COMPUTED_VALUE"""),21344.0)</f>
        <v>21344</v>
      </c>
      <c r="B2345" s="3" t="str">
        <f>IFERROR(__xludf.DUMMYFUNCTION("""COMPUTED_VALUE"""),"8669 DALE RD")</f>
        <v>8669 DALE RD</v>
      </c>
      <c r="C2345" s="3" t="str">
        <f>IFERROR(__xludf.DUMMYFUNCTION("""COMPUTED_VALUE"""),"COBOURG")</f>
        <v>COBOURG</v>
      </c>
      <c r="D2345" s="3" t="str">
        <f>IFERROR(__xludf.DUMMYFUNCTION("""COMPUTED_VALUE"""),"K9A 0M5")</f>
        <v>K9A 0M5</v>
      </c>
      <c r="E2345" s="3" t="str">
        <f>IFERROR(__xludf.DUMMYFUNCTION("""COMPUTED_VALUE"""),"terri and neil clark")</f>
        <v>terri and neil clark</v>
      </c>
      <c r="F2345" s="3" t="str">
        <f>IFERROR(__xludf.DUMMYFUNCTION("""COMPUTED_VALUE"""),"neil.clarkadl@yahoo.ca")</f>
        <v>neil.clarkadl@yahoo.ca</v>
      </c>
      <c r="G2345" s="3">
        <f>IFERROR(__xludf.DUMMYFUNCTION("""COMPUTED_VALUE"""),9.053760862E9)</f>
        <v>9053760862</v>
      </c>
      <c r="H2345" s="3">
        <f>IFERROR(__xludf.DUMMYFUNCTION("""COMPUTED_VALUE"""),9.053761214E9)</f>
        <v>9053761214</v>
      </c>
    </row>
    <row r="2346">
      <c r="A2346" s="2">
        <f>IFERROR(__xludf.DUMMYFUNCTION("""COMPUTED_VALUE"""),21318.0)</f>
        <v>21318</v>
      </c>
      <c r="B2346" s="3" t="str">
        <f>IFERROR(__xludf.DUMMYFUNCTION("""COMPUTED_VALUE"""),"8456 DALE RD")</f>
        <v>8456 DALE RD</v>
      </c>
      <c r="C2346" s="3" t="str">
        <f>IFERROR(__xludf.DUMMYFUNCTION("""COMPUTED_VALUE"""),"COBOURG")</f>
        <v>COBOURG</v>
      </c>
      <c r="D2346" s="3" t="str">
        <f>IFERROR(__xludf.DUMMYFUNCTION("""COMPUTED_VALUE"""),"K9A 0T4")</f>
        <v>K9A 0T4</v>
      </c>
      <c r="E2346" s="3"/>
      <c r="F2346" s="3"/>
      <c r="G2346" s="3"/>
      <c r="H2346" s="3"/>
    </row>
    <row r="2347">
      <c r="A2347" s="2">
        <f>IFERROR(__xludf.DUMMYFUNCTION("""COMPUTED_VALUE"""),22838.0)</f>
        <v>22838</v>
      </c>
      <c r="B2347" s="3" t="str">
        <f>IFERROR(__xludf.DUMMYFUNCTION("""COMPUTED_VALUE"""),"5098 OAK HILLS RD")</f>
        <v>5098 OAK HILLS RD</v>
      </c>
      <c r="C2347" s="3" t="str">
        <f>IFERROR(__xludf.DUMMYFUNCTION("""COMPUTED_VALUE"""),"HAMILTON TOWNSHIP")</f>
        <v>HAMILTON TOWNSHIP</v>
      </c>
      <c r="D2347" s="3" t="str">
        <f>IFERROR(__xludf.DUMMYFUNCTION("""COMPUTED_VALUE"""),"K0L 1E0")</f>
        <v>K0L 1E0</v>
      </c>
      <c r="E2347" s="3" t="str">
        <f>IFERROR(__xludf.DUMMYFUNCTION("""COMPUTED_VALUE"""),"Greg steaart")</f>
        <v>Greg steaart</v>
      </c>
      <c r="F2347" s="3" t="str">
        <f>IFERROR(__xludf.DUMMYFUNCTION("""COMPUTED_VALUE"""),"gstewart93@icloud.com")</f>
        <v>gstewart93@icloud.com</v>
      </c>
      <c r="G2347" s="3">
        <f>IFERROR(__xludf.DUMMYFUNCTION("""COMPUTED_VALUE"""),9.052612736E9)</f>
        <v>9052612736</v>
      </c>
      <c r="H2347" s="3"/>
    </row>
    <row r="2348">
      <c r="A2348" s="2">
        <f>IFERROR(__xludf.DUMMYFUNCTION("""COMPUTED_VALUE"""),21319.0)</f>
        <v>21319</v>
      </c>
      <c r="B2348" s="3" t="str">
        <f>IFERROR(__xludf.DUMMYFUNCTION("""COMPUTED_VALUE"""),"8461 DALE RD")</f>
        <v>8461 DALE RD</v>
      </c>
      <c r="C2348" s="3" t="str">
        <f>IFERROR(__xludf.DUMMYFUNCTION("""COMPUTED_VALUE"""),"COBOURG")</f>
        <v>COBOURG</v>
      </c>
      <c r="D2348" s="3" t="str">
        <f>IFERROR(__xludf.DUMMYFUNCTION("""COMPUTED_VALUE"""),"K9A 0T5")</f>
        <v>K9A 0T5</v>
      </c>
      <c r="E2348" s="3"/>
      <c r="F2348" s="3"/>
      <c r="G2348" s="3"/>
      <c r="H2348" s="3"/>
    </row>
    <row r="2349">
      <c r="A2349" s="2">
        <f>IFERROR(__xludf.DUMMYFUNCTION("""COMPUTED_VALUE"""),21320.0)</f>
        <v>21320</v>
      </c>
      <c r="B2349" s="3" t="str">
        <f>IFERROR(__xludf.DUMMYFUNCTION("""COMPUTED_VALUE"""),"8467 DALE RD")</f>
        <v>8467 DALE RD</v>
      </c>
      <c r="C2349" s="3" t="str">
        <f>IFERROR(__xludf.DUMMYFUNCTION("""COMPUTED_VALUE"""),"COBOURG")</f>
        <v>COBOURG</v>
      </c>
      <c r="D2349" s="3" t="str">
        <f>IFERROR(__xludf.DUMMYFUNCTION("""COMPUTED_VALUE"""),"K9A 0T5")</f>
        <v>K9A 0T5</v>
      </c>
      <c r="E2349" s="3"/>
      <c r="F2349" s="3"/>
      <c r="G2349" s="3"/>
      <c r="H2349" s="3"/>
    </row>
    <row r="2350">
      <c r="A2350" s="2">
        <f>IFERROR(__xludf.DUMMYFUNCTION("""COMPUTED_VALUE"""),21321.0)</f>
        <v>21321</v>
      </c>
      <c r="B2350" s="3" t="str">
        <f>IFERROR(__xludf.DUMMYFUNCTION("""COMPUTED_VALUE"""),"8472 DALE RD")</f>
        <v>8472 DALE RD</v>
      </c>
      <c r="C2350" s="3" t="str">
        <f>IFERROR(__xludf.DUMMYFUNCTION("""COMPUTED_VALUE"""),"COBOURG")</f>
        <v>COBOURG</v>
      </c>
      <c r="D2350" s="3" t="str">
        <f>IFERROR(__xludf.DUMMYFUNCTION("""COMPUTED_VALUE"""),"K9A 0T4")</f>
        <v>K9A 0T4</v>
      </c>
      <c r="E2350" s="3"/>
      <c r="F2350" s="3"/>
      <c r="G2350" s="3"/>
      <c r="H2350" s="3"/>
    </row>
    <row r="2351">
      <c r="A2351" s="2">
        <f>IFERROR(__xludf.DUMMYFUNCTION("""COMPUTED_VALUE"""),22841.0)</f>
        <v>22841</v>
      </c>
      <c r="B2351" s="3" t="str">
        <f>IFERROR(__xludf.DUMMYFUNCTION("""COMPUTED_VALUE"""),"5115 OAK HILLS RD")</f>
        <v>5115 OAK HILLS RD</v>
      </c>
      <c r="C2351" s="3" t="str">
        <f>IFERROR(__xludf.DUMMYFUNCTION("""COMPUTED_VALUE"""),"HAMILTON TOWNSHIP")</f>
        <v>HAMILTON TOWNSHIP</v>
      </c>
      <c r="D2351" s="3" t="str">
        <f>IFERROR(__xludf.DUMMYFUNCTION("""COMPUTED_VALUE"""),"K0L 1E0")</f>
        <v>K0L 1E0</v>
      </c>
      <c r="E2351" s="3" t="str">
        <f>IFERROR(__xludf.DUMMYFUNCTION("""COMPUTED_VALUE"""),"Darryl Goodall")</f>
        <v>Darryl Goodall</v>
      </c>
      <c r="F2351" s="3" t="str">
        <f>IFERROR(__xludf.DUMMYFUNCTION("""COMPUTED_VALUE"""),"goodall@parttimecfoservices.ca")</f>
        <v>goodall@parttimecfoservices.ca</v>
      </c>
      <c r="G2351" s="3">
        <f>IFERROR(__xludf.DUMMYFUNCTION("""COMPUTED_VALUE"""),9.053763025E9)</f>
        <v>9053763025</v>
      </c>
      <c r="H2351" s="3"/>
    </row>
    <row r="2352">
      <c r="A2352" s="2">
        <f>IFERROR(__xludf.DUMMYFUNCTION("""COMPUTED_VALUE"""),22843.0)</f>
        <v>22843</v>
      </c>
      <c r="B2352" s="3" t="str">
        <f>IFERROR(__xludf.DUMMYFUNCTION("""COMPUTED_VALUE"""),"5125 OAK HILLS RD")</f>
        <v>5125 OAK HILLS RD</v>
      </c>
      <c r="C2352" s="3" t="str">
        <f>IFERROR(__xludf.DUMMYFUNCTION("""COMPUTED_VALUE"""),"HAMILTON TOWNSHIP")</f>
        <v>HAMILTON TOWNSHIP</v>
      </c>
      <c r="D2352" s="3" t="str">
        <f>IFERROR(__xludf.DUMMYFUNCTION("""COMPUTED_VALUE"""),"K0L 1E0")</f>
        <v>K0L 1E0</v>
      </c>
      <c r="E2352" s="3" t="str">
        <f>IFERROR(__xludf.DUMMYFUNCTION("""COMPUTED_VALUE"""),"Steve Ryan")</f>
        <v>Steve Ryan</v>
      </c>
      <c r="F2352" s="3" t="str">
        <f>IFERROR(__xludf.DUMMYFUNCTION("""COMPUTED_VALUE"""),"steve.ryan@hotmail.ca")</f>
        <v>steve.ryan@hotmail.ca</v>
      </c>
      <c r="G2352" s="3">
        <f>IFERROR(__xludf.DUMMYFUNCTION("""COMPUTED_VALUE"""),9.05431347E9)</f>
        <v>9054313470</v>
      </c>
      <c r="H2352" s="3">
        <f>IFERROR(__xludf.DUMMYFUNCTION("""COMPUTED_VALUE"""),6.472130923E9)</f>
        <v>6472130923</v>
      </c>
    </row>
    <row r="2353">
      <c r="A2353" s="2">
        <f>IFERROR(__xludf.DUMMYFUNCTION("""COMPUTED_VALUE"""),22844.0)</f>
        <v>22844</v>
      </c>
      <c r="B2353" s="3" t="str">
        <f>IFERROR(__xludf.DUMMYFUNCTION("""COMPUTED_VALUE"""),"5129 OAK HILLS RD")</f>
        <v>5129 OAK HILLS RD</v>
      </c>
      <c r="C2353" s="3" t="str">
        <f>IFERROR(__xludf.DUMMYFUNCTION("""COMPUTED_VALUE"""),"HAMILTON TOWNSHIP")</f>
        <v>HAMILTON TOWNSHIP</v>
      </c>
      <c r="D2353" s="3" t="str">
        <f>IFERROR(__xludf.DUMMYFUNCTION("""COMPUTED_VALUE"""),"K0L 1E0")</f>
        <v>K0L 1E0</v>
      </c>
      <c r="E2353" s="3" t="str">
        <f>IFERROR(__xludf.DUMMYFUNCTION("""COMPUTED_VALUE"""),"Stuart Nimimo ")</f>
        <v>Stuart Nimimo </v>
      </c>
      <c r="F2353" s="3" t="str">
        <f>IFERROR(__xludf.DUMMYFUNCTION("""COMPUTED_VALUE"""),"bowhunt41@gmail.com")</f>
        <v>bowhunt41@gmail.com</v>
      </c>
      <c r="G2353" s="3"/>
      <c r="H2353" s="3"/>
    </row>
    <row r="2354">
      <c r="A2354" s="2">
        <f>IFERROR(__xludf.DUMMYFUNCTION("""COMPUTED_VALUE"""),22845.0)</f>
        <v>22845</v>
      </c>
      <c r="B2354" s="3" t="str">
        <f>IFERROR(__xludf.DUMMYFUNCTION("""COMPUTED_VALUE"""),"5138 OAK HILLS RD")</f>
        <v>5138 OAK HILLS RD</v>
      </c>
      <c r="C2354" s="3" t="str">
        <f>IFERROR(__xludf.DUMMYFUNCTION("""COMPUTED_VALUE"""),"HAMILTON TOWNSHIP")</f>
        <v>HAMILTON TOWNSHIP</v>
      </c>
      <c r="D2354" s="3" t="str">
        <f>IFERROR(__xludf.DUMMYFUNCTION("""COMPUTED_VALUE"""),"K0L 1E0")</f>
        <v>K0L 1E0</v>
      </c>
      <c r="E2354" s="3" t="str">
        <f>IFERROR(__xludf.DUMMYFUNCTION("""COMPUTED_VALUE"""),"Grant Roberts")</f>
        <v>Grant Roberts</v>
      </c>
      <c r="F2354" s="3" t="str">
        <f>IFERROR(__xludf.DUMMYFUNCTION("""COMPUTED_VALUE"""),"fineleavinghere@gmail.com")</f>
        <v>fineleavinghere@gmail.com</v>
      </c>
      <c r="G2354" s="3"/>
      <c r="H2354" s="3"/>
    </row>
    <row r="2355">
      <c r="A2355" s="2">
        <f>IFERROR(__xludf.DUMMYFUNCTION("""COMPUTED_VALUE"""),22846.0)</f>
        <v>22846</v>
      </c>
      <c r="B2355" s="3" t="str">
        <f>IFERROR(__xludf.DUMMYFUNCTION("""COMPUTED_VALUE"""),"5139 OAK HILLS RD")</f>
        <v>5139 OAK HILLS RD</v>
      </c>
      <c r="C2355" s="3" t="str">
        <f>IFERROR(__xludf.DUMMYFUNCTION("""COMPUTED_VALUE"""),"HAMILTON TOWNSHIP")</f>
        <v>HAMILTON TOWNSHIP</v>
      </c>
      <c r="D2355" s="3" t="str">
        <f>IFERROR(__xludf.DUMMYFUNCTION("""COMPUTED_VALUE"""),"K0L 1E0")</f>
        <v>K0L 1E0</v>
      </c>
      <c r="E2355" s="3" t="str">
        <f>IFERROR(__xludf.DUMMYFUNCTION("""COMPUTED_VALUE"""),"Jacqueline L Foxall")</f>
        <v>Jacqueline L Foxall</v>
      </c>
      <c r="F2355" s="3" t="str">
        <f>IFERROR(__xludf.DUMMYFUNCTION("""COMPUTED_VALUE"""),"jlfoxall47@yahoo.com")</f>
        <v>jlfoxall47@yahoo.com</v>
      </c>
      <c r="G2355" s="3">
        <f>IFERROR(__xludf.DUMMYFUNCTION("""COMPUTED_VALUE"""),9.054411947E9)</f>
        <v>9054411947</v>
      </c>
      <c r="H2355" s="3"/>
    </row>
    <row r="2356">
      <c r="A2356" s="2">
        <f>IFERROR(__xludf.DUMMYFUNCTION("""COMPUTED_VALUE"""),22749.0)</f>
        <v>22749</v>
      </c>
      <c r="B2356" s="3" t="str">
        <f>IFERROR(__xludf.DUMMYFUNCTION("""COMPUTED_VALUE"""),"8790 MINIFIE RD")</f>
        <v>8790 MINIFIE RD</v>
      </c>
      <c r="C2356" s="3" t="str">
        <f>IFERROR(__xludf.DUMMYFUNCTION("""COMPUTED_VALUE"""),"COBOURG")</f>
        <v>COBOURG</v>
      </c>
      <c r="D2356" s="3" t="str">
        <f>IFERROR(__xludf.DUMMYFUNCTION("""COMPUTED_VALUE"""),"K9A 4J9")</f>
        <v>K9A 4J9</v>
      </c>
      <c r="E2356" s="3" t="str">
        <f>IFERROR(__xludf.DUMMYFUNCTION("""COMPUTED_VALUE"""),"William and Mary McDonnell")</f>
        <v>William and Mary McDonnell</v>
      </c>
      <c r="F2356" s="3" t="str">
        <f>IFERROR(__xludf.DUMMYFUNCTION("""COMPUTED_VALUE"""),"williamc.mcdonnell@gmail.com")</f>
        <v>williamc.mcdonnell@gmail.com</v>
      </c>
      <c r="G2356" s="3"/>
      <c r="H2356" s="3"/>
    </row>
    <row r="2357">
      <c r="A2357" s="2">
        <f>IFERROR(__xludf.DUMMYFUNCTION("""COMPUTED_VALUE"""),22848.0)</f>
        <v>22848</v>
      </c>
      <c r="B2357" s="3" t="str">
        <f>IFERROR(__xludf.DUMMYFUNCTION("""COMPUTED_VALUE"""),"5144 OAK HILLS RD")</f>
        <v>5144 OAK HILLS RD</v>
      </c>
      <c r="C2357" s="3" t="str">
        <f>IFERROR(__xludf.DUMMYFUNCTION("""COMPUTED_VALUE"""),"HAMILTON TOWNSHIP")</f>
        <v>HAMILTON TOWNSHIP</v>
      </c>
      <c r="D2357" s="3" t="str">
        <f>IFERROR(__xludf.DUMMYFUNCTION("""COMPUTED_VALUE"""),"K0L 1E0")</f>
        <v>K0L 1E0</v>
      </c>
      <c r="E2357" s="3"/>
      <c r="F2357" s="3"/>
      <c r="G2357" s="3"/>
      <c r="H2357" s="3"/>
    </row>
    <row r="2358">
      <c r="A2358" s="2">
        <f>IFERROR(__xludf.DUMMYFUNCTION("""COMPUTED_VALUE"""),22750.0)</f>
        <v>22750</v>
      </c>
      <c r="B2358" s="3" t="str">
        <f>IFERROR(__xludf.DUMMYFUNCTION("""COMPUTED_VALUE"""),"8793 MINIFIE RD")</f>
        <v>8793 MINIFIE RD</v>
      </c>
      <c r="C2358" s="3" t="str">
        <f>IFERROR(__xludf.DUMMYFUNCTION("""COMPUTED_VALUE"""),"COBOURG")</f>
        <v>COBOURG</v>
      </c>
      <c r="D2358" s="3" t="str">
        <f>IFERROR(__xludf.DUMMYFUNCTION("""COMPUTED_VALUE"""),"K9A 4J9")</f>
        <v>K9A 4J9</v>
      </c>
      <c r="E2358" s="3"/>
      <c r="F2358" s="3"/>
      <c r="G2358" s="3"/>
      <c r="H2358" s="3"/>
    </row>
    <row r="2359">
      <c r="A2359" s="2">
        <f>IFERROR(__xludf.DUMMYFUNCTION("""COMPUTED_VALUE"""),22751.0)</f>
        <v>22751</v>
      </c>
      <c r="B2359" s="3" t="str">
        <f>IFERROR(__xludf.DUMMYFUNCTION("""COMPUTED_VALUE"""),"8813 MINIFIE RD")</f>
        <v>8813 MINIFIE RD</v>
      </c>
      <c r="C2359" s="3" t="str">
        <f>IFERROR(__xludf.DUMMYFUNCTION("""COMPUTED_VALUE"""),"COBOURG")</f>
        <v>COBOURG</v>
      </c>
      <c r="D2359" s="3" t="str">
        <f>IFERROR(__xludf.DUMMYFUNCTION("""COMPUTED_VALUE"""),"K9A 4J9")</f>
        <v>K9A 4J9</v>
      </c>
      <c r="E2359" s="3" t="str">
        <f>IFERROR(__xludf.DUMMYFUNCTION("""COMPUTED_VALUE"""),"JANNETT BARRETT")</f>
        <v>JANNETT BARRETT</v>
      </c>
      <c r="F2359" s="3" t="str">
        <f>IFERROR(__xludf.DUMMYFUNCTION("""COMPUTED_VALUE"""),"countrybabe83@yahoo.com")</f>
        <v>countrybabe83@yahoo.com</v>
      </c>
      <c r="G2359" s="3"/>
      <c r="H2359" s="3"/>
    </row>
    <row r="2360">
      <c r="A2360" s="2">
        <f>IFERROR(__xludf.DUMMYFUNCTION("""COMPUTED_VALUE"""),22851.0)</f>
        <v>22851</v>
      </c>
      <c r="B2360" s="3" t="str">
        <f>IFERROR(__xludf.DUMMYFUNCTION("""COMPUTED_VALUE"""),"5156 OAK HILLS RD")</f>
        <v>5156 OAK HILLS RD</v>
      </c>
      <c r="C2360" s="3" t="str">
        <f>IFERROR(__xludf.DUMMYFUNCTION("""COMPUTED_VALUE"""),"HAMILTON TOWNSHIP")</f>
        <v>HAMILTON TOWNSHIP</v>
      </c>
      <c r="D2360" s="3" t="str">
        <f>IFERROR(__xludf.DUMMYFUNCTION("""COMPUTED_VALUE"""),"K0L 1E0")</f>
        <v>K0L 1E0</v>
      </c>
      <c r="E2360" s="3" t="str">
        <f>IFERROR(__xludf.DUMMYFUNCTION("""COMPUTED_VALUE"""),"Todd Calvin Cook")</f>
        <v>Todd Calvin Cook</v>
      </c>
      <c r="F2360" s="3" t="str">
        <f>IFERROR(__xludf.DUMMYFUNCTION("""COMPUTED_VALUE"""),"cooktc001@gmail.com")</f>
        <v>cooktc001@gmail.com</v>
      </c>
      <c r="G2360" s="3">
        <f>IFERROR(__xludf.DUMMYFUNCTION("""COMPUTED_VALUE"""),7.058757596E9)</f>
        <v>7058757596</v>
      </c>
      <c r="H2360" s="3"/>
    </row>
    <row r="2361">
      <c r="A2361" s="2">
        <f>IFERROR(__xludf.DUMMYFUNCTION("""COMPUTED_VALUE"""),22842.0)</f>
        <v>22842</v>
      </c>
      <c r="B2361" s="3" t="str">
        <f>IFERROR(__xludf.DUMMYFUNCTION("""COMPUTED_VALUE"""),"5119 OAK HILLS RD")</f>
        <v>5119 OAK HILLS RD</v>
      </c>
      <c r="C2361" s="3" t="str">
        <f>IFERROR(__xludf.DUMMYFUNCTION("""COMPUTED_VALUE"""),"HAMILTON TOWNSHIP")</f>
        <v>HAMILTON TOWNSHIP</v>
      </c>
      <c r="D2361" s="3" t="str">
        <f>IFERROR(__xludf.DUMMYFUNCTION("""COMPUTED_VALUE"""),"K0L 1E0")</f>
        <v>K0L 1E0</v>
      </c>
      <c r="E2361" s="3"/>
      <c r="F2361" s="3"/>
      <c r="G2361" s="3"/>
      <c r="H2361" s="3"/>
    </row>
    <row r="2362">
      <c r="A2362" s="2">
        <f>IFERROR(__xludf.DUMMYFUNCTION("""COMPUTED_VALUE"""),22853.0)</f>
        <v>22853</v>
      </c>
      <c r="B2362" s="3" t="str">
        <f>IFERROR(__xludf.DUMMYFUNCTION("""COMPUTED_VALUE"""),"5162 OAK HILLS RD")</f>
        <v>5162 OAK HILLS RD</v>
      </c>
      <c r="C2362" s="3" t="str">
        <f>IFERROR(__xludf.DUMMYFUNCTION("""COMPUTED_VALUE"""),"HAMILTON TOWNSHIP")</f>
        <v>HAMILTON TOWNSHIP</v>
      </c>
      <c r="D2362" s="3" t="str">
        <f>IFERROR(__xludf.DUMMYFUNCTION("""COMPUTED_VALUE"""),"K0L 1E0")</f>
        <v>K0L 1E0</v>
      </c>
      <c r="E2362" s="3" t="str">
        <f>IFERROR(__xludf.DUMMYFUNCTION("""COMPUTED_VALUE"""),"Shawna Story")</f>
        <v>Shawna Story</v>
      </c>
      <c r="F2362" s="3" t="str">
        <f>IFERROR(__xludf.DUMMYFUNCTION("""COMPUTED_VALUE"""),"shawna_story@hotmail.com")</f>
        <v>shawna_story@hotmail.com</v>
      </c>
      <c r="G2362" s="3"/>
      <c r="H2362" s="3"/>
    </row>
    <row r="2363">
      <c r="A2363" s="2">
        <f>IFERROR(__xludf.DUMMYFUNCTION("""COMPUTED_VALUE"""),22854.0)</f>
        <v>22854</v>
      </c>
      <c r="B2363" s="3" t="str">
        <f>IFERROR(__xludf.DUMMYFUNCTION("""COMPUTED_VALUE"""),"5167 OAK HILLS RD")</f>
        <v>5167 OAK HILLS RD</v>
      </c>
      <c r="C2363" s="3" t="str">
        <f>IFERROR(__xludf.DUMMYFUNCTION("""COMPUTED_VALUE"""),"HAMILTON TOWNSHIP")</f>
        <v>HAMILTON TOWNSHIP</v>
      </c>
      <c r="D2363" s="3" t="str">
        <f>IFERROR(__xludf.DUMMYFUNCTION("""COMPUTED_VALUE"""),"K0L 1E0")</f>
        <v>K0L 1E0</v>
      </c>
      <c r="E2363" s="3" t="str">
        <f>IFERROR(__xludf.DUMMYFUNCTION("""COMPUTED_VALUE"""),"Rikardur Lindal")</f>
        <v>Rikardur Lindal</v>
      </c>
      <c r="F2363" s="3" t="str">
        <f>IFERROR(__xludf.DUMMYFUNCTION("""COMPUTED_VALUE"""),"dr.rick@thepurpose.ca")</f>
        <v>dr.rick@thepurpose.ca</v>
      </c>
      <c r="G2363" s="3">
        <f>IFERROR(__xludf.DUMMYFUNCTION("""COMPUTED_VALUE"""),9.053759705E9)</f>
        <v>9053759705</v>
      </c>
      <c r="H2363" s="3"/>
    </row>
    <row r="2364">
      <c r="A2364" s="2">
        <f>IFERROR(__xludf.DUMMYFUNCTION("""COMPUTED_VALUE"""),22856.0)</f>
        <v>22856</v>
      </c>
      <c r="B2364" s="3" t="str">
        <f>IFERROR(__xludf.DUMMYFUNCTION("""COMPUTED_VALUE"""),"7523 OAK RIDGES DR")</f>
        <v>7523 OAK RIDGES DR</v>
      </c>
      <c r="C2364" s="3" t="str">
        <f>IFERROR(__xludf.DUMMYFUNCTION("""COMPUTED_VALUE"""),"HAMILTON TOWNSHIP")</f>
        <v>HAMILTON TOWNSHIP</v>
      </c>
      <c r="D2364" s="3" t="str">
        <f>IFERROR(__xludf.DUMMYFUNCTION("""COMPUTED_VALUE"""),"K0L 1E0")</f>
        <v>K0L 1E0</v>
      </c>
      <c r="E2364" s="3"/>
      <c r="F2364" s="3"/>
      <c r="G2364" s="3"/>
      <c r="H2364" s="3"/>
    </row>
    <row r="2365">
      <c r="A2365" s="2">
        <f>IFERROR(__xludf.DUMMYFUNCTION("""COMPUTED_VALUE"""),22857.0)</f>
        <v>22857</v>
      </c>
      <c r="B2365" s="3" t="str">
        <f>IFERROR(__xludf.DUMMYFUNCTION("""COMPUTED_VALUE"""),"7599 OAK RIDGES DR")</f>
        <v>7599 OAK RIDGES DR</v>
      </c>
      <c r="C2365" s="3" t="str">
        <f>IFERROR(__xludf.DUMMYFUNCTION("""COMPUTED_VALUE"""),"HAMILTON TOWNSHIP")</f>
        <v>HAMILTON TOWNSHIP</v>
      </c>
      <c r="D2365" s="3" t="str">
        <f>IFERROR(__xludf.DUMMYFUNCTION("""COMPUTED_VALUE"""),"K0L 1E0")</f>
        <v>K0L 1E0</v>
      </c>
      <c r="E2365" s="3"/>
      <c r="F2365" s="3"/>
      <c r="G2365" s="3"/>
      <c r="H2365" s="3"/>
    </row>
    <row r="2366">
      <c r="A2366" s="2">
        <f>IFERROR(__xludf.DUMMYFUNCTION("""COMPUTED_VALUE"""),23986.0)</f>
        <v>23986</v>
      </c>
      <c r="B2366" s="3" t="str">
        <f>IFERROR(__xludf.DUMMYFUNCTION("""COMPUTED_VALUE"""),"7650 OAK RIDGES DR")</f>
        <v>7650 OAK RIDGES DR</v>
      </c>
      <c r="C2366" s="3" t="str">
        <f>IFERROR(__xludf.DUMMYFUNCTION("""COMPUTED_VALUE"""),"HAMILTON TOWNSHIP")</f>
        <v>HAMILTON TOWNSHIP</v>
      </c>
      <c r="D2366" s="3" t="str">
        <f>IFERROR(__xludf.DUMMYFUNCTION("""COMPUTED_VALUE"""),"K0L 1E0")</f>
        <v>K0L 1E0</v>
      </c>
      <c r="E2366" s="3"/>
      <c r="F2366" s="3"/>
      <c r="G2366" s="3"/>
      <c r="H2366" s="3"/>
    </row>
    <row r="2367">
      <c r="A2367" s="2">
        <f>IFERROR(__xludf.DUMMYFUNCTION("""COMPUTED_VALUE"""),23927.0)</f>
        <v>23927</v>
      </c>
      <c r="B2367" s="3" t="str">
        <f>IFERROR(__xludf.DUMMYFUNCTION("""COMPUTED_VALUE"""),"7798 OAK RIDGES DR")</f>
        <v>7798 OAK RIDGES DR</v>
      </c>
      <c r="C2367" s="3" t="str">
        <f>IFERROR(__xludf.DUMMYFUNCTION("""COMPUTED_VALUE"""),"HAMILTON TOWNSHIP")</f>
        <v>HAMILTON TOWNSHIP</v>
      </c>
      <c r="D2367" s="3" t="str">
        <f>IFERROR(__xludf.DUMMYFUNCTION("""COMPUTED_VALUE"""),"K0L 1E0")</f>
        <v>K0L 1E0</v>
      </c>
      <c r="E2367" s="3" t="str">
        <f>IFERROR(__xludf.DUMMYFUNCTION("""COMPUTED_VALUE"""),"david fice ")</f>
        <v>david fice </v>
      </c>
      <c r="F2367" s="3"/>
      <c r="G2367" s="3">
        <f>IFERROR(__xludf.DUMMYFUNCTION("""COMPUTED_VALUE"""),7.053284787E9)</f>
        <v>7053284787</v>
      </c>
      <c r="H2367" s="3"/>
    </row>
    <row r="2368">
      <c r="A2368" s="2">
        <f>IFERROR(__xludf.DUMMYFUNCTION("""COMPUTED_VALUE"""),23968.0)</f>
        <v>23968</v>
      </c>
      <c r="B2368" s="3" t="str">
        <f>IFERROR(__xludf.DUMMYFUNCTION("""COMPUTED_VALUE"""),"7844 OAK RIDGES DR")</f>
        <v>7844 OAK RIDGES DR</v>
      </c>
      <c r="C2368" s="3" t="str">
        <f>IFERROR(__xludf.DUMMYFUNCTION("""COMPUTED_VALUE"""),"HAMILTON TOWNSHIP")</f>
        <v>HAMILTON TOWNSHIP</v>
      </c>
      <c r="D2368" s="3" t="str">
        <f>IFERROR(__xludf.DUMMYFUNCTION("""COMPUTED_VALUE"""),"K0L 1E0")</f>
        <v>K0L 1E0</v>
      </c>
      <c r="E2368" s="3"/>
      <c r="F2368" s="3"/>
      <c r="G2368" s="3"/>
      <c r="H2368" s="3"/>
    </row>
    <row r="2369">
      <c r="A2369" s="2">
        <f>IFERROR(__xludf.DUMMYFUNCTION("""COMPUTED_VALUE"""),23929.0)</f>
        <v>23929</v>
      </c>
      <c r="B2369" s="3" t="str">
        <f>IFERROR(__xludf.DUMMYFUNCTION("""COMPUTED_VALUE"""),"7863 OAK RIDGES DR")</f>
        <v>7863 OAK RIDGES DR</v>
      </c>
      <c r="C2369" s="3" t="str">
        <f>IFERROR(__xludf.DUMMYFUNCTION("""COMPUTED_VALUE"""),"HAMILTON TOWNSHIP")</f>
        <v>HAMILTON TOWNSHIP</v>
      </c>
      <c r="D2369" s="3" t="str">
        <f>IFERROR(__xludf.DUMMYFUNCTION("""COMPUTED_VALUE"""),"K0L 1E0")</f>
        <v>K0L 1E0</v>
      </c>
      <c r="E2369" s="3"/>
      <c r="F2369" s="3"/>
      <c r="G2369" s="3"/>
      <c r="H2369" s="3"/>
    </row>
    <row r="2370">
      <c r="A2370" s="2">
        <f>IFERROR(__xludf.DUMMYFUNCTION("""COMPUTED_VALUE"""),23932.0)</f>
        <v>23932</v>
      </c>
      <c r="B2370" s="3" t="str">
        <f>IFERROR(__xludf.DUMMYFUNCTION("""COMPUTED_VALUE"""),"8054 OAK RIDGES DR")</f>
        <v>8054 OAK RIDGES DR</v>
      </c>
      <c r="C2370" s="3" t="str">
        <f>IFERROR(__xludf.DUMMYFUNCTION("""COMPUTED_VALUE"""),"GORES LANDING")</f>
        <v>GORES LANDING</v>
      </c>
      <c r="D2370" s="3" t="str">
        <f>IFERROR(__xludf.DUMMYFUNCTION("""COMPUTED_VALUE"""),"K0K 2E0")</f>
        <v>K0K 2E0</v>
      </c>
      <c r="E2370" s="3"/>
      <c r="F2370" s="3"/>
      <c r="G2370" s="3"/>
      <c r="H2370" s="3"/>
    </row>
    <row r="2371">
      <c r="A2371" s="2">
        <f>IFERROR(__xludf.DUMMYFUNCTION("""COMPUTED_VALUE"""),23979.0)</f>
        <v>23979</v>
      </c>
      <c r="B2371" s="3" t="str">
        <f>IFERROR(__xludf.DUMMYFUNCTION("""COMPUTED_VALUE"""),"8309 OAK RIDGES DR")</f>
        <v>8309 OAK RIDGES DR</v>
      </c>
      <c r="C2371" s="3" t="str">
        <f>IFERROR(__xludf.DUMMYFUNCTION("""COMPUTED_VALUE"""),"HAMILTON TOWNSHIP")</f>
        <v>HAMILTON TOWNSHIP</v>
      </c>
      <c r="D2371" s="3" t="str">
        <f>IFERROR(__xludf.DUMMYFUNCTION("""COMPUTED_VALUE"""),"K0K 2E0")</f>
        <v>K0K 2E0</v>
      </c>
      <c r="E2371" s="3"/>
      <c r="F2371" s="3"/>
      <c r="G2371" s="3"/>
      <c r="H2371" s="3"/>
    </row>
    <row r="2372">
      <c r="A2372" s="2">
        <f>IFERROR(__xludf.DUMMYFUNCTION("""COMPUTED_VALUE"""),23934.0)</f>
        <v>23934</v>
      </c>
      <c r="B2372" s="3" t="str">
        <f>IFERROR(__xludf.DUMMYFUNCTION("""COMPUTED_VALUE"""),"8382 OAK RIDGES DR")</f>
        <v>8382 OAK RIDGES DR</v>
      </c>
      <c r="C2372" s="3" t="str">
        <f>IFERROR(__xludf.DUMMYFUNCTION("""COMPUTED_VALUE"""),"GORES LANDING")</f>
        <v>GORES LANDING</v>
      </c>
      <c r="D2372" s="3" t="str">
        <f>IFERROR(__xludf.DUMMYFUNCTION("""COMPUTED_VALUE"""),"K0K 2E0")</f>
        <v>K0K 2E0</v>
      </c>
      <c r="E2372" s="3" t="str">
        <f>IFERROR(__xludf.DUMMYFUNCTION("""COMPUTED_VALUE"""),"rapfy lozano")</f>
        <v>rapfy lozano</v>
      </c>
      <c r="F2372" s="3" t="str">
        <f>IFERROR(__xludf.DUMMYFUNCTION("""COMPUTED_VALUE"""),"rapfylozano@gmail.com")</f>
        <v>rapfylozano@gmail.com</v>
      </c>
      <c r="G2372" s="3">
        <f>IFERROR(__xludf.DUMMYFUNCTION("""COMPUTED_VALUE"""),6.476071669E9)</f>
        <v>6476071669</v>
      </c>
      <c r="H2372" s="3">
        <f>IFERROR(__xludf.DUMMYFUNCTION("""COMPUTED_VALUE"""),4.167573025E9)</f>
        <v>4167573025</v>
      </c>
    </row>
    <row r="2373">
      <c r="A2373" s="2">
        <f>IFERROR(__xludf.DUMMYFUNCTION("""COMPUTED_VALUE"""),23938.0)</f>
        <v>23938</v>
      </c>
      <c r="B2373" s="3" t="str">
        <f>IFERROR(__xludf.DUMMYFUNCTION("""COMPUTED_VALUE"""),"8660 OAK RIDGES DR")</f>
        <v>8660 OAK RIDGES DR</v>
      </c>
      <c r="C2373" s="3" t="str">
        <f>IFERROR(__xludf.DUMMYFUNCTION("""COMPUTED_VALUE"""),"GORES LANDING")</f>
        <v>GORES LANDING</v>
      </c>
      <c r="D2373" s="3" t="str">
        <f>IFERROR(__xludf.DUMMYFUNCTION("""COMPUTED_VALUE"""),"K0K 2E0")</f>
        <v>K0K 2E0</v>
      </c>
      <c r="E2373" s="3" t="str">
        <f>IFERROR(__xludf.DUMMYFUNCTION("""COMPUTED_VALUE"""),"Ashley Paluch")</f>
        <v>Ashley Paluch</v>
      </c>
      <c r="F2373" s="3" t="str">
        <f>IFERROR(__xludf.DUMMYFUNCTION("""COMPUTED_VALUE"""),"ashleypaluch@outlook.com")</f>
        <v>ashleypaluch@outlook.com</v>
      </c>
      <c r="G2373" s="3">
        <f>IFERROR(__xludf.DUMMYFUNCTION("""COMPUTED_VALUE"""),9.053964113E9)</f>
        <v>9053964113</v>
      </c>
      <c r="H2373" s="3">
        <f>IFERROR(__xludf.DUMMYFUNCTION("""COMPUTED_VALUE"""),9.052694681E9)</f>
        <v>9052694681</v>
      </c>
    </row>
    <row r="2374">
      <c r="A2374" s="2">
        <f>IFERROR(__xludf.DUMMYFUNCTION("""COMPUTED_VALUE"""),22858.0)</f>
        <v>22858</v>
      </c>
      <c r="B2374" s="3" t="str">
        <f>IFERROR(__xludf.DUMMYFUNCTION("""COMPUTED_VALUE"""),"8670 OAK RIDGES DR")</f>
        <v>8670 OAK RIDGES DR</v>
      </c>
      <c r="C2374" s="3" t="str">
        <f>IFERROR(__xludf.DUMMYFUNCTION("""COMPUTED_VALUE"""),"GORES LANDING")</f>
        <v>GORES LANDING</v>
      </c>
      <c r="D2374" s="3" t="str">
        <f>IFERROR(__xludf.DUMMYFUNCTION("""COMPUTED_VALUE"""),"K0K 2E0")</f>
        <v>K0K 2E0</v>
      </c>
      <c r="E2374" s="3" t="str">
        <f>IFERROR(__xludf.DUMMYFUNCTION("""COMPUTED_VALUE"""),"Daniel Fyfe")</f>
        <v>Daniel Fyfe</v>
      </c>
      <c r="F2374" s="3" t="str">
        <f>IFERROR(__xludf.DUMMYFUNCTION("""COMPUTED_VALUE"""),"danfyfe123@gmail.com")</f>
        <v>danfyfe123@gmail.com</v>
      </c>
      <c r="G2374" s="3">
        <f>IFERROR(__xludf.DUMMYFUNCTION("""COMPUTED_VALUE"""),9.053968271E9)</f>
        <v>9053968271</v>
      </c>
      <c r="H2374" s="3"/>
    </row>
    <row r="2375">
      <c r="A2375" s="2">
        <f>IFERROR(__xludf.DUMMYFUNCTION("""COMPUTED_VALUE"""),22859.0)</f>
        <v>22859</v>
      </c>
      <c r="B2375" s="3" t="str">
        <f>IFERROR(__xludf.DUMMYFUNCTION("""COMPUTED_VALUE"""),"8770 OAK RIDGES DR")</f>
        <v>8770 OAK RIDGES DR</v>
      </c>
      <c r="C2375" s="3" t="str">
        <f>IFERROR(__xludf.DUMMYFUNCTION("""COMPUTED_VALUE"""),"GORES LANDING")</f>
        <v>GORES LANDING</v>
      </c>
      <c r="D2375" s="3" t="str">
        <f>IFERROR(__xludf.DUMMYFUNCTION("""COMPUTED_VALUE"""),"K0K 2E0")</f>
        <v>K0K 2E0</v>
      </c>
      <c r="E2375" s="3" t="str">
        <f>IFERROR(__xludf.DUMMYFUNCTION("""COMPUTED_VALUE"""),"jim beam")</f>
        <v>jim beam</v>
      </c>
      <c r="F2375" s="3" t="str">
        <f>IFERROR(__xludf.DUMMYFUNCTION("""COMPUTED_VALUE"""),"liveseycrt@gmail.com")</f>
        <v>liveseycrt@gmail.com</v>
      </c>
      <c r="G2375" s="3">
        <f>IFERROR(__xludf.DUMMYFUNCTION("""COMPUTED_VALUE"""),9.057449766E9)</f>
        <v>9057449766</v>
      </c>
      <c r="H2375" s="3">
        <f>IFERROR(__xludf.DUMMYFUNCTION("""COMPUTED_VALUE"""),4.162755558E9)</f>
        <v>4162755558</v>
      </c>
    </row>
    <row r="2376">
      <c r="A2376" s="2">
        <f>IFERROR(__xludf.DUMMYFUNCTION("""COMPUTED_VALUE"""),22860.0)</f>
        <v>22860</v>
      </c>
      <c r="B2376" s="3" t="str">
        <f>IFERROR(__xludf.DUMMYFUNCTION("""COMPUTED_VALUE"""),"8780 OAK RIDGES DR")</f>
        <v>8780 OAK RIDGES DR</v>
      </c>
      <c r="C2376" s="3" t="str">
        <f>IFERROR(__xludf.DUMMYFUNCTION("""COMPUTED_VALUE"""),"GORES LANDING")</f>
        <v>GORES LANDING</v>
      </c>
      <c r="D2376" s="3" t="str">
        <f>IFERROR(__xludf.DUMMYFUNCTION("""COMPUTED_VALUE"""),"K0K 2E0")</f>
        <v>K0K 2E0</v>
      </c>
      <c r="E2376" s="3" t="str">
        <f>IFERROR(__xludf.DUMMYFUNCTION("""COMPUTED_VALUE"""),"Aaron Wessels")</f>
        <v>Aaron Wessels</v>
      </c>
      <c r="F2376" s="3" t="str">
        <f>IFERROR(__xludf.DUMMYFUNCTION("""COMPUTED_VALUE"""),"aarontwessels@gmail.com")</f>
        <v>aarontwessels@gmail.com</v>
      </c>
      <c r="G2376" s="3">
        <f>IFERROR(__xludf.DUMMYFUNCTION("""COMPUTED_VALUE"""),9.05925297E9)</f>
        <v>9059252970</v>
      </c>
      <c r="H2376" s="3"/>
    </row>
    <row r="2377">
      <c r="A2377" s="2">
        <f>IFERROR(__xludf.DUMMYFUNCTION("""COMPUTED_VALUE"""),22861.0)</f>
        <v>22861</v>
      </c>
      <c r="B2377" s="3" t="str">
        <f>IFERROR(__xludf.DUMMYFUNCTION("""COMPUTED_VALUE"""),"8792 OAK RIDGES DR")</f>
        <v>8792 OAK RIDGES DR</v>
      </c>
      <c r="C2377" s="3" t="str">
        <f>IFERROR(__xludf.DUMMYFUNCTION("""COMPUTED_VALUE"""),"GORES LANDING")</f>
        <v>GORES LANDING</v>
      </c>
      <c r="D2377" s="3" t="str">
        <f>IFERROR(__xludf.DUMMYFUNCTION("""COMPUTED_VALUE"""),"K0K 2E0")</f>
        <v>K0K 2E0</v>
      </c>
      <c r="E2377" s="3" t="str">
        <f>IFERROR(__xludf.DUMMYFUNCTION("""COMPUTED_VALUE"""),"Hugh Macklin")</f>
        <v>Hugh Macklin</v>
      </c>
      <c r="F2377" s="3" t="str">
        <f>IFERROR(__xludf.DUMMYFUNCTION("""COMPUTED_VALUE"""),"hugh@linmac.ca")</f>
        <v>hugh@linmac.ca</v>
      </c>
      <c r="G2377" s="3">
        <f>IFERROR(__xludf.DUMMYFUNCTION("""COMPUTED_VALUE"""),2.892514E9)</f>
        <v>2892514000</v>
      </c>
      <c r="H2377" s="3"/>
    </row>
    <row r="2378">
      <c r="A2378" s="2">
        <f>IFERROR(__xludf.DUMMYFUNCTION("""COMPUTED_VALUE"""),22862.0)</f>
        <v>22862</v>
      </c>
      <c r="B2378" s="3" t="str">
        <f>IFERROR(__xludf.DUMMYFUNCTION("""COMPUTED_VALUE"""),"8972 OAK RIDGES DR")</f>
        <v>8972 OAK RIDGES DR</v>
      </c>
      <c r="C2378" s="3" t="str">
        <f>IFERROR(__xludf.DUMMYFUNCTION("""COMPUTED_VALUE"""),"GORES LANDING")</f>
        <v>GORES LANDING</v>
      </c>
      <c r="D2378" s="3" t="str">
        <f>IFERROR(__xludf.DUMMYFUNCTION("""COMPUTED_VALUE"""),"K0K 2E0")</f>
        <v>K0K 2E0</v>
      </c>
      <c r="E2378" s="3" t="str">
        <f>IFERROR(__xludf.DUMMYFUNCTION("""COMPUTED_VALUE"""),"Penny &amp; Edward Deygoo")</f>
        <v>Penny &amp; Edward Deygoo</v>
      </c>
      <c r="F2378" s="3" t="str">
        <f>IFERROR(__xludf.DUMMYFUNCTION("""COMPUTED_VALUE"""),"brussels.1010@hotmail.com")</f>
        <v>brussels.1010@hotmail.com</v>
      </c>
      <c r="G2378" s="3">
        <f>IFERROR(__xludf.DUMMYFUNCTION("""COMPUTED_VALUE"""),4.374318126E9)</f>
        <v>4374318126</v>
      </c>
      <c r="H2378" s="3">
        <f>IFERROR(__xludf.DUMMYFUNCTION("""COMPUTED_VALUE"""),9.052439906E9)</f>
        <v>9052439906</v>
      </c>
    </row>
    <row r="2379">
      <c r="A2379" s="2">
        <f>IFERROR(__xludf.DUMMYFUNCTION("""COMPUTED_VALUE"""),22863.0)</f>
        <v>22863</v>
      </c>
      <c r="B2379" s="3" t="str">
        <f>IFERROR(__xludf.DUMMYFUNCTION("""COMPUTED_VALUE"""),"9067 OAK RIDGES DR")</f>
        <v>9067 OAK RIDGES DR</v>
      </c>
      <c r="C2379" s="3" t="str">
        <f>IFERROR(__xludf.DUMMYFUNCTION("""COMPUTED_VALUE"""),"GORES LANDING")</f>
        <v>GORES LANDING</v>
      </c>
      <c r="D2379" s="3" t="str">
        <f>IFERROR(__xludf.DUMMYFUNCTION("""COMPUTED_VALUE"""),"K0K 2E0")</f>
        <v>K0K 2E0</v>
      </c>
      <c r="E2379" s="3" t="str">
        <f>IFERROR(__xludf.DUMMYFUNCTION("""COMPUTED_VALUE"""),"john and phyllis tinney ")</f>
        <v>john and phyllis tinney </v>
      </c>
      <c r="F2379" s="3" t="str">
        <f>IFERROR(__xludf.DUMMYFUNCTION("""COMPUTED_VALUE"""),"pjtinney1@hotmail.com")</f>
        <v>pjtinney1@hotmail.com</v>
      </c>
      <c r="G2379" s="3">
        <f>IFERROR(__xludf.DUMMYFUNCTION("""COMPUTED_VALUE"""),9.053425636E9)</f>
        <v>9053425636</v>
      </c>
      <c r="H2379" s="3"/>
    </row>
    <row r="2380">
      <c r="A2380" s="2">
        <f>IFERROR(__xludf.DUMMYFUNCTION("""COMPUTED_VALUE"""),22864.0)</f>
        <v>22864</v>
      </c>
      <c r="B2380" s="3" t="str">
        <f>IFERROR(__xludf.DUMMYFUNCTION("""COMPUTED_VALUE"""),"9214 OAK RIDGES DR")</f>
        <v>9214 OAK RIDGES DR</v>
      </c>
      <c r="C2380" s="3" t="str">
        <f>IFERROR(__xludf.DUMMYFUNCTION("""COMPUTED_VALUE"""),"GORES LANDING")</f>
        <v>GORES LANDING</v>
      </c>
      <c r="D2380" s="3" t="str">
        <f>IFERROR(__xludf.DUMMYFUNCTION("""COMPUTED_VALUE"""),"K0K 2E0")</f>
        <v>K0K 2E0</v>
      </c>
      <c r="E2380" s="3"/>
      <c r="F2380" s="3"/>
      <c r="G2380" s="3"/>
      <c r="H2380" s="3"/>
    </row>
    <row r="2381">
      <c r="A2381" s="2">
        <f>IFERROR(__xludf.DUMMYFUNCTION("""COMPUTED_VALUE"""),22865.0)</f>
        <v>22865</v>
      </c>
      <c r="B2381" s="3" t="str">
        <f>IFERROR(__xludf.DUMMYFUNCTION("""COMPUTED_VALUE"""),"9237 OAK RIDGES DR")</f>
        <v>9237 OAK RIDGES DR</v>
      </c>
      <c r="C2381" s="3" t="str">
        <f>IFERROR(__xludf.DUMMYFUNCTION("""COMPUTED_VALUE"""),"GORES LANDING")</f>
        <v>GORES LANDING</v>
      </c>
      <c r="D2381" s="3" t="str">
        <f>IFERROR(__xludf.DUMMYFUNCTION("""COMPUTED_VALUE"""),"K0K 2E0")</f>
        <v>K0K 2E0</v>
      </c>
      <c r="E2381" s="3" t="str">
        <f>IFERROR(__xludf.DUMMYFUNCTION("""COMPUTED_VALUE"""),"paul gollespie")</f>
        <v>paul gollespie</v>
      </c>
      <c r="F2381" s="3" t="str">
        <f>IFERROR(__xludf.DUMMYFUNCTION("""COMPUTED_VALUE"""),"pgollespie639@gmail.com")</f>
        <v>pgollespie639@gmail.com</v>
      </c>
      <c r="G2381" s="3">
        <f>IFERROR(__xludf.DUMMYFUNCTION("""COMPUTED_VALUE"""),9.05376203E9)</f>
        <v>9053762030</v>
      </c>
      <c r="H2381" s="3"/>
    </row>
    <row r="2382">
      <c r="A2382" s="2">
        <f>IFERROR(__xludf.DUMMYFUNCTION("""COMPUTED_VALUE"""),22866.0)</f>
        <v>22866</v>
      </c>
      <c r="B2382" s="3" t="str">
        <f>IFERROR(__xludf.DUMMYFUNCTION("""COMPUTED_VALUE"""),"9360 OAK RIDGES DR")</f>
        <v>9360 OAK RIDGES DR</v>
      </c>
      <c r="C2382" s="3" t="str">
        <f>IFERROR(__xludf.DUMMYFUNCTION("""COMPUTED_VALUE"""),"GORES LANDING")</f>
        <v>GORES LANDING</v>
      </c>
      <c r="D2382" s="3" t="str">
        <f>IFERROR(__xludf.DUMMYFUNCTION("""COMPUTED_VALUE"""),"K0K 2E0")</f>
        <v>K0K 2E0</v>
      </c>
      <c r="E2382" s="3" t="str">
        <f>IFERROR(__xludf.DUMMYFUNCTION("""COMPUTED_VALUE"""),"danette&amp;francis Duquette")</f>
        <v>danette&amp;francis Duquette</v>
      </c>
      <c r="F2382" s="3" t="str">
        <f>IFERROR(__xludf.DUMMYFUNCTION("""COMPUTED_VALUE"""),"dustynetto@gmail.com")</f>
        <v>dustynetto@gmail.com</v>
      </c>
      <c r="G2382" s="3">
        <f>IFERROR(__xludf.DUMMYFUNCTION("""COMPUTED_VALUE"""),9.053421026E9)</f>
        <v>9053421026</v>
      </c>
      <c r="H2382" s="3">
        <f>IFERROR(__xludf.DUMMYFUNCTION("""COMPUTED_VALUE"""),9.05396969E9)</f>
        <v>9053969690</v>
      </c>
    </row>
    <row r="2383">
      <c r="A2383" s="2">
        <f>IFERROR(__xludf.DUMMYFUNCTION("""COMPUTED_VALUE"""),22867.0)</f>
        <v>22867</v>
      </c>
      <c r="B2383" s="3" t="str">
        <f>IFERROR(__xludf.DUMMYFUNCTION("""COMPUTED_VALUE"""),"9680 OAK RIDGES DR")</f>
        <v>9680 OAK RIDGES DR</v>
      </c>
      <c r="C2383" s="3" t="str">
        <f>IFERROR(__xludf.DUMMYFUNCTION("""COMPUTED_VALUE"""),"BALTIMORE")</f>
        <v>BALTIMORE</v>
      </c>
      <c r="D2383" s="3" t="str">
        <f>IFERROR(__xludf.DUMMYFUNCTION("""COMPUTED_VALUE"""),"K0K 1C0")</f>
        <v>K0K 1C0</v>
      </c>
      <c r="E2383" s="3" t="str">
        <f>IFERROR(__xludf.DUMMYFUNCTION("""COMPUTED_VALUE"""),"Jeff Lorne")</f>
        <v>Jeff Lorne</v>
      </c>
      <c r="F2383" s="3" t="str">
        <f>IFERROR(__xludf.DUMMYFUNCTION("""COMPUTED_VALUE"""),"jeff_lorne@yahoo.ca")</f>
        <v>jeff_lorne@yahoo.ca</v>
      </c>
      <c r="G2383" s="3">
        <f>IFERROR(__xludf.DUMMYFUNCTION("""COMPUTED_VALUE"""),7.059577115E9)</f>
        <v>7059577115</v>
      </c>
      <c r="H2383" s="3"/>
    </row>
    <row r="2384">
      <c r="A2384" s="2">
        <f>IFERROR(__xludf.DUMMYFUNCTION("""COMPUTED_VALUE"""),22868.0)</f>
        <v>22868</v>
      </c>
      <c r="B2384" s="3" t="str">
        <f>IFERROR(__xludf.DUMMYFUNCTION("""COMPUTED_VALUE"""),"9700 OAK RIDGES DR")</f>
        <v>9700 OAK RIDGES DR</v>
      </c>
      <c r="C2384" s="3" t="str">
        <f>IFERROR(__xludf.DUMMYFUNCTION("""COMPUTED_VALUE"""),"BALTIMORE")</f>
        <v>BALTIMORE</v>
      </c>
      <c r="D2384" s="3" t="str">
        <f>IFERROR(__xludf.DUMMYFUNCTION("""COMPUTED_VALUE"""),"K0K 1C0")</f>
        <v>K0K 1C0</v>
      </c>
      <c r="E2384" s="3" t="str">
        <f>IFERROR(__xludf.DUMMYFUNCTION("""COMPUTED_VALUE"""),"Marc Studhalter")</f>
        <v>Marc Studhalter</v>
      </c>
      <c r="F2384" s="3" t="str">
        <f>IFERROR(__xludf.DUMMYFUNCTION("""COMPUTED_VALUE"""),"marcstudhalter@hotmail.com")</f>
        <v>marcstudhalter@hotmail.com</v>
      </c>
      <c r="G2384" s="3"/>
      <c r="H2384" s="3"/>
    </row>
    <row r="2385">
      <c r="A2385" s="2">
        <f>IFERROR(__xludf.DUMMYFUNCTION("""COMPUTED_VALUE"""),22869.0)</f>
        <v>22869</v>
      </c>
      <c r="B2385" s="3" t="str">
        <f>IFERROR(__xludf.DUMMYFUNCTION("""COMPUTED_VALUE"""),"9710 OAK RIDGES DR")</f>
        <v>9710 OAK RIDGES DR</v>
      </c>
      <c r="C2385" s="3" t="str">
        <f>IFERROR(__xludf.DUMMYFUNCTION("""COMPUTED_VALUE"""),"BALTIMORE")</f>
        <v>BALTIMORE</v>
      </c>
      <c r="D2385" s="3" t="str">
        <f>IFERROR(__xludf.DUMMYFUNCTION("""COMPUTED_VALUE"""),"K0K 1C0")</f>
        <v>K0K 1C0</v>
      </c>
      <c r="E2385" s="3"/>
      <c r="F2385" s="3"/>
      <c r="G2385" s="3"/>
      <c r="H2385" s="3"/>
    </row>
    <row r="2386">
      <c r="A2386" s="2">
        <f>IFERROR(__xludf.DUMMYFUNCTION("""COMPUTED_VALUE"""),22870.0)</f>
        <v>22870</v>
      </c>
      <c r="B2386" s="3" t="str">
        <f>IFERROR(__xludf.DUMMYFUNCTION("""COMPUTED_VALUE"""),"9712 OAK RIDGES DR")</f>
        <v>9712 OAK RIDGES DR</v>
      </c>
      <c r="C2386" s="3" t="str">
        <f>IFERROR(__xludf.DUMMYFUNCTION("""COMPUTED_VALUE"""),"BALTIMORE")</f>
        <v>BALTIMORE</v>
      </c>
      <c r="D2386" s="3" t="str">
        <f>IFERROR(__xludf.DUMMYFUNCTION("""COMPUTED_VALUE"""),"K0K 1C0")</f>
        <v>K0K 1C0</v>
      </c>
      <c r="E2386" s="3"/>
      <c r="F2386" s="3"/>
      <c r="G2386" s="3"/>
      <c r="H2386" s="3"/>
    </row>
    <row r="2387">
      <c r="A2387" s="2">
        <f>IFERROR(__xludf.DUMMYFUNCTION("""COMPUTED_VALUE"""),22871.0)</f>
        <v>22871</v>
      </c>
      <c r="B2387" s="3" t="str">
        <f>IFERROR(__xludf.DUMMYFUNCTION("""COMPUTED_VALUE"""),"9802 OAK RIDGES DR")</f>
        <v>9802 OAK RIDGES DR</v>
      </c>
      <c r="C2387" s="3" t="str">
        <f>IFERROR(__xludf.DUMMYFUNCTION("""COMPUTED_VALUE"""),"BALTIMORE")</f>
        <v>BALTIMORE</v>
      </c>
      <c r="D2387" s="3" t="str">
        <f>IFERROR(__xludf.DUMMYFUNCTION("""COMPUTED_VALUE"""),"K0K 1C0")</f>
        <v>K0K 1C0</v>
      </c>
      <c r="E2387" s="3"/>
      <c r="F2387" s="3"/>
      <c r="G2387" s="3"/>
      <c r="H2387" s="3"/>
    </row>
    <row r="2388">
      <c r="A2388" s="2">
        <f>IFERROR(__xludf.DUMMYFUNCTION("""COMPUTED_VALUE"""),22872.0)</f>
        <v>22872</v>
      </c>
      <c r="B2388" s="3" t="str">
        <f>IFERROR(__xludf.DUMMYFUNCTION("""COMPUTED_VALUE"""),"9828 OAK RIDGES DR")</f>
        <v>9828 OAK RIDGES DR</v>
      </c>
      <c r="C2388" s="3" t="str">
        <f>IFERROR(__xludf.DUMMYFUNCTION("""COMPUTED_VALUE"""),"BALTIMORE")</f>
        <v>BALTIMORE</v>
      </c>
      <c r="D2388" s="3" t="str">
        <f>IFERROR(__xludf.DUMMYFUNCTION("""COMPUTED_VALUE"""),"K0K 1C0")</f>
        <v>K0K 1C0</v>
      </c>
      <c r="E2388" s="3" t="str">
        <f>IFERROR(__xludf.DUMMYFUNCTION("""COMPUTED_VALUE"""),"Steve Denvir")</f>
        <v>Steve Denvir</v>
      </c>
      <c r="F2388" s="3" t="str">
        <f>IFERROR(__xludf.DUMMYFUNCTION("""COMPUTED_VALUE"""),"stevedenvir@gmail.com")</f>
        <v>stevedenvir@gmail.com</v>
      </c>
      <c r="G2388" s="3"/>
      <c r="H2388" s="3"/>
    </row>
    <row r="2389">
      <c r="A2389" s="2">
        <f>IFERROR(__xludf.DUMMYFUNCTION("""COMPUTED_VALUE"""),22873.0)</f>
        <v>22873</v>
      </c>
      <c r="B2389" s="3" t="str">
        <f>IFERROR(__xludf.DUMMYFUNCTION("""COMPUTED_VALUE"""),"9854 OAK RIDGES DR")</f>
        <v>9854 OAK RIDGES DR</v>
      </c>
      <c r="C2389" s="3" t="str">
        <f>IFERROR(__xludf.DUMMYFUNCTION("""COMPUTED_VALUE"""),"HARWOOD")</f>
        <v>HARWOOD</v>
      </c>
      <c r="D2389" s="3" t="str">
        <f>IFERROR(__xludf.DUMMYFUNCTION("""COMPUTED_VALUE"""),"K0K 2H0")</f>
        <v>K0K 2H0</v>
      </c>
      <c r="E2389" s="3" t="str">
        <f>IFERROR(__xludf.DUMMYFUNCTION("""COMPUTED_VALUE"""),"mary keenan")</f>
        <v>mary keenan</v>
      </c>
      <c r="F2389" s="3" t="str">
        <f>IFERROR(__xludf.DUMMYFUNCTION("""COMPUTED_VALUE"""),"mary_keenan@hotmail.com")</f>
        <v>mary_keenan@hotmail.com</v>
      </c>
      <c r="G2389" s="3">
        <f>IFERROR(__xludf.DUMMYFUNCTION("""COMPUTED_VALUE"""),9.053752773E9)</f>
        <v>9053752773</v>
      </c>
      <c r="H2389" s="3">
        <f>IFERROR(__xludf.DUMMYFUNCTION("""COMPUTED_VALUE"""),9.053423064E9)</f>
        <v>9053423064</v>
      </c>
    </row>
    <row r="2390">
      <c r="A2390" s="2">
        <f>IFERROR(__xludf.DUMMYFUNCTION("""COMPUTED_VALUE"""),22874.0)</f>
        <v>22874</v>
      </c>
      <c r="B2390" s="3" t="str">
        <f>IFERROR(__xludf.DUMMYFUNCTION("""COMPUTED_VALUE"""),"9877 OAK RIDGES DR")</f>
        <v>9877 OAK RIDGES DR</v>
      </c>
      <c r="C2390" s="3" t="str">
        <f>IFERROR(__xludf.DUMMYFUNCTION("""COMPUTED_VALUE"""),"HARWOOD")</f>
        <v>HARWOOD</v>
      </c>
      <c r="D2390" s="3" t="str">
        <f>IFERROR(__xludf.DUMMYFUNCTION("""COMPUTED_VALUE"""),"K0K 2H0")</f>
        <v>K0K 2H0</v>
      </c>
      <c r="E2390" s="3"/>
      <c r="F2390" s="3"/>
      <c r="G2390" s="3"/>
      <c r="H2390" s="3"/>
    </row>
    <row r="2391">
      <c r="A2391" s="2">
        <f>IFERROR(__xludf.DUMMYFUNCTION("""COMPUTED_VALUE"""),22877.0)</f>
        <v>22877</v>
      </c>
      <c r="B2391" s="3" t="str">
        <f>IFERROR(__xludf.DUMMYFUNCTION("""COMPUTED_VALUE"""),"5296 OLD SCHOOLHOUSE RD")</f>
        <v>5296 OLD SCHOOLHOUSE RD</v>
      </c>
      <c r="C2391" s="3" t="str">
        <f>IFERROR(__xludf.DUMMYFUNCTION("""COMPUTED_VALUE"""),"HARWOOD")</f>
        <v>HARWOOD</v>
      </c>
      <c r="D2391" s="3" t="str">
        <f>IFERROR(__xludf.DUMMYFUNCTION("""COMPUTED_VALUE"""),"K0K 2H0")</f>
        <v>K0K 2H0</v>
      </c>
      <c r="E2391" s="3"/>
      <c r="F2391" s="3"/>
      <c r="G2391" s="3"/>
      <c r="H2391" s="3"/>
    </row>
    <row r="2392">
      <c r="A2392" s="2">
        <f>IFERROR(__xludf.DUMMYFUNCTION("""COMPUTED_VALUE"""),22878.0)</f>
        <v>22878</v>
      </c>
      <c r="B2392" s="3" t="str">
        <f>IFERROR(__xludf.DUMMYFUNCTION("""COMPUTED_VALUE"""),"5333 OLD SCHOOL HOUSE RD")</f>
        <v>5333 OLD SCHOOL HOUSE RD</v>
      </c>
      <c r="C2392" s="3" t="str">
        <f>IFERROR(__xludf.DUMMYFUNCTION("""COMPUTED_VALUE"""),"HARWOOD")</f>
        <v>HARWOOD</v>
      </c>
      <c r="D2392" s="3" t="str">
        <f>IFERROR(__xludf.DUMMYFUNCTION("""COMPUTED_VALUE"""),"K0K 2H0")</f>
        <v>K0K 2H0</v>
      </c>
      <c r="E2392" s="3"/>
      <c r="F2392" s="3"/>
      <c r="G2392" s="3"/>
      <c r="H2392" s="3"/>
    </row>
    <row r="2393">
      <c r="A2393" s="2">
        <f>IFERROR(__xludf.DUMMYFUNCTION("""COMPUTED_VALUE"""),22879.0)</f>
        <v>22879</v>
      </c>
      <c r="B2393" s="3" t="str">
        <f>IFERROR(__xludf.DUMMYFUNCTION("""COMPUTED_VALUE"""),"5334 OLD SCHOOLHOUSE RD")</f>
        <v>5334 OLD SCHOOLHOUSE RD</v>
      </c>
      <c r="C2393" s="3" t="str">
        <f>IFERROR(__xludf.DUMMYFUNCTION("""COMPUTED_VALUE"""),"HARWOOD")</f>
        <v>HARWOOD</v>
      </c>
      <c r="D2393" s="3" t="str">
        <f>IFERROR(__xludf.DUMMYFUNCTION("""COMPUTED_VALUE"""),"K0K 2H0")</f>
        <v>K0K 2H0</v>
      </c>
      <c r="E2393" s="3" t="str">
        <f>IFERROR(__xludf.DUMMYFUNCTION("""COMPUTED_VALUE"""),"JEFF WORTH")</f>
        <v>JEFF WORTH</v>
      </c>
      <c r="F2393" s="3" t="str">
        <f>IFERROR(__xludf.DUMMYFUNCTION("""COMPUTED_VALUE"""),"jeffworth1017@gmail.com")</f>
        <v>jeffworth1017@gmail.com</v>
      </c>
      <c r="G2393" s="3">
        <f>IFERROR(__xludf.DUMMYFUNCTION("""COMPUTED_VALUE"""),9.059148838E9)</f>
        <v>9059148838</v>
      </c>
      <c r="H2393" s="3"/>
    </row>
    <row r="2394">
      <c r="A2394" s="2">
        <f>IFERROR(__xludf.DUMMYFUNCTION("""COMPUTED_VALUE"""),22880.0)</f>
        <v>22880</v>
      </c>
      <c r="B2394" s="3" t="str">
        <f>IFERROR(__xludf.DUMMYFUNCTION("""COMPUTED_VALUE"""),"5338 OLD SCHOOL HOUSE RD")</f>
        <v>5338 OLD SCHOOL HOUSE RD</v>
      </c>
      <c r="C2394" s="3" t="str">
        <f>IFERROR(__xludf.DUMMYFUNCTION("""COMPUTED_VALUE"""),"HARWOOD")</f>
        <v>HARWOOD</v>
      </c>
      <c r="D2394" s="3" t="str">
        <f>IFERROR(__xludf.DUMMYFUNCTION("""COMPUTED_VALUE"""),"K0K 2H0")</f>
        <v>K0K 2H0</v>
      </c>
      <c r="E2394" s="3" t="str">
        <f>IFERROR(__xludf.DUMMYFUNCTION("""COMPUTED_VALUE"""),"margaret and alan stauffer")</f>
        <v>margaret and alan stauffer</v>
      </c>
      <c r="F2394" s="3" t="str">
        <f>IFERROR(__xludf.DUMMYFUNCTION("""COMPUTED_VALUE"""),"margaretstauffer@gmail.com")</f>
        <v>margaretstauffer@gmail.com</v>
      </c>
      <c r="G2394" s="3">
        <f>IFERROR(__xludf.DUMMYFUNCTION("""COMPUTED_VALUE"""),9.057187864E9)</f>
        <v>9057187864</v>
      </c>
      <c r="H2394" s="3">
        <f>IFERROR(__xludf.DUMMYFUNCTION("""COMPUTED_VALUE"""),9.057187967E9)</f>
        <v>9057187967</v>
      </c>
    </row>
    <row r="2395">
      <c r="A2395" s="2">
        <f>IFERROR(__xludf.DUMMYFUNCTION("""COMPUTED_VALUE"""),22847.0)</f>
        <v>22847</v>
      </c>
      <c r="B2395" s="3" t="str">
        <f>IFERROR(__xludf.DUMMYFUNCTION("""COMPUTED_VALUE"""),"5141 OAK HILLS RD")</f>
        <v>5141 OAK HILLS RD</v>
      </c>
      <c r="C2395" s="3" t="str">
        <f>IFERROR(__xludf.DUMMYFUNCTION("""COMPUTED_VALUE"""),"HAMILTON TOWNSHIP")</f>
        <v>HAMILTON TOWNSHIP</v>
      </c>
      <c r="D2395" s="3" t="str">
        <f>IFERROR(__xludf.DUMMYFUNCTION("""COMPUTED_VALUE"""),"K0L 1E0")</f>
        <v>K0L 1E0</v>
      </c>
      <c r="E2395" s="3"/>
      <c r="F2395" s="3"/>
      <c r="G2395" s="3"/>
      <c r="H2395" s="3"/>
    </row>
    <row r="2396">
      <c r="A2396" s="2">
        <f>IFERROR(__xludf.DUMMYFUNCTION("""COMPUTED_VALUE"""),22849.0)</f>
        <v>22849</v>
      </c>
      <c r="B2396" s="3" t="str">
        <f>IFERROR(__xludf.DUMMYFUNCTION("""COMPUTED_VALUE"""),"5147 OAK HILLS RD")</f>
        <v>5147 OAK HILLS RD</v>
      </c>
      <c r="C2396" s="3" t="str">
        <f>IFERROR(__xludf.DUMMYFUNCTION("""COMPUTED_VALUE"""),"HAMILTON TOWNSHIP")</f>
        <v>HAMILTON TOWNSHIP</v>
      </c>
      <c r="D2396" s="3" t="str">
        <f>IFERROR(__xludf.DUMMYFUNCTION("""COMPUTED_VALUE"""),"K0L 1E0")</f>
        <v>K0L 1E0</v>
      </c>
      <c r="E2396" s="3" t="str">
        <f>IFERROR(__xludf.DUMMYFUNCTION("""COMPUTED_VALUE"""),"Janice Lean")</f>
        <v>Janice Lean</v>
      </c>
      <c r="F2396" s="3" t="str">
        <f>IFERROR(__xludf.DUMMYFUNCTION("""COMPUTED_VALUE"""),"jan.lean.rice.lake@gmail.com")</f>
        <v>jan.lean.rice.lake@gmail.com</v>
      </c>
      <c r="G2396" s="3"/>
      <c r="H2396" s="3"/>
    </row>
    <row r="2397">
      <c r="A2397" s="2">
        <f>IFERROR(__xludf.DUMMYFUNCTION("""COMPUTED_VALUE"""),22882.0)</f>
        <v>22882</v>
      </c>
      <c r="B2397" s="3" t="str">
        <f>IFERROR(__xludf.DUMMYFUNCTION("""COMPUTED_VALUE"""),"5344 OLD SCHOOLHOUSE RD")</f>
        <v>5344 OLD SCHOOLHOUSE RD</v>
      </c>
      <c r="C2397" s="3" t="str">
        <f>IFERROR(__xludf.DUMMYFUNCTION("""COMPUTED_VALUE"""),"HARWOOD")</f>
        <v>HARWOOD</v>
      </c>
      <c r="D2397" s="3" t="str">
        <f>IFERROR(__xludf.DUMMYFUNCTION("""COMPUTED_VALUE"""),"K0K 2H0")</f>
        <v>K0K 2H0</v>
      </c>
      <c r="E2397" s="3" t="str">
        <f>IFERROR(__xludf.DUMMYFUNCTION("""COMPUTED_VALUE"""),"Heidi Hagell")</f>
        <v>Heidi Hagell</v>
      </c>
      <c r="F2397" s="3" t="str">
        <f>IFERROR(__xludf.DUMMYFUNCTION("""COMPUTED_VALUE"""),"rhhagell@gmail.com")</f>
        <v>rhhagell@gmail.com</v>
      </c>
      <c r="G2397" s="3">
        <f>IFERROR(__xludf.DUMMYFUNCTION("""COMPUTED_VALUE"""),9.053423371E9)</f>
        <v>9053423371</v>
      </c>
      <c r="H2397" s="3">
        <f>IFERROR(__xludf.DUMMYFUNCTION("""COMPUTED_VALUE"""),6.474626128E9)</f>
        <v>6474626128</v>
      </c>
    </row>
    <row r="2398">
      <c r="A2398" s="2">
        <f>IFERROR(__xludf.DUMMYFUNCTION("""COMPUTED_VALUE"""),22883.0)</f>
        <v>22883</v>
      </c>
      <c r="B2398" s="3" t="str">
        <f>IFERROR(__xludf.DUMMYFUNCTION("""COMPUTED_VALUE"""),"5353 OLD SCHOOL HOUSE RD")</f>
        <v>5353 OLD SCHOOL HOUSE RD</v>
      </c>
      <c r="C2398" s="3" t="str">
        <f>IFERROR(__xludf.DUMMYFUNCTION("""COMPUTED_VALUE"""),"HARWOOD")</f>
        <v>HARWOOD</v>
      </c>
      <c r="D2398" s="3" t="str">
        <f>IFERROR(__xludf.DUMMYFUNCTION("""COMPUTED_VALUE"""),"K0K 2H0")</f>
        <v>K0K 2H0</v>
      </c>
      <c r="E2398" s="3" t="str">
        <f>IFERROR(__xludf.DUMMYFUNCTION("""COMPUTED_VALUE"""),"william slater ")</f>
        <v>william slater </v>
      </c>
      <c r="F2398" s="3"/>
      <c r="G2398" s="3">
        <f>IFERROR(__xludf.DUMMYFUNCTION("""COMPUTED_VALUE"""),9.05342354E9)</f>
        <v>9053423540</v>
      </c>
      <c r="H2398" s="3"/>
    </row>
    <row r="2399">
      <c r="A2399" s="2">
        <f>IFERROR(__xludf.DUMMYFUNCTION("""COMPUTED_VALUE"""),22884.0)</f>
        <v>22884</v>
      </c>
      <c r="B2399" s="3" t="str">
        <f>IFERROR(__xludf.DUMMYFUNCTION("""COMPUTED_VALUE"""),"5354 OLD SCHOOL HOUSE RD")</f>
        <v>5354 OLD SCHOOL HOUSE RD</v>
      </c>
      <c r="C2399" s="3" t="str">
        <f>IFERROR(__xludf.DUMMYFUNCTION("""COMPUTED_VALUE"""),"HARWOOD")</f>
        <v>HARWOOD</v>
      </c>
      <c r="D2399" s="3" t="str">
        <f>IFERROR(__xludf.DUMMYFUNCTION("""COMPUTED_VALUE"""),"K0K 2H0")</f>
        <v>K0K 2H0</v>
      </c>
      <c r="E2399" s="3" t="str">
        <f>IFERROR(__xludf.DUMMYFUNCTION("""COMPUTED_VALUE"""),"Travis Meier")</f>
        <v>Travis Meier</v>
      </c>
      <c r="F2399" s="3" t="str">
        <f>IFERROR(__xludf.DUMMYFUNCTION("""COMPUTED_VALUE"""),"meier.travis@gmail.comm")</f>
        <v>meier.travis@gmail.comm</v>
      </c>
      <c r="G2399" s="3">
        <f>IFERROR(__xludf.DUMMYFUNCTION("""COMPUTED_VALUE"""),9.059954251E9)</f>
        <v>9059954251</v>
      </c>
      <c r="H2399" s="3"/>
    </row>
    <row r="2400">
      <c r="A2400" s="2">
        <f>IFERROR(__xludf.DUMMYFUNCTION("""COMPUTED_VALUE"""),22885.0)</f>
        <v>22885</v>
      </c>
      <c r="B2400" s="3" t="str">
        <f>IFERROR(__xludf.DUMMYFUNCTION("""COMPUTED_VALUE"""),"5360 OLD SCHOOLHOUSE RD")</f>
        <v>5360 OLD SCHOOLHOUSE RD</v>
      </c>
      <c r="C2400" s="3" t="str">
        <f>IFERROR(__xludf.DUMMYFUNCTION("""COMPUTED_VALUE"""),"HARWOOD")</f>
        <v>HARWOOD</v>
      </c>
      <c r="D2400" s="3" t="str">
        <f>IFERROR(__xludf.DUMMYFUNCTION("""COMPUTED_VALUE"""),"K0K 2H0")</f>
        <v>K0K 2H0</v>
      </c>
      <c r="E2400" s="3"/>
      <c r="F2400" s="3"/>
      <c r="G2400" s="3"/>
      <c r="H2400" s="3"/>
    </row>
    <row r="2401">
      <c r="A2401" s="2">
        <f>IFERROR(__xludf.DUMMYFUNCTION("""COMPUTED_VALUE"""),23962.0)</f>
        <v>23962</v>
      </c>
      <c r="B2401" s="3" t="str">
        <f>IFERROR(__xludf.DUMMYFUNCTION("""COMPUTED_VALUE"""),"5394 OLD SCHOOL HOUSE RD")</f>
        <v>5394 OLD SCHOOL HOUSE RD</v>
      </c>
      <c r="C2401" s="3" t="str">
        <f>IFERROR(__xludf.DUMMYFUNCTION("""COMPUTED_VALUE"""),"HARWOOD")</f>
        <v>HARWOOD</v>
      </c>
      <c r="D2401" s="3" t="str">
        <f>IFERROR(__xludf.DUMMYFUNCTION("""COMPUTED_VALUE"""),"K0K 2H0")</f>
        <v>K0K 2H0</v>
      </c>
      <c r="E2401" s="3"/>
      <c r="F2401" s="3"/>
      <c r="G2401" s="3"/>
      <c r="H2401" s="3"/>
    </row>
    <row r="2402">
      <c r="A2402" s="2">
        <f>IFERROR(__xludf.DUMMYFUNCTION("""COMPUTED_VALUE"""),22753.0)</f>
        <v>22753</v>
      </c>
      <c r="B2402" s="3" t="str">
        <f>IFERROR(__xludf.DUMMYFUNCTION("""COMPUTED_VALUE"""),"8839 MINIFIE RD")</f>
        <v>8839 MINIFIE RD</v>
      </c>
      <c r="C2402" s="3" t="str">
        <f>IFERROR(__xludf.DUMMYFUNCTION("""COMPUTED_VALUE"""),"COBOURG")</f>
        <v>COBOURG</v>
      </c>
      <c r="D2402" s="3" t="str">
        <f>IFERROR(__xludf.DUMMYFUNCTION("""COMPUTED_VALUE"""),"K9A 4J9")</f>
        <v>K9A 4J9</v>
      </c>
      <c r="E2402" s="3"/>
      <c r="F2402" s="3"/>
      <c r="G2402" s="3"/>
      <c r="H2402" s="3"/>
    </row>
    <row r="2403">
      <c r="A2403" s="2">
        <f>IFERROR(__xludf.DUMMYFUNCTION("""COMPUTED_VALUE"""),22754.0)</f>
        <v>22754</v>
      </c>
      <c r="B2403" s="3" t="str">
        <f>IFERROR(__xludf.DUMMYFUNCTION("""COMPUTED_VALUE"""),"8846 MINIFIE RD")</f>
        <v>8846 MINIFIE RD</v>
      </c>
      <c r="C2403" s="3" t="str">
        <f>IFERROR(__xludf.DUMMYFUNCTION("""COMPUTED_VALUE"""),"COBOURG")</f>
        <v>COBOURG</v>
      </c>
      <c r="D2403" s="3" t="str">
        <f>IFERROR(__xludf.DUMMYFUNCTION("""COMPUTED_VALUE"""),"K9A 4J9")</f>
        <v>K9A 4J9</v>
      </c>
      <c r="E2403" s="3"/>
      <c r="F2403" s="3"/>
      <c r="G2403" s="3"/>
      <c r="H2403" s="3"/>
    </row>
    <row r="2404">
      <c r="A2404" s="2">
        <f>IFERROR(__xludf.DUMMYFUNCTION("""COMPUTED_VALUE"""),23013.0)</f>
        <v>23013</v>
      </c>
      <c r="B2404" s="3" t="str">
        <f>IFERROR(__xludf.DUMMYFUNCTION("""COMPUTED_VALUE"""),"5218 ORIOLE BEACH RD")</f>
        <v>5218 ORIOLE BEACH RD</v>
      </c>
      <c r="C2404" s="3" t="str">
        <f>IFERROR(__xludf.DUMMYFUNCTION("""COMPUTED_VALUE"""),"GORES LANDING")</f>
        <v>GORES LANDING</v>
      </c>
      <c r="D2404" s="3" t="str">
        <f>IFERROR(__xludf.DUMMYFUNCTION("""COMPUTED_VALUE"""),"K0K 2E0")</f>
        <v>K0K 2E0</v>
      </c>
      <c r="E2404" s="3"/>
      <c r="F2404" s="3"/>
      <c r="G2404" s="3"/>
      <c r="H2404" s="3"/>
    </row>
    <row r="2405">
      <c r="A2405" s="2">
        <f>IFERROR(__xludf.DUMMYFUNCTION("""COMPUTED_VALUE"""),23014.0)</f>
        <v>23014</v>
      </c>
      <c r="B2405" s="3" t="str">
        <f>IFERROR(__xludf.DUMMYFUNCTION("""COMPUTED_VALUE"""),"5268 ORIOLE BEACH RD SUITE 100")</f>
        <v>5268 ORIOLE BEACH RD SUITE 100</v>
      </c>
      <c r="C2405" s="3" t="str">
        <f>IFERROR(__xludf.DUMMYFUNCTION("""COMPUTED_VALUE"""),"GORES LANDING")</f>
        <v>GORES LANDING</v>
      </c>
      <c r="D2405" s="3" t="str">
        <f>IFERROR(__xludf.DUMMYFUNCTION("""COMPUTED_VALUE"""),"K0K 2E0")</f>
        <v>K0K 2E0</v>
      </c>
      <c r="E2405" s="3" t="str">
        <f>IFERROR(__xludf.DUMMYFUNCTION("""COMPUTED_VALUE"""),"Stefan Sawillay")</f>
        <v>Stefan Sawillay</v>
      </c>
      <c r="F2405" s="3" t="str">
        <f>IFERROR(__xludf.DUMMYFUNCTION("""COMPUTED_VALUE"""),"stefansawillay@gmail.com")</f>
        <v>stefansawillay@gmail.com</v>
      </c>
      <c r="G2405" s="3"/>
      <c r="H2405" s="3"/>
    </row>
    <row r="2406">
      <c r="A2406" s="2">
        <f>IFERROR(__xludf.DUMMYFUNCTION("""COMPUTED_VALUE"""),23015.0)</f>
        <v>23015</v>
      </c>
      <c r="B2406" s="3" t="str">
        <f>IFERROR(__xludf.DUMMYFUNCTION("""COMPUTED_VALUE"""),"5268 ORIOLE BEACH RD SUITE 130")</f>
        <v>5268 ORIOLE BEACH RD SUITE 130</v>
      </c>
      <c r="C2406" s="3" t="str">
        <f>IFERROR(__xludf.DUMMYFUNCTION("""COMPUTED_VALUE"""),"GORES LANDING")</f>
        <v>GORES LANDING</v>
      </c>
      <c r="D2406" s="3" t="str">
        <f>IFERROR(__xludf.DUMMYFUNCTION("""COMPUTED_VALUE"""),"K0K 2E0")</f>
        <v>K0K 2E0</v>
      </c>
      <c r="E2406" s="3" t="str">
        <f>IFERROR(__xludf.DUMMYFUNCTION("""COMPUTED_VALUE"""),"Gary Buttrey")</f>
        <v>Gary Buttrey</v>
      </c>
      <c r="F2406" s="3" t="str">
        <f>IFERROR(__xludf.DUMMYFUNCTION("""COMPUTED_VALUE"""),"gary@buttrey.me")</f>
        <v>gary@buttrey.me</v>
      </c>
      <c r="G2406" s="3">
        <f>IFERROR(__xludf.DUMMYFUNCTION("""COMPUTED_VALUE"""),6.47986337E9)</f>
        <v>6479863370</v>
      </c>
      <c r="H2406" s="3"/>
    </row>
    <row r="2407">
      <c r="A2407" s="2">
        <f>IFERROR(__xludf.DUMMYFUNCTION("""COMPUTED_VALUE"""),23016.0)</f>
        <v>23016</v>
      </c>
      <c r="B2407" s="3" t="str">
        <f>IFERROR(__xludf.DUMMYFUNCTION("""COMPUTED_VALUE"""),"5268 ORIOLE BEACH RD SUITE 150")</f>
        <v>5268 ORIOLE BEACH RD SUITE 150</v>
      </c>
      <c r="C2407" s="3" t="str">
        <f>IFERROR(__xludf.DUMMYFUNCTION("""COMPUTED_VALUE"""),"GORES LANDING")</f>
        <v>GORES LANDING</v>
      </c>
      <c r="D2407" s="3" t="str">
        <f>IFERROR(__xludf.DUMMYFUNCTION("""COMPUTED_VALUE"""),"K0K 2E0")</f>
        <v>K0K 2E0</v>
      </c>
      <c r="E2407" s="3" t="str">
        <f>IFERROR(__xludf.DUMMYFUNCTION("""COMPUTED_VALUE"""),"KEN CHOREL")</f>
        <v>KEN CHOREL</v>
      </c>
      <c r="F2407" s="3" t="str">
        <f>IFERROR(__xludf.DUMMYFUNCTION("""COMPUTED_VALUE"""),"blkc@cogeco.ca")</f>
        <v>blkc@cogeco.ca</v>
      </c>
      <c r="G2407" s="3"/>
      <c r="H2407" s="3"/>
    </row>
    <row r="2408">
      <c r="A2408" s="2">
        <f>IFERROR(__xludf.DUMMYFUNCTION("""COMPUTED_VALUE"""),23017.0)</f>
        <v>23017</v>
      </c>
      <c r="B2408" s="3" t="str">
        <f>IFERROR(__xludf.DUMMYFUNCTION("""COMPUTED_VALUE"""),"5268 ORIOLE BEACH RD SUITE 170")</f>
        <v>5268 ORIOLE BEACH RD SUITE 170</v>
      </c>
      <c r="C2408" s="3" t="str">
        <f>IFERROR(__xludf.DUMMYFUNCTION("""COMPUTED_VALUE"""),"GORES LANDING")</f>
        <v>GORES LANDING</v>
      </c>
      <c r="D2408" s="3" t="str">
        <f>IFERROR(__xludf.DUMMYFUNCTION("""COMPUTED_VALUE"""),"K0K 2E0")</f>
        <v>K0K 2E0</v>
      </c>
      <c r="E2408" s="3"/>
      <c r="F2408" s="3"/>
      <c r="G2408" s="3"/>
      <c r="H2408" s="3"/>
    </row>
    <row r="2409">
      <c r="A2409" s="2">
        <f>IFERROR(__xludf.DUMMYFUNCTION("""COMPUTED_VALUE"""),23018.0)</f>
        <v>23018</v>
      </c>
      <c r="B2409" s="3" t="str">
        <f>IFERROR(__xludf.DUMMYFUNCTION("""COMPUTED_VALUE"""),"5268 ORIOLE BEACH RD SUITE 180")</f>
        <v>5268 ORIOLE BEACH RD SUITE 180</v>
      </c>
      <c r="C2409" s="3" t="str">
        <f>IFERROR(__xludf.DUMMYFUNCTION("""COMPUTED_VALUE"""),"GORES LANDING")</f>
        <v>GORES LANDING</v>
      </c>
      <c r="D2409" s="3" t="str">
        <f>IFERROR(__xludf.DUMMYFUNCTION("""COMPUTED_VALUE"""),"K0K 2E0")</f>
        <v>K0K 2E0</v>
      </c>
      <c r="E2409" s="3" t="str">
        <f>IFERROR(__xludf.DUMMYFUNCTION("""COMPUTED_VALUE"""),"Mhairi Kerr")</f>
        <v>Mhairi Kerr</v>
      </c>
      <c r="F2409" s="3" t="str">
        <f>IFERROR(__xludf.DUMMYFUNCTION("""COMPUTED_VALUE"""),"mhairi_kerr@yahoo.ca")</f>
        <v>mhairi_kerr@yahoo.ca</v>
      </c>
      <c r="G2409" s="3"/>
      <c r="H2409" s="3"/>
    </row>
    <row r="2410">
      <c r="A2410" s="2">
        <f>IFERROR(__xludf.DUMMYFUNCTION("""COMPUTED_VALUE"""),23019.0)</f>
        <v>23019</v>
      </c>
      <c r="B2410" s="3" t="str">
        <f>IFERROR(__xludf.DUMMYFUNCTION("""COMPUTED_VALUE"""),"5268 ORIOLE BEACH RD SUITE 200")</f>
        <v>5268 ORIOLE BEACH RD SUITE 200</v>
      </c>
      <c r="C2410" s="3" t="str">
        <f>IFERROR(__xludf.DUMMYFUNCTION("""COMPUTED_VALUE"""),"GORES LANDING")</f>
        <v>GORES LANDING</v>
      </c>
      <c r="D2410" s="3" t="str">
        <f>IFERROR(__xludf.DUMMYFUNCTION("""COMPUTED_VALUE"""),"K0K 2E0")</f>
        <v>K0K 2E0</v>
      </c>
      <c r="E2410" s="3" t="str">
        <f>IFERROR(__xludf.DUMMYFUNCTION("""COMPUTED_VALUE"""),"stephanie kota ")</f>
        <v>stephanie kota </v>
      </c>
      <c r="F2410" s="3" t="str">
        <f>IFERROR(__xludf.DUMMYFUNCTION("""COMPUTED_VALUE"""),"stephanie_kota@outlook.com")</f>
        <v>stephanie_kota@outlook.com</v>
      </c>
      <c r="G2410" s="3"/>
      <c r="H2410" s="3"/>
    </row>
    <row r="2411">
      <c r="A2411" s="2">
        <f>IFERROR(__xludf.DUMMYFUNCTION("""COMPUTED_VALUE"""),23020.0)</f>
        <v>23020</v>
      </c>
      <c r="B2411" s="3" t="str">
        <f>IFERROR(__xludf.DUMMYFUNCTION("""COMPUTED_VALUE"""),"5268 ORIOLE BEACH RD SUITE 220")</f>
        <v>5268 ORIOLE BEACH RD SUITE 220</v>
      </c>
      <c r="C2411" s="3" t="str">
        <f>IFERROR(__xludf.DUMMYFUNCTION("""COMPUTED_VALUE"""),"GORES LANDING")</f>
        <v>GORES LANDING</v>
      </c>
      <c r="D2411" s="3" t="str">
        <f>IFERROR(__xludf.DUMMYFUNCTION("""COMPUTED_VALUE"""),"K0K 2E0")</f>
        <v>K0K 2E0</v>
      </c>
      <c r="E2411" s="3"/>
      <c r="F2411" s="3"/>
      <c r="G2411" s="3"/>
      <c r="H2411" s="3"/>
    </row>
    <row r="2412">
      <c r="A2412" s="2">
        <f>IFERROR(__xludf.DUMMYFUNCTION("""COMPUTED_VALUE"""),23021.0)</f>
        <v>23021</v>
      </c>
      <c r="B2412" s="3" t="str">
        <f>IFERROR(__xludf.DUMMYFUNCTION("""COMPUTED_VALUE"""),"5268 ORIOLE BEACH RD SUITE 230")</f>
        <v>5268 ORIOLE BEACH RD SUITE 230</v>
      </c>
      <c r="C2412" s="3" t="str">
        <f>IFERROR(__xludf.DUMMYFUNCTION("""COMPUTED_VALUE"""),"GORES LANDING")</f>
        <v>GORES LANDING</v>
      </c>
      <c r="D2412" s="3" t="str">
        <f>IFERROR(__xludf.DUMMYFUNCTION("""COMPUTED_VALUE"""),"K0K 2E0")</f>
        <v>K0K 2E0</v>
      </c>
      <c r="E2412" s="3" t="str">
        <f>IFERROR(__xludf.DUMMYFUNCTION("""COMPUTED_VALUE"""),"Kari Pallister")</f>
        <v>Kari Pallister</v>
      </c>
      <c r="F2412" s="3" t="str">
        <f>IFERROR(__xludf.DUMMYFUNCTION("""COMPUTED_VALUE"""),"karipallister1@gmail.com")</f>
        <v>karipallister1@gmail.com</v>
      </c>
      <c r="G2412" s="3">
        <f>IFERROR(__xludf.DUMMYFUNCTION("""COMPUTED_VALUE"""),9.054473824E9)</f>
        <v>9054473824</v>
      </c>
      <c r="H2412" s="3">
        <f>IFERROR(__xludf.DUMMYFUNCTION("""COMPUTED_VALUE"""),2.89928707E9)</f>
        <v>2899287070</v>
      </c>
    </row>
    <row r="2413">
      <c r="A2413" s="2">
        <f>IFERROR(__xludf.DUMMYFUNCTION("""COMPUTED_VALUE"""),23022.0)</f>
        <v>23022</v>
      </c>
      <c r="B2413" s="3" t="str">
        <f>IFERROR(__xludf.DUMMYFUNCTION("""COMPUTED_VALUE"""),"5268 ORIOLE BEACH RD SUITE 250")</f>
        <v>5268 ORIOLE BEACH RD SUITE 250</v>
      </c>
      <c r="C2413" s="3" t="str">
        <f>IFERROR(__xludf.DUMMYFUNCTION("""COMPUTED_VALUE"""),"GORES LANDING")</f>
        <v>GORES LANDING</v>
      </c>
      <c r="D2413" s="3" t="str">
        <f>IFERROR(__xludf.DUMMYFUNCTION("""COMPUTED_VALUE"""),"K0K 2E0")</f>
        <v>K0K 2E0</v>
      </c>
      <c r="E2413" s="3"/>
      <c r="F2413" s="3"/>
      <c r="G2413" s="3"/>
      <c r="H2413" s="3"/>
    </row>
    <row r="2414">
      <c r="A2414" s="2">
        <f>IFERROR(__xludf.DUMMYFUNCTION("""COMPUTED_VALUE"""),23023.0)</f>
        <v>23023</v>
      </c>
      <c r="B2414" s="3" t="str">
        <f>IFERROR(__xludf.DUMMYFUNCTION("""COMPUTED_VALUE"""),"5268 ORIOLE BEACH RD SUITE 260")</f>
        <v>5268 ORIOLE BEACH RD SUITE 260</v>
      </c>
      <c r="C2414" s="3" t="str">
        <f>IFERROR(__xludf.DUMMYFUNCTION("""COMPUTED_VALUE"""),"GORES LANDING")</f>
        <v>GORES LANDING</v>
      </c>
      <c r="D2414" s="3" t="str">
        <f>IFERROR(__xludf.DUMMYFUNCTION("""COMPUTED_VALUE"""),"K0K 2E0")</f>
        <v>K0K 2E0</v>
      </c>
      <c r="E2414" s="3" t="str">
        <f>IFERROR(__xludf.DUMMYFUNCTION("""COMPUTED_VALUE"""),"Alan Robertson")</f>
        <v>Alan Robertson</v>
      </c>
      <c r="F2414" s="3" t="str">
        <f>IFERROR(__xludf.DUMMYFUNCTION("""COMPUTED_VALUE"""),"robertsonyyz@gmail.com")</f>
        <v>robertsonyyz@gmail.com</v>
      </c>
      <c r="G2414" s="3">
        <f>IFERROR(__xludf.DUMMYFUNCTION("""COMPUTED_VALUE"""),4.169946158E9)</f>
        <v>4169946158</v>
      </c>
      <c r="H2414" s="3"/>
    </row>
    <row r="2415">
      <c r="A2415" s="2">
        <f>IFERROR(__xludf.DUMMYFUNCTION("""COMPUTED_VALUE"""),23024.0)</f>
        <v>23024</v>
      </c>
      <c r="B2415" s="3" t="str">
        <f>IFERROR(__xludf.DUMMYFUNCTION("""COMPUTED_VALUE"""),"5268 ORIOLE BEACH RD SUITE 290")</f>
        <v>5268 ORIOLE BEACH RD SUITE 290</v>
      </c>
      <c r="C2415" s="3" t="str">
        <f>IFERROR(__xludf.DUMMYFUNCTION("""COMPUTED_VALUE"""),"GORES LANDING")</f>
        <v>GORES LANDING</v>
      </c>
      <c r="D2415" s="3" t="str">
        <f>IFERROR(__xludf.DUMMYFUNCTION("""COMPUTED_VALUE"""),"K0K 2E0")</f>
        <v>K0K 2E0</v>
      </c>
      <c r="E2415" s="3" t="str">
        <f>IFERROR(__xludf.DUMMYFUNCTION("""COMPUTED_VALUE"""),"barb lamb ")</f>
        <v>barb lamb </v>
      </c>
      <c r="F2415" s="3"/>
      <c r="G2415" s="3">
        <f>IFERROR(__xludf.DUMMYFUNCTION("""COMPUTED_VALUE"""),9.053775745E9)</f>
        <v>9053775745</v>
      </c>
      <c r="H2415" s="3">
        <f>IFERROR(__xludf.DUMMYFUNCTION("""COMPUTED_VALUE"""),9.05376577E9)</f>
        <v>9053765770</v>
      </c>
    </row>
    <row r="2416">
      <c r="A2416" s="2">
        <f>IFERROR(__xludf.DUMMYFUNCTION("""COMPUTED_VALUE"""),23025.0)</f>
        <v>23025</v>
      </c>
      <c r="B2416" s="3" t="str">
        <f>IFERROR(__xludf.DUMMYFUNCTION("""COMPUTED_VALUE"""),"5268 ORIOLE BEACH RD SUITE 330")</f>
        <v>5268 ORIOLE BEACH RD SUITE 330</v>
      </c>
      <c r="C2416" s="3" t="str">
        <f>IFERROR(__xludf.DUMMYFUNCTION("""COMPUTED_VALUE"""),"GORES LANDING")</f>
        <v>GORES LANDING</v>
      </c>
      <c r="D2416" s="3" t="str">
        <f>IFERROR(__xludf.DUMMYFUNCTION("""COMPUTED_VALUE"""),"K0K 2E0")</f>
        <v>K0K 2E0</v>
      </c>
      <c r="E2416" s="3"/>
      <c r="F2416" s="3"/>
      <c r="G2416" s="3"/>
      <c r="H2416" s="3"/>
    </row>
    <row r="2417">
      <c r="A2417" s="2">
        <f>IFERROR(__xludf.DUMMYFUNCTION("""COMPUTED_VALUE"""),23026.0)</f>
        <v>23026</v>
      </c>
      <c r="B2417" s="3" t="str">
        <f>IFERROR(__xludf.DUMMYFUNCTION("""COMPUTED_VALUE"""),"5268 ORIOLE BEACH RD SUITE 340")</f>
        <v>5268 ORIOLE BEACH RD SUITE 340</v>
      </c>
      <c r="C2417" s="3" t="str">
        <f>IFERROR(__xludf.DUMMYFUNCTION("""COMPUTED_VALUE"""),"GORES LANDING")</f>
        <v>GORES LANDING</v>
      </c>
      <c r="D2417" s="3" t="str">
        <f>IFERROR(__xludf.DUMMYFUNCTION("""COMPUTED_VALUE"""),"K0K 2E0")</f>
        <v>K0K 2E0</v>
      </c>
      <c r="E2417" s="3" t="str">
        <f>IFERROR(__xludf.DUMMYFUNCTION("""COMPUTED_VALUE"""),"Hardy Sandhu")</f>
        <v>Hardy Sandhu</v>
      </c>
      <c r="F2417" s="3" t="str">
        <f>IFERROR(__xludf.DUMMYFUNCTION("""COMPUTED_VALUE"""),"Heating_cooling@hotmail.com")</f>
        <v>Heating_cooling@hotmail.com</v>
      </c>
      <c r="G2417" s="3"/>
      <c r="H2417" s="3"/>
    </row>
    <row r="2418">
      <c r="A2418" s="2">
        <f>IFERROR(__xludf.DUMMYFUNCTION("""COMPUTED_VALUE"""),23027.0)</f>
        <v>23027</v>
      </c>
      <c r="B2418" s="3" t="str">
        <f>IFERROR(__xludf.DUMMYFUNCTION("""COMPUTED_VALUE"""),"5268 ORIOLE BEACH RD UNIT 110")</f>
        <v>5268 ORIOLE BEACH RD UNIT 110</v>
      </c>
      <c r="C2418" s="3" t="str">
        <f>IFERROR(__xludf.DUMMYFUNCTION("""COMPUTED_VALUE"""),"GORES LANDING")</f>
        <v>GORES LANDING</v>
      </c>
      <c r="D2418" s="3" t="str">
        <f>IFERROR(__xludf.DUMMYFUNCTION("""COMPUTED_VALUE"""),"K0K 2E0")</f>
        <v>K0K 2E0</v>
      </c>
      <c r="E2418" s="3" t="str">
        <f>IFERROR(__xludf.DUMMYFUNCTION("""COMPUTED_VALUE"""),"Sue Lanktree")</f>
        <v>Sue Lanktree</v>
      </c>
      <c r="F2418" s="3" t="str">
        <f>IFERROR(__xludf.DUMMYFUNCTION("""COMPUTED_VALUE"""),"suelanktree@gmail.com")</f>
        <v>suelanktree@gmail.com</v>
      </c>
      <c r="G2418" s="3">
        <f>IFERROR(__xludf.DUMMYFUNCTION("""COMPUTED_VALUE"""),4.164322098E9)</f>
        <v>4164322098</v>
      </c>
      <c r="H2418" s="3"/>
    </row>
    <row r="2419">
      <c r="A2419" s="2">
        <f>IFERROR(__xludf.DUMMYFUNCTION("""COMPUTED_VALUE"""),23028.0)</f>
        <v>23028</v>
      </c>
      <c r="B2419" s="3" t="str">
        <f>IFERROR(__xludf.DUMMYFUNCTION("""COMPUTED_VALUE"""),"5268 ORIOLE BEACH RD UNIT 190")</f>
        <v>5268 ORIOLE BEACH RD UNIT 190</v>
      </c>
      <c r="C2419" s="3" t="str">
        <f>IFERROR(__xludf.DUMMYFUNCTION("""COMPUTED_VALUE"""),"GORES LANDING")</f>
        <v>GORES LANDING</v>
      </c>
      <c r="D2419" s="3" t="str">
        <f>IFERROR(__xludf.DUMMYFUNCTION("""COMPUTED_VALUE"""),"K0K 2E0")</f>
        <v>K0K 2E0</v>
      </c>
      <c r="E2419" s="3" t="str">
        <f>IFERROR(__xludf.DUMMYFUNCTION("""COMPUTED_VALUE"""),"chaykka vira ")</f>
        <v>chaykka vira </v>
      </c>
      <c r="F2419" s="3"/>
      <c r="G2419" s="3">
        <f>IFERROR(__xludf.DUMMYFUNCTION("""COMPUTED_VALUE"""),6.474639495E9)</f>
        <v>6474639495</v>
      </c>
      <c r="H2419" s="3"/>
    </row>
    <row r="2420">
      <c r="A2420" s="2">
        <f>IFERROR(__xludf.DUMMYFUNCTION("""COMPUTED_VALUE"""),23029.0)</f>
        <v>23029</v>
      </c>
      <c r="B2420" s="3" t="str">
        <f>IFERROR(__xludf.DUMMYFUNCTION("""COMPUTED_VALUE"""),"5268 ORIOLE BEACH RD UNIT 270")</f>
        <v>5268 ORIOLE BEACH RD UNIT 270</v>
      </c>
      <c r="C2420" s="3" t="str">
        <f>IFERROR(__xludf.DUMMYFUNCTION("""COMPUTED_VALUE"""),"GORES LANDING")</f>
        <v>GORES LANDING</v>
      </c>
      <c r="D2420" s="3" t="str">
        <f>IFERROR(__xludf.DUMMYFUNCTION("""COMPUTED_VALUE"""),"K0K 2E0")</f>
        <v>K0K 2E0</v>
      </c>
      <c r="E2420" s="3"/>
      <c r="F2420" s="3"/>
      <c r="G2420" s="3"/>
      <c r="H2420" s="3"/>
    </row>
    <row r="2421">
      <c r="A2421" s="2">
        <f>IFERROR(__xludf.DUMMYFUNCTION("""COMPUTED_VALUE"""),23030.0)</f>
        <v>23030</v>
      </c>
      <c r="B2421" s="3" t="str">
        <f>IFERROR(__xludf.DUMMYFUNCTION("""COMPUTED_VALUE"""),"5268 ORIOLE BEACH RD UNIT 310")</f>
        <v>5268 ORIOLE BEACH RD UNIT 310</v>
      </c>
      <c r="C2421" s="3" t="str">
        <f>IFERROR(__xludf.DUMMYFUNCTION("""COMPUTED_VALUE"""),"GORES LANDING")</f>
        <v>GORES LANDING</v>
      </c>
      <c r="D2421" s="3" t="str">
        <f>IFERROR(__xludf.DUMMYFUNCTION("""COMPUTED_VALUE"""),"K0K 2E0")</f>
        <v>K0K 2E0</v>
      </c>
      <c r="E2421" s="3" t="str">
        <f>IFERROR(__xludf.DUMMYFUNCTION("""COMPUTED_VALUE"""),"Bonnie Helen Klepadlo")</f>
        <v>Bonnie Helen Klepadlo</v>
      </c>
      <c r="F2421" s="3" t="str">
        <f>IFERROR(__xludf.DUMMYFUNCTION("""COMPUTED_VALUE"""),"bonnie.klepadlo@gmail.com")</f>
        <v>bonnie.klepadlo@gmail.com</v>
      </c>
      <c r="G2421" s="3">
        <f>IFERROR(__xludf.DUMMYFUNCTION("""COMPUTED_VALUE"""),9.054427122E9)</f>
        <v>9054427122</v>
      </c>
      <c r="H2421" s="3">
        <f>IFERROR(__xludf.DUMMYFUNCTION("""COMPUTED_VALUE"""),2.898303494E9)</f>
        <v>2898303494</v>
      </c>
    </row>
    <row r="2422">
      <c r="A2422" s="2">
        <f>IFERROR(__xludf.DUMMYFUNCTION("""COMPUTED_VALUE"""),23031.0)</f>
        <v>23031</v>
      </c>
      <c r="B2422" s="3" t="str">
        <f>IFERROR(__xludf.DUMMYFUNCTION("""COMPUTED_VALUE"""),"5268 ORIOLE BEACH RD UNIT 320")</f>
        <v>5268 ORIOLE BEACH RD UNIT 320</v>
      </c>
      <c r="C2422" s="3" t="str">
        <f>IFERROR(__xludf.DUMMYFUNCTION("""COMPUTED_VALUE"""),"GORES LANDING")</f>
        <v>GORES LANDING</v>
      </c>
      <c r="D2422" s="3" t="str">
        <f>IFERROR(__xludf.DUMMYFUNCTION("""COMPUTED_VALUE"""),"K0K 2E0")</f>
        <v>K0K 2E0</v>
      </c>
      <c r="E2422" s="3" t="str">
        <f>IFERROR(__xludf.DUMMYFUNCTION("""COMPUTED_VALUE"""),"palmerina ashby")</f>
        <v>palmerina ashby</v>
      </c>
      <c r="F2422" s="3" t="str">
        <f>IFERROR(__xludf.DUMMYFUNCTION("""COMPUTED_VALUE"""),"pam.ashbt1@gmail.com")</f>
        <v>pam.ashbt1@gmail.com</v>
      </c>
      <c r="G2422" s="3">
        <f>IFERROR(__xludf.DUMMYFUNCTION("""COMPUTED_VALUE"""),4.162643745E9)</f>
        <v>4162643745</v>
      </c>
      <c r="H2422" s="3">
        <f>IFERROR(__xludf.DUMMYFUNCTION("""COMPUTED_VALUE"""),4.162941953E9)</f>
        <v>4162941953</v>
      </c>
    </row>
    <row r="2423">
      <c r="A2423" s="2">
        <f>IFERROR(__xludf.DUMMYFUNCTION("""COMPUTED_VALUE"""),23032.0)</f>
        <v>23032</v>
      </c>
      <c r="B2423" s="3" t="str">
        <f>IFERROR(__xludf.DUMMYFUNCTION("""COMPUTED_VALUE"""),"5268 ORIOLE BEACH RD UNIT 350")</f>
        <v>5268 ORIOLE BEACH RD UNIT 350</v>
      </c>
      <c r="C2423" s="3" t="str">
        <f>IFERROR(__xludf.DUMMYFUNCTION("""COMPUTED_VALUE"""),"GORES LANDING")</f>
        <v>GORES LANDING</v>
      </c>
      <c r="D2423" s="3" t="str">
        <f>IFERROR(__xludf.DUMMYFUNCTION("""COMPUTED_VALUE"""),"K0K 2E0")</f>
        <v>K0K 2E0</v>
      </c>
      <c r="E2423" s="3" t="str">
        <f>IFERROR(__xludf.DUMMYFUNCTION("""COMPUTED_VALUE"""),"Marilyn Smith (Alternate. Stan King)")</f>
        <v>Marilyn Smith (Alternate. Stan King)</v>
      </c>
      <c r="F2423" s="3" t="str">
        <f>IFERROR(__xludf.DUMMYFUNCTION("""COMPUTED_VALUE"""),"rachsami231@gmail.com")</f>
        <v>rachsami231@gmail.com</v>
      </c>
      <c r="G2423" s="3"/>
      <c r="H2423" s="3"/>
    </row>
    <row r="2424">
      <c r="A2424" s="2">
        <f>IFERROR(__xludf.DUMMYFUNCTION("""COMPUTED_VALUE"""),23033.0)</f>
        <v>23033</v>
      </c>
      <c r="B2424" s="3" t="str">
        <f>IFERROR(__xludf.DUMMYFUNCTION("""COMPUTED_VALUE"""),"5268 ORIOLE BEACH RD UNIT 360")</f>
        <v>5268 ORIOLE BEACH RD UNIT 360</v>
      </c>
      <c r="C2424" s="3" t="str">
        <f>IFERROR(__xludf.DUMMYFUNCTION("""COMPUTED_VALUE"""),"GORES LANDING")</f>
        <v>GORES LANDING</v>
      </c>
      <c r="D2424" s="3" t="str">
        <f>IFERROR(__xludf.DUMMYFUNCTION("""COMPUTED_VALUE"""),"K0K 2E0")</f>
        <v>K0K 2E0</v>
      </c>
      <c r="E2424" s="3" t="str">
        <f>IFERROR(__xludf.DUMMYFUNCTION("""COMPUTED_VALUE"""),"Ron Cook")</f>
        <v>Ron Cook</v>
      </c>
      <c r="F2424" s="3" t="str">
        <f>IFERROR(__xludf.DUMMYFUNCTION("""COMPUTED_VALUE"""),"ron.cook@live.ca")</f>
        <v>ron.cook@live.ca</v>
      </c>
      <c r="G2424" s="3"/>
      <c r="H2424" s="3"/>
    </row>
    <row r="2425">
      <c r="A2425" s="2">
        <f>IFERROR(__xludf.DUMMYFUNCTION("""COMPUTED_VALUE"""),23034.0)</f>
        <v>23034</v>
      </c>
      <c r="B2425" s="3" t="str">
        <f>IFERROR(__xludf.DUMMYFUNCTION("""COMPUTED_VALUE"""),"5268 ORIOLE BEACH RD UNIT 380")</f>
        <v>5268 ORIOLE BEACH RD UNIT 380</v>
      </c>
      <c r="C2425" s="3" t="str">
        <f>IFERROR(__xludf.DUMMYFUNCTION("""COMPUTED_VALUE"""),"GORES LANDING")</f>
        <v>GORES LANDING</v>
      </c>
      <c r="D2425" s="3" t="str">
        <f>IFERROR(__xludf.DUMMYFUNCTION("""COMPUTED_VALUE"""),"K0K 2E0")</f>
        <v>K0K 2E0</v>
      </c>
      <c r="E2425" s="3"/>
      <c r="F2425" s="3"/>
      <c r="G2425" s="3"/>
      <c r="H2425" s="3"/>
    </row>
    <row r="2426">
      <c r="A2426" s="2">
        <f>IFERROR(__xludf.DUMMYFUNCTION("""COMPUTED_VALUE"""),23035.0)</f>
        <v>23035</v>
      </c>
      <c r="B2426" s="3" t="str">
        <f>IFERROR(__xludf.DUMMYFUNCTION("""COMPUTED_VALUE"""),"5268 ORIOLE BEACH RD UNIT 390")</f>
        <v>5268 ORIOLE BEACH RD UNIT 390</v>
      </c>
      <c r="C2426" s="3" t="str">
        <f>IFERROR(__xludf.DUMMYFUNCTION("""COMPUTED_VALUE"""),"GORES LANDING")</f>
        <v>GORES LANDING</v>
      </c>
      <c r="D2426" s="3" t="str">
        <f>IFERROR(__xludf.DUMMYFUNCTION("""COMPUTED_VALUE"""),"K0K 2E0")</f>
        <v>K0K 2E0</v>
      </c>
      <c r="E2426" s="3" t="str">
        <f>IFERROR(__xludf.DUMMYFUNCTION("""COMPUTED_VALUE"""),"Wilkie Lau")</f>
        <v>Wilkie Lau</v>
      </c>
      <c r="F2426" s="3" t="str">
        <f>IFERROR(__xludf.DUMMYFUNCTION("""COMPUTED_VALUE"""),"wilkielau@gmail.com")</f>
        <v>wilkielau@gmail.com</v>
      </c>
      <c r="G2426" s="3">
        <f>IFERROR(__xludf.DUMMYFUNCTION("""COMPUTED_VALUE"""),4.167258147E9)</f>
        <v>4167258147</v>
      </c>
      <c r="H2426" s="3"/>
    </row>
    <row r="2427">
      <c r="A2427" s="2">
        <f>IFERROR(__xludf.DUMMYFUNCTION("""COMPUTED_VALUE"""),23036.0)</f>
        <v>23036</v>
      </c>
      <c r="B2427" s="3" t="str">
        <f>IFERROR(__xludf.DUMMYFUNCTION("""COMPUTED_VALUE"""),"5269 ORIOLE BEACH RD SUITE 100")</f>
        <v>5269 ORIOLE BEACH RD SUITE 100</v>
      </c>
      <c r="C2427" s="3" t="str">
        <f>IFERROR(__xludf.DUMMYFUNCTION("""COMPUTED_VALUE"""),"GORES LANDING")</f>
        <v>GORES LANDING</v>
      </c>
      <c r="D2427" s="3" t="str">
        <f>IFERROR(__xludf.DUMMYFUNCTION("""COMPUTED_VALUE"""),"K0K 2E0")</f>
        <v>K0K 2E0</v>
      </c>
      <c r="E2427" s="3" t="str">
        <f>IFERROR(__xludf.DUMMYFUNCTION("""COMPUTED_VALUE"""),"jeremy coons")</f>
        <v>jeremy coons</v>
      </c>
      <c r="F2427" s="3" t="str">
        <f>IFERROR(__xludf.DUMMYFUNCTION("""COMPUTED_VALUE"""),"j-coons@hotmail.com")</f>
        <v>j-coons@hotmail.com</v>
      </c>
      <c r="G2427" s="3">
        <f>IFERROR(__xludf.DUMMYFUNCTION("""COMPUTED_VALUE"""),9.054090709E9)</f>
        <v>9054090709</v>
      </c>
      <c r="H2427" s="3"/>
    </row>
    <row r="2428">
      <c r="A2428" s="2">
        <f>IFERROR(__xludf.DUMMYFUNCTION("""COMPUTED_VALUE"""),23037.0)</f>
        <v>23037</v>
      </c>
      <c r="B2428" s="3" t="str">
        <f>IFERROR(__xludf.DUMMYFUNCTION("""COMPUTED_VALUE"""),"5269 ORIOLE BEACH RD SUITE 110")</f>
        <v>5269 ORIOLE BEACH RD SUITE 110</v>
      </c>
      <c r="C2428" s="3" t="str">
        <f>IFERROR(__xludf.DUMMYFUNCTION("""COMPUTED_VALUE"""),"GORES LANDING")</f>
        <v>GORES LANDING</v>
      </c>
      <c r="D2428" s="3" t="str">
        <f>IFERROR(__xludf.DUMMYFUNCTION("""COMPUTED_VALUE"""),"K0K 2E0")</f>
        <v>K0K 2E0</v>
      </c>
      <c r="E2428" s="3" t="str">
        <f>IFERROR(__xludf.DUMMYFUNCTION("""COMPUTED_VALUE"""),"Jeremy Coons ")</f>
        <v>Jeremy Coons </v>
      </c>
      <c r="F2428" s="3" t="str">
        <f>IFERROR(__xludf.DUMMYFUNCTION("""COMPUTED_VALUE"""),"j-coons@hotmail.com")</f>
        <v>j-coons@hotmail.com</v>
      </c>
      <c r="G2428" s="3"/>
      <c r="H2428" s="3"/>
    </row>
    <row r="2429">
      <c r="A2429" s="2">
        <f>IFERROR(__xludf.DUMMYFUNCTION("""COMPUTED_VALUE"""),23038.0)</f>
        <v>23038</v>
      </c>
      <c r="B2429" s="3" t="str">
        <f>IFERROR(__xludf.DUMMYFUNCTION("""COMPUTED_VALUE"""),"5269 ORIOLE BEACH RD SUITE 120")</f>
        <v>5269 ORIOLE BEACH RD SUITE 120</v>
      </c>
      <c r="C2429" s="3" t="str">
        <f>IFERROR(__xludf.DUMMYFUNCTION("""COMPUTED_VALUE"""),"GORES LANDING")</f>
        <v>GORES LANDING</v>
      </c>
      <c r="D2429" s="3" t="str">
        <f>IFERROR(__xludf.DUMMYFUNCTION("""COMPUTED_VALUE"""),"K0K 2E0")</f>
        <v>K0K 2E0</v>
      </c>
      <c r="E2429" s="3" t="str">
        <f>IFERROR(__xludf.DUMMYFUNCTION("""COMPUTED_VALUE"""),"Jeremy Coons ")</f>
        <v>Jeremy Coons </v>
      </c>
      <c r="F2429" s="3" t="str">
        <f>IFERROR(__xludf.DUMMYFUNCTION("""COMPUTED_VALUE"""),"j-coons@hotmail.com")</f>
        <v>j-coons@hotmail.com</v>
      </c>
      <c r="G2429" s="3"/>
      <c r="H2429" s="3"/>
    </row>
    <row r="2430">
      <c r="A2430" s="2">
        <f>IFERROR(__xludf.DUMMYFUNCTION("""COMPUTED_VALUE"""),23041.0)</f>
        <v>23041</v>
      </c>
      <c r="B2430" s="3" t="str">
        <f>IFERROR(__xludf.DUMMYFUNCTION("""COMPUTED_VALUE"""),"5269 ORIOLE BEACH RD SUITE 190")</f>
        <v>5269 ORIOLE BEACH RD SUITE 190</v>
      </c>
      <c r="C2430" s="3" t="str">
        <f>IFERROR(__xludf.DUMMYFUNCTION("""COMPUTED_VALUE"""),"GORES LANDING")</f>
        <v>GORES LANDING</v>
      </c>
      <c r="D2430" s="3" t="str">
        <f>IFERROR(__xludf.DUMMYFUNCTION("""COMPUTED_VALUE"""),"K0K 2E0")</f>
        <v>K0K 2E0</v>
      </c>
      <c r="E2430" s="3"/>
      <c r="F2430" s="3"/>
      <c r="G2430" s="3">
        <f>IFERROR(__xludf.DUMMYFUNCTION("""COMPUTED_VALUE"""),6.474639495E9)</f>
        <v>6474639495</v>
      </c>
      <c r="H2430" s="3"/>
    </row>
    <row r="2431">
      <c r="A2431" s="2">
        <f>IFERROR(__xludf.DUMMYFUNCTION("""COMPUTED_VALUE"""),23042.0)</f>
        <v>23042</v>
      </c>
      <c r="B2431" s="3" t="str">
        <f>IFERROR(__xludf.DUMMYFUNCTION("""COMPUTED_VALUE"""),"5269 ORIOLE BEACH RD SUITE 200")</f>
        <v>5269 ORIOLE BEACH RD SUITE 200</v>
      </c>
      <c r="C2431" s="3" t="str">
        <f>IFERROR(__xludf.DUMMYFUNCTION("""COMPUTED_VALUE"""),"GORES LANDING")</f>
        <v>GORES LANDING</v>
      </c>
      <c r="D2431" s="3" t="str">
        <f>IFERROR(__xludf.DUMMYFUNCTION("""COMPUTED_VALUE"""),"K0K 2E0")</f>
        <v>K0K 2E0</v>
      </c>
      <c r="E2431" s="3"/>
      <c r="F2431" s="3"/>
      <c r="G2431" s="3"/>
      <c r="H2431" s="3"/>
    </row>
    <row r="2432">
      <c r="A2432" s="2">
        <f>IFERROR(__xludf.DUMMYFUNCTION("""COMPUTED_VALUE"""),23043.0)</f>
        <v>23043</v>
      </c>
      <c r="B2432" s="3" t="str">
        <f>IFERROR(__xludf.DUMMYFUNCTION("""COMPUTED_VALUE"""),"5269 ORIOLE BEACH RD SUITE 210")</f>
        <v>5269 ORIOLE BEACH RD SUITE 210</v>
      </c>
      <c r="C2432" s="3" t="str">
        <f>IFERROR(__xludf.DUMMYFUNCTION("""COMPUTED_VALUE"""),"GORES LANDING")</f>
        <v>GORES LANDING</v>
      </c>
      <c r="D2432" s="3" t="str">
        <f>IFERROR(__xludf.DUMMYFUNCTION("""COMPUTED_VALUE"""),"K0K 2E0")</f>
        <v>K0K 2E0</v>
      </c>
      <c r="E2432" s="3" t="str">
        <f>IFERROR(__xludf.DUMMYFUNCTION("""COMPUTED_VALUE"""),"GORD HINKLEY")</f>
        <v>GORD HINKLEY</v>
      </c>
      <c r="F2432" s="3" t="str">
        <f>IFERROR(__xludf.DUMMYFUNCTION("""COMPUTED_VALUE"""),"hinkley.gord@gmail.com")</f>
        <v>hinkley.gord@gmail.com</v>
      </c>
      <c r="G2432" s="3">
        <f>IFERROR(__xludf.DUMMYFUNCTION("""COMPUTED_VALUE"""),2.898292231E9)</f>
        <v>2898292231</v>
      </c>
      <c r="H2432" s="3"/>
    </row>
    <row r="2433">
      <c r="A2433" s="2">
        <f>IFERROR(__xludf.DUMMYFUNCTION("""COMPUTED_VALUE"""),23044.0)</f>
        <v>23044</v>
      </c>
      <c r="B2433" s="3" t="str">
        <f>IFERROR(__xludf.DUMMYFUNCTION("""COMPUTED_VALUE"""),"5269 ORIOLE BEACH RD SUITE 220")</f>
        <v>5269 ORIOLE BEACH RD SUITE 220</v>
      </c>
      <c r="C2433" s="3" t="str">
        <f>IFERROR(__xludf.DUMMYFUNCTION("""COMPUTED_VALUE"""),"GORES LANDING")</f>
        <v>GORES LANDING</v>
      </c>
      <c r="D2433" s="3" t="str">
        <f>IFERROR(__xludf.DUMMYFUNCTION("""COMPUTED_VALUE"""),"K0K 2E0")</f>
        <v>K0K 2E0</v>
      </c>
      <c r="E2433" s="3"/>
      <c r="F2433" s="3"/>
      <c r="G2433" s="3"/>
      <c r="H2433" s="3"/>
    </row>
    <row r="2434">
      <c r="A2434" s="2">
        <f>IFERROR(__xludf.DUMMYFUNCTION("""COMPUTED_VALUE"""),23045.0)</f>
        <v>23045</v>
      </c>
      <c r="B2434" s="3" t="str">
        <f>IFERROR(__xludf.DUMMYFUNCTION("""COMPUTED_VALUE"""),"5269 ORIOLE BEACH RD SUITE 240")</f>
        <v>5269 ORIOLE BEACH RD SUITE 240</v>
      </c>
      <c r="C2434" s="3" t="str">
        <f>IFERROR(__xludf.DUMMYFUNCTION("""COMPUTED_VALUE"""),"GORES LANDING")</f>
        <v>GORES LANDING</v>
      </c>
      <c r="D2434" s="3" t="str">
        <f>IFERROR(__xludf.DUMMYFUNCTION("""COMPUTED_VALUE"""),"K0K 2E0")</f>
        <v>K0K 2E0</v>
      </c>
      <c r="E2434" s="3"/>
      <c r="F2434" s="3"/>
      <c r="G2434" s="3"/>
      <c r="H2434" s="3"/>
    </row>
    <row r="2435">
      <c r="A2435" s="2">
        <f>IFERROR(__xludf.DUMMYFUNCTION("""COMPUTED_VALUE"""),23046.0)</f>
        <v>23046</v>
      </c>
      <c r="B2435" s="3" t="str">
        <f>IFERROR(__xludf.DUMMYFUNCTION("""COMPUTED_VALUE"""),"5269 ORIOLE BEACH RD SUITE 250")</f>
        <v>5269 ORIOLE BEACH RD SUITE 250</v>
      </c>
      <c r="C2435" s="3" t="str">
        <f>IFERROR(__xludf.DUMMYFUNCTION("""COMPUTED_VALUE"""),"GORES LANDING")</f>
        <v>GORES LANDING</v>
      </c>
      <c r="D2435" s="3" t="str">
        <f>IFERROR(__xludf.DUMMYFUNCTION("""COMPUTED_VALUE"""),"K0K 2E0")</f>
        <v>K0K 2E0</v>
      </c>
      <c r="E2435" s="3"/>
      <c r="F2435" s="3"/>
      <c r="G2435" s="3"/>
      <c r="H2435" s="3"/>
    </row>
    <row r="2436">
      <c r="A2436" s="2">
        <f>IFERROR(__xludf.DUMMYFUNCTION("""COMPUTED_VALUE"""),23047.0)</f>
        <v>23047</v>
      </c>
      <c r="B2436" s="3" t="str">
        <f>IFERROR(__xludf.DUMMYFUNCTION("""COMPUTED_VALUE"""),"5269 ORIOLE BEACH RD SUITE 310")</f>
        <v>5269 ORIOLE BEACH RD SUITE 310</v>
      </c>
      <c r="C2436" s="3" t="str">
        <f>IFERROR(__xludf.DUMMYFUNCTION("""COMPUTED_VALUE"""),"GORES LANDING")</f>
        <v>GORES LANDING</v>
      </c>
      <c r="D2436" s="3" t="str">
        <f>IFERROR(__xludf.DUMMYFUNCTION("""COMPUTED_VALUE"""),"K0K 2E0")</f>
        <v>K0K 2E0</v>
      </c>
      <c r="E2436" s="3"/>
      <c r="F2436" s="3"/>
      <c r="G2436" s="3"/>
      <c r="H2436" s="3"/>
    </row>
    <row r="2437">
      <c r="A2437" s="2">
        <f>IFERROR(__xludf.DUMMYFUNCTION("""COMPUTED_VALUE"""),23048.0)</f>
        <v>23048</v>
      </c>
      <c r="B2437" s="3" t="str">
        <f>IFERROR(__xludf.DUMMYFUNCTION("""COMPUTED_VALUE"""),"5269 ORIOLE BEACH RD UNIT 130")</f>
        <v>5269 ORIOLE BEACH RD UNIT 130</v>
      </c>
      <c r="C2437" s="3" t="str">
        <f>IFERROR(__xludf.DUMMYFUNCTION("""COMPUTED_VALUE"""),"GORES LANDING")</f>
        <v>GORES LANDING</v>
      </c>
      <c r="D2437" s="3" t="str">
        <f>IFERROR(__xludf.DUMMYFUNCTION("""COMPUTED_VALUE"""),"K0K 2E0")</f>
        <v>K0K 2E0</v>
      </c>
      <c r="E2437" s="3" t="str">
        <f>IFERROR(__xludf.DUMMYFUNCTION("""COMPUTED_VALUE"""),"Carolyn Boivin")</f>
        <v>Carolyn Boivin</v>
      </c>
      <c r="F2437" s="3" t="str">
        <f>IFERROR(__xludf.DUMMYFUNCTION("""COMPUTED_VALUE"""),"carolynboivin@rogers.com")</f>
        <v>carolynboivin@rogers.com</v>
      </c>
      <c r="G2437" s="3"/>
      <c r="H2437" s="3"/>
    </row>
    <row r="2438">
      <c r="A2438" s="2">
        <f>IFERROR(__xludf.DUMMYFUNCTION("""COMPUTED_VALUE"""),23039.0)</f>
        <v>23039</v>
      </c>
      <c r="B2438" s="3" t="str">
        <f>IFERROR(__xludf.DUMMYFUNCTION("""COMPUTED_VALUE"""),"5269 ORIOLE BEACH RD UNIT 140")</f>
        <v>5269 ORIOLE BEACH RD UNIT 140</v>
      </c>
      <c r="C2438" s="3" t="str">
        <f>IFERROR(__xludf.DUMMYFUNCTION("""COMPUTED_VALUE"""),"GORES LANDING")</f>
        <v>GORES LANDING</v>
      </c>
      <c r="D2438" s="3" t="str">
        <f>IFERROR(__xludf.DUMMYFUNCTION("""COMPUTED_VALUE"""),"K0K 2E0")</f>
        <v>K0K 2E0</v>
      </c>
      <c r="E2438" s="3" t="str">
        <f>IFERROR(__xludf.DUMMYFUNCTION("""COMPUTED_VALUE"""),"Ken Chorel")</f>
        <v>Ken Chorel</v>
      </c>
      <c r="F2438" s="3" t="str">
        <f>IFERROR(__xludf.DUMMYFUNCTION("""COMPUTED_VALUE"""),"blkc@cogeco.ca")</f>
        <v>blkc@cogeco.ca</v>
      </c>
      <c r="G2438" s="3"/>
      <c r="H2438" s="3"/>
    </row>
    <row r="2439">
      <c r="A2439" s="2">
        <f>IFERROR(__xludf.DUMMYFUNCTION("""COMPUTED_VALUE"""),23040.0)</f>
        <v>23040</v>
      </c>
      <c r="B2439" s="3" t="str">
        <f>IFERROR(__xludf.DUMMYFUNCTION("""COMPUTED_VALUE"""),"5269 ORIOLE BEACH RD UNIT 150")</f>
        <v>5269 ORIOLE BEACH RD UNIT 150</v>
      </c>
      <c r="C2439" s="3" t="str">
        <f>IFERROR(__xludf.DUMMYFUNCTION("""COMPUTED_VALUE"""),"GORES LANDING")</f>
        <v>GORES LANDING</v>
      </c>
      <c r="D2439" s="3" t="str">
        <f>IFERROR(__xludf.DUMMYFUNCTION("""COMPUTED_VALUE"""),"K0K 2E0")</f>
        <v>K0K 2E0</v>
      </c>
      <c r="E2439" s="3" t="str">
        <f>IFERROR(__xludf.DUMMYFUNCTION("""COMPUTED_VALUE"""),"Barb Chorel")</f>
        <v>Barb Chorel</v>
      </c>
      <c r="F2439" s="3" t="str">
        <f>IFERROR(__xludf.DUMMYFUNCTION("""COMPUTED_VALUE"""),"blkc@cogeco.ca")</f>
        <v>blkc@cogeco.ca</v>
      </c>
      <c r="G2439" s="3">
        <f>IFERROR(__xludf.DUMMYFUNCTION("""COMPUTED_VALUE"""),4.163201821E9)</f>
        <v>4163201821</v>
      </c>
      <c r="H2439" s="3"/>
    </row>
    <row r="2440">
      <c r="A2440" s="2">
        <f>IFERROR(__xludf.DUMMYFUNCTION("""COMPUTED_VALUE"""),23049.0)</f>
        <v>23049</v>
      </c>
      <c r="B2440" s="3" t="str">
        <f>IFERROR(__xludf.DUMMYFUNCTION("""COMPUTED_VALUE"""),"5269 ORIOLE BEACH RD UNIT 160")</f>
        <v>5269 ORIOLE BEACH RD UNIT 160</v>
      </c>
      <c r="C2440" s="3" t="str">
        <f>IFERROR(__xludf.DUMMYFUNCTION("""COMPUTED_VALUE"""),"GORES LANDING")</f>
        <v>GORES LANDING</v>
      </c>
      <c r="D2440" s="3" t="str">
        <f>IFERROR(__xludf.DUMMYFUNCTION("""COMPUTED_VALUE"""),"K0K 2E0")</f>
        <v>K0K 2E0</v>
      </c>
      <c r="E2440" s="3" t="str">
        <f>IFERROR(__xludf.DUMMYFUNCTION("""COMPUTED_VALUE"""),"Gordon Wilkinson")</f>
        <v>Gordon Wilkinson</v>
      </c>
      <c r="F2440" s="3"/>
      <c r="G2440" s="3"/>
      <c r="H2440" s="3"/>
    </row>
    <row r="2441">
      <c r="A2441" s="2">
        <f>IFERROR(__xludf.DUMMYFUNCTION("""COMPUTED_VALUE"""),23050.0)</f>
        <v>23050</v>
      </c>
      <c r="B2441" s="3" t="str">
        <f>IFERROR(__xludf.DUMMYFUNCTION("""COMPUTED_VALUE"""),"5269 ORIOLE BEACH RD UNIT 170")</f>
        <v>5269 ORIOLE BEACH RD UNIT 170</v>
      </c>
      <c r="C2441" s="3" t="str">
        <f>IFERROR(__xludf.DUMMYFUNCTION("""COMPUTED_VALUE"""),"GORES LANDING")</f>
        <v>GORES LANDING</v>
      </c>
      <c r="D2441" s="3" t="str">
        <f>IFERROR(__xludf.DUMMYFUNCTION("""COMPUTED_VALUE"""),"K0K 2E0")</f>
        <v>K0K 2E0</v>
      </c>
      <c r="E2441" s="3" t="str">
        <f>IFERROR(__xludf.DUMMYFUNCTION("""COMPUTED_VALUE"""),"Robert Hedge and Catherine Thompson")</f>
        <v>Robert Hedge and Catherine Thompson</v>
      </c>
      <c r="F2441" s="3" t="str">
        <f>IFERROR(__xludf.DUMMYFUNCTION("""COMPUTED_VALUE"""),"bobcatz5@rogers.com")</f>
        <v>bobcatz5@rogers.com</v>
      </c>
      <c r="G2441" s="3">
        <f>IFERROR(__xludf.DUMMYFUNCTION("""COMPUTED_VALUE"""),5.198978019E9)</f>
        <v>5198978019</v>
      </c>
      <c r="H2441" s="3">
        <f>IFERROR(__xludf.DUMMYFUNCTION("""COMPUTED_VALUE"""),4.166054759E9)</f>
        <v>4166054759</v>
      </c>
    </row>
    <row r="2442">
      <c r="A2442" s="2">
        <f>IFERROR(__xludf.DUMMYFUNCTION("""COMPUTED_VALUE"""),23051.0)</f>
        <v>23051</v>
      </c>
      <c r="B2442" s="3" t="str">
        <f>IFERROR(__xludf.DUMMYFUNCTION("""COMPUTED_VALUE"""),"5269 ORIOLE BEACH RD UNIT 180")</f>
        <v>5269 ORIOLE BEACH RD UNIT 180</v>
      </c>
      <c r="C2442" s="3" t="str">
        <f>IFERROR(__xludf.DUMMYFUNCTION("""COMPUTED_VALUE"""),"GORES LANDING")</f>
        <v>GORES LANDING</v>
      </c>
      <c r="D2442" s="3" t="str">
        <f>IFERROR(__xludf.DUMMYFUNCTION("""COMPUTED_VALUE"""),"K0K 2E0")</f>
        <v>K0K 2E0</v>
      </c>
      <c r="E2442" s="3" t="str">
        <f>IFERROR(__xludf.DUMMYFUNCTION("""COMPUTED_VALUE"""),"pamela jane colmer")</f>
        <v>pamela jane colmer</v>
      </c>
      <c r="F2442" s="3" t="str">
        <f>IFERROR(__xludf.DUMMYFUNCTION("""COMPUTED_VALUE"""),"pamelacolmer1@gmail.com")</f>
        <v>pamelacolmer1@gmail.com</v>
      </c>
      <c r="G2442" s="3">
        <f>IFERROR(__xludf.DUMMYFUNCTION("""COMPUTED_VALUE"""),9.055767836E9)</f>
        <v>9055767836</v>
      </c>
      <c r="H2442" s="3"/>
    </row>
    <row r="2443">
      <c r="A2443" s="2">
        <f>IFERROR(__xludf.DUMMYFUNCTION("""COMPUTED_VALUE"""),23052.0)</f>
        <v>23052</v>
      </c>
      <c r="B2443" s="3" t="str">
        <f>IFERROR(__xludf.DUMMYFUNCTION("""COMPUTED_VALUE"""),"5269 ORIOLE BEACH RD UNIT 260")</f>
        <v>5269 ORIOLE BEACH RD UNIT 260</v>
      </c>
      <c r="C2443" s="3" t="str">
        <f>IFERROR(__xludf.DUMMYFUNCTION("""COMPUTED_VALUE"""),"GORES LANDING")</f>
        <v>GORES LANDING</v>
      </c>
      <c r="D2443" s="3" t="str">
        <f>IFERROR(__xludf.DUMMYFUNCTION("""COMPUTED_VALUE"""),"K0K 2E0")</f>
        <v>K0K 2E0</v>
      </c>
      <c r="E2443" s="3" t="str">
        <f>IFERROR(__xludf.DUMMYFUNCTION("""COMPUTED_VALUE"""),"lisa goodes ")</f>
        <v>lisa goodes </v>
      </c>
      <c r="F2443" s="3"/>
      <c r="G2443" s="3">
        <f>IFERROR(__xludf.DUMMYFUNCTION("""COMPUTED_VALUE"""),9.054318639E9)</f>
        <v>9054318639</v>
      </c>
      <c r="H2443" s="3"/>
    </row>
    <row r="2444">
      <c r="A2444" s="2">
        <f>IFERROR(__xludf.DUMMYFUNCTION("""COMPUTED_VALUE"""),23053.0)</f>
        <v>23053</v>
      </c>
      <c r="B2444" s="3" t="str">
        <f>IFERROR(__xludf.DUMMYFUNCTION("""COMPUTED_VALUE"""),"5269 ORIOLE BEACH RD UNIT 270")</f>
        <v>5269 ORIOLE BEACH RD UNIT 270</v>
      </c>
      <c r="C2444" s="3" t="str">
        <f>IFERROR(__xludf.DUMMYFUNCTION("""COMPUTED_VALUE"""),"GORES LANDING")</f>
        <v>GORES LANDING</v>
      </c>
      <c r="D2444" s="3" t="str">
        <f>IFERROR(__xludf.DUMMYFUNCTION("""COMPUTED_VALUE"""),"K0K 2E0")</f>
        <v>K0K 2E0</v>
      </c>
      <c r="E2444" s="3"/>
      <c r="F2444" s="3"/>
      <c r="G2444" s="3"/>
      <c r="H2444" s="3"/>
    </row>
    <row r="2445">
      <c r="A2445" s="2">
        <f>IFERROR(__xludf.DUMMYFUNCTION("""COMPUTED_VALUE"""),23054.0)</f>
        <v>23054</v>
      </c>
      <c r="B2445" s="3" t="str">
        <f>IFERROR(__xludf.DUMMYFUNCTION("""COMPUTED_VALUE"""),"5269 ORIOLE BEACH RD UNIT 280")</f>
        <v>5269 ORIOLE BEACH RD UNIT 280</v>
      </c>
      <c r="C2445" s="3" t="str">
        <f>IFERROR(__xludf.DUMMYFUNCTION("""COMPUTED_VALUE"""),"GORES LANDING")</f>
        <v>GORES LANDING</v>
      </c>
      <c r="D2445" s="3" t="str">
        <f>IFERROR(__xludf.DUMMYFUNCTION("""COMPUTED_VALUE"""),"K0K 2E0")</f>
        <v>K0K 2E0</v>
      </c>
      <c r="E2445" s="3" t="str">
        <f>IFERROR(__xludf.DUMMYFUNCTION("""COMPUTED_VALUE"""),"Phil narini")</f>
        <v>Phil narini</v>
      </c>
      <c r="F2445" s="3" t="str">
        <f>IFERROR(__xludf.DUMMYFUNCTION("""COMPUTED_VALUE"""),"pnarini@lh.ca")</f>
        <v>pnarini@lh.ca</v>
      </c>
      <c r="G2445" s="3">
        <f>IFERROR(__xludf.DUMMYFUNCTION("""COMPUTED_VALUE"""),9.057675603E9)</f>
        <v>9057675603</v>
      </c>
      <c r="H2445" s="3"/>
    </row>
    <row r="2446">
      <c r="A2446" s="2">
        <f>IFERROR(__xludf.DUMMYFUNCTION("""COMPUTED_VALUE"""),23055.0)</f>
        <v>23055</v>
      </c>
      <c r="B2446" s="3" t="str">
        <f>IFERROR(__xludf.DUMMYFUNCTION("""COMPUTED_VALUE"""),"5269 ORIOLE BEACH RD UNIT 290")</f>
        <v>5269 ORIOLE BEACH RD UNIT 290</v>
      </c>
      <c r="C2446" s="3" t="str">
        <f>IFERROR(__xludf.DUMMYFUNCTION("""COMPUTED_VALUE"""),"GORES LANDING")</f>
        <v>GORES LANDING</v>
      </c>
      <c r="D2446" s="3" t="str">
        <f>IFERROR(__xludf.DUMMYFUNCTION("""COMPUTED_VALUE"""),"K0K 2E0")</f>
        <v>K0K 2E0</v>
      </c>
      <c r="E2446" s="3" t="str">
        <f>IFERROR(__xludf.DUMMYFUNCTION("""COMPUTED_VALUE"""),"Robert Moguš")</f>
        <v>Robert Moguš</v>
      </c>
      <c r="F2446" s="3" t="str">
        <f>IFERROR(__xludf.DUMMYFUNCTION("""COMPUTED_VALUE"""),"robmogus@gmail.com")</f>
        <v>robmogus@gmail.com</v>
      </c>
      <c r="G2446" s="3">
        <f>IFERROR(__xludf.DUMMYFUNCTION("""COMPUTED_VALUE"""),4.168568584E9)</f>
        <v>4168568584</v>
      </c>
      <c r="H2446" s="3"/>
    </row>
    <row r="2447">
      <c r="A2447" s="2">
        <f>IFERROR(__xludf.DUMMYFUNCTION("""COMPUTED_VALUE"""),23056.0)</f>
        <v>23056</v>
      </c>
      <c r="B2447" s="3" t="str">
        <f>IFERROR(__xludf.DUMMYFUNCTION("""COMPUTED_VALUE"""),"5269 ORIOLE BEACH RD UNIT 300")</f>
        <v>5269 ORIOLE BEACH RD UNIT 300</v>
      </c>
      <c r="C2447" s="3" t="str">
        <f>IFERROR(__xludf.DUMMYFUNCTION("""COMPUTED_VALUE"""),"GORES LANDING")</f>
        <v>GORES LANDING</v>
      </c>
      <c r="D2447" s="3" t="str">
        <f>IFERROR(__xludf.DUMMYFUNCTION("""COMPUTED_VALUE"""),"K0K 2E0")</f>
        <v>K0K 2E0</v>
      </c>
      <c r="E2447" s="3" t="str">
        <f>IFERROR(__xludf.DUMMYFUNCTION("""COMPUTED_VALUE"""),"Debbie Gowsell")</f>
        <v>Debbie Gowsell</v>
      </c>
      <c r="F2447" s="3" t="str">
        <f>IFERROR(__xludf.DUMMYFUNCTION("""COMPUTED_VALUE"""),"Dgowsell@rogers.com")</f>
        <v>Dgowsell@rogers.com</v>
      </c>
      <c r="G2447" s="3">
        <f>IFERROR(__xludf.DUMMYFUNCTION("""COMPUTED_VALUE"""),5.197558657E9)</f>
        <v>5197558657</v>
      </c>
      <c r="H2447" s="3"/>
    </row>
    <row r="2448">
      <c r="A2448" s="2">
        <f>IFERROR(__xludf.DUMMYFUNCTION("""COMPUTED_VALUE"""),23057.0)</f>
        <v>23057</v>
      </c>
      <c r="B2448" s="3" t="str">
        <f>IFERROR(__xludf.DUMMYFUNCTION("""COMPUTED_VALUE"""),"5269 ORIOLE BEACH RD UNIT 320")</f>
        <v>5269 ORIOLE BEACH RD UNIT 320</v>
      </c>
      <c r="C2448" s="3" t="str">
        <f>IFERROR(__xludf.DUMMYFUNCTION("""COMPUTED_VALUE"""),"GORES LANDING")</f>
        <v>GORES LANDING</v>
      </c>
      <c r="D2448" s="3" t="str">
        <f>IFERROR(__xludf.DUMMYFUNCTION("""COMPUTED_VALUE"""),"K0K 2E0")</f>
        <v>K0K 2E0</v>
      </c>
      <c r="E2448" s="3" t="str">
        <f>IFERROR(__xludf.DUMMYFUNCTION("""COMPUTED_VALUE"""),"Diane &amp; Jeff Hargrove ")</f>
        <v>Diane &amp; Jeff Hargrove </v>
      </c>
      <c r="F2448" s="3" t="str">
        <f>IFERROR(__xludf.DUMMYFUNCTION("""COMPUTED_VALUE"""),"dihargrove@yahoo.ca")</f>
        <v>dihargrove@yahoo.ca</v>
      </c>
      <c r="G2448" s="3"/>
      <c r="H2448" s="3"/>
    </row>
    <row r="2449">
      <c r="A2449" s="2">
        <f>IFERROR(__xludf.DUMMYFUNCTION("""COMPUTED_VALUE"""),23058.0)</f>
        <v>23058</v>
      </c>
      <c r="B2449" s="3" t="str">
        <f>IFERROR(__xludf.DUMMYFUNCTION("""COMPUTED_VALUE"""),"5269 ORIOLE BEACH RD UNIT 330")</f>
        <v>5269 ORIOLE BEACH RD UNIT 330</v>
      </c>
      <c r="C2449" s="3" t="str">
        <f>IFERROR(__xludf.DUMMYFUNCTION("""COMPUTED_VALUE"""),"GORES LANDING")</f>
        <v>GORES LANDING</v>
      </c>
      <c r="D2449" s="3" t="str">
        <f>IFERROR(__xludf.DUMMYFUNCTION("""COMPUTED_VALUE"""),"K0K 2E0")</f>
        <v>K0K 2E0</v>
      </c>
      <c r="E2449" s="3" t="str">
        <f>IFERROR(__xludf.DUMMYFUNCTION("""COMPUTED_VALUE"""),"Wai Keung Cho")</f>
        <v>Wai Keung Cho</v>
      </c>
      <c r="F2449" s="3" t="str">
        <f>IFERROR(__xludf.DUMMYFUNCTION("""COMPUTED_VALUE"""),"laichichow@gmail.com")</f>
        <v>laichichow@gmail.com</v>
      </c>
      <c r="G2449" s="3">
        <f>IFERROR(__xludf.DUMMYFUNCTION("""COMPUTED_VALUE"""),4.169190601E9)</f>
        <v>4169190601</v>
      </c>
      <c r="H2449" s="3">
        <f>IFERROR(__xludf.DUMMYFUNCTION("""COMPUTED_VALUE"""),4.165770606E9)</f>
        <v>4165770606</v>
      </c>
    </row>
    <row r="2450">
      <c r="A2450" s="2">
        <f>IFERROR(__xludf.DUMMYFUNCTION("""COMPUTED_VALUE"""),23075.0)</f>
        <v>23075</v>
      </c>
      <c r="B2450" s="3" t="str">
        <f>IFERROR(__xludf.DUMMYFUNCTION("""COMPUTED_VALUE"""),"3961 PARKER LANE")</f>
        <v>3961 PARKER LANE</v>
      </c>
      <c r="C2450" s="3" t="str">
        <f>IFERROR(__xludf.DUMMYFUNCTION("""COMPUTED_VALUE"""),"COBOURG")</f>
        <v>COBOURG</v>
      </c>
      <c r="D2450" s="3" t="str">
        <f>IFERROR(__xludf.DUMMYFUNCTION("""COMPUTED_VALUE"""),"K9A 4J9")</f>
        <v>K9A 4J9</v>
      </c>
      <c r="E2450" s="3" t="str">
        <f>IFERROR(__xludf.DUMMYFUNCTION("""COMPUTED_VALUE"""),"todd boyle")</f>
        <v>todd boyle</v>
      </c>
      <c r="F2450" s="3" t="str">
        <f>IFERROR(__xludf.DUMMYFUNCTION("""COMPUTED_VALUE"""),"todd6955@hotmail.com")</f>
        <v>todd6955@hotmail.com</v>
      </c>
      <c r="G2450" s="3">
        <f>IFERROR(__xludf.DUMMYFUNCTION("""COMPUTED_VALUE"""),9.056266692E9)</f>
        <v>9056266692</v>
      </c>
      <c r="H2450" s="3"/>
    </row>
    <row r="2451">
      <c r="A2451" s="2">
        <f>IFERROR(__xludf.DUMMYFUNCTION("""COMPUTED_VALUE"""),23076.0)</f>
        <v>23076</v>
      </c>
      <c r="B2451" s="3" t="str">
        <f>IFERROR(__xludf.DUMMYFUNCTION("""COMPUTED_VALUE"""),"3973 PARKER LANE")</f>
        <v>3973 PARKER LANE</v>
      </c>
      <c r="C2451" s="3" t="str">
        <f>IFERROR(__xludf.DUMMYFUNCTION("""COMPUTED_VALUE"""),"COBOURG")</f>
        <v>COBOURG</v>
      </c>
      <c r="D2451" s="3" t="str">
        <f>IFERROR(__xludf.DUMMYFUNCTION("""COMPUTED_VALUE"""),"K9A 4J9")</f>
        <v>K9A 4J9</v>
      </c>
      <c r="E2451" s="3" t="str">
        <f>IFERROR(__xludf.DUMMYFUNCTION("""COMPUTED_VALUE"""),"Zachary Supper")</f>
        <v>Zachary Supper</v>
      </c>
      <c r="F2451" s="3" t="str">
        <f>IFERROR(__xludf.DUMMYFUNCTION("""COMPUTED_VALUE"""),"zack.supper@hotmail.com")</f>
        <v>zack.supper@hotmail.com</v>
      </c>
      <c r="G2451" s="3">
        <f>IFERROR(__xludf.DUMMYFUNCTION("""COMPUTED_VALUE"""),2.892515753E9)</f>
        <v>2892515753</v>
      </c>
      <c r="H2451" s="3"/>
    </row>
    <row r="2452">
      <c r="A2452" s="2">
        <f>IFERROR(__xludf.DUMMYFUNCTION("""COMPUTED_VALUE"""),23077.0)</f>
        <v>23077</v>
      </c>
      <c r="B2452" s="3" t="str">
        <f>IFERROR(__xludf.DUMMYFUNCTION("""COMPUTED_VALUE"""),"3975 PARKER LANE")</f>
        <v>3975 PARKER LANE</v>
      </c>
      <c r="C2452" s="3" t="str">
        <f>IFERROR(__xludf.DUMMYFUNCTION("""COMPUTED_VALUE"""),"COBOURG")</f>
        <v>COBOURG</v>
      </c>
      <c r="D2452" s="3" t="str">
        <f>IFERROR(__xludf.DUMMYFUNCTION("""COMPUTED_VALUE"""),"K9A 4J9")</f>
        <v>K9A 4J9</v>
      </c>
      <c r="E2452" s="3" t="str">
        <f>IFERROR(__xludf.DUMMYFUNCTION("""COMPUTED_VALUE"""),"Doug Reid")</f>
        <v>Doug Reid</v>
      </c>
      <c r="F2452" s="3" t="str">
        <f>IFERROR(__xludf.DUMMYFUNCTION("""COMPUTED_VALUE"""),"sunreid@hotmail.com")</f>
        <v>sunreid@hotmail.com</v>
      </c>
      <c r="G2452" s="3">
        <f>IFERROR(__xludf.DUMMYFUNCTION("""COMPUTED_VALUE"""),9.053423416E9)</f>
        <v>9053423416</v>
      </c>
      <c r="H2452" s="3"/>
    </row>
    <row r="2453">
      <c r="A2453" s="2">
        <f>IFERROR(__xludf.DUMMYFUNCTION("""COMPUTED_VALUE"""),23090.0)</f>
        <v>23090</v>
      </c>
      <c r="B2453" s="3" t="str">
        <f>IFERROR(__xludf.DUMMYFUNCTION("""COMPUTED_VALUE"""),"2821 PETER ST")</f>
        <v>2821 PETER ST</v>
      </c>
      <c r="C2453" s="3" t="str">
        <f>IFERROR(__xludf.DUMMYFUNCTION("""COMPUTED_VALUE"""),"COBOURG")</f>
        <v>COBOURG</v>
      </c>
      <c r="D2453" s="3" t="str">
        <f>IFERROR(__xludf.DUMMYFUNCTION("""COMPUTED_VALUE"""),"K9A 4J9")</f>
        <v>K9A 4J9</v>
      </c>
      <c r="E2453" s="3"/>
      <c r="F2453" s="3"/>
      <c r="G2453" s="3"/>
      <c r="H2453" s="3"/>
    </row>
    <row r="2454">
      <c r="A2454" s="2">
        <f>IFERROR(__xludf.DUMMYFUNCTION("""COMPUTED_VALUE"""),23091.0)</f>
        <v>23091</v>
      </c>
      <c r="B2454" s="3" t="str">
        <f>IFERROR(__xludf.DUMMYFUNCTION("""COMPUTED_VALUE"""),"2825 PETER ST")</f>
        <v>2825 PETER ST</v>
      </c>
      <c r="C2454" s="3" t="str">
        <f>IFERROR(__xludf.DUMMYFUNCTION("""COMPUTED_VALUE"""),"COBOURG")</f>
        <v>COBOURG</v>
      </c>
      <c r="D2454" s="3" t="str">
        <f>IFERROR(__xludf.DUMMYFUNCTION("""COMPUTED_VALUE"""),"K9A 4J9")</f>
        <v>K9A 4J9</v>
      </c>
      <c r="E2454" s="3"/>
      <c r="F2454" s="3"/>
      <c r="G2454" s="3"/>
      <c r="H2454" s="3"/>
    </row>
    <row r="2455">
      <c r="A2455" s="2">
        <f>IFERROR(__xludf.DUMMYFUNCTION("""COMPUTED_VALUE"""),23092.0)</f>
        <v>23092</v>
      </c>
      <c r="B2455" s="3" t="str">
        <f>IFERROR(__xludf.DUMMYFUNCTION("""COMPUTED_VALUE"""),"2826 PETER ST")</f>
        <v>2826 PETER ST</v>
      </c>
      <c r="C2455" s="3" t="str">
        <f>IFERROR(__xludf.DUMMYFUNCTION("""COMPUTED_VALUE"""),"COBOURG")</f>
        <v>COBOURG</v>
      </c>
      <c r="D2455" s="3" t="str">
        <f>IFERROR(__xludf.DUMMYFUNCTION("""COMPUTED_VALUE"""),"K9A 4J9")</f>
        <v>K9A 4J9</v>
      </c>
      <c r="E2455" s="3" t="str">
        <f>IFERROR(__xludf.DUMMYFUNCTION("""COMPUTED_VALUE"""),"Nicou Almeida")</f>
        <v>Nicou Almeida</v>
      </c>
      <c r="F2455" s="3" t="str">
        <f>IFERROR(__xludf.DUMMYFUNCTION("""COMPUTED_VALUE"""),"almeida_n3@hotmail.com")</f>
        <v>almeida_n3@hotmail.com</v>
      </c>
      <c r="G2455" s="3"/>
      <c r="H2455" s="3"/>
    </row>
    <row r="2456">
      <c r="A2456" s="2">
        <f>IFERROR(__xludf.DUMMYFUNCTION("""COMPUTED_VALUE"""),23093.0)</f>
        <v>23093</v>
      </c>
      <c r="B2456" s="3" t="str">
        <f>IFERROR(__xludf.DUMMYFUNCTION("""COMPUTED_VALUE"""),"2834 PETER ST")</f>
        <v>2834 PETER ST</v>
      </c>
      <c r="C2456" s="3" t="str">
        <f>IFERROR(__xludf.DUMMYFUNCTION("""COMPUTED_VALUE"""),"COBOURG")</f>
        <v>COBOURG</v>
      </c>
      <c r="D2456" s="3" t="str">
        <f>IFERROR(__xludf.DUMMYFUNCTION("""COMPUTED_VALUE"""),"K9A 4J9")</f>
        <v>K9A 4J9</v>
      </c>
      <c r="E2456" s="3" t="str">
        <f>IFERROR(__xludf.DUMMYFUNCTION("""COMPUTED_VALUE"""),"Robin Bisset")</f>
        <v>Robin Bisset</v>
      </c>
      <c r="F2456" s="3" t="str">
        <f>IFERROR(__xludf.DUMMYFUNCTION("""COMPUTED_VALUE"""),"groundhog61@live.com")</f>
        <v>groundhog61@live.com</v>
      </c>
      <c r="G2456" s="3"/>
      <c r="H2456" s="3"/>
    </row>
    <row r="2457">
      <c r="A2457" s="2">
        <f>IFERROR(__xludf.DUMMYFUNCTION("""COMPUTED_VALUE"""),23094.0)</f>
        <v>23094</v>
      </c>
      <c r="B2457" s="3" t="str">
        <f>IFERROR(__xludf.DUMMYFUNCTION("""COMPUTED_VALUE"""),"2839 PETER ST")</f>
        <v>2839 PETER ST</v>
      </c>
      <c r="C2457" s="3" t="str">
        <f>IFERROR(__xludf.DUMMYFUNCTION("""COMPUTED_VALUE"""),"COBOURG")</f>
        <v>COBOURG</v>
      </c>
      <c r="D2457" s="3" t="str">
        <f>IFERROR(__xludf.DUMMYFUNCTION("""COMPUTED_VALUE"""),"K9A 4J9")</f>
        <v>K9A 4J9</v>
      </c>
      <c r="E2457" s="3" t="str">
        <f>IFERROR(__xludf.DUMMYFUNCTION("""COMPUTED_VALUE"""),"Donna Cameron ")</f>
        <v>Donna Cameron </v>
      </c>
      <c r="F2457" s="3" t="str">
        <f>IFERROR(__xludf.DUMMYFUNCTION("""COMPUTED_VALUE"""),"donnacameron21@icloud.com")</f>
        <v>donnacameron21@icloud.com</v>
      </c>
      <c r="G2457" s="3"/>
      <c r="H2457" s="3"/>
    </row>
    <row r="2458">
      <c r="A2458" s="2">
        <f>IFERROR(__xludf.DUMMYFUNCTION("""COMPUTED_VALUE"""),23095.0)</f>
        <v>23095</v>
      </c>
      <c r="B2458" s="3" t="str">
        <f>IFERROR(__xludf.DUMMYFUNCTION("""COMPUTED_VALUE"""),"2840 PETER ST")</f>
        <v>2840 PETER ST</v>
      </c>
      <c r="C2458" s="3" t="str">
        <f>IFERROR(__xludf.DUMMYFUNCTION("""COMPUTED_VALUE"""),"COBOURG")</f>
        <v>COBOURG</v>
      </c>
      <c r="D2458" s="3" t="str">
        <f>IFERROR(__xludf.DUMMYFUNCTION("""COMPUTED_VALUE"""),"K9A 4J9")</f>
        <v>K9A 4J9</v>
      </c>
      <c r="E2458" s="3" t="str">
        <f>IFERROR(__xludf.DUMMYFUNCTION("""COMPUTED_VALUE"""),"Ron Vout")</f>
        <v>Ron Vout</v>
      </c>
      <c r="F2458" s="3" t="str">
        <f>IFERROR(__xludf.DUMMYFUNCTION("""COMPUTED_VALUE"""),"ljvout@gmail.com")</f>
        <v>ljvout@gmail.com</v>
      </c>
      <c r="G2458" s="3"/>
      <c r="H2458" s="3"/>
    </row>
    <row r="2459">
      <c r="A2459" s="2">
        <f>IFERROR(__xludf.DUMMYFUNCTION("""COMPUTED_VALUE"""),23096.0)</f>
        <v>23096</v>
      </c>
      <c r="B2459" s="3" t="str">
        <f>IFERROR(__xludf.DUMMYFUNCTION("""COMPUTED_VALUE"""),"2841 PETER ST")</f>
        <v>2841 PETER ST</v>
      </c>
      <c r="C2459" s="3" t="str">
        <f>IFERROR(__xludf.DUMMYFUNCTION("""COMPUTED_VALUE"""),"COBOURG")</f>
        <v>COBOURG</v>
      </c>
      <c r="D2459" s="3" t="str">
        <f>IFERROR(__xludf.DUMMYFUNCTION("""COMPUTED_VALUE"""),"K9A 4J9")</f>
        <v>K9A 4J9</v>
      </c>
      <c r="E2459" s="3" t="str">
        <f>IFERROR(__xludf.DUMMYFUNCTION("""COMPUTED_VALUE"""),"Jonathan white")</f>
        <v>Jonathan white</v>
      </c>
      <c r="F2459" s="3" t="str">
        <f>IFERROR(__xludf.DUMMYFUNCTION("""COMPUTED_VALUE"""),"Jon_white6@hotmail.ca")</f>
        <v>Jon_white6@hotmail.ca</v>
      </c>
      <c r="G2459" s="3">
        <f>IFERROR(__xludf.DUMMYFUNCTION("""COMPUTED_VALUE"""),9.053755459E9)</f>
        <v>9053755459</v>
      </c>
      <c r="H2459" s="3">
        <f>IFERROR(__xludf.DUMMYFUNCTION("""COMPUTED_VALUE"""),9.053758113E9)</f>
        <v>9053758113</v>
      </c>
    </row>
    <row r="2460">
      <c r="A2460" s="2">
        <f>IFERROR(__xludf.DUMMYFUNCTION("""COMPUTED_VALUE"""),22755.0)</f>
        <v>22755</v>
      </c>
      <c r="B2460" s="3" t="str">
        <f>IFERROR(__xludf.DUMMYFUNCTION("""COMPUTED_VALUE"""),"9019 MINIFIE RD")</f>
        <v>9019 MINIFIE RD</v>
      </c>
      <c r="C2460" s="3" t="str">
        <f>IFERROR(__xludf.DUMMYFUNCTION("""COMPUTED_VALUE"""),"COBOURG")</f>
        <v>COBOURG</v>
      </c>
      <c r="D2460" s="3" t="str">
        <f>IFERROR(__xludf.DUMMYFUNCTION("""COMPUTED_VALUE"""),"K9A 4J9")</f>
        <v>K9A 4J9</v>
      </c>
      <c r="E2460" s="3" t="str">
        <f>IFERROR(__xludf.DUMMYFUNCTION("""COMPUTED_VALUE"""),"Beth Kapteyn")</f>
        <v>Beth Kapteyn</v>
      </c>
      <c r="F2460" s="3" t="str">
        <f>IFERROR(__xludf.DUMMYFUNCTION("""COMPUTED_VALUE"""),"kapteyns@hotmail.com")</f>
        <v>kapteyns@hotmail.com</v>
      </c>
      <c r="G2460" s="3">
        <f>IFERROR(__xludf.DUMMYFUNCTION("""COMPUTED_VALUE"""),9.053429222E9)</f>
        <v>9053429222</v>
      </c>
      <c r="H2460" s="3"/>
    </row>
    <row r="2461">
      <c r="A2461" s="2">
        <f>IFERROR(__xludf.DUMMYFUNCTION("""COMPUTED_VALUE"""),22850.0)</f>
        <v>22850</v>
      </c>
      <c r="B2461" s="3" t="str">
        <f>IFERROR(__xludf.DUMMYFUNCTION("""COMPUTED_VALUE"""),"5155 OAK HILLS RD")</f>
        <v>5155 OAK HILLS RD</v>
      </c>
      <c r="C2461" s="3" t="str">
        <f>IFERROR(__xludf.DUMMYFUNCTION("""COMPUTED_VALUE"""),"HAMILTON TOWNSHIP")</f>
        <v>HAMILTON TOWNSHIP</v>
      </c>
      <c r="D2461" s="3" t="str">
        <f>IFERROR(__xludf.DUMMYFUNCTION("""COMPUTED_VALUE"""),"K0L 1E0")</f>
        <v>K0L 1E0</v>
      </c>
      <c r="E2461" s="3" t="str">
        <f>IFERROR(__xludf.DUMMYFUNCTION("""COMPUTED_VALUE"""),"Richard+Joni Rammler")</f>
        <v>Richard+Joni Rammler</v>
      </c>
      <c r="F2461" s="3" t="str">
        <f>IFERROR(__xludf.DUMMYFUNCTION("""COMPUTED_VALUE"""),"jonirammler@yahoo.ca")</f>
        <v>jonirammler@yahoo.ca</v>
      </c>
      <c r="G2461" s="3"/>
      <c r="H2461" s="3"/>
    </row>
    <row r="2462">
      <c r="A2462" s="2">
        <f>IFERROR(__xludf.DUMMYFUNCTION("""COMPUTED_VALUE"""),22459.0)</f>
        <v>22459</v>
      </c>
      <c r="B2462" s="3" t="str">
        <f>IFERROR(__xludf.DUMMYFUNCTION("""COMPUTED_VALUE"""),"2719 LES DAVEY RD")</f>
        <v>2719 LES DAVEY RD</v>
      </c>
      <c r="C2462" s="3" t="str">
        <f>IFERROR(__xludf.DUMMYFUNCTION("""COMPUTED_VALUE"""),"BALTIMORE")</f>
        <v>BALTIMORE</v>
      </c>
      <c r="D2462" s="3" t="str">
        <f>IFERROR(__xludf.DUMMYFUNCTION("""COMPUTED_VALUE"""),"K0K 1C0")</f>
        <v>K0K 1C0</v>
      </c>
      <c r="E2462" s="3"/>
      <c r="F2462" s="3"/>
      <c r="G2462" s="3"/>
      <c r="H2462" s="3"/>
    </row>
    <row r="2463">
      <c r="A2463" s="2">
        <f>IFERROR(__xludf.DUMMYFUNCTION("""COMPUTED_VALUE"""),21361.0)</f>
        <v>21361</v>
      </c>
      <c r="B2463" s="3" t="str">
        <f>IFERROR(__xludf.DUMMYFUNCTION("""COMPUTED_VALUE"""),"8791 DALE RD")</f>
        <v>8791 DALE RD</v>
      </c>
      <c r="C2463" s="3" t="str">
        <f>IFERROR(__xludf.DUMMYFUNCTION("""COMPUTED_VALUE"""),"COBOURG")</f>
        <v>COBOURG</v>
      </c>
      <c r="D2463" s="3" t="str">
        <f>IFERROR(__xludf.DUMMYFUNCTION("""COMPUTED_VALUE"""),"K9A 4J9")</f>
        <v>K9A 4J9</v>
      </c>
      <c r="E2463" s="3"/>
      <c r="F2463" s="3"/>
      <c r="G2463" s="3"/>
      <c r="H2463" s="3"/>
    </row>
    <row r="2464">
      <c r="A2464" s="2">
        <f>IFERROR(__xludf.DUMMYFUNCTION("""COMPUTED_VALUE"""),22460.0)</f>
        <v>22460</v>
      </c>
      <c r="B2464" s="3" t="str">
        <f>IFERROR(__xludf.DUMMYFUNCTION("""COMPUTED_VALUE"""),"2745 LES DAVEY RD")</f>
        <v>2745 LES DAVEY RD</v>
      </c>
      <c r="C2464" s="3" t="str">
        <f>IFERROR(__xludf.DUMMYFUNCTION("""COMPUTED_VALUE"""),"BALTIMORE")</f>
        <v>BALTIMORE</v>
      </c>
      <c r="D2464" s="3" t="str">
        <f>IFERROR(__xludf.DUMMYFUNCTION("""COMPUTED_VALUE"""),"K0K 1C0")</f>
        <v>K0K 1C0</v>
      </c>
      <c r="E2464" s="3" t="str">
        <f>IFERROR(__xludf.DUMMYFUNCTION("""COMPUTED_VALUE"""),"jill godbold")</f>
        <v>jill godbold</v>
      </c>
      <c r="F2464" s="3" t="str">
        <f>IFERROR(__xludf.DUMMYFUNCTION("""COMPUTED_VALUE"""),"jillgodbold@gmail.com")</f>
        <v>jillgodbold@gmail.com</v>
      </c>
      <c r="G2464" s="3">
        <f>IFERROR(__xludf.DUMMYFUNCTION("""COMPUTED_VALUE"""),4.167109762E9)</f>
        <v>4167109762</v>
      </c>
      <c r="H2464" s="3"/>
    </row>
    <row r="2465">
      <c r="A2465" s="2">
        <f>IFERROR(__xludf.DUMMYFUNCTION("""COMPUTED_VALUE"""),23135.0)</f>
        <v>23135</v>
      </c>
      <c r="B2465" s="3" t="str">
        <f>IFERROR(__xludf.DUMMYFUNCTION("""COMPUTED_VALUE"""),"8791 RACETRACK RD")</f>
        <v>8791 RACETRACK RD</v>
      </c>
      <c r="C2465" s="3" t="str">
        <f>IFERROR(__xludf.DUMMYFUNCTION("""COMPUTED_VALUE"""),"COBOURG")</f>
        <v>COBOURG</v>
      </c>
      <c r="D2465" s="3" t="str">
        <f>IFERROR(__xludf.DUMMYFUNCTION("""COMPUTED_VALUE"""),"K9A 4J9")</f>
        <v>K9A 4J9</v>
      </c>
      <c r="E2465" s="3"/>
      <c r="F2465" s="3"/>
      <c r="G2465" s="3"/>
      <c r="H2465" s="3"/>
    </row>
    <row r="2466">
      <c r="A2466" s="2">
        <f>IFERROR(__xludf.DUMMYFUNCTION("""COMPUTED_VALUE"""),22461.0)</f>
        <v>22461</v>
      </c>
      <c r="B2466" s="3" t="str">
        <f>IFERROR(__xludf.DUMMYFUNCTION("""COMPUTED_VALUE"""),"2773 LES DAVEY RD")</f>
        <v>2773 LES DAVEY RD</v>
      </c>
      <c r="C2466" s="3" t="str">
        <f>IFERROR(__xludf.DUMMYFUNCTION("""COMPUTED_VALUE"""),"BALTIMORE")</f>
        <v>BALTIMORE</v>
      </c>
      <c r="D2466" s="3" t="str">
        <f>IFERROR(__xludf.DUMMYFUNCTION("""COMPUTED_VALUE"""),"K0K 1C0")</f>
        <v>K0K 1C0</v>
      </c>
      <c r="E2466" s="3" t="str">
        <f>IFERROR(__xludf.DUMMYFUNCTION("""COMPUTED_VALUE"""),"Cinto Roy")</f>
        <v>Cinto Roy</v>
      </c>
      <c r="F2466" s="3" t="str">
        <f>IFERROR(__xludf.DUMMYFUNCTION("""COMPUTED_VALUE"""),"roycinto@gmail.com")</f>
        <v>roycinto@gmail.com</v>
      </c>
      <c r="G2466" s="3">
        <f>IFERROR(__xludf.DUMMYFUNCTION("""COMPUTED_VALUE"""),4.16779536E8)</f>
        <v>416779536</v>
      </c>
      <c r="H2466" s="3"/>
    </row>
    <row r="2467">
      <c r="A2467" s="2">
        <f>IFERROR(__xludf.DUMMYFUNCTION("""COMPUTED_VALUE"""),22462.0)</f>
        <v>22462</v>
      </c>
      <c r="B2467" s="3" t="str">
        <f>IFERROR(__xludf.DUMMYFUNCTION("""COMPUTED_VALUE"""),"2774 LES DAVEY RD")</f>
        <v>2774 LES DAVEY RD</v>
      </c>
      <c r="C2467" s="3" t="str">
        <f>IFERROR(__xludf.DUMMYFUNCTION("""COMPUTED_VALUE"""),"BALTIMORE")</f>
        <v>BALTIMORE</v>
      </c>
      <c r="D2467" s="3" t="str">
        <f>IFERROR(__xludf.DUMMYFUNCTION("""COMPUTED_VALUE"""),"K0K 1C0")</f>
        <v>K0K 1C0</v>
      </c>
      <c r="E2467" s="3" t="str">
        <f>IFERROR(__xludf.DUMMYFUNCTION("""COMPUTED_VALUE"""),"Jim Rutherford")</f>
        <v>Jim Rutherford</v>
      </c>
      <c r="F2467" s="3" t="str">
        <f>IFERROR(__xludf.DUMMYFUNCTION("""COMPUTED_VALUE"""),"jrutherford265@gmail.com")</f>
        <v>jrutherford265@gmail.com</v>
      </c>
      <c r="G2467" s="3">
        <f>IFERROR(__xludf.DUMMYFUNCTION("""COMPUTED_VALUE"""),9.05396803E9)</f>
        <v>9053968030</v>
      </c>
      <c r="H2467" s="3"/>
    </row>
    <row r="2468">
      <c r="A2468" s="2">
        <f>IFERROR(__xludf.DUMMYFUNCTION("""COMPUTED_VALUE"""),21362.0)</f>
        <v>21362</v>
      </c>
      <c r="B2468" s="3" t="str">
        <f>IFERROR(__xludf.DUMMYFUNCTION("""COMPUTED_VALUE"""),"8803 DALE RD")</f>
        <v>8803 DALE RD</v>
      </c>
      <c r="C2468" s="3" t="str">
        <f>IFERROR(__xludf.DUMMYFUNCTION("""COMPUTED_VALUE"""),"COBOURG")</f>
        <v>COBOURG</v>
      </c>
      <c r="D2468" s="3" t="str">
        <f>IFERROR(__xludf.DUMMYFUNCTION("""COMPUTED_VALUE"""),"K9A 4J9")</f>
        <v>K9A 4J9</v>
      </c>
      <c r="E2468" s="3"/>
      <c r="F2468" s="3"/>
      <c r="G2468" s="3"/>
      <c r="H2468" s="3"/>
    </row>
    <row r="2469">
      <c r="A2469" s="2">
        <f>IFERROR(__xludf.DUMMYFUNCTION("""COMPUTED_VALUE"""),22756.0)</f>
        <v>22756</v>
      </c>
      <c r="B2469" s="3" t="str">
        <f>IFERROR(__xludf.DUMMYFUNCTION("""COMPUTED_VALUE"""),"9027 MINIFIE RD")</f>
        <v>9027 MINIFIE RD</v>
      </c>
      <c r="C2469" s="3" t="str">
        <f>IFERROR(__xludf.DUMMYFUNCTION("""COMPUTED_VALUE"""),"COBOURG")</f>
        <v>COBOURG</v>
      </c>
      <c r="D2469" s="3" t="str">
        <f>IFERROR(__xludf.DUMMYFUNCTION("""COMPUTED_VALUE"""),"K9A 4J9")</f>
        <v>K9A 4J9</v>
      </c>
      <c r="E2469" s="3" t="str">
        <f>IFERROR(__xludf.DUMMYFUNCTION("""COMPUTED_VALUE"""),"Ray Dolan")</f>
        <v>Ray Dolan</v>
      </c>
      <c r="F2469" s="3" t="str">
        <f>IFERROR(__xludf.DUMMYFUNCTION("""COMPUTED_VALUE"""),"ray.dolan@hotmail.com")</f>
        <v>ray.dolan@hotmail.com</v>
      </c>
      <c r="G2469" s="3"/>
      <c r="H2469" s="3"/>
    </row>
    <row r="2470">
      <c r="A2470" s="2">
        <f>IFERROR(__xludf.DUMMYFUNCTION("""COMPUTED_VALUE"""),22852.0)</f>
        <v>22852</v>
      </c>
      <c r="B2470" s="3" t="str">
        <f>IFERROR(__xludf.DUMMYFUNCTION("""COMPUTED_VALUE"""),"5159 OAK HILLS RD")</f>
        <v>5159 OAK HILLS RD</v>
      </c>
      <c r="C2470" s="3" t="str">
        <f>IFERROR(__xludf.DUMMYFUNCTION("""COMPUTED_VALUE"""),"HAMILTON TOWNSHIP")</f>
        <v>HAMILTON TOWNSHIP</v>
      </c>
      <c r="D2470" s="3" t="str">
        <f>IFERROR(__xludf.DUMMYFUNCTION("""COMPUTED_VALUE"""),"K0L 1E0")</f>
        <v>K0L 1E0</v>
      </c>
      <c r="E2470" s="3" t="str">
        <f>IFERROR(__xludf.DUMMYFUNCTION("""COMPUTED_VALUE"""),"Darlene Bradley")</f>
        <v>Darlene Bradley</v>
      </c>
      <c r="F2470" s="3" t="str">
        <f>IFERROR(__xludf.DUMMYFUNCTION("""COMPUTED_VALUE"""),"itech@eagle.ca")</f>
        <v>itech@eagle.ca</v>
      </c>
      <c r="G2470" s="3"/>
      <c r="H2470" s="3"/>
    </row>
    <row r="2471">
      <c r="A2471" s="2">
        <f>IFERROR(__xludf.DUMMYFUNCTION("""COMPUTED_VALUE"""),21363.0)</f>
        <v>21363</v>
      </c>
      <c r="B2471" s="3" t="str">
        <f>IFERROR(__xludf.DUMMYFUNCTION("""COMPUTED_VALUE"""),"8829 DALE RD")</f>
        <v>8829 DALE RD</v>
      </c>
      <c r="C2471" s="3" t="str">
        <f>IFERROR(__xludf.DUMMYFUNCTION("""COMPUTED_VALUE"""),"COBOURG")</f>
        <v>COBOURG</v>
      </c>
      <c r="D2471" s="3" t="str">
        <f>IFERROR(__xludf.DUMMYFUNCTION("""COMPUTED_VALUE"""),"K9A 4J9")</f>
        <v>K9A 4J9</v>
      </c>
      <c r="E2471" s="3"/>
      <c r="F2471" s="3"/>
      <c r="G2471" s="3"/>
      <c r="H2471" s="3"/>
    </row>
    <row r="2472">
      <c r="A2472" s="2">
        <f>IFERROR(__xludf.DUMMYFUNCTION("""COMPUTED_VALUE"""),21275.0)</f>
        <v>21275</v>
      </c>
      <c r="B2472" s="3" t="str">
        <f>IFERROR(__xludf.DUMMYFUNCTION("""COMPUTED_VALUE"""),"7755 DALE RD")</f>
        <v>7755 DALE RD</v>
      </c>
      <c r="C2472" s="3" t="str">
        <f>IFERROR(__xludf.DUMMYFUNCTION("""COMPUTED_VALUE"""),"COBOURG")</f>
        <v>COBOURG</v>
      </c>
      <c r="D2472" s="3" t="str">
        <f>IFERROR(__xludf.DUMMYFUNCTION("""COMPUTED_VALUE"""),"K9A 4J7")</f>
        <v>K9A 4J7</v>
      </c>
      <c r="E2472" s="3"/>
      <c r="F2472" s="3"/>
      <c r="G2472" s="3"/>
      <c r="H2472" s="3"/>
    </row>
    <row r="2473">
      <c r="A2473" s="2">
        <f>IFERROR(__xludf.DUMMYFUNCTION("""COMPUTED_VALUE"""),22881.0)</f>
        <v>22881</v>
      </c>
      <c r="B2473" s="3" t="str">
        <f>IFERROR(__xludf.DUMMYFUNCTION("""COMPUTED_VALUE"""),"5343 OLD SCHOOL HOUSE RD")</f>
        <v>5343 OLD SCHOOL HOUSE RD</v>
      </c>
      <c r="C2473" s="3" t="str">
        <f>IFERROR(__xludf.DUMMYFUNCTION("""COMPUTED_VALUE"""),"HARWOOD")</f>
        <v>HARWOOD</v>
      </c>
      <c r="D2473" s="3" t="str">
        <f>IFERROR(__xludf.DUMMYFUNCTION("""COMPUTED_VALUE"""),"K0K 2H0")</f>
        <v>K0K 2H0</v>
      </c>
      <c r="E2473" s="3" t="str">
        <f>IFERROR(__xludf.DUMMYFUNCTION("""COMPUTED_VALUE"""),"Alanna clark")</f>
        <v>Alanna clark</v>
      </c>
      <c r="F2473" s="3" t="str">
        <f>IFERROR(__xludf.DUMMYFUNCTION("""COMPUTED_VALUE"""),"alannaclark33@gmail.com")</f>
        <v>alannaclark33@gmail.com</v>
      </c>
      <c r="G2473" s="3">
        <f>IFERROR(__xludf.DUMMYFUNCTION("""COMPUTED_VALUE"""),2.896912079E9)</f>
        <v>2896912079</v>
      </c>
      <c r="H2473" s="3">
        <f>IFERROR(__xludf.DUMMYFUNCTION("""COMPUTED_VALUE"""),9.053760035E9)</f>
        <v>9053760035</v>
      </c>
    </row>
    <row r="2474">
      <c r="A2474" s="2">
        <f>IFERROR(__xludf.DUMMYFUNCTION("""COMPUTED_VALUE"""),22463.0)</f>
        <v>22463</v>
      </c>
      <c r="B2474" s="3" t="str">
        <f>IFERROR(__xludf.DUMMYFUNCTION("""COMPUTED_VALUE"""),"2778 LES DAVEY RD")</f>
        <v>2778 LES DAVEY RD</v>
      </c>
      <c r="C2474" s="3" t="str">
        <f>IFERROR(__xludf.DUMMYFUNCTION("""COMPUTED_VALUE"""),"BALTIMORE")</f>
        <v>BALTIMORE</v>
      </c>
      <c r="D2474" s="3" t="str">
        <f>IFERROR(__xludf.DUMMYFUNCTION("""COMPUTED_VALUE"""),"K0K 1C0")</f>
        <v>K0K 1C0</v>
      </c>
      <c r="E2474" s="3" t="str">
        <f>IFERROR(__xludf.DUMMYFUNCTION("""COMPUTED_VALUE"""),"Melanie Hill")</f>
        <v>Melanie Hill</v>
      </c>
      <c r="F2474" s="3" t="str">
        <f>IFERROR(__xludf.DUMMYFUNCTION("""COMPUTED_VALUE"""),"hillbomb74@gmail.com")</f>
        <v>hillbomb74@gmail.com</v>
      </c>
      <c r="G2474" s="3">
        <f>IFERROR(__xludf.DUMMYFUNCTION("""COMPUTED_VALUE"""),4.16553654E9)</f>
        <v>4165536540</v>
      </c>
      <c r="H2474" s="3">
        <f>IFERROR(__xludf.DUMMYFUNCTION("""COMPUTED_VALUE"""),9.053963764E9)</f>
        <v>9053963764</v>
      </c>
    </row>
    <row r="2475">
      <c r="A2475" s="2">
        <f>IFERROR(__xludf.DUMMYFUNCTION("""COMPUTED_VALUE"""),23123.0)</f>
        <v>23123</v>
      </c>
      <c r="B2475" s="3" t="str">
        <f>IFERROR(__xludf.DUMMYFUNCTION("""COMPUTED_VALUE"""),"3701 POLLARD RD")</f>
        <v>3701 POLLARD RD</v>
      </c>
      <c r="C2475" s="3" t="str">
        <f>IFERROR(__xludf.DUMMYFUNCTION("""COMPUTED_VALUE"""),"BALTIMORE")</f>
        <v>BALTIMORE</v>
      </c>
      <c r="D2475" s="3" t="str">
        <f>IFERROR(__xludf.DUMMYFUNCTION("""COMPUTED_VALUE"""),"K0K 1C0")</f>
        <v>K0K 1C0</v>
      </c>
      <c r="E2475" s="3"/>
      <c r="F2475" s="3"/>
      <c r="G2475" s="3"/>
      <c r="H2475" s="3"/>
    </row>
    <row r="2476">
      <c r="A2476" s="2">
        <f>IFERROR(__xludf.DUMMYFUNCTION("""COMPUTED_VALUE"""),23124.0)</f>
        <v>23124</v>
      </c>
      <c r="B2476" s="3" t="str">
        <f>IFERROR(__xludf.DUMMYFUNCTION("""COMPUTED_VALUE"""),"3704 POLLARD RD")</f>
        <v>3704 POLLARD RD</v>
      </c>
      <c r="C2476" s="3" t="str">
        <f>IFERROR(__xludf.DUMMYFUNCTION("""COMPUTED_VALUE"""),"BALTIMORE")</f>
        <v>BALTIMORE</v>
      </c>
      <c r="D2476" s="3" t="str">
        <f>IFERROR(__xludf.DUMMYFUNCTION("""COMPUTED_VALUE"""),"K0K 1C0")</f>
        <v>K0K 1C0</v>
      </c>
      <c r="E2476" s="3" t="str">
        <f>IFERROR(__xludf.DUMMYFUNCTION("""COMPUTED_VALUE"""),"Krista Shuman")</f>
        <v>Krista Shuman</v>
      </c>
      <c r="F2476" s="3" t="str">
        <f>IFERROR(__xludf.DUMMYFUNCTION("""COMPUTED_VALUE"""),"shuman.krista@gmail.com")</f>
        <v>shuman.krista@gmail.com</v>
      </c>
      <c r="G2476" s="3"/>
      <c r="H2476" s="3"/>
    </row>
    <row r="2477">
      <c r="A2477" s="2">
        <f>IFERROR(__xludf.DUMMYFUNCTION("""COMPUTED_VALUE"""),23125.0)</f>
        <v>23125</v>
      </c>
      <c r="B2477" s="3" t="str">
        <f>IFERROR(__xludf.DUMMYFUNCTION("""COMPUTED_VALUE"""),"3711 POLLARD RD")</f>
        <v>3711 POLLARD RD</v>
      </c>
      <c r="C2477" s="3" t="str">
        <f>IFERROR(__xludf.DUMMYFUNCTION("""COMPUTED_VALUE"""),"BALTIMORE")</f>
        <v>BALTIMORE</v>
      </c>
      <c r="D2477" s="3" t="str">
        <f>IFERROR(__xludf.DUMMYFUNCTION("""COMPUTED_VALUE"""),"K0K 1C0")</f>
        <v>K0K 1C0</v>
      </c>
      <c r="E2477" s="3"/>
      <c r="F2477" s="3"/>
      <c r="G2477" s="3"/>
      <c r="H2477" s="3"/>
    </row>
    <row r="2478">
      <c r="A2478" s="2">
        <f>IFERROR(__xludf.DUMMYFUNCTION("""COMPUTED_VALUE"""),23126.0)</f>
        <v>23126</v>
      </c>
      <c r="B2478" s="3" t="str">
        <f>IFERROR(__xludf.DUMMYFUNCTION("""COMPUTED_VALUE"""),"3739 POLLOCK RD")</f>
        <v>3739 POLLOCK RD</v>
      </c>
      <c r="C2478" s="3" t="str">
        <f>IFERROR(__xludf.DUMMYFUNCTION("""COMPUTED_VALUE"""),"BALTIMORE")</f>
        <v>BALTIMORE</v>
      </c>
      <c r="D2478" s="3" t="str">
        <f>IFERROR(__xludf.DUMMYFUNCTION("""COMPUTED_VALUE"""),"K0K 1C0")</f>
        <v>K0K 1C0</v>
      </c>
      <c r="E2478" s="3"/>
      <c r="F2478" s="3"/>
      <c r="G2478" s="3"/>
      <c r="H2478" s="3"/>
    </row>
    <row r="2479">
      <c r="A2479" s="2">
        <f>IFERROR(__xludf.DUMMYFUNCTION("""COMPUTED_VALUE"""),23127.0)</f>
        <v>23127</v>
      </c>
      <c r="B2479" s="3" t="str">
        <f>IFERROR(__xludf.DUMMYFUNCTION("""COMPUTED_VALUE"""),"3742 POLLOCK RD")</f>
        <v>3742 POLLOCK RD</v>
      </c>
      <c r="C2479" s="3" t="str">
        <f>IFERROR(__xludf.DUMMYFUNCTION("""COMPUTED_VALUE"""),"BALTIMORE")</f>
        <v>BALTIMORE</v>
      </c>
      <c r="D2479" s="3" t="str">
        <f>IFERROR(__xludf.DUMMYFUNCTION("""COMPUTED_VALUE"""),"K0K 1C0")</f>
        <v>K0K 1C0</v>
      </c>
      <c r="E2479" s="3" t="str">
        <f>IFERROR(__xludf.DUMMYFUNCTION("""COMPUTED_VALUE"""),"Adam Greig")</f>
        <v>Adam Greig</v>
      </c>
      <c r="F2479" s="3" t="str">
        <f>IFERROR(__xludf.DUMMYFUNCTION("""COMPUTED_VALUE"""),"adam.greig54@gmail.com")</f>
        <v>adam.greig54@gmail.com</v>
      </c>
      <c r="G2479" s="3">
        <f>IFERROR(__xludf.DUMMYFUNCTION("""COMPUTED_VALUE"""),7.053089848E9)</f>
        <v>7053089848</v>
      </c>
      <c r="H2479" s="3"/>
    </row>
    <row r="2480">
      <c r="A2480" s="2">
        <f>IFERROR(__xludf.DUMMYFUNCTION("""COMPUTED_VALUE"""),23128.0)</f>
        <v>23128</v>
      </c>
      <c r="B2480" s="3" t="str">
        <f>IFERROR(__xludf.DUMMYFUNCTION("""COMPUTED_VALUE"""),"3756 POLLOCK RD")</f>
        <v>3756 POLLOCK RD</v>
      </c>
      <c r="C2480" s="3" t="str">
        <f>IFERROR(__xludf.DUMMYFUNCTION("""COMPUTED_VALUE"""),"BALTIMORE")</f>
        <v>BALTIMORE</v>
      </c>
      <c r="D2480" s="3" t="str">
        <f>IFERROR(__xludf.DUMMYFUNCTION("""COMPUTED_VALUE"""),"K0K 1C0")</f>
        <v>K0K 1C0</v>
      </c>
      <c r="E2480" s="3" t="str">
        <f>IFERROR(__xludf.DUMMYFUNCTION("""COMPUTED_VALUE"""),"jess downey")</f>
        <v>jess downey</v>
      </c>
      <c r="F2480" s="3"/>
      <c r="G2480" s="3">
        <f>IFERROR(__xludf.DUMMYFUNCTION("""COMPUTED_VALUE"""),9.053423366E9)</f>
        <v>9053423366</v>
      </c>
      <c r="H2480" s="3"/>
    </row>
    <row r="2481">
      <c r="A2481" s="2">
        <f>IFERROR(__xludf.DUMMYFUNCTION("""COMPUTED_VALUE"""),21349.0)</f>
        <v>21349</v>
      </c>
      <c r="B2481" s="3" t="str">
        <f>IFERROR(__xludf.DUMMYFUNCTION("""COMPUTED_VALUE"""),"8691 DALE RD")</f>
        <v>8691 DALE RD</v>
      </c>
      <c r="C2481" s="3" t="str">
        <f>IFERROR(__xludf.DUMMYFUNCTION("""COMPUTED_VALUE"""),"COBOURG")</f>
        <v>COBOURG</v>
      </c>
      <c r="D2481" s="3" t="str">
        <f>IFERROR(__xludf.DUMMYFUNCTION("""COMPUTED_VALUE"""),"K9A 0M5")</f>
        <v>K9A 0M5</v>
      </c>
      <c r="E2481" s="3" t="str">
        <f>IFERROR(__xludf.DUMMYFUNCTION("""COMPUTED_VALUE"""),"Luc McFadden")</f>
        <v>Luc McFadden</v>
      </c>
      <c r="F2481" s="3" t="str">
        <f>IFERROR(__xludf.DUMMYFUNCTION("""COMPUTED_VALUE"""),"fuddy007@hotmail.com")</f>
        <v>fuddy007@hotmail.com</v>
      </c>
      <c r="G2481" s="3">
        <f>IFERROR(__xludf.DUMMYFUNCTION("""COMPUTED_VALUE"""),9.053768025E9)</f>
        <v>9053768025</v>
      </c>
      <c r="H2481" s="3"/>
    </row>
    <row r="2482">
      <c r="A2482" s="2">
        <f>IFERROR(__xludf.DUMMYFUNCTION("""COMPUTED_VALUE"""),23923.0)</f>
        <v>23923</v>
      </c>
      <c r="B2482" s="3" t="str">
        <f>IFERROR(__xludf.DUMMYFUNCTION("""COMPUTED_VALUE"""),"8836 RACETRACK RD")</f>
        <v>8836 RACETRACK RD</v>
      </c>
      <c r="C2482" s="3" t="str">
        <f>IFERROR(__xludf.DUMMYFUNCTION("""COMPUTED_VALUE"""),"COBOURG")</f>
        <v>COBOURG</v>
      </c>
      <c r="D2482" s="3" t="str">
        <f>IFERROR(__xludf.DUMMYFUNCTION("""COMPUTED_VALUE"""),"K9A 4J9")</f>
        <v>K9A 4J9</v>
      </c>
      <c r="E2482" s="3"/>
      <c r="F2482" s="3"/>
      <c r="G2482" s="3"/>
      <c r="H2482" s="3"/>
    </row>
    <row r="2483">
      <c r="A2483" s="2">
        <f>IFERROR(__xludf.DUMMYFUNCTION("""COMPUTED_VALUE"""),22757.0)</f>
        <v>22757</v>
      </c>
      <c r="B2483" s="3" t="str">
        <f>IFERROR(__xludf.DUMMYFUNCTION("""COMPUTED_VALUE"""),"9035 MINIFIE RD")</f>
        <v>9035 MINIFIE RD</v>
      </c>
      <c r="C2483" s="3" t="str">
        <f>IFERROR(__xludf.DUMMYFUNCTION("""COMPUTED_VALUE"""),"COBOURG")</f>
        <v>COBOURG</v>
      </c>
      <c r="D2483" s="3" t="str">
        <f>IFERROR(__xludf.DUMMYFUNCTION("""COMPUTED_VALUE"""),"K9A 4J9")</f>
        <v>K9A 4J9</v>
      </c>
      <c r="E2483" s="3" t="str">
        <f>IFERROR(__xludf.DUMMYFUNCTION("""COMPUTED_VALUE"""),"meghan patterson")</f>
        <v>meghan patterson</v>
      </c>
      <c r="F2483" s="3" t="str">
        <f>IFERROR(__xludf.DUMMYFUNCTION("""COMPUTED_VALUE"""),"megpatt@outlook.com")</f>
        <v>megpatt@outlook.com</v>
      </c>
      <c r="G2483" s="3">
        <f>IFERROR(__xludf.DUMMYFUNCTION("""COMPUTED_VALUE"""),9.052598275E9)</f>
        <v>9052598275</v>
      </c>
      <c r="H2483" s="3">
        <f>IFERROR(__xludf.DUMMYFUNCTION("""COMPUTED_VALUE"""),9.056448309E9)</f>
        <v>9056448309</v>
      </c>
    </row>
    <row r="2484">
      <c r="A2484" s="2">
        <f>IFERROR(__xludf.DUMMYFUNCTION("""COMPUTED_VALUE"""),23139.0)</f>
        <v>23139</v>
      </c>
      <c r="B2484" s="3" t="str">
        <f>IFERROR(__xludf.DUMMYFUNCTION("""COMPUTED_VALUE"""),"8851 RACETRACK RD")</f>
        <v>8851 RACETRACK RD</v>
      </c>
      <c r="C2484" s="3" t="str">
        <f>IFERROR(__xludf.DUMMYFUNCTION("""COMPUTED_VALUE"""),"COBOURG")</f>
        <v>COBOURG</v>
      </c>
      <c r="D2484" s="3" t="str">
        <f>IFERROR(__xludf.DUMMYFUNCTION("""COMPUTED_VALUE"""),"K9A 4J9")</f>
        <v>K9A 4J9</v>
      </c>
      <c r="E2484" s="3"/>
      <c r="F2484" s="3"/>
      <c r="G2484" s="3"/>
      <c r="H2484" s="3"/>
    </row>
    <row r="2485">
      <c r="A2485" s="2">
        <f>IFERROR(__xludf.DUMMYFUNCTION("""COMPUTED_VALUE"""),23140.0)</f>
        <v>23140</v>
      </c>
      <c r="B2485" s="3" t="str">
        <f>IFERROR(__xludf.DUMMYFUNCTION("""COMPUTED_VALUE"""),"8857 RACETRACK RD")</f>
        <v>8857 RACETRACK RD</v>
      </c>
      <c r="C2485" s="3" t="str">
        <f>IFERROR(__xludf.DUMMYFUNCTION("""COMPUTED_VALUE"""),"COBOURG")</f>
        <v>COBOURG</v>
      </c>
      <c r="D2485" s="3" t="str">
        <f>IFERROR(__xludf.DUMMYFUNCTION("""COMPUTED_VALUE"""),"K9A 4J9")</f>
        <v>K9A 4J9</v>
      </c>
      <c r="E2485" s="3"/>
      <c r="F2485" s="3"/>
      <c r="G2485" s="3"/>
      <c r="H2485" s="3"/>
    </row>
    <row r="2486">
      <c r="A2486" s="2">
        <f>IFERROR(__xludf.DUMMYFUNCTION("""COMPUTED_VALUE"""),23103.0)</f>
        <v>23103</v>
      </c>
      <c r="B2486" s="3" t="str">
        <f>IFERROR(__xludf.DUMMYFUNCTION("""COMPUTED_VALUE"""),"3269 PIONEER RD")</f>
        <v>3269 PIONEER RD</v>
      </c>
      <c r="C2486" s="3" t="str">
        <f>IFERROR(__xludf.DUMMYFUNCTION("""COMPUTED_VALUE"""),"BALTIMORE")</f>
        <v>BALTIMORE</v>
      </c>
      <c r="D2486" s="3" t="str">
        <f>IFERROR(__xludf.DUMMYFUNCTION("""COMPUTED_VALUE"""),"K0K 1C0")</f>
        <v>K0K 1C0</v>
      </c>
      <c r="E2486" s="3"/>
      <c r="F2486" s="3"/>
      <c r="G2486" s="3"/>
      <c r="H2486" s="3"/>
    </row>
    <row r="2487">
      <c r="A2487" s="2">
        <f>IFERROR(__xludf.DUMMYFUNCTION("""COMPUTED_VALUE"""),21276.0)</f>
        <v>21276</v>
      </c>
      <c r="B2487" s="3" t="str">
        <f>IFERROR(__xludf.DUMMYFUNCTION("""COMPUTED_VALUE"""),"7759 DALE RD")</f>
        <v>7759 DALE RD</v>
      </c>
      <c r="C2487" s="3" t="str">
        <f>IFERROR(__xludf.DUMMYFUNCTION("""COMPUTED_VALUE"""),"COBOURG")</f>
        <v>COBOURG</v>
      </c>
      <c r="D2487" s="3" t="str">
        <f>IFERROR(__xludf.DUMMYFUNCTION("""COMPUTED_VALUE"""),"K9A 4J7")</f>
        <v>K9A 4J7</v>
      </c>
      <c r="E2487" s="3"/>
      <c r="F2487" s="3"/>
      <c r="G2487" s="3"/>
      <c r="H2487" s="3"/>
    </row>
    <row r="2488">
      <c r="A2488" s="2">
        <f>IFERROR(__xludf.DUMMYFUNCTION("""COMPUTED_VALUE"""),21350.0)</f>
        <v>21350</v>
      </c>
      <c r="B2488" s="3" t="str">
        <f>IFERROR(__xludf.DUMMYFUNCTION("""COMPUTED_VALUE"""),"8693 DALE RD")</f>
        <v>8693 DALE RD</v>
      </c>
      <c r="C2488" s="3" t="str">
        <f>IFERROR(__xludf.DUMMYFUNCTION("""COMPUTED_VALUE"""),"COBOURG")</f>
        <v>COBOURG</v>
      </c>
      <c r="D2488" s="3" t="str">
        <f>IFERROR(__xludf.DUMMYFUNCTION("""COMPUTED_VALUE"""),"K9A 0M5")</f>
        <v>K9A 0M5</v>
      </c>
      <c r="E2488" s="3" t="str">
        <f>IFERROR(__xludf.DUMMYFUNCTION("""COMPUTED_VALUE"""),"darrell abrams")</f>
        <v>darrell abrams</v>
      </c>
      <c r="F2488" s="3" t="str">
        <f>IFERROR(__xludf.DUMMYFUNCTION("""COMPUTED_VALUE"""),"darrellabrams3@gmail.com")</f>
        <v>darrellabrams3@gmail.com</v>
      </c>
      <c r="G2488" s="3">
        <f>IFERROR(__xludf.DUMMYFUNCTION("""COMPUTED_VALUE"""),9.052695135E9)</f>
        <v>9052695135</v>
      </c>
      <c r="H2488" s="3"/>
    </row>
    <row r="2489">
      <c r="A2489" s="2">
        <f>IFERROR(__xludf.DUMMYFUNCTION("""COMPUTED_VALUE"""),22473.0)</f>
        <v>22473</v>
      </c>
      <c r="B2489" s="3" t="str">
        <f>IFERROR(__xludf.DUMMYFUNCTION("""COMPUTED_VALUE"""),"8907 LEWIS CRT")</f>
        <v>8907 LEWIS CRT</v>
      </c>
      <c r="C2489" s="3" t="str">
        <f>IFERROR(__xludf.DUMMYFUNCTION("""COMPUTED_VALUE"""),"GORES LANDING")</f>
        <v>GORES LANDING</v>
      </c>
      <c r="D2489" s="3" t="str">
        <f>IFERROR(__xludf.DUMMYFUNCTION("""COMPUTED_VALUE"""),"K0K 2E0")</f>
        <v>K0K 2E0</v>
      </c>
      <c r="E2489" s="3"/>
      <c r="F2489" s="3"/>
      <c r="G2489" s="3"/>
      <c r="H2489" s="3"/>
    </row>
    <row r="2490">
      <c r="A2490" s="2">
        <f>IFERROR(__xludf.DUMMYFUNCTION("""COMPUTED_VALUE"""),23105.0)</f>
        <v>23105</v>
      </c>
      <c r="B2490" s="3" t="str">
        <f>IFERROR(__xludf.DUMMYFUNCTION("""COMPUTED_VALUE"""),"3273 PIONEER RD")</f>
        <v>3273 PIONEER RD</v>
      </c>
      <c r="C2490" s="3" t="str">
        <f>IFERROR(__xludf.DUMMYFUNCTION("""COMPUTED_VALUE"""),"BALTIMORE")</f>
        <v>BALTIMORE</v>
      </c>
      <c r="D2490" s="3" t="str">
        <f>IFERROR(__xludf.DUMMYFUNCTION("""COMPUTED_VALUE"""),"K0K 1C0")</f>
        <v>K0K 1C0</v>
      </c>
      <c r="E2490" s="3" t="str">
        <f>IFERROR(__xludf.DUMMYFUNCTION("""COMPUTED_VALUE"""),"trey charbonneau ")</f>
        <v>trey charbonneau </v>
      </c>
      <c r="F2490" s="3"/>
      <c r="G2490" s="3">
        <f>IFERROR(__xludf.DUMMYFUNCTION("""COMPUTED_VALUE"""),5.198358769E9)</f>
        <v>5198358769</v>
      </c>
      <c r="H2490" s="3"/>
    </row>
    <row r="2491">
      <c r="A2491" s="2">
        <f>IFERROR(__xludf.DUMMYFUNCTION("""COMPUTED_VALUE"""),23142.0)</f>
        <v>23142</v>
      </c>
      <c r="B2491" s="3" t="str">
        <f>IFERROR(__xludf.DUMMYFUNCTION("""COMPUTED_VALUE"""),"8900 RACETRACK RD")</f>
        <v>8900 RACETRACK RD</v>
      </c>
      <c r="C2491" s="3" t="str">
        <f>IFERROR(__xludf.DUMMYFUNCTION("""COMPUTED_VALUE"""),"COBOURG")</f>
        <v>COBOURG</v>
      </c>
      <c r="D2491" s="3" t="str">
        <f>IFERROR(__xludf.DUMMYFUNCTION("""COMPUTED_VALUE"""),"K9A 4J9")</f>
        <v>K9A 4J9</v>
      </c>
      <c r="E2491" s="3" t="str">
        <f>IFERROR(__xludf.DUMMYFUNCTION("""COMPUTED_VALUE"""),"Gordon Jibb")</f>
        <v>Gordon Jibb</v>
      </c>
      <c r="F2491" s="3" t="str">
        <f>IFERROR(__xludf.DUMMYFUNCTION("""COMPUTED_VALUE"""),"gordjibb@xplornet.ca")</f>
        <v>gordjibb@xplornet.ca</v>
      </c>
      <c r="G2491" s="3">
        <f>IFERROR(__xludf.DUMMYFUNCTION("""COMPUTED_VALUE"""),9.053775422E9)</f>
        <v>9053775422</v>
      </c>
      <c r="H2491" s="3"/>
    </row>
    <row r="2492">
      <c r="A2492" s="2">
        <f>IFERROR(__xludf.DUMMYFUNCTION("""COMPUTED_VALUE"""),23108.0)</f>
        <v>23108</v>
      </c>
      <c r="B2492" s="3" t="str">
        <f>IFERROR(__xludf.DUMMYFUNCTION("""COMPUTED_VALUE"""),"3301 PIONEER RD")</f>
        <v>3301 PIONEER RD</v>
      </c>
      <c r="C2492" s="3" t="str">
        <f>IFERROR(__xludf.DUMMYFUNCTION("""COMPUTED_VALUE"""),"BALTIMORE")</f>
        <v>BALTIMORE</v>
      </c>
      <c r="D2492" s="3" t="str">
        <f>IFERROR(__xludf.DUMMYFUNCTION("""COMPUTED_VALUE"""),"K0K 1C0")</f>
        <v>K0K 1C0</v>
      </c>
      <c r="E2492" s="3" t="str">
        <f>IFERROR(__xludf.DUMMYFUNCTION("""COMPUTED_VALUE"""),"bruce mcvety")</f>
        <v>bruce mcvety</v>
      </c>
      <c r="F2492" s="3" t="str">
        <f>IFERROR(__xludf.DUMMYFUNCTION("""COMPUTED_VALUE"""),"bruce.mcvety@gmail.com")</f>
        <v>bruce.mcvety@gmail.com</v>
      </c>
      <c r="G2492" s="3">
        <f>IFERROR(__xludf.DUMMYFUNCTION("""COMPUTED_VALUE"""),9.053753622E9)</f>
        <v>9053753622</v>
      </c>
      <c r="H2492" s="3"/>
    </row>
    <row r="2493">
      <c r="A2493" s="2">
        <f>IFERROR(__xludf.DUMMYFUNCTION("""COMPUTED_VALUE"""),23109.0)</f>
        <v>23109</v>
      </c>
      <c r="B2493" s="3" t="str">
        <f>IFERROR(__xludf.DUMMYFUNCTION("""COMPUTED_VALUE"""),"3311 PIONEER RD")</f>
        <v>3311 PIONEER RD</v>
      </c>
      <c r="C2493" s="3" t="str">
        <f>IFERROR(__xludf.DUMMYFUNCTION("""COMPUTED_VALUE"""),"BALTIMORE")</f>
        <v>BALTIMORE</v>
      </c>
      <c r="D2493" s="3" t="str">
        <f>IFERROR(__xludf.DUMMYFUNCTION("""COMPUTED_VALUE"""),"K0K 1C0")</f>
        <v>K0K 1C0</v>
      </c>
      <c r="E2493" s="3" t="str">
        <f>IFERROR(__xludf.DUMMYFUNCTION("""COMPUTED_VALUE"""),"Mike Del Grande")</f>
        <v>Mike Del Grande</v>
      </c>
      <c r="F2493" s="3" t="str">
        <f>IFERROR(__xludf.DUMMYFUNCTION("""COMPUTED_VALUE"""),"mdelgrande55@gmail.com")</f>
        <v>mdelgrande55@gmail.com</v>
      </c>
      <c r="G2493" s="3"/>
      <c r="H2493" s="3"/>
    </row>
    <row r="2494">
      <c r="A2494" s="2">
        <f>IFERROR(__xludf.DUMMYFUNCTION("""COMPUTED_VALUE"""),23113.0)</f>
        <v>23113</v>
      </c>
      <c r="B2494" s="3" t="str">
        <f>IFERROR(__xludf.DUMMYFUNCTION("""COMPUTED_VALUE"""),"3389 PIONEER RD")</f>
        <v>3389 PIONEER RD</v>
      </c>
      <c r="C2494" s="3" t="str">
        <f>IFERROR(__xludf.DUMMYFUNCTION("""COMPUTED_VALUE"""),"BALTIMORE")</f>
        <v>BALTIMORE</v>
      </c>
      <c r="D2494" s="3" t="str">
        <f>IFERROR(__xludf.DUMMYFUNCTION("""COMPUTED_VALUE"""),"K0K 1C0")</f>
        <v>K0K 1C0</v>
      </c>
      <c r="E2494" s="3" t="str">
        <f>IFERROR(__xludf.DUMMYFUNCTION("""COMPUTED_VALUE"""),"Andrew Patton")</f>
        <v>Andrew Patton</v>
      </c>
      <c r="F2494" s="3" t="str">
        <f>IFERROR(__xludf.DUMMYFUNCTION("""COMPUTED_VALUE"""),"apatton@fergusonutility.ca")</f>
        <v>apatton@fergusonutility.ca</v>
      </c>
      <c r="G2494" s="3"/>
      <c r="H2494" s="3"/>
    </row>
    <row r="2495">
      <c r="A2495" s="2">
        <f>IFERROR(__xludf.DUMMYFUNCTION("""COMPUTED_VALUE"""),23143.0)</f>
        <v>23143</v>
      </c>
      <c r="B2495" s="3" t="str">
        <f>IFERROR(__xludf.DUMMYFUNCTION("""COMPUTED_VALUE"""),"8974 RACETRACK RD")</f>
        <v>8974 RACETRACK RD</v>
      </c>
      <c r="C2495" s="3" t="str">
        <f>IFERROR(__xludf.DUMMYFUNCTION("""COMPUTED_VALUE"""),"COBOURG")</f>
        <v>COBOURG</v>
      </c>
      <c r="D2495" s="3" t="str">
        <f>IFERROR(__xludf.DUMMYFUNCTION("""COMPUTED_VALUE"""),"K9A 4J9")</f>
        <v>K9A 4J9</v>
      </c>
      <c r="E2495" s="3"/>
      <c r="F2495" s="3"/>
      <c r="G2495" s="3"/>
      <c r="H2495" s="3"/>
    </row>
    <row r="2496">
      <c r="A2496" s="2">
        <f>IFERROR(__xludf.DUMMYFUNCTION("""COMPUTED_VALUE"""),23146.0)</f>
        <v>23146</v>
      </c>
      <c r="B2496" s="3" t="str">
        <f>IFERROR(__xludf.DUMMYFUNCTION("""COMPUTED_VALUE"""),"9125 RACETRACK RD")</f>
        <v>9125 RACETRACK RD</v>
      </c>
      <c r="C2496" s="3" t="str">
        <f>IFERROR(__xludf.DUMMYFUNCTION("""COMPUTED_VALUE"""),"COBOURG")</f>
        <v>COBOURG</v>
      </c>
      <c r="D2496" s="3" t="str">
        <f>IFERROR(__xludf.DUMMYFUNCTION("""COMPUTED_VALUE"""),"K9A 4J9")</f>
        <v>K9A 4J9</v>
      </c>
      <c r="E2496" s="3" t="str">
        <f>IFERROR(__xludf.DUMMYFUNCTION("""COMPUTED_VALUE"""),"Shawn Kerwin ")</f>
        <v>Shawn Kerwin </v>
      </c>
      <c r="F2496" s="3" t="str">
        <f>IFERROR(__xludf.DUMMYFUNCTION("""COMPUTED_VALUE"""),"shawn@yorku.ca")</f>
        <v>shawn@yorku.ca</v>
      </c>
      <c r="G2496" s="3"/>
      <c r="H2496" s="3"/>
    </row>
    <row r="2497">
      <c r="A2497" s="2">
        <f>IFERROR(__xludf.DUMMYFUNCTION("""COMPUTED_VALUE"""),23134.0)</f>
        <v>23134</v>
      </c>
      <c r="B2497" s="3" t="str">
        <f>IFERROR(__xludf.DUMMYFUNCTION("""COMPUTED_VALUE"""),"8779 RACETRACK RD")</f>
        <v>8779 RACETRACK RD</v>
      </c>
      <c r="C2497" s="3" t="str">
        <f>IFERROR(__xludf.DUMMYFUNCTION("""COMPUTED_VALUE"""),"COBOURG")</f>
        <v>COBOURG</v>
      </c>
      <c r="D2497" s="3" t="str">
        <f>IFERROR(__xludf.DUMMYFUNCTION("""COMPUTED_VALUE"""),"K9A 4J9")</f>
        <v>K9A 4J9</v>
      </c>
      <c r="E2497" s="3" t="str">
        <f>IFERROR(__xludf.DUMMYFUNCTION("""COMPUTED_VALUE"""),"Dave Alex")</f>
        <v>Dave Alex</v>
      </c>
      <c r="F2497" s="3" t="str">
        <f>IFERROR(__xludf.DUMMYFUNCTION("""COMPUTED_VALUE"""),"chevylowrider_10@hotmail.com")</f>
        <v>chevylowrider_10@hotmail.com</v>
      </c>
      <c r="G2497" s="3">
        <f>IFERROR(__xludf.DUMMYFUNCTION("""COMPUTED_VALUE"""),2.892512052E9)</f>
        <v>2892512052</v>
      </c>
      <c r="H2497" s="3"/>
    </row>
    <row r="2498">
      <c r="A2498" s="2">
        <f>IFERROR(__xludf.DUMMYFUNCTION("""COMPUTED_VALUE"""),23136.0)</f>
        <v>23136</v>
      </c>
      <c r="B2498" s="3" t="str">
        <f>IFERROR(__xludf.DUMMYFUNCTION("""COMPUTED_VALUE"""),"8825 RACETRACK RD")</f>
        <v>8825 RACETRACK RD</v>
      </c>
      <c r="C2498" s="3" t="str">
        <f>IFERROR(__xludf.DUMMYFUNCTION("""COMPUTED_VALUE"""),"COBOURG")</f>
        <v>COBOURG</v>
      </c>
      <c r="D2498" s="3" t="str">
        <f>IFERROR(__xludf.DUMMYFUNCTION("""COMPUTED_VALUE"""),"K9A 4J9")</f>
        <v>K9A 4J9</v>
      </c>
      <c r="E2498" s="3" t="str">
        <f>IFERROR(__xludf.DUMMYFUNCTION("""COMPUTED_VALUE"""),"Jeff Friedrich")</f>
        <v>Jeff Friedrich</v>
      </c>
      <c r="F2498" s="3" t="str">
        <f>IFERROR(__xludf.DUMMYFUNCTION("""COMPUTED_VALUE"""),"jefffriedrich1@gmail.com")</f>
        <v>jefffriedrich1@gmail.com</v>
      </c>
      <c r="G2498" s="3">
        <f>IFERROR(__xludf.DUMMYFUNCTION("""COMPUTED_VALUE"""),9.05269176E9)</f>
        <v>9052691760</v>
      </c>
      <c r="H2498" s="3"/>
    </row>
    <row r="2499">
      <c r="A2499" s="2">
        <f>IFERROR(__xludf.DUMMYFUNCTION("""COMPUTED_VALUE"""),23138.0)</f>
        <v>23138</v>
      </c>
      <c r="B2499" s="3" t="str">
        <f>IFERROR(__xludf.DUMMYFUNCTION("""COMPUTED_VALUE"""),"8831 RACETRACK RD")</f>
        <v>8831 RACETRACK RD</v>
      </c>
      <c r="C2499" s="3" t="str">
        <f>IFERROR(__xludf.DUMMYFUNCTION("""COMPUTED_VALUE"""),"COBOURG")</f>
        <v>COBOURG</v>
      </c>
      <c r="D2499" s="3" t="str">
        <f>IFERROR(__xludf.DUMMYFUNCTION("""COMPUTED_VALUE"""),"K9A 4J9")</f>
        <v>K9A 4J9</v>
      </c>
      <c r="E2499" s="3" t="str">
        <f>IFERROR(__xludf.DUMMYFUNCTION("""COMPUTED_VALUE"""),"susan taylor ")</f>
        <v>susan taylor </v>
      </c>
      <c r="F2499" s="3" t="str">
        <f>IFERROR(__xludf.DUMMYFUNCTION("""COMPUTED_VALUE"""),"staylo@live.com")</f>
        <v>staylo@live.com</v>
      </c>
      <c r="G2499" s="3">
        <f>IFERROR(__xludf.DUMMYFUNCTION("""COMPUTED_VALUE"""),9.053966037E9)</f>
        <v>9053966037</v>
      </c>
      <c r="H2499" s="3">
        <f>IFERROR(__xludf.DUMMYFUNCTION("""COMPUTED_VALUE"""),9.053960026E9)</f>
        <v>9053960026</v>
      </c>
    </row>
    <row r="2500">
      <c r="A2500" s="2">
        <f>IFERROR(__xludf.DUMMYFUNCTION("""COMPUTED_VALUE"""),21351.0)</f>
        <v>21351</v>
      </c>
      <c r="B2500" s="3" t="str">
        <f>IFERROR(__xludf.DUMMYFUNCTION("""COMPUTED_VALUE"""),"8696 DALE RD")</f>
        <v>8696 DALE RD</v>
      </c>
      <c r="C2500" s="3" t="str">
        <f>IFERROR(__xludf.DUMMYFUNCTION("""COMPUTED_VALUE"""),"COBOURG")</f>
        <v>COBOURG</v>
      </c>
      <c r="D2500" s="3" t="str">
        <f>IFERROR(__xludf.DUMMYFUNCTION("""COMPUTED_VALUE"""),"K9A 0M4")</f>
        <v>K9A 0M4</v>
      </c>
      <c r="E2500" s="3" t="str">
        <f>IFERROR(__xludf.DUMMYFUNCTION("""COMPUTED_VALUE"""),"kenneth hynes")</f>
        <v>kenneth hynes</v>
      </c>
      <c r="F2500" s="3" t="str">
        <f>IFERROR(__xludf.DUMMYFUNCTION("""COMPUTED_VALUE"""),"kennhynes@gmail.com")</f>
        <v>kennhynes@gmail.com</v>
      </c>
      <c r="G2500" s="3">
        <f>IFERROR(__xludf.DUMMYFUNCTION("""COMPUTED_VALUE"""),9.053965296E9)</f>
        <v>9053965296</v>
      </c>
      <c r="H2500" s="3"/>
    </row>
    <row r="2501">
      <c r="A2501" s="2">
        <f>IFERROR(__xludf.DUMMYFUNCTION("""COMPUTED_VALUE"""),23141.0)</f>
        <v>23141</v>
      </c>
      <c r="B2501" s="3" t="str">
        <f>IFERROR(__xludf.DUMMYFUNCTION("""COMPUTED_VALUE"""),"8861 RACETRACK RD")</f>
        <v>8861 RACETRACK RD</v>
      </c>
      <c r="C2501" s="3" t="str">
        <f>IFERROR(__xludf.DUMMYFUNCTION("""COMPUTED_VALUE"""),"COBOURG")</f>
        <v>COBOURG</v>
      </c>
      <c r="D2501" s="3" t="str">
        <f>IFERROR(__xludf.DUMMYFUNCTION("""COMPUTED_VALUE"""),"K9A 4J9")</f>
        <v>K9A 4J9</v>
      </c>
      <c r="E2501" s="3" t="str">
        <f>IFERROR(__xludf.DUMMYFUNCTION("""COMPUTED_VALUE"""),"Gary Oliver")</f>
        <v>Gary Oliver</v>
      </c>
      <c r="F2501" s="3" t="str">
        <f>IFERROR(__xludf.DUMMYFUNCTION("""COMPUTED_VALUE"""),"olliegary424@gmail.com")</f>
        <v>olliegary424@gmail.com</v>
      </c>
      <c r="G2501" s="3">
        <f>IFERROR(__xludf.DUMMYFUNCTION("""COMPUTED_VALUE"""),9.053761764E9)</f>
        <v>9053761764</v>
      </c>
      <c r="H2501" s="3"/>
    </row>
    <row r="2502">
      <c r="A2502" s="2">
        <f>IFERROR(__xludf.DUMMYFUNCTION("""COMPUTED_VALUE"""),23994.0)</f>
        <v>23994</v>
      </c>
      <c r="B2502" s="3" t="str">
        <f>IFERROR(__xludf.DUMMYFUNCTION("""COMPUTED_VALUE"""),"9215 RACETRACK RD")</f>
        <v>9215 RACETRACK RD</v>
      </c>
      <c r="C2502" s="3" t="str">
        <f>IFERROR(__xludf.DUMMYFUNCTION("""COMPUTED_VALUE"""),"COBOURG")</f>
        <v>COBOURG</v>
      </c>
      <c r="D2502" s="3" t="str">
        <f>IFERROR(__xludf.DUMMYFUNCTION("""COMPUTED_VALUE"""),"K9A 4J9")</f>
        <v>K9A 4J9</v>
      </c>
      <c r="E2502" s="3"/>
      <c r="F2502" s="3"/>
      <c r="G2502" s="3"/>
      <c r="H2502" s="3"/>
    </row>
    <row r="2503">
      <c r="A2503" s="2">
        <f>IFERROR(__xludf.DUMMYFUNCTION("""COMPUTED_VALUE"""),22758.0)</f>
        <v>22758</v>
      </c>
      <c r="B2503" s="3" t="str">
        <f>IFERROR(__xludf.DUMMYFUNCTION("""COMPUTED_VALUE"""),"9063 MINIFIE RD")</f>
        <v>9063 MINIFIE RD</v>
      </c>
      <c r="C2503" s="3" t="str">
        <f>IFERROR(__xludf.DUMMYFUNCTION("""COMPUTED_VALUE"""),"COBOURG")</f>
        <v>COBOURG</v>
      </c>
      <c r="D2503" s="3" t="str">
        <f>IFERROR(__xludf.DUMMYFUNCTION("""COMPUTED_VALUE"""),"K9A 4J9")</f>
        <v>K9A 4J9</v>
      </c>
      <c r="E2503" s="3" t="str">
        <f>IFERROR(__xludf.DUMMYFUNCTION("""COMPUTED_VALUE"""),"Keith Edwards")</f>
        <v>Keith Edwards</v>
      </c>
      <c r="F2503" s="3" t="str">
        <f>IFERROR(__xludf.DUMMYFUNCTION("""COMPUTED_VALUE"""),"keith.edwards88@gmail.com")</f>
        <v>keith.edwards88@gmail.com</v>
      </c>
      <c r="G2503" s="3">
        <f>IFERROR(__xludf.DUMMYFUNCTION("""COMPUTED_VALUE"""),6.479617535E9)</f>
        <v>6479617535</v>
      </c>
      <c r="H2503" s="3"/>
    </row>
    <row r="2504">
      <c r="A2504" s="2">
        <f>IFERROR(__xludf.DUMMYFUNCTION("""COMPUTED_VALUE"""),23144.0)</f>
        <v>23144</v>
      </c>
      <c r="B2504" s="3" t="str">
        <f>IFERROR(__xludf.DUMMYFUNCTION("""COMPUTED_VALUE"""),"9024 RACETRACK RD")</f>
        <v>9024 RACETRACK RD</v>
      </c>
      <c r="C2504" s="3" t="str">
        <f>IFERROR(__xludf.DUMMYFUNCTION("""COMPUTED_VALUE"""),"COBOURG")</f>
        <v>COBOURG</v>
      </c>
      <c r="D2504" s="3" t="str">
        <f>IFERROR(__xludf.DUMMYFUNCTION("""COMPUTED_VALUE"""),"K9A 4J9")</f>
        <v>K9A 4J9</v>
      </c>
      <c r="E2504" s="3"/>
      <c r="F2504" s="3"/>
      <c r="G2504" s="3"/>
      <c r="H2504" s="3"/>
    </row>
    <row r="2505">
      <c r="A2505" s="2">
        <f>IFERROR(__xludf.DUMMYFUNCTION("""COMPUTED_VALUE"""),22760.0)</f>
        <v>22760</v>
      </c>
      <c r="B2505" s="3" t="str">
        <f>IFERROR(__xludf.DUMMYFUNCTION("""COMPUTED_VALUE"""),"9180 MINIFIE RD")</f>
        <v>9180 MINIFIE RD</v>
      </c>
      <c r="C2505" s="3" t="str">
        <f>IFERROR(__xludf.DUMMYFUNCTION("""COMPUTED_VALUE"""),"COBOURG")</f>
        <v>COBOURG</v>
      </c>
      <c r="D2505" s="3" t="str">
        <f>IFERROR(__xludf.DUMMYFUNCTION("""COMPUTED_VALUE"""),"K9A 4J9")</f>
        <v>K9A 4J9</v>
      </c>
      <c r="E2505" s="3"/>
      <c r="F2505" s="3"/>
      <c r="G2505" s="3"/>
      <c r="H2505" s="3"/>
    </row>
    <row r="2506">
      <c r="A2506" s="2">
        <f>IFERROR(__xludf.DUMMYFUNCTION("""COMPUTED_VALUE"""),22759.0)</f>
        <v>22759</v>
      </c>
      <c r="B2506" s="3" t="str">
        <f>IFERROR(__xludf.DUMMYFUNCTION("""COMPUTED_VALUE"""),"9154 MINIFIE RD")</f>
        <v>9154 MINIFIE RD</v>
      </c>
      <c r="C2506" s="3" t="str">
        <f>IFERROR(__xludf.DUMMYFUNCTION("""COMPUTED_VALUE"""),"COBOURG")</f>
        <v>COBOURG</v>
      </c>
      <c r="D2506" s="3" t="str">
        <f>IFERROR(__xludf.DUMMYFUNCTION("""COMPUTED_VALUE"""),"K9A 4J9")</f>
        <v>K9A 4J9</v>
      </c>
      <c r="E2506" s="3" t="str">
        <f>IFERROR(__xludf.DUMMYFUNCTION("""COMPUTED_VALUE"""),"Daniel Teo")</f>
        <v>Daniel Teo</v>
      </c>
      <c r="F2506" s="3" t="str">
        <f>IFERROR(__xludf.DUMMYFUNCTION("""COMPUTED_VALUE"""),"danielteo@gmail.com")</f>
        <v>danielteo@gmail.com</v>
      </c>
      <c r="G2506" s="3">
        <f>IFERROR(__xludf.DUMMYFUNCTION("""COMPUTED_VALUE"""),6.478682271E9)</f>
        <v>6478682271</v>
      </c>
      <c r="H2506" s="3"/>
    </row>
    <row r="2507">
      <c r="A2507" s="2">
        <f>IFERROR(__xludf.DUMMYFUNCTION("""COMPUTED_VALUE"""),23145.0)</f>
        <v>23145</v>
      </c>
      <c r="B2507" s="3" t="str">
        <f>IFERROR(__xludf.DUMMYFUNCTION("""COMPUTED_VALUE"""),"9124 RACETRACK RD")</f>
        <v>9124 RACETRACK RD</v>
      </c>
      <c r="C2507" s="3" t="str">
        <f>IFERROR(__xludf.DUMMYFUNCTION("""COMPUTED_VALUE"""),"COBOURG")</f>
        <v>COBOURG</v>
      </c>
      <c r="D2507" s="3" t="str">
        <f>IFERROR(__xludf.DUMMYFUNCTION("""COMPUTED_VALUE"""),"K9A 4J9")</f>
        <v>K9A 4J9</v>
      </c>
      <c r="E2507" s="3"/>
      <c r="F2507" s="3"/>
      <c r="G2507" s="3"/>
      <c r="H2507" s="3"/>
    </row>
    <row r="2508">
      <c r="A2508" s="2">
        <f>IFERROR(__xludf.DUMMYFUNCTION("""COMPUTED_VALUE"""),23148.0)</f>
        <v>23148</v>
      </c>
      <c r="B2508" s="3" t="str">
        <f>IFERROR(__xludf.DUMMYFUNCTION("""COMPUTED_VALUE"""),"9146 RACETRACK RD")</f>
        <v>9146 RACETRACK RD</v>
      </c>
      <c r="C2508" s="3" t="str">
        <f>IFERROR(__xludf.DUMMYFUNCTION("""COMPUTED_VALUE"""),"COBOURG")</f>
        <v>COBOURG</v>
      </c>
      <c r="D2508" s="3" t="str">
        <f>IFERROR(__xludf.DUMMYFUNCTION("""COMPUTED_VALUE"""),"K9A 4J9")</f>
        <v>K9A 4J9</v>
      </c>
      <c r="E2508" s="3" t="str">
        <f>IFERROR(__xludf.DUMMYFUNCTION("""COMPUTED_VALUE"""),"Alex Ristovski")</f>
        <v>Alex Ristovski</v>
      </c>
      <c r="F2508" s="3" t="str">
        <f>IFERROR(__xludf.DUMMYFUNCTION("""COMPUTED_VALUE"""),"alex100tallships@gmail.com")</f>
        <v>alex100tallships@gmail.com</v>
      </c>
      <c r="G2508" s="3">
        <f>IFERROR(__xludf.DUMMYFUNCTION("""COMPUTED_VALUE"""),2.896007778E9)</f>
        <v>2896007778</v>
      </c>
      <c r="H2508" s="3"/>
    </row>
    <row r="2509">
      <c r="A2509" s="2">
        <f>IFERROR(__xludf.DUMMYFUNCTION("""COMPUTED_VALUE"""),21135.0)</f>
        <v>21135</v>
      </c>
      <c r="B2509" s="3" t="str">
        <f>IFERROR(__xludf.DUMMYFUNCTION("""COMPUTED_VALUE"""),"5252 COUNTY RD 45")</f>
        <v>5252 COUNTY RD 45</v>
      </c>
      <c r="C2509" s="3" t="str">
        <f>IFERROR(__xludf.DUMMYFUNCTION("""COMPUTED_VALUE"""),"BALTIMORE")</f>
        <v>BALTIMORE</v>
      </c>
      <c r="D2509" s="3" t="str">
        <f>IFERROR(__xludf.DUMMYFUNCTION("""COMPUTED_VALUE"""),"K0K 1C0")</f>
        <v>K0K 1C0</v>
      </c>
      <c r="E2509" s="3" t="str">
        <f>IFERROR(__xludf.DUMMYFUNCTION("""COMPUTED_VALUE"""),"Mike Birney")</f>
        <v>Mike Birney</v>
      </c>
      <c r="F2509" s="3" t="str">
        <f>IFERROR(__xludf.DUMMYFUNCTION("""COMPUTED_VALUE"""),"birney28@gmail.com")</f>
        <v>birney28@gmail.com</v>
      </c>
      <c r="G2509" s="3">
        <f>IFERROR(__xludf.DUMMYFUNCTION("""COMPUTED_VALUE"""),2.89251735E9)</f>
        <v>2892517350</v>
      </c>
      <c r="H2509" s="3"/>
    </row>
    <row r="2510">
      <c r="A2510" s="2">
        <f>IFERROR(__xludf.DUMMYFUNCTION("""COMPUTED_VALUE"""),23149.0)</f>
        <v>23149</v>
      </c>
      <c r="B2510" s="3" t="str">
        <f>IFERROR(__xludf.DUMMYFUNCTION("""COMPUTED_VALUE"""),"9193 RACETRACK RD")</f>
        <v>9193 RACETRACK RD</v>
      </c>
      <c r="C2510" s="3" t="str">
        <f>IFERROR(__xludf.DUMMYFUNCTION("""COMPUTED_VALUE"""),"COBOURG")</f>
        <v>COBOURG</v>
      </c>
      <c r="D2510" s="3" t="str">
        <f>IFERROR(__xludf.DUMMYFUNCTION("""COMPUTED_VALUE"""),"K9A 4J9")</f>
        <v>K9A 4J9</v>
      </c>
      <c r="E2510" s="3" t="str">
        <f>IFERROR(__xludf.DUMMYFUNCTION("""COMPUTED_VALUE"""),"Helmut Bock")</f>
        <v>Helmut Bock</v>
      </c>
      <c r="F2510" s="3" t="str">
        <f>IFERROR(__xludf.DUMMYFUNCTION("""COMPUTED_VALUE"""),"helmut.bock@gmail.com")</f>
        <v>helmut.bock@gmail.com</v>
      </c>
      <c r="G2510" s="3">
        <f>IFERROR(__xludf.DUMMYFUNCTION("""COMPUTED_VALUE"""),9.0526958408E10)</f>
        <v>90526958408</v>
      </c>
      <c r="H2510" s="3">
        <f>IFERROR(__xludf.DUMMYFUNCTION("""COMPUTED_VALUE"""),9.052695844E9)</f>
        <v>9052695844</v>
      </c>
    </row>
    <row r="2511">
      <c r="A2511" s="2">
        <f>IFERROR(__xludf.DUMMYFUNCTION("""COMPUTED_VALUE"""),23996.0)</f>
        <v>23996</v>
      </c>
      <c r="B2511" s="3" t="str">
        <f>IFERROR(__xludf.DUMMYFUNCTION("""COMPUTED_VALUE"""),"9175 RACETRACK RD")</f>
        <v>9175 RACETRACK RD</v>
      </c>
      <c r="C2511" s="3" t="str">
        <f>IFERROR(__xludf.DUMMYFUNCTION("""COMPUTED_VALUE"""),"BALTIMORE")</f>
        <v>BALTIMORE</v>
      </c>
      <c r="D2511" s="3" t="str">
        <f>IFERROR(__xludf.DUMMYFUNCTION("""COMPUTED_VALUE"""),"K0K 1C0")</f>
        <v>K0K 1C0</v>
      </c>
      <c r="E2511" s="3"/>
      <c r="F2511" s="3"/>
      <c r="G2511" s="3"/>
      <c r="H2511" s="3"/>
    </row>
    <row r="2512">
      <c r="A2512" s="2">
        <f>IFERROR(__xludf.DUMMYFUNCTION("""COMPUTED_VALUE"""),23150.0)</f>
        <v>23150</v>
      </c>
      <c r="B2512" s="3" t="str">
        <f>IFERROR(__xludf.DUMMYFUNCTION("""COMPUTED_VALUE"""),"9204 RACETRACK RD")</f>
        <v>9204 RACETRACK RD</v>
      </c>
      <c r="C2512" s="3" t="str">
        <f>IFERROR(__xludf.DUMMYFUNCTION("""COMPUTED_VALUE"""),"COBOURG")</f>
        <v>COBOURG</v>
      </c>
      <c r="D2512" s="3" t="str">
        <f>IFERROR(__xludf.DUMMYFUNCTION("""COMPUTED_VALUE"""),"K9A 4J9")</f>
        <v>K9A 4J9</v>
      </c>
      <c r="E2512" s="3" t="str">
        <f>IFERROR(__xludf.DUMMYFUNCTION("""COMPUTED_VALUE"""),"Mark Sander")</f>
        <v>Mark Sander</v>
      </c>
      <c r="F2512" s="3" t="str">
        <f>IFERROR(__xludf.DUMMYFUNCTION("""COMPUTED_VALUE"""),"solar.ideas@gmail.com")</f>
        <v>solar.ideas@gmail.com</v>
      </c>
      <c r="G2512" s="3">
        <f>IFERROR(__xludf.DUMMYFUNCTION("""COMPUTED_VALUE"""),9.053422114E9)</f>
        <v>9053422114</v>
      </c>
      <c r="H2512" s="3"/>
    </row>
    <row r="2513">
      <c r="A2513" s="2">
        <f>IFERROR(__xludf.DUMMYFUNCTION("""COMPUTED_VALUE"""),23152.0)</f>
        <v>23152</v>
      </c>
      <c r="B2513" s="3" t="str">
        <f>IFERROR(__xludf.DUMMYFUNCTION("""COMPUTED_VALUE"""),"9221 RACETRACK RD")</f>
        <v>9221 RACETRACK RD</v>
      </c>
      <c r="C2513" s="3" t="str">
        <f>IFERROR(__xludf.DUMMYFUNCTION("""COMPUTED_VALUE"""),"COBOURG")</f>
        <v>COBOURG</v>
      </c>
      <c r="D2513" s="3" t="str">
        <f>IFERROR(__xludf.DUMMYFUNCTION("""COMPUTED_VALUE"""),"K9A 4J9")</f>
        <v>K9A 4J9</v>
      </c>
      <c r="E2513" s="3"/>
      <c r="F2513" s="3"/>
      <c r="G2513" s="3"/>
      <c r="H2513" s="3"/>
    </row>
    <row r="2514">
      <c r="A2514" s="2">
        <f>IFERROR(__xludf.DUMMYFUNCTION("""COMPUTED_VALUE"""),23162.0)</f>
        <v>23162</v>
      </c>
      <c r="B2514" s="3" t="str">
        <f>IFERROR(__xludf.DUMMYFUNCTION("""COMPUTED_VALUE"""),"9354 RACETRACK RD")</f>
        <v>9354 RACETRACK RD</v>
      </c>
      <c r="C2514" s="3" t="str">
        <f>IFERROR(__xludf.DUMMYFUNCTION("""COMPUTED_VALUE"""),"BALTIMORE")</f>
        <v>BALTIMORE</v>
      </c>
      <c r="D2514" s="3" t="str">
        <f>IFERROR(__xludf.DUMMYFUNCTION("""COMPUTED_VALUE"""),"K0K 1C0")</f>
        <v>K0K 1C0</v>
      </c>
      <c r="E2514" s="3" t="str">
        <f>IFERROR(__xludf.DUMMYFUNCTION("""COMPUTED_VALUE"""),"Richard Maurice")</f>
        <v>Richard Maurice</v>
      </c>
      <c r="F2514" s="3" t="str">
        <f>IFERROR(__xludf.DUMMYFUNCTION("""COMPUTED_VALUE"""),"rpmauric@gmail.com")</f>
        <v>rpmauric@gmail.com</v>
      </c>
      <c r="G2514" s="3">
        <f>IFERROR(__xludf.DUMMYFUNCTION("""COMPUTED_VALUE"""),9.053766509E9)</f>
        <v>9053766509</v>
      </c>
      <c r="H2514" s="3"/>
    </row>
    <row r="2515">
      <c r="A2515" s="2">
        <f>IFERROR(__xludf.DUMMYFUNCTION("""COMPUTED_VALUE"""),23177.0)</f>
        <v>23177</v>
      </c>
      <c r="B2515" s="3" t="str">
        <f>IFERROR(__xludf.DUMMYFUNCTION("""COMPUTED_VALUE"""),"4753 REYNS RD")</f>
        <v>4753 REYNS RD</v>
      </c>
      <c r="C2515" s="3" t="str">
        <f>IFERROR(__xludf.DUMMYFUNCTION("""COMPUTED_VALUE"""),"GORES LANDING")</f>
        <v>GORES LANDING</v>
      </c>
      <c r="D2515" s="3" t="str">
        <f>IFERROR(__xludf.DUMMYFUNCTION("""COMPUTED_VALUE"""),"K0K 2E0")</f>
        <v>K0K 2E0</v>
      </c>
      <c r="E2515" s="3" t="str">
        <f>IFERROR(__xludf.DUMMYFUNCTION("""COMPUTED_VALUE"""),"Elaine Lillian Daignault")</f>
        <v>Elaine Lillian Daignault</v>
      </c>
      <c r="F2515" s="3" t="str">
        <f>IFERROR(__xludf.DUMMYFUNCTION("""COMPUTED_VALUE"""),"elliemayw246@gmail.com")</f>
        <v>elliemayw246@gmail.com</v>
      </c>
      <c r="G2515" s="3"/>
      <c r="H2515" s="3"/>
    </row>
    <row r="2516">
      <c r="A2516" s="2">
        <f>IFERROR(__xludf.DUMMYFUNCTION("""COMPUTED_VALUE"""),23939.0)</f>
        <v>23939</v>
      </c>
      <c r="B2516" s="3" t="str">
        <f>IFERROR(__xludf.DUMMYFUNCTION("""COMPUTED_VALUE"""),"5336 RICE LAKE SCENIC DR")</f>
        <v>5336 RICE LAKE SCENIC DR</v>
      </c>
      <c r="C2516" s="3" t="str">
        <f>IFERROR(__xludf.DUMMYFUNCTION("""COMPUTED_VALUE"""),"GORES LANDING")</f>
        <v>GORES LANDING</v>
      </c>
      <c r="D2516" s="3" t="str">
        <f>IFERROR(__xludf.DUMMYFUNCTION("""COMPUTED_VALUE"""),"K0K 2E0")</f>
        <v>K0K 2E0</v>
      </c>
      <c r="E2516" s="3"/>
      <c r="F2516" s="3"/>
      <c r="G2516" s="3"/>
      <c r="H2516" s="3"/>
    </row>
    <row r="2517">
      <c r="A2517" s="2">
        <f>IFERROR(__xludf.DUMMYFUNCTION("""COMPUTED_VALUE"""),23179.0)</f>
        <v>23179</v>
      </c>
      <c r="B2517" s="3" t="str">
        <f>IFERROR(__xludf.DUMMYFUNCTION("""COMPUTED_VALUE"""),"5340 RICE LAKE SCENIC DR UNIT 210")</f>
        <v>5340 RICE LAKE SCENIC DR UNIT 210</v>
      </c>
      <c r="C2517" s="3" t="str">
        <f>IFERROR(__xludf.DUMMYFUNCTION("""COMPUTED_VALUE"""),"GORES LANDING")</f>
        <v>GORES LANDING</v>
      </c>
      <c r="D2517" s="3" t="str">
        <f>IFERROR(__xludf.DUMMYFUNCTION("""COMPUTED_VALUE"""),"K0K 2E0")</f>
        <v>K0K 2E0</v>
      </c>
      <c r="E2517" s="3" t="str">
        <f>IFERROR(__xludf.DUMMYFUNCTION("""COMPUTED_VALUE"""),"Patricia Griffin")</f>
        <v>Patricia Griffin</v>
      </c>
      <c r="F2517" s="3" t="str">
        <f>IFERROR(__xludf.DUMMYFUNCTION("""COMPUTED_VALUE"""),"patti_cakes1@hotmail.com")</f>
        <v>patti_cakes1@hotmail.com</v>
      </c>
      <c r="G2517" s="3">
        <f>IFERROR(__xludf.DUMMYFUNCTION("""COMPUTED_VALUE"""),2.892511371E9)</f>
        <v>2892511371</v>
      </c>
      <c r="H2517" s="3"/>
    </row>
    <row r="2518">
      <c r="A2518" s="2">
        <f>IFERROR(__xludf.DUMMYFUNCTION("""COMPUTED_VALUE"""),23180.0)</f>
        <v>23180</v>
      </c>
      <c r="B2518" s="3" t="str">
        <f>IFERROR(__xludf.DUMMYFUNCTION("""COMPUTED_VALUE"""),"5340 RICE LAKE SCENIC DR UNIT 220")</f>
        <v>5340 RICE LAKE SCENIC DR UNIT 220</v>
      </c>
      <c r="C2518" s="3" t="str">
        <f>IFERROR(__xludf.DUMMYFUNCTION("""COMPUTED_VALUE"""),"GORES LANDING")</f>
        <v>GORES LANDING</v>
      </c>
      <c r="D2518" s="3" t="str">
        <f>IFERROR(__xludf.DUMMYFUNCTION("""COMPUTED_VALUE"""),"K0K 2E0")</f>
        <v>K0K 2E0</v>
      </c>
      <c r="E2518" s="3" t="str">
        <f>IFERROR(__xludf.DUMMYFUNCTION("""COMPUTED_VALUE"""),"agnes stolovczyk")</f>
        <v>agnes stolovczyk</v>
      </c>
      <c r="F2518" s="3" t="str">
        <f>IFERROR(__xludf.DUMMYFUNCTION("""COMPUTED_VALUE"""),"agnes.stolov@gmail.com")</f>
        <v>agnes.stolov@gmail.com</v>
      </c>
      <c r="G2518" s="3">
        <f>IFERROR(__xludf.DUMMYFUNCTION("""COMPUTED_VALUE"""),6.477017327E9)</f>
        <v>6477017327</v>
      </c>
      <c r="H2518" s="3"/>
    </row>
    <row r="2519">
      <c r="A2519" s="2">
        <f>IFERROR(__xludf.DUMMYFUNCTION("""COMPUTED_VALUE"""),23940.0)</f>
        <v>23940</v>
      </c>
      <c r="B2519" s="3" t="str">
        <f>IFERROR(__xludf.DUMMYFUNCTION("""COMPUTED_VALUE"""),"5348 RICE LAKE SCENIC DR")</f>
        <v>5348 RICE LAKE SCENIC DR</v>
      </c>
      <c r="C2519" s="3" t="str">
        <f>IFERROR(__xludf.DUMMYFUNCTION("""COMPUTED_VALUE"""),"GORES LANDING")</f>
        <v>GORES LANDING</v>
      </c>
      <c r="D2519" s="3" t="str">
        <f>IFERROR(__xludf.DUMMYFUNCTION("""COMPUTED_VALUE"""),"K0K 2E0")</f>
        <v>K0K 2E0</v>
      </c>
      <c r="E2519" s="3"/>
      <c r="F2519" s="3"/>
      <c r="G2519" s="3"/>
      <c r="H2519" s="3"/>
    </row>
    <row r="2520">
      <c r="A2520" s="2">
        <f>IFERROR(__xludf.DUMMYFUNCTION("""COMPUTED_VALUE"""),23941.0)</f>
        <v>23941</v>
      </c>
      <c r="B2520" s="3" t="str">
        <f>IFERROR(__xludf.DUMMYFUNCTION("""COMPUTED_VALUE"""),"5369 RICE LAKE SCENIC DR")</f>
        <v>5369 RICE LAKE SCENIC DR</v>
      </c>
      <c r="C2520" s="3" t="str">
        <f>IFERROR(__xludf.DUMMYFUNCTION("""COMPUTED_VALUE"""),"GORES LANDING")</f>
        <v>GORES LANDING</v>
      </c>
      <c r="D2520" s="3" t="str">
        <f>IFERROR(__xludf.DUMMYFUNCTION("""COMPUTED_VALUE"""),"K0K 2E0")</f>
        <v>K0K 2E0</v>
      </c>
      <c r="E2520" s="3"/>
      <c r="F2520" s="3"/>
      <c r="G2520" s="3"/>
      <c r="H2520" s="3"/>
    </row>
    <row r="2521">
      <c r="A2521" s="2">
        <f>IFERROR(__xludf.DUMMYFUNCTION("""COMPUTED_VALUE"""),23942.0)</f>
        <v>23942</v>
      </c>
      <c r="B2521" s="3" t="str">
        <f>IFERROR(__xludf.DUMMYFUNCTION("""COMPUTED_VALUE"""),"5387 RICE LAKE SCENIC DR")</f>
        <v>5387 RICE LAKE SCENIC DR</v>
      </c>
      <c r="C2521" s="3" t="str">
        <f>IFERROR(__xludf.DUMMYFUNCTION("""COMPUTED_VALUE"""),"GORES LANDING")</f>
        <v>GORES LANDING</v>
      </c>
      <c r="D2521" s="3" t="str">
        <f>IFERROR(__xludf.DUMMYFUNCTION("""COMPUTED_VALUE"""),"K0K 2E0")</f>
        <v>K0K 2E0</v>
      </c>
      <c r="E2521" s="3" t="str">
        <f>IFERROR(__xludf.DUMMYFUNCTION("""COMPUTED_VALUE"""),"bonnie harp ")</f>
        <v>bonnie harp </v>
      </c>
      <c r="F2521" s="3" t="str">
        <f>IFERROR(__xludf.DUMMYFUNCTION("""COMPUTED_VALUE"""),"bonnieharp@gmail.com")</f>
        <v>bonnieharp@gmail.com</v>
      </c>
      <c r="G2521" s="3">
        <f>IFERROR(__xludf.DUMMYFUNCTION("""COMPUTED_VALUE"""),9.053425435E9)</f>
        <v>9053425435</v>
      </c>
      <c r="H2521" s="3"/>
    </row>
    <row r="2522">
      <c r="A2522" s="2">
        <f>IFERROR(__xludf.DUMMYFUNCTION("""COMPUTED_VALUE"""),23943.0)</f>
        <v>23943</v>
      </c>
      <c r="B2522" s="3" t="str">
        <f>IFERROR(__xludf.DUMMYFUNCTION("""COMPUTED_VALUE"""),"5388 RICE LAKE SCENIC DR")</f>
        <v>5388 RICE LAKE SCENIC DR</v>
      </c>
      <c r="C2522" s="3" t="str">
        <f>IFERROR(__xludf.DUMMYFUNCTION("""COMPUTED_VALUE"""),"GORES LANDING")</f>
        <v>GORES LANDING</v>
      </c>
      <c r="D2522" s="3" t="str">
        <f>IFERROR(__xludf.DUMMYFUNCTION("""COMPUTED_VALUE"""),"K0K 2E0")</f>
        <v>K0K 2E0</v>
      </c>
      <c r="E2522" s="3" t="str">
        <f>IFERROR(__xludf.DUMMYFUNCTION("""COMPUTED_VALUE"""),"martha and matt mcmurray")</f>
        <v>martha and matt mcmurray</v>
      </c>
      <c r="F2522" s="3" t="str">
        <f>IFERROR(__xludf.DUMMYFUNCTION("""COMPUTED_VALUE"""),"mattmcmurray2@outlook.com")</f>
        <v>mattmcmurray2@outlook.com</v>
      </c>
      <c r="G2522" s="3">
        <f>IFERROR(__xludf.DUMMYFUNCTION("""COMPUTED_VALUE"""),9.053762751E9)</f>
        <v>9053762751</v>
      </c>
      <c r="H2522" s="3">
        <f>IFERROR(__xludf.DUMMYFUNCTION("""COMPUTED_VALUE"""),9.053962807E9)</f>
        <v>9053962807</v>
      </c>
    </row>
    <row r="2523">
      <c r="A2523" s="2">
        <f>IFERROR(__xludf.DUMMYFUNCTION("""COMPUTED_VALUE"""),23946.0)</f>
        <v>23946</v>
      </c>
      <c r="B2523" s="3" t="str">
        <f>IFERROR(__xludf.DUMMYFUNCTION("""COMPUTED_VALUE"""),"5403 RICE LAKE SCENIC DR")</f>
        <v>5403 RICE LAKE SCENIC DR</v>
      </c>
      <c r="C2523" s="3" t="str">
        <f>IFERROR(__xludf.DUMMYFUNCTION("""COMPUTED_VALUE"""),"GORES LANDING")</f>
        <v>GORES LANDING</v>
      </c>
      <c r="D2523" s="3" t="str">
        <f>IFERROR(__xludf.DUMMYFUNCTION("""COMPUTED_VALUE"""),"K0K 2E0")</f>
        <v>K0K 2E0</v>
      </c>
      <c r="E2523" s="3" t="str">
        <f>IFERROR(__xludf.DUMMYFUNCTION("""COMPUTED_VALUE"""),"doug rowsou")</f>
        <v>doug rowsou</v>
      </c>
      <c r="F2523" s="3"/>
      <c r="G2523" s="3">
        <f>IFERROR(__xludf.DUMMYFUNCTION("""COMPUTED_VALUE"""),9.053421096E9)</f>
        <v>9053421096</v>
      </c>
      <c r="H2523" s="3"/>
    </row>
    <row r="2524">
      <c r="A2524" s="2">
        <f>IFERROR(__xludf.DUMMYFUNCTION("""COMPUTED_VALUE"""),23947.0)</f>
        <v>23947</v>
      </c>
      <c r="B2524" s="3" t="str">
        <f>IFERROR(__xludf.DUMMYFUNCTION("""COMPUTED_VALUE"""),"5409 RICE LAKE SCENIC DR")</f>
        <v>5409 RICE LAKE SCENIC DR</v>
      </c>
      <c r="C2524" s="3" t="str">
        <f>IFERROR(__xludf.DUMMYFUNCTION("""COMPUTED_VALUE"""),"GORES LANDING")</f>
        <v>GORES LANDING</v>
      </c>
      <c r="D2524" s="3" t="str">
        <f>IFERROR(__xludf.DUMMYFUNCTION("""COMPUTED_VALUE"""),"K0K 2E0")</f>
        <v>K0K 2E0</v>
      </c>
      <c r="E2524" s="3" t="str">
        <f>IFERROR(__xludf.DUMMYFUNCTION("""COMPUTED_VALUE"""),"Debbie Warner &amp;Onorio Rocca")</f>
        <v>Debbie Warner &amp;Onorio Rocca</v>
      </c>
      <c r="F2524" s="3" t="str">
        <f>IFERROR(__xludf.DUMMYFUNCTION("""COMPUTED_VALUE"""),"n/A")</f>
        <v>n/A</v>
      </c>
      <c r="G2524" s="3"/>
      <c r="H2524" s="3"/>
    </row>
    <row r="2525">
      <c r="A2525" s="2">
        <f>IFERROR(__xludf.DUMMYFUNCTION("""COMPUTED_VALUE"""),23945.0)</f>
        <v>23945</v>
      </c>
      <c r="B2525" s="3" t="str">
        <f>IFERROR(__xludf.DUMMYFUNCTION("""COMPUTED_VALUE"""),"5414 RICE LAKE SCENIC DR")</f>
        <v>5414 RICE LAKE SCENIC DR</v>
      </c>
      <c r="C2525" s="3" t="str">
        <f>IFERROR(__xludf.DUMMYFUNCTION("""COMPUTED_VALUE"""),"GORES LANDING")</f>
        <v>GORES LANDING</v>
      </c>
      <c r="D2525" s="3" t="str">
        <f>IFERROR(__xludf.DUMMYFUNCTION("""COMPUTED_VALUE"""),"K0K 2E0")</f>
        <v>K0K 2E0</v>
      </c>
      <c r="E2525" s="3"/>
      <c r="F2525" s="3"/>
      <c r="G2525" s="3"/>
      <c r="H2525" s="3"/>
    </row>
    <row r="2526">
      <c r="A2526" s="2">
        <f>IFERROR(__xludf.DUMMYFUNCTION("""COMPUTED_VALUE"""),23181.0)</f>
        <v>23181</v>
      </c>
      <c r="B2526" s="3" t="str">
        <f>IFERROR(__xludf.DUMMYFUNCTION("""COMPUTED_VALUE"""),"5416 RICE LAKE SCENIC DR UNIT A")</f>
        <v>5416 RICE LAKE SCENIC DR UNIT A</v>
      </c>
      <c r="C2526" s="3" t="str">
        <f>IFERROR(__xludf.DUMMYFUNCTION("""COMPUTED_VALUE"""),"GORES LANDING")</f>
        <v>GORES LANDING</v>
      </c>
      <c r="D2526" s="3" t="str">
        <f>IFERROR(__xludf.DUMMYFUNCTION("""COMPUTED_VALUE"""),"K0K 2E0")</f>
        <v>K0K 2E0</v>
      </c>
      <c r="E2526" s="3" t="str">
        <f>IFERROR(__xludf.DUMMYFUNCTION("""COMPUTED_VALUE"""),"ravi badrinarayan")</f>
        <v>ravi badrinarayan</v>
      </c>
      <c r="F2526" s="3" t="str">
        <f>IFERROR(__xludf.DUMMYFUNCTION("""COMPUTED_VALUE"""),"ravi.badrinarayan@outlook.com")</f>
        <v>ravi.badrinarayan@outlook.com</v>
      </c>
      <c r="G2526" s="3">
        <f>IFERROR(__xludf.DUMMYFUNCTION("""COMPUTED_VALUE"""),4.167028978E9)</f>
        <v>4167028978</v>
      </c>
      <c r="H2526" s="3"/>
    </row>
    <row r="2527">
      <c r="A2527" s="2">
        <f>IFERROR(__xludf.DUMMYFUNCTION("""COMPUTED_VALUE"""),23952.0)</f>
        <v>23952</v>
      </c>
      <c r="B2527" s="3" t="str">
        <f>IFERROR(__xludf.DUMMYFUNCTION("""COMPUTED_VALUE"""),"5619 RICE LAKE SCENIC DR")</f>
        <v>5619 RICE LAKE SCENIC DR</v>
      </c>
      <c r="C2527" s="3" t="str">
        <f>IFERROR(__xludf.DUMMYFUNCTION("""COMPUTED_VALUE"""),"GORES LANDING")</f>
        <v>GORES LANDING</v>
      </c>
      <c r="D2527" s="3" t="str">
        <f>IFERROR(__xludf.DUMMYFUNCTION("""COMPUTED_VALUE"""),"K0K 2E0")</f>
        <v>K0K 2E0</v>
      </c>
      <c r="E2527" s="3"/>
      <c r="F2527" s="3"/>
      <c r="G2527" s="3"/>
      <c r="H2527" s="3"/>
    </row>
    <row r="2528">
      <c r="A2528" s="2">
        <f>IFERROR(__xludf.DUMMYFUNCTION("""COMPUTED_VALUE"""),23951.0)</f>
        <v>23951</v>
      </c>
      <c r="B2528" s="3" t="str">
        <f>IFERROR(__xludf.DUMMYFUNCTION("""COMPUTED_VALUE"""),"5623 RICE LAKE SCENIC DR")</f>
        <v>5623 RICE LAKE SCENIC DR</v>
      </c>
      <c r="C2528" s="3" t="str">
        <f>IFERROR(__xludf.DUMMYFUNCTION("""COMPUTED_VALUE"""),"GORES LANDING")</f>
        <v>GORES LANDING</v>
      </c>
      <c r="D2528" s="3" t="str">
        <f>IFERROR(__xludf.DUMMYFUNCTION("""COMPUTED_VALUE"""),"K0K 2E0")</f>
        <v>K0K 2E0</v>
      </c>
      <c r="E2528" s="3"/>
      <c r="F2528" s="3"/>
      <c r="G2528" s="3"/>
      <c r="H2528" s="3"/>
    </row>
    <row r="2529">
      <c r="A2529" s="2">
        <f>IFERROR(__xludf.DUMMYFUNCTION("""COMPUTED_VALUE"""),23966.0)</f>
        <v>23966</v>
      </c>
      <c r="B2529" s="3" t="str">
        <f>IFERROR(__xludf.DUMMYFUNCTION("""COMPUTED_VALUE"""),"5624 RICE LAKE SCENIC DR")</f>
        <v>5624 RICE LAKE SCENIC DR</v>
      </c>
      <c r="C2529" s="3" t="str">
        <f>IFERROR(__xludf.DUMMYFUNCTION("""COMPUTED_VALUE"""),"GORES LANDING")</f>
        <v>GORES LANDING</v>
      </c>
      <c r="D2529" s="3" t="str">
        <f>IFERROR(__xludf.DUMMYFUNCTION("""COMPUTED_VALUE"""),"K0K 2E0")</f>
        <v>K0K 2E0</v>
      </c>
      <c r="E2529" s="3"/>
      <c r="F2529" s="3"/>
      <c r="G2529" s="3"/>
      <c r="H2529" s="3"/>
    </row>
    <row r="2530">
      <c r="A2530" s="2">
        <f>IFERROR(__xludf.DUMMYFUNCTION("""COMPUTED_VALUE"""),23977.0)</f>
        <v>23977</v>
      </c>
      <c r="B2530" s="3" t="str">
        <f>IFERROR(__xludf.DUMMYFUNCTION("""COMPUTED_VALUE"""),"5630 RICE LAKE SCNC DR")</f>
        <v>5630 RICE LAKE SCNC DR</v>
      </c>
      <c r="C2530" s="3" t="str">
        <f>IFERROR(__xludf.DUMMYFUNCTION("""COMPUTED_VALUE"""),"GORES LANDING")</f>
        <v>GORES LANDING</v>
      </c>
      <c r="D2530" s="3" t="str">
        <f>IFERROR(__xludf.DUMMYFUNCTION("""COMPUTED_VALUE"""),"K0K 2E0")</f>
        <v>K0K 2E0</v>
      </c>
      <c r="E2530" s="3" t="str">
        <f>IFERROR(__xludf.DUMMYFUNCTION("""COMPUTED_VALUE"""),"pat webb ")</f>
        <v>pat webb </v>
      </c>
      <c r="F2530" s="3" t="str">
        <f>IFERROR(__xludf.DUMMYFUNCTION("""COMPUTED_VALUE"""),"pat.webb@hotmail.com")</f>
        <v>pat.webb@hotmail.com</v>
      </c>
      <c r="G2530" s="3">
        <f>IFERROR(__xludf.DUMMYFUNCTION("""COMPUTED_VALUE"""),9.053769322E9)</f>
        <v>9053769322</v>
      </c>
      <c r="H2530" s="3"/>
    </row>
    <row r="2531">
      <c r="A2531" s="2">
        <f>IFERROR(__xludf.DUMMYFUNCTION("""COMPUTED_VALUE"""),23183.0)</f>
        <v>23183</v>
      </c>
      <c r="B2531" s="3" t="str">
        <f>IFERROR(__xludf.DUMMYFUNCTION("""COMPUTED_VALUE"""),"5648 RICE LAKE SCENIC DR SUITE 230")</f>
        <v>5648 RICE LAKE SCENIC DR SUITE 230</v>
      </c>
      <c r="C2531" s="3" t="str">
        <f>IFERROR(__xludf.DUMMYFUNCTION("""COMPUTED_VALUE"""),"GORES LANDING")</f>
        <v>GORES LANDING</v>
      </c>
      <c r="D2531" s="3" t="str">
        <f>IFERROR(__xludf.DUMMYFUNCTION("""COMPUTED_VALUE"""),"K0K 2E0")</f>
        <v>K0K 2E0</v>
      </c>
      <c r="E2531" s="3"/>
      <c r="F2531" s="3"/>
      <c r="G2531" s="3"/>
      <c r="H2531" s="3"/>
    </row>
    <row r="2532">
      <c r="A2532" s="2">
        <f>IFERROR(__xludf.DUMMYFUNCTION("""COMPUTED_VALUE"""),23184.0)</f>
        <v>23184</v>
      </c>
      <c r="B2532" s="3" t="str">
        <f>IFERROR(__xludf.DUMMYFUNCTION("""COMPUTED_VALUE"""),"5648 RICE LAKE SCENIC DR UNIT 200")</f>
        <v>5648 RICE LAKE SCENIC DR UNIT 200</v>
      </c>
      <c r="C2532" s="3" t="str">
        <f>IFERROR(__xludf.DUMMYFUNCTION("""COMPUTED_VALUE"""),"GORES LANDING")</f>
        <v>GORES LANDING</v>
      </c>
      <c r="D2532" s="3" t="str">
        <f>IFERROR(__xludf.DUMMYFUNCTION("""COMPUTED_VALUE"""),"K0K 2E0")</f>
        <v>K0K 2E0</v>
      </c>
      <c r="E2532" s="3"/>
      <c r="F2532" s="3"/>
      <c r="G2532" s="3"/>
      <c r="H2532" s="3"/>
    </row>
    <row r="2533">
      <c r="A2533" s="2">
        <f>IFERROR(__xludf.DUMMYFUNCTION("""COMPUTED_VALUE"""),23185.0)</f>
        <v>23185</v>
      </c>
      <c r="B2533" s="3" t="str">
        <f>IFERROR(__xludf.DUMMYFUNCTION("""COMPUTED_VALUE"""),"5648 RICE LAKE SCENIC DR UNIT 210")</f>
        <v>5648 RICE LAKE SCENIC DR UNIT 210</v>
      </c>
      <c r="C2533" s="3" t="str">
        <f>IFERROR(__xludf.DUMMYFUNCTION("""COMPUTED_VALUE"""),"GORES LANDING")</f>
        <v>GORES LANDING</v>
      </c>
      <c r="D2533" s="3" t="str">
        <f>IFERROR(__xludf.DUMMYFUNCTION("""COMPUTED_VALUE"""),"K0K 2E0")</f>
        <v>K0K 2E0</v>
      </c>
      <c r="E2533" s="3"/>
      <c r="F2533" s="3"/>
      <c r="G2533" s="3"/>
      <c r="H2533" s="3"/>
    </row>
    <row r="2534">
      <c r="A2534" s="2">
        <f>IFERROR(__xludf.DUMMYFUNCTION("""COMPUTED_VALUE"""),23186.0)</f>
        <v>23186</v>
      </c>
      <c r="B2534" s="3" t="str">
        <f>IFERROR(__xludf.DUMMYFUNCTION("""COMPUTED_VALUE"""),"5648 RICE LAKE SCENIC DR UNIT 220")</f>
        <v>5648 RICE LAKE SCENIC DR UNIT 220</v>
      </c>
      <c r="C2534" s="3" t="str">
        <f>IFERROR(__xludf.DUMMYFUNCTION("""COMPUTED_VALUE"""),"GORES LANDING")</f>
        <v>GORES LANDING</v>
      </c>
      <c r="D2534" s="3" t="str">
        <f>IFERROR(__xludf.DUMMYFUNCTION("""COMPUTED_VALUE"""),"K0K 2E0")</f>
        <v>K0K 2E0</v>
      </c>
      <c r="E2534" s="3"/>
      <c r="F2534" s="3"/>
      <c r="G2534" s="3"/>
      <c r="H2534" s="3"/>
    </row>
    <row r="2535">
      <c r="A2535" s="2">
        <f>IFERROR(__xludf.DUMMYFUNCTION("""COMPUTED_VALUE"""),23187.0)</f>
        <v>23187</v>
      </c>
      <c r="B2535" s="3" t="str">
        <f>IFERROR(__xludf.DUMMYFUNCTION("""COMPUTED_VALUE"""),"5648 RICE LAKE SCENIC DR UNIT 250")</f>
        <v>5648 RICE LAKE SCENIC DR UNIT 250</v>
      </c>
      <c r="C2535" s="3" t="str">
        <f>IFERROR(__xludf.DUMMYFUNCTION("""COMPUTED_VALUE"""),"GORES LANDING")</f>
        <v>GORES LANDING</v>
      </c>
      <c r="D2535" s="3" t="str">
        <f>IFERROR(__xludf.DUMMYFUNCTION("""COMPUTED_VALUE"""),"K0K 2E0")</f>
        <v>K0K 2E0</v>
      </c>
      <c r="E2535" s="3"/>
      <c r="F2535" s="3"/>
      <c r="G2535" s="3"/>
      <c r="H2535" s="3"/>
    </row>
    <row r="2536">
      <c r="A2536" s="2">
        <f>IFERROR(__xludf.DUMMYFUNCTION("""COMPUTED_VALUE"""),23188.0)</f>
        <v>23188</v>
      </c>
      <c r="B2536" s="3" t="str">
        <f>IFERROR(__xludf.DUMMYFUNCTION("""COMPUTED_VALUE"""),"5648 RICE LAKE SCENIC DR UNIT 260")</f>
        <v>5648 RICE LAKE SCENIC DR UNIT 260</v>
      </c>
      <c r="C2536" s="3" t="str">
        <f>IFERROR(__xludf.DUMMYFUNCTION("""COMPUTED_VALUE"""),"GORES LANDING")</f>
        <v>GORES LANDING</v>
      </c>
      <c r="D2536" s="3" t="str">
        <f>IFERROR(__xludf.DUMMYFUNCTION("""COMPUTED_VALUE"""),"K0K 2E0")</f>
        <v>K0K 2E0</v>
      </c>
      <c r="E2536" s="3"/>
      <c r="F2536" s="3"/>
      <c r="G2536" s="3"/>
      <c r="H2536" s="3"/>
    </row>
    <row r="2537">
      <c r="A2537" s="2">
        <f>IFERROR(__xludf.DUMMYFUNCTION("""COMPUTED_VALUE"""),23955.0)</f>
        <v>23955</v>
      </c>
      <c r="B2537" s="3" t="str">
        <f>IFERROR(__xludf.DUMMYFUNCTION("""COMPUTED_VALUE"""),"5661 RICE LAKE SCENIC DR")</f>
        <v>5661 RICE LAKE SCENIC DR</v>
      </c>
      <c r="C2537" s="3" t="str">
        <f>IFERROR(__xludf.DUMMYFUNCTION("""COMPUTED_VALUE"""),"GORES LANDING")</f>
        <v>GORES LANDING</v>
      </c>
      <c r="D2537" s="3" t="str">
        <f>IFERROR(__xludf.DUMMYFUNCTION("""COMPUTED_VALUE"""),"K0K 2E0")</f>
        <v>K0K 2E0</v>
      </c>
      <c r="E2537" s="3"/>
      <c r="F2537" s="3"/>
      <c r="G2537" s="3"/>
      <c r="H2537" s="3"/>
    </row>
    <row r="2538">
      <c r="A2538" s="2">
        <f>IFERROR(__xludf.DUMMYFUNCTION("""COMPUTED_VALUE"""),23956.0)</f>
        <v>23956</v>
      </c>
      <c r="B2538" s="3" t="str">
        <f>IFERROR(__xludf.DUMMYFUNCTION("""COMPUTED_VALUE"""),"5683 RICE LAKE SCENIC DR")</f>
        <v>5683 RICE LAKE SCENIC DR</v>
      </c>
      <c r="C2538" s="3" t="str">
        <f>IFERROR(__xludf.DUMMYFUNCTION("""COMPUTED_VALUE"""),"GORES LANDING")</f>
        <v>GORES LANDING</v>
      </c>
      <c r="D2538" s="3" t="str">
        <f>IFERROR(__xludf.DUMMYFUNCTION("""COMPUTED_VALUE"""),"K0K 2E0")</f>
        <v>K0K 2E0</v>
      </c>
      <c r="E2538" s="3" t="str">
        <f>IFERROR(__xludf.DUMMYFUNCTION("""COMPUTED_VALUE"""),"Laura &amp; Joe Toms")</f>
        <v>Laura &amp; Joe Toms</v>
      </c>
      <c r="F2538" s="3" t="str">
        <f>IFERROR(__xludf.DUMMYFUNCTION("""COMPUTED_VALUE"""),"oldburrisonhomestead@yahoo.com")</f>
        <v>oldburrisonhomestead@yahoo.com</v>
      </c>
      <c r="G2538" s="3"/>
      <c r="H2538" s="3"/>
    </row>
    <row r="2539">
      <c r="A2539" s="2">
        <f>IFERROR(__xludf.DUMMYFUNCTION("""COMPUTED_VALUE"""),23993.0)</f>
        <v>23993</v>
      </c>
      <c r="B2539" s="3" t="str">
        <f>IFERROR(__xludf.DUMMYFUNCTION("""COMPUTED_VALUE"""),"5684 RICE LAKE SCENIC DR")</f>
        <v>5684 RICE LAKE SCENIC DR</v>
      </c>
      <c r="C2539" s="3" t="str">
        <f>IFERROR(__xludf.DUMMYFUNCTION("""COMPUTED_VALUE"""),"GORES LANDING")</f>
        <v>GORES LANDING</v>
      </c>
      <c r="D2539" s="3" t="str">
        <f>IFERROR(__xludf.DUMMYFUNCTION("""COMPUTED_VALUE"""),"K0K 2E0")</f>
        <v>K0K 2E0</v>
      </c>
      <c r="E2539" s="3"/>
      <c r="F2539" s="3"/>
      <c r="G2539" s="3"/>
      <c r="H2539" s="3"/>
    </row>
    <row r="2540">
      <c r="A2540" s="2">
        <f>IFERROR(__xludf.DUMMYFUNCTION("""COMPUTED_VALUE"""),23957.0)</f>
        <v>23957</v>
      </c>
      <c r="B2540" s="3" t="str">
        <f>IFERROR(__xludf.DUMMYFUNCTION("""COMPUTED_VALUE"""),"5696 RICE LAKE SCENIC DR")</f>
        <v>5696 RICE LAKE SCENIC DR</v>
      </c>
      <c r="C2540" s="3" t="str">
        <f>IFERROR(__xludf.DUMMYFUNCTION("""COMPUTED_VALUE"""),"GORES LANDING")</f>
        <v>GORES LANDING</v>
      </c>
      <c r="D2540" s="3" t="str">
        <f>IFERROR(__xludf.DUMMYFUNCTION("""COMPUTED_VALUE"""),"K0K 2E0")</f>
        <v>K0K 2E0</v>
      </c>
      <c r="E2540" s="3"/>
      <c r="F2540" s="3"/>
      <c r="G2540" s="3"/>
      <c r="H2540" s="3"/>
    </row>
    <row r="2541">
      <c r="A2541" s="2">
        <f>IFERROR(__xludf.DUMMYFUNCTION("""COMPUTED_VALUE"""),23958.0)</f>
        <v>23958</v>
      </c>
      <c r="B2541" s="3" t="str">
        <f>IFERROR(__xludf.DUMMYFUNCTION("""COMPUTED_VALUE"""),"5704 RICE LAKE SCENIC DR")</f>
        <v>5704 RICE LAKE SCENIC DR</v>
      </c>
      <c r="C2541" s="3" t="str">
        <f>IFERROR(__xludf.DUMMYFUNCTION("""COMPUTED_VALUE"""),"GORES LANDING")</f>
        <v>GORES LANDING</v>
      </c>
      <c r="D2541" s="3" t="str">
        <f>IFERROR(__xludf.DUMMYFUNCTION("""COMPUTED_VALUE"""),"K0K 2E0")</f>
        <v>K0K 2E0</v>
      </c>
      <c r="E2541" s="3"/>
      <c r="F2541" s="3"/>
      <c r="G2541" s="3"/>
      <c r="H2541" s="3"/>
    </row>
    <row r="2542">
      <c r="A2542" s="2">
        <f>IFERROR(__xludf.DUMMYFUNCTION("""COMPUTED_VALUE"""),23959.0)</f>
        <v>23959</v>
      </c>
      <c r="B2542" s="3" t="str">
        <f>IFERROR(__xludf.DUMMYFUNCTION("""COMPUTED_VALUE"""),"5706 RICE LAKE SCENIC DR")</f>
        <v>5706 RICE LAKE SCENIC DR</v>
      </c>
      <c r="C2542" s="3" t="str">
        <f>IFERROR(__xludf.DUMMYFUNCTION("""COMPUTED_VALUE"""),"GORES LANDING")</f>
        <v>GORES LANDING</v>
      </c>
      <c r="D2542" s="3" t="str">
        <f>IFERROR(__xludf.DUMMYFUNCTION("""COMPUTED_VALUE"""),"K0K 2E0")</f>
        <v>K0K 2E0</v>
      </c>
      <c r="E2542" s="3"/>
      <c r="F2542" s="3"/>
      <c r="G2542" s="3"/>
      <c r="H2542" s="3"/>
    </row>
    <row r="2543">
      <c r="A2543" s="2">
        <f>IFERROR(__xludf.DUMMYFUNCTION("""COMPUTED_VALUE"""),23960.0)</f>
        <v>23960</v>
      </c>
      <c r="B2543" s="3" t="str">
        <f>IFERROR(__xludf.DUMMYFUNCTION("""COMPUTED_VALUE"""),"5714 RICE LAKE SCENIC DR")</f>
        <v>5714 RICE LAKE SCENIC DR</v>
      </c>
      <c r="C2543" s="3" t="str">
        <f>IFERROR(__xludf.DUMMYFUNCTION("""COMPUTED_VALUE"""),"GORES LANDING")</f>
        <v>GORES LANDING</v>
      </c>
      <c r="D2543" s="3" t="str">
        <f>IFERROR(__xludf.DUMMYFUNCTION("""COMPUTED_VALUE"""),"K0K 2E0")</f>
        <v>K0K 2E0</v>
      </c>
      <c r="E2543" s="3"/>
      <c r="F2543" s="3"/>
      <c r="G2543" s="3"/>
      <c r="H2543" s="3"/>
    </row>
    <row r="2544">
      <c r="A2544" s="2">
        <f>IFERROR(__xludf.DUMMYFUNCTION("""COMPUTED_VALUE"""),23189.0)</f>
        <v>23189</v>
      </c>
      <c r="B2544" s="3" t="str">
        <f>IFERROR(__xludf.DUMMYFUNCTION("""COMPUTED_VALUE"""),"5724 RICE LAKE SCENIC DR")</f>
        <v>5724 RICE LAKE SCENIC DR</v>
      </c>
      <c r="C2544" s="3" t="str">
        <f>IFERROR(__xludf.DUMMYFUNCTION("""COMPUTED_VALUE"""),"GORES LANDING")</f>
        <v>GORES LANDING</v>
      </c>
      <c r="D2544" s="3" t="str">
        <f>IFERROR(__xludf.DUMMYFUNCTION("""COMPUTED_VALUE"""),"K0K 2E0")</f>
        <v>K0K 2E0</v>
      </c>
      <c r="E2544" s="3"/>
      <c r="F2544" s="3"/>
      <c r="G2544" s="3"/>
      <c r="H2544" s="3"/>
    </row>
    <row r="2545">
      <c r="A2545" s="2">
        <f>IFERROR(__xludf.DUMMYFUNCTION("""COMPUTED_VALUE"""),23961.0)</f>
        <v>23961</v>
      </c>
      <c r="B2545" s="3" t="str">
        <f>IFERROR(__xludf.DUMMYFUNCTION("""COMPUTED_VALUE"""),"5731 RICE LAKE SCENIC DR")</f>
        <v>5731 RICE LAKE SCENIC DR</v>
      </c>
      <c r="C2545" s="3" t="str">
        <f>IFERROR(__xludf.DUMMYFUNCTION("""COMPUTED_VALUE"""),"GORES LANDING")</f>
        <v>GORES LANDING</v>
      </c>
      <c r="D2545" s="3" t="str">
        <f>IFERROR(__xludf.DUMMYFUNCTION("""COMPUTED_VALUE"""),"K0K 2E0")</f>
        <v>K0K 2E0</v>
      </c>
      <c r="E2545" s="3" t="str">
        <f>IFERROR(__xludf.DUMMYFUNCTION("""COMPUTED_VALUE"""),"shelley davey")</f>
        <v>shelley davey</v>
      </c>
      <c r="F2545" s="3" t="str">
        <f>IFERROR(__xludf.DUMMYFUNCTION("""COMPUTED_VALUE"""),"sddavey2019@outlook.com")</f>
        <v>sddavey2019@outlook.com</v>
      </c>
      <c r="G2545" s="3">
        <f>IFERROR(__xludf.DUMMYFUNCTION("""COMPUTED_VALUE"""),9.053753383E9)</f>
        <v>9053753383</v>
      </c>
      <c r="H2545" s="3"/>
    </row>
    <row r="2546">
      <c r="A2546" s="2">
        <f>IFERROR(__xludf.DUMMYFUNCTION("""COMPUTED_VALUE"""),24016.0)</f>
        <v>24016</v>
      </c>
      <c r="B2546" s="3" t="str">
        <f>IFERROR(__xludf.DUMMYFUNCTION("""COMPUTED_VALUE"""),"6206 RICE LAKE SCENIC DR")</f>
        <v>6206 RICE LAKE SCENIC DR</v>
      </c>
      <c r="C2546" s="3" t="str">
        <f>IFERROR(__xludf.DUMMYFUNCTION("""COMPUTED_VALUE"""),"HARWOOD")</f>
        <v>HARWOOD</v>
      </c>
      <c r="D2546" s="3" t="str">
        <f>IFERROR(__xludf.DUMMYFUNCTION("""COMPUTED_VALUE"""),"K0K 2H0")</f>
        <v>K0K 2H0</v>
      </c>
      <c r="E2546" s="3"/>
      <c r="F2546" s="3"/>
      <c r="G2546" s="3"/>
      <c r="H2546" s="3"/>
    </row>
    <row r="2547">
      <c r="A2547" s="2">
        <f>IFERROR(__xludf.DUMMYFUNCTION("""COMPUTED_VALUE"""),23193.0)</f>
        <v>23193</v>
      </c>
      <c r="B2547" s="3" t="str">
        <f>IFERROR(__xludf.DUMMYFUNCTION("""COMPUTED_VALUE"""),"6209 RICE LAKE SCENIC DR")</f>
        <v>6209 RICE LAKE SCENIC DR</v>
      </c>
      <c r="C2547" s="3" t="str">
        <f>IFERROR(__xludf.DUMMYFUNCTION("""COMPUTED_VALUE"""),"HARWOOD")</f>
        <v>HARWOOD</v>
      </c>
      <c r="D2547" s="3" t="str">
        <f>IFERROR(__xludf.DUMMYFUNCTION("""COMPUTED_VALUE"""),"K0K 2H0")</f>
        <v>K0K 2H0</v>
      </c>
      <c r="E2547" s="3"/>
      <c r="F2547" s="3"/>
      <c r="G2547" s="3"/>
      <c r="H2547" s="3"/>
    </row>
    <row r="2548">
      <c r="A2548" s="2">
        <f>IFERROR(__xludf.DUMMYFUNCTION("""COMPUTED_VALUE"""),23194.0)</f>
        <v>23194</v>
      </c>
      <c r="B2548" s="3" t="str">
        <f>IFERROR(__xludf.DUMMYFUNCTION("""COMPUTED_VALUE"""),"6225 RICE LAKE SCENIC DR")</f>
        <v>6225 RICE LAKE SCENIC DR</v>
      </c>
      <c r="C2548" s="3" t="str">
        <f>IFERROR(__xludf.DUMMYFUNCTION("""COMPUTED_VALUE"""),"HARWOOD")</f>
        <v>HARWOOD</v>
      </c>
      <c r="D2548" s="3" t="str">
        <f>IFERROR(__xludf.DUMMYFUNCTION("""COMPUTED_VALUE"""),"K0K 2H0")</f>
        <v>K0K 2H0</v>
      </c>
      <c r="E2548" s="3" t="str">
        <f>IFERROR(__xludf.DUMMYFUNCTION("""COMPUTED_VALUE"""),"Andrew Carr")</f>
        <v>Andrew Carr</v>
      </c>
      <c r="F2548" s="3"/>
      <c r="G2548" s="3"/>
      <c r="H2548" s="3"/>
    </row>
    <row r="2549">
      <c r="A2549" s="2">
        <f>IFERROR(__xludf.DUMMYFUNCTION("""COMPUTED_VALUE"""),23195.0)</f>
        <v>23195</v>
      </c>
      <c r="B2549" s="3" t="str">
        <f>IFERROR(__xludf.DUMMYFUNCTION("""COMPUTED_VALUE"""),"6228 RICE LAKE SCENIC DR")</f>
        <v>6228 RICE LAKE SCENIC DR</v>
      </c>
      <c r="C2549" s="3" t="str">
        <f>IFERROR(__xludf.DUMMYFUNCTION("""COMPUTED_VALUE"""),"HARWOOD")</f>
        <v>HARWOOD</v>
      </c>
      <c r="D2549" s="3" t="str">
        <f>IFERROR(__xludf.DUMMYFUNCTION("""COMPUTED_VALUE"""),"K0K 2H0")</f>
        <v>K0K 2H0</v>
      </c>
      <c r="E2549" s="3" t="str">
        <f>IFERROR(__xludf.DUMMYFUNCTION("""COMPUTED_VALUE"""),"Pauune Browes")</f>
        <v>Pauune Browes</v>
      </c>
      <c r="F2549" s="3" t="str">
        <f>IFERROR(__xludf.DUMMYFUNCTION("""COMPUTED_VALUE"""),"browes@rogers.com")</f>
        <v>browes@rogers.com</v>
      </c>
      <c r="G2549" s="3"/>
      <c r="H2549" s="3"/>
    </row>
    <row r="2550">
      <c r="A2550" s="2">
        <f>IFERROR(__xludf.DUMMYFUNCTION("""COMPUTED_VALUE"""),23196.0)</f>
        <v>23196</v>
      </c>
      <c r="B2550" s="3" t="str">
        <f>IFERROR(__xludf.DUMMYFUNCTION("""COMPUTED_VALUE"""),"6229 RICE LAKE SCENIC DR")</f>
        <v>6229 RICE LAKE SCENIC DR</v>
      </c>
      <c r="C2550" s="3" t="str">
        <f>IFERROR(__xludf.DUMMYFUNCTION("""COMPUTED_VALUE"""),"HARWOOD")</f>
        <v>HARWOOD</v>
      </c>
      <c r="D2550" s="3" t="str">
        <f>IFERROR(__xludf.DUMMYFUNCTION("""COMPUTED_VALUE"""),"K0K 2H0")</f>
        <v>K0K 2H0</v>
      </c>
      <c r="E2550" s="3" t="str">
        <f>IFERROR(__xludf.DUMMYFUNCTION("""COMPUTED_VALUE"""),"gary lothiaw")</f>
        <v>gary lothiaw</v>
      </c>
      <c r="F2550" s="3" t="str">
        <f>IFERROR(__xludf.DUMMYFUNCTION("""COMPUTED_VALUE"""),"glhaisman@gmail.com")</f>
        <v>glhaisman@gmail.com</v>
      </c>
      <c r="G2550" s="3">
        <f>IFERROR(__xludf.DUMMYFUNCTION("""COMPUTED_VALUE"""),9.053759123E9)</f>
        <v>9053759123</v>
      </c>
      <c r="H2550" s="3">
        <f>IFERROR(__xludf.DUMMYFUNCTION("""COMPUTED_VALUE"""),7.057404042E9)</f>
        <v>7057404042</v>
      </c>
    </row>
    <row r="2551">
      <c r="A2551" s="2">
        <f>IFERROR(__xludf.DUMMYFUNCTION("""COMPUTED_VALUE"""),23197.0)</f>
        <v>23197</v>
      </c>
      <c r="B2551" s="3" t="str">
        <f>IFERROR(__xludf.DUMMYFUNCTION("""COMPUTED_VALUE"""),"6234 RICE LAKE SCENIC DR")</f>
        <v>6234 RICE LAKE SCENIC DR</v>
      </c>
      <c r="C2551" s="3" t="str">
        <f>IFERROR(__xludf.DUMMYFUNCTION("""COMPUTED_VALUE"""),"HARWOOD")</f>
        <v>HARWOOD</v>
      </c>
      <c r="D2551" s="3" t="str">
        <f>IFERROR(__xludf.DUMMYFUNCTION("""COMPUTED_VALUE"""),"K0K 2H0")</f>
        <v>K0K 2H0</v>
      </c>
      <c r="E2551" s="3" t="str">
        <f>IFERROR(__xludf.DUMMYFUNCTION("""COMPUTED_VALUE"""),"Bruce Hembruff")</f>
        <v>Bruce Hembruff</v>
      </c>
      <c r="F2551" s="3" t="str">
        <f>IFERROR(__xludf.DUMMYFUNCTION("""COMPUTED_VALUE"""),"brucepaulhembruff101@gmail.com")</f>
        <v>brucepaulhembruff101@gmail.com</v>
      </c>
      <c r="G2551" s="3">
        <f>IFERROR(__xludf.DUMMYFUNCTION("""COMPUTED_VALUE"""),9.059256098E9)</f>
        <v>9059256098</v>
      </c>
      <c r="H2551" s="3">
        <f>IFERROR(__xludf.DUMMYFUNCTION("""COMPUTED_VALUE"""),9.052590689E9)</f>
        <v>9052590689</v>
      </c>
    </row>
    <row r="2552">
      <c r="A2552" s="2">
        <f>IFERROR(__xludf.DUMMYFUNCTION("""COMPUTED_VALUE"""),23198.0)</f>
        <v>23198</v>
      </c>
      <c r="B2552" s="3" t="str">
        <f>IFERROR(__xludf.DUMMYFUNCTION("""COMPUTED_VALUE"""),"6238 RICE LAKE SCENIC DR")</f>
        <v>6238 RICE LAKE SCENIC DR</v>
      </c>
      <c r="C2552" s="3" t="str">
        <f>IFERROR(__xludf.DUMMYFUNCTION("""COMPUTED_VALUE"""),"HARWOOD")</f>
        <v>HARWOOD</v>
      </c>
      <c r="D2552" s="3" t="str">
        <f>IFERROR(__xludf.DUMMYFUNCTION("""COMPUTED_VALUE"""),"K0K 2H0")</f>
        <v>K0K 2H0</v>
      </c>
      <c r="E2552" s="3"/>
      <c r="F2552" s="3"/>
      <c r="G2552" s="3"/>
      <c r="H2552" s="3"/>
    </row>
    <row r="2553">
      <c r="A2553" s="2">
        <f>IFERROR(__xludf.DUMMYFUNCTION("""COMPUTED_VALUE"""),23199.0)</f>
        <v>23199</v>
      </c>
      <c r="B2553" s="3" t="str">
        <f>IFERROR(__xludf.DUMMYFUNCTION("""COMPUTED_VALUE"""),"6243 RICE LAKE SCENIC DR")</f>
        <v>6243 RICE LAKE SCENIC DR</v>
      </c>
      <c r="C2553" s="3" t="str">
        <f>IFERROR(__xludf.DUMMYFUNCTION("""COMPUTED_VALUE"""),"HARWOOD")</f>
        <v>HARWOOD</v>
      </c>
      <c r="D2553" s="3" t="str">
        <f>IFERROR(__xludf.DUMMYFUNCTION("""COMPUTED_VALUE"""),"K0K 2H0")</f>
        <v>K0K 2H0</v>
      </c>
      <c r="E2553" s="3"/>
      <c r="F2553" s="3"/>
      <c r="G2553" s="3"/>
      <c r="H2553" s="3"/>
    </row>
    <row r="2554">
      <c r="A2554" s="2">
        <f>IFERROR(__xludf.DUMMYFUNCTION("""COMPUTED_VALUE"""),23200.0)</f>
        <v>23200</v>
      </c>
      <c r="B2554" s="3" t="str">
        <f>IFERROR(__xludf.DUMMYFUNCTION("""COMPUTED_VALUE"""),"6255 RICE LAKE SCENIC DR")</f>
        <v>6255 RICE LAKE SCENIC DR</v>
      </c>
      <c r="C2554" s="3" t="str">
        <f>IFERROR(__xludf.DUMMYFUNCTION("""COMPUTED_VALUE"""),"HARWOOD")</f>
        <v>HARWOOD</v>
      </c>
      <c r="D2554" s="3" t="str">
        <f>IFERROR(__xludf.DUMMYFUNCTION("""COMPUTED_VALUE"""),"K0K 2H0")</f>
        <v>K0K 2H0</v>
      </c>
      <c r="E2554" s="3" t="str">
        <f>IFERROR(__xludf.DUMMYFUNCTION("""COMPUTED_VALUE"""),"doug rose ")</f>
        <v>doug rose </v>
      </c>
      <c r="F2554" s="3"/>
      <c r="G2554" s="3">
        <f>IFERROR(__xludf.DUMMYFUNCTION("""COMPUTED_VALUE"""),9.053960048E9)</f>
        <v>9053960048</v>
      </c>
      <c r="H2554" s="3"/>
    </row>
    <row r="2555">
      <c r="A2555" s="2">
        <f>IFERROR(__xludf.DUMMYFUNCTION("""COMPUTED_VALUE"""),23201.0)</f>
        <v>23201</v>
      </c>
      <c r="B2555" s="3" t="str">
        <f>IFERROR(__xludf.DUMMYFUNCTION("""COMPUTED_VALUE"""),"6265 RICE LAKE SCENIC DR")</f>
        <v>6265 RICE LAKE SCENIC DR</v>
      </c>
      <c r="C2555" s="3" t="str">
        <f>IFERROR(__xludf.DUMMYFUNCTION("""COMPUTED_VALUE"""),"HARWOOD")</f>
        <v>HARWOOD</v>
      </c>
      <c r="D2555" s="3" t="str">
        <f>IFERROR(__xludf.DUMMYFUNCTION("""COMPUTED_VALUE"""),"K0K 2H0")</f>
        <v>K0K 2H0</v>
      </c>
      <c r="E2555" s="3"/>
      <c r="F2555" s="3"/>
      <c r="G2555" s="3"/>
      <c r="H2555" s="3"/>
    </row>
    <row r="2556">
      <c r="A2556" s="2">
        <f>IFERROR(__xludf.DUMMYFUNCTION("""COMPUTED_VALUE"""),23202.0)</f>
        <v>23202</v>
      </c>
      <c r="B2556" s="3" t="str">
        <f>IFERROR(__xludf.DUMMYFUNCTION("""COMPUTED_VALUE"""),"6268 RICE LAKE SCENIC DR")</f>
        <v>6268 RICE LAKE SCENIC DR</v>
      </c>
      <c r="C2556" s="3" t="str">
        <f>IFERROR(__xludf.DUMMYFUNCTION("""COMPUTED_VALUE"""),"HARWOOD")</f>
        <v>HARWOOD</v>
      </c>
      <c r="D2556" s="3" t="str">
        <f>IFERROR(__xludf.DUMMYFUNCTION("""COMPUTED_VALUE"""),"K0K 2H0")</f>
        <v>K0K 2H0</v>
      </c>
      <c r="E2556" s="3" t="str">
        <f>IFERROR(__xludf.DUMMYFUNCTION("""COMPUTED_VALUE"""),"Bernadette Trotter")</f>
        <v>Bernadette Trotter</v>
      </c>
      <c r="F2556" s="3" t="str">
        <f>IFERROR(__xludf.DUMMYFUNCTION("""COMPUTED_VALUE"""),"fab4mum@yahoo.ca")</f>
        <v>fab4mum@yahoo.ca</v>
      </c>
      <c r="G2556" s="3"/>
      <c r="H2556" s="3"/>
    </row>
    <row r="2557">
      <c r="A2557" s="2">
        <f>IFERROR(__xludf.DUMMYFUNCTION("""COMPUTED_VALUE"""),23203.0)</f>
        <v>23203</v>
      </c>
      <c r="B2557" s="3" t="str">
        <f>IFERROR(__xludf.DUMMYFUNCTION("""COMPUTED_VALUE"""),"6274 RICE LAKE SCENIC DR")</f>
        <v>6274 RICE LAKE SCENIC DR</v>
      </c>
      <c r="C2557" s="3" t="str">
        <f>IFERROR(__xludf.DUMMYFUNCTION("""COMPUTED_VALUE"""),"HARWOOD")</f>
        <v>HARWOOD</v>
      </c>
      <c r="D2557" s="3" t="str">
        <f>IFERROR(__xludf.DUMMYFUNCTION("""COMPUTED_VALUE"""),"K0K 2H0")</f>
        <v>K0K 2H0</v>
      </c>
      <c r="E2557" s="3" t="str">
        <f>IFERROR(__xludf.DUMMYFUNCTION("""COMPUTED_VALUE"""),"Melissa Baker ")</f>
        <v>Melissa Baker </v>
      </c>
      <c r="F2557" s="3" t="str">
        <f>IFERROR(__xludf.DUMMYFUNCTION("""COMPUTED_VALUE"""),"melissabaker428@gmail.com")</f>
        <v>melissabaker428@gmail.com</v>
      </c>
      <c r="G2557" s="3">
        <f>IFERROR(__xludf.DUMMYFUNCTION("""COMPUTED_VALUE"""),9.053762909E9)</f>
        <v>9053762909</v>
      </c>
      <c r="H2557" s="3"/>
    </row>
    <row r="2558">
      <c r="A2558" s="2">
        <f>IFERROR(__xludf.DUMMYFUNCTION("""COMPUTED_VALUE"""),23204.0)</f>
        <v>23204</v>
      </c>
      <c r="B2558" s="3" t="str">
        <f>IFERROR(__xludf.DUMMYFUNCTION("""COMPUTED_VALUE"""),"6275 RICE LAKE SCENIC DR")</f>
        <v>6275 RICE LAKE SCENIC DR</v>
      </c>
      <c r="C2558" s="3" t="str">
        <f>IFERROR(__xludf.DUMMYFUNCTION("""COMPUTED_VALUE"""),"HARWOOD")</f>
        <v>HARWOOD</v>
      </c>
      <c r="D2558" s="3" t="str">
        <f>IFERROR(__xludf.DUMMYFUNCTION("""COMPUTED_VALUE"""),"K0K 2H0")</f>
        <v>K0K 2H0</v>
      </c>
      <c r="E2558" s="3"/>
      <c r="F2558" s="3"/>
      <c r="G2558" s="3"/>
      <c r="H2558" s="3"/>
    </row>
    <row r="2559">
      <c r="A2559" s="2">
        <f>IFERROR(__xludf.DUMMYFUNCTION("""COMPUTED_VALUE"""),23205.0)</f>
        <v>23205</v>
      </c>
      <c r="B2559" s="3" t="str">
        <f>IFERROR(__xludf.DUMMYFUNCTION("""COMPUTED_VALUE"""),"6278 RICE LAKE SCENIC DR")</f>
        <v>6278 RICE LAKE SCENIC DR</v>
      </c>
      <c r="C2559" s="3" t="str">
        <f>IFERROR(__xludf.DUMMYFUNCTION("""COMPUTED_VALUE"""),"HARWOOD")</f>
        <v>HARWOOD</v>
      </c>
      <c r="D2559" s="3" t="str">
        <f>IFERROR(__xludf.DUMMYFUNCTION("""COMPUTED_VALUE"""),"K0K 2H0")</f>
        <v>K0K 2H0</v>
      </c>
      <c r="E2559" s="3"/>
      <c r="F2559" s="3"/>
      <c r="G2559" s="3"/>
      <c r="H2559" s="3"/>
    </row>
    <row r="2560">
      <c r="A2560" s="2">
        <f>IFERROR(__xludf.DUMMYFUNCTION("""COMPUTED_VALUE"""),23206.0)</f>
        <v>23206</v>
      </c>
      <c r="B2560" s="3" t="str">
        <f>IFERROR(__xludf.DUMMYFUNCTION("""COMPUTED_VALUE"""),"6279 RICE LAKE SCENIC DR")</f>
        <v>6279 RICE LAKE SCENIC DR</v>
      </c>
      <c r="C2560" s="3" t="str">
        <f>IFERROR(__xludf.DUMMYFUNCTION("""COMPUTED_VALUE"""),"HARWOOD")</f>
        <v>HARWOOD</v>
      </c>
      <c r="D2560" s="3" t="str">
        <f>IFERROR(__xludf.DUMMYFUNCTION("""COMPUTED_VALUE"""),"K0K 2H0")</f>
        <v>K0K 2H0</v>
      </c>
      <c r="E2560" s="3" t="str">
        <f>IFERROR(__xludf.DUMMYFUNCTION("""COMPUTED_VALUE"""),"grace minife ")</f>
        <v>grace minife </v>
      </c>
      <c r="F2560" s="3" t="str">
        <f>IFERROR(__xludf.DUMMYFUNCTION("""COMPUTED_VALUE"""),"melissabaker428@gmail.com")</f>
        <v>melissabaker428@gmail.com</v>
      </c>
      <c r="G2560" s="3">
        <f>IFERROR(__xludf.DUMMYFUNCTION("""COMPUTED_VALUE"""),9.053762901E9)</f>
        <v>9053762901</v>
      </c>
      <c r="H2560" s="3"/>
    </row>
    <row r="2561">
      <c r="A2561" s="2">
        <f>IFERROR(__xludf.DUMMYFUNCTION("""COMPUTED_VALUE"""),23207.0)</f>
        <v>23207</v>
      </c>
      <c r="B2561" s="3" t="str">
        <f>IFERROR(__xludf.DUMMYFUNCTION("""COMPUTED_VALUE"""),"6282 RICE LAKE SCENIC DR")</f>
        <v>6282 RICE LAKE SCENIC DR</v>
      </c>
      <c r="C2561" s="3" t="str">
        <f>IFERROR(__xludf.DUMMYFUNCTION("""COMPUTED_VALUE"""),"HARWOOD")</f>
        <v>HARWOOD</v>
      </c>
      <c r="D2561" s="3" t="str">
        <f>IFERROR(__xludf.DUMMYFUNCTION("""COMPUTED_VALUE"""),"K0K 2H0")</f>
        <v>K0K 2H0</v>
      </c>
      <c r="E2561" s="3" t="str">
        <f>IFERROR(__xludf.DUMMYFUNCTION("""COMPUTED_VALUE"""),"graham and phoenix walker ")</f>
        <v>graham and phoenix walker </v>
      </c>
      <c r="F2561" s="3"/>
      <c r="G2561" s="3">
        <f>IFERROR(__xludf.DUMMYFUNCTION("""COMPUTED_VALUE"""),9.058090127E9)</f>
        <v>9058090127</v>
      </c>
      <c r="H2561" s="3"/>
    </row>
    <row r="2562">
      <c r="A2562" s="2">
        <f>IFERROR(__xludf.DUMMYFUNCTION("""COMPUTED_VALUE"""),23208.0)</f>
        <v>23208</v>
      </c>
      <c r="B2562" s="3" t="str">
        <f>IFERROR(__xludf.DUMMYFUNCTION("""COMPUTED_VALUE"""),"6283 RICE LAKE SCENIC DR")</f>
        <v>6283 RICE LAKE SCENIC DR</v>
      </c>
      <c r="C2562" s="3" t="str">
        <f>IFERROR(__xludf.DUMMYFUNCTION("""COMPUTED_VALUE"""),"HARWOOD")</f>
        <v>HARWOOD</v>
      </c>
      <c r="D2562" s="3" t="str">
        <f>IFERROR(__xludf.DUMMYFUNCTION("""COMPUTED_VALUE"""),"K0K 2H0")</f>
        <v>K0K 2H0</v>
      </c>
      <c r="E2562" s="3"/>
      <c r="F2562" s="3"/>
      <c r="G2562" s="3"/>
      <c r="H2562" s="3"/>
    </row>
    <row r="2563">
      <c r="A2563" s="2">
        <f>IFERROR(__xludf.DUMMYFUNCTION("""COMPUTED_VALUE"""),23209.0)</f>
        <v>23209</v>
      </c>
      <c r="B2563" s="3" t="str">
        <f>IFERROR(__xludf.DUMMYFUNCTION("""COMPUTED_VALUE"""),"6326 RICE LAKE SCENIC DR")</f>
        <v>6326 RICE LAKE SCENIC DR</v>
      </c>
      <c r="C2563" s="3" t="str">
        <f>IFERROR(__xludf.DUMMYFUNCTION("""COMPUTED_VALUE"""),"HARWOOD")</f>
        <v>HARWOOD</v>
      </c>
      <c r="D2563" s="3" t="str">
        <f>IFERROR(__xludf.DUMMYFUNCTION("""COMPUTED_VALUE"""),"K0K 2H0")</f>
        <v>K0K 2H0</v>
      </c>
      <c r="E2563" s="3" t="str">
        <f>IFERROR(__xludf.DUMMYFUNCTION("""COMPUTED_VALUE"""),"ZACHARY TAYLOR")</f>
        <v>ZACHARY TAYLOR</v>
      </c>
      <c r="F2563" s="3" t="str">
        <f>IFERROR(__xludf.DUMMYFUNCTION("""COMPUTED_VALUE"""),"zt66@live.ca")</f>
        <v>zt66@live.ca</v>
      </c>
      <c r="G2563" s="3"/>
      <c r="H2563" s="3"/>
    </row>
    <row r="2564">
      <c r="A2564" s="2">
        <f>IFERROR(__xludf.DUMMYFUNCTION("""COMPUTED_VALUE"""),23210.0)</f>
        <v>23210</v>
      </c>
      <c r="B2564" s="3" t="str">
        <f>IFERROR(__xludf.DUMMYFUNCTION("""COMPUTED_VALUE"""),"6332 RICE LAKE SCENIC DR")</f>
        <v>6332 RICE LAKE SCENIC DR</v>
      </c>
      <c r="C2564" s="3" t="str">
        <f>IFERROR(__xludf.DUMMYFUNCTION("""COMPUTED_VALUE"""),"HARWOOD")</f>
        <v>HARWOOD</v>
      </c>
      <c r="D2564" s="3" t="str">
        <f>IFERROR(__xludf.DUMMYFUNCTION("""COMPUTED_VALUE"""),"K0K 2H0")</f>
        <v>K0K 2H0</v>
      </c>
      <c r="E2564" s="3" t="str">
        <f>IFERROR(__xludf.DUMMYFUNCTION("""COMPUTED_VALUE"""),"Julie Doherty")</f>
        <v>Julie Doherty</v>
      </c>
      <c r="F2564" s="3" t="str">
        <f>IFERROR(__xludf.DUMMYFUNCTION("""COMPUTED_VALUE"""),"herb.julie2017@gmail.com")</f>
        <v>herb.julie2017@gmail.com</v>
      </c>
      <c r="G2564" s="3">
        <f>IFERROR(__xludf.DUMMYFUNCTION("""COMPUTED_VALUE"""),9.0503963499E10)</f>
        <v>90503963499</v>
      </c>
      <c r="H2564" s="3">
        <f>IFERROR(__xludf.DUMMYFUNCTION("""COMPUTED_VALUE"""),9.053967894E9)</f>
        <v>9053967894</v>
      </c>
    </row>
    <row r="2565">
      <c r="A2565" s="2">
        <f>IFERROR(__xludf.DUMMYFUNCTION("""COMPUTED_VALUE"""),23211.0)</f>
        <v>23211</v>
      </c>
      <c r="B2565" s="3" t="str">
        <f>IFERROR(__xludf.DUMMYFUNCTION("""COMPUTED_VALUE"""),"6338 RICE LAKE SCENIC DR")</f>
        <v>6338 RICE LAKE SCENIC DR</v>
      </c>
      <c r="C2565" s="3" t="str">
        <f>IFERROR(__xludf.DUMMYFUNCTION("""COMPUTED_VALUE"""),"HARWOOD")</f>
        <v>HARWOOD</v>
      </c>
      <c r="D2565" s="3" t="str">
        <f>IFERROR(__xludf.DUMMYFUNCTION("""COMPUTED_VALUE"""),"K0K 2H0")</f>
        <v>K0K 2H0</v>
      </c>
      <c r="E2565" s="3" t="str">
        <f>IFERROR(__xludf.DUMMYFUNCTION("""COMPUTED_VALUE"""),"Courtney Hogg")</f>
        <v>Courtney Hogg</v>
      </c>
      <c r="F2565" s="3" t="str">
        <f>IFERROR(__xludf.DUMMYFUNCTION("""COMPUTED_VALUE"""),"ehogg321@msn.com")</f>
        <v>ehogg321@msn.com</v>
      </c>
      <c r="G2565" s="3">
        <f>IFERROR(__xludf.DUMMYFUNCTION("""COMPUTED_VALUE"""),9.053764159E9)</f>
        <v>9053764159</v>
      </c>
      <c r="H2565" s="3">
        <f>IFERROR(__xludf.DUMMYFUNCTION("""COMPUTED_VALUE"""),9.053758936E9)</f>
        <v>9053758936</v>
      </c>
    </row>
    <row r="2566">
      <c r="A2566" s="2">
        <f>IFERROR(__xludf.DUMMYFUNCTION("""COMPUTED_VALUE"""),23212.0)</f>
        <v>23212</v>
      </c>
      <c r="B2566" s="3" t="str">
        <f>IFERROR(__xludf.DUMMYFUNCTION("""COMPUTED_VALUE"""),"6344 RICE LAKE SCENIC DR")</f>
        <v>6344 RICE LAKE SCENIC DR</v>
      </c>
      <c r="C2566" s="3" t="str">
        <f>IFERROR(__xludf.DUMMYFUNCTION("""COMPUTED_VALUE"""),"HARWOOD")</f>
        <v>HARWOOD</v>
      </c>
      <c r="D2566" s="3" t="str">
        <f>IFERROR(__xludf.DUMMYFUNCTION("""COMPUTED_VALUE"""),"K0K 2H0")</f>
        <v>K0K 2H0</v>
      </c>
      <c r="E2566" s="3"/>
      <c r="F2566" s="3"/>
      <c r="G2566" s="3"/>
      <c r="H2566" s="3"/>
    </row>
    <row r="2567">
      <c r="A2567" s="2">
        <f>IFERROR(__xludf.DUMMYFUNCTION("""COMPUTED_VALUE"""),23213.0)</f>
        <v>23213</v>
      </c>
      <c r="B2567" s="3" t="str">
        <f>IFERROR(__xludf.DUMMYFUNCTION("""COMPUTED_VALUE"""),"6350 RICE LAKE SCENIC DR")</f>
        <v>6350 RICE LAKE SCENIC DR</v>
      </c>
      <c r="C2567" s="3" t="str">
        <f>IFERROR(__xludf.DUMMYFUNCTION("""COMPUTED_VALUE"""),"HARWOOD")</f>
        <v>HARWOOD</v>
      </c>
      <c r="D2567" s="3" t="str">
        <f>IFERROR(__xludf.DUMMYFUNCTION("""COMPUTED_VALUE"""),"K0K 2H0")</f>
        <v>K0K 2H0</v>
      </c>
      <c r="E2567" s="3"/>
      <c r="F2567" s="3"/>
      <c r="G2567" s="3"/>
      <c r="H2567" s="3"/>
    </row>
    <row r="2568">
      <c r="A2568" s="2">
        <f>IFERROR(__xludf.DUMMYFUNCTION("""COMPUTED_VALUE"""),23214.0)</f>
        <v>23214</v>
      </c>
      <c r="B2568" s="3" t="str">
        <f>IFERROR(__xludf.DUMMYFUNCTION("""COMPUTED_VALUE"""),"6356 RICE LAKE SCENIC DR")</f>
        <v>6356 RICE LAKE SCENIC DR</v>
      </c>
      <c r="C2568" s="3" t="str">
        <f>IFERROR(__xludf.DUMMYFUNCTION("""COMPUTED_VALUE"""),"HARWOOD")</f>
        <v>HARWOOD</v>
      </c>
      <c r="D2568" s="3" t="str">
        <f>IFERROR(__xludf.DUMMYFUNCTION("""COMPUTED_VALUE"""),"K0K 2H0")</f>
        <v>K0K 2H0</v>
      </c>
      <c r="E2568" s="3" t="str">
        <f>IFERROR(__xludf.DUMMYFUNCTION("""COMPUTED_VALUE"""),"Corey Claughton")</f>
        <v>Corey Claughton</v>
      </c>
      <c r="F2568" s="3" t="str">
        <f>IFERROR(__xludf.DUMMYFUNCTION("""COMPUTED_VALUE"""),"u812_corey@hotmail.com")</f>
        <v>u812_corey@hotmail.com</v>
      </c>
      <c r="G2568" s="3">
        <f>IFERROR(__xludf.DUMMYFUNCTION("""COMPUTED_VALUE"""),9.053765337E9)</f>
        <v>9053765337</v>
      </c>
      <c r="H2568" s="3"/>
    </row>
    <row r="2569">
      <c r="A2569" s="2">
        <f>IFERROR(__xludf.DUMMYFUNCTION("""COMPUTED_VALUE"""),23215.0)</f>
        <v>23215</v>
      </c>
      <c r="B2569" s="3" t="str">
        <f>IFERROR(__xludf.DUMMYFUNCTION("""COMPUTED_VALUE"""),"6364 RICE LAKE SCENIC DR")</f>
        <v>6364 RICE LAKE SCENIC DR</v>
      </c>
      <c r="C2569" s="3" t="str">
        <f>IFERROR(__xludf.DUMMYFUNCTION("""COMPUTED_VALUE"""),"HARWOOD")</f>
        <v>HARWOOD</v>
      </c>
      <c r="D2569" s="3" t="str">
        <f>IFERROR(__xludf.DUMMYFUNCTION("""COMPUTED_VALUE"""),"K0K 2H0")</f>
        <v>K0K 2H0</v>
      </c>
      <c r="E2569" s="3"/>
      <c r="F2569" s="3"/>
      <c r="G2569" s="3"/>
      <c r="H2569" s="3"/>
    </row>
    <row r="2570">
      <c r="A2570" s="2">
        <f>IFERROR(__xludf.DUMMYFUNCTION("""COMPUTED_VALUE"""),23216.0)</f>
        <v>23216</v>
      </c>
      <c r="B2570" s="3" t="str">
        <f>IFERROR(__xludf.DUMMYFUNCTION("""COMPUTED_VALUE"""),"6374 RICE LAKE SCENIC DR")</f>
        <v>6374 RICE LAKE SCENIC DR</v>
      </c>
      <c r="C2570" s="3" t="str">
        <f>IFERROR(__xludf.DUMMYFUNCTION("""COMPUTED_VALUE"""),"HARWOOD")</f>
        <v>HARWOOD</v>
      </c>
      <c r="D2570" s="3" t="str">
        <f>IFERROR(__xludf.DUMMYFUNCTION("""COMPUTED_VALUE"""),"K0K 2H0")</f>
        <v>K0K 2H0</v>
      </c>
      <c r="E2570" s="3" t="str">
        <f>IFERROR(__xludf.DUMMYFUNCTION("""COMPUTED_VALUE"""),"Gloria Foskett")</f>
        <v>Gloria Foskett</v>
      </c>
      <c r="F2570" s="3" t="str">
        <f>IFERROR(__xludf.DUMMYFUNCTION("""COMPUTED_VALUE"""),"guyngloria@gmail.com")</f>
        <v>guyngloria@gmail.com</v>
      </c>
      <c r="G2570" s="3">
        <f>IFERROR(__xludf.DUMMYFUNCTION("""COMPUTED_VALUE"""),9.053964869E9)</f>
        <v>9053964869</v>
      </c>
      <c r="H2570" s="3"/>
    </row>
    <row r="2571">
      <c r="A2571" s="2">
        <f>IFERROR(__xludf.DUMMYFUNCTION("""COMPUTED_VALUE"""),23217.0)</f>
        <v>23217</v>
      </c>
      <c r="B2571" s="3" t="str">
        <f>IFERROR(__xludf.DUMMYFUNCTION("""COMPUTED_VALUE"""),"6388 RICE LAKE SCENIC DR")</f>
        <v>6388 RICE LAKE SCENIC DR</v>
      </c>
      <c r="C2571" s="3" t="str">
        <f>IFERROR(__xludf.DUMMYFUNCTION("""COMPUTED_VALUE"""),"HARWOOD")</f>
        <v>HARWOOD</v>
      </c>
      <c r="D2571" s="3" t="str">
        <f>IFERROR(__xludf.DUMMYFUNCTION("""COMPUTED_VALUE"""),"K0K 2H0")</f>
        <v>K0K 2H0</v>
      </c>
      <c r="E2571" s="3"/>
      <c r="F2571" s="3"/>
      <c r="G2571" s="3"/>
      <c r="H2571" s="3"/>
    </row>
    <row r="2572">
      <c r="A2572" s="2">
        <f>IFERROR(__xludf.DUMMYFUNCTION("""COMPUTED_VALUE"""),23218.0)</f>
        <v>23218</v>
      </c>
      <c r="B2572" s="3" t="str">
        <f>IFERROR(__xludf.DUMMYFUNCTION("""COMPUTED_VALUE"""),"6577 RICE LAKE SCENIC DR")</f>
        <v>6577 RICE LAKE SCENIC DR</v>
      </c>
      <c r="C2572" s="3" t="str">
        <f>IFERROR(__xludf.DUMMYFUNCTION("""COMPUTED_VALUE"""),"HARWOOD")</f>
        <v>HARWOOD</v>
      </c>
      <c r="D2572" s="3" t="str">
        <f>IFERROR(__xludf.DUMMYFUNCTION("""COMPUTED_VALUE"""),"K0K 2H0")</f>
        <v>K0K 2H0</v>
      </c>
      <c r="E2572" s="3" t="str">
        <f>IFERROR(__xludf.DUMMYFUNCTION("""COMPUTED_VALUE"""),"doug harvey")</f>
        <v>doug harvey</v>
      </c>
      <c r="F2572" s="3" t="str">
        <f>IFERROR(__xludf.DUMMYFUNCTION("""COMPUTED_VALUE"""),"kimharvey@yahoo.com")</f>
        <v>kimharvey@yahoo.com</v>
      </c>
      <c r="G2572" s="3">
        <f>IFERROR(__xludf.DUMMYFUNCTION("""COMPUTED_VALUE"""),9.053963157E9)</f>
        <v>9053963157</v>
      </c>
      <c r="H2572" s="3">
        <f>IFERROR(__xludf.DUMMYFUNCTION("""COMPUTED_VALUE"""),9.053775732E9)</f>
        <v>9053775732</v>
      </c>
    </row>
    <row r="2573">
      <c r="A2573" s="2">
        <f>IFERROR(__xludf.DUMMYFUNCTION("""COMPUTED_VALUE"""),23223.0)</f>
        <v>23223</v>
      </c>
      <c r="B2573" s="3" t="str">
        <f>IFERROR(__xludf.DUMMYFUNCTION("""COMPUTED_VALUE"""),"4743 ROBSON RD")</f>
        <v>4743 ROBSON RD</v>
      </c>
      <c r="C2573" s="3" t="str">
        <f>IFERROR(__xludf.DUMMYFUNCTION("""COMPUTED_VALUE"""),"BALTIMORE")</f>
        <v>BALTIMORE</v>
      </c>
      <c r="D2573" s="3" t="str">
        <f>IFERROR(__xludf.DUMMYFUNCTION("""COMPUTED_VALUE"""),"K0K 1C0")</f>
        <v>K0K 1C0</v>
      </c>
      <c r="E2573" s="3" t="str">
        <f>IFERROR(__xludf.DUMMYFUNCTION("""COMPUTED_VALUE"""),"terry and sharon parker")</f>
        <v>terry and sharon parker</v>
      </c>
      <c r="F2573" s="3" t="str">
        <f>IFERROR(__xludf.DUMMYFUNCTION("""COMPUTED_VALUE"""),"stparker3@gmail.com")</f>
        <v>stparker3@gmail.com</v>
      </c>
      <c r="G2573" s="3">
        <f>IFERROR(__xludf.DUMMYFUNCTION("""COMPUTED_VALUE"""),9.053423182E9)</f>
        <v>9053423182</v>
      </c>
      <c r="H2573" s="3"/>
    </row>
    <row r="2574">
      <c r="A2574" s="2">
        <f>IFERROR(__xludf.DUMMYFUNCTION("""COMPUTED_VALUE"""),23224.0)</f>
        <v>23224</v>
      </c>
      <c r="B2574" s="3" t="str">
        <f>IFERROR(__xludf.DUMMYFUNCTION("""COMPUTED_VALUE"""),"3367 ROEBUCK RD")</f>
        <v>3367 ROEBUCK RD</v>
      </c>
      <c r="C2574" s="3" t="str">
        <f>IFERROR(__xludf.DUMMYFUNCTION("""COMPUTED_VALUE"""),"BALTIMORE")</f>
        <v>BALTIMORE</v>
      </c>
      <c r="D2574" s="3" t="str">
        <f>IFERROR(__xludf.DUMMYFUNCTION("""COMPUTED_VALUE"""),"K0K 1C0")</f>
        <v>K0K 1C0</v>
      </c>
      <c r="E2574" s="3" t="str">
        <f>IFERROR(__xludf.DUMMYFUNCTION("""COMPUTED_VALUE"""),"DOUGLAS ROBERT JONES")</f>
        <v>DOUGLAS ROBERT JONES</v>
      </c>
      <c r="F2574" s="3" t="str">
        <f>IFERROR(__xludf.DUMMYFUNCTION("""COMPUTED_VALUE"""),"woodchucky9@hotmail.com")</f>
        <v>woodchucky9@hotmail.com</v>
      </c>
      <c r="G2574" s="3"/>
      <c r="H2574" s="3"/>
    </row>
    <row r="2575">
      <c r="A2575" s="2">
        <f>IFERROR(__xludf.DUMMYFUNCTION("""COMPUTED_VALUE"""),23225.0)</f>
        <v>23225</v>
      </c>
      <c r="B2575" s="3" t="str">
        <f>IFERROR(__xludf.DUMMYFUNCTION("""COMPUTED_VALUE"""),"3427 ROEBUCK RD")</f>
        <v>3427 ROEBUCK RD</v>
      </c>
      <c r="C2575" s="3" t="str">
        <f>IFERROR(__xludf.DUMMYFUNCTION("""COMPUTED_VALUE"""),"BALTIMORE")</f>
        <v>BALTIMORE</v>
      </c>
      <c r="D2575" s="3" t="str">
        <f>IFERROR(__xludf.DUMMYFUNCTION("""COMPUTED_VALUE"""),"K0K 1C0")</f>
        <v>K0K 1C0</v>
      </c>
      <c r="E2575" s="3" t="str">
        <f>IFERROR(__xludf.DUMMYFUNCTION("""COMPUTED_VALUE"""),"LILLIAN JOYCE JONES (99YRS OLD), POWER OF ATTORNEY: NANCY PATRICIA JONES (DAUGHTER)")</f>
        <v>LILLIAN JOYCE JONES (99YRS OLD), POWER OF ATTORNEY: NANCY PATRICIA JONES (DAUGHTER)</v>
      </c>
      <c r="F2575" s="3" t="str">
        <f>IFERROR(__xludf.DUMMYFUNCTION("""COMPUTED_VALUE"""),"nancy@kpatricks.com")</f>
        <v>nancy@kpatricks.com</v>
      </c>
      <c r="G2575" s="3"/>
      <c r="H2575" s="3"/>
    </row>
    <row r="2576">
      <c r="A2576" s="2">
        <f>IFERROR(__xludf.DUMMYFUNCTION("""COMPUTED_VALUE"""),23227.0)</f>
        <v>23227</v>
      </c>
      <c r="B2576" s="3" t="str">
        <f>IFERROR(__xludf.DUMMYFUNCTION("""COMPUTED_VALUE"""),"113 ROLPH RD")</f>
        <v>113 ROLPH RD</v>
      </c>
      <c r="C2576" s="3" t="str">
        <f>IFERROR(__xludf.DUMMYFUNCTION("""COMPUTED_VALUE"""),"BALTIMORE")</f>
        <v>BALTIMORE</v>
      </c>
      <c r="D2576" s="3" t="str">
        <f>IFERROR(__xludf.DUMMYFUNCTION("""COMPUTED_VALUE"""),"K0K 1C0")</f>
        <v>K0K 1C0</v>
      </c>
      <c r="E2576" s="3"/>
      <c r="F2576" s="3"/>
      <c r="G2576" s="3"/>
      <c r="H2576" s="3"/>
    </row>
    <row r="2577">
      <c r="A2577" s="2">
        <f>IFERROR(__xludf.DUMMYFUNCTION("""COMPUTED_VALUE"""),23151.0)</f>
        <v>23151</v>
      </c>
      <c r="B2577" s="3" t="str">
        <f>IFERROR(__xludf.DUMMYFUNCTION("""COMPUTED_VALUE"""),"9205 RACETRACK RD")</f>
        <v>9205 RACETRACK RD</v>
      </c>
      <c r="C2577" s="3" t="str">
        <f>IFERROR(__xludf.DUMMYFUNCTION("""COMPUTED_VALUE"""),"COBOURG")</f>
        <v>COBOURG</v>
      </c>
      <c r="D2577" s="3" t="str">
        <f>IFERROR(__xludf.DUMMYFUNCTION("""COMPUTED_VALUE"""),"K9A 4J9")</f>
        <v>K9A 4J9</v>
      </c>
      <c r="E2577" s="3"/>
      <c r="F2577" s="3"/>
      <c r="G2577" s="3"/>
      <c r="H2577" s="3"/>
    </row>
    <row r="2578">
      <c r="A2578" s="2">
        <f>IFERROR(__xludf.DUMMYFUNCTION("""COMPUTED_VALUE"""),23237.0)</f>
        <v>23237</v>
      </c>
      <c r="B2578" s="3" t="str">
        <f>IFERROR(__xludf.DUMMYFUNCTION("""COMPUTED_VALUE"""),"3592 ROWE RD")</f>
        <v>3592 ROWE RD</v>
      </c>
      <c r="C2578" s="3" t="str">
        <f>IFERROR(__xludf.DUMMYFUNCTION("""COMPUTED_VALUE"""),"COBOURG")</f>
        <v>COBOURG</v>
      </c>
      <c r="D2578" s="3" t="str">
        <f>IFERROR(__xludf.DUMMYFUNCTION("""COMPUTED_VALUE"""),"K9A 4J7")</f>
        <v>K9A 4J7</v>
      </c>
      <c r="E2578" s="3" t="str">
        <f>IFERROR(__xludf.DUMMYFUNCTION("""COMPUTED_VALUE"""),"Susan Deane")</f>
        <v>Susan Deane</v>
      </c>
      <c r="F2578" s="3" t="str">
        <f>IFERROR(__xludf.DUMMYFUNCTION("""COMPUTED_VALUE"""),"susan3deane@gmail.com")</f>
        <v>susan3deane@gmail.com</v>
      </c>
      <c r="G2578" s="3">
        <f>IFERROR(__xludf.DUMMYFUNCTION("""COMPUTED_VALUE"""),2.892513125E9)</f>
        <v>2892513125</v>
      </c>
      <c r="H2578" s="3">
        <f>IFERROR(__xludf.DUMMYFUNCTION("""COMPUTED_VALUE"""),2.892512352E9)</f>
        <v>2892512352</v>
      </c>
    </row>
    <row r="2579">
      <c r="A2579" s="2">
        <f>IFERROR(__xludf.DUMMYFUNCTION("""COMPUTED_VALUE"""),23156.0)</f>
        <v>23156</v>
      </c>
      <c r="B2579" s="3" t="str">
        <f>IFERROR(__xludf.DUMMYFUNCTION("""COMPUTED_VALUE"""),"9290 RACETRACK RD")</f>
        <v>9290 RACETRACK RD</v>
      </c>
      <c r="C2579" s="3" t="str">
        <f>IFERROR(__xludf.DUMMYFUNCTION("""COMPUTED_VALUE"""),"BALTIMORE")</f>
        <v>BALTIMORE</v>
      </c>
      <c r="D2579" s="3" t="str">
        <f>IFERROR(__xludf.DUMMYFUNCTION("""COMPUTED_VALUE"""),"K0K 1C0")</f>
        <v>K0K 1C0</v>
      </c>
      <c r="E2579" s="3" t="str">
        <f>IFERROR(__xludf.DUMMYFUNCTION("""COMPUTED_VALUE"""),"Hayden Cochrane")</f>
        <v>Hayden Cochrane</v>
      </c>
      <c r="F2579" s="3"/>
      <c r="G2579" s="3">
        <f>IFERROR(__xludf.DUMMYFUNCTION("""COMPUTED_VALUE"""),9.053728838E9)</f>
        <v>9053728838</v>
      </c>
      <c r="H2579" s="3"/>
    </row>
    <row r="2580">
      <c r="A2580" s="2">
        <f>IFERROR(__xludf.DUMMYFUNCTION("""COMPUTED_VALUE"""),23239.0)</f>
        <v>23239</v>
      </c>
      <c r="B2580" s="3" t="str">
        <f>IFERROR(__xludf.DUMMYFUNCTION("""COMPUTED_VALUE"""),"4049 ROY HERRON RD")</f>
        <v>4049 ROY HERRON RD</v>
      </c>
      <c r="C2580" s="3" t="str">
        <f>IFERROR(__xludf.DUMMYFUNCTION("""COMPUTED_VALUE"""),"COBOURG")</f>
        <v>COBOURG</v>
      </c>
      <c r="D2580" s="3" t="str">
        <f>IFERROR(__xludf.DUMMYFUNCTION("""COMPUTED_VALUE"""),"K9A 4J9")</f>
        <v>K9A 4J9</v>
      </c>
      <c r="E2580" s="3" t="str">
        <f>IFERROR(__xludf.DUMMYFUNCTION("""COMPUTED_VALUE"""),"Shane Urbach")</f>
        <v>Shane Urbach</v>
      </c>
      <c r="F2580" s="3" t="str">
        <f>IFERROR(__xludf.DUMMYFUNCTION("""COMPUTED_VALUE"""),"the.urbachs4049@gmail.com")</f>
        <v>the.urbachs4049@gmail.com</v>
      </c>
      <c r="G2580" s="3">
        <f>IFERROR(__xludf.DUMMYFUNCTION("""COMPUTED_VALUE"""),9.053738917E9)</f>
        <v>9053738917</v>
      </c>
      <c r="H2580" s="3"/>
    </row>
    <row r="2581">
      <c r="A2581" s="2">
        <f>IFERROR(__xludf.DUMMYFUNCTION("""COMPUTED_VALUE"""),23240.0)</f>
        <v>23240</v>
      </c>
      <c r="B2581" s="3" t="str">
        <f>IFERROR(__xludf.DUMMYFUNCTION("""COMPUTED_VALUE"""),"4054 ROY HERRON RD")</f>
        <v>4054 ROY HERRON RD</v>
      </c>
      <c r="C2581" s="3" t="str">
        <f>IFERROR(__xludf.DUMMYFUNCTION("""COMPUTED_VALUE"""),"COBOURG")</f>
        <v>COBOURG</v>
      </c>
      <c r="D2581" s="3" t="str">
        <f>IFERROR(__xludf.DUMMYFUNCTION("""COMPUTED_VALUE"""),"K9A 4J9")</f>
        <v>K9A 4J9</v>
      </c>
      <c r="E2581" s="3"/>
      <c r="F2581" s="3"/>
      <c r="G2581" s="3"/>
      <c r="H2581" s="3"/>
    </row>
    <row r="2582">
      <c r="A2582" s="2">
        <f>IFERROR(__xludf.DUMMYFUNCTION("""COMPUTED_VALUE"""),23158.0)</f>
        <v>23158</v>
      </c>
      <c r="B2582" s="3" t="str">
        <f>IFERROR(__xludf.DUMMYFUNCTION("""COMPUTED_VALUE"""),"9315 RACETRACK RD")</f>
        <v>9315 RACETRACK RD</v>
      </c>
      <c r="C2582" s="3" t="str">
        <f>IFERROR(__xludf.DUMMYFUNCTION("""COMPUTED_VALUE"""),"BALTIMORE")</f>
        <v>BALTIMORE</v>
      </c>
      <c r="D2582" s="3" t="str">
        <f>IFERROR(__xludf.DUMMYFUNCTION("""COMPUTED_VALUE"""),"K0K 1C0")</f>
        <v>K0K 1C0</v>
      </c>
      <c r="E2582" s="3" t="str">
        <f>IFERROR(__xludf.DUMMYFUNCTION("""COMPUTED_VALUE"""),"Dave &amp; Brenda Butchart")</f>
        <v>Dave &amp; Brenda Butchart</v>
      </c>
      <c r="F2582" s="3" t="str">
        <f>IFERROR(__xludf.DUMMYFUNCTION("""COMPUTED_VALUE"""),"dbbutchart@xplornet.com")</f>
        <v>dbbutchart@xplornet.com</v>
      </c>
      <c r="G2582" s="3"/>
      <c r="H2582" s="3"/>
    </row>
    <row r="2583">
      <c r="A2583" s="2">
        <f>IFERROR(__xludf.DUMMYFUNCTION("""COMPUTED_VALUE"""),23242.0)</f>
        <v>23242</v>
      </c>
      <c r="B2583" s="3" t="str">
        <f>IFERROR(__xludf.DUMMYFUNCTION("""COMPUTED_VALUE"""),"4062 ROY HERRON RD")</f>
        <v>4062 ROY HERRON RD</v>
      </c>
      <c r="C2583" s="3" t="str">
        <f>IFERROR(__xludf.DUMMYFUNCTION("""COMPUTED_VALUE"""),"COBOURG")</f>
        <v>COBOURG</v>
      </c>
      <c r="D2583" s="3" t="str">
        <f>IFERROR(__xludf.DUMMYFUNCTION("""COMPUTED_VALUE"""),"K9A 4J9")</f>
        <v>K9A 4J9</v>
      </c>
      <c r="E2583" s="3" t="str">
        <f>IFERROR(__xludf.DUMMYFUNCTION("""COMPUTED_VALUE"""),"John Dooley")</f>
        <v>John Dooley</v>
      </c>
      <c r="F2583" s="3" t="str">
        <f>IFERROR(__xludf.DUMMYFUNCTION("""COMPUTED_VALUE"""),"jdooley196501@gmail.com")</f>
        <v>jdooley196501@gmail.com</v>
      </c>
      <c r="G2583" s="3">
        <f>IFERROR(__xludf.DUMMYFUNCTION("""COMPUTED_VALUE"""),9.053963241E9)</f>
        <v>9053963241</v>
      </c>
      <c r="H2583" s="3"/>
    </row>
    <row r="2584">
      <c r="A2584" s="2">
        <f>IFERROR(__xludf.DUMMYFUNCTION("""COMPUTED_VALUE"""),23243.0)</f>
        <v>23243</v>
      </c>
      <c r="B2584" s="3" t="str">
        <f>IFERROR(__xludf.DUMMYFUNCTION("""COMPUTED_VALUE"""),"153 SAVORY RD")</f>
        <v>153 SAVORY RD</v>
      </c>
      <c r="C2584" s="3" t="str">
        <f>IFERROR(__xludf.DUMMYFUNCTION("""COMPUTED_VALUE"""),"BALTIMORE")</f>
        <v>BALTIMORE</v>
      </c>
      <c r="D2584" s="3" t="str">
        <f>IFERROR(__xludf.DUMMYFUNCTION("""COMPUTED_VALUE"""),"K0K 1C0")</f>
        <v>K0K 1C0</v>
      </c>
      <c r="E2584" s="3" t="str">
        <f>IFERROR(__xludf.DUMMYFUNCTION("""COMPUTED_VALUE"""),"Kurt Piekenbrock")</f>
        <v>Kurt Piekenbrock</v>
      </c>
      <c r="F2584" s="3" t="str">
        <f>IFERROR(__xludf.DUMMYFUNCTION("""COMPUTED_VALUE"""),"piekenbrockkurt@gmail.com")</f>
        <v>piekenbrockkurt@gmail.com</v>
      </c>
      <c r="G2584" s="3">
        <f>IFERROR(__xludf.DUMMYFUNCTION("""COMPUTED_VALUE"""),9.053422719E9)</f>
        <v>9053422719</v>
      </c>
      <c r="H2584" s="3"/>
    </row>
    <row r="2585">
      <c r="A2585" s="2">
        <f>IFERROR(__xludf.DUMMYFUNCTION("""COMPUTED_VALUE"""),23244.0)</f>
        <v>23244</v>
      </c>
      <c r="B2585" s="3" t="str">
        <f>IFERROR(__xludf.DUMMYFUNCTION("""COMPUTED_VALUE"""),"206 SAVORY RD")</f>
        <v>206 SAVORY RD</v>
      </c>
      <c r="C2585" s="3" t="str">
        <f>IFERROR(__xludf.DUMMYFUNCTION("""COMPUTED_VALUE"""),"BALTIMORE")</f>
        <v>BALTIMORE</v>
      </c>
      <c r="D2585" s="3" t="str">
        <f>IFERROR(__xludf.DUMMYFUNCTION("""COMPUTED_VALUE"""),"K0K 1C0")</f>
        <v>K0K 1C0</v>
      </c>
      <c r="E2585" s="3" t="str">
        <f>IFERROR(__xludf.DUMMYFUNCTION("""COMPUTED_VALUE"""),"Kayla Hoselton")</f>
        <v>Kayla Hoselton</v>
      </c>
      <c r="F2585" s="3" t="str">
        <f>IFERROR(__xludf.DUMMYFUNCTION("""COMPUTED_VALUE"""),"kaylahoselton@hotmail.com")</f>
        <v>kaylahoselton@hotmail.com</v>
      </c>
      <c r="G2585" s="3"/>
      <c r="H2585" s="3"/>
    </row>
    <row r="2586">
      <c r="A2586" s="2">
        <f>IFERROR(__xludf.DUMMYFUNCTION("""COMPUTED_VALUE"""),23260.0)</f>
        <v>23260</v>
      </c>
      <c r="B2586" s="3" t="str">
        <f>IFERROR(__xludf.DUMMYFUNCTION("""COMPUTED_VALUE"""),"1 SKYE VALLEY DR")</f>
        <v>1 SKYE VALLEY DR</v>
      </c>
      <c r="C2586" s="3" t="str">
        <f>IFERROR(__xludf.DUMMYFUNCTION("""COMPUTED_VALUE"""),"COBOURG")</f>
        <v>COBOURG</v>
      </c>
      <c r="D2586" s="3" t="str">
        <f>IFERROR(__xludf.DUMMYFUNCTION("""COMPUTED_VALUE"""),"K9A 0Z1")</f>
        <v>K9A 0Z1</v>
      </c>
      <c r="E2586" s="3" t="str">
        <f>IFERROR(__xludf.DUMMYFUNCTION("""COMPUTED_VALUE"""),"JEREMY WALKER")</f>
        <v>JEREMY WALKER</v>
      </c>
      <c r="F2586" s="3" t="str">
        <f>IFERROR(__xludf.DUMMYFUNCTION("""COMPUTED_VALUE"""),"jwqalker77@hotmail.com")</f>
        <v>jwqalker77@hotmail.com</v>
      </c>
      <c r="G2586" s="3"/>
      <c r="H2586" s="3"/>
    </row>
    <row r="2587">
      <c r="A2587" s="2">
        <f>IFERROR(__xludf.DUMMYFUNCTION("""COMPUTED_VALUE"""),23261.0)</f>
        <v>23261</v>
      </c>
      <c r="B2587" s="3" t="str">
        <f>IFERROR(__xludf.DUMMYFUNCTION("""COMPUTED_VALUE"""),"2 SKYE VALLEY DR")</f>
        <v>2 SKYE VALLEY DR</v>
      </c>
      <c r="C2587" s="3" t="str">
        <f>IFERROR(__xludf.DUMMYFUNCTION("""COMPUTED_VALUE"""),"COBOURG")</f>
        <v>COBOURG</v>
      </c>
      <c r="D2587" s="3" t="str">
        <f>IFERROR(__xludf.DUMMYFUNCTION("""COMPUTED_VALUE"""),"K9A 0Z1")</f>
        <v>K9A 0Z1</v>
      </c>
      <c r="E2587" s="3" t="str">
        <f>IFERROR(__xludf.DUMMYFUNCTION("""COMPUTED_VALUE"""),"Lori Chapman")</f>
        <v>Lori Chapman</v>
      </c>
      <c r="F2587" s="3" t="str">
        <f>IFERROR(__xludf.DUMMYFUNCTION("""COMPUTED_VALUE"""),"lchapman777@gmail.com")</f>
        <v>lchapman777@gmail.com</v>
      </c>
      <c r="G2587" s="3"/>
      <c r="H2587" s="3"/>
    </row>
    <row r="2588">
      <c r="A2588" s="2">
        <f>IFERROR(__xludf.DUMMYFUNCTION("""COMPUTED_VALUE"""),23262.0)</f>
        <v>23262</v>
      </c>
      <c r="B2588" s="3" t="str">
        <f>IFERROR(__xludf.DUMMYFUNCTION("""COMPUTED_VALUE"""),"4 SKYE VALLEY DR")</f>
        <v>4 SKYE VALLEY DR</v>
      </c>
      <c r="C2588" s="3" t="str">
        <f>IFERROR(__xludf.DUMMYFUNCTION("""COMPUTED_VALUE"""),"COBOURG")</f>
        <v>COBOURG</v>
      </c>
      <c r="D2588" s="3" t="str">
        <f>IFERROR(__xludf.DUMMYFUNCTION("""COMPUTED_VALUE"""),"K9A 0Z1")</f>
        <v>K9A 0Z1</v>
      </c>
      <c r="E2588" s="3" t="str">
        <f>IFERROR(__xludf.DUMMYFUNCTION("""COMPUTED_VALUE"""),"Andrew Hamilton")</f>
        <v>Andrew Hamilton</v>
      </c>
      <c r="F2588" s="3" t="str">
        <f>IFERROR(__xludf.DUMMYFUNCTION("""COMPUTED_VALUE"""),"ahamiltonconsulting@yahoo.ca")</f>
        <v>ahamiltonconsulting@yahoo.ca</v>
      </c>
      <c r="G2588" s="3"/>
      <c r="H2588" s="3"/>
    </row>
    <row r="2589">
      <c r="A2589" s="2">
        <f>IFERROR(__xludf.DUMMYFUNCTION("""COMPUTED_VALUE"""),23263.0)</f>
        <v>23263</v>
      </c>
      <c r="B2589" s="3" t="str">
        <f>IFERROR(__xludf.DUMMYFUNCTION("""COMPUTED_VALUE"""),"7 SKYE VALLEY DR")</f>
        <v>7 SKYE VALLEY DR</v>
      </c>
      <c r="C2589" s="3" t="str">
        <f>IFERROR(__xludf.DUMMYFUNCTION("""COMPUTED_VALUE"""),"COBOURG")</f>
        <v>COBOURG</v>
      </c>
      <c r="D2589" s="3" t="str">
        <f>IFERROR(__xludf.DUMMYFUNCTION("""COMPUTED_VALUE"""),"K9A 0Z1")</f>
        <v>K9A 0Z1</v>
      </c>
      <c r="E2589" s="3" t="str">
        <f>IFERROR(__xludf.DUMMYFUNCTION("""COMPUTED_VALUE"""),"Ian Colbert")</f>
        <v>Ian Colbert</v>
      </c>
      <c r="F2589" s="3" t="str">
        <f>IFERROR(__xludf.DUMMYFUNCTION("""COMPUTED_VALUE"""),"colbertian@hotmail.com")</f>
        <v>colbertian@hotmail.com</v>
      </c>
      <c r="G2589" s="3"/>
      <c r="H2589" s="3"/>
    </row>
    <row r="2590">
      <c r="A2590" s="2">
        <f>IFERROR(__xludf.DUMMYFUNCTION("""COMPUTED_VALUE"""),23264.0)</f>
        <v>23264</v>
      </c>
      <c r="B2590" s="3" t="str">
        <f>IFERROR(__xludf.DUMMYFUNCTION("""COMPUTED_VALUE"""),"8 SKYE VALLEY DR")</f>
        <v>8 SKYE VALLEY DR</v>
      </c>
      <c r="C2590" s="3" t="str">
        <f>IFERROR(__xludf.DUMMYFUNCTION("""COMPUTED_VALUE"""),"COBOURG")</f>
        <v>COBOURG</v>
      </c>
      <c r="D2590" s="3" t="str">
        <f>IFERROR(__xludf.DUMMYFUNCTION("""COMPUTED_VALUE"""),"K9A 0Z1")</f>
        <v>K9A 0Z1</v>
      </c>
      <c r="E2590" s="3" t="str">
        <f>IFERROR(__xludf.DUMMYFUNCTION("""COMPUTED_VALUE"""),"Richard &amp; Barbara Johns")</f>
        <v>Richard &amp; Barbara Johns</v>
      </c>
      <c r="F2590" s="3" t="str">
        <f>IFERROR(__xludf.DUMMYFUNCTION("""COMPUTED_VALUE"""),"rxtoski@outlook.com")</f>
        <v>rxtoski@outlook.com</v>
      </c>
      <c r="G2590" s="3">
        <f>IFERROR(__xludf.DUMMYFUNCTION("""COMPUTED_VALUE"""),9.053732322E9)</f>
        <v>9053732322</v>
      </c>
      <c r="H2590" s="3">
        <f>IFERROR(__xludf.DUMMYFUNCTION("""COMPUTED_VALUE"""),9.053757406E9)</f>
        <v>9053757406</v>
      </c>
    </row>
    <row r="2591">
      <c r="A2591" s="2">
        <f>IFERROR(__xludf.DUMMYFUNCTION("""COMPUTED_VALUE"""),23265.0)</f>
        <v>23265</v>
      </c>
      <c r="B2591" s="3" t="str">
        <f>IFERROR(__xludf.DUMMYFUNCTION("""COMPUTED_VALUE"""),"10 SKYE VALLEY DR")</f>
        <v>10 SKYE VALLEY DR</v>
      </c>
      <c r="C2591" s="3" t="str">
        <f>IFERROR(__xludf.DUMMYFUNCTION("""COMPUTED_VALUE"""),"COBOURG")</f>
        <v>COBOURG</v>
      </c>
      <c r="D2591" s="3" t="str">
        <f>IFERROR(__xludf.DUMMYFUNCTION("""COMPUTED_VALUE"""),"K9A 0Z1")</f>
        <v>K9A 0Z1</v>
      </c>
      <c r="E2591" s="3" t="str">
        <f>IFERROR(__xludf.DUMMYFUNCTION("""COMPUTED_VALUE"""),"Gordon Robertson")</f>
        <v>Gordon Robertson</v>
      </c>
      <c r="F2591" s="3" t="str">
        <f>IFERROR(__xludf.DUMMYFUNCTION("""COMPUTED_VALUE"""),"gtrobertson58@gmail.com")</f>
        <v>gtrobertson58@gmail.com</v>
      </c>
      <c r="G2591" s="3">
        <f>IFERROR(__xludf.DUMMYFUNCTION("""COMPUTED_VALUE"""),9.053764812E9)</f>
        <v>9053764812</v>
      </c>
      <c r="H2591" s="3"/>
    </row>
    <row r="2592">
      <c r="A2592" s="2">
        <f>IFERROR(__xludf.DUMMYFUNCTION("""COMPUTED_VALUE"""),23266.0)</f>
        <v>23266</v>
      </c>
      <c r="B2592" s="3" t="str">
        <f>IFERROR(__xludf.DUMMYFUNCTION("""COMPUTED_VALUE"""),"14 SKYE VALLEY DR")</f>
        <v>14 SKYE VALLEY DR</v>
      </c>
      <c r="C2592" s="3" t="str">
        <f>IFERROR(__xludf.DUMMYFUNCTION("""COMPUTED_VALUE"""),"COBOURG")</f>
        <v>COBOURG</v>
      </c>
      <c r="D2592" s="3" t="str">
        <f>IFERROR(__xludf.DUMMYFUNCTION("""COMPUTED_VALUE"""),"K9A 0Z1")</f>
        <v>K9A 0Z1</v>
      </c>
      <c r="E2592" s="3" t="str">
        <f>IFERROR(__xludf.DUMMYFUNCTION("""COMPUTED_VALUE"""),"Brian Keith James Norris")</f>
        <v>Brian Keith James Norris</v>
      </c>
      <c r="F2592" s="3" t="str">
        <f>IFERROR(__xludf.DUMMYFUNCTION("""COMPUTED_VALUE"""),"brianknorris@gmail.com")</f>
        <v>brianknorris@gmail.com</v>
      </c>
      <c r="G2592" s="3"/>
      <c r="H2592" s="3"/>
    </row>
    <row r="2593">
      <c r="A2593" s="2">
        <f>IFERROR(__xludf.DUMMYFUNCTION("""COMPUTED_VALUE"""),23267.0)</f>
        <v>23267</v>
      </c>
      <c r="B2593" s="3" t="str">
        <f>IFERROR(__xludf.DUMMYFUNCTION("""COMPUTED_VALUE"""),"15 SKYE VALLEY DR")</f>
        <v>15 SKYE VALLEY DR</v>
      </c>
      <c r="C2593" s="3" t="str">
        <f>IFERROR(__xludf.DUMMYFUNCTION("""COMPUTED_VALUE"""),"COBOURG")</f>
        <v>COBOURG</v>
      </c>
      <c r="D2593" s="3" t="str">
        <f>IFERROR(__xludf.DUMMYFUNCTION("""COMPUTED_VALUE"""),"K9A 0Y9")</f>
        <v>K9A 0Y9</v>
      </c>
      <c r="E2593" s="3" t="str">
        <f>IFERROR(__xludf.DUMMYFUNCTION("""COMPUTED_VALUE"""),"Rick Stevenson")</f>
        <v>Rick Stevenson</v>
      </c>
      <c r="F2593" s="3" t="str">
        <f>IFERROR(__xludf.DUMMYFUNCTION("""COMPUTED_VALUE"""),"stevensonmovers@gmail.com")</f>
        <v>stevensonmovers@gmail.com</v>
      </c>
      <c r="G2593" s="3"/>
      <c r="H2593" s="3"/>
    </row>
    <row r="2594">
      <c r="A2594" s="2">
        <f>IFERROR(__xludf.DUMMYFUNCTION("""COMPUTED_VALUE"""),23268.0)</f>
        <v>23268</v>
      </c>
      <c r="B2594" s="3" t="str">
        <f>IFERROR(__xludf.DUMMYFUNCTION("""COMPUTED_VALUE"""),"16 SKYE VALLEY DR")</f>
        <v>16 SKYE VALLEY DR</v>
      </c>
      <c r="C2594" s="3" t="str">
        <f>IFERROR(__xludf.DUMMYFUNCTION("""COMPUTED_VALUE"""),"COBOURG")</f>
        <v>COBOURG</v>
      </c>
      <c r="D2594" s="3" t="str">
        <f>IFERROR(__xludf.DUMMYFUNCTION("""COMPUTED_VALUE"""),"K9A 0Z1")</f>
        <v>K9A 0Z1</v>
      </c>
      <c r="E2594" s="3" t="str">
        <f>IFERROR(__xludf.DUMMYFUNCTION("""COMPUTED_VALUE"""),"Lindsay Andrews")</f>
        <v>Lindsay Andrews</v>
      </c>
      <c r="F2594" s="3" t="str">
        <f>IFERROR(__xludf.DUMMYFUNCTION("""COMPUTED_VALUE"""),"wapitirecurve@gmail.com")</f>
        <v>wapitirecurve@gmail.com</v>
      </c>
      <c r="G2594" s="3"/>
      <c r="H2594" s="3"/>
    </row>
    <row r="2595">
      <c r="A2595" s="2">
        <f>IFERROR(__xludf.DUMMYFUNCTION("""COMPUTED_VALUE"""),23269.0)</f>
        <v>23269</v>
      </c>
      <c r="B2595" s="3" t="str">
        <f>IFERROR(__xludf.DUMMYFUNCTION("""COMPUTED_VALUE"""),"17 SKYE VALLEY DR")</f>
        <v>17 SKYE VALLEY DR</v>
      </c>
      <c r="C2595" s="3" t="str">
        <f>IFERROR(__xludf.DUMMYFUNCTION("""COMPUTED_VALUE"""),"COBOURG")</f>
        <v>COBOURG</v>
      </c>
      <c r="D2595" s="3" t="str">
        <f>IFERROR(__xludf.DUMMYFUNCTION("""COMPUTED_VALUE"""),"K9A 0Y9")</f>
        <v>K9A 0Y9</v>
      </c>
      <c r="E2595" s="3"/>
      <c r="F2595" s="3"/>
      <c r="G2595" s="3"/>
      <c r="H2595" s="3"/>
    </row>
    <row r="2596">
      <c r="A2596" s="2">
        <f>IFERROR(__xludf.DUMMYFUNCTION("""COMPUTED_VALUE"""),23270.0)</f>
        <v>23270</v>
      </c>
      <c r="B2596" s="3" t="str">
        <f>IFERROR(__xludf.DUMMYFUNCTION("""COMPUTED_VALUE"""),"18 SKYE VALLEY DR")</f>
        <v>18 SKYE VALLEY DR</v>
      </c>
      <c r="C2596" s="3" t="str">
        <f>IFERROR(__xludf.DUMMYFUNCTION("""COMPUTED_VALUE"""),"COBOURG")</f>
        <v>COBOURG</v>
      </c>
      <c r="D2596" s="3" t="str">
        <f>IFERROR(__xludf.DUMMYFUNCTION("""COMPUTED_VALUE"""),"K9A 0Z1")</f>
        <v>K9A 0Z1</v>
      </c>
      <c r="E2596" s="3"/>
      <c r="F2596" s="3"/>
      <c r="G2596" s="3"/>
      <c r="H2596" s="3"/>
    </row>
    <row r="2597">
      <c r="A2597" s="2">
        <f>IFERROR(__xludf.DUMMYFUNCTION("""COMPUTED_VALUE"""),23271.0)</f>
        <v>23271</v>
      </c>
      <c r="B2597" s="3" t="str">
        <f>IFERROR(__xludf.DUMMYFUNCTION("""COMPUTED_VALUE"""),"20 SKYE VALLEY DR")</f>
        <v>20 SKYE VALLEY DR</v>
      </c>
      <c r="C2597" s="3" t="str">
        <f>IFERROR(__xludf.DUMMYFUNCTION("""COMPUTED_VALUE"""),"COBOURG")</f>
        <v>COBOURG</v>
      </c>
      <c r="D2597" s="3" t="str">
        <f>IFERROR(__xludf.DUMMYFUNCTION("""COMPUTED_VALUE"""),"K9A 0Z1")</f>
        <v>K9A 0Z1</v>
      </c>
      <c r="E2597" s="3"/>
      <c r="F2597" s="3"/>
      <c r="G2597" s="3"/>
      <c r="H2597" s="3"/>
    </row>
    <row r="2598">
      <c r="A2598" s="2">
        <f>IFERROR(__xludf.DUMMYFUNCTION("""COMPUTED_VALUE"""),23272.0)</f>
        <v>23272</v>
      </c>
      <c r="B2598" s="3" t="str">
        <f>IFERROR(__xludf.DUMMYFUNCTION("""COMPUTED_VALUE"""),"21 SKYE VALLEY DR")</f>
        <v>21 SKYE VALLEY DR</v>
      </c>
      <c r="C2598" s="3" t="str">
        <f>IFERROR(__xludf.DUMMYFUNCTION("""COMPUTED_VALUE"""),"COBOURG")</f>
        <v>COBOURG</v>
      </c>
      <c r="D2598" s="3" t="str">
        <f>IFERROR(__xludf.DUMMYFUNCTION("""COMPUTED_VALUE"""),"K9A 0Y9")</f>
        <v>K9A 0Y9</v>
      </c>
      <c r="E2598" s="3"/>
      <c r="F2598" s="3"/>
      <c r="G2598" s="3"/>
      <c r="H2598" s="3"/>
    </row>
    <row r="2599">
      <c r="A2599" s="2">
        <f>IFERROR(__xludf.DUMMYFUNCTION("""COMPUTED_VALUE"""),23273.0)</f>
        <v>23273</v>
      </c>
      <c r="B2599" s="3" t="str">
        <f>IFERROR(__xludf.DUMMYFUNCTION("""COMPUTED_VALUE"""),"23 SKYE VALLEY DR")</f>
        <v>23 SKYE VALLEY DR</v>
      </c>
      <c r="C2599" s="3" t="str">
        <f>IFERROR(__xludf.DUMMYFUNCTION("""COMPUTED_VALUE"""),"COBOURG")</f>
        <v>COBOURG</v>
      </c>
      <c r="D2599" s="3" t="str">
        <f>IFERROR(__xludf.DUMMYFUNCTION("""COMPUTED_VALUE"""),"K9A 0Y9")</f>
        <v>K9A 0Y9</v>
      </c>
      <c r="E2599" s="3" t="str">
        <f>IFERROR(__xludf.DUMMYFUNCTION("""COMPUTED_VALUE"""),"Valerie Zagorac")</f>
        <v>Valerie Zagorac</v>
      </c>
      <c r="F2599" s="3" t="str">
        <f>IFERROR(__xludf.DUMMYFUNCTION("""COMPUTED_VALUE"""),"valerie.macbaiu@gmail.com")</f>
        <v>valerie.macbaiu@gmail.com</v>
      </c>
      <c r="G2599" s="3"/>
      <c r="H2599" s="3"/>
    </row>
    <row r="2600">
      <c r="A2600" s="2">
        <f>IFERROR(__xludf.DUMMYFUNCTION("""COMPUTED_VALUE"""),23274.0)</f>
        <v>23274</v>
      </c>
      <c r="B2600" s="3" t="str">
        <f>IFERROR(__xludf.DUMMYFUNCTION("""COMPUTED_VALUE"""),"25 SKYE VALLEY DR")</f>
        <v>25 SKYE VALLEY DR</v>
      </c>
      <c r="C2600" s="3" t="str">
        <f>IFERROR(__xludf.DUMMYFUNCTION("""COMPUTED_VALUE"""),"COBOURG")</f>
        <v>COBOURG</v>
      </c>
      <c r="D2600" s="3" t="str">
        <f>IFERROR(__xludf.DUMMYFUNCTION("""COMPUTED_VALUE"""),"K9A 0Y9")</f>
        <v>K9A 0Y9</v>
      </c>
      <c r="E2600" s="3" t="str">
        <f>IFERROR(__xludf.DUMMYFUNCTION("""COMPUTED_VALUE"""),"Herman Vanderveer")</f>
        <v>Herman Vanderveer</v>
      </c>
      <c r="F2600" s="3"/>
      <c r="G2600" s="3"/>
      <c r="H2600" s="3"/>
    </row>
    <row r="2601">
      <c r="A2601" s="2">
        <f>IFERROR(__xludf.DUMMYFUNCTION("""COMPUTED_VALUE"""),23275.0)</f>
        <v>23275</v>
      </c>
      <c r="B2601" s="3" t="str">
        <f>IFERROR(__xludf.DUMMYFUNCTION("""COMPUTED_VALUE"""),"27 SKYE VALLEY DR")</f>
        <v>27 SKYE VALLEY DR</v>
      </c>
      <c r="C2601" s="3" t="str">
        <f>IFERROR(__xludf.DUMMYFUNCTION("""COMPUTED_VALUE"""),"COBOURG")</f>
        <v>COBOURG</v>
      </c>
      <c r="D2601" s="3" t="str">
        <f>IFERROR(__xludf.DUMMYFUNCTION("""COMPUTED_VALUE"""),"K9A 0Y9")</f>
        <v>K9A 0Y9</v>
      </c>
      <c r="E2601" s="3" t="str">
        <f>IFERROR(__xludf.DUMMYFUNCTION("""COMPUTED_VALUE"""),"Sue &amp; Doug Davies")</f>
        <v>Sue &amp; Doug Davies</v>
      </c>
      <c r="F2601" s="3" t="str">
        <f>IFERROR(__xludf.DUMMYFUNCTION("""COMPUTED_VALUE"""),"mondadesigns27@gmail.com")</f>
        <v>mondadesigns27@gmail.com</v>
      </c>
      <c r="G2601" s="3"/>
      <c r="H2601" s="3"/>
    </row>
    <row r="2602">
      <c r="A2602" s="2">
        <f>IFERROR(__xludf.DUMMYFUNCTION("""COMPUTED_VALUE"""),23276.0)</f>
        <v>23276</v>
      </c>
      <c r="B2602" s="3" t="str">
        <f>IFERROR(__xludf.DUMMYFUNCTION("""COMPUTED_VALUE"""),"29 SKYE VALLEY DR")</f>
        <v>29 SKYE VALLEY DR</v>
      </c>
      <c r="C2602" s="3" t="str">
        <f>IFERROR(__xludf.DUMMYFUNCTION("""COMPUTED_VALUE"""),"COBOURG")</f>
        <v>COBOURG</v>
      </c>
      <c r="D2602" s="3" t="str">
        <f>IFERROR(__xludf.DUMMYFUNCTION("""COMPUTED_VALUE"""),"K9A 0Y9")</f>
        <v>K9A 0Y9</v>
      </c>
      <c r="E2602" s="3" t="str">
        <f>IFERROR(__xludf.DUMMYFUNCTION("""COMPUTED_VALUE"""),"Tom Schoeps")</f>
        <v>Tom Schoeps</v>
      </c>
      <c r="F2602" s="3" t="str">
        <f>IFERROR(__xludf.DUMMYFUNCTION("""COMPUTED_VALUE"""),"tcschoeps@icloud.com")</f>
        <v>tcschoeps@icloud.com</v>
      </c>
      <c r="G2602" s="3">
        <f>IFERROR(__xludf.DUMMYFUNCTION("""COMPUTED_VALUE"""),9.053726886E9)</f>
        <v>9053726886</v>
      </c>
      <c r="H2602" s="3"/>
    </row>
    <row r="2603">
      <c r="A2603" s="2">
        <f>IFERROR(__xludf.DUMMYFUNCTION("""COMPUTED_VALUE"""),23277.0)</f>
        <v>23277</v>
      </c>
      <c r="B2603" s="3" t="str">
        <f>IFERROR(__xludf.DUMMYFUNCTION("""COMPUTED_VALUE"""),"30 SKYE VALLEY DR")</f>
        <v>30 SKYE VALLEY DR</v>
      </c>
      <c r="C2603" s="3" t="str">
        <f>IFERROR(__xludf.DUMMYFUNCTION("""COMPUTED_VALUE"""),"COBOURG")</f>
        <v>COBOURG</v>
      </c>
      <c r="D2603" s="3" t="str">
        <f>IFERROR(__xludf.DUMMYFUNCTION("""COMPUTED_VALUE"""),"K9A 0Z1")</f>
        <v>K9A 0Z1</v>
      </c>
      <c r="E2603" s="3"/>
      <c r="F2603" s="3"/>
      <c r="G2603" s="3"/>
      <c r="H2603" s="3"/>
    </row>
    <row r="2604">
      <c r="A2604" s="2">
        <f>IFERROR(__xludf.DUMMYFUNCTION("""COMPUTED_VALUE"""),23278.0)</f>
        <v>23278</v>
      </c>
      <c r="B2604" s="3" t="str">
        <f>IFERROR(__xludf.DUMMYFUNCTION("""COMPUTED_VALUE"""),"31 SKYE VALLEY DR")</f>
        <v>31 SKYE VALLEY DR</v>
      </c>
      <c r="C2604" s="3" t="str">
        <f>IFERROR(__xludf.DUMMYFUNCTION("""COMPUTED_VALUE"""),"COBOURG")</f>
        <v>COBOURG</v>
      </c>
      <c r="D2604" s="3" t="str">
        <f>IFERROR(__xludf.DUMMYFUNCTION("""COMPUTED_VALUE"""),"K9A 0Y9")</f>
        <v>K9A 0Y9</v>
      </c>
      <c r="E2604" s="3" t="str">
        <f>IFERROR(__xludf.DUMMYFUNCTION("""COMPUTED_VALUE"""),"Janey Smith")</f>
        <v>Janey Smith</v>
      </c>
      <c r="F2604" s="3" t="str">
        <f>IFERROR(__xludf.DUMMYFUNCTION("""COMPUTED_VALUE"""),"jmbsmith1@outlook.com")</f>
        <v>jmbsmith1@outlook.com</v>
      </c>
      <c r="G2604" s="3"/>
      <c r="H2604" s="3"/>
    </row>
    <row r="2605">
      <c r="A2605" s="2">
        <f>IFERROR(__xludf.DUMMYFUNCTION("""COMPUTED_VALUE"""),23279.0)</f>
        <v>23279</v>
      </c>
      <c r="B2605" s="3" t="str">
        <f>IFERROR(__xludf.DUMMYFUNCTION("""COMPUTED_VALUE"""),"32 SKYE VALLEY DR")</f>
        <v>32 SKYE VALLEY DR</v>
      </c>
      <c r="C2605" s="3" t="str">
        <f>IFERROR(__xludf.DUMMYFUNCTION("""COMPUTED_VALUE"""),"COBOURG")</f>
        <v>COBOURG</v>
      </c>
      <c r="D2605" s="3" t="str">
        <f>IFERROR(__xludf.DUMMYFUNCTION("""COMPUTED_VALUE"""),"K9A 0Z1")</f>
        <v>K9A 0Z1</v>
      </c>
      <c r="E2605" s="3" t="str">
        <f>IFERROR(__xludf.DUMMYFUNCTION("""COMPUTED_VALUE"""),"Mark Small")</f>
        <v>Mark Small</v>
      </c>
      <c r="F2605" s="3" t="str">
        <f>IFERROR(__xludf.DUMMYFUNCTION("""COMPUTED_VALUE"""),"mjsmall6119@gmail.com")</f>
        <v>mjsmall6119@gmail.com</v>
      </c>
      <c r="G2605" s="3"/>
      <c r="H2605" s="3"/>
    </row>
    <row r="2606">
      <c r="A2606" s="2">
        <f>IFERROR(__xludf.DUMMYFUNCTION("""COMPUTED_VALUE"""),23280.0)</f>
        <v>23280</v>
      </c>
      <c r="B2606" s="3" t="str">
        <f>IFERROR(__xludf.DUMMYFUNCTION("""COMPUTED_VALUE"""),"33 SKYE VALLEY DR")</f>
        <v>33 SKYE VALLEY DR</v>
      </c>
      <c r="C2606" s="3" t="str">
        <f>IFERROR(__xludf.DUMMYFUNCTION("""COMPUTED_VALUE"""),"COBOURG")</f>
        <v>COBOURG</v>
      </c>
      <c r="D2606" s="3" t="str">
        <f>IFERROR(__xludf.DUMMYFUNCTION("""COMPUTED_VALUE"""),"K9A 0Y9")</f>
        <v>K9A 0Y9</v>
      </c>
      <c r="E2606" s="3" t="str">
        <f>IFERROR(__xludf.DUMMYFUNCTION("""COMPUTED_VALUE"""),"G Carkner")</f>
        <v>G Carkner</v>
      </c>
      <c r="F2606" s="3" t="str">
        <f>IFERROR(__xludf.DUMMYFUNCTION("""COMPUTED_VALUE"""),"gcarkner.grecar@gmail.com")</f>
        <v>gcarkner.grecar@gmail.com</v>
      </c>
      <c r="G2606" s="3"/>
      <c r="H2606" s="3"/>
    </row>
    <row r="2607">
      <c r="A2607" s="2">
        <f>IFERROR(__xludf.DUMMYFUNCTION("""COMPUTED_VALUE"""),23281.0)</f>
        <v>23281</v>
      </c>
      <c r="B2607" s="3" t="str">
        <f>IFERROR(__xludf.DUMMYFUNCTION("""COMPUTED_VALUE"""),"35 SKYE VALLEY DR")</f>
        <v>35 SKYE VALLEY DR</v>
      </c>
      <c r="C2607" s="3" t="str">
        <f>IFERROR(__xludf.DUMMYFUNCTION("""COMPUTED_VALUE"""),"COBOURG")</f>
        <v>COBOURG</v>
      </c>
      <c r="D2607" s="3" t="str">
        <f>IFERROR(__xludf.DUMMYFUNCTION("""COMPUTED_VALUE"""),"K9A 0Y9")</f>
        <v>K9A 0Y9</v>
      </c>
      <c r="E2607" s="3" t="str">
        <f>IFERROR(__xludf.DUMMYFUNCTION("""COMPUTED_VALUE"""),"Andrew Mamajek and Erin Pepper")</f>
        <v>Andrew Mamajek and Erin Pepper</v>
      </c>
      <c r="F2607" s="3" t="str">
        <f>IFERROR(__xludf.DUMMYFUNCTION("""COMPUTED_VALUE"""),"abdrewmamajek@icloud.com")</f>
        <v>abdrewmamajek@icloud.com</v>
      </c>
      <c r="G2607" s="3"/>
      <c r="H2607" s="3"/>
    </row>
    <row r="2608">
      <c r="A2608" s="2">
        <f>IFERROR(__xludf.DUMMYFUNCTION("""COMPUTED_VALUE"""),23282.0)</f>
        <v>23282</v>
      </c>
      <c r="B2608" s="3" t="str">
        <f>IFERROR(__xludf.DUMMYFUNCTION("""COMPUTED_VALUE"""),"36 SKYE VALLEY DR")</f>
        <v>36 SKYE VALLEY DR</v>
      </c>
      <c r="C2608" s="3" t="str">
        <f>IFERROR(__xludf.DUMMYFUNCTION("""COMPUTED_VALUE"""),"COBOURG")</f>
        <v>COBOURG</v>
      </c>
      <c r="D2608" s="3" t="str">
        <f>IFERROR(__xludf.DUMMYFUNCTION("""COMPUTED_VALUE"""),"K9A 0Z1")</f>
        <v>K9A 0Z1</v>
      </c>
      <c r="E2608" s="3" t="str">
        <f>IFERROR(__xludf.DUMMYFUNCTION("""COMPUTED_VALUE"""),"Thomas Hanmer")</f>
        <v>Thomas Hanmer</v>
      </c>
      <c r="F2608" s="3" t="str">
        <f>IFERROR(__xludf.DUMMYFUNCTION("""COMPUTED_VALUE"""),"tdhanmer@gmail.com")</f>
        <v>tdhanmer@gmail.com</v>
      </c>
      <c r="G2608" s="3"/>
      <c r="H2608" s="3"/>
    </row>
    <row r="2609">
      <c r="A2609" s="2">
        <f>IFERROR(__xludf.DUMMYFUNCTION("""COMPUTED_VALUE"""),23284.0)</f>
        <v>23284</v>
      </c>
      <c r="B2609" s="3" t="str">
        <f>IFERROR(__xludf.DUMMYFUNCTION("""COMPUTED_VALUE"""),"37 SKYE VALLEY DR")</f>
        <v>37 SKYE VALLEY DR</v>
      </c>
      <c r="C2609" s="3" t="str">
        <f>IFERROR(__xludf.DUMMYFUNCTION("""COMPUTED_VALUE"""),"COBOURG")</f>
        <v>COBOURG</v>
      </c>
      <c r="D2609" s="3" t="str">
        <f>IFERROR(__xludf.DUMMYFUNCTION("""COMPUTED_VALUE"""),"K9A 0Y9")</f>
        <v>K9A 0Y9</v>
      </c>
      <c r="E2609" s="3" t="str">
        <f>IFERROR(__xludf.DUMMYFUNCTION("""COMPUTED_VALUE"""),"Semina Yasmin Ogha")</f>
        <v>Semina Yasmin Ogha</v>
      </c>
      <c r="F2609" s="3"/>
      <c r="G2609" s="3"/>
      <c r="H2609" s="3"/>
    </row>
    <row r="2610">
      <c r="A2610" s="2">
        <f>IFERROR(__xludf.DUMMYFUNCTION("""COMPUTED_VALUE"""),23283.0)</f>
        <v>23283</v>
      </c>
      <c r="B2610" s="3" t="str">
        <f>IFERROR(__xludf.DUMMYFUNCTION("""COMPUTED_VALUE"""),"37 SKYE VALLEY DR SUITE B")</f>
        <v>37 SKYE VALLEY DR SUITE B</v>
      </c>
      <c r="C2610" s="3" t="str">
        <f>IFERROR(__xludf.DUMMYFUNCTION("""COMPUTED_VALUE"""),"COBOURG")</f>
        <v>COBOURG</v>
      </c>
      <c r="D2610" s="3" t="str">
        <f>IFERROR(__xludf.DUMMYFUNCTION("""COMPUTED_VALUE"""),"K9A 0Y9")</f>
        <v>K9A 0Y9</v>
      </c>
      <c r="E2610" s="3" t="str">
        <f>IFERROR(__xludf.DUMMYFUNCTION("""COMPUTED_VALUE"""),"Bohdan Madaj")</f>
        <v>Bohdan Madaj</v>
      </c>
      <c r="F2610" s="3" t="str">
        <f>IFERROR(__xludf.DUMMYFUNCTION("""COMPUTED_VALUE"""),"bohdan.madaj@gmail.com")</f>
        <v>bohdan.madaj@gmail.com</v>
      </c>
      <c r="G2610" s="3"/>
      <c r="H2610" s="3"/>
    </row>
    <row r="2611">
      <c r="A2611" s="2">
        <f>IFERROR(__xludf.DUMMYFUNCTION("""COMPUTED_VALUE"""),23285.0)</f>
        <v>23285</v>
      </c>
      <c r="B2611" s="3" t="str">
        <f>IFERROR(__xludf.DUMMYFUNCTION("""COMPUTED_VALUE"""),"38 SKYE VALLEY DR")</f>
        <v>38 SKYE VALLEY DR</v>
      </c>
      <c r="C2611" s="3" t="str">
        <f>IFERROR(__xludf.DUMMYFUNCTION("""COMPUTED_VALUE"""),"COBOURG")</f>
        <v>COBOURG</v>
      </c>
      <c r="D2611" s="3" t="str">
        <f>IFERROR(__xludf.DUMMYFUNCTION("""COMPUTED_VALUE"""),"K9A 0Z1")</f>
        <v>K9A 0Z1</v>
      </c>
      <c r="E2611" s="3" t="str">
        <f>IFERROR(__xludf.DUMMYFUNCTION("""COMPUTED_VALUE"""),"Chris Noseworthy")</f>
        <v>Chris Noseworthy</v>
      </c>
      <c r="F2611" s="3" t="str">
        <f>IFERROR(__xludf.DUMMYFUNCTION("""COMPUTED_VALUE"""),"noseworthyc@hotmail.com")</f>
        <v>noseworthyc@hotmail.com</v>
      </c>
      <c r="G2611" s="3">
        <f>IFERROR(__xludf.DUMMYFUNCTION("""COMPUTED_VALUE"""),9.053757804E9)</f>
        <v>9053757804</v>
      </c>
      <c r="H2611" s="3"/>
    </row>
    <row r="2612">
      <c r="A2612" s="2">
        <f>IFERROR(__xludf.DUMMYFUNCTION("""COMPUTED_VALUE"""),23286.0)</f>
        <v>23286</v>
      </c>
      <c r="B2612" s="3" t="str">
        <f>IFERROR(__xludf.DUMMYFUNCTION("""COMPUTED_VALUE"""),"39 SKYE VALLEY DR")</f>
        <v>39 SKYE VALLEY DR</v>
      </c>
      <c r="C2612" s="3" t="str">
        <f>IFERROR(__xludf.DUMMYFUNCTION("""COMPUTED_VALUE"""),"COBOURG")</f>
        <v>COBOURG</v>
      </c>
      <c r="D2612" s="3" t="str">
        <f>IFERROR(__xludf.DUMMYFUNCTION("""COMPUTED_VALUE"""),"K9A 0Y9")</f>
        <v>K9A 0Y9</v>
      </c>
      <c r="E2612" s="3"/>
      <c r="F2612" s="3"/>
      <c r="G2612" s="3"/>
      <c r="H2612" s="3"/>
    </row>
    <row r="2613">
      <c r="A2613" s="2">
        <f>IFERROR(__xludf.DUMMYFUNCTION("""COMPUTED_VALUE"""),23287.0)</f>
        <v>23287</v>
      </c>
      <c r="B2613" s="3" t="str">
        <f>IFERROR(__xludf.DUMMYFUNCTION("""COMPUTED_VALUE"""),"40 SKYE VALLEY DR")</f>
        <v>40 SKYE VALLEY DR</v>
      </c>
      <c r="C2613" s="3" t="str">
        <f>IFERROR(__xludf.DUMMYFUNCTION("""COMPUTED_VALUE"""),"COBOURG")</f>
        <v>COBOURG</v>
      </c>
      <c r="D2613" s="3" t="str">
        <f>IFERROR(__xludf.DUMMYFUNCTION("""COMPUTED_VALUE"""),"K9A 0Z1")</f>
        <v>K9A 0Z1</v>
      </c>
      <c r="E2613" s="3" t="str">
        <f>IFERROR(__xludf.DUMMYFUNCTION("""COMPUTED_VALUE"""),"Carol Robinson")</f>
        <v>Carol Robinson</v>
      </c>
      <c r="F2613" s="3" t="str">
        <f>IFERROR(__xludf.DUMMYFUNCTION("""COMPUTED_VALUE"""),"clrobbie@gmail.com")</f>
        <v>clrobbie@gmail.com</v>
      </c>
      <c r="G2613" s="3">
        <f>IFERROR(__xludf.DUMMYFUNCTION("""COMPUTED_VALUE"""),9.053729828E9)</f>
        <v>9053729828</v>
      </c>
      <c r="H2613" s="3"/>
    </row>
    <row r="2614">
      <c r="A2614" s="2">
        <f>IFERROR(__xludf.DUMMYFUNCTION("""COMPUTED_VALUE"""),23288.0)</f>
        <v>23288</v>
      </c>
      <c r="B2614" s="3" t="str">
        <f>IFERROR(__xludf.DUMMYFUNCTION("""COMPUTED_VALUE"""),"41 SKYE VALLEY DR")</f>
        <v>41 SKYE VALLEY DR</v>
      </c>
      <c r="C2614" s="3" t="str">
        <f>IFERROR(__xludf.DUMMYFUNCTION("""COMPUTED_VALUE"""),"COBOURG")</f>
        <v>COBOURG</v>
      </c>
      <c r="D2614" s="3" t="str">
        <f>IFERROR(__xludf.DUMMYFUNCTION("""COMPUTED_VALUE"""),"K9A 0Y9")</f>
        <v>K9A 0Y9</v>
      </c>
      <c r="E2614" s="3" t="str">
        <f>IFERROR(__xludf.DUMMYFUNCTION("""COMPUTED_VALUE"""),"george f ste. marie")</f>
        <v>george f ste. marie</v>
      </c>
      <c r="F2614" s="3" t="str">
        <f>IFERROR(__xludf.DUMMYFUNCTION("""COMPUTED_VALUE"""),"gstemarie41@gmail.com")</f>
        <v>gstemarie41@gmail.com</v>
      </c>
      <c r="G2614" s="3">
        <f>IFERROR(__xludf.DUMMYFUNCTION("""COMPUTED_VALUE"""),9.053738325E9)</f>
        <v>9053738325</v>
      </c>
      <c r="H2614" s="3"/>
    </row>
    <row r="2615">
      <c r="A2615" s="2">
        <f>IFERROR(__xludf.DUMMYFUNCTION("""COMPUTED_VALUE"""),23289.0)</f>
        <v>23289</v>
      </c>
      <c r="B2615" s="3" t="str">
        <f>IFERROR(__xludf.DUMMYFUNCTION("""COMPUTED_VALUE"""),"42 SKYE VALLEY DR")</f>
        <v>42 SKYE VALLEY DR</v>
      </c>
      <c r="C2615" s="3" t="str">
        <f>IFERROR(__xludf.DUMMYFUNCTION("""COMPUTED_VALUE"""),"COBOURG")</f>
        <v>COBOURG</v>
      </c>
      <c r="D2615" s="3" t="str">
        <f>IFERROR(__xludf.DUMMYFUNCTION("""COMPUTED_VALUE"""),"K9A 0Z1")</f>
        <v>K9A 0Z1</v>
      </c>
      <c r="E2615" s="3" t="str">
        <f>IFERROR(__xludf.DUMMYFUNCTION("""COMPUTED_VALUE"""),"IRENE BIEMANN ALLAN")</f>
        <v>IRENE BIEMANN ALLAN</v>
      </c>
      <c r="F2615" s="3" t="str">
        <f>IFERROR(__xludf.DUMMYFUNCTION("""COMPUTED_VALUE"""),"Irene_Biemann@protonmail.com")</f>
        <v>Irene_Biemann@protonmail.com</v>
      </c>
      <c r="G2615" s="3"/>
      <c r="H2615" s="3"/>
    </row>
    <row r="2616">
      <c r="A2616" s="2">
        <f>IFERROR(__xludf.DUMMYFUNCTION("""COMPUTED_VALUE"""),23290.0)</f>
        <v>23290</v>
      </c>
      <c r="B2616" s="3" t="str">
        <f>IFERROR(__xludf.DUMMYFUNCTION("""COMPUTED_VALUE"""),"43 SKYE VALLEY DR")</f>
        <v>43 SKYE VALLEY DR</v>
      </c>
      <c r="C2616" s="3" t="str">
        <f>IFERROR(__xludf.DUMMYFUNCTION("""COMPUTED_VALUE"""),"COBOURG")</f>
        <v>COBOURG</v>
      </c>
      <c r="D2616" s="3" t="str">
        <f>IFERROR(__xludf.DUMMYFUNCTION("""COMPUTED_VALUE"""),"K9A 0Y9")</f>
        <v>K9A 0Y9</v>
      </c>
      <c r="E2616" s="3" t="str">
        <f>IFERROR(__xludf.DUMMYFUNCTION("""COMPUTED_VALUE"""),"Beverly James")</f>
        <v>Beverly James</v>
      </c>
      <c r="F2616" s="3" t="str">
        <f>IFERROR(__xludf.DUMMYFUNCTION("""COMPUTED_VALUE"""),"beverlyryanjames@gmail.com")</f>
        <v>beverlyryanjames@gmail.com</v>
      </c>
      <c r="G2616" s="3">
        <f>IFERROR(__xludf.DUMMYFUNCTION("""COMPUTED_VALUE"""),9.053730824E9)</f>
        <v>9053730824</v>
      </c>
      <c r="H2616" s="3">
        <f>IFERROR(__xludf.DUMMYFUNCTION("""COMPUTED_VALUE"""),9.053767832E9)</f>
        <v>9053767832</v>
      </c>
    </row>
    <row r="2617">
      <c r="A2617" s="2">
        <f>IFERROR(__xludf.DUMMYFUNCTION("""COMPUTED_VALUE"""),23291.0)</f>
        <v>23291</v>
      </c>
      <c r="B2617" s="3" t="str">
        <f>IFERROR(__xludf.DUMMYFUNCTION("""COMPUTED_VALUE"""),"44 SKYE VALLEY DR")</f>
        <v>44 SKYE VALLEY DR</v>
      </c>
      <c r="C2617" s="3" t="str">
        <f>IFERROR(__xludf.DUMMYFUNCTION("""COMPUTED_VALUE"""),"COBOURG")</f>
        <v>COBOURG</v>
      </c>
      <c r="D2617" s="3" t="str">
        <f>IFERROR(__xludf.DUMMYFUNCTION("""COMPUTED_VALUE"""),"K9A 0Z1")</f>
        <v>K9A 0Z1</v>
      </c>
      <c r="E2617" s="3"/>
      <c r="F2617" s="3"/>
      <c r="G2617" s="3"/>
      <c r="H2617" s="3"/>
    </row>
    <row r="2618">
      <c r="A2618" s="2">
        <f>IFERROR(__xludf.DUMMYFUNCTION("""COMPUTED_VALUE"""),23292.0)</f>
        <v>23292</v>
      </c>
      <c r="B2618" s="3" t="str">
        <f>IFERROR(__xludf.DUMMYFUNCTION("""COMPUTED_VALUE"""),"45 SKYE VALLEY DR")</f>
        <v>45 SKYE VALLEY DR</v>
      </c>
      <c r="C2618" s="3" t="str">
        <f>IFERROR(__xludf.DUMMYFUNCTION("""COMPUTED_VALUE"""),"COBOURG")</f>
        <v>COBOURG</v>
      </c>
      <c r="D2618" s="3" t="str">
        <f>IFERROR(__xludf.DUMMYFUNCTION("""COMPUTED_VALUE"""),"K9A 0Y9")</f>
        <v>K9A 0Y9</v>
      </c>
      <c r="E2618" s="3" t="str">
        <f>IFERROR(__xludf.DUMMYFUNCTION("""COMPUTED_VALUE"""),"Renee Cameron")</f>
        <v>Renee Cameron</v>
      </c>
      <c r="F2618" s="3" t="str">
        <f>IFERROR(__xludf.DUMMYFUNCTION("""COMPUTED_VALUE"""),"rngfamily2000@gmail.com")</f>
        <v>rngfamily2000@gmail.com</v>
      </c>
      <c r="G2618" s="3">
        <f>IFERROR(__xludf.DUMMYFUNCTION("""COMPUTED_VALUE"""),9.053962228E9)</f>
        <v>9053962228</v>
      </c>
      <c r="H2618" s="3"/>
    </row>
    <row r="2619">
      <c r="A2619" s="2">
        <f>IFERROR(__xludf.DUMMYFUNCTION("""COMPUTED_VALUE"""),23293.0)</f>
        <v>23293</v>
      </c>
      <c r="B2619" s="3" t="str">
        <f>IFERROR(__xludf.DUMMYFUNCTION("""COMPUTED_VALUE"""),"46 SKYE VALLEY DR")</f>
        <v>46 SKYE VALLEY DR</v>
      </c>
      <c r="C2619" s="3" t="str">
        <f>IFERROR(__xludf.DUMMYFUNCTION("""COMPUTED_VALUE"""),"COBOURG")</f>
        <v>COBOURG</v>
      </c>
      <c r="D2619" s="3" t="str">
        <f>IFERROR(__xludf.DUMMYFUNCTION("""COMPUTED_VALUE"""),"K9A 0Z1")</f>
        <v>K9A 0Z1</v>
      </c>
      <c r="E2619" s="3" t="str">
        <f>IFERROR(__xludf.DUMMYFUNCTION("""COMPUTED_VALUE"""),"Jonathan Pendergast")</f>
        <v>Jonathan Pendergast</v>
      </c>
      <c r="F2619" s="3" t="str">
        <f>IFERROR(__xludf.DUMMYFUNCTION("""COMPUTED_VALUE"""),"jwp280@googlemail.com")</f>
        <v>jwp280@googlemail.com</v>
      </c>
      <c r="G2619" s="3">
        <f>IFERROR(__xludf.DUMMYFUNCTION("""COMPUTED_VALUE"""),4.169062179E9)</f>
        <v>4169062179</v>
      </c>
      <c r="H2619" s="3">
        <f>IFERROR(__xludf.DUMMYFUNCTION("""COMPUTED_VALUE"""),4.16462365E9)</f>
        <v>4164623650</v>
      </c>
    </row>
    <row r="2620">
      <c r="A2620" s="2">
        <f>IFERROR(__xludf.DUMMYFUNCTION("""COMPUTED_VALUE"""),23294.0)</f>
        <v>23294</v>
      </c>
      <c r="B2620" s="3" t="str">
        <f>IFERROR(__xludf.DUMMYFUNCTION("""COMPUTED_VALUE"""),"47 SKYE VALLEY DR")</f>
        <v>47 SKYE VALLEY DR</v>
      </c>
      <c r="C2620" s="3" t="str">
        <f>IFERROR(__xludf.DUMMYFUNCTION("""COMPUTED_VALUE"""),"COBOURG")</f>
        <v>COBOURG</v>
      </c>
      <c r="D2620" s="3" t="str">
        <f>IFERROR(__xludf.DUMMYFUNCTION("""COMPUTED_VALUE"""),"K9A 0Y9")</f>
        <v>K9A 0Y9</v>
      </c>
      <c r="E2620" s="3"/>
      <c r="F2620" s="3"/>
      <c r="G2620" s="3"/>
      <c r="H2620" s="3"/>
    </row>
    <row r="2621">
      <c r="A2621" s="2">
        <f>IFERROR(__xludf.DUMMYFUNCTION("""COMPUTED_VALUE"""),23295.0)</f>
        <v>23295</v>
      </c>
      <c r="B2621" s="3" t="str">
        <f>IFERROR(__xludf.DUMMYFUNCTION("""COMPUTED_VALUE"""),"49 SKYE VALLEY DR")</f>
        <v>49 SKYE VALLEY DR</v>
      </c>
      <c r="C2621" s="3" t="str">
        <f>IFERROR(__xludf.DUMMYFUNCTION("""COMPUTED_VALUE"""),"COBOURG")</f>
        <v>COBOURG</v>
      </c>
      <c r="D2621" s="3" t="str">
        <f>IFERROR(__xludf.DUMMYFUNCTION("""COMPUTED_VALUE"""),"K9A 0Y9")</f>
        <v>K9A 0Y9</v>
      </c>
      <c r="E2621" s="3" t="str">
        <f>IFERROR(__xludf.DUMMYFUNCTION("""COMPUTED_VALUE"""),"lisa DePinto")</f>
        <v>lisa DePinto</v>
      </c>
      <c r="F2621" s="3" t="str">
        <f>IFERROR(__xludf.DUMMYFUNCTION("""COMPUTED_VALUE"""),"lisa.depinto@outlook.com")</f>
        <v>lisa.depinto@outlook.com</v>
      </c>
      <c r="G2621" s="3">
        <f>IFERROR(__xludf.DUMMYFUNCTION("""COMPUTED_VALUE"""),9.052695472E9)</f>
        <v>9052695472</v>
      </c>
      <c r="H2621" s="3"/>
    </row>
    <row r="2622">
      <c r="A2622" s="2">
        <f>IFERROR(__xludf.DUMMYFUNCTION("""COMPUTED_VALUE"""),23296.0)</f>
        <v>23296</v>
      </c>
      <c r="B2622" s="3" t="str">
        <f>IFERROR(__xludf.DUMMYFUNCTION("""COMPUTED_VALUE"""),"50 SKYE VALLEY DR")</f>
        <v>50 SKYE VALLEY DR</v>
      </c>
      <c r="C2622" s="3" t="str">
        <f>IFERROR(__xludf.DUMMYFUNCTION("""COMPUTED_VALUE"""),"COBOURG")</f>
        <v>COBOURG</v>
      </c>
      <c r="D2622" s="3" t="str">
        <f>IFERROR(__xludf.DUMMYFUNCTION("""COMPUTED_VALUE"""),"K9A 0Z1")</f>
        <v>K9A 0Z1</v>
      </c>
      <c r="E2622" s="3" t="str">
        <f>IFERROR(__xludf.DUMMYFUNCTION("""COMPUTED_VALUE"""),"Craig and Mahtab Walsh")</f>
        <v>Craig and Mahtab Walsh</v>
      </c>
      <c r="F2622" s="3" t="str">
        <f>IFERROR(__xludf.DUMMYFUNCTION("""COMPUTED_VALUE"""),"craigcwalsh@icloud.com")</f>
        <v>craigcwalsh@icloud.com</v>
      </c>
      <c r="G2622" s="3"/>
      <c r="H2622" s="3"/>
    </row>
    <row r="2623">
      <c r="A2623" s="2">
        <f>IFERROR(__xludf.DUMMYFUNCTION("""COMPUTED_VALUE"""),23297.0)</f>
        <v>23297</v>
      </c>
      <c r="B2623" s="3" t="str">
        <f>IFERROR(__xludf.DUMMYFUNCTION("""COMPUTED_VALUE"""),"53 SKYE VALLEY DR")</f>
        <v>53 SKYE VALLEY DR</v>
      </c>
      <c r="C2623" s="3" t="str">
        <f>IFERROR(__xludf.DUMMYFUNCTION("""COMPUTED_VALUE"""),"COBOURG")</f>
        <v>COBOURG</v>
      </c>
      <c r="D2623" s="3" t="str">
        <f>IFERROR(__xludf.DUMMYFUNCTION("""COMPUTED_VALUE"""),"K9A 0Y9")</f>
        <v>K9A 0Y9</v>
      </c>
      <c r="E2623" s="3" t="str">
        <f>IFERROR(__xludf.DUMMYFUNCTION("""COMPUTED_VALUE"""),"F")</f>
        <v>F</v>
      </c>
      <c r="F2623" s="3" t="str">
        <f>IFERROR(__xludf.DUMMYFUNCTION("""COMPUTED_VALUE"""),"skyevalley53@gmail.com")</f>
        <v>skyevalley53@gmail.com</v>
      </c>
      <c r="G2623" s="3"/>
      <c r="H2623" s="3"/>
    </row>
    <row r="2624">
      <c r="A2624" s="2">
        <f>IFERROR(__xludf.DUMMYFUNCTION("""COMPUTED_VALUE"""),23298.0)</f>
        <v>23298</v>
      </c>
      <c r="B2624" s="3" t="str">
        <f>IFERROR(__xludf.DUMMYFUNCTION("""COMPUTED_VALUE"""),"54 SKYE VALLEY DR")</f>
        <v>54 SKYE VALLEY DR</v>
      </c>
      <c r="C2624" s="3" t="str">
        <f>IFERROR(__xludf.DUMMYFUNCTION("""COMPUTED_VALUE"""),"COBOURG")</f>
        <v>COBOURG</v>
      </c>
      <c r="D2624" s="3" t="str">
        <f>IFERROR(__xludf.DUMMYFUNCTION("""COMPUTED_VALUE"""),"K9A 0Z1")</f>
        <v>K9A 0Z1</v>
      </c>
      <c r="E2624" s="3" t="str">
        <f>IFERROR(__xludf.DUMMYFUNCTION("""COMPUTED_VALUE"""),"Lyall Willeaks")</f>
        <v>Lyall Willeaks</v>
      </c>
      <c r="F2624" s="3"/>
      <c r="G2624" s="3"/>
      <c r="H2624" s="3"/>
    </row>
    <row r="2625">
      <c r="A2625" s="2">
        <f>IFERROR(__xludf.DUMMYFUNCTION("""COMPUTED_VALUE"""),23299.0)</f>
        <v>23299</v>
      </c>
      <c r="B2625" s="3" t="str">
        <f>IFERROR(__xludf.DUMMYFUNCTION("""COMPUTED_VALUE"""),"55 SKYE VALLEY DR")</f>
        <v>55 SKYE VALLEY DR</v>
      </c>
      <c r="C2625" s="3" t="str">
        <f>IFERROR(__xludf.DUMMYFUNCTION("""COMPUTED_VALUE"""),"COBOURG")</f>
        <v>COBOURG</v>
      </c>
      <c r="D2625" s="3" t="str">
        <f>IFERROR(__xludf.DUMMYFUNCTION("""COMPUTED_VALUE"""),"K9A 0Y9")</f>
        <v>K9A 0Y9</v>
      </c>
      <c r="E2625" s="3" t="str">
        <f>IFERROR(__xludf.DUMMYFUNCTION("""COMPUTED_VALUE"""),"Gratia Malone")</f>
        <v>Gratia Malone</v>
      </c>
      <c r="F2625" s="3" t="str">
        <f>IFERROR(__xludf.DUMMYFUNCTION("""COMPUTED_VALUE"""),"gratiamalone@outlook.com")</f>
        <v>gratiamalone@outlook.com</v>
      </c>
      <c r="G2625" s="3"/>
      <c r="H2625" s="3"/>
    </row>
    <row r="2626">
      <c r="A2626" s="2">
        <f>IFERROR(__xludf.DUMMYFUNCTION("""COMPUTED_VALUE"""),23300.0)</f>
        <v>23300</v>
      </c>
      <c r="B2626" s="3" t="str">
        <f>IFERROR(__xludf.DUMMYFUNCTION("""COMPUTED_VALUE"""),"57 SKYE VALLEY DR")</f>
        <v>57 SKYE VALLEY DR</v>
      </c>
      <c r="C2626" s="3" t="str">
        <f>IFERROR(__xludf.DUMMYFUNCTION("""COMPUTED_VALUE"""),"COBOURG")</f>
        <v>COBOURG</v>
      </c>
      <c r="D2626" s="3" t="str">
        <f>IFERROR(__xludf.DUMMYFUNCTION("""COMPUTED_VALUE"""),"K9A 0Y9")</f>
        <v>K9A 0Y9</v>
      </c>
      <c r="E2626" s="3" t="str">
        <f>IFERROR(__xludf.DUMMYFUNCTION("""COMPUTED_VALUE"""),"Steve Hayes")</f>
        <v>Steve Hayes</v>
      </c>
      <c r="F2626" s="3" t="str">
        <f>IFERROR(__xludf.DUMMYFUNCTION("""COMPUTED_VALUE"""),"steven_hayes@cascades.com")</f>
        <v>steven_hayes@cascades.com</v>
      </c>
      <c r="G2626" s="3"/>
      <c r="H2626" s="3"/>
    </row>
    <row r="2627">
      <c r="A2627" s="2">
        <f>IFERROR(__xludf.DUMMYFUNCTION("""COMPUTED_VALUE"""),23301.0)</f>
        <v>23301</v>
      </c>
      <c r="B2627" s="3" t="str">
        <f>IFERROR(__xludf.DUMMYFUNCTION("""COMPUTED_VALUE"""),"58 SKYE VALLEY DR")</f>
        <v>58 SKYE VALLEY DR</v>
      </c>
      <c r="C2627" s="3" t="str">
        <f>IFERROR(__xludf.DUMMYFUNCTION("""COMPUTED_VALUE"""),"COBOURG")</f>
        <v>COBOURG</v>
      </c>
      <c r="D2627" s="3" t="str">
        <f>IFERROR(__xludf.DUMMYFUNCTION("""COMPUTED_VALUE"""),"K9A 0Z1")</f>
        <v>K9A 0Z1</v>
      </c>
      <c r="E2627" s="3" t="str">
        <f>IFERROR(__xludf.DUMMYFUNCTION("""COMPUTED_VALUE"""),"Apawan &amp; Uwe Schutz")</f>
        <v>Apawan &amp; Uwe Schutz</v>
      </c>
      <c r="F2627" s="3" t="str">
        <f>IFERROR(__xludf.DUMMYFUNCTION("""COMPUTED_VALUE"""),"uwe.schutz@gmail.com")</f>
        <v>uwe.schutz@gmail.com</v>
      </c>
      <c r="G2627" s="3">
        <f>IFERROR(__xludf.DUMMYFUNCTION("""COMPUTED_VALUE"""),6.476360048E9)</f>
        <v>6476360048</v>
      </c>
      <c r="H2627" s="3">
        <f>IFERROR(__xludf.DUMMYFUNCTION("""COMPUTED_VALUE"""),9.058504086E9)</f>
        <v>9058504086</v>
      </c>
    </row>
    <row r="2628">
      <c r="A2628" s="2">
        <f>IFERROR(__xludf.DUMMYFUNCTION("""COMPUTED_VALUE"""),23302.0)</f>
        <v>23302</v>
      </c>
      <c r="B2628" s="3" t="str">
        <f>IFERROR(__xludf.DUMMYFUNCTION("""COMPUTED_VALUE"""),"59 SKYE VALLEY DR")</f>
        <v>59 SKYE VALLEY DR</v>
      </c>
      <c r="C2628" s="3" t="str">
        <f>IFERROR(__xludf.DUMMYFUNCTION("""COMPUTED_VALUE"""),"COBOURG")</f>
        <v>COBOURG</v>
      </c>
      <c r="D2628" s="3" t="str">
        <f>IFERROR(__xludf.DUMMYFUNCTION("""COMPUTED_VALUE"""),"K9A 0Y9")</f>
        <v>K9A 0Y9</v>
      </c>
      <c r="E2628" s="3"/>
      <c r="F2628" s="3"/>
      <c r="G2628" s="3"/>
      <c r="H2628" s="3"/>
    </row>
    <row r="2629">
      <c r="A2629" s="2">
        <f>IFERROR(__xludf.DUMMYFUNCTION("""COMPUTED_VALUE"""),23303.0)</f>
        <v>23303</v>
      </c>
      <c r="B2629" s="3" t="str">
        <f>IFERROR(__xludf.DUMMYFUNCTION("""COMPUTED_VALUE"""),"60 SKYE VALLEY DR")</f>
        <v>60 SKYE VALLEY DR</v>
      </c>
      <c r="C2629" s="3" t="str">
        <f>IFERROR(__xludf.DUMMYFUNCTION("""COMPUTED_VALUE"""),"COBOURG")</f>
        <v>COBOURG</v>
      </c>
      <c r="D2629" s="3" t="str">
        <f>IFERROR(__xludf.DUMMYFUNCTION("""COMPUTED_VALUE"""),"K9A 0Z1")</f>
        <v>K9A 0Z1</v>
      </c>
      <c r="E2629" s="3" t="str">
        <f>IFERROR(__xludf.DUMMYFUNCTION("""COMPUTED_VALUE"""),"Merbis")</f>
        <v>Merbis</v>
      </c>
      <c r="F2629" s="3"/>
      <c r="G2629" s="3"/>
      <c r="H2629" s="3"/>
    </row>
    <row r="2630">
      <c r="A2630" s="2">
        <f>IFERROR(__xludf.DUMMYFUNCTION("""COMPUTED_VALUE"""),23304.0)</f>
        <v>23304</v>
      </c>
      <c r="B2630" s="3" t="str">
        <f>IFERROR(__xludf.DUMMYFUNCTION("""COMPUTED_VALUE"""),"61 SKYE VALLEY DR")</f>
        <v>61 SKYE VALLEY DR</v>
      </c>
      <c r="C2630" s="3" t="str">
        <f>IFERROR(__xludf.DUMMYFUNCTION("""COMPUTED_VALUE"""),"COBOURG")</f>
        <v>COBOURG</v>
      </c>
      <c r="D2630" s="3" t="str">
        <f>IFERROR(__xludf.DUMMYFUNCTION("""COMPUTED_VALUE"""),"K9A 0Y9")</f>
        <v>K9A 0Y9</v>
      </c>
      <c r="E2630" s="3" t="str">
        <f>IFERROR(__xludf.DUMMYFUNCTION("""COMPUTED_VALUE"""),"Mike Wilson")</f>
        <v>Mike Wilson</v>
      </c>
      <c r="F2630" s="3" t="str">
        <f>IFERROR(__xludf.DUMMYFUNCTION("""COMPUTED_VALUE"""),"mikewilsontoronto@gmail.com")</f>
        <v>mikewilsontoronto@gmail.com</v>
      </c>
      <c r="G2630" s="3"/>
      <c r="H2630" s="3"/>
    </row>
    <row r="2631">
      <c r="A2631" s="2">
        <f>IFERROR(__xludf.DUMMYFUNCTION("""COMPUTED_VALUE"""),23305.0)</f>
        <v>23305</v>
      </c>
      <c r="B2631" s="3" t="str">
        <f>IFERROR(__xludf.DUMMYFUNCTION("""COMPUTED_VALUE"""),"62 SKYE VALLEY DR")</f>
        <v>62 SKYE VALLEY DR</v>
      </c>
      <c r="C2631" s="3" t="str">
        <f>IFERROR(__xludf.DUMMYFUNCTION("""COMPUTED_VALUE"""),"COBOURG")</f>
        <v>COBOURG</v>
      </c>
      <c r="D2631" s="3" t="str">
        <f>IFERROR(__xludf.DUMMYFUNCTION("""COMPUTED_VALUE"""),"K9A 0Z1")</f>
        <v>K9A 0Z1</v>
      </c>
      <c r="E2631" s="3" t="str">
        <f>IFERROR(__xludf.DUMMYFUNCTION("""COMPUTED_VALUE"""),"Hanna Tuma")</f>
        <v>Hanna Tuma</v>
      </c>
      <c r="F2631" s="3" t="str">
        <f>IFERROR(__xludf.DUMMYFUNCTION("""COMPUTED_VALUE"""),"hhtuma@gmail.com")</f>
        <v>hhtuma@gmail.com</v>
      </c>
      <c r="G2631" s="3">
        <f>IFERROR(__xludf.DUMMYFUNCTION("""COMPUTED_VALUE"""),9.053723872E9)</f>
        <v>9053723872</v>
      </c>
      <c r="H2631" s="3"/>
    </row>
    <row r="2632">
      <c r="A2632" s="2">
        <f>IFERROR(__xludf.DUMMYFUNCTION("""COMPUTED_VALUE"""),23306.0)</f>
        <v>23306</v>
      </c>
      <c r="B2632" s="3" t="str">
        <f>IFERROR(__xludf.DUMMYFUNCTION("""COMPUTED_VALUE"""),"63 SKYE VALLEY DR")</f>
        <v>63 SKYE VALLEY DR</v>
      </c>
      <c r="C2632" s="3" t="str">
        <f>IFERROR(__xludf.DUMMYFUNCTION("""COMPUTED_VALUE"""),"COBOURG")</f>
        <v>COBOURG</v>
      </c>
      <c r="D2632" s="3" t="str">
        <f>IFERROR(__xludf.DUMMYFUNCTION("""COMPUTED_VALUE"""),"K9A 0Y9")</f>
        <v>K9A 0Y9</v>
      </c>
      <c r="E2632" s="3" t="str">
        <f>IFERROR(__xludf.DUMMYFUNCTION("""COMPUTED_VALUE"""),"jennifer toll")</f>
        <v>jennifer toll</v>
      </c>
      <c r="F2632" s="3" t="str">
        <f>IFERROR(__xludf.DUMMYFUNCTION("""COMPUTED_VALUE"""),"jenmtoll@gmail.com")</f>
        <v>jenmtoll@gmail.com</v>
      </c>
      <c r="G2632" s="3">
        <f>IFERROR(__xludf.DUMMYFUNCTION("""COMPUTED_VALUE"""),6.473394444E9)</f>
        <v>6473394444</v>
      </c>
      <c r="H2632" s="3">
        <f>IFERROR(__xludf.DUMMYFUNCTION("""COMPUTED_VALUE"""),2.897711556E9)</f>
        <v>2897711556</v>
      </c>
    </row>
    <row r="2633">
      <c r="A2633" s="2">
        <f>IFERROR(__xludf.DUMMYFUNCTION("""COMPUTED_VALUE"""),23322.0)</f>
        <v>23322</v>
      </c>
      <c r="B2633" s="3" t="str">
        <f>IFERROR(__xludf.DUMMYFUNCTION("""COMPUTED_VALUE"""),"3156 SMITH SETTLEMENT RD")</f>
        <v>3156 SMITH SETTLEMENT RD</v>
      </c>
      <c r="C2633" s="3" t="str">
        <f>IFERROR(__xludf.DUMMYFUNCTION("""COMPUTED_VALUE"""),"BALTIMORE")</f>
        <v>BALTIMORE</v>
      </c>
      <c r="D2633" s="3" t="str">
        <f>IFERROR(__xludf.DUMMYFUNCTION("""COMPUTED_VALUE"""),"K0K 1C0")</f>
        <v>K0K 1C0</v>
      </c>
      <c r="E2633" s="3"/>
      <c r="F2633" s="3"/>
      <c r="G2633" s="3"/>
      <c r="H2633" s="3"/>
    </row>
    <row r="2634">
      <c r="A2634" s="2">
        <f>IFERROR(__xludf.DUMMYFUNCTION("""COMPUTED_VALUE"""),21171.0)</f>
        <v>21171</v>
      </c>
      <c r="B2634" s="3" t="str">
        <f>IFERROR(__xludf.DUMMYFUNCTION("""COMPUTED_VALUE"""),"6193 COUNTY RD 45")</f>
        <v>6193 COUNTY RD 45</v>
      </c>
      <c r="C2634" s="3" t="str">
        <f>IFERROR(__xludf.DUMMYFUNCTION("""COMPUTED_VALUE"""),"BALTIMORE")</f>
        <v>BALTIMORE</v>
      </c>
      <c r="D2634" s="3" t="str">
        <f>IFERROR(__xludf.DUMMYFUNCTION("""COMPUTED_VALUE"""),"K0K 1C0")</f>
        <v>K0K 1C0</v>
      </c>
      <c r="E2634" s="3" t="str">
        <f>IFERROR(__xludf.DUMMYFUNCTION("""COMPUTED_VALUE"""),"percy c robins ")</f>
        <v>percy c robins </v>
      </c>
      <c r="F2634" s="3" t="str">
        <f>IFERROR(__xludf.DUMMYFUNCTION("""COMPUTED_VALUE"""),"probins@live.ca")</f>
        <v>probins@live.ca</v>
      </c>
      <c r="G2634" s="3">
        <f>IFERROR(__xludf.DUMMYFUNCTION("""COMPUTED_VALUE"""),9.053492217E9)</f>
        <v>9053492217</v>
      </c>
      <c r="H2634" s="3"/>
    </row>
    <row r="2635">
      <c r="A2635" s="2">
        <f>IFERROR(__xludf.DUMMYFUNCTION("""COMPUTED_VALUE"""),23324.0)</f>
        <v>23324</v>
      </c>
      <c r="B2635" s="3" t="str">
        <f>IFERROR(__xludf.DUMMYFUNCTION("""COMPUTED_VALUE"""),"3278 SMITH SETTLEMENT RD")</f>
        <v>3278 SMITH SETTLEMENT RD</v>
      </c>
      <c r="C2635" s="3" t="str">
        <f>IFERROR(__xludf.DUMMYFUNCTION("""COMPUTED_VALUE"""),"BALTIMORE")</f>
        <v>BALTIMORE</v>
      </c>
      <c r="D2635" s="3" t="str">
        <f>IFERROR(__xludf.DUMMYFUNCTION("""COMPUTED_VALUE"""),"K0K 1C0")</f>
        <v>K0K 1C0</v>
      </c>
      <c r="E2635" s="3"/>
      <c r="F2635" s="3"/>
      <c r="G2635" s="3"/>
      <c r="H2635" s="3"/>
    </row>
    <row r="2636">
      <c r="A2636" s="2">
        <f>IFERROR(__xludf.DUMMYFUNCTION("""COMPUTED_VALUE"""),23325.0)</f>
        <v>23325</v>
      </c>
      <c r="B2636" s="3" t="str">
        <f>IFERROR(__xludf.DUMMYFUNCTION("""COMPUTED_VALUE"""),"3389 SMITH SETTLEMENT RD")</f>
        <v>3389 SMITH SETTLEMENT RD</v>
      </c>
      <c r="C2636" s="3" t="str">
        <f>IFERROR(__xludf.DUMMYFUNCTION("""COMPUTED_VALUE"""),"BALTIMORE")</f>
        <v>BALTIMORE</v>
      </c>
      <c r="D2636" s="3" t="str">
        <f>IFERROR(__xludf.DUMMYFUNCTION("""COMPUTED_VALUE"""),"K0K 1C0")</f>
        <v>K0K 1C0</v>
      </c>
      <c r="E2636" s="3" t="str">
        <f>IFERROR(__xludf.DUMMYFUNCTION("""COMPUTED_VALUE"""),"ian macivcar")</f>
        <v>ian macivcar</v>
      </c>
      <c r="F2636" s="3" t="str">
        <f>IFERROR(__xludf.DUMMYFUNCTION("""COMPUTED_VALUE"""),"ianmacvicar@gmail.com")</f>
        <v>ianmacvicar@gmail.com</v>
      </c>
      <c r="G2636" s="3">
        <f>IFERROR(__xludf.DUMMYFUNCTION("""COMPUTED_VALUE"""),4.164074606E9)</f>
        <v>4164074606</v>
      </c>
      <c r="H2636" s="3"/>
    </row>
    <row r="2637">
      <c r="A2637" s="2">
        <f>IFERROR(__xludf.DUMMYFUNCTION("""COMPUTED_VALUE"""),23326.0)</f>
        <v>23326</v>
      </c>
      <c r="B2637" s="3" t="str">
        <f>IFERROR(__xludf.DUMMYFUNCTION("""COMPUTED_VALUE"""),"3390 SMITH SETTLEMENT RD")</f>
        <v>3390 SMITH SETTLEMENT RD</v>
      </c>
      <c r="C2637" s="3" t="str">
        <f>IFERROR(__xludf.DUMMYFUNCTION("""COMPUTED_VALUE"""),"BALTIMORE")</f>
        <v>BALTIMORE</v>
      </c>
      <c r="D2637" s="3" t="str">
        <f>IFERROR(__xludf.DUMMYFUNCTION("""COMPUTED_VALUE"""),"K0K 1C0")</f>
        <v>K0K 1C0</v>
      </c>
      <c r="E2637" s="3"/>
      <c r="F2637" s="3"/>
      <c r="G2637" s="3"/>
      <c r="H2637" s="3"/>
    </row>
    <row r="2638">
      <c r="A2638" s="2">
        <f>IFERROR(__xludf.DUMMYFUNCTION("""COMPUTED_VALUE"""),23327.0)</f>
        <v>23327</v>
      </c>
      <c r="B2638" s="3" t="str">
        <f>IFERROR(__xludf.DUMMYFUNCTION("""COMPUTED_VALUE"""),"3225 SMITH SETTLEMT RD")</f>
        <v>3225 SMITH SETTLEMT RD</v>
      </c>
      <c r="C2638" s="3" t="str">
        <f>IFERROR(__xludf.DUMMYFUNCTION("""COMPUTED_VALUE"""),"BALTIMORE")</f>
        <v>BALTIMORE</v>
      </c>
      <c r="D2638" s="3" t="str">
        <f>IFERROR(__xludf.DUMMYFUNCTION("""COMPUTED_VALUE"""),"K0K 1C0")</f>
        <v>K0K 1C0</v>
      </c>
      <c r="E2638" s="3"/>
      <c r="F2638" s="3"/>
      <c r="G2638" s="3"/>
      <c r="H2638" s="3"/>
    </row>
    <row r="2639">
      <c r="A2639" s="2">
        <f>IFERROR(__xludf.DUMMYFUNCTION("""COMPUTED_VALUE"""),23328.0)</f>
        <v>23328</v>
      </c>
      <c r="B2639" s="3" t="str">
        <f>IFERROR(__xludf.DUMMYFUNCTION("""COMPUTED_VALUE"""),"8294 SMYLIE RD")</f>
        <v>8294 SMYLIE RD</v>
      </c>
      <c r="C2639" s="3" t="str">
        <f>IFERROR(__xludf.DUMMYFUNCTION("""COMPUTED_VALUE"""),"COBOURG")</f>
        <v>COBOURG</v>
      </c>
      <c r="D2639" s="3" t="str">
        <f>IFERROR(__xludf.DUMMYFUNCTION("""COMPUTED_VALUE"""),"K9A 4J7")</f>
        <v>K9A 4J7</v>
      </c>
      <c r="E2639" s="3" t="str">
        <f>IFERROR(__xludf.DUMMYFUNCTION("""COMPUTED_VALUE"""),"Michael MacLeod")</f>
        <v>Michael MacLeod</v>
      </c>
      <c r="F2639" s="3" t="str">
        <f>IFERROR(__xludf.DUMMYFUNCTION("""COMPUTED_VALUE"""),"macclan7@outlook.com")</f>
        <v>macclan7@outlook.com</v>
      </c>
      <c r="G2639" s="3">
        <f>IFERROR(__xludf.DUMMYFUNCTION("""COMPUTED_VALUE"""),2.899927014E9)</f>
        <v>2899927014</v>
      </c>
      <c r="H2639" s="3">
        <f>IFERROR(__xludf.DUMMYFUNCTION("""COMPUTED_VALUE"""),2.8988314E9)</f>
        <v>2898831400</v>
      </c>
    </row>
    <row r="2640">
      <c r="A2640" s="2">
        <f>IFERROR(__xludf.DUMMYFUNCTION("""COMPUTED_VALUE"""),23329.0)</f>
        <v>23329</v>
      </c>
      <c r="B2640" s="3" t="str">
        <f>IFERROR(__xludf.DUMMYFUNCTION("""COMPUTED_VALUE"""),"8295 SMYLIE RD")</f>
        <v>8295 SMYLIE RD</v>
      </c>
      <c r="C2640" s="3" t="str">
        <f>IFERROR(__xludf.DUMMYFUNCTION("""COMPUTED_VALUE"""),"COBOURG")</f>
        <v>COBOURG</v>
      </c>
      <c r="D2640" s="3" t="str">
        <f>IFERROR(__xludf.DUMMYFUNCTION("""COMPUTED_VALUE"""),"K9A 4J7")</f>
        <v>K9A 4J7</v>
      </c>
      <c r="E2640" s="3" t="str">
        <f>IFERROR(__xludf.DUMMYFUNCTION("""COMPUTED_VALUE"""),"Joe Anderson")</f>
        <v>Joe Anderson</v>
      </c>
      <c r="F2640" s="3" t="str">
        <f>IFERROR(__xludf.DUMMYFUNCTION("""COMPUTED_VALUE"""),"joey_anderson10@hotmail.com")</f>
        <v>joey_anderson10@hotmail.com</v>
      </c>
      <c r="G2640" s="3">
        <f>IFERROR(__xludf.DUMMYFUNCTION("""COMPUTED_VALUE"""),9.053425404E9)</f>
        <v>9053425404</v>
      </c>
      <c r="H2640" s="3">
        <f>IFERROR(__xludf.DUMMYFUNCTION("""COMPUTED_VALUE"""),2.892511228E9)</f>
        <v>2892511228</v>
      </c>
    </row>
    <row r="2641">
      <c r="A2641" s="2">
        <f>IFERROR(__xludf.DUMMYFUNCTION("""COMPUTED_VALUE"""),23330.0)</f>
        <v>23330</v>
      </c>
      <c r="B2641" s="3" t="str">
        <f>IFERROR(__xludf.DUMMYFUNCTION("""COMPUTED_VALUE"""),"8303 SMYLIE RD")</f>
        <v>8303 SMYLIE RD</v>
      </c>
      <c r="C2641" s="3" t="str">
        <f>IFERROR(__xludf.DUMMYFUNCTION("""COMPUTED_VALUE"""),"COBOURG")</f>
        <v>COBOURG</v>
      </c>
      <c r="D2641" s="3" t="str">
        <f>IFERROR(__xludf.DUMMYFUNCTION("""COMPUTED_VALUE"""),"K9A 4J7")</f>
        <v>K9A 4J7</v>
      </c>
      <c r="E2641" s="3" t="str">
        <f>IFERROR(__xludf.DUMMYFUNCTION("""COMPUTED_VALUE"""),"Randy Albon")</f>
        <v>Randy Albon</v>
      </c>
      <c r="F2641" s="3" t="str">
        <f>IFERROR(__xludf.DUMMYFUNCTION("""COMPUTED_VALUE"""),"randyalbon@gmail.com")</f>
        <v>randyalbon@gmail.com</v>
      </c>
      <c r="G2641" s="3"/>
      <c r="H2641" s="3"/>
    </row>
    <row r="2642">
      <c r="A2642" s="2">
        <f>IFERROR(__xludf.DUMMYFUNCTION("""COMPUTED_VALUE"""),23331.0)</f>
        <v>23331</v>
      </c>
      <c r="B2642" s="3" t="str">
        <f>IFERROR(__xludf.DUMMYFUNCTION("""COMPUTED_VALUE"""),"8310 SMYLIE RD")</f>
        <v>8310 SMYLIE RD</v>
      </c>
      <c r="C2642" s="3" t="str">
        <f>IFERROR(__xludf.DUMMYFUNCTION("""COMPUTED_VALUE"""),"COBOURG")</f>
        <v>COBOURG</v>
      </c>
      <c r="D2642" s="3" t="str">
        <f>IFERROR(__xludf.DUMMYFUNCTION("""COMPUTED_VALUE"""),"K9A 4J7")</f>
        <v>K9A 4J7</v>
      </c>
      <c r="E2642" s="3" t="str">
        <f>IFERROR(__xludf.DUMMYFUNCTION("""COMPUTED_VALUE"""),"Lynn Templer")</f>
        <v>Lynn Templer</v>
      </c>
      <c r="F2642" s="3" t="str">
        <f>IFERROR(__xludf.DUMMYFUNCTION("""COMPUTED_VALUE"""),"lynne.templer@hotmail.ca")</f>
        <v>lynne.templer@hotmail.ca</v>
      </c>
      <c r="G2642" s="3"/>
      <c r="H2642" s="3"/>
    </row>
    <row r="2643">
      <c r="A2643" s="2">
        <f>IFERROR(__xludf.DUMMYFUNCTION("""COMPUTED_VALUE"""),23332.0)</f>
        <v>23332</v>
      </c>
      <c r="B2643" s="3" t="str">
        <f>IFERROR(__xludf.DUMMYFUNCTION("""COMPUTED_VALUE"""),"8311 SMYLIE RD")</f>
        <v>8311 SMYLIE RD</v>
      </c>
      <c r="C2643" s="3" t="str">
        <f>IFERROR(__xludf.DUMMYFUNCTION("""COMPUTED_VALUE"""),"COBOURG")</f>
        <v>COBOURG</v>
      </c>
      <c r="D2643" s="3" t="str">
        <f>IFERROR(__xludf.DUMMYFUNCTION("""COMPUTED_VALUE"""),"K9A 4J7")</f>
        <v>K9A 4J7</v>
      </c>
      <c r="E2643" s="3" t="str">
        <f>IFERROR(__xludf.DUMMYFUNCTION("""COMPUTED_VALUE"""),"stephen young ")</f>
        <v>stephen young </v>
      </c>
      <c r="F2643" s="3" t="str">
        <f>IFERROR(__xludf.DUMMYFUNCTION("""COMPUTED_VALUE"""),"young.stephen@yahoo.ca")</f>
        <v>young.stephen@yahoo.ca</v>
      </c>
      <c r="G2643" s="3">
        <f>IFERROR(__xludf.DUMMYFUNCTION("""COMPUTED_VALUE"""),9.052693891E9)</f>
        <v>9052693891</v>
      </c>
      <c r="H2643" s="3"/>
    </row>
    <row r="2644">
      <c r="A2644" s="2">
        <f>IFERROR(__xludf.DUMMYFUNCTION("""COMPUTED_VALUE"""),23333.0)</f>
        <v>23333</v>
      </c>
      <c r="B2644" s="3" t="str">
        <f>IFERROR(__xludf.DUMMYFUNCTION("""COMPUTED_VALUE"""),"8320 SMYLIE RD")</f>
        <v>8320 SMYLIE RD</v>
      </c>
      <c r="C2644" s="3" t="str">
        <f>IFERROR(__xludf.DUMMYFUNCTION("""COMPUTED_VALUE"""),"COBOURG")</f>
        <v>COBOURG</v>
      </c>
      <c r="D2644" s="3" t="str">
        <f>IFERROR(__xludf.DUMMYFUNCTION("""COMPUTED_VALUE"""),"K9A 4J7")</f>
        <v>K9A 4J7</v>
      </c>
      <c r="E2644" s="3" t="str">
        <f>IFERROR(__xludf.DUMMYFUNCTION("""COMPUTED_VALUE"""),"Christina Lumb ")</f>
        <v>Christina Lumb </v>
      </c>
      <c r="F2644" s="3" t="str">
        <f>IFERROR(__xludf.DUMMYFUNCTION("""COMPUTED_VALUE"""),"kristensenlumb1@gmail.com")</f>
        <v>kristensenlumb1@gmail.com</v>
      </c>
      <c r="G2644" s="3"/>
      <c r="H2644" s="3"/>
    </row>
    <row r="2645">
      <c r="A2645" s="2">
        <f>IFERROR(__xludf.DUMMYFUNCTION("""COMPUTED_VALUE"""),23334.0)</f>
        <v>23334</v>
      </c>
      <c r="B2645" s="3" t="str">
        <f>IFERROR(__xludf.DUMMYFUNCTION("""COMPUTED_VALUE"""),"8321 SMYLIE RD")</f>
        <v>8321 SMYLIE RD</v>
      </c>
      <c r="C2645" s="3" t="str">
        <f>IFERROR(__xludf.DUMMYFUNCTION("""COMPUTED_VALUE"""),"COBOURG")</f>
        <v>COBOURG</v>
      </c>
      <c r="D2645" s="3" t="str">
        <f>IFERROR(__xludf.DUMMYFUNCTION("""COMPUTED_VALUE"""),"K9A 4J7")</f>
        <v>K9A 4J7</v>
      </c>
      <c r="E2645" s="3" t="str">
        <f>IFERROR(__xludf.DUMMYFUNCTION("""COMPUTED_VALUE"""),"gilbert karnwood")</f>
        <v>gilbert karnwood</v>
      </c>
      <c r="F2645" s="3" t="str">
        <f>IFERROR(__xludf.DUMMYFUNCTION("""COMPUTED_VALUE"""),"woodworksgil@gmail.com")</f>
        <v>woodworksgil@gmail.com</v>
      </c>
      <c r="G2645" s="3">
        <f>IFERROR(__xludf.DUMMYFUNCTION("""COMPUTED_VALUE"""),9.053755079E9)</f>
        <v>9053755079</v>
      </c>
      <c r="H2645" s="3">
        <f>IFERROR(__xludf.DUMMYFUNCTION("""COMPUTED_VALUE"""),9.053754615E9)</f>
        <v>9053754615</v>
      </c>
    </row>
    <row r="2646">
      <c r="A2646" s="2">
        <f>IFERROR(__xludf.DUMMYFUNCTION("""COMPUTED_VALUE"""),23336.0)</f>
        <v>23336</v>
      </c>
      <c r="B2646" s="3" t="str">
        <f>IFERROR(__xludf.DUMMYFUNCTION("""COMPUTED_VALUE"""),"8326 SMYLIE RD")</f>
        <v>8326 SMYLIE RD</v>
      </c>
      <c r="C2646" s="3" t="str">
        <f>IFERROR(__xludf.DUMMYFUNCTION("""COMPUTED_VALUE"""),"COBOURG")</f>
        <v>COBOURG</v>
      </c>
      <c r="D2646" s="3" t="str">
        <f>IFERROR(__xludf.DUMMYFUNCTION("""COMPUTED_VALUE"""),"K9A 4J7")</f>
        <v>K9A 4J7</v>
      </c>
      <c r="E2646" s="3" t="str">
        <f>IFERROR(__xludf.DUMMYFUNCTION("""COMPUTED_VALUE"""),"s. gale nicholson")</f>
        <v>s. gale nicholson</v>
      </c>
      <c r="F2646" s="3" t="str">
        <f>IFERROR(__xludf.DUMMYFUNCTION("""COMPUTED_VALUE"""),"nicholson8326smileyrd@gmail.com")</f>
        <v>nicholson8326smileyrd@gmail.com</v>
      </c>
      <c r="G2646" s="3">
        <f>IFERROR(__xludf.DUMMYFUNCTION("""COMPUTED_VALUE"""),9.053968326E9)</f>
        <v>9053968326</v>
      </c>
      <c r="H2646" s="3"/>
    </row>
    <row r="2647">
      <c r="A2647" s="2">
        <f>IFERROR(__xludf.DUMMYFUNCTION("""COMPUTED_VALUE"""),23335.0)</f>
        <v>23335</v>
      </c>
      <c r="B2647" s="3" t="str">
        <f>IFERROR(__xludf.DUMMYFUNCTION("""COMPUTED_VALUE"""),"8326 SMYLIE RD SUITE 200")</f>
        <v>8326 SMYLIE RD SUITE 200</v>
      </c>
      <c r="C2647" s="3" t="str">
        <f>IFERROR(__xludf.DUMMYFUNCTION("""COMPUTED_VALUE"""),"COBOURG")</f>
        <v>COBOURG</v>
      </c>
      <c r="D2647" s="3" t="str">
        <f>IFERROR(__xludf.DUMMYFUNCTION("""COMPUTED_VALUE"""),"K9A 4J7")</f>
        <v>K9A 4J7</v>
      </c>
      <c r="E2647" s="3" t="str">
        <f>IFERROR(__xludf.DUMMYFUNCTION("""COMPUTED_VALUE"""),"narthan bickle")</f>
        <v>narthan bickle</v>
      </c>
      <c r="F2647" s="3" t="str">
        <f>IFERROR(__xludf.DUMMYFUNCTION("""COMPUTED_VALUE"""),"nathanbickle@gmail.com")</f>
        <v>nathanbickle@gmail.com</v>
      </c>
      <c r="G2647" s="3">
        <f>IFERROR(__xludf.DUMMYFUNCTION("""COMPUTED_VALUE"""),9.053966789E9)</f>
        <v>9053966789</v>
      </c>
      <c r="H2647" s="3"/>
    </row>
    <row r="2648">
      <c r="A2648" s="2">
        <f>IFERROR(__xludf.DUMMYFUNCTION("""COMPUTED_VALUE"""),23337.0)</f>
        <v>23337</v>
      </c>
      <c r="B2648" s="3" t="str">
        <f>IFERROR(__xludf.DUMMYFUNCTION("""COMPUTED_VALUE"""),"8379 SMYLIE RD")</f>
        <v>8379 SMYLIE RD</v>
      </c>
      <c r="C2648" s="3" t="str">
        <f>IFERROR(__xludf.DUMMYFUNCTION("""COMPUTED_VALUE"""),"COBOURG")</f>
        <v>COBOURG</v>
      </c>
      <c r="D2648" s="3" t="str">
        <f>IFERROR(__xludf.DUMMYFUNCTION("""COMPUTED_VALUE"""),"K9A 4J7")</f>
        <v>K9A 4J7</v>
      </c>
      <c r="E2648" s="3" t="str">
        <f>IFERROR(__xludf.DUMMYFUNCTION("""COMPUTED_VALUE"""),"Keith st jean")</f>
        <v>Keith st jean</v>
      </c>
      <c r="F2648" s="3" t="str">
        <f>IFERROR(__xludf.DUMMYFUNCTION("""COMPUTED_VALUE"""),"keith.stjean@gmail.com")</f>
        <v>keith.stjean@gmail.com</v>
      </c>
      <c r="G2648" s="3">
        <f>IFERROR(__xludf.DUMMYFUNCTION("""COMPUTED_VALUE"""),9.059264199E9)</f>
        <v>9059264199</v>
      </c>
      <c r="H2648" s="3">
        <f>IFERROR(__xludf.DUMMYFUNCTION("""COMPUTED_VALUE"""),9.059264199E9)</f>
        <v>9059264199</v>
      </c>
    </row>
    <row r="2649">
      <c r="A2649" s="2">
        <f>IFERROR(__xludf.DUMMYFUNCTION("""COMPUTED_VALUE"""),23338.0)</f>
        <v>23338</v>
      </c>
      <c r="B2649" s="3" t="str">
        <f>IFERROR(__xludf.DUMMYFUNCTION("""COMPUTED_VALUE"""),"8380 SMYLIE RD")</f>
        <v>8380 SMYLIE RD</v>
      </c>
      <c r="C2649" s="3" t="str">
        <f>IFERROR(__xludf.DUMMYFUNCTION("""COMPUTED_VALUE"""),"COBOURG")</f>
        <v>COBOURG</v>
      </c>
      <c r="D2649" s="3" t="str">
        <f>IFERROR(__xludf.DUMMYFUNCTION("""COMPUTED_VALUE"""),"K9A 4J7")</f>
        <v>K9A 4J7</v>
      </c>
      <c r="E2649" s="3" t="str">
        <f>IFERROR(__xludf.DUMMYFUNCTION("""COMPUTED_VALUE"""),"dan dwyer")</f>
        <v>dan dwyer</v>
      </c>
      <c r="F2649" s="3" t="str">
        <f>IFERROR(__xludf.DUMMYFUNCTION("""COMPUTED_VALUE"""),"dhdwyer2@gmail.com")</f>
        <v>dhdwyer2@gmail.com</v>
      </c>
      <c r="G2649" s="3">
        <f>IFERROR(__xludf.DUMMYFUNCTION("""COMPUTED_VALUE"""),9.053422707E9)</f>
        <v>9053422707</v>
      </c>
      <c r="H2649" s="3"/>
    </row>
    <row r="2650">
      <c r="A2650" s="2">
        <f>IFERROR(__xludf.DUMMYFUNCTION("""COMPUTED_VALUE"""),23339.0)</f>
        <v>23339</v>
      </c>
      <c r="B2650" s="3" t="str">
        <f>IFERROR(__xludf.DUMMYFUNCTION("""COMPUTED_VALUE"""),"8393 SMYLIE RD")</f>
        <v>8393 SMYLIE RD</v>
      </c>
      <c r="C2650" s="3" t="str">
        <f>IFERROR(__xludf.DUMMYFUNCTION("""COMPUTED_VALUE"""),"COBOURG")</f>
        <v>COBOURG</v>
      </c>
      <c r="D2650" s="3" t="str">
        <f>IFERROR(__xludf.DUMMYFUNCTION("""COMPUTED_VALUE"""),"K9A 4J7")</f>
        <v>K9A 4J7</v>
      </c>
      <c r="E2650" s="3"/>
      <c r="F2650" s="3"/>
      <c r="G2650" s="3"/>
      <c r="H2650" s="3"/>
    </row>
    <row r="2651">
      <c r="A2651" s="2">
        <f>IFERROR(__xludf.DUMMYFUNCTION("""COMPUTED_VALUE"""),23340.0)</f>
        <v>23340</v>
      </c>
      <c r="B2651" s="3" t="str">
        <f>IFERROR(__xludf.DUMMYFUNCTION("""COMPUTED_VALUE"""),"8405 SMYLIE RD")</f>
        <v>8405 SMYLIE RD</v>
      </c>
      <c r="C2651" s="3" t="str">
        <f>IFERROR(__xludf.DUMMYFUNCTION("""COMPUTED_VALUE"""),"COBOURG")</f>
        <v>COBOURG</v>
      </c>
      <c r="D2651" s="3" t="str">
        <f>IFERROR(__xludf.DUMMYFUNCTION("""COMPUTED_VALUE"""),"K9A 4J7")</f>
        <v>K9A 4J7</v>
      </c>
      <c r="E2651" s="3" t="str">
        <f>IFERROR(__xludf.DUMMYFUNCTION("""COMPUTED_VALUE"""),"Harold &amp; Beverly Clark")</f>
        <v>Harold &amp; Beverly Clark</v>
      </c>
      <c r="F2651" s="3" t="str">
        <f>IFERROR(__xludf.DUMMYFUNCTION("""COMPUTED_VALUE"""),"ashwood@eagle.ca")</f>
        <v>ashwood@eagle.ca</v>
      </c>
      <c r="G2651" s="3"/>
      <c r="H2651" s="3"/>
    </row>
    <row r="2652">
      <c r="A2652" s="2">
        <f>IFERROR(__xludf.DUMMYFUNCTION("""COMPUTED_VALUE"""),23341.0)</f>
        <v>23341</v>
      </c>
      <c r="B2652" s="3" t="str">
        <f>IFERROR(__xludf.DUMMYFUNCTION("""COMPUTED_VALUE"""),"8409 SMYLIE RD")</f>
        <v>8409 SMYLIE RD</v>
      </c>
      <c r="C2652" s="3" t="str">
        <f>IFERROR(__xludf.DUMMYFUNCTION("""COMPUTED_VALUE"""),"COBOURG")</f>
        <v>COBOURG</v>
      </c>
      <c r="D2652" s="3" t="str">
        <f>IFERROR(__xludf.DUMMYFUNCTION("""COMPUTED_VALUE"""),"K9A 4J7")</f>
        <v>K9A 4J7</v>
      </c>
      <c r="E2652" s="3" t="str">
        <f>IFERROR(__xludf.DUMMYFUNCTION("""COMPUTED_VALUE"""),"david ioannou")</f>
        <v>david ioannou</v>
      </c>
      <c r="F2652" s="3" t="str">
        <f>IFERROR(__xludf.DUMMYFUNCTION("""COMPUTED_VALUE"""),"david.ioannou@gmwail.com")</f>
        <v>david.ioannou@gmwail.com</v>
      </c>
      <c r="G2652" s="3">
        <f>IFERROR(__xludf.DUMMYFUNCTION("""COMPUTED_VALUE"""),6.472892009E9)</f>
        <v>6472892009</v>
      </c>
      <c r="H2652" s="3">
        <f>IFERROR(__xludf.DUMMYFUNCTION("""COMPUTED_VALUE"""),4.162540647E9)</f>
        <v>4162540647</v>
      </c>
    </row>
    <row r="2653">
      <c r="A2653" s="2">
        <f>IFERROR(__xludf.DUMMYFUNCTION("""COMPUTED_VALUE"""),23342.0)</f>
        <v>23342</v>
      </c>
      <c r="B2653" s="3" t="str">
        <f>IFERROR(__xludf.DUMMYFUNCTION("""COMPUTED_VALUE"""),"8423 SMYLIE RD")</f>
        <v>8423 SMYLIE RD</v>
      </c>
      <c r="C2653" s="3" t="str">
        <f>IFERROR(__xludf.DUMMYFUNCTION("""COMPUTED_VALUE"""),"COBOURG")</f>
        <v>COBOURG</v>
      </c>
      <c r="D2653" s="3" t="str">
        <f>IFERROR(__xludf.DUMMYFUNCTION("""COMPUTED_VALUE"""),"K9A 4J7")</f>
        <v>K9A 4J7</v>
      </c>
      <c r="E2653" s="3"/>
      <c r="F2653" s="3"/>
      <c r="G2653" s="3"/>
      <c r="H2653" s="3"/>
    </row>
    <row r="2654">
      <c r="A2654" s="2">
        <f>IFERROR(__xludf.DUMMYFUNCTION("""COMPUTED_VALUE"""),23343.0)</f>
        <v>23343</v>
      </c>
      <c r="B2654" s="3" t="str">
        <f>IFERROR(__xludf.DUMMYFUNCTION("""COMPUTED_VALUE"""),"8429 SMYLIE RD")</f>
        <v>8429 SMYLIE RD</v>
      </c>
      <c r="C2654" s="3" t="str">
        <f>IFERROR(__xludf.DUMMYFUNCTION("""COMPUTED_VALUE"""),"COBOURG")</f>
        <v>COBOURG</v>
      </c>
      <c r="D2654" s="3" t="str">
        <f>IFERROR(__xludf.DUMMYFUNCTION("""COMPUTED_VALUE"""),"K9A 4J7")</f>
        <v>K9A 4J7</v>
      </c>
      <c r="E2654" s="3" t="str">
        <f>IFERROR(__xludf.DUMMYFUNCTION("""COMPUTED_VALUE"""),"doug dersnah")</f>
        <v>doug dersnah</v>
      </c>
      <c r="F2654" s="3" t="str">
        <f>IFERROR(__xludf.DUMMYFUNCTION("""COMPUTED_VALUE"""),"dougdersnah@hotmail.com")</f>
        <v>dougdersnah@hotmail.com</v>
      </c>
      <c r="G2654" s="3">
        <f>IFERROR(__xludf.DUMMYFUNCTION("""COMPUTED_VALUE"""),9.053423223E9)</f>
        <v>9053423223</v>
      </c>
      <c r="H2654" s="3">
        <f>IFERROR(__xludf.DUMMYFUNCTION("""COMPUTED_VALUE"""),9.053355201E9)</f>
        <v>9053355201</v>
      </c>
    </row>
    <row r="2655">
      <c r="A2655" s="2">
        <f>IFERROR(__xludf.DUMMYFUNCTION("""COMPUTED_VALUE"""),24022.0)</f>
        <v>24022</v>
      </c>
      <c r="B2655" s="3" t="str">
        <f>IFERROR(__xludf.DUMMYFUNCTION("""COMPUTED_VALUE"""),"8430 SMYLIE RD")</f>
        <v>8430 SMYLIE RD</v>
      </c>
      <c r="C2655" s="3" t="str">
        <f>IFERROR(__xludf.DUMMYFUNCTION("""COMPUTED_VALUE"""),"COBOURG")</f>
        <v>COBOURG</v>
      </c>
      <c r="D2655" s="3" t="str">
        <f>IFERROR(__xludf.DUMMYFUNCTION("""COMPUTED_VALUE"""),"K9A 4J7")</f>
        <v>K9A 4J7</v>
      </c>
      <c r="E2655" s="3"/>
      <c r="F2655" s="3"/>
      <c r="G2655" s="3"/>
      <c r="H2655" s="3"/>
    </row>
    <row r="2656">
      <c r="A2656" s="2">
        <f>IFERROR(__xludf.DUMMYFUNCTION("""COMPUTED_VALUE"""),23344.0)</f>
        <v>23344</v>
      </c>
      <c r="B2656" s="3" t="str">
        <f>IFERROR(__xludf.DUMMYFUNCTION("""COMPUTED_VALUE"""),"8440 SMYLIE RD")</f>
        <v>8440 SMYLIE RD</v>
      </c>
      <c r="C2656" s="3" t="str">
        <f>IFERROR(__xludf.DUMMYFUNCTION("""COMPUTED_VALUE"""),"COBOURG")</f>
        <v>COBOURG</v>
      </c>
      <c r="D2656" s="3" t="str">
        <f>IFERROR(__xludf.DUMMYFUNCTION("""COMPUTED_VALUE"""),"K9A 4J7")</f>
        <v>K9A 4J7</v>
      </c>
      <c r="E2656" s="3" t="str">
        <f>IFERROR(__xludf.DUMMYFUNCTION("""COMPUTED_VALUE"""),"Jason Stockman")</f>
        <v>Jason Stockman</v>
      </c>
      <c r="F2656" s="3" t="str">
        <f>IFERROR(__xludf.DUMMYFUNCTION("""COMPUTED_VALUE"""),"jasonstockman4918@gmail.com")</f>
        <v>jasonstockman4918@gmail.com</v>
      </c>
      <c r="G2656" s="3">
        <f>IFERROR(__xludf.DUMMYFUNCTION("""COMPUTED_VALUE"""),9.052698817E9)</f>
        <v>9052698817</v>
      </c>
      <c r="H2656" s="3"/>
    </row>
    <row r="2657">
      <c r="A2657" s="2">
        <f>IFERROR(__xludf.DUMMYFUNCTION("""COMPUTED_VALUE"""),23353.0)</f>
        <v>23353</v>
      </c>
      <c r="B2657" s="3" t="str">
        <f>IFERROR(__xludf.DUMMYFUNCTION("""COMPUTED_VALUE"""),"105 SPEECHLEY RD")</f>
        <v>105 SPEECHLEY RD</v>
      </c>
      <c r="C2657" s="3" t="str">
        <f>IFERROR(__xludf.DUMMYFUNCTION("""COMPUTED_VALUE"""),"BALTIMORE")</f>
        <v>BALTIMORE</v>
      </c>
      <c r="D2657" s="3" t="str">
        <f>IFERROR(__xludf.DUMMYFUNCTION("""COMPUTED_VALUE"""),"K0K 1C0")</f>
        <v>K0K 1C0</v>
      </c>
      <c r="E2657" s="3"/>
      <c r="F2657" s="3"/>
      <c r="G2657" s="3"/>
      <c r="H2657" s="3"/>
    </row>
    <row r="2658">
      <c r="A2658" s="2">
        <f>IFERROR(__xludf.DUMMYFUNCTION("""COMPUTED_VALUE"""),23354.0)</f>
        <v>23354</v>
      </c>
      <c r="B2658" s="3" t="str">
        <f>IFERROR(__xludf.DUMMYFUNCTION("""COMPUTED_VALUE"""),"108 SPEECHLEY RD")</f>
        <v>108 SPEECHLEY RD</v>
      </c>
      <c r="C2658" s="3" t="str">
        <f>IFERROR(__xludf.DUMMYFUNCTION("""COMPUTED_VALUE"""),"BALTIMORE")</f>
        <v>BALTIMORE</v>
      </c>
      <c r="D2658" s="3" t="str">
        <f>IFERROR(__xludf.DUMMYFUNCTION("""COMPUTED_VALUE"""),"K0K 1C0")</f>
        <v>K0K 1C0</v>
      </c>
      <c r="E2658" s="3" t="str">
        <f>IFERROR(__xludf.DUMMYFUNCTION("""COMPUTED_VALUE"""),"darren o'rourke")</f>
        <v>darren o'rourke</v>
      </c>
      <c r="F2658" s="3" t="str">
        <f>IFERROR(__xludf.DUMMYFUNCTION("""COMPUTED_VALUE"""),"orourke.darren@gmail.com")</f>
        <v>orourke.darren@gmail.com</v>
      </c>
      <c r="G2658" s="3">
        <f>IFERROR(__xludf.DUMMYFUNCTION("""COMPUTED_VALUE"""),2.89251661E9)</f>
        <v>2892516610</v>
      </c>
      <c r="H2658" s="3"/>
    </row>
    <row r="2659">
      <c r="A2659" s="2">
        <f>IFERROR(__xludf.DUMMYFUNCTION("""COMPUTED_VALUE"""),23355.0)</f>
        <v>23355</v>
      </c>
      <c r="B2659" s="3" t="str">
        <f>IFERROR(__xludf.DUMMYFUNCTION("""COMPUTED_VALUE"""),"156 SPEECHLEY RD")</f>
        <v>156 SPEECHLEY RD</v>
      </c>
      <c r="C2659" s="3" t="str">
        <f>IFERROR(__xludf.DUMMYFUNCTION("""COMPUTED_VALUE"""),"BALTIMORE")</f>
        <v>BALTIMORE</v>
      </c>
      <c r="D2659" s="3" t="str">
        <f>IFERROR(__xludf.DUMMYFUNCTION("""COMPUTED_VALUE"""),"K0K 1C0")</f>
        <v>K0K 1C0</v>
      </c>
      <c r="E2659" s="3" t="str">
        <f>IFERROR(__xludf.DUMMYFUNCTION("""COMPUTED_VALUE"""),"james and anne miedema")</f>
        <v>james and anne miedema</v>
      </c>
      <c r="F2659" s="3" t="str">
        <f>IFERROR(__xludf.DUMMYFUNCTION("""COMPUTED_VALUE"""),"anniekimmiedema@gmail.com")</f>
        <v>anniekimmiedema@gmail.com</v>
      </c>
      <c r="G2659" s="3">
        <f>IFERROR(__xludf.DUMMYFUNCTION("""COMPUTED_VALUE"""),9.053492896E9)</f>
        <v>9053492896</v>
      </c>
      <c r="H2659" s="3"/>
    </row>
    <row r="2660">
      <c r="A2660" s="2">
        <f>IFERROR(__xludf.DUMMYFUNCTION("""COMPUTED_VALUE"""),23975.0)</f>
        <v>23975</v>
      </c>
      <c r="B2660" s="3" t="str">
        <f>IFERROR(__xludf.DUMMYFUNCTION("""COMPUTED_VALUE"""),"223 SPEECHLEY RD")</f>
        <v>223 SPEECHLEY RD</v>
      </c>
      <c r="C2660" s="3" t="str">
        <f>IFERROR(__xludf.DUMMYFUNCTION("""COMPUTED_VALUE"""),"BALTIMORE")</f>
        <v>BALTIMORE</v>
      </c>
      <c r="D2660" s="3" t="str">
        <f>IFERROR(__xludf.DUMMYFUNCTION("""COMPUTED_VALUE"""),"K0K 1C0")</f>
        <v>K0K 1C0</v>
      </c>
      <c r="E2660" s="3"/>
      <c r="F2660" s="3"/>
      <c r="G2660" s="3"/>
      <c r="H2660" s="3"/>
    </row>
    <row r="2661">
      <c r="A2661" s="2">
        <f>IFERROR(__xludf.DUMMYFUNCTION("""COMPUTED_VALUE"""),23356.0)</f>
        <v>23356</v>
      </c>
      <c r="B2661" s="3" t="str">
        <f>IFERROR(__xludf.DUMMYFUNCTION("""COMPUTED_VALUE"""),"338 SPEECHLEY RD")</f>
        <v>338 SPEECHLEY RD</v>
      </c>
      <c r="C2661" s="3" t="str">
        <f>IFERROR(__xludf.DUMMYFUNCTION("""COMPUTED_VALUE"""),"BALTIMORE")</f>
        <v>BALTIMORE</v>
      </c>
      <c r="D2661" s="3" t="str">
        <f>IFERROR(__xludf.DUMMYFUNCTION("""COMPUTED_VALUE"""),"K0K 1C0")</f>
        <v>K0K 1C0</v>
      </c>
      <c r="E2661" s="3"/>
      <c r="F2661" s="3"/>
      <c r="G2661" s="3"/>
      <c r="H2661" s="3"/>
    </row>
    <row r="2662">
      <c r="A2662" s="2">
        <f>IFERROR(__xludf.DUMMYFUNCTION("""COMPUTED_VALUE"""),23357.0)</f>
        <v>23357</v>
      </c>
      <c r="B2662" s="3" t="str">
        <f>IFERROR(__xludf.DUMMYFUNCTION("""COMPUTED_VALUE"""),"3060 STAPLES RD")</f>
        <v>3060 STAPLES RD</v>
      </c>
      <c r="C2662" s="3" t="str">
        <f>IFERROR(__xludf.DUMMYFUNCTION("""COMPUTED_VALUE"""),"BALTIMORE")</f>
        <v>BALTIMORE</v>
      </c>
      <c r="D2662" s="3" t="str">
        <f>IFERROR(__xludf.DUMMYFUNCTION("""COMPUTED_VALUE"""),"K0K 1C0")</f>
        <v>K0K 1C0</v>
      </c>
      <c r="E2662" s="3" t="str">
        <f>IFERROR(__xludf.DUMMYFUNCTION("""COMPUTED_VALUE"""),"Rob &amp; Lorraine Harnden")</f>
        <v>Rob &amp; Lorraine Harnden</v>
      </c>
      <c r="F2662" s="3" t="str">
        <f>IFERROR(__xludf.DUMMYFUNCTION("""COMPUTED_VALUE"""),"mommaharnden@hotmail.com")</f>
        <v>mommaharnden@hotmail.com</v>
      </c>
      <c r="G2662" s="3"/>
      <c r="H2662" s="3"/>
    </row>
    <row r="2663">
      <c r="A2663" s="2">
        <f>IFERROR(__xludf.DUMMYFUNCTION("""COMPUTED_VALUE"""),23358.0)</f>
        <v>23358</v>
      </c>
      <c r="B2663" s="3" t="str">
        <f>IFERROR(__xludf.DUMMYFUNCTION("""COMPUTED_VALUE"""),"3074 STAPLES RD")</f>
        <v>3074 STAPLES RD</v>
      </c>
      <c r="C2663" s="3" t="str">
        <f>IFERROR(__xludf.DUMMYFUNCTION("""COMPUTED_VALUE"""),"BALTIMORE")</f>
        <v>BALTIMORE</v>
      </c>
      <c r="D2663" s="3" t="str">
        <f>IFERROR(__xludf.DUMMYFUNCTION("""COMPUTED_VALUE"""),"K0K 1C0")</f>
        <v>K0K 1C0</v>
      </c>
      <c r="E2663" s="3" t="str">
        <f>IFERROR(__xludf.DUMMYFUNCTION("""COMPUTED_VALUE"""),"chad crosbie")</f>
        <v>chad crosbie</v>
      </c>
      <c r="F2663" s="3" t="str">
        <f>IFERROR(__xludf.DUMMYFUNCTION("""COMPUTED_VALUE"""),"9053771101")</f>
        <v>9053771101</v>
      </c>
      <c r="G2663" s="3"/>
      <c r="H2663" s="3"/>
    </row>
    <row r="2664">
      <c r="A2664" s="2">
        <f>IFERROR(__xludf.DUMMYFUNCTION("""COMPUTED_VALUE"""),23359.0)</f>
        <v>23359</v>
      </c>
      <c r="B2664" s="3" t="str">
        <f>IFERROR(__xludf.DUMMYFUNCTION("""COMPUTED_VALUE"""),"3077 STAPLES RD")</f>
        <v>3077 STAPLES RD</v>
      </c>
      <c r="C2664" s="3" t="str">
        <f>IFERROR(__xludf.DUMMYFUNCTION("""COMPUTED_VALUE"""),"BALTIMORE")</f>
        <v>BALTIMORE</v>
      </c>
      <c r="D2664" s="3" t="str">
        <f>IFERROR(__xludf.DUMMYFUNCTION("""COMPUTED_VALUE"""),"K0K 1C0")</f>
        <v>K0K 1C0</v>
      </c>
      <c r="E2664" s="3" t="str">
        <f>IFERROR(__xludf.DUMMYFUNCTION("""COMPUTED_VALUE"""),"Wayne &amp; Angela Staples")</f>
        <v>Wayne &amp; Angela Staples</v>
      </c>
      <c r="F2664" s="3" t="str">
        <f>IFERROR(__xludf.DUMMYFUNCTION("""COMPUTED_VALUE"""),"angelastaples1953@gmail.com")</f>
        <v>angelastaples1953@gmail.com</v>
      </c>
      <c r="G2664" s="3"/>
      <c r="H2664" s="3"/>
    </row>
    <row r="2665">
      <c r="A2665" s="2">
        <f>IFERROR(__xludf.DUMMYFUNCTION("""COMPUTED_VALUE"""),23360.0)</f>
        <v>23360</v>
      </c>
      <c r="B2665" s="3" t="str">
        <f>IFERROR(__xludf.DUMMYFUNCTION("""COMPUTED_VALUE"""),"3078 STAPLES RD")</f>
        <v>3078 STAPLES RD</v>
      </c>
      <c r="C2665" s="3" t="str">
        <f>IFERROR(__xludf.DUMMYFUNCTION("""COMPUTED_VALUE"""),"BALTIMORE")</f>
        <v>BALTIMORE</v>
      </c>
      <c r="D2665" s="3" t="str">
        <f>IFERROR(__xludf.DUMMYFUNCTION("""COMPUTED_VALUE"""),"K0K 1C0")</f>
        <v>K0K 1C0</v>
      </c>
      <c r="E2665" s="3" t="str">
        <f>IFERROR(__xludf.DUMMYFUNCTION("""COMPUTED_VALUE"""),"Kelly Lewis ")</f>
        <v>Kelly Lewis </v>
      </c>
      <c r="F2665" s="3" t="str">
        <f>IFERROR(__xludf.DUMMYFUNCTION("""COMPUTED_VALUE"""),"kellylewis@rogers.com")</f>
        <v>kellylewis@rogers.com</v>
      </c>
      <c r="G2665" s="3"/>
      <c r="H2665" s="3"/>
    </row>
    <row r="2666">
      <c r="A2666" s="2">
        <f>IFERROR(__xludf.DUMMYFUNCTION("""COMPUTED_VALUE"""),23361.0)</f>
        <v>23361</v>
      </c>
      <c r="B2666" s="3" t="str">
        <f>IFERROR(__xludf.DUMMYFUNCTION("""COMPUTED_VALUE"""),"3088 STAPLES RD")</f>
        <v>3088 STAPLES RD</v>
      </c>
      <c r="C2666" s="3" t="str">
        <f>IFERROR(__xludf.DUMMYFUNCTION("""COMPUTED_VALUE"""),"BALTIMORE")</f>
        <v>BALTIMORE</v>
      </c>
      <c r="D2666" s="3" t="str">
        <f>IFERROR(__xludf.DUMMYFUNCTION("""COMPUTED_VALUE"""),"K0K 1C0")</f>
        <v>K0K 1C0</v>
      </c>
      <c r="E2666" s="3" t="str">
        <f>IFERROR(__xludf.DUMMYFUNCTION("""COMPUTED_VALUE"""),"Andrew Fagan")</f>
        <v>Andrew Fagan</v>
      </c>
      <c r="F2666" s="3" t="str">
        <f>IFERROR(__xludf.DUMMYFUNCTION("""COMPUTED_VALUE"""),"dr.afagan@gmail.com")</f>
        <v>dr.afagan@gmail.com</v>
      </c>
      <c r="G2666" s="3">
        <f>IFERROR(__xludf.DUMMYFUNCTION("""COMPUTED_VALUE"""),9.05706817E9)</f>
        <v>9057068170</v>
      </c>
      <c r="H2666" s="3"/>
    </row>
    <row r="2667">
      <c r="A2667" s="2">
        <f>IFERROR(__xludf.DUMMYFUNCTION("""COMPUTED_VALUE"""),23362.0)</f>
        <v>23362</v>
      </c>
      <c r="B2667" s="3" t="str">
        <f>IFERROR(__xludf.DUMMYFUNCTION("""COMPUTED_VALUE"""),"9381 STEVENSON RD")</f>
        <v>9381 STEVENSON RD</v>
      </c>
      <c r="C2667" s="3" t="str">
        <f>IFERROR(__xludf.DUMMYFUNCTION("""COMPUTED_VALUE"""),"GORES LANDING")</f>
        <v>GORES LANDING</v>
      </c>
      <c r="D2667" s="3" t="str">
        <f>IFERROR(__xludf.DUMMYFUNCTION("""COMPUTED_VALUE"""),"K0K 2E0")</f>
        <v>K0K 2E0</v>
      </c>
      <c r="E2667" s="3" t="str">
        <f>IFERROR(__xludf.DUMMYFUNCTION("""COMPUTED_VALUE"""),"BRIDGET GALLAGHER")</f>
        <v>BRIDGET GALLAGHER</v>
      </c>
      <c r="F2667" s="3" t="str">
        <f>IFERROR(__xludf.DUMMYFUNCTION("""COMPUTED_VALUE"""),"bidgallagher@gmail.com")</f>
        <v>bidgallagher@gmail.com</v>
      </c>
      <c r="G2667" s="3"/>
      <c r="H2667" s="3"/>
    </row>
    <row r="2668">
      <c r="A2668" s="2">
        <f>IFERROR(__xludf.DUMMYFUNCTION("""COMPUTED_VALUE"""),23363.0)</f>
        <v>23363</v>
      </c>
      <c r="B2668" s="3" t="str">
        <f>IFERROR(__xludf.DUMMYFUNCTION("""COMPUTED_VALUE"""),"9394 STEVENSON RD")</f>
        <v>9394 STEVENSON RD</v>
      </c>
      <c r="C2668" s="3" t="str">
        <f>IFERROR(__xludf.DUMMYFUNCTION("""COMPUTED_VALUE"""),"GORES LANDING")</f>
        <v>GORES LANDING</v>
      </c>
      <c r="D2668" s="3" t="str">
        <f>IFERROR(__xludf.DUMMYFUNCTION("""COMPUTED_VALUE"""),"K0K 2E0")</f>
        <v>K0K 2E0</v>
      </c>
      <c r="E2668" s="3" t="str">
        <f>IFERROR(__xludf.DUMMYFUNCTION("""COMPUTED_VALUE"""),"johnakonecny@hotmail.com")</f>
        <v>johnakonecny@hotmail.com</v>
      </c>
      <c r="F2668" s="3"/>
      <c r="G2668" s="3"/>
      <c r="H2668" s="3"/>
    </row>
    <row r="2669">
      <c r="A2669" s="2">
        <f>IFERROR(__xludf.DUMMYFUNCTION("""COMPUTED_VALUE"""),23364.0)</f>
        <v>23364</v>
      </c>
      <c r="B2669" s="3" t="str">
        <f>IFERROR(__xludf.DUMMYFUNCTION("""COMPUTED_VALUE"""),"9431 STEVENSON RD")</f>
        <v>9431 STEVENSON RD</v>
      </c>
      <c r="C2669" s="3" t="str">
        <f>IFERROR(__xludf.DUMMYFUNCTION("""COMPUTED_VALUE"""),"GORES LANDING")</f>
        <v>GORES LANDING</v>
      </c>
      <c r="D2669" s="3" t="str">
        <f>IFERROR(__xludf.DUMMYFUNCTION("""COMPUTED_VALUE"""),"K0K 2E0")</f>
        <v>K0K 2E0</v>
      </c>
      <c r="E2669" s="3"/>
      <c r="F2669" s="3"/>
      <c r="G2669" s="3"/>
      <c r="H2669" s="3"/>
    </row>
    <row r="2670">
      <c r="A2670" s="2">
        <f>IFERROR(__xludf.DUMMYFUNCTION("""COMPUTED_VALUE"""),23365.0)</f>
        <v>23365</v>
      </c>
      <c r="B2670" s="3" t="str">
        <f>IFERROR(__xludf.DUMMYFUNCTION("""COMPUTED_VALUE"""),"9434 STEVENSON RD")</f>
        <v>9434 STEVENSON RD</v>
      </c>
      <c r="C2670" s="3" t="str">
        <f>IFERROR(__xludf.DUMMYFUNCTION("""COMPUTED_VALUE"""),"GORES LANDING")</f>
        <v>GORES LANDING</v>
      </c>
      <c r="D2670" s="3" t="str">
        <f>IFERROR(__xludf.DUMMYFUNCTION("""COMPUTED_VALUE"""),"K0K 2E0")</f>
        <v>K0K 2E0</v>
      </c>
      <c r="E2670" s="3" t="str">
        <f>IFERROR(__xludf.DUMMYFUNCTION("""COMPUTED_VALUE"""),"Brent Hasson")</f>
        <v>Brent Hasson</v>
      </c>
      <c r="F2670" s="3" t="str">
        <f>IFERROR(__xludf.DUMMYFUNCTION("""COMPUTED_VALUE"""),"brentjohnhasson@gmail.com")</f>
        <v>brentjohnhasson@gmail.com</v>
      </c>
      <c r="G2670" s="3">
        <f>IFERROR(__xludf.DUMMYFUNCTION("""COMPUTED_VALUE"""),9.053732373E9)</f>
        <v>9053732373</v>
      </c>
      <c r="H2670" s="3"/>
    </row>
    <row r="2671">
      <c r="A2671" s="2">
        <f>IFERROR(__xludf.DUMMYFUNCTION("""COMPUTED_VALUE"""),23366.0)</f>
        <v>23366</v>
      </c>
      <c r="B2671" s="3" t="str">
        <f>IFERROR(__xludf.DUMMYFUNCTION("""COMPUTED_VALUE"""),"9435 STEVENSON RD")</f>
        <v>9435 STEVENSON RD</v>
      </c>
      <c r="C2671" s="3" t="str">
        <f>IFERROR(__xludf.DUMMYFUNCTION("""COMPUTED_VALUE"""),"GORES LANDING")</f>
        <v>GORES LANDING</v>
      </c>
      <c r="D2671" s="3" t="str">
        <f>IFERROR(__xludf.DUMMYFUNCTION("""COMPUTED_VALUE"""),"K0K 2E0")</f>
        <v>K0K 2E0</v>
      </c>
      <c r="E2671" s="3" t="str">
        <f>IFERROR(__xludf.DUMMYFUNCTION("""COMPUTED_VALUE"""),"paul dobbin")</f>
        <v>paul dobbin</v>
      </c>
      <c r="F2671" s="3" t="str">
        <f>IFERROR(__xludf.DUMMYFUNCTION("""COMPUTED_VALUE"""),"pdobbin9@gmail.com")</f>
        <v>pdobbin9@gmail.com</v>
      </c>
      <c r="G2671" s="3">
        <f>IFERROR(__xludf.DUMMYFUNCTION("""COMPUTED_VALUE"""),6.472032868E9)</f>
        <v>6472032868</v>
      </c>
      <c r="H2671" s="3">
        <f>IFERROR(__xludf.DUMMYFUNCTION("""COMPUTED_VALUE"""),4.166062334E9)</f>
        <v>4166062334</v>
      </c>
    </row>
    <row r="2672">
      <c r="A2672" s="2">
        <f>IFERROR(__xludf.DUMMYFUNCTION("""COMPUTED_VALUE"""),23367.0)</f>
        <v>23367</v>
      </c>
      <c r="B2672" s="3" t="str">
        <f>IFERROR(__xludf.DUMMYFUNCTION("""COMPUTED_VALUE"""),"9447 STEVENSON RD")</f>
        <v>9447 STEVENSON RD</v>
      </c>
      <c r="C2672" s="3" t="str">
        <f>IFERROR(__xludf.DUMMYFUNCTION("""COMPUTED_VALUE"""),"GORES LANDING")</f>
        <v>GORES LANDING</v>
      </c>
      <c r="D2672" s="3" t="str">
        <f>IFERROR(__xludf.DUMMYFUNCTION("""COMPUTED_VALUE"""),"K0K 2E0")</f>
        <v>K0K 2E0</v>
      </c>
      <c r="E2672" s="3" t="str">
        <f>IFERROR(__xludf.DUMMYFUNCTION("""COMPUTED_VALUE"""),"Anna Erenst")</f>
        <v>Anna Erenst</v>
      </c>
      <c r="F2672" s="3" t="str">
        <f>IFERROR(__xludf.DUMMYFUNCTION("""COMPUTED_VALUE"""),"annaerenst@gmail.com")</f>
        <v>annaerenst@gmail.com</v>
      </c>
      <c r="G2672" s="3"/>
      <c r="H2672" s="3"/>
    </row>
    <row r="2673">
      <c r="A2673" s="2">
        <f>IFERROR(__xludf.DUMMYFUNCTION("""COMPUTED_VALUE"""),23368.0)</f>
        <v>23368</v>
      </c>
      <c r="B2673" s="3" t="str">
        <f>IFERROR(__xludf.DUMMYFUNCTION("""COMPUTED_VALUE"""),"9448 STEVENSON RD")</f>
        <v>9448 STEVENSON RD</v>
      </c>
      <c r="C2673" s="3" t="str">
        <f>IFERROR(__xludf.DUMMYFUNCTION("""COMPUTED_VALUE"""),"GORES LANDING")</f>
        <v>GORES LANDING</v>
      </c>
      <c r="D2673" s="3" t="str">
        <f>IFERROR(__xludf.DUMMYFUNCTION("""COMPUTED_VALUE"""),"K0K 2E0")</f>
        <v>K0K 2E0</v>
      </c>
      <c r="E2673" s="3" t="str">
        <f>IFERROR(__xludf.DUMMYFUNCTION("""COMPUTED_VALUE"""),"bruce taylor ")</f>
        <v>bruce taylor </v>
      </c>
      <c r="F2673" s="3" t="str">
        <f>IFERROR(__xludf.DUMMYFUNCTION("""COMPUTED_VALUE"""),"mbtaylor7@yahoo.ca")</f>
        <v>mbtaylor7@yahoo.ca</v>
      </c>
      <c r="G2673" s="3">
        <f>IFERROR(__xludf.DUMMYFUNCTION("""COMPUTED_VALUE"""),9.053423129E9)</f>
        <v>9053423129</v>
      </c>
      <c r="H2673" s="3">
        <f>IFERROR(__xludf.DUMMYFUNCTION("""COMPUTED_VALUE"""),9.053753229E9)</f>
        <v>9053753229</v>
      </c>
    </row>
    <row r="2674">
      <c r="A2674" s="2">
        <f>IFERROR(__xludf.DUMMYFUNCTION("""COMPUTED_VALUE"""),20963.0)</f>
        <v>20963</v>
      </c>
      <c r="B2674" s="3" t="str">
        <f>IFERROR(__xludf.DUMMYFUNCTION("""COMPUTED_VALUE"""),"383 COUNTY RD 22")</f>
        <v>383 COUNTY RD 22</v>
      </c>
      <c r="C2674" s="3" t="str">
        <f>IFERROR(__xludf.DUMMYFUNCTION("""COMPUTED_VALUE"""),"BALTIMORE")</f>
        <v>BALTIMORE</v>
      </c>
      <c r="D2674" s="3" t="str">
        <f>IFERROR(__xludf.DUMMYFUNCTION("""COMPUTED_VALUE"""),"K0K 1C0")</f>
        <v>K0K 1C0</v>
      </c>
      <c r="E2674" s="3" t="str">
        <f>IFERROR(__xludf.DUMMYFUNCTION("""COMPUTED_VALUE"""),"bart nelson")</f>
        <v>bart nelson</v>
      </c>
      <c r="F2674" s="3" t="str">
        <f>IFERROR(__xludf.DUMMYFUNCTION("""COMPUTED_VALUE"""),"bart.s.nelson@gmail.com")</f>
        <v>bart.s.nelson@gmail.com</v>
      </c>
      <c r="G2674" s="3">
        <f>IFERROR(__xludf.DUMMYFUNCTION("""COMPUTED_VALUE"""),9.053492279E9)</f>
        <v>9053492279</v>
      </c>
      <c r="H2674" s="3"/>
    </row>
    <row r="2675">
      <c r="A2675" s="2">
        <f>IFERROR(__xludf.DUMMYFUNCTION("""COMPUTED_VALUE"""),23373.0)</f>
        <v>23373</v>
      </c>
      <c r="B2675" s="3" t="str">
        <f>IFERROR(__xludf.DUMMYFUNCTION("""COMPUTED_VALUE"""),"418 STEWART RD")</f>
        <v>418 STEWART RD</v>
      </c>
      <c r="C2675" s="3" t="str">
        <f>IFERROR(__xludf.DUMMYFUNCTION("""COMPUTED_VALUE"""),"BALTIMORE")</f>
        <v>BALTIMORE</v>
      </c>
      <c r="D2675" s="3" t="str">
        <f>IFERROR(__xludf.DUMMYFUNCTION("""COMPUTED_VALUE"""),"K0K 1C0")</f>
        <v>K0K 1C0</v>
      </c>
      <c r="E2675" s="3"/>
      <c r="F2675" s="3"/>
      <c r="G2675" s="3"/>
      <c r="H2675" s="3"/>
    </row>
    <row r="2676">
      <c r="A2676" s="2">
        <f>IFERROR(__xludf.DUMMYFUNCTION("""COMPUTED_VALUE"""),22816.0)</f>
        <v>22816</v>
      </c>
      <c r="B2676" s="3" t="str">
        <f>IFERROR(__xludf.DUMMYFUNCTION("""COMPUTED_VALUE"""),"9228 NOBLE RD")</f>
        <v>9228 NOBLE RD</v>
      </c>
      <c r="C2676" s="3" t="str">
        <f>IFERROR(__xludf.DUMMYFUNCTION("""COMPUTED_VALUE"""),"BALTIMORE")</f>
        <v>BALTIMORE</v>
      </c>
      <c r="D2676" s="3" t="str">
        <f>IFERROR(__xludf.DUMMYFUNCTION("""COMPUTED_VALUE"""),"K0K 1C0")</f>
        <v>K0K 1C0</v>
      </c>
      <c r="E2676" s="3"/>
      <c r="F2676" s="3"/>
      <c r="G2676" s="3"/>
      <c r="H2676" s="3"/>
    </row>
    <row r="2677">
      <c r="A2677" s="2">
        <f>IFERROR(__xludf.DUMMYFUNCTION("""COMPUTED_VALUE"""),23159.0)</f>
        <v>23159</v>
      </c>
      <c r="B2677" s="3" t="str">
        <f>IFERROR(__xludf.DUMMYFUNCTION("""COMPUTED_VALUE"""),"9319 RACETRACK RD")</f>
        <v>9319 RACETRACK RD</v>
      </c>
      <c r="C2677" s="3" t="str">
        <f>IFERROR(__xludf.DUMMYFUNCTION("""COMPUTED_VALUE"""),"BALTIMORE")</f>
        <v>BALTIMORE</v>
      </c>
      <c r="D2677" s="3" t="str">
        <f>IFERROR(__xludf.DUMMYFUNCTION("""COMPUTED_VALUE"""),"K0K 1C0")</f>
        <v>K0K 1C0</v>
      </c>
      <c r="E2677" s="3" t="str">
        <f>IFERROR(__xludf.DUMMYFUNCTION("""COMPUTED_VALUE"""),"Stanley Miezlaiskis")</f>
        <v>Stanley Miezlaiskis</v>
      </c>
      <c r="F2677" s="3" t="str">
        <f>IFERROR(__xludf.DUMMYFUNCTION("""COMPUTED_VALUE"""),"cathycherewyk@gmail.com")</f>
        <v>cathycherewyk@gmail.com</v>
      </c>
      <c r="G2677" s="3">
        <f>IFERROR(__xludf.DUMMYFUNCTION("""COMPUTED_VALUE"""),9.05373445E9)</f>
        <v>9053734450</v>
      </c>
      <c r="H2677" s="3">
        <f>IFERROR(__xludf.DUMMYFUNCTION("""COMPUTED_VALUE"""),9.053760043E9)</f>
        <v>9053760043</v>
      </c>
    </row>
    <row r="2678">
      <c r="A2678" s="2">
        <f>IFERROR(__xludf.DUMMYFUNCTION("""COMPUTED_VALUE"""),21217.0)</f>
        <v>21217</v>
      </c>
      <c r="B2678" s="3" t="str">
        <f>IFERROR(__xludf.DUMMYFUNCTION("""COMPUTED_VALUE"""),"461 COUNTY RD 22")</f>
        <v>461 COUNTY RD 22</v>
      </c>
      <c r="C2678" s="3" t="str">
        <f>IFERROR(__xludf.DUMMYFUNCTION("""COMPUTED_VALUE"""),"BALTIMORE")</f>
        <v>BALTIMORE</v>
      </c>
      <c r="D2678" s="3" t="str">
        <f>IFERROR(__xludf.DUMMYFUNCTION("""COMPUTED_VALUE"""),"K0K 1C0")</f>
        <v>K0K 1C0</v>
      </c>
      <c r="E2678" s="3" t="str">
        <f>IFERROR(__xludf.DUMMYFUNCTION("""COMPUTED_VALUE"""),"DEJONG FAMILY FARMS LTD")</f>
        <v>DEJONG FAMILY FARMS LTD</v>
      </c>
      <c r="F2678" s="3" t="str">
        <f>IFERROR(__xludf.DUMMYFUNCTION("""COMPUTED_VALUE"""),"dejongffl@gmail.com")</f>
        <v>dejongffl@gmail.com</v>
      </c>
      <c r="G2678" s="3"/>
      <c r="H2678" s="3"/>
    </row>
    <row r="2679">
      <c r="A2679" s="2">
        <f>IFERROR(__xludf.DUMMYFUNCTION("""COMPUTED_VALUE"""),23153.0)</f>
        <v>23153</v>
      </c>
      <c r="B2679" s="3" t="str">
        <f>IFERROR(__xludf.DUMMYFUNCTION("""COMPUTED_VALUE"""),"9269 RACETRACK RD")</f>
        <v>9269 RACETRACK RD</v>
      </c>
      <c r="C2679" s="3" t="str">
        <f>IFERROR(__xludf.DUMMYFUNCTION("""COMPUTED_VALUE"""),"BALTIMORE")</f>
        <v>BALTIMORE</v>
      </c>
      <c r="D2679" s="3" t="str">
        <f>IFERROR(__xludf.DUMMYFUNCTION("""COMPUTED_VALUE"""),"K0K 1C0")</f>
        <v>K0K 1C0</v>
      </c>
      <c r="E2679" s="3"/>
      <c r="F2679" s="3"/>
      <c r="G2679" s="3"/>
      <c r="H2679" s="3"/>
    </row>
    <row r="2680">
      <c r="A2680" s="2">
        <f>IFERROR(__xludf.DUMMYFUNCTION("""COMPUTED_VALUE"""),23154.0)</f>
        <v>23154</v>
      </c>
      <c r="B2680" s="3" t="str">
        <f>IFERROR(__xludf.DUMMYFUNCTION("""COMPUTED_VALUE"""),"9279 RACETRACK RD")</f>
        <v>9279 RACETRACK RD</v>
      </c>
      <c r="C2680" s="3" t="str">
        <f>IFERROR(__xludf.DUMMYFUNCTION("""COMPUTED_VALUE"""),"BALTIMORE")</f>
        <v>BALTIMORE</v>
      </c>
      <c r="D2680" s="3" t="str">
        <f>IFERROR(__xludf.DUMMYFUNCTION("""COMPUTED_VALUE"""),"K0K 1C0")</f>
        <v>K0K 1C0</v>
      </c>
      <c r="E2680" s="3"/>
      <c r="F2680" s="3"/>
      <c r="G2680" s="3"/>
      <c r="H2680" s="3"/>
    </row>
    <row r="2681">
      <c r="A2681" s="2">
        <f>IFERROR(__xludf.DUMMYFUNCTION("""COMPUTED_VALUE"""),23155.0)</f>
        <v>23155</v>
      </c>
      <c r="B2681" s="3" t="str">
        <f>IFERROR(__xludf.DUMMYFUNCTION("""COMPUTED_VALUE"""),"9287 RACETRACK RD")</f>
        <v>9287 RACETRACK RD</v>
      </c>
      <c r="C2681" s="3" t="str">
        <f>IFERROR(__xludf.DUMMYFUNCTION("""COMPUTED_VALUE"""),"BALTIMORE")</f>
        <v>BALTIMORE</v>
      </c>
      <c r="D2681" s="3" t="str">
        <f>IFERROR(__xludf.DUMMYFUNCTION("""COMPUTED_VALUE"""),"K0K 1C0")</f>
        <v>K0K 1C0</v>
      </c>
      <c r="E2681" s="3"/>
      <c r="F2681" s="3"/>
      <c r="G2681" s="3"/>
      <c r="H2681" s="3"/>
    </row>
    <row r="2682">
      <c r="A2682" s="2">
        <f>IFERROR(__xludf.DUMMYFUNCTION("""COMPUTED_VALUE"""),23160.0)</f>
        <v>23160</v>
      </c>
      <c r="B2682" s="3" t="str">
        <f>IFERROR(__xludf.DUMMYFUNCTION("""COMPUTED_VALUE"""),"9327 RACETRACK RD")</f>
        <v>9327 RACETRACK RD</v>
      </c>
      <c r="C2682" s="3" t="str">
        <f>IFERROR(__xludf.DUMMYFUNCTION("""COMPUTED_VALUE"""),"BALTIMORE")</f>
        <v>BALTIMORE</v>
      </c>
      <c r="D2682" s="3" t="str">
        <f>IFERROR(__xludf.DUMMYFUNCTION("""COMPUTED_VALUE"""),"K0K 1C0")</f>
        <v>K0K 1C0</v>
      </c>
      <c r="E2682" s="3" t="str">
        <f>IFERROR(__xludf.DUMMYFUNCTION("""COMPUTED_VALUE"""),"Cynthia Held")</f>
        <v>Cynthia Held</v>
      </c>
      <c r="F2682" s="3" t="str">
        <f>IFERROR(__xludf.DUMMYFUNCTION("""COMPUTED_VALUE"""),"ceecee1961@hotmail.com")</f>
        <v>ceecee1961@hotmail.com</v>
      </c>
      <c r="G2682" s="3">
        <f>IFERROR(__xludf.DUMMYFUNCTION("""COMPUTED_VALUE"""),9.05377153E9)</f>
        <v>9053771530</v>
      </c>
      <c r="H2682" s="3">
        <f>IFERROR(__xludf.DUMMYFUNCTION("""COMPUTED_VALUE"""),9.053733625E9)</f>
        <v>9053733625</v>
      </c>
    </row>
    <row r="2683">
      <c r="A2683" s="2">
        <f>IFERROR(__xludf.DUMMYFUNCTION("""COMPUTED_VALUE"""),23408.0)</f>
        <v>23408</v>
      </c>
      <c r="B2683" s="3" t="str">
        <f>IFERROR(__xludf.DUMMYFUNCTION("""COMPUTED_VALUE"""),"2811 STU BLACK RD - Unit 1")</f>
        <v>2811 STU BLACK RD - Unit 1</v>
      </c>
      <c r="C2683" s="3" t="str">
        <f>IFERROR(__xludf.DUMMYFUNCTION("""COMPUTED_VALUE"""),"COBOURG")</f>
        <v>COBOURG</v>
      </c>
      <c r="D2683" s="3" t="str">
        <f>IFERROR(__xludf.DUMMYFUNCTION("""COMPUTED_VALUE"""),"K9A 4J7")</f>
        <v>K9A 4J7</v>
      </c>
      <c r="E2683" s="3"/>
      <c r="F2683" s="3"/>
      <c r="G2683" s="3"/>
      <c r="H2683" s="3"/>
    </row>
    <row r="2684">
      <c r="A2684" s="2">
        <f>IFERROR(__xludf.DUMMYFUNCTION("""COMPUTED_VALUE"""),23991.0)</f>
        <v>23991</v>
      </c>
      <c r="B2684" s="3" t="str">
        <f>IFERROR(__xludf.DUMMYFUNCTION("""COMPUTED_VALUE"""),"2811 STU BLACK RD - Unit 2")</f>
        <v>2811 STU BLACK RD - Unit 2</v>
      </c>
      <c r="C2684" s="3" t="str">
        <f>IFERROR(__xludf.DUMMYFUNCTION("""COMPUTED_VALUE"""),"COBOURG")</f>
        <v>COBOURG</v>
      </c>
      <c r="D2684" s="3" t="str">
        <f>IFERROR(__xludf.DUMMYFUNCTION("""COMPUTED_VALUE"""),"K9A 4J7")</f>
        <v>K9A 4J7</v>
      </c>
      <c r="E2684" s="3"/>
      <c r="F2684" s="3"/>
      <c r="G2684" s="3"/>
      <c r="H2684" s="3"/>
    </row>
    <row r="2685">
      <c r="A2685" s="2">
        <f>IFERROR(__xludf.DUMMYFUNCTION("""COMPUTED_VALUE"""),23409.0)</f>
        <v>23409</v>
      </c>
      <c r="B2685" s="3" t="str">
        <f>IFERROR(__xludf.DUMMYFUNCTION("""COMPUTED_VALUE"""),"2887 STU BLACK RD")</f>
        <v>2887 STU BLACK RD</v>
      </c>
      <c r="C2685" s="3" t="str">
        <f>IFERROR(__xludf.DUMMYFUNCTION("""COMPUTED_VALUE"""),"COBOURG")</f>
        <v>COBOURG</v>
      </c>
      <c r="D2685" s="3" t="str">
        <f>IFERROR(__xludf.DUMMYFUNCTION("""COMPUTED_VALUE"""),"K9A 4J7")</f>
        <v>K9A 4J7</v>
      </c>
      <c r="E2685" s="3" t="str">
        <f>IFERROR(__xludf.DUMMYFUNCTION("""COMPUTED_VALUE"""),"leo and sandy campbell")</f>
        <v>leo and sandy campbell</v>
      </c>
      <c r="F2685" s="3"/>
      <c r="G2685" s="3">
        <f>IFERROR(__xludf.DUMMYFUNCTION("""COMPUTED_VALUE"""),9.05342341E9)</f>
        <v>9053423410</v>
      </c>
      <c r="H2685" s="3"/>
    </row>
    <row r="2686">
      <c r="A2686" s="2">
        <f>IFERROR(__xludf.DUMMYFUNCTION("""COMPUTED_VALUE"""),23410.0)</f>
        <v>23410</v>
      </c>
      <c r="B2686" s="3" t="str">
        <f>IFERROR(__xludf.DUMMYFUNCTION("""COMPUTED_VALUE"""),"2899 STU BLACK RD")</f>
        <v>2899 STU BLACK RD</v>
      </c>
      <c r="C2686" s="3" t="str">
        <f>IFERROR(__xludf.DUMMYFUNCTION("""COMPUTED_VALUE"""),"COBOURG")</f>
        <v>COBOURG</v>
      </c>
      <c r="D2686" s="3" t="str">
        <f>IFERROR(__xludf.DUMMYFUNCTION("""COMPUTED_VALUE"""),"K9A 4J7")</f>
        <v>K9A 4J7</v>
      </c>
      <c r="E2686" s="3" t="str">
        <f>IFERROR(__xludf.DUMMYFUNCTION("""COMPUTED_VALUE"""),"richard cawker")</f>
        <v>richard cawker</v>
      </c>
      <c r="F2686" s="3" t="str">
        <f>IFERROR(__xludf.DUMMYFUNCTION("""COMPUTED_VALUE"""),"ccawker@live.ca")</f>
        <v>ccawker@live.ca</v>
      </c>
      <c r="G2686" s="3">
        <f>IFERROR(__xludf.DUMMYFUNCTION("""COMPUTED_VALUE"""),9.052694503E9)</f>
        <v>9052694503</v>
      </c>
      <c r="H2686" s="3">
        <f>IFERROR(__xludf.DUMMYFUNCTION("""COMPUTED_VALUE"""),9.053778057E9)</f>
        <v>9053778057</v>
      </c>
    </row>
    <row r="2687">
      <c r="A2687" s="2">
        <f>IFERROR(__xludf.DUMMYFUNCTION("""COMPUTED_VALUE"""),23411.0)</f>
        <v>23411</v>
      </c>
      <c r="B2687" s="3" t="str">
        <f>IFERROR(__xludf.DUMMYFUNCTION("""COMPUTED_VALUE"""),"2900 STU BLACK RD")</f>
        <v>2900 STU BLACK RD</v>
      </c>
      <c r="C2687" s="3" t="str">
        <f>IFERROR(__xludf.DUMMYFUNCTION("""COMPUTED_VALUE"""),"COBOURG")</f>
        <v>COBOURG</v>
      </c>
      <c r="D2687" s="3" t="str">
        <f>IFERROR(__xludf.DUMMYFUNCTION("""COMPUTED_VALUE"""),"K9A 4J7")</f>
        <v>K9A 4J7</v>
      </c>
      <c r="E2687" s="3" t="str">
        <f>IFERROR(__xludf.DUMMYFUNCTION("""COMPUTED_VALUE"""),"sean billings")</f>
        <v>sean billings</v>
      </c>
      <c r="F2687" s="3"/>
      <c r="G2687" s="3">
        <f>IFERROR(__xludf.DUMMYFUNCTION("""COMPUTED_VALUE"""),7.058840577E9)</f>
        <v>7058840577</v>
      </c>
      <c r="H2687" s="3"/>
    </row>
    <row r="2688">
      <c r="A2688" s="2">
        <f>IFERROR(__xludf.DUMMYFUNCTION("""COMPUTED_VALUE"""),23412.0)</f>
        <v>23412</v>
      </c>
      <c r="B2688" s="3" t="str">
        <f>IFERROR(__xludf.DUMMYFUNCTION("""COMPUTED_VALUE"""),"2909 STU BLACK RD")</f>
        <v>2909 STU BLACK RD</v>
      </c>
      <c r="C2688" s="3" t="str">
        <f>IFERROR(__xludf.DUMMYFUNCTION("""COMPUTED_VALUE"""),"COBOURG")</f>
        <v>COBOURG</v>
      </c>
      <c r="D2688" s="3" t="str">
        <f>IFERROR(__xludf.DUMMYFUNCTION("""COMPUTED_VALUE"""),"K9A 4J7")</f>
        <v>K9A 4J7</v>
      </c>
      <c r="E2688" s="3" t="str">
        <f>IFERROR(__xludf.DUMMYFUNCTION("""COMPUTED_VALUE"""),"adam hircumougl")</f>
        <v>adam hircumougl</v>
      </c>
      <c r="F2688" s="3" t="str">
        <f>IFERROR(__xludf.DUMMYFUNCTION("""COMPUTED_VALUE"""),"adam1hircumougl@gmail.com")</f>
        <v>adam1hircumougl@gmail.com</v>
      </c>
      <c r="G2688" s="3">
        <f>IFERROR(__xludf.DUMMYFUNCTION("""COMPUTED_VALUE"""),2.894046931E9)</f>
        <v>2894046931</v>
      </c>
      <c r="H2688" s="3"/>
    </row>
    <row r="2689">
      <c r="A2689" s="2">
        <f>IFERROR(__xludf.DUMMYFUNCTION("""COMPUTED_VALUE"""),23413.0)</f>
        <v>23413</v>
      </c>
      <c r="B2689" s="3" t="str">
        <f>IFERROR(__xludf.DUMMYFUNCTION("""COMPUTED_VALUE"""),"2954 STU BLACK RD")</f>
        <v>2954 STU BLACK RD</v>
      </c>
      <c r="C2689" s="3" t="str">
        <f>IFERROR(__xludf.DUMMYFUNCTION("""COMPUTED_VALUE"""),"COBOURG")</f>
        <v>COBOURG</v>
      </c>
      <c r="D2689" s="3" t="str">
        <f>IFERROR(__xludf.DUMMYFUNCTION("""COMPUTED_VALUE"""),"K9A 4J7")</f>
        <v>K9A 4J7</v>
      </c>
      <c r="E2689" s="3" t="str">
        <f>IFERROR(__xludf.DUMMYFUNCTION("""COMPUTED_VALUE"""),"Rob Wright")</f>
        <v>Rob Wright</v>
      </c>
      <c r="F2689" s="3" t="str">
        <f>IFERROR(__xludf.DUMMYFUNCTION("""COMPUTED_VALUE"""),"robwrighthome@gmail.com")</f>
        <v>robwrighthome@gmail.com</v>
      </c>
      <c r="G2689" s="3">
        <f>IFERROR(__xludf.DUMMYFUNCTION("""COMPUTED_VALUE"""),4.164541045E9)</f>
        <v>4164541045</v>
      </c>
      <c r="H2689" s="3"/>
    </row>
    <row r="2690">
      <c r="A2690" s="2">
        <f>IFERROR(__xludf.DUMMYFUNCTION("""COMPUTED_VALUE"""),23414.0)</f>
        <v>23414</v>
      </c>
      <c r="B2690" s="3" t="str">
        <f>IFERROR(__xludf.DUMMYFUNCTION("""COMPUTED_VALUE"""),"2974 STU BLACK RD")</f>
        <v>2974 STU BLACK RD</v>
      </c>
      <c r="C2690" s="3" t="str">
        <f>IFERROR(__xludf.DUMMYFUNCTION("""COMPUTED_VALUE"""),"COBOURG")</f>
        <v>COBOURG</v>
      </c>
      <c r="D2690" s="3" t="str">
        <f>IFERROR(__xludf.DUMMYFUNCTION("""COMPUTED_VALUE"""),"K9A 4J7")</f>
        <v>K9A 4J7</v>
      </c>
      <c r="E2690" s="3" t="str">
        <f>IFERROR(__xludf.DUMMYFUNCTION("""COMPUTED_VALUE"""),"Daniel Linton")</f>
        <v>Daniel Linton</v>
      </c>
      <c r="F2690" s="3" t="str">
        <f>IFERROR(__xludf.DUMMYFUNCTION("""COMPUTED_VALUE"""),"dan.amy.linton@gmail.com")</f>
        <v>dan.amy.linton@gmail.com</v>
      </c>
      <c r="G2690" s="3">
        <f>IFERROR(__xludf.DUMMYFUNCTION("""COMPUTED_VALUE"""),9.053754566E9)</f>
        <v>9053754566</v>
      </c>
      <c r="H2690" s="3"/>
    </row>
    <row r="2691">
      <c r="A2691" s="2">
        <f>IFERROR(__xludf.DUMMYFUNCTION("""COMPUTED_VALUE"""),23415.0)</f>
        <v>23415</v>
      </c>
      <c r="B2691" s="3" t="str">
        <f>IFERROR(__xludf.DUMMYFUNCTION("""COMPUTED_VALUE"""),"2984 STU BLACK RD")</f>
        <v>2984 STU BLACK RD</v>
      </c>
      <c r="C2691" s="3" t="str">
        <f>IFERROR(__xludf.DUMMYFUNCTION("""COMPUTED_VALUE"""),"COBOURG")</f>
        <v>COBOURG</v>
      </c>
      <c r="D2691" s="3" t="str">
        <f>IFERROR(__xludf.DUMMYFUNCTION("""COMPUTED_VALUE"""),"K9A 4J7")</f>
        <v>K9A 4J7</v>
      </c>
      <c r="E2691" s="3" t="str">
        <f>IFERROR(__xludf.DUMMYFUNCTION("""COMPUTED_VALUE"""),"Douglas Davey")</f>
        <v>Douglas Davey</v>
      </c>
      <c r="F2691" s="3" t="str">
        <f>IFERROR(__xludf.DUMMYFUNCTION("""COMPUTED_VALUE"""),"nanookdavey@yahoo.ca")</f>
        <v>nanookdavey@yahoo.ca</v>
      </c>
      <c r="G2691" s="3"/>
      <c r="H2691" s="3"/>
    </row>
    <row r="2692">
      <c r="A2692" s="2">
        <f>IFERROR(__xludf.DUMMYFUNCTION("""COMPUTED_VALUE"""),23416.0)</f>
        <v>23416</v>
      </c>
      <c r="B2692" s="3" t="str">
        <f>IFERROR(__xludf.DUMMYFUNCTION("""COMPUTED_VALUE"""),"2986 STU BLACK RD")</f>
        <v>2986 STU BLACK RD</v>
      </c>
      <c r="C2692" s="3" t="str">
        <f>IFERROR(__xludf.DUMMYFUNCTION("""COMPUTED_VALUE"""),"COBOURG")</f>
        <v>COBOURG</v>
      </c>
      <c r="D2692" s="3" t="str">
        <f>IFERROR(__xludf.DUMMYFUNCTION("""COMPUTED_VALUE"""),"K9A 4J7")</f>
        <v>K9A 4J7</v>
      </c>
      <c r="E2692" s="3"/>
      <c r="F2692" s="3"/>
      <c r="G2692" s="3"/>
      <c r="H2692" s="3"/>
    </row>
    <row r="2693">
      <c r="A2693" s="2">
        <f>IFERROR(__xludf.DUMMYFUNCTION("""COMPUTED_VALUE"""),23417.0)</f>
        <v>23417</v>
      </c>
      <c r="B2693" s="3" t="str">
        <f>IFERROR(__xludf.DUMMYFUNCTION("""COMPUTED_VALUE"""),"3008 STU BLACK RD")</f>
        <v>3008 STU BLACK RD</v>
      </c>
      <c r="C2693" s="3" t="str">
        <f>IFERROR(__xludf.DUMMYFUNCTION("""COMPUTED_VALUE"""),"COBOURG")</f>
        <v>COBOURG</v>
      </c>
      <c r="D2693" s="3" t="str">
        <f>IFERROR(__xludf.DUMMYFUNCTION("""COMPUTED_VALUE"""),"K9A 4J7")</f>
        <v>K9A 4J7</v>
      </c>
      <c r="E2693" s="3" t="str">
        <f>IFERROR(__xludf.DUMMYFUNCTION("""COMPUTED_VALUE"""),"patti green")</f>
        <v>patti green</v>
      </c>
      <c r="F2693" s="3"/>
      <c r="G2693" s="3">
        <f>IFERROR(__xludf.DUMMYFUNCTION("""COMPUTED_VALUE"""),9.053422225E9)</f>
        <v>9053422225</v>
      </c>
      <c r="H2693" s="3">
        <f>IFERROR(__xludf.DUMMYFUNCTION("""COMPUTED_VALUE"""),9.053492411E9)</f>
        <v>9053492411</v>
      </c>
    </row>
    <row r="2694">
      <c r="A2694" s="2">
        <f>IFERROR(__xludf.DUMMYFUNCTION("""COMPUTED_VALUE"""),23418.0)</f>
        <v>23418</v>
      </c>
      <c r="B2694" s="3" t="str">
        <f>IFERROR(__xludf.DUMMYFUNCTION("""COMPUTED_VALUE"""),"3031 STU BLACK RD")</f>
        <v>3031 STU BLACK RD</v>
      </c>
      <c r="C2694" s="3" t="str">
        <f>IFERROR(__xludf.DUMMYFUNCTION("""COMPUTED_VALUE"""),"COBOURG")</f>
        <v>COBOURG</v>
      </c>
      <c r="D2694" s="3" t="str">
        <f>IFERROR(__xludf.DUMMYFUNCTION("""COMPUTED_VALUE"""),"K9A 4J7")</f>
        <v>K9A 4J7</v>
      </c>
      <c r="E2694" s="3" t="str">
        <f>IFERROR(__xludf.DUMMYFUNCTION("""COMPUTED_VALUE"""),"fatima guartarane")</f>
        <v>fatima guartarane</v>
      </c>
      <c r="F2694" s="3" t="str">
        <f>IFERROR(__xludf.DUMMYFUNCTION("""COMPUTED_VALUE"""),"fudd20@gmail.com")</f>
        <v>fudd20@gmail.com</v>
      </c>
      <c r="G2694" s="3">
        <f>IFERROR(__xludf.DUMMYFUNCTION("""COMPUTED_VALUE"""),4.168992675E9)</f>
        <v>4168992675</v>
      </c>
      <c r="H2694" s="3"/>
    </row>
    <row r="2695">
      <c r="A2695" s="2">
        <f>IFERROR(__xludf.DUMMYFUNCTION("""COMPUTED_VALUE"""),23419.0)</f>
        <v>23419</v>
      </c>
      <c r="B2695" s="3" t="str">
        <f>IFERROR(__xludf.DUMMYFUNCTION("""COMPUTED_VALUE"""),"3038 STU BLACK RD")</f>
        <v>3038 STU BLACK RD</v>
      </c>
      <c r="C2695" s="3" t="str">
        <f>IFERROR(__xludf.DUMMYFUNCTION("""COMPUTED_VALUE"""),"COBOURG")</f>
        <v>COBOURG</v>
      </c>
      <c r="D2695" s="3" t="str">
        <f>IFERROR(__xludf.DUMMYFUNCTION("""COMPUTED_VALUE"""),"K9A 4J7")</f>
        <v>K9A 4J7</v>
      </c>
      <c r="E2695" s="3"/>
      <c r="F2695" s="3"/>
      <c r="G2695" s="3"/>
      <c r="H2695" s="3"/>
    </row>
    <row r="2696">
      <c r="A2696" s="2">
        <f>IFERROR(__xludf.DUMMYFUNCTION("""COMPUTED_VALUE"""),23982.0)</f>
        <v>23982</v>
      </c>
      <c r="B2696" s="3" t="str">
        <f>IFERROR(__xludf.DUMMYFUNCTION("""COMPUTED_VALUE"""),"3041 STU BLACK RD")</f>
        <v>3041 STU BLACK RD</v>
      </c>
      <c r="C2696" s="3" t="str">
        <f>IFERROR(__xludf.DUMMYFUNCTION("""COMPUTED_VALUE"""),"COBOURG")</f>
        <v>COBOURG</v>
      </c>
      <c r="D2696" s="3" t="str">
        <f>IFERROR(__xludf.DUMMYFUNCTION("""COMPUTED_VALUE"""),"K9A 4J7")</f>
        <v>K9A 4J7</v>
      </c>
      <c r="E2696" s="3"/>
      <c r="F2696" s="3"/>
      <c r="G2696" s="3"/>
      <c r="H2696" s="3"/>
    </row>
    <row r="2697">
      <c r="A2697" s="2">
        <f>IFERROR(__xludf.DUMMYFUNCTION("""COMPUTED_VALUE"""),23420.0)</f>
        <v>23420</v>
      </c>
      <c r="B2697" s="3" t="str">
        <f>IFERROR(__xludf.DUMMYFUNCTION("""COMPUTED_VALUE"""),"3050 STU BLACK RD")</f>
        <v>3050 STU BLACK RD</v>
      </c>
      <c r="C2697" s="3" t="str">
        <f>IFERROR(__xludf.DUMMYFUNCTION("""COMPUTED_VALUE"""),"COBOURG")</f>
        <v>COBOURG</v>
      </c>
      <c r="D2697" s="3" t="str">
        <f>IFERROR(__xludf.DUMMYFUNCTION("""COMPUTED_VALUE"""),"K9A 4J7")</f>
        <v>K9A 4J7</v>
      </c>
      <c r="E2697" s="3" t="str">
        <f>IFERROR(__xludf.DUMMYFUNCTION("""COMPUTED_VALUE"""),"Linda &amp; Jim Gibson")</f>
        <v>Linda &amp; Jim Gibson</v>
      </c>
      <c r="F2697" s="3" t="str">
        <f>IFERROR(__xludf.DUMMYFUNCTION("""COMPUTED_VALUE"""),"cobourgcustomclubs@live.ca")</f>
        <v>cobourgcustomclubs@live.ca</v>
      </c>
      <c r="G2697" s="3"/>
      <c r="H2697" s="3"/>
    </row>
    <row r="2698">
      <c r="A2698" s="2">
        <f>IFERROR(__xludf.DUMMYFUNCTION("""COMPUTED_VALUE"""),23421.0)</f>
        <v>23421</v>
      </c>
      <c r="B2698" s="3" t="str">
        <f>IFERROR(__xludf.DUMMYFUNCTION("""COMPUTED_VALUE"""),"3057 STU BLACK RD")</f>
        <v>3057 STU BLACK RD</v>
      </c>
      <c r="C2698" s="3" t="str">
        <f>IFERROR(__xludf.DUMMYFUNCTION("""COMPUTED_VALUE"""),"COBOURG")</f>
        <v>COBOURG</v>
      </c>
      <c r="D2698" s="3" t="str">
        <f>IFERROR(__xludf.DUMMYFUNCTION("""COMPUTED_VALUE"""),"K9A 4J7")</f>
        <v>K9A 4J7</v>
      </c>
      <c r="E2698" s="3" t="str">
        <f>IFERROR(__xludf.DUMMYFUNCTION("""COMPUTED_VALUE"""),"lianne and robert schmidt")</f>
        <v>lianne and robert schmidt</v>
      </c>
      <c r="F2698" s="3" t="str">
        <f>IFERROR(__xludf.DUMMYFUNCTION("""COMPUTED_VALUE"""),"99steelwheels@gmail.com")</f>
        <v>99steelwheels@gmail.com</v>
      </c>
      <c r="G2698" s="3">
        <f>IFERROR(__xludf.DUMMYFUNCTION("""COMPUTED_VALUE"""),5.1769369999E10)</f>
        <v>51769369999</v>
      </c>
      <c r="H2698" s="3">
        <f>IFERROR(__xludf.DUMMYFUNCTION("""COMPUTED_VALUE"""),9.059265003E9)</f>
        <v>9059265003</v>
      </c>
    </row>
    <row r="2699">
      <c r="A2699" s="2">
        <f>IFERROR(__xludf.DUMMYFUNCTION("""COMPUTED_VALUE"""),23422.0)</f>
        <v>23422</v>
      </c>
      <c r="B2699" s="3" t="str">
        <f>IFERROR(__xludf.DUMMYFUNCTION("""COMPUTED_VALUE"""),"3058 STU BLACK RD")</f>
        <v>3058 STU BLACK RD</v>
      </c>
      <c r="C2699" s="3" t="str">
        <f>IFERROR(__xludf.DUMMYFUNCTION("""COMPUTED_VALUE"""),"COBOURG")</f>
        <v>COBOURG</v>
      </c>
      <c r="D2699" s="3" t="str">
        <f>IFERROR(__xludf.DUMMYFUNCTION("""COMPUTED_VALUE"""),"K9A 4J7")</f>
        <v>K9A 4J7</v>
      </c>
      <c r="E2699" s="3" t="str">
        <f>IFERROR(__xludf.DUMMYFUNCTION("""COMPUTED_VALUE"""),"jack taylor")</f>
        <v>jack taylor</v>
      </c>
      <c r="F2699" s="3"/>
      <c r="G2699" s="3">
        <f>IFERROR(__xludf.DUMMYFUNCTION("""COMPUTED_VALUE"""),9.052691035E9)</f>
        <v>9052691035</v>
      </c>
      <c r="H2699" s="3"/>
    </row>
    <row r="2700">
      <c r="A2700" s="2">
        <f>IFERROR(__xludf.DUMMYFUNCTION("""COMPUTED_VALUE"""),23423.0)</f>
        <v>23423</v>
      </c>
      <c r="B2700" s="3" t="str">
        <f>IFERROR(__xludf.DUMMYFUNCTION("""COMPUTED_VALUE"""),"3064 STU BLACK RD")</f>
        <v>3064 STU BLACK RD</v>
      </c>
      <c r="C2700" s="3" t="str">
        <f>IFERROR(__xludf.DUMMYFUNCTION("""COMPUTED_VALUE"""),"COBOURG")</f>
        <v>COBOURG</v>
      </c>
      <c r="D2700" s="3" t="str">
        <f>IFERROR(__xludf.DUMMYFUNCTION("""COMPUTED_VALUE"""),"K9A 4J7")</f>
        <v>K9A 4J7</v>
      </c>
      <c r="E2700" s="3" t="str">
        <f>IFERROR(__xludf.DUMMYFUNCTION("""COMPUTED_VALUE"""),"Rachel Hall")</f>
        <v>Rachel Hall</v>
      </c>
      <c r="F2700" s="3" t="str">
        <f>IFERROR(__xludf.DUMMYFUNCTION("""COMPUTED_VALUE"""),"carr1982@hotmail.com")</f>
        <v>carr1982@hotmail.com</v>
      </c>
      <c r="G2700" s="3">
        <f>IFERROR(__xludf.DUMMYFUNCTION("""COMPUTED_VALUE"""),9.052691873E9)</f>
        <v>9052691873</v>
      </c>
      <c r="H2700" s="3"/>
    </row>
    <row r="2701">
      <c r="A2701" s="2">
        <f>IFERROR(__xludf.DUMMYFUNCTION("""COMPUTED_VALUE"""),23424.0)</f>
        <v>23424</v>
      </c>
      <c r="B2701" s="3" t="str">
        <f>IFERROR(__xludf.DUMMYFUNCTION("""COMPUTED_VALUE"""),"3071 STU BLACK RD")</f>
        <v>3071 STU BLACK RD</v>
      </c>
      <c r="C2701" s="3" t="str">
        <f>IFERROR(__xludf.DUMMYFUNCTION("""COMPUTED_VALUE"""),"COBOURG")</f>
        <v>COBOURG</v>
      </c>
      <c r="D2701" s="3" t="str">
        <f>IFERROR(__xludf.DUMMYFUNCTION("""COMPUTED_VALUE"""),"K9A 4J7")</f>
        <v>K9A 4J7</v>
      </c>
      <c r="E2701" s="3" t="str">
        <f>IFERROR(__xludf.DUMMYFUNCTION("""COMPUTED_VALUE"""),"Rob Van Allen")</f>
        <v>Rob Van Allen</v>
      </c>
      <c r="F2701" s="3" t="str">
        <f>IFERROR(__xludf.DUMMYFUNCTION("""COMPUTED_VALUE"""),"robvanallen@gmail.com")</f>
        <v>robvanallen@gmail.com</v>
      </c>
      <c r="G2701" s="3">
        <f>IFERROR(__xludf.DUMMYFUNCTION("""COMPUTED_VALUE"""),9.052076387E9)</f>
        <v>9052076387</v>
      </c>
      <c r="H2701" s="3">
        <f>IFERROR(__xludf.DUMMYFUNCTION("""COMPUTED_VALUE"""),9.052071379E9)</f>
        <v>9052071379</v>
      </c>
    </row>
    <row r="2702">
      <c r="A2702" s="2">
        <f>IFERROR(__xludf.DUMMYFUNCTION("""COMPUTED_VALUE"""),23425.0)</f>
        <v>23425</v>
      </c>
      <c r="B2702" s="3" t="str">
        <f>IFERROR(__xludf.DUMMYFUNCTION("""COMPUTED_VALUE"""),"3072 STU BLACK RD")</f>
        <v>3072 STU BLACK RD</v>
      </c>
      <c r="C2702" s="3" t="str">
        <f>IFERROR(__xludf.DUMMYFUNCTION("""COMPUTED_VALUE"""),"COBOURG")</f>
        <v>COBOURG</v>
      </c>
      <c r="D2702" s="3" t="str">
        <f>IFERROR(__xludf.DUMMYFUNCTION("""COMPUTED_VALUE"""),"K9A 4J7")</f>
        <v>K9A 4J7</v>
      </c>
      <c r="E2702" s="3" t="str">
        <f>IFERROR(__xludf.DUMMYFUNCTION("""COMPUTED_VALUE"""),"Kevin Cowles")</f>
        <v>Kevin Cowles</v>
      </c>
      <c r="F2702" s="3" t="str">
        <f>IFERROR(__xludf.DUMMYFUNCTION("""COMPUTED_VALUE"""),"kevin.cowles09@gmail.com")</f>
        <v>kevin.cowles09@gmail.com</v>
      </c>
      <c r="G2702" s="3">
        <f>IFERROR(__xludf.DUMMYFUNCTION("""COMPUTED_VALUE"""),9.052599041E9)</f>
        <v>9052599041</v>
      </c>
      <c r="H2702" s="3">
        <f>IFERROR(__xludf.DUMMYFUNCTION("""COMPUTED_VALUE"""),9.052599041E9)</f>
        <v>9052599041</v>
      </c>
    </row>
    <row r="2703">
      <c r="A2703" s="2">
        <f>IFERROR(__xludf.DUMMYFUNCTION("""COMPUTED_VALUE"""),23426.0)</f>
        <v>23426</v>
      </c>
      <c r="B2703" s="3" t="str">
        <f>IFERROR(__xludf.DUMMYFUNCTION("""COMPUTED_VALUE"""),"3077 STU BLACK RD")</f>
        <v>3077 STU BLACK RD</v>
      </c>
      <c r="C2703" s="3" t="str">
        <f>IFERROR(__xludf.DUMMYFUNCTION("""COMPUTED_VALUE"""),"COBOURG")</f>
        <v>COBOURG</v>
      </c>
      <c r="D2703" s="3" t="str">
        <f>IFERROR(__xludf.DUMMYFUNCTION("""COMPUTED_VALUE"""),"K9A 4J7")</f>
        <v>K9A 4J7</v>
      </c>
      <c r="E2703" s="3" t="str">
        <f>IFERROR(__xludf.DUMMYFUNCTION("""COMPUTED_VALUE"""),"Chris Nelan")</f>
        <v>Chris Nelan</v>
      </c>
      <c r="F2703" s="3" t="str">
        <f>IFERROR(__xludf.DUMMYFUNCTION("""COMPUTED_VALUE"""),"chrisnelan@hotmail.com")</f>
        <v>chrisnelan@hotmail.com</v>
      </c>
      <c r="G2703" s="3">
        <f>IFERROR(__xludf.DUMMYFUNCTION("""COMPUTED_VALUE"""),9.059997443E9)</f>
        <v>9059997443</v>
      </c>
      <c r="H2703" s="3"/>
    </row>
    <row r="2704">
      <c r="A2704" s="2">
        <f>IFERROR(__xludf.DUMMYFUNCTION("""COMPUTED_VALUE"""),23427.0)</f>
        <v>23427</v>
      </c>
      <c r="B2704" s="3" t="str">
        <f>IFERROR(__xludf.DUMMYFUNCTION("""COMPUTED_VALUE"""),"3081 STU BLACK RD")</f>
        <v>3081 STU BLACK RD</v>
      </c>
      <c r="C2704" s="3" t="str">
        <f>IFERROR(__xludf.DUMMYFUNCTION("""COMPUTED_VALUE"""),"COBOURG")</f>
        <v>COBOURG</v>
      </c>
      <c r="D2704" s="3" t="str">
        <f>IFERROR(__xludf.DUMMYFUNCTION("""COMPUTED_VALUE"""),"K9A 4J7")</f>
        <v>K9A 4J7</v>
      </c>
      <c r="E2704" s="3" t="str">
        <f>IFERROR(__xludf.DUMMYFUNCTION("""COMPUTED_VALUE"""),"debbie&amp;rene dewit")</f>
        <v>debbie&amp;rene dewit</v>
      </c>
      <c r="F2704" s="3" t="str">
        <f>IFERROR(__xludf.DUMMYFUNCTION("""COMPUTED_VALUE"""),"debbiedewit3@gmail.com")</f>
        <v>debbiedewit3@gmail.com</v>
      </c>
      <c r="G2704" s="3">
        <f>IFERROR(__xludf.DUMMYFUNCTION("""COMPUTED_VALUE"""),9.054429041E9)</f>
        <v>9054429041</v>
      </c>
      <c r="H2704" s="3"/>
    </row>
    <row r="2705">
      <c r="A2705" s="2">
        <f>IFERROR(__xludf.DUMMYFUNCTION("""COMPUTED_VALUE"""),23428.0)</f>
        <v>23428</v>
      </c>
      <c r="B2705" s="3" t="str">
        <f>IFERROR(__xludf.DUMMYFUNCTION("""COMPUTED_VALUE"""),"3093 STU BLACK RD")</f>
        <v>3093 STU BLACK RD</v>
      </c>
      <c r="C2705" s="3" t="str">
        <f>IFERROR(__xludf.DUMMYFUNCTION("""COMPUTED_VALUE"""),"COBOURG")</f>
        <v>COBOURG</v>
      </c>
      <c r="D2705" s="3" t="str">
        <f>IFERROR(__xludf.DUMMYFUNCTION("""COMPUTED_VALUE"""),"K9A 4J7")</f>
        <v>K9A 4J7</v>
      </c>
      <c r="E2705" s="3" t="str">
        <f>IFERROR(__xludf.DUMMYFUNCTION("""COMPUTED_VALUE"""),"gary peters")</f>
        <v>gary peters</v>
      </c>
      <c r="F2705" s="3" t="str">
        <f>IFERROR(__xludf.DUMMYFUNCTION("""COMPUTED_VALUE"""),"gpeters2362@gmail.com")</f>
        <v>gpeters2362@gmail.com</v>
      </c>
      <c r="G2705" s="3">
        <f>IFERROR(__xludf.DUMMYFUNCTION("""COMPUTED_VALUE"""),6.472290051E9)</f>
        <v>6472290051</v>
      </c>
      <c r="H2705" s="3"/>
    </row>
    <row r="2706">
      <c r="A2706" s="2">
        <f>IFERROR(__xludf.DUMMYFUNCTION("""COMPUTED_VALUE"""),23429.0)</f>
        <v>23429</v>
      </c>
      <c r="B2706" s="3" t="str">
        <f>IFERROR(__xludf.DUMMYFUNCTION("""COMPUTED_VALUE"""),"3107 STU BLACK RD")</f>
        <v>3107 STU BLACK RD</v>
      </c>
      <c r="C2706" s="3" t="str">
        <f>IFERROR(__xludf.DUMMYFUNCTION("""COMPUTED_VALUE"""),"COBOURG")</f>
        <v>COBOURG</v>
      </c>
      <c r="D2706" s="3" t="str">
        <f>IFERROR(__xludf.DUMMYFUNCTION("""COMPUTED_VALUE"""),"K9A 4J7")</f>
        <v>K9A 4J7</v>
      </c>
      <c r="E2706" s="3" t="str">
        <f>IFERROR(__xludf.DUMMYFUNCTION("""COMPUTED_VALUE"""),"robert parsons")</f>
        <v>robert parsons</v>
      </c>
      <c r="F2706" s="3"/>
      <c r="G2706" s="3">
        <f>IFERROR(__xludf.DUMMYFUNCTION("""COMPUTED_VALUE"""),9.053422627E9)</f>
        <v>9053422627</v>
      </c>
      <c r="H2706" s="3"/>
    </row>
    <row r="2707">
      <c r="A2707" s="2">
        <f>IFERROR(__xludf.DUMMYFUNCTION("""COMPUTED_VALUE"""),23430.0)</f>
        <v>23430</v>
      </c>
      <c r="B2707" s="3" t="str">
        <f>IFERROR(__xludf.DUMMYFUNCTION("""COMPUTED_VALUE"""),"3115 STU BLACK RD")</f>
        <v>3115 STU BLACK RD</v>
      </c>
      <c r="C2707" s="3" t="str">
        <f>IFERROR(__xludf.DUMMYFUNCTION("""COMPUTED_VALUE"""),"COBOURG")</f>
        <v>COBOURG</v>
      </c>
      <c r="D2707" s="3" t="str">
        <f>IFERROR(__xludf.DUMMYFUNCTION("""COMPUTED_VALUE"""),"K9A 4J7")</f>
        <v>K9A 4J7</v>
      </c>
      <c r="E2707" s="3" t="str">
        <f>IFERROR(__xludf.DUMMYFUNCTION("""COMPUTED_VALUE"""),"frank and joyce ")</f>
        <v>frank and joyce </v>
      </c>
      <c r="F2707" s="3" t="str">
        <f>IFERROR(__xludf.DUMMYFUNCTION("""COMPUTED_VALUE"""),"frankandjoyceross@hotmail.com")</f>
        <v>frankandjoyceross@hotmail.com</v>
      </c>
      <c r="G2707" s="3">
        <f>IFERROR(__xludf.DUMMYFUNCTION("""COMPUTED_VALUE"""),9.053422831E9)</f>
        <v>9053422831</v>
      </c>
      <c r="H2707" s="3"/>
    </row>
    <row r="2708">
      <c r="A2708" s="2">
        <f>IFERROR(__xludf.DUMMYFUNCTION("""COMPUTED_VALUE"""),23431.0)</f>
        <v>23431</v>
      </c>
      <c r="B2708" s="3" t="str">
        <f>IFERROR(__xludf.DUMMYFUNCTION("""COMPUTED_VALUE"""),"4896 SULLY RD")</f>
        <v>4896 SULLY RD</v>
      </c>
      <c r="C2708" s="3" t="str">
        <f>IFERROR(__xludf.DUMMYFUNCTION("""COMPUTED_VALUE"""),"GORES LANDING")</f>
        <v>GORES LANDING</v>
      </c>
      <c r="D2708" s="3" t="str">
        <f>IFERROR(__xludf.DUMMYFUNCTION("""COMPUTED_VALUE"""),"K0K 2E0")</f>
        <v>K0K 2E0</v>
      </c>
      <c r="E2708" s="3" t="str">
        <f>IFERROR(__xludf.DUMMYFUNCTION("""COMPUTED_VALUE"""),"John Davison")</f>
        <v>John Davison</v>
      </c>
      <c r="F2708" s="3" t="str">
        <f>IFERROR(__xludf.DUMMYFUNCTION("""COMPUTED_VALUE"""),"jssjcke10@hotmail.com")</f>
        <v>jssjcke10@hotmail.com</v>
      </c>
      <c r="G2708" s="3"/>
      <c r="H2708" s="3"/>
    </row>
    <row r="2709">
      <c r="A2709" s="2">
        <f>IFERROR(__xludf.DUMMYFUNCTION("""COMPUTED_VALUE"""),23432.0)</f>
        <v>23432</v>
      </c>
      <c r="B2709" s="3" t="str">
        <f>IFERROR(__xludf.DUMMYFUNCTION("""COMPUTED_VALUE"""),"4904 SULLY RD")</f>
        <v>4904 SULLY RD</v>
      </c>
      <c r="C2709" s="3" t="str">
        <f>IFERROR(__xludf.DUMMYFUNCTION("""COMPUTED_VALUE"""),"GORES LANDING")</f>
        <v>GORES LANDING</v>
      </c>
      <c r="D2709" s="3" t="str">
        <f>IFERROR(__xludf.DUMMYFUNCTION("""COMPUTED_VALUE"""),"K0K 2E0")</f>
        <v>K0K 2E0</v>
      </c>
      <c r="E2709" s="3" t="str">
        <f>IFERROR(__xludf.DUMMYFUNCTION("""COMPUTED_VALUE"""),"Tim Taylor")</f>
        <v>Tim Taylor</v>
      </c>
      <c r="F2709" s="3" t="str">
        <f>IFERROR(__xludf.DUMMYFUNCTION("""COMPUTED_VALUE"""),"tim.taylor58@live.ca")</f>
        <v>tim.taylor58@live.ca</v>
      </c>
      <c r="G2709" s="3"/>
      <c r="H2709" s="3"/>
    </row>
    <row r="2710">
      <c r="A2710" s="2">
        <f>IFERROR(__xludf.DUMMYFUNCTION("""COMPUTED_VALUE"""),23433.0)</f>
        <v>23433</v>
      </c>
      <c r="B2710" s="3" t="str">
        <f>IFERROR(__xludf.DUMMYFUNCTION("""COMPUTED_VALUE"""),"4922 SULLY RD")</f>
        <v>4922 SULLY RD</v>
      </c>
      <c r="C2710" s="3" t="str">
        <f>IFERROR(__xludf.DUMMYFUNCTION("""COMPUTED_VALUE"""),"GORES LANDING")</f>
        <v>GORES LANDING</v>
      </c>
      <c r="D2710" s="3" t="str">
        <f>IFERROR(__xludf.DUMMYFUNCTION("""COMPUTED_VALUE"""),"K0K 2E0")</f>
        <v>K0K 2E0</v>
      </c>
      <c r="E2710" s="3"/>
      <c r="F2710" s="3"/>
      <c r="G2710" s="3"/>
      <c r="H2710" s="3"/>
    </row>
    <row r="2711">
      <c r="A2711" s="2">
        <f>IFERROR(__xludf.DUMMYFUNCTION("""COMPUTED_VALUE"""),23434.0)</f>
        <v>23434</v>
      </c>
      <c r="B2711" s="3" t="str">
        <f>IFERROR(__xludf.DUMMYFUNCTION("""COMPUTED_VALUE"""),"4930 SULLY RD UNIT A")</f>
        <v>4930 SULLY RD UNIT A</v>
      </c>
      <c r="C2711" s="3" t="str">
        <f>IFERROR(__xludf.DUMMYFUNCTION("""COMPUTED_VALUE"""),"GORES LANDING")</f>
        <v>GORES LANDING</v>
      </c>
      <c r="D2711" s="3" t="str">
        <f>IFERROR(__xludf.DUMMYFUNCTION("""COMPUTED_VALUE"""),"K0K 2E0")</f>
        <v>K0K 2E0</v>
      </c>
      <c r="E2711" s="3" t="str">
        <f>IFERROR(__xludf.DUMMYFUNCTION("""COMPUTED_VALUE"""),"Sue Lothian")</f>
        <v>Sue Lothian</v>
      </c>
      <c r="F2711" s="3" t="str">
        <f>IFERROR(__xludf.DUMMYFUNCTION("""COMPUTED_VALUE"""),"vikingnursery@hotmail.com")</f>
        <v>vikingnursery@hotmail.com</v>
      </c>
      <c r="G2711" s="3"/>
      <c r="H2711" s="3"/>
    </row>
    <row r="2712">
      <c r="A2712" s="2">
        <f>IFERROR(__xludf.DUMMYFUNCTION("""COMPUTED_VALUE"""),23965.0)</f>
        <v>23965</v>
      </c>
      <c r="B2712" s="3" t="str">
        <f>IFERROR(__xludf.DUMMYFUNCTION("""COMPUTED_VALUE"""),"4930 SULLY RD UNIT B")</f>
        <v>4930 SULLY RD UNIT B</v>
      </c>
      <c r="C2712" s="3" t="str">
        <f>IFERROR(__xludf.DUMMYFUNCTION("""COMPUTED_VALUE"""),"GORES LANDING")</f>
        <v>GORES LANDING</v>
      </c>
      <c r="D2712" s="3" t="str">
        <f>IFERROR(__xludf.DUMMYFUNCTION("""COMPUTED_VALUE"""),"K0K 2E0")</f>
        <v>K0K 2E0</v>
      </c>
      <c r="E2712" s="3" t="str">
        <f>IFERROR(__xludf.DUMMYFUNCTION("""COMPUTED_VALUE"""),"Sue Lothian")</f>
        <v>Sue Lothian</v>
      </c>
      <c r="F2712" s="3" t="str">
        <f>IFERROR(__xludf.DUMMYFUNCTION("""COMPUTED_VALUE"""),"vikingnursery@hotmail.com")</f>
        <v>vikingnursery@hotmail.com</v>
      </c>
      <c r="G2712" s="3"/>
      <c r="H2712" s="3"/>
    </row>
    <row r="2713">
      <c r="A2713" s="2">
        <f>IFERROR(__xludf.DUMMYFUNCTION("""COMPUTED_VALUE"""),23435.0)</f>
        <v>23435</v>
      </c>
      <c r="B2713" s="3" t="str">
        <f>IFERROR(__xludf.DUMMYFUNCTION("""COMPUTED_VALUE"""),"4990 SULLY RD")</f>
        <v>4990 SULLY RD</v>
      </c>
      <c r="C2713" s="3" t="str">
        <f>IFERROR(__xludf.DUMMYFUNCTION("""COMPUTED_VALUE"""),"GORES LANDING")</f>
        <v>GORES LANDING</v>
      </c>
      <c r="D2713" s="3" t="str">
        <f>IFERROR(__xludf.DUMMYFUNCTION("""COMPUTED_VALUE"""),"K0K 2E0")</f>
        <v>K0K 2E0</v>
      </c>
      <c r="E2713" s="3" t="str">
        <f>IFERROR(__xludf.DUMMYFUNCTION("""COMPUTED_VALUE"""),"Eric Naugle")</f>
        <v>Eric Naugle</v>
      </c>
      <c r="F2713" s="3" t="str">
        <f>IFERROR(__xludf.DUMMYFUNCTION("""COMPUTED_VALUE"""),"eric.naugle94@gmail.com")</f>
        <v>eric.naugle94@gmail.com</v>
      </c>
      <c r="G2713" s="3">
        <f>IFERROR(__xludf.DUMMYFUNCTION("""COMPUTED_VALUE"""),2.896753742E9)</f>
        <v>2896753742</v>
      </c>
      <c r="H2713" s="3"/>
    </row>
    <row r="2714">
      <c r="A2714" s="2">
        <f>IFERROR(__xludf.DUMMYFUNCTION("""COMPUTED_VALUE"""),23436.0)</f>
        <v>23436</v>
      </c>
      <c r="B2714" s="3" t="str">
        <f>IFERROR(__xludf.DUMMYFUNCTION("""COMPUTED_VALUE"""),"5010 SULLY RD - Unit 1")</f>
        <v>5010 SULLY RD - Unit 1</v>
      </c>
      <c r="C2714" s="3" t="str">
        <f>IFERROR(__xludf.DUMMYFUNCTION("""COMPUTED_VALUE"""),"GORES LANDING")</f>
        <v>GORES LANDING</v>
      </c>
      <c r="D2714" s="3" t="str">
        <f>IFERROR(__xludf.DUMMYFUNCTION("""COMPUTED_VALUE"""),"K0K 2E0")</f>
        <v>K0K 2E0</v>
      </c>
      <c r="E2714" s="3" t="str">
        <f>IFERROR(__xludf.DUMMYFUNCTION("""COMPUTED_VALUE"""),"Libby&amp;Charlene Whiting")</f>
        <v>Libby&amp;Charlene Whiting</v>
      </c>
      <c r="F2714" s="3" t="str">
        <f>IFERROR(__xludf.DUMMYFUNCTION("""COMPUTED_VALUE"""),"libbywhiting@outlook.com")</f>
        <v>libbywhiting@outlook.com</v>
      </c>
      <c r="G2714" s="3"/>
      <c r="H2714" s="3"/>
    </row>
    <row r="2715">
      <c r="A2715" s="2">
        <f>IFERROR(__xludf.DUMMYFUNCTION("""COMPUTED_VALUE"""),23998.0)</f>
        <v>23998</v>
      </c>
      <c r="B2715" s="3" t="str">
        <f>IFERROR(__xludf.DUMMYFUNCTION("""COMPUTED_VALUE"""),"5010 SULLY RD - Unit 2")</f>
        <v>5010 SULLY RD - Unit 2</v>
      </c>
      <c r="C2715" s="3" t="str">
        <f>IFERROR(__xludf.DUMMYFUNCTION("""COMPUTED_VALUE"""),"GORES LANDING")</f>
        <v>GORES LANDING</v>
      </c>
      <c r="D2715" s="3" t="str">
        <f>IFERROR(__xludf.DUMMYFUNCTION("""COMPUTED_VALUE"""),"K0K 2E0")</f>
        <v>K0K 2E0</v>
      </c>
      <c r="E2715" s="3" t="str">
        <f>IFERROR(__xludf.DUMMYFUNCTION("""COMPUTED_VALUE"""),"Libby&amp;Charlene Whiting")</f>
        <v>Libby&amp;Charlene Whiting</v>
      </c>
      <c r="F2715" s="3" t="str">
        <f>IFERROR(__xludf.DUMMYFUNCTION("""COMPUTED_VALUE"""),"libbywhiting@outlook.com")</f>
        <v>libbywhiting@outlook.com</v>
      </c>
      <c r="G2715" s="3"/>
      <c r="H2715" s="3"/>
    </row>
    <row r="2716">
      <c r="A2716" s="2">
        <f>IFERROR(__xludf.DUMMYFUNCTION("""COMPUTED_VALUE"""),23437.0)</f>
        <v>23437</v>
      </c>
      <c r="B2716" s="3" t="str">
        <f>IFERROR(__xludf.DUMMYFUNCTION("""COMPUTED_VALUE"""),"5022 SULLY RD")</f>
        <v>5022 SULLY RD</v>
      </c>
      <c r="C2716" s="3" t="str">
        <f>IFERROR(__xludf.DUMMYFUNCTION("""COMPUTED_VALUE"""),"GORES LANDING")</f>
        <v>GORES LANDING</v>
      </c>
      <c r="D2716" s="3" t="str">
        <f>IFERROR(__xludf.DUMMYFUNCTION("""COMPUTED_VALUE"""),"K0K 2E0")</f>
        <v>K0K 2E0</v>
      </c>
      <c r="E2716" s="3" t="str">
        <f>IFERROR(__xludf.DUMMYFUNCTION("""COMPUTED_VALUE"""),"nelis vanderlinde")</f>
        <v>nelis vanderlinde</v>
      </c>
      <c r="F2716" s="3" t="str">
        <f>IFERROR(__xludf.DUMMYFUNCTION("""COMPUTED_VALUE"""),"nancypnicholson@outlook.com")</f>
        <v>nancypnicholson@outlook.com</v>
      </c>
      <c r="G2716" s="3"/>
      <c r="H2716" s="3"/>
    </row>
    <row r="2717">
      <c r="A2717" s="2">
        <f>IFERROR(__xludf.DUMMYFUNCTION("""COMPUTED_VALUE"""),23438.0)</f>
        <v>23438</v>
      </c>
      <c r="B2717" s="3" t="str">
        <f>IFERROR(__xludf.DUMMYFUNCTION("""COMPUTED_VALUE"""),"5038 SULLY RD")</f>
        <v>5038 SULLY RD</v>
      </c>
      <c r="C2717" s="3" t="str">
        <f>IFERROR(__xludf.DUMMYFUNCTION("""COMPUTED_VALUE"""),"GORES LANDING")</f>
        <v>GORES LANDING</v>
      </c>
      <c r="D2717" s="3" t="str">
        <f>IFERROR(__xludf.DUMMYFUNCTION("""COMPUTED_VALUE"""),"K0K 2E0")</f>
        <v>K0K 2E0</v>
      </c>
      <c r="E2717" s="3" t="str">
        <f>IFERROR(__xludf.DUMMYFUNCTION("""COMPUTED_VALUE"""),"Wayne Deremes")</f>
        <v>Wayne Deremes</v>
      </c>
      <c r="F2717" s="3"/>
      <c r="G2717" s="3"/>
      <c r="H2717" s="3"/>
    </row>
    <row r="2718">
      <c r="A2718" s="2">
        <f>IFERROR(__xludf.DUMMYFUNCTION("""COMPUTED_VALUE"""),23439.0)</f>
        <v>23439</v>
      </c>
      <c r="B2718" s="3" t="str">
        <f>IFERROR(__xludf.DUMMYFUNCTION("""COMPUTED_VALUE"""),"5062 SULLY RD")</f>
        <v>5062 SULLY RD</v>
      </c>
      <c r="C2718" s="3" t="str">
        <f>IFERROR(__xludf.DUMMYFUNCTION("""COMPUTED_VALUE"""),"GORES LANDING")</f>
        <v>GORES LANDING</v>
      </c>
      <c r="D2718" s="3" t="str">
        <f>IFERROR(__xludf.DUMMYFUNCTION("""COMPUTED_VALUE"""),"K0K 2E0")</f>
        <v>K0K 2E0</v>
      </c>
      <c r="E2718" s="3" t="str">
        <f>IFERROR(__xludf.DUMMYFUNCTION("""COMPUTED_VALUE"""),"dave wilson")</f>
        <v>dave wilson</v>
      </c>
      <c r="F2718" s="3" t="str">
        <f>IFERROR(__xludf.DUMMYFUNCTION("""COMPUTED_VALUE"""),"davewilson121@gmail.com")</f>
        <v>davewilson121@gmail.com</v>
      </c>
      <c r="G2718" s="3">
        <f>IFERROR(__xludf.DUMMYFUNCTION("""COMPUTED_VALUE"""),9.054358755E9)</f>
        <v>9054358755</v>
      </c>
      <c r="H2718" s="3"/>
    </row>
    <row r="2719">
      <c r="A2719" s="2">
        <f>IFERROR(__xludf.DUMMYFUNCTION("""COMPUTED_VALUE"""),23440.0)</f>
        <v>23440</v>
      </c>
      <c r="B2719" s="3" t="str">
        <f>IFERROR(__xludf.DUMMYFUNCTION("""COMPUTED_VALUE"""),"5145 SULLY RD")</f>
        <v>5145 SULLY RD</v>
      </c>
      <c r="C2719" s="3" t="str">
        <f>IFERROR(__xludf.DUMMYFUNCTION("""COMPUTED_VALUE"""),"GORES LANDING")</f>
        <v>GORES LANDING</v>
      </c>
      <c r="D2719" s="3" t="str">
        <f>IFERROR(__xludf.DUMMYFUNCTION("""COMPUTED_VALUE"""),"K0K 2E0")</f>
        <v>K0K 2E0</v>
      </c>
      <c r="E2719" s="3" t="str">
        <f>IFERROR(__xludf.DUMMYFUNCTION("""COMPUTED_VALUE"""),"Mary Ann Storey")</f>
        <v>Mary Ann Storey</v>
      </c>
      <c r="F2719" s="3" t="str">
        <f>IFERROR(__xludf.DUMMYFUNCTION("""COMPUTED_VALUE"""),"maryann.storey@kawarthatherapy.com")</f>
        <v>maryann.storey@kawarthatherapy.com</v>
      </c>
      <c r="G2719" s="3">
        <f>IFERROR(__xludf.DUMMYFUNCTION("""COMPUTED_VALUE"""),7.058685865E9)</f>
        <v>7058685865</v>
      </c>
      <c r="H2719" s="3">
        <f>IFERROR(__xludf.DUMMYFUNCTION("""COMPUTED_VALUE"""),9.053422496E9)</f>
        <v>9053422496</v>
      </c>
    </row>
    <row r="2720">
      <c r="A2720" s="2">
        <f>IFERROR(__xludf.DUMMYFUNCTION("""COMPUTED_VALUE"""),23441.0)</f>
        <v>23441</v>
      </c>
      <c r="B2720" s="3" t="str">
        <f>IFERROR(__xludf.DUMMYFUNCTION("""COMPUTED_VALUE"""),"5206 SULLY RD")</f>
        <v>5206 SULLY RD</v>
      </c>
      <c r="C2720" s="3" t="str">
        <f>IFERROR(__xludf.DUMMYFUNCTION("""COMPUTED_VALUE"""),"GORES LANDING")</f>
        <v>GORES LANDING</v>
      </c>
      <c r="D2720" s="3" t="str">
        <f>IFERROR(__xludf.DUMMYFUNCTION("""COMPUTED_VALUE"""),"K0K 2E0")</f>
        <v>K0K 2E0</v>
      </c>
      <c r="E2720" s="3" t="str">
        <f>IFERROR(__xludf.DUMMYFUNCTION("""COMPUTED_VALUE"""),"Jane Robertson")</f>
        <v>Jane Robertson</v>
      </c>
      <c r="F2720" s="3" t="str">
        <f>IFERROR(__xludf.DUMMYFUNCTION("""COMPUTED_VALUE"""),"janethepainter@gmail.com")</f>
        <v>janethepainter@gmail.com</v>
      </c>
      <c r="G2720" s="3"/>
      <c r="H2720" s="3"/>
    </row>
    <row r="2721">
      <c r="A2721" s="2">
        <f>IFERROR(__xludf.DUMMYFUNCTION("""COMPUTED_VALUE"""),23442.0)</f>
        <v>23442</v>
      </c>
      <c r="B2721" s="3" t="str">
        <f>IFERROR(__xludf.DUMMYFUNCTION("""COMPUTED_VALUE"""),"5216 SULLY RD")</f>
        <v>5216 SULLY RD</v>
      </c>
      <c r="C2721" s="3" t="str">
        <f>IFERROR(__xludf.DUMMYFUNCTION("""COMPUTED_VALUE"""),"GORES LANDING")</f>
        <v>GORES LANDING</v>
      </c>
      <c r="D2721" s="3" t="str">
        <f>IFERROR(__xludf.DUMMYFUNCTION("""COMPUTED_VALUE"""),"K0K 2E0")</f>
        <v>K0K 2E0</v>
      </c>
      <c r="E2721" s="3" t="str">
        <f>IFERROR(__xludf.DUMMYFUNCTION("""COMPUTED_VALUE"""),"Barry &amp; Deberah Bird")</f>
        <v>Barry &amp; Deberah Bird</v>
      </c>
      <c r="F2721" s="3" t="str">
        <f>IFERROR(__xludf.DUMMYFUNCTION("""COMPUTED_VALUE"""),"birdbarry89@gmail.com")</f>
        <v>birdbarry89@gmail.com</v>
      </c>
      <c r="G2721" s="3"/>
      <c r="H2721" s="3"/>
    </row>
    <row r="2722">
      <c r="A2722" s="2">
        <f>IFERROR(__xludf.DUMMYFUNCTION("""COMPUTED_VALUE"""),23443.0)</f>
        <v>23443</v>
      </c>
      <c r="B2722" s="3" t="str">
        <f>IFERROR(__xludf.DUMMYFUNCTION("""COMPUTED_VALUE"""),"5275 SULLY RD")</f>
        <v>5275 SULLY RD</v>
      </c>
      <c r="C2722" s="3" t="str">
        <f>IFERROR(__xludf.DUMMYFUNCTION("""COMPUTED_VALUE"""),"GORES LANDING")</f>
        <v>GORES LANDING</v>
      </c>
      <c r="D2722" s="3" t="str">
        <f>IFERROR(__xludf.DUMMYFUNCTION("""COMPUTED_VALUE"""),"K0K 2E0")</f>
        <v>K0K 2E0</v>
      </c>
      <c r="E2722" s="3" t="str">
        <f>IFERROR(__xludf.DUMMYFUNCTION("""COMPUTED_VALUE"""),"Anita de Jong, John Sallaway")</f>
        <v>Anita de Jong, John Sallaway</v>
      </c>
      <c r="F2722" s="3" t="str">
        <f>IFERROR(__xludf.DUMMYFUNCTION("""COMPUTED_VALUE"""),"anitadejong8919@gmail.com")</f>
        <v>anitadejong8919@gmail.com</v>
      </c>
      <c r="G2722" s="3"/>
      <c r="H2722" s="3"/>
    </row>
    <row r="2723">
      <c r="A2723" s="2">
        <f>IFERROR(__xludf.DUMMYFUNCTION("""COMPUTED_VALUE"""),23989.0)</f>
        <v>23989</v>
      </c>
      <c r="B2723" s="3" t="str">
        <f>IFERROR(__xludf.DUMMYFUNCTION("""COMPUTED_VALUE"""),"5316 SULLY RD")</f>
        <v>5316 SULLY RD</v>
      </c>
      <c r="C2723" s="3" t="str">
        <f>IFERROR(__xludf.DUMMYFUNCTION("""COMPUTED_VALUE"""),"GORES LANDING")</f>
        <v>GORES LANDING</v>
      </c>
      <c r="D2723" s="3" t="str">
        <f>IFERROR(__xludf.DUMMYFUNCTION("""COMPUTED_VALUE"""),"K0K 2E0")</f>
        <v>K0K 2E0</v>
      </c>
      <c r="E2723" s="3" t="str">
        <f>IFERROR(__xludf.DUMMYFUNCTION("""COMPUTED_VALUE"""),"justin essert ")</f>
        <v>justin essert </v>
      </c>
      <c r="F2723" s="3"/>
      <c r="G2723" s="3">
        <f>IFERROR(__xludf.DUMMYFUNCTION("""COMPUTED_VALUE"""),9.053767953E9)</f>
        <v>9053767953</v>
      </c>
      <c r="H2723" s="3"/>
    </row>
    <row r="2724">
      <c r="A2724" s="2">
        <f>IFERROR(__xludf.DUMMYFUNCTION("""COMPUTED_VALUE"""),23444.0)</f>
        <v>23444</v>
      </c>
      <c r="B2724" s="3" t="str">
        <f>IFERROR(__xludf.DUMMYFUNCTION("""COMPUTED_VALUE"""),"5357 SULLY RD")</f>
        <v>5357 SULLY RD</v>
      </c>
      <c r="C2724" s="3" t="str">
        <f>IFERROR(__xludf.DUMMYFUNCTION("""COMPUTED_VALUE"""),"GORES LANDING")</f>
        <v>GORES LANDING</v>
      </c>
      <c r="D2724" s="3" t="str">
        <f>IFERROR(__xludf.DUMMYFUNCTION("""COMPUTED_VALUE"""),"K0K 2E0")</f>
        <v>K0K 2E0</v>
      </c>
      <c r="E2724" s="3"/>
      <c r="F2724" s="3"/>
      <c r="G2724" s="3"/>
      <c r="H2724" s="3"/>
    </row>
    <row r="2725">
      <c r="A2725" s="2">
        <f>IFERROR(__xludf.DUMMYFUNCTION("""COMPUTED_VALUE"""),23445.0)</f>
        <v>23445</v>
      </c>
      <c r="B2725" s="3" t="str">
        <f>IFERROR(__xludf.DUMMYFUNCTION("""COMPUTED_VALUE"""),"5363 SULLY RD")</f>
        <v>5363 SULLY RD</v>
      </c>
      <c r="C2725" s="3" t="str">
        <f>IFERROR(__xludf.DUMMYFUNCTION("""COMPUTED_VALUE"""),"GORES LANDING")</f>
        <v>GORES LANDING</v>
      </c>
      <c r="D2725" s="3" t="str">
        <f>IFERROR(__xludf.DUMMYFUNCTION("""COMPUTED_VALUE"""),"K0K 2E0")</f>
        <v>K0K 2E0</v>
      </c>
      <c r="E2725" s="3" t="str">
        <f>IFERROR(__xludf.DUMMYFUNCTION("""COMPUTED_VALUE"""),"Tracy Stitt")</f>
        <v>Tracy Stitt</v>
      </c>
      <c r="F2725" s="3" t="str">
        <f>IFERROR(__xludf.DUMMYFUNCTION("""COMPUTED_VALUE"""),"tracylynstitt@hotmail.com")</f>
        <v>tracylynstitt@hotmail.com</v>
      </c>
      <c r="G2725" s="3">
        <f>IFERROR(__xludf.DUMMYFUNCTION("""COMPUTED_VALUE"""),9.059262092E9)</f>
        <v>9059262092</v>
      </c>
      <c r="H2725" s="3"/>
    </row>
    <row r="2726">
      <c r="A2726" s="2">
        <f>IFERROR(__xludf.DUMMYFUNCTION("""COMPUTED_VALUE"""),23470.0)</f>
        <v>23470</v>
      </c>
      <c r="B2726" s="3" t="str">
        <f>IFERROR(__xludf.DUMMYFUNCTION("""COMPUTED_VALUE"""),"5325 SUTTER CREEK DR")</f>
        <v>5325 SUTTER CREEK DR</v>
      </c>
      <c r="C2726" s="3" t="str">
        <f>IFERROR(__xludf.DUMMYFUNCTION("""COMPUTED_VALUE"""),"GORES LANDING")</f>
        <v>GORES LANDING</v>
      </c>
      <c r="D2726" s="3" t="str">
        <f>IFERROR(__xludf.DUMMYFUNCTION("""COMPUTED_VALUE"""),"K0K 2E0")</f>
        <v>K0K 2E0</v>
      </c>
      <c r="E2726" s="3" t="str">
        <f>IFERROR(__xludf.DUMMYFUNCTION("""COMPUTED_VALUE"""),"brendon&amp;deb gleaves")</f>
        <v>brendon&amp;deb gleaves</v>
      </c>
      <c r="F2726" s="3" t="str">
        <f>IFERROR(__xludf.DUMMYFUNCTION("""COMPUTED_VALUE"""),"bjohn@hotmali.com")</f>
        <v>bjohn@hotmali.com</v>
      </c>
      <c r="G2726" s="3">
        <f>IFERROR(__xludf.DUMMYFUNCTION("""COMPUTED_VALUE"""),9.053916489E9)</f>
        <v>9053916489</v>
      </c>
      <c r="H2726" s="3">
        <f>IFERROR(__xludf.DUMMYFUNCTION("""COMPUTED_VALUE"""),2.893889484E9)</f>
        <v>2893889484</v>
      </c>
    </row>
    <row r="2727">
      <c r="A2727" s="2">
        <f>IFERROR(__xludf.DUMMYFUNCTION("""COMPUTED_VALUE"""),23471.0)</f>
        <v>23471</v>
      </c>
      <c r="B2727" s="3" t="str">
        <f>IFERROR(__xludf.DUMMYFUNCTION("""COMPUTED_VALUE"""),"5347 SUTTER CREEK DR")</f>
        <v>5347 SUTTER CREEK DR</v>
      </c>
      <c r="C2727" s="3" t="str">
        <f>IFERROR(__xludf.DUMMYFUNCTION("""COMPUTED_VALUE"""),"GORES LANDING")</f>
        <v>GORES LANDING</v>
      </c>
      <c r="D2727" s="3" t="str">
        <f>IFERROR(__xludf.DUMMYFUNCTION("""COMPUTED_VALUE"""),"K0K 2E0")</f>
        <v>K0K 2E0</v>
      </c>
      <c r="E2727" s="3" t="str">
        <f>IFERROR(__xludf.DUMMYFUNCTION("""COMPUTED_VALUE"""),"Charles Higney")</f>
        <v>Charles Higney</v>
      </c>
      <c r="F2727" s="3" t="str">
        <f>IFERROR(__xludf.DUMMYFUNCTION("""COMPUTED_VALUE"""),"chazz4529@hotmail.com")</f>
        <v>chazz4529@hotmail.com</v>
      </c>
      <c r="G2727" s="3">
        <f>IFERROR(__xludf.DUMMYFUNCTION("""COMPUTED_VALUE"""),9.059227622E9)</f>
        <v>9059227622</v>
      </c>
      <c r="H2727" s="3"/>
    </row>
    <row r="2728">
      <c r="A2728" s="2">
        <f>IFERROR(__xludf.DUMMYFUNCTION("""COMPUTED_VALUE"""),23472.0)</f>
        <v>23472</v>
      </c>
      <c r="B2728" s="3" t="str">
        <f>IFERROR(__xludf.DUMMYFUNCTION("""COMPUTED_VALUE"""),"5359 SUTTER CREEK DR")</f>
        <v>5359 SUTTER CREEK DR</v>
      </c>
      <c r="C2728" s="3" t="str">
        <f>IFERROR(__xludf.DUMMYFUNCTION("""COMPUTED_VALUE"""),"GORES LANDING")</f>
        <v>GORES LANDING</v>
      </c>
      <c r="D2728" s="3" t="str">
        <f>IFERROR(__xludf.DUMMYFUNCTION("""COMPUTED_VALUE"""),"K0K 2E0")</f>
        <v>K0K 2E0</v>
      </c>
      <c r="E2728" s="3" t="str">
        <f>IFERROR(__xludf.DUMMYFUNCTION("""COMPUTED_VALUE"""),"Wirth Gotteried")</f>
        <v>Wirth Gotteried</v>
      </c>
      <c r="F2728" s="3" t="str">
        <f>IFERROR(__xludf.DUMMYFUNCTION("""COMPUTED_VALUE"""),"goffwirth@gmail.com")</f>
        <v>goffwirth@gmail.com</v>
      </c>
      <c r="G2728" s="3"/>
      <c r="H2728" s="3"/>
    </row>
    <row r="2729">
      <c r="A2729" s="2">
        <f>IFERROR(__xludf.DUMMYFUNCTION("""COMPUTED_VALUE"""),23473.0)</f>
        <v>23473</v>
      </c>
      <c r="B2729" s="3" t="str">
        <f>IFERROR(__xludf.DUMMYFUNCTION("""COMPUTED_VALUE"""),"5369 SUTTER CREEK DR")</f>
        <v>5369 SUTTER CREEK DR</v>
      </c>
      <c r="C2729" s="3" t="str">
        <f>IFERROR(__xludf.DUMMYFUNCTION("""COMPUTED_VALUE"""),"GORES LANDING")</f>
        <v>GORES LANDING</v>
      </c>
      <c r="D2729" s="3" t="str">
        <f>IFERROR(__xludf.DUMMYFUNCTION("""COMPUTED_VALUE"""),"K0K 2E0")</f>
        <v>K0K 2E0</v>
      </c>
      <c r="E2729" s="3" t="str">
        <f>IFERROR(__xludf.DUMMYFUNCTION("""COMPUTED_VALUE"""),"Peter Puglia")</f>
        <v>Peter Puglia</v>
      </c>
      <c r="F2729" s="3" t="str">
        <f>IFERROR(__xludf.DUMMYFUNCTION("""COMPUTED_VALUE"""),"pmpuglia@gmail.com")</f>
        <v>pmpuglia@gmail.com</v>
      </c>
      <c r="G2729" s="3">
        <f>IFERROR(__xludf.DUMMYFUNCTION("""COMPUTED_VALUE"""),3.066306378E9)</f>
        <v>3066306378</v>
      </c>
      <c r="H2729" s="3"/>
    </row>
    <row r="2730">
      <c r="A2730" s="2">
        <f>IFERROR(__xludf.DUMMYFUNCTION("""COMPUTED_VALUE"""),23474.0)</f>
        <v>23474</v>
      </c>
      <c r="B2730" s="3" t="str">
        <f>IFERROR(__xludf.DUMMYFUNCTION("""COMPUTED_VALUE"""),"5370 SUTTER CREEK DR")</f>
        <v>5370 SUTTER CREEK DR</v>
      </c>
      <c r="C2730" s="3" t="str">
        <f>IFERROR(__xludf.DUMMYFUNCTION("""COMPUTED_VALUE"""),"GORES LANDING")</f>
        <v>GORES LANDING</v>
      </c>
      <c r="D2730" s="3" t="str">
        <f>IFERROR(__xludf.DUMMYFUNCTION("""COMPUTED_VALUE"""),"K0K 2E0")</f>
        <v>K0K 2E0</v>
      </c>
      <c r="E2730" s="3" t="str">
        <f>IFERROR(__xludf.DUMMYFUNCTION("""COMPUTED_VALUE"""),"Rob Harvey")</f>
        <v>Rob Harvey</v>
      </c>
      <c r="F2730" s="3" t="str">
        <f>IFERROR(__xludf.DUMMYFUNCTION("""COMPUTED_VALUE"""),"robharvey@sympatico.ca")</f>
        <v>robharvey@sympatico.ca</v>
      </c>
      <c r="G2730" s="3"/>
      <c r="H2730" s="3"/>
    </row>
    <row r="2731">
      <c r="A2731" s="2">
        <f>IFERROR(__xludf.DUMMYFUNCTION("""COMPUTED_VALUE"""),23475.0)</f>
        <v>23475</v>
      </c>
      <c r="B2731" s="3" t="str">
        <f>IFERROR(__xludf.DUMMYFUNCTION("""COMPUTED_VALUE"""),"5377 SUTTER CREEK DR")</f>
        <v>5377 SUTTER CREEK DR</v>
      </c>
      <c r="C2731" s="3" t="str">
        <f>IFERROR(__xludf.DUMMYFUNCTION("""COMPUTED_VALUE"""),"GORES LANDING")</f>
        <v>GORES LANDING</v>
      </c>
      <c r="D2731" s="3" t="str">
        <f>IFERROR(__xludf.DUMMYFUNCTION("""COMPUTED_VALUE"""),"K0K 2E0")</f>
        <v>K0K 2E0</v>
      </c>
      <c r="E2731" s="3" t="str">
        <f>IFERROR(__xludf.DUMMYFUNCTION("""COMPUTED_VALUE"""),"Vince De Ciccio")</f>
        <v>Vince De Ciccio</v>
      </c>
      <c r="F2731" s="3" t="str">
        <f>IFERROR(__xludf.DUMMYFUNCTION("""COMPUTED_VALUE"""),"recniv123@yahoo.ca")</f>
        <v>recniv123@yahoo.ca</v>
      </c>
      <c r="G2731" s="3">
        <f>IFERROR(__xludf.DUMMYFUNCTION("""COMPUTED_VALUE"""),9.058098885E9)</f>
        <v>9058098885</v>
      </c>
      <c r="H2731" s="3"/>
    </row>
    <row r="2732">
      <c r="A2732" s="2">
        <f>IFERROR(__xludf.DUMMYFUNCTION("""COMPUTED_VALUE"""),23228.0)</f>
        <v>23228</v>
      </c>
      <c r="B2732" s="3" t="str">
        <f>IFERROR(__xludf.DUMMYFUNCTION("""COMPUTED_VALUE"""),"117 ROLPH RD")</f>
        <v>117 ROLPH RD</v>
      </c>
      <c r="C2732" s="3" t="str">
        <f>IFERROR(__xludf.DUMMYFUNCTION("""COMPUTED_VALUE"""),"BALTIMORE")</f>
        <v>BALTIMORE</v>
      </c>
      <c r="D2732" s="3" t="str">
        <f>IFERROR(__xludf.DUMMYFUNCTION("""COMPUTED_VALUE"""),"K0K 1C0")</f>
        <v>K0K 1C0</v>
      </c>
      <c r="E2732" s="3" t="str">
        <f>IFERROR(__xludf.DUMMYFUNCTION("""COMPUTED_VALUE"""),"jeff burleigh")</f>
        <v>jeff burleigh</v>
      </c>
      <c r="F2732" s="3" t="str">
        <f>IFERROR(__xludf.DUMMYFUNCTION("""COMPUTED_VALUE"""),"jeff.burleigh@gmail.com")</f>
        <v>jeff.burleigh@gmail.com</v>
      </c>
      <c r="G2732" s="3">
        <f>IFERROR(__xludf.DUMMYFUNCTION("""COMPUTED_VALUE"""),9.054243498E9)</f>
        <v>9054243498</v>
      </c>
      <c r="H2732" s="3"/>
    </row>
    <row r="2733">
      <c r="A2733" s="2">
        <f>IFERROR(__xludf.DUMMYFUNCTION("""COMPUTED_VALUE"""),23477.0)</f>
        <v>23477</v>
      </c>
      <c r="B2733" s="3" t="str">
        <f>IFERROR(__xludf.DUMMYFUNCTION("""COMPUTED_VALUE"""),"5400 SUTTER CREEK DR")</f>
        <v>5400 SUTTER CREEK DR</v>
      </c>
      <c r="C2733" s="3" t="str">
        <f>IFERROR(__xludf.DUMMYFUNCTION("""COMPUTED_VALUE"""),"GORES LANDING")</f>
        <v>GORES LANDING</v>
      </c>
      <c r="D2733" s="3" t="str">
        <f>IFERROR(__xludf.DUMMYFUNCTION("""COMPUTED_VALUE"""),"K0K 2E0")</f>
        <v>K0K 2E0</v>
      </c>
      <c r="E2733" s="3" t="str">
        <f>IFERROR(__xludf.DUMMYFUNCTION("""COMPUTED_VALUE"""),"Bodo Uiga")</f>
        <v>Bodo Uiga</v>
      </c>
      <c r="F2733" s="3" t="str">
        <f>IFERROR(__xludf.DUMMYFUNCTION("""COMPUTED_VALUE"""),"lizzyg74@gmail.com")</f>
        <v>lizzyg74@gmail.com</v>
      </c>
      <c r="G2733" s="3">
        <f>IFERROR(__xludf.DUMMYFUNCTION("""COMPUTED_VALUE"""),4.169109815E9)</f>
        <v>4169109815</v>
      </c>
      <c r="H2733" s="3">
        <f>IFERROR(__xludf.DUMMYFUNCTION("""COMPUTED_VALUE"""),4.168037575E9)</f>
        <v>4168037575</v>
      </c>
    </row>
    <row r="2734">
      <c r="A2734" s="2">
        <f>IFERROR(__xludf.DUMMYFUNCTION("""COMPUTED_VALUE"""),23478.0)</f>
        <v>23478</v>
      </c>
      <c r="B2734" s="3" t="str">
        <f>IFERROR(__xludf.DUMMYFUNCTION("""COMPUTED_VALUE"""),"5429 SUTTER CREEK DR")</f>
        <v>5429 SUTTER CREEK DR</v>
      </c>
      <c r="C2734" s="3" t="str">
        <f>IFERROR(__xludf.DUMMYFUNCTION("""COMPUTED_VALUE"""),"GORES LANDING")</f>
        <v>GORES LANDING</v>
      </c>
      <c r="D2734" s="3" t="str">
        <f>IFERROR(__xludf.DUMMYFUNCTION("""COMPUTED_VALUE"""),"K0K 2E0")</f>
        <v>K0K 2E0</v>
      </c>
      <c r="E2734" s="3" t="str">
        <f>IFERROR(__xludf.DUMMYFUNCTION("""COMPUTED_VALUE"""),"eric litz ")</f>
        <v>eric litz </v>
      </c>
      <c r="F2734" s="3" t="str">
        <f>IFERROR(__xludf.DUMMYFUNCTION("""COMPUTED_VALUE"""),"els.litz@icloud.com")</f>
        <v>els.litz@icloud.com</v>
      </c>
      <c r="G2734" s="3">
        <f>IFERROR(__xludf.DUMMYFUNCTION("""COMPUTED_VALUE"""),9.053425666E9)</f>
        <v>9053425666</v>
      </c>
      <c r="H2734" s="3">
        <f>IFERROR(__xludf.DUMMYFUNCTION("""COMPUTED_VALUE"""),9.053755686E9)</f>
        <v>9053755686</v>
      </c>
    </row>
    <row r="2735">
      <c r="A2735" s="2">
        <f>IFERROR(__xludf.DUMMYFUNCTION("""COMPUTED_VALUE"""),23479.0)</f>
        <v>23479</v>
      </c>
      <c r="B2735" s="3" t="str">
        <f>IFERROR(__xludf.DUMMYFUNCTION("""COMPUTED_VALUE"""),"5498 SUTTER CREEK DR")</f>
        <v>5498 SUTTER CREEK DR</v>
      </c>
      <c r="C2735" s="3" t="str">
        <f>IFERROR(__xludf.DUMMYFUNCTION("""COMPUTED_VALUE"""),"GORES LANDING")</f>
        <v>GORES LANDING</v>
      </c>
      <c r="D2735" s="3" t="str">
        <f>IFERROR(__xludf.DUMMYFUNCTION("""COMPUTED_VALUE"""),"K0K 2E0")</f>
        <v>K0K 2E0</v>
      </c>
      <c r="E2735" s="3"/>
      <c r="F2735" s="3"/>
      <c r="G2735" s="3"/>
      <c r="H2735" s="3"/>
    </row>
    <row r="2736">
      <c r="A2736" s="2">
        <f>IFERROR(__xludf.DUMMYFUNCTION("""COMPUTED_VALUE"""),23592.0)</f>
        <v>23592</v>
      </c>
      <c r="B2736" s="3" t="str">
        <f>IFERROR(__xludf.DUMMYFUNCTION("""COMPUTED_VALUE"""),"2535 THEATRE RD S")</f>
        <v>2535 THEATRE RD S</v>
      </c>
      <c r="C2736" s="3" t="str">
        <f>IFERROR(__xludf.DUMMYFUNCTION("""COMPUTED_VALUE"""),"COBOURG")</f>
        <v>COBOURG</v>
      </c>
      <c r="D2736" s="3" t="str">
        <f>IFERROR(__xludf.DUMMYFUNCTION("""COMPUTED_VALUE"""),"K9A 0R3")</f>
        <v>K9A 0R3</v>
      </c>
      <c r="E2736" s="3"/>
      <c r="F2736" s="3"/>
      <c r="G2736" s="3"/>
      <c r="H2736" s="3"/>
    </row>
    <row r="2737">
      <c r="A2737" s="2">
        <f>IFERROR(__xludf.DUMMYFUNCTION("""COMPUTED_VALUE"""),23593.0)</f>
        <v>23593</v>
      </c>
      <c r="B2737" s="3" t="str">
        <f>IFERROR(__xludf.DUMMYFUNCTION("""COMPUTED_VALUE"""),"2614 THEATRE RD S")</f>
        <v>2614 THEATRE RD S</v>
      </c>
      <c r="C2737" s="3" t="str">
        <f>IFERROR(__xludf.DUMMYFUNCTION("""COMPUTED_VALUE"""),"COBOURG")</f>
        <v>COBOURG</v>
      </c>
      <c r="D2737" s="3" t="str">
        <f>IFERROR(__xludf.DUMMYFUNCTION("""COMPUTED_VALUE"""),"K9A 0R4")</f>
        <v>K9A 0R4</v>
      </c>
      <c r="E2737" s="3" t="str">
        <f>IFERROR(__xludf.DUMMYFUNCTION("""COMPUTED_VALUE"""),"Mike Labanovich")</f>
        <v>Mike Labanovich</v>
      </c>
      <c r="F2737" s="3" t="str">
        <f>IFERROR(__xludf.DUMMYFUNCTION("""COMPUTED_VALUE"""),"mlabanovich@gmail.com")</f>
        <v>mlabanovich@gmail.com</v>
      </c>
      <c r="G2737" s="3"/>
      <c r="H2737" s="3"/>
    </row>
    <row r="2738">
      <c r="A2738" s="2">
        <f>IFERROR(__xludf.DUMMYFUNCTION("""COMPUTED_VALUE"""),23594.0)</f>
        <v>23594</v>
      </c>
      <c r="B2738" s="3" t="str">
        <f>IFERROR(__xludf.DUMMYFUNCTION("""COMPUTED_VALUE"""),"2624 THEATRE RD S")</f>
        <v>2624 THEATRE RD S</v>
      </c>
      <c r="C2738" s="3" t="str">
        <f>IFERROR(__xludf.DUMMYFUNCTION("""COMPUTED_VALUE"""),"COBOURG")</f>
        <v>COBOURG</v>
      </c>
      <c r="D2738" s="3" t="str">
        <f>IFERROR(__xludf.DUMMYFUNCTION("""COMPUTED_VALUE"""),"K9A 0R4")</f>
        <v>K9A 0R4</v>
      </c>
      <c r="E2738" s="3" t="str">
        <f>IFERROR(__xludf.DUMMYFUNCTION("""COMPUTED_VALUE"""),"Lorie Dael/Bob Calver")</f>
        <v>Lorie Dael/Bob Calver</v>
      </c>
      <c r="F2738" s="3" t="str">
        <f>IFERROR(__xludf.DUMMYFUNCTION("""COMPUTED_VALUE"""),"lorie.dael17@gmail.com")</f>
        <v>lorie.dael17@gmail.com</v>
      </c>
      <c r="G2738" s="3"/>
      <c r="H2738" s="3"/>
    </row>
    <row r="2739">
      <c r="A2739" s="2">
        <f>IFERROR(__xludf.DUMMYFUNCTION("""COMPUTED_VALUE"""),23595.0)</f>
        <v>23595</v>
      </c>
      <c r="B2739" s="3" t="str">
        <f>IFERROR(__xludf.DUMMYFUNCTION("""COMPUTED_VALUE"""),"2636 THEATRE RD S")</f>
        <v>2636 THEATRE RD S</v>
      </c>
      <c r="C2739" s="3" t="str">
        <f>IFERROR(__xludf.DUMMYFUNCTION("""COMPUTED_VALUE"""),"COBOURG")</f>
        <v>COBOURG</v>
      </c>
      <c r="D2739" s="3" t="str">
        <f>IFERROR(__xludf.DUMMYFUNCTION("""COMPUTED_VALUE"""),"K9A 0R4")</f>
        <v>K9A 0R4</v>
      </c>
      <c r="E2739" s="3" t="str">
        <f>IFERROR(__xludf.DUMMYFUNCTION("""COMPUTED_VALUE"""),"Nanette Sudan")</f>
        <v>Nanette Sudan</v>
      </c>
      <c r="F2739" s="3" t="str">
        <f>IFERROR(__xludf.DUMMYFUNCTION("""COMPUTED_VALUE"""),"nanettekbd@gmail.com")</f>
        <v>nanettekbd@gmail.com</v>
      </c>
      <c r="G2739" s="3">
        <f>IFERROR(__xludf.DUMMYFUNCTION("""COMPUTED_VALUE"""),9.059992359E9)</f>
        <v>9059992359</v>
      </c>
      <c r="H2739" s="3"/>
    </row>
    <row r="2740">
      <c r="A2740" s="2">
        <f>IFERROR(__xludf.DUMMYFUNCTION("""COMPUTED_VALUE"""),23596.0)</f>
        <v>23596</v>
      </c>
      <c r="B2740" s="3" t="str">
        <f>IFERROR(__xludf.DUMMYFUNCTION("""COMPUTED_VALUE"""),"2644 THEATRE RD S")</f>
        <v>2644 THEATRE RD S</v>
      </c>
      <c r="C2740" s="3" t="str">
        <f>IFERROR(__xludf.DUMMYFUNCTION("""COMPUTED_VALUE"""),"COBOURG")</f>
        <v>COBOURG</v>
      </c>
      <c r="D2740" s="3" t="str">
        <f>IFERROR(__xludf.DUMMYFUNCTION("""COMPUTED_VALUE"""),"K9A 0R4")</f>
        <v>K9A 0R4</v>
      </c>
      <c r="E2740" s="3" t="str">
        <f>IFERROR(__xludf.DUMMYFUNCTION("""COMPUTED_VALUE"""),"diana flynn")</f>
        <v>diana flynn</v>
      </c>
      <c r="F2740" s="3" t="str">
        <f>IFERROR(__xludf.DUMMYFUNCTION("""COMPUTED_VALUE"""),"joburg1@gmail.com")</f>
        <v>joburg1@gmail.com</v>
      </c>
      <c r="G2740" s="3">
        <f>IFERROR(__xludf.DUMMYFUNCTION("""COMPUTED_VALUE"""),9.05396542E9)</f>
        <v>9053965420</v>
      </c>
      <c r="H2740" s="3">
        <f>IFERROR(__xludf.DUMMYFUNCTION("""COMPUTED_VALUE"""),4.169236783E9)</f>
        <v>4169236783</v>
      </c>
    </row>
    <row r="2741">
      <c r="A2741" s="2">
        <f>IFERROR(__xludf.DUMMYFUNCTION("""COMPUTED_VALUE"""),23597.0)</f>
        <v>23597</v>
      </c>
      <c r="B2741" s="3" t="str">
        <f>IFERROR(__xludf.DUMMYFUNCTION("""COMPUTED_VALUE"""),"2656 THEATRE RD S")</f>
        <v>2656 THEATRE RD S</v>
      </c>
      <c r="C2741" s="3" t="str">
        <f>IFERROR(__xludf.DUMMYFUNCTION("""COMPUTED_VALUE"""),"COBOURG")</f>
        <v>COBOURG</v>
      </c>
      <c r="D2741" s="3" t="str">
        <f>IFERROR(__xludf.DUMMYFUNCTION("""COMPUTED_VALUE"""),"K9A 0R4")</f>
        <v>K9A 0R4</v>
      </c>
      <c r="E2741" s="3" t="str">
        <f>IFERROR(__xludf.DUMMYFUNCTION("""COMPUTED_VALUE"""),"Steve Wilkin")</f>
        <v>Steve Wilkin</v>
      </c>
      <c r="F2741" s="3" t="str">
        <f>IFERROR(__xludf.DUMMYFUNCTION("""COMPUTED_VALUE"""),"thewilkins27@gmail.com")</f>
        <v>thewilkins27@gmail.com</v>
      </c>
      <c r="G2741" s="3">
        <f>IFERROR(__xludf.DUMMYFUNCTION("""COMPUTED_VALUE"""),6.474664561E9)</f>
        <v>6474664561</v>
      </c>
      <c r="H2741" s="3"/>
    </row>
    <row r="2742">
      <c r="A2742" s="2">
        <f>IFERROR(__xludf.DUMMYFUNCTION("""COMPUTED_VALUE"""),23598.0)</f>
        <v>23598</v>
      </c>
      <c r="B2742" s="3" t="str">
        <f>IFERROR(__xludf.DUMMYFUNCTION("""COMPUTED_VALUE"""),"2664 THEATRE RD S")</f>
        <v>2664 THEATRE RD S</v>
      </c>
      <c r="C2742" s="3" t="str">
        <f>IFERROR(__xludf.DUMMYFUNCTION("""COMPUTED_VALUE"""),"COBOURG")</f>
        <v>COBOURG</v>
      </c>
      <c r="D2742" s="3" t="str">
        <f>IFERROR(__xludf.DUMMYFUNCTION("""COMPUTED_VALUE"""),"K9A 0R4")</f>
        <v>K9A 0R4</v>
      </c>
      <c r="E2742" s="3" t="str">
        <f>IFERROR(__xludf.DUMMYFUNCTION("""COMPUTED_VALUE"""),"Michael Bradford")</f>
        <v>Michael Bradford</v>
      </c>
      <c r="F2742" s="3" t="str">
        <f>IFERROR(__xludf.DUMMYFUNCTION("""COMPUTED_VALUE"""),"mbradford@dmcpower.com")</f>
        <v>mbradford@dmcpower.com</v>
      </c>
      <c r="G2742" s="3"/>
      <c r="H2742" s="3"/>
    </row>
    <row r="2743">
      <c r="A2743" s="2">
        <f>IFERROR(__xludf.DUMMYFUNCTION("""COMPUTED_VALUE"""),23599.0)</f>
        <v>23599</v>
      </c>
      <c r="B2743" s="3" t="str">
        <f>IFERROR(__xludf.DUMMYFUNCTION("""COMPUTED_VALUE"""),"2674 THEATRE RD S")</f>
        <v>2674 THEATRE RD S</v>
      </c>
      <c r="C2743" s="3" t="str">
        <f>IFERROR(__xludf.DUMMYFUNCTION("""COMPUTED_VALUE"""),"COBOURG")</f>
        <v>COBOURG</v>
      </c>
      <c r="D2743" s="3" t="str">
        <f>IFERROR(__xludf.DUMMYFUNCTION("""COMPUTED_VALUE"""),"K9A 0R4")</f>
        <v>K9A 0R4</v>
      </c>
      <c r="E2743" s="3" t="str">
        <f>IFERROR(__xludf.DUMMYFUNCTION("""COMPUTED_VALUE"""),"Ron Stibbe")</f>
        <v>Ron Stibbe</v>
      </c>
      <c r="F2743" s="3" t="str">
        <f>IFERROR(__xludf.DUMMYFUNCTION("""COMPUTED_VALUE"""),"ronsitbbe@gmail.com")</f>
        <v>ronsitbbe@gmail.com</v>
      </c>
      <c r="G2743" s="3"/>
      <c r="H2743" s="3"/>
    </row>
    <row r="2744">
      <c r="A2744" s="2">
        <f>IFERROR(__xludf.DUMMYFUNCTION("""COMPUTED_VALUE"""),23600.0)</f>
        <v>23600</v>
      </c>
      <c r="B2744" s="3" t="str">
        <f>IFERROR(__xludf.DUMMYFUNCTION("""COMPUTED_VALUE"""),"2684 THEATRE RD S")</f>
        <v>2684 THEATRE RD S</v>
      </c>
      <c r="C2744" s="3" t="str">
        <f>IFERROR(__xludf.DUMMYFUNCTION("""COMPUTED_VALUE"""),"COBOURG")</f>
        <v>COBOURG</v>
      </c>
      <c r="D2744" s="3" t="str">
        <f>IFERROR(__xludf.DUMMYFUNCTION("""COMPUTED_VALUE"""),"K9A 0R4")</f>
        <v>K9A 0R4</v>
      </c>
      <c r="E2744" s="3" t="str">
        <f>IFERROR(__xludf.DUMMYFUNCTION("""COMPUTED_VALUE"""),"Peter Hugh Wangen")</f>
        <v>Peter Hugh Wangen</v>
      </c>
      <c r="F2744" s="3" t="str">
        <f>IFERROR(__xludf.DUMMYFUNCTION("""COMPUTED_VALUE"""),"thirdtees@gmail.com")</f>
        <v>thirdtees@gmail.com</v>
      </c>
      <c r="G2744" s="3"/>
      <c r="H2744" s="3"/>
    </row>
    <row r="2745">
      <c r="A2745" s="2">
        <f>IFERROR(__xludf.DUMMYFUNCTION("""COMPUTED_VALUE"""),23601.0)</f>
        <v>23601</v>
      </c>
      <c r="B2745" s="3" t="str">
        <f>IFERROR(__xludf.DUMMYFUNCTION("""COMPUTED_VALUE"""),"2694 THEATRE RD S")</f>
        <v>2694 THEATRE RD S</v>
      </c>
      <c r="C2745" s="3" t="str">
        <f>IFERROR(__xludf.DUMMYFUNCTION("""COMPUTED_VALUE"""),"COBOURG")</f>
        <v>COBOURG</v>
      </c>
      <c r="D2745" s="3" t="str">
        <f>IFERROR(__xludf.DUMMYFUNCTION("""COMPUTED_VALUE"""),"K9A 0R4")</f>
        <v>K9A 0R4</v>
      </c>
      <c r="E2745" s="3" t="str">
        <f>IFERROR(__xludf.DUMMYFUNCTION("""COMPUTED_VALUE"""),"Deanna Thickson")</f>
        <v>Deanna Thickson</v>
      </c>
      <c r="F2745" s="3" t="str">
        <f>IFERROR(__xludf.DUMMYFUNCTION("""COMPUTED_VALUE"""),"deannathickson@hotmail.com")</f>
        <v>deannathickson@hotmail.com</v>
      </c>
      <c r="G2745" s="3"/>
      <c r="H2745" s="3"/>
    </row>
    <row r="2746">
      <c r="A2746" s="2">
        <f>IFERROR(__xludf.DUMMYFUNCTION("""COMPUTED_VALUE"""),23602.0)</f>
        <v>23602</v>
      </c>
      <c r="B2746" s="3" t="str">
        <f>IFERROR(__xludf.DUMMYFUNCTION("""COMPUTED_VALUE"""),"2704 THEATRE RD S")</f>
        <v>2704 THEATRE RD S</v>
      </c>
      <c r="C2746" s="3" t="str">
        <f>IFERROR(__xludf.DUMMYFUNCTION("""COMPUTED_VALUE"""),"COBOURG")</f>
        <v>COBOURG</v>
      </c>
      <c r="D2746" s="3" t="str">
        <f>IFERROR(__xludf.DUMMYFUNCTION("""COMPUTED_VALUE"""),"K9A 0R4")</f>
        <v>K9A 0R4</v>
      </c>
      <c r="E2746" s="3" t="str">
        <f>IFERROR(__xludf.DUMMYFUNCTION("""COMPUTED_VALUE"""),"ron herriot")</f>
        <v>ron herriot</v>
      </c>
      <c r="F2746" s="3" t="str">
        <f>IFERROR(__xludf.DUMMYFUNCTION("""COMPUTED_VALUE"""),"rherriot@hotmail.com")</f>
        <v>rherriot@hotmail.com</v>
      </c>
      <c r="G2746" s="3">
        <f>IFERROR(__xludf.DUMMYFUNCTION("""COMPUTED_VALUE"""),9.053761448E9)</f>
        <v>9053761448</v>
      </c>
      <c r="H2746" s="3">
        <f>IFERROR(__xludf.DUMMYFUNCTION("""COMPUTED_VALUE"""),9.053767322E9)</f>
        <v>9053767322</v>
      </c>
    </row>
    <row r="2747">
      <c r="A2747" s="2">
        <f>IFERROR(__xludf.DUMMYFUNCTION("""COMPUTED_VALUE"""),23603.0)</f>
        <v>23603</v>
      </c>
      <c r="B2747" s="3" t="str">
        <f>IFERROR(__xludf.DUMMYFUNCTION("""COMPUTED_VALUE"""),"2716 THEATRE RD S")</f>
        <v>2716 THEATRE RD S</v>
      </c>
      <c r="C2747" s="3" t="str">
        <f>IFERROR(__xludf.DUMMYFUNCTION("""COMPUTED_VALUE"""),"COBOURG")</f>
        <v>COBOURG</v>
      </c>
      <c r="D2747" s="3" t="str">
        <f>IFERROR(__xludf.DUMMYFUNCTION("""COMPUTED_VALUE"""),"K9A 0R4")</f>
        <v>K9A 0R4</v>
      </c>
      <c r="E2747" s="3" t="str">
        <f>IFERROR(__xludf.DUMMYFUNCTION("""COMPUTED_VALUE"""),"julian morgan")</f>
        <v>julian morgan</v>
      </c>
      <c r="F2747" s="3" t="str">
        <f>IFERROR(__xludf.DUMMYFUNCTION("""COMPUTED_VALUE"""),"livatian@gmail.com")</f>
        <v>livatian@gmail.com</v>
      </c>
      <c r="G2747" s="3">
        <f>IFERROR(__xludf.DUMMYFUNCTION("""COMPUTED_VALUE"""),2.897711418E9)</f>
        <v>2897711418</v>
      </c>
      <c r="H2747" s="3"/>
    </row>
    <row r="2748">
      <c r="A2748" s="2">
        <f>IFERROR(__xludf.DUMMYFUNCTION("""COMPUTED_VALUE"""),23604.0)</f>
        <v>23604</v>
      </c>
      <c r="B2748" s="3" t="str">
        <f>IFERROR(__xludf.DUMMYFUNCTION("""COMPUTED_VALUE"""),"2764 THEATRE RD S")</f>
        <v>2764 THEATRE RD S</v>
      </c>
      <c r="C2748" s="3" t="str">
        <f>IFERROR(__xludf.DUMMYFUNCTION("""COMPUTED_VALUE"""),"COBOURG")</f>
        <v>COBOURG</v>
      </c>
      <c r="D2748" s="3" t="str">
        <f>IFERROR(__xludf.DUMMYFUNCTION("""COMPUTED_VALUE"""),"K9A 0R4")</f>
        <v>K9A 0R4</v>
      </c>
      <c r="E2748" s="3" t="str">
        <f>IFERROR(__xludf.DUMMYFUNCTION("""COMPUTED_VALUE"""),"Ben Allen")</f>
        <v>Ben Allen</v>
      </c>
      <c r="F2748" s="3" t="str">
        <f>IFERROR(__xludf.DUMMYFUNCTION("""COMPUTED_VALUE"""),"grizzlybite@gmail.com")</f>
        <v>grizzlybite@gmail.com</v>
      </c>
      <c r="G2748" s="3"/>
      <c r="H2748" s="3"/>
    </row>
    <row r="2749">
      <c r="A2749" s="2">
        <f>IFERROR(__xludf.DUMMYFUNCTION("""COMPUTED_VALUE"""),23605.0)</f>
        <v>23605</v>
      </c>
      <c r="B2749" s="3" t="str">
        <f>IFERROR(__xludf.DUMMYFUNCTION("""COMPUTED_VALUE"""),"2769 THEATRE RD S")</f>
        <v>2769 THEATRE RD S</v>
      </c>
      <c r="C2749" s="3" t="str">
        <f>IFERROR(__xludf.DUMMYFUNCTION("""COMPUTED_VALUE"""),"COBOURG")</f>
        <v>COBOURG</v>
      </c>
      <c r="D2749" s="3" t="str">
        <f>IFERROR(__xludf.DUMMYFUNCTION("""COMPUTED_VALUE"""),"K9A 0R3")</f>
        <v>K9A 0R3</v>
      </c>
      <c r="E2749" s="3" t="str">
        <f>IFERROR(__xludf.DUMMYFUNCTION("""COMPUTED_VALUE"""),"John Webb")</f>
        <v>John Webb</v>
      </c>
      <c r="F2749" s="3" t="str">
        <f>IFERROR(__xludf.DUMMYFUNCTION("""COMPUTED_VALUE"""),"Webbclan1@yahoo.ca")</f>
        <v>Webbclan1@yahoo.ca</v>
      </c>
      <c r="G2749" s="3">
        <f>IFERROR(__xludf.DUMMYFUNCTION("""COMPUTED_VALUE"""),9.053762493E9)</f>
        <v>9053762493</v>
      </c>
      <c r="H2749" s="3"/>
    </row>
    <row r="2750">
      <c r="A2750" s="2">
        <f>IFERROR(__xludf.DUMMYFUNCTION("""COMPUTED_VALUE"""),23606.0)</f>
        <v>23606</v>
      </c>
      <c r="B2750" s="3" t="str">
        <f>IFERROR(__xludf.DUMMYFUNCTION("""COMPUTED_VALUE"""),"2777 THEATRE RD S")</f>
        <v>2777 THEATRE RD S</v>
      </c>
      <c r="C2750" s="3" t="str">
        <f>IFERROR(__xludf.DUMMYFUNCTION("""COMPUTED_VALUE"""),"COBOURG")</f>
        <v>COBOURG</v>
      </c>
      <c r="D2750" s="3" t="str">
        <f>IFERROR(__xludf.DUMMYFUNCTION("""COMPUTED_VALUE"""),"K9A 0R3")</f>
        <v>K9A 0R3</v>
      </c>
      <c r="E2750" s="3" t="str">
        <f>IFERROR(__xludf.DUMMYFUNCTION("""COMPUTED_VALUE"""),"Terry Watts")</f>
        <v>Terry Watts</v>
      </c>
      <c r="F2750" s="3" t="str">
        <f>IFERROR(__xludf.DUMMYFUNCTION("""COMPUTED_VALUE"""),"twhector19@gmail.com")</f>
        <v>twhector19@gmail.com</v>
      </c>
      <c r="G2750" s="3"/>
      <c r="H2750" s="3"/>
    </row>
    <row r="2751">
      <c r="A2751" s="2">
        <f>IFERROR(__xludf.DUMMYFUNCTION("""COMPUTED_VALUE"""),23607.0)</f>
        <v>23607</v>
      </c>
      <c r="B2751" s="3" t="str">
        <f>IFERROR(__xludf.DUMMYFUNCTION("""COMPUTED_VALUE"""),"2792 THEATRE RD S")</f>
        <v>2792 THEATRE RD S</v>
      </c>
      <c r="C2751" s="3" t="str">
        <f>IFERROR(__xludf.DUMMYFUNCTION("""COMPUTED_VALUE"""),"COBOURG")</f>
        <v>COBOURG</v>
      </c>
      <c r="D2751" s="3" t="str">
        <f>IFERROR(__xludf.DUMMYFUNCTION("""COMPUTED_VALUE"""),"K9A 0R4")</f>
        <v>K9A 0R4</v>
      </c>
      <c r="E2751" s="3"/>
      <c r="F2751" s="3"/>
      <c r="G2751" s="3"/>
      <c r="H2751" s="3"/>
    </row>
    <row r="2752">
      <c r="A2752" s="2">
        <f>IFERROR(__xludf.DUMMYFUNCTION("""COMPUTED_VALUE"""),23563.0)</f>
        <v>23563</v>
      </c>
      <c r="B2752" s="3" t="str">
        <f>IFERROR(__xludf.DUMMYFUNCTION("""COMPUTED_VALUE"""),"2815 THEATRE RD N")</f>
        <v>2815 THEATRE RD N</v>
      </c>
      <c r="C2752" s="3" t="str">
        <f>IFERROR(__xludf.DUMMYFUNCTION("""COMPUTED_VALUE"""),"COBOURG")</f>
        <v>COBOURG</v>
      </c>
      <c r="D2752" s="3" t="str">
        <f>IFERROR(__xludf.DUMMYFUNCTION("""COMPUTED_VALUE"""),"K9A 4J7")</f>
        <v>K9A 4J7</v>
      </c>
      <c r="E2752" s="3" t="str">
        <f>IFERROR(__xludf.DUMMYFUNCTION("""COMPUTED_VALUE"""),"Richard Cowen")</f>
        <v>Richard Cowen</v>
      </c>
      <c r="F2752" s="3" t="str">
        <f>IFERROR(__xludf.DUMMYFUNCTION("""COMPUTED_VALUE"""),"rhc70heat@outlook.com")</f>
        <v>rhc70heat@outlook.com</v>
      </c>
      <c r="G2752" s="3">
        <f>IFERROR(__xludf.DUMMYFUNCTION("""COMPUTED_VALUE"""),2.892515432E9)</f>
        <v>2892515432</v>
      </c>
      <c r="H2752" s="3"/>
    </row>
    <row r="2753">
      <c r="A2753" s="2">
        <f>IFERROR(__xludf.DUMMYFUNCTION("""COMPUTED_VALUE"""),23564.0)</f>
        <v>23564</v>
      </c>
      <c r="B2753" s="3" t="str">
        <f>IFERROR(__xludf.DUMMYFUNCTION("""COMPUTED_VALUE"""),"2816 THEATRE RD N")</f>
        <v>2816 THEATRE RD N</v>
      </c>
      <c r="C2753" s="3" t="str">
        <f>IFERROR(__xludf.DUMMYFUNCTION("""COMPUTED_VALUE"""),"COBOURG")</f>
        <v>COBOURG</v>
      </c>
      <c r="D2753" s="3" t="str">
        <f>IFERROR(__xludf.DUMMYFUNCTION("""COMPUTED_VALUE"""),"K9A 4J7")</f>
        <v>K9A 4J7</v>
      </c>
      <c r="E2753" s="3"/>
      <c r="F2753" s="3"/>
      <c r="G2753" s="3"/>
      <c r="H2753" s="3"/>
    </row>
    <row r="2754">
      <c r="A2754" s="2">
        <f>IFERROR(__xludf.DUMMYFUNCTION("""COMPUTED_VALUE"""),23565.0)</f>
        <v>23565</v>
      </c>
      <c r="B2754" s="3" t="str">
        <f>IFERROR(__xludf.DUMMYFUNCTION("""COMPUTED_VALUE"""),"2820 THEATRE RD N")</f>
        <v>2820 THEATRE RD N</v>
      </c>
      <c r="C2754" s="3" t="str">
        <f>IFERROR(__xludf.DUMMYFUNCTION("""COMPUTED_VALUE"""),"COBOURG")</f>
        <v>COBOURG</v>
      </c>
      <c r="D2754" s="3" t="str">
        <f>IFERROR(__xludf.DUMMYFUNCTION("""COMPUTED_VALUE"""),"K9A 4J7")</f>
        <v>K9A 4J7</v>
      </c>
      <c r="E2754" s="3" t="str">
        <f>IFERROR(__xludf.DUMMYFUNCTION("""COMPUTED_VALUE"""),"Arnold Patterson")</f>
        <v>Arnold Patterson</v>
      </c>
      <c r="F2754" s="3" t="str">
        <f>IFERROR(__xludf.DUMMYFUNCTION("""COMPUTED_VALUE"""),"arnpat@gmail.com")</f>
        <v>arnpat@gmail.com</v>
      </c>
      <c r="G2754" s="3"/>
      <c r="H2754" s="3"/>
    </row>
    <row r="2755">
      <c r="A2755" s="2">
        <f>IFERROR(__xludf.DUMMYFUNCTION("""COMPUTED_VALUE"""),23566.0)</f>
        <v>23566</v>
      </c>
      <c r="B2755" s="3" t="str">
        <f>IFERROR(__xludf.DUMMYFUNCTION("""COMPUTED_VALUE"""),"2881 THEATRE RD N")</f>
        <v>2881 THEATRE RD N</v>
      </c>
      <c r="C2755" s="3" t="str">
        <f>IFERROR(__xludf.DUMMYFUNCTION("""COMPUTED_VALUE"""),"COBOURG")</f>
        <v>COBOURG</v>
      </c>
      <c r="D2755" s="3" t="str">
        <f>IFERROR(__xludf.DUMMYFUNCTION("""COMPUTED_VALUE"""),"K9A 4J7")</f>
        <v>K9A 4J7</v>
      </c>
      <c r="E2755" s="3" t="str">
        <f>IFERROR(__xludf.DUMMYFUNCTION("""COMPUTED_VALUE"""),"Jenny Burke")</f>
        <v>Jenny Burke</v>
      </c>
      <c r="F2755" s="3" t="str">
        <f>IFERROR(__xludf.DUMMYFUNCTION("""COMPUTED_VALUE"""),"jenkens2881@hotmail.com")</f>
        <v>jenkens2881@hotmail.com</v>
      </c>
      <c r="G2755" s="3"/>
      <c r="H2755" s="3"/>
    </row>
    <row r="2756">
      <c r="A2756" s="2">
        <f>IFERROR(__xludf.DUMMYFUNCTION("""COMPUTED_VALUE"""),23567.0)</f>
        <v>23567</v>
      </c>
      <c r="B2756" s="3" t="str">
        <f>IFERROR(__xludf.DUMMYFUNCTION("""COMPUTED_VALUE"""),"2884 THEATRE RD N")</f>
        <v>2884 THEATRE RD N</v>
      </c>
      <c r="C2756" s="3" t="str">
        <f>IFERROR(__xludf.DUMMYFUNCTION("""COMPUTED_VALUE"""),"COBOURG")</f>
        <v>COBOURG</v>
      </c>
      <c r="D2756" s="3" t="str">
        <f>IFERROR(__xludf.DUMMYFUNCTION("""COMPUTED_VALUE"""),"K9A 4J7")</f>
        <v>K9A 4J7</v>
      </c>
      <c r="E2756" s="3"/>
      <c r="F2756" s="3"/>
      <c r="G2756" s="3"/>
      <c r="H2756" s="3"/>
    </row>
    <row r="2757">
      <c r="A2757" s="2">
        <f>IFERROR(__xludf.DUMMYFUNCTION("""COMPUTED_VALUE"""),23568.0)</f>
        <v>23568</v>
      </c>
      <c r="B2757" s="3" t="str">
        <f>IFERROR(__xludf.DUMMYFUNCTION("""COMPUTED_VALUE"""),"2896 THEATRE RD N")</f>
        <v>2896 THEATRE RD N</v>
      </c>
      <c r="C2757" s="3" t="str">
        <f>IFERROR(__xludf.DUMMYFUNCTION("""COMPUTED_VALUE"""),"COBOURG")</f>
        <v>COBOURG</v>
      </c>
      <c r="D2757" s="3" t="str">
        <f>IFERROR(__xludf.DUMMYFUNCTION("""COMPUTED_VALUE"""),"K9A 4J7")</f>
        <v>K9A 4J7</v>
      </c>
      <c r="E2757" s="3" t="str">
        <f>IFERROR(__xludf.DUMMYFUNCTION("""COMPUTED_VALUE"""),"Joy Gearing")</f>
        <v>Joy Gearing</v>
      </c>
      <c r="F2757" s="3" t="str">
        <f>IFERROR(__xludf.DUMMYFUNCTION("""COMPUTED_VALUE"""),"joygearingg@gmail.com")</f>
        <v>joygearingg@gmail.com</v>
      </c>
      <c r="G2757" s="3"/>
      <c r="H2757" s="3"/>
    </row>
    <row r="2758">
      <c r="A2758" s="2">
        <f>IFERROR(__xludf.DUMMYFUNCTION("""COMPUTED_VALUE"""),23569.0)</f>
        <v>23569</v>
      </c>
      <c r="B2758" s="3" t="str">
        <f>IFERROR(__xludf.DUMMYFUNCTION("""COMPUTED_VALUE"""),"2904 THEATRE RD N")</f>
        <v>2904 THEATRE RD N</v>
      </c>
      <c r="C2758" s="3" t="str">
        <f>IFERROR(__xludf.DUMMYFUNCTION("""COMPUTED_VALUE"""),"COBOURG")</f>
        <v>COBOURG</v>
      </c>
      <c r="D2758" s="3" t="str">
        <f>IFERROR(__xludf.DUMMYFUNCTION("""COMPUTED_VALUE"""),"K9A 4J7")</f>
        <v>K9A 4J7</v>
      </c>
      <c r="E2758" s="3" t="str">
        <f>IFERROR(__xludf.DUMMYFUNCTION("""COMPUTED_VALUE"""),"Brian Dolley")</f>
        <v>Brian Dolley</v>
      </c>
      <c r="F2758" s="3"/>
      <c r="G2758" s="3"/>
      <c r="H2758" s="3"/>
    </row>
    <row r="2759">
      <c r="A2759" s="2">
        <f>IFERROR(__xludf.DUMMYFUNCTION("""COMPUTED_VALUE"""),23570.0)</f>
        <v>23570</v>
      </c>
      <c r="B2759" s="3" t="str">
        <f>IFERROR(__xludf.DUMMYFUNCTION("""COMPUTED_VALUE"""),"2905 THEATRE RD N")</f>
        <v>2905 THEATRE RD N</v>
      </c>
      <c r="C2759" s="3" t="str">
        <f>IFERROR(__xludf.DUMMYFUNCTION("""COMPUTED_VALUE"""),"COBOURG")</f>
        <v>COBOURG</v>
      </c>
      <c r="D2759" s="3" t="str">
        <f>IFERROR(__xludf.DUMMYFUNCTION("""COMPUTED_VALUE"""),"K9A 4J7")</f>
        <v>K9A 4J7</v>
      </c>
      <c r="E2759" s="3" t="str">
        <f>IFERROR(__xludf.DUMMYFUNCTION("""COMPUTED_VALUE"""),"Doreen van den Broek")</f>
        <v>Doreen van den Broek</v>
      </c>
      <c r="F2759" s="3" t="str">
        <f>IFERROR(__xludf.DUMMYFUNCTION("""COMPUTED_VALUE"""),"dmvandenbroek96@gmail.com")</f>
        <v>dmvandenbroek96@gmail.com</v>
      </c>
      <c r="G2759" s="3"/>
      <c r="H2759" s="3"/>
    </row>
    <row r="2760">
      <c r="A2760" s="2">
        <f>IFERROR(__xludf.DUMMYFUNCTION("""COMPUTED_VALUE"""),23571.0)</f>
        <v>23571</v>
      </c>
      <c r="B2760" s="3" t="str">
        <f>IFERROR(__xludf.DUMMYFUNCTION("""COMPUTED_VALUE"""),"2968 THEATRE RD N")</f>
        <v>2968 THEATRE RD N</v>
      </c>
      <c r="C2760" s="3" t="str">
        <f>IFERROR(__xludf.DUMMYFUNCTION("""COMPUTED_VALUE"""),"COBOURG")</f>
        <v>COBOURG</v>
      </c>
      <c r="D2760" s="3" t="str">
        <f>IFERROR(__xludf.DUMMYFUNCTION("""COMPUTED_VALUE"""),"K9A 4J7")</f>
        <v>K9A 4J7</v>
      </c>
      <c r="E2760" s="3" t="str">
        <f>IFERROR(__xludf.DUMMYFUNCTION("""COMPUTED_VALUE"""),"Brandon Jones")</f>
        <v>Brandon Jones</v>
      </c>
      <c r="F2760" s="3" t="str">
        <f>IFERROR(__xludf.DUMMYFUNCTION("""COMPUTED_VALUE"""),"brandon.jones55@hotmail.com")</f>
        <v>brandon.jones55@hotmail.com</v>
      </c>
      <c r="G2760" s="3">
        <f>IFERROR(__xludf.DUMMYFUNCTION("""COMPUTED_VALUE"""),2.89251431E9)</f>
        <v>2892514310</v>
      </c>
      <c r="H2760" s="3"/>
    </row>
    <row r="2761">
      <c r="A2761" s="2">
        <f>IFERROR(__xludf.DUMMYFUNCTION("""COMPUTED_VALUE"""),23572.0)</f>
        <v>23572</v>
      </c>
      <c r="B2761" s="3" t="str">
        <f>IFERROR(__xludf.DUMMYFUNCTION("""COMPUTED_VALUE"""),"2975 THEATRE RD N")</f>
        <v>2975 THEATRE RD N</v>
      </c>
      <c r="C2761" s="3" t="str">
        <f>IFERROR(__xludf.DUMMYFUNCTION("""COMPUTED_VALUE"""),"COBOURG")</f>
        <v>COBOURG</v>
      </c>
      <c r="D2761" s="3" t="str">
        <f>IFERROR(__xludf.DUMMYFUNCTION("""COMPUTED_VALUE"""),"K9A 4J7")</f>
        <v>K9A 4J7</v>
      </c>
      <c r="E2761" s="3"/>
      <c r="F2761" s="3"/>
      <c r="G2761" s="3"/>
      <c r="H2761" s="3"/>
    </row>
    <row r="2762">
      <c r="A2762" s="2">
        <f>IFERROR(__xludf.DUMMYFUNCTION("""COMPUTED_VALUE"""),23573.0)</f>
        <v>23573</v>
      </c>
      <c r="B2762" s="3" t="str">
        <f>IFERROR(__xludf.DUMMYFUNCTION("""COMPUTED_VALUE"""),"3003 THEATRE RD N")</f>
        <v>3003 THEATRE RD N</v>
      </c>
      <c r="C2762" s="3" t="str">
        <f>IFERROR(__xludf.DUMMYFUNCTION("""COMPUTED_VALUE"""),"COBOURG")</f>
        <v>COBOURG</v>
      </c>
      <c r="D2762" s="3" t="str">
        <f>IFERROR(__xludf.DUMMYFUNCTION("""COMPUTED_VALUE"""),"K9A 4J7")</f>
        <v>K9A 4J7</v>
      </c>
      <c r="E2762" s="3" t="str">
        <f>IFERROR(__xludf.DUMMYFUNCTION("""COMPUTED_VALUE"""),"Kent Shadwick")</f>
        <v>Kent Shadwick</v>
      </c>
      <c r="F2762" s="3" t="str">
        <f>IFERROR(__xludf.DUMMYFUNCTION("""COMPUTED_VALUE"""),"kentshadwick@gmail.com")</f>
        <v>kentshadwick@gmail.com</v>
      </c>
      <c r="G2762" s="3"/>
      <c r="H2762" s="3"/>
    </row>
    <row r="2763">
      <c r="A2763" s="2">
        <f>IFERROR(__xludf.DUMMYFUNCTION("""COMPUTED_VALUE"""),23574.0)</f>
        <v>23574</v>
      </c>
      <c r="B2763" s="3" t="str">
        <f>IFERROR(__xludf.DUMMYFUNCTION("""COMPUTED_VALUE"""),"3014 THEATRE RD N")</f>
        <v>3014 THEATRE RD N</v>
      </c>
      <c r="C2763" s="3" t="str">
        <f>IFERROR(__xludf.DUMMYFUNCTION("""COMPUTED_VALUE"""),"COBOURG")</f>
        <v>COBOURG</v>
      </c>
      <c r="D2763" s="3" t="str">
        <f>IFERROR(__xludf.DUMMYFUNCTION("""COMPUTED_VALUE"""),"K9A 4J7")</f>
        <v>K9A 4J7</v>
      </c>
      <c r="E2763" s="3" t="str">
        <f>IFERROR(__xludf.DUMMYFUNCTION("""COMPUTED_VALUE"""),"Anne Burnham")</f>
        <v>Anne Burnham</v>
      </c>
      <c r="F2763" s="3" t="str">
        <f>IFERROR(__xludf.DUMMYFUNCTION("""COMPUTED_VALUE"""),"burnhamfarmsmark@gmail.com")</f>
        <v>burnhamfarmsmark@gmail.com</v>
      </c>
      <c r="G2763" s="3"/>
      <c r="H2763" s="3"/>
    </row>
    <row r="2764">
      <c r="A2764" s="2">
        <f>IFERROR(__xludf.DUMMYFUNCTION("""COMPUTED_VALUE"""),23575.0)</f>
        <v>23575</v>
      </c>
      <c r="B2764" s="3" t="str">
        <f>IFERROR(__xludf.DUMMYFUNCTION("""COMPUTED_VALUE"""),"3021 THEATRE RD N")</f>
        <v>3021 THEATRE RD N</v>
      </c>
      <c r="C2764" s="3" t="str">
        <f>IFERROR(__xludf.DUMMYFUNCTION("""COMPUTED_VALUE"""),"COBOURG")</f>
        <v>COBOURG</v>
      </c>
      <c r="D2764" s="3" t="str">
        <f>IFERROR(__xludf.DUMMYFUNCTION("""COMPUTED_VALUE"""),"K9A 4J7")</f>
        <v>K9A 4J7</v>
      </c>
      <c r="E2764" s="3" t="str">
        <f>IFERROR(__xludf.DUMMYFUNCTION("""COMPUTED_VALUE"""),"J Wilcox")</f>
        <v>J Wilcox</v>
      </c>
      <c r="F2764" s="3" t="str">
        <f>IFERROR(__xludf.DUMMYFUNCTION("""COMPUTED_VALUE"""),"johnwilcox456@gmail.com")</f>
        <v>johnwilcox456@gmail.com</v>
      </c>
      <c r="G2764" s="3"/>
      <c r="H2764" s="3"/>
    </row>
    <row r="2765">
      <c r="A2765" s="2">
        <f>IFERROR(__xludf.DUMMYFUNCTION("""COMPUTED_VALUE"""),23576.0)</f>
        <v>23576</v>
      </c>
      <c r="B2765" s="3" t="str">
        <f>IFERROR(__xludf.DUMMYFUNCTION("""COMPUTED_VALUE"""),"3059 THEATRE RD N")</f>
        <v>3059 THEATRE RD N</v>
      </c>
      <c r="C2765" s="3" t="str">
        <f>IFERROR(__xludf.DUMMYFUNCTION("""COMPUTED_VALUE"""),"COBOURG")</f>
        <v>COBOURG</v>
      </c>
      <c r="D2765" s="3" t="str">
        <f>IFERROR(__xludf.DUMMYFUNCTION("""COMPUTED_VALUE"""),"K9A 4J7")</f>
        <v>K9A 4J7</v>
      </c>
      <c r="E2765" s="3" t="str">
        <f>IFERROR(__xludf.DUMMYFUNCTION("""COMPUTED_VALUE"""),"Richard Moore")</f>
        <v>Richard Moore</v>
      </c>
      <c r="F2765" s="3"/>
      <c r="G2765" s="3"/>
      <c r="H2765" s="3"/>
    </row>
    <row r="2766">
      <c r="A2766" s="2">
        <f>IFERROR(__xludf.DUMMYFUNCTION("""COMPUTED_VALUE"""),23577.0)</f>
        <v>23577</v>
      </c>
      <c r="B2766" s="3" t="str">
        <f>IFERROR(__xludf.DUMMYFUNCTION("""COMPUTED_VALUE"""),"3061 THEATRE RD N")</f>
        <v>3061 THEATRE RD N</v>
      </c>
      <c r="C2766" s="3" t="str">
        <f>IFERROR(__xludf.DUMMYFUNCTION("""COMPUTED_VALUE"""),"COBOURG")</f>
        <v>COBOURG</v>
      </c>
      <c r="D2766" s="3" t="str">
        <f>IFERROR(__xludf.DUMMYFUNCTION("""COMPUTED_VALUE"""),"K9A 4J7")</f>
        <v>K9A 4J7</v>
      </c>
      <c r="E2766" s="3" t="str">
        <f>IFERROR(__xludf.DUMMYFUNCTION("""COMPUTED_VALUE"""),"Steve Williams")</f>
        <v>Steve Williams</v>
      </c>
      <c r="F2766" s="3" t="str">
        <f>IFERROR(__xludf.DUMMYFUNCTION("""COMPUTED_VALUE"""),"steveplayatv@gmail.com")</f>
        <v>steveplayatv@gmail.com</v>
      </c>
      <c r="G2766" s="3"/>
      <c r="H2766" s="3"/>
    </row>
    <row r="2767">
      <c r="A2767" s="2">
        <f>IFERROR(__xludf.DUMMYFUNCTION("""COMPUTED_VALUE"""),23578.0)</f>
        <v>23578</v>
      </c>
      <c r="B2767" s="3" t="str">
        <f>IFERROR(__xludf.DUMMYFUNCTION("""COMPUTED_VALUE"""),"3086 THEATRE RD N")</f>
        <v>3086 THEATRE RD N</v>
      </c>
      <c r="C2767" s="3" t="str">
        <f>IFERROR(__xludf.DUMMYFUNCTION("""COMPUTED_VALUE"""),"COBOURG")</f>
        <v>COBOURG</v>
      </c>
      <c r="D2767" s="3" t="str">
        <f>IFERROR(__xludf.DUMMYFUNCTION("""COMPUTED_VALUE"""),"K9A 4J7")</f>
        <v>K9A 4J7</v>
      </c>
      <c r="E2767" s="3" t="str">
        <f>IFERROR(__xludf.DUMMYFUNCTION("""COMPUTED_VALUE"""),"Laina Andrews")</f>
        <v>Laina Andrews</v>
      </c>
      <c r="F2767" s="3" t="str">
        <f>IFERROR(__xludf.DUMMYFUNCTION("""COMPUTED_VALUE"""),"lainaandrews@outlook.com")</f>
        <v>lainaandrews@outlook.com</v>
      </c>
      <c r="G2767" s="3">
        <f>IFERROR(__xludf.DUMMYFUNCTION("""COMPUTED_VALUE"""),2.892517526E9)</f>
        <v>2892517526</v>
      </c>
      <c r="H2767" s="3"/>
    </row>
    <row r="2768">
      <c r="A2768" s="2">
        <f>IFERROR(__xludf.DUMMYFUNCTION("""COMPUTED_VALUE"""),23579.0)</f>
        <v>23579</v>
      </c>
      <c r="B2768" s="3" t="str">
        <f>IFERROR(__xludf.DUMMYFUNCTION("""COMPUTED_VALUE"""),"3089 THEATRE RD N")</f>
        <v>3089 THEATRE RD N</v>
      </c>
      <c r="C2768" s="3" t="str">
        <f>IFERROR(__xludf.DUMMYFUNCTION("""COMPUTED_VALUE"""),"COBOURG")</f>
        <v>COBOURG</v>
      </c>
      <c r="D2768" s="3" t="str">
        <f>IFERROR(__xludf.DUMMYFUNCTION("""COMPUTED_VALUE"""),"K9A 4J7")</f>
        <v>K9A 4J7</v>
      </c>
      <c r="E2768" s="3"/>
      <c r="F2768" s="3"/>
      <c r="G2768" s="3"/>
      <c r="H2768" s="3"/>
    </row>
    <row r="2769">
      <c r="A2769" s="2">
        <f>IFERROR(__xludf.DUMMYFUNCTION("""COMPUTED_VALUE"""),23580.0)</f>
        <v>23580</v>
      </c>
      <c r="B2769" s="3" t="str">
        <f>IFERROR(__xludf.DUMMYFUNCTION("""COMPUTED_VALUE"""),"3108 THEATRE RD N")</f>
        <v>3108 THEATRE RD N</v>
      </c>
      <c r="C2769" s="3" t="str">
        <f>IFERROR(__xludf.DUMMYFUNCTION("""COMPUTED_VALUE"""),"COBOURG")</f>
        <v>COBOURG</v>
      </c>
      <c r="D2769" s="3" t="str">
        <f>IFERROR(__xludf.DUMMYFUNCTION("""COMPUTED_VALUE"""),"K9A 4J7")</f>
        <v>K9A 4J7</v>
      </c>
      <c r="E2769" s="3" t="str">
        <f>IFERROR(__xludf.DUMMYFUNCTION("""COMPUTED_VALUE"""),"Christina Antle")</f>
        <v>Christina Antle</v>
      </c>
      <c r="F2769" s="3" t="str">
        <f>IFERROR(__xludf.DUMMYFUNCTION("""COMPUTED_VALUE"""),"Christinabalzan@hotmail.com")</f>
        <v>Christinabalzan@hotmail.com</v>
      </c>
      <c r="G2769" s="3">
        <f>IFERROR(__xludf.DUMMYFUNCTION("""COMPUTED_VALUE"""),4.169087794E9)</f>
        <v>4169087794</v>
      </c>
      <c r="H2769" s="3"/>
    </row>
    <row r="2770">
      <c r="A2770" s="2">
        <f>IFERROR(__xludf.DUMMYFUNCTION("""COMPUTED_VALUE"""),23581.0)</f>
        <v>23581</v>
      </c>
      <c r="B2770" s="3" t="str">
        <f>IFERROR(__xludf.DUMMYFUNCTION("""COMPUTED_VALUE"""),"3121 THEATRE RD N")</f>
        <v>3121 THEATRE RD N</v>
      </c>
      <c r="C2770" s="3" t="str">
        <f>IFERROR(__xludf.DUMMYFUNCTION("""COMPUTED_VALUE"""),"COBOURG")</f>
        <v>COBOURG</v>
      </c>
      <c r="D2770" s="3" t="str">
        <f>IFERROR(__xludf.DUMMYFUNCTION("""COMPUTED_VALUE"""),"K9A 4J7")</f>
        <v>K9A 4J7</v>
      </c>
      <c r="E2770" s="3" t="str">
        <f>IFERROR(__xludf.DUMMYFUNCTION("""COMPUTED_VALUE"""),"Aiden Hittman Duern")</f>
        <v>Aiden Hittman Duern</v>
      </c>
      <c r="F2770" s="3" t="str">
        <f>IFERROR(__xludf.DUMMYFUNCTION("""COMPUTED_VALUE"""),"duernaiden@gmail.com")</f>
        <v>duernaiden@gmail.com</v>
      </c>
      <c r="G2770" s="3"/>
      <c r="H2770" s="3"/>
    </row>
    <row r="2771">
      <c r="A2771" s="2">
        <f>IFERROR(__xludf.DUMMYFUNCTION("""COMPUTED_VALUE"""),23582.0)</f>
        <v>23582</v>
      </c>
      <c r="B2771" s="3" t="str">
        <f>IFERROR(__xludf.DUMMYFUNCTION("""COMPUTED_VALUE"""),"3122 THEATRE RD N")</f>
        <v>3122 THEATRE RD N</v>
      </c>
      <c r="C2771" s="3" t="str">
        <f>IFERROR(__xludf.DUMMYFUNCTION("""COMPUTED_VALUE"""),"COBOURG")</f>
        <v>COBOURG</v>
      </c>
      <c r="D2771" s="3" t="str">
        <f>IFERROR(__xludf.DUMMYFUNCTION("""COMPUTED_VALUE"""),"K9A 4J7")</f>
        <v>K9A 4J7</v>
      </c>
      <c r="E2771" s="3" t="str">
        <f>IFERROR(__xludf.DUMMYFUNCTION("""COMPUTED_VALUE"""),"Christine Kwiatkowski")</f>
        <v>Christine Kwiatkowski</v>
      </c>
      <c r="F2771" s="3"/>
      <c r="G2771" s="3"/>
      <c r="H2771" s="3"/>
    </row>
    <row r="2772">
      <c r="A2772" s="2">
        <f>IFERROR(__xludf.DUMMYFUNCTION("""COMPUTED_VALUE"""),23583.0)</f>
        <v>23583</v>
      </c>
      <c r="B2772" s="3" t="str">
        <f>IFERROR(__xludf.DUMMYFUNCTION("""COMPUTED_VALUE"""),"3135 THEATRE RD N")</f>
        <v>3135 THEATRE RD N</v>
      </c>
      <c r="C2772" s="3" t="str">
        <f>IFERROR(__xludf.DUMMYFUNCTION("""COMPUTED_VALUE"""),"COBOURG")</f>
        <v>COBOURG</v>
      </c>
      <c r="D2772" s="3" t="str">
        <f>IFERROR(__xludf.DUMMYFUNCTION("""COMPUTED_VALUE"""),"K9A 4J7")</f>
        <v>K9A 4J7</v>
      </c>
      <c r="E2772" s="3" t="str">
        <f>IFERROR(__xludf.DUMMYFUNCTION("""COMPUTED_VALUE"""),"Kjell Nordenson")</f>
        <v>Kjell Nordenson</v>
      </c>
      <c r="F2772" s="3" t="str">
        <f>IFERROR(__xludf.DUMMYFUNCTION("""COMPUTED_VALUE"""),"quo-vadis@rogers.com")</f>
        <v>quo-vadis@rogers.com</v>
      </c>
      <c r="G2772" s="3"/>
      <c r="H2772" s="3"/>
    </row>
    <row r="2773">
      <c r="A2773" s="2">
        <f>IFERROR(__xludf.DUMMYFUNCTION("""COMPUTED_VALUE"""),23584.0)</f>
        <v>23584</v>
      </c>
      <c r="B2773" s="3" t="str">
        <f>IFERROR(__xludf.DUMMYFUNCTION("""COMPUTED_VALUE"""),"3147 THEATRE RD N")</f>
        <v>3147 THEATRE RD N</v>
      </c>
      <c r="C2773" s="3" t="str">
        <f>IFERROR(__xludf.DUMMYFUNCTION("""COMPUTED_VALUE"""),"COBOURG")</f>
        <v>COBOURG</v>
      </c>
      <c r="D2773" s="3" t="str">
        <f>IFERROR(__xludf.DUMMYFUNCTION("""COMPUTED_VALUE"""),"K9A 4J7")</f>
        <v>K9A 4J7</v>
      </c>
      <c r="E2773" s="3" t="str">
        <f>IFERROR(__xludf.DUMMYFUNCTION("""COMPUTED_VALUE"""),"tyler campbell")</f>
        <v>tyler campbell</v>
      </c>
      <c r="F2773" s="3" t="str">
        <f>IFERROR(__xludf.DUMMYFUNCTION("""COMPUTED_VALUE"""),"tcampbrll@linkautogroup.com")</f>
        <v>tcampbrll@linkautogroup.com</v>
      </c>
      <c r="G2773" s="3">
        <f>IFERROR(__xludf.DUMMYFUNCTION("""COMPUTED_VALUE"""),9.053757114E9)</f>
        <v>9053757114</v>
      </c>
      <c r="H2773" s="3"/>
    </row>
    <row r="2774">
      <c r="A2774" s="2">
        <f>IFERROR(__xludf.DUMMYFUNCTION("""COMPUTED_VALUE"""),23585.0)</f>
        <v>23585</v>
      </c>
      <c r="B2774" s="3" t="str">
        <f>IFERROR(__xludf.DUMMYFUNCTION("""COMPUTED_VALUE"""),"3172 THEATRE RD N")</f>
        <v>3172 THEATRE RD N</v>
      </c>
      <c r="C2774" s="3" t="str">
        <f>IFERROR(__xludf.DUMMYFUNCTION("""COMPUTED_VALUE"""),"COBOURG")</f>
        <v>COBOURG</v>
      </c>
      <c r="D2774" s="3" t="str">
        <f>IFERROR(__xludf.DUMMYFUNCTION("""COMPUTED_VALUE"""),"K9A 4J7")</f>
        <v>K9A 4J7</v>
      </c>
      <c r="E2774" s="3" t="str">
        <f>IFERROR(__xludf.DUMMYFUNCTION("""COMPUTED_VALUE"""),"Jay Cassidy")</f>
        <v>Jay Cassidy</v>
      </c>
      <c r="F2774" s="3" t="str">
        <f>IFERROR(__xludf.DUMMYFUNCTION("""COMPUTED_VALUE"""),"cassidy@enjay.com")</f>
        <v>cassidy@enjay.com</v>
      </c>
      <c r="G2774" s="3">
        <f>IFERROR(__xludf.DUMMYFUNCTION("""COMPUTED_VALUE"""),9.053735554E9)</f>
        <v>9053735554</v>
      </c>
      <c r="H2774" s="3"/>
    </row>
    <row r="2775">
      <c r="A2775" s="2">
        <f>IFERROR(__xludf.DUMMYFUNCTION("""COMPUTED_VALUE"""),23625.0)</f>
        <v>23625</v>
      </c>
      <c r="B2775" s="3" t="str">
        <f>IFERROR(__xludf.DUMMYFUNCTION("""COMPUTED_VALUE"""),"3987 TIMLIN RD BACK")</f>
        <v>3987 TIMLIN RD BACK</v>
      </c>
      <c r="C2775" s="3" t="str">
        <f>IFERROR(__xludf.DUMMYFUNCTION("""COMPUTED_VALUE"""),"COBOURG")</f>
        <v>COBOURG</v>
      </c>
      <c r="D2775" s="3" t="str">
        <f>IFERROR(__xludf.DUMMYFUNCTION("""COMPUTED_VALUE"""),"K9A 4J9")</f>
        <v>K9A 4J9</v>
      </c>
      <c r="E2775" s="3" t="str">
        <f>IFERROR(__xludf.DUMMYFUNCTION("""COMPUTED_VALUE"""),"Henry Wiersma")</f>
        <v>Henry Wiersma</v>
      </c>
      <c r="F2775" s="3" t="str">
        <f>IFERROR(__xludf.DUMMYFUNCTION("""COMPUTED_VALUE"""),"fifthwinds@gmail.com")</f>
        <v>fifthwinds@gmail.com</v>
      </c>
      <c r="G2775" s="3">
        <f>IFERROR(__xludf.DUMMYFUNCTION("""COMPUTED_VALUE"""),9.053761488E9)</f>
        <v>9053761488</v>
      </c>
      <c r="H2775" s="3"/>
    </row>
    <row r="2776">
      <c r="A2776" s="2">
        <f>IFERROR(__xludf.DUMMYFUNCTION("""COMPUTED_VALUE"""),23626.0)</f>
        <v>23626</v>
      </c>
      <c r="B2776" s="3" t="str">
        <f>IFERROR(__xludf.DUMMYFUNCTION("""COMPUTED_VALUE"""),"3987 TIMLIN RD")</f>
        <v>3987 TIMLIN RD</v>
      </c>
      <c r="C2776" s="3" t="str">
        <f>IFERROR(__xludf.DUMMYFUNCTION("""COMPUTED_VALUE"""),"COBOURG")</f>
        <v>COBOURG</v>
      </c>
      <c r="D2776" s="3" t="str">
        <f>IFERROR(__xludf.DUMMYFUNCTION("""COMPUTED_VALUE"""),"K9A 4J9")</f>
        <v>K9A 4J9</v>
      </c>
      <c r="E2776" s="3" t="str">
        <f>IFERROR(__xludf.DUMMYFUNCTION("""COMPUTED_VALUE"""),"Henry Wiersma")</f>
        <v>Henry Wiersma</v>
      </c>
      <c r="F2776" s="3" t="str">
        <f>IFERROR(__xludf.DUMMYFUNCTION("""COMPUTED_VALUE"""),"fifthwinds@gmail.com")</f>
        <v>fifthwinds@gmail.com</v>
      </c>
      <c r="G2776" s="3">
        <f>IFERROR(__xludf.DUMMYFUNCTION("""COMPUTED_VALUE"""),9.053761488E9)</f>
        <v>9053761488</v>
      </c>
      <c r="H2776" s="3"/>
    </row>
    <row r="2777">
      <c r="A2777" s="2">
        <f>IFERROR(__xludf.DUMMYFUNCTION("""COMPUTED_VALUE"""),24012.0)</f>
        <v>24012</v>
      </c>
      <c r="B2777" s="3" t="str">
        <f>IFERROR(__xludf.DUMMYFUNCTION("""COMPUTED_VALUE"""),"4875 TRAILL RD S")</f>
        <v>4875 TRAILL RD S</v>
      </c>
      <c r="C2777" s="3" t="str">
        <f>IFERROR(__xludf.DUMMYFUNCTION("""COMPUTED_VALUE"""),"GORES LANDING")</f>
        <v>GORES LANDING</v>
      </c>
      <c r="D2777" s="3" t="str">
        <f>IFERROR(__xludf.DUMMYFUNCTION("""COMPUTED_VALUE"""),"K0K 2E0")</f>
        <v>K0K 2E0</v>
      </c>
      <c r="E2777" s="3" t="str">
        <f>IFERROR(__xludf.DUMMYFUNCTION("""COMPUTED_VALUE"""),"gisele lean")</f>
        <v>gisele lean</v>
      </c>
      <c r="F2777" s="3" t="str">
        <f>IFERROR(__xludf.DUMMYFUNCTION("""COMPUTED_VALUE"""),"lilaclodgefarm@hotmail.com")</f>
        <v>lilaclodgefarm@hotmail.com</v>
      </c>
      <c r="G2777" s="3">
        <f>IFERROR(__xludf.DUMMYFUNCTION("""COMPUTED_VALUE"""),9.053759499E9)</f>
        <v>9053759499</v>
      </c>
      <c r="H2777" s="3"/>
    </row>
    <row r="2778">
      <c r="A2778" s="2">
        <f>IFERROR(__xludf.DUMMYFUNCTION("""COMPUTED_VALUE"""),23641.0)</f>
        <v>23641</v>
      </c>
      <c r="B2778" s="3" t="str">
        <f>IFERROR(__xludf.DUMMYFUNCTION("""COMPUTED_VALUE"""),"4877 TRAILL RD S")</f>
        <v>4877 TRAILL RD S</v>
      </c>
      <c r="C2778" s="3" t="str">
        <f>IFERROR(__xludf.DUMMYFUNCTION("""COMPUTED_VALUE"""),"GORES LANDING")</f>
        <v>GORES LANDING</v>
      </c>
      <c r="D2778" s="3" t="str">
        <f>IFERROR(__xludf.DUMMYFUNCTION("""COMPUTED_VALUE"""),"K0K 2E0")</f>
        <v>K0K 2E0</v>
      </c>
      <c r="E2778" s="3" t="str">
        <f>IFERROR(__xludf.DUMMYFUNCTION("""COMPUTED_VALUE"""),"Reid Lean")</f>
        <v>Reid Lean</v>
      </c>
      <c r="F2778" s="3" t="str">
        <f>IFERROR(__xludf.DUMMYFUNCTION("""COMPUTED_VALUE"""),"reidlean@live.com")</f>
        <v>reidlean@live.com</v>
      </c>
      <c r="G2778" s="3">
        <f>IFERROR(__xludf.DUMMYFUNCTION("""COMPUTED_VALUE"""),9.053759568E9)</f>
        <v>9053759568</v>
      </c>
      <c r="H2778" s="3"/>
    </row>
    <row r="2779">
      <c r="A2779" s="2">
        <f>IFERROR(__xludf.DUMMYFUNCTION("""COMPUTED_VALUE"""),23949.0)</f>
        <v>23949</v>
      </c>
      <c r="B2779" s="3" t="str">
        <f>IFERROR(__xludf.DUMMYFUNCTION("""COMPUTED_VALUE"""),"4954 TRAILL RD S")</f>
        <v>4954 TRAILL RD S</v>
      </c>
      <c r="C2779" s="3" t="str">
        <f>IFERROR(__xludf.DUMMYFUNCTION("""COMPUTED_VALUE"""),"GORES LANDING")</f>
        <v>GORES LANDING</v>
      </c>
      <c r="D2779" s="3" t="str">
        <f>IFERROR(__xludf.DUMMYFUNCTION("""COMPUTED_VALUE"""),"K0K 2E0")</f>
        <v>K0K 2E0</v>
      </c>
      <c r="E2779" s="3" t="str">
        <f>IFERROR(__xludf.DUMMYFUNCTION("""COMPUTED_VALUE"""),"barb and greg linton ")</f>
        <v>barb and greg linton </v>
      </c>
      <c r="F2779" s="3" t="str">
        <f>IFERROR(__xludf.DUMMYFUNCTION("""COMPUTED_VALUE"""),"gblinton@eagle.ca")</f>
        <v>gblinton@eagle.ca</v>
      </c>
      <c r="G2779" s="3">
        <f>IFERROR(__xludf.DUMMYFUNCTION("""COMPUTED_VALUE"""),9.053766246E9)</f>
        <v>9053766246</v>
      </c>
      <c r="H2779" s="3">
        <f>IFERROR(__xludf.DUMMYFUNCTION("""COMPUTED_VALUE"""),9.05375492E9)</f>
        <v>9053754920</v>
      </c>
    </row>
    <row r="2780">
      <c r="A2780" s="2">
        <f>IFERROR(__xludf.DUMMYFUNCTION("""COMPUTED_VALUE"""),23642.0)</f>
        <v>23642</v>
      </c>
      <c r="B2780" s="3" t="str">
        <f>IFERROR(__xludf.DUMMYFUNCTION("""COMPUTED_VALUE"""),"5050 TRAILL RD S")</f>
        <v>5050 TRAILL RD S</v>
      </c>
      <c r="C2780" s="3" t="str">
        <f>IFERROR(__xludf.DUMMYFUNCTION("""COMPUTED_VALUE"""),"GORES LANDING")</f>
        <v>GORES LANDING</v>
      </c>
      <c r="D2780" s="3" t="str">
        <f>IFERROR(__xludf.DUMMYFUNCTION("""COMPUTED_VALUE"""),"K0K 2E0")</f>
        <v>K0K 2E0</v>
      </c>
      <c r="E2780" s="3" t="str">
        <f>IFERROR(__xludf.DUMMYFUNCTION("""COMPUTED_VALUE"""),"Sharon Aldridge &amp; Paul Chetcuti")</f>
        <v>Sharon Aldridge &amp; Paul Chetcuti</v>
      </c>
      <c r="F2780" s="3" t="str">
        <f>IFERROR(__xludf.DUMMYFUNCTION("""COMPUTED_VALUE"""),"sherry@monctonmeadows.com")</f>
        <v>sherry@monctonmeadows.com</v>
      </c>
      <c r="G2780" s="3"/>
      <c r="H2780" s="3"/>
    </row>
    <row r="2781">
      <c r="A2781" s="2">
        <f>IFERROR(__xludf.DUMMYFUNCTION("""COMPUTED_VALUE"""),23643.0)</f>
        <v>23643</v>
      </c>
      <c r="B2781" s="3" t="str">
        <f>IFERROR(__xludf.DUMMYFUNCTION("""COMPUTED_VALUE"""),"5146 TRAILL RD S")</f>
        <v>5146 TRAILL RD S</v>
      </c>
      <c r="C2781" s="3" t="str">
        <f>IFERROR(__xludf.DUMMYFUNCTION("""COMPUTED_VALUE"""),"GORES LANDING")</f>
        <v>GORES LANDING</v>
      </c>
      <c r="D2781" s="3" t="str">
        <f>IFERROR(__xludf.DUMMYFUNCTION("""COMPUTED_VALUE"""),"K0K 2E0")</f>
        <v>K0K 2E0</v>
      </c>
      <c r="E2781" s="3" t="str">
        <f>IFERROR(__xludf.DUMMYFUNCTION("""COMPUTED_VALUE"""),"Madaleine Nelson")</f>
        <v>Madaleine Nelson</v>
      </c>
      <c r="F2781" s="3" t="str">
        <f>IFERROR(__xludf.DUMMYFUNCTION("""COMPUTED_VALUE"""),"madaleinenelson@gmail.com")</f>
        <v>madaleinenelson@gmail.com</v>
      </c>
      <c r="G2781" s="3">
        <f>IFERROR(__xludf.DUMMYFUNCTION("""COMPUTED_VALUE"""),6.475283475E9)</f>
        <v>6475283475</v>
      </c>
      <c r="H2781" s="3"/>
    </row>
    <row r="2782">
      <c r="A2782" s="2">
        <f>IFERROR(__xludf.DUMMYFUNCTION("""COMPUTED_VALUE"""),23644.0)</f>
        <v>23644</v>
      </c>
      <c r="B2782" s="3" t="str">
        <f>IFERROR(__xludf.DUMMYFUNCTION("""COMPUTED_VALUE"""),"5166 TRAILL RD S")</f>
        <v>5166 TRAILL RD S</v>
      </c>
      <c r="C2782" s="3" t="str">
        <f>IFERROR(__xludf.DUMMYFUNCTION("""COMPUTED_VALUE"""),"GORES LANDING")</f>
        <v>GORES LANDING</v>
      </c>
      <c r="D2782" s="3" t="str">
        <f>IFERROR(__xludf.DUMMYFUNCTION("""COMPUTED_VALUE"""),"K0K 2E0")</f>
        <v>K0K 2E0</v>
      </c>
      <c r="E2782" s="3" t="str">
        <f>IFERROR(__xludf.DUMMYFUNCTION("""COMPUTED_VALUE"""),"tim and valerie russell ")</f>
        <v>tim and valerie russell </v>
      </c>
      <c r="F2782" s="3" t="str">
        <f>IFERROR(__xludf.DUMMYFUNCTION("""COMPUTED_VALUE"""),"timvalrussell@gmail.com")</f>
        <v>timvalrussell@gmail.com</v>
      </c>
      <c r="G2782" s="3">
        <f>IFERROR(__xludf.DUMMYFUNCTION("""COMPUTED_VALUE"""),2.892511052E9)</f>
        <v>2892511052</v>
      </c>
      <c r="H2782" s="3"/>
    </row>
    <row r="2783">
      <c r="A2783" s="2">
        <f>IFERROR(__xludf.DUMMYFUNCTION("""COMPUTED_VALUE"""),23645.0)</f>
        <v>23645</v>
      </c>
      <c r="B2783" s="3" t="str">
        <f>IFERROR(__xludf.DUMMYFUNCTION("""COMPUTED_VALUE"""),"5188 TRAILL RD S")</f>
        <v>5188 TRAILL RD S</v>
      </c>
      <c r="C2783" s="3" t="str">
        <f>IFERROR(__xludf.DUMMYFUNCTION("""COMPUTED_VALUE"""),"GORES LANDING")</f>
        <v>GORES LANDING</v>
      </c>
      <c r="D2783" s="3" t="str">
        <f>IFERROR(__xludf.DUMMYFUNCTION("""COMPUTED_VALUE"""),"K0K 2E0")</f>
        <v>K0K 2E0</v>
      </c>
      <c r="E2783" s="3" t="str">
        <f>IFERROR(__xludf.DUMMYFUNCTION("""COMPUTED_VALUE"""),"jason readman")</f>
        <v>jason readman</v>
      </c>
      <c r="F2783" s="3" t="str">
        <f>IFERROR(__xludf.DUMMYFUNCTION("""COMPUTED_VALUE"""),"jason@vitalydesign.com")</f>
        <v>jason@vitalydesign.com</v>
      </c>
      <c r="G2783" s="3">
        <f>IFERROR(__xludf.DUMMYFUNCTION("""COMPUTED_VALUE"""),6.47938425E9)</f>
        <v>6479384250</v>
      </c>
      <c r="H2783" s="3"/>
    </row>
    <row r="2784">
      <c r="A2784" s="2">
        <f>IFERROR(__xludf.DUMMYFUNCTION("""COMPUTED_VALUE"""),23646.0)</f>
        <v>23646</v>
      </c>
      <c r="B2784" s="3" t="str">
        <f>IFERROR(__xludf.DUMMYFUNCTION("""COMPUTED_VALUE"""),"5191 TRAILL RD S")</f>
        <v>5191 TRAILL RD S</v>
      </c>
      <c r="C2784" s="3" t="str">
        <f>IFERROR(__xludf.DUMMYFUNCTION("""COMPUTED_VALUE"""),"GORES LANDING")</f>
        <v>GORES LANDING</v>
      </c>
      <c r="D2784" s="3" t="str">
        <f>IFERROR(__xludf.DUMMYFUNCTION("""COMPUTED_VALUE"""),"K0K 2E0")</f>
        <v>K0K 2E0</v>
      </c>
      <c r="E2784" s="3" t="str">
        <f>IFERROR(__xludf.DUMMYFUNCTION("""COMPUTED_VALUE"""),"bruno bourgoin")</f>
        <v>bruno bourgoin</v>
      </c>
      <c r="F2784" s="3" t="str">
        <f>IFERROR(__xludf.DUMMYFUNCTION("""COMPUTED_VALUE"""),"ve3uxr@gmail.com")</f>
        <v>ve3uxr@gmail.com</v>
      </c>
      <c r="G2784" s="3">
        <f>IFERROR(__xludf.DUMMYFUNCTION("""COMPUTED_VALUE"""),9.053767195E9)</f>
        <v>9053767195</v>
      </c>
      <c r="H2784" s="3"/>
    </row>
    <row r="2785">
      <c r="A2785" s="2">
        <f>IFERROR(__xludf.DUMMYFUNCTION("""COMPUTED_VALUE"""),23647.0)</f>
        <v>23647</v>
      </c>
      <c r="B2785" s="3" t="str">
        <f>IFERROR(__xludf.DUMMYFUNCTION("""COMPUTED_VALUE"""),"5225 TRAILL RD S")</f>
        <v>5225 TRAILL RD S</v>
      </c>
      <c r="C2785" s="3" t="str">
        <f>IFERROR(__xludf.DUMMYFUNCTION("""COMPUTED_VALUE"""),"GORES LANDING")</f>
        <v>GORES LANDING</v>
      </c>
      <c r="D2785" s="3" t="str">
        <f>IFERROR(__xludf.DUMMYFUNCTION("""COMPUTED_VALUE"""),"K0K 2E0")</f>
        <v>K0K 2E0</v>
      </c>
      <c r="E2785" s="3" t="str">
        <f>IFERROR(__xludf.DUMMYFUNCTION("""COMPUTED_VALUE"""),"ROBERT HARDING")</f>
        <v>ROBERT HARDING</v>
      </c>
      <c r="F2785" s="3" t="str">
        <f>IFERROR(__xludf.DUMMYFUNCTION("""COMPUTED_VALUE"""),"bob@harding4.com")</f>
        <v>bob@harding4.com</v>
      </c>
      <c r="G2785" s="3"/>
      <c r="H2785" s="3"/>
    </row>
    <row r="2786">
      <c r="A2786" s="2">
        <f>IFERROR(__xludf.DUMMYFUNCTION("""COMPUTED_VALUE"""),23157.0)</f>
        <v>23157</v>
      </c>
      <c r="B2786" s="3" t="str">
        <f>IFERROR(__xludf.DUMMYFUNCTION("""COMPUTED_VALUE"""),"9303 RACETRACK RD")</f>
        <v>9303 RACETRACK RD</v>
      </c>
      <c r="C2786" s="3" t="str">
        <f>IFERROR(__xludf.DUMMYFUNCTION("""COMPUTED_VALUE"""),"BALTIMORE")</f>
        <v>BALTIMORE</v>
      </c>
      <c r="D2786" s="3" t="str">
        <f>IFERROR(__xludf.DUMMYFUNCTION("""COMPUTED_VALUE"""),"K0K 1C0")</f>
        <v>K0K 1C0</v>
      </c>
      <c r="E2786" s="3"/>
      <c r="F2786" s="3"/>
      <c r="G2786" s="3"/>
      <c r="H2786" s="3"/>
    </row>
    <row r="2787">
      <c r="A2787" s="2">
        <f>IFERROR(__xludf.DUMMYFUNCTION("""COMPUTED_VALUE"""),23238.0)</f>
        <v>23238</v>
      </c>
      <c r="B2787" s="3" t="str">
        <f>IFERROR(__xludf.DUMMYFUNCTION("""COMPUTED_VALUE"""),"4048 ROY HERRON RD")</f>
        <v>4048 ROY HERRON RD</v>
      </c>
      <c r="C2787" s="3" t="str">
        <f>IFERROR(__xludf.DUMMYFUNCTION("""COMPUTED_VALUE"""),"COBOURG")</f>
        <v>COBOURG</v>
      </c>
      <c r="D2787" s="3" t="str">
        <f>IFERROR(__xludf.DUMMYFUNCTION("""COMPUTED_VALUE"""),"K9A 4J9")</f>
        <v>K9A 4J9</v>
      </c>
      <c r="E2787" s="3" t="str">
        <f>IFERROR(__xludf.DUMMYFUNCTION("""COMPUTED_VALUE"""),"marc grenier")</f>
        <v>marc grenier</v>
      </c>
      <c r="F2787" s="3" t="str">
        <f>IFERROR(__xludf.DUMMYFUNCTION("""COMPUTED_VALUE"""),"marc_grenier@outlook.com")</f>
        <v>marc_grenier@outlook.com</v>
      </c>
      <c r="G2787" s="3">
        <f>IFERROR(__xludf.DUMMYFUNCTION("""COMPUTED_VALUE"""),9.053765122E9)</f>
        <v>9053765122</v>
      </c>
      <c r="H2787" s="3">
        <f>IFERROR(__xludf.DUMMYFUNCTION("""COMPUTED_VALUE"""),9.053425281E9)</f>
        <v>9053425281</v>
      </c>
    </row>
    <row r="2788">
      <c r="A2788" s="2">
        <f>IFERROR(__xludf.DUMMYFUNCTION("""COMPUTED_VALUE"""),23241.0)</f>
        <v>23241</v>
      </c>
      <c r="B2788" s="3" t="str">
        <f>IFERROR(__xludf.DUMMYFUNCTION("""COMPUTED_VALUE"""),"4061 ROY HERRON RD")</f>
        <v>4061 ROY HERRON RD</v>
      </c>
      <c r="C2788" s="3" t="str">
        <f>IFERROR(__xludf.DUMMYFUNCTION("""COMPUTED_VALUE"""),"COBOURG")</f>
        <v>COBOURG</v>
      </c>
      <c r="D2788" s="3" t="str">
        <f>IFERROR(__xludf.DUMMYFUNCTION("""COMPUTED_VALUE"""),"K9A 4J9")</f>
        <v>K9A 4J9</v>
      </c>
      <c r="E2788" s="3" t="str">
        <f>IFERROR(__xludf.DUMMYFUNCTION("""COMPUTED_VALUE"""),"louis m button")</f>
        <v>louis m button</v>
      </c>
      <c r="F2788" s="3"/>
      <c r="G2788" s="3">
        <f>IFERROR(__xludf.DUMMYFUNCTION("""COMPUTED_VALUE"""),9.053425644E9)</f>
        <v>9053425644</v>
      </c>
      <c r="H2788" s="3"/>
    </row>
    <row r="2789">
      <c r="A2789" s="2">
        <f>IFERROR(__xludf.DUMMYFUNCTION("""COMPUTED_VALUE"""),23655.0)</f>
        <v>23655</v>
      </c>
      <c r="B2789" s="3" t="str">
        <f>IFERROR(__xludf.DUMMYFUNCTION("""COMPUTED_VALUE"""),"9241 TURK RD")</f>
        <v>9241 TURK RD</v>
      </c>
      <c r="C2789" s="3" t="str">
        <f>IFERROR(__xludf.DUMMYFUNCTION("""COMPUTED_VALUE"""),"BALTIMORE")</f>
        <v>BALTIMORE</v>
      </c>
      <c r="D2789" s="3" t="str">
        <f>IFERROR(__xludf.DUMMYFUNCTION("""COMPUTED_VALUE"""),"K0K 1C0")</f>
        <v>K0K 1C0</v>
      </c>
      <c r="E2789" s="3" t="str">
        <f>IFERROR(__xludf.DUMMYFUNCTION("""COMPUTED_VALUE"""),"dorenda turk")</f>
        <v>dorenda turk</v>
      </c>
      <c r="F2789" s="3" t="str">
        <f>IFERROR(__xludf.DUMMYFUNCTION("""COMPUTED_VALUE"""),"dorendaturk@xplornet.ca")</f>
        <v>dorendaturk@xplornet.ca</v>
      </c>
      <c r="G2789" s="3">
        <f>IFERROR(__xludf.DUMMYFUNCTION("""COMPUTED_VALUE"""),9.053425609E9)</f>
        <v>9053425609</v>
      </c>
      <c r="H2789" s="3"/>
    </row>
    <row r="2790">
      <c r="A2790" s="2">
        <f>IFERROR(__xludf.DUMMYFUNCTION("""COMPUTED_VALUE"""),21353.0)</f>
        <v>21353</v>
      </c>
      <c r="B2790" s="3" t="str">
        <f>IFERROR(__xludf.DUMMYFUNCTION("""COMPUTED_VALUE"""),"8705 DALE RD")</f>
        <v>8705 DALE RD</v>
      </c>
      <c r="C2790" s="3" t="str">
        <f>IFERROR(__xludf.DUMMYFUNCTION("""COMPUTED_VALUE"""),"COBOURG")</f>
        <v>COBOURG</v>
      </c>
      <c r="D2790" s="3" t="str">
        <f>IFERROR(__xludf.DUMMYFUNCTION("""COMPUTED_VALUE"""),"K9A 0M5")</f>
        <v>K9A 0M5</v>
      </c>
      <c r="E2790" s="3" t="str">
        <f>IFERROR(__xludf.DUMMYFUNCTION("""COMPUTED_VALUE"""),"Edward Van Netten")</f>
        <v>Edward Van Netten</v>
      </c>
      <c r="F2790" s="3" t="str">
        <f>IFERROR(__xludf.DUMMYFUNCTION("""COMPUTED_VALUE"""),"ted.hildavannetten@gmail.com")</f>
        <v>ted.hildavannetten@gmail.com</v>
      </c>
      <c r="G2790" s="3"/>
      <c r="H2790" s="3"/>
    </row>
    <row r="2791">
      <c r="A2791" s="2">
        <f>IFERROR(__xludf.DUMMYFUNCTION("""COMPUTED_VALUE"""),21355.0)</f>
        <v>21355</v>
      </c>
      <c r="B2791" s="3" t="str">
        <f>IFERROR(__xludf.DUMMYFUNCTION("""COMPUTED_VALUE"""),"8714 DALE RD")</f>
        <v>8714 DALE RD</v>
      </c>
      <c r="C2791" s="3" t="str">
        <f>IFERROR(__xludf.DUMMYFUNCTION("""COMPUTED_VALUE"""),"COBOURG")</f>
        <v>COBOURG</v>
      </c>
      <c r="D2791" s="3" t="str">
        <f>IFERROR(__xludf.DUMMYFUNCTION("""COMPUTED_VALUE"""),"K9A 0M4")</f>
        <v>K9A 0M4</v>
      </c>
      <c r="E2791" s="3"/>
      <c r="F2791" s="3"/>
      <c r="G2791" s="3"/>
      <c r="H2791" s="3"/>
    </row>
    <row r="2792">
      <c r="A2792" s="2">
        <f>IFERROR(__xludf.DUMMYFUNCTION("""COMPUTED_VALUE"""),21357.0)</f>
        <v>21357</v>
      </c>
      <c r="B2792" s="3" t="str">
        <f>IFERROR(__xludf.DUMMYFUNCTION("""COMPUTED_VALUE"""),"8726 DALE RD")</f>
        <v>8726 DALE RD</v>
      </c>
      <c r="C2792" s="3" t="str">
        <f>IFERROR(__xludf.DUMMYFUNCTION("""COMPUTED_VALUE"""),"COBOURG")</f>
        <v>COBOURG</v>
      </c>
      <c r="D2792" s="3" t="str">
        <f>IFERROR(__xludf.DUMMYFUNCTION("""COMPUTED_VALUE"""),"K9A 0M4")</f>
        <v>K9A 0M4</v>
      </c>
      <c r="E2792" s="3" t="str">
        <f>IFERROR(__xludf.DUMMYFUNCTION("""COMPUTED_VALUE"""),"Mike Watt")</f>
        <v>Mike Watt</v>
      </c>
      <c r="F2792" s="3"/>
      <c r="G2792" s="3">
        <f>IFERROR(__xludf.DUMMYFUNCTION("""COMPUTED_VALUE"""),9.053765592E9)</f>
        <v>9053765592</v>
      </c>
      <c r="H2792" s="3"/>
    </row>
    <row r="2793">
      <c r="A2793" s="2">
        <f>IFERROR(__xludf.DUMMYFUNCTION("""COMPUTED_VALUE"""),21358.0)</f>
        <v>21358</v>
      </c>
      <c r="B2793" s="3" t="str">
        <f>IFERROR(__xludf.DUMMYFUNCTION("""COMPUTED_VALUE"""),"8740 DALE RD")</f>
        <v>8740 DALE RD</v>
      </c>
      <c r="C2793" s="3" t="str">
        <f>IFERROR(__xludf.DUMMYFUNCTION("""COMPUTED_VALUE"""),"COBOURG")</f>
        <v>COBOURG</v>
      </c>
      <c r="D2793" s="3" t="str">
        <f>IFERROR(__xludf.DUMMYFUNCTION("""COMPUTED_VALUE"""),"K9A 0M4")</f>
        <v>K9A 0M4</v>
      </c>
      <c r="E2793" s="3" t="str">
        <f>IFERROR(__xludf.DUMMYFUNCTION("""COMPUTED_VALUE"""),"Charlie Harnden")</f>
        <v>Charlie Harnden</v>
      </c>
      <c r="F2793" s="3" t="str">
        <f>IFERROR(__xludf.DUMMYFUNCTION("""COMPUTED_VALUE"""),"harnden.haulage@hotmail.ca")</f>
        <v>harnden.haulage@hotmail.ca</v>
      </c>
      <c r="G2793" s="3">
        <f>IFERROR(__xludf.DUMMYFUNCTION("""COMPUTED_VALUE"""),9.053728343E9)</f>
        <v>9053728343</v>
      </c>
      <c r="H2793" s="3">
        <f>IFERROR(__xludf.DUMMYFUNCTION("""COMPUTED_VALUE"""),9.053775334E9)</f>
        <v>9053775334</v>
      </c>
    </row>
    <row r="2794">
      <c r="A2794" s="2">
        <f>IFERROR(__xludf.DUMMYFUNCTION("""COMPUTED_VALUE"""),23660.0)</f>
        <v>23660</v>
      </c>
      <c r="B2794" s="3" t="str">
        <f>IFERROR(__xludf.DUMMYFUNCTION("""COMPUTED_VALUE"""),"9322 TURK RD")</f>
        <v>9322 TURK RD</v>
      </c>
      <c r="C2794" s="3" t="str">
        <f>IFERROR(__xludf.DUMMYFUNCTION("""COMPUTED_VALUE"""),"BALTIMORE")</f>
        <v>BALTIMORE</v>
      </c>
      <c r="D2794" s="3" t="str">
        <f>IFERROR(__xludf.DUMMYFUNCTION("""COMPUTED_VALUE"""),"K0K 1C0")</f>
        <v>K0K 1C0</v>
      </c>
      <c r="E2794" s="3"/>
      <c r="F2794" s="3"/>
      <c r="G2794" s="3"/>
      <c r="H2794" s="3"/>
    </row>
    <row r="2795">
      <c r="A2795" s="2">
        <f>IFERROR(__xludf.DUMMYFUNCTION("""COMPUTED_VALUE"""),23661.0)</f>
        <v>23661</v>
      </c>
      <c r="B2795" s="3" t="str">
        <f>IFERROR(__xludf.DUMMYFUNCTION("""COMPUTED_VALUE"""),"9393 TURK RD")</f>
        <v>9393 TURK RD</v>
      </c>
      <c r="C2795" s="3" t="str">
        <f>IFERROR(__xludf.DUMMYFUNCTION("""COMPUTED_VALUE"""),"BALTIMORE")</f>
        <v>BALTIMORE</v>
      </c>
      <c r="D2795" s="3" t="str">
        <f>IFERROR(__xludf.DUMMYFUNCTION("""COMPUTED_VALUE"""),"K0K 1C0")</f>
        <v>K0K 1C0</v>
      </c>
      <c r="E2795" s="3" t="str">
        <f>IFERROR(__xludf.DUMMYFUNCTION("""COMPUTED_VALUE"""),"Allan Metsalo")</f>
        <v>Allan Metsalo</v>
      </c>
      <c r="F2795" s="3" t="str">
        <f>IFERROR(__xludf.DUMMYFUNCTION("""COMPUTED_VALUE"""),"ametsalo@icloud.com")</f>
        <v>ametsalo@icloud.com</v>
      </c>
      <c r="G2795" s="3">
        <f>IFERROR(__xludf.DUMMYFUNCTION("""COMPUTED_VALUE"""),6.475027229E9)</f>
        <v>6475027229</v>
      </c>
      <c r="H2795" s="3"/>
    </row>
    <row r="2796">
      <c r="A2796" s="2">
        <f>IFERROR(__xludf.DUMMYFUNCTION("""COMPUTED_VALUE"""),23662.0)</f>
        <v>23662</v>
      </c>
      <c r="B2796" s="3" t="str">
        <f>IFERROR(__xludf.DUMMYFUNCTION("""COMPUTED_VALUE"""),"9398 TURK RD")</f>
        <v>9398 TURK RD</v>
      </c>
      <c r="C2796" s="3" t="str">
        <f>IFERROR(__xludf.DUMMYFUNCTION("""COMPUTED_VALUE"""),"BALTIMORE")</f>
        <v>BALTIMORE</v>
      </c>
      <c r="D2796" s="3" t="str">
        <f>IFERROR(__xludf.DUMMYFUNCTION("""COMPUTED_VALUE"""),"K0K 1C0")</f>
        <v>K0K 1C0</v>
      </c>
      <c r="E2796" s="3" t="str">
        <f>IFERROR(__xludf.DUMMYFUNCTION("""COMPUTED_VALUE"""),"nathan copeland")</f>
        <v>nathan copeland</v>
      </c>
      <c r="F2796" s="3" t="str">
        <f>IFERROR(__xludf.DUMMYFUNCTION("""COMPUTED_VALUE"""),"nathan.tyler.copeland@gmail.com")</f>
        <v>nathan.tyler.copeland@gmail.com</v>
      </c>
      <c r="G2796" s="3">
        <f>IFERROR(__xludf.DUMMYFUNCTION("""COMPUTED_VALUE"""),9.052690802E9)</f>
        <v>9052690802</v>
      </c>
      <c r="H2796" s="3"/>
    </row>
    <row r="2797">
      <c r="A2797" s="2">
        <f>IFERROR(__xludf.DUMMYFUNCTION("""COMPUTED_VALUE"""),21360.0)</f>
        <v>21360</v>
      </c>
      <c r="B2797" s="3" t="str">
        <f>IFERROR(__xludf.DUMMYFUNCTION("""COMPUTED_VALUE"""),"8754 DALE RD")</f>
        <v>8754 DALE RD</v>
      </c>
      <c r="C2797" s="3" t="str">
        <f>IFERROR(__xludf.DUMMYFUNCTION("""COMPUTED_VALUE"""),"COBOURG")</f>
        <v>COBOURG</v>
      </c>
      <c r="D2797" s="3" t="str">
        <f>IFERROR(__xludf.DUMMYFUNCTION("""COMPUTED_VALUE"""),"K9A 0M4")</f>
        <v>K9A 0M4</v>
      </c>
      <c r="E2797" s="3"/>
      <c r="F2797" s="3"/>
      <c r="G2797" s="3"/>
      <c r="H2797" s="3"/>
    </row>
    <row r="2798">
      <c r="A2798" s="2">
        <f>IFERROR(__xludf.DUMMYFUNCTION("""COMPUTED_VALUE"""),23664.0)</f>
        <v>23664</v>
      </c>
      <c r="B2798" s="3" t="str">
        <f>IFERROR(__xludf.DUMMYFUNCTION("""COMPUTED_VALUE"""),"9568 TURK RD")</f>
        <v>9568 TURK RD</v>
      </c>
      <c r="C2798" s="3" t="str">
        <f>IFERROR(__xludf.DUMMYFUNCTION("""COMPUTED_VALUE"""),"BALTIMORE")</f>
        <v>BALTIMORE</v>
      </c>
      <c r="D2798" s="3" t="str">
        <f>IFERROR(__xludf.DUMMYFUNCTION("""COMPUTED_VALUE"""),"K0K 1C0")</f>
        <v>K0K 1C0</v>
      </c>
      <c r="E2798" s="3"/>
      <c r="F2798" s="3"/>
      <c r="G2798" s="3"/>
      <c r="H2798" s="3"/>
    </row>
    <row r="2799">
      <c r="A2799" s="2">
        <f>IFERROR(__xludf.DUMMYFUNCTION("""COMPUTED_VALUE"""),21387.0)</f>
        <v>21387</v>
      </c>
      <c r="B2799" s="3" t="str">
        <f>IFERROR(__xludf.DUMMYFUNCTION("""COMPUTED_VALUE"""),"9144 DALE RD")</f>
        <v>9144 DALE RD</v>
      </c>
      <c r="C2799" s="3" t="str">
        <f>IFERROR(__xludf.DUMMYFUNCTION("""COMPUTED_VALUE"""),"COBOURG")</f>
        <v>COBOURG</v>
      </c>
      <c r="D2799" s="3" t="str">
        <f>IFERROR(__xludf.DUMMYFUNCTION("""COMPUTED_VALUE"""),"K9A 4J9")</f>
        <v>K9A 4J9</v>
      </c>
      <c r="E2799" s="3"/>
      <c r="F2799" s="3"/>
      <c r="G2799" s="3"/>
      <c r="H2799" s="3"/>
    </row>
    <row r="2800">
      <c r="A2800" s="2">
        <f>IFERROR(__xludf.DUMMYFUNCTION("""COMPUTED_VALUE"""),23666.0)</f>
        <v>23666</v>
      </c>
      <c r="B2800" s="3" t="str">
        <f>IFERROR(__xludf.DUMMYFUNCTION("""COMPUTED_VALUE"""),"9589 TURK RD")</f>
        <v>9589 TURK RD</v>
      </c>
      <c r="C2800" s="3" t="str">
        <f>IFERROR(__xludf.DUMMYFUNCTION("""COMPUTED_VALUE"""),"BALTIMORE")</f>
        <v>BALTIMORE</v>
      </c>
      <c r="D2800" s="3" t="str">
        <f>IFERROR(__xludf.DUMMYFUNCTION("""COMPUTED_VALUE"""),"K0K 1C0")</f>
        <v>K0K 1C0</v>
      </c>
      <c r="E2800" s="3" t="str">
        <f>IFERROR(__xludf.DUMMYFUNCTION("""COMPUTED_VALUE"""),"paul robison")</f>
        <v>paul robison</v>
      </c>
      <c r="F2800" s="3" t="str">
        <f>IFERROR(__xludf.DUMMYFUNCTION("""COMPUTED_VALUE"""),"paul69robison@gmail.com")</f>
        <v>paul69robison@gmail.com</v>
      </c>
      <c r="G2800" s="3">
        <f>IFERROR(__xludf.DUMMYFUNCTION("""COMPUTED_VALUE"""),9.052073762E9)</f>
        <v>9052073762</v>
      </c>
      <c r="H2800" s="3"/>
    </row>
    <row r="2801">
      <c r="A2801" s="2">
        <f>IFERROR(__xludf.DUMMYFUNCTION("""COMPUTED_VALUE"""),23667.0)</f>
        <v>23667</v>
      </c>
      <c r="B2801" s="3" t="str">
        <f>IFERROR(__xludf.DUMMYFUNCTION("""COMPUTED_VALUE"""),"9595 TURK RD")</f>
        <v>9595 TURK RD</v>
      </c>
      <c r="C2801" s="3" t="str">
        <f>IFERROR(__xludf.DUMMYFUNCTION("""COMPUTED_VALUE"""),"BALTIMORE")</f>
        <v>BALTIMORE</v>
      </c>
      <c r="D2801" s="3" t="str">
        <f>IFERROR(__xludf.DUMMYFUNCTION("""COMPUTED_VALUE"""),"K0K 1C0")</f>
        <v>K0K 1C0</v>
      </c>
      <c r="E2801" s="3"/>
      <c r="F2801" s="3"/>
      <c r="G2801" s="3"/>
      <c r="H2801" s="3"/>
    </row>
    <row r="2802">
      <c r="A2802" s="2">
        <f>IFERROR(__xludf.DUMMYFUNCTION("""COMPUTED_VALUE"""),23668.0)</f>
        <v>23668</v>
      </c>
      <c r="B2802" s="3" t="str">
        <f>IFERROR(__xludf.DUMMYFUNCTION("""COMPUTED_VALUE"""),"9604 TURK RD")</f>
        <v>9604 TURK RD</v>
      </c>
      <c r="C2802" s="3" t="str">
        <f>IFERROR(__xludf.DUMMYFUNCTION("""COMPUTED_VALUE"""),"BALTIMORE")</f>
        <v>BALTIMORE</v>
      </c>
      <c r="D2802" s="3" t="str">
        <f>IFERROR(__xludf.DUMMYFUNCTION("""COMPUTED_VALUE"""),"K0K 1C0")</f>
        <v>K0K 1C0</v>
      </c>
      <c r="E2802" s="3" t="str">
        <f>IFERROR(__xludf.DUMMYFUNCTION("""COMPUTED_VALUE"""),"John mamo")</f>
        <v>John mamo</v>
      </c>
      <c r="F2802" s="3" t="str">
        <f>IFERROR(__xludf.DUMMYFUNCTION("""COMPUTED_VALUE"""),"johnrossmamo@gmail.com")</f>
        <v>johnrossmamo@gmail.com</v>
      </c>
      <c r="G2802" s="3">
        <f>IFERROR(__xludf.DUMMYFUNCTION("""COMPUTED_VALUE"""),9.052432632E9)</f>
        <v>9052432632</v>
      </c>
      <c r="H2802" s="3"/>
    </row>
    <row r="2803">
      <c r="A2803" s="2">
        <f>IFERROR(__xludf.DUMMYFUNCTION("""COMPUTED_VALUE"""),23669.0)</f>
        <v>23669</v>
      </c>
      <c r="B2803" s="3" t="str">
        <f>IFERROR(__xludf.DUMMYFUNCTION("""COMPUTED_VALUE"""),"9607 TURK RD")</f>
        <v>9607 TURK RD</v>
      </c>
      <c r="C2803" s="3" t="str">
        <f>IFERROR(__xludf.DUMMYFUNCTION("""COMPUTED_VALUE"""),"BALTIMORE")</f>
        <v>BALTIMORE</v>
      </c>
      <c r="D2803" s="3" t="str">
        <f>IFERROR(__xludf.DUMMYFUNCTION("""COMPUTED_VALUE"""),"K0K 1C0")</f>
        <v>K0K 1C0</v>
      </c>
      <c r="E2803" s="3" t="str">
        <f>IFERROR(__xludf.DUMMYFUNCTION("""COMPUTED_VALUE"""),"Jordan Britnell")</f>
        <v>Jordan Britnell</v>
      </c>
      <c r="F2803" s="3" t="str">
        <f>IFERROR(__xludf.DUMMYFUNCTION("""COMPUTED_VALUE"""),"jordan.britnell1969@gmail.com")</f>
        <v>jordan.britnell1969@gmail.com</v>
      </c>
      <c r="G2803" s="3">
        <f>IFERROR(__xludf.DUMMYFUNCTION("""COMPUTED_VALUE"""),4.169973102E9)</f>
        <v>4169973102</v>
      </c>
      <c r="H2803" s="3"/>
    </row>
    <row r="2804">
      <c r="A2804" s="2">
        <f>IFERROR(__xludf.DUMMYFUNCTION("""COMPUTED_VALUE"""),23670.0)</f>
        <v>23670</v>
      </c>
      <c r="B2804" s="3" t="str">
        <f>IFERROR(__xludf.DUMMYFUNCTION("""COMPUTED_VALUE"""),"9640 TURK RD")</f>
        <v>9640 TURK RD</v>
      </c>
      <c r="C2804" s="3" t="str">
        <f>IFERROR(__xludf.DUMMYFUNCTION("""COMPUTED_VALUE"""),"BALTIMORE")</f>
        <v>BALTIMORE</v>
      </c>
      <c r="D2804" s="3" t="str">
        <f>IFERROR(__xludf.DUMMYFUNCTION("""COMPUTED_VALUE"""),"K0K 1C0")</f>
        <v>K0K 1C0</v>
      </c>
      <c r="E2804" s="3" t="str">
        <f>IFERROR(__xludf.DUMMYFUNCTION("""COMPUTED_VALUE"""),"ASHLEIGH OLIVER")</f>
        <v>ASHLEIGH OLIVER</v>
      </c>
      <c r="F2804" s="3" t="str">
        <f>IFERROR(__xludf.DUMMYFUNCTION("""COMPUTED_VALUE"""),"diversedisplaysales@gmail.com")</f>
        <v>diversedisplaysales@gmail.com</v>
      </c>
      <c r="G2804" s="3"/>
      <c r="H2804" s="3"/>
    </row>
    <row r="2805">
      <c r="A2805" s="2">
        <f>IFERROR(__xludf.DUMMYFUNCTION("""COMPUTED_VALUE"""),23671.0)</f>
        <v>23671</v>
      </c>
      <c r="B2805" s="3" t="str">
        <f>IFERROR(__xludf.DUMMYFUNCTION("""COMPUTED_VALUE"""),"9655 TURK RD")</f>
        <v>9655 TURK RD</v>
      </c>
      <c r="C2805" s="3" t="str">
        <f>IFERROR(__xludf.DUMMYFUNCTION("""COMPUTED_VALUE"""),"BALTIMORE")</f>
        <v>BALTIMORE</v>
      </c>
      <c r="D2805" s="3" t="str">
        <f>IFERROR(__xludf.DUMMYFUNCTION("""COMPUTED_VALUE"""),"K0K 1C0")</f>
        <v>K0K 1C0</v>
      </c>
      <c r="E2805" s="3" t="str">
        <f>IFERROR(__xludf.DUMMYFUNCTION("""COMPUTED_VALUE"""),"Cory Eagleson")</f>
        <v>Cory Eagleson</v>
      </c>
      <c r="F2805" s="3" t="str">
        <f>IFERROR(__xludf.DUMMYFUNCTION("""COMPUTED_VALUE"""),"cory.eagleson@gmail.com")</f>
        <v>cory.eagleson@gmail.com</v>
      </c>
      <c r="G2805" s="3"/>
      <c r="H2805" s="3"/>
    </row>
    <row r="2806">
      <c r="A2806" s="2">
        <f>IFERROR(__xludf.DUMMYFUNCTION("""COMPUTED_VALUE"""),23672.0)</f>
        <v>23672</v>
      </c>
      <c r="B2806" s="3" t="str">
        <f>IFERROR(__xludf.DUMMYFUNCTION("""COMPUTED_VALUE"""),"9656 TURK RD")</f>
        <v>9656 TURK RD</v>
      </c>
      <c r="C2806" s="3" t="str">
        <f>IFERROR(__xludf.DUMMYFUNCTION("""COMPUTED_VALUE"""),"BALTIMORE")</f>
        <v>BALTIMORE</v>
      </c>
      <c r="D2806" s="3" t="str">
        <f>IFERROR(__xludf.DUMMYFUNCTION("""COMPUTED_VALUE"""),"K0K 1C0")</f>
        <v>K0K 1C0</v>
      </c>
      <c r="E2806" s="3"/>
      <c r="F2806" s="3"/>
      <c r="G2806" s="3"/>
      <c r="H2806" s="3"/>
    </row>
    <row r="2807">
      <c r="A2807" s="2">
        <f>IFERROR(__xludf.DUMMYFUNCTION("""COMPUTED_VALUE"""),21395.0)</f>
        <v>21395</v>
      </c>
      <c r="B2807" s="3" t="str">
        <f>IFERROR(__xludf.DUMMYFUNCTION("""COMPUTED_VALUE"""),"9262 DALE RD")</f>
        <v>9262 DALE RD</v>
      </c>
      <c r="C2807" s="3" t="str">
        <f>IFERROR(__xludf.DUMMYFUNCTION("""COMPUTED_VALUE"""),"COBOURG")</f>
        <v>COBOURG</v>
      </c>
      <c r="D2807" s="3" t="str">
        <f>IFERROR(__xludf.DUMMYFUNCTION("""COMPUTED_VALUE"""),"K9A 4J9")</f>
        <v>K9A 4J9</v>
      </c>
      <c r="E2807" s="3" t="str">
        <f>IFERROR(__xludf.DUMMYFUNCTION("""COMPUTED_VALUE"""),"Chrystal Swan")</f>
        <v>Chrystal Swan</v>
      </c>
      <c r="F2807" s="3" t="str">
        <f>IFERROR(__xludf.DUMMYFUNCTION("""COMPUTED_VALUE"""),"chrystalswan@hotmail.com")</f>
        <v>chrystalswan@hotmail.com</v>
      </c>
      <c r="G2807" s="3">
        <f>IFERROR(__xludf.DUMMYFUNCTION("""COMPUTED_VALUE"""),9.053727926E9)</f>
        <v>9053727926</v>
      </c>
      <c r="H2807" s="3"/>
    </row>
    <row r="2808">
      <c r="A2808" s="2">
        <f>IFERROR(__xludf.DUMMYFUNCTION("""COMPUTED_VALUE"""),21400.0)</f>
        <v>21400</v>
      </c>
      <c r="B2808" s="3" t="str">
        <f>IFERROR(__xludf.DUMMYFUNCTION("""COMPUTED_VALUE"""),"8738A DALE RD")</f>
        <v>8738A DALE RD</v>
      </c>
      <c r="C2808" s="3" t="str">
        <f>IFERROR(__xludf.DUMMYFUNCTION("""COMPUTED_VALUE"""),"COBOURG")</f>
        <v>COBOURG</v>
      </c>
      <c r="D2808" s="3" t="str">
        <f>IFERROR(__xludf.DUMMYFUNCTION("""COMPUTED_VALUE"""),"K9A 4J9")</f>
        <v>K9A 4J9</v>
      </c>
      <c r="E2808" s="3" t="str">
        <f>IFERROR(__xludf.DUMMYFUNCTION("""COMPUTED_VALUE"""),"john a snetsinger")</f>
        <v>john a snetsinger</v>
      </c>
      <c r="F2808" s="3" t="str">
        <f>IFERROR(__xludf.DUMMYFUNCTION("""COMPUTED_VALUE"""),"snetty64@gmail.com")</f>
        <v>snetty64@gmail.com</v>
      </c>
      <c r="G2808" s="3">
        <f>IFERROR(__xludf.DUMMYFUNCTION("""COMPUTED_VALUE"""),9.053961779E9)</f>
        <v>9053961779</v>
      </c>
      <c r="H2808" s="3">
        <f>IFERROR(__xludf.DUMMYFUNCTION("""COMPUTED_VALUE"""),9.053771778E9)</f>
        <v>9053771778</v>
      </c>
    </row>
    <row r="2809">
      <c r="A2809" s="2">
        <f>IFERROR(__xludf.DUMMYFUNCTION("""COMPUTED_VALUE"""),23675.0)</f>
        <v>23675</v>
      </c>
      <c r="B2809" s="3" t="str">
        <f>IFERROR(__xludf.DUMMYFUNCTION("""COMPUTED_VALUE"""),"9678 TURK RD")</f>
        <v>9678 TURK RD</v>
      </c>
      <c r="C2809" s="3" t="str">
        <f>IFERROR(__xludf.DUMMYFUNCTION("""COMPUTED_VALUE"""),"BALTIMORE")</f>
        <v>BALTIMORE</v>
      </c>
      <c r="D2809" s="3" t="str">
        <f>IFERROR(__xludf.DUMMYFUNCTION("""COMPUTED_VALUE"""),"K0K 1C0")</f>
        <v>K0K 1C0</v>
      </c>
      <c r="E2809" s="3" t="str">
        <f>IFERROR(__xludf.DUMMYFUNCTION("""COMPUTED_VALUE"""),"Victoria Timlin")</f>
        <v>Victoria Timlin</v>
      </c>
      <c r="F2809" s="3" t="str">
        <f>IFERROR(__xludf.DUMMYFUNCTION("""COMPUTED_VALUE"""),"victoriaanntimlin@gmail.com")</f>
        <v>victoriaanntimlin@gmail.com</v>
      </c>
      <c r="G2809" s="3">
        <f>IFERROR(__xludf.DUMMYFUNCTION("""COMPUTED_VALUE"""),9.053968674E9)</f>
        <v>9053968674</v>
      </c>
      <c r="H2809" s="3"/>
    </row>
    <row r="2810">
      <c r="A2810" s="2">
        <f>IFERROR(__xludf.DUMMYFUNCTION("""COMPUTED_VALUE"""),21401.0)</f>
        <v>21401</v>
      </c>
      <c r="B2810" s="3" t="str">
        <f>IFERROR(__xludf.DUMMYFUNCTION("""COMPUTED_VALUE"""),"8738B DALE RD")</f>
        <v>8738B DALE RD</v>
      </c>
      <c r="C2810" s="3" t="str">
        <f>IFERROR(__xludf.DUMMYFUNCTION("""COMPUTED_VALUE"""),"COBOURG")</f>
        <v>COBOURG</v>
      </c>
      <c r="D2810" s="3" t="str">
        <f>IFERROR(__xludf.DUMMYFUNCTION("""COMPUTED_VALUE"""),"K9A 4J9")</f>
        <v>K9A 4J9</v>
      </c>
      <c r="E2810" s="3" t="str">
        <f>IFERROR(__xludf.DUMMYFUNCTION("""COMPUTED_VALUE"""),"john a snetsinger")</f>
        <v>john a snetsinger</v>
      </c>
      <c r="F2810" s="3" t="str">
        <f>IFERROR(__xludf.DUMMYFUNCTION("""COMPUTED_VALUE"""),"snetty64@gmail.com")</f>
        <v>snetty64@gmail.com</v>
      </c>
      <c r="G2810" s="3">
        <f>IFERROR(__xludf.DUMMYFUNCTION("""COMPUTED_VALUE"""),9.053961779E9)</f>
        <v>9053961779</v>
      </c>
      <c r="H2810" s="3">
        <f>IFERROR(__xludf.DUMMYFUNCTION("""COMPUTED_VALUE"""),9.053771778E9)</f>
        <v>9053771778</v>
      </c>
    </row>
    <row r="2811">
      <c r="A2811" s="2">
        <f>IFERROR(__xludf.DUMMYFUNCTION("""COMPUTED_VALUE"""),23476.0)</f>
        <v>23476</v>
      </c>
      <c r="B2811" s="3" t="str">
        <f>IFERROR(__xludf.DUMMYFUNCTION("""COMPUTED_VALUE"""),"5387 SUTTER CREEK DR")</f>
        <v>5387 SUTTER CREEK DR</v>
      </c>
      <c r="C2811" s="3" t="str">
        <f>IFERROR(__xludf.DUMMYFUNCTION("""COMPUTED_VALUE"""),"GORES LANDING")</f>
        <v>GORES LANDING</v>
      </c>
      <c r="D2811" s="3" t="str">
        <f>IFERROR(__xludf.DUMMYFUNCTION("""COMPUTED_VALUE"""),"K0K 2E0")</f>
        <v>K0K 2E0</v>
      </c>
      <c r="E2811" s="3" t="str">
        <f>IFERROR(__xludf.DUMMYFUNCTION("""COMPUTED_VALUE"""),"Renzo &amp; Jenny Corsi")</f>
        <v>Renzo &amp; Jenny Corsi</v>
      </c>
      <c r="F2811" s="3" t="str">
        <f>IFERROR(__xludf.DUMMYFUNCTION("""COMPUTED_VALUE"""),"corsi.jenny@gmail.com")</f>
        <v>corsi.jenny@gmail.com</v>
      </c>
      <c r="G2811" s="3">
        <f>IFERROR(__xludf.DUMMYFUNCTION("""COMPUTED_VALUE"""),9.05978025E9)</f>
        <v>9059780250</v>
      </c>
      <c r="H2811" s="3">
        <f>IFERROR(__xludf.DUMMYFUNCTION("""COMPUTED_VALUE"""),9.059781049E9)</f>
        <v>9059781049</v>
      </c>
    </row>
    <row r="2812">
      <c r="A2812" s="2">
        <f>IFERROR(__xludf.DUMMYFUNCTION("""COMPUTED_VALUE"""),23639.0)</f>
        <v>23639</v>
      </c>
      <c r="B2812" s="3" t="str">
        <f>IFERROR(__xludf.DUMMYFUNCTION("""COMPUTED_VALUE"""),"5303A TRAILL RD N")</f>
        <v>5303A TRAILL RD N</v>
      </c>
      <c r="C2812" s="3" t="str">
        <f>IFERROR(__xludf.DUMMYFUNCTION("""COMPUTED_VALUE"""),"GORES LANDING")</f>
        <v>GORES LANDING</v>
      </c>
      <c r="D2812" s="3" t="str">
        <f>IFERROR(__xludf.DUMMYFUNCTION("""COMPUTED_VALUE"""),"K0K 2E0")</f>
        <v>K0K 2E0</v>
      </c>
      <c r="E2812" s="3" t="str">
        <f>IFERROR(__xludf.DUMMYFUNCTION("""COMPUTED_VALUE"""),"sandra gutteridge")</f>
        <v>sandra gutteridge</v>
      </c>
      <c r="F2812" s="3" t="str">
        <f>IFERROR(__xludf.DUMMYFUNCTION("""COMPUTED_VALUE"""),"sandygutteridge@hotmail.com")</f>
        <v>sandygutteridge@hotmail.com</v>
      </c>
      <c r="G2812" s="3">
        <f>IFERROR(__xludf.DUMMYFUNCTION("""COMPUTED_VALUE"""),2.898290682E9)</f>
        <v>2898290682</v>
      </c>
      <c r="H2812" s="3"/>
    </row>
    <row r="2813">
      <c r="A2813" s="2">
        <f>IFERROR(__xludf.DUMMYFUNCTION("""COMPUTED_VALUE"""),23640.0)</f>
        <v>23640</v>
      </c>
      <c r="B2813" s="3" t="str">
        <f>IFERROR(__xludf.DUMMYFUNCTION("""COMPUTED_VALUE"""),"5303B TRAIL RD N")</f>
        <v>5303B TRAIL RD N</v>
      </c>
      <c r="C2813" s="3" t="str">
        <f>IFERROR(__xludf.DUMMYFUNCTION("""COMPUTED_VALUE"""),"GORES LANDING")</f>
        <v>GORES LANDING</v>
      </c>
      <c r="D2813" s="3" t="str">
        <f>IFERROR(__xludf.DUMMYFUNCTION("""COMPUTED_VALUE"""),"K0K 2E0")</f>
        <v>K0K 2E0</v>
      </c>
      <c r="E2813" s="3" t="str">
        <f>IFERROR(__xludf.DUMMYFUNCTION("""COMPUTED_VALUE"""),"GORD MARSHALL")</f>
        <v>GORD MARSHALL</v>
      </c>
      <c r="F2813" s="3" t="str">
        <f>IFERROR(__xludf.DUMMYFUNCTION("""COMPUTED_VALUE"""),"gord_marshall@yahoo.ca")</f>
        <v>gord_marshall@yahoo.ca</v>
      </c>
      <c r="G2813" s="3">
        <f>IFERROR(__xludf.DUMMYFUNCTION("""COMPUTED_VALUE"""),2.899282691E9)</f>
        <v>2899282691</v>
      </c>
      <c r="H2813" s="3"/>
    </row>
    <row r="2814">
      <c r="A2814" s="2">
        <f>IFERROR(__xludf.DUMMYFUNCTION("""COMPUTED_VALUE"""),23680.0)</f>
        <v>23680</v>
      </c>
      <c r="B2814" s="3" t="str">
        <f>IFERROR(__xludf.DUMMYFUNCTION("""COMPUTED_VALUE"""),"9706 TURK RD")</f>
        <v>9706 TURK RD</v>
      </c>
      <c r="C2814" s="3" t="str">
        <f>IFERROR(__xludf.DUMMYFUNCTION("""COMPUTED_VALUE"""),"BALTIMORE")</f>
        <v>BALTIMORE</v>
      </c>
      <c r="D2814" s="3" t="str">
        <f>IFERROR(__xludf.DUMMYFUNCTION("""COMPUTED_VALUE"""),"K0K 1C0")</f>
        <v>K0K 1C0</v>
      </c>
      <c r="E2814" s="3" t="str">
        <f>IFERROR(__xludf.DUMMYFUNCTION("""COMPUTED_VALUE"""),"greg mcfarland")</f>
        <v>greg mcfarland</v>
      </c>
      <c r="F2814" s="3" t="str">
        <f>IFERROR(__xludf.DUMMYFUNCTION("""COMPUTED_VALUE"""),"gregorymcfar@gmail.com")</f>
        <v>gregorymcfar@gmail.com</v>
      </c>
      <c r="G2814" s="3">
        <f>IFERROR(__xludf.DUMMYFUNCTION("""COMPUTED_VALUE"""),9.052073695E9)</f>
        <v>9052073695</v>
      </c>
      <c r="H2814" s="3"/>
    </row>
    <row r="2815">
      <c r="A2815" s="2">
        <f>IFERROR(__xludf.DUMMYFUNCTION("""COMPUTED_VALUE"""),23768.0)</f>
        <v>23768</v>
      </c>
      <c r="B2815" s="3" t="str">
        <f>IFERROR(__xludf.DUMMYFUNCTION("""COMPUTED_VALUE"""),"8568 WALLACE JIBB RD")</f>
        <v>8568 WALLACE JIBB RD</v>
      </c>
      <c r="C2815" s="3" t="str">
        <f>IFERROR(__xludf.DUMMYFUNCTION("""COMPUTED_VALUE"""),"COBOURG")</f>
        <v>COBOURG</v>
      </c>
      <c r="D2815" s="3" t="str">
        <f>IFERROR(__xludf.DUMMYFUNCTION("""COMPUTED_VALUE"""),"K9A 4J9")</f>
        <v>K9A 4J9</v>
      </c>
      <c r="E2815" s="3"/>
      <c r="F2815" s="3"/>
      <c r="G2815" s="3"/>
      <c r="H2815" s="3"/>
    </row>
    <row r="2816">
      <c r="A2816" s="2">
        <f>IFERROR(__xludf.DUMMYFUNCTION("""COMPUTED_VALUE"""),23769.0)</f>
        <v>23769</v>
      </c>
      <c r="B2816" s="3" t="str">
        <f>IFERROR(__xludf.DUMMYFUNCTION("""COMPUTED_VALUE"""),"8580 WALLACE JIBB RD")</f>
        <v>8580 WALLACE JIBB RD</v>
      </c>
      <c r="C2816" s="3" t="str">
        <f>IFERROR(__xludf.DUMMYFUNCTION("""COMPUTED_VALUE"""),"COBOURG")</f>
        <v>COBOURG</v>
      </c>
      <c r="D2816" s="3" t="str">
        <f>IFERROR(__xludf.DUMMYFUNCTION("""COMPUTED_VALUE"""),"K9A 4J9")</f>
        <v>K9A 4J9</v>
      </c>
      <c r="E2816" s="3" t="str">
        <f>IFERROR(__xludf.DUMMYFUNCTION("""COMPUTED_VALUE"""),"jean jibb ")</f>
        <v>jean jibb </v>
      </c>
      <c r="F2816" s="3" t="str">
        <f>IFERROR(__xludf.DUMMYFUNCTION("""COMPUTED_VALUE"""),"jean.jibb@gmail.com")</f>
        <v>jean.jibb@gmail.com</v>
      </c>
      <c r="G2816" s="3">
        <f>IFERROR(__xludf.DUMMYFUNCTION("""COMPUTED_VALUE"""),9.053422135E9)</f>
        <v>9053422135</v>
      </c>
      <c r="H2816" s="3"/>
    </row>
    <row r="2817">
      <c r="A2817" s="2">
        <f>IFERROR(__xludf.DUMMYFUNCTION("""COMPUTED_VALUE"""),23770.0)</f>
        <v>23770</v>
      </c>
      <c r="B2817" s="3" t="str">
        <f>IFERROR(__xludf.DUMMYFUNCTION("""COMPUTED_VALUE"""),"8588 WALLACE JIBB RD")</f>
        <v>8588 WALLACE JIBB RD</v>
      </c>
      <c r="C2817" s="3" t="str">
        <f>IFERROR(__xludf.DUMMYFUNCTION("""COMPUTED_VALUE"""),"COBOURG")</f>
        <v>COBOURG</v>
      </c>
      <c r="D2817" s="3" t="str">
        <f>IFERROR(__xludf.DUMMYFUNCTION("""COMPUTED_VALUE"""),"K9A 4J9")</f>
        <v>K9A 4J9</v>
      </c>
      <c r="E2817" s="3" t="str">
        <f>IFERROR(__xludf.DUMMYFUNCTION("""COMPUTED_VALUE"""),"paul lagrois ")</f>
        <v>paul lagrois </v>
      </c>
      <c r="F2817" s="3"/>
      <c r="G2817" s="3">
        <f>IFERROR(__xludf.DUMMYFUNCTION("""COMPUTED_VALUE"""),9.053766884E9)</f>
        <v>9053766884</v>
      </c>
      <c r="H2817" s="3"/>
    </row>
    <row r="2818">
      <c r="A2818" s="2">
        <f>IFERROR(__xludf.DUMMYFUNCTION("""COMPUTED_VALUE"""),23784.0)</f>
        <v>23784</v>
      </c>
      <c r="B2818" s="3" t="str">
        <f>IFERROR(__xludf.DUMMYFUNCTION("""COMPUTED_VALUE"""),"4767 WEST RD")</f>
        <v>4767 WEST RD</v>
      </c>
      <c r="C2818" s="3" t="str">
        <f>IFERROR(__xludf.DUMMYFUNCTION("""COMPUTED_VALUE"""),"GORES LANDING")</f>
        <v>GORES LANDING</v>
      </c>
      <c r="D2818" s="3" t="str">
        <f>IFERROR(__xludf.DUMMYFUNCTION("""COMPUTED_VALUE"""),"K0K 2E0")</f>
        <v>K0K 2E0</v>
      </c>
      <c r="E2818" s="3" t="str">
        <f>IFERROR(__xludf.DUMMYFUNCTION("""COMPUTED_VALUE"""),"Kelsey Fuller")</f>
        <v>Kelsey Fuller</v>
      </c>
      <c r="F2818" s="3" t="str">
        <f>IFERROR(__xludf.DUMMYFUNCTION("""COMPUTED_VALUE"""),"sawdust@me.com")</f>
        <v>sawdust@me.com</v>
      </c>
      <c r="G2818" s="3">
        <f>IFERROR(__xludf.DUMMYFUNCTION("""COMPUTED_VALUE"""),2.892512146E9)</f>
        <v>2892512146</v>
      </c>
      <c r="H2818" s="3"/>
    </row>
    <row r="2819">
      <c r="A2819" s="2">
        <f>IFERROR(__xludf.DUMMYFUNCTION("""COMPUTED_VALUE"""),23785.0)</f>
        <v>23785</v>
      </c>
      <c r="B2819" s="3" t="str">
        <f>IFERROR(__xludf.DUMMYFUNCTION("""COMPUTED_VALUE"""),"4768 WEST RD")</f>
        <v>4768 WEST RD</v>
      </c>
      <c r="C2819" s="3" t="str">
        <f>IFERROR(__xludf.DUMMYFUNCTION("""COMPUTED_VALUE"""),"GORES LANDING")</f>
        <v>GORES LANDING</v>
      </c>
      <c r="D2819" s="3" t="str">
        <f>IFERROR(__xludf.DUMMYFUNCTION("""COMPUTED_VALUE"""),"K0K 2E0")</f>
        <v>K0K 2E0</v>
      </c>
      <c r="E2819" s="3" t="str">
        <f>IFERROR(__xludf.DUMMYFUNCTION("""COMPUTED_VALUE"""),"jason tennisco")</f>
        <v>jason tennisco</v>
      </c>
      <c r="F2819" s="3" t="str">
        <f>IFERROR(__xludf.DUMMYFUNCTION("""COMPUTED_VALUE"""),"tennisco@msn.com")</f>
        <v>tennisco@msn.com</v>
      </c>
      <c r="G2819" s="3">
        <f>IFERROR(__xludf.DUMMYFUNCTION("""COMPUTED_VALUE"""),9.052590859E9)</f>
        <v>9052590859</v>
      </c>
      <c r="H2819" s="3"/>
    </row>
    <row r="2820">
      <c r="A2820" s="2">
        <f>IFERROR(__xludf.DUMMYFUNCTION("""COMPUTED_VALUE"""),23786.0)</f>
        <v>23786</v>
      </c>
      <c r="B2820" s="3" t="str">
        <f>IFERROR(__xludf.DUMMYFUNCTION("""COMPUTED_VALUE"""),"4842 WHITE RD S")</f>
        <v>4842 WHITE RD S</v>
      </c>
      <c r="C2820" s="3" t="str">
        <f>IFERROR(__xludf.DUMMYFUNCTION("""COMPUTED_VALUE"""),"BALTIMORE")</f>
        <v>BALTIMORE</v>
      </c>
      <c r="D2820" s="3" t="str">
        <f>IFERROR(__xludf.DUMMYFUNCTION("""COMPUTED_VALUE"""),"K0K 1C0")</f>
        <v>K0K 1C0</v>
      </c>
      <c r="E2820" s="3" t="str">
        <f>IFERROR(__xludf.DUMMYFUNCTION("""COMPUTED_VALUE"""),"Michael Walters")</f>
        <v>Michael Walters</v>
      </c>
      <c r="F2820" s="3" t="str">
        <f>IFERROR(__xludf.DUMMYFUNCTION("""COMPUTED_VALUE"""),"cmbs.walters@icloud.com")</f>
        <v>cmbs.walters@icloud.com</v>
      </c>
      <c r="G2820" s="3">
        <f>IFERROR(__xludf.DUMMYFUNCTION("""COMPUTED_VALUE"""),9.053732069E9)</f>
        <v>9053732069</v>
      </c>
      <c r="H2820" s="3"/>
    </row>
    <row r="2821">
      <c r="A2821" s="2">
        <f>IFERROR(__xludf.DUMMYFUNCTION("""COMPUTED_VALUE"""),23787.0)</f>
        <v>23787</v>
      </c>
      <c r="B2821" s="3" t="str">
        <f>IFERROR(__xludf.DUMMYFUNCTION("""COMPUTED_VALUE"""),"4845 WHITE RD S")</f>
        <v>4845 WHITE RD S</v>
      </c>
      <c r="C2821" s="3" t="str">
        <f>IFERROR(__xludf.DUMMYFUNCTION("""COMPUTED_VALUE"""),"BALTIMORE")</f>
        <v>BALTIMORE</v>
      </c>
      <c r="D2821" s="3" t="str">
        <f>IFERROR(__xludf.DUMMYFUNCTION("""COMPUTED_VALUE"""),"K0K 1C0")</f>
        <v>K0K 1C0</v>
      </c>
      <c r="E2821" s="3" t="str">
        <f>IFERROR(__xludf.DUMMYFUNCTION("""COMPUTED_VALUE"""),"zach symons ")</f>
        <v>zach symons </v>
      </c>
      <c r="F2821" s="3" t="str">
        <f>IFERROR(__xludf.DUMMYFUNCTION("""COMPUTED_VALUE"""),"z.symons@outlook.com")</f>
        <v>z.symons@outlook.com</v>
      </c>
      <c r="G2821" s="3">
        <f>IFERROR(__xludf.DUMMYFUNCTION("""COMPUTED_VALUE"""),9.053769684E9)</f>
        <v>9053769684</v>
      </c>
      <c r="H2821" s="3"/>
    </row>
    <row r="2822">
      <c r="A2822" s="2">
        <f>IFERROR(__xludf.DUMMYFUNCTION("""COMPUTED_VALUE"""),23788.0)</f>
        <v>23788</v>
      </c>
      <c r="B2822" s="3" t="str">
        <f>IFERROR(__xludf.DUMMYFUNCTION("""COMPUTED_VALUE"""),"4852 WHITE RD S")</f>
        <v>4852 WHITE RD S</v>
      </c>
      <c r="C2822" s="3" t="str">
        <f>IFERROR(__xludf.DUMMYFUNCTION("""COMPUTED_VALUE"""),"BALTIMORE")</f>
        <v>BALTIMORE</v>
      </c>
      <c r="D2822" s="3" t="str">
        <f>IFERROR(__xludf.DUMMYFUNCTION("""COMPUTED_VALUE"""),"K0K 1C0")</f>
        <v>K0K 1C0</v>
      </c>
      <c r="E2822" s="3" t="str">
        <f>IFERROR(__xludf.DUMMYFUNCTION("""COMPUTED_VALUE"""),"doug clarke ")</f>
        <v>doug clarke </v>
      </c>
      <c r="F2822" s="3" t="str">
        <f>IFERROR(__xludf.DUMMYFUNCTION("""COMPUTED_VALUE"""),"mactajack153@hotmail.com")</f>
        <v>mactajack153@hotmail.com</v>
      </c>
      <c r="G2822" s="3">
        <f>IFERROR(__xludf.DUMMYFUNCTION("""COMPUTED_VALUE"""),9.053423942E9)</f>
        <v>9053423942</v>
      </c>
      <c r="H2822" s="3"/>
    </row>
    <row r="2823">
      <c r="A2823" s="2">
        <f>IFERROR(__xludf.DUMMYFUNCTION("""COMPUTED_VALUE"""),23789.0)</f>
        <v>23789</v>
      </c>
      <c r="B2823" s="3" t="str">
        <f>IFERROR(__xludf.DUMMYFUNCTION("""COMPUTED_VALUE"""),"4853 WHITE RD S")</f>
        <v>4853 WHITE RD S</v>
      </c>
      <c r="C2823" s="3" t="str">
        <f>IFERROR(__xludf.DUMMYFUNCTION("""COMPUTED_VALUE"""),"BALTIMORE")</f>
        <v>BALTIMORE</v>
      </c>
      <c r="D2823" s="3" t="str">
        <f>IFERROR(__xludf.DUMMYFUNCTION("""COMPUTED_VALUE"""),"K0K 1C0")</f>
        <v>K0K 1C0</v>
      </c>
      <c r="E2823" s="3" t="str">
        <f>IFERROR(__xludf.DUMMYFUNCTION("""COMPUTED_VALUE"""),"luc lachare ")</f>
        <v>luc lachare </v>
      </c>
      <c r="F2823" s="3" t="str">
        <f>IFERROR(__xludf.DUMMYFUNCTION("""COMPUTED_VALUE"""),"llcorecontracting@gmail.com")</f>
        <v>llcorecontracting@gmail.com</v>
      </c>
      <c r="G2823" s="3">
        <f>IFERROR(__xludf.DUMMYFUNCTION("""COMPUTED_VALUE"""),7.057508284E9)</f>
        <v>7057508284</v>
      </c>
      <c r="H2823" s="3"/>
    </row>
    <row r="2824">
      <c r="A2824" s="2">
        <f>IFERROR(__xludf.DUMMYFUNCTION("""COMPUTED_VALUE"""),23790.0)</f>
        <v>23790</v>
      </c>
      <c r="B2824" s="3" t="str">
        <f>IFERROR(__xludf.DUMMYFUNCTION("""COMPUTED_VALUE"""),"4860 WHITE RD S")</f>
        <v>4860 WHITE RD S</v>
      </c>
      <c r="C2824" s="3" t="str">
        <f>IFERROR(__xludf.DUMMYFUNCTION("""COMPUTED_VALUE"""),"BALTIMORE")</f>
        <v>BALTIMORE</v>
      </c>
      <c r="D2824" s="3" t="str">
        <f>IFERROR(__xludf.DUMMYFUNCTION("""COMPUTED_VALUE"""),"K0K 1C0")</f>
        <v>K0K 1C0</v>
      </c>
      <c r="E2824" s="3" t="str">
        <f>IFERROR(__xludf.DUMMYFUNCTION("""COMPUTED_VALUE"""),"donna baker ")</f>
        <v>donna baker </v>
      </c>
      <c r="F2824" s="3" t="str">
        <f>IFERROR(__xludf.DUMMYFUNCTION("""COMPUTED_VALUE"""),"motherhubbard.61@hotmail.com")</f>
        <v>motherhubbard.61@hotmail.com</v>
      </c>
      <c r="G2824" s="3">
        <f>IFERROR(__xludf.DUMMYFUNCTION("""COMPUTED_VALUE"""),9.052694005E9)</f>
        <v>9052694005</v>
      </c>
      <c r="H2824" s="3"/>
    </row>
    <row r="2825">
      <c r="A2825" s="2">
        <f>IFERROR(__xludf.DUMMYFUNCTION("""COMPUTED_VALUE"""),23791.0)</f>
        <v>23791</v>
      </c>
      <c r="B2825" s="3" t="str">
        <f>IFERROR(__xludf.DUMMYFUNCTION("""COMPUTED_VALUE"""),"4874 WHITE RD S")</f>
        <v>4874 WHITE RD S</v>
      </c>
      <c r="C2825" s="3" t="str">
        <f>IFERROR(__xludf.DUMMYFUNCTION("""COMPUTED_VALUE"""),"BALTIMORE")</f>
        <v>BALTIMORE</v>
      </c>
      <c r="D2825" s="3" t="str">
        <f>IFERROR(__xludf.DUMMYFUNCTION("""COMPUTED_VALUE"""),"K0K 1C0")</f>
        <v>K0K 1C0</v>
      </c>
      <c r="E2825" s="3" t="str">
        <f>IFERROR(__xludf.DUMMYFUNCTION("""COMPUTED_VALUE"""),"greg baxter ")</f>
        <v>greg baxter </v>
      </c>
      <c r="F2825" s="3" t="str">
        <f>IFERROR(__xludf.DUMMYFUNCTION("""COMPUTED_VALUE"""),"bysean@eagle.com")</f>
        <v>bysean@eagle.com</v>
      </c>
      <c r="G2825" s="3">
        <f>IFERROR(__xludf.DUMMYFUNCTION("""COMPUTED_VALUE"""),9.052699719E9)</f>
        <v>9052699719</v>
      </c>
      <c r="H2825" s="3"/>
    </row>
    <row r="2826">
      <c r="A2826" s="2">
        <f>IFERROR(__xludf.DUMMYFUNCTION("""COMPUTED_VALUE"""),23792.0)</f>
        <v>23792</v>
      </c>
      <c r="B2826" s="3" t="str">
        <f>IFERROR(__xludf.DUMMYFUNCTION("""COMPUTED_VALUE"""),"4882 WHITE RD S")</f>
        <v>4882 WHITE RD S</v>
      </c>
      <c r="C2826" s="3" t="str">
        <f>IFERROR(__xludf.DUMMYFUNCTION("""COMPUTED_VALUE"""),"BALTIMORE")</f>
        <v>BALTIMORE</v>
      </c>
      <c r="D2826" s="3" t="str">
        <f>IFERROR(__xludf.DUMMYFUNCTION("""COMPUTED_VALUE"""),"K0K 1C0")</f>
        <v>K0K 1C0</v>
      </c>
      <c r="E2826" s="3"/>
      <c r="F2826" s="3"/>
      <c r="G2826" s="3"/>
      <c r="H2826" s="3"/>
    </row>
    <row r="2827">
      <c r="A2827" s="2">
        <f>IFERROR(__xludf.DUMMYFUNCTION("""COMPUTED_VALUE"""),23793.0)</f>
        <v>23793</v>
      </c>
      <c r="B2827" s="3" t="str">
        <f>IFERROR(__xludf.DUMMYFUNCTION("""COMPUTED_VALUE"""),"4892 WHITE RD S")</f>
        <v>4892 WHITE RD S</v>
      </c>
      <c r="C2827" s="3" t="str">
        <f>IFERROR(__xludf.DUMMYFUNCTION("""COMPUTED_VALUE"""),"BALTIMORE")</f>
        <v>BALTIMORE</v>
      </c>
      <c r="D2827" s="3" t="str">
        <f>IFERROR(__xludf.DUMMYFUNCTION("""COMPUTED_VALUE"""),"K0K 1C0")</f>
        <v>K0K 1C0</v>
      </c>
      <c r="E2827" s="3" t="str">
        <f>IFERROR(__xludf.DUMMYFUNCTION("""COMPUTED_VALUE"""),"Derek Hill ")</f>
        <v>Derek Hill </v>
      </c>
      <c r="F2827" s="3" t="str">
        <f>IFERROR(__xludf.DUMMYFUNCTION("""COMPUTED_VALUE"""),"d.hill@live.ca")</f>
        <v>d.hill@live.ca</v>
      </c>
      <c r="G2827" s="3"/>
      <c r="H2827" s="3"/>
    </row>
    <row r="2828">
      <c r="A2828" s="2">
        <f>IFERROR(__xludf.DUMMYFUNCTION("""COMPUTED_VALUE"""),23794.0)</f>
        <v>23794</v>
      </c>
      <c r="B2828" s="3" t="str">
        <f>IFERROR(__xludf.DUMMYFUNCTION("""COMPUTED_VALUE"""),"4904 WHITE RD S")</f>
        <v>4904 WHITE RD S</v>
      </c>
      <c r="C2828" s="3" t="str">
        <f>IFERROR(__xludf.DUMMYFUNCTION("""COMPUTED_VALUE"""),"BALTIMORE")</f>
        <v>BALTIMORE</v>
      </c>
      <c r="D2828" s="3" t="str">
        <f>IFERROR(__xludf.DUMMYFUNCTION("""COMPUTED_VALUE"""),"K0K 1C0")</f>
        <v>K0K 1C0</v>
      </c>
      <c r="E2828" s="3" t="str">
        <f>IFERROR(__xludf.DUMMYFUNCTION("""COMPUTED_VALUE"""),"daniel campbell ")</f>
        <v>daniel campbell </v>
      </c>
      <c r="F2828" s="3" t="str">
        <f>IFERROR(__xludf.DUMMYFUNCTION("""COMPUTED_VALUE"""),"dan.campbell82@icloud.com")</f>
        <v>dan.campbell82@icloud.com</v>
      </c>
      <c r="G2828" s="3">
        <f>IFERROR(__xludf.DUMMYFUNCTION("""COMPUTED_VALUE"""),9.052070145E9)</f>
        <v>9052070145</v>
      </c>
      <c r="H2828" s="3">
        <f>IFERROR(__xludf.DUMMYFUNCTION("""COMPUTED_VALUE"""),9.053759614E9)</f>
        <v>9053759614</v>
      </c>
    </row>
    <row r="2829">
      <c r="A2829" s="2">
        <f>IFERROR(__xludf.DUMMYFUNCTION("""COMPUTED_VALUE"""),23798.0)</f>
        <v>23798</v>
      </c>
      <c r="B2829" s="3" t="str">
        <f>IFERROR(__xludf.DUMMYFUNCTION("""COMPUTED_VALUE"""),"4947 WHITE RD")</f>
        <v>4947 WHITE RD</v>
      </c>
      <c r="C2829" s="3" t="str">
        <f>IFERROR(__xludf.DUMMYFUNCTION("""COMPUTED_VALUE"""),"BALTIMORE")</f>
        <v>BALTIMORE</v>
      </c>
      <c r="D2829" s="3" t="str">
        <f>IFERROR(__xludf.DUMMYFUNCTION("""COMPUTED_VALUE"""),"K0K 1C0")</f>
        <v>K0K 1C0</v>
      </c>
      <c r="E2829" s="3" t="str">
        <f>IFERROR(__xludf.DUMMYFUNCTION("""COMPUTED_VALUE"""),"Nick and Rebecca Steppacher")</f>
        <v>Nick and Rebecca Steppacher</v>
      </c>
      <c r="F2829" s="3" t="str">
        <f>IFERROR(__xludf.DUMMYFUNCTION("""COMPUTED_VALUE"""),"rebeccasteppacher13@gmail.com")</f>
        <v>rebeccasteppacher13@gmail.com</v>
      </c>
      <c r="G2829" s="3">
        <f>IFERROR(__xludf.DUMMYFUNCTION("""COMPUTED_VALUE"""),9.052695551E9)</f>
        <v>9052695551</v>
      </c>
      <c r="H2829" s="3">
        <f>IFERROR(__xludf.DUMMYFUNCTION("""COMPUTED_VALUE"""),4.03629562E9)</f>
        <v>4036295620</v>
      </c>
    </row>
    <row r="2830">
      <c r="A2830" s="2">
        <f>IFERROR(__xludf.DUMMYFUNCTION("""COMPUTED_VALUE"""),23795.0)</f>
        <v>23795</v>
      </c>
      <c r="B2830" s="3" t="str">
        <f>IFERROR(__xludf.DUMMYFUNCTION("""COMPUTED_VALUE"""),"4953 WHITE RD S")</f>
        <v>4953 WHITE RD S</v>
      </c>
      <c r="C2830" s="3" t="str">
        <f>IFERROR(__xludf.DUMMYFUNCTION("""COMPUTED_VALUE"""),"BALTIMORE")</f>
        <v>BALTIMORE</v>
      </c>
      <c r="D2830" s="3" t="str">
        <f>IFERROR(__xludf.DUMMYFUNCTION("""COMPUTED_VALUE"""),"K0K 1C0")</f>
        <v>K0K 1C0</v>
      </c>
      <c r="E2830" s="3" t="str">
        <f>IFERROR(__xludf.DUMMYFUNCTION("""COMPUTED_VALUE"""),"robert gay ")</f>
        <v>robert gay </v>
      </c>
      <c r="F2830" s="3" t="str">
        <f>IFERROR(__xludf.DUMMYFUNCTION("""COMPUTED_VALUE"""),"f-100freak@hotmail.com")</f>
        <v>f-100freak@hotmail.com</v>
      </c>
      <c r="G2830" s="3">
        <f>IFERROR(__xludf.DUMMYFUNCTION("""COMPUTED_VALUE"""),9.05269675E9)</f>
        <v>9052696750</v>
      </c>
      <c r="H2830" s="3"/>
    </row>
    <row r="2831">
      <c r="A2831" s="2">
        <f>IFERROR(__xludf.DUMMYFUNCTION("""COMPUTED_VALUE"""),23796.0)</f>
        <v>23796</v>
      </c>
      <c r="B2831" s="3" t="str">
        <f>IFERROR(__xludf.DUMMYFUNCTION("""COMPUTED_VALUE"""),"4967 WHITE RD S")</f>
        <v>4967 WHITE RD S</v>
      </c>
      <c r="C2831" s="3" t="str">
        <f>IFERROR(__xludf.DUMMYFUNCTION("""COMPUTED_VALUE"""),"BALTIMORE")</f>
        <v>BALTIMORE</v>
      </c>
      <c r="D2831" s="3" t="str">
        <f>IFERROR(__xludf.DUMMYFUNCTION("""COMPUTED_VALUE"""),"K0K 1C0")</f>
        <v>K0K 1C0</v>
      </c>
      <c r="E2831" s="3" t="str">
        <f>IFERROR(__xludf.DUMMYFUNCTION("""COMPUTED_VALUE"""),"geoff hodgson")</f>
        <v>geoff hodgson</v>
      </c>
      <c r="F2831" s="3"/>
      <c r="G2831" s="3">
        <f>IFERROR(__xludf.DUMMYFUNCTION("""COMPUTED_VALUE"""),9.0553422256E10)</f>
        <v>90553422256</v>
      </c>
      <c r="H2831" s="3"/>
    </row>
    <row r="2832">
      <c r="A2832" s="2">
        <f>IFERROR(__xludf.DUMMYFUNCTION("""COMPUTED_VALUE"""),23797.0)</f>
        <v>23797</v>
      </c>
      <c r="B2832" s="3" t="str">
        <f>IFERROR(__xludf.DUMMYFUNCTION("""COMPUTED_VALUE"""),"4977 WHITE RD S")</f>
        <v>4977 WHITE RD S</v>
      </c>
      <c r="C2832" s="3" t="str">
        <f>IFERROR(__xludf.DUMMYFUNCTION("""COMPUTED_VALUE"""),"BALTIMORE")</f>
        <v>BALTIMORE</v>
      </c>
      <c r="D2832" s="3" t="str">
        <f>IFERROR(__xludf.DUMMYFUNCTION("""COMPUTED_VALUE"""),"K0K 1C0")</f>
        <v>K0K 1C0</v>
      </c>
      <c r="E2832" s="3"/>
      <c r="F2832" s="3"/>
      <c r="G2832" s="3"/>
      <c r="H2832" s="3"/>
    </row>
    <row r="2833">
      <c r="A2833" s="2">
        <f>IFERROR(__xludf.DUMMYFUNCTION("""COMPUTED_VALUE"""),23799.0)</f>
        <v>23799</v>
      </c>
      <c r="B2833" s="3" t="str">
        <f>IFERROR(__xludf.DUMMYFUNCTION("""COMPUTED_VALUE"""),"5155 WHITE RD")</f>
        <v>5155 WHITE RD</v>
      </c>
      <c r="C2833" s="3" t="str">
        <f>IFERROR(__xludf.DUMMYFUNCTION("""COMPUTED_VALUE"""),"HARWOOD")</f>
        <v>HARWOOD</v>
      </c>
      <c r="D2833" s="3" t="str">
        <f>IFERROR(__xludf.DUMMYFUNCTION("""COMPUTED_VALUE"""),"K0K 2H0")</f>
        <v>K0K 2H0</v>
      </c>
      <c r="E2833" s="3" t="str">
        <f>IFERROR(__xludf.DUMMYFUNCTION("""COMPUTED_VALUE"""),"richard d buttar")</f>
        <v>richard d buttar</v>
      </c>
      <c r="F2833" s="3"/>
      <c r="G2833" s="3">
        <f>IFERROR(__xludf.DUMMYFUNCTION("""COMPUTED_VALUE"""),9.052693284E9)</f>
        <v>9052693284</v>
      </c>
      <c r="H2833" s="3"/>
    </row>
    <row r="2834">
      <c r="A2834" s="2">
        <f>IFERROR(__xludf.DUMMYFUNCTION("""COMPUTED_VALUE"""),23800.0)</f>
        <v>23800</v>
      </c>
      <c r="B2834" s="3" t="str">
        <f>IFERROR(__xludf.DUMMYFUNCTION("""COMPUTED_VALUE"""),"5163 WHITE RD")</f>
        <v>5163 WHITE RD</v>
      </c>
      <c r="C2834" s="3" t="str">
        <f>IFERROR(__xludf.DUMMYFUNCTION("""COMPUTED_VALUE"""),"HARWOOD")</f>
        <v>HARWOOD</v>
      </c>
      <c r="D2834" s="3" t="str">
        <f>IFERROR(__xludf.DUMMYFUNCTION("""COMPUTED_VALUE"""),"K0K 2H0")</f>
        <v>K0K 2H0</v>
      </c>
      <c r="E2834" s="3" t="str">
        <f>IFERROR(__xludf.DUMMYFUNCTION("""COMPUTED_VALUE"""),"Jennifer Brooks")</f>
        <v>Jennifer Brooks</v>
      </c>
      <c r="F2834" s="3" t="str">
        <f>IFERROR(__xludf.DUMMYFUNCTION("""COMPUTED_VALUE"""),"jenniferbrooks1024@gmail.com")</f>
        <v>jenniferbrooks1024@gmail.com</v>
      </c>
      <c r="G2834" s="3">
        <f>IFERROR(__xludf.DUMMYFUNCTION("""COMPUTED_VALUE"""),2.892001766E9)</f>
        <v>2892001766</v>
      </c>
      <c r="H2834" s="3"/>
    </row>
    <row r="2835">
      <c r="A2835" s="2">
        <f>IFERROR(__xludf.DUMMYFUNCTION("""COMPUTED_VALUE"""),23801.0)</f>
        <v>23801</v>
      </c>
      <c r="B2835" s="3" t="str">
        <f>IFERROR(__xludf.DUMMYFUNCTION("""COMPUTED_VALUE"""),"5171 WHITE RD")</f>
        <v>5171 WHITE RD</v>
      </c>
      <c r="C2835" s="3" t="str">
        <f>IFERROR(__xludf.DUMMYFUNCTION("""COMPUTED_VALUE"""),"HARWOOD")</f>
        <v>HARWOOD</v>
      </c>
      <c r="D2835" s="3" t="str">
        <f>IFERROR(__xludf.DUMMYFUNCTION("""COMPUTED_VALUE"""),"K0K 2H0")</f>
        <v>K0K 2H0</v>
      </c>
      <c r="E2835" s="3" t="str">
        <f>IFERROR(__xludf.DUMMYFUNCTION("""COMPUTED_VALUE"""),"Tina Greer")</f>
        <v>Tina Greer</v>
      </c>
      <c r="F2835" s="3" t="str">
        <f>IFERROR(__xludf.DUMMYFUNCTION("""COMPUTED_VALUE"""),"t.g.greer@outlook.com")</f>
        <v>t.g.greer@outlook.com</v>
      </c>
      <c r="G2835" s="3">
        <f>IFERROR(__xludf.DUMMYFUNCTION("""COMPUTED_VALUE"""),9.054496729E9)</f>
        <v>9054496729</v>
      </c>
      <c r="H2835" s="3">
        <f>IFERROR(__xludf.DUMMYFUNCTION("""COMPUTED_VALUE"""),9.053423074E9)</f>
        <v>9053423074</v>
      </c>
    </row>
    <row r="2836">
      <c r="A2836" s="2">
        <f>IFERROR(__xludf.DUMMYFUNCTION("""COMPUTED_VALUE"""),23802.0)</f>
        <v>23802</v>
      </c>
      <c r="B2836" s="3" t="str">
        <f>IFERROR(__xludf.DUMMYFUNCTION("""COMPUTED_VALUE"""),"5178 WHITE RD")</f>
        <v>5178 WHITE RD</v>
      </c>
      <c r="C2836" s="3" t="str">
        <f>IFERROR(__xludf.DUMMYFUNCTION("""COMPUTED_VALUE"""),"HARWOOD")</f>
        <v>HARWOOD</v>
      </c>
      <c r="D2836" s="3" t="str">
        <f>IFERROR(__xludf.DUMMYFUNCTION("""COMPUTED_VALUE"""),"K0K 2H0")</f>
        <v>K0K 2H0</v>
      </c>
      <c r="E2836" s="3"/>
      <c r="F2836" s="3"/>
      <c r="G2836" s="3"/>
      <c r="H2836" s="3"/>
    </row>
    <row r="2837">
      <c r="A2837" s="2">
        <f>IFERROR(__xludf.DUMMYFUNCTION("""COMPUTED_VALUE"""),23803.0)</f>
        <v>23803</v>
      </c>
      <c r="B2837" s="3" t="str">
        <f>IFERROR(__xludf.DUMMYFUNCTION("""COMPUTED_VALUE"""),"5181 WHITE RD")</f>
        <v>5181 WHITE RD</v>
      </c>
      <c r="C2837" s="3" t="str">
        <f>IFERROR(__xludf.DUMMYFUNCTION("""COMPUTED_VALUE"""),"HARWOOD")</f>
        <v>HARWOOD</v>
      </c>
      <c r="D2837" s="3" t="str">
        <f>IFERROR(__xludf.DUMMYFUNCTION("""COMPUTED_VALUE"""),"K0K 2H0")</f>
        <v>K0K 2H0</v>
      </c>
      <c r="E2837" s="3" t="str">
        <f>IFERROR(__xludf.DUMMYFUNCTION("""COMPUTED_VALUE"""),"Kim Holman")</f>
        <v>Kim Holman</v>
      </c>
      <c r="F2837" s="3" t="str">
        <f>IFERROR(__xludf.DUMMYFUNCTION("""COMPUTED_VALUE"""),"kim.holman0@gmail.com")</f>
        <v>kim.holman0@gmail.com</v>
      </c>
      <c r="G2837" s="3">
        <f>IFERROR(__xludf.DUMMYFUNCTION("""COMPUTED_VALUE"""),9.053425387E9)</f>
        <v>9053425387</v>
      </c>
      <c r="H2837" s="3"/>
    </row>
    <row r="2838">
      <c r="A2838" s="2">
        <f>IFERROR(__xludf.DUMMYFUNCTION("""COMPUTED_VALUE"""),23804.0)</f>
        <v>23804</v>
      </c>
      <c r="B2838" s="3" t="str">
        <f>IFERROR(__xludf.DUMMYFUNCTION("""COMPUTED_VALUE"""),"5187 WHITE RD")</f>
        <v>5187 WHITE RD</v>
      </c>
      <c r="C2838" s="3" t="str">
        <f>IFERROR(__xludf.DUMMYFUNCTION("""COMPUTED_VALUE"""),"HARWOOD")</f>
        <v>HARWOOD</v>
      </c>
      <c r="D2838" s="3" t="str">
        <f>IFERROR(__xludf.DUMMYFUNCTION("""COMPUTED_VALUE"""),"K0K 2H0")</f>
        <v>K0K 2H0</v>
      </c>
      <c r="E2838" s="3"/>
      <c r="F2838" s="3"/>
      <c r="G2838" s="3"/>
      <c r="H2838" s="3"/>
    </row>
    <row r="2839">
      <c r="A2839" s="2">
        <f>IFERROR(__xludf.DUMMYFUNCTION("""COMPUTED_VALUE"""),23805.0)</f>
        <v>23805</v>
      </c>
      <c r="B2839" s="3" t="str">
        <f>IFERROR(__xludf.DUMMYFUNCTION("""COMPUTED_VALUE"""),"5190 WHITE RD")</f>
        <v>5190 WHITE RD</v>
      </c>
      <c r="C2839" s="3" t="str">
        <f>IFERROR(__xludf.DUMMYFUNCTION("""COMPUTED_VALUE"""),"HARWOOD")</f>
        <v>HARWOOD</v>
      </c>
      <c r="D2839" s="3" t="str">
        <f>IFERROR(__xludf.DUMMYFUNCTION("""COMPUTED_VALUE"""),"K0K 2H0")</f>
        <v>K0K 2H0</v>
      </c>
      <c r="E2839" s="3" t="str">
        <f>IFERROR(__xludf.DUMMYFUNCTION("""COMPUTED_VALUE"""),"Sheila Archer")</f>
        <v>Sheila Archer</v>
      </c>
      <c r="F2839" s="3" t="str">
        <f>IFERROR(__xludf.DUMMYFUNCTION("""COMPUTED_VALUE"""),"revsheila.irish@gmail.com")</f>
        <v>revsheila.irish@gmail.com</v>
      </c>
      <c r="G2839" s="3">
        <f>IFERROR(__xludf.DUMMYFUNCTION("""COMPUTED_VALUE"""),9.053773373E9)</f>
        <v>9053773373</v>
      </c>
      <c r="H2839" s="3"/>
    </row>
    <row r="2840">
      <c r="A2840" s="2">
        <f>IFERROR(__xludf.DUMMYFUNCTION("""COMPUTED_VALUE"""),23806.0)</f>
        <v>23806</v>
      </c>
      <c r="B2840" s="3" t="str">
        <f>IFERROR(__xludf.DUMMYFUNCTION("""COMPUTED_VALUE"""),"5193 WHITE RD")</f>
        <v>5193 WHITE RD</v>
      </c>
      <c r="C2840" s="3" t="str">
        <f>IFERROR(__xludf.DUMMYFUNCTION("""COMPUTED_VALUE"""),"HARWOOD")</f>
        <v>HARWOOD</v>
      </c>
      <c r="D2840" s="3" t="str">
        <f>IFERROR(__xludf.DUMMYFUNCTION("""COMPUTED_VALUE"""),"K0K 2H0")</f>
        <v>K0K 2H0</v>
      </c>
      <c r="E2840" s="3" t="str">
        <f>IFERROR(__xludf.DUMMYFUNCTION("""COMPUTED_VALUE"""),"Sheila archer")</f>
        <v>Sheila archer</v>
      </c>
      <c r="F2840" s="3" t="str">
        <f>IFERROR(__xludf.DUMMYFUNCTION("""COMPUTED_VALUE"""),"Revsheila.irish@gmail.com")</f>
        <v>Revsheila.irish@gmail.com</v>
      </c>
      <c r="G2840" s="3">
        <f>IFERROR(__xludf.DUMMYFUNCTION("""COMPUTED_VALUE"""),9.053773373E9)</f>
        <v>9053773373</v>
      </c>
      <c r="H2840" s="3"/>
    </row>
    <row r="2841">
      <c r="A2841" s="2">
        <f>IFERROR(__xludf.DUMMYFUNCTION("""COMPUTED_VALUE"""),23807.0)</f>
        <v>23807</v>
      </c>
      <c r="B2841" s="3" t="str">
        <f>IFERROR(__xludf.DUMMYFUNCTION("""COMPUTED_VALUE"""),"5200 WHITE RD")</f>
        <v>5200 WHITE RD</v>
      </c>
      <c r="C2841" s="3" t="str">
        <f>IFERROR(__xludf.DUMMYFUNCTION("""COMPUTED_VALUE"""),"HARWOOD")</f>
        <v>HARWOOD</v>
      </c>
      <c r="D2841" s="3" t="str">
        <f>IFERROR(__xludf.DUMMYFUNCTION("""COMPUTED_VALUE"""),"K0K 2H0")</f>
        <v>K0K 2H0</v>
      </c>
      <c r="E2841" s="3" t="str">
        <f>IFERROR(__xludf.DUMMYFUNCTION("""COMPUTED_VALUE"""),"Randy and Joanne Bird")</f>
        <v>Randy and Joanne Bird</v>
      </c>
      <c r="F2841" s="3" t="str">
        <f>IFERROR(__xludf.DUMMYFUNCTION("""COMPUTED_VALUE"""),"rbird@eagle.ca")</f>
        <v>rbird@eagle.ca</v>
      </c>
      <c r="G2841" s="3"/>
      <c r="H2841" s="3"/>
    </row>
    <row r="2842">
      <c r="A2842" s="2">
        <f>IFERROR(__xludf.DUMMYFUNCTION("""COMPUTED_VALUE"""),23808.0)</f>
        <v>23808</v>
      </c>
      <c r="B2842" s="3" t="str">
        <f>IFERROR(__xludf.DUMMYFUNCTION("""COMPUTED_VALUE"""),"5207 WHITE RD")</f>
        <v>5207 WHITE RD</v>
      </c>
      <c r="C2842" s="3" t="str">
        <f>IFERROR(__xludf.DUMMYFUNCTION("""COMPUTED_VALUE"""),"HARWOOD")</f>
        <v>HARWOOD</v>
      </c>
      <c r="D2842" s="3" t="str">
        <f>IFERROR(__xludf.DUMMYFUNCTION("""COMPUTED_VALUE"""),"K0K 2H0")</f>
        <v>K0K 2H0</v>
      </c>
      <c r="E2842" s="3" t="str">
        <f>IFERROR(__xludf.DUMMYFUNCTION("""COMPUTED_VALUE"""),"Guy touaignant")</f>
        <v>Guy touaignant</v>
      </c>
      <c r="F2842" s="3"/>
      <c r="G2842" s="3">
        <f>IFERROR(__xludf.DUMMYFUNCTION("""COMPUTED_VALUE"""),7.059570181E9)</f>
        <v>7059570181</v>
      </c>
      <c r="H2842" s="3"/>
    </row>
    <row r="2843">
      <c r="A2843" s="2">
        <f>IFERROR(__xludf.DUMMYFUNCTION("""COMPUTED_VALUE"""),23809.0)</f>
        <v>23809</v>
      </c>
      <c r="B2843" s="3" t="str">
        <f>IFERROR(__xludf.DUMMYFUNCTION("""COMPUTED_VALUE"""),"5215 WHITE RD")</f>
        <v>5215 WHITE RD</v>
      </c>
      <c r="C2843" s="3" t="str">
        <f>IFERROR(__xludf.DUMMYFUNCTION("""COMPUTED_VALUE"""),"HARWOOD")</f>
        <v>HARWOOD</v>
      </c>
      <c r="D2843" s="3" t="str">
        <f>IFERROR(__xludf.DUMMYFUNCTION("""COMPUTED_VALUE"""),"K0K 2H0")</f>
        <v>K0K 2H0</v>
      </c>
      <c r="E2843" s="3" t="str">
        <f>IFERROR(__xludf.DUMMYFUNCTION("""COMPUTED_VALUE"""),"Tony hunter")</f>
        <v>Tony hunter</v>
      </c>
      <c r="F2843" s="3"/>
      <c r="G2843" s="3">
        <f>IFERROR(__xludf.DUMMYFUNCTION("""COMPUTED_VALUE"""),2.892519292E9)</f>
        <v>2892519292</v>
      </c>
      <c r="H2843" s="3"/>
    </row>
    <row r="2844">
      <c r="A2844" s="2">
        <f>IFERROR(__xludf.DUMMYFUNCTION("""COMPUTED_VALUE"""),23810.0)</f>
        <v>23810</v>
      </c>
      <c r="B2844" s="3" t="str">
        <f>IFERROR(__xludf.DUMMYFUNCTION("""COMPUTED_VALUE"""),"5243 WHITE RD")</f>
        <v>5243 WHITE RD</v>
      </c>
      <c r="C2844" s="3" t="str">
        <f>IFERROR(__xludf.DUMMYFUNCTION("""COMPUTED_VALUE"""),"HARWOOD")</f>
        <v>HARWOOD</v>
      </c>
      <c r="D2844" s="3" t="str">
        <f>IFERROR(__xludf.DUMMYFUNCTION("""COMPUTED_VALUE"""),"K0K 2H0")</f>
        <v>K0K 2H0</v>
      </c>
      <c r="E2844" s="3" t="str">
        <f>IFERROR(__xludf.DUMMYFUNCTION("""COMPUTED_VALUE"""),"laura johnson")</f>
        <v>laura johnson</v>
      </c>
      <c r="F2844" s="3" t="str">
        <f>IFERROR(__xludf.DUMMYFUNCTION("""COMPUTED_VALUE"""),"laurajanejohnson1989@gmail.com")</f>
        <v>laurajanejohnson1989@gmail.com</v>
      </c>
      <c r="G2844" s="3">
        <f>IFERROR(__xludf.DUMMYFUNCTION("""COMPUTED_VALUE"""),2.892517022E9)</f>
        <v>2892517022</v>
      </c>
      <c r="H2844" s="3">
        <f>IFERROR(__xludf.DUMMYFUNCTION("""COMPUTED_VALUE"""),2.892517092E9)</f>
        <v>2892517092</v>
      </c>
    </row>
    <row r="2845">
      <c r="A2845" s="2">
        <f>IFERROR(__xludf.DUMMYFUNCTION("""COMPUTED_VALUE"""),23811.0)</f>
        <v>23811</v>
      </c>
      <c r="B2845" s="3" t="str">
        <f>IFERROR(__xludf.DUMMYFUNCTION("""COMPUTED_VALUE"""),"3645 WHITNEY HOWARD RD")</f>
        <v>3645 WHITNEY HOWARD RD</v>
      </c>
      <c r="C2845" s="3" t="str">
        <f>IFERROR(__xludf.DUMMYFUNCTION("""COMPUTED_VALUE"""),"COBOURG")</f>
        <v>COBOURG</v>
      </c>
      <c r="D2845" s="3" t="str">
        <f>IFERROR(__xludf.DUMMYFUNCTION("""COMPUTED_VALUE"""),"K9A 4J7")</f>
        <v>K9A 4J7</v>
      </c>
      <c r="E2845" s="3" t="str">
        <f>IFERROR(__xludf.DUMMYFUNCTION("""COMPUTED_VALUE"""),"Boby Joseph")</f>
        <v>Boby Joseph</v>
      </c>
      <c r="F2845" s="3" t="str">
        <f>IFERROR(__xludf.DUMMYFUNCTION("""COMPUTED_VALUE"""),"bobyjos@gmail.com")</f>
        <v>bobyjos@gmail.com</v>
      </c>
      <c r="G2845" s="3">
        <f>IFERROR(__xludf.DUMMYFUNCTION("""COMPUTED_VALUE"""),4.162692526E9)</f>
        <v>4162692526</v>
      </c>
      <c r="H2845" s="3"/>
    </row>
    <row r="2846">
      <c r="A2846" s="2">
        <f>IFERROR(__xludf.DUMMYFUNCTION("""COMPUTED_VALUE"""),23812.0)</f>
        <v>23812</v>
      </c>
      <c r="B2846" s="3" t="str">
        <f>IFERROR(__xludf.DUMMYFUNCTION("""COMPUTED_VALUE"""),"3648 WHITNEY HOWARD RD")</f>
        <v>3648 WHITNEY HOWARD RD</v>
      </c>
      <c r="C2846" s="3" t="str">
        <f>IFERROR(__xludf.DUMMYFUNCTION("""COMPUTED_VALUE"""),"COBOURG")</f>
        <v>COBOURG</v>
      </c>
      <c r="D2846" s="3" t="str">
        <f>IFERROR(__xludf.DUMMYFUNCTION("""COMPUTED_VALUE"""),"K9A 4J7")</f>
        <v>K9A 4J7</v>
      </c>
      <c r="E2846" s="3" t="str">
        <f>IFERROR(__xludf.DUMMYFUNCTION("""COMPUTED_VALUE"""),"James and Sharon Anderson")</f>
        <v>James and Sharon Anderson</v>
      </c>
      <c r="F2846" s="3" t="str">
        <f>IFERROR(__xludf.DUMMYFUNCTION("""COMPUTED_VALUE"""),"jimsharonanderson@gmail.com")</f>
        <v>jimsharonanderson@gmail.com</v>
      </c>
      <c r="G2846" s="3"/>
      <c r="H2846" s="3"/>
    </row>
    <row r="2847">
      <c r="A2847" s="2">
        <f>IFERROR(__xludf.DUMMYFUNCTION("""COMPUTED_VALUE"""),23813.0)</f>
        <v>23813</v>
      </c>
      <c r="B2847" s="3" t="str">
        <f>IFERROR(__xludf.DUMMYFUNCTION("""COMPUTED_VALUE"""),"3663 WHITNEY HOWARD RD")</f>
        <v>3663 WHITNEY HOWARD RD</v>
      </c>
      <c r="C2847" s="3" t="str">
        <f>IFERROR(__xludf.DUMMYFUNCTION("""COMPUTED_VALUE"""),"COBOURG")</f>
        <v>COBOURG</v>
      </c>
      <c r="D2847" s="3" t="str">
        <f>IFERROR(__xludf.DUMMYFUNCTION("""COMPUTED_VALUE"""),"K9A 4J7")</f>
        <v>K9A 4J7</v>
      </c>
      <c r="E2847" s="3"/>
      <c r="F2847" s="3"/>
      <c r="G2847" s="3"/>
      <c r="H2847" s="3"/>
    </row>
    <row r="2848">
      <c r="A2848" s="2">
        <f>IFERROR(__xludf.DUMMYFUNCTION("""COMPUTED_VALUE"""),23814.0)</f>
        <v>23814</v>
      </c>
      <c r="B2848" s="3" t="str">
        <f>IFERROR(__xludf.DUMMYFUNCTION("""COMPUTED_VALUE"""),"3672 WHITNEY HOWARD RD")</f>
        <v>3672 WHITNEY HOWARD RD</v>
      </c>
      <c r="C2848" s="3" t="str">
        <f>IFERROR(__xludf.DUMMYFUNCTION("""COMPUTED_VALUE"""),"COBOURG")</f>
        <v>COBOURG</v>
      </c>
      <c r="D2848" s="3" t="str">
        <f>IFERROR(__xludf.DUMMYFUNCTION("""COMPUTED_VALUE"""),"K9A 4J7")</f>
        <v>K9A 4J7</v>
      </c>
      <c r="E2848" s="3" t="str">
        <f>IFERROR(__xludf.DUMMYFUNCTION("""COMPUTED_VALUE"""),"josh colley")</f>
        <v>josh colley</v>
      </c>
      <c r="F2848" s="3" t="str">
        <f>IFERROR(__xludf.DUMMYFUNCTION("""COMPUTED_VALUE"""),"josh-colley@hotmail.com")</f>
        <v>josh-colley@hotmail.com</v>
      </c>
      <c r="G2848" s="3">
        <f>IFERROR(__xludf.DUMMYFUNCTION("""COMPUTED_VALUE"""),2.892159581E9)</f>
        <v>2892159581</v>
      </c>
      <c r="H2848" s="3"/>
    </row>
    <row r="2849">
      <c r="A2849" s="2">
        <f>IFERROR(__xludf.DUMMYFUNCTION("""COMPUTED_VALUE"""),23815.0)</f>
        <v>23815</v>
      </c>
      <c r="B2849" s="3" t="str">
        <f>IFERROR(__xludf.DUMMYFUNCTION("""COMPUTED_VALUE"""),"3761 WHITNEY HOWARD RD")</f>
        <v>3761 WHITNEY HOWARD RD</v>
      </c>
      <c r="C2849" s="3" t="str">
        <f>IFERROR(__xludf.DUMMYFUNCTION("""COMPUTED_VALUE"""),"COBOURG")</f>
        <v>COBOURG</v>
      </c>
      <c r="D2849" s="3" t="str">
        <f>IFERROR(__xludf.DUMMYFUNCTION("""COMPUTED_VALUE"""),"K9A 4J7")</f>
        <v>K9A 4J7</v>
      </c>
      <c r="E2849" s="3" t="str">
        <f>IFERROR(__xludf.DUMMYFUNCTION("""COMPUTED_VALUE"""),"Scott Huffman")</f>
        <v>Scott Huffman</v>
      </c>
      <c r="F2849" s="3" t="str">
        <f>IFERROR(__xludf.DUMMYFUNCTION("""COMPUTED_VALUE"""),"scotthuffman64@gmail.com")</f>
        <v>scotthuffman64@gmail.com</v>
      </c>
      <c r="G2849" s="3">
        <f>IFERROR(__xludf.DUMMYFUNCTION("""COMPUTED_VALUE"""),9.053753938E9)</f>
        <v>9053753938</v>
      </c>
      <c r="H2849" s="3">
        <f>IFERROR(__xludf.DUMMYFUNCTION("""COMPUTED_VALUE"""),9.053422525E9)</f>
        <v>9053422525</v>
      </c>
    </row>
    <row r="2850">
      <c r="A2850" s="2">
        <f>IFERROR(__xludf.DUMMYFUNCTION("""COMPUTED_VALUE"""),23816.0)</f>
        <v>23816</v>
      </c>
      <c r="B2850" s="3" t="str">
        <f>IFERROR(__xludf.DUMMYFUNCTION("""COMPUTED_VALUE"""),"3811 WHITNEY HOWARD RD")</f>
        <v>3811 WHITNEY HOWARD RD</v>
      </c>
      <c r="C2850" s="3" t="str">
        <f>IFERROR(__xludf.DUMMYFUNCTION("""COMPUTED_VALUE"""),"COBOURG")</f>
        <v>COBOURG</v>
      </c>
      <c r="D2850" s="3" t="str">
        <f>IFERROR(__xludf.DUMMYFUNCTION("""COMPUTED_VALUE"""),"K9A 4J7")</f>
        <v>K9A 4J7</v>
      </c>
      <c r="E2850" s="3" t="str">
        <f>IFERROR(__xludf.DUMMYFUNCTION("""COMPUTED_VALUE"""),"Dean Coates")</f>
        <v>Dean Coates</v>
      </c>
      <c r="F2850" s="3" t="str">
        <f>IFERROR(__xludf.DUMMYFUNCTION("""COMPUTED_VALUE"""),"dean.coates3811@gmail.com")</f>
        <v>dean.coates3811@gmail.com</v>
      </c>
      <c r="G2850" s="3">
        <f>IFERROR(__xludf.DUMMYFUNCTION("""COMPUTED_VALUE"""),9.052691307E9)</f>
        <v>9052691307</v>
      </c>
      <c r="H2850" s="3"/>
    </row>
    <row r="2851">
      <c r="A2851" s="2">
        <f>IFERROR(__xludf.DUMMYFUNCTION("""COMPUTED_VALUE"""),23817.0)</f>
        <v>23817</v>
      </c>
      <c r="B2851" s="3" t="str">
        <f>IFERROR(__xludf.DUMMYFUNCTION("""COMPUTED_VALUE"""),"3823 WHITNEY HOWARD RD")</f>
        <v>3823 WHITNEY HOWARD RD</v>
      </c>
      <c r="C2851" s="3" t="str">
        <f>IFERROR(__xludf.DUMMYFUNCTION("""COMPUTED_VALUE"""),"COBOURG")</f>
        <v>COBOURG</v>
      </c>
      <c r="D2851" s="3" t="str">
        <f>IFERROR(__xludf.DUMMYFUNCTION("""COMPUTED_VALUE"""),"K9A 4J7")</f>
        <v>K9A 4J7</v>
      </c>
      <c r="E2851" s="3"/>
      <c r="F2851" s="3"/>
      <c r="G2851" s="3"/>
      <c r="H2851" s="3"/>
    </row>
    <row r="2852">
      <c r="A2852" s="2">
        <f>IFERROR(__xludf.DUMMYFUNCTION("""COMPUTED_VALUE"""),23818.0)</f>
        <v>23818</v>
      </c>
      <c r="B2852" s="3" t="str">
        <f>IFERROR(__xludf.DUMMYFUNCTION("""COMPUTED_VALUE"""),"3840-3842 WHITNEY HOWARD RD")</f>
        <v>3840-3842 WHITNEY HOWARD RD</v>
      </c>
      <c r="C2852" s="3" t="str">
        <f>IFERROR(__xludf.DUMMYFUNCTION("""COMPUTED_VALUE"""),"COBOURG")</f>
        <v>COBOURG</v>
      </c>
      <c r="D2852" s="3" t="str">
        <f>IFERROR(__xludf.DUMMYFUNCTION("""COMPUTED_VALUE"""),"K9A 4J7")</f>
        <v>K9A 4J7</v>
      </c>
      <c r="E2852" s="3" t="str">
        <f>IFERROR(__xludf.DUMMYFUNCTION("""COMPUTED_VALUE"""),"roger heron")</f>
        <v>roger heron</v>
      </c>
      <c r="F2852" s="3" t="str">
        <f>IFERROR(__xludf.DUMMYFUNCTION("""COMPUTED_VALUE"""),"roger@eagle.ca")</f>
        <v>roger@eagle.ca</v>
      </c>
      <c r="G2852" s="3">
        <f>IFERROR(__xludf.DUMMYFUNCTION("""COMPUTED_VALUE"""),9.053422121E9)</f>
        <v>9053422121</v>
      </c>
      <c r="H2852" s="3"/>
    </row>
    <row r="2853">
      <c r="A2853" s="2">
        <f>IFERROR(__xludf.DUMMYFUNCTION("""COMPUTED_VALUE"""),23819.0)</f>
        <v>23819</v>
      </c>
      <c r="B2853" s="3" t="str">
        <f>IFERROR(__xludf.DUMMYFUNCTION("""COMPUTED_VALUE"""),"5213 WILLIAM RD")</f>
        <v>5213 WILLIAM RD</v>
      </c>
      <c r="C2853" s="3" t="str">
        <f>IFERROR(__xludf.DUMMYFUNCTION("""COMPUTED_VALUE"""),"GORES LANDING")</f>
        <v>GORES LANDING</v>
      </c>
      <c r="D2853" s="3" t="str">
        <f>IFERROR(__xludf.DUMMYFUNCTION("""COMPUTED_VALUE"""),"K0K 2E0")</f>
        <v>K0K 2E0</v>
      </c>
      <c r="E2853" s="3"/>
      <c r="F2853" s="3"/>
      <c r="G2853" s="3"/>
      <c r="H2853" s="3"/>
    </row>
    <row r="2854">
      <c r="A2854" s="2">
        <f>IFERROR(__xludf.DUMMYFUNCTION("""COMPUTED_VALUE"""),23820.0)</f>
        <v>23820</v>
      </c>
      <c r="B2854" s="3" t="str">
        <f>IFERROR(__xludf.DUMMYFUNCTION("""COMPUTED_VALUE"""),"5221 WILLIAM RD")</f>
        <v>5221 WILLIAM RD</v>
      </c>
      <c r="C2854" s="3" t="str">
        <f>IFERROR(__xludf.DUMMYFUNCTION("""COMPUTED_VALUE"""),"GORES LANDING")</f>
        <v>GORES LANDING</v>
      </c>
      <c r="D2854" s="3" t="str">
        <f>IFERROR(__xludf.DUMMYFUNCTION("""COMPUTED_VALUE"""),"K0K 2E0")</f>
        <v>K0K 2E0</v>
      </c>
      <c r="E2854" s="3" t="str">
        <f>IFERROR(__xludf.DUMMYFUNCTION("""COMPUTED_VALUE"""),"luke harris ")</f>
        <v>luke harris </v>
      </c>
      <c r="F2854" s="3" t="str">
        <f>IFERROR(__xludf.DUMMYFUNCTION("""COMPUTED_VALUE"""),"alukeharris@gmail.com")</f>
        <v>alukeharris@gmail.com</v>
      </c>
      <c r="G2854" s="3">
        <f>IFERROR(__xludf.DUMMYFUNCTION("""COMPUTED_VALUE"""),9.053422889E9)</f>
        <v>9053422889</v>
      </c>
      <c r="H2854" s="3">
        <f>IFERROR(__xludf.DUMMYFUNCTION("""COMPUTED_VALUE"""),2.892516853E9)</f>
        <v>2892516853</v>
      </c>
    </row>
    <row r="2855">
      <c r="A2855" s="2">
        <f>IFERROR(__xludf.DUMMYFUNCTION("""COMPUTED_VALUE"""),23821.0)</f>
        <v>23821</v>
      </c>
      <c r="B2855" s="3" t="str">
        <f>IFERROR(__xludf.DUMMYFUNCTION("""COMPUTED_VALUE"""),"5222 WILLIAM RD")</f>
        <v>5222 WILLIAM RD</v>
      </c>
      <c r="C2855" s="3" t="str">
        <f>IFERROR(__xludf.DUMMYFUNCTION("""COMPUTED_VALUE"""),"GORES LANDING")</f>
        <v>GORES LANDING</v>
      </c>
      <c r="D2855" s="3" t="str">
        <f>IFERROR(__xludf.DUMMYFUNCTION("""COMPUTED_VALUE"""),"K0K 2E0")</f>
        <v>K0K 2E0</v>
      </c>
      <c r="E2855" s="3" t="str">
        <f>IFERROR(__xludf.DUMMYFUNCTION("""COMPUTED_VALUE"""),"Barb Harris")</f>
        <v>Barb Harris</v>
      </c>
      <c r="F2855" s="3" t="str">
        <f>IFERROR(__xludf.DUMMYFUNCTION("""COMPUTED_VALUE"""),"jharris2009@live.com")</f>
        <v>jharris2009@live.com</v>
      </c>
      <c r="G2855" s="3"/>
      <c r="H2855" s="3"/>
    </row>
    <row r="2856">
      <c r="A2856" s="2">
        <f>IFERROR(__xludf.DUMMYFUNCTION("""COMPUTED_VALUE"""),23822.0)</f>
        <v>23822</v>
      </c>
      <c r="B2856" s="3" t="str">
        <f>IFERROR(__xludf.DUMMYFUNCTION("""COMPUTED_VALUE"""),"5237 WILLIAM RD")</f>
        <v>5237 WILLIAM RD</v>
      </c>
      <c r="C2856" s="3" t="str">
        <f>IFERROR(__xludf.DUMMYFUNCTION("""COMPUTED_VALUE"""),"GORES LANDING")</f>
        <v>GORES LANDING</v>
      </c>
      <c r="D2856" s="3" t="str">
        <f>IFERROR(__xludf.DUMMYFUNCTION("""COMPUTED_VALUE"""),"K0K 2E0")</f>
        <v>K0K 2E0</v>
      </c>
      <c r="E2856" s="3"/>
      <c r="F2856" s="3"/>
      <c r="G2856" s="3"/>
      <c r="H2856" s="3"/>
    </row>
    <row r="2857">
      <c r="A2857" s="2">
        <f>IFERROR(__xludf.DUMMYFUNCTION("""COMPUTED_VALUE"""),23823.0)</f>
        <v>23823</v>
      </c>
      <c r="B2857" s="3" t="str">
        <f>IFERROR(__xludf.DUMMYFUNCTION("""COMPUTED_VALUE"""),"5248 WILLIAM RD")</f>
        <v>5248 WILLIAM RD</v>
      </c>
      <c r="C2857" s="3" t="str">
        <f>IFERROR(__xludf.DUMMYFUNCTION("""COMPUTED_VALUE"""),"GORES LANDING")</f>
        <v>GORES LANDING</v>
      </c>
      <c r="D2857" s="3" t="str">
        <f>IFERROR(__xludf.DUMMYFUNCTION("""COMPUTED_VALUE"""),"K0K 2E0")</f>
        <v>K0K 2E0</v>
      </c>
      <c r="E2857" s="3" t="str">
        <f>IFERROR(__xludf.DUMMYFUNCTION("""COMPUTED_VALUE"""),"Nellie &amp; Wayne campbell")</f>
        <v>Nellie &amp; Wayne campbell</v>
      </c>
      <c r="F2857" s="3" t="str">
        <f>IFERROR(__xludf.DUMMYFUNCTION("""COMPUTED_VALUE"""),"nellie.campbell@bell.net")</f>
        <v>nellie.campbell@bell.net</v>
      </c>
      <c r="G2857" s="3">
        <f>IFERROR(__xludf.DUMMYFUNCTION("""COMPUTED_VALUE"""),9.054304874E9)</f>
        <v>9054304874</v>
      </c>
      <c r="H2857" s="3"/>
    </row>
    <row r="2858">
      <c r="A2858" s="2">
        <f>IFERROR(__xludf.DUMMYFUNCTION("""COMPUTED_VALUE"""),23824.0)</f>
        <v>23824</v>
      </c>
      <c r="B2858" s="3" t="str">
        <f>IFERROR(__xludf.DUMMYFUNCTION("""COMPUTED_VALUE"""),"5256 WILLIAM RD")</f>
        <v>5256 WILLIAM RD</v>
      </c>
      <c r="C2858" s="3" t="str">
        <f>IFERROR(__xludf.DUMMYFUNCTION("""COMPUTED_VALUE"""),"GORES LANDING")</f>
        <v>GORES LANDING</v>
      </c>
      <c r="D2858" s="3" t="str">
        <f>IFERROR(__xludf.DUMMYFUNCTION("""COMPUTED_VALUE"""),"K0K 2E0")</f>
        <v>K0K 2E0</v>
      </c>
      <c r="E2858" s="3" t="str">
        <f>IFERROR(__xludf.DUMMYFUNCTION("""COMPUTED_VALUE"""),"Scott Campbell")</f>
        <v>Scott Campbell</v>
      </c>
      <c r="F2858" s="3" t="str">
        <f>IFERROR(__xludf.DUMMYFUNCTION("""COMPUTED_VALUE"""),"scampbe3@gmail.com")</f>
        <v>scampbe3@gmail.com</v>
      </c>
      <c r="G2858" s="3">
        <f>IFERROR(__xludf.DUMMYFUNCTION("""COMPUTED_VALUE"""),4.16571932E9)</f>
        <v>4165719320</v>
      </c>
      <c r="H2858" s="3"/>
    </row>
    <row r="2859">
      <c r="A2859" s="2">
        <f>IFERROR(__xludf.DUMMYFUNCTION("""COMPUTED_VALUE"""),23825.0)</f>
        <v>23825</v>
      </c>
      <c r="B2859" s="3" t="str">
        <f>IFERROR(__xludf.DUMMYFUNCTION("""COMPUTED_VALUE"""),"5262 WILLIAM RD")</f>
        <v>5262 WILLIAM RD</v>
      </c>
      <c r="C2859" s="3" t="str">
        <f>IFERROR(__xludf.DUMMYFUNCTION("""COMPUTED_VALUE"""),"GORES LANDING")</f>
        <v>GORES LANDING</v>
      </c>
      <c r="D2859" s="3" t="str">
        <f>IFERROR(__xludf.DUMMYFUNCTION("""COMPUTED_VALUE"""),"K0K 2E0")</f>
        <v>K0K 2E0</v>
      </c>
      <c r="E2859" s="3" t="str">
        <f>IFERROR(__xludf.DUMMYFUNCTION("""COMPUTED_VALUE"""),"Chad Murphy")</f>
        <v>Chad Murphy</v>
      </c>
      <c r="F2859" s="3" t="str">
        <f>IFERROR(__xludf.DUMMYFUNCTION("""COMPUTED_VALUE"""),"1015chadmurphy@gmail.com")</f>
        <v>1015chadmurphy@gmail.com</v>
      </c>
      <c r="G2859" s="3"/>
      <c r="H2859" s="3"/>
    </row>
    <row r="2860">
      <c r="A2860" s="2">
        <f>IFERROR(__xludf.DUMMYFUNCTION("""COMPUTED_VALUE"""),23826.0)</f>
        <v>23826</v>
      </c>
      <c r="B2860" s="3" t="str">
        <f>IFERROR(__xludf.DUMMYFUNCTION("""COMPUTED_VALUE"""),"5270 WILLIAM RD")</f>
        <v>5270 WILLIAM RD</v>
      </c>
      <c r="C2860" s="3" t="str">
        <f>IFERROR(__xludf.DUMMYFUNCTION("""COMPUTED_VALUE"""),"GORES LANDING")</f>
        <v>GORES LANDING</v>
      </c>
      <c r="D2860" s="3" t="str">
        <f>IFERROR(__xludf.DUMMYFUNCTION("""COMPUTED_VALUE"""),"K0K 2E0")</f>
        <v>K0K 2E0</v>
      </c>
      <c r="E2860" s="3" t="str">
        <f>IFERROR(__xludf.DUMMYFUNCTION("""COMPUTED_VALUE"""),"Deborah Tansley")</f>
        <v>Deborah Tansley</v>
      </c>
      <c r="F2860" s="3" t="str">
        <f>IFERROR(__xludf.DUMMYFUNCTION("""COMPUTED_VALUE"""),"skyejess15@gmail.com")</f>
        <v>skyejess15@gmail.com</v>
      </c>
      <c r="G2860" s="3">
        <f>IFERROR(__xludf.DUMMYFUNCTION("""COMPUTED_VALUE"""),9.053425357E9)</f>
        <v>9053425357</v>
      </c>
      <c r="H2860" s="3"/>
    </row>
    <row r="2861">
      <c r="A2861" s="2">
        <f>IFERROR(__xludf.DUMMYFUNCTION("""COMPUTED_VALUE"""),23827.0)</f>
        <v>23827</v>
      </c>
      <c r="B2861" s="3" t="str">
        <f>IFERROR(__xludf.DUMMYFUNCTION("""COMPUTED_VALUE"""),"5275 WILLIAM RD SUITE 130")</f>
        <v>5275 WILLIAM RD SUITE 130</v>
      </c>
      <c r="C2861" s="3" t="str">
        <f>IFERROR(__xludf.DUMMYFUNCTION("""COMPUTED_VALUE"""),"GORES LANDING")</f>
        <v>GORES LANDING</v>
      </c>
      <c r="D2861" s="3" t="str">
        <f>IFERROR(__xludf.DUMMYFUNCTION("""COMPUTED_VALUE"""),"K0K 2E0")</f>
        <v>K0K 2E0</v>
      </c>
      <c r="E2861" s="3" t="str">
        <f>IFERROR(__xludf.DUMMYFUNCTION("""COMPUTED_VALUE"""),"Nicole Behnante")</f>
        <v>Nicole Behnante</v>
      </c>
      <c r="F2861" s="3" t="str">
        <f>IFERROR(__xludf.DUMMYFUNCTION("""COMPUTED_VALUE"""),"nicole.elaine.mv@gmail.com")</f>
        <v>nicole.elaine.mv@gmail.com</v>
      </c>
      <c r="G2861" s="3"/>
      <c r="H2861" s="3"/>
    </row>
    <row r="2862">
      <c r="A2862" s="2">
        <f>IFERROR(__xludf.DUMMYFUNCTION("""COMPUTED_VALUE"""),23828.0)</f>
        <v>23828</v>
      </c>
      <c r="B2862" s="3" t="str">
        <f>IFERROR(__xludf.DUMMYFUNCTION("""COMPUTED_VALUE"""),"5275 WILLIAM RD SUITE 140")</f>
        <v>5275 WILLIAM RD SUITE 140</v>
      </c>
      <c r="C2862" s="3" t="str">
        <f>IFERROR(__xludf.DUMMYFUNCTION("""COMPUTED_VALUE"""),"GORES LANDING")</f>
        <v>GORES LANDING</v>
      </c>
      <c r="D2862" s="3" t="str">
        <f>IFERROR(__xludf.DUMMYFUNCTION("""COMPUTED_VALUE"""),"K0K 2E0")</f>
        <v>K0K 2E0</v>
      </c>
      <c r="E2862" s="3"/>
      <c r="F2862" s="3"/>
      <c r="G2862" s="3"/>
      <c r="H2862" s="3"/>
    </row>
    <row r="2863">
      <c r="A2863" s="2">
        <f>IFERROR(__xludf.DUMMYFUNCTION("""COMPUTED_VALUE"""),23829.0)</f>
        <v>23829</v>
      </c>
      <c r="B2863" s="3" t="str">
        <f>IFERROR(__xludf.DUMMYFUNCTION("""COMPUTED_VALUE"""),"5275 WILLIAM RD SUITE 150")</f>
        <v>5275 WILLIAM RD SUITE 150</v>
      </c>
      <c r="C2863" s="3" t="str">
        <f>IFERROR(__xludf.DUMMYFUNCTION("""COMPUTED_VALUE"""),"GORES LANDING")</f>
        <v>GORES LANDING</v>
      </c>
      <c r="D2863" s="3" t="str">
        <f>IFERROR(__xludf.DUMMYFUNCTION("""COMPUTED_VALUE"""),"K0K 2E0")</f>
        <v>K0K 2E0</v>
      </c>
      <c r="E2863" s="3" t="str">
        <f>IFERROR(__xludf.DUMMYFUNCTION("""COMPUTED_VALUE"""),"Greg Bell")</f>
        <v>Greg Bell</v>
      </c>
      <c r="F2863" s="3" t="str">
        <f>IFERROR(__xludf.DUMMYFUNCTION("""COMPUTED_VALUE"""),"greg.bell@rogers.com")</f>
        <v>greg.bell@rogers.com</v>
      </c>
      <c r="G2863" s="3"/>
      <c r="H2863" s="3"/>
    </row>
    <row r="2864">
      <c r="A2864" s="2">
        <f>IFERROR(__xludf.DUMMYFUNCTION("""COMPUTED_VALUE"""),23830.0)</f>
        <v>23830</v>
      </c>
      <c r="B2864" s="3" t="str">
        <f>IFERROR(__xludf.DUMMYFUNCTION("""COMPUTED_VALUE"""),"5275 WILLIAM RD SUITE 160")</f>
        <v>5275 WILLIAM RD SUITE 160</v>
      </c>
      <c r="C2864" s="3" t="str">
        <f>IFERROR(__xludf.DUMMYFUNCTION("""COMPUTED_VALUE"""),"GORES LANDING")</f>
        <v>GORES LANDING</v>
      </c>
      <c r="D2864" s="3" t="str">
        <f>IFERROR(__xludf.DUMMYFUNCTION("""COMPUTED_VALUE"""),"K0K 2E0")</f>
        <v>K0K 2E0</v>
      </c>
      <c r="E2864" s="3" t="str">
        <f>IFERROR(__xludf.DUMMYFUNCTION("""COMPUTED_VALUE"""),"Greg Bell")</f>
        <v>Greg Bell</v>
      </c>
      <c r="F2864" s="3" t="str">
        <f>IFERROR(__xludf.DUMMYFUNCTION("""COMPUTED_VALUE"""),"greg.bell@rogers.com")</f>
        <v>greg.bell@rogers.com</v>
      </c>
      <c r="G2864" s="3"/>
      <c r="H2864" s="3"/>
    </row>
    <row r="2865">
      <c r="A2865" s="2">
        <f>IFERROR(__xludf.DUMMYFUNCTION("""COMPUTED_VALUE"""),23831.0)</f>
        <v>23831</v>
      </c>
      <c r="B2865" s="3" t="str">
        <f>IFERROR(__xludf.DUMMYFUNCTION("""COMPUTED_VALUE"""),"5275 WILLIAM RD SUITE 170")</f>
        <v>5275 WILLIAM RD SUITE 170</v>
      </c>
      <c r="C2865" s="3" t="str">
        <f>IFERROR(__xludf.DUMMYFUNCTION("""COMPUTED_VALUE"""),"GORES LANDING")</f>
        <v>GORES LANDING</v>
      </c>
      <c r="D2865" s="3" t="str">
        <f>IFERROR(__xludf.DUMMYFUNCTION("""COMPUTED_VALUE"""),"K0K 2E0")</f>
        <v>K0K 2E0</v>
      </c>
      <c r="E2865" s="3"/>
      <c r="F2865" s="3"/>
      <c r="G2865" s="3"/>
      <c r="H2865" s="3"/>
    </row>
    <row r="2866">
      <c r="A2866" s="2">
        <f>IFERROR(__xludf.DUMMYFUNCTION("""COMPUTED_VALUE"""),23832.0)</f>
        <v>23832</v>
      </c>
      <c r="B2866" s="3" t="str">
        <f>IFERROR(__xludf.DUMMYFUNCTION("""COMPUTED_VALUE"""),"5275 WILLIAM RD SUITE 190")</f>
        <v>5275 WILLIAM RD SUITE 190</v>
      </c>
      <c r="C2866" s="3" t="str">
        <f>IFERROR(__xludf.DUMMYFUNCTION("""COMPUTED_VALUE"""),"GORES LANDING")</f>
        <v>GORES LANDING</v>
      </c>
      <c r="D2866" s="3" t="str">
        <f>IFERROR(__xludf.DUMMYFUNCTION("""COMPUTED_VALUE"""),"K0K 2E0")</f>
        <v>K0K 2E0</v>
      </c>
      <c r="E2866" s="3"/>
      <c r="F2866" s="3"/>
      <c r="G2866" s="3"/>
      <c r="H2866" s="3"/>
    </row>
    <row r="2867">
      <c r="A2867" s="2">
        <f>IFERROR(__xludf.DUMMYFUNCTION("""COMPUTED_VALUE"""),23833.0)</f>
        <v>23833</v>
      </c>
      <c r="B2867" s="3" t="str">
        <f>IFERROR(__xludf.DUMMYFUNCTION("""COMPUTED_VALUE"""),"5275 WILLIAM RD SUITE 200")</f>
        <v>5275 WILLIAM RD SUITE 200</v>
      </c>
      <c r="C2867" s="3" t="str">
        <f>IFERROR(__xludf.DUMMYFUNCTION("""COMPUTED_VALUE"""),"GORES LANDING")</f>
        <v>GORES LANDING</v>
      </c>
      <c r="D2867" s="3" t="str">
        <f>IFERROR(__xludf.DUMMYFUNCTION("""COMPUTED_VALUE"""),"K0K 2E0")</f>
        <v>K0K 2E0</v>
      </c>
      <c r="E2867" s="3"/>
      <c r="F2867" s="3"/>
      <c r="G2867" s="3"/>
      <c r="H2867" s="3"/>
    </row>
    <row r="2868">
      <c r="A2868" s="2">
        <f>IFERROR(__xludf.DUMMYFUNCTION("""COMPUTED_VALUE"""),23834.0)</f>
        <v>23834</v>
      </c>
      <c r="B2868" s="3" t="str">
        <f>IFERROR(__xludf.DUMMYFUNCTION("""COMPUTED_VALUE"""),"5275 WILLIAM RD SUITE 210")</f>
        <v>5275 WILLIAM RD SUITE 210</v>
      </c>
      <c r="C2868" s="3" t="str">
        <f>IFERROR(__xludf.DUMMYFUNCTION("""COMPUTED_VALUE"""),"GORES LANDING")</f>
        <v>GORES LANDING</v>
      </c>
      <c r="D2868" s="3" t="str">
        <f>IFERROR(__xludf.DUMMYFUNCTION("""COMPUTED_VALUE"""),"K0K 2E0")</f>
        <v>K0K 2E0</v>
      </c>
      <c r="E2868" s="3" t="str">
        <f>IFERROR(__xludf.DUMMYFUNCTION("""COMPUTED_VALUE"""),"steve schwartzentruber")</f>
        <v>steve schwartzentruber</v>
      </c>
      <c r="F2868" s="3" t="str">
        <f>IFERROR(__xludf.DUMMYFUNCTION("""COMPUTED_VALUE"""),"schwartzentruber@hotmail.com")</f>
        <v>schwartzentruber@hotmail.com</v>
      </c>
      <c r="G2868" s="3">
        <f>IFERROR(__xludf.DUMMYFUNCTION("""COMPUTED_VALUE"""),9.053429189E9)</f>
        <v>9053429189</v>
      </c>
      <c r="H2868" s="3">
        <f>IFERROR(__xludf.DUMMYFUNCTION("""COMPUTED_VALUE"""),2.893850748E9)</f>
        <v>2893850748</v>
      </c>
    </row>
    <row r="2869">
      <c r="A2869" s="2">
        <f>IFERROR(__xludf.DUMMYFUNCTION("""COMPUTED_VALUE"""),23835.0)</f>
        <v>23835</v>
      </c>
      <c r="B2869" s="3" t="str">
        <f>IFERROR(__xludf.DUMMYFUNCTION("""COMPUTED_VALUE"""),"5275 WILLIAM RD SUITE 250")</f>
        <v>5275 WILLIAM RD SUITE 250</v>
      </c>
      <c r="C2869" s="3" t="str">
        <f>IFERROR(__xludf.DUMMYFUNCTION("""COMPUTED_VALUE"""),"GORES LANDING")</f>
        <v>GORES LANDING</v>
      </c>
      <c r="D2869" s="3" t="str">
        <f>IFERROR(__xludf.DUMMYFUNCTION("""COMPUTED_VALUE"""),"K0K 2E0")</f>
        <v>K0K 2E0</v>
      </c>
      <c r="E2869" s="3" t="str">
        <f>IFERROR(__xludf.DUMMYFUNCTION("""COMPUTED_VALUE"""),"bill pinkerton")</f>
        <v>bill pinkerton</v>
      </c>
      <c r="F2869" s="3" t="str">
        <f>IFERROR(__xludf.DUMMYFUNCTION("""COMPUTED_VALUE"""),"billpinkerton17@gmail.com")</f>
        <v>billpinkerton17@gmail.com</v>
      </c>
      <c r="G2869" s="3">
        <f>IFERROR(__xludf.DUMMYFUNCTION("""COMPUTED_VALUE"""),9.053423593E9)</f>
        <v>9053423593</v>
      </c>
      <c r="H2869" s="3"/>
    </row>
    <row r="2870">
      <c r="A2870" s="2">
        <f>IFERROR(__xludf.DUMMYFUNCTION("""COMPUTED_VALUE"""),23836.0)</f>
        <v>23836</v>
      </c>
      <c r="B2870" s="3" t="str">
        <f>IFERROR(__xludf.DUMMYFUNCTION("""COMPUTED_VALUE"""),"5275 WILLIAM RD SUITE 260")</f>
        <v>5275 WILLIAM RD SUITE 260</v>
      </c>
      <c r="C2870" s="3" t="str">
        <f>IFERROR(__xludf.DUMMYFUNCTION("""COMPUTED_VALUE"""),"GORES LANDING")</f>
        <v>GORES LANDING</v>
      </c>
      <c r="D2870" s="3" t="str">
        <f>IFERROR(__xludf.DUMMYFUNCTION("""COMPUTED_VALUE"""),"K0K 2E0")</f>
        <v>K0K 2E0</v>
      </c>
      <c r="E2870" s="3" t="str">
        <f>IFERROR(__xludf.DUMMYFUNCTION("""COMPUTED_VALUE"""),"Hellen Neglet")</f>
        <v>Hellen Neglet</v>
      </c>
      <c r="F2870" s="3"/>
      <c r="G2870" s="3"/>
      <c r="H2870" s="3"/>
    </row>
    <row r="2871">
      <c r="A2871" s="2">
        <f>IFERROR(__xludf.DUMMYFUNCTION("""COMPUTED_VALUE"""),23837.0)</f>
        <v>23837</v>
      </c>
      <c r="B2871" s="3" t="str">
        <f>IFERROR(__xludf.DUMMYFUNCTION("""COMPUTED_VALUE"""),"5275 WILLIAM RD SUITE 270")</f>
        <v>5275 WILLIAM RD SUITE 270</v>
      </c>
      <c r="C2871" s="3" t="str">
        <f>IFERROR(__xludf.DUMMYFUNCTION("""COMPUTED_VALUE"""),"GORES LANDING")</f>
        <v>GORES LANDING</v>
      </c>
      <c r="D2871" s="3" t="str">
        <f>IFERROR(__xludf.DUMMYFUNCTION("""COMPUTED_VALUE"""),"K0K 2E0")</f>
        <v>K0K 2E0</v>
      </c>
      <c r="E2871" s="3"/>
      <c r="F2871" s="3"/>
      <c r="G2871" s="3"/>
      <c r="H2871" s="3"/>
    </row>
    <row r="2872">
      <c r="A2872" s="2">
        <f>IFERROR(__xludf.DUMMYFUNCTION("""COMPUTED_VALUE"""),23838.0)</f>
        <v>23838</v>
      </c>
      <c r="B2872" s="3" t="str">
        <f>IFERROR(__xludf.DUMMYFUNCTION("""COMPUTED_VALUE"""),"5275 WILLIAM RD UNIT 110")</f>
        <v>5275 WILLIAM RD UNIT 110</v>
      </c>
      <c r="C2872" s="3" t="str">
        <f>IFERROR(__xludf.DUMMYFUNCTION("""COMPUTED_VALUE"""),"GORES LANDING")</f>
        <v>GORES LANDING</v>
      </c>
      <c r="D2872" s="3" t="str">
        <f>IFERROR(__xludf.DUMMYFUNCTION("""COMPUTED_VALUE"""),"K0K 2E0")</f>
        <v>K0K 2E0</v>
      </c>
      <c r="E2872" s="3"/>
      <c r="F2872" s="3"/>
      <c r="G2872" s="3"/>
      <c r="H2872" s="3"/>
    </row>
    <row r="2873">
      <c r="A2873" s="2">
        <f>IFERROR(__xludf.DUMMYFUNCTION("""COMPUTED_VALUE"""),23839.0)</f>
        <v>23839</v>
      </c>
      <c r="B2873" s="3" t="str">
        <f>IFERROR(__xludf.DUMMYFUNCTION("""COMPUTED_VALUE"""),"5275 WILLIAM RD UNIT 120")</f>
        <v>5275 WILLIAM RD UNIT 120</v>
      </c>
      <c r="C2873" s="3" t="str">
        <f>IFERROR(__xludf.DUMMYFUNCTION("""COMPUTED_VALUE"""),"GORES LANDING")</f>
        <v>GORES LANDING</v>
      </c>
      <c r="D2873" s="3" t="str">
        <f>IFERROR(__xludf.DUMMYFUNCTION("""COMPUTED_VALUE"""),"K0K 2E0")</f>
        <v>K0K 2E0</v>
      </c>
      <c r="E2873" s="3"/>
      <c r="F2873" s="3"/>
      <c r="G2873" s="3"/>
      <c r="H2873" s="3"/>
    </row>
    <row r="2874">
      <c r="A2874" s="2">
        <f>IFERROR(__xludf.DUMMYFUNCTION("""COMPUTED_VALUE"""),23840.0)</f>
        <v>23840</v>
      </c>
      <c r="B2874" s="3" t="str">
        <f>IFERROR(__xludf.DUMMYFUNCTION("""COMPUTED_VALUE"""),"5275 WILLIAM RD UNIT 230")</f>
        <v>5275 WILLIAM RD UNIT 230</v>
      </c>
      <c r="C2874" s="3" t="str">
        <f>IFERROR(__xludf.DUMMYFUNCTION("""COMPUTED_VALUE"""),"GORES LANDING")</f>
        <v>GORES LANDING</v>
      </c>
      <c r="D2874" s="3" t="str">
        <f>IFERROR(__xludf.DUMMYFUNCTION("""COMPUTED_VALUE"""),"K0K 2E0")</f>
        <v>K0K 2E0</v>
      </c>
      <c r="E2874" s="3"/>
      <c r="F2874" s="3"/>
      <c r="G2874" s="3"/>
      <c r="H2874" s="3"/>
    </row>
    <row r="2875">
      <c r="A2875" s="2">
        <f>IFERROR(__xludf.DUMMYFUNCTION("""COMPUTED_VALUE"""),23841.0)</f>
        <v>23841</v>
      </c>
      <c r="B2875" s="3" t="str">
        <f>IFERROR(__xludf.DUMMYFUNCTION("""COMPUTED_VALUE"""),"5275 WILLIAM RD UNIT 290")</f>
        <v>5275 WILLIAM RD UNIT 290</v>
      </c>
      <c r="C2875" s="3" t="str">
        <f>IFERROR(__xludf.DUMMYFUNCTION("""COMPUTED_VALUE"""),"GORES LANDING")</f>
        <v>GORES LANDING</v>
      </c>
      <c r="D2875" s="3" t="str">
        <f>IFERROR(__xludf.DUMMYFUNCTION("""COMPUTED_VALUE"""),"K0K 2E0")</f>
        <v>K0K 2E0</v>
      </c>
      <c r="E2875" s="3" t="str">
        <f>IFERROR(__xludf.DUMMYFUNCTION("""COMPUTED_VALUE"""),"ingrid villatoro")</f>
        <v>ingrid villatoro</v>
      </c>
      <c r="F2875" s="3" t="str">
        <f>IFERROR(__xludf.DUMMYFUNCTION("""COMPUTED_VALUE"""),"msvillatoro@yahoo.ca")</f>
        <v>msvillatoro@yahoo.ca</v>
      </c>
      <c r="G2875" s="3">
        <f>IFERROR(__xludf.DUMMYFUNCTION("""COMPUTED_VALUE"""),4.162789284E9)</f>
        <v>4162789284</v>
      </c>
      <c r="H2875" s="3"/>
    </row>
    <row r="2876">
      <c r="A2876" s="2">
        <f>IFERROR(__xludf.DUMMYFUNCTION("""COMPUTED_VALUE"""),23842.0)</f>
        <v>23842</v>
      </c>
      <c r="B2876" s="3" t="str">
        <f>IFERROR(__xludf.DUMMYFUNCTION("""COMPUTED_VALUE"""),"5275 WILLIAM RD UNIT 300")</f>
        <v>5275 WILLIAM RD UNIT 300</v>
      </c>
      <c r="C2876" s="3" t="str">
        <f>IFERROR(__xludf.DUMMYFUNCTION("""COMPUTED_VALUE"""),"GORES LANDING")</f>
        <v>GORES LANDING</v>
      </c>
      <c r="D2876" s="3" t="str">
        <f>IFERROR(__xludf.DUMMYFUNCTION("""COMPUTED_VALUE"""),"K0K 2E0")</f>
        <v>K0K 2E0</v>
      </c>
      <c r="E2876" s="3" t="str">
        <f>IFERROR(__xludf.DUMMYFUNCTION("""COMPUTED_VALUE"""),"wai minsetu")</f>
        <v>wai minsetu</v>
      </c>
      <c r="F2876" s="3"/>
      <c r="G2876" s="3">
        <f>IFERROR(__xludf.DUMMYFUNCTION("""COMPUTED_VALUE"""),4.165244175E9)</f>
        <v>4165244175</v>
      </c>
      <c r="H2876" s="3"/>
    </row>
    <row r="2877">
      <c r="A2877" s="2">
        <f>IFERROR(__xludf.DUMMYFUNCTION("""COMPUTED_VALUE"""),23843.0)</f>
        <v>23843</v>
      </c>
      <c r="B2877" s="3" t="str">
        <f>IFERROR(__xludf.DUMMYFUNCTION("""COMPUTED_VALUE"""),"2908 WILLIAMSON RD")</f>
        <v>2908 WILLIAMSON RD</v>
      </c>
      <c r="C2877" s="3" t="str">
        <f>IFERROR(__xludf.DUMMYFUNCTION("""COMPUTED_VALUE"""),"COBOURG")</f>
        <v>COBOURG</v>
      </c>
      <c r="D2877" s="3" t="str">
        <f>IFERROR(__xludf.DUMMYFUNCTION("""COMPUTED_VALUE"""),"K9A 4J7")</f>
        <v>K9A 4J7</v>
      </c>
      <c r="E2877" s="3" t="str">
        <f>IFERROR(__xludf.DUMMYFUNCTION("""COMPUTED_VALUE"""),"Russell Brimacombe ")</f>
        <v>Russell Brimacombe </v>
      </c>
      <c r="F2877" s="3" t="str">
        <f>IFERROR(__xludf.DUMMYFUNCTION("""COMPUTED_VALUE"""),"russellbrimacombe@gmail.com")</f>
        <v>russellbrimacombe@gmail.com</v>
      </c>
      <c r="G2877" s="3"/>
      <c r="H2877" s="3"/>
    </row>
    <row r="2878">
      <c r="A2878" s="2">
        <f>IFERROR(__xludf.DUMMYFUNCTION("""COMPUTED_VALUE"""),23844.0)</f>
        <v>23844</v>
      </c>
      <c r="B2878" s="3" t="str">
        <f>IFERROR(__xludf.DUMMYFUNCTION("""COMPUTED_VALUE"""),"2920 WILLIAMSON RD")</f>
        <v>2920 WILLIAMSON RD</v>
      </c>
      <c r="C2878" s="3" t="str">
        <f>IFERROR(__xludf.DUMMYFUNCTION("""COMPUTED_VALUE"""),"COBOURG")</f>
        <v>COBOURG</v>
      </c>
      <c r="D2878" s="3" t="str">
        <f>IFERROR(__xludf.DUMMYFUNCTION("""COMPUTED_VALUE"""),"K9A 4J7")</f>
        <v>K9A 4J7</v>
      </c>
      <c r="E2878" s="3" t="str">
        <f>IFERROR(__xludf.DUMMYFUNCTION("""COMPUTED_VALUE"""),"Diane Aitchison")</f>
        <v>Diane Aitchison</v>
      </c>
      <c r="F2878" s="3" t="str">
        <f>IFERROR(__xludf.DUMMYFUNCTION("""COMPUTED_VALUE"""),"baremeow@gmail.com")</f>
        <v>baremeow@gmail.com</v>
      </c>
      <c r="G2878" s="3">
        <f>IFERROR(__xludf.DUMMYFUNCTION("""COMPUTED_VALUE"""),7.056536999E9)</f>
        <v>7056536999</v>
      </c>
      <c r="H2878" s="3"/>
    </row>
    <row r="2879">
      <c r="A2879" s="2">
        <f>IFERROR(__xludf.DUMMYFUNCTION("""COMPUTED_VALUE"""),23845.0)</f>
        <v>23845</v>
      </c>
      <c r="B2879" s="3" t="str">
        <f>IFERROR(__xludf.DUMMYFUNCTION("""COMPUTED_VALUE"""),"2936 WILLIAMSON RD")</f>
        <v>2936 WILLIAMSON RD</v>
      </c>
      <c r="C2879" s="3" t="str">
        <f>IFERROR(__xludf.DUMMYFUNCTION("""COMPUTED_VALUE"""),"COBOURG")</f>
        <v>COBOURG</v>
      </c>
      <c r="D2879" s="3" t="str">
        <f>IFERROR(__xludf.DUMMYFUNCTION("""COMPUTED_VALUE"""),"K9A 4J7")</f>
        <v>K9A 4J7</v>
      </c>
      <c r="E2879" s="3" t="str">
        <f>IFERROR(__xludf.DUMMYFUNCTION("""COMPUTED_VALUE"""),"Elaine Kwon")</f>
        <v>Elaine Kwon</v>
      </c>
      <c r="F2879" s="3" t="str">
        <f>IFERROR(__xludf.DUMMYFUNCTION("""COMPUTED_VALUE"""),"Easywinfarm@hotmail.com")</f>
        <v>Easywinfarm@hotmail.com</v>
      </c>
      <c r="G2879" s="3">
        <f>IFERROR(__xludf.DUMMYFUNCTION("""COMPUTED_VALUE"""),6.472122211E9)</f>
        <v>6472122211</v>
      </c>
      <c r="H2879" s="3"/>
    </row>
    <row r="2880">
      <c r="A2880" s="2">
        <f>IFERROR(__xludf.DUMMYFUNCTION("""COMPUTED_VALUE"""),23846.0)</f>
        <v>23846</v>
      </c>
      <c r="B2880" s="3" t="str">
        <f>IFERROR(__xludf.DUMMYFUNCTION("""COMPUTED_VALUE"""),"2950 WILLIAMSON RD")</f>
        <v>2950 WILLIAMSON RD</v>
      </c>
      <c r="C2880" s="3" t="str">
        <f>IFERROR(__xludf.DUMMYFUNCTION("""COMPUTED_VALUE"""),"COBOURG")</f>
        <v>COBOURG</v>
      </c>
      <c r="D2880" s="3" t="str">
        <f>IFERROR(__xludf.DUMMYFUNCTION("""COMPUTED_VALUE"""),"K9A 4J7")</f>
        <v>K9A 4J7</v>
      </c>
      <c r="E2880" s="3" t="str">
        <f>IFERROR(__xludf.DUMMYFUNCTION("""COMPUTED_VALUE"""),"steve saman ")</f>
        <v>steve saman </v>
      </c>
      <c r="F2880" s="3"/>
      <c r="G2880" s="3">
        <f>IFERROR(__xludf.DUMMYFUNCTION("""COMPUTED_VALUE"""),2.892517751E9)</f>
        <v>2892517751</v>
      </c>
      <c r="H2880" s="3"/>
    </row>
    <row r="2881">
      <c r="A2881" s="2">
        <f>IFERROR(__xludf.DUMMYFUNCTION("""COMPUTED_VALUE"""),23847.0)</f>
        <v>23847</v>
      </c>
      <c r="B2881" s="3" t="str">
        <f>IFERROR(__xludf.DUMMYFUNCTION("""COMPUTED_VALUE"""),"2962 WILLIAMSON RD")</f>
        <v>2962 WILLIAMSON RD</v>
      </c>
      <c r="C2881" s="3" t="str">
        <f>IFERROR(__xludf.DUMMYFUNCTION("""COMPUTED_VALUE"""),"COBOURG")</f>
        <v>COBOURG</v>
      </c>
      <c r="D2881" s="3" t="str">
        <f>IFERROR(__xludf.DUMMYFUNCTION("""COMPUTED_VALUE"""),"K9A 4J7")</f>
        <v>K9A 4J7</v>
      </c>
      <c r="E2881" s="3" t="str">
        <f>IFERROR(__xludf.DUMMYFUNCTION("""COMPUTED_VALUE"""),"Frederico Alves")</f>
        <v>Frederico Alves</v>
      </c>
      <c r="F2881" s="3" t="str">
        <f>IFERROR(__xludf.DUMMYFUNCTION("""COMPUTED_VALUE"""),"the_morbidus@hotmail.com")</f>
        <v>the_morbidus@hotmail.com</v>
      </c>
      <c r="G2881" s="3">
        <f>IFERROR(__xludf.DUMMYFUNCTION("""COMPUTED_VALUE"""),6.47784843E9)</f>
        <v>6477848430</v>
      </c>
      <c r="H2881" s="3"/>
    </row>
    <row r="2882">
      <c r="A2882" s="2">
        <f>IFERROR(__xludf.DUMMYFUNCTION("""COMPUTED_VALUE"""),23848.0)</f>
        <v>23848</v>
      </c>
      <c r="B2882" s="3" t="str">
        <f>IFERROR(__xludf.DUMMYFUNCTION("""COMPUTED_VALUE"""),"2968 WILLIAMSON RD")</f>
        <v>2968 WILLIAMSON RD</v>
      </c>
      <c r="C2882" s="3" t="str">
        <f>IFERROR(__xludf.DUMMYFUNCTION("""COMPUTED_VALUE"""),"COBOURG")</f>
        <v>COBOURG</v>
      </c>
      <c r="D2882" s="3" t="str">
        <f>IFERROR(__xludf.DUMMYFUNCTION("""COMPUTED_VALUE"""),"K9A 4J7")</f>
        <v>K9A 4J7</v>
      </c>
      <c r="E2882" s="3" t="str">
        <f>IFERROR(__xludf.DUMMYFUNCTION("""COMPUTED_VALUE"""),"rupert hummel ")</f>
        <v>rupert hummel </v>
      </c>
      <c r="F2882" s="3" t="str">
        <f>IFERROR(__xludf.DUMMYFUNCTION("""COMPUTED_VALUE"""),"rupertsvideo@gmail.com")</f>
        <v>rupertsvideo@gmail.com</v>
      </c>
      <c r="G2882" s="3">
        <f>IFERROR(__xludf.DUMMYFUNCTION("""COMPUTED_VALUE"""),4.169899769E9)</f>
        <v>4169899769</v>
      </c>
      <c r="H2882" s="3"/>
    </row>
    <row r="2883">
      <c r="A2883" s="2">
        <f>IFERROR(__xludf.DUMMYFUNCTION("""COMPUTED_VALUE"""),23849.0)</f>
        <v>23849</v>
      </c>
      <c r="B2883" s="3" t="str">
        <f>IFERROR(__xludf.DUMMYFUNCTION("""COMPUTED_VALUE"""),"2992 WILLIAMSON RD")</f>
        <v>2992 WILLIAMSON RD</v>
      </c>
      <c r="C2883" s="3" t="str">
        <f>IFERROR(__xludf.DUMMYFUNCTION("""COMPUTED_VALUE"""),"COBOURG")</f>
        <v>COBOURG</v>
      </c>
      <c r="D2883" s="3" t="str">
        <f>IFERROR(__xludf.DUMMYFUNCTION("""COMPUTED_VALUE"""),"K9A 4J7")</f>
        <v>K9A 4J7</v>
      </c>
      <c r="E2883" s="3" t="str">
        <f>IFERROR(__xludf.DUMMYFUNCTION("""COMPUTED_VALUE"""),"Marian Davidson ")</f>
        <v>Marian Davidson </v>
      </c>
      <c r="F2883" s="3" t="str">
        <f>IFERROR(__xludf.DUMMYFUNCTION("""COMPUTED_VALUE"""),"mrnjdvdsn@gmail.com")</f>
        <v>mrnjdvdsn@gmail.com</v>
      </c>
      <c r="G2883" s="3">
        <f>IFERROR(__xludf.DUMMYFUNCTION("""COMPUTED_VALUE"""),9.053525396E9)</f>
        <v>9053525396</v>
      </c>
      <c r="H2883" s="3"/>
    </row>
    <row r="2884">
      <c r="A2884" s="2">
        <f>IFERROR(__xludf.DUMMYFUNCTION("""COMPUTED_VALUE"""),23850.0)</f>
        <v>23850</v>
      </c>
      <c r="B2884" s="3" t="str">
        <f>IFERROR(__xludf.DUMMYFUNCTION("""COMPUTED_VALUE"""),"3010 WILLIAMSON RD")</f>
        <v>3010 WILLIAMSON RD</v>
      </c>
      <c r="C2884" s="3" t="str">
        <f>IFERROR(__xludf.DUMMYFUNCTION("""COMPUTED_VALUE"""),"COBOURG")</f>
        <v>COBOURG</v>
      </c>
      <c r="D2884" s="3" t="str">
        <f>IFERROR(__xludf.DUMMYFUNCTION("""COMPUTED_VALUE"""),"K9A 4J7")</f>
        <v>K9A 4J7</v>
      </c>
      <c r="E2884" s="3" t="str">
        <f>IFERROR(__xludf.DUMMYFUNCTION("""COMPUTED_VALUE"""),"aodhan jones")</f>
        <v>aodhan jones</v>
      </c>
      <c r="F2884" s="3" t="str">
        <f>IFERROR(__xludf.DUMMYFUNCTION("""COMPUTED_VALUE"""),"tsjones@hotmail.com")</f>
        <v>tsjones@hotmail.com</v>
      </c>
      <c r="G2884" s="3">
        <f>IFERROR(__xludf.DUMMYFUNCTION("""COMPUTED_VALUE"""),9.053759875E9)</f>
        <v>9053759875</v>
      </c>
      <c r="H2884" s="3"/>
    </row>
    <row r="2885">
      <c r="A2885" s="2">
        <f>IFERROR(__xludf.DUMMYFUNCTION("""COMPUTED_VALUE"""),23851.0)</f>
        <v>23851</v>
      </c>
      <c r="B2885" s="3" t="str">
        <f>IFERROR(__xludf.DUMMYFUNCTION("""COMPUTED_VALUE"""),"3014 WILLIAMSON RD")</f>
        <v>3014 WILLIAMSON RD</v>
      </c>
      <c r="C2885" s="3" t="str">
        <f>IFERROR(__xludf.DUMMYFUNCTION("""COMPUTED_VALUE"""),"COBOURG")</f>
        <v>COBOURG</v>
      </c>
      <c r="D2885" s="3" t="str">
        <f>IFERROR(__xludf.DUMMYFUNCTION("""COMPUTED_VALUE"""),"K9A 4J7")</f>
        <v>K9A 4J7</v>
      </c>
      <c r="E2885" s="3"/>
      <c r="F2885" s="3"/>
      <c r="G2885" s="3"/>
      <c r="H2885" s="3"/>
    </row>
    <row r="2886">
      <c r="A2886" s="2">
        <f>IFERROR(__xludf.DUMMYFUNCTION("""COMPUTED_VALUE"""),23852.0)</f>
        <v>23852</v>
      </c>
      <c r="B2886" s="3" t="str">
        <f>IFERROR(__xludf.DUMMYFUNCTION("""COMPUTED_VALUE"""),"3026 WILLIAMSON RD")</f>
        <v>3026 WILLIAMSON RD</v>
      </c>
      <c r="C2886" s="3" t="str">
        <f>IFERROR(__xludf.DUMMYFUNCTION("""COMPUTED_VALUE"""),"COBOURG")</f>
        <v>COBOURG</v>
      </c>
      <c r="D2886" s="3" t="str">
        <f>IFERROR(__xludf.DUMMYFUNCTION("""COMPUTED_VALUE"""),"K9A 4J7")</f>
        <v>K9A 4J7</v>
      </c>
      <c r="E2886" s="3" t="str">
        <f>IFERROR(__xludf.DUMMYFUNCTION("""COMPUTED_VALUE"""),"William McCormick")</f>
        <v>William McCormick</v>
      </c>
      <c r="F2886" s="3" t="str">
        <f>IFERROR(__xludf.DUMMYFUNCTION("""COMPUTED_VALUE"""),"bsmc@live.ca")</f>
        <v>bsmc@live.ca</v>
      </c>
      <c r="G2886" s="3"/>
      <c r="H2886" s="3">
        <f>IFERROR(__xludf.DUMMYFUNCTION("""COMPUTED_VALUE"""),9.053773521E9)</f>
        <v>9053773521</v>
      </c>
    </row>
    <row r="2887">
      <c r="A2887" s="2">
        <f>IFERROR(__xludf.DUMMYFUNCTION("""COMPUTED_VALUE"""),23853.0)</f>
        <v>23853</v>
      </c>
      <c r="B2887" s="3" t="str">
        <f>IFERROR(__xludf.DUMMYFUNCTION("""COMPUTED_VALUE"""),"3038 WILLIAMSON RD")</f>
        <v>3038 WILLIAMSON RD</v>
      </c>
      <c r="C2887" s="3" t="str">
        <f>IFERROR(__xludf.DUMMYFUNCTION("""COMPUTED_VALUE"""),"COBOURG")</f>
        <v>COBOURG</v>
      </c>
      <c r="D2887" s="3" t="str">
        <f>IFERROR(__xludf.DUMMYFUNCTION("""COMPUTED_VALUE"""),"K9A 4J7")</f>
        <v>K9A 4J7</v>
      </c>
      <c r="E2887" s="3" t="str">
        <f>IFERROR(__xludf.DUMMYFUNCTION("""COMPUTED_VALUE"""),"kylie campbell")</f>
        <v>kylie campbell</v>
      </c>
      <c r="F2887" s="3" t="str">
        <f>IFERROR(__xludf.DUMMYFUNCTION("""COMPUTED_VALUE"""),"kyliecmpbll@gmail.com")</f>
        <v>kyliecmpbll@gmail.com</v>
      </c>
      <c r="G2887" s="3">
        <f>IFERROR(__xludf.DUMMYFUNCTION("""COMPUTED_VALUE"""),6.472705678E9)</f>
        <v>6472705678</v>
      </c>
      <c r="H2887" s="3"/>
    </row>
    <row r="2888">
      <c r="A2888" s="2">
        <f>IFERROR(__xludf.DUMMYFUNCTION("""COMPUTED_VALUE"""),23854.0)</f>
        <v>23854</v>
      </c>
      <c r="B2888" s="3" t="str">
        <f>IFERROR(__xludf.DUMMYFUNCTION("""COMPUTED_VALUE"""),"3048 WILLIAMSON RD")</f>
        <v>3048 WILLIAMSON RD</v>
      </c>
      <c r="C2888" s="3" t="str">
        <f>IFERROR(__xludf.DUMMYFUNCTION("""COMPUTED_VALUE"""),"COBOURG")</f>
        <v>COBOURG</v>
      </c>
      <c r="D2888" s="3" t="str">
        <f>IFERROR(__xludf.DUMMYFUNCTION("""COMPUTED_VALUE"""),"K9A 4J7")</f>
        <v>K9A 4J7</v>
      </c>
      <c r="E2888" s="3" t="str">
        <f>IFERROR(__xludf.DUMMYFUNCTION("""COMPUTED_VALUE"""),"Jim Keely ")</f>
        <v>Jim Keely </v>
      </c>
      <c r="F2888" s="3" t="str">
        <f>IFERROR(__xludf.DUMMYFUNCTION("""COMPUTED_VALUE"""),"Jimka@hotmail.com")</f>
        <v>Jimka@hotmail.com</v>
      </c>
      <c r="G2888" s="3">
        <f>IFERROR(__xludf.DUMMYFUNCTION("""COMPUTED_VALUE"""),9.053732828E9)</f>
        <v>9053732828</v>
      </c>
      <c r="H2888" s="3"/>
    </row>
    <row r="2889">
      <c r="A2889" s="2">
        <f>IFERROR(__xludf.DUMMYFUNCTION("""COMPUTED_VALUE"""),23855.0)</f>
        <v>23855</v>
      </c>
      <c r="B2889" s="3" t="str">
        <f>IFERROR(__xludf.DUMMYFUNCTION("""COMPUTED_VALUE"""),"3141 WILLIAMSON RD")</f>
        <v>3141 WILLIAMSON RD</v>
      </c>
      <c r="C2889" s="3" t="str">
        <f>IFERROR(__xludf.DUMMYFUNCTION("""COMPUTED_VALUE"""),"COBOURG")</f>
        <v>COBOURG</v>
      </c>
      <c r="D2889" s="3" t="str">
        <f>IFERROR(__xludf.DUMMYFUNCTION("""COMPUTED_VALUE"""),"K9A 4J7")</f>
        <v>K9A 4J7</v>
      </c>
      <c r="E2889" s="3" t="str">
        <f>IFERROR(__xludf.DUMMYFUNCTION("""COMPUTED_VALUE"""),"diana barrett")</f>
        <v>diana barrett</v>
      </c>
      <c r="F2889" s="3" t="str">
        <f>IFERROR(__xludf.DUMMYFUNCTION("""COMPUTED_VALUE"""),"diana.barrett@hotmail.com")</f>
        <v>diana.barrett@hotmail.com</v>
      </c>
      <c r="G2889" s="3">
        <f>IFERROR(__xludf.DUMMYFUNCTION("""COMPUTED_VALUE"""),9.053753752E9)</f>
        <v>9053753752</v>
      </c>
      <c r="H2889" s="3">
        <f>IFERROR(__xludf.DUMMYFUNCTION("""COMPUTED_VALUE"""),9.05372262E9)</f>
        <v>9053722620</v>
      </c>
    </row>
    <row r="2890">
      <c r="A2890" s="2">
        <f>IFERROR(__xludf.DUMMYFUNCTION("""COMPUTED_VALUE"""),23856.0)</f>
        <v>23856</v>
      </c>
      <c r="B2890" s="3" t="str">
        <f>IFERROR(__xludf.DUMMYFUNCTION("""COMPUTED_VALUE"""),"3150 WILLIAMSON RD")</f>
        <v>3150 WILLIAMSON RD</v>
      </c>
      <c r="C2890" s="3" t="str">
        <f>IFERROR(__xludf.DUMMYFUNCTION("""COMPUTED_VALUE"""),"COBOURG")</f>
        <v>COBOURG</v>
      </c>
      <c r="D2890" s="3" t="str">
        <f>IFERROR(__xludf.DUMMYFUNCTION("""COMPUTED_VALUE"""),"K9A 4J7")</f>
        <v>K9A 4J7</v>
      </c>
      <c r="E2890" s="3" t="str">
        <f>IFERROR(__xludf.DUMMYFUNCTION("""COMPUTED_VALUE"""),"diana barrett ")</f>
        <v>diana barrett </v>
      </c>
      <c r="F2890" s="3" t="str">
        <f>IFERROR(__xludf.DUMMYFUNCTION("""COMPUTED_VALUE"""),"diana.barrett@hotmail.com")</f>
        <v>diana.barrett@hotmail.com</v>
      </c>
      <c r="G2890" s="3"/>
      <c r="H2890" s="3"/>
    </row>
    <row r="2891">
      <c r="A2891" s="2">
        <f>IFERROR(__xludf.DUMMYFUNCTION("""COMPUTED_VALUE"""),23857.0)</f>
        <v>23857</v>
      </c>
      <c r="B2891" s="3" t="str">
        <f>IFERROR(__xludf.DUMMYFUNCTION("""COMPUTED_VALUE"""),"3235 WILLIAMSON RD")</f>
        <v>3235 WILLIAMSON RD</v>
      </c>
      <c r="C2891" s="3" t="str">
        <f>IFERROR(__xludf.DUMMYFUNCTION("""COMPUTED_VALUE"""),"COBOURG")</f>
        <v>COBOURG</v>
      </c>
      <c r="D2891" s="3" t="str">
        <f>IFERROR(__xludf.DUMMYFUNCTION("""COMPUTED_VALUE"""),"K9A 4J7")</f>
        <v>K9A 4J7</v>
      </c>
      <c r="E2891" s="3" t="str">
        <f>IFERROR(__xludf.DUMMYFUNCTION("""COMPUTED_VALUE"""),"Terry Essery")</f>
        <v>Terry Essery</v>
      </c>
      <c r="F2891" s="3" t="str">
        <f>IFERROR(__xludf.DUMMYFUNCTION("""COMPUTED_VALUE"""),"wtessery@gmail.com")</f>
        <v>wtessery@gmail.com</v>
      </c>
      <c r="G2891" s="3"/>
      <c r="H2891" s="3"/>
    </row>
    <row r="2892">
      <c r="A2892" s="2">
        <f>IFERROR(__xludf.DUMMYFUNCTION("""COMPUTED_VALUE"""),23858.0)</f>
        <v>23858</v>
      </c>
      <c r="B2892" s="3" t="str">
        <f>IFERROR(__xludf.DUMMYFUNCTION("""COMPUTED_VALUE"""),"3250 WILLIAMSON RD")</f>
        <v>3250 WILLIAMSON RD</v>
      </c>
      <c r="C2892" s="3" t="str">
        <f>IFERROR(__xludf.DUMMYFUNCTION("""COMPUTED_VALUE"""),"COBOURG")</f>
        <v>COBOURG</v>
      </c>
      <c r="D2892" s="3" t="str">
        <f>IFERROR(__xludf.DUMMYFUNCTION("""COMPUTED_VALUE"""),"K9A 4J7")</f>
        <v>K9A 4J7</v>
      </c>
      <c r="E2892" s="3" t="str">
        <f>IFERROR(__xludf.DUMMYFUNCTION("""COMPUTED_VALUE"""),"christopher juricki ")</f>
        <v>christopher juricki </v>
      </c>
      <c r="F2892" s="3" t="str">
        <f>IFERROR(__xludf.DUMMYFUNCTION("""COMPUTED_VALUE"""),"cjuricki@gmail.com")</f>
        <v>cjuricki@gmail.com</v>
      </c>
      <c r="G2892" s="3">
        <f>IFERROR(__xludf.DUMMYFUNCTION("""COMPUTED_VALUE"""),2.89233063E9)</f>
        <v>2892330630</v>
      </c>
      <c r="H2892" s="3">
        <f>IFERROR(__xludf.DUMMYFUNCTION("""COMPUTED_VALUE"""),6.479965962E9)</f>
        <v>6479965962</v>
      </c>
    </row>
    <row r="2893">
      <c r="A2893" s="2">
        <f>IFERROR(__xludf.DUMMYFUNCTION("""COMPUTED_VALUE"""),23859.0)</f>
        <v>23859</v>
      </c>
      <c r="B2893" s="3" t="str">
        <f>IFERROR(__xludf.DUMMYFUNCTION("""COMPUTED_VALUE"""),"3257 WILLIAMSON RD")</f>
        <v>3257 WILLIAMSON RD</v>
      </c>
      <c r="C2893" s="3" t="str">
        <f>IFERROR(__xludf.DUMMYFUNCTION("""COMPUTED_VALUE"""),"COBOURG")</f>
        <v>COBOURG</v>
      </c>
      <c r="D2893" s="3" t="str">
        <f>IFERROR(__xludf.DUMMYFUNCTION("""COMPUTED_VALUE"""),"K9A 4J7")</f>
        <v>K9A 4J7</v>
      </c>
      <c r="E2893" s="3" t="str">
        <f>IFERROR(__xludf.DUMMYFUNCTION("""COMPUTED_VALUE"""),"Shawn Hollings")</f>
        <v>Shawn Hollings</v>
      </c>
      <c r="F2893" s="3" t="str">
        <f>IFERROR(__xludf.DUMMYFUNCTION("""COMPUTED_VALUE"""),"dianatm97@hotmail.com")</f>
        <v>dianatm97@hotmail.com</v>
      </c>
      <c r="G2893" s="3"/>
      <c r="H2893" s="3"/>
    </row>
    <row r="2894">
      <c r="A2894" s="2">
        <f>IFERROR(__xludf.DUMMYFUNCTION("""COMPUTED_VALUE"""),23860.0)</f>
        <v>23860</v>
      </c>
      <c r="B2894" s="3" t="str">
        <f>IFERROR(__xludf.DUMMYFUNCTION("""COMPUTED_VALUE"""),"3269 WILLIAMSON RD")</f>
        <v>3269 WILLIAMSON RD</v>
      </c>
      <c r="C2894" s="3" t="str">
        <f>IFERROR(__xludf.DUMMYFUNCTION("""COMPUTED_VALUE"""),"COBOURG")</f>
        <v>COBOURG</v>
      </c>
      <c r="D2894" s="3" t="str">
        <f>IFERROR(__xludf.DUMMYFUNCTION("""COMPUTED_VALUE"""),"K9A 4J7")</f>
        <v>K9A 4J7</v>
      </c>
      <c r="E2894" s="3" t="str">
        <f>IFERROR(__xludf.DUMMYFUNCTION("""COMPUTED_VALUE"""),"Scott Cameron")</f>
        <v>Scott Cameron</v>
      </c>
      <c r="F2894" s="3" t="str">
        <f>IFERROR(__xludf.DUMMYFUNCTION("""COMPUTED_VALUE"""),"scottdcameron777@gmail.com")</f>
        <v>scottdcameron777@gmail.com</v>
      </c>
      <c r="G2894" s="3">
        <f>IFERROR(__xludf.DUMMYFUNCTION("""COMPUTED_VALUE"""),9.059149931E9)</f>
        <v>9059149931</v>
      </c>
      <c r="H2894" s="3"/>
    </row>
    <row r="2895">
      <c r="A2895" s="2">
        <f>IFERROR(__xludf.DUMMYFUNCTION("""COMPUTED_VALUE"""),23861.0)</f>
        <v>23861</v>
      </c>
      <c r="B2895" s="3" t="str">
        <f>IFERROR(__xludf.DUMMYFUNCTION("""COMPUTED_VALUE"""),"3282 WILLIAMSON RD")</f>
        <v>3282 WILLIAMSON RD</v>
      </c>
      <c r="C2895" s="3" t="str">
        <f>IFERROR(__xludf.DUMMYFUNCTION("""COMPUTED_VALUE"""),"COBOURG")</f>
        <v>COBOURG</v>
      </c>
      <c r="D2895" s="3" t="str">
        <f>IFERROR(__xludf.DUMMYFUNCTION("""COMPUTED_VALUE"""),"K9A 4J7")</f>
        <v>K9A 4J7</v>
      </c>
      <c r="E2895" s="3" t="str">
        <f>IFERROR(__xludf.DUMMYFUNCTION("""COMPUTED_VALUE"""),"steve&amp;pamwent")</f>
        <v>steve&amp;pamwent</v>
      </c>
      <c r="F2895" s="3" t="str">
        <f>IFERROR(__xludf.DUMMYFUNCTION("""COMPUTED_VALUE"""),"pamwent26@gmail.com")</f>
        <v>pamwent26@gmail.com</v>
      </c>
      <c r="G2895" s="3">
        <f>IFERROR(__xludf.DUMMYFUNCTION("""COMPUTED_VALUE"""),9.053429449E9)</f>
        <v>9053429449</v>
      </c>
      <c r="H2895" s="3">
        <f>IFERROR(__xludf.DUMMYFUNCTION("""COMPUTED_VALUE"""),9.053969449E9)</f>
        <v>9053969449</v>
      </c>
    </row>
    <row r="2896">
      <c r="A2896" s="2">
        <f>IFERROR(__xludf.DUMMYFUNCTION("""COMPUTED_VALUE"""),23862.0)</f>
        <v>23862</v>
      </c>
      <c r="B2896" s="3" t="str">
        <f>IFERROR(__xludf.DUMMYFUNCTION("""COMPUTED_VALUE"""),"3395 WILLIAMSON RD")</f>
        <v>3395 WILLIAMSON RD</v>
      </c>
      <c r="C2896" s="3" t="str">
        <f>IFERROR(__xludf.DUMMYFUNCTION("""COMPUTED_VALUE"""),"COBOURG")</f>
        <v>COBOURG</v>
      </c>
      <c r="D2896" s="3" t="str">
        <f>IFERROR(__xludf.DUMMYFUNCTION("""COMPUTED_VALUE"""),"K9A 4J7")</f>
        <v>K9A 4J7</v>
      </c>
      <c r="E2896" s="3" t="str">
        <f>IFERROR(__xludf.DUMMYFUNCTION("""COMPUTED_VALUE"""),"Sara Irwin")</f>
        <v>Sara Irwin</v>
      </c>
      <c r="F2896" s="3" t="str">
        <f>IFERROR(__xludf.DUMMYFUNCTION("""COMPUTED_VALUE"""),"irwin.family@sympatico.ca")</f>
        <v>irwin.family@sympatico.ca</v>
      </c>
      <c r="G2896" s="3">
        <f>IFERROR(__xludf.DUMMYFUNCTION("""COMPUTED_VALUE"""),4.166591199E9)</f>
        <v>4166591199</v>
      </c>
      <c r="H2896" s="3">
        <f>IFERROR(__xludf.DUMMYFUNCTION("""COMPUTED_VALUE"""),4.165875109E9)</f>
        <v>4165875109</v>
      </c>
    </row>
    <row r="2897">
      <c r="A2897" s="2">
        <f>IFERROR(__xludf.DUMMYFUNCTION("""COMPUTED_VALUE"""),23863.0)</f>
        <v>23863</v>
      </c>
      <c r="B2897" s="3" t="str">
        <f>IFERROR(__xludf.DUMMYFUNCTION("""COMPUTED_VALUE"""),"3422 WILLIAMSON RD")</f>
        <v>3422 WILLIAMSON RD</v>
      </c>
      <c r="C2897" s="3" t="str">
        <f>IFERROR(__xludf.DUMMYFUNCTION("""COMPUTED_VALUE"""),"COBOURG")</f>
        <v>COBOURG</v>
      </c>
      <c r="D2897" s="3" t="str">
        <f>IFERROR(__xludf.DUMMYFUNCTION("""COMPUTED_VALUE"""),"K9A 4J7")</f>
        <v>K9A 4J7</v>
      </c>
      <c r="E2897" s="3" t="str">
        <f>IFERROR(__xludf.DUMMYFUNCTION("""COMPUTED_VALUE"""),"Dan &amp; Christina Shelley")</f>
        <v>Dan &amp; Christina Shelley</v>
      </c>
      <c r="F2897" s="3" t="str">
        <f>IFERROR(__xludf.DUMMYFUNCTION("""COMPUTED_VALUE"""),"dshelley@ualocal46.org")</f>
        <v>dshelley@ualocal46.org</v>
      </c>
      <c r="G2897" s="3"/>
      <c r="H2897" s="3"/>
    </row>
    <row r="2898">
      <c r="A2898" s="2">
        <f>IFERROR(__xludf.DUMMYFUNCTION("""COMPUTED_VALUE"""),23864.0)</f>
        <v>23864</v>
      </c>
      <c r="B2898" s="3" t="str">
        <f>IFERROR(__xludf.DUMMYFUNCTION("""COMPUTED_VALUE"""),"3430 WILLIAMSON RD")</f>
        <v>3430 WILLIAMSON RD</v>
      </c>
      <c r="C2898" s="3" t="str">
        <f>IFERROR(__xludf.DUMMYFUNCTION("""COMPUTED_VALUE"""),"COBOURG")</f>
        <v>COBOURG</v>
      </c>
      <c r="D2898" s="3" t="str">
        <f>IFERROR(__xludf.DUMMYFUNCTION("""COMPUTED_VALUE"""),"K9A 4J7")</f>
        <v>K9A 4J7</v>
      </c>
      <c r="E2898" s="3" t="str">
        <f>IFERROR(__xludf.DUMMYFUNCTION("""COMPUTED_VALUE"""),"Jillian dankmeyer")</f>
        <v>Jillian dankmeyer</v>
      </c>
      <c r="F2898" s="3" t="str">
        <f>IFERROR(__xludf.DUMMYFUNCTION("""COMPUTED_VALUE"""),"Jilliandankmeyer@gmail.com")</f>
        <v>Jilliandankmeyer@gmail.com</v>
      </c>
      <c r="G2898" s="3">
        <f>IFERROR(__xludf.DUMMYFUNCTION("""COMPUTED_VALUE"""),9.053961707E9)</f>
        <v>9053961707</v>
      </c>
      <c r="H2898" s="3"/>
    </row>
    <row r="2899">
      <c r="A2899" s="2">
        <f>IFERROR(__xludf.DUMMYFUNCTION("""COMPUTED_VALUE"""),23865.0)</f>
        <v>23865</v>
      </c>
      <c r="B2899" s="3" t="str">
        <f>IFERROR(__xludf.DUMMYFUNCTION("""COMPUTED_VALUE"""),"3436 WILLIAMSON RD")</f>
        <v>3436 WILLIAMSON RD</v>
      </c>
      <c r="C2899" s="3" t="str">
        <f>IFERROR(__xludf.DUMMYFUNCTION("""COMPUTED_VALUE"""),"COBOURG")</f>
        <v>COBOURG</v>
      </c>
      <c r="D2899" s="3" t="str">
        <f>IFERROR(__xludf.DUMMYFUNCTION("""COMPUTED_VALUE"""),"K9A 4J7")</f>
        <v>K9A 4J7</v>
      </c>
      <c r="E2899" s="3" t="str">
        <f>IFERROR(__xludf.DUMMYFUNCTION("""COMPUTED_VALUE"""),"kevin jones")</f>
        <v>kevin jones</v>
      </c>
      <c r="F2899" s="3" t="str">
        <f>IFERROR(__xludf.DUMMYFUNCTION("""COMPUTED_VALUE"""),"joneskevin77@icloud.com")</f>
        <v>joneskevin77@icloud.com</v>
      </c>
      <c r="G2899" s="3">
        <f>IFERROR(__xludf.DUMMYFUNCTION("""COMPUTED_VALUE"""),9.054357656E9)</f>
        <v>9054357656</v>
      </c>
      <c r="H2899" s="3"/>
    </row>
    <row r="2900">
      <c r="A2900" s="2">
        <f>IFERROR(__xludf.DUMMYFUNCTION("""COMPUTED_VALUE"""),23869.0)</f>
        <v>23869</v>
      </c>
      <c r="B2900" s="3" t="str">
        <f>IFERROR(__xludf.DUMMYFUNCTION("""COMPUTED_VALUE"""),"8532 WILLIS RD")</f>
        <v>8532 WILLIS RD</v>
      </c>
      <c r="C2900" s="3" t="str">
        <f>IFERROR(__xludf.DUMMYFUNCTION("""COMPUTED_VALUE"""),"COBOURG")</f>
        <v>COBOURG</v>
      </c>
      <c r="D2900" s="3" t="str">
        <f>IFERROR(__xludf.DUMMYFUNCTION("""COMPUTED_VALUE"""),"K9A 4J9")</f>
        <v>K9A 4J9</v>
      </c>
      <c r="E2900" s="3"/>
      <c r="F2900" s="3"/>
      <c r="G2900" s="3"/>
      <c r="H2900" s="3"/>
    </row>
    <row r="2901">
      <c r="A2901" s="2">
        <f>IFERROR(__xludf.DUMMYFUNCTION("""COMPUTED_VALUE"""),23870.0)</f>
        <v>23870</v>
      </c>
      <c r="B2901" s="3" t="str">
        <f>IFERROR(__xludf.DUMMYFUNCTION("""COMPUTED_VALUE"""),"8536 WILLIS RD")</f>
        <v>8536 WILLIS RD</v>
      </c>
      <c r="C2901" s="3" t="str">
        <f>IFERROR(__xludf.DUMMYFUNCTION("""COMPUTED_VALUE"""),"COBOURG")</f>
        <v>COBOURG</v>
      </c>
      <c r="D2901" s="3" t="str">
        <f>IFERROR(__xludf.DUMMYFUNCTION("""COMPUTED_VALUE"""),"K9A 4J9")</f>
        <v>K9A 4J9</v>
      </c>
      <c r="E2901" s="3"/>
      <c r="F2901" s="3"/>
      <c r="G2901" s="3"/>
      <c r="H2901" s="3"/>
    </row>
    <row r="2902">
      <c r="A2902" s="2">
        <f>IFERROR(__xludf.DUMMYFUNCTION("""COMPUTED_VALUE"""),23875.0)</f>
        <v>23875</v>
      </c>
      <c r="B2902" s="3" t="str">
        <f>IFERROR(__xludf.DUMMYFUNCTION("""COMPUTED_VALUE"""),"5363 YOUNG ST")</f>
        <v>5363 YOUNG ST</v>
      </c>
      <c r="C2902" s="3" t="str">
        <f>IFERROR(__xludf.DUMMYFUNCTION("""COMPUTED_VALUE"""),"HARWOOD")</f>
        <v>HARWOOD</v>
      </c>
      <c r="D2902" s="3" t="str">
        <f>IFERROR(__xludf.DUMMYFUNCTION("""COMPUTED_VALUE"""),"K0K 2H0")</f>
        <v>K0K 2H0</v>
      </c>
      <c r="E2902" s="3" t="str">
        <f>IFERROR(__xludf.DUMMYFUNCTION("""COMPUTED_VALUE"""),"Anthony s, santocono ")</f>
        <v>Anthony s, santocono </v>
      </c>
      <c r="F2902" s="3" t="str">
        <f>IFERROR(__xludf.DUMMYFUNCTION("""COMPUTED_VALUE"""),"Anthonysstvrr@gmail.com")</f>
        <v>Anthonysstvrr@gmail.com</v>
      </c>
      <c r="G2902" s="3">
        <f>IFERROR(__xludf.DUMMYFUNCTION("""COMPUTED_VALUE"""),6.472221708E9)</f>
        <v>6472221708</v>
      </c>
      <c r="H2902" s="3"/>
    </row>
    <row r="2903">
      <c r="A2903" s="2">
        <f>IFERROR(__xludf.DUMMYFUNCTION("""COMPUTED_VALUE"""),23876.0)</f>
        <v>23876</v>
      </c>
      <c r="B2903" s="3" t="str">
        <f>IFERROR(__xludf.DUMMYFUNCTION("""COMPUTED_VALUE"""),"5366 YOUNG ST")</f>
        <v>5366 YOUNG ST</v>
      </c>
      <c r="C2903" s="3" t="str">
        <f>IFERROR(__xludf.DUMMYFUNCTION("""COMPUTED_VALUE"""),"HARWOOD")</f>
        <v>HARWOOD</v>
      </c>
      <c r="D2903" s="3" t="str">
        <f>IFERROR(__xludf.DUMMYFUNCTION("""COMPUTED_VALUE"""),"K0K 2H0")</f>
        <v>K0K 2H0</v>
      </c>
      <c r="E2903" s="3" t="str">
        <f>IFERROR(__xludf.DUMMYFUNCTION("""COMPUTED_VALUE"""),"Daniel Pasquantonio")</f>
        <v>Daniel Pasquantonio</v>
      </c>
      <c r="F2903" s="3" t="str">
        <f>IFERROR(__xludf.DUMMYFUNCTION("""COMPUTED_VALUE"""),"danielpasquantonio@gmail.com")</f>
        <v>danielpasquantonio@gmail.com</v>
      </c>
      <c r="G2903" s="3"/>
      <c r="H2903" s="3"/>
    </row>
    <row r="2904">
      <c r="A2904" s="2">
        <f>IFERROR(__xludf.DUMMYFUNCTION("""COMPUTED_VALUE"""),23877.0)</f>
        <v>23877</v>
      </c>
      <c r="B2904" s="3" t="str">
        <f>IFERROR(__xludf.DUMMYFUNCTION("""COMPUTED_VALUE"""),"5369 YOUNG ST")</f>
        <v>5369 YOUNG ST</v>
      </c>
      <c r="C2904" s="3" t="str">
        <f>IFERROR(__xludf.DUMMYFUNCTION("""COMPUTED_VALUE"""),"HARWOOD")</f>
        <v>HARWOOD</v>
      </c>
      <c r="D2904" s="3" t="str">
        <f>IFERROR(__xludf.DUMMYFUNCTION("""COMPUTED_VALUE"""),"K0K 2H0")</f>
        <v>K0K 2H0</v>
      </c>
      <c r="E2904" s="3" t="str">
        <f>IFERROR(__xludf.DUMMYFUNCTION("""COMPUTED_VALUE"""),"Terry Sanders")</f>
        <v>Terry Sanders</v>
      </c>
      <c r="F2904" s="3" t="str">
        <f>IFERROR(__xludf.DUMMYFUNCTION("""COMPUTED_VALUE"""),"ts31957@gmail.com")</f>
        <v>ts31957@gmail.com</v>
      </c>
      <c r="G2904" s="3">
        <f>IFERROR(__xludf.DUMMYFUNCTION("""COMPUTED_VALUE"""),9.0537642E9)</f>
        <v>9053764200</v>
      </c>
      <c r="H2904" s="3"/>
    </row>
    <row r="2905">
      <c r="A2905" s="2">
        <f>IFERROR(__xludf.DUMMYFUNCTION("""COMPUTED_VALUE"""),23878.0)</f>
        <v>23878</v>
      </c>
      <c r="B2905" s="3" t="str">
        <f>IFERROR(__xludf.DUMMYFUNCTION("""COMPUTED_VALUE"""),"5372 YOUNG ST")</f>
        <v>5372 YOUNG ST</v>
      </c>
      <c r="C2905" s="3" t="str">
        <f>IFERROR(__xludf.DUMMYFUNCTION("""COMPUTED_VALUE"""),"HARWOOD")</f>
        <v>HARWOOD</v>
      </c>
      <c r="D2905" s="3" t="str">
        <f>IFERROR(__xludf.DUMMYFUNCTION("""COMPUTED_VALUE"""),"K0K 2H0")</f>
        <v>K0K 2H0</v>
      </c>
      <c r="E2905" s="3"/>
      <c r="F2905" s="3"/>
      <c r="G2905" s="3"/>
      <c r="H2905" s="3"/>
    </row>
    <row r="2906">
      <c r="A2906" s="2">
        <f>IFERROR(__xludf.DUMMYFUNCTION("""COMPUTED_VALUE"""),23879.0)</f>
        <v>23879</v>
      </c>
      <c r="B2906" s="3" t="str">
        <f>IFERROR(__xludf.DUMMYFUNCTION("""COMPUTED_VALUE"""),"5376 YOUNG ST")</f>
        <v>5376 YOUNG ST</v>
      </c>
      <c r="C2906" s="3" t="str">
        <f>IFERROR(__xludf.DUMMYFUNCTION("""COMPUTED_VALUE"""),"HARWOOD")</f>
        <v>HARWOOD</v>
      </c>
      <c r="D2906" s="3" t="str">
        <f>IFERROR(__xludf.DUMMYFUNCTION("""COMPUTED_VALUE"""),"K0K 2H0")</f>
        <v>K0K 2H0</v>
      </c>
      <c r="E2906" s="3"/>
      <c r="F2906" s="3"/>
      <c r="G2906" s="3"/>
      <c r="H2906" s="3"/>
    </row>
    <row r="2907">
      <c r="A2907" s="2">
        <f>IFERROR(__xludf.DUMMYFUNCTION("""COMPUTED_VALUE"""),23880.0)</f>
        <v>23880</v>
      </c>
      <c r="B2907" s="3" t="str">
        <f>IFERROR(__xludf.DUMMYFUNCTION("""COMPUTED_VALUE"""),"5378 YOUNG ST")</f>
        <v>5378 YOUNG ST</v>
      </c>
      <c r="C2907" s="3" t="str">
        <f>IFERROR(__xludf.DUMMYFUNCTION("""COMPUTED_VALUE"""),"HARWOOD")</f>
        <v>HARWOOD</v>
      </c>
      <c r="D2907" s="3" t="str">
        <f>IFERROR(__xludf.DUMMYFUNCTION("""COMPUTED_VALUE"""),"K0K 2H0")</f>
        <v>K0K 2H0</v>
      </c>
      <c r="E2907" s="3" t="str">
        <f>IFERROR(__xludf.DUMMYFUNCTION("""COMPUTED_VALUE"""),"Ali, w ")</f>
        <v>Ali, w </v>
      </c>
      <c r="F2907" s="3"/>
      <c r="G2907" s="3">
        <f>IFERROR(__xludf.DUMMYFUNCTION("""COMPUTED_VALUE"""),7.053135825E9)</f>
        <v>7053135825</v>
      </c>
      <c r="H2907" s="3"/>
    </row>
    <row r="2908">
      <c r="A2908" s="2">
        <f>IFERROR(__xludf.DUMMYFUNCTION("""COMPUTED_VALUE"""),23881.0)</f>
        <v>23881</v>
      </c>
      <c r="B2908" s="3" t="str">
        <f>IFERROR(__xludf.DUMMYFUNCTION("""COMPUTED_VALUE"""),"5382 YOUNG ST")</f>
        <v>5382 YOUNG ST</v>
      </c>
      <c r="C2908" s="3" t="str">
        <f>IFERROR(__xludf.DUMMYFUNCTION("""COMPUTED_VALUE"""),"HARWOOD")</f>
        <v>HARWOOD</v>
      </c>
      <c r="D2908" s="3" t="str">
        <f>IFERROR(__xludf.DUMMYFUNCTION("""COMPUTED_VALUE"""),"K0K 2H0")</f>
        <v>K0K 2H0</v>
      </c>
      <c r="E2908" s="3" t="str">
        <f>IFERROR(__xludf.DUMMYFUNCTION("""COMPUTED_VALUE"""),"Nicholas Smith")</f>
        <v>Nicholas Smith</v>
      </c>
      <c r="F2908" s="3" t="str">
        <f>IFERROR(__xludf.DUMMYFUNCTION("""COMPUTED_VALUE"""),"nicholas.smith5382@outlook.com")</f>
        <v>nicholas.smith5382@outlook.com</v>
      </c>
      <c r="G2908" s="3">
        <f>IFERROR(__xludf.DUMMYFUNCTION("""COMPUTED_VALUE"""),2.89771131E9)</f>
        <v>2897711310</v>
      </c>
      <c r="H2908" s="3"/>
    </row>
    <row r="2909">
      <c r="A2909" s="2">
        <f>IFERROR(__xludf.DUMMYFUNCTION("""COMPUTED_VALUE"""),23882.0)</f>
        <v>23882</v>
      </c>
      <c r="B2909" s="3" t="str">
        <f>IFERROR(__xludf.DUMMYFUNCTION("""COMPUTED_VALUE"""),"5391 YOUNG ST")</f>
        <v>5391 YOUNG ST</v>
      </c>
      <c r="C2909" s="3" t="str">
        <f>IFERROR(__xludf.DUMMYFUNCTION("""COMPUTED_VALUE"""),"HARWOOD")</f>
        <v>HARWOOD</v>
      </c>
      <c r="D2909" s="3" t="str">
        <f>IFERROR(__xludf.DUMMYFUNCTION("""COMPUTED_VALUE"""),"K0K 2H0")</f>
        <v>K0K 2H0</v>
      </c>
      <c r="E2909" s="3" t="str">
        <f>IFERROR(__xludf.DUMMYFUNCTION("""COMPUTED_VALUE"""),"SHANNON DOWNEY")</f>
        <v>SHANNON DOWNEY</v>
      </c>
      <c r="F2909" s="3" t="str">
        <f>IFERROR(__xludf.DUMMYFUNCTION("""COMPUTED_VALUE"""),"shandowney@hotmail.com")</f>
        <v>shandowney@hotmail.com</v>
      </c>
      <c r="G2909" s="3"/>
      <c r="H2909" s="3"/>
    </row>
    <row r="2910">
      <c r="A2910" s="2">
        <f>IFERROR(__xludf.DUMMYFUNCTION("""COMPUTED_VALUE"""),23883.0)</f>
        <v>23883</v>
      </c>
      <c r="B2910" s="3" t="str">
        <f>IFERROR(__xludf.DUMMYFUNCTION("""COMPUTED_VALUE"""),"5394 YOUNG ST")</f>
        <v>5394 YOUNG ST</v>
      </c>
      <c r="C2910" s="3" t="str">
        <f>IFERROR(__xludf.DUMMYFUNCTION("""COMPUTED_VALUE"""),"HARWOOD")</f>
        <v>HARWOOD</v>
      </c>
      <c r="D2910" s="3" t="str">
        <f>IFERROR(__xludf.DUMMYFUNCTION("""COMPUTED_VALUE"""),"K0K 2H0")</f>
        <v>K0K 2H0</v>
      </c>
      <c r="E2910" s="3" t="str">
        <f>IFERROR(__xludf.DUMMYFUNCTION("""COMPUTED_VALUE"""),"sandra aman")</f>
        <v>sandra aman</v>
      </c>
      <c r="F2910" s="3" t="str">
        <f>IFERROR(__xludf.DUMMYFUNCTION("""COMPUTED_VALUE"""),"sayersandy2@gmailcom")</f>
        <v>sayersandy2@gmailcom</v>
      </c>
      <c r="G2910" s="3">
        <f>IFERROR(__xludf.DUMMYFUNCTION("""COMPUTED_VALUE"""),9.053429499E9)</f>
        <v>9053429499</v>
      </c>
      <c r="H2910" s="3"/>
    </row>
    <row r="2911">
      <c r="A2911" s="2">
        <f>IFERROR(__xludf.DUMMYFUNCTION("""COMPUTED_VALUE"""),23884.0)</f>
        <v>23884</v>
      </c>
      <c r="B2911" s="3" t="str">
        <f>IFERROR(__xludf.DUMMYFUNCTION("""COMPUTED_VALUE"""),"5397 YOUNG ST")</f>
        <v>5397 YOUNG ST</v>
      </c>
      <c r="C2911" s="3" t="str">
        <f>IFERROR(__xludf.DUMMYFUNCTION("""COMPUTED_VALUE"""),"HARWOOD")</f>
        <v>HARWOOD</v>
      </c>
      <c r="D2911" s="3" t="str">
        <f>IFERROR(__xludf.DUMMYFUNCTION("""COMPUTED_VALUE"""),"K0K 2H0")</f>
        <v>K0K 2H0</v>
      </c>
      <c r="E2911" s="3" t="str">
        <f>IFERROR(__xludf.DUMMYFUNCTION("""COMPUTED_VALUE"""),"Brandon Cane")</f>
        <v>Brandon Cane</v>
      </c>
      <c r="F2911" s="3" t="str">
        <f>IFERROR(__xludf.DUMMYFUNCTION("""COMPUTED_VALUE"""),"nicolecarr35@gmail.com")</f>
        <v>nicolecarr35@gmail.com</v>
      </c>
      <c r="G2911" s="3">
        <f>IFERROR(__xludf.DUMMYFUNCTION("""COMPUTED_VALUE"""),9.05375856E9)</f>
        <v>9053758560</v>
      </c>
      <c r="H2911" s="3"/>
    </row>
    <row r="2912">
      <c r="A2912" s="2">
        <f>IFERROR(__xludf.DUMMYFUNCTION("""COMPUTED_VALUE"""),23885.0)</f>
        <v>23885</v>
      </c>
      <c r="B2912" s="3" t="str">
        <f>IFERROR(__xludf.DUMMYFUNCTION("""COMPUTED_VALUE"""),"5402 YOUNG ST")</f>
        <v>5402 YOUNG ST</v>
      </c>
      <c r="C2912" s="3" t="str">
        <f>IFERROR(__xludf.DUMMYFUNCTION("""COMPUTED_VALUE"""),"HARWOOD")</f>
        <v>HARWOOD</v>
      </c>
      <c r="D2912" s="3" t="str">
        <f>IFERROR(__xludf.DUMMYFUNCTION("""COMPUTED_VALUE"""),"K0K 2H0")</f>
        <v>K0K 2H0</v>
      </c>
      <c r="E2912" s="3" t="str">
        <f>IFERROR(__xludf.DUMMYFUNCTION("""COMPUTED_VALUE"""),"Maggie wood")</f>
        <v>Maggie wood</v>
      </c>
      <c r="F2912" s="3"/>
      <c r="G2912" s="3">
        <f>IFERROR(__xludf.DUMMYFUNCTION("""COMPUTED_VALUE"""),9.053963941E9)</f>
        <v>9053963941</v>
      </c>
      <c r="H2912" s="3"/>
    </row>
    <row r="2913">
      <c r="A2913" s="2">
        <f>IFERROR(__xludf.DUMMYFUNCTION("""COMPUTED_VALUE"""),23886.0)</f>
        <v>23886</v>
      </c>
      <c r="B2913" s="3" t="str">
        <f>IFERROR(__xludf.DUMMYFUNCTION("""COMPUTED_VALUE"""),"5404 YOUNG ST")</f>
        <v>5404 YOUNG ST</v>
      </c>
      <c r="C2913" s="3" t="str">
        <f>IFERROR(__xludf.DUMMYFUNCTION("""COMPUTED_VALUE"""),"HARWOOD")</f>
        <v>HARWOOD</v>
      </c>
      <c r="D2913" s="3" t="str">
        <f>IFERROR(__xludf.DUMMYFUNCTION("""COMPUTED_VALUE"""),"K0K 2H0")</f>
        <v>K0K 2H0</v>
      </c>
      <c r="E2913" s="3" t="str">
        <f>IFERROR(__xludf.DUMMYFUNCTION("""COMPUTED_VALUE"""),"marie westake ")</f>
        <v>marie westake </v>
      </c>
      <c r="F2913" s="3" t="str">
        <f>IFERROR(__xludf.DUMMYFUNCTION("""COMPUTED_VALUE"""),"marieanddoug@gmail.com")</f>
        <v>marieanddoug@gmail.com</v>
      </c>
      <c r="G2913" s="3">
        <f>IFERROR(__xludf.DUMMYFUNCTION("""COMPUTED_VALUE"""),9.053423307E9)</f>
        <v>9053423307</v>
      </c>
      <c r="H2913" s="3"/>
    </row>
    <row r="2914">
      <c r="A2914" s="2">
        <f>IFERROR(__xludf.DUMMYFUNCTION("""COMPUTED_VALUE"""),23887.0)</f>
        <v>23887</v>
      </c>
      <c r="B2914" s="3" t="str">
        <f>IFERROR(__xludf.DUMMYFUNCTION("""COMPUTED_VALUE"""),"5405 YOUNG ST")</f>
        <v>5405 YOUNG ST</v>
      </c>
      <c r="C2914" s="3" t="str">
        <f>IFERROR(__xludf.DUMMYFUNCTION("""COMPUTED_VALUE"""),"HARWOOD")</f>
        <v>HARWOOD</v>
      </c>
      <c r="D2914" s="3" t="str">
        <f>IFERROR(__xludf.DUMMYFUNCTION("""COMPUTED_VALUE"""),"K0K 2H0")</f>
        <v>K0K 2H0</v>
      </c>
      <c r="E2914" s="3" t="str">
        <f>IFERROR(__xludf.DUMMYFUNCTION("""COMPUTED_VALUE"""),"kyle marshman")</f>
        <v>kyle marshman</v>
      </c>
      <c r="F2914" s="3" t="str">
        <f>IFERROR(__xludf.DUMMYFUNCTION("""COMPUTED_VALUE"""),"kyle.marshman@hotmail.com")</f>
        <v>kyle.marshman@hotmail.com</v>
      </c>
      <c r="G2914" s="3">
        <f>IFERROR(__xludf.DUMMYFUNCTION("""COMPUTED_VALUE"""),9.052698451E9)</f>
        <v>9052698451</v>
      </c>
      <c r="H2914" s="3"/>
    </row>
    <row r="2915">
      <c r="A2915" s="2">
        <f>IFERROR(__xludf.DUMMYFUNCTION("""COMPUTED_VALUE"""),23888.0)</f>
        <v>23888</v>
      </c>
      <c r="B2915" s="3" t="str">
        <f>IFERROR(__xludf.DUMMYFUNCTION("""COMPUTED_VALUE"""),"5414 YOUNG ST")</f>
        <v>5414 YOUNG ST</v>
      </c>
      <c r="C2915" s="3" t="str">
        <f>IFERROR(__xludf.DUMMYFUNCTION("""COMPUTED_VALUE"""),"HARWOOD")</f>
        <v>HARWOOD</v>
      </c>
      <c r="D2915" s="3" t="str">
        <f>IFERROR(__xludf.DUMMYFUNCTION("""COMPUTED_VALUE"""),"K0K 2H0")</f>
        <v>K0K 2H0</v>
      </c>
      <c r="E2915" s="3"/>
      <c r="F2915" s="3"/>
      <c r="G2915" s="3"/>
      <c r="H2915" s="3"/>
    </row>
    <row r="2916">
      <c r="A2916" s="2">
        <f>IFERROR(__xludf.DUMMYFUNCTION("""COMPUTED_VALUE"""),23889.0)</f>
        <v>23889</v>
      </c>
      <c r="B2916" s="3" t="str">
        <f>IFERROR(__xludf.DUMMYFUNCTION("""COMPUTED_VALUE"""),"5418 YOUNG ST")</f>
        <v>5418 YOUNG ST</v>
      </c>
      <c r="C2916" s="3" t="str">
        <f>IFERROR(__xludf.DUMMYFUNCTION("""COMPUTED_VALUE"""),"HARWOOD")</f>
        <v>HARWOOD</v>
      </c>
      <c r="D2916" s="3" t="str">
        <f>IFERROR(__xludf.DUMMYFUNCTION("""COMPUTED_VALUE"""),"K0K 2H0")</f>
        <v>K0K 2H0</v>
      </c>
      <c r="E2916" s="3" t="str">
        <f>IFERROR(__xludf.DUMMYFUNCTION("""COMPUTED_VALUE"""),"george")</f>
        <v>george</v>
      </c>
      <c r="F2916" s="3" t="str">
        <f>IFERROR(__xludf.DUMMYFUNCTION("""COMPUTED_VALUE"""),"fahrablmbo@gmail.com")</f>
        <v>fahrablmbo@gmail.com</v>
      </c>
      <c r="G2916" s="3">
        <f>IFERROR(__xludf.DUMMYFUNCTION("""COMPUTED_VALUE"""),4.168379757E9)</f>
        <v>4168379757</v>
      </c>
      <c r="H2916" s="3"/>
    </row>
    <row r="2917">
      <c r="A2917" s="2">
        <f>IFERROR(__xludf.DUMMYFUNCTION("""COMPUTED_VALUE"""),23890.0)</f>
        <v>23890</v>
      </c>
      <c r="B2917" s="3" t="str">
        <f>IFERROR(__xludf.DUMMYFUNCTION("""COMPUTED_VALUE"""),"5421 YOUNG ST")</f>
        <v>5421 YOUNG ST</v>
      </c>
      <c r="C2917" s="3" t="str">
        <f>IFERROR(__xludf.DUMMYFUNCTION("""COMPUTED_VALUE"""),"HARWOOD")</f>
        <v>HARWOOD</v>
      </c>
      <c r="D2917" s="3" t="str">
        <f>IFERROR(__xludf.DUMMYFUNCTION("""COMPUTED_VALUE"""),"K0K 2H0")</f>
        <v>K0K 2H0</v>
      </c>
      <c r="E2917" s="3"/>
      <c r="F2917" s="3"/>
      <c r="G2917" s="3"/>
      <c r="H2917" s="3"/>
    </row>
    <row r="2918">
      <c r="A2918" s="2">
        <f>IFERROR(__xludf.DUMMYFUNCTION("""COMPUTED_VALUE"""),23891.0)</f>
        <v>23891</v>
      </c>
      <c r="B2918" s="3" t="str">
        <f>IFERROR(__xludf.DUMMYFUNCTION("""COMPUTED_VALUE"""),"5422 YOUNG ST")</f>
        <v>5422 YOUNG ST</v>
      </c>
      <c r="C2918" s="3" t="str">
        <f>IFERROR(__xludf.DUMMYFUNCTION("""COMPUTED_VALUE"""),"HARWOOD")</f>
        <v>HARWOOD</v>
      </c>
      <c r="D2918" s="3" t="str">
        <f>IFERROR(__xludf.DUMMYFUNCTION("""COMPUTED_VALUE"""),"K0K 2H0")</f>
        <v>K0K 2H0</v>
      </c>
      <c r="E2918" s="3"/>
      <c r="F2918" s="3"/>
      <c r="G2918" s="3"/>
      <c r="H2918" s="3"/>
    </row>
    <row r="2919">
      <c r="A2919" s="2">
        <f>IFERROR(__xludf.DUMMYFUNCTION("""COMPUTED_VALUE"""),23892.0)</f>
        <v>23892</v>
      </c>
      <c r="B2919" s="3" t="str">
        <f>IFERROR(__xludf.DUMMYFUNCTION("""COMPUTED_VALUE"""),"5426 YOUNG ST")</f>
        <v>5426 YOUNG ST</v>
      </c>
      <c r="C2919" s="3" t="str">
        <f>IFERROR(__xludf.DUMMYFUNCTION("""COMPUTED_VALUE"""),"HARWOOD")</f>
        <v>HARWOOD</v>
      </c>
      <c r="D2919" s="3" t="str">
        <f>IFERROR(__xludf.DUMMYFUNCTION("""COMPUTED_VALUE"""),"K0K 2H0")</f>
        <v>K0K 2H0</v>
      </c>
      <c r="E2919" s="3"/>
      <c r="F2919" s="3"/>
      <c r="G2919" s="3"/>
      <c r="H2919" s="3"/>
    </row>
    <row r="2920">
      <c r="A2920" s="2">
        <f>IFERROR(__xludf.DUMMYFUNCTION("""COMPUTED_VALUE"""),23893.0)</f>
        <v>23893</v>
      </c>
      <c r="B2920" s="3" t="str">
        <f>IFERROR(__xludf.DUMMYFUNCTION("""COMPUTED_VALUE"""),"5427 YOUNG ST SUITE 390")</f>
        <v>5427 YOUNG ST SUITE 390</v>
      </c>
      <c r="C2920" s="3" t="str">
        <f>IFERROR(__xludf.DUMMYFUNCTION("""COMPUTED_VALUE"""),"HARWOOD")</f>
        <v>HARWOOD</v>
      </c>
      <c r="D2920" s="3" t="str">
        <f>IFERROR(__xludf.DUMMYFUNCTION("""COMPUTED_VALUE"""),"K0K 2H0")</f>
        <v>K0K 2H0</v>
      </c>
      <c r="E2920" s="3"/>
      <c r="F2920" s="3"/>
      <c r="G2920" s="3"/>
      <c r="H2920" s="3"/>
    </row>
    <row r="2921">
      <c r="A2921" s="2">
        <f>IFERROR(__xludf.DUMMYFUNCTION("""COMPUTED_VALUE"""),23894.0)</f>
        <v>23894</v>
      </c>
      <c r="B2921" s="3" t="str">
        <f>IFERROR(__xludf.DUMMYFUNCTION("""COMPUTED_VALUE"""),"5427 YOUNG ST SUITE 400")</f>
        <v>5427 YOUNG ST SUITE 400</v>
      </c>
      <c r="C2921" s="3" t="str">
        <f>IFERROR(__xludf.DUMMYFUNCTION("""COMPUTED_VALUE"""),"HARWOOD")</f>
        <v>HARWOOD</v>
      </c>
      <c r="D2921" s="3" t="str">
        <f>IFERROR(__xludf.DUMMYFUNCTION("""COMPUTED_VALUE"""),"K0K 2H0")</f>
        <v>K0K 2H0</v>
      </c>
      <c r="E2921" s="3"/>
      <c r="F2921" s="3"/>
      <c r="G2921" s="3"/>
      <c r="H2921" s="3"/>
    </row>
    <row r="2922">
      <c r="A2922" s="2">
        <f>IFERROR(__xludf.DUMMYFUNCTION("""COMPUTED_VALUE"""),23895.0)</f>
        <v>23895</v>
      </c>
      <c r="B2922" s="3" t="str">
        <f>IFERROR(__xludf.DUMMYFUNCTION("""COMPUTED_VALUE"""),"5427 YOUNG ST SUITE 410")</f>
        <v>5427 YOUNG ST SUITE 410</v>
      </c>
      <c r="C2922" s="3" t="str">
        <f>IFERROR(__xludf.DUMMYFUNCTION("""COMPUTED_VALUE"""),"HARWOOD")</f>
        <v>HARWOOD</v>
      </c>
      <c r="D2922" s="3" t="str">
        <f>IFERROR(__xludf.DUMMYFUNCTION("""COMPUTED_VALUE"""),"K0K 2H0")</f>
        <v>K0K 2H0</v>
      </c>
      <c r="E2922" s="3"/>
      <c r="F2922" s="3"/>
      <c r="G2922" s="3"/>
      <c r="H2922" s="3"/>
    </row>
    <row r="2923">
      <c r="A2923" s="2">
        <f>IFERROR(__xludf.DUMMYFUNCTION("""COMPUTED_VALUE"""),23896.0)</f>
        <v>23896</v>
      </c>
      <c r="B2923" s="3" t="str">
        <f>IFERROR(__xludf.DUMMYFUNCTION("""COMPUTED_VALUE"""),"5427 YOUNG ST SUITE 440")</f>
        <v>5427 YOUNG ST SUITE 440</v>
      </c>
      <c r="C2923" s="3" t="str">
        <f>IFERROR(__xludf.DUMMYFUNCTION("""COMPUTED_VALUE"""),"HARWOOD")</f>
        <v>HARWOOD</v>
      </c>
      <c r="D2923" s="3" t="str">
        <f>IFERROR(__xludf.DUMMYFUNCTION("""COMPUTED_VALUE"""),"K0K 2H0")</f>
        <v>K0K 2H0</v>
      </c>
      <c r="E2923" s="3"/>
      <c r="F2923" s="3"/>
      <c r="G2923" s="3"/>
      <c r="H2923" s="3"/>
    </row>
    <row r="2924">
      <c r="A2924" s="2">
        <f>IFERROR(__xludf.DUMMYFUNCTION("""COMPUTED_VALUE"""),23897.0)</f>
        <v>23897</v>
      </c>
      <c r="B2924" s="3" t="str">
        <f>IFERROR(__xludf.DUMMYFUNCTION("""COMPUTED_VALUE"""),"5427 YOUNG ST SUITE 450")</f>
        <v>5427 YOUNG ST SUITE 450</v>
      </c>
      <c r="C2924" s="3" t="str">
        <f>IFERROR(__xludf.DUMMYFUNCTION("""COMPUTED_VALUE"""),"HARWOOD")</f>
        <v>HARWOOD</v>
      </c>
      <c r="D2924" s="3" t="str">
        <f>IFERROR(__xludf.DUMMYFUNCTION("""COMPUTED_VALUE"""),"K0K 2H0")</f>
        <v>K0K 2H0</v>
      </c>
      <c r="E2924" s="3"/>
      <c r="F2924" s="3"/>
      <c r="G2924" s="3"/>
      <c r="H2924" s="3"/>
    </row>
    <row r="2925">
      <c r="A2925" s="2">
        <f>IFERROR(__xludf.DUMMYFUNCTION("""COMPUTED_VALUE"""),23898.0)</f>
        <v>23898</v>
      </c>
      <c r="B2925" s="3" t="str">
        <f>IFERROR(__xludf.DUMMYFUNCTION("""COMPUTED_VALUE"""),"5427 YOUNG ST SUITE 460")</f>
        <v>5427 YOUNG ST SUITE 460</v>
      </c>
      <c r="C2925" s="3" t="str">
        <f>IFERROR(__xludf.DUMMYFUNCTION("""COMPUTED_VALUE"""),"HARWOOD")</f>
        <v>HARWOOD</v>
      </c>
      <c r="D2925" s="3" t="str">
        <f>IFERROR(__xludf.DUMMYFUNCTION("""COMPUTED_VALUE"""),"K0K 2H0")</f>
        <v>K0K 2H0</v>
      </c>
      <c r="E2925" s="3" t="str">
        <f>IFERROR(__xludf.DUMMYFUNCTION("""COMPUTED_VALUE"""),"brad gordon")</f>
        <v>brad gordon</v>
      </c>
      <c r="F2925" s="3" t="str">
        <f>IFERROR(__xludf.DUMMYFUNCTION("""COMPUTED_VALUE"""),"gordonski@hotmail.com")</f>
        <v>gordonski@hotmail.com</v>
      </c>
      <c r="G2925" s="3">
        <f>IFERROR(__xludf.DUMMYFUNCTION("""COMPUTED_VALUE"""),2.8925155E9)</f>
        <v>2892515500</v>
      </c>
      <c r="H2925" s="3"/>
    </row>
    <row r="2926">
      <c r="A2926" s="2">
        <f>IFERROR(__xludf.DUMMYFUNCTION("""COMPUTED_VALUE"""),23899.0)</f>
        <v>23899</v>
      </c>
      <c r="B2926" s="3" t="str">
        <f>IFERROR(__xludf.DUMMYFUNCTION("""COMPUTED_VALUE"""),"5427 YOUNG ST SUITE 480")</f>
        <v>5427 YOUNG ST SUITE 480</v>
      </c>
      <c r="C2926" s="3" t="str">
        <f>IFERROR(__xludf.DUMMYFUNCTION("""COMPUTED_VALUE"""),"HARWOOD")</f>
        <v>HARWOOD</v>
      </c>
      <c r="D2926" s="3" t="str">
        <f>IFERROR(__xludf.DUMMYFUNCTION("""COMPUTED_VALUE"""),"K0K 2H0")</f>
        <v>K0K 2H0</v>
      </c>
      <c r="E2926" s="3"/>
      <c r="F2926" s="3"/>
      <c r="G2926" s="3"/>
      <c r="H2926" s="3"/>
    </row>
    <row r="2927">
      <c r="A2927" s="2">
        <f>IFERROR(__xludf.DUMMYFUNCTION("""COMPUTED_VALUE"""),23900.0)</f>
        <v>23900</v>
      </c>
      <c r="B2927" s="3" t="str">
        <f>IFERROR(__xludf.DUMMYFUNCTION("""COMPUTED_VALUE"""),"5427 YOUNG ST UNIT 160")</f>
        <v>5427 YOUNG ST UNIT 160</v>
      </c>
      <c r="C2927" s="3" t="str">
        <f>IFERROR(__xludf.DUMMYFUNCTION("""COMPUTED_VALUE"""),"HARWOOD")</f>
        <v>HARWOOD</v>
      </c>
      <c r="D2927" s="3" t="str">
        <f>IFERROR(__xludf.DUMMYFUNCTION("""COMPUTED_VALUE"""),"K0K 2H0")</f>
        <v>K0K 2H0</v>
      </c>
      <c r="E2927" s="3" t="str">
        <f>IFERROR(__xludf.DUMMYFUNCTION("""COMPUTED_VALUE"""),"shirley minioke")</f>
        <v>shirley minioke</v>
      </c>
      <c r="F2927" s="3"/>
      <c r="G2927" s="3">
        <f>IFERROR(__xludf.DUMMYFUNCTION("""COMPUTED_VALUE"""),9.053485708E9)</f>
        <v>9053485708</v>
      </c>
      <c r="H2927" s="3"/>
    </row>
    <row r="2928">
      <c r="A2928" s="2">
        <f>IFERROR(__xludf.DUMMYFUNCTION("""COMPUTED_VALUE"""),23901.0)</f>
        <v>23901</v>
      </c>
      <c r="B2928" s="3" t="str">
        <f>IFERROR(__xludf.DUMMYFUNCTION("""COMPUTED_VALUE"""),"5427 YOUNG ST UNIT 250")</f>
        <v>5427 YOUNG ST UNIT 250</v>
      </c>
      <c r="C2928" s="3" t="str">
        <f>IFERROR(__xludf.DUMMYFUNCTION("""COMPUTED_VALUE"""),"HARWOOD")</f>
        <v>HARWOOD</v>
      </c>
      <c r="D2928" s="3" t="str">
        <f>IFERROR(__xludf.DUMMYFUNCTION("""COMPUTED_VALUE"""),"K0K 2H0")</f>
        <v>K0K 2H0</v>
      </c>
      <c r="E2928" s="3" t="str">
        <f>IFERROR(__xludf.DUMMYFUNCTION("""COMPUTED_VALUE"""),"ASHWANI KUMAR")</f>
        <v>ASHWANI KUMAR</v>
      </c>
      <c r="F2928" s="3" t="str">
        <f>IFERROR(__xludf.DUMMYFUNCTION("""COMPUTED_VALUE"""),"ash2krish@yahoo.ca")</f>
        <v>ash2krish@yahoo.ca</v>
      </c>
      <c r="G2928" s="3">
        <f>IFERROR(__xludf.DUMMYFUNCTION("""COMPUTED_VALUE"""),6.475244551E9)</f>
        <v>6475244551</v>
      </c>
      <c r="H2928" s="3">
        <f>IFERROR(__xludf.DUMMYFUNCTION("""COMPUTED_VALUE"""),4.37922206E9)</f>
        <v>4379222060</v>
      </c>
    </row>
    <row r="2929">
      <c r="A2929" s="2">
        <f>IFERROR(__xludf.DUMMYFUNCTION("""COMPUTED_VALUE"""),23902.0)</f>
        <v>23902</v>
      </c>
      <c r="B2929" s="3" t="str">
        <f>IFERROR(__xludf.DUMMYFUNCTION("""COMPUTED_VALUE"""),"5427 YOUNG ST UNIT 360")</f>
        <v>5427 YOUNG ST UNIT 360</v>
      </c>
      <c r="C2929" s="3" t="str">
        <f>IFERROR(__xludf.DUMMYFUNCTION("""COMPUTED_VALUE"""),"HARWOOD")</f>
        <v>HARWOOD</v>
      </c>
      <c r="D2929" s="3" t="str">
        <f>IFERROR(__xludf.DUMMYFUNCTION("""COMPUTED_VALUE"""),"K0K 2H0")</f>
        <v>K0K 2H0</v>
      </c>
      <c r="E2929" s="3"/>
      <c r="F2929" s="3"/>
      <c r="G2929" s="3"/>
      <c r="H2929" s="3"/>
    </row>
    <row r="2930">
      <c r="A2930" s="2">
        <f>IFERROR(__xludf.DUMMYFUNCTION("""COMPUTED_VALUE"""),23903.0)</f>
        <v>23903</v>
      </c>
      <c r="B2930" s="3" t="str">
        <f>IFERROR(__xludf.DUMMYFUNCTION("""COMPUTED_VALUE"""),"5427 YOUNG ST UNIT 380")</f>
        <v>5427 YOUNG ST UNIT 380</v>
      </c>
      <c r="C2930" s="3" t="str">
        <f>IFERROR(__xludf.DUMMYFUNCTION("""COMPUTED_VALUE"""),"HARWOOD")</f>
        <v>HARWOOD</v>
      </c>
      <c r="D2930" s="3" t="str">
        <f>IFERROR(__xludf.DUMMYFUNCTION("""COMPUTED_VALUE"""),"K0K 2H0")</f>
        <v>K0K 2H0</v>
      </c>
      <c r="E2930" s="3"/>
      <c r="F2930" s="3"/>
      <c r="G2930" s="3"/>
      <c r="H2930" s="3"/>
    </row>
    <row r="2931">
      <c r="A2931" s="2">
        <f>IFERROR(__xludf.DUMMYFUNCTION("""COMPUTED_VALUE"""),23904.0)</f>
        <v>23904</v>
      </c>
      <c r="B2931" s="3" t="str">
        <f>IFERROR(__xludf.DUMMYFUNCTION("""COMPUTED_VALUE"""),"5427 YOUNG ST UNIT 420")</f>
        <v>5427 YOUNG ST UNIT 420</v>
      </c>
      <c r="C2931" s="3" t="str">
        <f>IFERROR(__xludf.DUMMYFUNCTION("""COMPUTED_VALUE"""),"HARWOOD")</f>
        <v>HARWOOD</v>
      </c>
      <c r="D2931" s="3" t="str">
        <f>IFERROR(__xludf.DUMMYFUNCTION("""COMPUTED_VALUE"""),"K0K 2H0")</f>
        <v>K0K 2H0</v>
      </c>
      <c r="E2931" s="3"/>
      <c r="F2931" s="3"/>
      <c r="G2931" s="3"/>
      <c r="H2931" s="3"/>
    </row>
    <row r="2932">
      <c r="A2932" s="2">
        <f>IFERROR(__xludf.DUMMYFUNCTION("""COMPUTED_VALUE"""),23905.0)</f>
        <v>23905</v>
      </c>
      <c r="B2932" s="3" t="str">
        <f>IFERROR(__xludf.DUMMYFUNCTION("""COMPUTED_VALUE"""),"5427 YOUNG ST UNIT 430")</f>
        <v>5427 YOUNG ST UNIT 430</v>
      </c>
      <c r="C2932" s="3" t="str">
        <f>IFERROR(__xludf.DUMMYFUNCTION("""COMPUTED_VALUE"""),"HARWOOD")</f>
        <v>HARWOOD</v>
      </c>
      <c r="D2932" s="3" t="str">
        <f>IFERROR(__xludf.DUMMYFUNCTION("""COMPUTED_VALUE"""),"K0K 2H0")</f>
        <v>K0K 2H0</v>
      </c>
      <c r="E2932" s="3" t="str">
        <f>IFERROR(__xludf.DUMMYFUNCTION("""COMPUTED_VALUE"""),"Mehmet arik")</f>
        <v>Mehmet arik</v>
      </c>
      <c r="F2932" s="3" t="str">
        <f>IFERROR(__xludf.DUMMYFUNCTION("""COMPUTED_VALUE"""),"emraharik8@gmail.comm")</f>
        <v>emraharik8@gmail.comm</v>
      </c>
      <c r="G2932" s="3">
        <f>IFERROR(__xludf.DUMMYFUNCTION("""COMPUTED_VALUE"""),6.475265262E9)</f>
        <v>6475265262</v>
      </c>
      <c r="H2932" s="3"/>
    </row>
    <row r="2933">
      <c r="A2933" s="2">
        <f>IFERROR(__xludf.DUMMYFUNCTION("""COMPUTED_VALUE"""),23906.0)</f>
        <v>23906</v>
      </c>
      <c r="B2933" s="3" t="str">
        <f>IFERROR(__xludf.DUMMYFUNCTION("""COMPUTED_VALUE"""),"5427 YOUNG ST UNIT 465")</f>
        <v>5427 YOUNG ST UNIT 465</v>
      </c>
      <c r="C2933" s="3" t="str">
        <f>IFERROR(__xludf.DUMMYFUNCTION("""COMPUTED_VALUE"""),"HARWOOD")</f>
        <v>HARWOOD</v>
      </c>
      <c r="D2933" s="3" t="str">
        <f>IFERROR(__xludf.DUMMYFUNCTION("""COMPUTED_VALUE"""),"K0K 2H0")</f>
        <v>K0K 2H0</v>
      </c>
      <c r="E2933" s="3"/>
      <c r="F2933" s="3"/>
      <c r="G2933" s="3"/>
      <c r="H2933" s="3"/>
    </row>
    <row r="2934">
      <c r="A2934" s="2">
        <f>IFERROR(__xludf.DUMMYFUNCTION("""COMPUTED_VALUE"""),23907.0)</f>
        <v>23907</v>
      </c>
      <c r="B2934" s="3" t="str">
        <f>IFERROR(__xludf.DUMMYFUNCTION("""COMPUTED_VALUE"""),"5427 YOUNG ST UNIT 470")</f>
        <v>5427 YOUNG ST UNIT 470</v>
      </c>
      <c r="C2934" s="3" t="str">
        <f>IFERROR(__xludf.DUMMYFUNCTION("""COMPUTED_VALUE"""),"HARWOOD")</f>
        <v>HARWOOD</v>
      </c>
      <c r="D2934" s="3" t="str">
        <f>IFERROR(__xludf.DUMMYFUNCTION("""COMPUTED_VALUE"""),"K0K 2H0")</f>
        <v>K0K 2H0</v>
      </c>
      <c r="E2934" s="3"/>
      <c r="F2934" s="3"/>
      <c r="G2934" s="3"/>
      <c r="H2934" s="3"/>
    </row>
    <row r="2935">
      <c r="A2935" s="2">
        <f>IFERROR(__xludf.DUMMYFUNCTION("""COMPUTED_VALUE"""),23908.0)</f>
        <v>23908</v>
      </c>
      <c r="B2935" s="3" t="str">
        <f>IFERROR(__xludf.DUMMYFUNCTION("""COMPUTED_VALUE"""),"5427 YOUNG ST UNIT 490")</f>
        <v>5427 YOUNG ST UNIT 490</v>
      </c>
      <c r="C2935" s="3" t="str">
        <f>IFERROR(__xludf.DUMMYFUNCTION("""COMPUTED_VALUE"""),"HARWOOD")</f>
        <v>HARWOOD</v>
      </c>
      <c r="D2935" s="3" t="str">
        <f>IFERROR(__xludf.DUMMYFUNCTION("""COMPUTED_VALUE"""),"K0K 2H0")</f>
        <v>K0K 2H0</v>
      </c>
      <c r="E2935" s="3" t="str">
        <f>IFERROR(__xludf.DUMMYFUNCTION("""COMPUTED_VALUE"""),"kathleen blastorah")</f>
        <v>kathleen blastorah</v>
      </c>
      <c r="F2935" s="3" t="str">
        <f>IFERROR(__xludf.DUMMYFUNCTION("""COMPUTED_VALUE"""),"kblastorah@gmail.com")</f>
        <v>kblastorah@gmail.com</v>
      </c>
      <c r="G2935" s="3">
        <f>IFERROR(__xludf.DUMMYFUNCTION("""COMPUTED_VALUE"""),6.479992621E9)</f>
        <v>6479992621</v>
      </c>
      <c r="H2935" s="3">
        <f>IFERROR(__xludf.DUMMYFUNCTION("""COMPUTED_VALUE"""),6.478326887E9)</f>
        <v>6478326887</v>
      </c>
    </row>
    <row r="2936">
      <c r="A2936" s="2">
        <f>IFERROR(__xludf.DUMMYFUNCTION("""COMPUTED_VALUE"""),23909.0)</f>
        <v>23909</v>
      </c>
      <c r="B2936" s="3" t="str">
        <f>IFERROR(__xludf.DUMMYFUNCTION("""COMPUTED_VALUE"""),"5428 YOUNG ST SUITE 100")</f>
        <v>5428 YOUNG ST SUITE 100</v>
      </c>
      <c r="C2936" s="3" t="str">
        <f>IFERROR(__xludf.DUMMYFUNCTION("""COMPUTED_VALUE"""),"HARWOOD")</f>
        <v>HARWOOD</v>
      </c>
      <c r="D2936" s="3" t="str">
        <f>IFERROR(__xludf.DUMMYFUNCTION("""COMPUTED_VALUE"""),"K0K 2H0")</f>
        <v>K0K 2H0</v>
      </c>
      <c r="E2936" s="3"/>
      <c r="F2936" s="3"/>
      <c r="G2936" s="3"/>
      <c r="H2936" s="3"/>
    </row>
    <row r="2937">
      <c r="A2937" s="2">
        <f>IFERROR(__xludf.DUMMYFUNCTION("""COMPUTED_VALUE"""),23910.0)</f>
        <v>23910</v>
      </c>
      <c r="B2937" s="3" t="str">
        <f>IFERROR(__xludf.DUMMYFUNCTION("""COMPUTED_VALUE"""),"5428 YOUNG ST SUITE 210")</f>
        <v>5428 YOUNG ST SUITE 210</v>
      </c>
      <c r="C2937" s="3" t="str">
        <f>IFERROR(__xludf.DUMMYFUNCTION("""COMPUTED_VALUE"""),"HARWOOD")</f>
        <v>HARWOOD</v>
      </c>
      <c r="D2937" s="3" t="str">
        <f>IFERROR(__xludf.DUMMYFUNCTION("""COMPUTED_VALUE"""),"K0K 2H0")</f>
        <v>K0K 2H0</v>
      </c>
      <c r="E2937" s="3"/>
      <c r="F2937" s="3"/>
      <c r="G2937" s="3"/>
      <c r="H2937" s="3"/>
    </row>
    <row r="2938">
      <c r="A2938" s="2">
        <f>IFERROR(__xludf.DUMMYFUNCTION("""COMPUTED_VALUE"""),23911.0)</f>
        <v>23911</v>
      </c>
      <c r="B2938" s="3" t="str">
        <f>IFERROR(__xludf.DUMMYFUNCTION("""COMPUTED_VALUE"""),"5428 YOUNG ST SUITE 250")</f>
        <v>5428 YOUNG ST SUITE 250</v>
      </c>
      <c r="C2938" s="3" t="str">
        <f>IFERROR(__xludf.DUMMYFUNCTION("""COMPUTED_VALUE"""),"HARWOOD")</f>
        <v>HARWOOD</v>
      </c>
      <c r="D2938" s="3" t="str">
        <f>IFERROR(__xludf.DUMMYFUNCTION("""COMPUTED_VALUE"""),"K0K 2H0")</f>
        <v>K0K 2H0</v>
      </c>
      <c r="E2938" s="3"/>
      <c r="F2938" s="3"/>
      <c r="G2938" s="3"/>
      <c r="H2938" s="3"/>
    </row>
    <row r="2939">
      <c r="A2939" s="2">
        <f>IFERROR(__xludf.DUMMYFUNCTION("""COMPUTED_VALUE"""),23912.0)</f>
        <v>23912</v>
      </c>
      <c r="B2939" s="3" t="str">
        <f>IFERROR(__xludf.DUMMYFUNCTION("""COMPUTED_VALUE"""),"5428 YOUNG ST SUITE 270")</f>
        <v>5428 YOUNG ST SUITE 270</v>
      </c>
      <c r="C2939" s="3" t="str">
        <f>IFERROR(__xludf.DUMMYFUNCTION("""COMPUTED_VALUE"""),"HARWOOD")</f>
        <v>HARWOOD</v>
      </c>
      <c r="D2939" s="3" t="str">
        <f>IFERROR(__xludf.DUMMYFUNCTION("""COMPUTED_VALUE"""),"K0K 2H0")</f>
        <v>K0K 2H0</v>
      </c>
      <c r="E2939" s="3"/>
      <c r="F2939" s="3"/>
      <c r="G2939" s="3"/>
      <c r="H2939" s="3"/>
    </row>
    <row r="2940">
      <c r="A2940" s="2">
        <f>IFERROR(__xludf.DUMMYFUNCTION("""COMPUTED_VALUE"""),23913.0)</f>
        <v>23913</v>
      </c>
      <c r="B2940" s="3" t="str">
        <f>IFERROR(__xludf.DUMMYFUNCTION("""COMPUTED_VALUE"""),"5428 YOUNG ST SUITE 280")</f>
        <v>5428 YOUNG ST SUITE 280</v>
      </c>
      <c r="C2940" s="3" t="str">
        <f>IFERROR(__xludf.DUMMYFUNCTION("""COMPUTED_VALUE"""),"HARWOOD")</f>
        <v>HARWOOD</v>
      </c>
      <c r="D2940" s="3" t="str">
        <f>IFERROR(__xludf.DUMMYFUNCTION("""COMPUTED_VALUE"""),"K0K 2H0")</f>
        <v>K0K 2H0</v>
      </c>
      <c r="E2940" s="3"/>
      <c r="F2940" s="3"/>
      <c r="G2940" s="3"/>
      <c r="H2940" s="3"/>
    </row>
    <row r="2941">
      <c r="A2941" s="2">
        <f>IFERROR(__xludf.DUMMYFUNCTION("""COMPUTED_VALUE"""),23914.0)</f>
        <v>23914</v>
      </c>
      <c r="B2941" s="3" t="str">
        <f>IFERROR(__xludf.DUMMYFUNCTION("""COMPUTED_VALUE"""),"5428 YOUNG ST SUITE 290")</f>
        <v>5428 YOUNG ST SUITE 290</v>
      </c>
      <c r="C2941" s="3" t="str">
        <f>IFERROR(__xludf.DUMMYFUNCTION("""COMPUTED_VALUE"""),"HARWOOD")</f>
        <v>HARWOOD</v>
      </c>
      <c r="D2941" s="3" t="str">
        <f>IFERROR(__xludf.DUMMYFUNCTION("""COMPUTED_VALUE"""),"K0K 2H0")</f>
        <v>K0K 2H0</v>
      </c>
      <c r="E2941" s="3"/>
      <c r="F2941" s="3"/>
      <c r="G2941" s="3"/>
      <c r="H2941" s="3"/>
    </row>
    <row r="2942">
      <c r="A2942" s="2">
        <f>IFERROR(__xludf.DUMMYFUNCTION("""COMPUTED_VALUE"""),23915.0)</f>
        <v>23915</v>
      </c>
      <c r="B2942" s="3" t="str">
        <f>IFERROR(__xludf.DUMMYFUNCTION("""COMPUTED_VALUE"""),"5428 YOUNG ST SUITE 310")</f>
        <v>5428 YOUNG ST SUITE 310</v>
      </c>
      <c r="C2942" s="3" t="str">
        <f>IFERROR(__xludf.DUMMYFUNCTION("""COMPUTED_VALUE"""),"HARWOOD")</f>
        <v>HARWOOD</v>
      </c>
      <c r="D2942" s="3" t="str">
        <f>IFERROR(__xludf.DUMMYFUNCTION("""COMPUTED_VALUE"""),"K0K 2H0")</f>
        <v>K0K 2H0</v>
      </c>
      <c r="E2942" s="3"/>
      <c r="F2942" s="3"/>
      <c r="G2942" s="3"/>
      <c r="H2942" s="3"/>
    </row>
    <row r="2943">
      <c r="A2943" s="2">
        <f>IFERROR(__xludf.DUMMYFUNCTION("""COMPUTED_VALUE"""),23916.0)</f>
        <v>23916</v>
      </c>
      <c r="B2943" s="3" t="str">
        <f>IFERROR(__xludf.DUMMYFUNCTION("""COMPUTED_VALUE"""),"5428 YOUNG ST SUITE 340")</f>
        <v>5428 YOUNG ST SUITE 340</v>
      </c>
      <c r="C2943" s="3" t="str">
        <f>IFERROR(__xludf.DUMMYFUNCTION("""COMPUTED_VALUE"""),"HARWOOD")</f>
        <v>HARWOOD</v>
      </c>
      <c r="D2943" s="3" t="str">
        <f>IFERROR(__xludf.DUMMYFUNCTION("""COMPUTED_VALUE"""),"K0K 2H0")</f>
        <v>K0K 2H0</v>
      </c>
      <c r="E2943" s="3" t="str">
        <f>IFERROR(__xludf.DUMMYFUNCTION("""COMPUTED_VALUE"""),"E, goryachen")</f>
        <v>E, goryachen</v>
      </c>
      <c r="F2943" s="3" t="str">
        <f>IFERROR(__xludf.DUMMYFUNCTION("""COMPUTED_VALUE"""),"shayshor@gmail.com")</f>
        <v>shayshor@gmail.com</v>
      </c>
      <c r="G2943" s="3">
        <f>IFERROR(__xludf.DUMMYFUNCTION("""COMPUTED_VALUE"""),9.053425203E9)</f>
        <v>9053425203</v>
      </c>
      <c r="H2943" s="3"/>
    </row>
    <row r="2944">
      <c r="A2944" s="2">
        <f>IFERROR(__xludf.DUMMYFUNCTION("""COMPUTED_VALUE"""),23917.0)</f>
        <v>23917</v>
      </c>
      <c r="B2944" s="3" t="str">
        <f>IFERROR(__xludf.DUMMYFUNCTION("""COMPUTED_VALUE"""),"5428 YOUNG ST UNIT 200")</f>
        <v>5428 YOUNG ST UNIT 200</v>
      </c>
      <c r="C2944" s="3" t="str">
        <f>IFERROR(__xludf.DUMMYFUNCTION("""COMPUTED_VALUE"""),"HARWOOD")</f>
        <v>HARWOOD</v>
      </c>
      <c r="D2944" s="3" t="str">
        <f>IFERROR(__xludf.DUMMYFUNCTION("""COMPUTED_VALUE"""),"K0K 2H0")</f>
        <v>K0K 2H0</v>
      </c>
      <c r="E2944" s="3"/>
      <c r="F2944" s="3"/>
      <c r="G2944" s="3"/>
      <c r="H2944" s="3"/>
    </row>
    <row r="2945">
      <c r="A2945" s="2">
        <f>IFERROR(__xludf.DUMMYFUNCTION("""COMPUTED_VALUE"""),23918.0)</f>
        <v>23918</v>
      </c>
      <c r="B2945" s="3" t="str">
        <f>IFERROR(__xludf.DUMMYFUNCTION("""COMPUTED_VALUE"""),"5428 YOUNG ST UNIT 240")</f>
        <v>5428 YOUNG ST UNIT 240</v>
      </c>
      <c r="C2945" s="3" t="str">
        <f>IFERROR(__xludf.DUMMYFUNCTION("""COMPUTED_VALUE"""),"HARWOOD")</f>
        <v>HARWOOD</v>
      </c>
      <c r="D2945" s="3" t="str">
        <f>IFERROR(__xludf.DUMMYFUNCTION("""COMPUTED_VALUE"""),"K0K 2H0")</f>
        <v>K0K 2H0</v>
      </c>
      <c r="E2945" s="3"/>
      <c r="F2945" s="3"/>
      <c r="G2945" s="3"/>
      <c r="H2945" s="3"/>
    </row>
    <row r="2946">
      <c r="A2946" s="2">
        <f>IFERROR(__xludf.DUMMYFUNCTION("""COMPUTED_VALUE"""),23919.0)</f>
        <v>23919</v>
      </c>
      <c r="B2946" s="3" t="str">
        <f>IFERROR(__xludf.DUMMYFUNCTION("""COMPUTED_VALUE"""),"5428 YOUNG ST UNIT 260")</f>
        <v>5428 YOUNG ST UNIT 260</v>
      </c>
      <c r="C2946" s="3" t="str">
        <f>IFERROR(__xludf.DUMMYFUNCTION("""COMPUTED_VALUE"""),"HARWOOD")</f>
        <v>HARWOOD</v>
      </c>
      <c r="D2946" s="3" t="str">
        <f>IFERROR(__xludf.DUMMYFUNCTION("""COMPUTED_VALUE"""),"K0K 2H0")</f>
        <v>K0K 2H0</v>
      </c>
      <c r="E2946" s="3"/>
      <c r="F2946" s="3"/>
      <c r="G2946" s="3"/>
      <c r="H2946" s="3"/>
    </row>
    <row r="2947">
      <c r="A2947" s="2">
        <f>IFERROR(__xludf.DUMMYFUNCTION("""COMPUTED_VALUE"""),23920.0)</f>
        <v>23920</v>
      </c>
      <c r="B2947" s="3" t="str">
        <f>IFERROR(__xludf.DUMMYFUNCTION("""COMPUTED_VALUE"""),"5428 YOUNG ST UNIT 320")</f>
        <v>5428 YOUNG ST UNIT 320</v>
      </c>
      <c r="C2947" s="3" t="str">
        <f>IFERROR(__xludf.DUMMYFUNCTION("""COMPUTED_VALUE"""),"HARWOOD")</f>
        <v>HARWOOD</v>
      </c>
      <c r="D2947" s="3" t="str">
        <f>IFERROR(__xludf.DUMMYFUNCTION("""COMPUTED_VALUE"""),"K0K 2H0")</f>
        <v>K0K 2H0</v>
      </c>
      <c r="E2947" s="3"/>
      <c r="F2947" s="3"/>
      <c r="G2947" s="3"/>
      <c r="H2947" s="3"/>
    </row>
    <row r="2948">
      <c r="A2948" s="2">
        <f>IFERROR(__xludf.DUMMYFUNCTION("""COMPUTED_VALUE"""),23921.0)</f>
        <v>23921</v>
      </c>
      <c r="B2948" s="3" t="str">
        <f>IFERROR(__xludf.DUMMYFUNCTION("""COMPUTED_VALUE"""),"5428 YOUNG ST UNIT 330")</f>
        <v>5428 YOUNG ST UNIT 330</v>
      </c>
      <c r="C2948" s="3" t="str">
        <f>IFERROR(__xludf.DUMMYFUNCTION("""COMPUTED_VALUE"""),"HARWOOD")</f>
        <v>HARWOOD</v>
      </c>
      <c r="D2948" s="3" t="str">
        <f>IFERROR(__xludf.DUMMYFUNCTION("""COMPUTED_VALUE"""),"K0K 2H0")</f>
        <v>K0K 2H0</v>
      </c>
      <c r="E2948" s="3"/>
      <c r="F2948" s="3"/>
      <c r="G2948" s="3"/>
      <c r="H2948" s="3"/>
    </row>
    <row r="2949">
      <c r="A2949" s="2">
        <f>IFERROR(__xludf.DUMMYFUNCTION("""COMPUTED_VALUE"""),21175.0)</f>
        <v>21175</v>
      </c>
      <c r="B2949" s="3" t="str">
        <f>IFERROR(__xludf.DUMMYFUNCTION("""COMPUTED_VALUE"""),"6432 COUNTY RD 45")</f>
        <v>6432 COUNTY RD 45</v>
      </c>
      <c r="C2949" s="3" t="str">
        <f>IFERROR(__xludf.DUMMYFUNCTION("""COMPUTED_VALUE"""),"BALTIMORE")</f>
        <v>BALTIMORE</v>
      </c>
      <c r="D2949" s="3" t="str">
        <f>IFERROR(__xludf.DUMMYFUNCTION("""COMPUTED_VALUE"""),"K0K 1C0")</f>
        <v>K0K 1C0</v>
      </c>
      <c r="E2949" s="3" t="str">
        <f>IFERROR(__xludf.DUMMYFUNCTION("""COMPUTED_VALUE"""),"len murphy ")</f>
        <v>len murphy </v>
      </c>
      <c r="F2949" s="3" t="str">
        <f>IFERROR(__xludf.DUMMYFUNCTION("""COMPUTED_VALUE"""),"pineridgetaxidermy@hotmail.com")</f>
        <v>pineridgetaxidermy@hotmail.com</v>
      </c>
      <c r="G2949" s="3">
        <f>IFERROR(__xludf.DUMMYFUNCTION("""COMPUTED_VALUE"""),2.892512791E9)</f>
        <v>2892512791</v>
      </c>
      <c r="H2949" s="3">
        <f>IFERROR(__xludf.DUMMYFUNCTION("""COMPUTED_VALUE"""),2.892512792E9)</f>
        <v>2892512792</v>
      </c>
    </row>
    <row r="2950">
      <c r="A2950" s="2">
        <f>IFERROR(__xludf.DUMMYFUNCTION("""COMPUTED_VALUE"""),40021.0)</f>
        <v>40021</v>
      </c>
      <c r="B2950" s="3" t="str">
        <f>IFERROR(__xludf.DUMMYFUNCTION("""COMPUTED_VALUE"""),"193 ARCHER RD")</f>
        <v>193 ARCHER RD</v>
      </c>
      <c r="C2950" s="3" t="str">
        <f>IFERROR(__xludf.DUMMYFUNCTION("""COMPUTED_VALUE"""),"COBOURG")</f>
        <v>COBOURG</v>
      </c>
      <c r="D2950" s="3" t="str">
        <f>IFERROR(__xludf.DUMMYFUNCTION("""COMPUTED_VALUE"""),"K9A 4J8")</f>
        <v>K9A 4J8</v>
      </c>
      <c r="E2950" s="3" t="str">
        <f>IFERROR(__xludf.DUMMYFUNCTION("""COMPUTED_VALUE"""),"Darrin Andrew Mackie")</f>
        <v>Darrin Andrew Mackie</v>
      </c>
      <c r="F2950" s="3" t="str">
        <f>IFERROR(__xludf.DUMMYFUNCTION("""COMPUTED_VALUE"""),"mackiepro@icloud.com")</f>
        <v>mackiepro@icloud.com</v>
      </c>
      <c r="G2950" s="3">
        <f>IFERROR(__xludf.DUMMYFUNCTION("""COMPUTED_VALUE"""),9.052138171E9)</f>
        <v>9052138171</v>
      </c>
      <c r="H2950" s="3"/>
    </row>
    <row r="2951">
      <c r="A2951" s="2">
        <f>IFERROR(__xludf.DUMMYFUNCTION("""COMPUTED_VALUE"""),40022.0)</f>
        <v>40022</v>
      </c>
      <c r="B2951" s="3" t="str">
        <f>IFERROR(__xludf.DUMMYFUNCTION("""COMPUTED_VALUE"""),"196 ARCHER RD")</f>
        <v>196 ARCHER RD</v>
      </c>
      <c r="C2951" s="3" t="str">
        <f>IFERROR(__xludf.DUMMYFUNCTION("""COMPUTED_VALUE"""),"COBOURG")</f>
        <v>COBOURG</v>
      </c>
      <c r="D2951" s="3" t="str">
        <f>IFERROR(__xludf.DUMMYFUNCTION("""COMPUTED_VALUE"""),"K9A 4J8")</f>
        <v>K9A 4J8</v>
      </c>
      <c r="E2951" s="3" t="str">
        <f>IFERROR(__xludf.DUMMYFUNCTION("""COMPUTED_VALUE"""),"Chris Watt")</f>
        <v>Chris Watt</v>
      </c>
      <c r="F2951" s="3" t="str">
        <f>IFERROR(__xludf.DUMMYFUNCTION("""COMPUTED_VALUE"""),"cwatt75@icloud.com")</f>
        <v>cwatt75@icloud.com</v>
      </c>
      <c r="G2951" s="3">
        <f>IFERROR(__xludf.DUMMYFUNCTION("""COMPUTED_VALUE"""),2.892517927E9)</f>
        <v>2892517927</v>
      </c>
      <c r="H2951" s="3">
        <f>IFERROR(__xludf.DUMMYFUNCTION("""COMPUTED_VALUE"""),9.052695207E9)</f>
        <v>9052695207</v>
      </c>
    </row>
    <row r="2952">
      <c r="A2952" s="2">
        <f>IFERROR(__xludf.DUMMYFUNCTION("""COMPUTED_VALUE"""),40023.0)</f>
        <v>40023</v>
      </c>
      <c r="B2952" s="3" t="str">
        <f>IFERROR(__xludf.DUMMYFUNCTION("""COMPUTED_VALUE"""),"202 ARCHER'S RD")</f>
        <v>202 ARCHER'S RD</v>
      </c>
      <c r="C2952" s="3" t="str">
        <f>IFERROR(__xludf.DUMMYFUNCTION("""COMPUTED_VALUE"""),"COBOURG")</f>
        <v>COBOURG</v>
      </c>
      <c r="D2952" s="3" t="str">
        <f>IFERROR(__xludf.DUMMYFUNCTION("""COMPUTED_VALUE"""),"K9A 4J8")</f>
        <v>K9A 4J8</v>
      </c>
      <c r="E2952" s="3"/>
      <c r="F2952" s="3"/>
      <c r="G2952" s="3"/>
      <c r="H2952" s="3"/>
    </row>
    <row r="2953">
      <c r="A2953" s="2">
        <f>IFERROR(__xludf.DUMMYFUNCTION("""COMPUTED_VALUE"""),40024.0)</f>
        <v>40024</v>
      </c>
      <c r="B2953" s="3" t="str">
        <f>IFERROR(__xludf.DUMMYFUNCTION("""COMPUTED_VALUE"""),"241 ARCHER RD")</f>
        <v>241 ARCHER RD</v>
      </c>
      <c r="C2953" s="3" t="str">
        <f>IFERROR(__xludf.DUMMYFUNCTION("""COMPUTED_VALUE"""),"COBOURG")</f>
        <v>COBOURG</v>
      </c>
      <c r="D2953" s="3" t="str">
        <f>IFERROR(__xludf.DUMMYFUNCTION("""COMPUTED_VALUE"""),"K9A 4J8")</f>
        <v>K9A 4J8</v>
      </c>
      <c r="E2953" s="3"/>
      <c r="F2953" s="3"/>
      <c r="G2953" s="3"/>
      <c r="H2953" s="3"/>
    </row>
    <row r="2954">
      <c r="A2954" s="2">
        <f>IFERROR(__xludf.DUMMYFUNCTION("""COMPUTED_VALUE"""),40025.0)</f>
        <v>40025</v>
      </c>
      <c r="B2954" s="3" t="str">
        <f>IFERROR(__xludf.DUMMYFUNCTION("""COMPUTED_VALUE"""),"248 ARCHER RD")</f>
        <v>248 ARCHER RD</v>
      </c>
      <c r="C2954" s="3" t="str">
        <f>IFERROR(__xludf.DUMMYFUNCTION("""COMPUTED_VALUE"""),"COBOURG")</f>
        <v>COBOURG</v>
      </c>
      <c r="D2954" s="3" t="str">
        <f>IFERROR(__xludf.DUMMYFUNCTION("""COMPUTED_VALUE"""),"K9A 4J8")</f>
        <v>K9A 4J8</v>
      </c>
      <c r="E2954" s="3"/>
      <c r="F2954" s="3"/>
      <c r="G2954" s="3"/>
      <c r="H2954" s="3"/>
    </row>
    <row r="2955">
      <c r="A2955" s="2">
        <f>IFERROR(__xludf.DUMMYFUNCTION("""COMPUTED_VALUE"""),40026.0)</f>
        <v>40026</v>
      </c>
      <c r="B2955" s="3" t="str">
        <f>IFERROR(__xludf.DUMMYFUNCTION("""COMPUTED_VALUE"""),"326 ARCHER RD")</f>
        <v>326 ARCHER RD</v>
      </c>
      <c r="C2955" s="3" t="str">
        <f>IFERROR(__xludf.DUMMYFUNCTION("""COMPUTED_VALUE"""),"COBOURG")</f>
        <v>COBOURG</v>
      </c>
      <c r="D2955" s="3" t="str">
        <f>IFERROR(__xludf.DUMMYFUNCTION("""COMPUTED_VALUE"""),"K9A 4J8")</f>
        <v>K9A 4J8</v>
      </c>
      <c r="E2955" s="3" t="str">
        <f>IFERROR(__xludf.DUMMYFUNCTION("""COMPUTED_VALUE"""),"dianne tollan")</f>
        <v>dianne tollan</v>
      </c>
      <c r="F2955" s="3" t="str">
        <f>IFERROR(__xludf.DUMMYFUNCTION("""COMPUTED_VALUE"""),"tollandianne@gmail.com")</f>
        <v>tollandianne@gmail.com</v>
      </c>
      <c r="G2955" s="3">
        <f>IFERROR(__xludf.DUMMYFUNCTION("""COMPUTED_VALUE"""),9.053771551E9)</f>
        <v>9053771551</v>
      </c>
      <c r="H2955" s="3"/>
    </row>
    <row r="2956">
      <c r="A2956" s="2">
        <f>IFERROR(__xludf.DUMMYFUNCTION("""COMPUTED_VALUE"""),40027.0)</f>
        <v>40027</v>
      </c>
      <c r="B2956" s="3" t="str">
        <f>IFERROR(__xludf.DUMMYFUNCTION("""COMPUTED_VALUE"""),"342 ARCHER RD")</f>
        <v>342 ARCHER RD</v>
      </c>
      <c r="C2956" s="3" t="str">
        <f>IFERROR(__xludf.DUMMYFUNCTION("""COMPUTED_VALUE"""),"COBOURG")</f>
        <v>COBOURG</v>
      </c>
      <c r="D2956" s="3" t="str">
        <f>IFERROR(__xludf.DUMMYFUNCTION("""COMPUTED_VALUE"""),"K9A 4J8")</f>
        <v>K9A 4J8</v>
      </c>
      <c r="E2956" s="3" t="str">
        <f>IFERROR(__xludf.DUMMYFUNCTION("""COMPUTED_VALUE"""),"westley krentz")</f>
        <v>westley krentz</v>
      </c>
      <c r="F2956" s="3" t="str">
        <f>IFERROR(__xludf.DUMMYFUNCTION("""COMPUTED_VALUE"""),"krerntzw@yahoo.ca")</f>
        <v>krerntzw@yahoo.ca</v>
      </c>
      <c r="G2956" s="3">
        <f>IFERROR(__xludf.DUMMYFUNCTION("""COMPUTED_VALUE"""),9.053962578E9)</f>
        <v>9053962578</v>
      </c>
      <c r="H2956" s="3"/>
    </row>
    <row r="2957">
      <c r="A2957" s="2">
        <f>IFERROR(__xludf.DUMMYFUNCTION("""COMPUTED_VALUE"""),40028.0)</f>
        <v>40028</v>
      </c>
      <c r="B2957" s="3" t="str">
        <f>IFERROR(__xludf.DUMMYFUNCTION("""COMPUTED_VALUE"""),"370 ARCHER RD")</f>
        <v>370 ARCHER RD</v>
      </c>
      <c r="C2957" s="3" t="str">
        <f>IFERROR(__xludf.DUMMYFUNCTION("""COMPUTED_VALUE"""),"COBOURG")</f>
        <v>COBOURG</v>
      </c>
      <c r="D2957" s="3" t="str">
        <f>IFERROR(__xludf.DUMMYFUNCTION("""COMPUTED_VALUE"""),"K9A 4J8")</f>
        <v>K9A 4J8</v>
      </c>
      <c r="E2957" s="3" t="str">
        <f>IFERROR(__xludf.DUMMYFUNCTION("""COMPUTED_VALUE"""),"dave marshall ")</f>
        <v>dave marshall </v>
      </c>
      <c r="F2957" s="3" t="str">
        <f>IFERROR(__xludf.DUMMYFUNCTION("""COMPUTED_VALUE"""),"dmsailsfast@gmail.com")</f>
        <v>dmsailsfast@gmail.com</v>
      </c>
      <c r="G2957" s="3">
        <f>IFERROR(__xludf.DUMMYFUNCTION("""COMPUTED_VALUE"""),9.053757901E9)</f>
        <v>9053757901</v>
      </c>
      <c r="H2957" s="3"/>
    </row>
    <row r="2958">
      <c r="A2958" s="2">
        <f>IFERROR(__xludf.DUMMYFUNCTION("""COMPUTED_VALUE"""),40029.0)</f>
        <v>40029</v>
      </c>
      <c r="B2958" s="3" t="str">
        <f>IFERROR(__xludf.DUMMYFUNCTION("""COMPUTED_VALUE"""),"193A ARCHERS RD")</f>
        <v>193A ARCHERS RD</v>
      </c>
      <c r="C2958" s="3" t="str">
        <f>IFERROR(__xludf.DUMMYFUNCTION("""COMPUTED_VALUE"""),"COBOURG")</f>
        <v>COBOURG</v>
      </c>
      <c r="D2958" s="3" t="str">
        <f>IFERROR(__xludf.DUMMYFUNCTION("""COMPUTED_VALUE"""),"K9A 4J8")</f>
        <v>K9A 4J8</v>
      </c>
      <c r="E2958" s="3"/>
      <c r="F2958" s="3"/>
      <c r="G2958" s="3"/>
      <c r="H2958" s="3"/>
    </row>
    <row r="2959">
      <c r="A2959" s="2">
        <f>IFERROR(__xludf.DUMMYFUNCTION("""COMPUTED_VALUE"""),40030.0)</f>
        <v>40030</v>
      </c>
      <c r="B2959" s="3" t="str">
        <f>IFERROR(__xludf.DUMMYFUNCTION("""COMPUTED_VALUE"""),"1569 ASH RD")</f>
        <v>1569 ASH RD</v>
      </c>
      <c r="C2959" s="3" t="str">
        <f>IFERROR(__xludf.DUMMYFUNCTION("""COMPUTED_VALUE"""),"COBOURG")</f>
        <v>COBOURG</v>
      </c>
      <c r="D2959" s="3" t="str">
        <f>IFERROR(__xludf.DUMMYFUNCTION("""COMPUTED_VALUE"""),"K9A 0R5")</f>
        <v>K9A 0R5</v>
      </c>
      <c r="E2959" s="3"/>
      <c r="F2959" s="3"/>
      <c r="G2959" s="3"/>
      <c r="H2959" s="3"/>
    </row>
    <row r="2960">
      <c r="A2960" s="2">
        <f>IFERROR(__xludf.DUMMYFUNCTION("""COMPUTED_VALUE"""),40031.0)</f>
        <v>40031</v>
      </c>
      <c r="B2960" s="3" t="str">
        <f>IFERROR(__xludf.DUMMYFUNCTION("""COMPUTED_VALUE"""),"1573 ASH RD")</f>
        <v>1573 ASH RD</v>
      </c>
      <c r="C2960" s="3" t="str">
        <f>IFERROR(__xludf.DUMMYFUNCTION("""COMPUTED_VALUE"""),"COBOURG")</f>
        <v>COBOURG</v>
      </c>
      <c r="D2960" s="3" t="str">
        <f>IFERROR(__xludf.DUMMYFUNCTION("""COMPUTED_VALUE"""),"K9A 0R5")</f>
        <v>K9A 0R5</v>
      </c>
      <c r="E2960" s="3"/>
      <c r="F2960" s="3"/>
      <c r="G2960" s="3"/>
      <c r="H2960" s="3"/>
    </row>
    <row r="2961">
      <c r="A2961" s="2">
        <f>IFERROR(__xludf.DUMMYFUNCTION("""COMPUTED_VALUE"""),40032.0)</f>
        <v>40032</v>
      </c>
      <c r="B2961" s="3" t="str">
        <f>IFERROR(__xludf.DUMMYFUNCTION("""COMPUTED_VALUE"""),"1577 ASH RD")</f>
        <v>1577 ASH RD</v>
      </c>
      <c r="C2961" s="3" t="str">
        <f>IFERROR(__xludf.DUMMYFUNCTION("""COMPUTED_VALUE"""),"COBOURG")</f>
        <v>COBOURG</v>
      </c>
      <c r="D2961" s="3" t="str">
        <f>IFERROR(__xludf.DUMMYFUNCTION("""COMPUTED_VALUE"""),"K9A 0R5")</f>
        <v>K9A 0R5</v>
      </c>
      <c r="E2961" s="3"/>
      <c r="F2961" s="3"/>
      <c r="G2961" s="3"/>
      <c r="H2961" s="3"/>
    </row>
    <row r="2962">
      <c r="A2962" s="2">
        <f>IFERROR(__xludf.DUMMYFUNCTION("""COMPUTED_VALUE"""),40033.0)</f>
        <v>40033</v>
      </c>
      <c r="B2962" s="3" t="str">
        <f>IFERROR(__xludf.DUMMYFUNCTION("""COMPUTED_VALUE"""),"236 BARNUM HOUSE RD S")</f>
        <v>236 BARNUM HOUSE RD S</v>
      </c>
      <c r="C2962" s="3" t="str">
        <f>IFERROR(__xludf.DUMMYFUNCTION("""COMPUTED_VALUE"""),"GRAFTON ")</f>
        <v>GRAFTON </v>
      </c>
      <c r="D2962" s="3" t="str">
        <f>IFERROR(__xludf.DUMMYFUNCTION("""COMPUTED_VALUE"""),"K0K 2G0")</f>
        <v>K0K 2G0</v>
      </c>
      <c r="E2962" s="3" t="str">
        <f>IFERROR(__xludf.DUMMYFUNCTION("""COMPUTED_VALUE"""),"peter reiners ")</f>
        <v>peter reiners </v>
      </c>
      <c r="F2962" s="3" t="str">
        <f>IFERROR(__xludf.DUMMYFUNCTION("""COMPUTED_VALUE"""),"phreiners@gmail.com")</f>
        <v>phreiners@gmail.com</v>
      </c>
      <c r="G2962" s="3">
        <f>IFERROR(__xludf.DUMMYFUNCTION("""COMPUTED_VALUE"""),5.187026492E9)</f>
        <v>5187026492</v>
      </c>
      <c r="H2962" s="3"/>
    </row>
    <row r="2963">
      <c r="A2963" s="2">
        <f>IFERROR(__xludf.DUMMYFUNCTION("""COMPUTED_VALUE"""),40034.0)</f>
        <v>40034</v>
      </c>
      <c r="B2963" s="3" t="str">
        <f>IFERROR(__xludf.DUMMYFUNCTION("""COMPUTED_VALUE"""),"247 BARNUM HOUSE RD S")</f>
        <v>247 BARNUM HOUSE RD S</v>
      </c>
      <c r="C2963" s="3" t="str">
        <f>IFERROR(__xludf.DUMMYFUNCTION("""COMPUTED_VALUE"""),"GRAFTON ")</f>
        <v>GRAFTON </v>
      </c>
      <c r="D2963" s="3" t="str">
        <f>IFERROR(__xludf.DUMMYFUNCTION("""COMPUTED_VALUE"""),"K0K 2G0")</f>
        <v>K0K 2G0</v>
      </c>
      <c r="E2963" s="3" t="str">
        <f>IFERROR(__xludf.DUMMYFUNCTION("""COMPUTED_VALUE"""),"jason cotton")</f>
        <v>jason cotton</v>
      </c>
      <c r="F2963" s="3" t="str">
        <f>IFERROR(__xludf.DUMMYFUNCTION("""COMPUTED_VALUE"""),"canajunay@gmail.com")</f>
        <v>canajunay@gmail.com</v>
      </c>
      <c r="G2963" s="3">
        <f>IFERROR(__xludf.DUMMYFUNCTION("""COMPUTED_VALUE"""),9.054422548E9)</f>
        <v>9054422548</v>
      </c>
      <c r="H2963" s="3"/>
    </row>
    <row r="2964">
      <c r="A2964" s="2">
        <f>IFERROR(__xludf.DUMMYFUNCTION("""COMPUTED_VALUE"""),40035.0)</f>
        <v>40035</v>
      </c>
      <c r="B2964" s="3" t="str">
        <f>IFERROR(__xludf.DUMMYFUNCTION("""COMPUTED_VALUE"""),"253 BARNUM HOUSE RD S")</f>
        <v>253 BARNUM HOUSE RD S</v>
      </c>
      <c r="C2964" s="3" t="str">
        <f>IFERROR(__xludf.DUMMYFUNCTION("""COMPUTED_VALUE"""),"GRAFTON ")</f>
        <v>GRAFTON </v>
      </c>
      <c r="D2964" s="3" t="str">
        <f>IFERROR(__xludf.DUMMYFUNCTION("""COMPUTED_VALUE"""),"K0K 2G0")</f>
        <v>K0K 2G0</v>
      </c>
      <c r="E2964" s="3" t="str">
        <f>IFERROR(__xludf.DUMMYFUNCTION("""COMPUTED_VALUE"""),"Colin Brophy")</f>
        <v>Colin Brophy</v>
      </c>
      <c r="F2964" s="3" t="str">
        <f>IFERROR(__xludf.DUMMYFUNCTION("""COMPUTED_VALUE"""),"colinpbrophy@gmail.com")</f>
        <v>colinpbrophy@gmail.com</v>
      </c>
      <c r="G2964" s="3">
        <f>IFERROR(__xludf.DUMMYFUNCTION("""COMPUTED_VALUE"""),6.47280143E9)</f>
        <v>6472801430</v>
      </c>
      <c r="H2964" s="3"/>
    </row>
    <row r="2965">
      <c r="A2965" s="2">
        <f>IFERROR(__xludf.DUMMYFUNCTION("""COMPUTED_VALUE"""),40036.0)</f>
        <v>40036</v>
      </c>
      <c r="B2965" s="3" t="str">
        <f>IFERROR(__xludf.DUMMYFUNCTION("""COMPUTED_VALUE"""),"100 BARNUM HOUSE RD")</f>
        <v>100 BARNUM HOUSE RD</v>
      </c>
      <c r="C2965" s="3" t="str">
        <f>IFERROR(__xludf.DUMMYFUNCTION("""COMPUTED_VALUE"""),"GRAFTON ")</f>
        <v>GRAFTON </v>
      </c>
      <c r="D2965" s="3" t="str">
        <f>IFERROR(__xludf.DUMMYFUNCTION("""COMPUTED_VALUE"""),"K0K 2G0")</f>
        <v>K0K 2G0</v>
      </c>
      <c r="E2965" s="3" t="str">
        <f>IFERROR(__xludf.DUMMYFUNCTION("""COMPUTED_VALUE"""),"david h ")</f>
        <v>david h </v>
      </c>
      <c r="F2965" s="3"/>
      <c r="G2965" s="3">
        <f>IFERROR(__xludf.DUMMYFUNCTION("""COMPUTED_VALUE"""),9.053493063E9)</f>
        <v>9053493063</v>
      </c>
      <c r="H2965" s="3"/>
    </row>
    <row r="2966">
      <c r="A2966" s="2">
        <f>IFERROR(__xludf.DUMMYFUNCTION("""COMPUTED_VALUE"""),40037.0)</f>
        <v>40037</v>
      </c>
      <c r="B2966" s="3" t="str">
        <f>IFERROR(__xludf.DUMMYFUNCTION("""COMPUTED_VALUE"""),"146 BARNUM HOUSE RD")</f>
        <v>146 BARNUM HOUSE RD</v>
      </c>
      <c r="C2966" s="3" t="str">
        <f>IFERROR(__xludf.DUMMYFUNCTION("""COMPUTED_VALUE"""),"GRAFTON ")</f>
        <v>GRAFTON </v>
      </c>
      <c r="D2966" s="3" t="str">
        <f>IFERROR(__xludf.DUMMYFUNCTION("""COMPUTED_VALUE"""),"K0K 2G0")</f>
        <v>K0K 2G0</v>
      </c>
      <c r="E2966" s="3" t="str">
        <f>IFERROR(__xludf.DUMMYFUNCTION("""COMPUTED_VALUE"""),"diane stinson")</f>
        <v>diane stinson</v>
      </c>
      <c r="F2966" s="3"/>
      <c r="G2966" s="3">
        <f>IFERROR(__xludf.DUMMYFUNCTION("""COMPUTED_VALUE"""),9.053490536E9)</f>
        <v>9053490536</v>
      </c>
      <c r="H2966" s="3"/>
    </row>
    <row r="2967">
      <c r="A2967" s="2">
        <f>IFERROR(__xludf.DUMMYFUNCTION("""COMPUTED_VALUE"""),40038.0)</f>
        <v>40038</v>
      </c>
      <c r="B2967" s="3" t="str">
        <f>IFERROR(__xludf.DUMMYFUNCTION("""COMPUTED_VALUE"""),"161 BARNUM HOUSE RD")</f>
        <v>161 BARNUM HOUSE RD</v>
      </c>
      <c r="C2967" s="3" t="str">
        <f>IFERROR(__xludf.DUMMYFUNCTION("""COMPUTED_VALUE"""),"GRAFTON ")</f>
        <v>GRAFTON </v>
      </c>
      <c r="D2967" s="3" t="str">
        <f>IFERROR(__xludf.DUMMYFUNCTION("""COMPUTED_VALUE"""),"K0K 2G0")</f>
        <v>K0K 2G0</v>
      </c>
      <c r="E2967" s="3" t="str">
        <f>IFERROR(__xludf.DUMMYFUNCTION("""COMPUTED_VALUE"""),"Chris Gabovic")</f>
        <v>Chris Gabovic</v>
      </c>
      <c r="F2967" s="3" t="str">
        <f>IFERROR(__xludf.DUMMYFUNCTION("""COMPUTED_VALUE"""),"cbgabovic@bell.net")</f>
        <v>cbgabovic@bell.net</v>
      </c>
      <c r="G2967" s="3">
        <f>IFERROR(__xludf.DUMMYFUNCTION("""COMPUTED_VALUE"""),9.053493806E9)</f>
        <v>9053493806</v>
      </c>
      <c r="H2967" s="3">
        <f>IFERROR(__xludf.DUMMYFUNCTION("""COMPUTED_VALUE"""),9.053761415E9)</f>
        <v>9053761415</v>
      </c>
    </row>
    <row r="2968">
      <c r="A2968" s="2">
        <f>IFERROR(__xludf.DUMMYFUNCTION("""COMPUTED_VALUE"""),40039.0)</f>
        <v>40039</v>
      </c>
      <c r="B2968" s="3" t="str">
        <f>IFERROR(__xludf.DUMMYFUNCTION("""COMPUTED_VALUE"""),"327 BARNUM HOUSE RD")</f>
        <v>327 BARNUM HOUSE RD</v>
      </c>
      <c r="C2968" s="3" t="str">
        <f>IFERROR(__xludf.DUMMYFUNCTION("""COMPUTED_VALUE"""),"GRAFTON ")</f>
        <v>GRAFTON </v>
      </c>
      <c r="D2968" s="3" t="str">
        <f>IFERROR(__xludf.DUMMYFUNCTION("""COMPUTED_VALUE"""),"K0K 2G0")</f>
        <v>K0K 2G0</v>
      </c>
      <c r="E2968" s="3" t="str">
        <f>IFERROR(__xludf.DUMMYFUNCTION("""COMPUTED_VALUE"""),"alan mcdonald")</f>
        <v>alan mcdonald</v>
      </c>
      <c r="F2968" s="3" t="str">
        <f>IFERROR(__xludf.DUMMYFUNCTION("""COMPUTED_VALUE"""),"amcdona1@hotmail.com")</f>
        <v>amcdona1@hotmail.com</v>
      </c>
      <c r="G2968" s="3">
        <f>IFERROR(__xludf.DUMMYFUNCTION("""COMPUTED_VALUE"""),9.053754924E9)</f>
        <v>9053754924</v>
      </c>
      <c r="H2968" s="3"/>
    </row>
    <row r="2969">
      <c r="A2969" s="2">
        <f>IFERROR(__xludf.DUMMYFUNCTION("""COMPUTED_VALUE"""),40040.0)</f>
        <v>40040</v>
      </c>
      <c r="B2969" s="3" t="str">
        <f>IFERROR(__xludf.DUMMYFUNCTION("""COMPUTED_VALUE"""),"412 BARNUM HOUSE RD")</f>
        <v>412 BARNUM HOUSE RD</v>
      </c>
      <c r="C2969" s="3" t="str">
        <f>IFERROR(__xludf.DUMMYFUNCTION("""COMPUTED_VALUE"""),"GRAFTON ")</f>
        <v>GRAFTON </v>
      </c>
      <c r="D2969" s="3" t="str">
        <f>IFERROR(__xludf.DUMMYFUNCTION("""COMPUTED_VALUE"""),"K0K 2G0")</f>
        <v>K0K 2G0</v>
      </c>
      <c r="E2969" s="3"/>
      <c r="F2969" s="3"/>
      <c r="G2969" s="3"/>
      <c r="H2969" s="3"/>
    </row>
    <row r="2970">
      <c r="A2970" s="2">
        <f>IFERROR(__xludf.DUMMYFUNCTION("""COMPUTED_VALUE"""),40041.0)</f>
        <v>40041</v>
      </c>
      <c r="B2970" s="3" t="str">
        <f>IFERROR(__xludf.DUMMYFUNCTION("""COMPUTED_VALUE"""),"471 BARNUM HOUSE RD")</f>
        <v>471 BARNUM HOUSE RD</v>
      </c>
      <c r="C2970" s="3" t="str">
        <f>IFERROR(__xludf.DUMMYFUNCTION("""COMPUTED_VALUE"""),"GRAFTON ")</f>
        <v>GRAFTON </v>
      </c>
      <c r="D2970" s="3" t="str">
        <f>IFERROR(__xludf.DUMMYFUNCTION("""COMPUTED_VALUE"""),"K0K 2G0")</f>
        <v>K0K 2G0</v>
      </c>
      <c r="E2970" s="3" t="str">
        <f>IFERROR(__xludf.DUMMYFUNCTION("""COMPUTED_VALUE"""),"JACOB BURLAND")</f>
        <v>JACOB BURLAND</v>
      </c>
      <c r="F2970" s="3" t="str">
        <f>IFERROR(__xludf.DUMMYFUNCTION("""COMPUTED_VALUE"""),"jake.burland@gmail.com")</f>
        <v>jake.burland@gmail.com</v>
      </c>
      <c r="G2970" s="3"/>
      <c r="H2970" s="3"/>
    </row>
    <row r="2971">
      <c r="A2971" s="2">
        <f>IFERROR(__xludf.DUMMYFUNCTION("""COMPUTED_VALUE"""),40042.0)</f>
        <v>40042</v>
      </c>
      <c r="B2971" s="3" t="str">
        <f>IFERROR(__xludf.DUMMYFUNCTION("""COMPUTED_VALUE"""),"117 BEAUCHAMP RD")</f>
        <v>117 BEAUCHAMP RD</v>
      </c>
      <c r="C2971" s="3" t="str">
        <f>IFERROR(__xludf.DUMMYFUNCTION("""COMPUTED_VALUE"""),"GRAFTON ")</f>
        <v>GRAFTON </v>
      </c>
      <c r="D2971" s="3" t="str">
        <f>IFERROR(__xludf.DUMMYFUNCTION("""COMPUTED_VALUE"""),"K0K 2G0")</f>
        <v>K0K 2G0</v>
      </c>
      <c r="E2971" s="3" t="str">
        <f>IFERROR(__xludf.DUMMYFUNCTION("""COMPUTED_VALUE"""),"douglas macbain")</f>
        <v>douglas macbain</v>
      </c>
      <c r="F2971" s="3"/>
      <c r="G2971" s="3">
        <f>IFERROR(__xludf.DUMMYFUNCTION("""COMPUTED_VALUE"""),9.052695278E9)</f>
        <v>9052695278</v>
      </c>
      <c r="H2971" s="3"/>
    </row>
    <row r="2972">
      <c r="A2972" s="2">
        <f>IFERROR(__xludf.DUMMYFUNCTION("""COMPUTED_VALUE"""),40043.0)</f>
        <v>40043</v>
      </c>
      <c r="B2972" s="3" t="str">
        <f>IFERROR(__xludf.DUMMYFUNCTION("""COMPUTED_VALUE"""),"137 BEAUCHAMP RD")</f>
        <v>137 BEAUCHAMP RD</v>
      </c>
      <c r="C2972" s="3" t="str">
        <f>IFERROR(__xludf.DUMMYFUNCTION("""COMPUTED_VALUE"""),"GRAFTON ")</f>
        <v>GRAFTON </v>
      </c>
      <c r="D2972" s="3" t="str">
        <f>IFERROR(__xludf.DUMMYFUNCTION("""COMPUTED_VALUE"""),"K0K 2G0")</f>
        <v>K0K 2G0</v>
      </c>
      <c r="E2972" s="3" t="str">
        <f>IFERROR(__xludf.DUMMYFUNCTION("""COMPUTED_VALUE"""),"paula vincent ")</f>
        <v>paula vincent </v>
      </c>
      <c r="F2972" s="3" t="str">
        <f>IFERROR(__xludf.DUMMYFUNCTION("""COMPUTED_VALUE"""),"pvincent.37@hotmail.co.uk")</f>
        <v>pvincent.37@hotmail.co.uk</v>
      </c>
      <c r="G2972" s="3">
        <f>IFERROR(__xludf.DUMMYFUNCTION("""COMPUTED_VALUE"""),2.898090187E9)</f>
        <v>2898090187</v>
      </c>
      <c r="H2972" s="3"/>
    </row>
    <row r="2973">
      <c r="A2973" s="2">
        <f>IFERROR(__xludf.DUMMYFUNCTION("""COMPUTED_VALUE"""),40044.0)</f>
        <v>40044</v>
      </c>
      <c r="B2973" s="3" t="str">
        <f>IFERROR(__xludf.DUMMYFUNCTION("""COMPUTED_VALUE"""),"172 BEAUCHAMP RD")</f>
        <v>172 BEAUCHAMP RD</v>
      </c>
      <c r="C2973" s="3" t="str">
        <f>IFERROR(__xludf.DUMMYFUNCTION("""COMPUTED_VALUE"""),"GRAFTON ")</f>
        <v>GRAFTON </v>
      </c>
      <c r="D2973" s="3" t="str">
        <f>IFERROR(__xludf.DUMMYFUNCTION("""COMPUTED_VALUE"""),"K0K 2G0")</f>
        <v>K0K 2G0</v>
      </c>
      <c r="E2973" s="3" t="str">
        <f>IFERROR(__xludf.DUMMYFUNCTION("""COMPUTED_VALUE"""),"steve may ")</f>
        <v>steve may </v>
      </c>
      <c r="F2973" s="3" t="str">
        <f>IFERROR(__xludf.DUMMYFUNCTION("""COMPUTED_VALUE"""),"stevedmay@gmail.com")</f>
        <v>stevedmay@gmail.com</v>
      </c>
      <c r="G2973" s="3">
        <f>IFERROR(__xludf.DUMMYFUNCTION("""COMPUTED_VALUE"""),9.05349275E9)</f>
        <v>9053492750</v>
      </c>
      <c r="H2973" s="3"/>
    </row>
    <row r="2974">
      <c r="A2974" s="2">
        <f>IFERROR(__xludf.DUMMYFUNCTION("""COMPUTED_VALUE"""),40045.0)</f>
        <v>40045</v>
      </c>
      <c r="B2974" s="3" t="str">
        <f>IFERROR(__xludf.DUMMYFUNCTION("""COMPUTED_VALUE"""),"185 BEAUCHAMP RD")</f>
        <v>185 BEAUCHAMP RD</v>
      </c>
      <c r="C2974" s="3" t="str">
        <f>IFERROR(__xludf.DUMMYFUNCTION("""COMPUTED_VALUE"""),"GRAFTON ")</f>
        <v>GRAFTON </v>
      </c>
      <c r="D2974" s="3" t="str">
        <f>IFERROR(__xludf.DUMMYFUNCTION("""COMPUTED_VALUE"""),"K0K 2G0")</f>
        <v>K0K 2G0</v>
      </c>
      <c r="E2974" s="3" t="str">
        <f>IFERROR(__xludf.DUMMYFUNCTION("""COMPUTED_VALUE"""),"JUDY RAHME")</f>
        <v>JUDY RAHME</v>
      </c>
      <c r="F2974" s="3" t="str">
        <f>IFERROR(__xludf.DUMMYFUNCTION("""COMPUTED_VALUE"""),"judyrahme2@gmail.com")</f>
        <v>judyrahme2@gmail.com</v>
      </c>
      <c r="G2974" s="3"/>
      <c r="H2974" s="3"/>
    </row>
    <row r="2975">
      <c r="A2975" s="2">
        <f>IFERROR(__xludf.DUMMYFUNCTION("""COMPUTED_VALUE"""),40046.0)</f>
        <v>40046</v>
      </c>
      <c r="B2975" s="3" t="str">
        <f>IFERROR(__xludf.DUMMYFUNCTION("""COMPUTED_VALUE"""),"199 BEAUCHAMP RD")</f>
        <v>199 BEAUCHAMP RD</v>
      </c>
      <c r="C2975" s="3" t="str">
        <f>IFERROR(__xludf.DUMMYFUNCTION("""COMPUTED_VALUE"""),"GRAFTON ")</f>
        <v>GRAFTON </v>
      </c>
      <c r="D2975" s="3" t="str">
        <f>IFERROR(__xludf.DUMMYFUNCTION("""COMPUTED_VALUE"""),"K0K 2G0")</f>
        <v>K0K 2G0</v>
      </c>
      <c r="E2975" s="3" t="str">
        <f>IFERROR(__xludf.DUMMYFUNCTION("""COMPUTED_VALUE"""),"LISA WELLMAN")</f>
        <v>LISA WELLMAN</v>
      </c>
      <c r="F2975" s="3" t="str">
        <f>IFERROR(__xludf.DUMMYFUNCTION("""COMPUTED_VALUE"""),"wellmanlnd@gmail.com")</f>
        <v>wellmanlnd@gmail.com</v>
      </c>
      <c r="G2975" s="3"/>
      <c r="H2975" s="3"/>
    </row>
    <row r="2976">
      <c r="A2976" s="2">
        <f>IFERROR(__xludf.DUMMYFUNCTION("""COMPUTED_VALUE"""),40047.0)</f>
        <v>40047</v>
      </c>
      <c r="B2976" s="3" t="str">
        <f>IFERROR(__xludf.DUMMYFUNCTION("""COMPUTED_VALUE"""),"113 BENLOCK RD")</f>
        <v>113 BENLOCK RD</v>
      </c>
      <c r="C2976" s="3" t="str">
        <f>IFERROR(__xludf.DUMMYFUNCTION("""COMPUTED_VALUE"""),"GRAFTON ")</f>
        <v>GRAFTON </v>
      </c>
      <c r="D2976" s="3" t="str">
        <f>IFERROR(__xludf.DUMMYFUNCTION("""COMPUTED_VALUE"""),"K0K 2G0")</f>
        <v>K0K 2G0</v>
      </c>
      <c r="E2976" s="3" t="str">
        <f>IFERROR(__xludf.DUMMYFUNCTION("""COMPUTED_VALUE"""),"karli pace")</f>
        <v>karli pace</v>
      </c>
      <c r="F2976" s="3" t="str">
        <f>IFERROR(__xludf.DUMMYFUNCTION("""COMPUTED_VALUE"""),"kpac66@hotmail.com")</f>
        <v>kpac66@hotmail.com</v>
      </c>
      <c r="G2976" s="3">
        <f>IFERROR(__xludf.DUMMYFUNCTION("""COMPUTED_VALUE"""),9.053961641E9)</f>
        <v>9053961641</v>
      </c>
      <c r="H2976" s="3"/>
    </row>
    <row r="2977">
      <c r="A2977" s="2">
        <f>IFERROR(__xludf.DUMMYFUNCTION("""COMPUTED_VALUE"""),40048.0)</f>
        <v>40048</v>
      </c>
      <c r="B2977" s="3" t="str">
        <f>IFERROR(__xludf.DUMMYFUNCTION("""COMPUTED_VALUE"""),"122 BENLOCK RD")</f>
        <v>122 BENLOCK RD</v>
      </c>
      <c r="C2977" s="3" t="str">
        <f>IFERROR(__xludf.DUMMYFUNCTION("""COMPUTED_VALUE"""),"GRAFTON ")</f>
        <v>GRAFTON </v>
      </c>
      <c r="D2977" s="3" t="str">
        <f>IFERROR(__xludf.DUMMYFUNCTION("""COMPUTED_VALUE"""),"K0K 2G0")</f>
        <v>K0K 2G0</v>
      </c>
      <c r="E2977" s="3"/>
      <c r="F2977" s="3"/>
      <c r="G2977" s="3"/>
      <c r="H2977" s="3"/>
    </row>
    <row r="2978">
      <c r="A2978" s="2">
        <f>IFERROR(__xludf.DUMMYFUNCTION("""COMPUTED_VALUE"""),40049.0)</f>
        <v>40049</v>
      </c>
      <c r="B2978" s="3" t="str">
        <f>IFERROR(__xludf.DUMMYFUNCTION("""COMPUTED_VALUE"""),"154 BENLOCK RD")</f>
        <v>154 BENLOCK RD</v>
      </c>
      <c r="C2978" s="3" t="str">
        <f>IFERROR(__xludf.DUMMYFUNCTION("""COMPUTED_VALUE"""),"GRAFTON ")</f>
        <v>GRAFTON </v>
      </c>
      <c r="D2978" s="3" t="str">
        <f>IFERROR(__xludf.DUMMYFUNCTION("""COMPUTED_VALUE"""),"K0K 2G0")</f>
        <v>K0K 2G0</v>
      </c>
      <c r="E2978" s="3" t="str">
        <f>IFERROR(__xludf.DUMMYFUNCTION("""COMPUTED_VALUE"""),"luanne pierre ")</f>
        <v>luanne pierre </v>
      </c>
      <c r="F2978" s="3"/>
      <c r="G2978" s="3">
        <f>IFERROR(__xludf.DUMMYFUNCTION("""COMPUTED_VALUE"""),9.053492953E9)</f>
        <v>9053492953</v>
      </c>
      <c r="H2978" s="3"/>
    </row>
    <row r="2979">
      <c r="A2979" s="2">
        <f>IFERROR(__xludf.DUMMYFUNCTION("""COMPUTED_VALUE"""),40050.0)</f>
        <v>40050</v>
      </c>
      <c r="B2979" s="3" t="str">
        <f>IFERROR(__xludf.DUMMYFUNCTION("""COMPUTED_VALUE"""),"165 BENLOCK RD")</f>
        <v>165 BENLOCK RD</v>
      </c>
      <c r="C2979" s="3" t="str">
        <f>IFERROR(__xludf.DUMMYFUNCTION("""COMPUTED_VALUE"""),"GRAFTON ")</f>
        <v>GRAFTON </v>
      </c>
      <c r="D2979" s="3" t="str">
        <f>IFERROR(__xludf.DUMMYFUNCTION("""COMPUTED_VALUE"""),"K0K 2G0")</f>
        <v>K0K 2G0</v>
      </c>
      <c r="E2979" s="3" t="str">
        <f>IFERROR(__xludf.DUMMYFUNCTION("""COMPUTED_VALUE"""),"JENNIFER FRASER")</f>
        <v>JENNIFER FRASER</v>
      </c>
      <c r="F2979" s="3" t="str">
        <f>IFERROR(__xludf.DUMMYFUNCTION("""COMPUTED_VALUE"""),"jendunlop@hotmail.com")</f>
        <v>jendunlop@hotmail.com</v>
      </c>
      <c r="G2979" s="3"/>
      <c r="H2979" s="3"/>
    </row>
    <row r="2980">
      <c r="A2980" s="2">
        <f>IFERROR(__xludf.DUMMYFUNCTION("""COMPUTED_VALUE"""),40051.0)</f>
        <v>40051</v>
      </c>
      <c r="B2980" s="3" t="str">
        <f>IFERROR(__xludf.DUMMYFUNCTION("""COMPUTED_VALUE"""),"169 BENLOCK RD")</f>
        <v>169 BENLOCK RD</v>
      </c>
      <c r="C2980" s="3" t="str">
        <f>IFERROR(__xludf.DUMMYFUNCTION("""COMPUTED_VALUE"""),"GRAFTON ")</f>
        <v>GRAFTON </v>
      </c>
      <c r="D2980" s="3" t="str">
        <f>IFERROR(__xludf.DUMMYFUNCTION("""COMPUTED_VALUE"""),"K0K 2G0")</f>
        <v>K0K 2G0</v>
      </c>
      <c r="E2980" s="3" t="str">
        <f>IFERROR(__xludf.DUMMYFUNCTION("""COMPUTED_VALUE"""),"carmelo amenta ")</f>
        <v>carmelo amenta </v>
      </c>
      <c r="F2980" s="3"/>
      <c r="G2980" s="3">
        <f>IFERROR(__xludf.DUMMYFUNCTION("""COMPUTED_VALUE"""),9.05269527E9)</f>
        <v>9052695270</v>
      </c>
      <c r="H2980" s="3"/>
    </row>
    <row r="2981">
      <c r="A2981" s="2">
        <f>IFERROR(__xludf.DUMMYFUNCTION("""COMPUTED_VALUE"""),40052.0)</f>
        <v>40052</v>
      </c>
      <c r="B2981" s="3" t="str">
        <f>IFERROR(__xludf.DUMMYFUNCTION("""COMPUTED_VALUE"""),"253 BENLOCK RD")</f>
        <v>253 BENLOCK RD</v>
      </c>
      <c r="C2981" s="3" t="str">
        <f>IFERROR(__xludf.DUMMYFUNCTION("""COMPUTED_VALUE"""),"GRAFTON ")</f>
        <v>GRAFTON </v>
      </c>
      <c r="D2981" s="3" t="str">
        <f>IFERROR(__xludf.DUMMYFUNCTION("""COMPUTED_VALUE"""),"K0K 2G0")</f>
        <v>K0K 2G0</v>
      </c>
      <c r="E2981" s="3"/>
      <c r="F2981" s="3"/>
      <c r="G2981" s="3"/>
      <c r="H2981" s="3"/>
    </row>
    <row r="2982">
      <c r="A2982" s="2">
        <f>IFERROR(__xludf.DUMMYFUNCTION("""COMPUTED_VALUE"""),40053.0)</f>
        <v>40053</v>
      </c>
      <c r="B2982" s="3" t="str">
        <f>IFERROR(__xludf.DUMMYFUNCTION("""COMPUTED_VALUE"""),"254 BENLOCK RD")</f>
        <v>254 BENLOCK RD</v>
      </c>
      <c r="C2982" s="3" t="str">
        <f>IFERROR(__xludf.DUMMYFUNCTION("""COMPUTED_VALUE"""),"GRAFTON ")</f>
        <v>GRAFTON </v>
      </c>
      <c r="D2982" s="3" t="str">
        <f>IFERROR(__xludf.DUMMYFUNCTION("""COMPUTED_VALUE"""),"K0K 2G0")</f>
        <v>K0K 2G0</v>
      </c>
      <c r="E2982" s="3" t="str">
        <f>IFERROR(__xludf.DUMMYFUNCTION("""COMPUTED_VALUE"""),"david swerdfeger")</f>
        <v>david swerdfeger</v>
      </c>
      <c r="F2982" s="3" t="str">
        <f>IFERROR(__xludf.DUMMYFUNCTION("""COMPUTED_VALUE"""),"dswerd@bell.net")</f>
        <v>dswerd@bell.net</v>
      </c>
      <c r="G2982" s="3">
        <f>IFERROR(__xludf.DUMMYFUNCTION("""COMPUTED_VALUE"""),9.053764544E9)</f>
        <v>9053764544</v>
      </c>
      <c r="H2982" s="3"/>
    </row>
    <row r="2983">
      <c r="A2983" s="2">
        <f>IFERROR(__xludf.DUMMYFUNCTION("""COMPUTED_VALUE"""),40054.0)</f>
        <v>40054</v>
      </c>
      <c r="B2983" s="3" t="str">
        <f>IFERROR(__xludf.DUMMYFUNCTION("""COMPUTED_VALUE"""),"293 BENLOCK RD")</f>
        <v>293 BENLOCK RD</v>
      </c>
      <c r="C2983" s="3" t="str">
        <f>IFERROR(__xludf.DUMMYFUNCTION("""COMPUTED_VALUE"""),"GRAFTON ")</f>
        <v>GRAFTON </v>
      </c>
      <c r="D2983" s="3" t="str">
        <f>IFERROR(__xludf.DUMMYFUNCTION("""COMPUTED_VALUE"""),"K0K 2G0")</f>
        <v>K0K 2G0</v>
      </c>
      <c r="E2983" s="3" t="str">
        <f>IFERROR(__xludf.DUMMYFUNCTION("""COMPUTED_VALUE"""),"SHAWN ARTHUR")</f>
        <v>SHAWN ARTHUR</v>
      </c>
      <c r="F2983" s="3" t="str">
        <f>IFERROR(__xludf.DUMMYFUNCTION("""COMPUTED_VALUE"""),"shawn.m.arthur@gmail.com")</f>
        <v>shawn.m.arthur@gmail.com</v>
      </c>
      <c r="G2983" s="3"/>
      <c r="H2983" s="3"/>
    </row>
    <row r="2984">
      <c r="A2984" s="2">
        <f>IFERROR(__xludf.DUMMYFUNCTION("""COMPUTED_VALUE"""),40055.0)</f>
        <v>40055</v>
      </c>
      <c r="B2984" s="3" t="str">
        <f>IFERROR(__xludf.DUMMYFUNCTION("""COMPUTED_VALUE"""),"301 BENLOCK RD")</f>
        <v>301 BENLOCK RD</v>
      </c>
      <c r="C2984" s="3" t="str">
        <f>IFERROR(__xludf.DUMMYFUNCTION("""COMPUTED_VALUE"""),"GRAFTON ")</f>
        <v>GRAFTON </v>
      </c>
      <c r="D2984" s="3" t="str">
        <f>IFERROR(__xludf.DUMMYFUNCTION("""COMPUTED_VALUE"""),"K0K 2G0")</f>
        <v>K0K 2G0</v>
      </c>
      <c r="E2984" s="3" t="str">
        <f>IFERROR(__xludf.DUMMYFUNCTION("""COMPUTED_VALUE"""),"Lorne + Louise Aronson")</f>
        <v>Lorne + Louise Aronson</v>
      </c>
      <c r="F2984" s="3" t="str">
        <f>IFERROR(__xludf.DUMMYFUNCTION("""COMPUTED_VALUE"""),"lorne13000@yahoo.com")</f>
        <v>lorne13000@yahoo.com</v>
      </c>
      <c r="G2984" s="3"/>
      <c r="H2984" s="3"/>
    </row>
    <row r="2985">
      <c r="A2985" s="2">
        <f>IFERROR(__xludf.DUMMYFUNCTION("""COMPUTED_VALUE"""),40056.0)</f>
        <v>40056</v>
      </c>
      <c r="B2985" s="3" t="str">
        <f>IFERROR(__xludf.DUMMYFUNCTION("""COMPUTED_VALUE"""),"314 BENLOCK RD")</f>
        <v>314 BENLOCK RD</v>
      </c>
      <c r="C2985" s="3" t="str">
        <f>IFERROR(__xludf.DUMMYFUNCTION("""COMPUTED_VALUE"""),"GRAFTON ")</f>
        <v>GRAFTON </v>
      </c>
      <c r="D2985" s="3" t="str">
        <f>IFERROR(__xludf.DUMMYFUNCTION("""COMPUTED_VALUE"""),"K0K 2G0")</f>
        <v>K0K 2G0</v>
      </c>
      <c r="E2985" s="3" t="str">
        <f>IFERROR(__xludf.DUMMYFUNCTION("""COMPUTED_VALUE"""),"Edward CASTEELS")</f>
        <v>Edward CASTEELS</v>
      </c>
      <c r="F2985" s="3" t="str">
        <f>IFERROR(__xludf.DUMMYFUNCTION("""COMPUTED_VALUE"""),"ed@eaea.ca")</f>
        <v>ed@eaea.ca</v>
      </c>
      <c r="G2985" s="3"/>
      <c r="H2985" s="3"/>
    </row>
    <row r="2986">
      <c r="A2986" s="2">
        <f>IFERROR(__xludf.DUMMYFUNCTION("""COMPUTED_VALUE"""),40057.0)</f>
        <v>40057</v>
      </c>
      <c r="B2986" s="3" t="str">
        <f>IFERROR(__xludf.DUMMYFUNCTION("""COMPUTED_VALUE"""),"332 BENLOCK RD")</f>
        <v>332 BENLOCK RD</v>
      </c>
      <c r="C2986" s="3" t="str">
        <f>IFERROR(__xludf.DUMMYFUNCTION("""COMPUTED_VALUE"""),"GRAFTON ")</f>
        <v>GRAFTON </v>
      </c>
      <c r="D2986" s="3" t="str">
        <f>IFERROR(__xludf.DUMMYFUNCTION("""COMPUTED_VALUE"""),"K0K 2G0")</f>
        <v>K0K 2G0</v>
      </c>
      <c r="E2986" s="3" t="str">
        <f>IFERROR(__xludf.DUMMYFUNCTION("""COMPUTED_VALUE"""),"klaas heykoop")</f>
        <v>klaas heykoop</v>
      </c>
      <c r="F2986" s="3" t="str">
        <f>IFERROR(__xludf.DUMMYFUNCTION("""COMPUTED_VALUE"""),"klaasheykoop@gmail.com")</f>
        <v>klaasheykoop@gmail.com</v>
      </c>
      <c r="G2986" s="3">
        <f>IFERROR(__xludf.DUMMYFUNCTION("""COMPUTED_VALUE"""),9.053493361E9)</f>
        <v>9053493361</v>
      </c>
      <c r="H2986" s="3"/>
    </row>
    <row r="2987">
      <c r="A2987" s="2">
        <f>IFERROR(__xludf.DUMMYFUNCTION("""COMPUTED_VALUE"""),40058.0)</f>
        <v>40058</v>
      </c>
      <c r="B2987" s="3" t="str">
        <f>IFERROR(__xludf.DUMMYFUNCTION("""COMPUTED_VALUE"""),"345 BENLOCK RD")</f>
        <v>345 BENLOCK RD</v>
      </c>
      <c r="C2987" s="3" t="str">
        <f>IFERROR(__xludf.DUMMYFUNCTION("""COMPUTED_VALUE"""),"GRAFTON ")</f>
        <v>GRAFTON </v>
      </c>
      <c r="D2987" s="3" t="str">
        <f>IFERROR(__xludf.DUMMYFUNCTION("""COMPUTED_VALUE"""),"K0K 2G0")</f>
        <v>K0K 2G0</v>
      </c>
      <c r="E2987" s="3" t="str">
        <f>IFERROR(__xludf.DUMMYFUNCTION("""COMPUTED_VALUE"""),"leslie vogt")</f>
        <v>leslie vogt</v>
      </c>
      <c r="F2987" s="3" t="str">
        <f>IFERROR(__xludf.DUMMYFUNCTION("""COMPUTED_VALUE"""),"lesvogt@gmail.com")</f>
        <v>lesvogt@gmail.com</v>
      </c>
      <c r="G2987" s="3">
        <f>IFERROR(__xludf.DUMMYFUNCTION("""COMPUTED_VALUE"""),4.168999718E9)</f>
        <v>4168999718</v>
      </c>
      <c r="H2987" s="3"/>
    </row>
    <row r="2988">
      <c r="A2988" s="2">
        <f>IFERROR(__xludf.DUMMYFUNCTION("""COMPUTED_VALUE"""),40059.0)</f>
        <v>40059</v>
      </c>
      <c r="B2988" s="3" t="str">
        <f>IFERROR(__xludf.DUMMYFUNCTION("""COMPUTED_VALUE"""),"351 BENLOCK RD")</f>
        <v>351 BENLOCK RD</v>
      </c>
      <c r="C2988" s="3" t="str">
        <f>IFERROR(__xludf.DUMMYFUNCTION("""COMPUTED_VALUE"""),"GRAFTON ")</f>
        <v>GRAFTON </v>
      </c>
      <c r="D2988" s="3" t="str">
        <f>IFERROR(__xludf.DUMMYFUNCTION("""COMPUTED_VALUE"""),"K0K 2G0")</f>
        <v>K0K 2G0</v>
      </c>
      <c r="E2988" s="3" t="str">
        <f>IFERROR(__xludf.DUMMYFUNCTION("""COMPUTED_VALUE"""),"edward casteels")</f>
        <v>edward casteels</v>
      </c>
      <c r="F2988" s="3" t="str">
        <f>IFERROR(__xludf.DUMMYFUNCTION("""COMPUTED_VALUE"""),"ed@eagle.ca")</f>
        <v>ed@eagle.ca</v>
      </c>
      <c r="G2988" s="3">
        <f>IFERROR(__xludf.DUMMYFUNCTION("""COMPUTED_VALUE"""),9.053492387E9)</f>
        <v>9053492387</v>
      </c>
      <c r="H2988" s="3">
        <f>IFERROR(__xludf.DUMMYFUNCTION("""COMPUTED_VALUE"""),9.053493368E9)</f>
        <v>9053493368</v>
      </c>
    </row>
    <row r="2989">
      <c r="A2989" s="2">
        <f>IFERROR(__xludf.DUMMYFUNCTION("""COMPUTED_VALUE"""),40060.0)</f>
        <v>40060</v>
      </c>
      <c r="B2989" s="3" t="str">
        <f>IFERROR(__xludf.DUMMYFUNCTION("""COMPUTED_VALUE"""),"359 BENLOCK RD")</f>
        <v>359 BENLOCK RD</v>
      </c>
      <c r="C2989" s="3" t="str">
        <f>IFERROR(__xludf.DUMMYFUNCTION("""COMPUTED_VALUE"""),"GRAFTON ")</f>
        <v>GRAFTON </v>
      </c>
      <c r="D2989" s="3" t="str">
        <f>IFERROR(__xludf.DUMMYFUNCTION("""COMPUTED_VALUE"""),"K0K 2G0")</f>
        <v>K0K 2G0</v>
      </c>
      <c r="E2989" s="3"/>
      <c r="F2989" s="3"/>
      <c r="G2989" s="3"/>
      <c r="H2989" s="3"/>
    </row>
    <row r="2990">
      <c r="A2990" s="2">
        <f>IFERROR(__xludf.DUMMYFUNCTION("""COMPUTED_VALUE"""),40061.0)</f>
        <v>40061</v>
      </c>
      <c r="B2990" s="3" t="str">
        <f>IFERROR(__xludf.DUMMYFUNCTION("""COMPUTED_VALUE"""),"369 BENLOCK RD")</f>
        <v>369 BENLOCK RD</v>
      </c>
      <c r="C2990" s="3" t="str">
        <f>IFERROR(__xludf.DUMMYFUNCTION("""COMPUTED_VALUE"""),"GRAFTON ")</f>
        <v>GRAFTON </v>
      </c>
      <c r="D2990" s="3" t="str">
        <f>IFERROR(__xludf.DUMMYFUNCTION("""COMPUTED_VALUE"""),"K0K 2G0")</f>
        <v>K0K 2G0</v>
      </c>
      <c r="E2990" s="3" t="str">
        <f>IFERROR(__xludf.DUMMYFUNCTION("""COMPUTED_VALUE"""),"jane sawyer ")</f>
        <v>jane sawyer </v>
      </c>
      <c r="F2990" s="3" t="str">
        <f>IFERROR(__xludf.DUMMYFUNCTION("""COMPUTED_VALUE"""),"sheltervalleypark@gmaill.com")</f>
        <v>sheltervalleypark@gmaill.com</v>
      </c>
      <c r="G2990" s="3">
        <f>IFERROR(__xludf.DUMMYFUNCTION("""COMPUTED_VALUE"""),2.898290717E9)</f>
        <v>2898290717</v>
      </c>
      <c r="H2990" s="3"/>
    </row>
    <row r="2991">
      <c r="A2991" s="2">
        <f>IFERROR(__xludf.DUMMYFUNCTION("""COMPUTED_VALUE"""),40062.0)</f>
        <v>40062</v>
      </c>
      <c r="B2991" s="3" t="str">
        <f>IFERROR(__xludf.DUMMYFUNCTION("""COMPUTED_VALUE"""),"115 BLACK WALNUT TRAIL")</f>
        <v>115 BLACK WALNUT TRAIL</v>
      </c>
      <c r="C2991" s="3" t="str">
        <f>IFERROR(__xludf.DUMMYFUNCTION("""COMPUTED_VALUE"""),"GRAFTON ")</f>
        <v>GRAFTON </v>
      </c>
      <c r="D2991" s="3" t="str">
        <f>IFERROR(__xludf.DUMMYFUNCTION("""COMPUTED_VALUE"""),"K0K 2G0")</f>
        <v>K0K 2G0</v>
      </c>
      <c r="E2991" s="3" t="str">
        <f>IFERROR(__xludf.DUMMYFUNCTION("""COMPUTED_VALUE"""),"June Schwantz")</f>
        <v>June Schwantz</v>
      </c>
      <c r="F2991" s="3" t="str">
        <f>IFERROR(__xludf.DUMMYFUNCTION("""COMPUTED_VALUE"""),"jlschwantz@yahoo.ca")</f>
        <v>jlschwantz@yahoo.ca</v>
      </c>
      <c r="G2991" s="3">
        <f>IFERROR(__xludf.DUMMYFUNCTION("""COMPUTED_VALUE"""),9.052699207E9)</f>
        <v>9052699207</v>
      </c>
      <c r="H2991" s="3">
        <f>IFERROR(__xludf.DUMMYFUNCTION("""COMPUTED_VALUE"""),9.05269503E9)</f>
        <v>9052695030</v>
      </c>
    </row>
    <row r="2992">
      <c r="A2992" s="2">
        <f>IFERROR(__xludf.DUMMYFUNCTION("""COMPUTED_VALUE"""),40063.0)</f>
        <v>40063</v>
      </c>
      <c r="B2992" s="3" t="str">
        <f>IFERROR(__xludf.DUMMYFUNCTION("""COMPUTED_VALUE"""),"117 BLACK WALNUT TRAIL")</f>
        <v>117 BLACK WALNUT TRAIL</v>
      </c>
      <c r="C2992" s="3" t="str">
        <f>IFERROR(__xludf.DUMMYFUNCTION("""COMPUTED_VALUE"""),"GRAFTON ")</f>
        <v>GRAFTON </v>
      </c>
      <c r="D2992" s="3" t="str">
        <f>IFERROR(__xludf.DUMMYFUNCTION("""COMPUTED_VALUE"""),"K0K 2G0")</f>
        <v>K0K 2G0</v>
      </c>
      <c r="E2992" s="3" t="str">
        <f>IFERROR(__xludf.DUMMYFUNCTION("""COMPUTED_VALUE"""),"Linda McCracken")</f>
        <v>Linda McCracken</v>
      </c>
      <c r="F2992" s="3" t="str">
        <f>IFERROR(__xludf.DUMMYFUNCTION("""COMPUTED_VALUE"""),"mccrackenl672@gmail.com")</f>
        <v>mccrackenl672@gmail.com</v>
      </c>
      <c r="G2992" s="3">
        <f>IFERROR(__xludf.DUMMYFUNCTION("""COMPUTED_VALUE"""),9.05349237E9)</f>
        <v>9053492370</v>
      </c>
      <c r="H2992" s="3"/>
    </row>
    <row r="2993">
      <c r="A2993" s="2">
        <f>IFERROR(__xludf.DUMMYFUNCTION("""COMPUTED_VALUE"""),40065.0)</f>
        <v>40065</v>
      </c>
      <c r="B2993" s="3" t="str">
        <f>IFERROR(__xludf.DUMMYFUNCTION("""COMPUTED_VALUE"""),"139 BOWMAN CRT N")</f>
        <v>139 BOWMAN CRT N</v>
      </c>
      <c r="C2993" s="3" t="str">
        <f>IFERROR(__xludf.DUMMYFUNCTION("""COMPUTED_VALUE"""),"GRAFTON ")</f>
        <v>GRAFTON </v>
      </c>
      <c r="D2993" s="3" t="str">
        <f>IFERROR(__xludf.DUMMYFUNCTION("""COMPUTED_VALUE"""),"K0K 2G0")</f>
        <v>K0K 2G0</v>
      </c>
      <c r="E2993" s="3" t="str">
        <f>IFERROR(__xludf.DUMMYFUNCTION("""COMPUTED_VALUE"""),"Sharon Anderson")</f>
        <v>Sharon Anderson</v>
      </c>
      <c r="F2993" s="3" t="str">
        <f>IFERROR(__xludf.DUMMYFUNCTION("""COMPUTED_VALUE"""),"sharon.anderson@bell.net")</f>
        <v>sharon.anderson@bell.net</v>
      </c>
      <c r="G2993" s="3">
        <f>IFERROR(__xludf.DUMMYFUNCTION("""COMPUTED_VALUE"""),9.05396231E9)</f>
        <v>9053962310</v>
      </c>
      <c r="H2993" s="3"/>
    </row>
    <row r="2994">
      <c r="A2994" s="2">
        <f>IFERROR(__xludf.DUMMYFUNCTION("""COMPUTED_VALUE"""),40066.0)</f>
        <v>40066</v>
      </c>
      <c r="B2994" s="3" t="str">
        <f>IFERROR(__xludf.DUMMYFUNCTION("""COMPUTED_VALUE"""),"140 BOWMAN CRT N")</f>
        <v>140 BOWMAN CRT N</v>
      </c>
      <c r="C2994" s="3" t="str">
        <f>IFERROR(__xludf.DUMMYFUNCTION("""COMPUTED_VALUE"""),"GRAFTON ")</f>
        <v>GRAFTON </v>
      </c>
      <c r="D2994" s="3" t="str">
        <f>IFERROR(__xludf.DUMMYFUNCTION("""COMPUTED_VALUE"""),"K0K 2G0")</f>
        <v>K0K 2G0</v>
      </c>
      <c r="E2994" s="3" t="str">
        <f>IFERROR(__xludf.DUMMYFUNCTION("""COMPUTED_VALUE"""),"NORBERT PAZDZIOR")</f>
        <v>NORBERT PAZDZIOR</v>
      </c>
      <c r="F2994" s="3" t="str">
        <f>IFERROR(__xludf.DUMMYFUNCTION("""COMPUTED_VALUE"""),"norbert@norbital.com")</f>
        <v>norbert@norbital.com</v>
      </c>
      <c r="G2994" s="3"/>
      <c r="H2994" s="3"/>
    </row>
    <row r="2995">
      <c r="A2995" s="2">
        <f>IFERROR(__xludf.DUMMYFUNCTION("""COMPUTED_VALUE"""),40067.0)</f>
        <v>40067</v>
      </c>
      <c r="B2995" s="3" t="str">
        <f>IFERROR(__xludf.DUMMYFUNCTION("""COMPUTED_VALUE"""),"145 BOWMAN CRT N")</f>
        <v>145 BOWMAN CRT N</v>
      </c>
      <c r="C2995" s="3" t="str">
        <f>IFERROR(__xludf.DUMMYFUNCTION("""COMPUTED_VALUE"""),"GRAFTON ")</f>
        <v>GRAFTON </v>
      </c>
      <c r="D2995" s="3" t="str">
        <f>IFERROR(__xludf.DUMMYFUNCTION("""COMPUTED_VALUE"""),"K0K 2G0")</f>
        <v>K0K 2G0</v>
      </c>
      <c r="E2995" s="3"/>
      <c r="F2995" s="3"/>
      <c r="G2995" s="3"/>
      <c r="H2995" s="3"/>
    </row>
    <row r="2996">
      <c r="A2996" s="2">
        <f>IFERROR(__xludf.DUMMYFUNCTION("""COMPUTED_VALUE"""),40068.0)</f>
        <v>40068</v>
      </c>
      <c r="B2996" s="3" t="str">
        <f>IFERROR(__xludf.DUMMYFUNCTION("""COMPUTED_VALUE"""),"146 BOWMAN CRT N")</f>
        <v>146 BOWMAN CRT N</v>
      </c>
      <c r="C2996" s="3" t="str">
        <f>IFERROR(__xludf.DUMMYFUNCTION("""COMPUTED_VALUE"""),"GRAFTON ")</f>
        <v>GRAFTON </v>
      </c>
      <c r="D2996" s="3" t="str">
        <f>IFERROR(__xludf.DUMMYFUNCTION("""COMPUTED_VALUE"""),"K0K 2G0")</f>
        <v>K0K 2G0</v>
      </c>
      <c r="E2996" s="3"/>
      <c r="F2996" s="3"/>
      <c r="G2996" s="3"/>
      <c r="H2996" s="3"/>
    </row>
    <row r="2997">
      <c r="A2997" s="2">
        <f>IFERROR(__xludf.DUMMYFUNCTION("""COMPUTED_VALUE"""),40069.0)</f>
        <v>40069</v>
      </c>
      <c r="B2997" s="3" t="str">
        <f>IFERROR(__xludf.DUMMYFUNCTION("""COMPUTED_VALUE"""),"149 BOWMAN CRT N")</f>
        <v>149 BOWMAN CRT N</v>
      </c>
      <c r="C2997" s="3" t="str">
        <f>IFERROR(__xludf.DUMMYFUNCTION("""COMPUTED_VALUE"""),"GRAFTON ")</f>
        <v>GRAFTON </v>
      </c>
      <c r="D2997" s="3" t="str">
        <f>IFERROR(__xludf.DUMMYFUNCTION("""COMPUTED_VALUE"""),"K0K 2G0")</f>
        <v>K0K 2G0</v>
      </c>
      <c r="E2997" s="3"/>
      <c r="F2997" s="3"/>
      <c r="G2997" s="3"/>
      <c r="H2997" s="3"/>
    </row>
    <row r="2998">
      <c r="A2998" s="2">
        <f>IFERROR(__xludf.DUMMYFUNCTION("""COMPUTED_VALUE"""),40070.0)</f>
        <v>40070</v>
      </c>
      <c r="B2998" s="3" t="str">
        <f>IFERROR(__xludf.DUMMYFUNCTION("""COMPUTED_VALUE"""),"100 BOWMAN CRT S")</f>
        <v>100 BOWMAN CRT S</v>
      </c>
      <c r="C2998" s="3" t="str">
        <f>IFERROR(__xludf.DUMMYFUNCTION("""COMPUTED_VALUE"""),"GRAFTON ")</f>
        <v>GRAFTON </v>
      </c>
      <c r="D2998" s="3" t="str">
        <f>IFERROR(__xludf.DUMMYFUNCTION("""COMPUTED_VALUE"""),"K0K 2G0")</f>
        <v>K0K 2G0</v>
      </c>
      <c r="E2998" s="3" t="str">
        <f>IFERROR(__xludf.DUMMYFUNCTION("""COMPUTED_VALUE"""),"Linda S Currie")</f>
        <v>Linda S Currie</v>
      </c>
      <c r="F2998" s="3" t="str">
        <f>IFERROR(__xludf.DUMMYFUNCTION("""COMPUTED_VALUE"""),"lindacurr@gmail.com")</f>
        <v>lindacurr@gmail.com</v>
      </c>
      <c r="G2998" s="3">
        <f>IFERROR(__xludf.DUMMYFUNCTION("""COMPUTED_VALUE"""),9.053758202E9)</f>
        <v>9053758202</v>
      </c>
      <c r="H2998" s="3">
        <f>IFERROR(__xludf.DUMMYFUNCTION("""COMPUTED_VALUE"""),9.053755878E9)</f>
        <v>9053755878</v>
      </c>
    </row>
    <row r="2999">
      <c r="A2999" s="2">
        <f>IFERROR(__xludf.DUMMYFUNCTION("""COMPUTED_VALUE"""),40071.0)</f>
        <v>40071</v>
      </c>
      <c r="B2999" s="3" t="str">
        <f>IFERROR(__xludf.DUMMYFUNCTION("""COMPUTED_VALUE"""),"101 BOWMAN CRT S")</f>
        <v>101 BOWMAN CRT S</v>
      </c>
      <c r="C2999" s="3" t="str">
        <f>IFERROR(__xludf.DUMMYFUNCTION("""COMPUTED_VALUE"""),"GRAFTON ")</f>
        <v>GRAFTON </v>
      </c>
      <c r="D2999" s="3" t="str">
        <f>IFERROR(__xludf.DUMMYFUNCTION("""COMPUTED_VALUE"""),"K0K 2G0")</f>
        <v>K0K 2G0</v>
      </c>
      <c r="E2999" s="3" t="str">
        <f>IFERROR(__xludf.DUMMYFUNCTION("""COMPUTED_VALUE"""),"MARTIN DE GRAAUW")</f>
        <v>MARTIN DE GRAAUW</v>
      </c>
      <c r="F2999" s="3" t="str">
        <f>IFERROR(__xludf.DUMMYFUNCTION("""COMPUTED_VALUE"""),"martindegraauw@gmail.com")</f>
        <v>martindegraauw@gmail.com</v>
      </c>
      <c r="G2999" s="3"/>
      <c r="H2999" s="3"/>
    </row>
    <row r="3000">
      <c r="A3000" s="2">
        <f>IFERROR(__xludf.DUMMYFUNCTION("""COMPUTED_VALUE"""),40072.0)</f>
        <v>40072</v>
      </c>
      <c r="B3000" s="3" t="str">
        <f>IFERROR(__xludf.DUMMYFUNCTION("""COMPUTED_VALUE"""),"104 BOWMAN CRT S")</f>
        <v>104 BOWMAN CRT S</v>
      </c>
      <c r="C3000" s="3" t="str">
        <f>IFERROR(__xludf.DUMMYFUNCTION("""COMPUTED_VALUE"""),"GRAFTON ")</f>
        <v>GRAFTON </v>
      </c>
      <c r="D3000" s="3" t="str">
        <f>IFERROR(__xludf.DUMMYFUNCTION("""COMPUTED_VALUE"""),"K0K 2G0")</f>
        <v>K0K 2G0</v>
      </c>
      <c r="E3000" s="3"/>
      <c r="F3000" s="3"/>
      <c r="G3000" s="3"/>
      <c r="H3000" s="3"/>
    </row>
    <row r="3001">
      <c r="A3001" s="2">
        <f>IFERROR(__xludf.DUMMYFUNCTION("""COMPUTED_VALUE"""),40073.0)</f>
        <v>40073</v>
      </c>
      <c r="B3001" s="3" t="str">
        <f>IFERROR(__xludf.DUMMYFUNCTION("""COMPUTED_VALUE"""),"108 BOWMAN CRT S")</f>
        <v>108 BOWMAN CRT S</v>
      </c>
      <c r="C3001" s="3" t="str">
        <f>IFERROR(__xludf.DUMMYFUNCTION("""COMPUTED_VALUE"""),"GRAFTON ")</f>
        <v>GRAFTON </v>
      </c>
      <c r="D3001" s="3" t="str">
        <f>IFERROR(__xludf.DUMMYFUNCTION("""COMPUTED_VALUE"""),"K0K 2G0")</f>
        <v>K0K 2G0</v>
      </c>
      <c r="E3001" s="3" t="str">
        <f>IFERROR(__xludf.DUMMYFUNCTION("""COMPUTED_VALUE"""),"John GELOSO")</f>
        <v>John GELOSO</v>
      </c>
      <c r="F3001" s="3" t="str">
        <f>IFERROR(__xludf.DUMMYFUNCTION("""COMPUTED_VALUE"""),"jgeloso34@gmail.com")</f>
        <v>jgeloso34@gmail.com</v>
      </c>
      <c r="G3001" s="3"/>
      <c r="H3001" s="3"/>
    </row>
    <row r="3002">
      <c r="A3002" s="2">
        <f>IFERROR(__xludf.DUMMYFUNCTION("""COMPUTED_VALUE"""),40074.0)</f>
        <v>40074</v>
      </c>
      <c r="B3002" s="3" t="str">
        <f>IFERROR(__xludf.DUMMYFUNCTION("""COMPUTED_VALUE"""),"109 BOWMAN CRT S")</f>
        <v>109 BOWMAN CRT S</v>
      </c>
      <c r="C3002" s="3" t="str">
        <f>IFERROR(__xludf.DUMMYFUNCTION("""COMPUTED_VALUE"""),"GRAFTON ")</f>
        <v>GRAFTON </v>
      </c>
      <c r="D3002" s="3" t="str">
        <f>IFERROR(__xludf.DUMMYFUNCTION("""COMPUTED_VALUE"""),"K0K 2G0")</f>
        <v>K0K 2G0</v>
      </c>
      <c r="E3002" s="3" t="str">
        <f>IFERROR(__xludf.DUMMYFUNCTION("""COMPUTED_VALUE"""),"Michael Currie")</f>
        <v>Michael Currie</v>
      </c>
      <c r="F3002" s="3" t="str">
        <f>IFERROR(__xludf.DUMMYFUNCTION("""COMPUTED_VALUE"""),"mike.currie2@gmail.com")</f>
        <v>mike.currie2@gmail.com</v>
      </c>
      <c r="G3002" s="3">
        <f>IFERROR(__xludf.DUMMYFUNCTION("""COMPUTED_VALUE"""),9.053755878E9)</f>
        <v>9053755878</v>
      </c>
      <c r="H3002" s="3">
        <f>IFERROR(__xludf.DUMMYFUNCTION("""COMPUTED_VALUE"""),9.053758202E9)</f>
        <v>9053758202</v>
      </c>
    </row>
    <row r="3003">
      <c r="A3003" s="2">
        <f>IFERROR(__xludf.DUMMYFUNCTION("""COMPUTED_VALUE"""),40075.0)</f>
        <v>40075</v>
      </c>
      <c r="B3003" s="3" t="str">
        <f>IFERROR(__xludf.DUMMYFUNCTION("""COMPUTED_VALUE"""),"116 BOWMAN CRT S")</f>
        <v>116 BOWMAN CRT S</v>
      </c>
      <c r="C3003" s="3" t="str">
        <f>IFERROR(__xludf.DUMMYFUNCTION("""COMPUTED_VALUE"""),"GRAFTON ")</f>
        <v>GRAFTON </v>
      </c>
      <c r="D3003" s="3" t="str">
        <f>IFERROR(__xludf.DUMMYFUNCTION("""COMPUTED_VALUE"""),"K0K 2G0")</f>
        <v>K0K 2G0</v>
      </c>
      <c r="E3003" s="3"/>
      <c r="F3003" s="3"/>
      <c r="G3003" s="3"/>
      <c r="H3003" s="3"/>
    </row>
    <row r="3004">
      <c r="A3004" s="2">
        <f>IFERROR(__xludf.DUMMYFUNCTION("""COMPUTED_VALUE"""),40076.0)</f>
        <v>40076</v>
      </c>
      <c r="B3004" s="3" t="str">
        <f>IFERROR(__xludf.DUMMYFUNCTION("""COMPUTED_VALUE"""),"117 BOWMAN CRT S")</f>
        <v>117 BOWMAN CRT S</v>
      </c>
      <c r="C3004" s="3" t="str">
        <f>IFERROR(__xludf.DUMMYFUNCTION("""COMPUTED_VALUE"""),"GRAFTON ")</f>
        <v>GRAFTON </v>
      </c>
      <c r="D3004" s="3" t="str">
        <f>IFERROR(__xludf.DUMMYFUNCTION("""COMPUTED_VALUE"""),"K0K 2G0")</f>
        <v>K0K 2G0</v>
      </c>
      <c r="E3004" s="3" t="str">
        <f>IFERROR(__xludf.DUMMYFUNCTION("""COMPUTED_VALUE"""),"Susan Inglis")</f>
        <v>Susan Inglis</v>
      </c>
      <c r="F3004" s="3" t="str">
        <f>IFERROR(__xludf.DUMMYFUNCTION("""COMPUTED_VALUE"""),"singlis70@gmail.com")</f>
        <v>singlis70@gmail.com</v>
      </c>
      <c r="G3004" s="3">
        <f>IFERROR(__xludf.DUMMYFUNCTION("""COMPUTED_VALUE"""),9.053739309E9)</f>
        <v>9053739309</v>
      </c>
      <c r="H3004" s="3"/>
    </row>
    <row r="3005">
      <c r="A3005" s="2">
        <f>IFERROR(__xludf.DUMMYFUNCTION("""COMPUTED_VALUE"""),40077.0)</f>
        <v>40077</v>
      </c>
      <c r="B3005" s="3" t="str">
        <f>IFERROR(__xludf.DUMMYFUNCTION("""COMPUTED_VALUE"""),"126 BOWMAN CRT S")</f>
        <v>126 BOWMAN CRT S</v>
      </c>
      <c r="C3005" s="3" t="str">
        <f>IFERROR(__xludf.DUMMYFUNCTION("""COMPUTED_VALUE"""),"GRAFTON ")</f>
        <v>GRAFTON </v>
      </c>
      <c r="D3005" s="3" t="str">
        <f>IFERROR(__xludf.DUMMYFUNCTION("""COMPUTED_VALUE"""),"K0K 2G0")</f>
        <v>K0K 2G0</v>
      </c>
      <c r="E3005" s="3"/>
      <c r="F3005" s="3"/>
      <c r="G3005" s="3"/>
      <c r="H3005" s="3"/>
    </row>
    <row r="3006">
      <c r="A3006" s="2">
        <f>IFERROR(__xludf.DUMMYFUNCTION("""COMPUTED_VALUE"""),40078.0)</f>
        <v>40078</v>
      </c>
      <c r="B3006" s="3" t="str">
        <f>IFERROR(__xludf.DUMMYFUNCTION("""COMPUTED_VALUE"""),"127 BOWMAN CRT S")</f>
        <v>127 BOWMAN CRT S</v>
      </c>
      <c r="C3006" s="3" t="str">
        <f>IFERROR(__xludf.DUMMYFUNCTION("""COMPUTED_VALUE"""),"GRAFTON ")</f>
        <v>GRAFTON </v>
      </c>
      <c r="D3006" s="3" t="str">
        <f>IFERROR(__xludf.DUMMYFUNCTION("""COMPUTED_VALUE"""),"K0K 2G0")</f>
        <v>K0K 2G0</v>
      </c>
      <c r="E3006" s="3"/>
      <c r="F3006" s="3"/>
      <c r="G3006" s="3"/>
      <c r="H3006" s="3"/>
    </row>
    <row r="3007">
      <c r="A3007" s="2">
        <f>IFERROR(__xludf.DUMMYFUNCTION("""COMPUTED_VALUE"""),40599.0)</f>
        <v>40599</v>
      </c>
      <c r="B3007" s="3"/>
      <c r="C3007" s="3" t="str">
        <f>IFERROR(__xludf.DUMMYFUNCTION("""COMPUTED_VALUE"""),"GRAFTON")</f>
        <v>GRAFTON</v>
      </c>
      <c r="D3007" s="3" t="str">
        <f>IFERROR(__xludf.DUMMYFUNCTION("""COMPUTED_VALUE"""),"KOK 2G0")</f>
        <v>KOK 2G0</v>
      </c>
      <c r="E3007" s="3"/>
      <c r="F3007" s="3"/>
      <c r="G3007" s="3"/>
      <c r="H3007" s="3"/>
    </row>
    <row r="3008">
      <c r="A3008" s="2">
        <f>IFERROR(__xludf.DUMMYFUNCTION("""COMPUTED_VALUE"""),40600.0)</f>
        <v>40600</v>
      </c>
      <c r="B3008" s="3"/>
      <c r="C3008" s="3" t="str">
        <f>IFERROR(__xludf.DUMMYFUNCTION("""COMPUTED_VALUE"""),"GRAFTON")</f>
        <v>GRAFTON</v>
      </c>
      <c r="D3008" s="3" t="str">
        <f>IFERROR(__xludf.DUMMYFUNCTION("""COMPUTED_VALUE"""),"KOK 2G0")</f>
        <v>KOK 2G0</v>
      </c>
      <c r="E3008" s="3"/>
      <c r="F3008" s="3"/>
      <c r="G3008" s="3"/>
      <c r="H3008" s="3"/>
    </row>
    <row r="3009">
      <c r="A3009" s="2">
        <f>IFERROR(__xludf.DUMMYFUNCTION("""COMPUTED_VALUE"""),40601.0)</f>
        <v>40601</v>
      </c>
      <c r="B3009" s="3"/>
      <c r="C3009" s="3" t="str">
        <f>IFERROR(__xludf.DUMMYFUNCTION("""COMPUTED_VALUE"""),"GRAFTON")</f>
        <v>GRAFTON</v>
      </c>
      <c r="D3009" s="3" t="str">
        <f>IFERROR(__xludf.DUMMYFUNCTION("""COMPUTED_VALUE"""),"KOK 2G0")</f>
        <v>KOK 2G0</v>
      </c>
      <c r="E3009" s="3"/>
      <c r="F3009" s="3"/>
      <c r="G3009" s="3"/>
      <c r="H3009" s="3"/>
    </row>
    <row r="3010">
      <c r="A3010" s="2">
        <f>IFERROR(__xludf.DUMMYFUNCTION("""COMPUTED_VALUE"""),40602.0)</f>
        <v>40602</v>
      </c>
      <c r="B3010" s="3"/>
      <c r="C3010" s="3" t="str">
        <f>IFERROR(__xludf.DUMMYFUNCTION("""COMPUTED_VALUE"""),"GRAFTON")</f>
        <v>GRAFTON</v>
      </c>
      <c r="D3010" s="3" t="str">
        <f>IFERROR(__xludf.DUMMYFUNCTION("""COMPUTED_VALUE"""),"KOK 2G0")</f>
        <v>KOK 2G0</v>
      </c>
      <c r="E3010" s="3"/>
      <c r="F3010" s="3"/>
      <c r="G3010" s="3"/>
      <c r="H3010" s="3"/>
    </row>
    <row r="3011">
      <c r="A3011" s="2">
        <f>IFERROR(__xludf.DUMMYFUNCTION("""COMPUTED_VALUE"""),40603.0)</f>
        <v>40603</v>
      </c>
      <c r="B3011" s="3"/>
      <c r="C3011" s="3" t="str">
        <f>IFERROR(__xludf.DUMMYFUNCTION("""COMPUTED_VALUE"""),"GRAFTON")</f>
        <v>GRAFTON</v>
      </c>
      <c r="D3011" s="3" t="str">
        <f>IFERROR(__xludf.DUMMYFUNCTION("""COMPUTED_VALUE"""),"KOK 2G0")</f>
        <v>KOK 2G0</v>
      </c>
      <c r="E3011" s="3"/>
      <c r="F3011" s="3"/>
      <c r="G3011" s="3"/>
      <c r="H3011" s="3"/>
    </row>
    <row r="3012">
      <c r="A3012" s="2">
        <f>IFERROR(__xludf.DUMMYFUNCTION("""COMPUTED_VALUE"""),40604.0)</f>
        <v>40604</v>
      </c>
      <c r="B3012" s="3"/>
      <c r="C3012" s="3" t="str">
        <f>IFERROR(__xludf.DUMMYFUNCTION("""COMPUTED_VALUE"""),"GRAFTON")</f>
        <v>GRAFTON</v>
      </c>
      <c r="D3012" s="3" t="str">
        <f>IFERROR(__xludf.DUMMYFUNCTION("""COMPUTED_VALUE"""),"KOK 2G0")</f>
        <v>KOK 2G0</v>
      </c>
      <c r="E3012" s="3"/>
      <c r="F3012" s="3"/>
      <c r="G3012" s="3"/>
      <c r="H3012" s="3"/>
    </row>
    <row r="3013">
      <c r="A3013" s="2">
        <f>IFERROR(__xludf.DUMMYFUNCTION("""COMPUTED_VALUE"""),40605.0)</f>
        <v>40605</v>
      </c>
      <c r="B3013" s="3"/>
      <c r="C3013" s="3" t="str">
        <f>IFERROR(__xludf.DUMMYFUNCTION("""COMPUTED_VALUE"""),"GRAFTON")</f>
        <v>GRAFTON</v>
      </c>
      <c r="D3013" s="3" t="str">
        <f>IFERROR(__xludf.DUMMYFUNCTION("""COMPUTED_VALUE"""),"KOK 2G0")</f>
        <v>KOK 2G0</v>
      </c>
      <c r="E3013" s="3"/>
      <c r="F3013" s="3"/>
      <c r="G3013" s="3"/>
      <c r="H3013" s="3"/>
    </row>
    <row r="3014">
      <c r="A3014" s="2">
        <f>IFERROR(__xludf.DUMMYFUNCTION("""COMPUTED_VALUE"""),40606.0)</f>
        <v>40606</v>
      </c>
      <c r="B3014" s="3"/>
      <c r="C3014" s="3" t="str">
        <f>IFERROR(__xludf.DUMMYFUNCTION("""COMPUTED_VALUE"""),"GRAFTON")</f>
        <v>GRAFTON</v>
      </c>
      <c r="D3014" s="3" t="str">
        <f>IFERROR(__xludf.DUMMYFUNCTION("""COMPUTED_VALUE"""),"KOK 2G0")</f>
        <v>KOK 2G0</v>
      </c>
      <c r="E3014" s="3"/>
      <c r="F3014" s="3"/>
      <c r="G3014" s="3"/>
      <c r="H3014" s="3"/>
    </row>
    <row r="3015">
      <c r="A3015" s="2">
        <f>IFERROR(__xludf.DUMMYFUNCTION("""COMPUTED_VALUE"""),40607.0)</f>
        <v>40607</v>
      </c>
      <c r="B3015" s="3"/>
      <c r="C3015" s="3" t="str">
        <f>IFERROR(__xludf.DUMMYFUNCTION("""COMPUTED_VALUE"""),"GRAFTON")</f>
        <v>GRAFTON</v>
      </c>
      <c r="D3015" s="3" t="str">
        <f>IFERROR(__xludf.DUMMYFUNCTION("""COMPUTED_VALUE"""),"KOK 2G0")</f>
        <v>KOK 2G0</v>
      </c>
      <c r="E3015" s="3"/>
      <c r="F3015" s="3"/>
      <c r="G3015" s="3"/>
      <c r="H3015" s="3"/>
    </row>
    <row r="3016">
      <c r="A3016" s="2">
        <f>IFERROR(__xludf.DUMMYFUNCTION("""COMPUTED_VALUE"""),40608.0)</f>
        <v>40608</v>
      </c>
      <c r="B3016" s="3"/>
      <c r="C3016" s="3" t="str">
        <f>IFERROR(__xludf.DUMMYFUNCTION("""COMPUTED_VALUE"""),"GRAFTON")</f>
        <v>GRAFTON</v>
      </c>
      <c r="D3016" s="3" t="str">
        <f>IFERROR(__xludf.DUMMYFUNCTION("""COMPUTED_VALUE"""),"KOK 2G0")</f>
        <v>KOK 2G0</v>
      </c>
      <c r="E3016" s="3"/>
      <c r="F3016" s="3"/>
      <c r="G3016" s="3"/>
      <c r="H3016" s="3"/>
    </row>
    <row r="3017">
      <c r="A3017" s="2">
        <f>IFERROR(__xludf.DUMMYFUNCTION("""COMPUTED_VALUE"""),40609.0)</f>
        <v>40609</v>
      </c>
      <c r="B3017" s="3"/>
      <c r="C3017" s="3" t="str">
        <f>IFERROR(__xludf.DUMMYFUNCTION("""COMPUTED_VALUE"""),"GRAFTON")</f>
        <v>GRAFTON</v>
      </c>
      <c r="D3017" s="3" t="str">
        <f>IFERROR(__xludf.DUMMYFUNCTION("""COMPUTED_VALUE"""),"KOK 2G0")</f>
        <v>KOK 2G0</v>
      </c>
      <c r="E3017" s="3"/>
      <c r="F3017" s="3"/>
      <c r="G3017" s="3"/>
      <c r="H3017" s="3"/>
    </row>
    <row r="3018">
      <c r="A3018" s="2">
        <f>IFERROR(__xludf.DUMMYFUNCTION("""COMPUTED_VALUE"""),40610.0)</f>
        <v>40610</v>
      </c>
      <c r="B3018" s="3"/>
      <c r="C3018" s="3" t="str">
        <f>IFERROR(__xludf.DUMMYFUNCTION("""COMPUTED_VALUE"""),"GRAFTON")</f>
        <v>GRAFTON</v>
      </c>
      <c r="D3018" s="3" t="str">
        <f>IFERROR(__xludf.DUMMYFUNCTION("""COMPUTED_VALUE"""),"KOK 2G0")</f>
        <v>KOK 2G0</v>
      </c>
      <c r="E3018" s="3"/>
      <c r="F3018" s="3"/>
      <c r="G3018" s="3"/>
      <c r="H3018" s="3"/>
    </row>
    <row r="3019">
      <c r="A3019" s="2">
        <f>IFERROR(__xludf.DUMMYFUNCTION("""COMPUTED_VALUE"""),40611.0)</f>
        <v>40611</v>
      </c>
      <c r="B3019" s="3"/>
      <c r="C3019" s="3" t="str">
        <f>IFERROR(__xludf.DUMMYFUNCTION("""COMPUTED_VALUE"""),"GRAFTON")</f>
        <v>GRAFTON</v>
      </c>
      <c r="D3019" s="3" t="str">
        <f>IFERROR(__xludf.DUMMYFUNCTION("""COMPUTED_VALUE"""),"KOK 2G0")</f>
        <v>KOK 2G0</v>
      </c>
      <c r="E3019" s="3"/>
      <c r="F3019" s="3"/>
      <c r="G3019" s="3"/>
      <c r="H3019" s="3"/>
    </row>
    <row r="3020">
      <c r="A3020" s="2">
        <f>IFERROR(__xludf.DUMMYFUNCTION("""COMPUTED_VALUE"""),40612.0)</f>
        <v>40612</v>
      </c>
      <c r="B3020" s="3"/>
      <c r="C3020" s="3" t="str">
        <f>IFERROR(__xludf.DUMMYFUNCTION("""COMPUTED_VALUE"""),"GRAFTON")</f>
        <v>GRAFTON</v>
      </c>
      <c r="D3020" s="3" t="str">
        <f>IFERROR(__xludf.DUMMYFUNCTION("""COMPUTED_VALUE"""),"KOK 2G0")</f>
        <v>KOK 2G0</v>
      </c>
      <c r="E3020" s="3"/>
      <c r="F3020" s="3"/>
      <c r="G3020" s="3"/>
      <c r="H3020" s="3"/>
    </row>
    <row r="3021">
      <c r="A3021" s="2">
        <f>IFERROR(__xludf.DUMMYFUNCTION("""COMPUTED_VALUE"""),40613.0)</f>
        <v>40613</v>
      </c>
      <c r="B3021" s="3"/>
      <c r="C3021" s="3"/>
      <c r="D3021" s="3"/>
      <c r="E3021" s="3"/>
      <c r="F3021" s="3"/>
      <c r="G3021" s="3"/>
      <c r="H3021" s="3"/>
    </row>
    <row r="3022">
      <c r="A3022" s="2">
        <f>IFERROR(__xludf.DUMMYFUNCTION("""COMPUTED_VALUE"""),40614.0)</f>
        <v>40614</v>
      </c>
      <c r="B3022" s="3"/>
      <c r="C3022" s="3"/>
      <c r="D3022" s="3"/>
      <c r="E3022" s="3"/>
      <c r="F3022" s="3"/>
      <c r="G3022" s="3"/>
      <c r="H3022" s="3"/>
    </row>
    <row r="3023">
      <c r="A3023" s="2">
        <f>IFERROR(__xludf.DUMMYFUNCTION("""COMPUTED_VALUE"""),40615.0)</f>
        <v>40615</v>
      </c>
      <c r="B3023" s="3"/>
      <c r="C3023" s="3"/>
      <c r="D3023" s="3"/>
      <c r="E3023" s="3"/>
      <c r="F3023" s="3"/>
      <c r="G3023" s="3"/>
      <c r="H3023" s="3"/>
    </row>
    <row r="3024">
      <c r="A3024" s="2">
        <f>IFERROR(__xludf.DUMMYFUNCTION("""COMPUTED_VALUE"""),40616.0)</f>
        <v>40616</v>
      </c>
      <c r="B3024" s="3"/>
      <c r="C3024" s="3"/>
      <c r="D3024" s="3"/>
      <c r="E3024" s="3"/>
      <c r="F3024" s="3"/>
      <c r="G3024" s="3"/>
      <c r="H3024" s="3"/>
    </row>
    <row r="3025">
      <c r="A3025" s="2">
        <f>IFERROR(__xludf.DUMMYFUNCTION("""COMPUTED_VALUE"""),40617.0)</f>
        <v>40617</v>
      </c>
      <c r="B3025" s="3"/>
      <c r="C3025" s="3"/>
      <c r="D3025" s="3"/>
      <c r="E3025" s="3" t="str">
        <f>IFERROR(__xludf.DUMMYFUNCTION("""COMPUTED_VALUE"""),"sharon button")</f>
        <v>sharon button</v>
      </c>
      <c r="F3025" s="3" t="str">
        <f>IFERROR(__xludf.DUMMYFUNCTION("""COMPUTED_VALUE"""),"shrn.button@gmail.com")</f>
        <v>shrn.button@gmail.com</v>
      </c>
      <c r="G3025" s="3">
        <f>IFERROR(__xludf.DUMMYFUNCTION("""COMPUTED_VALUE"""),9.05926591E9)</f>
        <v>9059265910</v>
      </c>
      <c r="H3025" s="3">
        <f>IFERROR(__xludf.DUMMYFUNCTION("""COMPUTED_VALUE"""),9.05926556E9)</f>
        <v>9059265560</v>
      </c>
    </row>
    <row r="3026">
      <c r="A3026" s="2">
        <f>IFERROR(__xludf.DUMMYFUNCTION("""COMPUTED_VALUE"""),40618.0)</f>
        <v>40618</v>
      </c>
      <c r="B3026" s="3"/>
      <c r="C3026" s="3"/>
      <c r="D3026" s="3"/>
      <c r="E3026" s="3"/>
      <c r="F3026" s="3"/>
      <c r="G3026" s="3"/>
      <c r="H3026" s="3"/>
    </row>
    <row r="3027">
      <c r="A3027" s="2">
        <f>IFERROR(__xludf.DUMMYFUNCTION("""COMPUTED_VALUE"""),41295.0)</f>
        <v>41295</v>
      </c>
      <c r="B3027" s="3"/>
      <c r="C3027" s="3"/>
      <c r="D3027" s="3"/>
      <c r="E3027" s="3"/>
      <c r="F3027" s="3"/>
      <c r="G3027" s="3"/>
      <c r="H3027" s="3"/>
    </row>
    <row r="3028">
      <c r="A3028" s="2">
        <f>IFERROR(__xludf.DUMMYFUNCTION("""COMPUTED_VALUE"""),40619.0)</f>
        <v>40619</v>
      </c>
      <c r="B3028" s="3"/>
      <c r="C3028" s="3"/>
      <c r="D3028" s="3"/>
      <c r="E3028" s="3" t="str">
        <f>IFERROR(__xludf.DUMMYFUNCTION("""COMPUTED_VALUE"""),"patrick king ")</f>
        <v>patrick king </v>
      </c>
      <c r="F3028" s="3" t="str">
        <f>IFERROR(__xludf.DUMMYFUNCTION("""COMPUTED_VALUE"""),"kingpatrick@gmail.com")</f>
        <v>kingpatrick@gmail.com</v>
      </c>
      <c r="G3028" s="3">
        <f>IFERROR(__xludf.DUMMYFUNCTION("""COMPUTED_VALUE"""),4.169975076E9)</f>
        <v>4169975076</v>
      </c>
      <c r="H3028" s="3"/>
    </row>
    <row r="3029">
      <c r="A3029" s="2">
        <f>IFERROR(__xludf.DUMMYFUNCTION("""COMPUTED_VALUE"""),41296.0)</f>
        <v>41296</v>
      </c>
      <c r="B3029" s="3"/>
      <c r="C3029" s="3"/>
      <c r="D3029" s="3"/>
      <c r="E3029" s="3"/>
      <c r="F3029" s="3"/>
      <c r="G3029" s="3"/>
      <c r="H3029" s="3"/>
    </row>
    <row r="3030">
      <c r="A3030" s="2">
        <f>IFERROR(__xludf.DUMMYFUNCTION("""COMPUTED_VALUE"""),40620.0)</f>
        <v>40620</v>
      </c>
      <c r="B3030" s="3"/>
      <c r="C3030" s="3"/>
      <c r="D3030" s="3"/>
      <c r="E3030" s="3"/>
      <c r="F3030" s="3"/>
      <c r="G3030" s="3"/>
      <c r="H3030" s="3"/>
    </row>
    <row r="3031">
      <c r="A3031" s="2">
        <f>IFERROR(__xludf.DUMMYFUNCTION("""COMPUTED_VALUE"""),40621.0)</f>
        <v>40621</v>
      </c>
      <c r="B3031" s="3"/>
      <c r="C3031" s="3"/>
      <c r="D3031" s="3"/>
      <c r="E3031" s="3"/>
      <c r="F3031" s="3"/>
      <c r="G3031" s="3"/>
      <c r="H3031" s="3"/>
    </row>
    <row r="3032">
      <c r="A3032" s="2">
        <f>IFERROR(__xludf.DUMMYFUNCTION("""COMPUTED_VALUE"""),40622.0)</f>
        <v>40622</v>
      </c>
      <c r="B3032" s="3"/>
      <c r="C3032" s="3"/>
      <c r="D3032" s="3"/>
      <c r="E3032" s="3"/>
      <c r="F3032" s="3"/>
      <c r="G3032" s="3"/>
      <c r="H3032" s="3"/>
    </row>
    <row r="3033">
      <c r="A3033" s="2">
        <f>IFERROR(__xludf.DUMMYFUNCTION("""COMPUTED_VALUE"""),40623.0)</f>
        <v>40623</v>
      </c>
      <c r="B3033" s="3"/>
      <c r="C3033" s="3"/>
      <c r="D3033" s="3"/>
      <c r="E3033" s="3"/>
      <c r="F3033" s="3"/>
      <c r="G3033" s="3"/>
      <c r="H3033" s="3"/>
    </row>
    <row r="3034">
      <c r="A3034" s="2">
        <f>IFERROR(__xludf.DUMMYFUNCTION("""COMPUTED_VALUE"""),40624.0)</f>
        <v>40624</v>
      </c>
      <c r="B3034" s="3"/>
      <c r="C3034" s="3"/>
      <c r="D3034" s="3"/>
      <c r="E3034" s="3"/>
      <c r="F3034" s="3"/>
      <c r="G3034" s="3"/>
      <c r="H3034" s="3"/>
    </row>
    <row r="3035">
      <c r="A3035" s="2">
        <f>IFERROR(__xludf.DUMMYFUNCTION("""COMPUTED_VALUE"""),40625.0)</f>
        <v>40625</v>
      </c>
      <c r="B3035" s="3"/>
      <c r="C3035" s="3"/>
      <c r="D3035" s="3"/>
      <c r="E3035" s="3"/>
      <c r="F3035" s="3"/>
      <c r="G3035" s="3"/>
      <c r="H3035" s="3"/>
    </row>
    <row r="3036">
      <c r="A3036" s="2">
        <f>IFERROR(__xludf.DUMMYFUNCTION("""COMPUTED_VALUE"""),40626.0)</f>
        <v>40626</v>
      </c>
      <c r="B3036" s="3"/>
      <c r="C3036" s="3"/>
      <c r="D3036" s="3"/>
      <c r="E3036" s="3"/>
      <c r="F3036" s="3"/>
      <c r="G3036" s="3"/>
      <c r="H3036" s="3"/>
    </row>
    <row r="3037">
      <c r="A3037" s="2">
        <f>IFERROR(__xludf.DUMMYFUNCTION("""COMPUTED_VALUE"""),40627.0)</f>
        <v>40627</v>
      </c>
      <c r="B3037" s="3"/>
      <c r="C3037" s="3"/>
      <c r="D3037" s="3"/>
      <c r="E3037" s="3"/>
      <c r="F3037" s="3"/>
      <c r="G3037" s="3"/>
      <c r="H3037" s="3"/>
    </row>
    <row r="3038">
      <c r="A3038" s="2">
        <f>IFERROR(__xludf.DUMMYFUNCTION("""COMPUTED_VALUE"""),40099.0)</f>
        <v>40099</v>
      </c>
      <c r="B3038" s="3"/>
      <c r="C3038" s="3" t="str">
        <f>IFERROR(__xludf.DUMMYFUNCTION("""COMPUTED_VALUE"""),"GRAFTON ")</f>
        <v>GRAFTON </v>
      </c>
      <c r="D3038" s="3" t="str">
        <f>IFERROR(__xludf.DUMMYFUNCTION("""COMPUTED_VALUE"""),"K0K 2G0")</f>
        <v>K0K 2G0</v>
      </c>
      <c r="E3038" s="3"/>
      <c r="F3038" s="3"/>
      <c r="G3038" s="3"/>
      <c r="H3038" s="3"/>
    </row>
    <row r="3039">
      <c r="A3039" s="2">
        <f>IFERROR(__xludf.DUMMYFUNCTION("""COMPUTED_VALUE"""),40100.0)</f>
        <v>40100</v>
      </c>
      <c r="B3039" s="3"/>
      <c r="C3039" s="3" t="str">
        <f>IFERROR(__xludf.DUMMYFUNCTION("""COMPUTED_VALUE"""),"GRAFTON ")</f>
        <v>GRAFTON </v>
      </c>
      <c r="D3039" s="3" t="str">
        <f>IFERROR(__xludf.DUMMYFUNCTION("""COMPUTED_VALUE"""),"K0K 2G0")</f>
        <v>K0K 2G0</v>
      </c>
      <c r="E3039" s="3" t="str">
        <f>IFERROR(__xludf.DUMMYFUNCTION("""COMPUTED_VALUE"""),"liam cragg")</f>
        <v>liam cragg</v>
      </c>
      <c r="F3039" s="3" t="str">
        <f>IFERROR(__xludf.DUMMYFUNCTION("""COMPUTED_VALUE"""),"liamcragg@sympatico.ca")</f>
        <v>liamcragg@sympatico.ca</v>
      </c>
      <c r="G3039" s="3">
        <f>IFERROR(__xludf.DUMMYFUNCTION("""COMPUTED_VALUE"""),9.053492106E9)</f>
        <v>9053492106</v>
      </c>
      <c r="H3039" s="3">
        <f>IFERROR(__xludf.DUMMYFUNCTION("""COMPUTED_VALUE"""),9.053963769E9)</f>
        <v>9053963769</v>
      </c>
    </row>
    <row r="3040">
      <c r="A3040" s="2">
        <f>IFERROR(__xludf.DUMMYFUNCTION("""COMPUTED_VALUE"""),40101.0)</f>
        <v>40101</v>
      </c>
      <c r="B3040" s="3"/>
      <c r="C3040" s="3" t="str">
        <f>IFERROR(__xludf.DUMMYFUNCTION("""COMPUTED_VALUE"""),"GRAFTON ")</f>
        <v>GRAFTON </v>
      </c>
      <c r="D3040" s="3" t="str">
        <f>IFERROR(__xludf.DUMMYFUNCTION("""COMPUTED_VALUE"""),"K0K 2G0")</f>
        <v>K0K 2G0</v>
      </c>
      <c r="E3040" s="3"/>
      <c r="F3040" s="3"/>
      <c r="G3040" s="3"/>
      <c r="H3040" s="3"/>
    </row>
    <row r="3041">
      <c r="A3041" s="2">
        <f>IFERROR(__xludf.DUMMYFUNCTION("""COMPUTED_VALUE"""),40102.0)</f>
        <v>40102</v>
      </c>
      <c r="B3041" s="3"/>
      <c r="C3041" s="3" t="str">
        <f>IFERROR(__xludf.DUMMYFUNCTION("""COMPUTED_VALUE"""),"GRAFTON ")</f>
        <v>GRAFTON </v>
      </c>
      <c r="D3041" s="3" t="str">
        <f>IFERROR(__xludf.DUMMYFUNCTION("""COMPUTED_VALUE"""),"K0K 2G0")</f>
        <v>K0K 2G0</v>
      </c>
      <c r="E3041" s="3"/>
      <c r="F3041" s="3"/>
      <c r="G3041" s="3"/>
      <c r="H3041" s="3"/>
    </row>
    <row r="3042">
      <c r="A3042" s="2">
        <f>IFERROR(__xludf.DUMMYFUNCTION("""COMPUTED_VALUE"""),40103.0)</f>
        <v>40103</v>
      </c>
      <c r="B3042" s="3"/>
      <c r="C3042" s="3" t="str">
        <f>IFERROR(__xludf.DUMMYFUNCTION("""COMPUTED_VALUE"""),"GRAFTON ")</f>
        <v>GRAFTON </v>
      </c>
      <c r="D3042" s="3" t="str">
        <f>IFERROR(__xludf.DUMMYFUNCTION("""COMPUTED_VALUE"""),"K0K 2G0")</f>
        <v>K0K 2G0</v>
      </c>
      <c r="E3042" s="3" t="str">
        <f>IFERROR(__xludf.DUMMYFUNCTION("""COMPUTED_VALUE"""),"brian marling ")</f>
        <v>brian marling </v>
      </c>
      <c r="F3042" s="3" t="str">
        <f>IFERROR(__xludf.DUMMYFUNCTION("""COMPUTED_VALUE"""),"brian@hdlc.ca")</f>
        <v>brian@hdlc.ca</v>
      </c>
      <c r="G3042" s="3">
        <f>IFERROR(__xludf.DUMMYFUNCTION("""COMPUTED_VALUE"""),9.053765326E9)</f>
        <v>9053765326</v>
      </c>
      <c r="H3042" s="3"/>
    </row>
    <row r="3043">
      <c r="A3043" s="2">
        <f>IFERROR(__xludf.DUMMYFUNCTION("""COMPUTED_VALUE"""),40104.0)</f>
        <v>40104</v>
      </c>
      <c r="B3043" s="3"/>
      <c r="C3043" s="3" t="str">
        <f>IFERROR(__xludf.DUMMYFUNCTION("""COMPUTED_VALUE"""),"GRAFTON ")</f>
        <v>GRAFTON </v>
      </c>
      <c r="D3043" s="3" t="str">
        <f>IFERROR(__xludf.DUMMYFUNCTION("""COMPUTED_VALUE"""),"K0K 2G0")</f>
        <v>K0K 2G0</v>
      </c>
      <c r="E3043" s="3" t="str">
        <f>IFERROR(__xludf.DUMMYFUNCTION("""COMPUTED_VALUE"""),"jarrod kappel")</f>
        <v>jarrod kappel</v>
      </c>
      <c r="F3043" s="3"/>
      <c r="G3043" s="3">
        <f>IFERROR(__xludf.DUMMYFUNCTION("""COMPUTED_VALUE"""),4.165871059E9)</f>
        <v>4165871059</v>
      </c>
      <c r="H3043" s="3"/>
    </row>
    <row r="3044">
      <c r="A3044" s="2">
        <f>IFERROR(__xludf.DUMMYFUNCTION("""COMPUTED_VALUE"""),40105.0)</f>
        <v>40105</v>
      </c>
      <c r="B3044" s="3"/>
      <c r="C3044" s="3" t="str">
        <f>IFERROR(__xludf.DUMMYFUNCTION("""COMPUTED_VALUE"""),"GRAFTON ")</f>
        <v>GRAFTON </v>
      </c>
      <c r="D3044" s="3" t="str">
        <f>IFERROR(__xludf.DUMMYFUNCTION("""COMPUTED_VALUE"""),"K0K 2G0")</f>
        <v>K0K 2G0</v>
      </c>
      <c r="E3044" s="3" t="str">
        <f>IFERROR(__xludf.DUMMYFUNCTION("""COMPUTED_VALUE"""),"jeff jeff villeneure")</f>
        <v>jeff jeff villeneure</v>
      </c>
      <c r="F3044" s="3"/>
      <c r="G3044" s="3">
        <f>IFERROR(__xludf.DUMMYFUNCTION("""COMPUTED_VALUE"""),6.474097653E9)</f>
        <v>6474097653</v>
      </c>
      <c r="H3044" s="3"/>
    </row>
    <row r="3045">
      <c r="A3045" s="2">
        <f>IFERROR(__xludf.DUMMYFUNCTION("""COMPUTED_VALUE"""),40127.0)</f>
        <v>40127</v>
      </c>
      <c r="B3045" s="3" t="str">
        <f>IFERROR(__xludf.DUMMYFUNCTION("""COMPUTED_VALUE"""),"105 BROOKSIDE RD")</f>
        <v>105 BROOKSIDE RD</v>
      </c>
      <c r="C3045" s="3" t="str">
        <f>IFERROR(__xludf.DUMMYFUNCTION("""COMPUTED_VALUE"""),"COBOURG")</f>
        <v>COBOURG</v>
      </c>
      <c r="D3045" s="3" t="str">
        <f>IFERROR(__xludf.DUMMYFUNCTION("""COMPUTED_VALUE"""),"K9A 4J8")</f>
        <v>K9A 4J8</v>
      </c>
      <c r="E3045" s="3" t="str">
        <f>IFERROR(__xludf.DUMMYFUNCTION("""COMPUTED_VALUE"""),"peter lorenz")</f>
        <v>peter lorenz</v>
      </c>
      <c r="F3045" s="3" t="str">
        <f>IFERROR(__xludf.DUMMYFUNCTION("""COMPUTED_VALUE"""),"lorenzp@eagle.ca")</f>
        <v>lorenzp@eagle.ca</v>
      </c>
      <c r="G3045" s="3">
        <f>IFERROR(__xludf.DUMMYFUNCTION("""COMPUTED_VALUE"""),9.053732719E9)</f>
        <v>9053732719</v>
      </c>
      <c r="H3045" s="3"/>
    </row>
    <row r="3046">
      <c r="A3046" s="2">
        <f>IFERROR(__xludf.DUMMYFUNCTION("""COMPUTED_VALUE"""),40128.0)</f>
        <v>40128</v>
      </c>
      <c r="B3046" s="3" t="str">
        <f>IFERROR(__xludf.DUMMYFUNCTION("""COMPUTED_VALUE"""),"108 BROOKSIDE RD")</f>
        <v>108 BROOKSIDE RD</v>
      </c>
      <c r="C3046" s="3" t="str">
        <f>IFERROR(__xludf.DUMMYFUNCTION("""COMPUTED_VALUE"""),"COBOURG")</f>
        <v>COBOURG</v>
      </c>
      <c r="D3046" s="3" t="str">
        <f>IFERROR(__xludf.DUMMYFUNCTION("""COMPUTED_VALUE"""),"K9A 4J8")</f>
        <v>K9A 4J8</v>
      </c>
      <c r="E3046" s="3" t="str">
        <f>IFERROR(__xludf.DUMMYFUNCTION("""COMPUTED_VALUE"""),"s. eble ")</f>
        <v>s. eble </v>
      </c>
      <c r="F3046" s="3"/>
      <c r="G3046" s="3">
        <f>IFERROR(__xludf.DUMMYFUNCTION("""COMPUTED_VALUE"""),9.053757301E9)</f>
        <v>9053757301</v>
      </c>
      <c r="H3046" s="3"/>
    </row>
    <row r="3047">
      <c r="A3047" s="2">
        <f>IFERROR(__xludf.DUMMYFUNCTION("""COMPUTED_VALUE"""),40129.0)</f>
        <v>40129</v>
      </c>
      <c r="B3047" s="3" t="str">
        <f>IFERROR(__xludf.DUMMYFUNCTION("""COMPUTED_VALUE"""),"109 BROOKSIDE RD")</f>
        <v>109 BROOKSIDE RD</v>
      </c>
      <c r="C3047" s="3" t="str">
        <f>IFERROR(__xludf.DUMMYFUNCTION("""COMPUTED_VALUE"""),"COBOURG")</f>
        <v>COBOURG</v>
      </c>
      <c r="D3047" s="3" t="str">
        <f>IFERROR(__xludf.DUMMYFUNCTION("""COMPUTED_VALUE"""),"K9A 4J8")</f>
        <v>K9A 4J8</v>
      </c>
      <c r="E3047" s="3" t="str">
        <f>IFERROR(__xludf.DUMMYFUNCTION("""COMPUTED_VALUE"""),"victor holmes")</f>
        <v>victor holmes</v>
      </c>
      <c r="F3047" s="3" t="str">
        <f>IFERROR(__xludf.DUMMYFUNCTION("""COMPUTED_VALUE"""),"vcholmes43@gmail.com")</f>
        <v>vcholmes43@gmail.com</v>
      </c>
      <c r="G3047" s="3">
        <f>IFERROR(__xludf.DUMMYFUNCTION("""COMPUTED_VALUE"""),9.053965376E9)</f>
        <v>9053965376</v>
      </c>
      <c r="H3047" s="3"/>
    </row>
    <row r="3048">
      <c r="A3048" s="2">
        <f>IFERROR(__xludf.DUMMYFUNCTION("""COMPUTED_VALUE"""),40130.0)</f>
        <v>40130</v>
      </c>
      <c r="B3048" s="3" t="str">
        <f>IFERROR(__xludf.DUMMYFUNCTION("""COMPUTED_VALUE"""),"143 BROOKSIDE RD")</f>
        <v>143 BROOKSIDE RD</v>
      </c>
      <c r="C3048" s="3" t="str">
        <f>IFERROR(__xludf.DUMMYFUNCTION("""COMPUTED_VALUE"""),"COBOURG")</f>
        <v>COBOURG</v>
      </c>
      <c r="D3048" s="3" t="str">
        <f>IFERROR(__xludf.DUMMYFUNCTION("""COMPUTED_VALUE"""),"K9A 4J8")</f>
        <v>K9A 4J8</v>
      </c>
      <c r="E3048" s="3" t="str">
        <f>IFERROR(__xludf.DUMMYFUNCTION("""COMPUTED_VALUE"""),"brian crosby ")</f>
        <v>brian crosby </v>
      </c>
      <c r="F3048" s="3" t="str">
        <f>IFERROR(__xludf.DUMMYFUNCTION("""COMPUTED_VALUE"""),"brian.crosby7@gmail.com")</f>
        <v>brian.crosby7@gmail.com</v>
      </c>
      <c r="G3048" s="3">
        <f>IFERROR(__xludf.DUMMYFUNCTION("""COMPUTED_VALUE"""),9.053758886E9)</f>
        <v>9053758886</v>
      </c>
      <c r="H3048" s="3">
        <f>IFERROR(__xludf.DUMMYFUNCTION("""COMPUTED_VALUE"""),9.053769769E9)</f>
        <v>9053769769</v>
      </c>
    </row>
    <row r="3049">
      <c r="A3049" s="2">
        <f>IFERROR(__xludf.DUMMYFUNCTION("""COMPUTED_VALUE"""),40131.0)</f>
        <v>40131</v>
      </c>
      <c r="B3049" s="3" t="str">
        <f>IFERROR(__xludf.DUMMYFUNCTION("""COMPUTED_VALUE"""),"164 BROOKSIDE RD")</f>
        <v>164 BROOKSIDE RD</v>
      </c>
      <c r="C3049" s="3" t="str">
        <f>IFERROR(__xludf.DUMMYFUNCTION("""COMPUTED_VALUE"""),"COBOURG")</f>
        <v>COBOURG</v>
      </c>
      <c r="D3049" s="3" t="str">
        <f>IFERROR(__xludf.DUMMYFUNCTION("""COMPUTED_VALUE"""),"K9A 4J8")</f>
        <v>K9A 4J8</v>
      </c>
      <c r="E3049" s="3"/>
      <c r="F3049" s="3"/>
      <c r="G3049" s="3"/>
      <c r="H3049" s="3"/>
    </row>
    <row r="3050">
      <c r="A3050" s="2">
        <f>IFERROR(__xludf.DUMMYFUNCTION("""COMPUTED_VALUE"""),40132.0)</f>
        <v>40132</v>
      </c>
      <c r="B3050" s="3" t="str">
        <f>IFERROR(__xludf.DUMMYFUNCTION("""COMPUTED_VALUE"""),"173 BROOKSIDE RD")</f>
        <v>173 BROOKSIDE RD</v>
      </c>
      <c r="C3050" s="3" t="str">
        <f>IFERROR(__xludf.DUMMYFUNCTION("""COMPUTED_VALUE"""),"COBOURG")</f>
        <v>COBOURG</v>
      </c>
      <c r="D3050" s="3" t="str">
        <f>IFERROR(__xludf.DUMMYFUNCTION("""COMPUTED_VALUE"""),"K9A 4J8")</f>
        <v>K9A 4J8</v>
      </c>
      <c r="E3050" s="3" t="str">
        <f>IFERROR(__xludf.DUMMYFUNCTION("""COMPUTED_VALUE"""),"Dave")</f>
        <v>Dave</v>
      </c>
      <c r="F3050" s="3" t="str">
        <f>IFERROR(__xludf.DUMMYFUNCTION("""COMPUTED_VALUE"""),"david.stevens@live.com")</f>
        <v>david.stevens@live.com</v>
      </c>
      <c r="G3050" s="3">
        <f>IFERROR(__xludf.DUMMYFUNCTION("""COMPUTED_VALUE"""),4.169185521E9)</f>
        <v>4169185521</v>
      </c>
      <c r="H3050" s="3">
        <f>IFERROR(__xludf.DUMMYFUNCTION("""COMPUTED_VALUE"""),4.165783203E9)</f>
        <v>4165783203</v>
      </c>
    </row>
    <row r="3051">
      <c r="A3051" s="2">
        <f>IFERROR(__xludf.DUMMYFUNCTION("""COMPUTED_VALUE"""),40133.0)</f>
        <v>40133</v>
      </c>
      <c r="B3051" s="3" t="str">
        <f>IFERROR(__xludf.DUMMYFUNCTION("""COMPUTED_VALUE"""),"175 BROOKSIDE RD")</f>
        <v>175 BROOKSIDE RD</v>
      </c>
      <c r="C3051" s="3" t="str">
        <f>IFERROR(__xludf.DUMMYFUNCTION("""COMPUTED_VALUE"""),"COBOURG")</f>
        <v>COBOURG</v>
      </c>
      <c r="D3051" s="3" t="str">
        <f>IFERROR(__xludf.DUMMYFUNCTION("""COMPUTED_VALUE"""),"K9A 4J8")</f>
        <v>K9A 4J8</v>
      </c>
      <c r="E3051" s="3" t="str">
        <f>IFERROR(__xludf.DUMMYFUNCTION("""COMPUTED_VALUE"""),"Dianne Davey")</f>
        <v>Dianne Davey</v>
      </c>
      <c r="F3051" s="3"/>
      <c r="G3051" s="3">
        <f>IFERROR(__xludf.DUMMYFUNCTION("""COMPUTED_VALUE"""),9.053720737E9)</f>
        <v>9053720737</v>
      </c>
      <c r="H3051" s="3"/>
    </row>
    <row r="3052">
      <c r="A3052" s="2">
        <f>IFERROR(__xludf.DUMMYFUNCTION("""COMPUTED_VALUE"""),40134.0)</f>
        <v>40134</v>
      </c>
      <c r="B3052" s="3" t="str">
        <f>IFERROR(__xludf.DUMMYFUNCTION("""COMPUTED_VALUE"""),"190 BROOKSIDE RD")</f>
        <v>190 BROOKSIDE RD</v>
      </c>
      <c r="C3052" s="3" t="str">
        <f>IFERROR(__xludf.DUMMYFUNCTION("""COMPUTED_VALUE"""),"COBOURG")</f>
        <v>COBOURG</v>
      </c>
      <c r="D3052" s="3" t="str">
        <f>IFERROR(__xludf.DUMMYFUNCTION("""COMPUTED_VALUE"""),"K9A 4J8")</f>
        <v>K9A 4J8</v>
      </c>
      <c r="E3052" s="3" t="str">
        <f>IFERROR(__xludf.DUMMYFUNCTION("""COMPUTED_VALUE"""),"hilton duckworth ")</f>
        <v>hilton duckworth </v>
      </c>
      <c r="F3052" s="3" t="str">
        <f>IFERROR(__xludf.DUMMYFUNCTION("""COMPUTED_VALUE"""),"my_girls7@hotmail.com")</f>
        <v>my_girls7@hotmail.com</v>
      </c>
      <c r="G3052" s="3">
        <f>IFERROR(__xludf.DUMMYFUNCTION("""COMPUTED_VALUE"""),9.053726794E9)</f>
        <v>9053726794</v>
      </c>
      <c r="H3052" s="3"/>
    </row>
    <row r="3053">
      <c r="A3053" s="2">
        <f>IFERROR(__xludf.DUMMYFUNCTION("""COMPUTED_VALUE"""),40135.0)</f>
        <v>40135</v>
      </c>
      <c r="B3053" s="3" t="str">
        <f>IFERROR(__xludf.DUMMYFUNCTION("""COMPUTED_VALUE"""),"197 BROOKSIDE RD")</f>
        <v>197 BROOKSIDE RD</v>
      </c>
      <c r="C3053" s="3" t="str">
        <f>IFERROR(__xludf.DUMMYFUNCTION("""COMPUTED_VALUE"""),"COBOURG")</f>
        <v>COBOURG</v>
      </c>
      <c r="D3053" s="3" t="str">
        <f>IFERROR(__xludf.DUMMYFUNCTION("""COMPUTED_VALUE"""),"K9A 4J8")</f>
        <v>K9A 4J8</v>
      </c>
      <c r="E3053" s="3" t="str">
        <f>IFERROR(__xludf.DUMMYFUNCTION("""COMPUTED_VALUE"""),"elke eble")</f>
        <v>elke eble</v>
      </c>
      <c r="F3053" s="3" t="str">
        <f>IFERROR(__xludf.DUMMYFUNCTION("""COMPUTED_VALUE"""),"elkemes@sympatico.ca")</f>
        <v>elkemes@sympatico.ca</v>
      </c>
      <c r="G3053" s="3">
        <f>IFERROR(__xludf.DUMMYFUNCTION("""COMPUTED_VALUE"""),4.164391248E9)</f>
        <v>4164391248</v>
      </c>
      <c r="H3053" s="3"/>
    </row>
    <row r="3054">
      <c r="A3054" s="2">
        <f>IFERROR(__xludf.DUMMYFUNCTION("""COMPUTED_VALUE"""),40136.0)</f>
        <v>40136</v>
      </c>
      <c r="B3054" s="3" t="str">
        <f>IFERROR(__xludf.DUMMYFUNCTION("""COMPUTED_VALUE"""),"198 BROOKSIDE RD")</f>
        <v>198 BROOKSIDE RD</v>
      </c>
      <c r="C3054" s="3" t="str">
        <f>IFERROR(__xludf.DUMMYFUNCTION("""COMPUTED_VALUE"""),"COBOURG")</f>
        <v>COBOURG</v>
      </c>
      <c r="D3054" s="3" t="str">
        <f>IFERROR(__xludf.DUMMYFUNCTION("""COMPUTED_VALUE"""),"K9A 4J8")</f>
        <v>K9A 4J8</v>
      </c>
      <c r="E3054" s="3"/>
      <c r="F3054" s="3"/>
      <c r="G3054" s="3"/>
      <c r="H3054" s="3"/>
    </row>
    <row r="3055">
      <c r="A3055" s="2">
        <f>IFERROR(__xludf.DUMMYFUNCTION("""COMPUTED_VALUE"""),40137.0)</f>
        <v>40137</v>
      </c>
      <c r="B3055" s="3" t="str">
        <f>IFERROR(__xludf.DUMMYFUNCTION("""COMPUTED_VALUE"""),"204 BROOKSIDE RD")</f>
        <v>204 BROOKSIDE RD</v>
      </c>
      <c r="C3055" s="3" t="str">
        <f>IFERROR(__xludf.DUMMYFUNCTION("""COMPUTED_VALUE"""),"COBOURG")</f>
        <v>COBOURG</v>
      </c>
      <c r="D3055" s="3" t="str">
        <f>IFERROR(__xludf.DUMMYFUNCTION("""COMPUTED_VALUE"""),"K9A 4J8")</f>
        <v>K9A 4J8</v>
      </c>
      <c r="E3055" s="3" t="str">
        <f>IFERROR(__xludf.DUMMYFUNCTION("""COMPUTED_VALUE"""),"doug beachaump")</f>
        <v>doug beachaump</v>
      </c>
      <c r="F3055" s="3" t="str">
        <f>IFERROR(__xludf.DUMMYFUNCTION("""COMPUTED_VALUE"""),"beauchamp.bonnie@yahoo.com")</f>
        <v>beauchamp.bonnie@yahoo.com</v>
      </c>
      <c r="G3055" s="3">
        <f>IFERROR(__xludf.DUMMYFUNCTION("""COMPUTED_VALUE"""),9.053725869E9)</f>
        <v>9053725869</v>
      </c>
      <c r="H3055" s="3"/>
    </row>
    <row r="3056">
      <c r="A3056" s="2">
        <f>IFERROR(__xludf.DUMMYFUNCTION("""COMPUTED_VALUE"""),40138.0)</f>
        <v>40138</v>
      </c>
      <c r="B3056" s="3" t="str">
        <f>IFERROR(__xludf.DUMMYFUNCTION("""COMPUTED_VALUE"""),"417 BROOKSIDE RD")</f>
        <v>417 BROOKSIDE RD</v>
      </c>
      <c r="C3056" s="3" t="str">
        <f>IFERROR(__xludf.DUMMYFUNCTION("""COMPUTED_VALUE"""),"COBOURG")</f>
        <v>COBOURG</v>
      </c>
      <c r="D3056" s="3" t="str">
        <f>IFERROR(__xludf.DUMMYFUNCTION("""COMPUTED_VALUE"""),"K9A 4J8")</f>
        <v>K9A 4J8</v>
      </c>
      <c r="E3056" s="3" t="str">
        <f>IFERROR(__xludf.DUMMYFUNCTION("""COMPUTED_VALUE"""),"mark ito")</f>
        <v>mark ito</v>
      </c>
      <c r="F3056" s="3" t="str">
        <f>IFERROR(__xludf.DUMMYFUNCTION("""COMPUTED_VALUE"""),"mark17ito@gmail.com")</f>
        <v>mark17ito@gmail.com</v>
      </c>
      <c r="G3056" s="3">
        <f>IFERROR(__xludf.DUMMYFUNCTION("""COMPUTED_VALUE"""),9.052690043E9)</f>
        <v>9052690043</v>
      </c>
      <c r="H3056" s="3">
        <f>IFERROR(__xludf.DUMMYFUNCTION("""COMPUTED_VALUE"""),9.052690049E9)</f>
        <v>9052690049</v>
      </c>
    </row>
    <row r="3057">
      <c r="A3057" s="2">
        <f>IFERROR(__xludf.DUMMYFUNCTION("""COMPUTED_VALUE"""),40139.0)</f>
        <v>40139</v>
      </c>
      <c r="B3057" s="3" t="str">
        <f>IFERROR(__xludf.DUMMYFUNCTION("""COMPUTED_VALUE"""),"427 BROOKSIDE RD")</f>
        <v>427 BROOKSIDE RD</v>
      </c>
      <c r="C3057" s="3" t="str">
        <f>IFERROR(__xludf.DUMMYFUNCTION("""COMPUTED_VALUE"""),"COBOURG")</f>
        <v>COBOURG</v>
      </c>
      <c r="D3057" s="3" t="str">
        <f>IFERROR(__xludf.DUMMYFUNCTION("""COMPUTED_VALUE"""),"K9A 4J8")</f>
        <v>K9A 4J8</v>
      </c>
      <c r="E3057" s="3" t="str">
        <f>IFERROR(__xludf.DUMMYFUNCTION("""COMPUTED_VALUE"""),"ken lang")</f>
        <v>ken lang</v>
      </c>
      <c r="F3057" s="3" t="str">
        <f>IFERROR(__xludf.DUMMYFUNCTION("""COMPUTED_VALUE"""),"ken.lang@live.ca")</f>
        <v>ken.lang@live.ca</v>
      </c>
      <c r="G3057" s="3">
        <f>IFERROR(__xludf.DUMMYFUNCTION("""COMPUTED_VALUE"""),6.478636594E9)</f>
        <v>6478636594</v>
      </c>
      <c r="H3057" s="3"/>
    </row>
    <row r="3058">
      <c r="A3058" s="2">
        <f>IFERROR(__xludf.DUMMYFUNCTION("""COMPUTED_VALUE"""),40140.0)</f>
        <v>40140</v>
      </c>
      <c r="B3058" s="3" t="str">
        <f>IFERROR(__xludf.DUMMYFUNCTION("""COMPUTED_VALUE"""),"428 BROOKSIDE RD")</f>
        <v>428 BROOKSIDE RD</v>
      </c>
      <c r="C3058" s="3" t="str">
        <f>IFERROR(__xludf.DUMMYFUNCTION("""COMPUTED_VALUE"""),"COBOURG")</f>
        <v>COBOURG</v>
      </c>
      <c r="D3058" s="3" t="str">
        <f>IFERROR(__xludf.DUMMYFUNCTION("""COMPUTED_VALUE"""),"K9A 4J8")</f>
        <v>K9A 4J8</v>
      </c>
      <c r="E3058" s="3" t="str">
        <f>IFERROR(__xludf.DUMMYFUNCTION("""COMPUTED_VALUE"""),"trevor joice ")</f>
        <v>trevor joice </v>
      </c>
      <c r="F3058" s="3" t="str">
        <f>IFERROR(__xludf.DUMMYFUNCTION("""COMPUTED_VALUE"""),"trevor.joice@yahoo.ca")</f>
        <v>trevor.joice@yahoo.ca</v>
      </c>
      <c r="G3058" s="3">
        <f>IFERROR(__xludf.DUMMYFUNCTION("""COMPUTED_VALUE"""),4.162523617E9)</f>
        <v>4162523617</v>
      </c>
      <c r="H3058" s="3"/>
    </row>
    <row r="3059">
      <c r="A3059" s="2">
        <f>IFERROR(__xludf.DUMMYFUNCTION("""COMPUTED_VALUE"""),40141.0)</f>
        <v>40141</v>
      </c>
      <c r="B3059" s="3" t="str">
        <f>IFERROR(__xludf.DUMMYFUNCTION("""COMPUTED_VALUE"""),"437 BROOKSIDE RD")</f>
        <v>437 BROOKSIDE RD</v>
      </c>
      <c r="C3059" s="3" t="str">
        <f>IFERROR(__xludf.DUMMYFUNCTION("""COMPUTED_VALUE"""),"COBOURG")</f>
        <v>COBOURG</v>
      </c>
      <c r="D3059" s="3" t="str">
        <f>IFERROR(__xludf.DUMMYFUNCTION("""COMPUTED_VALUE"""),"K9A 4J8")</f>
        <v>K9A 4J8</v>
      </c>
      <c r="E3059" s="3" t="str">
        <f>IFERROR(__xludf.DUMMYFUNCTION("""COMPUTED_VALUE"""),"tom robinson")</f>
        <v>tom robinson</v>
      </c>
      <c r="F3059" s="3" t="str">
        <f>IFERROR(__xludf.DUMMYFUNCTION("""COMPUTED_VALUE"""),"tsr@eagle,.ca")</f>
        <v>tsr@eagle,.ca</v>
      </c>
      <c r="G3059" s="3">
        <f>IFERROR(__xludf.DUMMYFUNCTION("""COMPUTED_VALUE"""),9.053723298E9)</f>
        <v>9053723298</v>
      </c>
      <c r="H3059" s="3">
        <f>IFERROR(__xludf.DUMMYFUNCTION("""COMPUTED_VALUE"""),9.052697113E9)</f>
        <v>9052697113</v>
      </c>
    </row>
    <row r="3060">
      <c r="A3060" s="2">
        <f>IFERROR(__xludf.DUMMYFUNCTION("""COMPUTED_VALUE"""),40142.0)</f>
        <v>40142</v>
      </c>
      <c r="B3060" s="3" t="str">
        <f>IFERROR(__xludf.DUMMYFUNCTION("""COMPUTED_VALUE"""),"451 BROOKSIDE RD")</f>
        <v>451 BROOKSIDE RD</v>
      </c>
      <c r="C3060" s="3" t="str">
        <f>IFERROR(__xludf.DUMMYFUNCTION("""COMPUTED_VALUE"""),"COBOURG")</f>
        <v>COBOURG</v>
      </c>
      <c r="D3060" s="3" t="str">
        <f>IFERROR(__xludf.DUMMYFUNCTION("""COMPUTED_VALUE"""),"K9A 4J8")</f>
        <v>K9A 4J8</v>
      </c>
      <c r="E3060" s="3"/>
      <c r="F3060" s="3"/>
      <c r="G3060" s="3"/>
      <c r="H3060" s="3"/>
    </row>
    <row r="3061">
      <c r="A3061" s="2">
        <f>IFERROR(__xludf.DUMMYFUNCTION("""COMPUTED_VALUE"""),40143.0)</f>
        <v>40143</v>
      </c>
      <c r="B3061" s="3" t="str">
        <f>IFERROR(__xludf.DUMMYFUNCTION("""COMPUTED_VALUE"""),"474 BROOKSIDE RD")</f>
        <v>474 BROOKSIDE RD</v>
      </c>
      <c r="C3061" s="3" t="str">
        <f>IFERROR(__xludf.DUMMYFUNCTION("""COMPUTED_VALUE"""),"COBOURG")</f>
        <v>COBOURG</v>
      </c>
      <c r="D3061" s="3" t="str">
        <f>IFERROR(__xludf.DUMMYFUNCTION("""COMPUTED_VALUE"""),"K9A 4J8")</f>
        <v>K9A 4J8</v>
      </c>
      <c r="E3061" s="3" t="str">
        <f>IFERROR(__xludf.DUMMYFUNCTION("""COMPUTED_VALUE"""),"mark ferguson ")</f>
        <v>mark ferguson </v>
      </c>
      <c r="F3061" s="3" t="str">
        <f>IFERROR(__xludf.DUMMYFUNCTION("""COMPUTED_VALUE"""),"mghouse1424@gmail.com")</f>
        <v>mghouse1424@gmail.com</v>
      </c>
      <c r="G3061" s="3">
        <f>IFERROR(__xludf.DUMMYFUNCTION("""COMPUTED_VALUE"""),9.053725867E9)</f>
        <v>9053725867</v>
      </c>
      <c r="H3061" s="3"/>
    </row>
    <row r="3062">
      <c r="A3062" s="2">
        <f>IFERROR(__xludf.DUMMYFUNCTION("""COMPUTED_VALUE"""),40144.0)</f>
        <v>40144</v>
      </c>
      <c r="B3062" s="3" t="str">
        <f>IFERROR(__xludf.DUMMYFUNCTION("""COMPUTED_VALUE"""),"564 BROOKSIDE RD")</f>
        <v>564 BROOKSIDE RD</v>
      </c>
      <c r="C3062" s="3" t="str">
        <f>IFERROR(__xludf.DUMMYFUNCTION("""COMPUTED_VALUE"""),"COBOURG")</f>
        <v>COBOURG</v>
      </c>
      <c r="D3062" s="3" t="str">
        <f>IFERROR(__xludf.DUMMYFUNCTION("""COMPUTED_VALUE"""),"K9A 4J8")</f>
        <v>K9A 4J8</v>
      </c>
      <c r="E3062" s="3" t="str">
        <f>IFERROR(__xludf.DUMMYFUNCTION("""COMPUTED_VALUE"""),"amy delong ")</f>
        <v>amy delong </v>
      </c>
      <c r="F3062" s="3" t="str">
        <f>IFERROR(__xludf.DUMMYFUNCTION("""COMPUTED_VALUE"""),"amyarthur92@gmail.com")</f>
        <v>amyarthur92@gmail.com</v>
      </c>
      <c r="G3062" s="3">
        <f>IFERROR(__xludf.DUMMYFUNCTION("""COMPUTED_VALUE"""),9.053752862E9)</f>
        <v>9053752862</v>
      </c>
      <c r="H3062" s="3">
        <f>IFERROR(__xludf.DUMMYFUNCTION("""COMPUTED_VALUE"""),9.053964219E9)</f>
        <v>9053964219</v>
      </c>
    </row>
    <row r="3063">
      <c r="A3063" s="2">
        <f>IFERROR(__xludf.DUMMYFUNCTION("""COMPUTED_VALUE"""),40145.0)</f>
        <v>40145</v>
      </c>
      <c r="B3063" s="3" t="str">
        <f>IFERROR(__xludf.DUMMYFUNCTION("""COMPUTED_VALUE"""),"567 BROOKSIDE RD")</f>
        <v>567 BROOKSIDE RD</v>
      </c>
      <c r="C3063" s="3" t="str">
        <f>IFERROR(__xludf.DUMMYFUNCTION("""COMPUTED_VALUE"""),"COBOURG")</f>
        <v>COBOURG</v>
      </c>
      <c r="D3063" s="3" t="str">
        <f>IFERROR(__xludf.DUMMYFUNCTION("""COMPUTED_VALUE"""),"K9A 4J8")</f>
        <v>K9A 4J8</v>
      </c>
      <c r="E3063" s="3" t="str">
        <f>IFERROR(__xludf.DUMMYFUNCTION("""COMPUTED_VALUE"""),"steve woop")</f>
        <v>steve woop</v>
      </c>
      <c r="F3063" s="3"/>
      <c r="G3063" s="3">
        <f>IFERROR(__xludf.DUMMYFUNCTION("""COMPUTED_VALUE"""),9.058096164E9)</f>
        <v>9058096164</v>
      </c>
      <c r="H3063" s="3"/>
    </row>
    <row r="3064">
      <c r="A3064" s="2">
        <f>IFERROR(__xludf.DUMMYFUNCTION("""COMPUTED_VALUE"""),40146.0)</f>
        <v>40146</v>
      </c>
      <c r="B3064" s="3" t="str">
        <f>IFERROR(__xludf.DUMMYFUNCTION("""COMPUTED_VALUE"""),"620 BROOKSIDE RD")</f>
        <v>620 BROOKSIDE RD</v>
      </c>
      <c r="C3064" s="3" t="str">
        <f>IFERROR(__xludf.DUMMYFUNCTION("""COMPUTED_VALUE"""),"COBOURG")</f>
        <v>COBOURG</v>
      </c>
      <c r="D3064" s="3" t="str">
        <f>IFERROR(__xludf.DUMMYFUNCTION("""COMPUTED_VALUE"""),"K9A 4J8")</f>
        <v>K9A 4J8</v>
      </c>
      <c r="E3064" s="3" t="str">
        <f>IFERROR(__xludf.DUMMYFUNCTION("""COMPUTED_VALUE"""),"tina baxter ")</f>
        <v>tina baxter </v>
      </c>
      <c r="F3064" s="3" t="str">
        <f>IFERROR(__xludf.DUMMYFUNCTION("""COMPUTED_VALUE"""),"tinamayb@gmail.com")</f>
        <v>tinamayb@gmail.com</v>
      </c>
      <c r="G3064" s="3">
        <f>IFERROR(__xludf.DUMMYFUNCTION("""COMPUTED_VALUE"""),9.053755276E9)</f>
        <v>9053755276</v>
      </c>
      <c r="H3064" s="3"/>
    </row>
    <row r="3065">
      <c r="A3065" s="2">
        <f>IFERROR(__xludf.DUMMYFUNCTION("""COMPUTED_VALUE"""),40149.0)</f>
        <v>40149</v>
      </c>
      <c r="B3065" s="3" t="str">
        <f>IFERROR(__xludf.DUMMYFUNCTION("""COMPUTED_VALUE"""),"262 CALNAN RD")</f>
        <v>262 CALNAN RD</v>
      </c>
      <c r="C3065" s="3" t="str">
        <f>IFERROR(__xludf.DUMMYFUNCTION("""COMPUTED_VALUE"""),"GRAFTON ")</f>
        <v>GRAFTON </v>
      </c>
      <c r="D3065" s="3" t="str">
        <f>IFERROR(__xludf.DUMMYFUNCTION("""COMPUTED_VALUE"""),"K0K 2G0")</f>
        <v>K0K 2G0</v>
      </c>
      <c r="E3065" s="3" t="str">
        <f>IFERROR(__xludf.DUMMYFUNCTION("""COMPUTED_VALUE"""),"Karol Shaw")</f>
        <v>Karol Shaw</v>
      </c>
      <c r="F3065" s="3" t="str">
        <f>IFERROR(__xludf.DUMMYFUNCTION("""COMPUTED_VALUE"""),"kshaw@eagle.ca")</f>
        <v>kshaw@eagle.ca</v>
      </c>
      <c r="G3065" s="3">
        <f>IFERROR(__xludf.DUMMYFUNCTION("""COMPUTED_VALUE"""),9.053492994E9)</f>
        <v>9053492994</v>
      </c>
      <c r="H3065" s="3"/>
    </row>
    <row r="3066">
      <c r="A3066" s="2">
        <f>IFERROR(__xludf.DUMMYFUNCTION("""COMPUTED_VALUE"""),40150.0)</f>
        <v>40150</v>
      </c>
      <c r="B3066" s="3" t="str">
        <f>IFERROR(__xludf.DUMMYFUNCTION("""COMPUTED_VALUE"""),"270 CALNAN RD")</f>
        <v>270 CALNAN RD</v>
      </c>
      <c r="C3066" s="3" t="str">
        <f>IFERROR(__xludf.DUMMYFUNCTION("""COMPUTED_VALUE"""),"GRAFTON ")</f>
        <v>GRAFTON </v>
      </c>
      <c r="D3066" s="3" t="str">
        <f>IFERROR(__xludf.DUMMYFUNCTION("""COMPUTED_VALUE"""),"K0K 2G0")</f>
        <v>K0K 2G0</v>
      </c>
      <c r="E3066" s="3" t="str">
        <f>IFERROR(__xludf.DUMMYFUNCTION("""COMPUTED_VALUE"""),"KAROL SHAW")</f>
        <v>KAROL SHAW</v>
      </c>
      <c r="F3066" s="3" t="str">
        <f>IFERROR(__xludf.DUMMYFUNCTION("""COMPUTED_VALUE"""),"kshaw@eagle.ca")</f>
        <v>kshaw@eagle.ca</v>
      </c>
      <c r="G3066" s="3"/>
      <c r="H3066" s="3"/>
    </row>
    <row r="3067">
      <c r="A3067" s="2">
        <f>IFERROR(__xludf.DUMMYFUNCTION("""COMPUTED_VALUE"""),40151.0)</f>
        <v>40151</v>
      </c>
      <c r="B3067" s="3" t="str">
        <f>IFERROR(__xludf.DUMMYFUNCTION("""COMPUTED_VALUE"""),"288 CALNAN RD")</f>
        <v>288 CALNAN RD</v>
      </c>
      <c r="C3067" s="3" t="str">
        <f>IFERROR(__xludf.DUMMYFUNCTION("""COMPUTED_VALUE"""),"GRAFTON ")</f>
        <v>GRAFTON </v>
      </c>
      <c r="D3067" s="3" t="str">
        <f>IFERROR(__xludf.DUMMYFUNCTION("""COMPUTED_VALUE"""),"K0K 2G0")</f>
        <v>K0K 2G0</v>
      </c>
      <c r="E3067" s="3" t="str">
        <f>IFERROR(__xludf.DUMMYFUNCTION("""COMPUTED_VALUE"""),"BROOKE/CONNOR HAND")</f>
        <v>BROOKE/CONNOR HAND</v>
      </c>
      <c r="F3067" s="3" t="str">
        <f>IFERROR(__xludf.DUMMYFUNCTION("""COMPUTED_VALUE"""),"brooke.sturz@gmail.com")</f>
        <v>brooke.sturz@gmail.com</v>
      </c>
      <c r="G3067" s="3"/>
      <c r="H3067" s="3"/>
    </row>
    <row r="3068">
      <c r="A3068" s="2">
        <f>IFERROR(__xludf.DUMMYFUNCTION("""COMPUTED_VALUE"""),40152.0)</f>
        <v>40152</v>
      </c>
      <c r="B3068" s="3" t="str">
        <f>IFERROR(__xludf.DUMMYFUNCTION("""COMPUTED_VALUE"""),"103 CANNING FACTORY RD")</f>
        <v>103 CANNING FACTORY RD</v>
      </c>
      <c r="C3068" s="3" t="str">
        <f>IFERROR(__xludf.DUMMYFUNCTION("""COMPUTED_VALUE"""),"GRAFTON ")</f>
        <v>GRAFTON </v>
      </c>
      <c r="D3068" s="3" t="str">
        <f>IFERROR(__xludf.DUMMYFUNCTION("""COMPUTED_VALUE"""),"K0K 2G0")</f>
        <v>K0K 2G0</v>
      </c>
      <c r="E3068" s="3" t="str">
        <f>IFERROR(__xludf.DUMMYFUNCTION("""COMPUTED_VALUE"""),"travis harden ")</f>
        <v>travis harden </v>
      </c>
      <c r="F3068" s="3" t="str">
        <f>IFERROR(__xludf.DUMMYFUNCTION("""COMPUTED_VALUE"""),"caraleac33@gmail.com")</f>
        <v>caraleac33@gmail.com</v>
      </c>
      <c r="G3068" s="3">
        <f>IFERROR(__xludf.DUMMYFUNCTION("""COMPUTED_VALUE"""),9.0539606639E10)</f>
        <v>90539606639</v>
      </c>
      <c r="H3068" s="3"/>
    </row>
    <row r="3069">
      <c r="A3069" s="2">
        <f>IFERROR(__xludf.DUMMYFUNCTION("""COMPUTED_VALUE"""),40153.0)</f>
        <v>40153</v>
      </c>
      <c r="B3069" s="3" t="str">
        <f>IFERROR(__xludf.DUMMYFUNCTION("""COMPUTED_VALUE"""),"112 CANNING FACTORY RD")</f>
        <v>112 CANNING FACTORY RD</v>
      </c>
      <c r="C3069" s="3" t="str">
        <f>IFERROR(__xludf.DUMMYFUNCTION("""COMPUTED_VALUE"""),"GRAFTON ")</f>
        <v>GRAFTON </v>
      </c>
      <c r="D3069" s="3" t="str">
        <f>IFERROR(__xludf.DUMMYFUNCTION("""COMPUTED_VALUE"""),"K0K 2G0")</f>
        <v>K0K 2G0</v>
      </c>
      <c r="E3069" s="3"/>
      <c r="F3069" s="3"/>
      <c r="G3069" s="3"/>
      <c r="H3069" s="3"/>
    </row>
    <row r="3070">
      <c r="A3070" s="2">
        <f>IFERROR(__xludf.DUMMYFUNCTION("""COMPUTED_VALUE"""),40154.0)</f>
        <v>40154</v>
      </c>
      <c r="B3070" s="3" t="str">
        <f>IFERROR(__xludf.DUMMYFUNCTION("""COMPUTED_VALUE"""),"113 CANNING FACTORY RD")</f>
        <v>113 CANNING FACTORY RD</v>
      </c>
      <c r="C3070" s="3" t="str">
        <f>IFERROR(__xludf.DUMMYFUNCTION("""COMPUTED_VALUE"""),"GRAFTON ")</f>
        <v>GRAFTON </v>
      </c>
      <c r="D3070" s="3" t="str">
        <f>IFERROR(__xludf.DUMMYFUNCTION("""COMPUTED_VALUE"""),"K0K 2G0")</f>
        <v>K0K 2G0</v>
      </c>
      <c r="E3070" s="3" t="str">
        <f>IFERROR(__xludf.DUMMYFUNCTION("""COMPUTED_VALUE"""),"scott calbury")</f>
        <v>scott calbury</v>
      </c>
      <c r="F3070" s="3" t="str">
        <f>IFERROR(__xludf.DUMMYFUNCTION("""COMPUTED_VALUE"""),"scalbury@sympatico.ca")</f>
        <v>scalbury@sympatico.ca</v>
      </c>
      <c r="G3070" s="3">
        <f>IFERROR(__xludf.DUMMYFUNCTION("""COMPUTED_VALUE"""),9.053963008E9)</f>
        <v>9053963008</v>
      </c>
      <c r="H3070" s="3"/>
    </row>
    <row r="3071">
      <c r="A3071" s="2">
        <f>IFERROR(__xludf.DUMMYFUNCTION("""COMPUTED_VALUE"""),40155.0)</f>
        <v>40155</v>
      </c>
      <c r="B3071" s="3" t="str">
        <f>IFERROR(__xludf.DUMMYFUNCTION("""COMPUTED_VALUE"""),"116 CANNING FACTORY RD")</f>
        <v>116 CANNING FACTORY RD</v>
      </c>
      <c r="C3071" s="3" t="str">
        <f>IFERROR(__xludf.DUMMYFUNCTION("""COMPUTED_VALUE"""),"GRAFTON ")</f>
        <v>GRAFTON </v>
      </c>
      <c r="D3071" s="3" t="str">
        <f>IFERROR(__xludf.DUMMYFUNCTION("""COMPUTED_VALUE"""),"K0K 2G0")</f>
        <v>K0K 2G0</v>
      </c>
      <c r="E3071" s="3" t="str">
        <f>IFERROR(__xludf.DUMMYFUNCTION("""COMPUTED_VALUE"""),"shane rose ")</f>
        <v>shane rose </v>
      </c>
      <c r="F3071" s="3" t="str">
        <f>IFERROR(__xludf.DUMMYFUNCTION("""COMPUTED_VALUE"""),"shanerosepss@hotmail.com")</f>
        <v>shanerosepss@hotmail.com</v>
      </c>
      <c r="G3071" s="3">
        <f>IFERROR(__xludf.DUMMYFUNCTION("""COMPUTED_VALUE"""),9.059220739E9)</f>
        <v>9059220739</v>
      </c>
      <c r="H3071" s="3"/>
    </row>
    <row r="3072">
      <c r="A3072" s="2">
        <f>IFERROR(__xludf.DUMMYFUNCTION("""COMPUTED_VALUE"""),40156.0)</f>
        <v>40156</v>
      </c>
      <c r="B3072" s="3" t="str">
        <f>IFERROR(__xludf.DUMMYFUNCTION("""COMPUTED_VALUE"""),"130 CANNING FACTORY")</f>
        <v>130 CANNING FACTORY</v>
      </c>
      <c r="C3072" s="3" t="str">
        <f>IFERROR(__xludf.DUMMYFUNCTION("""COMPUTED_VALUE"""),"GRAFTON ")</f>
        <v>GRAFTON </v>
      </c>
      <c r="D3072" s="3" t="str">
        <f>IFERROR(__xludf.DUMMYFUNCTION("""COMPUTED_VALUE"""),"K0K 2G0")</f>
        <v>K0K 2G0</v>
      </c>
      <c r="E3072" s="3"/>
      <c r="F3072" s="3"/>
      <c r="G3072" s="3"/>
      <c r="H3072" s="3"/>
    </row>
    <row r="3073">
      <c r="A3073" s="2">
        <f>IFERROR(__xludf.DUMMYFUNCTION("""COMPUTED_VALUE"""),40157.0)</f>
        <v>40157</v>
      </c>
      <c r="B3073" s="3" t="str">
        <f>IFERROR(__xludf.DUMMYFUNCTION("""COMPUTED_VALUE"""),"133 CANNING FACTORY RD")</f>
        <v>133 CANNING FACTORY RD</v>
      </c>
      <c r="C3073" s="3" t="str">
        <f>IFERROR(__xludf.DUMMYFUNCTION("""COMPUTED_VALUE"""),"GRAFTON ")</f>
        <v>GRAFTON </v>
      </c>
      <c r="D3073" s="3" t="str">
        <f>IFERROR(__xludf.DUMMYFUNCTION("""COMPUTED_VALUE"""),"K0K 2G0")</f>
        <v>K0K 2G0</v>
      </c>
      <c r="E3073" s="3" t="str">
        <f>IFERROR(__xludf.DUMMYFUNCTION("""COMPUTED_VALUE"""),"james sandles")</f>
        <v>james sandles</v>
      </c>
      <c r="F3073" s="3" t="str">
        <f>IFERROR(__xludf.DUMMYFUNCTION("""COMPUTED_VALUE"""),"james.sandles@gmail.com")</f>
        <v>james.sandles@gmail.com</v>
      </c>
      <c r="G3073" s="3">
        <f>IFERROR(__xludf.DUMMYFUNCTION("""COMPUTED_VALUE"""),2.892319092E9)</f>
        <v>2892319092</v>
      </c>
      <c r="H3073" s="3"/>
    </row>
    <row r="3074">
      <c r="A3074" s="2">
        <f>IFERROR(__xludf.DUMMYFUNCTION("""COMPUTED_VALUE"""),40158.0)</f>
        <v>40158</v>
      </c>
      <c r="B3074" s="3" t="str">
        <f>IFERROR(__xludf.DUMMYFUNCTION("""COMPUTED_VALUE"""),"145 CANNING FACTORY RD")</f>
        <v>145 CANNING FACTORY RD</v>
      </c>
      <c r="C3074" s="3" t="str">
        <f>IFERROR(__xludf.DUMMYFUNCTION("""COMPUTED_VALUE"""),"GRAFTON ")</f>
        <v>GRAFTON </v>
      </c>
      <c r="D3074" s="3" t="str">
        <f>IFERROR(__xludf.DUMMYFUNCTION("""COMPUTED_VALUE"""),"K0K 2G0")</f>
        <v>K0K 2G0</v>
      </c>
      <c r="E3074" s="3" t="str">
        <f>IFERROR(__xludf.DUMMYFUNCTION("""COMPUTED_VALUE"""),"Jennifer Benne")</f>
        <v>Jennifer Benne</v>
      </c>
      <c r="F3074" s="3" t="str">
        <f>IFERROR(__xludf.DUMMYFUNCTION("""COMPUTED_VALUE"""),"jabenne8@yahoo.com")</f>
        <v>jabenne8@yahoo.com</v>
      </c>
      <c r="G3074" s="3">
        <f>IFERROR(__xludf.DUMMYFUNCTION("""COMPUTED_VALUE"""),9.053492833E9)</f>
        <v>9053492833</v>
      </c>
      <c r="H3074" s="3"/>
    </row>
    <row r="3075">
      <c r="A3075" s="2">
        <f>IFERROR(__xludf.DUMMYFUNCTION("""COMPUTED_VALUE"""),40159.0)</f>
        <v>40159</v>
      </c>
      <c r="B3075" s="3" t="str">
        <f>IFERROR(__xludf.DUMMYFUNCTION("""COMPUTED_VALUE"""),"159 CANNING FACTORY RD")</f>
        <v>159 CANNING FACTORY RD</v>
      </c>
      <c r="C3075" s="3" t="str">
        <f>IFERROR(__xludf.DUMMYFUNCTION("""COMPUTED_VALUE"""),"GRAFTON ")</f>
        <v>GRAFTON </v>
      </c>
      <c r="D3075" s="3" t="str">
        <f>IFERROR(__xludf.DUMMYFUNCTION("""COMPUTED_VALUE"""),"K0K 2G0")</f>
        <v>K0K 2G0</v>
      </c>
      <c r="E3075" s="3" t="str">
        <f>IFERROR(__xludf.DUMMYFUNCTION("""COMPUTED_VALUE"""),"Ellen Finn")</f>
        <v>Ellen Finn</v>
      </c>
      <c r="F3075" s="3" t="str">
        <f>IFERROR(__xludf.DUMMYFUNCTION("""COMPUTED_VALUE"""),"ellemichelle@icloud.com")</f>
        <v>ellemichelle@icloud.com</v>
      </c>
      <c r="G3075" s="3">
        <f>IFERROR(__xludf.DUMMYFUNCTION("""COMPUTED_VALUE"""),9.059995408E9)</f>
        <v>9059995408</v>
      </c>
      <c r="H3075" s="3"/>
    </row>
    <row r="3076">
      <c r="A3076" s="2">
        <f>IFERROR(__xludf.DUMMYFUNCTION("""COMPUTED_VALUE"""),40160.0)</f>
        <v>40160</v>
      </c>
      <c r="B3076" s="3" t="str">
        <f>IFERROR(__xludf.DUMMYFUNCTION("""COMPUTED_VALUE"""),"160 CANNING FACTORY RD")</f>
        <v>160 CANNING FACTORY RD</v>
      </c>
      <c r="C3076" s="3" t="str">
        <f>IFERROR(__xludf.DUMMYFUNCTION("""COMPUTED_VALUE"""),"GRAFTON ")</f>
        <v>GRAFTON </v>
      </c>
      <c r="D3076" s="3" t="str">
        <f>IFERROR(__xludf.DUMMYFUNCTION("""COMPUTED_VALUE"""),"K0K 2G0")</f>
        <v>K0K 2G0</v>
      </c>
      <c r="E3076" s="3" t="str">
        <f>IFERROR(__xludf.DUMMYFUNCTION("""COMPUTED_VALUE"""),"Cathy Billings")</f>
        <v>Cathy Billings</v>
      </c>
      <c r="F3076" s="3" t="str">
        <f>IFERROR(__xludf.DUMMYFUNCTION("""COMPUTED_VALUE"""),"cathy_haley@sympatico.ca")</f>
        <v>cathy_haley@sympatico.ca</v>
      </c>
      <c r="G3076" s="3">
        <f>IFERROR(__xludf.DUMMYFUNCTION("""COMPUTED_VALUE"""),9.058723641E9)</f>
        <v>9058723641</v>
      </c>
      <c r="H3076" s="3"/>
    </row>
    <row r="3077">
      <c r="A3077" s="2">
        <f>IFERROR(__xludf.DUMMYFUNCTION("""COMPUTED_VALUE"""),40161.0)</f>
        <v>40161</v>
      </c>
      <c r="B3077" s="3" t="str">
        <f>IFERROR(__xludf.DUMMYFUNCTION("""COMPUTED_VALUE"""),"171 CANNING FACTORY RD")</f>
        <v>171 CANNING FACTORY RD</v>
      </c>
      <c r="C3077" s="3" t="str">
        <f>IFERROR(__xludf.DUMMYFUNCTION("""COMPUTED_VALUE"""),"GRAFTON ")</f>
        <v>GRAFTON </v>
      </c>
      <c r="D3077" s="3" t="str">
        <f>IFERROR(__xludf.DUMMYFUNCTION("""COMPUTED_VALUE"""),"K0K 2G0")</f>
        <v>K0K 2G0</v>
      </c>
      <c r="E3077" s="3" t="str">
        <f>IFERROR(__xludf.DUMMYFUNCTION("""COMPUTED_VALUE"""),"robert coward")</f>
        <v>robert coward</v>
      </c>
      <c r="F3077" s="3" t="str">
        <f>IFERROR(__xludf.DUMMYFUNCTION("""COMPUTED_VALUE"""),"bobcoward44@gmail.com")</f>
        <v>bobcoward44@gmail.com</v>
      </c>
      <c r="G3077" s="3">
        <f>IFERROR(__xludf.DUMMYFUNCTION("""COMPUTED_VALUE"""),9.052696881E9)</f>
        <v>9052696881</v>
      </c>
      <c r="H3077" s="3"/>
    </row>
    <row r="3078">
      <c r="A3078" s="2">
        <f>IFERROR(__xludf.DUMMYFUNCTION("""COMPUTED_VALUE"""),40167.0)</f>
        <v>40167</v>
      </c>
      <c r="B3078" s="3" t="str">
        <f>IFERROR(__xludf.DUMMYFUNCTION("""COMPUTED_VALUE"""),"114 CHAPPLE RD")</f>
        <v>114 CHAPPLE RD</v>
      </c>
      <c r="C3078" s="3" t="str">
        <f>IFERROR(__xludf.DUMMYFUNCTION("""COMPUTED_VALUE"""),"GRAFTON ")</f>
        <v>GRAFTON </v>
      </c>
      <c r="D3078" s="3" t="str">
        <f>IFERROR(__xludf.DUMMYFUNCTION("""COMPUTED_VALUE"""),"K0K 2G0")</f>
        <v>K0K 2G0</v>
      </c>
      <c r="E3078" s="3" t="str">
        <f>IFERROR(__xludf.DUMMYFUNCTION("""COMPUTED_VALUE"""),"jeff and robin vandemoosdyk")</f>
        <v>jeff and robin vandemoosdyk</v>
      </c>
      <c r="F3078" s="3" t="str">
        <f>IFERROR(__xludf.DUMMYFUNCTION("""COMPUTED_VALUE"""),"rvdm11@gmail.com")</f>
        <v>rvdm11@gmail.com</v>
      </c>
      <c r="G3078" s="3">
        <f>IFERROR(__xludf.DUMMYFUNCTION("""COMPUTED_VALUE"""),9.053493581E9)</f>
        <v>9053493581</v>
      </c>
      <c r="H3078" s="3"/>
    </row>
    <row r="3079">
      <c r="A3079" s="2">
        <f>IFERROR(__xludf.DUMMYFUNCTION("""COMPUTED_VALUE"""),40168.0)</f>
        <v>40168</v>
      </c>
      <c r="B3079" s="3" t="str">
        <f>IFERROR(__xludf.DUMMYFUNCTION("""COMPUTED_VALUE"""),"140 CHAPPLE RD")</f>
        <v>140 CHAPPLE RD</v>
      </c>
      <c r="C3079" s="3" t="str">
        <f>IFERROR(__xludf.DUMMYFUNCTION("""COMPUTED_VALUE"""),"GRAFTON ")</f>
        <v>GRAFTON </v>
      </c>
      <c r="D3079" s="3" t="str">
        <f>IFERROR(__xludf.DUMMYFUNCTION("""COMPUTED_VALUE"""),"K0K 2G0")</f>
        <v>K0K 2G0</v>
      </c>
      <c r="E3079" s="3" t="str">
        <f>IFERROR(__xludf.DUMMYFUNCTION("""COMPUTED_VALUE"""),"tanya ridau")</f>
        <v>tanya ridau</v>
      </c>
      <c r="F3079" s="3" t="str">
        <f>IFERROR(__xludf.DUMMYFUNCTION("""COMPUTED_VALUE"""),"yuotan18@gmail.com")</f>
        <v>yuotan18@gmail.com</v>
      </c>
      <c r="G3079" s="3">
        <f>IFERROR(__xludf.DUMMYFUNCTION("""COMPUTED_VALUE"""),2.899285727E9)</f>
        <v>2899285727</v>
      </c>
      <c r="H3079" s="3"/>
    </row>
    <row r="3080">
      <c r="A3080" s="2">
        <f>IFERROR(__xludf.DUMMYFUNCTION("""COMPUTED_VALUE"""),40169.0)</f>
        <v>40169</v>
      </c>
      <c r="B3080" s="3" t="str">
        <f>IFERROR(__xludf.DUMMYFUNCTION("""COMPUTED_VALUE"""),"150 CHAPPLE RD")</f>
        <v>150 CHAPPLE RD</v>
      </c>
      <c r="C3080" s="3" t="str">
        <f>IFERROR(__xludf.DUMMYFUNCTION("""COMPUTED_VALUE"""),"GRAFTON ")</f>
        <v>GRAFTON </v>
      </c>
      <c r="D3080" s="3" t="str">
        <f>IFERROR(__xludf.DUMMYFUNCTION("""COMPUTED_VALUE"""),"K0K 2G0")</f>
        <v>K0K 2G0</v>
      </c>
      <c r="E3080" s="3" t="str">
        <f>IFERROR(__xludf.DUMMYFUNCTION("""COMPUTED_VALUE"""),"jenna scorgie")</f>
        <v>jenna scorgie</v>
      </c>
      <c r="F3080" s="3" t="str">
        <f>IFERROR(__xludf.DUMMYFUNCTION("""COMPUTED_VALUE"""),"jcarterscorjie@gmail.com")</f>
        <v>jcarterscorjie@gmail.com</v>
      </c>
      <c r="G3080" s="3">
        <f>IFERROR(__xludf.DUMMYFUNCTION("""COMPUTED_VALUE"""),9.054318812E9)</f>
        <v>9054318812</v>
      </c>
      <c r="H3080" s="3"/>
    </row>
    <row r="3081">
      <c r="A3081" s="2">
        <f>IFERROR(__xludf.DUMMYFUNCTION("""COMPUTED_VALUE"""),40170.0)</f>
        <v>40170</v>
      </c>
      <c r="B3081" s="3" t="str">
        <f>IFERROR(__xludf.DUMMYFUNCTION("""COMPUTED_VALUE"""),"154 CHAPPLE RD")</f>
        <v>154 CHAPPLE RD</v>
      </c>
      <c r="C3081" s="3" t="str">
        <f>IFERROR(__xludf.DUMMYFUNCTION("""COMPUTED_VALUE"""),"GRAFTON ")</f>
        <v>GRAFTON </v>
      </c>
      <c r="D3081" s="3" t="str">
        <f>IFERROR(__xludf.DUMMYFUNCTION("""COMPUTED_VALUE"""),"K0K 2G0")</f>
        <v>K0K 2G0</v>
      </c>
      <c r="E3081" s="3"/>
      <c r="F3081" s="3"/>
      <c r="G3081" s="3"/>
      <c r="H3081" s="3"/>
    </row>
    <row r="3082">
      <c r="A3082" s="2">
        <f>IFERROR(__xludf.DUMMYFUNCTION("""COMPUTED_VALUE"""),40171.0)</f>
        <v>40171</v>
      </c>
      <c r="B3082" s="3" t="str">
        <f>IFERROR(__xludf.DUMMYFUNCTION("""COMPUTED_VALUE"""),"172 CHAPPLE RD")</f>
        <v>172 CHAPPLE RD</v>
      </c>
      <c r="C3082" s="3" t="str">
        <f>IFERROR(__xludf.DUMMYFUNCTION("""COMPUTED_VALUE"""),"GRAFTON ")</f>
        <v>GRAFTON </v>
      </c>
      <c r="D3082" s="3" t="str">
        <f>IFERROR(__xludf.DUMMYFUNCTION("""COMPUTED_VALUE"""),"K0K 2G0")</f>
        <v>K0K 2G0</v>
      </c>
      <c r="E3082" s="3"/>
      <c r="F3082" s="3"/>
      <c r="G3082" s="3"/>
      <c r="H3082" s="3"/>
    </row>
    <row r="3083">
      <c r="A3083" s="2">
        <f>IFERROR(__xludf.DUMMYFUNCTION("""COMPUTED_VALUE"""),40172.0)</f>
        <v>40172</v>
      </c>
      <c r="B3083" s="3" t="str">
        <f>IFERROR(__xludf.DUMMYFUNCTION("""COMPUTED_VALUE"""),"180 CHAPPLE RD")</f>
        <v>180 CHAPPLE RD</v>
      </c>
      <c r="C3083" s="3" t="str">
        <f>IFERROR(__xludf.DUMMYFUNCTION("""COMPUTED_VALUE"""),"GRAFTON ")</f>
        <v>GRAFTON </v>
      </c>
      <c r="D3083" s="3" t="str">
        <f>IFERROR(__xludf.DUMMYFUNCTION("""COMPUTED_VALUE"""),"K0K 2G0")</f>
        <v>K0K 2G0</v>
      </c>
      <c r="E3083" s="3" t="str">
        <f>IFERROR(__xludf.DUMMYFUNCTION("""COMPUTED_VALUE"""),"rachel pilon")</f>
        <v>rachel pilon</v>
      </c>
      <c r="F3083" s="3" t="str">
        <f>IFERROR(__xludf.DUMMYFUNCTION("""COMPUTED_VALUE"""),"racheldezon@hotmail.com")</f>
        <v>racheldezon@hotmail.com</v>
      </c>
      <c r="G3083" s="3">
        <f>IFERROR(__xludf.DUMMYFUNCTION("""COMPUTED_VALUE"""),9.054319891E9)</f>
        <v>9054319891</v>
      </c>
      <c r="H3083" s="3"/>
    </row>
    <row r="3084">
      <c r="A3084" s="2">
        <f>IFERROR(__xludf.DUMMYFUNCTION("""COMPUTED_VALUE"""),40179.0)</f>
        <v>40179</v>
      </c>
      <c r="B3084" s="3" t="str">
        <f>IFERROR(__xludf.DUMMYFUNCTION("""COMPUTED_VALUE"""),"111 CHERRY HILL RD")</f>
        <v>111 CHERRY HILL RD</v>
      </c>
      <c r="C3084" s="3" t="str">
        <f>IFERROR(__xludf.DUMMYFUNCTION("""COMPUTED_VALUE"""),"GRAFTON ")</f>
        <v>GRAFTON </v>
      </c>
      <c r="D3084" s="3" t="str">
        <f>IFERROR(__xludf.DUMMYFUNCTION("""COMPUTED_VALUE"""),"K0K 2G0")</f>
        <v>K0K 2G0</v>
      </c>
      <c r="E3084" s="3" t="str">
        <f>IFERROR(__xludf.DUMMYFUNCTION("""COMPUTED_VALUE"""),"arizona dixon")</f>
        <v>arizona dixon</v>
      </c>
      <c r="F3084" s="3" t="str">
        <f>IFERROR(__xludf.DUMMYFUNCTION("""COMPUTED_VALUE"""),"arizonadixon@gmail.com")</f>
        <v>arizonadixon@gmail.com</v>
      </c>
      <c r="G3084" s="3"/>
      <c r="H3084" s="3"/>
    </row>
    <row r="3085">
      <c r="A3085" s="2">
        <f>IFERROR(__xludf.DUMMYFUNCTION("""COMPUTED_VALUE"""),40180.0)</f>
        <v>40180</v>
      </c>
      <c r="B3085" s="3" t="str">
        <f>IFERROR(__xludf.DUMMYFUNCTION("""COMPUTED_VALUE"""),"123 CHERRY HILL RD")</f>
        <v>123 CHERRY HILL RD</v>
      </c>
      <c r="C3085" s="3" t="str">
        <f>IFERROR(__xludf.DUMMYFUNCTION("""COMPUTED_VALUE"""),"GRAFTON ")</f>
        <v>GRAFTON </v>
      </c>
      <c r="D3085" s="3" t="str">
        <f>IFERROR(__xludf.DUMMYFUNCTION("""COMPUTED_VALUE"""),"K0K 2G0")</f>
        <v>K0K 2G0</v>
      </c>
      <c r="E3085" s="3" t="str">
        <f>IFERROR(__xludf.DUMMYFUNCTION("""COMPUTED_VALUE"""),"PHILIP GARY CLARKE")</f>
        <v>PHILIP GARY CLARKE</v>
      </c>
      <c r="F3085" s="3" t="str">
        <f>IFERROR(__xludf.DUMMYFUNCTION("""COMPUTED_VALUE"""),"philipgaryclarke@gmail.com")</f>
        <v>philipgaryclarke@gmail.com</v>
      </c>
      <c r="G3085" s="3"/>
      <c r="H3085" s="3"/>
    </row>
    <row r="3086">
      <c r="A3086" s="2">
        <f>IFERROR(__xludf.DUMMYFUNCTION("""COMPUTED_VALUE"""),40185.0)</f>
        <v>40185</v>
      </c>
      <c r="B3086" s="3" t="str">
        <f>IFERROR(__xludf.DUMMYFUNCTION("""COMPUTED_VALUE"""),"124 CHUB POINT RD")</f>
        <v>124 CHUB POINT RD</v>
      </c>
      <c r="C3086" s="3" t="str">
        <f>IFERROR(__xludf.DUMMYFUNCTION("""COMPUTED_VALUE"""),"GRAFTON ")</f>
        <v>GRAFTON </v>
      </c>
      <c r="D3086" s="3" t="str">
        <f>IFERROR(__xludf.DUMMYFUNCTION("""COMPUTED_VALUE"""),"K0K 2G0")</f>
        <v>K0K 2G0</v>
      </c>
      <c r="E3086" s="3" t="str">
        <f>IFERROR(__xludf.DUMMYFUNCTION("""COMPUTED_VALUE"""),"m, macfarlane")</f>
        <v>m, macfarlane</v>
      </c>
      <c r="F3086" s="3"/>
      <c r="G3086" s="3">
        <f>IFERROR(__xludf.DUMMYFUNCTION("""COMPUTED_VALUE"""),9.052977667E9)</f>
        <v>9052977667</v>
      </c>
      <c r="H3086" s="3"/>
    </row>
    <row r="3087">
      <c r="A3087" s="2">
        <f>IFERROR(__xludf.DUMMYFUNCTION("""COMPUTED_VALUE"""),40186.0)</f>
        <v>40186</v>
      </c>
      <c r="B3087" s="3" t="str">
        <f>IFERROR(__xludf.DUMMYFUNCTION("""COMPUTED_VALUE"""),"140 CHUB POINT RD")</f>
        <v>140 CHUB POINT RD</v>
      </c>
      <c r="C3087" s="3" t="str">
        <f>IFERROR(__xludf.DUMMYFUNCTION("""COMPUTED_VALUE"""),"GRAFTON ")</f>
        <v>GRAFTON </v>
      </c>
      <c r="D3087" s="3" t="str">
        <f>IFERROR(__xludf.DUMMYFUNCTION("""COMPUTED_VALUE"""),"K0K 2G0")</f>
        <v>K0K 2G0</v>
      </c>
      <c r="E3087" s="3" t="str">
        <f>IFERROR(__xludf.DUMMYFUNCTION("""COMPUTED_VALUE"""),"Craig Heffernan")</f>
        <v>Craig Heffernan</v>
      </c>
      <c r="F3087" s="3" t="str">
        <f>IFERROR(__xludf.DUMMYFUNCTION("""COMPUTED_VALUE"""),"craig.heffernan@effem.com")</f>
        <v>craig.heffernan@effem.com</v>
      </c>
      <c r="G3087" s="3">
        <f>IFERROR(__xludf.DUMMYFUNCTION("""COMPUTED_VALUE"""),4.167718773E9)</f>
        <v>4167718773</v>
      </c>
      <c r="H3087" s="3"/>
    </row>
    <row r="3088">
      <c r="A3088" s="2">
        <f>IFERROR(__xludf.DUMMYFUNCTION("""COMPUTED_VALUE"""),40187.0)</f>
        <v>40187</v>
      </c>
      <c r="B3088" s="3" t="str">
        <f>IFERROR(__xludf.DUMMYFUNCTION("""COMPUTED_VALUE"""),"149 CHUB POINT RD")</f>
        <v>149 CHUB POINT RD</v>
      </c>
      <c r="C3088" s="3" t="str">
        <f>IFERROR(__xludf.DUMMYFUNCTION("""COMPUTED_VALUE"""),"GRAFTON ")</f>
        <v>GRAFTON </v>
      </c>
      <c r="D3088" s="3" t="str">
        <f>IFERROR(__xludf.DUMMYFUNCTION("""COMPUTED_VALUE"""),"K0K 2G0")</f>
        <v>K0K 2G0</v>
      </c>
      <c r="E3088" s="3"/>
      <c r="F3088" s="3"/>
      <c r="G3088" s="3"/>
      <c r="H3088" s="3"/>
    </row>
    <row r="3089">
      <c r="A3089" s="2">
        <f>IFERROR(__xludf.DUMMYFUNCTION("""COMPUTED_VALUE"""),40188.0)</f>
        <v>40188</v>
      </c>
      <c r="B3089" s="3" t="str">
        <f>IFERROR(__xludf.DUMMYFUNCTION("""COMPUTED_VALUE"""),"161 CHUB POINT RD")</f>
        <v>161 CHUB POINT RD</v>
      </c>
      <c r="C3089" s="3" t="str">
        <f>IFERROR(__xludf.DUMMYFUNCTION("""COMPUTED_VALUE"""),"GRAFTON ")</f>
        <v>GRAFTON </v>
      </c>
      <c r="D3089" s="3" t="str">
        <f>IFERROR(__xludf.DUMMYFUNCTION("""COMPUTED_VALUE"""),"K0K 2G0")</f>
        <v>K0K 2G0</v>
      </c>
      <c r="E3089" s="3"/>
      <c r="F3089" s="3"/>
      <c r="G3089" s="3"/>
      <c r="H3089" s="3"/>
    </row>
    <row r="3090">
      <c r="A3090" s="2">
        <f>IFERROR(__xludf.DUMMYFUNCTION("""COMPUTED_VALUE"""),40189.0)</f>
        <v>40189</v>
      </c>
      <c r="B3090" s="3" t="str">
        <f>IFERROR(__xludf.DUMMYFUNCTION("""COMPUTED_VALUE"""),"167 CHUB POINT RD")</f>
        <v>167 CHUB POINT RD</v>
      </c>
      <c r="C3090" s="3" t="str">
        <f>IFERROR(__xludf.DUMMYFUNCTION("""COMPUTED_VALUE"""),"GRAFTON ")</f>
        <v>GRAFTON </v>
      </c>
      <c r="D3090" s="3" t="str">
        <f>IFERROR(__xludf.DUMMYFUNCTION("""COMPUTED_VALUE"""),"K0K 2G0")</f>
        <v>K0K 2G0</v>
      </c>
      <c r="E3090" s="3" t="str">
        <f>IFERROR(__xludf.DUMMYFUNCTION("""COMPUTED_VALUE"""),"Alice Strand")</f>
        <v>Alice Strand</v>
      </c>
      <c r="F3090" s="3" t="str">
        <f>IFERROR(__xludf.DUMMYFUNCTION("""COMPUTED_VALUE"""),"snowfireinsummer@gmail.com")</f>
        <v>snowfireinsummer@gmail.com</v>
      </c>
      <c r="G3090" s="3"/>
      <c r="H3090" s="3"/>
    </row>
    <row r="3091">
      <c r="A3091" s="2">
        <f>IFERROR(__xludf.DUMMYFUNCTION("""COMPUTED_VALUE"""),40190.0)</f>
        <v>40190</v>
      </c>
      <c r="B3091" s="3" t="str">
        <f>IFERROR(__xludf.DUMMYFUNCTION("""COMPUTED_VALUE"""),"169 CHUB POINT RD")</f>
        <v>169 CHUB POINT RD</v>
      </c>
      <c r="C3091" s="3" t="str">
        <f>IFERROR(__xludf.DUMMYFUNCTION("""COMPUTED_VALUE"""),"GRAFTON ")</f>
        <v>GRAFTON </v>
      </c>
      <c r="D3091" s="3" t="str">
        <f>IFERROR(__xludf.DUMMYFUNCTION("""COMPUTED_VALUE"""),"K0K 2G0")</f>
        <v>K0K 2G0</v>
      </c>
      <c r="E3091" s="3" t="str">
        <f>IFERROR(__xludf.DUMMYFUNCTION("""COMPUTED_VALUE"""),"Jerry Walters ")</f>
        <v>Jerry Walters </v>
      </c>
      <c r="F3091" s="3" t="str">
        <f>IFERROR(__xludf.DUMMYFUNCTION("""COMPUTED_VALUE"""),"waltersjerry@gmail.com")</f>
        <v>waltersjerry@gmail.com</v>
      </c>
      <c r="G3091" s="3"/>
      <c r="H3091" s="3"/>
    </row>
    <row r="3092">
      <c r="A3092" s="2">
        <f>IFERROR(__xludf.DUMMYFUNCTION("""COMPUTED_VALUE"""),40191.0)</f>
        <v>40191</v>
      </c>
      <c r="B3092" s="3" t="str">
        <f>IFERROR(__xludf.DUMMYFUNCTION("""COMPUTED_VALUE"""),"175 CHUB POINT RD")</f>
        <v>175 CHUB POINT RD</v>
      </c>
      <c r="C3092" s="3" t="str">
        <f>IFERROR(__xludf.DUMMYFUNCTION("""COMPUTED_VALUE"""),"GRAFTON ")</f>
        <v>GRAFTON </v>
      </c>
      <c r="D3092" s="3" t="str">
        <f>IFERROR(__xludf.DUMMYFUNCTION("""COMPUTED_VALUE"""),"K0K 2G0")</f>
        <v>K0K 2G0</v>
      </c>
      <c r="E3092" s="3"/>
      <c r="F3092" s="3"/>
      <c r="G3092" s="3"/>
      <c r="H3092" s="3"/>
    </row>
    <row r="3093">
      <c r="A3093" s="2">
        <f>IFERROR(__xludf.DUMMYFUNCTION("""COMPUTED_VALUE"""),40192.0)</f>
        <v>40192</v>
      </c>
      <c r="B3093" s="3" t="str">
        <f>IFERROR(__xludf.DUMMYFUNCTION("""COMPUTED_VALUE"""),"185 CHUB POINT RD")</f>
        <v>185 CHUB POINT RD</v>
      </c>
      <c r="C3093" s="3" t="str">
        <f>IFERROR(__xludf.DUMMYFUNCTION("""COMPUTED_VALUE"""),"GRAFTON ")</f>
        <v>GRAFTON </v>
      </c>
      <c r="D3093" s="3" t="str">
        <f>IFERROR(__xludf.DUMMYFUNCTION("""COMPUTED_VALUE"""),"K0K 2G0")</f>
        <v>K0K 2G0</v>
      </c>
      <c r="E3093" s="3" t="str">
        <f>IFERROR(__xludf.DUMMYFUNCTION("""COMPUTED_VALUE"""),"phillip fisher ")</f>
        <v>phillip fisher </v>
      </c>
      <c r="F3093" s="3"/>
      <c r="G3093" s="3">
        <f>IFERROR(__xludf.DUMMYFUNCTION("""COMPUTED_VALUE"""),9.053493709E9)</f>
        <v>9053493709</v>
      </c>
      <c r="H3093" s="3"/>
    </row>
    <row r="3094">
      <c r="A3094" s="2">
        <f>IFERROR(__xludf.DUMMYFUNCTION("""COMPUTED_VALUE"""),40193.0)</f>
        <v>40193</v>
      </c>
      <c r="B3094" s="3" t="str">
        <f>IFERROR(__xludf.DUMMYFUNCTION("""COMPUTED_VALUE"""),"191 CHUB POINT RD")</f>
        <v>191 CHUB POINT RD</v>
      </c>
      <c r="C3094" s="3" t="str">
        <f>IFERROR(__xludf.DUMMYFUNCTION("""COMPUTED_VALUE"""),"GRAFTON ")</f>
        <v>GRAFTON </v>
      </c>
      <c r="D3094" s="3" t="str">
        <f>IFERROR(__xludf.DUMMYFUNCTION("""COMPUTED_VALUE"""),"K0K 2G0")</f>
        <v>K0K 2G0</v>
      </c>
      <c r="E3094" s="3" t="str">
        <f>IFERROR(__xludf.DUMMYFUNCTION("""COMPUTED_VALUE"""),"sherwood mclernon")</f>
        <v>sherwood mclernon</v>
      </c>
      <c r="F3094" s="3" t="str">
        <f>IFERROR(__xludf.DUMMYFUNCTION("""COMPUTED_VALUE"""),"siam@eagle.ca")</f>
        <v>siam@eagle.ca</v>
      </c>
      <c r="G3094" s="3">
        <f>IFERROR(__xludf.DUMMYFUNCTION("""COMPUTED_VALUE"""),9.053493829E9)</f>
        <v>9053493829</v>
      </c>
      <c r="H3094" s="3">
        <f>IFERROR(__xludf.DUMMYFUNCTION("""COMPUTED_VALUE"""),9.05269456E9)</f>
        <v>9052694560</v>
      </c>
    </row>
    <row r="3095">
      <c r="A3095" s="2">
        <f>IFERROR(__xludf.DUMMYFUNCTION("""COMPUTED_VALUE"""),40194.0)</f>
        <v>40194</v>
      </c>
      <c r="B3095" s="3" t="str">
        <f>IFERROR(__xludf.DUMMYFUNCTION("""COMPUTED_VALUE"""),"214 CHUB POINT RD")</f>
        <v>214 CHUB POINT RD</v>
      </c>
      <c r="C3095" s="3" t="str">
        <f>IFERROR(__xludf.DUMMYFUNCTION("""COMPUTED_VALUE"""),"GRAFTON ")</f>
        <v>GRAFTON </v>
      </c>
      <c r="D3095" s="3" t="str">
        <f>IFERROR(__xludf.DUMMYFUNCTION("""COMPUTED_VALUE"""),"K0K 2G0")</f>
        <v>K0K 2G0</v>
      </c>
      <c r="E3095" s="3" t="str">
        <f>IFERROR(__xludf.DUMMYFUNCTION("""COMPUTED_VALUE"""),"david hayes ")</f>
        <v>david hayes </v>
      </c>
      <c r="F3095" s="3" t="str">
        <f>IFERROR(__xludf.DUMMYFUNCTION("""COMPUTED_VALUE"""),"cedarail@hotmail.com")</f>
        <v>cedarail@hotmail.com</v>
      </c>
      <c r="G3095" s="3">
        <f>IFERROR(__xludf.DUMMYFUNCTION("""COMPUTED_VALUE"""),9.053492068E9)</f>
        <v>9053492068</v>
      </c>
      <c r="H3095" s="3">
        <f>IFERROR(__xludf.DUMMYFUNCTION("""COMPUTED_VALUE"""),9.053733061E9)</f>
        <v>9053733061</v>
      </c>
    </row>
    <row r="3096">
      <c r="A3096" s="2">
        <f>IFERROR(__xludf.DUMMYFUNCTION("""COMPUTED_VALUE"""),40195.0)</f>
        <v>40195</v>
      </c>
      <c r="B3096" s="3" t="str">
        <f>IFERROR(__xludf.DUMMYFUNCTION("""COMPUTED_VALUE"""),"222 CHUB POINT RD")</f>
        <v>222 CHUB POINT RD</v>
      </c>
      <c r="C3096" s="3" t="str">
        <f>IFERROR(__xludf.DUMMYFUNCTION("""COMPUTED_VALUE"""),"GRAFTON ")</f>
        <v>GRAFTON </v>
      </c>
      <c r="D3096" s="3" t="str">
        <f>IFERROR(__xludf.DUMMYFUNCTION("""COMPUTED_VALUE"""),"K0K 2G0")</f>
        <v>K0K 2G0</v>
      </c>
      <c r="E3096" s="3"/>
      <c r="F3096" s="3"/>
      <c r="G3096" s="3"/>
      <c r="H3096" s="3"/>
    </row>
    <row r="3097">
      <c r="A3097" s="2">
        <f>IFERROR(__xludf.DUMMYFUNCTION("""COMPUTED_VALUE"""),40196.0)</f>
        <v>40196</v>
      </c>
      <c r="B3097" s="3" t="str">
        <f>IFERROR(__xludf.DUMMYFUNCTION("""COMPUTED_VALUE"""),"109 CLITHEROE RD")</f>
        <v>109 CLITHEROE RD</v>
      </c>
      <c r="C3097" s="3" t="str">
        <f>IFERROR(__xludf.DUMMYFUNCTION("""COMPUTED_VALUE"""),"GRAFTON ")</f>
        <v>GRAFTON </v>
      </c>
      <c r="D3097" s="3" t="str">
        <f>IFERROR(__xludf.DUMMYFUNCTION("""COMPUTED_VALUE"""),"K0K 2G0")</f>
        <v>K0K 2G0</v>
      </c>
      <c r="E3097" s="3" t="str">
        <f>IFERROR(__xludf.DUMMYFUNCTION("""COMPUTED_VALUE"""),"Gerald Taylor")</f>
        <v>Gerald Taylor</v>
      </c>
      <c r="F3097" s="3" t="str">
        <f>IFERROR(__xludf.DUMMYFUNCTION("""COMPUTED_VALUE"""),"tayward@eagle.ca")</f>
        <v>tayward@eagle.ca</v>
      </c>
      <c r="G3097" s="3"/>
      <c r="H3097" s="3"/>
    </row>
    <row r="3098">
      <c r="A3098" s="2">
        <f>IFERROR(__xludf.DUMMYFUNCTION("""COMPUTED_VALUE"""),40197.0)</f>
        <v>40197</v>
      </c>
      <c r="B3098" s="3" t="str">
        <f>IFERROR(__xludf.DUMMYFUNCTION("""COMPUTED_VALUE"""),"120 CLITHEROE RD")</f>
        <v>120 CLITHEROE RD</v>
      </c>
      <c r="C3098" s="3" t="str">
        <f>IFERROR(__xludf.DUMMYFUNCTION("""COMPUTED_VALUE"""),"GRAFTON ")</f>
        <v>GRAFTON </v>
      </c>
      <c r="D3098" s="3" t="str">
        <f>IFERROR(__xludf.DUMMYFUNCTION("""COMPUTED_VALUE"""),"K0K 2G0")</f>
        <v>K0K 2G0</v>
      </c>
      <c r="E3098" s="3" t="str">
        <f>IFERROR(__xludf.DUMMYFUNCTION("""COMPUTED_VALUE"""),"Clifford Ting")</f>
        <v>Clifford Ting</v>
      </c>
      <c r="F3098" s="3" t="str">
        <f>IFERROR(__xludf.DUMMYFUNCTION("""COMPUTED_VALUE"""),"cliff.ting@outlook.com")</f>
        <v>cliff.ting@outlook.com</v>
      </c>
      <c r="G3098" s="3"/>
      <c r="H3098" s="3"/>
    </row>
    <row r="3099">
      <c r="A3099" s="2">
        <f>IFERROR(__xludf.DUMMYFUNCTION("""COMPUTED_VALUE"""),40198.0)</f>
        <v>40198</v>
      </c>
      <c r="B3099" s="3" t="str">
        <f>IFERROR(__xludf.DUMMYFUNCTION("""COMPUTED_VALUE"""),"125 CLITHEROE RD")</f>
        <v>125 CLITHEROE RD</v>
      </c>
      <c r="C3099" s="3" t="str">
        <f>IFERROR(__xludf.DUMMYFUNCTION("""COMPUTED_VALUE"""),"GRAFTON ")</f>
        <v>GRAFTON </v>
      </c>
      <c r="D3099" s="3" t="str">
        <f>IFERROR(__xludf.DUMMYFUNCTION("""COMPUTED_VALUE"""),"K0K 2G0")</f>
        <v>K0K 2G0</v>
      </c>
      <c r="E3099" s="3" t="str">
        <f>IFERROR(__xludf.DUMMYFUNCTION("""COMPUTED_VALUE"""),"Suzanne Elston")</f>
        <v>Suzanne Elston</v>
      </c>
      <c r="F3099" s="3" t="str">
        <f>IFERROR(__xludf.DUMMYFUNCTION("""COMPUTED_VALUE"""),"selston@gmail.com")</f>
        <v>selston@gmail.com</v>
      </c>
      <c r="G3099" s="3">
        <f>IFERROR(__xludf.DUMMYFUNCTION("""COMPUTED_VALUE"""),9.057061805E9)</f>
        <v>9057061805</v>
      </c>
      <c r="H3099" s="3"/>
    </row>
    <row r="3100">
      <c r="A3100" s="2">
        <f>IFERROR(__xludf.DUMMYFUNCTION("""COMPUTED_VALUE"""),40199.0)</f>
        <v>40199</v>
      </c>
      <c r="B3100" s="3" t="str">
        <f>IFERROR(__xludf.DUMMYFUNCTION("""COMPUTED_VALUE"""),"126 CLITHEROE RD")</f>
        <v>126 CLITHEROE RD</v>
      </c>
      <c r="C3100" s="3" t="str">
        <f>IFERROR(__xludf.DUMMYFUNCTION("""COMPUTED_VALUE"""),"GRAFTON ")</f>
        <v>GRAFTON </v>
      </c>
      <c r="D3100" s="3" t="str">
        <f>IFERROR(__xludf.DUMMYFUNCTION("""COMPUTED_VALUE"""),"K0K 2G0")</f>
        <v>K0K 2G0</v>
      </c>
      <c r="E3100" s="3"/>
      <c r="F3100" s="3"/>
      <c r="G3100" s="3"/>
      <c r="H3100" s="3"/>
    </row>
    <row r="3101">
      <c r="A3101" s="2">
        <f>IFERROR(__xludf.DUMMYFUNCTION("""COMPUTED_VALUE"""),40200.0)</f>
        <v>40200</v>
      </c>
      <c r="B3101" s="3" t="str">
        <f>IFERROR(__xludf.DUMMYFUNCTION("""COMPUTED_VALUE"""),"129 CLITHEROE RD")</f>
        <v>129 CLITHEROE RD</v>
      </c>
      <c r="C3101" s="3" t="str">
        <f>IFERROR(__xludf.DUMMYFUNCTION("""COMPUTED_VALUE"""),"GRAFTON ")</f>
        <v>GRAFTON </v>
      </c>
      <c r="D3101" s="3" t="str">
        <f>IFERROR(__xludf.DUMMYFUNCTION("""COMPUTED_VALUE"""),"K0K 2G0")</f>
        <v>K0K 2G0</v>
      </c>
      <c r="E3101" s="3" t="str">
        <f>IFERROR(__xludf.DUMMYFUNCTION("""COMPUTED_VALUE"""),"drew ")</f>
        <v>drew </v>
      </c>
      <c r="F3101" s="3"/>
      <c r="G3101" s="3">
        <f>IFERROR(__xludf.DUMMYFUNCTION("""COMPUTED_VALUE"""),9.053760578E9)</f>
        <v>9053760578</v>
      </c>
      <c r="H3101" s="3"/>
    </row>
    <row r="3102">
      <c r="A3102" s="2">
        <f>IFERROR(__xludf.DUMMYFUNCTION("""COMPUTED_VALUE"""),40201.0)</f>
        <v>40201</v>
      </c>
      <c r="B3102" s="3" t="str">
        <f>IFERROR(__xludf.DUMMYFUNCTION("""COMPUTED_VALUE"""),"132 CLITHEROE RD")</f>
        <v>132 CLITHEROE RD</v>
      </c>
      <c r="C3102" s="3" t="str">
        <f>IFERROR(__xludf.DUMMYFUNCTION("""COMPUTED_VALUE"""),"GRAFTON ")</f>
        <v>GRAFTON </v>
      </c>
      <c r="D3102" s="3" t="str">
        <f>IFERROR(__xludf.DUMMYFUNCTION("""COMPUTED_VALUE"""),"K0K 2G0")</f>
        <v>K0K 2G0</v>
      </c>
      <c r="E3102" s="3"/>
      <c r="F3102" s="3"/>
      <c r="G3102" s="3"/>
      <c r="H3102" s="3"/>
    </row>
    <row r="3103">
      <c r="A3103" s="2">
        <f>IFERROR(__xludf.DUMMYFUNCTION("""COMPUTED_VALUE"""),40202.0)</f>
        <v>40202</v>
      </c>
      <c r="B3103" s="3" t="str">
        <f>IFERROR(__xludf.DUMMYFUNCTION("""COMPUTED_VALUE"""),"142 CLITHEROE RD")</f>
        <v>142 CLITHEROE RD</v>
      </c>
      <c r="C3103" s="3" t="str">
        <f>IFERROR(__xludf.DUMMYFUNCTION("""COMPUTED_VALUE"""),"GRAFTON ")</f>
        <v>GRAFTON </v>
      </c>
      <c r="D3103" s="3" t="str">
        <f>IFERROR(__xludf.DUMMYFUNCTION("""COMPUTED_VALUE"""),"K0K 2G0")</f>
        <v>K0K 2G0</v>
      </c>
      <c r="E3103" s="3" t="str">
        <f>IFERROR(__xludf.DUMMYFUNCTION("""COMPUTED_VALUE"""),"brian fraser")</f>
        <v>brian fraser</v>
      </c>
      <c r="F3103" s="3" t="str">
        <f>IFERROR(__xludf.DUMMYFUNCTION("""COMPUTED_VALUE"""),"blfras@eagle.ca")</f>
        <v>blfras@eagle.ca</v>
      </c>
      <c r="G3103" s="3">
        <f>IFERROR(__xludf.DUMMYFUNCTION("""COMPUTED_VALUE"""),9.053492774E9)</f>
        <v>9053492774</v>
      </c>
      <c r="H3103" s="3"/>
    </row>
    <row r="3104">
      <c r="A3104" s="2">
        <f>IFERROR(__xludf.DUMMYFUNCTION("""COMPUTED_VALUE"""),40203.0)</f>
        <v>40203</v>
      </c>
      <c r="B3104" s="3" t="str">
        <f>IFERROR(__xludf.DUMMYFUNCTION("""COMPUTED_VALUE"""),"143 CLITHEROE RD")</f>
        <v>143 CLITHEROE RD</v>
      </c>
      <c r="C3104" s="3" t="str">
        <f>IFERROR(__xludf.DUMMYFUNCTION("""COMPUTED_VALUE"""),"GRAFTON ")</f>
        <v>GRAFTON </v>
      </c>
      <c r="D3104" s="3" t="str">
        <f>IFERROR(__xludf.DUMMYFUNCTION("""COMPUTED_VALUE"""),"K0K 2G0")</f>
        <v>K0K 2G0</v>
      </c>
      <c r="E3104" s="3"/>
      <c r="F3104" s="3"/>
      <c r="G3104" s="3"/>
      <c r="H3104" s="3"/>
    </row>
    <row r="3105">
      <c r="A3105" s="2">
        <f>IFERROR(__xludf.DUMMYFUNCTION("""COMPUTED_VALUE"""),40204.0)</f>
        <v>40204</v>
      </c>
      <c r="B3105" s="3" t="str">
        <f>IFERROR(__xludf.DUMMYFUNCTION("""COMPUTED_VALUE"""),"150 CLITHEROE RD")</f>
        <v>150 CLITHEROE RD</v>
      </c>
      <c r="C3105" s="3" t="str">
        <f>IFERROR(__xludf.DUMMYFUNCTION("""COMPUTED_VALUE"""),"GRAFTON ")</f>
        <v>GRAFTON </v>
      </c>
      <c r="D3105" s="3" t="str">
        <f>IFERROR(__xludf.DUMMYFUNCTION("""COMPUTED_VALUE"""),"K0K 2G0")</f>
        <v>K0K 2G0</v>
      </c>
      <c r="E3105" s="3" t="str">
        <f>IFERROR(__xludf.DUMMYFUNCTION("""COMPUTED_VALUE"""),"robert logel")</f>
        <v>robert logel</v>
      </c>
      <c r="F3105" s="3" t="str">
        <f>IFERROR(__xludf.DUMMYFUNCTION("""COMPUTED_VALUE"""),"bobkat_09@hotmail.com")</f>
        <v>bobkat_09@hotmail.com</v>
      </c>
      <c r="G3105" s="3">
        <f>IFERROR(__xludf.DUMMYFUNCTION("""COMPUTED_VALUE"""),9.052692127E9)</f>
        <v>9052692127</v>
      </c>
      <c r="H3105" s="3">
        <f>IFERROR(__xludf.DUMMYFUNCTION("""COMPUTED_VALUE"""),9.052692127E9)</f>
        <v>9052692127</v>
      </c>
    </row>
    <row r="3106">
      <c r="A3106" s="2">
        <f>IFERROR(__xludf.DUMMYFUNCTION("""COMPUTED_VALUE"""),40205.0)</f>
        <v>40205</v>
      </c>
      <c r="B3106" s="3" t="str">
        <f>IFERROR(__xludf.DUMMYFUNCTION("""COMPUTED_VALUE"""),"160 CLITHEROE RD")</f>
        <v>160 CLITHEROE RD</v>
      </c>
      <c r="C3106" s="3" t="str">
        <f>IFERROR(__xludf.DUMMYFUNCTION("""COMPUTED_VALUE"""),"GRAFTON ")</f>
        <v>GRAFTON </v>
      </c>
      <c r="D3106" s="3" t="str">
        <f>IFERROR(__xludf.DUMMYFUNCTION("""COMPUTED_VALUE"""),"K0K 2G0")</f>
        <v>K0K 2G0</v>
      </c>
      <c r="E3106" s="3" t="str">
        <f>IFERROR(__xludf.DUMMYFUNCTION("""COMPUTED_VALUE"""),"Brian and Pat Baggaley")</f>
        <v>Brian and Pat Baggaley</v>
      </c>
      <c r="F3106" s="3" t="str">
        <f>IFERROR(__xludf.DUMMYFUNCTION("""COMPUTED_VALUE"""),"bpmlbaggaley@gmail.com")</f>
        <v>bpmlbaggaley@gmail.com</v>
      </c>
      <c r="G3106" s="3">
        <f>IFERROR(__xludf.DUMMYFUNCTION("""COMPUTED_VALUE"""),2.896888936E9)</f>
        <v>2896888936</v>
      </c>
      <c r="H3106" s="3">
        <f>IFERROR(__xludf.DUMMYFUNCTION("""COMPUTED_VALUE"""),2.898290331E9)</f>
        <v>2898290331</v>
      </c>
    </row>
    <row r="3107">
      <c r="A3107" s="2">
        <f>IFERROR(__xludf.DUMMYFUNCTION("""COMPUTED_VALUE"""),40206.0)</f>
        <v>40206</v>
      </c>
      <c r="B3107" s="3" t="str">
        <f>IFERROR(__xludf.DUMMYFUNCTION("""COMPUTED_VALUE"""),"163 CLITHEROE RD")</f>
        <v>163 CLITHEROE RD</v>
      </c>
      <c r="C3107" s="3" t="str">
        <f>IFERROR(__xludf.DUMMYFUNCTION("""COMPUTED_VALUE"""),"GRAFTON ")</f>
        <v>GRAFTON </v>
      </c>
      <c r="D3107" s="3" t="str">
        <f>IFERROR(__xludf.DUMMYFUNCTION("""COMPUTED_VALUE"""),"K0K 2G0")</f>
        <v>K0K 2G0</v>
      </c>
      <c r="E3107" s="3"/>
      <c r="F3107" s="3"/>
      <c r="G3107" s="3"/>
      <c r="H3107" s="3"/>
    </row>
    <row r="3108">
      <c r="A3108" s="2">
        <f>IFERROR(__xludf.DUMMYFUNCTION("""COMPUTED_VALUE"""),40207.0)</f>
        <v>40207</v>
      </c>
      <c r="B3108" s="3" t="str">
        <f>IFERROR(__xludf.DUMMYFUNCTION("""COMPUTED_VALUE"""),"166 CLITHEROE RD")</f>
        <v>166 CLITHEROE RD</v>
      </c>
      <c r="C3108" s="3" t="str">
        <f>IFERROR(__xludf.DUMMYFUNCTION("""COMPUTED_VALUE"""),"GRAFTON ")</f>
        <v>GRAFTON </v>
      </c>
      <c r="D3108" s="3" t="str">
        <f>IFERROR(__xludf.DUMMYFUNCTION("""COMPUTED_VALUE"""),"K0K 2G0")</f>
        <v>K0K 2G0</v>
      </c>
      <c r="E3108" s="3" t="str">
        <f>IFERROR(__xludf.DUMMYFUNCTION("""COMPUTED_VALUE"""),"Harry Waugh Jones")</f>
        <v>Harry Waugh Jones</v>
      </c>
      <c r="F3108" s="3" t="str">
        <f>IFERROR(__xludf.DUMMYFUNCTION("""COMPUTED_VALUE"""),"taradale5255@gmail.com.")</f>
        <v>taradale5255@gmail.com.</v>
      </c>
      <c r="G3108" s="3">
        <f>IFERROR(__xludf.DUMMYFUNCTION("""COMPUTED_VALUE"""),2.898293018E9)</f>
        <v>2898293018</v>
      </c>
      <c r="H3108" s="3">
        <f>IFERROR(__xludf.DUMMYFUNCTION("""COMPUTED_VALUE"""),9.053963018E9)</f>
        <v>9053963018</v>
      </c>
    </row>
    <row r="3109">
      <c r="A3109" s="2">
        <f>IFERROR(__xludf.DUMMYFUNCTION("""COMPUTED_VALUE"""),40208.0)</f>
        <v>40208</v>
      </c>
      <c r="B3109" s="3" t="str">
        <f>IFERROR(__xludf.DUMMYFUNCTION("""COMPUTED_VALUE"""),"169 CLITHEROE RD")</f>
        <v>169 CLITHEROE RD</v>
      </c>
      <c r="C3109" s="3" t="str">
        <f>IFERROR(__xludf.DUMMYFUNCTION("""COMPUTED_VALUE"""),"GRAFTON ")</f>
        <v>GRAFTON </v>
      </c>
      <c r="D3109" s="3" t="str">
        <f>IFERROR(__xludf.DUMMYFUNCTION("""COMPUTED_VALUE"""),"K0K 2G0")</f>
        <v>K0K 2G0</v>
      </c>
      <c r="E3109" s="3" t="str">
        <f>IFERROR(__xludf.DUMMYFUNCTION("""COMPUTED_VALUE"""),"Bradley Hill ")</f>
        <v>Bradley Hill </v>
      </c>
      <c r="F3109" s="3" t="str">
        <f>IFERROR(__xludf.DUMMYFUNCTION("""COMPUTED_VALUE"""),"bradhill@live.ca")</f>
        <v>bradhill@live.ca</v>
      </c>
      <c r="G3109" s="3"/>
      <c r="H3109" s="3"/>
    </row>
    <row r="3110">
      <c r="A3110" s="2">
        <f>IFERROR(__xludf.DUMMYFUNCTION("""COMPUTED_VALUE"""),40209.0)</f>
        <v>40209</v>
      </c>
      <c r="B3110" s="3" t="str">
        <f>IFERROR(__xludf.DUMMYFUNCTION("""COMPUTED_VALUE"""),"170 CLITHEROE RD")</f>
        <v>170 CLITHEROE RD</v>
      </c>
      <c r="C3110" s="3" t="str">
        <f>IFERROR(__xludf.DUMMYFUNCTION("""COMPUTED_VALUE"""),"GRAFTON ")</f>
        <v>GRAFTON </v>
      </c>
      <c r="D3110" s="3" t="str">
        <f>IFERROR(__xludf.DUMMYFUNCTION("""COMPUTED_VALUE"""),"K0K 2G0")</f>
        <v>K0K 2G0</v>
      </c>
      <c r="E3110" s="3" t="str">
        <f>IFERROR(__xludf.DUMMYFUNCTION("""COMPUTED_VALUE"""),"Jake O'Connor")</f>
        <v>Jake O'Connor</v>
      </c>
      <c r="F3110" s="3" t="str">
        <f>IFERROR(__xludf.DUMMYFUNCTION("""COMPUTED_VALUE"""),"jake.oconnor@steannes.com")</f>
        <v>jake.oconnor@steannes.com</v>
      </c>
      <c r="G3110" s="3">
        <f>IFERROR(__xludf.DUMMYFUNCTION("""COMPUTED_VALUE"""),9.053757044E9)</f>
        <v>9053757044</v>
      </c>
      <c r="H3110" s="3"/>
    </row>
    <row r="3111">
      <c r="A3111" s="2">
        <f>IFERROR(__xludf.DUMMYFUNCTION("""COMPUTED_VALUE"""),40210.0)</f>
        <v>40210</v>
      </c>
      <c r="B3111" s="3" t="str">
        <f>IFERROR(__xludf.DUMMYFUNCTION("""COMPUTED_VALUE"""),"177 CLITHEROE RD")</f>
        <v>177 CLITHEROE RD</v>
      </c>
      <c r="C3111" s="3" t="str">
        <f>IFERROR(__xludf.DUMMYFUNCTION("""COMPUTED_VALUE"""),"GRAFTON ")</f>
        <v>GRAFTON </v>
      </c>
      <c r="D3111" s="3" t="str">
        <f>IFERROR(__xludf.DUMMYFUNCTION("""COMPUTED_VALUE"""),"K0K 2G0")</f>
        <v>K0K 2G0</v>
      </c>
      <c r="E3111" s="3" t="str">
        <f>IFERROR(__xludf.DUMMYFUNCTION("""COMPUTED_VALUE"""),"Joel MacDonald")</f>
        <v>Joel MacDonald</v>
      </c>
      <c r="F3111" s="3" t="str">
        <f>IFERROR(__xludf.DUMMYFUNCTION("""COMPUTED_VALUE"""),"joelandhilary2015@gmail.com")</f>
        <v>joelandhilary2015@gmail.com</v>
      </c>
      <c r="G3111" s="3">
        <f>IFERROR(__xludf.DUMMYFUNCTION("""COMPUTED_VALUE"""),6.139788987E9)</f>
        <v>6139788987</v>
      </c>
      <c r="H3111" s="3">
        <f>IFERROR(__xludf.DUMMYFUNCTION("""COMPUTED_VALUE"""),4.037004187E9)</f>
        <v>4037004187</v>
      </c>
    </row>
    <row r="3112">
      <c r="A3112" s="2">
        <f>IFERROR(__xludf.DUMMYFUNCTION("""COMPUTED_VALUE"""),40211.0)</f>
        <v>40211</v>
      </c>
      <c r="B3112" s="3" t="str">
        <f>IFERROR(__xludf.DUMMYFUNCTION("""COMPUTED_VALUE"""),"178 CLITHEROE RD")</f>
        <v>178 CLITHEROE RD</v>
      </c>
      <c r="C3112" s="3" t="str">
        <f>IFERROR(__xludf.DUMMYFUNCTION("""COMPUTED_VALUE"""),"GRAFTON ")</f>
        <v>GRAFTON </v>
      </c>
      <c r="D3112" s="3" t="str">
        <f>IFERROR(__xludf.DUMMYFUNCTION("""COMPUTED_VALUE"""),"K0K 2G0")</f>
        <v>K0K 2G0</v>
      </c>
      <c r="E3112" s="3" t="str">
        <f>IFERROR(__xludf.DUMMYFUNCTION("""COMPUTED_VALUE"""),"edie david ")</f>
        <v>edie david </v>
      </c>
      <c r="F3112" s="3"/>
      <c r="G3112" s="3">
        <f>IFERROR(__xludf.DUMMYFUNCTION("""COMPUTED_VALUE"""),9.054424813E9)</f>
        <v>9054424813</v>
      </c>
      <c r="H3112" s="3"/>
    </row>
    <row r="3113">
      <c r="A3113" s="2">
        <f>IFERROR(__xludf.DUMMYFUNCTION("""COMPUTED_VALUE"""),40212.0)</f>
        <v>40212</v>
      </c>
      <c r="B3113" s="3" t="str">
        <f>IFERROR(__xludf.DUMMYFUNCTION("""COMPUTED_VALUE"""),"185 CLITHEROE RD")</f>
        <v>185 CLITHEROE RD</v>
      </c>
      <c r="C3113" s="3" t="str">
        <f>IFERROR(__xludf.DUMMYFUNCTION("""COMPUTED_VALUE"""),"GRAFTON ")</f>
        <v>GRAFTON </v>
      </c>
      <c r="D3113" s="3" t="str">
        <f>IFERROR(__xludf.DUMMYFUNCTION("""COMPUTED_VALUE"""),"K0K 2G0")</f>
        <v>K0K 2G0</v>
      </c>
      <c r="E3113" s="3" t="str">
        <f>IFERROR(__xludf.DUMMYFUNCTION("""COMPUTED_VALUE"""),"monica kalinina/michael yoo")</f>
        <v>monica kalinina/michael yoo</v>
      </c>
      <c r="F3113" s="3" t="str">
        <f>IFERROR(__xludf.DUMMYFUNCTION("""COMPUTED_VALUE"""),"monicakalinina@gmail.com")</f>
        <v>monicakalinina@gmail.com</v>
      </c>
      <c r="G3113" s="3">
        <f>IFERROR(__xludf.DUMMYFUNCTION("""COMPUTED_VALUE"""),6.478604025E9)</f>
        <v>6478604025</v>
      </c>
      <c r="H3113" s="3"/>
    </row>
    <row r="3114">
      <c r="A3114" s="2">
        <f>IFERROR(__xludf.DUMMYFUNCTION("""COMPUTED_VALUE"""),40213.0)</f>
        <v>40213</v>
      </c>
      <c r="B3114" s="3" t="str">
        <f>IFERROR(__xludf.DUMMYFUNCTION("""COMPUTED_VALUE"""),"186 CLITHEROE RD")</f>
        <v>186 CLITHEROE RD</v>
      </c>
      <c r="C3114" s="3" t="str">
        <f>IFERROR(__xludf.DUMMYFUNCTION("""COMPUTED_VALUE"""),"GRAFTON ")</f>
        <v>GRAFTON </v>
      </c>
      <c r="D3114" s="3" t="str">
        <f>IFERROR(__xludf.DUMMYFUNCTION("""COMPUTED_VALUE"""),"K0K 2G0")</f>
        <v>K0K 2G0</v>
      </c>
      <c r="E3114" s="3"/>
      <c r="F3114" s="3"/>
      <c r="G3114" s="3"/>
      <c r="H3114" s="3"/>
    </row>
    <row r="3115">
      <c r="A3115" s="2">
        <f>IFERROR(__xludf.DUMMYFUNCTION("""COMPUTED_VALUE"""),40214.0)</f>
        <v>40214</v>
      </c>
      <c r="B3115" s="3" t="str">
        <f>IFERROR(__xludf.DUMMYFUNCTION("""COMPUTED_VALUE"""),"194 CLITHEROE RD")</f>
        <v>194 CLITHEROE RD</v>
      </c>
      <c r="C3115" s="3" t="str">
        <f>IFERROR(__xludf.DUMMYFUNCTION("""COMPUTED_VALUE"""),"GRAFTON ")</f>
        <v>GRAFTON </v>
      </c>
      <c r="D3115" s="3" t="str">
        <f>IFERROR(__xludf.DUMMYFUNCTION("""COMPUTED_VALUE"""),"K0K 2G0")</f>
        <v>K0K 2G0</v>
      </c>
      <c r="E3115" s="3"/>
      <c r="F3115" s="3"/>
      <c r="G3115" s="3"/>
      <c r="H3115" s="3"/>
    </row>
    <row r="3116">
      <c r="A3116" s="2">
        <f>IFERROR(__xludf.DUMMYFUNCTION("""COMPUTED_VALUE"""),40215.0)</f>
        <v>40215</v>
      </c>
      <c r="B3116" s="3" t="str">
        <f>IFERROR(__xludf.DUMMYFUNCTION("""COMPUTED_VALUE"""),"199 CLITHEROE RD")</f>
        <v>199 CLITHEROE RD</v>
      </c>
      <c r="C3116" s="3" t="str">
        <f>IFERROR(__xludf.DUMMYFUNCTION("""COMPUTED_VALUE"""),"GRAFTON ")</f>
        <v>GRAFTON </v>
      </c>
      <c r="D3116" s="3" t="str">
        <f>IFERROR(__xludf.DUMMYFUNCTION("""COMPUTED_VALUE"""),"K0K 2G0")</f>
        <v>K0K 2G0</v>
      </c>
      <c r="E3116" s="3"/>
      <c r="F3116" s="3"/>
      <c r="G3116" s="3"/>
      <c r="H3116" s="3"/>
    </row>
    <row r="3117">
      <c r="A3117" s="2">
        <f>IFERROR(__xludf.DUMMYFUNCTION("""COMPUTED_VALUE"""),40216.0)</f>
        <v>40216</v>
      </c>
      <c r="B3117" s="3" t="str">
        <f>IFERROR(__xludf.DUMMYFUNCTION("""COMPUTED_VALUE"""),"201 CLITHEROE RD")</f>
        <v>201 CLITHEROE RD</v>
      </c>
      <c r="C3117" s="3" t="str">
        <f>IFERROR(__xludf.DUMMYFUNCTION("""COMPUTED_VALUE"""),"GRAFTON ")</f>
        <v>GRAFTON </v>
      </c>
      <c r="D3117" s="3" t="str">
        <f>IFERROR(__xludf.DUMMYFUNCTION("""COMPUTED_VALUE"""),"K0K 2G0")</f>
        <v>K0K 2G0</v>
      </c>
      <c r="E3117" s="3"/>
      <c r="F3117" s="3"/>
      <c r="G3117" s="3"/>
      <c r="H3117" s="3"/>
    </row>
    <row r="3118">
      <c r="A3118" s="2">
        <f>IFERROR(__xludf.DUMMYFUNCTION("""COMPUTED_VALUE"""),40217.0)</f>
        <v>40217</v>
      </c>
      <c r="B3118" s="3" t="str">
        <f>IFERROR(__xludf.DUMMYFUNCTION("""COMPUTED_VALUE"""),"202 CLITHEROE RD")</f>
        <v>202 CLITHEROE RD</v>
      </c>
      <c r="C3118" s="3" t="str">
        <f>IFERROR(__xludf.DUMMYFUNCTION("""COMPUTED_VALUE"""),"GRAFTON ")</f>
        <v>GRAFTON </v>
      </c>
      <c r="D3118" s="3" t="str">
        <f>IFERROR(__xludf.DUMMYFUNCTION("""COMPUTED_VALUE"""),"K0K 2G0")</f>
        <v>K0K 2G0</v>
      </c>
      <c r="E3118" s="3" t="str">
        <f>IFERROR(__xludf.DUMMYFUNCTION("""COMPUTED_VALUE"""),"MIKE SHEEHY")</f>
        <v>MIKE SHEEHY</v>
      </c>
      <c r="F3118" s="3" t="str">
        <f>IFERROR(__xludf.DUMMYFUNCTION("""COMPUTED_VALUE"""),"michaelgsheehy@live.com")</f>
        <v>michaelgsheehy@live.com</v>
      </c>
      <c r="G3118" s="3"/>
      <c r="H3118" s="3"/>
    </row>
    <row r="3119">
      <c r="A3119" s="2">
        <f>IFERROR(__xludf.DUMMYFUNCTION("""COMPUTED_VALUE"""),40218.0)</f>
        <v>40218</v>
      </c>
      <c r="B3119" s="3" t="str">
        <f>IFERROR(__xludf.DUMMYFUNCTION("""COMPUTED_VALUE"""),"210 CLITHEROE RD")</f>
        <v>210 CLITHEROE RD</v>
      </c>
      <c r="C3119" s="3" t="str">
        <f>IFERROR(__xludf.DUMMYFUNCTION("""COMPUTED_VALUE"""),"GRAFTON ")</f>
        <v>GRAFTON </v>
      </c>
      <c r="D3119" s="3" t="str">
        <f>IFERROR(__xludf.DUMMYFUNCTION("""COMPUTED_VALUE"""),"K0K 2G0")</f>
        <v>K0K 2G0</v>
      </c>
      <c r="E3119" s="3" t="str">
        <f>IFERROR(__xludf.DUMMYFUNCTION("""COMPUTED_VALUE"""),"Tim Corkery")</f>
        <v>Tim Corkery</v>
      </c>
      <c r="F3119" s="3" t="str">
        <f>IFERROR(__xludf.DUMMYFUNCTION("""COMPUTED_VALUE"""),"dtcorkery@sympatico.ca")</f>
        <v>dtcorkery@sympatico.ca</v>
      </c>
      <c r="G3119" s="3">
        <f>IFERROR(__xludf.DUMMYFUNCTION("""COMPUTED_VALUE"""),9.053766579E9)</f>
        <v>9053766579</v>
      </c>
      <c r="H3119" s="3">
        <f>IFERROR(__xludf.DUMMYFUNCTION("""COMPUTED_VALUE"""),9.053765669E9)</f>
        <v>9053765669</v>
      </c>
    </row>
    <row r="3120">
      <c r="A3120" s="2">
        <f>IFERROR(__xludf.DUMMYFUNCTION("""COMPUTED_VALUE"""),40219.0)</f>
        <v>40219</v>
      </c>
      <c r="B3120" s="3" t="str">
        <f>IFERROR(__xludf.DUMMYFUNCTION("""COMPUTED_VALUE"""),"226 CLITHEROE RD")</f>
        <v>226 CLITHEROE RD</v>
      </c>
      <c r="C3120" s="3" t="str">
        <f>IFERROR(__xludf.DUMMYFUNCTION("""COMPUTED_VALUE"""),"GRAFTON ")</f>
        <v>GRAFTON </v>
      </c>
      <c r="D3120" s="3" t="str">
        <f>IFERROR(__xludf.DUMMYFUNCTION("""COMPUTED_VALUE"""),"K0K 2G0")</f>
        <v>K0K 2G0</v>
      </c>
      <c r="E3120" s="3" t="str">
        <f>IFERROR(__xludf.DUMMYFUNCTION("""COMPUTED_VALUE"""),"Matthew McNally")</f>
        <v>Matthew McNally</v>
      </c>
      <c r="F3120" s="3" t="str">
        <f>IFERROR(__xludf.DUMMYFUNCTION("""COMPUTED_VALUE"""),"lisamarimcnally@yahoo.com")</f>
        <v>lisamarimcnally@yahoo.com</v>
      </c>
      <c r="G3120" s="3">
        <f>IFERROR(__xludf.DUMMYFUNCTION("""COMPUTED_VALUE"""),9.059042838E9)</f>
        <v>9059042838</v>
      </c>
      <c r="H3120" s="3">
        <f>IFERROR(__xludf.DUMMYFUNCTION("""COMPUTED_VALUE"""),9.059256741E9)</f>
        <v>9059256741</v>
      </c>
    </row>
    <row r="3121">
      <c r="A3121" s="2">
        <f>IFERROR(__xludf.DUMMYFUNCTION("""COMPUTED_VALUE"""),40220.0)</f>
        <v>40220</v>
      </c>
      <c r="B3121" s="3" t="str">
        <f>IFERROR(__xludf.DUMMYFUNCTION("""COMPUTED_VALUE"""),"239 CLITHEROE RD")</f>
        <v>239 CLITHEROE RD</v>
      </c>
      <c r="C3121" s="3" t="str">
        <f>IFERROR(__xludf.DUMMYFUNCTION("""COMPUTED_VALUE"""),"GRAFTON ")</f>
        <v>GRAFTON </v>
      </c>
      <c r="D3121" s="3" t="str">
        <f>IFERROR(__xludf.DUMMYFUNCTION("""COMPUTED_VALUE"""),"K0K 2G0")</f>
        <v>K0K 2G0</v>
      </c>
      <c r="E3121" s="3" t="str">
        <f>IFERROR(__xludf.DUMMYFUNCTION("""COMPUTED_VALUE"""),"Colleen Crossen Wright")</f>
        <v>Colleen Crossen Wright</v>
      </c>
      <c r="F3121" s="3" t="str">
        <f>IFERROR(__xludf.DUMMYFUNCTION("""COMPUTED_VALUE"""),"ccrossen.wright@gmail.com")</f>
        <v>ccrossen.wright@gmail.com</v>
      </c>
      <c r="G3121" s="3"/>
      <c r="H3121" s="3"/>
    </row>
    <row r="3122">
      <c r="A3122" s="2">
        <f>IFERROR(__xludf.DUMMYFUNCTION("""COMPUTED_VALUE"""),40221.0)</f>
        <v>40221</v>
      </c>
      <c r="B3122" s="3" t="str">
        <f>IFERROR(__xludf.DUMMYFUNCTION("""COMPUTED_VALUE"""),"262 CLITHEROE RD")</f>
        <v>262 CLITHEROE RD</v>
      </c>
      <c r="C3122" s="3" t="str">
        <f>IFERROR(__xludf.DUMMYFUNCTION("""COMPUTED_VALUE"""),"GRAFTON ")</f>
        <v>GRAFTON </v>
      </c>
      <c r="D3122" s="3" t="str">
        <f>IFERROR(__xludf.DUMMYFUNCTION("""COMPUTED_VALUE"""),"K0K 2G0")</f>
        <v>K0K 2G0</v>
      </c>
      <c r="E3122" s="3"/>
      <c r="F3122" s="3"/>
      <c r="G3122" s="3"/>
      <c r="H3122" s="3"/>
    </row>
    <row r="3123">
      <c r="A3123" s="2">
        <f>IFERROR(__xludf.DUMMYFUNCTION("""COMPUTED_VALUE"""),40222.0)</f>
        <v>40222</v>
      </c>
      <c r="B3123" s="3" t="str">
        <f>IFERROR(__xludf.DUMMYFUNCTION("""COMPUTED_VALUE"""),"282 CLITHEROE RD")</f>
        <v>282 CLITHEROE RD</v>
      </c>
      <c r="C3123" s="3" t="str">
        <f>IFERROR(__xludf.DUMMYFUNCTION("""COMPUTED_VALUE"""),"GRAFTON ")</f>
        <v>GRAFTON </v>
      </c>
      <c r="D3123" s="3" t="str">
        <f>IFERROR(__xludf.DUMMYFUNCTION("""COMPUTED_VALUE"""),"K0K 2G0")</f>
        <v>K0K 2G0</v>
      </c>
      <c r="E3123" s="3" t="str">
        <f>IFERROR(__xludf.DUMMYFUNCTION("""COMPUTED_VALUE"""),"jamis kennedy")</f>
        <v>jamis kennedy</v>
      </c>
      <c r="F3123" s="3"/>
      <c r="G3123" s="3">
        <f>IFERROR(__xludf.DUMMYFUNCTION("""COMPUTED_VALUE"""),6.476134891E9)</f>
        <v>6476134891</v>
      </c>
      <c r="H3123" s="3"/>
    </row>
    <row r="3124">
      <c r="A3124" s="2">
        <f>IFERROR(__xludf.DUMMYFUNCTION("""COMPUTED_VALUE"""),40223.0)</f>
        <v>40223</v>
      </c>
      <c r="B3124" s="3" t="str">
        <f>IFERROR(__xludf.DUMMYFUNCTION("""COMPUTED_VALUE"""),"285A-258 CLITHEROE RD")</f>
        <v>285A-258 CLITHEROE RD</v>
      </c>
      <c r="C3124" s="3" t="str">
        <f>IFERROR(__xludf.DUMMYFUNCTION("""COMPUTED_VALUE"""),"GRAFTON ")</f>
        <v>GRAFTON </v>
      </c>
      <c r="D3124" s="3" t="str">
        <f>IFERROR(__xludf.DUMMYFUNCTION("""COMPUTED_VALUE"""),"K0K 2G0")</f>
        <v>K0K 2G0</v>
      </c>
      <c r="E3124" s="3" t="str">
        <f>IFERROR(__xludf.DUMMYFUNCTION("""COMPUTED_VALUE"""),"Jeff &amp; Terri Lyn Wright")</f>
        <v>Jeff &amp; Terri Lyn Wright</v>
      </c>
      <c r="F3124" s="3" t="str">
        <f>IFERROR(__xludf.DUMMYFUNCTION("""COMPUTED_VALUE"""),"tlwright1166@gmail.com")</f>
        <v>tlwright1166@gmail.com</v>
      </c>
      <c r="G3124" s="3">
        <f>IFERROR(__xludf.DUMMYFUNCTION("""COMPUTED_VALUE"""),9.05207514E9)</f>
        <v>9052075140</v>
      </c>
      <c r="H3124" s="3"/>
    </row>
    <row r="3125">
      <c r="A3125" s="2">
        <f>IFERROR(__xludf.DUMMYFUNCTION("""COMPUTED_VALUE"""),40226.0)</f>
        <v>40226</v>
      </c>
      <c r="B3125" s="3" t="str">
        <f>IFERROR(__xludf.DUMMYFUNCTION("""COMPUTED_VALUE"""),"9276 COUNTY RD 2")</f>
        <v>9276 COUNTY RD 2</v>
      </c>
      <c r="C3125" s="3" t="str">
        <f>IFERROR(__xludf.DUMMYFUNCTION("""COMPUTED_VALUE"""),"COBOURG")</f>
        <v>COBOURG</v>
      </c>
      <c r="D3125" s="3" t="str">
        <f>IFERROR(__xludf.DUMMYFUNCTION("""COMPUTED_VALUE"""),"K9A 4J8")</f>
        <v>K9A 4J8</v>
      </c>
      <c r="E3125" s="3" t="str">
        <f>IFERROR(__xludf.DUMMYFUNCTION("""COMPUTED_VALUE"""),"dominique girard")</f>
        <v>dominique girard</v>
      </c>
      <c r="F3125" s="3"/>
      <c r="G3125" s="3">
        <f>IFERROR(__xludf.DUMMYFUNCTION("""COMPUTED_VALUE"""),9.05207E7)</f>
        <v>90520700</v>
      </c>
      <c r="H3125" s="3"/>
    </row>
    <row r="3126">
      <c r="A3126" s="2">
        <f>IFERROR(__xludf.DUMMYFUNCTION("""COMPUTED_VALUE"""),40227.0)</f>
        <v>40227</v>
      </c>
      <c r="B3126" s="3" t="str">
        <f>IFERROR(__xludf.DUMMYFUNCTION("""COMPUTED_VALUE"""),"9299 COUNTY RD 2")</f>
        <v>9299 COUNTY RD 2</v>
      </c>
      <c r="C3126" s="3" t="str">
        <f>IFERROR(__xludf.DUMMYFUNCTION("""COMPUTED_VALUE"""),"COBOURG")</f>
        <v>COBOURG</v>
      </c>
      <c r="D3126" s="3" t="str">
        <f>IFERROR(__xludf.DUMMYFUNCTION("""COMPUTED_VALUE"""),"K9A 4J8")</f>
        <v>K9A 4J8</v>
      </c>
      <c r="E3126" s="3" t="str">
        <f>IFERROR(__xludf.DUMMYFUNCTION("""COMPUTED_VALUE"""),"Philip Flieler")</f>
        <v>Philip Flieler</v>
      </c>
      <c r="F3126" s="3" t="str">
        <f>IFERROR(__xludf.DUMMYFUNCTION("""COMPUTED_VALUE"""),"philflieler@gmail.com")</f>
        <v>philflieler@gmail.com</v>
      </c>
      <c r="G3126" s="3">
        <f>IFERROR(__xludf.DUMMYFUNCTION("""COMPUTED_VALUE"""),9.053761556E9)</f>
        <v>9053761556</v>
      </c>
      <c r="H3126" s="3">
        <f>IFERROR(__xludf.DUMMYFUNCTION("""COMPUTED_VALUE"""),9.053762221E9)</f>
        <v>9053762221</v>
      </c>
    </row>
    <row r="3127">
      <c r="A3127" s="2">
        <f>IFERROR(__xludf.DUMMYFUNCTION("""COMPUTED_VALUE"""),40228.0)</f>
        <v>40228</v>
      </c>
      <c r="B3127" s="3" t="str">
        <f>IFERROR(__xludf.DUMMYFUNCTION("""COMPUTED_VALUE"""),"9303 COUNTY RD 2")</f>
        <v>9303 COUNTY RD 2</v>
      </c>
      <c r="C3127" s="3" t="str">
        <f>IFERROR(__xludf.DUMMYFUNCTION("""COMPUTED_VALUE"""),"COBOURG")</f>
        <v>COBOURG</v>
      </c>
      <c r="D3127" s="3" t="str">
        <f>IFERROR(__xludf.DUMMYFUNCTION("""COMPUTED_VALUE"""),"K9A 4J8")</f>
        <v>K9A 4J8</v>
      </c>
      <c r="E3127" s="3" t="str">
        <f>IFERROR(__xludf.DUMMYFUNCTION("""COMPUTED_VALUE"""),"b, mahaffy")</f>
        <v>b, mahaffy</v>
      </c>
      <c r="F3127" s="3" t="str">
        <f>IFERROR(__xludf.DUMMYFUNCTION("""COMPUTED_VALUE"""),"blmahffy@gmail.com")</f>
        <v>blmahffy@gmail.com</v>
      </c>
      <c r="G3127" s="3">
        <f>IFERROR(__xludf.DUMMYFUNCTION("""COMPUTED_VALUE"""),9.053739518E9)</f>
        <v>9053739518</v>
      </c>
      <c r="H3127" s="3"/>
    </row>
    <row r="3128">
      <c r="A3128" s="2">
        <f>IFERROR(__xludf.DUMMYFUNCTION("""COMPUTED_VALUE"""),40224.0)</f>
        <v>40224</v>
      </c>
      <c r="B3128" s="3" t="str">
        <f>IFERROR(__xludf.DUMMYFUNCTION("""COMPUTED_VALUE"""),"9334 COUNTY RD 2 E")</f>
        <v>9334 COUNTY RD 2 E</v>
      </c>
      <c r="C3128" s="3" t="str">
        <f>IFERROR(__xludf.DUMMYFUNCTION("""COMPUTED_VALUE"""),"COBOURG")</f>
        <v>COBOURG</v>
      </c>
      <c r="D3128" s="3" t="str">
        <f>IFERROR(__xludf.DUMMYFUNCTION("""COMPUTED_VALUE"""),"K9A 4J8")</f>
        <v>K9A 4J8</v>
      </c>
      <c r="E3128" s="3"/>
      <c r="F3128" s="3"/>
      <c r="G3128" s="3"/>
      <c r="H3128" s="3"/>
    </row>
    <row r="3129">
      <c r="A3129" s="2">
        <f>IFERROR(__xludf.DUMMYFUNCTION("""COMPUTED_VALUE"""),40229.0)</f>
        <v>40229</v>
      </c>
      <c r="B3129" s="3" t="str">
        <f>IFERROR(__xludf.DUMMYFUNCTION("""COMPUTED_VALUE"""),"9421 COUNTY RD 2")</f>
        <v>9421 COUNTY RD 2</v>
      </c>
      <c r="C3129" s="3" t="str">
        <f>IFERROR(__xludf.DUMMYFUNCTION("""COMPUTED_VALUE"""),"COBOURG")</f>
        <v>COBOURG</v>
      </c>
      <c r="D3129" s="3" t="str">
        <f>IFERROR(__xludf.DUMMYFUNCTION("""COMPUTED_VALUE"""),"K9A 4J8")</f>
        <v>K9A 4J8</v>
      </c>
      <c r="E3129" s="3" t="str">
        <f>IFERROR(__xludf.DUMMYFUNCTION("""COMPUTED_VALUE"""),"sean byrak")</f>
        <v>sean byrak</v>
      </c>
      <c r="F3129" s="3"/>
      <c r="G3129" s="3">
        <f>IFERROR(__xludf.DUMMYFUNCTION("""COMPUTED_VALUE"""),7.057317207E9)</f>
        <v>7057317207</v>
      </c>
      <c r="H3129" s="3"/>
    </row>
    <row r="3130">
      <c r="A3130" s="2">
        <f>IFERROR(__xludf.DUMMYFUNCTION("""COMPUTED_VALUE"""),40230.0)</f>
        <v>40230</v>
      </c>
      <c r="B3130" s="3" t="str">
        <f>IFERROR(__xludf.DUMMYFUNCTION("""COMPUTED_VALUE"""),"9467 COUNTY RD 2")</f>
        <v>9467 COUNTY RD 2</v>
      </c>
      <c r="C3130" s="3" t="str">
        <f>IFERROR(__xludf.DUMMYFUNCTION("""COMPUTED_VALUE"""),"COBOURG")</f>
        <v>COBOURG</v>
      </c>
      <c r="D3130" s="3" t="str">
        <f>IFERROR(__xludf.DUMMYFUNCTION("""COMPUTED_VALUE"""),"K9A 4J8")</f>
        <v>K9A 4J8</v>
      </c>
      <c r="E3130" s="3"/>
      <c r="F3130" s="3"/>
      <c r="G3130" s="3"/>
      <c r="H3130" s="3"/>
    </row>
    <row r="3131">
      <c r="A3131" s="2">
        <f>IFERROR(__xludf.DUMMYFUNCTION("""COMPUTED_VALUE"""),40231.0)</f>
        <v>40231</v>
      </c>
      <c r="B3131" s="3" t="str">
        <f>IFERROR(__xludf.DUMMYFUNCTION("""COMPUTED_VALUE"""),"9562 COUNTY RD 2")</f>
        <v>9562 COUNTY RD 2</v>
      </c>
      <c r="C3131" s="3" t="str">
        <f>IFERROR(__xludf.DUMMYFUNCTION("""COMPUTED_VALUE"""),"COBOURG")</f>
        <v>COBOURG</v>
      </c>
      <c r="D3131" s="3" t="str">
        <f>IFERROR(__xludf.DUMMYFUNCTION("""COMPUTED_VALUE"""),"K9A 4J8")</f>
        <v>K9A 4J8</v>
      </c>
      <c r="E3131" s="3" t="str">
        <f>IFERROR(__xludf.DUMMYFUNCTION("""COMPUTED_VALUE"""),"Troy MacKenzie")</f>
        <v>Troy MacKenzie</v>
      </c>
      <c r="F3131" s="3" t="str">
        <f>IFERROR(__xludf.DUMMYFUNCTION("""COMPUTED_VALUE"""),"clanmackenzie@gmail.com")</f>
        <v>clanmackenzie@gmail.com</v>
      </c>
      <c r="G3131" s="3">
        <f>IFERROR(__xludf.DUMMYFUNCTION("""COMPUTED_VALUE"""),9.053754444E9)</f>
        <v>9053754444</v>
      </c>
      <c r="H3131" s="3"/>
    </row>
    <row r="3132">
      <c r="A3132" s="2">
        <f>IFERROR(__xludf.DUMMYFUNCTION("""COMPUTED_VALUE"""),40232.0)</f>
        <v>40232</v>
      </c>
      <c r="B3132" s="3" t="str">
        <f>IFERROR(__xludf.DUMMYFUNCTION("""COMPUTED_VALUE"""),"9604 COUNTY RD 2")</f>
        <v>9604 COUNTY RD 2</v>
      </c>
      <c r="C3132" s="3" t="str">
        <f>IFERROR(__xludf.DUMMYFUNCTION("""COMPUTED_VALUE"""),"COBOURG")</f>
        <v>COBOURG</v>
      </c>
      <c r="D3132" s="3" t="str">
        <f>IFERROR(__xludf.DUMMYFUNCTION("""COMPUTED_VALUE"""),"K9A 4J8")</f>
        <v>K9A 4J8</v>
      </c>
      <c r="E3132" s="3"/>
      <c r="F3132" s="3"/>
      <c r="G3132" s="3"/>
      <c r="H3132" s="3"/>
    </row>
    <row r="3133">
      <c r="A3133" s="2">
        <f>IFERROR(__xludf.DUMMYFUNCTION("""COMPUTED_VALUE"""),40233.0)</f>
        <v>40233</v>
      </c>
      <c r="B3133" s="3" t="str">
        <f>IFERROR(__xludf.DUMMYFUNCTION("""COMPUTED_VALUE"""),"9630 COUNTY RD 2")</f>
        <v>9630 COUNTY RD 2</v>
      </c>
      <c r="C3133" s="3" t="str">
        <f>IFERROR(__xludf.DUMMYFUNCTION("""COMPUTED_VALUE"""),"COBOURG")</f>
        <v>COBOURG</v>
      </c>
      <c r="D3133" s="3" t="str">
        <f>IFERROR(__xludf.DUMMYFUNCTION("""COMPUTED_VALUE"""),"K9A 4J8")</f>
        <v>K9A 4J8</v>
      </c>
      <c r="E3133" s="3"/>
      <c r="F3133" s="3"/>
      <c r="G3133" s="3"/>
      <c r="H3133" s="3"/>
    </row>
    <row r="3134">
      <c r="A3134" s="2">
        <f>IFERROR(__xludf.DUMMYFUNCTION("""COMPUTED_VALUE"""),40234.0)</f>
        <v>40234</v>
      </c>
      <c r="B3134" s="3" t="str">
        <f>IFERROR(__xludf.DUMMYFUNCTION("""COMPUTED_VALUE"""),"9633 COUNTY RD 2")</f>
        <v>9633 COUNTY RD 2</v>
      </c>
      <c r="C3134" s="3" t="str">
        <f>IFERROR(__xludf.DUMMYFUNCTION("""COMPUTED_VALUE"""),"COBOURG")</f>
        <v>COBOURG</v>
      </c>
      <c r="D3134" s="3" t="str">
        <f>IFERROR(__xludf.DUMMYFUNCTION("""COMPUTED_VALUE"""),"K9A 4J8")</f>
        <v>K9A 4J8</v>
      </c>
      <c r="E3134" s="3"/>
      <c r="F3134" s="3"/>
      <c r="G3134" s="3"/>
      <c r="H3134" s="3"/>
    </row>
    <row r="3135">
      <c r="A3135" s="2">
        <f>IFERROR(__xludf.DUMMYFUNCTION("""COMPUTED_VALUE"""),40235.0)</f>
        <v>40235</v>
      </c>
      <c r="B3135" s="3" t="str">
        <f>IFERROR(__xludf.DUMMYFUNCTION("""COMPUTED_VALUE"""),"9642 COUNTY RD 2")</f>
        <v>9642 COUNTY RD 2</v>
      </c>
      <c r="C3135" s="3" t="str">
        <f>IFERROR(__xludf.DUMMYFUNCTION("""COMPUTED_VALUE"""),"COBOURG")</f>
        <v>COBOURG</v>
      </c>
      <c r="D3135" s="3" t="str">
        <f>IFERROR(__xludf.DUMMYFUNCTION("""COMPUTED_VALUE"""),"K9A 4J8")</f>
        <v>K9A 4J8</v>
      </c>
      <c r="E3135" s="3" t="str">
        <f>IFERROR(__xludf.DUMMYFUNCTION("""COMPUTED_VALUE"""),"rory quigley / Denise Quigley")</f>
        <v>rory quigley / Denise Quigley</v>
      </c>
      <c r="F3135" s="3" t="str">
        <f>IFERROR(__xludf.DUMMYFUNCTION("""COMPUTED_VALUE"""),"quigley@egale.ca")</f>
        <v>quigley@egale.ca</v>
      </c>
      <c r="G3135" s="3">
        <f>IFERROR(__xludf.DUMMYFUNCTION("""COMPUTED_VALUE"""),9.053735252E9)</f>
        <v>9053735252</v>
      </c>
      <c r="H3135" s="3"/>
    </row>
    <row r="3136">
      <c r="A3136" s="2">
        <f>IFERROR(__xludf.DUMMYFUNCTION("""COMPUTED_VALUE"""),40236.0)</f>
        <v>40236</v>
      </c>
      <c r="B3136" s="3" t="str">
        <f>IFERROR(__xludf.DUMMYFUNCTION("""COMPUTED_VALUE"""),"9648 COUNTY RD 2")</f>
        <v>9648 COUNTY RD 2</v>
      </c>
      <c r="C3136" s="3" t="str">
        <f>IFERROR(__xludf.DUMMYFUNCTION("""COMPUTED_VALUE"""),"COBOURG")</f>
        <v>COBOURG</v>
      </c>
      <c r="D3136" s="3" t="str">
        <f>IFERROR(__xludf.DUMMYFUNCTION("""COMPUTED_VALUE"""),"K9A 4J8")</f>
        <v>K9A 4J8</v>
      </c>
      <c r="E3136" s="3"/>
      <c r="F3136" s="3"/>
      <c r="G3136" s="3"/>
      <c r="H3136" s="3"/>
    </row>
    <row r="3137">
      <c r="A3137" s="2">
        <f>IFERROR(__xludf.DUMMYFUNCTION("""COMPUTED_VALUE"""),40237.0)</f>
        <v>40237</v>
      </c>
      <c r="B3137" s="3" t="str">
        <f>IFERROR(__xludf.DUMMYFUNCTION("""COMPUTED_VALUE"""),"9654 COUNTY RD 2")</f>
        <v>9654 COUNTY RD 2</v>
      </c>
      <c r="C3137" s="3" t="str">
        <f>IFERROR(__xludf.DUMMYFUNCTION("""COMPUTED_VALUE"""),"COBOURG")</f>
        <v>COBOURG</v>
      </c>
      <c r="D3137" s="3" t="str">
        <f>IFERROR(__xludf.DUMMYFUNCTION("""COMPUTED_VALUE"""),"K9A 4J8")</f>
        <v>K9A 4J8</v>
      </c>
      <c r="E3137" s="3" t="str">
        <f>IFERROR(__xludf.DUMMYFUNCTION("""COMPUTED_VALUE"""),"KATHLEEN MARTIN")</f>
        <v>KATHLEEN MARTIN</v>
      </c>
      <c r="F3137" s="3" t="str">
        <f>IFERROR(__xludf.DUMMYFUNCTION("""COMPUTED_VALUE"""),"kaymartin393@gmail.com")</f>
        <v>kaymartin393@gmail.com</v>
      </c>
      <c r="G3137" s="3"/>
      <c r="H3137" s="3"/>
    </row>
    <row r="3138">
      <c r="A3138" s="2">
        <f>IFERROR(__xludf.DUMMYFUNCTION("""COMPUTED_VALUE"""),40225.0)</f>
        <v>40225</v>
      </c>
      <c r="B3138" s="3" t="str">
        <f>IFERROR(__xludf.DUMMYFUNCTION("""COMPUTED_VALUE"""),"9667 COUNTY RD 2 E")</f>
        <v>9667 COUNTY RD 2 E</v>
      </c>
      <c r="C3138" s="3" t="str">
        <f>IFERROR(__xludf.DUMMYFUNCTION("""COMPUTED_VALUE"""),"COBOURG")</f>
        <v>COBOURG</v>
      </c>
      <c r="D3138" s="3" t="str">
        <f>IFERROR(__xludf.DUMMYFUNCTION("""COMPUTED_VALUE"""),"K9A 4J8")</f>
        <v>K9A 4J8</v>
      </c>
      <c r="E3138" s="3"/>
      <c r="F3138" s="3"/>
      <c r="G3138" s="3"/>
      <c r="H3138" s="3"/>
    </row>
    <row r="3139">
      <c r="A3139" s="2">
        <f>IFERROR(__xludf.DUMMYFUNCTION("""COMPUTED_VALUE"""),40238.0)</f>
        <v>40238</v>
      </c>
      <c r="B3139" s="3" t="str">
        <f>IFERROR(__xludf.DUMMYFUNCTION("""COMPUTED_VALUE"""),"9668 COUNTY RD 2")</f>
        <v>9668 COUNTY RD 2</v>
      </c>
      <c r="C3139" s="3" t="str">
        <f>IFERROR(__xludf.DUMMYFUNCTION("""COMPUTED_VALUE"""),"COBOURG")</f>
        <v>COBOURG</v>
      </c>
      <c r="D3139" s="3" t="str">
        <f>IFERROR(__xludf.DUMMYFUNCTION("""COMPUTED_VALUE"""),"K9A 4J8")</f>
        <v>K9A 4J8</v>
      </c>
      <c r="E3139" s="3"/>
      <c r="F3139" s="3"/>
      <c r="G3139" s="3"/>
      <c r="H3139" s="3"/>
    </row>
    <row r="3140">
      <c r="A3140" s="2">
        <f>IFERROR(__xludf.DUMMYFUNCTION("""COMPUTED_VALUE"""),40239.0)</f>
        <v>40239</v>
      </c>
      <c r="B3140" s="3" t="str">
        <f>IFERROR(__xludf.DUMMYFUNCTION("""COMPUTED_VALUE"""),"9681 COUNTY RD 2")</f>
        <v>9681 COUNTY RD 2</v>
      </c>
      <c r="C3140" s="3" t="str">
        <f>IFERROR(__xludf.DUMMYFUNCTION("""COMPUTED_VALUE"""),"COBOURG")</f>
        <v>COBOURG</v>
      </c>
      <c r="D3140" s="3" t="str">
        <f>IFERROR(__xludf.DUMMYFUNCTION("""COMPUTED_VALUE"""),"K9A 4J8")</f>
        <v>K9A 4J8</v>
      </c>
      <c r="E3140" s="3"/>
      <c r="F3140" s="3"/>
      <c r="G3140" s="3"/>
      <c r="H3140" s="3"/>
    </row>
    <row r="3141">
      <c r="A3141" s="2">
        <f>IFERROR(__xludf.DUMMYFUNCTION("""COMPUTED_VALUE"""),40240.0)</f>
        <v>40240</v>
      </c>
      <c r="B3141" s="3" t="str">
        <f>IFERROR(__xludf.DUMMYFUNCTION("""COMPUTED_VALUE"""),"9686 COUNTY RD 2")</f>
        <v>9686 COUNTY RD 2</v>
      </c>
      <c r="C3141" s="3" t="str">
        <f>IFERROR(__xludf.DUMMYFUNCTION("""COMPUTED_VALUE"""),"COBOURG")</f>
        <v>COBOURG</v>
      </c>
      <c r="D3141" s="3" t="str">
        <f>IFERROR(__xludf.DUMMYFUNCTION("""COMPUTED_VALUE"""),"K9A 4J8")</f>
        <v>K9A 4J8</v>
      </c>
      <c r="E3141" s="3" t="str">
        <f>IFERROR(__xludf.DUMMYFUNCTION("""COMPUTED_VALUE"""),"Daryl Bradimore")</f>
        <v>Daryl Bradimore</v>
      </c>
      <c r="F3141" s="3" t="str">
        <f>IFERROR(__xludf.DUMMYFUNCTION("""COMPUTED_VALUE"""),"daryl.bradimore@gmail.com")</f>
        <v>daryl.bradimore@gmail.com</v>
      </c>
      <c r="G3141" s="3">
        <f>IFERROR(__xludf.DUMMYFUNCTION("""COMPUTED_VALUE"""),2.892519068E9)</f>
        <v>2892519068</v>
      </c>
      <c r="H3141" s="3"/>
    </row>
    <row r="3142">
      <c r="A3142" s="2">
        <f>IFERROR(__xludf.DUMMYFUNCTION("""COMPUTED_VALUE"""),40241.0)</f>
        <v>40241</v>
      </c>
      <c r="B3142" s="3" t="str">
        <f>IFERROR(__xludf.DUMMYFUNCTION("""COMPUTED_VALUE"""),"9692 COUNTY RD 2")</f>
        <v>9692 COUNTY RD 2</v>
      </c>
      <c r="C3142" s="3" t="str">
        <f>IFERROR(__xludf.DUMMYFUNCTION("""COMPUTED_VALUE"""),"COBOURG")</f>
        <v>COBOURG</v>
      </c>
      <c r="D3142" s="3" t="str">
        <f>IFERROR(__xludf.DUMMYFUNCTION("""COMPUTED_VALUE"""),"K9A 4J8")</f>
        <v>K9A 4J8</v>
      </c>
      <c r="E3142" s="3" t="str">
        <f>IFERROR(__xludf.DUMMYFUNCTION("""COMPUTED_VALUE"""),"richard blair ")</f>
        <v>richard blair </v>
      </c>
      <c r="F3142" s="3" t="str">
        <f>IFERROR(__xludf.DUMMYFUNCTION("""COMPUTED_VALUE"""),"aileenmary.blair@gmail.com")</f>
        <v>aileenmary.blair@gmail.com</v>
      </c>
      <c r="G3142" s="3">
        <f>IFERROR(__xludf.DUMMYFUNCTION("""COMPUTED_VALUE"""),9.053770207E9)</f>
        <v>9053770207</v>
      </c>
      <c r="H3142" s="3">
        <f>IFERROR(__xludf.DUMMYFUNCTION("""COMPUTED_VALUE"""),9.053769664E9)</f>
        <v>9053769664</v>
      </c>
    </row>
    <row r="3143">
      <c r="A3143" s="2">
        <f>IFERROR(__xludf.DUMMYFUNCTION("""COMPUTED_VALUE"""),40242.0)</f>
        <v>40242</v>
      </c>
      <c r="B3143" s="3" t="str">
        <f>IFERROR(__xludf.DUMMYFUNCTION("""COMPUTED_VALUE"""),"9693 COUNTY RD 2")</f>
        <v>9693 COUNTY RD 2</v>
      </c>
      <c r="C3143" s="3" t="str">
        <f>IFERROR(__xludf.DUMMYFUNCTION("""COMPUTED_VALUE"""),"COBOURG")</f>
        <v>COBOURG</v>
      </c>
      <c r="D3143" s="3" t="str">
        <f>IFERROR(__xludf.DUMMYFUNCTION("""COMPUTED_VALUE"""),"K9A 4J8")</f>
        <v>K9A 4J8</v>
      </c>
      <c r="E3143" s="3"/>
      <c r="F3143" s="3"/>
      <c r="G3143" s="3"/>
      <c r="H3143" s="3"/>
    </row>
    <row r="3144">
      <c r="A3144" s="2">
        <f>IFERROR(__xludf.DUMMYFUNCTION("""COMPUTED_VALUE"""),40243.0)</f>
        <v>40243</v>
      </c>
      <c r="B3144" s="3" t="str">
        <f>IFERROR(__xludf.DUMMYFUNCTION("""COMPUTED_VALUE"""),"9701 COUNTY RD 2")</f>
        <v>9701 COUNTY RD 2</v>
      </c>
      <c r="C3144" s="3" t="str">
        <f>IFERROR(__xludf.DUMMYFUNCTION("""COMPUTED_VALUE"""),"COBOURG")</f>
        <v>COBOURG</v>
      </c>
      <c r="D3144" s="3" t="str">
        <f>IFERROR(__xludf.DUMMYFUNCTION("""COMPUTED_VALUE"""),"K9A 4J8")</f>
        <v>K9A 4J8</v>
      </c>
      <c r="E3144" s="3" t="str">
        <f>IFERROR(__xludf.DUMMYFUNCTION("""COMPUTED_VALUE"""),"joey delroserio")</f>
        <v>joey delroserio</v>
      </c>
      <c r="F3144" s="3" t="str">
        <f>IFERROR(__xludf.DUMMYFUNCTION("""COMPUTED_VALUE"""),"shelnjoed@aol.com")</f>
        <v>shelnjoed@aol.com</v>
      </c>
      <c r="G3144" s="3">
        <f>IFERROR(__xludf.DUMMYFUNCTION("""COMPUTED_VALUE"""),2.892511285E9)</f>
        <v>2892511285</v>
      </c>
      <c r="H3144" s="3"/>
    </row>
    <row r="3145">
      <c r="A3145" s="2">
        <f>IFERROR(__xludf.DUMMYFUNCTION("""COMPUTED_VALUE"""),40244.0)</f>
        <v>40244</v>
      </c>
      <c r="B3145" s="3" t="str">
        <f>IFERROR(__xludf.DUMMYFUNCTION("""COMPUTED_VALUE"""),"9706 COUNTY RD 2")</f>
        <v>9706 COUNTY RD 2</v>
      </c>
      <c r="C3145" s="3" t="str">
        <f>IFERROR(__xludf.DUMMYFUNCTION("""COMPUTED_VALUE"""),"COBOURG")</f>
        <v>COBOURG</v>
      </c>
      <c r="D3145" s="3" t="str">
        <f>IFERROR(__xludf.DUMMYFUNCTION("""COMPUTED_VALUE"""),"K9A 4J8")</f>
        <v>K9A 4J8</v>
      </c>
      <c r="E3145" s="3"/>
      <c r="F3145" s="3"/>
      <c r="G3145" s="3"/>
      <c r="H3145" s="3"/>
    </row>
    <row r="3146">
      <c r="A3146" s="2">
        <f>IFERROR(__xludf.DUMMYFUNCTION("""COMPUTED_VALUE"""),40245.0)</f>
        <v>40245</v>
      </c>
      <c r="B3146" s="3" t="str">
        <f>IFERROR(__xludf.DUMMYFUNCTION("""COMPUTED_VALUE"""),"9714 COUNTY RD 2")</f>
        <v>9714 COUNTY RD 2</v>
      </c>
      <c r="C3146" s="3" t="str">
        <f>IFERROR(__xludf.DUMMYFUNCTION("""COMPUTED_VALUE"""),"COBOURG")</f>
        <v>COBOURG</v>
      </c>
      <c r="D3146" s="3" t="str">
        <f>IFERROR(__xludf.DUMMYFUNCTION("""COMPUTED_VALUE"""),"K9A 4J8")</f>
        <v>K9A 4J8</v>
      </c>
      <c r="E3146" s="3"/>
      <c r="F3146" s="3"/>
      <c r="G3146" s="3"/>
      <c r="H3146" s="3"/>
    </row>
    <row r="3147">
      <c r="A3147" s="2">
        <f>IFERROR(__xludf.DUMMYFUNCTION("""COMPUTED_VALUE"""),40246.0)</f>
        <v>40246</v>
      </c>
      <c r="B3147" s="3" t="str">
        <f>IFERROR(__xludf.DUMMYFUNCTION("""COMPUTED_VALUE"""),"9780 COUNTY RD 2")</f>
        <v>9780 COUNTY RD 2</v>
      </c>
      <c r="C3147" s="3" t="str">
        <f>IFERROR(__xludf.DUMMYFUNCTION("""COMPUTED_VALUE"""),"COBOURG")</f>
        <v>COBOURG</v>
      </c>
      <c r="D3147" s="3" t="str">
        <f>IFERROR(__xludf.DUMMYFUNCTION("""COMPUTED_VALUE"""),"K9A 4J8")</f>
        <v>K9A 4J8</v>
      </c>
      <c r="E3147" s="3" t="str">
        <f>IFERROR(__xludf.DUMMYFUNCTION("""COMPUTED_VALUE"""),"jason hughes")</f>
        <v>jason hughes</v>
      </c>
      <c r="F3147" s="3" t="str">
        <f>IFERROR(__xludf.DUMMYFUNCTION("""COMPUTED_VALUE"""),"jhsystems@mac.com")</f>
        <v>jhsystems@mac.com</v>
      </c>
      <c r="G3147" s="3">
        <f>IFERROR(__xludf.DUMMYFUNCTION("""COMPUTED_VALUE"""),7.057418588E9)</f>
        <v>7057418588</v>
      </c>
      <c r="H3147" s="3"/>
    </row>
    <row r="3148">
      <c r="A3148" s="2">
        <f>IFERROR(__xludf.DUMMYFUNCTION("""COMPUTED_VALUE"""),40247.0)</f>
        <v>40247</v>
      </c>
      <c r="B3148" s="3" t="str">
        <f>IFERROR(__xludf.DUMMYFUNCTION("""COMPUTED_VALUE"""),"9788 COUNTY RD 2")</f>
        <v>9788 COUNTY RD 2</v>
      </c>
      <c r="C3148" s="3" t="str">
        <f>IFERROR(__xludf.DUMMYFUNCTION("""COMPUTED_VALUE"""),"COBOURG")</f>
        <v>COBOURG</v>
      </c>
      <c r="D3148" s="3" t="str">
        <f>IFERROR(__xludf.DUMMYFUNCTION("""COMPUTED_VALUE"""),"K9A 4J8")</f>
        <v>K9A 4J8</v>
      </c>
      <c r="E3148" s="3" t="str">
        <f>IFERROR(__xludf.DUMMYFUNCTION("""COMPUTED_VALUE"""),"LINDA STURZENEGGER")</f>
        <v>LINDA STURZENEGGER</v>
      </c>
      <c r="F3148" s="3" t="str">
        <f>IFERROR(__xludf.DUMMYFUNCTION("""COMPUTED_VALUE"""),"linda.sturz55@gmail.com")</f>
        <v>linda.sturz55@gmail.com</v>
      </c>
      <c r="G3148" s="3"/>
      <c r="H3148" s="3"/>
    </row>
    <row r="3149">
      <c r="A3149" s="2">
        <f>IFERROR(__xludf.DUMMYFUNCTION("""COMPUTED_VALUE"""),40248.0)</f>
        <v>40248</v>
      </c>
      <c r="B3149" s="3" t="str">
        <f>IFERROR(__xludf.DUMMYFUNCTION("""COMPUTED_VALUE"""),"9798 COUNTY RD 2")</f>
        <v>9798 COUNTY RD 2</v>
      </c>
      <c r="C3149" s="3" t="str">
        <f>IFERROR(__xludf.DUMMYFUNCTION("""COMPUTED_VALUE"""),"COBOURG")</f>
        <v>COBOURG</v>
      </c>
      <c r="D3149" s="3" t="str">
        <f>IFERROR(__xludf.DUMMYFUNCTION("""COMPUTED_VALUE"""),"K9A 4J8")</f>
        <v>K9A 4J8</v>
      </c>
      <c r="E3149" s="3" t="str">
        <f>IFERROR(__xludf.DUMMYFUNCTION("""COMPUTED_VALUE"""),"Natasha Morris Cheverie")</f>
        <v>Natasha Morris Cheverie</v>
      </c>
      <c r="F3149" s="3" t="str">
        <f>IFERROR(__xludf.DUMMYFUNCTION("""COMPUTED_VALUE"""),"natasha_morris87@hotmail.com")</f>
        <v>natasha_morris87@hotmail.com</v>
      </c>
      <c r="G3149" s="3">
        <f>IFERROR(__xludf.DUMMYFUNCTION("""COMPUTED_VALUE"""),9.053968274E9)</f>
        <v>9053968274</v>
      </c>
      <c r="H3149" s="3"/>
    </row>
    <row r="3150">
      <c r="A3150" s="2">
        <f>IFERROR(__xludf.DUMMYFUNCTION("""COMPUTED_VALUE"""),40249.0)</f>
        <v>40249</v>
      </c>
      <c r="B3150" s="3" t="str">
        <f>IFERROR(__xludf.DUMMYFUNCTION("""COMPUTED_VALUE"""),"9835 COUNTY RD 2")</f>
        <v>9835 COUNTY RD 2</v>
      </c>
      <c r="C3150" s="3" t="str">
        <f>IFERROR(__xludf.DUMMYFUNCTION("""COMPUTED_VALUE"""),"COBOURG")</f>
        <v>COBOURG</v>
      </c>
      <c r="D3150" s="3" t="str">
        <f>IFERROR(__xludf.DUMMYFUNCTION("""COMPUTED_VALUE"""),"K9A 4J8")</f>
        <v>K9A 4J8</v>
      </c>
      <c r="E3150" s="3"/>
      <c r="F3150" s="3"/>
      <c r="G3150" s="3"/>
      <c r="H3150" s="3"/>
    </row>
    <row r="3151">
      <c r="A3151" s="2">
        <f>IFERROR(__xludf.DUMMYFUNCTION("""COMPUTED_VALUE"""),40250.0)</f>
        <v>40250</v>
      </c>
      <c r="B3151" s="3" t="str">
        <f>IFERROR(__xludf.DUMMYFUNCTION("""COMPUTED_VALUE"""),"9845 COUNTY RD 2")</f>
        <v>9845 COUNTY RD 2</v>
      </c>
      <c r="C3151" s="3" t="str">
        <f>IFERROR(__xludf.DUMMYFUNCTION("""COMPUTED_VALUE"""),"COBOURG")</f>
        <v>COBOURG</v>
      </c>
      <c r="D3151" s="3" t="str">
        <f>IFERROR(__xludf.DUMMYFUNCTION("""COMPUTED_VALUE"""),"K9A 4J8")</f>
        <v>K9A 4J8</v>
      </c>
      <c r="E3151" s="3" t="str">
        <f>IFERROR(__xludf.DUMMYFUNCTION("""COMPUTED_VALUE"""),"derek knott ")</f>
        <v>derek knott </v>
      </c>
      <c r="F3151" s="3" t="str">
        <f>IFERROR(__xludf.DUMMYFUNCTION("""COMPUTED_VALUE"""),"derek_knott@kproso.ca")</f>
        <v>derek_knott@kproso.ca</v>
      </c>
      <c r="G3151" s="3">
        <f>IFERROR(__xludf.DUMMYFUNCTION("""COMPUTED_VALUE"""),9.052138892E9)</f>
        <v>9052138892</v>
      </c>
      <c r="H3151" s="3"/>
    </row>
    <row r="3152">
      <c r="A3152" s="2">
        <f>IFERROR(__xludf.DUMMYFUNCTION("""COMPUTED_VALUE"""),40251.0)</f>
        <v>40251</v>
      </c>
      <c r="B3152" s="3" t="str">
        <f>IFERROR(__xludf.DUMMYFUNCTION("""COMPUTED_VALUE"""),"9853 COUNTY RD 2")</f>
        <v>9853 COUNTY RD 2</v>
      </c>
      <c r="C3152" s="3" t="str">
        <f>IFERROR(__xludf.DUMMYFUNCTION("""COMPUTED_VALUE"""),"COBOURG")</f>
        <v>COBOURG</v>
      </c>
      <c r="D3152" s="3" t="str">
        <f>IFERROR(__xludf.DUMMYFUNCTION("""COMPUTED_VALUE"""),"K9A 4J8")</f>
        <v>K9A 4J8</v>
      </c>
      <c r="E3152" s="3" t="str">
        <f>IFERROR(__xludf.DUMMYFUNCTION("""COMPUTED_VALUE"""),"alvaro morataya")</f>
        <v>alvaro morataya</v>
      </c>
      <c r="F3152" s="3" t="str">
        <f>IFERROR(__xludf.DUMMYFUNCTION("""COMPUTED_VALUE"""),"alvaro_morataya@yahoo.ca")</f>
        <v>alvaro_morataya@yahoo.ca</v>
      </c>
      <c r="G3152" s="3">
        <f>IFERROR(__xludf.DUMMYFUNCTION("""COMPUTED_VALUE"""),4.164598007E9)</f>
        <v>4164598007</v>
      </c>
      <c r="H3152" s="3">
        <f>IFERROR(__xludf.DUMMYFUNCTION("""COMPUTED_VALUE"""),4.16433236E9)</f>
        <v>4164332360</v>
      </c>
    </row>
    <row r="3153">
      <c r="A3153" s="2">
        <f>IFERROR(__xludf.DUMMYFUNCTION("""COMPUTED_VALUE"""),40252.0)</f>
        <v>40252</v>
      </c>
      <c r="B3153" s="3" t="str">
        <f>IFERROR(__xludf.DUMMYFUNCTION("""COMPUTED_VALUE"""),"9861 COUNTY RD 2")</f>
        <v>9861 COUNTY RD 2</v>
      </c>
      <c r="C3153" s="3" t="str">
        <f>IFERROR(__xludf.DUMMYFUNCTION("""COMPUTED_VALUE"""),"COBOURG")</f>
        <v>COBOURG</v>
      </c>
      <c r="D3153" s="3" t="str">
        <f>IFERROR(__xludf.DUMMYFUNCTION("""COMPUTED_VALUE"""),"K9A 4J8")</f>
        <v>K9A 4J8</v>
      </c>
      <c r="E3153" s="3" t="str">
        <f>IFERROR(__xludf.DUMMYFUNCTION("""COMPUTED_VALUE"""),"asanna piotrowski")</f>
        <v>asanna piotrowski</v>
      </c>
      <c r="F3153" s="3" t="str">
        <f>IFERROR(__xludf.DUMMYFUNCTION("""COMPUTED_VALUE"""),"classichick66@gmail.com")</f>
        <v>classichick66@gmail.com</v>
      </c>
      <c r="G3153" s="3">
        <f>IFERROR(__xludf.DUMMYFUNCTION("""COMPUTED_VALUE"""),9.053961315E9)</f>
        <v>9053961315</v>
      </c>
      <c r="H3153" s="3"/>
    </row>
    <row r="3154">
      <c r="A3154" s="2">
        <f>IFERROR(__xludf.DUMMYFUNCTION("""COMPUTED_VALUE"""),40253.0)</f>
        <v>40253</v>
      </c>
      <c r="B3154" s="3" t="str">
        <f>IFERROR(__xludf.DUMMYFUNCTION("""COMPUTED_VALUE"""),"9865 COUNTY RD 2")</f>
        <v>9865 COUNTY RD 2</v>
      </c>
      <c r="C3154" s="3" t="str">
        <f>IFERROR(__xludf.DUMMYFUNCTION("""COMPUTED_VALUE"""),"COBOURG")</f>
        <v>COBOURG</v>
      </c>
      <c r="D3154" s="3" t="str">
        <f>IFERROR(__xludf.DUMMYFUNCTION("""COMPUTED_VALUE"""),"K9A 4J8")</f>
        <v>K9A 4J8</v>
      </c>
      <c r="E3154" s="3"/>
      <c r="F3154" s="3"/>
      <c r="G3154" s="3"/>
      <c r="H3154" s="3"/>
    </row>
    <row r="3155">
      <c r="A3155" s="2">
        <f>IFERROR(__xludf.DUMMYFUNCTION("""COMPUTED_VALUE"""),40254.0)</f>
        <v>40254</v>
      </c>
      <c r="B3155" s="3" t="str">
        <f>IFERROR(__xludf.DUMMYFUNCTION("""COMPUTED_VALUE"""),"9898 COUNTY RD 2")</f>
        <v>9898 COUNTY RD 2</v>
      </c>
      <c r="C3155" s="3" t="str">
        <f>IFERROR(__xludf.DUMMYFUNCTION("""COMPUTED_VALUE"""),"COBOURG")</f>
        <v>COBOURG</v>
      </c>
      <c r="D3155" s="3" t="str">
        <f>IFERROR(__xludf.DUMMYFUNCTION("""COMPUTED_VALUE"""),"K9A 4J8")</f>
        <v>K9A 4J8</v>
      </c>
      <c r="E3155" s="3"/>
      <c r="F3155" s="3"/>
      <c r="G3155" s="3"/>
      <c r="H3155" s="3"/>
    </row>
    <row r="3156">
      <c r="A3156" s="2">
        <f>IFERROR(__xludf.DUMMYFUNCTION("""COMPUTED_VALUE"""),40255.0)</f>
        <v>40255</v>
      </c>
      <c r="B3156" s="3" t="str">
        <f>IFERROR(__xludf.DUMMYFUNCTION("""COMPUTED_VALUE"""),"9919 COUNTY RD 2")</f>
        <v>9919 COUNTY RD 2</v>
      </c>
      <c r="C3156" s="3" t="str">
        <f>IFERROR(__xludf.DUMMYFUNCTION("""COMPUTED_VALUE"""),"COBOURG")</f>
        <v>COBOURG</v>
      </c>
      <c r="D3156" s="3" t="str">
        <f>IFERROR(__xludf.DUMMYFUNCTION("""COMPUTED_VALUE"""),"K9A 4J8")</f>
        <v>K9A 4J8</v>
      </c>
      <c r="E3156" s="3" t="str">
        <f>IFERROR(__xludf.DUMMYFUNCTION("""COMPUTED_VALUE"""),"jim worden")</f>
        <v>jim worden</v>
      </c>
      <c r="F3156" s="3" t="str">
        <f>IFERROR(__xludf.DUMMYFUNCTION("""COMPUTED_VALUE"""),"jim.worden1234@gmail.com")</f>
        <v>jim.worden1234@gmail.com</v>
      </c>
      <c r="G3156" s="3">
        <f>IFERROR(__xludf.DUMMYFUNCTION("""COMPUTED_VALUE"""),2.892513169E9)</f>
        <v>2892513169</v>
      </c>
      <c r="H3156" s="3">
        <f>IFERROR(__xludf.DUMMYFUNCTION("""COMPUTED_VALUE"""),2.892513168E9)</f>
        <v>2892513168</v>
      </c>
    </row>
    <row r="3157">
      <c r="A3157" s="2">
        <f>IFERROR(__xludf.DUMMYFUNCTION("""COMPUTED_VALUE"""),40256.0)</f>
        <v>40256</v>
      </c>
      <c r="B3157" s="3" t="str">
        <f>IFERROR(__xludf.DUMMYFUNCTION("""COMPUTED_VALUE"""),"9927 COUNTY RD 2 - UNIT A")</f>
        <v>9927 COUNTY RD 2 - UNIT A</v>
      </c>
      <c r="C3157" s="3" t="str">
        <f>IFERROR(__xludf.DUMMYFUNCTION("""COMPUTED_VALUE"""),"COBOURG")</f>
        <v>COBOURG</v>
      </c>
      <c r="D3157" s="3" t="str">
        <f>IFERROR(__xludf.DUMMYFUNCTION("""COMPUTED_VALUE"""),"K9A 4J8")</f>
        <v>K9A 4J8</v>
      </c>
      <c r="E3157" s="3" t="str">
        <f>IFERROR(__xludf.DUMMYFUNCTION("""COMPUTED_VALUE"""),"George &amp; Marylou Taylor")</f>
        <v>George &amp; Marylou Taylor</v>
      </c>
      <c r="F3157" s="3" t="str">
        <f>IFERROR(__xludf.DUMMYFUNCTION("""COMPUTED_VALUE"""),"georgeandmarylou@hotmail.com")</f>
        <v>georgeandmarylou@hotmail.com</v>
      </c>
      <c r="G3157" s="3">
        <f>IFERROR(__xludf.DUMMYFUNCTION("""COMPUTED_VALUE"""),9.053723968E9)</f>
        <v>9053723968</v>
      </c>
      <c r="H3157" s="3"/>
    </row>
    <row r="3158">
      <c r="A3158" s="2">
        <f>IFERROR(__xludf.DUMMYFUNCTION("""COMPUTED_VALUE"""),41297.0)</f>
        <v>41297</v>
      </c>
      <c r="B3158" s="3" t="str">
        <f>IFERROR(__xludf.DUMMYFUNCTION("""COMPUTED_VALUE"""),"9927 COUNTY RD 2 - UNIT B")</f>
        <v>9927 COUNTY RD 2 - UNIT B</v>
      </c>
      <c r="C3158" s="3" t="str">
        <f>IFERROR(__xludf.DUMMYFUNCTION("""COMPUTED_VALUE"""),"COBOURG")</f>
        <v>COBOURG</v>
      </c>
      <c r="D3158" s="3" t="str">
        <f>IFERROR(__xludf.DUMMYFUNCTION("""COMPUTED_VALUE"""),"K9A 4J8")</f>
        <v>K9A 4J8</v>
      </c>
      <c r="E3158" s="3" t="str">
        <f>IFERROR(__xludf.DUMMYFUNCTION("""COMPUTED_VALUE"""),"George &amp; Marylou Taylor")</f>
        <v>George &amp; Marylou Taylor</v>
      </c>
      <c r="F3158" s="3" t="str">
        <f>IFERROR(__xludf.DUMMYFUNCTION("""COMPUTED_VALUE"""),"georgeandmarylou@hotmail.com")</f>
        <v>georgeandmarylou@hotmail.com</v>
      </c>
      <c r="G3158" s="3">
        <f>IFERROR(__xludf.DUMMYFUNCTION("""COMPUTED_VALUE"""),9.053723968E9)</f>
        <v>9053723968</v>
      </c>
      <c r="H3158" s="3"/>
    </row>
    <row r="3159">
      <c r="A3159" s="2">
        <f>IFERROR(__xludf.DUMMYFUNCTION("""COMPUTED_VALUE"""),40257.0)</f>
        <v>40257</v>
      </c>
      <c r="B3159" s="3" t="str">
        <f>IFERROR(__xludf.DUMMYFUNCTION("""COMPUTED_VALUE"""),"9940 COUNTY RD 2")</f>
        <v>9940 COUNTY RD 2</v>
      </c>
      <c r="C3159" s="3" t="str">
        <f>IFERROR(__xludf.DUMMYFUNCTION("""COMPUTED_VALUE"""),"COBOURG")</f>
        <v>COBOURG</v>
      </c>
      <c r="D3159" s="3" t="str">
        <f>IFERROR(__xludf.DUMMYFUNCTION("""COMPUTED_VALUE"""),"K9A 4J8")</f>
        <v>K9A 4J8</v>
      </c>
      <c r="E3159" s="3"/>
      <c r="F3159" s="3"/>
      <c r="G3159" s="3"/>
      <c r="H3159" s="3"/>
    </row>
    <row r="3160">
      <c r="A3160" s="2">
        <f>IFERROR(__xludf.DUMMYFUNCTION("""COMPUTED_VALUE"""),40258.0)</f>
        <v>40258</v>
      </c>
      <c r="B3160" s="3" t="str">
        <f>IFERROR(__xludf.DUMMYFUNCTION("""COMPUTED_VALUE"""),"9944 COUNTY RD 2")</f>
        <v>9944 COUNTY RD 2</v>
      </c>
      <c r="C3160" s="3" t="str">
        <f>IFERROR(__xludf.DUMMYFUNCTION("""COMPUTED_VALUE"""),"COBOURG")</f>
        <v>COBOURG</v>
      </c>
      <c r="D3160" s="3" t="str">
        <f>IFERROR(__xludf.DUMMYFUNCTION("""COMPUTED_VALUE"""),"K9A 4J8")</f>
        <v>K9A 4J8</v>
      </c>
      <c r="E3160" s="3" t="str">
        <f>IFERROR(__xludf.DUMMYFUNCTION("""COMPUTED_VALUE"""),"joe and dawn michael ")</f>
        <v>joe and dawn michael </v>
      </c>
      <c r="F3160" s="3" t="str">
        <f>IFERROR(__xludf.DUMMYFUNCTION("""COMPUTED_VALUE"""),"ktresort@gmail.com")</f>
        <v>ktresort@gmail.com</v>
      </c>
      <c r="G3160" s="3">
        <f>IFERROR(__xludf.DUMMYFUNCTION("""COMPUTED_VALUE"""),9.053759234E9)</f>
        <v>9053759234</v>
      </c>
      <c r="H3160" s="3"/>
    </row>
    <row r="3161">
      <c r="A3161" s="2">
        <f>IFERROR(__xludf.DUMMYFUNCTION("""COMPUTED_VALUE"""),40259.0)</f>
        <v>40259</v>
      </c>
      <c r="B3161" s="3" t="str">
        <f>IFERROR(__xludf.DUMMYFUNCTION("""COMPUTED_VALUE"""),"9994 COUNTY RD 2")</f>
        <v>9994 COUNTY RD 2</v>
      </c>
      <c r="C3161" s="3" t="str">
        <f>IFERROR(__xludf.DUMMYFUNCTION("""COMPUTED_VALUE"""),"COBOURG")</f>
        <v>COBOURG</v>
      </c>
      <c r="D3161" s="3" t="str">
        <f>IFERROR(__xludf.DUMMYFUNCTION("""COMPUTED_VALUE"""),"K9A 4J8")</f>
        <v>K9A 4J8</v>
      </c>
      <c r="E3161" s="3" t="str">
        <f>IFERROR(__xludf.DUMMYFUNCTION("""COMPUTED_VALUE"""),"michael niles")</f>
        <v>michael niles</v>
      </c>
      <c r="F3161" s="3"/>
      <c r="G3161" s="3">
        <f>IFERROR(__xludf.DUMMYFUNCTION("""COMPUTED_VALUE"""),2.892510921E9)</f>
        <v>2892510921</v>
      </c>
      <c r="H3161" s="3"/>
    </row>
    <row r="3162">
      <c r="A3162" s="2">
        <f>IFERROR(__xludf.DUMMYFUNCTION("""COMPUTED_VALUE"""),40260.0)</f>
        <v>40260</v>
      </c>
      <c r="B3162" s="3" t="str">
        <f>IFERROR(__xludf.DUMMYFUNCTION("""COMPUTED_VALUE"""),"10021 COUNTY RD 2")</f>
        <v>10021 COUNTY RD 2</v>
      </c>
      <c r="C3162" s="3" t="str">
        <f>IFERROR(__xludf.DUMMYFUNCTION("""COMPUTED_VALUE"""),"COBOURG")</f>
        <v>COBOURG</v>
      </c>
      <c r="D3162" s="3" t="str">
        <f>IFERROR(__xludf.DUMMYFUNCTION("""COMPUTED_VALUE"""),"K9A 4J8")</f>
        <v>K9A 4J8</v>
      </c>
      <c r="E3162" s="3"/>
      <c r="F3162" s="3"/>
      <c r="G3162" s="3"/>
      <c r="H3162" s="3"/>
    </row>
    <row r="3163">
      <c r="A3163" s="2">
        <f>IFERROR(__xludf.DUMMYFUNCTION("""COMPUTED_VALUE"""),40261.0)</f>
        <v>40261</v>
      </c>
      <c r="B3163" s="3" t="str">
        <f>IFERROR(__xludf.DUMMYFUNCTION("""COMPUTED_VALUE"""),"10056 COUNTY RD 2")</f>
        <v>10056 COUNTY RD 2</v>
      </c>
      <c r="C3163" s="3" t="str">
        <f>IFERROR(__xludf.DUMMYFUNCTION("""COMPUTED_VALUE"""),"COBOURG")</f>
        <v>COBOURG</v>
      </c>
      <c r="D3163" s="3" t="str">
        <f>IFERROR(__xludf.DUMMYFUNCTION("""COMPUTED_VALUE"""),"K9A 4J8")</f>
        <v>K9A 4J8</v>
      </c>
      <c r="E3163" s="3" t="str">
        <f>IFERROR(__xludf.DUMMYFUNCTION("""COMPUTED_VALUE"""),"mervin and tracy bond ")</f>
        <v>mervin and tracy bond </v>
      </c>
      <c r="F3163" s="3" t="str">
        <f>IFERROR(__xludf.DUMMYFUNCTION("""COMPUTED_VALUE"""),"mtbondfarms@gmail.com")</f>
        <v>mtbondfarms@gmail.com</v>
      </c>
      <c r="G3163" s="3">
        <f>IFERROR(__xludf.DUMMYFUNCTION("""COMPUTED_VALUE"""),9.053757386E9)</f>
        <v>9053757386</v>
      </c>
      <c r="H3163" s="3">
        <f>IFERROR(__xludf.DUMMYFUNCTION("""COMPUTED_VALUE"""),9.053721609E9)</f>
        <v>9053721609</v>
      </c>
    </row>
    <row r="3164">
      <c r="A3164" s="2">
        <f>IFERROR(__xludf.DUMMYFUNCTION("""COMPUTED_VALUE"""),40262.0)</f>
        <v>40262</v>
      </c>
      <c r="B3164" s="3" t="str">
        <f>IFERROR(__xludf.DUMMYFUNCTION("""COMPUTED_VALUE"""),"10063 COUNTY RD 2")</f>
        <v>10063 COUNTY RD 2</v>
      </c>
      <c r="C3164" s="3" t="str">
        <f>IFERROR(__xludf.DUMMYFUNCTION("""COMPUTED_VALUE"""),"COBOURG")</f>
        <v>COBOURG</v>
      </c>
      <c r="D3164" s="3" t="str">
        <f>IFERROR(__xludf.DUMMYFUNCTION("""COMPUTED_VALUE"""),"K9A 4J8")</f>
        <v>K9A 4J8</v>
      </c>
      <c r="E3164" s="3" t="str">
        <f>IFERROR(__xludf.DUMMYFUNCTION("""COMPUTED_VALUE"""),"albert anderson")</f>
        <v>albert anderson</v>
      </c>
      <c r="F3164" s="3" t="str">
        <f>IFERROR(__xludf.DUMMYFUNCTION("""COMPUTED_VALUE"""),"albert.anderson@bell.net")</f>
        <v>albert.anderson@bell.net</v>
      </c>
      <c r="G3164" s="3">
        <f>IFERROR(__xludf.DUMMYFUNCTION("""COMPUTED_VALUE"""),6.472379178E9)</f>
        <v>6472379178</v>
      </c>
      <c r="H3164" s="3"/>
    </row>
    <row r="3165">
      <c r="A3165" s="2">
        <f>IFERROR(__xludf.DUMMYFUNCTION("""COMPUTED_VALUE"""),40263.0)</f>
        <v>40263</v>
      </c>
      <c r="B3165" s="3" t="str">
        <f>IFERROR(__xludf.DUMMYFUNCTION("""COMPUTED_VALUE"""),"10110 COUNTY RD 2 - UNIT A")</f>
        <v>10110 COUNTY RD 2 - UNIT A</v>
      </c>
      <c r="C3165" s="3" t="str">
        <f>IFERROR(__xludf.DUMMYFUNCTION("""COMPUTED_VALUE"""),"COBOURG")</f>
        <v>COBOURG</v>
      </c>
      <c r="D3165" s="3" t="str">
        <f>IFERROR(__xludf.DUMMYFUNCTION("""COMPUTED_VALUE"""),"K9A 4J8")</f>
        <v>K9A 4J8</v>
      </c>
      <c r="E3165" s="3" t="str">
        <f>IFERROR(__xludf.DUMMYFUNCTION("""COMPUTED_VALUE"""),"Jeff Walker")</f>
        <v>Jeff Walker</v>
      </c>
      <c r="F3165" s="3" t="str">
        <f>IFERROR(__xludf.DUMMYFUNCTION("""COMPUTED_VALUE"""),"jwalker10110@hotmail.com")</f>
        <v>jwalker10110@hotmail.com</v>
      </c>
      <c r="G3165" s="3">
        <f>IFERROR(__xludf.DUMMYFUNCTION("""COMPUTED_VALUE"""),9.053779604E9)</f>
        <v>9053779604</v>
      </c>
      <c r="H3165" s="3">
        <f>IFERROR(__xludf.DUMMYFUNCTION("""COMPUTED_VALUE"""),4.168459368E9)</f>
        <v>4168459368</v>
      </c>
    </row>
    <row r="3166">
      <c r="A3166" s="2">
        <f>IFERROR(__xludf.DUMMYFUNCTION("""COMPUTED_VALUE"""),41298.0)</f>
        <v>41298</v>
      </c>
      <c r="B3166" s="3" t="str">
        <f>IFERROR(__xludf.DUMMYFUNCTION("""COMPUTED_VALUE"""),"10110 COUNTY RD 2 - UNIT B")</f>
        <v>10110 COUNTY RD 2 - UNIT B</v>
      </c>
      <c r="C3166" s="3" t="str">
        <f>IFERROR(__xludf.DUMMYFUNCTION("""COMPUTED_VALUE"""),"COBOURG")</f>
        <v>COBOURG</v>
      </c>
      <c r="D3166" s="3" t="str">
        <f>IFERROR(__xludf.DUMMYFUNCTION("""COMPUTED_VALUE"""),"K9A 4J8")</f>
        <v>K9A 4J8</v>
      </c>
      <c r="E3166" s="3" t="str">
        <f>IFERROR(__xludf.DUMMYFUNCTION("""COMPUTED_VALUE"""),"Jeff Walker")</f>
        <v>Jeff Walker</v>
      </c>
      <c r="F3166" s="3" t="str">
        <f>IFERROR(__xludf.DUMMYFUNCTION("""COMPUTED_VALUE"""),"jwalker10110@hotmail.com")</f>
        <v>jwalker10110@hotmail.com</v>
      </c>
      <c r="G3166" s="3">
        <f>IFERROR(__xludf.DUMMYFUNCTION("""COMPUTED_VALUE"""),9.053779604E9)</f>
        <v>9053779604</v>
      </c>
      <c r="H3166" s="3">
        <f>IFERROR(__xludf.DUMMYFUNCTION("""COMPUTED_VALUE"""),4.168459368E9)</f>
        <v>4168459368</v>
      </c>
    </row>
    <row r="3167">
      <c r="A3167" s="2">
        <f>IFERROR(__xludf.DUMMYFUNCTION("""COMPUTED_VALUE"""),40264.0)</f>
        <v>40264</v>
      </c>
      <c r="B3167" s="3" t="str">
        <f>IFERROR(__xludf.DUMMYFUNCTION("""COMPUTED_VALUE"""),"10132 COUNTY RD 2")</f>
        <v>10132 COUNTY RD 2</v>
      </c>
      <c r="C3167" s="3" t="str">
        <f>IFERROR(__xludf.DUMMYFUNCTION("""COMPUTED_VALUE"""),"COBOURG")</f>
        <v>COBOURG</v>
      </c>
      <c r="D3167" s="3" t="str">
        <f>IFERROR(__xludf.DUMMYFUNCTION("""COMPUTED_VALUE"""),"K9A 4J8")</f>
        <v>K9A 4J8</v>
      </c>
      <c r="E3167" s="3"/>
      <c r="F3167" s="3"/>
      <c r="G3167" s="3"/>
      <c r="H3167" s="3"/>
    </row>
    <row r="3168">
      <c r="A3168" s="2">
        <f>IFERROR(__xludf.DUMMYFUNCTION("""COMPUTED_VALUE"""),40265.0)</f>
        <v>40265</v>
      </c>
      <c r="B3168" s="3" t="str">
        <f>IFERROR(__xludf.DUMMYFUNCTION("""COMPUTED_VALUE"""),"10138 COUNTY RD 2")</f>
        <v>10138 COUNTY RD 2</v>
      </c>
      <c r="C3168" s="3" t="str">
        <f>IFERROR(__xludf.DUMMYFUNCTION("""COMPUTED_VALUE"""),"COBOURG")</f>
        <v>COBOURG</v>
      </c>
      <c r="D3168" s="3" t="str">
        <f>IFERROR(__xludf.DUMMYFUNCTION("""COMPUTED_VALUE"""),"K9A 4J8")</f>
        <v>K9A 4J8</v>
      </c>
      <c r="E3168" s="3"/>
      <c r="F3168" s="3"/>
      <c r="G3168" s="3"/>
      <c r="H3168" s="3"/>
    </row>
    <row r="3169">
      <c r="A3169" s="2">
        <f>IFERROR(__xludf.DUMMYFUNCTION("""COMPUTED_VALUE"""),40266.0)</f>
        <v>40266</v>
      </c>
      <c r="B3169" s="3" t="str">
        <f>IFERROR(__xludf.DUMMYFUNCTION("""COMPUTED_VALUE"""),"10140 COUNTY RD 2")</f>
        <v>10140 COUNTY RD 2</v>
      </c>
      <c r="C3169" s="3" t="str">
        <f>IFERROR(__xludf.DUMMYFUNCTION("""COMPUTED_VALUE"""),"COBOURG")</f>
        <v>COBOURG</v>
      </c>
      <c r="D3169" s="3" t="str">
        <f>IFERROR(__xludf.DUMMYFUNCTION("""COMPUTED_VALUE"""),"K9A 4J8")</f>
        <v>K9A 4J8</v>
      </c>
      <c r="E3169" s="3" t="str">
        <f>IFERROR(__xludf.DUMMYFUNCTION("""COMPUTED_VALUE"""),"morgan hoskin")</f>
        <v>morgan hoskin</v>
      </c>
      <c r="F3169" s="3" t="str">
        <f>IFERROR(__xludf.DUMMYFUNCTION("""COMPUTED_VALUE"""),"morganhoskin88@gmail.com")</f>
        <v>morganhoskin88@gmail.com</v>
      </c>
      <c r="G3169" s="3">
        <f>IFERROR(__xludf.DUMMYFUNCTION("""COMPUTED_VALUE"""),9.052694108E9)</f>
        <v>9052694108</v>
      </c>
      <c r="H3169" s="3">
        <f>IFERROR(__xludf.DUMMYFUNCTION("""COMPUTED_VALUE"""),9.053962697E9)</f>
        <v>9053962697</v>
      </c>
    </row>
    <row r="3170">
      <c r="A3170" s="2">
        <f>IFERROR(__xludf.DUMMYFUNCTION("""COMPUTED_VALUE"""),40267.0)</f>
        <v>40267</v>
      </c>
      <c r="B3170" s="3" t="str">
        <f>IFERROR(__xludf.DUMMYFUNCTION("""COMPUTED_VALUE"""),"10170 COUNTY RD 2")</f>
        <v>10170 COUNTY RD 2</v>
      </c>
      <c r="C3170" s="3" t="str">
        <f>IFERROR(__xludf.DUMMYFUNCTION("""COMPUTED_VALUE"""),"COBOURG")</f>
        <v>COBOURG</v>
      </c>
      <c r="D3170" s="3" t="str">
        <f>IFERROR(__xludf.DUMMYFUNCTION("""COMPUTED_VALUE"""),"K9A 4J8")</f>
        <v>K9A 4J8</v>
      </c>
      <c r="E3170" s="3" t="str">
        <f>IFERROR(__xludf.DUMMYFUNCTION("""COMPUTED_VALUE"""),"Tammy Glinski")</f>
        <v>Tammy Glinski</v>
      </c>
      <c r="F3170" s="3" t="str">
        <f>IFERROR(__xludf.DUMMYFUNCTION("""COMPUTED_VALUE"""),"tammyglinski@gmail.com")</f>
        <v>tammyglinski@gmail.com</v>
      </c>
      <c r="G3170" s="3"/>
      <c r="H3170" s="3"/>
    </row>
    <row r="3171">
      <c r="A3171" s="2">
        <f>IFERROR(__xludf.DUMMYFUNCTION("""COMPUTED_VALUE"""),40268.0)</f>
        <v>40268</v>
      </c>
      <c r="B3171" s="3" t="str">
        <f>IFERROR(__xludf.DUMMYFUNCTION("""COMPUTED_VALUE"""),"10184 COUNTY RD 2")</f>
        <v>10184 COUNTY RD 2</v>
      </c>
      <c r="C3171" s="3" t="str">
        <f>IFERROR(__xludf.DUMMYFUNCTION("""COMPUTED_VALUE"""),"COBOURG")</f>
        <v>COBOURG</v>
      </c>
      <c r="D3171" s="3" t="str">
        <f>IFERROR(__xludf.DUMMYFUNCTION("""COMPUTED_VALUE"""),"K9A 4J8")</f>
        <v>K9A 4J8</v>
      </c>
      <c r="E3171" s="3" t="str">
        <f>IFERROR(__xludf.DUMMYFUNCTION("""COMPUTED_VALUE"""),"JESSICA GALARZA MACIAS")</f>
        <v>JESSICA GALARZA MACIAS</v>
      </c>
      <c r="F3171" s="3" t="str">
        <f>IFERROR(__xludf.DUMMYFUNCTION("""COMPUTED_VALUE"""),"jessgalarza@gmail.com")</f>
        <v>jessgalarza@gmail.com</v>
      </c>
      <c r="G3171" s="3"/>
      <c r="H3171" s="3"/>
    </row>
    <row r="3172">
      <c r="A3172" s="2">
        <f>IFERROR(__xludf.DUMMYFUNCTION("""COMPUTED_VALUE"""),40269.0)</f>
        <v>40269</v>
      </c>
      <c r="B3172" s="3" t="str">
        <f>IFERROR(__xludf.DUMMYFUNCTION("""COMPUTED_VALUE"""),"10192 COUNTY RD 2 UNIT 2")</f>
        <v>10192 COUNTY RD 2 UNIT 2</v>
      </c>
      <c r="C3172" s="3" t="str">
        <f>IFERROR(__xludf.DUMMYFUNCTION("""COMPUTED_VALUE"""),"COBOURG")</f>
        <v>COBOURG</v>
      </c>
      <c r="D3172" s="3" t="str">
        <f>IFERROR(__xludf.DUMMYFUNCTION("""COMPUTED_VALUE"""),"K9A 4J8")</f>
        <v>K9A 4J8</v>
      </c>
      <c r="E3172" s="3" t="str">
        <f>IFERROR(__xludf.DUMMYFUNCTION("""COMPUTED_VALUE"""),"anna tullio")</f>
        <v>anna tullio</v>
      </c>
      <c r="F3172" s="3" t="str">
        <f>IFERROR(__xludf.DUMMYFUNCTION("""COMPUTED_VALUE"""),"corann2016@outlook.com")</f>
        <v>corann2016@outlook.com</v>
      </c>
      <c r="G3172" s="3">
        <f>IFERROR(__xludf.DUMMYFUNCTION("""COMPUTED_VALUE"""),9.053768176E9)</f>
        <v>9053768176</v>
      </c>
      <c r="H3172" s="3"/>
    </row>
    <row r="3173">
      <c r="A3173" s="2">
        <f>IFERROR(__xludf.DUMMYFUNCTION("""COMPUTED_VALUE"""),40270.0)</f>
        <v>40270</v>
      </c>
      <c r="B3173" s="3" t="str">
        <f>IFERROR(__xludf.DUMMYFUNCTION("""COMPUTED_VALUE"""),"10227 COUNTY RD 2")</f>
        <v>10227 COUNTY RD 2</v>
      </c>
      <c r="C3173" s="3" t="str">
        <f>IFERROR(__xludf.DUMMYFUNCTION("""COMPUTED_VALUE"""),"COBOURG")</f>
        <v>COBOURG</v>
      </c>
      <c r="D3173" s="3" t="str">
        <f>IFERROR(__xludf.DUMMYFUNCTION("""COMPUTED_VALUE"""),"K9A 4J8")</f>
        <v>K9A 4J8</v>
      </c>
      <c r="E3173" s="3" t="str">
        <f>IFERROR(__xludf.DUMMYFUNCTION("""COMPUTED_VALUE"""),"Bruce Ledgerwood")</f>
        <v>Bruce Ledgerwood</v>
      </c>
      <c r="F3173" s="3"/>
      <c r="G3173" s="3"/>
      <c r="H3173" s="3"/>
    </row>
    <row r="3174">
      <c r="A3174" s="2">
        <f>IFERROR(__xludf.DUMMYFUNCTION("""COMPUTED_VALUE"""),40271.0)</f>
        <v>40271</v>
      </c>
      <c r="B3174" s="3" t="str">
        <f>IFERROR(__xludf.DUMMYFUNCTION("""COMPUTED_VALUE"""),"10240 COUNTY RD 2")</f>
        <v>10240 COUNTY RD 2</v>
      </c>
      <c r="C3174" s="3" t="str">
        <f>IFERROR(__xludf.DUMMYFUNCTION("""COMPUTED_VALUE"""),"COBOURG")</f>
        <v>COBOURG</v>
      </c>
      <c r="D3174" s="3" t="str">
        <f>IFERROR(__xludf.DUMMYFUNCTION("""COMPUTED_VALUE"""),"K9A 4J8")</f>
        <v>K9A 4J8</v>
      </c>
      <c r="E3174" s="3" t="str">
        <f>IFERROR(__xludf.DUMMYFUNCTION("""COMPUTED_VALUE"""),"Royal Canadian Legion Branch 580 Grafton")</f>
        <v>Royal Canadian Legion Branch 580 Grafton</v>
      </c>
      <c r="F3174" s="3" t="str">
        <f>IFERROR(__xludf.DUMMYFUNCTION("""COMPUTED_VALUE"""),"info@rcl580.ca")</f>
        <v>info@rcl580.ca</v>
      </c>
      <c r="G3174" s="3"/>
      <c r="H3174" s="3"/>
    </row>
    <row r="3175">
      <c r="A3175" s="2">
        <f>IFERROR(__xludf.DUMMYFUNCTION("""COMPUTED_VALUE"""),40272.0)</f>
        <v>40272</v>
      </c>
      <c r="B3175" s="3" t="str">
        <f>IFERROR(__xludf.DUMMYFUNCTION("""COMPUTED_VALUE"""),"10259 COUNTY RD 2")</f>
        <v>10259 COUNTY RD 2</v>
      </c>
      <c r="C3175" s="3" t="str">
        <f>IFERROR(__xludf.DUMMYFUNCTION("""COMPUTED_VALUE"""),"COBOURG")</f>
        <v>COBOURG</v>
      </c>
      <c r="D3175" s="3" t="str">
        <f>IFERROR(__xludf.DUMMYFUNCTION("""COMPUTED_VALUE"""),"K9A 4J8")</f>
        <v>K9A 4J8</v>
      </c>
      <c r="E3175" s="3"/>
      <c r="F3175" s="3"/>
      <c r="G3175" s="3"/>
      <c r="H3175" s="3"/>
    </row>
    <row r="3176">
      <c r="A3176" s="2">
        <f>IFERROR(__xludf.DUMMYFUNCTION("""COMPUTED_VALUE"""),40273.0)</f>
        <v>40273</v>
      </c>
      <c r="B3176" s="3" t="str">
        <f>IFERROR(__xludf.DUMMYFUNCTION("""COMPUTED_VALUE"""),"10272 COUNTY RD 2")</f>
        <v>10272 COUNTY RD 2</v>
      </c>
      <c r="C3176" s="3" t="str">
        <f>IFERROR(__xludf.DUMMYFUNCTION("""COMPUTED_VALUE"""),"COBOURG")</f>
        <v>COBOURG</v>
      </c>
      <c r="D3176" s="3" t="str">
        <f>IFERROR(__xludf.DUMMYFUNCTION("""COMPUTED_VALUE"""),"K9A 4J8")</f>
        <v>K9A 4J8</v>
      </c>
      <c r="E3176" s="3"/>
      <c r="F3176" s="3"/>
      <c r="G3176" s="3"/>
      <c r="H3176" s="3"/>
    </row>
    <row r="3177">
      <c r="A3177" s="2">
        <f>IFERROR(__xludf.DUMMYFUNCTION("""COMPUTED_VALUE"""),40274.0)</f>
        <v>40274</v>
      </c>
      <c r="B3177" s="3" t="str">
        <f>IFERROR(__xludf.DUMMYFUNCTION("""COMPUTED_VALUE"""),"10274 COUNTY RD 2")</f>
        <v>10274 COUNTY RD 2</v>
      </c>
      <c r="C3177" s="3" t="str">
        <f>IFERROR(__xludf.DUMMYFUNCTION("""COMPUTED_VALUE"""),"COBOURG")</f>
        <v>COBOURG</v>
      </c>
      <c r="D3177" s="3" t="str">
        <f>IFERROR(__xludf.DUMMYFUNCTION("""COMPUTED_VALUE"""),"K9A 4J8")</f>
        <v>K9A 4J8</v>
      </c>
      <c r="E3177" s="3" t="str">
        <f>IFERROR(__xludf.DUMMYFUNCTION("""COMPUTED_VALUE"""),"MEGAN GIROUX")</f>
        <v>MEGAN GIROUX</v>
      </c>
      <c r="F3177" s="3" t="str">
        <f>IFERROR(__xludf.DUMMYFUNCTION("""COMPUTED_VALUE"""),"megs.burn@gmail.com")</f>
        <v>megs.burn@gmail.com</v>
      </c>
      <c r="G3177" s="3"/>
      <c r="H3177" s="3"/>
    </row>
    <row r="3178">
      <c r="A3178" s="2">
        <f>IFERROR(__xludf.DUMMYFUNCTION("""COMPUTED_VALUE"""),40275.0)</f>
        <v>40275</v>
      </c>
      <c r="B3178" s="3" t="str">
        <f>IFERROR(__xludf.DUMMYFUNCTION("""COMPUTED_VALUE"""),"10282 COUNTY RD 2")</f>
        <v>10282 COUNTY RD 2</v>
      </c>
      <c r="C3178" s="3" t="str">
        <f>IFERROR(__xludf.DUMMYFUNCTION("""COMPUTED_VALUE"""),"COBOURG")</f>
        <v>COBOURG</v>
      </c>
      <c r="D3178" s="3" t="str">
        <f>IFERROR(__xludf.DUMMYFUNCTION("""COMPUTED_VALUE"""),"K9A 4J8")</f>
        <v>K9A 4J8</v>
      </c>
      <c r="E3178" s="3"/>
      <c r="F3178" s="3"/>
      <c r="G3178" s="3"/>
      <c r="H3178" s="3"/>
    </row>
    <row r="3179">
      <c r="A3179" s="2">
        <f>IFERROR(__xludf.DUMMYFUNCTION("""COMPUTED_VALUE"""),40276.0)</f>
        <v>40276</v>
      </c>
      <c r="B3179" s="3" t="str">
        <f>IFERROR(__xludf.DUMMYFUNCTION("""COMPUTED_VALUE"""),"10334 COUNTY RD 2")</f>
        <v>10334 COUNTY RD 2</v>
      </c>
      <c r="C3179" s="3" t="str">
        <f>IFERROR(__xludf.DUMMYFUNCTION("""COMPUTED_VALUE"""),"COBOURG")</f>
        <v>COBOURG</v>
      </c>
      <c r="D3179" s="3" t="str">
        <f>IFERROR(__xludf.DUMMYFUNCTION("""COMPUTED_VALUE"""),"K9A 4J8")</f>
        <v>K9A 4J8</v>
      </c>
      <c r="E3179" s="3" t="str">
        <f>IFERROR(__xludf.DUMMYFUNCTION("""COMPUTED_VALUE"""),"Monica and Dan Morris")</f>
        <v>Monica and Dan Morris</v>
      </c>
      <c r="F3179" s="3" t="str">
        <f>IFERROR(__xludf.DUMMYFUNCTION("""COMPUTED_VALUE"""),"y.monica.y@hotmail.com")</f>
        <v>y.monica.y@hotmail.com</v>
      </c>
      <c r="G3179" s="3"/>
      <c r="H3179" s="3"/>
    </row>
    <row r="3180">
      <c r="A3180" s="2">
        <f>IFERROR(__xludf.DUMMYFUNCTION("""COMPUTED_VALUE"""),40277.0)</f>
        <v>40277</v>
      </c>
      <c r="B3180" s="3" t="str">
        <f>IFERROR(__xludf.DUMMYFUNCTION("""COMPUTED_VALUE"""),"10337 COUNTY RD 2 - Unit A")</f>
        <v>10337 COUNTY RD 2 - Unit A</v>
      </c>
      <c r="C3180" s="3" t="str">
        <f>IFERROR(__xludf.DUMMYFUNCTION("""COMPUTED_VALUE"""),"COBOURG")</f>
        <v>COBOURG</v>
      </c>
      <c r="D3180" s="3" t="str">
        <f>IFERROR(__xludf.DUMMYFUNCTION("""COMPUTED_VALUE"""),"K9A 4J8")</f>
        <v>K9A 4J8</v>
      </c>
      <c r="E3180" s="3" t="str">
        <f>IFERROR(__xludf.DUMMYFUNCTION("""COMPUTED_VALUE"""),"Nicholas Fortier&amp; STEVEN D FORTIER")</f>
        <v>Nicholas Fortier&amp; STEVEN D FORTIER</v>
      </c>
      <c r="F3180" s="3" t="str">
        <f>IFERROR(__xludf.DUMMYFUNCTION("""COMPUTED_VALUE"""),"nickfortier@hotmail.com; stevenfortier81@hotmail.com")</f>
        <v>nickfortier@hotmail.com; stevenfortier81@hotmail.com</v>
      </c>
      <c r="G3180" s="3"/>
      <c r="H3180" s="3"/>
    </row>
    <row r="3181">
      <c r="A3181" s="2">
        <f>IFERROR(__xludf.DUMMYFUNCTION("""COMPUTED_VALUE"""),40277.0)</f>
        <v>40277</v>
      </c>
      <c r="B3181" s="3" t="str">
        <f>IFERROR(__xludf.DUMMYFUNCTION("""COMPUTED_VALUE"""),"10337 COUNTY RD 2 - Unit B")</f>
        <v>10337 COUNTY RD 2 - Unit B</v>
      </c>
      <c r="C3181" s="3" t="str">
        <f>IFERROR(__xludf.DUMMYFUNCTION("""COMPUTED_VALUE"""),"COBOURG")</f>
        <v>COBOURG</v>
      </c>
      <c r="D3181" s="3" t="str">
        <f>IFERROR(__xludf.DUMMYFUNCTION("""COMPUTED_VALUE"""),"K9A 4J8")</f>
        <v>K9A 4J8</v>
      </c>
      <c r="E3181" s="3" t="str">
        <f>IFERROR(__xludf.DUMMYFUNCTION("""COMPUTED_VALUE"""),"Nicholas Fortier&amp; STEVEN D FORTIER")</f>
        <v>Nicholas Fortier&amp; STEVEN D FORTIER</v>
      </c>
      <c r="F3181" s="3" t="str">
        <f>IFERROR(__xludf.DUMMYFUNCTION("""COMPUTED_VALUE"""),"nickfortier@hotmail.com; stevenfortier81@hotmail.com")</f>
        <v>nickfortier@hotmail.com; stevenfortier81@hotmail.com</v>
      </c>
      <c r="G3181" s="3"/>
      <c r="H3181" s="3"/>
    </row>
    <row r="3182">
      <c r="A3182" s="2">
        <f>IFERROR(__xludf.DUMMYFUNCTION("""COMPUTED_VALUE"""),40278.0)</f>
        <v>40278</v>
      </c>
      <c r="B3182" s="3" t="str">
        <f>IFERROR(__xludf.DUMMYFUNCTION("""COMPUTED_VALUE"""),"10342 COUNTY RD 2")</f>
        <v>10342 COUNTY RD 2</v>
      </c>
      <c r="C3182" s="3" t="str">
        <f>IFERROR(__xludf.DUMMYFUNCTION("""COMPUTED_VALUE"""),"COBOURG")</f>
        <v>COBOURG</v>
      </c>
      <c r="D3182" s="3" t="str">
        <f>IFERROR(__xludf.DUMMYFUNCTION("""COMPUTED_VALUE"""),"K9A 4J8")</f>
        <v>K9A 4J8</v>
      </c>
      <c r="E3182" s="3"/>
      <c r="F3182" s="3"/>
      <c r="G3182" s="3"/>
      <c r="H3182" s="3"/>
    </row>
    <row r="3183">
      <c r="A3183" s="2">
        <f>IFERROR(__xludf.DUMMYFUNCTION("""COMPUTED_VALUE"""),40279.0)</f>
        <v>40279</v>
      </c>
      <c r="B3183" s="3" t="str">
        <f>IFERROR(__xludf.DUMMYFUNCTION("""COMPUTED_VALUE"""),"10353 COUNTY RD 2")</f>
        <v>10353 COUNTY RD 2</v>
      </c>
      <c r="C3183" s="3" t="str">
        <f>IFERROR(__xludf.DUMMYFUNCTION("""COMPUTED_VALUE"""),"COBOURG")</f>
        <v>COBOURG</v>
      </c>
      <c r="D3183" s="3" t="str">
        <f>IFERROR(__xludf.DUMMYFUNCTION("""COMPUTED_VALUE"""),"K9A 4J8")</f>
        <v>K9A 4J8</v>
      </c>
      <c r="E3183" s="3" t="str">
        <f>IFERROR(__xludf.DUMMYFUNCTION("""COMPUTED_VALUE"""),"ALANA WEATHERBY")</f>
        <v>ALANA WEATHERBY</v>
      </c>
      <c r="F3183" s="3" t="str">
        <f>IFERROR(__xludf.DUMMYFUNCTION("""COMPUTED_VALUE"""),"alana.weatherby@graphicpkg.com")</f>
        <v>alana.weatherby@graphicpkg.com</v>
      </c>
      <c r="G3183" s="3"/>
      <c r="H3183" s="3"/>
    </row>
    <row r="3184">
      <c r="A3184" s="2">
        <f>IFERROR(__xludf.DUMMYFUNCTION("""COMPUTED_VALUE"""),40280.0)</f>
        <v>40280</v>
      </c>
      <c r="B3184" s="3" t="str">
        <f>IFERROR(__xludf.DUMMYFUNCTION("""COMPUTED_VALUE"""),"10399 COUNTY RD 2")</f>
        <v>10399 COUNTY RD 2</v>
      </c>
      <c r="C3184" s="3" t="str">
        <f>IFERROR(__xludf.DUMMYFUNCTION("""COMPUTED_VALUE"""),"COBOURG")</f>
        <v>COBOURG</v>
      </c>
      <c r="D3184" s="3" t="str">
        <f>IFERROR(__xludf.DUMMYFUNCTION("""COMPUTED_VALUE"""),"K9A 4J8")</f>
        <v>K9A 4J8</v>
      </c>
      <c r="E3184" s="3"/>
      <c r="F3184" s="3"/>
      <c r="G3184" s="3"/>
      <c r="H3184" s="3"/>
    </row>
    <row r="3185">
      <c r="A3185" s="2">
        <f>IFERROR(__xludf.DUMMYFUNCTION("""COMPUTED_VALUE"""),40281.0)</f>
        <v>40281</v>
      </c>
      <c r="B3185" s="3" t="str">
        <f>IFERROR(__xludf.DUMMYFUNCTION("""COMPUTED_VALUE"""),"10405 COUNTY RD 2")</f>
        <v>10405 COUNTY RD 2</v>
      </c>
      <c r="C3185" s="3" t="str">
        <f>IFERROR(__xludf.DUMMYFUNCTION("""COMPUTED_VALUE"""),"COBOURG")</f>
        <v>COBOURG</v>
      </c>
      <c r="D3185" s="3" t="str">
        <f>IFERROR(__xludf.DUMMYFUNCTION("""COMPUTED_VALUE"""),"K9A 4J8")</f>
        <v>K9A 4J8</v>
      </c>
      <c r="E3185" s="3" t="str">
        <f>IFERROR(__xludf.DUMMYFUNCTION("""COMPUTED_VALUE"""),"kyle bykiv")</f>
        <v>kyle bykiv</v>
      </c>
      <c r="F3185" s="3" t="str">
        <f>IFERROR(__xludf.DUMMYFUNCTION("""COMPUTED_VALUE"""),"kyle.bykiv@gmail.com")</f>
        <v>kyle.bykiv@gmail.com</v>
      </c>
      <c r="G3185" s="3">
        <f>IFERROR(__xludf.DUMMYFUNCTION("""COMPUTED_VALUE"""),2.896955146E9)</f>
        <v>2896955146</v>
      </c>
      <c r="H3185" s="3">
        <f>IFERROR(__xludf.DUMMYFUNCTION("""COMPUTED_VALUE"""),9.052595119E9)</f>
        <v>9052595119</v>
      </c>
    </row>
    <row r="3186">
      <c r="A3186" s="2">
        <f>IFERROR(__xludf.DUMMYFUNCTION("""COMPUTED_VALUE"""),40282.0)</f>
        <v>40282</v>
      </c>
      <c r="B3186" s="3" t="str">
        <f>IFERROR(__xludf.DUMMYFUNCTION("""COMPUTED_VALUE"""),"10447 COUNTY RD 2")</f>
        <v>10447 COUNTY RD 2</v>
      </c>
      <c r="C3186" s="3" t="str">
        <f>IFERROR(__xludf.DUMMYFUNCTION("""COMPUTED_VALUE"""),"COBOURG")</f>
        <v>COBOURG</v>
      </c>
      <c r="D3186" s="3" t="str">
        <f>IFERROR(__xludf.DUMMYFUNCTION("""COMPUTED_VALUE"""),"K9A 4J8")</f>
        <v>K9A 4J8</v>
      </c>
      <c r="E3186" s="3" t="str">
        <f>IFERROR(__xludf.DUMMYFUNCTION("""COMPUTED_VALUE"""),"randy brown")</f>
        <v>randy brown</v>
      </c>
      <c r="F3186" s="3" t="str">
        <f>IFERROR(__xludf.DUMMYFUNCTION("""COMPUTED_VALUE"""),"scnerbrown@gmail.com")</f>
        <v>scnerbrown@gmail.com</v>
      </c>
      <c r="G3186" s="3">
        <f>IFERROR(__xludf.DUMMYFUNCTION("""COMPUTED_VALUE"""),9.053492834E9)</f>
        <v>9053492834</v>
      </c>
      <c r="H3186" s="3"/>
    </row>
    <row r="3187">
      <c r="A3187" s="2">
        <f>IFERROR(__xludf.DUMMYFUNCTION("""COMPUTED_VALUE"""),40283.0)</f>
        <v>40283</v>
      </c>
      <c r="B3187" s="3" t="str">
        <f>IFERROR(__xludf.DUMMYFUNCTION("""COMPUTED_VALUE"""),"10485 COUNTY RD 2")</f>
        <v>10485 COUNTY RD 2</v>
      </c>
      <c r="C3187" s="3" t="str">
        <f>IFERROR(__xludf.DUMMYFUNCTION("""COMPUTED_VALUE"""),"COBOURG")</f>
        <v>COBOURG</v>
      </c>
      <c r="D3187" s="3" t="str">
        <f>IFERROR(__xludf.DUMMYFUNCTION("""COMPUTED_VALUE"""),"K9A 4J8")</f>
        <v>K9A 4J8</v>
      </c>
      <c r="E3187" s="3"/>
      <c r="F3187" s="3"/>
      <c r="G3187" s="3"/>
      <c r="H3187" s="3"/>
    </row>
    <row r="3188">
      <c r="A3188" s="2">
        <f>IFERROR(__xludf.DUMMYFUNCTION("""COMPUTED_VALUE"""),40284.0)</f>
        <v>40284</v>
      </c>
      <c r="B3188" s="3" t="str">
        <f>IFERROR(__xludf.DUMMYFUNCTION("""COMPUTED_VALUE"""),"10512 COUNTY RD 2")</f>
        <v>10512 COUNTY RD 2</v>
      </c>
      <c r="C3188" s="3" t="str">
        <f>IFERROR(__xludf.DUMMYFUNCTION("""COMPUTED_VALUE"""),"COBOURG")</f>
        <v>COBOURG</v>
      </c>
      <c r="D3188" s="3" t="str">
        <f>IFERROR(__xludf.DUMMYFUNCTION("""COMPUTED_VALUE"""),"K9A 4J8")</f>
        <v>K9A 4J8</v>
      </c>
      <c r="E3188" s="3" t="str">
        <f>IFERROR(__xludf.DUMMYFUNCTION("""COMPUTED_VALUE"""),"dick and anne raymond ")</f>
        <v>dick and anne raymond </v>
      </c>
      <c r="F3188" s="3" t="str">
        <f>IFERROR(__xludf.DUMMYFUNCTION("""COMPUTED_VALUE"""),"richard_68@sympatico.ca")</f>
        <v>richard_68@sympatico.ca</v>
      </c>
      <c r="G3188" s="3">
        <f>IFERROR(__xludf.DUMMYFUNCTION("""COMPUTED_VALUE"""),9.053492323E9)</f>
        <v>9053492323</v>
      </c>
      <c r="H3188" s="3"/>
    </row>
    <row r="3189">
      <c r="A3189" s="2">
        <f>IFERROR(__xludf.DUMMYFUNCTION("""COMPUTED_VALUE"""),40285.0)</f>
        <v>40285</v>
      </c>
      <c r="B3189" s="3" t="str">
        <f>IFERROR(__xludf.DUMMYFUNCTION("""COMPUTED_VALUE"""),"10514 COUNTY RD 2")</f>
        <v>10514 COUNTY RD 2</v>
      </c>
      <c r="C3189" s="3" t="str">
        <f>IFERROR(__xludf.DUMMYFUNCTION("""COMPUTED_VALUE"""),"COBOURG")</f>
        <v>COBOURG</v>
      </c>
      <c r="D3189" s="3" t="str">
        <f>IFERROR(__xludf.DUMMYFUNCTION("""COMPUTED_VALUE"""),"K9A 4J8")</f>
        <v>K9A 4J8</v>
      </c>
      <c r="E3189" s="3" t="str">
        <f>IFERROR(__xludf.DUMMYFUNCTION("""COMPUTED_VALUE"""),"tara raymond ")</f>
        <v>tara raymond </v>
      </c>
      <c r="F3189" s="3" t="str">
        <f>IFERROR(__xludf.DUMMYFUNCTION("""COMPUTED_VALUE"""),"tararock@hotmail.com")</f>
        <v>tararock@hotmail.com</v>
      </c>
      <c r="G3189" s="3">
        <f>IFERROR(__xludf.DUMMYFUNCTION("""COMPUTED_VALUE"""),9.053493828E9)</f>
        <v>9053493828</v>
      </c>
      <c r="H3189" s="3">
        <f>IFERROR(__xludf.DUMMYFUNCTION("""COMPUTED_VALUE"""),9.053733681E9)</f>
        <v>9053733681</v>
      </c>
    </row>
    <row r="3190">
      <c r="A3190" s="2">
        <f>IFERROR(__xludf.DUMMYFUNCTION("""COMPUTED_VALUE"""),40286.0)</f>
        <v>40286</v>
      </c>
      <c r="B3190" s="3" t="str">
        <f>IFERROR(__xludf.DUMMYFUNCTION("""COMPUTED_VALUE"""),"10517 COUNTY RD 2")</f>
        <v>10517 COUNTY RD 2</v>
      </c>
      <c r="C3190" s="3" t="str">
        <f>IFERROR(__xludf.DUMMYFUNCTION("""COMPUTED_VALUE"""),"COBOURG")</f>
        <v>COBOURG</v>
      </c>
      <c r="D3190" s="3" t="str">
        <f>IFERROR(__xludf.DUMMYFUNCTION("""COMPUTED_VALUE"""),"K9A 4J8")</f>
        <v>K9A 4J8</v>
      </c>
      <c r="E3190" s="3" t="str">
        <f>IFERROR(__xludf.DUMMYFUNCTION("""COMPUTED_VALUE"""),"chris linkie ")</f>
        <v>chris linkie </v>
      </c>
      <c r="F3190" s="3" t="str">
        <f>IFERROR(__xludf.DUMMYFUNCTION("""COMPUTED_VALUE"""),"linkie@hotmail.com")</f>
        <v>linkie@hotmail.com</v>
      </c>
      <c r="G3190" s="3">
        <f>IFERROR(__xludf.DUMMYFUNCTION("""COMPUTED_VALUE"""),9.053762044E9)</f>
        <v>9053762044</v>
      </c>
      <c r="H3190" s="3">
        <f>IFERROR(__xludf.DUMMYFUNCTION("""COMPUTED_VALUE"""),9.053492795E9)</f>
        <v>9053492795</v>
      </c>
    </row>
    <row r="3191">
      <c r="A3191" s="2">
        <f>IFERROR(__xludf.DUMMYFUNCTION("""COMPUTED_VALUE"""),40287.0)</f>
        <v>40287</v>
      </c>
      <c r="B3191" s="3" t="str">
        <f>IFERROR(__xludf.DUMMYFUNCTION("""COMPUTED_VALUE"""),"10527 COUNTY RD 2")</f>
        <v>10527 COUNTY RD 2</v>
      </c>
      <c r="C3191" s="3" t="str">
        <f>IFERROR(__xludf.DUMMYFUNCTION("""COMPUTED_VALUE"""),"COBOURG")</f>
        <v>COBOURG</v>
      </c>
      <c r="D3191" s="3" t="str">
        <f>IFERROR(__xludf.DUMMYFUNCTION("""COMPUTED_VALUE"""),"K9A 4J8")</f>
        <v>K9A 4J8</v>
      </c>
      <c r="E3191" s="3" t="str">
        <f>IFERROR(__xludf.DUMMYFUNCTION("""COMPUTED_VALUE"""),"reid mcdonald")</f>
        <v>reid mcdonald</v>
      </c>
      <c r="F3191" s="3" t="str">
        <f>IFERROR(__xludf.DUMMYFUNCTION("""COMPUTED_VALUE"""),"reidmcd19@gmail.com")</f>
        <v>reidmcd19@gmail.com</v>
      </c>
      <c r="G3191" s="3">
        <f>IFERROR(__xludf.DUMMYFUNCTION("""COMPUTED_VALUE"""),6.132958117E9)</f>
        <v>6132958117</v>
      </c>
      <c r="H3191" s="3"/>
    </row>
    <row r="3192">
      <c r="A3192" s="2">
        <f>IFERROR(__xludf.DUMMYFUNCTION("""COMPUTED_VALUE"""),40288.0)</f>
        <v>40288</v>
      </c>
      <c r="B3192" s="3" t="str">
        <f>IFERROR(__xludf.DUMMYFUNCTION("""COMPUTED_VALUE"""),"10528 COUNTY RD 2")</f>
        <v>10528 COUNTY RD 2</v>
      </c>
      <c r="C3192" s="3" t="str">
        <f>IFERROR(__xludf.DUMMYFUNCTION("""COMPUTED_VALUE"""),"COBOURG")</f>
        <v>COBOURG</v>
      </c>
      <c r="D3192" s="3" t="str">
        <f>IFERROR(__xludf.DUMMYFUNCTION("""COMPUTED_VALUE"""),"K9A 4J8")</f>
        <v>K9A 4J8</v>
      </c>
      <c r="E3192" s="3" t="str">
        <f>IFERROR(__xludf.DUMMYFUNCTION("""COMPUTED_VALUE"""),"angus macgregor")</f>
        <v>angus macgregor</v>
      </c>
      <c r="F3192" s="3" t="str">
        <f>IFERROR(__xludf.DUMMYFUNCTION("""COMPUTED_VALUE"""),"angusmacgregor1704@gmail.com")</f>
        <v>angusmacgregor1704@gmail.com</v>
      </c>
      <c r="G3192" s="3">
        <f>IFERROR(__xludf.DUMMYFUNCTION("""COMPUTED_VALUE"""),9.053966816E9)</f>
        <v>9053966816</v>
      </c>
      <c r="H3192" s="3">
        <f>IFERROR(__xludf.DUMMYFUNCTION("""COMPUTED_VALUE"""),2.892510243E9)</f>
        <v>2892510243</v>
      </c>
    </row>
    <row r="3193">
      <c r="A3193" s="2">
        <f>IFERROR(__xludf.DUMMYFUNCTION("""COMPUTED_VALUE"""),40289.0)</f>
        <v>40289</v>
      </c>
      <c r="B3193" s="3" t="str">
        <f>IFERROR(__xludf.DUMMYFUNCTION("""COMPUTED_VALUE"""),"10536 COUNTY RD 2")</f>
        <v>10536 COUNTY RD 2</v>
      </c>
      <c r="C3193" s="3" t="str">
        <f>IFERROR(__xludf.DUMMYFUNCTION("""COMPUTED_VALUE"""),"COBOURG")</f>
        <v>COBOURG</v>
      </c>
      <c r="D3193" s="3" t="str">
        <f>IFERROR(__xludf.DUMMYFUNCTION("""COMPUTED_VALUE"""),"K9A 4J8")</f>
        <v>K9A 4J8</v>
      </c>
      <c r="E3193" s="3" t="str">
        <f>IFERROR(__xludf.DUMMYFUNCTION("""COMPUTED_VALUE"""),"Reisha Prasad &amp; Andrew Lyon ")</f>
        <v>Reisha Prasad &amp; Andrew Lyon </v>
      </c>
      <c r="F3193" s="3" t="str">
        <f>IFERROR(__xludf.DUMMYFUNCTION("""COMPUTED_VALUE"""),"aj-lyon@hotmail.com
reishalyon@gmail.com")</f>
        <v>aj-lyon@hotmail.com
reishalyon@gmail.com</v>
      </c>
      <c r="G3193" s="3">
        <f>IFERROR(__xludf.DUMMYFUNCTION("""COMPUTED_VALUE"""),2.896881916E9)</f>
        <v>2896881916</v>
      </c>
      <c r="H3193" s="3">
        <f>IFERROR(__xludf.DUMMYFUNCTION("""COMPUTED_VALUE"""),9.054499684E9)</f>
        <v>9054499684</v>
      </c>
    </row>
    <row r="3194">
      <c r="A3194" s="2">
        <f>IFERROR(__xludf.DUMMYFUNCTION("""COMPUTED_VALUE"""),40290.0)</f>
        <v>40290</v>
      </c>
      <c r="B3194" s="3" t="str">
        <f>IFERROR(__xludf.DUMMYFUNCTION("""COMPUTED_VALUE"""),"10540 COUNTY RD 2")</f>
        <v>10540 COUNTY RD 2</v>
      </c>
      <c r="C3194" s="3" t="str">
        <f>IFERROR(__xludf.DUMMYFUNCTION("""COMPUTED_VALUE"""),"COBOURG")</f>
        <v>COBOURG</v>
      </c>
      <c r="D3194" s="3" t="str">
        <f>IFERROR(__xludf.DUMMYFUNCTION("""COMPUTED_VALUE"""),"K9A 4J8")</f>
        <v>K9A 4J8</v>
      </c>
      <c r="E3194" s="3" t="str">
        <f>IFERROR(__xludf.DUMMYFUNCTION("""COMPUTED_VALUE"""),"Gerald Smith")</f>
        <v>Gerald Smith</v>
      </c>
      <c r="F3194" s="3" t="str">
        <f>IFERROR(__xludf.DUMMYFUNCTION("""COMPUTED_VALUE"""),"mllwsmith@sympatico.ca")</f>
        <v>mllwsmith@sympatico.ca</v>
      </c>
      <c r="G3194" s="3">
        <f>IFERROR(__xludf.DUMMYFUNCTION("""COMPUTED_VALUE"""),9.053491046E9)</f>
        <v>9053491046</v>
      </c>
      <c r="H3194" s="3">
        <f>IFERROR(__xludf.DUMMYFUNCTION("""COMPUTED_VALUE"""),9.05396805E9)</f>
        <v>9053968050</v>
      </c>
    </row>
    <row r="3195">
      <c r="A3195" s="2">
        <f>IFERROR(__xludf.DUMMYFUNCTION("""COMPUTED_VALUE"""),40291.0)</f>
        <v>40291</v>
      </c>
      <c r="B3195" s="3" t="str">
        <f>IFERROR(__xludf.DUMMYFUNCTION("""COMPUTED_VALUE"""),"10544 COUNTY RD 2")</f>
        <v>10544 COUNTY RD 2</v>
      </c>
      <c r="C3195" s="3" t="str">
        <f>IFERROR(__xludf.DUMMYFUNCTION("""COMPUTED_VALUE"""),"COBOURG")</f>
        <v>COBOURG</v>
      </c>
      <c r="D3195" s="3" t="str">
        <f>IFERROR(__xludf.DUMMYFUNCTION("""COMPUTED_VALUE"""),"K9A 4J8")</f>
        <v>K9A 4J8</v>
      </c>
      <c r="E3195" s="3"/>
      <c r="F3195" s="3"/>
      <c r="G3195" s="3"/>
      <c r="H3195" s="3"/>
    </row>
    <row r="3196">
      <c r="A3196" s="2">
        <f>IFERROR(__xludf.DUMMYFUNCTION("""COMPUTED_VALUE"""),40292.0)</f>
        <v>40292</v>
      </c>
      <c r="B3196" s="3" t="str">
        <f>IFERROR(__xludf.DUMMYFUNCTION("""COMPUTED_VALUE"""),"10568 COUNTY RD 2")</f>
        <v>10568 COUNTY RD 2</v>
      </c>
      <c r="C3196" s="3" t="str">
        <f>IFERROR(__xludf.DUMMYFUNCTION("""COMPUTED_VALUE"""),"COBOURG")</f>
        <v>COBOURG</v>
      </c>
      <c r="D3196" s="3" t="str">
        <f>IFERROR(__xludf.DUMMYFUNCTION("""COMPUTED_VALUE"""),"K9A 4J8")</f>
        <v>K9A 4J8</v>
      </c>
      <c r="E3196" s="3"/>
      <c r="F3196" s="3"/>
      <c r="G3196" s="3"/>
      <c r="H3196" s="3"/>
    </row>
    <row r="3197">
      <c r="A3197" s="2">
        <f>IFERROR(__xludf.DUMMYFUNCTION("""COMPUTED_VALUE"""),40293.0)</f>
        <v>40293</v>
      </c>
      <c r="B3197" s="3" t="str">
        <f>IFERROR(__xludf.DUMMYFUNCTION("""COMPUTED_VALUE"""),"10581 COUNTY RD 2")</f>
        <v>10581 COUNTY RD 2</v>
      </c>
      <c r="C3197" s="3" t="str">
        <f>IFERROR(__xludf.DUMMYFUNCTION("""COMPUTED_VALUE"""),"COBOURG")</f>
        <v>COBOURG</v>
      </c>
      <c r="D3197" s="3" t="str">
        <f>IFERROR(__xludf.DUMMYFUNCTION("""COMPUTED_VALUE"""),"K9A 4J8")</f>
        <v>K9A 4J8</v>
      </c>
      <c r="E3197" s="3"/>
      <c r="F3197" s="3"/>
      <c r="G3197" s="3"/>
      <c r="H3197" s="3"/>
    </row>
    <row r="3198">
      <c r="A3198" s="2">
        <f>IFERROR(__xludf.DUMMYFUNCTION("""COMPUTED_VALUE"""),40294.0)</f>
        <v>40294</v>
      </c>
      <c r="B3198" s="3" t="str">
        <f>IFERROR(__xludf.DUMMYFUNCTION("""COMPUTED_VALUE"""),"10614 COUNTY RD 2")</f>
        <v>10614 COUNTY RD 2</v>
      </c>
      <c r="C3198" s="3" t="str">
        <f>IFERROR(__xludf.DUMMYFUNCTION("""COMPUTED_VALUE"""),"COBOURG")</f>
        <v>COBOURG</v>
      </c>
      <c r="D3198" s="3" t="str">
        <f>IFERROR(__xludf.DUMMYFUNCTION("""COMPUTED_VALUE"""),"K9A 4J8")</f>
        <v>K9A 4J8</v>
      </c>
      <c r="E3198" s="3"/>
      <c r="F3198" s="3"/>
      <c r="G3198" s="3"/>
      <c r="H3198" s="3"/>
    </row>
    <row r="3199">
      <c r="A3199" s="2">
        <f>IFERROR(__xludf.DUMMYFUNCTION("""COMPUTED_VALUE"""),40295.0)</f>
        <v>40295</v>
      </c>
      <c r="B3199" s="3" t="str">
        <f>IFERROR(__xludf.DUMMYFUNCTION("""COMPUTED_VALUE"""),"10620 COUNTY RD 2")</f>
        <v>10620 COUNTY RD 2</v>
      </c>
      <c r="C3199" s="3" t="str">
        <f>IFERROR(__xludf.DUMMYFUNCTION("""COMPUTED_VALUE"""),"COBOURG")</f>
        <v>COBOURG</v>
      </c>
      <c r="D3199" s="3" t="str">
        <f>IFERROR(__xludf.DUMMYFUNCTION("""COMPUTED_VALUE"""),"K9A 4J8")</f>
        <v>K9A 4J8</v>
      </c>
      <c r="E3199" s="3" t="str">
        <f>IFERROR(__xludf.DUMMYFUNCTION("""COMPUTED_VALUE"""),"guy catton")</f>
        <v>guy catton</v>
      </c>
      <c r="F3199" s="3" t="str">
        <f>IFERROR(__xludf.DUMMYFUNCTION("""COMPUTED_VALUE"""),"guycatton@outlook.com")</f>
        <v>guycatton@outlook.com</v>
      </c>
      <c r="G3199" s="3">
        <f>IFERROR(__xludf.DUMMYFUNCTION("""COMPUTED_VALUE"""),4.163885599E9)</f>
        <v>4163885599</v>
      </c>
      <c r="H3199" s="3"/>
    </row>
    <row r="3200">
      <c r="A3200" s="2">
        <f>IFERROR(__xludf.DUMMYFUNCTION("""COMPUTED_VALUE"""),40296.0)</f>
        <v>40296</v>
      </c>
      <c r="B3200" s="3" t="str">
        <f>IFERROR(__xludf.DUMMYFUNCTION("""COMPUTED_VALUE"""),"10624 COUNTY RD 2")</f>
        <v>10624 COUNTY RD 2</v>
      </c>
      <c r="C3200" s="3" t="str">
        <f>IFERROR(__xludf.DUMMYFUNCTION("""COMPUTED_VALUE"""),"COBOURG")</f>
        <v>COBOURG</v>
      </c>
      <c r="D3200" s="3" t="str">
        <f>IFERROR(__xludf.DUMMYFUNCTION("""COMPUTED_VALUE"""),"K9A 4J8")</f>
        <v>K9A 4J8</v>
      </c>
      <c r="E3200" s="3" t="str">
        <f>IFERROR(__xludf.DUMMYFUNCTION("""COMPUTED_VALUE"""),"bon viggiani")</f>
        <v>bon viggiani</v>
      </c>
      <c r="F3200" s="3" t="str">
        <f>IFERROR(__xludf.DUMMYFUNCTION("""COMPUTED_VALUE"""),"kenviggiani@gmail.com")</f>
        <v>kenviggiani@gmail.com</v>
      </c>
      <c r="G3200" s="3">
        <f>IFERROR(__xludf.DUMMYFUNCTION("""COMPUTED_VALUE"""),4.167092325E9)</f>
        <v>4167092325</v>
      </c>
      <c r="H3200" s="3"/>
    </row>
    <row r="3201">
      <c r="A3201" s="2">
        <f>IFERROR(__xludf.DUMMYFUNCTION("""COMPUTED_VALUE"""),40297.0)</f>
        <v>40297</v>
      </c>
      <c r="B3201" s="3" t="str">
        <f>IFERROR(__xludf.DUMMYFUNCTION("""COMPUTED_VALUE"""),"10626 COUNTY RD 2")</f>
        <v>10626 COUNTY RD 2</v>
      </c>
      <c r="C3201" s="3" t="str">
        <f>IFERROR(__xludf.DUMMYFUNCTION("""COMPUTED_VALUE"""),"COBOURG")</f>
        <v>COBOURG</v>
      </c>
      <c r="D3201" s="3" t="str">
        <f>IFERROR(__xludf.DUMMYFUNCTION("""COMPUTED_VALUE"""),"K9A 4J8")</f>
        <v>K9A 4J8</v>
      </c>
      <c r="E3201" s="3"/>
      <c r="F3201" s="3"/>
      <c r="G3201" s="3"/>
      <c r="H3201" s="3"/>
    </row>
    <row r="3202">
      <c r="A3202" s="2">
        <f>IFERROR(__xludf.DUMMYFUNCTION("""COMPUTED_VALUE"""),40298.0)</f>
        <v>40298</v>
      </c>
      <c r="B3202" s="3" t="str">
        <f>IFERROR(__xludf.DUMMYFUNCTION("""COMPUTED_VALUE"""),"10629 COUNTY RD 2")</f>
        <v>10629 COUNTY RD 2</v>
      </c>
      <c r="C3202" s="3" t="str">
        <f>IFERROR(__xludf.DUMMYFUNCTION("""COMPUTED_VALUE"""),"COBOURG")</f>
        <v>COBOURG</v>
      </c>
      <c r="D3202" s="3" t="str">
        <f>IFERROR(__xludf.DUMMYFUNCTION("""COMPUTED_VALUE"""),"K9A 4J8")</f>
        <v>K9A 4J8</v>
      </c>
      <c r="E3202" s="3"/>
      <c r="F3202" s="3"/>
      <c r="G3202" s="3"/>
      <c r="H3202" s="3"/>
    </row>
    <row r="3203">
      <c r="A3203" s="2">
        <f>IFERROR(__xludf.DUMMYFUNCTION("""COMPUTED_VALUE"""),40299.0)</f>
        <v>40299</v>
      </c>
      <c r="B3203" s="3" t="str">
        <f>IFERROR(__xludf.DUMMYFUNCTION("""COMPUTED_VALUE"""),"10630 COUNTY RD 2")</f>
        <v>10630 COUNTY RD 2</v>
      </c>
      <c r="C3203" s="3" t="str">
        <f>IFERROR(__xludf.DUMMYFUNCTION("""COMPUTED_VALUE"""),"COBOURG")</f>
        <v>COBOURG</v>
      </c>
      <c r="D3203" s="3" t="str">
        <f>IFERROR(__xludf.DUMMYFUNCTION("""COMPUTED_VALUE"""),"K9A 4J8")</f>
        <v>K9A 4J8</v>
      </c>
      <c r="E3203" s="3" t="str">
        <f>IFERROR(__xludf.DUMMYFUNCTION("""COMPUTED_VALUE"""),"brad usher ")</f>
        <v>brad usher </v>
      </c>
      <c r="F3203" s="3" t="str">
        <f>IFERROR(__xludf.DUMMYFUNCTION("""COMPUTED_VALUE"""),"brad_usher@hotmail.com")</f>
        <v>brad_usher@hotmail.com</v>
      </c>
      <c r="G3203" s="3">
        <f>IFERROR(__xludf.DUMMYFUNCTION("""COMPUTED_VALUE"""),9.052694336E9)</f>
        <v>9052694336</v>
      </c>
      <c r="H3203" s="3"/>
    </row>
    <row r="3204">
      <c r="A3204" s="2">
        <f>IFERROR(__xludf.DUMMYFUNCTION("""COMPUTED_VALUE"""),40300.0)</f>
        <v>40300</v>
      </c>
      <c r="B3204" s="3" t="str">
        <f>IFERROR(__xludf.DUMMYFUNCTION("""COMPUTED_VALUE"""),"10632 COUNTY RD 2")</f>
        <v>10632 COUNTY RD 2</v>
      </c>
      <c r="C3204" s="3" t="str">
        <f>IFERROR(__xludf.DUMMYFUNCTION("""COMPUTED_VALUE"""),"COBOURG")</f>
        <v>COBOURG</v>
      </c>
      <c r="D3204" s="3" t="str">
        <f>IFERROR(__xludf.DUMMYFUNCTION("""COMPUTED_VALUE"""),"K9A 4J8")</f>
        <v>K9A 4J8</v>
      </c>
      <c r="E3204" s="3"/>
      <c r="F3204" s="3"/>
      <c r="G3204" s="3"/>
      <c r="H3204" s="3"/>
    </row>
    <row r="3205">
      <c r="A3205" s="2">
        <f>IFERROR(__xludf.DUMMYFUNCTION("""COMPUTED_VALUE"""),40301.0)</f>
        <v>40301</v>
      </c>
      <c r="B3205" s="3" t="str">
        <f>IFERROR(__xludf.DUMMYFUNCTION("""COMPUTED_VALUE"""),"10639 COUNTY RD 2")</f>
        <v>10639 COUNTY RD 2</v>
      </c>
      <c r="C3205" s="3" t="str">
        <f>IFERROR(__xludf.DUMMYFUNCTION("""COMPUTED_VALUE"""),"COBOURG")</f>
        <v>COBOURG</v>
      </c>
      <c r="D3205" s="3" t="str">
        <f>IFERROR(__xludf.DUMMYFUNCTION("""COMPUTED_VALUE"""),"K9A 4J8")</f>
        <v>K9A 4J8</v>
      </c>
      <c r="E3205" s="3"/>
      <c r="F3205" s="3"/>
      <c r="G3205" s="3"/>
      <c r="H3205" s="3"/>
    </row>
    <row r="3206">
      <c r="A3206" s="2">
        <f>IFERROR(__xludf.DUMMYFUNCTION("""COMPUTED_VALUE"""),40302.0)</f>
        <v>40302</v>
      </c>
      <c r="B3206" s="3" t="str">
        <f>IFERROR(__xludf.DUMMYFUNCTION("""COMPUTED_VALUE"""),"10651 COUNTY RD 2")</f>
        <v>10651 COUNTY RD 2</v>
      </c>
      <c r="C3206" s="3" t="str">
        <f>IFERROR(__xludf.DUMMYFUNCTION("""COMPUTED_VALUE"""),"COBOURG")</f>
        <v>COBOURG</v>
      </c>
      <c r="D3206" s="3" t="str">
        <f>IFERROR(__xludf.DUMMYFUNCTION("""COMPUTED_VALUE"""),"K9A 4J8")</f>
        <v>K9A 4J8</v>
      </c>
      <c r="E3206" s="3" t="str">
        <f>IFERROR(__xludf.DUMMYFUNCTION("""COMPUTED_VALUE"""),"sabrina martorino")</f>
        <v>sabrina martorino</v>
      </c>
      <c r="F3206" s="3" t="str">
        <f>IFERROR(__xludf.DUMMYFUNCTION("""COMPUTED_VALUE"""),"tsmartorino@gmail.com")</f>
        <v>tsmartorino@gmail.com</v>
      </c>
      <c r="G3206" s="3">
        <f>IFERROR(__xludf.DUMMYFUNCTION("""COMPUTED_VALUE"""),9.053499975E9)</f>
        <v>9053499975</v>
      </c>
      <c r="H3206" s="3">
        <f>IFERROR(__xludf.DUMMYFUNCTION("""COMPUTED_VALUE"""),9.053758503E9)</f>
        <v>9053758503</v>
      </c>
    </row>
    <row r="3207">
      <c r="A3207" s="2">
        <f>IFERROR(__xludf.DUMMYFUNCTION("""COMPUTED_VALUE"""),40303.0)</f>
        <v>40303</v>
      </c>
      <c r="B3207" s="3" t="str">
        <f>IFERROR(__xludf.DUMMYFUNCTION("""COMPUTED_VALUE"""),"10652 COUNTY RD 2")</f>
        <v>10652 COUNTY RD 2</v>
      </c>
      <c r="C3207" s="3" t="str">
        <f>IFERROR(__xludf.DUMMYFUNCTION("""COMPUTED_VALUE"""),"COBOURG")</f>
        <v>COBOURG</v>
      </c>
      <c r="D3207" s="3" t="str">
        <f>IFERROR(__xludf.DUMMYFUNCTION("""COMPUTED_VALUE"""),"K9A 4J8")</f>
        <v>K9A 4J8</v>
      </c>
      <c r="E3207" s="3" t="str">
        <f>IFERROR(__xludf.DUMMYFUNCTION("""COMPUTED_VALUE"""),"mark huska ")</f>
        <v>mark huska </v>
      </c>
      <c r="F3207" s="3" t="str">
        <f>IFERROR(__xludf.DUMMYFUNCTION("""COMPUTED_VALUE"""),"whickies@icloud.com")</f>
        <v>whickies@icloud.com</v>
      </c>
      <c r="G3207" s="3">
        <f>IFERROR(__xludf.DUMMYFUNCTION("""COMPUTED_VALUE"""),4.169391636E9)</f>
        <v>4169391636</v>
      </c>
      <c r="H3207" s="3"/>
    </row>
    <row r="3208">
      <c r="A3208" s="2">
        <f>IFERROR(__xludf.DUMMYFUNCTION("""COMPUTED_VALUE"""),40304.0)</f>
        <v>40304</v>
      </c>
      <c r="B3208" s="3" t="str">
        <f>IFERROR(__xludf.DUMMYFUNCTION("""COMPUTED_VALUE"""),"10701 COUNTY RD 2")</f>
        <v>10701 COUNTY RD 2</v>
      </c>
      <c r="C3208" s="3" t="str">
        <f>IFERROR(__xludf.DUMMYFUNCTION("""COMPUTED_VALUE"""),"COBOURG")</f>
        <v>COBOURG</v>
      </c>
      <c r="D3208" s="3" t="str">
        <f>IFERROR(__xludf.DUMMYFUNCTION("""COMPUTED_VALUE"""),"K9A 4J8")</f>
        <v>K9A 4J8</v>
      </c>
      <c r="E3208" s="3" t="str">
        <f>IFERROR(__xludf.DUMMYFUNCTION("""COMPUTED_VALUE"""),"CHRISTOPHER BROWN")</f>
        <v>CHRISTOPHER BROWN</v>
      </c>
      <c r="F3208" s="3" t="str">
        <f>IFERROR(__xludf.DUMMYFUNCTION("""COMPUTED_VALUE"""),"brown.ck@rogers.com")</f>
        <v>brown.ck@rogers.com</v>
      </c>
      <c r="G3208" s="3">
        <f>IFERROR(__xludf.DUMMYFUNCTION("""COMPUTED_VALUE"""),4.164217049E9)</f>
        <v>4164217049</v>
      </c>
      <c r="H3208" s="3"/>
    </row>
    <row r="3209">
      <c r="A3209" s="2">
        <f>IFERROR(__xludf.DUMMYFUNCTION("""COMPUTED_VALUE"""),40305.0)</f>
        <v>40305</v>
      </c>
      <c r="B3209" s="3" t="str">
        <f>IFERROR(__xludf.DUMMYFUNCTION("""COMPUTED_VALUE"""),"10715 COUNTY RD 2")</f>
        <v>10715 COUNTY RD 2</v>
      </c>
      <c r="C3209" s="3" t="str">
        <f>IFERROR(__xludf.DUMMYFUNCTION("""COMPUTED_VALUE"""),"COBOURG")</f>
        <v>COBOURG</v>
      </c>
      <c r="D3209" s="3" t="str">
        <f>IFERROR(__xludf.DUMMYFUNCTION("""COMPUTED_VALUE"""),"K9A 4J8")</f>
        <v>K9A 4J8</v>
      </c>
      <c r="E3209" s="3"/>
      <c r="F3209" s="3"/>
      <c r="G3209" s="3"/>
      <c r="H3209" s="3"/>
    </row>
    <row r="3210">
      <c r="A3210" s="2">
        <f>IFERROR(__xludf.DUMMYFUNCTION("""COMPUTED_VALUE"""),40306.0)</f>
        <v>40306</v>
      </c>
      <c r="B3210" s="3" t="str">
        <f>IFERROR(__xludf.DUMMYFUNCTION("""COMPUTED_VALUE"""),"10731 COUNTY RD 2")</f>
        <v>10731 COUNTY RD 2</v>
      </c>
      <c r="C3210" s="3" t="str">
        <f>IFERROR(__xludf.DUMMYFUNCTION("""COMPUTED_VALUE"""),"COBOURG")</f>
        <v>COBOURG</v>
      </c>
      <c r="D3210" s="3" t="str">
        <f>IFERROR(__xludf.DUMMYFUNCTION("""COMPUTED_VALUE"""),"K9A 4J8")</f>
        <v>K9A 4J8</v>
      </c>
      <c r="E3210" s="3"/>
      <c r="F3210" s="3"/>
      <c r="G3210" s="3"/>
      <c r="H3210" s="3"/>
    </row>
    <row r="3211">
      <c r="A3211" s="2">
        <f>IFERROR(__xludf.DUMMYFUNCTION("""COMPUTED_VALUE"""),40307.0)</f>
        <v>40307</v>
      </c>
      <c r="B3211" s="3" t="str">
        <f>IFERROR(__xludf.DUMMYFUNCTION("""COMPUTED_VALUE"""),"10735 COUNTY RD 2")</f>
        <v>10735 COUNTY RD 2</v>
      </c>
      <c r="C3211" s="3" t="str">
        <f>IFERROR(__xludf.DUMMYFUNCTION("""COMPUTED_VALUE"""),"COBOURG")</f>
        <v>COBOURG</v>
      </c>
      <c r="D3211" s="3" t="str">
        <f>IFERROR(__xludf.DUMMYFUNCTION("""COMPUTED_VALUE"""),"K9A 4J8")</f>
        <v>K9A 4J8</v>
      </c>
      <c r="E3211" s="3"/>
      <c r="F3211" s="3"/>
      <c r="G3211" s="3"/>
      <c r="H3211" s="3"/>
    </row>
    <row r="3212">
      <c r="A3212" s="2">
        <f>IFERROR(__xludf.DUMMYFUNCTION("""COMPUTED_VALUE"""),40308.0)</f>
        <v>40308</v>
      </c>
      <c r="B3212" s="3" t="str">
        <f>IFERROR(__xludf.DUMMYFUNCTION("""COMPUTED_VALUE"""),"10739 COUNTY RD 2")</f>
        <v>10739 COUNTY RD 2</v>
      </c>
      <c r="C3212" s="3" t="str">
        <f>IFERROR(__xludf.DUMMYFUNCTION("""COMPUTED_VALUE"""),"COBOURG")</f>
        <v>COBOURG</v>
      </c>
      <c r="D3212" s="3" t="str">
        <f>IFERROR(__xludf.DUMMYFUNCTION("""COMPUTED_VALUE"""),"K9A 4J8")</f>
        <v>K9A 4J8</v>
      </c>
      <c r="E3212" s="3"/>
      <c r="F3212" s="3"/>
      <c r="G3212" s="3"/>
      <c r="H3212" s="3"/>
    </row>
    <row r="3213">
      <c r="A3213" s="2">
        <f>IFERROR(__xludf.DUMMYFUNCTION("""COMPUTED_VALUE"""),40309.0)</f>
        <v>40309</v>
      </c>
      <c r="B3213" s="3" t="str">
        <f>IFERROR(__xludf.DUMMYFUNCTION("""COMPUTED_VALUE"""),"10745 COUNTY RD 2")</f>
        <v>10745 COUNTY RD 2</v>
      </c>
      <c r="C3213" s="3" t="str">
        <f>IFERROR(__xludf.DUMMYFUNCTION("""COMPUTED_VALUE"""),"COBOURG")</f>
        <v>COBOURG</v>
      </c>
      <c r="D3213" s="3" t="str">
        <f>IFERROR(__xludf.DUMMYFUNCTION("""COMPUTED_VALUE"""),"K9A 4J8")</f>
        <v>K9A 4J8</v>
      </c>
      <c r="E3213" s="3" t="str">
        <f>IFERROR(__xludf.DUMMYFUNCTION("""COMPUTED_VALUE"""),"jesse parker ")</f>
        <v>jesse parker </v>
      </c>
      <c r="F3213" s="3" t="str">
        <f>IFERROR(__xludf.DUMMYFUNCTION("""COMPUTED_VALUE"""),"jessejamesparker87@gmail.com")</f>
        <v>jessejamesparker87@gmail.com</v>
      </c>
      <c r="G3213" s="3">
        <f>IFERROR(__xludf.DUMMYFUNCTION("""COMPUTED_VALUE"""),3.432618554E9)</f>
        <v>3432618554</v>
      </c>
      <c r="H3213" s="3">
        <f>IFERROR(__xludf.DUMMYFUNCTION("""COMPUTED_VALUE"""),4.162751403E9)</f>
        <v>4162751403</v>
      </c>
    </row>
    <row r="3214">
      <c r="A3214" s="2">
        <f>IFERROR(__xludf.DUMMYFUNCTION("""COMPUTED_VALUE"""),40310.0)</f>
        <v>40310</v>
      </c>
      <c r="B3214" s="3" t="str">
        <f>IFERROR(__xludf.DUMMYFUNCTION("""COMPUTED_VALUE"""),"10747 COUNTY RD 2")</f>
        <v>10747 COUNTY RD 2</v>
      </c>
      <c r="C3214" s="3" t="str">
        <f>IFERROR(__xludf.DUMMYFUNCTION("""COMPUTED_VALUE"""),"COBOURG")</f>
        <v>COBOURG</v>
      </c>
      <c r="D3214" s="3" t="str">
        <f>IFERROR(__xludf.DUMMYFUNCTION("""COMPUTED_VALUE"""),"K9A 4J8")</f>
        <v>K9A 4J8</v>
      </c>
      <c r="E3214" s="3"/>
      <c r="F3214" s="3"/>
      <c r="G3214" s="3"/>
      <c r="H3214" s="3"/>
    </row>
    <row r="3215">
      <c r="A3215" s="2">
        <f>IFERROR(__xludf.DUMMYFUNCTION("""COMPUTED_VALUE"""),40311.0)</f>
        <v>40311</v>
      </c>
      <c r="B3215" s="3" t="str">
        <f>IFERROR(__xludf.DUMMYFUNCTION("""COMPUTED_VALUE"""),"10755 COUNTY RD 2")</f>
        <v>10755 COUNTY RD 2</v>
      </c>
      <c r="C3215" s="3" t="str">
        <f>IFERROR(__xludf.DUMMYFUNCTION("""COMPUTED_VALUE"""),"COBOURG")</f>
        <v>COBOURG</v>
      </c>
      <c r="D3215" s="3" t="str">
        <f>IFERROR(__xludf.DUMMYFUNCTION("""COMPUTED_VALUE"""),"K9A 4J8")</f>
        <v>K9A 4J8</v>
      </c>
      <c r="E3215" s="3"/>
      <c r="F3215" s="3"/>
      <c r="G3215" s="3"/>
      <c r="H3215" s="3"/>
    </row>
    <row r="3216">
      <c r="A3216" s="2">
        <f>IFERROR(__xludf.DUMMYFUNCTION("""COMPUTED_VALUE"""),40312.0)</f>
        <v>40312</v>
      </c>
      <c r="B3216" s="3" t="str">
        <f>IFERROR(__xludf.DUMMYFUNCTION("""COMPUTED_VALUE"""),"10761 COUNTY RD 2")</f>
        <v>10761 COUNTY RD 2</v>
      </c>
      <c r="C3216" s="3" t="str">
        <f>IFERROR(__xludf.DUMMYFUNCTION("""COMPUTED_VALUE"""),"COBOURG")</f>
        <v>COBOURG</v>
      </c>
      <c r="D3216" s="3" t="str">
        <f>IFERROR(__xludf.DUMMYFUNCTION("""COMPUTED_VALUE"""),"K9A 4J8")</f>
        <v>K9A 4J8</v>
      </c>
      <c r="E3216" s="3"/>
      <c r="F3216" s="3"/>
      <c r="G3216" s="3"/>
      <c r="H3216" s="3"/>
    </row>
    <row r="3217">
      <c r="A3217" s="2">
        <f>IFERROR(__xludf.DUMMYFUNCTION("""COMPUTED_VALUE"""),40314.0)</f>
        <v>40314</v>
      </c>
      <c r="B3217" s="3" t="str">
        <f>IFERROR(__xludf.DUMMYFUNCTION("""COMPUTED_VALUE"""),"10777 COUNTY RD 2")</f>
        <v>10777 COUNTY RD 2</v>
      </c>
      <c r="C3217" s="3" t="str">
        <f>IFERROR(__xludf.DUMMYFUNCTION("""COMPUTED_VALUE"""),"COBOURG")</f>
        <v>COBOURG</v>
      </c>
      <c r="D3217" s="3" t="str">
        <f>IFERROR(__xludf.DUMMYFUNCTION("""COMPUTED_VALUE"""),"K9A 4J8")</f>
        <v>K9A 4J8</v>
      </c>
      <c r="E3217" s="3"/>
      <c r="F3217" s="3"/>
      <c r="G3217" s="3"/>
      <c r="H3217" s="3"/>
    </row>
    <row r="3218">
      <c r="A3218" s="2">
        <f>IFERROR(__xludf.DUMMYFUNCTION("""COMPUTED_VALUE"""),40315.0)</f>
        <v>40315</v>
      </c>
      <c r="B3218" s="3" t="str">
        <f>IFERROR(__xludf.DUMMYFUNCTION("""COMPUTED_VALUE"""),"10783 COUNTY RD 2")</f>
        <v>10783 COUNTY RD 2</v>
      </c>
      <c r="C3218" s="3" t="str">
        <f>IFERROR(__xludf.DUMMYFUNCTION("""COMPUTED_VALUE"""),"COBOURG")</f>
        <v>COBOURG</v>
      </c>
      <c r="D3218" s="3" t="str">
        <f>IFERROR(__xludf.DUMMYFUNCTION("""COMPUTED_VALUE"""),"K9A 4J8")</f>
        <v>K9A 4J8</v>
      </c>
      <c r="E3218" s="3" t="str">
        <f>IFERROR(__xludf.DUMMYFUNCTION("""COMPUTED_VALUE"""),"ryan hogg")</f>
        <v>ryan hogg</v>
      </c>
      <c r="F3218" s="3" t="str">
        <f>IFERROR(__xludf.DUMMYFUNCTION("""COMPUTED_VALUE"""),"happy59@hotmail.com")</f>
        <v>happy59@hotmail.com</v>
      </c>
      <c r="G3218" s="3">
        <f>IFERROR(__xludf.DUMMYFUNCTION("""COMPUTED_VALUE"""),9.059255518E9)</f>
        <v>9059255518</v>
      </c>
      <c r="H3218" s="3"/>
    </row>
    <row r="3219">
      <c r="A3219" s="2">
        <f>IFERROR(__xludf.DUMMYFUNCTION("""COMPUTED_VALUE"""),40316.0)</f>
        <v>40316</v>
      </c>
      <c r="B3219" s="3" t="str">
        <f>IFERROR(__xludf.DUMMYFUNCTION("""COMPUTED_VALUE"""),"10787 COUNTY RD 2")</f>
        <v>10787 COUNTY RD 2</v>
      </c>
      <c r="C3219" s="3" t="str">
        <f>IFERROR(__xludf.DUMMYFUNCTION("""COMPUTED_VALUE"""),"COBOURG")</f>
        <v>COBOURG</v>
      </c>
      <c r="D3219" s="3" t="str">
        <f>IFERROR(__xludf.DUMMYFUNCTION("""COMPUTED_VALUE"""),"K9A 4J8")</f>
        <v>K9A 4J8</v>
      </c>
      <c r="E3219" s="3" t="str">
        <f>IFERROR(__xludf.DUMMYFUNCTION("""COMPUTED_VALUE"""),"keith macdonald")</f>
        <v>keith macdonald</v>
      </c>
      <c r="F3219" s="3" t="str">
        <f>IFERROR(__xludf.DUMMYFUNCTION("""COMPUTED_VALUE"""),"keith_macdonald@sympatico.com")</f>
        <v>keith_macdonald@sympatico.com</v>
      </c>
      <c r="G3219" s="3">
        <f>IFERROR(__xludf.DUMMYFUNCTION("""COMPUTED_VALUE"""),9.053962323E9)</f>
        <v>9053962323</v>
      </c>
      <c r="H3219" s="3"/>
    </row>
    <row r="3220">
      <c r="A3220" s="2">
        <f>IFERROR(__xludf.DUMMYFUNCTION("""COMPUTED_VALUE"""),40317.0)</f>
        <v>40317</v>
      </c>
      <c r="B3220" s="3" t="str">
        <f>IFERROR(__xludf.DUMMYFUNCTION("""COMPUTED_VALUE"""),"10799 COUNTY RD 2")</f>
        <v>10799 COUNTY RD 2</v>
      </c>
      <c r="C3220" s="3" t="str">
        <f>IFERROR(__xludf.DUMMYFUNCTION("""COMPUTED_VALUE"""),"COBOURG")</f>
        <v>COBOURG</v>
      </c>
      <c r="D3220" s="3" t="str">
        <f>IFERROR(__xludf.DUMMYFUNCTION("""COMPUTED_VALUE"""),"K9A 4J8")</f>
        <v>K9A 4J8</v>
      </c>
      <c r="E3220" s="3"/>
      <c r="F3220" s="3"/>
      <c r="G3220" s="3"/>
      <c r="H3220" s="3"/>
    </row>
    <row r="3221">
      <c r="A3221" s="2">
        <f>IFERROR(__xludf.DUMMYFUNCTION("""COMPUTED_VALUE"""),40318.0)</f>
        <v>40318</v>
      </c>
      <c r="B3221" s="3" t="str">
        <f>IFERROR(__xludf.DUMMYFUNCTION("""COMPUTED_VALUE"""),"10804 COUNTY RD 2")</f>
        <v>10804 COUNTY RD 2</v>
      </c>
      <c r="C3221" s="3" t="str">
        <f>IFERROR(__xludf.DUMMYFUNCTION("""COMPUTED_VALUE"""),"COBOURG")</f>
        <v>COBOURG</v>
      </c>
      <c r="D3221" s="3" t="str">
        <f>IFERROR(__xludf.DUMMYFUNCTION("""COMPUTED_VALUE"""),"K9A 4J8")</f>
        <v>K9A 4J8</v>
      </c>
      <c r="E3221" s="3"/>
      <c r="F3221" s="3"/>
      <c r="G3221" s="3"/>
      <c r="H3221" s="3"/>
    </row>
    <row r="3222">
      <c r="A3222" s="2">
        <f>IFERROR(__xludf.DUMMYFUNCTION("""COMPUTED_VALUE"""),40319.0)</f>
        <v>40319</v>
      </c>
      <c r="B3222" s="3" t="str">
        <f>IFERROR(__xludf.DUMMYFUNCTION("""COMPUTED_VALUE"""),"10809 COUNTY RD 2")</f>
        <v>10809 COUNTY RD 2</v>
      </c>
      <c r="C3222" s="3" t="str">
        <f>IFERROR(__xludf.DUMMYFUNCTION("""COMPUTED_VALUE"""),"COBOURG")</f>
        <v>COBOURG</v>
      </c>
      <c r="D3222" s="3" t="str">
        <f>IFERROR(__xludf.DUMMYFUNCTION("""COMPUTED_VALUE"""),"K9A 4J8")</f>
        <v>K9A 4J8</v>
      </c>
      <c r="E3222" s="3" t="str">
        <f>IFERROR(__xludf.DUMMYFUNCTION("""COMPUTED_VALUE"""),"mark foley")</f>
        <v>mark foley</v>
      </c>
      <c r="F3222" s="3" t="str">
        <f>IFERROR(__xludf.DUMMYFUNCTION("""COMPUTED_VALUE"""),"mfoley@eagle.ca")</f>
        <v>mfoley@eagle.ca</v>
      </c>
      <c r="G3222" s="3">
        <f>IFERROR(__xludf.DUMMYFUNCTION("""COMPUTED_VALUE"""),9.053758219E9)</f>
        <v>9053758219</v>
      </c>
      <c r="H3222" s="3"/>
    </row>
    <row r="3223">
      <c r="A3223" s="2">
        <f>IFERROR(__xludf.DUMMYFUNCTION("""COMPUTED_VALUE"""),40320.0)</f>
        <v>40320</v>
      </c>
      <c r="B3223" s="3" t="str">
        <f>IFERROR(__xludf.DUMMYFUNCTION("""COMPUTED_VALUE"""),"10818 COUNTY RD 2")</f>
        <v>10818 COUNTY RD 2</v>
      </c>
      <c r="C3223" s="3" t="str">
        <f>IFERROR(__xludf.DUMMYFUNCTION("""COMPUTED_VALUE"""),"COBOURG")</f>
        <v>COBOURG</v>
      </c>
      <c r="D3223" s="3" t="str">
        <f>IFERROR(__xludf.DUMMYFUNCTION("""COMPUTED_VALUE"""),"K9A 4J8")</f>
        <v>K9A 4J8</v>
      </c>
      <c r="E3223" s="3"/>
      <c r="F3223" s="3"/>
      <c r="G3223" s="3"/>
      <c r="H3223" s="3"/>
    </row>
    <row r="3224">
      <c r="A3224" s="2">
        <f>IFERROR(__xludf.DUMMYFUNCTION("""COMPUTED_VALUE"""),40321.0)</f>
        <v>40321</v>
      </c>
      <c r="B3224" s="3" t="str">
        <f>IFERROR(__xludf.DUMMYFUNCTION("""COMPUTED_VALUE"""),"10821 COUNTY RD 2")</f>
        <v>10821 COUNTY RD 2</v>
      </c>
      <c r="C3224" s="3" t="str">
        <f>IFERROR(__xludf.DUMMYFUNCTION("""COMPUTED_VALUE"""),"COBOURG")</f>
        <v>COBOURG</v>
      </c>
      <c r="D3224" s="3" t="str">
        <f>IFERROR(__xludf.DUMMYFUNCTION("""COMPUTED_VALUE"""),"K9A 4J8")</f>
        <v>K9A 4J8</v>
      </c>
      <c r="E3224" s="3" t="str">
        <f>IFERROR(__xludf.DUMMYFUNCTION("""COMPUTED_VALUE"""),"richard hertle ")</f>
        <v>richard hertle </v>
      </c>
      <c r="F3224" s="3" t="str">
        <f>IFERROR(__xludf.DUMMYFUNCTION("""COMPUTED_VALUE"""),"richard@graftonanimation.com")</f>
        <v>richard@graftonanimation.com</v>
      </c>
      <c r="G3224" s="3">
        <f>IFERROR(__xludf.DUMMYFUNCTION("""COMPUTED_VALUE"""),2.89251411E9)</f>
        <v>2892514110</v>
      </c>
      <c r="H3224" s="3"/>
    </row>
    <row r="3225">
      <c r="A3225" s="2">
        <f>IFERROR(__xludf.DUMMYFUNCTION("""COMPUTED_VALUE"""),40322.0)</f>
        <v>40322</v>
      </c>
      <c r="B3225" s="3" t="str">
        <f>IFERROR(__xludf.DUMMYFUNCTION("""COMPUTED_VALUE"""),"10822 COUNTY RD 2")</f>
        <v>10822 COUNTY RD 2</v>
      </c>
      <c r="C3225" s="3" t="str">
        <f>IFERROR(__xludf.DUMMYFUNCTION("""COMPUTED_VALUE"""),"COBOURG")</f>
        <v>COBOURG</v>
      </c>
      <c r="D3225" s="3" t="str">
        <f>IFERROR(__xludf.DUMMYFUNCTION("""COMPUTED_VALUE"""),"K9A 4J8")</f>
        <v>K9A 4J8</v>
      </c>
      <c r="E3225" s="3"/>
      <c r="F3225" s="3"/>
      <c r="G3225" s="3"/>
      <c r="H3225" s="3"/>
    </row>
    <row r="3226">
      <c r="A3226" s="2">
        <f>IFERROR(__xludf.DUMMYFUNCTION("""COMPUTED_VALUE"""),40326.0)</f>
        <v>40326</v>
      </c>
      <c r="B3226" s="3" t="str">
        <f>IFERROR(__xludf.DUMMYFUNCTION("""COMPUTED_VALUE"""),"10836 COUNTY RD 2")</f>
        <v>10836 COUNTY RD 2</v>
      </c>
      <c r="C3226" s="3" t="str">
        <f>IFERROR(__xludf.DUMMYFUNCTION("""COMPUTED_VALUE"""),"COBOURG")</f>
        <v>COBOURG</v>
      </c>
      <c r="D3226" s="3" t="str">
        <f>IFERROR(__xludf.DUMMYFUNCTION("""COMPUTED_VALUE"""),"K9A 4J8")</f>
        <v>K9A 4J8</v>
      </c>
      <c r="E3226" s="3"/>
      <c r="F3226" s="3"/>
      <c r="G3226" s="3"/>
      <c r="H3226" s="3"/>
    </row>
    <row r="3227">
      <c r="A3227" s="2">
        <f>IFERROR(__xludf.DUMMYFUNCTION("""COMPUTED_VALUE"""),40331.0)</f>
        <v>40331</v>
      </c>
      <c r="B3227" s="3" t="str">
        <f>IFERROR(__xludf.DUMMYFUNCTION("""COMPUTED_VALUE"""),"10858 COUNTY RD 2")</f>
        <v>10858 COUNTY RD 2</v>
      </c>
      <c r="C3227" s="3" t="str">
        <f>IFERROR(__xludf.DUMMYFUNCTION("""COMPUTED_VALUE"""),"COBOURG")</f>
        <v>COBOURG</v>
      </c>
      <c r="D3227" s="3" t="str">
        <f>IFERROR(__xludf.DUMMYFUNCTION("""COMPUTED_VALUE"""),"K9A 4J8")</f>
        <v>K9A 4J8</v>
      </c>
      <c r="E3227" s="3" t="str">
        <f>IFERROR(__xludf.DUMMYFUNCTION("""COMPUTED_VALUE"""),"amt mivans")</f>
        <v>amt mivans</v>
      </c>
      <c r="F3227" s="3" t="str">
        <f>IFERROR(__xludf.DUMMYFUNCTION("""COMPUTED_VALUE"""),"amymivans@gmail.com")</f>
        <v>amymivans@gmail.com</v>
      </c>
      <c r="G3227" s="3">
        <f>IFERROR(__xludf.DUMMYFUNCTION("""COMPUTED_VALUE"""),9.05269752E9)</f>
        <v>9052697520</v>
      </c>
      <c r="H3227" s="3"/>
    </row>
    <row r="3228">
      <c r="A3228" s="2">
        <f>IFERROR(__xludf.DUMMYFUNCTION("""COMPUTED_VALUE"""),40332.0)</f>
        <v>40332</v>
      </c>
      <c r="B3228" s="3" t="str">
        <f>IFERROR(__xludf.DUMMYFUNCTION("""COMPUTED_VALUE"""),"10860 COUNTY RD 2")</f>
        <v>10860 COUNTY RD 2</v>
      </c>
      <c r="C3228" s="3" t="str">
        <f>IFERROR(__xludf.DUMMYFUNCTION("""COMPUTED_VALUE"""),"COBOURG")</f>
        <v>COBOURG</v>
      </c>
      <c r="D3228" s="3" t="str">
        <f>IFERROR(__xludf.DUMMYFUNCTION("""COMPUTED_VALUE"""),"K9A 4J8")</f>
        <v>K9A 4J8</v>
      </c>
      <c r="E3228" s="3"/>
      <c r="F3228" s="3"/>
      <c r="G3228" s="3"/>
      <c r="H3228" s="3"/>
    </row>
    <row r="3229">
      <c r="A3229" s="2">
        <f>IFERROR(__xludf.DUMMYFUNCTION("""COMPUTED_VALUE"""),40334.0)</f>
        <v>40334</v>
      </c>
      <c r="B3229" s="3" t="str">
        <f>IFERROR(__xludf.DUMMYFUNCTION("""COMPUTED_VALUE"""),"10862 COUNTY RD 2")</f>
        <v>10862 COUNTY RD 2</v>
      </c>
      <c r="C3229" s="3" t="str">
        <f>IFERROR(__xludf.DUMMYFUNCTION("""COMPUTED_VALUE"""),"COBOURG")</f>
        <v>COBOURG</v>
      </c>
      <c r="D3229" s="3" t="str">
        <f>IFERROR(__xludf.DUMMYFUNCTION("""COMPUTED_VALUE"""),"K9A 4J8")</f>
        <v>K9A 4J8</v>
      </c>
      <c r="E3229" s="3"/>
      <c r="F3229" s="3"/>
      <c r="G3229" s="3"/>
      <c r="H3229" s="3"/>
    </row>
    <row r="3230">
      <c r="A3230" s="2">
        <f>IFERROR(__xludf.DUMMYFUNCTION("""COMPUTED_VALUE"""),40335.0)</f>
        <v>40335</v>
      </c>
      <c r="B3230" s="3" t="str">
        <f>IFERROR(__xludf.DUMMYFUNCTION("""COMPUTED_VALUE"""),"10869 COUNTY RD 2")</f>
        <v>10869 COUNTY RD 2</v>
      </c>
      <c r="C3230" s="3" t="str">
        <f>IFERROR(__xludf.DUMMYFUNCTION("""COMPUTED_VALUE"""),"COBOURG")</f>
        <v>COBOURG</v>
      </c>
      <c r="D3230" s="3" t="str">
        <f>IFERROR(__xludf.DUMMYFUNCTION("""COMPUTED_VALUE"""),"K9A 4J8")</f>
        <v>K9A 4J8</v>
      </c>
      <c r="E3230" s="3" t="str">
        <f>IFERROR(__xludf.DUMMYFUNCTION("""COMPUTED_VALUE"""),"doug and joy clark")</f>
        <v>doug and joy clark</v>
      </c>
      <c r="F3230" s="4" t="str">
        <f>IFERROR(__xludf.DUMMYFUNCTION("""COMPUTED_VALUE"""),"dougclark.net")</f>
        <v>dougclark.net</v>
      </c>
      <c r="G3230" s="3">
        <f>IFERROR(__xludf.DUMMYFUNCTION("""COMPUTED_VALUE"""),9.053966441E9)</f>
        <v>9053966441</v>
      </c>
      <c r="H3230" s="3">
        <f>IFERROR(__xludf.DUMMYFUNCTION("""COMPUTED_VALUE"""),9.05396644E9)</f>
        <v>9053966440</v>
      </c>
    </row>
    <row r="3231">
      <c r="A3231" s="2">
        <f>IFERROR(__xludf.DUMMYFUNCTION("""COMPUTED_VALUE"""),40336.0)</f>
        <v>40336</v>
      </c>
      <c r="B3231" s="3" t="str">
        <f>IFERROR(__xludf.DUMMYFUNCTION("""COMPUTED_VALUE"""),"10870 COUNTY RD 2")</f>
        <v>10870 COUNTY RD 2</v>
      </c>
      <c r="C3231" s="3" t="str">
        <f>IFERROR(__xludf.DUMMYFUNCTION("""COMPUTED_VALUE"""),"COBOURG")</f>
        <v>COBOURG</v>
      </c>
      <c r="D3231" s="3" t="str">
        <f>IFERROR(__xludf.DUMMYFUNCTION("""COMPUTED_VALUE"""),"K9A 4J8")</f>
        <v>K9A 4J8</v>
      </c>
      <c r="E3231" s="3" t="str">
        <f>IFERROR(__xludf.DUMMYFUNCTION("""COMPUTED_VALUE"""),"marc lajoie")</f>
        <v>marc lajoie</v>
      </c>
      <c r="F3231" s="3" t="str">
        <f>IFERROR(__xludf.DUMMYFUNCTION("""COMPUTED_VALUE"""),"bigredplumbinginfo@gmail.com")</f>
        <v>bigredplumbinginfo@gmail.com</v>
      </c>
      <c r="G3231" s="3">
        <f>IFERROR(__xludf.DUMMYFUNCTION("""COMPUTED_VALUE"""),9.052442034E9)</f>
        <v>9052442034</v>
      </c>
      <c r="H3231" s="3"/>
    </row>
    <row r="3232">
      <c r="A3232" s="2">
        <f>IFERROR(__xludf.DUMMYFUNCTION("""COMPUTED_VALUE"""),40337.0)</f>
        <v>40337</v>
      </c>
      <c r="B3232" s="3" t="str">
        <f>IFERROR(__xludf.DUMMYFUNCTION("""COMPUTED_VALUE"""),"10871 COUNTY RD 2")</f>
        <v>10871 COUNTY RD 2</v>
      </c>
      <c r="C3232" s="3" t="str">
        <f>IFERROR(__xludf.DUMMYFUNCTION("""COMPUTED_VALUE"""),"COBOURG")</f>
        <v>COBOURG</v>
      </c>
      <c r="D3232" s="3" t="str">
        <f>IFERROR(__xludf.DUMMYFUNCTION("""COMPUTED_VALUE"""),"K9A 4J8")</f>
        <v>K9A 4J8</v>
      </c>
      <c r="E3232" s="3" t="str">
        <f>IFERROR(__xludf.DUMMYFUNCTION("""COMPUTED_VALUE"""),"j, cerow")</f>
        <v>j, cerow</v>
      </c>
      <c r="F3232" s="3"/>
      <c r="G3232" s="3"/>
      <c r="H3232" s="3"/>
    </row>
    <row r="3233">
      <c r="A3233" s="2">
        <f>IFERROR(__xludf.DUMMYFUNCTION("""COMPUTED_VALUE"""),40338.0)</f>
        <v>40338</v>
      </c>
      <c r="B3233" s="3" t="str">
        <f>IFERROR(__xludf.DUMMYFUNCTION("""COMPUTED_VALUE"""),"10873 COUNTY RD 2")</f>
        <v>10873 COUNTY RD 2</v>
      </c>
      <c r="C3233" s="3" t="str">
        <f>IFERROR(__xludf.DUMMYFUNCTION("""COMPUTED_VALUE"""),"COBOURG")</f>
        <v>COBOURG</v>
      </c>
      <c r="D3233" s="3" t="str">
        <f>IFERROR(__xludf.DUMMYFUNCTION("""COMPUTED_VALUE"""),"K9A 4J8")</f>
        <v>K9A 4J8</v>
      </c>
      <c r="E3233" s="3" t="str">
        <f>IFERROR(__xludf.DUMMYFUNCTION("""COMPUTED_VALUE"""),"sue campbell ")</f>
        <v>sue campbell </v>
      </c>
      <c r="F3233" s="3" t="str">
        <f>IFERROR(__xludf.DUMMYFUNCTION("""COMPUTED_VALUE"""),"sue_campbell@hotmail.com")</f>
        <v>sue_campbell@hotmail.com</v>
      </c>
      <c r="G3233" s="3"/>
      <c r="H3233" s="3"/>
    </row>
    <row r="3234">
      <c r="A3234" s="2">
        <f>IFERROR(__xludf.DUMMYFUNCTION("""COMPUTED_VALUE"""),40339.0)</f>
        <v>40339</v>
      </c>
      <c r="B3234" s="3" t="str">
        <f>IFERROR(__xludf.DUMMYFUNCTION("""COMPUTED_VALUE"""),"10874 COUNTY ROAD 2")</f>
        <v>10874 COUNTY ROAD 2</v>
      </c>
      <c r="C3234" s="3" t="str">
        <f>IFERROR(__xludf.DUMMYFUNCTION("""COMPUTED_VALUE"""),"COBOURG")</f>
        <v>COBOURG</v>
      </c>
      <c r="D3234" s="3" t="str">
        <f>IFERROR(__xludf.DUMMYFUNCTION("""COMPUTED_VALUE"""),"K9A 4J8")</f>
        <v>K9A 4J8</v>
      </c>
      <c r="E3234" s="3"/>
      <c r="F3234" s="3"/>
      <c r="G3234" s="3"/>
      <c r="H3234" s="3"/>
    </row>
    <row r="3235">
      <c r="A3235" s="2">
        <f>IFERROR(__xludf.DUMMYFUNCTION("""COMPUTED_VALUE"""),40340.0)</f>
        <v>40340</v>
      </c>
      <c r="B3235" s="3" t="str">
        <f>IFERROR(__xludf.DUMMYFUNCTION("""COMPUTED_VALUE"""),"10875 COUNTY RD 2")</f>
        <v>10875 COUNTY RD 2</v>
      </c>
      <c r="C3235" s="3" t="str">
        <f>IFERROR(__xludf.DUMMYFUNCTION("""COMPUTED_VALUE"""),"COBOURG")</f>
        <v>COBOURG</v>
      </c>
      <c r="D3235" s="3" t="str">
        <f>IFERROR(__xludf.DUMMYFUNCTION("""COMPUTED_VALUE"""),"K9A 4J8")</f>
        <v>K9A 4J8</v>
      </c>
      <c r="E3235" s="3"/>
      <c r="F3235" s="3"/>
      <c r="G3235" s="3"/>
      <c r="H3235" s="3"/>
    </row>
    <row r="3236">
      <c r="A3236" s="2">
        <f>IFERROR(__xludf.DUMMYFUNCTION("""COMPUTED_VALUE"""),40341.0)</f>
        <v>40341</v>
      </c>
      <c r="B3236" s="3" t="str">
        <f>IFERROR(__xludf.DUMMYFUNCTION("""COMPUTED_VALUE"""),"10882 COUNTY RD 2")</f>
        <v>10882 COUNTY RD 2</v>
      </c>
      <c r="C3236" s="3" t="str">
        <f>IFERROR(__xludf.DUMMYFUNCTION("""COMPUTED_VALUE"""),"COBOURG")</f>
        <v>COBOURG</v>
      </c>
      <c r="D3236" s="3" t="str">
        <f>IFERROR(__xludf.DUMMYFUNCTION("""COMPUTED_VALUE"""),"K9A 4J8")</f>
        <v>K9A 4J8</v>
      </c>
      <c r="E3236" s="3" t="str">
        <f>IFERROR(__xludf.DUMMYFUNCTION("""COMPUTED_VALUE"""),"murray payne ")</f>
        <v>murray payne </v>
      </c>
      <c r="F3236" s="3"/>
      <c r="G3236" s="3">
        <f>IFERROR(__xludf.DUMMYFUNCTION("""COMPUTED_VALUE"""),9.053492634E9)</f>
        <v>9053492634</v>
      </c>
      <c r="H3236" s="3"/>
    </row>
    <row r="3237">
      <c r="A3237" s="2">
        <f>IFERROR(__xludf.DUMMYFUNCTION("""COMPUTED_VALUE"""),40342.0)</f>
        <v>40342</v>
      </c>
      <c r="B3237" s="3" t="str">
        <f>IFERROR(__xludf.DUMMYFUNCTION("""COMPUTED_VALUE"""),"10888 COUNTY RD 2")</f>
        <v>10888 COUNTY RD 2</v>
      </c>
      <c r="C3237" s="3" t="str">
        <f>IFERROR(__xludf.DUMMYFUNCTION("""COMPUTED_VALUE"""),"COBOURG")</f>
        <v>COBOURG</v>
      </c>
      <c r="D3237" s="3" t="str">
        <f>IFERROR(__xludf.DUMMYFUNCTION("""COMPUTED_VALUE"""),"K9A 4J8")</f>
        <v>K9A 4J8</v>
      </c>
      <c r="E3237" s="3"/>
      <c r="F3237" s="3"/>
      <c r="G3237" s="3"/>
      <c r="H3237" s="3"/>
    </row>
    <row r="3238">
      <c r="A3238" s="2">
        <f>IFERROR(__xludf.DUMMYFUNCTION("""COMPUTED_VALUE"""),40343.0)</f>
        <v>40343</v>
      </c>
      <c r="B3238" s="3" t="str">
        <f>IFERROR(__xludf.DUMMYFUNCTION("""COMPUTED_VALUE"""),"10889 COUNTY RD 2")</f>
        <v>10889 COUNTY RD 2</v>
      </c>
      <c r="C3238" s="3" t="str">
        <f>IFERROR(__xludf.DUMMYFUNCTION("""COMPUTED_VALUE"""),"COBOURG")</f>
        <v>COBOURG</v>
      </c>
      <c r="D3238" s="3" t="str">
        <f>IFERROR(__xludf.DUMMYFUNCTION("""COMPUTED_VALUE"""),"K9A 4J8")</f>
        <v>K9A 4J8</v>
      </c>
      <c r="E3238" s="3"/>
      <c r="F3238" s="3"/>
      <c r="G3238" s="3"/>
      <c r="H3238" s="3"/>
    </row>
    <row r="3239">
      <c r="A3239" s="2">
        <f>IFERROR(__xludf.DUMMYFUNCTION("""COMPUTED_VALUE"""),40344.0)</f>
        <v>40344</v>
      </c>
      <c r="B3239" s="3" t="str">
        <f>IFERROR(__xludf.DUMMYFUNCTION("""COMPUTED_VALUE"""),"10890 COUNTY RD 2")</f>
        <v>10890 COUNTY RD 2</v>
      </c>
      <c r="C3239" s="3" t="str">
        <f>IFERROR(__xludf.DUMMYFUNCTION("""COMPUTED_VALUE"""),"COBOURG")</f>
        <v>COBOURG</v>
      </c>
      <c r="D3239" s="3" t="str">
        <f>IFERROR(__xludf.DUMMYFUNCTION("""COMPUTED_VALUE"""),"K9A 4J8")</f>
        <v>K9A 4J8</v>
      </c>
      <c r="E3239" s="3"/>
      <c r="F3239" s="3"/>
      <c r="G3239" s="3"/>
      <c r="H3239" s="3"/>
    </row>
    <row r="3240">
      <c r="A3240" s="2">
        <f>IFERROR(__xludf.DUMMYFUNCTION("""COMPUTED_VALUE"""),40345.0)</f>
        <v>40345</v>
      </c>
      <c r="B3240" s="3" t="str">
        <f>IFERROR(__xludf.DUMMYFUNCTION("""COMPUTED_VALUE"""),"10897 COUNTY RD 2")</f>
        <v>10897 COUNTY RD 2</v>
      </c>
      <c r="C3240" s="3" t="str">
        <f>IFERROR(__xludf.DUMMYFUNCTION("""COMPUTED_VALUE"""),"COBOURG")</f>
        <v>COBOURG</v>
      </c>
      <c r="D3240" s="3" t="str">
        <f>IFERROR(__xludf.DUMMYFUNCTION("""COMPUTED_VALUE"""),"K9A 4J8")</f>
        <v>K9A 4J8</v>
      </c>
      <c r="E3240" s="3"/>
      <c r="F3240" s="3"/>
      <c r="G3240" s="3"/>
      <c r="H3240" s="3"/>
    </row>
    <row r="3241">
      <c r="A3241" s="2">
        <f>IFERROR(__xludf.DUMMYFUNCTION("""COMPUTED_VALUE"""),40346.0)</f>
        <v>40346</v>
      </c>
      <c r="B3241" s="3" t="str">
        <f>IFERROR(__xludf.DUMMYFUNCTION("""COMPUTED_VALUE"""),"10898 COUNTY RD 2")</f>
        <v>10898 COUNTY RD 2</v>
      </c>
      <c r="C3241" s="3" t="str">
        <f>IFERROR(__xludf.DUMMYFUNCTION("""COMPUTED_VALUE"""),"COBOURG")</f>
        <v>COBOURG</v>
      </c>
      <c r="D3241" s="3" t="str">
        <f>IFERROR(__xludf.DUMMYFUNCTION("""COMPUTED_VALUE"""),"K9A 4J8")</f>
        <v>K9A 4J8</v>
      </c>
      <c r="E3241" s="3" t="str">
        <f>IFERROR(__xludf.DUMMYFUNCTION("""COMPUTED_VALUE"""),"bobby jo cayen")</f>
        <v>bobby jo cayen</v>
      </c>
      <c r="F3241" s="3"/>
      <c r="G3241" s="3">
        <f>IFERROR(__xludf.DUMMYFUNCTION("""COMPUTED_VALUE"""),5.197276052E9)</f>
        <v>5197276052</v>
      </c>
      <c r="H3241" s="3"/>
    </row>
    <row r="3242">
      <c r="A3242" s="2">
        <f>IFERROR(__xludf.DUMMYFUNCTION("""COMPUTED_VALUE"""),40347.0)</f>
        <v>40347</v>
      </c>
      <c r="B3242" s="3" t="str">
        <f>IFERROR(__xludf.DUMMYFUNCTION("""COMPUTED_VALUE"""),"10899 COUNTY RD 2")</f>
        <v>10899 COUNTY RD 2</v>
      </c>
      <c r="C3242" s="3" t="str">
        <f>IFERROR(__xludf.DUMMYFUNCTION("""COMPUTED_VALUE"""),"COBOURG")</f>
        <v>COBOURG</v>
      </c>
      <c r="D3242" s="3" t="str">
        <f>IFERROR(__xludf.DUMMYFUNCTION("""COMPUTED_VALUE"""),"K9A 4J8")</f>
        <v>K9A 4J8</v>
      </c>
      <c r="E3242" s="3"/>
      <c r="F3242" s="3"/>
      <c r="G3242" s="3"/>
      <c r="H3242" s="3"/>
    </row>
    <row r="3243">
      <c r="A3243" s="2">
        <f>IFERROR(__xludf.DUMMYFUNCTION("""COMPUTED_VALUE"""),40348.0)</f>
        <v>40348</v>
      </c>
      <c r="B3243" s="3" t="str">
        <f>IFERROR(__xludf.DUMMYFUNCTION("""COMPUTED_VALUE"""),"10900 COUNTY RD 2")</f>
        <v>10900 COUNTY RD 2</v>
      </c>
      <c r="C3243" s="3" t="str">
        <f>IFERROR(__xludf.DUMMYFUNCTION("""COMPUTED_VALUE"""),"COBOURG")</f>
        <v>COBOURG</v>
      </c>
      <c r="D3243" s="3" t="str">
        <f>IFERROR(__xludf.DUMMYFUNCTION("""COMPUTED_VALUE"""),"K9A 4J8")</f>
        <v>K9A 4J8</v>
      </c>
      <c r="E3243" s="3"/>
      <c r="F3243" s="3"/>
      <c r="G3243" s="3"/>
      <c r="H3243" s="3"/>
    </row>
    <row r="3244">
      <c r="A3244" s="2">
        <f>IFERROR(__xludf.DUMMYFUNCTION("""COMPUTED_VALUE"""),40349.0)</f>
        <v>40349</v>
      </c>
      <c r="B3244" s="3" t="str">
        <f>IFERROR(__xludf.DUMMYFUNCTION("""COMPUTED_VALUE"""),"10912 COUNTY RD 2")</f>
        <v>10912 COUNTY RD 2</v>
      </c>
      <c r="C3244" s="3" t="str">
        <f>IFERROR(__xludf.DUMMYFUNCTION("""COMPUTED_VALUE"""),"COBOURG")</f>
        <v>COBOURG</v>
      </c>
      <c r="D3244" s="3" t="str">
        <f>IFERROR(__xludf.DUMMYFUNCTION("""COMPUTED_VALUE"""),"K9A 4J8")</f>
        <v>K9A 4J8</v>
      </c>
      <c r="E3244" s="3"/>
      <c r="F3244" s="3"/>
      <c r="G3244" s="3"/>
      <c r="H3244" s="3"/>
    </row>
    <row r="3245">
      <c r="A3245" s="2">
        <f>IFERROR(__xludf.DUMMYFUNCTION("""COMPUTED_VALUE"""),40350.0)</f>
        <v>40350</v>
      </c>
      <c r="B3245" s="3" t="str">
        <f>IFERROR(__xludf.DUMMYFUNCTION("""COMPUTED_VALUE"""),"10914 COUNTY RD 2")</f>
        <v>10914 COUNTY RD 2</v>
      </c>
      <c r="C3245" s="3" t="str">
        <f>IFERROR(__xludf.DUMMYFUNCTION("""COMPUTED_VALUE"""),"COBOURG")</f>
        <v>COBOURG</v>
      </c>
      <c r="D3245" s="3" t="str">
        <f>IFERROR(__xludf.DUMMYFUNCTION("""COMPUTED_VALUE"""),"K9A 4J8")</f>
        <v>K9A 4J8</v>
      </c>
      <c r="E3245" s="3"/>
      <c r="F3245" s="3"/>
      <c r="G3245" s="3"/>
      <c r="H3245" s="3"/>
    </row>
    <row r="3246">
      <c r="A3246" s="2">
        <f>IFERROR(__xludf.DUMMYFUNCTION("""COMPUTED_VALUE"""),40351.0)</f>
        <v>40351</v>
      </c>
      <c r="B3246" s="3" t="str">
        <f>IFERROR(__xludf.DUMMYFUNCTION("""COMPUTED_VALUE"""),"10921 COUNTY RD 2")</f>
        <v>10921 COUNTY RD 2</v>
      </c>
      <c r="C3246" s="3" t="str">
        <f>IFERROR(__xludf.DUMMYFUNCTION("""COMPUTED_VALUE"""),"COBOURG")</f>
        <v>COBOURG</v>
      </c>
      <c r="D3246" s="3" t="str">
        <f>IFERROR(__xludf.DUMMYFUNCTION("""COMPUTED_VALUE"""),"K9A 4J8")</f>
        <v>K9A 4J8</v>
      </c>
      <c r="E3246" s="3"/>
      <c r="F3246" s="3"/>
      <c r="G3246" s="3"/>
      <c r="H3246" s="3"/>
    </row>
    <row r="3247">
      <c r="A3247" s="2">
        <f>IFERROR(__xludf.DUMMYFUNCTION("""COMPUTED_VALUE"""),40352.0)</f>
        <v>40352</v>
      </c>
      <c r="B3247" s="3" t="str">
        <f>IFERROR(__xludf.DUMMYFUNCTION("""COMPUTED_VALUE"""),"10927 COUNTY RD 2")</f>
        <v>10927 COUNTY RD 2</v>
      </c>
      <c r="C3247" s="3" t="str">
        <f>IFERROR(__xludf.DUMMYFUNCTION("""COMPUTED_VALUE"""),"COBOURG")</f>
        <v>COBOURG</v>
      </c>
      <c r="D3247" s="3" t="str">
        <f>IFERROR(__xludf.DUMMYFUNCTION("""COMPUTED_VALUE"""),"K9A 4J8")</f>
        <v>K9A 4J8</v>
      </c>
      <c r="E3247" s="3" t="str">
        <f>IFERROR(__xludf.DUMMYFUNCTION("""COMPUTED_VALUE"""),"paul hocker")</f>
        <v>paul hocker</v>
      </c>
      <c r="F3247" s="3" t="str">
        <f>IFERROR(__xludf.DUMMYFUNCTION("""COMPUTED_VALUE"""),"kramwhitby@live.ca")</f>
        <v>kramwhitby@live.ca</v>
      </c>
      <c r="G3247" s="3">
        <f>IFERROR(__xludf.DUMMYFUNCTION("""COMPUTED_VALUE"""),9.05431594E9)</f>
        <v>9054315940</v>
      </c>
      <c r="H3247" s="3"/>
    </row>
    <row r="3248">
      <c r="A3248" s="2">
        <f>IFERROR(__xludf.DUMMYFUNCTION("""COMPUTED_VALUE"""),40353.0)</f>
        <v>40353</v>
      </c>
      <c r="B3248" s="3" t="str">
        <f>IFERROR(__xludf.DUMMYFUNCTION("""COMPUTED_VALUE"""),"10929 COUNTY RD 2")</f>
        <v>10929 COUNTY RD 2</v>
      </c>
      <c r="C3248" s="3" t="str">
        <f>IFERROR(__xludf.DUMMYFUNCTION("""COMPUTED_VALUE"""),"COBOURG")</f>
        <v>COBOURG</v>
      </c>
      <c r="D3248" s="3" t="str">
        <f>IFERROR(__xludf.DUMMYFUNCTION("""COMPUTED_VALUE"""),"K9A 4J8")</f>
        <v>K9A 4J8</v>
      </c>
      <c r="E3248" s="3" t="str">
        <f>IFERROR(__xludf.DUMMYFUNCTION("""COMPUTED_VALUE"""),"don and nacy loken")</f>
        <v>don and nacy loken</v>
      </c>
      <c r="F3248" s="3" t="str">
        <f>IFERROR(__xludf.DUMMYFUNCTION("""COMPUTED_VALUE"""),"dloken57@hotmail.com")</f>
        <v>dloken57@hotmail.com</v>
      </c>
      <c r="G3248" s="3">
        <f>IFERROR(__xludf.DUMMYFUNCTION("""COMPUTED_VALUE"""),4.168092772E9)</f>
        <v>4168092772</v>
      </c>
      <c r="H3248" s="3"/>
    </row>
    <row r="3249">
      <c r="A3249" s="2">
        <f>IFERROR(__xludf.DUMMYFUNCTION("""COMPUTED_VALUE"""),40354.0)</f>
        <v>40354</v>
      </c>
      <c r="B3249" s="3" t="str">
        <f>IFERROR(__xludf.DUMMYFUNCTION("""COMPUTED_VALUE"""),"10935 COUNTY RD 2")</f>
        <v>10935 COUNTY RD 2</v>
      </c>
      <c r="C3249" s="3" t="str">
        <f>IFERROR(__xludf.DUMMYFUNCTION("""COMPUTED_VALUE"""),"COBOURG")</f>
        <v>COBOURG</v>
      </c>
      <c r="D3249" s="3" t="str">
        <f>IFERROR(__xludf.DUMMYFUNCTION("""COMPUTED_VALUE"""),"K9A 4J8")</f>
        <v>K9A 4J8</v>
      </c>
      <c r="E3249" s="3" t="str">
        <f>IFERROR(__xludf.DUMMYFUNCTION("""COMPUTED_VALUE"""),"gary turk ")</f>
        <v>gary turk </v>
      </c>
      <c r="F3249" s="3" t="str">
        <f>IFERROR(__xludf.DUMMYFUNCTION("""COMPUTED_VALUE"""),"garyturk54@gmail.com")</f>
        <v>garyturk54@gmail.com</v>
      </c>
      <c r="G3249" s="3">
        <f>IFERROR(__xludf.DUMMYFUNCTION("""COMPUTED_VALUE"""),9.053960432E9)</f>
        <v>9053960432</v>
      </c>
      <c r="H3249" s="3"/>
    </row>
    <row r="3250">
      <c r="A3250" s="2">
        <f>IFERROR(__xludf.DUMMYFUNCTION("""COMPUTED_VALUE"""),40355.0)</f>
        <v>40355</v>
      </c>
      <c r="B3250" s="3" t="str">
        <f>IFERROR(__xludf.DUMMYFUNCTION("""COMPUTED_VALUE"""),"10939 COUNTY RD 2")</f>
        <v>10939 COUNTY RD 2</v>
      </c>
      <c r="C3250" s="3" t="str">
        <f>IFERROR(__xludf.DUMMYFUNCTION("""COMPUTED_VALUE"""),"COBOURG")</f>
        <v>COBOURG</v>
      </c>
      <c r="D3250" s="3" t="str">
        <f>IFERROR(__xludf.DUMMYFUNCTION("""COMPUTED_VALUE"""),"K9A 4J8")</f>
        <v>K9A 4J8</v>
      </c>
      <c r="E3250" s="3" t="str">
        <f>IFERROR(__xludf.DUMMYFUNCTION("""COMPUTED_VALUE"""),"arlene jones ")</f>
        <v>arlene jones </v>
      </c>
      <c r="F3250" s="3"/>
      <c r="G3250" s="3">
        <f>IFERROR(__xludf.DUMMYFUNCTION("""COMPUTED_VALUE"""),9.053493512E9)</f>
        <v>9053493512</v>
      </c>
      <c r="H3250" s="3"/>
    </row>
    <row r="3251">
      <c r="A3251" s="2">
        <f>IFERROR(__xludf.DUMMYFUNCTION("""COMPUTED_VALUE"""),40356.0)</f>
        <v>40356</v>
      </c>
      <c r="B3251" s="3" t="str">
        <f>IFERROR(__xludf.DUMMYFUNCTION("""COMPUTED_VALUE"""),"10945 COUNTY RD 2")</f>
        <v>10945 COUNTY RD 2</v>
      </c>
      <c r="C3251" s="3" t="str">
        <f>IFERROR(__xludf.DUMMYFUNCTION("""COMPUTED_VALUE"""),"COBOURG")</f>
        <v>COBOURG</v>
      </c>
      <c r="D3251" s="3" t="str">
        <f>IFERROR(__xludf.DUMMYFUNCTION("""COMPUTED_VALUE"""),"K9A 4J8")</f>
        <v>K9A 4J8</v>
      </c>
      <c r="E3251" s="3" t="str">
        <f>IFERROR(__xludf.DUMMYFUNCTION("""COMPUTED_VALUE"""),"kari millymaki")</f>
        <v>kari millymaki</v>
      </c>
      <c r="F3251" s="3" t="str">
        <f>IFERROR(__xludf.DUMMYFUNCTION("""COMPUTED_VALUE"""),"millymaki37@gmail.com")</f>
        <v>millymaki37@gmail.com</v>
      </c>
      <c r="G3251" s="3">
        <f>IFERROR(__xludf.DUMMYFUNCTION("""COMPUTED_VALUE"""),6.13483279E9)</f>
        <v>6134832790</v>
      </c>
      <c r="H3251" s="3"/>
    </row>
    <row r="3252">
      <c r="A3252" s="2">
        <f>IFERROR(__xludf.DUMMYFUNCTION("""COMPUTED_VALUE"""),40357.0)</f>
        <v>40357</v>
      </c>
      <c r="B3252" s="3" t="str">
        <f>IFERROR(__xludf.DUMMYFUNCTION("""COMPUTED_VALUE"""),"10949 COUNTY RD 2")</f>
        <v>10949 COUNTY RD 2</v>
      </c>
      <c r="C3252" s="3" t="str">
        <f>IFERROR(__xludf.DUMMYFUNCTION("""COMPUTED_VALUE"""),"COBOURG")</f>
        <v>COBOURG</v>
      </c>
      <c r="D3252" s="3" t="str">
        <f>IFERROR(__xludf.DUMMYFUNCTION("""COMPUTED_VALUE"""),"K9A 4J8")</f>
        <v>K9A 4J8</v>
      </c>
      <c r="E3252" s="3" t="str">
        <f>IFERROR(__xludf.DUMMYFUNCTION("""COMPUTED_VALUE"""),"Christian Brouwer")</f>
        <v>Christian Brouwer</v>
      </c>
      <c r="F3252" s="3" t="str">
        <f>IFERROR(__xludf.DUMMYFUNCTION("""COMPUTED_VALUE"""),"brouwerc.333@gmail.com")</f>
        <v>brouwerc.333@gmail.com</v>
      </c>
      <c r="G3252" s="3">
        <f>IFERROR(__xludf.DUMMYFUNCTION("""COMPUTED_VALUE"""),9.053768248E9)</f>
        <v>9053768248</v>
      </c>
      <c r="H3252" s="3"/>
    </row>
    <row r="3253">
      <c r="A3253" s="2">
        <f>IFERROR(__xludf.DUMMYFUNCTION("""COMPUTED_VALUE"""),40358.0)</f>
        <v>40358</v>
      </c>
      <c r="B3253" s="3" t="str">
        <f>IFERROR(__xludf.DUMMYFUNCTION("""COMPUTED_VALUE"""),"10955 COUNTY RD 2")</f>
        <v>10955 COUNTY RD 2</v>
      </c>
      <c r="C3253" s="3" t="str">
        <f>IFERROR(__xludf.DUMMYFUNCTION("""COMPUTED_VALUE"""),"COBOURG")</f>
        <v>COBOURG</v>
      </c>
      <c r="D3253" s="3" t="str">
        <f>IFERROR(__xludf.DUMMYFUNCTION("""COMPUTED_VALUE"""),"K9A 4J8")</f>
        <v>K9A 4J8</v>
      </c>
      <c r="E3253" s="3" t="str">
        <f>IFERROR(__xludf.DUMMYFUNCTION("""COMPUTED_VALUE"""),"kirsty lambert ")</f>
        <v>kirsty lambert </v>
      </c>
      <c r="F3253" s="3" t="str">
        <f>IFERROR(__xludf.DUMMYFUNCTION("""COMPUTED_VALUE"""),"kirsty.b.lambert@gmail.com")</f>
        <v>kirsty.b.lambert@gmail.com</v>
      </c>
      <c r="G3253" s="3">
        <f>IFERROR(__xludf.DUMMYFUNCTION("""COMPUTED_VALUE"""),9.256838025E9)</f>
        <v>9256838025</v>
      </c>
      <c r="H3253" s="3">
        <f>IFERROR(__xludf.DUMMYFUNCTION("""COMPUTED_VALUE"""),4.164337688E9)</f>
        <v>4164337688</v>
      </c>
    </row>
    <row r="3254">
      <c r="A3254" s="2">
        <f>IFERROR(__xludf.DUMMYFUNCTION("""COMPUTED_VALUE"""),40359.0)</f>
        <v>40359</v>
      </c>
      <c r="B3254" s="3" t="str">
        <f>IFERROR(__xludf.DUMMYFUNCTION("""COMPUTED_VALUE"""),"10963 COUNTY RD 2")</f>
        <v>10963 COUNTY RD 2</v>
      </c>
      <c r="C3254" s="3" t="str">
        <f>IFERROR(__xludf.DUMMYFUNCTION("""COMPUTED_VALUE"""),"COBOURG")</f>
        <v>COBOURG</v>
      </c>
      <c r="D3254" s="3" t="str">
        <f>IFERROR(__xludf.DUMMYFUNCTION("""COMPUTED_VALUE"""),"K9A 4J8")</f>
        <v>K9A 4J8</v>
      </c>
      <c r="E3254" s="3"/>
      <c r="F3254" s="3"/>
      <c r="G3254" s="3"/>
      <c r="H3254" s="3"/>
    </row>
    <row r="3255">
      <c r="A3255" s="2">
        <f>IFERROR(__xludf.DUMMYFUNCTION("""COMPUTED_VALUE"""),40360.0)</f>
        <v>40360</v>
      </c>
      <c r="B3255" s="3" t="str">
        <f>IFERROR(__xludf.DUMMYFUNCTION("""COMPUTED_VALUE"""),"10968 COUNTY RD 2")</f>
        <v>10968 COUNTY RD 2</v>
      </c>
      <c r="C3255" s="3" t="str">
        <f>IFERROR(__xludf.DUMMYFUNCTION("""COMPUTED_VALUE"""),"COBOURG")</f>
        <v>COBOURG</v>
      </c>
      <c r="D3255" s="3" t="str">
        <f>IFERROR(__xludf.DUMMYFUNCTION("""COMPUTED_VALUE"""),"K9A 4J8")</f>
        <v>K9A 4J8</v>
      </c>
      <c r="E3255" s="3" t="str">
        <f>IFERROR(__xludf.DUMMYFUNCTION("""COMPUTED_VALUE"""),"rick cromlish")</f>
        <v>rick cromlish</v>
      </c>
      <c r="F3255" s="3" t="str">
        <f>IFERROR(__xludf.DUMMYFUNCTION("""COMPUTED_VALUE"""),"rick.cromlish@hotmail.com")</f>
        <v>rick.cromlish@hotmail.com</v>
      </c>
      <c r="G3255" s="3">
        <f>IFERROR(__xludf.DUMMYFUNCTION("""COMPUTED_VALUE"""),2.897711059E9)</f>
        <v>2897711059</v>
      </c>
      <c r="H3255" s="3"/>
    </row>
    <row r="3256">
      <c r="A3256" s="2">
        <f>IFERROR(__xludf.DUMMYFUNCTION("""COMPUTED_VALUE"""),40361.0)</f>
        <v>40361</v>
      </c>
      <c r="B3256" s="3" t="str">
        <f>IFERROR(__xludf.DUMMYFUNCTION("""COMPUTED_VALUE"""),"10971 COUNTY RD 2")</f>
        <v>10971 COUNTY RD 2</v>
      </c>
      <c r="C3256" s="3" t="str">
        <f>IFERROR(__xludf.DUMMYFUNCTION("""COMPUTED_VALUE"""),"COBOURG")</f>
        <v>COBOURG</v>
      </c>
      <c r="D3256" s="3" t="str">
        <f>IFERROR(__xludf.DUMMYFUNCTION("""COMPUTED_VALUE"""),"K9A 4J8")</f>
        <v>K9A 4J8</v>
      </c>
      <c r="E3256" s="3" t="str">
        <f>IFERROR(__xludf.DUMMYFUNCTION("""COMPUTED_VALUE"""),"rob citro")</f>
        <v>rob citro</v>
      </c>
      <c r="F3256" s="3" t="str">
        <f>IFERROR(__xludf.DUMMYFUNCTION("""COMPUTED_VALUE"""),"robmandy96@gmail.com")</f>
        <v>robmandy96@gmail.com</v>
      </c>
      <c r="G3256" s="3">
        <f>IFERROR(__xludf.DUMMYFUNCTION("""COMPUTED_VALUE"""),9.05269738E9)</f>
        <v>9052697380</v>
      </c>
      <c r="H3256" s="3"/>
    </row>
    <row r="3257">
      <c r="A3257" s="2">
        <f>IFERROR(__xludf.DUMMYFUNCTION("""COMPUTED_VALUE"""),40362.0)</f>
        <v>40362</v>
      </c>
      <c r="B3257" s="3" t="str">
        <f>IFERROR(__xludf.DUMMYFUNCTION("""COMPUTED_VALUE"""),"10978 COUNTY RD 2")</f>
        <v>10978 COUNTY RD 2</v>
      </c>
      <c r="C3257" s="3" t="str">
        <f>IFERROR(__xludf.DUMMYFUNCTION("""COMPUTED_VALUE"""),"COBOURG")</f>
        <v>COBOURG</v>
      </c>
      <c r="D3257" s="3" t="str">
        <f>IFERROR(__xludf.DUMMYFUNCTION("""COMPUTED_VALUE"""),"K9A 4J8")</f>
        <v>K9A 4J8</v>
      </c>
      <c r="E3257" s="3" t="str">
        <f>IFERROR(__xludf.DUMMYFUNCTION("""COMPUTED_VALUE"""),"mark rupke ")</f>
        <v>mark rupke </v>
      </c>
      <c r="F3257" s="3" t="str">
        <f>IFERROR(__xludf.DUMMYFUNCTION("""COMPUTED_VALUE"""),"markrupke61@gmail.com")</f>
        <v>markrupke61@gmail.com</v>
      </c>
      <c r="G3257" s="3">
        <f>IFERROR(__xludf.DUMMYFUNCTION("""COMPUTED_VALUE"""),9.053493798E9)</f>
        <v>9053493798</v>
      </c>
      <c r="H3257" s="3">
        <f>IFERROR(__xludf.DUMMYFUNCTION("""COMPUTED_VALUE"""),9.053761496E9)</f>
        <v>9053761496</v>
      </c>
    </row>
    <row r="3258">
      <c r="A3258" s="2">
        <f>IFERROR(__xludf.DUMMYFUNCTION("""COMPUTED_VALUE"""),40363.0)</f>
        <v>40363</v>
      </c>
      <c r="B3258" s="3" t="str">
        <f>IFERROR(__xludf.DUMMYFUNCTION("""COMPUTED_VALUE"""),"10979 COUNTY RD 2")</f>
        <v>10979 COUNTY RD 2</v>
      </c>
      <c r="C3258" s="3" t="str">
        <f>IFERROR(__xludf.DUMMYFUNCTION("""COMPUTED_VALUE"""),"COBOURG")</f>
        <v>COBOURG</v>
      </c>
      <c r="D3258" s="3" t="str">
        <f>IFERROR(__xludf.DUMMYFUNCTION("""COMPUTED_VALUE"""),"K9A 4J8")</f>
        <v>K9A 4J8</v>
      </c>
      <c r="E3258" s="3"/>
      <c r="F3258" s="3"/>
      <c r="G3258" s="3"/>
      <c r="H3258" s="3"/>
    </row>
    <row r="3259">
      <c r="A3259" s="2">
        <f>IFERROR(__xludf.DUMMYFUNCTION("""COMPUTED_VALUE"""),40364.0)</f>
        <v>40364</v>
      </c>
      <c r="B3259" s="3" t="str">
        <f>IFERROR(__xludf.DUMMYFUNCTION("""COMPUTED_VALUE"""),"10990 COUNTY RD 2")</f>
        <v>10990 COUNTY RD 2</v>
      </c>
      <c r="C3259" s="3" t="str">
        <f>IFERROR(__xludf.DUMMYFUNCTION("""COMPUTED_VALUE"""),"COBOURG")</f>
        <v>COBOURG</v>
      </c>
      <c r="D3259" s="3" t="str">
        <f>IFERROR(__xludf.DUMMYFUNCTION("""COMPUTED_VALUE"""),"K9A 4J8")</f>
        <v>K9A 4J8</v>
      </c>
      <c r="E3259" s="3" t="str">
        <f>IFERROR(__xludf.DUMMYFUNCTION("""COMPUTED_VALUE"""),"cindy stone")</f>
        <v>cindy stone</v>
      </c>
      <c r="F3259" s="3" t="str">
        <f>IFERROR(__xludf.DUMMYFUNCTION("""COMPUTED_VALUE"""),"cindystone@imagineinspireengage.com OR cindystone@incidentalguru.com")</f>
        <v>cindystone@imagineinspireengage.com OR cindystone@incidentalguru.com</v>
      </c>
      <c r="G3259" s="3">
        <f>IFERROR(__xludf.DUMMYFUNCTION("""COMPUTED_VALUE"""),4.16725544E9)</f>
        <v>4167255440</v>
      </c>
      <c r="H3259" s="3">
        <f>IFERROR(__xludf.DUMMYFUNCTION("""COMPUTED_VALUE"""),4.165751318E9)</f>
        <v>4165751318</v>
      </c>
    </row>
    <row r="3260">
      <c r="A3260" s="2">
        <f>IFERROR(__xludf.DUMMYFUNCTION("""COMPUTED_VALUE"""),40365.0)</f>
        <v>40365</v>
      </c>
      <c r="B3260" s="3" t="str">
        <f>IFERROR(__xludf.DUMMYFUNCTION("""COMPUTED_VALUE"""),"10996 COUNTY RD 2")</f>
        <v>10996 COUNTY RD 2</v>
      </c>
      <c r="C3260" s="3" t="str">
        <f>IFERROR(__xludf.DUMMYFUNCTION("""COMPUTED_VALUE"""),"COBOURG")</f>
        <v>COBOURG</v>
      </c>
      <c r="D3260" s="3" t="str">
        <f>IFERROR(__xludf.DUMMYFUNCTION("""COMPUTED_VALUE"""),"K9A 4J8")</f>
        <v>K9A 4J8</v>
      </c>
      <c r="E3260" s="3" t="str">
        <f>IFERROR(__xludf.DUMMYFUNCTION("""COMPUTED_VALUE"""),"carol jones")</f>
        <v>carol jones</v>
      </c>
      <c r="F3260" s="3" t="str">
        <f>IFERROR(__xludf.DUMMYFUNCTION("""COMPUTED_VALUE"""),"carol1094@sympatico.com")</f>
        <v>carol1094@sympatico.com</v>
      </c>
      <c r="G3260" s="3">
        <f>IFERROR(__xludf.DUMMYFUNCTION("""COMPUTED_VALUE"""),9.053493452E9)</f>
        <v>9053493452</v>
      </c>
      <c r="H3260" s="3">
        <f>IFERROR(__xludf.DUMMYFUNCTION("""COMPUTED_VALUE"""),9.053963452E9)</f>
        <v>9053963452</v>
      </c>
    </row>
    <row r="3261">
      <c r="A3261" s="2">
        <f>IFERROR(__xludf.DUMMYFUNCTION("""COMPUTED_VALUE"""),40366.0)</f>
        <v>40366</v>
      </c>
      <c r="B3261" s="3" t="str">
        <f>IFERROR(__xludf.DUMMYFUNCTION("""COMPUTED_VALUE"""),"10997 COUNTY RD 2")</f>
        <v>10997 COUNTY RD 2</v>
      </c>
      <c r="C3261" s="3" t="str">
        <f>IFERROR(__xludf.DUMMYFUNCTION("""COMPUTED_VALUE"""),"COBOURG")</f>
        <v>COBOURG</v>
      </c>
      <c r="D3261" s="3" t="str">
        <f>IFERROR(__xludf.DUMMYFUNCTION("""COMPUTED_VALUE"""),"K9A 4J8")</f>
        <v>K9A 4J8</v>
      </c>
      <c r="E3261" s="3" t="str">
        <f>IFERROR(__xludf.DUMMYFUNCTION("""COMPUTED_VALUE"""),"bill stover")</f>
        <v>bill stover</v>
      </c>
      <c r="F3261" s="3"/>
      <c r="G3261" s="3">
        <f>IFERROR(__xludf.DUMMYFUNCTION("""COMPUTED_VALUE"""),9.05349328E9)</f>
        <v>9053493280</v>
      </c>
      <c r="H3261" s="3"/>
    </row>
    <row r="3262">
      <c r="A3262" s="2">
        <f>IFERROR(__xludf.DUMMYFUNCTION("""COMPUTED_VALUE"""),40367.0)</f>
        <v>40367</v>
      </c>
      <c r="B3262" s="3" t="str">
        <f>IFERROR(__xludf.DUMMYFUNCTION("""COMPUTED_VALUE"""),"11004 COUNTY RD 2")</f>
        <v>11004 COUNTY RD 2</v>
      </c>
      <c r="C3262" s="3" t="str">
        <f>IFERROR(__xludf.DUMMYFUNCTION("""COMPUTED_VALUE"""),"COBOURG")</f>
        <v>COBOURG</v>
      </c>
      <c r="D3262" s="3" t="str">
        <f>IFERROR(__xludf.DUMMYFUNCTION("""COMPUTED_VALUE"""),"K9A 4J8")</f>
        <v>K9A 4J8</v>
      </c>
      <c r="E3262" s="3" t="str">
        <f>IFERROR(__xludf.DUMMYFUNCTION("""COMPUTED_VALUE"""),"kathy nigh, david mann")</f>
        <v>kathy nigh, david mann</v>
      </c>
      <c r="F3262" s="3"/>
      <c r="G3262" s="3">
        <f>IFERROR(__xludf.DUMMYFUNCTION("""COMPUTED_VALUE"""),9.053493354E9)</f>
        <v>9053493354</v>
      </c>
      <c r="H3262" s="3"/>
    </row>
    <row r="3263">
      <c r="A3263" s="2">
        <f>IFERROR(__xludf.DUMMYFUNCTION("""COMPUTED_VALUE"""),40368.0)</f>
        <v>40368</v>
      </c>
      <c r="B3263" s="3" t="str">
        <f>IFERROR(__xludf.DUMMYFUNCTION("""COMPUTED_VALUE"""),"11012 COUNTY RD 2")</f>
        <v>11012 COUNTY RD 2</v>
      </c>
      <c r="C3263" s="3" t="str">
        <f>IFERROR(__xludf.DUMMYFUNCTION("""COMPUTED_VALUE"""),"COBOURG")</f>
        <v>COBOURG</v>
      </c>
      <c r="D3263" s="3" t="str">
        <f>IFERROR(__xludf.DUMMYFUNCTION("""COMPUTED_VALUE"""),"K9A 4J8")</f>
        <v>K9A 4J8</v>
      </c>
      <c r="E3263" s="3"/>
      <c r="F3263" s="3"/>
      <c r="G3263" s="3"/>
      <c r="H3263" s="3"/>
    </row>
    <row r="3264">
      <c r="A3264" s="2">
        <f>IFERROR(__xludf.DUMMYFUNCTION("""COMPUTED_VALUE"""),40369.0)</f>
        <v>40369</v>
      </c>
      <c r="B3264" s="3" t="str">
        <f>IFERROR(__xludf.DUMMYFUNCTION("""COMPUTED_VALUE"""),"11014 COUNTY RD 2")</f>
        <v>11014 COUNTY RD 2</v>
      </c>
      <c r="C3264" s="3" t="str">
        <f>IFERROR(__xludf.DUMMYFUNCTION("""COMPUTED_VALUE"""),"COBOURG")</f>
        <v>COBOURG</v>
      </c>
      <c r="D3264" s="3" t="str">
        <f>IFERROR(__xludf.DUMMYFUNCTION("""COMPUTED_VALUE"""),"K9A 4J8")</f>
        <v>K9A 4J8</v>
      </c>
      <c r="E3264" s="3"/>
      <c r="F3264" s="3"/>
      <c r="G3264" s="3"/>
      <c r="H3264" s="3"/>
    </row>
    <row r="3265">
      <c r="A3265" s="2">
        <f>IFERROR(__xludf.DUMMYFUNCTION("""COMPUTED_VALUE"""),40370.0)</f>
        <v>40370</v>
      </c>
      <c r="B3265" s="3" t="str">
        <f>IFERROR(__xludf.DUMMYFUNCTION("""COMPUTED_VALUE"""),"11050 COUNTY RD 2")</f>
        <v>11050 COUNTY RD 2</v>
      </c>
      <c r="C3265" s="3" t="str">
        <f>IFERROR(__xludf.DUMMYFUNCTION("""COMPUTED_VALUE"""),"COBOURG")</f>
        <v>COBOURG</v>
      </c>
      <c r="D3265" s="3" t="str">
        <f>IFERROR(__xludf.DUMMYFUNCTION("""COMPUTED_VALUE"""),"K9A 4J8")</f>
        <v>K9A 4J8</v>
      </c>
      <c r="E3265" s="3" t="str">
        <f>IFERROR(__xludf.DUMMYFUNCTION("""COMPUTED_VALUE"""),"steve flieler")</f>
        <v>steve flieler</v>
      </c>
      <c r="F3265" s="3" t="str">
        <f>IFERROR(__xludf.DUMMYFUNCTION("""COMPUTED_VALUE"""),"flieler27@hotmail.com")</f>
        <v>flieler27@hotmail.com</v>
      </c>
      <c r="G3265" s="3">
        <f>IFERROR(__xludf.DUMMYFUNCTION("""COMPUTED_VALUE"""),6.747741334E9)</f>
        <v>6747741334</v>
      </c>
      <c r="H3265" s="3"/>
    </row>
    <row r="3266">
      <c r="A3266" s="2">
        <f>IFERROR(__xludf.DUMMYFUNCTION("""COMPUTED_VALUE"""),40371.0)</f>
        <v>40371</v>
      </c>
      <c r="B3266" s="3" t="str">
        <f>IFERROR(__xludf.DUMMYFUNCTION("""COMPUTED_VALUE"""),"11054 COUNTY RD 2")</f>
        <v>11054 COUNTY RD 2</v>
      </c>
      <c r="C3266" s="3" t="str">
        <f>IFERROR(__xludf.DUMMYFUNCTION("""COMPUTED_VALUE"""),"COBOURG")</f>
        <v>COBOURG</v>
      </c>
      <c r="D3266" s="3" t="str">
        <f>IFERROR(__xludf.DUMMYFUNCTION("""COMPUTED_VALUE"""),"K9A 4J8")</f>
        <v>K9A 4J8</v>
      </c>
      <c r="E3266" s="3" t="str">
        <f>IFERROR(__xludf.DUMMYFUNCTION("""COMPUTED_VALUE"""),"ramanveer kaur nijjar")</f>
        <v>ramanveer kaur nijjar</v>
      </c>
      <c r="F3266" s="3" t="str">
        <f>IFERROR(__xludf.DUMMYFUNCTION("""COMPUTED_VALUE"""),"nijjar80@yahoo.com")</f>
        <v>nijjar80@yahoo.com</v>
      </c>
      <c r="G3266" s="3">
        <f>IFERROR(__xludf.DUMMYFUNCTION("""COMPUTED_VALUE"""),9.052076787E9)</f>
        <v>9052076787</v>
      </c>
      <c r="H3266" s="3"/>
    </row>
    <row r="3267">
      <c r="A3267" s="2">
        <f>IFERROR(__xludf.DUMMYFUNCTION("""COMPUTED_VALUE"""),40372.0)</f>
        <v>40372</v>
      </c>
      <c r="B3267" s="3" t="str">
        <f>IFERROR(__xludf.DUMMYFUNCTION("""COMPUTED_VALUE"""),"11059 COUNTY RD 2")</f>
        <v>11059 COUNTY RD 2</v>
      </c>
      <c r="C3267" s="3" t="str">
        <f>IFERROR(__xludf.DUMMYFUNCTION("""COMPUTED_VALUE"""),"COBOURG")</f>
        <v>COBOURG</v>
      </c>
      <c r="D3267" s="3" t="str">
        <f>IFERROR(__xludf.DUMMYFUNCTION("""COMPUTED_VALUE"""),"K9A 4J8")</f>
        <v>K9A 4J8</v>
      </c>
      <c r="E3267" s="3" t="str">
        <f>IFERROR(__xludf.DUMMYFUNCTION("""COMPUTED_VALUE"""),"Edmund Goncalves")</f>
        <v>Edmund Goncalves</v>
      </c>
      <c r="F3267" s="3" t="str">
        <f>IFERROR(__xludf.DUMMYFUNCTION("""COMPUTED_VALUE"""),"edmund.goncalves@outlook.com")</f>
        <v>edmund.goncalves@outlook.com</v>
      </c>
      <c r="G3267" s="3">
        <f>IFERROR(__xludf.DUMMYFUNCTION("""COMPUTED_VALUE"""),4.167995275E9)</f>
        <v>4167995275</v>
      </c>
      <c r="H3267" s="3">
        <f>IFERROR(__xludf.DUMMYFUNCTION("""COMPUTED_VALUE"""),4.167910047E9)</f>
        <v>4167910047</v>
      </c>
    </row>
    <row r="3268">
      <c r="A3268" s="2">
        <f>IFERROR(__xludf.DUMMYFUNCTION("""COMPUTED_VALUE"""),40373.0)</f>
        <v>40373</v>
      </c>
      <c r="B3268" s="3" t="str">
        <f>IFERROR(__xludf.DUMMYFUNCTION("""COMPUTED_VALUE"""),"11065 COUNTY RD 2")</f>
        <v>11065 COUNTY RD 2</v>
      </c>
      <c r="C3268" s="3" t="str">
        <f>IFERROR(__xludf.DUMMYFUNCTION("""COMPUTED_VALUE"""),"COBOURG")</f>
        <v>COBOURG</v>
      </c>
      <c r="D3268" s="3" t="str">
        <f>IFERROR(__xludf.DUMMYFUNCTION("""COMPUTED_VALUE"""),"K9A 4J8")</f>
        <v>K9A 4J8</v>
      </c>
      <c r="E3268" s="3"/>
      <c r="F3268" s="3"/>
      <c r="G3268" s="3"/>
      <c r="H3268" s="3"/>
    </row>
    <row r="3269">
      <c r="A3269" s="2">
        <f>IFERROR(__xludf.DUMMYFUNCTION("""COMPUTED_VALUE"""),40374.0)</f>
        <v>40374</v>
      </c>
      <c r="B3269" s="3" t="str">
        <f>IFERROR(__xludf.DUMMYFUNCTION("""COMPUTED_VALUE"""),"11253 COUNTY RD 2")</f>
        <v>11253 COUNTY RD 2</v>
      </c>
      <c r="C3269" s="3" t="str">
        <f>IFERROR(__xludf.DUMMYFUNCTION("""COMPUTED_VALUE"""),"COBOURG")</f>
        <v>COBOURG</v>
      </c>
      <c r="D3269" s="3" t="str">
        <f>IFERROR(__xludf.DUMMYFUNCTION("""COMPUTED_VALUE"""),"K9A 4J8")</f>
        <v>K9A 4J8</v>
      </c>
      <c r="E3269" s="3" t="str">
        <f>IFERROR(__xludf.DUMMYFUNCTION("""COMPUTED_VALUE"""),"janet irvine ")</f>
        <v>janet irvine </v>
      </c>
      <c r="F3269" s="3" t="str">
        <f>IFERROR(__xludf.DUMMYFUNCTION("""COMPUTED_VALUE"""),"jmirvine@gmail.com")</f>
        <v>jmirvine@gmail.com</v>
      </c>
      <c r="G3269" s="3">
        <f>IFERROR(__xludf.DUMMYFUNCTION("""COMPUTED_VALUE"""),9.053962312E9)</f>
        <v>9053962312</v>
      </c>
      <c r="H3269" s="3"/>
    </row>
    <row r="3270">
      <c r="A3270" s="2">
        <f>IFERROR(__xludf.DUMMYFUNCTION("""COMPUTED_VALUE"""),40375.0)</f>
        <v>40375</v>
      </c>
      <c r="B3270" s="3" t="str">
        <f>IFERROR(__xludf.DUMMYFUNCTION("""COMPUTED_VALUE"""),"11256 COUNTY RD 2")</f>
        <v>11256 COUNTY RD 2</v>
      </c>
      <c r="C3270" s="3" t="str">
        <f>IFERROR(__xludf.DUMMYFUNCTION("""COMPUTED_VALUE"""),"COBOURG")</f>
        <v>COBOURG</v>
      </c>
      <c r="D3270" s="3" t="str">
        <f>IFERROR(__xludf.DUMMYFUNCTION("""COMPUTED_VALUE"""),"K9A 4J8")</f>
        <v>K9A 4J8</v>
      </c>
      <c r="E3270" s="3" t="str">
        <f>IFERROR(__xludf.DUMMYFUNCTION("""COMPUTED_VALUE"""),"Brian Dinner")</f>
        <v>Brian Dinner</v>
      </c>
      <c r="F3270" s="3" t="str">
        <f>IFERROR(__xludf.DUMMYFUNCTION("""COMPUTED_VALUE"""),"brian.dinner@live.ca")</f>
        <v>brian.dinner@live.ca</v>
      </c>
      <c r="G3270" s="3">
        <f>IFERROR(__xludf.DUMMYFUNCTION("""COMPUTED_VALUE"""),9.052697391E9)</f>
        <v>9052697391</v>
      </c>
      <c r="H3270" s="3"/>
    </row>
    <row r="3271">
      <c r="A3271" s="2">
        <f>IFERROR(__xludf.DUMMYFUNCTION("""COMPUTED_VALUE"""),40376.0)</f>
        <v>40376</v>
      </c>
      <c r="B3271" s="3" t="str">
        <f>IFERROR(__xludf.DUMMYFUNCTION("""COMPUTED_VALUE"""),"11364 COUNTY RD 2")</f>
        <v>11364 COUNTY RD 2</v>
      </c>
      <c r="C3271" s="3" t="str">
        <f>IFERROR(__xludf.DUMMYFUNCTION("""COMPUTED_VALUE"""),"COBOURG")</f>
        <v>COBOURG</v>
      </c>
      <c r="D3271" s="3" t="str">
        <f>IFERROR(__xludf.DUMMYFUNCTION("""COMPUTED_VALUE"""),"K9A 4J8")</f>
        <v>K9A 4J8</v>
      </c>
      <c r="E3271" s="3" t="str">
        <f>IFERROR(__xludf.DUMMYFUNCTION("""COMPUTED_VALUE"""),"chris henry")</f>
        <v>chris henry</v>
      </c>
      <c r="F3271" s="3" t="str">
        <f>IFERROR(__xludf.DUMMYFUNCTION("""COMPUTED_VALUE"""),"chenry@trailcon.com")</f>
        <v>chenry@trailcon.com</v>
      </c>
      <c r="G3271" s="3">
        <f>IFERROR(__xludf.DUMMYFUNCTION("""COMPUTED_VALUE"""),4.167883729E9)</f>
        <v>4167883729</v>
      </c>
      <c r="H3271" s="3"/>
    </row>
    <row r="3272">
      <c r="A3272" s="2">
        <f>IFERROR(__xludf.DUMMYFUNCTION("""COMPUTED_VALUE"""),40377.0)</f>
        <v>40377</v>
      </c>
      <c r="B3272" s="3" t="str">
        <f>IFERROR(__xludf.DUMMYFUNCTION("""COMPUTED_VALUE"""),"11368 COUNTY RD 2")</f>
        <v>11368 COUNTY RD 2</v>
      </c>
      <c r="C3272" s="3" t="str">
        <f>IFERROR(__xludf.DUMMYFUNCTION("""COMPUTED_VALUE"""),"COBOURG")</f>
        <v>COBOURG</v>
      </c>
      <c r="D3272" s="3" t="str">
        <f>IFERROR(__xludf.DUMMYFUNCTION("""COMPUTED_VALUE"""),"K9A 4J8")</f>
        <v>K9A 4J8</v>
      </c>
      <c r="E3272" s="3"/>
      <c r="F3272" s="3"/>
      <c r="G3272" s="3"/>
      <c r="H3272" s="3"/>
    </row>
    <row r="3273">
      <c r="A3273" s="2">
        <f>IFERROR(__xludf.DUMMYFUNCTION("""COMPUTED_VALUE"""),40378.0)</f>
        <v>40378</v>
      </c>
      <c r="B3273" s="3" t="str">
        <f>IFERROR(__xludf.DUMMYFUNCTION("""COMPUTED_VALUE"""),"11378 COUNTY RD 2")</f>
        <v>11378 COUNTY RD 2</v>
      </c>
      <c r="C3273" s="3" t="str">
        <f>IFERROR(__xludf.DUMMYFUNCTION("""COMPUTED_VALUE"""),"COBOURG")</f>
        <v>COBOURG</v>
      </c>
      <c r="D3273" s="3" t="str">
        <f>IFERROR(__xludf.DUMMYFUNCTION("""COMPUTED_VALUE"""),"K9A 4J8")</f>
        <v>K9A 4J8</v>
      </c>
      <c r="E3273" s="3" t="str">
        <f>IFERROR(__xludf.DUMMYFUNCTION("""COMPUTED_VALUE"""),"quinn mcdermott ")</f>
        <v>quinn mcdermott </v>
      </c>
      <c r="F3273" s="3" t="str">
        <f>IFERROR(__xludf.DUMMYFUNCTION("""COMPUTED_VALUE"""),"quinn.e.mcdermott@gmail.com")</f>
        <v>quinn.e.mcdermott@gmail.com</v>
      </c>
      <c r="G3273" s="3">
        <f>IFERROR(__xludf.DUMMYFUNCTION("""COMPUTED_VALUE"""),4.168039602E9)</f>
        <v>4168039602</v>
      </c>
      <c r="H3273" s="3">
        <f>IFERROR(__xludf.DUMMYFUNCTION("""COMPUTED_VALUE"""),9.05269161E9)</f>
        <v>9052691610</v>
      </c>
    </row>
    <row r="3274">
      <c r="A3274" s="2">
        <f>IFERROR(__xludf.DUMMYFUNCTION("""COMPUTED_VALUE"""),41299.0)</f>
        <v>41299</v>
      </c>
      <c r="B3274" s="3" t="str">
        <f>IFERROR(__xludf.DUMMYFUNCTION("""COMPUTED_VALUE"""),"11456 COUNTY RD 2")</f>
        <v>11456 COUNTY RD 2</v>
      </c>
      <c r="C3274" s="3" t="str">
        <f>IFERROR(__xludf.DUMMYFUNCTION("""COMPUTED_VALUE"""),"COBOURG")</f>
        <v>COBOURG</v>
      </c>
      <c r="D3274" s="3" t="str">
        <f>IFERROR(__xludf.DUMMYFUNCTION("""COMPUTED_VALUE"""),"K9A 4J8")</f>
        <v>K9A 4J8</v>
      </c>
      <c r="E3274" s="3"/>
      <c r="F3274" s="3"/>
      <c r="G3274" s="3"/>
      <c r="H3274" s="3"/>
    </row>
    <row r="3275">
      <c r="A3275" s="2">
        <f>IFERROR(__xludf.DUMMYFUNCTION("""COMPUTED_VALUE"""),40379.0)</f>
        <v>40379</v>
      </c>
      <c r="B3275" s="3" t="str">
        <f>IFERROR(__xludf.DUMMYFUNCTION("""COMPUTED_VALUE"""),"11513 COUNTY RD 2")</f>
        <v>11513 COUNTY RD 2</v>
      </c>
      <c r="C3275" s="3" t="str">
        <f>IFERROR(__xludf.DUMMYFUNCTION("""COMPUTED_VALUE"""),"COBOURG")</f>
        <v>COBOURG</v>
      </c>
      <c r="D3275" s="3" t="str">
        <f>IFERROR(__xludf.DUMMYFUNCTION("""COMPUTED_VALUE"""),"K9A 4J8")</f>
        <v>K9A 4J8</v>
      </c>
      <c r="E3275" s="3" t="str">
        <f>IFERROR(__xludf.DUMMYFUNCTION("""COMPUTED_VALUE"""),"thomas wood ")</f>
        <v>thomas wood </v>
      </c>
      <c r="F3275" s="3" t="str">
        <f>IFERROR(__xludf.DUMMYFUNCTION("""COMPUTED_VALUE"""),"woodtcorps88@gmail.com")</f>
        <v>woodtcorps88@gmail.com</v>
      </c>
      <c r="G3275" s="3">
        <f>IFERROR(__xludf.DUMMYFUNCTION("""COMPUTED_VALUE"""),2.896911726E9)</f>
        <v>2896911726</v>
      </c>
      <c r="H3275" s="3"/>
    </row>
    <row r="3276">
      <c r="A3276" s="2">
        <f>IFERROR(__xludf.DUMMYFUNCTION("""COMPUTED_VALUE"""),40380.0)</f>
        <v>40380</v>
      </c>
      <c r="B3276" s="3" t="str">
        <f>IFERROR(__xludf.DUMMYFUNCTION("""COMPUTED_VALUE"""),"11523 COUNTY RD 2")</f>
        <v>11523 COUNTY RD 2</v>
      </c>
      <c r="C3276" s="3" t="str">
        <f>IFERROR(__xludf.DUMMYFUNCTION("""COMPUTED_VALUE"""),"COBOURG")</f>
        <v>COBOURG</v>
      </c>
      <c r="D3276" s="3" t="str">
        <f>IFERROR(__xludf.DUMMYFUNCTION("""COMPUTED_VALUE"""),"K9A 4J8")</f>
        <v>K9A 4J8</v>
      </c>
      <c r="E3276" s="3" t="str">
        <f>IFERROR(__xludf.DUMMYFUNCTION("""COMPUTED_VALUE"""),"david motorino")</f>
        <v>david motorino</v>
      </c>
      <c r="F3276" s="3" t="str">
        <f>IFERROR(__xludf.DUMMYFUNCTION("""COMPUTED_VALUE"""),"davidmotorino@gmail.com")</f>
        <v>davidmotorino@gmail.com</v>
      </c>
      <c r="G3276" s="3">
        <f>IFERROR(__xludf.DUMMYFUNCTION("""COMPUTED_VALUE"""),2.892514009E9)</f>
        <v>2892514009</v>
      </c>
      <c r="H3276" s="3"/>
    </row>
    <row r="3277">
      <c r="A3277" s="2">
        <f>IFERROR(__xludf.DUMMYFUNCTION("""COMPUTED_VALUE"""),40381.0)</f>
        <v>40381</v>
      </c>
      <c r="B3277" s="3" t="str">
        <f>IFERROR(__xludf.DUMMYFUNCTION("""COMPUTED_VALUE"""),"11527 COUNTY RD 2")</f>
        <v>11527 COUNTY RD 2</v>
      </c>
      <c r="C3277" s="3" t="str">
        <f>IFERROR(__xludf.DUMMYFUNCTION("""COMPUTED_VALUE"""),"COBOURG")</f>
        <v>COBOURG</v>
      </c>
      <c r="D3277" s="3" t="str">
        <f>IFERROR(__xludf.DUMMYFUNCTION("""COMPUTED_VALUE"""),"K9A 4J8")</f>
        <v>K9A 4J8</v>
      </c>
      <c r="E3277" s="3" t="str">
        <f>IFERROR(__xludf.DUMMYFUNCTION("""COMPUTED_VALUE""")," Stacy Coyle")</f>
        <v> Stacy Coyle</v>
      </c>
      <c r="F3277" s="3" t="str">
        <f>IFERROR(__xludf.DUMMYFUNCTION("""COMPUTED_VALUE"""),"stcoyle16@hotmail.com")</f>
        <v>stcoyle16@hotmail.com</v>
      </c>
      <c r="G3277" s="3"/>
      <c r="H3277" s="3"/>
    </row>
    <row r="3278">
      <c r="A3278" s="2">
        <f>IFERROR(__xludf.DUMMYFUNCTION("""COMPUTED_VALUE"""),40382.0)</f>
        <v>40382</v>
      </c>
      <c r="B3278" s="3" t="str">
        <f>IFERROR(__xludf.DUMMYFUNCTION("""COMPUTED_VALUE"""),"11530 COUNTY RD 2")</f>
        <v>11530 COUNTY RD 2</v>
      </c>
      <c r="C3278" s="3" t="str">
        <f>IFERROR(__xludf.DUMMYFUNCTION("""COMPUTED_VALUE"""),"COBOURG")</f>
        <v>COBOURG</v>
      </c>
      <c r="D3278" s="3" t="str">
        <f>IFERROR(__xludf.DUMMYFUNCTION("""COMPUTED_VALUE"""),"K9A 4J8")</f>
        <v>K9A 4J8</v>
      </c>
      <c r="E3278" s="3" t="str">
        <f>IFERROR(__xludf.DUMMYFUNCTION("""COMPUTED_VALUE"""),"aimee greydanus")</f>
        <v>aimee greydanus</v>
      </c>
      <c r="F3278" s="3"/>
      <c r="G3278" s="3">
        <f>IFERROR(__xludf.DUMMYFUNCTION("""COMPUTED_VALUE"""),9.05373676E9)</f>
        <v>9053736760</v>
      </c>
      <c r="H3278" s="3"/>
    </row>
    <row r="3279">
      <c r="A3279" s="2">
        <f>IFERROR(__xludf.DUMMYFUNCTION("""COMPUTED_VALUE"""),40383.0)</f>
        <v>40383</v>
      </c>
      <c r="B3279" s="3" t="str">
        <f>IFERROR(__xludf.DUMMYFUNCTION("""COMPUTED_VALUE"""),"11545 COUNTY ROAD 2")</f>
        <v>11545 COUNTY ROAD 2</v>
      </c>
      <c r="C3279" s="3" t="str">
        <f>IFERROR(__xludf.DUMMYFUNCTION("""COMPUTED_VALUE"""),"COBOURG")</f>
        <v>COBOURG</v>
      </c>
      <c r="D3279" s="3" t="str">
        <f>IFERROR(__xludf.DUMMYFUNCTION("""COMPUTED_VALUE"""),"K9A 4J8")</f>
        <v>K9A 4J8</v>
      </c>
      <c r="E3279" s="3" t="str">
        <f>IFERROR(__xludf.DUMMYFUNCTION("""COMPUTED_VALUE"""),"Jill Klintworth")</f>
        <v>Jill Klintworth</v>
      </c>
      <c r="F3279" s="3" t="str">
        <f>IFERROR(__xludf.DUMMYFUNCTION("""COMPUTED_VALUE"""),"jillklintworth@gmail.com")</f>
        <v>jillklintworth@gmail.com</v>
      </c>
      <c r="G3279" s="3">
        <f>IFERROR(__xludf.DUMMYFUNCTION("""COMPUTED_VALUE"""),4.166662338E9)</f>
        <v>4166662338</v>
      </c>
      <c r="H3279" s="3"/>
    </row>
    <row r="3280">
      <c r="A3280" s="2">
        <f>IFERROR(__xludf.DUMMYFUNCTION("""COMPUTED_VALUE"""),40384.0)</f>
        <v>40384</v>
      </c>
      <c r="B3280" s="3" t="str">
        <f>IFERROR(__xludf.DUMMYFUNCTION("""COMPUTED_VALUE"""),"11546 COUNTY RD 2")</f>
        <v>11546 COUNTY RD 2</v>
      </c>
      <c r="C3280" s="3" t="str">
        <f>IFERROR(__xludf.DUMMYFUNCTION("""COMPUTED_VALUE"""),"GRAFTON")</f>
        <v>GRAFTON</v>
      </c>
      <c r="D3280" s="3" t="str">
        <f>IFERROR(__xludf.DUMMYFUNCTION("""COMPUTED_VALUE"""),"K0K 2G0")</f>
        <v>K0K 2G0</v>
      </c>
      <c r="E3280" s="3" t="str">
        <f>IFERROR(__xludf.DUMMYFUNCTION("""COMPUTED_VALUE"""),"Caitlyn Humes")</f>
        <v>Caitlyn Humes</v>
      </c>
      <c r="F3280" s="3" t="str">
        <f>IFERROR(__xludf.DUMMYFUNCTION("""COMPUTED_VALUE"""),"caithumes@gmail.com")</f>
        <v>caithumes@gmail.com</v>
      </c>
      <c r="G3280" s="3">
        <f>IFERROR(__xludf.DUMMYFUNCTION("""COMPUTED_VALUE"""),9.054105941E9)</f>
        <v>9054105941</v>
      </c>
      <c r="H3280" s="3"/>
    </row>
    <row r="3281">
      <c r="A3281" s="2">
        <f>IFERROR(__xludf.DUMMYFUNCTION("""COMPUTED_VALUE"""),40385.0)</f>
        <v>40385</v>
      </c>
      <c r="B3281" s="3" t="str">
        <f>IFERROR(__xludf.DUMMYFUNCTION("""COMPUTED_VALUE"""),"11549 COUNTY RD 2")</f>
        <v>11549 COUNTY RD 2</v>
      </c>
      <c r="C3281" s="3" t="str">
        <f>IFERROR(__xludf.DUMMYFUNCTION("""COMPUTED_VALUE"""),"COBOURG")</f>
        <v>COBOURG</v>
      </c>
      <c r="D3281" s="3" t="str">
        <f>IFERROR(__xludf.DUMMYFUNCTION("""COMPUTED_VALUE"""),"K9A 4J8")</f>
        <v>K9A 4J8</v>
      </c>
      <c r="E3281" s="3" t="str">
        <f>IFERROR(__xludf.DUMMYFUNCTION("""COMPUTED_VALUE"""),"lydia salzmann")</f>
        <v>lydia salzmann</v>
      </c>
      <c r="F3281" s="3" t="str">
        <f>IFERROR(__xludf.DUMMYFUNCTION("""COMPUTED_VALUE"""),"isalzy555@gmail.com")</f>
        <v>isalzy555@gmail.com</v>
      </c>
      <c r="G3281" s="3">
        <f>IFERROR(__xludf.DUMMYFUNCTION("""COMPUTED_VALUE"""),9.053493323E9)</f>
        <v>9053493323</v>
      </c>
      <c r="H3281" s="3">
        <f>IFERROR(__xludf.DUMMYFUNCTION("""COMPUTED_VALUE"""),9.053492142E9)</f>
        <v>9053492142</v>
      </c>
    </row>
    <row r="3282">
      <c r="A3282" s="2">
        <f>IFERROR(__xludf.DUMMYFUNCTION("""COMPUTED_VALUE"""),40386.0)</f>
        <v>40386</v>
      </c>
      <c r="B3282" s="3" t="str">
        <f>IFERROR(__xludf.DUMMYFUNCTION("""COMPUTED_VALUE"""),"11556 COUNTY RD 2")</f>
        <v>11556 COUNTY RD 2</v>
      </c>
      <c r="C3282" s="3" t="str">
        <f>IFERROR(__xludf.DUMMYFUNCTION("""COMPUTED_VALUE"""),"COBOURG")</f>
        <v>COBOURG</v>
      </c>
      <c r="D3282" s="3" t="str">
        <f>IFERROR(__xludf.DUMMYFUNCTION("""COMPUTED_VALUE"""),"K9A 4J8")</f>
        <v>K9A 4J8</v>
      </c>
      <c r="E3282" s="3" t="str">
        <f>IFERROR(__xludf.DUMMYFUNCTION("""COMPUTED_VALUE"""),"mildred corkery ")</f>
        <v>mildred corkery </v>
      </c>
      <c r="F3282" s="3" t="str">
        <f>IFERROR(__xludf.DUMMYFUNCTION("""COMPUTED_VALUE"""),"midgec.1956@gmail.com")</f>
        <v>midgec.1956@gmail.com</v>
      </c>
      <c r="G3282" s="3">
        <f>IFERROR(__xludf.DUMMYFUNCTION("""COMPUTED_VALUE"""),2.892513267E9)</f>
        <v>2892513267</v>
      </c>
      <c r="H3282" s="3"/>
    </row>
    <row r="3283">
      <c r="A3283" s="2">
        <f>IFERROR(__xludf.DUMMYFUNCTION("""COMPUTED_VALUE"""),40387.0)</f>
        <v>40387</v>
      </c>
      <c r="B3283" s="3" t="str">
        <f>IFERROR(__xludf.DUMMYFUNCTION("""COMPUTED_VALUE"""),"11557 COUNTY RD 2")</f>
        <v>11557 COUNTY RD 2</v>
      </c>
      <c r="C3283" s="3" t="str">
        <f>IFERROR(__xludf.DUMMYFUNCTION("""COMPUTED_VALUE"""),"COBOURG")</f>
        <v>COBOURG</v>
      </c>
      <c r="D3283" s="3" t="str">
        <f>IFERROR(__xludf.DUMMYFUNCTION("""COMPUTED_VALUE"""),"K9A 4J8")</f>
        <v>K9A 4J8</v>
      </c>
      <c r="E3283" s="3"/>
      <c r="F3283" s="3"/>
      <c r="G3283" s="3"/>
      <c r="H3283" s="3"/>
    </row>
    <row r="3284">
      <c r="A3284" s="2">
        <f>IFERROR(__xludf.DUMMYFUNCTION("""COMPUTED_VALUE"""),40388.0)</f>
        <v>40388</v>
      </c>
      <c r="B3284" s="3" t="str">
        <f>IFERROR(__xludf.DUMMYFUNCTION("""COMPUTED_VALUE"""),"11563 COUNTY RD 2")</f>
        <v>11563 COUNTY RD 2</v>
      </c>
      <c r="C3284" s="3" t="str">
        <f>IFERROR(__xludf.DUMMYFUNCTION("""COMPUTED_VALUE"""),"COBOURG")</f>
        <v>COBOURG</v>
      </c>
      <c r="D3284" s="3" t="str">
        <f>IFERROR(__xludf.DUMMYFUNCTION("""COMPUTED_VALUE"""),"K9A 4J8")</f>
        <v>K9A 4J8</v>
      </c>
      <c r="E3284" s="3" t="str">
        <f>IFERROR(__xludf.DUMMYFUNCTION("""COMPUTED_VALUE"""),"krystal wilson")</f>
        <v>krystal wilson</v>
      </c>
      <c r="F3284" s="3" t="str">
        <f>IFERROR(__xludf.DUMMYFUNCTION("""COMPUTED_VALUE"""),"wilson.krystal@gmail.com")</f>
        <v>wilson.krystal@gmail.com</v>
      </c>
      <c r="G3284" s="3">
        <f>IFERROR(__xludf.DUMMYFUNCTION("""COMPUTED_VALUE"""),9.052698885E9)</f>
        <v>9052698885</v>
      </c>
      <c r="H3284" s="3"/>
    </row>
    <row r="3285">
      <c r="A3285" s="2">
        <f>IFERROR(__xludf.DUMMYFUNCTION("""COMPUTED_VALUE"""),40389.0)</f>
        <v>40389</v>
      </c>
      <c r="B3285" s="3" t="str">
        <f>IFERROR(__xludf.DUMMYFUNCTION("""COMPUTED_VALUE"""),"11564 COUNTY RD 2")</f>
        <v>11564 COUNTY RD 2</v>
      </c>
      <c r="C3285" s="3" t="str">
        <f>IFERROR(__xludf.DUMMYFUNCTION("""COMPUTED_VALUE"""),"COBOURG")</f>
        <v>COBOURG</v>
      </c>
      <c r="D3285" s="3" t="str">
        <f>IFERROR(__xludf.DUMMYFUNCTION("""COMPUTED_VALUE"""),"K9A 4J8")</f>
        <v>K9A 4J8</v>
      </c>
      <c r="E3285" s="3" t="str">
        <f>IFERROR(__xludf.DUMMYFUNCTION("""COMPUTED_VALUE"""),"Keith Hotte")</f>
        <v>Keith Hotte</v>
      </c>
      <c r="F3285" s="3" t="str">
        <f>IFERROR(__xludf.DUMMYFUNCTION("""COMPUTED_VALUE"""),"hkeith23@gmail.com")</f>
        <v>hkeith23@gmail.com</v>
      </c>
      <c r="G3285" s="3">
        <f>IFERROR(__xludf.DUMMYFUNCTION("""COMPUTED_VALUE"""),2.892518909E9)</f>
        <v>2892518909</v>
      </c>
      <c r="H3285" s="3">
        <f>IFERROR(__xludf.DUMMYFUNCTION("""COMPUTED_VALUE"""),9.053767501E9)</f>
        <v>9053767501</v>
      </c>
    </row>
    <row r="3286">
      <c r="A3286" s="2">
        <f>IFERROR(__xludf.DUMMYFUNCTION("""COMPUTED_VALUE"""),40390.0)</f>
        <v>40390</v>
      </c>
      <c r="B3286" s="3" t="str">
        <f>IFERROR(__xludf.DUMMYFUNCTION("""COMPUTED_VALUE"""),"11567 COUNTY RD 2")</f>
        <v>11567 COUNTY RD 2</v>
      </c>
      <c r="C3286" s="3" t="str">
        <f>IFERROR(__xludf.DUMMYFUNCTION("""COMPUTED_VALUE"""),"COBOURG")</f>
        <v>COBOURG</v>
      </c>
      <c r="D3286" s="3" t="str">
        <f>IFERROR(__xludf.DUMMYFUNCTION("""COMPUTED_VALUE"""),"K9A 4J8")</f>
        <v>K9A 4J8</v>
      </c>
      <c r="E3286" s="3"/>
      <c r="F3286" s="3"/>
      <c r="G3286" s="3"/>
      <c r="H3286" s="3"/>
    </row>
    <row r="3287">
      <c r="A3287" s="2">
        <f>IFERROR(__xludf.DUMMYFUNCTION("""COMPUTED_VALUE"""),40391.0)</f>
        <v>40391</v>
      </c>
      <c r="B3287" s="3" t="str">
        <f>IFERROR(__xludf.DUMMYFUNCTION("""COMPUTED_VALUE"""),"11574 COUNTY RD 2")</f>
        <v>11574 COUNTY RD 2</v>
      </c>
      <c r="C3287" s="3" t="str">
        <f>IFERROR(__xludf.DUMMYFUNCTION("""COMPUTED_VALUE"""),"COBOURG")</f>
        <v>COBOURG</v>
      </c>
      <c r="D3287" s="3" t="str">
        <f>IFERROR(__xludf.DUMMYFUNCTION("""COMPUTED_VALUE"""),"K9A 4J8")</f>
        <v>K9A 4J8</v>
      </c>
      <c r="E3287" s="3" t="str">
        <f>IFERROR(__xludf.DUMMYFUNCTION("""COMPUTED_VALUE"""),"mariusz hawryszko")</f>
        <v>mariusz hawryszko</v>
      </c>
      <c r="F3287" s="3"/>
      <c r="G3287" s="3">
        <f>IFERROR(__xludf.DUMMYFUNCTION("""COMPUTED_VALUE"""),4.169895073E9)</f>
        <v>4169895073</v>
      </c>
      <c r="H3287" s="3"/>
    </row>
    <row r="3288">
      <c r="A3288" s="2">
        <f>IFERROR(__xludf.DUMMYFUNCTION("""COMPUTED_VALUE"""),40392.0)</f>
        <v>40392</v>
      </c>
      <c r="B3288" s="3" t="str">
        <f>IFERROR(__xludf.DUMMYFUNCTION("""COMPUTED_VALUE"""),"11587 COUNTY RD 2")</f>
        <v>11587 COUNTY RD 2</v>
      </c>
      <c r="C3288" s="3" t="str">
        <f>IFERROR(__xludf.DUMMYFUNCTION("""COMPUTED_VALUE"""),"COLBORNE")</f>
        <v>COLBORNE</v>
      </c>
      <c r="D3288" s="3" t="str">
        <f>IFERROR(__xludf.DUMMYFUNCTION("""COMPUTED_VALUE"""),"K0K 1S0")</f>
        <v>K0K 1S0</v>
      </c>
      <c r="E3288" s="3" t="str">
        <f>IFERROR(__xludf.DUMMYFUNCTION("""COMPUTED_VALUE"""),"stacey leblanc")</f>
        <v>stacey leblanc</v>
      </c>
      <c r="F3288" s="3" t="str">
        <f>IFERROR(__xludf.DUMMYFUNCTION("""COMPUTED_VALUE"""),"staceyleblanc22@gmail.com")</f>
        <v>staceyleblanc22@gmail.com</v>
      </c>
      <c r="G3288" s="3">
        <f>IFERROR(__xludf.DUMMYFUNCTION("""COMPUTED_VALUE"""),2.896910177E9)</f>
        <v>2896910177</v>
      </c>
      <c r="H3288" s="3">
        <f>IFERROR(__xludf.DUMMYFUNCTION("""COMPUTED_VALUE"""),9.052697864E9)</f>
        <v>9052697864</v>
      </c>
    </row>
    <row r="3289">
      <c r="A3289" s="2">
        <f>IFERROR(__xludf.DUMMYFUNCTION("""COMPUTED_VALUE"""),40393.0)</f>
        <v>40393</v>
      </c>
      <c r="B3289" s="3" t="str">
        <f>IFERROR(__xludf.DUMMYFUNCTION("""COMPUTED_VALUE"""),"11591 COUNTY RD 2")</f>
        <v>11591 COUNTY RD 2</v>
      </c>
      <c r="C3289" s="3" t="str">
        <f>IFERROR(__xludf.DUMMYFUNCTION("""COMPUTED_VALUE"""),"COLBORNE")</f>
        <v>COLBORNE</v>
      </c>
      <c r="D3289" s="3" t="str">
        <f>IFERROR(__xludf.DUMMYFUNCTION("""COMPUTED_VALUE"""),"K0K 1S0")</f>
        <v>K0K 1S0</v>
      </c>
      <c r="E3289" s="3"/>
      <c r="F3289" s="3"/>
      <c r="G3289" s="3"/>
      <c r="H3289" s="3"/>
    </row>
    <row r="3290">
      <c r="A3290" s="2">
        <f>IFERROR(__xludf.DUMMYFUNCTION("""COMPUTED_VALUE"""),40394.0)</f>
        <v>40394</v>
      </c>
      <c r="B3290" s="3" t="str">
        <f>IFERROR(__xludf.DUMMYFUNCTION("""COMPUTED_VALUE"""),"11595 COUNTY RD 2")</f>
        <v>11595 COUNTY RD 2</v>
      </c>
      <c r="C3290" s="3" t="str">
        <f>IFERROR(__xludf.DUMMYFUNCTION("""COMPUTED_VALUE"""),"COLBORNE")</f>
        <v>COLBORNE</v>
      </c>
      <c r="D3290" s="3" t="str">
        <f>IFERROR(__xludf.DUMMYFUNCTION("""COMPUTED_VALUE"""),"K0K 1S0")</f>
        <v>K0K 1S0</v>
      </c>
      <c r="E3290" s="3" t="str">
        <f>IFERROR(__xludf.DUMMYFUNCTION("""COMPUTED_VALUE"""),"linda kerrison")</f>
        <v>linda kerrison</v>
      </c>
      <c r="F3290" s="3"/>
      <c r="G3290" s="3">
        <f>IFERROR(__xludf.DUMMYFUNCTION("""COMPUTED_VALUE"""),6.476747507E9)</f>
        <v>6476747507</v>
      </c>
      <c r="H3290" s="3"/>
    </row>
    <row r="3291">
      <c r="A3291" s="2">
        <f>IFERROR(__xludf.DUMMYFUNCTION("""COMPUTED_VALUE"""),40395.0)</f>
        <v>40395</v>
      </c>
      <c r="B3291" s="3" t="str">
        <f>IFERROR(__xludf.DUMMYFUNCTION("""COMPUTED_VALUE"""),"11598 COUNTY RD 2")</f>
        <v>11598 COUNTY RD 2</v>
      </c>
      <c r="C3291" s="3" t="str">
        <f>IFERROR(__xludf.DUMMYFUNCTION("""COMPUTED_VALUE"""),"COLBORNE")</f>
        <v>COLBORNE</v>
      </c>
      <c r="D3291" s="3" t="str">
        <f>IFERROR(__xludf.DUMMYFUNCTION("""COMPUTED_VALUE"""),"K0K 1S0")</f>
        <v>K0K 1S0</v>
      </c>
      <c r="E3291" s="3" t="str">
        <f>IFERROR(__xludf.DUMMYFUNCTION("""COMPUTED_VALUE"""),"connie finley")</f>
        <v>connie finley</v>
      </c>
      <c r="F3291" s="3" t="str">
        <f>IFERROR(__xludf.DUMMYFUNCTION("""COMPUTED_VALUE"""),"angbsty@hotmail.com")</f>
        <v>angbsty@hotmail.com</v>
      </c>
      <c r="G3291" s="3">
        <f>IFERROR(__xludf.DUMMYFUNCTION("""COMPUTED_VALUE"""),9.05375875E9)</f>
        <v>9053758750</v>
      </c>
      <c r="H3291" s="3"/>
    </row>
    <row r="3292">
      <c r="A3292" s="2">
        <f>IFERROR(__xludf.DUMMYFUNCTION("""COMPUTED_VALUE"""),40396.0)</f>
        <v>40396</v>
      </c>
      <c r="B3292" s="3" t="str">
        <f>IFERROR(__xludf.DUMMYFUNCTION("""COMPUTED_VALUE"""),"11614 COUNTY RD 2")</f>
        <v>11614 COUNTY RD 2</v>
      </c>
      <c r="C3292" s="3" t="str">
        <f>IFERROR(__xludf.DUMMYFUNCTION("""COMPUTED_VALUE"""),"COLBORNE")</f>
        <v>COLBORNE</v>
      </c>
      <c r="D3292" s="3" t="str">
        <f>IFERROR(__xludf.DUMMYFUNCTION("""COMPUTED_VALUE"""),"K0K 1S0")</f>
        <v>K0K 1S0</v>
      </c>
      <c r="E3292" s="3" t="str">
        <f>IFERROR(__xludf.DUMMYFUNCTION("""COMPUTED_VALUE"""),"arnold hefferman")</f>
        <v>arnold hefferman</v>
      </c>
      <c r="F3292" s="3"/>
      <c r="G3292" s="3">
        <f>IFERROR(__xludf.DUMMYFUNCTION("""COMPUTED_VALUE"""),2.89251404E9)</f>
        <v>2892514040</v>
      </c>
      <c r="H3292" s="3"/>
    </row>
    <row r="3293">
      <c r="A3293" s="2">
        <f>IFERROR(__xludf.DUMMYFUNCTION("""COMPUTED_VALUE"""),40397.0)</f>
        <v>40397</v>
      </c>
      <c r="B3293" s="3" t="str">
        <f>IFERROR(__xludf.DUMMYFUNCTION("""COMPUTED_VALUE"""),"11620 COUNTY RD 2")</f>
        <v>11620 COUNTY RD 2</v>
      </c>
      <c r="C3293" s="3" t="str">
        <f>IFERROR(__xludf.DUMMYFUNCTION("""COMPUTED_VALUE"""),"COLBORNE")</f>
        <v>COLBORNE</v>
      </c>
      <c r="D3293" s="3" t="str">
        <f>IFERROR(__xludf.DUMMYFUNCTION("""COMPUTED_VALUE"""),"K0K 1S0")</f>
        <v>K0K 1S0</v>
      </c>
      <c r="E3293" s="3" t="str">
        <f>IFERROR(__xludf.DUMMYFUNCTION("""COMPUTED_VALUE"""),"shawn miller ")</f>
        <v>shawn miller </v>
      </c>
      <c r="F3293" s="3" t="str">
        <f>IFERROR(__xludf.DUMMYFUNCTION("""COMPUTED_VALUE"""),"smiller04@gmail.com")</f>
        <v>smiller04@gmail.com</v>
      </c>
      <c r="G3293" s="3">
        <f>IFERROR(__xludf.DUMMYFUNCTION("""COMPUTED_VALUE"""),6.133312398E9)</f>
        <v>6133312398</v>
      </c>
      <c r="H3293" s="3"/>
    </row>
    <row r="3294">
      <c r="A3294" s="2">
        <f>IFERROR(__xludf.DUMMYFUNCTION("""COMPUTED_VALUE"""),40398.0)</f>
        <v>40398</v>
      </c>
      <c r="B3294" s="3" t="str">
        <f>IFERROR(__xludf.DUMMYFUNCTION("""COMPUTED_VALUE"""),"11642 COUNTY RD 2")</f>
        <v>11642 COUNTY RD 2</v>
      </c>
      <c r="C3294" s="3" t="str">
        <f>IFERROR(__xludf.DUMMYFUNCTION("""COMPUTED_VALUE"""),"COLBORNE")</f>
        <v>COLBORNE</v>
      </c>
      <c r="D3294" s="3" t="str">
        <f>IFERROR(__xludf.DUMMYFUNCTION("""COMPUTED_VALUE"""),"K0K 1S0")</f>
        <v>K0K 1S0</v>
      </c>
      <c r="E3294" s="3" t="str">
        <f>IFERROR(__xludf.DUMMYFUNCTION("""COMPUTED_VALUE"""),"robert carter ")</f>
        <v>robert carter </v>
      </c>
      <c r="F3294" s="3"/>
      <c r="G3294" s="3">
        <f>IFERROR(__xludf.DUMMYFUNCTION("""COMPUTED_VALUE"""),9.053491078E9)</f>
        <v>9053491078</v>
      </c>
      <c r="H3294" s="3">
        <f>IFERROR(__xludf.DUMMYFUNCTION("""COMPUTED_VALUE"""),9.143726819E9)</f>
        <v>9143726819</v>
      </c>
    </row>
    <row r="3295">
      <c r="A3295" s="2">
        <f>IFERROR(__xludf.DUMMYFUNCTION("""COMPUTED_VALUE"""),40399.0)</f>
        <v>40399</v>
      </c>
      <c r="B3295" s="3" t="str">
        <f>IFERROR(__xludf.DUMMYFUNCTION("""COMPUTED_VALUE"""),"11673 COUNTY RD 2")</f>
        <v>11673 COUNTY RD 2</v>
      </c>
      <c r="C3295" s="3" t="str">
        <f>IFERROR(__xludf.DUMMYFUNCTION("""COMPUTED_VALUE"""),"COLBORNE")</f>
        <v>COLBORNE</v>
      </c>
      <c r="D3295" s="3" t="str">
        <f>IFERROR(__xludf.DUMMYFUNCTION("""COMPUTED_VALUE"""),"K0K 1S0")</f>
        <v>K0K 1S0</v>
      </c>
      <c r="E3295" s="3"/>
      <c r="F3295" s="3"/>
      <c r="G3295" s="3"/>
      <c r="H3295" s="3"/>
    </row>
    <row r="3296">
      <c r="A3296" s="2">
        <f>IFERROR(__xludf.DUMMYFUNCTION("""COMPUTED_VALUE"""),40400.0)</f>
        <v>40400</v>
      </c>
      <c r="B3296" s="3" t="str">
        <f>IFERROR(__xludf.DUMMYFUNCTION("""COMPUTED_VALUE"""),"11682 COUNTY RD 2")</f>
        <v>11682 COUNTY RD 2</v>
      </c>
      <c r="C3296" s="3" t="str">
        <f>IFERROR(__xludf.DUMMYFUNCTION("""COMPUTED_VALUE"""),"COLBORNE")</f>
        <v>COLBORNE</v>
      </c>
      <c r="D3296" s="3" t="str">
        <f>IFERROR(__xludf.DUMMYFUNCTION("""COMPUTED_VALUE"""),"K0K 1S0")</f>
        <v>K0K 1S0</v>
      </c>
      <c r="E3296" s="3"/>
      <c r="F3296" s="3"/>
      <c r="G3296" s="3"/>
      <c r="H3296" s="3"/>
    </row>
    <row r="3297">
      <c r="A3297" s="2">
        <f>IFERROR(__xludf.DUMMYFUNCTION("""COMPUTED_VALUE"""),41307.0)</f>
        <v>41307</v>
      </c>
      <c r="B3297" s="3" t="str">
        <f>IFERROR(__xludf.DUMMYFUNCTION("""COMPUTED_VALUE"""),"11687 COUNTY RD 2")</f>
        <v>11687 COUNTY RD 2</v>
      </c>
      <c r="C3297" s="3" t="str">
        <f>IFERROR(__xludf.DUMMYFUNCTION("""COMPUTED_VALUE"""),"COLBORNE")</f>
        <v>COLBORNE</v>
      </c>
      <c r="D3297" s="3" t="str">
        <f>IFERROR(__xludf.DUMMYFUNCTION("""COMPUTED_VALUE"""),"K0K 1S0")</f>
        <v>K0K 1S0</v>
      </c>
      <c r="E3297" s="3" t="str">
        <f>IFERROR(__xludf.DUMMYFUNCTION("""COMPUTED_VALUE"""),"David Knight")</f>
        <v>David Knight</v>
      </c>
      <c r="F3297" s="3" t="str">
        <f>IFERROR(__xludf.DUMMYFUNCTION("""COMPUTED_VALUE"""),"davidk@knights-appleden.ca")</f>
        <v>davidk@knights-appleden.ca</v>
      </c>
      <c r="G3297" s="3">
        <f>IFERROR(__xludf.DUMMYFUNCTION("""COMPUTED_VALUE"""),9.053761831E9)</f>
        <v>9053761831</v>
      </c>
      <c r="H3297" s="3"/>
    </row>
    <row r="3298">
      <c r="A3298" s="2">
        <f>IFERROR(__xludf.DUMMYFUNCTION("""COMPUTED_VALUE"""),40401.0)</f>
        <v>40401</v>
      </c>
      <c r="B3298" s="3" t="str">
        <f>IFERROR(__xludf.DUMMYFUNCTION("""COMPUTED_VALUE"""),"11719 COUNTY RD 2")</f>
        <v>11719 COUNTY RD 2</v>
      </c>
      <c r="C3298" s="3" t="str">
        <f>IFERROR(__xludf.DUMMYFUNCTION("""COMPUTED_VALUE"""),"COLBORNE")</f>
        <v>COLBORNE</v>
      </c>
      <c r="D3298" s="3" t="str">
        <f>IFERROR(__xludf.DUMMYFUNCTION("""COMPUTED_VALUE"""),"K0K 1S0")</f>
        <v>K0K 1S0</v>
      </c>
      <c r="E3298" s="3"/>
      <c r="F3298" s="3"/>
      <c r="G3298" s="3"/>
      <c r="H3298" s="3"/>
    </row>
    <row r="3299">
      <c r="A3299" s="2">
        <f>IFERROR(__xludf.DUMMYFUNCTION("""COMPUTED_VALUE"""),40402.0)</f>
        <v>40402</v>
      </c>
      <c r="B3299" s="3" t="str">
        <f>IFERROR(__xludf.DUMMYFUNCTION("""COMPUTED_VALUE"""),"11735 COUNTY RD 2")</f>
        <v>11735 COUNTY RD 2</v>
      </c>
      <c r="C3299" s="3" t="str">
        <f>IFERROR(__xludf.DUMMYFUNCTION("""COMPUTED_VALUE"""),"COLBORNE")</f>
        <v>COLBORNE</v>
      </c>
      <c r="D3299" s="3" t="str">
        <f>IFERROR(__xludf.DUMMYFUNCTION("""COMPUTED_VALUE"""),"K0K 1S0")</f>
        <v>K0K 1S0</v>
      </c>
      <c r="E3299" s="3"/>
      <c r="F3299" s="3"/>
      <c r="G3299" s="3"/>
      <c r="H3299" s="3"/>
    </row>
    <row r="3300">
      <c r="A3300" s="2">
        <f>IFERROR(__xludf.DUMMYFUNCTION("""COMPUTED_VALUE"""),40403.0)</f>
        <v>40403</v>
      </c>
      <c r="B3300" s="3" t="str">
        <f>IFERROR(__xludf.DUMMYFUNCTION("""COMPUTED_VALUE"""),"11758 COUNTY RD 2")</f>
        <v>11758 COUNTY RD 2</v>
      </c>
      <c r="C3300" s="3" t="str">
        <f>IFERROR(__xludf.DUMMYFUNCTION("""COMPUTED_VALUE"""),"COLBORNE")</f>
        <v>COLBORNE</v>
      </c>
      <c r="D3300" s="3" t="str">
        <f>IFERROR(__xludf.DUMMYFUNCTION("""COMPUTED_VALUE"""),"K0K 1S0")</f>
        <v>K0K 1S0</v>
      </c>
      <c r="E3300" s="3"/>
      <c r="F3300" s="3"/>
      <c r="G3300" s="3"/>
      <c r="H3300" s="3"/>
    </row>
    <row r="3301">
      <c r="A3301" s="2">
        <f>IFERROR(__xludf.DUMMYFUNCTION("""COMPUTED_VALUE"""),40404.0)</f>
        <v>40404</v>
      </c>
      <c r="B3301" s="3" t="str">
        <f>IFERROR(__xludf.DUMMYFUNCTION("""COMPUTED_VALUE"""),"11830 COUNTY RD 2")</f>
        <v>11830 COUNTY RD 2</v>
      </c>
      <c r="C3301" s="3" t="str">
        <f>IFERROR(__xludf.DUMMYFUNCTION("""COMPUTED_VALUE"""),"COLBORNE")</f>
        <v>COLBORNE</v>
      </c>
      <c r="D3301" s="3" t="str">
        <f>IFERROR(__xludf.DUMMYFUNCTION("""COMPUTED_VALUE"""),"K0K 1S0")</f>
        <v>K0K 1S0</v>
      </c>
      <c r="E3301" s="3" t="str">
        <f>IFERROR(__xludf.DUMMYFUNCTION("""COMPUTED_VALUE"""),"tom osinga ")</f>
        <v>tom osinga </v>
      </c>
      <c r="F3301" s="3"/>
      <c r="G3301" s="3">
        <f>IFERROR(__xludf.DUMMYFUNCTION("""COMPUTED_VALUE"""),9.053966418E9)</f>
        <v>9053966418</v>
      </c>
      <c r="H3301" s="3"/>
    </row>
    <row r="3302">
      <c r="A3302" s="2">
        <f>IFERROR(__xludf.DUMMYFUNCTION("""COMPUTED_VALUE"""),40405.0)</f>
        <v>40405</v>
      </c>
      <c r="B3302" s="3" t="str">
        <f>IFERROR(__xludf.DUMMYFUNCTION("""COMPUTED_VALUE"""),"11891 COUNTY RD 2")</f>
        <v>11891 COUNTY RD 2</v>
      </c>
      <c r="C3302" s="3" t="str">
        <f>IFERROR(__xludf.DUMMYFUNCTION("""COMPUTED_VALUE"""),"COLBORNE")</f>
        <v>COLBORNE</v>
      </c>
      <c r="D3302" s="3" t="str">
        <f>IFERROR(__xludf.DUMMYFUNCTION("""COMPUTED_VALUE"""),"K0K 1S0")</f>
        <v>K0K 1S0</v>
      </c>
      <c r="E3302" s="3" t="str">
        <f>IFERROR(__xludf.DUMMYFUNCTION("""COMPUTED_VALUE"""),"Gord M Speares")</f>
        <v>Gord M Speares</v>
      </c>
      <c r="F3302" s="3" t="str">
        <f>IFERROR(__xludf.DUMMYFUNCTION("""COMPUTED_VALUE"""),"gordspeares@gmail.com")</f>
        <v>gordspeares@gmail.com</v>
      </c>
      <c r="G3302" s="3"/>
      <c r="H3302" s="3"/>
    </row>
    <row r="3303">
      <c r="A3303" s="2">
        <f>IFERROR(__xludf.DUMMYFUNCTION("""COMPUTED_VALUE"""),40406.0)</f>
        <v>40406</v>
      </c>
      <c r="B3303" s="3" t="str">
        <f>IFERROR(__xludf.DUMMYFUNCTION("""COMPUTED_VALUE"""),"11922 COUNTY RD 2")</f>
        <v>11922 COUNTY RD 2</v>
      </c>
      <c r="C3303" s="3" t="str">
        <f>IFERROR(__xludf.DUMMYFUNCTION("""COMPUTED_VALUE"""),"COLBORNE")</f>
        <v>COLBORNE</v>
      </c>
      <c r="D3303" s="3" t="str">
        <f>IFERROR(__xludf.DUMMYFUNCTION("""COMPUTED_VALUE"""),"K0K 1S0")</f>
        <v>K0K 1S0</v>
      </c>
      <c r="E3303" s="3"/>
      <c r="F3303" s="3"/>
      <c r="G3303" s="3"/>
      <c r="H3303" s="3"/>
    </row>
    <row r="3304">
      <c r="A3304" s="2">
        <f>IFERROR(__xludf.DUMMYFUNCTION("""COMPUTED_VALUE"""),40407.0)</f>
        <v>40407</v>
      </c>
      <c r="B3304" s="3" t="str">
        <f>IFERROR(__xludf.DUMMYFUNCTION("""COMPUTED_VALUE"""),"11926 COUNTY RD 2")</f>
        <v>11926 COUNTY RD 2</v>
      </c>
      <c r="C3304" s="3" t="str">
        <f>IFERROR(__xludf.DUMMYFUNCTION("""COMPUTED_VALUE"""),"COLBORNE")</f>
        <v>COLBORNE</v>
      </c>
      <c r="D3304" s="3" t="str">
        <f>IFERROR(__xludf.DUMMYFUNCTION("""COMPUTED_VALUE"""),"K0K 1S0")</f>
        <v>K0K 1S0</v>
      </c>
      <c r="E3304" s="3"/>
      <c r="F3304" s="3"/>
      <c r="G3304" s="3"/>
      <c r="H3304" s="3"/>
    </row>
    <row r="3305">
      <c r="A3305" s="2">
        <f>IFERROR(__xludf.DUMMYFUNCTION("""COMPUTED_VALUE"""),40408.0)</f>
        <v>40408</v>
      </c>
      <c r="B3305" s="3" t="str">
        <f>IFERROR(__xludf.DUMMYFUNCTION("""COMPUTED_VALUE"""),"12006 COUNTY RD 2")</f>
        <v>12006 COUNTY RD 2</v>
      </c>
      <c r="C3305" s="3" t="str">
        <f>IFERROR(__xludf.DUMMYFUNCTION("""COMPUTED_VALUE"""),"COLBORNE")</f>
        <v>COLBORNE</v>
      </c>
      <c r="D3305" s="3" t="str">
        <f>IFERROR(__xludf.DUMMYFUNCTION("""COMPUTED_VALUE"""),"K0K 1S0")</f>
        <v>K0K 1S0</v>
      </c>
      <c r="E3305" s="3" t="str">
        <f>IFERROR(__xludf.DUMMYFUNCTION("""COMPUTED_VALUE"""),"bruce curtis ")</f>
        <v>bruce curtis </v>
      </c>
      <c r="F3305" s="3" t="str">
        <f>IFERROR(__xludf.DUMMYFUNCTION("""COMPUTED_VALUE"""),"bc@eagle.ca")</f>
        <v>bc@eagle.ca</v>
      </c>
      <c r="G3305" s="3">
        <f>IFERROR(__xludf.DUMMYFUNCTION("""COMPUTED_VALUE"""),9.053732628E9)</f>
        <v>9053732628</v>
      </c>
      <c r="H3305" s="3"/>
    </row>
    <row r="3306">
      <c r="A3306" s="2">
        <f>IFERROR(__xludf.DUMMYFUNCTION("""COMPUTED_VALUE"""),40409.0)</f>
        <v>40409</v>
      </c>
      <c r="B3306" s="3" t="str">
        <f>IFERROR(__xludf.DUMMYFUNCTION("""COMPUTED_VALUE"""),"12054 COUNTY RD 2")</f>
        <v>12054 COUNTY RD 2</v>
      </c>
      <c r="C3306" s="3" t="str">
        <f>IFERROR(__xludf.DUMMYFUNCTION("""COMPUTED_VALUE"""),"COLBORNE")</f>
        <v>COLBORNE</v>
      </c>
      <c r="D3306" s="3" t="str">
        <f>IFERROR(__xludf.DUMMYFUNCTION("""COMPUTED_VALUE"""),"K0K 1S0")</f>
        <v>K0K 1S0</v>
      </c>
      <c r="E3306" s="3" t="str">
        <f>IFERROR(__xludf.DUMMYFUNCTION("""COMPUTED_VALUE"""),"Brent Heron")</f>
        <v>Brent Heron</v>
      </c>
      <c r="F3306" s="3" t="str">
        <f>IFERROR(__xludf.DUMMYFUNCTION("""COMPUTED_VALUE"""),"brheron@hotmail.com")</f>
        <v>brheron@hotmail.com</v>
      </c>
      <c r="G3306" s="3">
        <f>IFERROR(__xludf.DUMMYFUNCTION("""COMPUTED_VALUE"""),9.053759824E9)</f>
        <v>9053759824</v>
      </c>
      <c r="H3306" s="3"/>
    </row>
    <row r="3307">
      <c r="A3307" s="2">
        <f>IFERROR(__xludf.DUMMYFUNCTION("""COMPUTED_VALUE"""),40410.0)</f>
        <v>40410</v>
      </c>
      <c r="B3307" s="3" t="str">
        <f>IFERROR(__xludf.DUMMYFUNCTION("""COMPUTED_VALUE"""),"12085 COUNTY RD 2")</f>
        <v>12085 COUNTY RD 2</v>
      </c>
      <c r="C3307" s="3" t="str">
        <f>IFERROR(__xludf.DUMMYFUNCTION("""COMPUTED_VALUE"""),"COLBORNE")</f>
        <v>COLBORNE</v>
      </c>
      <c r="D3307" s="3" t="str">
        <f>IFERROR(__xludf.DUMMYFUNCTION("""COMPUTED_VALUE"""),"K0K 1S0")</f>
        <v>K0K 1S0</v>
      </c>
      <c r="E3307" s="3"/>
      <c r="F3307" s="3"/>
      <c r="G3307" s="3"/>
      <c r="H3307" s="3"/>
    </row>
    <row r="3308">
      <c r="A3308" s="2">
        <f>IFERROR(__xludf.DUMMYFUNCTION("""COMPUTED_VALUE"""),40411.0)</f>
        <v>40411</v>
      </c>
      <c r="B3308" s="3" t="str">
        <f>IFERROR(__xludf.DUMMYFUNCTION("""COMPUTED_VALUE"""),"12170 COUNTY RD 2")</f>
        <v>12170 COUNTY RD 2</v>
      </c>
      <c r="C3308" s="3" t="str">
        <f>IFERROR(__xludf.DUMMYFUNCTION("""COMPUTED_VALUE"""),"COLBORNE")</f>
        <v>COLBORNE</v>
      </c>
      <c r="D3308" s="3" t="str">
        <f>IFERROR(__xludf.DUMMYFUNCTION("""COMPUTED_VALUE"""),"K0K 1S0")</f>
        <v>K0K 1S0</v>
      </c>
      <c r="E3308" s="3" t="str">
        <f>IFERROR(__xludf.DUMMYFUNCTION("""COMPUTED_VALUE"""),"makayla martin")</f>
        <v>makayla martin</v>
      </c>
      <c r="F3308" s="3" t="str">
        <f>IFERROR(__xludf.DUMMYFUNCTION("""COMPUTED_VALUE"""),"hayleymartin121@gmail.com")</f>
        <v>hayleymartin121@gmail.com</v>
      </c>
      <c r="G3308" s="3">
        <f>IFERROR(__xludf.DUMMYFUNCTION("""COMPUTED_VALUE"""),9.053925448E9)</f>
        <v>9053925448</v>
      </c>
      <c r="H3308" s="3"/>
    </row>
    <row r="3309">
      <c r="A3309" s="2">
        <f>IFERROR(__xludf.DUMMYFUNCTION("""COMPUTED_VALUE"""),40412.0)</f>
        <v>40412</v>
      </c>
      <c r="B3309" s="3" t="str">
        <f>IFERROR(__xludf.DUMMYFUNCTION("""COMPUTED_VALUE"""),"12200 COUNTY RD 2")</f>
        <v>12200 COUNTY RD 2</v>
      </c>
      <c r="C3309" s="3" t="str">
        <f>IFERROR(__xludf.DUMMYFUNCTION("""COMPUTED_VALUE"""),"COLBORNE")</f>
        <v>COLBORNE</v>
      </c>
      <c r="D3309" s="3" t="str">
        <f>IFERROR(__xludf.DUMMYFUNCTION("""COMPUTED_VALUE"""),"K0K 1S0")</f>
        <v>K0K 1S0</v>
      </c>
      <c r="E3309" s="3" t="str">
        <f>IFERROR(__xludf.DUMMYFUNCTION("""COMPUTED_VALUE"""),"Tania costa")</f>
        <v>Tania costa</v>
      </c>
      <c r="F3309" s="3" t="str">
        <f>IFERROR(__xludf.DUMMYFUNCTION("""COMPUTED_VALUE"""),"caninewellness2@gmail.com")</f>
        <v>caninewellness2@gmail.com</v>
      </c>
      <c r="G3309" s="3">
        <f>IFERROR(__xludf.DUMMYFUNCTION("""COMPUTED_VALUE"""),4.164667972E9)</f>
        <v>4164667972</v>
      </c>
      <c r="H3309" s="3"/>
    </row>
    <row r="3310">
      <c r="A3310" s="2">
        <f>IFERROR(__xludf.DUMMYFUNCTION("""COMPUTED_VALUE"""),40413.0)</f>
        <v>40413</v>
      </c>
      <c r="B3310" s="3" t="str">
        <f>IFERROR(__xludf.DUMMYFUNCTION("""COMPUTED_VALUE"""),"12224 COUNTY RD 2")</f>
        <v>12224 COUNTY RD 2</v>
      </c>
      <c r="C3310" s="3" t="str">
        <f>IFERROR(__xludf.DUMMYFUNCTION("""COMPUTED_VALUE"""),"COLBORNE")</f>
        <v>COLBORNE</v>
      </c>
      <c r="D3310" s="3" t="str">
        <f>IFERROR(__xludf.DUMMYFUNCTION("""COMPUTED_VALUE"""),"K0K 1S0")</f>
        <v>K0K 1S0</v>
      </c>
      <c r="E3310" s="3" t="str">
        <f>IFERROR(__xludf.DUMMYFUNCTION("""COMPUTED_VALUE"""),"penny arbourne")</f>
        <v>penny arbourne</v>
      </c>
      <c r="F3310" s="3"/>
      <c r="G3310" s="3">
        <f>IFERROR(__xludf.DUMMYFUNCTION("""COMPUTED_VALUE"""),9.053757233E9)</f>
        <v>9053757233</v>
      </c>
      <c r="H3310" s="3"/>
    </row>
    <row r="3311">
      <c r="A3311" s="2">
        <f>IFERROR(__xludf.DUMMYFUNCTION("""COMPUTED_VALUE"""),40414.0)</f>
        <v>40414</v>
      </c>
      <c r="B3311" s="3" t="str">
        <f>IFERROR(__xludf.DUMMYFUNCTION("""COMPUTED_VALUE"""),"12269 COUNTY RD 2")</f>
        <v>12269 COUNTY RD 2</v>
      </c>
      <c r="C3311" s="3" t="str">
        <f>IFERROR(__xludf.DUMMYFUNCTION("""COMPUTED_VALUE"""),"COLBORNE")</f>
        <v>COLBORNE</v>
      </c>
      <c r="D3311" s="3" t="str">
        <f>IFERROR(__xludf.DUMMYFUNCTION("""COMPUTED_VALUE"""),"K0K 1S0")</f>
        <v>K0K 1S0</v>
      </c>
      <c r="E3311" s="3" t="str">
        <f>IFERROR(__xludf.DUMMYFUNCTION("""COMPUTED_VALUE"""),"lynne abbott")</f>
        <v>lynne abbott</v>
      </c>
      <c r="F3311" s="3" t="str">
        <f>IFERROR(__xludf.DUMMYFUNCTION("""COMPUTED_VALUE"""),"ljabbott@live.ca")</f>
        <v>ljabbott@live.ca</v>
      </c>
      <c r="G3311" s="3">
        <f>IFERROR(__xludf.DUMMYFUNCTION("""COMPUTED_VALUE"""),9.053555532E9)</f>
        <v>9053555532</v>
      </c>
      <c r="H3311" s="3"/>
    </row>
    <row r="3312">
      <c r="A3312" s="2">
        <f>IFERROR(__xludf.DUMMYFUNCTION("""COMPUTED_VALUE"""),40415.0)</f>
        <v>40415</v>
      </c>
      <c r="B3312" s="3" t="str">
        <f>IFERROR(__xludf.DUMMYFUNCTION("""COMPUTED_VALUE"""),"12278 COUNTY RD 2")</f>
        <v>12278 COUNTY RD 2</v>
      </c>
      <c r="C3312" s="3" t="str">
        <f>IFERROR(__xludf.DUMMYFUNCTION("""COMPUTED_VALUE"""),"COLBORNE")</f>
        <v>COLBORNE</v>
      </c>
      <c r="D3312" s="3" t="str">
        <f>IFERROR(__xludf.DUMMYFUNCTION("""COMPUTED_VALUE"""),"K0K 1S0")</f>
        <v>K0K 1S0</v>
      </c>
      <c r="E3312" s="3"/>
      <c r="F3312" s="3"/>
      <c r="G3312" s="3"/>
      <c r="H3312" s="3"/>
    </row>
    <row r="3313">
      <c r="A3313" s="2">
        <f>IFERROR(__xludf.DUMMYFUNCTION("""COMPUTED_VALUE"""),40416.0)</f>
        <v>40416</v>
      </c>
      <c r="B3313" s="3" t="str">
        <f>IFERROR(__xludf.DUMMYFUNCTION("""COMPUTED_VALUE"""),"12304 COUNTY RD 2")</f>
        <v>12304 COUNTY RD 2</v>
      </c>
      <c r="C3313" s="3" t="str">
        <f>IFERROR(__xludf.DUMMYFUNCTION("""COMPUTED_VALUE"""),"COLBORNE")</f>
        <v>COLBORNE</v>
      </c>
      <c r="D3313" s="3" t="str">
        <f>IFERROR(__xludf.DUMMYFUNCTION("""COMPUTED_VALUE"""),"K0K 1S0")</f>
        <v>K0K 1S0</v>
      </c>
      <c r="E3313" s="3" t="str">
        <f>IFERROR(__xludf.DUMMYFUNCTION("""COMPUTED_VALUE"""),"kevin hadwen ")</f>
        <v>kevin hadwen </v>
      </c>
      <c r="F3313" s="3" t="str">
        <f>IFERROR(__xludf.DUMMYFUNCTION("""COMPUTED_VALUE"""),"khadwen@hotmall.com")</f>
        <v>khadwen@hotmall.com</v>
      </c>
      <c r="G3313" s="3">
        <f>IFERROR(__xludf.DUMMYFUNCTION("""COMPUTED_VALUE"""),2.897711238E9)</f>
        <v>2897711238</v>
      </c>
      <c r="H3313" s="3"/>
    </row>
    <row r="3314">
      <c r="A3314" s="2">
        <f>IFERROR(__xludf.DUMMYFUNCTION("""COMPUTED_VALUE"""),40417.0)</f>
        <v>40417</v>
      </c>
      <c r="B3314" s="3" t="str">
        <f>IFERROR(__xludf.DUMMYFUNCTION("""COMPUTED_VALUE"""),"12315 COUNTY ROAD 2")</f>
        <v>12315 COUNTY ROAD 2</v>
      </c>
      <c r="C3314" s="3" t="str">
        <f>IFERROR(__xludf.DUMMYFUNCTION("""COMPUTED_VALUE"""),"COLBORNE")</f>
        <v>COLBORNE</v>
      </c>
      <c r="D3314" s="3" t="str">
        <f>IFERROR(__xludf.DUMMYFUNCTION("""COMPUTED_VALUE"""),"K0K 1S0")</f>
        <v>K0K 1S0</v>
      </c>
      <c r="E3314" s="3" t="str">
        <f>IFERROR(__xludf.DUMMYFUNCTION("""COMPUTED_VALUE"""),"sarah macdonald")</f>
        <v>sarah macdonald</v>
      </c>
      <c r="F3314" s="3" t="str">
        <f>IFERROR(__xludf.DUMMYFUNCTION("""COMPUTED_VALUE"""),"sford9@live.ca")</f>
        <v>sford9@live.ca</v>
      </c>
      <c r="G3314" s="3">
        <f>IFERROR(__xludf.DUMMYFUNCTION("""COMPUTED_VALUE"""),9.052691576E9)</f>
        <v>9052691576</v>
      </c>
      <c r="H3314" s="3"/>
    </row>
    <row r="3315">
      <c r="A3315" s="2">
        <f>IFERROR(__xludf.DUMMYFUNCTION("""COMPUTED_VALUE"""),40418.0)</f>
        <v>40418</v>
      </c>
      <c r="B3315" s="3" t="str">
        <f>IFERROR(__xludf.DUMMYFUNCTION("""COMPUTED_VALUE"""),"12316 COUNTY RD 2")</f>
        <v>12316 COUNTY RD 2</v>
      </c>
      <c r="C3315" s="3" t="str">
        <f>IFERROR(__xludf.DUMMYFUNCTION("""COMPUTED_VALUE"""),"COLBORNE")</f>
        <v>COLBORNE</v>
      </c>
      <c r="D3315" s="3" t="str">
        <f>IFERROR(__xludf.DUMMYFUNCTION("""COMPUTED_VALUE"""),"K0K 1S0")</f>
        <v>K0K 1S0</v>
      </c>
      <c r="E3315" s="3"/>
      <c r="F3315" s="3"/>
      <c r="G3315" s="3"/>
      <c r="H3315" s="3"/>
    </row>
    <row r="3316">
      <c r="A3316" s="2">
        <f>IFERROR(__xludf.DUMMYFUNCTION("""COMPUTED_VALUE"""),40419.0)</f>
        <v>40419</v>
      </c>
      <c r="B3316" s="3" t="str">
        <f>IFERROR(__xludf.DUMMYFUNCTION("""COMPUTED_VALUE"""),"12324 COUNTY RD 2")</f>
        <v>12324 COUNTY RD 2</v>
      </c>
      <c r="C3316" s="3" t="str">
        <f>IFERROR(__xludf.DUMMYFUNCTION("""COMPUTED_VALUE"""),"COLBORNE")</f>
        <v>COLBORNE</v>
      </c>
      <c r="D3316" s="3" t="str">
        <f>IFERROR(__xludf.DUMMYFUNCTION("""COMPUTED_VALUE"""),"K0K 1S0")</f>
        <v>K0K 1S0</v>
      </c>
      <c r="E3316" s="3"/>
      <c r="F3316" s="3"/>
      <c r="G3316" s="3"/>
      <c r="H3316" s="3"/>
    </row>
    <row r="3317">
      <c r="A3317" s="2">
        <f>IFERROR(__xludf.DUMMYFUNCTION("""COMPUTED_VALUE"""),40420.0)</f>
        <v>40420</v>
      </c>
      <c r="B3317" s="3" t="str">
        <f>IFERROR(__xludf.DUMMYFUNCTION("""COMPUTED_VALUE"""),"12338 COUNTY RD 2 RD")</f>
        <v>12338 COUNTY RD 2 RD</v>
      </c>
      <c r="C3317" s="3" t="str">
        <f>IFERROR(__xludf.DUMMYFUNCTION("""COMPUTED_VALUE"""),"COLBORNE")</f>
        <v>COLBORNE</v>
      </c>
      <c r="D3317" s="3" t="str">
        <f>IFERROR(__xludf.DUMMYFUNCTION("""COMPUTED_VALUE"""),"K0K 1S0")</f>
        <v>K0K 1S0</v>
      </c>
      <c r="E3317" s="3"/>
      <c r="F3317" s="3"/>
      <c r="G3317" s="3"/>
      <c r="H3317" s="3"/>
    </row>
    <row r="3318">
      <c r="A3318" s="2">
        <f>IFERROR(__xludf.DUMMYFUNCTION("""COMPUTED_VALUE"""),40421.0)</f>
        <v>40421</v>
      </c>
      <c r="B3318" s="3" t="str">
        <f>IFERROR(__xludf.DUMMYFUNCTION("""COMPUTED_VALUE"""),"12342 COUNTY ROAD 2")</f>
        <v>12342 COUNTY ROAD 2</v>
      </c>
      <c r="C3318" s="3" t="str">
        <f>IFERROR(__xludf.DUMMYFUNCTION("""COMPUTED_VALUE"""),"COLBORNE")</f>
        <v>COLBORNE</v>
      </c>
      <c r="D3318" s="3" t="str">
        <f>IFERROR(__xludf.DUMMYFUNCTION("""COMPUTED_VALUE"""),"K0K 1S0")</f>
        <v>K0K 1S0</v>
      </c>
      <c r="E3318" s="3"/>
      <c r="F3318" s="3"/>
      <c r="G3318" s="3"/>
      <c r="H3318" s="3"/>
    </row>
    <row r="3319">
      <c r="A3319" s="2">
        <f>IFERROR(__xludf.DUMMYFUNCTION("""COMPUTED_VALUE"""),40422.0)</f>
        <v>40422</v>
      </c>
      <c r="B3319" s="3" t="str">
        <f>IFERROR(__xludf.DUMMYFUNCTION("""COMPUTED_VALUE"""),"12424 COUNTY RD 2")</f>
        <v>12424 COUNTY RD 2</v>
      </c>
      <c r="C3319" s="3" t="str">
        <f>IFERROR(__xludf.DUMMYFUNCTION("""COMPUTED_VALUE"""),"COLBORNE")</f>
        <v>COLBORNE</v>
      </c>
      <c r="D3319" s="3" t="str">
        <f>IFERROR(__xludf.DUMMYFUNCTION("""COMPUTED_VALUE"""),"K0K 1S0")</f>
        <v>K0K 1S0</v>
      </c>
      <c r="E3319" s="3" t="str">
        <f>IFERROR(__xludf.DUMMYFUNCTION("""COMPUTED_VALUE"""),"lorna fernandes")</f>
        <v>lorna fernandes</v>
      </c>
      <c r="F3319" s="3" t="str">
        <f>IFERROR(__xludf.DUMMYFUNCTION("""COMPUTED_VALUE"""),"lfernandes833@gmail.com")</f>
        <v>lfernandes833@gmail.com</v>
      </c>
      <c r="G3319" s="3">
        <f>IFERROR(__xludf.DUMMYFUNCTION("""COMPUTED_VALUE"""),9.053553307E9)</f>
        <v>9053553307</v>
      </c>
      <c r="H3319" s="3">
        <f>IFERROR(__xludf.DUMMYFUNCTION("""COMPUTED_VALUE"""),6.472293197E9)</f>
        <v>6472293197</v>
      </c>
    </row>
    <row r="3320">
      <c r="A3320" s="2">
        <f>IFERROR(__xludf.DUMMYFUNCTION("""COMPUTED_VALUE"""),40423.0)</f>
        <v>40423</v>
      </c>
      <c r="B3320" s="3" t="str">
        <f>IFERROR(__xludf.DUMMYFUNCTION("""COMPUTED_VALUE"""),"12480 COUNTY RD 2")</f>
        <v>12480 COUNTY RD 2</v>
      </c>
      <c r="C3320" s="3" t="str">
        <f>IFERROR(__xludf.DUMMYFUNCTION("""COMPUTED_VALUE"""),"COLBORNE")</f>
        <v>COLBORNE</v>
      </c>
      <c r="D3320" s="3" t="str">
        <f>IFERROR(__xludf.DUMMYFUNCTION("""COMPUTED_VALUE"""),"K0K 1S0")</f>
        <v>K0K 1S0</v>
      </c>
      <c r="E3320" s="3" t="str">
        <f>IFERROR(__xludf.DUMMYFUNCTION("""COMPUTED_VALUE"""),"aisha mjasiri")</f>
        <v>aisha mjasiri</v>
      </c>
      <c r="F3320" s="3" t="str">
        <f>IFERROR(__xludf.DUMMYFUNCTION("""COMPUTED_VALUE"""),"a_mjasiri@hotmail.com")</f>
        <v>a_mjasiri@hotmail.com</v>
      </c>
      <c r="G3320" s="3">
        <f>IFERROR(__xludf.DUMMYFUNCTION("""COMPUTED_VALUE"""),6.474039634E9)</f>
        <v>6474039634</v>
      </c>
      <c r="H3320" s="3"/>
    </row>
    <row r="3321">
      <c r="A3321" s="2">
        <f>IFERROR(__xludf.DUMMYFUNCTION("""COMPUTED_VALUE"""),40424.0)</f>
        <v>40424</v>
      </c>
      <c r="B3321" s="3" t="str">
        <f>IFERROR(__xludf.DUMMYFUNCTION("""COMPUTED_VALUE"""),"12506 COUNTY RD 2")</f>
        <v>12506 COUNTY RD 2</v>
      </c>
      <c r="C3321" s="3" t="str">
        <f>IFERROR(__xludf.DUMMYFUNCTION("""COMPUTED_VALUE"""),"COLBORNE")</f>
        <v>COLBORNE</v>
      </c>
      <c r="D3321" s="3" t="str">
        <f>IFERROR(__xludf.DUMMYFUNCTION("""COMPUTED_VALUE"""),"K0K 1S0")</f>
        <v>K0K 1S0</v>
      </c>
      <c r="E3321" s="3" t="str">
        <f>IFERROR(__xludf.DUMMYFUNCTION("""COMPUTED_VALUE"""),"mr sebastian v, cimetta ")</f>
        <v>mr sebastian v, cimetta </v>
      </c>
      <c r="F3321" s="3"/>
      <c r="G3321" s="3">
        <f>IFERROR(__xludf.DUMMYFUNCTION("""COMPUTED_VALUE"""),9.053553996E9)</f>
        <v>9053553996</v>
      </c>
      <c r="H3321" s="3"/>
    </row>
    <row r="3322">
      <c r="A3322" s="2">
        <f>IFERROR(__xludf.DUMMYFUNCTION("""COMPUTED_VALUE"""),40425.0)</f>
        <v>40425</v>
      </c>
      <c r="B3322" s="3" t="str">
        <f>IFERROR(__xludf.DUMMYFUNCTION("""COMPUTED_VALUE"""),"12552 COUNTY RD 2")</f>
        <v>12552 COUNTY RD 2</v>
      </c>
      <c r="C3322" s="3" t="str">
        <f>IFERROR(__xludf.DUMMYFUNCTION("""COMPUTED_VALUE"""),"COLBORNE")</f>
        <v>COLBORNE</v>
      </c>
      <c r="D3322" s="3" t="str">
        <f>IFERROR(__xludf.DUMMYFUNCTION("""COMPUTED_VALUE"""),"K0K 1S0")</f>
        <v>K0K 1S0</v>
      </c>
      <c r="E3322" s="3"/>
      <c r="F3322" s="3"/>
      <c r="G3322" s="3"/>
      <c r="H3322" s="3"/>
    </row>
    <row r="3323">
      <c r="A3323" s="2">
        <f>IFERROR(__xludf.DUMMYFUNCTION("""COMPUTED_VALUE"""),40426.0)</f>
        <v>40426</v>
      </c>
      <c r="B3323" s="3" t="str">
        <f>IFERROR(__xludf.DUMMYFUNCTION("""COMPUTED_VALUE"""),"12611 COUNTY RD 2")</f>
        <v>12611 COUNTY RD 2</v>
      </c>
      <c r="C3323" s="3" t="str">
        <f>IFERROR(__xludf.DUMMYFUNCTION("""COMPUTED_VALUE"""),"COLBORNE")</f>
        <v>COLBORNE</v>
      </c>
      <c r="D3323" s="3" t="str">
        <f>IFERROR(__xludf.DUMMYFUNCTION("""COMPUTED_VALUE"""),"K0K 1S0")</f>
        <v>K0K 1S0</v>
      </c>
      <c r="E3323" s="3"/>
      <c r="F3323" s="3"/>
      <c r="G3323" s="3"/>
      <c r="H3323" s="3"/>
    </row>
    <row r="3324">
      <c r="A3324" s="2">
        <f>IFERROR(__xludf.DUMMYFUNCTION("""COMPUTED_VALUE"""),40427.0)</f>
        <v>40427</v>
      </c>
      <c r="B3324" s="3" t="str">
        <f>IFERROR(__xludf.DUMMYFUNCTION("""COMPUTED_VALUE"""),"12612 COUNTY RD 2")</f>
        <v>12612 COUNTY RD 2</v>
      </c>
      <c r="C3324" s="3" t="str">
        <f>IFERROR(__xludf.DUMMYFUNCTION("""COMPUTED_VALUE"""),"COLBORNE")</f>
        <v>COLBORNE</v>
      </c>
      <c r="D3324" s="3" t="str">
        <f>IFERROR(__xludf.DUMMYFUNCTION("""COMPUTED_VALUE"""),"K0K 1S0")</f>
        <v>K0K 1S0</v>
      </c>
      <c r="E3324" s="3"/>
      <c r="F3324" s="3"/>
      <c r="G3324" s="3"/>
      <c r="H3324" s="3"/>
    </row>
    <row r="3325">
      <c r="A3325" s="2">
        <f>IFERROR(__xludf.DUMMYFUNCTION("""COMPUTED_VALUE"""),40428.0)</f>
        <v>40428</v>
      </c>
      <c r="B3325" s="3" t="str">
        <f>IFERROR(__xludf.DUMMYFUNCTION("""COMPUTED_VALUE"""),"12632 COUNTY RD 2")</f>
        <v>12632 COUNTY RD 2</v>
      </c>
      <c r="C3325" s="3" t="str">
        <f>IFERROR(__xludf.DUMMYFUNCTION("""COMPUTED_VALUE"""),"COLBORNE")</f>
        <v>COLBORNE</v>
      </c>
      <c r="D3325" s="3" t="str">
        <f>IFERROR(__xludf.DUMMYFUNCTION("""COMPUTED_VALUE"""),"K0K 1S0")</f>
        <v>K0K 1S0</v>
      </c>
      <c r="E3325" s="3" t="str">
        <f>IFERROR(__xludf.DUMMYFUNCTION("""COMPUTED_VALUE"""),"carl rose ")</f>
        <v>carl rose </v>
      </c>
      <c r="F3325" s="3"/>
      <c r="G3325" s="3">
        <f>IFERROR(__xludf.DUMMYFUNCTION("""COMPUTED_VALUE"""),9.053551143E9)</f>
        <v>9053551143</v>
      </c>
      <c r="H3325" s="3"/>
    </row>
    <row r="3326">
      <c r="A3326" s="2">
        <f>IFERROR(__xludf.DUMMYFUNCTION("""COMPUTED_VALUE"""),40429.0)</f>
        <v>40429</v>
      </c>
      <c r="B3326" s="3" t="str">
        <f>IFERROR(__xludf.DUMMYFUNCTION("""COMPUTED_VALUE"""),"12715 COUNTY RD 2")</f>
        <v>12715 COUNTY RD 2</v>
      </c>
      <c r="C3326" s="3" t="str">
        <f>IFERROR(__xludf.DUMMYFUNCTION("""COMPUTED_VALUE"""),"COLBORNE")</f>
        <v>COLBORNE</v>
      </c>
      <c r="D3326" s="3" t="str">
        <f>IFERROR(__xludf.DUMMYFUNCTION("""COMPUTED_VALUE"""),"K0K 1S0")</f>
        <v>K0K 1S0</v>
      </c>
      <c r="E3326" s="3" t="str">
        <f>IFERROR(__xludf.DUMMYFUNCTION("""COMPUTED_VALUE"""),"Philip Kelly")</f>
        <v>Philip Kelly</v>
      </c>
      <c r="F3326" s="3" t="str">
        <f>IFERROR(__xludf.DUMMYFUNCTION("""COMPUTED_VALUE"""),"bkgrandz10@gmail.com")</f>
        <v>bkgrandz10@gmail.com</v>
      </c>
      <c r="G3326" s="3">
        <f>IFERROR(__xludf.DUMMYFUNCTION("""COMPUTED_VALUE"""),9.053963205E9)</f>
        <v>9053963205</v>
      </c>
      <c r="H3326" s="3">
        <f>IFERROR(__xludf.DUMMYFUNCTION("""COMPUTED_VALUE"""),9.053960007E9)</f>
        <v>9053960007</v>
      </c>
    </row>
    <row r="3327">
      <c r="A3327" s="2">
        <f>IFERROR(__xludf.DUMMYFUNCTION("""COMPUTED_VALUE"""),40430.0)</f>
        <v>40430</v>
      </c>
      <c r="B3327" s="3" t="str">
        <f>IFERROR(__xludf.DUMMYFUNCTION("""COMPUTED_VALUE"""),"12718 COUNTY RD 2")</f>
        <v>12718 COUNTY RD 2</v>
      </c>
      <c r="C3327" s="3" t="str">
        <f>IFERROR(__xludf.DUMMYFUNCTION("""COMPUTED_VALUE"""),"COLBORNE")</f>
        <v>COLBORNE</v>
      </c>
      <c r="D3327" s="3" t="str">
        <f>IFERROR(__xludf.DUMMYFUNCTION("""COMPUTED_VALUE"""),"K0K 1S0")</f>
        <v>K0K 1S0</v>
      </c>
      <c r="E3327" s="3" t="str">
        <f>IFERROR(__xludf.DUMMYFUNCTION("""COMPUTED_VALUE"""),"Shane Chapman")</f>
        <v>Shane Chapman</v>
      </c>
      <c r="F3327" s="3" t="str">
        <f>IFERROR(__xludf.DUMMYFUNCTION("""COMPUTED_VALUE"""),"chappy162@hotmail.comm")</f>
        <v>chappy162@hotmail.comm</v>
      </c>
      <c r="G3327" s="3">
        <f>IFERROR(__xludf.DUMMYFUNCTION("""COMPUTED_VALUE"""),6.139220324E9)</f>
        <v>6139220324</v>
      </c>
      <c r="H3327" s="3"/>
    </row>
    <row r="3328">
      <c r="A3328" s="2">
        <f>IFERROR(__xludf.DUMMYFUNCTION("""COMPUTED_VALUE"""),40431.0)</f>
        <v>40431</v>
      </c>
      <c r="B3328" s="3" t="str">
        <f>IFERROR(__xludf.DUMMYFUNCTION("""COMPUTED_VALUE"""),"12722 COUNTY RD 2")</f>
        <v>12722 COUNTY RD 2</v>
      </c>
      <c r="C3328" s="3" t="str">
        <f>IFERROR(__xludf.DUMMYFUNCTION("""COMPUTED_VALUE"""),"COLBORNE")</f>
        <v>COLBORNE</v>
      </c>
      <c r="D3328" s="3" t="str">
        <f>IFERROR(__xludf.DUMMYFUNCTION("""COMPUTED_VALUE"""),"K0K 1S0")</f>
        <v>K0K 1S0</v>
      </c>
      <c r="E3328" s="3" t="str">
        <f>IFERROR(__xludf.DUMMYFUNCTION("""COMPUTED_VALUE"""),"Holly Hickman")</f>
        <v>Holly Hickman</v>
      </c>
      <c r="F3328" s="3" t="str">
        <f>IFERROR(__xludf.DUMMYFUNCTION("""COMPUTED_VALUE"""),"holla22holla@gmail.com")</f>
        <v>holla22holla@gmail.com</v>
      </c>
      <c r="G3328" s="3">
        <f>IFERROR(__xludf.DUMMYFUNCTION("""COMPUTED_VALUE"""),9.052074991E9)</f>
        <v>9052074991</v>
      </c>
      <c r="H3328" s="3"/>
    </row>
    <row r="3329">
      <c r="A3329" s="2">
        <f>IFERROR(__xludf.DUMMYFUNCTION("""COMPUTED_VALUE"""),40437.0)</f>
        <v>40437</v>
      </c>
      <c r="B3329" s="3" t="str">
        <f>IFERROR(__xludf.DUMMYFUNCTION("""COMPUTED_VALUE"""),"1476 PENTECOSTAL RD")</f>
        <v>1476 PENTECOSTAL RD</v>
      </c>
      <c r="C3329" s="3" t="str">
        <f>IFERROR(__xludf.DUMMYFUNCTION("""COMPUTED_VALUE"""),"COBOURG")</f>
        <v>COBOURG</v>
      </c>
      <c r="D3329" s="3" t="str">
        <f>IFERROR(__xludf.DUMMYFUNCTION("""COMPUTED_VALUE"""),"K9A 4J8")</f>
        <v>K9A 4J8</v>
      </c>
      <c r="E3329" s="3" t="str">
        <f>IFERROR(__xludf.DUMMYFUNCTION("""COMPUTED_VALUE"""),"Elliott Darbyshire")</f>
        <v>Elliott Darbyshire</v>
      </c>
      <c r="F3329" s="3" t="str">
        <f>IFERROR(__xludf.DUMMYFUNCTION("""COMPUTED_VALUE"""),"elliottadarbyshire@gmail.com")</f>
        <v>elliottadarbyshire@gmail.com</v>
      </c>
      <c r="G3329" s="3">
        <f>IFERROR(__xludf.DUMMYFUNCTION("""COMPUTED_VALUE"""),9.053759237E9)</f>
        <v>9053759237</v>
      </c>
      <c r="H3329" s="3"/>
    </row>
    <row r="3330">
      <c r="A3330" s="2">
        <f>IFERROR(__xludf.DUMMYFUNCTION("""COMPUTED_VALUE"""),40458.0)</f>
        <v>40458</v>
      </c>
      <c r="B3330" s="3" t="str">
        <f>IFERROR(__xludf.DUMMYFUNCTION("""COMPUTED_VALUE"""),"2081 CUNNINGHAM RD")</f>
        <v>2081 CUNNINGHAM RD</v>
      </c>
      <c r="C3330" s="3" t="str">
        <f>IFERROR(__xludf.DUMMYFUNCTION("""COMPUTED_VALUE"""),"COBOURG")</f>
        <v>COBOURG</v>
      </c>
      <c r="D3330" s="3" t="str">
        <f>IFERROR(__xludf.DUMMYFUNCTION("""COMPUTED_VALUE"""),"K9A 4J8")</f>
        <v>K9A 4J8</v>
      </c>
      <c r="E3330" s="3"/>
      <c r="F3330" s="3"/>
      <c r="G3330" s="3"/>
      <c r="H3330" s="3"/>
    </row>
    <row r="3331">
      <c r="A3331" s="2">
        <f>IFERROR(__xludf.DUMMYFUNCTION("""COMPUTED_VALUE"""),40459.0)</f>
        <v>40459</v>
      </c>
      <c r="B3331" s="3" t="str">
        <f>IFERROR(__xludf.DUMMYFUNCTION("""COMPUTED_VALUE"""),"2093 CUNNINGHAM RD")</f>
        <v>2093 CUNNINGHAM RD</v>
      </c>
      <c r="C3331" s="3" t="str">
        <f>IFERROR(__xludf.DUMMYFUNCTION("""COMPUTED_VALUE"""),"COBOURG")</f>
        <v>COBOURG</v>
      </c>
      <c r="D3331" s="3" t="str">
        <f>IFERROR(__xludf.DUMMYFUNCTION("""COMPUTED_VALUE"""),"K9A 4J8")</f>
        <v>K9A 4J8</v>
      </c>
      <c r="E3331" s="3"/>
      <c r="F3331" s="3"/>
      <c r="G3331" s="3"/>
      <c r="H3331" s="3"/>
    </row>
    <row r="3332">
      <c r="A3332" s="2">
        <f>IFERROR(__xludf.DUMMYFUNCTION("""COMPUTED_VALUE"""),40460.0)</f>
        <v>40460</v>
      </c>
      <c r="B3332" s="3" t="str">
        <f>IFERROR(__xludf.DUMMYFUNCTION("""COMPUTED_VALUE"""),"2103 CUNNINGHAM RD")</f>
        <v>2103 CUNNINGHAM RD</v>
      </c>
      <c r="C3332" s="3" t="str">
        <f>IFERROR(__xludf.DUMMYFUNCTION("""COMPUTED_VALUE"""),"COBOURG")</f>
        <v>COBOURG</v>
      </c>
      <c r="D3332" s="3" t="str">
        <f>IFERROR(__xludf.DUMMYFUNCTION("""COMPUTED_VALUE"""),"K9A 4J8")</f>
        <v>K9A 4J8</v>
      </c>
      <c r="E3332" s="3" t="str">
        <f>IFERROR(__xludf.DUMMYFUNCTION("""COMPUTED_VALUE"""),"Rajiv Andrew Parasramsingh")</f>
        <v>Rajiv Andrew Parasramsingh</v>
      </c>
      <c r="F3332" s="3" t="str">
        <f>IFERROR(__xludf.DUMMYFUNCTION("""COMPUTED_VALUE"""),"andrewpara77@gmail.com")</f>
        <v>andrewpara77@gmail.com</v>
      </c>
      <c r="G3332" s="3">
        <f>IFERROR(__xludf.DUMMYFUNCTION("""COMPUTED_VALUE"""),6.478525922E9)</f>
        <v>6478525922</v>
      </c>
      <c r="H3332" s="3">
        <f>IFERROR(__xludf.DUMMYFUNCTION("""COMPUTED_VALUE"""),2.863872436E9)</f>
        <v>2863872436</v>
      </c>
    </row>
    <row r="3333">
      <c r="A3333" s="2">
        <f>IFERROR(__xludf.DUMMYFUNCTION("""COMPUTED_VALUE"""),40461.0)</f>
        <v>40461</v>
      </c>
      <c r="B3333" s="3" t="str">
        <f>IFERROR(__xludf.DUMMYFUNCTION("""COMPUTED_VALUE"""),"2125 CUNNINGHAM RD")</f>
        <v>2125 CUNNINGHAM RD</v>
      </c>
      <c r="C3333" s="3" t="str">
        <f>IFERROR(__xludf.DUMMYFUNCTION("""COMPUTED_VALUE"""),"COBOURG")</f>
        <v>COBOURG</v>
      </c>
      <c r="D3333" s="3" t="str">
        <f>IFERROR(__xludf.DUMMYFUNCTION("""COMPUTED_VALUE"""),"K9A 4J8")</f>
        <v>K9A 4J8</v>
      </c>
      <c r="E3333" s="3"/>
      <c r="F3333" s="3"/>
      <c r="G3333" s="3"/>
      <c r="H3333" s="3"/>
    </row>
    <row r="3334">
      <c r="A3334" s="2">
        <f>IFERROR(__xludf.DUMMYFUNCTION("""COMPUTED_VALUE"""),40462.0)</f>
        <v>40462</v>
      </c>
      <c r="B3334" s="3" t="str">
        <f>IFERROR(__xludf.DUMMYFUNCTION("""COMPUTED_VALUE"""),"2174 CUNNINGHAM RD")</f>
        <v>2174 CUNNINGHAM RD</v>
      </c>
      <c r="C3334" s="3" t="str">
        <f>IFERROR(__xludf.DUMMYFUNCTION("""COMPUTED_VALUE"""),"COBOURG")</f>
        <v>COBOURG</v>
      </c>
      <c r="D3334" s="3" t="str">
        <f>IFERROR(__xludf.DUMMYFUNCTION("""COMPUTED_VALUE"""),"K9A 4J8")</f>
        <v>K9A 4J8</v>
      </c>
      <c r="E3334" s="3" t="str">
        <f>IFERROR(__xludf.DUMMYFUNCTION("""COMPUTED_VALUE"""),"wayne cunningham")</f>
        <v>wayne cunningham</v>
      </c>
      <c r="F3334" s="3" t="str">
        <f>IFERROR(__xludf.DUMMYFUNCTION("""COMPUTED_VALUE"""),"wayne.cst@gmail.com")</f>
        <v>wayne.cst@gmail.com</v>
      </c>
      <c r="G3334" s="3">
        <f>IFERROR(__xludf.DUMMYFUNCTION("""COMPUTED_VALUE"""),9.053729484E9)</f>
        <v>9053729484</v>
      </c>
      <c r="H3334" s="3"/>
    </row>
    <row r="3335">
      <c r="A3335" s="2">
        <f>IFERROR(__xludf.DUMMYFUNCTION("""COMPUTED_VALUE"""),40463.0)</f>
        <v>40463</v>
      </c>
      <c r="B3335" s="3" t="str">
        <f>IFERROR(__xludf.DUMMYFUNCTION("""COMPUTED_VALUE"""),"2177 CUNNINGHAM RD")</f>
        <v>2177 CUNNINGHAM RD</v>
      </c>
      <c r="C3335" s="3" t="str">
        <f>IFERROR(__xludf.DUMMYFUNCTION("""COMPUTED_VALUE"""),"COBOURG")</f>
        <v>COBOURG</v>
      </c>
      <c r="D3335" s="3" t="str">
        <f>IFERROR(__xludf.DUMMYFUNCTION("""COMPUTED_VALUE"""),"K9A 4J8")</f>
        <v>K9A 4J8</v>
      </c>
      <c r="E3335" s="3" t="str">
        <f>IFERROR(__xludf.DUMMYFUNCTION("""COMPUTED_VALUE"""),"michelle turgeon")</f>
        <v>michelle turgeon</v>
      </c>
      <c r="F3335" s="3" t="str">
        <f>IFERROR(__xludf.DUMMYFUNCTION("""COMPUTED_VALUE"""),"michelle.turgeon@intact.net")</f>
        <v>michelle.turgeon@intact.net</v>
      </c>
      <c r="G3335" s="3">
        <f>IFERROR(__xludf.DUMMYFUNCTION("""COMPUTED_VALUE"""),9.054491187E9)</f>
        <v>9054491187</v>
      </c>
      <c r="H3335" s="3"/>
    </row>
    <row r="3336">
      <c r="A3336" s="2">
        <f>IFERROR(__xludf.DUMMYFUNCTION("""COMPUTED_VALUE"""),40464.0)</f>
        <v>40464</v>
      </c>
      <c r="B3336" s="3" t="str">
        <f>IFERROR(__xludf.DUMMYFUNCTION("""COMPUTED_VALUE"""),"2200 CUNNINGHAM RD")</f>
        <v>2200 CUNNINGHAM RD</v>
      </c>
      <c r="C3336" s="3" t="str">
        <f>IFERROR(__xludf.DUMMYFUNCTION("""COMPUTED_VALUE"""),"COBOURG")</f>
        <v>COBOURG</v>
      </c>
      <c r="D3336" s="3" t="str">
        <f>IFERROR(__xludf.DUMMYFUNCTION("""COMPUTED_VALUE"""),"K9A 4J8")</f>
        <v>K9A 4J8</v>
      </c>
      <c r="E3336" s="3" t="str">
        <f>IFERROR(__xludf.DUMMYFUNCTION("""COMPUTED_VALUE"""),"dennis baxter ")</f>
        <v>dennis baxter </v>
      </c>
      <c r="F3336" s="3" t="str">
        <f>IFERROR(__xludf.DUMMYFUNCTION("""COMPUTED_VALUE"""),"denbaxter@hotmail.com")</f>
        <v>denbaxter@hotmail.com</v>
      </c>
      <c r="G3336" s="3">
        <f>IFERROR(__xludf.DUMMYFUNCTION("""COMPUTED_VALUE"""),9.05396828E9)</f>
        <v>9053968280</v>
      </c>
      <c r="H3336" s="3">
        <f>IFERROR(__xludf.DUMMYFUNCTION("""COMPUTED_VALUE"""),9.053763344E9)</f>
        <v>9053763344</v>
      </c>
    </row>
    <row r="3337">
      <c r="A3337" s="2">
        <f>IFERROR(__xludf.DUMMYFUNCTION("""COMPUTED_VALUE"""),40465.0)</f>
        <v>40465</v>
      </c>
      <c r="B3337" s="3" t="str">
        <f>IFERROR(__xludf.DUMMYFUNCTION("""COMPUTED_VALUE"""),"9234 DANFORTH RD")</f>
        <v>9234 DANFORTH RD</v>
      </c>
      <c r="C3337" s="3" t="str">
        <f>IFERROR(__xludf.DUMMYFUNCTION("""COMPUTED_VALUE"""),"COBOURG")</f>
        <v>COBOURG</v>
      </c>
      <c r="D3337" s="3" t="str">
        <f>IFERROR(__xludf.DUMMYFUNCTION("""COMPUTED_VALUE"""),"K9A 4J8")</f>
        <v>K9A 4J8</v>
      </c>
      <c r="E3337" s="3" t="str">
        <f>IFERROR(__xludf.DUMMYFUNCTION("""COMPUTED_VALUE"""),"PAULINE A. BAILEY")</f>
        <v>PAULINE A. BAILEY</v>
      </c>
      <c r="F3337" s="3" t="str">
        <f>IFERROR(__xludf.DUMMYFUNCTION("""COMPUTED_VALUE"""),"paulinebailey@mac.com")</f>
        <v>paulinebailey@mac.com</v>
      </c>
      <c r="G3337" s="3">
        <f>IFERROR(__xludf.DUMMYFUNCTION("""COMPUTED_VALUE"""),2.892518686E9)</f>
        <v>2892518686</v>
      </c>
      <c r="H3337" s="3"/>
    </row>
    <row r="3338">
      <c r="A3338" s="2">
        <f>IFERROR(__xludf.DUMMYFUNCTION("""COMPUTED_VALUE"""),40466.0)</f>
        <v>40466</v>
      </c>
      <c r="B3338" s="3" t="str">
        <f>IFERROR(__xludf.DUMMYFUNCTION("""COMPUTED_VALUE"""),"9245 DANFORTH RD")</f>
        <v>9245 DANFORTH RD</v>
      </c>
      <c r="C3338" s="3" t="str">
        <f>IFERROR(__xludf.DUMMYFUNCTION("""COMPUTED_VALUE"""),"COBOURG")</f>
        <v>COBOURG</v>
      </c>
      <c r="D3338" s="3" t="str">
        <f>IFERROR(__xludf.DUMMYFUNCTION("""COMPUTED_VALUE"""),"K9A 4J8")</f>
        <v>K9A 4J8</v>
      </c>
      <c r="E3338" s="3" t="str">
        <f>IFERROR(__xludf.DUMMYFUNCTION("""COMPUTED_VALUE"""),"jo davies ")</f>
        <v>jo davies </v>
      </c>
      <c r="F3338" s="3" t="str">
        <f>IFERROR(__xludf.DUMMYFUNCTION("""COMPUTED_VALUE"""),"cymrujo@hotmail.com")</f>
        <v>cymrujo@hotmail.com</v>
      </c>
      <c r="G3338" s="3">
        <f>IFERROR(__xludf.DUMMYFUNCTION("""COMPUTED_VALUE"""),6.476780104E9)</f>
        <v>6476780104</v>
      </c>
      <c r="H3338" s="3"/>
    </row>
    <row r="3339">
      <c r="A3339" s="2">
        <f>IFERROR(__xludf.DUMMYFUNCTION("""COMPUTED_VALUE"""),40467.0)</f>
        <v>40467</v>
      </c>
      <c r="B3339" s="3" t="str">
        <f>IFERROR(__xludf.DUMMYFUNCTION("""COMPUTED_VALUE"""),"9253 DANFORTH RD")</f>
        <v>9253 DANFORTH RD</v>
      </c>
      <c r="C3339" s="3" t="str">
        <f>IFERROR(__xludf.DUMMYFUNCTION("""COMPUTED_VALUE"""),"COBOURG")</f>
        <v>COBOURG</v>
      </c>
      <c r="D3339" s="3" t="str">
        <f>IFERROR(__xludf.DUMMYFUNCTION("""COMPUTED_VALUE"""),"K9A 4J8")</f>
        <v>K9A 4J8</v>
      </c>
      <c r="E3339" s="3" t="str">
        <f>IFERROR(__xludf.DUMMYFUNCTION("""COMPUTED_VALUE"""),"Gerald May")</f>
        <v>Gerald May</v>
      </c>
      <c r="F3339" s="3" t="str">
        <f>IFERROR(__xludf.DUMMYFUNCTION("""COMPUTED_VALUE"""),"thepartsranch@hotmail.com")</f>
        <v>thepartsranch@hotmail.com</v>
      </c>
      <c r="G3339" s="3">
        <f>IFERROR(__xludf.DUMMYFUNCTION("""COMPUTED_VALUE"""),9.052695972E9)</f>
        <v>9052695972</v>
      </c>
      <c r="H3339" s="3"/>
    </row>
    <row r="3340">
      <c r="A3340" s="2">
        <f>IFERROR(__xludf.DUMMYFUNCTION("""COMPUTED_VALUE"""),40468.0)</f>
        <v>40468</v>
      </c>
      <c r="B3340" s="3" t="str">
        <f>IFERROR(__xludf.DUMMYFUNCTION("""COMPUTED_VALUE"""),"9269 DANFORTH RD E")</f>
        <v>9269 DANFORTH RD E</v>
      </c>
      <c r="C3340" s="3" t="str">
        <f>IFERROR(__xludf.DUMMYFUNCTION("""COMPUTED_VALUE"""),"COBOURG")</f>
        <v>COBOURG</v>
      </c>
      <c r="D3340" s="3" t="str">
        <f>IFERROR(__xludf.DUMMYFUNCTION("""COMPUTED_VALUE"""),"K9A 4J8")</f>
        <v>K9A 4J8</v>
      </c>
      <c r="E3340" s="3" t="str">
        <f>IFERROR(__xludf.DUMMYFUNCTION("""COMPUTED_VALUE"""),"Cassie Bott-Baxter")</f>
        <v>Cassie Bott-Baxter</v>
      </c>
      <c r="F3340" s="3" t="str">
        <f>IFERROR(__xludf.DUMMYFUNCTION("""COMPUTED_VALUE"""),"cassiebott@gmail.com")</f>
        <v>cassiebott@gmail.com</v>
      </c>
      <c r="G3340" s="3"/>
      <c r="H3340" s="3"/>
    </row>
    <row r="3341">
      <c r="A3341" s="2">
        <f>IFERROR(__xludf.DUMMYFUNCTION("""COMPUTED_VALUE"""),40469.0)</f>
        <v>40469</v>
      </c>
      <c r="B3341" s="3" t="str">
        <f>IFERROR(__xludf.DUMMYFUNCTION("""COMPUTED_VALUE"""),"9278 DANFORTH RD")</f>
        <v>9278 DANFORTH RD</v>
      </c>
      <c r="C3341" s="3" t="str">
        <f>IFERROR(__xludf.DUMMYFUNCTION("""COMPUTED_VALUE"""),"COBOURG")</f>
        <v>COBOURG</v>
      </c>
      <c r="D3341" s="3" t="str">
        <f>IFERROR(__xludf.DUMMYFUNCTION("""COMPUTED_VALUE"""),"K9A 4J8")</f>
        <v>K9A 4J8</v>
      </c>
      <c r="E3341" s="3" t="str">
        <f>IFERROR(__xludf.DUMMYFUNCTION("""COMPUTED_VALUE"""),"dwight boyle")</f>
        <v>dwight boyle</v>
      </c>
      <c r="F3341" s="3" t="str">
        <f>IFERROR(__xludf.DUMMYFUNCTION("""COMPUTED_VALUE"""),"chantedera2913@gmail.com")</f>
        <v>chantedera2913@gmail.com</v>
      </c>
      <c r="G3341" s="3">
        <f>IFERROR(__xludf.DUMMYFUNCTION("""COMPUTED_VALUE"""),9.05396148E9)</f>
        <v>9053961480</v>
      </c>
      <c r="H3341" s="3"/>
    </row>
    <row r="3342">
      <c r="A3342" s="2">
        <f>IFERROR(__xludf.DUMMYFUNCTION("""COMPUTED_VALUE"""),40470.0)</f>
        <v>40470</v>
      </c>
      <c r="B3342" s="3" t="str">
        <f>IFERROR(__xludf.DUMMYFUNCTION("""COMPUTED_VALUE"""),"9281 DANFORTH RD")</f>
        <v>9281 DANFORTH RD</v>
      </c>
      <c r="C3342" s="3" t="str">
        <f>IFERROR(__xludf.DUMMYFUNCTION("""COMPUTED_VALUE"""),"COBOURG")</f>
        <v>COBOURG</v>
      </c>
      <c r="D3342" s="3" t="str">
        <f>IFERROR(__xludf.DUMMYFUNCTION("""COMPUTED_VALUE"""),"K9A 4J8")</f>
        <v>K9A 4J8</v>
      </c>
      <c r="E3342" s="3"/>
      <c r="F3342" s="3"/>
      <c r="G3342" s="3"/>
      <c r="H3342" s="3"/>
    </row>
    <row r="3343">
      <c r="A3343" s="2">
        <f>IFERROR(__xludf.DUMMYFUNCTION("""COMPUTED_VALUE"""),40471.0)</f>
        <v>40471</v>
      </c>
      <c r="B3343" s="3" t="str">
        <f>IFERROR(__xludf.DUMMYFUNCTION("""COMPUTED_VALUE"""),"9286 DANFORTH RD")</f>
        <v>9286 DANFORTH RD</v>
      </c>
      <c r="C3343" s="3" t="str">
        <f>IFERROR(__xludf.DUMMYFUNCTION("""COMPUTED_VALUE"""),"COBOURG")</f>
        <v>COBOURG</v>
      </c>
      <c r="D3343" s="3" t="str">
        <f>IFERROR(__xludf.DUMMYFUNCTION("""COMPUTED_VALUE"""),"K9A 4J8")</f>
        <v>K9A 4J8</v>
      </c>
      <c r="E3343" s="3" t="str">
        <f>IFERROR(__xludf.DUMMYFUNCTION("""COMPUTED_VALUE"""),"Shawn Hyma")</f>
        <v>Shawn Hyma</v>
      </c>
      <c r="F3343" s="3" t="str">
        <f>IFERROR(__xludf.DUMMYFUNCTION("""COMPUTED_VALUE"""),"shawn.hyma@gmail.com")</f>
        <v>shawn.hyma@gmail.com</v>
      </c>
      <c r="G3343" s="3">
        <f>IFERROR(__xludf.DUMMYFUNCTION("""COMPUTED_VALUE"""),9.053960834E9)</f>
        <v>9053960834</v>
      </c>
      <c r="H3343" s="3"/>
    </row>
    <row r="3344">
      <c r="A3344" s="2">
        <f>IFERROR(__xludf.DUMMYFUNCTION("""COMPUTED_VALUE"""),40472.0)</f>
        <v>40472</v>
      </c>
      <c r="B3344" s="3" t="str">
        <f>IFERROR(__xludf.DUMMYFUNCTION("""COMPUTED_VALUE"""),"9292 DANFORTH RD")</f>
        <v>9292 DANFORTH RD</v>
      </c>
      <c r="C3344" s="3" t="str">
        <f>IFERROR(__xludf.DUMMYFUNCTION("""COMPUTED_VALUE"""),"COBOURG")</f>
        <v>COBOURG</v>
      </c>
      <c r="D3344" s="3" t="str">
        <f>IFERROR(__xludf.DUMMYFUNCTION("""COMPUTED_VALUE"""),"K9A 4J8")</f>
        <v>K9A 4J8</v>
      </c>
      <c r="E3344" s="3" t="str">
        <f>IFERROR(__xludf.DUMMYFUNCTION("""COMPUTED_VALUE"""),"lucas charron ")</f>
        <v>lucas charron </v>
      </c>
      <c r="F3344" s="3"/>
      <c r="G3344" s="3">
        <f>IFERROR(__xludf.DUMMYFUNCTION("""COMPUTED_VALUE"""),9.052690023E9)</f>
        <v>9052690023</v>
      </c>
      <c r="H3344" s="3">
        <f>IFERROR(__xludf.DUMMYFUNCTION("""COMPUTED_VALUE"""),9.053736411E9)</f>
        <v>9053736411</v>
      </c>
    </row>
    <row r="3345">
      <c r="A3345" s="2">
        <f>IFERROR(__xludf.DUMMYFUNCTION("""COMPUTED_VALUE"""),40473.0)</f>
        <v>40473</v>
      </c>
      <c r="B3345" s="3" t="str">
        <f>IFERROR(__xludf.DUMMYFUNCTION("""COMPUTED_VALUE"""),"9297 DANFORTH RD")</f>
        <v>9297 DANFORTH RD</v>
      </c>
      <c r="C3345" s="3" t="str">
        <f>IFERROR(__xludf.DUMMYFUNCTION("""COMPUTED_VALUE"""),"COBOURG")</f>
        <v>COBOURG</v>
      </c>
      <c r="D3345" s="3" t="str">
        <f>IFERROR(__xludf.DUMMYFUNCTION("""COMPUTED_VALUE"""),"K9A 4J8")</f>
        <v>K9A 4J8</v>
      </c>
      <c r="E3345" s="3" t="str">
        <f>IFERROR(__xludf.DUMMYFUNCTION("""COMPUTED_VALUE"""),"reg dlore")</f>
        <v>reg dlore</v>
      </c>
      <c r="F3345" s="3" t="str">
        <f>IFERROR(__xludf.DUMMYFUNCTION("""COMPUTED_VALUE"""),"elderspama@gmail.com")</f>
        <v>elderspama@gmail.com</v>
      </c>
      <c r="G3345" s="3">
        <f>IFERROR(__xludf.DUMMYFUNCTION("""COMPUTED_VALUE"""),9.05269703E9)</f>
        <v>9052697030</v>
      </c>
      <c r="H3345" s="3">
        <f>IFERROR(__xludf.DUMMYFUNCTION("""COMPUTED_VALUE"""),9.052699276E9)</f>
        <v>9052699276</v>
      </c>
    </row>
    <row r="3346">
      <c r="A3346" s="2">
        <f>IFERROR(__xludf.DUMMYFUNCTION("""COMPUTED_VALUE"""),40474.0)</f>
        <v>40474</v>
      </c>
      <c r="B3346" s="3" t="str">
        <f>IFERROR(__xludf.DUMMYFUNCTION("""COMPUTED_VALUE"""),"9311 DANFORTH RD")</f>
        <v>9311 DANFORTH RD</v>
      </c>
      <c r="C3346" s="3" t="str">
        <f>IFERROR(__xludf.DUMMYFUNCTION("""COMPUTED_VALUE"""),"COBOURG")</f>
        <v>COBOURG</v>
      </c>
      <c r="D3346" s="3" t="str">
        <f>IFERROR(__xludf.DUMMYFUNCTION("""COMPUTED_VALUE"""),"K9A 4J8")</f>
        <v>K9A 4J8</v>
      </c>
      <c r="E3346" s="3" t="str">
        <f>IFERROR(__xludf.DUMMYFUNCTION("""COMPUTED_VALUE"""),"debbie butterly")</f>
        <v>debbie butterly</v>
      </c>
      <c r="F3346" s="3" t="str">
        <f>IFERROR(__xludf.DUMMYFUNCTION("""COMPUTED_VALUE"""),"dabsbuttery@hotmail.com")</f>
        <v>dabsbuttery@hotmail.com</v>
      </c>
      <c r="G3346" s="3">
        <f>IFERROR(__xludf.DUMMYFUNCTION("""COMPUTED_VALUE"""),9.053755346E9)</f>
        <v>9053755346</v>
      </c>
      <c r="H3346" s="3"/>
    </row>
    <row r="3347">
      <c r="A3347" s="2">
        <f>IFERROR(__xludf.DUMMYFUNCTION("""COMPUTED_VALUE"""),40475.0)</f>
        <v>40475</v>
      </c>
      <c r="B3347" s="3" t="str">
        <f>IFERROR(__xludf.DUMMYFUNCTION("""COMPUTED_VALUE"""),"9312 DANFORTH RD")</f>
        <v>9312 DANFORTH RD</v>
      </c>
      <c r="C3347" s="3" t="str">
        <f>IFERROR(__xludf.DUMMYFUNCTION("""COMPUTED_VALUE"""),"COBOURG")</f>
        <v>COBOURG</v>
      </c>
      <c r="D3347" s="3" t="str">
        <f>IFERROR(__xludf.DUMMYFUNCTION("""COMPUTED_VALUE"""),"K9A 4J8")</f>
        <v>K9A 4J8</v>
      </c>
      <c r="E3347" s="3" t="str">
        <f>IFERROR(__xludf.DUMMYFUNCTION("""COMPUTED_VALUE"""),"john vroegryk")</f>
        <v>john vroegryk</v>
      </c>
      <c r="F3347" s="3" t="str">
        <f>IFERROR(__xludf.DUMMYFUNCTION("""COMPUTED_VALUE"""),"john.vroegryk@gmail.com")</f>
        <v>john.vroegryk@gmail.com</v>
      </c>
      <c r="G3347" s="3">
        <f>IFERROR(__xludf.DUMMYFUNCTION("""COMPUTED_VALUE"""),2.896810185E9)</f>
        <v>2896810185</v>
      </c>
      <c r="H3347" s="3">
        <f>IFERROR(__xludf.DUMMYFUNCTION("""COMPUTED_VALUE"""),9.053773332E9)</f>
        <v>9053773332</v>
      </c>
    </row>
    <row r="3348">
      <c r="A3348" s="2">
        <f>IFERROR(__xludf.DUMMYFUNCTION("""COMPUTED_VALUE"""),40476.0)</f>
        <v>40476</v>
      </c>
      <c r="B3348" s="3" t="str">
        <f>IFERROR(__xludf.DUMMYFUNCTION("""COMPUTED_VALUE"""),"9317 DANFORTH RD")</f>
        <v>9317 DANFORTH RD</v>
      </c>
      <c r="C3348" s="3" t="str">
        <f>IFERROR(__xludf.DUMMYFUNCTION("""COMPUTED_VALUE"""),"COBOURG")</f>
        <v>COBOURG</v>
      </c>
      <c r="D3348" s="3" t="str">
        <f>IFERROR(__xludf.DUMMYFUNCTION("""COMPUTED_VALUE"""),"K9A 4J8")</f>
        <v>K9A 4J8</v>
      </c>
      <c r="E3348" s="3"/>
      <c r="F3348" s="3"/>
      <c r="G3348" s="3"/>
      <c r="H3348" s="3"/>
    </row>
    <row r="3349">
      <c r="A3349" s="2">
        <f>IFERROR(__xludf.DUMMYFUNCTION("""COMPUTED_VALUE"""),40477.0)</f>
        <v>40477</v>
      </c>
      <c r="B3349" s="3" t="str">
        <f>IFERROR(__xludf.DUMMYFUNCTION("""COMPUTED_VALUE"""),"9323 DANFORTH RD")</f>
        <v>9323 DANFORTH RD</v>
      </c>
      <c r="C3349" s="3" t="str">
        <f>IFERROR(__xludf.DUMMYFUNCTION("""COMPUTED_VALUE"""),"COBOURG")</f>
        <v>COBOURG</v>
      </c>
      <c r="D3349" s="3" t="str">
        <f>IFERROR(__xludf.DUMMYFUNCTION("""COMPUTED_VALUE"""),"K9A 4J8")</f>
        <v>K9A 4J8</v>
      </c>
      <c r="E3349" s="3"/>
      <c r="F3349" s="3"/>
      <c r="G3349" s="3"/>
      <c r="H3349" s="3"/>
    </row>
    <row r="3350">
      <c r="A3350" s="2">
        <f>IFERROR(__xludf.DUMMYFUNCTION("""COMPUTED_VALUE"""),40478.0)</f>
        <v>40478</v>
      </c>
      <c r="B3350" s="3" t="str">
        <f>IFERROR(__xludf.DUMMYFUNCTION("""COMPUTED_VALUE"""),"9337 DANFORTH RD")</f>
        <v>9337 DANFORTH RD</v>
      </c>
      <c r="C3350" s="3" t="str">
        <f>IFERROR(__xludf.DUMMYFUNCTION("""COMPUTED_VALUE"""),"COBOURG")</f>
        <v>COBOURG</v>
      </c>
      <c r="D3350" s="3" t="str">
        <f>IFERROR(__xludf.DUMMYFUNCTION("""COMPUTED_VALUE"""),"K9A 4J8")</f>
        <v>K9A 4J8</v>
      </c>
      <c r="E3350" s="3" t="str">
        <f>IFERROR(__xludf.DUMMYFUNCTION("""COMPUTED_VALUE"""),"steven archambault")</f>
        <v>steven archambault</v>
      </c>
      <c r="F3350" s="3" t="str">
        <f>IFERROR(__xludf.DUMMYFUNCTION("""COMPUTED_VALUE"""),"steven.archembault32@gmail.com")</f>
        <v>steven.archembault32@gmail.com</v>
      </c>
      <c r="G3350" s="3">
        <f>IFERROR(__xludf.DUMMYFUNCTION("""COMPUTED_VALUE"""),9.057072208E9)</f>
        <v>9057072208</v>
      </c>
      <c r="H3350" s="3"/>
    </row>
    <row r="3351">
      <c r="A3351" s="2">
        <f>IFERROR(__xludf.DUMMYFUNCTION("""COMPUTED_VALUE"""),40479.0)</f>
        <v>40479</v>
      </c>
      <c r="B3351" s="3" t="str">
        <f>IFERROR(__xludf.DUMMYFUNCTION("""COMPUTED_VALUE"""),"9340 DANFORTH RD")</f>
        <v>9340 DANFORTH RD</v>
      </c>
      <c r="C3351" s="3" t="str">
        <f>IFERROR(__xludf.DUMMYFUNCTION("""COMPUTED_VALUE"""),"COBOURG")</f>
        <v>COBOURG</v>
      </c>
      <c r="D3351" s="3" t="str">
        <f>IFERROR(__xludf.DUMMYFUNCTION("""COMPUTED_VALUE"""),"K9A 4J8")</f>
        <v>K9A 4J8</v>
      </c>
      <c r="E3351" s="3" t="str">
        <f>IFERROR(__xludf.DUMMYFUNCTION("""COMPUTED_VALUE"""),"Dawoood Ghakhar")</f>
        <v>Dawoood Ghakhar</v>
      </c>
      <c r="F3351" s="3" t="str">
        <f>IFERROR(__xludf.DUMMYFUNCTION("""COMPUTED_VALUE"""),"dawoodghakhar@gmail.com")</f>
        <v>dawoodghakhar@gmail.com</v>
      </c>
      <c r="G3351" s="3">
        <f>IFERROR(__xludf.DUMMYFUNCTION("""COMPUTED_VALUE"""),6.477018823E9)</f>
        <v>6477018823</v>
      </c>
      <c r="H3351" s="3"/>
    </row>
    <row r="3352">
      <c r="A3352" s="2">
        <f>IFERROR(__xludf.DUMMYFUNCTION("""COMPUTED_VALUE"""),40480.0)</f>
        <v>40480</v>
      </c>
      <c r="B3352" s="3" t="str">
        <f>IFERROR(__xludf.DUMMYFUNCTION("""COMPUTED_VALUE"""),"9347 DANFORTH RD")</f>
        <v>9347 DANFORTH RD</v>
      </c>
      <c r="C3352" s="3" t="str">
        <f>IFERROR(__xludf.DUMMYFUNCTION("""COMPUTED_VALUE"""),"COBOURG")</f>
        <v>COBOURG</v>
      </c>
      <c r="D3352" s="3" t="str">
        <f>IFERROR(__xludf.DUMMYFUNCTION("""COMPUTED_VALUE"""),"K9A 4J8")</f>
        <v>K9A 4J8</v>
      </c>
      <c r="E3352" s="3" t="str">
        <f>IFERROR(__xludf.DUMMYFUNCTION("""COMPUTED_VALUE"""),"jennifer ")</f>
        <v>jennifer </v>
      </c>
      <c r="F3352" s="3"/>
      <c r="G3352" s="3">
        <f>IFERROR(__xludf.DUMMYFUNCTION("""COMPUTED_VALUE"""),4.165666873E9)</f>
        <v>4165666873</v>
      </c>
      <c r="H3352" s="3"/>
    </row>
    <row r="3353">
      <c r="A3353" s="2">
        <f>IFERROR(__xludf.DUMMYFUNCTION("""COMPUTED_VALUE"""),40481.0)</f>
        <v>40481</v>
      </c>
      <c r="B3353" s="3" t="str">
        <f>IFERROR(__xludf.DUMMYFUNCTION("""COMPUTED_VALUE"""),"9398 DANFORTH RD")</f>
        <v>9398 DANFORTH RD</v>
      </c>
      <c r="C3353" s="3" t="str">
        <f>IFERROR(__xludf.DUMMYFUNCTION("""COMPUTED_VALUE"""),"COBOURG")</f>
        <v>COBOURG</v>
      </c>
      <c r="D3353" s="3" t="str">
        <f>IFERROR(__xludf.DUMMYFUNCTION("""COMPUTED_VALUE"""),"K9A 4J8")</f>
        <v>K9A 4J8</v>
      </c>
      <c r="E3353" s="3"/>
      <c r="F3353" s="3"/>
      <c r="G3353" s="3"/>
      <c r="H3353" s="3"/>
    </row>
    <row r="3354">
      <c r="A3354" s="2">
        <f>IFERROR(__xludf.DUMMYFUNCTION("""COMPUTED_VALUE"""),40482.0)</f>
        <v>40482</v>
      </c>
      <c r="B3354" s="3" t="str">
        <f>IFERROR(__xludf.DUMMYFUNCTION("""COMPUTED_VALUE"""),"9404 DANFORTH RD")</f>
        <v>9404 DANFORTH RD</v>
      </c>
      <c r="C3354" s="3" t="str">
        <f>IFERROR(__xludf.DUMMYFUNCTION("""COMPUTED_VALUE"""),"COBOURG")</f>
        <v>COBOURG</v>
      </c>
      <c r="D3354" s="3" t="str">
        <f>IFERROR(__xludf.DUMMYFUNCTION("""COMPUTED_VALUE"""),"K9A 4J8")</f>
        <v>K9A 4J8</v>
      </c>
      <c r="E3354" s="3" t="str">
        <f>IFERROR(__xludf.DUMMYFUNCTION("""COMPUTED_VALUE"""),"kethleen provost")</f>
        <v>kethleen provost</v>
      </c>
      <c r="F3354" s="3" t="str">
        <f>IFERROR(__xludf.DUMMYFUNCTION("""COMPUTED_VALUE"""),"kprovost12@gmail.com")</f>
        <v>kprovost12@gmail.com</v>
      </c>
      <c r="G3354" s="3">
        <f>IFERROR(__xludf.DUMMYFUNCTION("""COMPUTED_VALUE"""),9.053965287E9)</f>
        <v>9053965287</v>
      </c>
      <c r="H3354" s="3"/>
    </row>
    <row r="3355">
      <c r="A3355" s="2">
        <f>IFERROR(__xludf.DUMMYFUNCTION("""COMPUTED_VALUE"""),40483.0)</f>
        <v>40483</v>
      </c>
      <c r="B3355" s="3" t="str">
        <f>IFERROR(__xludf.DUMMYFUNCTION("""COMPUTED_VALUE"""),"9408 DANFORTH RD")</f>
        <v>9408 DANFORTH RD</v>
      </c>
      <c r="C3355" s="3" t="str">
        <f>IFERROR(__xludf.DUMMYFUNCTION("""COMPUTED_VALUE"""),"COBOURG")</f>
        <v>COBOURG</v>
      </c>
      <c r="D3355" s="3" t="str">
        <f>IFERROR(__xludf.DUMMYFUNCTION("""COMPUTED_VALUE"""),"K9A 4J8")</f>
        <v>K9A 4J8</v>
      </c>
      <c r="E3355" s="3" t="str">
        <f>IFERROR(__xludf.DUMMYFUNCTION("""COMPUTED_VALUE"""),"eleanor sartisohn")</f>
        <v>eleanor sartisohn</v>
      </c>
      <c r="F3355" s="3"/>
      <c r="G3355" s="3">
        <f>IFERROR(__xludf.DUMMYFUNCTION("""COMPUTED_VALUE"""),9.053724573E9)</f>
        <v>9053724573</v>
      </c>
      <c r="H3355" s="3"/>
    </row>
    <row r="3356">
      <c r="A3356" s="2">
        <f>IFERROR(__xludf.DUMMYFUNCTION("""COMPUTED_VALUE"""),40484.0)</f>
        <v>40484</v>
      </c>
      <c r="B3356" s="3" t="str">
        <f>IFERROR(__xludf.DUMMYFUNCTION("""COMPUTED_VALUE"""),"9412 DANFORTH RD")</f>
        <v>9412 DANFORTH RD</v>
      </c>
      <c r="C3356" s="3" t="str">
        <f>IFERROR(__xludf.DUMMYFUNCTION("""COMPUTED_VALUE"""),"COBOURG")</f>
        <v>COBOURG</v>
      </c>
      <c r="D3356" s="3" t="str">
        <f>IFERROR(__xludf.DUMMYFUNCTION("""COMPUTED_VALUE"""),"K9A 4J8")</f>
        <v>K9A 4J8</v>
      </c>
      <c r="E3356" s="3"/>
      <c r="F3356" s="3"/>
      <c r="G3356" s="3"/>
      <c r="H3356" s="3"/>
    </row>
    <row r="3357">
      <c r="A3357" s="2">
        <f>IFERROR(__xludf.DUMMYFUNCTION("""COMPUTED_VALUE"""),40485.0)</f>
        <v>40485</v>
      </c>
      <c r="B3357" s="3" t="str">
        <f>IFERROR(__xludf.DUMMYFUNCTION("""COMPUTED_VALUE"""),"9418 DANFORTH RD")</f>
        <v>9418 DANFORTH RD</v>
      </c>
      <c r="C3357" s="3" t="str">
        <f>IFERROR(__xludf.DUMMYFUNCTION("""COMPUTED_VALUE"""),"COBOURG")</f>
        <v>COBOURG</v>
      </c>
      <c r="D3357" s="3" t="str">
        <f>IFERROR(__xludf.DUMMYFUNCTION("""COMPUTED_VALUE"""),"K9A 4J8")</f>
        <v>K9A 4J8</v>
      </c>
      <c r="E3357" s="3" t="str">
        <f>IFERROR(__xludf.DUMMYFUNCTION("""COMPUTED_VALUE"""),"andrew scott")</f>
        <v>andrew scott</v>
      </c>
      <c r="F3357" s="3"/>
      <c r="G3357" s="3">
        <f>IFERROR(__xludf.DUMMYFUNCTION("""COMPUTED_VALUE"""),2.894422818E9)</f>
        <v>2894422818</v>
      </c>
      <c r="H3357" s="3"/>
    </row>
    <row r="3358">
      <c r="A3358" s="2">
        <f>IFERROR(__xludf.DUMMYFUNCTION("""COMPUTED_VALUE"""),40486.0)</f>
        <v>40486</v>
      </c>
      <c r="B3358" s="3" t="str">
        <f>IFERROR(__xludf.DUMMYFUNCTION("""COMPUTED_VALUE"""),"9428 DANFORTH RD")</f>
        <v>9428 DANFORTH RD</v>
      </c>
      <c r="C3358" s="3" t="str">
        <f>IFERROR(__xludf.DUMMYFUNCTION("""COMPUTED_VALUE"""),"COBOURG")</f>
        <v>COBOURG</v>
      </c>
      <c r="D3358" s="3" t="str">
        <f>IFERROR(__xludf.DUMMYFUNCTION("""COMPUTED_VALUE"""),"K9A 4J8")</f>
        <v>K9A 4J8</v>
      </c>
      <c r="E3358" s="3" t="str">
        <f>IFERROR(__xludf.DUMMYFUNCTION("""COMPUTED_VALUE"""),"paul landry ")</f>
        <v>paul landry </v>
      </c>
      <c r="F3358" s="3" t="str">
        <f>IFERROR(__xludf.DUMMYFUNCTION("""COMPUTED_VALUE"""),"emale.pel@gmail.com")</f>
        <v>emale.pel@gmail.com</v>
      </c>
      <c r="G3358" s="3">
        <f>IFERROR(__xludf.DUMMYFUNCTION("""COMPUTED_VALUE"""),9.053750238E9)</f>
        <v>9053750238</v>
      </c>
      <c r="H3358" s="3"/>
    </row>
    <row r="3359">
      <c r="A3359" s="2">
        <f>IFERROR(__xludf.DUMMYFUNCTION("""COMPUTED_VALUE"""),40487.0)</f>
        <v>40487</v>
      </c>
      <c r="B3359" s="3" t="str">
        <f>IFERROR(__xludf.DUMMYFUNCTION("""COMPUTED_VALUE"""),"9440 DANFORTH RD")</f>
        <v>9440 DANFORTH RD</v>
      </c>
      <c r="C3359" s="3" t="str">
        <f>IFERROR(__xludf.DUMMYFUNCTION("""COMPUTED_VALUE"""),"COBOURG")</f>
        <v>COBOURG</v>
      </c>
      <c r="D3359" s="3" t="str">
        <f>IFERROR(__xludf.DUMMYFUNCTION("""COMPUTED_VALUE"""),"K9A 4J8")</f>
        <v>K9A 4J8</v>
      </c>
      <c r="E3359" s="3"/>
      <c r="F3359" s="3"/>
      <c r="G3359" s="3"/>
      <c r="H3359" s="3"/>
    </row>
    <row r="3360">
      <c r="A3360" s="2">
        <f>IFERROR(__xludf.DUMMYFUNCTION("""COMPUTED_VALUE"""),40488.0)</f>
        <v>40488</v>
      </c>
      <c r="B3360" s="3" t="str">
        <f>IFERROR(__xludf.DUMMYFUNCTION("""COMPUTED_VALUE"""),"9446 DANFORTH RD")</f>
        <v>9446 DANFORTH RD</v>
      </c>
      <c r="C3360" s="3" t="str">
        <f>IFERROR(__xludf.DUMMYFUNCTION("""COMPUTED_VALUE"""),"COBOURG")</f>
        <v>COBOURG</v>
      </c>
      <c r="D3360" s="3" t="str">
        <f>IFERROR(__xludf.DUMMYFUNCTION("""COMPUTED_VALUE"""),"K9A 4J8")</f>
        <v>K9A 4J8</v>
      </c>
      <c r="E3360" s="3" t="str">
        <f>IFERROR(__xludf.DUMMYFUNCTION("""COMPUTED_VALUE"""),"shelley kelly ")</f>
        <v>shelley kelly </v>
      </c>
      <c r="F3360" s="3"/>
      <c r="G3360" s="3">
        <f>IFERROR(__xludf.DUMMYFUNCTION("""COMPUTED_VALUE"""),9.053763016E9)</f>
        <v>9053763016</v>
      </c>
      <c r="H3360" s="3"/>
    </row>
    <row r="3361">
      <c r="A3361" s="2">
        <f>IFERROR(__xludf.DUMMYFUNCTION("""COMPUTED_VALUE"""),40489.0)</f>
        <v>40489</v>
      </c>
      <c r="B3361" s="3" t="str">
        <f>IFERROR(__xludf.DUMMYFUNCTION("""COMPUTED_VALUE"""),"9452 DANFORTH RD")</f>
        <v>9452 DANFORTH RD</v>
      </c>
      <c r="C3361" s="3" t="str">
        <f>IFERROR(__xludf.DUMMYFUNCTION("""COMPUTED_VALUE"""),"COBOURG")</f>
        <v>COBOURG</v>
      </c>
      <c r="D3361" s="3" t="str">
        <f>IFERROR(__xludf.DUMMYFUNCTION("""COMPUTED_VALUE"""),"K9A 4J8")</f>
        <v>K9A 4J8</v>
      </c>
      <c r="E3361" s="3" t="str">
        <f>IFERROR(__xludf.DUMMYFUNCTION("""COMPUTED_VALUE"""),"nancy and dave blakely ")</f>
        <v>nancy and dave blakely </v>
      </c>
      <c r="F3361" s="3" t="str">
        <f>IFERROR(__xludf.DUMMYFUNCTION("""COMPUTED_VALUE"""),"nancyjblakely@gmail.com")</f>
        <v>nancyjblakely@gmail.com</v>
      </c>
      <c r="G3361" s="3">
        <f>IFERROR(__xludf.DUMMYFUNCTION("""COMPUTED_VALUE"""),9.052693721E9)</f>
        <v>9052693721</v>
      </c>
      <c r="H3361" s="3">
        <f>IFERROR(__xludf.DUMMYFUNCTION("""COMPUTED_VALUE"""),2.897711476E9)</f>
        <v>2897711476</v>
      </c>
    </row>
    <row r="3362">
      <c r="A3362" s="2">
        <f>IFERROR(__xludf.DUMMYFUNCTION("""COMPUTED_VALUE"""),40490.0)</f>
        <v>40490</v>
      </c>
      <c r="B3362" s="3" t="str">
        <f>IFERROR(__xludf.DUMMYFUNCTION("""COMPUTED_VALUE"""),"9458 DANFORTH RD")</f>
        <v>9458 DANFORTH RD</v>
      </c>
      <c r="C3362" s="3" t="str">
        <f>IFERROR(__xludf.DUMMYFUNCTION("""COMPUTED_VALUE"""),"COBOURG")</f>
        <v>COBOURG</v>
      </c>
      <c r="D3362" s="3" t="str">
        <f>IFERROR(__xludf.DUMMYFUNCTION("""COMPUTED_VALUE"""),"K9A 4J8")</f>
        <v>K9A 4J8</v>
      </c>
      <c r="E3362" s="3"/>
      <c r="F3362" s="3"/>
      <c r="G3362" s="3"/>
      <c r="H3362" s="3"/>
    </row>
    <row r="3363">
      <c r="A3363" s="2">
        <f>IFERROR(__xludf.DUMMYFUNCTION("""COMPUTED_VALUE"""),40491.0)</f>
        <v>40491</v>
      </c>
      <c r="B3363" s="3" t="str">
        <f>IFERROR(__xludf.DUMMYFUNCTION("""COMPUTED_VALUE"""),"9464 DANFORTH RD")</f>
        <v>9464 DANFORTH RD</v>
      </c>
      <c r="C3363" s="3" t="str">
        <f>IFERROR(__xludf.DUMMYFUNCTION("""COMPUTED_VALUE"""),"COBOURG")</f>
        <v>COBOURG</v>
      </c>
      <c r="D3363" s="3" t="str">
        <f>IFERROR(__xludf.DUMMYFUNCTION("""COMPUTED_VALUE"""),"K9A 4J8")</f>
        <v>K9A 4J8</v>
      </c>
      <c r="E3363" s="3"/>
      <c r="F3363" s="3"/>
      <c r="G3363" s="3"/>
      <c r="H3363" s="3"/>
    </row>
    <row r="3364">
      <c r="A3364" s="2">
        <f>IFERROR(__xludf.DUMMYFUNCTION("""COMPUTED_VALUE"""),40492.0)</f>
        <v>40492</v>
      </c>
      <c r="B3364" s="3" t="str">
        <f>IFERROR(__xludf.DUMMYFUNCTION("""COMPUTED_VALUE"""),"9474 DANFORTH RD")</f>
        <v>9474 DANFORTH RD</v>
      </c>
      <c r="C3364" s="3" t="str">
        <f>IFERROR(__xludf.DUMMYFUNCTION("""COMPUTED_VALUE"""),"COBOURG")</f>
        <v>COBOURG</v>
      </c>
      <c r="D3364" s="3" t="str">
        <f>IFERROR(__xludf.DUMMYFUNCTION("""COMPUTED_VALUE"""),"K9A 4J8")</f>
        <v>K9A 4J8</v>
      </c>
      <c r="E3364" s="3"/>
      <c r="F3364" s="3"/>
      <c r="G3364" s="3"/>
      <c r="H3364" s="3"/>
    </row>
    <row r="3365">
      <c r="A3365" s="2">
        <f>IFERROR(__xludf.DUMMYFUNCTION("""COMPUTED_VALUE"""),40493.0)</f>
        <v>40493</v>
      </c>
      <c r="B3365" s="3" t="str">
        <f>IFERROR(__xludf.DUMMYFUNCTION("""COMPUTED_VALUE"""),"9488 DANFORTH RD")</f>
        <v>9488 DANFORTH RD</v>
      </c>
      <c r="C3365" s="3" t="str">
        <f>IFERROR(__xludf.DUMMYFUNCTION("""COMPUTED_VALUE"""),"COBOURG")</f>
        <v>COBOURG</v>
      </c>
      <c r="D3365" s="3" t="str">
        <f>IFERROR(__xludf.DUMMYFUNCTION("""COMPUTED_VALUE"""),"K9A 4J8")</f>
        <v>K9A 4J8</v>
      </c>
      <c r="E3365" s="3" t="str">
        <f>IFERROR(__xludf.DUMMYFUNCTION("""COMPUTED_VALUE"""),"Halina Targon")</f>
        <v>Halina Targon</v>
      </c>
      <c r="F3365" s="3" t="str">
        <f>IFERROR(__xludf.DUMMYFUNCTION("""COMPUTED_VALUE"""),"halinatargon@gmail.com")</f>
        <v>halinatargon@gmail.com</v>
      </c>
      <c r="G3365" s="3">
        <f>IFERROR(__xludf.DUMMYFUNCTION("""COMPUTED_VALUE"""),9.053770456E9)</f>
        <v>9053770456</v>
      </c>
      <c r="H3365" s="3">
        <f>IFERROR(__xludf.DUMMYFUNCTION("""COMPUTED_VALUE"""),9.053775295E9)</f>
        <v>9053775295</v>
      </c>
    </row>
    <row r="3366">
      <c r="A3366" s="2">
        <f>IFERROR(__xludf.DUMMYFUNCTION("""COMPUTED_VALUE"""),40494.0)</f>
        <v>40494</v>
      </c>
      <c r="B3366" s="3" t="str">
        <f>IFERROR(__xludf.DUMMYFUNCTION("""COMPUTED_VALUE"""),"9500 DANFORTH RD")</f>
        <v>9500 DANFORTH RD</v>
      </c>
      <c r="C3366" s="3" t="str">
        <f>IFERROR(__xludf.DUMMYFUNCTION("""COMPUTED_VALUE"""),"COBOURG")</f>
        <v>COBOURG</v>
      </c>
      <c r="D3366" s="3" t="str">
        <f>IFERROR(__xludf.DUMMYFUNCTION("""COMPUTED_VALUE"""),"K9A 4J8")</f>
        <v>K9A 4J8</v>
      </c>
      <c r="E3366" s="3" t="str">
        <f>IFERROR(__xludf.DUMMYFUNCTION("""COMPUTED_VALUE"""),"David Targon")</f>
        <v>David Targon</v>
      </c>
      <c r="F3366" s="3" t="str">
        <f>IFERROR(__xludf.DUMMYFUNCTION("""COMPUTED_VALUE"""),"blackbottomdave@gmail.com")</f>
        <v>blackbottomdave@gmail.com</v>
      </c>
      <c r="G3366" s="3">
        <f>IFERROR(__xludf.DUMMYFUNCTION("""COMPUTED_VALUE"""),9.053775295E9)</f>
        <v>9053775295</v>
      </c>
      <c r="H3366" s="3"/>
    </row>
    <row r="3367">
      <c r="A3367" s="2">
        <f>IFERROR(__xludf.DUMMYFUNCTION("""COMPUTED_VALUE"""),40495.0)</f>
        <v>40495</v>
      </c>
      <c r="B3367" s="3" t="str">
        <f>IFERROR(__xludf.DUMMYFUNCTION("""COMPUTED_VALUE"""),"9558 DANFORTH RD")</f>
        <v>9558 DANFORTH RD</v>
      </c>
      <c r="C3367" s="3" t="str">
        <f>IFERROR(__xludf.DUMMYFUNCTION("""COMPUTED_VALUE"""),"COBOURG")</f>
        <v>COBOURG</v>
      </c>
      <c r="D3367" s="3" t="str">
        <f>IFERROR(__xludf.DUMMYFUNCTION("""COMPUTED_VALUE"""),"K9A 4J8")</f>
        <v>K9A 4J8</v>
      </c>
      <c r="E3367" s="3" t="str">
        <f>IFERROR(__xludf.DUMMYFUNCTION("""COMPUTED_VALUE"""),"arleine dee")</f>
        <v>arleine dee</v>
      </c>
      <c r="F3367" s="3" t="str">
        <f>IFERROR(__xludf.DUMMYFUNCTION("""COMPUTED_VALUE"""),"arleind@yahoo.ca")</f>
        <v>arleind@yahoo.ca</v>
      </c>
      <c r="G3367" s="3">
        <f>IFERROR(__xludf.DUMMYFUNCTION("""COMPUTED_VALUE"""),9.056266663E9)</f>
        <v>9056266663</v>
      </c>
      <c r="H3367" s="3"/>
    </row>
    <row r="3368">
      <c r="A3368" s="2">
        <f>IFERROR(__xludf.DUMMYFUNCTION("""COMPUTED_VALUE"""),40496.0)</f>
        <v>40496</v>
      </c>
      <c r="B3368" s="3" t="str">
        <f>IFERROR(__xludf.DUMMYFUNCTION("""COMPUTED_VALUE"""),"9575 DANFORTH RD")</f>
        <v>9575 DANFORTH RD</v>
      </c>
      <c r="C3368" s="3" t="str">
        <f>IFERROR(__xludf.DUMMYFUNCTION("""COMPUTED_VALUE"""),"COBOURG")</f>
        <v>COBOURG</v>
      </c>
      <c r="D3368" s="3" t="str">
        <f>IFERROR(__xludf.DUMMYFUNCTION("""COMPUTED_VALUE"""),"K9A 4J8")</f>
        <v>K9A 4J8</v>
      </c>
      <c r="E3368" s="3" t="str">
        <f>IFERROR(__xludf.DUMMYFUNCTION("""COMPUTED_VALUE"""),"JOANNE DUFFY")</f>
        <v>JOANNE DUFFY</v>
      </c>
      <c r="F3368" s="3" t="str">
        <f>IFERROR(__xludf.DUMMYFUNCTION("""COMPUTED_VALUE"""),"duffer4@gmail.com")</f>
        <v>duffer4@gmail.com</v>
      </c>
      <c r="G3368" s="3"/>
      <c r="H3368" s="3"/>
    </row>
    <row r="3369">
      <c r="A3369" s="2">
        <f>IFERROR(__xludf.DUMMYFUNCTION("""COMPUTED_VALUE"""),40498.0)</f>
        <v>40498</v>
      </c>
      <c r="B3369" s="3" t="str">
        <f>IFERROR(__xludf.DUMMYFUNCTION("""COMPUTED_VALUE"""),"9592 DANFORTH RD")</f>
        <v>9592 DANFORTH RD</v>
      </c>
      <c r="C3369" s="3" t="str">
        <f>IFERROR(__xludf.DUMMYFUNCTION("""COMPUTED_VALUE"""),"COBOURG")</f>
        <v>COBOURG</v>
      </c>
      <c r="D3369" s="3" t="str">
        <f>IFERROR(__xludf.DUMMYFUNCTION("""COMPUTED_VALUE"""),"K9A 4J8")</f>
        <v>K9A 4J8</v>
      </c>
      <c r="E3369" s="3"/>
      <c r="F3369" s="3"/>
      <c r="G3369" s="3"/>
      <c r="H3369" s="3"/>
    </row>
    <row r="3370">
      <c r="A3370" s="2">
        <f>IFERROR(__xludf.DUMMYFUNCTION("""COMPUTED_VALUE"""),40499.0)</f>
        <v>40499</v>
      </c>
      <c r="B3370" s="3" t="str">
        <f>IFERROR(__xludf.DUMMYFUNCTION("""COMPUTED_VALUE"""),"9593 DANFORTH RD")</f>
        <v>9593 DANFORTH RD</v>
      </c>
      <c r="C3370" s="3" t="str">
        <f>IFERROR(__xludf.DUMMYFUNCTION("""COMPUTED_VALUE"""),"COBOURG")</f>
        <v>COBOURG</v>
      </c>
      <c r="D3370" s="3" t="str">
        <f>IFERROR(__xludf.DUMMYFUNCTION("""COMPUTED_VALUE"""),"K9A 4J8")</f>
        <v>K9A 4J8</v>
      </c>
      <c r="E3370" s="3" t="str">
        <f>IFERROR(__xludf.DUMMYFUNCTION("""COMPUTED_VALUE"""),"michael jarrell")</f>
        <v>michael jarrell</v>
      </c>
      <c r="F3370" s="3"/>
      <c r="G3370" s="3">
        <f>IFERROR(__xludf.DUMMYFUNCTION("""COMPUTED_VALUE"""),9.053723935E9)</f>
        <v>9053723935</v>
      </c>
      <c r="H3370" s="3"/>
    </row>
    <row r="3371">
      <c r="A3371" s="2">
        <f>IFERROR(__xludf.DUMMYFUNCTION("""COMPUTED_VALUE"""),40500.0)</f>
        <v>40500</v>
      </c>
      <c r="B3371" s="3" t="str">
        <f>IFERROR(__xludf.DUMMYFUNCTION("""COMPUTED_VALUE"""),"9607 DANFORTH RD")</f>
        <v>9607 DANFORTH RD</v>
      </c>
      <c r="C3371" s="3" t="str">
        <f>IFERROR(__xludf.DUMMYFUNCTION("""COMPUTED_VALUE"""),"COBOURG")</f>
        <v>COBOURG</v>
      </c>
      <c r="D3371" s="3" t="str">
        <f>IFERROR(__xludf.DUMMYFUNCTION("""COMPUTED_VALUE"""),"K9A 4J8")</f>
        <v>K9A 4J8</v>
      </c>
      <c r="E3371" s="3" t="str">
        <f>IFERROR(__xludf.DUMMYFUNCTION("""COMPUTED_VALUE"""),"sam kaman")</f>
        <v>sam kaman</v>
      </c>
      <c r="F3371" s="3" t="str">
        <f>IFERROR(__xludf.DUMMYFUNCTION("""COMPUTED_VALUE"""),"skamin111@hotmail.com")</f>
        <v>skamin111@hotmail.com</v>
      </c>
      <c r="G3371" s="3">
        <f>IFERROR(__xludf.DUMMYFUNCTION("""COMPUTED_VALUE"""),4.165611899E9)</f>
        <v>4165611899</v>
      </c>
      <c r="H3371" s="3">
        <f>IFERROR(__xludf.DUMMYFUNCTION("""COMPUTED_VALUE"""),6.472679917E9)</f>
        <v>6472679917</v>
      </c>
    </row>
    <row r="3372">
      <c r="A3372" s="2">
        <f>IFERROR(__xludf.DUMMYFUNCTION("""COMPUTED_VALUE"""),40501.0)</f>
        <v>40501</v>
      </c>
      <c r="B3372" s="3" t="str">
        <f>IFERROR(__xludf.DUMMYFUNCTION("""COMPUTED_VALUE"""),"9623 DANFORTH RD")</f>
        <v>9623 DANFORTH RD</v>
      </c>
      <c r="C3372" s="3" t="str">
        <f>IFERROR(__xludf.DUMMYFUNCTION("""COMPUTED_VALUE"""),"COBOURG")</f>
        <v>COBOURG</v>
      </c>
      <c r="D3372" s="3" t="str">
        <f>IFERROR(__xludf.DUMMYFUNCTION("""COMPUTED_VALUE"""),"K9A 4J8")</f>
        <v>K9A 4J8</v>
      </c>
      <c r="E3372" s="3"/>
      <c r="F3372" s="3"/>
      <c r="G3372" s="3"/>
      <c r="H3372" s="3"/>
    </row>
    <row r="3373">
      <c r="A3373" s="2">
        <f>IFERROR(__xludf.DUMMYFUNCTION("""COMPUTED_VALUE"""),40502.0)</f>
        <v>40502</v>
      </c>
      <c r="B3373" s="3" t="str">
        <f>IFERROR(__xludf.DUMMYFUNCTION("""COMPUTED_VALUE"""),"9627 DANFORTH RD")</f>
        <v>9627 DANFORTH RD</v>
      </c>
      <c r="C3373" s="3" t="str">
        <f>IFERROR(__xludf.DUMMYFUNCTION("""COMPUTED_VALUE"""),"COBOURG")</f>
        <v>COBOURG</v>
      </c>
      <c r="D3373" s="3" t="str">
        <f>IFERROR(__xludf.DUMMYFUNCTION("""COMPUTED_VALUE"""),"K9A 4J8")</f>
        <v>K9A 4J8</v>
      </c>
      <c r="E3373" s="3" t="str">
        <f>IFERROR(__xludf.DUMMYFUNCTION("""COMPUTED_VALUE"""),"john and barb spencer ")</f>
        <v>john and barb spencer </v>
      </c>
      <c r="F3373" s="3" t="str">
        <f>IFERROR(__xludf.DUMMYFUNCTION("""COMPUTED_VALUE"""),"barbarajean1947@gmail.com")</f>
        <v>barbarajean1947@gmail.com</v>
      </c>
      <c r="G3373" s="3">
        <f>IFERROR(__xludf.DUMMYFUNCTION("""COMPUTED_VALUE"""),9.053779689E9)</f>
        <v>9053779689</v>
      </c>
      <c r="H3373" s="3"/>
    </row>
    <row r="3374">
      <c r="A3374" s="2">
        <f>IFERROR(__xludf.DUMMYFUNCTION("""COMPUTED_VALUE"""),40503.0)</f>
        <v>40503</v>
      </c>
      <c r="B3374" s="3" t="str">
        <f>IFERROR(__xludf.DUMMYFUNCTION("""COMPUTED_VALUE"""),"9648 DANFORTH RD")</f>
        <v>9648 DANFORTH RD</v>
      </c>
      <c r="C3374" s="3" t="str">
        <f>IFERROR(__xludf.DUMMYFUNCTION("""COMPUTED_VALUE"""),"COBOURG")</f>
        <v>COBOURG</v>
      </c>
      <c r="D3374" s="3" t="str">
        <f>IFERROR(__xludf.DUMMYFUNCTION("""COMPUTED_VALUE"""),"K9A 4J8")</f>
        <v>K9A 4J8</v>
      </c>
      <c r="E3374" s="3" t="str">
        <f>IFERROR(__xludf.DUMMYFUNCTION("""COMPUTED_VALUE"""),"josh lyere ")</f>
        <v>josh lyere </v>
      </c>
      <c r="F3374" s="3" t="str">
        <f>IFERROR(__xludf.DUMMYFUNCTION("""COMPUTED_VALUE"""),"joshblyere@gmail.com")</f>
        <v>joshblyere@gmail.com</v>
      </c>
      <c r="G3374" s="3">
        <f>IFERROR(__xludf.DUMMYFUNCTION("""COMPUTED_VALUE"""),9.054417377E9)</f>
        <v>9054417377</v>
      </c>
      <c r="H3374" s="3"/>
    </row>
    <row r="3375">
      <c r="A3375" s="2">
        <f>IFERROR(__xludf.DUMMYFUNCTION("""COMPUTED_VALUE"""),40504.0)</f>
        <v>40504</v>
      </c>
      <c r="B3375" s="3" t="str">
        <f>IFERROR(__xludf.DUMMYFUNCTION("""COMPUTED_VALUE"""),"9681 DANFORTH RD")</f>
        <v>9681 DANFORTH RD</v>
      </c>
      <c r="C3375" s="3" t="str">
        <f>IFERROR(__xludf.DUMMYFUNCTION("""COMPUTED_VALUE"""),"COBOURG")</f>
        <v>COBOURG</v>
      </c>
      <c r="D3375" s="3" t="str">
        <f>IFERROR(__xludf.DUMMYFUNCTION("""COMPUTED_VALUE"""),"K9A 4J8")</f>
        <v>K9A 4J8</v>
      </c>
      <c r="E3375" s="3" t="str">
        <f>IFERROR(__xludf.DUMMYFUNCTION("""COMPUTED_VALUE"""),"m, roffey")</f>
        <v>m, roffey</v>
      </c>
      <c r="F3375" s="3"/>
      <c r="G3375" s="3">
        <f>IFERROR(__xludf.DUMMYFUNCTION("""COMPUTED_VALUE"""),9.053964571E9)</f>
        <v>9053964571</v>
      </c>
      <c r="H3375" s="3"/>
    </row>
    <row r="3376">
      <c r="A3376" s="2">
        <f>IFERROR(__xludf.DUMMYFUNCTION("""COMPUTED_VALUE"""),40505.0)</f>
        <v>40505</v>
      </c>
      <c r="B3376" s="3" t="str">
        <f>IFERROR(__xludf.DUMMYFUNCTION("""COMPUTED_VALUE"""),"9688 DANFORTH RD")</f>
        <v>9688 DANFORTH RD</v>
      </c>
      <c r="C3376" s="3" t="str">
        <f>IFERROR(__xludf.DUMMYFUNCTION("""COMPUTED_VALUE"""),"COBOURG")</f>
        <v>COBOURG</v>
      </c>
      <c r="D3376" s="3" t="str">
        <f>IFERROR(__xludf.DUMMYFUNCTION("""COMPUTED_VALUE"""),"K9A 4J8")</f>
        <v>K9A 4J8</v>
      </c>
      <c r="E3376" s="3" t="str">
        <f>IFERROR(__xludf.DUMMYFUNCTION("""COMPUTED_VALUE"""),"serge favinier")</f>
        <v>serge favinier</v>
      </c>
      <c r="F3376" s="3" t="str">
        <f>IFERROR(__xludf.DUMMYFUNCTION("""COMPUTED_VALUE"""),"serge.favinier7777@gmail.com")</f>
        <v>serge.favinier7777@gmail.com</v>
      </c>
      <c r="G3376" s="3">
        <f>IFERROR(__xludf.DUMMYFUNCTION("""COMPUTED_VALUE"""),4.165087191E9)</f>
        <v>4165087191</v>
      </c>
      <c r="H3376" s="3"/>
    </row>
    <row r="3377">
      <c r="A3377" s="2">
        <f>IFERROR(__xludf.DUMMYFUNCTION("""COMPUTED_VALUE"""),40506.0)</f>
        <v>40506</v>
      </c>
      <c r="B3377" s="3" t="str">
        <f>IFERROR(__xludf.DUMMYFUNCTION("""COMPUTED_VALUE"""),"9692 DANFORTH RD")</f>
        <v>9692 DANFORTH RD</v>
      </c>
      <c r="C3377" s="3" t="str">
        <f>IFERROR(__xludf.DUMMYFUNCTION("""COMPUTED_VALUE"""),"COBOURG")</f>
        <v>COBOURG</v>
      </c>
      <c r="D3377" s="3" t="str">
        <f>IFERROR(__xludf.DUMMYFUNCTION("""COMPUTED_VALUE"""),"K9A 4J8")</f>
        <v>K9A 4J8</v>
      </c>
      <c r="E3377" s="3" t="str">
        <f>IFERROR(__xludf.DUMMYFUNCTION("""COMPUTED_VALUE"""),"jason ewart")</f>
        <v>jason ewart</v>
      </c>
      <c r="F3377" s="3" t="str">
        <f>IFERROR(__xludf.DUMMYFUNCTION("""COMPUTED_VALUE"""),"jasonewart1984@gmail.com")</f>
        <v>jasonewart1984@gmail.com</v>
      </c>
      <c r="G3377" s="3">
        <f>IFERROR(__xludf.DUMMYFUNCTION("""COMPUTED_VALUE"""),4.165800721E9)</f>
        <v>4165800721</v>
      </c>
      <c r="H3377" s="3"/>
    </row>
    <row r="3378">
      <c r="A3378" s="2">
        <f>IFERROR(__xludf.DUMMYFUNCTION("""COMPUTED_VALUE"""),40507.0)</f>
        <v>40507</v>
      </c>
      <c r="B3378" s="3" t="str">
        <f>IFERROR(__xludf.DUMMYFUNCTION("""COMPUTED_VALUE"""),"9755 DANFORTH RD")</f>
        <v>9755 DANFORTH RD</v>
      </c>
      <c r="C3378" s="3" t="str">
        <f>IFERROR(__xludf.DUMMYFUNCTION("""COMPUTED_VALUE"""),"COBOURG")</f>
        <v>COBOURG</v>
      </c>
      <c r="D3378" s="3" t="str">
        <f>IFERROR(__xludf.DUMMYFUNCTION("""COMPUTED_VALUE"""),"K9A 4J8")</f>
        <v>K9A 4J8</v>
      </c>
      <c r="E3378" s="3"/>
      <c r="F3378" s="3"/>
      <c r="G3378" s="3"/>
      <c r="H3378" s="3"/>
    </row>
    <row r="3379">
      <c r="A3379" s="2">
        <f>IFERROR(__xludf.DUMMYFUNCTION("""COMPUTED_VALUE"""),40508.0)</f>
        <v>40508</v>
      </c>
      <c r="B3379" s="3" t="str">
        <f>IFERROR(__xludf.DUMMYFUNCTION("""COMPUTED_VALUE"""),"9819 DANFORTH RD")</f>
        <v>9819 DANFORTH RD</v>
      </c>
      <c r="C3379" s="3" t="str">
        <f>IFERROR(__xludf.DUMMYFUNCTION("""COMPUTED_VALUE"""),"COBOURG")</f>
        <v>COBOURG</v>
      </c>
      <c r="D3379" s="3" t="str">
        <f>IFERROR(__xludf.DUMMYFUNCTION("""COMPUTED_VALUE"""),"K9A 4J8")</f>
        <v>K9A 4J8</v>
      </c>
      <c r="E3379" s="3"/>
      <c r="F3379" s="3"/>
      <c r="G3379" s="3"/>
      <c r="H3379" s="3"/>
    </row>
    <row r="3380">
      <c r="A3380" s="2">
        <f>IFERROR(__xludf.DUMMYFUNCTION("""COMPUTED_VALUE"""),40509.0)</f>
        <v>40509</v>
      </c>
      <c r="B3380" s="3" t="str">
        <f>IFERROR(__xludf.DUMMYFUNCTION("""COMPUTED_VALUE"""),"9883 DANFORTH RD")</f>
        <v>9883 DANFORTH RD</v>
      </c>
      <c r="C3380" s="3" t="str">
        <f>IFERROR(__xludf.DUMMYFUNCTION("""COMPUTED_VALUE"""),"COBOURG")</f>
        <v>COBOURG</v>
      </c>
      <c r="D3380" s="3" t="str">
        <f>IFERROR(__xludf.DUMMYFUNCTION("""COMPUTED_VALUE"""),"K9A 4J8")</f>
        <v>K9A 4J8</v>
      </c>
      <c r="E3380" s="3" t="str">
        <f>IFERROR(__xludf.DUMMYFUNCTION("""COMPUTED_VALUE"""),"cathy and malcom carruthers")</f>
        <v>cathy and malcom carruthers</v>
      </c>
      <c r="F3380" s="3" t="str">
        <f>IFERROR(__xludf.DUMMYFUNCTION("""COMPUTED_VALUE"""),"9053967387")</f>
        <v>9053967387</v>
      </c>
      <c r="G3380" s="3"/>
      <c r="H3380" s="3"/>
    </row>
    <row r="3381">
      <c r="A3381" s="2">
        <f>IFERROR(__xludf.DUMMYFUNCTION("""COMPUTED_VALUE"""),40510.0)</f>
        <v>40510</v>
      </c>
      <c r="B3381" s="3" t="str">
        <f>IFERROR(__xludf.DUMMYFUNCTION("""COMPUTED_VALUE"""),"9896 DANFORTH RD")</f>
        <v>9896 DANFORTH RD</v>
      </c>
      <c r="C3381" s="3" t="str">
        <f>IFERROR(__xludf.DUMMYFUNCTION("""COMPUTED_VALUE"""),"COBOURG")</f>
        <v>COBOURG</v>
      </c>
      <c r="D3381" s="3" t="str">
        <f>IFERROR(__xludf.DUMMYFUNCTION("""COMPUTED_VALUE"""),"K9A 4J8")</f>
        <v>K9A 4J8</v>
      </c>
      <c r="E3381" s="3" t="str">
        <f>IFERROR(__xludf.DUMMYFUNCTION("""COMPUTED_VALUE"""),"irene kupke gerda")</f>
        <v>irene kupke gerda</v>
      </c>
      <c r="F3381" s="3" t="str">
        <f>IFERROR(__xludf.DUMMYFUNCTION("""COMPUTED_VALUE"""),"chopsticks374@gmail.com")</f>
        <v>chopsticks374@gmail.com</v>
      </c>
      <c r="G3381" s="3">
        <f>IFERROR(__xludf.DUMMYFUNCTION("""COMPUTED_VALUE"""),9.053723947E9)</f>
        <v>9053723947</v>
      </c>
      <c r="H3381" s="3"/>
    </row>
    <row r="3382">
      <c r="A3382" s="2">
        <f>IFERROR(__xludf.DUMMYFUNCTION("""COMPUTED_VALUE"""),40511.0)</f>
        <v>40511</v>
      </c>
      <c r="B3382" s="3" t="str">
        <f>IFERROR(__xludf.DUMMYFUNCTION("""COMPUTED_VALUE"""),"9897 DANFORTH RD")</f>
        <v>9897 DANFORTH RD</v>
      </c>
      <c r="C3382" s="3" t="str">
        <f>IFERROR(__xludf.DUMMYFUNCTION("""COMPUTED_VALUE"""),"COBOURG")</f>
        <v>COBOURG</v>
      </c>
      <c r="D3382" s="3" t="str">
        <f>IFERROR(__xludf.DUMMYFUNCTION("""COMPUTED_VALUE"""),"K9A 4J8")</f>
        <v>K9A 4J8</v>
      </c>
      <c r="E3382" s="3"/>
      <c r="F3382" s="3"/>
      <c r="G3382" s="3"/>
      <c r="H3382" s="3"/>
    </row>
    <row r="3383">
      <c r="A3383" s="2">
        <f>IFERROR(__xludf.DUMMYFUNCTION("""COMPUTED_VALUE"""),40512.0)</f>
        <v>40512</v>
      </c>
      <c r="B3383" s="3" t="str">
        <f>IFERROR(__xludf.DUMMYFUNCTION("""COMPUTED_VALUE"""),"9910 DANFORTH RD")</f>
        <v>9910 DANFORTH RD</v>
      </c>
      <c r="C3383" s="3" t="str">
        <f>IFERROR(__xludf.DUMMYFUNCTION("""COMPUTED_VALUE"""),"COBOURG")</f>
        <v>COBOURG</v>
      </c>
      <c r="D3383" s="3" t="str">
        <f>IFERROR(__xludf.DUMMYFUNCTION("""COMPUTED_VALUE"""),"K9A 4J8")</f>
        <v>K9A 4J8</v>
      </c>
      <c r="E3383" s="3" t="str">
        <f>IFERROR(__xludf.DUMMYFUNCTION("""COMPUTED_VALUE"""),"jeff shissler")</f>
        <v>jeff shissler</v>
      </c>
      <c r="F3383" s="3" t="str">
        <f>IFERROR(__xludf.DUMMYFUNCTION("""COMPUTED_VALUE"""),"jeffshissler1@gmail.com")</f>
        <v>jeffshissler1@gmail.com</v>
      </c>
      <c r="G3383" s="3">
        <f>IFERROR(__xludf.DUMMYFUNCTION("""COMPUTED_VALUE"""),2.897711057E9)</f>
        <v>2897711057</v>
      </c>
      <c r="H3383" s="3">
        <f>IFERROR(__xludf.DUMMYFUNCTION("""COMPUTED_VALUE"""),9.05396608E9)</f>
        <v>9053966080</v>
      </c>
    </row>
    <row r="3384">
      <c r="A3384" s="2">
        <f>IFERROR(__xludf.DUMMYFUNCTION("""COMPUTED_VALUE"""),40513.0)</f>
        <v>40513</v>
      </c>
      <c r="B3384" s="3" t="str">
        <f>IFERROR(__xludf.DUMMYFUNCTION("""COMPUTED_VALUE"""),"9923 DANFORTH RD East")</f>
        <v>9923 DANFORTH RD East</v>
      </c>
      <c r="C3384" s="3" t="str">
        <f>IFERROR(__xludf.DUMMYFUNCTION("""COMPUTED_VALUE"""),"COBOURG")</f>
        <v>COBOURG</v>
      </c>
      <c r="D3384" s="3" t="str">
        <f>IFERROR(__xludf.DUMMYFUNCTION("""COMPUTED_VALUE"""),"K9A 4J8")</f>
        <v>K9A 4J8</v>
      </c>
      <c r="E3384" s="3" t="str">
        <f>IFERROR(__xludf.DUMMYFUNCTION("""COMPUTED_VALUE"""),"Tim Boucher")</f>
        <v>Tim Boucher</v>
      </c>
      <c r="F3384" s="3" t="str">
        <f>IFERROR(__xludf.DUMMYFUNCTION("""COMPUTED_VALUE"""),"tboucher@rogers.com")</f>
        <v>tboucher@rogers.com</v>
      </c>
      <c r="G3384" s="3"/>
      <c r="H3384" s="3"/>
    </row>
    <row r="3385">
      <c r="A3385" s="2">
        <f>IFERROR(__xludf.DUMMYFUNCTION("""COMPUTED_VALUE"""),40514.0)</f>
        <v>40514</v>
      </c>
      <c r="B3385" s="3" t="str">
        <f>IFERROR(__xludf.DUMMYFUNCTION("""COMPUTED_VALUE"""),"9924 DANFORTH RD")</f>
        <v>9924 DANFORTH RD</v>
      </c>
      <c r="C3385" s="3" t="str">
        <f>IFERROR(__xludf.DUMMYFUNCTION("""COMPUTED_VALUE"""),"COBOURG")</f>
        <v>COBOURG</v>
      </c>
      <c r="D3385" s="3" t="str">
        <f>IFERROR(__xludf.DUMMYFUNCTION("""COMPUTED_VALUE"""),"K9A 4J8")</f>
        <v>K9A 4J8</v>
      </c>
      <c r="E3385" s="3"/>
      <c r="F3385" s="3"/>
      <c r="G3385" s="3"/>
      <c r="H3385" s="3"/>
    </row>
    <row r="3386">
      <c r="A3386" s="2">
        <f>IFERROR(__xludf.DUMMYFUNCTION("""COMPUTED_VALUE"""),40515.0)</f>
        <v>40515</v>
      </c>
      <c r="B3386" s="3" t="str">
        <f>IFERROR(__xludf.DUMMYFUNCTION("""COMPUTED_VALUE"""),"9940 DANFORTH RD")</f>
        <v>9940 DANFORTH RD</v>
      </c>
      <c r="C3386" s="3" t="str">
        <f>IFERROR(__xludf.DUMMYFUNCTION("""COMPUTED_VALUE"""),"COBOURG")</f>
        <v>COBOURG</v>
      </c>
      <c r="D3386" s="3" t="str">
        <f>IFERROR(__xludf.DUMMYFUNCTION("""COMPUTED_VALUE"""),"K9A 4J8")</f>
        <v>K9A 4J8</v>
      </c>
      <c r="E3386" s="3" t="str">
        <f>IFERROR(__xludf.DUMMYFUNCTION("""COMPUTED_VALUE"""),"gary graham")</f>
        <v>gary graham</v>
      </c>
      <c r="F3386" s="3" t="str">
        <f>IFERROR(__xludf.DUMMYFUNCTION("""COMPUTED_VALUE"""),"caanalam@gmail.com")</f>
        <v>caanalam@gmail.com</v>
      </c>
      <c r="G3386" s="3">
        <f>IFERROR(__xludf.DUMMYFUNCTION("""COMPUTED_VALUE"""),9.053725577E9)</f>
        <v>9053725577</v>
      </c>
      <c r="H3386" s="3"/>
    </row>
    <row r="3387">
      <c r="A3387" s="2">
        <f>IFERROR(__xludf.DUMMYFUNCTION("""COMPUTED_VALUE"""),40516.0)</f>
        <v>40516</v>
      </c>
      <c r="B3387" s="3" t="str">
        <f>IFERROR(__xludf.DUMMYFUNCTION("""COMPUTED_VALUE"""),"9950 DANFORTH RD")</f>
        <v>9950 DANFORTH RD</v>
      </c>
      <c r="C3387" s="3" t="str">
        <f>IFERROR(__xludf.DUMMYFUNCTION("""COMPUTED_VALUE"""),"COBOURG")</f>
        <v>COBOURG</v>
      </c>
      <c r="D3387" s="3" t="str">
        <f>IFERROR(__xludf.DUMMYFUNCTION("""COMPUTED_VALUE"""),"K9A 4J8")</f>
        <v>K9A 4J8</v>
      </c>
      <c r="E3387" s="3" t="str">
        <f>IFERROR(__xludf.DUMMYFUNCTION("""COMPUTED_VALUE"""),"christine arsenault")</f>
        <v>christine arsenault</v>
      </c>
      <c r="F3387" s="3" t="str">
        <f>IFERROR(__xludf.DUMMYFUNCTION("""COMPUTED_VALUE"""),"christine.arsenault@outlook.com")</f>
        <v>christine.arsenault@outlook.com</v>
      </c>
      <c r="G3387" s="3">
        <f>IFERROR(__xludf.DUMMYFUNCTION("""COMPUTED_VALUE"""),2.895874002E9)</f>
        <v>2895874002</v>
      </c>
      <c r="H3387" s="3"/>
    </row>
    <row r="3388">
      <c r="A3388" s="2">
        <f>IFERROR(__xludf.DUMMYFUNCTION("""COMPUTED_VALUE"""),40517.0)</f>
        <v>40517</v>
      </c>
      <c r="B3388" s="3" t="str">
        <f>IFERROR(__xludf.DUMMYFUNCTION("""COMPUTED_VALUE"""),"9960 DANFORTH RD")</f>
        <v>9960 DANFORTH RD</v>
      </c>
      <c r="C3388" s="3" t="str">
        <f>IFERROR(__xludf.DUMMYFUNCTION("""COMPUTED_VALUE"""),"COBOURG")</f>
        <v>COBOURG</v>
      </c>
      <c r="D3388" s="3" t="str">
        <f>IFERROR(__xludf.DUMMYFUNCTION("""COMPUTED_VALUE"""),"K9A 4J8")</f>
        <v>K9A 4J8</v>
      </c>
      <c r="E3388" s="3" t="str">
        <f>IFERROR(__xludf.DUMMYFUNCTION("""COMPUTED_VALUE"""),"katie ellis ")</f>
        <v>katie ellis </v>
      </c>
      <c r="F3388" s="3" t="str">
        <f>IFERROR(__xludf.DUMMYFUNCTION("""COMPUTED_VALUE"""),"katieellis03@gmail.com")</f>
        <v>katieellis03@gmail.com</v>
      </c>
      <c r="G3388" s="3">
        <f>IFERROR(__xludf.DUMMYFUNCTION("""COMPUTED_VALUE"""),9.053753243E9)</f>
        <v>9053753243</v>
      </c>
      <c r="H3388" s="3">
        <f>IFERROR(__xludf.DUMMYFUNCTION("""COMPUTED_VALUE"""),9.053763324E9)</f>
        <v>9053763324</v>
      </c>
    </row>
    <row r="3389">
      <c r="A3389" s="2">
        <f>IFERROR(__xludf.DUMMYFUNCTION("""COMPUTED_VALUE"""),40518.0)</f>
        <v>40518</v>
      </c>
      <c r="B3389" s="3" t="str">
        <f>IFERROR(__xludf.DUMMYFUNCTION("""COMPUTED_VALUE"""),"9964 DANFORTH RD")</f>
        <v>9964 DANFORTH RD</v>
      </c>
      <c r="C3389" s="3" t="str">
        <f>IFERROR(__xludf.DUMMYFUNCTION("""COMPUTED_VALUE"""),"COBOURG")</f>
        <v>COBOURG</v>
      </c>
      <c r="D3389" s="3" t="str">
        <f>IFERROR(__xludf.DUMMYFUNCTION("""COMPUTED_VALUE"""),"K9A 4J8")</f>
        <v>K9A 4J8</v>
      </c>
      <c r="E3389" s="3"/>
      <c r="F3389" s="3"/>
      <c r="G3389" s="3"/>
      <c r="H3389" s="3"/>
    </row>
    <row r="3390">
      <c r="A3390" s="2">
        <f>IFERROR(__xludf.DUMMYFUNCTION("""COMPUTED_VALUE"""),40519.0)</f>
        <v>40519</v>
      </c>
      <c r="B3390" s="3" t="str">
        <f>IFERROR(__xludf.DUMMYFUNCTION("""COMPUTED_VALUE"""),"10020 DANFORTH RD")</f>
        <v>10020 DANFORTH RD</v>
      </c>
      <c r="C3390" s="3" t="str">
        <f>IFERROR(__xludf.DUMMYFUNCTION("""COMPUTED_VALUE"""),"COBOURG")</f>
        <v>COBOURG</v>
      </c>
      <c r="D3390" s="3" t="str">
        <f>IFERROR(__xludf.DUMMYFUNCTION("""COMPUTED_VALUE"""),"K9A 4J8")</f>
        <v>K9A 4J8</v>
      </c>
      <c r="E3390" s="3"/>
      <c r="F3390" s="3"/>
      <c r="G3390" s="3"/>
      <c r="H3390" s="3"/>
    </row>
    <row r="3391">
      <c r="A3391" s="2">
        <f>IFERROR(__xludf.DUMMYFUNCTION("""COMPUTED_VALUE"""),40520.0)</f>
        <v>40520</v>
      </c>
      <c r="B3391" s="3" t="str">
        <f>IFERROR(__xludf.DUMMYFUNCTION("""COMPUTED_VALUE"""),"10033 DANFORTH RD")</f>
        <v>10033 DANFORTH RD</v>
      </c>
      <c r="C3391" s="3" t="str">
        <f>IFERROR(__xludf.DUMMYFUNCTION("""COMPUTED_VALUE"""),"COBOURG")</f>
        <v>COBOURG</v>
      </c>
      <c r="D3391" s="3" t="str">
        <f>IFERROR(__xludf.DUMMYFUNCTION("""COMPUTED_VALUE"""),"K9A 4J8")</f>
        <v>K9A 4J8</v>
      </c>
      <c r="E3391" s="3" t="str">
        <f>IFERROR(__xludf.DUMMYFUNCTION("""COMPUTED_VALUE"""),"AMANDA DUDLEY")</f>
        <v>AMANDA DUDLEY</v>
      </c>
      <c r="F3391" s="3" t="str">
        <f>IFERROR(__xludf.DUMMYFUNCTION("""COMPUTED_VALUE"""),"dudley.a@outlook.com")</f>
        <v>dudley.a@outlook.com</v>
      </c>
      <c r="G3391" s="3"/>
      <c r="H3391" s="3"/>
    </row>
    <row r="3392">
      <c r="A3392" s="2">
        <f>IFERROR(__xludf.DUMMYFUNCTION("""COMPUTED_VALUE"""),40521.0)</f>
        <v>40521</v>
      </c>
      <c r="B3392" s="3" t="str">
        <f>IFERROR(__xludf.DUMMYFUNCTION("""COMPUTED_VALUE"""),"10040 DANFORTH RD")</f>
        <v>10040 DANFORTH RD</v>
      </c>
      <c r="C3392" s="3" t="str">
        <f>IFERROR(__xludf.DUMMYFUNCTION("""COMPUTED_VALUE"""),"COBOURG")</f>
        <v>COBOURG</v>
      </c>
      <c r="D3392" s="3" t="str">
        <f>IFERROR(__xludf.DUMMYFUNCTION("""COMPUTED_VALUE"""),"K9A 4J8")</f>
        <v>K9A 4J8</v>
      </c>
      <c r="E3392" s="3" t="str">
        <f>IFERROR(__xludf.DUMMYFUNCTION("""COMPUTED_VALUE"""),"Dylan Kauling")</f>
        <v>Dylan Kauling</v>
      </c>
      <c r="F3392" s="3" t="str">
        <f>IFERROR(__xludf.DUMMYFUNCTION("""COMPUTED_VALUE"""),"dylan.kauling@gmail.com")</f>
        <v>dylan.kauling@gmail.com</v>
      </c>
      <c r="G3392" s="3"/>
      <c r="H3392" s="3"/>
    </row>
    <row r="3393">
      <c r="A3393" s="2">
        <f>IFERROR(__xludf.DUMMYFUNCTION("""COMPUTED_VALUE"""),40522.0)</f>
        <v>40522</v>
      </c>
      <c r="B3393" s="3" t="str">
        <f>IFERROR(__xludf.DUMMYFUNCTION("""COMPUTED_VALUE"""),"10051 DANFORTH RD")</f>
        <v>10051 DANFORTH RD</v>
      </c>
      <c r="C3393" s="3" t="str">
        <f>IFERROR(__xludf.DUMMYFUNCTION("""COMPUTED_VALUE"""),"COBOURG")</f>
        <v>COBOURG</v>
      </c>
      <c r="D3393" s="3" t="str">
        <f>IFERROR(__xludf.DUMMYFUNCTION("""COMPUTED_VALUE"""),"K9A 4J8")</f>
        <v>K9A 4J8</v>
      </c>
      <c r="E3393" s="3" t="str">
        <f>IFERROR(__xludf.DUMMYFUNCTION("""COMPUTED_VALUE"""),"Wade Sheridan")</f>
        <v>Wade Sheridan</v>
      </c>
      <c r="F3393" s="3" t="str">
        <f>IFERROR(__xludf.DUMMYFUNCTION("""COMPUTED_VALUE"""),"amstaff3@live.ca")</f>
        <v>amstaff3@live.ca</v>
      </c>
      <c r="G3393" s="3"/>
      <c r="H3393" s="3"/>
    </row>
    <row r="3394">
      <c r="A3394" s="2">
        <f>IFERROR(__xludf.DUMMYFUNCTION("""COMPUTED_VALUE"""),40523.0)</f>
        <v>40523</v>
      </c>
      <c r="B3394" s="3" t="str">
        <f>IFERROR(__xludf.DUMMYFUNCTION("""COMPUTED_VALUE"""),"10068 DANFORTH RD")</f>
        <v>10068 DANFORTH RD</v>
      </c>
      <c r="C3394" s="3" t="str">
        <f>IFERROR(__xludf.DUMMYFUNCTION("""COMPUTED_VALUE"""),"COBOURG")</f>
        <v>COBOURG</v>
      </c>
      <c r="D3394" s="3" t="str">
        <f>IFERROR(__xludf.DUMMYFUNCTION("""COMPUTED_VALUE"""),"K9A 4J8")</f>
        <v>K9A 4J8</v>
      </c>
      <c r="E3394" s="3" t="str">
        <f>IFERROR(__xludf.DUMMYFUNCTION("""COMPUTED_VALUE"""),"jonas dawson ")</f>
        <v>jonas dawson </v>
      </c>
      <c r="F3394" s="3" t="str">
        <f>IFERROR(__xludf.DUMMYFUNCTION("""COMPUTED_VALUE"""),"jonas8314@hotmail.com")</f>
        <v>jonas8314@hotmail.com</v>
      </c>
      <c r="G3394" s="3">
        <f>IFERROR(__xludf.DUMMYFUNCTION("""COMPUTED_VALUE"""),9.059237308E9)</f>
        <v>9059237308</v>
      </c>
      <c r="H3394" s="3"/>
    </row>
    <row r="3395">
      <c r="A3395" s="2">
        <f>IFERROR(__xludf.DUMMYFUNCTION("""COMPUTED_VALUE"""),40524.0)</f>
        <v>40524</v>
      </c>
      <c r="B3395" s="3" t="str">
        <f>IFERROR(__xludf.DUMMYFUNCTION("""COMPUTED_VALUE"""),"10076 DANFORTH RD")</f>
        <v>10076 DANFORTH RD</v>
      </c>
      <c r="C3395" s="3" t="str">
        <f>IFERROR(__xludf.DUMMYFUNCTION("""COMPUTED_VALUE"""),"COBOURG")</f>
        <v>COBOURG</v>
      </c>
      <c r="D3395" s="3" t="str">
        <f>IFERROR(__xludf.DUMMYFUNCTION("""COMPUTED_VALUE"""),"K9A 4J8")</f>
        <v>K9A 4J8</v>
      </c>
      <c r="E3395" s="3" t="str">
        <f>IFERROR(__xludf.DUMMYFUNCTION("""COMPUTED_VALUE"""),"Nikki Kelly")</f>
        <v>Nikki Kelly</v>
      </c>
      <c r="F3395" s="3" t="str">
        <f>IFERROR(__xludf.DUMMYFUNCTION("""COMPUTED_VALUE"""),"nikkireid83@gmail.com")</f>
        <v>nikkireid83@gmail.com</v>
      </c>
      <c r="G3395" s="3">
        <f>IFERROR(__xludf.DUMMYFUNCTION("""COMPUTED_VALUE"""),2.897711768E9)</f>
        <v>2897711768</v>
      </c>
      <c r="H3395" s="3"/>
    </row>
    <row r="3396">
      <c r="A3396" s="2">
        <f>IFERROR(__xludf.DUMMYFUNCTION("""COMPUTED_VALUE"""),40525.0)</f>
        <v>40525</v>
      </c>
      <c r="B3396" s="3" t="str">
        <f>IFERROR(__xludf.DUMMYFUNCTION("""COMPUTED_VALUE"""),"10100 DANFORTH RD")</f>
        <v>10100 DANFORTH RD</v>
      </c>
      <c r="C3396" s="3" t="str">
        <f>IFERROR(__xludf.DUMMYFUNCTION("""COMPUTED_VALUE"""),"COBOURG")</f>
        <v>COBOURG</v>
      </c>
      <c r="D3396" s="3" t="str">
        <f>IFERROR(__xludf.DUMMYFUNCTION("""COMPUTED_VALUE"""),"K9A 4J8")</f>
        <v>K9A 4J8</v>
      </c>
      <c r="E3396" s="3"/>
      <c r="F3396" s="3"/>
      <c r="G3396" s="3"/>
      <c r="H3396" s="3"/>
    </row>
    <row r="3397">
      <c r="A3397" s="2">
        <f>IFERROR(__xludf.DUMMYFUNCTION("""COMPUTED_VALUE"""),40526.0)</f>
        <v>40526</v>
      </c>
      <c r="B3397" s="3" t="str">
        <f>IFERROR(__xludf.DUMMYFUNCTION("""COMPUTED_VALUE"""),"10111 DANFORTH RD")</f>
        <v>10111 DANFORTH RD</v>
      </c>
      <c r="C3397" s="3" t="str">
        <f>IFERROR(__xludf.DUMMYFUNCTION("""COMPUTED_VALUE"""),"COBOURG")</f>
        <v>COBOURG</v>
      </c>
      <c r="D3397" s="3" t="str">
        <f>IFERROR(__xludf.DUMMYFUNCTION("""COMPUTED_VALUE"""),"K9A 4J8")</f>
        <v>K9A 4J8</v>
      </c>
      <c r="E3397" s="3" t="str">
        <f>IFERROR(__xludf.DUMMYFUNCTION("""COMPUTED_VALUE"""),"jeannine bond")</f>
        <v>jeannine bond</v>
      </c>
      <c r="F3397" s="3" t="str">
        <f>IFERROR(__xludf.DUMMYFUNCTION("""COMPUTED_VALUE"""),"julie-kennedy@hotmail.com")</f>
        <v>julie-kennedy@hotmail.com</v>
      </c>
      <c r="G3397" s="3">
        <f>IFERROR(__xludf.DUMMYFUNCTION("""COMPUTED_VALUE"""),2.892513974E9)</f>
        <v>2892513974</v>
      </c>
      <c r="H3397" s="3">
        <f>IFERROR(__xludf.DUMMYFUNCTION("""COMPUTED_VALUE"""),9.053725765E9)</f>
        <v>9053725765</v>
      </c>
    </row>
    <row r="3398">
      <c r="A3398" s="2">
        <f>IFERROR(__xludf.DUMMYFUNCTION("""COMPUTED_VALUE"""),40527.0)</f>
        <v>40527</v>
      </c>
      <c r="B3398" s="3" t="str">
        <f>IFERROR(__xludf.DUMMYFUNCTION("""COMPUTED_VALUE"""),"10141 DANFORTH RD")</f>
        <v>10141 DANFORTH RD</v>
      </c>
      <c r="C3398" s="3" t="str">
        <f>IFERROR(__xludf.DUMMYFUNCTION("""COMPUTED_VALUE"""),"COBOURG")</f>
        <v>COBOURG</v>
      </c>
      <c r="D3398" s="3" t="str">
        <f>IFERROR(__xludf.DUMMYFUNCTION("""COMPUTED_VALUE"""),"K9A 4J8")</f>
        <v>K9A 4J8</v>
      </c>
      <c r="E3398" s="3"/>
      <c r="F3398" s="3"/>
      <c r="G3398" s="3"/>
      <c r="H3398" s="3"/>
    </row>
    <row r="3399">
      <c r="A3399" s="2">
        <f>IFERROR(__xludf.DUMMYFUNCTION("""COMPUTED_VALUE"""),40528.0)</f>
        <v>40528</v>
      </c>
      <c r="B3399" s="3" t="str">
        <f>IFERROR(__xludf.DUMMYFUNCTION("""COMPUTED_VALUE"""),"10157 DANFORTH RD")</f>
        <v>10157 DANFORTH RD</v>
      </c>
      <c r="C3399" s="3" t="str">
        <f>IFERROR(__xludf.DUMMYFUNCTION("""COMPUTED_VALUE"""),"COBOURG")</f>
        <v>COBOURG</v>
      </c>
      <c r="D3399" s="3" t="str">
        <f>IFERROR(__xludf.DUMMYFUNCTION("""COMPUTED_VALUE"""),"K9A 4J8")</f>
        <v>K9A 4J8</v>
      </c>
      <c r="E3399" s="3" t="str">
        <f>IFERROR(__xludf.DUMMYFUNCTION("""COMPUTED_VALUE"""),"ken grout ")</f>
        <v>ken grout </v>
      </c>
      <c r="F3399" s="3"/>
      <c r="G3399" s="3">
        <f>IFERROR(__xludf.DUMMYFUNCTION("""COMPUTED_VALUE"""),9.05269345E9)</f>
        <v>9052693450</v>
      </c>
      <c r="H3399" s="3">
        <f>IFERROR(__xludf.DUMMYFUNCTION("""COMPUTED_VALUE"""),9.052269766E10)</f>
        <v>90522697660</v>
      </c>
    </row>
    <row r="3400">
      <c r="A3400" s="2">
        <f>IFERROR(__xludf.DUMMYFUNCTION("""COMPUTED_VALUE"""),40529.0)</f>
        <v>40529</v>
      </c>
      <c r="B3400" s="3" t="str">
        <f>IFERROR(__xludf.DUMMYFUNCTION("""COMPUTED_VALUE"""),"10173 DANFORTH RD")</f>
        <v>10173 DANFORTH RD</v>
      </c>
      <c r="C3400" s="3" t="str">
        <f>IFERROR(__xludf.DUMMYFUNCTION("""COMPUTED_VALUE"""),"COBOURG")</f>
        <v>COBOURG</v>
      </c>
      <c r="D3400" s="3" t="str">
        <f>IFERROR(__xludf.DUMMYFUNCTION("""COMPUTED_VALUE"""),"K9A 4J8")</f>
        <v>K9A 4J8</v>
      </c>
      <c r="E3400" s="3" t="str">
        <f>IFERROR(__xludf.DUMMYFUNCTION("""COMPUTED_VALUE"""),"Susanne McKenzie")</f>
        <v>Susanne McKenzie</v>
      </c>
      <c r="F3400" s="3" t="str">
        <f>IFERROR(__xludf.DUMMYFUNCTION("""COMPUTED_VALUE"""),"nesting1971@gmail.com")</f>
        <v>nesting1971@gmail.com</v>
      </c>
      <c r="G3400" s="3">
        <f>IFERROR(__xludf.DUMMYFUNCTION("""COMPUTED_VALUE"""),9.053753625E9)</f>
        <v>9053753625</v>
      </c>
      <c r="H3400" s="3">
        <f>IFERROR(__xludf.DUMMYFUNCTION("""COMPUTED_VALUE"""),9.053759131E9)</f>
        <v>9053759131</v>
      </c>
    </row>
    <row r="3401">
      <c r="A3401" s="2">
        <f>IFERROR(__xludf.DUMMYFUNCTION("""COMPUTED_VALUE"""),40530.0)</f>
        <v>40530</v>
      </c>
      <c r="B3401" s="3" t="str">
        <f>IFERROR(__xludf.DUMMYFUNCTION("""COMPUTED_VALUE"""),"199 OLD DANFORTH RD")</f>
        <v>199 OLD DANFORTH RD</v>
      </c>
      <c r="C3401" s="3" t="str">
        <f>IFERROR(__xludf.DUMMYFUNCTION("""COMPUTED_VALUE"""),"COBOURG")</f>
        <v>COBOURG</v>
      </c>
      <c r="D3401" s="3" t="str">
        <f>IFERROR(__xludf.DUMMYFUNCTION("""COMPUTED_VALUE"""),"K9A 4J8")</f>
        <v>K9A 4J8</v>
      </c>
      <c r="E3401" s="3"/>
      <c r="F3401" s="3"/>
      <c r="G3401" s="3"/>
      <c r="H3401" s="3"/>
    </row>
    <row r="3402">
      <c r="A3402" s="2">
        <f>IFERROR(__xludf.DUMMYFUNCTION("""COMPUTED_VALUE"""),40531.0)</f>
        <v>40531</v>
      </c>
      <c r="B3402" s="3" t="str">
        <f>IFERROR(__xludf.DUMMYFUNCTION("""COMPUTED_VALUE"""),"121 DRIVER'S REST RD")</f>
        <v>121 DRIVER'S REST RD</v>
      </c>
      <c r="C3402" s="3" t="str">
        <f>IFERROR(__xludf.DUMMYFUNCTION("""COMPUTED_VALUE"""),"COBOURG")</f>
        <v>COBOURG</v>
      </c>
      <c r="D3402" s="3" t="str">
        <f>IFERROR(__xludf.DUMMYFUNCTION("""COMPUTED_VALUE"""),"K9A 4J8")</f>
        <v>K9A 4J8</v>
      </c>
      <c r="E3402" s="3" t="str">
        <f>IFERROR(__xludf.DUMMYFUNCTION("""COMPUTED_VALUE"""),"stephen colson")</f>
        <v>stephen colson</v>
      </c>
      <c r="F3402" s="3" t="str">
        <f>IFERROR(__xludf.DUMMYFUNCTION("""COMPUTED_VALUE"""),"quintc97@gmail.com")</f>
        <v>quintc97@gmail.com</v>
      </c>
      <c r="G3402" s="3">
        <f>IFERROR(__xludf.DUMMYFUNCTION("""COMPUTED_VALUE"""),2.898291364E9)</f>
        <v>2898291364</v>
      </c>
      <c r="H3402" s="3"/>
    </row>
    <row r="3403">
      <c r="A3403" s="2">
        <f>IFERROR(__xludf.DUMMYFUNCTION("""COMPUTED_VALUE"""),40532.0)</f>
        <v>40532</v>
      </c>
      <c r="B3403" s="3" t="str">
        <f>IFERROR(__xludf.DUMMYFUNCTION("""COMPUTED_VALUE"""),"125 DRIVERS REST RD")</f>
        <v>125 DRIVERS REST RD</v>
      </c>
      <c r="C3403" s="3" t="str">
        <f>IFERROR(__xludf.DUMMYFUNCTION("""COMPUTED_VALUE"""),"COBOURG")</f>
        <v>COBOURG</v>
      </c>
      <c r="D3403" s="3" t="str">
        <f>IFERROR(__xludf.DUMMYFUNCTION("""COMPUTED_VALUE"""),"K9A 4J8")</f>
        <v>K9A 4J8</v>
      </c>
      <c r="E3403" s="3"/>
      <c r="F3403" s="3"/>
      <c r="G3403" s="3"/>
      <c r="H3403" s="3"/>
    </row>
    <row r="3404">
      <c r="A3404" s="2">
        <f>IFERROR(__xludf.DUMMYFUNCTION("""COMPUTED_VALUE"""),40533.0)</f>
        <v>40533</v>
      </c>
      <c r="B3404" s="3" t="str">
        <f>IFERROR(__xludf.DUMMYFUNCTION("""COMPUTED_VALUE"""),"140 DRIVERS REST RD")</f>
        <v>140 DRIVERS REST RD</v>
      </c>
      <c r="C3404" s="3" t="str">
        <f>IFERROR(__xludf.DUMMYFUNCTION("""COMPUTED_VALUE"""),"COBOURG")</f>
        <v>COBOURG</v>
      </c>
      <c r="D3404" s="3" t="str">
        <f>IFERROR(__xludf.DUMMYFUNCTION("""COMPUTED_VALUE"""),"K9A 4J8")</f>
        <v>K9A 4J8</v>
      </c>
      <c r="E3404" s="3" t="str">
        <f>IFERROR(__xludf.DUMMYFUNCTION("""COMPUTED_VALUE"""),"Karen Guest-Miller")</f>
        <v>Karen Guest-Miller</v>
      </c>
      <c r="F3404" s="3"/>
      <c r="G3404" s="3">
        <f>IFERROR(__xludf.DUMMYFUNCTION("""COMPUTED_VALUE"""),9.053759061E9)</f>
        <v>9053759061</v>
      </c>
      <c r="H3404" s="3">
        <f>IFERROR(__xludf.DUMMYFUNCTION("""COMPUTED_VALUE"""),9.05396184E9)</f>
        <v>9053961840</v>
      </c>
    </row>
    <row r="3405">
      <c r="A3405" s="2">
        <f>IFERROR(__xludf.DUMMYFUNCTION("""COMPUTED_VALUE"""),40534.0)</f>
        <v>40534</v>
      </c>
      <c r="B3405" s="3" t="str">
        <f>IFERROR(__xludf.DUMMYFUNCTION("""COMPUTED_VALUE"""),"148 DRIVERS REST RD")</f>
        <v>148 DRIVERS REST RD</v>
      </c>
      <c r="C3405" s="3" t="str">
        <f>IFERROR(__xludf.DUMMYFUNCTION("""COMPUTED_VALUE"""),"COBOURG")</f>
        <v>COBOURG</v>
      </c>
      <c r="D3405" s="3" t="str">
        <f>IFERROR(__xludf.DUMMYFUNCTION("""COMPUTED_VALUE"""),"K9A 4J8")</f>
        <v>K9A 4J8</v>
      </c>
      <c r="E3405" s="3" t="str">
        <f>IFERROR(__xludf.DUMMYFUNCTION("""COMPUTED_VALUE"""),"bert vanderwel")</f>
        <v>bert vanderwel</v>
      </c>
      <c r="F3405" s="3" t="str">
        <f>IFERROR(__xludf.DUMMYFUNCTION("""COMPUTED_VALUE"""),"bertvanderwel8@gmail.com")</f>
        <v>bertvanderwel8@gmail.com</v>
      </c>
      <c r="G3405" s="3">
        <f>IFERROR(__xludf.DUMMYFUNCTION("""COMPUTED_VALUE"""),9.052693244E9)</f>
        <v>9052693244</v>
      </c>
      <c r="H3405" s="3">
        <f>IFERROR(__xludf.DUMMYFUNCTION("""COMPUTED_VALUE"""),9.053694293E9)</f>
        <v>9053694293</v>
      </c>
    </row>
    <row r="3406">
      <c r="A3406" s="2">
        <f>IFERROR(__xludf.DUMMYFUNCTION("""COMPUTED_VALUE"""),40535.0)</f>
        <v>40535</v>
      </c>
      <c r="B3406" s="3" t="str">
        <f>IFERROR(__xludf.DUMMYFUNCTION("""COMPUTED_VALUE"""),"152 DRIVERS REST RD")</f>
        <v>152 DRIVERS REST RD</v>
      </c>
      <c r="C3406" s="3" t="str">
        <f>IFERROR(__xludf.DUMMYFUNCTION("""COMPUTED_VALUE"""),"COBOURG")</f>
        <v>COBOURG</v>
      </c>
      <c r="D3406" s="3" t="str">
        <f>IFERROR(__xludf.DUMMYFUNCTION("""COMPUTED_VALUE"""),"K9A 4J8")</f>
        <v>K9A 4J8</v>
      </c>
      <c r="E3406" s="3" t="str">
        <f>IFERROR(__xludf.DUMMYFUNCTION("""COMPUTED_VALUE"""),"TONY POSTHUMUS")</f>
        <v>TONY POSTHUMUS</v>
      </c>
      <c r="F3406" s="3" t="str">
        <f>IFERROR(__xludf.DUMMYFUNCTION("""COMPUTED_VALUE"""),"tonyposthumus@gmail.com")</f>
        <v>tonyposthumus@gmail.com</v>
      </c>
      <c r="G3406" s="3"/>
      <c r="H3406" s="3"/>
    </row>
    <row r="3407">
      <c r="A3407" s="2">
        <f>IFERROR(__xludf.DUMMYFUNCTION("""COMPUTED_VALUE"""),40536.0)</f>
        <v>40536</v>
      </c>
      <c r="B3407" s="3" t="str">
        <f>IFERROR(__xludf.DUMMYFUNCTION("""COMPUTED_VALUE"""),"155 DRIVERS REST RD")</f>
        <v>155 DRIVERS REST RD</v>
      </c>
      <c r="C3407" s="3" t="str">
        <f>IFERROR(__xludf.DUMMYFUNCTION("""COMPUTED_VALUE"""),"COBOURG")</f>
        <v>COBOURG</v>
      </c>
      <c r="D3407" s="3" t="str">
        <f>IFERROR(__xludf.DUMMYFUNCTION("""COMPUTED_VALUE"""),"K9A 4J8")</f>
        <v>K9A 4J8</v>
      </c>
      <c r="E3407" s="3" t="str">
        <f>IFERROR(__xludf.DUMMYFUNCTION("""COMPUTED_VALUE"""),"Robert Martorino / Mary Martorino")</f>
        <v>Robert Martorino / Mary Martorino</v>
      </c>
      <c r="F3407" s="3" t="str">
        <f>IFERROR(__xludf.DUMMYFUNCTION("""COMPUTED_VALUE"""),"marymartorino@hotmail.com")</f>
        <v>marymartorino@hotmail.com</v>
      </c>
      <c r="G3407" s="3"/>
      <c r="H3407" s="3"/>
    </row>
    <row r="3408">
      <c r="A3408" s="2">
        <f>IFERROR(__xludf.DUMMYFUNCTION("""COMPUTED_VALUE"""),40537.0)</f>
        <v>40537</v>
      </c>
      <c r="B3408" s="3" t="str">
        <f>IFERROR(__xludf.DUMMYFUNCTION("""COMPUTED_VALUE"""),"169 DRIVERS REST RD")</f>
        <v>169 DRIVERS REST RD</v>
      </c>
      <c r="C3408" s="3" t="str">
        <f>IFERROR(__xludf.DUMMYFUNCTION("""COMPUTED_VALUE"""),"COBOURG")</f>
        <v>COBOURG</v>
      </c>
      <c r="D3408" s="3" t="str">
        <f>IFERROR(__xludf.DUMMYFUNCTION("""COMPUTED_VALUE"""),"K9A 4J8")</f>
        <v>K9A 4J8</v>
      </c>
      <c r="E3408" s="3" t="str">
        <f>IFERROR(__xludf.DUMMYFUNCTION("""COMPUTED_VALUE"""),"dan and carol cole ")</f>
        <v>dan and carol cole </v>
      </c>
      <c r="F3408" s="3" t="str">
        <f>IFERROR(__xludf.DUMMYFUNCTION("""COMPUTED_VALUE"""),"wee_turbo@yahoo.com")</f>
        <v>wee_turbo@yahoo.com</v>
      </c>
      <c r="G3408" s="3">
        <f>IFERROR(__xludf.DUMMYFUNCTION("""COMPUTED_VALUE"""),4.168013974E9)</f>
        <v>4168013974</v>
      </c>
      <c r="H3408" s="3">
        <f>IFERROR(__xludf.DUMMYFUNCTION("""COMPUTED_VALUE"""),6.472971185E9)</f>
        <v>6472971185</v>
      </c>
    </row>
    <row r="3409">
      <c r="A3409" s="2">
        <f>IFERROR(__xludf.DUMMYFUNCTION("""COMPUTED_VALUE"""),40571.0)</f>
        <v>40571</v>
      </c>
      <c r="B3409" s="3" t="str">
        <f>IFERROR(__xludf.DUMMYFUNCTION("""COMPUTED_VALUE"""),"107 FOX RUN RD")</f>
        <v>107 FOX RUN RD</v>
      </c>
      <c r="C3409" s="3" t="str">
        <f>IFERROR(__xludf.DUMMYFUNCTION("""COMPUTED_VALUE"""),"COBOURG")</f>
        <v>COBOURG</v>
      </c>
      <c r="D3409" s="3" t="str">
        <f>IFERROR(__xludf.DUMMYFUNCTION("""COMPUTED_VALUE"""),"K9A 4J8")</f>
        <v>K9A 4J8</v>
      </c>
      <c r="E3409" s="3"/>
      <c r="F3409" s="3"/>
      <c r="G3409" s="3"/>
      <c r="H3409" s="3"/>
    </row>
    <row r="3410">
      <c r="A3410" s="2">
        <f>IFERROR(__xludf.DUMMYFUNCTION("""COMPUTED_VALUE"""),40572.0)</f>
        <v>40572</v>
      </c>
      <c r="B3410" s="3" t="str">
        <f>IFERROR(__xludf.DUMMYFUNCTION("""COMPUTED_VALUE"""),"110 FOX RUN")</f>
        <v>110 FOX RUN</v>
      </c>
      <c r="C3410" s="3" t="str">
        <f>IFERROR(__xludf.DUMMYFUNCTION("""COMPUTED_VALUE"""),"COBOURG")</f>
        <v>COBOURG</v>
      </c>
      <c r="D3410" s="3" t="str">
        <f>IFERROR(__xludf.DUMMYFUNCTION("""COMPUTED_VALUE"""),"K9A 4J8")</f>
        <v>K9A 4J8</v>
      </c>
      <c r="E3410" s="3"/>
      <c r="F3410" s="3"/>
      <c r="G3410" s="3"/>
      <c r="H3410" s="3"/>
    </row>
    <row r="3411">
      <c r="A3411" s="2">
        <f>IFERROR(__xludf.DUMMYFUNCTION("""COMPUTED_VALUE"""),40573.0)</f>
        <v>40573</v>
      </c>
      <c r="B3411" s="3" t="str">
        <f>IFERROR(__xludf.DUMMYFUNCTION("""COMPUTED_VALUE"""),"116 FOX RUN")</f>
        <v>116 FOX RUN</v>
      </c>
      <c r="C3411" s="3" t="str">
        <f>IFERROR(__xludf.DUMMYFUNCTION("""COMPUTED_VALUE"""),"COBOURG")</f>
        <v>COBOURG</v>
      </c>
      <c r="D3411" s="3" t="str">
        <f>IFERROR(__xludf.DUMMYFUNCTION("""COMPUTED_VALUE"""),"K9A 4J8")</f>
        <v>K9A 4J8</v>
      </c>
      <c r="E3411" s="3" t="str">
        <f>IFERROR(__xludf.DUMMYFUNCTION("""COMPUTED_VALUE"""),"carlos and denice fernades")</f>
        <v>carlos and denice fernades</v>
      </c>
      <c r="F3411" s="3" t="str">
        <f>IFERROR(__xludf.DUMMYFUNCTION("""COMPUTED_VALUE"""),"carlosfernandes905@gmail.com")</f>
        <v>carlosfernandes905@gmail.com</v>
      </c>
      <c r="G3411" s="3">
        <f>IFERROR(__xludf.DUMMYFUNCTION("""COMPUTED_VALUE"""),9.059034425E9)</f>
        <v>9059034425</v>
      </c>
      <c r="H3411" s="3"/>
    </row>
    <row r="3412">
      <c r="A3412" s="2">
        <f>IFERROR(__xludf.DUMMYFUNCTION("""COMPUTED_VALUE"""),40574.0)</f>
        <v>40574</v>
      </c>
      <c r="B3412" s="3" t="str">
        <f>IFERROR(__xludf.DUMMYFUNCTION("""COMPUTED_VALUE"""),"130 FOX RUN RD")</f>
        <v>130 FOX RUN RD</v>
      </c>
      <c r="C3412" s="3" t="str">
        <f>IFERROR(__xludf.DUMMYFUNCTION("""COMPUTED_VALUE"""),"COBOURG")</f>
        <v>COBOURG</v>
      </c>
      <c r="D3412" s="3" t="str">
        <f>IFERROR(__xludf.DUMMYFUNCTION("""COMPUTED_VALUE"""),"K9A 4J8")</f>
        <v>K9A 4J8</v>
      </c>
      <c r="E3412" s="3"/>
      <c r="F3412" s="3"/>
      <c r="G3412" s="3"/>
      <c r="H3412" s="3"/>
    </row>
    <row r="3413">
      <c r="A3413" s="2">
        <f>IFERROR(__xludf.DUMMYFUNCTION("""COMPUTED_VALUE"""),40575.0)</f>
        <v>40575</v>
      </c>
      <c r="B3413" s="3" t="str">
        <f>IFERROR(__xludf.DUMMYFUNCTION("""COMPUTED_VALUE"""),"133 FOX RUN RD")</f>
        <v>133 FOX RUN RD</v>
      </c>
      <c r="C3413" s="3" t="str">
        <f>IFERROR(__xludf.DUMMYFUNCTION("""COMPUTED_VALUE"""),"COBOURG")</f>
        <v>COBOURG</v>
      </c>
      <c r="D3413" s="3" t="str">
        <f>IFERROR(__xludf.DUMMYFUNCTION("""COMPUTED_VALUE"""),"K9A 4J8")</f>
        <v>K9A 4J8</v>
      </c>
      <c r="E3413" s="3"/>
      <c r="F3413" s="3"/>
      <c r="G3413" s="3"/>
      <c r="H3413" s="3"/>
    </row>
    <row r="3414">
      <c r="A3414" s="2">
        <f>IFERROR(__xludf.DUMMYFUNCTION("""COMPUTED_VALUE"""),40576.0)</f>
        <v>40576</v>
      </c>
      <c r="B3414" s="3" t="str">
        <f>IFERROR(__xludf.DUMMYFUNCTION("""COMPUTED_VALUE"""),"142 FOX RUN RD")</f>
        <v>142 FOX RUN RD</v>
      </c>
      <c r="C3414" s="3" t="str">
        <f>IFERROR(__xludf.DUMMYFUNCTION("""COMPUTED_VALUE"""),"COBOURG")</f>
        <v>COBOURG</v>
      </c>
      <c r="D3414" s="3" t="str">
        <f>IFERROR(__xludf.DUMMYFUNCTION("""COMPUTED_VALUE"""),"K9A 4J8")</f>
        <v>K9A 4J8</v>
      </c>
      <c r="E3414" s="3"/>
      <c r="F3414" s="3"/>
      <c r="G3414" s="3"/>
      <c r="H3414" s="3"/>
    </row>
    <row r="3415">
      <c r="A3415" s="2">
        <f>IFERROR(__xludf.DUMMYFUNCTION("""COMPUTED_VALUE"""),40577.0)</f>
        <v>40577</v>
      </c>
      <c r="B3415" s="3" t="str">
        <f>IFERROR(__xludf.DUMMYFUNCTION("""COMPUTED_VALUE"""),"147 FOX RUN RD")</f>
        <v>147 FOX RUN RD</v>
      </c>
      <c r="C3415" s="3" t="str">
        <f>IFERROR(__xludf.DUMMYFUNCTION("""COMPUTED_VALUE"""),"COBOURG")</f>
        <v>COBOURG</v>
      </c>
      <c r="D3415" s="3" t="str">
        <f>IFERROR(__xludf.DUMMYFUNCTION("""COMPUTED_VALUE"""),"K9A 4J8")</f>
        <v>K9A 4J8</v>
      </c>
      <c r="E3415" s="3" t="str">
        <f>IFERROR(__xludf.DUMMYFUNCTION("""COMPUTED_VALUE"""),"AMANDA  HOLDER")</f>
        <v>AMANDA  HOLDER</v>
      </c>
      <c r="F3415" s="3" t="str">
        <f>IFERROR(__xludf.DUMMYFUNCTION("""COMPUTED_VALUE"""),"a.holder82@live.ca")</f>
        <v>a.holder82@live.ca</v>
      </c>
      <c r="G3415" s="3"/>
      <c r="H3415" s="3"/>
    </row>
    <row r="3416">
      <c r="A3416" s="2">
        <f>IFERROR(__xludf.DUMMYFUNCTION("""COMPUTED_VALUE"""),40578.0)</f>
        <v>40578</v>
      </c>
      <c r="B3416" s="3" t="str">
        <f>IFERROR(__xludf.DUMMYFUNCTION("""COMPUTED_VALUE"""),"154 FOX RUN RD")</f>
        <v>154 FOX RUN RD</v>
      </c>
      <c r="C3416" s="3" t="str">
        <f>IFERROR(__xludf.DUMMYFUNCTION("""COMPUTED_VALUE"""),"COBOURG")</f>
        <v>COBOURG</v>
      </c>
      <c r="D3416" s="3" t="str">
        <f>IFERROR(__xludf.DUMMYFUNCTION("""COMPUTED_VALUE"""),"K9A 4J8")</f>
        <v>K9A 4J8</v>
      </c>
      <c r="E3416" s="3" t="str">
        <f>IFERROR(__xludf.DUMMYFUNCTION("""COMPUTED_VALUE"""),"saraanne ruffet and david chambers ")</f>
        <v>saraanne ruffet and david chambers </v>
      </c>
      <c r="F3416" s="3" t="str">
        <f>IFERROR(__xludf.DUMMYFUNCTION("""COMPUTED_VALUE"""),"saruffet333@gmail.com")</f>
        <v>saruffet333@gmail.com</v>
      </c>
      <c r="G3416" s="3">
        <f>IFERROR(__xludf.DUMMYFUNCTION("""COMPUTED_VALUE"""),9.053493535E9)</f>
        <v>9053493535</v>
      </c>
      <c r="H3416" s="3">
        <f>IFERROR(__xludf.DUMMYFUNCTION("""COMPUTED_VALUE"""),2.8925135E9)</f>
        <v>2892513500</v>
      </c>
    </row>
    <row r="3417">
      <c r="A3417" s="2">
        <f>IFERROR(__xludf.DUMMYFUNCTION("""COMPUTED_VALUE"""),40579.0)</f>
        <v>40579</v>
      </c>
      <c r="B3417" s="3" t="str">
        <f>IFERROR(__xludf.DUMMYFUNCTION("""COMPUTED_VALUE"""),"157 FOX RUN RD")</f>
        <v>157 FOX RUN RD</v>
      </c>
      <c r="C3417" s="3" t="str">
        <f>IFERROR(__xludf.DUMMYFUNCTION("""COMPUTED_VALUE"""),"COBOURG")</f>
        <v>COBOURG</v>
      </c>
      <c r="D3417" s="3" t="str">
        <f>IFERROR(__xludf.DUMMYFUNCTION("""COMPUTED_VALUE"""),"K9A 4J8")</f>
        <v>K9A 4J8</v>
      </c>
      <c r="E3417" s="3" t="str">
        <f>IFERROR(__xludf.DUMMYFUNCTION("""COMPUTED_VALUE"""),"dave and diana hughes ")</f>
        <v>dave and diana hughes </v>
      </c>
      <c r="F3417" s="3" t="str">
        <f>IFERROR(__xludf.DUMMYFUNCTION("""COMPUTED_VALUE"""),"davehuges1433@gmail.com")</f>
        <v>davehuges1433@gmail.com</v>
      </c>
      <c r="G3417" s="3">
        <f>IFERROR(__xludf.DUMMYFUNCTION("""COMPUTED_VALUE"""),9.053493746E9)</f>
        <v>9053493746</v>
      </c>
      <c r="H3417" s="3">
        <f>IFERROR(__xludf.DUMMYFUNCTION("""COMPUTED_VALUE"""),9.053966797E9)</f>
        <v>9053966797</v>
      </c>
    </row>
    <row r="3418">
      <c r="A3418" s="2">
        <f>IFERROR(__xludf.DUMMYFUNCTION("""COMPUTED_VALUE"""),40106.0)</f>
        <v>40106</v>
      </c>
      <c r="B3418" s="3"/>
      <c r="C3418" s="3" t="str">
        <f>IFERROR(__xludf.DUMMYFUNCTION("""COMPUTED_VALUE"""),"GRAFTON ")</f>
        <v>GRAFTON </v>
      </c>
      <c r="D3418" s="3" t="str">
        <f>IFERROR(__xludf.DUMMYFUNCTION("""COMPUTED_VALUE"""),"K0K 2G0")</f>
        <v>K0K 2G0</v>
      </c>
      <c r="E3418" s="3" t="str">
        <f>IFERROR(__xludf.DUMMYFUNCTION("""COMPUTED_VALUE"""),"paul aitken")</f>
        <v>paul aitken</v>
      </c>
      <c r="F3418" s="3" t="str">
        <f>IFERROR(__xludf.DUMMYFUNCTION("""COMPUTED_VALUE"""),"aitkenpaul7@gmail.com")</f>
        <v>aitkenpaul7@gmail.com</v>
      </c>
      <c r="G3418" s="3">
        <f>IFERROR(__xludf.DUMMYFUNCTION("""COMPUTED_VALUE"""),9.053754769E9)</f>
        <v>9053754769</v>
      </c>
      <c r="H3418" s="3"/>
    </row>
    <row r="3419">
      <c r="A3419" s="2">
        <f>IFERROR(__xludf.DUMMYFUNCTION("""COMPUTED_VALUE"""),40107.0)</f>
        <v>40107</v>
      </c>
      <c r="B3419" s="3"/>
      <c r="C3419" s="3" t="str">
        <f>IFERROR(__xludf.DUMMYFUNCTION("""COMPUTED_VALUE"""),"GRAFTON ")</f>
        <v>GRAFTON </v>
      </c>
      <c r="D3419" s="3" t="str">
        <f>IFERROR(__xludf.DUMMYFUNCTION("""COMPUTED_VALUE"""),"K0K 2G0")</f>
        <v>K0K 2G0</v>
      </c>
      <c r="E3419" s="3"/>
      <c r="F3419" s="3"/>
      <c r="G3419" s="3"/>
      <c r="H3419" s="3"/>
    </row>
    <row r="3420">
      <c r="A3420" s="2">
        <f>IFERROR(__xludf.DUMMYFUNCTION("""COMPUTED_VALUE"""),40108.0)</f>
        <v>40108</v>
      </c>
      <c r="B3420" s="3"/>
      <c r="C3420" s="3" t="str">
        <f>IFERROR(__xludf.DUMMYFUNCTION("""COMPUTED_VALUE"""),"GRAFTON ")</f>
        <v>GRAFTON </v>
      </c>
      <c r="D3420" s="3" t="str">
        <f>IFERROR(__xludf.DUMMYFUNCTION("""COMPUTED_VALUE"""),"K0K 2G0")</f>
        <v>K0K 2G0</v>
      </c>
      <c r="E3420" s="3" t="str">
        <f>IFERROR(__xludf.DUMMYFUNCTION("""COMPUTED_VALUE"""),"Clive Cudmore")</f>
        <v>Clive Cudmore</v>
      </c>
      <c r="F3420" s="3" t="str">
        <f>IFERROR(__xludf.DUMMYFUNCTION("""COMPUTED_VALUE"""),"cudmore.ew@gmail.com")</f>
        <v>cudmore.ew@gmail.com</v>
      </c>
      <c r="G3420" s="3">
        <f>IFERROR(__xludf.DUMMYFUNCTION("""COMPUTED_VALUE"""),5.193787499E9)</f>
        <v>5193787499</v>
      </c>
      <c r="H3420" s="3"/>
    </row>
    <row r="3421">
      <c r="A3421" s="2">
        <f>IFERROR(__xludf.DUMMYFUNCTION("""COMPUTED_VALUE"""),40109.0)</f>
        <v>40109</v>
      </c>
      <c r="B3421" s="3"/>
      <c r="C3421" s="3" t="str">
        <f>IFERROR(__xludf.DUMMYFUNCTION("""COMPUTED_VALUE"""),"GRAFTON ")</f>
        <v>GRAFTON </v>
      </c>
      <c r="D3421" s="3" t="str">
        <f>IFERROR(__xludf.DUMMYFUNCTION("""COMPUTED_VALUE"""),"K0K 2G0")</f>
        <v>K0K 2G0</v>
      </c>
      <c r="E3421" s="3"/>
      <c r="F3421" s="3"/>
      <c r="G3421" s="3"/>
      <c r="H3421" s="3"/>
    </row>
    <row r="3422">
      <c r="A3422" s="2">
        <f>IFERROR(__xludf.DUMMYFUNCTION("""COMPUTED_VALUE"""),40110.0)</f>
        <v>40110</v>
      </c>
      <c r="B3422" s="3"/>
      <c r="C3422" s="3" t="str">
        <f>IFERROR(__xludf.DUMMYFUNCTION("""COMPUTED_VALUE"""),"GRAFTON ")</f>
        <v>GRAFTON </v>
      </c>
      <c r="D3422" s="3" t="str">
        <f>IFERROR(__xludf.DUMMYFUNCTION("""COMPUTED_VALUE"""),"K0K 2G0")</f>
        <v>K0K 2G0</v>
      </c>
      <c r="E3422" s="3"/>
      <c r="F3422" s="3"/>
      <c r="G3422" s="3"/>
      <c r="H3422" s="3"/>
    </row>
    <row r="3423">
      <c r="A3423" s="2">
        <f>IFERROR(__xludf.DUMMYFUNCTION("""COMPUTED_VALUE"""),40111.0)</f>
        <v>40111</v>
      </c>
      <c r="B3423" s="3"/>
      <c r="C3423" s="3" t="str">
        <f>IFERROR(__xludf.DUMMYFUNCTION("""COMPUTED_VALUE"""),"GRAFTON ")</f>
        <v>GRAFTON </v>
      </c>
      <c r="D3423" s="3" t="str">
        <f>IFERROR(__xludf.DUMMYFUNCTION("""COMPUTED_VALUE"""),"K0K 2G0")</f>
        <v>K0K 2G0</v>
      </c>
      <c r="E3423" s="3" t="str">
        <f>IFERROR(__xludf.DUMMYFUNCTION("""COMPUTED_VALUE"""),"GARY SCHNURR")</f>
        <v>GARY SCHNURR</v>
      </c>
      <c r="F3423" s="3" t="str">
        <f>IFERROR(__xludf.DUMMYFUNCTION("""COMPUTED_VALUE"""),"gschnurr22@hotmail.com")</f>
        <v>gschnurr22@hotmail.com</v>
      </c>
      <c r="G3423" s="3"/>
      <c r="H3423" s="3"/>
    </row>
    <row r="3424">
      <c r="A3424" s="2">
        <f>IFERROR(__xludf.DUMMYFUNCTION("""COMPUTED_VALUE"""),40112.0)</f>
        <v>40112</v>
      </c>
      <c r="B3424" s="3" t="str">
        <f>IFERROR(__xludf.DUMMYFUNCTION("""COMPUTED_VALUE"""),"416 BRIMLEY RD S")</f>
        <v>416 BRIMLEY RD S</v>
      </c>
      <c r="C3424" s="3" t="str">
        <f>IFERROR(__xludf.DUMMYFUNCTION("""COMPUTED_VALUE"""),"GRAFTON ")</f>
        <v>GRAFTON </v>
      </c>
      <c r="D3424" s="3" t="str">
        <f>IFERROR(__xludf.DUMMYFUNCTION("""COMPUTED_VALUE"""),"K0K 2G0")</f>
        <v>K0K 2G0</v>
      </c>
      <c r="E3424" s="3"/>
      <c r="F3424" s="3"/>
      <c r="G3424" s="3"/>
      <c r="H3424" s="3"/>
    </row>
    <row r="3425">
      <c r="A3425" s="2">
        <f>IFERROR(__xludf.DUMMYFUNCTION("""COMPUTED_VALUE"""),40113.0)</f>
        <v>40113</v>
      </c>
      <c r="B3425" s="3" t="str">
        <f>IFERROR(__xludf.DUMMYFUNCTION("""COMPUTED_VALUE"""),"417 BRIMLEY RD S")</f>
        <v>417 BRIMLEY RD S</v>
      </c>
      <c r="C3425" s="3" t="str">
        <f>IFERROR(__xludf.DUMMYFUNCTION("""COMPUTED_VALUE"""),"GRAFTON ")</f>
        <v>GRAFTON </v>
      </c>
      <c r="D3425" s="3" t="str">
        <f>IFERROR(__xludf.DUMMYFUNCTION("""COMPUTED_VALUE"""),"K0K 2G0")</f>
        <v>K0K 2G0</v>
      </c>
      <c r="E3425" s="3"/>
      <c r="F3425" s="3"/>
      <c r="G3425" s="3"/>
      <c r="H3425" s="3"/>
    </row>
    <row r="3426">
      <c r="A3426" s="2">
        <f>IFERROR(__xludf.DUMMYFUNCTION("""COMPUTED_VALUE"""),40114.0)</f>
        <v>40114</v>
      </c>
      <c r="B3426" s="3" t="str">
        <f>IFERROR(__xludf.DUMMYFUNCTION("""COMPUTED_VALUE"""),"442 BRIMLEY RD S")</f>
        <v>442 BRIMLEY RD S</v>
      </c>
      <c r="C3426" s="3" t="str">
        <f>IFERROR(__xludf.DUMMYFUNCTION("""COMPUTED_VALUE"""),"GRAFTON ")</f>
        <v>GRAFTON </v>
      </c>
      <c r="D3426" s="3" t="str">
        <f>IFERROR(__xludf.DUMMYFUNCTION("""COMPUTED_VALUE"""),"K0K 2G0")</f>
        <v>K0K 2G0</v>
      </c>
      <c r="E3426" s="3"/>
      <c r="F3426" s="3"/>
      <c r="G3426" s="3"/>
      <c r="H3426" s="3"/>
    </row>
    <row r="3427">
      <c r="A3427" s="2">
        <f>IFERROR(__xludf.DUMMYFUNCTION("""COMPUTED_VALUE"""),40115.0)</f>
        <v>40115</v>
      </c>
      <c r="B3427" s="3" t="str">
        <f>IFERROR(__xludf.DUMMYFUNCTION("""COMPUTED_VALUE"""),"445 BRIMLEY RD S")</f>
        <v>445 BRIMLEY RD S</v>
      </c>
      <c r="C3427" s="3" t="str">
        <f>IFERROR(__xludf.DUMMYFUNCTION("""COMPUTED_VALUE"""),"GRAFTON ")</f>
        <v>GRAFTON </v>
      </c>
      <c r="D3427" s="3" t="str">
        <f>IFERROR(__xludf.DUMMYFUNCTION("""COMPUTED_VALUE"""),"K0K 2G0")</f>
        <v>K0K 2G0</v>
      </c>
      <c r="E3427" s="3" t="str">
        <f>IFERROR(__xludf.DUMMYFUNCTION("""COMPUTED_VALUE"""),"Veronica Bewes")</f>
        <v>Veronica Bewes</v>
      </c>
      <c r="F3427" s="3" t="str">
        <f>IFERROR(__xludf.DUMMYFUNCTION("""COMPUTED_VALUE"""),"veronic.bewes@gmail.com")</f>
        <v>veronic.bewes@gmail.com</v>
      </c>
      <c r="G3427" s="3">
        <f>IFERROR(__xludf.DUMMYFUNCTION("""COMPUTED_VALUE"""),6.472275665E9)</f>
        <v>6472275665</v>
      </c>
      <c r="H3427" s="3"/>
    </row>
    <row r="3428">
      <c r="A3428" s="2">
        <f>IFERROR(__xludf.DUMMYFUNCTION("""COMPUTED_VALUE"""),40116.0)</f>
        <v>40116</v>
      </c>
      <c r="B3428" s="3" t="str">
        <f>IFERROR(__xludf.DUMMYFUNCTION("""COMPUTED_VALUE"""),"451 BRIMLEY RD S")</f>
        <v>451 BRIMLEY RD S</v>
      </c>
      <c r="C3428" s="3" t="str">
        <f>IFERROR(__xludf.DUMMYFUNCTION("""COMPUTED_VALUE"""),"GRAFTON ")</f>
        <v>GRAFTON </v>
      </c>
      <c r="D3428" s="3" t="str">
        <f>IFERROR(__xludf.DUMMYFUNCTION("""COMPUTED_VALUE"""),"K0K 2G0")</f>
        <v>K0K 2G0</v>
      </c>
      <c r="E3428" s="3" t="str">
        <f>IFERROR(__xludf.DUMMYFUNCTION("""COMPUTED_VALUE"""),"william lyon")</f>
        <v>william lyon</v>
      </c>
      <c r="F3428" s="3" t="str">
        <f>IFERROR(__xludf.DUMMYFUNCTION("""COMPUTED_VALUE"""),"sylvander@sympatico.ca")</f>
        <v>sylvander@sympatico.ca</v>
      </c>
      <c r="G3428" s="3">
        <f>IFERROR(__xludf.DUMMYFUNCTION("""COMPUTED_VALUE"""),9.05349106E9)</f>
        <v>9053491060</v>
      </c>
      <c r="H3428" s="3"/>
    </row>
    <row r="3429">
      <c r="A3429" s="2">
        <f>IFERROR(__xludf.DUMMYFUNCTION("""COMPUTED_VALUE"""),40117.0)</f>
        <v>40117</v>
      </c>
      <c r="B3429" s="3" t="str">
        <f>IFERROR(__xludf.DUMMYFUNCTION("""COMPUTED_VALUE"""),"453 BRIMLEY RD S")</f>
        <v>453 BRIMLEY RD S</v>
      </c>
      <c r="C3429" s="3" t="str">
        <f>IFERROR(__xludf.DUMMYFUNCTION("""COMPUTED_VALUE"""),"GRAFTON ")</f>
        <v>GRAFTON </v>
      </c>
      <c r="D3429" s="3" t="str">
        <f>IFERROR(__xludf.DUMMYFUNCTION("""COMPUTED_VALUE"""),"K0K 2G0")</f>
        <v>K0K 2G0</v>
      </c>
      <c r="E3429" s="3" t="str">
        <f>IFERROR(__xludf.DUMMYFUNCTION("""COMPUTED_VALUE"""),"LESLIE NORRISH")</f>
        <v>LESLIE NORRISH</v>
      </c>
      <c r="F3429" s="3" t="str">
        <f>IFERROR(__xludf.DUMMYFUNCTION("""COMPUTED_VALUE"""),"leslie@interpool.ca")</f>
        <v>leslie@interpool.ca</v>
      </c>
      <c r="G3429" s="3"/>
      <c r="H3429" s="3"/>
    </row>
    <row r="3430">
      <c r="A3430" s="2">
        <f>IFERROR(__xludf.DUMMYFUNCTION("""COMPUTED_VALUE"""),40118.0)</f>
        <v>40118</v>
      </c>
      <c r="B3430" s="3" t="str">
        <f>IFERROR(__xludf.DUMMYFUNCTION("""COMPUTED_VALUE"""),"454 BRIMLEY RD S")</f>
        <v>454 BRIMLEY RD S</v>
      </c>
      <c r="C3430" s="3" t="str">
        <f>IFERROR(__xludf.DUMMYFUNCTION("""COMPUTED_VALUE"""),"GRAFTON ")</f>
        <v>GRAFTON </v>
      </c>
      <c r="D3430" s="3" t="str">
        <f>IFERROR(__xludf.DUMMYFUNCTION("""COMPUTED_VALUE"""),"K0K 2G0")</f>
        <v>K0K 2G0</v>
      </c>
      <c r="E3430" s="3"/>
      <c r="F3430" s="3"/>
      <c r="G3430" s="3"/>
      <c r="H3430" s="3"/>
    </row>
    <row r="3431">
      <c r="A3431" s="2">
        <f>IFERROR(__xludf.DUMMYFUNCTION("""COMPUTED_VALUE"""),40119.0)</f>
        <v>40119</v>
      </c>
      <c r="B3431" s="3" t="str">
        <f>IFERROR(__xludf.DUMMYFUNCTION("""COMPUTED_VALUE"""),"463 BRIMLEY RD S")</f>
        <v>463 BRIMLEY RD S</v>
      </c>
      <c r="C3431" s="3" t="str">
        <f>IFERROR(__xludf.DUMMYFUNCTION("""COMPUTED_VALUE"""),"GRAFTON ")</f>
        <v>GRAFTON </v>
      </c>
      <c r="D3431" s="3" t="str">
        <f>IFERROR(__xludf.DUMMYFUNCTION("""COMPUTED_VALUE"""),"K0K 2G0")</f>
        <v>K0K 2G0</v>
      </c>
      <c r="E3431" s="3" t="str">
        <f>IFERROR(__xludf.DUMMYFUNCTION("""COMPUTED_VALUE"""),"ERIN THOMPSON")</f>
        <v>ERIN THOMPSON</v>
      </c>
      <c r="F3431" s="3" t="str">
        <f>IFERROR(__xludf.DUMMYFUNCTION("""COMPUTED_VALUE"""),"Erin.ilance@gmail.com")</f>
        <v>Erin.ilance@gmail.com</v>
      </c>
      <c r="G3431" s="3"/>
      <c r="H3431" s="3"/>
    </row>
    <row r="3432">
      <c r="A3432" s="2">
        <f>IFERROR(__xludf.DUMMYFUNCTION("""COMPUTED_VALUE"""),40120.0)</f>
        <v>40120</v>
      </c>
      <c r="B3432" s="3" t="str">
        <f>IFERROR(__xludf.DUMMYFUNCTION("""COMPUTED_VALUE"""),"464 BRIMLEY RD S")</f>
        <v>464 BRIMLEY RD S</v>
      </c>
      <c r="C3432" s="3" t="str">
        <f>IFERROR(__xludf.DUMMYFUNCTION("""COMPUTED_VALUE"""),"GRAFTON ")</f>
        <v>GRAFTON </v>
      </c>
      <c r="D3432" s="3" t="str">
        <f>IFERROR(__xludf.DUMMYFUNCTION("""COMPUTED_VALUE"""),"K0K 2G0")</f>
        <v>K0K 2G0</v>
      </c>
      <c r="E3432" s="3" t="str">
        <f>IFERROR(__xludf.DUMMYFUNCTION("""COMPUTED_VALUE"""),"Catherine Wilson-Martel")</f>
        <v>Catherine Wilson-Martel</v>
      </c>
      <c r="F3432" s="3" t="str">
        <f>IFERROR(__xludf.DUMMYFUNCTION("""COMPUTED_VALUE"""),"catherine.elizabeth89@gmail.com")</f>
        <v>catherine.elizabeth89@gmail.com</v>
      </c>
      <c r="G3432" s="3">
        <f>IFERROR(__xludf.DUMMYFUNCTION("""COMPUTED_VALUE"""),4.167060904E9)</f>
        <v>4167060904</v>
      </c>
      <c r="H3432" s="3"/>
    </row>
    <row r="3433">
      <c r="A3433" s="2">
        <f>IFERROR(__xludf.DUMMYFUNCTION("""COMPUTED_VALUE"""),40121.0)</f>
        <v>40121</v>
      </c>
      <c r="B3433" s="3" t="str">
        <f>IFERROR(__xludf.DUMMYFUNCTION("""COMPUTED_VALUE"""),"467 BRIMLEY RD S")</f>
        <v>467 BRIMLEY RD S</v>
      </c>
      <c r="C3433" s="3" t="str">
        <f>IFERROR(__xludf.DUMMYFUNCTION("""COMPUTED_VALUE"""),"GRAFTON ")</f>
        <v>GRAFTON </v>
      </c>
      <c r="D3433" s="3" t="str">
        <f>IFERROR(__xludf.DUMMYFUNCTION("""COMPUTED_VALUE"""),"K0K 2G0")</f>
        <v>K0K 2G0</v>
      </c>
      <c r="E3433" s="3" t="str">
        <f>IFERROR(__xludf.DUMMYFUNCTION("""COMPUTED_VALUE"""),"hugh beatty ")</f>
        <v>hugh beatty </v>
      </c>
      <c r="F3433" s="3"/>
      <c r="G3433" s="3">
        <f>IFERROR(__xludf.DUMMYFUNCTION("""COMPUTED_VALUE"""),9.053492452E9)</f>
        <v>9053492452</v>
      </c>
      <c r="H3433" s="3"/>
    </row>
    <row r="3434">
      <c r="A3434" s="2">
        <f>IFERROR(__xludf.DUMMYFUNCTION("""COMPUTED_VALUE"""),40122.0)</f>
        <v>40122</v>
      </c>
      <c r="B3434" s="3" t="str">
        <f>IFERROR(__xludf.DUMMYFUNCTION("""COMPUTED_VALUE"""),"473 BRIMLEY RD S")</f>
        <v>473 BRIMLEY RD S</v>
      </c>
      <c r="C3434" s="3" t="str">
        <f>IFERROR(__xludf.DUMMYFUNCTION("""COMPUTED_VALUE"""),"GRAFTON ")</f>
        <v>GRAFTON </v>
      </c>
      <c r="D3434" s="3" t="str">
        <f>IFERROR(__xludf.DUMMYFUNCTION("""COMPUTED_VALUE"""),"K0K 2G0")</f>
        <v>K0K 2G0</v>
      </c>
      <c r="E3434" s="3" t="str">
        <f>IFERROR(__xludf.DUMMYFUNCTION("""COMPUTED_VALUE"""),"paul harrington")</f>
        <v>paul harrington</v>
      </c>
      <c r="F3434" s="3" t="str">
        <f>IFERROR(__xludf.DUMMYFUNCTION("""COMPUTED_VALUE"""),"paulh473@gmail.com")</f>
        <v>paulh473@gmail.com</v>
      </c>
      <c r="G3434" s="3">
        <f>IFERROR(__xludf.DUMMYFUNCTION("""COMPUTED_VALUE"""),9.05718143E9)</f>
        <v>9057181430</v>
      </c>
      <c r="H3434" s="3"/>
    </row>
    <row r="3435">
      <c r="A3435" s="2">
        <f>IFERROR(__xludf.DUMMYFUNCTION("""COMPUTED_VALUE"""),40123.0)</f>
        <v>40123</v>
      </c>
      <c r="B3435" s="3" t="str">
        <f>IFERROR(__xludf.DUMMYFUNCTION("""COMPUTED_VALUE"""),"481 BRIMLEY RD S")</f>
        <v>481 BRIMLEY RD S</v>
      </c>
      <c r="C3435" s="3" t="str">
        <f>IFERROR(__xludf.DUMMYFUNCTION("""COMPUTED_VALUE"""),"GRAFTON ")</f>
        <v>GRAFTON </v>
      </c>
      <c r="D3435" s="3" t="str">
        <f>IFERROR(__xludf.DUMMYFUNCTION("""COMPUTED_VALUE"""),"K0K 2G0")</f>
        <v>K0K 2G0</v>
      </c>
      <c r="E3435" s="3" t="str">
        <f>IFERROR(__xludf.DUMMYFUNCTION("""COMPUTED_VALUE"""),"nornia and gordon beatty")</f>
        <v>nornia and gordon beatty</v>
      </c>
      <c r="F3435" s="3" t="str">
        <f>IFERROR(__xludf.DUMMYFUNCTION("""COMPUTED_VALUE"""),"sbeatty@eagle,ca")</f>
        <v>sbeatty@eagle,ca</v>
      </c>
      <c r="G3435" s="3">
        <f>IFERROR(__xludf.DUMMYFUNCTION("""COMPUTED_VALUE"""),9.053492963E9)</f>
        <v>9053492963</v>
      </c>
      <c r="H3435" s="3">
        <f>IFERROR(__xludf.DUMMYFUNCTION("""COMPUTED_VALUE"""),9.053754294E9)</f>
        <v>9053754294</v>
      </c>
    </row>
    <row r="3436">
      <c r="A3436" s="2">
        <f>IFERROR(__xludf.DUMMYFUNCTION("""COMPUTED_VALUE"""),40124.0)</f>
        <v>40124</v>
      </c>
      <c r="B3436" s="3" t="str">
        <f>IFERROR(__xludf.DUMMYFUNCTION("""COMPUTED_VALUE"""),"487 BRIMLEY RD S")</f>
        <v>487 BRIMLEY RD S</v>
      </c>
      <c r="C3436" s="3" t="str">
        <f>IFERROR(__xludf.DUMMYFUNCTION("""COMPUTED_VALUE"""),"GRAFTON ")</f>
        <v>GRAFTON </v>
      </c>
      <c r="D3436" s="3" t="str">
        <f>IFERROR(__xludf.DUMMYFUNCTION("""COMPUTED_VALUE"""),"K0K 2G0")</f>
        <v>K0K 2G0</v>
      </c>
      <c r="E3436" s="3" t="str">
        <f>IFERROR(__xludf.DUMMYFUNCTION("""COMPUTED_VALUE"""),"calvin stewart")</f>
        <v>calvin stewart</v>
      </c>
      <c r="F3436" s="3"/>
      <c r="G3436" s="3">
        <f>IFERROR(__xludf.DUMMYFUNCTION("""COMPUTED_VALUE"""),9.053493484E9)</f>
        <v>9053493484</v>
      </c>
      <c r="H3436" s="3"/>
    </row>
    <row r="3437">
      <c r="A3437" s="2">
        <f>IFERROR(__xludf.DUMMYFUNCTION("""COMPUTED_VALUE"""),40125.0)</f>
        <v>40125</v>
      </c>
      <c r="B3437" s="3" t="str">
        <f>IFERROR(__xludf.DUMMYFUNCTION("""COMPUTED_VALUE"""),"497 BRIMLEY RD S")</f>
        <v>497 BRIMLEY RD S</v>
      </c>
      <c r="C3437" s="3" t="str">
        <f>IFERROR(__xludf.DUMMYFUNCTION("""COMPUTED_VALUE"""),"GRAFTON ")</f>
        <v>GRAFTON </v>
      </c>
      <c r="D3437" s="3" t="str">
        <f>IFERROR(__xludf.DUMMYFUNCTION("""COMPUTED_VALUE"""),"K0K 2G0")</f>
        <v>K0K 2G0</v>
      </c>
      <c r="E3437" s="3"/>
      <c r="F3437" s="3"/>
      <c r="G3437" s="3"/>
      <c r="H3437" s="3"/>
    </row>
    <row r="3438">
      <c r="A3438" s="2">
        <f>IFERROR(__xludf.DUMMYFUNCTION("""COMPUTED_VALUE"""),40080.0)</f>
        <v>40080</v>
      </c>
      <c r="B3438" s="3" t="str">
        <f>IFERROR(__xludf.DUMMYFUNCTION("""COMPUTED_VALUE"""),"561 BRIMLEY RD N")</f>
        <v>561 BRIMLEY RD N</v>
      </c>
      <c r="C3438" s="3" t="str">
        <f>IFERROR(__xludf.DUMMYFUNCTION("""COMPUTED_VALUE"""),"GRAFTON ")</f>
        <v>GRAFTON </v>
      </c>
      <c r="D3438" s="3" t="str">
        <f>IFERROR(__xludf.DUMMYFUNCTION("""COMPUTED_VALUE"""),"K0K 2G0")</f>
        <v>K0K 2G0</v>
      </c>
      <c r="E3438" s="3"/>
      <c r="F3438" s="3"/>
      <c r="G3438" s="3"/>
      <c r="H3438" s="3"/>
    </row>
    <row r="3439">
      <c r="A3439" s="2">
        <f>IFERROR(__xludf.DUMMYFUNCTION("""COMPUTED_VALUE"""),40081.0)</f>
        <v>40081</v>
      </c>
      <c r="B3439" s="3" t="str">
        <f>IFERROR(__xludf.DUMMYFUNCTION("""COMPUTED_VALUE"""),"573 BRIMLEY RD N")</f>
        <v>573 BRIMLEY RD N</v>
      </c>
      <c r="C3439" s="3" t="str">
        <f>IFERROR(__xludf.DUMMYFUNCTION("""COMPUTED_VALUE"""),"GRAFTON ")</f>
        <v>GRAFTON </v>
      </c>
      <c r="D3439" s="3" t="str">
        <f>IFERROR(__xludf.DUMMYFUNCTION("""COMPUTED_VALUE"""),"K0K 2G0")</f>
        <v>K0K 2G0</v>
      </c>
      <c r="E3439" s="3" t="str">
        <f>IFERROR(__xludf.DUMMYFUNCTION("""COMPUTED_VALUE"""),"tyler hathway ")</f>
        <v>tyler hathway </v>
      </c>
      <c r="F3439" s="3" t="str">
        <f>IFERROR(__xludf.DUMMYFUNCTION("""COMPUTED_VALUE"""),"t_hathway@hotmail.com")</f>
        <v>t_hathway@hotmail.com</v>
      </c>
      <c r="G3439" s="3">
        <f>IFERROR(__xludf.DUMMYFUNCTION("""COMPUTED_VALUE"""),9.052693938E9)</f>
        <v>9052693938</v>
      </c>
      <c r="H3439" s="3"/>
    </row>
    <row r="3440">
      <c r="A3440" s="2">
        <f>IFERROR(__xludf.DUMMYFUNCTION("""COMPUTED_VALUE"""),40082.0)</f>
        <v>40082</v>
      </c>
      <c r="B3440" s="3" t="str">
        <f>IFERROR(__xludf.DUMMYFUNCTION("""COMPUTED_VALUE"""),"583 BRIMLEY RD N")</f>
        <v>583 BRIMLEY RD N</v>
      </c>
      <c r="C3440" s="3" t="str">
        <f>IFERROR(__xludf.DUMMYFUNCTION("""COMPUTED_VALUE"""),"GRAFTON ")</f>
        <v>GRAFTON </v>
      </c>
      <c r="D3440" s="3" t="str">
        <f>IFERROR(__xludf.DUMMYFUNCTION("""COMPUTED_VALUE"""),"K0K 2G0")</f>
        <v>K0K 2G0</v>
      </c>
      <c r="E3440" s="3" t="str">
        <f>IFERROR(__xludf.DUMMYFUNCTION("""COMPUTED_VALUE"""),"jeff syer ")</f>
        <v>jeff syer </v>
      </c>
      <c r="F3440" s="3" t="str">
        <f>IFERROR(__xludf.DUMMYFUNCTION("""COMPUTED_VALUE"""),"jeff.syer@gmaill.com")</f>
        <v>jeff.syer@gmaill.com</v>
      </c>
      <c r="G3440" s="3">
        <f>IFERROR(__xludf.DUMMYFUNCTION("""COMPUTED_VALUE"""),9.054414277E9)</f>
        <v>9054414277</v>
      </c>
      <c r="H3440" s="3"/>
    </row>
    <row r="3441">
      <c r="A3441" s="2">
        <f>IFERROR(__xludf.DUMMYFUNCTION("""COMPUTED_VALUE"""),40083.0)</f>
        <v>40083</v>
      </c>
      <c r="B3441" s="3" t="str">
        <f>IFERROR(__xludf.DUMMYFUNCTION("""COMPUTED_VALUE"""),"589 BRIMLEY RD N")</f>
        <v>589 BRIMLEY RD N</v>
      </c>
      <c r="C3441" s="3" t="str">
        <f>IFERROR(__xludf.DUMMYFUNCTION("""COMPUTED_VALUE"""),"GRAFTON ")</f>
        <v>GRAFTON </v>
      </c>
      <c r="D3441" s="3" t="str">
        <f>IFERROR(__xludf.DUMMYFUNCTION("""COMPUTED_VALUE"""),"K0K 2G0")</f>
        <v>K0K 2G0</v>
      </c>
      <c r="E3441" s="3" t="str">
        <f>IFERROR(__xludf.DUMMYFUNCTION("""COMPUTED_VALUE"""),"ken trolley ")</f>
        <v>ken trolley </v>
      </c>
      <c r="F3441" s="3"/>
      <c r="G3441" s="3">
        <f>IFERROR(__xludf.DUMMYFUNCTION("""COMPUTED_VALUE"""),9.053769691E9)</f>
        <v>9053769691</v>
      </c>
      <c r="H3441" s="3"/>
    </row>
    <row r="3442">
      <c r="A3442" s="2">
        <f>IFERROR(__xludf.DUMMYFUNCTION("""COMPUTED_VALUE"""),40084.0)</f>
        <v>40084</v>
      </c>
      <c r="B3442" s="3" t="str">
        <f>IFERROR(__xludf.DUMMYFUNCTION("""COMPUTED_VALUE"""),"595 BRIMLEY RD N")</f>
        <v>595 BRIMLEY RD N</v>
      </c>
      <c r="C3442" s="3" t="str">
        <f>IFERROR(__xludf.DUMMYFUNCTION("""COMPUTED_VALUE"""),"GRAFTON ")</f>
        <v>GRAFTON </v>
      </c>
      <c r="D3442" s="3" t="str">
        <f>IFERROR(__xludf.DUMMYFUNCTION("""COMPUTED_VALUE"""),"K0K 2G0")</f>
        <v>K0K 2G0</v>
      </c>
      <c r="E3442" s="3"/>
      <c r="F3442" s="3"/>
      <c r="G3442" s="3"/>
      <c r="H3442" s="3"/>
    </row>
    <row r="3443">
      <c r="A3443" s="2">
        <f>IFERROR(__xludf.DUMMYFUNCTION("""COMPUTED_VALUE"""),40085.0)</f>
        <v>40085</v>
      </c>
      <c r="B3443" s="3" t="str">
        <f>IFERROR(__xludf.DUMMYFUNCTION("""COMPUTED_VALUE"""),"605 BRIMLEY RD N")</f>
        <v>605 BRIMLEY RD N</v>
      </c>
      <c r="C3443" s="3" t="str">
        <f>IFERROR(__xludf.DUMMYFUNCTION("""COMPUTED_VALUE"""),"GRAFTON ")</f>
        <v>GRAFTON </v>
      </c>
      <c r="D3443" s="3" t="str">
        <f>IFERROR(__xludf.DUMMYFUNCTION("""COMPUTED_VALUE"""),"K0K 2G0")</f>
        <v>K0K 2G0</v>
      </c>
      <c r="E3443" s="3" t="str">
        <f>IFERROR(__xludf.DUMMYFUNCTION("""COMPUTED_VALUE"""),"corey and paulla blick")</f>
        <v>corey and paulla blick</v>
      </c>
      <c r="F3443" s="3" t="str">
        <f>IFERROR(__xludf.DUMMYFUNCTION("""COMPUTED_VALUE"""),"paula_blick@hotmail.com`")</f>
        <v>paula_blick@hotmail.com`</v>
      </c>
      <c r="G3443" s="3">
        <f>IFERROR(__xludf.DUMMYFUNCTION("""COMPUTED_VALUE"""),9.05349314E9)</f>
        <v>9053493140</v>
      </c>
      <c r="H3443" s="3"/>
    </row>
    <row r="3444">
      <c r="A3444" s="2">
        <f>IFERROR(__xludf.DUMMYFUNCTION("""COMPUTED_VALUE"""),40086.0)</f>
        <v>40086</v>
      </c>
      <c r="B3444" s="3" t="str">
        <f>IFERROR(__xludf.DUMMYFUNCTION("""COMPUTED_VALUE"""),"613 BRIMLEY RD N")</f>
        <v>613 BRIMLEY RD N</v>
      </c>
      <c r="C3444" s="3" t="str">
        <f>IFERROR(__xludf.DUMMYFUNCTION("""COMPUTED_VALUE"""),"GRAFTON ")</f>
        <v>GRAFTON </v>
      </c>
      <c r="D3444" s="3" t="str">
        <f>IFERROR(__xludf.DUMMYFUNCTION("""COMPUTED_VALUE"""),"K0K 2G0")</f>
        <v>K0K 2G0</v>
      </c>
      <c r="E3444" s="3"/>
      <c r="F3444" s="3"/>
      <c r="G3444" s="3"/>
      <c r="H3444" s="3"/>
    </row>
    <row r="3445">
      <c r="A3445" s="2">
        <f>IFERROR(__xludf.DUMMYFUNCTION("""COMPUTED_VALUE"""),40087.0)</f>
        <v>40087</v>
      </c>
      <c r="B3445" s="3" t="str">
        <f>IFERROR(__xludf.DUMMYFUNCTION("""COMPUTED_VALUE"""),"623 BRIMLEY RD N")</f>
        <v>623 BRIMLEY RD N</v>
      </c>
      <c r="C3445" s="3" t="str">
        <f>IFERROR(__xludf.DUMMYFUNCTION("""COMPUTED_VALUE"""),"GRAFTON ")</f>
        <v>GRAFTON </v>
      </c>
      <c r="D3445" s="3" t="str">
        <f>IFERROR(__xludf.DUMMYFUNCTION("""COMPUTED_VALUE"""),"K0K 2G0")</f>
        <v>K0K 2G0</v>
      </c>
      <c r="E3445" s="3"/>
      <c r="F3445" s="3"/>
      <c r="G3445" s="3"/>
      <c r="H3445" s="3"/>
    </row>
    <row r="3446">
      <c r="A3446" s="2">
        <f>IFERROR(__xludf.DUMMYFUNCTION("""COMPUTED_VALUE"""),40088.0)</f>
        <v>40088</v>
      </c>
      <c r="B3446" s="3" t="str">
        <f>IFERROR(__xludf.DUMMYFUNCTION("""COMPUTED_VALUE"""),"625 BRIMLEY RD N")</f>
        <v>625 BRIMLEY RD N</v>
      </c>
      <c r="C3446" s="3" t="str">
        <f>IFERROR(__xludf.DUMMYFUNCTION("""COMPUTED_VALUE"""),"GRAFTON ")</f>
        <v>GRAFTON </v>
      </c>
      <c r="D3446" s="3" t="str">
        <f>IFERROR(__xludf.DUMMYFUNCTION("""COMPUTED_VALUE"""),"K0K 2G0")</f>
        <v>K0K 2G0</v>
      </c>
      <c r="E3446" s="3" t="str">
        <f>IFERROR(__xludf.DUMMYFUNCTION("""COMPUTED_VALUE"""),"paul ingram")</f>
        <v>paul ingram</v>
      </c>
      <c r="F3446" s="3"/>
      <c r="G3446" s="3">
        <f>IFERROR(__xludf.DUMMYFUNCTION("""COMPUTED_VALUE"""),9.053492679E9)</f>
        <v>9053492679</v>
      </c>
      <c r="H3446" s="3"/>
    </row>
    <row r="3447">
      <c r="A3447" s="2">
        <f>IFERROR(__xludf.DUMMYFUNCTION("""COMPUTED_VALUE"""),40628.0)</f>
        <v>40628</v>
      </c>
      <c r="B3447" s="3" t="str">
        <f>IFERROR(__xludf.DUMMYFUNCTION("""COMPUTED_VALUE"""),"1983 GRIMSHAW RD")</f>
        <v>1983 GRIMSHAW RD</v>
      </c>
      <c r="C3447" s="3" t="str">
        <f>IFERROR(__xludf.DUMMYFUNCTION("""COMPUTED_VALUE"""),"COBOURG")</f>
        <v>COBOURG</v>
      </c>
      <c r="D3447" s="3" t="str">
        <f>IFERROR(__xludf.DUMMYFUNCTION("""COMPUTED_VALUE"""),"K9A 4J8")</f>
        <v>K9A 4J8</v>
      </c>
      <c r="E3447" s="3" t="str">
        <f>IFERROR(__xludf.DUMMYFUNCTION("""COMPUTED_VALUE"""),"Ashley Beaulac")</f>
        <v>Ashley Beaulac</v>
      </c>
      <c r="F3447" s="3" t="str">
        <f>IFERROR(__xludf.DUMMYFUNCTION("""COMPUTED_VALUE"""),"ashleybeaulac@gmail.com")</f>
        <v>ashleybeaulac@gmail.com</v>
      </c>
      <c r="G3447" s="3">
        <f>IFERROR(__xludf.DUMMYFUNCTION("""COMPUTED_VALUE"""),9.053962632E9)</f>
        <v>9053962632</v>
      </c>
      <c r="H3447" s="3"/>
    </row>
    <row r="3448">
      <c r="A3448" s="2">
        <f>IFERROR(__xludf.DUMMYFUNCTION("""COMPUTED_VALUE"""),40629.0)</f>
        <v>40629</v>
      </c>
      <c r="B3448" s="3" t="str">
        <f>IFERROR(__xludf.DUMMYFUNCTION("""COMPUTED_VALUE"""),"2013 GRIMSHAW RD")</f>
        <v>2013 GRIMSHAW RD</v>
      </c>
      <c r="C3448" s="3" t="str">
        <f>IFERROR(__xludf.DUMMYFUNCTION("""COMPUTED_VALUE"""),"COBOURG")</f>
        <v>COBOURG</v>
      </c>
      <c r="D3448" s="3" t="str">
        <f>IFERROR(__xludf.DUMMYFUNCTION("""COMPUTED_VALUE"""),"K9A 4J8")</f>
        <v>K9A 4J8</v>
      </c>
      <c r="E3448" s="3"/>
      <c r="F3448" s="3"/>
      <c r="G3448" s="3"/>
      <c r="H3448" s="3"/>
    </row>
    <row r="3449">
      <c r="A3449" s="2">
        <f>IFERROR(__xludf.DUMMYFUNCTION("""COMPUTED_VALUE"""),40630.0)</f>
        <v>40630</v>
      </c>
      <c r="B3449" s="3" t="str">
        <f>IFERROR(__xludf.DUMMYFUNCTION("""COMPUTED_VALUE"""),"2095 GRIMSHAW RD")</f>
        <v>2095 GRIMSHAW RD</v>
      </c>
      <c r="C3449" s="3" t="str">
        <f>IFERROR(__xludf.DUMMYFUNCTION("""COMPUTED_VALUE"""),"COBOURG")</f>
        <v>COBOURG</v>
      </c>
      <c r="D3449" s="3" t="str">
        <f>IFERROR(__xludf.DUMMYFUNCTION("""COMPUTED_VALUE"""),"K9A 4J8")</f>
        <v>K9A 4J8</v>
      </c>
      <c r="E3449" s="3"/>
      <c r="F3449" s="3"/>
      <c r="G3449" s="3"/>
      <c r="H3449" s="3"/>
    </row>
    <row r="3450">
      <c r="A3450" s="2">
        <f>IFERROR(__xludf.DUMMYFUNCTION("""COMPUTED_VALUE"""),40631.0)</f>
        <v>40631</v>
      </c>
      <c r="B3450" s="3" t="str">
        <f>IFERROR(__xludf.DUMMYFUNCTION("""COMPUTED_VALUE"""),"2104 GRIMSHAW RD")</f>
        <v>2104 GRIMSHAW RD</v>
      </c>
      <c r="C3450" s="3" t="str">
        <f>IFERROR(__xludf.DUMMYFUNCTION("""COMPUTED_VALUE"""),"COBOURG")</f>
        <v>COBOURG</v>
      </c>
      <c r="D3450" s="3" t="str">
        <f>IFERROR(__xludf.DUMMYFUNCTION("""COMPUTED_VALUE"""),"K9A 4J8")</f>
        <v>K9A 4J8</v>
      </c>
      <c r="E3450" s="3" t="str">
        <f>IFERROR(__xludf.DUMMYFUNCTION("""COMPUTED_VALUE"""),"nancy montroy")</f>
        <v>nancy montroy</v>
      </c>
      <c r="F3450" s="3" t="str">
        <f>IFERROR(__xludf.DUMMYFUNCTION("""COMPUTED_VALUE"""),"nmontroy777@gmail.com")</f>
        <v>nmontroy777@gmail.com</v>
      </c>
      <c r="G3450" s="3">
        <f>IFERROR(__xludf.DUMMYFUNCTION("""COMPUTED_VALUE"""),9.059147106E9)</f>
        <v>9059147106</v>
      </c>
      <c r="H3450" s="3"/>
    </row>
    <row r="3451">
      <c r="A3451" s="2">
        <f>IFERROR(__xludf.DUMMYFUNCTION("""COMPUTED_VALUE"""),40632.0)</f>
        <v>40632</v>
      </c>
      <c r="B3451" s="3" t="str">
        <f>IFERROR(__xludf.DUMMYFUNCTION("""COMPUTED_VALUE"""),"130 GULLY RD")</f>
        <v>130 GULLY RD</v>
      </c>
      <c r="C3451" s="3" t="str">
        <f>IFERROR(__xludf.DUMMYFUNCTION("""COMPUTED_VALUE"""),"COBOURG")</f>
        <v>COBOURG</v>
      </c>
      <c r="D3451" s="3" t="str">
        <f>IFERROR(__xludf.DUMMYFUNCTION("""COMPUTED_VALUE"""),"K9A 4J8")</f>
        <v>K9A 4J8</v>
      </c>
      <c r="E3451" s="3"/>
      <c r="F3451" s="3"/>
      <c r="G3451" s="3"/>
      <c r="H3451" s="3"/>
    </row>
    <row r="3452">
      <c r="A3452" s="2">
        <f>IFERROR(__xludf.DUMMYFUNCTION("""COMPUTED_VALUE"""),40633.0)</f>
        <v>40633</v>
      </c>
      <c r="B3452" s="3" t="str">
        <f>IFERROR(__xludf.DUMMYFUNCTION("""COMPUTED_VALUE"""),"141 GULLY RD")</f>
        <v>141 GULLY RD</v>
      </c>
      <c r="C3452" s="3" t="str">
        <f>IFERROR(__xludf.DUMMYFUNCTION("""COMPUTED_VALUE"""),"COBOURG")</f>
        <v>COBOURG</v>
      </c>
      <c r="D3452" s="3" t="str">
        <f>IFERROR(__xludf.DUMMYFUNCTION("""COMPUTED_VALUE"""),"K9A 4J8")</f>
        <v>K9A 4J8</v>
      </c>
      <c r="E3452" s="3" t="str">
        <f>IFERROR(__xludf.DUMMYFUNCTION("""COMPUTED_VALUE"""),"Patricia Nemec")</f>
        <v>Patricia Nemec</v>
      </c>
      <c r="F3452" s="3" t="str">
        <f>IFERROR(__xludf.DUMMYFUNCTION("""COMPUTED_VALUE"""),"garrettzweerink4@gmail.com")</f>
        <v>garrettzweerink4@gmail.com</v>
      </c>
      <c r="G3452" s="3"/>
      <c r="H3452" s="3">
        <f>IFERROR(__xludf.DUMMYFUNCTION("""COMPUTED_VALUE"""),2.892515726E9)</f>
        <v>2892515726</v>
      </c>
    </row>
    <row r="3453">
      <c r="A3453" s="2">
        <f>IFERROR(__xludf.DUMMYFUNCTION("""COMPUTED_VALUE"""),40634.0)</f>
        <v>40634</v>
      </c>
      <c r="B3453" s="3" t="str">
        <f>IFERROR(__xludf.DUMMYFUNCTION("""COMPUTED_VALUE"""),"142 GULLY RD")</f>
        <v>142 GULLY RD</v>
      </c>
      <c r="C3453" s="3" t="str">
        <f>IFERROR(__xludf.DUMMYFUNCTION("""COMPUTED_VALUE"""),"COBOURG")</f>
        <v>COBOURG</v>
      </c>
      <c r="D3453" s="3" t="str">
        <f>IFERROR(__xludf.DUMMYFUNCTION("""COMPUTED_VALUE"""),"K9A 4J8")</f>
        <v>K9A 4J8</v>
      </c>
      <c r="E3453" s="3" t="str">
        <f>IFERROR(__xludf.DUMMYFUNCTION("""COMPUTED_VALUE"""),"brad heykoop")</f>
        <v>brad heykoop</v>
      </c>
      <c r="F3453" s="3" t="str">
        <f>IFERROR(__xludf.DUMMYFUNCTION("""COMPUTED_VALUE"""),"brad_heykoop@hotmail.com")</f>
        <v>brad_heykoop@hotmail.com</v>
      </c>
      <c r="G3453" s="3">
        <f>IFERROR(__xludf.DUMMYFUNCTION("""COMPUTED_VALUE"""),9.053762829E9)</f>
        <v>9053762829</v>
      </c>
      <c r="H3453" s="3"/>
    </row>
    <row r="3454">
      <c r="A3454" s="2">
        <f>IFERROR(__xludf.DUMMYFUNCTION("""COMPUTED_VALUE"""),40635.0)</f>
        <v>40635</v>
      </c>
      <c r="B3454" s="3" t="str">
        <f>IFERROR(__xludf.DUMMYFUNCTION("""COMPUTED_VALUE"""),"156 GULLY RD")</f>
        <v>156 GULLY RD</v>
      </c>
      <c r="C3454" s="3" t="str">
        <f>IFERROR(__xludf.DUMMYFUNCTION("""COMPUTED_VALUE"""),"COBOURG")</f>
        <v>COBOURG</v>
      </c>
      <c r="D3454" s="3" t="str">
        <f>IFERROR(__xludf.DUMMYFUNCTION("""COMPUTED_VALUE"""),"K9A 4J8")</f>
        <v>K9A 4J8</v>
      </c>
      <c r="E3454" s="3" t="str">
        <f>IFERROR(__xludf.DUMMYFUNCTION("""COMPUTED_VALUE"""),"Anthony Bradley")</f>
        <v>Anthony Bradley</v>
      </c>
      <c r="F3454" s="3" t="str">
        <f>IFERROR(__xludf.DUMMYFUNCTION("""COMPUTED_VALUE"""),"ronsonburns871@gmail.com")</f>
        <v>ronsonburns871@gmail.com</v>
      </c>
      <c r="G3454" s="3">
        <f>IFERROR(__xludf.DUMMYFUNCTION("""COMPUTED_VALUE"""),4.164328312E9)</f>
        <v>4164328312</v>
      </c>
      <c r="H3454" s="3"/>
    </row>
    <row r="3455">
      <c r="A3455" s="2">
        <f>IFERROR(__xludf.DUMMYFUNCTION("""COMPUTED_VALUE"""),40636.0)</f>
        <v>40636</v>
      </c>
      <c r="B3455" s="3" t="str">
        <f>IFERROR(__xludf.DUMMYFUNCTION("""COMPUTED_VALUE"""),"162 GULLY RD")</f>
        <v>162 GULLY RD</v>
      </c>
      <c r="C3455" s="3" t="str">
        <f>IFERROR(__xludf.DUMMYFUNCTION("""COMPUTED_VALUE"""),"COBOURG")</f>
        <v>COBOURG</v>
      </c>
      <c r="D3455" s="3" t="str">
        <f>IFERROR(__xludf.DUMMYFUNCTION("""COMPUTED_VALUE"""),"K9A 4J8")</f>
        <v>K9A 4J8</v>
      </c>
      <c r="E3455" s="3"/>
      <c r="F3455" s="3"/>
      <c r="G3455" s="3"/>
      <c r="H3455" s="3"/>
    </row>
    <row r="3456">
      <c r="A3456" s="2">
        <f>IFERROR(__xludf.DUMMYFUNCTION("""COMPUTED_VALUE"""),40637.0)</f>
        <v>40637</v>
      </c>
      <c r="B3456" s="3" t="str">
        <f>IFERROR(__xludf.DUMMYFUNCTION("""COMPUTED_VALUE"""),"182 GULLY RD")</f>
        <v>182 GULLY RD</v>
      </c>
      <c r="C3456" s="3" t="str">
        <f>IFERROR(__xludf.DUMMYFUNCTION("""COMPUTED_VALUE"""),"COBOURG")</f>
        <v>COBOURG</v>
      </c>
      <c r="D3456" s="3" t="str">
        <f>IFERROR(__xludf.DUMMYFUNCTION("""COMPUTED_VALUE"""),"K9A 4J8")</f>
        <v>K9A 4J8</v>
      </c>
      <c r="E3456" s="3"/>
      <c r="F3456" s="3"/>
      <c r="G3456" s="3"/>
      <c r="H3456" s="3"/>
    </row>
    <row r="3457">
      <c r="A3457" s="2">
        <f>IFERROR(__xludf.DUMMYFUNCTION("""COMPUTED_VALUE"""),40638.0)</f>
        <v>40638</v>
      </c>
      <c r="B3457" s="3" t="str">
        <f>IFERROR(__xludf.DUMMYFUNCTION("""COMPUTED_VALUE"""),"296 GULLY RD")</f>
        <v>296 GULLY RD</v>
      </c>
      <c r="C3457" s="3" t="str">
        <f>IFERROR(__xludf.DUMMYFUNCTION("""COMPUTED_VALUE"""),"COBOURG")</f>
        <v>COBOURG</v>
      </c>
      <c r="D3457" s="3" t="str">
        <f>IFERROR(__xludf.DUMMYFUNCTION("""COMPUTED_VALUE"""),"K9A 4J8")</f>
        <v>K9A 4J8</v>
      </c>
      <c r="E3457" s="3" t="str">
        <f>IFERROR(__xludf.DUMMYFUNCTION("""COMPUTED_VALUE"""),"joe and heather nemec")</f>
        <v>joe and heather nemec</v>
      </c>
      <c r="F3457" s="3" t="str">
        <f>IFERROR(__xludf.DUMMYFUNCTION("""COMPUTED_VALUE"""),"nemecexcavating@bell.net")</f>
        <v>nemecexcavating@bell.net</v>
      </c>
      <c r="G3457" s="3">
        <f>IFERROR(__xludf.DUMMYFUNCTION("""COMPUTED_VALUE"""),9.053492608E9)</f>
        <v>9053492608</v>
      </c>
      <c r="H3457" s="3">
        <f>IFERROR(__xludf.DUMMYFUNCTION("""COMPUTED_VALUE"""),9.053754647E9)</f>
        <v>9053754647</v>
      </c>
    </row>
    <row r="3458">
      <c r="A3458" s="2">
        <f>IFERROR(__xludf.DUMMYFUNCTION("""COMPUTED_VALUE"""),40639.0)</f>
        <v>40639</v>
      </c>
      <c r="B3458" s="3" t="str">
        <f>IFERROR(__xludf.DUMMYFUNCTION("""COMPUTED_VALUE"""),"305 GULLY RD")</f>
        <v>305 GULLY RD</v>
      </c>
      <c r="C3458" s="3" t="str">
        <f>IFERROR(__xludf.DUMMYFUNCTION("""COMPUTED_VALUE"""),"COBOURG")</f>
        <v>COBOURG</v>
      </c>
      <c r="D3458" s="3" t="str">
        <f>IFERROR(__xludf.DUMMYFUNCTION("""COMPUTED_VALUE"""),"K9A 4J8")</f>
        <v>K9A 4J8</v>
      </c>
      <c r="E3458" s="3" t="str">
        <f>IFERROR(__xludf.DUMMYFUNCTION("""COMPUTED_VALUE"""),"rudy victor nemec")</f>
        <v>rudy victor nemec</v>
      </c>
      <c r="F3458" s="3"/>
      <c r="G3458" s="3">
        <f>IFERROR(__xludf.DUMMYFUNCTION("""COMPUTED_VALUE"""),9.053492149E9)</f>
        <v>9053492149</v>
      </c>
      <c r="H3458" s="3"/>
    </row>
    <row r="3459">
      <c r="A3459" s="2">
        <f>IFERROR(__xludf.DUMMYFUNCTION("""COMPUTED_VALUE"""),40640.0)</f>
        <v>40640</v>
      </c>
      <c r="B3459" s="3" t="str">
        <f>IFERROR(__xludf.DUMMYFUNCTION("""COMPUTED_VALUE"""),"318 GULLY RD")</f>
        <v>318 GULLY RD</v>
      </c>
      <c r="C3459" s="3" t="str">
        <f>IFERROR(__xludf.DUMMYFUNCTION("""COMPUTED_VALUE"""),"COBOURG")</f>
        <v>COBOURG</v>
      </c>
      <c r="D3459" s="3" t="str">
        <f>IFERROR(__xludf.DUMMYFUNCTION("""COMPUTED_VALUE"""),"K9A 4J8")</f>
        <v>K9A 4J8</v>
      </c>
      <c r="E3459" s="3" t="str">
        <f>IFERROR(__xludf.DUMMYFUNCTION("""COMPUTED_VALUE"""),"GREG EMERSON")</f>
        <v>GREG EMERSON</v>
      </c>
      <c r="F3459" s="3" t="str">
        <f>IFERROR(__xludf.DUMMYFUNCTION("""COMPUTED_VALUE"""),"greg.emerson13@gmail.com")</f>
        <v>greg.emerson13@gmail.com</v>
      </c>
      <c r="G3459" s="3">
        <f>IFERROR(__xludf.DUMMYFUNCTION("""COMPUTED_VALUE"""),9.053755348E9)</f>
        <v>9053755348</v>
      </c>
      <c r="H3459" s="3"/>
    </row>
    <row r="3460">
      <c r="A3460" s="2">
        <f>IFERROR(__xludf.DUMMYFUNCTION("""COMPUTED_VALUE"""),40641.0)</f>
        <v>40641</v>
      </c>
      <c r="B3460" s="3" t="str">
        <f>IFERROR(__xludf.DUMMYFUNCTION("""COMPUTED_VALUE"""),"107 HARE RD")</f>
        <v>107 HARE RD</v>
      </c>
      <c r="C3460" s="3" t="str">
        <f>IFERROR(__xludf.DUMMYFUNCTION("""COMPUTED_VALUE"""),"COBOURG")</f>
        <v>COBOURG</v>
      </c>
      <c r="D3460" s="3" t="str">
        <f>IFERROR(__xludf.DUMMYFUNCTION("""COMPUTED_VALUE"""),"K9A 4J8")</f>
        <v>K9A 4J8</v>
      </c>
      <c r="E3460" s="3" t="str">
        <f>IFERROR(__xludf.DUMMYFUNCTION("""COMPUTED_VALUE"""),"dave hare ")</f>
        <v>dave hare </v>
      </c>
      <c r="F3460" s="3" t="str">
        <f>IFERROR(__xludf.DUMMYFUNCTION("""COMPUTED_VALUE"""),"bugszie22250@gmail.com")</f>
        <v>bugszie22250@gmail.com</v>
      </c>
      <c r="G3460" s="3">
        <f>IFERROR(__xludf.DUMMYFUNCTION("""COMPUTED_VALUE"""),9.053493538E9)</f>
        <v>9053493538</v>
      </c>
      <c r="H3460" s="3">
        <f>IFERROR(__xludf.DUMMYFUNCTION("""COMPUTED_VALUE"""),9.052690337E9)</f>
        <v>9052690337</v>
      </c>
    </row>
    <row r="3461">
      <c r="A3461" s="2">
        <f>IFERROR(__xludf.DUMMYFUNCTION("""COMPUTED_VALUE"""),40642.0)</f>
        <v>40642</v>
      </c>
      <c r="B3461" s="3" t="str">
        <f>IFERROR(__xludf.DUMMYFUNCTION("""COMPUTED_VALUE"""),"115 HARE RD")</f>
        <v>115 HARE RD</v>
      </c>
      <c r="C3461" s="3" t="str">
        <f>IFERROR(__xludf.DUMMYFUNCTION("""COMPUTED_VALUE"""),"COBOURG")</f>
        <v>COBOURG</v>
      </c>
      <c r="D3461" s="3" t="str">
        <f>IFERROR(__xludf.DUMMYFUNCTION("""COMPUTED_VALUE"""),"K9A 4J8")</f>
        <v>K9A 4J8</v>
      </c>
      <c r="E3461" s="3" t="str">
        <f>IFERROR(__xludf.DUMMYFUNCTION("""COMPUTED_VALUE"""),"edgar campbell")</f>
        <v>edgar campbell</v>
      </c>
      <c r="F3461" s="3" t="str">
        <f>IFERROR(__xludf.DUMMYFUNCTION("""COMPUTED_VALUE"""),"egdar70@gmail.com")</f>
        <v>egdar70@gmail.com</v>
      </c>
      <c r="G3461" s="3">
        <f>IFERROR(__xludf.DUMMYFUNCTION("""COMPUTED_VALUE"""),9.053766925E9)</f>
        <v>9053766925</v>
      </c>
      <c r="H3461" s="3"/>
    </row>
    <row r="3462">
      <c r="A3462" s="2">
        <f>IFERROR(__xludf.DUMMYFUNCTION("""COMPUTED_VALUE"""),40643.0)</f>
        <v>40643</v>
      </c>
      <c r="B3462" s="3" t="str">
        <f>IFERROR(__xludf.DUMMYFUNCTION("""COMPUTED_VALUE"""),"125 HARE RD")</f>
        <v>125 HARE RD</v>
      </c>
      <c r="C3462" s="3" t="str">
        <f>IFERROR(__xludf.DUMMYFUNCTION("""COMPUTED_VALUE"""),"COBOURG")</f>
        <v>COBOURG</v>
      </c>
      <c r="D3462" s="3" t="str">
        <f>IFERROR(__xludf.DUMMYFUNCTION("""COMPUTED_VALUE"""),"K9A 4J8")</f>
        <v>K9A 4J8</v>
      </c>
      <c r="E3462" s="3" t="str">
        <f>IFERROR(__xludf.DUMMYFUNCTION("""COMPUTED_VALUE"""),"Rick &amp; Lisa Ainsworth")</f>
        <v>Rick &amp; Lisa Ainsworth</v>
      </c>
      <c r="F3462" s="3" t="str">
        <f>IFERROR(__xludf.DUMMYFUNCTION("""COMPUTED_VALUE"""),"tcb.ainsworth@gmail.com")</f>
        <v>tcb.ainsworth@gmail.com</v>
      </c>
      <c r="G3462" s="3">
        <f>IFERROR(__xludf.DUMMYFUNCTION("""COMPUTED_VALUE"""),9.053491085E9)</f>
        <v>9053491085</v>
      </c>
      <c r="H3462" s="3"/>
    </row>
    <row r="3463">
      <c r="A3463" s="2">
        <f>IFERROR(__xludf.DUMMYFUNCTION("""COMPUTED_VALUE"""),40644.0)</f>
        <v>40644</v>
      </c>
      <c r="B3463" s="3" t="str">
        <f>IFERROR(__xludf.DUMMYFUNCTION("""COMPUTED_VALUE"""),"129 HARE RD")</f>
        <v>129 HARE RD</v>
      </c>
      <c r="C3463" s="3" t="str">
        <f>IFERROR(__xludf.DUMMYFUNCTION("""COMPUTED_VALUE"""),"COBOURG")</f>
        <v>COBOURG</v>
      </c>
      <c r="D3463" s="3" t="str">
        <f>IFERROR(__xludf.DUMMYFUNCTION("""COMPUTED_VALUE"""),"K9A 4J8")</f>
        <v>K9A 4J8</v>
      </c>
      <c r="E3463" s="3"/>
      <c r="F3463" s="3"/>
      <c r="G3463" s="3"/>
      <c r="H3463" s="3"/>
    </row>
    <row r="3464">
      <c r="A3464" s="2">
        <f>IFERROR(__xludf.DUMMYFUNCTION("""COMPUTED_VALUE"""),40645.0)</f>
        <v>40645</v>
      </c>
      <c r="B3464" s="3" t="str">
        <f>IFERROR(__xludf.DUMMYFUNCTION("""COMPUTED_VALUE"""),"220 HARE RD")</f>
        <v>220 HARE RD</v>
      </c>
      <c r="C3464" s="3" t="str">
        <f>IFERROR(__xludf.DUMMYFUNCTION("""COMPUTED_VALUE"""),"COBOURG")</f>
        <v>COBOURG</v>
      </c>
      <c r="D3464" s="3" t="str">
        <f>IFERROR(__xludf.DUMMYFUNCTION("""COMPUTED_VALUE"""),"K9A 4J8")</f>
        <v>K9A 4J8</v>
      </c>
      <c r="E3464" s="3" t="str">
        <f>IFERROR(__xludf.DUMMYFUNCTION("""COMPUTED_VALUE"""),"Julie Hare")</f>
        <v>Julie Hare</v>
      </c>
      <c r="F3464" s="3" t="str">
        <f>IFERROR(__xludf.DUMMYFUNCTION("""COMPUTED_VALUE"""),"jeardco@gmail.com")</f>
        <v>jeardco@gmail.com</v>
      </c>
      <c r="G3464" s="3">
        <f>IFERROR(__xludf.DUMMYFUNCTION("""COMPUTED_VALUE"""),9.053758413E9)</f>
        <v>9053758413</v>
      </c>
      <c r="H3464" s="3">
        <f>IFERROR(__xludf.DUMMYFUNCTION("""COMPUTED_VALUE"""),9.053492919E9)</f>
        <v>9053492919</v>
      </c>
    </row>
    <row r="3465">
      <c r="A3465" s="2">
        <f>IFERROR(__xludf.DUMMYFUNCTION("""COMPUTED_VALUE"""),40648.0)</f>
        <v>40648</v>
      </c>
      <c r="B3465" s="3" t="str">
        <f>IFERROR(__xludf.DUMMYFUNCTION("""COMPUTED_VALUE"""),"121 HARNDEN DR")</f>
        <v>121 HARNDEN DR</v>
      </c>
      <c r="C3465" s="3"/>
      <c r="D3465" s="3"/>
      <c r="E3465" s="3"/>
      <c r="F3465" s="3"/>
      <c r="G3465" s="3"/>
      <c r="H3465" s="3"/>
    </row>
    <row r="3466">
      <c r="A3466" s="2">
        <f>IFERROR(__xludf.DUMMYFUNCTION("""COMPUTED_VALUE"""),40650.0)</f>
        <v>40650</v>
      </c>
      <c r="B3466" s="3" t="str">
        <f>IFERROR(__xludf.DUMMYFUNCTION("""COMPUTED_VALUE"""),"1542 HERITAGE RD")</f>
        <v>1542 HERITAGE RD</v>
      </c>
      <c r="C3466" s="3" t="str">
        <f>IFERROR(__xludf.DUMMYFUNCTION("""COMPUTED_VALUE"""),"COBOURG")</f>
        <v>COBOURG</v>
      </c>
      <c r="D3466" s="3" t="str">
        <f>IFERROR(__xludf.DUMMYFUNCTION("""COMPUTED_VALUE"""),"K9A 4J8")</f>
        <v>K9A 4J8</v>
      </c>
      <c r="E3466" s="3"/>
      <c r="F3466" s="3"/>
      <c r="G3466" s="3"/>
      <c r="H3466" s="3"/>
    </row>
    <row r="3467">
      <c r="A3467" s="2">
        <f>IFERROR(__xludf.DUMMYFUNCTION("""COMPUTED_VALUE"""),40651.0)</f>
        <v>40651</v>
      </c>
      <c r="B3467" s="3" t="str">
        <f>IFERROR(__xludf.DUMMYFUNCTION("""COMPUTED_VALUE"""),"1549 HERITAGE RD")</f>
        <v>1549 HERITAGE RD</v>
      </c>
      <c r="C3467" s="3" t="str">
        <f>IFERROR(__xludf.DUMMYFUNCTION("""COMPUTED_VALUE"""),"COBOURG")</f>
        <v>COBOURG</v>
      </c>
      <c r="D3467" s="3" t="str">
        <f>IFERROR(__xludf.DUMMYFUNCTION("""COMPUTED_VALUE"""),"K9A 4J8")</f>
        <v>K9A 4J8</v>
      </c>
      <c r="E3467" s="3" t="str">
        <f>IFERROR(__xludf.DUMMYFUNCTION("""COMPUTED_VALUE"""),"don prendergast")</f>
        <v>don prendergast</v>
      </c>
      <c r="F3467" s="3" t="str">
        <f>IFERROR(__xludf.DUMMYFUNCTION("""COMPUTED_VALUE"""),"don36p@gmail.com")</f>
        <v>don36p@gmail.com</v>
      </c>
      <c r="G3467" s="3">
        <f>IFERROR(__xludf.DUMMYFUNCTION("""COMPUTED_VALUE"""),9.053728894E9)</f>
        <v>9053728894</v>
      </c>
      <c r="H3467" s="3"/>
    </row>
    <row r="3468">
      <c r="A3468" s="2">
        <f>IFERROR(__xludf.DUMMYFUNCTION("""COMPUTED_VALUE"""),40652.0)</f>
        <v>40652</v>
      </c>
      <c r="B3468" s="3" t="str">
        <f>IFERROR(__xludf.DUMMYFUNCTION("""COMPUTED_VALUE"""),"106 HERRON RD")</f>
        <v>106 HERRON RD</v>
      </c>
      <c r="C3468" s="3" t="str">
        <f>IFERROR(__xludf.DUMMYFUNCTION("""COMPUTED_VALUE"""),"COLBORNE")</f>
        <v>COLBORNE</v>
      </c>
      <c r="D3468" s="3" t="str">
        <f>IFERROR(__xludf.DUMMYFUNCTION("""COMPUTED_VALUE"""),"K0K 1S0")</f>
        <v>K0K 1S0</v>
      </c>
      <c r="E3468" s="3" t="str">
        <f>IFERROR(__xludf.DUMMYFUNCTION("""COMPUTED_VALUE"""),"Keith Elmes")</f>
        <v>Keith Elmes</v>
      </c>
      <c r="F3468" s="3" t="str">
        <f>IFERROR(__xludf.DUMMYFUNCTION("""COMPUTED_VALUE"""),"kelmes@live.com")</f>
        <v>kelmes@live.com</v>
      </c>
      <c r="G3468" s="3">
        <f>IFERROR(__xludf.DUMMYFUNCTION("""COMPUTED_VALUE"""),2.898290642E9)</f>
        <v>2898290642</v>
      </c>
      <c r="H3468" s="3"/>
    </row>
    <row r="3469">
      <c r="A3469" s="2">
        <f>IFERROR(__xludf.DUMMYFUNCTION("""COMPUTED_VALUE"""),40653.0)</f>
        <v>40653</v>
      </c>
      <c r="B3469" s="3" t="str">
        <f>IFERROR(__xludf.DUMMYFUNCTION("""COMPUTED_VALUE"""),"107 HERRON RD")</f>
        <v>107 HERRON RD</v>
      </c>
      <c r="C3469" s="3" t="str">
        <f>IFERROR(__xludf.DUMMYFUNCTION("""COMPUTED_VALUE"""),"COLBORNE")</f>
        <v>COLBORNE</v>
      </c>
      <c r="D3469" s="3" t="str">
        <f>IFERROR(__xludf.DUMMYFUNCTION("""COMPUTED_VALUE"""),"K0K 1S0")</f>
        <v>K0K 1S0</v>
      </c>
      <c r="E3469" s="3" t="str">
        <f>IFERROR(__xludf.DUMMYFUNCTION("""COMPUTED_VALUE"""),"livim burns &amp; James Burns")</f>
        <v>livim burns &amp; James Burns</v>
      </c>
      <c r="F3469" s="3" t="str">
        <f>IFERROR(__xludf.DUMMYFUNCTION("""COMPUTED_VALUE"""),"jburns@baai.ca")</f>
        <v>jburns@baai.ca</v>
      </c>
      <c r="G3469" s="3">
        <f>IFERROR(__xludf.DUMMYFUNCTION("""COMPUTED_VALUE"""),9.053553821E9)</f>
        <v>9053553821</v>
      </c>
      <c r="H3469" s="3"/>
    </row>
    <row r="3470">
      <c r="A3470" s="2">
        <f>IFERROR(__xludf.DUMMYFUNCTION("""COMPUTED_VALUE"""),40654.0)</f>
        <v>40654</v>
      </c>
      <c r="B3470" s="3" t="str">
        <f>IFERROR(__xludf.DUMMYFUNCTION("""COMPUTED_VALUE"""),"112 HERRON RD")</f>
        <v>112 HERRON RD</v>
      </c>
      <c r="C3470" s="3" t="str">
        <f>IFERROR(__xludf.DUMMYFUNCTION("""COMPUTED_VALUE"""),"COLBORNE")</f>
        <v>COLBORNE</v>
      </c>
      <c r="D3470" s="3" t="str">
        <f>IFERROR(__xludf.DUMMYFUNCTION("""COMPUTED_VALUE"""),"K0K 1S0")</f>
        <v>K0K 1S0</v>
      </c>
      <c r="E3470" s="3"/>
      <c r="F3470" s="3"/>
      <c r="G3470" s="3"/>
      <c r="H3470" s="3"/>
    </row>
    <row r="3471">
      <c r="A3471" s="2">
        <f>IFERROR(__xludf.DUMMYFUNCTION("""COMPUTED_VALUE"""),40655.0)</f>
        <v>40655</v>
      </c>
      <c r="B3471" s="3" t="str">
        <f>IFERROR(__xludf.DUMMYFUNCTION("""COMPUTED_VALUE"""),"177 HERRON RD")</f>
        <v>177 HERRON RD</v>
      </c>
      <c r="C3471" s="3" t="str">
        <f>IFERROR(__xludf.DUMMYFUNCTION("""COMPUTED_VALUE"""),"COLBORNE")</f>
        <v>COLBORNE</v>
      </c>
      <c r="D3471" s="3" t="str">
        <f>IFERROR(__xludf.DUMMYFUNCTION("""COMPUTED_VALUE"""),"K0K 1S0")</f>
        <v>K0K 1S0</v>
      </c>
      <c r="E3471" s="3" t="str">
        <f>IFERROR(__xludf.DUMMYFUNCTION("""COMPUTED_VALUE"""),"ROHAN MAMMEN")</f>
        <v>ROHAN MAMMEN</v>
      </c>
      <c r="F3471" s="3" t="str">
        <f>IFERROR(__xludf.DUMMYFUNCTION("""COMPUTED_VALUE"""),"rohantyna@gmail.com")</f>
        <v>rohantyna@gmail.com</v>
      </c>
      <c r="G3471" s="3"/>
      <c r="H3471" s="3"/>
    </row>
    <row r="3472">
      <c r="A3472" s="2">
        <f>IFERROR(__xludf.DUMMYFUNCTION("""COMPUTED_VALUE"""),40656.0)</f>
        <v>40656</v>
      </c>
      <c r="B3472" s="3" t="str">
        <f>IFERROR(__xludf.DUMMYFUNCTION("""COMPUTED_VALUE"""),"181 HERRON RD")</f>
        <v>181 HERRON RD</v>
      </c>
      <c r="C3472" s="3" t="str">
        <f>IFERROR(__xludf.DUMMYFUNCTION("""COMPUTED_VALUE"""),"COLBORNE")</f>
        <v>COLBORNE</v>
      </c>
      <c r="D3472" s="3" t="str">
        <f>IFERROR(__xludf.DUMMYFUNCTION("""COMPUTED_VALUE"""),"K0K 1S0")</f>
        <v>K0K 1S0</v>
      </c>
      <c r="E3472" s="3"/>
      <c r="F3472" s="3"/>
      <c r="G3472" s="3"/>
      <c r="H3472" s="3"/>
    </row>
    <row r="3473">
      <c r="A3473" s="2">
        <f>IFERROR(__xludf.DUMMYFUNCTION("""COMPUTED_VALUE"""),40657.0)</f>
        <v>40657</v>
      </c>
      <c r="B3473" s="3" t="str">
        <f>IFERROR(__xludf.DUMMYFUNCTION("""COMPUTED_VALUE"""),"185 HERRON RD")</f>
        <v>185 HERRON RD</v>
      </c>
      <c r="C3473" s="3" t="str">
        <f>IFERROR(__xludf.DUMMYFUNCTION("""COMPUTED_VALUE"""),"COLBORNE")</f>
        <v>COLBORNE</v>
      </c>
      <c r="D3473" s="3" t="str">
        <f>IFERROR(__xludf.DUMMYFUNCTION("""COMPUTED_VALUE"""),"K0K 1S0")</f>
        <v>K0K 1S0</v>
      </c>
      <c r="E3473" s="3" t="str">
        <f>IFERROR(__xludf.DUMMYFUNCTION("""COMPUTED_VALUE"""),"james warner ")</f>
        <v>james warner </v>
      </c>
      <c r="F3473" s="3"/>
      <c r="G3473" s="3">
        <f>IFERROR(__xludf.DUMMYFUNCTION("""COMPUTED_VALUE"""),9.053775564E9)</f>
        <v>9053775564</v>
      </c>
      <c r="H3473" s="3"/>
    </row>
    <row r="3474">
      <c r="A3474" s="2">
        <f>IFERROR(__xludf.DUMMYFUNCTION("""COMPUTED_VALUE"""),40658.0)</f>
        <v>40658</v>
      </c>
      <c r="B3474" s="3" t="str">
        <f>IFERROR(__xludf.DUMMYFUNCTION("""COMPUTED_VALUE"""),"230 HERRON RD")</f>
        <v>230 HERRON RD</v>
      </c>
      <c r="C3474" s="3" t="str">
        <f>IFERROR(__xludf.DUMMYFUNCTION("""COMPUTED_VALUE"""),"COLBORNE")</f>
        <v>COLBORNE</v>
      </c>
      <c r="D3474" s="3" t="str">
        <f>IFERROR(__xludf.DUMMYFUNCTION("""COMPUTED_VALUE"""),"K0K 1S0")</f>
        <v>K0K 1S0</v>
      </c>
      <c r="E3474" s="3"/>
      <c r="F3474" s="3"/>
      <c r="G3474" s="3"/>
      <c r="H3474" s="3"/>
    </row>
    <row r="3475">
      <c r="A3475" s="2">
        <f>IFERROR(__xludf.DUMMYFUNCTION("""COMPUTED_VALUE"""),40660.0)</f>
        <v>40660</v>
      </c>
      <c r="B3475" s="3" t="str">
        <f>IFERROR(__xludf.DUMMYFUNCTION("""COMPUTED_VALUE"""),"1940 HILL 60 RD")</f>
        <v>1940 HILL 60 RD</v>
      </c>
      <c r="C3475" s="3" t="str">
        <f>IFERROR(__xludf.DUMMYFUNCTION("""COMPUTED_VALUE"""),"COBOURG")</f>
        <v>COBOURG</v>
      </c>
      <c r="D3475" s="3" t="str">
        <f>IFERROR(__xludf.DUMMYFUNCTION("""COMPUTED_VALUE"""),"K9A 4J8")</f>
        <v>K9A 4J8</v>
      </c>
      <c r="E3475" s="3" t="str">
        <f>IFERROR(__xludf.DUMMYFUNCTION("""COMPUTED_VALUE"""),"Keir MacRae")</f>
        <v>Keir MacRae</v>
      </c>
      <c r="F3475" s="3" t="str">
        <f>IFERROR(__xludf.DUMMYFUNCTION("""COMPUTED_VALUE"""),"mail@keirmacrae.com")</f>
        <v>mail@keirmacrae.com</v>
      </c>
      <c r="G3475" s="3">
        <f>IFERROR(__xludf.DUMMYFUNCTION("""COMPUTED_VALUE"""),4.169923745E9)</f>
        <v>4169923745</v>
      </c>
      <c r="H3475" s="3"/>
    </row>
    <row r="3476">
      <c r="A3476" s="2">
        <f>IFERROR(__xludf.DUMMYFUNCTION("""COMPUTED_VALUE"""),40661.0)</f>
        <v>40661</v>
      </c>
      <c r="B3476" s="3" t="str">
        <f>IFERROR(__xludf.DUMMYFUNCTION("""COMPUTED_VALUE"""),"1946 HILL 60")</f>
        <v>1946 HILL 60</v>
      </c>
      <c r="C3476" s="3" t="str">
        <f>IFERROR(__xludf.DUMMYFUNCTION("""COMPUTED_VALUE"""),"COBOURG")</f>
        <v>COBOURG</v>
      </c>
      <c r="D3476" s="3" t="str">
        <f>IFERROR(__xludf.DUMMYFUNCTION("""COMPUTED_VALUE"""),"K9A 4J8")</f>
        <v>K9A 4J8</v>
      </c>
      <c r="E3476" s="3"/>
      <c r="F3476" s="3"/>
      <c r="G3476" s="3"/>
      <c r="H3476" s="3"/>
    </row>
    <row r="3477">
      <c r="A3477" s="2">
        <f>IFERROR(__xludf.DUMMYFUNCTION("""COMPUTED_VALUE"""),40662.0)</f>
        <v>40662</v>
      </c>
      <c r="B3477" s="3" t="str">
        <f>IFERROR(__xludf.DUMMYFUNCTION("""COMPUTED_VALUE"""),"1994 HILL 60")</f>
        <v>1994 HILL 60</v>
      </c>
      <c r="C3477" s="3" t="str">
        <f>IFERROR(__xludf.DUMMYFUNCTION("""COMPUTED_VALUE"""),"COBOURG")</f>
        <v>COBOURG</v>
      </c>
      <c r="D3477" s="3" t="str">
        <f>IFERROR(__xludf.DUMMYFUNCTION("""COMPUTED_VALUE"""),"K9A 4J8")</f>
        <v>K9A 4J8</v>
      </c>
      <c r="E3477" s="3"/>
      <c r="F3477" s="3"/>
      <c r="G3477" s="3"/>
      <c r="H3477" s="3"/>
    </row>
    <row r="3478">
      <c r="A3478" s="2">
        <f>IFERROR(__xludf.DUMMYFUNCTION("""COMPUTED_VALUE"""),40663.0)</f>
        <v>40663</v>
      </c>
      <c r="B3478" s="3" t="str">
        <f>IFERROR(__xludf.DUMMYFUNCTION("""COMPUTED_VALUE"""),"2006 HILL 60")</f>
        <v>2006 HILL 60</v>
      </c>
      <c r="C3478" s="3" t="str">
        <f>IFERROR(__xludf.DUMMYFUNCTION("""COMPUTED_VALUE"""),"COBOURG")</f>
        <v>COBOURG</v>
      </c>
      <c r="D3478" s="3" t="str">
        <f>IFERROR(__xludf.DUMMYFUNCTION("""COMPUTED_VALUE"""),"K9A 4J8")</f>
        <v>K9A 4J8</v>
      </c>
      <c r="E3478" s="3"/>
      <c r="F3478" s="3"/>
      <c r="G3478" s="3"/>
      <c r="H3478" s="3"/>
    </row>
    <row r="3479">
      <c r="A3479" s="2">
        <f>IFERROR(__xludf.DUMMYFUNCTION("""COMPUTED_VALUE"""),40664.0)</f>
        <v>40664</v>
      </c>
      <c r="B3479" s="3" t="str">
        <f>IFERROR(__xludf.DUMMYFUNCTION("""COMPUTED_VALUE"""),"101 HILLCREST DR")</f>
        <v>101 HILLCREST DR</v>
      </c>
      <c r="C3479" s="3" t="str">
        <f>IFERROR(__xludf.DUMMYFUNCTION("""COMPUTED_VALUE"""),"GRAFTON ")</f>
        <v>GRAFTON </v>
      </c>
      <c r="D3479" s="3" t="str">
        <f>IFERROR(__xludf.DUMMYFUNCTION("""COMPUTED_VALUE"""),"K0K 2G0")</f>
        <v>K0K 2G0</v>
      </c>
      <c r="E3479" s="3"/>
      <c r="F3479" s="3"/>
      <c r="G3479" s="3"/>
      <c r="H3479" s="3"/>
    </row>
    <row r="3480">
      <c r="A3480" s="2">
        <f>IFERROR(__xludf.DUMMYFUNCTION("""COMPUTED_VALUE"""),40665.0)</f>
        <v>40665</v>
      </c>
      <c r="B3480" s="3" t="str">
        <f>IFERROR(__xludf.DUMMYFUNCTION("""COMPUTED_VALUE"""),"108 HILLTOP RD")</f>
        <v>108 HILLTOP RD</v>
      </c>
      <c r="C3480" s="3" t="str">
        <f>IFERROR(__xludf.DUMMYFUNCTION("""COMPUTED_VALUE"""),"COLBORNE")</f>
        <v>COLBORNE</v>
      </c>
      <c r="D3480" s="3" t="str">
        <f>IFERROR(__xludf.DUMMYFUNCTION("""COMPUTED_VALUE"""),"K0K 1S0")</f>
        <v>K0K 1S0</v>
      </c>
      <c r="E3480" s="3" t="str">
        <f>IFERROR(__xludf.DUMMYFUNCTION("""COMPUTED_VALUE"""),"Christine Griffiths")</f>
        <v>Christine Griffiths</v>
      </c>
      <c r="F3480" s="3" t="str">
        <f>IFERROR(__xludf.DUMMYFUNCTION("""COMPUTED_VALUE"""),"christine_griffiths@hotmail.com")</f>
        <v>christine_griffiths@hotmail.com</v>
      </c>
      <c r="G3480" s="3"/>
      <c r="H3480" s="3"/>
    </row>
    <row r="3481">
      <c r="A3481" s="2">
        <f>IFERROR(__xludf.DUMMYFUNCTION("""COMPUTED_VALUE"""),40666.0)</f>
        <v>40666</v>
      </c>
      <c r="B3481" s="3" t="str">
        <f>IFERROR(__xludf.DUMMYFUNCTION("""COMPUTED_VALUE"""),"120 HILLTOP RD")</f>
        <v>120 HILLTOP RD</v>
      </c>
      <c r="C3481" s="3" t="str">
        <f>IFERROR(__xludf.DUMMYFUNCTION("""COMPUTED_VALUE"""),"COLBORNE")</f>
        <v>COLBORNE</v>
      </c>
      <c r="D3481" s="3" t="str">
        <f>IFERROR(__xludf.DUMMYFUNCTION("""COMPUTED_VALUE"""),"K0K 1S0")</f>
        <v>K0K 1S0</v>
      </c>
      <c r="E3481" s="3"/>
      <c r="F3481" s="3"/>
      <c r="G3481" s="3"/>
      <c r="H3481" s="3"/>
    </row>
    <row r="3482">
      <c r="A3482" s="2">
        <f>IFERROR(__xludf.DUMMYFUNCTION("""COMPUTED_VALUE"""),40667.0)</f>
        <v>40667</v>
      </c>
      <c r="B3482" s="3" t="str">
        <f>IFERROR(__xludf.DUMMYFUNCTION("""COMPUTED_VALUE"""),"170 HILLTOP RD")</f>
        <v>170 HILLTOP RD</v>
      </c>
      <c r="C3482" s="3" t="str">
        <f>IFERROR(__xludf.DUMMYFUNCTION("""COMPUTED_VALUE"""),"COLBORNE")</f>
        <v>COLBORNE</v>
      </c>
      <c r="D3482" s="3" t="str">
        <f>IFERROR(__xludf.DUMMYFUNCTION("""COMPUTED_VALUE"""),"K0K 1S0")</f>
        <v>K0K 1S0</v>
      </c>
      <c r="E3482" s="3" t="str">
        <f>IFERROR(__xludf.DUMMYFUNCTION("""COMPUTED_VALUE"""),"gord blayden")</f>
        <v>gord blayden</v>
      </c>
      <c r="F3482" s="3" t="str">
        <f>IFERROR(__xludf.DUMMYFUNCTION("""COMPUTED_VALUE"""),"brett.1@hotmail.com")</f>
        <v>brett.1@hotmail.com</v>
      </c>
      <c r="G3482" s="3">
        <f>IFERROR(__xludf.DUMMYFUNCTION("""COMPUTED_VALUE"""),2.896755001E9)</f>
        <v>2896755001</v>
      </c>
      <c r="H3482" s="3"/>
    </row>
    <row r="3483">
      <c r="A3483" s="2">
        <f>IFERROR(__xludf.DUMMYFUNCTION("""COMPUTED_VALUE"""),40668.0)</f>
        <v>40668</v>
      </c>
      <c r="B3483" s="3" t="str">
        <f>IFERROR(__xludf.DUMMYFUNCTION("""COMPUTED_VALUE"""),"179 HILLTOP RD")</f>
        <v>179 HILLTOP RD</v>
      </c>
      <c r="C3483" s="3" t="str">
        <f>IFERROR(__xludf.DUMMYFUNCTION("""COMPUTED_VALUE"""),"COLBORNE")</f>
        <v>COLBORNE</v>
      </c>
      <c r="D3483" s="3" t="str">
        <f>IFERROR(__xludf.DUMMYFUNCTION("""COMPUTED_VALUE"""),"K0K 1S0")</f>
        <v>K0K 1S0</v>
      </c>
      <c r="E3483" s="3" t="str">
        <f>IFERROR(__xludf.DUMMYFUNCTION("""COMPUTED_VALUE"""),"RICHARD LYON")</f>
        <v>RICHARD LYON</v>
      </c>
      <c r="F3483" s="3" t="str">
        <f>IFERROR(__xludf.DUMMYFUNCTION("""COMPUTED_VALUE"""),"rlyona991@rogers.com")</f>
        <v>rlyona991@rogers.com</v>
      </c>
      <c r="G3483" s="3"/>
      <c r="H3483" s="3"/>
    </row>
    <row r="3484">
      <c r="A3484" s="2">
        <f>IFERROR(__xludf.DUMMYFUNCTION("""COMPUTED_VALUE"""),40669.0)</f>
        <v>40669</v>
      </c>
      <c r="B3484" s="3" t="str">
        <f>IFERROR(__xludf.DUMMYFUNCTION("""COMPUTED_VALUE"""),"186 HILLTOP RD")</f>
        <v>186 HILLTOP RD</v>
      </c>
      <c r="C3484" s="3" t="str">
        <f>IFERROR(__xludf.DUMMYFUNCTION("""COMPUTED_VALUE"""),"COLBORNE")</f>
        <v>COLBORNE</v>
      </c>
      <c r="D3484" s="3" t="str">
        <f>IFERROR(__xludf.DUMMYFUNCTION("""COMPUTED_VALUE"""),"K0K 1S0")</f>
        <v>K0K 1S0</v>
      </c>
      <c r="E3484" s="3" t="str">
        <f>IFERROR(__xludf.DUMMYFUNCTION("""COMPUTED_VALUE"""),"jeff gruen")</f>
        <v>jeff gruen</v>
      </c>
      <c r="F3484" s="3" t="str">
        <f>IFERROR(__xludf.DUMMYFUNCTION("""COMPUTED_VALUE"""),"jeffgruen@me.com")</f>
        <v>jeffgruen@me.com</v>
      </c>
      <c r="G3484" s="3">
        <f>IFERROR(__xludf.DUMMYFUNCTION("""COMPUTED_VALUE"""),4.165920598E9)</f>
        <v>4165920598</v>
      </c>
      <c r="H3484" s="3">
        <f>IFERROR(__xludf.DUMMYFUNCTION("""COMPUTED_VALUE"""),9.052694339E9)</f>
        <v>9052694339</v>
      </c>
    </row>
    <row r="3485">
      <c r="A3485" s="2">
        <f>IFERROR(__xludf.DUMMYFUNCTION("""COMPUTED_VALUE"""),40670.0)</f>
        <v>40670</v>
      </c>
      <c r="B3485" s="3" t="str">
        <f>IFERROR(__xludf.DUMMYFUNCTION("""COMPUTED_VALUE"""),"192 HILLTOP RD")</f>
        <v>192 HILLTOP RD</v>
      </c>
      <c r="C3485" s="3" t="str">
        <f>IFERROR(__xludf.DUMMYFUNCTION("""COMPUTED_VALUE"""),"COLBORNE")</f>
        <v>COLBORNE</v>
      </c>
      <c r="D3485" s="3" t="str">
        <f>IFERROR(__xludf.DUMMYFUNCTION("""COMPUTED_VALUE"""),"K0K 1S0")</f>
        <v>K0K 1S0</v>
      </c>
      <c r="E3485" s="3"/>
      <c r="F3485" s="3"/>
      <c r="G3485" s="3"/>
      <c r="H3485" s="3"/>
    </row>
    <row r="3486">
      <c r="A3486" s="2">
        <f>IFERROR(__xludf.DUMMYFUNCTION("""COMPUTED_VALUE"""),40671.0)</f>
        <v>40671</v>
      </c>
      <c r="B3486" s="3" t="str">
        <f>IFERROR(__xludf.DUMMYFUNCTION("""COMPUTED_VALUE"""),"201 HILLTOP RD")</f>
        <v>201 HILLTOP RD</v>
      </c>
      <c r="C3486" s="3" t="str">
        <f>IFERROR(__xludf.DUMMYFUNCTION("""COMPUTED_VALUE"""),"COLBORNE")</f>
        <v>COLBORNE</v>
      </c>
      <c r="D3486" s="3" t="str">
        <f>IFERROR(__xludf.DUMMYFUNCTION("""COMPUTED_VALUE"""),"K0K 1S0")</f>
        <v>K0K 1S0</v>
      </c>
      <c r="E3486" s="3"/>
      <c r="F3486" s="3"/>
      <c r="G3486" s="3"/>
      <c r="H3486" s="3"/>
    </row>
    <row r="3487">
      <c r="A3487" s="2">
        <f>IFERROR(__xludf.DUMMYFUNCTION("""COMPUTED_VALUE"""),40672.0)</f>
        <v>40672</v>
      </c>
      <c r="B3487" s="3" t="str">
        <f>IFERROR(__xludf.DUMMYFUNCTION("""COMPUTED_VALUE"""),"202 HILLTOP RD")</f>
        <v>202 HILLTOP RD</v>
      </c>
      <c r="C3487" s="3" t="str">
        <f>IFERROR(__xludf.DUMMYFUNCTION("""COMPUTED_VALUE"""),"COLBORNE")</f>
        <v>COLBORNE</v>
      </c>
      <c r="D3487" s="3" t="str">
        <f>IFERROR(__xludf.DUMMYFUNCTION("""COMPUTED_VALUE"""),"K0K 1S0")</f>
        <v>K0K 1S0</v>
      </c>
      <c r="E3487" s="3" t="str">
        <f>IFERROR(__xludf.DUMMYFUNCTION("""COMPUTED_VALUE"""),"ken white ")</f>
        <v>ken white </v>
      </c>
      <c r="F3487" s="3" t="str">
        <f>IFERROR(__xludf.DUMMYFUNCTION("""COMPUTED_VALUE"""),"whitekew@yahoo.ca")</f>
        <v>whitekew@yahoo.ca</v>
      </c>
      <c r="G3487" s="3">
        <f>IFERROR(__xludf.DUMMYFUNCTION("""COMPUTED_VALUE"""),9.053963762E9)</f>
        <v>9053963762</v>
      </c>
      <c r="H3487" s="3">
        <f>IFERROR(__xludf.DUMMYFUNCTION("""COMPUTED_VALUE"""),9.053736579E9)</f>
        <v>9053736579</v>
      </c>
    </row>
    <row r="3488">
      <c r="A3488" s="2">
        <f>IFERROR(__xludf.DUMMYFUNCTION("""COMPUTED_VALUE"""),40673.0)</f>
        <v>40673</v>
      </c>
      <c r="B3488" s="3" t="str">
        <f>IFERROR(__xludf.DUMMYFUNCTION("""COMPUTED_VALUE"""),"1969 JARVIS RD")</f>
        <v>1969 JARVIS RD</v>
      </c>
      <c r="C3488" s="3" t="str">
        <f>IFERROR(__xludf.DUMMYFUNCTION("""COMPUTED_VALUE"""),"COBOURG")</f>
        <v>COBOURG</v>
      </c>
      <c r="D3488" s="3" t="str">
        <f>IFERROR(__xludf.DUMMYFUNCTION("""COMPUTED_VALUE"""),"K9A 0S3")</f>
        <v>K9A 0S3</v>
      </c>
      <c r="E3488" s="3"/>
      <c r="F3488" s="3"/>
      <c r="G3488" s="3"/>
      <c r="H3488" s="3"/>
    </row>
    <row r="3489">
      <c r="A3489" s="2">
        <f>IFERROR(__xludf.DUMMYFUNCTION("""COMPUTED_VALUE"""),40674.0)</f>
        <v>40674</v>
      </c>
      <c r="B3489" s="3" t="str">
        <f>IFERROR(__xludf.DUMMYFUNCTION("""COMPUTED_VALUE"""),"1979 JARVIS RD")</f>
        <v>1979 JARVIS RD</v>
      </c>
      <c r="C3489" s="3" t="str">
        <f>IFERROR(__xludf.DUMMYFUNCTION("""COMPUTED_VALUE"""),"COBOURG")</f>
        <v>COBOURG</v>
      </c>
      <c r="D3489" s="3" t="str">
        <f>IFERROR(__xludf.DUMMYFUNCTION("""COMPUTED_VALUE"""),"K9A 0S3")</f>
        <v>K9A 0S3</v>
      </c>
      <c r="E3489" s="3" t="str">
        <f>IFERROR(__xludf.DUMMYFUNCTION("""COMPUTED_VALUE"""),"justin vandermeer")</f>
        <v>justin vandermeer</v>
      </c>
      <c r="F3489" s="3" t="str">
        <f>IFERROR(__xludf.DUMMYFUNCTION("""COMPUTED_VALUE"""),"jvandermeer@vandermeertoyota.ca")</f>
        <v>jvandermeer@vandermeertoyota.ca</v>
      </c>
      <c r="G3489" s="3">
        <f>IFERROR(__xludf.DUMMYFUNCTION("""COMPUTED_VALUE"""),2.892514694E9)</f>
        <v>2892514694</v>
      </c>
      <c r="H3489" s="3"/>
    </row>
    <row r="3490">
      <c r="A3490" s="2">
        <f>IFERROR(__xludf.DUMMYFUNCTION("""COMPUTED_VALUE"""),40675.0)</f>
        <v>40675</v>
      </c>
      <c r="B3490" s="3" t="str">
        <f>IFERROR(__xludf.DUMMYFUNCTION("""COMPUTED_VALUE"""),"1987 JARVIS RD")</f>
        <v>1987 JARVIS RD</v>
      </c>
      <c r="C3490" s="3" t="str">
        <f>IFERROR(__xludf.DUMMYFUNCTION("""COMPUTED_VALUE"""),"COBOURG")</f>
        <v>COBOURG</v>
      </c>
      <c r="D3490" s="3" t="str">
        <f>IFERROR(__xludf.DUMMYFUNCTION("""COMPUTED_VALUE"""),"K9A 0S3")</f>
        <v>K9A 0S3</v>
      </c>
      <c r="E3490" s="3" t="str">
        <f>IFERROR(__xludf.DUMMYFUNCTION("""COMPUTED_VALUE"""),"Richard Black")</f>
        <v>Richard Black</v>
      </c>
      <c r="F3490" s="3" t="str">
        <f>IFERROR(__xludf.DUMMYFUNCTION("""COMPUTED_VALUE"""),"ricktinablack@gmail.com")</f>
        <v>ricktinablack@gmail.com</v>
      </c>
      <c r="G3490" s="3">
        <f>IFERROR(__xludf.DUMMYFUNCTION("""COMPUTED_VALUE"""),9.05376055E9)</f>
        <v>9053760550</v>
      </c>
      <c r="H3490" s="3"/>
    </row>
    <row r="3491">
      <c r="A3491" s="2">
        <f>IFERROR(__xludf.DUMMYFUNCTION("""COMPUTED_VALUE"""),40676.0)</f>
        <v>40676</v>
      </c>
      <c r="B3491" s="3" t="str">
        <f>IFERROR(__xludf.DUMMYFUNCTION("""COMPUTED_VALUE"""),"1997 JARVIS RD")</f>
        <v>1997 JARVIS RD</v>
      </c>
      <c r="C3491" s="3" t="str">
        <f>IFERROR(__xludf.DUMMYFUNCTION("""COMPUTED_VALUE"""),"COBOURG")</f>
        <v>COBOURG</v>
      </c>
      <c r="D3491" s="3" t="str">
        <f>IFERROR(__xludf.DUMMYFUNCTION("""COMPUTED_VALUE"""),"K9A 0S3")</f>
        <v>K9A 0S3</v>
      </c>
      <c r="E3491" s="3" t="str">
        <f>IFERROR(__xludf.DUMMYFUNCTION("""COMPUTED_VALUE"""),"dave low ")</f>
        <v>dave low </v>
      </c>
      <c r="F3491" s="3" t="str">
        <f>IFERROR(__xludf.DUMMYFUNCTION("""COMPUTED_VALUE"""),"niganddave@hotmail.com")</f>
        <v>niganddave@hotmail.com</v>
      </c>
      <c r="G3491" s="3">
        <f>IFERROR(__xludf.DUMMYFUNCTION("""COMPUTED_VALUE"""),9.056239532E9)</f>
        <v>9056239532</v>
      </c>
      <c r="H3491" s="3"/>
    </row>
    <row r="3492">
      <c r="A3492" s="2">
        <f>IFERROR(__xludf.DUMMYFUNCTION("""COMPUTED_VALUE"""),40677.0)</f>
        <v>40677</v>
      </c>
      <c r="B3492" s="3" t="str">
        <f>IFERROR(__xludf.DUMMYFUNCTION("""COMPUTED_VALUE"""),"2005 JARVIS RD")</f>
        <v>2005 JARVIS RD</v>
      </c>
      <c r="C3492" s="3" t="str">
        <f>IFERROR(__xludf.DUMMYFUNCTION("""COMPUTED_VALUE"""),"COBOURG")</f>
        <v>COBOURG</v>
      </c>
      <c r="D3492" s="3" t="str">
        <f>IFERROR(__xludf.DUMMYFUNCTION("""COMPUTED_VALUE"""),"K9A 0S3")</f>
        <v>K9A 0S3</v>
      </c>
      <c r="E3492" s="3" t="str">
        <f>IFERROR(__xludf.DUMMYFUNCTION("""COMPUTED_VALUE"""),"Joe LOPES")</f>
        <v>Joe LOPES</v>
      </c>
      <c r="F3492" s="3" t="str">
        <f>IFERROR(__xludf.DUMMYFUNCTION("""COMPUTED_VALUE"""),"joe.cf.lopes@gmail.com")</f>
        <v>joe.cf.lopes@gmail.com</v>
      </c>
      <c r="G3492" s="3"/>
      <c r="H3492" s="3"/>
    </row>
    <row r="3493">
      <c r="A3493" s="2">
        <f>IFERROR(__xludf.DUMMYFUNCTION("""COMPUTED_VALUE"""),40678.0)</f>
        <v>40678</v>
      </c>
      <c r="B3493" s="3" t="str">
        <f>IFERROR(__xludf.DUMMYFUNCTION("""COMPUTED_VALUE"""),"2031 JARVIS RD")</f>
        <v>2031 JARVIS RD</v>
      </c>
      <c r="C3493" s="3" t="str">
        <f>IFERROR(__xludf.DUMMYFUNCTION("""COMPUTED_VALUE"""),"COBOURG")</f>
        <v>COBOURG</v>
      </c>
      <c r="D3493" s="3" t="str">
        <f>IFERROR(__xludf.DUMMYFUNCTION("""COMPUTED_VALUE"""),"K9A 0S3")</f>
        <v>K9A 0S3</v>
      </c>
      <c r="E3493" s="3" t="str">
        <f>IFERROR(__xludf.DUMMYFUNCTION("""COMPUTED_VALUE"""),"Blaine DARLING")</f>
        <v>Blaine DARLING</v>
      </c>
      <c r="F3493" s="3" t="str">
        <f>IFERROR(__xludf.DUMMYFUNCTION("""COMPUTED_VALUE"""),"darlingblaine@gmail.com")</f>
        <v>darlingblaine@gmail.com</v>
      </c>
      <c r="G3493" s="3"/>
      <c r="H3493" s="3"/>
    </row>
    <row r="3494">
      <c r="A3494" s="2">
        <f>IFERROR(__xludf.DUMMYFUNCTION("""COMPUTED_VALUE"""),40679.0)</f>
        <v>40679</v>
      </c>
      <c r="B3494" s="3" t="str">
        <f>IFERROR(__xludf.DUMMYFUNCTION("""COMPUTED_VALUE"""),"2037 JARVIS RD")</f>
        <v>2037 JARVIS RD</v>
      </c>
      <c r="C3494" s="3" t="str">
        <f>IFERROR(__xludf.DUMMYFUNCTION("""COMPUTED_VALUE"""),"COBOURG")</f>
        <v>COBOURG</v>
      </c>
      <c r="D3494" s="3" t="str">
        <f>IFERROR(__xludf.DUMMYFUNCTION("""COMPUTED_VALUE"""),"K9A 0S3")</f>
        <v>K9A 0S3</v>
      </c>
      <c r="E3494" s="3"/>
      <c r="F3494" s="3"/>
      <c r="G3494" s="3"/>
      <c r="H3494" s="3"/>
    </row>
    <row r="3495">
      <c r="A3495" s="2">
        <f>IFERROR(__xludf.DUMMYFUNCTION("""COMPUTED_VALUE"""),40680.0)</f>
        <v>40680</v>
      </c>
      <c r="B3495" s="3" t="str">
        <f>IFERROR(__xludf.DUMMYFUNCTION("""COMPUTED_VALUE"""),"2043 JARVIS RD")</f>
        <v>2043 JARVIS RD</v>
      </c>
      <c r="C3495" s="3" t="str">
        <f>IFERROR(__xludf.DUMMYFUNCTION("""COMPUTED_VALUE"""),"COBOURG")</f>
        <v>COBOURG</v>
      </c>
      <c r="D3495" s="3" t="str">
        <f>IFERROR(__xludf.DUMMYFUNCTION("""COMPUTED_VALUE"""),"K9A 0S3")</f>
        <v>K9A 0S3</v>
      </c>
      <c r="E3495" s="3"/>
      <c r="F3495" s="3"/>
      <c r="G3495" s="3"/>
      <c r="H3495" s="3"/>
    </row>
    <row r="3496">
      <c r="A3496" s="2">
        <f>IFERROR(__xludf.DUMMYFUNCTION("""COMPUTED_VALUE"""),40681.0)</f>
        <v>40681</v>
      </c>
      <c r="B3496" s="3" t="str">
        <f>IFERROR(__xludf.DUMMYFUNCTION("""COMPUTED_VALUE"""),"2049 JARVIS RD")</f>
        <v>2049 JARVIS RD</v>
      </c>
      <c r="C3496" s="3" t="str">
        <f>IFERROR(__xludf.DUMMYFUNCTION("""COMPUTED_VALUE"""),"COBOURG")</f>
        <v>COBOURG</v>
      </c>
      <c r="D3496" s="3" t="str">
        <f>IFERROR(__xludf.DUMMYFUNCTION("""COMPUTED_VALUE"""),"K9A 0S3")</f>
        <v>K9A 0S3</v>
      </c>
      <c r="E3496" s="3"/>
      <c r="F3496" s="3"/>
      <c r="G3496" s="3"/>
      <c r="H3496" s="3"/>
    </row>
    <row r="3497">
      <c r="A3497" s="2">
        <f>IFERROR(__xludf.DUMMYFUNCTION("""COMPUTED_VALUE"""),40682.0)</f>
        <v>40682</v>
      </c>
      <c r="B3497" s="3" t="str">
        <f>IFERROR(__xludf.DUMMYFUNCTION("""COMPUTED_VALUE"""),"105 JIGGS RD")</f>
        <v>105 JIGGS RD</v>
      </c>
      <c r="C3497" s="3" t="str">
        <f>IFERROR(__xludf.DUMMYFUNCTION("""COMPUTED_VALUE"""),"GRAFTON")</f>
        <v>GRAFTON</v>
      </c>
      <c r="D3497" s="3" t="str">
        <f>IFERROR(__xludf.DUMMYFUNCTION("""COMPUTED_VALUE"""),"K0K 2G0")</f>
        <v>K0K 2G0</v>
      </c>
      <c r="E3497" s="3" t="str">
        <f>IFERROR(__xludf.DUMMYFUNCTION("""COMPUTED_VALUE"""),"Carrie Wildman")</f>
        <v>Carrie Wildman</v>
      </c>
      <c r="F3497" s="3" t="str">
        <f>IFERROR(__xludf.DUMMYFUNCTION("""COMPUTED_VALUE"""),"caewtest@gmail.com")</f>
        <v>caewtest@gmail.com</v>
      </c>
      <c r="G3497" s="3">
        <f>IFERROR(__xludf.DUMMYFUNCTION("""COMPUTED_VALUE"""),9.053766699E9)</f>
        <v>9053766699</v>
      </c>
      <c r="H3497" s="3"/>
    </row>
    <row r="3498">
      <c r="A3498" s="2">
        <f>IFERROR(__xludf.DUMMYFUNCTION("""COMPUTED_VALUE"""),40683.0)</f>
        <v>40683</v>
      </c>
      <c r="B3498" s="3" t="str">
        <f>IFERROR(__xludf.DUMMYFUNCTION("""COMPUTED_VALUE"""),"136 JIGGS RD")</f>
        <v>136 JIGGS RD</v>
      </c>
      <c r="C3498" s="3" t="str">
        <f>IFERROR(__xludf.DUMMYFUNCTION("""COMPUTED_VALUE"""),"GRAFTON")</f>
        <v>GRAFTON</v>
      </c>
      <c r="D3498" s="3" t="str">
        <f>IFERROR(__xludf.DUMMYFUNCTION("""COMPUTED_VALUE"""),"K0K 2G0")</f>
        <v>K0K 2G0</v>
      </c>
      <c r="E3498" s="3" t="str">
        <f>IFERROR(__xludf.DUMMYFUNCTION("""COMPUTED_VALUE"""),"don calnan")</f>
        <v>don calnan</v>
      </c>
      <c r="F3498" s="3" t="str">
        <f>IFERROR(__xludf.DUMMYFUNCTION("""COMPUTED_VALUE"""),"donc721@gmail.com")</f>
        <v>donc721@gmail.com</v>
      </c>
      <c r="G3498" s="3">
        <f>IFERROR(__xludf.DUMMYFUNCTION("""COMPUTED_VALUE"""),9.053492498E9)</f>
        <v>9053492498</v>
      </c>
      <c r="H3498" s="3">
        <f>IFERROR(__xludf.DUMMYFUNCTION("""COMPUTED_VALUE"""),9.053763435E9)</f>
        <v>9053763435</v>
      </c>
    </row>
    <row r="3499">
      <c r="A3499" s="2">
        <f>IFERROR(__xludf.DUMMYFUNCTION("""COMPUTED_VALUE"""),40684.0)</f>
        <v>40684</v>
      </c>
      <c r="B3499" s="3" t="str">
        <f>IFERROR(__xludf.DUMMYFUNCTION("""COMPUTED_VALUE"""),"139 JIGGS RD")</f>
        <v>139 JIGGS RD</v>
      </c>
      <c r="C3499" s="3" t="str">
        <f>IFERROR(__xludf.DUMMYFUNCTION("""COMPUTED_VALUE"""),"GRAFTON")</f>
        <v>GRAFTON</v>
      </c>
      <c r="D3499" s="3" t="str">
        <f>IFERROR(__xludf.DUMMYFUNCTION("""COMPUTED_VALUE"""),"K0K 2G0")</f>
        <v>K0K 2G0</v>
      </c>
      <c r="E3499" s="3" t="str">
        <f>IFERROR(__xludf.DUMMYFUNCTION("""COMPUTED_VALUE"""),"Viktor Torianski")</f>
        <v>Viktor Torianski</v>
      </c>
      <c r="F3499" s="3" t="str">
        <f>IFERROR(__xludf.DUMMYFUNCTION("""COMPUTED_VALUE"""),"vetor62@hotmail.com")</f>
        <v>vetor62@hotmail.com</v>
      </c>
      <c r="G3499" s="3">
        <f>IFERROR(__xludf.DUMMYFUNCTION("""COMPUTED_VALUE"""),6.479902801E9)</f>
        <v>6479902801</v>
      </c>
      <c r="H3499" s="3"/>
    </row>
    <row r="3500">
      <c r="A3500" s="2">
        <f>IFERROR(__xludf.DUMMYFUNCTION("""COMPUTED_VALUE"""),40687.0)</f>
        <v>40687</v>
      </c>
      <c r="B3500" s="3" t="str">
        <f>IFERROR(__xludf.DUMMYFUNCTION("""COMPUTED_VALUE"""),"1832 JOE OLIVER RD")</f>
        <v>1832 JOE OLIVER RD</v>
      </c>
      <c r="C3500" s="3" t="str">
        <f>IFERROR(__xludf.DUMMYFUNCTION("""COMPUTED_VALUE"""),"COBOURG")</f>
        <v>COBOURG</v>
      </c>
      <c r="D3500" s="3" t="str">
        <f>IFERROR(__xludf.DUMMYFUNCTION("""COMPUTED_VALUE"""),"K9A 4J8")</f>
        <v>K9A 4J8</v>
      </c>
      <c r="E3500" s="3"/>
      <c r="F3500" s="3"/>
      <c r="G3500" s="3"/>
      <c r="H3500" s="3"/>
    </row>
    <row r="3501">
      <c r="A3501" s="2">
        <f>IFERROR(__xludf.DUMMYFUNCTION("""COMPUTED_VALUE"""),40688.0)</f>
        <v>40688</v>
      </c>
      <c r="B3501" s="3" t="str">
        <f>IFERROR(__xludf.DUMMYFUNCTION("""COMPUTED_VALUE"""),"1570 JOE OLIVER RD")</f>
        <v>1570 JOE OLIVER RD</v>
      </c>
      <c r="C3501" s="3" t="str">
        <f>IFERROR(__xludf.DUMMYFUNCTION("""COMPUTED_VALUE"""),"COBOURG")</f>
        <v>COBOURG</v>
      </c>
      <c r="D3501" s="3" t="str">
        <f>IFERROR(__xludf.DUMMYFUNCTION("""COMPUTED_VALUE"""),"K9A 4J8")</f>
        <v>K9A 4J8</v>
      </c>
      <c r="E3501" s="3" t="str">
        <f>IFERROR(__xludf.DUMMYFUNCTION("""COMPUTED_VALUE"""),"jim workman mike mclellan")</f>
        <v>jim workman mike mclellan</v>
      </c>
      <c r="F3501" s="3" t="str">
        <f>IFERROR(__xludf.DUMMYFUNCTION("""COMPUTED_VALUE"""),"workman.marnie6@gmail.com")</f>
        <v>workman.marnie6@gmail.com</v>
      </c>
      <c r="G3501" s="3">
        <f>IFERROR(__xludf.DUMMYFUNCTION("""COMPUTED_VALUE"""),9.053722003E9)</f>
        <v>9053722003</v>
      </c>
      <c r="H3501" s="3">
        <f>IFERROR(__xludf.DUMMYFUNCTION("""COMPUTED_VALUE"""),9.053760934E9)</f>
        <v>9053760934</v>
      </c>
    </row>
    <row r="3502">
      <c r="A3502" s="2">
        <f>IFERROR(__xludf.DUMMYFUNCTION("""COMPUTED_VALUE"""),40689.0)</f>
        <v>40689</v>
      </c>
      <c r="B3502" s="3" t="str">
        <f>IFERROR(__xludf.DUMMYFUNCTION("""COMPUTED_VALUE"""),"117 JOHNSTON CRT")</f>
        <v>117 JOHNSTON CRT</v>
      </c>
      <c r="C3502" s="3" t="str">
        <f>IFERROR(__xludf.DUMMYFUNCTION("""COMPUTED_VALUE"""),"GRAFTON")</f>
        <v>GRAFTON</v>
      </c>
      <c r="D3502" s="3" t="str">
        <f>IFERROR(__xludf.DUMMYFUNCTION("""COMPUTED_VALUE"""),"K0K 2G0")</f>
        <v>K0K 2G0</v>
      </c>
      <c r="E3502" s="3" t="str">
        <f>IFERROR(__xludf.DUMMYFUNCTION("""COMPUTED_VALUE"""),"CORY HOPPS")</f>
        <v>CORY HOPPS</v>
      </c>
      <c r="F3502" s="3" t="str">
        <f>IFERROR(__xludf.DUMMYFUNCTION("""COMPUTED_VALUE"""),"Cory_hopps@live.com")</f>
        <v>Cory_hopps@live.com</v>
      </c>
      <c r="G3502" s="3"/>
      <c r="H3502" s="3"/>
    </row>
    <row r="3503">
      <c r="A3503" s="2">
        <f>IFERROR(__xludf.DUMMYFUNCTION("""COMPUTED_VALUE"""),40690.0)</f>
        <v>40690</v>
      </c>
      <c r="B3503" s="3" t="str">
        <f>IFERROR(__xludf.DUMMYFUNCTION("""COMPUTED_VALUE"""),"126 JOHNSTON CRT")</f>
        <v>126 JOHNSTON CRT</v>
      </c>
      <c r="C3503" s="3" t="str">
        <f>IFERROR(__xludf.DUMMYFUNCTION("""COMPUTED_VALUE"""),"GRAFTON")</f>
        <v>GRAFTON</v>
      </c>
      <c r="D3503" s="3" t="str">
        <f>IFERROR(__xludf.DUMMYFUNCTION("""COMPUTED_VALUE"""),"K0K 2G0")</f>
        <v>K0K 2G0</v>
      </c>
      <c r="E3503" s="3" t="str">
        <f>IFERROR(__xludf.DUMMYFUNCTION("""COMPUTED_VALUE"""),"justin huffunden")</f>
        <v>justin huffunden</v>
      </c>
      <c r="F3503" s="3"/>
      <c r="G3503" s="3">
        <f>IFERROR(__xludf.DUMMYFUNCTION("""COMPUTED_VALUE"""),2.892513714E9)</f>
        <v>2892513714</v>
      </c>
      <c r="H3503" s="3"/>
    </row>
    <row r="3504">
      <c r="A3504" s="2">
        <f>IFERROR(__xludf.DUMMYFUNCTION("""COMPUTED_VALUE"""),40691.0)</f>
        <v>40691</v>
      </c>
      <c r="B3504" s="3" t="str">
        <f>IFERROR(__xludf.DUMMYFUNCTION("""COMPUTED_VALUE"""),"134 JOHNSTON CRT")</f>
        <v>134 JOHNSTON CRT</v>
      </c>
      <c r="C3504" s="3" t="str">
        <f>IFERROR(__xludf.DUMMYFUNCTION("""COMPUTED_VALUE"""),"GRAFTON")</f>
        <v>GRAFTON</v>
      </c>
      <c r="D3504" s="3" t="str">
        <f>IFERROR(__xludf.DUMMYFUNCTION("""COMPUTED_VALUE"""),"K0K 2G0")</f>
        <v>K0K 2G0</v>
      </c>
      <c r="E3504" s="3" t="str">
        <f>IFERROR(__xludf.DUMMYFUNCTION("""COMPUTED_VALUE"""),"eric banks")</f>
        <v>eric banks</v>
      </c>
      <c r="F3504" s="3" t="str">
        <f>IFERROR(__xludf.DUMMYFUNCTION("""COMPUTED_VALUE"""),"2898290422")</f>
        <v>2898290422</v>
      </c>
      <c r="G3504" s="3"/>
      <c r="H3504" s="3"/>
    </row>
    <row r="3505">
      <c r="A3505" s="2">
        <f>IFERROR(__xludf.DUMMYFUNCTION("""COMPUTED_VALUE"""),40692.0)</f>
        <v>40692</v>
      </c>
      <c r="B3505" s="3" t="str">
        <f>IFERROR(__xludf.DUMMYFUNCTION("""COMPUTED_VALUE"""),"138 JOHNSTON CRT")</f>
        <v>138 JOHNSTON CRT</v>
      </c>
      <c r="C3505" s="3" t="str">
        <f>IFERROR(__xludf.DUMMYFUNCTION("""COMPUTED_VALUE"""),"GRAFTON")</f>
        <v>GRAFTON</v>
      </c>
      <c r="D3505" s="3" t="str">
        <f>IFERROR(__xludf.DUMMYFUNCTION("""COMPUTED_VALUE"""),"K0K 2G0")</f>
        <v>K0K 2G0</v>
      </c>
      <c r="E3505" s="3" t="str">
        <f>IFERROR(__xludf.DUMMYFUNCTION("""COMPUTED_VALUE"""),"Brenda Keller")</f>
        <v>Brenda Keller</v>
      </c>
      <c r="F3505" s="3" t="str">
        <f>IFERROR(__xludf.DUMMYFUNCTION("""COMPUTED_VALUE"""),"pbkeller@ho")</f>
        <v>pbkeller@ho</v>
      </c>
      <c r="G3505" s="3"/>
      <c r="H3505" s="3"/>
    </row>
    <row r="3506">
      <c r="A3506" s="2">
        <f>IFERROR(__xludf.DUMMYFUNCTION("""COMPUTED_VALUE"""),40693.0)</f>
        <v>40693</v>
      </c>
      <c r="B3506" s="3" t="str">
        <f>IFERROR(__xludf.DUMMYFUNCTION("""COMPUTED_VALUE"""),"142 JOHNSTON CRT")</f>
        <v>142 JOHNSTON CRT</v>
      </c>
      <c r="C3506" s="3" t="str">
        <f>IFERROR(__xludf.DUMMYFUNCTION("""COMPUTED_VALUE"""),"GRAFTON")</f>
        <v>GRAFTON</v>
      </c>
      <c r="D3506" s="3" t="str">
        <f>IFERROR(__xludf.DUMMYFUNCTION("""COMPUTED_VALUE"""),"K0K 2G0")</f>
        <v>K0K 2G0</v>
      </c>
      <c r="E3506" s="3" t="str">
        <f>IFERROR(__xludf.DUMMYFUNCTION("""COMPUTED_VALUE"""),"Colin MacKenzie")</f>
        <v>Colin MacKenzie</v>
      </c>
      <c r="F3506" s="3" t="str">
        <f>IFERROR(__xludf.DUMMYFUNCTION("""COMPUTED_VALUE"""),"mrgoodwrench06@hotmail.com")</f>
        <v>mrgoodwrench06@hotmail.com</v>
      </c>
      <c r="G3506" s="3">
        <f>IFERROR(__xludf.DUMMYFUNCTION("""COMPUTED_VALUE"""),9.053760297E9)</f>
        <v>9053760297</v>
      </c>
      <c r="H3506" s="3">
        <f>IFERROR(__xludf.DUMMYFUNCTION("""COMPUTED_VALUE"""),9.053762339E9)</f>
        <v>9053762339</v>
      </c>
    </row>
    <row r="3507">
      <c r="A3507" s="2">
        <f>IFERROR(__xludf.DUMMYFUNCTION("""COMPUTED_VALUE"""),40694.0)</f>
        <v>40694</v>
      </c>
      <c r="B3507" s="3" t="str">
        <f>IFERROR(__xludf.DUMMYFUNCTION("""COMPUTED_VALUE"""),"143 JOHNSTON CRT")</f>
        <v>143 JOHNSTON CRT</v>
      </c>
      <c r="C3507" s="3" t="str">
        <f>IFERROR(__xludf.DUMMYFUNCTION("""COMPUTED_VALUE"""),"GRAFTON")</f>
        <v>GRAFTON</v>
      </c>
      <c r="D3507" s="3" t="str">
        <f>IFERROR(__xludf.DUMMYFUNCTION("""COMPUTED_VALUE"""),"K0K 2G0")</f>
        <v>K0K 2G0</v>
      </c>
      <c r="E3507" s="3" t="str">
        <f>IFERROR(__xludf.DUMMYFUNCTION("""COMPUTED_VALUE"""),"George m semjan")</f>
        <v>George m semjan</v>
      </c>
      <c r="F3507" s="3" t="str">
        <f>IFERROR(__xludf.DUMMYFUNCTION("""COMPUTED_VALUE"""),"georgemsemjan@icloud.com")</f>
        <v>georgemsemjan@icloud.com</v>
      </c>
      <c r="G3507" s="3">
        <f>IFERROR(__xludf.DUMMYFUNCTION("""COMPUTED_VALUE"""),2.89630183E9)</f>
        <v>2896301830</v>
      </c>
      <c r="H3507" s="3"/>
    </row>
    <row r="3508">
      <c r="A3508" s="2">
        <f>IFERROR(__xludf.DUMMYFUNCTION("""COMPUTED_VALUE"""),40695.0)</f>
        <v>40695</v>
      </c>
      <c r="B3508" s="3" t="str">
        <f>IFERROR(__xludf.DUMMYFUNCTION("""COMPUTED_VALUE"""),"148 JOHNSTON CRT")</f>
        <v>148 JOHNSTON CRT</v>
      </c>
      <c r="C3508" s="3" t="str">
        <f>IFERROR(__xludf.DUMMYFUNCTION("""COMPUTED_VALUE"""),"GRAFTON")</f>
        <v>GRAFTON</v>
      </c>
      <c r="D3508" s="3" t="str">
        <f>IFERROR(__xludf.DUMMYFUNCTION("""COMPUTED_VALUE"""),"K0K 2G0")</f>
        <v>K0K 2G0</v>
      </c>
      <c r="E3508" s="3"/>
      <c r="F3508" s="3"/>
      <c r="G3508" s="3"/>
      <c r="H3508" s="3"/>
    </row>
    <row r="3509">
      <c r="A3509" s="2">
        <f>IFERROR(__xludf.DUMMYFUNCTION("""COMPUTED_VALUE"""),40696.0)</f>
        <v>40696</v>
      </c>
      <c r="B3509" s="3" t="str">
        <f>IFERROR(__xludf.DUMMYFUNCTION("""COMPUTED_VALUE"""),"154 JOHNSTON CRT")</f>
        <v>154 JOHNSTON CRT</v>
      </c>
      <c r="C3509" s="3" t="str">
        <f>IFERROR(__xludf.DUMMYFUNCTION("""COMPUTED_VALUE"""),"GRAFTON")</f>
        <v>GRAFTON</v>
      </c>
      <c r="D3509" s="3" t="str">
        <f>IFERROR(__xludf.DUMMYFUNCTION("""COMPUTED_VALUE"""),"K0K 2G0")</f>
        <v>K0K 2G0</v>
      </c>
      <c r="E3509" s="3"/>
      <c r="F3509" s="3"/>
      <c r="G3509" s="3"/>
      <c r="H3509" s="3"/>
    </row>
    <row r="3510">
      <c r="A3510" s="2">
        <f>IFERROR(__xludf.DUMMYFUNCTION("""COMPUTED_VALUE"""),40697.0)</f>
        <v>40697</v>
      </c>
      <c r="B3510" s="3" t="str">
        <f>IFERROR(__xludf.DUMMYFUNCTION("""COMPUTED_VALUE"""),"155 JOHNSTON CRT")</f>
        <v>155 JOHNSTON CRT</v>
      </c>
      <c r="C3510" s="3" t="str">
        <f>IFERROR(__xludf.DUMMYFUNCTION("""COMPUTED_VALUE"""),"GRAFTON")</f>
        <v>GRAFTON</v>
      </c>
      <c r="D3510" s="3" t="str">
        <f>IFERROR(__xludf.DUMMYFUNCTION("""COMPUTED_VALUE"""),"K0K 2G0")</f>
        <v>K0K 2G0</v>
      </c>
      <c r="E3510" s="3"/>
      <c r="F3510" s="3"/>
      <c r="G3510" s="3"/>
      <c r="H3510" s="3"/>
    </row>
    <row r="3511">
      <c r="A3511" s="2">
        <f>IFERROR(__xludf.DUMMYFUNCTION("""COMPUTED_VALUE"""),40698.0)</f>
        <v>40698</v>
      </c>
      <c r="B3511" s="3" t="str">
        <f>IFERROR(__xludf.DUMMYFUNCTION("""COMPUTED_VALUE"""),"159 JOHNSTON CRT")</f>
        <v>159 JOHNSTON CRT</v>
      </c>
      <c r="C3511" s="3" t="str">
        <f>IFERROR(__xludf.DUMMYFUNCTION("""COMPUTED_VALUE"""),"GRAFTON")</f>
        <v>GRAFTON</v>
      </c>
      <c r="D3511" s="3" t="str">
        <f>IFERROR(__xludf.DUMMYFUNCTION("""COMPUTED_VALUE"""),"K0K 2G0")</f>
        <v>K0K 2G0</v>
      </c>
      <c r="E3511" s="3" t="str">
        <f>IFERROR(__xludf.DUMMYFUNCTION("""COMPUTED_VALUE"""),"Attila &amp; Erika Kovacs")</f>
        <v>Attila &amp; Erika Kovacs</v>
      </c>
      <c r="F3511" s="3" t="str">
        <f>IFERROR(__xludf.DUMMYFUNCTION("""COMPUTED_VALUE"""),"kovacs@cycloid.ca")</f>
        <v>kovacs@cycloid.ca</v>
      </c>
      <c r="G3511" s="3"/>
      <c r="H3511" s="3"/>
    </row>
    <row r="3512">
      <c r="A3512" s="2">
        <f>IFERROR(__xludf.DUMMYFUNCTION("""COMPUTED_VALUE"""),40699.0)</f>
        <v>40699</v>
      </c>
      <c r="B3512" s="3" t="str">
        <f>IFERROR(__xludf.DUMMYFUNCTION("""COMPUTED_VALUE"""),"160 JOHNSTON CRT")</f>
        <v>160 JOHNSTON CRT</v>
      </c>
      <c r="C3512" s="3" t="str">
        <f>IFERROR(__xludf.DUMMYFUNCTION("""COMPUTED_VALUE"""),"GRAFTON")</f>
        <v>GRAFTON</v>
      </c>
      <c r="D3512" s="3" t="str">
        <f>IFERROR(__xludf.DUMMYFUNCTION("""COMPUTED_VALUE"""),"K0K 2G0")</f>
        <v>K0K 2G0</v>
      </c>
      <c r="E3512" s="3" t="str">
        <f>IFERROR(__xludf.DUMMYFUNCTION("""COMPUTED_VALUE"""),"Jane vanderwel")</f>
        <v>Jane vanderwel</v>
      </c>
      <c r="F3512" s="3" t="str">
        <f>IFERROR(__xludf.DUMMYFUNCTION("""COMPUTED_VALUE"""),"janevanderwel@gmail.com")</f>
        <v>janevanderwel@gmail.com</v>
      </c>
      <c r="G3512" s="3">
        <f>IFERROR(__xludf.DUMMYFUNCTION("""COMPUTED_VALUE"""),9.053493663E9)</f>
        <v>9053493663</v>
      </c>
      <c r="H3512" s="3"/>
    </row>
    <row r="3513">
      <c r="A3513" s="2">
        <f>IFERROR(__xludf.DUMMYFUNCTION("""COMPUTED_VALUE"""),40700.0)</f>
        <v>40700</v>
      </c>
      <c r="B3513" s="3" t="str">
        <f>IFERROR(__xludf.DUMMYFUNCTION("""COMPUTED_VALUE"""),"171 JOHNSTON CRT")</f>
        <v>171 JOHNSTON CRT</v>
      </c>
      <c r="C3513" s="3" t="str">
        <f>IFERROR(__xludf.DUMMYFUNCTION("""COMPUTED_VALUE"""),"GRAFTON")</f>
        <v>GRAFTON</v>
      </c>
      <c r="D3513" s="3" t="str">
        <f>IFERROR(__xludf.DUMMYFUNCTION("""COMPUTED_VALUE"""),"K0K 2G0")</f>
        <v>K0K 2G0</v>
      </c>
      <c r="E3513" s="3" t="str">
        <f>IFERROR(__xludf.DUMMYFUNCTION("""COMPUTED_VALUE"""),"patty mcivor ")</f>
        <v>patty mcivor </v>
      </c>
      <c r="F3513" s="3" t="str">
        <f>IFERROR(__xludf.DUMMYFUNCTION("""COMPUTED_VALUE"""),"pattymcivor@gmail.com")</f>
        <v>pattymcivor@gmail.com</v>
      </c>
      <c r="G3513" s="3">
        <f>IFERROR(__xludf.DUMMYFUNCTION("""COMPUTED_VALUE"""),9.053490355E9)</f>
        <v>9053490355</v>
      </c>
      <c r="H3513" s="3">
        <f>IFERROR(__xludf.DUMMYFUNCTION("""COMPUTED_VALUE"""),9.053764441E9)</f>
        <v>9053764441</v>
      </c>
    </row>
    <row r="3514">
      <c r="A3514" s="2">
        <f>IFERROR(__xludf.DUMMYFUNCTION("""COMPUTED_VALUE"""),40701.0)</f>
        <v>40701</v>
      </c>
      <c r="B3514" s="3" t="str">
        <f>IFERROR(__xludf.DUMMYFUNCTION("""COMPUTED_VALUE"""),"105 KANATA DR")</f>
        <v>105 KANATA DR</v>
      </c>
      <c r="C3514" s="3" t="str">
        <f>IFERROR(__xludf.DUMMYFUNCTION("""COMPUTED_VALUE"""),"GRAFTON")</f>
        <v>GRAFTON</v>
      </c>
      <c r="D3514" s="3" t="str">
        <f>IFERROR(__xludf.DUMMYFUNCTION("""COMPUTED_VALUE"""),"K0K 2G0")</f>
        <v>K0K 2G0</v>
      </c>
      <c r="E3514" s="3" t="str">
        <f>IFERROR(__xludf.DUMMYFUNCTION("""COMPUTED_VALUE"""),"Dave Slater")</f>
        <v>Dave Slater</v>
      </c>
      <c r="F3514" s="3" t="str">
        <f>IFERROR(__xludf.DUMMYFUNCTION("""COMPUTED_VALUE"""),"dslater@bell.net")</f>
        <v>dslater@bell.net</v>
      </c>
      <c r="G3514" s="3">
        <f>IFERROR(__xludf.DUMMYFUNCTION("""COMPUTED_VALUE"""),2.892514115E9)</f>
        <v>2892514115</v>
      </c>
      <c r="H3514" s="3"/>
    </row>
    <row r="3515">
      <c r="A3515" s="2">
        <f>IFERROR(__xludf.DUMMYFUNCTION("""COMPUTED_VALUE"""),40702.0)</f>
        <v>40702</v>
      </c>
      <c r="B3515" s="3" t="str">
        <f>IFERROR(__xludf.DUMMYFUNCTION("""COMPUTED_VALUE"""),"117 KANATA DR")</f>
        <v>117 KANATA DR</v>
      </c>
      <c r="C3515" s="3" t="str">
        <f>IFERROR(__xludf.DUMMYFUNCTION("""COMPUTED_VALUE"""),"GRAFTON")</f>
        <v>GRAFTON</v>
      </c>
      <c r="D3515" s="3" t="str">
        <f>IFERROR(__xludf.DUMMYFUNCTION("""COMPUTED_VALUE"""),"K0K 2G0")</f>
        <v>K0K 2G0</v>
      </c>
      <c r="E3515" s="3" t="str">
        <f>IFERROR(__xludf.DUMMYFUNCTION("""COMPUTED_VALUE"""),"BRENT RODER")</f>
        <v>BRENT RODER</v>
      </c>
      <c r="F3515" s="3" t="str">
        <f>IFERROR(__xludf.DUMMYFUNCTION("""COMPUTED_VALUE"""),"Brent.roder2@hotmail.com")</f>
        <v>Brent.roder2@hotmail.com</v>
      </c>
      <c r="G3515" s="3"/>
      <c r="H3515" s="3"/>
    </row>
    <row r="3516">
      <c r="A3516" s="2">
        <f>IFERROR(__xludf.DUMMYFUNCTION("""COMPUTED_VALUE"""),40703.0)</f>
        <v>40703</v>
      </c>
      <c r="B3516" s="3" t="str">
        <f>IFERROR(__xludf.DUMMYFUNCTION("""COMPUTED_VALUE"""),"118 KANATA DR")</f>
        <v>118 KANATA DR</v>
      </c>
      <c r="C3516" s="3" t="str">
        <f>IFERROR(__xludf.DUMMYFUNCTION("""COMPUTED_VALUE"""),"GRAFTON")</f>
        <v>GRAFTON</v>
      </c>
      <c r="D3516" s="3" t="str">
        <f>IFERROR(__xludf.DUMMYFUNCTION("""COMPUTED_VALUE"""),"K0K 2G0")</f>
        <v>K0K 2G0</v>
      </c>
      <c r="E3516" s="3" t="str">
        <f>IFERROR(__xludf.DUMMYFUNCTION("""COMPUTED_VALUE"""),"Shawn Cuthbertson")</f>
        <v>Shawn Cuthbertson</v>
      </c>
      <c r="F3516" s="3" t="str">
        <f>IFERROR(__xludf.DUMMYFUNCTION("""COMPUTED_VALUE"""),"shawnnmanda@gmail.com")</f>
        <v>shawnnmanda@gmail.com</v>
      </c>
      <c r="G3516" s="3">
        <f>IFERROR(__xludf.DUMMYFUNCTION("""COMPUTED_VALUE"""),4.167096199E9)</f>
        <v>4167096199</v>
      </c>
      <c r="H3516" s="3"/>
    </row>
    <row r="3517">
      <c r="A3517" s="2">
        <f>IFERROR(__xludf.DUMMYFUNCTION("""COMPUTED_VALUE"""),40704.0)</f>
        <v>40704</v>
      </c>
      <c r="B3517" s="3" t="str">
        <f>IFERROR(__xludf.DUMMYFUNCTION("""COMPUTED_VALUE"""),"130 KANATA DR")</f>
        <v>130 KANATA DR</v>
      </c>
      <c r="C3517" s="3" t="str">
        <f>IFERROR(__xludf.DUMMYFUNCTION("""COMPUTED_VALUE"""),"GRAFTON")</f>
        <v>GRAFTON</v>
      </c>
      <c r="D3517" s="3" t="str">
        <f>IFERROR(__xludf.DUMMYFUNCTION("""COMPUTED_VALUE"""),"K0K 2G0")</f>
        <v>K0K 2G0</v>
      </c>
      <c r="E3517" s="3" t="str">
        <f>IFERROR(__xludf.DUMMYFUNCTION("""COMPUTED_VALUE"""),"ron dion")</f>
        <v>ron dion</v>
      </c>
      <c r="F3517" s="3" t="str">
        <f>IFERROR(__xludf.DUMMYFUNCTION("""COMPUTED_VALUE"""),"ron2524@hotmail,com")</f>
        <v>ron2524@hotmail,com</v>
      </c>
      <c r="G3517" s="3">
        <f>IFERROR(__xludf.DUMMYFUNCTION("""COMPUTED_VALUE"""),9.059035344E9)</f>
        <v>9059035344</v>
      </c>
      <c r="H3517" s="3"/>
    </row>
    <row r="3518">
      <c r="A3518" s="2">
        <f>IFERROR(__xludf.DUMMYFUNCTION("""COMPUTED_VALUE"""),40705.0)</f>
        <v>40705</v>
      </c>
      <c r="B3518" s="3" t="str">
        <f>IFERROR(__xludf.DUMMYFUNCTION("""COMPUTED_VALUE"""),"133 KANATA DR")</f>
        <v>133 KANATA DR</v>
      </c>
      <c r="C3518" s="3" t="str">
        <f>IFERROR(__xludf.DUMMYFUNCTION("""COMPUTED_VALUE"""),"GRAFTON")</f>
        <v>GRAFTON</v>
      </c>
      <c r="D3518" s="3" t="str">
        <f>IFERROR(__xludf.DUMMYFUNCTION("""COMPUTED_VALUE"""),"K0K 2G0")</f>
        <v>K0K 2G0</v>
      </c>
      <c r="E3518" s="3" t="str">
        <f>IFERROR(__xludf.DUMMYFUNCTION("""COMPUTED_VALUE"""),"ingrid nachtrieb")</f>
        <v>ingrid nachtrieb</v>
      </c>
      <c r="F3518" s="3" t="str">
        <f>IFERROR(__xludf.DUMMYFUNCTION("""COMPUTED_VALUE"""),"inachtrieb@cogeco.ca")</f>
        <v>inachtrieb@cogeco.ca</v>
      </c>
      <c r="G3518" s="3">
        <f>IFERROR(__xludf.DUMMYFUNCTION("""COMPUTED_VALUE"""),9.05375757E9)</f>
        <v>9053757570</v>
      </c>
      <c r="H3518" s="3"/>
    </row>
    <row r="3519">
      <c r="A3519" s="2">
        <f>IFERROR(__xludf.DUMMYFUNCTION("""COMPUTED_VALUE"""),40706.0)</f>
        <v>40706</v>
      </c>
      <c r="B3519" s="3" t="str">
        <f>IFERROR(__xludf.DUMMYFUNCTION("""COMPUTED_VALUE"""),"139 KANATA DR")</f>
        <v>139 KANATA DR</v>
      </c>
      <c r="C3519" s="3" t="str">
        <f>IFERROR(__xludf.DUMMYFUNCTION("""COMPUTED_VALUE"""),"GRAFTON")</f>
        <v>GRAFTON</v>
      </c>
      <c r="D3519" s="3" t="str">
        <f>IFERROR(__xludf.DUMMYFUNCTION("""COMPUTED_VALUE"""),"K0K 2G0")</f>
        <v>K0K 2G0</v>
      </c>
      <c r="E3519" s="3" t="str">
        <f>IFERROR(__xludf.DUMMYFUNCTION("""COMPUTED_VALUE"""),"travis goodyear ")</f>
        <v>travis goodyear </v>
      </c>
      <c r="F3519" s="3" t="str">
        <f>IFERROR(__xludf.DUMMYFUNCTION("""COMPUTED_VALUE"""),"tmx47@hotmail.com")</f>
        <v>tmx47@hotmail.com</v>
      </c>
      <c r="G3519" s="3">
        <f>IFERROR(__xludf.DUMMYFUNCTION("""COMPUTED_VALUE"""),2.894044618E9)</f>
        <v>2894044618</v>
      </c>
      <c r="H3519" s="3"/>
    </row>
    <row r="3520">
      <c r="A3520" s="2">
        <f>IFERROR(__xludf.DUMMYFUNCTION("""COMPUTED_VALUE"""),40707.0)</f>
        <v>40707</v>
      </c>
      <c r="B3520" s="3" t="str">
        <f>IFERROR(__xludf.DUMMYFUNCTION("""COMPUTED_VALUE"""),"140 KANATA DR")</f>
        <v>140 KANATA DR</v>
      </c>
      <c r="C3520" s="3" t="str">
        <f>IFERROR(__xludf.DUMMYFUNCTION("""COMPUTED_VALUE"""),"GRAFTON")</f>
        <v>GRAFTON</v>
      </c>
      <c r="D3520" s="3" t="str">
        <f>IFERROR(__xludf.DUMMYFUNCTION("""COMPUTED_VALUE"""),"K0K 2G0")</f>
        <v>K0K 2G0</v>
      </c>
      <c r="E3520" s="3" t="str">
        <f>IFERROR(__xludf.DUMMYFUNCTION("""COMPUTED_VALUE"""),"Miss Sarah R Bonnar")</f>
        <v>Miss Sarah R Bonnar</v>
      </c>
      <c r="F3520" s="3" t="str">
        <f>IFERROR(__xludf.DUMMYFUNCTION("""COMPUTED_VALUE"""),"sarah_bonnar@hotmail.com")</f>
        <v>sarah_bonnar@hotmail.com</v>
      </c>
      <c r="G3520" s="3">
        <f>IFERROR(__xludf.DUMMYFUNCTION("""COMPUTED_VALUE"""),9.052693205E9)</f>
        <v>9052693205</v>
      </c>
      <c r="H3520" s="3"/>
    </row>
    <row r="3521">
      <c r="A3521" s="2">
        <f>IFERROR(__xludf.DUMMYFUNCTION("""COMPUTED_VALUE"""),40708.0)</f>
        <v>40708</v>
      </c>
      <c r="B3521" s="3" t="str">
        <f>IFERROR(__xludf.DUMMYFUNCTION("""COMPUTED_VALUE"""),"154 KANATA DR")</f>
        <v>154 KANATA DR</v>
      </c>
      <c r="C3521" s="3" t="str">
        <f>IFERROR(__xludf.DUMMYFUNCTION("""COMPUTED_VALUE"""),"GRAFTON")</f>
        <v>GRAFTON</v>
      </c>
      <c r="D3521" s="3" t="str">
        <f>IFERROR(__xludf.DUMMYFUNCTION("""COMPUTED_VALUE"""),"K0K 2G0")</f>
        <v>K0K 2G0</v>
      </c>
      <c r="E3521" s="3" t="str">
        <f>IFERROR(__xludf.DUMMYFUNCTION("""COMPUTED_VALUE"""),"robin and bill cotton ")</f>
        <v>robin and bill cotton </v>
      </c>
      <c r="F3521" s="3" t="str">
        <f>IFERROR(__xludf.DUMMYFUNCTION("""COMPUTED_VALUE"""),"cotton@eagle.ca")</f>
        <v>cotton@eagle.ca</v>
      </c>
      <c r="G3521" s="3">
        <f>IFERROR(__xludf.DUMMYFUNCTION("""COMPUTED_VALUE"""),9.052691175E9)</f>
        <v>9052691175</v>
      </c>
      <c r="H3521" s="3"/>
    </row>
    <row r="3522">
      <c r="A3522" s="2">
        <f>IFERROR(__xludf.DUMMYFUNCTION("""COMPUTED_VALUE"""),40709.0)</f>
        <v>40709</v>
      </c>
      <c r="B3522" s="3" t="str">
        <f>IFERROR(__xludf.DUMMYFUNCTION("""COMPUTED_VALUE"""),"155 KANATA DR")</f>
        <v>155 KANATA DR</v>
      </c>
      <c r="C3522" s="3" t="str">
        <f>IFERROR(__xludf.DUMMYFUNCTION("""COMPUTED_VALUE"""),"GRAFTON")</f>
        <v>GRAFTON</v>
      </c>
      <c r="D3522" s="3" t="str">
        <f>IFERROR(__xludf.DUMMYFUNCTION("""COMPUTED_VALUE"""),"K0K 2G0")</f>
        <v>K0K 2G0</v>
      </c>
      <c r="E3522" s="3"/>
      <c r="F3522" s="3"/>
      <c r="G3522" s="3"/>
      <c r="H3522" s="3"/>
    </row>
    <row r="3523">
      <c r="A3523" s="2">
        <f>IFERROR(__xludf.DUMMYFUNCTION("""COMPUTED_VALUE"""),40710.0)</f>
        <v>40710</v>
      </c>
      <c r="B3523" s="3" t="str">
        <f>IFERROR(__xludf.DUMMYFUNCTION("""COMPUTED_VALUE"""),"160 KANATA DR")</f>
        <v>160 KANATA DR</v>
      </c>
      <c r="C3523" s="3" t="str">
        <f>IFERROR(__xludf.DUMMYFUNCTION("""COMPUTED_VALUE"""),"GRAFTON")</f>
        <v>GRAFTON</v>
      </c>
      <c r="D3523" s="3" t="str">
        <f>IFERROR(__xludf.DUMMYFUNCTION("""COMPUTED_VALUE"""),"K0K 2G0")</f>
        <v>K0K 2G0</v>
      </c>
      <c r="E3523" s="3"/>
      <c r="F3523" s="3"/>
      <c r="G3523" s="3"/>
      <c r="H3523" s="3"/>
    </row>
    <row r="3524">
      <c r="A3524" s="2">
        <f>IFERROR(__xludf.DUMMYFUNCTION("""COMPUTED_VALUE"""),40711.0)</f>
        <v>40711</v>
      </c>
      <c r="B3524" s="3" t="str">
        <f>IFERROR(__xludf.DUMMYFUNCTION("""COMPUTED_VALUE"""),"165 KANATA DR")</f>
        <v>165 KANATA DR</v>
      </c>
      <c r="C3524" s="3" t="str">
        <f>IFERROR(__xludf.DUMMYFUNCTION("""COMPUTED_VALUE"""),"GRAFTON")</f>
        <v>GRAFTON</v>
      </c>
      <c r="D3524" s="3" t="str">
        <f>IFERROR(__xludf.DUMMYFUNCTION("""COMPUTED_VALUE"""),"K0K 2G0")</f>
        <v>K0K 2G0</v>
      </c>
      <c r="E3524" s="3"/>
      <c r="F3524" s="3"/>
      <c r="G3524" s="3"/>
      <c r="H3524" s="3"/>
    </row>
    <row r="3525">
      <c r="A3525" s="2">
        <f>IFERROR(__xludf.DUMMYFUNCTION("""COMPUTED_VALUE"""),40712.0)</f>
        <v>40712</v>
      </c>
      <c r="B3525" s="3" t="str">
        <f>IFERROR(__xludf.DUMMYFUNCTION("""COMPUTED_VALUE"""),"175 KANATA DR")</f>
        <v>175 KANATA DR</v>
      </c>
      <c r="C3525" s="3" t="str">
        <f>IFERROR(__xludf.DUMMYFUNCTION("""COMPUTED_VALUE"""),"GRAFTON")</f>
        <v>GRAFTON</v>
      </c>
      <c r="D3525" s="3" t="str">
        <f>IFERROR(__xludf.DUMMYFUNCTION("""COMPUTED_VALUE"""),"K0K 2G0")</f>
        <v>K0K 2G0</v>
      </c>
      <c r="E3525" s="3" t="str">
        <f>IFERROR(__xludf.DUMMYFUNCTION("""COMPUTED_VALUE"""),"steve bazusky")</f>
        <v>steve bazusky</v>
      </c>
      <c r="F3525" s="3"/>
      <c r="G3525" s="3">
        <f>IFERROR(__xludf.DUMMYFUNCTION("""COMPUTED_VALUE"""),9.053499937E9)</f>
        <v>9053499937</v>
      </c>
      <c r="H3525" s="3"/>
    </row>
    <row r="3526">
      <c r="A3526" s="2">
        <f>IFERROR(__xludf.DUMMYFUNCTION("""COMPUTED_VALUE"""),40713.0)</f>
        <v>40713</v>
      </c>
      <c r="B3526" s="3" t="str">
        <f>IFERROR(__xludf.DUMMYFUNCTION("""COMPUTED_VALUE"""),"101 KEEWATIN DR")</f>
        <v>101 KEEWATIN DR</v>
      </c>
      <c r="C3526" s="3" t="str">
        <f>IFERROR(__xludf.DUMMYFUNCTION("""COMPUTED_VALUE"""),"GRAFTON")</f>
        <v>GRAFTON</v>
      </c>
      <c r="D3526" s="3" t="str">
        <f>IFERROR(__xludf.DUMMYFUNCTION("""COMPUTED_VALUE"""),"K0K 2G0")</f>
        <v>K0K 2G0</v>
      </c>
      <c r="E3526" s="3" t="str">
        <f>IFERROR(__xludf.DUMMYFUNCTION("""COMPUTED_VALUE"""),"Raymond Bowart")</f>
        <v>Raymond Bowart</v>
      </c>
      <c r="F3526" s="3" t="str">
        <f>IFERROR(__xludf.DUMMYFUNCTION("""COMPUTED_VALUE"""),"bowart@bell.net")</f>
        <v>bowart@bell.net</v>
      </c>
      <c r="G3526" s="3">
        <f>IFERROR(__xludf.DUMMYFUNCTION("""COMPUTED_VALUE"""),9.05349331E9)</f>
        <v>9053493310</v>
      </c>
      <c r="H3526" s="3"/>
    </row>
    <row r="3527">
      <c r="A3527" s="2">
        <f>IFERROR(__xludf.DUMMYFUNCTION("""COMPUTED_VALUE"""),40714.0)</f>
        <v>40714</v>
      </c>
      <c r="B3527" s="3" t="str">
        <f>IFERROR(__xludf.DUMMYFUNCTION("""COMPUTED_VALUE"""),"106 KEEWATIN DR")</f>
        <v>106 KEEWATIN DR</v>
      </c>
      <c r="C3527" s="3" t="str">
        <f>IFERROR(__xludf.DUMMYFUNCTION("""COMPUTED_VALUE"""),"GRAFTON")</f>
        <v>GRAFTON</v>
      </c>
      <c r="D3527" s="3" t="str">
        <f>IFERROR(__xludf.DUMMYFUNCTION("""COMPUTED_VALUE"""),"K0K 2G0")</f>
        <v>K0K 2G0</v>
      </c>
      <c r="E3527" s="3"/>
      <c r="F3527" s="3"/>
      <c r="G3527" s="3"/>
      <c r="H3527" s="3"/>
    </row>
    <row r="3528">
      <c r="A3528" s="2">
        <f>IFERROR(__xludf.DUMMYFUNCTION("""COMPUTED_VALUE"""),40715.0)</f>
        <v>40715</v>
      </c>
      <c r="B3528" s="3" t="str">
        <f>IFERROR(__xludf.DUMMYFUNCTION("""COMPUTED_VALUE"""),"107 KEEWATIN DR")</f>
        <v>107 KEEWATIN DR</v>
      </c>
      <c r="C3528" s="3" t="str">
        <f>IFERROR(__xludf.DUMMYFUNCTION("""COMPUTED_VALUE"""),"GRAFTON")</f>
        <v>GRAFTON</v>
      </c>
      <c r="D3528" s="3" t="str">
        <f>IFERROR(__xludf.DUMMYFUNCTION("""COMPUTED_VALUE"""),"K0K 2G0")</f>
        <v>K0K 2G0</v>
      </c>
      <c r="E3528" s="3" t="str">
        <f>IFERROR(__xludf.DUMMYFUNCTION("""COMPUTED_VALUE"""),"Tobias and Tena Smits")</f>
        <v>Tobias and Tena Smits</v>
      </c>
      <c r="F3528" s="3" t="str">
        <f>IFERROR(__xludf.DUMMYFUNCTION("""COMPUTED_VALUE"""),"smitstobias@gmail.com")</f>
        <v>smitstobias@gmail.com</v>
      </c>
      <c r="G3528" s="3">
        <f>IFERROR(__xludf.DUMMYFUNCTION("""COMPUTED_VALUE"""),9.054297099E9)</f>
        <v>9054297099</v>
      </c>
      <c r="H3528" s="3"/>
    </row>
    <row r="3529">
      <c r="A3529" s="2">
        <f>IFERROR(__xludf.DUMMYFUNCTION("""COMPUTED_VALUE"""),40716.0)</f>
        <v>40716</v>
      </c>
      <c r="B3529" s="3" t="str">
        <f>IFERROR(__xludf.DUMMYFUNCTION("""COMPUTED_VALUE"""),"110 KEEWATIN DR")</f>
        <v>110 KEEWATIN DR</v>
      </c>
      <c r="C3529" s="3" t="str">
        <f>IFERROR(__xludf.DUMMYFUNCTION("""COMPUTED_VALUE"""),"GRAFTON")</f>
        <v>GRAFTON</v>
      </c>
      <c r="D3529" s="3" t="str">
        <f>IFERROR(__xludf.DUMMYFUNCTION("""COMPUTED_VALUE"""),"K0K 2G0")</f>
        <v>K0K 2G0</v>
      </c>
      <c r="E3529" s="3" t="str">
        <f>IFERROR(__xludf.DUMMYFUNCTION("""COMPUTED_VALUE"""),"steve johnstone")</f>
        <v>steve johnstone</v>
      </c>
      <c r="F3529" s="3" t="str">
        <f>IFERROR(__xludf.DUMMYFUNCTION("""COMPUTED_VALUE"""),"steven.johnstone1001@gmail.com")</f>
        <v>steven.johnstone1001@gmail.com</v>
      </c>
      <c r="G3529" s="3">
        <f>IFERROR(__xludf.DUMMYFUNCTION("""COMPUTED_VALUE"""),4.169618092E9)</f>
        <v>4169618092</v>
      </c>
      <c r="H3529" s="3"/>
    </row>
    <row r="3530">
      <c r="A3530" s="2">
        <f>IFERROR(__xludf.DUMMYFUNCTION("""COMPUTED_VALUE"""),40717.0)</f>
        <v>40717</v>
      </c>
      <c r="B3530" s="3" t="str">
        <f>IFERROR(__xludf.DUMMYFUNCTION("""COMPUTED_VALUE"""),"122 KEEWATIN DR")</f>
        <v>122 KEEWATIN DR</v>
      </c>
      <c r="C3530" s="3" t="str">
        <f>IFERROR(__xludf.DUMMYFUNCTION("""COMPUTED_VALUE"""),"GRAFTON")</f>
        <v>GRAFTON</v>
      </c>
      <c r="D3530" s="3" t="str">
        <f>IFERROR(__xludf.DUMMYFUNCTION("""COMPUTED_VALUE"""),"K0K 2G0")</f>
        <v>K0K 2G0</v>
      </c>
      <c r="E3530" s="3" t="str">
        <f>IFERROR(__xludf.DUMMYFUNCTION("""COMPUTED_VALUE"""),"Tiina Pertmann")</f>
        <v>Tiina Pertmann</v>
      </c>
      <c r="F3530" s="3" t="str">
        <f>IFERROR(__xludf.DUMMYFUNCTION("""COMPUTED_VALUE"""),"schnauzer.r@rogers.com")</f>
        <v>schnauzer.r@rogers.com</v>
      </c>
      <c r="G3530" s="3">
        <f>IFERROR(__xludf.DUMMYFUNCTION("""COMPUTED_VALUE"""),4.163155095E9)</f>
        <v>4163155095</v>
      </c>
      <c r="H3530" s="3"/>
    </row>
    <row r="3531">
      <c r="A3531" s="2">
        <f>IFERROR(__xludf.DUMMYFUNCTION("""COMPUTED_VALUE"""),40718.0)</f>
        <v>40718</v>
      </c>
      <c r="B3531" s="3" t="str">
        <f>IFERROR(__xludf.DUMMYFUNCTION("""COMPUTED_VALUE"""),"128 KEEWATIN DR")</f>
        <v>128 KEEWATIN DR</v>
      </c>
      <c r="C3531" s="3" t="str">
        <f>IFERROR(__xludf.DUMMYFUNCTION("""COMPUTED_VALUE"""),"GRAFTON")</f>
        <v>GRAFTON</v>
      </c>
      <c r="D3531" s="3" t="str">
        <f>IFERROR(__xludf.DUMMYFUNCTION("""COMPUTED_VALUE"""),"K0K 2G0")</f>
        <v>K0K 2G0</v>
      </c>
      <c r="E3531" s="3" t="str">
        <f>IFERROR(__xludf.DUMMYFUNCTION("""COMPUTED_VALUE"""),"Nancy Hilton")</f>
        <v>Nancy Hilton</v>
      </c>
      <c r="F3531" s="3" t="str">
        <f>IFERROR(__xludf.DUMMYFUNCTION("""COMPUTED_VALUE"""),"nancy@blm-cm.com")</f>
        <v>nancy@blm-cm.com</v>
      </c>
      <c r="G3531" s="3">
        <f>IFERROR(__xludf.DUMMYFUNCTION("""COMPUTED_VALUE"""),9.053593976E9)</f>
        <v>9053593976</v>
      </c>
      <c r="H3531" s="3">
        <f>IFERROR(__xludf.DUMMYFUNCTION("""COMPUTED_VALUE"""),4.167083494E9)</f>
        <v>4167083494</v>
      </c>
    </row>
    <row r="3532">
      <c r="A3532" s="2">
        <f>IFERROR(__xludf.DUMMYFUNCTION("""COMPUTED_VALUE"""),40719.0)</f>
        <v>40719</v>
      </c>
      <c r="B3532" s="3" t="str">
        <f>IFERROR(__xludf.DUMMYFUNCTION("""COMPUTED_VALUE"""),"134 KEEWATIN DR")</f>
        <v>134 KEEWATIN DR</v>
      </c>
      <c r="C3532" s="3" t="str">
        <f>IFERROR(__xludf.DUMMYFUNCTION("""COMPUTED_VALUE"""),"GRAFTON")</f>
        <v>GRAFTON</v>
      </c>
      <c r="D3532" s="3" t="str">
        <f>IFERROR(__xludf.DUMMYFUNCTION("""COMPUTED_VALUE"""),"K0K 2G0")</f>
        <v>K0K 2G0</v>
      </c>
      <c r="E3532" s="3" t="str">
        <f>IFERROR(__xludf.DUMMYFUNCTION("""COMPUTED_VALUE"""),"MARIA HENDRICKSON")</f>
        <v>MARIA HENDRICKSON</v>
      </c>
      <c r="F3532" s="3" t="str">
        <f>IFERROR(__xludf.DUMMYFUNCTION("""COMPUTED_VALUE"""),"1166cch@gmail.com")</f>
        <v>1166cch@gmail.com</v>
      </c>
      <c r="G3532" s="3"/>
      <c r="H3532" s="3"/>
    </row>
    <row r="3533">
      <c r="A3533" s="2">
        <f>IFERROR(__xludf.DUMMYFUNCTION("""COMPUTED_VALUE"""),40720.0)</f>
        <v>40720</v>
      </c>
      <c r="B3533" s="3" t="str">
        <f>IFERROR(__xludf.DUMMYFUNCTION("""COMPUTED_VALUE"""),"146 KEEWATIN DR")</f>
        <v>146 KEEWATIN DR</v>
      </c>
      <c r="C3533" s="3" t="str">
        <f>IFERROR(__xludf.DUMMYFUNCTION("""COMPUTED_VALUE"""),"GRAFTON")</f>
        <v>GRAFTON</v>
      </c>
      <c r="D3533" s="3" t="str">
        <f>IFERROR(__xludf.DUMMYFUNCTION("""COMPUTED_VALUE"""),"K0K 2G0")</f>
        <v>K0K 2G0</v>
      </c>
      <c r="E3533" s="3" t="str">
        <f>IFERROR(__xludf.DUMMYFUNCTION("""COMPUTED_VALUE"""),"michelle beatty ")</f>
        <v>michelle beatty </v>
      </c>
      <c r="F3533" s="3" t="str">
        <f>IFERROR(__xludf.DUMMYFUNCTION("""COMPUTED_VALUE"""),"michellebeatty6@gmail.com")</f>
        <v>michellebeatty6@gmail.com</v>
      </c>
      <c r="G3533" s="3">
        <f>IFERROR(__xludf.DUMMYFUNCTION("""COMPUTED_VALUE"""),9.057677182E9)</f>
        <v>9057677182</v>
      </c>
      <c r="H3533" s="3">
        <f>IFERROR(__xludf.DUMMYFUNCTION("""COMPUTED_VALUE"""),9.057676995E9)</f>
        <v>9057676995</v>
      </c>
    </row>
    <row r="3534">
      <c r="A3534" s="2">
        <f>IFERROR(__xludf.DUMMYFUNCTION("""COMPUTED_VALUE"""),40721.0)</f>
        <v>40721</v>
      </c>
      <c r="B3534" s="3" t="str">
        <f>IFERROR(__xludf.DUMMYFUNCTION("""COMPUTED_VALUE"""),"147 KEEWATIN DR")</f>
        <v>147 KEEWATIN DR</v>
      </c>
      <c r="C3534" s="3" t="str">
        <f>IFERROR(__xludf.DUMMYFUNCTION("""COMPUTED_VALUE"""),"GRAFTON")</f>
        <v>GRAFTON</v>
      </c>
      <c r="D3534" s="3" t="str">
        <f>IFERROR(__xludf.DUMMYFUNCTION("""COMPUTED_VALUE"""),"K0K 2G0")</f>
        <v>K0K 2G0</v>
      </c>
      <c r="E3534" s="3" t="str">
        <f>IFERROR(__xludf.DUMMYFUNCTION("""COMPUTED_VALUE"""),"lauri maitland")</f>
        <v>lauri maitland</v>
      </c>
      <c r="F3534" s="3" t="str">
        <f>IFERROR(__xludf.DUMMYFUNCTION("""COMPUTED_VALUE"""),"laurimaitland@yahoo.ca")</f>
        <v>laurimaitland@yahoo.ca</v>
      </c>
      <c r="G3534" s="3">
        <f>IFERROR(__xludf.DUMMYFUNCTION("""COMPUTED_VALUE"""),6.132543291E9)</f>
        <v>6132543291</v>
      </c>
      <c r="H3534" s="3"/>
    </row>
    <row r="3535">
      <c r="A3535" s="2">
        <f>IFERROR(__xludf.DUMMYFUNCTION("""COMPUTED_VALUE"""),40722.0)</f>
        <v>40722</v>
      </c>
      <c r="B3535" s="3" t="str">
        <f>IFERROR(__xludf.DUMMYFUNCTION("""COMPUTED_VALUE"""),"151 KEEWATIN DR")</f>
        <v>151 KEEWATIN DR</v>
      </c>
      <c r="C3535" s="3" t="str">
        <f>IFERROR(__xludf.DUMMYFUNCTION("""COMPUTED_VALUE"""),"GRAFTON")</f>
        <v>GRAFTON</v>
      </c>
      <c r="D3535" s="3" t="str">
        <f>IFERROR(__xludf.DUMMYFUNCTION("""COMPUTED_VALUE"""),"K0K 2G0")</f>
        <v>K0K 2G0</v>
      </c>
      <c r="E3535" s="3" t="str">
        <f>IFERROR(__xludf.DUMMYFUNCTION("""COMPUTED_VALUE"""),"bruce lawson")</f>
        <v>bruce lawson</v>
      </c>
      <c r="F3535" s="3" t="str">
        <f>IFERROR(__xludf.DUMMYFUNCTION("""COMPUTED_VALUE"""),"momdadlawson1@gmail.com")</f>
        <v>momdadlawson1@gmail.com</v>
      </c>
      <c r="G3535" s="3">
        <f>IFERROR(__xludf.DUMMYFUNCTION("""COMPUTED_VALUE"""),9.053492751E9)</f>
        <v>9053492751</v>
      </c>
      <c r="H3535" s="3"/>
    </row>
    <row r="3536">
      <c r="A3536" s="2">
        <f>IFERROR(__xludf.DUMMYFUNCTION("""COMPUTED_VALUE"""),40723.0)</f>
        <v>40723</v>
      </c>
      <c r="B3536" s="3" t="str">
        <f>IFERROR(__xludf.DUMMYFUNCTION("""COMPUTED_VALUE"""),"165 KEEWATIN DR")</f>
        <v>165 KEEWATIN DR</v>
      </c>
      <c r="C3536" s="3" t="str">
        <f>IFERROR(__xludf.DUMMYFUNCTION("""COMPUTED_VALUE"""),"GRAFTON")</f>
        <v>GRAFTON</v>
      </c>
      <c r="D3536" s="3" t="str">
        <f>IFERROR(__xludf.DUMMYFUNCTION("""COMPUTED_VALUE"""),"K0K 2G0")</f>
        <v>K0K 2G0</v>
      </c>
      <c r="E3536" s="3"/>
      <c r="F3536" s="3"/>
      <c r="G3536" s="3"/>
      <c r="H3536" s="3"/>
    </row>
    <row r="3537">
      <c r="A3537" s="2">
        <f>IFERROR(__xludf.DUMMYFUNCTION("""COMPUTED_VALUE"""),40724.0)</f>
        <v>40724</v>
      </c>
      <c r="B3537" s="3" t="str">
        <f>IFERROR(__xludf.DUMMYFUNCTION("""COMPUTED_VALUE"""),"166 KEEWATIN DR")</f>
        <v>166 KEEWATIN DR</v>
      </c>
      <c r="C3537" s="3" t="str">
        <f>IFERROR(__xludf.DUMMYFUNCTION("""COMPUTED_VALUE"""),"GRAFTON")</f>
        <v>GRAFTON</v>
      </c>
      <c r="D3537" s="3" t="str">
        <f>IFERROR(__xludf.DUMMYFUNCTION("""COMPUTED_VALUE"""),"K0K 2G0")</f>
        <v>K0K 2G0</v>
      </c>
      <c r="E3537" s="3" t="str">
        <f>IFERROR(__xludf.DUMMYFUNCTION("""COMPUTED_VALUE"""),"Tom Groot")</f>
        <v>Tom Groot</v>
      </c>
      <c r="F3537" s="3" t="str">
        <f>IFERROR(__xludf.DUMMYFUNCTION("""COMPUTED_VALUE"""),"flyingdutchman@bell.net")</f>
        <v>flyingdutchman@bell.net</v>
      </c>
      <c r="G3537" s="3">
        <f>IFERROR(__xludf.DUMMYFUNCTION("""COMPUTED_VALUE"""),9.053493896E9)</f>
        <v>9053493896</v>
      </c>
      <c r="H3537" s="3"/>
    </row>
    <row r="3538">
      <c r="A3538" s="2">
        <f>IFERROR(__xludf.DUMMYFUNCTION("""COMPUTED_VALUE"""),40725.0)</f>
        <v>40725</v>
      </c>
      <c r="B3538" s="3" t="str">
        <f>IFERROR(__xludf.DUMMYFUNCTION("""COMPUTED_VALUE"""),"169 KEEWATIN DR")</f>
        <v>169 KEEWATIN DR</v>
      </c>
      <c r="C3538" s="3" t="str">
        <f>IFERROR(__xludf.DUMMYFUNCTION("""COMPUTED_VALUE"""),"GRAFTON")</f>
        <v>GRAFTON</v>
      </c>
      <c r="D3538" s="3" t="str">
        <f>IFERROR(__xludf.DUMMYFUNCTION("""COMPUTED_VALUE"""),"K0K 2G0")</f>
        <v>K0K 2G0</v>
      </c>
      <c r="E3538" s="3" t="str">
        <f>IFERROR(__xludf.DUMMYFUNCTION("""COMPUTED_VALUE"""),"chris pinder")</f>
        <v>chris pinder</v>
      </c>
      <c r="F3538" s="3" t="str">
        <f>IFERROR(__xludf.DUMMYFUNCTION("""COMPUTED_VALUE"""),"pinder2@mac.com")</f>
        <v>pinder2@mac.com</v>
      </c>
      <c r="G3538" s="3">
        <f>IFERROR(__xludf.DUMMYFUNCTION("""COMPUTED_VALUE"""),6.132065674E9)</f>
        <v>6132065674</v>
      </c>
      <c r="H3538" s="3">
        <f>IFERROR(__xludf.DUMMYFUNCTION("""COMPUTED_VALUE"""),6.139196696E9)</f>
        <v>6139196696</v>
      </c>
    </row>
    <row r="3539">
      <c r="A3539" s="2">
        <f>IFERROR(__xludf.DUMMYFUNCTION("""COMPUTED_VALUE"""),40726.0)</f>
        <v>40726</v>
      </c>
      <c r="B3539" s="3" t="str">
        <f>IFERROR(__xludf.DUMMYFUNCTION("""COMPUTED_VALUE"""),"170 KEEWATIN DR")</f>
        <v>170 KEEWATIN DR</v>
      </c>
      <c r="C3539" s="3" t="str">
        <f>IFERROR(__xludf.DUMMYFUNCTION("""COMPUTED_VALUE"""),"GRAFTON")</f>
        <v>GRAFTON</v>
      </c>
      <c r="D3539" s="3" t="str">
        <f>IFERROR(__xludf.DUMMYFUNCTION("""COMPUTED_VALUE"""),"K0K 2G0")</f>
        <v>K0K 2G0</v>
      </c>
      <c r="E3539" s="3" t="str">
        <f>IFERROR(__xludf.DUMMYFUNCTION("""COMPUTED_VALUE"""),"sydney fairman")</f>
        <v>sydney fairman</v>
      </c>
      <c r="F3539" s="3"/>
      <c r="G3539" s="3">
        <f>IFERROR(__xludf.DUMMYFUNCTION("""COMPUTED_VALUE"""),9.0539686E9)</f>
        <v>9053968600</v>
      </c>
      <c r="H3539" s="3"/>
    </row>
    <row r="3540">
      <c r="A3540" s="2">
        <f>IFERROR(__xludf.DUMMYFUNCTION("""COMPUTED_VALUE"""),40729.0)</f>
        <v>40729</v>
      </c>
      <c r="B3540" s="3" t="str">
        <f>IFERROR(__xludf.DUMMYFUNCTION("""COMPUTED_VALUE"""),"352 KERNAGHAN RD")</f>
        <v>352 KERNAGHAN RD</v>
      </c>
      <c r="C3540" s="3" t="str">
        <f>IFERROR(__xludf.DUMMYFUNCTION("""COMPUTED_VALUE"""),"COLBORNE ")</f>
        <v>COLBORNE </v>
      </c>
      <c r="D3540" s="3" t="str">
        <f>IFERROR(__xludf.DUMMYFUNCTION("""COMPUTED_VALUE"""),"K0K 1S0")</f>
        <v>K0K 1S0</v>
      </c>
      <c r="E3540" s="3"/>
      <c r="F3540" s="3"/>
      <c r="G3540" s="3"/>
      <c r="H3540" s="3"/>
    </row>
    <row r="3541">
      <c r="A3541" s="2">
        <f>IFERROR(__xludf.DUMMYFUNCTION("""COMPUTED_VALUE"""),40730.0)</f>
        <v>40730</v>
      </c>
      <c r="B3541" s="3" t="str">
        <f>IFERROR(__xludf.DUMMYFUNCTION("""COMPUTED_VALUE"""),"357 KERNAGHAN RD")</f>
        <v>357 KERNAGHAN RD</v>
      </c>
      <c r="C3541" s="3" t="str">
        <f>IFERROR(__xludf.DUMMYFUNCTION("""COMPUTED_VALUE"""),"COLBORNE ")</f>
        <v>COLBORNE </v>
      </c>
      <c r="D3541" s="3" t="str">
        <f>IFERROR(__xludf.DUMMYFUNCTION("""COMPUTED_VALUE"""),"K0K 1S0")</f>
        <v>K0K 1S0</v>
      </c>
      <c r="E3541" s="3"/>
      <c r="F3541" s="3"/>
      <c r="G3541" s="3"/>
      <c r="H3541" s="3"/>
    </row>
    <row r="3542">
      <c r="A3542" s="2">
        <f>IFERROR(__xludf.DUMMYFUNCTION("""COMPUTED_VALUE"""),40731.0)</f>
        <v>40731</v>
      </c>
      <c r="B3542" s="3" t="str">
        <f>IFERROR(__xludf.DUMMYFUNCTION("""COMPUTED_VALUE"""),"105 KILLDEER CRES")</f>
        <v>105 KILLDEER CRES</v>
      </c>
      <c r="C3542" s="3" t="str">
        <f>IFERROR(__xludf.DUMMYFUNCTION("""COMPUTED_VALUE"""),"COBOURG")</f>
        <v>COBOURG</v>
      </c>
      <c r="D3542" s="3" t="str">
        <f>IFERROR(__xludf.DUMMYFUNCTION("""COMPUTED_VALUE"""),"K9A 4J8")</f>
        <v>K9A 4J8</v>
      </c>
      <c r="E3542" s="3" t="str">
        <f>IFERROR(__xludf.DUMMYFUNCTION("""COMPUTED_VALUE"""),"julius rodrigues")</f>
        <v>julius rodrigues</v>
      </c>
      <c r="F3542" s="3" t="str">
        <f>IFERROR(__xludf.DUMMYFUNCTION("""COMPUTED_VALUE"""),"juliusrodrigues@hotmail.com")</f>
        <v>juliusrodrigues@hotmail.com</v>
      </c>
      <c r="G3542" s="3">
        <f>IFERROR(__xludf.DUMMYFUNCTION("""COMPUTED_VALUE"""),2.893145564E9)</f>
        <v>2893145564</v>
      </c>
      <c r="H3542" s="3">
        <f>IFERROR(__xludf.DUMMYFUNCTION("""COMPUTED_VALUE"""),2.896852843E9)</f>
        <v>2896852843</v>
      </c>
    </row>
    <row r="3543">
      <c r="A3543" s="2">
        <f>IFERROR(__xludf.DUMMYFUNCTION("""COMPUTED_VALUE"""),40732.0)</f>
        <v>40732</v>
      </c>
      <c r="B3543" s="3" t="str">
        <f>IFERROR(__xludf.DUMMYFUNCTION("""COMPUTED_VALUE"""),"106 KILLDEER CRES")</f>
        <v>106 KILLDEER CRES</v>
      </c>
      <c r="C3543" s="3" t="str">
        <f>IFERROR(__xludf.DUMMYFUNCTION("""COMPUTED_VALUE"""),"COBOURG")</f>
        <v>COBOURG</v>
      </c>
      <c r="D3543" s="3" t="str">
        <f>IFERROR(__xludf.DUMMYFUNCTION("""COMPUTED_VALUE"""),"K9A 4J8")</f>
        <v>K9A 4J8</v>
      </c>
      <c r="E3543" s="3"/>
      <c r="F3543" s="3"/>
      <c r="G3543" s="3"/>
      <c r="H3543" s="3"/>
    </row>
    <row r="3544">
      <c r="A3544" s="2">
        <f>IFERROR(__xludf.DUMMYFUNCTION("""COMPUTED_VALUE"""),40733.0)</f>
        <v>40733</v>
      </c>
      <c r="B3544" s="3" t="str">
        <f>IFERROR(__xludf.DUMMYFUNCTION("""COMPUTED_VALUE"""),"119 KILLDEER CRES")</f>
        <v>119 KILLDEER CRES</v>
      </c>
      <c r="C3544" s="3" t="str">
        <f>IFERROR(__xludf.DUMMYFUNCTION("""COMPUTED_VALUE"""),"COBOURG")</f>
        <v>COBOURG</v>
      </c>
      <c r="D3544" s="3" t="str">
        <f>IFERROR(__xludf.DUMMYFUNCTION("""COMPUTED_VALUE"""),"K9A 4J8")</f>
        <v>K9A 4J8</v>
      </c>
      <c r="E3544" s="3"/>
      <c r="F3544" s="3"/>
      <c r="G3544" s="3"/>
      <c r="H3544" s="3"/>
    </row>
    <row r="3545">
      <c r="A3545" s="2">
        <f>IFERROR(__xludf.DUMMYFUNCTION("""COMPUTED_VALUE"""),40734.0)</f>
        <v>40734</v>
      </c>
      <c r="B3545" s="3" t="str">
        <f>IFERROR(__xludf.DUMMYFUNCTION("""COMPUTED_VALUE"""),"129 KILLDEER CRES")</f>
        <v>129 KILLDEER CRES</v>
      </c>
      <c r="C3545" s="3" t="str">
        <f>IFERROR(__xludf.DUMMYFUNCTION("""COMPUTED_VALUE"""),"COBOURG")</f>
        <v>COBOURG</v>
      </c>
      <c r="D3545" s="3" t="str">
        <f>IFERROR(__xludf.DUMMYFUNCTION("""COMPUTED_VALUE"""),"K9A 4J8")</f>
        <v>K9A 4J8</v>
      </c>
      <c r="E3545" s="3" t="str">
        <f>IFERROR(__xludf.DUMMYFUNCTION("""COMPUTED_VALUE"""),"jennifer wagg ")</f>
        <v>jennifer wagg </v>
      </c>
      <c r="F3545" s="3" t="str">
        <f>IFERROR(__xludf.DUMMYFUNCTION("""COMPUTED_VALUE"""),"shelby8784@hotmail.com")</f>
        <v>shelby8784@hotmail.com</v>
      </c>
      <c r="G3545" s="3">
        <f>IFERROR(__xludf.DUMMYFUNCTION("""COMPUTED_VALUE"""),9.053961163E9)</f>
        <v>9053961163</v>
      </c>
      <c r="H3545" s="3">
        <f>IFERROR(__xludf.DUMMYFUNCTION("""COMPUTED_VALUE"""),9.053761162E9)</f>
        <v>9053761162</v>
      </c>
    </row>
    <row r="3546">
      <c r="A3546" s="2">
        <f>IFERROR(__xludf.DUMMYFUNCTION("""COMPUTED_VALUE"""),40735.0)</f>
        <v>40735</v>
      </c>
      <c r="B3546" s="3" t="str">
        <f>IFERROR(__xludf.DUMMYFUNCTION("""COMPUTED_VALUE"""),"140 KILLDEER CRES")</f>
        <v>140 KILLDEER CRES</v>
      </c>
      <c r="C3546" s="3" t="str">
        <f>IFERROR(__xludf.DUMMYFUNCTION("""COMPUTED_VALUE"""),"COBOURG")</f>
        <v>COBOURG</v>
      </c>
      <c r="D3546" s="3" t="str">
        <f>IFERROR(__xludf.DUMMYFUNCTION("""COMPUTED_VALUE"""),"K9A 4J8")</f>
        <v>K9A 4J8</v>
      </c>
      <c r="E3546" s="3"/>
      <c r="F3546" s="3"/>
      <c r="G3546" s="3"/>
      <c r="H3546" s="3"/>
    </row>
    <row r="3547">
      <c r="A3547" s="2">
        <f>IFERROR(__xludf.DUMMYFUNCTION("""COMPUTED_VALUE"""),40736.0)</f>
        <v>40736</v>
      </c>
      <c r="B3547" s="3" t="str">
        <f>IFERROR(__xludf.DUMMYFUNCTION("""COMPUTED_VALUE"""),"145 KILLDEER CRES")</f>
        <v>145 KILLDEER CRES</v>
      </c>
      <c r="C3547" s="3" t="str">
        <f>IFERROR(__xludf.DUMMYFUNCTION("""COMPUTED_VALUE"""),"COBOURG")</f>
        <v>COBOURG</v>
      </c>
      <c r="D3547" s="3" t="str">
        <f>IFERROR(__xludf.DUMMYFUNCTION("""COMPUTED_VALUE"""),"K9A 4J8")</f>
        <v>K9A 4J8</v>
      </c>
      <c r="E3547" s="3" t="str">
        <f>IFERROR(__xludf.DUMMYFUNCTION("""COMPUTED_VALUE"""),"Sal Carvello")</f>
        <v>Sal Carvello</v>
      </c>
      <c r="F3547" s="3" t="str">
        <f>IFERROR(__xludf.DUMMYFUNCTION("""COMPUTED_VALUE"""),"sam.carvello@gmail.com")</f>
        <v>sam.carvello@gmail.com</v>
      </c>
      <c r="G3547" s="3">
        <f>IFERROR(__xludf.DUMMYFUNCTION("""COMPUTED_VALUE"""),2.898291963E9)</f>
        <v>2898291963</v>
      </c>
      <c r="H3547" s="3"/>
    </row>
    <row r="3548">
      <c r="A3548" s="2">
        <f>IFERROR(__xludf.DUMMYFUNCTION("""COMPUTED_VALUE"""),40737.0)</f>
        <v>40737</v>
      </c>
      <c r="B3548" s="3" t="str">
        <f>IFERROR(__xludf.DUMMYFUNCTION("""COMPUTED_VALUE"""),"154 KILLDEER CRES")</f>
        <v>154 KILLDEER CRES</v>
      </c>
      <c r="C3548" s="3" t="str">
        <f>IFERROR(__xludf.DUMMYFUNCTION("""COMPUTED_VALUE"""),"COBOURG")</f>
        <v>COBOURG</v>
      </c>
      <c r="D3548" s="3" t="str">
        <f>IFERROR(__xludf.DUMMYFUNCTION("""COMPUTED_VALUE"""),"K9A 4J8")</f>
        <v>K9A 4J8</v>
      </c>
      <c r="E3548" s="3" t="str">
        <f>IFERROR(__xludf.DUMMYFUNCTION("""COMPUTED_VALUE"""),"RICKY JAMES ETCHELLS")</f>
        <v>RICKY JAMES ETCHELLS</v>
      </c>
      <c r="F3548" s="3" t="str">
        <f>IFERROR(__xludf.DUMMYFUNCTION("""COMPUTED_VALUE"""),"lakeshorericky@hotmail.com")</f>
        <v>lakeshorericky@hotmail.com</v>
      </c>
      <c r="G3548" s="3"/>
      <c r="H3548" s="3"/>
    </row>
    <row r="3549">
      <c r="A3549" s="2">
        <f>IFERROR(__xludf.DUMMYFUNCTION("""COMPUTED_VALUE"""),40738.0)</f>
        <v>40738</v>
      </c>
      <c r="B3549" s="3" t="str">
        <f>IFERROR(__xludf.DUMMYFUNCTION("""COMPUTED_VALUE"""),"173 KILLDEER CRES")</f>
        <v>173 KILLDEER CRES</v>
      </c>
      <c r="C3549" s="3" t="str">
        <f>IFERROR(__xludf.DUMMYFUNCTION("""COMPUTED_VALUE"""),"COBOURG")</f>
        <v>COBOURG</v>
      </c>
      <c r="D3549" s="3" t="str">
        <f>IFERROR(__xludf.DUMMYFUNCTION("""COMPUTED_VALUE"""),"K9A 4J8")</f>
        <v>K9A 4J8</v>
      </c>
      <c r="E3549" s="3" t="str">
        <f>IFERROR(__xludf.DUMMYFUNCTION("""COMPUTED_VALUE"""),"rachel irving ")</f>
        <v>rachel irving </v>
      </c>
      <c r="F3549" s="3" t="str">
        <f>IFERROR(__xludf.DUMMYFUNCTION("""COMPUTED_VALUE"""),"rachel-irving@hotmail.com")</f>
        <v>rachel-irving@hotmail.com</v>
      </c>
      <c r="G3549" s="3">
        <f>IFERROR(__xludf.DUMMYFUNCTION("""COMPUTED_VALUE"""),2.892515581E9)</f>
        <v>2892515581</v>
      </c>
      <c r="H3549" s="3"/>
    </row>
    <row r="3550">
      <c r="A3550" s="2">
        <f>IFERROR(__xludf.DUMMYFUNCTION("""COMPUTED_VALUE"""),40739.0)</f>
        <v>40739</v>
      </c>
      <c r="B3550" s="3" t="str">
        <f>IFERROR(__xludf.DUMMYFUNCTION("""COMPUTED_VALUE"""),"174 KILLDEER CRES")</f>
        <v>174 KILLDEER CRES</v>
      </c>
      <c r="C3550" s="3" t="str">
        <f>IFERROR(__xludf.DUMMYFUNCTION("""COMPUTED_VALUE"""),"COBOURG")</f>
        <v>COBOURG</v>
      </c>
      <c r="D3550" s="3" t="str">
        <f>IFERROR(__xludf.DUMMYFUNCTION("""COMPUTED_VALUE"""),"K9A 4J8")</f>
        <v>K9A 4J8</v>
      </c>
      <c r="E3550" s="3"/>
      <c r="F3550" s="3"/>
      <c r="G3550" s="3"/>
      <c r="H3550" s="3"/>
    </row>
    <row r="3551">
      <c r="A3551" s="2">
        <f>IFERROR(__xludf.DUMMYFUNCTION("""COMPUTED_VALUE"""),40740.0)</f>
        <v>40740</v>
      </c>
      <c r="B3551" s="3" t="str">
        <f>IFERROR(__xludf.DUMMYFUNCTION("""COMPUTED_VALUE"""),"184 KILLDEER CRES")</f>
        <v>184 KILLDEER CRES</v>
      </c>
      <c r="C3551" s="3" t="str">
        <f>IFERROR(__xludf.DUMMYFUNCTION("""COMPUTED_VALUE"""),"COBOURG")</f>
        <v>COBOURG</v>
      </c>
      <c r="D3551" s="3" t="str">
        <f>IFERROR(__xludf.DUMMYFUNCTION("""COMPUTED_VALUE"""),"K9A 4J8")</f>
        <v>K9A 4J8</v>
      </c>
      <c r="E3551" s="3" t="str">
        <f>IFERROR(__xludf.DUMMYFUNCTION("""COMPUTED_VALUE"""),"Caroline MacDonald")</f>
        <v>Caroline MacDonald</v>
      </c>
      <c r="F3551" s="3" t="str">
        <f>IFERROR(__xludf.DUMMYFUNCTION("""COMPUTED_VALUE"""),"caroline_macdonald@hotmail.com")</f>
        <v>caroline_macdonald@hotmail.com</v>
      </c>
      <c r="G3551" s="3">
        <f>IFERROR(__xludf.DUMMYFUNCTION("""COMPUTED_VALUE"""),2.898304777E9)</f>
        <v>2898304777</v>
      </c>
      <c r="H3551" s="3"/>
    </row>
    <row r="3552">
      <c r="A3552" s="2">
        <f>IFERROR(__xludf.DUMMYFUNCTION("""COMPUTED_VALUE"""),40741.0)</f>
        <v>40741</v>
      </c>
      <c r="B3552" s="3" t="str">
        <f>IFERROR(__xludf.DUMMYFUNCTION("""COMPUTED_VALUE"""),"190 KILLDEER CRES")</f>
        <v>190 KILLDEER CRES</v>
      </c>
      <c r="C3552" s="3" t="str">
        <f>IFERROR(__xludf.DUMMYFUNCTION("""COMPUTED_VALUE"""),"COBOURG")</f>
        <v>COBOURG</v>
      </c>
      <c r="D3552" s="3" t="str">
        <f>IFERROR(__xludf.DUMMYFUNCTION("""COMPUTED_VALUE"""),"K9A 4J8")</f>
        <v>K9A 4J8</v>
      </c>
      <c r="E3552" s="3" t="str">
        <f>IFERROR(__xludf.DUMMYFUNCTION("""COMPUTED_VALUE"""),"Scott Powell")</f>
        <v>Scott Powell</v>
      </c>
      <c r="F3552" s="3" t="str">
        <f>IFERROR(__xludf.DUMMYFUNCTION("""COMPUTED_VALUE"""),"sctyp33@gmail.com")</f>
        <v>sctyp33@gmail.com</v>
      </c>
      <c r="G3552" s="3">
        <f>IFERROR(__xludf.DUMMYFUNCTION("""COMPUTED_VALUE"""),9.053961427E9)</f>
        <v>9053961427</v>
      </c>
      <c r="H3552" s="3"/>
    </row>
    <row r="3553">
      <c r="A3553" s="2">
        <f>IFERROR(__xludf.DUMMYFUNCTION("""COMPUTED_VALUE"""),40742.0)</f>
        <v>40742</v>
      </c>
      <c r="B3553" s="3" t="str">
        <f>IFERROR(__xludf.DUMMYFUNCTION("""COMPUTED_VALUE"""),"201 KILLDEER CRES")</f>
        <v>201 KILLDEER CRES</v>
      </c>
      <c r="C3553" s="3" t="str">
        <f>IFERROR(__xludf.DUMMYFUNCTION("""COMPUTED_VALUE"""),"COBOURG")</f>
        <v>COBOURG</v>
      </c>
      <c r="D3553" s="3" t="str">
        <f>IFERROR(__xludf.DUMMYFUNCTION("""COMPUTED_VALUE"""),"K9A 4J8")</f>
        <v>K9A 4J8</v>
      </c>
      <c r="E3553" s="3"/>
      <c r="F3553" s="3"/>
      <c r="G3553" s="3"/>
      <c r="H3553" s="3"/>
    </row>
    <row r="3554">
      <c r="A3554" s="2">
        <f>IFERROR(__xludf.DUMMYFUNCTION("""COMPUTED_VALUE"""),40743.0)</f>
        <v>40743</v>
      </c>
      <c r="B3554" s="3" t="str">
        <f>IFERROR(__xludf.DUMMYFUNCTION("""COMPUTED_VALUE"""),"208 KILLDEER CRES")</f>
        <v>208 KILLDEER CRES</v>
      </c>
      <c r="C3554" s="3" t="str">
        <f>IFERROR(__xludf.DUMMYFUNCTION("""COMPUTED_VALUE"""),"COBOURG")</f>
        <v>COBOURG</v>
      </c>
      <c r="D3554" s="3" t="str">
        <f>IFERROR(__xludf.DUMMYFUNCTION("""COMPUTED_VALUE"""),"K9A 4J8")</f>
        <v>K9A 4J8</v>
      </c>
      <c r="E3554" s="3"/>
      <c r="F3554" s="3"/>
      <c r="G3554" s="3"/>
      <c r="H3554" s="3"/>
    </row>
    <row r="3555">
      <c r="A3555" s="2">
        <f>IFERROR(__xludf.DUMMYFUNCTION("""COMPUTED_VALUE"""),40744.0)</f>
        <v>40744</v>
      </c>
      <c r="B3555" s="3" t="str">
        <f>IFERROR(__xludf.DUMMYFUNCTION("""COMPUTED_VALUE"""),"219 KILLDEER CRES")</f>
        <v>219 KILLDEER CRES</v>
      </c>
      <c r="C3555" s="3" t="str">
        <f>IFERROR(__xludf.DUMMYFUNCTION("""COMPUTED_VALUE"""),"COBOURG")</f>
        <v>COBOURG</v>
      </c>
      <c r="D3555" s="3" t="str">
        <f>IFERROR(__xludf.DUMMYFUNCTION("""COMPUTED_VALUE"""),"K9A 4J8")</f>
        <v>K9A 4J8</v>
      </c>
      <c r="E3555" s="3" t="str">
        <f>IFERROR(__xludf.DUMMYFUNCTION("""COMPUTED_VALUE"""),"Darrell Manley")</f>
        <v>Darrell Manley</v>
      </c>
      <c r="F3555" s="3" t="str">
        <f>IFERROR(__xludf.DUMMYFUNCTION("""COMPUTED_VALUE"""),"d.manley958@gmail.com")</f>
        <v>d.manley958@gmail.com</v>
      </c>
      <c r="G3555" s="3">
        <f>IFERROR(__xludf.DUMMYFUNCTION("""COMPUTED_VALUE"""),9.057440865E9)</f>
        <v>9057440865</v>
      </c>
      <c r="H3555" s="3"/>
    </row>
    <row r="3556">
      <c r="A3556" s="2">
        <f>IFERROR(__xludf.DUMMYFUNCTION("""COMPUTED_VALUE"""),40745.0)</f>
        <v>40745</v>
      </c>
      <c r="B3556" s="3" t="str">
        <f>IFERROR(__xludf.DUMMYFUNCTION("""COMPUTED_VALUE"""),"228 KILLDEER CRES")</f>
        <v>228 KILLDEER CRES</v>
      </c>
      <c r="C3556" s="3" t="str">
        <f>IFERROR(__xludf.DUMMYFUNCTION("""COMPUTED_VALUE"""),"COBOURG")</f>
        <v>COBOURG</v>
      </c>
      <c r="D3556" s="3" t="str">
        <f>IFERROR(__xludf.DUMMYFUNCTION("""COMPUTED_VALUE"""),"K9A 4J8")</f>
        <v>K9A 4J8</v>
      </c>
      <c r="E3556" s="3" t="str">
        <f>IFERROR(__xludf.DUMMYFUNCTION("""COMPUTED_VALUE"""),"David Ashby")</f>
        <v>David Ashby</v>
      </c>
      <c r="F3556" s="3" t="str">
        <f>IFERROR(__xludf.DUMMYFUNCTION("""COMPUTED_VALUE"""),"dave.ashby@continental.com")</f>
        <v>dave.ashby@continental.com</v>
      </c>
      <c r="G3556" s="3">
        <f>IFERROR(__xludf.DUMMYFUNCTION("""COMPUTED_VALUE"""),2.893567437E9)</f>
        <v>2893567437</v>
      </c>
      <c r="H3556" s="3">
        <f>IFERROR(__xludf.DUMMYFUNCTION("""COMPUTED_VALUE"""),9.05376248E9)</f>
        <v>9053762480</v>
      </c>
    </row>
    <row r="3557">
      <c r="A3557" s="2">
        <f>IFERROR(__xludf.DUMMYFUNCTION("""COMPUTED_VALUE"""),40746.0)</f>
        <v>40746</v>
      </c>
      <c r="B3557" s="3" t="str">
        <f>IFERROR(__xludf.DUMMYFUNCTION("""COMPUTED_VALUE"""),"229 KILLDEER CRES")</f>
        <v>229 KILLDEER CRES</v>
      </c>
      <c r="C3557" s="3" t="str">
        <f>IFERROR(__xludf.DUMMYFUNCTION("""COMPUTED_VALUE"""),"COBOURG")</f>
        <v>COBOURG</v>
      </c>
      <c r="D3557" s="3" t="str">
        <f>IFERROR(__xludf.DUMMYFUNCTION("""COMPUTED_VALUE"""),"K9A 4J8")</f>
        <v>K9A 4J8</v>
      </c>
      <c r="E3557" s="3"/>
      <c r="F3557" s="3"/>
      <c r="G3557" s="3"/>
      <c r="H3557" s="3"/>
    </row>
    <row r="3558">
      <c r="A3558" s="2">
        <f>IFERROR(__xludf.DUMMYFUNCTION("""COMPUTED_VALUE"""),40747.0)</f>
        <v>40747</v>
      </c>
      <c r="B3558" s="3" t="str">
        <f>IFERROR(__xludf.DUMMYFUNCTION("""COMPUTED_VALUE"""),"103 KNIGHT'S RD")</f>
        <v>103 KNIGHT'S RD</v>
      </c>
      <c r="C3558" s="3" t="str">
        <f>IFERROR(__xludf.DUMMYFUNCTION("""COMPUTED_VALUE"""),"COBOURG")</f>
        <v>COBOURG</v>
      </c>
      <c r="D3558" s="3" t="str">
        <f>IFERROR(__xludf.DUMMYFUNCTION("""COMPUTED_VALUE"""),"K0K 1S0")</f>
        <v>K0K 1S0</v>
      </c>
      <c r="E3558" s="3"/>
      <c r="F3558" s="3"/>
      <c r="G3558" s="3"/>
      <c r="H3558" s="3"/>
    </row>
    <row r="3559">
      <c r="A3559" s="2">
        <f>IFERROR(__xludf.DUMMYFUNCTION("""COMPUTED_VALUE"""),40759.0)</f>
        <v>40759</v>
      </c>
      <c r="B3559" s="3" t="str">
        <f>IFERROR(__xludf.DUMMYFUNCTION("""COMPUTED_VALUE"""),"176 LAKESHORE RD")</f>
        <v>176 LAKESHORE RD</v>
      </c>
      <c r="C3559" s="3" t="str">
        <f>IFERROR(__xludf.DUMMYFUNCTION("""COMPUTED_VALUE"""),"COBOURG")</f>
        <v>COBOURG</v>
      </c>
      <c r="D3559" s="3" t="str">
        <f>IFERROR(__xludf.DUMMYFUNCTION("""COMPUTED_VALUE"""),"K9A 4J8")</f>
        <v>K9A 4J8</v>
      </c>
      <c r="E3559" s="3"/>
      <c r="F3559" s="3"/>
      <c r="G3559" s="3"/>
      <c r="H3559" s="3"/>
    </row>
    <row r="3560">
      <c r="A3560" s="2">
        <f>IFERROR(__xludf.DUMMYFUNCTION("""COMPUTED_VALUE"""),40760.0)</f>
        <v>40760</v>
      </c>
      <c r="B3560" s="3" t="str">
        <f>IFERROR(__xludf.DUMMYFUNCTION("""COMPUTED_VALUE"""),"180 LAKESHORE RD")</f>
        <v>180 LAKESHORE RD</v>
      </c>
      <c r="C3560" s="3" t="str">
        <f>IFERROR(__xludf.DUMMYFUNCTION("""COMPUTED_VALUE"""),"COBOURG")</f>
        <v>COBOURG</v>
      </c>
      <c r="D3560" s="3" t="str">
        <f>IFERROR(__xludf.DUMMYFUNCTION("""COMPUTED_VALUE"""),"K9A 4J8")</f>
        <v>K9A 4J8</v>
      </c>
      <c r="E3560" s="3" t="str">
        <f>IFERROR(__xludf.DUMMYFUNCTION("""COMPUTED_VALUE"""),"doug hamilton")</f>
        <v>doug hamilton</v>
      </c>
      <c r="F3560" s="3" t="str">
        <f>IFERROR(__xludf.DUMMYFUNCTION("""COMPUTED_VALUE"""),"hammy62@xplorenet.com")</f>
        <v>hammy62@xplorenet.com</v>
      </c>
      <c r="G3560" s="3">
        <f>IFERROR(__xludf.DUMMYFUNCTION("""COMPUTED_VALUE"""),9.053757372E9)</f>
        <v>9053757372</v>
      </c>
      <c r="H3560" s="3"/>
    </row>
    <row r="3561">
      <c r="A3561" s="2">
        <f>IFERROR(__xludf.DUMMYFUNCTION("""COMPUTED_VALUE"""),40761.0)</f>
        <v>40761</v>
      </c>
      <c r="B3561" s="3" t="str">
        <f>IFERROR(__xludf.DUMMYFUNCTION("""COMPUTED_VALUE"""),"184 LAKESHORE RD")</f>
        <v>184 LAKESHORE RD</v>
      </c>
      <c r="C3561" s="3" t="str">
        <f>IFERROR(__xludf.DUMMYFUNCTION("""COMPUTED_VALUE"""),"COBOURG")</f>
        <v>COBOURG</v>
      </c>
      <c r="D3561" s="3" t="str">
        <f>IFERROR(__xludf.DUMMYFUNCTION("""COMPUTED_VALUE"""),"K9A 4J8")</f>
        <v>K9A 4J8</v>
      </c>
      <c r="E3561" s="3" t="str">
        <f>IFERROR(__xludf.DUMMYFUNCTION("""COMPUTED_VALUE"""),"Warren Perrie")</f>
        <v>Warren Perrie</v>
      </c>
      <c r="F3561" s="3" t="str">
        <f>IFERROR(__xludf.DUMMYFUNCTION("""COMPUTED_VALUE"""),"oldfeller60@gmail.com")</f>
        <v>oldfeller60@gmail.com</v>
      </c>
      <c r="G3561" s="3">
        <f>IFERROR(__xludf.DUMMYFUNCTION("""COMPUTED_VALUE"""),9.053753678E9)</f>
        <v>9053753678</v>
      </c>
      <c r="H3561" s="3"/>
    </row>
    <row r="3562">
      <c r="A3562" s="2">
        <f>IFERROR(__xludf.DUMMYFUNCTION("""COMPUTED_VALUE"""),40762.0)</f>
        <v>40762</v>
      </c>
      <c r="B3562" s="3" t="str">
        <f>IFERROR(__xludf.DUMMYFUNCTION("""COMPUTED_VALUE"""),"188 LAKESHORE RD")</f>
        <v>188 LAKESHORE RD</v>
      </c>
      <c r="C3562" s="3" t="str">
        <f>IFERROR(__xludf.DUMMYFUNCTION("""COMPUTED_VALUE"""),"COBOURG")</f>
        <v>COBOURG</v>
      </c>
      <c r="D3562" s="3" t="str">
        <f>IFERROR(__xludf.DUMMYFUNCTION("""COMPUTED_VALUE"""),"K9A 4J8")</f>
        <v>K9A 4J8</v>
      </c>
      <c r="E3562" s="3" t="str">
        <f>IFERROR(__xludf.DUMMYFUNCTION("""COMPUTED_VALUE"""),"TIM AND MELANIE MORRIS")</f>
        <v>TIM AND MELANIE MORRIS</v>
      </c>
      <c r="F3562" s="3" t="str">
        <f>IFERROR(__xludf.DUMMYFUNCTION("""COMPUTED_VALUE"""),"melanie_morris@live.ca")</f>
        <v>melanie_morris@live.ca</v>
      </c>
      <c r="G3562" s="3"/>
      <c r="H3562" s="3"/>
    </row>
    <row r="3563">
      <c r="A3563" s="2">
        <f>IFERROR(__xludf.DUMMYFUNCTION("""COMPUTED_VALUE"""),40763.0)</f>
        <v>40763</v>
      </c>
      <c r="B3563" s="3" t="str">
        <f>IFERROR(__xludf.DUMMYFUNCTION("""COMPUTED_VALUE"""),"191 LAKESHORE RD")</f>
        <v>191 LAKESHORE RD</v>
      </c>
      <c r="C3563" s="3" t="str">
        <f>IFERROR(__xludf.DUMMYFUNCTION("""COMPUTED_VALUE"""),"COBOURG")</f>
        <v>COBOURG</v>
      </c>
      <c r="D3563" s="3" t="str">
        <f>IFERROR(__xludf.DUMMYFUNCTION("""COMPUTED_VALUE"""),"K9A 4J8")</f>
        <v>K9A 4J8</v>
      </c>
      <c r="E3563" s="3" t="str">
        <f>IFERROR(__xludf.DUMMYFUNCTION("""COMPUTED_VALUE"""),"michael peterkin")</f>
        <v>michael peterkin</v>
      </c>
      <c r="F3563" s="3" t="str">
        <f>IFERROR(__xludf.DUMMYFUNCTION("""COMPUTED_VALUE"""),"mpeterkin@cobourg.com")</f>
        <v>mpeterkin@cobourg.com</v>
      </c>
      <c r="G3563" s="3">
        <f>IFERROR(__xludf.DUMMYFUNCTION("""COMPUTED_VALUE"""),9.052698858E9)</f>
        <v>9052698858</v>
      </c>
      <c r="H3563" s="3"/>
    </row>
    <row r="3564">
      <c r="A3564" s="2">
        <f>IFERROR(__xludf.DUMMYFUNCTION("""COMPUTED_VALUE"""),40764.0)</f>
        <v>40764</v>
      </c>
      <c r="B3564" s="3" t="str">
        <f>IFERROR(__xludf.DUMMYFUNCTION("""COMPUTED_VALUE"""),"192 LAKESHORE RD")</f>
        <v>192 LAKESHORE RD</v>
      </c>
      <c r="C3564" s="3" t="str">
        <f>IFERROR(__xludf.DUMMYFUNCTION("""COMPUTED_VALUE"""),"COBOURG")</f>
        <v>COBOURG</v>
      </c>
      <c r="D3564" s="3" t="str">
        <f>IFERROR(__xludf.DUMMYFUNCTION("""COMPUTED_VALUE"""),"K9A 4J8")</f>
        <v>K9A 4J8</v>
      </c>
      <c r="E3564" s="3" t="str">
        <f>IFERROR(__xludf.DUMMYFUNCTION("""COMPUTED_VALUE"""),"scott landamore")</f>
        <v>scott landamore</v>
      </c>
      <c r="F3564" s="3" t="str">
        <f>IFERROR(__xludf.DUMMYFUNCTION("""COMPUTED_VALUE"""),"scottlandamore@gmail.com")</f>
        <v>scottlandamore@gmail.com</v>
      </c>
      <c r="G3564" s="3">
        <f>IFERROR(__xludf.DUMMYFUNCTION("""COMPUTED_VALUE"""),9.055722311E9)</f>
        <v>9055722311</v>
      </c>
      <c r="H3564" s="3"/>
    </row>
    <row r="3565">
      <c r="A3565" s="2">
        <f>IFERROR(__xludf.DUMMYFUNCTION("""COMPUTED_VALUE"""),40765.0)</f>
        <v>40765</v>
      </c>
      <c r="B3565" s="3" t="str">
        <f>IFERROR(__xludf.DUMMYFUNCTION("""COMPUTED_VALUE"""),"196 LAKESHORE RD")</f>
        <v>196 LAKESHORE RD</v>
      </c>
      <c r="C3565" s="3" t="str">
        <f>IFERROR(__xludf.DUMMYFUNCTION("""COMPUTED_VALUE"""),"COBOURG")</f>
        <v>COBOURG</v>
      </c>
      <c r="D3565" s="3" t="str">
        <f>IFERROR(__xludf.DUMMYFUNCTION("""COMPUTED_VALUE"""),"K9A 4J8")</f>
        <v>K9A 4J8</v>
      </c>
      <c r="E3565" s="3" t="str">
        <f>IFERROR(__xludf.DUMMYFUNCTION("""COMPUTED_VALUE"""),"steven mages")</f>
        <v>steven mages</v>
      </c>
      <c r="F3565" s="3" t="str">
        <f>IFERROR(__xludf.DUMMYFUNCTION("""COMPUTED_VALUE"""),"samages@hotmail.ca")</f>
        <v>samages@hotmail.ca</v>
      </c>
      <c r="G3565" s="3">
        <f>IFERROR(__xludf.DUMMYFUNCTION("""COMPUTED_VALUE"""),9.0537307E9)</f>
        <v>9053730700</v>
      </c>
      <c r="H3565" s="3"/>
    </row>
    <row r="3566">
      <c r="A3566" s="2">
        <f>IFERROR(__xludf.DUMMYFUNCTION("""COMPUTED_VALUE"""),40766.0)</f>
        <v>40766</v>
      </c>
      <c r="B3566" s="3" t="str">
        <f>IFERROR(__xludf.DUMMYFUNCTION("""COMPUTED_VALUE"""),"199 LAKESHORE RD")</f>
        <v>199 LAKESHORE RD</v>
      </c>
      <c r="C3566" s="3" t="str">
        <f>IFERROR(__xludf.DUMMYFUNCTION("""COMPUTED_VALUE"""),"COBOURG")</f>
        <v>COBOURG</v>
      </c>
      <c r="D3566" s="3" t="str">
        <f>IFERROR(__xludf.DUMMYFUNCTION("""COMPUTED_VALUE"""),"K9A 4J8")</f>
        <v>K9A 4J8</v>
      </c>
      <c r="E3566" s="3" t="str">
        <f>IFERROR(__xludf.DUMMYFUNCTION("""COMPUTED_VALUE"""),"mary lennox ")</f>
        <v>mary lennox </v>
      </c>
      <c r="F3566" s="3" t="str">
        <f>IFERROR(__xludf.DUMMYFUNCTION("""COMPUTED_VALUE"""),"marylennox@gmail.com")</f>
        <v>marylennox@gmail.com</v>
      </c>
      <c r="G3566" s="3">
        <f>IFERROR(__xludf.DUMMYFUNCTION("""COMPUTED_VALUE"""),9.057069368E9)</f>
        <v>9057069368</v>
      </c>
      <c r="H3566" s="3"/>
    </row>
    <row r="3567">
      <c r="A3567" s="2">
        <f>IFERROR(__xludf.DUMMYFUNCTION("""COMPUTED_VALUE"""),40767.0)</f>
        <v>40767</v>
      </c>
      <c r="B3567" s="3" t="str">
        <f>IFERROR(__xludf.DUMMYFUNCTION("""COMPUTED_VALUE"""),"200 LAKESHORE RD")</f>
        <v>200 LAKESHORE RD</v>
      </c>
      <c r="C3567" s="3" t="str">
        <f>IFERROR(__xludf.DUMMYFUNCTION("""COMPUTED_VALUE"""),"COBOURG")</f>
        <v>COBOURG</v>
      </c>
      <c r="D3567" s="3" t="str">
        <f>IFERROR(__xludf.DUMMYFUNCTION("""COMPUTED_VALUE"""),"K9A 4J8")</f>
        <v>K9A 4J8</v>
      </c>
      <c r="E3567" s="3" t="str">
        <f>IFERROR(__xludf.DUMMYFUNCTION("""COMPUTED_VALUE"""),"wayne nault ")</f>
        <v>wayne nault </v>
      </c>
      <c r="F3567" s="3" t="str">
        <f>IFERROR(__xludf.DUMMYFUNCTION("""COMPUTED_VALUE"""),"burtjenny56@gmail.com")</f>
        <v>burtjenny56@gmail.com</v>
      </c>
      <c r="G3567" s="3">
        <f>IFERROR(__xludf.DUMMYFUNCTION("""COMPUTED_VALUE"""),4.168199146E9)</f>
        <v>4168199146</v>
      </c>
      <c r="H3567" s="3">
        <f>IFERROR(__xludf.DUMMYFUNCTION("""COMPUTED_VALUE"""),4.165623279E9)</f>
        <v>4165623279</v>
      </c>
    </row>
    <row r="3568">
      <c r="A3568" s="2">
        <f>IFERROR(__xludf.DUMMYFUNCTION("""COMPUTED_VALUE"""),40768.0)</f>
        <v>40768</v>
      </c>
      <c r="B3568" s="3" t="str">
        <f>IFERROR(__xludf.DUMMYFUNCTION("""COMPUTED_VALUE"""),"203 LAKESHORE RD")</f>
        <v>203 LAKESHORE RD</v>
      </c>
      <c r="C3568" s="3" t="str">
        <f>IFERROR(__xludf.DUMMYFUNCTION("""COMPUTED_VALUE"""),"COBOURG")</f>
        <v>COBOURG</v>
      </c>
      <c r="D3568" s="3" t="str">
        <f>IFERROR(__xludf.DUMMYFUNCTION("""COMPUTED_VALUE"""),"K9A 4J8")</f>
        <v>K9A 4J8</v>
      </c>
      <c r="E3568" s="3" t="str">
        <f>IFERROR(__xludf.DUMMYFUNCTION("""COMPUTED_VALUE"""),"Michelle Sahni")</f>
        <v>Michelle Sahni</v>
      </c>
      <c r="F3568" s="3" t="str">
        <f>IFERROR(__xludf.DUMMYFUNCTION("""COMPUTED_VALUE"""),"michellesahni@gmail.com")</f>
        <v>michellesahni@gmail.com</v>
      </c>
      <c r="G3568" s="3">
        <f>IFERROR(__xludf.DUMMYFUNCTION("""COMPUTED_VALUE"""),4.166184558E9)</f>
        <v>4166184558</v>
      </c>
      <c r="H3568" s="3"/>
    </row>
    <row r="3569">
      <c r="A3569" s="2">
        <f>IFERROR(__xludf.DUMMYFUNCTION("""COMPUTED_VALUE"""),40769.0)</f>
        <v>40769</v>
      </c>
      <c r="B3569" s="3" t="str">
        <f>IFERROR(__xludf.DUMMYFUNCTION("""COMPUTED_VALUE"""),"227 LAKESHORE RD")</f>
        <v>227 LAKESHORE RD</v>
      </c>
      <c r="C3569" s="3" t="str">
        <f>IFERROR(__xludf.DUMMYFUNCTION("""COMPUTED_VALUE"""),"COBOURG")</f>
        <v>COBOURG</v>
      </c>
      <c r="D3569" s="3" t="str">
        <f>IFERROR(__xludf.DUMMYFUNCTION("""COMPUTED_VALUE"""),"K9A 4J8")</f>
        <v>K9A 4J8</v>
      </c>
      <c r="E3569" s="3" t="str">
        <f>IFERROR(__xludf.DUMMYFUNCTION("""COMPUTED_VALUE"""),"susan mackinnon")</f>
        <v>susan mackinnon</v>
      </c>
      <c r="F3569" s="3" t="str">
        <f>IFERROR(__xludf.DUMMYFUNCTION("""COMPUTED_VALUE"""),"susan.g.mackinnon@gmail.com")</f>
        <v>susan.g.mackinnon@gmail.com</v>
      </c>
      <c r="G3569" s="3">
        <f>IFERROR(__xludf.DUMMYFUNCTION("""COMPUTED_VALUE"""),6.476999003E9)</f>
        <v>6476999003</v>
      </c>
      <c r="H3569" s="3">
        <f>IFERROR(__xludf.DUMMYFUNCTION("""COMPUTED_VALUE"""),2.898860849E9)</f>
        <v>2898860849</v>
      </c>
    </row>
    <row r="3570">
      <c r="A3570" s="2">
        <f>IFERROR(__xludf.DUMMYFUNCTION("""COMPUTED_VALUE"""),40770.0)</f>
        <v>40770</v>
      </c>
      <c r="B3570" s="3" t="str">
        <f>IFERROR(__xludf.DUMMYFUNCTION("""COMPUTED_VALUE"""),"228 LAKESHORE RD")</f>
        <v>228 LAKESHORE RD</v>
      </c>
      <c r="C3570" s="3" t="str">
        <f>IFERROR(__xludf.DUMMYFUNCTION("""COMPUTED_VALUE"""),"COBOURG")</f>
        <v>COBOURG</v>
      </c>
      <c r="D3570" s="3" t="str">
        <f>IFERROR(__xludf.DUMMYFUNCTION("""COMPUTED_VALUE"""),"K9A 4J8")</f>
        <v>K9A 4J8</v>
      </c>
      <c r="E3570" s="3" t="str">
        <f>IFERROR(__xludf.DUMMYFUNCTION("""COMPUTED_VALUE"""),"vansyle")</f>
        <v>vansyle</v>
      </c>
      <c r="F3570" s="3" t="str">
        <f>IFERROR(__xludf.DUMMYFUNCTION("""COMPUTED_VALUE"""),"tudawg11@gmail.com")</f>
        <v>tudawg11@gmail.com</v>
      </c>
      <c r="G3570" s="3">
        <f>IFERROR(__xludf.DUMMYFUNCTION("""COMPUTED_VALUE"""),9.052692974E9)</f>
        <v>9052692974</v>
      </c>
      <c r="H3570" s="3"/>
    </row>
    <row r="3571">
      <c r="A3571" s="2">
        <f>IFERROR(__xludf.DUMMYFUNCTION("""COMPUTED_VALUE"""),40771.0)</f>
        <v>40771</v>
      </c>
      <c r="B3571" s="3" t="str">
        <f>IFERROR(__xludf.DUMMYFUNCTION("""COMPUTED_VALUE"""),"237 LAKESHORE RD")</f>
        <v>237 LAKESHORE RD</v>
      </c>
      <c r="C3571" s="3" t="str">
        <f>IFERROR(__xludf.DUMMYFUNCTION("""COMPUTED_VALUE"""),"COBOURG")</f>
        <v>COBOURG</v>
      </c>
      <c r="D3571" s="3" t="str">
        <f>IFERROR(__xludf.DUMMYFUNCTION("""COMPUTED_VALUE"""),"K9A 4J8")</f>
        <v>K9A 4J8</v>
      </c>
      <c r="E3571" s="3" t="str">
        <f>IFERROR(__xludf.DUMMYFUNCTION("""COMPUTED_VALUE"""),"Ken Ling")</f>
        <v>Ken Ling</v>
      </c>
      <c r="F3571" s="3" t="str">
        <f>IFERROR(__xludf.DUMMYFUNCTION("""COMPUTED_VALUE"""),"ken.w.ling@gmail.com")</f>
        <v>ken.w.ling@gmail.com</v>
      </c>
      <c r="G3571" s="3"/>
      <c r="H3571" s="3"/>
    </row>
    <row r="3572">
      <c r="A3572" s="2">
        <f>IFERROR(__xludf.DUMMYFUNCTION("""COMPUTED_VALUE"""),40772.0)</f>
        <v>40772</v>
      </c>
      <c r="B3572" s="3" t="str">
        <f>IFERROR(__xludf.DUMMYFUNCTION("""COMPUTED_VALUE"""),"241 LAKESHORE RD")</f>
        <v>241 LAKESHORE RD</v>
      </c>
      <c r="C3572" s="3" t="str">
        <f>IFERROR(__xludf.DUMMYFUNCTION("""COMPUTED_VALUE"""),"COBOURG")</f>
        <v>COBOURG</v>
      </c>
      <c r="D3572" s="3" t="str">
        <f>IFERROR(__xludf.DUMMYFUNCTION("""COMPUTED_VALUE"""),"K9A 4J8")</f>
        <v>K9A 4J8</v>
      </c>
      <c r="E3572" s="3" t="str">
        <f>IFERROR(__xludf.DUMMYFUNCTION("""COMPUTED_VALUE"""),"jane mizanshi")</f>
        <v>jane mizanshi</v>
      </c>
      <c r="F3572" s="3" t="str">
        <f>IFERROR(__xludf.DUMMYFUNCTION("""COMPUTED_VALUE"""),"cjmizanski@gmail.com")</f>
        <v>cjmizanski@gmail.com</v>
      </c>
      <c r="G3572" s="3"/>
      <c r="H3572" s="3"/>
    </row>
    <row r="3573">
      <c r="A3573" s="2">
        <f>IFERROR(__xludf.DUMMYFUNCTION("""COMPUTED_VALUE"""),40773.0)</f>
        <v>40773</v>
      </c>
      <c r="B3573" s="3" t="str">
        <f>IFERROR(__xludf.DUMMYFUNCTION("""COMPUTED_VALUE"""),"242 LAKESHORE RD")</f>
        <v>242 LAKESHORE RD</v>
      </c>
      <c r="C3573" s="3" t="str">
        <f>IFERROR(__xludf.DUMMYFUNCTION("""COMPUTED_VALUE"""),"COBOURG")</f>
        <v>COBOURG</v>
      </c>
      <c r="D3573" s="3" t="str">
        <f>IFERROR(__xludf.DUMMYFUNCTION("""COMPUTED_VALUE"""),"K9A 4J8")</f>
        <v>K9A 4J8</v>
      </c>
      <c r="E3573" s="3"/>
      <c r="F3573" s="3"/>
      <c r="G3573" s="3"/>
      <c r="H3573" s="3"/>
    </row>
    <row r="3574">
      <c r="A3574" s="2">
        <f>IFERROR(__xludf.DUMMYFUNCTION("""COMPUTED_VALUE"""),40774.0)</f>
        <v>40774</v>
      </c>
      <c r="B3574" s="3" t="str">
        <f>IFERROR(__xludf.DUMMYFUNCTION("""COMPUTED_VALUE"""),"252 LAKESHORE RD")</f>
        <v>252 LAKESHORE RD</v>
      </c>
      <c r="C3574" s="3" t="str">
        <f>IFERROR(__xludf.DUMMYFUNCTION("""COMPUTED_VALUE"""),"COBOURG")</f>
        <v>COBOURG</v>
      </c>
      <c r="D3574" s="3" t="str">
        <f>IFERROR(__xludf.DUMMYFUNCTION("""COMPUTED_VALUE"""),"K9A 4J8")</f>
        <v>K9A 4J8</v>
      </c>
      <c r="E3574" s="3"/>
      <c r="F3574" s="3"/>
      <c r="G3574" s="3"/>
      <c r="H3574" s="3"/>
    </row>
    <row r="3575">
      <c r="A3575" s="2">
        <f>IFERROR(__xludf.DUMMYFUNCTION("""COMPUTED_VALUE"""),40775.0)</f>
        <v>40775</v>
      </c>
      <c r="B3575" s="3" t="str">
        <f>IFERROR(__xludf.DUMMYFUNCTION("""COMPUTED_VALUE"""),"261 LAKESHORE RD")</f>
        <v>261 LAKESHORE RD</v>
      </c>
      <c r="C3575" s="3" t="str">
        <f>IFERROR(__xludf.DUMMYFUNCTION("""COMPUTED_VALUE"""),"COBOURG")</f>
        <v>COBOURG</v>
      </c>
      <c r="D3575" s="3" t="str">
        <f>IFERROR(__xludf.DUMMYFUNCTION("""COMPUTED_VALUE"""),"K9A 4J8")</f>
        <v>K9A 4J8</v>
      </c>
      <c r="E3575" s="3" t="str">
        <f>IFERROR(__xludf.DUMMYFUNCTION("""COMPUTED_VALUE"""),"Susie Haroutunian")</f>
        <v>Susie Haroutunian</v>
      </c>
      <c r="F3575" s="3" t="str">
        <f>IFERROR(__xludf.DUMMYFUNCTION("""COMPUTED_VALUE"""),"susieharout@yahoo.ca")</f>
        <v>susieharout@yahoo.ca</v>
      </c>
      <c r="G3575" s="3">
        <f>IFERROR(__xludf.DUMMYFUNCTION("""COMPUTED_VALUE"""),9.053493773E9)</f>
        <v>9053493773</v>
      </c>
      <c r="H3575" s="3"/>
    </row>
    <row r="3576">
      <c r="A3576" s="2">
        <f>IFERROR(__xludf.DUMMYFUNCTION("""COMPUTED_VALUE"""),40776.0)</f>
        <v>40776</v>
      </c>
      <c r="B3576" s="3" t="str">
        <f>IFERROR(__xludf.DUMMYFUNCTION("""COMPUTED_VALUE"""),"266 LAKESHORE RD")</f>
        <v>266 LAKESHORE RD</v>
      </c>
      <c r="C3576" s="3" t="str">
        <f>IFERROR(__xludf.DUMMYFUNCTION("""COMPUTED_VALUE"""),"COBOURG")</f>
        <v>COBOURG</v>
      </c>
      <c r="D3576" s="3" t="str">
        <f>IFERROR(__xludf.DUMMYFUNCTION("""COMPUTED_VALUE"""),"K9A 4J8")</f>
        <v>K9A 4J8</v>
      </c>
      <c r="E3576" s="3" t="str">
        <f>IFERROR(__xludf.DUMMYFUNCTION("""COMPUTED_VALUE"""),"herb boughner")</f>
        <v>herb boughner</v>
      </c>
      <c r="F3576" s="3" t="str">
        <f>IFERROR(__xludf.DUMMYFUNCTION("""COMPUTED_VALUE"""),"moeherb@gmail.com")</f>
        <v>moeherb@gmail.com</v>
      </c>
      <c r="G3576" s="3">
        <f>IFERROR(__xludf.DUMMYFUNCTION("""COMPUTED_VALUE"""),9.053493124E9)</f>
        <v>9053493124</v>
      </c>
      <c r="H3576" s="3"/>
    </row>
    <row r="3577">
      <c r="A3577" s="2">
        <f>IFERROR(__xludf.DUMMYFUNCTION("""COMPUTED_VALUE"""),40777.0)</f>
        <v>40777</v>
      </c>
      <c r="B3577" s="3" t="str">
        <f>IFERROR(__xludf.DUMMYFUNCTION("""COMPUTED_VALUE"""),"271 LAKESHORE RD")</f>
        <v>271 LAKESHORE RD</v>
      </c>
      <c r="C3577" s="3" t="str">
        <f>IFERROR(__xludf.DUMMYFUNCTION("""COMPUTED_VALUE"""),"COBOURG")</f>
        <v>COBOURG</v>
      </c>
      <c r="D3577" s="3" t="str">
        <f>IFERROR(__xludf.DUMMYFUNCTION("""COMPUTED_VALUE"""),"K9A 4J8")</f>
        <v>K9A 4J8</v>
      </c>
      <c r="E3577" s="3" t="str">
        <f>IFERROR(__xludf.DUMMYFUNCTION("""COMPUTED_VALUE"""),"Martin McMillan")</f>
        <v>Martin McMillan</v>
      </c>
      <c r="F3577" s="3" t="str">
        <f>IFERROR(__xludf.DUMMYFUNCTION("""COMPUTED_VALUE"""),"mmcm270869@hotmail.com")</f>
        <v>mmcm270869@hotmail.com</v>
      </c>
      <c r="G3577" s="3">
        <f>IFERROR(__xludf.DUMMYFUNCTION("""COMPUTED_VALUE"""),9.0539642E9)</f>
        <v>9053964200</v>
      </c>
      <c r="H3577" s="3"/>
    </row>
    <row r="3578">
      <c r="A3578" s="2">
        <f>IFERROR(__xludf.DUMMYFUNCTION("""COMPUTED_VALUE"""),40778.0)</f>
        <v>40778</v>
      </c>
      <c r="B3578" s="3" t="str">
        <f>IFERROR(__xludf.DUMMYFUNCTION("""COMPUTED_VALUE"""),"282 LAKESHORE RD")</f>
        <v>282 LAKESHORE RD</v>
      </c>
      <c r="C3578" s="3" t="str">
        <f>IFERROR(__xludf.DUMMYFUNCTION("""COMPUTED_VALUE"""),"COBOURG")</f>
        <v>COBOURG</v>
      </c>
      <c r="D3578" s="3" t="str">
        <f>IFERROR(__xludf.DUMMYFUNCTION("""COMPUTED_VALUE"""),"K9A 4J8")</f>
        <v>K9A 4J8</v>
      </c>
      <c r="E3578" s="3" t="str">
        <f>IFERROR(__xludf.DUMMYFUNCTION("""COMPUTED_VALUE"""),"Jimmy Dzambazov")</f>
        <v>Jimmy Dzambazov</v>
      </c>
      <c r="F3578" s="3" t="str">
        <f>IFERROR(__xludf.DUMMYFUNCTION("""COMPUTED_VALUE"""),"jimmy@dzambazov.ca")</f>
        <v>jimmy@dzambazov.ca</v>
      </c>
      <c r="G3578" s="3">
        <f>IFERROR(__xludf.DUMMYFUNCTION("""COMPUTED_VALUE"""),6.479783165E9)</f>
        <v>6479783165</v>
      </c>
      <c r="H3578" s="3"/>
    </row>
    <row r="3579">
      <c r="A3579" s="2">
        <f>IFERROR(__xludf.DUMMYFUNCTION("""COMPUTED_VALUE"""),40779.0)</f>
        <v>40779</v>
      </c>
      <c r="B3579" s="3" t="str">
        <f>IFERROR(__xludf.DUMMYFUNCTION("""COMPUTED_VALUE"""),"290 LAKESHORE RD")</f>
        <v>290 LAKESHORE RD</v>
      </c>
      <c r="C3579" s="3" t="str">
        <f>IFERROR(__xludf.DUMMYFUNCTION("""COMPUTED_VALUE"""),"COBOURG")</f>
        <v>COBOURG</v>
      </c>
      <c r="D3579" s="3" t="str">
        <f>IFERROR(__xludf.DUMMYFUNCTION("""COMPUTED_VALUE"""),"K9A 4J8")</f>
        <v>K9A 4J8</v>
      </c>
      <c r="E3579" s="3" t="str">
        <f>IFERROR(__xludf.DUMMYFUNCTION("""COMPUTED_VALUE"""),"peter majewski")</f>
        <v>peter majewski</v>
      </c>
      <c r="F3579" s="3" t="str">
        <f>IFERROR(__xludf.DUMMYFUNCTION("""COMPUTED_VALUE"""),"peter.majewski77@gmail.com")</f>
        <v>peter.majewski77@gmail.com</v>
      </c>
      <c r="G3579" s="3">
        <f>IFERROR(__xludf.DUMMYFUNCTION("""COMPUTED_VALUE"""),9.057467547E9)</f>
        <v>9057467547</v>
      </c>
      <c r="H3579" s="3"/>
    </row>
    <row r="3580">
      <c r="A3580" s="2">
        <f>IFERROR(__xludf.DUMMYFUNCTION("""COMPUTED_VALUE"""),40780.0)</f>
        <v>40780</v>
      </c>
      <c r="B3580" s="3" t="str">
        <f>IFERROR(__xludf.DUMMYFUNCTION("""COMPUTED_VALUE"""),"291 LAKESHORE RD")</f>
        <v>291 LAKESHORE RD</v>
      </c>
      <c r="C3580" s="3" t="str">
        <f>IFERROR(__xludf.DUMMYFUNCTION("""COMPUTED_VALUE"""),"COBOURG")</f>
        <v>COBOURG</v>
      </c>
      <c r="D3580" s="3" t="str">
        <f>IFERROR(__xludf.DUMMYFUNCTION("""COMPUTED_VALUE"""),"K9A 4J8")</f>
        <v>K9A 4J8</v>
      </c>
      <c r="E3580" s="3" t="str">
        <f>IFERROR(__xludf.DUMMYFUNCTION("""COMPUTED_VALUE"""),"heather milroy ")</f>
        <v>heather milroy </v>
      </c>
      <c r="F3580" s="3" t="str">
        <f>IFERROR(__xludf.DUMMYFUNCTION("""COMPUTED_VALUE"""),"moremilroy2@gmail.com")</f>
        <v>moremilroy2@gmail.com</v>
      </c>
      <c r="G3580" s="3">
        <f>IFERROR(__xludf.DUMMYFUNCTION("""COMPUTED_VALUE"""),2.898290029E9)</f>
        <v>2898290029</v>
      </c>
      <c r="H3580" s="3"/>
    </row>
    <row r="3581">
      <c r="A3581" s="2">
        <f>IFERROR(__xludf.DUMMYFUNCTION("""COMPUTED_VALUE"""),40781.0)</f>
        <v>40781</v>
      </c>
      <c r="B3581" s="3" t="str">
        <f>IFERROR(__xludf.DUMMYFUNCTION("""COMPUTED_VALUE"""),"343 LAKESHORE RD")</f>
        <v>343 LAKESHORE RD</v>
      </c>
      <c r="C3581" s="3" t="str">
        <f>IFERROR(__xludf.DUMMYFUNCTION("""COMPUTED_VALUE"""),"COBOURG")</f>
        <v>COBOURG</v>
      </c>
      <c r="D3581" s="3" t="str">
        <f>IFERROR(__xludf.DUMMYFUNCTION("""COMPUTED_VALUE"""),"K9A 4J8")</f>
        <v>K9A 4J8</v>
      </c>
      <c r="E3581" s="3"/>
      <c r="F3581" s="3"/>
      <c r="G3581" s="3"/>
      <c r="H3581" s="3"/>
    </row>
    <row r="3582">
      <c r="A3582" s="2">
        <f>IFERROR(__xludf.DUMMYFUNCTION("""COMPUTED_VALUE"""),40782.0)</f>
        <v>40782</v>
      </c>
      <c r="B3582" s="3" t="str">
        <f>IFERROR(__xludf.DUMMYFUNCTION("""COMPUTED_VALUE"""),"353 LAKESHORE RD")</f>
        <v>353 LAKESHORE RD</v>
      </c>
      <c r="C3582" s="3" t="str">
        <f>IFERROR(__xludf.DUMMYFUNCTION("""COMPUTED_VALUE"""),"COBOURG")</f>
        <v>COBOURG</v>
      </c>
      <c r="D3582" s="3" t="str">
        <f>IFERROR(__xludf.DUMMYFUNCTION("""COMPUTED_VALUE"""),"K9A 4J8")</f>
        <v>K9A 4J8</v>
      </c>
      <c r="E3582" s="3" t="str">
        <f>IFERROR(__xludf.DUMMYFUNCTION("""COMPUTED_VALUE"""),"Leonita Vaz")</f>
        <v>Leonita Vaz</v>
      </c>
      <c r="F3582" s="3" t="str">
        <f>IFERROR(__xludf.DUMMYFUNCTION("""COMPUTED_VALUE"""),"onvaz.work@gmail.com")</f>
        <v>onvaz.work@gmail.com</v>
      </c>
      <c r="G3582" s="3">
        <f>IFERROR(__xludf.DUMMYFUNCTION("""COMPUTED_VALUE"""),6.475048878E9)</f>
        <v>6475048878</v>
      </c>
      <c r="H3582" s="3">
        <f>IFERROR(__xludf.DUMMYFUNCTION("""COMPUTED_VALUE"""),4.162003889E9)</f>
        <v>4162003889</v>
      </c>
    </row>
    <row r="3583">
      <c r="A3583" s="2">
        <f>IFERROR(__xludf.DUMMYFUNCTION("""COMPUTED_VALUE"""),40783.0)</f>
        <v>40783</v>
      </c>
      <c r="B3583" s="3" t="str">
        <f>IFERROR(__xludf.DUMMYFUNCTION("""COMPUTED_VALUE"""),"365 LAKESHORE RD")</f>
        <v>365 LAKESHORE RD</v>
      </c>
      <c r="C3583" s="3" t="str">
        <f>IFERROR(__xludf.DUMMYFUNCTION("""COMPUTED_VALUE"""),"COBOURG")</f>
        <v>COBOURG</v>
      </c>
      <c r="D3583" s="3" t="str">
        <f>IFERROR(__xludf.DUMMYFUNCTION("""COMPUTED_VALUE"""),"K9A 4J8")</f>
        <v>K9A 4J8</v>
      </c>
      <c r="E3583" s="3" t="str">
        <f>IFERROR(__xludf.DUMMYFUNCTION("""COMPUTED_VALUE"""),"Nicole waters")</f>
        <v>Nicole waters</v>
      </c>
      <c r="F3583" s="3" t="str">
        <f>IFERROR(__xludf.DUMMYFUNCTION("""COMPUTED_VALUE"""),"nicole.w@trentonmfrc.ca")</f>
        <v>nicole.w@trentonmfrc.ca</v>
      </c>
      <c r="G3583" s="3">
        <f>IFERROR(__xludf.DUMMYFUNCTION("""COMPUTED_VALUE"""),6.136617688E9)</f>
        <v>6136617688</v>
      </c>
      <c r="H3583" s="3"/>
    </row>
    <row r="3584">
      <c r="A3584" s="2">
        <f>IFERROR(__xludf.DUMMYFUNCTION("""COMPUTED_VALUE"""),40784.0)</f>
        <v>40784</v>
      </c>
      <c r="B3584" s="3" t="str">
        <f>IFERROR(__xludf.DUMMYFUNCTION("""COMPUTED_VALUE"""),"379 LAKESHORE RD")</f>
        <v>379 LAKESHORE RD</v>
      </c>
      <c r="C3584" s="3" t="str">
        <f>IFERROR(__xludf.DUMMYFUNCTION("""COMPUTED_VALUE"""),"COBOURG")</f>
        <v>COBOURG</v>
      </c>
      <c r="D3584" s="3" t="str">
        <f>IFERROR(__xludf.DUMMYFUNCTION("""COMPUTED_VALUE"""),"K9A 4J8")</f>
        <v>K9A 4J8</v>
      </c>
      <c r="E3584" s="3" t="str">
        <f>IFERROR(__xludf.DUMMYFUNCTION("""COMPUTED_VALUE"""),"Graham Bishop")</f>
        <v>Graham Bishop</v>
      </c>
      <c r="F3584" s="3" t="str">
        <f>IFERROR(__xludf.DUMMYFUNCTION("""COMPUTED_VALUE"""),"bishopsbay379@gmail.com")</f>
        <v>bishopsbay379@gmail.com</v>
      </c>
      <c r="G3584" s="3"/>
      <c r="H3584" s="3"/>
    </row>
    <row r="3585">
      <c r="A3585" s="2">
        <f>IFERROR(__xludf.DUMMYFUNCTION("""COMPUTED_VALUE"""),40785.0)</f>
        <v>40785</v>
      </c>
      <c r="B3585" s="3" t="str">
        <f>IFERROR(__xludf.DUMMYFUNCTION("""COMPUTED_VALUE"""),"388 LAKESHORE RD")</f>
        <v>388 LAKESHORE RD</v>
      </c>
      <c r="C3585" s="3" t="str">
        <f>IFERROR(__xludf.DUMMYFUNCTION("""COMPUTED_VALUE"""),"COBOURG")</f>
        <v>COBOURG</v>
      </c>
      <c r="D3585" s="3" t="str">
        <f>IFERROR(__xludf.DUMMYFUNCTION("""COMPUTED_VALUE"""),"K9A 4J8")</f>
        <v>K9A 4J8</v>
      </c>
      <c r="E3585" s="3" t="str">
        <f>IFERROR(__xludf.DUMMYFUNCTION("""COMPUTED_VALUE"""),"sandy wood ")</f>
        <v>sandy wood </v>
      </c>
      <c r="F3585" s="3" t="str">
        <f>IFERROR(__xludf.DUMMYFUNCTION("""COMPUTED_VALUE"""),"sandyannewood@gmail.com")</f>
        <v>sandyannewood@gmail.com</v>
      </c>
      <c r="G3585" s="3">
        <f>IFERROR(__xludf.DUMMYFUNCTION("""COMPUTED_VALUE"""),2.892512044E9)</f>
        <v>2892512044</v>
      </c>
      <c r="H3585" s="3"/>
    </row>
    <row r="3586">
      <c r="A3586" s="2">
        <f>IFERROR(__xludf.DUMMYFUNCTION("""COMPUTED_VALUE"""),40786.0)</f>
        <v>40786</v>
      </c>
      <c r="B3586" s="3" t="str">
        <f>IFERROR(__xludf.DUMMYFUNCTION("""COMPUTED_VALUE"""),"389 LAKESHORE RD")</f>
        <v>389 LAKESHORE RD</v>
      </c>
      <c r="C3586" s="3" t="str">
        <f>IFERROR(__xludf.DUMMYFUNCTION("""COMPUTED_VALUE"""),"COBOURG")</f>
        <v>COBOURG</v>
      </c>
      <c r="D3586" s="3" t="str">
        <f>IFERROR(__xludf.DUMMYFUNCTION("""COMPUTED_VALUE"""),"K9A 4J8")</f>
        <v>K9A 4J8</v>
      </c>
      <c r="E3586" s="3" t="str">
        <f>IFERROR(__xludf.DUMMYFUNCTION("""COMPUTED_VALUE"""),"Andy Moeck")</f>
        <v>Andy Moeck</v>
      </c>
      <c r="F3586" s="3" t="str">
        <f>IFERROR(__xludf.DUMMYFUNCTION("""COMPUTED_VALUE"""),"andy.moeck99@gmail.com")</f>
        <v>andy.moeck99@gmail.com</v>
      </c>
      <c r="G3586" s="3">
        <f>IFERROR(__xludf.DUMMYFUNCTION("""COMPUTED_VALUE"""),6.476746123E9)</f>
        <v>6476746123</v>
      </c>
      <c r="H3586" s="3"/>
    </row>
    <row r="3587">
      <c r="A3587" s="2">
        <f>IFERROR(__xludf.DUMMYFUNCTION("""COMPUTED_VALUE"""),40787.0)</f>
        <v>40787</v>
      </c>
      <c r="B3587" s="3" t="str">
        <f>IFERROR(__xludf.DUMMYFUNCTION("""COMPUTED_VALUE"""),"401 LAKESHORE RD")</f>
        <v>401 LAKESHORE RD</v>
      </c>
      <c r="C3587" s="3" t="str">
        <f>IFERROR(__xludf.DUMMYFUNCTION("""COMPUTED_VALUE"""),"COBOURG")</f>
        <v>COBOURG</v>
      </c>
      <c r="D3587" s="3" t="str">
        <f>IFERROR(__xludf.DUMMYFUNCTION("""COMPUTED_VALUE"""),"K9A 4J8")</f>
        <v>K9A 4J8</v>
      </c>
      <c r="E3587" s="3" t="str">
        <f>IFERROR(__xludf.DUMMYFUNCTION("""COMPUTED_VALUE"""),"peccia bini")</f>
        <v>peccia bini</v>
      </c>
      <c r="F3587" s="3" t="str">
        <f>IFERROR(__xludf.DUMMYFUNCTION("""COMPUTED_VALUE"""),"bini@live.ca")</f>
        <v>bini@live.ca</v>
      </c>
      <c r="G3587" s="3">
        <f>IFERROR(__xludf.DUMMYFUNCTION("""COMPUTED_VALUE"""),4.169278953E9)</f>
        <v>4169278953</v>
      </c>
      <c r="H3587" s="3"/>
    </row>
    <row r="3588">
      <c r="A3588" s="2">
        <f>IFERROR(__xludf.DUMMYFUNCTION("""COMPUTED_VALUE"""),40788.0)</f>
        <v>40788</v>
      </c>
      <c r="B3588" s="3" t="str">
        <f>IFERROR(__xludf.DUMMYFUNCTION("""COMPUTED_VALUE"""),"433 LAKESHORE RD")</f>
        <v>433 LAKESHORE RD</v>
      </c>
      <c r="C3588" s="3" t="str">
        <f>IFERROR(__xludf.DUMMYFUNCTION("""COMPUTED_VALUE"""),"COBOURG")</f>
        <v>COBOURG</v>
      </c>
      <c r="D3588" s="3" t="str">
        <f>IFERROR(__xludf.DUMMYFUNCTION("""COMPUTED_VALUE"""),"K9A 4J8")</f>
        <v>K9A 4J8</v>
      </c>
      <c r="E3588" s="3"/>
      <c r="F3588" s="3"/>
      <c r="G3588" s="3"/>
      <c r="H3588" s="3"/>
    </row>
    <row r="3589">
      <c r="A3589" s="2">
        <f>IFERROR(__xludf.DUMMYFUNCTION("""COMPUTED_VALUE"""),40789.0)</f>
        <v>40789</v>
      </c>
      <c r="B3589" s="3" t="str">
        <f>IFERROR(__xludf.DUMMYFUNCTION("""COMPUTED_VALUE"""),"441 LAKESHORE RD")</f>
        <v>441 LAKESHORE RD</v>
      </c>
      <c r="C3589" s="3" t="str">
        <f>IFERROR(__xludf.DUMMYFUNCTION("""COMPUTED_VALUE"""),"COBOURG")</f>
        <v>COBOURG</v>
      </c>
      <c r="D3589" s="3" t="str">
        <f>IFERROR(__xludf.DUMMYFUNCTION("""COMPUTED_VALUE"""),"K9A 4J8")</f>
        <v>K9A 4J8</v>
      </c>
      <c r="E3589" s="3"/>
      <c r="F3589" s="3"/>
      <c r="G3589" s="3"/>
      <c r="H3589" s="3"/>
    </row>
    <row r="3590">
      <c r="A3590" s="2">
        <f>IFERROR(__xludf.DUMMYFUNCTION("""COMPUTED_VALUE"""),40790.0)</f>
        <v>40790</v>
      </c>
      <c r="B3590" s="3" t="str">
        <f>IFERROR(__xludf.DUMMYFUNCTION("""COMPUTED_VALUE"""),"455 LAKESHORE RD")</f>
        <v>455 LAKESHORE RD</v>
      </c>
      <c r="C3590" s="3" t="str">
        <f>IFERROR(__xludf.DUMMYFUNCTION("""COMPUTED_VALUE"""),"COBOURG")</f>
        <v>COBOURG</v>
      </c>
      <c r="D3590" s="3" t="str">
        <f>IFERROR(__xludf.DUMMYFUNCTION("""COMPUTED_VALUE"""),"K9A 4J8")</f>
        <v>K9A 4J8</v>
      </c>
      <c r="E3590" s="3" t="str">
        <f>IFERROR(__xludf.DUMMYFUNCTION("""COMPUTED_VALUE"""),"Brendan Nolan")</f>
        <v>Brendan Nolan</v>
      </c>
      <c r="F3590" s="3" t="str">
        <f>IFERROR(__xludf.DUMMYFUNCTION("""COMPUTED_VALUE"""),"mbnolan455@gmail.com")</f>
        <v>mbnolan455@gmail.com</v>
      </c>
      <c r="G3590" s="3">
        <f>IFERROR(__xludf.DUMMYFUNCTION("""COMPUTED_VALUE"""),4.167388104E9)</f>
        <v>4167388104</v>
      </c>
      <c r="H3590" s="3">
        <f>IFERROR(__xludf.DUMMYFUNCTION("""COMPUTED_VALUE"""),9.05349364E9)</f>
        <v>9053493640</v>
      </c>
    </row>
    <row r="3591">
      <c r="A3591" s="2">
        <f>IFERROR(__xludf.DUMMYFUNCTION("""COMPUTED_VALUE"""),40791.0)</f>
        <v>40791</v>
      </c>
      <c r="B3591" s="3" t="str">
        <f>IFERROR(__xludf.DUMMYFUNCTION("""COMPUTED_VALUE"""),"461 LAKESHORE RD")</f>
        <v>461 LAKESHORE RD</v>
      </c>
      <c r="C3591" s="3" t="str">
        <f>IFERROR(__xludf.DUMMYFUNCTION("""COMPUTED_VALUE"""),"COBOURG")</f>
        <v>COBOURG</v>
      </c>
      <c r="D3591" s="3" t="str">
        <f>IFERROR(__xludf.DUMMYFUNCTION("""COMPUTED_VALUE"""),"K9A 4J8")</f>
        <v>K9A 4J8</v>
      </c>
      <c r="E3591" s="3" t="str">
        <f>IFERROR(__xludf.DUMMYFUNCTION("""COMPUTED_VALUE"""),"john mcpherson")</f>
        <v>john mcpherson</v>
      </c>
      <c r="F3591" s="3" t="str">
        <f>IFERROR(__xludf.DUMMYFUNCTION("""COMPUTED_VALUE"""),"johnmcpherson8900@gmail.com")</f>
        <v>johnmcpherson8900@gmail.com</v>
      </c>
      <c r="G3591" s="3">
        <f>IFERROR(__xludf.DUMMYFUNCTION("""COMPUTED_VALUE"""),9.056226089E9)</f>
        <v>9056226089</v>
      </c>
      <c r="H3591" s="3"/>
    </row>
    <row r="3592">
      <c r="A3592" s="2">
        <f>IFERROR(__xludf.DUMMYFUNCTION("""COMPUTED_VALUE"""),40792.0)</f>
        <v>40792</v>
      </c>
      <c r="B3592" s="3" t="str">
        <f>IFERROR(__xludf.DUMMYFUNCTION("""COMPUTED_VALUE"""),"479 LAKESHORE RD")</f>
        <v>479 LAKESHORE RD</v>
      </c>
      <c r="C3592" s="3" t="str">
        <f>IFERROR(__xludf.DUMMYFUNCTION("""COMPUTED_VALUE"""),"COBOURG")</f>
        <v>COBOURG</v>
      </c>
      <c r="D3592" s="3" t="str">
        <f>IFERROR(__xludf.DUMMYFUNCTION("""COMPUTED_VALUE"""),"K9A 4J8")</f>
        <v>K9A 4J8</v>
      </c>
      <c r="E3592" s="3" t="str">
        <f>IFERROR(__xludf.DUMMYFUNCTION("""COMPUTED_VALUE"""),"Sekar Vupputuri")</f>
        <v>Sekar Vupputuri</v>
      </c>
      <c r="F3592" s="3" t="str">
        <f>IFERROR(__xludf.DUMMYFUNCTION("""COMPUTED_VALUE"""),"saker33@gmail.com")</f>
        <v>saker33@gmail.com</v>
      </c>
      <c r="G3592" s="3">
        <f>IFERROR(__xludf.DUMMYFUNCTION("""COMPUTED_VALUE"""),4.162006072E9)</f>
        <v>4162006072</v>
      </c>
      <c r="H3592" s="3"/>
    </row>
    <row r="3593">
      <c r="A3593" s="2">
        <f>IFERROR(__xludf.DUMMYFUNCTION("""COMPUTED_VALUE"""),40793.0)</f>
        <v>40793</v>
      </c>
      <c r="B3593" s="3" t="str">
        <f>IFERROR(__xludf.DUMMYFUNCTION("""COMPUTED_VALUE"""),"502 LAKESHORE RD")</f>
        <v>502 LAKESHORE RD</v>
      </c>
      <c r="C3593" s="3" t="str">
        <f>IFERROR(__xludf.DUMMYFUNCTION("""COMPUTED_VALUE"""),"COBOURG")</f>
        <v>COBOURG</v>
      </c>
      <c r="D3593" s="3" t="str">
        <f>IFERROR(__xludf.DUMMYFUNCTION("""COMPUTED_VALUE"""),"K9A 1S3")</f>
        <v>K9A 1S3</v>
      </c>
      <c r="E3593" s="3"/>
      <c r="F3593" s="3"/>
      <c r="G3593" s="3"/>
      <c r="H3593" s="3"/>
    </row>
    <row r="3594">
      <c r="A3594" s="2">
        <f>IFERROR(__xludf.DUMMYFUNCTION("""COMPUTED_VALUE"""),40795.0)</f>
        <v>40795</v>
      </c>
      <c r="B3594" s="3" t="str">
        <f>IFERROR(__xludf.DUMMYFUNCTION("""COMPUTED_VALUE"""),"624 LAKESHORE RD")</f>
        <v>624 LAKESHORE RD</v>
      </c>
      <c r="C3594" s="3" t="str">
        <f>IFERROR(__xludf.DUMMYFUNCTION("""COMPUTED_VALUE"""),"GRAFTON ")</f>
        <v>GRAFTON </v>
      </c>
      <c r="D3594" s="3" t="str">
        <f>IFERROR(__xludf.DUMMYFUNCTION("""COMPUTED_VALUE"""),"K0K 2G0")</f>
        <v>K0K 2G0</v>
      </c>
      <c r="E3594" s="3" t="str">
        <f>IFERROR(__xludf.DUMMYFUNCTION("""COMPUTED_VALUE"""),"JAROSLAW BRODZIUK")</f>
        <v>JAROSLAW BRODZIUK</v>
      </c>
      <c r="F3594" s="3" t="str">
        <f>IFERROR(__xludf.DUMMYFUNCTION("""COMPUTED_VALUE"""),"jarkob@yahoo.com")</f>
        <v>jarkob@yahoo.com</v>
      </c>
      <c r="G3594" s="3"/>
      <c r="H3594" s="3"/>
    </row>
    <row r="3595">
      <c r="A3595" s="2">
        <f>IFERROR(__xludf.DUMMYFUNCTION("""COMPUTED_VALUE"""),40796.0)</f>
        <v>40796</v>
      </c>
      <c r="B3595" s="3" t="str">
        <f>IFERROR(__xludf.DUMMYFUNCTION("""COMPUTED_VALUE"""),"628 LAKESHORE RD")</f>
        <v>628 LAKESHORE RD</v>
      </c>
      <c r="C3595" s="3" t="str">
        <f>IFERROR(__xludf.DUMMYFUNCTION("""COMPUTED_VALUE"""),"GRAFTON ")</f>
        <v>GRAFTON </v>
      </c>
      <c r="D3595" s="3" t="str">
        <f>IFERROR(__xludf.DUMMYFUNCTION("""COMPUTED_VALUE"""),"K0K 2G0")</f>
        <v>K0K 2G0</v>
      </c>
      <c r="E3595" s="3"/>
      <c r="F3595" s="3"/>
      <c r="G3595" s="3"/>
      <c r="H3595" s="3"/>
    </row>
    <row r="3596">
      <c r="A3596" s="2">
        <f>IFERROR(__xludf.DUMMYFUNCTION("""COMPUTED_VALUE"""),40797.0)</f>
        <v>40797</v>
      </c>
      <c r="B3596" s="3" t="str">
        <f>IFERROR(__xludf.DUMMYFUNCTION("""COMPUTED_VALUE"""),"678 LAKESHORE RD")</f>
        <v>678 LAKESHORE RD</v>
      </c>
      <c r="C3596" s="3" t="str">
        <f>IFERROR(__xludf.DUMMYFUNCTION("""COMPUTED_VALUE"""),"GRAFTON ")</f>
        <v>GRAFTON </v>
      </c>
      <c r="D3596" s="3" t="str">
        <f>IFERROR(__xludf.DUMMYFUNCTION("""COMPUTED_VALUE"""),"K0K 2G0")</f>
        <v>K0K 2G0</v>
      </c>
      <c r="E3596" s="3"/>
      <c r="F3596" s="3"/>
      <c r="G3596" s="3"/>
      <c r="H3596" s="3"/>
    </row>
    <row r="3597">
      <c r="A3597" s="2">
        <f>IFERROR(__xludf.DUMMYFUNCTION("""COMPUTED_VALUE"""),40798.0)</f>
        <v>40798</v>
      </c>
      <c r="B3597" s="3" t="str">
        <f>IFERROR(__xludf.DUMMYFUNCTION("""COMPUTED_VALUE"""),"702 LAKESHORE RD")</f>
        <v>702 LAKESHORE RD</v>
      </c>
      <c r="C3597" s="3" t="str">
        <f>IFERROR(__xludf.DUMMYFUNCTION("""COMPUTED_VALUE"""),"GRAFTON ")</f>
        <v>GRAFTON </v>
      </c>
      <c r="D3597" s="3" t="str">
        <f>IFERROR(__xludf.DUMMYFUNCTION("""COMPUTED_VALUE"""),"K0K 2G0")</f>
        <v>K0K 2G0</v>
      </c>
      <c r="E3597" s="3"/>
      <c r="F3597" s="3"/>
      <c r="G3597" s="3"/>
      <c r="H3597" s="3"/>
    </row>
    <row r="3598">
      <c r="A3598" s="2">
        <f>IFERROR(__xludf.DUMMYFUNCTION("""COMPUTED_VALUE"""),40799.0)</f>
        <v>40799</v>
      </c>
      <c r="B3598" s="3" t="str">
        <f>IFERROR(__xludf.DUMMYFUNCTION("""COMPUTED_VALUE"""),"705 LAKESHORE RD")</f>
        <v>705 LAKESHORE RD</v>
      </c>
      <c r="C3598" s="3" t="str">
        <f>IFERROR(__xludf.DUMMYFUNCTION("""COMPUTED_VALUE"""),"GRAFTON ")</f>
        <v>GRAFTON </v>
      </c>
      <c r="D3598" s="3" t="str">
        <f>IFERROR(__xludf.DUMMYFUNCTION("""COMPUTED_VALUE"""),"K0K 2G0")</f>
        <v>K0K 2G0</v>
      </c>
      <c r="E3598" s="3"/>
      <c r="F3598" s="3"/>
      <c r="G3598" s="3"/>
      <c r="H3598" s="3"/>
    </row>
    <row r="3599">
      <c r="A3599" s="2">
        <f>IFERROR(__xludf.DUMMYFUNCTION("""COMPUTED_VALUE"""),40800.0)</f>
        <v>40800</v>
      </c>
      <c r="B3599" s="3" t="str">
        <f>IFERROR(__xludf.DUMMYFUNCTION("""COMPUTED_VALUE"""),"721 LAKESHORE RD")</f>
        <v>721 LAKESHORE RD</v>
      </c>
      <c r="C3599" s="3" t="str">
        <f>IFERROR(__xludf.DUMMYFUNCTION("""COMPUTED_VALUE"""),"GRAFTON ")</f>
        <v>GRAFTON </v>
      </c>
      <c r="D3599" s="3" t="str">
        <f>IFERROR(__xludf.DUMMYFUNCTION("""COMPUTED_VALUE"""),"K0K 2G0")</f>
        <v>K0K 2G0</v>
      </c>
      <c r="E3599" s="3" t="str">
        <f>IFERROR(__xludf.DUMMYFUNCTION("""COMPUTED_VALUE"""),"Shannon Gilmour")</f>
        <v>Shannon Gilmour</v>
      </c>
      <c r="F3599" s="3" t="str">
        <f>IFERROR(__xludf.DUMMYFUNCTION("""COMPUTED_VALUE"""),"shannon.l.gilmour@gmail.com")</f>
        <v>shannon.l.gilmour@gmail.com</v>
      </c>
      <c r="G3599" s="3">
        <f>IFERROR(__xludf.DUMMYFUNCTION("""COMPUTED_VALUE"""),9.053757324E9)</f>
        <v>9053757324</v>
      </c>
      <c r="H3599" s="3">
        <f>IFERROR(__xludf.DUMMYFUNCTION("""COMPUTED_VALUE"""),9.053732611E9)</f>
        <v>9053732611</v>
      </c>
    </row>
    <row r="3600">
      <c r="A3600" s="2">
        <f>IFERROR(__xludf.DUMMYFUNCTION("""COMPUTED_VALUE"""),40801.0)</f>
        <v>40801</v>
      </c>
      <c r="B3600" s="3" t="str">
        <f>IFERROR(__xludf.DUMMYFUNCTION("""COMPUTED_VALUE"""),"744 LAKESHORE RD")</f>
        <v>744 LAKESHORE RD</v>
      </c>
      <c r="C3600" s="3" t="str">
        <f>IFERROR(__xludf.DUMMYFUNCTION("""COMPUTED_VALUE"""),"GRAFTON ")</f>
        <v>GRAFTON </v>
      </c>
      <c r="D3600" s="3" t="str">
        <f>IFERROR(__xludf.DUMMYFUNCTION("""COMPUTED_VALUE"""),"K0K 2G0")</f>
        <v>K0K 2G0</v>
      </c>
      <c r="E3600" s="3" t="str">
        <f>IFERROR(__xludf.DUMMYFUNCTION("""COMPUTED_VALUE"""),"Mark &amp; Ashley Macklin")</f>
        <v>Mark &amp; Ashley Macklin</v>
      </c>
      <c r="F3600" s="3" t="str">
        <f>IFERROR(__xludf.DUMMYFUNCTION("""COMPUTED_VALUE"""),"ashblackler@gmail.com")</f>
        <v>ashblackler@gmail.com</v>
      </c>
      <c r="G3600" s="3">
        <f>IFERROR(__xludf.DUMMYFUNCTION("""COMPUTED_VALUE"""),9.052692758E9)</f>
        <v>9052692758</v>
      </c>
      <c r="H3600" s="3">
        <f>IFERROR(__xludf.DUMMYFUNCTION("""COMPUTED_VALUE"""),4.166781502E9)</f>
        <v>4166781502</v>
      </c>
    </row>
    <row r="3601">
      <c r="A3601" s="2">
        <f>IFERROR(__xludf.DUMMYFUNCTION("""COMPUTED_VALUE"""),40802.0)</f>
        <v>40802</v>
      </c>
      <c r="B3601" s="3" t="str">
        <f>IFERROR(__xludf.DUMMYFUNCTION("""COMPUTED_VALUE"""),"758 LAKESHORE RD")</f>
        <v>758 LAKESHORE RD</v>
      </c>
      <c r="C3601" s="3" t="str">
        <f>IFERROR(__xludf.DUMMYFUNCTION("""COMPUTED_VALUE"""),"GRAFTON ")</f>
        <v>GRAFTON </v>
      </c>
      <c r="D3601" s="3" t="str">
        <f>IFERROR(__xludf.DUMMYFUNCTION("""COMPUTED_VALUE"""),"K0K 2G0")</f>
        <v>K0K 2G0</v>
      </c>
      <c r="E3601" s="3" t="str">
        <f>IFERROR(__xludf.DUMMYFUNCTION("""COMPUTED_VALUE"""),"Blaine Johnson ")</f>
        <v>Blaine Johnson </v>
      </c>
      <c r="F3601" s="3" t="str">
        <f>IFERROR(__xludf.DUMMYFUNCTION("""COMPUTED_VALUE"""),"Blaine69Johnson@outlook.com")</f>
        <v>Blaine69Johnson@outlook.com</v>
      </c>
      <c r="G3601" s="3">
        <f>IFERROR(__xludf.DUMMYFUNCTION("""COMPUTED_VALUE"""),9.053765201E9)</f>
        <v>9053765201</v>
      </c>
      <c r="H3601" s="3"/>
    </row>
    <row r="3602">
      <c r="A3602" s="2">
        <f>IFERROR(__xludf.DUMMYFUNCTION("""COMPUTED_VALUE"""),40803.0)</f>
        <v>40803</v>
      </c>
      <c r="B3602" s="3" t="str">
        <f>IFERROR(__xludf.DUMMYFUNCTION("""COMPUTED_VALUE"""),"768 LAKESHORE RD")</f>
        <v>768 LAKESHORE RD</v>
      </c>
      <c r="C3602" s="3" t="str">
        <f>IFERROR(__xludf.DUMMYFUNCTION("""COMPUTED_VALUE"""),"GRAFTON ")</f>
        <v>GRAFTON </v>
      </c>
      <c r="D3602" s="3" t="str">
        <f>IFERROR(__xludf.DUMMYFUNCTION("""COMPUTED_VALUE"""),"K0K 2G0")</f>
        <v>K0K 2G0</v>
      </c>
      <c r="E3602" s="3" t="str">
        <f>IFERROR(__xludf.DUMMYFUNCTION("""COMPUTED_VALUE"""),"BRYAN VANDERLEEUW")</f>
        <v>BRYAN VANDERLEEUW</v>
      </c>
      <c r="F3602" s="3" t="str">
        <f>IFERROR(__xludf.DUMMYFUNCTION("""COMPUTED_VALUE"""),"bryan.vanderleeuw@gmail.com")</f>
        <v>bryan.vanderleeuw@gmail.com</v>
      </c>
      <c r="G3602" s="3"/>
      <c r="H3602" s="3"/>
    </row>
    <row r="3603">
      <c r="A3603" s="2">
        <f>IFERROR(__xludf.DUMMYFUNCTION("""COMPUTED_VALUE"""),40804.0)</f>
        <v>40804</v>
      </c>
      <c r="B3603" s="3" t="str">
        <f>IFERROR(__xludf.DUMMYFUNCTION("""COMPUTED_VALUE"""),"779 LAKESHORE RD")</f>
        <v>779 LAKESHORE RD</v>
      </c>
      <c r="C3603" s="3" t="str">
        <f>IFERROR(__xludf.DUMMYFUNCTION("""COMPUTED_VALUE"""),"GRAFTON ")</f>
        <v>GRAFTON </v>
      </c>
      <c r="D3603" s="3" t="str">
        <f>IFERROR(__xludf.DUMMYFUNCTION("""COMPUTED_VALUE"""),"K0K 2G0")</f>
        <v>K0K 2G0</v>
      </c>
      <c r="E3603" s="3" t="str">
        <f>IFERROR(__xludf.DUMMYFUNCTION("""COMPUTED_VALUE"""),"Ryan Watson")</f>
        <v>Ryan Watson</v>
      </c>
      <c r="F3603" s="3" t="str">
        <f>IFERROR(__xludf.DUMMYFUNCTION("""COMPUTED_VALUE"""),"rccapartments@gmail.com")</f>
        <v>rccapartments@gmail.com</v>
      </c>
      <c r="G3603" s="3">
        <f>IFERROR(__xludf.DUMMYFUNCTION("""COMPUTED_VALUE"""),9.053737999E9)</f>
        <v>9053737999</v>
      </c>
      <c r="H3603" s="3">
        <f>IFERROR(__xludf.DUMMYFUNCTION("""COMPUTED_VALUE"""),2.892819554E9)</f>
        <v>2892819554</v>
      </c>
    </row>
    <row r="3604">
      <c r="A3604" s="2">
        <f>IFERROR(__xludf.DUMMYFUNCTION("""COMPUTED_VALUE"""),40805.0)</f>
        <v>40805</v>
      </c>
      <c r="B3604" s="3" t="str">
        <f>IFERROR(__xludf.DUMMYFUNCTION("""COMPUTED_VALUE"""),"784 LAKESHORE RD")</f>
        <v>784 LAKESHORE RD</v>
      </c>
      <c r="C3604" s="3" t="str">
        <f>IFERROR(__xludf.DUMMYFUNCTION("""COMPUTED_VALUE"""),"GRAFTON ")</f>
        <v>GRAFTON </v>
      </c>
      <c r="D3604" s="3" t="str">
        <f>IFERROR(__xludf.DUMMYFUNCTION("""COMPUTED_VALUE"""),"K0K 2G0")</f>
        <v>K0K 2G0</v>
      </c>
      <c r="E3604" s="3" t="str">
        <f>IFERROR(__xludf.DUMMYFUNCTION("""COMPUTED_VALUE"""),"Lawrence Whitaker")</f>
        <v>Lawrence Whitaker</v>
      </c>
      <c r="F3604" s="3" t="str">
        <f>IFERROR(__xludf.DUMMYFUNCTION("""COMPUTED_VALUE"""),"lawrence.whitaker@gmail.com")</f>
        <v>lawrence.whitaker@gmail.com</v>
      </c>
      <c r="G3604" s="3"/>
      <c r="H3604" s="3"/>
    </row>
    <row r="3605">
      <c r="A3605" s="2">
        <f>IFERROR(__xludf.DUMMYFUNCTION("""COMPUTED_VALUE"""),40806.0)</f>
        <v>40806</v>
      </c>
      <c r="B3605" s="3" t="str">
        <f>IFERROR(__xludf.DUMMYFUNCTION("""COMPUTED_VALUE"""),"800 LAKESHORE RD")</f>
        <v>800 LAKESHORE RD</v>
      </c>
      <c r="C3605" s="3" t="str">
        <f>IFERROR(__xludf.DUMMYFUNCTION("""COMPUTED_VALUE"""),"GRAFTON ")</f>
        <v>GRAFTON </v>
      </c>
      <c r="D3605" s="3" t="str">
        <f>IFERROR(__xludf.DUMMYFUNCTION("""COMPUTED_VALUE"""),"K0K 2G0")</f>
        <v>K0K 2G0</v>
      </c>
      <c r="E3605" s="3"/>
      <c r="F3605" s="3"/>
      <c r="G3605" s="3"/>
      <c r="H3605" s="3"/>
    </row>
    <row r="3606">
      <c r="A3606" s="2">
        <f>IFERROR(__xludf.DUMMYFUNCTION("""COMPUTED_VALUE"""),40807.0)</f>
        <v>40807</v>
      </c>
      <c r="B3606" s="3" t="str">
        <f>IFERROR(__xludf.DUMMYFUNCTION("""COMPUTED_VALUE"""),"830 LAKESHORE RD")</f>
        <v>830 LAKESHORE RD</v>
      </c>
      <c r="C3606" s="3" t="str">
        <f>IFERROR(__xludf.DUMMYFUNCTION("""COMPUTED_VALUE"""),"GRAFTON ")</f>
        <v>GRAFTON </v>
      </c>
      <c r="D3606" s="3" t="str">
        <f>IFERROR(__xludf.DUMMYFUNCTION("""COMPUTED_VALUE"""),"K0K 2G0")</f>
        <v>K0K 2G0</v>
      </c>
      <c r="E3606" s="3" t="str">
        <f>IFERROR(__xludf.DUMMYFUNCTION("""COMPUTED_VALUE"""),"scott lomax")</f>
        <v>scott lomax</v>
      </c>
      <c r="F3606" s="3" t="str">
        <f>IFERROR(__xludf.DUMMYFUNCTION("""COMPUTED_VALUE"""),"scottlomax72@gmail.com")</f>
        <v>scottlomax72@gmail.com</v>
      </c>
      <c r="G3606" s="3">
        <f>IFERROR(__xludf.DUMMYFUNCTION("""COMPUTED_VALUE"""),9.054494587E9)</f>
        <v>9054494587</v>
      </c>
      <c r="H3606" s="3"/>
    </row>
    <row r="3607">
      <c r="A3607" s="2">
        <f>IFERROR(__xludf.DUMMYFUNCTION("""COMPUTED_VALUE"""),40808.0)</f>
        <v>40808</v>
      </c>
      <c r="B3607" s="3" t="str">
        <f>IFERROR(__xludf.DUMMYFUNCTION("""COMPUTED_VALUE"""),"837 LAKESHORE RD")</f>
        <v>837 LAKESHORE RD</v>
      </c>
      <c r="C3607" s="3" t="str">
        <f>IFERROR(__xludf.DUMMYFUNCTION("""COMPUTED_VALUE"""),"GRAFTON ")</f>
        <v>GRAFTON </v>
      </c>
      <c r="D3607" s="3" t="str">
        <f>IFERROR(__xludf.DUMMYFUNCTION("""COMPUTED_VALUE"""),"K0K 2G0")</f>
        <v>K0K 2G0</v>
      </c>
      <c r="E3607" s="3" t="str">
        <f>IFERROR(__xludf.DUMMYFUNCTION("""COMPUTED_VALUE"""),"paul black")</f>
        <v>paul black</v>
      </c>
      <c r="F3607" s="3" t="str">
        <f>IFERROR(__xludf.DUMMYFUNCTION("""COMPUTED_VALUE"""),"prulleenogg@yahoo.ca")</f>
        <v>prulleenogg@yahoo.ca</v>
      </c>
      <c r="G3607" s="3">
        <f>IFERROR(__xludf.DUMMYFUNCTION("""COMPUTED_VALUE"""),9.057300241E9)</f>
        <v>9057300241</v>
      </c>
      <c r="H3607" s="3"/>
    </row>
    <row r="3608">
      <c r="A3608" s="2">
        <f>IFERROR(__xludf.DUMMYFUNCTION("""COMPUTED_VALUE"""),40809.0)</f>
        <v>40809</v>
      </c>
      <c r="B3608" s="3" t="str">
        <f>IFERROR(__xludf.DUMMYFUNCTION("""COMPUTED_VALUE"""),"859 LAKESHORE RD")</f>
        <v>859 LAKESHORE RD</v>
      </c>
      <c r="C3608" s="3" t="str">
        <f>IFERROR(__xludf.DUMMYFUNCTION("""COMPUTED_VALUE"""),"GRAFTON ")</f>
        <v>GRAFTON </v>
      </c>
      <c r="D3608" s="3" t="str">
        <f>IFERROR(__xludf.DUMMYFUNCTION("""COMPUTED_VALUE"""),"K0K 2G0")</f>
        <v>K0K 2G0</v>
      </c>
      <c r="E3608" s="3" t="str">
        <f>IFERROR(__xludf.DUMMYFUNCTION("""COMPUTED_VALUE"""),"cecile lackie ")</f>
        <v>cecile lackie </v>
      </c>
      <c r="F3608" s="3" t="str">
        <f>IFERROR(__xludf.DUMMYFUNCTION("""COMPUTED_VALUE"""),"bantyhen52@gmail.com")</f>
        <v>bantyhen52@gmail.com</v>
      </c>
      <c r="G3608" s="3">
        <f>IFERROR(__xludf.DUMMYFUNCTION("""COMPUTED_VALUE"""),7.058268007E9)</f>
        <v>7058268007</v>
      </c>
      <c r="H3608" s="3"/>
    </row>
    <row r="3609">
      <c r="A3609" s="2">
        <f>IFERROR(__xludf.DUMMYFUNCTION("""COMPUTED_VALUE"""),40810.0)</f>
        <v>40810</v>
      </c>
      <c r="B3609" s="3" t="str">
        <f>IFERROR(__xludf.DUMMYFUNCTION("""COMPUTED_VALUE"""),"861 LAKESHORE RD")</f>
        <v>861 LAKESHORE RD</v>
      </c>
      <c r="C3609" s="3" t="str">
        <f>IFERROR(__xludf.DUMMYFUNCTION("""COMPUTED_VALUE"""),"GRAFTON ")</f>
        <v>GRAFTON </v>
      </c>
      <c r="D3609" s="3" t="str">
        <f>IFERROR(__xludf.DUMMYFUNCTION("""COMPUTED_VALUE"""),"K0K 2G0")</f>
        <v>K0K 2G0</v>
      </c>
      <c r="E3609" s="3" t="str">
        <f>IFERROR(__xludf.DUMMYFUNCTION("""COMPUTED_VALUE"""),"mike and erika graham")</f>
        <v>mike and erika graham</v>
      </c>
      <c r="F3609" s="3" t="str">
        <f>IFERROR(__xludf.DUMMYFUNCTION("""COMPUTED_VALUE"""),"meandwilco@hotmail.com")</f>
        <v>meandwilco@hotmail.com</v>
      </c>
      <c r="G3609" s="3">
        <f>IFERROR(__xludf.DUMMYFUNCTION("""COMPUTED_VALUE"""),9.053735457E9)</f>
        <v>9053735457</v>
      </c>
      <c r="H3609" s="3">
        <f>IFERROR(__xludf.DUMMYFUNCTION("""COMPUTED_VALUE"""),6.132421763E9)</f>
        <v>6132421763</v>
      </c>
    </row>
    <row r="3610">
      <c r="A3610" s="2">
        <f>IFERROR(__xludf.DUMMYFUNCTION("""COMPUTED_VALUE"""),40811.0)</f>
        <v>40811</v>
      </c>
      <c r="B3610" s="3" t="str">
        <f>IFERROR(__xludf.DUMMYFUNCTION("""COMPUTED_VALUE"""),"890 LAKESHORE RD")</f>
        <v>890 LAKESHORE RD</v>
      </c>
      <c r="C3610" s="3" t="str">
        <f>IFERROR(__xludf.DUMMYFUNCTION("""COMPUTED_VALUE"""),"GRAFTON ")</f>
        <v>GRAFTON </v>
      </c>
      <c r="D3610" s="3" t="str">
        <f>IFERROR(__xludf.DUMMYFUNCTION("""COMPUTED_VALUE"""),"K0K 2G0")</f>
        <v>K0K 2G0</v>
      </c>
      <c r="E3610" s="3"/>
      <c r="F3610" s="3"/>
      <c r="G3610" s="3"/>
      <c r="H3610" s="3"/>
    </row>
    <row r="3611">
      <c r="A3611" s="2">
        <f>IFERROR(__xludf.DUMMYFUNCTION("""COMPUTED_VALUE"""),40812.0)</f>
        <v>40812</v>
      </c>
      <c r="B3611" s="3" t="str">
        <f>IFERROR(__xludf.DUMMYFUNCTION("""COMPUTED_VALUE"""),"893 LAKESHORE RD")</f>
        <v>893 LAKESHORE RD</v>
      </c>
      <c r="C3611" s="3" t="str">
        <f>IFERROR(__xludf.DUMMYFUNCTION("""COMPUTED_VALUE"""),"GRAFTON ")</f>
        <v>GRAFTON </v>
      </c>
      <c r="D3611" s="3" t="str">
        <f>IFERROR(__xludf.DUMMYFUNCTION("""COMPUTED_VALUE"""),"K0K 2G0")</f>
        <v>K0K 2G0</v>
      </c>
      <c r="E3611" s="3" t="str">
        <f>IFERROR(__xludf.DUMMYFUNCTION("""COMPUTED_VALUE"""),"snider")</f>
        <v>snider</v>
      </c>
      <c r="F3611" s="3"/>
      <c r="G3611" s="3">
        <f>IFERROR(__xludf.DUMMYFUNCTION("""COMPUTED_VALUE"""),9.053493757E9)</f>
        <v>9053493757</v>
      </c>
      <c r="H3611" s="3"/>
    </row>
    <row r="3612">
      <c r="A3612" s="2">
        <f>IFERROR(__xludf.DUMMYFUNCTION("""COMPUTED_VALUE"""),40813.0)</f>
        <v>40813</v>
      </c>
      <c r="B3612" s="3" t="str">
        <f>IFERROR(__xludf.DUMMYFUNCTION("""COMPUTED_VALUE"""),"896 LAKESHORE RD")</f>
        <v>896 LAKESHORE RD</v>
      </c>
      <c r="C3612" s="3" t="str">
        <f>IFERROR(__xludf.DUMMYFUNCTION("""COMPUTED_VALUE"""),"GRAFTON ")</f>
        <v>GRAFTON </v>
      </c>
      <c r="D3612" s="3" t="str">
        <f>IFERROR(__xludf.DUMMYFUNCTION("""COMPUTED_VALUE"""),"K0K 2G0")</f>
        <v>K0K 2G0</v>
      </c>
      <c r="E3612" s="3" t="str">
        <f>IFERROR(__xludf.DUMMYFUNCTION("""COMPUTED_VALUE"""),"ferguson")</f>
        <v>ferguson</v>
      </c>
      <c r="F3612" s="3" t="str">
        <f>IFERROR(__xludf.DUMMYFUNCTION("""COMPUTED_VALUE"""),"sferguson-s@sympatico.ca")</f>
        <v>sferguson-s@sympatico.ca</v>
      </c>
      <c r="G3612" s="3">
        <f>IFERROR(__xludf.DUMMYFUNCTION("""COMPUTED_VALUE"""),9.053213576E10)</f>
        <v>90532135760</v>
      </c>
      <c r="H3612" s="3"/>
    </row>
    <row r="3613">
      <c r="A3613" s="2">
        <f>IFERROR(__xludf.DUMMYFUNCTION("""COMPUTED_VALUE"""),40814.0)</f>
        <v>40814</v>
      </c>
      <c r="B3613" s="3" t="str">
        <f>IFERROR(__xludf.DUMMYFUNCTION("""COMPUTED_VALUE"""),"909 LAKESHORE RD")</f>
        <v>909 LAKESHORE RD</v>
      </c>
      <c r="C3613" s="3" t="str">
        <f>IFERROR(__xludf.DUMMYFUNCTION("""COMPUTED_VALUE"""),"GRAFTON ")</f>
        <v>GRAFTON </v>
      </c>
      <c r="D3613" s="3" t="str">
        <f>IFERROR(__xludf.DUMMYFUNCTION("""COMPUTED_VALUE"""),"K0K 2G0")</f>
        <v>K0K 2G0</v>
      </c>
      <c r="E3613" s="3" t="str">
        <f>IFERROR(__xludf.DUMMYFUNCTION("""COMPUTED_VALUE"""),"Cathy Howard")</f>
        <v>Cathy Howard</v>
      </c>
      <c r="F3613" s="3" t="str">
        <f>IFERROR(__xludf.DUMMYFUNCTION("""COMPUTED_VALUE"""),"mscmhoward@gmail.com")</f>
        <v>mscmhoward@gmail.com</v>
      </c>
      <c r="G3613" s="3"/>
      <c r="H3613" s="3"/>
    </row>
    <row r="3614">
      <c r="A3614" s="2">
        <f>IFERROR(__xludf.DUMMYFUNCTION("""COMPUTED_VALUE"""),40815.0)</f>
        <v>40815</v>
      </c>
      <c r="B3614" s="3" t="str">
        <f>IFERROR(__xludf.DUMMYFUNCTION("""COMPUTED_VALUE"""),"931 LAKESHORE RD")</f>
        <v>931 LAKESHORE RD</v>
      </c>
      <c r="C3614" s="3" t="str">
        <f>IFERROR(__xludf.DUMMYFUNCTION("""COMPUTED_VALUE"""),"GRAFTON ")</f>
        <v>GRAFTON </v>
      </c>
      <c r="D3614" s="3" t="str">
        <f>IFERROR(__xludf.DUMMYFUNCTION("""COMPUTED_VALUE"""),"K0K 2G0")</f>
        <v>K0K 2G0</v>
      </c>
      <c r="E3614" s="3"/>
      <c r="F3614" s="3"/>
      <c r="G3614" s="3"/>
      <c r="H3614" s="3"/>
    </row>
    <row r="3615">
      <c r="A3615" s="2">
        <f>IFERROR(__xludf.DUMMYFUNCTION("""COMPUTED_VALUE"""),40816.0)</f>
        <v>40816</v>
      </c>
      <c r="B3615" s="3" t="str">
        <f>IFERROR(__xludf.DUMMYFUNCTION("""COMPUTED_VALUE"""),"537-13 LAKESHORE RD")</f>
        <v>537-13 LAKESHORE RD</v>
      </c>
      <c r="C3615" s="3"/>
      <c r="D3615" s="3"/>
      <c r="E3615" s="3"/>
      <c r="F3615" s="3"/>
      <c r="G3615" s="3"/>
      <c r="H3615" s="3"/>
    </row>
    <row r="3616">
      <c r="A3616" s="2">
        <f>IFERROR(__xludf.DUMMYFUNCTION("""COMPUTED_VALUE"""),40839.0)</f>
        <v>40839</v>
      </c>
      <c r="B3616" s="3" t="str">
        <f>IFERROR(__xludf.DUMMYFUNCTION("""COMPUTED_VALUE"""),"103 LYLE ST S")</f>
        <v>103 LYLE ST S</v>
      </c>
      <c r="C3616" s="3" t="str">
        <f>IFERROR(__xludf.DUMMYFUNCTION("""COMPUTED_VALUE"""),"COLBORNE ")</f>
        <v>COLBORNE </v>
      </c>
      <c r="D3616" s="3" t="str">
        <f>IFERROR(__xludf.DUMMYFUNCTION("""COMPUTED_VALUE"""),"K0K 1S0")</f>
        <v>K0K 1S0</v>
      </c>
      <c r="E3616" s="3"/>
      <c r="F3616" s="3"/>
      <c r="G3616" s="3"/>
      <c r="H3616" s="3"/>
    </row>
    <row r="3617">
      <c r="A3617" s="2">
        <f>IFERROR(__xludf.DUMMYFUNCTION("""COMPUTED_VALUE"""),40840.0)</f>
        <v>40840</v>
      </c>
      <c r="B3617" s="3" t="str">
        <f>IFERROR(__xludf.DUMMYFUNCTION("""COMPUTED_VALUE"""),"121 LYLE ST S")</f>
        <v>121 LYLE ST S</v>
      </c>
      <c r="C3617" s="3" t="str">
        <f>IFERROR(__xludf.DUMMYFUNCTION("""COMPUTED_VALUE"""),"COLBORNE ")</f>
        <v>COLBORNE </v>
      </c>
      <c r="D3617" s="3" t="str">
        <f>IFERROR(__xludf.DUMMYFUNCTION("""COMPUTED_VALUE"""),"K0K 1S0")</f>
        <v>K0K 1S0</v>
      </c>
      <c r="E3617" s="3"/>
      <c r="F3617" s="3"/>
      <c r="G3617" s="3"/>
      <c r="H3617" s="3"/>
    </row>
    <row r="3618">
      <c r="A3618" s="2">
        <f>IFERROR(__xludf.DUMMYFUNCTION("""COMPUTED_VALUE"""),40841.0)</f>
        <v>40841</v>
      </c>
      <c r="B3618" s="3" t="str">
        <f>IFERROR(__xludf.DUMMYFUNCTION("""COMPUTED_VALUE"""),"126 LYLE ST S")</f>
        <v>126 LYLE ST S</v>
      </c>
      <c r="C3618" s="3" t="str">
        <f>IFERROR(__xludf.DUMMYFUNCTION("""COMPUTED_VALUE"""),"COLBORNE ")</f>
        <v>COLBORNE </v>
      </c>
      <c r="D3618" s="3" t="str">
        <f>IFERROR(__xludf.DUMMYFUNCTION("""COMPUTED_VALUE"""),"K0K 1S0")</f>
        <v>K0K 1S0</v>
      </c>
      <c r="E3618" s="3"/>
      <c r="F3618" s="3"/>
      <c r="G3618" s="3"/>
      <c r="H3618" s="3"/>
    </row>
    <row r="3619">
      <c r="A3619" s="2">
        <f>IFERROR(__xludf.DUMMYFUNCTION("""COMPUTED_VALUE"""),40842.0)</f>
        <v>40842</v>
      </c>
      <c r="B3619" s="3" t="str">
        <f>IFERROR(__xludf.DUMMYFUNCTION("""COMPUTED_VALUE"""),"127 LYLE ST S")</f>
        <v>127 LYLE ST S</v>
      </c>
      <c r="C3619" s="3" t="str">
        <f>IFERROR(__xludf.DUMMYFUNCTION("""COMPUTED_VALUE"""),"COLBORNE ")</f>
        <v>COLBORNE </v>
      </c>
      <c r="D3619" s="3" t="str">
        <f>IFERROR(__xludf.DUMMYFUNCTION("""COMPUTED_VALUE"""),"K0K 1S0")</f>
        <v>K0K 1S0</v>
      </c>
      <c r="E3619" s="3"/>
      <c r="F3619" s="3"/>
      <c r="G3619" s="3"/>
      <c r="H3619" s="3"/>
    </row>
    <row r="3620">
      <c r="A3620" s="2">
        <f>IFERROR(__xludf.DUMMYFUNCTION("""COMPUTED_VALUE"""),40843.0)</f>
        <v>40843</v>
      </c>
      <c r="B3620" s="3" t="str">
        <f>IFERROR(__xludf.DUMMYFUNCTION("""COMPUTED_VALUE"""),"130 LYLE ST S")</f>
        <v>130 LYLE ST S</v>
      </c>
      <c r="C3620" s="3" t="str">
        <f>IFERROR(__xludf.DUMMYFUNCTION("""COMPUTED_VALUE"""),"COLBORNE ")</f>
        <v>COLBORNE </v>
      </c>
      <c r="D3620" s="3" t="str">
        <f>IFERROR(__xludf.DUMMYFUNCTION("""COMPUTED_VALUE"""),"K0K 1S0")</f>
        <v>K0K 1S0</v>
      </c>
      <c r="E3620" s="3"/>
      <c r="F3620" s="3"/>
      <c r="G3620" s="3"/>
      <c r="H3620" s="3"/>
    </row>
    <row r="3621">
      <c r="A3621" s="2">
        <f>IFERROR(__xludf.DUMMYFUNCTION("""COMPUTED_VALUE"""),40844.0)</f>
        <v>40844</v>
      </c>
      <c r="B3621" s="3" t="str">
        <f>IFERROR(__xludf.DUMMYFUNCTION("""COMPUTED_VALUE"""),"130 LYLE ST S Unit B")</f>
        <v>130 LYLE ST S Unit B</v>
      </c>
      <c r="C3621" s="3" t="str">
        <f>IFERROR(__xludf.DUMMYFUNCTION("""COMPUTED_VALUE"""),"COLBORNE ")</f>
        <v>COLBORNE </v>
      </c>
      <c r="D3621" s="3" t="str">
        <f>IFERROR(__xludf.DUMMYFUNCTION("""COMPUTED_VALUE"""),"K0K 1S0")</f>
        <v>K0K 1S0</v>
      </c>
      <c r="E3621" s="3"/>
      <c r="F3621" s="3"/>
      <c r="G3621" s="3"/>
      <c r="H3621" s="3"/>
    </row>
    <row r="3622">
      <c r="A3622" s="2">
        <f>IFERROR(__xludf.DUMMYFUNCTION("""COMPUTED_VALUE"""),40846.0)</f>
        <v>40846</v>
      </c>
      <c r="B3622" s="3" t="str">
        <f>IFERROR(__xludf.DUMMYFUNCTION("""COMPUTED_VALUE"""),"TBD1 MAZEPA BLVD")</f>
        <v>TBD1 MAZEPA BLVD</v>
      </c>
      <c r="C3622" s="3" t="str">
        <f>IFERROR(__xludf.DUMMYFUNCTION("""COMPUTED_VALUE"""),"GRAFTON ")</f>
        <v>GRAFTON </v>
      </c>
      <c r="D3622" s="3" t="str">
        <f>IFERROR(__xludf.DUMMYFUNCTION("""COMPUTED_VALUE"""),"K0K 2G0")</f>
        <v>K0K 2G0</v>
      </c>
      <c r="E3622" s="3"/>
      <c r="F3622" s="3"/>
      <c r="G3622" s="3"/>
      <c r="H3622" s="3"/>
    </row>
    <row r="3623">
      <c r="A3623" s="2">
        <f>IFERROR(__xludf.DUMMYFUNCTION("""COMPUTED_VALUE"""),40847.0)</f>
        <v>40847</v>
      </c>
      <c r="B3623" s="3" t="str">
        <f>IFERROR(__xludf.DUMMYFUNCTION("""COMPUTED_VALUE"""),"TBD2 MAZEPA BLVD")</f>
        <v>TBD2 MAZEPA BLVD</v>
      </c>
      <c r="C3623" s="3" t="str">
        <f>IFERROR(__xludf.DUMMYFUNCTION("""COMPUTED_VALUE"""),"GRAFTON ")</f>
        <v>GRAFTON </v>
      </c>
      <c r="D3623" s="3" t="str">
        <f>IFERROR(__xludf.DUMMYFUNCTION("""COMPUTED_VALUE"""),"K0K 2G0")</f>
        <v>K0K 2G0</v>
      </c>
      <c r="E3623" s="3"/>
      <c r="F3623" s="3"/>
      <c r="G3623" s="3"/>
      <c r="H3623" s="3"/>
    </row>
    <row r="3624">
      <c r="A3624" s="2">
        <f>IFERROR(__xludf.DUMMYFUNCTION("""COMPUTED_VALUE"""),40848.0)</f>
        <v>40848</v>
      </c>
      <c r="B3624" s="3" t="str">
        <f>IFERROR(__xludf.DUMMYFUNCTION("""COMPUTED_VALUE"""),"TBD3 MAZEPA BLVD")</f>
        <v>TBD3 MAZEPA BLVD</v>
      </c>
      <c r="C3624" s="3" t="str">
        <f>IFERROR(__xludf.DUMMYFUNCTION("""COMPUTED_VALUE"""),"GRAFTON ")</f>
        <v>GRAFTON </v>
      </c>
      <c r="D3624" s="3" t="str">
        <f>IFERROR(__xludf.DUMMYFUNCTION("""COMPUTED_VALUE"""),"K0K 2G0")</f>
        <v>K0K 2G0</v>
      </c>
      <c r="E3624" s="3"/>
      <c r="F3624" s="3"/>
      <c r="G3624" s="3"/>
      <c r="H3624" s="3"/>
    </row>
    <row r="3625">
      <c r="A3625" s="2">
        <f>IFERROR(__xludf.DUMMYFUNCTION("""COMPUTED_VALUE"""),40849.0)</f>
        <v>40849</v>
      </c>
      <c r="B3625" s="3" t="str">
        <f>IFERROR(__xludf.DUMMYFUNCTION("""COMPUTED_VALUE"""),"1577 MC EWEN RD")</f>
        <v>1577 MC EWEN RD</v>
      </c>
      <c r="C3625" s="3" t="str">
        <f>IFERROR(__xludf.DUMMYFUNCTION("""COMPUTED_VALUE"""),"COBOURG")</f>
        <v>COBOURG</v>
      </c>
      <c r="D3625" s="3" t="str">
        <f>IFERROR(__xludf.DUMMYFUNCTION("""COMPUTED_VALUE"""),"K9A 4J8")</f>
        <v>K9A 4J8</v>
      </c>
      <c r="E3625" s="3" t="str">
        <f>IFERROR(__xludf.DUMMYFUNCTION("""COMPUTED_VALUE"""),"paul lang ")</f>
        <v>paul lang </v>
      </c>
      <c r="F3625" s="3" t="str">
        <f>IFERROR(__xludf.DUMMYFUNCTION("""COMPUTED_VALUE"""),"paul.lang@sympatico.ca")</f>
        <v>paul.lang@sympatico.ca</v>
      </c>
      <c r="G3625" s="3">
        <f>IFERROR(__xludf.DUMMYFUNCTION("""COMPUTED_VALUE"""),9.053775443E9)</f>
        <v>9053775443</v>
      </c>
      <c r="H3625" s="3"/>
    </row>
    <row r="3626">
      <c r="A3626" s="2">
        <f>IFERROR(__xludf.DUMMYFUNCTION("""COMPUTED_VALUE"""),40850.0)</f>
        <v>40850</v>
      </c>
      <c r="B3626" s="3" t="str">
        <f>IFERROR(__xludf.DUMMYFUNCTION("""COMPUTED_VALUE"""),"1596 MC EWEN RD")</f>
        <v>1596 MC EWEN RD</v>
      </c>
      <c r="C3626" s="3" t="str">
        <f>IFERROR(__xludf.DUMMYFUNCTION("""COMPUTED_VALUE"""),"COBOURG")</f>
        <v>COBOURG</v>
      </c>
      <c r="D3626" s="3" t="str">
        <f>IFERROR(__xludf.DUMMYFUNCTION("""COMPUTED_VALUE"""),"K9A 4J8")</f>
        <v>K9A 4J8</v>
      </c>
      <c r="E3626" s="3" t="str">
        <f>IFERROR(__xludf.DUMMYFUNCTION("""COMPUTED_VALUE"""),"john nowee")</f>
        <v>john nowee</v>
      </c>
      <c r="F3626" s="3" t="str">
        <f>IFERROR(__xludf.DUMMYFUNCTION("""COMPUTED_VALUE"""),"jnowee@live.ca")</f>
        <v>jnowee@live.ca</v>
      </c>
      <c r="G3626" s="3">
        <f>IFERROR(__xludf.DUMMYFUNCTION("""COMPUTED_VALUE"""),9.052696315E9)</f>
        <v>9052696315</v>
      </c>
      <c r="H3626" s="3"/>
    </row>
    <row r="3627">
      <c r="A3627" s="2">
        <f>IFERROR(__xludf.DUMMYFUNCTION("""COMPUTED_VALUE"""),40851.0)</f>
        <v>40851</v>
      </c>
      <c r="B3627" s="3" t="str">
        <f>IFERROR(__xludf.DUMMYFUNCTION("""COMPUTED_VALUE"""),"1621 MC EWEN RD")</f>
        <v>1621 MC EWEN RD</v>
      </c>
      <c r="C3627" s="3" t="str">
        <f>IFERROR(__xludf.DUMMYFUNCTION("""COMPUTED_VALUE"""),"COBOURG")</f>
        <v>COBOURG</v>
      </c>
      <c r="D3627" s="3" t="str">
        <f>IFERROR(__xludf.DUMMYFUNCTION("""COMPUTED_VALUE"""),"K9A 4J8")</f>
        <v>K9A 4J8</v>
      </c>
      <c r="E3627" s="3" t="str">
        <f>IFERROR(__xludf.DUMMYFUNCTION("""COMPUTED_VALUE"""),"gary niziol")</f>
        <v>gary niziol</v>
      </c>
      <c r="F3627" s="3" t="str">
        <f>IFERROR(__xludf.DUMMYFUNCTION("""COMPUTED_VALUE"""),"smokepole.9.40@gmail.com")</f>
        <v>smokepole.9.40@gmail.com</v>
      </c>
      <c r="G3627" s="3">
        <f>IFERROR(__xludf.DUMMYFUNCTION("""COMPUTED_VALUE"""),9.057724732E9)</f>
        <v>9057724732</v>
      </c>
      <c r="H3627" s="3"/>
    </row>
    <row r="3628">
      <c r="A3628" s="2">
        <f>IFERROR(__xludf.DUMMYFUNCTION("""COMPUTED_VALUE"""),40852.0)</f>
        <v>40852</v>
      </c>
      <c r="B3628" s="3" t="str">
        <f>IFERROR(__xludf.DUMMYFUNCTION("""COMPUTED_VALUE"""),"1700 MCEWEN RD")</f>
        <v>1700 MCEWEN RD</v>
      </c>
      <c r="C3628" s="3" t="str">
        <f>IFERROR(__xludf.DUMMYFUNCTION("""COMPUTED_VALUE"""),"COBOURG")</f>
        <v>COBOURG</v>
      </c>
      <c r="D3628" s="3" t="str">
        <f>IFERROR(__xludf.DUMMYFUNCTION("""COMPUTED_VALUE"""),"K9A 4J8")</f>
        <v>K9A 4J8</v>
      </c>
      <c r="E3628" s="3"/>
      <c r="F3628" s="3"/>
      <c r="G3628" s="3"/>
      <c r="H3628" s="3"/>
    </row>
    <row r="3629">
      <c r="A3629" s="2">
        <f>IFERROR(__xludf.DUMMYFUNCTION("""COMPUTED_VALUE"""),40853.0)</f>
        <v>40853</v>
      </c>
      <c r="B3629" s="3" t="str">
        <f>IFERROR(__xludf.DUMMYFUNCTION("""COMPUTED_VALUE"""),"1706 MCEWEN RD Unit A")</f>
        <v>1706 MCEWEN RD Unit A</v>
      </c>
      <c r="C3629" s="3" t="str">
        <f>IFERROR(__xludf.DUMMYFUNCTION("""COMPUTED_VALUE"""),"COBOURG")</f>
        <v>COBOURG</v>
      </c>
      <c r="D3629" s="3" t="str">
        <f>IFERROR(__xludf.DUMMYFUNCTION("""COMPUTED_VALUE"""),"K9A 4J8")</f>
        <v>K9A 4J8</v>
      </c>
      <c r="E3629" s="3" t="str">
        <f>IFERROR(__xludf.DUMMYFUNCTION("""COMPUTED_VALUE"""),"brenda matthews ")</f>
        <v>brenda matthews </v>
      </c>
      <c r="F3629" s="3"/>
      <c r="G3629" s="3">
        <f>IFERROR(__xludf.DUMMYFUNCTION("""COMPUTED_VALUE"""),9.052690699E9)</f>
        <v>9052690699</v>
      </c>
      <c r="H3629" s="3"/>
    </row>
    <row r="3630">
      <c r="A3630" s="2">
        <f>IFERROR(__xludf.DUMMYFUNCTION("""COMPUTED_VALUE"""),40854.0)</f>
        <v>40854</v>
      </c>
      <c r="B3630" s="3" t="str">
        <f>IFERROR(__xludf.DUMMYFUNCTION("""COMPUTED_VALUE"""),"1712 MC EWEN RD")</f>
        <v>1712 MC EWEN RD</v>
      </c>
      <c r="C3630" s="3" t="str">
        <f>IFERROR(__xludf.DUMMYFUNCTION("""COMPUTED_VALUE"""),"COBOURG")</f>
        <v>COBOURG</v>
      </c>
      <c r="D3630" s="3" t="str">
        <f>IFERROR(__xludf.DUMMYFUNCTION("""COMPUTED_VALUE"""),"K9A 4J8")</f>
        <v>K9A 4J8</v>
      </c>
      <c r="E3630" s="3" t="str">
        <f>IFERROR(__xludf.DUMMYFUNCTION("""COMPUTED_VALUE"""),"michael sadler ")</f>
        <v>michael sadler </v>
      </c>
      <c r="F3630" s="3" t="str">
        <f>IFERROR(__xludf.DUMMYFUNCTION("""COMPUTED_VALUE"""),"michaelsadler1998@gmail.com")</f>
        <v>michaelsadler1998@gmail.com</v>
      </c>
      <c r="G3630" s="3">
        <f>IFERROR(__xludf.DUMMYFUNCTION("""COMPUTED_VALUE"""),9.052591988E9)</f>
        <v>9052591988</v>
      </c>
      <c r="H3630" s="3"/>
    </row>
    <row r="3631">
      <c r="A3631" s="2">
        <f>IFERROR(__xludf.DUMMYFUNCTION("""COMPUTED_VALUE"""),40855.0)</f>
        <v>40855</v>
      </c>
      <c r="B3631" s="3" t="str">
        <f>IFERROR(__xludf.DUMMYFUNCTION("""COMPUTED_VALUE"""),"1716 MC EWEN RD")</f>
        <v>1716 MC EWEN RD</v>
      </c>
      <c r="C3631" s="3" t="str">
        <f>IFERROR(__xludf.DUMMYFUNCTION("""COMPUTED_VALUE"""),"COBOURG")</f>
        <v>COBOURG</v>
      </c>
      <c r="D3631" s="3" t="str">
        <f>IFERROR(__xludf.DUMMYFUNCTION("""COMPUTED_VALUE"""),"K9A 4J8")</f>
        <v>K9A 4J8</v>
      </c>
      <c r="E3631" s="3" t="str">
        <f>IFERROR(__xludf.DUMMYFUNCTION("""COMPUTED_VALUE"""),"JOAN WATTON")</f>
        <v>JOAN WATTON</v>
      </c>
      <c r="F3631" s="3" t="str">
        <f>IFERROR(__xludf.DUMMYFUNCTION("""COMPUTED_VALUE"""),"joan@watton.ca")</f>
        <v>joan@watton.ca</v>
      </c>
      <c r="G3631" s="3"/>
      <c r="H3631" s="3"/>
    </row>
    <row r="3632">
      <c r="A3632" s="2">
        <f>IFERROR(__xludf.DUMMYFUNCTION("""COMPUTED_VALUE"""),40856.0)</f>
        <v>40856</v>
      </c>
      <c r="B3632" s="3" t="str">
        <f>IFERROR(__xludf.DUMMYFUNCTION("""COMPUTED_VALUE"""),"1728 MCEWEN RD")</f>
        <v>1728 MCEWEN RD</v>
      </c>
      <c r="C3632" s="3" t="str">
        <f>IFERROR(__xludf.DUMMYFUNCTION("""COMPUTED_VALUE"""),"COBOURG")</f>
        <v>COBOURG</v>
      </c>
      <c r="D3632" s="3" t="str">
        <f>IFERROR(__xludf.DUMMYFUNCTION("""COMPUTED_VALUE"""),"K9A 4J8")</f>
        <v>K9A 4J8</v>
      </c>
      <c r="E3632" s="3"/>
      <c r="F3632" s="3"/>
      <c r="G3632" s="3"/>
      <c r="H3632" s="3"/>
    </row>
    <row r="3633">
      <c r="A3633" s="2">
        <f>IFERROR(__xludf.DUMMYFUNCTION("""COMPUTED_VALUE"""),40857.0)</f>
        <v>40857</v>
      </c>
      <c r="B3633" s="3" t="str">
        <f>IFERROR(__xludf.DUMMYFUNCTION("""COMPUTED_VALUE"""),"1737 MCEWEN RD")</f>
        <v>1737 MCEWEN RD</v>
      </c>
      <c r="C3633" s="3" t="str">
        <f>IFERROR(__xludf.DUMMYFUNCTION("""COMPUTED_VALUE"""),"COBOURG")</f>
        <v>COBOURG</v>
      </c>
      <c r="D3633" s="3" t="str">
        <f>IFERROR(__xludf.DUMMYFUNCTION("""COMPUTED_VALUE"""),"K9A 4J8")</f>
        <v>K9A 4J8</v>
      </c>
      <c r="E3633" s="3" t="str">
        <f>IFERROR(__xludf.DUMMYFUNCTION("""COMPUTED_VALUE"""),"chris and kaeren hoskin")</f>
        <v>chris and kaeren hoskin</v>
      </c>
      <c r="F3633" s="3" t="str">
        <f>IFERROR(__xludf.DUMMYFUNCTION("""COMPUTED_VALUE"""),"hoskin@eagle.ca")</f>
        <v>hoskin@eagle.ca</v>
      </c>
      <c r="G3633" s="3">
        <f>IFERROR(__xludf.DUMMYFUNCTION("""COMPUTED_VALUE"""),9.053962697E9)</f>
        <v>9053962697</v>
      </c>
      <c r="H3633" s="3">
        <f>IFERROR(__xludf.DUMMYFUNCTION("""COMPUTED_VALUE"""),9.053754567E9)</f>
        <v>9053754567</v>
      </c>
    </row>
    <row r="3634">
      <c r="A3634" s="2">
        <f>IFERROR(__xludf.DUMMYFUNCTION("""COMPUTED_VALUE"""),40858.0)</f>
        <v>40858</v>
      </c>
      <c r="B3634" s="3" t="str">
        <f>IFERROR(__xludf.DUMMYFUNCTION("""COMPUTED_VALUE"""),"1786 MC EWEN RD")</f>
        <v>1786 MC EWEN RD</v>
      </c>
      <c r="C3634" s="3" t="str">
        <f>IFERROR(__xludf.DUMMYFUNCTION("""COMPUTED_VALUE"""),"COBOURG")</f>
        <v>COBOURG</v>
      </c>
      <c r="D3634" s="3" t="str">
        <f>IFERROR(__xludf.DUMMYFUNCTION("""COMPUTED_VALUE"""),"K9A 4J8")</f>
        <v>K9A 4J8</v>
      </c>
      <c r="E3634" s="3" t="str">
        <f>IFERROR(__xludf.DUMMYFUNCTION("""COMPUTED_VALUE"""),"donald glenn ")</f>
        <v>donald glenn </v>
      </c>
      <c r="F3634" s="3"/>
      <c r="G3634" s="3">
        <f>IFERROR(__xludf.DUMMYFUNCTION("""COMPUTED_VALUE"""),9.053023989E9)</f>
        <v>9053023989</v>
      </c>
      <c r="H3634" s="3"/>
    </row>
    <row r="3635">
      <c r="A3635" s="2">
        <f>IFERROR(__xludf.DUMMYFUNCTION("""COMPUTED_VALUE"""),40859.0)</f>
        <v>40859</v>
      </c>
      <c r="B3635" s="3" t="str">
        <f>IFERROR(__xludf.DUMMYFUNCTION("""COMPUTED_VALUE"""),"1811 MCEWEN RD")</f>
        <v>1811 MCEWEN RD</v>
      </c>
      <c r="C3635" s="3" t="str">
        <f>IFERROR(__xludf.DUMMYFUNCTION("""COMPUTED_VALUE"""),"COBOURG")</f>
        <v>COBOURG</v>
      </c>
      <c r="D3635" s="3" t="str">
        <f>IFERROR(__xludf.DUMMYFUNCTION("""COMPUTED_VALUE"""),"K9A 4J8")</f>
        <v>K9A 4J8</v>
      </c>
      <c r="E3635" s="3" t="str">
        <f>IFERROR(__xludf.DUMMYFUNCTION("""COMPUTED_VALUE"""),"chris and karen hoskin ")</f>
        <v>chris and karen hoskin </v>
      </c>
      <c r="F3635" s="3" t="str">
        <f>IFERROR(__xludf.DUMMYFUNCTION("""COMPUTED_VALUE"""),"hoskin@eagle.ca")</f>
        <v>hoskin@eagle.ca</v>
      </c>
      <c r="G3635" s="3">
        <f>IFERROR(__xludf.DUMMYFUNCTION("""COMPUTED_VALUE"""),9.053962697E9)</f>
        <v>9053962697</v>
      </c>
      <c r="H3635" s="3">
        <f>IFERROR(__xludf.DUMMYFUNCTION("""COMPUTED_VALUE"""),9.053754567E9)</f>
        <v>9053754567</v>
      </c>
    </row>
    <row r="3636">
      <c r="A3636" s="2">
        <f>IFERROR(__xludf.DUMMYFUNCTION("""COMPUTED_VALUE"""),40860.0)</f>
        <v>40860</v>
      </c>
      <c r="B3636" s="3" t="str">
        <f>IFERROR(__xludf.DUMMYFUNCTION("""COMPUTED_VALUE"""),"1832 MC EWEN RD")</f>
        <v>1832 MC EWEN RD</v>
      </c>
      <c r="C3636" s="3" t="str">
        <f>IFERROR(__xludf.DUMMYFUNCTION("""COMPUTED_VALUE"""),"COBOURG")</f>
        <v>COBOURG</v>
      </c>
      <c r="D3636" s="3" t="str">
        <f>IFERROR(__xludf.DUMMYFUNCTION("""COMPUTED_VALUE"""),"K9A 4J8")</f>
        <v>K9A 4J8</v>
      </c>
      <c r="E3636" s="3" t="str">
        <f>IFERROR(__xludf.DUMMYFUNCTION("""COMPUTED_VALUE"""),"philip podpallock")</f>
        <v>philip podpallock</v>
      </c>
      <c r="F3636" s="3" t="str">
        <f>IFERROR(__xludf.DUMMYFUNCTION("""COMPUTED_VALUE"""),"ontario401@gmail.com ")</f>
        <v>ontario401@gmail.com </v>
      </c>
      <c r="G3636" s="3">
        <f>IFERROR(__xludf.DUMMYFUNCTION("""COMPUTED_VALUE"""),6.136616673E9)</f>
        <v>6136616673</v>
      </c>
      <c r="H3636" s="3"/>
    </row>
    <row r="3637">
      <c r="A3637" s="2">
        <f>IFERROR(__xludf.DUMMYFUNCTION("""COMPUTED_VALUE"""),40861.0)</f>
        <v>40861</v>
      </c>
      <c r="B3637" s="3" t="str">
        <f>IFERROR(__xludf.DUMMYFUNCTION("""COMPUTED_VALUE"""),"1840 MCEWEN RD")</f>
        <v>1840 MCEWEN RD</v>
      </c>
      <c r="C3637" s="3" t="str">
        <f>IFERROR(__xludf.DUMMYFUNCTION("""COMPUTED_VALUE"""),"COBOURG")</f>
        <v>COBOURG</v>
      </c>
      <c r="D3637" s="3" t="str">
        <f>IFERROR(__xludf.DUMMYFUNCTION("""COMPUTED_VALUE"""),"K9A 4J8")</f>
        <v>K9A 4J8</v>
      </c>
      <c r="E3637" s="3" t="str">
        <f>IFERROR(__xludf.DUMMYFUNCTION("""COMPUTED_VALUE"""),"Christian Steinke")</f>
        <v>Christian Steinke</v>
      </c>
      <c r="F3637" s="3" t="str">
        <f>IFERROR(__xludf.DUMMYFUNCTION("""COMPUTED_VALUE"""),"chrissteinke@outlook.com")</f>
        <v>chrissteinke@outlook.com</v>
      </c>
      <c r="G3637" s="3"/>
      <c r="H3637" s="3"/>
    </row>
    <row r="3638">
      <c r="A3638" s="2">
        <f>IFERROR(__xludf.DUMMYFUNCTION("""COMPUTED_VALUE"""),40862.0)</f>
        <v>40862</v>
      </c>
      <c r="B3638" s="3" t="str">
        <f>IFERROR(__xludf.DUMMYFUNCTION("""COMPUTED_VALUE"""),"1864 MCEWEN RD")</f>
        <v>1864 MCEWEN RD</v>
      </c>
      <c r="C3638" s="3" t="str">
        <f>IFERROR(__xludf.DUMMYFUNCTION("""COMPUTED_VALUE"""),"COBOURG")</f>
        <v>COBOURG</v>
      </c>
      <c r="D3638" s="3" t="str">
        <f>IFERROR(__xludf.DUMMYFUNCTION("""COMPUTED_VALUE"""),"K9A 4J8")</f>
        <v>K9A 4J8</v>
      </c>
      <c r="E3638" s="3" t="str">
        <f>IFERROR(__xludf.DUMMYFUNCTION("""COMPUTED_VALUE"""),"karl miller ")</f>
        <v>karl miller </v>
      </c>
      <c r="F3638" s="3"/>
      <c r="G3638" s="3">
        <f>IFERROR(__xludf.DUMMYFUNCTION("""COMPUTED_VALUE"""),9.053722631E9)</f>
        <v>9053722631</v>
      </c>
      <c r="H3638" s="3"/>
    </row>
    <row r="3639">
      <c r="A3639" s="2">
        <f>IFERROR(__xludf.DUMMYFUNCTION("""COMPUTED_VALUE"""),40863.0)</f>
        <v>40863</v>
      </c>
      <c r="B3639" s="3" t="str">
        <f>IFERROR(__xludf.DUMMYFUNCTION("""COMPUTED_VALUE"""),"1888 MCEWEN RD")</f>
        <v>1888 MCEWEN RD</v>
      </c>
      <c r="C3639" s="3" t="str">
        <f>IFERROR(__xludf.DUMMYFUNCTION("""COMPUTED_VALUE"""),"COBOURG")</f>
        <v>COBOURG</v>
      </c>
      <c r="D3639" s="3" t="str">
        <f>IFERROR(__xludf.DUMMYFUNCTION("""COMPUTED_VALUE"""),"K9A 4J8")</f>
        <v>K9A 4J8</v>
      </c>
      <c r="E3639" s="3"/>
      <c r="F3639" s="3"/>
      <c r="G3639" s="3"/>
      <c r="H3639" s="3"/>
    </row>
    <row r="3640">
      <c r="A3640" s="2">
        <f>IFERROR(__xludf.DUMMYFUNCTION("""COMPUTED_VALUE"""),40864.0)</f>
        <v>40864</v>
      </c>
      <c r="B3640" s="3" t="str">
        <f>IFERROR(__xludf.DUMMYFUNCTION("""COMPUTED_VALUE"""),"1906 MC EWEN RD")</f>
        <v>1906 MC EWEN RD</v>
      </c>
      <c r="C3640" s="3" t="str">
        <f>IFERROR(__xludf.DUMMYFUNCTION("""COMPUTED_VALUE"""),"COBOURG")</f>
        <v>COBOURG</v>
      </c>
      <c r="D3640" s="3" t="str">
        <f>IFERROR(__xludf.DUMMYFUNCTION("""COMPUTED_VALUE"""),"K9A 4J8")</f>
        <v>K9A 4J8</v>
      </c>
      <c r="E3640" s="3" t="str">
        <f>IFERROR(__xludf.DUMMYFUNCTION("""COMPUTED_VALUE"""),"donna bonnel ")</f>
        <v>donna bonnel </v>
      </c>
      <c r="F3640" s="3" t="str">
        <f>IFERROR(__xludf.DUMMYFUNCTION("""COMPUTED_VALUE"""),"donder@gmail.com")</f>
        <v>donder@gmail.com</v>
      </c>
      <c r="G3640" s="3">
        <f>IFERROR(__xludf.DUMMYFUNCTION("""COMPUTED_VALUE"""),9.053761927E9)</f>
        <v>9053761927</v>
      </c>
      <c r="H3640" s="3"/>
    </row>
    <row r="3641">
      <c r="A3641" s="2">
        <f>IFERROR(__xludf.DUMMYFUNCTION("""COMPUTED_VALUE"""),40865.0)</f>
        <v>40865</v>
      </c>
      <c r="B3641" s="3" t="str">
        <f>IFERROR(__xludf.DUMMYFUNCTION("""COMPUTED_VALUE"""),"1908 MCEWEN RD Unit A")</f>
        <v>1908 MCEWEN RD Unit A</v>
      </c>
      <c r="C3641" s="3" t="str">
        <f>IFERROR(__xludf.DUMMYFUNCTION("""COMPUTED_VALUE"""),"COBOURG")</f>
        <v>COBOURG</v>
      </c>
      <c r="D3641" s="3" t="str">
        <f>IFERROR(__xludf.DUMMYFUNCTION("""COMPUTED_VALUE"""),"K9A 4J8")</f>
        <v>K9A 4J8</v>
      </c>
      <c r="E3641" s="3" t="str">
        <f>IFERROR(__xludf.DUMMYFUNCTION("""COMPUTED_VALUE"""),"Vincent Davey")</f>
        <v>Vincent Davey</v>
      </c>
      <c r="F3641" s="3" t="str">
        <f>IFERROR(__xludf.DUMMYFUNCTION("""COMPUTED_VALUE"""),"vdavey33@gmail.com")</f>
        <v>vdavey33@gmail.com</v>
      </c>
      <c r="G3641" s="3"/>
      <c r="H3641" s="3"/>
    </row>
    <row r="3642">
      <c r="A3642" s="2">
        <f>IFERROR(__xludf.DUMMYFUNCTION("""COMPUTED_VALUE"""),40866.0)</f>
        <v>40866</v>
      </c>
      <c r="B3642" s="3" t="str">
        <f>IFERROR(__xludf.DUMMYFUNCTION("""COMPUTED_VALUE"""),"1938 MCEWEN RD")</f>
        <v>1938 MCEWEN RD</v>
      </c>
      <c r="C3642" s="3" t="str">
        <f>IFERROR(__xludf.DUMMYFUNCTION("""COMPUTED_VALUE"""),"COBOURG")</f>
        <v>COBOURG</v>
      </c>
      <c r="D3642" s="3" t="str">
        <f>IFERROR(__xludf.DUMMYFUNCTION("""COMPUTED_VALUE"""),"K9A 4J8")</f>
        <v>K9A 4J8</v>
      </c>
      <c r="E3642" s="3" t="str">
        <f>IFERROR(__xludf.DUMMYFUNCTION("""COMPUTED_VALUE"""),"erin campbell ")</f>
        <v>erin campbell </v>
      </c>
      <c r="F3642" s="3"/>
      <c r="G3642" s="3">
        <f>IFERROR(__xludf.DUMMYFUNCTION("""COMPUTED_VALUE"""),9.053756497E9)</f>
        <v>9053756497</v>
      </c>
      <c r="H3642" s="3"/>
    </row>
    <row r="3643">
      <c r="A3643" s="2">
        <f>IFERROR(__xludf.DUMMYFUNCTION("""COMPUTED_VALUE"""),40867.0)</f>
        <v>40867</v>
      </c>
      <c r="B3643" s="3" t="str">
        <f>IFERROR(__xludf.DUMMYFUNCTION("""COMPUTED_VALUE"""),"1979 MCEWEN RD")</f>
        <v>1979 MCEWEN RD</v>
      </c>
      <c r="C3643" s="3" t="str">
        <f>IFERROR(__xludf.DUMMYFUNCTION("""COMPUTED_VALUE"""),"COBOURG")</f>
        <v>COBOURG</v>
      </c>
      <c r="D3643" s="3" t="str">
        <f>IFERROR(__xludf.DUMMYFUNCTION("""COMPUTED_VALUE"""),"K9A 4J8")</f>
        <v>K9A 4J8</v>
      </c>
      <c r="E3643" s="3" t="str">
        <f>IFERROR(__xludf.DUMMYFUNCTION("""COMPUTED_VALUE"""),"Robert &amp; Minke DeJong")</f>
        <v>Robert &amp; Minke DeJong</v>
      </c>
      <c r="F3643" s="3" t="str">
        <f>IFERROR(__xludf.DUMMYFUNCTION("""COMPUTED_VALUE"""),"robminke@eagle.ca")</f>
        <v>robminke@eagle.ca</v>
      </c>
      <c r="G3643" s="3">
        <f>IFERROR(__xludf.DUMMYFUNCTION("""COMPUTED_VALUE"""),9.053760017E9)</f>
        <v>9053760017</v>
      </c>
      <c r="H3643" s="3">
        <f>IFERROR(__xludf.DUMMYFUNCTION("""COMPUTED_VALUE"""),9.052073376E9)</f>
        <v>9052073376</v>
      </c>
    </row>
    <row r="3644">
      <c r="A3644" s="2">
        <f>IFERROR(__xludf.DUMMYFUNCTION("""COMPUTED_VALUE"""),40871.0)</f>
        <v>40871</v>
      </c>
      <c r="B3644" s="3" t="str">
        <f>IFERROR(__xludf.DUMMYFUNCTION("""COMPUTED_VALUE"""),"1497 MOORE ORCHARD RD")</f>
        <v>1497 MOORE ORCHARD RD</v>
      </c>
      <c r="C3644" s="3" t="str">
        <f>IFERROR(__xludf.DUMMYFUNCTION("""COMPUTED_VALUE"""),"COBOURG")</f>
        <v>COBOURG</v>
      </c>
      <c r="D3644" s="3" t="str">
        <f>IFERROR(__xludf.DUMMYFUNCTION("""COMPUTED_VALUE"""),"K9A 4J8")</f>
        <v>K9A 4J8</v>
      </c>
      <c r="E3644" s="3" t="str">
        <f>IFERROR(__xludf.DUMMYFUNCTION("""COMPUTED_VALUE"""),"heidi behan")</f>
        <v>heidi behan</v>
      </c>
      <c r="F3644" s="3" t="str">
        <f>IFERROR(__xludf.DUMMYFUNCTION("""COMPUTED_VALUE"""),"mooreorchards@xplornet.ca")</f>
        <v>mooreorchards@xplornet.ca</v>
      </c>
      <c r="G3644" s="3">
        <f>IFERROR(__xludf.DUMMYFUNCTION("""COMPUTED_VALUE"""),9.053723911E9)</f>
        <v>9053723911</v>
      </c>
      <c r="H3644" s="3"/>
    </row>
    <row r="3645">
      <c r="A3645" s="2">
        <f>IFERROR(__xludf.DUMMYFUNCTION("""COMPUTED_VALUE"""),40872.0)</f>
        <v>40872</v>
      </c>
      <c r="B3645" s="3" t="str">
        <f>IFERROR(__xludf.DUMMYFUNCTION("""COMPUTED_VALUE"""),"1498 MOORE ORCHARD RD")</f>
        <v>1498 MOORE ORCHARD RD</v>
      </c>
      <c r="C3645" s="3" t="str">
        <f>IFERROR(__xludf.DUMMYFUNCTION("""COMPUTED_VALUE"""),"COBOURG")</f>
        <v>COBOURG</v>
      </c>
      <c r="D3645" s="3" t="str">
        <f>IFERROR(__xludf.DUMMYFUNCTION("""COMPUTED_VALUE"""),"K9A 4J8")</f>
        <v>K9A 4J8</v>
      </c>
      <c r="E3645" s="3" t="str">
        <f>IFERROR(__xludf.DUMMYFUNCTION("""COMPUTED_VALUE"""),"Mackenzie Zahn")</f>
        <v>Mackenzie Zahn</v>
      </c>
      <c r="F3645" s="3" t="str">
        <f>IFERROR(__xludf.DUMMYFUNCTION("""COMPUTED_VALUE"""),"mackenzie.zahn@gmail.com")</f>
        <v>mackenzie.zahn@gmail.com</v>
      </c>
      <c r="G3645" s="3">
        <f>IFERROR(__xludf.DUMMYFUNCTION("""COMPUTED_VALUE"""),2.892512472E9)</f>
        <v>2892512472</v>
      </c>
      <c r="H3645" s="3"/>
    </row>
    <row r="3646">
      <c r="A3646" s="2">
        <f>IFERROR(__xludf.DUMMYFUNCTION("""COMPUTED_VALUE"""),40873.0)</f>
        <v>40873</v>
      </c>
      <c r="B3646" s="3" t="str">
        <f>IFERROR(__xludf.DUMMYFUNCTION("""COMPUTED_VALUE"""),"1524 MOORE ORCHARD RD")</f>
        <v>1524 MOORE ORCHARD RD</v>
      </c>
      <c r="C3646" s="3" t="str">
        <f>IFERROR(__xludf.DUMMYFUNCTION("""COMPUTED_VALUE"""),"COBOURG")</f>
        <v>COBOURG</v>
      </c>
      <c r="D3646" s="3" t="str">
        <f>IFERROR(__xludf.DUMMYFUNCTION("""COMPUTED_VALUE"""),"K9A 4J8")</f>
        <v>K9A 4J8</v>
      </c>
      <c r="E3646" s="3" t="str">
        <f>IFERROR(__xludf.DUMMYFUNCTION("""COMPUTED_VALUE"""),"Ray Robinson")</f>
        <v>Ray Robinson</v>
      </c>
      <c r="F3646" s="3" t="str">
        <f>IFERROR(__xludf.DUMMYFUNCTION("""COMPUTED_VALUE"""),"ray1759@gmail.com")</f>
        <v>ray1759@gmail.com</v>
      </c>
      <c r="G3646" s="3"/>
      <c r="H3646" s="3"/>
    </row>
    <row r="3647">
      <c r="A3647" s="2">
        <f>IFERROR(__xludf.DUMMYFUNCTION("""COMPUTED_VALUE"""),40874.0)</f>
        <v>40874</v>
      </c>
      <c r="B3647" s="3" t="str">
        <f>IFERROR(__xludf.DUMMYFUNCTION("""COMPUTED_VALUE"""),"1550 MOORE ORCHARD RD")</f>
        <v>1550 MOORE ORCHARD RD</v>
      </c>
      <c r="C3647" s="3" t="str">
        <f>IFERROR(__xludf.DUMMYFUNCTION("""COMPUTED_VALUE"""),"COBOURG")</f>
        <v>COBOURG</v>
      </c>
      <c r="D3647" s="3" t="str">
        <f>IFERROR(__xludf.DUMMYFUNCTION("""COMPUTED_VALUE"""),"K9A 4J8")</f>
        <v>K9A 4J8</v>
      </c>
      <c r="E3647" s="3"/>
      <c r="F3647" s="3"/>
      <c r="G3647" s="3"/>
      <c r="H3647" s="3"/>
    </row>
    <row r="3648">
      <c r="A3648" s="2">
        <f>IFERROR(__xludf.DUMMYFUNCTION("""COMPUTED_VALUE"""),40875.0)</f>
        <v>40875</v>
      </c>
      <c r="B3648" s="3" t="str">
        <f>IFERROR(__xludf.DUMMYFUNCTION("""COMPUTED_VALUE"""),"104 NAWAUTIN DR")</f>
        <v>104 NAWAUTIN DR</v>
      </c>
      <c r="C3648" s="3" t="str">
        <f>IFERROR(__xludf.DUMMYFUNCTION("""COMPUTED_VALUE"""),"GRAFTON ")</f>
        <v>GRAFTON </v>
      </c>
      <c r="D3648" s="3" t="str">
        <f>IFERROR(__xludf.DUMMYFUNCTION("""COMPUTED_VALUE"""),"K0K 2G0")</f>
        <v>K0K 2G0</v>
      </c>
      <c r="E3648" s="3"/>
      <c r="F3648" s="3"/>
      <c r="G3648" s="3"/>
      <c r="H3648" s="3"/>
    </row>
    <row r="3649">
      <c r="A3649" s="2">
        <f>IFERROR(__xludf.DUMMYFUNCTION("""COMPUTED_VALUE"""),40876.0)</f>
        <v>40876</v>
      </c>
      <c r="B3649" s="3" t="str">
        <f>IFERROR(__xludf.DUMMYFUNCTION("""COMPUTED_VALUE"""),"107 NAWAUTIN DR")</f>
        <v>107 NAWAUTIN DR</v>
      </c>
      <c r="C3649" s="3" t="str">
        <f>IFERROR(__xludf.DUMMYFUNCTION("""COMPUTED_VALUE"""),"GRAFTON ")</f>
        <v>GRAFTON </v>
      </c>
      <c r="D3649" s="3" t="str">
        <f>IFERROR(__xludf.DUMMYFUNCTION("""COMPUTED_VALUE"""),"K0K 2G0")</f>
        <v>K0K 2G0</v>
      </c>
      <c r="E3649" s="3"/>
      <c r="F3649" s="3"/>
      <c r="G3649" s="3"/>
      <c r="H3649" s="3"/>
    </row>
    <row r="3650">
      <c r="A3650" s="2">
        <f>IFERROR(__xludf.DUMMYFUNCTION("""COMPUTED_VALUE"""),40877.0)</f>
        <v>40877</v>
      </c>
      <c r="B3650" s="3" t="str">
        <f>IFERROR(__xludf.DUMMYFUNCTION("""COMPUTED_VALUE"""),"112 NAWAUTIN DR")</f>
        <v>112 NAWAUTIN DR</v>
      </c>
      <c r="C3650" s="3" t="str">
        <f>IFERROR(__xludf.DUMMYFUNCTION("""COMPUTED_VALUE"""),"GRAFTON ")</f>
        <v>GRAFTON </v>
      </c>
      <c r="D3650" s="3" t="str">
        <f>IFERROR(__xludf.DUMMYFUNCTION("""COMPUTED_VALUE"""),"K0K 2G0")</f>
        <v>K0K 2G0</v>
      </c>
      <c r="E3650" s="3"/>
      <c r="F3650" s="3"/>
      <c r="G3650" s="3"/>
      <c r="H3650" s="3"/>
    </row>
    <row r="3651">
      <c r="A3651" s="2">
        <f>IFERROR(__xludf.DUMMYFUNCTION("""COMPUTED_VALUE"""),40878.0)</f>
        <v>40878</v>
      </c>
      <c r="B3651" s="3" t="str">
        <f>IFERROR(__xludf.DUMMYFUNCTION("""COMPUTED_VALUE"""),"114 NAWAUTIN DR")</f>
        <v>114 NAWAUTIN DR</v>
      </c>
      <c r="C3651" s="3" t="str">
        <f>IFERROR(__xludf.DUMMYFUNCTION("""COMPUTED_VALUE"""),"GRAFTON ")</f>
        <v>GRAFTON </v>
      </c>
      <c r="D3651" s="3" t="str">
        <f>IFERROR(__xludf.DUMMYFUNCTION("""COMPUTED_VALUE"""),"K0K 2G0")</f>
        <v>K0K 2G0</v>
      </c>
      <c r="E3651" s="3"/>
      <c r="F3651" s="3"/>
      <c r="G3651" s="3"/>
      <c r="H3651" s="3"/>
    </row>
    <row r="3652">
      <c r="A3652" s="2">
        <f>IFERROR(__xludf.DUMMYFUNCTION("""COMPUTED_VALUE"""),40879.0)</f>
        <v>40879</v>
      </c>
      <c r="B3652" s="3" t="str">
        <f>IFERROR(__xludf.DUMMYFUNCTION("""COMPUTED_VALUE"""),"121 NAWAUTIN DR")</f>
        <v>121 NAWAUTIN DR</v>
      </c>
      <c r="C3652" s="3" t="str">
        <f>IFERROR(__xludf.DUMMYFUNCTION("""COMPUTED_VALUE"""),"GRAFTON ")</f>
        <v>GRAFTON </v>
      </c>
      <c r="D3652" s="3" t="str">
        <f>IFERROR(__xludf.DUMMYFUNCTION("""COMPUTED_VALUE"""),"K0K 2G0")</f>
        <v>K0K 2G0</v>
      </c>
      <c r="E3652" s="3" t="str">
        <f>IFERROR(__xludf.DUMMYFUNCTION("""COMPUTED_VALUE"""),"mavis rowland")</f>
        <v>mavis rowland</v>
      </c>
      <c r="F3652" s="3" t="str">
        <f>IFERROR(__xludf.DUMMYFUNCTION("""COMPUTED_VALUE"""),"mavisrowland@live.ca")</f>
        <v>mavisrowland@live.ca</v>
      </c>
      <c r="G3652" s="3">
        <f>IFERROR(__xludf.DUMMYFUNCTION("""COMPUTED_VALUE"""),9.053493568E9)</f>
        <v>9053493568</v>
      </c>
      <c r="H3652" s="3"/>
    </row>
    <row r="3653">
      <c r="A3653" s="2">
        <f>IFERROR(__xludf.DUMMYFUNCTION("""COMPUTED_VALUE"""),40880.0)</f>
        <v>40880</v>
      </c>
      <c r="B3653" s="3" t="str">
        <f>IFERROR(__xludf.DUMMYFUNCTION("""COMPUTED_VALUE"""),"127 NAWAUTIN DR")</f>
        <v>127 NAWAUTIN DR</v>
      </c>
      <c r="C3653" s="3" t="str">
        <f>IFERROR(__xludf.DUMMYFUNCTION("""COMPUTED_VALUE"""),"GRAFTON ")</f>
        <v>GRAFTON </v>
      </c>
      <c r="D3653" s="3" t="str">
        <f>IFERROR(__xludf.DUMMYFUNCTION("""COMPUTED_VALUE"""),"K0K 2G0")</f>
        <v>K0K 2G0</v>
      </c>
      <c r="E3653" s="3" t="str">
        <f>IFERROR(__xludf.DUMMYFUNCTION("""COMPUTED_VALUE"""),"ROD RIER")</f>
        <v>ROD RIER</v>
      </c>
      <c r="F3653" s="3" t="str">
        <f>IFERROR(__xludf.DUMMYFUNCTION("""COMPUTED_VALUE"""),"rod@motionpac.com")</f>
        <v>rod@motionpac.com</v>
      </c>
      <c r="G3653" s="3"/>
      <c r="H3653" s="3"/>
    </row>
    <row r="3654">
      <c r="A3654" s="2">
        <f>IFERROR(__xludf.DUMMYFUNCTION("""COMPUTED_VALUE"""),40881.0)</f>
        <v>40881</v>
      </c>
      <c r="B3654" s="3" t="str">
        <f>IFERROR(__xludf.DUMMYFUNCTION("""COMPUTED_VALUE"""),"136 NAWAUTIN DR")</f>
        <v>136 NAWAUTIN DR</v>
      </c>
      <c r="C3654" s="3" t="str">
        <f>IFERROR(__xludf.DUMMYFUNCTION("""COMPUTED_VALUE"""),"GRAFTON ")</f>
        <v>GRAFTON </v>
      </c>
      <c r="D3654" s="3" t="str">
        <f>IFERROR(__xludf.DUMMYFUNCTION("""COMPUTED_VALUE"""),"K0K 2G0")</f>
        <v>K0K 2G0</v>
      </c>
      <c r="E3654" s="3"/>
      <c r="F3654" s="3"/>
      <c r="G3654" s="3"/>
      <c r="H3654" s="3"/>
    </row>
    <row r="3655">
      <c r="A3655" s="2">
        <f>IFERROR(__xludf.DUMMYFUNCTION("""COMPUTED_VALUE"""),40882.0)</f>
        <v>40882</v>
      </c>
      <c r="B3655" s="3" t="str">
        <f>IFERROR(__xludf.DUMMYFUNCTION("""COMPUTED_VALUE"""),"139 NAWAUTIN DR")</f>
        <v>139 NAWAUTIN DR</v>
      </c>
      <c r="C3655" s="3" t="str">
        <f>IFERROR(__xludf.DUMMYFUNCTION("""COMPUTED_VALUE"""),"GRAFTON ")</f>
        <v>GRAFTON </v>
      </c>
      <c r="D3655" s="3" t="str">
        <f>IFERROR(__xludf.DUMMYFUNCTION("""COMPUTED_VALUE"""),"K0K 2G0")</f>
        <v>K0K 2G0</v>
      </c>
      <c r="E3655" s="3"/>
      <c r="F3655" s="3"/>
      <c r="G3655" s="3"/>
      <c r="H3655" s="3"/>
    </row>
    <row r="3656">
      <c r="A3656" s="2">
        <f>IFERROR(__xludf.DUMMYFUNCTION("""COMPUTED_VALUE"""),40883.0)</f>
        <v>40883</v>
      </c>
      <c r="B3656" s="3" t="str">
        <f>IFERROR(__xludf.DUMMYFUNCTION("""COMPUTED_VALUE"""),"144 NAWAUTIN DR")</f>
        <v>144 NAWAUTIN DR</v>
      </c>
      <c r="C3656" s="3" t="str">
        <f>IFERROR(__xludf.DUMMYFUNCTION("""COMPUTED_VALUE"""),"GRAFTON ")</f>
        <v>GRAFTON </v>
      </c>
      <c r="D3656" s="3" t="str">
        <f>IFERROR(__xludf.DUMMYFUNCTION("""COMPUTED_VALUE"""),"K0K 2G0")</f>
        <v>K0K 2G0</v>
      </c>
      <c r="E3656" s="3"/>
      <c r="F3656" s="3"/>
      <c r="G3656" s="3"/>
      <c r="H3656" s="3"/>
    </row>
    <row r="3657">
      <c r="A3657" s="2">
        <f>IFERROR(__xludf.DUMMYFUNCTION("""COMPUTED_VALUE"""),40884.0)</f>
        <v>40884</v>
      </c>
      <c r="B3657" s="3" t="str">
        <f>IFERROR(__xludf.DUMMYFUNCTION("""COMPUTED_VALUE"""),"147 NAWAUTIN DR")</f>
        <v>147 NAWAUTIN DR</v>
      </c>
      <c r="C3657" s="3" t="str">
        <f>IFERROR(__xludf.DUMMYFUNCTION("""COMPUTED_VALUE"""),"GRAFTON ")</f>
        <v>GRAFTON </v>
      </c>
      <c r="D3657" s="3" t="str">
        <f>IFERROR(__xludf.DUMMYFUNCTION("""COMPUTED_VALUE"""),"K0K 2G0")</f>
        <v>K0K 2G0</v>
      </c>
      <c r="E3657" s="3" t="str">
        <f>IFERROR(__xludf.DUMMYFUNCTION("""COMPUTED_VALUE"""),"ANIKET PANT")</f>
        <v>ANIKET PANT</v>
      </c>
      <c r="F3657" s="3" t="str">
        <f>IFERROR(__xludf.DUMMYFUNCTION("""COMPUTED_VALUE"""),"apant@alum.mit.edu")</f>
        <v>apant@alum.mit.edu</v>
      </c>
      <c r="G3657" s="3"/>
      <c r="H3657" s="3"/>
    </row>
    <row r="3658">
      <c r="A3658" s="2">
        <f>IFERROR(__xludf.DUMMYFUNCTION("""COMPUTED_VALUE"""),40885.0)</f>
        <v>40885</v>
      </c>
      <c r="B3658" s="3" t="str">
        <f>IFERROR(__xludf.DUMMYFUNCTION("""COMPUTED_VALUE"""),"152 NAWAUTIN DR")</f>
        <v>152 NAWAUTIN DR</v>
      </c>
      <c r="C3658" s="3" t="str">
        <f>IFERROR(__xludf.DUMMYFUNCTION("""COMPUTED_VALUE"""),"GRAFTON ")</f>
        <v>GRAFTON </v>
      </c>
      <c r="D3658" s="3" t="str">
        <f>IFERROR(__xludf.DUMMYFUNCTION("""COMPUTED_VALUE"""),"K0K 2G0")</f>
        <v>K0K 2G0</v>
      </c>
      <c r="E3658" s="3" t="str">
        <f>IFERROR(__xludf.DUMMYFUNCTION("""COMPUTED_VALUE"""),"richard and carolyn conrad")</f>
        <v>richard and carolyn conrad</v>
      </c>
      <c r="F3658" s="3" t="str">
        <f>IFERROR(__xludf.DUMMYFUNCTION("""COMPUTED_VALUE"""),"conradrick@gmail.com/ carolynconrad@gmail.com")</f>
        <v>conradrick@gmail.com/ carolynconrad@gmail.com</v>
      </c>
      <c r="G3658" s="3">
        <f>IFERROR(__xludf.DUMMYFUNCTION("""COMPUTED_VALUE"""),9.05375935E9)</f>
        <v>9053759350</v>
      </c>
      <c r="H3658" s="3"/>
    </row>
    <row r="3659">
      <c r="A3659" s="2">
        <f>IFERROR(__xludf.DUMMYFUNCTION("""COMPUTED_VALUE"""),40886.0)</f>
        <v>40886</v>
      </c>
      <c r="B3659" s="3" t="str">
        <f>IFERROR(__xludf.DUMMYFUNCTION("""COMPUTED_VALUE"""),"159 NAWAUTIN DR")</f>
        <v>159 NAWAUTIN DR</v>
      </c>
      <c r="C3659" s="3" t="str">
        <f>IFERROR(__xludf.DUMMYFUNCTION("""COMPUTED_VALUE"""),"GRAFTON ")</f>
        <v>GRAFTON </v>
      </c>
      <c r="D3659" s="3" t="str">
        <f>IFERROR(__xludf.DUMMYFUNCTION("""COMPUTED_VALUE"""),"K0K 2G0")</f>
        <v>K0K 2G0</v>
      </c>
      <c r="E3659" s="3"/>
      <c r="F3659" s="3"/>
      <c r="G3659" s="3"/>
      <c r="H3659" s="3"/>
    </row>
    <row r="3660">
      <c r="A3660" s="2">
        <f>IFERROR(__xludf.DUMMYFUNCTION("""COMPUTED_VALUE"""),40887.0)</f>
        <v>40887</v>
      </c>
      <c r="B3660" s="3" t="str">
        <f>IFERROR(__xludf.DUMMYFUNCTION("""COMPUTED_VALUE"""),"162 NAWAUTIN DR")</f>
        <v>162 NAWAUTIN DR</v>
      </c>
      <c r="C3660" s="3" t="str">
        <f>IFERROR(__xludf.DUMMYFUNCTION("""COMPUTED_VALUE"""),"GRAFTON ")</f>
        <v>GRAFTON </v>
      </c>
      <c r="D3660" s="3" t="str">
        <f>IFERROR(__xludf.DUMMYFUNCTION("""COMPUTED_VALUE"""),"K0K 2G0")</f>
        <v>K0K 2G0</v>
      </c>
      <c r="E3660" s="3" t="str">
        <f>IFERROR(__xludf.DUMMYFUNCTION("""COMPUTED_VALUE"""),"Valarie Macintosh")</f>
        <v>Valarie Macintosh</v>
      </c>
      <c r="F3660" s="3" t="str">
        <f>IFERROR(__xludf.DUMMYFUNCTION("""COMPUTED_VALUE"""),"macin1935@gmail.com")</f>
        <v>macin1935@gmail.com</v>
      </c>
      <c r="G3660" s="3"/>
      <c r="H3660" s="3"/>
    </row>
    <row r="3661">
      <c r="A3661" s="2">
        <f>IFERROR(__xludf.DUMMYFUNCTION("""COMPUTED_VALUE"""),40888.0)</f>
        <v>40888</v>
      </c>
      <c r="B3661" s="3" t="str">
        <f>IFERROR(__xludf.DUMMYFUNCTION("""COMPUTED_VALUE"""),"176 NAWAUTIN DR")</f>
        <v>176 NAWAUTIN DR</v>
      </c>
      <c r="C3661" s="3" t="str">
        <f>IFERROR(__xludf.DUMMYFUNCTION("""COMPUTED_VALUE"""),"GRAFTON ")</f>
        <v>GRAFTON </v>
      </c>
      <c r="D3661" s="3" t="str">
        <f>IFERROR(__xludf.DUMMYFUNCTION("""COMPUTED_VALUE"""),"K0K 2G0")</f>
        <v>K0K 2G0</v>
      </c>
      <c r="E3661" s="3" t="str">
        <f>IFERROR(__xludf.DUMMYFUNCTION("""COMPUTED_VALUE"""),"naomi higgins")</f>
        <v>naomi higgins</v>
      </c>
      <c r="F3661" s="3" t="str">
        <f>IFERROR(__xludf.DUMMYFUNCTION("""COMPUTED_VALUE"""),"naomikh176@gmail.com")</f>
        <v>naomikh176@gmail.com</v>
      </c>
      <c r="G3661" s="3">
        <f>IFERROR(__xludf.DUMMYFUNCTION("""COMPUTED_VALUE"""),9.05349399E9)</f>
        <v>9053493990</v>
      </c>
      <c r="H3661" s="3"/>
    </row>
    <row r="3662">
      <c r="A3662" s="2">
        <f>IFERROR(__xludf.DUMMYFUNCTION("""COMPUTED_VALUE"""),40889.0)</f>
        <v>40889</v>
      </c>
      <c r="B3662" s="3" t="str">
        <f>IFERROR(__xludf.DUMMYFUNCTION("""COMPUTED_VALUE"""),"194 NAWAUTIN DR")</f>
        <v>194 NAWAUTIN DR</v>
      </c>
      <c r="C3662" s="3" t="str">
        <f>IFERROR(__xludf.DUMMYFUNCTION("""COMPUTED_VALUE"""),"GRAFTON ")</f>
        <v>GRAFTON </v>
      </c>
      <c r="D3662" s="3" t="str">
        <f>IFERROR(__xludf.DUMMYFUNCTION("""COMPUTED_VALUE"""),"K0K 2G0")</f>
        <v>K0K 2G0</v>
      </c>
      <c r="E3662" s="3"/>
      <c r="F3662" s="3"/>
      <c r="G3662" s="3"/>
      <c r="H3662" s="3"/>
    </row>
    <row r="3663">
      <c r="A3663" s="2">
        <f>IFERROR(__xludf.DUMMYFUNCTION("""COMPUTED_VALUE"""),40890.0)</f>
        <v>40890</v>
      </c>
      <c r="B3663" s="3" t="str">
        <f>IFERROR(__xludf.DUMMYFUNCTION("""COMPUTED_VALUE"""),"203 NAWAUTIN DR")</f>
        <v>203 NAWAUTIN DR</v>
      </c>
      <c r="C3663" s="3" t="str">
        <f>IFERROR(__xludf.DUMMYFUNCTION("""COMPUTED_VALUE"""),"GRAFTON ")</f>
        <v>GRAFTON </v>
      </c>
      <c r="D3663" s="3" t="str">
        <f>IFERROR(__xludf.DUMMYFUNCTION("""COMPUTED_VALUE"""),"K0K 2G0")</f>
        <v>K0K 2G0</v>
      </c>
      <c r="E3663" s="3"/>
      <c r="F3663" s="3"/>
      <c r="G3663" s="3"/>
      <c r="H3663" s="3"/>
    </row>
    <row r="3664">
      <c r="A3664" s="2">
        <f>IFERROR(__xludf.DUMMYFUNCTION("""COMPUTED_VALUE"""),40891.0)</f>
        <v>40891</v>
      </c>
      <c r="B3664" s="3" t="str">
        <f>IFERROR(__xludf.DUMMYFUNCTION("""COMPUTED_VALUE"""),"372 NAWAUTIN DR")</f>
        <v>372 NAWAUTIN DR</v>
      </c>
      <c r="C3664" s="3" t="str">
        <f>IFERROR(__xludf.DUMMYFUNCTION("""COMPUTED_VALUE"""),"GRAFTON ")</f>
        <v>GRAFTON </v>
      </c>
      <c r="D3664" s="3" t="str">
        <f>IFERROR(__xludf.DUMMYFUNCTION("""COMPUTED_VALUE"""),"K0K 2G0")</f>
        <v>K0K 2G0</v>
      </c>
      <c r="E3664" s="3" t="str">
        <f>IFERROR(__xludf.DUMMYFUNCTION("""COMPUTED_VALUE"""),"Susan Sansalone")</f>
        <v>Susan Sansalone</v>
      </c>
      <c r="F3664" s="3" t="str">
        <f>IFERROR(__xludf.DUMMYFUNCTION("""COMPUTED_VALUE"""),"n/a")</f>
        <v>n/a</v>
      </c>
      <c r="G3664" s="3"/>
      <c r="H3664" s="3"/>
    </row>
    <row r="3665">
      <c r="A3665" s="2">
        <f>IFERROR(__xludf.DUMMYFUNCTION("""COMPUTED_VALUE"""),40892.0)</f>
        <v>40892</v>
      </c>
      <c r="B3665" s="3" t="str">
        <f>IFERROR(__xludf.DUMMYFUNCTION("""COMPUTED_VALUE"""),"377 NAWAUTIN DR")</f>
        <v>377 NAWAUTIN DR</v>
      </c>
      <c r="C3665" s="3" t="str">
        <f>IFERROR(__xludf.DUMMYFUNCTION("""COMPUTED_VALUE"""),"GRAFTON ")</f>
        <v>GRAFTON </v>
      </c>
      <c r="D3665" s="3" t="str">
        <f>IFERROR(__xludf.DUMMYFUNCTION("""COMPUTED_VALUE"""),"K0K 2G0")</f>
        <v>K0K 2G0</v>
      </c>
      <c r="E3665" s="3"/>
      <c r="F3665" s="3"/>
      <c r="G3665" s="3"/>
      <c r="H3665" s="3"/>
    </row>
    <row r="3666">
      <c r="A3666" s="2">
        <f>IFERROR(__xludf.DUMMYFUNCTION("""COMPUTED_VALUE"""),40893.0)</f>
        <v>40893</v>
      </c>
      <c r="B3666" s="3" t="str">
        <f>IFERROR(__xludf.DUMMYFUNCTION("""COMPUTED_VALUE"""),"385 NAWAUTIN DR")</f>
        <v>385 NAWAUTIN DR</v>
      </c>
      <c r="C3666" s="3" t="str">
        <f>IFERROR(__xludf.DUMMYFUNCTION("""COMPUTED_VALUE"""),"GRAFTON ")</f>
        <v>GRAFTON </v>
      </c>
      <c r="D3666" s="3" t="str">
        <f>IFERROR(__xludf.DUMMYFUNCTION("""COMPUTED_VALUE"""),"K0K 2G0")</f>
        <v>K0K 2G0</v>
      </c>
      <c r="E3666" s="3" t="str">
        <f>IFERROR(__xludf.DUMMYFUNCTION("""COMPUTED_VALUE"""),"Aaron Whitney")</f>
        <v>Aaron Whitney</v>
      </c>
      <c r="F3666" s="3" t="str">
        <f>IFERROR(__xludf.DUMMYFUNCTION("""COMPUTED_VALUE"""),"ajwtimber@yahoo.ca")</f>
        <v>ajwtimber@yahoo.ca</v>
      </c>
      <c r="G3666" s="3"/>
      <c r="H3666" s="3"/>
    </row>
    <row r="3667">
      <c r="A3667" s="2">
        <f>IFERROR(__xludf.DUMMYFUNCTION("""COMPUTED_VALUE"""),40894.0)</f>
        <v>40894</v>
      </c>
      <c r="B3667" s="3" t="str">
        <f>IFERROR(__xludf.DUMMYFUNCTION("""COMPUTED_VALUE"""),"386 NAWAUTIN DR")</f>
        <v>386 NAWAUTIN DR</v>
      </c>
      <c r="C3667" s="3" t="str">
        <f>IFERROR(__xludf.DUMMYFUNCTION("""COMPUTED_VALUE"""),"GRAFTON ")</f>
        <v>GRAFTON </v>
      </c>
      <c r="D3667" s="3" t="str">
        <f>IFERROR(__xludf.DUMMYFUNCTION("""COMPUTED_VALUE"""),"K0K 2G0")</f>
        <v>K0K 2G0</v>
      </c>
      <c r="E3667" s="3" t="str">
        <f>IFERROR(__xludf.DUMMYFUNCTION("""COMPUTED_VALUE"""),"Arnold Murphy")</f>
        <v>Arnold Murphy</v>
      </c>
      <c r="F3667" s="3" t="str">
        <f>IFERROR(__xludf.DUMMYFUNCTION("""COMPUTED_VALUE"""),"amurphy3476@gmail.com")</f>
        <v>amurphy3476@gmail.com</v>
      </c>
      <c r="G3667" s="3">
        <f>IFERROR(__xludf.DUMMYFUNCTION("""COMPUTED_VALUE"""),6.135584415E9)</f>
        <v>6135584415</v>
      </c>
      <c r="H3667" s="3"/>
    </row>
    <row r="3668">
      <c r="A3668" s="2">
        <f>IFERROR(__xludf.DUMMYFUNCTION("""COMPUTED_VALUE"""),40895.0)</f>
        <v>40895</v>
      </c>
      <c r="B3668" s="3" t="str">
        <f>IFERROR(__xludf.DUMMYFUNCTION("""COMPUTED_VALUE"""),"393 NAWAUTIN DR")</f>
        <v>393 NAWAUTIN DR</v>
      </c>
      <c r="C3668" s="3" t="str">
        <f>IFERROR(__xludf.DUMMYFUNCTION("""COMPUTED_VALUE"""),"GRAFTON ")</f>
        <v>GRAFTON </v>
      </c>
      <c r="D3668" s="3" t="str">
        <f>IFERROR(__xludf.DUMMYFUNCTION("""COMPUTED_VALUE"""),"K0K 2G0")</f>
        <v>K0K 2G0</v>
      </c>
      <c r="E3668" s="3" t="str">
        <f>IFERROR(__xludf.DUMMYFUNCTION("""COMPUTED_VALUE"""),"lubi uzunovski")</f>
        <v>lubi uzunovski</v>
      </c>
      <c r="F3668" s="3" t="str">
        <f>IFERROR(__xludf.DUMMYFUNCTION("""COMPUTED_VALUE"""),"uzunov@rogers.com")</f>
        <v>uzunov@rogers.com</v>
      </c>
      <c r="G3668" s="3">
        <f>IFERROR(__xludf.DUMMYFUNCTION("""COMPUTED_VALUE"""),9.053490474E9)</f>
        <v>9053490474</v>
      </c>
      <c r="H3668" s="3"/>
    </row>
    <row r="3669">
      <c r="A3669" s="2">
        <f>IFERROR(__xludf.DUMMYFUNCTION("""COMPUTED_VALUE"""),40896.0)</f>
        <v>40896</v>
      </c>
      <c r="B3669" s="3" t="str">
        <f>IFERROR(__xludf.DUMMYFUNCTION("""COMPUTED_VALUE"""),"396 NAWAUTIN DR")</f>
        <v>396 NAWAUTIN DR</v>
      </c>
      <c r="C3669" s="3" t="str">
        <f>IFERROR(__xludf.DUMMYFUNCTION("""COMPUTED_VALUE"""),"GRAFTON ")</f>
        <v>GRAFTON </v>
      </c>
      <c r="D3669" s="3" t="str">
        <f>IFERROR(__xludf.DUMMYFUNCTION("""COMPUTED_VALUE"""),"K0K 2G0")</f>
        <v>K0K 2G0</v>
      </c>
      <c r="E3669" s="3" t="str">
        <f>IFERROR(__xludf.DUMMYFUNCTION("""COMPUTED_VALUE"""),"doug jones ")</f>
        <v>doug jones </v>
      </c>
      <c r="F3669" s="3" t="str">
        <f>IFERROR(__xludf.DUMMYFUNCTION("""COMPUTED_VALUE"""),"djonesfire4440@gmail.com")</f>
        <v>djonesfire4440@gmail.com</v>
      </c>
      <c r="G3669" s="3">
        <f>IFERROR(__xludf.DUMMYFUNCTION("""COMPUTED_VALUE"""),9.055055242E9)</f>
        <v>9055055242</v>
      </c>
      <c r="H3669" s="3">
        <f>IFERROR(__xludf.DUMMYFUNCTION("""COMPUTED_VALUE"""),6.476767773E9)</f>
        <v>6476767773</v>
      </c>
    </row>
    <row r="3670">
      <c r="A3670" s="2">
        <f>IFERROR(__xludf.DUMMYFUNCTION("""COMPUTED_VALUE"""),40897.0)</f>
        <v>40897</v>
      </c>
      <c r="B3670" s="3" t="str">
        <f>IFERROR(__xludf.DUMMYFUNCTION("""COMPUTED_VALUE"""),"420 NAWAUTIN DR")</f>
        <v>420 NAWAUTIN DR</v>
      </c>
      <c r="C3670" s="3" t="str">
        <f>IFERROR(__xludf.DUMMYFUNCTION("""COMPUTED_VALUE"""),"GRAFTON ")</f>
        <v>GRAFTON </v>
      </c>
      <c r="D3670" s="3" t="str">
        <f>IFERROR(__xludf.DUMMYFUNCTION("""COMPUTED_VALUE"""),"K0K 2G0")</f>
        <v>K0K 2G0</v>
      </c>
      <c r="E3670" s="3" t="str">
        <f>IFERROR(__xludf.DUMMYFUNCTION("""COMPUTED_VALUE"""),"colin turnpenney")</f>
        <v>colin turnpenney</v>
      </c>
      <c r="F3670" s="3" t="str">
        <f>IFERROR(__xludf.DUMMYFUNCTION("""COMPUTED_VALUE"""),"colinv@bell.net")</f>
        <v>colinv@bell.net</v>
      </c>
      <c r="G3670" s="3">
        <f>IFERROR(__xludf.DUMMYFUNCTION("""COMPUTED_VALUE"""),9.053491023E9)</f>
        <v>9053491023</v>
      </c>
      <c r="H3670" s="3">
        <f>IFERROR(__xludf.DUMMYFUNCTION("""COMPUTED_VALUE"""),2.892563702E9)</f>
        <v>2892563702</v>
      </c>
    </row>
    <row r="3671">
      <c r="A3671" s="2">
        <f>IFERROR(__xludf.DUMMYFUNCTION("""COMPUTED_VALUE"""),40898.0)</f>
        <v>40898</v>
      </c>
      <c r="B3671" s="3" t="str">
        <f>IFERROR(__xludf.DUMMYFUNCTION("""COMPUTED_VALUE"""),"432 NAWAUTIN DR")</f>
        <v>432 NAWAUTIN DR</v>
      </c>
      <c r="C3671" s="3" t="str">
        <f>IFERROR(__xludf.DUMMYFUNCTION("""COMPUTED_VALUE"""),"GRAFTON ")</f>
        <v>GRAFTON </v>
      </c>
      <c r="D3671" s="3" t="str">
        <f>IFERROR(__xludf.DUMMYFUNCTION("""COMPUTED_VALUE"""),"K0K 2G0")</f>
        <v>K0K 2G0</v>
      </c>
      <c r="E3671" s="3"/>
      <c r="F3671" s="3"/>
      <c r="G3671" s="3"/>
      <c r="H3671" s="3"/>
    </row>
    <row r="3672">
      <c r="A3672" s="2">
        <f>IFERROR(__xludf.DUMMYFUNCTION("""COMPUTED_VALUE"""),40899.0)</f>
        <v>40899</v>
      </c>
      <c r="B3672" s="3" t="str">
        <f>IFERROR(__xludf.DUMMYFUNCTION("""COMPUTED_VALUE"""),"436 NAWAUTIN DR")</f>
        <v>436 NAWAUTIN DR</v>
      </c>
      <c r="C3672" s="3" t="str">
        <f>IFERROR(__xludf.DUMMYFUNCTION("""COMPUTED_VALUE"""),"GRAFTON ")</f>
        <v>GRAFTON </v>
      </c>
      <c r="D3672" s="3" t="str">
        <f>IFERROR(__xludf.DUMMYFUNCTION("""COMPUTED_VALUE"""),"K0K 2G0")</f>
        <v>K0K 2G0</v>
      </c>
      <c r="E3672" s="3" t="str">
        <f>IFERROR(__xludf.DUMMYFUNCTION("""COMPUTED_VALUE"""),"chanel cezair")</f>
        <v>chanel cezair</v>
      </c>
      <c r="F3672" s="3" t="str">
        <f>IFERROR(__xludf.DUMMYFUNCTION("""COMPUTED_VALUE"""),"chanelcezair@gmail.com")</f>
        <v>chanelcezair@gmail.com</v>
      </c>
      <c r="G3672" s="3">
        <f>IFERROR(__xludf.DUMMYFUNCTION("""COMPUTED_VALUE"""),4.168015736E9)</f>
        <v>4168015736</v>
      </c>
      <c r="H3672" s="3"/>
    </row>
    <row r="3673">
      <c r="A3673" s="2">
        <f>IFERROR(__xludf.DUMMYFUNCTION("""COMPUTED_VALUE"""),40900.0)</f>
        <v>40900</v>
      </c>
      <c r="B3673" s="3" t="str">
        <f>IFERROR(__xludf.DUMMYFUNCTION("""COMPUTED_VALUE"""),"101 NORTH SHORE RD")</f>
        <v>101 NORTH SHORE RD</v>
      </c>
      <c r="C3673" s="3" t="str">
        <f>IFERROR(__xludf.DUMMYFUNCTION("""COMPUTED_VALUE"""),"GRAFTON ")</f>
        <v>GRAFTON </v>
      </c>
      <c r="D3673" s="3" t="str">
        <f>IFERROR(__xludf.DUMMYFUNCTION("""COMPUTED_VALUE"""),"K0K 2G0")</f>
        <v>K0K 2G0</v>
      </c>
      <c r="E3673" s="3"/>
      <c r="F3673" s="3"/>
      <c r="G3673" s="3"/>
      <c r="H3673" s="3"/>
    </row>
    <row r="3674">
      <c r="A3674" s="2">
        <f>IFERROR(__xludf.DUMMYFUNCTION("""COMPUTED_VALUE"""),40901.0)</f>
        <v>40901</v>
      </c>
      <c r="B3674" s="3" t="str">
        <f>IFERROR(__xludf.DUMMYFUNCTION("""COMPUTED_VALUE"""),"105 NORTH SHORE RD")</f>
        <v>105 NORTH SHORE RD</v>
      </c>
      <c r="C3674" s="3" t="str">
        <f>IFERROR(__xludf.DUMMYFUNCTION("""COMPUTED_VALUE"""),"GRAFTON ")</f>
        <v>GRAFTON </v>
      </c>
      <c r="D3674" s="3" t="str">
        <f>IFERROR(__xludf.DUMMYFUNCTION("""COMPUTED_VALUE"""),"K0K 2G0")</f>
        <v>K0K 2G0</v>
      </c>
      <c r="E3674" s="3" t="str">
        <f>IFERROR(__xludf.DUMMYFUNCTION("""COMPUTED_VALUE"""),"Herbert NEHR")</f>
        <v>Herbert NEHR</v>
      </c>
      <c r="F3674" s="3" t="str">
        <f>IFERROR(__xludf.DUMMYFUNCTION("""COMPUTED_VALUE"""),"bnehr@sympathico.ca")</f>
        <v>bnehr@sympathico.ca</v>
      </c>
      <c r="G3674" s="3"/>
      <c r="H3674" s="3"/>
    </row>
    <row r="3675">
      <c r="A3675" s="2">
        <f>IFERROR(__xludf.DUMMYFUNCTION("""COMPUTED_VALUE"""),40902.0)</f>
        <v>40902</v>
      </c>
      <c r="B3675" s="3" t="str">
        <f>IFERROR(__xludf.DUMMYFUNCTION("""COMPUTED_VALUE"""),"112 NORTH SHORE RD")</f>
        <v>112 NORTH SHORE RD</v>
      </c>
      <c r="C3675" s="3" t="str">
        <f>IFERROR(__xludf.DUMMYFUNCTION("""COMPUTED_VALUE"""),"GRAFTON ")</f>
        <v>GRAFTON </v>
      </c>
      <c r="D3675" s="3" t="str">
        <f>IFERROR(__xludf.DUMMYFUNCTION("""COMPUTED_VALUE"""),"K0K 2G0")</f>
        <v>K0K 2G0</v>
      </c>
      <c r="E3675" s="3" t="str">
        <f>IFERROR(__xludf.DUMMYFUNCTION("""COMPUTED_VALUE"""),"penelope pickquibell")</f>
        <v>penelope pickquibell</v>
      </c>
      <c r="F3675" s="3" t="str">
        <f>IFERROR(__xludf.DUMMYFUNCTION("""COMPUTED_VALUE"""),"pennyandmikequibell@gmail.ca")</f>
        <v>pennyandmikequibell@gmail.ca</v>
      </c>
      <c r="G3675" s="3">
        <f>IFERROR(__xludf.DUMMYFUNCTION("""COMPUTED_VALUE"""),9.053761989E9)</f>
        <v>9053761989</v>
      </c>
      <c r="H3675" s="3"/>
    </row>
    <row r="3676">
      <c r="A3676" s="2">
        <f>IFERROR(__xludf.DUMMYFUNCTION("""COMPUTED_VALUE"""),40903.0)</f>
        <v>40903</v>
      </c>
      <c r="B3676" s="3" t="str">
        <f>IFERROR(__xludf.DUMMYFUNCTION("""COMPUTED_VALUE"""),"113 NORTH SHORE RD")</f>
        <v>113 NORTH SHORE RD</v>
      </c>
      <c r="C3676" s="3" t="str">
        <f>IFERROR(__xludf.DUMMYFUNCTION("""COMPUTED_VALUE"""),"GRAFTON ")</f>
        <v>GRAFTON </v>
      </c>
      <c r="D3676" s="3" t="str">
        <f>IFERROR(__xludf.DUMMYFUNCTION("""COMPUTED_VALUE"""),"K0K 2G0")</f>
        <v>K0K 2G0</v>
      </c>
      <c r="E3676" s="3" t="str">
        <f>IFERROR(__xludf.DUMMYFUNCTION("""COMPUTED_VALUE"""),"Coleen Mitchell")</f>
        <v>Coleen Mitchell</v>
      </c>
      <c r="F3676" s="3" t="str">
        <f>IFERROR(__xludf.DUMMYFUNCTION("""COMPUTED_VALUE"""),"coleenlmitchell@gmail.com")</f>
        <v>coleenlmitchell@gmail.com</v>
      </c>
      <c r="G3676" s="3">
        <f>IFERROR(__xludf.DUMMYFUNCTION("""COMPUTED_VALUE"""),4.166276021E9)</f>
        <v>4166276021</v>
      </c>
      <c r="H3676" s="3"/>
    </row>
    <row r="3677">
      <c r="A3677" s="2">
        <f>IFERROR(__xludf.DUMMYFUNCTION("""COMPUTED_VALUE"""),40904.0)</f>
        <v>40904</v>
      </c>
      <c r="B3677" s="3" t="str">
        <f>IFERROR(__xludf.DUMMYFUNCTION("""COMPUTED_VALUE"""),"116 NORTH SHORE RD")</f>
        <v>116 NORTH SHORE RD</v>
      </c>
      <c r="C3677" s="3" t="str">
        <f>IFERROR(__xludf.DUMMYFUNCTION("""COMPUTED_VALUE"""),"GRAFTON ")</f>
        <v>GRAFTON </v>
      </c>
      <c r="D3677" s="3" t="str">
        <f>IFERROR(__xludf.DUMMYFUNCTION("""COMPUTED_VALUE"""),"K0K 2G0")</f>
        <v>K0K 2G0</v>
      </c>
      <c r="E3677" s="3" t="str">
        <f>IFERROR(__xludf.DUMMYFUNCTION("""COMPUTED_VALUE"""),"jusitn vanderbosch")</f>
        <v>jusitn vanderbosch</v>
      </c>
      <c r="F3677" s="3" t="str">
        <f>IFERROR(__xludf.DUMMYFUNCTION("""COMPUTED_VALUE"""),"justin.vanderbosch@gmail.com")</f>
        <v>justin.vanderbosch@gmail.com</v>
      </c>
      <c r="G3677" s="3">
        <f>IFERROR(__xludf.DUMMYFUNCTION("""COMPUTED_VALUE"""),4.168850679E9)</f>
        <v>4168850679</v>
      </c>
      <c r="H3677" s="3">
        <f>IFERROR(__xludf.DUMMYFUNCTION("""COMPUTED_VALUE"""),4.164199035E9)</f>
        <v>4164199035</v>
      </c>
    </row>
    <row r="3678">
      <c r="A3678" s="2">
        <f>IFERROR(__xludf.DUMMYFUNCTION("""COMPUTED_VALUE"""),40905.0)</f>
        <v>40905</v>
      </c>
      <c r="B3678" s="3" t="str">
        <f>IFERROR(__xludf.DUMMYFUNCTION("""COMPUTED_VALUE"""),"117 NORTH SHORE RD")</f>
        <v>117 NORTH SHORE RD</v>
      </c>
      <c r="C3678" s="3" t="str">
        <f>IFERROR(__xludf.DUMMYFUNCTION("""COMPUTED_VALUE"""),"GRAFTON ")</f>
        <v>GRAFTON </v>
      </c>
      <c r="D3678" s="3" t="str">
        <f>IFERROR(__xludf.DUMMYFUNCTION("""COMPUTED_VALUE"""),"K0K 2G0")</f>
        <v>K0K 2G0</v>
      </c>
      <c r="E3678" s="3" t="str">
        <f>IFERROR(__xludf.DUMMYFUNCTION("""COMPUTED_VALUE"""),"fiona daziel and anthony pirri")</f>
        <v>fiona daziel and anthony pirri</v>
      </c>
      <c r="F3678" s="3" t="str">
        <f>IFERROR(__xludf.DUMMYFUNCTION("""COMPUTED_VALUE"""),"fdaziel55@gmail.com")</f>
        <v>fdaziel55@gmail.com</v>
      </c>
      <c r="G3678" s="3">
        <f>IFERROR(__xludf.DUMMYFUNCTION("""COMPUTED_VALUE"""),4.379992344E9)</f>
        <v>4379992344</v>
      </c>
      <c r="H3678" s="3">
        <f>IFERROR(__xludf.DUMMYFUNCTION("""COMPUTED_VALUE"""),4.162772724E9)</f>
        <v>4162772724</v>
      </c>
    </row>
    <row r="3679">
      <c r="A3679" s="2">
        <f>IFERROR(__xludf.DUMMYFUNCTION("""COMPUTED_VALUE"""),40906.0)</f>
        <v>40906</v>
      </c>
      <c r="B3679" s="3" t="str">
        <f>IFERROR(__xludf.DUMMYFUNCTION("""COMPUTED_VALUE"""),"120 NORTH SHORE RD")</f>
        <v>120 NORTH SHORE RD</v>
      </c>
      <c r="C3679" s="3" t="str">
        <f>IFERROR(__xludf.DUMMYFUNCTION("""COMPUTED_VALUE"""),"GRAFTON ")</f>
        <v>GRAFTON </v>
      </c>
      <c r="D3679" s="3" t="str">
        <f>IFERROR(__xludf.DUMMYFUNCTION("""COMPUTED_VALUE"""),"K0K 2G0")</f>
        <v>K0K 2G0</v>
      </c>
      <c r="E3679" s="3" t="str">
        <f>IFERROR(__xludf.DUMMYFUNCTION("""COMPUTED_VALUE"""),"anthony mohanathas rajathuran")</f>
        <v>anthony mohanathas rajathuran</v>
      </c>
      <c r="F3679" s="3" t="str">
        <f>IFERROR(__xludf.DUMMYFUNCTION("""COMPUTED_VALUE"""),"jarujaksan@gmail.com")</f>
        <v>jarujaksan@gmail.com</v>
      </c>
      <c r="G3679" s="3">
        <f>IFERROR(__xludf.DUMMYFUNCTION("""COMPUTED_VALUE"""),6.479653489E9)</f>
        <v>6479653489</v>
      </c>
      <c r="H3679" s="3"/>
    </row>
    <row r="3680">
      <c r="A3680" s="2">
        <f>IFERROR(__xludf.DUMMYFUNCTION("""COMPUTED_VALUE"""),40907.0)</f>
        <v>40907</v>
      </c>
      <c r="B3680" s="3" t="str">
        <f>IFERROR(__xludf.DUMMYFUNCTION("""COMPUTED_VALUE"""),"125 NORTH SHORE RD")</f>
        <v>125 NORTH SHORE RD</v>
      </c>
      <c r="C3680" s="3" t="str">
        <f>IFERROR(__xludf.DUMMYFUNCTION("""COMPUTED_VALUE"""),"GRAFTON ")</f>
        <v>GRAFTON </v>
      </c>
      <c r="D3680" s="3" t="str">
        <f>IFERROR(__xludf.DUMMYFUNCTION("""COMPUTED_VALUE"""),"K0K 2G0")</f>
        <v>K0K 2G0</v>
      </c>
      <c r="E3680" s="3" t="str">
        <f>IFERROR(__xludf.DUMMYFUNCTION("""COMPUTED_VALUE"""),"Franz Hanke")</f>
        <v>Franz Hanke</v>
      </c>
      <c r="F3680" s="3" t="str">
        <f>IFERROR(__xludf.DUMMYFUNCTION("""COMPUTED_VALUE"""),"33hanke@gmail.com")</f>
        <v>33hanke@gmail.com</v>
      </c>
      <c r="G3680" s="3">
        <f>IFERROR(__xludf.DUMMYFUNCTION("""COMPUTED_VALUE"""),9.053492663E9)</f>
        <v>9053492663</v>
      </c>
      <c r="H3680" s="3"/>
    </row>
    <row r="3681">
      <c r="A3681" s="2">
        <f>IFERROR(__xludf.DUMMYFUNCTION("""COMPUTED_VALUE"""),40908.0)</f>
        <v>40908</v>
      </c>
      <c r="B3681" s="3" t="str">
        <f>IFERROR(__xludf.DUMMYFUNCTION("""COMPUTED_VALUE"""),"132 NORTH SHORE RD")</f>
        <v>132 NORTH SHORE RD</v>
      </c>
      <c r="C3681" s="3" t="str">
        <f>IFERROR(__xludf.DUMMYFUNCTION("""COMPUTED_VALUE"""),"GRAFTON ")</f>
        <v>GRAFTON </v>
      </c>
      <c r="D3681" s="3" t="str">
        <f>IFERROR(__xludf.DUMMYFUNCTION("""COMPUTED_VALUE"""),"K0K 2G0")</f>
        <v>K0K 2G0</v>
      </c>
      <c r="E3681" s="3" t="str">
        <f>IFERROR(__xludf.DUMMYFUNCTION("""COMPUTED_VALUE"""),"doug ans sonia brown")</f>
        <v>doug ans sonia brown</v>
      </c>
      <c r="F3681" s="3" t="str">
        <f>IFERROR(__xludf.DUMMYFUNCTION("""COMPUTED_VALUE"""),"chloe@eagle.ca")</f>
        <v>chloe@eagle.ca</v>
      </c>
      <c r="G3681" s="3">
        <f>IFERROR(__xludf.DUMMYFUNCTION("""COMPUTED_VALUE"""),9.053493198E9)</f>
        <v>9053493198</v>
      </c>
      <c r="H3681" s="3">
        <f>IFERROR(__xludf.DUMMYFUNCTION("""COMPUTED_VALUE"""),2.898293684E9)</f>
        <v>2898293684</v>
      </c>
    </row>
    <row r="3682">
      <c r="A3682" s="2">
        <f>IFERROR(__xludf.DUMMYFUNCTION("""COMPUTED_VALUE"""),40909.0)</f>
        <v>40909</v>
      </c>
      <c r="B3682" s="3" t="str">
        <f>IFERROR(__xludf.DUMMYFUNCTION("""COMPUTED_VALUE"""),"133 NORTH SHORE RD")</f>
        <v>133 NORTH SHORE RD</v>
      </c>
      <c r="C3682" s="3" t="str">
        <f>IFERROR(__xludf.DUMMYFUNCTION("""COMPUTED_VALUE"""),"GRAFTON ")</f>
        <v>GRAFTON </v>
      </c>
      <c r="D3682" s="3" t="str">
        <f>IFERROR(__xludf.DUMMYFUNCTION("""COMPUTED_VALUE"""),"K0K 2G0")</f>
        <v>K0K 2G0</v>
      </c>
      <c r="E3682" s="3" t="str">
        <f>IFERROR(__xludf.DUMMYFUNCTION("""COMPUTED_VALUE"""),"EDWARD WRIGHT")</f>
        <v>EDWARD WRIGHT</v>
      </c>
      <c r="F3682" s="3" t="str">
        <f>IFERROR(__xludf.DUMMYFUNCTION("""COMPUTED_VALUE"""),"atgoat2014@gmail.com")</f>
        <v>atgoat2014@gmail.com</v>
      </c>
      <c r="G3682" s="3"/>
      <c r="H3682" s="3"/>
    </row>
    <row r="3683">
      <c r="A3683" s="2">
        <f>IFERROR(__xludf.DUMMYFUNCTION("""COMPUTED_VALUE"""),40910.0)</f>
        <v>40910</v>
      </c>
      <c r="B3683" s="3" t="str">
        <f>IFERROR(__xludf.DUMMYFUNCTION("""COMPUTED_VALUE"""),"137 NORTH SHORE RD")</f>
        <v>137 NORTH SHORE RD</v>
      </c>
      <c r="C3683" s="3" t="str">
        <f>IFERROR(__xludf.DUMMYFUNCTION("""COMPUTED_VALUE"""),"GRAFTON ")</f>
        <v>GRAFTON </v>
      </c>
      <c r="D3683" s="3" t="str">
        <f>IFERROR(__xludf.DUMMYFUNCTION("""COMPUTED_VALUE"""),"K0K 2G0")</f>
        <v>K0K 2G0</v>
      </c>
      <c r="E3683" s="3"/>
      <c r="F3683" s="3"/>
      <c r="G3683" s="3"/>
      <c r="H3683" s="3"/>
    </row>
    <row r="3684">
      <c r="A3684" s="2">
        <f>IFERROR(__xludf.DUMMYFUNCTION("""COMPUTED_VALUE"""),40911.0)</f>
        <v>40911</v>
      </c>
      <c r="B3684" s="3" t="str">
        <f>IFERROR(__xludf.DUMMYFUNCTION("""COMPUTED_VALUE"""),"138 NORTHSHORE RD")</f>
        <v>138 NORTHSHORE RD</v>
      </c>
      <c r="C3684" s="3" t="str">
        <f>IFERROR(__xludf.DUMMYFUNCTION("""COMPUTED_VALUE"""),"GRAFTON ")</f>
        <v>GRAFTON </v>
      </c>
      <c r="D3684" s="3" t="str">
        <f>IFERROR(__xludf.DUMMYFUNCTION("""COMPUTED_VALUE"""),"K0K 2G0")</f>
        <v>K0K 2G0</v>
      </c>
      <c r="E3684" s="3" t="str">
        <f>IFERROR(__xludf.DUMMYFUNCTION("""COMPUTED_VALUE"""),"OSCAR RIVERA")</f>
        <v>OSCAR RIVERA</v>
      </c>
      <c r="F3684" s="3" t="str">
        <f>IFERROR(__xludf.DUMMYFUNCTION("""COMPUTED_VALUE"""),"oscarriverajr@gmail.com")</f>
        <v>oscarriverajr@gmail.com</v>
      </c>
      <c r="G3684" s="3"/>
      <c r="H3684" s="3"/>
    </row>
    <row r="3685">
      <c r="A3685" s="2">
        <f>IFERROR(__xludf.DUMMYFUNCTION("""COMPUTED_VALUE"""),40912.0)</f>
        <v>40912</v>
      </c>
      <c r="B3685" s="3" t="str">
        <f>IFERROR(__xludf.DUMMYFUNCTION("""COMPUTED_VALUE"""),"141 NORTH SHORE RD")</f>
        <v>141 NORTH SHORE RD</v>
      </c>
      <c r="C3685" s="3" t="str">
        <f>IFERROR(__xludf.DUMMYFUNCTION("""COMPUTED_VALUE"""),"GRAFTON ")</f>
        <v>GRAFTON </v>
      </c>
      <c r="D3685" s="3" t="str">
        <f>IFERROR(__xludf.DUMMYFUNCTION("""COMPUTED_VALUE"""),"K0K 2G0")</f>
        <v>K0K 2G0</v>
      </c>
      <c r="E3685" s="3" t="str">
        <f>IFERROR(__xludf.DUMMYFUNCTION("""COMPUTED_VALUE"""),"shaun petticrew")</f>
        <v>shaun petticrew</v>
      </c>
      <c r="F3685" s="3" t="str">
        <f>IFERROR(__xludf.DUMMYFUNCTION("""COMPUTED_VALUE"""),"sdpettic@gmaill.com")</f>
        <v>sdpettic@gmaill.com</v>
      </c>
      <c r="G3685" s="3">
        <f>IFERROR(__xludf.DUMMYFUNCTION("""COMPUTED_VALUE"""),4.167077624E9)</f>
        <v>4167077624</v>
      </c>
      <c r="H3685" s="3"/>
    </row>
    <row r="3686">
      <c r="A3686" s="2">
        <f>IFERROR(__xludf.DUMMYFUNCTION("""COMPUTED_VALUE"""),40913.0)</f>
        <v>40913</v>
      </c>
      <c r="B3686" s="3" t="str">
        <f>IFERROR(__xludf.DUMMYFUNCTION("""COMPUTED_VALUE"""),"144 NORTH SHORE RD")</f>
        <v>144 NORTH SHORE RD</v>
      </c>
      <c r="C3686" s="3" t="str">
        <f>IFERROR(__xludf.DUMMYFUNCTION("""COMPUTED_VALUE"""),"GRAFTON ")</f>
        <v>GRAFTON </v>
      </c>
      <c r="D3686" s="3" t="str">
        <f>IFERROR(__xludf.DUMMYFUNCTION("""COMPUTED_VALUE"""),"K0K 2G0")</f>
        <v>K0K 2G0</v>
      </c>
      <c r="E3686" s="3" t="str">
        <f>IFERROR(__xludf.DUMMYFUNCTION("""COMPUTED_VALUE"""),"louis and jim sirtonski")</f>
        <v>louis and jim sirtonski</v>
      </c>
      <c r="F3686" s="3" t="str">
        <f>IFERROR(__xludf.DUMMYFUNCTION("""COMPUTED_VALUE"""),"louises@eagle.ca")</f>
        <v>louises@eagle.ca</v>
      </c>
      <c r="G3686" s="3">
        <f>IFERROR(__xludf.DUMMYFUNCTION("""COMPUTED_VALUE"""),9.053763215E9)</f>
        <v>9053763215</v>
      </c>
      <c r="H3686" s="3"/>
    </row>
    <row r="3687">
      <c r="A3687" s="2">
        <f>IFERROR(__xludf.DUMMYFUNCTION("""COMPUTED_VALUE"""),40914.0)</f>
        <v>40914</v>
      </c>
      <c r="B3687" s="3" t="str">
        <f>IFERROR(__xludf.DUMMYFUNCTION("""COMPUTED_VALUE"""),"147 NORTH SHORE RD")</f>
        <v>147 NORTH SHORE RD</v>
      </c>
      <c r="C3687" s="3" t="str">
        <f>IFERROR(__xludf.DUMMYFUNCTION("""COMPUTED_VALUE"""),"GRAFTON ")</f>
        <v>GRAFTON </v>
      </c>
      <c r="D3687" s="3" t="str">
        <f>IFERROR(__xludf.DUMMYFUNCTION("""COMPUTED_VALUE"""),"K0K 2G0")</f>
        <v>K0K 2G0</v>
      </c>
      <c r="E3687" s="3" t="str">
        <f>IFERROR(__xludf.DUMMYFUNCTION("""COMPUTED_VALUE"""),"Maria-Christina Spingos")</f>
        <v>Maria-Christina Spingos</v>
      </c>
      <c r="F3687" s="3" t="str">
        <f>IFERROR(__xludf.DUMMYFUNCTION("""COMPUTED_VALUE"""),"maria-christina@outlook.com")</f>
        <v>maria-christina@outlook.com</v>
      </c>
      <c r="G3687" s="3">
        <f>IFERROR(__xludf.DUMMYFUNCTION("""COMPUTED_VALUE"""),6.479968733E9)</f>
        <v>6479968733</v>
      </c>
      <c r="H3687" s="3"/>
    </row>
    <row r="3688">
      <c r="A3688" s="2">
        <f>IFERROR(__xludf.DUMMYFUNCTION("""COMPUTED_VALUE"""),40915.0)</f>
        <v>40915</v>
      </c>
      <c r="B3688" s="3" t="str">
        <f>IFERROR(__xludf.DUMMYFUNCTION("""COMPUTED_VALUE"""),"150 NORTH SHORE RD")</f>
        <v>150 NORTH SHORE RD</v>
      </c>
      <c r="C3688" s="3" t="str">
        <f>IFERROR(__xludf.DUMMYFUNCTION("""COMPUTED_VALUE"""),"GRAFTON ")</f>
        <v>GRAFTON </v>
      </c>
      <c r="D3688" s="3" t="str">
        <f>IFERROR(__xludf.DUMMYFUNCTION("""COMPUTED_VALUE"""),"K0K 2G0")</f>
        <v>K0K 2G0</v>
      </c>
      <c r="E3688" s="3" t="str">
        <f>IFERROR(__xludf.DUMMYFUNCTION("""COMPUTED_VALUE"""),"Bruce Pichler")</f>
        <v>Bruce Pichler</v>
      </c>
      <c r="F3688" s="3" t="str">
        <f>IFERROR(__xludf.DUMMYFUNCTION("""COMPUTED_VALUE"""),"pichler@eagle.ca")</f>
        <v>pichler@eagle.ca</v>
      </c>
      <c r="G3688" s="3">
        <f>IFERROR(__xludf.DUMMYFUNCTION("""COMPUTED_VALUE"""),9.052697364E9)</f>
        <v>9052697364</v>
      </c>
      <c r="H3688" s="3">
        <f>IFERROR(__xludf.DUMMYFUNCTION("""COMPUTED_VALUE"""),9.053493905E9)</f>
        <v>9053493905</v>
      </c>
    </row>
    <row r="3689">
      <c r="A3689" s="2">
        <f>IFERROR(__xludf.DUMMYFUNCTION("""COMPUTED_VALUE"""),40916.0)</f>
        <v>40916</v>
      </c>
      <c r="B3689" s="3" t="str">
        <f>IFERROR(__xludf.DUMMYFUNCTION("""COMPUTED_VALUE"""),"153 NORTH SHORE RD")</f>
        <v>153 NORTH SHORE RD</v>
      </c>
      <c r="C3689" s="3" t="str">
        <f>IFERROR(__xludf.DUMMYFUNCTION("""COMPUTED_VALUE"""),"GRAFTON ")</f>
        <v>GRAFTON </v>
      </c>
      <c r="D3689" s="3" t="str">
        <f>IFERROR(__xludf.DUMMYFUNCTION("""COMPUTED_VALUE"""),"K0K 2G0")</f>
        <v>K0K 2G0</v>
      </c>
      <c r="E3689" s="3" t="str">
        <f>IFERROR(__xludf.DUMMYFUNCTION("""COMPUTED_VALUE"""),"Robert Gadbois")</f>
        <v>Robert Gadbois</v>
      </c>
      <c r="F3689" s="3" t="str">
        <f>IFERROR(__xludf.DUMMYFUNCTION("""COMPUTED_VALUE"""),"rsg1972@hotmail.com")</f>
        <v>rsg1972@hotmail.com</v>
      </c>
      <c r="G3689" s="3">
        <f>IFERROR(__xludf.DUMMYFUNCTION("""COMPUTED_VALUE"""),4.163009104E9)</f>
        <v>4163009104</v>
      </c>
      <c r="H3689" s="3"/>
    </row>
    <row r="3690">
      <c r="A3690" s="2">
        <f>IFERROR(__xludf.DUMMYFUNCTION("""COMPUTED_VALUE"""),40917.0)</f>
        <v>40917</v>
      </c>
      <c r="B3690" s="3" t="str">
        <f>IFERROR(__xludf.DUMMYFUNCTION("""COMPUTED_VALUE"""),"157 NORTH SHORE RD")</f>
        <v>157 NORTH SHORE RD</v>
      </c>
      <c r="C3690" s="3" t="str">
        <f>IFERROR(__xludf.DUMMYFUNCTION("""COMPUTED_VALUE"""),"GRAFTON ")</f>
        <v>GRAFTON </v>
      </c>
      <c r="D3690" s="3" t="str">
        <f>IFERROR(__xludf.DUMMYFUNCTION("""COMPUTED_VALUE"""),"K0K 2G0")</f>
        <v>K0K 2G0</v>
      </c>
      <c r="E3690" s="3"/>
      <c r="F3690" s="3"/>
      <c r="G3690" s="3"/>
      <c r="H3690" s="3"/>
    </row>
    <row r="3691">
      <c r="A3691" s="2">
        <f>IFERROR(__xludf.DUMMYFUNCTION("""COMPUTED_VALUE"""),40918.0)</f>
        <v>40918</v>
      </c>
      <c r="B3691" s="3" t="str">
        <f>IFERROR(__xludf.DUMMYFUNCTION("""COMPUTED_VALUE"""),"158 NORTH SHORE RD")</f>
        <v>158 NORTH SHORE RD</v>
      </c>
      <c r="C3691" s="3" t="str">
        <f>IFERROR(__xludf.DUMMYFUNCTION("""COMPUTED_VALUE"""),"GRAFTON ")</f>
        <v>GRAFTON </v>
      </c>
      <c r="D3691" s="3" t="str">
        <f>IFERROR(__xludf.DUMMYFUNCTION("""COMPUTED_VALUE"""),"K0K 2G0")</f>
        <v>K0K 2G0</v>
      </c>
      <c r="E3691" s="3"/>
      <c r="F3691" s="3"/>
      <c r="G3691" s="3"/>
      <c r="H3691" s="3"/>
    </row>
    <row r="3692">
      <c r="A3692" s="2">
        <f>IFERROR(__xludf.DUMMYFUNCTION("""COMPUTED_VALUE"""),40919.0)</f>
        <v>40919</v>
      </c>
      <c r="B3692" s="3" t="str">
        <f>IFERROR(__xludf.DUMMYFUNCTION("""COMPUTED_VALUE"""),"160 NORTH SHORE RD")</f>
        <v>160 NORTH SHORE RD</v>
      </c>
      <c r="C3692" s="3" t="str">
        <f>IFERROR(__xludf.DUMMYFUNCTION("""COMPUTED_VALUE"""),"GRAFTON ")</f>
        <v>GRAFTON </v>
      </c>
      <c r="D3692" s="3" t="str">
        <f>IFERROR(__xludf.DUMMYFUNCTION("""COMPUTED_VALUE"""),"K0K 2G0")</f>
        <v>K0K 2G0</v>
      </c>
      <c r="E3692" s="3"/>
      <c r="F3692" s="3"/>
      <c r="G3692" s="3"/>
      <c r="H3692" s="3"/>
    </row>
    <row r="3693">
      <c r="A3693" s="2">
        <f>IFERROR(__xludf.DUMMYFUNCTION("""COMPUTED_VALUE"""),40920.0)</f>
        <v>40920</v>
      </c>
      <c r="B3693" s="3" t="str">
        <f>IFERROR(__xludf.DUMMYFUNCTION("""COMPUTED_VALUE"""),"163 NORTH SHORE RD")</f>
        <v>163 NORTH SHORE RD</v>
      </c>
      <c r="C3693" s="3" t="str">
        <f>IFERROR(__xludf.DUMMYFUNCTION("""COMPUTED_VALUE"""),"GRAFTON ")</f>
        <v>GRAFTON </v>
      </c>
      <c r="D3693" s="3" t="str">
        <f>IFERROR(__xludf.DUMMYFUNCTION("""COMPUTED_VALUE"""),"K0K 2G0")</f>
        <v>K0K 2G0</v>
      </c>
      <c r="E3693" s="3" t="str">
        <f>IFERROR(__xludf.DUMMYFUNCTION("""COMPUTED_VALUE"""),"michael gardner")</f>
        <v>michael gardner</v>
      </c>
      <c r="F3693" s="3" t="str">
        <f>IFERROR(__xludf.DUMMYFUNCTION("""COMPUTED_VALUE"""),"sheila.mike@sympatico.ca")</f>
        <v>sheila.mike@sympatico.ca</v>
      </c>
      <c r="G3693" s="3">
        <f>IFERROR(__xludf.DUMMYFUNCTION("""COMPUTED_VALUE"""),9.053490317E9)</f>
        <v>9053490317</v>
      </c>
      <c r="H3693" s="3">
        <f>IFERROR(__xludf.DUMMYFUNCTION("""COMPUTED_VALUE"""),9.053963535E9)</f>
        <v>9053963535</v>
      </c>
    </row>
    <row r="3694">
      <c r="A3694" s="2">
        <f>IFERROR(__xludf.DUMMYFUNCTION("""COMPUTED_VALUE"""),40921.0)</f>
        <v>40921</v>
      </c>
      <c r="B3694" s="3" t="str">
        <f>IFERROR(__xludf.DUMMYFUNCTION("""COMPUTED_VALUE"""),"168 NORTH SHORE RD")</f>
        <v>168 NORTH SHORE RD</v>
      </c>
      <c r="C3694" s="3" t="str">
        <f>IFERROR(__xludf.DUMMYFUNCTION("""COMPUTED_VALUE"""),"GRAFTON ")</f>
        <v>GRAFTON </v>
      </c>
      <c r="D3694" s="3" t="str">
        <f>IFERROR(__xludf.DUMMYFUNCTION("""COMPUTED_VALUE"""),"K0K 2G0")</f>
        <v>K0K 2G0</v>
      </c>
      <c r="E3694" s="3"/>
      <c r="F3694" s="3"/>
      <c r="G3694" s="3"/>
      <c r="H3694" s="3"/>
    </row>
    <row r="3695">
      <c r="A3695" s="2">
        <f>IFERROR(__xludf.DUMMYFUNCTION("""COMPUTED_VALUE"""),40922.0)</f>
        <v>40922</v>
      </c>
      <c r="B3695" s="3" t="str">
        <f>IFERROR(__xludf.DUMMYFUNCTION("""COMPUTED_VALUE"""),"171 NORTH SHORE RD")</f>
        <v>171 NORTH SHORE RD</v>
      </c>
      <c r="C3695" s="3" t="str">
        <f>IFERROR(__xludf.DUMMYFUNCTION("""COMPUTED_VALUE"""),"GRAFTON ")</f>
        <v>GRAFTON </v>
      </c>
      <c r="D3695" s="3" t="str">
        <f>IFERROR(__xludf.DUMMYFUNCTION("""COMPUTED_VALUE"""),"K0K 2G0")</f>
        <v>K0K 2G0</v>
      </c>
      <c r="E3695" s="3"/>
      <c r="F3695" s="3"/>
      <c r="G3695" s="3"/>
      <c r="H3695" s="3"/>
    </row>
    <row r="3696">
      <c r="A3696" s="2">
        <f>IFERROR(__xludf.DUMMYFUNCTION("""COMPUTED_VALUE"""),40923.0)</f>
        <v>40923</v>
      </c>
      <c r="B3696" s="3" t="str">
        <f>IFERROR(__xludf.DUMMYFUNCTION("""COMPUTED_VALUE"""),"174 NORTH SHORE RD")</f>
        <v>174 NORTH SHORE RD</v>
      </c>
      <c r="C3696" s="3" t="str">
        <f>IFERROR(__xludf.DUMMYFUNCTION("""COMPUTED_VALUE"""),"GRAFTON ")</f>
        <v>GRAFTON </v>
      </c>
      <c r="D3696" s="3" t="str">
        <f>IFERROR(__xludf.DUMMYFUNCTION("""COMPUTED_VALUE"""),"K0K 2G0")</f>
        <v>K0K 2G0</v>
      </c>
      <c r="E3696" s="3" t="str">
        <f>IFERROR(__xludf.DUMMYFUNCTION("""COMPUTED_VALUE"""),"Heather Cowan")</f>
        <v>Heather Cowan</v>
      </c>
      <c r="F3696" s="3" t="str">
        <f>IFERROR(__xludf.DUMMYFUNCTION("""COMPUTED_VALUE"""),"dragonflygirl0109@gmail.com")</f>
        <v>dragonflygirl0109@gmail.com</v>
      </c>
      <c r="G3696" s="3">
        <f>IFERROR(__xludf.DUMMYFUNCTION("""COMPUTED_VALUE"""),9.052596116E9)</f>
        <v>9052596116</v>
      </c>
      <c r="H3696" s="3"/>
    </row>
    <row r="3697">
      <c r="A3697" s="2">
        <f>IFERROR(__xludf.DUMMYFUNCTION("""COMPUTED_VALUE"""),40924.0)</f>
        <v>40924</v>
      </c>
      <c r="B3697" s="3" t="str">
        <f>IFERROR(__xludf.DUMMYFUNCTION("""COMPUTED_VALUE"""),"176 NORTH SHORE RD")</f>
        <v>176 NORTH SHORE RD</v>
      </c>
      <c r="C3697" s="3" t="str">
        <f>IFERROR(__xludf.DUMMYFUNCTION("""COMPUTED_VALUE"""),"GRAFTON ")</f>
        <v>GRAFTON </v>
      </c>
      <c r="D3697" s="3" t="str">
        <f>IFERROR(__xludf.DUMMYFUNCTION("""COMPUTED_VALUE"""),"K0K 2G0")</f>
        <v>K0K 2G0</v>
      </c>
      <c r="E3697" s="3" t="str">
        <f>IFERROR(__xludf.DUMMYFUNCTION("""COMPUTED_VALUE"""),"JANICE WOOD")</f>
        <v>JANICE WOOD</v>
      </c>
      <c r="F3697" s="3" t="str">
        <f>IFERROR(__xludf.DUMMYFUNCTION("""COMPUTED_VALUE"""),"woodjrn@gmail.com")</f>
        <v>woodjrn@gmail.com</v>
      </c>
      <c r="G3697" s="3"/>
      <c r="H3697" s="3"/>
    </row>
    <row r="3698">
      <c r="A3698" s="2">
        <f>IFERROR(__xludf.DUMMYFUNCTION("""COMPUTED_VALUE"""),40925.0)</f>
        <v>40925</v>
      </c>
      <c r="B3698" s="3" t="str">
        <f>IFERROR(__xludf.DUMMYFUNCTION("""COMPUTED_VALUE"""),"179 NORTH SHORE RD")</f>
        <v>179 NORTH SHORE RD</v>
      </c>
      <c r="C3698" s="3" t="str">
        <f>IFERROR(__xludf.DUMMYFUNCTION("""COMPUTED_VALUE"""),"GRAFTON ")</f>
        <v>GRAFTON </v>
      </c>
      <c r="D3698" s="3" t="str">
        <f>IFERROR(__xludf.DUMMYFUNCTION("""COMPUTED_VALUE"""),"K0K 2G0")</f>
        <v>K0K 2G0</v>
      </c>
      <c r="E3698" s="3"/>
      <c r="F3698" s="3"/>
      <c r="G3698" s="3"/>
      <c r="H3698" s="3"/>
    </row>
    <row r="3699">
      <c r="A3699" s="2">
        <f>IFERROR(__xludf.DUMMYFUNCTION("""COMPUTED_VALUE"""),40926.0)</f>
        <v>40926</v>
      </c>
      <c r="B3699" s="3" t="str">
        <f>IFERROR(__xludf.DUMMYFUNCTION("""COMPUTED_VALUE"""),"113 OLD DANFORTH RD")</f>
        <v>113 OLD DANFORTH RD</v>
      </c>
      <c r="C3699" s="3" t="str">
        <f>IFERROR(__xludf.DUMMYFUNCTION("""COMPUTED_VALUE"""),"GRAFTON ")</f>
        <v>GRAFTON </v>
      </c>
      <c r="D3699" s="3" t="str">
        <f>IFERROR(__xludf.DUMMYFUNCTION("""COMPUTED_VALUE"""),"K0K 2G0")</f>
        <v>K0K 2G0</v>
      </c>
      <c r="E3699" s="3"/>
      <c r="F3699" s="3"/>
      <c r="G3699" s="3"/>
      <c r="H3699" s="3"/>
    </row>
    <row r="3700">
      <c r="A3700" s="2">
        <f>IFERROR(__xludf.DUMMYFUNCTION("""COMPUTED_VALUE"""),40927.0)</f>
        <v>40927</v>
      </c>
      <c r="B3700" s="3" t="str">
        <f>IFERROR(__xludf.DUMMYFUNCTION("""COMPUTED_VALUE"""),"116 OLD DANFORTH RD")</f>
        <v>116 OLD DANFORTH RD</v>
      </c>
      <c r="C3700" s="3" t="str">
        <f>IFERROR(__xludf.DUMMYFUNCTION("""COMPUTED_VALUE"""),"GRAFTON ")</f>
        <v>GRAFTON </v>
      </c>
      <c r="D3700" s="3" t="str">
        <f>IFERROR(__xludf.DUMMYFUNCTION("""COMPUTED_VALUE"""),"K0K 2G0")</f>
        <v>K0K 2G0</v>
      </c>
      <c r="E3700" s="3"/>
      <c r="F3700" s="3"/>
      <c r="G3700" s="3"/>
      <c r="H3700" s="3"/>
    </row>
    <row r="3701">
      <c r="A3701" s="2">
        <f>IFERROR(__xludf.DUMMYFUNCTION("""COMPUTED_VALUE"""),40928.0)</f>
        <v>40928</v>
      </c>
      <c r="B3701" s="3" t="str">
        <f>IFERROR(__xludf.DUMMYFUNCTION("""COMPUTED_VALUE"""),"119 OLD DANFORTH RD")</f>
        <v>119 OLD DANFORTH RD</v>
      </c>
      <c r="C3701" s="3" t="str">
        <f>IFERROR(__xludf.DUMMYFUNCTION("""COMPUTED_VALUE"""),"GRAFTON ")</f>
        <v>GRAFTON </v>
      </c>
      <c r="D3701" s="3" t="str">
        <f>IFERROR(__xludf.DUMMYFUNCTION("""COMPUTED_VALUE"""),"K0K 2G0")</f>
        <v>K0K 2G0</v>
      </c>
      <c r="E3701" s="3"/>
      <c r="F3701" s="3"/>
      <c r="G3701" s="3"/>
      <c r="H3701" s="3"/>
    </row>
    <row r="3702">
      <c r="A3702" s="2">
        <f>IFERROR(__xludf.DUMMYFUNCTION("""COMPUTED_VALUE"""),40929.0)</f>
        <v>40929</v>
      </c>
      <c r="B3702" s="3" t="str">
        <f>IFERROR(__xludf.DUMMYFUNCTION("""COMPUTED_VALUE"""),"125 OLD DANFORTH RD")</f>
        <v>125 OLD DANFORTH RD</v>
      </c>
      <c r="C3702" s="3" t="str">
        <f>IFERROR(__xludf.DUMMYFUNCTION("""COMPUTED_VALUE"""),"GRAFTON ")</f>
        <v>GRAFTON </v>
      </c>
      <c r="D3702" s="3" t="str">
        <f>IFERROR(__xludf.DUMMYFUNCTION("""COMPUTED_VALUE"""),"K0K 2G0")</f>
        <v>K0K 2G0</v>
      </c>
      <c r="E3702" s="3"/>
      <c r="F3702" s="3"/>
      <c r="G3702" s="3"/>
      <c r="H3702" s="3"/>
    </row>
    <row r="3703">
      <c r="A3703" s="2">
        <f>IFERROR(__xludf.DUMMYFUNCTION("""COMPUTED_VALUE"""),40930.0)</f>
        <v>40930</v>
      </c>
      <c r="B3703" s="3" t="str">
        <f>IFERROR(__xludf.DUMMYFUNCTION("""COMPUTED_VALUE"""),"126 OLD DANFORTH RD")</f>
        <v>126 OLD DANFORTH RD</v>
      </c>
      <c r="C3703" s="3" t="str">
        <f>IFERROR(__xludf.DUMMYFUNCTION("""COMPUTED_VALUE"""),"GRAFTON ")</f>
        <v>GRAFTON </v>
      </c>
      <c r="D3703" s="3" t="str">
        <f>IFERROR(__xludf.DUMMYFUNCTION("""COMPUTED_VALUE"""),"K0K 2G0")</f>
        <v>K0K 2G0</v>
      </c>
      <c r="E3703" s="3"/>
      <c r="F3703" s="3"/>
      <c r="G3703" s="3"/>
      <c r="H3703" s="3"/>
    </row>
    <row r="3704">
      <c r="A3704" s="2">
        <f>IFERROR(__xludf.DUMMYFUNCTION("""COMPUTED_VALUE"""),40931.0)</f>
        <v>40931</v>
      </c>
      <c r="B3704" s="3" t="str">
        <f>IFERROR(__xludf.DUMMYFUNCTION("""COMPUTED_VALUE"""),"129 OLD DANFORTH RD")</f>
        <v>129 OLD DANFORTH RD</v>
      </c>
      <c r="C3704" s="3" t="str">
        <f>IFERROR(__xludf.DUMMYFUNCTION("""COMPUTED_VALUE"""),"GRAFTON ")</f>
        <v>GRAFTON </v>
      </c>
      <c r="D3704" s="3" t="str">
        <f>IFERROR(__xludf.DUMMYFUNCTION("""COMPUTED_VALUE"""),"K0K 2G0")</f>
        <v>K0K 2G0</v>
      </c>
      <c r="E3704" s="3" t="str">
        <f>IFERROR(__xludf.DUMMYFUNCTION("""COMPUTED_VALUE"""),"Charles Steven WATSON")</f>
        <v>Charles Steven WATSON</v>
      </c>
      <c r="F3704" s="3" t="str">
        <f>IFERROR(__xludf.DUMMYFUNCTION("""COMPUTED_VALUE"""),"diamonds24k@hotmail.com")</f>
        <v>diamonds24k@hotmail.com</v>
      </c>
      <c r="G3704" s="3"/>
      <c r="H3704" s="3"/>
    </row>
    <row r="3705">
      <c r="A3705" s="2">
        <f>IFERROR(__xludf.DUMMYFUNCTION("""COMPUTED_VALUE"""),40932.0)</f>
        <v>40932</v>
      </c>
      <c r="B3705" s="3" t="str">
        <f>IFERROR(__xludf.DUMMYFUNCTION("""COMPUTED_VALUE"""),"135 OLD DANFORTH RD")</f>
        <v>135 OLD DANFORTH RD</v>
      </c>
      <c r="C3705" s="3" t="str">
        <f>IFERROR(__xludf.DUMMYFUNCTION("""COMPUTED_VALUE"""),"GRAFTON ")</f>
        <v>GRAFTON </v>
      </c>
      <c r="D3705" s="3" t="str">
        <f>IFERROR(__xludf.DUMMYFUNCTION("""COMPUTED_VALUE"""),"K0K 2G0")</f>
        <v>K0K 2G0</v>
      </c>
      <c r="E3705" s="3"/>
      <c r="F3705" s="3"/>
      <c r="G3705" s="3"/>
      <c r="H3705" s="3"/>
    </row>
    <row r="3706">
      <c r="A3706" s="2">
        <f>IFERROR(__xludf.DUMMYFUNCTION("""COMPUTED_VALUE"""),40933.0)</f>
        <v>40933</v>
      </c>
      <c r="B3706" s="3" t="str">
        <f>IFERROR(__xludf.DUMMYFUNCTION("""COMPUTED_VALUE"""),"136 OLD DANFORTH RD")</f>
        <v>136 OLD DANFORTH RD</v>
      </c>
      <c r="C3706" s="3" t="str">
        <f>IFERROR(__xludf.DUMMYFUNCTION("""COMPUTED_VALUE"""),"GRAFTON ")</f>
        <v>GRAFTON </v>
      </c>
      <c r="D3706" s="3" t="str">
        <f>IFERROR(__xludf.DUMMYFUNCTION("""COMPUTED_VALUE"""),"K0K 2G0")</f>
        <v>K0K 2G0</v>
      </c>
      <c r="E3706" s="3"/>
      <c r="F3706" s="3"/>
      <c r="G3706" s="3"/>
      <c r="H3706" s="3"/>
    </row>
    <row r="3707">
      <c r="A3707" s="2">
        <f>IFERROR(__xludf.DUMMYFUNCTION("""COMPUTED_VALUE"""),40934.0)</f>
        <v>40934</v>
      </c>
      <c r="B3707" s="3" t="str">
        <f>IFERROR(__xludf.DUMMYFUNCTION("""COMPUTED_VALUE"""),"138 OLD DANFORTH RD")</f>
        <v>138 OLD DANFORTH RD</v>
      </c>
      <c r="C3707" s="3" t="str">
        <f>IFERROR(__xludf.DUMMYFUNCTION("""COMPUTED_VALUE"""),"GRAFTON ")</f>
        <v>GRAFTON </v>
      </c>
      <c r="D3707" s="3" t="str">
        <f>IFERROR(__xludf.DUMMYFUNCTION("""COMPUTED_VALUE"""),"K0K 2G0")</f>
        <v>K0K 2G0</v>
      </c>
      <c r="E3707" s="3" t="str">
        <f>IFERROR(__xludf.DUMMYFUNCTION("""COMPUTED_VALUE"""),"Amy Quinn")</f>
        <v>Amy Quinn</v>
      </c>
      <c r="F3707" s="3"/>
      <c r="G3707" s="3">
        <f>IFERROR(__xludf.DUMMYFUNCTION("""COMPUTED_VALUE"""),2.892512485E9)</f>
        <v>2892512485</v>
      </c>
      <c r="H3707" s="3"/>
    </row>
    <row r="3708">
      <c r="A3708" s="2">
        <f>IFERROR(__xludf.DUMMYFUNCTION("""COMPUTED_VALUE"""),40935.0)</f>
        <v>40935</v>
      </c>
      <c r="B3708" s="3" t="str">
        <f>IFERROR(__xludf.DUMMYFUNCTION("""COMPUTED_VALUE"""),"145 OLD DANFORTH RD")</f>
        <v>145 OLD DANFORTH RD</v>
      </c>
      <c r="C3708" s="3" t="str">
        <f>IFERROR(__xludf.DUMMYFUNCTION("""COMPUTED_VALUE"""),"GRAFTON ")</f>
        <v>GRAFTON </v>
      </c>
      <c r="D3708" s="3" t="str">
        <f>IFERROR(__xludf.DUMMYFUNCTION("""COMPUTED_VALUE"""),"K0K 2G0")</f>
        <v>K0K 2G0</v>
      </c>
      <c r="E3708" s="3"/>
      <c r="F3708" s="3"/>
      <c r="G3708" s="3"/>
      <c r="H3708" s="3"/>
    </row>
    <row r="3709">
      <c r="A3709" s="2">
        <f>IFERROR(__xludf.DUMMYFUNCTION("""COMPUTED_VALUE"""),40936.0)</f>
        <v>40936</v>
      </c>
      <c r="B3709" s="3" t="str">
        <f>IFERROR(__xludf.DUMMYFUNCTION("""COMPUTED_VALUE"""),"148 OLD DANFORTH RD")</f>
        <v>148 OLD DANFORTH RD</v>
      </c>
      <c r="C3709" s="3" t="str">
        <f>IFERROR(__xludf.DUMMYFUNCTION("""COMPUTED_VALUE"""),"GRAFTON ")</f>
        <v>GRAFTON </v>
      </c>
      <c r="D3709" s="3" t="str">
        <f>IFERROR(__xludf.DUMMYFUNCTION("""COMPUTED_VALUE"""),"K0K 2G0")</f>
        <v>K0K 2G0</v>
      </c>
      <c r="E3709" s="3"/>
      <c r="F3709" s="3"/>
      <c r="G3709" s="3"/>
      <c r="H3709" s="3"/>
    </row>
    <row r="3710">
      <c r="A3710" s="2">
        <f>IFERROR(__xludf.DUMMYFUNCTION("""COMPUTED_VALUE"""),40937.0)</f>
        <v>40937</v>
      </c>
      <c r="B3710" s="3" t="str">
        <f>IFERROR(__xludf.DUMMYFUNCTION("""COMPUTED_VALUE"""),"151 OLD DANFORTH RD")</f>
        <v>151 OLD DANFORTH RD</v>
      </c>
      <c r="C3710" s="3" t="str">
        <f>IFERROR(__xludf.DUMMYFUNCTION("""COMPUTED_VALUE"""),"GRAFTON ")</f>
        <v>GRAFTON </v>
      </c>
      <c r="D3710" s="3" t="str">
        <f>IFERROR(__xludf.DUMMYFUNCTION("""COMPUTED_VALUE"""),"K0K 2G0")</f>
        <v>K0K 2G0</v>
      </c>
      <c r="E3710" s="3" t="str">
        <f>IFERROR(__xludf.DUMMYFUNCTION("""COMPUTED_VALUE"""),"stephen caeser ")</f>
        <v>stephen caeser </v>
      </c>
      <c r="F3710" s="3" t="str">
        <f>IFERROR(__xludf.DUMMYFUNCTION("""COMPUTED_VALUE"""),"chelseasalad@outlook.com")</f>
        <v>chelseasalad@outlook.com</v>
      </c>
      <c r="G3710" s="3">
        <f>IFERROR(__xludf.DUMMYFUNCTION("""COMPUTED_VALUE"""),2.899277828E9)</f>
        <v>2899277828</v>
      </c>
      <c r="H3710" s="3">
        <f>IFERROR(__xludf.DUMMYFUNCTION("""COMPUTED_VALUE"""),9.053499953E9)</f>
        <v>9053499953</v>
      </c>
    </row>
    <row r="3711">
      <c r="A3711" s="2">
        <f>IFERROR(__xludf.DUMMYFUNCTION("""COMPUTED_VALUE"""),40938.0)</f>
        <v>40938</v>
      </c>
      <c r="B3711" s="3" t="str">
        <f>IFERROR(__xludf.DUMMYFUNCTION("""COMPUTED_VALUE"""),"154 OLD DANFORTH RD")</f>
        <v>154 OLD DANFORTH RD</v>
      </c>
      <c r="C3711" s="3" t="str">
        <f>IFERROR(__xludf.DUMMYFUNCTION("""COMPUTED_VALUE"""),"GRAFTON ")</f>
        <v>GRAFTON </v>
      </c>
      <c r="D3711" s="3" t="str">
        <f>IFERROR(__xludf.DUMMYFUNCTION("""COMPUTED_VALUE"""),"K0K 2G0")</f>
        <v>K0K 2G0</v>
      </c>
      <c r="E3711" s="3"/>
      <c r="F3711" s="3"/>
      <c r="G3711" s="3"/>
      <c r="H3711" s="3"/>
    </row>
    <row r="3712">
      <c r="A3712" s="2">
        <f>IFERROR(__xludf.DUMMYFUNCTION("""COMPUTED_VALUE"""),40939.0)</f>
        <v>40939</v>
      </c>
      <c r="B3712" s="3" t="str">
        <f>IFERROR(__xludf.DUMMYFUNCTION("""COMPUTED_VALUE"""),"157 OLD DANFORTH RD")</f>
        <v>157 OLD DANFORTH RD</v>
      </c>
      <c r="C3712" s="3" t="str">
        <f>IFERROR(__xludf.DUMMYFUNCTION("""COMPUTED_VALUE"""),"GRAFTON ")</f>
        <v>GRAFTON </v>
      </c>
      <c r="D3712" s="3" t="str">
        <f>IFERROR(__xludf.DUMMYFUNCTION("""COMPUTED_VALUE"""),"K0K 2G0")</f>
        <v>K0K 2G0</v>
      </c>
      <c r="E3712" s="3"/>
      <c r="F3712" s="3"/>
      <c r="G3712" s="3"/>
      <c r="H3712" s="3"/>
    </row>
    <row r="3713">
      <c r="A3713" s="2">
        <f>IFERROR(__xludf.DUMMYFUNCTION("""COMPUTED_VALUE"""),40940.0)</f>
        <v>40940</v>
      </c>
      <c r="B3713" s="3" t="str">
        <f>IFERROR(__xludf.DUMMYFUNCTION("""COMPUTED_VALUE"""),"160 OLD DANFORTH RD")</f>
        <v>160 OLD DANFORTH RD</v>
      </c>
      <c r="C3713" s="3" t="str">
        <f>IFERROR(__xludf.DUMMYFUNCTION("""COMPUTED_VALUE"""),"GRAFTON ")</f>
        <v>GRAFTON </v>
      </c>
      <c r="D3713" s="3" t="str">
        <f>IFERROR(__xludf.DUMMYFUNCTION("""COMPUTED_VALUE"""),"K0K 2G0")</f>
        <v>K0K 2G0</v>
      </c>
      <c r="E3713" s="3"/>
      <c r="F3713" s="3"/>
      <c r="G3713" s="3"/>
      <c r="H3713" s="3"/>
    </row>
    <row r="3714">
      <c r="A3714" s="2">
        <f>IFERROR(__xludf.DUMMYFUNCTION("""COMPUTED_VALUE"""),40941.0)</f>
        <v>40941</v>
      </c>
      <c r="B3714" s="3" t="str">
        <f>IFERROR(__xludf.DUMMYFUNCTION("""COMPUTED_VALUE"""),"177 OLD DANFORTH RD")</f>
        <v>177 OLD DANFORTH RD</v>
      </c>
      <c r="C3714" s="3" t="str">
        <f>IFERROR(__xludf.DUMMYFUNCTION("""COMPUTED_VALUE"""),"GRAFTON ")</f>
        <v>GRAFTON </v>
      </c>
      <c r="D3714" s="3" t="str">
        <f>IFERROR(__xludf.DUMMYFUNCTION("""COMPUTED_VALUE"""),"K0K 2G0")</f>
        <v>K0K 2G0</v>
      </c>
      <c r="E3714" s="3"/>
      <c r="F3714" s="3"/>
      <c r="G3714" s="3"/>
      <c r="H3714" s="3"/>
    </row>
    <row r="3715">
      <c r="A3715" s="2">
        <f>IFERROR(__xludf.DUMMYFUNCTION("""COMPUTED_VALUE"""),40942.0)</f>
        <v>40942</v>
      </c>
      <c r="B3715" s="3" t="str">
        <f>IFERROR(__xludf.DUMMYFUNCTION("""COMPUTED_VALUE"""),"195 OLD DANFORTH RD")</f>
        <v>195 OLD DANFORTH RD</v>
      </c>
      <c r="C3715" s="3" t="str">
        <f>IFERROR(__xludf.DUMMYFUNCTION("""COMPUTED_VALUE"""),"GRAFTON ")</f>
        <v>GRAFTON </v>
      </c>
      <c r="D3715" s="3" t="str">
        <f>IFERROR(__xludf.DUMMYFUNCTION("""COMPUTED_VALUE"""),"K0K 2G0")</f>
        <v>K0K 2G0</v>
      </c>
      <c r="E3715" s="3"/>
      <c r="F3715" s="3"/>
      <c r="G3715" s="3"/>
      <c r="H3715" s="3"/>
    </row>
    <row r="3716">
      <c r="A3716" s="2">
        <f>IFERROR(__xludf.DUMMYFUNCTION("""COMPUTED_VALUE"""),40943.0)</f>
        <v>40943</v>
      </c>
      <c r="B3716" s="3" t="str">
        <f>IFERROR(__xludf.DUMMYFUNCTION("""COMPUTED_VALUE"""),"213 OLD DANFORTH RD")</f>
        <v>213 OLD DANFORTH RD</v>
      </c>
      <c r="C3716" s="3" t="str">
        <f>IFERROR(__xludf.DUMMYFUNCTION("""COMPUTED_VALUE"""),"GRAFTON ")</f>
        <v>GRAFTON </v>
      </c>
      <c r="D3716" s="3" t="str">
        <f>IFERROR(__xludf.DUMMYFUNCTION("""COMPUTED_VALUE"""),"K0K 2G0")</f>
        <v>K0K 2G0</v>
      </c>
      <c r="E3716" s="3" t="str">
        <f>IFERROR(__xludf.DUMMYFUNCTION("""COMPUTED_VALUE"""),"bernadette gatien")</f>
        <v>bernadette gatien</v>
      </c>
      <c r="F3716" s="3" t="str">
        <f>IFERROR(__xludf.DUMMYFUNCTION("""COMPUTED_VALUE"""),"gbgatien@hotmail.com")</f>
        <v>gbgatien@hotmail.com</v>
      </c>
      <c r="G3716" s="3">
        <f>IFERROR(__xludf.DUMMYFUNCTION("""COMPUTED_VALUE"""),9.053492922E9)</f>
        <v>9053492922</v>
      </c>
      <c r="H3716" s="3">
        <f>IFERROR(__xludf.DUMMYFUNCTION("""COMPUTED_VALUE"""),9.052692904E9)</f>
        <v>9052692904</v>
      </c>
    </row>
    <row r="3717">
      <c r="A3717" s="2">
        <f>IFERROR(__xludf.DUMMYFUNCTION("""COMPUTED_VALUE"""),40944.0)</f>
        <v>40944</v>
      </c>
      <c r="B3717" s="3" t="str">
        <f>IFERROR(__xludf.DUMMYFUNCTION("""COMPUTED_VALUE"""),"214 OLD DANFORTH RD")</f>
        <v>214 OLD DANFORTH RD</v>
      </c>
      <c r="C3717" s="3" t="str">
        <f>IFERROR(__xludf.DUMMYFUNCTION("""COMPUTED_VALUE"""),"GRAFTON ")</f>
        <v>GRAFTON </v>
      </c>
      <c r="D3717" s="3" t="str">
        <f>IFERROR(__xludf.DUMMYFUNCTION("""COMPUTED_VALUE"""),"K0K 2G0")</f>
        <v>K0K 2G0</v>
      </c>
      <c r="E3717" s="3" t="str">
        <f>IFERROR(__xludf.DUMMYFUNCTION("""COMPUTED_VALUE"""),"brenda logel")</f>
        <v>brenda logel</v>
      </c>
      <c r="F3717" s="3" t="str">
        <f>IFERROR(__xludf.DUMMYFUNCTION("""COMPUTED_VALUE"""),"jlogel1@live.ca")</f>
        <v>jlogel1@live.ca</v>
      </c>
      <c r="G3717" s="3">
        <f>IFERROR(__xludf.DUMMYFUNCTION("""COMPUTED_VALUE"""),9.053493084E9)</f>
        <v>9053493084</v>
      </c>
      <c r="H3717" s="3"/>
    </row>
    <row r="3718">
      <c r="A3718" s="2">
        <f>IFERROR(__xludf.DUMMYFUNCTION("""COMPUTED_VALUE"""),40945.0)</f>
        <v>40945</v>
      </c>
      <c r="B3718" s="3" t="str">
        <f>IFERROR(__xludf.DUMMYFUNCTION("""COMPUTED_VALUE"""),"218 OLD DANFORTH RD")</f>
        <v>218 OLD DANFORTH RD</v>
      </c>
      <c r="C3718" s="3" t="str">
        <f>IFERROR(__xludf.DUMMYFUNCTION("""COMPUTED_VALUE"""),"GRAFTON ")</f>
        <v>GRAFTON </v>
      </c>
      <c r="D3718" s="3" t="str">
        <f>IFERROR(__xludf.DUMMYFUNCTION("""COMPUTED_VALUE"""),"K0K 2G0")</f>
        <v>K0K 2G0</v>
      </c>
      <c r="E3718" s="3" t="str">
        <f>IFERROR(__xludf.DUMMYFUNCTION("""COMPUTED_VALUE"""),"michael brabook")</f>
        <v>michael brabook</v>
      </c>
      <c r="F3718" s="3" t="str">
        <f>IFERROR(__xludf.DUMMYFUNCTION("""COMPUTED_VALUE"""),"michaelbrabook1@gmail.com")</f>
        <v>michaelbrabook1@gmail.com</v>
      </c>
      <c r="G3718" s="3"/>
      <c r="H3718" s="3"/>
    </row>
    <row r="3719">
      <c r="A3719" s="2">
        <f>IFERROR(__xludf.DUMMYFUNCTION("""COMPUTED_VALUE"""),40946.0)</f>
        <v>40946</v>
      </c>
      <c r="B3719" s="3" t="str">
        <f>IFERROR(__xludf.DUMMYFUNCTION("""COMPUTED_VALUE"""),"219 OLD DANFORTH RD")</f>
        <v>219 OLD DANFORTH RD</v>
      </c>
      <c r="C3719" s="3" t="str">
        <f>IFERROR(__xludf.DUMMYFUNCTION("""COMPUTED_VALUE"""),"GRAFTON ")</f>
        <v>GRAFTON </v>
      </c>
      <c r="D3719" s="3" t="str">
        <f>IFERROR(__xludf.DUMMYFUNCTION("""COMPUTED_VALUE"""),"K0K 2G0")</f>
        <v>K0K 2G0</v>
      </c>
      <c r="E3719" s="3" t="str">
        <f>IFERROR(__xludf.DUMMYFUNCTION("""COMPUTED_VALUE"""),"Lyn Caswell")</f>
        <v>Lyn Caswell</v>
      </c>
      <c r="F3719" s="3" t="str">
        <f>IFERROR(__xludf.DUMMYFUNCTION("""COMPUTED_VALUE"""),"lyn.caswellI@gmail.com")</f>
        <v>lyn.caswellI@gmail.com</v>
      </c>
      <c r="G3719" s="3"/>
      <c r="H3719" s="3"/>
    </row>
    <row r="3720">
      <c r="A3720" s="2">
        <f>IFERROR(__xludf.DUMMYFUNCTION("""COMPUTED_VALUE"""),40947.0)</f>
        <v>40947</v>
      </c>
      <c r="B3720" s="3" t="str">
        <f>IFERROR(__xludf.DUMMYFUNCTION("""COMPUTED_VALUE"""),"225 OLD DANFORTH RD")</f>
        <v>225 OLD DANFORTH RD</v>
      </c>
      <c r="C3720" s="3" t="str">
        <f>IFERROR(__xludf.DUMMYFUNCTION("""COMPUTED_VALUE"""),"GRAFTON ")</f>
        <v>GRAFTON </v>
      </c>
      <c r="D3720" s="3" t="str">
        <f>IFERROR(__xludf.DUMMYFUNCTION("""COMPUTED_VALUE"""),"K0K 2G0")</f>
        <v>K0K 2G0</v>
      </c>
      <c r="E3720" s="3" t="str">
        <f>IFERROR(__xludf.DUMMYFUNCTION("""COMPUTED_VALUE"""),"Peter Misev")</f>
        <v>Peter Misev</v>
      </c>
      <c r="F3720" s="3" t="str">
        <f>IFERROR(__xludf.DUMMYFUNCTION("""COMPUTED_VALUE"""),"pmisev@yahoo.ca")</f>
        <v>pmisev@yahoo.ca</v>
      </c>
      <c r="G3720" s="3"/>
      <c r="H3720" s="3"/>
    </row>
    <row r="3721">
      <c r="A3721" s="2">
        <f>IFERROR(__xludf.DUMMYFUNCTION("""COMPUTED_VALUE"""),40948.0)</f>
        <v>40948</v>
      </c>
      <c r="B3721" s="3" t="str">
        <f>IFERROR(__xludf.DUMMYFUNCTION("""COMPUTED_VALUE"""),"226 OLD DANFORTH RD")</f>
        <v>226 OLD DANFORTH RD</v>
      </c>
      <c r="C3721" s="3" t="str">
        <f>IFERROR(__xludf.DUMMYFUNCTION("""COMPUTED_VALUE"""),"GRAFTON ")</f>
        <v>GRAFTON </v>
      </c>
      <c r="D3721" s="3" t="str">
        <f>IFERROR(__xludf.DUMMYFUNCTION("""COMPUTED_VALUE"""),"K0K 2G0")</f>
        <v>K0K 2G0</v>
      </c>
      <c r="E3721" s="3"/>
      <c r="F3721" s="3"/>
      <c r="G3721" s="3"/>
      <c r="H3721" s="3"/>
    </row>
    <row r="3722">
      <c r="A3722" s="2">
        <f>IFERROR(__xludf.DUMMYFUNCTION("""COMPUTED_VALUE"""),40949.0)</f>
        <v>40949</v>
      </c>
      <c r="B3722" s="3" t="str">
        <f>IFERROR(__xludf.DUMMYFUNCTION("""COMPUTED_VALUE"""),"237 OLD DANFORTH RD")</f>
        <v>237 OLD DANFORTH RD</v>
      </c>
      <c r="C3722" s="3" t="str">
        <f>IFERROR(__xludf.DUMMYFUNCTION("""COMPUTED_VALUE"""),"GRAFTON ")</f>
        <v>GRAFTON </v>
      </c>
      <c r="D3722" s="3" t="str">
        <f>IFERROR(__xludf.DUMMYFUNCTION("""COMPUTED_VALUE"""),"K0K 2G0")</f>
        <v>K0K 2G0</v>
      </c>
      <c r="E3722" s="3" t="str">
        <f>IFERROR(__xludf.DUMMYFUNCTION("""COMPUTED_VALUE"""),"katherine smith ")</f>
        <v>katherine smith </v>
      </c>
      <c r="F3722" s="3" t="str">
        <f>IFERROR(__xludf.DUMMYFUNCTION("""COMPUTED_VALUE"""),"logel_26@hotmail.com")</f>
        <v>logel_26@hotmail.com</v>
      </c>
      <c r="G3722" s="3">
        <f>IFERROR(__xludf.DUMMYFUNCTION("""COMPUTED_VALUE"""),9.052695519E9)</f>
        <v>9052695519</v>
      </c>
      <c r="H3722" s="3">
        <f>IFERROR(__xludf.DUMMYFUNCTION("""COMPUTED_VALUE"""),9.053492075E9)</f>
        <v>9053492075</v>
      </c>
    </row>
    <row r="3723">
      <c r="A3723" s="2">
        <f>IFERROR(__xludf.DUMMYFUNCTION("""COMPUTED_VALUE"""),40950.0)</f>
        <v>40950</v>
      </c>
      <c r="B3723" s="3" t="str">
        <f>IFERROR(__xludf.DUMMYFUNCTION("""COMPUTED_VALUE"""),"238 OLD DANFORTH RD")</f>
        <v>238 OLD DANFORTH RD</v>
      </c>
      <c r="C3723" s="3" t="str">
        <f>IFERROR(__xludf.DUMMYFUNCTION("""COMPUTED_VALUE"""),"GRAFTON ")</f>
        <v>GRAFTON </v>
      </c>
      <c r="D3723" s="3" t="str">
        <f>IFERROR(__xludf.DUMMYFUNCTION("""COMPUTED_VALUE"""),"K0K 2G0")</f>
        <v>K0K 2G0</v>
      </c>
      <c r="E3723" s="3" t="str">
        <f>IFERROR(__xludf.DUMMYFUNCTION("""COMPUTED_VALUE"""),"bill jex ")</f>
        <v>bill jex </v>
      </c>
      <c r="F3723" s="3" t="str">
        <f>IFERROR(__xludf.DUMMYFUNCTION("""COMPUTED_VALUE"""),"jexy930@gmail.com")</f>
        <v>jexy930@gmail.com</v>
      </c>
      <c r="G3723" s="3">
        <f>IFERROR(__xludf.DUMMYFUNCTION("""COMPUTED_VALUE"""),6.473931707E9)</f>
        <v>6473931707</v>
      </c>
      <c r="H3723" s="3"/>
    </row>
    <row r="3724">
      <c r="A3724" s="2">
        <f>IFERROR(__xludf.DUMMYFUNCTION("""COMPUTED_VALUE"""),40951.0)</f>
        <v>40951</v>
      </c>
      <c r="B3724" s="3" t="str">
        <f>IFERROR(__xludf.DUMMYFUNCTION("""COMPUTED_VALUE"""),"245 OLD DANFORTH RD")</f>
        <v>245 OLD DANFORTH RD</v>
      </c>
      <c r="C3724" s="3" t="str">
        <f>IFERROR(__xludf.DUMMYFUNCTION("""COMPUTED_VALUE"""),"GRAFTON ")</f>
        <v>GRAFTON </v>
      </c>
      <c r="D3724" s="3" t="str">
        <f>IFERROR(__xludf.DUMMYFUNCTION("""COMPUTED_VALUE"""),"K0K 2G0")</f>
        <v>K0K 2G0</v>
      </c>
      <c r="E3724" s="3" t="str">
        <f>IFERROR(__xludf.DUMMYFUNCTION("""COMPUTED_VALUE"""),"james bloye")</f>
        <v>james bloye</v>
      </c>
      <c r="F3724" s="3" t="str">
        <f>IFERROR(__xludf.DUMMYFUNCTION("""COMPUTED_VALUE"""),"james.bloye@gmail.com")</f>
        <v>james.bloye@gmail.com</v>
      </c>
      <c r="G3724" s="3">
        <f>IFERROR(__xludf.DUMMYFUNCTION("""COMPUTED_VALUE"""),9.059250471E9)</f>
        <v>9059250471</v>
      </c>
      <c r="H3724" s="3"/>
    </row>
    <row r="3725">
      <c r="A3725" s="2">
        <f>IFERROR(__xludf.DUMMYFUNCTION("""COMPUTED_VALUE"""),40952.0)</f>
        <v>40952</v>
      </c>
      <c r="B3725" s="3" t="str">
        <f>IFERROR(__xludf.DUMMYFUNCTION("""COMPUTED_VALUE"""),"255 OLD DANFORTH RD")</f>
        <v>255 OLD DANFORTH RD</v>
      </c>
      <c r="C3725" s="3" t="str">
        <f>IFERROR(__xludf.DUMMYFUNCTION("""COMPUTED_VALUE"""),"GRAFTON ")</f>
        <v>GRAFTON </v>
      </c>
      <c r="D3725" s="3" t="str">
        <f>IFERROR(__xludf.DUMMYFUNCTION("""COMPUTED_VALUE"""),"K0K 2G0")</f>
        <v>K0K 2G0</v>
      </c>
      <c r="E3725" s="3" t="str">
        <f>IFERROR(__xludf.DUMMYFUNCTION("""COMPUTED_VALUE"""),"TOM LOWRIE")</f>
        <v>TOM LOWRIE</v>
      </c>
      <c r="F3725" s="3" t="str">
        <f>IFERROR(__xludf.DUMMYFUNCTION("""COMPUTED_VALUE"""),"tom.lowrie@gmail.com")</f>
        <v>tom.lowrie@gmail.com</v>
      </c>
      <c r="G3725" s="3"/>
      <c r="H3725" s="3"/>
    </row>
    <row r="3726">
      <c r="A3726" s="2">
        <f>IFERROR(__xludf.DUMMYFUNCTION("""COMPUTED_VALUE"""),40953.0)</f>
        <v>40953</v>
      </c>
      <c r="B3726" s="3" t="str">
        <f>IFERROR(__xludf.DUMMYFUNCTION("""COMPUTED_VALUE"""),"258 OLD DANFORTH RD")</f>
        <v>258 OLD DANFORTH RD</v>
      </c>
      <c r="C3726" s="3" t="str">
        <f>IFERROR(__xludf.DUMMYFUNCTION("""COMPUTED_VALUE"""),"GRAFTON ")</f>
        <v>GRAFTON </v>
      </c>
      <c r="D3726" s="3" t="str">
        <f>IFERROR(__xludf.DUMMYFUNCTION("""COMPUTED_VALUE"""),"K0K 2G0")</f>
        <v>K0K 2G0</v>
      </c>
      <c r="E3726" s="3" t="str">
        <f>IFERROR(__xludf.DUMMYFUNCTION("""COMPUTED_VALUE"""),"Seve Galloway")</f>
        <v>Seve Galloway</v>
      </c>
      <c r="F3726" s="3" t="str">
        <f>IFERROR(__xludf.DUMMYFUNCTION("""COMPUTED_VALUE"""),"gallowaysh@sympatico.ca")</f>
        <v>gallowaysh@sympatico.ca</v>
      </c>
      <c r="G3726" s="3">
        <f>IFERROR(__xludf.DUMMYFUNCTION("""COMPUTED_VALUE"""),9.053492535E9)</f>
        <v>9053492535</v>
      </c>
      <c r="H3726" s="3">
        <f>IFERROR(__xludf.DUMMYFUNCTION("""COMPUTED_VALUE"""),9.053761331E9)</f>
        <v>9053761331</v>
      </c>
    </row>
    <row r="3727">
      <c r="A3727" s="2">
        <f>IFERROR(__xludf.DUMMYFUNCTION("""COMPUTED_VALUE"""),40954.0)</f>
        <v>40954</v>
      </c>
      <c r="B3727" s="3" t="str">
        <f>IFERROR(__xludf.DUMMYFUNCTION("""COMPUTED_VALUE"""),"264 OLD DANFORTH RD")</f>
        <v>264 OLD DANFORTH RD</v>
      </c>
      <c r="C3727" s="3" t="str">
        <f>IFERROR(__xludf.DUMMYFUNCTION("""COMPUTED_VALUE"""),"GRAFTON ")</f>
        <v>GRAFTON </v>
      </c>
      <c r="D3727" s="3" t="str">
        <f>IFERROR(__xludf.DUMMYFUNCTION("""COMPUTED_VALUE"""),"K0K 2G0")</f>
        <v>K0K 2G0</v>
      </c>
      <c r="E3727" s="3" t="str">
        <f>IFERROR(__xludf.DUMMYFUNCTION("""COMPUTED_VALUE"""),"Joseph P. Nardi")</f>
        <v>Joseph P. Nardi</v>
      </c>
      <c r="F3727" s="3" t="str">
        <f>IFERROR(__xludf.DUMMYFUNCTION("""COMPUTED_VALUE"""),"jp.nardi@gmail.com")</f>
        <v>jp.nardi@gmail.com</v>
      </c>
      <c r="G3727" s="3"/>
      <c r="H3727" s="3"/>
    </row>
    <row r="3728">
      <c r="A3728" s="2">
        <f>IFERROR(__xludf.DUMMYFUNCTION("""COMPUTED_VALUE"""),40955.0)</f>
        <v>40955</v>
      </c>
      <c r="B3728" s="3" t="str">
        <f>IFERROR(__xludf.DUMMYFUNCTION("""COMPUTED_VALUE"""),"265 OLD DANFORTH RD")</f>
        <v>265 OLD DANFORTH RD</v>
      </c>
      <c r="C3728" s="3" t="str">
        <f>IFERROR(__xludf.DUMMYFUNCTION("""COMPUTED_VALUE"""),"GRAFTON ")</f>
        <v>GRAFTON </v>
      </c>
      <c r="D3728" s="3" t="str">
        <f>IFERROR(__xludf.DUMMYFUNCTION("""COMPUTED_VALUE"""),"K0K 2G0")</f>
        <v>K0K 2G0</v>
      </c>
      <c r="E3728" s="3"/>
      <c r="F3728" s="3"/>
      <c r="G3728" s="3"/>
      <c r="H3728" s="3"/>
    </row>
    <row r="3729">
      <c r="A3729" s="2">
        <f>IFERROR(__xludf.DUMMYFUNCTION("""COMPUTED_VALUE"""),40956.0)</f>
        <v>40956</v>
      </c>
      <c r="B3729" s="3" t="str">
        <f>IFERROR(__xludf.DUMMYFUNCTION("""COMPUTED_VALUE"""),"311 OLD DANFORTH RD")</f>
        <v>311 OLD DANFORTH RD</v>
      </c>
      <c r="C3729" s="3" t="str">
        <f>IFERROR(__xludf.DUMMYFUNCTION("""COMPUTED_VALUE"""),"GRAFTON ")</f>
        <v>GRAFTON </v>
      </c>
      <c r="D3729" s="3" t="str">
        <f>IFERROR(__xludf.DUMMYFUNCTION("""COMPUTED_VALUE"""),"K0K 2G0")</f>
        <v>K0K 2G0</v>
      </c>
      <c r="E3729" s="3"/>
      <c r="F3729" s="3"/>
      <c r="G3729" s="3"/>
      <c r="H3729" s="3"/>
    </row>
    <row r="3730">
      <c r="A3730" s="2">
        <f>IFERROR(__xludf.DUMMYFUNCTION("""COMPUTED_VALUE"""),40957.0)</f>
        <v>40957</v>
      </c>
      <c r="B3730" s="3" t="str">
        <f>IFERROR(__xludf.DUMMYFUNCTION("""COMPUTED_VALUE"""),"530 OLD DANFORTH RD")</f>
        <v>530 OLD DANFORTH RD</v>
      </c>
      <c r="C3730" s="3" t="str">
        <f>IFERROR(__xludf.DUMMYFUNCTION("""COMPUTED_VALUE"""),"GRAFTON ")</f>
        <v>GRAFTON </v>
      </c>
      <c r="D3730" s="3" t="str">
        <f>IFERROR(__xludf.DUMMYFUNCTION("""COMPUTED_VALUE"""),"K0K 2G0")</f>
        <v>K0K 2G0</v>
      </c>
      <c r="E3730" s="3" t="str">
        <f>IFERROR(__xludf.DUMMYFUNCTION("""COMPUTED_VALUE"""),"kennedy farrell")</f>
        <v>kennedy farrell</v>
      </c>
      <c r="F3730" s="3" t="str">
        <f>IFERROR(__xludf.DUMMYFUNCTION("""COMPUTED_VALUE"""),"kfarrell1101@outlook.com")</f>
        <v>kfarrell1101@outlook.com</v>
      </c>
      <c r="G3730" s="3">
        <f>IFERROR(__xludf.DUMMYFUNCTION("""COMPUTED_VALUE"""),9.059253629E9)</f>
        <v>9059253629</v>
      </c>
      <c r="H3730" s="3">
        <f>IFERROR(__xludf.DUMMYFUNCTION("""COMPUTED_VALUE"""),9.053731954E9)</f>
        <v>9053731954</v>
      </c>
    </row>
    <row r="3731">
      <c r="A3731" s="2">
        <f>IFERROR(__xludf.DUMMYFUNCTION("""COMPUTED_VALUE"""),40958.0)</f>
        <v>40958</v>
      </c>
      <c r="B3731" s="3" t="str">
        <f>IFERROR(__xludf.DUMMYFUNCTION("""COMPUTED_VALUE"""),"544 OLD DANFORTH RD")</f>
        <v>544 OLD DANFORTH RD</v>
      </c>
      <c r="C3731" s="3" t="str">
        <f>IFERROR(__xludf.DUMMYFUNCTION("""COMPUTED_VALUE"""),"GRAFTON ")</f>
        <v>GRAFTON </v>
      </c>
      <c r="D3731" s="3" t="str">
        <f>IFERROR(__xludf.DUMMYFUNCTION("""COMPUTED_VALUE"""),"K0K 2G0")</f>
        <v>K0K 2G0</v>
      </c>
      <c r="E3731" s="3" t="str">
        <f>IFERROR(__xludf.DUMMYFUNCTION("""COMPUTED_VALUE"""),"sharon-mckenzie &amp; Donnavan Baugh")</f>
        <v>sharon-mckenzie &amp; Donnavan Baugh</v>
      </c>
      <c r="F3731" s="3" t="str">
        <f>IFERROR(__xludf.DUMMYFUNCTION("""COMPUTED_VALUE"""),"donnavanhughbaugh@gmail.com")</f>
        <v>donnavanhughbaugh@gmail.com</v>
      </c>
      <c r="G3731" s="3">
        <f>IFERROR(__xludf.DUMMYFUNCTION("""COMPUTED_VALUE"""),4.165291069E9)</f>
        <v>4165291069</v>
      </c>
      <c r="H3731" s="3">
        <f>IFERROR(__xludf.DUMMYFUNCTION("""COMPUTED_VALUE"""),6.473933318E9)</f>
        <v>6473933318</v>
      </c>
    </row>
    <row r="3732">
      <c r="A3732" s="2">
        <f>IFERROR(__xludf.DUMMYFUNCTION("""COMPUTED_VALUE"""),40960.0)</f>
        <v>40960</v>
      </c>
      <c r="B3732" s="3" t="str">
        <f>IFERROR(__xludf.DUMMYFUNCTION("""COMPUTED_VALUE"""),"105 OLD KINGSTON RD")</f>
        <v>105 OLD KINGSTON RD</v>
      </c>
      <c r="C3732" s="3" t="str">
        <f>IFERROR(__xludf.DUMMYFUNCTION("""COMPUTED_VALUE"""),"COBOURG ")</f>
        <v>COBOURG </v>
      </c>
      <c r="D3732" s="3" t="str">
        <f>IFERROR(__xludf.DUMMYFUNCTION("""COMPUTED_VALUE"""),"K9A 4J8")</f>
        <v>K9A 4J8</v>
      </c>
      <c r="E3732" s="3" t="str">
        <f>IFERROR(__xludf.DUMMYFUNCTION("""COMPUTED_VALUE"""),"Shane Mac Farlane")</f>
        <v>Shane Mac Farlane</v>
      </c>
      <c r="F3732" s="3" t="str">
        <f>IFERROR(__xludf.DUMMYFUNCTION("""COMPUTED_VALUE"""),"shane_macfarlane@icloud.com")</f>
        <v>shane_macfarlane@icloud.com</v>
      </c>
      <c r="G3732" s="3"/>
      <c r="H3732" s="3"/>
    </row>
    <row r="3733">
      <c r="A3733" s="2">
        <f>IFERROR(__xludf.DUMMYFUNCTION("""COMPUTED_VALUE"""),40961.0)</f>
        <v>40961</v>
      </c>
      <c r="B3733" s="3" t="str">
        <f>IFERROR(__xludf.DUMMYFUNCTION("""COMPUTED_VALUE"""),"118 OLD KINGSTON RD")</f>
        <v>118 OLD KINGSTON RD</v>
      </c>
      <c r="C3733" s="3" t="str">
        <f>IFERROR(__xludf.DUMMYFUNCTION("""COMPUTED_VALUE"""),"COBOURG ")</f>
        <v>COBOURG </v>
      </c>
      <c r="D3733" s="3" t="str">
        <f>IFERROR(__xludf.DUMMYFUNCTION("""COMPUTED_VALUE"""),"K9A 4J8")</f>
        <v>K9A 4J8</v>
      </c>
      <c r="E3733" s="3" t="str">
        <f>IFERROR(__xludf.DUMMYFUNCTION("""COMPUTED_VALUE"""),"JESSICA EDDY")</f>
        <v>JESSICA EDDY</v>
      </c>
      <c r="F3733" s="3" t="str">
        <f>IFERROR(__xludf.DUMMYFUNCTION("""COMPUTED_VALUE"""),"eddy_jessie@hotmail.com")</f>
        <v>eddy_jessie@hotmail.com</v>
      </c>
      <c r="G3733" s="3"/>
      <c r="H3733" s="3"/>
    </row>
    <row r="3734">
      <c r="A3734" s="2">
        <f>IFERROR(__xludf.DUMMYFUNCTION("""COMPUTED_VALUE"""),40981.0)</f>
        <v>40981</v>
      </c>
      <c r="B3734" s="3" t="str">
        <f>IFERROR(__xludf.DUMMYFUNCTION("""COMPUTED_VALUE"""),"156 ORCHARD GROVE RD")</f>
        <v>156 ORCHARD GROVE RD</v>
      </c>
      <c r="C3734" s="3" t="str">
        <f>IFERROR(__xludf.DUMMYFUNCTION("""COMPUTED_VALUE"""),"GRAFTON ")</f>
        <v>GRAFTON </v>
      </c>
      <c r="D3734" s="3" t="str">
        <f>IFERROR(__xludf.DUMMYFUNCTION("""COMPUTED_VALUE"""),"K0K 2G0")</f>
        <v>K0K 2G0</v>
      </c>
      <c r="E3734" s="3" t="str">
        <f>IFERROR(__xludf.DUMMYFUNCTION("""COMPUTED_VALUE"""),"al and elaine becker ")</f>
        <v>al and elaine becker </v>
      </c>
      <c r="F3734" s="3" t="str">
        <f>IFERROR(__xludf.DUMMYFUNCTION("""COMPUTED_VALUE"""),"elaine.becker0062@gmail.com")</f>
        <v>elaine.becker0062@gmail.com</v>
      </c>
      <c r="G3734" s="3">
        <f>IFERROR(__xludf.DUMMYFUNCTION("""COMPUTED_VALUE"""),9.053293055E9)</f>
        <v>9053293055</v>
      </c>
      <c r="H3734" s="3">
        <f>IFERROR(__xludf.DUMMYFUNCTION("""COMPUTED_VALUE"""),9.054248695E9)</f>
        <v>9054248695</v>
      </c>
    </row>
    <row r="3735">
      <c r="A3735" s="2">
        <f>IFERROR(__xludf.DUMMYFUNCTION("""COMPUTED_VALUE"""),40982.0)</f>
        <v>40982</v>
      </c>
      <c r="B3735" s="3" t="str">
        <f>IFERROR(__xludf.DUMMYFUNCTION("""COMPUTED_VALUE"""),"162 ORCHARD GROVE RD")</f>
        <v>162 ORCHARD GROVE RD</v>
      </c>
      <c r="C3735" s="3" t="str">
        <f>IFERROR(__xludf.DUMMYFUNCTION("""COMPUTED_VALUE"""),"GRAFTON ")</f>
        <v>GRAFTON </v>
      </c>
      <c r="D3735" s="3" t="str">
        <f>IFERROR(__xludf.DUMMYFUNCTION("""COMPUTED_VALUE"""),"K0K 2G0")</f>
        <v>K0K 2G0</v>
      </c>
      <c r="E3735" s="3" t="str">
        <f>IFERROR(__xludf.DUMMYFUNCTION("""COMPUTED_VALUE"""),"joseph charlie boucher ")</f>
        <v>joseph charlie boucher </v>
      </c>
      <c r="F3735" s="3"/>
      <c r="G3735" s="3">
        <f>IFERROR(__xludf.DUMMYFUNCTION("""COMPUTED_VALUE"""),9.053493472E9)</f>
        <v>9053493472</v>
      </c>
      <c r="H3735" s="3">
        <f>IFERROR(__xludf.DUMMYFUNCTION("""COMPUTED_VALUE"""),9.053736629E9)</f>
        <v>9053736629</v>
      </c>
    </row>
    <row r="3736">
      <c r="A3736" s="2">
        <f>IFERROR(__xludf.DUMMYFUNCTION("""COMPUTED_VALUE"""),40983.0)</f>
        <v>40983</v>
      </c>
      <c r="B3736" s="3" t="str">
        <f>IFERROR(__xludf.DUMMYFUNCTION("""COMPUTED_VALUE"""),"194 ORCHARD GROVE RD")</f>
        <v>194 ORCHARD GROVE RD</v>
      </c>
      <c r="C3736" s="3" t="str">
        <f>IFERROR(__xludf.DUMMYFUNCTION("""COMPUTED_VALUE"""),"GRAFTON ")</f>
        <v>GRAFTON </v>
      </c>
      <c r="D3736" s="3" t="str">
        <f>IFERROR(__xludf.DUMMYFUNCTION("""COMPUTED_VALUE"""),"K0K 2G0")</f>
        <v>K0K 2G0</v>
      </c>
      <c r="E3736" s="3" t="str">
        <f>IFERROR(__xludf.DUMMYFUNCTION("""COMPUTED_VALUE"""),"david laneorg")</f>
        <v>david laneorg</v>
      </c>
      <c r="F3736" s="3" t="str">
        <f>IFERROR(__xludf.DUMMYFUNCTION("""COMPUTED_VALUE"""),"laneorg@hotmail.com")</f>
        <v>laneorg@hotmail.com</v>
      </c>
      <c r="G3736" s="3">
        <f>IFERROR(__xludf.DUMMYFUNCTION("""COMPUTED_VALUE"""),6.478851469E9)</f>
        <v>6478851469</v>
      </c>
      <c r="H3736" s="3"/>
    </row>
    <row r="3737">
      <c r="A3737" s="2">
        <f>IFERROR(__xludf.DUMMYFUNCTION("""COMPUTED_VALUE"""),40984.0)</f>
        <v>40984</v>
      </c>
      <c r="B3737" s="3" t="str">
        <f>IFERROR(__xludf.DUMMYFUNCTION("""COMPUTED_VALUE"""),"178 ORCHARD GROVE RD")</f>
        <v>178 ORCHARD GROVE RD</v>
      </c>
      <c r="C3737" s="3" t="str">
        <f>IFERROR(__xludf.DUMMYFUNCTION("""COMPUTED_VALUE"""),"GRAFTON ")</f>
        <v>GRAFTON </v>
      </c>
      <c r="D3737" s="3" t="str">
        <f>IFERROR(__xludf.DUMMYFUNCTION("""COMPUTED_VALUE"""),"K0K 2G0")</f>
        <v>K0K 2G0</v>
      </c>
      <c r="E3737" s="3" t="str">
        <f>IFERROR(__xludf.DUMMYFUNCTION("""COMPUTED_VALUE"""),"ZYGMUNT PICUR")</f>
        <v>ZYGMUNT PICUR</v>
      </c>
      <c r="F3737" s="3" t="str">
        <f>IFERROR(__xludf.DUMMYFUNCTION("""COMPUTED_VALUE"""),"zpicur@gmail.com")</f>
        <v>zpicur@gmail.com</v>
      </c>
      <c r="G3737" s="3"/>
      <c r="H3737" s="3"/>
    </row>
    <row r="3738">
      <c r="A3738" s="2">
        <f>IFERROR(__xludf.DUMMYFUNCTION("""COMPUTED_VALUE"""),40985.0)</f>
        <v>40985</v>
      </c>
      <c r="B3738" s="3" t="str">
        <f>IFERROR(__xludf.DUMMYFUNCTION("""COMPUTED_VALUE"""),"204 ORCHARD GROVE RD")</f>
        <v>204 ORCHARD GROVE RD</v>
      </c>
      <c r="C3738" s="3" t="str">
        <f>IFERROR(__xludf.DUMMYFUNCTION("""COMPUTED_VALUE"""),"GRAFTON ")</f>
        <v>GRAFTON </v>
      </c>
      <c r="D3738" s="3" t="str">
        <f>IFERROR(__xludf.DUMMYFUNCTION("""COMPUTED_VALUE"""),"K0K 2G0")</f>
        <v>K0K 2G0</v>
      </c>
      <c r="E3738" s="3" t="str">
        <f>IFERROR(__xludf.DUMMYFUNCTION("""COMPUTED_VALUE"""),"boutheina maranui")</f>
        <v>boutheina maranui</v>
      </c>
      <c r="F3738" s="3" t="str">
        <f>IFERROR(__xludf.DUMMYFUNCTION("""COMPUTED_VALUE"""),"boutheina@nccpelerborough.ca")</f>
        <v>boutheina@nccpelerborough.ca</v>
      </c>
      <c r="G3738" s="3">
        <f>IFERROR(__xludf.DUMMYFUNCTION("""COMPUTED_VALUE"""),2.898293006E9)</f>
        <v>2898293006</v>
      </c>
      <c r="H3738" s="3">
        <f>IFERROR(__xludf.DUMMYFUNCTION("""COMPUTED_VALUE"""),9.053967857E9)</f>
        <v>9053967857</v>
      </c>
    </row>
    <row r="3739">
      <c r="A3739" s="2">
        <f>IFERROR(__xludf.DUMMYFUNCTION("""COMPUTED_VALUE"""),40986.0)</f>
        <v>40986</v>
      </c>
      <c r="B3739" s="3" t="str">
        <f>IFERROR(__xludf.DUMMYFUNCTION("""COMPUTED_VALUE"""),"212 ORCHARD GROVE RD")</f>
        <v>212 ORCHARD GROVE RD</v>
      </c>
      <c r="C3739" s="3" t="str">
        <f>IFERROR(__xludf.DUMMYFUNCTION("""COMPUTED_VALUE"""),"GRAFTON ")</f>
        <v>GRAFTON </v>
      </c>
      <c r="D3739" s="3" t="str">
        <f>IFERROR(__xludf.DUMMYFUNCTION("""COMPUTED_VALUE"""),"K0K 2G0")</f>
        <v>K0K 2G0</v>
      </c>
      <c r="E3739" s="3" t="str">
        <f>IFERROR(__xludf.DUMMYFUNCTION("""COMPUTED_VALUE"""),"RYAN VOYCEY")</f>
        <v>RYAN VOYCEY</v>
      </c>
      <c r="F3739" s="3" t="str">
        <f>IFERROR(__xludf.DUMMYFUNCTION("""COMPUTED_VALUE"""),"rvoycey@gmail.com")</f>
        <v>rvoycey@gmail.com</v>
      </c>
      <c r="G3739" s="3"/>
      <c r="H3739" s="3"/>
    </row>
    <row r="3740">
      <c r="A3740" s="2">
        <f>IFERROR(__xludf.DUMMYFUNCTION("""COMPUTED_VALUE"""),40987.0)</f>
        <v>40987</v>
      </c>
      <c r="B3740" s="3" t="str">
        <f>IFERROR(__xludf.DUMMYFUNCTION("""COMPUTED_VALUE"""),"233 ORCHARD GROVE RD")</f>
        <v>233 ORCHARD GROVE RD</v>
      </c>
      <c r="C3740" s="3" t="str">
        <f>IFERROR(__xludf.DUMMYFUNCTION("""COMPUTED_VALUE"""),"GRAFTON ")</f>
        <v>GRAFTON </v>
      </c>
      <c r="D3740" s="3" t="str">
        <f>IFERROR(__xludf.DUMMYFUNCTION("""COMPUTED_VALUE"""),"K0K 2G0")</f>
        <v>K0K 2G0</v>
      </c>
      <c r="E3740" s="3"/>
      <c r="F3740" s="3"/>
      <c r="G3740" s="3"/>
      <c r="H3740" s="3"/>
    </row>
    <row r="3741">
      <c r="A3741" s="2">
        <f>IFERROR(__xludf.DUMMYFUNCTION("""COMPUTED_VALUE"""),40988.0)</f>
        <v>40988</v>
      </c>
      <c r="B3741" s="3" t="str">
        <f>IFERROR(__xludf.DUMMYFUNCTION("""COMPUTED_VALUE"""),"283 ORCHARD GROVE RD")</f>
        <v>283 ORCHARD GROVE RD</v>
      </c>
      <c r="C3741" s="3" t="str">
        <f>IFERROR(__xludf.DUMMYFUNCTION("""COMPUTED_VALUE"""),"GRAFTON ")</f>
        <v>GRAFTON </v>
      </c>
      <c r="D3741" s="3" t="str">
        <f>IFERROR(__xludf.DUMMYFUNCTION("""COMPUTED_VALUE"""),"K0K 2G0")</f>
        <v>K0K 2G0</v>
      </c>
      <c r="E3741" s="3"/>
      <c r="F3741" s="3"/>
      <c r="G3741" s="3"/>
      <c r="H3741" s="3"/>
    </row>
    <row r="3742">
      <c r="A3742" s="2">
        <f>IFERROR(__xludf.DUMMYFUNCTION("""COMPUTED_VALUE"""),40989.0)</f>
        <v>40989</v>
      </c>
      <c r="B3742" s="3" t="str">
        <f>IFERROR(__xludf.DUMMYFUNCTION("""COMPUTED_VALUE"""),"287 ORCHARD GROVE RD")</f>
        <v>287 ORCHARD GROVE RD</v>
      </c>
      <c r="C3742" s="3" t="str">
        <f>IFERROR(__xludf.DUMMYFUNCTION("""COMPUTED_VALUE"""),"GRAFTON ")</f>
        <v>GRAFTON </v>
      </c>
      <c r="D3742" s="3" t="str">
        <f>IFERROR(__xludf.DUMMYFUNCTION("""COMPUTED_VALUE"""),"K0K 2G0")</f>
        <v>K0K 2G0</v>
      </c>
      <c r="E3742" s="3" t="str">
        <f>IFERROR(__xludf.DUMMYFUNCTION("""COMPUTED_VALUE"""),"beth rodgers ")</f>
        <v>beth rodgers </v>
      </c>
      <c r="F3742" s="3" t="str">
        <f>IFERROR(__xludf.DUMMYFUNCTION("""COMPUTED_VALUE"""),"bethrodgers@rogers.com")</f>
        <v>bethrodgers@rogers.com</v>
      </c>
      <c r="G3742" s="3">
        <f>IFERROR(__xludf.DUMMYFUNCTION("""COMPUTED_VALUE"""),2.894040267E9)</f>
        <v>2894040267</v>
      </c>
      <c r="H3742" s="3"/>
    </row>
    <row r="3743">
      <c r="A3743" s="2">
        <f>IFERROR(__xludf.DUMMYFUNCTION("""COMPUTED_VALUE"""),40990.0)</f>
        <v>40990</v>
      </c>
      <c r="B3743" s="3" t="str">
        <f>IFERROR(__xludf.DUMMYFUNCTION("""COMPUTED_VALUE"""),"291 ORCHARD GROVE RD")</f>
        <v>291 ORCHARD GROVE RD</v>
      </c>
      <c r="C3743" s="3" t="str">
        <f>IFERROR(__xludf.DUMMYFUNCTION("""COMPUTED_VALUE"""),"GRAFTON ")</f>
        <v>GRAFTON </v>
      </c>
      <c r="D3743" s="3" t="str">
        <f>IFERROR(__xludf.DUMMYFUNCTION("""COMPUTED_VALUE"""),"K0K 2G0")</f>
        <v>K0K 2G0</v>
      </c>
      <c r="E3743" s="3" t="str">
        <f>IFERROR(__xludf.DUMMYFUNCTION("""COMPUTED_VALUE"""),"florinski")</f>
        <v>florinski</v>
      </c>
      <c r="F3743" s="3"/>
      <c r="G3743" s="3">
        <f>IFERROR(__xludf.DUMMYFUNCTION("""COMPUTED_VALUE"""),9.053492505E9)</f>
        <v>9053492505</v>
      </c>
      <c r="H3743" s="3"/>
    </row>
    <row r="3744">
      <c r="A3744" s="2">
        <f>IFERROR(__xludf.DUMMYFUNCTION("""COMPUTED_VALUE"""),40991.0)</f>
        <v>40991</v>
      </c>
      <c r="B3744" s="3" t="str">
        <f>IFERROR(__xludf.DUMMYFUNCTION("""COMPUTED_VALUE"""),"360 ORCHARD GROVE RD")</f>
        <v>360 ORCHARD GROVE RD</v>
      </c>
      <c r="C3744" s="3" t="str">
        <f>IFERROR(__xludf.DUMMYFUNCTION("""COMPUTED_VALUE"""),"GRAFTON ")</f>
        <v>GRAFTON </v>
      </c>
      <c r="D3744" s="3" t="str">
        <f>IFERROR(__xludf.DUMMYFUNCTION("""COMPUTED_VALUE"""),"K0K 2G0")</f>
        <v>K0K 2G0</v>
      </c>
      <c r="E3744" s="3" t="str">
        <f>IFERROR(__xludf.DUMMYFUNCTION("""COMPUTED_VALUE"""),"TRACY MCCORMICK")</f>
        <v>TRACY MCCORMICK</v>
      </c>
      <c r="F3744" s="3" t="str">
        <f>IFERROR(__xludf.DUMMYFUNCTION("""COMPUTED_VALUE"""),"mike_tracymc@yahoo.com")</f>
        <v>mike_tracymc@yahoo.com</v>
      </c>
      <c r="G3744" s="3"/>
      <c r="H3744" s="3"/>
    </row>
    <row r="3745">
      <c r="A3745" s="2">
        <f>IFERROR(__xludf.DUMMYFUNCTION("""COMPUTED_VALUE"""),40992.0)</f>
        <v>40992</v>
      </c>
      <c r="B3745" s="3" t="str">
        <f>IFERROR(__xludf.DUMMYFUNCTION("""COMPUTED_VALUE"""),"378 ORCHARD GROVE RD")</f>
        <v>378 ORCHARD GROVE RD</v>
      </c>
      <c r="C3745" s="3" t="str">
        <f>IFERROR(__xludf.DUMMYFUNCTION("""COMPUTED_VALUE"""),"GRAFTON ")</f>
        <v>GRAFTON </v>
      </c>
      <c r="D3745" s="3" t="str">
        <f>IFERROR(__xludf.DUMMYFUNCTION("""COMPUTED_VALUE"""),"K0K 2G0")</f>
        <v>K0K 2G0</v>
      </c>
      <c r="E3745" s="3"/>
      <c r="F3745" s="3"/>
      <c r="G3745" s="3"/>
      <c r="H3745" s="3"/>
    </row>
    <row r="3746">
      <c r="A3746" s="2">
        <f>IFERROR(__xludf.DUMMYFUNCTION("""COMPUTED_VALUE"""),40994.0)</f>
        <v>40994</v>
      </c>
      <c r="B3746" s="3" t="str">
        <f>IFERROR(__xludf.DUMMYFUNCTION("""COMPUTED_VALUE"""),"430 ORCHARD GROVE RD")</f>
        <v>430 ORCHARD GROVE RD</v>
      </c>
      <c r="C3746" s="3" t="str">
        <f>IFERROR(__xludf.DUMMYFUNCTION("""COMPUTED_VALUE"""),"GRAFTON ")</f>
        <v>GRAFTON </v>
      </c>
      <c r="D3746" s="3" t="str">
        <f>IFERROR(__xludf.DUMMYFUNCTION("""COMPUTED_VALUE"""),"K0K 2G0")</f>
        <v>K0K 2G0</v>
      </c>
      <c r="E3746" s="3"/>
      <c r="F3746" s="3"/>
      <c r="G3746" s="3"/>
      <c r="H3746" s="3"/>
    </row>
    <row r="3747">
      <c r="A3747" s="2">
        <f>IFERROR(__xludf.DUMMYFUNCTION("""COMPUTED_VALUE"""),40996.0)</f>
        <v>40996</v>
      </c>
      <c r="B3747" s="3" t="str">
        <f>IFERROR(__xludf.DUMMYFUNCTION("""COMPUTED_VALUE"""),"437 ORCHARD GROVE RD")</f>
        <v>437 ORCHARD GROVE RD</v>
      </c>
      <c r="C3747" s="3" t="str">
        <f>IFERROR(__xludf.DUMMYFUNCTION("""COMPUTED_VALUE"""),"GRAFTON ")</f>
        <v>GRAFTON </v>
      </c>
      <c r="D3747" s="3" t="str">
        <f>IFERROR(__xludf.DUMMYFUNCTION("""COMPUTED_VALUE"""),"K0K 2G0")</f>
        <v>K0K 2G0</v>
      </c>
      <c r="E3747" s="3"/>
      <c r="F3747" s="3"/>
      <c r="G3747" s="3"/>
      <c r="H3747" s="3"/>
    </row>
    <row r="3748">
      <c r="A3748" s="2">
        <f>IFERROR(__xludf.DUMMYFUNCTION("""COMPUTED_VALUE"""),40997.0)</f>
        <v>40997</v>
      </c>
      <c r="B3748" s="3" t="str">
        <f>IFERROR(__xludf.DUMMYFUNCTION("""COMPUTED_VALUE"""),"446 ORCHARD GROVE RD")</f>
        <v>446 ORCHARD GROVE RD</v>
      </c>
      <c r="C3748" s="3" t="str">
        <f>IFERROR(__xludf.DUMMYFUNCTION("""COMPUTED_VALUE"""),"GRAFTON ")</f>
        <v>GRAFTON </v>
      </c>
      <c r="D3748" s="3" t="str">
        <f>IFERROR(__xludf.DUMMYFUNCTION("""COMPUTED_VALUE"""),"K0K 2G0")</f>
        <v>K0K 2G0</v>
      </c>
      <c r="E3748" s="3" t="str">
        <f>IFERROR(__xludf.DUMMYFUNCTION("""COMPUTED_VALUE"""),"RACHEL QUEMBY")</f>
        <v>RACHEL QUEMBY</v>
      </c>
      <c r="F3748" s="3" t="str">
        <f>IFERROR(__xludf.DUMMYFUNCTION("""COMPUTED_VALUE"""),"rachelquemby@hotmail.com")</f>
        <v>rachelquemby@hotmail.com</v>
      </c>
      <c r="G3748" s="3"/>
      <c r="H3748" s="3"/>
    </row>
    <row r="3749">
      <c r="A3749" s="2">
        <f>IFERROR(__xludf.DUMMYFUNCTION("""COMPUTED_VALUE"""),40998.0)</f>
        <v>40998</v>
      </c>
      <c r="B3749" s="3" t="str">
        <f>IFERROR(__xludf.DUMMYFUNCTION("""COMPUTED_VALUE"""),"472 ORCHARD GROVE RD")</f>
        <v>472 ORCHARD GROVE RD</v>
      </c>
      <c r="C3749" s="3" t="str">
        <f>IFERROR(__xludf.DUMMYFUNCTION("""COMPUTED_VALUE"""),"GRAFTON ")</f>
        <v>GRAFTON </v>
      </c>
      <c r="D3749" s="3" t="str">
        <f>IFERROR(__xludf.DUMMYFUNCTION("""COMPUTED_VALUE"""),"K0K 2G0")</f>
        <v>K0K 2G0</v>
      </c>
      <c r="E3749" s="3" t="str">
        <f>IFERROR(__xludf.DUMMYFUNCTION("""COMPUTED_VALUE"""),"Lisa Marie Hayman")</f>
        <v>Lisa Marie Hayman</v>
      </c>
      <c r="F3749" s="3" t="str">
        <f>IFERROR(__xludf.DUMMYFUNCTION("""COMPUTED_VALUE"""),"lisamarieclarke01@gmail.com")</f>
        <v>lisamarieclarke01@gmail.com</v>
      </c>
      <c r="G3749" s="3">
        <f>IFERROR(__xludf.DUMMYFUNCTION("""COMPUTED_VALUE"""),9.053964014E9)</f>
        <v>9053964014</v>
      </c>
      <c r="H3749" s="3">
        <f>IFERROR(__xludf.DUMMYFUNCTION("""COMPUTED_VALUE"""),9.053964757E9)</f>
        <v>9053964757</v>
      </c>
    </row>
    <row r="3750">
      <c r="A3750" s="2">
        <f>IFERROR(__xludf.DUMMYFUNCTION("""COMPUTED_VALUE"""),40999.0)</f>
        <v>40999</v>
      </c>
      <c r="B3750" s="3" t="str">
        <f>IFERROR(__xludf.DUMMYFUNCTION("""COMPUTED_VALUE"""),"509 ORCHARD GROVE RD")</f>
        <v>509 ORCHARD GROVE RD</v>
      </c>
      <c r="C3750" s="3" t="str">
        <f>IFERROR(__xludf.DUMMYFUNCTION("""COMPUTED_VALUE"""),"GRAFTON ")</f>
        <v>GRAFTON </v>
      </c>
      <c r="D3750" s="3" t="str">
        <f>IFERROR(__xludf.DUMMYFUNCTION("""COMPUTED_VALUE"""),"K0K 2G0")</f>
        <v>K0K 2G0</v>
      </c>
      <c r="E3750" s="3" t="str">
        <f>IFERROR(__xludf.DUMMYFUNCTION("""COMPUTED_VALUE"""),"FRANCESCA SIRSLY")</f>
        <v>FRANCESCA SIRSLY</v>
      </c>
      <c r="F3750" s="3" t="str">
        <f>IFERROR(__xludf.DUMMYFUNCTION("""COMPUTED_VALUE"""),"franny142@hotmail.com")</f>
        <v>franny142@hotmail.com</v>
      </c>
      <c r="G3750" s="3"/>
      <c r="H3750" s="3"/>
    </row>
    <row r="3751">
      <c r="A3751" s="2">
        <f>IFERROR(__xludf.DUMMYFUNCTION("""COMPUTED_VALUE"""),41000.0)</f>
        <v>41000</v>
      </c>
      <c r="B3751" s="3" t="str">
        <f>IFERROR(__xludf.DUMMYFUNCTION("""COMPUTED_VALUE"""),"510 ORCHARD GROVE RD")</f>
        <v>510 ORCHARD GROVE RD</v>
      </c>
      <c r="C3751" s="3" t="str">
        <f>IFERROR(__xludf.DUMMYFUNCTION("""COMPUTED_VALUE"""),"GRAFTON ")</f>
        <v>GRAFTON </v>
      </c>
      <c r="D3751" s="3" t="str">
        <f>IFERROR(__xludf.DUMMYFUNCTION("""COMPUTED_VALUE"""),"K0K 2G0")</f>
        <v>K0K 2G0</v>
      </c>
      <c r="E3751" s="3" t="str">
        <f>IFERROR(__xludf.DUMMYFUNCTION("""COMPUTED_VALUE"""),"Sarah Brisbin")</f>
        <v>Sarah Brisbin</v>
      </c>
      <c r="F3751" s="3" t="str">
        <f>IFERROR(__xludf.DUMMYFUNCTION("""COMPUTED_VALUE"""),"sarahlynneclarke@gmail.com")</f>
        <v>sarahlynneclarke@gmail.com</v>
      </c>
      <c r="G3751" s="3">
        <f>IFERROR(__xludf.DUMMYFUNCTION("""COMPUTED_VALUE"""),9.052693043E9)</f>
        <v>9052693043</v>
      </c>
      <c r="H3751" s="3">
        <f>IFERROR(__xludf.DUMMYFUNCTION("""COMPUTED_VALUE"""),9.053757768E9)</f>
        <v>9053757768</v>
      </c>
    </row>
    <row r="3752">
      <c r="A3752" s="2">
        <f>IFERROR(__xludf.DUMMYFUNCTION("""COMPUTED_VALUE"""),41001.0)</f>
        <v>41001</v>
      </c>
      <c r="B3752" s="3" t="str">
        <f>IFERROR(__xludf.DUMMYFUNCTION("""COMPUTED_VALUE"""),"523 ORCHARD GROVE RD")</f>
        <v>523 ORCHARD GROVE RD</v>
      </c>
      <c r="C3752" s="3" t="str">
        <f>IFERROR(__xludf.DUMMYFUNCTION("""COMPUTED_VALUE"""),"GRAFTON ")</f>
        <v>GRAFTON </v>
      </c>
      <c r="D3752" s="3" t="str">
        <f>IFERROR(__xludf.DUMMYFUNCTION("""COMPUTED_VALUE"""),"K0K 2G0")</f>
        <v>K0K 2G0</v>
      </c>
      <c r="E3752" s="3" t="str">
        <f>IFERROR(__xludf.DUMMYFUNCTION("""COMPUTED_VALUE"""),"Stacy Shewen")</f>
        <v>Stacy Shewen</v>
      </c>
      <c r="F3752" s="3" t="str">
        <f>IFERROR(__xludf.DUMMYFUNCTION("""COMPUTED_VALUE"""),"shew0001@yahoo.com")</f>
        <v>shew0001@yahoo.com</v>
      </c>
      <c r="G3752" s="3">
        <f>IFERROR(__xludf.DUMMYFUNCTION("""COMPUTED_VALUE"""),9.05396965E9)</f>
        <v>9053969650</v>
      </c>
      <c r="H3752" s="3"/>
    </row>
    <row r="3753">
      <c r="A3753" s="2">
        <f>IFERROR(__xludf.DUMMYFUNCTION("""COMPUTED_VALUE"""),41002.0)</f>
        <v>41002</v>
      </c>
      <c r="B3753" s="3" t="str">
        <f>IFERROR(__xludf.DUMMYFUNCTION("""COMPUTED_VALUE"""),"604 ORCHARD GROVE RD")</f>
        <v>604 ORCHARD GROVE RD</v>
      </c>
      <c r="C3753" s="3" t="str">
        <f>IFERROR(__xludf.DUMMYFUNCTION("""COMPUTED_VALUE"""),"GRAFTON ")</f>
        <v>GRAFTON </v>
      </c>
      <c r="D3753" s="3" t="str">
        <f>IFERROR(__xludf.DUMMYFUNCTION("""COMPUTED_VALUE"""),"K0K 2G0")</f>
        <v>K0K 2G0</v>
      </c>
      <c r="E3753" s="3"/>
      <c r="F3753" s="3"/>
      <c r="G3753" s="3"/>
      <c r="H3753" s="3"/>
    </row>
    <row r="3754">
      <c r="A3754" s="2">
        <f>IFERROR(__xludf.DUMMYFUNCTION("""COMPUTED_VALUE"""),41006.0)</f>
        <v>41006</v>
      </c>
      <c r="B3754" s="3" t="str">
        <f>IFERROR(__xludf.DUMMYFUNCTION("""COMPUTED_VALUE"""),"1405 PENTECOSTAL RD - COTTAGES")</f>
        <v>1405 PENTECOSTAL RD - COTTAGES</v>
      </c>
      <c r="C3754" s="3"/>
      <c r="D3754" s="3"/>
      <c r="E3754" s="3"/>
      <c r="F3754" s="3"/>
      <c r="G3754" s="3"/>
      <c r="H3754" s="3"/>
    </row>
    <row r="3755">
      <c r="A3755" s="2">
        <f>IFERROR(__xludf.DUMMYFUNCTION("""COMPUTED_VALUE"""),41007.0)</f>
        <v>41007</v>
      </c>
      <c r="B3755" s="3" t="str">
        <f>IFERROR(__xludf.DUMMYFUNCTION("""COMPUTED_VALUE"""),"1405 PENTECOSTAL RD - COTTAGES/TRAILERS")</f>
        <v>1405 PENTECOSTAL RD - COTTAGES/TRAILERS</v>
      </c>
      <c r="C3755" s="3"/>
      <c r="D3755" s="3"/>
      <c r="E3755" s="3"/>
      <c r="F3755" s="3"/>
      <c r="G3755" s="3"/>
      <c r="H3755" s="3"/>
    </row>
    <row r="3756">
      <c r="A3756" s="2">
        <f>IFERROR(__xludf.DUMMYFUNCTION("""COMPUTED_VALUE"""),41008.0)</f>
        <v>41008</v>
      </c>
      <c r="B3756" s="3" t="str">
        <f>IFERROR(__xludf.DUMMYFUNCTION("""COMPUTED_VALUE"""),"1437 PENTECOSTAL RD")</f>
        <v>1437 PENTECOSTAL RD</v>
      </c>
      <c r="C3756" s="3"/>
      <c r="D3756" s="3"/>
      <c r="E3756" s="3"/>
      <c r="F3756" s="3"/>
      <c r="G3756" s="3"/>
      <c r="H3756" s="3"/>
    </row>
    <row r="3757">
      <c r="A3757" s="2">
        <f>IFERROR(__xludf.DUMMYFUNCTION("""COMPUTED_VALUE"""),41009.0)</f>
        <v>41009</v>
      </c>
      <c r="B3757" s="3" t="str">
        <f>IFERROR(__xludf.DUMMYFUNCTION("""COMPUTED_VALUE"""),"1497 PENTECOSTAL RD")</f>
        <v>1497 PENTECOSTAL RD</v>
      </c>
      <c r="C3757" s="3" t="str">
        <f>IFERROR(__xludf.DUMMYFUNCTION("""COMPUTED_VALUE"""),"COBOURG")</f>
        <v>COBOURG</v>
      </c>
      <c r="D3757" s="3" t="str">
        <f>IFERROR(__xludf.DUMMYFUNCTION("""COMPUTED_VALUE"""),"K9A 4J8")</f>
        <v>K9A 4J8</v>
      </c>
      <c r="E3757" s="3"/>
      <c r="F3757" s="3"/>
      <c r="G3757" s="3"/>
      <c r="H3757" s="3"/>
    </row>
    <row r="3758">
      <c r="A3758" s="2">
        <f>IFERROR(__xludf.DUMMYFUNCTION("""COMPUTED_VALUE"""),41010.0)</f>
        <v>41010</v>
      </c>
      <c r="B3758" s="3" t="str">
        <f>IFERROR(__xludf.DUMMYFUNCTION("""COMPUTED_VALUE"""),"1507 PENTECOSTAL RD")</f>
        <v>1507 PENTECOSTAL RD</v>
      </c>
      <c r="C3758" s="3" t="str">
        <f>IFERROR(__xludf.DUMMYFUNCTION("""COMPUTED_VALUE"""),"COBOURG")</f>
        <v>COBOURG</v>
      </c>
      <c r="D3758" s="3" t="str">
        <f>IFERROR(__xludf.DUMMYFUNCTION("""COMPUTED_VALUE"""),"K9A 4J8")</f>
        <v>K9A 4J8</v>
      </c>
      <c r="E3758" s="3" t="str">
        <f>IFERROR(__xludf.DUMMYFUNCTION("""COMPUTED_VALUE"""),"James Gatien | Tina Gatien")</f>
        <v>James Gatien | Tina Gatien</v>
      </c>
      <c r="F3758" s="3" t="str">
        <f>IFERROR(__xludf.DUMMYFUNCTION("""COMPUTED_VALUE"""),"tjgatien@hotmail.com")</f>
        <v>tjgatien@hotmail.com</v>
      </c>
      <c r="G3758" s="3">
        <f>IFERROR(__xludf.DUMMYFUNCTION("""COMPUTED_VALUE"""),9.053969829E9)</f>
        <v>9053969829</v>
      </c>
      <c r="H3758" s="3">
        <f>IFERROR(__xludf.DUMMYFUNCTION("""COMPUTED_VALUE"""),9.053732146E9)</f>
        <v>9053732146</v>
      </c>
    </row>
    <row r="3759">
      <c r="A3759" s="2">
        <f>IFERROR(__xludf.DUMMYFUNCTION("""COMPUTED_VALUE"""),41011.0)</f>
        <v>41011</v>
      </c>
      <c r="B3759" s="3" t="str">
        <f>IFERROR(__xludf.DUMMYFUNCTION("""COMPUTED_VALUE"""),"1511 PENTECOSTAL RD")</f>
        <v>1511 PENTECOSTAL RD</v>
      </c>
      <c r="C3759" s="3" t="str">
        <f>IFERROR(__xludf.DUMMYFUNCTION("""COMPUTED_VALUE"""),"COBOURG")</f>
        <v>COBOURG</v>
      </c>
      <c r="D3759" s="3" t="str">
        <f>IFERROR(__xludf.DUMMYFUNCTION("""COMPUTED_VALUE"""),"K9A 4J8")</f>
        <v>K9A 4J8</v>
      </c>
      <c r="E3759" s="3" t="str">
        <f>IFERROR(__xludf.DUMMYFUNCTION("""COMPUTED_VALUE"""),"Derik Hughes ")</f>
        <v>Derik Hughes </v>
      </c>
      <c r="F3759" s="3" t="str">
        <f>IFERROR(__xludf.DUMMYFUNCTION("""COMPUTED_VALUE"""),"derik.d.hughes@gmail.com")</f>
        <v>derik.d.hughes@gmail.com</v>
      </c>
      <c r="G3759" s="3">
        <f>IFERROR(__xludf.DUMMYFUNCTION("""COMPUTED_VALUE"""),7.054640798E9)</f>
        <v>7054640798</v>
      </c>
      <c r="H3759" s="3"/>
    </row>
    <row r="3760">
      <c r="A3760" s="2">
        <f>IFERROR(__xludf.DUMMYFUNCTION("""COMPUTED_VALUE"""),41012.0)</f>
        <v>41012</v>
      </c>
      <c r="B3760" s="3" t="str">
        <f>IFERROR(__xludf.DUMMYFUNCTION("""COMPUTED_VALUE"""),"1515 PENTECOSTAL RD")</f>
        <v>1515 PENTECOSTAL RD</v>
      </c>
      <c r="C3760" s="3" t="str">
        <f>IFERROR(__xludf.DUMMYFUNCTION("""COMPUTED_VALUE"""),"COBOURG")</f>
        <v>COBOURG</v>
      </c>
      <c r="D3760" s="3" t="str">
        <f>IFERROR(__xludf.DUMMYFUNCTION("""COMPUTED_VALUE"""),"K9A 4J8")</f>
        <v>K9A 4J8</v>
      </c>
      <c r="E3760" s="3" t="str">
        <f>IFERROR(__xludf.DUMMYFUNCTION("""COMPUTED_VALUE"""),"Ann Lane")</f>
        <v>Ann Lane</v>
      </c>
      <c r="F3760" s="3" t="str">
        <f>IFERROR(__xludf.DUMMYFUNCTION("""COMPUTED_VALUE"""),"annlane@live.ca")</f>
        <v>annlane@live.ca</v>
      </c>
      <c r="G3760" s="3">
        <f>IFERROR(__xludf.DUMMYFUNCTION("""COMPUTED_VALUE"""),2.892510288E9)</f>
        <v>2892510288</v>
      </c>
      <c r="H3760" s="3"/>
    </row>
    <row r="3761">
      <c r="A3761" s="2">
        <f>IFERROR(__xludf.DUMMYFUNCTION("""COMPUTED_VALUE"""),41013.0)</f>
        <v>41013</v>
      </c>
      <c r="B3761" s="3" t="str">
        <f>IFERROR(__xludf.DUMMYFUNCTION("""COMPUTED_VALUE"""),"1521 PENTECOSTAL RD")</f>
        <v>1521 PENTECOSTAL RD</v>
      </c>
      <c r="C3761" s="3" t="str">
        <f>IFERROR(__xludf.DUMMYFUNCTION("""COMPUTED_VALUE"""),"COBOURG")</f>
        <v>COBOURG</v>
      </c>
      <c r="D3761" s="3" t="str">
        <f>IFERROR(__xludf.DUMMYFUNCTION("""COMPUTED_VALUE"""),"K9A 4J8")</f>
        <v>K9A 4J8</v>
      </c>
      <c r="E3761" s="3"/>
      <c r="F3761" s="3"/>
      <c r="G3761" s="3"/>
      <c r="H3761" s="3"/>
    </row>
    <row r="3762">
      <c r="A3762" s="2">
        <f>IFERROR(__xludf.DUMMYFUNCTION("""COMPUTED_VALUE"""),41014.0)</f>
        <v>41014</v>
      </c>
      <c r="B3762" s="3" t="str">
        <f>IFERROR(__xludf.DUMMYFUNCTION("""COMPUTED_VALUE"""),"1527 PENTECOSTAL RD")</f>
        <v>1527 PENTECOSTAL RD</v>
      </c>
      <c r="C3762" s="3" t="str">
        <f>IFERROR(__xludf.DUMMYFUNCTION("""COMPUTED_VALUE"""),"COBOURG")</f>
        <v>COBOURG</v>
      </c>
      <c r="D3762" s="3" t="str">
        <f>IFERROR(__xludf.DUMMYFUNCTION("""COMPUTED_VALUE"""),"K9A 4J8")</f>
        <v>K9A 4J8</v>
      </c>
      <c r="E3762" s="3" t="str">
        <f>IFERROR(__xludf.DUMMYFUNCTION("""COMPUTED_VALUE"""),"joe hofstede")</f>
        <v>joe hofstede</v>
      </c>
      <c r="F3762" s="3" t="str">
        <f>IFERROR(__xludf.DUMMYFUNCTION("""COMPUTED_VALUE"""),"joe.hofstede@sympatico.ca")</f>
        <v>joe.hofstede@sympatico.ca</v>
      </c>
      <c r="G3762" s="3">
        <f>IFERROR(__xludf.DUMMYFUNCTION("""COMPUTED_VALUE"""),9.053730329E9)</f>
        <v>9053730329</v>
      </c>
      <c r="H3762" s="3"/>
    </row>
    <row r="3763">
      <c r="A3763" s="2">
        <f>IFERROR(__xludf.DUMMYFUNCTION("""COMPUTED_VALUE"""),41015.0)</f>
        <v>41015</v>
      </c>
      <c r="B3763" s="3" t="str">
        <f>IFERROR(__xludf.DUMMYFUNCTION("""COMPUTED_VALUE"""),"1535 PENTECOSTAL RD")</f>
        <v>1535 PENTECOSTAL RD</v>
      </c>
      <c r="C3763" s="3" t="str">
        <f>IFERROR(__xludf.DUMMYFUNCTION("""COMPUTED_VALUE"""),"COBOURG")</f>
        <v>COBOURG</v>
      </c>
      <c r="D3763" s="3" t="str">
        <f>IFERROR(__xludf.DUMMYFUNCTION("""COMPUTED_VALUE"""),"K9A 4J8")</f>
        <v>K9A 4J8</v>
      </c>
      <c r="E3763" s="3" t="str">
        <f>IFERROR(__xludf.DUMMYFUNCTION("""COMPUTED_VALUE"""),"Judy Ferguson ")</f>
        <v>Judy Ferguson </v>
      </c>
      <c r="F3763" s="3" t="str">
        <f>IFERROR(__xludf.DUMMYFUNCTION("""COMPUTED_VALUE"""),"jaspertrouble05@gmail.com")</f>
        <v>jaspertrouble05@gmail.com</v>
      </c>
      <c r="G3763" s="3"/>
      <c r="H3763" s="3"/>
    </row>
    <row r="3764">
      <c r="A3764" s="2">
        <f>IFERROR(__xludf.DUMMYFUNCTION("""COMPUTED_VALUE"""),41016.0)</f>
        <v>41016</v>
      </c>
      <c r="B3764" s="3" t="str">
        <f>IFERROR(__xludf.DUMMYFUNCTION("""COMPUTED_VALUE"""),"1539 PENTECOSTAL RD")</f>
        <v>1539 PENTECOSTAL RD</v>
      </c>
      <c r="C3764" s="3" t="str">
        <f>IFERROR(__xludf.DUMMYFUNCTION("""COMPUTED_VALUE"""),"COBOURG")</f>
        <v>COBOURG</v>
      </c>
      <c r="D3764" s="3" t="str">
        <f>IFERROR(__xludf.DUMMYFUNCTION("""COMPUTED_VALUE"""),"K9A 4J8")</f>
        <v>K9A 4J8</v>
      </c>
      <c r="E3764" s="3" t="str">
        <f>IFERROR(__xludf.DUMMYFUNCTION("""COMPUTED_VALUE"""),"Donald Quigley")</f>
        <v>Donald Quigley</v>
      </c>
      <c r="F3764" s="3" t="str">
        <f>IFERROR(__xludf.DUMMYFUNCTION("""COMPUTED_VALUE"""),"donald.quigley55@gmail.com")</f>
        <v>donald.quigley55@gmail.com</v>
      </c>
      <c r="G3764" s="3">
        <f>IFERROR(__xludf.DUMMYFUNCTION("""COMPUTED_VALUE"""),2.897711107E9)</f>
        <v>2897711107</v>
      </c>
      <c r="H3764" s="3"/>
    </row>
    <row r="3765">
      <c r="A3765" s="2">
        <f>IFERROR(__xludf.DUMMYFUNCTION("""COMPUTED_VALUE"""),41017.0)</f>
        <v>41017</v>
      </c>
      <c r="B3765" s="3" t="str">
        <f>IFERROR(__xludf.DUMMYFUNCTION("""COMPUTED_VALUE"""),"1543 PENTECOSTAL RD")</f>
        <v>1543 PENTECOSTAL RD</v>
      </c>
      <c r="C3765" s="3" t="str">
        <f>IFERROR(__xludf.DUMMYFUNCTION("""COMPUTED_VALUE"""),"COBOURG")</f>
        <v>COBOURG</v>
      </c>
      <c r="D3765" s="3" t="str">
        <f>IFERROR(__xludf.DUMMYFUNCTION("""COMPUTED_VALUE"""),"K9A 4J8")</f>
        <v>K9A 4J8</v>
      </c>
      <c r="E3765" s="3" t="str">
        <f>IFERROR(__xludf.DUMMYFUNCTION("""COMPUTED_VALUE"""),"brian martin ")</f>
        <v>brian martin </v>
      </c>
      <c r="F3765" s="3" t="str">
        <f>IFERROR(__xludf.DUMMYFUNCTION("""COMPUTED_VALUE"""),"scully007th@gmail.com")</f>
        <v>scully007th@gmail.com</v>
      </c>
      <c r="G3765" s="3">
        <f>IFERROR(__xludf.DUMMYFUNCTION("""COMPUTED_VALUE"""),2.898291385E9)</f>
        <v>2898291385</v>
      </c>
      <c r="H3765" s="3"/>
    </row>
    <row r="3766">
      <c r="A3766" s="2">
        <f>IFERROR(__xludf.DUMMYFUNCTION("""COMPUTED_VALUE"""),41018.0)</f>
        <v>41018</v>
      </c>
      <c r="B3766" s="3" t="str">
        <f>IFERROR(__xludf.DUMMYFUNCTION("""COMPUTED_VALUE"""),"1 PIONEER RD")</f>
        <v>1 PIONEER RD</v>
      </c>
      <c r="C3766" s="3" t="str">
        <f>IFERROR(__xludf.DUMMYFUNCTION("""COMPUTED_VALUE"""),"COBOURG")</f>
        <v>COBOURG</v>
      </c>
      <c r="D3766" s="3" t="str">
        <f>IFERROR(__xludf.DUMMYFUNCTION("""COMPUTED_VALUE"""),"K9A 4J8")</f>
        <v>K9A 4J8</v>
      </c>
      <c r="E3766" s="3"/>
      <c r="F3766" s="3"/>
      <c r="G3766" s="3"/>
      <c r="H3766" s="3"/>
    </row>
    <row r="3767">
      <c r="A3767" s="2">
        <f>IFERROR(__xludf.DUMMYFUNCTION("""COMPUTED_VALUE"""),41019.0)</f>
        <v>41019</v>
      </c>
      <c r="B3767" s="3" t="str">
        <f>IFERROR(__xludf.DUMMYFUNCTION("""COMPUTED_VALUE"""),"2 PIONEER RD")</f>
        <v>2 PIONEER RD</v>
      </c>
      <c r="C3767" s="3" t="str">
        <f>IFERROR(__xludf.DUMMYFUNCTION("""COMPUTED_VALUE"""),"COBOURG")</f>
        <v>COBOURG</v>
      </c>
      <c r="D3767" s="3" t="str">
        <f>IFERROR(__xludf.DUMMYFUNCTION("""COMPUTED_VALUE"""),"K9A 4J8")</f>
        <v>K9A 4J8</v>
      </c>
      <c r="E3767" s="3" t="str">
        <f>IFERROR(__xludf.DUMMYFUNCTION("""COMPUTED_VALUE"""),"stan campbell ")</f>
        <v>stan campbell </v>
      </c>
      <c r="F3767" s="3" t="str">
        <f>IFERROR(__xludf.DUMMYFUNCTION("""COMPUTED_VALUE"""),"stanbeth@xplornet.ca")</f>
        <v>stanbeth@xplornet.ca</v>
      </c>
      <c r="G3767" s="3">
        <f>IFERROR(__xludf.DUMMYFUNCTION("""COMPUTED_VALUE"""),9.053737553E9)</f>
        <v>9053737553</v>
      </c>
      <c r="H3767" s="3"/>
    </row>
    <row r="3768">
      <c r="A3768" s="2">
        <f>IFERROR(__xludf.DUMMYFUNCTION("""COMPUTED_VALUE"""),41020.0)</f>
        <v>41020</v>
      </c>
      <c r="B3768" s="3" t="str">
        <f>IFERROR(__xludf.DUMMYFUNCTION("""COMPUTED_VALUE"""),"3 PIONEER RD")</f>
        <v>3 PIONEER RD</v>
      </c>
      <c r="C3768" s="3" t="str">
        <f>IFERROR(__xludf.DUMMYFUNCTION("""COMPUTED_VALUE"""),"COBOURG")</f>
        <v>COBOURG</v>
      </c>
      <c r="D3768" s="3" t="str">
        <f>IFERROR(__xludf.DUMMYFUNCTION("""COMPUTED_VALUE"""),"K9A 4J8")</f>
        <v>K9A 4J8</v>
      </c>
      <c r="E3768" s="3"/>
      <c r="F3768" s="3"/>
      <c r="G3768" s="3"/>
      <c r="H3768" s="3"/>
    </row>
    <row r="3769">
      <c r="A3769" s="2">
        <f>IFERROR(__xludf.DUMMYFUNCTION("""COMPUTED_VALUE"""),41021.0)</f>
        <v>41021</v>
      </c>
      <c r="B3769" s="3" t="str">
        <f>IFERROR(__xludf.DUMMYFUNCTION("""COMPUTED_VALUE"""),"4 PIONEER RD")</f>
        <v>4 PIONEER RD</v>
      </c>
      <c r="C3769" s="3" t="str">
        <f>IFERROR(__xludf.DUMMYFUNCTION("""COMPUTED_VALUE"""),"COBOURG")</f>
        <v>COBOURG</v>
      </c>
      <c r="D3769" s="3" t="str">
        <f>IFERROR(__xludf.DUMMYFUNCTION("""COMPUTED_VALUE"""),"K9A 4J8")</f>
        <v>K9A 4J8</v>
      </c>
      <c r="E3769" s="3"/>
      <c r="F3769" s="3"/>
      <c r="G3769" s="3"/>
      <c r="H3769" s="3"/>
    </row>
    <row r="3770">
      <c r="A3770" s="2">
        <f>IFERROR(__xludf.DUMMYFUNCTION("""COMPUTED_VALUE"""),41022.0)</f>
        <v>41022</v>
      </c>
      <c r="B3770" s="3" t="str">
        <f>IFERROR(__xludf.DUMMYFUNCTION("""COMPUTED_VALUE"""),"11 PIONEER RD")</f>
        <v>11 PIONEER RD</v>
      </c>
      <c r="C3770" s="3" t="str">
        <f>IFERROR(__xludf.DUMMYFUNCTION("""COMPUTED_VALUE"""),"COBOURG")</f>
        <v>COBOURG</v>
      </c>
      <c r="D3770" s="3" t="str">
        <f>IFERROR(__xludf.DUMMYFUNCTION("""COMPUTED_VALUE"""),"K9A 4J8")</f>
        <v>K9A 4J8</v>
      </c>
      <c r="E3770" s="3" t="str">
        <f>IFERROR(__xludf.DUMMYFUNCTION("""COMPUTED_VALUE"""),"esther browne")</f>
        <v>esther browne</v>
      </c>
      <c r="F3770" s="3"/>
      <c r="G3770" s="3">
        <f>IFERROR(__xludf.DUMMYFUNCTION("""COMPUTED_VALUE"""),3.657240948E9)</f>
        <v>3657240948</v>
      </c>
      <c r="H3770" s="3"/>
    </row>
    <row r="3771">
      <c r="A3771" s="2">
        <f>IFERROR(__xludf.DUMMYFUNCTION("""COMPUTED_VALUE"""),41023.0)</f>
        <v>41023</v>
      </c>
      <c r="B3771" s="3" t="str">
        <f>IFERROR(__xludf.DUMMYFUNCTION("""COMPUTED_VALUE"""),"13 PIONEER RD")</f>
        <v>13 PIONEER RD</v>
      </c>
      <c r="C3771" s="3" t="str">
        <f>IFERROR(__xludf.DUMMYFUNCTION("""COMPUTED_VALUE"""),"COBOURG")</f>
        <v>COBOURG</v>
      </c>
      <c r="D3771" s="3" t="str">
        <f>IFERROR(__xludf.DUMMYFUNCTION("""COMPUTED_VALUE"""),"K9A 4J8")</f>
        <v>K9A 4J8</v>
      </c>
      <c r="E3771" s="3"/>
      <c r="F3771" s="3"/>
      <c r="G3771" s="3"/>
      <c r="H3771" s="3"/>
    </row>
    <row r="3772">
      <c r="A3772" s="2">
        <f>IFERROR(__xludf.DUMMYFUNCTION("""COMPUTED_VALUE"""),41024.0)</f>
        <v>41024</v>
      </c>
      <c r="B3772" s="3" t="str">
        <f>IFERROR(__xludf.DUMMYFUNCTION("""COMPUTED_VALUE"""),"115 PLAST RD UNIT TBD1")</f>
        <v>115 PLAST RD UNIT TBD1</v>
      </c>
      <c r="C3772" s="3" t="str">
        <f>IFERROR(__xludf.DUMMYFUNCTION("""COMPUTED_VALUE"""),"GRAFTON ")</f>
        <v>GRAFTON </v>
      </c>
      <c r="D3772" s="3" t="str">
        <f>IFERROR(__xludf.DUMMYFUNCTION("""COMPUTED_VALUE"""),"K0K 2G0")</f>
        <v>K0K 2G0</v>
      </c>
      <c r="E3772" s="3"/>
      <c r="F3772" s="3"/>
      <c r="G3772" s="3"/>
      <c r="H3772" s="3"/>
    </row>
    <row r="3773">
      <c r="A3773" s="2">
        <f>IFERROR(__xludf.DUMMYFUNCTION("""COMPUTED_VALUE"""),41025.0)</f>
        <v>41025</v>
      </c>
      <c r="B3773" s="3" t="str">
        <f>IFERROR(__xludf.DUMMYFUNCTION("""COMPUTED_VALUE"""),"115 PLAST RD UNIT TBD3")</f>
        <v>115 PLAST RD UNIT TBD3</v>
      </c>
      <c r="C3773" s="3" t="str">
        <f>IFERROR(__xludf.DUMMYFUNCTION("""COMPUTED_VALUE"""),"GRAFTON ")</f>
        <v>GRAFTON </v>
      </c>
      <c r="D3773" s="3" t="str">
        <f>IFERROR(__xludf.DUMMYFUNCTION("""COMPUTED_VALUE"""),"K0K 2G0")</f>
        <v>K0K 2G0</v>
      </c>
      <c r="E3773" s="3"/>
      <c r="F3773" s="3"/>
      <c r="G3773" s="3"/>
      <c r="H3773" s="3"/>
    </row>
    <row r="3774">
      <c r="A3774" s="2">
        <f>IFERROR(__xludf.DUMMYFUNCTION("""COMPUTED_VALUE"""),41026.0)</f>
        <v>41026</v>
      </c>
      <c r="B3774" s="3" t="str">
        <f>IFERROR(__xludf.DUMMYFUNCTION("""COMPUTED_VALUE"""),"115 PLAST RD UNIT TBD2")</f>
        <v>115 PLAST RD UNIT TBD2</v>
      </c>
      <c r="C3774" s="3" t="str">
        <f>IFERROR(__xludf.DUMMYFUNCTION("""COMPUTED_VALUE"""),"GRAFTON ")</f>
        <v>GRAFTON </v>
      </c>
      <c r="D3774" s="3" t="str">
        <f>IFERROR(__xludf.DUMMYFUNCTION("""COMPUTED_VALUE"""),"K0K 2G0")</f>
        <v>K0K 2G0</v>
      </c>
      <c r="E3774" s="3"/>
      <c r="F3774" s="3"/>
      <c r="G3774" s="3"/>
      <c r="H3774" s="3"/>
    </row>
    <row r="3775">
      <c r="A3775" s="2">
        <f>IFERROR(__xludf.DUMMYFUNCTION("""COMPUTED_VALUE"""),41027.0)</f>
        <v>41027</v>
      </c>
      <c r="B3775" s="3" t="str">
        <f>IFERROR(__xludf.DUMMYFUNCTION("""COMPUTED_VALUE"""),"115 PLAST RD UNIT TBD4")</f>
        <v>115 PLAST RD UNIT TBD4</v>
      </c>
      <c r="C3775" s="3" t="str">
        <f>IFERROR(__xludf.DUMMYFUNCTION("""COMPUTED_VALUE"""),"GRAFTON ")</f>
        <v>GRAFTON </v>
      </c>
      <c r="D3775" s="3" t="str">
        <f>IFERROR(__xludf.DUMMYFUNCTION("""COMPUTED_VALUE"""),"K0K 2G0")</f>
        <v>K0K 2G0</v>
      </c>
      <c r="E3775" s="3"/>
      <c r="F3775" s="3"/>
      <c r="G3775" s="3"/>
      <c r="H3775" s="3"/>
    </row>
    <row r="3776">
      <c r="A3776" s="2">
        <f>IFERROR(__xludf.DUMMYFUNCTION("""COMPUTED_VALUE"""),41028.0)</f>
        <v>41028</v>
      </c>
      <c r="B3776" s="3" t="str">
        <f>IFERROR(__xludf.DUMMYFUNCTION("""COMPUTED_VALUE"""),"115 PLAST RD UNIT TBD5")</f>
        <v>115 PLAST RD UNIT TBD5</v>
      </c>
      <c r="C3776" s="3" t="str">
        <f>IFERROR(__xludf.DUMMYFUNCTION("""COMPUTED_VALUE"""),"GRAFTON ")</f>
        <v>GRAFTON </v>
      </c>
      <c r="D3776" s="3" t="str">
        <f>IFERROR(__xludf.DUMMYFUNCTION("""COMPUTED_VALUE"""),"K0K 2G0")</f>
        <v>K0K 2G0</v>
      </c>
      <c r="E3776" s="3"/>
      <c r="F3776" s="3"/>
      <c r="G3776" s="3"/>
      <c r="H3776" s="3"/>
    </row>
    <row r="3777">
      <c r="A3777" s="2">
        <f>IFERROR(__xludf.DUMMYFUNCTION("""COMPUTED_VALUE"""),41029.0)</f>
        <v>41029</v>
      </c>
      <c r="B3777" s="3" t="str">
        <f>IFERROR(__xludf.DUMMYFUNCTION("""COMPUTED_VALUE"""),"101 PLAST RD")</f>
        <v>101 PLAST RD</v>
      </c>
      <c r="C3777" s="3" t="str">
        <f>IFERROR(__xludf.DUMMYFUNCTION("""COMPUTED_VALUE"""),"GRAFTON ")</f>
        <v>GRAFTON </v>
      </c>
      <c r="D3777" s="3" t="str">
        <f>IFERROR(__xludf.DUMMYFUNCTION("""COMPUTED_VALUE"""),"K0K 2G0")</f>
        <v>K0K 2G0</v>
      </c>
      <c r="E3777" s="3"/>
      <c r="F3777" s="3"/>
      <c r="G3777" s="3"/>
      <c r="H3777" s="3"/>
    </row>
    <row r="3778">
      <c r="A3778" s="2">
        <f>IFERROR(__xludf.DUMMYFUNCTION("""COMPUTED_VALUE"""),41030.0)</f>
        <v>41030</v>
      </c>
      <c r="B3778" s="3" t="str">
        <f>IFERROR(__xludf.DUMMYFUNCTION("""COMPUTED_VALUE"""),"112 PLAST RD")</f>
        <v>112 PLAST RD</v>
      </c>
      <c r="C3778" s="3" t="str">
        <f>IFERROR(__xludf.DUMMYFUNCTION("""COMPUTED_VALUE"""),"GRAFTON ")</f>
        <v>GRAFTON </v>
      </c>
      <c r="D3778" s="3" t="str">
        <f>IFERROR(__xludf.DUMMYFUNCTION("""COMPUTED_VALUE"""),"K0K 2G0")</f>
        <v>K0K 2G0</v>
      </c>
      <c r="E3778" s="3"/>
      <c r="F3778" s="3"/>
      <c r="G3778" s="3"/>
      <c r="H3778" s="3"/>
    </row>
    <row r="3779">
      <c r="A3779" s="2">
        <f>IFERROR(__xludf.DUMMYFUNCTION("""COMPUTED_VALUE"""),41031.0)</f>
        <v>41031</v>
      </c>
      <c r="B3779" s="3" t="str">
        <f>IFERROR(__xludf.DUMMYFUNCTION("""COMPUTED_VALUE"""),"109 PURDY RD")</f>
        <v>109 PURDY RD</v>
      </c>
      <c r="C3779" s="3" t="str">
        <f>IFERROR(__xludf.DUMMYFUNCTION("""COMPUTED_VALUE"""),"GRAFTON ")</f>
        <v>GRAFTON </v>
      </c>
      <c r="D3779" s="3" t="str">
        <f>IFERROR(__xludf.DUMMYFUNCTION("""COMPUTED_VALUE"""),"K0K 2G0")</f>
        <v>K0K 2G0</v>
      </c>
      <c r="E3779" s="3" t="str">
        <f>IFERROR(__xludf.DUMMYFUNCTION("""COMPUTED_VALUE"""),"geoff purdy ")</f>
        <v>geoff purdy </v>
      </c>
      <c r="F3779" s="3"/>
      <c r="G3779" s="3">
        <f>IFERROR(__xludf.DUMMYFUNCTION("""COMPUTED_VALUE"""),2.892516088E9)</f>
        <v>2892516088</v>
      </c>
      <c r="H3779" s="3"/>
    </row>
    <row r="3780">
      <c r="A3780" s="2">
        <f>IFERROR(__xludf.DUMMYFUNCTION("""COMPUTED_VALUE"""),41032.0)</f>
        <v>41032</v>
      </c>
      <c r="B3780" s="3" t="str">
        <f>IFERROR(__xludf.DUMMYFUNCTION("""COMPUTED_VALUE"""),"160 PURDY RD")</f>
        <v>160 PURDY RD</v>
      </c>
      <c r="C3780" s="3" t="str">
        <f>IFERROR(__xludf.DUMMYFUNCTION("""COMPUTED_VALUE"""),"GRAFTON ")</f>
        <v>GRAFTON </v>
      </c>
      <c r="D3780" s="3" t="str">
        <f>IFERROR(__xludf.DUMMYFUNCTION("""COMPUTED_VALUE"""),"K0K 2G0")</f>
        <v>K0K 2G0</v>
      </c>
      <c r="E3780" s="3"/>
      <c r="F3780" s="3"/>
      <c r="G3780" s="3"/>
      <c r="H3780" s="3"/>
    </row>
    <row r="3781">
      <c r="A3781" s="2">
        <f>IFERROR(__xludf.DUMMYFUNCTION("""COMPUTED_VALUE"""),41033.0)</f>
        <v>41033</v>
      </c>
      <c r="B3781" s="3" t="str">
        <f>IFERROR(__xludf.DUMMYFUNCTION("""COMPUTED_VALUE"""),"176 PURDY RD")</f>
        <v>176 PURDY RD</v>
      </c>
      <c r="C3781" s="3" t="str">
        <f>IFERROR(__xludf.DUMMYFUNCTION("""COMPUTED_VALUE"""),"GRAFTON ")</f>
        <v>GRAFTON </v>
      </c>
      <c r="D3781" s="3" t="str">
        <f>IFERROR(__xludf.DUMMYFUNCTION("""COMPUTED_VALUE"""),"K0K 2G0")</f>
        <v>K0K 2G0</v>
      </c>
      <c r="E3781" s="3" t="str">
        <f>IFERROR(__xludf.DUMMYFUNCTION("""COMPUTED_VALUE"""),"t, wilson ")</f>
        <v>t, wilson </v>
      </c>
      <c r="F3781" s="3" t="str">
        <f>IFERROR(__xludf.DUMMYFUNCTION("""COMPUTED_VALUE"""),"twilson57916@gmail.com")</f>
        <v>twilson57916@gmail.com</v>
      </c>
      <c r="G3781" s="3">
        <f>IFERROR(__xludf.DUMMYFUNCTION("""COMPUTED_VALUE"""),9.053967666E9)</f>
        <v>9053967666</v>
      </c>
      <c r="H3781" s="3"/>
    </row>
    <row r="3782">
      <c r="A3782" s="2">
        <f>IFERROR(__xludf.DUMMYFUNCTION("""COMPUTED_VALUE"""),41034.0)</f>
        <v>41034</v>
      </c>
      <c r="B3782" s="3" t="str">
        <f>IFERROR(__xludf.DUMMYFUNCTION("""COMPUTED_VALUE"""),"186 PURDY RD")</f>
        <v>186 PURDY RD</v>
      </c>
      <c r="C3782" s="3" t="str">
        <f>IFERROR(__xludf.DUMMYFUNCTION("""COMPUTED_VALUE"""),"GRAFTON ")</f>
        <v>GRAFTON </v>
      </c>
      <c r="D3782" s="3" t="str">
        <f>IFERROR(__xludf.DUMMYFUNCTION("""COMPUTED_VALUE"""),"K0K 2G0")</f>
        <v>K0K 2G0</v>
      </c>
      <c r="E3782" s="3" t="str">
        <f>IFERROR(__xludf.DUMMYFUNCTION("""COMPUTED_VALUE"""),"jeanetta wapshaw")</f>
        <v>jeanetta wapshaw</v>
      </c>
      <c r="F3782" s="3"/>
      <c r="G3782" s="3">
        <f>IFERROR(__xludf.DUMMYFUNCTION("""COMPUTED_VALUE"""),9.05349222E9)</f>
        <v>9053492220</v>
      </c>
      <c r="H3782" s="3"/>
    </row>
    <row r="3783">
      <c r="A3783" s="2">
        <f>IFERROR(__xludf.DUMMYFUNCTION("""COMPUTED_VALUE"""),41035.0)</f>
        <v>41035</v>
      </c>
      <c r="B3783" s="3" t="str">
        <f>IFERROR(__xludf.DUMMYFUNCTION("""COMPUTED_VALUE"""),"190 PURDY RD")</f>
        <v>190 PURDY RD</v>
      </c>
      <c r="C3783" s="3" t="str">
        <f>IFERROR(__xludf.DUMMYFUNCTION("""COMPUTED_VALUE"""),"GRAFTON ")</f>
        <v>GRAFTON </v>
      </c>
      <c r="D3783" s="3" t="str">
        <f>IFERROR(__xludf.DUMMYFUNCTION("""COMPUTED_VALUE"""),"K0K 2G0")</f>
        <v>K0K 2G0</v>
      </c>
      <c r="E3783" s="3"/>
      <c r="F3783" s="3"/>
      <c r="G3783" s="3"/>
      <c r="H3783" s="3"/>
    </row>
    <row r="3784">
      <c r="A3784" s="2">
        <f>IFERROR(__xludf.DUMMYFUNCTION("""COMPUTED_VALUE"""),41036.0)</f>
        <v>41036</v>
      </c>
      <c r="B3784" s="3" t="str">
        <f>IFERROR(__xludf.DUMMYFUNCTION("""COMPUTED_VALUE"""),"214 PURDY RD")</f>
        <v>214 PURDY RD</v>
      </c>
      <c r="C3784" s="3" t="str">
        <f>IFERROR(__xludf.DUMMYFUNCTION("""COMPUTED_VALUE"""),"GRAFTON ")</f>
        <v>GRAFTON </v>
      </c>
      <c r="D3784" s="3" t="str">
        <f>IFERROR(__xludf.DUMMYFUNCTION("""COMPUTED_VALUE"""),"K0K 2G0")</f>
        <v>K0K 2G0</v>
      </c>
      <c r="E3784" s="3"/>
      <c r="F3784" s="3"/>
      <c r="G3784" s="3"/>
      <c r="H3784" s="3"/>
    </row>
    <row r="3785">
      <c r="A3785" s="2">
        <f>IFERROR(__xludf.DUMMYFUNCTION("""COMPUTED_VALUE"""),41037.0)</f>
        <v>41037</v>
      </c>
      <c r="B3785" s="3" t="str">
        <f>IFERROR(__xludf.DUMMYFUNCTION("""COMPUTED_VALUE"""),"226 PURDY RD")</f>
        <v>226 PURDY RD</v>
      </c>
      <c r="C3785" s="3" t="str">
        <f>IFERROR(__xludf.DUMMYFUNCTION("""COMPUTED_VALUE"""),"GRAFTON ")</f>
        <v>GRAFTON </v>
      </c>
      <c r="D3785" s="3" t="str">
        <f>IFERROR(__xludf.DUMMYFUNCTION("""COMPUTED_VALUE"""),"K0K 2G0")</f>
        <v>K0K 2G0</v>
      </c>
      <c r="E3785" s="3"/>
      <c r="F3785" s="3"/>
      <c r="G3785" s="3"/>
      <c r="H3785" s="3"/>
    </row>
    <row r="3786">
      <c r="A3786" s="2">
        <f>IFERROR(__xludf.DUMMYFUNCTION("""COMPUTED_VALUE"""),41038.0)</f>
        <v>41038</v>
      </c>
      <c r="B3786" s="3" t="str">
        <f>IFERROR(__xludf.DUMMYFUNCTION("""COMPUTED_VALUE"""),"238 PURDY RD")</f>
        <v>238 PURDY RD</v>
      </c>
      <c r="C3786" s="3" t="str">
        <f>IFERROR(__xludf.DUMMYFUNCTION("""COMPUTED_VALUE"""),"GRAFTON ")</f>
        <v>GRAFTON </v>
      </c>
      <c r="D3786" s="3" t="str">
        <f>IFERROR(__xludf.DUMMYFUNCTION("""COMPUTED_VALUE"""),"K0K 2G0")</f>
        <v>K0K 2G0</v>
      </c>
      <c r="E3786" s="3"/>
      <c r="F3786" s="3"/>
      <c r="G3786" s="3"/>
      <c r="H3786" s="3"/>
    </row>
    <row r="3787">
      <c r="A3787" s="2">
        <f>IFERROR(__xludf.DUMMYFUNCTION("""COMPUTED_VALUE"""),41039.0)</f>
        <v>41039</v>
      </c>
      <c r="B3787" s="3" t="str">
        <f>IFERROR(__xludf.DUMMYFUNCTION("""COMPUTED_VALUE"""),"245 PURDY RD")</f>
        <v>245 PURDY RD</v>
      </c>
      <c r="C3787" s="3" t="str">
        <f>IFERROR(__xludf.DUMMYFUNCTION("""COMPUTED_VALUE"""),"GRAFTON ")</f>
        <v>GRAFTON </v>
      </c>
      <c r="D3787" s="3" t="str">
        <f>IFERROR(__xludf.DUMMYFUNCTION("""COMPUTED_VALUE"""),"K0K 2G0")</f>
        <v>K0K 2G0</v>
      </c>
      <c r="E3787" s="3" t="str">
        <f>IFERROR(__xludf.DUMMYFUNCTION("""COMPUTED_VALUE"""),"mark evans ")</f>
        <v>mark evans </v>
      </c>
      <c r="F3787" s="3"/>
      <c r="G3787" s="3">
        <f>IFERROR(__xludf.DUMMYFUNCTION("""COMPUTED_VALUE"""),9.05396041E9)</f>
        <v>9053960410</v>
      </c>
      <c r="H3787" s="3"/>
    </row>
    <row r="3788">
      <c r="A3788" s="2">
        <f>IFERROR(__xludf.DUMMYFUNCTION("""COMPUTED_VALUE"""),41040.0)</f>
        <v>41040</v>
      </c>
      <c r="B3788" s="3" t="str">
        <f>IFERROR(__xludf.DUMMYFUNCTION("""COMPUTED_VALUE"""),"250 PURDY RD")</f>
        <v>250 PURDY RD</v>
      </c>
      <c r="C3788" s="3" t="str">
        <f>IFERROR(__xludf.DUMMYFUNCTION("""COMPUTED_VALUE"""),"GRAFTON ")</f>
        <v>GRAFTON </v>
      </c>
      <c r="D3788" s="3" t="str">
        <f>IFERROR(__xludf.DUMMYFUNCTION("""COMPUTED_VALUE"""),"K0K 2G0")</f>
        <v>K0K 2G0</v>
      </c>
      <c r="E3788" s="3"/>
      <c r="F3788" s="3"/>
      <c r="G3788" s="3"/>
      <c r="H3788" s="3"/>
    </row>
    <row r="3789">
      <c r="A3789" s="2">
        <f>IFERROR(__xludf.DUMMYFUNCTION("""COMPUTED_VALUE"""),41041.0)</f>
        <v>41041</v>
      </c>
      <c r="B3789" s="3" t="str">
        <f>IFERROR(__xludf.DUMMYFUNCTION("""COMPUTED_VALUE"""),"255 PURDY RD")</f>
        <v>255 PURDY RD</v>
      </c>
      <c r="C3789" s="3" t="str">
        <f>IFERROR(__xludf.DUMMYFUNCTION("""COMPUTED_VALUE"""),"GRAFTON ")</f>
        <v>GRAFTON </v>
      </c>
      <c r="D3789" s="3" t="str">
        <f>IFERROR(__xludf.DUMMYFUNCTION("""COMPUTED_VALUE"""),"K0K 2G0")</f>
        <v>K0K 2G0</v>
      </c>
      <c r="E3789" s="3"/>
      <c r="F3789" s="3"/>
      <c r="G3789" s="3"/>
      <c r="H3789" s="3"/>
    </row>
    <row r="3790">
      <c r="A3790" s="2">
        <f>IFERROR(__xludf.DUMMYFUNCTION("""COMPUTED_VALUE"""),41042.0)</f>
        <v>41042</v>
      </c>
      <c r="B3790" s="3" t="str">
        <f>IFERROR(__xludf.DUMMYFUNCTION("""COMPUTED_VALUE"""),"258 PURDY RD")</f>
        <v>258 PURDY RD</v>
      </c>
      <c r="C3790" s="3" t="str">
        <f>IFERROR(__xludf.DUMMYFUNCTION("""COMPUTED_VALUE"""),"GRAFTON ")</f>
        <v>GRAFTON </v>
      </c>
      <c r="D3790" s="3" t="str">
        <f>IFERROR(__xludf.DUMMYFUNCTION("""COMPUTED_VALUE"""),"K0K 2G0")</f>
        <v>K0K 2G0</v>
      </c>
      <c r="E3790" s="3" t="str">
        <f>IFERROR(__xludf.DUMMYFUNCTION("""COMPUTED_VALUE"""),"craig smith ")</f>
        <v>craig smith </v>
      </c>
      <c r="F3790" s="3" t="str">
        <f>IFERROR(__xludf.DUMMYFUNCTION("""COMPUTED_VALUE"""),"craiger_27@hotmail.com")</f>
        <v>craiger_27@hotmail.com</v>
      </c>
      <c r="G3790" s="3">
        <f>IFERROR(__xludf.DUMMYFUNCTION("""COMPUTED_VALUE"""),9.053696255E9)</f>
        <v>9053696255</v>
      </c>
      <c r="H3790" s="3">
        <f>IFERROR(__xludf.DUMMYFUNCTION("""COMPUTED_VALUE"""),9.052696355E9)</f>
        <v>9052696355</v>
      </c>
    </row>
    <row r="3791">
      <c r="A3791" s="2">
        <f>IFERROR(__xludf.DUMMYFUNCTION("""COMPUTED_VALUE"""),41043.0)</f>
        <v>41043</v>
      </c>
      <c r="B3791" s="3" t="str">
        <f>IFERROR(__xludf.DUMMYFUNCTION("""COMPUTED_VALUE"""),"264 PURDY RD")</f>
        <v>264 PURDY RD</v>
      </c>
      <c r="C3791" s="3" t="str">
        <f>IFERROR(__xludf.DUMMYFUNCTION("""COMPUTED_VALUE"""),"GRAFTON ")</f>
        <v>GRAFTON </v>
      </c>
      <c r="D3791" s="3" t="str">
        <f>IFERROR(__xludf.DUMMYFUNCTION("""COMPUTED_VALUE"""),"K0K 2G0")</f>
        <v>K0K 2G0</v>
      </c>
      <c r="E3791" s="3" t="str">
        <f>IFERROR(__xludf.DUMMYFUNCTION("""COMPUTED_VALUE"""),"Leisa Barrett")</f>
        <v>Leisa Barrett</v>
      </c>
      <c r="F3791" s="3" t="str">
        <f>IFERROR(__xludf.DUMMYFUNCTION("""COMPUTED_VALUE"""),"leisab93@gmail.com")</f>
        <v>leisab93@gmail.com</v>
      </c>
      <c r="G3791" s="3">
        <f>IFERROR(__xludf.DUMMYFUNCTION("""COMPUTED_VALUE"""),9.053964567E9)</f>
        <v>9053964567</v>
      </c>
      <c r="H3791" s="3"/>
    </row>
    <row r="3792">
      <c r="A3792" s="2">
        <f>IFERROR(__xludf.DUMMYFUNCTION("""COMPUTED_VALUE"""),41044.0)</f>
        <v>41044</v>
      </c>
      <c r="B3792" s="3" t="str">
        <f>IFERROR(__xludf.DUMMYFUNCTION("""COMPUTED_VALUE"""),"265 PURDY RD")</f>
        <v>265 PURDY RD</v>
      </c>
      <c r="C3792" s="3" t="str">
        <f>IFERROR(__xludf.DUMMYFUNCTION("""COMPUTED_VALUE"""),"GRAFTON ")</f>
        <v>GRAFTON </v>
      </c>
      <c r="D3792" s="3" t="str">
        <f>IFERROR(__xludf.DUMMYFUNCTION("""COMPUTED_VALUE"""),"K0K 2G0")</f>
        <v>K0K 2G0</v>
      </c>
      <c r="E3792" s="3" t="str">
        <f>IFERROR(__xludf.DUMMYFUNCTION("""COMPUTED_VALUE"""),"anna gianotta")</f>
        <v>anna gianotta</v>
      </c>
      <c r="F3792" s="3" t="str">
        <f>IFERROR(__xludf.DUMMYFUNCTION("""COMPUTED_VALUE"""),"anne.gianotta@sympatico.ca")</f>
        <v>anne.gianotta@sympatico.ca</v>
      </c>
      <c r="G3792" s="3">
        <f>IFERROR(__xludf.DUMMYFUNCTION("""COMPUTED_VALUE"""),2.893856213E9)</f>
        <v>2893856213</v>
      </c>
      <c r="H3792" s="3"/>
    </row>
    <row r="3793">
      <c r="A3793" s="2">
        <f>IFERROR(__xludf.DUMMYFUNCTION("""COMPUTED_VALUE"""),41045.0)</f>
        <v>41045</v>
      </c>
      <c r="B3793" s="3" t="str">
        <f>IFERROR(__xludf.DUMMYFUNCTION("""COMPUTED_VALUE"""),"271 PURDY RD")</f>
        <v>271 PURDY RD</v>
      </c>
      <c r="C3793" s="3" t="str">
        <f>IFERROR(__xludf.DUMMYFUNCTION("""COMPUTED_VALUE"""),"GRAFTON ")</f>
        <v>GRAFTON </v>
      </c>
      <c r="D3793" s="3" t="str">
        <f>IFERROR(__xludf.DUMMYFUNCTION("""COMPUTED_VALUE"""),"K0K 2G0")</f>
        <v>K0K 2G0</v>
      </c>
      <c r="E3793" s="3" t="str">
        <f>IFERROR(__xludf.DUMMYFUNCTION("""COMPUTED_VALUE"""),"PATRICK WILSON")</f>
        <v>PATRICK WILSON</v>
      </c>
      <c r="F3793" s="3" t="str">
        <f>IFERROR(__xludf.DUMMYFUNCTION("""COMPUTED_VALUE"""),"wilson25pt@gmail.com")</f>
        <v>wilson25pt@gmail.com</v>
      </c>
      <c r="G3793" s="3"/>
      <c r="H3793" s="3"/>
    </row>
    <row r="3794">
      <c r="A3794" s="2">
        <f>IFERROR(__xludf.DUMMYFUNCTION("""COMPUTED_VALUE"""),41046.0)</f>
        <v>41046</v>
      </c>
      <c r="B3794" s="3" t="str">
        <f>IFERROR(__xludf.DUMMYFUNCTION("""COMPUTED_VALUE"""),"272 PURDY RD")</f>
        <v>272 PURDY RD</v>
      </c>
      <c r="C3794" s="3" t="str">
        <f>IFERROR(__xludf.DUMMYFUNCTION("""COMPUTED_VALUE"""),"GRAFTON ")</f>
        <v>GRAFTON </v>
      </c>
      <c r="D3794" s="3" t="str">
        <f>IFERROR(__xludf.DUMMYFUNCTION("""COMPUTED_VALUE"""),"K0K 2G0")</f>
        <v>K0K 2G0</v>
      </c>
      <c r="E3794" s="3" t="str">
        <f>IFERROR(__xludf.DUMMYFUNCTION("""COMPUTED_VALUE"""),"ryan donov")</f>
        <v>ryan donov</v>
      </c>
      <c r="F3794" s="3" t="str">
        <f>IFERROR(__xludf.DUMMYFUNCTION("""COMPUTED_VALUE"""),"rsng@bell.net")</f>
        <v>rsng@bell.net</v>
      </c>
      <c r="G3794" s="3"/>
      <c r="H3794" s="3"/>
    </row>
    <row r="3795">
      <c r="A3795" s="2">
        <f>IFERROR(__xludf.DUMMYFUNCTION("""COMPUTED_VALUE"""),41047.0)</f>
        <v>41047</v>
      </c>
      <c r="B3795" s="3" t="str">
        <f>IFERROR(__xludf.DUMMYFUNCTION("""COMPUTED_VALUE"""),"279 PURDY RD")</f>
        <v>279 PURDY RD</v>
      </c>
      <c r="C3795" s="3" t="str">
        <f>IFERROR(__xludf.DUMMYFUNCTION("""COMPUTED_VALUE"""),"GRAFTON ")</f>
        <v>GRAFTON </v>
      </c>
      <c r="D3795" s="3" t="str">
        <f>IFERROR(__xludf.DUMMYFUNCTION("""COMPUTED_VALUE"""),"K0K 2G0")</f>
        <v>K0K 2G0</v>
      </c>
      <c r="E3795" s="3" t="str">
        <f>IFERROR(__xludf.DUMMYFUNCTION("""COMPUTED_VALUE"""),"allen oreily ")</f>
        <v>allen oreily </v>
      </c>
      <c r="F3795" s="3" t="str">
        <f>IFERROR(__xludf.DUMMYFUNCTION("""COMPUTED_VALUE"""),"al@prptire.ca")</f>
        <v>al@prptire.ca</v>
      </c>
      <c r="G3795" s="3">
        <f>IFERROR(__xludf.DUMMYFUNCTION("""COMPUTED_VALUE"""),9.054400362E9)</f>
        <v>9054400362</v>
      </c>
      <c r="H3795" s="3"/>
    </row>
    <row r="3796">
      <c r="A3796" s="2">
        <f>IFERROR(__xludf.DUMMYFUNCTION("""COMPUTED_VALUE"""),41048.0)</f>
        <v>41048</v>
      </c>
      <c r="B3796" s="3" t="str">
        <f>IFERROR(__xludf.DUMMYFUNCTION("""COMPUTED_VALUE"""),"290 PURDY RD")</f>
        <v>290 PURDY RD</v>
      </c>
      <c r="C3796" s="3" t="str">
        <f>IFERROR(__xludf.DUMMYFUNCTION("""COMPUTED_VALUE"""),"GRAFTON ")</f>
        <v>GRAFTON </v>
      </c>
      <c r="D3796" s="3" t="str">
        <f>IFERROR(__xludf.DUMMYFUNCTION("""COMPUTED_VALUE"""),"K0K 2G0")</f>
        <v>K0K 2G0</v>
      </c>
      <c r="E3796" s="3"/>
      <c r="F3796" s="3"/>
      <c r="G3796" s="3"/>
      <c r="H3796" s="3"/>
    </row>
    <row r="3797">
      <c r="A3797" s="2">
        <f>IFERROR(__xludf.DUMMYFUNCTION("""COMPUTED_VALUE"""),41049.0)</f>
        <v>41049</v>
      </c>
      <c r="B3797" s="3" t="str">
        <f>IFERROR(__xludf.DUMMYFUNCTION("""COMPUTED_VALUE"""),"2060 RON HARNDEN RD")</f>
        <v>2060 RON HARNDEN RD</v>
      </c>
      <c r="C3797" s="3" t="str">
        <f>IFERROR(__xludf.DUMMYFUNCTION("""COMPUTED_VALUE"""),"COBOURG")</f>
        <v>COBOURG</v>
      </c>
      <c r="D3797" s="3" t="str">
        <f>IFERROR(__xludf.DUMMYFUNCTION("""COMPUTED_VALUE"""),"K9A 4J8")</f>
        <v>K9A 4J8</v>
      </c>
      <c r="E3797" s="3" t="str">
        <f>IFERROR(__xludf.DUMMYFUNCTION("""COMPUTED_VALUE"""),"ray aklen")</f>
        <v>ray aklen</v>
      </c>
      <c r="F3797" s="3" t="str">
        <f>IFERROR(__xludf.DUMMYFUNCTION("""COMPUTED_VALUE"""),"affa29@hotmail.com")</f>
        <v>affa29@hotmail.com</v>
      </c>
      <c r="G3797" s="3">
        <f>IFERROR(__xludf.DUMMYFUNCTION("""COMPUTED_VALUE"""),9.054341969E9)</f>
        <v>9054341969</v>
      </c>
      <c r="H3797" s="3"/>
    </row>
    <row r="3798">
      <c r="A3798" s="2">
        <f>IFERROR(__xludf.DUMMYFUNCTION("""COMPUTED_VALUE"""),41050.0)</f>
        <v>41050</v>
      </c>
      <c r="B3798" s="3" t="str">
        <f>IFERROR(__xludf.DUMMYFUNCTION("""COMPUTED_VALUE"""),"2070 RON HARNDEN RD")</f>
        <v>2070 RON HARNDEN RD</v>
      </c>
      <c r="C3798" s="3" t="str">
        <f>IFERROR(__xludf.DUMMYFUNCTION("""COMPUTED_VALUE"""),"COBOURG")</f>
        <v>COBOURG</v>
      </c>
      <c r="D3798" s="3" t="str">
        <f>IFERROR(__xludf.DUMMYFUNCTION("""COMPUTED_VALUE"""),"K9A 4J8")</f>
        <v>K9A 4J8</v>
      </c>
      <c r="E3798" s="3" t="str">
        <f>IFERROR(__xludf.DUMMYFUNCTION("""COMPUTED_VALUE"""),"john sternad ")</f>
        <v>john sternad </v>
      </c>
      <c r="F3798" s="3" t="str">
        <f>IFERROR(__xludf.DUMMYFUNCTION("""COMPUTED_VALUE"""),"jaycourt@hotmail.com")</f>
        <v>jaycourt@hotmail.com</v>
      </c>
      <c r="G3798" s="3">
        <f>IFERROR(__xludf.DUMMYFUNCTION("""COMPUTED_VALUE"""),9.059142608E9)</f>
        <v>9059142608</v>
      </c>
      <c r="H3798" s="3"/>
    </row>
    <row r="3799">
      <c r="A3799" s="2">
        <f>IFERROR(__xludf.DUMMYFUNCTION("""COMPUTED_VALUE"""),41051.0)</f>
        <v>41051</v>
      </c>
      <c r="B3799" s="3" t="str">
        <f>IFERROR(__xludf.DUMMYFUNCTION("""COMPUTED_VALUE"""),"2084 RON HARNDEN RD")</f>
        <v>2084 RON HARNDEN RD</v>
      </c>
      <c r="C3799" s="3" t="str">
        <f>IFERROR(__xludf.DUMMYFUNCTION("""COMPUTED_VALUE"""),"COBOURG")</f>
        <v>COBOURG</v>
      </c>
      <c r="D3799" s="3" t="str">
        <f>IFERROR(__xludf.DUMMYFUNCTION("""COMPUTED_VALUE"""),"K9A 4J8")</f>
        <v>K9A 4J8</v>
      </c>
      <c r="E3799" s="3" t="str">
        <f>IFERROR(__xludf.DUMMYFUNCTION("""COMPUTED_VALUE"""),"kurt vader ")</f>
        <v>kurt vader </v>
      </c>
      <c r="F3799" s="3" t="str">
        <f>IFERROR(__xludf.DUMMYFUNCTION("""COMPUTED_VALUE"""),"vader_kurt@hotmail.com")</f>
        <v>vader_kurt@hotmail.com</v>
      </c>
      <c r="G3799" s="3">
        <f>IFERROR(__xludf.DUMMYFUNCTION("""COMPUTED_VALUE"""),6.133329064E9)</f>
        <v>6133329064</v>
      </c>
      <c r="H3799" s="3"/>
    </row>
    <row r="3800">
      <c r="A3800" s="2">
        <f>IFERROR(__xludf.DUMMYFUNCTION("""COMPUTED_VALUE"""),41052.0)</f>
        <v>41052</v>
      </c>
      <c r="B3800" s="3" t="str">
        <f>IFERROR(__xludf.DUMMYFUNCTION("""COMPUTED_VALUE"""),"2103 RON HARNDEN RD")</f>
        <v>2103 RON HARNDEN RD</v>
      </c>
      <c r="C3800" s="3" t="str">
        <f>IFERROR(__xludf.DUMMYFUNCTION("""COMPUTED_VALUE"""),"COBOURG")</f>
        <v>COBOURG</v>
      </c>
      <c r="D3800" s="3" t="str">
        <f>IFERROR(__xludf.DUMMYFUNCTION("""COMPUTED_VALUE"""),"K9A 4J8")</f>
        <v>K9A 4J8</v>
      </c>
      <c r="E3800" s="3"/>
      <c r="F3800" s="3"/>
      <c r="G3800" s="3"/>
      <c r="H3800" s="3"/>
    </row>
    <row r="3801">
      <c r="A3801" s="2">
        <f>IFERROR(__xludf.DUMMYFUNCTION("""COMPUTED_VALUE"""),41053.0)</f>
        <v>41053</v>
      </c>
      <c r="B3801" s="3" t="str">
        <f>IFERROR(__xludf.DUMMYFUNCTION("""COMPUTED_VALUE"""),"2104 RON HARNDEN RD")</f>
        <v>2104 RON HARNDEN RD</v>
      </c>
      <c r="C3801" s="3" t="str">
        <f>IFERROR(__xludf.DUMMYFUNCTION("""COMPUTED_VALUE"""),"COBOURG")</f>
        <v>COBOURG</v>
      </c>
      <c r="D3801" s="3" t="str">
        <f>IFERROR(__xludf.DUMMYFUNCTION("""COMPUTED_VALUE"""),"K9A 4J8")</f>
        <v>K9A 4J8</v>
      </c>
      <c r="E3801" s="3" t="str">
        <f>IFERROR(__xludf.DUMMYFUNCTION("""COMPUTED_VALUE"""),"chad peters ")</f>
        <v>chad peters </v>
      </c>
      <c r="F3801" s="3" t="str">
        <f>IFERROR(__xludf.DUMMYFUNCTION("""COMPUTED_VALUE"""),"cahdptrs@gmail.com")</f>
        <v>cahdptrs@gmail.com</v>
      </c>
      <c r="G3801" s="3">
        <f>IFERROR(__xludf.DUMMYFUNCTION("""COMPUTED_VALUE"""),9.052690193E9)</f>
        <v>9052690193</v>
      </c>
      <c r="H3801" s="3">
        <f>IFERROR(__xludf.DUMMYFUNCTION("""COMPUTED_VALUE"""),9.053964406E9)</f>
        <v>9053964406</v>
      </c>
    </row>
    <row r="3802">
      <c r="A3802" s="2">
        <f>IFERROR(__xludf.DUMMYFUNCTION("""COMPUTED_VALUE"""),41054.0)</f>
        <v>41054</v>
      </c>
      <c r="B3802" s="3" t="str">
        <f>IFERROR(__xludf.DUMMYFUNCTION("""COMPUTED_VALUE"""),"2106 RON HARNDEN RD")</f>
        <v>2106 RON HARNDEN RD</v>
      </c>
      <c r="C3802" s="3" t="str">
        <f>IFERROR(__xludf.DUMMYFUNCTION("""COMPUTED_VALUE"""),"COBOURG")</f>
        <v>COBOURG</v>
      </c>
      <c r="D3802" s="3" t="str">
        <f>IFERROR(__xludf.DUMMYFUNCTION("""COMPUTED_VALUE"""),"K9A 4J8")</f>
        <v>K9A 4J8</v>
      </c>
      <c r="E3802" s="3" t="str">
        <f>IFERROR(__xludf.DUMMYFUNCTION("""COMPUTED_VALUE"""),"TONGWEN XU")</f>
        <v>TONGWEN XU</v>
      </c>
      <c r="F3802" s="3" t="str">
        <f>IFERROR(__xludf.DUMMYFUNCTION("""COMPUTED_VALUE"""),"shishengmiao@gmail.com")</f>
        <v>shishengmiao@gmail.com</v>
      </c>
      <c r="G3802" s="3"/>
      <c r="H3802" s="3"/>
    </row>
    <row r="3803">
      <c r="A3803" s="2">
        <f>IFERROR(__xludf.DUMMYFUNCTION("""COMPUTED_VALUE"""),41055.0)</f>
        <v>41055</v>
      </c>
      <c r="B3803" s="3" t="str">
        <f>IFERROR(__xludf.DUMMYFUNCTION("""COMPUTED_VALUE"""),"109 RUTTAN RD")</f>
        <v>109 RUTTAN RD</v>
      </c>
      <c r="C3803" s="3" t="str">
        <f>IFERROR(__xludf.DUMMYFUNCTION("""COMPUTED_VALUE"""),"GRAFTON ")</f>
        <v>GRAFTON </v>
      </c>
      <c r="D3803" s="3" t="str">
        <f>IFERROR(__xludf.DUMMYFUNCTION("""COMPUTED_VALUE"""),"K0K 2G0")</f>
        <v>K0K 2G0</v>
      </c>
      <c r="E3803" s="3"/>
      <c r="F3803" s="3"/>
      <c r="G3803" s="3"/>
      <c r="H3803" s="3"/>
    </row>
    <row r="3804">
      <c r="A3804" s="2">
        <f>IFERROR(__xludf.DUMMYFUNCTION("""COMPUTED_VALUE"""),41056.0)</f>
        <v>41056</v>
      </c>
      <c r="B3804" s="3" t="str">
        <f>IFERROR(__xludf.DUMMYFUNCTION("""COMPUTED_VALUE"""),"113 RUTTAN RD")</f>
        <v>113 RUTTAN RD</v>
      </c>
      <c r="C3804" s="3" t="str">
        <f>IFERROR(__xludf.DUMMYFUNCTION("""COMPUTED_VALUE"""),"GRAFTON ")</f>
        <v>GRAFTON </v>
      </c>
      <c r="D3804" s="3" t="str">
        <f>IFERROR(__xludf.DUMMYFUNCTION("""COMPUTED_VALUE"""),"K0K 2G0")</f>
        <v>K0K 2G0</v>
      </c>
      <c r="E3804" s="3"/>
      <c r="F3804" s="3"/>
      <c r="G3804" s="3"/>
      <c r="H3804" s="3"/>
    </row>
    <row r="3805">
      <c r="A3805" s="2">
        <f>IFERROR(__xludf.DUMMYFUNCTION("""COMPUTED_VALUE"""),41057.0)</f>
        <v>41057</v>
      </c>
      <c r="B3805" s="3" t="str">
        <f>IFERROR(__xludf.DUMMYFUNCTION("""COMPUTED_VALUE"""),"119 RUTTAN RD")</f>
        <v>119 RUTTAN RD</v>
      </c>
      <c r="C3805" s="3" t="str">
        <f>IFERROR(__xludf.DUMMYFUNCTION("""COMPUTED_VALUE"""),"GRAFTON ")</f>
        <v>GRAFTON </v>
      </c>
      <c r="D3805" s="3" t="str">
        <f>IFERROR(__xludf.DUMMYFUNCTION("""COMPUTED_VALUE"""),"K0K 2G0")</f>
        <v>K0K 2G0</v>
      </c>
      <c r="E3805" s="3" t="str">
        <f>IFERROR(__xludf.DUMMYFUNCTION("""COMPUTED_VALUE"""),"janet shutt")</f>
        <v>janet shutt</v>
      </c>
      <c r="F3805" s="3"/>
      <c r="G3805" s="3">
        <f>IFERROR(__xludf.DUMMYFUNCTION("""COMPUTED_VALUE"""),9.053960059E9)</f>
        <v>9053960059</v>
      </c>
      <c r="H3805" s="3"/>
    </row>
    <row r="3806">
      <c r="A3806" s="2">
        <f>IFERROR(__xludf.DUMMYFUNCTION("""COMPUTED_VALUE"""),41058.0)</f>
        <v>41058</v>
      </c>
      <c r="B3806" s="3" t="str">
        <f>IFERROR(__xludf.DUMMYFUNCTION("""COMPUTED_VALUE"""),"129 RUTTAN RD")</f>
        <v>129 RUTTAN RD</v>
      </c>
      <c r="C3806" s="3" t="str">
        <f>IFERROR(__xludf.DUMMYFUNCTION("""COMPUTED_VALUE"""),"GRAFTON ")</f>
        <v>GRAFTON </v>
      </c>
      <c r="D3806" s="3" t="str">
        <f>IFERROR(__xludf.DUMMYFUNCTION("""COMPUTED_VALUE"""),"K0K 2G0")</f>
        <v>K0K 2G0</v>
      </c>
      <c r="E3806" s="3" t="str">
        <f>IFERROR(__xludf.DUMMYFUNCTION("""COMPUTED_VALUE"""),"jennifer muir")</f>
        <v>jennifer muir</v>
      </c>
      <c r="F3806" s="3"/>
      <c r="G3806" s="3">
        <f>IFERROR(__xludf.DUMMYFUNCTION("""COMPUTED_VALUE"""),9.0599518E9)</f>
        <v>9059951800</v>
      </c>
      <c r="H3806" s="3"/>
    </row>
    <row r="3807">
      <c r="A3807" s="2">
        <f>IFERROR(__xludf.DUMMYFUNCTION("""COMPUTED_VALUE"""),41059.0)</f>
        <v>41059</v>
      </c>
      <c r="B3807" s="3" t="str">
        <f>IFERROR(__xludf.DUMMYFUNCTION("""COMPUTED_VALUE"""),"131 RUTTAN RD")</f>
        <v>131 RUTTAN RD</v>
      </c>
      <c r="C3807" s="3" t="str">
        <f>IFERROR(__xludf.DUMMYFUNCTION("""COMPUTED_VALUE"""),"GRAFTON ")</f>
        <v>GRAFTON </v>
      </c>
      <c r="D3807" s="3" t="str">
        <f>IFERROR(__xludf.DUMMYFUNCTION("""COMPUTED_VALUE"""),"K0K 2G0")</f>
        <v>K0K 2G0</v>
      </c>
      <c r="E3807" s="3" t="str">
        <f>IFERROR(__xludf.DUMMYFUNCTION("""COMPUTED_VALUE"""),"DANIEL SPIGULIS")</f>
        <v>DANIEL SPIGULIS</v>
      </c>
      <c r="F3807" s="3" t="str">
        <f>IFERROR(__xludf.DUMMYFUNCTION("""COMPUTED_VALUE"""),"D.spigulis@gmail.com")</f>
        <v>D.spigulis@gmail.com</v>
      </c>
      <c r="G3807" s="3"/>
      <c r="H3807" s="3"/>
    </row>
    <row r="3808">
      <c r="A3808" s="2">
        <f>IFERROR(__xludf.DUMMYFUNCTION("""COMPUTED_VALUE"""),41060.0)</f>
        <v>41060</v>
      </c>
      <c r="B3808" s="3" t="str">
        <f>IFERROR(__xludf.DUMMYFUNCTION("""COMPUTED_VALUE"""),"200 RUTTAN RD")</f>
        <v>200 RUTTAN RD</v>
      </c>
      <c r="C3808" s="3" t="str">
        <f>IFERROR(__xludf.DUMMYFUNCTION("""COMPUTED_VALUE"""),"GRAFTON ")</f>
        <v>GRAFTON </v>
      </c>
      <c r="D3808" s="3" t="str">
        <f>IFERROR(__xludf.DUMMYFUNCTION("""COMPUTED_VALUE"""),"K0K 2G0")</f>
        <v>K0K 2G0</v>
      </c>
      <c r="E3808" s="3"/>
      <c r="F3808" s="3"/>
      <c r="G3808" s="3"/>
      <c r="H3808" s="3"/>
    </row>
    <row r="3809">
      <c r="A3809" s="2">
        <f>IFERROR(__xludf.DUMMYFUNCTION("""COMPUTED_VALUE"""),41061.0)</f>
        <v>41061</v>
      </c>
      <c r="B3809" s="3" t="str">
        <f>IFERROR(__xludf.DUMMYFUNCTION("""COMPUTED_VALUE"""),"201 RUTTAN RD")</f>
        <v>201 RUTTAN RD</v>
      </c>
      <c r="C3809" s="3" t="str">
        <f>IFERROR(__xludf.DUMMYFUNCTION("""COMPUTED_VALUE"""),"GRAFTON ")</f>
        <v>GRAFTON </v>
      </c>
      <c r="D3809" s="3" t="str">
        <f>IFERROR(__xludf.DUMMYFUNCTION("""COMPUTED_VALUE"""),"K0K 2G0")</f>
        <v>K0K 2G0</v>
      </c>
      <c r="E3809" s="3" t="str">
        <f>IFERROR(__xludf.DUMMYFUNCTION("""COMPUTED_VALUE"""),"doug taylor")</f>
        <v>doug taylor</v>
      </c>
      <c r="F3809" s="3"/>
      <c r="G3809" s="3">
        <f>IFERROR(__xludf.DUMMYFUNCTION("""COMPUTED_VALUE"""),6.047282601E9)</f>
        <v>6047282601</v>
      </c>
      <c r="H3809" s="3"/>
    </row>
    <row r="3810">
      <c r="A3810" s="2">
        <f>IFERROR(__xludf.DUMMYFUNCTION("""COMPUTED_VALUE"""),41062.0)</f>
        <v>41062</v>
      </c>
      <c r="B3810" s="3" t="str">
        <f>IFERROR(__xludf.DUMMYFUNCTION("""COMPUTED_VALUE"""),"72 SHAWANO DR")</f>
        <v>72 SHAWANO DR</v>
      </c>
      <c r="C3810" s="3" t="str">
        <f>IFERROR(__xludf.DUMMYFUNCTION("""COMPUTED_VALUE"""),"GRAFTON ")</f>
        <v>GRAFTON </v>
      </c>
      <c r="D3810" s="3" t="str">
        <f>IFERROR(__xludf.DUMMYFUNCTION("""COMPUTED_VALUE"""),"K0K 2G0")</f>
        <v>K0K 2G0</v>
      </c>
      <c r="E3810" s="3"/>
      <c r="F3810" s="3"/>
      <c r="G3810" s="3"/>
      <c r="H3810" s="3"/>
    </row>
    <row r="3811">
      <c r="A3811" s="2">
        <f>IFERROR(__xludf.DUMMYFUNCTION("""COMPUTED_VALUE"""),41063.0)</f>
        <v>41063</v>
      </c>
      <c r="B3811" s="3" t="str">
        <f>IFERROR(__xludf.DUMMYFUNCTION("""COMPUTED_VALUE"""),"75 SHAWANO DR")</f>
        <v>75 SHAWANO DR</v>
      </c>
      <c r="C3811" s="3" t="str">
        <f>IFERROR(__xludf.DUMMYFUNCTION("""COMPUTED_VALUE"""),"GRAFTON ")</f>
        <v>GRAFTON </v>
      </c>
      <c r="D3811" s="3" t="str">
        <f>IFERROR(__xludf.DUMMYFUNCTION("""COMPUTED_VALUE"""),"K0K 2G0")</f>
        <v>K0K 2G0</v>
      </c>
      <c r="E3811" s="3"/>
      <c r="F3811" s="3"/>
      <c r="G3811" s="3"/>
      <c r="H3811" s="3"/>
    </row>
    <row r="3812">
      <c r="A3812" s="2">
        <f>IFERROR(__xludf.DUMMYFUNCTION("""COMPUTED_VALUE"""),41064.0)</f>
        <v>41064</v>
      </c>
      <c r="B3812" s="3" t="str">
        <f>IFERROR(__xludf.DUMMYFUNCTION("""COMPUTED_VALUE"""),"81 SHAWANO DR")</f>
        <v>81 SHAWANO DR</v>
      </c>
      <c r="C3812" s="3" t="str">
        <f>IFERROR(__xludf.DUMMYFUNCTION("""COMPUTED_VALUE"""),"GRAFTON ")</f>
        <v>GRAFTON </v>
      </c>
      <c r="D3812" s="3" t="str">
        <f>IFERROR(__xludf.DUMMYFUNCTION("""COMPUTED_VALUE"""),"K0K 2G0")</f>
        <v>K0K 2G0</v>
      </c>
      <c r="E3812" s="3" t="str">
        <f>IFERROR(__xludf.DUMMYFUNCTION("""COMPUTED_VALUE"""),"v. doell ")</f>
        <v>v. doell </v>
      </c>
      <c r="F3812" s="3"/>
      <c r="G3812" s="3">
        <f>IFERROR(__xludf.DUMMYFUNCTION("""COMPUTED_VALUE"""),9.053493865E9)</f>
        <v>9053493865</v>
      </c>
      <c r="H3812" s="3">
        <f>IFERROR(__xludf.DUMMYFUNCTION("""COMPUTED_VALUE"""),9.05373211E9)</f>
        <v>9053732110</v>
      </c>
    </row>
    <row r="3813">
      <c r="A3813" s="2">
        <f>IFERROR(__xludf.DUMMYFUNCTION("""COMPUTED_VALUE"""),41065.0)</f>
        <v>41065</v>
      </c>
      <c r="B3813" s="3" t="str">
        <f>IFERROR(__xludf.DUMMYFUNCTION("""COMPUTED_VALUE"""),"82 SHAWANO DR")</f>
        <v>82 SHAWANO DR</v>
      </c>
      <c r="C3813" s="3" t="str">
        <f>IFERROR(__xludf.DUMMYFUNCTION("""COMPUTED_VALUE"""),"GRAFTON ")</f>
        <v>GRAFTON </v>
      </c>
      <c r="D3813" s="3" t="str">
        <f>IFERROR(__xludf.DUMMYFUNCTION("""COMPUTED_VALUE"""),"K0K 2G0")</f>
        <v>K0K 2G0</v>
      </c>
      <c r="E3813" s="3" t="str">
        <f>IFERROR(__xludf.DUMMYFUNCTION("""COMPUTED_VALUE"""),"Phil Armstrong")</f>
        <v>Phil Armstrong</v>
      </c>
      <c r="F3813" s="3" t="str">
        <f>IFERROR(__xludf.DUMMYFUNCTION("""COMPUTED_VALUE"""),"philarmst1985@gmail.com")</f>
        <v>philarmst1985@gmail.com</v>
      </c>
      <c r="G3813" s="3">
        <f>IFERROR(__xludf.DUMMYFUNCTION("""COMPUTED_VALUE"""),6.132220088E9)</f>
        <v>6132220088</v>
      </c>
      <c r="H3813" s="3"/>
    </row>
    <row r="3814">
      <c r="A3814" s="2">
        <f>IFERROR(__xludf.DUMMYFUNCTION("""COMPUTED_VALUE"""),41066.0)</f>
        <v>41066</v>
      </c>
      <c r="B3814" s="3" t="str">
        <f>IFERROR(__xludf.DUMMYFUNCTION("""COMPUTED_VALUE"""),"110 SHAWANO DR")</f>
        <v>110 SHAWANO DR</v>
      </c>
      <c r="C3814" s="3" t="str">
        <f>IFERROR(__xludf.DUMMYFUNCTION("""COMPUTED_VALUE"""),"GRAFTON ")</f>
        <v>GRAFTON </v>
      </c>
      <c r="D3814" s="3" t="str">
        <f>IFERROR(__xludf.DUMMYFUNCTION("""COMPUTED_VALUE"""),"K0K 2G0")</f>
        <v>K0K 2G0</v>
      </c>
      <c r="E3814" s="3"/>
      <c r="F3814" s="3"/>
      <c r="G3814" s="3"/>
      <c r="H3814" s="3"/>
    </row>
    <row r="3815">
      <c r="A3815" s="2">
        <f>IFERROR(__xludf.DUMMYFUNCTION("""COMPUTED_VALUE"""),41067.0)</f>
        <v>41067</v>
      </c>
      <c r="B3815" s="3" t="str">
        <f>IFERROR(__xludf.DUMMYFUNCTION("""COMPUTED_VALUE"""),"136 SHAWANO DR")</f>
        <v>136 SHAWANO DR</v>
      </c>
      <c r="C3815" s="3" t="str">
        <f>IFERROR(__xludf.DUMMYFUNCTION("""COMPUTED_VALUE"""),"GRAFTON ")</f>
        <v>GRAFTON </v>
      </c>
      <c r="D3815" s="3" t="str">
        <f>IFERROR(__xludf.DUMMYFUNCTION("""COMPUTED_VALUE"""),"K0K 2G0")</f>
        <v>K0K 2G0</v>
      </c>
      <c r="E3815" s="3" t="str">
        <f>IFERROR(__xludf.DUMMYFUNCTION("""COMPUTED_VALUE"""),"Lynn Hilborn")</f>
        <v>Lynn Hilborn</v>
      </c>
      <c r="F3815" s="3" t="str">
        <f>IFERROR(__xludf.DUMMYFUNCTION("""COMPUTED_VALUE"""),"lhilborn5@gmail.com")</f>
        <v>lhilborn5@gmail.com</v>
      </c>
      <c r="G3815" s="3">
        <f>IFERROR(__xludf.DUMMYFUNCTION("""COMPUTED_VALUE"""),9.053492232E9)</f>
        <v>9053492232</v>
      </c>
      <c r="H3815" s="3"/>
    </row>
    <row r="3816">
      <c r="A3816" s="2">
        <f>IFERROR(__xludf.DUMMYFUNCTION("""COMPUTED_VALUE"""),41068.0)</f>
        <v>41068</v>
      </c>
      <c r="B3816" s="3" t="str">
        <f>IFERROR(__xludf.DUMMYFUNCTION("""COMPUTED_VALUE"""),"161 SHAWANO DR")</f>
        <v>161 SHAWANO DR</v>
      </c>
      <c r="C3816" s="3" t="str">
        <f>IFERROR(__xludf.DUMMYFUNCTION("""COMPUTED_VALUE"""),"GRAFTON ")</f>
        <v>GRAFTON </v>
      </c>
      <c r="D3816" s="3" t="str">
        <f>IFERROR(__xludf.DUMMYFUNCTION("""COMPUTED_VALUE"""),"K0K 2G0")</f>
        <v>K0K 2G0</v>
      </c>
      <c r="E3816" s="3"/>
      <c r="F3816" s="3"/>
      <c r="G3816" s="3"/>
      <c r="H3816" s="3"/>
    </row>
    <row r="3817">
      <c r="A3817" s="2">
        <f>IFERROR(__xludf.DUMMYFUNCTION("""COMPUTED_VALUE"""),41069.0)</f>
        <v>41069</v>
      </c>
      <c r="B3817" s="3" t="str">
        <f>IFERROR(__xludf.DUMMYFUNCTION("""COMPUTED_VALUE"""),"167 SHAWANO DR")</f>
        <v>167 SHAWANO DR</v>
      </c>
      <c r="C3817" s="3" t="str">
        <f>IFERROR(__xludf.DUMMYFUNCTION("""COMPUTED_VALUE"""),"GRAFTON ")</f>
        <v>GRAFTON </v>
      </c>
      <c r="D3817" s="3" t="str">
        <f>IFERROR(__xludf.DUMMYFUNCTION("""COMPUTED_VALUE"""),"K0K 2G0")</f>
        <v>K0K 2G0</v>
      </c>
      <c r="E3817" s="3"/>
      <c r="F3817" s="3"/>
      <c r="G3817" s="3"/>
      <c r="H3817" s="3"/>
    </row>
    <row r="3818">
      <c r="A3818" s="2">
        <f>IFERROR(__xludf.DUMMYFUNCTION("""COMPUTED_VALUE"""),41070.0)</f>
        <v>41070</v>
      </c>
      <c r="B3818" s="3" t="str">
        <f>IFERROR(__xludf.DUMMYFUNCTION("""COMPUTED_VALUE"""),"175 SHAWANO DR")</f>
        <v>175 SHAWANO DR</v>
      </c>
      <c r="C3818" s="3" t="str">
        <f>IFERROR(__xludf.DUMMYFUNCTION("""COMPUTED_VALUE"""),"GRAFTON ")</f>
        <v>GRAFTON </v>
      </c>
      <c r="D3818" s="3" t="str">
        <f>IFERROR(__xludf.DUMMYFUNCTION("""COMPUTED_VALUE"""),"K0K 2G0")</f>
        <v>K0K 2G0</v>
      </c>
      <c r="E3818" s="3" t="str">
        <f>IFERROR(__xludf.DUMMYFUNCTION("""COMPUTED_VALUE"""),"Peter Bootsma")</f>
        <v>Peter Bootsma</v>
      </c>
      <c r="F3818" s="3" t="str">
        <f>IFERROR(__xludf.DUMMYFUNCTION("""COMPUTED_VALUE"""),"phbaerospace@gmail.com")</f>
        <v>phbaerospace@gmail.com</v>
      </c>
      <c r="G3818" s="3">
        <f>IFERROR(__xludf.DUMMYFUNCTION("""COMPUTED_VALUE"""),4.163150676E9)</f>
        <v>4163150676</v>
      </c>
      <c r="H3818" s="3"/>
    </row>
    <row r="3819">
      <c r="A3819" s="2">
        <f>IFERROR(__xludf.DUMMYFUNCTION("""COMPUTED_VALUE"""),41071.0)</f>
        <v>41071</v>
      </c>
      <c r="B3819" s="3" t="str">
        <f>IFERROR(__xludf.DUMMYFUNCTION("""COMPUTED_VALUE"""),"202 SHAWANO DR")</f>
        <v>202 SHAWANO DR</v>
      </c>
      <c r="C3819" s="3" t="str">
        <f>IFERROR(__xludf.DUMMYFUNCTION("""COMPUTED_VALUE"""),"GRAFTON ")</f>
        <v>GRAFTON </v>
      </c>
      <c r="D3819" s="3" t="str">
        <f>IFERROR(__xludf.DUMMYFUNCTION("""COMPUTED_VALUE"""),"K0K 2G0")</f>
        <v>K0K 2G0</v>
      </c>
      <c r="E3819" s="3"/>
      <c r="F3819" s="3"/>
      <c r="G3819" s="3"/>
      <c r="H3819" s="3"/>
    </row>
    <row r="3820">
      <c r="A3820" s="2">
        <f>IFERROR(__xludf.DUMMYFUNCTION("""COMPUTED_VALUE"""),41072.0)</f>
        <v>41072</v>
      </c>
      <c r="B3820" s="3" t="str">
        <f>IFERROR(__xludf.DUMMYFUNCTION("""COMPUTED_VALUE"""),"1128 SHELTER VALLEY RD")</f>
        <v>1128 SHELTER VALLEY RD</v>
      </c>
      <c r="C3820" s="3" t="str">
        <f>IFERROR(__xludf.DUMMYFUNCTION("""COMPUTED_VALUE"""),"GRAFTON ")</f>
        <v>GRAFTON </v>
      </c>
      <c r="D3820" s="3" t="str">
        <f>IFERROR(__xludf.DUMMYFUNCTION("""COMPUTED_VALUE"""),"K0K 2G0")</f>
        <v>K0K 2G0</v>
      </c>
      <c r="E3820" s="3" t="str">
        <f>IFERROR(__xludf.DUMMYFUNCTION("""COMPUTED_VALUE"""),"DOUG MOORE")</f>
        <v>DOUG MOORE</v>
      </c>
      <c r="F3820" s="3" t="str">
        <f>IFERROR(__xludf.DUMMYFUNCTION("""COMPUTED_VALUE"""),"rdoug_moore@yahoo.ca")</f>
        <v>rdoug_moore@yahoo.ca</v>
      </c>
      <c r="G3820" s="3"/>
      <c r="H3820" s="3"/>
    </row>
    <row r="3821">
      <c r="A3821" s="2">
        <f>IFERROR(__xludf.DUMMYFUNCTION("""COMPUTED_VALUE"""),41073.0)</f>
        <v>41073</v>
      </c>
      <c r="B3821" s="3" t="str">
        <f>IFERROR(__xludf.DUMMYFUNCTION("""COMPUTED_VALUE"""),"1164 SHELTER VALLEY RD")</f>
        <v>1164 SHELTER VALLEY RD</v>
      </c>
      <c r="C3821" s="3" t="str">
        <f>IFERROR(__xludf.DUMMYFUNCTION("""COMPUTED_VALUE"""),"GRAFTON ")</f>
        <v>GRAFTON </v>
      </c>
      <c r="D3821" s="3" t="str">
        <f>IFERROR(__xludf.DUMMYFUNCTION("""COMPUTED_VALUE"""),"K0K 2G0")</f>
        <v>K0K 2G0</v>
      </c>
      <c r="E3821" s="3" t="str">
        <f>IFERROR(__xludf.DUMMYFUNCTION("""COMPUTED_VALUE"""),"Michael Elvin")</f>
        <v>Michael Elvin</v>
      </c>
      <c r="F3821" s="3" t="str">
        <f>IFERROR(__xludf.DUMMYFUNCTION("""COMPUTED_VALUE"""),"micklori22@gmail.com")</f>
        <v>micklori22@gmail.com</v>
      </c>
      <c r="G3821" s="3">
        <f>IFERROR(__xludf.DUMMYFUNCTION("""COMPUTED_VALUE"""),9.057181212E9)</f>
        <v>9057181212</v>
      </c>
      <c r="H3821" s="3">
        <f>IFERROR(__xludf.DUMMYFUNCTION("""COMPUTED_VALUE"""),9.053757978E9)</f>
        <v>9053757978</v>
      </c>
    </row>
    <row r="3822">
      <c r="A3822" s="2">
        <f>IFERROR(__xludf.DUMMYFUNCTION("""COMPUTED_VALUE"""),41074.0)</f>
        <v>41074</v>
      </c>
      <c r="B3822" s="3" t="str">
        <f>IFERROR(__xludf.DUMMYFUNCTION("""COMPUTED_VALUE"""),"1190 SHELTER VALLEY RD")</f>
        <v>1190 SHELTER VALLEY RD</v>
      </c>
      <c r="C3822" s="3" t="str">
        <f>IFERROR(__xludf.DUMMYFUNCTION("""COMPUTED_VALUE"""),"GRAFTON ")</f>
        <v>GRAFTON </v>
      </c>
      <c r="D3822" s="3" t="str">
        <f>IFERROR(__xludf.DUMMYFUNCTION("""COMPUTED_VALUE"""),"K0K 2G0")</f>
        <v>K0K 2G0</v>
      </c>
      <c r="E3822" s="3"/>
      <c r="F3822" s="3"/>
      <c r="G3822" s="3"/>
      <c r="H3822" s="3"/>
    </row>
    <row r="3823">
      <c r="A3823" s="2">
        <f>IFERROR(__xludf.DUMMYFUNCTION("""COMPUTED_VALUE"""),41075.0)</f>
        <v>41075</v>
      </c>
      <c r="B3823" s="3" t="str">
        <f>IFERROR(__xludf.DUMMYFUNCTION("""COMPUTED_VALUE"""),"1198 SHELTER VALLEY RD")</f>
        <v>1198 SHELTER VALLEY RD</v>
      </c>
      <c r="C3823" s="3" t="str">
        <f>IFERROR(__xludf.DUMMYFUNCTION("""COMPUTED_VALUE"""),"GRAFTON ")</f>
        <v>GRAFTON </v>
      </c>
      <c r="D3823" s="3" t="str">
        <f>IFERROR(__xludf.DUMMYFUNCTION("""COMPUTED_VALUE"""),"K0K 2G0")</f>
        <v>K0K 2G0</v>
      </c>
      <c r="E3823" s="3"/>
      <c r="F3823" s="3"/>
      <c r="G3823" s="3"/>
      <c r="H3823" s="3"/>
    </row>
    <row r="3824">
      <c r="A3824" s="2">
        <f>IFERROR(__xludf.DUMMYFUNCTION("""COMPUTED_VALUE"""),41076.0)</f>
        <v>41076</v>
      </c>
      <c r="B3824" s="3" t="str">
        <f>IFERROR(__xludf.DUMMYFUNCTION("""COMPUTED_VALUE"""),"1206 SHELTER VALLEY RD")</f>
        <v>1206 SHELTER VALLEY RD</v>
      </c>
      <c r="C3824" s="3" t="str">
        <f>IFERROR(__xludf.DUMMYFUNCTION("""COMPUTED_VALUE"""),"GRAFTON ")</f>
        <v>GRAFTON </v>
      </c>
      <c r="D3824" s="3" t="str">
        <f>IFERROR(__xludf.DUMMYFUNCTION("""COMPUTED_VALUE"""),"K0K 2G0")</f>
        <v>K0K 2G0</v>
      </c>
      <c r="E3824" s="3"/>
      <c r="F3824" s="3"/>
      <c r="G3824" s="3"/>
      <c r="H3824" s="3"/>
    </row>
    <row r="3825">
      <c r="A3825" s="2">
        <f>IFERROR(__xludf.DUMMYFUNCTION("""COMPUTED_VALUE"""),41077.0)</f>
        <v>41077</v>
      </c>
      <c r="B3825" s="3" t="str">
        <f>IFERROR(__xludf.DUMMYFUNCTION("""COMPUTED_VALUE"""),"1225 SHELTER VALLEY RD")</f>
        <v>1225 SHELTER VALLEY RD</v>
      </c>
      <c r="C3825" s="3" t="str">
        <f>IFERROR(__xludf.DUMMYFUNCTION("""COMPUTED_VALUE"""),"GRAFTON ")</f>
        <v>GRAFTON </v>
      </c>
      <c r="D3825" s="3" t="str">
        <f>IFERROR(__xludf.DUMMYFUNCTION("""COMPUTED_VALUE"""),"K0K 2G0")</f>
        <v>K0K 2G0</v>
      </c>
      <c r="E3825" s="3"/>
      <c r="F3825" s="3"/>
      <c r="G3825" s="3"/>
      <c r="H3825" s="3"/>
    </row>
    <row r="3826">
      <c r="A3826" s="2">
        <f>IFERROR(__xludf.DUMMYFUNCTION("""COMPUTED_VALUE"""),41078.0)</f>
        <v>41078</v>
      </c>
      <c r="B3826" s="3" t="str">
        <f>IFERROR(__xludf.DUMMYFUNCTION("""COMPUTED_VALUE"""),"1232 SHELTER VALLEY RD")</f>
        <v>1232 SHELTER VALLEY RD</v>
      </c>
      <c r="C3826" s="3" t="str">
        <f>IFERROR(__xludf.DUMMYFUNCTION("""COMPUTED_VALUE"""),"GRAFTON ")</f>
        <v>GRAFTON </v>
      </c>
      <c r="D3826" s="3" t="str">
        <f>IFERROR(__xludf.DUMMYFUNCTION("""COMPUTED_VALUE"""),"K0K 2G0")</f>
        <v>K0K 2G0</v>
      </c>
      <c r="E3826" s="3" t="str">
        <f>IFERROR(__xludf.DUMMYFUNCTION("""COMPUTED_VALUE"""),"John Wood")</f>
        <v>John Wood</v>
      </c>
      <c r="F3826" s="3" t="str">
        <f>IFERROR(__xludf.DUMMYFUNCTION("""COMPUTED_VALUE"""),"johnrwood2@bell.net")</f>
        <v>johnrwood2@bell.net</v>
      </c>
      <c r="G3826" s="3"/>
      <c r="H3826" s="3"/>
    </row>
    <row r="3827">
      <c r="A3827" s="2">
        <f>IFERROR(__xludf.DUMMYFUNCTION("""COMPUTED_VALUE"""),41079.0)</f>
        <v>41079</v>
      </c>
      <c r="B3827" s="3" t="str">
        <f>IFERROR(__xludf.DUMMYFUNCTION("""COMPUTED_VALUE"""),"1240 SHELTER VALLEY RD")</f>
        <v>1240 SHELTER VALLEY RD</v>
      </c>
      <c r="C3827" s="3" t="str">
        <f>IFERROR(__xludf.DUMMYFUNCTION("""COMPUTED_VALUE"""),"GRAFTON ")</f>
        <v>GRAFTON </v>
      </c>
      <c r="D3827" s="3" t="str">
        <f>IFERROR(__xludf.DUMMYFUNCTION("""COMPUTED_VALUE"""),"K0K 2G0")</f>
        <v>K0K 2G0</v>
      </c>
      <c r="E3827" s="3"/>
      <c r="F3827" s="3"/>
      <c r="G3827" s="3"/>
      <c r="H3827" s="3"/>
    </row>
    <row r="3828">
      <c r="A3828" s="2">
        <f>IFERROR(__xludf.DUMMYFUNCTION("""COMPUTED_VALUE"""),41080.0)</f>
        <v>41080</v>
      </c>
      <c r="B3828" s="3" t="str">
        <f>IFERROR(__xludf.DUMMYFUNCTION("""COMPUTED_VALUE"""),"1343 SHELTER VALLEY RD")</f>
        <v>1343 SHELTER VALLEY RD</v>
      </c>
      <c r="C3828" s="3" t="str">
        <f>IFERROR(__xludf.DUMMYFUNCTION("""COMPUTED_VALUE"""),"GRAFTON ")</f>
        <v>GRAFTON </v>
      </c>
      <c r="D3828" s="3" t="str">
        <f>IFERROR(__xludf.DUMMYFUNCTION("""COMPUTED_VALUE"""),"K0K 2G0")</f>
        <v>K0K 2G0</v>
      </c>
      <c r="E3828" s="3"/>
      <c r="F3828" s="3"/>
      <c r="G3828" s="3"/>
      <c r="H3828" s="3"/>
    </row>
    <row r="3829">
      <c r="A3829" s="2">
        <f>IFERROR(__xludf.DUMMYFUNCTION("""COMPUTED_VALUE"""),41081.0)</f>
        <v>41081</v>
      </c>
      <c r="B3829" s="3" t="str">
        <f>IFERROR(__xludf.DUMMYFUNCTION("""COMPUTED_VALUE"""),"1359 SHELTER VALLEY RD")</f>
        <v>1359 SHELTER VALLEY RD</v>
      </c>
      <c r="C3829" s="3" t="str">
        <f>IFERROR(__xludf.DUMMYFUNCTION("""COMPUTED_VALUE"""),"GRAFTON ")</f>
        <v>GRAFTON </v>
      </c>
      <c r="D3829" s="3" t="str">
        <f>IFERROR(__xludf.DUMMYFUNCTION("""COMPUTED_VALUE"""),"K0K 2G0")</f>
        <v>K0K 2G0</v>
      </c>
      <c r="E3829" s="3"/>
      <c r="F3829" s="3"/>
      <c r="G3829" s="3"/>
      <c r="H3829" s="3"/>
    </row>
    <row r="3830">
      <c r="A3830" s="2">
        <f>IFERROR(__xludf.DUMMYFUNCTION("""COMPUTED_VALUE"""),41082.0)</f>
        <v>41082</v>
      </c>
      <c r="B3830" s="3" t="str">
        <f>IFERROR(__xludf.DUMMYFUNCTION("""COMPUTED_VALUE"""),"1360 SHELTER VALLEY RD")</f>
        <v>1360 SHELTER VALLEY RD</v>
      </c>
      <c r="C3830" s="3" t="str">
        <f>IFERROR(__xludf.DUMMYFUNCTION("""COMPUTED_VALUE"""),"GRAFTON ")</f>
        <v>GRAFTON </v>
      </c>
      <c r="D3830" s="3" t="str">
        <f>IFERROR(__xludf.DUMMYFUNCTION("""COMPUTED_VALUE"""),"K0K 2G0")</f>
        <v>K0K 2G0</v>
      </c>
      <c r="E3830" s="3" t="str">
        <f>IFERROR(__xludf.DUMMYFUNCTION("""COMPUTED_VALUE"""),"COLLEEN MACDONALD")</f>
        <v>COLLEEN MACDONALD</v>
      </c>
      <c r="F3830" s="3" t="str">
        <f>IFERROR(__xludf.DUMMYFUNCTION("""COMPUTED_VALUE"""),"mupmacdonald@yahoo.ca")</f>
        <v>mupmacdonald@yahoo.ca</v>
      </c>
      <c r="G3830" s="3"/>
      <c r="H3830" s="3"/>
    </row>
    <row r="3831">
      <c r="A3831" s="2">
        <f>IFERROR(__xludf.DUMMYFUNCTION("""COMPUTED_VALUE"""),41083.0)</f>
        <v>41083</v>
      </c>
      <c r="B3831" s="3" t="str">
        <f>IFERROR(__xludf.DUMMYFUNCTION("""COMPUTED_VALUE"""),"1482 SHELTER VALLEY RD")</f>
        <v>1482 SHELTER VALLEY RD</v>
      </c>
      <c r="C3831" s="3" t="str">
        <f>IFERROR(__xludf.DUMMYFUNCTION("""COMPUTED_VALUE"""),"GRAFTON ")</f>
        <v>GRAFTON </v>
      </c>
      <c r="D3831" s="3" t="str">
        <f>IFERROR(__xludf.DUMMYFUNCTION("""COMPUTED_VALUE"""),"K0K 2G0")</f>
        <v>K0K 2G0</v>
      </c>
      <c r="E3831" s="3"/>
      <c r="F3831" s="3"/>
      <c r="G3831" s="3"/>
      <c r="H3831" s="3"/>
    </row>
    <row r="3832">
      <c r="A3832" s="2">
        <f>IFERROR(__xludf.DUMMYFUNCTION("""COMPUTED_VALUE"""),41084.0)</f>
        <v>41084</v>
      </c>
      <c r="B3832" s="3" t="str">
        <f>IFERROR(__xludf.DUMMYFUNCTION("""COMPUTED_VALUE"""),"1498 SHELTER VALLEY RD")</f>
        <v>1498 SHELTER VALLEY RD</v>
      </c>
      <c r="C3832" s="3" t="str">
        <f>IFERROR(__xludf.DUMMYFUNCTION("""COMPUTED_VALUE"""),"GRAFTON ")</f>
        <v>GRAFTON </v>
      </c>
      <c r="D3832" s="3" t="str">
        <f>IFERROR(__xludf.DUMMYFUNCTION("""COMPUTED_VALUE"""),"K0K 2G0")</f>
        <v>K0K 2G0</v>
      </c>
      <c r="E3832" s="3"/>
      <c r="F3832" s="3"/>
      <c r="G3832" s="3"/>
      <c r="H3832" s="3"/>
    </row>
    <row r="3833">
      <c r="A3833" s="2">
        <f>IFERROR(__xludf.DUMMYFUNCTION("""COMPUTED_VALUE"""),41085.0)</f>
        <v>41085</v>
      </c>
      <c r="B3833" s="3" t="str">
        <f>IFERROR(__xludf.DUMMYFUNCTION("""COMPUTED_VALUE"""),"1533 SHELTER VALLEY RD")</f>
        <v>1533 SHELTER VALLEY RD</v>
      </c>
      <c r="C3833" s="3" t="str">
        <f>IFERROR(__xludf.DUMMYFUNCTION("""COMPUTED_VALUE"""),"GRAFTON ")</f>
        <v>GRAFTON </v>
      </c>
      <c r="D3833" s="3" t="str">
        <f>IFERROR(__xludf.DUMMYFUNCTION("""COMPUTED_VALUE"""),"K0K 2G0")</f>
        <v>K0K 2G0</v>
      </c>
      <c r="E3833" s="3" t="str">
        <f>IFERROR(__xludf.DUMMYFUNCTION("""COMPUTED_VALUE"""),"Alexandra Borowik")</f>
        <v>Alexandra Borowik</v>
      </c>
      <c r="F3833" s="3" t="str">
        <f>IFERROR(__xludf.DUMMYFUNCTION("""COMPUTED_VALUE"""),"alexandra.borowik@gmail.com")</f>
        <v>alexandra.borowik@gmail.com</v>
      </c>
      <c r="G3833" s="3">
        <f>IFERROR(__xludf.DUMMYFUNCTION("""COMPUTED_VALUE"""),9.0537699E9)</f>
        <v>9053769900</v>
      </c>
      <c r="H3833" s="3"/>
    </row>
    <row r="3834">
      <c r="A3834" s="2">
        <f>IFERROR(__xludf.DUMMYFUNCTION("""COMPUTED_VALUE"""),41086.0)</f>
        <v>41086</v>
      </c>
      <c r="B3834" s="3" t="str">
        <f>IFERROR(__xludf.DUMMYFUNCTION("""COMPUTED_VALUE"""),"1535 SHELTER VALLEY RD")</f>
        <v>1535 SHELTER VALLEY RD</v>
      </c>
      <c r="C3834" s="3" t="str">
        <f>IFERROR(__xludf.DUMMYFUNCTION("""COMPUTED_VALUE"""),"GRAFTON ")</f>
        <v>GRAFTON </v>
      </c>
      <c r="D3834" s="3" t="str">
        <f>IFERROR(__xludf.DUMMYFUNCTION("""COMPUTED_VALUE"""),"K0K 2G0")</f>
        <v>K0K 2G0</v>
      </c>
      <c r="E3834" s="3" t="str">
        <f>IFERROR(__xludf.DUMMYFUNCTION("""COMPUTED_VALUE"""),"CHRISTOPHER D. BROWN")</f>
        <v>CHRISTOPHER D. BROWN</v>
      </c>
      <c r="F3834" s="3" t="str">
        <f>IFERROR(__xludf.DUMMYFUNCTION("""COMPUTED_VALUE"""),"brownchris669@gmail.com")</f>
        <v>brownchris669@gmail.com</v>
      </c>
      <c r="G3834" s="3">
        <f>IFERROR(__xludf.DUMMYFUNCTION("""COMPUTED_VALUE"""),9.053962575E9)</f>
        <v>9053962575</v>
      </c>
      <c r="H3834" s="3">
        <f>IFERROR(__xludf.DUMMYFUNCTION("""COMPUTED_VALUE"""),9.053499924E9)</f>
        <v>9053499924</v>
      </c>
    </row>
    <row r="3835">
      <c r="A3835" s="2">
        <f>IFERROR(__xludf.DUMMYFUNCTION("""COMPUTED_VALUE"""),41087.0)</f>
        <v>41087</v>
      </c>
      <c r="B3835" s="3" t="str">
        <f>IFERROR(__xludf.DUMMYFUNCTION("""COMPUTED_VALUE"""),"111 SKYVIEW RD")</f>
        <v>111 SKYVIEW RD</v>
      </c>
      <c r="C3835" s="3" t="str">
        <f>IFERROR(__xludf.DUMMYFUNCTION("""COMPUTED_VALUE"""),"GRAFTON ")</f>
        <v>GRAFTON </v>
      </c>
      <c r="D3835" s="3" t="str">
        <f>IFERROR(__xludf.DUMMYFUNCTION("""COMPUTED_VALUE"""),"K0K 2G0")</f>
        <v>K0K 2G0</v>
      </c>
      <c r="E3835" s="3"/>
      <c r="F3835" s="3"/>
      <c r="G3835" s="3"/>
      <c r="H3835" s="3"/>
    </row>
    <row r="3836">
      <c r="A3836" s="2">
        <f>IFERROR(__xludf.DUMMYFUNCTION("""COMPUTED_VALUE"""),41088.0)</f>
        <v>41088</v>
      </c>
      <c r="B3836" s="3" t="str">
        <f>IFERROR(__xludf.DUMMYFUNCTION("""COMPUTED_VALUE"""),"112 SKYVIEW RD")</f>
        <v>112 SKYVIEW RD</v>
      </c>
      <c r="C3836" s="3" t="str">
        <f>IFERROR(__xludf.DUMMYFUNCTION("""COMPUTED_VALUE"""),"GRAFTON ")</f>
        <v>GRAFTON </v>
      </c>
      <c r="D3836" s="3" t="str">
        <f>IFERROR(__xludf.DUMMYFUNCTION("""COMPUTED_VALUE"""),"K0K 2G0")</f>
        <v>K0K 2G0</v>
      </c>
      <c r="E3836" s="3"/>
      <c r="F3836" s="3"/>
      <c r="G3836" s="3"/>
      <c r="H3836" s="3"/>
    </row>
    <row r="3837">
      <c r="A3837" s="2">
        <f>IFERROR(__xludf.DUMMYFUNCTION("""COMPUTED_VALUE"""),41089.0)</f>
        <v>41089</v>
      </c>
      <c r="B3837" s="3" t="str">
        <f>IFERROR(__xludf.DUMMYFUNCTION("""COMPUTED_VALUE"""),"114 SKYVIEW RD")</f>
        <v>114 SKYVIEW RD</v>
      </c>
      <c r="C3837" s="3" t="str">
        <f>IFERROR(__xludf.DUMMYFUNCTION("""COMPUTED_VALUE"""),"GRAFTON ")</f>
        <v>GRAFTON </v>
      </c>
      <c r="D3837" s="3" t="str">
        <f>IFERROR(__xludf.DUMMYFUNCTION("""COMPUTED_VALUE"""),"K0K 2G0")</f>
        <v>K0K 2G0</v>
      </c>
      <c r="E3837" s="3"/>
      <c r="F3837" s="3"/>
      <c r="G3837" s="3"/>
      <c r="H3837" s="3"/>
    </row>
    <row r="3838">
      <c r="A3838" s="2">
        <f>IFERROR(__xludf.DUMMYFUNCTION("""COMPUTED_VALUE"""),41090.0)</f>
        <v>41090</v>
      </c>
      <c r="B3838" s="3" t="str">
        <f>IFERROR(__xludf.DUMMYFUNCTION("""COMPUTED_VALUE"""),"118 SKYVIEW RD")</f>
        <v>118 SKYVIEW RD</v>
      </c>
      <c r="C3838" s="3" t="str">
        <f>IFERROR(__xludf.DUMMYFUNCTION("""COMPUTED_VALUE"""),"GRAFTON ")</f>
        <v>GRAFTON </v>
      </c>
      <c r="D3838" s="3" t="str">
        <f>IFERROR(__xludf.DUMMYFUNCTION("""COMPUTED_VALUE"""),"K0K 2G0")</f>
        <v>K0K 2G0</v>
      </c>
      <c r="E3838" s="3"/>
      <c r="F3838" s="3"/>
      <c r="G3838" s="3"/>
      <c r="H3838" s="3"/>
    </row>
    <row r="3839">
      <c r="A3839" s="2">
        <f>IFERROR(__xludf.DUMMYFUNCTION("""COMPUTED_VALUE"""),41091.0)</f>
        <v>41091</v>
      </c>
      <c r="B3839" s="3" t="str">
        <f>IFERROR(__xludf.DUMMYFUNCTION("""COMPUTED_VALUE"""),"152 SKYVIEW RD")</f>
        <v>152 SKYVIEW RD</v>
      </c>
      <c r="C3839" s="3" t="str">
        <f>IFERROR(__xludf.DUMMYFUNCTION("""COMPUTED_VALUE"""),"GRAFTON ")</f>
        <v>GRAFTON </v>
      </c>
      <c r="D3839" s="3" t="str">
        <f>IFERROR(__xludf.DUMMYFUNCTION("""COMPUTED_VALUE"""),"K0K 2G0")</f>
        <v>K0K 2G0</v>
      </c>
      <c r="E3839" s="3" t="str">
        <f>IFERROR(__xludf.DUMMYFUNCTION("""COMPUTED_VALUE"""),"John Goheen")</f>
        <v>John Goheen</v>
      </c>
      <c r="F3839" s="3" t="str">
        <f>IFERROR(__xludf.DUMMYFUNCTION("""COMPUTED_VALUE"""),"jchgoheen@hotmail.com")</f>
        <v>jchgoheen@hotmail.com</v>
      </c>
      <c r="G3839" s="3">
        <f>IFERROR(__xludf.DUMMYFUNCTION("""COMPUTED_VALUE"""),9.053493299E9)</f>
        <v>9053493299</v>
      </c>
      <c r="H3839" s="3"/>
    </row>
    <row r="3840">
      <c r="A3840" s="2">
        <f>IFERROR(__xludf.DUMMYFUNCTION("""COMPUTED_VALUE"""),41092.0)</f>
        <v>41092</v>
      </c>
      <c r="B3840" s="3" t="str">
        <f>IFERROR(__xludf.DUMMYFUNCTION("""COMPUTED_VALUE"""),"164 SKYVIEW RD")</f>
        <v>164 SKYVIEW RD</v>
      </c>
      <c r="C3840" s="3" t="str">
        <f>IFERROR(__xludf.DUMMYFUNCTION("""COMPUTED_VALUE"""),"GRAFTON ")</f>
        <v>GRAFTON </v>
      </c>
      <c r="D3840" s="3" t="str">
        <f>IFERROR(__xludf.DUMMYFUNCTION("""COMPUTED_VALUE"""),"K0K 2G0")</f>
        <v>K0K 2G0</v>
      </c>
      <c r="E3840" s="3"/>
      <c r="F3840" s="3"/>
      <c r="G3840" s="3"/>
      <c r="H3840" s="3"/>
    </row>
    <row r="3841">
      <c r="A3841" s="2">
        <f>IFERROR(__xludf.DUMMYFUNCTION("""COMPUTED_VALUE"""),41101.0)</f>
        <v>41101</v>
      </c>
      <c r="B3841" s="3" t="str">
        <f>IFERROR(__xludf.DUMMYFUNCTION("""COMPUTED_VALUE"""),"109 ST ANDREWS DR")</f>
        <v>109 ST ANDREWS DR</v>
      </c>
      <c r="C3841" s="3" t="str">
        <f>IFERROR(__xludf.DUMMYFUNCTION("""COMPUTED_VALUE"""),"GRAFTON ")</f>
        <v>GRAFTON </v>
      </c>
      <c r="D3841" s="3" t="str">
        <f>IFERROR(__xludf.DUMMYFUNCTION("""COMPUTED_VALUE"""),"K0K 2G0")</f>
        <v>K0K 2G0</v>
      </c>
      <c r="E3841" s="3" t="str">
        <f>IFERROR(__xludf.DUMMYFUNCTION("""COMPUTED_VALUE"""),"jessica olivera ")</f>
        <v>jessica olivera </v>
      </c>
      <c r="F3841" s="3" t="str">
        <f>IFERROR(__xludf.DUMMYFUNCTION("""COMPUTED_VALUE"""),"jessicasantoss@hotmaill.com")</f>
        <v>jessicasantoss@hotmaill.com</v>
      </c>
      <c r="G3841" s="3">
        <f>IFERROR(__xludf.DUMMYFUNCTION("""COMPUTED_VALUE"""),6.479277075E9)</f>
        <v>6479277075</v>
      </c>
      <c r="H3841" s="3">
        <f>IFERROR(__xludf.DUMMYFUNCTION("""COMPUTED_VALUE"""),6.479270778E9)</f>
        <v>6479270778</v>
      </c>
    </row>
    <row r="3842">
      <c r="A3842" s="2">
        <f>IFERROR(__xludf.DUMMYFUNCTION("""COMPUTED_VALUE"""),41102.0)</f>
        <v>41102</v>
      </c>
      <c r="B3842" s="3" t="str">
        <f>IFERROR(__xludf.DUMMYFUNCTION("""COMPUTED_VALUE"""),"120 ST ANDREWS DR")</f>
        <v>120 ST ANDREWS DR</v>
      </c>
      <c r="C3842" s="3" t="str">
        <f>IFERROR(__xludf.DUMMYFUNCTION("""COMPUTED_VALUE"""),"GRAFTON ")</f>
        <v>GRAFTON </v>
      </c>
      <c r="D3842" s="3" t="str">
        <f>IFERROR(__xludf.DUMMYFUNCTION("""COMPUTED_VALUE"""),"K0K 2G0")</f>
        <v>K0K 2G0</v>
      </c>
      <c r="E3842" s="3" t="str">
        <f>IFERROR(__xludf.DUMMYFUNCTION("""COMPUTED_VALUE"""),"sandra brown")</f>
        <v>sandra brown</v>
      </c>
      <c r="F3842" s="3" t="str">
        <f>IFERROR(__xludf.DUMMYFUNCTION("""COMPUTED_VALUE"""),"bsbrown@live.ca")</f>
        <v>bsbrown@live.ca</v>
      </c>
      <c r="G3842" s="3">
        <f>IFERROR(__xludf.DUMMYFUNCTION("""COMPUTED_VALUE"""),9.053759293E9)</f>
        <v>9053759293</v>
      </c>
      <c r="H3842" s="3">
        <f>IFERROR(__xludf.DUMMYFUNCTION("""COMPUTED_VALUE"""),9.053762234E9)</f>
        <v>9053762234</v>
      </c>
    </row>
    <row r="3843">
      <c r="A3843" s="2">
        <f>IFERROR(__xludf.DUMMYFUNCTION("""COMPUTED_VALUE"""),41103.0)</f>
        <v>41103</v>
      </c>
      <c r="B3843" s="3" t="str">
        <f>IFERROR(__xludf.DUMMYFUNCTION("""COMPUTED_VALUE"""),"130 ST ANDREWS DR")</f>
        <v>130 ST ANDREWS DR</v>
      </c>
      <c r="C3843" s="3" t="str">
        <f>IFERROR(__xludf.DUMMYFUNCTION("""COMPUTED_VALUE"""),"GRAFTON ")</f>
        <v>GRAFTON </v>
      </c>
      <c r="D3843" s="3" t="str">
        <f>IFERROR(__xludf.DUMMYFUNCTION("""COMPUTED_VALUE"""),"K0K 2G0")</f>
        <v>K0K 2G0</v>
      </c>
      <c r="E3843" s="3" t="str">
        <f>IFERROR(__xludf.DUMMYFUNCTION("""COMPUTED_VALUE"""),"Patrick leblanc")</f>
        <v>Patrick leblanc</v>
      </c>
      <c r="F3843" s="3" t="str">
        <f>IFERROR(__xludf.DUMMYFUNCTION("""COMPUTED_VALUE"""),"mpgrenovations@outlook.com")</f>
        <v>mpgrenovations@outlook.com</v>
      </c>
      <c r="G3843" s="3">
        <f>IFERROR(__xludf.DUMMYFUNCTION("""COMPUTED_VALUE"""),2.893558009E9)</f>
        <v>2893558009</v>
      </c>
      <c r="H3843" s="3"/>
    </row>
    <row r="3844">
      <c r="A3844" s="2">
        <f>IFERROR(__xludf.DUMMYFUNCTION("""COMPUTED_VALUE"""),41104.0)</f>
        <v>41104</v>
      </c>
      <c r="B3844" s="3" t="str">
        <f>IFERROR(__xludf.DUMMYFUNCTION("""COMPUTED_VALUE"""),"142 ST ANDREWS DR")</f>
        <v>142 ST ANDREWS DR</v>
      </c>
      <c r="C3844" s="3" t="str">
        <f>IFERROR(__xludf.DUMMYFUNCTION("""COMPUTED_VALUE"""),"GRAFTON ")</f>
        <v>GRAFTON </v>
      </c>
      <c r="D3844" s="3" t="str">
        <f>IFERROR(__xludf.DUMMYFUNCTION("""COMPUTED_VALUE"""),"K0K 2G0")</f>
        <v>K0K 2G0</v>
      </c>
      <c r="E3844" s="3"/>
      <c r="F3844" s="3"/>
      <c r="G3844" s="3"/>
      <c r="H3844" s="3"/>
    </row>
    <row r="3845">
      <c r="A3845" s="2">
        <f>IFERROR(__xludf.DUMMYFUNCTION("""COMPUTED_VALUE"""),41105.0)</f>
        <v>41105</v>
      </c>
      <c r="B3845" s="3" t="str">
        <f>IFERROR(__xludf.DUMMYFUNCTION("""COMPUTED_VALUE"""),"145 ST ANDREWS DR")</f>
        <v>145 ST ANDREWS DR</v>
      </c>
      <c r="C3845" s="3" t="str">
        <f>IFERROR(__xludf.DUMMYFUNCTION("""COMPUTED_VALUE"""),"GRAFTON ")</f>
        <v>GRAFTON </v>
      </c>
      <c r="D3845" s="3" t="str">
        <f>IFERROR(__xludf.DUMMYFUNCTION("""COMPUTED_VALUE"""),"K0K 2G0")</f>
        <v>K0K 2G0</v>
      </c>
      <c r="E3845" s="3" t="str">
        <f>IFERROR(__xludf.DUMMYFUNCTION("""COMPUTED_VALUE"""),"GLEN WOBER")</f>
        <v>GLEN WOBER</v>
      </c>
      <c r="F3845" s="3" t="str">
        <f>IFERROR(__xludf.DUMMYFUNCTION("""COMPUTED_VALUE"""),"g.wober@sympatico.ca")</f>
        <v>g.wober@sympatico.ca</v>
      </c>
      <c r="G3845" s="3"/>
      <c r="H3845" s="3"/>
    </row>
    <row r="3846">
      <c r="A3846" s="2">
        <f>IFERROR(__xludf.DUMMYFUNCTION("""COMPUTED_VALUE"""),41106.0)</f>
        <v>41106</v>
      </c>
      <c r="B3846" s="3" t="str">
        <f>IFERROR(__xludf.DUMMYFUNCTION("""COMPUTED_VALUE"""),"168 ST ANDREWS DR")</f>
        <v>168 ST ANDREWS DR</v>
      </c>
      <c r="C3846" s="3" t="str">
        <f>IFERROR(__xludf.DUMMYFUNCTION("""COMPUTED_VALUE"""),"GRAFTON ")</f>
        <v>GRAFTON </v>
      </c>
      <c r="D3846" s="3" t="str">
        <f>IFERROR(__xludf.DUMMYFUNCTION("""COMPUTED_VALUE"""),"K0K 2G0")</f>
        <v>K0K 2G0</v>
      </c>
      <c r="E3846" s="3" t="str">
        <f>IFERROR(__xludf.DUMMYFUNCTION("""COMPUTED_VALUE"""),"lain canzane")</f>
        <v>lain canzane</v>
      </c>
      <c r="F3846" s="3" t="str">
        <f>IFERROR(__xludf.DUMMYFUNCTION("""COMPUTED_VALUE"""),"jobdoctor@canadaworkplace.ca")</f>
        <v>jobdoctor@canadaworkplace.ca</v>
      </c>
      <c r="G3846" s="3">
        <f>IFERROR(__xludf.DUMMYFUNCTION("""COMPUTED_VALUE"""),4.168936181E9)</f>
        <v>4168936181</v>
      </c>
      <c r="H3846" s="3"/>
    </row>
    <row r="3847">
      <c r="A3847" s="2">
        <f>IFERROR(__xludf.DUMMYFUNCTION("""COMPUTED_VALUE"""),41107.0)</f>
        <v>41107</v>
      </c>
      <c r="B3847" s="3" t="str">
        <f>IFERROR(__xludf.DUMMYFUNCTION("""COMPUTED_VALUE"""),"176 ST ANDREWS DR")</f>
        <v>176 ST ANDREWS DR</v>
      </c>
      <c r="C3847" s="3" t="str">
        <f>IFERROR(__xludf.DUMMYFUNCTION("""COMPUTED_VALUE"""),"GRAFTON ")</f>
        <v>GRAFTON </v>
      </c>
      <c r="D3847" s="3" t="str">
        <f>IFERROR(__xludf.DUMMYFUNCTION("""COMPUTED_VALUE"""),"K0K 2G0")</f>
        <v>K0K 2G0</v>
      </c>
      <c r="E3847" s="3" t="str">
        <f>IFERROR(__xludf.DUMMYFUNCTION("""COMPUTED_VALUE"""),"collin cybulska")</f>
        <v>collin cybulska</v>
      </c>
      <c r="F3847" s="3" t="str">
        <f>IFERROR(__xludf.DUMMYFUNCTION("""COMPUTED_VALUE"""),"jenna.and.collin@gmail.com")</f>
        <v>jenna.and.collin@gmail.com</v>
      </c>
      <c r="G3847" s="3">
        <f>IFERROR(__xludf.DUMMYFUNCTION("""COMPUTED_VALUE"""),2.893566503E9)</f>
        <v>2893566503</v>
      </c>
      <c r="H3847" s="3"/>
    </row>
    <row r="3848">
      <c r="A3848" s="2">
        <f>IFERROR(__xludf.DUMMYFUNCTION("""COMPUTED_VALUE"""),41108.0)</f>
        <v>41108</v>
      </c>
      <c r="B3848" s="3" t="str">
        <f>IFERROR(__xludf.DUMMYFUNCTION("""COMPUTED_VALUE"""),"184 ST ANDREWS DR")</f>
        <v>184 ST ANDREWS DR</v>
      </c>
      <c r="C3848" s="3" t="str">
        <f>IFERROR(__xludf.DUMMYFUNCTION("""COMPUTED_VALUE"""),"GRAFTON ")</f>
        <v>GRAFTON </v>
      </c>
      <c r="D3848" s="3" t="str">
        <f>IFERROR(__xludf.DUMMYFUNCTION("""COMPUTED_VALUE"""),"K0K 2G0")</f>
        <v>K0K 2G0</v>
      </c>
      <c r="E3848" s="3" t="str">
        <f>IFERROR(__xludf.DUMMYFUNCTION("""COMPUTED_VALUE"""),"enrich chow ")</f>
        <v>enrich chow </v>
      </c>
      <c r="F3848" s="3"/>
      <c r="G3848" s="3">
        <f>IFERROR(__xludf.DUMMYFUNCTION("""COMPUTED_VALUE"""),4.033973822E9)</f>
        <v>4033973822</v>
      </c>
      <c r="H3848" s="3"/>
    </row>
    <row r="3849">
      <c r="A3849" s="2">
        <f>IFERROR(__xludf.DUMMYFUNCTION("""COMPUTED_VALUE"""),41109.0)</f>
        <v>41109</v>
      </c>
      <c r="B3849" s="3" t="str">
        <f>IFERROR(__xludf.DUMMYFUNCTION("""COMPUTED_VALUE"""),"189 ST ANDREWS DR")</f>
        <v>189 ST ANDREWS DR</v>
      </c>
      <c r="C3849" s="3" t="str">
        <f>IFERROR(__xludf.DUMMYFUNCTION("""COMPUTED_VALUE"""),"GRAFTON ")</f>
        <v>GRAFTON </v>
      </c>
      <c r="D3849" s="3" t="str">
        <f>IFERROR(__xludf.DUMMYFUNCTION("""COMPUTED_VALUE"""),"K0K 2G0")</f>
        <v>K0K 2G0</v>
      </c>
      <c r="E3849" s="3" t="str">
        <f>IFERROR(__xludf.DUMMYFUNCTION("""COMPUTED_VALUE"""),"janice mclaughlin")</f>
        <v>janice mclaughlin</v>
      </c>
      <c r="F3849" s="3" t="str">
        <f>IFERROR(__xludf.DUMMYFUNCTION("""COMPUTED_VALUE"""),"jmclauchlin@sympatico.ca")</f>
        <v>jmclauchlin@sympatico.ca</v>
      </c>
      <c r="G3849" s="3">
        <f>IFERROR(__xludf.DUMMYFUNCTION("""COMPUTED_VALUE"""),9.058669272E9)</f>
        <v>9058669272</v>
      </c>
      <c r="H3849" s="3"/>
    </row>
    <row r="3850">
      <c r="A3850" s="2">
        <f>IFERROR(__xludf.DUMMYFUNCTION("""COMPUTED_VALUE"""),41110.0)</f>
        <v>41110</v>
      </c>
      <c r="B3850" s="3" t="str">
        <f>IFERROR(__xludf.DUMMYFUNCTION("""COMPUTED_VALUE"""),"190 ST ANDREWS DR")</f>
        <v>190 ST ANDREWS DR</v>
      </c>
      <c r="C3850" s="3" t="str">
        <f>IFERROR(__xludf.DUMMYFUNCTION("""COMPUTED_VALUE"""),"GRAFTON ")</f>
        <v>GRAFTON </v>
      </c>
      <c r="D3850" s="3" t="str">
        <f>IFERROR(__xludf.DUMMYFUNCTION("""COMPUTED_VALUE"""),"K0K 2G0")</f>
        <v>K0K 2G0</v>
      </c>
      <c r="E3850" s="3" t="str">
        <f>IFERROR(__xludf.DUMMYFUNCTION("""COMPUTED_VALUE"""),"doug kemp")</f>
        <v>doug kemp</v>
      </c>
      <c r="F3850" s="3"/>
      <c r="G3850" s="3">
        <f>IFERROR(__xludf.DUMMYFUNCTION("""COMPUTED_VALUE"""),9.053965367E9)</f>
        <v>9053965367</v>
      </c>
      <c r="H3850" s="3"/>
    </row>
    <row r="3851">
      <c r="A3851" s="2">
        <f>IFERROR(__xludf.DUMMYFUNCTION("""COMPUTED_VALUE"""),41111.0)</f>
        <v>41111</v>
      </c>
      <c r="B3851" s="3" t="str">
        <f>IFERROR(__xludf.DUMMYFUNCTION("""COMPUTED_VALUE"""),"202 ST ANDREWS DR")</f>
        <v>202 ST ANDREWS DR</v>
      </c>
      <c r="C3851" s="3" t="str">
        <f>IFERROR(__xludf.DUMMYFUNCTION("""COMPUTED_VALUE"""),"GRAFTON ")</f>
        <v>GRAFTON </v>
      </c>
      <c r="D3851" s="3" t="str">
        <f>IFERROR(__xludf.DUMMYFUNCTION("""COMPUTED_VALUE"""),"K0K 2G0")</f>
        <v>K0K 2G0</v>
      </c>
      <c r="E3851" s="3" t="str">
        <f>IFERROR(__xludf.DUMMYFUNCTION("""COMPUTED_VALUE"""),"holly bresee")</f>
        <v>holly bresee</v>
      </c>
      <c r="F3851" s="3" t="str">
        <f>IFERROR(__xludf.DUMMYFUNCTION("""COMPUTED_VALUE"""),"hbabrook@yahoo.ca")</f>
        <v>hbabrook@yahoo.ca</v>
      </c>
      <c r="G3851" s="3">
        <f>IFERROR(__xludf.DUMMYFUNCTION("""COMPUTED_VALUE"""),9.053738624E9)</f>
        <v>9053738624</v>
      </c>
      <c r="H3851" s="3"/>
    </row>
    <row r="3852">
      <c r="A3852" s="2">
        <f>IFERROR(__xludf.DUMMYFUNCTION("""COMPUTED_VALUE"""),41112.0)</f>
        <v>41112</v>
      </c>
      <c r="B3852" s="3" t="str">
        <f>IFERROR(__xludf.DUMMYFUNCTION("""COMPUTED_VALUE"""),"246 ST ANDREWS DR")</f>
        <v>246 ST ANDREWS DR</v>
      </c>
      <c r="C3852" s="3" t="str">
        <f>IFERROR(__xludf.DUMMYFUNCTION("""COMPUTED_VALUE"""),"GRAFTON ")</f>
        <v>GRAFTON </v>
      </c>
      <c r="D3852" s="3" t="str">
        <f>IFERROR(__xludf.DUMMYFUNCTION("""COMPUTED_VALUE"""),"K0K 2G0")</f>
        <v>K0K 2G0</v>
      </c>
      <c r="E3852" s="3" t="str">
        <f>IFERROR(__xludf.DUMMYFUNCTION("""COMPUTED_VALUE"""),"Norbert Dumais")</f>
        <v>Norbert Dumais</v>
      </c>
      <c r="F3852" s="3" t="str">
        <f>IFERROR(__xludf.DUMMYFUNCTION("""COMPUTED_VALUE"""),"dumaisnorbert@bell.net")</f>
        <v>dumaisnorbert@bell.net</v>
      </c>
      <c r="G3852" s="3"/>
      <c r="H3852" s="3"/>
    </row>
    <row r="3853">
      <c r="A3853" s="2">
        <f>IFERROR(__xludf.DUMMYFUNCTION("""COMPUTED_VALUE"""),41113.0)</f>
        <v>41113</v>
      </c>
      <c r="B3853" s="3" t="str">
        <f>IFERROR(__xludf.DUMMYFUNCTION("""COMPUTED_VALUE"""),"252 ST ANDREWS DR")</f>
        <v>252 ST ANDREWS DR</v>
      </c>
      <c r="C3853" s="3" t="str">
        <f>IFERROR(__xludf.DUMMYFUNCTION("""COMPUTED_VALUE"""),"GRAFTON ")</f>
        <v>GRAFTON </v>
      </c>
      <c r="D3853" s="3" t="str">
        <f>IFERROR(__xludf.DUMMYFUNCTION("""COMPUTED_VALUE"""),"K0K 2G0")</f>
        <v>K0K 2G0</v>
      </c>
      <c r="E3853" s="3" t="str">
        <f>IFERROR(__xludf.DUMMYFUNCTION("""COMPUTED_VALUE"""),"sebastian dupuis")</f>
        <v>sebastian dupuis</v>
      </c>
      <c r="F3853" s="3" t="str">
        <f>IFERROR(__xludf.DUMMYFUNCTION("""COMPUTED_VALUE"""),"sebatiendupuis252@gmail.com")</f>
        <v>sebatiendupuis252@gmail.com</v>
      </c>
      <c r="G3853" s="3">
        <f>IFERROR(__xludf.DUMMYFUNCTION("""COMPUTED_VALUE"""),9.053753153E9)</f>
        <v>9053753153</v>
      </c>
      <c r="H3853" s="3"/>
    </row>
    <row r="3854">
      <c r="A3854" s="2">
        <f>IFERROR(__xludf.DUMMYFUNCTION("""COMPUTED_VALUE"""),41114.0)</f>
        <v>41114</v>
      </c>
      <c r="B3854" s="3" t="str">
        <f>IFERROR(__xludf.DUMMYFUNCTION("""COMPUTED_VALUE"""),"102 ST GEORGES CRT")</f>
        <v>102 ST GEORGES CRT</v>
      </c>
      <c r="C3854" s="3" t="str">
        <f>IFERROR(__xludf.DUMMYFUNCTION("""COMPUTED_VALUE"""),"GRAFTON ")</f>
        <v>GRAFTON </v>
      </c>
      <c r="D3854" s="3" t="str">
        <f>IFERROR(__xludf.DUMMYFUNCTION("""COMPUTED_VALUE"""),"K0K 2G0")</f>
        <v>K0K 2G0</v>
      </c>
      <c r="E3854" s="3"/>
      <c r="F3854" s="3"/>
      <c r="G3854" s="3"/>
      <c r="H3854" s="3"/>
    </row>
    <row r="3855">
      <c r="A3855" s="2">
        <f>IFERROR(__xludf.DUMMYFUNCTION("""COMPUTED_VALUE"""),41115.0)</f>
        <v>41115</v>
      </c>
      <c r="B3855" s="3" t="str">
        <f>IFERROR(__xludf.DUMMYFUNCTION("""COMPUTED_VALUE"""),"103 ST GEORGES CRT")</f>
        <v>103 ST GEORGES CRT</v>
      </c>
      <c r="C3855" s="3" t="str">
        <f>IFERROR(__xludf.DUMMYFUNCTION("""COMPUTED_VALUE"""),"GRAFTON ")</f>
        <v>GRAFTON </v>
      </c>
      <c r="D3855" s="3" t="str">
        <f>IFERROR(__xludf.DUMMYFUNCTION("""COMPUTED_VALUE"""),"K0K 2G0")</f>
        <v>K0K 2G0</v>
      </c>
      <c r="E3855" s="3"/>
      <c r="F3855" s="3"/>
      <c r="G3855" s="3"/>
      <c r="H3855" s="3"/>
    </row>
    <row r="3856">
      <c r="A3856" s="2">
        <f>IFERROR(__xludf.DUMMYFUNCTION("""COMPUTED_VALUE"""),41116.0)</f>
        <v>41116</v>
      </c>
      <c r="B3856" s="3" t="str">
        <f>IFERROR(__xludf.DUMMYFUNCTION("""COMPUTED_VALUE"""),"116 ST. GEORGES CRT")</f>
        <v>116 ST. GEORGES CRT</v>
      </c>
      <c r="C3856" s="3" t="str">
        <f>IFERROR(__xludf.DUMMYFUNCTION("""COMPUTED_VALUE"""),"GRAFTON ")</f>
        <v>GRAFTON </v>
      </c>
      <c r="D3856" s="3" t="str">
        <f>IFERROR(__xludf.DUMMYFUNCTION("""COMPUTED_VALUE"""),"K0K 2G0")</f>
        <v>K0K 2G0</v>
      </c>
      <c r="E3856" s="3" t="str">
        <f>IFERROR(__xludf.DUMMYFUNCTION("""COMPUTED_VALUE"""),"MARK GALANTER")</f>
        <v>MARK GALANTER</v>
      </c>
      <c r="F3856" s="3" t="str">
        <f>IFERROR(__xludf.DUMMYFUNCTION("""COMPUTED_VALUE"""),"markgalanter@hotmail.com")</f>
        <v>markgalanter@hotmail.com</v>
      </c>
      <c r="G3856" s="3"/>
      <c r="H3856" s="3"/>
    </row>
    <row r="3857">
      <c r="A3857" s="2">
        <f>IFERROR(__xludf.DUMMYFUNCTION("""COMPUTED_VALUE"""),41117.0)</f>
        <v>41117</v>
      </c>
      <c r="B3857" s="3" t="str">
        <f>IFERROR(__xludf.DUMMYFUNCTION("""COMPUTED_VALUE"""),"117 ST. GEORGES CRT")</f>
        <v>117 ST. GEORGES CRT</v>
      </c>
      <c r="C3857" s="3" t="str">
        <f>IFERROR(__xludf.DUMMYFUNCTION("""COMPUTED_VALUE"""),"GRAFTON ")</f>
        <v>GRAFTON </v>
      </c>
      <c r="D3857" s="3" t="str">
        <f>IFERROR(__xludf.DUMMYFUNCTION("""COMPUTED_VALUE"""),"K0K 2G0")</f>
        <v>K0K 2G0</v>
      </c>
      <c r="E3857" s="3" t="str">
        <f>IFERROR(__xludf.DUMMYFUNCTION("""COMPUTED_VALUE"""),"Rob Forger")</f>
        <v>Rob Forger</v>
      </c>
      <c r="F3857" s="3" t="str">
        <f>IFERROR(__xludf.DUMMYFUNCTION("""COMPUTED_VALUE"""),"rforger@gmail.com")</f>
        <v>rforger@gmail.com</v>
      </c>
      <c r="G3857" s="3">
        <f>IFERROR(__xludf.DUMMYFUNCTION("""COMPUTED_VALUE"""),2.896754752E9)</f>
        <v>2896754752</v>
      </c>
      <c r="H3857" s="3"/>
    </row>
    <row r="3858">
      <c r="A3858" s="2">
        <f>IFERROR(__xludf.DUMMYFUNCTION("""COMPUTED_VALUE"""),41118.0)</f>
        <v>41118</v>
      </c>
      <c r="B3858" s="3" t="str">
        <f>IFERROR(__xludf.DUMMYFUNCTION("""COMPUTED_VALUE"""),"124 ST. GEORGES CRT")</f>
        <v>124 ST. GEORGES CRT</v>
      </c>
      <c r="C3858" s="3" t="str">
        <f>IFERROR(__xludf.DUMMYFUNCTION("""COMPUTED_VALUE"""),"GRAFTON ")</f>
        <v>GRAFTON </v>
      </c>
      <c r="D3858" s="3" t="str">
        <f>IFERROR(__xludf.DUMMYFUNCTION("""COMPUTED_VALUE"""),"K0K 2G0")</f>
        <v>K0K 2G0</v>
      </c>
      <c r="E3858" s="3" t="str">
        <f>IFERROR(__xludf.DUMMYFUNCTION("""COMPUTED_VALUE"""),"andrea philip")</f>
        <v>andrea philip</v>
      </c>
      <c r="F3858" s="3" t="str">
        <f>IFERROR(__xludf.DUMMYFUNCTION("""COMPUTED_VALUE"""),"andreadoyle74@hotmail.com")</f>
        <v>andreadoyle74@hotmail.com</v>
      </c>
      <c r="G3858" s="3">
        <f>IFERROR(__xludf.DUMMYFUNCTION("""COMPUTED_VALUE"""),9.053763911E9)</f>
        <v>9053763911</v>
      </c>
      <c r="H3858" s="3"/>
    </row>
    <row r="3859">
      <c r="A3859" s="2">
        <f>IFERROR(__xludf.DUMMYFUNCTION("""COMPUTED_VALUE"""),41119.0)</f>
        <v>41119</v>
      </c>
      <c r="B3859" s="3" t="str">
        <f>IFERROR(__xludf.DUMMYFUNCTION("""COMPUTED_VALUE"""),"100 ST GEORGES CRT")</f>
        <v>100 ST GEORGES CRT</v>
      </c>
      <c r="C3859" s="3" t="str">
        <f>IFERROR(__xludf.DUMMYFUNCTION("""COMPUTED_VALUE"""),"GRAFTON ")</f>
        <v>GRAFTON </v>
      </c>
      <c r="D3859" s="3" t="str">
        <f>IFERROR(__xludf.DUMMYFUNCTION("""COMPUTED_VALUE"""),"K0K 2G0")</f>
        <v>K0K 2G0</v>
      </c>
      <c r="E3859" s="3" t="str">
        <f>IFERROR(__xludf.DUMMYFUNCTION("""COMPUTED_VALUE"""),"DAVID PEACOCK")</f>
        <v>DAVID PEACOCK</v>
      </c>
      <c r="F3859" s="3" t="str">
        <f>IFERROR(__xludf.DUMMYFUNCTION("""COMPUTED_VALUE"""),"david.j.peacock@gmail.com")</f>
        <v>david.j.peacock@gmail.com</v>
      </c>
      <c r="G3859" s="3"/>
      <c r="H3859" s="3"/>
    </row>
    <row r="3860">
      <c r="A3860" s="2">
        <f>IFERROR(__xludf.DUMMYFUNCTION("""COMPUTED_VALUE"""),41120.0)</f>
        <v>41120</v>
      </c>
      <c r="B3860" s="3" t="str">
        <f>IFERROR(__xludf.DUMMYFUNCTION("""COMPUTED_VALUE"""),"106 ST GEORGES CRT")</f>
        <v>106 ST GEORGES CRT</v>
      </c>
      <c r="C3860" s="3" t="str">
        <f>IFERROR(__xludf.DUMMYFUNCTION("""COMPUTED_VALUE"""),"GRAFTON ")</f>
        <v>GRAFTON </v>
      </c>
      <c r="D3860" s="3" t="str">
        <f>IFERROR(__xludf.DUMMYFUNCTION("""COMPUTED_VALUE"""),"K0K 2G0")</f>
        <v>K0K 2G0</v>
      </c>
      <c r="E3860" s="3" t="str">
        <f>IFERROR(__xludf.DUMMYFUNCTION("""COMPUTED_VALUE"""),"Christine Kitchen and Frank Kitchen")</f>
        <v>Christine Kitchen and Frank Kitchen</v>
      </c>
      <c r="F3860" s="3" t="str">
        <f>IFERROR(__xludf.DUMMYFUNCTION("""COMPUTED_VALUE"""),"kidsbegone_3@yahoo.ca")</f>
        <v>kidsbegone_3@yahoo.ca</v>
      </c>
      <c r="G3860" s="3"/>
      <c r="H3860" s="3"/>
    </row>
    <row r="3861">
      <c r="A3861" s="2">
        <f>IFERROR(__xludf.DUMMYFUNCTION("""COMPUTED_VALUE"""),41121.0)</f>
        <v>41121</v>
      </c>
      <c r="B3861" s="3" t="str">
        <f>IFERROR(__xludf.DUMMYFUNCTION("""COMPUTED_VALUE"""),"109 ST GEORGES CRT")</f>
        <v>109 ST GEORGES CRT</v>
      </c>
      <c r="C3861" s="3" t="str">
        <f>IFERROR(__xludf.DUMMYFUNCTION("""COMPUTED_VALUE"""),"GRAFTON ")</f>
        <v>GRAFTON </v>
      </c>
      <c r="D3861" s="3" t="str">
        <f>IFERROR(__xludf.DUMMYFUNCTION("""COMPUTED_VALUE"""),"K0K 2G0")</f>
        <v>K0K 2G0</v>
      </c>
      <c r="E3861" s="3"/>
      <c r="F3861" s="3"/>
      <c r="G3861" s="3"/>
      <c r="H3861" s="3"/>
    </row>
    <row r="3862">
      <c r="A3862" s="2">
        <f>IFERROR(__xludf.DUMMYFUNCTION("""COMPUTED_VALUE"""),41122.0)</f>
        <v>41122</v>
      </c>
      <c r="B3862" s="3" t="str">
        <f>IFERROR(__xludf.DUMMYFUNCTION("""COMPUTED_VALUE"""),"121 ST GEORGES CRT")</f>
        <v>121 ST GEORGES CRT</v>
      </c>
      <c r="C3862" s="3" t="str">
        <f>IFERROR(__xludf.DUMMYFUNCTION("""COMPUTED_VALUE"""),"GRAFTON ")</f>
        <v>GRAFTON </v>
      </c>
      <c r="D3862" s="3" t="str">
        <f>IFERROR(__xludf.DUMMYFUNCTION("""COMPUTED_VALUE"""),"K0K 2G0")</f>
        <v>K0K 2G0</v>
      </c>
      <c r="E3862" s="3" t="str">
        <f>IFERROR(__xludf.DUMMYFUNCTION("""COMPUTED_VALUE"""),"frances dubroy")</f>
        <v>frances dubroy</v>
      </c>
      <c r="F3862" s="3"/>
      <c r="G3862" s="3">
        <f>IFERROR(__xludf.DUMMYFUNCTION("""COMPUTED_VALUE"""),6.473798924E9)</f>
        <v>6473798924</v>
      </c>
      <c r="H3862" s="3">
        <f>IFERROR(__xludf.DUMMYFUNCTION("""COMPUTED_VALUE"""),4.165781759E9)</f>
        <v>4165781759</v>
      </c>
    </row>
    <row r="3863">
      <c r="A3863" s="2">
        <f>IFERROR(__xludf.DUMMYFUNCTION("""COMPUTED_VALUE"""),41123.0)</f>
        <v>41123</v>
      </c>
      <c r="B3863" s="3" t="str">
        <f>IFERROR(__xludf.DUMMYFUNCTION("""COMPUTED_VALUE"""),"100 ST MARYS CRT")</f>
        <v>100 ST MARYS CRT</v>
      </c>
      <c r="C3863" s="3" t="str">
        <f>IFERROR(__xludf.DUMMYFUNCTION("""COMPUTED_VALUE"""),"GRAFTON ")</f>
        <v>GRAFTON </v>
      </c>
      <c r="D3863" s="3" t="str">
        <f>IFERROR(__xludf.DUMMYFUNCTION("""COMPUTED_VALUE"""),"K0K 2G0")</f>
        <v>K0K 2G0</v>
      </c>
      <c r="E3863" s="3" t="str">
        <f>IFERROR(__xludf.DUMMYFUNCTION("""COMPUTED_VALUE"""),"david peacock")</f>
        <v>david peacock</v>
      </c>
      <c r="F3863" s="3" t="str">
        <f>IFERROR(__xludf.DUMMYFUNCTION("""COMPUTED_VALUE"""),"david.j.peacock@gmail.com")</f>
        <v>david.j.peacock@gmail.com</v>
      </c>
      <c r="G3863" s="3">
        <f>IFERROR(__xludf.DUMMYFUNCTION("""COMPUTED_VALUE"""),9.053765187E9)</f>
        <v>9053765187</v>
      </c>
      <c r="H3863" s="3"/>
    </row>
    <row r="3864">
      <c r="A3864" s="2">
        <f>IFERROR(__xludf.DUMMYFUNCTION("""COMPUTED_VALUE"""),41124.0)</f>
        <v>41124</v>
      </c>
      <c r="B3864" s="3" t="str">
        <f>IFERROR(__xludf.DUMMYFUNCTION("""COMPUTED_VALUE"""),"101 ST MARYS CRT")</f>
        <v>101 ST MARYS CRT</v>
      </c>
      <c r="C3864" s="3" t="str">
        <f>IFERROR(__xludf.DUMMYFUNCTION("""COMPUTED_VALUE"""),"GRAFTON ")</f>
        <v>GRAFTON </v>
      </c>
      <c r="D3864" s="3" t="str">
        <f>IFERROR(__xludf.DUMMYFUNCTION("""COMPUTED_VALUE"""),"K0K 2G0")</f>
        <v>K0K 2G0</v>
      </c>
      <c r="E3864" s="3" t="str">
        <f>IFERROR(__xludf.DUMMYFUNCTION("""COMPUTED_VALUE"""),"deb bradey ")</f>
        <v>deb bradey </v>
      </c>
      <c r="F3864" s="3"/>
      <c r="G3864" s="3">
        <f>IFERROR(__xludf.DUMMYFUNCTION("""COMPUTED_VALUE"""),9.053492526E9)</f>
        <v>9053492526</v>
      </c>
      <c r="H3864" s="3"/>
    </row>
    <row r="3865">
      <c r="A3865" s="2">
        <f>IFERROR(__xludf.DUMMYFUNCTION("""COMPUTED_VALUE"""),41125.0)</f>
        <v>41125</v>
      </c>
      <c r="B3865" s="3" t="str">
        <f>IFERROR(__xludf.DUMMYFUNCTION("""COMPUTED_VALUE"""),"107 ST MARYS CRT")</f>
        <v>107 ST MARYS CRT</v>
      </c>
      <c r="C3865" s="3" t="str">
        <f>IFERROR(__xludf.DUMMYFUNCTION("""COMPUTED_VALUE"""),"GRAFTON ")</f>
        <v>GRAFTON </v>
      </c>
      <c r="D3865" s="3" t="str">
        <f>IFERROR(__xludf.DUMMYFUNCTION("""COMPUTED_VALUE"""),"K0K 2G0")</f>
        <v>K0K 2G0</v>
      </c>
      <c r="E3865" s="3" t="str">
        <f>IFERROR(__xludf.DUMMYFUNCTION("""COMPUTED_VALUE"""),"shaun")</f>
        <v>shaun</v>
      </c>
      <c r="F3865" s="3"/>
      <c r="G3865" s="3">
        <f>IFERROR(__xludf.DUMMYFUNCTION("""COMPUTED_VALUE"""),9.053694443E9)</f>
        <v>9053694443</v>
      </c>
      <c r="H3865" s="3"/>
    </row>
    <row r="3866">
      <c r="A3866" s="2">
        <f>IFERROR(__xludf.DUMMYFUNCTION("""COMPUTED_VALUE"""),41126.0)</f>
        <v>41126</v>
      </c>
      <c r="B3866" s="3" t="str">
        <f>IFERROR(__xludf.DUMMYFUNCTION("""COMPUTED_VALUE"""),"108 ST MARYS CRT")</f>
        <v>108 ST MARYS CRT</v>
      </c>
      <c r="C3866" s="3" t="str">
        <f>IFERROR(__xludf.DUMMYFUNCTION("""COMPUTED_VALUE"""),"GRAFTON ")</f>
        <v>GRAFTON </v>
      </c>
      <c r="D3866" s="3" t="str">
        <f>IFERROR(__xludf.DUMMYFUNCTION("""COMPUTED_VALUE"""),"K0K 2G0")</f>
        <v>K0K 2G0</v>
      </c>
      <c r="E3866" s="3" t="str">
        <f>IFERROR(__xludf.DUMMYFUNCTION("""COMPUTED_VALUE"""),"jason robinson")</f>
        <v>jason robinson</v>
      </c>
      <c r="F3866" s="3" t="str">
        <f>IFERROR(__xludf.DUMMYFUNCTION("""COMPUTED_VALUE"""),"jayro.snaps@gmail.com")</f>
        <v>jayro.snaps@gmail.com</v>
      </c>
      <c r="G3866" s="3">
        <f>IFERROR(__xludf.DUMMYFUNCTION("""COMPUTED_VALUE"""),9.05699598E9)</f>
        <v>9056995980</v>
      </c>
      <c r="H3866" s="3"/>
    </row>
    <row r="3867">
      <c r="A3867" s="2">
        <f>IFERROR(__xludf.DUMMYFUNCTION("""COMPUTED_VALUE"""),41127.0)</f>
        <v>41127</v>
      </c>
      <c r="B3867" s="3" t="str">
        <f>IFERROR(__xludf.DUMMYFUNCTION("""COMPUTED_VALUE"""),"114 ST MARYS CRT")</f>
        <v>114 ST MARYS CRT</v>
      </c>
      <c r="C3867" s="3" t="str">
        <f>IFERROR(__xludf.DUMMYFUNCTION("""COMPUTED_VALUE"""),"GRAFTON ")</f>
        <v>GRAFTON </v>
      </c>
      <c r="D3867" s="3" t="str">
        <f>IFERROR(__xludf.DUMMYFUNCTION("""COMPUTED_VALUE"""),"K0K 2G0")</f>
        <v>K0K 2G0</v>
      </c>
      <c r="E3867" s="3" t="str">
        <f>IFERROR(__xludf.DUMMYFUNCTION("""COMPUTED_VALUE"""),"Matt Halmasy")</f>
        <v>Matt Halmasy</v>
      </c>
      <c r="F3867" s="3" t="str">
        <f>IFERROR(__xludf.DUMMYFUNCTION("""COMPUTED_VALUE"""),"matthalmasy@hotmail.com")</f>
        <v>matthalmasy@hotmail.com</v>
      </c>
      <c r="G3867" s="3">
        <f>IFERROR(__xludf.DUMMYFUNCTION("""COMPUTED_VALUE"""),2.892512111E9)</f>
        <v>2892512111</v>
      </c>
      <c r="H3867" s="3"/>
    </row>
    <row r="3868">
      <c r="A3868" s="2">
        <f>IFERROR(__xludf.DUMMYFUNCTION("""COMPUTED_VALUE"""),41128.0)</f>
        <v>41128</v>
      </c>
      <c r="B3868" s="3" t="str">
        <f>IFERROR(__xludf.DUMMYFUNCTION("""COMPUTED_VALUE"""),"115 ST MARY'S CRT")</f>
        <v>115 ST MARY'S CRT</v>
      </c>
      <c r="C3868" s="3" t="str">
        <f>IFERROR(__xludf.DUMMYFUNCTION("""COMPUTED_VALUE"""),"GRAFTON ")</f>
        <v>GRAFTON </v>
      </c>
      <c r="D3868" s="3" t="str">
        <f>IFERROR(__xludf.DUMMYFUNCTION("""COMPUTED_VALUE"""),"K0K 2G0")</f>
        <v>K0K 2G0</v>
      </c>
      <c r="E3868" s="3"/>
      <c r="F3868" s="3"/>
      <c r="G3868" s="3"/>
      <c r="H3868" s="3"/>
    </row>
    <row r="3869">
      <c r="A3869" s="2">
        <f>IFERROR(__xludf.DUMMYFUNCTION("""COMPUTED_VALUE"""),41129.0)</f>
        <v>41129</v>
      </c>
      <c r="B3869" s="3" t="str">
        <f>IFERROR(__xludf.DUMMYFUNCTION("""COMPUTED_VALUE"""),"120 ST MARYS CRT")</f>
        <v>120 ST MARYS CRT</v>
      </c>
      <c r="C3869" s="3" t="str">
        <f>IFERROR(__xludf.DUMMYFUNCTION("""COMPUTED_VALUE"""),"GRAFTON ")</f>
        <v>GRAFTON </v>
      </c>
      <c r="D3869" s="3" t="str">
        <f>IFERROR(__xludf.DUMMYFUNCTION("""COMPUTED_VALUE"""),"K0K 2G0")</f>
        <v>K0K 2G0</v>
      </c>
      <c r="E3869" s="3"/>
      <c r="F3869" s="3"/>
      <c r="G3869" s="3"/>
      <c r="H3869" s="3"/>
    </row>
    <row r="3870">
      <c r="A3870" s="2">
        <f>IFERROR(__xludf.DUMMYFUNCTION("""COMPUTED_VALUE"""),41130.0)</f>
        <v>41130</v>
      </c>
      <c r="B3870" s="3" t="str">
        <f>IFERROR(__xludf.DUMMYFUNCTION("""COMPUTED_VALUE"""),"1595 STANTON RD")</f>
        <v>1595 STANTON RD</v>
      </c>
      <c r="C3870" s="3" t="str">
        <f>IFERROR(__xludf.DUMMYFUNCTION("""COMPUTED_VALUE"""),"COBOURG")</f>
        <v>COBOURG</v>
      </c>
      <c r="D3870" s="3" t="str">
        <f>IFERROR(__xludf.DUMMYFUNCTION("""COMPUTED_VALUE"""),"K9A 0S6")</f>
        <v>K9A 0S6</v>
      </c>
      <c r="E3870" s="3" t="str">
        <f>IFERROR(__xludf.DUMMYFUNCTION("""COMPUTED_VALUE"""),"kody greenaway")</f>
        <v>kody greenaway</v>
      </c>
      <c r="F3870" s="3" t="str">
        <f>IFERROR(__xludf.DUMMYFUNCTION("""COMPUTED_VALUE"""),"kodygreenaway@gmail.com")</f>
        <v>kodygreenaway@gmail.com</v>
      </c>
      <c r="G3870" s="3">
        <f>IFERROR(__xludf.DUMMYFUNCTION("""COMPUTED_VALUE"""),6.477852799E9)</f>
        <v>6477852799</v>
      </c>
      <c r="H3870" s="3"/>
    </row>
    <row r="3871">
      <c r="A3871" s="2">
        <f>IFERROR(__xludf.DUMMYFUNCTION("""COMPUTED_VALUE"""),41131.0)</f>
        <v>41131</v>
      </c>
      <c r="B3871" s="3" t="str">
        <f>IFERROR(__xludf.DUMMYFUNCTION("""COMPUTED_VALUE"""),"1601 STANTON RD")</f>
        <v>1601 STANTON RD</v>
      </c>
      <c r="C3871" s="3" t="str">
        <f>IFERROR(__xludf.DUMMYFUNCTION("""COMPUTED_VALUE"""),"COBOURG")</f>
        <v>COBOURG</v>
      </c>
      <c r="D3871" s="3" t="str">
        <f>IFERROR(__xludf.DUMMYFUNCTION("""COMPUTED_VALUE"""),"K9A 0S6")</f>
        <v>K9A 0S6</v>
      </c>
      <c r="E3871" s="3"/>
      <c r="F3871" s="3"/>
      <c r="G3871" s="3"/>
      <c r="H3871" s="3"/>
    </row>
    <row r="3872">
      <c r="A3872" s="2">
        <f>IFERROR(__xludf.DUMMYFUNCTION("""COMPUTED_VALUE"""),41132.0)</f>
        <v>41132</v>
      </c>
      <c r="B3872" s="3" t="str">
        <f>IFERROR(__xludf.DUMMYFUNCTION("""COMPUTED_VALUE"""),"1843 STANTON RD")</f>
        <v>1843 STANTON RD</v>
      </c>
      <c r="C3872" s="3" t="str">
        <f>IFERROR(__xludf.DUMMYFUNCTION("""COMPUTED_VALUE"""),"COBOURG")</f>
        <v>COBOURG</v>
      </c>
      <c r="D3872" s="3" t="str">
        <f>IFERROR(__xludf.DUMMYFUNCTION("""COMPUTED_VALUE"""),"K9A 0S6")</f>
        <v>K9A 0S6</v>
      </c>
      <c r="E3872" s="3" t="str">
        <f>IFERROR(__xludf.DUMMYFUNCTION("""COMPUTED_VALUE"""),"anthony panton")</f>
        <v>anthony panton</v>
      </c>
      <c r="F3872" s="3" t="str">
        <f>IFERROR(__xludf.DUMMYFUNCTION("""COMPUTED_VALUE"""),"afpanton@gmail.com")</f>
        <v>afpanton@gmail.com</v>
      </c>
      <c r="G3872" s="3">
        <f>IFERROR(__xludf.DUMMYFUNCTION("""COMPUTED_VALUE"""),6.479214031E9)</f>
        <v>6479214031</v>
      </c>
      <c r="H3872" s="3"/>
    </row>
    <row r="3873">
      <c r="A3873" s="2">
        <f>IFERROR(__xludf.DUMMYFUNCTION("""COMPUTED_VALUE"""),41133.0)</f>
        <v>41133</v>
      </c>
      <c r="B3873" s="3" t="str">
        <f>IFERROR(__xludf.DUMMYFUNCTION("""COMPUTED_VALUE"""),"1857 STANTON RD")</f>
        <v>1857 STANTON RD</v>
      </c>
      <c r="C3873" s="3" t="str">
        <f>IFERROR(__xludf.DUMMYFUNCTION("""COMPUTED_VALUE"""),"COBOURG")</f>
        <v>COBOURG</v>
      </c>
      <c r="D3873" s="3" t="str">
        <f>IFERROR(__xludf.DUMMYFUNCTION("""COMPUTED_VALUE"""),"K9A 0S6")</f>
        <v>K9A 0S6</v>
      </c>
      <c r="E3873" s="3" t="str">
        <f>IFERROR(__xludf.DUMMYFUNCTION("""COMPUTED_VALUE"""),"cindy krysmacy")</f>
        <v>cindy krysmacy</v>
      </c>
      <c r="F3873" s="3" t="str">
        <f>IFERROR(__xludf.DUMMYFUNCTION("""COMPUTED_VALUE"""),"krysmacy@gmail.com")</f>
        <v>krysmacy@gmail.com</v>
      </c>
      <c r="G3873" s="3">
        <f>IFERROR(__xludf.DUMMYFUNCTION("""COMPUTED_VALUE"""),4.169513988E9)</f>
        <v>4169513988</v>
      </c>
      <c r="H3873" s="3"/>
    </row>
    <row r="3874">
      <c r="A3874" s="2">
        <f>IFERROR(__xludf.DUMMYFUNCTION("""COMPUTED_VALUE"""),41134.0)</f>
        <v>41134</v>
      </c>
      <c r="B3874" s="3" t="str">
        <f>IFERROR(__xludf.DUMMYFUNCTION("""COMPUTED_VALUE"""),"1867 STANTON RD")</f>
        <v>1867 STANTON RD</v>
      </c>
      <c r="C3874" s="3" t="str">
        <f>IFERROR(__xludf.DUMMYFUNCTION("""COMPUTED_VALUE"""),"COBOURG")</f>
        <v>COBOURG</v>
      </c>
      <c r="D3874" s="3" t="str">
        <f>IFERROR(__xludf.DUMMYFUNCTION("""COMPUTED_VALUE"""),"K9A 0S6")</f>
        <v>K9A 0S6</v>
      </c>
      <c r="E3874" s="3" t="str">
        <f>IFERROR(__xludf.DUMMYFUNCTION("""COMPUTED_VALUE"""),"ron johns")</f>
        <v>ron johns</v>
      </c>
      <c r="F3874" s="3"/>
      <c r="G3874" s="3">
        <f>IFERROR(__xludf.DUMMYFUNCTION("""COMPUTED_VALUE"""),9.053727271E9)</f>
        <v>9053727271</v>
      </c>
      <c r="H3874" s="3"/>
    </row>
    <row r="3875">
      <c r="A3875" s="2">
        <f>IFERROR(__xludf.DUMMYFUNCTION("""COMPUTED_VALUE"""),41135.0)</f>
        <v>41135</v>
      </c>
      <c r="B3875" s="3" t="str">
        <f>IFERROR(__xludf.DUMMYFUNCTION("""COMPUTED_VALUE"""),"1869 STANTON RD")</f>
        <v>1869 STANTON RD</v>
      </c>
      <c r="C3875" s="3" t="str">
        <f>IFERROR(__xludf.DUMMYFUNCTION("""COMPUTED_VALUE"""),"COBOURG")</f>
        <v>COBOURG</v>
      </c>
      <c r="D3875" s="3" t="str">
        <f>IFERROR(__xludf.DUMMYFUNCTION("""COMPUTED_VALUE"""),"K9A 0S6")</f>
        <v>K9A 0S6</v>
      </c>
      <c r="E3875" s="3" t="str">
        <f>IFERROR(__xludf.DUMMYFUNCTION("""COMPUTED_VALUE"""),"brenda carter ")</f>
        <v>brenda carter </v>
      </c>
      <c r="F3875" s="3" t="str">
        <f>IFERROR(__xludf.DUMMYFUNCTION("""COMPUTED_VALUE"""),"carter5633@gmail.com")</f>
        <v>carter5633@gmail.com</v>
      </c>
      <c r="G3875" s="3">
        <f>IFERROR(__xludf.DUMMYFUNCTION("""COMPUTED_VALUE"""),9.053736599E9)</f>
        <v>9053736599</v>
      </c>
      <c r="H3875" s="3">
        <f>IFERROR(__xludf.DUMMYFUNCTION("""COMPUTED_VALUE"""),9.053732629E9)</f>
        <v>9053732629</v>
      </c>
    </row>
    <row r="3876">
      <c r="A3876" s="2">
        <f>IFERROR(__xludf.DUMMYFUNCTION("""COMPUTED_VALUE"""),41136.0)</f>
        <v>41136</v>
      </c>
      <c r="B3876" s="3" t="str">
        <f>IFERROR(__xludf.DUMMYFUNCTION("""COMPUTED_VALUE"""),"1885 STANTON RD")</f>
        <v>1885 STANTON RD</v>
      </c>
      <c r="C3876" s="3" t="str">
        <f>IFERROR(__xludf.DUMMYFUNCTION("""COMPUTED_VALUE"""),"COBOURG")</f>
        <v>COBOURG</v>
      </c>
      <c r="D3876" s="3" t="str">
        <f>IFERROR(__xludf.DUMMYFUNCTION("""COMPUTED_VALUE"""),"K9A 0S6")</f>
        <v>K9A 0S6</v>
      </c>
      <c r="E3876" s="3"/>
      <c r="F3876" s="3"/>
      <c r="G3876" s="3"/>
      <c r="H3876" s="3"/>
    </row>
    <row r="3877">
      <c r="A3877" s="2">
        <f>IFERROR(__xludf.DUMMYFUNCTION("""COMPUTED_VALUE"""),41137.0)</f>
        <v>41137</v>
      </c>
      <c r="B3877" s="3" t="str">
        <f>IFERROR(__xludf.DUMMYFUNCTION("""COMPUTED_VALUE"""),"1901 STANTON RD")</f>
        <v>1901 STANTON RD</v>
      </c>
      <c r="C3877" s="3" t="str">
        <f>IFERROR(__xludf.DUMMYFUNCTION("""COMPUTED_VALUE"""),"COBOURG")</f>
        <v>COBOURG</v>
      </c>
      <c r="D3877" s="3" t="str">
        <f>IFERROR(__xludf.DUMMYFUNCTION("""COMPUTED_VALUE"""),"K9A 0S6")</f>
        <v>K9A 0S6</v>
      </c>
      <c r="E3877" s="3"/>
      <c r="F3877" s="3"/>
      <c r="G3877" s="3"/>
      <c r="H3877" s="3"/>
    </row>
    <row r="3878">
      <c r="A3878" s="2">
        <f>IFERROR(__xludf.DUMMYFUNCTION("""COMPUTED_VALUE"""),41138.0)</f>
        <v>41138</v>
      </c>
      <c r="B3878" s="3" t="str">
        <f>IFERROR(__xludf.DUMMYFUNCTION("""COMPUTED_VALUE"""),"1909 STANTON RD")</f>
        <v>1909 STANTON RD</v>
      </c>
      <c r="C3878" s="3" t="str">
        <f>IFERROR(__xludf.DUMMYFUNCTION("""COMPUTED_VALUE"""),"COBOURG")</f>
        <v>COBOURG</v>
      </c>
      <c r="D3878" s="3" t="str">
        <f>IFERROR(__xludf.DUMMYFUNCTION("""COMPUTED_VALUE"""),"K9A 0S6")</f>
        <v>K9A 0S6</v>
      </c>
      <c r="E3878" s="3" t="str">
        <f>IFERROR(__xludf.DUMMYFUNCTION("""COMPUTED_VALUE"""),"DENNIS HOGARTH")</f>
        <v>DENNIS HOGARTH</v>
      </c>
      <c r="F3878" s="3" t="str">
        <f>IFERROR(__xludf.DUMMYFUNCTION("""COMPUTED_VALUE"""),"dchogarth@gmail.com")</f>
        <v>dchogarth@gmail.com</v>
      </c>
      <c r="G3878" s="3"/>
      <c r="H3878" s="3"/>
    </row>
    <row r="3879">
      <c r="A3879" s="2">
        <f>IFERROR(__xludf.DUMMYFUNCTION("""COMPUTED_VALUE"""),41139.0)</f>
        <v>41139</v>
      </c>
      <c r="B3879" s="3" t="str">
        <f>IFERROR(__xludf.DUMMYFUNCTION("""COMPUTED_VALUE"""),"1919 STANTON RD")</f>
        <v>1919 STANTON RD</v>
      </c>
      <c r="C3879" s="3" t="str">
        <f>IFERROR(__xludf.DUMMYFUNCTION("""COMPUTED_VALUE"""),"COBOURG")</f>
        <v>COBOURG</v>
      </c>
      <c r="D3879" s="3" t="str">
        <f>IFERROR(__xludf.DUMMYFUNCTION("""COMPUTED_VALUE"""),"K9A 0S6")</f>
        <v>K9A 0S6</v>
      </c>
      <c r="E3879" s="3" t="str">
        <f>IFERROR(__xludf.DUMMYFUNCTION("""COMPUTED_VALUE"""),"owen whately")</f>
        <v>owen whately</v>
      </c>
      <c r="F3879" s="3" t="str">
        <f>IFERROR(__xludf.DUMMYFUNCTION("""COMPUTED_VALUE"""),"owen.whately@gmail.com")</f>
        <v>owen.whately@gmail.com</v>
      </c>
      <c r="G3879" s="3">
        <f>IFERROR(__xludf.DUMMYFUNCTION("""COMPUTED_VALUE"""),9.052690124E9)</f>
        <v>9052690124</v>
      </c>
      <c r="H3879" s="3">
        <f>IFERROR(__xludf.DUMMYFUNCTION("""COMPUTED_VALUE"""),9.053969377E9)</f>
        <v>9053969377</v>
      </c>
    </row>
    <row r="3880">
      <c r="A3880" s="2">
        <f>IFERROR(__xludf.DUMMYFUNCTION("""COMPUTED_VALUE"""),41140.0)</f>
        <v>41140</v>
      </c>
      <c r="B3880" s="3" t="str">
        <f>IFERROR(__xludf.DUMMYFUNCTION("""COMPUTED_VALUE"""),"1939 STANTON RD")</f>
        <v>1939 STANTON RD</v>
      </c>
      <c r="C3880" s="3" t="str">
        <f>IFERROR(__xludf.DUMMYFUNCTION("""COMPUTED_VALUE"""),"COBOURG")</f>
        <v>COBOURG</v>
      </c>
      <c r="D3880" s="3" t="str">
        <f>IFERROR(__xludf.DUMMYFUNCTION("""COMPUTED_VALUE"""),"K9A 0S6")</f>
        <v>K9A 0S6</v>
      </c>
      <c r="E3880" s="3"/>
      <c r="F3880" s="3"/>
      <c r="G3880" s="3"/>
      <c r="H3880" s="3"/>
    </row>
    <row r="3881">
      <c r="A3881" s="2">
        <f>IFERROR(__xludf.DUMMYFUNCTION("""COMPUTED_VALUE"""),41141.0)</f>
        <v>41141</v>
      </c>
      <c r="B3881" s="3" t="str">
        <f>IFERROR(__xludf.DUMMYFUNCTION("""COMPUTED_VALUE"""),"1959 STANTON RD")</f>
        <v>1959 STANTON RD</v>
      </c>
      <c r="C3881" s="3" t="str">
        <f>IFERROR(__xludf.DUMMYFUNCTION("""COMPUTED_VALUE"""),"COBOURG")</f>
        <v>COBOURG</v>
      </c>
      <c r="D3881" s="3" t="str">
        <f>IFERROR(__xludf.DUMMYFUNCTION("""COMPUTED_VALUE"""),"K9A 0S6")</f>
        <v>K9A 0S6</v>
      </c>
      <c r="E3881" s="3"/>
      <c r="F3881" s="3"/>
      <c r="G3881" s="3"/>
      <c r="H3881" s="3"/>
    </row>
    <row r="3882">
      <c r="A3882" s="2">
        <f>IFERROR(__xludf.DUMMYFUNCTION("""COMPUTED_VALUE"""),41142.0)</f>
        <v>41142</v>
      </c>
      <c r="B3882" s="3" t="str">
        <f>IFERROR(__xludf.DUMMYFUNCTION("""COMPUTED_VALUE"""),"184 STATION RD")</f>
        <v>184 STATION RD</v>
      </c>
      <c r="C3882" s="3" t="str">
        <f>IFERROR(__xludf.DUMMYFUNCTION("""COMPUTED_VALUE"""),"GRAFTON ")</f>
        <v>GRAFTON </v>
      </c>
      <c r="D3882" s="3" t="str">
        <f>IFERROR(__xludf.DUMMYFUNCTION("""COMPUTED_VALUE"""),"K0K 2G0")</f>
        <v>K0K 2G0</v>
      </c>
      <c r="E3882" s="3"/>
      <c r="F3882" s="3"/>
      <c r="G3882" s="3"/>
      <c r="H3882" s="3"/>
    </row>
    <row r="3883">
      <c r="A3883" s="2">
        <f>IFERROR(__xludf.DUMMYFUNCTION("""COMPUTED_VALUE"""),41143.0)</f>
        <v>41143</v>
      </c>
      <c r="B3883" s="3" t="str">
        <f>IFERROR(__xludf.DUMMYFUNCTION("""COMPUTED_VALUE"""),"185 STATION RD")</f>
        <v>185 STATION RD</v>
      </c>
      <c r="C3883" s="3" t="str">
        <f>IFERROR(__xludf.DUMMYFUNCTION("""COMPUTED_VALUE"""),"GRAFTON ")</f>
        <v>GRAFTON </v>
      </c>
      <c r="D3883" s="3" t="str">
        <f>IFERROR(__xludf.DUMMYFUNCTION("""COMPUTED_VALUE"""),"K0K 2G0")</f>
        <v>K0K 2G0</v>
      </c>
      <c r="E3883" s="3" t="str">
        <f>IFERROR(__xludf.DUMMYFUNCTION("""COMPUTED_VALUE"""),"Kelley Turk")</f>
        <v>Kelley Turk</v>
      </c>
      <c r="F3883" s="3" t="str">
        <f>IFERROR(__xludf.DUMMYFUNCTION("""COMPUTED_VALUE"""),"kturk71@hotmail.com")</f>
        <v>kturk71@hotmail.com</v>
      </c>
      <c r="G3883" s="3"/>
      <c r="H3883" s="3"/>
    </row>
    <row r="3884">
      <c r="A3884" s="2">
        <f>IFERROR(__xludf.DUMMYFUNCTION("""COMPUTED_VALUE"""),41144.0)</f>
        <v>41144</v>
      </c>
      <c r="B3884" s="3" t="str">
        <f>IFERROR(__xludf.DUMMYFUNCTION("""COMPUTED_VALUE"""),"197 STATION RD")</f>
        <v>197 STATION RD</v>
      </c>
      <c r="C3884" s="3" t="str">
        <f>IFERROR(__xludf.DUMMYFUNCTION("""COMPUTED_VALUE"""),"GRAFTON ")</f>
        <v>GRAFTON </v>
      </c>
      <c r="D3884" s="3" t="str">
        <f>IFERROR(__xludf.DUMMYFUNCTION("""COMPUTED_VALUE"""),"K0K 2G0")</f>
        <v>K0K 2G0</v>
      </c>
      <c r="E3884" s="3" t="str">
        <f>IFERROR(__xludf.DUMMYFUNCTION("""COMPUTED_VALUE"""),"jason chiplick")</f>
        <v>jason chiplick</v>
      </c>
      <c r="F3884" s="3" t="str">
        <f>IFERROR(__xludf.DUMMYFUNCTION("""COMPUTED_VALUE"""),"ikechiplick@hotmail.com")</f>
        <v>ikechiplick@hotmail.com</v>
      </c>
      <c r="G3884" s="3">
        <f>IFERROR(__xludf.DUMMYFUNCTION("""COMPUTED_VALUE"""),2.898290663E9)</f>
        <v>2898290663</v>
      </c>
      <c r="H3884" s="3">
        <f>IFERROR(__xludf.DUMMYFUNCTION("""COMPUTED_VALUE"""),7.053050753E9)</f>
        <v>7053050753</v>
      </c>
    </row>
    <row r="3885">
      <c r="A3885" s="2">
        <f>IFERROR(__xludf.DUMMYFUNCTION("""COMPUTED_VALUE"""),41145.0)</f>
        <v>41145</v>
      </c>
      <c r="B3885" s="3" t="str">
        <f>IFERROR(__xludf.DUMMYFUNCTION("""COMPUTED_VALUE"""),"215 STATION RD")</f>
        <v>215 STATION RD</v>
      </c>
      <c r="C3885" s="3" t="str">
        <f>IFERROR(__xludf.DUMMYFUNCTION("""COMPUTED_VALUE"""),"GRAFTON ")</f>
        <v>GRAFTON </v>
      </c>
      <c r="D3885" s="3" t="str">
        <f>IFERROR(__xludf.DUMMYFUNCTION("""COMPUTED_VALUE"""),"K0K 2G0")</f>
        <v>K0K 2G0</v>
      </c>
      <c r="E3885" s="3" t="str">
        <f>IFERROR(__xludf.DUMMYFUNCTION("""COMPUTED_VALUE"""),"ruth and colin watson")</f>
        <v>ruth and colin watson</v>
      </c>
      <c r="F3885" s="3" t="str">
        <f>IFERROR(__xludf.DUMMYFUNCTION("""COMPUTED_VALUE"""),"watsoncr@bell.net")</f>
        <v>watsoncr@bell.net</v>
      </c>
      <c r="G3885" s="3">
        <f>IFERROR(__xludf.DUMMYFUNCTION("""COMPUTED_VALUE"""),2.892511209E9)</f>
        <v>2892511209</v>
      </c>
      <c r="H3885" s="3">
        <f>IFERROR(__xludf.DUMMYFUNCTION("""COMPUTED_VALUE"""),9.053492856E9)</f>
        <v>9053492856</v>
      </c>
    </row>
    <row r="3886">
      <c r="A3886" s="2">
        <f>IFERROR(__xludf.DUMMYFUNCTION("""COMPUTED_VALUE"""),41146.0)</f>
        <v>41146</v>
      </c>
      <c r="B3886" s="3" t="str">
        <f>IFERROR(__xludf.DUMMYFUNCTION("""COMPUTED_VALUE"""),"284 STATION RD")</f>
        <v>284 STATION RD</v>
      </c>
      <c r="C3886" s="3" t="str">
        <f>IFERROR(__xludf.DUMMYFUNCTION("""COMPUTED_VALUE"""),"GRAFTON ")</f>
        <v>GRAFTON </v>
      </c>
      <c r="D3886" s="3" t="str">
        <f>IFERROR(__xludf.DUMMYFUNCTION("""COMPUTED_VALUE"""),"K0K 2G0")</f>
        <v>K0K 2G0</v>
      </c>
      <c r="E3886" s="3" t="str">
        <f>IFERROR(__xludf.DUMMYFUNCTION("""COMPUTED_VALUE"""),"Dawn Spencer")</f>
        <v>Dawn Spencer</v>
      </c>
      <c r="F3886" s="3" t="str">
        <f>IFERROR(__xludf.DUMMYFUNCTION("""COMPUTED_VALUE"""),"dawneden.m@hotmail.com")</f>
        <v>dawneden.m@hotmail.com</v>
      </c>
      <c r="G3886" s="3">
        <f>IFERROR(__xludf.DUMMYFUNCTION("""COMPUTED_VALUE"""),9.053754489E9)</f>
        <v>9053754489</v>
      </c>
      <c r="H3886" s="3"/>
    </row>
    <row r="3887">
      <c r="A3887" s="2">
        <f>IFERROR(__xludf.DUMMYFUNCTION("""COMPUTED_VALUE"""),41147.0)</f>
        <v>41147</v>
      </c>
      <c r="B3887" s="3" t="str">
        <f>IFERROR(__xludf.DUMMYFUNCTION("""COMPUTED_VALUE"""),"308 STATION RD")</f>
        <v>308 STATION RD</v>
      </c>
      <c r="C3887" s="3" t="str">
        <f>IFERROR(__xludf.DUMMYFUNCTION("""COMPUTED_VALUE"""),"GRAFTON ")</f>
        <v>GRAFTON </v>
      </c>
      <c r="D3887" s="3" t="str">
        <f>IFERROR(__xludf.DUMMYFUNCTION("""COMPUTED_VALUE"""),"K0K 2G0")</f>
        <v>K0K 2G0</v>
      </c>
      <c r="E3887" s="3" t="str">
        <f>IFERROR(__xludf.DUMMYFUNCTION("""COMPUTED_VALUE"""),"DOUGLAS ROCK")</f>
        <v>DOUGLAS ROCK</v>
      </c>
      <c r="F3887" s="3" t="str">
        <f>IFERROR(__xludf.DUMMYFUNCTION("""COMPUTED_VALUE"""),"rock.douglas@live.com")</f>
        <v>rock.douglas@live.com</v>
      </c>
      <c r="G3887" s="3"/>
      <c r="H3887" s="3"/>
    </row>
    <row r="3888">
      <c r="A3888" s="2">
        <f>IFERROR(__xludf.DUMMYFUNCTION("""COMPUTED_VALUE"""),41148.0)</f>
        <v>41148</v>
      </c>
      <c r="B3888" s="3" t="str">
        <f>IFERROR(__xludf.DUMMYFUNCTION("""COMPUTED_VALUE"""),"312 STATION RD")</f>
        <v>312 STATION RD</v>
      </c>
      <c r="C3888" s="3" t="str">
        <f>IFERROR(__xludf.DUMMYFUNCTION("""COMPUTED_VALUE"""),"GRAFTON ")</f>
        <v>GRAFTON </v>
      </c>
      <c r="D3888" s="3" t="str">
        <f>IFERROR(__xludf.DUMMYFUNCTION("""COMPUTED_VALUE"""),"K0K 2G0")</f>
        <v>K0K 2G0</v>
      </c>
      <c r="E3888" s="3"/>
      <c r="F3888" s="3"/>
      <c r="G3888" s="3"/>
      <c r="H3888" s="3"/>
    </row>
    <row r="3889">
      <c r="A3889" s="2">
        <f>IFERROR(__xludf.DUMMYFUNCTION("""COMPUTED_VALUE"""),41149.0)</f>
        <v>41149</v>
      </c>
      <c r="B3889" s="3" t="str">
        <f>IFERROR(__xludf.DUMMYFUNCTION("""COMPUTED_VALUE"""),"448 STATION RD")</f>
        <v>448 STATION RD</v>
      </c>
      <c r="C3889" s="3" t="str">
        <f>IFERROR(__xludf.DUMMYFUNCTION("""COMPUTED_VALUE"""),"GRAFTON ")</f>
        <v>GRAFTON </v>
      </c>
      <c r="D3889" s="3" t="str">
        <f>IFERROR(__xludf.DUMMYFUNCTION("""COMPUTED_VALUE"""),"K0K 2G0")</f>
        <v>K0K 2G0</v>
      </c>
      <c r="E3889" s="3"/>
      <c r="F3889" s="3"/>
      <c r="G3889" s="3"/>
      <c r="H3889" s="3"/>
    </row>
    <row r="3890">
      <c r="A3890" s="2">
        <f>IFERROR(__xludf.DUMMYFUNCTION("""COMPUTED_VALUE"""),41150.0)</f>
        <v>41150</v>
      </c>
      <c r="B3890" s="3" t="str">
        <f>IFERROR(__xludf.DUMMYFUNCTION("""COMPUTED_VALUE"""),"474 STATION RD")</f>
        <v>474 STATION RD</v>
      </c>
      <c r="C3890" s="3" t="str">
        <f>IFERROR(__xludf.DUMMYFUNCTION("""COMPUTED_VALUE"""),"GRAFTON ")</f>
        <v>GRAFTON </v>
      </c>
      <c r="D3890" s="3" t="str">
        <f>IFERROR(__xludf.DUMMYFUNCTION("""COMPUTED_VALUE"""),"K0K 2G0")</f>
        <v>K0K 2G0</v>
      </c>
      <c r="E3890" s="3" t="str">
        <f>IFERROR(__xludf.DUMMYFUNCTION("""COMPUTED_VALUE"""),"jose echeverria")</f>
        <v>jose echeverria</v>
      </c>
      <c r="F3890" s="3" t="str">
        <f>IFERROR(__xludf.DUMMYFUNCTION("""COMPUTED_VALUE"""),"05052012@gmail.com")</f>
        <v>05052012@gmail.com</v>
      </c>
      <c r="G3890" s="3"/>
      <c r="H3890" s="3"/>
    </row>
    <row r="3891">
      <c r="A3891" s="2">
        <f>IFERROR(__xludf.DUMMYFUNCTION("""COMPUTED_VALUE"""),41151.0)</f>
        <v>41151</v>
      </c>
      <c r="B3891" s="3" t="str">
        <f>IFERROR(__xludf.DUMMYFUNCTION("""COMPUTED_VALUE"""),"484 STATION RD")</f>
        <v>484 STATION RD</v>
      </c>
      <c r="C3891" s="3" t="str">
        <f>IFERROR(__xludf.DUMMYFUNCTION("""COMPUTED_VALUE"""),"GRAFTON ")</f>
        <v>GRAFTON </v>
      </c>
      <c r="D3891" s="3" t="str">
        <f>IFERROR(__xludf.DUMMYFUNCTION("""COMPUTED_VALUE"""),"K0K 2G0")</f>
        <v>K0K 2G0</v>
      </c>
      <c r="E3891" s="3"/>
      <c r="F3891" s="3"/>
      <c r="G3891" s="3"/>
      <c r="H3891" s="3"/>
    </row>
    <row r="3892">
      <c r="A3892" s="2">
        <f>IFERROR(__xludf.DUMMYFUNCTION("""COMPUTED_VALUE"""),41152.0)</f>
        <v>41152</v>
      </c>
      <c r="B3892" s="3" t="str">
        <f>IFERROR(__xludf.DUMMYFUNCTION("""COMPUTED_VALUE"""),"500 STATION RD")</f>
        <v>500 STATION RD</v>
      </c>
      <c r="C3892" s="3" t="str">
        <f>IFERROR(__xludf.DUMMYFUNCTION("""COMPUTED_VALUE"""),"GRAFTON ")</f>
        <v>GRAFTON </v>
      </c>
      <c r="D3892" s="3" t="str">
        <f>IFERROR(__xludf.DUMMYFUNCTION("""COMPUTED_VALUE"""),"K0K 2G0")</f>
        <v>K0K 2G0</v>
      </c>
      <c r="E3892" s="3"/>
      <c r="F3892" s="3"/>
      <c r="G3892" s="3"/>
      <c r="H3892" s="3"/>
    </row>
    <row r="3893">
      <c r="A3893" s="2">
        <f>IFERROR(__xludf.DUMMYFUNCTION("""COMPUTED_VALUE"""),41153.0)</f>
        <v>41153</v>
      </c>
      <c r="B3893" s="3" t="str">
        <f>IFERROR(__xludf.DUMMYFUNCTION("""COMPUTED_VALUE"""),"507 STATION RD")</f>
        <v>507 STATION RD</v>
      </c>
      <c r="C3893" s="3" t="str">
        <f>IFERROR(__xludf.DUMMYFUNCTION("""COMPUTED_VALUE"""),"GRAFTON ")</f>
        <v>GRAFTON </v>
      </c>
      <c r="D3893" s="3" t="str">
        <f>IFERROR(__xludf.DUMMYFUNCTION("""COMPUTED_VALUE"""),"K0K 2G0")</f>
        <v>K0K 2G0</v>
      </c>
      <c r="E3893" s="3" t="str">
        <f>IFERROR(__xludf.DUMMYFUNCTION("""COMPUTED_VALUE"""),"kelley hall ")</f>
        <v>kelley hall </v>
      </c>
      <c r="F3893" s="3" t="str">
        <f>IFERROR(__xludf.DUMMYFUNCTION("""COMPUTED_VALUE"""),"kelleyhall1@outlook.com")</f>
        <v>kelleyhall1@outlook.com</v>
      </c>
      <c r="G3893" s="3">
        <f>IFERROR(__xludf.DUMMYFUNCTION("""COMPUTED_VALUE"""),9.053492936E9)</f>
        <v>9053492936</v>
      </c>
      <c r="H3893" s="3"/>
    </row>
    <row r="3894">
      <c r="A3894" s="2">
        <f>IFERROR(__xludf.DUMMYFUNCTION("""COMPUTED_VALUE"""),41154.0)</f>
        <v>41154</v>
      </c>
      <c r="B3894" s="3" t="str">
        <f>IFERROR(__xludf.DUMMYFUNCTION("""COMPUTED_VALUE"""),"510 STATION RD")</f>
        <v>510 STATION RD</v>
      </c>
      <c r="C3894" s="3" t="str">
        <f>IFERROR(__xludf.DUMMYFUNCTION("""COMPUTED_VALUE"""),"GRAFTON ")</f>
        <v>GRAFTON </v>
      </c>
      <c r="D3894" s="3" t="str">
        <f>IFERROR(__xludf.DUMMYFUNCTION("""COMPUTED_VALUE"""),"K0K 2G0")</f>
        <v>K0K 2G0</v>
      </c>
      <c r="E3894" s="3"/>
      <c r="F3894" s="3"/>
      <c r="G3894" s="3"/>
      <c r="H3894" s="3"/>
    </row>
    <row r="3895">
      <c r="A3895" s="2">
        <f>IFERROR(__xludf.DUMMYFUNCTION("""COMPUTED_VALUE"""),41155.0)</f>
        <v>41155</v>
      </c>
      <c r="B3895" s="3" t="str">
        <f>IFERROR(__xludf.DUMMYFUNCTION("""COMPUTED_VALUE"""),"516 STATION RD")</f>
        <v>516 STATION RD</v>
      </c>
      <c r="C3895" s="3" t="str">
        <f>IFERROR(__xludf.DUMMYFUNCTION("""COMPUTED_VALUE"""),"GRAFTON ")</f>
        <v>GRAFTON </v>
      </c>
      <c r="D3895" s="3" t="str">
        <f>IFERROR(__xludf.DUMMYFUNCTION("""COMPUTED_VALUE"""),"K0K 2G0")</f>
        <v>K0K 2G0</v>
      </c>
      <c r="E3895" s="3"/>
      <c r="F3895" s="3"/>
      <c r="G3895" s="3"/>
      <c r="H3895" s="3"/>
    </row>
    <row r="3896">
      <c r="A3896" s="2">
        <f>IFERROR(__xludf.DUMMYFUNCTION("""COMPUTED_VALUE"""),41156.0)</f>
        <v>41156</v>
      </c>
      <c r="B3896" s="3" t="str">
        <f>IFERROR(__xludf.DUMMYFUNCTION("""COMPUTED_VALUE"""),"577 STATION RD")</f>
        <v>577 STATION RD</v>
      </c>
      <c r="C3896" s="3" t="str">
        <f>IFERROR(__xludf.DUMMYFUNCTION("""COMPUTED_VALUE"""),"GRAFTON ")</f>
        <v>GRAFTON </v>
      </c>
      <c r="D3896" s="3" t="str">
        <f>IFERROR(__xludf.DUMMYFUNCTION("""COMPUTED_VALUE"""),"K0K 2G0")</f>
        <v>K0K 2G0</v>
      </c>
      <c r="E3896" s="3" t="str">
        <f>IFERROR(__xludf.DUMMYFUNCTION("""COMPUTED_VALUE"""),"connie stuckless")</f>
        <v>connie stuckless</v>
      </c>
      <c r="F3896" s="3"/>
      <c r="G3896" s="3">
        <f>IFERROR(__xludf.DUMMYFUNCTION("""COMPUTED_VALUE"""),9.0534999777E10)</f>
        <v>90534999777</v>
      </c>
      <c r="H3896" s="3"/>
    </row>
    <row r="3897">
      <c r="A3897" s="2">
        <f>IFERROR(__xludf.DUMMYFUNCTION("""COMPUTED_VALUE"""),41157.0)</f>
        <v>41157</v>
      </c>
      <c r="B3897" s="3" t="str">
        <f>IFERROR(__xludf.DUMMYFUNCTION("""COMPUTED_VALUE"""),"593 STATION RD")</f>
        <v>593 STATION RD</v>
      </c>
      <c r="C3897" s="3" t="str">
        <f>IFERROR(__xludf.DUMMYFUNCTION("""COMPUTED_VALUE"""),"GRAFTON ")</f>
        <v>GRAFTON </v>
      </c>
      <c r="D3897" s="3" t="str">
        <f>IFERROR(__xludf.DUMMYFUNCTION("""COMPUTED_VALUE"""),"K0K 2G0")</f>
        <v>K0K 2G0</v>
      </c>
      <c r="E3897" s="3" t="str">
        <f>IFERROR(__xludf.DUMMYFUNCTION("""COMPUTED_VALUE"""),"Colin Basinger")</f>
        <v>Colin Basinger</v>
      </c>
      <c r="F3897" s="3" t="str">
        <f>IFERROR(__xludf.DUMMYFUNCTION("""COMPUTED_VALUE"""),"colinbasinger@msn.comm")</f>
        <v>colinbasinger@msn.comm</v>
      </c>
      <c r="G3897" s="3"/>
      <c r="H3897" s="3"/>
    </row>
    <row r="3898">
      <c r="A3898" s="2">
        <f>IFERROR(__xludf.DUMMYFUNCTION("""COMPUTED_VALUE"""),41158.0)</f>
        <v>41158</v>
      </c>
      <c r="B3898" s="3" t="str">
        <f>IFERROR(__xludf.DUMMYFUNCTION("""COMPUTED_VALUE"""),"597 STATION RD")</f>
        <v>597 STATION RD</v>
      </c>
      <c r="C3898" s="3" t="str">
        <f>IFERROR(__xludf.DUMMYFUNCTION("""COMPUTED_VALUE"""),"GRAFTON ")</f>
        <v>GRAFTON </v>
      </c>
      <c r="D3898" s="3" t="str">
        <f>IFERROR(__xludf.DUMMYFUNCTION("""COMPUTED_VALUE"""),"K0K 2G0")</f>
        <v>K0K 2G0</v>
      </c>
      <c r="E3898" s="3" t="str">
        <f>IFERROR(__xludf.DUMMYFUNCTION("""COMPUTED_VALUE"""),"Nichol Moore")</f>
        <v>Nichol Moore</v>
      </c>
      <c r="F3898" s="3" t="str">
        <f>IFERROR(__xludf.DUMMYFUNCTION("""COMPUTED_VALUE"""),"knicholmoore@yahoo.ca")</f>
        <v>knicholmoore@yahoo.ca</v>
      </c>
      <c r="G3898" s="3">
        <f>IFERROR(__xludf.DUMMYFUNCTION("""COMPUTED_VALUE"""),9.059254755E9)</f>
        <v>9059254755</v>
      </c>
      <c r="H3898" s="3">
        <f>IFERROR(__xludf.DUMMYFUNCTION("""COMPUTED_VALUE"""),6.472421126E9)</f>
        <v>6472421126</v>
      </c>
    </row>
    <row r="3899">
      <c r="A3899" s="2">
        <f>IFERROR(__xludf.DUMMYFUNCTION("""COMPUTED_VALUE"""),41159.0)</f>
        <v>41159</v>
      </c>
      <c r="B3899" s="3" t="str">
        <f>IFERROR(__xludf.DUMMYFUNCTION("""COMPUTED_VALUE"""),"601 STATION RD")</f>
        <v>601 STATION RD</v>
      </c>
      <c r="C3899" s="3" t="str">
        <f>IFERROR(__xludf.DUMMYFUNCTION("""COMPUTED_VALUE"""),"GRAFTON ")</f>
        <v>GRAFTON </v>
      </c>
      <c r="D3899" s="3" t="str">
        <f>IFERROR(__xludf.DUMMYFUNCTION("""COMPUTED_VALUE"""),"K0K 2G0")</f>
        <v>K0K 2G0</v>
      </c>
      <c r="E3899" s="3"/>
      <c r="F3899" s="3"/>
      <c r="G3899" s="3"/>
      <c r="H3899" s="3"/>
    </row>
    <row r="3900">
      <c r="A3900" s="2">
        <f>IFERROR(__xludf.DUMMYFUNCTION("""COMPUTED_VALUE"""),41160.0)</f>
        <v>41160</v>
      </c>
      <c r="B3900" s="3" t="str">
        <f>IFERROR(__xludf.DUMMYFUNCTION("""COMPUTED_VALUE"""),"605 STATION RD")</f>
        <v>605 STATION RD</v>
      </c>
      <c r="C3900" s="3" t="str">
        <f>IFERROR(__xludf.DUMMYFUNCTION("""COMPUTED_VALUE"""),"GRAFTON ")</f>
        <v>GRAFTON </v>
      </c>
      <c r="D3900" s="3" t="str">
        <f>IFERROR(__xludf.DUMMYFUNCTION("""COMPUTED_VALUE"""),"K0K 2G0")</f>
        <v>K0K 2G0</v>
      </c>
      <c r="E3900" s="3" t="str">
        <f>IFERROR(__xludf.DUMMYFUNCTION("""COMPUTED_VALUE"""),"cheryl and robert price ")</f>
        <v>cheryl and robert price </v>
      </c>
      <c r="F3900" s="3" t="str">
        <f>IFERROR(__xludf.DUMMYFUNCTION("""COMPUTED_VALUE"""),"cherylspinot@gmail.com")</f>
        <v>cherylspinot@gmail.com</v>
      </c>
      <c r="G3900" s="3">
        <f>IFERROR(__xludf.DUMMYFUNCTION("""COMPUTED_VALUE"""),9.05260169E9)</f>
        <v>9052601690</v>
      </c>
      <c r="H3900" s="3"/>
    </row>
    <row r="3901">
      <c r="A3901" s="2">
        <f>IFERROR(__xludf.DUMMYFUNCTION("""COMPUTED_VALUE"""),41161.0)</f>
        <v>41161</v>
      </c>
      <c r="B3901" s="3" t="str">
        <f>IFERROR(__xludf.DUMMYFUNCTION("""COMPUTED_VALUE"""),"617 STATION RD")</f>
        <v>617 STATION RD</v>
      </c>
      <c r="C3901" s="3" t="str">
        <f>IFERROR(__xludf.DUMMYFUNCTION("""COMPUTED_VALUE"""),"GRAFTON ")</f>
        <v>GRAFTON </v>
      </c>
      <c r="D3901" s="3" t="str">
        <f>IFERROR(__xludf.DUMMYFUNCTION("""COMPUTED_VALUE"""),"K0K 2G0")</f>
        <v>K0K 2G0</v>
      </c>
      <c r="E3901" s="3"/>
      <c r="F3901" s="3"/>
      <c r="G3901" s="3"/>
      <c r="H3901" s="3"/>
    </row>
    <row r="3902">
      <c r="A3902" s="2">
        <f>IFERROR(__xludf.DUMMYFUNCTION("""COMPUTED_VALUE"""),41162.0)</f>
        <v>41162</v>
      </c>
      <c r="B3902" s="3" t="str">
        <f>IFERROR(__xludf.DUMMYFUNCTION("""COMPUTED_VALUE"""),"625 STATION RD")</f>
        <v>625 STATION RD</v>
      </c>
      <c r="C3902" s="3" t="str">
        <f>IFERROR(__xludf.DUMMYFUNCTION("""COMPUTED_VALUE"""),"GRAFTON ")</f>
        <v>GRAFTON </v>
      </c>
      <c r="D3902" s="3" t="str">
        <f>IFERROR(__xludf.DUMMYFUNCTION("""COMPUTED_VALUE"""),"K0K 2G0")</f>
        <v>K0K 2G0</v>
      </c>
      <c r="E3902" s="3" t="str">
        <f>IFERROR(__xludf.DUMMYFUNCTION("""COMPUTED_VALUE"""),"dayna and andrew paterson")</f>
        <v>dayna and andrew paterson</v>
      </c>
      <c r="F3902" s="3" t="str">
        <f>IFERROR(__xludf.DUMMYFUNCTION("""COMPUTED_VALUE"""),"dpaterson2010@hotmail.com")</f>
        <v>dpaterson2010@hotmail.com</v>
      </c>
      <c r="G3902" s="3">
        <f>IFERROR(__xludf.DUMMYFUNCTION("""COMPUTED_VALUE"""),9.053752511E9)</f>
        <v>9053752511</v>
      </c>
      <c r="H3902" s="3"/>
    </row>
    <row r="3903">
      <c r="A3903" s="2">
        <f>IFERROR(__xludf.DUMMYFUNCTION("""COMPUTED_VALUE"""),41163.0)</f>
        <v>41163</v>
      </c>
      <c r="B3903" s="3" t="str">
        <f>IFERROR(__xludf.DUMMYFUNCTION("""COMPUTED_VALUE"""),"636 STATION RD")</f>
        <v>636 STATION RD</v>
      </c>
      <c r="C3903" s="3" t="str">
        <f>IFERROR(__xludf.DUMMYFUNCTION("""COMPUTED_VALUE"""),"GRAFTON ")</f>
        <v>GRAFTON </v>
      </c>
      <c r="D3903" s="3" t="str">
        <f>IFERROR(__xludf.DUMMYFUNCTION("""COMPUTED_VALUE"""),"K0K 2G0")</f>
        <v>K0K 2G0</v>
      </c>
      <c r="E3903" s="3"/>
      <c r="F3903" s="3"/>
      <c r="G3903" s="3"/>
      <c r="H3903" s="3"/>
    </row>
    <row r="3904">
      <c r="A3904" s="2">
        <f>IFERROR(__xludf.DUMMYFUNCTION("""COMPUTED_VALUE"""),41164.0)</f>
        <v>41164</v>
      </c>
      <c r="B3904" s="3" t="str">
        <f>IFERROR(__xludf.DUMMYFUNCTION("""COMPUTED_VALUE"""),"640 STATION RD")</f>
        <v>640 STATION RD</v>
      </c>
      <c r="C3904" s="3" t="str">
        <f>IFERROR(__xludf.DUMMYFUNCTION("""COMPUTED_VALUE"""),"GRAFTON ")</f>
        <v>GRAFTON </v>
      </c>
      <c r="D3904" s="3" t="str">
        <f>IFERROR(__xludf.DUMMYFUNCTION("""COMPUTED_VALUE"""),"K0K 2G0")</f>
        <v>K0K 2G0</v>
      </c>
      <c r="E3904" s="3"/>
      <c r="F3904" s="3"/>
      <c r="G3904" s="3"/>
      <c r="H3904" s="3"/>
    </row>
    <row r="3905">
      <c r="A3905" s="2">
        <f>IFERROR(__xludf.DUMMYFUNCTION("""COMPUTED_VALUE"""),41165.0)</f>
        <v>41165</v>
      </c>
      <c r="B3905" s="3" t="str">
        <f>IFERROR(__xludf.DUMMYFUNCTION("""COMPUTED_VALUE"""),"644 STATION RD")</f>
        <v>644 STATION RD</v>
      </c>
      <c r="C3905" s="3" t="str">
        <f>IFERROR(__xludf.DUMMYFUNCTION("""COMPUTED_VALUE"""),"GRAFTON ")</f>
        <v>GRAFTON </v>
      </c>
      <c r="D3905" s="3" t="str">
        <f>IFERROR(__xludf.DUMMYFUNCTION("""COMPUTED_VALUE"""),"K0K 2G0")</f>
        <v>K0K 2G0</v>
      </c>
      <c r="E3905" s="3"/>
      <c r="F3905" s="3"/>
      <c r="G3905" s="3"/>
      <c r="H3905" s="3"/>
    </row>
    <row r="3906">
      <c r="A3906" s="2">
        <f>IFERROR(__xludf.DUMMYFUNCTION("""COMPUTED_VALUE"""),41166.0)</f>
        <v>41166</v>
      </c>
      <c r="B3906" s="3" t="str">
        <f>IFERROR(__xludf.DUMMYFUNCTION("""COMPUTED_VALUE"""),"648 STATION RD")</f>
        <v>648 STATION RD</v>
      </c>
      <c r="C3906" s="3" t="str">
        <f>IFERROR(__xludf.DUMMYFUNCTION("""COMPUTED_VALUE"""),"GRAFTON ")</f>
        <v>GRAFTON </v>
      </c>
      <c r="D3906" s="3" t="str">
        <f>IFERROR(__xludf.DUMMYFUNCTION("""COMPUTED_VALUE"""),"K0K 2G0")</f>
        <v>K0K 2G0</v>
      </c>
      <c r="E3906" s="3"/>
      <c r="F3906" s="3"/>
      <c r="G3906" s="3"/>
      <c r="H3906" s="3"/>
    </row>
    <row r="3907">
      <c r="A3907" s="2">
        <f>IFERROR(__xludf.DUMMYFUNCTION("""COMPUTED_VALUE"""),41167.0)</f>
        <v>41167</v>
      </c>
      <c r="B3907" s="3" t="str">
        <f>IFERROR(__xludf.DUMMYFUNCTION("""COMPUTED_VALUE"""),"654 STATION RD")</f>
        <v>654 STATION RD</v>
      </c>
      <c r="C3907" s="3" t="str">
        <f>IFERROR(__xludf.DUMMYFUNCTION("""COMPUTED_VALUE"""),"GRAFTON ")</f>
        <v>GRAFTON </v>
      </c>
      <c r="D3907" s="3" t="str">
        <f>IFERROR(__xludf.DUMMYFUNCTION("""COMPUTED_VALUE"""),"K0K 2G0")</f>
        <v>K0K 2G0</v>
      </c>
      <c r="E3907" s="3"/>
      <c r="F3907" s="3"/>
      <c r="G3907" s="3"/>
      <c r="H3907" s="3"/>
    </row>
    <row r="3908">
      <c r="A3908" s="2">
        <f>IFERROR(__xludf.DUMMYFUNCTION("""COMPUTED_VALUE"""),41168.0)</f>
        <v>41168</v>
      </c>
      <c r="B3908" s="3" t="str">
        <f>IFERROR(__xludf.DUMMYFUNCTION("""COMPUTED_VALUE"""),"655 STATION RD")</f>
        <v>655 STATION RD</v>
      </c>
      <c r="C3908" s="3" t="str">
        <f>IFERROR(__xludf.DUMMYFUNCTION("""COMPUTED_VALUE"""),"GRAFTON ")</f>
        <v>GRAFTON </v>
      </c>
      <c r="D3908" s="3" t="str">
        <f>IFERROR(__xludf.DUMMYFUNCTION("""COMPUTED_VALUE"""),"K0K 2G0")</f>
        <v>K0K 2G0</v>
      </c>
      <c r="E3908" s="3" t="str">
        <f>IFERROR(__xludf.DUMMYFUNCTION("""COMPUTED_VALUE"""),"kirsten cooper ")</f>
        <v>kirsten cooper </v>
      </c>
      <c r="F3908" s="3" t="str">
        <f>IFERROR(__xludf.DUMMYFUNCTION("""COMPUTED_VALUE"""),"ksalzy123@gmail.com")</f>
        <v>ksalzy123@gmail.com</v>
      </c>
      <c r="G3908" s="3">
        <f>IFERROR(__xludf.DUMMYFUNCTION("""COMPUTED_VALUE"""),9.053492142E9)</f>
        <v>9053492142</v>
      </c>
      <c r="H3908" s="3">
        <f>IFERROR(__xludf.DUMMYFUNCTION("""COMPUTED_VALUE"""),9.053764337E9)</f>
        <v>9053764337</v>
      </c>
    </row>
    <row r="3909">
      <c r="A3909" s="2">
        <f>IFERROR(__xludf.DUMMYFUNCTION("""COMPUTED_VALUE"""),41169.0)</f>
        <v>41169</v>
      </c>
      <c r="B3909" s="3" t="str">
        <f>IFERROR(__xludf.DUMMYFUNCTION("""COMPUTED_VALUE"""),"660 STATION RD")</f>
        <v>660 STATION RD</v>
      </c>
      <c r="C3909" s="3" t="str">
        <f>IFERROR(__xludf.DUMMYFUNCTION("""COMPUTED_VALUE"""),"GRAFTON ")</f>
        <v>GRAFTON </v>
      </c>
      <c r="D3909" s="3" t="str">
        <f>IFERROR(__xludf.DUMMYFUNCTION("""COMPUTED_VALUE"""),"K0K 2G0")</f>
        <v>K0K 2G0</v>
      </c>
      <c r="E3909" s="3"/>
      <c r="F3909" s="3"/>
      <c r="G3909" s="3"/>
      <c r="H3909" s="3"/>
    </row>
    <row r="3910">
      <c r="A3910" s="2">
        <f>IFERROR(__xludf.DUMMYFUNCTION("""COMPUTED_VALUE"""),41170.0)</f>
        <v>41170</v>
      </c>
      <c r="B3910" s="3" t="str">
        <f>IFERROR(__xludf.DUMMYFUNCTION("""COMPUTED_VALUE"""),"667 STATION RD")</f>
        <v>667 STATION RD</v>
      </c>
      <c r="C3910" s="3" t="str">
        <f>IFERROR(__xludf.DUMMYFUNCTION("""COMPUTED_VALUE"""),"GRAFTON ")</f>
        <v>GRAFTON </v>
      </c>
      <c r="D3910" s="3" t="str">
        <f>IFERROR(__xludf.DUMMYFUNCTION("""COMPUTED_VALUE"""),"K0K 2G0")</f>
        <v>K0K 2G0</v>
      </c>
      <c r="E3910" s="3"/>
      <c r="F3910" s="3"/>
      <c r="G3910" s="3"/>
      <c r="H3910" s="3"/>
    </row>
    <row r="3911">
      <c r="A3911" s="2">
        <f>IFERROR(__xludf.DUMMYFUNCTION("""COMPUTED_VALUE"""),41171.0)</f>
        <v>41171</v>
      </c>
      <c r="B3911" s="3" t="str">
        <f>IFERROR(__xludf.DUMMYFUNCTION("""COMPUTED_VALUE"""),"668 STATION RD")</f>
        <v>668 STATION RD</v>
      </c>
      <c r="C3911" s="3" t="str">
        <f>IFERROR(__xludf.DUMMYFUNCTION("""COMPUTED_VALUE"""),"GRAFTON ")</f>
        <v>GRAFTON </v>
      </c>
      <c r="D3911" s="3" t="str">
        <f>IFERROR(__xludf.DUMMYFUNCTION("""COMPUTED_VALUE"""),"K0K 2G0")</f>
        <v>K0K 2G0</v>
      </c>
      <c r="E3911" s="3"/>
      <c r="F3911" s="3"/>
      <c r="G3911" s="3"/>
      <c r="H3911" s="3"/>
    </row>
    <row r="3912">
      <c r="A3912" s="2">
        <f>IFERROR(__xludf.DUMMYFUNCTION("""COMPUTED_VALUE"""),41172.0)</f>
        <v>41172</v>
      </c>
      <c r="B3912" s="3" t="str">
        <f>IFERROR(__xludf.DUMMYFUNCTION("""COMPUTED_VALUE"""),"674 STATION RD")</f>
        <v>674 STATION RD</v>
      </c>
      <c r="C3912" s="3" t="str">
        <f>IFERROR(__xludf.DUMMYFUNCTION("""COMPUTED_VALUE"""),"GRAFTON ")</f>
        <v>GRAFTON </v>
      </c>
      <c r="D3912" s="3" t="str">
        <f>IFERROR(__xludf.DUMMYFUNCTION("""COMPUTED_VALUE"""),"K0K 2G0")</f>
        <v>K0K 2G0</v>
      </c>
      <c r="E3912" s="3"/>
      <c r="F3912" s="3"/>
      <c r="G3912" s="3"/>
      <c r="H3912" s="3"/>
    </row>
    <row r="3913">
      <c r="A3913" s="2">
        <f>IFERROR(__xludf.DUMMYFUNCTION("""COMPUTED_VALUE"""),41173.0)</f>
        <v>41173</v>
      </c>
      <c r="B3913" s="3" t="str">
        <f>IFERROR(__xludf.DUMMYFUNCTION("""COMPUTED_VALUE"""),"685 STATION RD")</f>
        <v>685 STATION RD</v>
      </c>
      <c r="C3913" s="3" t="str">
        <f>IFERROR(__xludf.DUMMYFUNCTION("""COMPUTED_VALUE"""),"GRAFTON ")</f>
        <v>GRAFTON </v>
      </c>
      <c r="D3913" s="3" t="str">
        <f>IFERROR(__xludf.DUMMYFUNCTION("""COMPUTED_VALUE"""),"K0K 2G0")</f>
        <v>K0K 2G0</v>
      </c>
      <c r="E3913" s="3" t="str">
        <f>IFERROR(__xludf.DUMMYFUNCTION("""COMPUTED_VALUE"""),"cora williams ")</f>
        <v>cora williams </v>
      </c>
      <c r="F3913" s="3" t="str">
        <f>IFERROR(__xludf.DUMMYFUNCTION("""COMPUTED_VALUE"""),"hopeswl_202@hotmail.com")</f>
        <v>hopeswl_202@hotmail.com</v>
      </c>
      <c r="G3913" s="3">
        <f>IFERROR(__xludf.DUMMYFUNCTION("""COMPUTED_VALUE"""),9.052698637E9)</f>
        <v>9052698637</v>
      </c>
      <c r="H3913" s="3"/>
    </row>
    <row r="3914">
      <c r="A3914" s="2">
        <f>IFERROR(__xludf.DUMMYFUNCTION("""COMPUTED_VALUE"""),41174.0)</f>
        <v>41174</v>
      </c>
      <c r="B3914" s="3" t="str">
        <f>IFERROR(__xludf.DUMMYFUNCTION("""COMPUTED_VALUE"""),"693 STATION RD")</f>
        <v>693 STATION RD</v>
      </c>
      <c r="C3914" s="3" t="str">
        <f>IFERROR(__xludf.DUMMYFUNCTION("""COMPUTED_VALUE"""),"GRAFTON ")</f>
        <v>GRAFTON </v>
      </c>
      <c r="D3914" s="3" t="str">
        <f>IFERROR(__xludf.DUMMYFUNCTION("""COMPUTED_VALUE"""),"K0K 2G0")</f>
        <v>K0K 2G0</v>
      </c>
      <c r="E3914" s="3"/>
      <c r="F3914" s="3"/>
      <c r="G3914" s="3"/>
      <c r="H3914" s="3"/>
    </row>
    <row r="3915">
      <c r="A3915" s="2">
        <f>IFERROR(__xludf.DUMMYFUNCTION("""COMPUTED_VALUE"""),41175.0)</f>
        <v>41175</v>
      </c>
      <c r="B3915" s="3" t="str">
        <f>IFERROR(__xludf.DUMMYFUNCTION("""COMPUTED_VALUE"""),"696 STATION RD")</f>
        <v>696 STATION RD</v>
      </c>
      <c r="C3915" s="3" t="str">
        <f>IFERROR(__xludf.DUMMYFUNCTION("""COMPUTED_VALUE"""),"GRAFTON ")</f>
        <v>GRAFTON </v>
      </c>
      <c r="D3915" s="3" t="str">
        <f>IFERROR(__xludf.DUMMYFUNCTION("""COMPUTED_VALUE"""),"K0K 2G0")</f>
        <v>K0K 2G0</v>
      </c>
      <c r="E3915" s="3"/>
      <c r="F3915" s="3"/>
      <c r="G3915" s="3"/>
      <c r="H3915" s="3"/>
    </row>
    <row r="3916">
      <c r="A3916" s="2">
        <f>IFERROR(__xludf.DUMMYFUNCTION("""COMPUTED_VALUE"""),41176.0)</f>
        <v>41176</v>
      </c>
      <c r="B3916" s="3" t="str">
        <f>IFERROR(__xludf.DUMMYFUNCTION("""COMPUTED_VALUE"""),"701 STATION RD")</f>
        <v>701 STATION RD</v>
      </c>
      <c r="C3916" s="3" t="str">
        <f>IFERROR(__xludf.DUMMYFUNCTION("""COMPUTED_VALUE"""),"GRAFTON ")</f>
        <v>GRAFTON </v>
      </c>
      <c r="D3916" s="3" t="str">
        <f>IFERROR(__xludf.DUMMYFUNCTION("""COMPUTED_VALUE"""),"K0K 2G0")</f>
        <v>K0K 2G0</v>
      </c>
      <c r="E3916" s="3"/>
      <c r="F3916" s="3"/>
      <c r="G3916" s="3"/>
      <c r="H3916" s="3"/>
    </row>
    <row r="3917">
      <c r="A3917" s="2">
        <f>IFERROR(__xludf.DUMMYFUNCTION("""COMPUTED_VALUE"""),41177.0)</f>
        <v>41177</v>
      </c>
      <c r="B3917" s="3" t="str">
        <f>IFERROR(__xludf.DUMMYFUNCTION("""COMPUTED_VALUE"""),"710 STATION RD")</f>
        <v>710 STATION RD</v>
      </c>
      <c r="C3917" s="3" t="str">
        <f>IFERROR(__xludf.DUMMYFUNCTION("""COMPUTED_VALUE"""),"GRAFTON ")</f>
        <v>GRAFTON </v>
      </c>
      <c r="D3917" s="3" t="str">
        <f>IFERROR(__xludf.DUMMYFUNCTION("""COMPUTED_VALUE"""),"K0K 2G0")</f>
        <v>K0K 2G0</v>
      </c>
      <c r="E3917" s="3" t="str">
        <f>IFERROR(__xludf.DUMMYFUNCTION("""COMPUTED_VALUE"""),"pauline spiers ")</f>
        <v>pauline spiers </v>
      </c>
      <c r="F3917" s="3" t="str">
        <f>IFERROR(__xludf.DUMMYFUNCTION("""COMPUTED_VALUE"""),"pspiers@sympatico.ca")</f>
        <v>pspiers@sympatico.ca</v>
      </c>
      <c r="G3917" s="3">
        <f>IFERROR(__xludf.DUMMYFUNCTION("""COMPUTED_VALUE"""),2.892518688E9)</f>
        <v>2892518688</v>
      </c>
      <c r="H3917" s="3"/>
    </row>
    <row r="3918">
      <c r="A3918" s="2">
        <f>IFERROR(__xludf.DUMMYFUNCTION("""COMPUTED_VALUE"""),41178.0)</f>
        <v>41178</v>
      </c>
      <c r="B3918" s="3" t="str">
        <f>IFERROR(__xludf.DUMMYFUNCTION("""COMPUTED_VALUE"""),"718 STATION RD")</f>
        <v>718 STATION RD</v>
      </c>
      <c r="C3918" s="3" t="str">
        <f>IFERROR(__xludf.DUMMYFUNCTION("""COMPUTED_VALUE"""),"GRAFTON ")</f>
        <v>GRAFTON </v>
      </c>
      <c r="D3918" s="3" t="str">
        <f>IFERROR(__xludf.DUMMYFUNCTION("""COMPUTED_VALUE"""),"K0K 2G0")</f>
        <v>K0K 2G0</v>
      </c>
      <c r="E3918" s="3"/>
      <c r="F3918" s="3"/>
      <c r="G3918" s="3"/>
      <c r="H3918" s="3"/>
    </row>
    <row r="3919">
      <c r="A3919" s="2">
        <f>IFERROR(__xludf.DUMMYFUNCTION("""COMPUTED_VALUE"""),41191.0)</f>
        <v>41191</v>
      </c>
      <c r="B3919" s="3" t="str">
        <f>IFERROR(__xludf.DUMMYFUNCTION("""COMPUTED_VALUE"""),"281 TOWNLINE RD")</f>
        <v>281 TOWNLINE RD</v>
      </c>
      <c r="C3919" s="3" t="str">
        <f>IFERROR(__xludf.DUMMYFUNCTION("""COMPUTED_VALUE"""),"COLBORNE ")</f>
        <v>COLBORNE </v>
      </c>
      <c r="D3919" s="3" t="str">
        <f>IFERROR(__xludf.DUMMYFUNCTION("""COMPUTED_VALUE"""),"K0K 1S0")</f>
        <v>K0K 1S0</v>
      </c>
      <c r="E3919" s="3" t="str">
        <f>IFERROR(__xludf.DUMMYFUNCTION("""COMPUTED_VALUE"""),"robert dawe")</f>
        <v>robert dawe</v>
      </c>
      <c r="F3919" s="3"/>
      <c r="G3919" s="3">
        <f>IFERROR(__xludf.DUMMYFUNCTION("""COMPUTED_VALUE"""),9.052676564E9)</f>
        <v>9052676564</v>
      </c>
      <c r="H3919" s="3"/>
    </row>
    <row r="3920">
      <c r="A3920" s="2">
        <f>IFERROR(__xludf.DUMMYFUNCTION("""COMPUTED_VALUE"""),41192.0)</f>
        <v>41192</v>
      </c>
      <c r="B3920" s="3" t="str">
        <f>IFERROR(__xludf.DUMMYFUNCTION("""COMPUTED_VALUE"""),"288 TOWNLINE RD")</f>
        <v>288 TOWNLINE RD</v>
      </c>
      <c r="C3920" s="3" t="str">
        <f>IFERROR(__xludf.DUMMYFUNCTION("""COMPUTED_VALUE"""),"COLBORNE ")</f>
        <v>COLBORNE </v>
      </c>
      <c r="D3920" s="3" t="str">
        <f>IFERROR(__xludf.DUMMYFUNCTION("""COMPUTED_VALUE"""),"K0K 1S0")</f>
        <v>K0K 1S0</v>
      </c>
      <c r="E3920" s="3" t="str">
        <f>IFERROR(__xludf.DUMMYFUNCTION("""COMPUTED_VALUE"""),"Cathy Sangalli")</f>
        <v>Cathy Sangalli</v>
      </c>
      <c r="F3920" s="3" t="str">
        <f>IFERROR(__xludf.DUMMYFUNCTION("""COMPUTED_VALUE"""),"dcsangalli@outlook.com")</f>
        <v>dcsangalli@outlook.com</v>
      </c>
      <c r="G3920" s="3">
        <f>IFERROR(__xludf.DUMMYFUNCTION("""COMPUTED_VALUE"""),4.166665251E9)</f>
        <v>4166665251</v>
      </c>
      <c r="H3920" s="3"/>
    </row>
    <row r="3921">
      <c r="A3921" s="2">
        <f>IFERROR(__xludf.DUMMYFUNCTION("""COMPUTED_VALUE"""),41193.0)</f>
        <v>41193</v>
      </c>
      <c r="B3921" s="3" t="str">
        <f>IFERROR(__xludf.DUMMYFUNCTION("""COMPUTED_VALUE"""),"291 TOWNLINE RD")</f>
        <v>291 TOWNLINE RD</v>
      </c>
      <c r="C3921" s="3" t="str">
        <f>IFERROR(__xludf.DUMMYFUNCTION("""COMPUTED_VALUE"""),"COLBORNE ")</f>
        <v>COLBORNE </v>
      </c>
      <c r="D3921" s="3" t="str">
        <f>IFERROR(__xludf.DUMMYFUNCTION("""COMPUTED_VALUE"""),"K0K 1S0")</f>
        <v>K0K 1S0</v>
      </c>
      <c r="E3921" s="3" t="str">
        <f>IFERROR(__xludf.DUMMYFUNCTION("""COMPUTED_VALUE"""),"Phil Taylor")</f>
        <v>Phil Taylor</v>
      </c>
      <c r="F3921" s="3" t="str">
        <f>IFERROR(__xludf.DUMMYFUNCTION("""COMPUTED_VALUE"""),"tailspin121@hotmail.com")</f>
        <v>tailspin121@hotmail.com</v>
      </c>
      <c r="G3921" s="3"/>
      <c r="H3921" s="3"/>
    </row>
    <row r="3922">
      <c r="A3922" s="2">
        <f>IFERROR(__xludf.DUMMYFUNCTION("""COMPUTED_VALUE"""),41194.0)</f>
        <v>41194</v>
      </c>
      <c r="B3922" s="3" t="str">
        <f>IFERROR(__xludf.DUMMYFUNCTION("""COMPUTED_VALUE"""),"299 TOWNLINE RD")</f>
        <v>299 TOWNLINE RD</v>
      </c>
      <c r="C3922" s="3" t="str">
        <f>IFERROR(__xludf.DUMMYFUNCTION("""COMPUTED_VALUE"""),"COLBORNE ")</f>
        <v>COLBORNE </v>
      </c>
      <c r="D3922" s="3" t="str">
        <f>IFERROR(__xludf.DUMMYFUNCTION("""COMPUTED_VALUE"""),"K0K 1S0")</f>
        <v>K0K 1S0</v>
      </c>
      <c r="E3922" s="3" t="str">
        <f>IFERROR(__xludf.DUMMYFUNCTION("""COMPUTED_VALUE"""),"brian rath ")</f>
        <v>brian rath </v>
      </c>
      <c r="F3922" s="3"/>
      <c r="G3922" s="3">
        <f>IFERROR(__xludf.DUMMYFUNCTION("""COMPUTED_VALUE"""),9.053551908E9)</f>
        <v>9053551908</v>
      </c>
      <c r="H3922" s="3"/>
    </row>
    <row r="3923">
      <c r="A3923" s="2">
        <f>IFERROR(__xludf.DUMMYFUNCTION("""COMPUTED_VALUE"""),41195.0)</f>
        <v>41195</v>
      </c>
      <c r="B3923" s="3" t="str">
        <f>IFERROR(__xludf.DUMMYFUNCTION("""COMPUTED_VALUE"""),"311 TOWNLINE RD")</f>
        <v>311 TOWNLINE RD</v>
      </c>
      <c r="C3923" s="3" t="str">
        <f>IFERROR(__xludf.DUMMYFUNCTION("""COMPUTED_VALUE"""),"COLBORNE ")</f>
        <v>COLBORNE </v>
      </c>
      <c r="D3923" s="3" t="str">
        <f>IFERROR(__xludf.DUMMYFUNCTION("""COMPUTED_VALUE"""),"K0K 1S0")</f>
        <v>K0K 1S0</v>
      </c>
      <c r="E3923" s="3"/>
      <c r="F3923" s="3"/>
      <c r="G3923" s="3"/>
      <c r="H3923" s="3"/>
    </row>
    <row r="3924">
      <c r="A3924" s="2">
        <f>IFERROR(__xludf.DUMMYFUNCTION("""COMPUTED_VALUE"""),41196.0)</f>
        <v>41196</v>
      </c>
      <c r="B3924" s="3" t="str">
        <f>IFERROR(__xludf.DUMMYFUNCTION("""COMPUTED_VALUE"""),"319 TOWNLINE RD")</f>
        <v>319 TOWNLINE RD</v>
      </c>
      <c r="C3924" s="3" t="str">
        <f>IFERROR(__xludf.DUMMYFUNCTION("""COMPUTED_VALUE"""),"COLBORNE ")</f>
        <v>COLBORNE </v>
      </c>
      <c r="D3924" s="3" t="str">
        <f>IFERROR(__xludf.DUMMYFUNCTION("""COMPUTED_VALUE"""),"K0K 1S0")</f>
        <v>K0K 1S0</v>
      </c>
      <c r="E3924" s="3" t="str">
        <f>IFERROR(__xludf.DUMMYFUNCTION("""COMPUTED_VALUE"""),"judy ball ")</f>
        <v>judy ball </v>
      </c>
      <c r="F3924" s="3" t="str">
        <f>IFERROR(__xludf.DUMMYFUNCTION("""COMPUTED_VALUE"""),"ballfjdj55@gmail.com")</f>
        <v>ballfjdj55@gmail.com</v>
      </c>
      <c r="G3924" s="3">
        <f>IFERROR(__xludf.DUMMYFUNCTION("""COMPUTED_VALUE"""),9.053961072E9)</f>
        <v>9053961072</v>
      </c>
      <c r="H3924" s="3">
        <f>IFERROR(__xludf.DUMMYFUNCTION("""COMPUTED_VALUE"""),9.053754131E9)</f>
        <v>9053754131</v>
      </c>
    </row>
    <row r="3925">
      <c r="A3925" s="2">
        <f>IFERROR(__xludf.DUMMYFUNCTION("""COMPUTED_VALUE"""),41197.0)</f>
        <v>41197</v>
      </c>
      <c r="B3925" s="3" t="str">
        <f>IFERROR(__xludf.DUMMYFUNCTION("""COMPUTED_VALUE"""),"343 TOWNLINE RD")</f>
        <v>343 TOWNLINE RD</v>
      </c>
      <c r="C3925" s="3" t="str">
        <f>IFERROR(__xludf.DUMMYFUNCTION("""COMPUTED_VALUE"""),"COLBORNE ")</f>
        <v>COLBORNE </v>
      </c>
      <c r="D3925" s="3" t="str">
        <f>IFERROR(__xludf.DUMMYFUNCTION("""COMPUTED_VALUE"""),"K0K 1S0")</f>
        <v>K0K 1S0</v>
      </c>
      <c r="E3925" s="3" t="str">
        <f>IFERROR(__xludf.DUMMYFUNCTION("""COMPUTED_VALUE"""),"Michael Ash")</f>
        <v>Michael Ash</v>
      </c>
      <c r="F3925" s="3" t="str">
        <f>IFERROR(__xludf.DUMMYFUNCTION("""COMPUTED_VALUE"""),"ma_ash@outlook.com")</f>
        <v>ma_ash@outlook.com</v>
      </c>
      <c r="G3925" s="3">
        <f>IFERROR(__xludf.DUMMYFUNCTION("""COMPUTED_VALUE"""),2.896889322E9)</f>
        <v>2896889322</v>
      </c>
      <c r="H3925" s="3"/>
    </row>
    <row r="3926">
      <c r="A3926" s="2">
        <f>IFERROR(__xludf.DUMMYFUNCTION("""COMPUTED_VALUE"""),41198.0)</f>
        <v>41198</v>
      </c>
      <c r="B3926" s="3" t="str">
        <f>IFERROR(__xludf.DUMMYFUNCTION("""COMPUTED_VALUE"""),"353 TOWNLINE RD")</f>
        <v>353 TOWNLINE RD</v>
      </c>
      <c r="C3926" s="3" t="str">
        <f>IFERROR(__xludf.DUMMYFUNCTION("""COMPUTED_VALUE"""),"COLBORNE ")</f>
        <v>COLBORNE </v>
      </c>
      <c r="D3926" s="3" t="str">
        <f>IFERROR(__xludf.DUMMYFUNCTION("""COMPUTED_VALUE"""),"K0K 1S0")</f>
        <v>K0K 1S0</v>
      </c>
      <c r="E3926" s="3" t="str">
        <f>IFERROR(__xludf.DUMMYFUNCTION("""COMPUTED_VALUE"""),"scott and leslie sherk")</f>
        <v>scott and leslie sherk</v>
      </c>
      <c r="F3926" s="3" t="str">
        <f>IFERROR(__xludf.DUMMYFUNCTION("""COMPUTED_VALUE"""),"mwfs@eagle.ca")</f>
        <v>mwfs@eagle.ca</v>
      </c>
      <c r="G3926" s="3">
        <f>IFERROR(__xludf.DUMMYFUNCTION("""COMPUTED_VALUE"""),2.89251137E9)</f>
        <v>2892511370</v>
      </c>
      <c r="H3926" s="3">
        <f>IFERROR(__xludf.DUMMYFUNCTION("""COMPUTED_VALUE"""),9.053965751E9)</f>
        <v>9053965751</v>
      </c>
    </row>
    <row r="3927">
      <c r="A3927" s="2">
        <f>IFERROR(__xludf.DUMMYFUNCTION("""COMPUTED_VALUE"""),41199.0)</f>
        <v>41199</v>
      </c>
      <c r="B3927" s="3" t="str">
        <f>IFERROR(__xludf.DUMMYFUNCTION("""COMPUTED_VALUE"""),"363 TOWNLINE RD")</f>
        <v>363 TOWNLINE RD</v>
      </c>
      <c r="C3927" s="3" t="str">
        <f>IFERROR(__xludf.DUMMYFUNCTION("""COMPUTED_VALUE"""),"COLBORNE ")</f>
        <v>COLBORNE </v>
      </c>
      <c r="D3927" s="3" t="str">
        <f>IFERROR(__xludf.DUMMYFUNCTION("""COMPUTED_VALUE"""),"K0K 1S0")</f>
        <v>K0K 1S0</v>
      </c>
      <c r="E3927" s="3"/>
      <c r="F3927" s="3"/>
      <c r="G3927" s="3"/>
      <c r="H3927" s="3"/>
    </row>
    <row r="3928">
      <c r="A3928" s="2">
        <f>IFERROR(__xludf.DUMMYFUNCTION("""COMPUTED_VALUE"""),41200.0)</f>
        <v>41200</v>
      </c>
      <c r="B3928" s="3" t="str">
        <f>IFERROR(__xludf.DUMMYFUNCTION("""COMPUTED_VALUE"""),"375 TOWNLINE RD")</f>
        <v>375 TOWNLINE RD</v>
      </c>
      <c r="C3928" s="3" t="str">
        <f>IFERROR(__xludf.DUMMYFUNCTION("""COMPUTED_VALUE"""),"COLBORNE ")</f>
        <v>COLBORNE </v>
      </c>
      <c r="D3928" s="3" t="str">
        <f>IFERROR(__xludf.DUMMYFUNCTION("""COMPUTED_VALUE"""),"K0K 1S0")</f>
        <v>K0K 1S0</v>
      </c>
      <c r="E3928" s="3" t="str">
        <f>IFERROR(__xludf.DUMMYFUNCTION("""COMPUTED_VALUE"""),"mitchell petersen")</f>
        <v>mitchell petersen</v>
      </c>
      <c r="F3928" s="3" t="str">
        <f>IFERROR(__xludf.DUMMYFUNCTION("""COMPUTED_VALUE"""),"mitchell.petersen@cn.ca / mitchell.petersen.35@live.com")</f>
        <v>mitchell.petersen@cn.ca / mitchell.petersen.35@live.com</v>
      </c>
      <c r="G3928" s="3">
        <f>IFERROR(__xludf.DUMMYFUNCTION("""COMPUTED_VALUE"""),3.067300347E9)</f>
        <v>3067300347</v>
      </c>
      <c r="H3928" s="3">
        <f>IFERROR(__xludf.DUMMYFUNCTION("""COMPUTED_VALUE"""),6.474682011E9)</f>
        <v>6474682011</v>
      </c>
    </row>
    <row r="3929">
      <c r="A3929" s="2">
        <f>IFERROR(__xludf.DUMMYFUNCTION("""COMPUTED_VALUE"""),41201.0)</f>
        <v>41201</v>
      </c>
      <c r="B3929" s="3" t="str">
        <f>IFERROR(__xludf.DUMMYFUNCTION("""COMPUTED_VALUE"""),"381 TOWNLINE RD")</f>
        <v>381 TOWNLINE RD</v>
      </c>
      <c r="C3929" s="3" t="str">
        <f>IFERROR(__xludf.DUMMYFUNCTION("""COMPUTED_VALUE"""),"COLBORNE ")</f>
        <v>COLBORNE </v>
      </c>
      <c r="D3929" s="3" t="str">
        <f>IFERROR(__xludf.DUMMYFUNCTION("""COMPUTED_VALUE"""),"K0K 1S0")</f>
        <v>K0K 1S0</v>
      </c>
      <c r="E3929" s="3" t="str">
        <f>IFERROR(__xludf.DUMMYFUNCTION("""COMPUTED_VALUE"""),"rick gourley")</f>
        <v>rick gourley</v>
      </c>
      <c r="F3929" s="3"/>
      <c r="G3929" s="3">
        <f>IFERROR(__xludf.DUMMYFUNCTION("""COMPUTED_VALUE"""),9.052690105E9)</f>
        <v>9052690105</v>
      </c>
      <c r="H3929" s="3"/>
    </row>
    <row r="3930">
      <c r="A3930" s="2">
        <f>IFERROR(__xludf.DUMMYFUNCTION("""COMPUTED_VALUE"""),41202.0)</f>
        <v>41202</v>
      </c>
      <c r="B3930" s="3" t="str">
        <f>IFERROR(__xludf.DUMMYFUNCTION("""COMPUTED_VALUE"""),"403 TOWNLINE RD")</f>
        <v>403 TOWNLINE RD</v>
      </c>
      <c r="C3930" s="3" t="str">
        <f>IFERROR(__xludf.DUMMYFUNCTION("""COMPUTED_VALUE"""),"COLBORNE ")</f>
        <v>COLBORNE </v>
      </c>
      <c r="D3930" s="3" t="str">
        <f>IFERROR(__xludf.DUMMYFUNCTION("""COMPUTED_VALUE"""),"K0K 1S0")</f>
        <v>K0K 1S0</v>
      </c>
      <c r="E3930" s="3"/>
      <c r="F3930" s="3"/>
      <c r="G3930" s="3"/>
      <c r="H3930" s="3"/>
    </row>
    <row r="3931">
      <c r="A3931" s="2">
        <f>IFERROR(__xludf.DUMMYFUNCTION("""COMPUTED_VALUE"""),41203.0)</f>
        <v>41203</v>
      </c>
      <c r="B3931" s="3" t="str">
        <f>IFERROR(__xludf.DUMMYFUNCTION("""COMPUTED_VALUE"""),"426 TOWN LINE RD")</f>
        <v>426 TOWN LINE RD</v>
      </c>
      <c r="C3931" s="3" t="str">
        <f>IFERROR(__xludf.DUMMYFUNCTION("""COMPUTED_VALUE"""),"COLBORNE ")</f>
        <v>COLBORNE </v>
      </c>
      <c r="D3931" s="3" t="str">
        <f>IFERROR(__xludf.DUMMYFUNCTION("""COMPUTED_VALUE"""),"K0K 1S0")</f>
        <v>K0K 1S0</v>
      </c>
      <c r="E3931" s="3" t="str">
        <f>IFERROR(__xludf.DUMMYFUNCTION("""COMPUTED_VALUE"""),"jim greer")</f>
        <v>jim greer</v>
      </c>
      <c r="F3931" s="3" t="str">
        <f>IFERROR(__xludf.DUMMYFUNCTION("""COMPUTED_VALUE"""),"jdkm@sympatico.ca")</f>
        <v>jdkm@sympatico.ca</v>
      </c>
      <c r="G3931" s="3">
        <f>IFERROR(__xludf.DUMMYFUNCTION("""COMPUTED_VALUE"""),9.053755621E9)</f>
        <v>9053755621</v>
      </c>
      <c r="H3931" s="3"/>
    </row>
    <row r="3932">
      <c r="A3932" s="2">
        <f>IFERROR(__xludf.DUMMYFUNCTION("""COMPUTED_VALUE"""),41204.0)</f>
        <v>41204</v>
      </c>
      <c r="B3932" s="3" t="str">
        <f>IFERROR(__xludf.DUMMYFUNCTION("""COMPUTED_VALUE"""),"576 TOWN LINE RD")</f>
        <v>576 TOWN LINE RD</v>
      </c>
      <c r="C3932" s="3" t="str">
        <f>IFERROR(__xludf.DUMMYFUNCTION("""COMPUTED_VALUE"""),"COLBORNE ")</f>
        <v>COLBORNE </v>
      </c>
      <c r="D3932" s="3" t="str">
        <f>IFERROR(__xludf.DUMMYFUNCTION("""COMPUTED_VALUE"""),"K0K 1S0")</f>
        <v>K0K 1S0</v>
      </c>
      <c r="E3932" s="3" t="str">
        <f>IFERROR(__xludf.DUMMYFUNCTION("""COMPUTED_VALUE"""),"Patti May")</f>
        <v>Patti May</v>
      </c>
      <c r="F3932" s="3" t="str">
        <f>IFERROR(__xludf.DUMMYFUNCTION("""COMPUTED_VALUE"""),"shadowspub@shadowspublishing.com")</f>
        <v>shadowspub@shadowspublishing.com</v>
      </c>
      <c r="G3932" s="3"/>
      <c r="H3932" s="3"/>
    </row>
    <row r="3933">
      <c r="A3933" s="2">
        <f>IFERROR(__xludf.DUMMYFUNCTION("""COMPUTED_VALUE"""),41205.0)</f>
        <v>41205</v>
      </c>
      <c r="B3933" s="3" t="str">
        <f>IFERROR(__xludf.DUMMYFUNCTION("""COMPUTED_VALUE"""),"TBD1 TYSOVSKY ST")</f>
        <v>TBD1 TYSOVSKY ST</v>
      </c>
      <c r="C3933" s="3" t="str">
        <f>IFERROR(__xludf.DUMMYFUNCTION("""COMPUTED_VALUE"""),"GRAFTON ")</f>
        <v>GRAFTON </v>
      </c>
      <c r="D3933" s="3" t="str">
        <f>IFERROR(__xludf.DUMMYFUNCTION("""COMPUTED_VALUE"""),"K0K 2G0")</f>
        <v>K0K 2G0</v>
      </c>
      <c r="E3933" s="3"/>
      <c r="F3933" s="3"/>
      <c r="G3933" s="3"/>
      <c r="H3933" s="3"/>
    </row>
    <row r="3934">
      <c r="A3934" s="2">
        <f>IFERROR(__xludf.DUMMYFUNCTION("""COMPUTED_VALUE"""),41206.0)</f>
        <v>41206</v>
      </c>
      <c r="B3934" s="3" t="str">
        <f>IFERROR(__xludf.DUMMYFUNCTION("""COMPUTED_VALUE"""),"TBD2 TYSOVSKY ST")</f>
        <v>TBD2 TYSOVSKY ST</v>
      </c>
      <c r="C3934" s="3" t="str">
        <f>IFERROR(__xludf.DUMMYFUNCTION("""COMPUTED_VALUE"""),"GRAFTON ")</f>
        <v>GRAFTON </v>
      </c>
      <c r="D3934" s="3" t="str">
        <f>IFERROR(__xludf.DUMMYFUNCTION("""COMPUTED_VALUE"""),"K0K 2G0")</f>
        <v>K0K 2G0</v>
      </c>
      <c r="E3934" s="3"/>
      <c r="F3934" s="3"/>
      <c r="G3934" s="3"/>
      <c r="H3934" s="3"/>
    </row>
    <row r="3935">
      <c r="A3935" s="2">
        <f>IFERROR(__xludf.DUMMYFUNCTION("""COMPUTED_VALUE"""),41207.0)</f>
        <v>41207</v>
      </c>
      <c r="B3935" s="3" t="str">
        <f>IFERROR(__xludf.DUMMYFUNCTION("""COMPUTED_VALUE"""),"TBD3 TYSOVSKY ST")</f>
        <v>TBD3 TYSOVSKY ST</v>
      </c>
      <c r="C3935" s="3" t="str">
        <f>IFERROR(__xludf.DUMMYFUNCTION("""COMPUTED_VALUE"""),"GRAFTON ")</f>
        <v>GRAFTON </v>
      </c>
      <c r="D3935" s="3" t="str">
        <f>IFERROR(__xludf.DUMMYFUNCTION("""COMPUTED_VALUE"""),"K0K 2G0")</f>
        <v>K0K 2G0</v>
      </c>
      <c r="E3935" s="3"/>
      <c r="F3935" s="3"/>
      <c r="G3935" s="3"/>
      <c r="H3935" s="3"/>
    </row>
    <row r="3936">
      <c r="A3936" s="2">
        <f>IFERROR(__xludf.DUMMYFUNCTION("""COMPUTED_VALUE"""),41208.0)</f>
        <v>41208</v>
      </c>
      <c r="B3936" s="3" t="str">
        <f>IFERROR(__xludf.DUMMYFUNCTION("""COMPUTED_VALUE"""),"TBD4 TYSOVSKY ST")</f>
        <v>TBD4 TYSOVSKY ST</v>
      </c>
      <c r="C3936" s="3" t="str">
        <f>IFERROR(__xludf.DUMMYFUNCTION("""COMPUTED_VALUE"""),"GRAFTON ")</f>
        <v>GRAFTON </v>
      </c>
      <c r="D3936" s="3" t="str">
        <f>IFERROR(__xludf.DUMMYFUNCTION("""COMPUTED_VALUE"""),"K0K 2G0")</f>
        <v>K0K 2G0</v>
      </c>
      <c r="E3936" s="3"/>
      <c r="F3936" s="3"/>
      <c r="G3936" s="3"/>
      <c r="H3936" s="3"/>
    </row>
    <row r="3937">
      <c r="A3937" s="2">
        <f>IFERROR(__xludf.DUMMYFUNCTION("""COMPUTED_VALUE"""),41209.0)</f>
        <v>41209</v>
      </c>
      <c r="B3937" s="3" t="str">
        <f>IFERROR(__xludf.DUMMYFUNCTION("""COMPUTED_VALUE"""),"TBD5 TYSOVSKY ST")</f>
        <v>TBD5 TYSOVSKY ST</v>
      </c>
      <c r="C3937" s="3" t="str">
        <f>IFERROR(__xludf.DUMMYFUNCTION("""COMPUTED_VALUE"""),"GRAFTON ")</f>
        <v>GRAFTON </v>
      </c>
      <c r="D3937" s="3" t="str">
        <f>IFERROR(__xludf.DUMMYFUNCTION("""COMPUTED_VALUE"""),"K0K 2G0")</f>
        <v>K0K 2G0</v>
      </c>
      <c r="E3937" s="3"/>
      <c r="F3937" s="3"/>
      <c r="G3937" s="3"/>
      <c r="H3937" s="3"/>
    </row>
    <row r="3938">
      <c r="A3938" s="2">
        <f>IFERROR(__xludf.DUMMYFUNCTION("""COMPUTED_VALUE"""),41210.0)</f>
        <v>41210</v>
      </c>
      <c r="B3938" s="3" t="str">
        <f>IFERROR(__xludf.DUMMYFUNCTION("""COMPUTED_VALUE"""),"TBD6 TYSOVSKY ST")</f>
        <v>TBD6 TYSOVSKY ST</v>
      </c>
      <c r="C3938" s="3" t="str">
        <f>IFERROR(__xludf.DUMMYFUNCTION("""COMPUTED_VALUE"""),"GRAFTON ")</f>
        <v>GRAFTON </v>
      </c>
      <c r="D3938" s="3" t="str">
        <f>IFERROR(__xludf.DUMMYFUNCTION("""COMPUTED_VALUE"""),"K0K 2G0")</f>
        <v>K0K 2G0</v>
      </c>
      <c r="E3938" s="3"/>
      <c r="F3938" s="3"/>
      <c r="G3938" s="3"/>
      <c r="H3938" s="3"/>
    </row>
    <row r="3939">
      <c r="A3939" s="2">
        <f>IFERROR(__xludf.DUMMYFUNCTION("""COMPUTED_VALUE"""),41211.0)</f>
        <v>41211</v>
      </c>
      <c r="B3939" s="3" t="str">
        <f>IFERROR(__xludf.DUMMYFUNCTION("""COMPUTED_VALUE"""),"TBD7 TYSOVSKY ST")</f>
        <v>TBD7 TYSOVSKY ST</v>
      </c>
      <c r="C3939" s="3" t="str">
        <f>IFERROR(__xludf.DUMMYFUNCTION("""COMPUTED_VALUE"""),"GRAFTON ")</f>
        <v>GRAFTON </v>
      </c>
      <c r="D3939" s="3" t="str">
        <f>IFERROR(__xludf.DUMMYFUNCTION("""COMPUTED_VALUE"""),"K0K 2G0")</f>
        <v>K0K 2G0</v>
      </c>
      <c r="E3939" s="3"/>
      <c r="F3939" s="3"/>
      <c r="G3939" s="3"/>
      <c r="H3939" s="3"/>
    </row>
    <row r="3940">
      <c r="A3940" s="2">
        <f>IFERROR(__xludf.DUMMYFUNCTION("""COMPUTED_VALUE"""),41212.0)</f>
        <v>41212</v>
      </c>
      <c r="B3940" s="3" t="str">
        <f>IFERROR(__xludf.DUMMYFUNCTION("""COMPUTED_VALUE"""),"TBD8 TYSOVSKY ST")</f>
        <v>TBD8 TYSOVSKY ST</v>
      </c>
      <c r="C3940" s="3" t="str">
        <f>IFERROR(__xludf.DUMMYFUNCTION("""COMPUTED_VALUE"""),"GRAFTON ")</f>
        <v>GRAFTON </v>
      </c>
      <c r="D3940" s="3" t="str">
        <f>IFERROR(__xludf.DUMMYFUNCTION("""COMPUTED_VALUE"""),"K0K 2G0")</f>
        <v>K0K 2G0</v>
      </c>
      <c r="E3940" s="3"/>
      <c r="F3940" s="3"/>
      <c r="G3940" s="3"/>
      <c r="H3940" s="3"/>
    </row>
    <row r="3941">
      <c r="A3941" s="2">
        <f>IFERROR(__xludf.DUMMYFUNCTION("""COMPUTED_VALUE"""),41213.0)</f>
        <v>41213</v>
      </c>
      <c r="B3941" s="3" t="str">
        <f>IFERROR(__xludf.DUMMYFUNCTION("""COMPUTED_VALUE"""),"119 USBORNE RD")</f>
        <v>119 USBORNE RD</v>
      </c>
      <c r="C3941" s="3" t="str">
        <f>IFERROR(__xludf.DUMMYFUNCTION("""COMPUTED_VALUE"""),"COLBORNE ")</f>
        <v>COLBORNE </v>
      </c>
      <c r="D3941" s="3" t="str">
        <f>IFERROR(__xludf.DUMMYFUNCTION("""COMPUTED_VALUE"""),"K0K 1S0")</f>
        <v>K0K 1S0</v>
      </c>
      <c r="E3941" s="3"/>
      <c r="F3941" s="3"/>
      <c r="G3941" s="3"/>
      <c r="H3941" s="3"/>
    </row>
    <row r="3942">
      <c r="A3942" s="2">
        <f>IFERROR(__xludf.DUMMYFUNCTION("""COMPUTED_VALUE"""),41214.0)</f>
        <v>41214</v>
      </c>
      <c r="B3942" s="3" t="str">
        <f>IFERROR(__xludf.DUMMYFUNCTION("""COMPUTED_VALUE"""),"122 USBORNE RD")</f>
        <v>122 USBORNE RD</v>
      </c>
      <c r="C3942" s="3" t="str">
        <f>IFERROR(__xludf.DUMMYFUNCTION("""COMPUTED_VALUE"""),"COLBORNE ")</f>
        <v>COLBORNE </v>
      </c>
      <c r="D3942" s="3" t="str">
        <f>IFERROR(__xludf.DUMMYFUNCTION("""COMPUTED_VALUE"""),"K0K 1S0")</f>
        <v>K0K 1S0</v>
      </c>
      <c r="E3942" s="3" t="str">
        <f>IFERROR(__xludf.DUMMYFUNCTION("""COMPUTED_VALUE"""),"tom cole/ Esther Cole")</f>
        <v>tom cole/ Esther Cole</v>
      </c>
      <c r="F3942" s="3" t="str">
        <f>IFERROR(__xludf.DUMMYFUNCTION("""COMPUTED_VALUE"""),"thomascole000@gmail.com / tecole31@gmail.com")</f>
        <v>thomascole000@gmail.com / tecole31@gmail.com</v>
      </c>
      <c r="G3942" s="3">
        <f>IFERROR(__xludf.DUMMYFUNCTION("""COMPUTED_VALUE"""),9.052099234E9)</f>
        <v>9052099234</v>
      </c>
      <c r="H3942" s="3">
        <f>IFERROR(__xludf.DUMMYFUNCTION("""COMPUTED_VALUE"""),9.052699934E9)</f>
        <v>9052699934</v>
      </c>
    </row>
    <row r="3943">
      <c r="A3943" s="2">
        <f>IFERROR(__xludf.DUMMYFUNCTION("""COMPUTED_VALUE"""),41215.0)</f>
        <v>41215</v>
      </c>
      <c r="B3943" s="3" t="str">
        <f>IFERROR(__xludf.DUMMYFUNCTION("""COMPUTED_VALUE"""),"133 USBORNE RD")</f>
        <v>133 USBORNE RD</v>
      </c>
      <c r="C3943" s="3" t="str">
        <f>IFERROR(__xludf.DUMMYFUNCTION("""COMPUTED_VALUE"""),"COLBORNE ")</f>
        <v>COLBORNE </v>
      </c>
      <c r="D3943" s="3" t="str">
        <f>IFERROR(__xludf.DUMMYFUNCTION("""COMPUTED_VALUE"""),"K0K 1S0")</f>
        <v>K0K 1S0</v>
      </c>
      <c r="E3943" s="3" t="str">
        <f>IFERROR(__xludf.DUMMYFUNCTION("""COMPUTED_VALUE"""),"David A (Tony) Jones")</f>
        <v>David A (Tony) Jones</v>
      </c>
      <c r="F3943" s="3" t="str">
        <f>IFERROR(__xludf.DUMMYFUNCTION("""COMPUTED_VALUE"""),"daj3070@gmail.com")</f>
        <v>daj3070@gmail.com</v>
      </c>
      <c r="G3943" s="3">
        <f>IFERROR(__xludf.DUMMYFUNCTION("""COMPUTED_VALUE"""),9.05355307E9)</f>
        <v>9053553070</v>
      </c>
      <c r="H3943" s="3"/>
    </row>
    <row r="3944">
      <c r="A3944" s="2">
        <f>IFERROR(__xludf.DUMMYFUNCTION("""COMPUTED_VALUE"""),41224.0)</f>
        <v>41224</v>
      </c>
      <c r="B3944" s="3" t="str">
        <f>IFERROR(__xludf.DUMMYFUNCTION("""COMPUTED_VALUE"""),"743 WICKLOW RD")</f>
        <v>743 WICKLOW RD</v>
      </c>
      <c r="C3944" s="3" t="str">
        <f>IFERROR(__xludf.DUMMYFUNCTION("""COMPUTED_VALUE"""),"COLBORNE ")</f>
        <v>COLBORNE </v>
      </c>
      <c r="D3944" s="3" t="str">
        <f>IFERROR(__xludf.DUMMYFUNCTION("""COMPUTED_VALUE"""),"K0K 1S0")</f>
        <v>K0K 1S0</v>
      </c>
      <c r="E3944" s="3" t="str">
        <f>IFERROR(__xludf.DUMMYFUNCTION("""COMPUTED_VALUE"""),"william finley ")</f>
        <v>william finley </v>
      </c>
      <c r="F3944" s="3"/>
      <c r="G3944" s="3">
        <f>IFERROR(__xludf.DUMMYFUNCTION("""COMPUTED_VALUE"""),9.053492747E9)</f>
        <v>9053492747</v>
      </c>
      <c r="H3944" s="3"/>
    </row>
    <row r="3945">
      <c r="A3945" s="2">
        <f>IFERROR(__xludf.DUMMYFUNCTION("""COMPUTED_VALUE"""),41225.0)</f>
        <v>41225</v>
      </c>
      <c r="B3945" s="3" t="str">
        <f>IFERROR(__xludf.DUMMYFUNCTION("""COMPUTED_VALUE"""),"751 WICKLOW RD")</f>
        <v>751 WICKLOW RD</v>
      </c>
      <c r="C3945" s="3" t="str">
        <f>IFERROR(__xludf.DUMMYFUNCTION("""COMPUTED_VALUE"""),"COLBORNE ")</f>
        <v>COLBORNE </v>
      </c>
      <c r="D3945" s="3" t="str">
        <f>IFERROR(__xludf.DUMMYFUNCTION("""COMPUTED_VALUE"""),"K0K 1S0")</f>
        <v>K0K 1S0</v>
      </c>
      <c r="E3945" s="3" t="str">
        <f>IFERROR(__xludf.DUMMYFUNCTION("""COMPUTED_VALUE"""),"chris cox")</f>
        <v>chris cox</v>
      </c>
      <c r="F3945" s="3" t="str">
        <f>IFERROR(__xludf.DUMMYFUNCTION("""COMPUTED_VALUE"""),"chriscox1986@hotmail.com")</f>
        <v>chriscox1986@hotmail.com</v>
      </c>
      <c r="G3945" s="3">
        <f>IFERROR(__xludf.DUMMYFUNCTION("""COMPUTED_VALUE"""),9.052420051E9)</f>
        <v>9052420051</v>
      </c>
      <c r="H3945" s="3"/>
    </row>
    <row r="3946">
      <c r="A3946" s="2">
        <f>IFERROR(__xludf.DUMMYFUNCTION("""COMPUTED_VALUE"""),41226.0)</f>
        <v>41226</v>
      </c>
      <c r="B3946" s="3" t="str">
        <f>IFERROR(__xludf.DUMMYFUNCTION("""COMPUTED_VALUE"""),"754 WICKLOW RD")</f>
        <v>754 WICKLOW RD</v>
      </c>
      <c r="C3946" s="3" t="str">
        <f>IFERROR(__xludf.DUMMYFUNCTION("""COMPUTED_VALUE"""),"COLBORNE ")</f>
        <v>COLBORNE </v>
      </c>
      <c r="D3946" s="3" t="str">
        <f>IFERROR(__xludf.DUMMYFUNCTION("""COMPUTED_VALUE"""),"K0K 1S0")</f>
        <v>K0K 1S0</v>
      </c>
      <c r="E3946" s="3" t="str">
        <f>IFERROR(__xludf.DUMMYFUNCTION("""COMPUTED_VALUE"""),"Jason Kelly")</f>
        <v>Jason Kelly</v>
      </c>
      <c r="F3946" s="3" t="str">
        <f>IFERROR(__xludf.DUMMYFUNCTION("""COMPUTED_VALUE"""),"jaygkelly@hotmail.com")</f>
        <v>jaygkelly@hotmail.com</v>
      </c>
      <c r="G3946" s="3">
        <f>IFERROR(__xludf.DUMMYFUNCTION("""COMPUTED_VALUE"""),9.053735122E9)</f>
        <v>9053735122</v>
      </c>
      <c r="H3946" s="3"/>
    </row>
    <row r="3947">
      <c r="A3947" s="2">
        <f>IFERROR(__xludf.DUMMYFUNCTION("""COMPUTED_VALUE"""),41227.0)</f>
        <v>41227</v>
      </c>
      <c r="B3947" s="3" t="str">
        <f>IFERROR(__xludf.DUMMYFUNCTION("""COMPUTED_VALUE"""),"826 WICKLOW RD")</f>
        <v>826 WICKLOW RD</v>
      </c>
      <c r="C3947" s="3" t="str">
        <f>IFERROR(__xludf.DUMMYFUNCTION("""COMPUTED_VALUE"""),"COLBORNE ")</f>
        <v>COLBORNE </v>
      </c>
      <c r="D3947" s="3" t="str">
        <f>IFERROR(__xludf.DUMMYFUNCTION("""COMPUTED_VALUE"""),"K0K 1S0")</f>
        <v>K0K 1S0</v>
      </c>
      <c r="E3947" s="3" t="str">
        <f>IFERROR(__xludf.DUMMYFUNCTION("""COMPUTED_VALUE"""),"leo mcpherson")</f>
        <v>leo mcpherson</v>
      </c>
      <c r="F3947" s="3" t="str">
        <f>IFERROR(__xludf.DUMMYFUNCTION("""COMPUTED_VALUE"""),"mcpland@rogers.com")</f>
        <v>mcpland@rogers.com</v>
      </c>
      <c r="G3947" s="3">
        <f>IFERROR(__xludf.DUMMYFUNCTION("""COMPUTED_VALUE"""),4.166780262E9)</f>
        <v>4166780262</v>
      </c>
      <c r="H3947" s="3">
        <f>IFERROR(__xludf.DUMMYFUNCTION("""COMPUTED_VALUE"""),4.164064198E9)</f>
        <v>4164064198</v>
      </c>
    </row>
    <row r="3948">
      <c r="A3948" s="2">
        <f>IFERROR(__xludf.DUMMYFUNCTION("""COMPUTED_VALUE"""),41228.0)</f>
        <v>41228</v>
      </c>
      <c r="B3948" s="3" t="str">
        <f>IFERROR(__xludf.DUMMYFUNCTION("""COMPUTED_VALUE"""),"867 WICKLOW RD")</f>
        <v>867 WICKLOW RD</v>
      </c>
      <c r="C3948" s="3" t="str">
        <f>IFERROR(__xludf.DUMMYFUNCTION("""COMPUTED_VALUE"""),"COLBORNE ")</f>
        <v>COLBORNE </v>
      </c>
      <c r="D3948" s="3" t="str">
        <f>IFERROR(__xludf.DUMMYFUNCTION("""COMPUTED_VALUE"""),"K0K 1S0")</f>
        <v>K0K 1S0</v>
      </c>
      <c r="E3948" s="3"/>
      <c r="F3948" s="3"/>
      <c r="G3948" s="3"/>
      <c r="H3948" s="3"/>
    </row>
    <row r="3949">
      <c r="A3949" s="2">
        <f>IFERROR(__xludf.DUMMYFUNCTION("""COMPUTED_VALUE"""),41229.0)</f>
        <v>41229</v>
      </c>
      <c r="B3949" s="3" t="str">
        <f>IFERROR(__xludf.DUMMYFUNCTION("""COMPUTED_VALUE"""),"956 WICKLOW RD")</f>
        <v>956 WICKLOW RD</v>
      </c>
      <c r="C3949" s="3" t="str">
        <f>IFERROR(__xludf.DUMMYFUNCTION("""COMPUTED_VALUE"""),"COLBORNE ")</f>
        <v>COLBORNE </v>
      </c>
      <c r="D3949" s="3" t="str">
        <f>IFERROR(__xludf.DUMMYFUNCTION("""COMPUTED_VALUE"""),"K0K 1S0")</f>
        <v>K0K 1S0</v>
      </c>
      <c r="E3949" s="3"/>
      <c r="F3949" s="3"/>
      <c r="G3949" s="3"/>
      <c r="H3949" s="3"/>
    </row>
    <row r="3950">
      <c r="A3950" s="2">
        <f>IFERROR(__xludf.DUMMYFUNCTION("""COMPUTED_VALUE"""),41230.0)</f>
        <v>41230</v>
      </c>
      <c r="B3950" s="3" t="str">
        <f>IFERROR(__xludf.DUMMYFUNCTION("""COMPUTED_VALUE"""),"975 WICKLOW RD")</f>
        <v>975 WICKLOW RD</v>
      </c>
      <c r="C3950" s="3" t="str">
        <f>IFERROR(__xludf.DUMMYFUNCTION("""COMPUTED_VALUE"""),"COLBORNE ")</f>
        <v>COLBORNE </v>
      </c>
      <c r="D3950" s="3" t="str">
        <f>IFERROR(__xludf.DUMMYFUNCTION("""COMPUTED_VALUE"""),"K0K 1S0")</f>
        <v>K0K 1S0</v>
      </c>
      <c r="E3950" s="3" t="str">
        <f>IFERROR(__xludf.DUMMYFUNCTION("""COMPUTED_VALUE"""),"david turner ")</f>
        <v>david turner </v>
      </c>
      <c r="F3950" s="3"/>
      <c r="G3950" s="3">
        <f>IFERROR(__xludf.DUMMYFUNCTION("""COMPUTED_VALUE"""),9.053491019E9)</f>
        <v>9053491019</v>
      </c>
      <c r="H3950" s="3"/>
    </row>
    <row r="3951">
      <c r="A3951" s="2">
        <f>IFERROR(__xludf.DUMMYFUNCTION("""COMPUTED_VALUE"""),41231.0)</f>
        <v>41231</v>
      </c>
      <c r="B3951" s="3" t="str">
        <f>IFERROR(__xludf.DUMMYFUNCTION("""COMPUTED_VALUE"""),"866B WICKLOW RD")</f>
        <v>866B WICKLOW RD</v>
      </c>
      <c r="C3951" s="3" t="str">
        <f>IFERROR(__xludf.DUMMYFUNCTION("""COMPUTED_VALUE"""),"COLBORNE ")</f>
        <v>COLBORNE </v>
      </c>
      <c r="D3951" s="3" t="str">
        <f>IFERROR(__xludf.DUMMYFUNCTION("""COMPUTED_VALUE"""),"K0K 1S0")</f>
        <v>K0K 1S0</v>
      </c>
      <c r="E3951" s="3"/>
      <c r="F3951" s="3"/>
      <c r="G3951" s="3"/>
      <c r="H3951" s="3"/>
    </row>
    <row r="3952">
      <c r="A3952" s="2">
        <f>IFERROR(__xludf.DUMMYFUNCTION("""COMPUTED_VALUE"""),41233.0)</f>
        <v>41233</v>
      </c>
      <c r="B3952" s="3" t="str">
        <f>IFERROR(__xludf.DUMMYFUNCTION("""COMPUTED_VALUE"""),"268 WICKLOW BEACH RD")</f>
        <v>268 WICKLOW BEACH RD</v>
      </c>
      <c r="C3952" s="3"/>
      <c r="D3952" s="3"/>
      <c r="E3952" s="3"/>
      <c r="F3952" s="3"/>
      <c r="G3952" s="3"/>
      <c r="H3952" s="3"/>
    </row>
    <row r="3953">
      <c r="A3953" s="2">
        <f>IFERROR(__xludf.DUMMYFUNCTION("""COMPUTED_VALUE"""),41243.0)</f>
        <v>41243</v>
      </c>
      <c r="B3953" s="3" t="str">
        <f>IFERROR(__xludf.DUMMYFUNCTION("""COMPUTED_VALUE"""),"711 WICKLOW BEACH RD")</f>
        <v>711 WICKLOW BEACH RD</v>
      </c>
      <c r="C3953" s="3" t="str">
        <f>IFERROR(__xludf.DUMMYFUNCTION("""COMPUTED_VALUE"""),"COLBORNE ")</f>
        <v>COLBORNE </v>
      </c>
      <c r="D3953" s="3" t="str">
        <f>IFERROR(__xludf.DUMMYFUNCTION("""COMPUTED_VALUE"""),"K0K 1S0")</f>
        <v>K0K 1S0</v>
      </c>
      <c r="E3953" s="3" t="str">
        <f>IFERROR(__xludf.DUMMYFUNCTION("""COMPUTED_VALUE"""),"jennifer brooks")</f>
        <v>jennifer brooks</v>
      </c>
      <c r="F3953" s="3" t="str">
        <f>IFERROR(__xludf.DUMMYFUNCTION("""COMPUTED_VALUE"""),"jbrooks91@hotmail.com")</f>
        <v>jbrooks91@hotmail.com</v>
      </c>
      <c r="G3953" s="3">
        <f>IFERROR(__xludf.DUMMYFUNCTION("""COMPUTED_VALUE"""),2.896911174E9)</f>
        <v>2896911174</v>
      </c>
      <c r="H3953" s="3"/>
    </row>
    <row r="3954">
      <c r="A3954" s="2">
        <f>IFERROR(__xludf.DUMMYFUNCTION("""COMPUTED_VALUE"""),41244.0)</f>
        <v>41244</v>
      </c>
      <c r="B3954" s="3" t="str">
        <f>IFERROR(__xludf.DUMMYFUNCTION("""COMPUTED_VALUE"""),"714 WICKLOW BEACH RD")</f>
        <v>714 WICKLOW BEACH RD</v>
      </c>
      <c r="C3954" s="3" t="str">
        <f>IFERROR(__xludf.DUMMYFUNCTION("""COMPUTED_VALUE"""),"COLBORNE ")</f>
        <v>COLBORNE </v>
      </c>
      <c r="D3954" s="3" t="str">
        <f>IFERROR(__xludf.DUMMYFUNCTION("""COMPUTED_VALUE"""),"K0K 1S0")</f>
        <v>K0K 1S0</v>
      </c>
      <c r="E3954" s="3"/>
      <c r="F3954" s="3"/>
      <c r="G3954" s="3"/>
      <c r="H3954" s="3"/>
    </row>
    <row r="3955">
      <c r="A3955" s="2">
        <f>IFERROR(__xludf.DUMMYFUNCTION("""COMPUTED_VALUE"""),41245.0)</f>
        <v>41245</v>
      </c>
      <c r="B3955" s="3" t="str">
        <f>IFERROR(__xludf.DUMMYFUNCTION("""COMPUTED_VALUE"""),"723 WICKLOW BEACH RD")</f>
        <v>723 WICKLOW BEACH RD</v>
      </c>
      <c r="C3955" s="3" t="str">
        <f>IFERROR(__xludf.DUMMYFUNCTION("""COMPUTED_VALUE"""),"COLBORNE ")</f>
        <v>COLBORNE </v>
      </c>
      <c r="D3955" s="3" t="str">
        <f>IFERROR(__xludf.DUMMYFUNCTION("""COMPUTED_VALUE"""),"K0K 1S0")</f>
        <v>K0K 1S0</v>
      </c>
      <c r="E3955" s="3" t="str">
        <f>IFERROR(__xludf.DUMMYFUNCTION("""COMPUTED_VALUE"""),"terri morris ")</f>
        <v>terri morris </v>
      </c>
      <c r="F3955" s="3" t="str">
        <f>IFERROR(__xludf.DUMMYFUNCTION("""COMPUTED_VALUE"""),"teri.morris@bell.net")</f>
        <v>teri.morris@bell.net</v>
      </c>
      <c r="G3955" s="3">
        <f>IFERROR(__xludf.DUMMYFUNCTION("""COMPUTED_VALUE"""),9.05396325E9)</f>
        <v>9053963250</v>
      </c>
      <c r="H3955" s="3"/>
    </row>
    <row r="3956">
      <c r="A3956" s="2">
        <f>IFERROR(__xludf.DUMMYFUNCTION("""COMPUTED_VALUE"""),41246.0)</f>
        <v>41246</v>
      </c>
      <c r="B3956" s="3" t="str">
        <f>IFERROR(__xludf.DUMMYFUNCTION("""COMPUTED_VALUE"""),"1564 WORKMAN RD")</f>
        <v>1564 WORKMAN RD</v>
      </c>
      <c r="C3956" s="3" t="str">
        <f>IFERROR(__xludf.DUMMYFUNCTION("""COMPUTED_VALUE"""),"COBOURG ")</f>
        <v>COBOURG </v>
      </c>
      <c r="D3956" s="3" t="str">
        <f>IFERROR(__xludf.DUMMYFUNCTION("""COMPUTED_VALUE"""),"K9A 0S8")</f>
        <v>K9A 0S8</v>
      </c>
      <c r="E3956" s="3"/>
      <c r="F3956" s="3"/>
      <c r="G3956" s="3"/>
      <c r="H3956" s="3"/>
    </row>
    <row r="3957">
      <c r="A3957" s="2">
        <f>IFERROR(__xludf.DUMMYFUNCTION("""COMPUTED_VALUE"""),41247.0)</f>
        <v>41247</v>
      </c>
      <c r="B3957" s="3" t="str">
        <f>IFERROR(__xludf.DUMMYFUNCTION("""COMPUTED_VALUE"""),"1570 WORKMAN RD")</f>
        <v>1570 WORKMAN RD</v>
      </c>
      <c r="C3957" s="3" t="str">
        <f>IFERROR(__xludf.DUMMYFUNCTION("""COMPUTED_VALUE"""),"COBOURG ")</f>
        <v>COBOURG </v>
      </c>
      <c r="D3957" s="3" t="str">
        <f>IFERROR(__xludf.DUMMYFUNCTION("""COMPUTED_VALUE"""),"K9A 0S8")</f>
        <v>K9A 0S8</v>
      </c>
      <c r="E3957" s="3"/>
      <c r="F3957" s="3"/>
      <c r="G3957" s="3"/>
      <c r="H3957" s="3"/>
    </row>
    <row r="3958">
      <c r="A3958" s="2">
        <f>IFERROR(__xludf.DUMMYFUNCTION("""COMPUTED_VALUE"""),41248.0)</f>
        <v>41248</v>
      </c>
      <c r="B3958" s="3" t="str">
        <f>IFERROR(__xludf.DUMMYFUNCTION("""COMPUTED_VALUE"""),"1576 WORKMAN RD")</f>
        <v>1576 WORKMAN RD</v>
      </c>
      <c r="C3958" s="3" t="str">
        <f>IFERROR(__xludf.DUMMYFUNCTION("""COMPUTED_VALUE"""),"COBOURG ")</f>
        <v>COBOURG </v>
      </c>
      <c r="D3958" s="3" t="str">
        <f>IFERROR(__xludf.DUMMYFUNCTION("""COMPUTED_VALUE"""),"K9A 0S8")</f>
        <v>K9A 0S8</v>
      </c>
      <c r="E3958" s="3" t="str">
        <f>IFERROR(__xludf.DUMMYFUNCTION("""COMPUTED_VALUE"""),"ROB SCRUTTON")</f>
        <v>ROB SCRUTTON</v>
      </c>
      <c r="F3958" s="3" t="str">
        <f>IFERROR(__xludf.DUMMYFUNCTION("""COMPUTED_VALUE"""),"rob.scrutton@gmail.com")</f>
        <v>rob.scrutton@gmail.com</v>
      </c>
      <c r="G3958" s="3"/>
      <c r="H3958" s="3"/>
    </row>
    <row r="3959">
      <c r="A3959" s="2">
        <f>IFERROR(__xludf.DUMMYFUNCTION("""COMPUTED_VALUE"""),41249.0)</f>
        <v>41249</v>
      </c>
      <c r="B3959" s="3" t="str">
        <f>IFERROR(__xludf.DUMMYFUNCTION("""COMPUTED_VALUE"""),"214 HARE RD")</f>
        <v>214 HARE RD</v>
      </c>
      <c r="C3959" s="3" t="str">
        <f>IFERROR(__xludf.DUMMYFUNCTION("""COMPUTED_VALUE"""),"GRAFTON ")</f>
        <v>GRAFTON </v>
      </c>
      <c r="D3959" s="3" t="str">
        <f>IFERROR(__xludf.DUMMYFUNCTION("""COMPUTED_VALUE"""),"K0K 2G0")</f>
        <v>K0K 2G0</v>
      </c>
      <c r="E3959" s="3"/>
      <c r="F3959" s="3"/>
      <c r="G3959" s="3"/>
      <c r="H3959" s="3"/>
    </row>
    <row r="3960">
      <c r="A3960" s="2">
        <f>IFERROR(__xludf.DUMMYFUNCTION("""COMPUTED_VALUE"""),41250.0)</f>
        <v>41250</v>
      </c>
      <c r="B3960" s="3" t="str">
        <f>IFERROR(__xludf.DUMMYFUNCTION("""COMPUTED_VALUE"""),"TBD 1 AVE")</f>
        <v>TBD 1 AVE</v>
      </c>
      <c r="C3960" s="3" t="str">
        <f>IFERROR(__xludf.DUMMYFUNCTION("""COMPUTED_VALUE"""),"COBOURG")</f>
        <v>COBOURG</v>
      </c>
      <c r="D3960" s="3" t="str">
        <f>IFERROR(__xludf.DUMMYFUNCTION("""COMPUTED_VALUE"""),"K9A 4J8")</f>
        <v>K9A 4J8</v>
      </c>
      <c r="E3960" s="3"/>
      <c r="F3960" s="3"/>
      <c r="G3960" s="3"/>
      <c r="H3960" s="3"/>
    </row>
    <row r="3961">
      <c r="A3961" s="2">
        <f>IFERROR(__xludf.DUMMYFUNCTION("""COMPUTED_VALUE"""),41292.0)</f>
        <v>41292</v>
      </c>
      <c r="B3961" s="3" t="str">
        <f>IFERROR(__xludf.DUMMYFUNCTION("""COMPUTED_VALUE"""),"569-1 TYSOVSKY ST")</f>
        <v>569-1 TYSOVSKY ST</v>
      </c>
      <c r="C3961" s="3"/>
      <c r="D3961" s="3"/>
      <c r="E3961" s="3"/>
      <c r="F3961" s="3"/>
      <c r="G3961" s="3"/>
      <c r="H3961" s="3"/>
    </row>
    <row r="3962">
      <c r="A3962" s="2">
        <f>IFERROR(__xludf.DUMMYFUNCTION("""COMPUTED_VALUE"""),41293.0)</f>
        <v>41293</v>
      </c>
      <c r="B3962" s="3" t="str">
        <f>IFERROR(__xludf.DUMMYFUNCTION("""COMPUTED_VALUE"""),"1532 MOORE ORCHARD RD")</f>
        <v>1532 MOORE ORCHARD RD</v>
      </c>
      <c r="C3962" s="3" t="str">
        <f>IFERROR(__xludf.DUMMYFUNCTION("""COMPUTED_VALUE"""),"Cobourg")</f>
        <v>Cobourg</v>
      </c>
      <c r="D3962" s="3" t="str">
        <f>IFERROR(__xludf.DUMMYFUNCTION("""COMPUTED_VALUE"""),"K9A 4J8")</f>
        <v>K9A 4J8</v>
      </c>
      <c r="E3962" s="3" t="str">
        <f>IFERROR(__xludf.DUMMYFUNCTION("""COMPUTED_VALUE"""),"Norman Clapp")</f>
        <v>Norman Clapp</v>
      </c>
      <c r="F3962" s="3" t="str">
        <f>IFERROR(__xludf.DUMMYFUNCTION("""COMPUTED_VALUE"""),"norm.clapp@gmail.com")</f>
        <v>norm.clapp@gmail.com</v>
      </c>
      <c r="G3962" s="3">
        <f>IFERROR(__xludf.DUMMYFUNCTION("""COMPUTED_VALUE"""),9.053723783E9)</f>
        <v>9053723783</v>
      </c>
      <c r="H3962" s="3"/>
    </row>
    <row r="3963">
      <c r="A3963" s="2">
        <f>IFERROR(__xludf.DUMMYFUNCTION("""COMPUTED_VALUE"""),41294.0)</f>
        <v>41294</v>
      </c>
      <c r="B3963" s="3" t="str">
        <f>IFERROR(__xludf.DUMMYFUNCTION("""COMPUTED_VALUE"""),"1610 JOE OLIVER RD")</f>
        <v>1610 JOE OLIVER RD</v>
      </c>
      <c r="C3963" s="3"/>
      <c r="D3963" s="3"/>
      <c r="E3963" s="3" t="str">
        <f>IFERROR(__xludf.DUMMYFUNCTION("""COMPUTED_VALUE"""),"jim workman mike mclellan")</f>
        <v>jim workman mike mclellan</v>
      </c>
      <c r="F3963" s="3" t="str">
        <f>IFERROR(__xludf.DUMMYFUNCTION("""COMPUTED_VALUE"""),"workman.marnie6@gmail.com")</f>
        <v>workman.marnie6@gmail.com</v>
      </c>
      <c r="G3963" s="3">
        <f>IFERROR(__xludf.DUMMYFUNCTION("""COMPUTED_VALUE"""),9.053722003E9)</f>
        <v>9053722003</v>
      </c>
      <c r="H3963" s="3">
        <f>IFERROR(__xludf.DUMMYFUNCTION("""COMPUTED_VALUE"""),9.053760934E9)</f>
        <v>9053760934</v>
      </c>
    </row>
    <row r="3964">
      <c r="A3964" s="2">
        <f>IFERROR(__xludf.DUMMYFUNCTION("""COMPUTED_VALUE"""),40089.0)</f>
        <v>40089</v>
      </c>
      <c r="B3964" s="3" t="str">
        <f>IFERROR(__xludf.DUMMYFUNCTION("""COMPUTED_VALUE"""),"652 BRIMLEY RD N")</f>
        <v>652 BRIMLEY RD N</v>
      </c>
      <c r="C3964" s="3" t="str">
        <f>IFERROR(__xludf.DUMMYFUNCTION("""COMPUTED_VALUE"""),"GRAFTON ")</f>
        <v>GRAFTON </v>
      </c>
      <c r="D3964" s="3" t="str">
        <f>IFERROR(__xludf.DUMMYFUNCTION("""COMPUTED_VALUE"""),"K0K 2G0")</f>
        <v>K0K 2G0</v>
      </c>
      <c r="E3964" s="3" t="str">
        <f>IFERROR(__xludf.DUMMYFUNCTION("""COMPUTED_VALUE"""),"robin carr")</f>
        <v>robin carr</v>
      </c>
      <c r="F3964" s="3" t="str">
        <f>IFERROR(__xludf.DUMMYFUNCTION("""COMPUTED_VALUE"""),"pooltbeeto@gmail.com")</f>
        <v>pooltbeeto@gmail.com</v>
      </c>
      <c r="G3964" s="3">
        <f>IFERROR(__xludf.DUMMYFUNCTION("""COMPUTED_VALUE"""),9.052698889E9)</f>
        <v>9052698889</v>
      </c>
      <c r="H3964" s="3"/>
    </row>
    <row r="3965">
      <c r="A3965" s="2">
        <f>IFERROR(__xludf.DUMMYFUNCTION("""COMPUTED_VALUE"""),40126.0)</f>
        <v>40126</v>
      </c>
      <c r="B3965" s="3" t="str">
        <f>IFERROR(__xludf.DUMMYFUNCTION("""COMPUTED_VALUE"""),"472-476 BRIMLEY RD S")</f>
        <v>472-476 BRIMLEY RD S</v>
      </c>
      <c r="C3965" s="3" t="str">
        <f>IFERROR(__xludf.DUMMYFUNCTION("""COMPUTED_VALUE"""),"GRAFTON ")</f>
        <v>GRAFTON </v>
      </c>
      <c r="D3965" s="3" t="str">
        <f>IFERROR(__xludf.DUMMYFUNCTION("""COMPUTED_VALUE"""),"K0K 2G0")</f>
        <v>K0K 2G0</v>
      </c>
      <c r="E3965" s="3"/>
      <c r="F3965" s="3"/>
      <c r="G3965" s="3"/>
      <c r="H3965" s="3"/>
    </row>
    <row r="3966">
      <c r="A3966" s="2">
        <f>IFERROR(__xludf.DUMMYFUNCTION("""COMPUTED_VALUE"""),40432.0)</f>
        <v>40432</v>
      </c>
      <c r="B3966" s="3" t="str">
        <f>IFERROR(__xludf.DUMMYFUNCTION("""COMPUTED_VALUE"""),"12776 COUNTY RD 2")</f>
        <v>12776 COUNTY RD 2</v>
      </c>
      <c r="C3966" s="3" t="str">
        <f>IFERROR(__xludf.DUMMYFUNCTION("""COMPUTED_VALUE"""),"COLBORNE")</f>
        <v>COLBORNE</v>
      </c>
      <c r="D3966" s="3" t="str">
        <f>IFERROR(__xludf.DUMMYFUNCTION("""COMPUTED_VALUE"""),"K0K 1S0")</f>
        <v>K0K 1S0</v>
      </c>
      <c r="E3966" s="3"/>
      <c r="F3966" s="3"/>
      <c r="G3966" s="3"/>
      <c r="H3966" s="3"/>
    </row>
    <row r="3967">
      <c r="A3967" s="2">
        <f>IFERROR(__xludf.DUMMYFUNCTION("""COMPUTED_VALUE"""),40433.0)</f>
        <v>40433</v>
      </c>
      <c r="B3967" s="3" t="str">
        <f>IFERROR(__xludf.DUMMYFUNCTION("""COMPUTED_VALUE"""),"10793-10793B COUNTY RD 2")</f>
        <v>10793-10793B COUNTY RD 2</v>
      </c>
      <c r="C3967" s="3" t="str">
        <f>IFERROR(__xludf.DUMMYFUNCTION("""COMPUTED_VALUE"""),"COBOURG")</f>
        <v>COBOURG</v>
      </c>
      <c r="D3967" s="3" t="str">
        <f>IFERROR(__xludf.DUMMYFUNCTION("""COMPUTED_VALUE"""),"K9A 4J8")</f>
        <v>K9A 4J8</v>
      </c>
      <c r="E3967" s="3"/>
      <c r="F3967" s="3"/>
      <c r="G3967" s="3"/>
      <c r="H3967" s="3"/>
    </row>
    <row r="3968">
      <c r="A3968" s="2">
        <f>IFERROR(__xludf.DUMMYFUNCTION("""COMPUTED_VALUE"""),40434.0)</f>
        <v>40434</v>
      </c>
      <c r="B3968" s="3" t="str">
        <f>IFERROR(__xludf.DUMMYFUNCTION("""COMPUTED_VALUE"""),"10810A COUNTY RD 2")</f>
        <v>10810A COUNTY RD 2</v>
      </c>
      <c r="C3968" s="3" t="str">
        <f>IFERROR(__xludf.DUMMYFUNCTION("""COMPUTED_VALUE"""),"COBOURG")</f>
        <v>COBOURG</v>
      </c>
      <c r="D3968" s="3" t="str">
        <f>IFERROR(__xludf.DUMMYFUNCTION("""COMPUTED_VALUE"""),"K9A 4J8")</f>
        <v>K9A 4J8</v>
      </c>
      <c r="E3968" s="3"/>
      <c r="F3968" s="3"/>
      <c r="G3968" s="3"/>
      <c r="H3968" s="3"/>
    </row>
    <row r="3969">
      <c r="A3969" s="2">
        <f>IFERROR(__xludf.DUMMYFUNCTION("""COMPUTED_VALUE"""),41300.0)</f>
        <v>41300</v>
      </c>
      <c r="B3969" s="3" t="str">
        <f>IFERROR(__xludf.DUMMYFUNCTION("""COMPUTED_VALUE"""),"590 BROOKSIDE RD")</f>
        <v>590 BROOKSIDE RD</v>
      </c>
      <c r="C3969" s="3" t="str">
        <f>IFERROR(__xludf.DUMMYFUNCTION("""COMPUTED_VALUE"""),"COBOURG")</f>
        <v>COBOURG</v>
      </c>
      <c r="D3969" s="3" t="str">
        <f>IFERROR(__xludf.DUMMYFUNCTION("""COMPUTED_VALUE"""),"K9A 4J8")</f>
        <v>K9A 4J8</v>
      </c>
      <c r="E3969" s="3" t="str">
        <f>IFERROR(__xludf.DUMMYFUNCTION("""COMPUTED_VALUE"""),"steve woop")</f>
        <v>steve woop</v>
      </c>
      <c r="F3969" s="3"/>
      <c r="G3969" s="3">
        <f>IFERROR(__xludf.DUMMYFUNCTION("""COMPUTED_VALUE"""),9.058096164E9)</f>
        <v>9058096164</v>
      </c>
      <c r="H3969" s="3"/>
    </row>
    <row r="3970">
      <c r="A3970" s="2">
        <f>IFERROR(__xludf.DUMMYFUNCTION("""COMPUTED_VALUE"""),41301.0)</f>
        <v>41301</v>
      </c>
      <c r="B3970" s="3" t="str">
        <f>IFERROR(__xludf.DUMMYFUNCTION("""COMPUTED_VALUE"""),"1924 MCEWEN RD")</f>
        <v>1924 MCEWEN RD</v>
      </c>
      <c r="C3970" s="3" t="str">
        <f>IFERROR(__xludf.DUMMYFUNCTION("""COMPUTED_VALUE"""),"COBOURG")</f>
        <v>COBOURG</v>
      </c>
      <c r="D3970" s="3" t="str">
        <f>IFERROR(__xludf.DUMMYFUNCTION("""COMPUTED_VALUE"""),"K9A 4J8")</f>
        <v>K9A 4J8</v>
      </c>
      <c r="E3970" s="3"/>
      <c r="F3970" s="3"/>
      <c r="G3970" s="3"/>
      <c r="H3970" s="3"/>
    </row>
    <row r="3971">
      <c r="A3971" s="2">
        <f>IFERROR(__xludf.DUMMYFUNCTION("""COMPUTED_VALUE"""),41302.0)</f>
        <v>41302</v>
      </c>
      <c r="B3971" s="3" t="str">
        <f>IFERROR(__xludf.DUMMYFUNCTION("""COMPUTED_VALUE"""),"1908 MCEWEN RD Unit B")</f>
        <v>1908 MCEWEN RD Unit B</v>
      </c>
      <c r="C3971" s="3" t="str">
        <f>IFERROR(__xludf.DUMMYFUNCTION("""COMPUTED_VALUE"""),"COBOURG")</f>
        <v>COBOURG</v>
      </c>
      <c r="D3971" s="3" t="str">
        <f>IFERROR(__xludf.DUMMYFUNCTION("""COMPUTED_VALUE"""),"K9A 4J8")</f>
        <v>K9A 4J8</v>
      </c>
      <c r="E3971" s="3" t="str">
        <f>IFERROR(__xludf.DUMMYFUNCTION("""COMPUTED_VALUE"""),"Vincent Davey")</f>
        <v>Vincent Davey</v>
      </c>
      <c r="F3971" s="3" t="str">
        <f>IFERROR(__xludf.DUMMYFUNCTION("""COMPUTED_VALUE"""),"vdavey33@gmail.com")</f>
        <v>vdavey33@gmail.com</v>
      </c>
      <c r="G3971" s="3"/>
      <c r="H3971" s="3"/>
    </row>
    <row r="3972">
      <c r="A3972" s="2">
        <f>IFERROR(__xludf.DUMMYFUNCTION("""COMPUTED_VALUE"""),41304.0)</f>
        <v>41304</v>
      </c>
      <c r="B3972" s="3" t="str">
        <f>IFERROR(__xludf.DUMMYFUNCTION("""COMPUTED_VALUE"""),"195 ARCHER RD")</f>
        <v>195 ARCHER RD</v>
      </c>
      <c r="C3972" s="3" t="str">
        <f>IFERROR(__xludf.DUMMYFUNCTION("""COMPUTED_VALUE"""),"COBOURG")</f>
        <v>COBOURG</v>
      </c>
      <c r="D3972" s="3" t="str">
        <f>IFERROR(__xludf.DUMMYFUNCTION("""COMPUTED_VALUE"""),"K9A 4J8")</f>
        <v>K9A 4J8</v>
      </c>
      <c r="E3972" s="3"/>
      <c r="F3972" s="3"/>
      <c r="G3972" s="3"/>
      <c r="H3972" s="3"/>
    </row>
    <row r="3973">
      <c r="A3973" s="2">
        <f>IFERROR(__xludf.DUMMYFUNCTION("""COMPUTED_VALUE"""),41306.0)</f>
        <v>41306</v>
      </c>
      <c r="B3973" s="3" t="str">
        <f>IFERROR(__xludf.DUMMYFUNCTION("""COMPUTED_VALUE"""),"2000 HILL 60")</f>
        <v>2000 HILL 60</v>
      </c>
      <c r="C3973" s="3" t="str">
        <f>IFERROR(__xludf.DUMMYFUNCTION("""COMPUTED_VALUE"""),"COBOURG")</f>
        <v>COBOURG</v>
      </c>
      <c r="D3973" s="3" t="str">
        <f>IFERROR(__xludf.DUMMYFUNCTION("""COMPUTED_VALUE"""),"K9A 4J8")</f>
        <v>K9A 4J8</v>
      </c>
      <c r="E3973" s="3"/>
      <c r="F3973" s="3"/>
      <c r="G3973" s="3"/>
      <c r="H3973" s="3"/>
    </row>
    <row r="3974">
      <c r="A3974" s="2">
        <f>IFERROR(__xludf.DUMMYFUNCTION("""COMPUTED_VALUE"""),40435.0)</f>
        <v>40435</v>
      </c>
      <c r="B3974" s="3" t="str">
        <f>IFERROR(__xludf.DUMMYFUNCTION("""COMPUTED_VALUE"""),"10810B COUNTY RD 2")</f>
        <v>10810B COUNTY RD 2</v>
      </c>
      <c r="C3974" s="3" t="str">
        <f>IFERROR(__xludf.DUMMYFUNCTION("""COMPUTED_VALUE"""),"COBOURG")</f>
        <v>COBOURG</v>
      </c>
      <c r="D3974" s="3" t="str">
        <f>IFERROR(__xludf.DUMMYFUNCTION("""COMPUTED_VALUE"""),"K9A 4J8")</f>
        <v>K9A 4J8</v>
      </c>
      <c r="E3974" s="3"/>
      <c r="F3974" s="3"/>
      <c r="G3974" s="3"/>
      <c r="H3974" s="3"/>
    </row>
    <row r="3975">
      <c r="A3975" s="2">
        <f>IFERROR(__xludf.DUMMYFUNCTION("""COMPUTED_VALUE"""),40436.0)</f>
        <v>40436</v>
      </c>
      <c r="B3975" s="3" t="str">
        <f>IFERROR(__xludf.DUMMYFUNCTION("""COMPUTED_VALUE"""),"12089A COUNTY RD 2")</f>
        <v>12089A COUNTY RD 2</v>
      </c>
      <c r="C3975" s="3" t="str">
        <f>IFERROR(__xludf.DUMMYFUNCTION("""COMPUTED_VALUE"""),"COLBORNE")</f>
        <v>COLBORNE</v>
      </c>
      <c r="D3975" s="3" t="str">
        <f>IFERROR(__xludf.DUMMYFUNCTION("""COMPUTED_VALUE"""),"K0K 1S0")</f>
        <v>K0K 1S0</v>
      </c>
      <c r="E3975" s="3"/>
      <c r="F3975" s="3"/>
      <c r="G3975" s="3"/>
      <c r="H3975" s="3"/>
    </row>
    <row r="3976">
      <c r="A3976" s="2">
        <f>IFERROR(__xludf.DUMMYFUNCTION("""COMPUTED_VALUE"""),61597.0)</f>
        <v>61597</v>
      </c>
      <c r="B3976" s="3" t="str">
        <f>IFERROR(__xludf.DUMMYFUNCTION("""COMPUTED_VALUE"""),"7650A COUNTY 50 RD  ")</f>
        <v>7650A COUNTY 50 RD  </v>
      </c>
      <c r="C3976" s="3" t="str">
        <f>IFERROR(__xludf.DUMMYFUNCTION("""COMPUTED_VALUE"""),"CAMPBELLFORD")</f>
        <v>CAMPBELLFORD</v>
      </c>
      <c r="D3976" s="3" t="str">
        <f>IFERROR(__xludf.DUMMYFUNCTION("""COMPUTED_VALUE"""),"K0L 1L0")</f>
        <v>K0L 1L0</v>
      </c>
      <c r="E3976" s="3"/>
      <c r="F3976" s="3"/>
      <c r="G3976" s="3"/>
      <c r="H3976" s="3"/>
    </row>
    <row r="3977">
      <c r="A3977" s="2">
        <f>IFERROR(__xludf.DUMMYFUNCTION("""COMPUTED_VALUE"""),61599.0)</f>
        <v>61599</v>
      </c>
      <c r="B3977" s="3" t="str">
        <f>IFERROR(__xludf.DUMMYFUNCTION("""COMPUTED_VALUE"""),"7650B COUNTY 50 RD  ")</f>
        <v>7650B COUNTY 50 RD  </v>
      </c>
      <c r="C3977" s="3" t="str">
        <f>IFERROR(__xludf.DUMMYFUNCTION("""COMPUTED_VALUE"""),"CAMPBELLFORD")</f>
        <v>CAMPBELLFORD</v>
      </c>
      <c r="D3977" s="3" t="str">
        <f>IFERROR(__xludf.DUMMYFUNCTION("""COMPUTED_VALUE"""),"K0L 1L0")</f>
        <v>K0L 1L0</v>
      </c>
      <c r="E3977" s="3"/>
      <c r="F3977" s="3"/>
      <c r="G3977" s="3"/>
      <c r="H3977" s="3"/>
    </row>
    <row r="3978">
      <c r="A3978" s="2">
        <f>IFERROR(__xludf.DUMMYFUNCTION("""COMPUTED_VALUE"""),61600.0)</f>
        <v>61600</v>
      </c>
      <c r="B3978" s="3" t="str">
        <f>IFERROR(__xludf.DUMMYFUNCTION("""COMPUTED_VALUE"""),"7650C COUNTY 50 RD  ")</f>
        <v>7650C COUNTY 50 RD  </v>
      </c>
      <c r="C3978" s="3" t="str">
        <f>IFERROR(__xludf.DUMMYFUNCTION("""COMPUTED_VALUE"""),"CAMPBELLFORD")</f>
        <v>CAMPBELLFORD</v>
      </c>
      <c r="D3978" s="3" t="str">
        <f>IFERROR(__xludf.DUMMYFUNCTION("""COMPUTED_VALUE"""),"K0L 1L0")</f>
        <v>K0L 1L0</v>
      </c>
      <c r="E3978" s="3"/>
      <c r="F3978" s="3"/>
      <c r="G3978" s="3"/>
      <c r="H3978" s="3"/>
    </row>
    <row r="3979">
      <c r="A3979" s="2">
        <f>IFERROR(__xludf.DUMMYFUNCTION("""COMPUTED_VALUE"""),61601.0)</f>
        <v>61601</v>
      </c>
      <c r="B3979" s="3" t="str">
        <f>IFERROR(__xludf.DUMMYFUNCTION("""COMPUTED_VALUE"""),"7650E COUNTY 50 RD  ")</f>
        <v>7650E COUNTY 50 RD  </v>
      </c>
      <c r="C3979" s="3" t="str">
        <f>IFERROR(__xludf.DUMMYFUNCTION("""COMPUTED_VALUE"""),"CAMPBELLFORD")</f>
        <v>CAMPBELLFORD</v>
      </c>
      <c r="D3979" s="3" t="str">
        <f>IFERROR(__xludf.DUMMYFUNCTION("""COMPUTED_VALUE"""),"K0L 1L0")</f>
        <v>K0L 1L0</v>
      </c>
      <c r="E3979" s="3"/>
      <c r="F3979" s="3"/>
      <c r="G3979" s="3"/>
      <c r="H3979" s="3"/>
    </row>
    <row r="3980">
      <c r="A3980" s="2">
        <f>IFERROR(__xludf.DUMMYFUNCTION("""COMPUTED_VALUE"""),61602.0)</f>
        <v>61602</v>
      </c>
      <c r="B3980" s="3" t="str">
        <f>IFERROR(__xludf.DUMMYFUNCTION("""COMPUTED_VALUE"""),"7665A COUNTY 50 RD  ")</f>
        <v>7665A COUNTY 50 RD  </v>
      </c>
      <c r="C3980" s="3" t="str">
        <f>IFERROR(__xludf.DUMMYFUNCTION("""COMPUTED_VALUE"""),"CAMPBELLFORD")</f>
        <v>CAMPBELLFORD</v>
      </c>
      <c r="D3980" s="3" t="str">
        <f>IFERROR(__xludf.DUMMYFUNCTION("""COMPUTED_VALUE"""),"K0L 1L0")</f>
        <v>K0L 1L0</v>
      </c>
      <c r="E3980" s="3" t="str">
        <f>IFERROR(__xludf.DUMMYFUNCTION("""COMPUTED_VALUE"""),"jane webster ")</f>
        <v>jane webster </v>
      </c>
      <c r="F3980" s="3" t="str">
        <f>IFERROR(__xludf.DUMMYFUNCTION("""COMPUTED_VALUE"""),"janewebster64@hotmail.com")</f>
        <v>janewebster64@hotmail.com</v>
      </c>
      <c r="G3980" s="3">
        <f>IFERROR(__xludf.DUMMYFUNCTION("""COMPUTED_VALUE"""),7.053136858E9)</f>
        <v>7053136858</v>
      </c>
      <c r="H3980" s="3"/>
    </row>
    <row r="3981">
      <c r="A3981" s="2">
        <f>IFERROR(__xludf.DUMMYFUNCTION("""COMPUTED_VALUE"""),61603.0)</f>
        <v>61603</v>
      </c>
      <c r="B3981" s="3" t="str">
        <f>IFERROR(__xludf.DUMMYFUNCTION("""COMPUTED_VALUE"""),"7665B COUNTY 50 RD  ")</f>
        <v>7665B COUNTY 50 RD  </v>
      </c>
      <c r="C3981" s="3" t="str">
        <f>IFERROR(__xludf.DUMMYFUNCTION("""COMPUTED_VALUE"""),"CAMPBELLFORD")</f>
        <v>CAMPBELLFORD</v>
      </c>
      <c r="D3981" s="3" t="str">
        <f>IFERROR(__xludf.DUMMYFUNCTION("""COMPUTED_VALUE"""),"K0L 1L0")</f>
        <v>K0L 1L0</v>
      </c>
      <c r="E3981" s="3"/>
      <c r="F3981" s="3"/>
      <c r="G3981" s="3"/>
      <c r="H3981" s="3"/>
    </row>
    <row r="3982">
      <c r="A3982" s="2">
        <f>IFERROR(__xludf.DUMMYFUNCTION("""COMPUTED_VALUE"""),61604.0)</f>
        <v>61604</v>
      </c>
      <c r="B3982" s="3" t="str">
        <f>IFERROR(__xludf.DUMMYFUNCTION("""COMPUTED_VALUE"""),"7690A COUNTY 50 RD  ")</f>
        <v>7690A COUNTY 50 RD  </v>
      </c>
      <c r="C3982" s="3" t="str">
        <f>IFERROR(__xludf.DUMMYFUNCTION("""COMPUTED_VALUE"""),"CAMPBELLFORD")</f>
        <v>CAMPBELLFORD</v>
      </c>
      <c r="D3982" s="3" t="str">
        <f>IFERROR(__xludf.DUMMYFUNCTION("""COMPUTED_VALUE"""),"K0L 1L0")</f>
        <v>K0L 1L0</v>
      </c>
      <c r="E3982" s="3"/>
      <c r="F3982" s="3"/>
      <c r="G3982" s="3"/>
      <c r="H3982" s="3"/>
    </row>
    <row r="3983">
      <c r="A3983" s="2">
        <f>IFERROR(__xludf.DUMMYFUNCTION("""COMPUTED_VALUE"""),61605.0)</f>
        <v>61605</v>
      </c>
      <c r="B3983" s="3" t="str">
        <f>IFERROR(__xludf.DUMMYFUNCTION("""COMPUTED_VALUE"""),"7690C COUNTY RD 50")</f>
        <v>7690C COUNTY RD 50</v>
      </c>
      <c r="C3983" s="3" t="str">
        <f>IFERROR(__xludf.DUMMYFUNCTION("""COMPUTED_VALUE"""),"CAMPBELLFORD")</f>
        <v>CAMPBELLFORD</v>
      </c>
      <c r="D3983" s="3" t="str">
        <f>IFERROR(__xludf.DUMMYFUNCTION("""COMPUTED_VALUE"""),"K0L 1L0")</f>
        <v>K0L 1L0</v>
      </c>
      <c r="E3983" s="3" t="str">
        <f>IFERROR(__xludf.DUMMYFUNCTION("""COMPUTED_VALUE"""),"Amie nicholson")</f>
        <v>Amie nicholson</v>
      </c>
      <c r="F3983" s="3" t="str">
        <f>IFERROR(__xludf.DUMMYFUNCTION("""COMPUTED_VALUE"""),"nicholson_amie@yahoo.com")</f>
        <v>nicholson_amie@yahoo.com</v>
      </c>
      <c r="G3983" s="3">
        <f>IFERROR(__xludf.DUMMYFUNCTION("""COMPUTED_VALUE"""),7.056536321E9)</f>
        <v>7056536321</v>
      </c>
      <c r="H3983" s="3"/>
    </row>
    <row r="3984">
      <c r="A3984" s="2">
        <f>IFERROR(__xludf.DUMMYFUNCTION("""COMPUTED_VALUE"""),61606.0)</f>
        <v>61606</v>
      </c>
      <c r="B3984" s="3" t="str">
        <f>IFERROR(__xludf.DUMMYFUNCTION("""COMPUTED_VALUE"""),"7690D COUNTY 50 RD  ")</f>
        <v>7690D COUNTY 50 RD  </v>
      </c>
      <c r="C3984" s="3" t="str">
        <f>IFERROR(__xludf.DUMMYFUNCTION("""COMPUTED_VALUE"""),"CAMPBELLFORD")</f>
        <v>CAMPBELLFORD</v>
      </c>
      <c r="D3984" s="3" t="str">
        <f>IFERROR(__xludf.DUMMYFUNCTION("""COMPUTED_VALUE"""),"K0L 1L0")</f>
        <v>K0L 1L0</v>
      </c>
      <c r="E3984" s="3" t="str">
        <f>IFERROR(__xludf.DUMMYFUNCTION("""COMPUTED_VALUE"""),"gino pace ")</f>
        <v>gino pace </v>
      </c>
      <c r="F3984" s="3" t="str">
        <f>IFERROR(__xludf.DUMMYFUNCTION("""COMPUTED_VALUE"""),"pacemaker40@hotmail.com")</f>
        <v>pacemaker40@hotmail.com</v>
      </c>
      <c r="G3984" s="3">
        <f>IFERROR(__xludf.DUMMYFUNCTION("""COMPUTED_VALUE"""),4.167378994E9)</f>
        <v>4167378994</v>
      </c>
      <c r="H3984" s="3"/>
    </row>
    <row r="3985">
      <c r="A3985" s="2">
        <f>IFERROR(__xludf.DUMMYFUNCTION("""COMPUTED_VALUE"""),61607.0)</f>
        <v>61607</v>
      </c>
      <c r="B3985" s="3" t="str">
        <f>IFERROR(__xludf.DUMMYFUNCTION("""COMPUTED_VALUE"""),"7690E COUNTY 50 RD  ")</f>
        <v>7690E COUNTY 50 RD  </v>
      </c>
      <c r="C3985" s="3" t="str">
        <f>IFERROR(__xludf.DUMMYFUNCTION("""COMPUTED_VALUE"""),"CAMPBELLFORD")</f>
        <v>CAMPBELLFORD</v>
      </c>
      <c r="D3985" s="3" t="str">
        <f>IFERROR(__xludf.DUMMYFUNCTION("""COMPUTED_VALUE"""),"K0L 1L0")</f>
        <v>K0L 1L0</v>
      </c>
      <c r="E3985" s="3"/>
      <c r="F3985" s="3"/>
      <c r="G3985" s="3"/>
      <c r="H3985" s="3"/>
    </row>
    <row r="3986">
      <c r="A3986" s="2">
        <f>IFERROR(__xludf.DUMMYFUNCTION("""COMPUTED_VALUE"""),61608.0)</f>
        <v>61608</v>
      </c>
      <c r="B3986" s="3" t="str">
        <f>IFERROR(__xludf.DUMMYFUNCTION("""COMPUTED_VALUE"""),"7690F COUNTY 50 RD  ")</f>
        <v>7690F COUNTY 50 RD  </v>
      </c>
      <c r="C3986" s="3" t="str">
        <f>IFERROR(__xludf.DUMMYFUNCTION("""COMPUTED_VALUE"""),"CAMPBELLFORD")</f>
        <v>CAMPBELLFORD</v>
      </c>
      <c r="D3986" s="3" t="str">
        <f>IFERROR(__xludf.DUMMYFUNCTION("""COMPUTED_VALUE"""),"K0L 1L0")</f>
        <v>K0L 1L0</v>
      </c>
      <c r="E3986" s="3" t="str">
        <f>IFERROR(__xludf.DUMMYFUNCTION("""COMPUTED_VALUE"""),"fred samis ")</f>
        <v>fred samis </v>
      </c>
      <c r="F3986" s="3"/>
      <c r="G3986" s="3">
        <f>IFERROR(__xludf.DUMMYFUNCTION("""COMPUTED_VALUE"""),7.053139277E9)</f>
        <v>7053139277</v>
      </c>
      <c r="H3986" s="3"/>
    </row>
    <row r="3987">
      <c r="A3987" s="2">
        <f>IFERROR(__xludf.DUMMYFUNCTION("""COMPUTED_VALUE"""),61609.0)</f>
        <v>61609</v>
      </c>
      <c r="B3987" s="3" t="str">
        <f>IFERROR(__xludf.DUMMYFUNCTION("""COMPUTED_VALUE"""),"7690G COUNTY 50 RD  ")</f>
        <v>7690G COUNTY 50 RD  </v>
      </c>
      <c r="C3987" s="3" t="str">
        <f>IFERROR(__xludf.DUMMYFUNCTION("""COMPUTED_VALUE"""),"CAMPBELLFORD")</f>
        <v>CAMPBELLFORD</v>
      </c>
      <c r="D3987" s="3" t="str">
        <f>IFERROR(__xludf.DUMMYFUNCTION("""COMPUTED_VALUE"""),"K0L 1L0")</f>
        <v>K0L 1L0</v>
      </c>
      <c r="E3987" s="3"/>
      <c r="F3987" s="3"/>
      <c r="G3987" s="3"/>
      <c r="H3987" s="3"/>
    </row>
    <row r="3988">
      <c r="A3988" s="2">
        <f>IFERROR(__xludf.DUMMYFUNCTION("""COMPUTED_VALUE"""),62432.0)</f>
        <v>62432</v>
      </c>
      <c r="B3988" s="3" t="str">
        <f>IFERROR(__xludf.DUMMYFUNCTION("""COMPUTED_VALUE"""),"24 LAKESHORE DR  ")</f>
        <v>24 LAKESHORE DR  </v>
      </c>
      <c r="C3988" s="3" t="str">
        <f>IFERROR(__xludf.DUMMYFUNCTION("""COMPUTED_VALUE"""),"HASTINGS")</f>
        <v>HASTINGS</v>
      </c>
      <c r="D3988" s="3" t="str">
        <f>IFERROR(__xludf.DUMMYFUNCTION("""COMPUTED_VALUE"""),"K0L 1Y0")</f>
        <v>K0L 1Y0</v>
      </c>
      <c r="E3988" s="3" t="str">
        <f>IFERROR(__xludf.DUMMYFUNCTION("""COMPUTED_VALUE"""),"Charles Neilson")</f>
        <v>Charles Neilson</v>
      </c>
      <c r="F3988" s="3" t="str">
        <f>IFERROR(__xludf.DUMMYFUNCTION("""COMPUTED_VALUE"""),"cneils88@gmail.com")</f>
        <v>cneils88@gmail.com</v>
      </c>
      <c r="G3988" s="3"/>
      <c r="H3988" s="3"/>
    </row>
    <row r="3989">
      <c r="A3989" s="2">
        <f>IFERROR(__xludf.DUMMYFUNCTION("""COMPUTED_VALUE"""),62433.0)</f>
        <v>62433</v>
      </c>
      <c r="B3989" s="3" t="str">
        <f>IFERROR(__xludf.DUMMYFUNCTION("""COMPUTED_VALUE"""),"26 LAKESHORE DR  ")</f>
        <v>26 LAKESHORE DR  </v>
      </c>
      <c r="C3989" s="3" t="str">
        <f>IFERROR(__xludf.DUMMYFUNCTION("""COMPUTED_VALUE"""),"HASTINGS")</f>
        <v>HASTINGS</v>
      </c>
      <c r="D3989" s="3" t="str">
        <f>IFERROR(__xludf.DUMMYFUNCTION("""COMPUTED_VALUE"""),"K0L 1Y0")</f>
        <v>K0L 1Y0</v>
      </c>
      <c r="E3989" s="3" t="str">
        <f>IFERROR(__xludf.DUMMYFUNCTION("""COMPUTED_VALUE"""),"daniel ng")</f>
        <v>daniel ng</v>
      </c>
      <c r="F3989" s="3" t="str">
        <f>IFERROR(__xludf.DUMMYFUNCTION("""COMPUTED_VALUE"""),"daniel.ng@cnlsys.com")</f>
        <v>daniel.ng@cnlsys.com</v>
      </c>
      <c r="G3989" s="3">
        <f>IFERROR(__xludf.DUMMYFUNCTION("""COMPUTED_VALUE"""),4.164567106E9)</f>
        <v>4164567106</v>
      </c>
      <c r="H3989" s="3"/>
    </row>
    <row r="3990">
      <c r="A3990" s="2">
        <f>IFERROR(__xludf.DUMMYFUNCTION("""COMPUTED_VALUE"""),62434.0)</f>
        <v>62434</v>
      </c>
      <c r="B3990" s="3" t="str">
        <f>IFERROR(__xludf.DUMMYFUNCTION("""COMPUTED_VALUE"""),"28 LAKESHORE DR  ")</f>
        <v>28 LAKESHORE DR  </v>
      </c>
      <c r="C3990" s="3" t="str">
        <f>IFERROR(__xludf.DUMMYFUNCTION("""COMPUTED_VALUE"""),"HASTINGS")</f>
        <v>HASTINGS</v>
      </c>
      <c r="D3990" s="3" t="str">
        <f>IFERROR(__xludf.DUMMYFUNCTION("""COMPUTED_VALUE"""),"K0L 1Y0")</f>
        <v>K0L 1Y0</v>
      </c>
      <c r="E3990" s="3"/>
      <c r="F3990" s="3"/>
      <c r="G3990" s="3"/>
      <c r="H3990" s="3"/>
    </row>
    <row r="3991">
      <c r="A3991" s="2">
        <f>IFERROR(__xludf.DUMMYFUNCTION("""COMPUTED_VALUE"""),62435.0)</f>
        <v>62435</v>
      </c>
      <c r="B3991" s="3" t="str">
        <f>IFERROR(__xludf.DUMMYFUNCTION("""COMPUTED_VALUE"""),"30 LAKESHORE DR")</f>
        <v>30 LAKESHORE DR</v>
      </c>
      <c r="C3991" s="3"/>
      <c r="D3991" s="3"/>
      <c r="E3991" s="3"/>
      <c r="F3991" s="3"/>
      <c r="G3991" s="3"/>
      <c r="H3991" s="3"/>
    </row>
    <row r="3992">
      <c r="A3992" s="2">
        <f>IFERROR(__xludf.DUMMYFUNCTION("""COMPUTED_VALUE"""),62436.0)</f>
        <v>62436</v>
      </c>
      <c r="B3992" s="3" t="str">
        <f>IFERROR(__xludf.DUMMYFUNCTION("""COMPUTED_VALUE"""),"32 LAKESHORE DR  ")</f>
        <v>32 LAKESHORE DR  </v>
      </c>
      <c r="C3992" s="3" t="str">
        <f>IFERROR(__xludf.DUMMYFUNCTION("""COMPUTED_VALUE"""),"HASTINGS")</f>
        <v>HASTINGS</v>
      </c>
      <c r="D3992" s="3" t="str">
        <f>IFERROR(__xludf.DUMMYFUNCTION("""COMPUTED_VALUE"""),"K0L 1Y0")</f>
        <v>K0L 1Y0</v>
      </c>
      <c r="E3992" s="3"/>
      <c r="F3992" s="3"/>
      <c r="G3992" s="3"/>
      <c r="H3992" s="3"/>
    </row>
    <row r="3993">
      <c r="A3993" s="2">
        <f>IFERROR(__xludf.DUMMYFUNCTION("""COMPUTED_VALUE"""),62437.0)</f>
        <v>62437</v>
      </c>
      <c r="B3993" s="3" t="str">
        <f>IFERROR(__xludf.DUMMYFUNCTION("""COMPUTED_VALUE"""),"34 LAKESHORE DR  ")</f>
        <v>34 LAKESHORE DR  </v>
      </c>
      <c r="C3993" s="3" t="str">
        <f>IFERROR(__xludf.DUMMYFUNCTION("""COMPUTED_VALUE"""),"HASTINGS")</f>
        <v>HASTINGS</v>
      </c>
      <c r="D3993" s="3" t="str">
        <f>IFERROR(__xludf.DUMMYFUNCTION("""COMPUTED_VALUE"""),"K0L 1Y0")</f>
        <v>K0L 1Y0</v>
      </c>
      <c r="E3993" s="3"/>
      <c r="F3993" s="3"/>
      <c r="G3993" s="3"/>
      <c r="H3993" s="3"/>
    </row>
    <row r="3994">
      <c r="A3994" s="2">
        <f>IFERROR(__xludf.DUMMYFUNCTION("""COMPUTED_VALUE"""),62438.0)</f>
        <v>62438</v>
      </c>
      <c r="B3994" s="3" t="str">
        <f>IFERROR(__xludf.DUMMYFUNCTION("""COMPUTED_VALUE"""),"36 LAKESHORE DR  ")</f>
        <v>36 LAKESHORE DR  </v>
      </c>
      <c r="C3994" s="3" t="str">
        <f>IFERROR(__xludf.DUMMYFUNCTION("""COMPUTED_VALUE"""),"HASTINGS")</f>
        <v>HASTINGS</v>
      </c>
      <c r="D3994" s="3" t="str">
        <f>IFERROR(__xludf.DUMMYFUNCTION("""COMPUTED_VALUE"""),"K0L 1Y0")</f>
        <v>K0L 1Y0</v>
      </c>
      <c r="E3994" s="3"/>
      <c r="F3994" s="3"/>
      <c r="G3994" s="3"/>
      <c r="H3994" s="3"/>
    </row>
    <row r="3995">
      <c r="A3995" s="2">
        <f>IFERROR(__xludf.DUMMYFUNCTION("""COMPUTED_VALUE"""),63664.0)</f>
        <v>63664</v>
      </c>
      <c r="B3995" s="3" t="str">
        <f>IFERROR(__xludf.DUMMYFUNCTION("""COMPUTED_VALUE"""),"26 WESTVIEW RD  ")</f>
        <v>26 WESTVIEW RD  </v>
      </c>
      <c r="C3995" s="3" t="str">
        <f>IFERROR(__xludf.DUMMYFUNCTION("""COMPUTED_VALUE"""),"HASTINGS")</f>
        <v>HASTINGS</v>
      </c>
      <c r="D3995" s="3" t="str">
        <f>IFERROR(__xludf.DUMMYFUNCTION("""COMPUTED_VALUE"""),"K0L 1Y0")</f>
        <v>K0L 1Y0</v>
      </c>
      <c r="E3995" s="3" t="str">
        <f>IFERROR(__xludf.DUMMYFUNCTION("""COMPUTED_VALUE"""),"bonnin ocampo")</f>
        <v>bonnin ocampo</v>
      </c>
      <c r="F3995" s="3" t="str">
        <f>IFERROR(__xludf.DUMMYFUNCTION("""COMPUTED_VALUE""")," bonnn_@hotmail.com")</f>
        <v> bonnn_@hotmail.com</v>
      </c>
      <c r="G3995" s="3">
        <f>IFERROR(__xludf.DUMMYFUNCTION("""COMPUTED_VALUE"""),9.053013358E9)</f>
        <v>9053013358</v>
      </c>
      <c r="H3995" s="3">
        <f>IFERROR(__xludf.DUMMYFUNCTION("""COMPUTED_VALUE"""),4.168758857E9)</f>
        <v>4168758857</v>
      </c>
    </row>
    <row r="3996">
      <c r="A3996" s="2">
        <f>IFERROR(__xludf.DUMMYFUNCTION("""COMPUTED_VALUE"""),63665.0)</f>
        <v>63665</v>
      </c>
      <c r="B3996" s="3" t="str">
        <f>IFERROR(__xludf.DUMMYFUNCTION("""COMPUTED_VALUE"""),"28 WESTVIEW RD  ")</f>
        <v>28 WESTVIEW RD  </v>
      </c>
      <c r="C3996" s="3" t="str">
        <f>IFERROR(__xludf.DUMMYFUNCTION("""COMPUTED_VALUE"""),"HASTINGS")</f>
        <v>HASTINGS</v>
      </c>
      <c r="D3996" s="3" t="str">
        <f>IFERROR(__xludf.DUMMYFUNCTION("""COMPUTED_VALUE"""),"K0L 1Y0")</f>
        <v>K0L 1Y0</v>
      </c>
      <c r="E3996" s="3"/>
      <c r="F3996" s="3"/>
      <c r="G3996" s="3"/>
      <c r="H3996" s="3"/>
    </row>
    <row r="3997">
      <c r="A3997" s="2">
        <f>IFERROR(__xludf.DUMMYFUNCTION("""COMPUTED_VALUE"""),63666.0)</f>
        <v>63666</v>
      </c>
      <c r="B3997" s="3" t="str">
        <f>IFERROR(__xludf.DUMMYFUNCTION("""COMPUTED_VALUE"""),"30 WESTVIEW RD  ")</f>
        <v>30 WESTVIEW RD  </v>
      </c>
      <c r="C3997" s="3" t="str">
        <f>IFERROR(__xludf.DUMMYFUNCTION("""COMPUTED_VALUE"""),"HASTINGS")</f>
        <v>HASTINGS</v>
      </c>
      <c r="D3997" s="3" t="str">
        <f>IFERROR(__xludf.DUMMYFUNCTION("""COMPUTED_VALUE"""),"K0L 1Y0")</f>
        <v>K0L 1Y0</v>
      </c>
      <c r="E3997" s="3" t="str">
        <f>IFERROR(__xludf.DUMMYFUNCTION("""COMPUTED_VALUE"""),"gary&amp;mary ann barnett")</f>
        <v>gary&amp;mary ann barnett</v>
      </c>
      <c r="F3997" s="3" t="str">
        <f>IFERROR(__xludf.DUMMYFUNCTION("""COMPUTED_VALUE"""),"wdklgary@gmail.com")</f>
        <v>wdklgary@gmail.com</v>
      </c>
      <c r="G3997" s="3"/>
      <c r="H3997" s="3"/>
    </row>
    <row r="3998">
      <c r="A3998" s="2">
        <f>IFERROR(__xludf.DUMMYFUNCTION("""COMPUTED_VALUE"""),63667.0)</f>
        <v>63667</v>
      </c>
      <c r="B3998" s="3" t="str">
        <f>IFERROR(__xludf.DUMMYFUNCTION("""COMPUTED_VALUE"""),"34 WESTVIEW RD  ")</f>
        <v>34 WESTVIEW RD  </v>
      </c>
      <c r="C3998" s="3" t="str">
        <f>IFERROR(__xludf.DUMMYFUNCTION("""COMPUTED_VALUE"""),"HASTINGS")</f>
        <v>HASTINGS</v>
      </c>
      <c r="D3998" s="3" t="str">
        <f>IFERROR(__xludf.DUMMYFUNCTION("""COMPUTED_VALUE"""),"K0L 1Y0")</f>
        <v>K0L 1Y0</v>
      </c>
      <c r="E3998" s="3"/>
      <c r="F3998" s="3"/>
      <c r="G3998" s="3"/>
      <c r="H3998" s="3"/>
    </row>
    <row r="3999">
      <c r="A3999" s="2">
        <f>IFERROR(__xludf.DUMMYFUNCTION("""COMPUTED_VALUE"""),63668.0)</f>
        <v>63668</v>
      </c>
      <c r="B3999" s="3" t="str">
        <f>IFERROR(__xludf.DUMMYFUNCTION("""COMPUTED_VALUE"""),"35 WESTVIEW RD  ")</f>
        <v>35 WESTVIEW RD  </v>
      </c>
      <c r="C3999" s="3" t="str">
        <f>IFERROR(__xludf.DUMMYFUNCTION("""COMPUTED_VALUE"""),"HASTINGS")</f>
        <v>HASTINGS</v>
      </c>
      <c r="D3999" s="3" t="str">
        <f>IFERROR(__xludf.DUMMYFUNCTION("""COMPUTED_VALUE"""),"K0L 1Y0")</f>
        <v>K0L 1Y0</v>
      </c>
      <c r="E3999" s="3"/>
      <c r="F3999" s="3"/>
      <c r="G3999" s="3"/>
      <c r="H3999" s="3"/>
    </row>
    <row r="4000">
      <c r="A4000" s="2">
        <f>IFERROR(__xludf.DUMMYFUNCTION("""COMPUTED_VALUE"""),63669.0)</f>
        <v>63669</v>
      </c>
      <c r="B4000" s="3" t="str">
        <f>IFERROR(__xludf.DUMMYFUNCTION("""COMPUTED_VALUE"""),"38 WESTVIEW RD  ")</f>
        <v>38 WESTVIEW RD  </v>
      </c>
      <c r="C4000" s="3" t="str">
        <f>IFERROR(__xludf.DUMMYFUNCTION("""COMPUTED_VALUE"""),"HASTINGS")</f>
        <v>HASTINGS</v>
      </c>
      <c r="D4000" s="3" t="str">
        <f>IFERROR(__xludf.DUMMYFUNCTION("""COMPUTED_VALUE"""),"K0L 1Y0")</f>
        <v>K0L 1Y0</v>
      </c>
      <c r="E4000" s="3"/>
      <c r="F4000" s="3"/>
      <c r="G4000" s="3"/>
      <c r="H4000" s="3"/>
    </row>
    <row r="4001">
      <c r="A4001" s="2">
        <f>IFERROR(__xludf.DUMMYFUNCTION("""COMPUTED_VALUE"""),63670.0)</f>
        <v>63670</v>
      </c>
      <c r="B4001" s="3" t="str">
        <f>IFERROR(__xludf.DUMMYFUNCTION("""COMPUTED_VALUE"""),"40 WESTVIEW RD  ")</f>
        <v>40 WESTVIEW RD  </v>
      </c>
      <c r="C4001" s="3" t="str">
        <f>IFERROR(__xludf.DUMMYFUNCTION("""COMPUTED_VALUE"""),"HASTINGS")</f>
        <v>HASTINGS</v>
      </c>
      <c r="D4001" s="3" t="str">
        <f>IFERROR(__xludf.DUMMYFUNCTION("""COMPUTED_VALUE"""),"K0L 1Y0")</f>
        <v>K0L 1Y0</v>
      </c>
      <c r="E4001" s="3"/>
      <c r="F4001" s="3"/>
      <c r="G4001" s="3"/>
      <c r="H4001" s="3"/>
    </row>
    <row r="4002">
      <c r="A4002" s="2">
        <f>IFERROR(__xludf.DUMMYFUNCTION("""COMPUTED_VALUE"""),63671.0)</f>
        <v>63671</v>
      </c>
      <c r="B4002" s="3" t="str">
        <f>IFERROR(__xludf.DUMMYFUNCTION("""COMPUTED_VALUE"""),"41 WESTVIEW RD  ")</f>
        <v>41 WESTVIEW RD  </v>
      </c>
      <c r="C4002" s="3" t="str">
        <f>IFERROR(__xludf.DUMMYFUNCTION("""COMPUTED_VALUE"""),"HASTINGS")</f>
        <v>HASTINGS</v>
      </c>
      <c r="D4002" s="3" t="str">
        <f>IFERROR(__xludf.DUMMYFUNCTION("""COMPUTED_VALUE"""),"K0L 1Y0")</f>
        <v>K0L 1Y0</v>
      </c>
      <c r="E4002" s="3"/>
      <c r="F4002" s="3"/>
      <c r="G4002" s="3"/>
      <c r="H4002" s="3"/>
    </row>
    <row r="4003">
      <c r="A4003" s="2">
        <f>IFERROR(__xludf.DUMMYFUNCTION("""COMPUTED_VALUE"""),63672.0)</f>
        <v>63672</v>
      </c>
      <c r="B4003" s="3" t="str">
        <f>IFERROR(__xludf.DUMMYFUNCTION("""COMPUTED_VALUE"""),"42 WESTVIEW RD  ")</f>
        <v>42 WESTVIEW RD  </v>
      </c>
      <c r="C4003" s="3" t="str">
        <f>IFERROR(__xludf.DUMMYFUNCTION("""COMPUTED_VALUE"""),"HASTINGS")</f>
        <v>HASTINGS</v>
      </c>
      <c r="D4003" s="3" t="str">
        <f>IFERROR(__xludf.DUMMYFUNCTION("""COMPUTED_VALUE"""),"K0L 1Y0")</f>
        <v>K0L 1Y0</v>
      </c>
      <c r="E4003" s="3" t="str">
        <f>IFERROR(__xludf.DUMMYFUNCTION("""COMPUTED_VALUE"""),"Matthew Sklavos")</f>
        <v>Matthew Sklavos</v>
      </c>
      <c r="F4003" s="3" t="str">
        <f>IFERROR(__xludf.DUMMYFUNCTION("""COMPUTED_VALUE"""),"sklavos.matt@gmail.com")</f>
        <v>sklavos.matt@gmail.com</v>
      </c>
      <c r="G4003" s="3">
        <f>IFERROR(__xludf.DUMMYFUNCTION("""COMPUTED_VALUE"""),6.476674414E9)</f>
        <v>6476674414</v>
      </c>
      <c r="H4003" s="3"/>
    </row>
    <row r="4004">
      <c r="A4004" s="2">
        <f>IFERROR(__xludf.DUMMYFUNCTION("""COMPUTED_VALUE"""),63673.0)</f>
        <v>63673</v>
      </c>
      <c r="B4004" s="3" t="str">
        <f>IFERROR(__xludf.DUMMYFUNCTION("""COMPUTED_VALUE"""),"46 WESTVIEW RD  ")</f>
        <v>46 WESTVIEW RD  </v>
      </c>
      <c r="C4004" s="3" t="str">
        <f>IFERROR(__xludf.DUMMYFUNCTION("""COMPUTED_VALUE"""),"HASTINGS")</f>
        <v>HASTINGS</v>
      </c>
      <c r="D4004" s="3" t="str">
        <f>IFERROR(__xludf.DUMMYFUNCTION("""COMPUTED_VALUE"""),"K0L 1Y0")</f>
        <v>K0L 1Y0</v>
      </c>
      <c r="E4004" s="3" t="str">
        <f>IFERROR(__xludf.DUMMYFUNCTION("""COMPUTED_VALUE"""),"pam mills ")</f>
        <v>pam mills </v>
      </c>
      <c r="F4004" s="3"/>
      <c r="G4004" s="3">
        <f>IFERROR(__xludf.DUMMYFUNCTION("""COMPUTED_VALUE"""),9.0537969E9)</f>
        <v>9053796900</v>
      </c>
      <c r="H4004" s="3"/>
    </row>
    <row r="4005">
      <c r="A4005" s="2">
        <f>IFERROR(__xludf.DUMMYFUNCTION("""COMPUTED_VALUE"""),60343.0)</f>
        <v>60343</v>
      </c>
      <c r="B4005" s="3" t="str">
        <f>IFERROR(__xludf.DUMMYFUNCTION("""COMPUTED_VALUE"""),"30A BASS LANE")</f>
        <v>30A BASS LANE</v>
      </c>
      <c r="C4005" s="3" t="str">
        <f>IFERROR(__xludf.DUMMYFUNCTION("""COMPUTED_VALUE"""),"CAMPBELLFORD")</f>
        <v>CAMPBELLFORD</v>
      </c>
      <c r="D4005" s="3" t="str">
        <f>IFERROR(__xludf.DUMMYFUNCTION("""COMPUTED_VALUE"""),"K0L 1L0")</f>
        <v>K0L 1L0</v>
      </c>
      <c r="E4005" s="3"/>
      <c r="F4005" s="3"/>
      <c r="G4005" s="3"/>
      <c r="H4005" s="3"/>
    </row>
    <row r="4006">
      <c r="A4006" s="2">
        <f>IFERROR(__xludf.DUMMYFUNCTION("""COMPUTED_VALUE"""),60344.0)</f>
        <v>60344</v>
      </c>
      <c r="B4006" s="3" t="str">
        <f>IFERROR(__xludf.DUMMYFUNCTION("""COMPUTED_VALUE"""),"30B BASS LANE")</f>
        <v>30B BASS LANE</v>
      </c>
      <c r="C4006" s="3" t="str">
        <f>IFERROR(__xludf.DUMMYFUNCTION("""COMPUTED_VALUE"""),"CAMPBELLFORD")</f>
        <v>CAMPBELLFORD</v>
      </c>
      <c r="D4006" s="3" t="str">
        <f>IFERROR(__xludf.DUMMYFUNCTION("""COMPUTED_VALUE"""),"K0L 1L0")</f>
        <v>K0L 1L0</v>
      </c>
      <c r="E4006" s="3"/>
      <c r="F4006" s="3"/>
      <c r="G4006" s="3"/>
      <c r="H4006" s="3"/>
    </row>
    <row r="4007">
      <c r="A4007" s="2">
        <f>IFERROR(__xludf.DUMMYFUNCTION("""COMPUTED_VALUE"""),60345.0)</f>
        <v>60345</v>
      </c>
      <c r="B4007" s="3" t="str">
        <f>IFERROR(__xludf.DUMMYFUNCTION("""COMPUTED_VALUE"""),"30C BASS LANE")</f>
        <v>30C BASS LANE</v>
      </c>
      <c r="C4007" s="3" t="str">
        <f>IFERROR(__xludf.DUMMYFUNCTION("""COMPUTED_VALUE"""),"CAMPBELLFORD")</f>
        <v>CAMPBELLFORD</v>
      </c>
      <c r="D4007" s="3" t="str">
        <f>IFERROR(__xludf.DUMMYFUNCTION("""COMPUTED_VALUE"""),"K0L 1L0")</f>
        <v>K0L 1L0</v>
      </c>
      <c r="E4007" s="3" t="str">
        <f>IFERROR(__xludf.DUMMYFUNCTION("""COMPUTED_VALUE"""),"Shawn Scanlan")</f>
        <v>Shawn Scanlan</v>
      </c>
      <c r="F4007" s="3" t="str">
        <f>IFERROR(__xludf.DUMMYFUNCTION("""COMPUTED_VALUE"""),"s.scanlan@gmail.com")</f>
        <v>s.scanlan@gmail.com</v>
      </c>
      <c r="G4007" s="3">
        <f>IFERROR(__xludf.DUMMYFUNCTION("""COMPUTED_VALUE"""),4.168293985E9)</f>
        <v>4168293985</v>
      </c>
      <c r="H4007" s="3"/>
    </row>
    <row r="4008">
      <c r="A4008" s="2">
        <f>IFERROR(__xludf.DUMMYFUNCTION("""COMPUTED_VALUE"""),60346.0)</f>
        <v>60346</v>
      </c>
      <c r="B4008" s="3" t="str">
        <f>IFERROR(__xludf.DUMMYFUNCTION("""COMPUTED_VALUE"""),"30D BASS LANE")</f>
        <v>30D BASS LANE</v>
      </c>
      <c r="C4008" s="3" t="str">
        <f>IFERROR(__xludf.DUMMYFUNCTION("""COMPUTED_VALUE"""),"CAMPBELLFORD")</f>
        <v>CAMPBELLFORD</v>
      </c>
      <c r="D4008" s="3" t="str">
        <f>IFERROR(__xludf.DUMMYFUNCTION("""COMPUTED_VALUE"""),"K0L 1L0")</f>
        <v>K0L 1L0</v>
      </c>
      <c r="E4008" s="3" t="str">
        <f>IFERROR(__xludf.DUMMYFUNCTION("""COMPUTED_VALUE"""),"douglas r mcknight ")</f>
        <v>douglas r mcknight </v>
      </c>
      <c r="F4008" s="3"/>
      <c r="G4008" s="3">
        <f>IFERROR(__xludf.DUMMYFUNCTION("""COMPUTED_VALUE"""),7.058688375E9)</f>
        <v>7058688375</v>
      </c>
      <c r="H4008" s="3"/>
    </row>
    <row r="4009">
      <c r="A4009" s="2">
        <f>IFERROR(__xludf.DUMMYFUNCTION("""COMPUTED_VALUE"""),60347.0)</f>
        <v>60347</v>
      </c>
      <c r="B4009" s="3" t="str">
        <f>IFERROR(__xludf.DUMMYFUNCTION("""COMPUTED_VALUE"""),"30E BASS LANE")</f>
        <v>30E BASS LANE</v>
      </c>
      <c r="C4009" s="3" t="str">
        <f>IFERROR(__xludf.DUMMYFUNCTION("""COMPUTED_VALUE"""),"CAMPBELLFORD")</f>
        <v>CAMPBELLFORD</v>
      </c>
      <c r="D4009" s="3" t="str">
        <f>IFERROR(__xludf.DUMMYFUNCTION("""COMPUTED_VALUE"""),"K0L 1L0")</f>
        <v>K0L 1L0</v>
      </c>
      <c r="E4009" s="3"/>
      <c r="F4009" s="3"/>
      <c r="G4009" s="3"/>
      <c r="H4009" s="3"/>
    </row>
    <row r="4010">
      <c r="A4010" s="2">
        <f>IFERROR(__xludf.DUMMYFUNCTION("""COMPUTED_VALUE"""),60348.0)</f>
        <v>60348</v>
      </c>
      <c r="B4010" s="3" t="str">
        <f>IFERROR(__xludf.DUMMYFUNCTION("""COMPUTED_VALUE"""),"30F BASS LANE")</f>
        <v>30F BASS LANE</v>
      </c>
      <c r="C4010" s="3" t="str">
        <f>IFERROR(__xludf.DUMMYFUNCTION("""COMPUTED_VALUE"""),"CAMPBELLFORD")</f>
        <v>CAMPBELLFORD</v>
      </c>
      <c r="D4010" s="3" t="str">
        <f>IFERROR(__xludf.DUMMYFUNCTION("""COMPUTED_VALUE"""),"K0L 1L0")</f>
        <v>K0L 1L0</v>
      </c>
      <c r="E4010" s="3"/>
      <c r="F4010" s="3"/>
      <c r="G4010" s="3"/>
      <c r="H4010" s="3"/>
    </row>
    <row r="4011">
      <c r="A4011" s="2">
        <f>IFERROR(__xludf.DUMMYFUNCTION("""COMPUTED_VALUE"""),62486.0)</f>
        <v>62486</v>
      </c>
      <c r="B4011" s="3" t="str">
        <f>IFERROR(__xludf.DUMMYFUNCTION("""COMPUTED_VALUE"""),"52A LODGE RD  ")</f>
        <v>52A LODGE RD  </v>
      </c>
      <c r="C4011" s="3" t="str">
        <f>IFERROR(__xludf.DUMMYFUNCTION("""COMPUTED_VALUE"""),"CAMPBELLFORD")</f>
        <v>CAMPBELLFORD</v>
      </c>
      <c r="D4011" s="3" t="str">
        <f>IFERROR(__xludf.DUMMYFUNCTION("""COMPUTED_VALUE"""),"K0L 1L0")</f>
        <v>K0L 1L0</v>
      </c>
      <c r="E4011" s="3" t="str">
        <f>IFERROR(__xludf.DUMMYFUNCTION("""COMPUTED_VALUE"""),"Anne Passmore")</f>
        <v>Anne Passmore</v>
      </c>
      <c r="F4011" s="3" t="str">
        <f>IFERROR(__xludf.DUMMYFUNCTION("""COMPUTED_VALUE"""),"anne.passmore@hotmail.com")</f>
        <v>anne.passmore@hotmail.com</v>
      </c>
      <c r="G4011" s="3">
        <f>IFERROR(__xludf.DUMMYFUNCTION("""COMPUTED_VALUE"""),7.056320623E9)</f>
        <v>7056320623</v>
      </c>
      <c r="H4011" s="3"/>
    </row>
    <row r="4012">
      <c r="A4012" s="2">
        <f>IFERROR(__xludf.DUMMYFUNCTION("""COMPUTED_VALUE"""),62487.0)</f>
        <v>62487</v>
      </c>
      <c r="B4012" s="3" t="str">
        <f>IFERROR(__xludf.DUMMYFUNCTION("""COMPUTED_VALUE"""),"52B LODGE RD  ")</f>
        <v>52B LODGE RD  </v>
      </c>
      <c r="C4012" s="3" t="str">
        <f>IFERROR(__xludf.DUMMYFUNCTION("""COMPUTED_VALUE"""),"CAMPBELLFORD")</f>
        <v>CAMPBELLFORD</v>
      </c>
      <c r="D4012" s="3" t="str">
        <f>IFERROR(__xludf.DUMMYFUNCTION("""COMPUTED_VALUE"""),"K0L 1L0")</f>
        <v>K0L 1L0</v>
      </c>
      <c r="E4012" s="3"/>
      <c r="F4012" s="3"/>
      <c r="G4012" s="3"/>
      <c r="H4012" s="3"/>
    </row>
    <row r="4013">
      <c r="A4013" s="2">
        <f>IFERROR(__xludf.DUMMYFUNCTION("""COMPUTED_VALUE"""),62488.0)</f>
        <v>62488</v>
      </c>
      <c r="B4013" s="3" t="str">
        <f>IFERROR(__xludf.DUMMYFUNCTION("""COMPUTED_VALUE"""),"52C LODGE RD  ")</f>
        <v>52C LODGE RD  </v>
      </c>
      <c r="C4013" s="3" t="str">
        <f>IFERROR(__xludf.DUMMYFUNCTION("""COMPUTED_VALUE"""),"CAMPBELLFORD")</f>
        <v>CAMPBELLFORD</v>
      </c>
      <c r="D4013" s="3" t="str">
        <f>IFERROR(__xludf.DUMMYFUNCTION("""COMPUTED_VALUE"""),"K0L 1L0")</f>
        <v>K0L 1L0</v>
      </c>
      <c r="E4013" s="3"/>
      <c r="F4013" s="3"/>
      <c r="G4013" s="3"/>
      <c r="H4013" s="3"/>
    </row>
    <row r="4014">
      <c r="A4014" s="2">
        <f>IFERROR(__xludf.DUMMYFUNCTION("""COMPUTED_VALUE"""),61383.0)</f>
        <v>61383</v>
      </c>
      <c r="B4014" s="3" t="str">
        <f>IFERROR(__xludf.DUMMYFUNCTION("""COMPUTED_VALUE"""),"8500A COUNTY 30 RD  ")</f>
        <v>8500A COUNTY 30 RD  </v>
      </c>
      <c r="C4014" s="3" t="str">
        <f>IFERROR(__xludf.DUMMYFUNCTION("""COMPUTED_VALUE"""),"HAVELOCK")</f>
        <v>HAVELOCK</v>
      </c>
      <c r="D4014" s="3" t="str">
        <f>IFERROR(__xludf.DUMMYFUNCTION("""COMPUTED_VALUE"""),"K0L 1Z0")</f>
        <v>K0L 1Z0</v>
      </c>
      <c r="E4014" s="3" t="str">
        <f>IFERROR(__xludf.DUMMYFUNCTION("""COMPUTED_VALUE"""),"W, brown ")</f>
        <v>W, brown </v>
      </c>
      <c r="F4014" s="3" t="str">
        <f>IFERROR(__xludf.DUMMYFUNCTION("""COMPUTED_VALUE"""),"Will.brown.prospecting@gmail.com")</f>
        <v>Will.brown.prospecting@gmail.com</v>
      </c>
      <c r="G4014" s="3">
        <f>IFERROR(__xludf.DUMMYFUNCTION("""COMPUTED_VALUE"""),7.056536426E9)</f>
        <v>7056536426</v>
      </c>
      <c r="H4014" s="3">
        <f>IFERROR(__xludf.DUMMYFUNCTION("""COMPUTED_VALUE"""),7.057729705E9)</f>
        <v>7057729705</v>
      </c>
    </row>
    <row r="4015">
      <c r="A4015" s="2">
        <f>IFERROR(__xludf.DUMMYFUNCTION("""COMPUTED_VALUE"""),61384.0)</f>
        <v>61384</v>
      </c>
      <c r="B4015" s="3" t="str">
        <f>IFERROR(__xludf.DUMMYFUNCTION("""COMPUTED_VALUE"""),"8500B COUNTY 30 RD  ")</f>
        <v>8500B COUNTY 30 RD  </v>
      </c>
      <c r="C4015" s="3" t="str">
        <f>IFERROR(__xludf.DUMMYFUNCTION("""COMPUTED_VALUE"""),"HAVELOCK")</f>
        <v>HAVELOCK</v>
      </c>
      <c r="D4015" s="3" t="str">
        <f>IFERROR(__xludf.DUMMYFUNCTION("""COMPUTED_VALUE"""),"K0L 1Z0")</f>
        <v>K0L 1Z0</v>
      </c>
      <c r="E4015" s="3" t="str">
        <f>IFERROR(__xludf.DUMMYFUNCTION("""COMPUTED_VALUE"""),"W, brown ")</f>
        <v>W, brown </v>
      </c>
      <c r="F4015" s="3" t="str">
        <f>IFERROR(__xludf.DUMMYFUNCTION("""COMPUTED_VALUE"""),"Will.brown.prospecting@gmail.com")</f>
        <v>Will.brown.prospecting@gmail.com</v>
      </c>
      <c r="G4015" s="3">
        <f>IFERROR(__xludf.DUMMYFUNCTION("""COMPUTED_VALUE"""),7.056536426E9)</f>
        <v>7056536426</v>
      </c>
      <c r="H4015" s="3">
        <f>IFERROR(__xludf.DUMMYFUNCTION("""COMPUTED_VALUE"""),7.057729705E9)</f>
        <v>7057729705</v>
      </c>
    </row>
    <row r="4016">
      <c r="A4016" s="2">
        <f>IFERROR(__xludf.DUMMYFUNCTION("""COMPUTED_VALUE"""),61385.0)</f>
        <v>61385</v>
      </c>
      <c r="B4016" s="3" t="str">
        <f>IFERROR(__xludf.DUMMYFUNCTION("""COMPUTED_VALUE"""),"8500D COUNTY 30 RD  ")</f>
        <v>8500D COUNTY 30 RD  </v>
      </c>
      <c r="C4016" s="3" t="str">
        <f>IFERROR(__xludf.DUMMYFUNCTION("""COMPUTED_VALUE"""),"HAVELOCK")</f>
        <v>HAVELOCK</v>
      </c>
      <c r="D4016" s="3" t="str">
        <f>IFERROR(__xludf.DUMMYFUNCTION("""COMPUTED_VALUE"""),"K0L 1Z0")</f>
        <v>K0L 1Z0</v>
      </c>
      <c r="E4016" s="3" t="str">
        <f>IFERROR(__xludf.DUMMYFUNCTION("""COMPUTED_VALUE"""),"W, brown ")</f>
        <v>W, brown </v>
      </c>
      <c r="F4016" s="3" t="str">
        <f>IFERROR(__xludf.DUMMYFUNCTION("""COMPUTED_VALUE"""),"Will.brown.prospecting@gmail.com")</f>
        <v>Will.brown.prospecting@gmail.com</v>
      </c>
      <c r="G4016" s="3">
        <f>IFERROR(__xludf.DUMMYFUNCTION("""COMPUTED_VALUE"""),7.056536426E9)</f>
        <v>7056536426</v>
      </c>
      <c r="H4016" s="3">
        <f>IFERROR(__xludf.DUMMYFUNCTION("""COMPUTED_VALUE"""),7.057729705E9)</f>
        <v>7057729705</v>
      </c>
    </row>
    <row r="4017">
      <c r="A4017" s="2">
        <f>IFERROR(__xludf.DUMMYFUNCTION("""COMPUTED_VALUE"""),60127.0)</f>
        <v>60127</v>
      </c>
      <c r="B4017" s="3" t="str">
        <f>IFERROR(__xludf.DUMMYFUNCTION("""COMPUTED_VALUE"""),"732 13TH LINE W")</f>
        <v>732 13TH LINE W</v>
      </c>
      <c r="C4017" s="3" t="str">
        <f>IFERROR(__xludf.DUMMYFUNCTION("""COMPUTED_VALUE"""),"HASTINGS")</f>
        <v>HASTINGS</v>
      </c>
      <c r="D4017" s="3" t="str">
        <f>IFERROR(__xludf.DUMMYFUNCTION("""COMPUTED_VALUE"""),"K0L 1Y0")</f>
        <v>K0L 1Y0</v>
      </c>
      <c r="E4017" s="3"/>
      <c r="F4017" s="3"/>
      <c r="G4017" s="3"/>
      <c r="H4017" s="3"/>
    </row>
    <row r="4018">
      <c r="A4018" s="2">
        <f>IFERROR(__xludf.DUMMYFUNCTION("""COMPUTED_VALUE"""),60128.0)</f>
        <v>60128</v>
      </c>
      <c r="B4018" s="3" t="str">
        <f>IFERROR(__xludf.DUMMYFUNCTION("""COMPUTED_VALUE"""),"732 13TH LINE")</f>
        <v>732 13TH LINE</v>
      </c>
      <c r="C4018" s="3" t="str">
        <f>IFERROR(__xludf.DUMMYFUNCTION("""COMPUTED_VALUE"""),"HASTINGS")</f>
        <v>HASTINGS</v>
      </c>
      <c r="D4018" s="3" t="str">
        <f>IFERROR(__xludf.DUMMYFUNCTION("""COMPUTED_VALUE"""),"K0L 1Y0")</f>
        <v>K0L 1Y0</v>
      </c>
      <c r="E4018" s="3"/>
      <c r="F4018" s="3"/>
      <c r="G4018" s="3"/>
      <c r="H4018" s="3"/>
    </row>
    <row r="4019">
      <c r="A4019" s="2">
        <f>IFERROR(__xludf.DUMMYFUNCTION("""COMPUTED_VALUE"""),61450.0)</f>
        <v>61450</v>
      </c>
      <c r="B4019" s="3" t="str">
        <f>IFERROR(__xludf.DUMMYFUNCTION("""COMPUTED_VALUE"""),"227A COUNTY 35 RD  ")</f>
        <v>227A COUNTY 35 RD  </v>
      </c>
      <c r="C4019" s="3" t="str">
        <f>IFERROR(__xludf.DUMMYFUNCTION("""COMPUTED_VALUE"""),"HASTINGS")</f>
        <v>HASTINGS</v>
      </c>
      <c r="D4019" s="3" t="str">
        <f>IFERROR(__xludf.DUMMYFUNCTION("""COMPUTED_VALUE"""),"K0L 1Y0")</f>
        <v>K0L 1Y0</v>
      </c>
      <c r="E4019" s="3" t="str">
        <f>IFERROR(__xludf.DUMMYFUNCTION("""COMPUTED_VALUE"""),"Jennifer Marshall")</f>
        <v>Jennifer Marshall</v>
      </c>
      <c r="F4019" s="3" t="str">
        <f>IFERROR(__xludf.DUMMYFUNCTION("""COMPUTED_VALUE"""),"countrymarshallfamily@gmail.com")</f>
        <v>countrymarshallfamily@gmail.com</v>
      </c>
      <c r="G4019" s="3"/>
      <c r="H4019" s="3"/>
    </row>
    <row r="4020">
      <c r="A4020" s="2">
        <f>IFERROR(__xludf.DUMMYFUNCTION("""COMPUTED_VALUE"""),61400.0)</f>
        <v>61400</v>
      </c>
      <c r="B4020" s="3" t="str">
        <f>IFERROR(__xludf.DUMMYFUNCTION("""COMPUTED_VALUE"""),"227B COUNTY 35 RD  ")</f>
        <v>227B COUNTY 35 RD  </v>
      </c>
      <c r="C4020" s="3" t="str">
        <f>IFERROR(__xludf.DUMMYFUNCTION("""COMPUTED_VALUE"""),"HASTINGS")</f>
        <v>HASTINGS</v>
      </c>
      <c r="D4020" s="3" t="str">
        <f>IFERROR(__xludf.DUMMYFUNCTION("""COMPUTED_VALUE"""),"K0L 1Y0")</f>
        <v>K0L 1Y0</v>
      </c>
      <c r="E4020" s="3" t="str">
        <f>IFERROR(__xludf.DUMMYFUNCTION("""COMPUTED_VALUE"""),"Jennifer Marshall ")</f>
        <v>Jennifer Marshall </v>
      </c>
      <c r="F4020" s="3" t="str">
        <f>IFERROR(__xludf.DUMMYFUNCTION("""COMPUTED_VALUE"""),"countrymarshallfamily@gmail.com")</f>
        <v>countrymarshallfamily@gmail.com</v>
      </c>
      <c r="G4020" s="3"/>
      <c r="H4020" s="3"/>
    </row>
    <row r="4021">
      <c r="A4021" s="2">
        <f>IFERROR(__xludf.DUMMYFUNCTION("""COMPUTED_VALUE"""),61890.0)</f>
        <v>61890</v>
      </c>
      <c r="B4021" s="3" t="str">
        <f>IFERROR(__xludf.DUMMYFUNCTION("""COMPUTED_VALUE"""),"228 GODOLPHIN RD  B")</f>
        <v>228 GODOLPHIN RD  B</v>
      </c>
      <c r="C4021" s="3" t="str">
        <f>IFERROR(__xludf.DUMMYFUNCTION("""COMPUTED_VALUE"""),"WARKWORTH")</f>
        <v>WARKWORTH</v>
      </c>
      <c r="D4021" s="3" t="str">
        <f>IFERROR(__xludf.DUMMYFUNCTION("""COMPUTED_VALUE"""),"K0K 3K0")</f>
        <v>K0K 3K0</v>
      </c>
      <c r="E4021" s="3" t="str">
        <f>IFERROR(__xludf.DUMMYFUNCTION("""COMPUTED_VALUE"""),"Peggy Astwood")</f>
        <v>Peggy Astwood</v>
      </c>
      <c r="F4021" s="3"/>
      <c r="G4021" s="3"/>
      <c r="H4021" s="3"/>
    </row>
    <row r="4022">
      <c r="A4022" s="2">
        <f>IFERROR(__xludf.DUMMYFUNCTION("""COMPUTED_VALUE"""),61891.0)</f>
        <v>61891</v>
      </c>
      <c r="B4022" s="3" t="str">
        <f>IFERROR(__xludf.DUMMYFUNCTION("""COMPUTED_VALUE"""),"228 GODOLPHIN RD  SUITE A")</f>
        <v>228 GODOLPHIN RD  SUITE A</v>
      </c>
      <c r="C4022" s="3" t="str">
        <f>IFERROR(__xludf.DUMMYFUNCTION("""COMPUTED_VALUE"""),"WARKWORTH")</f>
        <v>WARKWORTH</v>
      </c>
      <c r="D4022" s="3" t="str">
        <f>IFERROR(__xludf.DUMMYFUNCTION("""COMPUTED_VALUE"""),"K0K 3K0")</f>
        <v>K0K 3K0</v>
      </c>
      <c r="E4022" s="3" t="str">
        <f>IFERROR(__xludf.DUMMYFUNCTION("""COMPUTED_VALUE"""),"Nicole Mahoney")</f>
        <v>Nicole Mahoney</v>
      </c>
      <c r="F4022" s="3" t="str">
        <f>IFERROR(__xludf.DUMMYFUNCTION("""COMPUTED_VALUE"""),"grills.nicole@gmail.com")</f>
        <v>grills.nicole@gmail.com</v>
      </c>
      <c r="G4022" s="3"/>
      <c r="H4022" s="3"/>
    </row>
    <row r="4023">
      <c r="A4023" s="2">
        <f>IFERROR(__xludf.DUMMYFUNCTION("""COMPUTED_VALUE"""),62713.0)</f>
        <v>62713</v>
      </c>
      <c r="B4023" s="3" t="str">
        <f>IFERROR(__xludf.DUMMYFUNCTION("""COMPUTED_VALUE"""),"5 NELSON DR  ")</f>
        <v>5 NELSON DR  </v>
      </c>
      <c r="C4023" s="3" t="str">
        <f>IFERROR(__xludf.DUMMYFUNCTION("""COMPUTED_VALUE"""),"WARKWORTH")</f>
        <v>WARKWORTH</v>
      </c>
      <c r="D4023" s="3" t="str">
        <f>IFERROR(__xludf.DUMMYFUNCTION("""COMPUTED_VALUE"""),"K0K 3K0")</f>
        <v>K0K 3K0</v>
      </c>
      <c r="E4023" s="3" t="str">
        <f>IFERROR(__xludf.DUMMYFUNCTION("""COMPUTED_VALUE"""),"Richard Jeffrey")</f>
        <v>Richard Jeffrey</v>
      </c>
      <c r="F4023" s="3" t="str">
        <f>IFERROR(__xludf.DUMMYFUNCTION("""COMPUTED_VALUE"""),"jaytimes2@hotmail.com")</f>
        <v>jaytimes2@hotmail.com</v>
      </c>
      <c r="G4023" s="3"/>
      <c r="H4023" s="3">
        <f>IFERROR(__xludf.DUMMYFUNCTION("""COMPUTED_VALUE"""),2.897727831E9)</f>
        <v>2897727831</v>
      </c>
    </row>
    <row r="4024">
      <c r="A4024" s="2">
        <f>IFERROR(__xludf.DUMMYFUNCTION("""COMPUTED_VALUE"""),60709.0)</f>
        <v>60709</v>
      </c>
      <c r="B4024" s="3" t="str">
        <f>IFERROR(__xludf.DUMMYFUNCTION("""COMPUTED_VALUE"""),"72 CENTENNIAL LANE")</f>
        <v>72 CENTENNIAL LANE</v>
      </c>
      <c r="C4024" s="3" t="str">
        <f>IFERROR(__xludf.DUMMYFUNCTION("""COMPUTED_VALUE"""),"HAVELOCK")</f>
        <v>HAVELOCK</v>
      </c>
      <c r="D4024" s="3" t="str">
        <f>IFERROR(__xludf.DUMMYFUNCTION("""COMPUTED_VALUE"""),"K0L 1Z0")</f>
        <v>K0L 1Z0</v>
      </c>
      <c r="E4024" s="3"/>
      <c r="F4024" s="3"/>
      <c r="G4024" s="3"/>
      <c r="H4024" s="3"/>
    </row>
    <row r="4025">
      <c r="A4025" s="2">
        <f>IFERROR(__xludf.DUMMYFUNCTION("""COMPUTED_VALUE"""),60740.0)</f>
        <v>60740</v>
      </c>
      <c r="B4025" s="3" t="str">
        <f>IFERROR(__xludf.DUMMYFUNCTION("""COMPUTED_VALUE"""),"82A CENTENNIAL LANE")</f>
        <v>82A CENTENNIAL LANE</v>
      </c>
      <c r="C4025" s="3" t="str">
        <f>IFERROR(__xludf.DUMMYFUNCTION("""COMPUTED_VALUE"""),"HAVELOCK")</f>
        <v>HAVELOCK</v>
      </c>
      <c r="D4025" s="3" t="str">
        <f>IFERROR(__xludf.DUMMYFUNCTION("""COMPUTED_VALUE"""),"K0L 1Z0")</f>
        <v>K0L 1Z0</v>
      </c>
      <c r="E4025" s="3" t="str">
        <f>IFERROR(__xludf.DUMMYFUNCTION("""COMPUTED_VALUE"""),"june skidmore")</f>
        <v>june skidmore</v>
      </c>
      <c r="F4025" s="3"/>
      <c r="G4025" s="3">
        <f>IFERROR(__xludf.DUMMYFUNCTION("""COMPUTED_VALUE"""),7.056329613E9)</f>
        <v>7056329613</v>
      </c>
      <c r="H4025" s="3"/>
    </row>
    <row r="4026">
      <c r="A4026" s="2">
        <f>IFERROR(__xludf.DUMMYFUNCTION("""COMPUTED_VALUE"""),60741.0)</f>
        <v>60741</v>
      </c>
      <c r="B4026" s="3" t="str">
        <f>IFERROR(__xludf.DUMMYFUNCTION("""COMPUTED_VALUE"""),"82B CENTENNIAL LANE")</f>
        <v>82B CENTENNIAL LANE</v>
      </c>
      <c r="C4026" s="3" t="str">
        <f>IFERROR(__xludf.DUMMYFUNCTION("""COMPUTED_VALUE"""),"HAVELOCK")</f>
        <v>HAVELOCK</v>
      </c>
      <c r="D4026" s="3" t="str">
        <f>IFERROR(__xludf.DUMMYFUNCTION("""COMPUTED_VALUE"""),"K0L 1Z0")</f>
        <v>K0L 1Z0</v>
      </c>
      <c r="E4026" s="3" t="str">
        <f>IFERROR(__xludf.DUMMYFUNCTION("""COMPUTED_VALUE"""),"stephanie popaioannou")</f>
        <v>stephanie popaioannou</v>
      </c>
      <c r="F4026" s="3" t="str">
        <f>IFERROR(__xludf.DUMMYFUNCTION("""COMPUTED_VALUE"""),"stephanieopottier91@outlook.com")</f>
        <v>stephanieopottier91@outlook.com</v>
      </c>
      <c r="G4026" s="3">
        <f>IFERROR(__xludf.DUMMYFUNCTION("""COMPUTED_VALUE"""),2.899964092E9)</f>
        <v>2899964092</v>
      </c>
      <c r="H4026" s="3">
        <f>IFERROR(__xludf.DUMMYFUNCTION("""COMPUTED_VALUE"""),7.053951802E9)</f>
        <v>7053951802</v>
      </c>
    </row>
    <row r="4027">
      <c r="A4027" s="2">
        <f>IFERROR(__xludf.DUMMYFUNCTION("""COMPUTED_VALUE"""),60742.0)</f>
        <v>60742</v>
      </c>
      <c r="B4027" s="3" t="str">
        <f>IFERROR(__xludf.DUMMYFUNCTION("""COMPUTED_VALUE"""),"82C CENTENNIAL LANE")</f>
        <v>82C CENTENNIAL LANE</v>
      </c>
      <c r="C4027" s="3" t="str">
        <f>IFERROR(__xludf.DUMMYFUNCTION("""COMPUTED_VALUE"""),"HAVELOCK")</f>
        <v>HAVELOCK</v>
      </c>
      <c r="D4027" s="3" t="str">
        <f>IFERROR(__xludf.DUMMYFUNCTION("""COMPUTED_VALUE"""),"K0L 1Z0")</f>
        <v>K0L 1Z0</v>
      </c>
      <c r="E4027" s="3"/>
      <c r="F4027" s="3"/>
      <c r="G4027" s="3"/>
      <c r="H4027" s="3"/>
    </row>
    <row r="4028">
      <c r="A4028" s="2">
        <f>IFERROR(__xludf.DUMMYFUNCTION("""COMPUTED_VALUE"""),60743.0)</f>
        <v>60743</v>
      </c>
      <c r="B4028" s="3" t="str">
        <f>IFERROR(__xludf.DUMMYFUNCTION("""COMPUTED_VALUE"""),"82D CENTENNIAL LANE")</f>
        <v>82D CENTENNIAL LANE</v>
      </c>
      <c r="C4028" s="3" t="str">
        <f>IFERROR(__xludf.DUMMYFUNCTION("""COMPUTED_VALUE"""),"HAVELOCK")</f>
        <v>HAVELOCK</v>
      </c>
      <c r="D4028" s="3" t="str">
        <f>IFERROR(__xludf.DUMMYFUNCTION("""COMPUTED_VALUE"""),"K0L 1Z0")</f>
        <v>K0L 1Z0</v>
      </c>
      <c r="E4028" s="3"/>
      <c r="F4028" s="3"/>
      <c r="G4028" s="3"/>
      <c r="H4028" s="3"/>
    </row>
    <row r="4029">
      <c r="A4029" s="2">
        <f>IFERROR(__xludf.DUMMYFUNCTION("""COMPUTED_VALUE"""),60744.0)</f>
        <v>60744</v>
      </c>
      <c r="B4029" s="3" t="str">
        <f>IFERROR(__xludf.DUMMYFUNCTION("""COMPUTED_VALUE"""),"82E CENTENNIAL LANE")</f>
        <v>82E CENTENNIAL LANE</v>
      </c>
      <c r="C4029" s="3" t="str">
        <f>IFERROR(__xludf.DUMMYFUNCTION("""COMPUTED_VALUE"""),"HAVELOCK")</f>
        <v>HAVELOCK</v>
      </c>
      <c r="D4029" s="3" t="str">
        <f>IFERROR(__xludf.DUMMYFUNCTION("""COMPUTED_VALUE"""),"K0L 1Z0")</f>
        <v>K0L 1Z0</v>
      </c>
      <c r="E4029" s="3" t="str">
        <f>IFERROR(__xludf.DUMMYFUNCTION("""COMPUTED_VALUE"""),"bob apten ")</f>
        <v>bob apten </v>
      </c>
      <c r="F4029" s="3" t="str">
        <f>IFERROR(__xludf.DUMMYFUNCTION("""COMPUTED_VALUE"""),"stevenelms@sympatico.ca")</f>
        <v>stevenelms@sympatico.ca</v>
      </c>
      <c r="G4029" s="3">
        <f>IFERROR(__xludf.DUMMYFUNCTION("""COMPUTED_VALUE"""),7.057782142E9)</f>
        <v>7057782142</v>
      </c>
      <c r="H4029" s="3"/>
    </row>
    <row r="4030">
      <c r="A4030" s="2">
        <f>IFERROR(__xludf.DUMMYFUNCTION("""COMPUTED_VALUE"""),60745.0)</f>
        <v>60745</v>
      </c>
      <c r="B4030" s="3" t="str">
        <f>IFERROR(__xludf.DUMMYFUNCTION("""COMPUTED_VALUE"""),"82F CENTENNIAL LANE")</f>
        <v>82F CENTENNIAL LANE</v>
      </c>
      <c r="C4030" s="3" t="str">
        <f>IFERROR(__xludf.DUMMYFUNCTION("""COMPUTED_VALUE"""),"HAVELOCK")</f>
        <v>HAVELOCK</v>
      </c>
      <c r="D4030" s="3" t="str">
        <f>IFERROR(__xludf.DUMMYFUNCTION("""COMPUTED_VALUE"""),"K0L 1Z0")</f>
        <v>K0L 1Z0</v>
      </c>
      <c r="E4030" s="3" t="str">
        <f>IFERROR(__xludf.DUMMYFUNCTION("""COMPUTED_VALUE"""),"bob apten ")</f>
        <v>bob apten </v>
      </c>
      <c r="F4030" s="3" t="str">
        <f>IFERROR(__xludf.DUMMYFUNCTION("""COMPUTED_VALUE"""),"stevenelms@sympatico.ca")</f>
        <v>stevenelms@sympatico.ca</v>
      </c>
      <c r="G4030" s="3">
        <f>IFERROR(__xludf.DUMMYFUNCTION("""COMPUTED_VALUE"""),7.057782142E9)</f>
        <v>7057782142</v>
      </c>
      <c r="H4030" s="3"/>
    </row>
    <row r="4031">
      <c r="A4031" s="2">
        <f>IFERROR(__xludf.DUMMYFUNCTION("""COMPUTED_VALUE"""),61755.0)</f>
        <v>61755</v>
      </c>
      <c r="B4031" s="3" t="str">
        <f>IFERROR(__xludf.DUMMYFUNCTION("""COMPUTED_VALUE"""),"244 FRIENDLY ACRES RD  ")</f>
        <v>244 FRIENDLY ACRES RD  </v>
      </c>
      <c r="C4031" s="3" t="str">
        <f>IFERROR(__xludf.DUMMYFUNCTION("""COMPUTED_VALUE"""),"HASTINGS")</f>
        <v>HASTINGS</v>
      </c>
      <c r="D4031" s="3" t="str">
        <f>IFERROR(__xludf.DUMMYFUNCTION("""COMPUTED_VALUE"""),"K0L 1Y0")</f>
        <v>K0L 1Y0</v>
      </c>
      <c r="E4031" s="3" t="str">
        <f>IFERROR(__xludf.DUMMYFUNCTION("""COMPUTED_VALUE"""),"Christianna Jordanidis")</f>
        <v>Christianna Jordanidis</v>
      </c>
      <c r="F4031" s="3" t="str">
        <f>IFERROR(__xludf.DUMMYFUNCTION("""COMPUTED_VALUE"""),"c_jordanidis@hotmail.ca")</f>
        <v>c_jordanidis@hotmail.ca</v>
      </c>
      <c r="G4031" s="3">
        <f>IFERROR(__xludf.DUMMYFUNCTION("""COMPUTED_VALUE"""),9.054097649E9)</f>
        <v>9054097649</v>
      </c>
      <c r="H4031" s="3">
        <f>IFERROR(__xludf.DUMMYFUNCTION("""COMPUTED_VALUE"""),9.0590303E9)</f>
        <v>9059030300</v>
      </c>
    </row>
    <row r="4032">
      <c r="A4032" s="2">
        <f>IFERROR(__xludf.DUMMYFUNCTION("""COMPUTED_VALUE"""),61756.0)</f>
        <v>61756</v>
      </c>
      <c r="B4032" s="3" t="str">
        <f>IFERROR(__xludf.DUMMYFUNCTION("""COMPUTED_VALUE"""),"246 FRIENDLY ACRES RD  ")</f>
        <v>246 FRIENDLY ACRES RD  </v>
      </c>
      <c r="C4032" s="3" t="str">
        <f>IFERROR(__xludf.DUMMYFUNCTION("""COMPUTED_VALUE"""),"HASTINGS")</f>
        <v>HASTINGS</v>
      </c>
      <c r="D4032" s="3" t="str">
        <f>IFERROR(__xludf.DUMMYFUNCTION("""COMPUTED_VALUE"""),"K0L 1Y0")</f>
        <v>K0L 1Y0</v>
      </c>
      <c r="E4032" s="3"/>
      <c r="F4032" s="3"/>
      <c r="G4032" s="3"/>
      <c r="H4032" s="3"/>
    </row>
    <row r="4033">
      <c r="A4033" s="2">
        <f>IFERROR(__xludf.DUMMYFUNCTION("""COMPUTED_VALUE"""),63457.0)</f>
        <v>63457</v>
      </c>
      <c r="B4033" s="3" t="str">
        <f>IFERROR(__xludf.DUMMYFUNCTION("""COMPUTED_VALUE"""),"10 TRENT SHORES LANE  ")</f>
        <v>10 TRENT SHORES LANE  </v>
      </c>
      <c r="C4033" s="3" t="str">
        <f>IFERROR(__xludf.DUMMYFUNCTION("""COMPUTED_VALUE"""),"HASTINGS")</f>
        <v>HASTINGS</v>
      </c>
      <c r="D4033" s="3" t="str">
        <f>IFERROR(__xludf.DUMMYFUNCTION("""COMPUTED_VALUE"""),"K0L 1Y0")</f>
        <v>K0L 1Y0</v>
      </c>
      <c r="E4033" s="3"/>
      <c r="F4033" s="3"/>
      <c r="G4033" s="3"/>
      <c r="H4033" s="3"/>
    </row>
    <row r="4034">
      <c r="A4034" s="2">
        <f>IFERROR(__xludf.DUMMYFUNCTION("""COMPUTED_VALUE"""),63458.0)</f>
        <v>63458</v>
      </c>
      <c r="B4034" s="3" t="str">
        <f>IFERROR(__xludf.DUMMYFUNCTION("""COMPUTED_VALUE"""),"14 TRENT SHORES LANE  ")</f>
        <v>14 TRENT SHORES LANE  </v>
      </c>
      <c r="C4034" s="3" t="str">
        <f>IFERROR(__xludf.DUMMYFUNCTION("""COMPUTED_VALUE"""),"HASTINGS")</f>
        <v>HASTINGS</v>
      </c>
      <c r="D4034" s="3" t="str">
        <f>IFERROR(__xludf.DUMMYFUNCTION("""COMPUTED_VALUE"""),"K0L 1Y0")</f>
        <v>K0L 1Y0</v>
      </c>
      <c r="E4034" s="3"/>
      <c r="F4034" s="3"/>
      <c r="G4034" s="3"/>
      <c r="H4034" s="3"/>
    </row>
    <row r="4035">
      <c r="A4035" s="2">
        <f>IFERROR(__xludf.DUMMYFUNCTION("""COMPUTED_VALUE"""),63459.0)</f>
        <v>63459</v>
      </c>
      <c r="B4035" s="3" t="str">
        <f>IFERROR(__xludf.DUMMYFUNCTION("""COMPUTED_VALUE"""),"16 TRENT SHORES LANE  ")</f>
        <v>16 TRENT SHORES LANE  </v>
      </c>
      <c r="C4035" s="3" t="str">
        <f>IFERROR(__xludf.DUMMYFUNCTION("""COMPUTED_VALUE"""),"HASTINGS")</f>
        <v>HASTINGS</v>
      </c>
      <c r="D4035" s="3" t="str">
        <f>IFERROR(__xludf.DUMMYFUNCTION("""COMPUTED_VALUE"""),"K0L 1Y0")</f>
        <v>K0L 1Y0</v>
      </c>
      <c r="E4035" s="3"/>
      <c r="F4035" s="3"/>
      <c r="G4035" s="3"/>
      <c r="H4035" s="3"/>
    </row>
    <row r="4036">
      <c r="A4036" s="2">
        <f>IFERROR(__xludf.DUMMYFUNCTION("""COMPUTED_VALUE"""),63460.0)</f>
        <v>63460</v>
      </c>
      <c r="B4036" s="3" t="str">
        <f>IFERROR(__xludf.DUMMYFUNCTION("""COMPUTED_VALUE"""),"20 TRENT SHORES LANE  ")</f>
        <v>20 TRENT SHORES LANE  </v>
      </c>
      <c r="C4036" s="3" t="str">
        <f>IFERROR(__xludf.DUMMYFUNCTION("""COMPUTED_VALUE"""),"HASTINGS")</f>
        <v>HASTINGS</v>
      </c>
      <c r="D4036" s="3" t="str">
        <f>IFERROR(__xludf.DUMMYFUNCTION("""COMPUTED_VALUE"""),"K0L 1Y0")</f>
        <v>K0L 1Y0</v>
      </c>
      <c r="E4036" s="3"/>
      <c r="F4036" s="3"/>
      <c r="G4036" s="3"/>
      <c r="H4036" s="3"/>
    </row>
    <row r="4037">
      <c r="A4037" s="2">
        <f>IFERROR(__xludf.DUMMYFUNCTION("""COMPUTED_VALUE"""),60978.0)</f>
        <v>60978</v>
      </c>
      <c r="B4037" s="3" t="str">
        <f>IFERROR(__xludf.DUMMYFUNCTION("""COMPUTED_VALUE"""),"360 CONCESSION RD 13 RD E ")</f>
        <v>360 CONCESSION RD 13 RD E </v>
      </c>
      <c r="C4037" s="3" t="str">
        <f>IFERROR(__xludf.DUMMYFUNCTION("""COMPUTED_VALUE"""),"HASTINGS")</f>
        <v>HASTINGS</v>
      </c>
      <c r="D4037" s="3" t="str">
        <f>IFERROR(__xludf.DUMMYFUNCTION("""COMPUTED_VALUE"""),"K0L 1Y0")</f>
        <v>K0L 1Y0</v>
      </c>
      <c r="E4037" s="3" t="str">
        <f>IFERROR(__xludf.DUMMYFUNCTION("""COMPUTED_VALUE"""),"Barb Spafford")</f>
        <v>Barb Spafford</v>
      </c>
      <c r="F4037" s="3" t="str">
        <f>IFERROR(__xludf.DUMMYFUNCTION("""COMPUTED_VALUE"""),"barb.d.spafford@gmail.com")</f>
        <v>barb.d.spafford@gmail.com</v>
      </c>
      <c r="G4037" s="3">
        <f>IFERROR(__xludf.DUMMYFUNCTION("""COMPUTED_VALUE"""),6.138471665E9)</f>
        <v>6138471665</v>
      </c>
      <c r="H4037" s="3"/>
    </row>
    <row r="4038">
      <c r="A4038" s="2">
        <f>IFERROR(__xludf.DUMMYFUNCTION("""COMPUTED_VALUE"""),63526.0)</f>
        <v>63526</v>
      </c>
      <c r="B4038" s="3" t="str">
        <f>IFERROR(__xludf.DUMMYFUNCTION("""COMPUTED_VALUE"""),"1 VALLEY VIEW LANE  ")</f>
        <v>1 VALLEY VIEW LANE  </v>
      </c>
      <c r="C4038" s="3" t="str">
        <f>IFERROR(__xludf.DUMMYFUNCTION("""COMPUTED_VALUE"""),"HASTINGS")</f>
        <v>HASTINGS</v>
      </c>
      <c r="D4038" s="3" t="str">
        <f>IFERROR(__xludf.DUMMYFUNCTION("""COMPUTED_VALUE"""),"K0L 1Y0")</f>
        <v>K0L 1Y0</v>
      </c>
      <c r="E4038" s="3" t="str">
        <f>IFERROR(__xludf.DUMMYFUNCTION("""COMPUTED_VALUE"""),"debra brown ")</f>
        <v>debra brown </v>
      </c>
      <c r="F4038" s="3" t="str">
        <f>IFERROR(__xludf.DUMMYFUNCTION("""COMPUTED_VALUE"""),"browney_481@hotmail.com")</f>
        <v>browney_481@hotmail.com</v>
      </c>
      <c r="G4038" s="3">
        <f>IFERROR(__xludf.DUMMYFUNCTION("""COMPUTED_VALUE"""),7.056962941E9)</f>
        <v>7056962941</v>
      </c>
      <c r="H4038" s="3"/>
    </row>
    <row r="4039">
      <c r="A4039" s="2">
        <f>IFERROR(__xludf.DUMMYFUNCTION("""COMPUTED_VALUE"""),63527.0)</f>
        <v>63527</v>
      </c>
      <c r="B4039" s="3" t="str">
        <f>IFERROR(__xludf.DUMMYFUNCTION("""COMPUTED_VALUE"""),"5 VALLEY VIEW LANE  ")</f>
        <v>5 VALLEY VIEW LANE  </v>
      </c>
      <c r="C4039" s="3" t="str">
        <f>IFERROR(__xludf.DUMMYFUNCTION("""COMPUTED_VALUE"""),"HASTINGS")</f>
        <v>HASTINGS</v>
      </c>
      <c r="D4039" s="3" t="str">
        <f>IFERROR(__xludf.DUMMYFUNCTION("""COMPUTED_VALUE"""),"K0L 1Y0")</f>
        <v>K0L 1Y0</v>
      </c>
      <c r="E4039" s="3" t="str">
        <f>IFERROR(__xludf.DUMMYFUNCTION("""COMPUTED_VALUE"""),"vera nunes")</f>
        <v>vera nunes</v>
      </c>
      <c r="F4039" s="3" t="str">
        <f>IFERROR(__xludf.DUMMYFUNCTION("""COMPUTED_VALUE"""),"vnunes75@ymail.com")</f>
        <v>vnunes75@ymail.com</v>
      </c>
      <c r="G4039" s="3">
        <f>IFERROR(__xludf.DUMMYFUNCTION("""COMPUTED_VALUE"""),4.167856453E9)</f>
        <v>4167856453</v>
      </c>
      <c r="H4039" s="3">
        <f>IFERROR(__xludf.DUMMYFUNCTION("""COMPUTED_VALUE"""),6.478081124E9)</f>
        <v>6478081124</v>
      </c>
    </row>
    <row r="4040">
      <c r="A4040" s="2">
        <f>IFERROR(__xludf.DUMMYFUNCTION("""COMPUTED_VALUE"""),63528.0)</f>
        <v>63528</v>
      </c>
      <c r="B4040" s="3" t="str">
        <f>IFERROR(__xludf.DUMMYFUNCTION("""COMPUTED_VALUE"""),"7 VALLEY VIEW LANE  ")</f>
        <v>7 VALLEY VIEW LANE  </v>
      </c>
      <c r="C4040" s="3" t="str">
        <f>IFERROR(__xludf.DUMMYFUNCTION("""COMPUTED_VALUE"""),"HASTINGS")</f>
        <v>HASTINGS</v>
      </c>
      <c r="D4040" s="3" t="str">
        <f>IFERROR(__xludf.DUMMYFUNCTION("""COMPUTED_VALUE"""),"K0L 1Y0")</f>
        <v>K0L 1Y0</v>
      </c>
      <c r="E4040" s="3" t="str">
        <f>IFERROR(__xludf.DUMMYFUNCTION("""COMPUTED_VALUE"""),"mahmoud sadeghein")</f>
        <v>mahmoud sadeghein</v>
      </c>
      <c r="F4040" s="3" t="str">
        <f>IFERROR(__xludf.DUMMYFUNCTION("""COMPUTED_VALUE"""),"mahmoudsadeghein@gmail.com")</f>
        <v>mahmoudsadeghein@gmail.com</v>
      </c>
      <c r="G4040" s="3">
        <f>IFERROR(__xludf.DUMMYFUNCTION("""COMPUTED_VALUE"""),9.05999132E9)</f>
        <v>9059991320</v>
      </c>
      <c r="H4040" s="3"/>
    </row>
    <row r="4041">
      <c r="A4041" s="2">
        <f>IFERROR(__xludf.DUMMYFUNCTION("""COMPUTED_VALUE"""),63529.0)</f>
        <v>63529</v>
      </c>
      <c r="B4041" s="3" t="str">
        <f>IFERROR(__xludf.DUMMYFUNCTION("""COMPUTED_VALUE"""),"9 VALLEY VIEW LANE  ")</f>
        <v>9 VALLEY VIEW LANE  </v>
      </c>
      <c r="C4041" s="3" t="str">
        <f>IFERROR(__xludf.DUMMYFUNCTION("""COMPUTED_VALUE"""),"HASTINGS")</f>
        <v>HASTINGS</v>
      </c>
      <c r="D4041" s="3" t="str">
        <f>IFERROR(__xludf.DUMMYFUNCTION("""COMPUTED_VALUE"""),"K0L 1Y0")</f>
        <v>K0L 1Y0</v>
      </c>
      <c r="E4041" s="3" t="str">
        <f>IFERROR(__xludf.DUMMYFUNCTION("""COMPUTED_VALUE"""),"Douglas Hutton")</f>
        <v>Douglas Hutton</v>
      </c>
      <c r="F4041" s="3" t="str">
        <f>IFERROR(__xludf.DUMMYFUNCTION("""COMPUTED_VALUE"""),"Doughutton@rogers.com")</f>
        <v>Doughutton@rogers.com</v>
      </c>
      <c r="G4041" s="3">
        <f>IFERROR(__xludf.DUMMYFUNCTION("""COMPUTED_VALUE"""),7.056961255E9)</f>
        <v>7056961255</v>
      </c>
      <c r="H4041" s="3"/>
    </row>
    <row r="4042">
      <c r="A4042" s="2">
        <f>IFERROR(__xludf.DUMMYFUNCTION("""COMPUTED_VALUE"""),63530.0)</f>
        <v>63530</v>
      </c>
      <c r="B4042" s="3" t="str">
        <f>IFERROR(__xludf.DUMMYFUNCTION("""COMPUTED_VALUE"""),"11 VALLEY VIEW LANE  ")</f>
        <v>11 VALLEY VIEW LANE  </v>
      </c>
      <c r="C4042" s="3" t="str">
        <f>IFERROR(__xludf.DUMMYFUNCTION("""COMPUTED_VALUE"""),"HASTINGS")</f>
        <v>HASTINGS</v>
      </c>
      <c r="D4042" s="3" t="str">
        <f>IFERROR(__xludf.DUMMYFUNCTION("""COMPUTED_VALUE"""),"K0L 1Y0")</f>
        <v>K0L 1Y0</v>
      </c>
      <c r="E4042" s="3" t="str">
        <f>IFERROR(__xludf.DUMMYFUNCTION("""COMPUTED_VALUE"""),"judith and glen fulmer ")</f>
        <v>judith and glen fulmer </v>
      </c>
      <c r="F4042" s="3" t="str">
        <f>IFERROR(__xludf.DUMMYFUNCTION("""COMPUTED_VALUE"""),"j.fulmer3133@gmail.com")</f>
        <v>j.fulmer3133@gmail.com</v>
      </c>
      <c r="G4042" s="3">
        <f>IFERROR(__xludf.DUMMYFUNCTION("""COMPUTED_VALUE"""),9.055699267E9)</f>
        <v>9055699267</v>
      </c>
      <c r="H4042" s="3">
        <f>IFERROR(__xludf.DUMMYFUNCTION("""COMPUTED_VALUE"""),4.1631742E9)</f>
        <v>4163174200</v>
      </c>
    </row>
    <row r="4043">
      <c r="A4043" s="2">
        <f>IFERROR(__xludf.DUMMYFUNCTION("""COMPUTED_VALUE"""),63531.0)</f>
        <v>63531</v>
      </c>
      <c r="B4043" s="3" t="str">
        <f>IFERROR(__xludf.DUMMYFUNCTION("""COMPUTED_VALUE"""),"15 VALLEY VIEW LANE  ")</f>
        <v>15 VALLEY VIEW LANE  </v>
      </c>
      <c r="C4043" s="3" t="str">
        <f>IFERROR(__xludf.DUMMYFUNCTION("""COMPUTED_VALUE"""),"HASTINGS")</f>
        <v>HASTINGS</v>
      </c>
      <c r="D4043" s="3" t="str">
        <f>IFERROR(__xludf.DUMMYFUNCTION("""COMPUTED_VALUE"""),"K0L 1Y0")</f>
        <v>K0L 1Y0</v>
      </c>
      <c r="E4043" s="3"/>
      <c r="F4043" s="3"/>
      <c r="G4043" s="3"/>
      <c r="H4043" s="3"/>
    </row>
    <row r="4044">
      <c r="A4044" s="2">
        <f>IFERROR(__xludf.DUMMYFUNCTION("""COMPUTED_VALUE"""),63532.0)</f>
        <v>63532</v>
      </c>
      <c r="B4044" s="3" t="str">
        <f>IFERROR(__xludf.DUMMYFUNCTION("""COMPUTED_VALUE"""),"17 VALLEY VIEW LANE  ")</f>
        <v>17 VALLEY VIEW LANE  </v>
      </c>
      <c r="C4044" s="3" t="str">
        <f>IFERROR(__xludf.DUMMYFUNCTION("""COMPUTED_VALUE"""),"HASTINGS")</f>
        <v>HASTINGS</v>
      </c>
      <c r="D4044" s="3" t="str">
        <f>IFERROR(__xludf.DUMMYFUNCTION("""COMPUTED_VALUE"""),"K0L 1Y0")</f>
        <v>K0L 1Y0</v>
      </c>
      <c r="E4044" s="3" t="str">
        <f>IFERROR(__xludf.DUMMYFUNCTION("""COMPUTED_VALUE"""),"heather mcgrayne")</f>
        <v>heather mcgrayne</v>
      </c>
      <c r="F4044" s="3" t="str">
        <f>IFERROR(__xludf.DUMMYFUNCTION("""COMPUTED_VALUE"""),"heathermcgrayne@icloud.com")</f>
        <v>heathermcgrayne@icloud.com</v>
      </c>
      <c r="G4044" s="3">
        <f>IFERROR(__xludf.DUMMYFUNCTION("""COMPUTED_VALUE"""),9.057284245E9)</f>
        <v>9057284245</v>
      </c>
      <c r="H4044" s="3">
        <f>IFERROR(__xludf.DUMMYFUNCTION("""COMPUTED_VALUE"""),9.052591849E9)</f>
        <v>9052591849</v>
      </c>
    </row>
    <row r="4045">
      <c r="A4045" s="2">
        <f>IFERROR(__xludf.DUMMYFUNCTION("""COMPUTED_VALUE"""),63533.0)</f>
        <v>63533</v>
      </c>
      <c r="B4045" s="3" t="str">
        <f>IFERROR(__xludf.DUMMYFUNCTION("""COMPUTED_VALUE"""),"19 VALLEY VIEW LANE  ")</f>
        <v>19 VALLEY VIEW LANE  </v>
      </c>
      <c r="C4045" s="3" t="str">
        <f>IFERROR(__xludf.DUMMYFUNCTION("""COMPUTED_VALUE"""),"HASTINGS")</f>
        <v>HASTINGS</v>
      </c>
      <c r="D4045" s="3" t="str">
        <f>IFERROR(__xludf.DUMMYFUNCTION("""COMPUTED_VALUE"""),"K0L 1Y0")</f>
        <v>K0L 1Y0</v>
      </c>
      <c r="E4045" s="3" t="str">
        <f>IFERROR(__xludf.DUMMYFUNCTION("""COMPUTED_VALUE"""),"carolyn ellerton ")</f>
        <v>carolyn ellerton </v>
      </c>
      <c r="F4045" s="3" t="str">
        <f>IFERROR(__xludf.DUMMYFUNCTION("""COMPUTED_VALUE"""),"carolyn@getguelph.ca")</f>
        <v>carolyn@getguelph.ca</v>
      </c>
      <c r="G4045" s="3">
        <f>IFERROR(__xludf.DUMMYFUNCTION("""COMPUTED_VALUE"""),6.472332823E9)</f>
        <v>6472332823</v>
      </c>
      <c r="H4045" s="3"/>
    </row>
    <row r="4046">
      <c r="A4046" s="2">
        <f>IFERROR(__xludf.DUMMYFUNCTION("""COMPUTED_VALUE"""),63534.0)</f>
        <v>63534</v>
      </c>
      <c r="B4046" s="3" t="str">
        <f>IFERROR(__xludf.DUMMYFUNCTION("""COMPUTED_VALUE"""),"20 VALLEY VIEW LANE  ")</f>
        <v>20 VALLEY VIEW LANE  </v>
      </c>
      <c r="C4046" s="3" t="str">
        <f>IFERROR(__xludf.DUMMYFUNCTION("""COMPUTED_VALUE"""),"HASTINGS")</f>
        <v>HASTINGS</v>
      </c>
      <c r="D4046" s="3" t="str">
        <f>IFERROR(__xludf.DUMMYFUNCTION("""COMPUTED_VALUE"""),"K0L 1Y0")</f>
        <v>K0L 1Y0</v>
      </c>
      <c r="E4046" s="3" t="str">
        <f>IFERROR(__xludf.DUMMYFUNCTION("""COMPUTED_VALUE"""),"tania nunes")</f>
        <v>tania nunes</v>
      </c>
      <c r="F4046" s="3" t="str">
        <f>IFERROR(__xludf.DUMMYFUNCTION("""COMPUTED_VALUE"""),"tnunes1980@gmail.com")</f>
        <v>tnunes1980@gmail.com</v>
      </c>
      <c r="G4046" s="3">
        <f>IFERROR(__xludf.DUMMYFUNCTION("""COMPUTED_VALUE"""),4.168946995E9)</f>
        <v>4168946995</v>
      </c>
      <c r="H4046" s="3">
        <f>IFERROR(__xludf.DUMMYFUNCTION("""COMPUTED_VALUE"""),4.168981653E9)</f>
        <v>4168981653</v>
      </c>
    </row>
    <row r="4047">
      <c r="A4047" s="2">
        <f>IFERROR(__xludf.DUMMYFUNCTION("""COMPUTED_VALUE"""),63535.0)</f>
        <v>63535</v>
      </c>
      <c r="B4047" s="3" t="str">
        <f>IFERROR(__xludf.DUMMYFUNCTION("""COMPUTED_VALUE"""),"22 VALLEY VIEW LANE  ")</f>
        <v>22 VALLEY VIEW LANE  </v>
      </c>
      <c r="C4047" s="3" t="str">
        <f>IFERROR(__xludf.DUMMYFUNCTION("""COMPUTED_VALUE"""),"HASTINGS")</f>
        <v>HASTINGS</v>
      </c>
      <c r="D4047" s="3" t="str">
        <f>IFERROR(__xludf.DUMMYFUNCTION("""COMPUTED_VALUE"""),"K0L 1Y0")</f>
        <v>K0L 1Y0</v>
      </c>
      <c r="E4047" s="3" t="str">
        <f>IFERROR(__xludf.DUMMYFUNCTION("""COMPUTED_VALUE"""),"susy alvez")</f>
        <v>susy alvez</v>
      </c>
      <c r="F4047" s="3" t="str">
        <f>IFERROR(__xludf.DUMMYFUNCTION("""COMPUTED_VALUE"""),"susyalves2007@gmail.com")</f>
        <v>susyalves2007@gmail.com</v>
      </c>
      <c r="G4047" s="3">
        <f>IFERROR(__xludf.DUMMYFUNCTION("""COMPUTED_VALUE"""),4.166251494E9)</f>
        <v>4166251494</v>
      </c>
      <c r="H4047" s="3"/>
    </row>
    <row r="4048">
      <c r="A4048" s="2">
        <f>IFERROR(__xludf.DUMMYFUNCTION("""COMPUTED_VALUE"""),63536.0)</f>
        <v>63536</v>
      </c>
      <c r="B4048" s="3" t="str">
        <f>IFERROR(__xludf.DUMMYFUNCTION("""COMPUTED_VALUE"""),"23 VALLEY VIEW LANE  ")</f>
        <v>23 VALLEY VIEW LANE  </v>
      </c>
      <c r="C4048" s="3" t="str">
        <f>IFERROR(__xludf.DUMMYFUNCTION("""COMPUTED_VALUE"""),"HASTINGS")</f>
        <v>HASTINGS</v>
      </c>
      <c r="D4048" s="3" t="str">
        <f>IFERROR(__xludf.DUMMYFUNCTION("""COMPUTED_VALUE"""),"K0L 1Y0")</f>
        <v>K0L 1Y0</v>
      </c>
      <c r="E4048" s="3" t="str">
        <f>IFERROR(__xludf.DUMMYFUNCTION("""COMPUTED_VALUE"""),"joe trzybinski")</f>
        <v>joe trzybinski</v>
      </c>
      <c r="F4048" s="3" t="str">
        <f>IFERROR(__xludf.DUMMYFUNCTION("""COMPUTED_VALUE"""),"itrzybinski@gmail.com")</f>
        <v>itrzybinski@gmail.com</v>
      </c>
      <c r="G4048" s="3">
        <f>IFERROR(__xludf.DUMMYFUNCTION("""COMPUTED_VALUE"""),7.164808482E9)</f>
        <v>7164808482</v>
      </c>
      <c r="H4048" s="3">
        <f>IFERROR(__xludf.DUMMYFUNCTION("""COMPUTED_VALUE"""),7.167137364E9)</f>
        <v>7167137364</v>
      </c>
    </row>
    <row r="4049">
      <c r="A4049" s="2">
        <f>IFERROR(__xludf.DUMMYFUNCTION("""COMPUTED_VALUE"""),63537.0)</f>
        <v>63537</v>
      </c>
      <c r="B4049" s="3" t="str">
        <f>IFERROR(__xludf.DUMMYFUNCTION("""COMPUTED_VALUE"""),"24 VALLEY VIEW LANE  ")</f>
        <v>24 VALLEY VIEW LANE  </v>
      </c>
      <c r="C4049" s="3" t="str">
        <f>IFERROR(__xludf.DUMMYFUNCTION("""COMPUTED_VALUE"""),"HASTINGS")</f>
        <v>HASTINGS</v>
      </c>
      <c r="D4049" s="3" t="str">
        <f>IFERROR(__xludf.DUMMYFUNCTION("""COMPUTED_VALUE"""),"K0L 1Y0")</f>
        <v>K0L 1Y0</v>
      </c>
      <c r="E4049" s="3" t="str">
        <f>IFERROR(__xludf.DUMMYFUNCTION("""COMPUTED_VALUE"""),"John M. Krestic")</f>
        <v>John M. Krestic</v>
      </c>
      <c r="F4049" s="3" t="str">
        <f>IFERROR(__xludf.DUMMYFUNCTION("""COMPUTED_VALUE"""),"jmkrestic1@aol.com")</f>
        <v>jmkrestic1@aol.com</v>
      </c>
      <c r="G4049" s="3"/>
      <c r="H4049" s="3"/>
    </row>
    <row r="4050">
      <c r="A4050" s="2">
        <f>IFERROR(__xludf.DUMMYFUNCTION("""COMPUTED_VALUE"""),63538.0)</f>
        <v>63538</v>
      </c>
      <c r="B4050" s="3" t="str">
        <f>IFERROR(__xludf.DUMMYFUNCTION("""COMPUTED_VALUE"""),"26 VALLEY VIEW LANE  ")</f>
        <v>26 VALLEY VIEW LANE  </v>
      </c>
      <c r="C4050" s="3" t="str">
        <f>IFERROR(__xludf.DUMMYFUNCTION("""COMPUTED_VALUE"""),"HASTINGS")</f>
        <v>HASTINGS</v>
      </c>
      <c r="D4050" s="3" t="str">
        <f>IFERROR(__xludf.DUMMYFUNCTION("""COMPUTED_VALUE"""),"K0L 1Y0")</f>
        <v>K0L 1Y0</v>
      </c>
      <c r="E4050" s="3" t="str">
        <f>IFERROR(__xludf.DUMMYFUNCTION("""COMPUTED_VALUE"""),"Melanie Lang")</f>
        <v>Melanie Lang</v>
      </c>
      <c r="F4050" s="3" t="str">
        <f>IFERROR(__xludf.DUMMYFUNCTION("""COMPUTED_VALUE"""),"melaniedarling@adarlingshot.ca")</f>
        <v>melaniedarling@adarlingshot.ca</v>
      </c>
      <c r="G4050" s="3">
        <f>IFERROR(__xludf.DUMMYFUNCTION("""COMPUTED_VALUE"""),4.169315736E9)</f>
        <v>4169315736</v>
      </c>
      <c r="H4050" s="3"/>
    </row>
    <row r="4051">
      <c r="A4051" s="2">
        <f>IFERROR(__xludf.DUMMYFUNCTION("""COMPUTED_VALUE"""),63539.0)</f>
        <v>63539</v>
      </c>
      <c r="B4051" s="3" t="str">
        <f>IFERROR(__xludf.DUMMYFUNCTION("""COMPUTED_VALUE"""),"28 VALLEY VIEW LANE  ")</f>
        <v>28 VALLEY VIEW LANE  </v>
      </c>
      <c r="C4051" s="3" t="str">
        <f>IFERROR(__xludf.DUMMYFUNCTION("""COMPUTED_VALUE"""),"HASTINGS")</f>
        <v>HASTINGS</v>
      </c>
      <c r="D4051" s="3" t="str">
        <f>IFERROR(__xludf.DUMMYFUNCTION("""COMPUTED_VALUE"""),"K0L 1Y0")</f>
        <v>K0L 1Y0</v>
      </c>
      <c r="E4051" s="3" t="str">
        <f>IFERROR(__xludf.DUMMYFUNCTION("""COMPUTED_VALUE"""),"srini vasudevan")</f>
        <v>srini vasudevan</v>
      </c>
      <c r="F4051" s="3" t="str">
        <f>IFERROR(__xludf.DUMMYFUNCTION("""COMPUTED_VALUE"""),"srinivasudevan@yahoo.ca")</f>
        <v>srinivasudevan@yahoo.ca</v>
      </c>
      <c r="G4051" s="3">
        <f>IFERROR(__xludf.DUMMYFUNCTION("""COMPUTED_VALUE"""),6.476314099E10)</f>
        <v>64763140990</v>
      </c>
      <c r="H4051" s="3"/>
    </row>
    <row r="4052">
      <c r="A4052" s="2">
        <f>IFERROR(__xludf.DUMMYFUNCTION("""COMPUTED_VALUE"""),63540.0)</f>
        <v>63540</v>
      </c>
      <c r="B4052" s="3" t="str">
        <f>IFERROR(__xludf.DUMMYFUNCTION("""COMPUTED_VALUE"""),"30 VALLEY VIEW LANE  ")</f>
        <v>30 VALLEY VIEW LANE  </v>
      </c>
      <c r="C4052" s="3" t="str">
        <f>IFERROR(__xludf.DUMMYFUNCTION("""COMPUTED_VALUE"""),"HASTINGS")</f>
        <v>HASTINGS</v>
      </c>
      <c r="D4052" s="3" t="str">
        <f>IFERROR(__xludf.DUMMYFUNCTION("""COMPUTED_VALUE"""),"K0L 1Y0")</f>
        <v>K0L 1Y0</v>
      </c>
      <c r="E4052" s="3" t="str">
        <f>IFERROR(__xludf.DUMMYFUNCTION("""COMPUTED_VALUE"""),"david m travis")</f>
        <v>david m travis</v>
      </c>
      <c r="F4052" s="3" t="str">
        <f>IFERROR(__xludf.DUMMYFUNCTION("""COMPUTED_VALUE"""),"dmtravis@hotmail.com")</f>
        <v>dmtravis@hotmail.com</v>
      </c>
      <c r="G4052" s="3">
        <f>IFERROR(__xludf.DUMMYFUNCTION("""COMPUTED_VALUE"""),4.379963278E9)</f>
        <v>4379963278</v>
      </c>
      <c r="H4052" s="3">
        <f>IFERROR(__xludf.DUMMYFUNCTION("""COMPUTED_VALUE"""),4.165745256E9)</f>
        <v>4165745256</v>
      </c>
    </row>
    <row r="4053">
      <c r="A4053" s="2">
        <f>IFERROR(__xludf.DUMMYFUNCTION("""COMPUTED_VALUE"""),63541.0)</f>
        <v>63541</v>
      </c>
      <c r="B4053" s="3" t="str">
        <f>IFERROR(__xludf.DUMMYFUNCTION("""COMPUTED_VALUE"""),"32 VALLEY VIEW LANE  ")</f>
        <v>32 VALLEY VIEW LANE  </v>
      </c>
      <c r="C4053" s="3" t="str">
        <f>IFERROR(__xludf.DUMMYFUNCTION("""COMPUTED_VALUE"""),"HASTINGS")</f>
        <v>HASTINGS</v>
      </c>
      <c r="D4053" s="3" t="str">
        <f>IFERROR(__xludf.DUMMYFUNCTION("""COMPUTED_VALUE"""),"K0L 1Y0")</f>
        <v>K0L 1Y0</v>
      </c>
      <c r="E4053" s="3" t="str">
        <f>IFERROR(__xludf.DUMMYFUNCTION("""COMPUTED_VALUE"""),"john cosway")</f>
        <v>john cosway</v>
      </c>
      <c r="F4053" s="3" t="str">
        <f>IFERROR(__xludf.DUMMYFUNCTION("""COMPUTED_VALUE"""),"jcosway@live.com")</f>
        <v>jcosway@live.com</v>
      </c>
      <c r="G4053" s="3">
        <f>IFERROR(__xludf.DUMMYFUNCTION("""COMPUTED_VALUE"""),9.05926928E9)</f>
        <v>9059269280</v>
      </c>
      <c r="H4053" s="3">
        <f>IFERROR(__xludf.DUMMYFUNCTION("""COMPUTED_VALUE"""),9.052592493E9)</f>
        <v>9052592493</v>
      </c>
    </row>
    <row r="4054">
      <c r="A4054" s="2">
        <f>IFERROR(__xludf.DUMMYFUNCTION("""COMPUTED_VALUE"""),63542.0)</f>
        <v>63542</v>
      </c>
      <c r="B4054" s="3" t="str">
        <f>IFERROR(__xludf.DUMMYFUNCTION("""COMPUTED_VALUE"""),"34 VALLEY VIEW LANE  ")</f>
        <v>34 VALLEY VIEW LANE  </v>
      </c>
      <c r="C4054" s="3" t="str">
        <f>IFERROR(__xludf.DUMMYFUNCTION("""COMPUTED_VALUE"""),"HASTINGS")</f>
        <v>HASTINGS</v>
      </c>
      <c r="D4054" s="3" t="str">
        <f>IFERROR(__xludf.DUMMYFUNCTION("""COMPUTED_VALUE"""),"K0L 1Y0")</f>
        <v>K0L 1Y0</v>
      </c>
      <c r="E4054" s="3" t="str">
        <f>IFERROR(__xludf.DUMMYFUNCTION("""COMPUTED_VALUE"""),"brad trumper ")</f>
        <v>brad trumper </v>
      </c>
      <c r="F4054" s="3" t="str">
        <f>IFERROR(__xludf.DUMMYFUNCTION("""COMPUTED_VALUE"""),"2655502.info@gmail.com")</f>
        <v>2655502.info@gmail.com</v>
      </c>
      <c r="G4054" s="3">
        <f>IFERROR(__xludf.DUMMYFUNCTION("""COMPUTED_VALUE"""),6.133188688E9)</f>
        <v>6133188688</v>
      </c>
      <c r="H4054" s="3"/>
    </row>
    <row r="4055">
      <c r="A4055" s="2">
        <f>IFERROR(__xludf.DUMMYFUNCTION("""COMPUTED_VALUE"""),63543.0)</f>
        <v>63543</v>
      </c>
      <c r="B4055" s="3" t="str">
        <f>IFERROR(__xludf.DUMMYFUNCTION("""COMPUTED_VALUE"""),"36 VALLEY VIEW LANE  ")</f>
        <v>36 VALLEY VIEW LANE  </v>
      </c>
      <c r="C4055" s="3" t="str">
        <f>IFERROR(__xludf.DUMMYFUNCTION("""COMPUTED_VALUE"""),"HASTINGS")</f>
        <v>HASTINGS</v>
      </c>
      <c r="D4055" s="3" t="str">
        <f>IFERROR(__xludf.DUMMYFUNCTION("""COMPUTED_VALUE"""),"K0L 1Y0")</f>
        <v>K0L 1Y0</v>
      </c>
      <c r="E4055" s="3" t="str">
        <f>IFERROR(__xludf.DUMMYFUNCTION("""COMPUTED_VALUE"""),"laura cole ")</f>
        <v>laura cole </v>
      </c>
      <c r="F4055" s="3" t="str">
        <f>IFERROR(__xludf.DUMMYFUNCTION("""COMPUTED_VALUE"""),"lauraicole@hotmail.com")</f>
        <v>lauraicole@hotmail.com</v>
      </c>
      <c r="G4055" s="3">
        <f>IFERROR(__xludf.DUMMYFUNCTION("""COMPUTED_VALUE"""),6.474016254E9)</f>
        <v>6474016254</v>
      </c>
      <c r="H4055" s="3">
        <f>IFERROR(__xludf.DUMMYFUNCTION("""COMPUTED_VALUE"""),6.476466254E9)</f>
        <v>6476466254</v>
      </c>
    </row>
    <row r="4056">
      <c r="A4056" s="2">
        <f>IFERROR(__xludf.DUMMYFUNCTION("""COMPUTED_VALUE"""),63544.0)</f>
        <v>63544</v>
      </c>
      <c r="B4056" s="3" t="str">
        <f>IFERROR(__xludf.DUMMYFUNCTION("""COMPUTED_VALUE"""),"38 VALLEY VIEW LANE  ")</f>
        <v>38 VALLEY VIEW LANE  </v>
      </c>
      <c r="C4056" s="3" t="str">
        <f>IFERROR(__xludf.DUMMYFUNCTION("""COMPUTED_VALUE"""),"HASTINGS")</f>
        <v>HASTINGS</v>
      </c>
      <c r="D4056" s="3" t="str">
        <f>IFERROR(__xludf.DUMMYFUNCTION("""COMPUTED_VALUE"""),"K0L 1Y0")</f>
        <v>K0L 1Y0</v>
      </c>
      <c r="E4056" s="3" t="str">
        <f>IFERROR(__xludf.DUMMYFUNCTION("""COMPUTED_VALUE"""),"denis wellbanks")</f>
        <v>denis wellbanks</v>
      </c>
      <c r="F4056" s="3" t="str">
        <f>IFERROR(__xludf.DUMMYFUNCTION("""COMPUTED_VALUE"""),"dennis.wellbanks@gmail.com")</f>
        <v>dennis.wellbanks@gmail.com</v>
      </c>
      <c r="G4056" s="3">
        <f>IFERROR(__xludf.DUMMYFUNCTION("""COMPUTED_VALUE"""),4.165619655E9)</f>
        <v>4165619655</v>
      </c>
      <c r="H4056" s="3">
        <f>IFERROR(__xludf.DUMMYFUNCTION("""COMPUTED_VALUE"""),3.659888568E9)</f>
        <v>3659888568</v>
      </c>
    </row>
    <row r="4057">
      <c r="A4057" s="2">
        <f>IFERROR(__xludf.DUMMYFUNCTION("""COMPUTED_VALUE"""),63545.0)</f>
        <v>63545</v>
      </c>
      <c r="B4057" s="3" t="str">
        <f>IFERROR(__xludf.DUMMYFUNCTION("""COMPUTED_VALUE"""),"40 VALLEY VIEW LANE  ")</f>
        <v>40 VALLEY VIEW LANE  </v>
      </c>
      <c r="C4057" s="3" t="str">
        <f>IFERROR(__xludf.DUMMYFUNCTION("""COMPUTED_VALUE"""),"HASTINGS")</f>
        <v>HASTINGS</v>
      </c>
      <c r="D4057" s="3" t="str">
        <f>IFERROR(__xludf.DUMMYFUNCTION("""COMPUTED_VALUE"""),"K0L 1Y0")</f>
        <v>K0L 1Y0</v>
      </c>
      <c r="E4057" s="3" t="str">
        <f>IFERROR(__xludf.DUMMYFUNCTION("""COMPUTED_VALUE"""),"terri head ")</f>
        <v>terri head </v>
      </c>
      <c r="F4057" s="3" t="str">
        <f>IFERROR(__xludf.DUMMYFUNCTION("""COMPUTED_VALUE"""),"terrihead60@gmail.com")</f>
        <v>terrihead60@gmail.com</v>
      </c>
      <c r="G4057" s="3">
        <f>IFERROR(__xludf.DUMMYFUNCTION("""COMPUTED_VALUE"""),2.893567803E9)</f>
        <v>2893567803</v>
      </c>
      <c r="H4057" s="3"/>
    </row>
    <row r="4058">
      <c r="A4058" s="2">
        <f>IFERROR(__xludf.DUMMYFUNCTION("""COMPUTED_VALUE"""),63546.0)</f>
        <v>63546</v>
      </c>
      <c r="B4058" s="3" t="str">
        <f>IFERROR(__xludf.DUMMYFUNCTION("""COMPUTED_VALUE"""),"41 VALLEY VIEW LANE  ")</f>
        <v>41 VALLEY VIEW LANE  </v>
      </c>
      <c r="C4058" s="3" t="str">
        <f>IFERROR(__xludf.DUMMYFUNCTION("""COMPUTED_VALUE"""),"HASTINGS")</f>
        <v>HASTINGS</v>
      </c>
      <c r="D4058" s="3" t="str">
        <f>IFERROR(__xludf.DUMMYFUNCTION("""COMPUTED_VALUE"""),"K0L 1Y0")</f>
        <v>K0L 1Y0</v>
      </c>
      <c r="E4058" s="3" t="str">
        <f>IFERROR(__xludf.DUMMYFUNCTION("""COMPUTED_VALUE"""),"Amit Nayak &amp; Manoj Nayak ")</f>
        <v>Amit Nayak &amp; Manoj Nayak </v>
      </c>
      <c r="F4058" s="3" t="str">
        <f>IFERROR(__xludf.DUMMYFUNCTION("""COMPUTED_VALUE"""),"amitnayak71@hotmail.com")</f>
        <v>amitnayak71@hotmail.com</v>
      </c>
      <c r="G4058" s="3"/>
      <c r="H4058" s="3"/>
    </row>
    <row r="4059">
      <c r="A4059" s="2">
        <f>IFERROR(__xludf.DUMMYFUNCTION("""COMPUTED_VALUE"""),62871.0)</f>
        <v>62871</v>
      </c>
      <c r="B4059" s="3" t="str">
        <f>IFERROR(__xludf.DUMMYFUNCTION("""COMPUTED_VALUE"""),"57 ORCHARD WAY  ")</f>
        <v>57 ORCHARD WAY  </v>
      </c>
      <c r="C4059" s="3" t="str">
        <f>IFERROR(__xludf.DUMMYFUNCTION("""COMPUTED_VALUE"""),"WARKWORTH")</f>
        <v>WARKWORTH</v>
      </c>
      <c r="D4059" s="3" t="str">
        <f>IFERROR(__xludf.DUMMYFUNCTION("""COMPUTED_VALUE"""),"K0K 3K0")</f>
        <v>K0K 3K0</v>
      </c>
      <c r="E4059" s="3" t="str">
        <f>IFERROR(__xludf.DUMMYFUNCTION("""COMPUTED_VALUE"""),"Karen Huestis")</f>
        <v>Karen Huestis</v>
      </c>
      <c r="F4059" s="3" t="str">
        <f>IFERROR(__xludf.DUMMYFUNCTION("""COMPUTED_VALUE"""),"karenbill62@gmail.com")</f>
        <v>karenbill62@gmail.com</v>
      </c>
      <c r="G4059" s="3">
        <f>IFERROR(__xludf.DUMMYFUNCTION("""COMPUTED_VALUE"""),4.168897475E9)</f>
        <v>4168897475</v>
      </c>
      <c r="H4059" s="3"/>
    </row>
    <row r="4060">
      <c r="A4060" s="2">
        <f>IFERROR(__xludf.DUMMYFUNCTION("""COMPUTED_VALUE"""),62872.0)</f>
        <v>62872</v>
      </c>
      <c r="B4060" s="3" t="str">
        <f>IFERROR(__xludf.DUMMYFUNCTION("""COMPUTED_VALUE"""),"59 ORCHARD WAY  ")</f>
        <v>59 ORCHARD WAY  </v>
      </c>
      <c r="C4060" s="3" t="str">
        <f>IFERROR(__xludf.DUMMYFUNCTION("""COMPUTED_VALUE"""),"WARKWORTH")</f>
        <v>WARKWORTH</v>
      </c>
      <c r="D4060" s="3" t="str">
        <f>IFERROR(__xludf.DUMMYFUNCTION("""COMPUTED_VALUE"""),"K0K 3K0")</f>
        <v>K0K 3K0</v>
      </c>
      <c r="E4060" s="3" t="str">
        <f>IFERROR(__xludf.DUMMYFUNCTION("""COMPUTED_VALUE"""),"lois wood bob rowe ")</f>
        <v>lois wood bob rowe </v>
      </c>
      <c r="F4060" s="3" t="str">
        <f>IFERROR(__xludf.DUMMYFUNCTION("""COMPUTED_VALUE"""),"bolo@bell.net ")</f>
        <v>bolo@bell.net </v>
      </c>
      <c r="G4060" s="3">
        <f>IFERROR(__xludf.DUMMYFUNCTION("""COMPUTED_VALUE"""),7.059242737E9)</f>
        <v>7059242737</v>
      </c>
      <c r="H4060" s="3"/>
    </row>
    <row r="4061">
      <c r="A4061" s="2">
        <f>IFERROR(__xludf.DUMMYFUNCTION("""COMPUTED_VALUE"""),62873.0)</f>
        <v>62873</v>
      </c>
      <c r="B4061" s="3" t="str">
        <f>IFERROR(__xludf.DUMMYFUNCTION("""COMPUTED_VALUE"""),"61 ORCHARD WAY  UNIT 3")</f>
        <v>61 ORCHARD WAY  UNIT 3</v>
      </c>
      <c r="C4061" s="3" t="str">
        <f>IFERROR(__xludf.DUMMYFUNCTION("""COMPUTED_VALUE"""),"WARKWORTH")</f>
        <v>WARKWORTH</v>
      </c>
      <c r="D4061" s="3" t="str">
        <f>IFERROR(__xludf.DUMMYFUNCTION("""COMPUTED_VALUE"""),"K0K 3K0")</f>
        <v>K0K 3K0</v>
      </c>
      <c r="E4061" s="3" t="str">
        <f>IFERROR(__xludf.DUMMYFUNCTION("""COMPUTED_VALUE"""),"ted&amp;sandy donaldson")</f>
        <v>ted&amp;sandy donaldson</v>
      </c>
      <c r="F4061" s="3" t="str">
        <f>IFERROR(__xludf.DUMMYFUNCTION("""COMPUTED_VALUE"""),"sandtdonaldson@sympatico.ca")</f>
        <v>sandtdonaldson@sympatico.ca</v>
      </c>
      <c r="G4061" s="3">
        <f>IFERROR(__xludf.DUMMYFUNCTION("""COMPUTED_VALUE"""),9.059362911E9)</f>
        <v>9059362911</v>
      </c>
      <c r="H4061" s="3"/>
    </row>
    <row r="4062">
      <c r="A4062" s="2">
        <f>IFERROR(__xludf.DUMMYFUNCTION("""COMPUTED_VALUE"""),62874.0)</f>
        <v>62874</v>
      </c>
      <c r="B4062" s="3" t="str">
        <f>IFERROR(__xludf.DUMMYFUNCTION("""COMPUTED_VALUE"""),"63 ORCHARD WAY  ")</f>
        <v>63 ORCHARD WAY  </v>
      </c>
      <c r="C4062" s="3" t="str">
        <f>IFERROR(__xludf.DUMMYFUNCTION("""COMPUTED_VALUE"""),"WARKWORTH")</f>
        <v>WARKWORTH</v>
      </c>
      <c r="D4062" s="3" t="str">
        <f>IFERROR(__xludf.DUMMYFUNCTION("""COMPUTED_VALUE"""),"K0K 3K0")</f>
        <v>K0K 3K0</v>
      </c>
      <c r="E4062" s="3" t="str">
        <f>IFERROR(__xludf.DUMMYFUNCTION("""COMPUTED_VALUE"""),"Joe and Sharon Wamsley")</f>
        <v>Joe and Sharon Wamsley</v>
      </c>
      <c r="F4062" s="3" t="str">
        <f>IFERROR(__xludf.DUMMYFUNCTION("""COMPUTED_VALUE"""),"jswamsley@yahoo.ca")</f>
        <v>jswamsley@yahoo.ca</v>
      </c>
      <c r="G4062" s="3">
        <f>IFERROR(__xludf.DUMMYFUNCTION("""COMPUTED_VALUE"""),9.053736807E9)</f>
        <v>9053736807</v>
      </c>
      <c r="H4062" s="3"/>
    </row>
    <row r="4063">
      <c r="A4063" s="2">
        <f>IFERROR(__xludf.DUMMYFUNCTION("""COMPUTED_VALUE"""),62875.0)</f>
        <v>62875</v>
      </c>
      <c r="B4063" s="3" t="str">
        <f>IFERROR(__xludf.DUMMYFUNCTION("""COMPUTED_VALUE"""),"67 ORCHARD WAY  ")</f>
        <v>67 ORCHARD WAY  </v>
      </c>
      <c r="C4063" s="3" t="str">
        <f>IFERROR(__xludf.DUMMYFUNCTION("""COMPUTED_VALUE"""),"WARKWORTH")</f>
        <v>WARKWORTH</v>
      </c>
      <c r="D4063" s="3" t="str">
        <f>IFERROR(__xludf.DUMMYFUNCTION("""COMPUTED_VALUE"""),"K0K 3K0")</f>
        <v>K0K 3K0</v>
      </c>
      <c r="E4063" s="3" t="str">
        <f>IFERROR(__xludf.DUMMYFUNCTION("""COMPUTED_VALUE"""),"Bill Stableford")</f>
        <v>Bill Stableford</v>
      </c>
      <c r="F4063" s="3" t="str">
        <f>IFERROR(__xludf.DUMMYFUNCTION("""COMPUTED_VALUE"""),"stableford@bell.net")</f>
        <v>stableford@bell.net</v>
      </c>
      <c r="G4063" s="3"/>
      <c r="H4063" s="3"/>
    </row>
    <row r="4064">
      <c r="A4064" s="2">
        <f>IFERROR(__xludf.DUMMYFUNCTION("""COMPUTED_VALUE"""),62876.0)</f>
        <v>62876</v>
      </c>
      <c r="B4064" s="3" t="str">
        <f>IFERROR(__xludf.DUMMYFUNCTION("""COMPUTED_VALUE"""),"69 ORCHARD WAY  ")</f>
        <v>69 ORCHARD WAY  </v>
      </c>
      <c r="C4064" s="3" t="str">
        <f>IFERROR(__xludf.DUMMYFUNCTION("""COMPUTED_VALUE"""),"WARKWORTH")</f>
        <v>WARKWORTH</v>
      </c>
      <c r="D4064" s="3" t="str">
        <f>IFERROR(__xludf.DUMMYFUNCTION("""COMPUTED_VALUE"""),"K0K 3K0")</f>
        <v>K0K 3K0</v>
      </c>
      <c r="E4064" s="3" t="str">
        <f>IFERROR(__xludf.DUMMYFUNCTION("""COMPUTED_VALUE"""),"Don Real")</f>
        <v>Don Real</v>
      </c>
      <c r="F4064" s="3" t="str">
        <f>IFERROR(__xludf.DUMMYFUNCTION("""COMPUTED_VALUE"""),"donreal0@gmail.com")</f>
        <v>donreal0@gmail.com</v>
      </c>
      <c r="G4064" s="3">
        <f>IFERROR(__xludf.DUMMYFUNCTION("""COMPUTED_VALUE"""),7.05328597E9)</f>
        <v>7053285970</v>
      </c>
      <c r="H4064" s="3"/>
    </row>
    <row r="4065">
      <c r="A4065" s="2">
        <f>IFERROR(__xludf.DUMMYFUNCTION("""COMPUTED_VALUE"""),62877.0)</f>
        <v>62877</v>
      </c>
      <c r="B4065" s="3" t="str">
        <f>IFERROR(__xludf.DUMMYFUNCTION("""COMPUTED_VALUE"""),"71 ORCHARD WAY  ")</f>
        <v>71 ORCHARD WAY  </v>
      </c>
      <c r="C4065" s="3" t="str">
        <f>IFERROR(__xludf.DUMMYFUNCTION("""COMPUTED_VALUE"""),"WARKWORTH")</f>
        <v>WARKWORTH</v>
      </c>
      <c r="D4065" s="3" t="str">
        <f>IFERROR(__xludf.DUMMYFUNCTION("""COMPUTED_VALUE"""),"K0K 3K0")</f>
        <v>K0K 3K0</v>
      </c>
      <c r="E4065" s="3" t="str">
        <f>IFERROR(__xludf.DUMMYFUNCTION("""COMPUTED_VALUE"""),"kim allen mclean ")</f>
        <v>kim allen mclean </v>
      </c>
      <c r="F4065" s="3" t="str">
        <f>IFERROR(__xludf.DUMMYFUNCTION("""COMPUTED_VALUE"""),"kimnjoe01@yahoo.com")</f>
        <v>kimnjoe01@yahoo.com</v>
      </c>
      <c r="G4065" s="3">
        <f>IFERROR(__xludf.DUMMYFUNCTION("""COMPUTED_VALUE"""),7.057229036E9)</f>
        <v>7057229036</v>
      </c>
      <c r="H4065" s="3">
        <f>IFERROR(__xludf.DUMMYFUNCTION("""COMPUTED_VALUE"""),7.059243196E9)</f>
        <v>7059243196</v>
      </c>
    </row>
    <row r="4066">
      <c r="A4066" s="2">
        <f>IFERROR(__xludf.DUMMYFUNCTION("""COMPUTED_VALUE"""),62878.0)</f>
        <v>62878</v>
      </c>
      <c r="B4066" s="3" t="str">
        <f>IFERROR(__xludf.DUMMYFUNCTION("""COMPUTED_VALUE"""),"73 ORCHARD WAY  ")</f>
        <v>73 ORCHARD WAY  </v>
      </c>
      <c r="C4066" s="3" t="str">
        <f>IFERROR(__xludf.DUMMYFUNCTION("""COMPUTED_VALUE"""),"WARKWORTH")</f>
        <v>WARKWORTH</v>
      </c>
      <c r="D4066" s="3" t="str">
        <f>IFERROR(__xludf.DUMMYFUNCTION("""COMPUTED_VALUE"""),"K0K 3K0")</f>
        <v>K0K 3K0</v>
      </c>
      <c r="E4066" s="3" t="str">
        <f>IFERROR(__xludf.DUMMYFUNCTION("""COMPUTED_VALUE"""),"Neil and Beverley Jagger")</f>
        <v>Neil and Beverley Jagger</v>
      </c>
      <c r="F4066" s="3" t="str">
        <f>IFERROR(__xludf.DUMMYFUNCTION("""COMPUTED_VALUE"""),"bevjagger@icloud.com")</f>
        <v>bevjagger@icloud.com</v>
      </c>
      <c r="G4066" s="3"/>
      <c r="H4066" s="3"/>
    </row>
    <row r="4067">
      <c r="A4067" s="2">
        <f>IFERROR(__xludf.DUMMYFUNCTION("""COMPUTED_VALUE"""),62879.0)</f>
        <v>62879</v>
      </c>
      <c r="B4067" s="3" t="str">
        <f>IFERROR(__xludf.DUMMYFUNCTION("""COMPUTED_VALUE"""),"77 ORCHARD WAY  ")</f>
        <v>77 ORCHARD WAY  </v>
      </c>
      <c r="C4067" s="3" t="str">
        <f>IFERROR(__xludf.DUMMYFUNCTION("""COMPUTED_VALUE"""),"WARKWORTH")</f>
        <v>WARKWORTH</v>
      </c>
      <c r="D4067" s="3" t="str">
        <f>IFERROR(__xludf.DUMMYFUNCTION("""COMPUTED_VALUE"""),"K0K 3K0")</f>
        <v>K0K 3K0</v>
      </c>
      <c r="E4067" s="3" t="str">
        <f>IFERROR(__xludf.DUMMYFUNCTION("""COMPUTED_VALUE"""),"Garry Parks")</f>
        <v>Garry Parks</v>
      </c>
      <c r="F4067" s="3" t="str">
        <f>IFERROR(__xludf.DUMMYFUNCTION("""COMPUTED_VALUE"""),"mparkshelen@gmail.com")</f>
        <v>mparkshelen@gmail.com</v>
      </c>
      <c r="G4067" s="3"/>
      <c r="H4067" s="3"/>
    </row>
    <row r="4068">
      <c r="A4068" s="2">
        <f>IFERROR(__xludf.DUMMYFUNCTION("""COMPUTED_VALUE"""),62880.0)</f>
        <v>62880</v>
      </c>
      <c r="B4068" s="3" t="str">
        <f>IFERROR(__xludf.DUMMYFUNCTION("""COMPUTED_VALUE"""),"79 ORCHARD WAY  ")</f>
        <v>79 ORCHARD WAY  </v>
      </c>
      <c r="C4068" s="3" t="str">
        <f>IFERROR(__xludf.DUMMYFUNCTION("""COMPUTED_VALUE"""),"WARKWORTH")</f>
        <v>WARKWORTH</v>
      </c>
      <c r="D4068" s="3" t="str">
        <f>IFERROR(__xludf.DUMMYFUNCTION("""COMPUTED_VALUE"""),"K0K 3K0")</f>
        <v>K0K 3K0</v>
      </c>
      <c r="E4068" s="3" t="str">
        <f>IFERROR(__xludf.DUMMYFUNCTION("""COMPUTED_VALUE"""),"maryanne brown and lois emerson ")</f>
        <v>maryanne brown and lois emerson </v>
      </c>
      <c r="F4068" s="3" t="str">
        <f>IFERROR(__xludf.DUMMYFUNCTION("""COMPUTED_VALUE"""),"energywithmaryanne@gmail.com")</f>
        <v>energywithmaryanne@gmail.com</v>
      </c>
      <c r="G4068" s="3">
        <f>IFERROR(__xludf.DUMMYFUNCTION("""COMPUTED_VALUE"""),2.892519486E9)</f>
        <v>2892519486</v>
      </c>
      <c r="H4068" s="3"/>
    </row>
    <row r="4069">
      <c r="A4069" s="2">
        <f>IFERROR(__xludf.DUMMYFUNCTION("""COMPUTED_VALUE"""),62881.0)</f>
        <v>62881</v>
      </c>
      <c r="B4069" s="3" t="str">
        <f>IFERROR(__xludf.DUMMYFUNCTION("""COMPUTED_VALUE"""),"81 ORCHARD WAY  ")</f>
        <v>81 ORCHARD WAY  </v>
      </c>
      <c r="C4069" s="3" t="str">
        <f>IFERROR(__xludf.DUMMYFUNCTION("""COMPUTED_VALUE"""),"WARKWORTH")</f>
        <v>WARKWORTH</v>
      </c>
      <c r="D4069" s="3" t="str">
        <f>IFERROR(__xludf.DUMMYFUNCTION("""COMPUTED_VALUE"""),"K0K 3K0")</f>
        <v>K0K 3K0</v>
      </c>
      <c r="E4069" s="3" t="str">
        <f>IFERROR(__xludf.DUMMYFUNCTION("""COMPUTED_VALUE"""),"pat lonergan ")</f>
        <v>pat lonergan </v>
      </c>
      <c r="F4069" s="3" t="str">
        <f>IFERROR(__xludf.DUMMYFUNCTION("""COMPUTED_VALUE"""),"lonerganpat46@gmail.com")</f>
        <v>lonerganpat46@gmail.com</v>
      </c>
      <c r="G4069" s="3">
        <f>IFERROR(__xludf.DUMMYFUNCTION("""COMPUTED_VALUE"""),7.059243967E9)</f>
        <v>7059243967</v>
      </c>
      <c r="H4069" s="3"/>
    </row>
    <row r="4070">
      <c r="A4070" s="2">
        <f>IFERROR(__xludf.DUMMYFUNCTION("""COMPUTED_VALUE"""),62882.0)</f>
        <v>62882</v>
      </c>
      <c r="B4070" s="3" t="str">
        <f>IFERROR(__xludf.DUMMYFUNCTION("""COMPUTED_VALUE"""),"83 ORCHARD WAY  ")</f>
        <v>83 ORCHARD WAY  </v>
      </c>
      <c r="C4070" s="3" t="str">
        <f>IFERROR(__xludf.DUMMYFUNCTION("""COMPUTED_VALUE"""),"WARKWORTH")</f>
        <v>WARKWORTH</v>
      </c>
      <c r="D4070" s="3" t="str">
        <f>IFERROR(__xludf.DUMMYFUNCTION("""COMPUTED_VALUE"""),"K0K 3K0")</f>
        <v>K0K 3K0</v>
      </c>
      <c r="E4070" s="3" t="str">
        <f>IFERROR(__xludf.DUMMYFUNCTION("""COMPUTED_VALUE"""),"bryce andjanice allen ")</f>
        <v>bryce andjanice allen </v>
      </c>
      <c r="F4070" s="3" t="str">
        <f>IFERROR(__xludf.DUMMYFUNCTION("""COMPUTED_VALUE"""),"janiceallen@bell.net")</f>
        <v>janiceallen@bell.net</v>
      </c>
      <c r="G4070" s="3">
        <f>IFERROR(__xludf.DUMMYFUNCTION("""COMPUTED_VALUE"""),7.059242583E9)</f>
        <v>7059242583</v>
      </c>
      <c r="H4070" s="3"/>
    </row>
    <row r="4071">
      <c r="A4071" s="2">
        <f>IFERROR(__xludf.DUMMYFUNCTION("""COMPUTED_VALUE"""),62883.0)</f>
        <v>62883</v>
      </c>
      <c r="B4071" s="3" t="str">
        <f>IFERROR(__xludf.DUMMYFUNCTION("""COMPUTED_VALUE"""),"119 ORCHARD WAY  ")</f>
        <v>119 ORCHARD WAY  </v>
      </c>
      <c r="C4071" s="3" t="str">
        <f>IFERROR(__xludf.DUMMYFUNCTION("""COMPUTED_VALUE"""),"WARKWORTH")</f>
        <v>WARKWORTH</v>
      </c>
      <c r="D4071" s="3" t="str">
        <f>IFERROR(__xludf.DUMMYFUNCTION("""COMPUTED_VALUE"""),"K0K 3K0")</f>
        <v>K0K 3K0</v>
      </c>
      <c r="E4071" s="3" t="str">
        <f>IFERROR(__xludf.DUMMYFUNCTION("""COMPUTED_VALUE"""),"holly and howard quinlan ")</f>
        <v>holly and howard quinlan </v>
      </c>
      <c r="F4071" s="3" t="str">
        <f>IFERROR(__xludf.DUMMYFUNCTION("""COMPUTED_VALUE"""),"holly9u56@icloud.com")</f>
        <v>holly9u56@icloud.com</v>
      </c>
      <c r="G4071" s="3">
        <f>IFERROR(__xludf.DUMMYFUNCTION("""COMPUTED_VALUE"""),2.896874549E9)</f>
        <v>2896874549</v>
      </c>
      <c r="H4071" s="3"/>
    </row>
    <row r="4072">
      <c r="A4072" s="2">
        <f>IFERROR(__xludf.DUMMYFUNCTION("""COMPUTED_VALUE"""),62884.0)</f>
        <v>62884</v>
      </c>
      <c r="B4072" s="3" t="str">
        <f>IFERROR(__xludf.DUMMYFUNCTION("""COMPUTED_VALUE"""),"121 ORCHARD WAY  ")</f>
        <v>121 ORCHARD WAY  </v>
      </c>
      <c r="C4072" s="3" t="str">
        <f>IFERROR(__xludf.DUMMYFUNCTION("""COMPUTED_VALUE"""),"WARKWORTH")</f>
        <v>WARKWORTH</v>
      </c>
      <c r="D4072" s="3" t="str">
        <f>IFERROR(__xludf.DUMMYFUNCTION("""COMPUTED_VALUE"""),"K0K 3K0")</f>
        <v>K0K 3K0</v>
      </c>
      <c r="E4072" s="3" t="str">
        <f>IFERROR(__xludf.DUMMYFUNCTION("""COMPUTED_VALUE"""),"Elizabeth K Gallant")</f>
        <v>Elizabeth K Gallant</v>
      </c>
      <c r="F4072" s="3" t="str">
        <f>IFERROR(__xludf.DUMMYFUNCTION("""COMPUTED_VALUE"""),"kim.gallant@gmail.com")</f>
        <v>kim.gallant@gmail.com</v>
      </c>
      <c r="G4072" s="3">
        <f>IFERROR(__xludf.DUMMYFUNCTION("""COMPUTED_VALUE"""),4.168294779E9)</f>
        <v>4168294779</v>
      </c>
      <c r="H4072" s="3"/>
    </row>
    <row r="4073">
      <c r="A4073" s="2">
        <f>IFERROR(__xludf.DUMMYFUNCTION("""COMPUTED_VALUE"""),62885.0)</f>
        <v>62885</v>
      </c>
      <c r="B4073" s="3" t="str">
        <f>IFERROR(__xludf.DUMMYFUNCTION("""COMPUTED_VALUE"""),"123 ORCHARD WAY  ")</f>
        <v>123 ORCHARD WAY  </v>
      </c>
      <c r="C4073" s="3" t="str">
        <f>IFERROR(__xludf.DUMMYFUNCTION("""COMPUTED_VALUE"""),"WARKWORTH")</f>
        <v>WARKWORTH</v>
      </c>
      <c r="D4073" s="3" t="str">
        <f>IFERROR(__xludf.DUMMYFUNCTION("""COMPUTED_VALUE"""),"K0K 3K0")</f>
        <v>K0K 3K0</v>
      </c>
      <c r="E4073" s="3" t="str">
        <f>IFERROR(__xludf.DUMMYFUNCTION("""COMPUTED_VALUE"""),"billie-jo stuart ")</f>
        <v>billie-jo stuart </v>
      </c>
      <c r="F4073" s="3" t="str">
        <f>IFERROR(__xludf.DUMMYFUNCTION("""COMPUTED_VALUE"""),"billiejo69@icloud.com")</f>
        <v>billiejo69@icloud.com</v>
      </c>
      <c r="G4073" s="3">
        <f>IFERROR(__xludf.DUMMYFUNCTION("""COMPUTED_VALUE"""),6.135394169E9)</f>
        <v>6135394169</v>
      </c>
      <c r="H4073" s="3"/>
    </row>
    <row r="4074">
      <c r="A4074" s="2">
        <f>IFERROR(__xludf.DUMMYFUNCTION("""COMPUTED_VALUE"""),62886.0)</f>
        <v>62886</v>
      </c>
      <c r="B4074" s="3" t="str">
        <f>IFERROR(__xludf.DUMMYFUNCTION("""COMPUTED_VALUE"""),"125 ORCHARD WAY  ")</f>
        <v>125 ORCHARD WAY  </v>
      </c>
      <c r="C4074" s="3" t="str">
        <f>IFERROR(__xludf.DUMMYFUNCTION("""COMPUTED_VALUE"""),"WARKWORTH")</f>
        <v>WARKWORTH</v>
      </c>
      <c r="D4074" s="3" t="str">
        <f>IFERROR(__xludf.DUMMYFUNCTION("""COMPUTED_VALUE"""),"K0K 3K0")</f>
        <v>K0K 3K0</v>
      </c>
      <c r="E4074" s="3" t="str">
        <f>IFERROR(__xludf.DUMMYFUNCTION("""COMPUTED_VALUE"""),"Michael Waddell")</f>
        <v>Michael Waddell</v>
      </c>
      <c r="F4074" s="3" t="str">
        <f>IFERROR(__xludf.DUMMYFUNCTION("""COMPUTED_VALUE"""),"reyndell@bell.net")</f>
        <v>reyndell@bell.net</v>
      </c>
      <c r="G4074" s="3"/>
      <c r="H4074" s="3"/>
    </row>
    <row r="4075">
      <c r="A4075" s="2">
        <f>IFERROR(__xludf.DUMMYFUNCTION("""COMPUTED_VALUE"""),62887.0)</f>
        <v>62887</v>
      </c>
      <c r="B4075" s="3" t="str">
        <f>IFERROR(__xludf.DUMMYFUNCTION("""COMPUTED_VALUE"""),"129 ORCHARD WAY  ")</f>
        <v>129 ORCHARD WAY  </v>
      </c>
      <c r="C4075" s="3" t="str">
        <f>IFERROR(__xludf.DUMMYFUNCTION("""COMPUTED_VALUE"""),"WARKWORTH")</f>
        <v>WARKWORTH</v>
      </c>
      <c r="D4075" s="3" t="str">
        <f>IFERROR(__xludf.DUMMYFUNCTION("""COMPUTED_VALUE"""),"K0K 3K0")</f>
        <v>K0K 3K0</v>
      </c>
      <c r="E4075" s="3" t="str">
        <f>IFERROR(__xludf.DUMMYFUNCTION("""COMPUTED_VALUE"""),"r, sobottka ")</f>
        <v>r, sobottka </v>
      </c>
      <c r="F4075" s="3"/>
      <c r="G4075" s="3">
        <f>IFERROR(__xludf.DUMMYFUNCTION("""COMPUTED_VALUE"""),7.0592491E9)</f>
        <v>7059249100</v>
      </c>
      <c r="H4075" s="3"/>
    </row>
    <row r="4076">
      <c r="A4076" s="2">
        <f>IFERROR(__xludf.DUMMYFUNCTION("""COMPUTED_VALUE"""),62888.0)</f>
        <v>62888</v>
      </c>
      <c r="B4076" s="3" t="str">
        <f>IFERROR(__xludf.DUMMYFUNCTION("""COMPUTED_VALUE"""),"131 ORCHARD WAY  ")</f>
        <v>131 ORCHARD WAY  </v>
      </c>
      <c r="C4076" s="3" t="str">
        <f>IFERROR(__xludf.DUMMYFUNCTION("""COMPUTED_VALUE"""),"WARKWORTH")</f>
        <v>WARKWORTH</v>
      </c>
      <c r="D4076" s="3" t="str">
        <f>IFERROR(__xludf.DUMMYFUNCTION("""COMPUTED_VALUE"""),"K0K 3K0")</f>
        <v>K0K 3K0</v>
      </c>
      <c r="E4076" s="3"/>
      <c r="F4076" s="3"/>
      <c r="G4076" s="3"/>
      <c r="H4076" s="3"/>
    </row>
    <row r="4077">
      <c r="A4077" s="2">
        <f>IFERROR(__xludf.DUMMYFUNCTION("""COMPUTED_VALUE"""),62889.0)</f>
        <v>62889</v>
      </c>
      <c r="B4077" s="3" t="str">
        <f>IFERROR(__xludf.DUMMYFUNCTION("""COMPUTED_VALUE"""),"133 ORCHARD WAY  ")</f>
        <v>133 ORCHARD WAY  </v>
      </c>
      <c r="C4077" s="3" t="str">
        <f>IFERROR(__xludf.DUMMYFUNCTION("""COMPUTED_VALUE"""),"WARKWORTH")</f>
        <v>WARKWORTH</v>
      </c>
      <c r="D4077" s="3" t="str">
        <f>IFERROR(__xludf.DUMMYFUNCTION("""COMPUTED_VALUE"""),"K0K 3K0")</f>
        <v>K0K 3K0</v>
      </c>
      <c r="E4077" s="3" t="str">
        <f>IFERROR(__xludf.DUMMYFUNCTION("""COMPUTED_VALUE"""),"joyce and michael bonneau ")</f>
        <v>joyce and michael bonneau </v>
      </c>
      <c r="F4077" s="3"/>
      <c r="G4077" s="3">
        <f>IFERROR(__xludf.DUMMYFUNCTION("""COMPUTED_VALUE"""),7.059241476E9)</f>
        <v>7059241476</v>
      </c>
      <c r="H4077" s="3"/>
    </row>
    <row r="4078">
      <c r="A4078" s="2">
        <f>IFERROR(__xludf.DUMMYFUNCTION("""COMPUTED_VALUE"""),62890.0)</f>
        <v>62890</v>
      </c>
      <c r="B4078" s="3" t="str">
        <f>IFERROR(__xludf.DUMMYFUNCTION("""COMPUTED_VALUE"""),"135 ORCHARD WAY  ")</f>
        <v>135 ORCHARD WAY  </v>
      </c>
      <c r="C4078" s="3" t="str">
        <f>IFERROR(__xludf.DUMMYFUNCTION("""COMPUTED_VALUE"""),"WARKWORTH")</f>
        <v>WARKWORTH</v>
      </c>
      <c r="D4078" s="3" t="str">
        <f>IFERROR(__xludf.DUMMYFUNCTION("""COMPUTED_VALUE"""),"K0K 3K0")</f>
        <v>K0K 3K0</v>
      </c>
      <c r="E4078" s="3" t="str">
        <f>IFERROR(__xludf.DUMMYFUNCTION("""COMPUTED_VALUE"""),"marney carrol ")</f>
        <v>marney carrol </v>
      </c>
      <c r="F4078" s="3" t="str">
        <f>IFERROR(__xludf.DUMMYFUNCTION("""COMPUTED_VALUE"""),"marnc54@gmail.com")</f>
        <v>marnc54@gmail.com</v>
      </c>
      <c r="G4078" s="3">
        <f>IFERROR(__xludf.DUMMYFUNCTION("""COMPUTED_VALUE"""),9.057219791E9)</f>
        <v>9057219791</v>
      </c>
      <c r="H4078" s="3">
        <f>IFERROR(__xludf.DUMMYFUNCTION("""COMPUTED_VALUE"""),2.893551161E9)</f>
        <v>2893551161</v>
      </c>
    </row>
    <row r="4079">
      <c r="A4079" s="2">
        <f>IFERROR(__xludf.DUMMYFUNCTION("""COMPUTED_VALUE"""),62891.0)</f>
        <v>62891</v>
      </c>
      <c r="B4079" s="3" t="str">
        <f>IFERROR(__xludf.DUMMYFUNCTION("""COMPUTED_VALUE"""),"137 ORCHARD WAY  ")</f>
        <v>137 ORCHARD WAY  </v>
      </c>
      <c r="C4079" s="3" t="str">
        <f>IFERROR(__xludf.DUMMYFUNCTION("""COMPUTED_VALUE"""),"WARKWORTH")</f>
        <v>WARKWORTH</v>
      </c>
      <c r="D4079" s="3" t="str">
        <f>IFERROR(__xludf.DUMMYFUNCTION("""COMPUTED_VALUE"""),"K0K 3K0")</f>
        <v>K0K 3K0</v>
      </c>
      <c r="E4079" s="3"/>
      <c r="F4079" s="3"/>
      <c r="G4079" s="3"/>
      <c r="H4079" s="3"/>
    </row>
    <row r="4080">
      <c r="A4080" s="2">
        <f>IFERROR(__xludf.DUMMYFUNCTION("""COMPUTED_VALUE"""),60422.0)</f>
        <v>60422</v>
      </c>
      <c r="B4080" s="3" t="str">
        <f>IFERROR(__xludf.DUMMYFUNCTION("""COMPUTED_VALUE"""),"66 BLOSSOM CRT")</f>
        <v>66 BLOSSOM CRT</v>
      </c>
      <c r="C4080" s="3" t="str">
        <f>IFERROR(__xludf.DUMMYFUNCTION("""COMPUTED_VALUE"""),"WARKWORTH")</f>
        <v>WARKWORTH</v>
      </c>
      <c r="D4080" s="3" t="str">
        <f>IFERROR(__xludf.DUMMYFUNCTION("""COMPUTED_VALUE"""),"K0K 3K0")</f>
        <v>K0K 3K0</v>
      </c>
      <c r="E4080" s="3" t="str">
        <f>IFERROR(__xludf.DUMMYFUNCTION("""COMPUTED_VALUE"""),"T.Bryce Miller")</f>
        <v>T.Bryce Miller</v>
      </c>
      <c r="F4080" s="3" t="str">
        <f>IFERROR(__xludf.DUMMYFUNCTION("""COMPUTED_VALUE"""),"brymillphm@yahoo.ca")</f>
        <v>brymillphm@yahoo.ca</v>
      </c>
      <c r="G4080" s="3"/>
      <c r="H4080" s="3"/>
    </row>
    <row r="4081">
      <c r="A4081" s="2">
        <f>IFERROR(__xludf.DUMMYFUNCTION("""COMPUTED_VALUE"""),60423.0)</f>
        <v>60423</v>
      </c>
      <c r="B4081" s="3" t="str">
        <f>IFERROR(__xludf.DUMMYFUNCTION("""COMPUTED_VALUE"""),"68 BLOSSOM CRT")</f>
        <v>68 BLOSSOM CRT</v>
      </c>
      <c r="C4081" s="3" t="str">
        <f>IFERROR(__xludf.DUMMYFUNCTION("""COMPUTED_VALUE"""),"WARKWORTH")</f>
        <v>WARKWORTH</v>
      </c>
      <c r="D4081" s="3" t="str">
        <f>IFERROR(__xludf.DUMMYFUNCTION("""COMPUTED_VALUE"""),"K0K 3K0")</f>
        <v>K0K 3K0</v>
      </c>
      <c r="E4081" s="3" t="str">
        <f>IFERROR(__xludf.DUMMYFUNCTION("""COMPUTED_VALUE"""),"linda jakubcak")</f>
        <v>linda jakubcak</v>
      </c>
      <c r="F4081" s="3" t="str">
        <f>IFERROR(__xludf.DUMMYFUNCTION("""COMPUTED_VALUE"""),"granysup45@yahoo.com")</f>
        <v>granysup45@yahoo.com</v>
      </c>
      <c r="G4081" s="3">
        <f>IFERROR(__xludf.DUMMYFUNCTION("""COMPUTED_VALUE"""),7.059249746E9)</f>
        <v>7059249746</v>
      </c>
      <c r="H4081" s="3"/>
    </row>
    <row r="4082">
      <c r="A4082" s="2">
        <f>IFERROR(__xludf.DUMMYFUNCTION("""COMPUTED_VALUE"""),60424.0)</f>
        <v>60424</v>
      </c>
      <c r="B4082" s="3" t="str">
        <f>IFERROR(__xludf.DUMMYFUNCTION("""COMPUTED_VALUE"""),"70 BLOSSOM CRT")</f>
        <v>70 BLOSSOM CRT</v>
      </c>
      <c r="C4082" s="3" t="str">
        <f>IFERROR(__xludf.DUMMYFUNCTION("""COMPUTED_VALUE"""),"WARKWORTH")</f>
        <v>WARKWORTH</v>
      </c>
      <c r="D4082" s="3" t="str">
        <f>IFERROR(__xludf.DUMMYFUNCTION("""COMPUTED_VALUE"""),"K0K 3K0")</f>
        <v>K0K 3K0</v>
      </c>
      <c r="E4082" s="3" t="str">
        <f>IFERROR(__xludf.DUMMYFUNCTION("""COMPUTED_VALUE"""),"David Filman ")</f>
        <v>David Filman </v>
      </c>
      <c r="F4082" s="3" t="str">
        <f>IFERROR(__xludf.DUMMYFUNCTION("""COMPUTED_VALUE"""),"dfilman@yahoo.com")</f>
        <v>dfilman@yahoo.com</v>
      </c>
      <c r="G4082" s="3"/>
      <c r="H4082" s="3"/>
    </row>
    <row r="4083">
      <c r="A4083" s="2">
        <f>IFERROR(__xludf.DUMMYFUNCTION("""COMPUTED_VALUE"""),62891.0)</f>
        <v>62891</v>
      </c>
      <c r="B4083" s="3" t="str">
        <f>IFERROR(__xludf.DUMMYFUNCTION("""COMPUTED_VALUE"""),"TBD ORCHARD WAY - UNIT 24")</f>
        <v>TBD ORCHARD WAY - UNIT 24</v>
      </c>
      <c r="C4083" s="3" t="str">
        <f>IFERROR(__xludf.DUMMYFUNCTION("""COMPUTED_VALUE"""),"WARKWORTH")</f>
        <v>WARKWORTH</v>
      </c>
      <c r="D4083" s="3" t="str">
        <f>IFERROR(__xludf.DUMMYFUNCTION("""COMPUTED_VALUE"""),"K0K 3K0")</f>
        <v>K0K 3K0</v>
      </c>
      <c r="E4083" s="3"/>
      <c r="F4083" s="3"/>
      <c r="G4083" s="3"/>
      <c r="H4083" s="3"/>
    </row>
    <row r="4084">
      <c r="A4084" s="2">
        <f>IFERROR(__xludf.DUMMYFUNCTION("""COMPUTED_VALUE"""),63783.0)</f>
        <v>63783</v>
      </c>
      <c r="B4084" s="3" t="str">
        <f>IFERROR(__xludf.DUMMYFUNCTION("""COMPUTED_VALUE"""),"TBD ORCHARD WAY - UNIT 25")</f>
        <v>TBD ORCHARD WAY - UNIT 25</v>
      </c>
      <c r="C4084" s="3" t="str">
        <f>IFERROR(__xludf.DUMMYFUNCTION("""COMPUTED_VALUE"""),"WARKWORTH")</f>
        <v>WARKWORTH</v>
      </c>
      <c r="D4084" s="3" t="str">
        <f>IFERROR(__xludf.DUMMYFUNCTION("""COMPUTED_VALUE"""),"K0K 3K0")</f>
        <v>K0K 3K0</v>
      </c>
      <c r="E4084" s="3"/>
      <c r="F4084" s="3"/>
      <c r="G4084" s="3"/>
      <c r="H4084" s="3"/>
    </row>
    <row r="4085">
      <c r="A4085" s="2">
        <f>IFERROR(__xludf.DUMMYFUNCTION("""COMPUTED_VALUE"""),63784.0)</f>
        <v>63784</v>
      </c>
      <c r="B4085" s="3" t="str">
        <f>IFERROR(__xludf.DUMMYFUNCTION("""COMPUTED_VALUE"""),"TBD ORCHARD WAY - UNIT 26")</f>
        <v>TBD ORCHARD WAY - UNIT 26</v>
      </c>
      <c r="C4085" s="3" t="str">
        <f>IFERROR(__xludf.DUMMYFUNCTION("""COMPUTED_VALUE"""),"WARKWORTH")</f>
        <v>WARKWORTH</v>
      </c>
      <c r="D4085" s="3" t="str">
        <f>IFERROR(__xludf.DUMMYFUNCTION("""COMPUTED_VALUE"""),"K0K 3K0")</f>
        <v>K0K 3K0</v>
      </c>
      <c r="E4085" s="3"/>
      <c r="F4085" s="3"/>
      <c r="G4085" s="3"/>
      <c r="H4085" s="3"/>
    </row>
    <row r="4086">
      <c r="A4086" s="2">
        <f>IFERROR(__xludf.DUMMYFUNCTION("""COMPUTED_VALUE"""),63785.0)</f>
        <v>63785</v>
      </c>
      <c r="B4086" s="3" t="str">
        <f>IFERROR(__xludf.DUMMYFUNCTION("""COMPUTED_VALUE"""),"TBD ORCHARD WAY - UNIT 27")</f>
        <v>TBD ORCHARD WAY - UNIT 27</v>
      </c>
      <c r="C4086" s="3" t="str">
        <f>IFERROR(__xludf.DUMMYFUNCTION("""COMPUTED_VALUE"""),"WARKWORTH")</f>
        <v>WARKWORTH</v>
      </c>
      <c r="D4086" s="3" t="str">
        <f>IFERROR(__xludf.DUMMYFUNCTION("""COMPUTED_VALUE"""),"K0K 3K0")</f>
        <v>K0K 3K0</v>
      </c>
      <c r="E4086" s="3"/>
      <c r="F4086" s="3"/>
      <c r="G4086" s="3"/>
      <c r="H4086" s="3"/>
    </row>
    <row r="4087">
      <c r="A4087" s="2">
        <f>IFERROR(__xludf.DUMMYFUNCTION("""COMPUTED_VALUE"""),63786.0)</f>
        <v>63786</v>
      </c>
      <c r="B4087" s="3" t="str">
        <f>IFERROR(__xludf.DUMMYFUNCTION("""COMPUTED_VALUE"""),"TBD ORCHARD WAY - UNIT 28")</f>
        <v>TBD ORCHARD WAY - UNIT 28</v>
      </c>
      <c r="C4087" s="3" t="str">
        <f>IFERROR(__xludf.DUMMYFUNCTION("""COMPUTED_VALUE"""),"WARKWORTH")</f>
        <v>WARKWORTH</v>
      </c>
      <c r="D4087" s="3" t="str">
        <f>IFERROR(__xludf.DUMMYFUNCTION("""COMPUTED_VALUE"""),"K0K 3K0")</f>
        <v>K0K 3K0</v>
      </c>
      <c r="E4087" s="3"/>
      <c r="F4087" s="3"/>
      <c r="G4087" s="3"/>
      <c r="H4087" s="3"/>
    </row>
    <row r="4088">
      <c r="A4088" s="2">
        <f>IFERROR(__xludf.DUMMYFUNCTION("""COMPUTED_VALUE"""),63787.0)</f>
        <v>63787</v>
      </c>
      <c r="B4088" s="3" t="str">
        <f>IFERROR(__xludf.DUMMYFUNCTION("""COMPUTED_VALUE"""),"TBD ORCHARD WAY - UNIT 29")</f>
        <v>TBD ORCHARD WAY - UNIT 29</v>
      </c>
      <c r="C4088" s="3" t="str">
        <f>IFERROR(__xludf.DUMMYFUNCTION("""COMPUTED_VALUE"""),"WARKWORTH")</f>
        <v>WARKWORTH</v>
      </c>
      <c r="D4088" s="3" t="str">
        <f>IFERROR(__xludf.DUMMYFUNCTION("""COMPUTED_VALUE"""),"K0K 3K0")</f>
        <v>K0K 3K0</v>
      </c>
      <c r="E4088" s="3"/>
      <c r="F4088" s="3"/>
      <c r="G4088" s="3"/>
      <c r="H4088" s="3"/>
    </row>
    <row r="4089">
      <c r="A4089" s="2">
        <f>IFERROR(__xludf.DUMMYFUNCTION("""COMPUTED_VALUE"""),63788.0)</f>
        <v>63788</v>
      </c>
      <c r="B4089" s="3" t="str">
        <f>IFERROR(__xludf.DUMMYFUNCTION("""COMPUTED_VALUE"""),"TBD ORCHARD WAY - UNIT 30")</f>
        <v>TBD ORCHARD WAY - UNIT 30</v>
      </c>
      <c r="C4089" s="3" t="str">
        <f>IFERROR(__xludf.DUMMYFUNCTION("""COMPUTED_VALUE"""),"WARKWORTH")</f>
        <v>WARKWORTH</v>
      </c>
      <c r="D4089" s="3" t="str">
        <f>IFERROR(__xludf.DUMMYFUNCTION("""COMPUTED_VALUE"""),"K0K 3K0")</f>
        <v>K0K 3K0</v>
      </c>
      <c r="E4089" s="3"/>
      <c r="F4089" s="3"/>
      <c r="G4089" s="3"/>
      <c r="H4089" s="3"/>
    </row>
    <row r="4090">
      <c r="A4090" s="2">
        <f>IFERROR(__xludf.DUMMYFUNCTION("""COMPUTED_VALUE"""),63789.0)</f>
        <v>63789</v>
      </c>
      <c r="B4090" s="3" t="str">
        <f>IFERROR(__xludf.DUMMYFUNCTION("""COMPUTED_VALUE"""),"TBD ORCHARD WAY - UNIT 31")</f>
        <v>TBD ORCHARD WAY - UNIT 31</v>
      </c>
      <c r="C4090" s="3" t="str">
        <f>IFERROR(__xludf.DUMMYFUNCTION("""COMPUTED_VALUE"""),"WARKWORTH")</f>
        <v>WARKWORTH</v>
      </c>
      <c r="D4090" s="3" t="str">
        <f>IFERROR(__xludf.DUMMYFUNCTION("""COMPUTED_VALUE"""),"K0K 3K0")</f>
        <v>K0K 3K0</v>
      </c>
      <c r="E4090" s="3"/>
      <c r="F4090" s="3"/>
      <c r="G4090" s="3"/>
      <c r="H4090" s="3"/>
    </row>
    <row r="4091">
      <c r="A4091" s="2">
        <f>IFERROR(__xludf.DUMMYFUNCTION("""COMPUTED_VALUE"""),63790.0)</f>
        <v>63790</v>
      </c>
      <c r="B4091" s="3" t="str">
        <f>IFERROR(__xludf.DUMMYFUNCTION("""COMPUTED_VALUE"""),"TBD ORCHARD WAY - UNIT 32")</f>
        <v>TBD ORCHARD WAY - UNIT 32</v>
      </c>
      <c r="C4091" s="3" t="str">
        <f>IFERROR(__xludf.DUMMYFUNCTION("""COMPUTED_VALUE"""),"WARKWORTH")</f>
        <v>WARKWORTH</v>
      </c>
      <c r="D4091" s="3" t="str">
        <f>IFERROR(__xludf.DUMMYFUNCTION("""COMPUTED_VALUE"""),"K0K 3K0")</f>
        <v>K0K 3K0</v>
      </c>
      <c r="E4091" s="3"/>
      <c r="F4091" s="3"/>
      <c r="G4091" s="3"/>
      <c r="H4091" s="3"/>
    </row>
    <row r="4092">
      <c r="A4092" s="2">
        <f>IFERROR(__xludf.DUMMYFUNCTION("""COMPUTED_VALUE"""),63791.0)</f>
        <v>63791</v>
      </c>
      <c r="B4092" s="3" t="str">
        <f>IFERROR(__xludf.DUMMYFUNCTION("""COMPUTED_VALUE"""),"TBD ORCHARD WAY - UNIT 33")</f>
        <v>TBD ORCHARD WAY - UNIT 33</v>
      </c>
      <c r="C4092" s="3" t="str">
        <f>IFERROR(__xludf.DUMMYFUNCTION("""COMPUTED_VALUE"""),"WARKWORTH")</f>
        <v>WARKWORTH</v>
      </c>
      <c r="D4092" s="3" t="str">
        <f>IFERROR(__xludf.DUMMYFUNCTION("""COMPUTED_VALUE"""),"K0K 3K0")</f>
        <v>K0K 3K0</v>
      </c>
      <c r="E4092" s="3"/>
      <c r="F4092" s="3"/>
      <c r="G4092" s="3"/>
      <c r="H4092" s="3"/>
    </row>
    <row r="4093">
      <c r="A4093" s="2">
        <f>IFERROR(__xludf.DUMMYFUNCTION("""COMPUTED_VALUE"""),63792.0)</f>
        <v>63792</v>
      </c>
      <c r="B4093" s="3" t="str">
        <f>IFERROR(__xludf.DUMMYFUNCTION("""COMPUTED_VALUE"""),"TBD ORCHARD WAY - UNIT 34")</f>
        <v>TBD ORCHARD WAY - UNIT 34</v>
      </c>
      <c r="C4093" s="3" t="str">
        <f>IFERROR(__xludf.DUMMYFUNCTION("""COMPUTED_VALUE"""),"WARKWORTH")</f>
        <v>WARKWORTH</v>
      </c>
      <c r="D4093" s="3" t="str">
        <f>IFERROR(__xludf.DUMMYFUNCTION("""COMPUTED_VALUE"""),"K0K 3K0")</f>
        <v>K0K 3K0</v>
      </c>
      <c r="E4093" s="3"/>
      <c r="F4093" s="3"/>
      <c r="G4093" s="3"/>
      <c r="H4093" s="3"/>
    </row>
    <row r="4094">
      <c r="A4094" s="2">
        <f>IFERROR(__xludf.DUMMYFUNCTION("""COMPUTED_VALUE"""),63793.0)</f>
        <v>63793</v>
      </c>
      <c r="B4094" s="3" t="str">
        <f>IFERROR(__xludf.DUMMYFUNCTION("""COMPUTED_VALUE"""),"TBD ORCHARD WAY - UNIT 35")</f>
        <v>TBD ORCHARD WAY - UNIT 35</v>
      </c>
      <c r="C4094" s="3" t="str">
        <f>IFERROR(__xludf.DUMMYFUNCTION("""COMPUTED_VALUE"""),"WARKWORTH")</f>
        <v>WARKWORTH</v>
      </c>
      <c r="D4094" s="3" t="str">
        <f>IFERROR(__xludf.DUMMYFUNCTION("""COMPUTED_VALUE"""),"K0K 3K0")</f>
        <v>K0K 3K0</v>
      </c>
      <c r="E4094" s="3"/>
      <c r="F4094" s="3"/>
      <c r="G4094" s="3"/>
      <c r="H4094" s="3"/>
    </row>
    <row r="4095">
      <c r="A4095" s="2">
        <f>IFERROR(__xludf.DUMMYFUNCTION("""COMPUTED_VALUE"""),63794.0)</f>
        <v>63794</v>
      </c>
      <c r="B4095" s="3" t="str">
        <f>IFERROR(__xludf.DUMMYFUNCTION("""COMPUTED_VALUE"""),"TBD ORCHARD WAY - UNIT 36")</f>
        <v>TBD ORCHARD WAY - UNIT 36</v>
      </c>
      <c r="C4095" s="3" t="str">
        <f>IFERROR(__xludf.DUMMYFUNCTION("""COMPUTED_VALUE"""),"WARKWORTH")</f>
        <v>WARKWORTH</v>
      </c>
      <c r="D4095" s="3" t="str">
        <f>IFERROR(__xludf.DUMMYFUNCTION("""COMPUTED_VALUE"""),"K0K 3K0")</f>
        <v>K0K 3K0</v>
      </c>
      <c r="E4095" s="3"/>
      <c r="F4095" s="3"/>
      <c r="G4095" s="3"/>
      <c r="H4095" s="3"/>
    </row>
    <row r="4096">
      <c r="A4096" s="2">
        <f>IFERROR(__xludf.DUMMYFUNCTION("""COMPUTED_VALUE"""),63795.0)</f>
        <v>63795</v>
      </c>
      <c r="B4096" s="3" t="str">
        <f>IFERROR(__xludf.DUMMYFUNCTION("""COMPUTED_VALUE"""),"TBD ORCHARD WAY - UNIT 37")</f>
        <v>TBD ORCHARD WAY - UNIT 37</v>
      </c>
      <c r="C4096" s="3" t="str">
        <f>IFERROR(__xludf.DUMMYFUNCTION("""COMPUTED_VALUE"""),"WARKWORTH")</f>
        <v>WARKWORTH</v>
      </c>
      <c r="D4096" s="3" t="str">
        <f>IFERROR(__xludf.DUMMYFUNCTION("""COMPUTED_VALUE"""),"K0K 3K0")</f>
        <v>K0K 3K0</v>
      </c>
      <c r="E4096" s="3"/>
      <c r="F4096" s="3"/>
      <c r="G4096" s="3"/>
      <c r="H4096" s="3"/>
    </row>
    <row r="4097">
      <c r="A4097" s="2">
        <f>IFERROR(__xludf.DUMMYFUNCTION("""COMPUTED_VALUE"""),63796.0)</f>
        <v>63796</v>
      </c>
      <c r="B4097" s="3" t="str">
        <f>IFERROR(__xludf.DUMMYFUNCTION("""COMPUTED_VALUE"""),"TBD ORCHARD WAY - UNIT 38")</f>
        <v>TBD ORCHARD WAY - UNIT 38</v>
      </c>
      <c r="C4097" s="3" t="str">
        <f>IFERROR(__xludf.DUMMYFUNCTION("""COMPUTED_VALUE"""),"WARKWORTH")</f>
        <v>WARKWORTH</v>
      </c>
      <c r="D4097" s="3" t="str">
        <f>IFERROR(__xludf.DUMMYFUNCTION("""COMPUTED_VALUE"""),"K0K 3K0")</f>
        <v>K0K 3K0</v>
      </c>
      <c r="E4097" s="3"/>
      <c r="F4097" s="3"/>
      <c r="G4097" s="3"/>
      <c r="H4097" s="3"/>
    </row>
    <row r="4098">
      <c r="A4098" s="2">
        <f>IFERROR(__xludf.DUMMYFUNCTION("""COMPUTED_VALUE"""),63797.0)</f>
        <v>63797</v>
      </c>
      <c r="B4098" s="3" t="str">
        <f>IFERROR(__xludf.DUMMYFUNCTION("""COMPUTED_VALUE"""),"TBD ORCHARD WAY - UNIT 39")</f>
        <v>TBD ORCHARD WAY - UNIT 39</v>
      </c>
      <c r="C4098" s="3" t="str">
        <f>IFERROR(__xludf.DUMMYFUNCTION("""COMPUTED_VALUE"""),"WARKWORTH")</f>
        <v>WARKWORTH</v>
      </c>
      <c r="D4098" s="3" t="str">
        <f>IFERROR(__xludf.DUMMYFUNCTION("""COMPUTED_VALUE"""),"K0K 3K0")</f>
        <v>K0K 3K0</v>
      </c>
      <c r="E4098" s="3"/>
      <c r="F4098" s="3"/>
      <c r="G4098" s="3"/>
      <c r="H4098" s="3"/>
    </row>
    <row r="4099">
      <c r="A4099" s="2">
        <f>IFERROR(__xludf.DUMMYFUNCTION("""COMPUTED_VALUE"""),63798.0)</f>
        <v>63798</v>
      </c>
      <c r="B4099" s="3" t="str">
        <f>IFERROR(__xludf.DUMMYFUNCTION("""COMPUTED_VALUE"""),"TBD ORCHARD WAY - UNIT 40")</f>
        <v>TBD ORCHARD WAY - UNIT 40</v>
      </c>
      <c r="C4099" s="3" t="str">
        <f>IFERROR(__xludf.DUMMYFUNCTION("""COMPUTED_VALUE"""),"WARKWORTH")</f>
        <v>WARKWORTH</v>
      </c>
      <c r="D4099" s="3" t="str">
        <f>IFERROR(__xludf.DUMMYFUNCTION("""COMPUTED_VALUE"""),"K0K 3K0")</f>
        <v>K0K 3K0</v>
      </c>
      <c r="E4099" s="3"/>
      <c r="F4099" s="3"/>
      <c r="G4099" s="3"/>
      <c r="H4099" s="3"/>
    </row>
    <row r="4100">
      <c r="A4100" s="2">
        <f>IFERROR(__xludf.DUMMYFUNCTION("""COMPUTED_VALUE"""),63799.0)</f>
        <v>63799</v>
      </c>
      <c r="B4100" s="3" t="str">
        <f>IFERROR(__xludf.DUMMYFUNCTION("""COMPUTED_VALUE"""),"TBD ORCHARD WAY - UNIT 41")</f>
        <v>TBD ORCHARD WAY - UNIT 41</v>
      </c>
      <c r="C4100" s="3" t="str">
        <f>IFERROR(__xludf.DUMMYFUNCTION("""COMPUTED_VALUE"""),"WARKWORTH")</f>
        <v>WARKWORTH</v>
      </c>
      <c r="D4100" s="3" t="str">
        <f>IFERROR(__xludf.DUMMYFUNCTION("""COMPUTED_VALUE"""),"K0K 3K0")</f>
        <v>K0K 3K0</v>
      </c>
      <c r="E4100" s="3"/>
      <c r="F4100" s="3"/>
      <c r="G4100" s="3"/>
      <c r="H4100" s="3"/>
    </row>
    <row r="4101">
      <c r="A4101" s="2">
        <f>IFERROR(__xludf.DUMMYFUNCTION("""COMPUTED_VALUE"""),63800.0)</f>
        <v>63800</v>
      </c>
      <c r="B4101" s="3" t="str">
        <f>IFERROR(__xludf.DUMMYFUNCTION("""COMPUTED_VALUE"""),"TBD ORCHARD WAY - UNIT 42")</f>
        <v>TBD ORCHARD WAY - UNIT 42</v>
      </c>
      <c r="C4101" s="3" t="str">
        <f>IFERROR(__xludf.DUMMYFUNCTION("""COMPUTED_VALUE"""),"WARKWORTH")</f>
        <v>WARKWORTH</v>
      </c>
      <c r="D4101" s="3" t="str">
        <f>IFERROR(__xludf.DUMMYFUNCTION("""COMPUTED_VALUE"""),"K0K 3K0")</f>
        <v>K0K 3K0</v>
      </c>
      <c r="E4101" s="3"/>
      <c r="F4101" s="3"/>
      <c r="G4101" s="3"/>
      <c r="H4101" s="3"/>
    </row>
    <row r="4102">
      <c r="A4102" s="2">
        <f>IFERROR(__xludf.DUMMYFUNCTION("""COMPUTED_VALUE"""),63801.0)</f>
        <v>63801</v>
      </c>
      <c r="B4102" s="3" t="str">
        <f>IFERROR(__xludf.DUMMYFUNCTION("""COMPUTED_VALUE"""),"TBD ORCHARD WAY - UNIT 43")</f>
        <v>TBD ORCHARD WAY - UNIT 43</v>
      </c>
      <c r="C4102" s="3" t="str">
        <f>IFERROR(__xludf.DUMMYFUNCTION("""COMPUTED_VALUE"""),"WARKWORTH")</f>
        <v>WARKWORTH</v>
      </c>
      <c r="D4102" s="3" t="str">
        <f>IFERROR(__xludf.DUMMYFUNCTION("""COMPUTED_VALUE"""),"K0K 3K0")</f>
        <v>K0K 3K0</v>
      </c>
      <c r="E4102" s="3"/>
      <c r="F4102" s="3"/>
      <c r="G4102" s="3"/>
      <c r="H4102" s="3"/>
    </row>
    <row r="4103">
      <c r="A4103" s="2">
        <f>IFERROR(__xludf.DUMMYFUNCTION("""COMPUTED_VALUE"""),63802.0)</f>
        <v>63802</v>
      </c>
      <c r="B4103" s="3" t="str">
        <f>IFERROR(__xludf.DUMMYFUNCTION("""COMPUTED_VALUE"""),"TBD ORCHARD WAY - UNIT 44")</f>
        <v>TBD ORCHARD WAY - UNIT 44</v>
      </c>
      <c r="C4103" s="3" t="str">
        <f>IFERROR(__xludf.DUMMYFUNCTION("""COMPUTED_VALUE"""),"WARKWORTH")</f>
        <v>WARKWORTH</v>
      </c>
      <c r="D4103" s="3" t="str">
        <f>IFERROR(__xludf.DUMMYFUNCTION("""COMPUTED_VALUE"""),"K0K 3K0")</f>
        <v>K0K 3K0</v>
      </c>
      <c r="E4103" s="3"/>
      <c r="F4103" s="3"/>
      <c r="G4103" s="3"/>
      <c r="H4103" s="3"/>
    </row>
    <row r="4104">
      <c r="A4104" s="2">
        <f>IFERROR(__xludf.DUMMYFUNCTION("""COMPUTED_VALUE"""),63803.0)</f>
        <v>63803</v>
      </c>
      <c r="B4104" s="3" t="str">
        <f>IFERROR(__xludf.DUMMYFUNCTION("""COMPUTED_VALUE"""),"TBD ORCHARD WAY - UNIT 45")</f>
        <v>TBD ORCHARD WAY - UNIT 45</v>
      </c>
      <c r="C4104" s="3" t="str">
        <f>IFERROR(__xludf.DUMMYFUNCTION("""COMPUTED_VALUE"""),"WARKWORTH")</f>
        <v>WARKWORTH</v>
      </c>
      <c r="D4104" s="3" t="str">
        <f>IFERROR(__xludf.DUMMYFUNCTION("""COMPUTED_VALUE"""),"K0K 3K0")</f>
        <v>K0K 3K0</v>
      </c>
      <c r="E4104" s="3"/>
      <c r="F4104" s="3"/>
      <c r="G4104" s="3"/>
      <c r="H4104" s="3"/>
    </row>
    <row r="4105">
      <c r="A4105" s="2">
        <f>IFERROR(__xludf.DUMMYFUNCTION("""COMPUTED_VALUE"""),63804.0)</f>
        <v>63804</v>
      </c>
      <c r="B4105" s="3" t="str">
        <f>IFERROR(__xludf.DUMMYFUNCTION("""COMPUTED_VALUE"""),"TBD ORCHARD WAY - UNIT 46")</f>
        <v>TBD ORCHARD WAY - UNIT 46</v>
      </c>
      <c r="C4105" s="3" t="str">
        <f>IFERROR(__xludf.DUMMYFUNCTION("""COMPUTED_VALUE"""),"WARKWORTH")</f>
        <v>WARKWORTH</v>
      </c>
      <c r="D4105" s="3" t="str">
        <f>IFERROR(__xludf.DUMMYFUNCTION("""COMPUTED_VALUE"""),"K0K 3K0")</f>
        <v>K0K 3K0</v>
      </c>
      <c r="E4105" s="3"/>
      <c r="F4105" s="3"/>
      <c r="G4105" s="3"/>
      <c r="H4105" s="3"/>
    </row>
    <row r="4106">
      <c r="A4106" s="2">
        <f>IFERROR(__xludf.DUMMYFUNCTION("""COMPUTED_VALUE"""),63805.0)</f>
        <v>63805</v>
      </c>
      <c r="B4106" s="3" t="str">
        <f>IFERROR(__xludf.DUMMYFUNCTION("""COMPUTED_VALUE"""),"TBD ORCHARD WAY - UNIT 47")</f>
        <v>TBD ORCHARD WAY - UNIT 47</v>
      </c>
      <c r="C4106" s="3" t="str">
        <f>IFERROR(__xludf.DUMMYFUNCTION("""COMPUTED_VALUE"""),"WARKWORTH")</f>
        <v>WARKWORTH</v>
      </c>
      <c r="D4106" s="3" t="str">
        <f>IFERROR(__xludf.DUMMYFUNCTION("""COMPUTED_VALUE"""),"K0K 3K0")</f>
        <v>K0K 3K0</v>
      </c>
      <c r="E4106" s="3"/>
      <c r="F4106" s="3"/>
      <c r="G4106" s="3"/>
      <c r="H4106" s="3"/>
    </row>
    <row r="4107">
      <c r="A4107" s="2">
        <f>IFERROR(__xludf.DUMMYFUNCTION("""COMPUTED_VALUE"""),63806.0)</f>
        <v>63806</v>
      </c>
      <c r="B4107" s="3" t="str">
        <f>IFERROR(__xludf.DUMMYFUNCTION("""COMPUTED_VALUE"""),"TBD ORCHARD WAY - UNIT 48")</f>
        <v>TBD ORCHARD WAY - UNIT 48</v>
      </c>
      <c r="C4107" s="3" t="str">
        <f>IFERROR(__xludf.DUMMYFUNCTION("""COMPUTED_VALUE"""),"WARKWORTH")</f>
        <v>WARKWORTH</v>
      </c>
      <c r="D4107" s="3" t="str">
        <f>IFERROR(__xludf.DUMMYFUNCTION("""COMPUTED_VALUE"""),"K0K 3K0")</f>
        <v>K0K 3K0</v>
      </c>
      <c r="E4107" s="3"/>
      <c r="F4107" s="3"/>
      <c r="G4107" s="3"/>
      <c r="H4107" s="3"/>
    </row>
    <row r="4108">
      <c r="A4108" s="2">
        <f>IFERROR(__xludf.DUMMYFUNCTION("""COMPUTED_VALUE"""),63807.0)</f>
        <v>63807</v>
      </c>
      <c r="B4108" s="3" t="str">
        <f>IFERROR(__xludf.DUMMYFUNCTION("""COMPUTED_VALUE"""),"TBD ORCHARD WAY - UNIT 49")</f>
        <v>TBD ORCHARD WAY - UNIT 49</v>
      </c>
      <c r="C4108" s="3" t="str">
        <f>IFERROR(__xludf.DUMMYFUNCTION("""COMPUTED_VALUE"""),"WARKWORTH")</f>
        <v>WARKWORTH</v>
      </c>
      <c r="D4108" s="3" t="str">
        <f>IFERROR(__xludf.DUMMYFUNCTION("""COMPUTED_VALUE"""),"K0K 3K0")</f>
        <v>K0K 3K0</v>
      </c>
      <c r="E4108" s="3"/>
      <c r="F4108" s="3"/>
      <c r="G4108" s="3"/>
      <c r="H4108" s="3"/>
    </row>
    <row r="4109">
      <c r="A4109" s="2">
        <f>IFERROR(__xludf.DUMMYFUNCTION("""COMPUTED_VALUE"""),63808.0)</f>
        <v>63808</v>
      </c>
      <c r="B4109" s="3" t="str">
        <f>IFERROR(__xludf.DUMMYFUNCTION("""COMPUTED_VALUE"""),"TBD ORCHARD WAY - UNIT 50")</f>
        <v>TBD ORCHARD WAY - UNIT 50</v>
      </c>
      <c r="C4109" s="3" t="str">
        <f>IFERROR(__xludf.DUMMYFUNCTION("""COMPUTED_VALUE"""),"WARKWORTH")</f>
        <v>WARKWORTH</v>
      </c>
      <c r="D4109" s="3" t="str">
        <f>IFERROR(__xludf.DUMMYFUNCTION("""COMPUTED_VALUE"""),"K0K 3K0")</f>
        <v>K0K 3K0</v>
      </c>
      <c r="E4109" s="3"/>
      <c r="F4109" s="3"/>
      <c r="G4109" s="3"/>
      <c r="H4109" s="3"/>
    </row>
    <row r="4110">
      <c r="A4110" s="2">
        <f>IFERROR(__xludf.DUMMYFUNCTION("""COMPUTED_VALUE"""),63809.0)</f>
        <v>63809</v>
      </c>
      <c r="B4110" s="3" t="str">
        <f>IFERROR(__xludf.DUMMYFUNCTION("""COMPUTED_VALUE"""),"TBD ORCHARD WAY - UNIT 51")</f>
        <v>TBD ORCHARD WAY - UNIT 51</v>
      </c>
      <c r="C4110" s="3" t="str">
        <f>IFERROR(__xludf.DUMMYFUNCTION("""COMPUTED_VALUE"""),"WARKWORTH")</f>
        <v>WARKWORTH</v>
      </c>
      <c r="D4110" s="3" t="str">
        <f>IFERROR(__xludf.DUMMYFUNCTION("""COMPUTED_VALUE"""),"K0K 3K0")</f>
        <v>K0K 3K0</v>
      </c>
      <c r="E4110" s="3"/>
      <c r="F4110" s="3"/>
      <c r="G4110" s="3"/>
      <c r="H4110" s="3"/>
    </row>
    <row r="4111">
      <c r="A4111" s="2">
        <f>IFERROR(__xludf.DUMMYFUNCTION("""COMPUTED_VALUE"""),63810.0)</f>
        <v>63810</v>
      </c>
      <c r="B4111" s="3" t="str">
        <f>IFERROR(__xludf.DUMMYFUNCTION("""COMPUTED_VALUE"""),"TBD ORCHARD WAY - UNIT 52")</f>
        <v>TBD ORCHARD WAY - UNIT 52</v>
      </c>
      <c r="C4111" s="3" t="str">
        <f>IFERROR(__xludf.DUMMYFUNCTION("""COMPUTED_VALUE"""),"WARKWORTH")</f>
        <v>WARKWORTH</v>
      </c>
      <c r="D4111" s="3" t="str">
        <f>IFERROR(__xludf.DUMMYFUNCTION("""COMPUTED_VALUE"""),"K0K 3K0")</f>
        <v>K0K 3K0</v>
      </c>
      <c r="E4111" s="3"/>
      <c r="F4111" s="3"/>
      <c r="G4111" s="3"/>
      <c r="H4111" s="3"/>
    </row>
    <row r="4112">
      <c r="A4112" s="2">
        <f>IFERROR(__xludf.DUMMYFUNCTION("""COMPUTED_VALUE"""),63811.0)</f>
        <v>63811</v>
      </c>
      <c r="B4112" s="3" t="str">
        <f>IFERROR(__xludf.DUMMYFUNCTION("""COMPUTED_VALUE"""),"TBD ORCHARD WAY - UNIT 53")</f>
        <v>TBD ORCHARD WAY - UNIT 53</v>
      </c>
      <c r="C4112" s="3" t="str">
        <f>IFERROR(__xludf.DUMMYFUNCTION("""COMPUTED_VALUE"""),"WARKWORTH")</f>
        <v>WARKWORTH</v>
      </c>
      <c r="D4112" s="3" t="str">
        <f>IFERROR(__xludf.DUMMYFUNCTION("""COMPUTED_VALUE"""),"K0K 3K0")</f>
        <v>K0K 3K0</v>
      </c>
      <c r="E4112" s="3"/>
      <c r="F4112" s="3"/>
      <c r="G4112" s="3"/>
      <c r="H4112" s="3"/>
    </row>
    <row r="4113">
      <c r="A4113" s="2">
        <f>IFERROR(__xludf.DUMMYFUNCTION("""COMPUTED_VALUE"""),63812.0)</f>
        <v>63812</v>
      </c>
      <c r="B4113" s="3" t="str">
        <f>IFERROR(__xludf.DUMMYFUNCTION("""COMPUTED_VALUE"""),"TBD ORCHARD WAY - UNIT 54")</f>
        <v>TBD ORCHARD WAY - UNIT 54</v>
      </c>
      <c r="C4113" s="3" t="str">
        <f>IFERROR(__xludf.DUMMYFUNCTION("""COMPUTED_VALUE"""),"WARKWORTH")</f>
        <v>WARKWORTH</v>
      </c>
      <c r="D4113" s="3" t="str">
        <f>IFERROR(__xludf.DUMMYFUNCTION("""COMPUTED_VALUE"""),"K0K 3K0")</f>
        <v>K0K 3K0</v>
      </c>
      <c r="E4113" s="3"/>
      <c r="F4113" s="3"/>
      <c r="G4113" s="3"/>
      <c r="H4113" s="3"/>
    </row>
    <row r="4114">
      <c r="A4114" s="2">
        <f>IFERROR(__xludf.DUMMYFUNCTION("""COMPUTED_VALUE"""),63813.0)</f>
        <v>63813</v>
      </c>
      <c r="B4114" s="3" t="str">
        <f>IFERROR(__xludf.DUMMYFUNCTION("""COMPUTED_VALUE"""),"TBD ORCHARD WAY - UNIT 55")</f>
        <v>TBD ORCHARD WAY - UNIT 55</v>
      </c>
      <c r="C4114" s="3" t="str">
        <f>IFERROR(__xludf.DUMMYFUNCTION("""COMPUTED_VALUE"""),"WARKWORTH")</f>
        <v>WARKWORTH</v>
      </c>
      <c r="D4114" s="3" t="str">
        <f>IFERROR(__xludf.DUMMYFUNCTION("""COMPUTED_VALUE"""),"K0K 3K0")</f>
        <v>K0K 3K0</v>
      </c>
      <c r="E4114" s="3"/>
      <c r="F4114" s="3"/>
      <c r="G4114" s="3"/>
      <c r="H4114" s="3"/>
    </row>
    <row r="4115">
      <c r="A4115" s="2">
        <f>IFERROR(__xludf.DUMMYFUNCTION("""COMPUTED_VALUE"""),63299.0)</f>
        <v>63299</v>
      </c>
      <c r="B4115" s="3" t="str">
        <f>IFERROR(__xludf.DUMMYFUNCTION("""COMPUTED_VALUE"""),"2 RIVERVIEW DR  ")</f>
        <v>2 RIVERVIEW DR  </v>
      </c>
      <c r="C4115" s="3" t="str">
        <f>IFERROR(__xludf.DUMMYFUNCTION("""COMPUTED_VALUE"""),"HASTINGS")</f>
        <v>HASTINGS</v>
      </c>
      <c r="D4115" s="3" t="str">
        <f>IFERROR(__xludf.DUMMYFUNCTION("""COMPUTED_VALUE"""),"K0L 1Y0")</f>
        <v>K0L 1Y0</v>
      </c>
      <c r="E4115" s="3" t="str">
        <f>IFERROR(__xludf.DUMMYFUNCTION("""COMPUTED_VALUE"""),"rick creacy")</f>
        <v>rick creacy</v>
      </c>
      <c r="F4115" s="3"/>
      <c r="G4115" s="3">
        <f>IFERROR(__xludf.DUMMYFUNCTION("""COMPUTED_VALUE"""),9.052616164E9)</f>
        <v>9052616164</v>
      </c>
      <c r="H4115" s="3"/>
    </row>
    <row r="4116">
      <c r="A4116" s="2">
        <f>IFERROR(__xludf.DUMMYFUNCTION("""COMPUTED_VALUE"""),63300.0)</f>
        <v>63300</v>
      </c>
      <c r="B4116" s="3" t="str">
        <f>IFERROR(__xludf.DUMMYFUNCTION("""COMPUTED_VALUE"""),"4 RIVERVIEW DR  ")</f>
        <v>4 RIVERVIEW DR  </v>
      </c>
      <c r="C4116" s="3" t="str">
        <f>IFERROR(__xludf.DUMMYFUNCTION("""COMPUTED_VALUE"""),"HASTINGS")</f>
        <v>HASTINGS</v>
      </c>
      <c r="D4116" s="3" t="str">
        <f>IFERROR(__xludf.DUMMYFUNCTION("""COMPUTED_VALUE"""),"K0L 1Y0")</f>
        <v>K0L 1Y0</v>
      </c>
      <c r="E4116" s="3" t="str">
        <f>IFERROR(__xludf.DUMMYFUNCTION("""COMPUTED_VALUE"""),"Terry &amp;judith noyes")</f>
        <v>Terry &amp;judith noyes</v>
      </c>
      <c r="F4116" s="3" t="str">
        <f>IFERROR(__xludf.DUMMYFUNCTION("""COMPUTED_VALUE"""),"noyesjudith49@gmail.com")</f>
        <v>noyesjudith49@gmail.com</v>
      </c>
      <c r="G4116" s="3">
        <f>IFERROR(__xludf.DUMMYFUNCTION("""COMPUTED_VALUE"""),9.052692924E9)</f>
        <v>9052692924</v>
      </c>
      <c r="H4116" s="3"/>
    </row>
    <row r="4117">
      <c r="A4117" s="2">
        <f>IFERROR(__xludf.DUMMYFUNCTION("""COMPUTED_VALUE"""),63301.0)</f>
        <v>63301</v>
      </c>
      <c r="B4117" s="3" t="str">
        <f>IFERROR(__xludf.DUMMYFUNCTION("""COMPUTED_VALUE"""),"8 RIVERVIEW DR  ")</f>
        <v>8 RIVERVIEW DR  </v>
      </c>
      <c r="C4117" s="3" t="str">
        <f>IFERROR(__xludf.DUMMYFUNCTION("""COMPUTED_VALUE"""),"HASTINGS")</f>
        <v>HASTINGS</v>
      </c>
      <c r="D4117" s="3" t="str">
        <f>IFERROR(__xludf.DUMMYFUNCTION("""COMPUTED_VALUE"""),"K0L 1Y0")</f>
        <v>K0L 1Y0</v>
      </c>
      <c r="E4117" s="3" t="str">
        <f>IFERROR(__xludf.DUMMYFUNCTION("""COMPUTED_VALUE"""),"john cleveland")</f>
        <v>john cleveland</v>
      </c>
      <c r="F4117" s="3" t="str">
        <f>IFERROR(__xludf.DUMMYFUNCTION("""COMPUTED_VALUE"""),"mdebergeron@gmail.com")</f>
        <v>mdebergeron@gmail.com</v>
      </c>
      <c r="G4117" s="3">
        <f>IFERROR(__xludf.DUMMYFUNCTION("""COMPUTED_VALUE"""),7.056963884E9)</f>
        <v>7056963884</v>
      </c>
      <c r="H4117" s="3"/>
    </row>
    <row r="4118">
      <c r="A4118" s="2">
        <f>IFERROR(__xludf.DUMMYFUNCTION("""COMPUTED_VALUE"""),63302.0)</f>
        <v>63302</v>
      </c>
      <c r="B4118" s="3" t="str">
        <f>IFERROR(__xludf.DUMMYFUNCTION("""COMPUTED_VALUE"""),"10 RIVERVIEW DR  ")</f>
        <v>10 RIVERVIEW DR  </v>
      </c>
      <c r="C4118" s="3" t="str">
        <f>IFERROR(__xludf.DUMMYFUNCTION("""COMPUTED_VALUE"""),"HASTINGS")</f>
        <v>HASTINGS</v>
      </c>
      <c r="D4118" s="3" t="str">
        <f>IFERROR(__xludf.DUMMYFUNCTION("""COMPUTED_VALUE"""),"K0L 1Y0")</f>
        <v>K0L 1Y0</v>
      </c>
      <c r="E4118" s="3"/>
      <c r="F4118" s="3"/>
      <c r="G4118" s="3"/>
      <c r="H4118" s="3"/>
    </row>
    <row r="4119">
      <c r="A4119" s="2">
        <f>IFERROR(__xludf.DUMMYFUNCTION("""COMPUTED_VALUE"""),63303.0)</f>
        <v>63303</v>
      </c>
      <c r="B4119" s="3" t="str">
        <f>IFERROR(__xludf.DUMMYFUNCTION("""COMPUTED_VALUE"""),"14 RIVERVIEW DR  ")</f>
        <v>14 RIVERVIEW DR  </v>
      </c>
      <c r="C4119" s="3" t="str">
        <f>IFERROR(__xludf.DUMMYFUNCTION("""COMPUTED_VALUE"""),"HASTINGS")</f>
        <v>HASTINGS</v>
      </c>
      <c r="D4119" s="3" t="str">
        <f>IFERROR(__xludf.DUMMYFUNCTION("""COMPUTED_VALUE"""),"K0L 1Y0")</f>
        <v>K0L 1Y0</v>
      </c>
      <c r="E4119" s="3"/>
      <c r="F4119" s="3"/>
      <c r="G4119" s="3"/>
      <c r="H4119" s="3"/>
    </row>
    <row r="4120">
      <c r="A4120" s="2">
        <f>IFERROR(__xludf.DUMMYFUNCTION("""COMPUTED_VALUE"""),63304.0)</f>
        <v>63304</v>
      </c>
      <c r="B4120" s="3" t="str">
        <f>IFERROR(__xludf.DUMMYFUNCTION("""COMPUTED_VALUE"""),"22 RIVERVIEW DR  ")</f>
        <v>22 RIVERVIEW DR  </v>
      </c>
      <c r="C4120" s="3" t="str">
        <f>IFERROR(__xludf.DUMMYFUNCTION("""COMPUTED_VALUE"""),"HASTINGS")</f>
        <v>HASTINGS</v>
      </c>
      <c r="D4120" s="3" t="str">
        <f>IFERROR(__xludf.DUMMYFUNCTION("""COMPUTED_VALUE"""),"K0L 1Y0")</f>
        <v>K0L 1Y0</v>
      </c>
      <c r="E4120" s="3" t="str">
        <f>IFERROR(__xludf.DUMMYFUNCTION("""COMPUTED_VALUE"""),"Shelley McLagan")</f>
        <v>Shelley McLagan</v>
      </c>
      <c r="F4120" s="3"/>
      <c r="G4120" s="3"/>
      <c r="H4120" s="3"/>
    </row>
    <row r="4121">
      <c r="A4121" s="2">
        <f>IFERROR(__xludf.DUMMYFUNCTION("""COMPUTED_VALUE"""),63305.0)</f>
        <v>63305</v>
      </c>
      <c r="B4121" s="3" t="str">
        <f>IFERROR(__xludf.DUMMYFUNCTION("""COMPUTED_VALUE"""),"24 RIVERVIEW DR  ")</f>
        <v>24 RIVERVIEW DR  </v>
      </c>
      <c r="C4121" s="3" t="str">
        <f>IFERROR(__xludf.DUMMYFUNCTION("""COMPUTED_VALUE"""),"HASTINGS")</f>
        <v>HASTINGS</v>
      </c>
      <c r="D4121" s="3" t="str">
        <f>IFERROR(__xludf.DUMMYFUNCTION("""COMPUTED_VALUE"""),"K0L 1Y0")</f>
        <v>K0L 1Y0</v>
      </c>
      <c r="E4121" s="3"/>
      <c r="F4121" s="3"/>
      <c r="G4121" s="3"/>
      <c r="H4121" s="3"/>
    </row>
    <row r="4122">
      <c r="A4122" s="2">
        <f>IFERROR(__xludf.DUMMYFUNCTION("""COMPUTED_VALUE"""),63306.0)</f>
        <v>63306</v>
      </c>
      <c r="B4122" s="3" t="str">
        <f>IFERROR(__xludf.DUMMYFUNCTION("""COMPUTED_VALUE"""),"26 RIVERVIEW DR  ")</f>
        <v>26 RIVERVIEW DR  </v>
      </c>
      <c r="C4122" s="3" t="str">
        <f>IFERROR(__xludf.DUMMYFUNCTION("""COMPUTED_VALUE"""),"HASTINGS")</f>
        <v>HASTINGS</v>
      </c>
      <c r="D4122" s="3" t="str">
        <f>IFERROR(__xludf.DUMMYFUNCTION("""COMPUTED_VALUE"""),"K0L 1Y0")</f>
        <v>K0L 1Y0</v>
      </c>
      <c r="E4122" s="3"/>
      <c r="F4122" s="3"/>
      <c r="G4122" s="3"/>
      <c r="H4122" s="3"/>
    </row>
    <row r="4123">
      <c r="A4123" s="2">
        <f>IFERROR(__xludf.DUMMYFUNCTION("""COMPUTED_VALUE"""),63307.0)</f>
        <v>63307</v>
      </c>
      <c r="B4123" s="3" t="str">
        <f>IFERROR(__xludf.DUMMYFUNCTION("""COMPUTED_VALUE"""),"30 RIVERVIEW DR  ")</f>
        <v>30 RIVERVIEW DR  </v>
      </c>
      <c r="C4123" s="3" t="str">
        <f>IFERROR(__xludf.DUMMYFUNCTION("""COMPUTED_VALUE"""),"HASTINGS")</f>
        <v>HASTINGS</v>
      </c>
      <c r="D4123" s="3" t="str">
        <f>IFERROR(__xludf.DUMMYFUNCTION("""COMPUTED_VALUE"""),"K0L 1Y0")</f>
        <v>K0L 1Y0</v>
      </c>
      <c r="E4123" s="3"/>
      <c r="F4123" s="3"/>
      <c r="G4123" s="3"/>
      <c r="H4123" s="3"/>
    </row>
    <row r="4124">
      <c r="A4124" s="2">
        <f>IFERROR(__xludf.DUMMYFUNCTION("""COMPUTED_VALUE"""),63308.0)</f>
        <v>63308</v>
      </c>
      <c r="B4124" s="3" t="str">
        <f>IFERROR(__xludf.DUMMYFUNCTION("""COMPUTED_VALUE"""),"34 RIVERVIEW DR  ")</f>
        <v>34 RIVERVIEW DR  </v>
      </c>
      <c r="C4124" s="3" t="str">
        <f>IFERROR(__xludf.DUMMYFUNCTION("""COMPUTED_VALUE"""),"HASTINGS")</f>
        <v>HASTINGS</v>
      </c>
      <c r="D4124" s="3" t="str">
        <f>IFERROR(__xludf.DUMMYFUNCTION("""COMPUTED_VALUE"""),"K0L 1Y0")</f>
        <v>K0L 1Y0</v>
      </c>
      <c r="E4124" s="3" t="str">
        <f>IFERROR(__xludf.DUMMYFUNCTION("""COMPUTED_VALUE"""),"elizabeth marshman")</f>
        <v>elizabeth marshman</v>
      </c>
      <c r="F4124" s="3" t="str">
        <f>IFERROR(__xludf.DUMMYFUNCTION("""COMPUTED_VALUE"""),"marshman.elizabeth@gmail.com")</f>
        <v>marshman.elizabeth@gmail.com</v>
      </c>
      <c r="G4124" s="3">
        <f>IFERROR(__xludf.DUMMYFUNCTION("""COMPUTED_VALUE"""),7.056961049E9)</f>
        <v>7056961049</v>
      </c>
      <c r="H4124" s="3">
        <f>IFERROR(__xludf.DUMMYFUNCTION("""COMPUTED_VALUE"""),6.138507064E9)</f>
        <v>6138507064</v>
      </c>
    </row>
    <row r="4125">
      <c r="A4125" s="2">
        <f>IFERROR(__xludf.DUMMYFUNCTION("""COMPUTED_VALUE"""),63309.0)</f>
        <v>63309</v>
      </c>
      <c r="B4125" s="3" t="str">
        <f>IFERROR(__xludf.DUMMYFUNCTION("""COMPUTED_VALUE"""),"38 RIVERVIEW DR  ")</f>
        <v>38 RIVERVIEW DR  </v>
      </c>
      <c r="C4125" s="3" t="str">
        <f>IFERROR(__xludf.DUMMYFUNCTION("""COMPUTED_VALUE"""),"HASTINGS")</f>
        <v>HASTINGS</v>
      </c>
      <c r="D4125" s="3" t="str">
        <f>IFERROR(__xludf.DUMMYFUNCTION("""COMPUTED_VALUE"""),"K0L 1Y0")</f>
        <v>K0L 1Y0</v>
      </c>
      <c r="E4125" s="3" t="str">
        <f>IFERROR(__xludf.DUMMYFUNCTION("""COMPUTED_VALUE"""),"Francis Lee")</f>
        <v>Francis Lee</v>
      </c>
      <c r="F4125" s="3" t="str">
        <f>IFERROR(__xludf.DUMMYFUNCTION("""COMPUTED_VALUE"""),"francis.lee@live.com")</f>
        <v>francis.lee@live.com</v>
      </c>
      <c r="G4125" s="3">
        <f>IFERROR(__xludf.DUMMYFUNCTION("""COMPUTED_VALUE"""),4.16712797E9)</f>
        <v>4167127970</v>
      </c>
      <c r="H4125" s="3"/>
    </row>
    <row r="4126">
      <c r="A4126" s="2">
        <f>IFERROR(__xludf.DUMMYFUNCTION("""COMPUTED_VALUE"""),63310.0)</f>
        <v>63310</v>
      </c>
      <c r="B4126" s="3" t="str">
        <f>IFERROR(__xludf.DUMMYFUNCTION("""COMPUTED_VALUE"""),"40 RIVERVIEW DR  ")</f>
        <v>40 RIVERVIEW DR  </v>
      </c>
      <c r="C4126" s="3" t="str">
        <f>IFERROR(__xludf.DUMMYFUNCTION("""COMPUTED_VALUE"""),"HASTINGS")</f>
        <v>HASTINGS</v>
      </c>
      <c r="D4126" s="3" t="str">
        <f>IFERROR(__xludf.DUMMYFUNCTION("""COMPUTED_VALUE"""),"K0L 1Y0")</f>
        <v>K0L 1Y0</v>
      </c>
      <c r="E4126" s="3"/>
      <c r="F4126" s="3"/>
      <c r="G4126" s="3"/>
      <c r="H4126" s="3"/>
    </row>
    <row r="4127">
      <c r="A4127" s="2">
        <f>IFERROR(__xludf.DUMMYFUNCTION("""COMPUTED_VALUE"""),63311.0)</f>
        <v>63311</v>
      </c>
      <c r="B4127" s="3" t="str">
        <f>IFERROR(__xludf.DUMMYFUNCTION("""COMPUTED_VALUE"""),"41 RIVERVIEW DR  ")</f>
        <v>41 RIVERVIEW DR  </v>
      </c>
      <c r="C4127" s="3" t="str">
        <f>IFERROR(__xludf.DUMMYFUNCTION("""COMPUTED_VALUE"""),"HASTINGS")</f>
        <v>HASTINGS</v>
      </c>
      <c r="D4127" s="3" t="str">
        <f>IFERROR(__xludf.DUMMYFUNCTION("""COMPUTED_VALUE"""),"K0L 1Y0")</f>
        <v>K0L 1Y0</v>
      </c>
      <c r="E4127" s="3"/>
      <c r="F4127" s="3"/>
      <c r="G4127" s="3"/>
      <c r="H4127" s="3"/>
    </row>
    <row r="4128">
      <c r="A4128" s="2">
        <f>IFERROR(__xludf.DUMMYFUNCTION("""COMPUTED_VALUE"""),63312.0)</f>
        <v>63312</v>
      </c>
      <c r="B4128" s="3" t="str">
        <f>IFERROR(__xludf.DUMMYFUNCTION("""COMPUTED_VALUE"""),"44 RIVERVIEW DR  ")</f>
        <v>44 RIVERVIEW DR  </v>
      </c>
      <c r="C4128" s="3" t="str">
        <f>IFERROR(__xludf.DUMMYFUNCTION("""COMPUTED_VALUE"""),"HASTINGS")</f>
        <v>HASTINGS</v>
      </c>
      <c r="D4128" s="3" t="str">
        <f>IFERROR(__xludf.DUMMYFUNCTION("""COMPUTED_VALUE"""),"K0L 1Y0")</f>
        <v>K0L 1Y0</v>
      </c>
      <c r="E4128" s="3" t="str">
        <f>IFERROR(__xludf.DUMMYFUNCTION("""COMPUTED_VALUE"""),"Gary Lanigan")</f>
        <v>Gary Lanigan</v>
      </c>
      <c r="F4128" s="3" t="str">
        <f>IFERROR(__xludf.DUMMYFUNCTION("""COMPUTED_VALUE"""),"loonsnest_1964@hotmail.com")</f>
        <v>loonsnest_1964@hotmail.com</v>
      </c>
      <c r="G4128" s="3">
        <f>IFERROR(__xludf.DUMMYFUNCTION("""COMPUTED_VALUE"""),9.05440645E9)</f>
        <v>9054406450</v>
      </c>
      <c r="H4128" s="3"/>
    </row>
    <row r="4129">
      <c r="A4129" s="2">
        <f>IFERROR(__xludf.DUMMYFUNCTION("""COMPUTED_VALUE"""),63313.0)</f>
        <v>63313</v>
      </c>
      <c r="B4129" s="3" t="str">
        <f>IFERROR(__xludf.DUMMYFUNCTION("""COMPUTED_VALUE"""),"48 RIVERVIEW DR  ")</f>
        <v>48 RIVERVIEW DR  </v>
      </c>
      <c r="C4129" s="3" t="str">
        <f>IFERROR(__xludf.DUMMYFUNCTION("""COMPUTED_VALUE"""),"HASTINGS")</f>
        <v>HASTINGS</v>
      </c>
      <c r="D4129" s="3" t="str">
        <f>IFERROR(__xludf.DUMMYFUNCTION("""COMPUTED_VALUE"""),"K0L 1Y0")</f>
        <v>K0L 1Y0</v>
      </c>
      <c r="E4129" s="3"/>
      <c r="F4129" s="3"/>
      <c r="G4129" s="3"/>
      <c r="H4129" s="3"/>
    </row>
    <row r="4130">
      <c r="A4130" s="2">
        <f>IFERROR(__xludf.DUMMYFUNCTION("""COMPUTED_VALUE"""),63314.0)</f>
        <v>63314</v>
      </c>
      <c r="B4130" s="3" t="str">
        <f>IFERROR(__xludf.DUMMYFUNCTION("""COMPUTED_VALUE"""),"53 RIVERVIEW DR  ")</f>
        <v>53 RIVERVIEW DR  </v>
      </c>
      <c r="C4130" s="3" t="str">
        <f>IFERROR(__xludf.DUMMYFUNCTION("""COMPUTED_VALUE"""),"HASTINGS")</f>
        <v>HASTINGS</v>
      </c>
      <c r="D4130" s="3" t="str">
        <f>IFERROR(__xludf.DUMMYFUNCTION("""COMPUTED_VALUE"""),"K0L 1Y0")</f>
        <v>K0L 1Y0</v>
      </c>
      <c r="E4130" s="3"/>
      <c r="F4130" s="3"/>
      <c r="G4130" s="3"/>
      <c r="H4130" s="3"/>
    </row>
    <row r="4131">
      <c r="A4131" s="2">
        <f>IFERROR(__xludf.DUMMYFUNCTION("""COMPUTED_VALUE"""),63315.0)</f>
        <v>63315</v>
      </c>
      <c r="B4131" s="3" t="str">
        <f>IFERROR(__xludf.DUMMYFUNCTION("""COMPUTED_VALUE"""),"56 RIVERVIEW DR  ")</f>
        <v>56 RIVERVIEW DR  </v>
      </c>
      <c r="C4131" s="3" t="str">
        <f>IFERROR(__xludf.DUMMYFUNCTION("""COMPUTED_VALUE"""),"HASTINGS")</f>
        <v>HASTINGS</v>
      </c>
      <c r="D4131" s="3" t="str">
        <f>IFERROR(__xludf.DUMMYFUNCTION("""COMPUTED_VALUE"""),"K0L 1Y0")</f>
        <v>K0L 1Y0</v>
      </c>
      <c r="E4131" s="3" t="str">
        <f>IFERROR(__xludf.DUMMYFUNCTION("""COMPUTED_VALUE"""),"daniel beauchamp")</f>
        <v>daniel beauchamp</v>
      </c>
      <c r="F4131" s="3" t="str">
        <f>IFERROR(__xludf.DUMMYFUNCTION("""COMPUTED_VALUE"""),"toudan53@gmail.com")</f>
        <v>toudan53@gmail.com</v>
      </c>
      <c r="G4131" s="3">
        <f>IFERROR(__xludf.DUMMYFUNCTION("""COMPUTED_VALUE"""),9.057674723E9)</f>
        <v>9057674723</v>
      </c>
      <c r="H4131" s="3"/>
    </row>
    <row r="4132">
      <c r="A4132" s="2">
        <f>IFERROR(__xludf.DUMMYFUNCTION("""COMPUTED_VALUE"""),63316.0)</f>
        <v>63316</v>
      </c>
      <c r="B4132" s="3" t="str">
        <f>IFERROR(__xludf.DUMMYFUNCTION("""COMPUTED_VALUE"""),"58 RIVERVIEW DR  ")</f>
        <v>58 RIVERVIEW DR  </v>
      </c>
      <c r="C4132" s="3" t="str">
        <f>IFERROR(__xludf.DUMMYFUNCTION("""COMPUTED_VALUE"""),"HASTINGS")</f>
        <v>HASTINGS</v>
      </c>
      <c r="D4132" s="3" t="str">
        <f>IFERROR(__xludf.DUMMYFUNCTION("""COMPUTED_VALUE"""),"K0L 1Y0")</f>
        <v>K0L 1Y0</v>
      </c>
      <c r="E4132" s="3"/>
      <c r="F4132" s="3"/>
      <c r="G4132" s="3"/>
      <c r="H4132" s="3"/>
    </row>
    <row r="4133">
      <c r="A4133" s="2">
        <f>IFERROR(__xludf.DUMMYFUNCTION("""COMPUTED_VALUE"""),63317.0)</f>
        <v>63317</v>
      </c>
      <c r="B4133" s="3" t="str">
        <f>IFERROR(__xludf.DUMMYFUNCTION("""COMPUTED_VALUE"""),"60 RIVERVIEW DR  ")</f>
        <v>60 RIVERVIEW DR  </v>
      </c>
      <c r="C4133" s="3" t="str">
        <f>IFERROR(__xludf.DUMMYFUNCTION("""COMPUTED_VALUE"""),"HASTINGS")</f>
        <v>HASTINGS</v>
      </c>
      <c r="D4133" s="3" t="str">
        <f>IFERROR(__xludf.DUMMYFUNCTION("""COMPUTED_VALUE"""),"K0L 1Y0")</f>
        <v>K0L 1Y0</v>
      </c>
      <c r="E4133" s="3" t="str">
        <f>IFERROR(__xludf.DUMMYFUNCTION("""COMPUTED_VALUE"""),"angela therfault")</f>
        <v>angela therfault</v>
      </c>
      <c r="F4133" s="3" t="str">
        <f>IFERROR(__xludf.DUMMYFUNCTION("""COMPUTED_VALUE"""),"anget_29@yahoo.ca")</f>
        <v>anget_29@yahoo.ca</v>
      </c>
      <c r="G4133" s="3">
        <f>IFERROR(__xludf.DUMMYFUNCTION("""COMPUTED_VALUE"""),9.056224754E9)</f>
        <v>9056224754</v>
      </c>
      <c r="H4133" s="3"/>
    </row>
    <row r="4134">
      <c r="A4134" s="2">
        <f>IFERROR(__xludf.DUMMYFUNCTION("""COMPUTED_VALUE"""),63318.0)</f>
        <v>63318</v>
      </c>
      <c r="B4134" s="3" t="str">
        <f>IFERROR(__xludf.DUMMYFUNCTION("""COMPUTED_VALUE"""),"62 RIVERVIEW DR  ")</f>
        <v>62 RIVERVIEW DR  </v>
      </c>
      <c r="C4134" s="3" t="str">
        <f>IFERROR(__xludf.DUMMYFUNCTION("""COMPUTED_VALUE"""),"HASTINGS")</f>
        <v>HASTINGS</v>
      </c>
      <c r="D4134" s="3" t="str">
        <f>IFERROR(__xludf.DUMMYFUNCTION("""COMPUTED_VALUE"""),"K0L 1Y0")</f>
        <v>K0L 1Y0</v>
      </c>
      <c r="E4134" s="3"/>
      <c r="F4134" s="3"/>
      <c r="G4134" s="3"/>
      <c r="H4134" s="3"/>
    </row>
    <row r="4135">
      <c r="A4135" s="2">
        <f>IFERROR(__xludf.DUMMYFUNCTION("""COMPUTED_VALUE"""),60539.0)</f>
        <v>60539</v>
      </c>
      <c r="B4135" s="3" t="str">
        <f>IFERROR(__xludf.DUMMYFUNCTION("""COMPUTED_VALUE"""),"43 BRIGHTS LANE SUITE A")</f>
        <v>43 BRIGHTS LANE SUITE A</v>
      </c>
      <c r="C4135" s="3" t="str">
        <f>IFERROR(__xludf.DUMMYFUNCTION("""COMPUTED_VALUE"""),"CAMPBELLFORD")</f>
        <v>CAMPBELLFORD</v>
      </c>
      <c r="D4135" s="3" t="str">
        <f>IFERROR(__xludf.DUMMYFUNCTION("""COMPUTED_VALUE"""),"K0L 1L0")</f>
        <v>K0L 1L0</v>
      </c>
      <c r="E4135" s="3" t="str">
        <f>IFERROR(__xludf.DUMMYFUNCTION("""COMPUTED_VALUE"""),"Marie Claude Gagnon")</f>
        <v>Marie Claude Gagnon</v>
      </c>
      <c r="F4135" s="3" t="str">
        <f>IFERROR(__xludf.DUMMYFUNCTION("""COMPUTED_VALUE"""),"mcpaul_williams@hotmail.com")</f>
        <v>mcpaul_williams@hotmail.com</v>
      </c>
      <c r="G4135" s="3">
        <f>IFERROR(__xludf.DUMMYFUNCTION("""COMPUTED_VALUE"""),7.056536774E9)</f>
        <v>7056536774</v>
      </c>
      <c r="H4135" s="3"/>
    </row>
    <row r="4136">
      <c r="A4136" s="2">
        <f>IFERROR(__xludf.DUMMYFUNCTION("""COMPUTED_VALUE"""),60540.0)</f>
        <v>60540</v>
      </c>
      <c r="B4136" s="3" t="str">
        <f>IFERROR(__xludf.DUMMYFUNCTION("""COMPUTED_VALUE"""),"43 BRIGHTS LANE")</f>
        <v>43 BRIGHTS LANE</v>
      </c>
      <c r="C4136" s="3" t="str">
        <f>IFERROR(__xludf.DUMMYFUNCTION("""COMPUTED_VALUE"""),"CAMPBELLFORD")</f>
        <v>CAMPBELLFORD</v>
      </c>
      <c r="D4136" s="3" t="str">
        <f>IFERROR(__xludf.DUMMYFUNCTION("""COMPUTED_VALUE"""),"K0L 1L0")</f>
        <v>K0L 1L0</v>
      </c>
      <c r="E4136" s="3" t="str">
        <f>IFERROR(__xludf.DUMMYFUNCTION("""COMPUTED_VALUE"""),"heather l, ")</f>
        <v>heather l, </v>
      </c>
      <c r="F4136" s="3"/>
      <c r="G4136" s="3">
        <f>IFERROR(__xludf.DUMMYFUNCTION("""COMPUTED_VALUE"""),7.055813451E9)</f>
        <v>7055813451</v>
      </c>
      <c r="H4136" s="3"/>
    </row>
    <row r="4137">
      <c r="A4137" s="2">
        <f>IFERROR(__xludf.DUMMYFUNCTION("""COMPUTED_VALUE"""),60541.0)</f>
        <v>60541</v>
      </c>
      <c r="B4137" s="3" t="str">
        <f>IFERROR(__xludf.DUMMYFUNCTION("""COMPUTED_VALUE"""),"43B BRIGHTS LANE")</f>
        <v>43B BRIGHTS LANE</v>
      </c>
      <c r="C4137" s="3" t="str">
        <f>IFERROR(__xludf.DUMMYFUNCTION("""COMPUTED_VALUE"""),"CAMPBELLFORD")</f>
        <v>CAMPBELLFORD</v>
      </c>
      <c r="D4137" s="3" t="str">
        <f>IFERROR(__xludf.DUMMYFUNCTION("""COMPUTED_VALUE"""),"K0L 1L0")</f>
        <v>K0L 1L0</v>
      </c>
      <c r="E4137" s="3" t="str">
        <f>IFERROR(__xludf.DUMMYFUNCTION("""COMPUTED_VALUE"""),"April Wright")</f>
        <v>April Wright</v>
      </c>
      <c r="F4137" s="3" t="str">
        <f>IFERROR(__xludf.DUMMYFUNCTION("""COMPUTED_VALUE"""),"ahq1962@yahoo.ca")</f>
        <v>ahq1962@yahoo.ca</v>
      </c>
      <c r="G4137" s="3">
        <f>IFERROR(__xludf.DUMMYFUNCTION("""COMPUTED_VALUE"""),2.893561011E9)</f>
        <v>2893561011</v>
      </c>
      <c r="H4137" s="3">
        <f>IFERROR(__xludf.DUMMYFUNCTION("""COMPUTED_VALUE"""),9.059221826E9)</f>
        <v>9059221826</v>
      </c>
    </row>
    <row r="4138">
      <c r="A4138" s="2">
        <f>IFERROR(__xludf.DUMMYFUNCTION("""COMPUTED_VALUE"""),60542.0)</f>
        <v>60542</v>
      </c>
      <c r="B4138" s="3" t="str">
        <f>IFERROR(__xludf.DUMMYFUNCTION("""COMPUTED_VALUE"""),"46 BRIGHTS LANE")</f>
        <v>46 BRIGHTS LANE</v>
      </c>
      <c r="C4138" s="3" t="str">
        <f>IFERROR(__xludf.DUMMYFUNCTION("""COMPUTED_VALUE"""),"CAMPBELLFORD")</f>
        <v>CAMPBELLFORD</v>
      </c>
      <c r="D4138" s="3" t="str">
        <f>IFERROR(__xludf.DUMMYFUNCTION("""COMPUTED_VALUE"""),"K0L 1L0")</f>
        <v>K0L 1L0</v>
      </c>
      <c r="E4138" s="3" t="str">
        <f>IFERROR(__xludf.DUMMYFUNCTION("""COMPUTED_VALUE"""),"Steven Forestell")</f>
        <v>Steven Forestell</v>
      </c>
      <c r="F4138" s="3" t="str">
        <f>IFERROR(__xludf.DUMMYFUNCTION("""COMPUTED_VALUE"""),"exrdhd@hotmail.com")</f>
        <v>exrdhd@hotmail.com</v>
      </c>
      <c r="G4138" s="3">
        <f>IFERROR(__xludf.DUMMYFUNCTION("""COMPUTED_VALUE"""),7.056536323E9)</f>
        <v>7056536323</v>
      </c>
      <c r="H4138" s="3"/>
    </row>
    <row r="4139">
      <c r="A4139" s="2">
        <f>IFERROR(__xludf.DUMMYFUNCTION("""COMPUTED_VALUE"""),60543.0)</f>
        <v>60543</v>
      </c>
      <c r="B4139" s="3" t="str">
        <f>IFERROR(__xludf.DUMMYFUNCTION("""COMPUTED_VALUE"""),"50 BRIGHTS LANE")</f>
        <v>50 BRIGHTS LANE</v>
      </c>
      <c r="C4139" s="3" t="str">
        <f>IFERROR(__xludf.DUMMYFUNCTION("""COMPUTED_VALUE"""),"CAMPBELLFORD")</f>
        <v>CAMPBELLFORD</v>
      </c>
      <c r="D4139" s="3" t="str">
        <f>IFERROR(__xludf.DUMMYFUNCTION("""COMPUTED_VALUE"""),"K0L 1L0")</f>
        <v>K0L 1L0</v>
      </c>
      <c r="E4139" s="3" t="str">
        <f>IFERROR(__xludf.DUMMYFUNCTION("""COMPUTED_VALUE"""),"al and karin jamieson")</f>
        <v>al and karin jamieson</v>
      </c>
      <c r="F4139" s="3" t="str">
        <f>IFERROR(__xludf.DUMMYFUNCTION("""COMPUTED_VALUE"""),"alkarin@xplorenet.com")</f>
        <v>alkarin@xplorenet.com</v>
      </c>
      <c r="G4139" s="3">
        <f>IFERROR(__xludf.DUMMYFUNCTION("""COMPUTED_VALUE"""),7.056963166E9)</f>
        <v>7056963166</v>
      </c>
      <c r="H4139" s="3"/>
    </row>
    <row r="4140">
      <c r="A4140" s="2">
        <f>IFERROR(__xludf.DUMMYFUNCTION("""COMPUTED_VALUE"""),63047.0)</f>
        <v>63047</v>
      </c>
      <c r="B4140" s="3" t="str">
        <f>IFERROR(__xludf.DUMMYFUNCTION("""COMPUTED_VALUE"""),"385A PIKE LANE  ")</f>
        <v>385A PIKE LANE  </v>
      </c>
      <c r="C4140" s="3" t="str">
        <f>IFERROR(__xludf.DUMMYFUNCTION("""COMPUTED_VALUE"""),"CAMPBELLFORD")</f>
        <v>CAMPBELLFORD</v>
      </c>
      <c r="D4140" s="3" t="str">
        <f>IFERROR(__xludf.DUMMYFUNCTION("""COMPUTED_VALUE"""),"K0L 1L0")</f>
        <v>K0L 1L0</v>
      </c>
      <c r="E4140" s="3" t="str">
        <f>IFERROR(__xludf.DUMMYFUNCTION("""COMPUTED_VALUE"""),"ron deguzman")</f>
        <v>ron deguzman</v>
      </c>
      <c r="F4140" s="3" t="str">
        <f>IFERROR(__xludf.DUMMYFUNCTION("""COMPUTED_VALUE"""),"rdegz3281@gmail.com")</f>
        <v>rdegz3281@gmail.com</v>
      </c>
      <c r="G4140" s="3">
        <f>IFERROR(__xludf.DUMMYFUNCTION("""COMPUTED_VALUE"""),4.163122999E9)</f>
        <v>4163122999</v>
      </c>
      <c r="H4140" s="3"/>
    </row>
    <row r="4141">
      <c r="A4141" s="2">
        <f>IFERROR(__xludf.DUMMYFUNCTION("""COMPUTED_VALUE"""),63048.0)</f>
        <v>63048</v>
      </c>
      <c r="B4141" s="3" t="str">
        <f>IFERROR(__xludf.DUMMYFUNCTION("""COMPUTED_VALUE"""),"385B PIKE LANE  ")</f>
        <v>385B PIKE LANE  </v>
      </c>
      <c r="C4141" s="3" t="str">
        <f>IFERROR(__xludf.DUMMYFUNCTION("""COMPUTED_VALUE"""),"CAMPBELLFORD")</f>
        <v>CAMPBELLFORD</v>
      </c>
      <c r="D4141" s="3" t="str">
        <f>IFERROR(__xludf.DUMMYFUNCTION("""COMPUTED_VALUE"""),"K0L 1L0")</f>
        <v>K0L 1L0</v>
      </c>
      <c r="E4141" s="3"/>
      <c r="F4141" s="3"/>
      <c r="G4141" s="3"/>
      <c r="H4141" s="3"/>
    </row>
    <row r="4142">
      <c r="A4142" s="2">
        <f>IFERROR(__xludf.DUMMYFUNCTION("""COMPUTED_VALUE"""),63049.0)</f>
        <v>63049</v>
      </c>
      <c r="B4142" s="3" t="str">
        <f>IFERROR(__xludf.DUMMYFUNCTION("""COMPUTED_VALUE"""),"385C PIKE LANE  ")</f>
        <v>385C PIKE LANE  </v>
      </c>
      <c r="C4142" s="3" t="str">
        <f>IFERROR(__xludf.DUMMYFUNCTION("""COMPUTED_VALUE"""),"CAMPBELLFORD")</f>
        <v>CAMPBELLFORD</v>
      </c>
      <c r="D4142" s="3" t="str">
        <f>IFERROR(__xludf.DUMMYFUNCTION("""COMPUTED_VALUE"""),"K0L 1L0")</f>
        <v>K0L 1L0</v>
      </c>
      <c r="E4142" s="3" t="str">
        <f>IFERROR(__xludf.DUMMYFUNCTION("""COMPUTED_VALUE"""),"diane rew ")</f>
        <v>diane rew </v>
      </c>
      <c r="F4142" s="3" t="str">
        <f>IFERROR(__xludf.DUMMYFUNCTION("""COMPUTED_VALUE"""),"rewdie@hotmail.com")</f>
        <v>rewdie@hotmail.com</v>
      </c>
      <c r="G4142" s="3">
        <f>IFERROR(__xludf.DUMMYFUNCTION("""COMPUTED_VALUE"""),6.132433445E9)</f>
        <v>6132433445</v>
      </c>
      <c r="H4142" s="3"/>
    </row>
    <row r="4143">
      <c r="A4143" s="2">
        <f>IFERROR(__xludf.DUMMYFUNCTION("""COMPUTED_VALUE"""),63050.0)</f>
        <v>63050</v>
      </c>
      <c r="B4143" s="3" t="str">
        <f>IFERROR(__xludf.DUMMYFUNCTION("""COMPUTED_VALUE"""),"385D PIKE LANE  ")</f>
        <v>385D PIKE LANE  </v>
      </c>
      <c r="C4143" s="3" t="str">
        <f>IFERROR(__xludf.DUMMYFUNCTION("""COMPUTED_VALUE"""),"CAMPBELLFORD")</f>
        <v>CAMPBELLFORD</v>
      </c>
      <c r="D4143" s="3" t="str">
        <f>IFERROR(__xludf.DUMMYFUNCTION("""COMPUTED_VALUE"""),"K0L 1L0")</f>
        <v>K0L 1L0</v>
      </c>
      <c r="E4143" s="3"/>
      <c r="F4143" s="3"/>
      <c r="G4143" s="3"/>
      <c r="H4143" s="3"/>
    </row>
    <row r="4144">
      <c r="A4144" s="2">
        <f>IFERROR(__xludf.DUMMYFUNCTION("""COMPUTED_VALUE"""),63051.0)</f>
        <v>63051</v>
      </c>
      <c r="B4144" s="3" t="str">
        <f>IFERROR(__xludf.DUMMYFUNCTION("""COMPUTED_VALUE"""),"385E PIKE LANE  ")</f>
        <v>385E PIKE LANE  </v>
      </c>
      <c r="C4144" s="3" t="str">
        <f>IFERROR(__xludf.DUMMYFUNCTION("""COMPUTED_VALUE"""),"CAMPBELLFORD")</f>
        <v>CAMPBELLFORD</v>
      </c>
      <c r="D4144" s="3" t="str">
        <f>IFERROR(__xludf.DUMMYFUNCTION("""COMPUTED_VALUE"""),"K0L 1L0")</f>
        <v>K0L 1L0</v>
      </c>
      <c r="E4144" s="3" t="str">
        <f>IFERROR(__xludf.DUMMYFUNCTION("""COMPUTED_VALUE"""),"Shane Winstanley")</f>
        <v>Shane Winstanley</v>
      </c>
      <c r="F4144" s="3"/>
      <c r="G4144" s="3"/>
      <c r="H4144" s="3"/>
    </row>
    <row r="4145">
      <c r="A4145" s="2">
        <f>IFERROR(__xludf.DUMMYFUNCTION("""COMPUTED_VALUE"""),63052.0)</f>
        <v>63052</v>
      </c>
      <c r="B4145" s="3" t="str">
        <f>IFERROR(__xludf.DUMMYFUNCTION("""COMPUTED_VALUE"""),"385F PIKE LANE  ")</f>
        <v>385F PIKE LANE  </v>
      </c>
      <c r="C4145" s="3" t="str">
        <f>IFERROR(__xludf.DUMMYFUNCTION("""COMPUTED_VALUE"""),"CAMPBELLFORD")</f>
        <v>CAMPBELLFORD</v>
      </c>
      <c r="D4145" s="3" t="str">
        <f>IFERROR(__xludf.DUMMYFUNCTION("""COMPUTED_VALUE"""),"K0L 1L0")</f>
        <v>K0L 1L0</v>
      </c>
      <c r="E4145" s="3" t="str">
        <f>IFERROR(__xludf.DUMMYFUNCTION("""COMPUTED_VALUE"""),"wallace norton")</f>
        <v>wallace norton</v>
      </c>
      <c r="F4145" s="3" t="str">
        <f>IFERROR(__xludf.DUMMYFUNCTION("""COMPUTED_VALUE"""),"jwm212@hotmail.com")</f>
        <v>jwm212@hotmail.com</v>
      </c>
      <c r="G4145" s="3">
        <f>IFERROR(__xludf.DUMMYFUNCTION("""COMPUTED_VALUE"""),6.472179438E9)</f>
        <v>6472179438</v>
      </c>
      <c r="H4145" s="3"/>
    </row>
    <row r="4146">
      <c r="A4146" s="2">
        <f>IFERROR(__xludf.DUMMYFUNCTION("""COMPUTED_VALUE"""),63053.0)</f>
        <v>63053</v>
      </c>
      <c r="B4146" s="3" t="str">
        <f>IFERROR(__xludf.DUMMYFUNCTION("""COMPUTED_VALUE"""),"385G PIKE LANE  ")</f>
        <v>385G PIKE LANE  </v>
      </c>
      <c r="C4146" s="3" t="str">
        <f>IFERROR(__xludf.DUMMYFUNCTION("""COMPUTED_VALUE"""),"CAMPBELLFORD")</f>
        <v>CAMPBELLFORD</v>
      </c>
      <c r="D4146" s="3" t="str">
        <f>IFERROR(__xludf.DUMMYFUNCTION("""COMPUTED_VALUE"""),"K0L 1L0")</f>
        <v>K0L 1L0</v>
      </c>
      <c r="E4146" s="3"/>
      <c r="F4146" s="3"/>
      <c r="G4146" s="3"/>
      <c r="H4146" s="3"/>
    </row>
    <row r="4147">
      <c r="A4147" s="2">
        <f>IFERROR(__xludf.DUMMYFUNCTION("""COMPUTED_VALUE"""),63054.0)</f>
        <v>63054</v>
      </c>
      <c r="B4147" s="3" t="str">
        <f>IFERROR(__xludf.DUMMYFUNCTION("""COMPUTED_VALUE"""),"385H PIKE LANE  ")</f>
        <v>385H PIKE LANE  </v>
      </c>
      <c r="C4147" s="3" t="str">
        <f>IFERROR(__xludf.DUMMYFUNCTION("""COMPUTED_VALUE"""),"CAMPBELLFORD")</f>
        <v>CAMPBELLFORD</v>
      </c>
      <c r="D4147" s="3" t="str">
        <f>IFERROR(__xludf.DUMMYFUNCTION("""COMPUTED_VALUE"""),"K0L 1L0")</f>
        <v>K0L 1L0</v>
      </c>
      <c r="E4147" s="3" t="str">
        <f>IFERROR(__xludf.DUMMYFUNCTION("""COMPUTED_VALUE"""),"peter kos ")</f>
        <v>peter kos </v>
      </c>
      <c r="F4147" s="3"/>
      <c r="G4147" s="3">
        <f>IFERROR(__xludf.DUMMYFUNCTION("""COMPUTED_VALUE"""),9.057996629E9)</f>
        <v>9057996629</v>
      </c>
      <c r="H4147" s="3"/>
    </row>
    <row r="4148">
      <c r="A4148" s="2">
        <f>IFERROR(__xludf.DUMMYFUNCTION("""COMPUTED_VALUE"""),63055.0)</f>
        <v>63055</v>
      </c>
      <c r="B4148" s="3" t="str">
        <f>IFERROR(__xludf.DUMMYFUNCTION("""COMPUTED_VALUE"""),"385I PIKE LANE  ")</f>
        <v>385I PIKE LANE  </v>
      </c>
      <c r="C4148" s="3" t="str">
        <f>IFERROR(__xludf.DUMMYFUNCTION("""COMPUTED_VALUE"""),"CAMPBELLFORD")</f>
        <v>CAMPBELLFORD</v>
      </c>
      <c r="D4148" s="3" t="str">
        <f>IFERROR(__xludf.DUMMYFUNCTION("""COMPUTED_VALUE"""),"K0L 1L0")</f>
        <v>K0L 1L0</v>
      </c>
      <c r="E4148" s="3"/>
      <c r="F4148" s="3"/>
      <c r="G4148" s="3"/>
      <c r="H4148" s="3"/>
    </row>
    <row r="4149">
      <c r="A4149" s="2">
        <f>IFERROR(__xludf.DUMMYFUNCTION("""COMPUTED_VALUE"""),63056.0)</f>
        <v>63056</v>
      </c>
      <c r="B4149" s="3" t="str">
        <f>IFERROR(__xludf.DUMMYFUNCTION("""COMPUTED_VALUE"""),"385J PIKE LANE  ")</f>
        <v>385J PIKE LANE  </v>
      </c>
      <c r="C4149" s="3" t="str">
        <f>IFERROR(__xludf.DUMMYFUNCTION("""COMPUTED_VALUE"""),"CAMPBELLFORD")</f>
        <v>CAMPBELLFORD</v>
      </c>
      <c r="D4149" s="3" t="str">
        <f>IFERROR(__xludf.DUMMYFUNCTION("""COMPUTED_VALUE"""),"K0L 1L0")</f>
        <v>K0L 1L0</v>
      </c>
      <c r="E4149" s="3" t="str">
        <f>IFERROR(__xludf.DUMMYFUNCTION("""COMPUTED_VALUE"""),"alan gardiner")</f>
        <v>alan gardiner</v>
      </c>
      <c r="F4149" s="3" t="str">
        <f>IFERROR(__xludf.DUMMYFUNCTION("""COMPUTED_VALUE"""),"a4gard@hotmail.ca")</f>
        <v>a4gard@hotmail.ca</v>
      </c>
      <c r="G4149" s="3">
        <f>IFERROR(__xludf.DUMMYFUNCTION("""COMPUTED_VALUE"""),9.059033398E9)</f>
        <v>9059033398</v>
      </c>
      <c r="H4149" s="3"/>
    </row>
    <row r="4150">
      <c r="A4150" s="2">
        <f>IFERROR(__xludf.DUMMYFUNCTION("""COMPUTED_VALUE"""),63057.0)</f>
        <v>63057</v>
      </c>
      <c r="B4150" s="3" t="str">
        <f>IFERROR(__xludf.DUMMYFUNCTION("""COMPUTED_VALUE"""),"385K PIKE LANE  ")</f>
        <v>385K PIKE LANE  </v>
      </c>
      <c r="C4150" s="3" t="str">
        <f>IFERROR(__xludf.DUMMYFUNCTION("""COMPUTED_VALUE"""),"CAMPBELLFORD")</f>
        <v>CAMPBELLFORD</v>
      </c>
      <c r="D4150" s="3" t="str">
        <f>IFERROR(__xludf.DUMMYFUNCTION("""COMPUTED_VALUE"""),"K0L 1L0")</f>
        <v>K0L 1L0</v>
      </c>
      <c r="E4150" s="3"/>
      <c r="F4150" s="3"/>
      <c r="G4150" s="3"/>
      <c r="H4150" s="3"/>
    </row>
    <row r="4151">
      <c r="A4151" s="2">
        <f>IFERROR(__xludf.DUMMYFUNCTION("""COMPUTED_VALUE"""),61714.0)</f>
        <v>61714</v>
      </c>
      <c r="B4151" s="3" t="str">
        <f>IFERROR(__xludf.DUMMYFUNCTION("""COMPUTED_VALUE"""),"22 FLEMING BAY RD  ")</f>
        <v>22 FLEMING BAY RD  </v>
      </c>
      <c r="C4151" s="3" t="str">
        <f>IFERROR(__xludf.DUMMYFUNCTION("""COMPUTED_VALUE"""),"HASTINGS")</f>
        <v>HASTINGS</v>
      </c>
      <c r="D4151" s="3" t="str">
        <f>IFERROR(__xludf.DUMMYFUNCTION("""COMPUTED_VALUE"""),"K0L 1Y0")</f>
        <v>K0L 1Y0</v>
      </c>
      <c r="E4151" s="3" t="str">
        <f>IFERROR(__xludf.DUMMYFUNCTION("""COMPUTED_VALUE"""),"roger navai")</f>
        <v>roger navai</v>
      </c>
      <c r="F4151" s="3"/>
      <c r="G4151" s="3">
        <f>IFERROR(__xludf.DUMMYFUNCTION("""COMPUTED_VALUE"""),6.472986434E9)</f>
        <v>6472986434</v>
      </c>
      <c r="H4151" s="3"/>
    </row>
    <row r="4152">
      <c r="A4152" s="2">
        <f>IFERROR(__xludf.DUMMYFUNCTION("""COMPUTED_VALUE"""),61715.0)</f>
        <v>61715</v>
      </c>
      <c r="B4152" s="3" t="str">
        <f>IFERROR(__xludf.DUMMYFUNCTION("""COMPUTED_VALUE"""),"26 FLEMING BAY RD  ")</f>
        <v>26 FLEMING BAY RD  </v>
      </c>
      <c r="C4152" s="3" t="str">
        <f>IFERROR(__xludf.DUMMYFUNCTION("""COMPUTED_VALUE"""),"HASTINGS")</f>
        <v>HASTINGS</v>
      </c>
      <c r="D4152" s="3" t="str">
        <f>IFERROR(__xludf.DUMMYFUNCTION("""COMPUTED_VALUE"""),"K0L 1Y0")</f>
        <v>K0L 1Y0</v>
      </c>
      <c r="E4152" s="3" t="str">
        <f>IFERROR(__xludf.DUMMYFUNCTION("""COMPUTED_VALUE"""),"rachael morlin ")</f>
        <v>rachael morlin </v>
      </c>
      <c r="F4152" s="3"/>
      <c r="G4152" s="3">
        <f>IFERROR(__xludf.DUMMYFUNCTION("""COMPUTED_VALUE"""),4.165544802E9)</f>
        <v>4165544802</v>
      </c>
      <c r="H4152" s="3">
        <f>IFERROR(__xludf.DUMMYFUNCTION("""COMPUTED_VALUE"""),4.169946469E9)</f>
        <v>4169946469</v>
      </c>
    </row>
    <row r="4153">
      <c r="A4153" s="2">
        <f>IFERROR(__xludf.DUMMYFUNCTION("""COMPUTED_VALUE"""),61717.0)</f>
        <v>61717</v>
      </c>
      <c r="B4153" s="3" t="str">
        <f>IFERROR(__xludf.DUMMYFUNCTION("""COMPUTED_VALUE"""),"32 FLEMING BAY RD  ")</f>
        <v>32 FLEMING BAY RD  </v>
      </c>
      <c r="C4153" s="3" t="str">
        <f>IFERROR(__xludf.DUMMYFUNCTION("""COMPUTED_VALUE"""),"HASTINGS")</f>
        <v>HASTINGS</v>
      </c>
      <c r="D4153" s="3" t="str">
        <f>IFERROR(__xludf.DUMMYFUNCTION("""COMPUTED_VALUE"""),"K0L 1Y0")</f>
        <v>K0L 1Y0</v>
      </c>
      <c r="E4153" s="3" t="str">
        <f>IFERROR(__xludf.DUMMYFUNCTION("""COMPUTED_VALUE"""),"paul riley")</f>
        <v>paul riley</v>
      </c>
      <c r="F4153" s="3" t="str">
        <f>IFERROR(__xludf.DUMMYFUNCTION("""COMPUTED_VALUE"""),"paulriley@hotmail.com")</f>
        <v>paulriley@hotmail.com</v>
      </c>
      <c r="G4153" s="3">
        <f>IFERROR(__xludf.DUMMYFUNCTION("""COMPUTED_VALUE"""),4.167868584E9)</f>
        <v>4167868584</v>
      </c>
      <c r="H4153" s="3"/>
    </row>
    <row r="4154">
      <c r="A4154" s="2">
        <f>IFERROR(__xludf.DUMMYFUNCTION("""COMPUTED_VALUE"""),61719.0)</f>
        <v>61719</v>
      </c>
      <c r="B4154" s="3" t="str">
        <f>IFERROR(__xludf.DUMMYFUNCTION("""COMPUTED_VALUE"""),"40 FLEMING BAY RD  ")</f>
        <v>40 FLEMING BAY RD  </v>
      </c>
      <c r="C4154" s="3" t="str">
        <f>IFERROR(__xludf.DUMMYFUNCTION("""COMPUTED_VALUE"""),"HASTINGS")</f>
        <v>HASTINGS</v>
      </c>
      <c r="D4154" s="3" t="str">
        <f>IFERROR(__xludf.DUMMYFUNCTION("""COMPUTED_VALUE"""),"K0L 1Y0")</f>
        <v>K0L 1Y0</v>
      </c>
      <c r="E4154" s="3" t="str">
        <f>IFERROR(__xludf.DUMMYFUNCTION("""COMPUTED_VALUE"""),"John Strecker")</f>
        <v>John Strecker</v>
      </c>
      <c r="F4154" s="3" t="str">
        <f>IFERROR(__xludf.DUMMYFUNCTION("""COMPUTED_VALUE"""),"streckerjohn@yahoo.com")</f>
        <v>streckerjohn@yahoo.com</v>
      </c>
      <c r="G4154" s="3"/>
      <c r="H4154" s="3"/>
    </row>
    <row r="4155">
      <c r="A4155" s="2">
        <f>IFERROR(__xludf.DUMMYFUNCTION("""COMPUTED_VALUE"""),61722.0)</f>
        <v>61722</v>
      </c>
      <c r="B4155" s="3" t="str">
        <f>IFERROR(__xludf.DUMMYFUNCTION("""COMPUTED_VALUE"""),"50 FLEMING BAY RD  ")</f>
        <v>50 FLEMING BAY RD  </v>
      </c>
      <c r="C4155" s="3" t="str">
        <f>IFERROR(__xludf.DUMMYFUNCTION("""COMPUTED_VALUE"""),"HASTINGS")</f>
        <v>HASTINGS</v>
      </c>
      <c r="D4155" s="3" t="str">
        <f>IFERROR(__xludf.DUMMYFUNCTION("""COMPUTED_VALUE"""),"K0L 1Y0")</f>
        <v>K0L 1Y0</v>
      </c>
      <c r="E4155" s="3" t="str">
        <f>IFERROR(__xludf.DUMMYFUNCTION("""COMPUTED_VALUE"""),"danny londry ")</f>
        <v>danny londry </v>
      </c>
      <c r="F4155" s="3" t="str">
        <f>IFERROR(__xludf.DUMMYFUNCTION("""COMPUTED_VALUE"""),"danny.londry@gmail.com")</f>
        <v>danny.londry@gmail.com</v>
      </c>
      <c r="G4155" s="3">
        <f>IFERROR(__xludf.DUMMYFUNCTION("""COMPUTED_VALUE"""),7.053248665E9)</f>
        <v>7053248665</v>
      </c>
      <c r="H4155" s="3">
        <f>IFERROR(__xludf.DUMMYFUNCTION("""COMPUTED_VALUE"""),4.165681437E9)</f>
        <v>4165681437</v>
      </c>
    </row>
    <row r="4156">
      <c r="A4156" s="2">
        <f>IFERROR(__xludf.DUMMYFUNCTION("""COMPUTED_VALUE"""),61724.0)</f>
        <v>61724</v>
      </c>
      <c r="B4156" s="3" t="str">
        <f>IFERROR(__xludf.DUMMYFUNCTION("""COMPUTED_VALUE"""),"58 FLEMING BAY RD  ")</f>
        <v>58 FLEMING BAY RD  </v>
      </c>
      <c r="C4156" s="3" t="str">
        <f>IFERROR(__xludf.DUMMYFUNCTION("""COMPUTED_VALUE"""),"HASTINGS")</f>
        <v>HASTINGS</v>
      </c>
      <c r="D4156" s="3" t="str">
        <f>IFERROR(__xludf.DUMMYFUNCTION("""COMPUTED_VALUE"""),"K0L 1Y0")</f>
        <v>K0L 1Y0</v>
      </c>
      <c r="E4156" s="3" t="str">
        <f>IFERROR(__xludf.DUMMYFUNCTION("""COMPUTED_VALUE"""),"Steve Fowlds")</f>
        <v>Steve Fowlds</v>
      </c>
      <c r="F4156" s="3" t="str">
        <f>IFERROR(__xludf.DUMMYFUNCTION("""COMPUTED_VALUE"""),"4fowlds@gmail.com")</f>
        <v>4fowlds@gmail.com</v>
      </c>
      <c r="G4156" s="3"/>
      <c r="H4156" s="3"/>
    </row>
    <row r="4157">
      <c r="A4157" s="2">
        <f>IFERROR(__xludf.DUMMYFUNCTION("""COMPUTED_VALUE"""),61727.0)</f>
        <v>61727</v>
      </c>
      <c r="B4157" s="3" t="str">
        <f>IFERROR(__xludf.DUMMYFUNCTION("""COMPUTED_VALUE"""),"70 FLEMING BAY RD  ")</f>
        <v>70 FLEMING BAY RD  </v>
      </c>
      <c r="C4157" s="3" t="str">
        <f>IFERROR(__xludf.DUMMYFUNCTION("""COMPUTED_VALUE"""),"HASTINGS")</f>
        <v>HASTINGS</v>
      </c>
      <c r="D4157" s="3" t="str">
        <f>IFERROR(__xludf.DUMMYFUNCTION("""COMPUTED_VALUE"""),"K0L 1Y0")</f>
        <v>K0L 1Y0</v>
      </c>
      <c r="E4157" s="3" t="str">
        <f>IFERROR(__xludf.DUMMYFUNCTION("""COMPUTED_VALUE"""),"Daniel Mitchell")</f>
        <v>Daniel Mitchell</v>
      </c>
      <c r="F4157" s="3" t="str">
        <f>IFERROR(__xludf.DUMMYFUNCTION("""COMPUTED_VALUE"""),"annepeirce@comcast.net")</f>
        <v>annepeirce@comcast.net</v>
      </c>
      <c r="G4157" s="3">
        <f>IFERROR(__xludf.DUMMYFUNCTION("""COMPUTED_VALUE"""),1.610883301E10)</f>
        <v>16108833010</v>
      </c>
      <c r="H4157" s="3">
        <f>IFERROR(__xludf.DUMMYFUNCTION("""COMPUTED_VALUE"""),1.6105634492E10)</f>
        <v>16105634492</v>
      </c>
    </row>
    <row r="4158">
      <c r="A4158" s="2">
        <f>IFERROR(__xludf.DUMMYFUNCTION("""COMPUTED_VALUE"""),61728.0)</f>
        <v>61728</v>
      </c>
      <c r="B4158" s="3" t="str">
        <f>IFERROR(__xludf.DUMMYFUNCTION("""COMPUTED_VALUE"""),"76 FLEMING BAY RD  ")</f>
        <v>76 FLEMING BAY RD  </v>
      </c>
      <c r="C4158" s="3" t="str">
        <f>IFERROR(__xludf.DUMMYFUNCTION("""COMPUTED_VALUE"""),"HASTINGS")</f>
        <v>HASTINGS</v>
      </c>
      <c r="D4158" s="3" t="str">
        <f>IFERROR(__xludf.DUMMYFUNCTION("""COMPUTED_VALUE"""),"K0L 1Y0")</f>
        <v>K0L 1Y0</v>
      </c>
      <c r="E4158" s="3" t="str">
        <f>IFERROR(__xludf.DUMMYFUNCTION("""COMPUTED_VALUE"""),"Christine Rank")</f>
        <v>Christine Rank</v>
      </c>
      <c r="F4158" s="3" t="str">
        <f>IFERROR(__xludf.DUMMYFUNCTION("""COMPUTED_VALUE"""),"chrisrank_85@hotmail.com")</f>
        <v>chrisrank_85@hotmail.com</v>
      </c>
      <c r="G4158" s="3">
        <f>IFERROR(__xludf.DUMMYFUNCTION("""COMPUTED_VALUE"""),7.057507765E9)</f>
        <v>7057507765</v>
      </c>
      <c r="H4158" s="3">
        <f>IFERROR(__xludf.DUMMYFUNCTION("""COMPUTED_VALUE"""),7.059270822E9)</f>
        <v>7059270822</v>
      </c>
    </row>
    <row r="4159">
      <c r="A4159" s="2">
        <f>IFERROR(__xludf.DUMMYFUNCTION("""COMPUTED_VALUE"""),61729.0)</f>
        <v>61729</v>
      </c>
      <c r="B4159" s="3" t="str">
        <f>IFERROR(__xludf.DUMMYFUNCTION("""COMPUTED_VALUE"""),"82 FLEMING BAY RD  ")</f>
        <v>82 FLEMING BAY RD  </v>
      </c>
      <c r="C4159" s="3" t="str">
        <f>IFERROR(__xludf.DUMMYFUNCTION("""COMPUTED_VALUE"""),"HASTINGS")</f>
        <v>HASTINGS</v>
      </c>
      <c r="D4159" s="3" t="str">
        <f>IFERROR(__xludf.DUMMYFUNCTION("""COMPUTED_VALUE"""),"K0L 1Y0")</f>
        <v>K0L 1Y0</v>
      </c>
      <c r="E4159" s="3" t="str">
        <f>IFERROR(__xludf.DUMMYFUNCTION("""COMPUTED_VALUE"""),"Karen Holmes Degen")</f>
        <v>Karen Holmes Degen</v>
      </c>
      <c r="F4159" s="3" t="str">
        <f>IFERROR(__xludf.DUMMYFUNCTION("""COMPUTED_VALUE"""),"karenholmesdegen@protonmail.com")</f>
        <v>karenholmesdegen@protonmail.com</v>
      </c>
      <c r="G4159" s="3">
        <f>IFERROR(__xludf.DUMMYFUNCTION("""COMPUTED_VALUE"""),4.165744477E9)</f>
        <v>4165744477</v>
      </c>
      <c r="H4159" s="3"/>
    </row>
    <row r="4160">
      <c r="A4160" s="2">
        <f>IFERROR(__xludf.DUMMYFUNCTION("""COMPUTED_VALUE"""),61730.0)</f>
        <v>61730</v>
      </c>
      <c r="B4160" s="3" t="str">
        <f>IFERROR(__xludf.DUMMYFUNCTION("""COMPUTED_VALUE"""),"86 FLEMING BAY RD  ")</f>
        <v>86 FLEMING BAY RD  </v>
      </c>
      <c r="C4160" s="3" t="str">
        <f>IFERROR(__xludf.DUMMYFUNCTION("""COMPUTED_VALUE"""),"HASTINGS")</f>
        <v>HASTINGS</v>
      </c>
      <c r="D4160" s="3" t="str">
        <f>IFERROR(__xludf.DUMMYFUNCTION("""COMPUTED_VALUE"""),"K0L 1Y0")</f>
        <v>K0L 1Y0</v>
      </c>
      <c r="E4160" s="3" t="str">
        <f>IFERROR(__xludf.DUMMYFUNCTION("""COMPUTED_VALUE"""),"rick milne ")</f>
        <v>rick milne </v>
      </c>
      <c r="F4160" s="3" t="str">
        <f>IFERROR(__xludf.DUMMYFUNCTION("""COMPUTED_VALUE"""),"rickmilne60@gmail.com")</f>
        <v>rickmilne60@gmail.com</v>
      </c>
      <c r="G4160" s="3">
        <f>IFERROR(__xludf.DUMMYFUNCTION("""COMPUTED_VALUE"""),9.052139174E9)</f>
        <v>9052139174</v>
      </c>
      <c r="H4160" s="3"/>
    </row>
    <row r="4161">
      <c r="A4161" s="2">
        <f>IFERROR(__xludf.DUMMYFUNCTION("""COMPUTED_VALUE"""),61731.0)</f>
        <v>61731</v>
      </c>
      <c r="B4161" s="3" t="str">
        <f>IFERROR(__xludf.DUMMYFUNCTION("""COMPUTED_VALUE"""),"90 FLEMING BAY RD  ")</f>
        <v>90 FLEMING BAY RD  </v>
      </c>
      <c r="C4161" s="3" t="str">
        <f>IFERROR(__xludf.DUMMYFUNCTION("""COMPUTED_VALUE"""),"HASTINGS")</f>
        <v>HASTINGS</v>
      </c>
      <c r="D4161" s="3" t="str">
        <f>IFERROR(__xludf.DUMMYFUNCTION("""COMPUTED_VALUE"""),"K0L 1Y0")</f>
        <v>K0L 1Y0</v>
      </c>
      <c r="E4161" s="3" t="str">
        <f>IFERROR(__xludf.DUMMYFUNCTION("""COMPUTED_VALUE"""),"al robinson")</f>
        <v>al robinson</v>
      </c>
      <c r="F4161" s="3" t="str">
        <f>IFERROR(__xludf.DUMMYFUNCTION("""COMPUTED_VALUE"""),"robem@hotmail.com")</f>
        <v>robem@hotmail.com</v>
      </c>
      <c r="G4161" s="3">
        <f>IFERROR(__xludf.DUMMYFUNCTION("""COMPUTED_VALUE"""),705696.0)</f>
        <v>705696</v>
      </c>
      <c r="H4161" s="3"/>
    </row>
    <row r="4162">
      <c r="A4162" s="2">
        <f>IFERROR(__xludf.DUMMYFUNCTION("""COMPUTED_VALUE"""),61732.0)</f>
        <v>61732</v>
      </c>
      <c r="B4162" s="3" t="str">
        <f>IFERROR(__xludf.DUMMYFUNCTION("""COMPUTED_VALUE"""),"92 FLEMING BAY RD  ")</f>
        <v>92 FLEMING BAY RD  </v>
      </c>
      <c r="C4162" s="3" t="str">
        <f>IFERROR(__xludf.DUMMYFUNCTION("""COMPUTED_VALUE"""),"HASTINGS")</f>
        <v>HASTINGS</v>
      </c>
      <c r="D4162" s="3" t="str">
        <f>IFERROR(__xludf.DUMMYFUNCTION("""COMPUTED_VALUE"""),"K0L 1Y0")</f>
        <v>K0L 1Y0</v>
      </c>
      <c r="E4162" s="3" t="str">
        <f>IFERROR(__xludf.DUMMYFUNCTION("""COMPUTED_VALUE"""),"Sveann Shaw")</f>
        <v>Sveann Shaw</v>
      </c>
      <c r="F4162" s="3" t="str">
        <f>IFERROR(__xludf.DUMMYFUNCTION("""COMPUTED_VALUE"""),"sveannshaw@hotmail.com")</f>
        <v>sveannshaw@hotmail.com</v>
      </c>
      <c r="G4162" s="3"/>
      <c r="H4162" s="3"/>
    </row>
    <row r="4163">
      <c r="A4163" s="2">
        <f>IFERROR(__xludf.DUMMYFUNCTION("""COMPUTED_VALUE"""),61733.0)</f>
        <v>61733</v>
      </c>
      <c r="B4163" s="3" t="str">
        <f>IFERROR(__xludf.DUMMYFUNCTION("""COMPUTED_VALUE"""),"94 FLEMING BAY RD  ")</f>
        <v>94 FLEMING BAY RD  </v>
      </c>
      <c r="C4163" s="3" t="str">
        <f>IFERROR(__xludf.DUMMYFUNCTION("""COMPUTED_VALUE"""),"HASTINGS")</f>
        <v>HASTINGS</v>
      </c>
      <c r="D4163" s="3" t="str">
        <f>IFERROR(__xludf.DUMMYFUNCTION("""COMPUTED_VALUE"""),"K0L 1Y0")</f>
        <v>K0L 1Y0</v>
      </c>
      <c r="E4163" s="3" t="str">
        <f>IFERROR(__xludf.DUMMYFUNCTION("""COMPUTED_VALUE"""),"Simon Allard")</f>
        <v>Simon Allard</v>
      </c>
      <c r="F4163" s="3" t="str">
        <f>IFERROR(__xludf.DUMMYFUNCTION("""COMPUTED_VALUE"""),"simonlallard@icloud.com")</f>
        <v>simonlallard@icloud.com</v>
      </c>
      <c r="G4163" s="3">
        <f>IFERROR(__xludf.DUMMYFUNCTION("""COMPUTED_VALUE"""),5.144246459E9)</f>
        <v>5144246459</v>
      </c>
      <c r="H4163" s="3">
        <f>IFERROR(__xludf.DUMMYFUNCTION("""COMPUTED_VALUE"""),4.164567491E9)</f>
        <v>4164567491</v>
      </c>
    </row>
    <row r="4164">
      <c r="A4164" s="2">
        <f>IFERROR(__xludf.DUMMYFUNCTION("""COMPUTED_VALUE"""),61736.0)</f>
        <v>61736</v>
      </c>
      <c r="B4164" s="3" t="str">
        <f>IFERROR(__xludf.DUMMYFUNCTION("""COMPUTED_VALUE"""),"102 FLEMING BAY RD  ")</f>
        <v>102 FLEMING BAY RD  </v>
      </c>
      <c r="C4164" s="3" t="str">
        <f>IFERROR(__xludf.DUMMYFUNCTION("""COMPUTED_VALUE"""),"HASTINGS")</f>
        <v>HASTINGS</v>
      </c>
      <c r="D4164" s="3" t="str">
        <f>IFERROR(__xludf.DUMMYFUNCTION("""COMPUTED_VALUE"""),"K0L 1Y0")</f>
        <v>K0L 1Y0</v>
      </c>
      <c r="E4164" s="3" t="str">
        <f>IFERROR(__xludf.DUMMYFUNCTION("""COMPUTED_VALUE"""),"GEORGE SKUTOVICH")</f>
        <v>GEORGE SKUTOVICH</v>
      </c>
      <c r="F4164" s="3" t="str">
        <f>IFERROR(__xludf.DUMMYFUNCTION("""COMPUTED_VALUE"""),"skutovichfamily@gmail.com")</f>
        <v>skutovichfamily@gmail.com</v>
      </c>
      <c r="G4164" s="3"/>
      <c r="H4164" s="3"/>
    </row>
    <row r="4165">
      <c r="A4165" s="2">
        <f>IFERROR(__xludf.DUMMYFUNCTION("""COMPUTED_VALUE"""),61738.0)</f>
        <v>61738</v>
      </c>
      <c r="B4165" s="3" t="str">
        <f>IFERROR(__xludf.DUMMYFUNCTION("""COMPUTED_VALUE"""),"126 FLEMING BAY RD  ")</f>
        <v>126 FLEMING BAY RD  </v>
      </c>
      <c r="C4165" s="3" t="str">
        <f>IFERROR(__xludf.DUMMYFUNCTION("""COMPUTED_VALUE"""),"HASTINGS")</f>
        <v>HASTINGS</v>
      </c>
      <c r="D4165" s="3" t="str">
        <f>IFERROR(__xludf.DUMMYFUNCTION("""COMPUTED_VALUE"""),"K0L 1Y0")</f>
        <v>K0L 1Y0</v>
      </c>
      <c r="E4165" s="3" t="str">
        <f>IFERROR(__xludf.DUMMYFUNCTION("""COMPUTED_VALUE"""),"Susan Baranyai -Mulrain")</f>
        <v>Susan Baranyai -Mulrain</v>
      </c>
      <c r="F4165" s="3" t="str">
        <f>IFERROR(__xludf.DUMMYFUNCTION("""COMPUTED_VALUE"""),"sbmulrain@hotmail.com")</f>
        <v>sbmulrain@hotmail.com</v>
      </c>
      <c r="G4165" s="3"/>
      <c r="H4165" s="3"/>
    </row>
    <row r="4166">
      <c r="A4166" s="2">
        <f>IFERROR(__xludf.DUMMYFUNCTION("""COMPUTED_VALUE"""),61739.0)</f>
        <v>61739</v>
      </c>
      <c r="B4166" s="3" t="str">
        <f>IFERROR(__xludf.DUMMYFUNCTION("""COMPUTED_VALUE"""),"134 FLEMING BAY RD  ")</f>
        <v>134 FLEMING BAY RD  </v>
      </c>
      <c r="C4166" s="3" t="str">
        <f>IFERROR(__xludf.DUMMYFUNCTION("""COMPUTED_VALUE"""),"HASTINGS")</f>
        <v>HASTINGS</v>
      </c>
      <c r="D4166" s="3" t="str">
        <f>IFERROR(__xludf.DUMMYFUNCTION("""COMPUTED_VALUE"""),"K0L 1Y0")</f>
        <v>K0L 1Y0</v>
      </c>
      <c r="E4166" s="3" t="str">
        <f>IFERROR(__xludf.DUMMYFUNCTION("""COMPUTED_VALUE"""),"Evgeny Dunaevsky")</f>
        <v>Evgeny Dunaevsky</v>
      </c>
      <c r="F4166" s="3" t="str">
        <f>IFERROR(__xludf.DUMMYFUNCTION("""COMPUTED_VALUE"""),"evgenydunaevsky@outlook.com")</f>
        <v>evgenydunaevsky@outlook.com</v>
      </c>
      <c r="G4166" s="3">
        <f>IFERROR(__xludf.DUMMYFUNCTION("""COMPUTED_VALUE"""),4.165236002E9)</f>
        <v>4165236002</v>
      </c>
      <c r="H4166" s="3"/>
    </row>
    <row r="4167">
      <c r="A4167" s="2">
        <f>IFERROR(__xludf.DUMMYFUNCTION("""COMPUTED_VALUE"""),62674.0)</f>
        <v>62674</v>
      </c>
      <c r="B4167" s="3" t="str">
        <f>IFERROR(__xludf.DUMMYFUNCTION("""COMPUTED_VALUE"""),"50 MILLERS LANE  ")</f>
        <v>50 MILLERS LANE  </v>
      </c>
      <c r="C4167" s="3" t="str">
        <f>IFERROR(__xludf.DUMMYFUNCTION("""COMPUTED_VALUE"""),"HASTINGS")</f>
        <v>HASTINGS</v>
      </c>
      <c r="D4167" s="3" t="str">
        <f>IFERROR(__xludf.DUMMYFUNCTION("""COMPUTED_VALUE"""),"K0L 1Y0")</f>
        <v>K0L 1Y0</v>
      </c>
      <c r="E4167" s="3" t="str">
        <f>IFERROR(__xludf.DUMMYFUNCTION("""COMPUTED_VALUE"""),"david&amp;susanne broome")</f>
        <v>david&amp;susanne broome</v>
      </c>
      <c r="F4167" s="3" t="str">
        <f>IFERROR(__xludf.DUMMYFUNCTION("""COMPUTED_VALUE"""),"dbroome017@gmail.com")</f>
        <v>dbroome017@gmail.com</v>
      </c>
      <c r="G4167" s="3">
        <f>IFERROR(__xludf.DUMMYFUNCTION("""COMPUTED_VALUE"""),4.16267608E9)</f>
        <v>4162676080</v>
      </c>
      <c r="H4167" s="3">
        <f>IFERROR(__xludf.DUMMYFUNCTION("""COMPUTED_VALUE"""),6.47271608E9)</f>
        <v>6472716080</v>
      </c>
    </row>
    <row r="4168">
      <c r="A4168" s="2">
        <f>IFERROR(__xludf.DUMMYFUNCTION("""COMPUTED_VALUE"""),62675.0)</f>
        <v>62675</v>
      </c>
      <c r="B4168" s="3" t="str">
        <f>IFERROR(__xludf.DUMMYFUNCTION("""COMPUTED_VALUE"""),"52 MILLERS LANE  ")</f>
        <v>52 MILLERS LANE  </v>
      </c>
      <c r="C4168" s="3" t="str">
        <f>IFERROR(__xludf.DUMMYFUNCTION("""COMPUTED_VALUE"""),"HASTINGS")</f>
        <v>HASTINGS</v>
      </c>
      <c r="D4168" s="3" t="str">
        <f>IFERROR(__xludf.DUMMYFUNCTION("""COMPUTED_VALUE"""),"K0L 1Y0")</f>
        <v>K0L 1Y0</v>
      </c>
      <c r="E4168" s="3" t="str">
        <f>IFERROR(__xludf.DUMMYFUNCTION("""COMPUTED_VALUE"""),"Christine Quinn")</f>
        <v>Christine Quinn</v>
      </c>
      <c r="F4168" s="3" t="str">
        <f>IFERROR(__xludf.DUMMYFUNCTION("""COMPUTED_VALUE"""),"cjquinnuiq@gmail.com")</f>
        <v>cjquinnuiq@gmail.com</v>
      </c>
      <c r="G4168" s="3"/>
      <c r="H4168" s="3"/>
    </row>
    <row r="4169">
      <c r="A4169" s="2">
        <f>IFERROR(__xludf.DUMMYFUNCTION("""COMPUTED_VALUE"""),62676.0)</f>
        <v>62676</v>
      </c>
      <c r="B4169" s="3" t="str">
        <f>IFERROR(__xludf.DUMMYFUNCTION("""COMPUTED_VALUE"""),"54 MILLERS LANE  ")</f>
        <v>54 MILLERS LANE  </v>
      </c>
      <c r="C4169" s="3" t="str">
        <f>IFERROR(__xludf.DUMMYFUNCTION("""COMPUTED_VALUE"""),"HASTINGS")</f>
        <v>HASTINGS</v>
      </c>
      <c r="D4169" s="3" t="str">
        <f>IFERROR(__xludf.DUMMYFUNCTION("""COMPUTED_VALUE"""),"K0L 1Y0")</f>
        <v>K0L 1Y0</v>
      </c>
      <c r="E4169" s="3" t="str">
        <f>IFERROR(__xludf.DUMMYFUNCTION("""COMPUTED_VALUE"""),"kyle kuntz")</f>
        <v>kyle kuntz</v>
      </c>
      <c r="F4169" s="3" t="str">
        <f>IFERROR(__xludf.DUMMYFUNCTION("""COMPUTED_VALUE"""),"kyle.d.kuntz@gmail.com")</f>
        <v>kyle.d.kuntz@gmail.com</v>
      </c>
      <c r="G4169" s="3">
        <f>IFERROR(__xludf.DUMMYFUNCTION("""COMPUTED_VALUE"""),6.475276609E9)</f>
        <v>6475276609</v>
      </c>
      <c r="H4169" s="3"/>
    </row>
    <row r="4170">
      <c r="A4170" s="2">
        <f>IFERROR(__xludf.DUMMYFUNCTION("""COMPUTED_VALUE"""),62677.0)</f>
        <v>62677</v>
      </c>
      <c r="B4170" s="3" t="str">
        <f>IFERROR(__xludf.DUMMYFUNCTION("""COMPUTED_VALUE"""),"58 MILLERS LANE  ")</f>
        <v>58 MILLERS LANE  </v>
      </c>
      <c r="C4170" s="3" t="str">
        <f>IFERROR(__xludf.DUMMYFUNCTION("""COMPUTED_VALUE"""),"HASTINGS")</f>
        <v>HASTINGS</v>
      </c>
      <c r="D4170" s="3" t="str">
        <f>IFERROR(__xludf.DUMMYFUNCTION("""COMPUTED_VALUE"""),"K0L 1Y0")</f>
        <v>K0L 1Y0</v>
      </c>
      <c r="E4170" s="3" t="str">
        <f>IFERROR(__xludf.DUMMYFUNCTION("""COMPUTED_VALUE"""),"Omar Petralis")</f>
        <v>Omar Petralis</v>
      </c>
      <c r="F4170" s="3" t="str">
        <f>IFERROR(__xludf.DUMMYFUNCTION("""COMPUTED_VALUE"""),"omar.petralis@gmail.com")</f>
        <v>omar.petralis@gmail.com</v>
      </c>
      <c r="G4170" s="3">
        <f>IFERROR(__xludf.DUMMYFUNCTION("""COMPUTED_VALUE"""),4.16823912E9)</f>
        <v>4168239120</v>
      </c>
      <c r="H4170" s="3"/>
    </row>
    <row r="4171">
      <c r="A4171" s="2">
        <f>IFERROR(__xludf.DUMMYFUNCTION("""COMPUTED_VALUE"""),62678.0)</f>
        <v>62678</v>
      </c>
      <c r="B4171" s="3" t="str">
        <f>IFERROR(__xludf.DUMMYFUNCTION("""COMPUTED_VALUE"""),"60 MILLERS LANE  ")</f>
        <v>60 MILLERS LANE  </v>
      </c>
      <c r="C4171" s="3" t="str">
        <f>IFERROR(__xludf.DUMMYFUNCTION("""COMPUTED_VALUE"""),"HASTINGS")</f>
        <v>HASTINGS</v>
      </c>
      <c r="D4171" s="3" t="str">
        <f>IFERROR(__xludf.DUMMYFUNCTION("""COMPUTED_VALUE"""),"K0L 1Y0")</f>
        <v>K0L 1Y0</v>
      </c>
      <c r="E4171" s="3" t="str">
        <f>IFERROR(__xludf.DUMMYFUNCTION("""COMPUTED_VALUE"""),"Gwen Knapman")</f>
        <v>Gwen Knapman</v>
      </c>
      <c r="F4171" s="3" t="str">
        <f>IFERROR(__xludf.DUMMYFUNCTION("""COMPUTED_VALUE"""),"gwenknapman@yahoo.ca")</f>
        <v>gwenknapman@yahoo.ca</v>
      </c>
      <c r="G4171" s="3"/>
      <c r="H4171" s="3"/>
    </row>
    <row r="4172">
      <c r="A4172" s="2">
        <f>IFERROR(__xludf.DUMMYFUNCTION("""COMPUTED_VALUE"""),62679.0)</f>
        <v>62679</v>
      </c>
      <c r="B4172" s="3" t="str">
        <f>IFERROR(__xludf.DUMMYFUNCTION("""COMPUTED_VALUE"""),"64 MILLERS LANE  ")</f>
        <v>64 MILLERS LANE  </v>
      </c>
      <c r="C4172" s="3" t="str">
        <f>IFERROR(__xludf.DUMMYFUNCTION("""COMPUTED_VALUE"""),"HASTINGS")</f>
        <v>HASTINGS</v>
      </c>
      <c r="D4172" s="3" t="str">
        <f>IFERROR(__xludf.DUMMYFUNCTION("""COMPUTED_VALUE"""),"K0L 1Y0")</f>
        <v>K0L 1Y0</v>
      </c>
      <c r="E4172" s="3"/>
      <c r="F4172" s="3"/>
      <c r="G4172" s="3"/>
      <c r="H4172" s="3"/>
    </row>
    <row r="4173">
      <c r="A4173" s="2">
        <f>IFERROR(__xludf.DUMMYFUNCTION("""COMPUTED_VALUE"""),63419.0)</f>
        <v>63419</v>
      </c>
      <c r="B4173" s="3" t="str">
        <f>IFERROR(__xludf.DUMMYFUNCTION("""COMPUTED_VALUE"""),"8 SUNNY BRAE LANE  ")</f>
        <v>8 SUNNY BRAE LANE  </v>
      </c>
      <c r="C4173" s="3" t="str">
        <f>IFERROR(__xludf.DUMMYFUNCTION("""COMPUTED_VALUE"""),"HASTINGS")</f>
        <v>HASTINGS</v>
      </c>
      <c r="D4173" s="3" t="str">
        <f>IFERROR(__xludf.DUMMYFUNCTION("""COMPUTED_VALUE"""),"K0L 1Y0")</f>
        <v>K0L 1Y0</v>
      </c>
      <c r="E4173" s="3"/>
      <c r="F4173" s="3"/>
      <c r="G4173" s="3"/>
      <c r="H4173" s="3"/>
    </row>
    <row r="4174">
      <c r="A4174" s="2">
        <f>IFERROR(__xludf.DUMMYFUNCTION("""COMPUTED_VALUE"""),63420.0)</f>
        <v>63420</v>
      </c>
      <c r="B4174" s="3" t="str">
        <f>IFERROR(__xludf.DUMMYFUNCTION("""COMPUTED_VALUE"""),"30 SUNNY BRAE LANE  ")</f>
        <v>30 SUNNY BRAE LANE  </v>
      </c>
      <c r="C4174" s="3" t="str">
        <f>IFERROR(__xludf.DUMMYFUNCTION("""COMPUTED_VALUE"""),"HASTINGS")</f>
        <v>HASTINGS</v>
      </c>
      <c r="D4174" s="3" t="str">
        <f>IFERROR(__xludf.DUMMYFUNCTION("""COMPUTED_VALUE"""),"K0L 1Y0")</f>
        <v>K0L 1Y0</v>
      </c>
      <c r="E4174" s="3"/>
      <c r="F4174" s="3"/>
      <c r="G4174" s="3"/>
      <c r="H4174" s="3"/>
    </row>
    <row r="4175">
      <c r="A4175" s="2">
        <f>IFERROR(__xludf.DUMMYFUNCTION("""COMPUTED_VALUE"""),63421.0)</f>
        <v>63421</v>
      </c>
      <c r="B4175" s="3" t="str">
        <f>IFERROR(__xludf.DUMMYFUNCTION("""COMPUTED_VALUE"""),"36 SUNNY BRAE LANE  ")</f>
        <v>36 SUNNY BRAE LANE  </v>
      </c>
      <c r="C4175" s="3" t="str">
        <f>IFERROR(__xludf.DUMMYFUNCTION("""COMPUTED_VALUE"""),"HASTINGS")</f>
        <v>HASTINGS</v>
      </c>
      <c r="D4175" s="3" t="str">
        <f>IFERROR(__xludf.DUMMYFUNCTION("""COMPUTED_VALUE"""),"K0L 1Y0")</f>
        <v>K0L 1Y0</v>
      </c>
      <c r="E4175" s="3" t="str">
        <f>IFERROR(__xludf.DUMMYFUNCTION("""COMPUTED_VALUE"""),"Terry Luscombe")</f>
        <v>Terry Luscombe</v>
      </c>
      <c r="F4175" s="3" t="str">
        <f>IFERROR(__xludf.DUMMYFUNCTION("""COMPUTED_VALUE"""),"terrfromtherock@gmail.com")</f>
        <v>terrfromtherock@gmail.com</v>
      </c>
      <c r="G4175" s="3"/>
      <c r="H4175" s="3"/>
    </row>
    <row r="4176">
      <c r="A4176" s="2">
        <f>IFERROR(__xludf.DUMMYFUNCTION("""COMPUTED_VALUE"""),63422.0)</f>
        <v>63422</v>
      </c>
      <c r="B4176" s="3" t="str">
        <f>IFERROR(__xludf.DUMMYFUNCTION("""COMPUTED_VALUE"""),"38 SUNNY BRAE LANE  ")</f>
        <v>38 SUNNY BRAE LANE  </v>
      </c>
      <c r="C4176" s="3" t="str">
        <f>IFERROR(__xludf.DUMMYFUNCTION("""COMPUTED_VALUE"""),"HASTINGS")</f>
        <v>HASTINGS</v>
      </c>
      <c r="D4176" s="3" t="str">
        <f>IFERROR(__xludf.DUMMYFUNCTION("""COMPUTED_VALUE"""),"K0L 1Y0")</f>
        <v>K0L 1Y0</v>
      </c>
      <c r="E4176" s="3" t="str">
        <f>IFERROR(__xludf.DUMMYFUNCTION("""COMPUTED_VALUE"""),"Frank Reseh")</f>
        <v>Frank Reseh</v>
      </c>
      <c r="F4176" s="3" t="str">
        <f>IFERROR(__xludf.DUMMYFUNCTION("""COMPUTED_VALUE"""),"reschfa59@gmail.com")</f>
        <v>reschfa59@gmail.com</v>
      </c>
      <c r="G4176" s="3"/>
      <c r="H4176" s="3"/>
    </row>
    <row r="4177">
      <c r="A4177" s="2">
        <f>IFERROR(__xludf.DUMMYFUNCTION("""COMPUTED_VALUE"""),63423.0)</f>
        <v>63423</v>
      </c>
      <c r="B4177" s="3" t="str">
        <f>IFERROR(__xludf.DUMMYFUNCTION("""COMPUTED_VALUE"""),"40 SUNNY BRAE LANE  ")</f>
        <v>40 SUNNY BRAE LANE  </v>
      </c>
      <c r="C4177" s="3" t="str">
        <f>IFERROR(__xludf.DUMMYFUNCTION("""COMPUTED_VALUE"""),"HASTINGS")</f>
        <v>HASTINGS</v>
      </c>
      <c r="D4177" s="3" t="str">
        <f>IFERROR(__xludf.DUMMYFUNCTION("""COMPUTED_VALUE"""),"K0L 1Y0")</f>
        <v>K0L 1Y0</v>
      </c>
      <c r="E4177" s="3" t="str">
        <f>IFERROR(__xludf.DUMMYFUNCTION("""COMPUTED_VALUE"""),"Elizabeth Walker")</f>
        <v>Elizabeth Walker</v>
      </c>
      <c r="F4177" s="3"/>
      <c r="G4177" s="3"/>
      <c r="H4177" s="3"/>
    </row>
    <row r="4178">
      <c r="A4178" s="2">
        <f>IFERROR(__xludf.DUMMYFUNCTION("""COMPUTED_VALUE"""),63424.0)</f>
        <v>63424</v>
      </c>
      <c r="B4178" s="3" t="str">
        <f>IFERROR(__xludf.DUMMYFUNCTION("""COMPUTED_VALUE"""),"42 SUNNY BRAE LANE  ")</f>
        <v>42 SUNNY BRAE LANE  </v>
      </c>
      <c r="C4178" s="3" t="str">
        <f>IFERROR(__xludf.DUMMYFUNCTION("""COMPUTED_VALUE"""),"HASTINGS")</f>
        <v>HASTINGS</v>
      </c>
      <c r="D4178" s="3" t="str">
        <f>IFERROR(__xludf.DUMMYFUNCTION("""COMPUTED_VALUE"""),"K0L 1Y0")</f>
        <v>K0L 1Y0</v>
      </c>
      <c r="E4178" s="3"/>
      <c r="F4178" s="3"/>
      <c r="G4178" s="3"/>
      <c r="H4178" s="3"/>
    </row>
    <row r="4179">
      <c r="A4179" s="2">
        <f>IFERROR(__xludf.DUMMYFUNCTION("""COMPUTED_VALUE"""),63425.0)</f>
        <v>63425</v>
      </c>
      <c r="B4179" s="3" t="str">
        <f>IFERROR(__xludf.DUMMYFUNCTION("""COMPUTED_VALUE"""),"44 SUNNY BRAE LANE  ")</f>
        <v>44 SUNNY BRAE LANE  </v>
      </c>
      <c r="C4179" s="3" t="str">
        <f>IFERROR(__xludf.DUMMYFUNCTION("""COMPUTED_VALUE"""),"HASTINGS")</f>
        <v>HASTINGS</v>
      </c>
      <c r="D4179" s="3" t="str">
        <f>IFERROR(__xludf.DUMMYFUNCTION("""COMPUTED_VALUE"""),"K0L 1Y0")</f>
        <v>K0L 1Y0</v>
      </c>
      <c r="E4179" s="3"/>
      <c r="F4179" s="3"/>
      <c r="G4179" s="3"/>
      <c r="H4179" s="3"/>
    </row>
    <row r="4180">
      <c r="A4180" s="2">
        <f>IFERROR(__xludf.DUMMYFUNCTION("""COMPUTED_VALUE"""),63426.0)</f>
        <v>63426</v>
      </c>
      <c r="B4180" s="3" t="str">
        <f>IFERROR(__xludf.DUMMYFUNCTION("""COMPUTED_VALUE"""),"46 SUNNY BRAE LANE  ")</f>
        <v>46 SUNNY BRAE LANE  </v>
      </c>
      <c r="C4180" s="3" t="str">
        <f>IFERROR(__xludf.DUMMYFUNCTION("""COMPUTED_VALUE"""),"HASTINGS")</f>
        <v>HASTINGS</v>
      </c>
      <c r="D4180" s="3" t="str">
        <f>IFERROR(__xludf.DUMMYFUNCTION("""COMPUTED_VALUE"""),"K0L 1Y0")</f>
        <v>K0L 1Y0</v>
      </c>
      <c r="E4180" s="3"/>
      <c r="F4180" s="3"/>
      <c r="G4180" s="3"/>
      <c r="H4180" s="3"/>
    </row>
    <row r="4181">
      <c r="A4181" s="2">
        <f>IFERROR(__xludf.DUMMYFUNCTION("""COMPUTED_VALUE"""),63427.0)</f>
        <v>63427</v>
      </c>
      <c r="B4181" s="3" t="str">
        <f>IFERROR(__xludf.DUMMYFUNCTION("""COMPUTED_VALUE"""),"48 SUNNY BRAE LANE  ")</f>
        <v>48 SUNNY BRAE LANE  </v>
      </c>
      <c r="C4181" s="3" t="str">
        <f>IFERROR(__xludf.DUMMYFUNCTION("""COMPUTED_VALUE"""),"HASTINGS")</f>
        <v>HASTINGS</v>
      </c>
      <c r="D4181" s="3" t="str">
        <f>IFERROR(__xludf.DUMMYFUNCTION("""COMPUTED_VALUE"""),"K0L 1Y0")</f>
        <v>K0L 1Y0</v>
      </c>
      <c r="E4181" s="3" t="str">
        <f>IFERROR(__xludf.DUMMYFUNCTION("""COMPUTED_VALUE"""),"Ray Welsh")</f>
        <v>Ray Welsh</v>
      </c>
      <c r="F4181" s="3"/>
      <c r="G4181" s="3"/>
      <c r="H4181" s="3"/>
    </row>
    <row r="4182">
      <c r="A4182" s="2">
        <f>IFERROR(__xludf.DUMMYFUNCTION("""COMPUTED_VALUE"""),63428.0)</f>
        <v>63428</v>
      </c>
      <c r="B4182" s="3" t="str">
        <f>IFERROR(__xludf.DUMMYFUNCTION("""COMPUTED_VALUE"""),"50 SUNNY BRAE LANE  ")</f>
        <v>50 SUNNY BRAE LANE  </v>
      </c>
      <c r="C4182" s="3" t="str">
        <f>IFERROR(__xludf.DUMMYFUNCTION("""COMPUTED_VALUE"""),"HASTINGS")</f>
        <v>HASTINGS</v>
      </c>
      <c r="D4182" s="3" t="str">
        <f>IFERROR(__xludf.DUMMYFUNCTION("""COMPUTED_VALUE"""),"K0L 1Y0")</f>
        <v>K0L 1Y0</v>
      </c>
      <c r="E4182" s="3" t="str">
        <f>IFERROR(__xludf.DUMMYFUNCTION("""COMPUTED_VALUE"""),"Mike Rowland")</f>
        <v>Mike Rowland</v>
      </c>
      <c r="F4182" s="3"/>
      <c r="G4182" s="3"/>
      <c r="H4182" s="3"/>
    </row>
    <row r="4183">
      <c r="A4183" s="2">
        <f>IFERROR(__xludf.DUMMYFUNCTION("""COMPUTED_VALUE"""),63429.0)</f>
        <v>63429</v>
      </c>
      <c r="B4183" s="3" t="str">
        <f>IFERROR(__xludf.DUMMYFUNCTION("""COMPUTED_VALUE"""),"52 SUNNY BRAE LANE  ")</f>
        <v>52 SUNNY BRAE LANE  </v>
      </c>
      <c r="C4183" s="3" t="str">
        <f>IFERROR(__xludf.DUMMYFUNCTION("""COMPUTED_VALUE"""),"HASTINGS")</f>
        <v>HASTINGS</v>
      </c>
      <c r="D4183" s="3" t="str">
        <f>IFERROR(__xludf.DUMMYFUNCTION("""COMPUTED_VALUE"""),"K0L 1Y0")</f>
        <v>K0L 1Y0</v>
      </c>
      <c r="E4183" s="3" t="str">
        <f>IFERROR(__xludf.DUMMYFUNCTION("""COMPUTED_VALUE"""),"nicole and james kemy")</f>
        <v>nicole and james kemy</v>
      </c>
      <c r="F4183" s="3" t="str">
        <f>IFERROR(__xludf.DUMMYFUNCTION("""COMPUTED_VALUE"""),"nicolecronkemy@gmail.com")</f>
        <v>nicolecronkemy@gmail.com</v>
      </c>
      <c r="G4183" s="3">
        <f>IFERROR(__xludf.DUMMYFUNCTION("""COMPUTED_VALUE"""),6.472832269E9)</f>
        <v>6472832269</v>
      </c>
      <c r="H4183" s="3">
        <f>IFERROR(__xludf.DUMMYFUNCTION("""COMPUTED_VALUE"""),6.474028546E9)</f>
        <v>6474028546</v>
      </c>
    </row>
    <row r="4184">
      <c r="A4184" s="2">
        <f>IFERROR(__xludf.DUMMYFUNCTION("""COMPUTED_VALUE"""),63430.0)</f>
        <v>63430</v>
      </c>
      <c r="B4184" s="3" t="str">
        <f>IFERROR(__xludf.DUMMYFUNCTION("""COMPUTED_VALUE"""),"54 SUNNY BRAE LANE  ")</f>
        <v>54 SUNNY BRAE LANE  </v>
      </c>
      <c r="C4184" s="3" t="str">
        <f>IFERROR(__xludf.DUMMYFUNCTION("""COMPUTED_VALUE"""),"HASTINGS")</f>
        <v>HASTINGS</v>
      </c>
      <c r="D4184" s="3" t="str">
        <f>IFERROR(__xludf.DUMMYFUNCTION("""COMPUTED_VALUE"""),"K0L 1Y0")</f>
        <v>K0L 1Y0</v>
      </c>
      <c r="E4184" s="3" t="str">
        <f>IFERROR(__xludf.DUMMYFUNCTION("""COMPUTED_VALUE"""),"Mill Marie")</f>
        <v>Mill Marie</v>
      </c>
      <c r="F4184" s="3"/>
      <c r="G4184" s="3"/>
      <c r="H4184" s="3"/>
    </row>
    <row r="4185">
      <c r="A4185" s="2">
        <f>IFERROR(__xludf.DUMMYFUNCTION("""COMPUTED_VALUE"""),63431.0)</f>
        <v>63431</v>
      </c>
      <c r="B4185" s="3" t="str">
        <f>IFERROR(__xludf.DUMMYFUNCTION("""COMPUTED_VALUE"""),"56 SUNNY BRAE LANE  ")</f>
        <v>56 SUNNY BRAE LANE  </v>
      </c>
      <c r="C4185" s="3" t="str">
        <f>IFERROR(__xludf.DUMMYFUNCTION("""COMPUTED_VALUE"""),"HASTINGS")</f>
        <v>HASTINGS</v>
      </c>
      <c r="D4185" s="3" t="str">
        <f>IFERROR(__xludf.DUMMYFUNCTION("""COMPUTED_VALUE"""),"K0L 1Y0")</f>
        <v>K0L 1Y0</v>
      </c>
      <c r="E4185" s="3"/>
      <c r="F4185" s="3"/>
      <c r="G4185" s="3"/>
      <c r="H4185" s="3"/>
    </row>
    <row r="4186">
      <c r="A4186" s="2">
        <f>IFERROR(__xludf.DUMMYFUNCTION("""COMPUTED_VALUE"""),63432.0)</f>
        <v>63432</v>
      </c>
      <c r="B4186" s="3" t="str">
        <f>IFERROR(__xludf.DUMMYFUNCTION("""COMPUTED_VALUE"""),"60 SUNNY BRAE LANE  ")</f>
        <v>60 SUNNY BRAE LANE  </v>
      </c>
      <c r="C4186" s="3" t="str">
        <f>IFERROR(__xludf.DUMMYFUNCTION("""COMPUTED_VALUE"""),"HASTINGS")</f>
        <v>HASTINGS</v>
      </c>
      <c r="D4186" s="3" t="str">
        <f>IFERROR(__xludf.DUMMYFUNCTION("""COMPUTED_VALUE"""),"K0L 1Y0")</f>
        <v>K0L 1Y0</v>
      </c>
      <c r="E4186" s="3" t="str">
        <f>IFERROR(__xludf.DUMMYFUNCTION("""COMPUTED_VALUE"""),"angie shepherd ")</f>
        <v>angie shepherd </v>
      </c>
      <c r="F4186" s="3"/>
      <c r="G4186" s="3">
        <f>IFERROR(__xludf.DUMMYFUNCTION("""COMPUTED_VALUE"""),5.192272924E9)</f>
        <v>5192272924</v>
      </c>
      <c r="H4186" s="3"/>
    </row>
    <row r="4187">
      <c r="A4187" s="2">
        <f>IFERROR(__xludf.DUMMYFUNCTION("""COMPUTED_VALUE"""),63433.0)</f>
        <v>63433</v>
      </c>
      <c r="B4187" s="3" t="str">
        <f>IFERROR(__xludf.DUMMYFUNCTION("""COMPUTED_VALUE"""),"62 SUNNY BRAE LANE  ")</f>
        <v>62 SUNNY BRAE LANE  </v>
      </c>
      <c r="C4187" s="3" t="str">
        <f>IFERROR(__xludf.DUMMYFUNCTION("""COMPUTED_VALUE"""),"HASTINGS")</f>
        <v>HASTINGS</v>
      </c>
      <c r="D4187" s="3" t="str">
        <f>IFERROR(__xludf.DUMMYFUNCTION("""COMPUTED_VALUE"""),"K0L 1Y0")</f>
        <v>K0L 1Y0</v>
      </c>
      <c r="E4187" s="3" t="str">
        <f>IFERROR(__xludf.DUMMYFUNCTION("""COMPUTED_VALUE"""),"len brant")</f>
        <v>len brant</v>
      </c>
      <c r="F4187" s="3" t="str">
        <f>IFERROR(__xludf.DUMMYFUNCTION("""COMPUTED_VALUE"""),"lennyb601@gmail.com")</f>
        <v>lennyb601@gmail.com</v>
      </c>
      <c r="G4187" s="3">
        <f>IFERROR(__xludf.DUMMYFUNCTION("""COMPUTED_VALUE"""),9.054395238E9)</f>
        <v>9054395238</v>
      </c>
      <c r="H4187" s="3"/>
    </row>
    <row r="4188">
      <c r="A4188" s="2">
        <f>IFERROR(__xludf.DUMMYFUNCTION("""COMPUTED_VALUE"""),63434.0)</f>
        <v>63434</v>
      </c>
      <c r="B4188" s="3" t="str">
        <f>IFERROR(__xludf.DUMMYFUNCTION("""COMPUTED_VALUE"""),"64 SUNNY BRAE LANE  ")</f>
        <v>64 SUNNY BRAE LANE  </v>
      </c>
      <c r="C4188" s="3" t="str">
        <f>IFERROR(__xludf.DUMMYFUNCTION("""COMPUTED_VALUE"""),"HASTINGS")</f>
        <v>HASTINGS</v>
      </c>
      <c r="D4188" s="3" t="str">
        <f>IFERROR(__xludf.DUMMYFUNCTION("""COMPUTED_VALUE"""),"K0L 1Y0")</f>
        <v>K0L 1Y0</v>
      </c>
      <c r="E4188" s="3" t="str">
        <f>IFERROR(__xludf.DUMMYFUNCTION("""COMPUTED_VALUE"""),"carol welsh")</f>
        <v>carol welsh</v>
      </c>
      <c r="F4188" s="3" t="str">
        <f>IFERROR(__xludf.DUMMYFUNCTION("""COMPUTED_VALUE"""),"carol_stewart_@hotmail.com")</f>
        <v>carol_stewart_@hotmail.com</v>
      </c>
      <c r="G4188" s="3">
        <f>IFERROR(__xludf.DUMMYFUNCTION("""COMPUTED_VALUE"""),2.268206721E9)</f>
        <v>2268206721</v>
      </c>
      <c r="H4188" s="3"/>
    </row>
    <row r="4189">
      <c r="A4189" s="2">
        <f>IFERROR(__xludf.DUMMYFUNCTION("""COMPUTED_VALUE"""),63435.0)</f>
        <v>63435</v>
      </c>
      <c r="B4189" s="3" t="str">
        <f>IFERROR(__xludf.DUMMYFUNCTION("""COMPUTED_VALUE"""),"66 SUNNY BRAE LANE  ")</f>
        <v>66 SUNNY BRAE LANE  </v>
      </c>
      <c r="C4189" s="3" t="str">
        <f>IFERROR(__xludf.DUMMYFUNCTION("""COMPUTED_VALUE"""),"HASTINGS")</f>
        <v>HASTINGS</v>
      </c>
      <c r="D4189" s="3" t="str">
        <f>IFERROR(__xludf.DUMMYFUNCTION("""COMPUTED_VALUE"""),"K0L 1Y0")</f>
        <v>K0L 1Y0</v>
      </c>
      <c r="E4189" s="3" t="str">
        <f>IFERROR(__xludf.DUMMYFUNCTION("""COMPUTED_VALUE"""),"teresa dutkiewiez")</f>
        <v>teresa dutkiewiez</v>
      </c>
      <c r="F4189" s="3" t="str">
        <f>IFERROR(__xludf.DUMMYFUNCTION("""COMPUTED_VALUE"""),"teresadutkiewiez@hotmail.com")</f>
        <v>teresadutkiewiez@hotmail.com</v>
      </c>
      <c r="G4189" s="3">
        <f>IFERROR(__xludf.DUMMYFUNCTION("""COMPUTED_VALUE"""),4.166558845E9)</f>
        <v>4166558845</v>
      </c>
      <c r="H4189" s="3"/>
    </row>
    <row r="4190">
      <c r="A4190" s="2">
        <f>IFERROR(__xludf.DUMMYFUNCTION("""COMPUTED_VALUE"""),63436.0)</f>
        <v>63436</v>
      </c>
      <c r="B4190" s="3" t="str">
        <f>IFERROR(__xludf.DUMMYFUNCTION("""COMPUTED_VALUE"""),"70 SUNNY BRAE LANE  ")</f>
        <v>70 SUNNY BRAE LANE  </v>
      </c>
      <c r="C4190" s="3" t="str">
        <f>IFERROR(__xludf.DUMMYFUNCTION("""COMPUTED_VALUE"""),"HASTINGS")</f>
        <v>HASTINGS</v>
      </c>
      <c r="D4190" s="3" t="str">
        <f>IFERROR(__xludf.DUMMYFUNCTION("""COMPUTED_VALUE"""),"K0L 1Y0")</f>
        <v>K0L 1Y0</v>
      </c>
      <c r="E4190" s="3"/>
      <c r="F4190" s="3"/>
      <c r="G4190" s="3"/>
      <c r="H4190" s="3"/>
    </row>
    <row r="4191">
      <c r="A4191" s="2">
        <f>IFERROR(__xludf.DUMMYFUNCTION("""COMPUTED_VALUE"""),63437.0)</f>
        <v>63437</v>
      </c>
      <c r="B4191" s="3" t="str">
        <f>IFERROR(__xludf.DUMMYFUNCTION("""COMPUTED_VALUE"""),"74 SUNNY BRAE LANE  ")</f>
        <v>74 SUNNY BRAE LANE  </v>
      </c>
      <c r="C4191" s="3" t="str">
        <f>IFERROR(__xludf.DUMMYFUNCTION("""COMPUTED_VALUE"""),"HASTINGS")</f>
        <v>HASTINGS</v>
      </c>
      <c r="D4191" s="3" t="str">
        <f>IFERROR(__xludf.DUMMYFUNCTION("""COMPUTED_VALUE"""),"K0L 1Y0")</f>
        <v>K0L 1Y0</v>
      </c>
      <c r="E4191" s="3"/>
      <c r="F4191" s="3"/>
      <c r="G4191" s="3"/>
      <c r="H4191" s="3"/>
    </row>
    <row r="4192">
      <c r="A4192" s="2">
        <f>IFERROR(__xludf.DUMMYFUNCTION("""COMPUTED_VALUE"""),63438.0)</f>
        <v>63438</v>
      </c>
      <c r="B4192" s="3" t="str">
        <f>IFERROR(__xludf.DUMMYFUNCTION("""COMPUTED_VALUE"""),"76 SUNNY BRAE LANE  ")</f>
        <v>76 SUNNY BRAE LANE  </v>
      </c>
      <c r="C4192" s="3" t="str">
        <f>IFERROR(__xludf.DUMMYFUNCTION("""COMPUTED_VALUE"""),"HASTINGS")</f>
        <v>HASTINGS</v>
      </c>
      <c r="D4192" s="3" t="str">
        <f>IFERROR(__xludf.DUMMYFUNCTION("""COMPUTED_VALUE"""),"K0L 1Y0")</f>
        <v>K0L 1Y0</v>
      </c>
      <c r="E4192" s="3"/>
      <c r="F4192" s="3"/>
      <c r="G4192" s="3"/>
      <c r="H4192" s="3"/>
    </row>
    <row r="4193">
      <c r="A4193" s="2">
        <f>IFERROR(__xludf.DUMMYFUNCTION("""COMPUTED_VALUE"""),63439.0)</f>
        <v>63439</v>
      </c>
      <c r="B4193" s="3" t="str">
        <f>IFERROR(__xludf.DUMMYFUNCTION("""COMPUTED_VALUE"""),"80 SUNNY BRAE LANE  ")</f>
        <v>80 SUNNY BRAE LANE  </v>
      </c>
      <c r="C4193" s="3" t="str">
        <f>IFERROR(__xludf.DUMMYFUNCTION("""COMPUTED_VALUE"""),"HASTINGS")</f>
        <v>HASTINGS</v>
      </c>
      <c r="D4193" s="3" t="str">
        <f>IFERROR(__xludf.DUMMYFUNCTION("""COMPUTED_VALUE"""),"K0L 1Y0")</f>
        <v>K0L 1Y0</v>
      </c>
      <c r="E4193" s="3"/>
      <c r="F4193" s="3"/>
      <c r="G4193" s="3"/>
      <c r="H4193" s="3"/>
    </row>
    <row r="4194">
      <c r="A4194" s="2">
        <f>IFERROR(__xludf.DUMMYFUNCTION("""COMPUTED_VALUE"""),63440.0)</f>
        <v>63440</v>
      </c>
      <c r="B4194" s="3" t="str">
        <f>IFERROR(__xludf.DUMMYFUNCTION("""COMPUTED_VALUE"""),"84 SUNNY BRAE LANE  ")</f>
        <v>84 SUNNY BRAE LANE  </v>
      </c>
      <c r="C4194" s="3" t="str">
        <f>IFERROR(__xludf.DUMMYFUNCTION("""COMPUTED_VALUE"""),"HASTINGS")</f>
        <v>HASTINGS</v>
      </c>
      <c r="D4194" s="3" t="str">
        <f>IFERROR(__xludf.DUMMYFUNCTION("""COMPUTED_VALUE"""),"K0L 1Y0")</f>
        <v>K0L 1Y0</v>
      </c>
      <c r="E4194" s="3"/>
      <c r="F4194" s="3"/>
      <c r="G4194" s="3"/>
      <c r="H4194" s="3"/>
    </row>
    <row r="4195">
      <c r="A4195" s="2">
        <f>IFERROR(__xludf.DUMMYFUNCTION("""COMPUTED_VALUE"""),63441.0)</f>
        <v>63441</v>
      </c>
      <c r="B4195" s="3" t="str">
        <f>IFERROR(__xludf.DUMMYFUNCTION("""COMPUTED_VALUE"""),"88 SUNNY BRAE LANE  ")</f>
        <v>88 SUNNY BRAE LANE  </v>
      </c>
      <c r="C4195" s="3" t="str">
        <f>IFERROR(__xludf.DUMMYFUNCTION("""COMPUTED_VALUE"""),"HASTINGS")</f>
        <v>HASTINGS</v>
      </c>
      <c r="D4195" s="3" t="str">
        <f>IFERROR(__xludf.DUMMYFUNCTION("""COMPUTED_VALUE"""),"K0L 1Y0")</f>
        <v>K0L 1Y0</v>
      </c>
      <c r="E4195" s="3"/>
      <c r="F4195" s="3"/>
      <c r="G4195" s="3"/>
      <c r="H4195" s="3"/>
    </row>
    <row r="4196">
      <c r="A4196" s="2">
        <f>IFERROR(__xludf.DUMMYFUNCTION("""COMPUTED_VALUE"""),62680.0)</f>
        <v>62680</v>
      </c>
      <c r="B4196" s="3" t="str">
        <f>IFERROR(__xludf.DUMMYFUNCTION("""COMPUTED_VALUE"""),"353A MINNOW TRAIL  ")</f>
        <v>353A MINNOW TRAIL  </v>
      </c>
      <c r="C4196" s="3" t="str">
        <f>IFERROR(__xludf.DUMMYFUNCTION("""COMPUTED_VALUE"""),"CAMPBELLFORD")</f>
        <v>CAMPBELLFORD</v>
      </c>
      <c r="D4196" s="3" t="str">
        <f>IFERROR(__xludf.DUMMYFUNCTION("""COMPUTED_VALUE"""),"K0L 1L0")</f>
        <v>K0L 1L0</v>
      </c>
      <c r="E4196" s="3" t="str">
        <f>IFERROR(__xludf.DUMMYFUNCTION("""COMPUTED_VALUE"""),"john harris ")</f>
        <v>john harris </v>
      </c>
      <c r="F4196" s="3"/>
      <c r="G4196" s="3">
        <f>IFERROR(__xludf.DUMMYFUNCTION("""COMPUTED_VALUE"""),7.056534983E9)</f>
        <v>7056534983</v>
      </c>
      <c r="H4196" s="3"/>
    </row>
    <row r="4197">
      <c r="A4197" s="2">
        <f>IFERROR(__xludf.DUMMYFUNCTION("""COMPUTED_VALUE"""),62681.0)</f>
        <v>62681</v>
      </c>
      <c r="B4197" s="3" t="str">
        <f>IFERROR(__xludf.DUMMYFUNCTION("""COMPUTED_VALUE"""),"353B MINNOW TRAIL  ")</f>
        <v>353B MINNOW TRAIL  </v>
      </c>
      <c r="C4197" s="3" t="str">
        <f>IFERROR(__xludf.DUMMYFUNCTION("""COMPUTED_VALUE"""),"CAMPBELLFORD")</f>
        <v>CAMPBELLFORD</v>
      </c>
      <c r="D4197" s="3" t="str">
        <f>IFERROR(__xludf.DUMMYFUNCTION("""COMPUTED_VALUE"""),"K0L 1L0")</f>
        <v>K0L 1L0</v>
      </c>
      <c r="E4197" s="3" t="str">
        <f>IFERROR(__xludf.DUMMYFUNCTION("""COMPUTED_VALUE"""),"Shane Winstanley")</f>
        <v>Shane Winstanley</v>
      </c>
      <c r="F4197" s="3"/>
      <c r="G4197" s="3">
        <f>IFERROR(__xludf.DUMMYFUNCTION("""COMPUTED_VALUE"""),7.055590379E9)</f>
        <v>7055590379</v>
      </c>
      <c r="H4197" s="3"/>
    </row>
    <row r="4198">
      <c r="A4198" s="2">
        <f>IFERROR(__xludf.DUMMYFUNCTION("""COMPUTED_VALUE"""),62682.0)</f>
        <v>62682</v>
      </c>
      <c r="B4198" s="3" t="str">
        <f>IFERROR(__xludf.DUMMYFUNCTION("""COMPUTED_VALUE"""),"353C MINNOW TRAIL  ")</f>
        <v>353C MINNOW TRAIL  </v>
      </c>
      <c r="C4198" s="3" t="str">
        <f>IFERROR(__xludf.DUMMYFUNCTION("""COMPUTED_VALUE"""),"CAMPBELLFORD")</f>
        <v>CAMPBELLFORD</v>
      </c>
      <c r="D4198" s="3" t="str">
        <f>IFERROR(__xludf.DUMMYFUNCTION("""COMPUTED_VALUE"""),"K0L 1L0")</f>
        <v>K0L 1L0</v>
      </c>
      <c r="E4198" s="3" t="str">
        <f>IFERROR(__xludf.DUMMYFUNCTION("""COMPUTED_VALUE"""),"Daniel Heidt")</f>
        <v>Daniel Heidt</v>
      </c>
      <c r="F4198" s="3" t="str">
        <f>IFERROR(__xludf.DUMMYFUNCTION("""COMPUTED_VALUE"""),"dheidt99@gmail.com")</f>
        <v>dheidt99@gmail.com</v>
      </c>
      <c r="G4198" s="3">
        <f>IFERROR(__xludf.DUMMYFUNCTION("""COMPUTED_VALUE"""),7.057505195E9)</f>
        <v>7057505195</v>
      </c>
      <c r="H4198" s="3"/>
    </row>
    <row r="4199">
      <c r="A4199" s="2">
        <f>IFERROR(__xludf.DUMMYFUNCTION("""COMPUTED_VALUE"""),62683.0)</f>
        <v>62683</v>
      </c>
      <c r="B4199" s="3" t="str">
        <f>IFERROR(__xludf.DUMMYFUNCTION("""COMPUTED_VALUE"""),"353D MINNOW TRAIL  ")</f>
        <v>353D MINNOW TRAIL  </v>
      </c>
      <c r="C4199" s="3" t="str">
        <f>IFERROR(__xludf.DUMMYFUNCTION("""COMPUTED_VALUE"""),"CAMPBELLFORD")</f>
        <v>CAMPBELLFORD</v>
      </c>
      <c r="D4199" s="3" t="str">
        <f>IFERROR(__xludf.DUMMYFUNCTION("""COMPUTED_VALUE"""),"K0L 1L0")</f>
        <v>K0L 1L0</v>
      </c>
      <c r="E4199" s="3" t="str">
        <f>IFERROR(__xludf.DUMMYFUNCTION("""COMPUTED_VALUE"""),"norbert pfeiffer")</f>
        <v>norbert pfeiffer</v>
      </c>
      <c r="F4199" s="3"/>
      <c r="G4199" s="3">
        <f>IFERROR(__xludf.DUMMYFUNCTION("""COMPUTED_VALUE"""),7.057505195E9)</f>
        <v>7057505195</v>
      </c>
      <c r="H4199" s="3"/>
    </row>
    <row r="4200">
      <c r="A4200" s="2">
        <f>IFERROR(__xludf.DUMMYFUNCTION("""COMPUTED_VALUE"""),62684.0)</f>
        <v>62684</v>
      </c>
      <c r="B4200" s="3" t="str">
        <f>IFERROR(__xludf.DUMMYFUNCTION("""COMPUTED_VALUE"""),"353E MINNOW TRAIL  ")</f>
        <v>353E MINNOW TRAIL  </v>
      </c>
      <c r="C4200" s="3" t="str">
        <f>IFERROR(__xludf.DUMMYFUNCTION("""COMPUTED_VALUE"""),"CAMPBELLFORD")</f>
        <v>CAMPBELLFORD</v>
      </c>
      <c r="D4200" s="3" t="str">
        <f>IFERROR(__xludf.DUMMYFUNCTION("""COMPUTED_VALUE"""),"K0L 1L0")</f>
        <v>K0L 1L0</v>
      </c>
      <c r="E4200" s="3" t="str">
        <f>IFERROR(__xludf.DUMMYFUNCTION("""COMPUTED_VALUE"""),"SHANE WINSTANLEY")</f>
        <v>SHANE WINSTANLEY</v>
      </c>
      <c r="F4200" s="3" t="str">
        <f>IFERROR(__xludf.DUMMYFUNCTION("""COMPUTED_VALUE"""),"shanescelica@hotmail.com")</f>
        <v>shanescelica@hotmail.com</v>
      </c>
      <c r="G4200" s="3"/>
      <c r="H4200" s="3"/>
    </row>
    <row r="4201">
      <c r="A4201" s="2">
        <f>IFERROR(__xludf.DUMMYFUNCTION("""COMPUTED_VALUE"""),62476.0)</f>
        <v>62476</v>
      </c>
      <c r="B4201" s="3" t="str">
        <f>IFERROR(__xludf.DUMMYFUNCTION("""COMPUTED_VALUE"""),"11 LODGE RD  ")</f>
        <v>11 LODGE RD  </v>
      </c>
      <c r="C4201" s="3" t="str">
        <f>IFERROR(__xludf.DUMMYFUNCTION("""COMPUTED_VALUE"""),"CAMPBELLFORD")</f>
        <v>CAMPBELLFORD</v>
      </c>
      <c r="D4201" s="3" t="str">
        <f>IFERROR(__xludf.DUMMYFUNCTION("""COMPUTED_VALUE"""),"K0L 1L0")</f>
        <v>K0L 1L0</v>
      </c>
      <c r="E4201" s="3" t="str">
        <f>IFERROR(__xludf.DUMMYFUNCTION("""COMPUTED_VALUE"""),"Diane Singh &amp; Mike Brown ")</f>
        <v>Diane Singh &amp; Mike Brown </v>
      </c>
      <c r="F4201" s="3" t="str">
        <f>IFERROR(__xludf.DUMMYFUNCTION("""COMPUTED_VALUE"""),"dlsingh30@yahoo.com")</f>
        <v>dlsingh30@yahoo.com</v>
      </c>
      <c r="G4201" s="3">
        <f>IFERROR(__xludf.DUMMYFUNCTION("""COMPUTED_VALUE"""),4.168431937E9)</f>
        <v>4168431937</v>
      </c>
      <c r="H4201" s="3"/>
    </row>
    <row r="4202">
      <c r="A4202" s="2">
        <f>IFERROR(__xludf.DUMMYFUNCTION("""COMPUTED_VALUE"""),62477.0)</f>
        <v>62477</v>
      </c>
      <c r="B4202" s="3" t="str">
        <f>IFERROR(__xludf.DUMMYFUNCTION("""COMPUTED_VALUE"""),"53 LODGE RD  ")</f>
        <v>53 LODGE RD  </v>
      </c>
      <c r="C4202" s="3" t="str">
        <f>IFERROR(__xludf.DUMMYFUNCTION("""COMPUTED_VALUE"""),"CAMPBELLFORD")</f>
        <v>CAMPBELLFORD</v>
      </c>
      <c r="D4202" s="3" t="str">
        <f>IFERROR(__xludf.DUMMYFUNCTION("""COMPUTED_VALUE"""),"K0L 1L0")</f>
        <v>K0L 1L0</v>
      </c>
      <c r="E4202" s="3" t="str">
        <f>IFERROR(__xludf.DUMMYFUNCTION("""COMPUTED_VALUE"""),"cathy mechtuk")</f>
        <v>cathy mechtuk</v>
      </c>
      <c r="F4202" s="3" t="str">
        <f>IFERROR(__xludf.DUMMYFUNCTION("""COMPUTED_VALUE"""),"cathie.mechtuk20@gmail.com")</f>
        <v>cathie.mechtuk20@gmail.com</v>
      </c>
      <c r="G4202" s="3">
        <f>IFERROR(__xludf.DUMMYFUNCTION("""COMPUTED_VALUE"""),7.057612453E9)</f>
        <v>7057612453</v>
      </c>
      <c r="H4202" s="3"/>
    </row>
    <row r="4203">
      <c r="A4203" s="2">
        <f>IFERROR(__xludf.DUMMYFUNCTION("""COMPUTED_VALUE"""),62478.0)</f>
        <v>62478</v>
      </c>
      <c r="B4203" s="3" t="str">
        <f>IFERROR(__xludf.DUMMYFUNCTION("""COMPUTED_VALUE"""),"59 LODGE RD  ")</f>
        <v>59 LODGE RD  </v>
      </c>
      <c r="C4203" s="3" t="str">
        <f>IFERROR(__xludf.DUMMYFUNCTION("""COMPUTED_VALUE"""),"CAMPBELLFORD")</f>
        <v>CAMPBELLFORD</v>
      </c>
      <c r="D4203" s="3" t="str">
        <f>IFERROR(__xludf.DUMMYFUNCTION("""COMPUTED_VALUE"""),"K0L 1L0")</f>
        <v>K0L 1L0</v>
      </c>
      <c r="E4203" s="3" t="str">
        <f>IFERROR(__xludf.DUMMYFUNCTION("""COMPUTED_VALUE"""),"d, singh ")</f>
        <v>d, singh </v>
      </c>
      <c r="F4203" s="3"/>
      <c r="G4203" s="3">
        <f>IFERROR(__xludf.DUMMYFUNCTION("""COMPUTED_VALUE"""),4.168431937E9)</f>
        <v>4168431937</v>
      </c>
      <c r="H4203" s="3"/>
    </row>
    <row r="4204">
      <c r="A4204" s="2">
        <f>IFERROR(__xludf.DUMMYFUNCTION("""COMPUTED_VALUE"""),62479.0)</f>
        <v>62479</v>
      </c>
      <c r="B4204" s="3" t="str">
        <f>IFERROR(__xludf.DUMMYFUNCTION("""COMPUTED_VALUE"""),"63 LODGE RD  ")</f>
        <v>63 LODGE RD  </v>
      </c>
      <c r="C4204" s="3" t="str">
        <f>IFERROR(__xludf.DUMMYFUNCTION("""COMPUTED_VALUE"""),"CAMPBELLFORD")</f>
        <v>CAMPBELLFORD</v>
      </c>
      <c r="D4204" s="3" t="str">
        <f>IFERROR(__xludf.DUMMYFUNCTION("""COMPUTED_VALUE"""),"K0L 1L0")</f>
        <v>K0L 1L0</v>
      </c>
      <c r="E4204" s="3" t="str">
        <f>IFERROR(__xludf.DUMMYFUNCTION("""COMPUTED_VALUE"""),"bruce walsh")</f>
        <v>bruce walsh</v>
      </c>
      <c r="F4204" s="3"/>
      <c r="G4204" s="3">
        <f>IFERROR(__xludf.DUMMYFUNCTION("""COMPUTED_VALUE"""),2.893143673E9)</f>
        <v>2893143673</v>
      </c>
      <c r="H4204" s="3"/>
    </row>
    <row r="4205">
      <c r="A4205" s="2">
        <f>IFERROR(__xludf.DUMMYFUNCTION("""COMPUTED_VALUE"""),62480.0)</f>
        <v>62480</v>
      </c>
      <c r="B4205" s="3" t="str">
        <f>IFERROR(__xludf.DUMMYFUNCTION("""COMPUTED_VALUE"""),"67 LODGE RD  ")</f>
        <v>67 LODGE RD  </v>
      </c>
      <c r="C4205" s="3" t="str">
        <f>IFERROR(__xludf.DUMMYFUNCTION("""COMPUTED_VALUE"""),"CAMPBELLFORD")</f>
        <v>CAMPBELLFORD</v>
      </c>
      <c r="D4205" s="3" t="str">
        <f>IFERROR(__xludf.DUMMYFUNCTION("""COMPUTED_VALUE"""),"K0L 1L0")</f>
        <v>K0L 1L0</v>
      </c>
      <c r="E4205" s="3"/>
      <c r="F4205" s="3"/>
      <c r="G4205" s="3"/>
      <c r="H4205" s="3"/>
    </row>
    <row r="4206">
      <c r="A4206" s="2">
        <f>IFERROR(__xludf.DUMMYFUNCTION("""COMPUTED_VALUE"""),62481.0)</f>
        <v>62481</v>
      </c>
      <c r="B4206" s="3" t="str">
        <f>IFERROR(__xludf.DUMMYFUNCTION("""COMPUTED_VALUE"""),"71 LODGE RD  ")</f>
        <v>71 LODGE RD  </v>
      </c>
      <c r="C4206" s="3" t="str">
        <f>IFERROR(__xludf.DUMMYFUNCTION("""COMPUTED_VALUE"""),"CAMPBELLFORD")</f>
        <v>CAMPBELLFORD</v>
      </c>
      <c r="D4206" s="3" t="str">
        <f>IFERROR(__xludf.DUMMYFUNCTION("""COMPUTED_VALUE"""),"K0L 1L0")</f>
        <v>K0L 1L0</v>
      </c>
      <c r="E4206" s="3"/>
      <c r="F4206" s="3"/>
      <c r="G4206" s="3"/>
      <c r="H4206" s="3"/>
    </row>
    <row r="4207">
      <c r="A4207" s="2">
        <f>IFERROR(__xludf.DUMMYFUNCTION("""COMPUTED_VALUE"""),62482.0)</f>
        <v>62482</v>
      </c>
      <c r="B4207" s="3" t="str">
        <f>IFERROR(__xludf.DUMMYFUNCTION("""COMPUTED_VALUE"""),"73 LODGE RD  ")</f>
        <v>73 LODGE RD  </v>
      </c>
      <c r="C4207" s="3" t="str">
        <f>IFERROR(__xludf.DUMMYFUNCTION("""COMPUTED_VALUE"""),"CAMPBELLFORD")</f>
        <v>CAMPBELLFORD</v>
      </c>
      <c r="D4207" s="3" t="str">
        <f>IFERROR(__xludf.DUMMYFUNCTION("""COMPUTED_VALUE"""),"K0L 1L0")</f>
        <v>K0L 1L0</v>
      </c>
      <c r="E4207" s="3" t="str">
        <f>IFERROR(__xludf.DUMMYFUNCTION("""COMPUTED_VALUE"""),"dave sharam")</f>
        <v>dave sharam</v>
      </c>
      <c r="F4207" s="3" t="str">
        <f>IFERROR(__xludf.DUMMYFUNCTION("""COMPUTED_VALUE"""),"dave.sharam@outlook.com")</f>
        <v>dave.sharam@outlook.com</v>
      </c>
      <c r="G4207" s="3">
        <f>IFERROR(__xludf.DUMMYFUNCTION("""COMPUTED_VALUE"""),9.052429493E9)</f>
        <v>9052429493</v>
      </c>
      <c r="H4207" s="3">
        <f>IFERROR(__xludf.DUMMYFUNCTION("""COMPUTED_VALUE"""),9.054418302E9)</f>
        <v>9054418302</v>
      </c>
    </row>
    <row r="4208">
      <c r="A4208" s="2">
        <f>IFERROR(__xludf.DUMMYFUNCTION("""COMPUTED_VALUE"""),62483.0)</f>
        <v>62483</v>
      </c>
      <c r="B4208" s="3" t="str">
        <f>IFERROR(__xludf.DUMMYFUNCTION("""COMPUTED_VALUE"""),"77 LODGE RD  ")</f>
        <v>77 LODGE RD  </v>
      </c>
      <c r="C4208" s="3" t="str">
        <f>IFERROR(__xludf.DUMMYFUNCTION("""COMPUTED_VALUE"""),"CAMPBELLFORD")</f>
        <v>CAMPBELLFORD</v>
      </c>
      <c r="D4208" s="3" t="str">
        <f>IFERROR(__xludf.DUMMYFUNCTION("""COMPUTED_VALUE"""),"K0L 1L0")</f>
        <v>K0L 1L0</v>
      </c>
      <c r="E4208" s="3"/>
      <c r="F4208" s="3"/>
      <c r="G4208" s="3"/>
      <c r="H4208" s="3"/>
    </row>
    <row r="4209">
      <c r="A4209" s="2">
        <f>IFERROR(__xludf.DUMMYFUNCTION("""COMPUTED_VALUE"""),62484.0)</f>
        <v>62484</v>
      </c>
      <c r="B4209" s="3" t="str">
        <f>IFERROR(__xludf.DUMMYFUNCTION("""COMPUTED_VALUE"""),"79 LODGE RD  ")</f>
        <v>79 LODGE RD  </v>
      </c>
      <c r="C4209" s="3" t="str">
        <f>IFERROR(__xludf.DUMMYFUNCTION("""COMPUTED_VALUE"""),"CAMPBELLFORD")</f>
        <v>CAMPBELLFORD</v>
      </c>
      <c r="D4209" s="3" t="str">
        <f>IFERROR(__xludf.DUMMYFUNCTION("""COMPUTED_VALUE"""),"K0L 1L0")</f>
        <v>K0L 1L0</v>
      </c>
      <c r="E4209" s="3" t="str">
        <f>IFERROR(__xludf.DUMMYFUNCTION("""COMPUTED_VALUE"""),"greg and iona duncan")</f>
        <v>greg and iona duncan</v>
      </c>
      <c r="F4209" s="3"/>
      <c r="G4209" s="3">
        <f>IFERROR(__xludf.DUMMYFUNCTION("""COMPUTED_VALUE"""),7.056534657E9)</f>
        <v>7056534657</v>
      </c>
      <c r="H4209" s="3">
        <f>IFERROR(__xludf.DUMMYFUNCTION("""COMPUTED_VALUE"""),6.138494382E9)</f>
        <v>6138494382</v>
      </c>
    </row>
    <row r="4210">
      <c r="A4210" s="2">
        <f>IFERROR(__xludf.DUMMYFUNCTION("""COMPUTED_VALUE"""),62485.0)</f>
        <v>62485</v>
      </c>
      <c r="B4210" s="3" t="str">
        <f>IFERROR(__xludf.DUMMYFUNCTION("""COMPUTED_VALUE"""),"81 LODGE RD  ")</f>
        <v>81 LODGE RD  </v>
      </c>
      <c r="C4210" s="3" t="str">
        <f>IFERROR(__xludf.DUMMYFUNCTION("""COMPUTED_VALUE"""),"CAMPBELLFORD")</f>
        <v>CAMPBELLFORD</v>
      </c>
      <c r="D4210" s="3" t="str">
        <f>IFERROR(__xludf.DUMMYFUNCTION("""COMPUTED_VALUE"""),"K0L 1L0")</f>
        <v>K0L 1L0</v>
      </c>
      <c r="E4210" s="3"/>
      <c r="F4210" s="3"/>
      <c r="G4210" s="3"/>
      <c r="H4210" s="3"/>
    </row>
    <row r="4211">
      <c r="A4211" s="2">
        <f>IFERROR(__xludf.DUMMYFUNCTION("""COMPUTED_VALUE"""),60766.0)</f>
        <v>60766</v>
      </c>
      <c r="B4211" s="3" t="str">
        <f>IFERROR(__xludf.DUMMYFUNCTION("""COMPUTED_VALUE"""),"25 CHURCH ST")</f>
        <v>25 CHURCH ST</v>
      </c>
      <c r="C4211" s="3" t="str">
        <f>IFERROR(__xludf.DUMMYFUNCTION("""COMPUTED_VALUE"""),"WARKWORTH")</f>
        <v>WARKWORTH</v>
      </c>
      <c r="D4211" s="3" t="str">
        <f>IFERROR(__xludf.DUMMYFUNCTION("""COMPUTED_VALUE"""),"K0K 3K0")</f>
        <v>K0K 3K0</v>
      </c>
      <c r="E4211" s="3"/>
      <c r="F4211" s="3"/>
      <c r="G4211" s="3"/>
      <c r="H4211" s="3"/>
    </row>
    <row r="4212">
      <c r="A4212" s="2">
        <f>IFERROR(__xludf.DUMMYFUNCTION("""COMPUTED_VALUE"""),60767.0)</f>
        <v>60767</v>
      </c>
      <c r="B4212" s="3" t="str">
        <f>IFERROR(__xludf.DUMMYFUNCTION("""COMPUTED_VALUE"""),"27 CHURCH ST")</f>
        <v>27 CHURCH ST</v>
      </c>
      <c r="C4212" s="3" t="str">
        <f>IFERROR(__xludf.DUMMYFUNCTION("""COMPUTED_VALUE"""),"WARKWORTH")</f>
        <v>WARKWORTH</v>
      </c>
      <c r="D4212" s="3" t="str">
        <f>IFERROR(__xludf.DUMMYFUNCTION("""COMPUTED_VALUE"""),"K0K 3K0")</f>
        <v>K0K 3K0</v>
      </c>
      <c r="E4212" s="3" t="str">
        <f>IFERROR(__xludf.DUMMYFUNCTION("""COMPUTED_VALUE"""),"carol switzer")</f>
        <v>carol switzer</v>
      </c>
      <c r="F4212" s="3" t="str">
        <f>IFERROR(__xludf.DUMMYFUNCTION("""COMPUTED_VALUE"""),"auntieme3@yahoo.ca")</f>
        <v>auntieme3@yahoo.ca</v>
      </c>
      <c r="G4212" s="3">
        <f>IFERROR(__xludf.DUMMYFUNCTION("""COMPUTED_VALUE"""),7.059242808E9)</f>
        <v>7059242808</v>
      </c>
      <c r="H4212" s="3">
        <f>IFERROR(__xludf.DUMMYFUNCTION("""COMPUTED_VALUE"""),9.053738208E9)</f>
        <v>9053738208</v>
      </c>
    </row>
    <row r="4213">
      <c r="A4213" s="2">
        <f>IFERROR(__xludf.DUMMYFUNCTION("""COMPUTED_VALUE"""),60769.0)</f>
        <v>60769</v>
      </c>
      <c r="B4213" s="3" t="str">
        <f>IFERROR(__xludf.DUMMYFUNCTION("""COMPUTED_VALUE"""),"31 CHURCH ST")</f>
        <v>31 CHURCH ST</v>
      </c>
      <c r="C4213" s="3" t="str">
        <f>IFERROR(__xludf.DUMMYFUNCTION("""COMPUTED_VALUE"""),"WARKWORTH")</f>
        <v>WARKWORTH</v>
      </c>
      <c r="D4213" s="3" t="str">
        <f>IFERROR(__xludf.DUMMYFUNCTION("""COMPUTED_VALUE"""),"K0K 3K0")</f>
        <v>K0K 3K0</v>
      </c>
      <c r="E4213" s="3"/>
      <c r="F4213" s="3"/>
      <c r="G4213" s="3"/>
      <c r="H4213" s="3"/>
    </row>
    <row r="4214">
      <c r="A4214" s="2">
        <f>IFERROR(__xludf.DUMMYFUNCTION("""COMPUTED_VALUE"""),60772.0)</f>
        <v>60772</v>
      </c>
      <c r="B4214" s="3" t="str">
        <f>IFERROR(__xludf.DUMMYFUNCTION("""COMPUTED_VALUE"""),"35 CHURCH ST")</f>
        <v>35 CHURCH ST</v>
      </c>
      <c r="C4214" s="3" t="str">
        <f>IFERROR(__xludf.DUMMYFUNCTION("""COMPUTED_VALUE"""),"WARKWORTH")</f>
        <v>WARKWORTH</v>
      </c>
      <c r="D4214" s="3" t="str">
        <f>IFERROR(__xludf.DUMMYFUNCTION("""COMPUTED_VALUE"""),"K0K 3K0")</f>
        <v>K0K 3K0</v>
      </c>
      <c r="E4214" s="3"/>
      <c r="F4214" s="3"/>
      <c r="G4214" s="3"/>
      <c r="H4214" s="3"/>
    </row>
    <row r="4215">
      <c r="A4215" s="2">
        <f>IFERROR(__xludf.DUMMYFUNCTION("""COMPUTED_VALUE"""),60776.0)</f>
        <v>60776</v>
      </c>
      <c r="B4215" s="3" t="str">
        <f>IFERROR(__xludf.DUMMYFUNCTION("""COMPUTED_VALUE"""),"39 CHURCH ST")</f>
        <v>39 CHURCH ST</v>
      </c>
      <c r="C4215" s="3" t="str">
        <f>IFERROR(__xludf.DUMMYFUNCTION("""COMPUTED_VALUE"""),"WARKWORTH")</f>
        <v>WARKWORTH</v>
      </c>
      <c r="D4215" s="3" t="str">
        <f>IFERROR(__xludf.DUMMYFUNCTION("""COMPUTED_VALUE"""),"K0K 3K0")</f>
        <v>K0K 3K0</v>
      </c>
      <c r="E4215" s="3"/>
      <c r="F4215" s="3"/>
      <c r="G4215" s="3"/>
      <c r="H4215" s="3"/>
    </row>
    <row r="4216">
      <c r="A4216" s="2">
        <f>IFERROR(__xludf.DUMMYFUNCTION("""COMPUTED_VALUE"""),60779.0)</f>
        <v>60779</v>
      </c>
      <c r="B4216" s="3" t="str">
        <f>IFERROR(__xludf.DUMMYFUNCTION("""COMPUTED_VALUE"""),"43 CHURCH ST")</f>
        <v>43 CHURCH ST</v>
      </c>
      <c r="C4216" s="3" t="str">
        <f>IFERROR(__xludf.DUMMYFUNCTION("""COMPUTED_VALUE"""),"WARKWORTH")</f>
        <v>WARKWORTH</v>
      </c>
      <c r="D4216" s="3" t="str">
        <f>IFERROR(__xludf.DUMMYFUNCTION("""COMPUTED_VALUE"""),"K0K 3K0")</f>
        <v>K0K 3K0</v>
      </c>
      <c r="E4216" s="3" t="str">
        <f>IFERROR(__xludf.DUMMYFUNCTION("""COMPUTED_VALUE"""),"Heather Hill")</f>
        <v>Heather Hill</v>
      </c>
      <c r="F4216" s="3" t="str">
        <f>IFERROR(__xludf.DUMMYFUNCTION("""COMPUTED_VALUE"""),"amphruvian@gmail.com")</f>
        <v>amphruvian@gmail.com</v>
      </c>
      <c r="G4216" s="3">
        <f>IFERROR(__xludf.DUMMYFUNCTION("""COMPUTED_VALUE"""),6.474084328E9)</f>
        <v>6474084328</v>
      </c>
      <c r="H4216" s="3"/>
    </row>
    <row r="4217">
      <c r="A4217" s="2">
        <f>IFERROR(__xludf.DUMMYFUNCTION("""COMPUTED_VALUE"""),60780.0)</f>
        <v>60780</v>
      </c>
      <c r="B4217" s="3" t="str">
        <f>IFERROR(__xludf.DUMMYFUNCTION("""COMPUTED_VALUE"""),"44 CHURCH ST")</f>
        <v>44 CHURCH ST</v>
      </c>
      <c r="C4217" s="3" t="str">
        <f>IFERROR(__xludf.DUMMYFUNCTION("""COMPUTED_VALUE"""),"WARKWORTH")</f>
        <v>WARKWORTH</v>
      </c>
      <c r="D4217" s="3" t="str">
        <f>IFERROR(__xludf.DUMMYFUNCTION("""COMPUTED_VALUE"""),"K0K 3K0")</f>
        <v>K0K 3K0</v>
      </c>
      <c r="E4217" s="3"/>
      <c r="F4217" s="3"/>
      <c r="G4217" s="3"/>
      <c r="H4217" s="3"/>
    </row>
    <row r="4218">
      <c r="A4218" s="2">
        <f>IFERROR(__xludf.DUMMYFUNCTION("""COMPUTED_VALUE"""),60782.0)</f>
        <v>60782</v>
      </c>
      <c r="B4218" s="3" t="str">
        <f>IFERROR(__xludf.DUMMYFUNCTION("""COMPUTED_VALUE"""),"47 CHURCH ST")</f>
        <v>47 CHURCH ST</v>
      </c>
      <c r="C4218" s="3" t="str">
        <f>IFERROR(__xludf.DUMMYFUNCTION("""COMPUTED_VALUE"""),"WARKWORTH")</f>
        <v>WARKWORTH</v>
      </c>
      <c r="D4218" s="3" t="str">
        <f>IFERROR(__xludf.DUMMYFUNCTION("""COMPUTED_VALUE"""),"K0K 3K0")</f>
        <v>K0K 3K0</v>
      </c>
      <c r="E4218" s="3" t="str">
        <f>IFERROR(__xludf.DUMMYFUNCTION("""COMPUTED_VALUE"""),"audrij obaryonskyj")</f>
        <v>audrij obaryonskyj</v>
      </c>
      <c r="F4218" s="3" t="str">
        <f>IFERROR(__xludf.DUMMYFUNCTION("""COMPUTED_VALUE"""),"blisswood@live.ca")</f>
        <v>blisswood@live.ca</v>
      </c>
      <c r="G4218" s="3">
        <f>IFERROR(__xludf.DUMMYFUNCTION("""COMPUTED_VALUE"""),7.059574072E9)</f>
        <v>7059574072</v>
      </c>
      <c r="H4218" s="3">
        <f>IFERROR(__xludf.DUMMYFUNCTION("""COMPUTED_VALUE"""),7.059574073E9)</f>
        <v>7059574073</v>
      </c>
    </row>
    <row r="4219">
      <c r="A4219" s="2">
        <f>IFERROR(__xludf.DUMMYFUNCTION("""COMPUTED_VALUE"""),60784.0)</f>
        <v>60784</v>
      </c>
      <c r="B4219" s="3" t="str">
        <f>IFERROR(__xludf.DUMMYFUNCTION("""COMPUTED_VALUE"""),"50 CHURCH ST")</f>
        <v>50 CHURCH ST</v>
      </c>
      <c r="C4219" s="3" t="str">
        <f>IFERROR(__xludf.DUMMYFUNCTION("""COMPUTED_VALUE"""),"WARKWORTH")</f>
        <v>WARKWORTH</v>
      </c>
      <c r="D4219" s="3" t="str">
        <f>IFERROR(__xludf.DUMMYFUNCTION("""COMPUTED_VALUE"""),"K0K 3K0")</f>
        <v>K0K 3K0</v>
      </c>
      <c r="E4219" s="3"/>
      <c r="F4219" s="3"/>
      <c r="G4219" s="3"/>
      <c r="H4219" s="3"/>
    </row>
    <row r="4220">
      <c r="A4220" s="2">
        <f>IFERROR(__xludf.DUMMYFUNCTION("""COMPUTED_VALUE"""),60785.0)</f>
        <v>60785</v>
      </c>
      <c r="B4220" s="3" t="str">
        <f>IFERROR(__xludf.DUMMYFUNCTION("""COMPUTED_VALUE"""),"53 CHURCH ST")</f>
        <v>53 CHURCH ST</v>
      </c>
      <c r="C4220" s="3" t="str">
        <f>IFERROR(__xludf.DUMMYFUNCTION("""COMPUTED_VALUE"""),"WARKWORTH")</f>
        <v>WARKWORTH</v>
      </c>
      <c r="D4220" s="3" t="str">
        <f>IFERROR(__xludf.DUMMYFUNCTION("""COMPUTED_VALUE"""),"K0K 3K0")</f>
        <v>K0K 3K0</v>
      </c>
      <c r="E4220" s="3"/>
      <c r="F4220" s="3"/>
      <c r="G4220" s="3"/>
      <c r="H4220" s="3"/>
    </row>
    <row r="4221">
      <c r="A4221" s="2">
        <f>IFERROR(__xludf.DUMMYFUNCTION("""COMPUTED_VALUE"""),60786.0)</f>
        <v>60786</v>
      </c>
      <c r="B4221" s="3" t="str">
        <f>IFERROR(__xludf.DUMMYFUNCTION("""COMPUTED_VALUE"""),"56 CHURCH ST")</f>
        <v>56 CHURCH ST</v>
      </c>
      <c r="C4221" s="3" t="str">
        <f>IFERROR(__xludf.DUMMYFUNCTION("""COMPUTED_VALUE"""),"WARKWORTH")</f>
        <v>WARKWORTH</v>
      </c>
      <c r="D4221" s="3" t="str">
        <f>IFERROR(__xludf.DUMMYFUNCTION("""COMPUTED_VALUE"""),"K0K 3K0")</f>
        <v>K0K 3K0</v>
      </c>
      <c r="E4221" s="3"/>
      <c r="F4221" s="3"/>
      <c r="G4221" s="3"/>
      <c r="H4221" s="3"/>
    </row>
    <row r="4222">
      <c r="A4222" s="2">
        <f>IFERROR(__xludf.DUMMYFUNCTION("""COMPUTED_VALUE"""),60787.0)</f>
        <v>60787</v>
      </c>
      <c r="B4222" s="3" t="str">
        <f>IFERROR(__xludf.DUMMYFUNCTION("""COMPUTED_VALUE"""),"59 CHURCH ST")</f>
        <v>59 CHURCH ST</v>
      </c>
      <c r="C4222" s="3" t="str">
        <f>IFERROR(__xludf.DUMMYFUNCTION("""COMPUTED_VALUE"""),"WARKWORTH")</f>
        <v>WARKWORTH</v>
      </c>
      <c r="D4222" s="3" t="str">
        <f>IFERROR(__xludf.DUMMYFUNCTION("""COMPUTED_VALUE"""),"K0K 3K0")</f>
        <v>K0K 3K0</v>
      </c>
      <c r="E4222" s="3" t="str">
        <f>IFERROR(__xludf.DUMMYFUNCTION("""COMPUTED_VALUE"""),"garry shill")</f>
        <v>garry shill</v>
      </c>
      <c r="F4222" s="3" t="str">
        <f>IFERROR(__xludf.DUMMYFUNCTION("""COMPUTED_VALUE"""),"gandhshill@aol.com")</f>
        <v>gandhshill@aol.com</v>
      </c>
      <c r="G4222" s="3">
        <f>IFERROR(__xludf.DUMMYFUNCTION("""COMPUTED_VALUE"""),7.059249107E9)</f>
        <v>7059249107</v>
      </c>
      <c r="H4222" s="3"/>
    </row>
    <row r="4223">
      <c r="A4223" s="2">
        <f>IFERROR(__xludf.DUMMYFUNCTION("""COMPUTED_VALUE"""),60788.0)</f>
        <v>60788</v>
      </c>
      <c r="B4223" s="3" t="str">
        <f>IFERROR(__xludf.DUMMYFUNCTION("""COMPUTED_VALUE"""),"65 CHURCH ST")</f>
        <v>65 CHURCH ST</v>
      </c>
      <c r="C4223" s="3" t="str">
        <f>IFERROR(__xludf.DUMMYFUNCTION("""COMPUTED_VALUE"""),"WARKWORTH")</f>
        <v>WARKWORTH</v>
      </c>
      <c r="D4223" s="3" t="str">
        <f>IFERROR(__xludf.DUMMYFUNCTION("""COMPUTED_VALUE"""),"K0K 3K0")</f>
        <v>K0K 3K0</v>
      </c>
      <c r="E4223" s="3"/>
      <c r="F4223" s="3"/>
      <c r="G4223" s="3"/>
      <c r="H4223" s="3"/>
    </row>
    <row r="4224">
      <c r="A4224" s="2">
        <f>IFERROR(__xludf.DUMMYFUNCTION("""COMPUTED_VALUE"""),60789.0)</f>
        <v>60789</v>
      </c>
      <c r="B4224" s="3" t="str">
        <f>IFERROR(__xludf.DUMMYFUNCTION("""COMPUTED_VALUE"""),"70 CHURCH ST")</f>
        <v>70 CHURCH ST</v>
      </c>
      <c r="C4224" s="3" t="str">
        <f>IFERROR(__xludf.DUMMYFUNCTION("""COMPUTED_VALUE"""),"WARKWORTH")</f>
        <v>WARKWORTH</v>
      </c>
      <c r="D4224" s="3" t="str">
        <f>IFERROR(__xludf.DUMMYFUNCTION("""COMPUTED_VALUE"""),"K0K 3K0")</f>
        <v>K0K 3K0</v>
      </c>
      <c r="E4224" s="3"/>
      <c r="F4224" s="3"/>
      <c r="G4224" s="3"/>
      <c r="H4224" s="3"/>
    </row>
    <row r="4225">
      <c r="A4225" s="2">
        <f>IFERROR(__xludf.DUMMYFUNCTION("""COMPUTED_VALUE"""),60793.0)</f>
        <v>60793</v>
      </c>
      <c r="B4225" s="3" t="str">
        <f>IFERROR(__xludf.DUMMYFUNCTION("""COMPUTED_VALUE"""),"84 CHURCH ST")</f>
        <v>84 CHURCH ST</v>
      </c>
      <c r="C4225" s="3" t="str">
        <f>IFERROR(__xludf.DUMMYFUNCTION("""COMPUTED_VALUE"""),"WARKWORTH")</f>
        <v>WARKWORTH</v>
      </c>
      <c r="D4225" s="3" t="str">
        <f>IFERROR(__xludf.DUMMYFUNCTION("""COMPUTED_VALUE"""),"K0K 3K0")</f>
        <v>K0K 3K0</v>
      </c>
      <c r="E4225" s="3" t="str">
        <f>IFERROR(__xludf.DUMMYFUNCTION("""COMPUTED_VALUE"""),"Mathieu Lemoyne")</f>
        <v>Mathieu Lemoyne</v>
      </c>
      <c r="F4225" s="3" t="str">
        <f>IFERROR(__xludf.DUMMYFUNCTION("""COMPUTED_VALUE"""),"mathieu.lemoyne1@hotmail.com")</f>
        <v>mathieu.lemoyne1@hotmail.com</v>
      </c>
      <c r="G4225" s="3"/>
      <c r="H4225" s="3"/>
    </row>
    <row r="4226">
      <c r="A4226" s="2">
        <f>IFERROR(__xludf.DUMMYFUNCTION("""COMPUTED_VALUE"""),60794.0)</f>
        <v>60794</v>
      </c>
      <c r="B4226" s="3" t="str">
        <f>IFERROR(__xludf.DUMMYFUNCTION("""COMPUTED_VALUE"""),"88 CHURCH ST")</f>
        <v>88 CHURCH ST</v>
      </c>
      <c r="C4226" s="3" t="str">
        <f>IFERROR(__xludf.DUMMYFUNCTION("""COMPUTED_VALUE"""),"WARKWORTH")</f>
        <v>WARKWORTH</v>
      </c>
      <c r="D4226" s="3" t="str">
        <f>IFERROR(__xludf.DUMMYFUNCTION("""COMPUTED_VALUE"""),"K0K 3K0")</f>
        <v>K0K 3K0</v>
      </c>
      <c r="E4226" s="3"/>
      <c r="F4226" s="3"/>
      <c r="G4226" s="3"/>
      <c r="H4226" s="3"/>
    </row>
    <row r="4227">
      <c r="A4227" s="2">
        <f>IFERROR(__xludf.DUMMYFUNCTION("""COMPUTED_VALUE"""),60797.0)</f>
        <v>60797</v>
      </c>
      <c r="B4227" s="3" t="str">
        <f>IFERROR(__xludf.DUMMYFUNCTION("""COMPUTED_VALUE"""),"98 CHURCH ST")</f>
        <v>98 CHURCH ST</v>
      </c>
      <c r="C4227" s="3" t="str">
        <f>IFERROR(__xludf.DUMMYFUNCTION("""COMPUTED_VALUE"""),"WARKWORTH")</f>
        <v>WARKWORTH</v>
      </c>
      <c r="D4227" s="3" t="str">
        <f>IFERROR(__xludf.DUMMYFUNCTION("""COMPUTED_VALUE"""),"K0K 3K0")</f>
        <v>K0K 3K0</v>
      </c>
      <c r="E4227" s="3" t="str">
        <f>IFERROR(__xludf.DUMMYFUNCTION("""COMPUTED_VALUE"""),"Adam Stutt")</f>
        <v>Adam Stutt</v>
      </c>
      <c r="F4227" s="3" t="str">
        <f>IFERROR(__xludf.DUMMYFUNCTION("""COMPUTED_VALUE"""),"adamstutt@gmail.com")</f>
        <v>adamstutt@gmail.com</v>
      </c>
      <c r="G4227" s="3">
        <f>IFERROR(__xludf.DUMMYFUNCTION("""COMPUTED_VALUE"""),6.479876838E9)</f>
        <v>6479876838</v>
      </c>
      <c r="H4227" s="3"/>
    </row>
    <row r="4228">
      <c r="A4228" s="2">
        <f>IFERROR(__xludf.DUMMYFUNCTION("""COMPUTED_VALUE"""),60800.0)</f>
        <v>60800</v>
      </c>
      <c r="B4228" s="3" t="str">
        <f>IFERROR(__xludf.DUMMYFUNCTION("""COMPUTED_VALUE"""),"102 CHURCH ST")</f>
        <v>102 CHURCH ST</v>
      </c>
      <c r="C4228" s="3" t="str">
        <f>IFERROR(__xludf.DUMMYFUNCTION("""COMPUTED_VALUE"""),"WARKWORTH")</f>
        <v>WARKWORTH</v>
      </c>
      <c r="D4228" s="3" t="str">
        <f>IFERROR(__xludf.DUMMYFUNCTION("""COMPUTED_VALUE"""),"K0K 3K0")</f>
        <v>K0K 3K0</v>
      </c>
      <c r="E4228" s="3"/>
      <c r="F4228" s="3"/>
      <c r="G4228" s="3"/>
      <c r="H4228" s="3"/>
    </row>
    <row r="4229">
      <c r="A4229" s="2">
        <f>IFERROR(__xludf.DUMMYFUNCTION("""COMPUTED_VALUE"""),60802.0)</f>
        <v>60802</v>
      </c>
      <c r="B4229" s="3" t="str">
        <f>IFERROR(__xludf.DUMMYFUNCTION("""COMPUTED_VALUE"""),"108 CHURCH ST")</f>
        <v>108 CHURCH ST</v>
      </c>
      <c r="C4229" s="3" t="str">
        <f>IFERROR(__xludf.DUMMYFUNCTION("""COMPUTED_VALUE"""),"WARKWORTH")</f>
        <v>WARKWORTH</v>
      </c>
      <c r="D4229" s="3" t="str">
        <f>IFERROR(__xludf.DUMMYFUNCTION("""COMPUTED_VALUE"""),"K0K 3K0")</f>
        <v>K0K 3K0</v>
      </c>
      <c r="E4229" s="3"/>
      <c r="F4229" s="3"/>
      <c r="G4229" s="3"/>
      <c r="H4229" s="3"/>
    </row>
    <row r="4230">
      <c r="A4230" s="2">
        <f>IFERROR(__xludf.DUMMYFUNCTION("""COMPUTED_VALUE"""),60805.0)</f>
        <v>60805</v>
      </c>
      <c r="B4230" s="3" t="str">
        <f>IFERROR(__xludf.DUMMYFUNCTION("""COMPUTED_VALUE"""),"118 CHURCH ST")</f>
        <v>118 CHURCH ST</v>
      </c>
      <c r="C4230" s="3" t="str">
        <f>IFERROR(__xludf.DUMMYFUNCTION("""COMPUTED_VALUE"""),"WARKWORTH")</f>
        <v>WARKWORTH</v>
      </c>
      <c r="D4230" s="3" t="str">
        <f>IFERROR(__xludf.DUMMYFUNCTION("""COMPUTED_VALUE"""),"K0K 3K0")</f>
        <v>K0K 3K0</v>
      </c>
      <c r="E4230" s="3"/>
      <c r="F4230" s="3"/>
      <c r="G4230" s="3"/>
      <c r="H4230" s="3"/>
    </row>
    <row r="4231">
      <c r="A4231" s="2">
        <f>IFERROR(__xludf.DUMMYFUNCTION("""COMPUTED_VALUE"""),60807.0)</f>
        <v>60807</v>
      </c>
      <c r="B4231" s="3" t="str">
        <f>IFERROR(__xludf.DUMMYFUNCTION("""COMPUTED_VALUE"""),"122 CHURCH ST")</f>
        <v>122 CHURCH ST</v>
      </c>
      <c r="C4231" s="3" t="str">
        <f>IFERROR(__xludf.DUMMYFUNCTION("""COMPUTED_VALUE"""),"WARKWORTH")</f>
        <v>WARKWORTH</v>
      </c>
      <c r="D4231" s="3" t="str">
        <f>IFERROR(__xludf.DUMMYFUNCTION("""COMPUTED_VALUE"""),"K0K 3K0")</f>
        <v>K0K 3K0</v>
      </c>
      <c r="E4231" s="3"/>
      <c r="F4231" s="3"/>
      <c r="G4231" s="3"/>
      <c r="H4231" s="3"/>
    </row>
    <row r="4232">
      <c r="A4232" s="2">
        <f>IFERROR(__xludf.DUMMYFUNCTION("""COMPUTED_VALUE"""),60808.0)</f>
        <v>60808</v>
      </c>
      <c r="B4232" s="3" t="str">
        <f>IFERROR(__xludf.DUMMYFUNCTION("""COMPUTED_VALUE"""),"124 CHURCH ST")</f>
        <v>124 CHURCH ST</v>
      </c>
      <c r="C4232" s="3" t="str">
        <f>IFERROR(__xludf.DUMMYFUNCTION("""COMPUTED_VALUE"""),"WARKWORTH")</f>
        <v>WARKWORTH</v>
      </c>
      <c r="D4232" s="3" t="str">
        <f>IFERROR(__xludf.DUMMYFUNCTION("""COMPUTED_VALUE"""),"K0K 3K0")</f>
        <v>K0K 3K0</v>
      </c>
      <c r="E4232" s="3" t="str">
        <f>IFERROR(__xludf.DUMMYFUNCTION("""COMPUTED_VALUE"""),"Kevin Geen")</f>
        <v>Kevin Geen</v>
      </c>
      <c r="F4232" s="3" t="str">
        <f>IFERROR(__xludf.DUMMYFUNCTION("""COMPUTED_VALUE"""),"kgeen@inclusionnorthumberland.ca")</f>
        <v>kgeen@inclusionnorthumberland.ca</v>
      </c>
      <c r="G4232" s="3"/>
      <c r="H4232" s="3"/>
    </row>
    <row r="4233">
      <c r="A4233" s="2">
        <f>IFERROR(__xludf.DUMMYFUNCTION("""COMPUTED_VALUE"""),60810.0)</f>
        <v>60810</v>
      </c>
      <c r="B4233" s="3" t="str">
        <f>IFERROR(__xludf.DUMMYFUNCTION("""COMPUTED_VALUE"""),"126 CHURCH ST")</f>
        <v>126 CHURCH ST</v>
      </c>
      <c r="C4233" s="3" t="str">
        <f>IFERROR(__xludf.DUMMYFUNCTION("""COMPUTED_VALUE"""),"WARKWORTH")</f>
        <v>WARKWORTH</v>
      </c>
      <c r="D4233" s="3" t="str">
        <f>IFERROR(__xludf.DUMMYFUNCTION("""COMPUTED_VALUE"""),"K0K 3K0")</f>
        <v>K0K 3K0</v>
      </c>
      <c r="E4233" s="3" t="str">
        <f>IFERROR(__xludf.DUMMYFUNCTION("""COMPUTED_VALUE"""),"victoria brennan ")</f>
        <v>victoria brennan </v>
      </c>
      <c r="F4233" s="3" t="str">
        <f>IFERROR(__xludf.DUMMYFUNCTION("""COMPUTED_VALUE"""),"victoria.brennan4@gmail.com")</f>
        <v>victoria.brennan4@gmail.com</v>
      </c>
      <c r="G4233" s="3">
        <f>IFERROR(__xludf.DUMMYFUNCTION("""COMPUTED_VALUE"""),7.059773939E9)</f>
        <v>7059773939</v>
      </c>
      <c r="H4233" s="3"/>
    </row>
    <row r="4234">
      <c r="A4234" s="2">
        <f>IFERROR(__xludf.DUMMYFUNCTION("""COMPUTED_VALUE"""),60815.0)</f>
        <v>60815</v>
      </c>
      <c r="B4234" s="3" t="str">
        <f>IFERROR(__xludf.DUMMYFUNCTION("""COMPUTED_VALUE"""),"140 CHURCH ST")</f>
        <v>140 CHURCH ST</v>
      </c>
      <c r="C4234" s="3"/>
      <c r="D4234" s="3"/>
      <c r="E4234" s="3"/>
      <c r="F4234" s="3"/>
      <c r="G4234" s="3"/>
      <c r="H4234" s="3"/>
    </row>
    <row r="4235">
      <c r="A4235" s="2">
        <f>IFERROR(__xludf.DUMMYFUNCTION("""COMPUTED_VALUE"""),63606.0)</f>
        <v>63606</v>
      </c>
      <c r="B4235" s="3" t="str">
        <f>IFERROR(__xludf.DUMMYFUNCTION("""COMPUTED_VALUE"""),"9 WARTMAN RD  ")</f>
        <v>9 WARTMAN RD  </v>
      </c>
      <c r="C4235" s="3" t="str">
        <f>IFERROR(__xludf.DUMMYFUNCTION("""COMPUTED_VALUE"""),"WARKWORTH")</f>
        <v>WARKWORTH</v>
      </c>
      <c r="D4235" s="3" t="str">
        <f>IFERROR(__xludf.DUMMYFUNCTION("""COMPUTED_VALUE"""),"K0K 3K0")</f>
        <v>K0K 3K0</v>
      </c>
      <c r="E4235" s="3"/>
      <c r="F4235" s="3"/>
      <c r="G4235" s="3"/>
      <c r="H4235" s="3"/>
    </row>
    <row r="4236">
      <c r="A4236" s="2">
        <f>IFERROR(__xludf.DUMMYFUNCTION("""COMPUTED_VALUE"""),63607.0)</f>
        <v>63607</v>
      </c>
      <c r="B4236" s="3" t="str">
        <f>IFERROR(__xludf.DUMMYFUNCTION("""COMPUTED_VALUE"""),"46 WARTMAN RD  ")</f>
        <v>46 WARTMAN RD  </v>
      </c>
      <c r="C4236" s="3" t="str">
        <f>IFERROR(__xludf.DUMMYFUNCTION("""COMPUTED_VALUE"""),"WARKWORTH")</f>
        <v>WARKWORTH</v>
      </c>
      <c r="D4236" s="3" t="str">
        <f>IFERROR(__xludf.DUMMYFUNCTION("""COMPUTED_VALUE"""),"K0K 3K0")</f>
        <v>K0K 3K0</v>
      </c>
      <c r="E4236" s="3" t="str">
        <f>IFERROR(__xludf.DUMMYFUNCTION("""COMPUTED_VALUE"""),"HAYDEN KING")</f>
        <v>HAYDEN KING</v>
      </c>
      <c r="F4236" s="3" t="str">
        <f>IFERROR(__xludf.DUMMYFUNCTION("""COMPUTED_VALUE"""),"haydenfking@gmail.com")</f>
        <v>haydenfking@gmail.com</v>
      </c>
      <c r="G4236" s="3"/>
      <c r="H4236" s="3"/>
    </row>
    <row r="4237">
      <c r="A4237" s="2">
        <f>IFERROR(__xludf.DUMMYFUNCTION("""COMPUTED_VALUE"""),63076.0)</f>
        <v>63076</v>
      </c>
      <c r="B4237" s="3" t="str">
        <f>IFERROR(__xludf.DUMMYFUNCTION("""COMPUTED_VALUE"""),"18 POINTS LANE W ")</f>
        <v>18 POINTS LANE W </v>
      </c>
      <c r="C4237" s="3" t="str">
        <f>IFERROR(__xludf.DUMMYFUNCTION("""COMPUTED_VALUE"""),"HASTINGS")</f>
        <v>HASTINGS</v>
      </c>
      <c r="D4237" s="3" t="str">
        <f>IFERROR(__xludf.DUMMYFUNCTION("""COMPUTED_VALUE"""),"K0L 1Y0")</f>
        <v>K0L 1Y0</v>
      </c>
      <c r="E4237" s="3"/>
      <c r="F4237" s="3"/>
      <c r="G4237" s="3"/>
      <c r="H4237" s="3"/>
    </row>
    <row r="4238">
      <c r="A4238" s="2">
        <f>IFERROR(__xludf.DUMMYFUNCTION("""COMPUTED_VALUE"""),63077.0)</f>
        <v>63077</v>
      </c>
      <c r="B4238" s="3" t="str">
        <f>IFERROR(__xludf.DUMMYFUNCTION("""COMPUTED_VALUE"""),"22 POINTS LANE W ")</f>
        <v>22 POINTS LANE W </v>
      </c>
      <c r="C4238" s="3" t="str">
        <f>IFERROR(__xludf.DUMMYFUNCTION("""COMPUTED_VALUE"""),"HASTINGS")</f>
        <v>HASTINGS</v>
      </c>
      <c r="D4238" s="3" t="str">
        <f>IFERROR(__xludf.DUMMYFUNCTION("""COMPUTED_VALUE"""),"K0L 1Y0")</f>
        <v>K0L 1Y0</v>
      </c>
      <c r="E4238" s="3" t="str">
        <f>IFERROR(__xludf.DUMMYFUNCTION("""COMPUTED_VALUE"""),"thomas huether ")</f>
        <v>thomas huether </v>
      </c>
      <c r="F4238" s="3" t="str">
        <f>IFERROR(__xludf.DUMMYFUNCTION("""COMPUTED_VALUE"""),"postaltommy@roger.com")</f>
        <v>postaltommy@roger.com</v>
      </c>
      <c r="G4238" s="3">
        <f>IFERROR(__xludf.DUMMYFUNCTION("""COMPUTED_VALUE"""),4.166660853E9)</f>
        <v>4166660853</v>
      </c>
      <c r="H4238" s="3">
        <f>IFERROR(__xludf.DUMMYFUNCTION("""COMPUTED_VALUE"""),4.163567906E9)</f>
        <v>4163567906</v>
      </c>
    </row>
    <row r="4239">
      <c r="A4239" s="2">
        <f>IFERROR(__xludf.DUMMYFUNCTION("""COMPUTED_VALUE"""),63078.0)</f>
        <v>63078</v>
      </c>
      <c r="B4239" s="3" t="str">
        <f>IFERROR(__xludf.DUMMYFUNCTION("""COMPUTED_VALUE"""),"26 POINTS LANE W ")</f>
        <v>26 POINTS LANE W </v>
      </c>
      <c r="C4239" s="3" t="str">
        <f>IFERROR(__xludf.DUMMYFUNCTION("""COMPUTED_VALUE"""),"HASTINGS")</f>
        <v>HASTINGS</v>
      </c>
      <c r="D4239" s="3" t="str">
        <f>IFERROR(__xludf.DUMMYFUNCTION("""COMPUTED_VALUE"""),"K0L 1Y0")</f>
        <v>K0L 1Y0</v>
      </c>
      <c r="E4239" s="3" t="str">
        <f>IFERROR(__xludf.DUMMYFUNCTION("""COMPUTED_VALUE"""),"ruth dixon &amp; joe grisold")</f>
        <v>ruth dixon &amp; joe grisold</v>
      </c>
      <c r="F4239" s="3" t="str">
        <f>IFERROR(__xludf.DUMMYFUNCTION("""COMPUTED_VALUE"""),"ruth.dixon@sympatico.ca")</f>
        <v>ruth.dixon@sympatico.ca</v>
      </c>
      <c r="G4239" s="3">
        <f>IFERROR(__xludf.DUMMYFUNCTION("""COMPUTED_VALUE"""),9.053767311E9)</f>
        <v>9053767311</v>
      </c>
      <c r="H4239" s="3">
        <f>IFERROR(__xludf.DUMMYFUNCTION("""COMPUTED_VALUE"""),9.053764802E9)</f>
        <v>9053764802</v>
      </c>
    </row>
    <row r="4240">
      <c r="A4240" s="2">
        <f>IFERROR(__xludf.DUMMYFUNCTION("""COMPUTED_VALUE"""),63079.0)</f>
        <v>63079</v>
      </c>
      <c r="B4240" s="3" t="str">
        <f>IFERROR(__xludf.DUMMYFUNCTION("""COMPUTED_VALUE"""),"28 POINTS LANE W ")</f>
        <v>28 POINTS LANE W </v>
      </c>
      <c r="C4240" s="3" t="str">
        <f>IFERROR(__xludf.DUMMYFUNCTION("""COMPUTED_VALUE"""),"HASTINGS")</f>
        <v>HASTINGS</v>
      </c>
      <c r="D4240" s="3" t="str">
        <f>IFERROR(__xludf.DUMMYFUNCTION("""COMPUTED_VALUE"""),"K0L 1Y0")</f>
        <v>K0L 1Y0</v>
      </c>
      <c r="E4240" s="3"/>
      <c r="F4240" s="3"/>
      <c r="G4240" s="3"/>
      <c r="H4240" s="3"/>
    </row>
    <row r="4241">
      <c r="A4241" s="2">
        <f>IFERROR(__xludf.DUMMYFUNCTION("""COMPUTED_VALUE"""),61665.0)</f>
        <v>61665</v>
      </c>
      <c r="B4241" s="3" t="str">
        <f>IFERROR(__xludf.DUMMYFUNCTION("""COMPUTED_VALUE"""),"158 DUNFORDS LANE  UNIT C")</f>
        <v>158 DUNFORDS LANE  UNIT C</v>
      </c>
      <c r="C4241" s="3" t="str">
        <f>IFERROR(__xludf.DUMMYFUNCTION("""COMPUTED_VALUE"""),"HAVELOCK")</f>
        <v>HAVELOCK</v>
      </c>
      <c r="D4241" s="3" t="str">
        <f>IFERROR(__xludf.DUMMYFUNCTION("""COMPUTED_VALUE"""),"K0L 1Z0")</f>
        <v>K0L 1Z0</v>
      </c>
      <c r="E4241" s="3"/>
      <c r="F4241" s="3"/>
      <c r="G4241" s="3"/>
      <c r="H4241" s="3"/>
    </row>
    <row r="4242">
      <c r="A4242" s="2">
        <f>IFERROR(__xludf.DUMMYFUNCTION("""COMPUTED_VALUE"""),61664.0)</f>
        <v>61664</v>
      </c>
      <c r="B4242" s="3" t="str">
        <f>IFERROR(__xludf.DUMMYFUNCTION("""COMPUTED_VALUE"""),"158G DUNFORDS LANE  ")</f>
        <v>158G DUNFORDS LANE  </v>
      </c>
      <c r="C4242" s="3" t="str">
        <f>IFERROR(__xludf.DUMMYFUNCTION("""COMPUTED_VALUE"""),"HAVELOCK")</f>
        <v>HAVELOCK</v>
      </c>
      <c r="D4242" s="3" t="str">
        <f>IFERROR(__xludf.DUMMYFUNCTION("""COMPUTED_VALUE"""),"K0L 1Z0")</f>
        <v>K0L 1Z0</v>
      </c>
      <c r="E4242" s="3"/>
      <c r="F4242" s="3"/>
      <c r="G4242" s="3"/>
      <c r="H4242" s="3"/>
    </row>
    <row r="4243">
      <c r="A4243" s="2">
        <f>IFERROR(__xludf.DUMMYFUNCTION("""COMPUTED_VALUE"""),61675.0)</f>
        <v>61675</v>
      </c>
      <c r="B4243" s="3" t="str">
        <f>IFERROR(__xludf.DUMMYFUNCTION("""COMPUTED_VALUE"""),"158B DUNFORDS LANE  ")</f>
        <v>158B DUNFORDS LANE  </v>
      </c>
      <c r="C4243" s="3" t="str">
        <f>IFERROR(__xludf.DUMMYFUNCTION("""COMPUTED_VALUE"""),"HAVELOCK")</f>
        <v>HAVELOCK</v>
      </c>
      <c r="D4243" s="3" t="str">
        <f>IFERROR(__xludf.DUMMYFUNCTION("""COMPUTED_VALUE"""),"K0L 1Z0")</f>
        <v>K0L 1Z0</v>
      </c>
      <c r="E4243" s="3"/>
      <c r="F4243" s="3"/>
      <c r="G4243" s="3"/>
      <c r="H4243" s="3"/>
    </row>
    <row r="4244">
      <c r="A4244" s="2">
        <f>IFERROR(__xludf.DUMMYFUNCTION("""COMPUTED_VALUE"""),61676.0)</f>
        <v>61676</v>
      </c>
      <c r="B4244" s="3" t="str">
        <f>IFERROR(__xludf.DUMMYFUNCTION("""COMPUTED_VALUE"""),"158D DUNFORDS LANE  ")</f>
        <v>158D DUNFORDS LANE  </v>
      </c>
      <c r="C4244" s="3" t="str">
        <f>IFERROR(__xludf.DUMMYFUNCTION("""COMPUTED_VALUE"""),"HAVELOCK")</f>
        <v>HAVELOCK</v>
      </c>
      <c r="D4244" s="3" t="str">
        <f>IFERROR(__xludf.DUMMYFUNCTION("""COMPUTED_VALUE"""),"K0L 1Z0")</f>
        <v>K0L 1Z0</v>
      </c>
      <c r="E4244" s="3"/>
      <c r="F4244" s="3"/>
      <c r="G4244" s="3"/>
      <c r="H4244" s="3"/>
    </row>
    <row r="4245">
      <c r="A4245" s="2">
        <f>IFERROR(__xludf.DUMMYFUNCTION("""COMPUTED_VALUE"""),62689.0)</f>
        <v>62689</v>
      </c>
      <c r="B4245" s="3" t="str">
        <f>IFERROR(__xludf.DUMMYFUNCTION("""COMPUTED_VALUE"""),"8800E MONUMENT RD")</f>
        <v>8800E MONUMENT RD</v>
      </c>
      <c r="C4245" s="3" t="str">
        <f>IFERROR(__xludf.DUMMYFUNCTION("""COMPUTED_VALUE"""),"Trent River")</f>
        <v>Trent River</v>
      </c>
      <c r="D4245" s="3" t="str">
        <f>IFERROR(__xludf.DUMMYFUNCTION("""COMPUTED_VALUE"""),"K0L1Z0")</f>
        <v>K0L1Z0</v>
      </c>
      <c r="E4245" s="3" t="str">
        <f>IFERROR(__xludf.DUMMYFUNCTION("""COMPUTED_VALUE"""),"Gregory Pyatt")</f>
        <v>Gregory Pyatt</v>
      </c>
      <c r="F4245" s="3" t="str">
        <f>IFERROR(__xludf.DUMMYFUNCTION("""COMPUTED_VALUE"""),"pz742q@hotmail.com")</f>
        <v>pz742q@hotmail.com</v>
      </c>
      <c r="G4245" s="3">
        <f>IFERROR(__xludf.DUMMYFUNCTION("""COMPUTED_VALUE"""),7.0575082E9)</f>
        <v>7057508200</v>
      </c>
      <c r="H4245" s="3">
        <f>IFERROR(__xludf.DUMMYFUNCTION("""COMPUTED_VALUE"""),7.057785485E9)</f>
        <v>7057785485</v>
      </c>
    </row>
    <row r="4246">
      <c r="A4246" s="2">
        <f>IFERROR(__xludf.DUMMYFUNCTION("""COMPUTED_VALUE"""),62690.0)</f>
        <v>62690</v>
      </c>
      <c r="B4246" s="3" t="str">
        <f>IFERROR(__xludf.DUMMYFUNCTION("""COMPUTED_VALUE"""),"8800F MONUMENT RD")</f>
        <v>8800F MONUMENT RD</v>
      </c>
      <c r="C4246" s="3"/>
      <c r="D4246" s="3"/>
      <c r="E4246" s="3"/>
      <c r="F4246" s="3"/>
      <c r="G4246" s="3"/>
      <c r="H4246" s="3"/>
    </row>
    <row r="4247">
      <c r="A4247" s="2">
        <f>IFERROR(__xludf.DUMMYFUNCTION("""COMPUTED_VALUE"""),62691.0)</f>
        <v>62691</v>
      </c>
      <c r="B4247" s="3" t="str">
        <f>IFERROR(__xludf.DUMMYFUNCTION("""COMPUTED_VALUE"""),"8800G MONUMENT RD")</f>
        <v>8800G MONUMENT RD</v>
      </c>
      <c r="C4247" s="3"/>
      <c r="D4247" s="3"/>
      <c r="E4247" s="3"/>
      <c r="F4247" s="3"/>
      <c r="G4247" s="3"/>
      <c r="H4247" s="3"/>
    </row>
    <row r="4248">
      <c r="A4248" s="2">
        <f>IFERROR(__xludf.DUMMYFUNCTION("""COMPUTED_VALUE"""),62692.0)</f>
        <v>62692</v>
      </c>
      <c r="B4248" s="3" t="str">
        <f>IFERROR(__xludf.DUMMYFUNCTION("""COMPUTED_VALUE"""),"8800H MONUMENT RD")</f>
        <v>8800H MONUMENT RD</v>
      </c>
      <c r="C4248" s="3"/>
      <c r="D4248" s="3"/>
      <c r="E4248" s="3"/>
      <c r="F4248" s="3"/>
      <c r="G4248" s="3"/>
      <c r="H4248" s="3"/>
    </row>
    <row r="4249">
      <c r="A4249" s="2">
        <f>IFERROR(__xludf.DUMMYFUNCTION("""COMPUTED_VALUE"""),62693.0)</f>
        <v>62693</v>
      </c>
      <c r="B4249" s="3" t="str">
        <f>IFERROR(__xludf.DUMMYFUNCTION("""COMPUTED_VALUE"""),"8800I MONMENT RD")</f>
        <v>8800I MONMENT RD</v>
      </c>
      <c r="C4249" s="3"/>
      <c r="D4249" s="3"/>
      <c r="E4249" s="3"/>
      <c r="F4249" s="3"/>
      <c r="G4249" s="3"/>
      <c r="H4249" s="3"/>
    </row>
    <row r="4250">
      <c r="A4250" s="2">
        <f>IFERROR(__xludf.DUMMYFUNCTION("""COMPUTED_VALUE"""),61301.0)</f>
        <v>61301</v>
      </c>
      <c r="B4250" s="3" t="str">
        <f>IFERROR(__xludf.DUMMYFUNCTION("""COMPUTED_VALUE"""),"5082 COUNTY 30 RD  ")</f>
        <v>5082 COUNTY 30 RD  </v>
      </c>
      <c r="C4250" s="3" t="str">
        <f>IFERROR(__xludf.DUMMYFUNCTION("""COMPUTED_VALUE"""),"CAMPBELLFORD")</f>
        <v>CAMPBELLFORD</v>
      </c>
      <c r="D4250" s="3" t="str">
        <f>IFERROR(__xludf.DUMMYFUNCTION("""COMPUTED_VALUE"""),"K0L 1L0")</f>
        <v>K0L 1L0</v>
      </c>
      <c r="E4250" s="3"/>
      <c r="F4250" s="3"/>
      <c r="G4250" s="3"/>
      <c r="H4250" s="3"/>
    </row>
    <row r="4251">
      <c r="A4251" s="2">
        <f>IFERROR(__xludf.DUMMYFUNCTION("""COMPUTED_VALUE"""),62646.0)</f>
        <v>62646</v>
      </c>
      <c r="B4251" s="3" t="str">
        <f>IFERROR(__xludf.DUMMYFUNCTION("""COMPUTED_VALUE"""),"210 MEYERS ISLAND DR  ")</f>
        <v>210 MEYERS ISLAND DR  </v>
      </c>
      <c r="C4251" s="3" t="str">
        <f>IFERROR(__xludf.DUMMYFUNCTION("""COMPUTED_VALUE"""),"CAMPBELLFORD")</f>
        <v>CAMPBELLFORD</v>
      </c>
      <c r="D4251" s="3" t="str">
        <f>IFERROR(__xludf.DUMMYFUNCTION("""COMPUTED_VALUE"""),"K0L 1L0")</f>
        <v>K0L 1L0</v>
      </c>
      <c r="E4251" s="3"/>
      <c r="F4251" s="3"/>
      <c r="G4251" s="3"/>
      <c r="H4251" s="3"/>
    </row>
    <row r="4252">
      <c r="A4252" s="2">
        <f>IFERROR(__xludf.DUMMYFUNCTION("""COMPUTED_VALUE"""),61302.0)</f>
        <v>61302</v>
      </c>
      <c r="B4252" s="3" t="str">
        <f>IFERROR(__xludf.DUMMYFUNCTION("""COMPUTED_VALUE"""),"5291 COUNTY 30 RD  ")</f>
        <v>5291 COUNTY 30 RD  </v>
      </c>
      <c r="C4252" s="3" t="str">
        <f>IFERROR(__xludf.DUMMYFUNCTION("""COMPUTED_VALUE"""),"CAMPBELLFORD")</f>
        <v>CAMPBELLFORD</v>
      </c>
      <c r="D4252" s="3" t="str">
        <f>IFERROR(__xludf.DUMMYFUNCTION("""COMPUTED_VALUE"""),"K0L 1L0")</f>
        <v>K0L 1L0</v>
      </c>
      <c r="E4252" s="3" t="str">
        <f>IFERROR(__xludf.DUMMYFUNCTION("""COMPUTED_VALUE"""),"Andrew McFadyen")</f>
        <v>Andrew McFadyen</v>
      </c>
      <c r="F4252" s="3" t="str">
        <f>IFERROR(__xludf.DUMMYFUNCTION("""COMPUTED_VALUE"""),"mcfadyena@me.com")</f>
        <v>mcfadyena@me.com</v>
      </c>
      <c r="G4252" s="3">
        <f>IFERROR(__xludf.DUMMYFUNCTION("""COMPUTED_VALUE"""),6.133289136E9)</f>
        <v>6133289136</v>
      </c>
      <c r="H4252" s="3"/>
    </row>
    <row r="4253">
      <c r="A4253" s="2">
        <f>IFERROR(__xludf.DUMMYFUNCTION("""COMPUTED_VALUE"""),61303.0)</f>
        <v>61303</v>
      </c>
      <c r="B4253" s="3" t="str">
        <f>IFERROR(__xludf.DUMMYFUNCTION("""COMPUTED_VALUE"""),"5295 COUNTY 30 RD  ")</f>
        <v>5295 COUNTY 30 RD  </v>
      </c>
      <c r="C4253" s="3" t="str">
        <f>IFERROR(__xludf.DUMMYFUNCTION("""COMPUTED_VALUE"""),"CAMPBELLFORD")</f>
        <v>CAMPBELLFORD</v>
      </c>
      <c r="D4253" s="3" t="str">
        <f>IFERROR(__xludf.DUMMYFUNCTION("""COMPUTED_VALUE"""),"K0L 1L0")</f>
        <v>K0L 1L0</v>
      </c>
      <c r="E4253" s="3" t="str">
        <f>IFERROR(__xludf.DUMMYFUNCTION("""COMPUTED_VALUE"""),"m, loppe ")</f>
        <v>m, loppe </v>
      </c>
      <c r="F4253" s="3"/>
      <c r="G4253" s="3">
        <f>IFERROR(__xludf.DUMMYFUNCTION("""COMPUTED_VALUE"""),4.165765909E9)</f>
        <v>4165765909</v>
      </c>
      <c r="H4253" s="3"/>
    </row>
    <row r="4254">
      <c r="A4254" s="2">
        <f>IFERROR(__xludf.DUMMYFUNCTION("""COMPUTED_VALUE"""),61304.0)</f>
        <v>61304</v>
      </c>
      <c r="B4254" s="3" t="str">
        <f>IFERROR(__xludf.DUMMYFUNCTION("""COMPUTED_VALUE"""),"5358 COUNTY 30 RD  ")</f>
        <v>5358 COUNTY 30 RD  </v>
      </c>
      <c r="C4254" s="3" t="str">
        <f>IFERROR(__xludf.DUMMYFUNCTION("""COMPUTED_VALUE"""),"CAMPBELLFORD")</f>
        <v>CAMPBELLFORD</v>
      </c>
      <c r="D4254" s="3" t="str">
        <f>IFERROR(__xludf.DUMMYFUNCTION("""COMPUTED_VALUE"""),"K0L 1L0")</f>
        <v>K0L 1L0</v>
      </c>
      <c r="E4254" s="3" t="str">
        <f>IFERROR(__xludf.DUMMYFUNCTION("""COMPUTED_VALUE"""),"Tracy Cooper")</f>
        <v>Tracy Cooper</v>
      </c>
      <c r="F4254" s="3" t="str">
        <f>IFERROR(__xludf.DUMMYFUNCTION("""COMPUTED_VALUE"""),"tracyecooper12@gmail.com")</f>
        <v>tracyecooper12@gmail.com</v>
      </c>
      <c r="G4254" s="3">
        <f>IFERROR(__xludf.DUMMYFUNCTION("""COMPUTED_VALUE"""),6.134030052E9)</f>
        <v>6134030052</v>
      </c>
      <c r="H4254" s="3"/>
    </row>
    <row r="4255">
      <c r="A4255" s="2">
        <f>IFERROR(__xludf.DUMMYFUNCTION("""COMPUTED_VALUE"""),61305.0)</f>
        <v>61305</v>
      </c>
      <c r="B4255" s="3" t="str">
        <f>IFERROR(__xludf.DUMMYFUNCTION("""COMPUTED_VALUE"""),"5403 COUNTY 30 RD  ")</f>
        <v>5403 COUNTY 30 RD  </v>
      </c>
      <c r="C4255" s="3" t="str">
        <f>IFERROR(__xludf.DUMMYFUNCTION("""COMPUTED_VALUE"""),"CAMPBELLFORD")</f>
        <v>CAMPBELLFORD</v>
      </c>
      <c r="D4255" s="3" t="str">
        <f>IFERROR(__xludf.DUMMYFUNCTION("""COMPUTED_VALUE"""),"K0L 1L0")</f>
        <v>K0L 1L0</v>
      </c>
      <c r="E4255" s="3" t="str">
        <f>IFERROR(__xludf.DUMMYFUNCTION("""COMPUTED_VALUE"""),"Thomas Cook")</f>
        <v>Thomas Cook</v>
      </c>
      <c r="F4255" s="3" t="str">
        <f>IFERROR(__xludf.DUMMYFUNCTION("""COMPUTED_VALUE"""),"toma.j.cook@hotmail.com")</f>
        <v>toma.j.cook@hotmail.com</v>
      </c>
      <c r="G4255" s="3">
        <f>IFERROR(__xludf.DUMMYFUNCTION("""COMPUTED_VALUE"""),5.192151161E9)</f>
        <v>5192151161</v>
      </c>
      <c r="H4255" s="3"/>
    </row>
    <row r="4256">
      <c r="A4256" s="2">
        <f>IFERROR(__xludf.DUMMYFUNCTION("""COMPUTED_VALUE"""),63774.0)</f>
        <v>63774</v>
      </c>
      <c r="B4256" s="3" t="str">
        <f>IFERROR(__xludf.DUMMYFUNCTION("""COMPUTED_VALUE"""),"5425 COUNTY RD 30")</f>
        <v>5425 COUNTY RD 30</v>
      </c>
      <c r="C4256" s="3"/>
      <c r="D4256" s="3"/>
      <c r="E4256" s="3"/>
      <c r="F4256" s="3"/>
      <c r="G4256" s="3"/>
      <c r="H4256" s="3"/>
    </row>
    <row r="4257">
      <c r="A4257" s="2">
        <f>IFERROR(__xludf.DUMMYFUNCTION("""COMPUTED_VALUE"""),61306.0)</f>
        <v>61306</v>
      </c>
      <c r="B4257" s="3" t="str">
        <f>IFERROR(__xludf.DUMMYFUNCTION("""COMPUTED_VALUE"""),"5433 COUNTY 30 RD  ")</f>
        <v>5433 COUNTY 30 RD  </v>
      </c>
      <c r="C4257" s="3" t="str">
        <f>IFERROR(__xludf.DUMMYFUNCTION("""COMPUTED_VALUE"""),"CAMPBELLFORD")</f>
        <v>CAMPBELLFORD</v>
      </c>
      <c r="D4257" s="3" t="str">
        <f>IFERROR(__xludf.DUMMYFUNCTION("""COMPUTED_VALUE"""),"K0L 1L0")</f>
        <v>K0L 1L0</v>
      </c>
      <c r="E4257" s="3" t="str">
        <f>IFERROR(__xludf.DUMMYFUNCTION("""COMPUTED_VALUE"""),"john lattanville")</f>
        <v>john lattanville</v>
      </c>
      <c r="F4257" s="3" t="str">
        <f>IFERROR(__xludf.DUMMYFUNCTION("""COMPUTED_VALUE"""),"johnlattanville80@gmail.com")</f>
        <v>johnlattanville80@gmail.com</v>
      </c>
      <c r="G4257" s="3">
        <f>IFERROR(__xludf.DUMMYFUNCTION("""COMPUTED_VALUE"""),7.052429707E9)</f>
        <v>7052429707</v>
      </c>
      <c r="H4257" s="3"/>
    </row>
    <row r="4258">
      <c r="A4258" s="2">
        <f>IFERROR(__xludf.DUMMYFUNCTION("""COMPUTED_VALUE"""),61307.0)</f>
        <v>61307</v>
      </c>
      <c r="B4258" s="3" t="str">
        <f>IFERROR(__xludf.DUMMYFUNCTION("""COMPUTED_VALUE"""),"5437 COUNTY 30 RD  ")</f>
        <v>5437 COUNTY 30 RD  </v>
      </c>
      <c r="C4258" s="3" t="str">
        <f>IFERROR(__xludf.DUMMYFUNCTION("""COMPUTED_VALUE"""),"CAMPBELLFORD")</f>
        <v>CAMPBELLFORD</v>
      </c>
      <c r="D4258" s="3" t="str">
        <f>IFERROR(__xludf.DUMMYFUNCTION("""COMPUTED_VALUE"""),"K0L 1L0")</f>
        <v>K0L 1L0</v>
      </c>
      <c r="E4258" s="3" t="str">
        <f>IFERROR(__xludf.DUMMYFUNCTION("""COMPUTED_VALUE"""),"jane hall ")</f>
        <v>jane hall </v>
      </c>
      <c r="F4258" s="3"/>
      <c r="G4258" s="3">
        <f>IFERROR(__xludf.DUMMYFUNCTION("""COMPUTED_VALUE"""),7.056321826E9)</f>
        <v>7056321826</v>
      </c>
      <c r="H4258" s="3"/>
    </row>
    <row r="4259">
      <c r="A4259" s="2">
        <f>IFERROR(__xludf.DUMMYFUNCTION("""COMPUTED_VALUE"""),61308.0)</f>
        <v>61308</v>
      </c>
      <c r="B4259" s="3" t="str">
        <f>IFERROR(__xludf.DUMMYFUNCTION("""COMPUTED_VALUE"""),"5439 COUNTY 30 RD  ")</f>
        <v>5439 COUNTY 30 RD  </v>
      </c>
      <c r="C4259" s="3" t="str">
        <f>IFERROR(__xludf.DUMMYFUNCTION("""COMPUTED_VALUE"""),"CAMPBELLFORD")</f>
        <v>CAMPBELLFORD</v>
      </c>
      <c r="D4259" s="3" t="str">
        <f>IFERROR(__xludf.DUMMYFUNCTION("""COMPUTED_VALUE"""),"K0L 1L0")</f>
        <v>K0L 1L0</v>
      </c>
      <c r="E4259" s="3"/>
      <c r="F4259" s="3"/>
      <c r="G4259" s="3"/>
      <c r="H4259" s="3"/>
    </row>
    <row r="4260">
      <c r="A4260" s="2">
        <f>IFERROR(__xludf.DUMMYFUNCTION("""COMPUTED_VALUE"""),61309.0)</f>
        <v>61309</v>
      </c>
      <c r="B4260" s="3" t="str">
        <f>IFERROR(__xludf.DUMMYFUNCTION("""COMPUTED_VALUE"""),"5445 COUNTY 30 RD  ")</f>
        <v>5445 COUNTY 30 RD  </v>
      </c>
      <c r="C4260" s="3" t="str">
        <f>IFERROR(__xludf.DUMMYFUNCTION("""COMPUTED_VALUE"""),"CAMPBELLFORD")</f>
        <v>CAMPBELLFORD</v>
      </c>
      <c r="D4260" s="3" t="str">
        <f>IFERROR(__xludf.DUMMYFUNCTION("""COMPUTED_VALUE"""),"K0L 1L0")</f>
        <v>K0L 1L0</v>
      </c>
      <c r="E4260" s="3"/>
      <c r="F4260" s="3"/>
      <c r="G4260" s="3"/>
      <c r="H4260" s="3"/>
    </row>
    <row r="4261">
      <c r="A4261" s="2">
        <f>IFERROR(__xludf.DUMMYFUNCTION("""COMPUTED_VALUE"""),61310.0)</f>
        <v>61310</v>
      </c>
      <c r="B4261" s="3" t="str">
        <f>IFERROR(__xludf.DUMMYFUNCTION("""COMPUTED_VALUE"""),"5463 COUNTY 30 RD  ")</f>
        <v>5463 COUNTY 30 RD  </v>
      </c>
      <c r="C4261" s="3" t="str">
        <f>IFERROR(__xludf.DUMMYFUNCTION("""COMPUTED_VALUE"""),"CAMPBELLFORD")</f>
        <v>CAMPBELLFORD</v>
      </c>
      <c r="D4261" s="3" t="str">
        <f>IFERROR(__xludf.DUMMYFUNCTION("""COMPUTED_VALUE"""),"K0L 1L0")</f>
        <v>K0L 1L0</v>
      </c>
      <c r="E4261" s="3" t="str">
        <f>IFERROR(__xludf.DUMMYFUNCTION("""COMPUTED_VALUE"""),"annette elliott")</f>
        <v>annette elliott</v>
      </c>
      <c r="F4261" s="3" t="str">
        <f>IFERROR(__xludf.DUMMYFUNCTION("""COMPUTED_VALUE"""),"latenightlady@hotmail.com")</f>
        <v>latenightlady@hotmail.com</v>
      </c>
      <c r="G4261" s="3">
        <f>IFERROR(__xludf.DUMMYFUNCTION("""COMPUTED_VALUE"""),9.05207773E9)</f>
        <v>9052077730</v>
      </c>
      <c r="H4261" s="3"/>
    </row>
    <row r="4262">
      <c r="A4262" s="2">
        <f>IFERROR(__xludf.DUMMYFUNCTION("""COMPUTED_VALUE"""),61311.0)</f>
        <v>61311</v>
      </c>
      <c r="B4262" s="3" t="str">
        <f>IFERROR(__xludf.DUMMYFUNCTION("""COMPUTED_VALUE"""),"5479 COUNTY 30 RD  ")</f>
        <v>5479 COUNTY 30 RD  </v>
      </c>
      <c r="C4262" s="3" t="str">
        <f>IFERROR(__xludf.DUMMYFUNCTION("""COMPUTED_VALUE"""),"CAMPBELLFORD")</f>
        <v>CAMPBELLFORD</v>
      </c>
      <c r="D4262" s="3" t="str">
        <f>IFERROR(__xludf.DUMMYFUNCTION("""COMPUTED_VALUE"""),"K0L 1L0")</f>
        <v>K0L 1L0</v>
      </c>
      <c r="E4262" s="3" t="str">
        <f>IFERROR(__xludf.DUMMYFUNCTION("""COMPUTED_VALUE"""),"sherry robertson")</f>
        <v>sherry robertson</v>
      </c>
      <c r="F4262" s="3" t="str">
        <f>IFERROR(__xludf.DUMMYFUNCTION("""COMPUTED_VALUE"""),"sherryfed.04@gmail.dom")</f>
        <v>sherryfed.04@gmail.dom</v>
      </c>
      <c r="G4262" s="3">
        <f>IFERROR(__xludf.DUMMYFUNCTION("""COMPUTED_VALUE"""),9.058664034E9)</f>
        <v>9058664034</v>
      </c>
      <c r="H4262" s="3"/>
    </row>
    <row r="4263">
      <c r="A4263" s="2">
        <f>IFERROR(__xludf.DUMMYFUNCTION("""COMPUTED_VALUE"""),61312.0)</f>
        <v>61312</v>
      </c>
      <c r="B4263" s="3" t="str">
        <f>IFERROR(__xludf.DUMMYFUNCTION("""COMPUTED_VALUE"""),"5485 COUNTY 30 RD  ")</f>
        <v>5485 COUNTY 30 RD  </v>
      </c>
      <c r="C4263" s="3" t="str">
        <f>IFERROR(__xludf.DUMMYFUNCTION("""COMPUTED_VALUE"""),"CAMPBELLFORD")</f>
        <v>CAMPBELLFORD</v>
      </c>
      <c r="D4263" s="3" t="str">
        <f>IFERROR(__xludf.DUMMYFUNCTION("""COMPUTED_VALUE"""),"K0L 1L0")</f>
        <v>K0L 1L0</v>
      </c>
      <c r="E4263" s="3" t="str">
        <f>IFERROR(__xludf.DUMMYFUNCTION("""COMPUTED_VALUE"""),"George Kokolakis")</f>
        <v>George Kokolakis</v>
      </c>
      <c r="F4263" s="3" t="str">
        <f>IFERROR(__xludf.DUMMYFUNCTION("""COMPUTED_VALUE"""),"gkokolakis@gmail.com")</f>
        <v>gkokolakis@gmail.com</v>
      </c>
      <c r="G4263" s="3"/>
      <c r="H4263" s="3"/>
    </row>
    <row r="4264">
      <c r="A4264" s="2">
        <f>IFERROR(__xludf.DUMMYFUNCTION("""COMPUTED_VALUE"""),61313.0)</f>
        <v>61313</v>
      </c>
      <c r="B4264" s="3" t="str">
        <f>IFERROR(__xludf.DUMMYFUNCTION("""COMPUTED_VALUE"""),"5515 COUNTY 30 RD  ")</f>
        <v>5515 COUNTY 30 RD  </v>
      </c>
      <c r="C4264" s="3" t="str">
        <f>IFERROR(__xludf.DUMMYFUNCTION("""COMPUTED_VALUE"""),"CAMPBELLFORD")</f>
        <v>CAMPBELLFORD</v>
      </c>
      <c r="D4264" s="3" t="str">
        <f>IFERROR(__xludf.DUMMYFUNCTION("""COMPUTED_VALUE"""),"K0L 1L0")</f>
        <v>K0L 1L0</v>
      </c>
      <c r="E4264" s="3"/>
      <c r="F4264" s="3"/>
      <c r="G4264" s="3"/>
      <c r="H4264" s="3"/>
    </row>
    <row r="4265">
      <c r="A4265" s="2">
        <f>IFERROR(__xludf.DUMMYFUNCTION("""COMPUTED_VALUE"""),61314.0)</f>
        <v>61314</v>
      </c>
      <c r="B4265" s="3" t="str">
        <f>IFERROR(__xludf.DUMMYFUNCTION("""COMPUTED_VALUE"""),"5519 COUNTY 30 RD  ")</f>
        <v>5519 COUNTY 30 RD  </v>
      </c>
      <c r="C4265" s="3" t="str">
        <f>IFERROR(__xludf.DUMMYFUNCTION("""COMPUTED_VALUE"""),"CAMPBELLFORD")</f>
        <v>CAMPBELLFORD</v>
      </c>
      <c r="D4265" s="3" t="str">
        <f>IFERROR(__xludf.DUMMYFUNCTION("""COMPUTED_VALUE"""),"K0L 1L0")</f>
        <v>K0L 1L0</v>
      </c>
      <c r="E4265" s="3" t="str">
        <f>IFERROR(__xludf.DUMMYFUNCTION("""COMPUTED_VALUE"""),"rhonda cunning ")</f>
        <v>rhonda cunning </v>
      </c>
      <c r="F4265" s="3" t="str">
        <f>IFERROR(__xludf.DUMMYFUNCTION("""COMPUTED_VALUE"""),"rhondacunning@hotmail.com")</f>
        <v>rhondacunning@hotmail.com</v>
      </c>
      <c r="G4265" s="3">
        <f>IFERROR(__xludf.DUMMYFUNCTION("""COMPUTED_VALUE"""),7.053951681E9)</f>
        <v>7053951681</v>
      </c>
      <c r="H4265" s="3"/>
    </row>
    <row r="4266">
      <c r="A4266" s="2">
        <f>IFERROR(__xludf.DUMMYFUNCTION("""COMPUTED_VALUE"""),61315.0)</f>
        <v>61315</v>
      </c>
      <c r="B4266" s="3" t="str">
        <f>IFERROR(__xludf.DUMMYFUNCTION("""COMPUTED_VALUE"""),"5529 COUNTY 30 RD  ")</f>
        <v>5529 COUNTY 30 RD  </v>
      </c>
      <c r="C4266" s="3" t="str">
        <f>IFERROR(__xludf.DUMMYFUNCTION("""COMPUTED_VALUE"""),"CAMPBELLFORD")</f>
        <v>CAMPBELLFORD</v>
      </c>
      <c r="D4266" s="3" t="str">
        <f>IFERROR(__xludf.DUMMYFUNCTION("""COMPUTED_VALUE"""),"K0L 1L0")</f>
        <v>K0L 1L0</v>
      </c>
      <c r="E4266" s="3" t="str">
        <f>IFERROR(__xludf.DUMMYFUNCTION("""COMPUTED_VALUE"""),"David Wright ")</f>
        <v>David Wright </v>
      </c>
      <c r="F4266" s="3" t="str">
        <f>IFERROR(__xludf.DUMMYFUNCTION("""COMPUTED_VALUE"""),"dalor300@yahoo.ca")</f>
        <v>dalor300@yahoo.ca</v>
      </c>
      <c r="G4266" s="3">
        <f>IFERROR(__xludf.DUMMYFUNCTION("""COMPUTED_VALUE"""),4.165621114E9)</f>
        <v>4165621114</v>
      </c>
      <c r="H4266" s="3"/>
    </row>
    <row r="4267">
      <c r="A4267" s="2">
        <f>IFERROR(__xludf.DUMMYFUNCTION("""COMPUTED_VALUE"""),61316.0)</f>
        <v>61316</v>
      </c>
      <c r="B4267" s="3" t="str">
        <f>IFERROR(__xludf.DUMMYFUNCTION("""COMPUTED_VALUE"""),"5547 COUNTY 30 RD  ")</f>
        <v>5547 COUNTY 30 RD  </v>
      </c>
      <c r="C4267" s="3" t="str">
        <f>IFERROR(__xludf.DUMMYFUNCTION("""COMPUTED_VALUE"""),"CAMPBELLFORD")</f>
        <v>CAMPBELLFORD</v>
      </c>
      <c r="D4267" s="3" t="str">
        <f>IFERROR(__xludf.DUMMYFUNCTION("""COMPUTED_VALUE"""),"K0L 1L0")</f>
        <v>K0L 1L0</v>
      </c>
      <c r="E4267" s="3" t="str">
        <f>IFERROR(__xludf.DUMMYFUNCTION("""COMPUTED_VALUE"""),"Tammy Desjardins")</f>
        <v>Tammy Desjardins</v>
      </c>
      <c r="F4267" s="3" t="str">
        <f>IFERROR(__xludf.DUMMYFUNCTION("""COMPUTED_VALUE"""),"tldesjardins3@gmail.com")</f>
        <v>tldesjardins3@gmail.com</v>
      </c>
      <c r="G4267" s="3">
        <f>IFERROR(__xludf.DUMMYFUNCTION("""COMPUTED_VALUE"""),7.059573921E9)</f>
        <v>7059573921</v>
      </c>
      <c r="H4267" s="3"/>
    </row>
    <row r="4268">
      <c r="A4268" s="2">
        <f>IFERROR(__xludf.DUMMYFUNCTION("""COMPUTED_VALUE"""),61317.0)</f>
        <v>61317</v>
      </c>
      <c r="B4268" s="3" t="str">
        <f>IFERROR(__xludf.DUMMYFUNCTION("""COMPUTED_VALUE"""),"5561 COUNTY 30 RD  ")</f>
        <v>5561 COUNTY 30 RD  </v>
      </c>
      <c r="C4268" s="3" t="str">
        <f>IFERROR(__xludf.DUMMYFUNCTION("""COMPUTED_VALUE"""),"CAMPBELLFORD")</f>
        <v>CAMPBELLFORD</v>
      </c>
      <c r="D4268" s="3" t="str">
        <f>IFERROR(__xludf.DUMMYFUNCTION("""COMPUTED_VALUE"""),"K0L 1L0")</f>
        <v>K0L 1L0</v>
      </c>
      <c r="E4268" s="3"/>
      <c r="F4268" s="3"/>
      <c r="G4268" s="3"/>
      <c r="H4268" s="3"/>
    </row>
    <row r="4269">
      <c r="A4269" s="2">
        <f>IFERROR(__xludf.DUMMYFUNCTION("""COMPUTED_VALUE"""),61318.0)</f>
        <v>61318</v>
      </c>
      <c r="B4269" s="3" t="str">
        <f>IFERROR(__xludf.DUMMYFUNCTION("""COMPUTED_VALUE"""),"5631 COUNTY 30 RD  ")</f>
        <v>5631 COUNTY 30 RD  </v>
      </c>
      <c r="C4269" s="3" t="str">
        <f>IFERROR(__xludf.DUMMYFUNCTION("""COMPUTED_VALUE"""),"CAMPBELLFORD")</f>
        <v>CAMPBELLFORD</v>
      </c>
      <c r="D4269" s="3" t="str">
        <f>IFERROR(__xludf.DUMMYFUNCTION("""COMPUTED_VALUE"""),"K0L 1L0")</f>
        <v>K0L 1L0</v>
      </c>
      <c r="E4269" s="3"/>
      <c r="F4269" s="3"/>
      <c r="G4269" s="3"/>
      <c r="H4269" s="3"/>
    </row>
    <row r="4270">
      <c r="A4270" s="2">
        <f>IFERROR(__xludf.DUMMYFUNCTION("""COMPUTED_VALUE"""),61319.0)</f>
        <v>61319</v>
      </c>
      <c r="B4270" s="3" t="str">
        <f>IFERROR(__xludf.DUMMYFUNCTION("""COMPUTED_VALUE"""),"5703 COUNTY 30 RD  ")</f>
        <v>5703 COUNTY 30 RD  </v>
      </c>
      <c r="C4270" s="3" t="str">
        <f>IFERROR(__xludf.DUMMYFUNCTION("""COMPUTED_VALUE"""),"CAMPBELLFORD")</f>
        <v>CAMPBELLFORD</v>
      </c>
      <c r="D4270" s="3" t="str">
        <f>IFERROR(__xludf.DUMMYFUNCTION("""COMPUTED_VALUE"""),"K0L 1L0")</f>
        <v>K0L 1L0</v>
      </c>
      <c r="E4270" s="3"/>
      <c r="F4270" s="3"/>
      <c r="G4270" s="3"/>
      <c r="H4270" s="3"/>
    </row>
    <row r="4271">
      <c r="A4271" s="2">
        <f>IFERROR(__xludf.DUMMYFUNCTION("""COMPUTED_VALUE"""),61320.0)</f>
        <v>61320</v>
      </c>
      <c r="B4271" s="3" t="str">
        <f>IFERROR(__xludf.DUMMYFUNCTION("""COMPUTED_VALUE"""),"5751 COUNTY 30 RD  ")</f>
        <v>5751 COUNTY 30 RD  </v>
      </c>
      <c r="C4271" s="3" t="str">
        <f>IFERROR(__xludf.DUMMYFUNCTION("""COMPUTED_VALUE"""),"CAMPBELLFORD")</f>
        <v>CAMPBELLFORD</v>
      </c>
      <c r="D4271" s="3" t="str">
        <f>IFERROR(__xludf.DUMMYFUNCTION("""COMPUTED_VALUE"""),"K0L 1L0")</f>
        <v>K0L 1L0</v>
      </c>
      <c r="E4271" s="3" t="str">
        <f>IFERROR(__xludf.DUMMYFUNCTION("""COMPUTED_VALUE"""),"David Smith ")</f>
        <v>David Smith </v>
      </c>
      <c r="F4271" s="3" t="str">
        <f>IFERROR(__xludf.DUMMYFUNCTION("""COMPUTED_VALUE"""),"djsmithy52@gmail.com")</f>
        <v>djsmithy52@gmail.com</v>
      </c>
      <c r="G4271" s="3"/>
      <c r="H4271" s="3"/>
    </row>
    <row r="4272">
      <c r="A4272" s="2">
        <f>IFERROR(__xludf.DUMMYFUNCTION("""COMPUTED_VALUE"""),61321.0)</f>
        <v>61321</v>
      </c>
      <c r="B4272" s="3" t="str">
        <f>IFERROR(__xludf.DUMMYFUNCTION("""COMPUTED_VALUE"""),"5757 COUNTY 30 RD  ")</f>
        <v>5757 COUNTY 30 RD  </v>
      </c>
      <c r="C4272" s="3" t="str">
        <f>IFERROR(__xludf.DUMMYFUNCTION("""COMPUTED_VALUE"""),"CAMPBELLFORD")</f>
        <v>CAMPBELLFORD</v>
      </c>
      <c r="D4272" s="3" t="str">
        <f>IFERROR(__xludf.DUMMYFUNCTION("""COMPUTED_VALUE"""),"K0L 1L0")</f>
        <v>K0L 1L0</v>
      </c>
      <c r="E4272" s="3" t="str">
        <f>IFERROR(__xludf.DUMMYFUNCTION("""COMPUTED_VALUE"""),"David Smith ")</f>
        <v>David Smith </v>
      </c>
      <c r="F4272" s="3" t="str">
        <f>IFERROR(__xludf.DUMMYFUNCTION("""COMPUTED_VALUE"""),"djsmithy52@gmail.com")</f>
        <v>djsmithy52@gmail.com</v>
      </c>
      <c r="G4272" s="3"/>
      <c r="H4272" s="3"/>
    </row>
    <row r="4273">
      <c r="A4273" s="2">
        <f>IFERROR(__xludf.DUMMYFUNCTION("""COMPUTED_VALUE"""),62560.0)</f>
        <v>62560</v>
      </c>
      <c r="B4273" s="3" t="str">
        <f>IFERROR(__xludf.DUMMYFUNCTION("""COMPUTED_VALUE"""),"3 MAIN ST  ")</f>
        <v>3 MAIN ST  </v>
      </c>
      <c r="C4273" s="3" t="str">
        <f>IFERROR(__xludf.DUMMYFUNCTION("""COMPUTED_VALUE"""),"WARKWORTH")</f>
        <v>WARKWORTH</v>
      </c>
      <c r="D4273" s="3" t="str">
        <f>IFERROR(__xludf.DUMMYFUNCTION("""COMPUTED_VALUE"""),"K0K 3K0")</f>
        <v>K0K 3K0</v>
      </c>
      <c r="E4273" s="3"/>
      <c r="F4273" s="3"/>
      <c r="G4273" s="3"/>
      <c r="H4273" s="3"/>
    </row>
    <row r="4274">
      <c r="A4274" s="2">
        <f>IFERROR(__xludf.DUMMYFUNCTION("""COMPUTED_VALUE"""),62561.0)</f>
        <v>62561</v>
      </c>
      <c r="B4274" s="3" t="str">
        <f>IFERROR(__xludf.DUMMYFUNCTION("""COMPUTED_VALUE"""),"7 MAIN ST  ")</f>
        <v>7 MAIN ST  </v>
      </c>
      <c r="C4274" s="3" t="str">
        <f>IFERROR(__xludf.DUMMYFUNCTION("""COMPUTED_VALUE"""),"WARKWORTH")</f>
        <v>WARKWORTH</v>
      </c>
      <c r="D4274" s="3" t="str">
        <f>IFERROR(__xludf.DUMMYFUNCTION("""COMPUTED_VALUE"""),"K0K 3K0")</f>
        <v>K0K 3K0</v>
      </c>
      <c r="E4274" s="3" t="str">
        <f>IFERROR(__xludf.DUMMYFUNCTION("""COMPUTED_VALUE"""),"jeaninine evans")</f>
        <v>jeaninine evans</v>
      </c>
      <c r="F4274" s="3" t="str">
        <f>IFERROR(__xludf.DUMMYFUNCTION("""COMPUTED_VALUE"""),"jeanninesbacktalk@gmail.com")</f>
        <v>jeanninesbacktalk@gmail.com</v>
      </c>
      <c r="G4274" s="3">
        <f>IFERROR(__xludf.DUMMYFUNCTION("""COMPUTED_VALUE"""),7.059242166E9)</f>
        <v>7059242166</v>
      </c>
      <c r="H4274" s="3">
        <f>IFERROR(__xludf.DUMMYFUNCTION("""COMPUTED_VALUE"""),7.057615645E9)</f>
        <v>7057615645</v>
      </c>
    </row>
    <row r="4275">
      <c r="A4275" s="2">
        <f>IFERROR(__xludf.DUMMYFUNCTION("""COMPUTED_VALUE"""),62562.0)</f>
        <v>62562</v>
      </c>
      <c r="B4275" s="3" t="str">
        <f>IFERROR(__xludf.DUMMYFUNCTION("""COMPUTED_VALUE"""),"9 MAIN ST  ")</f>
        <v>9 MAIN ST  </v>
      </c>
      <c r="C4275" s="3" t="str">
        <f>IFERROR(__xludf.DUMMYFUNCTION("""COMPUTED_VALUE"""),"WARKWORTH")</f>
        <v>WARKWORTH</v>
      </c>
      <c r="D4275" s="3" t="str">
        <f>IFERROR(__xludf.DUMMYFUNCTION("""COMPUTED_VALUE"""),"K0K 3K0")</f>
        <v>K0K 3K0</v>
      </c>
      <c r="E4275" s="3" t="str">
        <f>IFERROR(__xludf.DUMMYFUNCTION("""COMPUTED_VALUE"""),"jeaninine evans")</f>
        <v>jeaninine evans</v>
      </c>
      <c r="F4275" s="3" t="str">
        <f>IFERROR(__xludf.DUMMYFUNCTION("""COMPUTED_VALUE"""),"jeanninesbacktalk@gmail.com")</f>
        <v>jeanninesbacktalk@gmail.com</v>
      </c>
      <c r="G4275" s="3">
        <f>IFERROR(__xludf.DUMMYFUNCTION("""COMPUTED_VALUE"""),7.059242166E9)</f>
        <v>7059242166</v>
      </c>
      <c r="H4275" s="3">
        <f>IFERROR(__xludf.DUMMYFUNCTION("""COMPUTED_VALUE"""),7.057615645E9)</f>
        <v>7057615645</v>
      </c>
    </row>
    <row r="4276">
      <c r="A4276" s="2">
        <f>IFERROR(__xludf.DUMMYFUNCTION("""COMPUTED_VALUE"""),62563.0)</f>
        <v>62563</v>
      </c>
      <c r="B4276" s="3" t="str">
        <f>IFERROR(__xludf.DUMMYFUNCTION("""COMPUTED_VALUE"""),"11 MAIN ST  ")</f>
        <v>11 MAIN ST  </v>
      </c>
      <c r="C4276" s="3" t="str">
        <f>IFERROR(__xludf.DUMMYFUNCTION("""COMPUTED_VALUE"""),"WARKWORTH")</f>
        <v>WARKWORTH</v>
      </c>
      <c r="D4276" s="3" t="str">
        <f>IFERROR(__xludf.DUMMYFUNCTION("""COMPUTED_VALUE"""),"K0K 3K0")</f>
        <v>K0K 3K0</v>
      </c>
      <c r="E4276" s="3" t="str">
        <f>IFERROR(__xludf.DUMMYFUNCTION("""COMPUTED_VALUE"""),"tiffany jarvis ")</f>
        <v>tiffany jarvis </v>
      </c>
      <c r="F4276" s="3" t="str">
        <f>IFERROR(__xludf.DUMMYFUNCTION("""COMPUTED_VALUE"""),"goldenlinespiritualstudio@gmail.com")</f>
        <v>goldenlinespiritualstudio@gmail.com</v>
      </c>
      <c r="G4276" s="3">
        <f>IFERROR(__xludf.DUMMYFUNCTION("""COMPUTED_VALUE"""),7.05933887E9)</f>
        <v>7059338870</v>
      </c>
      <c r="H4276" s="3">
        <f>IFERROR(__xludf.DUMMYFUNCTION("""COMPUTED_VALUE"""),7.059305494E9)</f>
        <v>7059305494</v>
      </c>
    </row>
    <row r="4277">
      <c r="A4277" s="2">
        <f>IFERROR(__xludf.DUMMYFUNCTION("""COMPUTED_VALUE"""),62564.0)</f>
        <v>62564</v>
      </c>
      <c r="B4277" s="3" t="str">
        <f>IFERROR(__xludf.DUMMYFUNCTION("""COMPUTED_VALUE"""),"13 MAIN ST  ")</f>
        <v>13 MAIN ST  </v>
      </c>
      <c r="C4277" s="3" t="str">
        <f>IFERROR(__xludf.DUMMYFUNCTION("""COMPUTED_VALUE"""),"WARKWORTH")</f>
        <v>WARKWORTH</v>
      </c>
      <c r="D4277" s="3" t="str">
        <f>IFERROR(__xludf.DUMMYFUNCTION("""COMPUTED_VALUE"""),"K0K 3K0")</f>
        <v>K0K 3K0</v>
      </c>
      <c r="E4277" s="3"/>
      <c r="F4277" s="3"/>
      <c r="G4277" s="3"/>
      <c r="H4277" s="3"/>
    </row>
    <row r="4278">
      <c r="A4278" s="2">
        <f>IFERROR(__xludf.DUMMYFUNCTION("""COMPUTED_VALUE"""),62565.0)</f>
        <v>62565</v>
      </c>
      <c r="B4278" s="3" t="str">
        <f>IFERROR(__xludf.DUMMYFUNCTION("""COMPUTED_VALUE"""),"15 MAIN ST  ")</f>
        <v>15 MAIN ST  </v>
      </c>
      <c r="C4278" s="3" t="str">
        <f>IFERROR(__xludf.DUMMYFUNCTION("""COMPUTED_VALUE"""),"WARKWORTH")</f>
        <v>WARKWORTH</v>
      </c>
      <c r="D4278" s="3" t="str">
        <f>IFERROR(__xludf.DUMMYFUNCTION("""COMPUTED_VALUE"""),"K0K 3K0")</f>
        <v>K0K 3K0</v>
      </c>
      <c r="E4278" s="3"/>
      <c r="F4278" s="3"/>
      <c r="G4278" s="3"/>
      <c r="H4278" s="3"/>
    </row>
    <row r="4279">
      <c r="A4279" s="2">
        <f>IFERROR(__xludf.DUMMYFUNCTION("""COMPUTED_VALUE"""),62566.0)</f>
        <v>62566</v>
      </c>
      <c r="B4279" s="3" t="str">
        <f>IFERROR(__xludf.DUMMYFUNCTION("""COMPUTED_VALUE"""),"16 MAIN ST  ")</f>
        <v>16 MAIN ST  </v>
      </c>
      <c r="C4279" s="3" t="str">
        <f>IFERROR(__xludf.DUMMYFUNCTION("""COMPUTED_VALUE"""),"WARKWORTH")</f>
        <v>WARKWORTH</v>
      </c>
      <c r="D4279" s="3" t="str">
        <f>IFERROR(__xludf.DUMMYFUNCTION("""COMPUTED_VALUE"""),"K0K 3K0")</f>
        <v>K0K 3K0</v>
      </c>
      <c r="E4279" s="3" t="str">
        <f>IFERROR(__xludf.DUMMYFUNCTION("""COMPUTED_VALUE"""),"Tracy and Jimmy Ioannidis")</f>
        <v>Tracy and Jimmy Ioannidis</v>
      </c>
      <c r="F4279" s="3" t="str">
        <f>IFERROR(__xludf.DUMMYFUNCTION("""COMPUTED_VALUE"""),"16maincafe@gmail.com")</f>
        <v>16maincafe@gmail.com</v>
      </c>
      <c r="G4279" s="3">
        <f>IFERROR(__xludf.DUMMYFUNCTION("""COMPUTED_VALUE"""),7.059241212E9)</f>
        <v>7059241212</v>
      </c>
      <c r="H4279" s="3">
        <f>IFERROR(__xludf.DUMMYFUNCTION("""COMPUTED_VALUE"""),4.167067759E9)</f>
        <v>4167067759</v>
      </c>
    </row>
    <row r="4280">
      <c r="A4280" s="2">
        <f>IFERROR(__xludf.DUMMYFUNCTION("""COMPUTED_VALUE"""),62567.0)</f>
        <v>62567</v>
      </c>
      <c r="B4280" s="3" t="str">
        <f>IFERROR(__xludf.DUMMYFUNCTION("""COMPUTED_VALUE"""),"18 MAIN ST  ")</f>
        <v>18 MAIN ST  </v>
      </c>
      <c r="C4280" s="3" t="str">
        <f>IFERROR(__xludf.DUMMYFUNCTION("""COMPUTED_VALUE"""),"WARKWORTH")</f>
        <v>WARKWORTH</v>
      </c>
      <c r="D4280" s="3" t="str">
        <f>IFERROR(__xludf.DUMMYFUNCTION("""COMPUTED_VALUE"""),"K0K 3K0")</f>
        <v>K0K 3K0</v>
      </c>
      <c r="E4280" s="3"/>
      <c r="F4280" s="3"/>
      <c r="G4280" s="3"/>
      <c r="H4280" s="3"/>
    </row>
    <row r="4281">
      <c r="A4281" s="2">
        <f>IFERROR(__xludf.DUMMYFUNCTION("""COMPUTED_VALUE"""),62568.0)</f>
        <v>62568</v>
      </c>
      <c r="B4281" s="3" t="str">
        <f>IFERROR(__xludf.DUMMYFUNCTION("""COMPUTED_VALUE"""),"19 MAIN ST  ")</f>
        <v>19 MAIN ST  </v>
      </c>
      <c r="C4281" s="3" t="str">
        <f>IFERROR(__xludf.DUMMYFUNCTION("""COMPUTED_VALUE"""),"WARKWORTH")</f>
        <v>WARKWORTH</v>
      </c>
      <c r="D4281" s="3" t="str">
        <f>IFERROR(__xludf.DUMMYFUNCTION("""COMPUTED_VALUE"""),"K0K 3K0")</f>
        <v>K0K 3K0</v>
      </c>
      <c r="E4281" s="3"/>
      <c r="F4281" s="3"/>
      <c r="G4281" s="3"/>
      <c r="H4281" s="3"/>
    </row>
    <row r="4282">
      <c r="A4282" s="2">
        <f>IFERROR(__xludf.DUMMYFUNCTION("""COMPUTED_VALUE"""),62569.0)</f>
        <v>62569</v>
      </c>
      <c r="B4282" s="3" t="str">
        <f>IFERROR(__xludf.DUMMYFUNCTION("""COMPUTED_VALUE"""),"20 MAIN ST  ")</f>
        <v>20 MAIN ST  </v>
      </c>
      <c r="C4282" s="3" t="str">
        <f>IFERROR(__xludf.DUMMYFUNCTION("""COMPUTED_VALUE"""),"WARKWORTH")</f>
        <v>WARKWORTH</v>
      </c>
      <c r="D4282" s="3" t="str">
        <f>IFERROR(__xludf.DUMMYFUNCTION("""COMPUTED_VALUE"""),"K0K 3K0")</f>
        <v>K0K 3K0</v>
      </c>
      <c r="E4282" s="3" t="str">
        <f>IFERROR(__xludf.DUMMYFUNCTION("""COMPUTED_VALUE"""),"a velt ")</f>
        <v>a velt </v>
      </c>
      <c r="F4282" s="3" t="str">
        <f>IFERROR(__xludf.DUMMYFUNCTION("""COMPUTED_VALUE"""),"warkworthrxe@gmail.com")</f>
        <v>warkworthrxe@gmail.com</v>
      </c>
      <c r="G4282" s="3">
        <f>IFERROR(__xludf.DUMMYFUNCTION("""COMPUTED_VALUE"""),7.059242711E9)</f>
        <v>7059242711</v>
      </c>
      <c r="H4282" s="3"/>
    </row>
    <row r="4283">
      <c r="A4283" s="2">
        <f>IFERROR(__xludf.DUMMYFUNCTION("""COMPUTED_VALUE"""),62570.0)</f>
        <v>62570</v>
      </c>
      <c r="B4283" s="3" t="str">
        <f>IFERROR(__xludf.DUMMYFUNCTION("""COMPUTED_VALUE"""),"22 MAIN ST  ")</f>
        <v>22 MAIN ST  </v>
      </c>
      <c r="C4283" s="3" t="str">
        <f>IFERROR(__xludf.DUMMYFUNCTION("""COMPUTED_VALUE"""),"WARKWORTH")</f>
        <v>WARKWORTH</v>
      </c>
      <c r="D4283" s="3" t="str">
        <f>IFERROR(__xludf.DUMMYFUNCTION("""COMPUTED_VALUE"""),"K0K 3K0")</f>
        <v>K0K 3K0</v>
      </c>
      <c r="E4283" s="3"/>
      <c r="F4283" s="3"/>
      <c r="G4283" s="3"/>
      <c r="H4283" s="3"/>
    </row>
    <row r="4284">
      <c r="A4284" s="2">
        <f>IFERROR(__xludf.DUMMYFUNCTION("""COMPUTED_VALUE"""),62571.0)</f>
        <v>62571</v>
      </c>
      <c r="B4284" s="3" t="str">
        <f>IFERROR(__xludf.DUMMYFUNCTION("""COMPUTED_VALUE"""),"23 MAIN ST  ")</f>
        <v>23 MAIN ST  </v>
      </c>
      <c r="C4284" s="3" t="str">
        <f>IFERROR(__xludf.DUMMYFUNCTION("""COMPUTED_VALUE"""),"WARKWORTH")</f>
        <v>WARKWORTH</v>
      </c>
      <c r="D4284" s="3" t="str">
        <f>IFERROR(__xludf.DUMMYFUNCTION("""COMPUTED_VALUE"""),"K0K 3K0")</f>
        <v>K0K 3K0</v>
      </c>
      <c r="E4284" s="3"/>
      <c r="F4284" s="3"/>
      <c r="G4284" s="3"/>
      <c r="H4284" s="3"/>
    </row>
    <row r="4285">
      <c r="A4285" s="2">
        <f>IFERROR(__xludf.DUMMYFUNCTION("""COMPUTED_VALUE"""),62572.0)</f>
        <v>62572</v>
      </c>
      <c r="B4285" s="3" t="str">
        <f>IFERROR(__xludf.DUMMYFUNCTION("""COMPUTED_VALUE"""),"26 MAIN ST  ")</f>
        <v>26 MAIN ST  </v>
      </c>
      <c r="C4285" s="3" t="str">
        <f>IFERROR(__xludf.DUMMYFUNCTION("""COMPUTED_VALUE"""),"WARKWORTH")</f>
        <v>WARKWORTH</v>
      </c>
      <c r="D4285" s="3" t="str">
        <f>IFERROR(__xludf.DUMMYFUNCTION("""COMPUTED_VALUE"""),"K0K 3K0")</f>
        <v>K0K 3K0</v>
      </c>
      <c r="E4285" s="3"/>
      <c r="F4285" s="3"/>
      <c r="G4285" s="3"/>
      <c r="H4285" s="3"/>
    </row>
    <row r="4286">
      <c r="A4286" s="2">
        <f>IFERROR(__xludf.DUMMYFUNCTION("""COMPUTED_VALUE"""),62573.0)</f>
        <v>62573</v>
      </c>
      <c r="B4286" s="3" t="str">
        <f>IFERROR(__xludf.DUMMYFUNCTION("""COMPUTED_VALUE"""),"27 MAIN ST  ")</f>
        <v>27 MAIN ST  </v>
      </c>
      <c r="C4286" s="3" t="str">
        <f>IFERROR(__xludf.DUMMYFUNCTION("""COMPUTED_VALUE"""),"WARKWORTH")</f>
        <v>WARKWORTH</v>
      </c>
      <c r="D4286" s="3" t="str">
        <f>IFERROR(__xludf.DUMMYFUNCTION("""COMPUTED_VALUE"""),"K0K 3K0")</f>
        <v>K0K 3K0</v>
      </c>
      <c r="E4286" s="3"/>
      <c r="F4286" s="3"/>
      <c r="G4286" s="3"/>
      <c r="H4286" s="3"/>
    </row>
    <row r="4287">
      <c r="A4287" s="2">
        <f>IFERROR(__xludf.DUMMYFUNCTION("""COMPUTED_VALUE"""),62574.0)</f>
        <v>62574</v>
      </c>
      <c r="B4287" s="3" t="str">
        <f>IFERROR(__xludf.DUMMYFUNCTION("""COMPUTED_VALUE"""),"28 MAIN ST  ")</f>
        <v>28 MAIN ST  </v>
      </c>
      <c r="C4287" s="3" t="str">
        <f>IFERROR(__xludf.DUMMYFUNCTION("""COMPUTED_VALUE"""),"WARKWORTH")</f>
        <v>WARKWORTH</v>
      </c>
      <c r="D4287" s="3" t="str">
        <f>IFERROR(__xludf.DUMMYFUNCTION("""COMPUTED_VALUE"""),"K0K 3K0")</f>
        <v>K0K 3K0</v>
      </c>
      <c r="E4287" s="3"/>
      <c r="F4287" s="3"/>
      <c r="G4287" s="3"/>
      <c r="H4287" s="3"/>
    </row>
    <row r="4288">
      <c r="A4288" s="2">
        <f>IFERROR(__xludf.DUMMYFUNCTION("""COMPUTED_VALUE"""),62575.0)</f>
        <v>62575</v>
      </c>
      <c r="B4288" s="3" t="str">
        <f>IFERROR(__xludf.DUMMYFUNCTION("""COMPUTED_VALUE"""),"30 MAIN ST  ")</f>
        <v>30 MAIN ST  </v>
      </c>
      <c r="C4288" s="3" t="str">
        <f>IFERROR(__xludf.DUMMYFUNCTION("""COMPUTED_VALUE"""),"WARKWORTH")</f>
        <v>WARKWORTH</v>
      </c>
      <c r="D4288" s="3" t="str">
        <f>IFERROR(__xludf.DUMMYFUNCTION("""COMPUTED_VALUE"""),"K0K 3K0")</f>
        <v>K0K 3K0</v>
      </c>
      <c r="E4288" s="3"/>
      <c r="F4288" s="3"/>
      <c r="G4288" s="3"/>
      <c r="H4288" s="3"/>
    </row>
    <row r="4289">
      <c r="A4289" s="2">
        <f>IFERROR(__xludf.DUMMYFUNCTION("""COMPUTED_VALUE"""),62576.0)</f>
        <v>62576</v>
      </c>
      <c r="B4289" s="3" t="str">
        <f>IFERROR(__xludf.DUMMYFUNCTION("""COMPUTED_VALUE"""),"36 MAIN ST  ")</f>
        <v>36 MAIN ST  </v>
      </c>
      <c r="C4289" s="3" t="str">
        <f>IFERROR(__xludf.DUMMYFUNCTION("""COMPUTED_VALUE"""),"WARKWORTH")</f>
        <v>WARKWORTH</v>
      </c>
      <c r="D4289" s="3" t="str">
        <f>IFERROR(__xludf.DUMMYFUNCTION("""COMPUTED_VALUE"""),"K0K 3K0")</f>
        <v>K0K 3K0</v>
      </c>
      <c r="E4289" s="3"/>
      <c r="F4289" s="3"/>
      <c r="G4289" s="3"/>
      <c r="H4289" s="3"/>
    </row>
    <row r="4290">
      <c r="A4290" s="2">
        <f>IFERROR(__xludf.DUMMYFUNCTION("""COMPUTED_VALUE"""),62577.0)</f>
        <v>62577</v>
      </c>
      <c r="B4290" s="3" t="str">
        <f>IFERROR(__xludf.DUMMYFUNCTION("""COMPUTED_VALUE"""),"39 MAIN ST  ")</f>
        <v>39 MAIN ST  </v>
      </c>
      <c r="C4290" s="3" t="str">
        <f>IFERROR(__xludf.DUMMYFUNCTION("""COMPUTED_VALUE"""),"WARKWORTH")</f>
        <v>WARKWORTH</v>
      </c>
      <c r="D4290" s="3" t="str">
        <f>IFERROR(__xludf.DUMMYFUNCTION("""COMPUTED_VALUE"""),"K0K 3K0")</f>
        <v>K0K 3K0</v>
      </c>
      <c r="E4290" s="3" t="str">
        <f>IFERROR(__xludf.DUMMYFUNCTION("""COMPUTED_VALUE"""),"vera litynsky")</f>
        <v>vera litynsky</v>
      </c>
      <c r="F4290" s="3"/>
      <c r="G4290" s="3">
        <f>IFERROR(__xludf.DUMMYFUNCTION("""COMPUTED_VALUE"""),6.472370438E9)</f>
        <v>6472370438</v>
      </c>
      <c r="H4290" s="3"/>
    </row>
    <row r="4291">
      <c r="A4291" s="2">
        <f>IFERROR(__xludf.DUMMYFUNCTION("""COMPUTED_VALUE"""),62578.0)</f>
        <v>62578</v>
      </c>
      <c r="B4291" s="3" t="str">
        <f>IFERROR(__xludf.DUMMYFUNCTION("""COMPUTED_VALUE"""),"40 MAIN ST  ")</f>
        <v>40 MAIN ST  </v>
      </c>
      <c r="C4291" s="3" t="str">
        <f>IFERROR(__xludf.DUMMYFUNCTION("""COMPUTED_VALUE"""),"WARKWORTH")</f>
        <v>WARKWORTH</v>
      </c>
      <c r="D4291" s="3" t="str">
        <f>IFERROR(__xludf.DUMMYFUNCTION("""COMPUTED_VALUE"""),"K0K 3K0")</f>
        <v>K0K 3K0</v>
      </c>
      <c r="E4291" s="3"/>
      <c r="F4291" s="3"/>
      <c r="G4291" s="3"/>
      <c r="H4291" s="3"/>
    </row>
    <row r="4292">
      <c r="A4292" s="2">
        <f>IFERROR(__xludf.DUMMYFUNCTION("""COMPUTED_VALUE"""),62579.0)</f>
        <v>62579</v>
      </c>
      <c r="B4292" s="3" t="str">
        <f>IFERROR(__xludf.DUMMYFUNCTION("""COMPUTED_VALUE"""),"43 MAIN ST  ")</f>
        <v>43 MAIN ST  </v>
      </c>
      <c r="C4292" s="3" t="str">
        <f>IFERROR(__xludf.DUMMYFUNCTION("""COMPUTED_VALUE"""),"WARKWORTH")</f>
        <v>WARKWORTH</v>
      </c>
      <c r="D4292" s="3" t="str">
        <f>IFERROR(__xludf.DUMMYFUNCTION("""COMPUTED_VALUE"""),"K0K 3K0")</f>
        <v>K0K 3K0</v>
      </c>
      <c r="E4292" s="3" t="str">
        <f>IFERROR(__xludf.DUMMYFUNCTION("""COMPUTED_VALUE"""),"j.c weiderick")</f>
        <v>j.c weiderick</v>
      </c>
      <c r="F4292" s="3" t="str">
        <f>IFERROR(__xludf.DUMMYFUNCTION("""COMPUTED_VALUE"""),"jcweiderick@gmail.com")</f>
        <v>jcweiderick@gmail.com</v>
      </c>
      <c r="G4292" s="3"/>
      <c r="H4292" s="3"/>
    </row>
    <row r="4293">
      <c r="A4293" s="2">
        <f>IFERROR(__xludf.DUMMYFUNCTION("""COMPUTED_VALUE"""),62580.0)</f>
        <v>62580</v>
      </c>
      <c r="B4293" s="3" t="str">
        <f>IFERROR(__xludf.DUMMYFUNCTION("""COMPUTED_VALUE"""),"44 MAIN ST  ")</f>
        <v>44 MAIN ST  </v>
      </c>
      <c r="C4293" s="3" t="str">
        <f>IFERROR(__xludf.DUMMYFUNCTION("""COMPUTED_VALUE"""),"WARKWORTH")</f>
        <v>WARKWORTH</v>
      </c>
      <c r="D4293" s="3" t="str">
        <f>IFERROR(__xludf.DUMMYFUNCTION("""COMPUTED_VALUE"""),"K0K 3K0")</f>
        <v>K0K 3K0</v>
      </c>
      <c r="E4293" s="3" t="str">
        <f>IFERROR(__xludf.DUMMYFUNCTION("""COMPUTED_VALUE"""),"sonia chiang")</f>
        <v>sonia chiang</v>
      </c>
      <c r="F4293" s="3" t="str">
        <f>IFERROR(__xludf.DUMMYFUNCTION("""COMPUTED_VALUE"""),"sonia.chiang@gmail.com")</f>
        <v>sonia.chiang@gmail.com</v>
      </c>
      <c r="G4293" s="3">
        <f>IFERROR(__xludf.DUMMYFUNCTION("""COMPUTED_VALUE"""),6.477742645E9)</f>
        <v>6477742645</v>
      </c>
      <c r="H4293" s="3"/>
    </row>
    <row r="4294">
      <c r="A4294" s="2">
        <f>IFERROR(__xludf.DUMMYFUNCTION("""COMPUTED_VALUE"""),62581.0)</f>
        <v>62581</v>
      </c>
      <c r="B4294" s="3" t="str">
        <f>IFERROR(__xludf.DUMMYFUNCTION("""COMPUTED_VALUE"""),"45 MAIN ST  ")</f>
        <v>45 MAIN ST  </v>
      </c>
      <c r="C4294" s="3" t="str">
        <f>IFERROR(__xludf.DUMMYFUNCTION("""COMPUTED_VALUE"""),"WARKWORTH")</f>
        <v>WARKWORTH</v>
      </c>
      <c r="D4294" s="3" t="str">
        <f>IFERROR(__xludf.DUMMYFUNCTION("""COMPUTED_VALUE"""),"K0K 3K0")</f>
        <v>K0K 3K0</v>
      </c>
      <c r="E4294" s="3" t="str">
        <f>IFERROR(__xludf.DUMMYFUNCTION("""COMPUTED_VALUE"""),"rob bechamp ")</f>
        <v>rob bechamp </v>
      </c>
      <c r="F4294" s="3" t="str">
        <f>IFERROR(__xludf.DUMMYFUNCTION("""COMPUTED_VALUE"""),"rob.bechamp31@gmail.com")</f>
        <v>rob.bechamp31@gmail.com</v>
      </c>
      <c r="G4294" s="3"/>
      <c r="H4294" s="3"/>
    </row>
    <row r="4295">
      <c r="A4295" s="2">
        <f>IFERROR(__xludf.DUMMYFUNCTION("""COMPUTED_VALUE"""),62582.0)</f>
        <v>62582</v>
      </c>
      <c r="B4295" s="3" t="str">
        <f>IFERROR(__xludf.DUMMYFUNCTION("""COMPUTED_VALUE"""),"48 MAIN ST  ")</f>
        <v>48 MAIN ST  </v>
      </c>
      <c r="C4295" s="3" t="str">
        <f>IFERROR(__xludf.DUMMYFUNCTION("""COMPUTED_VALUE"""),"WARKWORTH")</f>
        <v>WARKWORTH</v>
      </c>
      <c r="D4295" s="3" t="str">
        <f>IFERROR(__xludf.DUMMYFUNCTION("""COMPUTED_VALUE"""),"K0K 3K0")</f>
        <v>K0K 3K0</v>
      </c>
      <c r="E4295" s="3" t="str">
        <f>IFERROR(__xludf.DUMMYFUNCTION("""COMPUTED_VALUE"""),"don morford")</f>
        <v>don morford</v>
      </c>
      <c r="F4295" s="3" t="str">
        <f>IFERROR(__xludf.DUMMYFUNCTION("""COMPUTED_VALUE"""),"donmorford@hotmail.com")</f>
        <v>donmorford@hotmail.com</v>
      </c>
      <c r="G4295" s="3">
        <f>IFERROR(__xludf.DUMMYFUNCTION("""COMPUTED_VALUE"""),9.053736134E9)</f>
        <v>9053736134</v>
      </c>
      <c r="H4295" s="3"/>
    </row>
    <row r="4296">
      <c r="A4296" s="2">
        <f>IFERROR(__xludf.DUMMYFUNCTION("""COMPUTED_VALUE"""),62583.0)</f>
        <v>62583</v>
      </c>
      <c r="B4296" s="3" t="str">
        <f>IFERROR(__xludf.DUMMYFUNCTION("""COMPUTED_VALUE"""),"49 MAIN ST  ")</f>
        <v>49 MAIN ST  </v>
      </c>
      <c r="C4296" s="3" t="str">
        <f>IFERROR(__xludf.DUMMYFUNCTION("""COMPUTED_VALUE"""),"WARKWORTH")</f>
        <v>WARKWORTH</v>
      </c>
      <c r="D4296" s="3" t="str">
        <f>IFERROR(__xludf.DUMMYFUNCTION("""COMPUTED_VALUE"""),"K0K 3K0")</f>
        <v>K0K 3K0</v>
      </c>
      <c r="E4296" s="3" t="str">
        <f>IFERROR(__xludf.DUMMYFUNCTION("""COMPUTED_VALUE"""),"johanna fenton")</f>
        <v>johanna fenton</v>
      </c>
      <c r="F4296" s="3"/>
      <c r="G4296" s="3">
        <f>IFERROR(__xludf.DUMMYFUNCTION("""COMPUTED_VALUE"""),9.053964206E9)</f>
        <v>9053964206</v>
      </c>
      <c r="H4296" s="3"/>
    </row>
    <row r="4297">
      <c r="A4297" s="2">
        <f>IFERROR(__xludf.DUMMYFUNCTION("""COMPUTED_VALUE"""),62584.0)</f>
        <v>62584</v>
      </c>
      <c r="B4297" s="3" t="str">
        <f>IFERROR(__xludf.DUMMYFUNCTION("""COMPUTED_VALUE"""),"52 MAIN ST  ")</f>
        <v>52 MAIN ST  </v>
      </c>
      <c r="C4297" s="3" t="str">
        <f>IFERROR(__xludf.DUMMYFUNCTION("""COMPUTED_VALUE"""),"WARKWORTH")</f>
        <v>WARKWORTH</v>
      </c>
      <c r="D4297" s="3" t="str">
        <f>IFERROR(__xludf.DUMMYFUNCTION("""COMPUTED_VALUE"""),"K0K 3K0")</f>
        <v>K0K 3K0</v>
      </c>
      <c r="E4297" s="3" t="str">
        <f>IFERROR(__xludf.DUMMYFUNCTION("""COMPUTED_VALUE"""),"jackson thurling")</f>
        <v>jackson thurling</v>
      </c>
      <c r="F4297" s="3"/>
      <c r="G4297" s="3">
        <f>IFERROR(__xludf.DUMMYFUNCTION("""COMPUTED_VALUE"""),4.16315939E9)</f>
        <v>4163159390</v>
      </c>
      <c r="H4297" s="3"/>
    </row>
    <row r="4298">
      <c r="A4298" s="2">
        <f>IFERROR(__xludf.DUMMYFUNCTION("""COMPUTED_VALUE"""),62585.0)</f>
        <v>62585</v>
      </c>
      <c r="B4298" s="3" t="str">
        <f>IFERROR(__xludf.DUMMYFUNCTION("""COMPUTED_VALUE"""),"55 MAIN ST  ")</f>
        <v>55 MAIN ST  </v>
      </c>
      <c r="C4298" s="3" t="str">
        <f>IFERROR(__xludf.DUMMYFUNCTION("""COMPUTED_VALUE"""),"WARKWORTH")</f>
        <v>WARKWORTH</v>
      </c>
      <c r="D4298" s="3" t="str">
        <f>IFERROR(__xludf.DUMMYFUNCTION("""COMPUTED_VALUE"""),"K0K 3K0")</f>
        <v>K0K 3K0</v>
      </c>
      <c r="E4298" s="3"/>
      <c r="F4298" s="3"/>
      <c r="G4298" s="3"/>
      <c r="H4298" s="3"/>
    </row>
    <row r="4299">
      <c r="A4299" s="2">
        <f>IFERROR(__xludf.DUMMYFUNCTION("""COMPUTED_VALUE"""),62586.0)</f>
        <v>62586</v>
      </c>
      <c r="B4299" s="3" t="str">
        <f>IFERROR(__xludf.DUMMYFUNCTION("""COMPUTED_VALUE"""),"56 MAIN ST  ")</f>
        <v>56 MAIN ST  </v>
      </c>
      <c r="C4299" s="3" t="str">
        <f>IFERROR(__xludf.DUMMYFUNCTION("""COMPUTED_VALUE"""),"WARKWORTH")</f>
        <v>WARKWORTH</v>
      </c>
      <c r="D4299" s="3" t="str">
        <f>IFERROR(__xludf.DUMMYFUNCTION("""COMPUTED_VALUE"""),"K0K 3K0")</f>
        <v>K0K 3K0</v>
      </c>
      <c r="E4299" s="3" t="str">
        <f>IFERROR(__xludf.DUMMYFUNCTION("""COMPUTED_VALUE"""),"Tracy Ioannidis")</f>
        <v>Tracy Ioannidis</v>
      </c>
      <c r="F4299" s="3" t="str">
        <f>IFERROR(__xludf.DUMMYFUNCTION("""COMPUTED_VALUE"""),"tracy.coen@icloud.com")</f>
        <v>tracy.coen@icloud.com</v>
      </c>
      <c r="G4299" s="3">
        <f>IFERROR(__xludf.DUMMYFUNCTION("""COMPUTED_VALUE"""),4.167067759E9)</f>
        <v>4167067759</v>
      </c>
      <c r="H4299" s="3"/>
    </row>
    <row r="4300">
      <c r="A4300" s="2">
        <f>IFERROR(__xludf.DUMMYFUNCTION("""COMPUTED_VALUE"""),62587.0)</f>
        <v>62587</v>
      </c>
      <c r="B4300" s="3" t="str">
        <f>IFERROR(__xludf.DUMMYFUNCTION("""COMPUTED_VALUE"""),"58 MAIN ST  ")</f>
        <v>58 MAIN ST  </v>
      </c>
      <c r="C4300" s="3" t="str">
        <f>IFERROR(__xludf.DUMMYFUNCTION("""COMPUTED_VALUE"""),"WARKWORTH")</f>
        <v>WARKWORTH</v>
      </c>
      <c r="D4300" s="3" t="str">
        <f>IFERROR(__xludf.DUMMYFUNCTION("""COMPUTED_VALUE"""),"K0K 3K0")</f>
        <v>K0K 3K0</v>
      </c>
      <c r="E4300" s="3" t="str">
        <f>IFERROR(__xludf.DUMMYFUNCTION("""COMPUTED_VALUE"""),"Sarah Stoner")</f>
        <v>Sarah Stoner</v>
      </c>
      <c r="F4300" s="3" t="str">
        <f>IFERROR(__xludf.DUMMYFUNCTION("""COMPUTED_VALUE"""),"sstoner@sympatico.ca")</f>
        <v>sstoner@sympatico.ca</v>
      </c>
      <c r="G4300" s="3">
        <f>IFERROR(__xludf.DUMMYFUNCTION("""COMPUTED_VALUE"""),7.057507836E9)</f>
        <v>7057507836</v>
      </c>
      <c r="H4300" s="3"/>
    </row>
    <row r="4301">
      <c r="A4301" s="2">
        <f>IFERROR(__xludf.DUMMYFUNCTION("""COMPUTED_VALUE"""),62588.0)</f>
        <v>62588</v>
      </c>
      <c r="B4301" s="3" t="str">
        <f>IFERROR(__xludf.DUMMYFUNCTION("""COMPUTED_VALUE"""),"59 MAIN ST  ")</f>
        <v>59 MAIN ST  </v>
      </c>
      <c r="C4301" s="3" t="str">
        <f>IFERROR(__xludf.DUMMYFUNCTION("""COMPUTED_VALUE"""),"WARKWORTH")</f>
        <v>WARKWORTH</v>
      </c>
      <c r="D4301" s="3" t="str">
        <f>IFERROR(__xludf.DUMMYFUNCTION("""COMPUTED_VALUE"""),"K0K 3K0")</f>
        <v>K0K 3K0</v>
      </c>
      <c r="E4301" s="3" t="str">
        <f>IFERROR(__xludf.DUMMYFUNCTION("""COMPUTED_VALUE"""),"jay lewis ")</f>
        <v>jay lewis </v>
      </c>
      <c r="F4301" s="3" t="str">
        <f>IFERROR(__xludf.DUMMYFUNCTION("""COMPUTED_VALUE"""),"barreth123@gmail.com")</f>
        <v>barreth123@gmail.com</v>
      </c>
      <c r="G4301" s="3">
        <f>IFERROR(__xludf.DUMMYFUNCTION("""COMPUTED_VALUE"""),7.059243085E9)</f>
        <v>7059243085</v>
      </c>
      <c r="H4301" s="3"/>
    </row>
    <row r="4302">
      <c r="A4302" s="2">
        <f>IFERROR(__xludf.DUMMYFUNCTION("""COMPUTED_VALUE"""),62589.0)</f>
        <v>62589</v>
      </c>
      <c r="B4302" s="3" t="str">
        <f>IFERROR(__xludf.DUMMYFUNCTION("""COMPUTED_VALUE"""),"60 MAIN ST  ")</f>
        <v>60 MAIN ST  </v>
      </c>
      <c r="C4302" s="3" t="str">
        <f>IFERROR(__xludf.DUMMYFUNCTION("""COMPUTED_VALUE"""),"WARKWORTH")</f>
        <v>WARKWORTH</v>
      </c>
      <c r="D4302" s="3" t="str">
        <f>IFERROR(__xludf.DUMMYFUNCTION("""COMPUTED_VALUE"""),"K0K 3K0")</f>
        <v>K0K 3K0</v>
      </c>
      <c r="E4302" s="3" t="str">
        <f>IFERROR(__xludf.DUMMYFUNCTION("""COMPUTED_VALUE"""),"St Paul's United Church")</f>
        <v>St Paul's United Church</v>
      </c>
      <c r="F4302" s="3" t="str">
        <f>IFERROR(__xludf.DUMMYFUNCTION("""COMPUTED_VALUE"""),"stpaulswarkworth@gmail.com")</f>
        <v>stpaulswarkworth@gmail.com</v>
      </c>
      <c r="G4302" s="3"/>
      <c r="H4302" s="3"/>
    </row>
    <row r="4303">
      <c r="A4303" s="2">
        <f>IFERROR(__xludf.DUMMYFUNCTION("""COMPUTED_VALUE"""),62590.0)</f>
        <v>62590</v>
      </c>
      <c r="B4303" s="3" t="str">
        <f>IFERROR(__xludf.DUMMYFUNCTION("""COMPUTED_VALUE"""),"63 MAIN ST  ")</f>
        <v>63 MAIN ST  </v>
      </c>
      <c r="C4303" s="3" t="str">
        <f>IFERROR(__xludf.DUMMYFUNCTION("""COMPUTED_VALUE"""),"WARKWORTH")</f>
        <v>WARKWORTH</v>
      </c>
      <c r="D4303" s="3" t="str">
        <f>IFERROR(__xludf.DUMMYFUNCTION("""COMPUTED_VALUE"""),"K0K 3K0")</f>
        <v>K0K 3K0</v>
      </c>
      <c r="E4303" s="3" t="str">
        <f>IFERROR(__xludf.DUMMYFUNCTION("""COMPUTED_VALUE"""),"David Byers")</f>
        <v>David Byers</v>
      </c>
      <c r="F4303" s="3"/>
      <c r="G4303" s="3"/>
      <c r="H4303" s="3"/>
    </row>
    <row r="4304">
      <c r="A4304" s="2">
        <f>IFERROR(__xludf.DUMMYFUNCTION("""COMPUTED_VALUE"""),62591.0)</f>
        <v>62591</v>
      </c>
      <c r="B4304" s="3" t="str">
        <f>IFERROR(__xludf.DUMMYFUNCTION("""COMPUTED_VALUE"""),"67 MAIN ST  ")</f>
        <v>67 MAIN ST  </v>
      </c>
      <c r="C4304" s="3" t="str">
        <f>IFERROR(__xludf.DUMMYFUNCTION("""COMPUTED_VALUE"""),"WARKWORTH")</f>
        <v>WARKWORTH</v>
      </c>
      <c r="D4304" s="3" t="str">
        <f>IFERROR(__xludf.DUMMYFUNCTION("""COMPUTED_VALUE"""),"K0K 3K0")</f>
        <v>K0K 3K0</v>
      </c>
      <c r="E4304" s="3" t="str">
        <f>IFERROR(__xludf.DUMMYFUNCTION("""COMPUTED_VALUE"""),"johnston ")</f>
        <v>johnston </v>
      </c>
      <c r="F4304" s="3"/>
      <c r="G4304" s="3">
        <f>IFERROR(__xludf.DUMMYFUNCTION("""COMPUTED_VALUE"""),7.05924271E9)</f>
        <v>7059242710</v>
      </c>
      <c r="H4304" s="3"/>
    </row>
    <row r="4305">
      <c r="A4305" s="2">
        <f>IFERROR(__xludf.DUMMYFUNCTION("""COMPUTED_VALUE"""),62592.0)</f>
        <v>62592</v>
      </c>
      <c r="B4305" s="3" t="str">
        <f>IFERROR(__xludf.DUMMYFUNCTION("""COMPUTED_VALUE"""),"73 MAIN ST  ")</f>
        <v>73 MAIN ST  </v>
      </c>
      <c r="C4305" s="3" t="str">
        <f>IFERROR(__xludf.DUMMYFUNCTION("""COMPUTED_VALUE"""),"WARKWORTH")</f>
        <v>WARKWORTH</v>
      </c>
      <c r="D4305" s="3" t="str">
        <f>IFERROR(__xludf.DUMMYFUNCTION("""COMPUTED_VALUE"""),"K0K 3K0")</f>
        <v>K0K 3K0</v>
      </c>
      <c r="E4305" s="3"/>
      <c r="F4305" s="3"/>
      <c r="G4305" s="3"/>
      <c r="H4305" s="3"/>
    </row>
    <row r="4306">
      <c r="A4306" s="2">
        <f>IFERROR(__xludf.DUMMYFUNCTION("""COMPUTED_VALUE"""),62593.0)</f>
        <v>62593</v>
      </c>
      <c r="B4306" s="3" t="str">
        <f>IFERROR(__xludf.DUMMYFUNCTION("""COMPUTED_VALUE"""),"76 MAIN ST  ")</f>
        <v>76 MAIN ST  </v>
      </c>
      <c r="C4306" s="3" t="str">
        <f>IFERROR(__xludf.DUMMYFUNCTION("""COMPUTED_VALUE"""),"WARKWORTH")</f>
        <v>WARKWORTH</v>
      </c>
      <c r="D4306" s="3" t="str">
        <f>IFERROR(__xludf.DUMMYFUNCTION("""COMPUTED_VALUE"""),"K0K 3K0")</f>
        <v>K0K 3K0</v>
      </c>
      <c r="E4306" s="3"/>
      <c r="F4306" s="3"/>
      <c r="G4306" s="3"/>
      <c r="H4306" s="3"/>
    </row>
    <row r="4307">
      <c r="A4307" s="2">
        <f>IFERROR(__xludf.DUMMYFUNCTION("""COMPUTED_VALUE"""),62594.0)</f>
        <v>62594</v>
      </c>
      <c r="B4307" s="3" t="str">
        <f>IFERROR(__xludf.DUMMYFUNCTION("""COMPUTED_VALUE"""),"77 MAIN ST  ")</f>
        <v>77 MAIN ST  </v>
      </c>
      <c r="C4307" s="3" t="str">
        <f>IFERROR(__xludf.DUMMYFUNCTION("""COMPUTED_VALUE"""),"WARKWORTH")</f>
        <v>WARKWORTH</v>
      </c>
      <c r="D4307" s="3" t="str">
        <f>IFERROR(__xludf.DUMMYFUNCTION("""COMPUTED_VALUE"""),"K0K 3K0")</f>
        <v>K0K 3K0</v>
      </c>
      <c r="E4307" s="3"/>
      <c r="F4307" s="3"/>
      <c r="G4307" s="3"/>
      <c r="H4307" s="3"/>
    </row>
    <row r="4308">
      <c r="A4308" s="2">
        <f>IFERROR(__xludf.DUMMYFUNCTION("""COMPUTED_VALUE"""),62595.0)</f>
        <v>62595</v>
      </c>
      <c r="B4308" s="3" t="str">
        <f>IFERROR(__xludf.DUMMYFUNCTION("""COMPUTED_VALUE"""),"82 MAIN ST  ")</f>
        <v>82 MAIN ST  </v>
      </c>
      <c r="C4308" s="3" t="str">
        <f>IFERROR(__xludf.DUMMYFUNCTION("""COMPUTED_VALUE"""),"WARKWORTH")</f>
        <v>WARKWORTH</v>
      </c>
      <c r="D4308" s="3" t="str">
        <f>IFERROR(__xludf.DUMMYFUNCTION("""COMPUTED_VALUE"""),"K0K 3K0")</f>
        <v>K0K 3K0</v>
      </c>
      <c r="E4308" s="3" t="str">
        <f>IFERROR(__xludf.DUMMYFUNCTION("""COMPUTED_VALUE"""),"m, johnston")</f>
        <v>m, johnston</v>
      </c>
      <c r="F4308" s="3" t="str">
        <f>IFERROR(__xludf.DUMMYFUNCTION("""COMPUTED_VALUE"""),"johnston.co@sympatico.ca")</f>
        <v>johnston.co@sympatico.ca</v>
      </c>
      <c r="G4308" s="3">
        <f>IFERROR(__xludf.DUMMYFUNCTION("""COMPUTED_VALUE"""),7.057418211E9)</f>
        <v>7057418211</v>
      </c>
      <c r="H4308" s="3"/>
    </row>
    <row r="4309">
      <c r="A4309" s="2">
        <f>IFERROR(__xludf.DUMMYFUNCTION("""COMPUTED_VALUE"""),62596.0)</f>
        <v>62596</v>
      </c>
      <c r="B4309" s="3" t="str">
        <f>IFERROR(__xludf.DUMMYFUNCTION("""COMPUTED_VALUE"""),"31-33 MAIN ST  ")</f>
        <v>31-33 MAIN ST  </v>
      </c>
      <c r="C4309" s="3" t="str">
        <f>IFERROR(__xludf.DUMMYFUNCTION("""COMPUTED_VALUE"""),"WARKWORTH")</f>
        <v>WARKWORTH</v>
      </c>
      <c r="D4309" s="3" t="str">
        <f>IFERROR(__xludf.DUMMYFUNCTION("""COMPUTED_VALUE"""),"K0K 3K0")</f>
        <v>K0K 3K0</v>
      </c>
      <c r="E4309" s="3" t="str">
        <f>IFERROR(__xludf.DUMMYFUNCTION("""COMPUTED_VALUE"""),"vera litynsky")</f>
        <v>vera litynsky</v>
      </c>
      <c r="F4309" s="3"/>
      <c r="G4309" s="3">
        <f>IFERROR(__xludf.DUMMYFUNCTION("""COMPUTED_VALUE"""),6.472370438E9)</f>
        <v>6472370438</v>
      </c>
      <c r="H4309" s="3"/>
    </row>
    <row r="4310">
      <c r="A4310" s="2">
        <f>IFERROR(__xludf.DUMMYFUNCTION("""COMPUTED_VALUE"""),62597.0)</f>
        <v>62597</v>
      </c>
      <c r="B4310" s="3" t="str">
        <f>IFERROR(__xludf.DUMMYFUNCTION("""COMPUTED_VALUE"""),"81-83 MAIN ST  ")</f>
        <v>81-83 MAIN ST  </v>
      </c>
      <c r="C4310" s="3" t="str">
        <f>IFERROR(__xludf.DUMMYFUNCTION("""COMPUTED_VALUE"""),"WARKWORTH")</f>
        <v>WARKWORTH</v>
      </c>
      <c r="D4310" s="3" t="str">
        <f>IFERROR(__xludf.DUMMYFUNCTION("""COMPUTED_VALUE"""),"K0K 3K0")</f>
        <v>K0K 3K0</v>
      </c>
      <c r="E4310" s="3" t="str">
        <f>IFERROR(__xludf.DUMMYFUNCTION("""COMPUTED_VALUE"""),"Kim Allen-McLean")</f>
        <v>Kim Allen-McLean</v>
      </c>
      <c r="F4310" s="3" t="str">
        <f>IFERROR(__xludf.DUMMYFUNCTION("""COMPUTED_VALUE"""),"kimnjoe01@yahoo.ca")</f>
        <v>kimnjoe01@yahoo.ca</v>
      </c>
      <c r="G4310" s="3">
        <f>IFERROR(__xludf.DUMMYFUNCTION("""COMPUTED_VALUE"""),7.057729036E9)</f>
        <v>7057729036</v>
      </c>
      <c r="H4310" s="3">
        <f>IFERROR(__xludf.DUMMYFUNCTION("""COMPUTED_VALUE"""),7.059243196E9)</f>
        <v>7059243196</v>
      </c>
    </row>
    <row r="4311">
      <c r="A4311" s="2">
        <f>IFERROR(__xludf.DUMMYFUNCTION("""COMPUTED_VALUE"""),62830.0)</f>
        <v>62830</v>
      </c>
      <c r="B4311" s="3" t="str">
        <f>IFERROR(__xludf.DUMMYFUNCTION("""COMPUTED_VALUE"""),"171 OLD HASTINGS RD  ")</f>
        <v>171 OLD HASTINGS RD  </v>
      </c>
      <c r="C4311" s="3" t="str">
        <f>IFERROR(__xludf.DUMMYFUNCTION("""COMPUTED_VALUE"""),"WARKWORTH")</f>
        <v>WARKWORTH</v>
      </c>
      <c r="D4311" s="3" t="str">
        <f>IFERROR(__xludf.DUMMYFUNCTION("""COMPUTED_VALUE"""),"K0K 3K0")</f>
        <v>K0K 3K0</v>
      </c>
      <c r="E4311" s="3"/>
      <c r="F4311" s="3"/>
      <c r="G4311" s="3"/>
      <c r="H4311" s="3"/>
    </row>
    <row r="4312">
      <c r="A4312" s="2">
        <f>IFERROR(__xludf.DUMMYFUNCTION("""COMPUTED_VALUE"""),62831.0)</f>
        <v>62831</v>
      </c>
      <c r="B4312" s="3" t="str">
        <f>IFERROR(__xludf.DUMMYFUNCTION("""COMPUTED_VALUE"""),"172 OLD HASTINGS RD  ")</f>
        <v>172 OLD HASTINGS RD  </v>
      </c>
      <c r="C4312" s="3" t="str">
        <f>IFERROR(__xludf.DUMMYFUNCTION("""COMPUTED_VALUE"""),"WARKWORTH")</f>
        <v>WARKWORTH</v>
      </c>
      <c r="D4312" s="3" t="str">
        <f>IFERROR(__xludf.DUMMYFUNCTION("""COMPUTED_VALUE"""),"K0K 3K0")</f>
        <v>K0K 3K0</v>
      </c>
      <c r="E4312" s="3" t="str">
        <f>IFERROR(__xludf.DUMMYFUNCTION("""COMPUTED_VALUE"""),"danielle gaguou")</f>
        <v>danielle gaguou</v>
      </c>
      <c r="F4312" s="3" t="str">
        <f>IFERROR(__xludf.DUMMYFUNCTION("""COMPUTED_VALUE"""),"daniellemgaguou@gmail.com")</f>
        <v>daniellemgaguou@gmail.com</v>
      </c>
      <c r="G4312" s="3">
        <f>IFERROR(__xludf.DUMMYFUNCTION("""COMPUTED_VALUE"""),7.057405517E9)</f>
        <v>7057405517</v>
      </c>
      <c r="H4312" s="3"/>
    </row>
    <row r="4313">
      <c r="A4313" s="2">
        <f>IFERROR(__xludf.DUMMYFUNCTION("""COMPUTED_VALUE"""),62832.0)</f>
        <v>62832</v>
      </c>
      <c r="B4313" s="3" t="str">
        <f>IFERROR(__xludf.DUMMYFUNCTION("""COMPUTED_VALUE"""),"176 OLD HASTINGS RD  ")</f>
        <v>176 OLD HASTINGS RD  </v>
      </c>
      <c r="C4313" s="3" t="str">
        <f>IFERROR(__xludf.DUMMYFUNCTION("""COMPUTED_VALUE"""),"WARKWORTH")</f>
        <v>WARKWORTH</v>
      </c>
      <c r="D4313" s="3" t="str">
        <f>IFERROR(__xludf.DUMMYFUNCTION("""COMPUTED_VALUE"""),"K0K 3K0")</f>
        <v>K0K 3K0</v>
      </c>
      <c r="E4313" s="3" t="str">
        <f>IFERROR(__xludf.DUMMYFUNCTION("""COMPUTED_VALUE"""),"carduin obrien")</f>
        <v>carduin obrien</v>
      </c>
      <c r="F4313" s="3" t="str">
        <f>IFERROR(__xludf.DUMMYFUNCTION("""COMPUTED_VALUE"""),"oj_obrien@hotmail.com")</f>
        <v>oj_obrien@hotmail.com</v>
      </c>
      <c r="G4313" s="3">
        <f>IFERROR(__xludf.DUMMYFUNCTION("""COMPUTED_VALUE"""),7.059241342E9)</f>
        <v>7059241342</v>
      </c>
      <c r="H4313" s="3"/>
    </row>
    <row r="4314">
      <c r="A4314" s="2">
        <f>IFERROR(__xludf.DUMMYFUNCTION("""COMPUTED_VALUE"""),62833.0)</f>
        <v>62833</v>
      </c>
      <c r="B4314" s="3" t="str">
        <f>IFERROR(__xludf.DUMMYFUNCTION("""COMPUTED_VALUE"""),"177 OLD HASTINGS RD  ")</f>
        <v>177 OLD HASTINGS RD  </v>
      </c>
      <c r="C4314" s="3" t="str">
        <f>IFERROR(__xludf.DUMMYFUNCTION("""COMPUTED_VALUE"""),"WARKWORTH")</f>
        <v>WARKWORTH</v>
      </c>
      <c r="D4314" s="3" t="str">
        <f>IFERROR(__xludf.DUMMYFUNCTION("""COMPUTED_VALUE"""),"K0K 3K0")</f>
        <v>K0K 3K0</v>
      </c>
      <c r="E4314" s="3" t="str">
        <f>IFERROR(__xludf.DUMMYFUNCTION("""COMPUTED_VALUE"""),"ANDRU ROSS")</f>
        <v>ANDRU ROSS</v>
      </c>
      <c r="F4314" s="3" t="str">
        <f>IFERROR(__xludf.DUMMYFUNCTION("""COMPUTED_VALUE"""),"ruralcanuck@yahoo.ca")</f>
        <v>ruralcanuck@yahoo.ca</v>
      </c>
      <c r="G4314" s="3"/>
      <c r="H4314" s="3"/>
    </row>
    <row r="4315">
      <c r="A4315" s="2">
        <f>IFERROR(__xludf.DUMMYFUNCTION("""COMPUTED_VALUE"""),62834.0)</f>
        <v>62834</v>
      </c>
      <c r="B4315" s="3" t="str">
        <f>IFERROR(__xludf.DUMMYFUNCTION("""COMPUTED_VALUE"""),"178 OLD HASTINGS RD  ")</f>
        <v>178 OLD HASTINGS RD  </v>
      </c>
      <c r="C4315" s="3" t="str">
        <f>IFERROR(__xludf.DUMMYFUNCTION("""COMPUTED_VALUE"""),"WARKWORTH")</f>
        <v>WARKWORTH</v>
      </c>
      <c r="D4315" s="3" t="str">
        <f>IFERROR(__xludf.DUMMYFUNCTION("""COMPUTED_VALUE"""),"K0K 3K0")</f>
        <v>K0K 3K0</v>
      </c>
      <c r="E4315" s="3" t="str">
        <f>IFERROR(__xludf.DUMMYFUNCTION("""COMPUTED_VALUE"""),"jason and jill graff")</f>
        <v>jason and jill graff</v>
      </c>
      <c r="F4315" s="3" t="str">
        <f>IFERROR(__xludf.DUMMYFUNCTION("""COMPUTED_VALUE"""),"jgraff123@gmail.com")</f>
        <v>jgraff123@gmail.com</v>
      </c>
      <c r="G4315" s="3">
        <f>IFERROR(__xludf.DUMMYFUNCTION("""COMPUTED_VALUE"""),2.896759287E9)</f>
        <v>2896759287</v>
      </c>
      <c r="H4315" s="3"/>
    </row>
    <row r="4316">
      <c r="A4316" s="2">
        <f>IFERROR(__xludf.DUMMYFUNCTION("""COMPUTED_VALUE"""),62835.0)</f>
        <v>62835</v>
      </c>
      <c r="B4316" s="3" t="str">
        <f>IFERROR(__xludf.DUMMYFUNCTION("""COMPUTED_VALUE"""),"182 OLD HASTINGS RD  ")</f>
        <v>182 OLD HASTINGS RD  </v>
      </c>
      <c r="C4316" s="3" t="str">
        <f>IFERROR(__xludf.DUMMYFUNCTION("""COMPUTED_VALUE"""),"WARKWORTH")</f>
        <v>WARKWORTH</v>
      </c>
      <c r="D4316" s="3" t="str">
        <f>IFERROR(__xludf.DUMMYFUNCTION("""COMPUTED_VALUE"""),"K0K 3K0")</f>
        <v>K0K 3K0</v>
      </c>
      <c r="E4316" s="3" t="str">
        <f>IFERROR(__xludf.DUMMYFUNCTION("""COMPUTED_VALUE"""),"dave crichton")</f>
        <v>dave crichton</v>
      </c>
      <c r="F4316" s="3" t="str">
        <f>IFERROR(__xludf.DUMMYFUNCTION("""COMPUTED_VALUE"""),"gvtcastrage@hotmail.com")</f>
        <v>gvtcastrage@hotmail.com</v>
      </c>
      <c r="G4316" s="3">
        <f>IFERROR(__xludf.DUMMYFUNCTION("""COMPUTED_VALUE"""),9.059032083E9)</f>
        <v>9059032083</v>
      </c>
      <c r="H4316" s="3"/>
    </row>
    <row r="4317">
      <c r="A4317" s="2">
        <f>IFERROR(__xludf.DUMMYFUNCTION("""COMPUTED_VALUE"""),61354.0)</f>
        <v>61354</v>
      </c>
      <c r="B4317" s="3" t="str">
        <f>IFERROR(__xludf.DUMMYFUNCTION("""COMPUTED_VALUE"""),"7484 COUNTY 30 RD  ")</f>
        <v>7484 COUNTY 30 RD  </v>
      </c>
      <c r="C4317" s="3" t="str">
        <f>IFERROR(__xludf.DUMMYFUNCTION("""COMPUTED_VALUE"""),"CAMPBELLFORD")</f>
        <v>CAMPBELLFORD</v>
      </c>
      <c r="D4317" s="3" t="str">
        <f>IFERROR(__xludf.DUMMYFUNCTION("""COMPUTED_VALUE"""),"K0L 1L0")</f>
        <v>K0L 1L0</v>
      </c>
      <c r="E4317" s="3" t="str">
        <f>IFERROR(__xludf.DUMMYFUNCTION("""COMPUTED_VALUE"""),"EMILY IRELAND")</f>
        <v>EMILY IRELAND</v>
      </c>
      <c r="F4317" s="3" t="str">
        <f>IFERROR(__xludf.DUMMYFUNCTION("""COMPUTED_VALUE"""),"emilyaireland@hotmail.com")</f>
        <v>emilyaireland@hotmail.com</v>
      </c>
      <c r="G4317" s="3"/>
      <c r="H4317" s="3"/>
    </row>
    <row r="4318">
      <c r="A4318" s="2">
        <f>IFERROR(__xludf.DUMMYFUNCTION("""COMPUTED_VALUE"""),61355.0)</f>
        <v>61355</v>
      </c>
      <c r="B4318" s="3" t="str">
        <f>IFERROR(__xludf.DUMMYFUNCTION("""COMPUTED_VALUE"""),"7505 COUNTY 30 RD  ")</f>
        <v>7505 COUNTY 30 RD  </v>
      </c>
      <c r="C4318" s="3" t="str">
        <f>IFERROR(__xludf.DUMMYFUNCTION("""COMPUTED_VALUE"""),"CAMPBELLFORD")</f>
        <v>CAMPBELLFORD</v>
      </c>
      <c r="D4318" s="3" t="str">
        <f>IFERROR(__xludf.DUMMYFUNCTION("""COMPUTED_VALUE"""),"K0L 1L0")</f>
        <v>K0L 1L0</v>
      </c>
      <c r="E4318" s="3"/>
      <c r="F4318" s="3"/>
      <c r="G4318" s="3"/>
      <c r="H4318" s="3"/>
    </row>
    <row r="4319">
      <c r="A4319" s="2">
        <f>IFERROR(__xludf.DUMMYFUNCTION("""COMPUTED_VALUE"""),61356.0)</f>
        <v>61356</v>
      </c>
      <c r="B4319" s="3" t="str">
        <f>IFERROR(__xludf.DUMMYFUNCTION("""COMPUTED_VALUE"""),"7539 COUNTY 30 RD  ")</f>
        <v>7539 COUNTY 30 RD  </v>
      </c>
      <c r="C4319" s="3" t="str">
        <f>IFERROR(__xludf.DUMMYFUNCTION("""COMPUTED_VALUE"""),"CAMPBELLFORD")</f>
        <v>CAMPBELLFORD</v>
      </c>
      <c r="D4319" s="3" t="str">
        <f>IFERROR(__xludf.DUMMYFUNCTION("""COMPUTED_VALUE"""),"K0L 1L0")</f>
        <v>K0L 1L0</v>
      </c>
      <c r="E4319" s="3" t="str">
        <f>IFERROR(__xludf.DUMMYFUNCTION("""COMPUTED_VALUE"""),"Ann Gouin")</f>
        <v>Ann Gouin</v>
      </c>
      <c r="F4319" s="3" t="str">
        <f>IFERROR(__xludf.DUMMYFUNCTION("""COMPUTED_VALUE"""),"agouin01@icloud.com")</f>
        <v>agouin01@icloud.com</v>
      </c>
      <c r="G4319" s="3"/>
      <c r="H4319" s="3"/>
    </row>
    <row r="4320">
      <c r="A4320" s="2">
        <f>IFERROR(__xludf.DUMMYFUNCTION("""COMPUTED_VALUE"""),61357.0)</f>
        <v>61357</v>
      </c>
      <c r="B4320" s="3" t="str">
        <f>IFERROR(__xludf.DUMMYFUNCTION("""COMPUTED_VALUE"""),"7638 COUNTY 30 RD  ")</f>
        <v>7638 COUNTY 30 RD  </v>
      </c>
      <c r="C4320" s="3" t="str">
        <f>IFERROR(__xludf.DUMMYFUNCTION("""COMPUTED_VALUE"""),"CAMPBELLFORD")</f>
        <v>CAMPBELLFORD</v>
      </c>
      <c r="D4320" s="3" t="str">
        <f>IFERROR(__xludf.DUMMYFUNCTION("""COMPUTED_VALUE"""),"K0L 1L0")</f>
        <v>K0L 1L0</v>
      </c>
      <c r="E4320" s="3" t="str">
        <f>IFERROR(__xludf.DUMMYFUNCTION("""COMPUTED_VALUE"""),"Dean Quinn ")</f>
        <v>Dean Quinn </v>
      </c>
      <c r="F4320" s="3" t="str">
        <f>IFERROR(__xludf.DUMMYFUNCTION("""COMPUTED_VALUE"""),"Jdeanquinn@gmail.com")</f>
        <v>Jdeanquinn@gmail.com</v>
      </c>
      <c r="G4320" s="3">
        <f>IFERROR(__xludf.DUMMYFUNCTION("""COMPUTED_VALUE"""),7.056538257E9)</f>
        <v>7056538257</v>
      </c>
      <c r="H4320" s="3"/>
    </row>
    <row r="4321">
      <c r="A4321" s="2">
        <f>IFERROR(__xludf.DUMMYFUNCTION("""COMPUTED_VALUE"""),61358.0)</f>
        <v>61358</v>
      </c>
      <c r="B4321" s="3" t="str">
        <f>IFERROR(__xludf.DUMMYFUNCTION("""COMPUTED_VALUE"""),"7706 COUNTY 30 RD  ")</f>
        <v>7706 COUNTY 30 RD  </v>
      </c>
      <c r="C4321" s="3" t="str">
        <f>IFERROR(__xludf.DUMMYFUNCTION("""COMPUTED_VALUE"""),"CAMPBELLFORD")</f>
        <v>CAMPBELLFORD</v>
      </c>
      <c r="D4321" s="3" t="str">
        <f>IFERROR(__xludf.DUMMYFUNCTION("""COMPUTED_VALUE"""),"K0L 1L0")</f>
        <v>K0L 1L0</v>
      </c>
      <c r="E4321" s="3" t="str">
        <f>IFERROR(__xludf.DUMMYFUNCTION("""COMPUTED_VALUE"""),"STACEY SIMPSON")</f>
        <v>STACEY SIMPSON</v>
      </c>
      <c r="F4321" s="3" t="str">
        <f>IFERROR(__xludf.DUMMYFUNCTION("""COMPUTED_VALUE"""),"Stacey_parks08@hotmail.com")</f>
        <v>Stacey_parks08@hotmail.com</v>
      </c>
      <c r="G4321" s="3"/>
      <c r="H4321" s="3"/>
    </row>
    <row r="4322">
      <c r="A4322" s="2">
        <f>IFERROR(__xludf.DUMMYFUNCTION("""COMPUTED_VALUE"""),61359.0)</f>
        <v>61359</v>
      </c>
      <c r="B4322" s="3" t="str">
        <f>IFERROR(__xludf.DUMMYFUNCTION("""COMPUTED_VALUE"""),"7733 COUNTY 30 RD  ")</f>
        <v>7733 COUNTY 30 RD  </v>
      </c>
      <c r="C4322" s="3" t="str">
        <f>IFERROR(__xludf.DUMMYFUNCTION("""COMPUTED_VALUE"""),"CAMPBELLFORD")</f>
        <v>CAMPBELLFORD</v>
      </c>
      <c r="D4322" s="3" t="str">
        <f>IFERROR(__xludf.DUMMYFUNCTION("""COMPUTED_VALUE"""),"K0L 1L0")</f>
        <v>K0L 1L0</v>
      </c>
      <c r="E4322" s="3" t="str">
        <f>IFERROR(__xludf.DUMMYFUNCTION("""COMPUTED_VALUE"""),"Aaron Quinn ")</f>
        <v>Aaron Quinn </v>
      </c>
      <c r="F4322" s="3"/>
      <c r="G4322" s="3">
        <f>IFERROR(__xludf.DUMMYFUNCTION("""COMPUTED_VALUE"""),7.056538258E9)</f>
        <v>7056538258</v>
      </c>
      <c r="H4322" s="3"/>
    </row>
    <row r="4323">
      <c r="A4323" s="2">
        <f>IFERROR(__xludf.DUMMYFUNCTION("""COMPUTED_VALUE"""),61360.0)</f>
        <v>61360</v>
      </c>
      <c r="B4323" s="3" t="str">
        <f>IFERROR(__xludf.DUMMYFUNCTION("""COMPUTED_VALUE"""),"7742 COUNTY 30 RD  ")</f>
        <v>7742 COUNTY 30 RD  </v>
      </c>
      <c r="C4323" s="3" t="str">
        <f>IFERROR(__xludf.DUMMYFUNCTION("""COMPUTED_VALUE"""),"CAMPBELLFORD")</f>
        <v>CAMPBELLFORD</v>
      </c>
      <c r="D4323" s="3" t="str">
        <f>IFERROR(__xludf.DUMMYFUNCTION("""COMPUTED_VALUE"""),"K0L 1L0")</f>
        <v>K0L 1L0</v>
      </c>
      <c r="E4323" s="3" t="str">
        <f>IFERROR(__xludf.DUMMYFUNCTION("""COMPUTED_VALUE"""),"KELLY JOHNSON")</f>
        <v>KELLY JOHNSON</v>
      </c>
      <c r="F4323" s="3" t="str">
        <f>IFERROR(__xludf.DUMMYFUNCTION("""COMPUTED_VALUE"""),"johnson.kelly.t@gmail.com")</f>
        <v>johnson.kelly.t@gmail.com</v>
      </c>
      <c r="G4323" s="3"/>
      <c r="H4323" s="3"/>
    </row>
    <row r="4324">
      <c r="A4324" s="2">
        <f>IFERROR(__xludf.DUMMYFUNCTION("""COMPUTED_VALUE"""),61361.0)</f>
        <v>61361</v>
      </c>
      <c r="B4324" s="3" t="str">
        <f>IFERROR(__xludf.DUMMYFUNCTION("""COMPUTED_VALUE"""),"7766 COUNTY 30 RD  ")</f>
        <v>7766 COUNTY 30 RD  </v>
      </c>
      <c r="C4324" s="3" t="str">
        <f>IFERROR(__xludf.DUMMYFUNCTION("""COMPUTED_VALUE"""),"CAMPBELLFORD")</f>
        <v>CAMPBELLFORD</v>
      </c>
      <c r="D4324" s="3" t="str">
        <f>IFERROR(__xludf.DUMMYFUNCTION("""COMPUTED_VALUE"""),"K0L 1L0")</f>
        <v>K0L 1L0</v>
      </c>
      <c r="E4324" s="3" t="str">
        <f>IFERROR(__xludf.DUMMYFUNCTION("""COMPUTED_VALUE"""),"Ken dillabough ")</f>
        <v>Ken dillabough </v>
      </c>
      <c r="F4324" s="3" t="str">
        <f>IFERROR(__xludf.DUMMYFUNCTION("""COMPUTED_VALUE"""),"Dillabough07@msn.com")</f>
        <v>Dillabough07@msn.com</v>
      </c>
      <c r="G4324" s="3">
        <f>IFERROR(__xludf.DUMMYFUNCTION("""COMPUTED_VALUE"""),7.056538203E9)</f>
        <v>7056538203</v>
      </c>
      <c r="H4324" s="3">
        <f>IFERROR(__xludf.DUMMYFUNCTION("""COMPUTED_VALUE"""),7.056536376E9)</f>
        <v>7056536376</v>
      </c>
    </row>
    <row r="4325">
      <c r="A4325" s="2">
        <f>IFERROR(__xludf.DUMMYFUNCTION("""COMPUTED_VALUE"""),61362.0)</f>
        <v>61362</v>
      </c>
      <c r="B4325" s="3" t="str">
        <f>IFERROR(__xludf.DUMMYFUNCTION("""COMPUTED_VALUE"""),"7781 COUNTY 30 RD  ")</f>
        <v>7781 COUNTY 30 RD  </v>
      </c>
      <c r="C4325" s="3" t="str">
        <f>IFERROR(__xludf.DUMMYFUNCTION("""COMPUTED_VALUE"""),"HASTINGS")</f>
        <v>HASTINGS</v>
      </c>
      <c r="D4325" s="3" t="str">
        <f>IFERROR(__xludf.DUMMYFUNCTION("""COMPUTED_VALUE"""),"K0L 1Y0")</f>
        <v>K0L 1Y0</v>
      </c>
      <c r="E4325" s="3"/>
      <c r="F4325" s="3"/>
      <c r="G4325" s="3"/>
      <c r="H4325" s="3"/>
    </row>
    <row r="4326">
      <c r="A4326" s="2">
        <f>IFERROR(__xludf.DUMMYFUNCTION("""COMPUTED_VALUE"""),61363.0)</f>
        <v>61363</v>
      </c>
      <c r="B4326" s="3" t="str">
        <f>IFERROR(__xludf.DUMMYFUNCTION("""COMPUTED_VALUE"""),"7930 COUNTY 30 RD  ")</f>
        <v>7930 COUNTY 30 RD  </v>
      </c>
      <c r="C4326" s="3" t="str">
        <f>IFERROR(__xludf.DUMMYFUNCTION("""COMPUTED_VALUE"""),"HASTINGS")</f>
        <v>HASTINGS</v>
      </c>
      <c r="D4326" s="3" t="str">
        <f>IFERROR(__xludf.DUMMYFUNCTION("""COMPUTED_VALUE"""),"K0L 1Y0")</f>
        <v>K0L 1Y0</v>
      </c>
      <c r="E4326" s="3" t="str">
        <f>IFERROR(__xludf.DUMMYFUNCTION("""COMPUTED_VALUE"""),"Gabrielle Lefrancois")</f>
        <v>Gabrielle Lefrancois</v>
      </c>
      <c r="F4326" s="3" t="str">
        <f>IFERROR(__xludf.DUMMYFUNCTION("""COMPUTED_VALUE"""),"glefranc1826@gmail.com")</f>
        <v>glefranc1826@gmail.com</v>
      </c>
      <c r="G4326" s="3">
        <f>IFERROR(__xludf.DUMMYFUNCTION("""COMPUTED_VALUE"""),4.167216964E9)</f>
        <v>4167216964</v>
      </c>
      <c r="H4326" s="3"/>
    </row>
    <row r="4327">
      <c r="A4327" s="2">
        <f>IFERROR(__xludf.DUMMYFUNCTION("""COMPUTED_VALUE"""),61364.0)</f>
        <v>61364</v>
      </c>
      <c r="B4327" s="3" t="str">
        <f>IFERROR(__xludf.DUMMYFUNCTION("""COMPUTED_VALUE"""),"7996 COUNTY 30 RD  ")</f>
        <v>7996 COUNTY 30 RD  </v>
      </c>
      <c r="C4327" s="3" t="str">
        <f>IFERROR(__xludf.DUMMYFUNCTION("""COMPUTED_VALUE"""),"HASTINGS")</f>
        <v>HASTINGS</v>
      </c>
      <c r="D4327" s="3" t="str">
        <f>IFERROR(__xludf.DUMMYFUNCTION("""COMPUTED_VALUE"""),"K0L 1Y0")</f>
        <v>K0L 1Y0</v>
      </c>
      <c r="E4327" s="3"/>
      <c r="F4327" s="3"/>
      <c r="G4327" s="3"/>
      <c r="H4327" s="3"/>
    </row>
    <row r="4328">
      <c r="A4328" s="2">
        <f>IFERROR(__xludf.DUMMYFUNCTION("""COMPUTED_VALUE"""),61365.0)</f>
        <v>61365</v>
      </c>
      <c r="B4328" s="3" t="str">
        <f>IFERROR(__xludf.DUMMYFUNCTION("""COMPUTED_VALUE"""),"8044 COUNTY 30 RD  ")</f>
        <v>8044 COUNTY 30 RD  </v>
      </c>
      <c r="C4328" s="3" t="str">
        <f>IFERROR(__xludf.DUMMYFUNCTION("""COMPUTED_VALUE"""),"HASTINGS")</f>
        <v>HASTINGS</v>
      </c>
      <c r="D4328" s="3" t="str">
        <f>IFERROR(__xludf.DUMMYFUNCTION("""COMPUTED_VALUE"""),"K0L 1Y0")</f>
        <v>K0L 1Y0</v>
      </c>
      <c r="E4328" s="3" t="str">
        <f>IFERROR(__xludf.DUMMYFUNCTION("""COMPUTED_VALUE"""),"Josh Shannick")</f>
        <v>Josh Shannick</v>
      </c>
      <c r="F4328" s="3" t="str">
        <f>IFERROR(__xludf.DUMMYFUNCTION("""COMPUTED_VALUE"""),"jshannick@live.ca")</f>
        <v>jshannick@live.ca</v>
      </c>
      <c r="G4328" s="3"/>
      <c r="H4328" s="3"/>
    </row>
    <row r="4329">
      <c r="A4329" s="2">
        <f>IFERROR(__xludf.DUMMYFUNCTION("""COMPUTED_VALUE"""),61366.0)</f>
        <v>61366</v>
      </c>
      <c r="B4329" s="3" t="str">
        <f>IFERROR(__xludf.DUMMYFUNCTION("""COMPUTED_VALUE"""),"8083 COUNTY 30 RD  ")</f>
        <v>8083 COUNTY 30 RD  </v>
      </c>
      <c r="C4329" s="3" t="str">
        <f>IFERROR(__xludf.DUMMYFUNCTION("""COMPUTED_VALUE"""),"HASTINGS")</f>
        <v>HASTINGS</v>
      </c>
      <c r="D4329" s="3" t="str">
        <f>IFERROR(__xludf.DUMMYFUNCTION("""COMPUTED_VALUE"""),"K0L 1Y0")</f>
        <v>K0L 1Y0</v>
      </c>
      <c r="E4329" s="3" t="str">
        <f>IFERROR(__xludf.DUMMYFUNCTION("""COMPUTED_VALUE"""),"wayne cooper")</f>
        <v>wayne cooper</v>
      </c>
      <c r="F4329" s="3" t="str">
        <f>IFERROR(__xludf.DUMMYFUNCTION("""COMPUTED_VALUE"""),"akkutool@live.ca")</f>
        <v>akkutool@live.ca</v>
      </c>
      <c r="G4329" s="3"/>
      <c r="H4329" s="3"/>
    </row>
    <row r="4330">
      <c r="A4330" s="2">
        <f>IFERROR(__xludf.DUMMYFUNCTION("""COMPUTED_VALUE"""),61367.0)</f>
        <v>61367</v>
      </c>
      <c r="B4330" s="3" t="str">
        <f>IFERROR(__xludf.DUMMYFUNCTION("""COMPUTED_VALUE"""),"8230 COUNTY 30 RD  ")</f>
        <v>8230 COUNTY 30 RD  </v>
      </c>
      <c r="C4330" s="3" t="str">
        <f>IFERROR(__xludf.DUMMYFUNCTION("""COMPUTED_VALUE"""),"HASTINGS")</f>
        <v>HASTINGS</v>
      </c>
      <c r="D4330" s="3" t="str">
        <f>IFERROR(__xludf.DUMMYFUNCTION("""COMPUTED_VALUE"""),"K0L 1Y0")</f>
        <v>K0L 1Y0</v>
      </c>
      <c r="E4330" s="3" t="str">
        <f>IFERROR(__xludf.DUMMYFUNCTION("""COMPUTED_VALUE"""),"Molly herberg ")</f>
        <v>Molly herberg </v>
      </c>
      <c r="F4330" s="3" t="str">
        <f>IFERROR(__xludf.DUMMYFUNCTION("""COMPUTED_VALUE"""),"Mollyherberg@gmail.com")</f>
        <v>Mollyherberg@gmail.com</v>
      </c>
      <c r="G4330" s="3">
        <f>IFERROR(__xludf.DUMMYFUNCTION("""COMPUTED_VALUE"""),7.059336796E9)</f>
        <v>7059336796</v>
      </c>
      <c r="H4330" s="3"/>
    </row>
    <row r="4331">
      <c r="A4331" s="2">
        <f>IFERROR(__xludf.DUMMYFUNCTION("""COMPUTED_VALUE"""),61369.0)</f>
        <v>61369</v>
      </c>
      <c r="B4331" s="3" t="str">
        <f>IFERROR(__xludf.DUMMYFUNCTION("""COMPUTED_VALUE"""),"8340 COUNTY 30 RD  ")</f>
        <v>8340 COUNTY 30 RD  </v>
      </c>
      <c r="C4331" s="3" t="str">
        <f>IFERROR(__xludf.DUMMYFUNCTION("""COMPUTED_VALUE"""),"HAVELOCK")</f>
        <v>HAVELOCK</v>
      </c>
      <c r="D4331" s="3" t="str">
        <f>IFERROR(__xludf.DUMMYFUNCTION("""COMPUTED_VALUE"""),"K0L 1Z0")</f>
        <v>K0L 1Z0</v>
      </c>
      <c r="E4331" s="3" t="str">
        <f>IFERROR(__xludf.DUMMYFUNCTION("""COMPUTED_VALUE"""),"Kory hurren")</f>
        <v>Kory hurren</v>
      </c>
      <c r="F4331" s="3" t="str">
        <f>IFERROR(__xludf.DUMMYFUNCTION("""COMPUTED_VALUE"""),"Khurren11@gmail.com")</f>
        <v>Khurren11@gmail.com</v>
      </c>
      <c r="G4331" s="3">
        <f>IFERROR(__xludf.DUMMYFUNCTION("""COMPUTED_VALUE"""),7.059343288E9)</f>
        <v>7059343288</v>
      </c>
      <c r="H4331" s="3"/>
    </row>
    <row r="4332">
      <c r="A4332" s="2">
        <f>IFERROR(__xludf.DUMMYFUNCTION("""COMPUTED_VALUE"""),61370.0)</f>
        <v>61370</v>
      </c>
      <c r="B4332" s="3" t="str">
        <f>IFERROR(__xludf.DUMMYFUNCTION("""COMPUTED_VALUE"""),"8433 COUNTY 30 RD  ")</f>
        <v>8433 COUNTY 30 RD  </v>
      </c>
      <c r="C4332" s="3" t="str">
        <f>IFERROR(__xludf.DUMMYFUNCTION("""COMPUTED_VALUE"""),"HAVELOCK")</f>
        <v>HAVELOCK</v>
      </c>
      <c r="D4332" s="3" t="str">
        <f>IFERROR(__xludf.DUMMYFUNCTION("""COMPUTED_VALUE"""),"K0L 1Z0")</f>
        <v>K0L 1Z0</v>
      </c>
      <c r="E4332" s="3" t="str">
        <f>IFERROR(__xludf.DUMMYFUNCTION("""COMPUTED_VALUE"""),"Cameron wash ")</f>
        <v>Cameron wash </v>
      </c>
      <c r="F4332" s="3" t="str">
        <f>IFERROR(__xludf.DUMMYFUNCTION("""COMPUTED_VALUE"""),"Cam@ppfgroup.ca")</f>
        <v>Cam@ppfgroup.ca</v>
      </c>
      <c r="G4332" s="3">
        <f>IFERROR(__xludf.DUMMYFUNCTION("""COMPUTED_VALUE"""),7.05868816E9)</f>
        <v>7058688160</v>
      </c>
      <c r="H4332" s="3"/>
    </row>
    <row r="4333">
      <c r="A4333" s="2">
        <f>IFERROR(__xludf.DUMMYFUNCTION("""COMPUTED_VALUE"""),61371.0)</f>
        <v>61371</v>
      </c>
      <c r="B4333" s="3" t="str">
        <f>IFERROR(__xludf.DUMMYFUNCTION("""COMPUTED_VALUE"""),"8456 COUNTY 30 RD  ")</f>
        <v>8456 COUNTY 30 RD  </v>
      </c>
      <c r="C4333" s="3" t="str">
        <f>IFERROR(__xludf.DUMMYFUNCTION("""COMPUTED_VALUE"""),"HAVELOCK")</f>
        <v>HAVELOCK</v>
      </c>
      <c r="D4333" s="3" t="str">
        <f>IFERROR(__xludf.DUMMYFUNCTION("""COMPUTED_VALUE"""),"K0L 1Z0")</f>
        <v>K0L 1Z0</v>
      </c>
      <c r="E4333" s="3" t="str">
        <f>IFERROR(__xludf.DUMMYFUNCTION("""COMPUTED_VALUE"""),"Scott envilles")</f>
        <v>Scott envilles</v>
      </c>
      <c r="F4333" s="3"/>
      <c r="G4333" s="3">
        <f>IFERROR(__xludf.DUMMYFUNCTION("""COMPUTED_VALUE"""),6.476516138E9)</f>
        <v>6476516138</v>
      </c>
      <c r="H4333" s="3"/>
    </row>
    <row r="4334">
      <c r="A4334" s="2">
        <f>IFERROR(__xludf.DUMMYFUNCTION("""COMPUTED_VALUE"""),61372.0)</f>
        <v>61372</v>
      </c>
      <c r="B4334" s="3" t="str">
        <f>IFERROR(__xludf.DUMMYFUNCTION("""COMPUTED_VALUE"""),"8508 COUNTY 30 RD  ")</f>
        <v>8508 COUNTY 30 RD  </v>
      </c>
      <c r="C4334" s="3" t="str">
        <f>IFERROR(__xludf.DUMMYFUNCTION("""COMPUTED_VALUE"""),"HAVELOCK")</f>
        <v>HAVELOCK</v>
      </c>
      <c r="D4334" s="3" t="str">
        <f>IFERROR(__xludf.DUMMYFUNCTION("""COMPUTED_VALUE"""),"K0L 1Z0")</f>
        <v>K0L 1Z0</v>
      </c>
      <c r="E4334" s="3" t="str">
        <f>IFERROR(__xludf.DUMMYFUNCTION("""COMPUTED_VALUE"""),"Jane brown ")</f>
        <v>Jane brown </v>
      </c>
      <c r="F4334" s="3" t="str">
        <f>IFERROR(__xludf.DUMMYFUNCTION("""COMPUTED_VALUE"""),"Janer304@gmail.com")</f>
        <v>Janer304@gmail.com</v>
      </c>
      <c r="G4334" s="3">
        <f>IFERROR(__xludf.DUMMYFUNCTION("""COMPUTED_VALUE"""),7.057222178E9)</f>
        <v>7057222178</v>
      </c>
      <c r="H4334" s="3">
        <f>IFERROR(__xludf.DUMMYFUNCTION("""COMPUTED_VALUE"""),7.057229705E9)</f>
        <v>7057229705</v>
      </c>
    </row>
    <row r="4335">
      <c r="A4335" s="2">
        <f>IFERROR(__xludf.DUMMYFUNCTION("""COMPUTED_VALUE"""),61373.0)</f>
        <v>61373</v>
      </c>
      <c r="B4335" s="3" t="str">
        <f>IFERROR(__xludf.DUMMYFUNCTION("""COMPUTED_VALUE"""),"8532 COUNTY 30 RD  ")</f>
        <v>8532 COUNTY 30 RD  </v>
      </c>
      <c r="C4335" s="3" t="str">
        <f>IFERROR(__xludf.DUMMYFUNCTION("""COMPUTED_VALUE"""),"HAVELOCK")</f>
        <v>HAVELOCK</v>
      </c>
      <c r="D4335" s="3" t="str">
        <f>IFERROR(__xludf.DUMMYFUNCTION("""COMPUTED_VALUE"""),"K0L 1Z0")</f>
        <v>K0L 1Z0</v>
      </c>
      <c r="E4335" s="3"/>
      <c r="F4335" s="3"/>
      <c r="G4335" s="3"/>
      <c r="H4335" s="3"/>
    </row>
    <row r="4336">
      <c r="A4336" s="2">
        <f>IFERROR(__xludf.DUMMYFUNCTION("""COMPUTED_VALUE"""),61374.0)</f>
        <v>61374</v>
      </c>
      <c r="B4336" s="3" t="str">
        <f>IFERROR(__xludf.DUMMYFUNCTION("""COMPUTED_VALUE"""),"8587 COUNTY 30 RD  ")</f>
        <v>8587 COUNTY 30 RD  </v>
      </c>
      <c r="C4336" s="3" t="str">
        <f>IFERROR(__xludf.DUMMYFUNCTION("""COMPUTED_VALUE"""),"HAVELOCK")</f>
        <v>HAVELOCK</v>
      </c>
      <c r="D4336" s="3" t="str">
        <f>IFERROR(__xludf.DUMMYFUNCTION("""COMPUTED_VALUE"""),"K0L 1Z0")</f>
        <v>K0L 1Z0</v>
      </c>
      <c r="E4336" s="3"/>
      <c r="F4336" s="3"/>
      <c r="G4336" s="3"/>
      <c r="H4336" s="3"/>
    </row>
    <row r="4337">
      <c r="A4337" s="2">
        <f>IFERROR(__xludf.DUMMYFUNCTION("""COMPUTED_VALUE"""),61376.0)</f>
        <v>61376</v>
      </c>
      <c r="B4337" s="3" t="str">
        <f>IFERROR(__xludf.DUMMYFUNCTION("""COMPUTED_VALUE"""),"8607 COUNTY 30 RD  ")</f>
        <v>8607 COUNTY 30 RD  </v>
      </c>
      <c r="C4337" s="3" t="str">
        <f>IFERROR(__xludf.DUMMYFUNCTION("""COMPUTED_VALUE"""),"HAVELOCK")</f>
        <v>HAVELOCK</v>
      </c>
      <c r="D4337" s="3" t="str">
        <f>IFERROR(__xludf.DUMMYFUNCTION("""COMPUTED_VALUE"""),"K0L 1Z0")</f>
        <v>K0L 1Z0</v>
      </c>
      <c r="E4337" s="3"/>
      <c r="F4337" s="3"/>
      <c r="G4337" s="3"/>
      <c r="H4337" s="3"/>
    </row>
    <row r="4338">
      <c r="A4338" s="2">
        <f>IFERROR(__xludf.DUMMYFUNCTION("""COMPUTED_VALUE"""),61377.0)</f>
        <v>61377</v>
      </c>
      <c r="B4338" s="3" t="str">
        <f>IFERROR(__xludf.DUMMYFUNCTION("""COMPUTED_VALUE"""),"8645 COUNTY 30 RD  ")</f>
        <v>8645 COUNTY 30 RD  </v>
      </c>
      <c r="C4338" s="3" t="str">
        <f>IFERROR(__xludf.DUMMYFUNCTION("""COMPUTED_VALUE"""),"HAVELOCK")</f>
        <v>HAVELOCK</v>
      </c>
      <c r="D4338" s="3" t="str">
        <f>IFERROR(__xludf.DUMMYFUNCTION("""COMPUTED_VALUE"""),"K0L 1Z0")</f>
        <v>K0L 1Z0</v>
      </c>
      <c r="E4338" s="3"/>
      <c r="F4338" s="3"/>
      <c r="G4338" s="3"/>
      <c r="H4338" s="3"/>
    </row>
    <row r="4339">
      <c r="A4339" s="2">
        <f>IFERROR(__xludf.DUMMYFUNCTION("""COMPUTED_VALUE"""),61378.0)</f>
        <v>61378</v>
      </c>
      <c r="B4339" s="3" t="str">
        <f>IFERROR(__xludf.DUMMYFUNCTION("""COMPUTED_VALUE"""),"8688 COUNTY 30 RD  ")</f>
        <v>8688 COUNTY 30 RD  </v>
      </c>
      <c r="C4339" s="3" t="str">
        <f>IFERROR(__xludf.DUMMYFUNCTION("""COMPUTED_VALUE"""),"HAVELOCK")</f>
        <v>HAVELOCK</v>
      </c>
      <c r="D4339" s="3" t="str">
        <f>IFERROR(__xludf.DUMMYFUNCTION("""COMPUTED_VALUE"""),"K0L 1Z0")</f>
        <v>K0L 1Z0</v>
      </c>
      <c r="E4339" s="3"/>
      <c r="F4339" s="3"/>
      <c r="G4339" s="3"/>
      <c r="H4339" s="3"/>
    </row>
    <row r="4340">
      <c r="A4340" s="2">
        <f>IFERROR(__xludf.DUMMYFUNCTION("""COMPUTED_VALUE"""),61379.0)</f>
        <v>61379</v>
      </c>
      <c r="B4340" s="3" t="str">
        <f>IFERROR(__xludf.DUMMYFUNCTION("""COMPUTED_VALUE"""),"8716 COUNTY 30")</f>
        <v>8716 COUNTY 30</v>
      </c>
      <c r="C4340" s="3" t="str">
        <f>IFERROR(__xludf.DUMMYFUNCTION("""COMPUTED_VALUE"""),"HAVELOCK")</f>
        <v>HAVELOCK</v>
      </c>
      <c r="D4340" s="3" t="str">
        <f>IFERROR(__xludf.DUMMYFUNCTION("""COMPUTED_VALUE"""),"K0L 1Z0")</f>
        <v>K0L 1Z0</v>
      </c>
      <c r="E4340" s="3"/>
      <c r="F4340" s="3"/>
      <c r="G4340" s="3"/>
      <c r="H4340" s="3"/>
    </row>
    <row r="4341">
      <c r="A4341" s="2">
        <f>IFERROR(__xludf.DUMMYFUNCTION("""COMPUTED_VALUE"""),61380.0)</f>
        <v>61380</v>
      </c>
      <c r="B4341" s="3" t="str">
        <f>IFERROR(__xludf.DUMMYFUNCTION("""COMPUTED_VALUE"""),"8720 COUNTY RD 30")</f>
        <v>8720 COUNTY RD 30</v>
      </c>
      <c r="C4341" s="3" t="str">
        <f>IFERROR(__xludf.DUMMYFUNCTION("""COMPUTED_VALUE"""),"HAVELOCK")</f>
        <v>HAVELOCK</v>
      </c>
      <c r="D4341" s="3" t="str">
        <f>IFERROR(__xludf.DUMMYFUNCTION("""COMPUTED_VALUE"""),"K0L 1Z0")</f>
        <v>K0L 1Z0</v>
      </c>
      <c r="E4341" s="3"/>
      <c r="F4341" s="3"/>
      <c r="G4341" s="3"/>
      <c r="H4341" s="3"/>
    </row>
    <row r="4342">
      <c r="A4342" s="2">
        <f>IFERROR(__xludf.DUMMYFUNCTION("""COMPUTED_VALUE"""),61381.0)</f>
        <v>61381</v>
      </c>
      <c r="B4342" s="3" t="str">
        <f>IFERROR(__xludf.DUMMYFUNCTION("""COMPUTED_VALUE"""),"8726 COUNTY RD 30")</f>
        <v>8726 COUNTY RD 30</v>
      </c>
      <c r="C4342" s="3" t="str">
        <f>IFERROR(__xludf.DUMMYFUNCTION("""COMPUTED_VALUE"""),"HAVELOCK")</f>
        <v>HAVELOCK</v>
      </c>
      <c r="D4342" s="3" t="str">
        <f>IFERROR(__xludf.DUMMYFUNCTION("""COMPUTED_VALUE"""),"K0L 1Z0")</f>
        <v>K0L 1Z0</v>
      </c>
      <c r="E4342" s="3"/>
      <c r="F4342" s="3"/>
      <c r="G4342" s="3"/>
      <c r="H4342" s="3"/>
    </row>
    <row r="4343">
      <c r="A4343" s="2">
        <f>IFERROR(__xludf.DUMMYFUNCTION("""COMPUTED_VALUE"""),61382.0)</f>
        <v>61382</v>
      </c>
      <c r="B4343" s="3" t="str">
        <f>IFERROR(__xludf.DUMMYFUNCTION("""COMPUTED_VALUE"""),"8731 COUNTY RD 30")</f>
        <v>8731 COUNTY RD 30</v>
      </c>
      <c r="C4343" s="3" t="str">
        <f>IFERROR(__xludf.DUMMYFUNCTION("""COMPUTED_VALUE"""),"HAVELOCK")</f>
        <v>HAVELOCK</v>
      </c>
      <c r="D4343" s="3" t="str">
        <f>IFERROR(__xludf.DUMMYFUNCTION("""COMPUTED_VALUE"""),"K0L 1Z0")</f>
        <v>K0L 1Z0</v>
      </c>
      <c r="E4343" s="3"/>
      <c r="F4343" s="3"/>
      <c r="G4343" s="3"/>
      <c r="H4343" s="3"/>
    </row>
    <row r="4344">
      <c r="A4344" s="2">
        <f>IFERROR(__xludf.DUMMYFUNCTION("""COMPUTED_VALUE"""),61575.0)</f>
        <v>61575</v>
      </c>
      <c r="B4344" s="3" t="str">
        <f>IFERROR(__xludf.DUMMYFUNCTION("""COMPUTED_VALUE"""),"7054 COUNTY 50 RD  ")</f>
        <v>7054 COUNTY 50 RD  </v>
      </c>
      <c r="C4344" s="3" t="str">
        <f>IFERROR(__xludf.DUMMYFUNCTION("""COMPUTED_VALUE"""),"CAMPBELLFORD")</f>
        <v>CAMPBELLFORD</v>
      </c>
      <c r="D4344" s="3" t="str">
        <f>IFERROR(__xludf.DUMMYFUNCTION("""COMPUTED_VALUE"""),"K0L 1L0")</f>
        <v>K0L 1L0</v>
      </c>
      <c r="E4344" s="3" t="str">
        <f>IFERROR(__xludf.DUMMYFUNCTION("""COMPUTED_VALUE"""),"Sarah Sanyal")</f>
        <v>Sarah Sanyal</v>
      </c>
      <c r="F4344" s="3" t="str">
        <f>IFERROR(__xludf.DUMMYFUNCTION("""COMPUTED_VALUE"""),"7054cr50@gmail.com")</f>
        <v>7054cr50@gmail.com</v>
      </c>
      <c r="G4344" s="3"/>
      <c r="H4344" s="3"/>
    </row>
    <row r="4345">
      <c r="A4345" s="2">
        <f>IFERROR(__xludf.DUMMYFUNCTION("""COMPUTED_VALUE"""),61576.0)</f>
        <v>61576</v>
      </c>
      <c r="B4345" s="3" t="str">
        <f>IFERROR(__xludf.DUMMYFUNCTION("""COMPUTED_VALUE"""),"7062 COUNTY 50 RD  ")</f>
        <v>7062 COUNTY 50 RD  </v>
      </c>
      <c r="C4345" s="3" t="str">
        <f>IFERROR(__xludf.DUMMYFUNCTION("""COMPUTED_VALUE"""),"CAMPBELLFORD")</f>
        <v>CAMPBELLFORD</v>
      </c>
      <c r="D4345" s="3" t="str">
        <f>IFERROR(__xludf.DUMMYFUNCTION("""COMPUTED_VALUE"""),"K0L 1L0")</f>
        <v>K0L 1L0</v>
      </c>
      <c r="E4345" s="3" t="str">
        <f>IFERROR(__xludf.DUMMYFUNCTION("""COMPUTED_VALUE"""),"Yvette Mckay")</f>
        <v>Yvette Mckay</v>
      </c>
      <c r="F4345" s="3" t="str">
        <f>IFERROR(__xludf.DUMMYFUNCTION("""COMPUTED_VALUE"""),"fireant22ca@yahoo.ca")</f>
        <v>fireant22ca@yahoo.ca</v>
      </c>
      <c r="G4345" s="3"/>
      <c r="H4345" s="3"/>
    </row>
    <row r="4346">
      <c r="A4346" s="2">
        <f>IFERROR(__xludf.DUMMYFUNCTION("""COMPUTED_VALUE"""),61577.0)</f>
        <v>61577</v>
      </c>
      <c r="B4346" s="3" t="str">
        <f>IFERROR(__xludf.DUMMYFUNCTION("""COMPUTED_VALUE"""),"7066 COUNTY 50 RD  ")</f>
        <v>7066 COUNTY 50 RD  </v>
      </c>
      <c r="C4346" s="3" t="str">
        <f>IFERROR(__xludf.DUMMYFUNCTION("""COMPUTED_VALUE"""),"CAMPBELLFORD")</f>
        <v>CAMPBELLFORD</v>
      </c>
      <c r="D4346" s="3" t="str">
        <f>IFERROR(__xludf.DUMMYFUNCTION("""COMPUTED_VALUE"""),"K0L 1L0")</f>
        <v>K0L 1L0</v>
      </c>
      <c r="E4346" s="3"/>
      <c r="F4346" s="3"/>
      <c r="G4346" s="3"/>
      <c r="H4346" s="3"/>
    </row>
    <row r="4347">
      <c r="A4347" s="2">
        <f>IFERROR(__xludf.DUMMYFUNCTION("""COMPUTED_VALUE"""),61578.0)</f>
        <v>61578</v>
      </c>
      <c r="B4347" s="3" t="str">
        <f>IFERROR(__xludf.DUMMYFUNCTION("""COMPUTED_VALUE"""),"7080 COUNTY 50 RD  ")</f>
        <v>7080 COUNTY 50 RD  </v>
      </c>
      <c r="C4347" s="3" t="str">
        <f>IFERROR(__xludf.DUMMYFUNCTION("""COMPUTED_VALUE"""),"CAMPBELLFORD")</f>
        <v>CAMPBELLFORD</v>
      </c>
      <c r="D4347" s="3" t="str">
        <f>IFERROR(__xludf.DUMMYFUNCTION("""COMPUTED_VALUE"""),"K0L 1L0")</f>
        <v>K0L 1L0</v>
      </c>
      <c r="E4347" s="3"/>
      <c r="F4347" s="3"/>
      <c r="G4347" s="3"/>
      <c r="H4347" s="3"/>
    </row>
    <row r="4348">
      <c r="A4348" s="2">
        <f>IFERROR(__xludf.DUMMYFUNCTION("""COMPUTED_VALUE"""),61579.0)</f>
        <v>61579</v>
      </c>
      <c r="B4348" s="3" t="str">
        <f>IFERROR(__xludf.DUMMYFUNCTION("""COMPUTED_VALUE"""),"7177 COUNTY 50 RD  ")</f>
        <v>7177 COUNTY 50 RD  </v>
      </c>
      <c r="C4348" s="3" t="str">
        <f>IFERROR(__xludf.DUMMYFUNCTION("""COMPUTED_VALUE"""),"CAMPBELLFORD")</f>
        <v>CAMPBELLFORD</v>
      </c>
      <c r="D4348" s="3" t="str">
        <f>IFERROR(__xludf.DUMMYFUNCTION("""COMPUTED_VALUE"""),"K0L 1L0")</f>
        <v>K0L 1L0</v>
      </c>
      <c r="E4348" s="3"/>
      <c r="F4348" s="3"/>
      <c r="G4348" s="3"/>
      <c r="H4348" s="3"/>
    </row>
    <row r="4349">
      <c r="A4349" s="2">
        <f>IFERROR(__xludf.DUMMYFUNCTION("""COMPUTED_VALUE"""),61580.0)</f>
        <v>61580</v>
      </c>
      <c r="B4349" s="3" t="str">
        <f>IFERROR(__xludf.DUMMYFUNCTION("""COMPUTED_VALUE"""),"7385 COUNTY 50 RD  ")</f>
        <v>7385 COUNTY 50 RD  </v>
      </c>
      <c r="C4349" s="3" t="str">
        <f>IFERROR(__xludf.DUMMYFUNCTION("""COMPUTED_VALUE"""),"CAMPBELLFORD")</f>
        <v>CAMPBELLFORD</v>
      </c>
      <c r="D4349" s="3" t="str">
        <f>IFERROR(__xludf.DUMMYFUNCTION("""COMPUTED_VALUE"""),"K0L 1L0")</f>
        <v>K0L 1L0</v>
      </c>
      <c r="E4349" s="3" t="str">
        <f>IFERROR(__xludf.DUMMYFUNCTION("""COMPUTED_VALUE"""),"Jeff Blain &amp; Karen Todd")</f>
        <v>Jeff Blain &amp; Karen Todd</v>
      </c>
      <c r="F4349" s="3" t="str">
        <f>IFERROR(__xludf.DUMMYFUNCTION("""COMPUTED_VALUE"""),"jgblain@hotmail.com")</f>
        <v>jgblain@hotmail.com</v>
      </c>
      <c r="G4349" s="3"/>
      <c r="H4349" s="3"/>
    </row>
    <row r="4350">
      <c r="A4350" s="2">
        <f>IFERROR(__xludf.DUMMYFUNCTION("""COMPUTED_VALUE"""),61581.0)</f>
        <v>61581</v>
      </c>
      <c r="B4350" s="3" t="str">
        <f>IFERROR(__xludf.DUMMYFUNCTION("""COMPUTED_VALUE"""),"7484 COUNTY 50 RD  ")</f>
        <v>7484 COUNTY 50 RD  </v>
      </c>
      <c r="C4350" s="3" t="str">
        <f>IFERROR(__xludf.DUMMYFUNCTION("""COMPUTED_VALUE"""),"CAMPBELLFORD")</f>
        <v>CAMPBELLFORD</v>
      </c>
      <c r="D4350" s="3" t="str">
        <f>IFERROR(__xludf.DUMMYFUNCTION("""COMPUTED_VALUE"""),"K0L 1L0")</f>
        <v>K0L 1L0</v>
      </c>
      <c r="E4350" s="3"/>
      <c r="F4350" s="3"/>
      <c r="G4350" s="3"/>
      <c r="H4350" s="3"/>
    </row>
    <row r="4351">
      <c r="A4351" s="2">
        <f>IFERROR(__xludf.DUMMYFUNCTION("""COMPUTED_VALUE"""),61582.0)</f>
        <v>61582</v>
      </c>
      <c r="B4351" s="3" t="str">
        <f>IFERROR(__xludf.DUMMYFUNCTION("""COMPUTED_VALUE"""),"7494 COUNTY 50 RD  ")</f>
        <v>7494 COUNTY 50 RD  </v>
      </c>
      <c r="C4351" s="3" t="str">
        <f>IFERROR(__xludf.DUMMYFUNCTION("""COMPUTED_VALUE"""),"CAMPBELLFORD")</f>
        <v>CAMPBELLFORD</v>
      </c>
      <c r="D4351" s="3" t="str">
        <f>IFERROR(__xludf.DUMMYFUNCTION("""COMPUTED_VALUE"""),"K0L 1L0")</f>
        <v>K0L 1L0</v>
      </c>
      <c r="E4351" s="3" t="str">
        <f>IFERROR(__xludf.DUMMYFUNCTION("""COMPUTED_VALUE"""),"Dawn Moore")</f>
        <v>Dawn Moore</v>
      </c>
      <c r="F4351" s="3" t="str">
        <f>IFERROR(__xludf.DUMMYFUNCTION("""COMPUTED_VALUE"""),"horn.doggie@sympatico.ca")</f>
        <v>horn.doggie@sympatico.ca</v>
      </c>
      <c r="G4351" s="3"/>
      <c r="H4351" s="3"/>
    </row>
    <row r="4352">
      <c r="A4352" s="2">
        <f>IFERROR(__xludf.DUMMYFUNCTION("""COMPUTED_VALUE"""),61583.0)</f>
        <v>61583</v>
      </c>
      <c r="B4352" s="3" t="str">
        <f>IFERROR(__xludf.DUMMYFUNCTION("""COMPUTED_VALUE"""),"7498 COUNTY 50 RD  ")</f>
        <v>7498 COUNTY 50 RD  </v>
      </c>
      <c r="C4352" s="3" t="str">
        <f>IFERROR(__xludf.DUMMYFUNCTION("""COMPUTED_VALUE"""),"CAMPBELLFORD")</f>
        <v>CAMPBELLFORD</v>
      </c>
      <c r="D4352" s="3" t="str">
        <f>IFERROR(__xludf.DUMMYFUNCTION("""COMPUTED_VALUE"""),"K0L 1L0")</f>
        <v>K0L 1L0</v>
      </c>
      <c r="E4352" s="3" t="str">
        <f>IFERROR(__xludf.DUMMYFUNCTION("""COMPUTED_VALUE"""),"Shercy Harwood/Bill O Borne")</f>
        <v>Shercy Harwood/Bill O Borne</v>
      </c>
      <c r="F4352" s="3" t="str">
        <f>IFERROR(__xludf.DUMMYFUNCTION("""COMPUTED_VALUE"""),"paladise@bell.net")</f>
        <v>paladise@bell.net</v>
      </c>
      <c r="G4352" s="3"/>
      <c r="H4352" s="3"/>
    </row>
    <row r="4353">
      <c r="A4353" s="2">
        <f>IFERROR(__xludf.DUMMYFUNCTION("""COMPUTED_VALUE"""),61584.0)</f>
        <v>61584</v>
      </c>
      <c r="B4353" s="3" t="str">
        <f>IFERROR(__xludf.DUMMYFUNCTION("""COMPUTED_VALUE"""),"7502 COUNTY 50 RD  ")</f>
        <v>7502 COUNTY 50 RD  </v>
      </c>
      <c r="C4353" s="3" t="str">
        <f>IFERROR(__xludf.DUMMYFUNCTION("""COMPUTED_VALUE"""),"CAMPBELLFORD")</f>
        <v>CAMPBELLFORD</v>
      </c>
      <c r="D4353" s="3" t="str">
        <f>IFERROR(__xludf.DUMMYFUNCTION("""COMPUTED_VALUE"""),"K0L 1L0")</f>
        <v>K0L 1L0</v>
      </c>
      <c r="E4353" s="3" t="str">
        <f>IFERROR(__xludf.DUMMYFUNCTION("""COMPUTED_VALUE"""),"John Rogers")</f>
        <v>John Rogers</v>
      </c>
      <c r="F4353" s="3" t="str">
        <f>IFERROR(__xludf.DUMMYFUNCTION("""COMPUTED_VALUE"""),"jrogers2929@gmail.com")</f>
        <v>jrogers2929@gmail.com</v>
      </c>
      <c r="G4353" s="3"/>
      <c r="H4353" s="3"/>
    </row>
    <row r="4354">
      <c r="A4354" s="2">
        <f>IFERROR(__xludf.DUMMYFUNCTION("""COMPUTED_VALUE"""),63773.0)</f>
        <v>63773</v>
      </c>
      <c r="B4354" s="3" t="str">
        <f>IFERROR(__xludf.DUMMYFUNCTION("""COMPUTED_VALUE"""),"7053 COUNTY RD 50")</f>
        <v>7053 COUNTY RD 50</v>
      </c>
      <c r="C4354" s="3"/>
      <c r="D4354" s="3"/>
      <c r="E4354" s="3"/>
      <c r="F4354" s="3"/>
      <c r="G4354" s="3"/>
      <c r="H4354" s="3"/>
    </row>
    <row r="4355">
      <c r="A4355" s="2">
        <f>IFERROR(__xludf.DUMMYFUNCTION("""COMPUTED_VALUE"""),63772.0)</f>
        <v>63772</v>
      </c>
      <c r="B4355" s="3" t="str">
        <f>IFERROR(__xludf.DUMMYFUNCTION("""COMPUTED_VALUE"""),"7067 COUNTY RD 50")</f>
        <v>7067 COUNTY RD 50</v>
      </c>
      <c r="C4355" s="3"/>
      <c r="D4355" s="3"/>
      <c r="E4355" s="3"/>
      <c r="F4355" s="3"/>
      <c r="G4355" s="3"/>
      <c r="H4355" s="3"/>
    </row>
    <row r="4356">
      <c r="A4356" s="2">
        <f>IFERROR(__xludf.DUMMYFUNCTION("""COMPUTED_VALUE"""),61344.0)</f>
        <v>61344</v>
      </c>
      <c r="B4356" s="3" t="str">
        <f>IFERROR(__xludf.DUMMYFUNCTION("""COMPUTED_VALUE"""),"6538 COUNTY 30 RD  ")</f>
        <v>6538 COUNTY 30 RD  </v>
      </c>
      <c r="C4356" s="3" t="str">
        <f>IFERROR(__xludf.DUMMYFUNCTION("""COMPUTED_VALUE"""),"CAMPBELLFORD")</f>
        <v>CAMPBELLFORD</v>
      </c>
      <c r="D4356" s="3" t="str">
        <f>IFERROR(__xludf.DUMMYFUNCTION("""COMPUTED_VALUE"""),"K0L 1L0")</f>
        <v>K0L 1L0</v>
      </c>
      <c r="E4356" s="3"/>
      <c r="F4356" s="3"/>
      <c r="G4356" s="3"/>
      <c r="H4356" s="3"/>
    </row>
    <row r="4357">
      <c r="A4357" s="2">
        <f>IFERROR(__xludf.DUMMYFUNCTION("""COMPUTED_VALUE"""),61345.0)</f>
        <v>61345</v>
      </c>
      <c r="B4357" s="3" t="str">
        <f>IFERROR(__xludf.DUMMYFUNCTION("""COMPUTED_VALUE"""),"6585 COUNTY 30 RD  ")</f>
        <v>6585 COUNTY 30 RD  </v>
      </c>
      <c r="C4357" s="3" t="str">
        <f>IFERROR(__xludf.DUMMYFUNCTION("""COMPUTED_VALUE"""),"CAMPBELLFORD")</f>
        <v>CAMPBELLFORD</v>
      </c>
      <c r="D4357" s="3" t="str">
        <f>IFERROR(__xludf.DUMMYFUNCTION("""COMPUTED_VALUE"""),"K0L 1L0")</f>
        <v>K0L 1L0</v>
      </c>
      <c r="E4357" s="3"/>
      <c r="F4357" s="3"/>
      <c r="G4357" s="3"/>
      <c r="H4357" s="3"/>
    </row>
    <row r="4358">
      <c r="A4358" s="2">
        <f>IFERROR(__xludf.DUMMYFUNCTION("""COMPUTED_VALUE"""),61346.0)</f>
        <v>61346</v>
      </c>
      <c r="B4358" s="3" t="str">
        <f>IFERROR(__xludf.DUMMYFUNCTION("""COMPUTED_VALUE"""),"6688 COUNTY 30 RD  ")</f>
        <v>6688 COUNTY 30 RD  </v>
      </c>
      <c r="C4358" s="3" t="str">
        <f>IFERROR(__xludf.DUMMYFUNCTION("""COMPUTED_VALUE"""),"CAMPBELLFORD")</f>
        <v>CAMPBELLFORD</v>
      </c>
      <c r="D4358" s="3" t="str">
        <f>IFERROR(__xludf.DUMMYFUNCTION("""COMPUTED_VALUE"""),"K0L 1L0")</f>
        <v>K0L 1L0</v>
      </c>
      <c r="E4358" s="3" t="str">
        <f>IFERROR(__xludf.DUMMYFUNCTION("""COMPUTED_VALUE"""),"Brian Finley &amp; Donna Bennett")</f>
        <v>Brian Finley &amp; Donna Bennett</v>
      </c>
      <c r="F4358" s="3" t="str">
        <f>IFERROR(__xludf.DUMMYFUNCTION("""COMPUTED_VALUE"""),"brian@westben.ca")</f>
        <v>brian@westben.ca</v>
      </c>
      <c r="G4358" s="3"/>
      <c r="H4358" s="3"/>
    </row>
    <row r="4359">
      <c r="A4359" s="2">
        <f>IFERROR(__xludf.DUMMYFUNCTION("""COMPUTED_VALUE"""),61347.0)</f>
        <v>61347</v>
      </c>
      <c r="B4359" s="3" t="str">
        <f>IFERROR(__xludf.DUMMYFUNCTION("""COMPUTED_VALUE"""),"6788 COUNTY 30 RD  ")</f>
        <v>6788 COUNTY 30 RD  </v>
      </c>
      <c r="C4359" s="3" t="str">
        <f>IFERROR(__xludf.DUMMYFUNCTION("""COMPUTED_VALUE"""),"CAMPBELLFORD")</f>
        <v>CAMPBELLFORD</v>
      </c>
      <c r="D4359" s="3" t="str">
        <f>IFERROR(__xludf.DUMMYFUNCTION("""COMPUTED_VALUE"""),"K0L 1L0")</f>
        <v>K0L 1L0</v>
      </c>
      <c r="E4359" s="3" t="str">
        <f>IFERROR(__xludf.DUMMYFUNCTION("""COMPUTED_VALUE"""),"West Schoolhouse")</f>
        <v>West Schoolhouse</v>
      </c>
      <c r="F4359" s="3" t="str">
        <f>IFERROR(__xludf.DUMMYFUNCTION("""COMPUTED_VALUE"""),"westben@westben.ca")</f>
        <v>westben@westben.ca</v>
      </c>
      <c r="G4359" s="3"/>
      <c r="H4359" s="3"/>
    </row>
    <row r="4360">
      <c r="A4360" s="2">
        <f>IFERROR(__xludf.DUMMYFUNCTION("""COMPUTED_VALUE"""),61348.0)</f>
        <v>61348</v>
      </c>
      <c r="B4360" s="3" t="str">
        <f>IFERROR(__xludf.DUMMYFUNCTION("""COMPUTED_VALUE"""),"6827 COUNTY 30 RD  ")</f>
        <v>6827 COUNTY 30 RD  </v>
      </c>
      <c r="C4360" s="3" t="str">
        <f>IFERROR(__xludf.DUMMYFUNCTION("""COMPUTED_VALUE"""),"CAMPBELLFORD")</f>
        <v>CAMPBELLFORD</v>
      </c>
      <c r="D4360" s="3" t="str">
        <f>IFERROR(__xludf.DUMMYFUNCTION("""COMPUTED_VALUE"""),"K0L 1L0")</f>
        <v>K0L 1L0</v>
      </c>
      <c r="E4360" s="3"/>
      <c r="F4360" s="3"/>
      <c r="G4360" s="3"/>
      <c r="H4360" s="3"/>
    </row>
    <row r="4361">
      <c r="A4361" s="2">
        <f>IFERROR(__xludf.DUMMYFUNCTION("""COMPUTED_VALUE"""),61349.0)</f>
        <v>61349</v>
      </c>
      <c r="B4361" s="3" t="str">
        <f>IFERROR(__xludf.DUMMYFUNCTION("""COMPUTED_VALUE"""),"6829 COUNTY 30 RD  ")</f>
        <v>6829 COUNTY 30 RD  </v>
      </c>
      <c r="C4361" s="3" t="str">
        <f>IFERROR(__xludf.DUMMYFUNCTION("""COMPUTED_VALUE"""),"CAMPBELLFORD")</f>
        <v>CAMPBELLFORD</v>
      </c>
      <c r="D4361" s="3" t="str">
        <f>IFERROR(__xludf.DUMMYFUNCTION("""COMPUTED_VALUE"""),"K0L 1L0")</f>
        <v>K0L 1L0</v>
      </c>
      <c r="E4361" s="3"/>
      <c r="F4361" s="3"/>
      <c r="G4361" s="3"/>
      <c r="H4361" s="3"/>
    </row>
    <row r="4362">
      <c r="A4362" s="2">
        <f>IFERROR(__xludf.DUMMYFUNCTION("""COMPUTED_VALUE"""),61350.0)</f>
        <v>61350</v>
      </c>
      <c r="B4362" s="3" t="str">
        <f>IFERROR(__xludf.DUMMYFUNCTION("""COMPUTED_VALUE"""),"6941 COUNTY 30 RD  ")</f>
        <v>6941 COUNTY 30 RD  </v>
      </c>
      <c r="C4362" s="3" t="str">
        <f>IFERROR(__xludf.DUMMYFUNCTION("""COMPUTED_VALUE"""),"CAMPBELLFORD")</f>
        <v>CAMPBELLFORD</v>
      </c>
      <c r="D4362" s="3" t="str">
        <f>IFERROR(__xludf.DUMMYFUNCTION("""COMPUTED_VALUE"""),"K0L 1L0")</f>
        <v>K0L 1L0</v>
      </c>
      <c r="E4362" s="3" t="str">
        <f>IFERROR(__xludf.DUMMYFUNCTION("""COMPUTED_VALUE"""),"John McKelvie ")</f>
        <v>John McKelvie </v>
      </c>
      <c r="F4362" s="3" t="str">
        <f>IFERROR(__xludf.DUMMYFUNCTION("""COMPUTED_VALUE"""),"n/a")</f>
        <v>n/a</v>
      </c>
      <c r="G4362" s="3"/>
      <c r="H4362" s="3"/>
    </row>
    <row r="4363">
      <c r="A4363" s="2">
        <f>IFERROR(__xludf.DUMMYFUNCTION("""COMPUTED_VALUE"""),61351.0)</f>
        <v>61351</v>
      </c>
      <c r="B4363" s="3" t="str">
        <f>IFERROR(__xludf.DUMMYFUNCTION("""COMPUTED_VALUE"""),"7079 COUNTY 30 RD  ")</f>
        <v>7079 COUNTY 30 RD  </v>
      </c>
      <c r="C4363" s="3" t="str">
        <f>IFERROR(__xludf.DUMMYFUNCTION("""COMPUTED_VALUE"""),"CAMPBELLFORD")</f>
        <v>CAMPBELLFORD</v>
      </c>
      <c r="D4363" s="3" t="str">
        <f>IFERROR(__xludf.DUMMYFUNCTION("""COMPUTED_VALUE"""),"K0L 1L0")</f>
        <v>K0L 1L0</v>
      </c>
      <c r="E4363" s="3" t="str">
        <f>IFERROR(__xludf.DUMMYFUNCTION("""COMPUTED_VALUE"""),"Kirk summers")</f>
        <v>Kirk summers</v>
      </c>
      <c r="F4363" s="3" t="str">
        <f>IFERROR(__xludf.DUMMYFUNCTION("""COMPUTED_VALUE"""),"Jodisummers269@gmail.com")</f>
        <v>Jodisummers269@gmail.com</v>
      </c>
      <c r="G4363" s="3">
        <f>IFERROR(__xludf.DUMMYFUNCTION("""COMPUTED_VALUE"""),7.056532691E9)</f>
        <v>7056532691</v>
      </c>
      <c r="H4363" s="3">
        <f>IFERROR(__xludf.DUMMYFUNCTION("""COMPUTED_VALUE"""),9.054260644E9)</f>
        <v>9054260644</v>
      </c>
    </row>
    <row r="4364">
      <c r="A4364" s="2">
        <f>IFERROR(__xludf.DUMMYFUNCTION("""COMPUTED_VALUE"""),61352.0)</f>
        <v>61352</v>
      </c>
      <c r="B4364" s="3" t="str">
        <f>IFERROR(__xludf.DUMMYFUNCTION("""COMPUTED_VALUE"""),"7084 COUNTY 30 RD  ")</f>
        <v>7084 COUNTY 30 RD  </v>
      </c>
      <c r="C4364" s="3" t="str">
        <f>IFERROR(__xludf.DUMMYFUNCTION("""COMPUTED_VALUE"""),"CAMPBELLFORD")</f>
        <v>CAMPBELLFORD</v>
      </c>
      <c r="D4364" s="3" t="str">
        <f>IFERROR(__xludf.DUMMYFUNCTION("""COMPUTED_VALUE"""),"K0L 1L0")</f>
        <v>K0L 1L0</v>
      </c>
      <c r="E4364" s="3" t="str">
        <f>IFERROR(__xludf.DUMMYFUNCTION("""COMPUTED_VALUE"""),"Kevin curle ")</f>
        <v>Kevin curle </v>
      </c>
      <c r="F4364" s="3" t="str">
        <f>IFERROR(__xludf.DUMMYFUNCTION("""COMPUTED_VALUE"""),"Kevin.curle@explorenet.com")</f>
        <v>Kevin.curle@explorenet.com</v>
      </c>
      <c r="G4364" s="3">
        <f>IFERROR(__xludf.DUMMYFUNCTION("""COMPUTED_VALUE"""),7.056536783E9)</f>
        <v>7056536783</v>
      </c>
      <c r="H4364" s="3"/>
    </row>
    <row r="4365">
      <c r="A4365" s="2">
        <f>IFERROR(__xludf.DUMMYFUNCTION("""COMPUTED_VALUE"""),61353.0)</f>
        <v>61353</v>
      </c>
      <c r="B4365" s="3" t="str">
        <f>IFERROR(__xludf.DUMMYFUNCTION("""COMPUTED_VALUE"""),"7250 COUNTY 30 RD  ")</f>
        <v>7250 COUNTY 30 RD  </v>
      </c>
      <c r="C4365" s="3" t="str">
        <f>IFERROR(__xludf.DUMMYFUNCTION("""COMPUTED_VALUE"""),"CAMPBELLFORD")</f>
        <v>CAMPBELLFORD</v>
      </c>
      <c r="D4365" s="3" t="str">
        <f>IFERROR(__xludf.DUMMYFUNCTION("""COMPUTED_VALUE"""),"K0L 1L0")</f>
        <v>K0L 1L0</v>
      </c>
      <c r="E4365" s="3" t="str">
        <f>IFERROR(__xludf.DUMMYFUNCTION("""COMPUTED_VALUE"""),"Raymond Stillman ")</f>
        <v>Raymond Stillman </v>
      </c>
      <c r="F4365" s="3"/>
      <c r="G4365" s="3"/>
      <c r="H4365" s="3"/>
    </row>
    <row r="4366">
      <c r="A4366" s="2">
        <f>IFERROR(__xludf.DUMMYFUNCTION("""COMPUTED_VALUE"""),63445.0)</f>
        <v>63445</v>
      </c>
      <c r="B4366" s="3" t="str">
        <f>IFERROR(__xludf.DUMMYFUNCTION("""COMPUTED_VALUE"""),"78 TANNER INDUSTRIAL PK  ")</f>
        <v>78 TANNER INDUSTRIAL PK  </v>
      </c>
      <c r="C4366" s="3" t="str">
        <f>IFERROR(__xludf.DUMMYFUNCTION("""COMPUTED_VALUE"""),"CAMPBELLFORD")</f>
        <v>CAMPBELLFORD</v>
      </c>
      <c r="D4366" s="3" t="str">
        <f>IFERROR(__xludf.DUMMYFUNCTION("""COMPUTED_VALUE"""),"K0L 1L0")</f>
        <v>K0L 1L0</v>
      </c>
      <c r="E4366" s="3"/>
      <c r="F4366" s="3"/>
      <c r="G4366" s="3"/>
      <c r="H4366" s="3"/>
    </row>
    <row r="4367">
      <c r="A4367" s="2">
        <f>IFERROR(__xludf.DUMMYFUNCTION("""COMPUTED_VALUE"""),61420.0)</f>
        <v>61420</v>
      </c>
      <c r="B4367" s="3" t="str">
        <f>IFERROR(__xludf.DUMMYFUNCTION("""COMPUTED_VALUE"""),"420 COUNTY 35 RD  ")</f>
        <v>420 COUNTY 35 RD  </v>
      </c>
      <c r="C4367" s="3" t="str">
        <f>IFERROR(__xludf.DUMMYFUNCTION("""COMPUTED_VALUE"""),"CAMPBELLFORD")</f>
        <v>CAMPBELLFORD</v>
      </c>
      <c r="D4367" s="3" t="str">
        <f>IFERROR(__xludf.DUMMYFUNCTION("""COMPUTED_VALUE"""),"K0L 1L0")</f>
        <v>K0L 1L0</v>
      </c>
      <c r="E4367" s="3"/>
      <c r="F4367" s="3"/>
      <c r="G4367" s="3"/>
      <c r="H4367" s="3"/>
    </row>
    <row r="4368">
      <c r="A4368" s="2">
        <f>IFERROR(__xludf.DUMMYFUNCTION("""COMPUTED_VALUE"""),63815.0)</f>
        <v>63815</v>
      </c>
      <c r="B4368" s="3" t="str">
        <f>IFERROR(__xludf.DUMMYFUNCTION("""COMPUTED_VALUE"""),"426 COUNTY 35 RD  ")</f>
        <v>426 COUNTY 35 RD  </v>
      </c>
      <c r="C4368" s="3" t="str">
        <f>IFERROR(__xludf.DUMMYFUNCTION("""COMPUTED_VALUE"""),"CAMPBELLFORD")</f>
        <v>CAMPBELLFORD</v>
      </c>
      <c r="D4368" s="3" t="str">
        <f>IFERROR(__xludf.DUMMYFUNCTION("""COMPUTED_VALUE"""),"K0L 1L0")</f>
        <v>K0L 1L0</v>
      </c>
      <c r="E4368" s="3"/>
      <c r="F4368" s="3"/>
      <c r="G4368" s="3"/>
      <c r="H4368" s="3"/>
    </row>
    <row r="4369">
      <c r="A4369" s="2">
        <f>IFERROR(__xludf.DUMMYFUNCTION("""COMPUTED_VALUE"""),61421.0)</f>
        <v>61421</v>
      </c>
      <c r="B4369" s="3" t="str">
        <f>IFERROR(__xludf.DUMMYFUNCTION("""COMPUTED_VALUE"""),"430 COUNTY 35 RD  ")</f>
        <v>430 COUNTY 35 RD  </v>
      </c>
      <c r="C4369" s="3" t="str">
        <f>IFERROR(__xludf.DUMMYFUNCTION("""COMPUTED_VALUE"""),"CAMPBELLFORD")</f>
        <v>CAMPBELLFORD</v>
      </c>
      <c r="D4369" s="3" t="str">
        <f>IFERROR(__xludf.DUMMYFUNCTION("""COMPUTED_VALUE"""),"K0L 1L0")</f>
        <v>K0L 1L0</v>
      </c>
      <c r="E4369" s="3" t="str">
        <f>IFERROR(__xludf.DUMMYFUNCTION("""COMPUTED_VALUE"""),"gaele sheardown ")</f>
        <v>gaele sheardown </v>
      </c>
      <c r="F4369" s="3"/>
      <c r="G4369" s="3">
        <f>IFERROR(__xludf.DUMMYFUNCTION("""COMPUTED_VALUE"""),7.056320275E9)</f>
        <v>7056320275</v>
      </c>
      <c r="H4369" s="3"/>
    </row>
    <row r="4370">
      <c r="A4370" s="2">
        <f>IFERROR(__xludf.DUMMYFUNCTION("""COMPUTED_VALUE"""),61422.0)</f>
        <v>61422</v>
      </c>
      <c r="B4370" s="3" t="str">
        <f>IFERROR(__xludf.DUMMYFUNCTION("""COMPUTED_VALUE"""),"460 COUNTY 35 RD  ")</f>
        <v>460 COUNTY 35 RD  </v>
      </c>
      <c r="C4370" s="3" t="str">
        <f>IFERROR(__xludf.DUMMYFUNCTION("""COMPUTED_VALUE"""),"CAMPBELLFORD")</f>
        <v>CAMPBELLFORD</v>
      </c>
      <c r="D4370" s="3" t="str">
        <f>IFERROR(__xludf.DUMMYFUNCTION("""COMPUTED_VALUE"""),"K0L 1L0")</f>
        <v>K0L 1L0</v>
      </c>
      <c r="E4370" s="3" t="str">
        <f>IFERROR(__xludf.DUMMYFUNCTION("""COMPUTED_VALUE"""),"michael j ayres ")</f>
        <v>michael j ayres </v>
      </c>
      <c r="F4370" s="3"/>
      <c r="G4370" s="3">
        <f>IFERROR(__xludf.DUMMYFUNCTION("""COMPUTED_VALUE"""),6.13849352E9)</f>
        <v>6138493520</v>
      </c>
      <c r="H4370" s="3">
        <f>IFERROR(__xludf.DUMMYFUNCTION("""COMPUTED_VALUE"""),7.0563203322E10)</f>
        <v>70563203322</v>
      </c>
    </row>
    <row r="4371">
      <c r="A4371" s="2">
        <f>IFERROR(__xludf.DUMMYFUNCTION("""COMPUTED_VALUE"""),61423.0)</f>
        <v>61423</v>
      </c>
      <c r="B4371" s="3" t="str">
        <f>IFERROR(__xludf.DUMMYFUNCTION("""COMPUTED_VALUE"""),"463 COUNTY 35 RD  ")</f>
        <v>463 COUNTY 35 RD  </v>
      </c>
      <c r="C4371" s="3" t="str">
        <f>IFERROR(__xludf.DUMMYFUNCTION("""COMPUTED_VALUE"""),"CAMPBELLFORD")</f>
        <v>CAMPBELLFORD</v>
      </c>
      <c r="D4371" s="3" t="str">
        <f>IFERROR(__xludf.DUMMYFUNCTION("""COMPUTED_VALUE"""),"K0L 1L0")</f>
        <v>K0L 1L0</v>
      </c>
      <c r="E4371" s="3" t="str">
        <f>IFERROR(__xludf.DUMMYFUNCTION("""COMPUTED_VALUE"""),"penny newton ")</f>
        <v>penny newton </v>
      </c>
      <c r="F4371" s="3" t="str">
        <f>IFERROR(__xludf.DUMMYFUNCTION("""COMPUTED_VALUE"""),"middlenewt04@hotmail.com")</f>
        <v>middlenewt04@hotmail.com</v>
      </c>
      <c r="G4371" s="3">
        <f>IFERROR(__xludf.DUMMYFUNCTION("""COMPUTED_VALUE"""),7.056536475E9)</f>
        <v>7056536475</v>
      </c>
      <c r="H4371" s="3"/>
    </row>
    <row r="4372">
      <c r="A4372" s="2">
        <f>IFERROR(__xludf.DUMMYFUNCTION("""COMPUTED_VALUE"""),61424.0)</f>
        <v>61424</v>
      </c>
      <c r="B4372" s="3" t="str">
        <f>IFERROR(__xludf.DUMMYFUNCTION("""COMPUTED_VALUE"""),"465 COUNTY 35 RD  ")</f>
        <v>465 COUNTY 35 RD  </v>
      </c>
      <c r="C4372" s="3" t="str">
        <f>IFERROR(__xludf.DUMMYFUNCTION("""COMPUTED_VALUE"""),"CAMPBELLFORD")</f>
        <v>CAMPBELLFORD</v>
      </c>
      <c r="D4372" s="3" t="str">
        <f>IFERROR(__xludf.DUMMYFUNCTION("""COMPUTED_VALUE"""),"K0L 1L0")</f>
        <v>K0L 1L0</v>
      </c>
      <c r="E4372" s="3"/>
      <c r="F4372" s="3"/>
      <c r="G4372" s="3"/>
      <c r="H4372" s="3"/>
    </row>
    <row r="4373">
      <c r="A4373" s="2">
        <f>IFERROR(__xludf.DUMMYFUNCTION("""COMPUTED_VALUE"""),61425.0)</f>
        <v>61425</v>
      </c>
      <c r="B4373" s="3" t="str">
        <f>IFERROR(__xludf.DUMMYFUNCTION("""COMPUTED_VALUE"""),"490 COUNTY 35 RD  ")</f>
        <v>490 COUNTY 35 RD  </v>
      </c>
      <c r="C4373" s="3" t="str">
        <f>IFERROR(__xludf.DUMMYFUNCTION("""COMPUTED_VALUE"""),"CAMPBELLFORD")</f>
        <v>CAMPBELLFORD</v>
      </c>
      <c r="D4373" s="3" t="str">
        <f>IFERROR(__xludf.DUMMYFUNCTION("""COMPUTED_VALUE"""),"K0L 1L0")</f>
        <v>K0L 1L0</v>
      </c>
      <c r="E4373" s="3" t="str">
        <f>IFERROR(__xludf.DUMMYFUNCTION("""COMPUTED_VALUE"""),"karly lachappelle ")</f>
        <v>karly lachappelle </v>
      </c>
      <c r="F4373" s="3" t="str">
        <f>IFERROR(__xludf.DUMMYFUNCTION("""COMPUTED_VALUE"""),"karly-nelson3@hotmail.com")</f>
        <v>karly-nelson3@hotmail.com</v>
      </c>
      <c r="G4373" s="3">
        <f>IFERROR(__xludf.DUMMYFUNCTION("""COMPUTED_VALUE"""),7.059336855E9)</f>
        <v>7059336855</v>
      </c>
      <c r="H4373" s="3"/>
    </row>
    <row r="4374">
      <c r="A4374" s="2">
        <f>IFERROR(__xludf.DUMMYFUNCTION("""COMPUTED_VALUE"""),61426.0)</f>
        <v>61426</v>
      </c>
      <c r="B4374" s="3" t="str">
        <f>IFERROR(__xludf.DUMMYFUNCTION("""COMPUTED_VALUE"""),"520 COUNTY 35 RD  ")</f>
        <v>520 COUNTY 35 RD  </v>
      </c>
      <c r="C4374" s="3" t="str">
        <f>IFERROR(__xludf.DUMMYFUNCTION("""COMPUTED_VALUE"""),"CAMPBELLFORD")</f>
        <v>CAMPBELLFORD</v>
      </c>
      <c r="D4374" s="3" t="str">
        <f>IFERROR(__xludf.DUMMYFUNCTION("""COMPUTED_VALUE"""),"K0L 1L0")</f>
        <v>K0L 1L0</v>
      </c>
      <c r="E4374" s="3" t="str">
        <f>IFERROR(__xludf.DUMMYFUNCTION("""COMPUTED_VALUE"""),"Ron Pennington ")</f>
        <v>Ron Pennington </v>
      </c>
      <c r="F4374" s="3" t="str">
        <f>IFERROR(__xludf.DUMMYFUNCTION("""COMPUTED_VALUE"""),"n/a")</f>
        <v>n/a</v>
      </c>
      <c r="G4374" s="3"/>
      <c r="H4374" s="3"/>
    </row>
    <row r="4375">
      <c r="A4375" s="2">
        <f>IFERROR(__xludf.DUMMYFUNCTION("""COMPUTED_VALUE"""),61427.0)</f>
        <v>61427</v>
      </c>
      <c r="B4375" s="3" t="str">
        <f>IFERROR(__xludf.DUMMYFUNCTION("""COMPUTED_VALUE"""),"521 COUNTY 35 RD  ")</f>
        <v>521 COUNTY 35 RD  </v>
      </c>
      <c r="C4375" s="3" t="str">
        <f>IFERROR(__xludf.DUMMYFUNCTION("""COMPUTED_VALUE"""),"CAMPBELLFORD")</f>
        <v>CAMPBELLFORD</v>
      </c>
      <c r="D4375" s="3" t="str">
        <f>IFERROR(__xludf.DUMMYFUNCTION("""COMPUTED_VALUE"""),"K0L 1L0")</f>
        <v>K0L 1L0</v>
      </c>
      <c r="E4375" s="3" t="str">
        <f>IFERROR(__xludf.DUMMYFUNCTION("""COMPUTED_VALUE"""),"john hendy ")</f>
        <v>john hendy </v>
      </c>
      <c r="F4375" s="3" t="str">
        <f>IFERROR(__xludf.DUMMYFUNCTION("""COMPUTED_VALUE"""),"objhendy@hotmail.com")</f>
        <v>objhendy@hotmail.com</v>
      </c>
      <c r="G4375" s="3">
        <f>IFERROR(__xludf.DUMMYFUNCTION("""COMPUTED_VALUE"""),7.056534503E9)</f>
        <v>7056534503</v>
      </c>
      <c r="H4375" s="3"/>
    </row>
    <row r="4376">
      <c r="A4376" s="2">
        <f>IFERROR(__xludf.DUMMYFUNCTION("""COMPUTED_VALUE"""),61428.0)</f>
        <v>61428</v>
      </c>
      <c r="B4376" s="3" t="str">
        <f>IFERROR(__xludf.DUMMYFUNCTION("""COMPUTED_VALUE"""),"561 COUNTY 35 RD  ")</f>
        <v>561 COUNTY 35 RD  </v>
      </c>
      <c r="C4376" s="3" t="str">
        <f>IFERROR(__xludf.DUMMYFUNCTION("""COMPUTED_VALUE"""),"CAMPBELLFORD")</f>
        <v>CAMPBELLFORD</v>
      </c>
      <c r="D4376" s="3" t="str">
        <f>IFERROR(__xludf.DUMMYFUNCTION("""COMPUTED_VALUE"""),"K0L 1L0")</f>
        <v>K0L 1L0</v>
      </c>
      <c r="E4376" s="3" t="str">
        <f>IFERROR(__xludf.DUMMYFUNCTION("""COMPUTED_VALUE"""),"dave mckelvey")</f>
        <v>dave mckelvey</v>
      </c>
      <c r="F4376" s="3"/>
      <c r="G4376" s="3">
        <f>IFERROR(__xludf.DUMMYFUNCTION("""COMPUTED_VALUE"""),4.169859305E9)</f>
        <v>4169859305</v>
      </c>
      <c r="H4376" s="3"/>
    </row>
    <row r="4377">
      <c r="A4377" s="2">
        <f>IFERROR(__xludf.DUMMYFUNCTION("""COMPUTED_VALUE"""),61429.0)</f>
        <v>61429</v>
      </c>
      <c r="B4377" s="3" t="str">
        <f>IFERROR(__xludf.DUMMYFUNCTION("""COMPUTED_VALUE"""),"565 COUNTY 35 RD  ")</f>
        <v>565 COUNTY 35 RD  </v>
      </c>
      <c r="C4377" s="3" t="str">
        <f>IFERROR(__xludf.DUMMYFUNCTION("""COMPUTED_VALUE"""),"CAMPBELLFORD")</f>
        <v>CAMPBELLFORD</v>
      </c>
      <c r="D4377" s="3" t="str">
        <f>IFERROR(__xludf.DUMMYFUNCTION("""COMPUTED_VALUE"""),"K0L 1L0")</f>
        <v>K0L 1L0</v>
      </c>
      <c r="E4377" s="3" t="str">
        <f>IFERROR(__xludf.DUMMYFUNCTION("""COMPUTED_VALUE"""),"karen and peter watson ")</f>
        <v>karen and peter watson </v>
      </c>
      <c r="F4377" s="3" t="str">
        <f>IFERROR(__xludf.DUMMYFUNCTION("""COMPUTED_VALUE"""),"watsonsonhill@gmail.com")</f>
        <v>watsonsonhill@gmail.com</v>
      </c>
      <c r="G4377" s="3">
        <f>IFERROR(__xludf.DUMMYFUNCTION("""COMPUTED_VALUE"""),7.056328977E9)</f>
        <v>7056328977</v>
      </c>
      <c r="H4377" s="3">
        <f>IFERROR(__xludf.DUMMYFUNCTION("""COMPUTED_VALUE"""),7.059273696E9)</f>
        <v>7059273696</v>
      </c>
    </row>
    <row r="4378">
      <c r="A4378" s="2">
        <f>IFERROR(__xludf.DUMMYFUNCTION("""COMPUTED_VALUE"""),61430.0)</f>
        <v>61430</v>
      </c>
      <c r="B4378" s="3" t="str">
        <f>IFERROR(__xludf.DUMMYFUNCTION("""COMPUTED_VALUE"""),"593 COUNTY 35 RD  ")</f>
        <v>593 COUNTY 35 RD  </v>
      </c>
      <c r="C4378" s="3" t="str">
        <f>IFERROR(__xludf.DUMMYFUNCTION("""COMPUTED_VALUE"""),"CAMPBELLFORD")</f>
        <v>CAMPBELLFORD</v>
      </c>
      <c r="D4378" s="3" t="str">
        <f>IFERROR(__xludf.DUMMYFUNCTION("""COMPUTED_VALUE"""),"K0L 1L0")</f>
        <v>K0L 1L0</v>
      </c>
      <c r="E4378" s="3"/>
      <c r="F4378" s="3"/>
      <c r="G4378" s="3"/>
      <c r="H4378" s="3"/>
    </row>
    <row r="4379">
      <c r="A4379" s="2">
        <f>IFERROR(__xludf.DUMMYFUNCTION("""COMPUTED_VALUE"""),61431.0)</f>
        <v>61431</v>
      </c>
      <c r="B4379" s="3" t="str">
        <f>IFERROR(__xludf.DUMMYFUNCTION("""COMPUTED_VALUE"""),"643 COUNTY 35 RD  ")</f>
        <v>643 COUNTY 35 RD  </v>
      </c>
      <c r="C4379" s="3" t="str">
        <f>IFERROR(__xludf.DUMMYFUNCTION("""COMPUTED_VALUE"""),"CAMPBELLFORD")</f>
        <v>CAMPBELLFORD</v>
      </c>
      <c r="D4379" s="3" t="str">
        <f>IFERROR(__xludf.DUMMYFUNCTION("""COMPUTED_VALUE"""),"K0L 1L0")</f>
        <v>K0L 1L0</v>
      </c>
      <c r="E4379" s="3"/>
      <c r="F4379" s="3"/>
      <c r="G4379" s="3"/>
      <c r="H4379" s="3"/>
    </row>
    <row r="4380">
      <c r="A4380" s="2">
        <f>IFERROR(__xludf.DUMMYFUNCTION("""COMPUTED_VALUE"""),61432.0)</f>
        <v>61432</v>
      </c>
      <c r="B4380" s="3" t="str">
        <f>IFERROR(__xludf.DUMMYFUNCTION("""COMPUTED_VALUE"""),"654 COUNTY 35 RD  ")</f>
        <v>654 COUNTY 35 RD  </v>
      </c>
      <c r="C4380" s="3" t="str">
        <f>IFERROR(__xludf.DUMMYFUNCTION("""COMPUTED_VALUE"""),"CAMPBELLFORD")</f>
        <v>CAMPBELLFORD</v>
      </c>
      <c r="D4380" s="3" t="str">
        <f>IFERROR(__xludf.DUMMYFUNCTION("""COMPUTED_VALUE"""),"K0L 1L0")</f>
        <v>K0L 1L0</v>
      </c>
      <c r="E4380" s="3" t="str">
        <f>IFERROR(__xludf.DUMMYFUNCTION("""COMPUTED_VALUE"""),"JEANNE MAXWELL")</f>
        <v>JEANNE MAXWELL</v>
      </c>
      <c r="F4380" s="3" t="str">
        <f>IFERROR(__xludf.DUMMYFUNCTION("""COMPUTED_VALUE"""),"jeannemaxwell@yahoo.ca")</f>
        <v>jeannemaxwell@yahoo.ca</v>
      </c>
      <c r="G4380" s="3">
        <f>IFERROR(__xludf.DUMMYFUNCTION("""COMPUTED_VALUE"""),7.056535285E9)</f>
        <v>7056535285</v>
      </c>
      <c r="H4380" s="3">
        <f>IFERROR(__xludf.DUMMYFUNCTION("""COMPUTED_VALUE"""),7.056537307E9)</f>
        <v>7056537307</v>
      </c>
    </row>
    <row r="4381">
      <c r="A4381" s="2">
        <f>IFERROR(__xludf.DUMMYFUNCTION("""COMPUTED_VALUE"""),61433.0)</f>
        <v>61433</v>
      </c>
      <c r="B4381" s="3" t="str">
        <f>IFERROR(__xludf.DUMMYFUNCTION("""COMPUTED_VALUE"""),"702 COUNTY 35 RD  ")</f>
        <v>702 COUNTY 35 RD  </v>
      </c>
      <c r="C4381" s="3" t="str">
        <f>IFERROR(__xludf.DUMMYFUNCTION("""COMPUTED_VALUE"""),"CAMPBELLFORD")</f>
        <v>CAMPBELLFORD</v>
      </c>
      <c r="D4381" s="3" t="str">
        <f>IFERROR(__xludf.DUMMYFUNCTION("""COMPUTED_VALUE"""),"K0L 1L0")</f>
        <v>K0L 1L0</v>
      </c>
      <c r="E4381" s="3" t="str">
        <f>IFERROR(__xludf.DUMMYFUNCTION("""COMPUTED_VALUE"""),"elaine mcgee ")</f>
        <v>elaine mcgee </v>
      </c>
      <c r="F4381" s="3" t="str">
        <f>IFERROR(__xludf.DUMMYFUNCTION("""COMPUTED_VALUE"""),"lawclairefarms@sympatico.com")</f>
        <v>lawclairefarms@sympatico.com</v>
      </c>
      <c r="G4381" s="3">
        <f>IFERROR(__xludf.DUMMYFUNCTION("""COMPUTED_VALUE"""),7.056536085E9)</f>
        <v>7056536085</v>
      </c>
      <c r="H4381" s="3"/>
    </row>
    <row r="4382">
      <c r="A4382" s="2">
        <f>IFERROR(__xludf.DUMMYFUNCTION("""COMPUTED_VALUE"""),61434.0)</f>
        <v>61434</v>
      </c>
      <c r="B4382" s="3" t="str">
        <f>IFERROR(__xludf.DUMMYFUNCTION("""COMPUTED_VALUE"""),"709 COUNTY 35 RD  ")</f>
        <v>709 COUNTY 35 RD  </v>
      </c>
      <c r="C4382" s="3" t="str">
        <f>IFERROR(__xludf.DUMMYFUNCTION("""COMPUTED_VALUE"""),"CAMPBELLFORD")</f>
        <v>CAMPBELLFORD</v>
      </c>
      <c r="D4382" s="3" t="str">
        <f>IFERROR(__xludf.DUMMYFUNCTION("""COMPUTED_VALUE"""),"K0L 1L0")</f>
        <v>K0L 1L0</v>
      </c>
      <c r="E4382" s="3"/>
      <c r="F4382" s="3"/>
      <c r="G4382" s="3"/>
      <c r="H4382" s="3"/>
    </row>
    <row r="4383">
      <c r="A4383" s="2">
        <f>IFERROR(__xludf.DUMMYFUNCTION("""COMPUTED_VALUE"""),61435.0)</f>
        <v>61435</v>
      </c>
      <c r="B4383" s="3" t="str">
        <f>IFERROR(__xludf.DUMMYFUNCTION("""COMPUTED_VALUE"""),"732 COUNTY 35 RD  ")</f>
        <v>732 COUNTY 35 RD  </v>
      </c>
      <c r="C4383" s="3" t="str">
        <f>IFERROR(__xludf.DUMMYFUNCTION("""COMPUTED_VALUE"""),"CAMPBELLFORD")</f>
        <v>CAMPBELLFORD</v>
      </c>
      <c r="D4383" s="3" t="str">
        <f>IFERROR(__xludf.DUMMYFUNCTION("""COMPUTED_VALUE"""),"K0L 1L0")</f>
        <v>K0L 1L0</v>
      </c>
      <c r="E4383" s="3" t="str">
        <f>IFERROR(__xludf.DUMMYFUNCTION("""COMPUTED_VALUE"""),"joe reis")</f>
        <v>joe reis</v>
      </c>
      <c r="F4383" s="3"/>
      <c r="G4383" s="3">
        <f>IFERROR(__xludf.DUMMYFUNCTION("""COMPUTED_VALUE"""),4.16704625E9)</f>
        <v>4167046250</v>
      </c>
      <c r="H4383" s="3"/>
    </row>
    <row r="4384">
      <c r="A4384" s="2">
        <f>IFERROR(__xludf.DUMMYFUNCTION("""COMPUTED_VALUE"""),61436.0)</f>
        <v>61436</v>
      </c>
      <c r="B4384" s="3" t="str">
        <f>IFERROR(__xludf.DUMMYFUNCTION("""COMPUTED_VALUE"""),"756 COUNTY 35 RD  ")</f>
        <v>756 COUNTY 35 RD  </v>
      </c>
      <c r="C4384" s="3" t="str">
        <f>IFERROR(__xludf.DUMMYFUNCTION("""COMPUTED_VALUE"""),"CAMPBELLFORD")</f>
        <v>CAMPBELLFORD</v>
      </c>
      <c r="D4384" s="3" t="str">
        <f>IFERROR(__xludf.DUMMYFUNCTION("""COMPUTED_VALUE"""),"K0L 1L0")</f>
        <v>K0L 1L0</v>
      </c>
      <c r="E4384" s="3"/>
      <c r="F4384" s="3"/>
      <c r="G4384" s="3"/>
      <c r="H4384" s="3"/>
    </row>
    <row r="4385">
      <c r="A4385" s="2">
        <f>IFERROR(__xludf.DUMMYFUNCTION("""COMPUTED_VALUE"""),61437.0)</f>
        <v>61437</v>
      </c>
      <c r="B4385" s="3" t="str">
        <f>IFERROR(__xludf.DUMMYFUNCTION("""COMPUTED_VALUE"""),"800 COUNTY 35 RD  ")</f>
        <v>800 COUNTY 35 RD  </v>
      </c>
      <c r="C4385" s="3" t="str">
        <f>IFERROR(__xludf.DUMMYFUNCTION("""COMPUTED_VALUE"""),"CAMPBELLFORD")</f>
        <v>CAMPBELLFORD</v>
      </c>
      <c r="D4385" s="3" t="str">
        <f>IFERROR(__xludf.DUMMYFUNCTION("""COMPUTED_VALUE"""),"K0L 1L0")</f>
        <v>K0L 1L0</v>
      </c>
      <c r="E4385" s="3"/>
      <c r="F4385" s="3"/>
      <c r="G4385" s="3"/>
      <c r="H4385" s="3"/>
    </row>
    <row r="4386">
      <c r="A4386" s="2">
        <f>IFERROR(__xludf.DUMMYFUNCTION("""COMPUTED_VALUE"""),61438.0)</f>
        <v>61438</v>
      </c>
      <c r="B4386" s="3" t="str">
        <f>IFERROR(__xludf.DUMMYFUNCTION("""COMPUTED_VALUE"""),"821 COUNTY 35 RD  ")</f>
        <v>821 COUNTY 35 RD  </v>
      </c>
      <c r="C4386" s="3" t="str">
        <f>IFERROR(__xludf.DUMMYFUNCTION("""COMPUTED_VALUE"""),"CAMPBELLFORD")</f>
        <v>CAMPBELLFORD</v>
      </c>
      <c r="D4386" s="3" t="str">
        <f>IFERROR(__xludf.DUMMYFUNCTION("""COMPUTED_VALUE"""),"K0L 1L0")</f>
        <v>K0L 1L0</v>
      </c>
      <c r="E4386" s="3" t="str">
        <f>IFERROR(__xludf.DUMMYFUNCTION("""COMPUTED_VALUE"""),"adam turner ")</f>
        <v>adam turner </v>
      </c>
      <c r="F4386" s="3" t="str">
        <f>IFERROR(__xludf.DUMMYFUNCTION("""COMPUTED_VALUE"""),"t-turn@hotmail.com")</f>
        <v>t-turn@hotmail.com</v>
      </c>
      <c r="G4386" s="3">
        <f>IFERROR(__xludf.DUMMYFUNCTION("""COMPUTED_VALUE"""),7.058721366E9)</f>
        <v>7058721366</v>
      </c>
      <c r="H4386" s="3"/>
    </row>
    <row r="4387">
      <c r="A4387" s="2">
        <f>IFERROR(__xludf.DUMMYFUNCTION("""COMPUTED_VALUE"""),61439.0)</f>
        <v>61439</v>
      </c>
      <c r="B4387" s="3" t="str">
        <f>IFERROR(__xludf.DUMMYFUNCTION("""COMPUTED_VALUE"""),"835 COUNTY 35 RD  ")</f>
        <v>835 COUNTY 35 RD  </v>
      </c>
      <c r="C4387" s="3" t="str">
        <f>IFERROR(__xludf.DUMMYFUNCTION("""COMPUTED_VALUE"""),"CAMPBELLFORD")</f>
        <v>CAMPBELLFORD</v>
      </c>
      <c r="D4387" s="3" t="str">
        <f>IFERROR(__xludf.DUMMYFUNCTION("""COMPUTED_VALUE"""),"K0L 1L0")</f>
        <v>K0L 1L0</v>
      </c>
      <c r="E4387" s="3" t="str">
        <f>IFERROR(__xludf.DUMMYFUNCTION("""COMPUTED_VALUE"""),"Elizabeth Spencer")</f>
        <v>Elizabeth Spencer</v>
      </c>
      <c r="F4387" s="3" t="str">
        <f>IFERROR(__xludf.DUMMYFUNCTION("""COMPUTED_VALUE"""),"elizabeth@lizspencerbookkeeping.com")</f>
        <v>elizabeth@lizspencerbookkeeping.com</v>
      </c>
      <c r="G4387" s="3"/>
      <c r="H4387" s="3"/>
    </row>
    <row r="4388">
      <c r="A4388" s="2">
        <f>IFERROR(__xludf.DUMMYFUNCTION("""COMPUTED_VALUE"""),61440.0)</f>
        <v>61440</v>
      </c>
      <c r="B4388" s="3" t="str">
        <f>IFERROR(__xludf.DUMMYFUNCTION("""COMPUTED_VALUE"""),"843 COUNTY 35 RD  ")</f>
        <v>843 COUNTY 35 RD  </v>
      </c>
      <c r="C4388" s="3" t="str">
        <f>IFERROR(__xludf.DUMMYFUNCTION("""COMPUTED_VALUE"""),"CAMPBELLFORD")</f>
        <v>CAMPBELLFORD</v>
      </c>
      <c r="D4388" s="3" t="str">
        <f>IFERROR(__xludf.DUMMYFUNCTION("""COMPUTED_VALUE"""),"K0L 1L0")</f>
        <v>K0L 1L0</v>
      </c>
      <c r="E4388" s="3" t="str">
        <f>IFERROR(__xludf.DUMMYFUNCTION("""COMPUTED_VALUE"""),"Drew Smallman")</f>
        <v>Drew Smallman</v>
      </c>
      <c r="F4388" s="3" t="str">
        <f>IFERROR(__xludf.DUMMYFUNCTION("""COMPUTED_VALUE"""),"smallmans@gmx.com")</f>
        <v>smallmans@gmx.com</v>
      </c>
      <c r="G4388" s="3">
        <f>IFERROR(__xludf.DUMMYFUNCTION("""COMPUTED_VALUE"""),9.05922834E9)</f>
        <v>9059228340</v>
      </c>
      <c r="H4388" s="3">
        <f>IFERROR(__xludf.DUMMYFUNCTION("""COMPUTED_VALUE"""),9.058094979E9)</f>
        <v>9058094979</v>
      </c>
    </row>
    <row r="4389">
      <c r="A4389" s="2">
        <f>IFERROR(__xludf.DUMMYFUNCTION("""COMPUTED_VALUE"""),61441.0)</f>
        <v>61441</v>
      </c>
      <c r="B4389" s="3" t="str">
        <f>IFERROR(__xludf.DUMMYFUNCTION("""COMPUTED_VALUE"""),"849 COUNTY 35 RD")</f>
        <v>849 COUNTY 35 RD</v>
      </c>
      <c r="C4389" s="3" t="str">
        <f>IFERROR(__xludf.DUMMYFUNCTION("""COMPUTED_VALUE"""),"CAMPBELLFORD")</f>
        <v>CAMPBELLFORD</v>
      </c>
      <c r="D4389" s="3" t="str">
        <f>IFERROR(__xludf.DUMMYFUNCTION("""COMPUTED_VALUE"""),"K0L 1L0")</f>
        <v>K0L 1L0</v>
      </c>
      <c r="E4389" s="3" t="str">
        <f>IFERROR(__xludf.DUMMYFUNCTION("""COMPUTED_VALUE"""),"JAMES AARON CAMERON PAYNE")</f>
        <v>JAMES AARON CAMERON PAYNE</v>
      </c>
      <c r="F4389" s="3" t="str">
        <f>IFERROR(__xludf.DUMMYFUNCTION("""COMPUTED_VALUE"""),"jamesdude578@gmail.com")</f>
        <v>jamesdude578@gmail.com</v>
      </c>
      <c r="G4389" s="3"/>
      <c r="H4389" s="3"/>
    </row>
    <row r="4390">
      <c r="A4390" s="2">
        <f>IFERROR(__xludf.DUMMYFUNCTION("""COMPUTED_VALUE"""),61442.0)</f>
        <v>61442</v>
      </c>
      <c r="B4390" s="3" t="str">
        <f>IFERROR(__xludf.DUMMYFUNCTION("""COMPUTED_VALUE"""),"859 COUNTY 35 RD  ")</f>
        <v>859 COUNTY 35 RD  </v>
      </c>
      <c r="C4390" s="3" t="str">
        <f>IFERROR(__xludf.DUMMYFUNCTION("""COMPUTED_VALUE"""),"CAMPBELLFORD")</f>
        <v>CAMPBELLFORD</v>
      </c>
      <c r="D4390" s="3" t="str">
        <f>IFERROR(__xludf.DUMMYFUNCTION("""COMPUTED_VALUE"""),"K0L 1L0")</f>
        <v>K0L 1L0</v>
      </c>
      <c r="E4390" s="3" t="str">
        <f>IFERROR(__xludf.DUMMYFUNCTION("""COMPUTED_VALUE"""),"Don Wedderspoon")</f>
        <v>Don Wedderspoon</v>
      </c>
      <c r="F4390" s="3" t="str">
        <f>IFERROR(__xludf.DUMMYFUNCTION("""COMPUTED_VALUE"""),"dwedderspoon@hotmail.com")</f>
        <v>dwedderspoon@hotmail.com</v>
      </c>
      <c r="G4390" s="3">
        <f>IFERROR(__xludf.DUMMYFUNCTION("""COMPUTED_VALUE"""),9.059880196E9)</f>
        <v>9059880196</v>
      </c>
      <c r="H4390" s="3">
        <f>IFERROR(__xludf.DUMMYFUNCTION("""COMPUTED_VALUE"""),9.059880306E9)</f>
        <v>9059880306</v>
      </c>
    </row>
    <row r="4391">
      <c r="A4391" s="2">
        <f>IFERROR(__xludf.DUMMYFUNCTION("""COMPUTED_VALUE"""),61443.0)</f>
        <v>61443</v>
      </c>
      <c r="B4391" s="3" t="str">
        <f>IFERROR(__xludf.DUMMYFUNCTION("""COMPUTED_VALUE"""),"871 COUNTY 35 RD  ")</f>
        <v>871 COUNTY 35 RD  </v>
      </c>
      <c r="C4391" s="3" t="str">
        <f>IFERROR(__xludf.DUMMYFUNCTION("""COMPUTED_VALUE"""),"CAMPBELLFORD")</f>
        <v>CAMPBELLFORD</v>
      </c>
      <c r="D4391" s="3" t="str">
        <f>IFERROR(__xludf.DUMMYFUNCTION("""COMPUTED_VALUE"""),"K0L 1L0")</f>
        <v>K0L 1L0</v>
      </c>
      <c r="E4391" s="3" t="str">
        <f>IFERROR(__xludf.DUMMYFUNCTION("""COMPUTED_VALUE"""),"john smallwood")</f>
        <v>john smallwood</v>
      </c>
      <c r="F4391" s="3" t="str">
        <f>IFERROR(__xludf.DUMMYFUNCTION("""COMPUTED_VALUE"""),"gonefishingjds@gmail.com")</f>
        <v>gonefishingjds@gmail.com</v>
      </c>
      <c r="G4391" s="3">
        <f>IFERROR(__xludf.DUMMYFUNCTION("""COMPUTED_VALUE"""),7.056532255E9)</f>
        <v>7056532255</v>
      </c>
      <c r="H4391" s="3">
        <f>IFERROR(__xludf.DUMMYFUNCTION("""COMPUTED_VALUE"""),7.05653609E9)</f>
        <v>7056536090</v>
      </c>
    </row>
    <row r="4392">
      <c r="A4392" s="2">
        <f>IFERROR(__xludf.DUMMYFUNCTION("""COMPUTED_VALUE"""),61444.0)</f>
        <v>61444</v>
      </c>
      <c r="B4392" s="3" t="str">
        <f>IFERROR(__xludf.DUMMYFUNCTION("""COMPUTED_VALUE"""),"876 COUNTY 35 RD  ")</f>
        <v>876 COUNTY 35 RD  </v>
      </c>
      <c r="C4392" s="3" t="str">
        <f>IFERROR(__xludf.DUMMYFUNCTION("""COMPUTED_VALUE"""),"CAMPBELLFORD")</f>
        <v>CAMPBELLFORD</v>
      </c>
      <c r="D4392" s="3" t="str">
        <f>IFERROR(__xludf.DUMMYFUNCTION("""COMPUTED_VALUE"""),"K0L 1L0")</f>
        <v>K0L 1L0</v>
      </c>
      <c r="E4392" s="3" t="str">
        <f>IFERROR(__xludf.DUMMYFUNCTION("""COMPUTED_VALUE"""),"isidro dos santos")</f>
        <v>isidro dos santos</v>
      </c>
      <c r="F4392" s="3" t="str">
        <f>IFERROR(__xludf.DUMMYFUNCTION("""COMPUTED_VALUE"""),"isidrodossantos@hotmail.com")</f>
        <v>isidrodossantos@hotmail.com</v>
      </c>
      <c r="G4392" s="3">
        <f>IFERROR(__xludf.DUMMYFUNCTION("""COMPUTED_VALUE"""),7.053950546E9)</f>
        <v>7053950546</v>
      </c>
      <c r="H4392" s="3"/>
    </row>
    <row r="4393">
      <c r="A4393" s="2">
        <f>IFERROR(__xludf.DUMMYFUNCTION("""COMPUTED_VALUE"""),61445.0)</f>
        <v>61445</v>
      </c>
      <c r="B4393" s="3" t="str">
        <f>IFERROR(__xludf.DUMMYFUNCTION("""COMPUTED_VALUE"""),"948 COUNTY 35 RD  ")</f>
        <v>948 COUNTY 35 RD  </v>
      </c>
      <c r="C4393" s="3" t="str">
        <f>IFERROR(__xludf.DUMMYFUNCTION("""COMPUTED_VALUE"""),"CAMPBELLFORD")</f>
        <v>CAMPBELLFORD</v>
      </c>
      <c r="D4393" s="3" t="str">
        <f>IFERROR(__xludf.DUMMYFUNCTION("""COMPUTED_VALUE"""),"K0L 1L0")</f>
        <v>K0L 1L0</v>
      </c>
      <c r="E4393" s="3"/>
      <c r="F4393" s="3"/>
      <c r="G4393" s="3"/>
      <c r="H4393" s="3"/>
    </row>
    <row r="4394">
      <c r="A4394" s="2">
        <f>IFERROR(__xludf.DUMMYFUNCTION("""COMPUTED_VALUE"""),61446.0)</f>
        <v>61446</v>
      </c>
      <c r="B4394" s="3" t="str">
        <f>IFERROR(__xludf.DUMMYFUNCTION("""COMPUTED_VALUE"""),"997 COUNTY 35 RD  ")</f>
        <v>997 COUNTY 35 RD  </v>
      </c>
      <c r="C4394" s="3" t="str">
        <f>IFERROR(__xludf.DUMMYFUNCTION("""COMPUTED_VALUE"""),"CAMPBELLFORD")</f>
        <v>CAMPBELLFORD</v>
      </c>
      <c r="D4394" s="3" t="str">
        <f>IFERROR(__xludf.DUMMYFUNCTION("""COMPUTED_VALUE"""),"K0L 1L0")</f>
        <v>K0L 1L0</v>
      </c>
      <c r="E4394" s="3" t="str">
        <f>IFERROR(__xludf.DUMMYFUNCTION("""COMPUTED_VALUE"""),"Mario Beyls")</f>
        <v>Mario Beyls</v>
      </c>
      <c r="F4394" s="3" t="str">
        <f>IFERROR(__xludf.DUMMYFUNCTION("""COMPUTED_VALUE"""),"contactus@stoneypointresort.ca")</f>
        <v>contactus@stoneypointresort.ca</v>
      </c>
      <c r="G4394" s="3"/>
      <c r="H4394" s="3"/>
    </row>
    <row r="4395">
      <c r="A4395" s="2">
        <f>IFERROR(__xludf.DUMMYFUNCTION("""COMPUTED_VALUE"""),61447.0)</f>
        <v>61447</v>
      </c>
      <c r="B4395" s="3" t="str">
        <f>IFERROR(__xludf.DUMMYFUNCTION("""COMPUTED_VALUE"""),"1005 COUNTY 35 RD  ")</f>
        <v>1005 COUNTY 35 RD  </v>
      </c>
      <c r="C4395" s="3" t="str">
        <f>IFERROR(__xludf.DUMMYFUNCTION("""COMPUTED_VALUE"""),"CAMPBELLFORD")</f>
        <v>CAMPBELLFORD</v>
      </c>
      <c r="D4395" s="3" t="str">
        <f>IFERROR(__xludf.DUMMYFUNCTION("""COMPUTED_VALUE"""),"K0L 1L0")</f>
        <v>K0L 1L0</v>
      </c>
      <c r="E4395" s="3" t="str">
        <f>IFERROR(__xludf.DUMMYFUNCTION("""COMPUTED_VALUE"""),"Michael Ross")</f>
        <v>Michael Ross</v>
      </c>
      <c r="F4395" s="3" t="str">
        <f>IFERROR(__xludf.DUMMYFUNCTION("""COMPUTED_VALUE"""),"m.v.ross@icloud.com")</f>
        <v>m.v.ross@icloud.com</v>
      </c>
      <c r="G4395" s="3">
        <f>IFERROR(__xludf.DUMMYFUNCTION("""COMPUTED_VALUE"""),7.055593794E9)</f>
        <v>7055593794</v>
      </c>
      <c r="H4395" s="3">
        <f>IFERROR(__xludf.DUMMYFUNCTION("""COMPUTED_VALUE"""),7.055597546E9)</f>
        <v>7055597546</v>
      </c>
    </row>
    <row r="4396">
      <c r="A4396" s="2">
        <f>IFERROR(__xludf.DUMMYFUNCTION("""COMPUTED_VALUE"""),61448.0)</f>
        <v>61448</v>
      </c>
      <c r="B4396" s="3" t="str">
        <f>IFERROR(__xludf.DUMMYFUNCTION("""COMPUTED_VALUE"""),"1047 COUNTY 35 RD  ")</f>
        <v>1047 COUNTY 35 RD  </v>
      </c>
      <c r="C4396" s="3" t="str">
        <f>IFERROR(__xludf.DUMMYFUNCTION("""COMPUTED_VALUE"""),"CAMPBELLFORD")</f>
        <v>CAMPBELLFORD</v>
      </c>
      <c r="D4396" s="3" t="str">
        <f>IFERROR(__xludf.DUMMYFUNCTION("""COMPUTED_VALUE"""),"K0L 1L0")</f>
        <v>K0L 1L0</v>
      </c>
      <c r="E4396" s="3"/>
      <c r="F4396" s="3"/>
      <c r="G4396" s="3"/>
      <c r="H4396" s="3"/>
    </row>
    <row r="4397">
      <c r="A4397" s="2">
        <f>IFERROR(__xludf.DUMMYFUNCTION("""COMPUTED_VALUE"""),61449.0)</f>
        <v>61449</v>
      </c>
      <c r="B4397" s="3" t="str">
        <f>IFERROR(__xludf.DUMMYFUNCTION("""COMPUTED_VALUE"""),"1187 COUNTY 35 RD  ")</f>
        <v>1187 COUNTY 35 RD  </v>
      </c>
      <c r="C4397" s="3" t="str">
        <f>IFERROR(__xludf.DUMMYFUNCTION("""COMPUTED_VALUE"""),"CAMPBELLFORD")</f>
        <v>CAMPBELLFORD</v>
      </c>
      <c r="D4397" s="3" t="str">
        <f>IFERROR(__xludf.DUMMYFUNCTION("""COMPUTED_VALUE"""),"K0L 1L0")</f>
        <v>K0L 1L0</v>
      </c>
      <c r="E4397" s="3" t="str">
        <f>IFERROR(__xludf.DUMMYFUNCTION("""COMPUTED_VALUE"""),"paul patty whitney ")</f>
        <v>paul patty whitney </v>
      </c>
      <c r="F4397" s="3" t="str">
        <f>IFERROR(__xludf.DUMMYFUNCTION("""COMPUTED_VALUE"""),"whitneypatty385@gmail.com")</f>
        <v>whitneypatty385@gmail.com</v>
      </c>
      <c r="G4397" s="3">
        <f>IFERROR(__xludf.DUMMYFUNCTION("""COMPUTED_VALUE"""),7.056321904E9)</f>
        <v>7056321904</v>
      </c>
      <c r="H4397" s="3"/>
    </row>
    <row r="4398">
      <c r="A4398" s="2">
        <f>IFERROR(__xludf.DUMMYFUNCTION("""COMPUTED_VALUE"""),63775.0)</f>
        <v>63775</v>
      </c>
      <c r="B4398" s="3" t="str">
        <f>IFERROR(__xludf.DUMMYFUNCTION("""COMPUTED_VALUE"""),"37 COUNTY RD 35")</f>
        <v>37 COUNTY RD 35</v>
      </c>
      <c r="C4398" s="3"/>
      <c r="D4398" s="3"/>
      <c r="E4398" s="3"/>
      <c r="F4398" s="3"/>
      <c r="G4398" s="3"/>
      <c r="H4398" s="3"/>
    </row>
    <row r="4399">
      <c r="A4399" s="2">
        <f>IFERROR(__xludf.DUMMYFUNCTION("""COMPUTED_VALUE"""),61386.0)</f>
        <v>61386</v>
      </c>
      <c r="B4399" s="3" t="str">
        <f>IFERROR(__xludf.DUMMYFUNCTION("""COMPUTED_VALUE"""),"71 COUNTY RD 35")</f>
        <v>71 COUNTY RD 35</v>
      </c>
      <c r="C4399" s="3"/>
      <c r="D4399" s="3"/>
      <c r="E4399" s="3"/>
      <c r="F4399" s="3"/>
      <c r="G4399" s="3"/>
      <c r="H4399" s="3"/>
    </row>
    <row r="4400">
      <c r="A4400" s="2">
        <f>IFERROR(__xludf.DUMMYFUNCTION("""COMPUTED_VALUE"""),61387.0)</f>
        <v>61387</v>
      </c>
      <c r="B4400" s="3" t="str">
        <f>IFERROR(__xludf.DUMMYFUNCTION("""COMPUTED_VALUE"""),"98 COUNTY 35 RD  ")</f>
        <v>98 COUNTY 35 RD  </v>
      </c>
      <c r="C4400" s="3" t="str">
        <f>IFERROR(__xludf.DUMMYFUNCTION("""COMPUTED_VALUE"""),"HASTINGS")</f>
        <v>HASTINGS</v>
      </c>
      <c r="D4400" s="3" t="str">
        <f>IFERROR(__xludf.DUMMYFUNCTION("""COMPUTED_VALUE"""),"K0L 1Y0")</f>
        <v>K0L 1Y0</v>
      </c>
      <c r="E4400" s="3" t="str">
        <f>IFERROR(__xludf.DUMMYFUNCTION("""COMPUTED_VALUE"""),"brandon bickle")</f>
        <v>brandon bickle</v>
      </c>
      <c r="F4400" s="3" t="str">
        <f>IFERROR(__xludf.DUMMYFUNCTION("""COMPUTED_VALUE"""),"brandon.bickle@gmail.com")</f>
        <v>brandon.bickle@gmail.com</v>
      </c>
      <c r="G4400" s="3"/>
      <c r="H4400" s="3"/>
    </row>
    <row r="4401">
      <c r="A4401" s="2">
        <f>IFERROR(__xludf.DUMMYFUNCTION("""COMPUTED_VALUE"""),61388.0)</f>
        <v>61388</v>
      </c>
      <c r="B4401" s="3" t="str">
        <f>IFERROR(__xludf.DUMMYFUNCTION("""COMPUTED_VALUE"""),"107 COUNTY 35 RD  ")</f>
        <v>107 COUNTY 35 RD  </v>
      </c>
      <c r="C4401" s="3" t="str">
        <f>IFERROR(__xludf.DUMMYFUNCTION("""COMPUTED_VALUE"""),"HASTINGS")</f>
        <v>HASTINGS</v>
      </c>
      <c r="D4401" s="3" t="str">
        <f>IFERROR(__xludf.DUMMYFUNCTION("""COMPUTED_VALUE"""),"K0L 1Y0")</f>
        <v>K0L 1Y0</v>
      </c>
      <c r="E4401" s="3" t="str">
        <f>IFERROR(__xludf.DUMMYFUNCTION("""COMPUTED_VALUE"""),"marquret attis")</f>
        <v>marquret attis</v>
      </c>
      <c r="F4401" s="3" t="str">
        <f>IFERROR(__xludf.DUMMYFUNCTION("""COMPUTED_VALUE"""),"marquretattis@icloud.com")</f>
        <v>marquretattis@icloud.com</v>
      </c>
      <c r="G4401" s="3">
        <f>IFERROR(__xludf.DUMMYFUNCTION("""COMPUTED_VALUE"""),7.056963217E9)</f>
        <v>7056963217</v>
      </c>
      <c r="H4401" s="3"/>
    </row>
    <row r="4402">
      <c r="A4402" s="2">
        <f>IFERROR(__xludf.DUMMYFUNCTION("""COMPUTED_VALUE"""),61389.0)</f>
        <v>61389</v>
      </c>
      <c r="B4402" s="3" t="str">
        <f>IFERROR(__xludf.DUMMYFUNCTION("""COMPUTED_VALUE"""),"110 COUNTY 35 RD  ")</f>
        <v>110 COUNTY 35 RD  </v>
      </c>
      <c r="C4402" s="3" t="str">
        <f>IFERROR(__xludf.DUMMYFUNCTION("""COMPUTED_VALUE"""),"HASTINGS")</f>
        <v>HASTINGS</v>
      </c>
      <c r="D4402" s="3" t="str">
        <f>IFERROR(__xludf.DUMMYFUNCTION("""COMPUTED_VALUE"""),"K0L 1Y0")</f>
        <v>K0L 1Y0</v>
      </c>
      <c r="E4402" s="3" t="str">
        <f>IFERROR(__xludf.DUMMYFUNCTION("""COMPUTED_VALUE"""),"Brad Cocchio")</f>
        <v>Brad Cocchio</v>
      </c>
      <c r="F4402" s="3" t="str">
        <f>IFERROR(__xludf.DUMMYFUNCTION("""COMPUTED_VALUE"""),"brad_cocchio@outlook.com")</f>
        <v>brad_cocchio@outlook.com</v>
      </c>
      <c r="G4402" s="3">
        <f>IFERROR(__xludf.DUMMYFUNCTION("""COMPUTED_VALUE"""),7.056536014E9)</f>
        <v>7056536014</v>
      </c>
      <c r="H4402" s="3"/>
    </row>
    <row r="4403">
      <c r="A4403" s="2">
        <f>IFERROR(__xludf.DUMMYFUNCTION("""COMPUTED_VALUE"""),61390.0)</f>
        <v>61390</v>
      </c>
      <c r="B4403" s="3" t="str">
        <f>IFERROR(__xludf.DUMMYFUNCTION("""COMPUTED_VALUE"""),"112 COUNTY 35 RD  ")</f>
        <v>112 COUNTY 35 RD  </v>
      </c>
      <c r="C4403" s="3" t="str">
        <f>IFERROR(__xludf.DUMMYFUNCTION("""COMPUTED_VALUE"""),"HASTINGS")</f>
        <v>HASTINGS</v>
      </c>
      <c r="D4403" s="3" t="str">
        <f>IFERROR(__xludf.DUMMYFUNCTION("""COMPUTED_VALUE"""),"K0L 1Y0")</f>
        <v>K0L 1Y0</v>
      </c>
      <c r="E4403" s="3" t="str">
        <f>IFERROR(__xludf.DUMMYFUNCTION("""COMPUTED_VALUE"""),"Ben Stalker")</f>
        <v>Ben Stalker</v>
      </c>
      <c r="F4403" s="3" t="str">
        <f>IFERROR(__xludf.DUMMYFUNCTION("""COMPUTED_VALUE"""),"ben.stalker@hotmail.com")</f>
        <v>ben.stalker@hotmail.com</v>
      </c>
      <c r="G4403" s="3">
        <f>IFERROR(__xludf.DUMMYFUNCTION("""COMPUTED_VALUE"""),2.893886682E9)</f>
        <v>2893886682</v>
      </c>
      <c r="H4403" s="3"/>
    </row>
    <row r="4404">
      <c r="A4404" s="2">
        <f>IFERROR(__xludf.DUMMYFUNCTION("""COMPUTED_VALUE"""),61391.0)</f>
        <v>61391</v>
      </c>
      <c r="B4404" s="3" t="str">
        <f>IFERROR(__xludf.DUMMYFUNCTION("""COMPUTED_VALUE"""),"114 COUNTY 35 RD  ")</f>
        <v>114 COUNTY 35 RD  </v>
      </c>
      <c r="C4404" s="3" t="str">
        <f>IFERROR(__xludf.DUMMYFUNCTION("""COMPUTED_VALUE"""),"HASTINGS")</f>
        <v>HASTINGS</v>
      </c>
      <c r="D4404" s="3" t="str">
        <f>IFERROR(__xludf.DUMMYFUNCTION("""COMPUTED_VALUE"""),"K0L 1Y0")</f>
        <v>K0L 1Y0</v>
      </c>
      <c r="E4404" s="3" t="str">
        <f>IFERROR(__xludf.DUMMYFUNCTION("""COMPUTED_VALUE"""),"Marsha Fallis")</f>
        <v>Marsha Fallis</v>
      </c>
      <c r="F4404" s="3" t="str">
        <f>IFERROR(__xludf.DUMMYFUNCTION("""COMPUTED_VALUE"""),"marsha.fallis@gmail.com")</f>
        <v>marsha.fallis@gmail.com</v>
      </c>
      <c r="G4404" s="3">
        <f>IFERROR(__xludf.DUMMYFUNCTION("""COMPUTED_VALUE"""),7.052070061E9)</f>
        <v>7052070061</v>
      </c>
      <c r="H4404" s="3">
        <f>IFERROR(__xludf.DUMMYFUNCTION("""COMPUTED_VALUE"""),7.059883082E9)</f>
        <v>7059883082</v>
      </c>
    </row>
    <row r="4405">
      <c r="A4405" s="2">
        <f>IFERROR(__xludf.DUMMYFUNCTION("""COMPUTED_VALUE"""),61392.0)</f>
        <v>61392</v>
      </c>
      <c r="B4405" s="3" t="str">
        <f>IFERROR(__xludf.DUMMYFUNCTION("""COMPUTED_VALUE"""),"116 COUNTY 35 RD  ")</f>
        <v>116 COUNTY 35 RD  </v>
      </c>
      <c r="C4405" s="3" t="str">
        <f>IFERROR(__xludf.DUMMYFUNCTION("""COMPUTED_VALUE"""),"HASTINGS")</f>
        <v>HASTINGS</v>
      </c>
      <c r="D4405" s="3" t="str">
        <f>IFERROR(__xludf.DUMMYFUNCTION("""COMPUTED_VALUE"""),"K0L 1Y0")</f>
        <v>K0L 1Y0</v>
      </c>
      <c r="E4405" s="3"/>
      <c r="F4405" s="3"/>
      <c r="G4405" s="3"/>
      <c r="H4405" s="3"/>
    </row>
    <row r="4406">
      <c r="A4406" s="2">
        <f>IFERROR(__xludf.DUMMYFUNCTION("""COMPUTED_VALUE"""),61393.0)</f>
        <v>61393</v>
      </c>
      <c r="B4406" s="3" t="str">
        <f>IFERROR(__xludf.DUMMYFUNCTION("""COMPUTED_VALUE"""),"118 COUNTY 35 RD  ")</f>
        <v>118 COUNTY 35 RD  </v>
      </c>
      <c r="C4406" s="3" t="str">
        <f>IFERROR(__xludf.DUMMYFUNCTION("""COMPUTED_VALUE"""),"HASTINGS")</f>
        <v>HASTINGS</v>
      </c>
      <c r="D4406" s="3" t="str">
        <f>IFERROR(__xludf.DUMMYFUNCTION("""COMPUTED_VALUE"""),"K0L 1Y0")</f>
        <v>K0L 1Y0</v>
      </c>
      <c r="E4406" s="3" t="str">
        <f>IFERROR(__xludf.DUMMYFUNCTION("""COMPUTED_VALUE"""),"Jason Balas")</f>
        <v>Jason Balas</v>
      </c>
      <c r="F4406" s="3" t="str">
        <f>IFERROR(__xludf.DUMMYFUNCTION("""COMPUTED_VALUE"""),"jasonvbalas@gmail.com")</f>
        <v>jasonvbalas@gmail.com</v>
      </c>
      <c r="G4406" s="3">
        <f>IFERROR(__xludf.DUMMYFUNCTION("""COMPUTED_VALUE"""),2.899284434E9)</f>
        <v>2899284434</v>
      </c>
      <c r="H4406" s="3"/>
    </row>
    <row r="4407">
      <c r="A4407" s="2">
        <f>IFERROR(__xludf.DUMMYFUNCTION("""COMPUTED_VALUE"""),61394.0)</f>
        <v>61394</v>
      </c>
      <c r="B4407" s="3" t="str">
        <f>IFERROR(__xludf.DUMMYFUNCTION("""COMPUTED_VALUE"""),"137 COUNTY 35 RD  ")</f>
        <v>137 COUNTY 35 RD  </v>
      </c>
      <c r="C4407" s="3" t="str">
        <f>IFERROR(__xludf.DUMMYFUNCTION("""COMPUTED_VALUE"""),"HASTINGS")</f>
        <v>HASTINGS</v>
      </c>
      <c r="D4407" s="3" t="str">
        <f>IFERROR(__xludf.DUMMYFUNCTION("""COMPUTED_VALUE"""),"K0L 1Y0")</f>
        <v>K0L 1Y0</v>
      </c>
      <c r="E4407" s="3" t="str">
        <f>IFERROR(__xludf.DUMMYFUNCTION("""COMPUTED_VALUE"""),"Doug &amp; Lori Runions")</f>
        <v>Doug &amp; Lori Runions</v>
      </c>
      <c r="F4407" s="3" t="str">
        <f>IFERROR(__xludf.DUMMYFUNCTION("""COMPUTED_VALUE"""),"lmrun@live.com")</f>
        <v>lmrun@live.com</v>
      </c>
      <c r="G4407" s="3"/>
      <c r="H4407" s="3"/>
    </row>
    <row r="4408">
      <c r="A4408" s="2">
        <f>IFERROR(__xludf.DUMMYFUNCTION("""COMPUTED_VALUE"""),61396.0)</f>
        <v>61396</v>
      </c>
      <c r="B4408" s="3" t="str">
        <f>IFERROR(__xludf.DUMMYFUNCTION("""COMPUTED_VALUE"""),"166 COUNTY 35 RD  ")</f>
        <v>166 COUNTY 35 RD  </v>
      </c>
      <c r="C4408" s="3" t="str">
        <f>IFERROR(__xludf.DUMMYFUNCTION("""COMPUTED_VALUE"""),"HASTINGS")</f>
        <v>HASTINGS</v>
      </c>
      <c r="D4408" s="3" t="str">
        <f>IFERROR(__xludf.DUMMYFUNCTION("""COMPUTED_VALUE"""),"K0L 1Y0")</f>
        <v>K0L 1Y0</v>
      </c>
      <c r="E4408" s="3" t="str">
        <f>IFERROR(__xludf.DUMMYFUNCTION("""COMPUTED_VALUE"""),"Elizabeth Kowal")</f>
        <v>Elizabeth Kowal</v>
      </c>
      <c r="F4408" s="3" t="str">
        <f>IFERROR(__xludf.DUMMYFUNCTION("""COMPUTED_VALUE"""),"liz.kowal@sympatico.ca")</f>
        <v>liz.kowal@sympatico.ca</v>
      </c>
      <c r="G4408" s="3"/>
      <c r="H4408" s="3"/>
    </row>
    <row r="4409">
      <c r="A4409" s="2">
        <f>IFERROR(__xludf.DUMMYFUNCTION("""COMPUTED_VALUE"""),61397.0)</f>
        <v>61397</v>
      </c>
      <c r="B4409" s="3" t="str">
        <f>IFERROR(__xludf.DUMMYFUNCTION("""COMPUTED_VALUE"""),"177 COUNTY 35 RD  ")</f>
        <v>177 COUNTY 35 RD  </v>
      </c>
      <c r="C4409" s="3" t="str">
        <f>IFERROR(__xludf.DUMMYFUNCTION("""COMPUTED_VALUE"""),"HASTINGS")</f>
        <v>HASTINGS</v>
      </c>
      <c r="D4409" s="3" t="str">
        <f>IFERROR(__xludf.DUMMYFUNCTION("""COMPUTED_VALUE"""),"K0L 1Y0")</f>
        <v>K0L 1Y0</v>
      </c>
      <c r="E4409" s="3"/>
      <c r="F4409" s="3"/>
      <c r="G4409" s="3"/>
      <c r="H4409" s="3"/>
    </row>
    <row r="4410">
      <c r="A4410" s="2">
        <f>IFERROR(__xludf.DUMMYFUNCTION("""COMPUTED_VALUE"""),61398.0)</f>
        <v>61398</v>
      </c>
      <c r="B4410" s="3" t="str">
        <f>IFERROR(__xludf.DUMMYFUNCTION("""COMPUTED_VALUE"""),"184 COUNTY 35 RD  ")</f>
        <v>184 COUNTY 35 RD  </v>
      </c>
      <c r="C4410" s="3" t="str">
        <f>IFERROR(__xludf.DUMMYFUNCTION("""COMPUTED_VALUE"""),"HASTINGS")</f>
        <v>HASTINGS</v>
      </c>
      <c r="D4410" s="3" t="str">
        <f>IFERROR(__xludf.DUMMYFUNCTION("""COMPUTED_VALUE"""),"K0L 1Y0")</f>
        <v>K0L 1Y0</v>
      </c>
      <c r="E4410" s="3"/>
      <c r="F4410" s="3"/>
      <c r="G4410" s="3"/>
      <c r="H4410" s="3"/>
    </row>
    <row r="4411">
      <c r="A4411" s="2">
        <f>IFERROR(__xludf.DUMMYFUNCTION("""COMPUTED_VALUE"""),61399.0)</f>
        <v>61399</v>
      </c>
      <c r="B4411" s="3" t="str">
        <f>IFERROR(__xludf.DUMMYFUNCTION("""COMPUTED_VALUE"""),"213 COUNTY 35 RD  ")</f>
        <v>213 COUNTY 35 RD  </v>
      </c>
      <c r="C4411" s="3" t="str">
        <f>IFERROR(__xludf.DUMMYFUNCTION("""COMPUTED_VALUE"""),"HASTINGS")</f>
        <v>HASTINGS</v>
      </c>
      <c r="D4411" s="3" t="str">
        <f>IFERROR(__xludf.DUMMYFUNCTION("""COMPUTED_VALUE"""),"K0L 1Y0")</f>
        <v>K0L 1Y0</v>
      </c>
      <c r="E4411" s="3" t="str">
        <f>IFERROR(__xludf.DUMMYFUNCTION("""COMPUTED_VALUE"""),"Michael Anastasopoulos")</f>
        <v>Michael Anastasopoulos</v>
      </c>
      <c r="F4411" s="3" t="str">
        <f>IFERROR(__xludf.DUMMYFUNCTION("""COMPUTED_VALUE"""),"m.anastasopoulos94@gmail.com")</f>
        <v>m.anastasopoulos94@gmail.com</v>
      </c>
      <c r="G4411" s="3">
        <f>IFERROR(__xludf.DUMMYFUNCTION("""COMPUTED_VALUE"""),5.195519145E9)</f>
        <v>5195519145</v>
      </c>
      <c r="H4411" s="3">
        <f>IFERROR(__xludf.DUMMYFUNCTION("""COMPUTED_VALUE"""),7.059302793E9)</f>
        <v>7059302793</v>
      </c>
    </row>
    <row r="4412">
      <c r="A4412" s="2">
        <f>IFERROR(__xludf.DUMMYFUNCTION("""COMPUTED_VALUE"""),61401.0)</f>
        <v>61401</v>
      </c>
      <c r="B4412" s="3" t="str">
        <f>IFERROR(__xludf.DUMMYFUNCTION("""COMPUTED_VALUE"""),"228 COUNTY 35 RD  ")</f>
        <v>228 COUNTY 35 RD  </v>
      </c>
      <c r="C4412" s="3" t="str">
        <f>IFERROR(__xludf.DUMMYFUNCTION("""COMPUTED_VALUE"""),"HASTINGS")</f>
        <v>HASTINGS</v>
      </c>
      <c r="D4412" s="3" t="str">
        <f>IFERROR(__xludf.DUMMYFUNCTION("""COMPUTED_VALUE"""),"K0L 1Y0")</f>
        <v>K0L 1Y0</v>
      </c>
      <c r="E4412" s="3" t="str">
        <f>IFERROR(__xludf.DUMMYFUNCTION("""COMPUTED_VALUE"""),"paul hazell")</f>
        <v>paul hazell</v>
      </c>
      <c r="F4412" s="3" t="str">
        <f>IFERROR(__xludf.DUMMYFUNCTION("""COMPUTED_VALUE"""),"busyagain1@outlook.com")</f>
        <v>busyagain1@outlook.com</v>
      </c>
      <c r="G4412" s="3">
        <f>IFERROR(__xludf.DUMMYFUNCTION("""COMPUTED_VALUE"""),7.056539242E9)</f>
        <v>7056539242</v>
      </c>
      <c r="H4412" s="3"/>
    </row>
    <row r="4413">
      <c r="A4413" s="2">
        <f>IFERROR(__xludf.DUMMYFUNCTION("""COMPUTED_VALUE"""),61402.0)</f>
        <v>61402</v>
      </c>
      <c r="B4413" s="3" t="str">
        <f>IFERROR(__xludf.DUMMYFUNCTION("""COMPUTED_VALUE"""),"234 COUNTY 35 RD  ")</f>
        <v>234 COUNTY 35 RD  </v>
      </c>
      <c r="C4413" s="3" t="str">
        <f>IFERROR(__xludf.DUMMYFUNCTION("""COMPUTED_VALUE"""),"HASTINGS")</f>
        <v>HASTINGS</v>
      </c>
      <c r="D4413" s="3" t="str">
        <f>IFERROR(__xludf.DUMMYFUNCTION("""COMPUTED_VALUE"""),"K0L 1Y0")</f>
        <v>K0L 1Y0</v>
      </c>
      <c r="E4413" s="3"/>
      <c r="F4413" s="3"/>
      <c r="G4413" s="3"/>
      <c r="H4413" s="3"/>
    </row>
    <row r="4414">
      <c r="A4414" s="2">
        <f>IFERROR(__xludf.DUMMYFUNCTION("""COMPUTED_VALUE"""),61403.0)</f>
        <v>61403</v>
      </c>
      <c r="B4414" s="3" t="str">
        <f>IFERROR(__xludf.DUMMYFUNCTION("""COMPUTED_VALUE"""),"242 COUNTY 35 RD  ")</f>
        <v>242 COUNTY 35 RD  </v>
      </c>
      <c r="C4414" s="3" t="str">
        <f>IFERROR(__xludf.DUMMYFUNCTION("""COMPUTED_VALUE"""),"HASTINGS")</f>
        <v>HASTINGS</v>
      </c>
      <c r="D4414" s="3" t="str">
        <f>IFERROR(__xludf.DUMMYFUNCTION("""COMPUTED_VALUE"""),"K0L 1Y0")</f>
        <v>K0L 1Y0</v>
      </c>
      <c r="E4414" s="3" t="str">
        <f>IFERROR(__xludf.DUMMYFUNCTION("""COMPUTED_VALUE"""),"Martin Abraham")</f>
        <v>Martin Abraham</v>
      </c>
      <c r="F4414" s="3" t="str">
        <f>IFERROR(__xludf.DUMMYFUNCTION("""COMPUTED_VALUE"""),"martoonie.a73@gmail.com")</f>
        <v>martoonie.a73@gmail.com</v>
      </c>
      <c r="G4414" s="3">
        <f>IFERROR(__xludf.DUMMYFUNCTION("""COMPUTED_VALUE"""),7.059339838E9)</f>
        <v>7059339838</v>
      </c>
      <c r="H4414" s="3"/>
    </row>
    <row r="4415">
      <c r="A4415" s="2">
        <f>IFERROR(__xludf.DUMMYFUNCTION("""COMPUTED_VALUE"""),61404.0)</f>
        <v>61404</v>
      </c>
      <c r="B4415" s="3" t="str">
        <f>IFERROR(__xludf.DUMMYFUNCTION("""COMPUTED_VALUE"""),"257 COUNTY 35 RD  ")</f>
        <v>257 COUNTY 35 RD  </v>
      </c>
      <c r="C4415" s="3" t="str">
        <f>IFERROR(__xludf.DUMMYFUNCTION("""COMPUTED_VALUE"""),"HASTINGS")</f>
        <v>HASTINGS</v>
      </c>
      <c r="D4415" s="3" t="str">
        <f>IFERROR(__xludf.DUMMYFUNCTION("""COMPUTED_VALUE"""),"K0L 1Y0")</f>
        <v>K0L 1Y0</v>
      </c>
      <c r="E4415" s="3"/>
      <c r="F4415" s="3"/>
      <c r="G4415" s="3"/>
      <c r="H4415" s="3"/>
    </row>
    <row r="4416">
      <c r="A4416" s="2">
        <f>IFERROR(__xludf.DUMMYFUNCTION("""COMPUTED_VALUE"""),61405.0)</f>
        <v>61405</v>
      </c>
      <c r="B4416" s="3" t="str">
        <f>IFERROR(__xludf.DUMMYFUNCTION("""COMPUTED_VALUE"""),"258 COUNTY 35 RD  ")</f>
        <v>258 COUNTY 35 RD  </v>
      </c>
      <c r="C4416" s="3" t="str">
        <f>IFERROR(__xludf.DUMMYFUNCTION("""COMPUTED_VALUE"""),"HASTINGS")</f>
        <v>HASTINGS</v>
      </c>
      <c r="D4416" s="3" t="str">
        <f>IFERROR(__xludf.DUMMYFUNCTION("""COMPUTED_VALUE"""),"K0L 1Y0")</f>
        <v>K0L 1Y0</v>
      </c>
      <c r="E4416" s="3" t="str">
        <f>IFERROR(__xludf.DUMMYFUNCTION("""COMPUTED_VALUE"""),"l, mason ")</f>
        <v>l, mason </v>
      </c>
      <c r="F4416" s="3"/>
      <c r="G4416" s="3">
        <f>IFERROR(__xludf.DUMMYFUNCTION("""COMPUTED_VALUE"""),7.056963457E9)</f>
        <v>7056963457</v>
      </c>
      <c r="H4416" s="3"/>
    </row>
    <row r="4417">
      <c r="A4417" s="2">
        <f>IFERROR(__xludf.DUMMYFUNCTION("""COMPUTED_VALUE"""),61406.0)</f>
        <v>61406</v>
      </c>
      <c r="B4417" s="3" t="str">
        <f>IFERROR(__xludf.DUMMYFUNCTION("""COMPUTED_VALUE"""),"260 COUNTY 35 RD  ")</f>
        <v>260 COUNTY 35 RD  </v>
      </c>
      <c r="C4417" s="3" t="str">
        <f>IFERROR(__xludf.DUMMYFUNCTION("""COMPUTED_VALUE"""),"HASTINGS")</f>
        <v>HASTINGS</v>
      </c>
      <c r="D4417" s="3" t="str">
        <f>IFERROR(__xludf.DUMMYFUNCTION("""COMPUTED_VALUE"""),"K0L 1Y0")</f>
        <v>K0L 1Y0</v>
      </c>
      <c r="E4417" s="3" t="str">
        <f>IFERROR(__xludf.DUMMYFUNCTION("""COMPUTED_VALUE"""),"James Chamberlain")</f>
        <v>James Chamberlain</v>
      </c>
      <c r="F4417" s="3" t="str">
        <f>IFERROR(__xludf.DUMMYFUNCTION("""COMPUTED_VALUE"""),"jc3jc3@hotmail.com")</f>
        <v>jc3jc3@hotmail.com</v>
      </c>
      <c r="G4417" s="3">
        <f>IFERROR(__xludf.DUMMYFUNCTION("""COMPUTED_VALUE"""),7.059317077E9)</f>
        <v>7059317077</v>
      </c>
      <c r="H4417" s="3">
        <f>IFERROR(__xludf.DUMMYFUNCTION("""COMPUTED_VALUE"""),7.058682172E9)</f>
        <v>7058682172</v>
      </c>
    </row>
    <row r="4418">
      <c r="A4418" s="2">
        <f>IFERROR(__xludf.DUMMYFUNCTION("""COMPUTED_VALUE"""),61407.0)</f>
        <v>61407</v>
      </c>
      <c r="B4418" s="3" t="str">
        <f>IFERROR(__xludf.DUMMYFUNCTION("""COMPUTED_VALUE"""),"261 COUNTY RD 35")</f>
        <v>261 COUNTY RD 35</v>
      </c>
      <c r="C4418" s="3"/>
      <c r="D4418" s="3"/>
      <c r="E4418" s="3"/>
      <c r="F4418" s="3"/>
      <c r="G4418" s="3"/>
      <c r="H4418" s="3"/>
    </row>
    <row r="4419">
      <c r="A4419" s="2">
        <f>IFERROR(__xludf.DUMMYFUNCTION("""COMPUTED_VALUE"""),61408.0)</f>
        <v>61408</v>
      </c>
      <c r="B4419" s="3" t="str">
        <f>IFERROR(__xludf.DUMMYFUNCTION("""COMPUTED_VALUE"""),"264 COUNTY 35 RD  ")</f>
        <v>264 COUNTY 35 RD  </v>
      </c>
      <c r="C4419" s="3" t="str">
        <f>IFERROR(__xludf.DUMMYFUNCTION("""COMPUTED_VALUE"""),"HASTINGS")</f>
        <v>HASTINGS</v>
      </c>
      <c r="D4419" s="3" t="str">
        <f>IFERROR(__xludf.DUMMYFUNCTION("""COMPUTED_VALUE"""),"K0L 1Y0")</f>
        <v>K0L 1Y0</v>
      </c>
      <c r="E4419" s="3" t="str">
        <f>IFERROR(__xludf.DUMMYFUNCTION("""COMPUTED_VALUE"""),"mary sullivan ")</f>
        <v>mary sullivan </v>
      </c>
      <c r="F4419" s="3" t="str">
        <f>IFERROR(__xludf.DUMMYFUNCTION("""COMPUTED_VALUE"""),"maarysullivan99@yahoo.ca")</f>
        <v>maarysullivan99@yahoo.ca</v>
      </c>
      <c r="G4419" s="3">
        <f>IFERROR(__xludf.DUMMYFUNCTION("""COMPUTED_VALUE"""),9.053733116E9)</f>
        <v>9053733116</v>
      </c>
      <c r="H4419" s="3"/>
    </row>
    <row r="4420">
      <c r="A4420" s="2">
        <f>IFERROR(__xludf.DUMMYFUNCTION("""COMPUTED_VALUE"""),61409.0)</f>
        <v>61409</v>
      </c>
      <c r="B4420" s="3" t="str">
        <f>IFERROR(__xludf.DUMMYFUNCTION("""COMPUTED_VALUE"""),"266 COUNTY 35 RD  ")</f>
        <v>266 COUNTY 35 RD  </v>
      </c>
      <c r="C4420" s="3" t="str">
        <f>IFERROR(__xludf.DUMMYFUNCTION("""COMPUTED_VALUE"""),"HASTINGS")</f>
        <v>HASTINGS</v>
      </c>
      <c r="D4420" s="3" t="str">
        <f>IFERROR(__xludf.DUMMYFUNCTION("""COMPUTED_VALUE"""),"K0L 1Y0")</f>
        <v>K0L 1Y0</v>
      </c>
      <c r="E4420" s="3"/>
      <c r="F4420" s="3"/>
      <c r="G4420" s="3"/>
      <c r="H4420" s="3"/>
    </row>
    <row r="4421">
      <c r="A4421" s="2">
        <f>IFERROR(__xludf.DUMMYFUNCTION("""COMPUTED_VALUE"""),61410.0)</f>
        <v>61410</v>
      </c>
      <c r="B4421" s="3" t="str">
        <f>IFERROR(__xludf.DUMMYFUNCTION("""COMPUTED_VALUE"""),"268 COUNTY 35 RD  ")</f>
        <v>268 COUNTY 35 RD  </v>
      </c>
      <c r="C4421" s="3" t="str">
        <f>IFERROR(__xludf.DUMMYFUNCTION("""COMPUTED_VALUE"""),"HASTINGS")</f>
        <v>HASTINGS</v>
      </c>
      <c r="D4421" s="3" t="str">
        <f>IFERROR(__xludf.DUMMYFUNCTION("""COMPUTED_VALUE"""),"K0L 1Y0")</f>
        <v>K0L 1Y0</v>
      </c>
      <c r="E4421" s="3"/>
      <c r="F4421" s="3"/>
      <c r="G4421" s="3"/>
      <c r="H4421" s="3"/>
    </row>
    <row r="4422">
      <c r="A4422" s="2">
        <f>IFERROR(__xludf.DUMMYFUNCTION("""COMPUTED_VALUE"""),61411.0)</f>
        <v>61411</v>
      </c>
      <c r="B4422" s="3" t="str">
        <f>IFERROR(__xludf.DUMMYFUNCTION("""COMPUTED_VALUE"""),"290 COUNTY 35 RD  ")</f>
        <v>290 COUNTY 35 RD  </v>
      </c>
      <c r="C4422" s="3" t="str">
        <f>IFERROR(__xludf.DUMMYFUNCTION("""COMPUTED_VALUE"""),"HASTINGS")</f>
        <v>HASTINGS</v>
      </c>
      <c r="D4422" s="3" t="str">
        <f>IFERROR(__xludf.DUMMYFUNCTION("""COMPUTED_VALUE"""),"K0L 1Y0")</f>
        <v>K0L 1Y0</v>
      </c>
      <c r="E4422" s="3" t="str">
        <f>IFERROR(__xludf.DUMMYFUNCTION("""COMPUTED_VALUE"""),"David Urwin")</f>
        <v>David Urwin</v>
      </c>
      <c r="F4422" s="3" t="str">
        <f>IFERROR(__xludf.DUMMYFUNCTION("""COMPUTED_VALUE"""),"david.urwin@gmail.com")</f>
        <v>david.urwin@gmail.com</v>
      </c>
      <c r="G4422" s="3"/>
      <c r="H4422" s="3"/>
    </row>
    <row r="4423">
      <c r="A4423" s="2">
        <f>IFERROR(__xludf.DUMMYFUNCTION("""COMPUTED_VALUE"""),61412.0)</f>
        <v>61412</v>
      </c>
      <c r="B4423" s="3" t="str">
        <f>IFERROR(__xludf.DUMMYFUNCTION("""COMPUTED_VALUE"""),"291 COUNTY 35 RD  ")</f>
        <v>291 COUNTY 35 RD  </v>
      </c>
      <c r="C4423" s="3" t="str">
        <f>IFERROR(__xludf.DUMMYFUNCTION("""COMPUTED_VALUE"""),"HASTINGS")</f>
        <v>HASTINGS</v>
      </c>
      <c r="D4423" s="3" t="str">
        <f>IFERROR(__xludf.DUMMYFUNCTION("""COMPUTED_VALUE"""),"K0L 1Y0")</f>
        <v>K0L 1Y0</v>
      </c>
      <c r="E4423" s="3"/>
      <c r="F4423" s="3"/>
      <c r="G4423" s="3"/>
      <c r="H4423" s="3"/>
    </row>
    <row r="4424">
      <c r="A4424" s="2">
        <f>IFERROR(__xludf.DUMMYFUNCTION("""COMPUTED_VALUE"""),61413.0)</f>
        <v>61413</v>
      </c>
      <c r="B4424" s="3" t="str">
        <f>IFERROR(__xludf.DUMMYFUNCTION("""COMPUTED_VALUE"""),"293 COUNTY 35 RD  ")</f>
        <v>293 COUNTY 35 RD  </v>
      </c>
      <c r="C4424" s="3" t="str">
        <f>IFERROR(__xludf.DUMMYFUNCTION("""COMPUTED_VALUE"""),"HASTINGS")</f>
        <v>HASTINGS</v>
      </c>
      <c r="D4424" s="3" t="str">
        <f>IFERROR(__xludf.DUMMYFUNCTION("""COMPUTED_VALUE"""),"K0L 1Y0")</f>
        <v>K0L 1Y0</v>
      </c>
      <c r="E4424" s="3"/>
      <c r="F4424" s="3"/>
      <c r="G4424" s="3"/>
      <c r="H4424" s="3"/>
    </row>
    <row r="4425">
      <c r="A4425" s="2">
        <f>IFERROR(__xludf.DUMMYFUNCTION("""COMPUTED_VALUE"""),61414.0)</f>
        <v>61414</v>
      </c>
      <c r="B4425" s="3" t="str">
        <f>IFERROR(__xludf.DUMMYFUNCTION("""COMPUTED_VALUE"""),"317 COUNTY 35 RD  ")</f>
        <v>317 COUNTY 35 RD  </v>
      </c>
      <c r="C4425" s="3" t="str">
        <f>IFERROR(__xludf.DUMMYFUNCTION("""COMPUTED_VALUE"""),"CAMPBELLFORD")</f>
        <v>CAMPBELLFORD</v>
      </c>
      <c r="D4425" s="3" t="str">
        <f>IFERROR(__xludf.DUMMYFUNCTION("""COMPUTED_VALUE"""),"K0L 1L0")</f>
        <v>K0L 1L0</v>
      </c>
      <c r="E4425" s="3" t="str">
        <f>IFERROR(__xludf.DUMMYFUNCTION("""COMPUTED_VALUE"""),"gary m ")</f>
        <v>gary m </v>
      </c>
      <c r="F4425" s="3" t="str">
        <f>IFERROR(__xludf.DUMMYFUNCTION("""COMPUTED_VALUE"""),"theopenroad@hotmail.ocm")</f>
        <v>theopenroad@hotmail.ocm</v>
      </c>
      <c r="G4425" s="3">
        <f>IFERROR(__xludf.DUMMYFUNCTION("""COMPUTED_VALUE"""),7.058681436E9)</f>
        <v>7058681436</v>
      </c>
      <c r="H4425" s="3"/>
    </row>
    <row r="4426">
      <c r="A4426" s="2">
        <f>IFERROR(__xludf.DUMMYFUNCTION("""COMPUTED_VALUE"""),61415.0)</f>
        <v>61415</v>
      </c>
      <c r="B4426" s="3" t="str">
        <f>IFERROR(__xludf.DUMMYFUNCTION("""COMPUTED_VALUE"""),"353 COUNTY 35 RD  ")</f>
        <v>353 COUNTY 35 RD  </v>
      </c>
      <c r="C4426" s="3" t="str">
        <f>IFERROR(__xludf.DUMMYFUNCTION("""COMPUTED_VALUE"""),"CAMPBELLFORD")</f>
        <v>CAMPBELLFORD</v>
      </c>
      <c r="D4426" s="3" t="str">
        <f>IFERROR(__xludf.DUMMYFUNCTION("""COMPUTED_VALUE"""),"K0L 1L0")</f>
        <v>K0L 1L0</v>
      </c>
      <c r="E4426" s="3" t="str">
        <f>IFERROR(__xludf.DUMMYFUNCTION("""COMPUTED_VALUE"""),"thomas siebenga ")</f>
        <v>thomas siebenga </v>
      </c>
      <c r="F4426" s="3" t="str">
        <f>IFERROR(__xludf.DUMMYFUNCTION("""COMPUTED_VALUE"""),"tsiebenga@gmail.com")</f>
        <v>tsiebenga@gmail.com</v>
      </c>
      <c r="G4426" s="3">
        <f>IFERROR(__xludf.DUMMYFUNCTION("""COMPUTED_VALUE"""),7.056325868E9)</f>
        <v>7056325868</v>
      </c>
      <c r="H4426" s="3">
        <f>IFERROR(__xludf.DUMMYFUNCTION("""COMPUTED_VALUE"""),7.056326829E9)</f>
        <v>7056326829</v>
      </c>
    </row>
    <row r="4427">
      <c r="A4427" s="2">
        <f>IFERROR(__xludf.DUMMYFUNCTION("""COMPUTED_VALUE"""),61416.0)</f>
        <v>61416</v>
      </c>
      <c r="B4427" s="3" t="str">
        <f>IFERROR(__xludf.DUMMYFUNCTION("""COMPUTED_VALUE"""),"354 COUNTY 35 RD  ")</f>
        <v>354 COUNTY 35 RD  </v>
      </c>
      <c r="C4427" s="3" t="str">
        <f>IFERROR(__xludf.DUMMYFUNCTION("""COMPUTED_VALUE"""),"CAMPBELLFORD")</f>
        <v>CAMPBELLFORD</v>
      </c>
      <c r="D4427" s="3" t="str">
        <f>IFERROR(__xludf.DUMMYFUNCTION("""COMPUTED_VALUE"""),"K0L 1L0")</f>
        <v>K0L 1L0</v>
      </c>
      <c r="E4427" s="3"/>
      <c r="F4427" s="3"/>
      <c r="G4427" s="3"/>
      <c r="H4427" s="3"/>
    </row>
    <row r="4428">
      <c r="A4428" s="2">
        <f>IFERROR(__xludf.DUMMYFUNCTION("""COMPUTED_VALUE"""),61417.0)</f>
        <v>61417</v>
      </c>
      <c r="B4428" s="3" t="str">
        <f>IFERROR(__xludf.DUMMYFUNCTION("""COMPUTED_VALUE"""),"382 COUNTY 35 RD  ")</f>
        <v>382 COUNTY 35 RD  </v>
      </c>
      <c r="C4428" s="3" t="str">
        <f>IFERROR(__xludf.DUMMYFUNCTION("""COMPUTED_VALUE"""),"CAMPBELLFORD")</f>
        <v>CAMPBELLFORD</v>
      </c>
      <c r="D4428" s="3" t="str">
        <f>IFERROR(__xludf.DUMMYFUNCTION("""COMPUTED_VALUE"""),"K0L 1L0")</f>
        <v>K0L 1L0</v>
      </c>
      <c r="E4428" s="3" t="str">
        <f>IFERROR(__xludf.DUMMYFUNCTION("""COMPUTED_VALUE"""),"Steven Hogg")</f>
        <v>Steven Hogg</v>
      </c>
      <c r="F4428" s="3" t="str">
        <f>IFERROR(__xludf.DUMMYFUNCTION("""COMPUTED_VALUE"""),"toolhogg@gmail.com")</f>
        <v>toolhogg@gmail.com</v>
      </c>
      <c r="G4428" s="3">
        <f>IFERROR(__xludf.DUMMYFUNCTION("""COMPUTED_VALUE"""),7.059307598E9)</f>
        <v>7059307598</v>
      </c>
      <c r="H4428" s="3">
        <f>IFERROR(__xludf.DUMMYFUNCTION("""COMPUTED_VALUE"""),7.056321842E9)</f>
        <v>7056321842</v>
      </c>
    </row>
    <row r="4429">
      <c r="A4429" s="2">
        <f>IFERROR(__xludf.DUMMYFUNCTION("""COMPUTED_VALUE"""),61418.0)</f>
        <v>61418</v>
      </c>
      <c r="B4429" s="3" t="str">
        <f>IFERROR(__xludf.DUMMYFUNCTION("""COMPUTED_VALUE"""),"387 COUNTY 35 RD  ")</f>
        <v>387 COUNTY 35 RD  </v>
      </c>
      <c r="C4429" s="3" t="str">
        <f>IFERROR(__xludf.DUMMYFUNCTION("""COMPUTED_VALUE"""),"CAMPBELLFORD")</f>
        <v>CAMPBELLFORD</v>
      </c>
      <c r="D4429" s="3" t="str">
        <f>IFERROR(__xludf.DUMMYFUNCTION("""COMPUTED_VALUE"""),"K0L 1L0")</f>
        <v>K0L 1L0</v>
      </c>
      <c r="E4429" s="3" t="str">
        <f>IFERROR(__xludf.DUMMYFUNCTION("""COMPUTED_VALUE"""),"neal tait ")</f>
        <v>neal tait </v>
      </c>
      <c r="F4429" s="3" t="str">
        <f>IFERROR(__xludf.DUMMYFUNCTION("""COMPUTED_VALUE"""),"taitneal@gmail.com")</f>
        <v>taitneal@gmail.com</v>
      </c>
      <c r="G4429" s="3">
        <f>IFERROR(__xludf.DUMMYFUNCTION("""COMPUTED_VALUE"""),7.056538858E9)</f>
        <v>7056538858</v>
      </c>
      <c r="H4429" s="3"/>
    </row>
    <row r="4430">
      <c r="A4430" s="2">
        <f>IFERROR(__xludf.DUMMYFUNCTION("""COMPUTED_VALUE"""),61419.0)</f>
        <v>61419</v>
      </c>
      <c r="B4430" s="3" t="str">
        <f>IFERROR(__xludf.DUMMYFUNCTION("""COMPUTED_VALUE"""),"388 COUNTY ROAD 35")</f>
        <v>388 COUNTY ROAD 35</v>
      </c>
      <c r="C4430" s="3"/>
      <c r="D4430" s="3"/>
      <c r="E4430" s="3"/>
      <c r="F4430" s="3"/>
      <c r="G4430" s="3"/>
      <c r="H4430" s="3"/>
    </row>
    <row r="4431">
      <c r="A4431" s="2">
        <f>IFERROR(__xludf.DUMMYFUNCTION("""COMPUTED_VALUE"""),61451.0)</f>
        <v>61451</v>
      </c>
      <c r="B4431" s="3" t="str">
        <f>IFERROR(__xludf.DUMMYFUNCTION("""COMPUTED_VALUE"""),"11484 COUNTY 45 HWY  ")</f>
        <v>11484 COUNTY 45 HWY  </v>
      </c>
      <c r="C4431" s="3" t="str">
        <f>IFERROR(__xludf.DUMMYFUNCTION("""COMPUTED_VALUE"""),"HASTINGS")</f>
        <v>HASTINGS</v>
      </c>
      <c r="D4431" s="3" t="str">
        <f>IFERROR(__xludf.DUMMYFUNCTION("""COMPUTED_VALUE"""),"K0L 1Y0")</f>
        <v>K0L 1Y0</v>
      </c>
      <c r="E4431" s="3"/>
      <c r="F4431" s="3"/>
      <c r="G4431" s="3"/>
      <c r="H4431" s="3"/>
    </row>
    <row r="4432">
      <c r="A4432" s="2">
        <f>IFERROR(__xludf.DUMMYFUNCTION("""COMPUTED_VALUE"""),61452.0)</f>
        <v>61452</v>
      </c>
      <c r="B4432" s="3" t="str">
        <f>IFERROR(__xludf.DUMMYFUNCTION("""COMPUTED_VALUE"""),"11587 COUNTY 45 HWY  ")</f>
        <v>11587 COUNTY 45 HWY  </v>
      </c>
      <c r="C4432" s="3" t="str">
        <f>IFERROR(__xludf.DUMMYFUNCTION("""COMPUTED_VALUE"""),"HASTINGS")</f>
        <v>HASTINGS</v>
      </c>
      <c r="D4432" s="3" t="str">
        <f>IFERROR(__xludf.DUMMYFUNCTION("""COMPUTED_VALUE"""),"K0L 1Y0")</f>
        <v>K0L 1Y0</v>
      </c>
      <c r="E4432" s="3" t="str">
        <f>IFERROR(__xludf.DUMMYFUNCTION("""COMPUTED_VALUE"""),"robert dickie ")</f>
        <v>robert dickie </v>
      </c>
      <c r="F4432" s="3" t="str">
        <f>IFERROR(__xludf.DUMMYFUNCTION("""COMPUTED_VALUE"""),"robert.w.dickie@gmail.com")</f>
        <v>robert.w.dickie@gmail.com</v>
      </c>
      <c r="G4432" s="3">
        <f>IFERROR(__xludf.DUMMYFUNCTION("""COMPUTED_VALUE"""),4.16433923E9)</f>
        <v>4164339230</v>
      </c>
      <c r="H4432" s="3"/>
    </row>
    <row r="4433">
      <c r="A4433" s="2">
        <f>IFERROR(__xludf.DUMMYFUNCTION("""COMPUTED_VALUE"""),61453.0)</f>
        <v>61453</v>
      </c>
      <c r="B4433" s="3" t="str">
        <f>IFERROR(__xludf.DUMMYFUNCTION("""COMPUTED_VALUE"""),"11707 COUNTY 45 HWY  ")</f>
        <v>11707 COUNTY 45 HWY  </v>
      </c>
      <c r="C4433" s="3" t="str">
        <f>IFERROR(__xludf.DUMMYFUNCTION("""COMPUTED_VALUE"""),"HASTINGS")</f>
        <v>HASTINGS</v>
      </c>
      <c r="D4433" s="3" t="str">
        <f>IFERROR(__xludf.DUMMYFUNCTION("""COMPUTED_VALUE"""),"K0L 1Y0")</f>
        <v>K0L 1Y0</v>
      </c>
      <c r="E4433" s="3" t="str">
        <f>IFERROR(__xludf.DUMMYFUNCTION("""COMPUTED_VALUE"""),"Heather Hodder")</f>
        <v>Heather Hodder</v>
      </c>
      <c r="F4433" s="3" t="str">
        <f>IFERROR(__xludf.DUMMYFUNCTION("""COMPUTED_VALUE"""),"aegraphics@bell.net")</f>
        <v>aegraphics@bell.net</v>
      </c>
      <c r="G4433" s="3"/>
      <c r="H4433" s="3"/>
    </row>
    <row r="4434">
      <c r="A4434" s="2">
        <f>IFERROR(__xludf.DUMMYFUNCTION("""COMPUTED_VALUE"""),61454.0)</f>
        <v>61454</v>
      </c>
      <c r="B4434" s="3" t="str">
        <f>IFERROR(__xludf.DUMMYFUNCTION("""COMPUTED_VALUE"""),"11735 COUNTY 45 HWY  ")</f>
        <v>11735 COUNTY 45 HWY  </v>
      </c>
      <c r="C4434" s="3" t="str">
        <f>IFERROR(__xludf.DUMMYFUNCTION("""COMPUTED_VALUE"""),"HASTINGS")</f>
        <v>HASTINGS</v>
      </c>
      <c r="D4434" s="3" t="str">
        <f>IFERROR(__xludf.DUMMYFUNCTION("""COMPUTED_VALUE"""),"K0L 1Y0")</f>
        <v>K0L 1Y0</v>
      </c>
      <c r="E4434" s="3" t="str">
        <f>IFERROR(__xludf.DUMMYFUNCTION("""COMPUTED_VALUE"""),"taylor martin ")</f>
        <v>taylor martin </v>
      </c>
      <c r="F4434" s="3" t="str">
        <f>IFERROR(__xludf.DUMMYFUNCTION("""COMPUTED_VALUE"""),"tiamartin778@gmail.com")</f>
        <v>tiamartin778@gmail.com</v>
      </c>
      <c r="G4434" s="3">
        <f>IFERROR(__xludf.DUMMYFUNCTION("""COMPUTED_VALUE"""),7.059770229E9)</f>
        <v>7059770229</v>
      </c>
      <c r="H4434" s="3"/>
    </row>
    <row r="4435">
      <c r="A4435" s="2">
        <f>IFERROR(__xludf.DUMMYFUNCTION("""COMPUTED_VALUE"""),61455.0)</f>
        <v>61455</v>
      </c>
      <c r="B4435" s="3" t="str">
        <f>IFERROR(__xludf.DUMMYFUNCTION("""COMPUTED_VALUE"""),"11836 COUNTY 45 HWY  ")</f>
        <v>11836 COUNTY 45 HWY  </v>
      </c>
      <c r="C4435" s="3" t="str">
        <f>IFERROR(__xludf.DUMMYFUNCTION("""COMPUTED_VALUE"""),"HASTINGS")</f>
        <v>HASTINGS</v>
      </c>
      <c r="D4435" s="3" t="str">
        <f>IFERROR(__xludf.DUMMYFUNCTION("""COMPUTED_VALUE"""),"K0L 1Y0")</f>
        <v>K0L 1Y0</v>
      </c>
      <c r="E4435" s="3" t="str">
        <f>IFERROR(__xludf.DUMMYFUNCTION("""COMPUTED_VALUE"""),"dean fetterly")</f>
        <v>dean fetterly</v>
      </c>
      <c r="F4435" s="3" t="str">
        <f>IFERROR(__xludf.DUMMYFUNCTION("""COMPUTED_VALUE"""),"deanfetterly@bell.net")</f>
        <v>deanfetterly@bell.net</v>
      </c>
      <c r="G4435" s="3">
        <f>IFERROR(__xludf.DUMMYFUNCTION("""COMPUTED_VALUE"""),7.056536861E9)</f>
        <v>7056536861</v>
      </c>
      <c r="H4435" s="3"/>
    </row>
    <row r="4436">
      <c r="A4436" s="2">
        <f>IFERROR(__xludf.DUMMYFUNCTION("""COMPUTED_VALUE"""),61456.0)</f>
        <v>61456</v>
      </c>
      <c r="B4436" s="3" t="str">
        <f>IFERROR(__xludf.DUMMYFUNCTION("""COMPUTED_VALUE"""),"11908 COUNTY 45 HWY  ")</f>
        <v>11908 COUNTY 45 HWY  </v>
      </c>
      <c r="C4436" s="3" t="str">
        <f>IFERROR(__xludf.DUMMYFUNCTION("""COMPUTED_VALUE"""),"HASTINGS")</f>
        <v>HASTINGS</v>
      </c>
      <c r="D4436" s="3" t="str">
        <f>IFERROR(__xludf.DUMMYFUNCTION("""COMPUTED_VALUE"""),"K0L 1Y0")</f>
        <v>K0L 1Y0</v>
      </c>
      <c r="E4436" s="3" t="str">
        <f>IFERROR(__xludf.DUMMYFUNCTION("""COMPUTED_VALUE"""),"BONNIE EDWARDS")</f>
        <v>BONNIE EDWARDS</v>
      </c>
      <c r="F4436" s="3" t="str">
        <f>IFERROR(__xludf.DUMMYFUNCTION("""COMPUTED_VALUE"""),"beedwards@sympatico.ca")</f>
        <v>beedwards@sympatico.ca</v>
      </c>
      <c r="G4436" s="3"/>
      <c r="H4436" s="3"/>
    </row>
    <row r="4437">
      <c r="A4437" s="2">
        <f>IFERROR(__xludf.DUMMYFUNCTION("""COMPUTED_VALUE"""),61457.0)</f>
        <v>61457</v>
      </c>
      <c r="B4437" s="3" t="str">
        <f>IFERROR(__xludf.DUMMYFUNCTION("""COMPUTED_VALUE"""),"11976 COUNTY 45 HWY  ")</f>
        <v>11976 COUNTY 45 HWY  </v>
      </c>
      <c r="C4437" s="3" t="str">
        <f>IFERROR(__xludf.DUMMYFUNCTION("""COMPUTED_VALUE"""),"HASTINGS")</f>
        <v>HASTINGS</v>
      </c>
      <c r="D4437" s="3" t="str">
        <f>IFERROR(__xludf.DUMMYFUNCTION("""COMPUTED_VALUE"""),"K0L 1Y0")</f>
        <v>K0L 1Y0</v>
      </c>
      <c r="E4437" s="3" t="str">
        <f>IFERROR(__xludf.DUMMYFUNCTION("""COMPUTED_VALUE"""),"michael van baden")</f>
        <v>michael van baden</v>
      </c>
      <c r="F4437" s="3" t="str">
        <f>IFERROR(__xludf.DUMMYFUNCTION("""COMPUTED_VALUE"""),"comet424@msn.com")</f>
        <v>comet424@msn.com</v>
      </c>
      <c r="G4437" s="3">
        <f>IFERROR(__xludf.DUMMYFUNCTION("""COMPUTED_VALUE"""),7.056962896E9)</f>
        <v>7056962896</v>
      </c>
      <c r="H4437" s="3"/>
    </row>
    <row r="4438">
      <c r="A4438" s="2">
        <f>IFERROR(__xludf.DUMMYFUNCTION("""COMPUTED_VALUE"""),61458.0)</f>
        <v>61458</v>
      </c>
      <c r="B4438" s="3" t="str">
        <f>IFERROR(__xludf.DUMMYFUNCTION("""COMPUTED_VALUE"""),"12135 COUNTY 45 HWY  ")</f>
        <v>12135 COUNTY 45 HWY  </v>
      </c>
      <c r="C4438" s="3" t="str">
        <f>IFERROR(__xludf.DUMMYFUNCTION("""COMPUTED_VALUE"""),"HASTINGS")</f>
        <v>HASTINGS</v>
      </c>
      <c r="D4438" s="3" t="str">
        <f>IFERROR(__xludf.DUMMYFUNCTION("""COMPUTED_VALUE"""),"K0L 1Y0")</f>
        <v>K0L 1Y0</v>
      </c>
      <c r="E4438" s="3" t="str">
        <f>IFERROR(__xludf.DUMMYFUNCTION("""COMPUTED_VALUE"""),"Susan Ward")</f>
        <v>Susan Ward</v>
      </c>
      <c r="F4438" s="3" t="str">
        <f>IFERROR(__xludf.DUMMYFUNCTION("""COMPUTED_VALUE"""),"susan.ward@sympatico.ca")</f>
        <v>susan.ward@sympatico.ca</v>
      </c>
      <c r="G4438" s="3"/>
      <c r="H4438" s="3"/>
    </row>
    <row r="4439">
      <c r="A4439" s="2">
        <f>IFERROR(__xludf.DUMMYFUNCTION("""COMPUTED_VALUE"""),61459.0)</f>
        <v>61459</v>
      </c>
      <c r="B4439" s="3" t="str">
        <f>IFERROR(__xludf.DUMMYFUNCTION("""COMPUTED_VALUE"""),"11404 COUNTY 45 RD  ")</f>
        <v>11404 COUNTY 45 RD  </v>
      </c>
      <c r="C4439" s="3" t="str">
        <f>IFERROR(__xludf.DUMMYFUNCTION("""COMPUTED_VALUE"""),"HASTINGS")</f>
        <v>HASTINGS</v>
      </c>
      <c r="D4439" s="3" t="str">
        <f>IFERROR(__xludf.DUMMYFUNCTION("""COMPUTED_VALUE"""),"K0L 1Y0")</f>
        <v>K0L 1Y0</v>
      </c>
      <c r="E4439" s="3"/>
      <c r="F4439" s="3"/>
      <c r="G4439" s="3"/>
      <c r="H4439" s="3"/>
    </row>
    <row r="4440">
      <c r="A4440" s="2">
        <f>IFERROR(__xludf.DUMMYFUNCTION("""COMPUTED_VALUE"""),61460.0)</f>
        <v>61460</v>
      </c>
      <c r="B4440" s="3" t="str">
        <f>IFERROR(__xludf.DUMMYFUNCTION("""COMPUTED_VALUE"""),"11580 COUNTY 45 RD  ")</f>
        <v>11580 COUNTY 45 RD  </v>
      </c>
      <c r="C4440" s="3" t="str">
        <f>IFERROR(__xludf.DUMMYFUNCTION("""COMPUTED_VALUE"""),"HASTINGS")</f>
        <v>HASTINGS</v>
      </c>
      <c r="D4440" s="3" t="str">
        <f>IFERROR(__xludf.DUMMYFUNCTION("""COMPUTED_VALUE"""),"K0L 1Y0")</f>
        <v>K0L 1Y0</v>
      </c>
      <c r="E4440" s="3" t="str">
        <f>IFERROR(__xludf.DUMMYFUNCTION("""COMPUTED_VALUE"""),"gunnar wagner")</f>
        <v>gunnar wagner</v>
      </c>
      <c r="F4440" s="3"/>
      <c r="G4440" s="3">
        <f>IFERROR(__xludf.DUMMYFUNCTION("""COMPUTED_VALUE"""),7.058756267E9)</f>
        <v>7058756267</v>
      </c>
      <c r="H4440" s="3"/>
    </row>
    <row r="4441">
      <c r="A4441" s="2">
        <f>IFERROR(__xludf.DUMMYFUNCTION("""COMPUTED_VALUE"""),61461.0)</f>
        <v>61461</v>
      </c>
      <c r="B4441" s="3" t="str">
        <f>IFERROR(__xludf.DUMMYFUNCTION("""COMPUTED_VALUE"""),"11600 COUNTY 45 RD  ")</f>
        <v>11600 COUNTY 45 RD  </v>
      </c>
      <c r="C4441" s="3" t="str">
        <f>IFERROR(__xludf.DUMMYFUNCTION("""COMPUTED_VALUE"""),"HASTINGS")</f>
        <v>HASTINGS</v>
      </c>
      <c r="D4441" s="3" t="str">
        <f>IFERROR(__xludf.DUMMYFUNCTION("""COMPUTED_VALUE"""),"K0L 1Y0")</f>
        <v>K0L 1Y0</v>
      </c>
      <c r="E4441" s="3" t="str">
        <f>IFERROR(__xludf.DUMMYFUNCTION("""COMPUTED_VALUE"""),"bruce and lois ingram")</f>
        <v>bruce and lois ingram</v>
      </c>
      <c r="F4441" s="3"/>
      <c r="G4441" s="3">
        <f>IFERROR(__xludf.DUMMYFUNCTION("""COMPUTED_VALUE"""),7.056962051E9)</f>
        <v>7056962051</v>
      </c>
      <c r="H4441" s="3"/>
    </row>
    <row r="4442">
      <c r="A4442" s="2">
        <f>IFERROR(__xludf.DUMMYFUNCTION("""COMPUTED_VALUE"""),61462.0)</f>
        <v>61462</v>
      </c>
      <c r="B4442" s="3" t="str">
        <f>IFERROR(__xludf.DUMMYFUNCTION("""COMPUTED_VALUE"""),"11870 COUNTY 45 RD  ")</f>
        <v>11870 COUNTY 45 RD  </v>
      </c>
      <c r="C4442" s="3" t="str">
        <f>IFERROR(__xludf.DUMMYFUNCTION("""COMPUTED_VALUE"""),"HASTINGS")</f>
        <v>HASTINGS</v>
      </c>
      <c r="D4442" s="3" t="str">
        <f>IFERROR(__xludf.DUMMYFUNCTION("""COMPUTED_VALUE"""),"K0L 1Y0")</f>
        <v>K0L 1Y0</v>
      </c>
      <c r="E4442" s="3"/>
      <c r="F4442" s="3"/>
      <c r="G4442" s="3"/>
      <c r="H4442" s="3"/>
    </row>
    <row r="4443">
      <c r="A4443" s="2">
        <f>IFERROR(__xludf.DUMMYFUNCTION("""COMPUTED_VALUE"""),61463.0)</f>
        <v>61463</v>
      </c>
      <c r="B4443" s="3" t="str">
        <f>IFERROR(__xludf.DUMMYFUNCTION("""COMPUTED_VALUE"""),"11979 COUNTY 45 RD  ")</f>
        <v>11979 COUNTY 45 RD  </v>
      </c>
      <c r="C4443" s="3" t="str">
        <f>IFERROR(__xludf.DUMMYFUNCTION("""COMPUTED_VALUE"""),"HASTINGS")</f>
        <v>HASTINGS</v>
      </c>
      <c r="D4443" s="3" t="str">
        <f>IFERROR(__xludf.DUMMYFUNCTION("""COMPUTED_VALUE"""),"K0L 1Y0")</f>
        <v>K0L 1Y0</v>
      </c>
      <c r="E4443" s="3" t="str">
        <f>IFERROR(__xludf.DUMMYFUNCTION("""COMPUTED_VALUE"""),"stephen reid `")</f>
        <v>stephen reid `</v>
      </c>
      <c r="F4443" s="3" t="str">
        <f>IFERROR(__xludf.DUMMYFUNCTION("""COMPUTED_VALUE"""),"screid999@gmail.com")</f>
        <v>screid999@gmail.com</v>
      </c>
      <c r="G4443" s="3">
        <f>IFERROR(__xludf.DUMMYFUNCTION("""COMPUTED_VALUE"""),9.059259961E9)</f>
        <v>9059259961</v>
      </c>
      <c r="H4443" s="3">
        <f>IFERROR(__xludf.DUMMYFUNCTION("""COMPUTED_VALUE"""),7.058795973E9)</f>
        <v>7058795973</v>
      </c>
    </row>
    <row r="4444">
      <c r="A4444" s="2">
        <f>IFERROR(__xludf.DUMMYFUNCTION("""COMPUTED_VALUE"""),61464.0)</f>
        <v>61464</v>
      </c>
      <c r="B4444" s="3" t="str">
        <f>IFERROR(__xludf.DUMMYFUNCTION("""COMPUTED_VALUE"""),"12139 COUNTY 45 RD  ")</f>
        <v>12139 COUNTY 45 RD  </v>
      </c>
      <c r="C4444" s="3" t="str">
        <f>IFERROR(__xludf.DUMMYFUNCTION("""COMPUTED_VALUE"""),"HASTINGS")</f>
        <v>HASTINGS</v>
      </c>
      <c r="D4444" s="3" t="str">
        <f>IFERROR(__xludf.DUMMYFUNCTION("""COMPUTED_VALUE"""),"K0L 1Y0")</f>
        <v>K0L 1Y0</v>
      </c>
      <c r="E4444" s="3"/>
      <c r="F4444" s="3"/>
      <c r="G4444" s="3"/>
      <c r="H4444" s="3"/>
    </row>
    <row r="4445">
      <c r="A4445" s="2">
        <f>IFERROR(__xludf.DUMMYFUNCTION("""COMPUTED_VALUE"""),61185.0)</f>
        <v>61185</v>
      </c>
      <c r="B4445" s="3" t="str">
        <f>IFERROR(__xludf.DUMMYFUNCTION("""COMPUTED_VALUE"""),"5214 COUNTY 25 RD  ")</f>
        <v>5214 COUNTY 25 RD  </v>
      </c>
      <c r="C4445" s="3" t="str">
        <f>IFERROR(__xludf.DUMMYFUNCTION("""COMPUTED_VALUE"""),"WARKWORTH")</f>
        <v>WARKWORTH</v>
      </c>
      <c r="D4445" s="3" t="str">
        <f>IFERROR(__xludf.DUMMYFUNCTION("""COMPUTED_VALUE"""),"K0K 3K0")</f>
        <v>K0K 3K0</v>
      </c>
      <c r="E4445" s="3" t="str">
        <f>IFERROR(__xludf.DUMMYFUNCTION("""COMPUTED_VALUE"""),"Jason Ball")</f>
        <v>Jason Ball</v>
      </c>
      <c r="F4445" s="3" t="str">
        <f>IFERROR(__xludf.DUMMYFUNCTION("""COMPUTED_VALUE"""),"jjball177@outlook.com")</f>
        <v>jjball177@outlook.com</v>
      </c>
      <c r="G4445" s="3">
        <f>IFERROR(__xludf.DUMMYFUNCTION("""COMPUTED_VALUE"""),9.054470719E9)</f>
        <v>9054470719</v>
      </c>
      <c r="H4445" s="3"/>
    </row>
    <row r="4446">
      <c r="A4446" s="2">
        <f>IFERROR(__xludf.DUMMYFUNCTION("""COMPUTED_VALUE"""),61186.0)</f>
        <v>61186</v>
      </c>
      <c r="B4446" s="3" t="str">
        <f>IFERROR(__xludf.DUMMYFUNCTION("""COMPUTED_VALUE"""),"5236 COUNTY 25 RD  ")</f>
        <v>5236 COUNTY 25 RD  </v>
      </c>
      <c r="C4446" s="3" t="str">
        <f>IFERROR(__xludf.DUMMYFUNCTION("""COMPUTED_VALUE"""),"WARKWORTH")</f>
        <v>WARKWORTH</v>
      </c>
      <c r="D4446" s="3" t="str">
        <f>IFERROR(__xludf.DUMMYFUNCTION("""COMPUTED_VALUE"""),"K0K 3K0")</f>
        <v>K0K 3K0</v>
      </c>
      <c r="E4446" s="3" t="str">
        <f>IFERROR(__xludf.DUMMYFUNCTION("""COMPUTED_VALUE"""),"Cathy Smith")</f>
        <v>Cathy Smith</v>
      </c>
      <c r="F4446" s="3" t="str">
        <f>IFERROR(__xludf.DUMMYFUNCTION("""COMPUTED_VALUE"""),"dustyonroads@yahoo.com")</f>
        <v>dustyonroads@yahoo.com</v>
      </c>
      <c r="G4446" s="3">
        <f>IFERROR(__xludf.DUMMYFUNCTION("""COMPUTED_VALUE"""),7.059308909E9)</f>
        <v>7059308909</v>
      </c>
      <c r="H4446" s="3"/>
    </row>
    <row r="4447">
      <c r="A4447" s="2">
        <f>IFERROR(__xludf.DUMMYFUNCTION("""COMPUTED_VALUE"""),61187.0)</f>
        <v>61187</v>
      </c>
      <c r="B4447" s="3" t="str">
        <f>IFERROR(__xludf.DUMMYFUNCTION("""COMPUTED_VALUE"""),"5237 COUNTY 25 RD  ")</f>
        <v>5237 COUNTY 25 RD  </v>
      </c>
      <c r="C4447" s="3" t="str">
        <f>IFERROR(__xludf.DUMMYFUNCTION("""COMPUTED_VALUE"""),"WARKWORTH")</f>
        <v>WARKWORTH</v>
      </c>
      <c r="D4447" s="3" t="str">
        <f>IFERROR(__xludf.DUMMYFUNCTION("""COMPUTED_VALUE"""),"K0K 3K0")</f>
        <v>K0K 3K0</v>
      </c>
      <c r="E4447" s="3" t="str">
        <f>IFERROR(__xludf.DUMMYFUNCTION("""COMPUTED_VALUE"""),"Nicole Fox")</f>
        <v>Nicole Fox</v>
      </c>
      <c r="F4447" s="3" t="str">
        <f>IFERROR(__xludf.DUMMYFUNCTION("""COMPUTED_VALUE"""),"nicole.lee.mathews@gmail.com")</f>
        <v>nicole.lee.mathews@gmail.com</v>
      </c>
      <c r="G4447" s="3">
        <f>IFERROR(__xludf.DUMMYFUNCTION("""COMPUTED_VALUE"""),7.055597101E9)</f>
        <v>7055597101</v>
      </c>
      <c r="H4447" s="3"/>
    </row>
    <row r="4448">
      <c r="A4448" s="2">
        <f>IFERROR(__xludf.DUMMYFUNCTION("""COMPUTED_VALUE"""),61188.0)</f>
        <v>61188</v>
      </c>
      <c r="B4448" s="3" t="str">
        <f>IFERROR(__xludf.DUMMYFUNCTION("""COMPUTED_VALUE"""),"5256 COUNTY 25 RD  ")</f>
        <v>5256 COUNTY 25 RD  </v>
      </c>
      <c r="C4448" s="3" t="str">
        <f>IFERROR(__xludf.DUMMYFUNCTION("""COMPUTED_VALUE"""),"WARKWORTH")</f>
        <v>WARKWORTH</v>
      </c>
      <c r="D4448" s="3" t="str">
        <f>IFERROR(__xludf.DUMMYFUNCTION("""COMPUTED_VALUE"""),"K0K 3K0")</f>
        <v>K0K 3K0</v>
      </c>
      <c r="E4448" s="3" t="str">
        <f>IFERROR(__xludf.DUMMYFUNCTION("""COMPUTED_VALUE"""),"Lisa Uskov")</f>
        <v>Lisa Uskov</v>
      </c>
      <c r="F4448" s="3" t="str">
        <f>IFERROR(__xludf.DUMMYFUNCTION("""COMPUTED_VALUE"""),"lisa.uskov@gmail.com")</f>
        <v>lisa.uskov@gmail.com</v>
      </c>
      <c r="G4448" s="3">
        <f>IFERROR(__xludf.DUMMYFUNCTION("""COMPUTED_VALUE"""),7.055710041E9)</f>
        <v>7055710041</v>
      </c>
      <c r="H4448" s="3"/>
    </row>
    <row r="4449">
      <c r="A4449" s="2">
        <f>IFERROR(__xludf.DUMMYFUNCTION("""COMPUTED_VALUE"""),61189.0)</f>
        <v>61189</v>
      </c>
      <c r="B4449" s="3" t="str">
        <f>IFERROR(__xludf.DUMMYFUNCTION("""COMPUTED_VALUE"""),"5431 COUNTY 25 RD  ")</f>
        <v>5431 COUNTY 25 RD  </v>
      </c>
      <c r="C4449" s="3" t="str">
        <f>IFERROR(__xludf.DUMMYFUNCTION("""COMPUTED_VALUE"""),"WARKWORTH")</f>
        <v>WARKWORTH</v>
      </c>
      <c r="D4449" s="3" t="str">
        <f>IFERROR(__xludf.DUMMYFUNCTION("""COMPUTED_VALUE"""),"K0K 3K0")</f>
        <v>K0K 3K0</v>
      </c>
      <c r="E4449" s="3" t="str">
        <f>IFERROR(__xludf.DUMMYFUNCTION("""COMPUTED_VALUE"""),"nathanial s,")</f>
        <v>nathanial s,</v>
      </c>
      <c r="F4449" s="3"/>
      <c r="G4449" s="3">
        <f>IFERROR(__xludf.DUMMYFUNCTION("""COMPUTED_VALUE"""),7.05768951E9)</f>
        <v>7057689510</v>
      </c>
      <c r="H4449" s="3"/>
    </row>
    <row r="4450">
      <c r="A4450" s="2">
        <f>IFERROR(__xludf.DUMMYFUNCTION("""COMPUTED_VALUE"""),61191.0)</f>
        <v>61191</v>
      </c>
      <c r="B4450" s="3" t="str">
        <f>IFERROR(__xludf.DUMMYFUNCTION("""COMPUTED_VALUE"""),"5461 COUNTY 25 RD  ")</f>
        <v>5461 COUNTY 25 RD  </v>
      </c>
      <c r="C4450" s="3" t="str">
        <f>IFERROR(__xludf.DUMMYFUNCTION("""COMPUTED_VALUE"""),"WARKWORTH")</f>
        <v>WARKWORTH</v>
      </c>
      <c r="D4450" s="3" t="str">
        <f>IFERROR(__xludf.DUMMYFUNCTION("""COMPUTED_VALUE"""),"K0K 3K0")</f>
        <v>K0K 3K0</v>
      </c>
      <c r="E4450" s="3" t="str">
        <f>IFERROR(__xludf.DUMMYFUNCTION("""COMPUTED_VALUE"""),"matthew murphy")</f>
        <v>matthew murphy</v>
      </c>
      <c r="F4450" s="3" t="str">
        <f>IFERROR(__xludf.DUMMYFUNCTION("""COMPUTED_VALUE"""),"mdkmurphy03@gmaill.com")</f>
        <v>mdkmurphy03@gmaill.com</v>
      </c>
      <c r="G4450" s="3">
        <f>IFERROR(__xludf.DUMMYFUNCTION("""COMPUTED_VALUE"""),9.053764497E9)</f>
        <v>9053764497</v>
      </c>
      <c r="H4450" s="3"/>
    </row>
    <row r="4451">
      <c r="A4451" s="2">
        <f>IFERROR(__xludf.DUMMYFUNCTION("""COMPUTED_VALUE"""),61192.0)</f>
        <v>61192</v>
      </c>
      <c r="B4451" s="3" t="str">
        <f>IFERROR(__xludf.DUMMYFUNCTION("""COMPUTED_VALUE"""),"5468 COUNTY 25 RD  ")</f>
        <v>5468 COUNTY 25 RD  </v>
      </c>
      <c r="C4451" s="3" t="str">
        <f>IFERROR(__xludf.DUMMYFUNCTION("""COMPUTED_VALUE"""),"WARKWORTH")</f>
        <v>WARKWORTH</v>
      </c>
      <c r="D4451" s="3" t="str">
        <f>IFERROR(__xludf.DUMMYFUNCTION("""COMPUTED_VALUE"""),"K0K 3K0")</f>
        <v>K0K 3K0</v>
      </c>
      <c r="E4451" s="3" t="str">
        <f>IFERROR(__xludf.DUMMYFUNCTION("""COMPUTED_VALUE"""),"JASON CONNER")</f>
        <v>JASON CONNER</v>
      </c>
      <c r="F4451" s="3" t="str">
        <f>IFERROR(__xludf.DUMMYFUNCTION("""COMPUTED_VALUE"""),"jasonconner@trentu.ca")</f>
        <v>jasonconner@trentu.ca</v>
      </c>
      <c r="G4451" s="3"/>
      <c r="H4451" s="3"/>
    </row>
    <row r="4452">
      <c r="A4452" s="2">
        <f>IFERROR(__xludf.DUMMYFUNCTION("""COMPUTED_VALUE"""),61193.0)</f>
        <v>61193</v>
      </c>
      <c r="B4452" s="3" t="str">
        <f>IFERROR(__xludf.DUMMYFUNCTION("""COMPUTED_VALUE"""),"5478 COUNTY 25 RD  ")</f>
        <v>5478 COUNTY 25 RD  </v>
      </c>
      <c r="C4452" s="3" t="str">
        <f>IFERROR(__xludf.DUMMYFUNCTION("""COMPUTED_VALUE"""),"WARKWORTH")</f>
        <v>WARKWORTH</v>
      </c>
      <c r="D4452" s="3" t="str">
        <f>IFERROR(__xludf.DUMMYFUNCTION("""COMPUTED_VALUE"""),"K0K 3K0")</f>
        <v>K0K 3K0</v>
      </c>
      <c r="E4452" s="3" t="str">
        <f>IFERROR(__xludf.DUMMYFUNCTION("""COMPUTED_VALUE"""),"Jason Conner")</f>
        <v>Jason Conner</v>
      </c>
      <c r="F4452" s="3" t="str">
        <f>IFERROR(__xludf.DUMMYFUNCTION("""COMPUTED_VALUE"""),"jasonconner@trentu.ca")</f>
        <v>jasonconner@trentu.ca</v>
      </c>
      <c r="G4452" s="3">
        <f>IFERROR(__xludf.DUMMYFUNCTION("""COMPUTED_VALUE"""),3.433332155E9)</f>
        <v>3433332155</v>
      </c>
      <c r="H4452" s="3"/>
    </row>
    <row r="4453">
      <c r="A4453" s="2">
        <f>IFERROR(__xludf.DUMMYFUNCTION("""COMPUTED_VALUE"""),61195.0)</f>
        <v>61195</v>
      </c>
      <c r="B4453" s="3" t="str">
        <f>IFERROR(__xludf.DUMMYFUNCTION("""COMPUTED_VALUE"""),"5619 COUNTY 25 RD  ")</f>
        <v>5619 COUNTY 25 RD  </v>
      </c>
      <c r="C4453" s="3" t="str">
        <f>IFERROR(__xludf.DUMMYFUNCTION("""COMPUTED_VALUE"""),"WARKWORTH")</f>
        <v>WARKWORTH</v>
      </c>
      <c r="D4453" s="3" t="str">
        <f>IFERROR(__xludf.DUMMYFUNCTION("""COMPUTED_VALUE"""),"K0K 3K0")</f>
        <v>K0K 3K0</v>
      </c>
      <c r="E4453" s="3" t="str">
        <f>IFERROR(__xludf.DUMMYFUNCTION("""COMPUTED_VALUE"""),"Paul MacDonald")</f>
        <v>Paul MacDonald</v>
      </c>
      <c r="F4453" s="3" t="str">
        <f>IFERROR(__xludf.DUMMYFUNCTION("""COMPUTED_VALUE"""),"pnmacd@bell.net")</f>
        <v>pnmacd@bell.net</v>
      </c>
      <c r="G4453" s="3">
        <f>IFERROR(__xludf.DUMMYFUNCTION("""COMPUTED_VALUE"""),7.056963349E9)</f>
        <v>7056963349</v>
      </c>
      <c r="H4453" s="3"/>
    </row>
    <row r="4454">
      <c r="A4454" s="2">
        <f>IFERROR(__xludf.DUMMYFUNCTION("""COMPUTED_VALUE"""),61196.0)</f>
        <v>61196</v>
      </c>
      <c r="B4454" s="3" t="str">
        <f>IFERROR(__xludf.DUMMYFUNCTION("""COMPUTED_VALUE"""),"5716 COUNTY 25 RD  ")</f>
        <v>5716 COUNTY 25 RD  </v>
      </c>
      <c r="C4454" s="3" t="str">
        <f>IFERROR(__xludf.DUMMYFUNCTION("""COMPUTED_VALUE"""),"WARKWORTH")</f>
        <v>WARKWORTH</v>
      </c>
      <c r="D4454" s="3" t="str">
        <f>IFERROR(__xludf.DUMMYFUNCTION("""COMPUTED_VALUE"""),"K0K 3K0")</f>
        <v>K0K 3K0</v>
      </c>
      <c r="E4454" s="3" t="str">
        <f>IFERROR(__xludf.DUMMYFUNCTION("""COMPUTED_VALUE"""),"Brian Graham")</f>
        <v>Brian Graham</v>
      </c>
      <c r="F4454" s="3" t="str">
        <f>IFERROR(__xludf.DUMMYFUNCTION("""COMPUTED_VALUE"""),"grahambrian500ss@gmail.com")</f>
        <v>grahambrian500ss@gmail.com</v>
      </c>
      <c r="G4454" s="3"/>
      <c r="H4454" s="3"/>
    </row>
    <row r="4455">
      <c r="A4455" s="2">
        <f>IFERROR(__xludf.DUMMYFUNCTION("""COMPUTED_VALUE"""),61197.0)</f>
        <v>61197</v>
      </c>
      <c r="B4455" s="3" t="str">
        <f>IFERROR(__xludf.DUMMYFUNCTION("""COMPUTED_VALUE"""),"5752 COUNTY 25 RD  ")</f>
        <v>5752 COUNTY 25 RD  </v>
      </c>
      <c r="C4455" s="3" t="str">
        <f>IFERROR(__xludf.DUMMYFUNCTION("""COMPUTED_VALUE"""),"WARKWORTH")</f>
        <v>WARKWORTH</v>
      </c>
      <c r="D4455" s="3" t="str">
        <f>IFERROR(__xludf.DUMMYFUNCTION("""COMPUTED_VALUE"""),"K0K 3K0")</f>
        <v>K0K 3K0</v>
      </c>
      <c r="E4455" s="3" t="str">
        <f>IFERROR(__xludf.DUMMYFUNCTION("""COMPUTED_VALUE"""),"Will Orr")</f>
        <v>Will Orr</v>
      </c>
      <c r="F4455" s="3"/>
      <c r="G4455" s="3"/>
      <c r="H4455" s="3"/>
    </row>
    <row r="4456">
      <c r="A4456" s="2">
        <f>IFERROR(__xludf.DUMMYFUNCTION("""COMPUTED_VALUE"""),61216.0)</f>
        <v>61216</v>
      </c>
      <c r="B4456" s="3" t="str">
        <f>IFERROR(__xludf.DUMMYFUNCTION("""COMPUTED_VALUE"""),"5230A COUNTY 25 RD  ")</f>
        <v>5230A COUNTY 25 RD  </v>
      </c>
      <c r="C4456" s="3" t="str">
        <f>IFERROR(__xludf.DUMMYFUNCTION("""COMPUTED_VALUE"""),"WARKWORTH")</f>
        <v>WARKWORTH</v>
      </c>
      <c r="D4456" s="3" t="str">
        <f>IFERROR(__xludf.DUMMYFUNCTION("""COMPUTED_VALUE"""),"K0K 3K0")</f>
        <v>K0K 3K0</v>
      </c>
      <c r="E4456" s="3" t="str">
        <f>IFERROR(__xludf.DUMMYFUNCTION("""COMPUTED_VALUE"""),"beverly &amp; jeff thrower")</f>
        <v>beverly &amp; jeff thrower</v>
      </c>
      <c r="F4456" s="3" t="str">
        <f>IFERROR(__xludf.DUMMYFUNCTION("""COMPUTED_VALUE"""),"thrower.beverly@gmail.com")</f>
        <v>thrower.beverly@gmail.com</v>
      </c>
      <c r="G4456" s="3">
        <f>IFERROR(__xludf.DUMMYFUNCTION("""COMPUTED_VALUE"""),7.059242789E9)</f>
        <v>7059242789</v>
      </c>
      <c r="H4456" s="3">
        <f>IFERROR(__xludf.DUMMYFUNCTION("""COMPUTED_VALUE"""),7.05653856E9)</f>
        <v>7056538560</v>
      </c>
    </row>
    <row r="4457">
      <c r="A4457" s="2">
        <f>IFERROR(__xludf.DUMMYFUNCTION("""COMPUTED_VALUE"""),61217.0)</f>
        <v>61217</v>
      </c>
      <c r="B4457" s="3" t="str">
        <f>IFERROR(__xludf.DUMMYFUNCTION("""COMPUTED_VALUE"""),"5230B COUNTY 25 RD  ")</f>
        <v>5230B COUNTY 25 RD  </v>
      </c>
      <c r="C4457" s="3" t="str">
        <f>IFERROR(__xludf.DUMMYFUNCTION("""COMPUTED_VALUE"""),"WARKWORTH")</f>
        <v>WARKWORTH</v>
      </c>
      <c r="D4457" s="3" t="str">
        <f>IFERROR(__xludf.DUMMYFUNCTION("""COMPUTED_VALUE"""),"K0K 3K0")</f>
        <v>K0K 3K0</v>
      </c>
      <c r="E4457" s="3"/>
      <c r="F4457" s="3"/>
      <c r="G4457" s="3"/>
      <c r="H4457" s="3"/>
    </row>
    <row r="4458">
      <c r="A4458" s="2">
        <f>IFERROR(__xludf.DUMMYFUNCTION("""COMPUTED_VALUE"""),62105.0)</f>
        <v>62105</v>
      </c>
      <c r="B4458" s="3" t="str">
        <f>IFERROR(__xludf.DUMMYFUNCTION("""COMPUTED_VALUE"""),"2 HEATH DR  ")</f>
        <v>2 HEATH DR  </v>
      </c>
      <c r="C4458" s="3" t="str">
        <f>IFERROR(__xludf.DUMMYFUNCTION("""COMPUTED_VALUE"""),"WARKWORTH")</f>
        <v>WARKWORTH</v>
      </c>
      <c r="D4458" s="3" t="str">
        <f>IFERROR(__xludf.DUMMYFUNCTION("""COMPUTED_VALUE"""),"K0K 3K0")</f>
        <v>K0K 3K0</v>
      </c>
      <c r="E4458" s="3"/>
      <c r="F4458" s="3"/>
      <c r="G4458" s="3"/>
      <c r="H4458" s="3"/>
    </row>
    <row r="4459">
      <c r="A4459" s="2">
        <f>IFERROR(__xludf.DUMMYFUNCTION("""COMPUTED_VALUE"""),61322.0)</f>
        <v>61322</v>
      </c>
      <c r="B4459" s="3" t="str">
        <f>IFERROR(__xludf.DUMMYFUNCTION("""COMPUTED_VALUE"""),"5771 COUNTY 30 RD  ")</f>
        <v>5771 COUNTY 30 RD  </v>
      </c>
      <c r="C4459" s="3" t="str">
        <f>IFERROR(__xludf.DUMMYFUNCTION("""COMPUTED_VALUE"""),"CAMPBELLFORD")</f>
        <v>CAMPBELLFORD</v>
      </c>
      <c r="D4459" s="3" t="str">
        <f>IFERROR(__xludf.DUMMYFUNCTION("""COMPUTED_VALUE"""),"K0L 1L0")</f>
        <v>K0L 1L0</v>
      </c>
      <c r="E4459" s="3" t="str">
        <f>IFERROR(__xludf.DUMMYFUNCTION("""COMPUTED_VALUE"""),"kevin shannick ")</f>
        <v>kevin shannick </v>
      </c>
      <c r="F4459" s="3" t="str">
        <f>IFERROR(__xludf.DUMMYFUNCTION("""COMPUTED_VALUE"""),"shannickk@gmail.com")</f>
        <v>shannickk@gmail.com</v>
      </c>
      <c r="G4459" s="3">
        <f>IFERROR(__xludf.DUMMYFUNCTION("""COMPUTED_VALUE"""),9.054316874E9)</f>
        <v>9054316874</v>
      </c>
      <c r="H4459" s="3">
        <f>IFERROR(__xludf.DUMMYFUNCTION("""COMPUTED_VALUE"""),9.052595343E9)</f>
        <v>9052595343</v>
      </c>
    </row>
    <row r="4460">
      <c r="A4460" s="2">
        <f>IFERROR(__xludf.DUMMYFUNCTION("""COMPUTED_VALUE"""),61323.0)</f>
        <v>61323</v>
      </c>
      <c r="B4460" s="3" t="str">
        <f>IFERROR(__xludf.DUMMYFUNCTION("""COMPUTED_VALUE"""),"5783 COUNTY 30 RD  ")</f>
        <v>5783 COUNTY 30 RD  </v>
      </c>
      <c r="C4460" s="3" t="str">
        <f>IFERROR(__xludf.DUMMYFUNCTION("""COMPUTED_VALUE"""),"CAMPBELLFORD")</f>
        <v>CAMPBELLFORD</v>
      </c>
      <c r="D4460" s="3" t="str">
        <f>IFERROR(__xludf.DUMMYFUNCTION("""COMPUTED_VALUE"""),"K0L 1L0")</f>
        <v>K0L 1L0</v>
      </c>
      <c r="E4460" s="3" t="str">
        <f>IFERROR(__xludf.DUMMYFUNCTION("""COMPUTED_VALUE"""),"Marie decker")</f>
        <v>Marie decker</v>
      </c>
      <c r="F4460" s="3" t="str">
        <f>IFERROR(__xludf.DUMMYFUNCTION("""COMPUTED_VALUE"""),"christinedecker@hotmail.com")</f>
        <v>christinedecker@hotmail.com</v>
      </c>
      <c r="G4460" s="3">
        <f>IFERROR(__xludf.DUMMYFUNCTION("""COMPUTED_VALUE"""),7.05559506E9)</f>
        <v>7055595060</v>
      </c>
      <c r="H4460" s="3">
        <f>IFERROR(__xludf.DUMMYFUNCTION("""COMPUTED_VALUE"""),7.055591132E9)</f>
        <v>7055591132</v>
      </c>
    </row>
    <row r="4461">
      <c r="A4461" s="2">
        <f>IFERROR(__xludf.DUMMYFUNCTION("""COMPUTED_VALUE"""),61324.0)</f>
        <v>61324</v>
      </c>
      <c r="B4461" s="3" t="str">
        <f>IFERROR(__xludf.DUMMYFUNCTION("""COMPUTED_VALUE"""),"5791 COUNTY 30 RD  ")</f>
        <v>5791 COUNTY 30 RD  </v>
      </c>
      <c r="C4461" s="3" t="str">
        <f>IFERROR(__xludf.DUMMYFUNCTION("""COMPUTED_VALUE"""),"CAMPBELLFORD")</f>
        <v>CAMPBELLFORD</v>
      </c>
      <c r="D4461" s="3" t="str">
        <f>IFERROR(__xludf.DUMMYFUNCTION("""COMPUTED_VALUE"""),"K0L 1L0")</f>
        <v>K0L 1L0</v>
      </c>
      <c r="E4461" s="3" t="str">
        <f>IFERROR(__xludf.DUMMYFUNCTION("""COMPUTED_VALUE"""),"hawley dodd")</f>
        <v>hawley dodd</v>
      </c>
      <c r="F4461" s="3"/>
      <c r="G4461" s="3">
        <f>IFERROR(__xludf.DUMMYFUNCTION("""COMPUTED_VALUE"""),6.139214993E9)</f>
        <v>6139214993</v>
      </c>
      <c r="H4461" s="3"/>
    </row>
    <row r="4462">
      <c r="A4462" s="2">
        <f>IFERROR(__xludf.DUMMYFUNCTION("""COMPUTED_VALUE"""),61325.0)</f>
        <v>61325</v>
      </c>
      <c r="B4462" s="3" t="str">
        <f>IFERROR(__xludf.DUMMYFUNCTION("""COMPUTED_VALUE"""),"5799 COUNTY 30 RD S ")</f>
        <v>5799 COUNTY 30 RD S </v>
      </c>
      <c r="C4462" s="3" t="str">
        <f>IFERROR(__xludf.DUMMYFUNCTION("""COMPUTED_VALUE"""),"CAMPBELLFORD")</f>
        <v>CAMPBELLFORD</v>
      </c>
      <c r="D4462" s="3" t="str">
        <f>IFERROR(__xludf.DUMMYFUNCTION("""COMPUTED_VALUE"""),"K0L 1L0")</f>
        <v>K0L 1L0</v>
      </c>
      <c r="E4462" s="3" t="str">
        <f>IFERROR(__xludf.DUMMYFUNCTION("""COMPUTED_VALUE"""),"blaise dobbin ")</f>
        <v>blaise dobbin </v>
      </c>
      <c r="F4462" s="3" t="str">
        <f>IFERROR(__xludf.DUMMYFUNCTION("""COMPUTED_VALUE"""),"bad115@sympatico.ca")</f>
        <v>bad115@sympatico.ca</v>
      </c>
      <c r="G4462" s="3">
        <f>IFERROR(__xludf.DUMMYFUNCTION("""COMPUTED_VALUE"""),4.164609034E9)</f>
        <v>4164609034</v>
      </c>
      <c r="H4462" s="3"/>
    </row>
    <row r="4463">
      <c r="A4463" s="2">
        <f>IFERROR(__xludf.DUMMYFUNCTION("""COMPUTED_VALUE"""),61137.0)</f>
        <v>61137</v>
      </c>
      <c r="B4463" s="3" t="str">
        <f>IFERROR(__xludf.DUMMYFUNCTION("""COMPUTED_VALUE"""),"13389 COUNTY 24 RD  ")</f>
        <v>13389 COUNTY 24 RD  </v>
      </c>
      <c r="C4463" s="3" t="str">
        <f>IFERROR(__xludf.DUMMYFUNCTION("""COMPUTED_VALUE"""),"WARKWORTH")</f>
        <v>WARKWORTH</v>
      </c>
      <c r="D4463" s="3" t="str">
        <f>IFERROR(__xludf.DUMMYFUNCTION("""COMPUTED_VALUE"""),"K0K 3K0")</f>
        <v>K0K 3K0</v>
      </c>
      <c r="E4463" s="3"/>
      <c r="F4463" s="3"/>
      <c r="G4463" s="3"/>
      <c r="H4463" s="3"/>
    </row>
    <row r="4464">
      <c r="A4464" s="2">
        <f>IFERROR(__xludf.DUMMYFUNCTION("""COMPUTED_VALUE"""),61138.0)</f>
        <v>61138</v>
      </c>
      <c r="B4464" s="3" t="str">
        <f>IFERROR(__xludf.DUMMYFUNCTION("""COMPUTED_VALUE"""),"13412 COUNTY 24 RD  ")</f>
        <v>13412 COUNTY 24 RD  </v>
      </c>
      <c r="C4464" s="3" t="str">
        <f>IFERROR(__xludf.DUMMYFUNCTION("""COMPUTED_VALUE"""),"WARKWORTH")</f>
        <v>WARKWORTH</v>
      </c>
      <c r="D4464" s="3" t="str">
        <f>IFERROR(__xludf.DUMMYFUNCTION("""COMPUTED_VALUE"""),"K0K 3K0")</f>
        <v>K0K 3K0</v>
      </c>
      <c r="E4464" s="3" t="str">
        <f>IFERROR(__xludf.DUMMYFUNCTION("""COMPUTED_VALUE"""),"rachel hardy ")</f>
        <v>rachel hardy </v>
      </c>
      <c r="F4464" s="3" t="str">
        <f>IFERROR(__xludf.DUMMYFUNCTION("""COMPUTED_VALUE"""),"r.e.hardy@gmaiol.com")</f>
        <v>r.e.hardy@gmaiol.com</v>
      </c>
      <c r="G4464" s="3">
        <f>IFERROR(__xludf.DUMMYFUNCTION("""COMPUTED_VALUE"""),7.058082451E9)</f>
        <v>7058082451</v>
      </c>
      <c r="H4464" s="3"/>
    </row>
    <row r="4465">
      <c r="A4465" s="2">
        <f>IFERROR(__xludf.DUMMYFUNCTION("""COMPUTED_VALUE"""),61139.0)</f>
        <v>61139</v>
      </c>
      <c r="B4465" s="3" t="str">
        <f>IFERROR(__xludf.DUMMYFUNCTION("""COMPUTED_VALUE"""),"13431 COUNTY 24 RD  ")</f>
        <v>13431 COUNTY 24 RD  </v>
      </c>
      <c r="C4465" s="3" t="str">
        <f>IFERROR(__xludf.DUMMYFUNCTION("""COMPUTED_VALUE"""),"WARKWORTH")</f>
        <v>WARKWORTH</v>
      </c>
      <c r="D4465" s="3" t="str">
        <f>IFERROR(__xludf.DUMMYFUNCTION("""COMPUTED_VALUE"""),"K0K 3K0")</f>
        <v>K0K 3K0</v>
      </c>
      <c r="E4465" s="3" t="str">
        <f>IFERROR(__xludf.DUMMYFUNCTION("""COMPUTED_VALUE"""),"Barry Arseneau")</f>
        <v>Barry Arseneau</v>
      </c>
      <c r="F4465" s="3"/>
      <c r="G4465" s="3"/>
      <c r="H4465" s="3"/>
    </row>
    <row r="4466">
      <c r="A4466" s="2">
        <f>IFERROR(__xludf.DUMMYFUNCTION("""COMPUTED_VALUE"""),61140.0)</f>
        <v>61140</v>
      </c>
      <c r="B4466" s="3" t="str">
        <f>IFERROR(__xludf.DUMMYFUNCTION("""COMPUTED_VALUE"""),"13436 COUNTY 24 RD  ")</f>
        <v>13436 COUNTY 24 RD  </v>
      </c>
      <c r="C4466" s="3" t="str">
        <f>IFERROR(__xludf.DUMMYFUNCTION("""COMPUTED_VALUE"""),"WARKWORTH")</f>
        <v>WARKWORTH</v>
      </c>
      <c r="D4466" s="3" t="str">
        <f>IFERROR(__xludf.DUMMYFUNCTION("""COMPUTED_VALUE"""),"K0K 3K0")</f>
        <v>K0K 3K0</v>
      </c>
      <c r="E4466" s="3" t="str">
        <f>IFERROR(__xludf.DUMMYFUNCTION("""COMPUTED_VALUE"""),"Dale and Judy Hardy")</f>
        <v>Dale and Judy Hardy</v>
      </c>
      <c r="F4466" s="3" t="str">
        <f>IFERROR(__xludf.DUMMYFUNCTION("""COMPUTED_VALUE"""),"daleandjudy69@gmail.com")</f>
        <v>daleandjudy69@gmail.com</v>
      </c>
      <c r="G4466" s="3"/>
      <c r="H4466" s="3"/>
    </row>
    <row r="4467">
      <c r="A4467" s="2">
        <f>IFERROR(__xludf.DUMMYFUNCTION("""COMPUTED_VALUE"""),61141.0)</f>
        <v>61141</v>
      </c>
      <c r="B4467" s="3" t="str">
        <f>IFERROR(__xludf.DUMMYFUNCTION("""COMPUTED_VALUE"""),"13467 COUNTY 24 RD  ")</f>
        <v>13467 COUNTY 24 RD  </v>
      </c>
      <c r="C4467" s="3" t="str">
        <f>IFERROR(__xludf.DUMMYFUNCTION("""COMPUTED_VALUE"""),"WARKWORTH")</f>
        <v>WARKWORTH</v>
      </c>
      <c r="D4467" s="3" t="str">
        <f>IFERROR(__xludf.DUMMYFUNCTION("""COMPUTED_VALUE"""),"K0K 3K0")</f>
        <v>K0K 3K0</v>
      </c>
      <c r="E4467" s="3" t="str">
        <f>IFERROR(__xludf.DUMMYFUNCTION("""COMPUTED_VALUE"""),"Kathy Sidey")</f>
        <v>Kathy Sidey</v>
      </c>
      <c r="F4467" s="3" t="str">
        <f>IFERROR(__xludf.DUMMYFUNCTION("""COMPUTED_VALUE"""),"sideyhome@outlook.com")</f>
        <v>sideyhome@outlook.com</v>
      </c>
      <c r="G4467" s="3"/>
      <c r="H4467" s="3"/>
    </row>
    <row r="4468">
      <c r="A4468" s="2">
        <f>IFERROR(__xludf.DUMMYFUNCTION("""COMPUTED_VALUE"""),61142.0)</f>
        <v>61142</v>
      </c>
      <c r="B4468" s="3" t="str">
        <f>IFERROR(__xludf.DUMMYFUNCTION("""COMPUTED_VALUE"""),"13476 COUNTY 24 RD  ")</f>
        <v>13476 COUNTY 24 RD  </v>
      </c>
      <c r="C4468" s="3" t="str">
        <f>IFERROR(__xludf.DUMMYFUNCTION("""COMPUTED_VALUE"""),"WARKWORTH")</f>
        <v>WARKWORTH</v>
      </c>
      <c r="D4468" s="3" t="str">
        <f>IFERROR(__xludf.DUMMYFUNCTION("""COMPUTED_VALUE"""),"K0K 3K0")</f>
        <v>K0K 3K0</v>
      </c>
      <c r="E4468" s="3"/>
      <c r="F4468" s="3"/>
      <c r="G4468" s="3"/>
      <c r="H4468" s="3"/>
    </row>
    <row r="4469">
      <c r="A4469" s="2">
        <f>IFERROR(__xludf.DUMMYFUNCTION("""COMPUTED_VALUE"""),61143.0)</f>
        <v>61143</v>
      </c>
      <c r="B4469" s="3" t="str">
        <f>IFERROR(__xludf.DUMMYFUNCTION("""COMPUTED_VALUE"""),"13480 COUNTY 24 RD  ")</f>
        <v>13480 COUNTY 24 RD  </v>
      </c>
      <c r="C4469" s="3" t="str">
        <f>IFERROR(__xludf.DUMMYFUNCTION("""COMPUTED_VALUE"""),"WARKWORTH")</f>
        <v>WARKWORTH</v>
      </c>
      <c r="D4469" s="3" t="str">
        <f>IFERROR(__xludf.DUMMYFUNCTION("""COMPUTED_VALUE"""),"K0K 3K0")</f>
        <v>K0K 3K0</v>
      </c>
      <c r="E4469" s="3"/>
      <c r="F4469" s="3"/>
      <c r="G4469" s="3"/>
      <c r="H4469" s="3"/>
    </row>
    <row r="4470">
      <c r="A4470" s="2">
        <f>IFERROR(__xludf.DUMMYFUNCTION("""COMPUTED_VALUE"""),61144.0)</f>
        <v>61144</v>
      </c>
      <c r="B4470" s="3" t="str">
        <f>IFERROR(__xludf.DUMMYFUNCTION("""COMPUTED_VALUE"""),"13481 COUNTY 24 RD  ")</f>
        <v>13481 COUNTY 24 RD  </v>
      </c>
      <c r="C4470" s="3" t="str">
        <f>IFERROR(__xludf.DUMMYFUNCTION("""COMPUTED_VALUE"""),"WARKWORTH")</f>
        <v>WARKWORTH</v>
      </c>
      <c r="D4470" s="3" t="str">
        <f>IFERROR(__xludf.DUMMYFUNCTION("""COMPUTED_VALUE"""),"K0K 3K0")</f>
        <v>K0K 3K0</v>
      </c>
      <c r="E4470" s="3"/>
      <c r="F4470" s="3"/>
      <c r="G4470" s="3"/>
      <c r="H4470" s="3"/>
    </row>
    <row r="4471">
      <c r="A4471" s="2">
        <f>IFERROR(__xludf.DUMMYFUNCTION("""COMPUTED_VALUE"""),61145.0)</f>
        <v>61145</v>
      </c>
      <c r="B4471" s="3" t="str">
        <f>IFERROR(__xludf.DUMMYFUNCTION("""COMPUTED_VALUE"""),"13482 COUNTY 24 RD  ")</f>
        <v>13482 COUNTY 24 RD  </v>
      </c>
      <c r="C4471" s="3" t="str">
        <f>IFERROR(__xludf.DUMMYFUNCTION("""COMPUTED_VALUE"""),"WARKWORTH")</f>
        <v>WARKWORTH</v>
      </c>
      <c r="D4471" s="3" t="str">
        <f>IFERROR(__xludf.DUMMYFUNCTION("""COMPUTED_VALUE"""),"K0K 3K0")</f>
        <v>K0K 3K0</v>
      </c>
      <c r="E4471" s="3" t="str">
        <f>IFERROR(__xludf.DUMMYFUNCTION("""COMPUTED_VALUE"""),"Dylan Dejussel")</f>
        <v>Dylan Dejussel</v>
      </c>
      <c r="F4471" s="3" t="str">
        <f>IFERROR(__xludf.DUMMYFUNCTION("""COMPUTED_VALUE"""),"dylan.dejussel94@gmail.com")</f>
        <v>dylan.dejussel94@gmail.com</v>
      </c>
      <c r="G4471" s="3"/>
      <c r="H4471" s="3"/>
    </row>
    <row r="4472">
      <c r="A4472" s="2">
        <f>IFERROR(__xludf.DUMMYFUNCTION("""COMPUTED_VALUE"""),61146.0)</f>
        <v>61146</v>
      </c>
      <c r="B4472" s="3" t="str">
        <f>IFERROR(__xludf.DUMMYFUNCTION("""COMPUTED_VALUE"""),"13484 COUNTY 24 RD  ")</f>
        <v>13484 COUNTY 24 RD  </v>
      </c>
      <c r="C4472" s="3" t="str">
        <f>IFERROR(__xludf.DUMMYFUNCTION("""COMPUTED_VALUE"""),"WARKWORTH")</f>
        <v>WARKWORTH</v>
      </c>
      <c r="D4472" s="3" t="str">
        <f>IFERROR(__xludf.DUMMYFUNCTION("""COMPUTED_VALUE"""),"K0K 3K0")</f>
        <v>K0K 3K0</v>
      </c>
      <c r="E4472" s="3"/>
      <c r="F4472" s="3"/>
      <c r="G4472" s="3"/>
      <c r="H4472" s="3"/>
    </row>
    <row r="4473">
      <c r="A4473" s="2">
        <f>IFERROR(__xludf.DUMMYFUNCTION("""COMPUTED_VALUE"""),61147.0)</f>
        <v>61147</v>
      </c>
      <c r="B4473" s="3" t="str">
        <f>IFERROR(__xludf.DUMMYFUNCTION("""COMPUTED_VALUE"""),"13485 COUNTY 24 RD  ")</f>
        <v>13485 COUNTY 24 RD  </v>
      </c>
      <c r="C4473" s="3" t="str">
        <f>IFERROR(__xludf.DUMMYFUNCTION("""COMPUTED_VALUE"""),"WARKWORTH")</f>
        <v>WARKWORTH</v>
      </c>
      <c r="D4473" s="3" t="str">
        <f>IFERROR(__xludf.DUMMYFUNCTION("""COMPUTED_VALUE"""),"K0K 3K0")</f>
        <v>K0K 3K0</v>
      </c>
      <c r="E4473" s="3"/>
      <c r="F4473" s="3"/>
      <c r="G4473" s="3"/>
      <c r="H4473" s="3"/>
    </row>
    <row r="4474">
      <c r="A4474" s="2">
        <f>IFERROR(__xludf.DUMMYFUNCTION("""COMPUTED_VALUE"""),61148.0)</f>
        <v>61148</v>
      </c>
      <c r="B4474" s="3" t="str">
        <f>IFERROR(__xludf.DUMMYFUNCTION("""COMPUTED_VALUE"""),"13486 COUNTY 24 RD  ")</f>
        <v>13486 COUNTY 24 RD  </v>
      </c>
      <c r="C4474" s="3" t="str">
        <f>IFERROR(__xludf.DUMMYFUNCTION("""COMPUTED_VALUE"""),"WARKWORTH")</f>
        <v>WARKWORTH</v>
      </c>
      <c r="D4474" s="3" t="str">
        <f>IFERROR(__xludf.DUMMYFUNCTION("""COMPUTED_VALUE"""),"K0K 3K0")</f>
        <v>K0K 3K0</v>
      </c>
      <c r="E4474" s="3" t="str">
        <f>IFERROR(__xludf.DUMMYFUNCTION("""COMPUTED_VALUE"""),"Danielle Bruce")</f>
        <v>Danielle Bruce</v>
      </c>
      <c r="F4474" s="3"/>
      <c r="G4474" s="3"/>
      <c r="H4474" s="3"/>
    </row>
    <row r="4475">
      <c r="A4475" s="2">
        <f>IFERROR(__xludf.DUMMYFUNCTION("""COMPUTED_VALUE"""),61149.0)</f>
        <v>61149</v>
      </c>
      <c r="B4475" s="3" t="str">
        <f>IFERROR(__xludf.DUMMYFUNCTION("""COMPUTED_VALUE"""),"13496 COUNTY 24 RD  ")</f>
        <v>13496 COUNTY 24 RD  </v>
      </c>
      <c r="C4475" s="3" t="str">
        <f>IFERROR(__xludf.DUMMYFUNCTION("""COMPUTED_VALUE"""),"WARKWORTH")</f>
        <v>WARKWORTH</v>
      </c>
      <c r="D4475" s="3" t="str">
        <f>IFERROR(__xludf.DUMMYFUNCTION("""COMPUTED_VALUE"""),"K0K 3K0")</f>
        <v>K0K 3K0</v>
      </c>
      <c r="E4475" s="3" t="str">
        <f>IFERROR(__xludf.DUMMYFUNCTION("""COMPUTED_VALUE"""),"Theodore Opeiko")</f>
        <v>Theodore Opeiko</v>
      </c>
      <c r="F4475" s="3" t="str">
        <f>IFERROR(__xludf.DUMMYFUNCTION("""COMPUTED_VALUE"""),"opeiko@yahoo.com")</f>
        <v>opeiko@yahoo.com</v>
      </c>
      <c r="G4475" s="3"/>
      <c r="H4475" s="3"/>
    </row>
    <row r="4476">
      <c r="A4476" s="2">
        <f>IFERROR(__xludf.DUMMYFUNCTION("""COMPUTED_VALUE"""),61150.0)</f>
        <v>61150</v>
      </c>
      <c r="B4476" s="3" t="str">
        <f>IFERROR(__xludf.DUMMYFUNCTION("""COMPUTED_VALUE"""),"13513 COUNTY 24 RD  ")</f>
        <v>13513 COUNTY 24 RD  </v>
      </c>
      <c r="C4476" s="3" t="str">
        <f>IFERROR(__xludf.DUMMYFUNCTION("""COMPUTED_VALUE"""),"WARKWORTH")</f>
        <v>WARKWORTH</v>
      </c>
      <c r="D4476" s="3" t="str">
        <f>IFERROR(__xludf.DUMMYFUNCTION("""COMPUTED_VALUE"""),"K0K 3K0")</f>
        <v>K0K 3K0</v>
      </c>
      <c r="E4476" s="3" t="str">
        <f>IFERROR(__xludf.DUMMYFUNCTION("""COMPUTED_VALUE"""),"Carmella Barry")</f>
        <v>Carmella Barry</v>
      </c>
      <c r="F4476" s="3" t="str">
        <f>IFERROR(__xludf.DUMMYFUNCTION("""COMPUTED_VALUE"""),"info@doggytime.net")</f>
        <v>info@doggytime.net</v>
      </c>
      <c r="G4476" s="3"/>
      <c r="H4476" s="3"/>
    </row>
    <row r="4477">
      <c r="A4477" s="2">
        <f>IFERROR(__xludf.DUMMYFUNCTION("""COMPUTED_VALUE"""),61151.0)</f>
        <v>61151</v>
      </c>
      <c r="B4477" s="3" t="str">
        <f>IFERROR(__xludf.DUMMYFUNCTION("""COMPUTED_VALUE"""),"13515 COUNTY 24 RD  ")</f>
        <v>13515 COUNTY 24 RD  </v>
      </c>
      <c r="C4477" s="3" t="str">
        <f>IFERROR(__xludf.DUMMYFUNCTION("""COMPUTED_VALUE"""),"WARKWORTH")</f>
        <v>WARKWORTH</v>
      </c>
      <c r="D4477" s="3" t="str">
        <f>IFERROR(__xludf.DUMMYFUNCTION("""COMPUTED_VALUE"""),"K0K 3K0")</f>
        <v>K0K 3K0</v>
      </c>
      <c r="E4477" s="3" t="str">
        <f>IFERROR(__xludf.DUMMYFUNCTION("""COMPUTED_VALUE"""),"Ralph Shaw")</f>
        <v>Ralph Shaw</v>
      </c>
      <c r="F4477" s="3" t="str">
        <f>IFERROR(__xludf.DUMMYFUNCTION("""COMPUTED_VALUE"""),"ralphshaw@hotmail.com")</f>
        <v>ralphshaw@hotmail.com</v>
      </c>
      <c r="G4477" s="3">
        <f>IFERROR(__xludf.DUMMYFUNCTION("""COMPUTED_VALUE"""),7.059312073E9)</f>
        <v>7059312073</v>
      </c>
      <c r="H4477" s="3">
        <f>IFERROR(__xludf.DUMMYFUNCTION("""COMPUTED_VALUE"""),7.057688527E9)</f>
        <v>7057688527</v>
      </c>
    </row>
    <row r="4478">
      <c r="A4478" s="2">
        <f>IFERROR(__xludf.DUMMYFUNCTION("""COMPUTED_VALUE"""),61152.0)</f>
        <v>61152</v>
      </c>
      <c r="B4478" s="3" t="str">
        <f>IFERROR(__xludf.DUMMYFUNCTION("""COMPUTED_VALUE"""),"13522 COUNTY 24 RD  ")</f>
        <v>13522 COUNTY 24 RD  </v>
      </c>
      <c r="C4478" s="3" t="str">
        <f>IFERROR(__xludf.DUMMYFUNCTION("""COMPUTED_VALUE"""),"WARKWORTH")</f>
        <v>WARKWORTH</v>
      </c>
      <c r="D4478" s="3" t="str">
        <f>IFERROR(__xludf.DUMMYFUNCTION("""COMPUTED_VALUE"""),"K0K 3K0")</f>
        <v>K0K 3K0</v>
      </c>
      <c r="E4478" s="3"/>
      <c r="F4478" s="3"/>
      <c r="G4478" s="3"/>
      <c r="H4478" s="3"/>
    </row>
    <row r="4479">
      <c r="A4479" s="2">
        <f>IFERROR(__xludf.DUMMYFUNCTION("""COMPUTED_VALUE"""),61153.0)</f>
        <v>61153</v>
      </c>
      <c r="B4479" s="3" t="str">
        <f>IFERROR(__xludf.DUMMYFUNCTION("""COMPUTED_VALUE"""),"13523 COUNTY 24 RD  ")</f>
        <v>13523 COUNTY 24 RD  </v>
      </c>
      <c r="C4479" s="3" t="str">
        <f>IFERROR(__xludf.DUMMYFUNCTION("""COMPUTED_VALUE"""),"WARKWORTH")</f>
        <v>WARKWORTH</v>
      </c>
      <c r="D4479" s="3" t="str">
        <f>IFERROR(__xludf.DUMMYFUNCTION("""COMPUTED_VALUE"""),"K0K 3K0")</f>
        <v>K0K 3K0</v>
      </c>
      <c r="E4479" s="3" t="str">
        <f>IFERROR(__xludf.DUMMYFUNCTION("""COMPUTED_VALUE"""),"Diann &amp; Robert Young ")</f>
        <v>Diann &amp; Robert Young </v>
      </c>
      <c r="F4479" s="3" t="str">
        <f>IFERROR(__xludf.DUMMYFUNCTION("""COMPUTED_VALUE"""),"youngdiann59@gmail.com")</f>
        <v>youngdiann59@gmail.com</v>
      </c>
      <c r="G4479" s="3"/>
      <c r="H4479" s="3"/>
    </row>
    <row r="4480">
      <c r="A4480" s="2">
        <f>IFERROR(__xludf.DUMMYFUNCTION("""COMPUTED_VALUE"""),61154.0)</f>
        <v>61154</v>
      </c>
      <c r="B4480" s="3" t="str">
        <f>IFERROR(__xludf.DUMMYFUNCTION("""COMPUTED_VALUE"""),"13528 COUNTY 24 RD  ")</f>
        <v>13528 COUNTY 24 RD  </v>
      </c>
      <c r="C4480" s="3" t="str">
        <f>IFERROR(__xludf.DUMMYFUNCTION("""COMPUTED_VALUE"""),"WARKWORTH")</f>
        <v>WARKWORTH</v>
      </c>
      <c r="D4480" s="3" t="str">
        <f>IFERROR(__xludf.DUMMYFUNCTION("""COMPUTED_VALUE"""),"K0K 3K0")</f>
        <v>K0K 3K0</v>
      </c>
      <c r="E4480" s="3" t="str">
        <f>IFERROR(__xludf.DUMMYFUNCTION("""COMPUTED_VALUE"""),"James Dale Hardy")</f>
        <v>James Dale Hardy</v>
      </c>
      <c r="F4480" s="3" t="str">
        <f>IFERROR(__xludf.DUMMYFUNCTION("""COMPUTED_VALUE"""),"jjiedp2022@gmail.com")</f>
        <v>jjiedp2022@gmail.com</v>
      </c>
      <c r="G4480" s="3">
        <f>IFERROR(__xludf.DUMMYFUNCTION("""COMPUTED_VALUE"""),7.056329595E9)</f>
        <v>7056329595</v>
      </c>
      <c r="H4480" s="3"/>
    </row>
    <row r="4481">
      <c r="A4481" s="2">
        <f>IFERROR(__xludf.DUMMYFUNCTION("""COMPUTED_VALUE"""),61155.0)</f>
        <v>61155</v>
      </c>
      <c r="B4481" s="3" t="str">
        <f>IFERROR(__xludf.DUMMYFUNCTION("""COMPUTED_VALUE"""),"13529 COUNTY 24 RD  ")</f>
        <v>13529 COUNTY 24 RD  </v>
      </c>
      <c r="C4481" s="3" t="str">
        <f>IFERROR(__xludf.DUMMYFUNCTION("""COMPUTED_VALUE"""),"WARKWORTH")</f>
        <v>WARKWORTH</v>
      </c>
      <c r="D4481" s="3" t="str">
        <f>IFERROR(__xludf.DUMMYFUNCTION("""COMPUTED_VALUE"""),"K0K 3K0")</f>
        <v>K0K 3K0</v>
      </c>
      <c r="E4481" s="3" t="str">
        <f>IFERROR(__xludf.DUMMYFUNCTION("""COMPUTED_VALUE"""),"John Wyllie")</f>
        <v>John Wyllie</v>
      </c>
      <c r="F4481" s="3" t="str">
        <f>IFERROR(__xludf.DUMMYFUNCTION("""COMPUTED_VALUE"""),"jhwyllie@hotmail.com")</f>
        <v>jhwyllie@hotmail.com</v>
      </c>
      <c r="G4481" s="3"/>
      <c r="H4481" s="3"/>
    </row>
    <row r="4482">
      <c r="A4482" s="2">
        <f>IFERROR(__xludf.DUMMYFUNCTION("""COMPUTED_VALUE"""),61156.0)</f>
        <v>61156</v>
      </c>
      <c r="B4482" s="3" t="str">
        <f>IFERROR(__xludf.DUMMYFUNCTION("""COMPUTED_VALUE"""),"13532 COUNTY 24 RD  ")</f>
        <v>13532 COUNTY 24 RD  </v>
      </c>
      <c r="C4482" s="3" t="str">
        <f>IFERROR(__xludf.DUMMYFUNCTION("""COMPUTED_VALUE"""),"WARKWORTH")</f>
        <v>WARKWORTH</v>
      </c>
      <c r="D4482" s="3" t="str">
        <f>IFERROR(__xludf.DUMMYFUNCTION("""COMPUTED_VALUE"""),"K0K 3K0")</f>
        <v>K0K 3K0</v>
      </c>
      <c r="E4482" s="3" t="str">
        <f>IFERROR(__xludf.DUMMYFUNCTION("""COMPUTED_VALUE"""),"SARAH POTVIN")</f>
        <v>SARAH POTVIN</v>
      </c>
      <c r="F4482" s="3" t="str">
        <f>IFERROR(__xludf.DUMMYFUNCTION("""COMPUTED_VALUE"""),"sarahpotvin_1996@outlook.com")</f>
        <v>sarahpotvin_1996@outlook.com</v>
      </c>
      <c r="G4482" s="3"/>
      <c r="H4482" s="3"/>
    </row>
    <row r="4483">
      <c r="A4483" s="2">
        <f>IFERROR(__xludf.DUMMYFUNCTION("""COMPUTED_VALUE"""),61157.0)</f>
        <v>61157</v>
      </c>
      <c r="B4483" s="3" t="str">
        <f>IFERROR(__xludf.DUMMYFUNCTION("""COMPUTED_VALUE"""),"13534 COUNTY 24 RD  ")</f>
        <v>13534 COUNTY 24 RD  </v>
      </c>
      <c r="C4483" s="3" t="str">
        <f>IFERROR(__xludf.DUMMYFUNCTION("""COMPUTED_VALUE"""),"WARKWORTH")</f>
        <v>WARKWORTH</v>
      </c>
      <c r="D4483" s="3" t="str">
        <f>IFERROR(__xludf.DUMMYFUNCTION("""COMPUTED_VALUE"""),"K0K 3K0")</f>
        <v>K0K 3K0</v>
      </c>
      <c r="E4483" s="3" t="str">
        <f>IFERROR(__xludf.DUMMYFUNCTION("""COMPUTED_VALUE"""),"Lisa Shepherd")</f>
        <v>Lisa Shepherd</v>
      </c>
      <c r="F4483" s="3" t="str">
        <f>IFERROR(__xludf.DUMMYFUNCTION("""COMPUTED_VALUE"""),"lisashepherd797@gmail.com")</f>
        <v>lisashepherd797@gmail.com</v>
      </c>
      <c r="G4483" s="3">
        <f>IFERROR(__xludf.DUMMYFUNCTION("""COMPUTED_VALUE"""),7.056326172E9)</f>
        <v>7056326172</v>
      </c>
      <c r="H4483" s="3"/>
    </row>
    <row r="4484">
      <c r="A4484" s="2">
        <f>IFERROR(__xludf.DUMMYFUNCTION("""COMPUTED_VALUE"""),61158.0)</f>
        <v>61158</v>
      </c>
      <c r="B4484" s="3" t="str">
        <f>IFERROR(__xludf.DUMMYFUNCTION("""COMPUTED_VALUE"""),"13546 COUNTY 24 RD  ")</f>
        <v>13546 COUNTY 24 RD  </v>
      </c>
      <c r="C4484" s="3" t="str">
        <f>IFERROR(__xludf.DUMMYFUNCTION("""COMPUTED_VALUE"""),"WARKWORTH")</f>
        <v>WARKWORTH</v>
      </c>
      <c r="D4484" s="3" t="str">
        <f>IFERROR(__xludf.DUMMYFUNCTION("""COMPUTED_VALUE"""),"K0K 3K0")</f>
        <v>K0K 3K0</v>
      </c>
      <c r="E4484" s="3" t="str">
        <f>IFERROR(__xludf.DUMMYFUNCTION("""COMPUTED_VALUE"""),"john belton")</f>
        <v>john belton</v>
      </c>
      <c r="F4484" s="3" t="str">
        <f>IFERROR(__xludf.DUMMYFUNCTION("""COMPUTED_VALUE"""),"johnnybelton@hotmail.com")</f>
        <v>johnnybelton@hotmail.com</v>
      </c>
      <c r="G4484" s="3">
        <f>IFERROR(__xludf.DUMMYFUNCTION("""COMPUTED_VALUE"""),7.059242997E9)</f>
        <v>7059242997</v>
      </c>
      <c r="H4484" s="3">
        <f>IFERROR(__xludf.DUMMYFUNCTION("""COMPUTED_VALUE"""),7.059274647E9)</f>
        <v>7059274647</v>
      </c>
    </row>
    <row r="4485">
      <c r="A4485" s="2">
        <f>IFERROR(__xludf.DUMMYFUNCTION("""COMPUTED_VALUE"""),61159.0)</f>
        <v>61159</v>
      </c>
      <c r="B4485" s="3" t="str">
        <f>IFERROR(__xludf.DUMMYFUNCTION("""COMPUTED_VALUE"""),"13572 COUNTY 24 RD  ")</f>
        <v>13572 COUNTY 24 RD  </v>
      </c>
      <c r="C4485" s="3" t="str">
        <f>IFERROR(__xludf.DUMMYFUNCTION("""COMPUTED_VALUE"""),"WARKWORTH")</f>
        <v>WARKWORTH</v>
      </c>
      <c r="D4485" s="3" t="str">
        <f>IFERROR(__xludf.DUMMYFUNCTION("""COMPUTED_VALUE"""),"K0K 3K0")</f>
        <v>K0K 3K0</v>
      </c>
      <c r="E4485" s="3" t="str">
        <f>IFERROR(__xludf.DUMMYFUNCTION("""COMPUTED_VALUE"""),"Jack Bond ")</f>
        <v>Jack Bond </v>
      </c>
      <c r="F4485" s="3" t="str">
        <f>IFERROR(__xludf.DUMMYFUNCTION("""COMPUTED_VALUE"""),"jackgb@me.com")</f>
        <v>jackgb@me.com</v>
      </c>
      <c r="G4485" s="3"/>
      <c r="H4485" s="3"/>
    </row>
    <row r="4486">
      <c r="A4486" s="2">
        <f>IFERROR(__xludf.DUMMYFUNCTION("""COMPUTED_VALUE"""),61160.0)</f>
        <v>61160</v>
      </c>
      <c r="B4486" s="3" t="str">
        <f>IFERROR(__xludf.DUMMYFUNCTION("""COMPUTED_VALUE"""),"13573 COUNTY 24 RD  ")</f>
        <v>13573 COUNTY 24 RD  </v>
      </c>
      <c r="C4486" s="3" t="str">
        <f>IFERROR(__xludf.DUMMYFUNCTION("""COMPUTED_VALUE"""),"WARKWORTH")</f>
        <v>WARKWORTH</v>
      </c>
      <c r="D4486" s="3" t="str">
        <f>IFERROR(__xludf.DUMMYFUNCTION("""COMPUTED_VALUE"""),"K0K 3K0")</f>
        <v>K0K 3K0</v>
      </c>
      <c r="E4486" s="3" t="str">
        <f>IFERROR(__xludf.DUMMYFUNCTION("""COMPUTED_VALUE"""),"Ryan Campbell")</f>
        <v>Ryan Campbell</v>
      </c>
      <c r="F4486" s="3"/>
      <c r="G4486" s="3"/>
      <c r="H4486" s="3"/>
    </row>
    <row r="4487">
      <c r="A4487" s="2">
        <f>IFERROR(__xludf.DUMMYFUNCTION("""COMPUTED_VALUE"""),61161.0)</f>
        <v>61161</v>
      </c>
      <c r="B4487" s="3" t="str">
        <f>IFERROR(__xludf.DUMMYFUNCTION("""COMPUTED_VALUE"""),"13599 COUNTY 24 RD  ")</f>
        <v>13599 COUNTY 24 RD  </v>
      </c>
      <c r="C4487" s="3" t="str">
        <f>IFERROR(__xludf.DUMMYFUNCTION("""COMPUTED_VALUE"""),"WARKWORTH")</f>
        <v>WARKWORTH</v>
      </c>
      <c r="D4487" s="3" t="str">
        <f>IFERROR(__xludf.DUMMYFUNCTION("""COMPUTED_VALUE"""),"K0K 3K0")</f>
        <v>K0K 3K0</v>
      </c>
      <c r="E4487" s="3" t="str">
        <f>IFERROR(__xludf.DUMMYFUNCTION("""COMPUTED_VALUE"""),"Tom Vorkapic")</f>
        <v>Tom Vorkapic</v>
      </c>
      <c r="F4487" s="3" t="str">
        <f>IFERROR(__xludf.DUMMYFUNCTION("""COMPUTED_VALUE"""),"pam.vorkapic@gmail.com")</f>
        <v>pam.vorkapic@gmail.com</v>
      </c>
      <c r="G4487" s="3">
        <f>IFERROR(__xludf.DUMMYFUNCTION("""COMPUTED_VALUE"""),7.059241846E9)</f>
        <v>7059241846</v>
      </c>
      <c r="H4487" s="3"/>
    </row>
    <row r="4488">
      <c r="A4488" s="2">
        <f>IFERROR(__xludf.DUMMYFUNCTION("""COMPUTED_VALUE"""),61162.0)</f>
        <v>61162</v>
      </c>
      <c r="B4488" s="3" t="str">
        <f>IFERROR(__xludf.DUMMYFUNCTION("""COMPUTED_VALUE"""),"13629 COUNTY 24 RD  ")</f>
        <v>13629 COUNTY 24 RD  </v>
      </c>
      <c r="C4488" s="3" t="str">
        <f>IFERROR(__xludf.DUMMYFUNCTION("""COMPUTED_VALUE"""),"WARKWORTH")</f>
        <v>WARKWORTH</v>
      </c>
      <c r="D4488" s="3" t="str">
        <f>IFERROR(__xludf.DUMMYFUNCTION("""COMPUTED_VALUE"""),"K0K 3K0")</f>
        <v>K0K 3K0</v>
      </c>
      <c r="E4488" s="3" t="str">
        <f>IFERROR(__xludf.DUMMYFUNCTION("""COMPUTED_VALUE"""),"Pam Vorkapic")</f>
        <v>Pam Vorkapic</v>
      </c>
      <c r="F4488" s="3" t="str">
        <f>IFERROR(__xludf.DUMMYFUNCTION("""COMPUTED_VALUE"""),"pam.vorkapic@gmail.com")</f>
        <v>pam.vorkapic@gmail.com</v>
      </c>
      <c r="G4488" s="3">
        <f>IFERROR(__xludf.DUMMYFUNCTION("""COMPUTED_VALUE"""),7.059771189E9)</f>
        <v>7059771189</v>
      </c>
      <c r="H4488" s="3">
        <f>IFERROR(__xludf.DUMMYFUNCTION("""COMPUTED_VALUE"""),7.059241846E9)</f>
        <v>7059241846</v>
      </c>
    </row>
    <row r="4489">
      <c r="A4489" s="2">
        <f>IFERROR(__xludf.DUMMYFUNCTION("""COMPUTED_VALUE"""),61163.0)</f>
        <v>61163</v>
      </c>
      <c r="B4489" s="3" t="str">
        <f>IFERROR(__xludf.DUMMYFUNCTION("""COMPUTED_VALUE"""),"13634 COUNTY 24 RD  ")</f>
        <v>13634 COUNTY 24 RD  </v>
      </c>
      <c r="C4489" s="3" t="str">
        <f>IFERROR(__xludf.DUMMYFUNCTION("""COMPUTED_VALUE"""),"WARKWORTH")</f>
        <v>WARKWORTH</v>
      </c>
      <c r="D4489" s="3" t="str">
        <f>IFERROR(__xludf.DUMMYFUNCTION("""COMPUTED_VALUE"""),"K0K 3K0")</f>
        <v>K0K 3K0</v>
      </c>
      <c r="E4489" s="3" t="str">
        <f>IFERROR(__xludf.DUMMYFUNCTION("""COMPUTED_VALUE"""),"Ahmed E Khawja")</f>
        <v>Ahmed E Khawja</v>
      </c>
      <c r="F4489" s="3" t="str">
        <f>IFERROR(__xludf.DUMMYFUNCTION("""COMPUTED_VALUE"""),"akhawjaasap@hotmail.com")</f>
        <v>akhawjaasap@hotmail.com</v>
      </c>
      <c r="G4489" s="3"/>
      <c r="H4489" s="3"/>
    </row>
    <row r="4490">
      <c r="A4490" s="2">
        <f>IFERROR(__xludf.DUMMYFUNCTION("""COMPUTED_VALUE"""),61164.0)</f>
        <v>61164</v>
      </c>
      <c r="B4490" s="3" t="str">
        <f>IFERROR(__xludf.DUMMYFUNCTION("""COMPUTED_VALUE"""),"13644 COUNTY 24 RD  ")</f>
        <v>13644 COUNTY 24 RD  </v>
      </c>
      <c r="C4490" s="3" t="str">
        <f>IFERROR(__xludf.DUMMYFUNCTION("""COMPUTED_VALUE"""),"WARKWORTH")</f>
        <v>WARKWORTH</v>
      </c>
      <c r="D4490" s="3" t="str">
        <f>IFERROR(__xludf.DUMMYFUNCTION("""COMPUTED_VALUE"""),"K0K 3K0")</f>
        <v>K0K 3K0</v>
      </c>
      <c r="E4490" s="3"/>
      <c r="F4490" s="3"/>
      <c r="G4490" s="3"/>
      <c r="H4490" s="3"/>
    </row>
    <row r="4491">
      <c r="A4491" s="2">
        <f>IFERROR(__xludf.DUMMYFUNCTION("""COMPUTED_VALUE"""),61165.0)</f>
        <v>61165</v>
      </c>
      <c r="B4491" s="3" t="str">
        <f>IFERROR(__xludf.DUMMYFUNCTION("""COMPUTED_VALUE"""),"13651 COUNTY 24 RD  ")</f>
        <v>13651 COUNTY 24 RD  </v>
      </c>
      <c r="C4491" s="3" t="str">
        <f>IFERROR(__xludf.DUMMYFUNCTION("""COMPUTED_VALUE"""),"WARKWORTH")</f>
        <v>WARKWORTH</v>
      </c>
      <c r="D4491" s="3" t="str">
        <f>IFERROR(__xludf.DUMMYFUNCTION("""COMPUTED_VALUE"""),"K0K 3K0")</f>
        <v>K0K 3K0</v>
      </c>
      <c r="E4491" s="3"/>
      <c r="F4491" s="3"/>
      <c r="G4491" s="3"/>
      <c r="H4491" s="3"/>
    </row>
    <row r="4492">
      <c r="A4492" s="2">
        <f>IFERROR(__xludf.DUMMYFUNCTION("""COMPUTED_VALUE"""),61166.0)</f>
        <v>61166</v>
      </c>
      <c r="B4492" s="3" t="str">
        <f>IFERROR(__xludf.DUMMYFUNCTION("""COMPUTED_VALUE"""),"13513B COUNTY RD 24")</f>
        <v>13513B COUNTY RD 24</v>
      </c>
      <c r="C4492" s="3" t="str">
        <f>IFERROR(__xludf.DUMMYFUNCTION("""COMPUTED_VALUE"""),"WARKWORTH")</f>
        <v>WARKWORTH</v>
      </c>
      <c r="D4492" s="3" t="str">
        <f>IFERROR(__xludf.DUMMYFUNCTION("""COMPUTED_VALUE"""),"K0K 3K0")</f>
        <v>K0K 3K0</v>
      </c>
      <c r="E4492" s="3"/>
      <c r="F4492" s="3"/>
      <c r="G4492" s="3"/>
      <c r="H4492" s="3"/>
    </row>
    <row r="4493">
      <c r="A4493" s="2">
        <f>IFERROR(__xludf.DUMMYFUNCTION("""COMPUTED_VALUE"""),60790.0)</f>
        <v>60790</v>
      </c>
      <c r="B4493" s="3" t="str">
        <f>IFERROR(__xludf.DUMMYFUNCTION("""COMPUTED_VALUE"""),"77 CHURCH ST")</f>
        <v>77 CHURCH ST</v>
      </c>
      <c r="C4493" s="3" t="str">
        <f>IFERROR(__xludf.DUMMYFUNCTION("""COMPUTED_VALUE"""),"WARKWORTH")</f>
        <v>WARKWORTH</v>
      </c>
      <c r="D4493" s="3" t="str">
        <f>IFERROR(__xludf.DUMMYFUNCTION("""COMPUTED_VALUE"""),"K0K 3K0")</f>
        <v>K0K 3K0</v>
      </c>
      <c r="E4493" s="3"/>
      <c r="F4493" s="3"/>
      <c r="G4493" s="3"/>
      <c r="H4493" s="3"/>
    </row>
    <row r="4494">
      <c r="A4494" s="2">
        <f>IFERROR(__xludf.DUMMYFUNCTION("""COMPUTED_VALUE"""),60795.0)</f>
        <v>60795</v>
      </c>
      <c r="B4494" s="3" t="str">
        <f>IFERROR(__xludf.DUMMYFUNCTION("""COMPUTED_VALUE"""),"87 CHURCH ST")</f>
        <v>87 CHURCH ST</v>
      </c>
      <c r="C4494" s="3" t="str">
        <f>IFERROR(__xludf.DUMMYFUNCTION("""COMPUTED_VALUE"""),"WARKWORTH")</f>
        <v>WARKWORTH</v>
      </c>
      <c r="D4494" s="3" t="str">
        <f>IFERROR(__xludf.DUMMYFUNCTION("""COMPUTED_VALUE"""),"K0K 3K0")</f>
        <v>K0K 3K0</v>
      </c>
      <c r="E4494" s="3" t="str">
        <f>IFERROR(__xludf.DUMMYFUNCTION("""COMPUTED_VALUE"""),"Mathieu Lemoyne")</f>
        <v>Mathieu Lemoyne</v>
      </c>
      <c r="F4494" s="3" t="str">
        <f>IFERROR(__xludf.DUMMYFUNCTION("""COMPUTED_VALUE"""),"mathieu.lemoyne1@hotmail.com")</f>
        <v>mathieu.lemoyne1@hotmail.com</v>
      </c>
      <c r="G4494" s="3"/>
      <c r="H4494" s="3"/>
    </row>
    <row r="4495">
      <c r="A4495" s="2">
        <f>IFERROR(__xludf.DUMMYFUNCTION("""COMPUTED_VALUE"""),60796.0)</f>
        <v>60796</v>
      </c>
      <c r="B4495" s="3" t="str">
        <f>IFERROR(__xludf.DUMMYFUNCTION("""COMPUTED_VALUE"""),"97 CHURCH ST")</f>
        <v>97 CHURCH ST</v>
      </c>
      <c r="C4495" s="3" t="str">
        <f>IFERROR(__xludf.DUMMYFUNCTION("""COMPUTED_VALUE"""),"WARKWORTH")</f>
        <v>WARKWORTH</v>
      </c>
      <c r="D4495" s="3" t="str">
        <f>IFERROR(__xludf.DUMMYFUNCTION("""COMPUTED_VALUE"""),"K0K 3K0")</f>
        <v>K0K 3K0</v>
      </c>
      <c r="E4495" s="3" t="str">
        <f>IFERROR(__xludf.DUMMYFUNCTION("""COMPUTED_VALUE"""),"yona attis")</f>
        <v>yona attis</v>
      </c>
      <c r="F4495" s="3" t="str">
        <f>IFERROR(__xludf.DUMMYFUNCTION("""COMPUTED_VALUE"""),"yattisday@hotmail.com")</f>
        <v>yattisday@hotmail.com</v>
      </c>
      <c r="G4495" s="3">
        <f>IFERROR(__xludf.DUMMYFUNCTION("""COMPUTED_VALUE"""),4.166487205E9)</f>
        <v>4166487205</v>
      </c>
      <c r="H4495" s="3"/>
    </row>
    <row r="4496">
      <c r="A4496" s="2">
        <f>IFERROR(__xludf.DUMMYFUNCTION("""COMPUTED_VALUE"""),60799.0)</f>
        <v>60799</v>
      </c>
      <c r="B4496" s="3" t="str">
        <f>IFERROR(__xludf.DUMMYFUNCTION("""COMPUTED_VALUE"""),"101 CHURCH ST")</f>
        <v>101 CHURCH ST</v>
      </c>
      <c r="C4496" s="3" t="str">
        <f>IFERROR(__xludf.DUMMYFUNCTION("""COMPUTED_VALUE"""),"WARKWORTH")</f>
        <v>WARKWORTH</v>
      </c>
      <c r="D4496" s="3" t="str">
        <f>IFERROR(__xludf.DUMMYFUNCTION("""COMPUTED_VALUE"""),"K0K 3K0")</f>
        <v>K0K 3K0</v>
      </c>
      <c r="E4496" s="3"/>
      <c r="F4496" s="3"/>
      <c r="G4496" s="3"/>
      <c r="H4496" s="3"/>
    </row>
    <row r="4497">
      <c r="A4497" s="2">
        <f>IFERROR(__xludf.DUMMYFUNCTION("""COMPUTED_VALUE"""),60803.0)</f>
        <v>60803</v>
      </c>
      <c r="B4497" s="3" t="str">
        <f>IFERROR(__xludf.DUMMYFUNCTION("""COMPUTED_VALUE"""),"111 CHURCH ST")</f>
        <v>111 CHURCH ST</v>
      </c>
      <c r="C4497" s="3" t="str">
        <f>IFERROR(__xludf.DUMMYFUNCTION("""COMPUTED_VALUE"""),"WARKWORTH")</f>
        <v>WARKWORTH</v>
      </c>
      <c r="D4497" s="3" t="str">
        <f>IFERROR(__xludf.DUMMYFUNCTION("""COMPUTED_VALUE"""),"K0K 3K0")</f>
        <v>K0K 3K0</v>
      </c>
      <c r="E4497" s="3" t="str">
        <f>IFERROR(__xludf.DUMMYFUNCTION("""COMPUTED_VALUE"""),"Lauren Wilson")</f>
        <v>Lauren Wilson</v>
      </c>
      <c r="F4497" s="3" t="str">
        <f>IFERROR(__xludf.DUMMYFUNCTION("""COMPUTED_VALUE"""),"lnelsonwilson@outlook.com")</f>
        <v>lnelsonwilson@outlook.com</v>
      </c>
      <c r="G4497" s="3">
        <f>IFERROR(__xludf.DUMMYFUNCTION("""COMPUTED_VALUE"""),7.057720293E9)</f>
        <v>7057720293</v>
      </c>
      <c r="H4497" s="3"/>
    </row>
    <row r="4498">
      <c r="A4498" s="2">
        <f>IFERROR(__xludf.DUMMYFUNCTION("""COMPUTED_VALUE"""),60806.0)</f>
        <v>60806</v>
      </c>
      <c r="B4498" s="3" t="str">
        <f>IFERROR(__xludf.DUMMYFUNCTION("""COMPUTED_VALUE"""),"119 CHURCH ST")</f>
        <v>119 CHURCH ST</v>
      </c>
      <c r="C4498" s="3" t="str">
        <f>IFERROR(__xludf.DUMMYFUNCTION("""COMPUTED_VALUE"""),"WARKWORTH")</f>
        <v>WARKWORTH</v>
      </c>
      <c r="D4498" s="3" t="str">
        <f>IFERROR(__xludf.DUMMYFUNCTION("""COMPUTED_VALUE"""),"K0K 3K0")</f>
        <v>K0K 3K0</v>
      </c>
      <c r="E4498" s="3" t="str">
        <f>IFERROR(__xludf.DUMMYFUNCTION("""COMPUTED_VALUE"""),"marg greenly ")</f>
        <v>marg greenly </v>
      </c>
      <c r="F4498" s="3"/>
      <c r="G4498" s="3">
        <f>IFERROR(__xludf.DUMMYFUNCTION("""COMPUTED_VALUE"""),7.053952637E9)</f>
        <v>7053952637</v>
      </c>
      <c r="H4498" s="3"/>
    </row>
    <row r="4499">
      <c r="A4499" s="2">
        <f>IFERROR(__xludf.DUMMYFUNCTION("""COMPUTED_VALUE"""),60812.0)</f>
        <v>60812</v>
      </c>
      <c r="B4499" s="3" t="str">
        <f>IFERROR(__xludf.DUMMYFUNCTION("""COMPUTED_VALUE"""),"129 CHURCH ST")</f>
        <v>129 CHURCH ST</v>
      </c>
      <c r="C4499" s="3" t="str">
        <f>IFERROR(__xludf.DUMMYFUNCTION("""COMPUTED_VALUE"""),"WARKWORTH")</f>
        <v>WARKWORTH</v>
      </c>
      <c r="D4499" s="3" t="str">
        <f>IFERROR(__xludf.DUMMYFUNCTION("""COMPUTED_VALUE"""),"K0K 3K0")</f>
        <v>K0K 3K0</v>
      </c>
      <c r="E4499" s="3"/>
      <c r="F4499" s="3"/>
      <c r="G4499" s="3"/>
      <c r="H4499" s="3"/>
    </row>
    <row r="4500">
      <c r="A4500" s="2">
        <f>IFERROR(__xludf.DUMMYFUNCTION("""COMPUTED_VALUE"""),60817.0)</f>
        <v>60817</v>
      </c>
      <c r="B4500" s="3" t="str">
        <f>IFERROR(__xludf.DUMMYFUNCTION("""COMPUTED_VALUE"""),"145 CHURCH ST")</f>
        <v>145 CHURCH ST</v>
      </c>
      <c r="C4500" s="3" t="str">
        <f>IFERROR(__xludf.DUMMYFUNCTION("""COMPUTED_VALUE"""),"WARKWORTH")</f>
        <v>WARKWORTH</v>
      </c>
      <c r="D4500" s="3" t="str">
        <f>IFERROR(__xludf.DUMMYFUNCTION("""COMPUTED_VALUE"""),"K0K 3K0")</f>
        <v>K0K 3K0</v>
      </c>
      <c r="E4500" s="3"/>
      <c r="F4500" s="3"/>
      <c r="G4500" s="3"/>
      <c r="H4500" s="3"/>
    </row>
    <row r="4501">
      <c r="A4501" s="2">
        <f>IFERROR(__xludf.DUMMYFUNCTION("""COMPUTED_VALUE"""),60819.0)</f>
        <v>60819</v>
      </c>
      <c r="B4501" s="3" t="str">
        <f>IFERROR(__xludf.DUMMYFUNCTION("""COMPUTED_VALUE"""),"149 CHURCH ST")</f>
        <v>149 CHURCH ST</v>
      </c>
      <c r="C4501" s="3" t="str">
        <f>IFERROR(__xludf.DUMMYFUNCTION("""COMPUTED_VALUE"""),"WARKWORTH")</f>
        <v>WARKWORTH</v>
      </c>
      <c r="D4501" s="3" t="str">
        <f>IFERROR(__xludf.DUMMYFUNCTION("""COMPUTED_VALUE"""),"K0K 3K0")</f>
        <v>K0K 3K0</v>
      </c>
      <c r="E4501" s="3" t="str">
        <f>IFERROR(__xludf.DUMMYFUNCTION("""COMPUTED_VALUE"""),"sam dingman ")</f>
        <v>sam dingman </v>
      </c>
      <c r="F4501" s="3"/>
      <c r="G4501" s="3">
        <f>IFERROR(__xludf.DUMMYFUNCTION("""COMPUTED_VALUE"""),7.059242862E9)</f>
        <v>7059242862</v>
      </c>
      <c r="H4501" s="3"/>
    </row>
    <row r="4502">
      <c r="A4502" s="2">
        <f>IFERROR(__xludf.DUMMYFUNCTION("""COMPUTED_VALUE"""),60820.0)</f>
        <v>60820</v>
      </c>
      <c r="B4502" s="3" t="str">
        <f>IFERROR(__xludf.DUMMYFUNCTION("""COMPUTED_VALUE"""),"151 CHURCH ST")</f>
        <v>151 CHURCH ST</v>
      </c>
      <c r="C4502" s="3" t="str">
        <f>IFERROR(__xludf.DUMMYFUNCTION("""COMPUTED_VALUE"""),"WARKWORTH")</f>
        <v>WARKWORTH</v>
      </c>
      <c r="D4502" s="3" t="str">
        <f>IFERROR(__xludf.DUMMYFUNCTION("""COMPUTED_VALUE"""),"K0K 3K0")</f>
        <v>K0K 3K0</v>
      </c>
      <c r="E4502" s="3" t="str">
        <f>IFERROR(__xludf.DUMMYFUNCTION("""COMPUTED_VALUE"""),"Stephanie Mitchell")</f>
        <v>Stephanie Mitchell</v>
      </c>
      <c r="F4502" s="3" t="str">
        <f>IFERROR(__xludf.DUMMYFUNCTION("""COMPUTED_VALUE"""),"dsmitchell07@gmail.com")</f>
        <v>dsmitchell07@gmail.com</v>
      </c>
      <c r="G4502" s="3"/>
      <c r="H4502" s="3"/>
    </row>
    <row r="4503">
      <c r="A4503" s="2">
        <f>IFERROR(__xludf.DUMMYFUNCTION("""COMPUTED_VALUE"""),61238.0)</f>
        <v>61238</v>
      </c>
      <c r="B4503" s="3" t="str">
        <f>IFERROR(__xludf.DUMMYFUNCTION("""COMPUTED_VALUE"""),"13944 COUNTY 29 RD  ")</f>
        <v>13944 COUNTY 29 RD  </v>
      </c>
      <c r="C4503" s="3" t="str">
        <f>IFERROR(__xludf.DUMMYFUNCTION("""COMPUTED_VALUE"""),"WARKWORTH")</f>
        <v>WARKWORTH</v>
      </c>
      <c r="D4503" s="3" t="str">
        <f>IFERROR(__xludf.DUMMYFUNCTION("""COMPUTED_VALUE"""),"K0K 3K0")</f>
        <v>K0K 3K0</v>
      </c>
      <c r="E4503" s="3"/>
      <c r="F4503" s="3"/>
      <c r="G4503" s="3"/>
      <c r="H4503" s="3"/>
    </row>
    <row r="4504">
      <c r="A4504" s="2">
        <f>IFERROR(__xludf.DUMMYFUNCTION("""COMPUTED_VALUE"""),61239.0)</f>
        <v>61239</v>
      </c>
      <c r="B4504" s="3" t="str">
        <f>IFERROR(__xludf.DUMMYFUNCTION("""COMPUTED_VALUE"""),"13952 COUNTY 29 RD  ")</f>
        <v>13952 COUNTY 29 RD  </v>
      </c>
      <c r="C4504" s="3" t="str">
        <f>IFERROR(__xludf.DUMMYFUNCTION("""COMPUTED_VALUE"""),"WARKWORTH")</f>
        <v>WARKWORTH</v>
      </c>
      <c r="D4504" s="3" t="str">
        <f>IFERROR(__xludf.DUMMYFUNCTION("""COMPUTED_VALUE"""),"K0K 3K0")</f>
        <v>K0K 3K0</v>
      </c>
      <c r="E4504" s="3" t="str">
        <f>IFERROR(__xludf.DUMMYFUNCTION("""COMPUTED_VALUE"""),"carole dove ")</f>
        <v>carole dove </v>
      </c>
      <c r="F4504" s="3" t="str">
        <f>IFERROR(__xludf.DUMMYFUNCTION("""COMPUTED_VALUE"""),"caroledove15@gmail.com")</f>
        <v>caroledove15@gmail.com</v>
      </c>
      <c r="G4504" s="3">
        <f>IFERROR(__xludf.DUMMYFUNCTION("""COMPUTED_VALUE"""),7.05924252E9)</f>
        <v>7059242520</v>
      </c>
      <c r="H4504" s="3"/>
    </row>
    <row r="4505">
      <c r="A4505" s="2">
        <f>IFERROR(__xludf.DUMMYFUNCTION("""COMPUTED_VALUE"""),62648.0)</f>
        <v>62648</v>
      </c>
      <c r="B4505" s="3" t="str">
        <f>IFERROR(__xludf.DUMMYFUNCTION("""COMPUTED_VALUE"""),"2 MILL ST  ")</f>
        <v>2 MILL ST  </v>
      </c>
      <c r="C4505" s="3" t="str">
        <f>IFERROR(__xludf.DUMMYFUNCTION("""COMPUTED_VALUE"""),"WARKWORTH")</f>
        <v>WARKWORTH</v>
      </c>
      <c r="D4505" s="3" t="str">
        <f>IFERROR(__xludf.DUMMYFUNCTION("""COMPUTED_VALUE"""),"K0K 3K0")</f>
        <v>K0K 3K0</v>
      </c>
      <c r="E4505" s="3" t="str">
        <f>IFERROR(__xludf.DUMMYFUNCTION("""COMPUTED_VALUE"""),"PAULUS TJIANG")</f>
        <v>PAULUS TJIANG</v>
      </c>
      <c r="F4505" s="3" t="str">
        <f>IFERROR(__xludf.DUMMYFUNCTION("""COMPUTED_VALUE"""),"franticfarms@gmail.com")</f>
        <v>franticfarms@gmail.com</v>
      </c>
      <c r="G4505" s="3"/>
      <c r="H4505" s="3"/>
    </row>
    <row r="4506">
      <c r="A4506" s="2">
        <f>IFERROR(__xludf.DUMMYFUNCTION("""COMPUTED_VALUE"""),63589.0)</f>
        <v>63589</v>
      </c>
      <c r="B4506" s="3" t="str">
        <f>IFERROR(__xludf.DUMMYFUNCTION("""COMPUTED_VALUE"""),"6 WALTER ST  ")</f>
        <v>6 WALTER ST  </v>
      </c>
      <c r="C4506" s="3" t="str">
        <f>IFERROR(__xludf.DUMMYFUNCTION("""COMPUTED_VALUE"""),"WARKWORTH")</f>
        <v>WARKWORTH</v>
      </c>
      <c r="D4506" s="3" t="str">
        <f>IFERROR(__xludf.DUMMYFUNCTION("""COMPUTED_VALUE"""),"K0K 3K0")</f>
        <v>K0K 3K0</v>
      </c>
      <c r="E4506" s="3"/>
      <c r="F4506" s="3"/>
      <c r="G4506" s="3"/>
      <c r="H4506" s="3"/>
    </row>
    <row r="4507">
      <c r="A4507" s="2">
        <f>IFERROR(__xludf.DUMMYFUNCTION("""COMPUTED_VALUE"""),61834.0)</f>
        <v>61834</v>
      </c>
      <c r="B4507" s="3" t="str">
        <f>IFERROR(__xludf.DUMMYFUNCTION("""COMPUTED_VALUE"""),"8 GEORGE ST  ")</f>
        <v>8 GEORGE ST  </v>
      </c>
      <c r="C4507" s="3" t="str">
        <f>IFERROR(__xludf.DUMMYFUNCTION("""COMPUTED_VALUE"""),"WARKWORTH")</f>
        <v>WARKWORTH</v>
      </c>
      <c r="D4507" s="3" t="str">
        <f>IFERROR(__xludf.DUMMYFUNCTION("""COMPUTED_VALUE"""),"K0K 3K0")</f>
        <v>K0K 3K0</v>
      </c>
      <c r="E4507" s="3" t="str">
        <f>IFERROR(__xludf.DUMMYFUNCTION("""COMPUTED_VALUE"""),"Patricia Mitchell")</f>
        <v>Patricia Mitchell</v>
      </c>
      <c r="F4507" s="3" t="str">
        <f>IFERROR(__xludf.DUMMYFUNCTION("""COMPUTED_VALUE"""),"pswmitchell@outlook.com")</f>
        <v>pswmitchell@outlook.com</v>
      </c>
      <c r="G4507" s="3">
        <f>IFERROR(__xludf.DUMMYFUNCTION("""COMPUTED_VALUE"""),7.055598824E9)</f>
        <v>7055598824</v>
      </c>
      <c r="H4507" s="3"/>
    </row>
    <row r="4508">
      <c r="A4508" s="2">
        <f>IFERROR(__xludf.DUMMYFUNCTION("""COMPUTED_VALUE"""),62649.0)</f>
        <v>62649</v>
      </c>
      <c r="B4508" s="3" t="str">
        <f>IFERROR(__xludf.DUMMYFUNCTION("""COMPUTED_VALUE"""),"9 MILL ST  ")</f>
        <v>9 MILL ST  </v>
      </c>
      <c r="C4508" s="3" t="str">
        <f>IFERROR(__xludf.DUMMYFUNCTION("""COMPUTED_VALUE"""),"WARKWORTH")</f>
        <v>WARKWORTH</v>
      </c>
      <c r="D4508" s="3" t="str">
        <f>IFERROR(__xludf.DUMMYFUNCTION("""COMPUTED_VALUE"""),"K0K 3K0")</f>
        <v>K0K 3K0</v>
      </c>
      <c r="E4508" s="3" t="str">
        <f>IFERROR(__xludf.DUMMYFUNCTION("""COMPUTED_VALUE"""),"mitchell van noy")</f>
        <v>mitchell van noy</v>
      </c>
      <c r="F4508" s="3" t="str">
        <f>IFERROR(__xludf.DUMMYFUNCTION("""COMPUTED_VALUE"""),"mithcellv@thefarmsupply.net")</f>
        <v>mithcellv@thefarmsupply.net</v>
      </c>
      <c r="G4508" s="3">
        <f>IFERROR(__xludf.DUMMYFUNCTION("""COMPUTED_VALUE"""),7.056534384E9)</f>
        <v>7056534384</v>
      </c>
      <c r="H4508" s="3"/>
    </row>
    <row r="4509">
      <c r="A4509" s="2">
        <f>IFERROR(__xludf.DUMMYFUNCTION("""COMPUTED_VALUE"""),60400.0)</f>
        <v>60400</v>
      </c>
      <c r="B4509" s="3" t="str">
        <f>IFERROR(__xludf.DUMMYFUNCTION("""COMPUTED_VALUE"""),"9 BENFIELD ST")</f>
        <v>9 BENFIELD ST</v>
      </c>
      <c r="C4509" s="3" t="str">
        <f>IFERROR(__xludf.DUMMYFUNCTION("""COMPUTED_VALUE"""),"WARKWORTH")</f>
        <v>WARKWORTH</v>
      </c>
      <c r="D4509" s="3" t="str">
        <f>IFERROR(__xludf.DUMMYFUNCTION("""COMPUTED_VALUE"""),"K0K 3K0")</f>
        <v>K0K 3K0</v>
      </c>
      <c r="E4509" s="3"/>
      <c r="F4509" s="3"/>
      <c r="G4509" s="3"/>
      <c r="H4509" s="3"/>
    </row>
    <row r="4510">
      <c r="A4510" s="2">
        <f>IFERROR(__xludf.DUMMYFUNCTION("""COMPUTED_VALUE"""),62650.0)</f>
        <v>62650</v>
      </c>
      <c r="B4510" s="3" t="str">
        <f>IFERROR(__xludf.DUMMYFUNCTION("""COMPUTED_VALUE"""),"10 MILL ST  ")</f>
        <v>10 MILL ST  </v>
      </c>
      <c r="C4510" s="3" t="str">
        <f>IFERROR(__xludf.DUMMYFUNCTION("""COMPUTED_VALUE"""),"WARKWORTH")</f>
        <v>WARKWORTH</v>
      </c>
      <c r="D4510" s="3" t="str">
        <f>IFERROR(__xludf.DUMMYFUNCTION("""COMPUTED_VALUE"""),"K0K 3K0")</f>
        <v>K0K 3K0</v>
      </c>
      <c r="E4510" s="3"/>
      <c r="F4510" s="3"/>
      <c r="G4510" s="3"/>
      <c r="H4510" s="3"/>
    </row>
    <row r="4511">
      <c r="A4511" s="2">
        <f>IFERROR(__xludf.DUMMYFUNCTION("""COMPUTED_VALUE"""),63819.0)</f>
        <v>63819</v>
      </c>
      <c r="B4511" s="3" t="str">
        <f>IFERROR(__xludf.DUMMYFUNCTION("""COMPUTED_VALUE"""),"10 GEORGE ST  ")</f>
        <v>10 GEORGE ST  </v>
      </c>
      <c r="C4511" s="3" t="str">
        <f>IFERROR(__xludf.DUMMYFUNCTION("""COMPUTED_VALUE"""),"WARKWORTH")</f>
        <v>WARKWORTH</v>
      </c>
      <c r="D4511" s="3" t="str">
        <f>IFERROR(__xludf.DUMMYFUNCTION("""COMPUTED_VALUE"""),"K0K 3K0")</f>
        <v>K0K 3K0</v>
      </c>
      <c r="E4511" s="3"/>
      <c r="F4511" s="3"/>
      <c r="G4511" s="3"/>
      <c r="H4511" s="3"/>
    </row>
    <row r="4512">
      <c r="A4512" s="2">
        <f>IFERROR(__xludf.DUMMYFUNCTION("""COMPUTED_VALUE"""),61815.0)</f>
        <v>61815</v>
      </c>
      <c r="B4512" s="3" t="str">
        <f>IFERROR(__xludf.DUMMYFUNCTION("""COMPUTED_VALUE"""),"11 GEORGE ST  ")</f>
        <v>11 GEORGE ST  </v>
      </c>
      <c r="C4512" s="3" t="str">
        <f>IFERROR(__xludf.DUMMYFUNCTION("""COMPUTED_VALUE"""),"WARKWORTH")</f>
        <v>WARKWORTH</v>
      </c>
      <c r="D4512" s="3" t="str">
        <f>IFERROR(__xludf.DUMMYFUNCTION("""COMPUTED_VALUE"""),"K0K 3K0")</f>
        <v>K0K 3K0</v>
      </c>
      <c r="E4512" s="3" t="str">
        <f>IFERROR(__xludf.DUMMYFUNCTION("""COMPUTED_VALUE"""),"Shekera Groenendyk")</f>
        <v>Shekera Groenendyk</v>
      </c>
      <c r="F4512" s="3" t="str">
        <f>IFERROR(__xludf.DUMMYFUNCTION("""COMPUTED_VALUE"""),"shekera.sophia@gmail.com")</f>
        <v>shekera.sophia@gmail.com</v>
      </c>
      <c r="G4512" s="3">
        <f>IFERROR(__xludf.DUMMYFUNCTION("""COMPUTED_VALUE"""),2.89691122E9)</f>
        <v>2896911220</v>
      </c>
      <c r="H4512" s="3"/>
    </row>
    <row r="4513">
      <c r="A4513" s="2">
        <f>IFERROR(__xludf.DUMMYFUNCTION("""COMPUTED_VALUE"""),63590.0)</f>
        <v>63590</v>
      </c>
      <c r="B4513" s="3" t="str">
        <f>IFERROR(__xludf.DUMMYFUNCTION("""COMPUTED_VALUE"""),"10 WALTER ST  ")</f>
        <v>10 WALTER ST  </v>
      </c>
      <c r="C4513" s="3" t="str">
        <f>IFERROR(__xludf.DUMMYFUNCTION("""COMPUTED_VALUE"""),"WARKWORTH")</f>
        <v>WARKWORTH</v>
      </c>
      <c r="D4513" s="3" t="str">
        <f>IFERROR(__xludf.DUMMYFUNCTION("""COMPUTED_VALUE"""),"K0K 3K0")</f>
        <v>K0K 3K0</v>
      </c>
      <c r="E4513" s="3"/>
      <c r="F4513" s="3"/>
      <c r="G4513" s="3"/>
      <c r="H4513" s="3"/>
    </row>
    <row r="4514">
      <c r="A4514" s="2">
        <f>IFERROR(__xludf.DUMMYFUNCTION("""COMPUTED_VALUE"""),63591.0)</f>
        <v>63591</v>
      </c>
      <c r="B4514" s="3" t="str">
        <f>IFERROR(__xludf.DUMMYFUNCTION("""COMPUTED_VALUE"""),"11 WALTER ST  ")</f>
        <v>11 WALTER ST  </v>
      </c>
      <c r="C4514" s="3" t="str">
        <f>IFERROR(__xludf.DUMMYFUNCTION("""COMPUTED_VALUE"""),"WARKWORTH")</f>
        <v>WARKWORTH</v>
      </c>
      <c r="D4514" s="3" t="str">
        <f>IFERROR(__xludf.DUMMYFUNCTION("""COMPUTED_VALUE"""),"K0K 3K0")</f>
        <v>K0K 3K0</v>
      </c>
      <c r="E4514" s="3" t="str">
        <f>IFERROR(__xludf.DUMMYFUNCTION("""COMPUTED_VALUE"""),"John parry buzza")</f>
        <v>John parry buzza</v>
      </c>
      <c r="F4514" s="3" t="str">
        <f>IFERROR(__xludf.DUMMYFUNCTION("""COMPUTED_VALUE"""),"buzzap@yahoo.com")</f>
        <v>buzzap@yahoo.com</v>
      </c>
      <c r="G4514" s="3">
        <f>IFERROR(__xludf.DUMMYFUNCTION("""COMPUTED_VALUE"""),7.053135432E9)</f>
        <v>7053135432</v>
      </c>
      <c r="H4514" s="3"/>
    </row>
    <row r="4515">
      <c r="A4515" s="2">
        <f>IFERROR(__xludf.DUMMYFUNCTION("""COMPUTED_VALUE"""),62651.0)</f>
        <v>62651</v>
      </c>
      <c r="B4515" s="3" t="str">
        <f>IFERROR(__xludf.DUMMYFUNCTION("""COMPUTED_VALUE"""),"12 MILL ST  ")</f>
        <v>12 MILL ST  </v>
      </c>
      <c r="C4515" s="3" t="str">
        <f>IFERROR(__xludf.DUMMYFUNCTION("""COMPUTED_VALUE"""),"WARKWORTH")</f>
        <v>WARKWORTH</v>
      </c>
      <c r="D4515" s="3" t="str">
        <f>IFERROR(__xludf.DUMMYFUNCTION("""COMPUTED_VALUE"""),"K0K 3K0")</f>
        <v>K0K 3K0</v>
      </c>
      <c r="E4515" s="3"/>
      <c r="F4515" s="3"/>
      <c r="G4515" s="3"/>
      <c r="H4515" s="3"/>
    </row>
    <row r="4516">
      <c r="A4516" s="2">
        <f>IFERROR(__xludf.DUMMYFUNCTION("""COMPUTED_VALUE"""),61816.0)</f>
        <v>61816</v>
      </c>
      <c r="B4516" s="3" t="str">
        <f>IFERROR(__xludf.DUMMYFUNCTION("""COMPUTED_VALUE"""),"12 GEORGE ST  ")</f>
        <v>12 GEORGE ST  </v>
      </c>
      <c r="C4516" s="3" t="str">
        <f>IFERROR(__xludf.DUMMYFUNCTION("""COMPUTED_VALUE"""),"WARKWORTH")</f>
        <v>WARKWORTH</v>
      </c>
      <c r="D4516" s="3" t="str">
        <f>IFERROR(__xludf.DUMMYFUNCTION("""COMPUTED_VALUE"""),"K0K 3K0")</f>
        <v>K0K 3K0</v>
      </c>
      <c r="E4516" s="3"/>
      <c r="F4516" s="3"/>
      <c r="G4516" s="3"/>
      <c r="H4516" s="3"/>
    </row>
    <row r="4517">
      <c r="A4517" s="2">
        <f>IFERROR(__xludf.DUMMYFUNCTION("""COMPUTED_VALUE"""),61817.0)</f>
        <v>61817</v>
      </c>
      <c r="B4517" s="3" t="str">
        <f>IFERROR(__xludf.DUMMYFUNCTION("""COMPUTED_VALUE"""),"14 GEORGE ST  ")</f>
        <v>14 GEORGE ST  </v>
      </c>
      <c r="C4517" s="3" t="str">
        <f>IFERROR(__xludf.DUMMYFUNCTION("""COMPUTED_VALUE"""),"WARKWORTH")</f>
        <v>WARKWORTH</v>
      </c>
      <c r="D4517" s="3" t="str">
        <f>IFERROR(__xludf.DUMMYFUNCTION("""COMPUTED_VALUE"""),"K0K 3K0")</f>
        <v>K0K 3K0</v>
      </c>
      <c r="E4517" s="3"/>
      <c r="F4517" s="3"/>
      <c r="G4517" s="3"/>
      <c r="H4517" s="3"/>
    </row>
    <row r="4518">
      <c r="A4518" s="2">
        <f>IFERROR(__xludf.DUMMYFUNCTION("""COMPUTED_VALUE"""),60401.0)</f>
        <v>60401</v>
      </c>
      <c r="B4518" s="3" t="str">
        <f>IFERROR(__xludf.DUMMYFUNCTION("""COMPUTED_VALUE"""),"14 BENFIELD ST")</f>
        <v>14 BENFIELD ST</v>
      </c>
      <c r="C4518" s="3" t="str">
        <f>IFERROR(__xludf.DUMMYFUNCTION("""COMPUTED_VALUE"""),"WARKWORTH")</f>
        <v>WARKWORTH</v>
      </c>
      <c r="D4518" s="3" t="str">
        <f>IFERROR(__xludf.DUMMYFUNCTION("""COMPUTED_VALUE"""),"K0K 3K0")</f>
        <v>K0K 3K0</v>
      </c>
      <c r="E4518" s="3" t="str">
        <f>IFERROR(__xludf.DUMMYFUNCTION("""COMPUTED_VALUE"""),"Wesley Gerrit Branscombe")</f>
        <v>Wesley Gerrit Branscombe</v>
      </c>
      <c r="F4518" s="3" t="str">
        <f>IFERROR(__xludf.DUMMYFUNCTION("""COMPUTED_VALUE"""),"wesleybranscombe17@outlook.com")</f>
        <v>wesleybranscombe17@outlook.com</v>
      </c>
      <c r="G4518" s="3">
        <f>IFERROR(__xludf.DUMMYFUNCTION("""COMPUTED_VALUE"""),7.058680194E9)</f>
        <v>7058680194</v>
      </c>
      <c r="H4518" s="3">
        <f>IFERROR(__xludf.DUMMYFUNCTION("""COMPUTED_VALUE"""),7.056538019E9)</f>
        <v>7056538019</v>
      </c>
    </row>
    <row r="4519">
      <c r="A4519" s="2">
        <f>IFERROR(__xludf.DUMMYFUNCTION("""COMPUTED_VALUE"""),63592.0)</f>
        <v>63592</v>
      </c>
      <c r="B4519" s="3" t="str">
        <f>IFERROR(__xludf.DUMMYFUNCTION("""COMPUTED_VALUE"""),"14 WALTER ST  ")</f>
        <v>14 WALTER ST  </v>
      </c>
      <c r="C4519" s="3" t="str">
        <f>IFERROR(__xludf.DUMMYFUNCTION("""COMPUTED_VALUE"""),"WARKWORTH")</f>
        <v>WARKWORTH</v>
      </c>
      <c r="D4519" s="3" t="str">
        <f>IFERROR(__xludf.DUMMYFUNCTION("""COMPUTED_VALUE"""),"K0K 3K0")</f>
        <v>K0K 3K0</v>
      </c>
      <c r="E4519" s="3" t="str">
        <f>IFERROR(__xludf.DUMMYFUNCTION("""COMPUTED_VALUE"""),"Bobby Gilligan")</f>
        <v>Bobby Gilligan</v>
      </c>
      <c r="F4519" s="3" t="str">
        <f>IFERROR(__xludf.DUMMYFUNCTION("""COMPUTED_VALUE"""),"bobbygilligan17@gmail.com")</f>
        <v>bobbygilligan17@gmail.com</v>
      </c>
      <c r="G4519" s="3">
        <f>IFERROR(__xludf.DUMMYFUNCTION("""COMPUTED_VALUE"""),7.059178317E9)</f>
        <v>7059178317</v>
      </c>
      <c r="H4519" s="3"/>
    </row>
    <row r="4520">
      <c r="A4520" s="2">
        <f>IFERROR(__xludf.DUMMYFUNCTION("""COMPUTED_VALUE"""),60402.0)</f>
        <v>60402</v>
      </c>
      <c r="B4520" s="3" t="str">
        <f>IFERROR(__xludf.DUMMYFUNCTION("""COMPUTED_VALUE"""),"15 BENFIELD ST")</f>
        <v>15 BENFIELD ST</v>
      </c>
      <c r="C4520" s="3" t="str">
        <f>IFERROR(__xludf.DUMMYFUNCTION("""COMPUTED_VALUE"""),"WARKWORTH")</f>
        <v>WARKWORTH</v>
      </c>
      <c r="D4520" s="3" t="str">
        <f>IFERROR(__xludf.DUMMYFUNCTION("""COMPUTED_VALUE"""),"K0K 3K0")</f>
        <v>K0K 3K0</v>
      </c>
      <c r="E4520" s="3"/>
      <c r="F4520" s="3"/>
      <c r="G4520" s="3"/>
      <c r="H4520" s="3"/>
    </row>
    <row r="4521">
      <c r="A4521" s="2">
        <f>IFERROR(__xludf.DUMMYFUNCTION("""COMPUTED_VALUE"""),61818.0)</f>
        <v>61818</v>
      </c>
      <c r="B4521" s="3" t="str">
        <f>IFERROR(__xludf.DUMMYFUNCTION("""COMPUTED_VALUE"""),"16 GEORGE ST  ")</f>
        <v>16 GEORGE ST  </v>
      </c>
      <c r="C4521" s="3" t="str">
        <f>IFERROR(__xludf.DUMMYFUNCTION("""COMPUTED_VALUE"""),"WARKWORTH")</f>
        <v>WARKWORTH</v>
      </c>
      <c r="D4521" s="3" t="str">
        <f>IFERROR(__xludf.DUMMYFUNCTION("""COMPUTED_VALUE"""),"K0K 3K0")</f>
        <v>K0K 3K0</v>
      </c>
      <c r="E4521" s="3" t="str">
        <f>IFERROR(__xludf.DUMMYFUNCTION("""COMPUTED_VALUE"""),"James Eddie")</f>
        <v>James Eddie</v>
      </c>
      <c r="F4521" s="3" t="str">
        <f>IFERROR(__xludf.DUMMYFUNCTION("""COMPUTED_VALUE"""),"jameseddie@sympatico.ca")</f>
        <v>jameseddie@sympatico.ca</v>
      </c>
      <c r="G4521" s="3"/>
      <c r="H4521" s="3"/>
    </row>
    <row r="4522">
      <c r="A4522" s="2">
        <f>IFERROR(__xludf.DUMMYFUNCTION("""COMPUTED_VALUE"""),63593.0)</f>
        <v>63593</v>
      </c>
      <c r="B4522" s="3" t="str">
        <f>IFERROR(__xludf.DUMMYFUNCTION("""COMPUTED_VALUE"""),"17 WALTER ST  ")</f>
        <v>17 WALTER ST  </v>
      </c>
      <c r="C4522" s="3" t="str">
        <f>IFERROR(__xludf.DUMMYFUNCTION("""COMPUTED_VALUE"""),"WARKWORTH")</f>
        <v>WARKWORTH</v>
      </c>
      <c r="D4522" s="3" t="str">
        <f>IFERROR(__xludf.DUMMYFUNCTION("""COMPUTED_VALUE"""),"K0K 3K0")</f>
        <v>K0K 3K0</v>
      </c>
      <c r="E4522" s="3" t="str">
        <f>IFERROR(__xludf.DUMMYFUNCTION("""COMPUTED_VALUE"""),"wally salamanchuk")</f>
        <v>wally salamanchuk</v>
      </c>
      <c r="F4522" s="3" t="str">
        <f>IFERROR(__xludf.DUMMYFUNCTION("""COMPUTED_VALUE"""),"wallys@teksavvy.com")</f>
        <v>wallys@teksavvy.com</v>
      </c>
      <c r="G4522" s="3">
        <f>IFERROR(__xludf.DUMMYFUNCTION("""COMPUTED_VALUE"""),7.059242021E9)</f>
        <v>7059242021</v>
      </c>
      <c r="H4522" s="3"/>
    </row>
    <row r="4523">
      <c r="A4523" s="2">
        <f>IFERROR(__xludf.DUMMYFUNCTION("""COMPUTED_VALUE"""),62652.0)</f>
        <v>62652</v>
      </c>
      <c r="B4523" s="3" t="str">
        <f>IFERROR(__xludf.DUMMYFUNCTION("""COMPUTED_VALUE"""),"18 MILL ST  ")</f>
        <v>18 MILL ST  </v>
      </c>
      <c r="C4523" s="3" t="str">
        <f>IFERROR(__xludf.DUMMYFUNCTION("""COMPUTED_VALUE"""),"WARKWORTH")</f>
        <v>WARKWORTH</v>
      </c>
      <c r="D4523" s="3" t="str">
        <f>IFERROR(__xludf.DUMMYFUNCTION("""COMPUTED_VALUE"""),"K0K 3K0")</f>
        <v>K0K 3K0</v>
      </c>
      <c r="E4523" s="3"/>
      <c r="F4523" s="3"/>
      <c r="G4523" s="3"/>
      <c r="H4523" s="3"/>
    </row>
    <row r="4524">
      <c r="A4524" s="2">
        <f>IFERROR(__xludf.DUMMYFUNCTION("""COMPUTED_VALUE"""),63594.0)</f>
        <v>63594</v>
      </c>
      <c r="B4524" s="3" t="str">
        <f>IFERROR(__xludf.DUMMYFUNCTION("""COMPUTED_VALUE"""),"20 WALTER ST  ")</f>
        <v>20 WALTER ST  </v>
      </c>
      <c r="C4524" s="3" t="str">
        <f>IFERROR(__xludf.DUMMYFUNCTION("""COMPUTED_VALUE"""),"WARKWORTH")</f>
        <v>WARKWORTH</v>
      </c>
      <c r="D4524" s="3" t="str">
        <f>IFERROR(__xludf.DUMMYFUNCTION("""COMPUTED_VALUE"""),"K0K 3K0")</f>
        <v>K0K 3K0</v>
      </c>
      <c r="E4524" s="3"/>
      <c r="F4524" s="3"/>
      <c r="G4524" s="3"/>
      <c r="H4524" s="3"/>
    </row>
    <row r="4525">
      <c r="A4525" s="2">
        <f>IFERROR(__xludf.DUMMYFUNCTION("""COMPUTED_VALUE"""),61819.0)</f>
        <v>61819</v>
      </c>
      <c r="B4525" s="3" t="str">
        <f>IFERROR(__xludf.DUMMYFUNCTION("""COMPUTED_VALUE"""),"20 GEORGE ST  ")</f>
        <v>20 GEORGE ST  </v>
      </c>
      <c r="C4525" s="3" t="str">
        <f>IFERROR(__xludf.DUMMYFUNCTION("""COMPUTED_VALUE"""),"WARKWORTH")</f>
        <v>WARKWORTH</v>
      </c>
      <c r="D4525" s="3" t="str">
        <f>IFERROR(__xludf.DUMMYFUNCTION("""COMPUTED_VALUE"""),"K0K 3K0")</f>
        <v>K0K 3K0</v>
      </c>
      <c r="E4525" s="3"/>
      <c r="F4525" s="3"/>
      <c r="G4525" s="3"/>
      <c r="H4525" s="3"/>
    </row>
    <row r="4526">
      <c r="A4526" s="2">
        <f>IFERROR(__xludf.DUMMYFUNCTION("""COMPUTED_VALUE"""),61820.0)</f>
        <v>61820</v>
      </c>
      <c r="B4526" s="3" t="str">
        <f>IFERROR(__xludf.DUMMYFUNCTION("""COMPUTED_VALUE"""),"21 GEORGE ST  ")</f>
        <v>21 GEORGE ST  </v>
      </c>
      <c r="C4526" s="3" t="str">
        <f>IFERROR(__xludf.DUMMYFUNCTION("""COMPUTED_VALUE"""),"WARKWORTH")</f>
        <v>WARKWORTH</v>
      </c>
      <c r="D4526" s="3" t="str">
        <f>IFERROR(__xludf.DUMMYFUNCTION("""COMPUTED_VALUE"""),"K0K 3K0")</f>
        <v>K0K 3K0</v>
      </c>
      <c r="E4526" s="3"/>
      <c r="F4526" s="3"/>
      <c r="G4526" s="3"/>
      <c r="H4526" s="3"/>
    </row>
    <row r="4527">
      <c r="A4527" s="2">
        <f>IFERROR(__xludf.DUMMYFUNCTION("""COMPUTED_VALUE"""),63595.0)</f>
        <v>63595</v>
      </c>
      <c r="B4527" s="3" t="str">
        <f>IFERROR(__xludf.DUMMYFUNCTION("""COMPUTED_VALUE"""),"21 WALTER ST  ")</f>
        <v>21 WALTER ST  </v>
      </c>
      <c r="C4527" s="3" t="str">
        <f>IFERROR(__xludf.DUMMYFUNCTION("""COMPUTED_VALUE"""),"WARKWORTH")</f>
        <v>WARKWORTH</v>
      </c>
      <c r="D4527" s="3" t="str">
        <f>IFERROR(__xludf.DUMMYFUNCTION("""COMPUTED_VALUE"""),"K0K 3K0")</f>
        <v>K0K 3K0</v>
      </c>
      <c r="E4527" s="3" t="str">
        <f>IFERROR(__xludf.DUMMYFUNCTION("""COMPUTED_VALUE"""),"lindsay")</f>
        <v>lindsay</v>
      </c>
      <c r="F4527" s="3"/>
      <c r="G4527" s="3">
        <f>IFERROR(__xludf.DUMMYFUNCTION("""COMPUTED_VALUE"""),7.059873492E9)</f>
        <v>7059873492</v>
      </c>
      <c r="H4527" s="3"/>
    </row>
    <row r="4528">
      <c r="A4528" s="2">
        <f>IFERROR(__xludf.DUMMYFUNCTION("""COMPUTED_VALUE"""),62653.0)</f>
        <v>62653</v>
      </c>
      <c r="B4528" s="3" t="str">
        <f>IFERROR(__xludf.DUMMYFUNCTION("""COMPUTED_VALUE"""),"24 MILL ST  ")</f>
        <v>24 MILL ST  </v>
      </c>
      <c r="C4528" s="3" t="str">
        <f>IFERROR(__xludf.DUMMYFUNCTION("""COMPUTED_VALUE"""),"WARKWORTH")</f>
        <v>WARKWORTH</v>
      </c>
      <c r="D4528" s="3" t="str">
        <f>IFERROR(__xludf.DUMMYFUNCTION("""COMPUTED_VALUE"""),"K0K 3K0")</f>
        <v>K0K 3K0</v>
      </c>
      <c r="E4528" s="3" t="str">
        <f>IFERROR(__xludf.DUMMYFUNCTION("""COMPUTED_VALUE"""),"scott and elaine weatherop ")</f>
        <v>scott and elaine weatherop </v>
      </c>
      <c r="F4528" s="3"/>
      <c r="G4528" s="3">
        <f>IFERROR(__xludf.DUMMYFUNCTION("""COMPUTED_VALUE"""),7.053131778E9)</f>
        <v>7053131778</v>
      </c>
      <c r="H4528" s="3"/>
    </row>
    <row r="4529">
      <c r="A4529" s="2">
        <f>IFERROR(__xludf.DUMMYFUNCTION("""COMPUTED_VALUE"""),61835.0)</f>
        <v>61835</v>
      </c>
      <c r="B4529" s="3" t="str">
        <f>IFERROR(__xludf.DUMMYFUNCTION("""COMPUTED_VALUE"""),"25 GEORGE ST  ")</f>
        <v>25 GEORGE ST  </v>
      </c>
      <c r="C4529" s="3" t="str">
        <f>IFERROR(__xludf.DUMMYFUNCTION("""COMPUTED_VALUE"""),"WARKWORTH")</f>
        <v>WARKWORTH</v>
      </c>
      <c r="D4529" s="3" t="str">
        <f>IFERROR(__xludf.DUMMYFUNCTION("""COMPUTED_VALUE"""),"K0K 3K0")</f>
        <v>K0K 3K0</v>
      </c>
      <c r="E4529" s="3"/>
      <c r="F4529" s="3"/>
      <c r="G4529" s="3"/>
      <c r="H4529" s="3"/>
    </row>
    <row r="4530">
      <c r="A4530" s="2">
        <f>IFERROR(__xludf.DUMMYFUNCTION("""COMPUTED_VALUE"""),63820.0)</f>
        <v>63820</v>
      </c>
      <c r="B4530" s="3" t="str">
        <f>IFERROR(__xludf.DUMMYFUNCTION("""COMPUTED_VALUE"""),"27 GEORGE ST  ")</f>
        <v>27 GEORGE ST  </v>
      </c>
      <c r="C4530" s="3" t="str">
        <f>IFERROR(__xludf.DUMMYFUNCTION("""COMPUTED_VALUE"""),"WARKWORTH")</f>
        <v>WARKWORTH</v>
      </c>
      <c r="D4530" s="3" t="str">
        <f>IFERROR(__xludf.DUMMYFUNCTION("""COMPUTED_VALUE"""),"K0K 3K0")</f>
        <v>K0K 3K0</v>
      </c>
      <c r="E4530" s="3"/>
      <c r="F4530" s="3"/>
      <c r="G4530" s="3"/>
      <c r="H4530" s="3"/>
    </row>
    <row r="4531">
      <c r="A4531" s="2">
        <f>IFERROR(__xludf.DUMMYFUNCTION("""COMPUTED_VALUE"""),63596.0)</f>
        <v>63596</v>
      </c>
      <c r="B4531" s="3" t="str">
        <f>IFERROR(__xludf.DUMMYFUNCTION("""COMPUTED_VALUE"""),"27 WALTER ST  ")</f>
        <v>27 WALTER ST  </v>
      </c>
      <c r="C4531" s="3" t="str">
        <f>IFERROR(__xludf.DUMMYFUNCTION("""COMPUTED_VALUE"""),"WARKWORTH")</f>
        <v>WARKWORTH</v>
      </c>
      <c r="D4531" s="3" t="str">
        <f>IFERROR(__xludf.DUMMYFUNCTION("""COMPUTED_VALUE"""),"K0K 3K0")</f>
        <v>K0K 3K0</v>
      </c>
      <c r="E4531" s="3" t="str">
        <f>IFERROR(__xludf.DUMMYFUNCTION("""COMPUTED_VALUE"""),"Marilyn Brummell")</f>
        <v>Marilyn Brummell</v>
      </c>
      <c r="F4531" s="3"/>
      <c r="G4531" s="3"/>
      <c r="H4531" s="3"/>
    </row>
    <row r="4532">
      <c r="A4532" s="2">
        <f>IFERROR(__xludf.DUMMYFUNCTION("""COMPUTED_VALUE"""),61240.0)</f>
        <v>61240</v>
      </c>
      <c r="B4532" s="3" t="str">
        <f>IFERROR(__xludf.DUMMYFUNCTION("""COMPUTED_VALUE"""),"13984 COUNTY 29 RD  ")</f>
        <v>13984 COUNTY 29 RD  </v>
      </c>
      <c r="C4532" s="3" t="str">
        <f>IFERROR(__xludf.DUMMYFUNCTION("""COMPUTED_VALUE"""),"WARKWORTH")</f>
        <v>WARKWORTH</v>
      </c>
      <c r="D4532" s="3" t="str">
        <f>IFERROR(__xludf.DUMMYFUNCTION("""COMPUTED_VALUE"""),"K0K 3K0")</f>
        <v>K0K 3K0</v>
      </c>
      <c r="E4532" s="3"/>
      <c r="F4532" s="3"/>
      <c r="G4532" s="3"/>
      <c r="H4532" s="3"/>
    </row>
    <row r="4533">
      <c r="A4533" s="2">
        <f>IFERROR(__xludf.DUMMYFUNCTION("""COMPUTED_VALUE"""),61241.0)</f>
        <v>61241</v>
      </c>
      <c r="B4533" s="3" t="str">
        <f>IFERROR(__xludf.DUMMYFUNCTION("""COMPUTED_VALUE"""),"14015 COUNTY 29 RD  ")</f>
        <v>14015 COUNTY 29 RD  </v>
      </c>
      <c r="C4533" s="3" t="str">
        <f>IFERROR(__xludf.DUMMYFUNCTION("""COMPUTED_VALUE"""),"WARKWORTH")</f>
        <v>WARKWORTH</v>
      </c>
      <c r="D4533" s="3" t="str">
        <f>IFERROR(__xludf.DUMMYFUNCTION("""COMPUTED_VALUE"""),"K0K 3K0")</f>
        <v>K0K 3K0</v>
      </c>
      <c r="E4533" s="3"/>
      <c r="F4533" s="3"/>
      <c r="G4533" s="3"/>
      <c r="H4533" s="3"/>
    </row>
    <row r="4534">
      <c r="A4534" s="2">
        <f>IFERROR(__xludf.DUMMYFUNCTION("""COMPUTED_VALUE"""),61242.0)</f>
        <v>61242</v>
      </c>
      <c r="B4534" s="3" t="str">
        <f>IFERROR(__xludf.DUMMYFUNCTION("""COMPUTED_VALUE"""),"14024 COUNTY 29 RD  ")</f>
        <v>14024 COUNTY 29 RD  </v>
      </c>
      <c r="C4534" s="3" t="str">
        <f>IFERROR(__xludf.DUMMYFUNCTION("""COMPUTED_VALUE"""),"WARKWORTH")</f>
        <v>WARKWORTH</v>
      </c>
      <c r="D4534" s="3" t="str">
        <f>IFERROR(__xludf.DUMMYFUNCTION("""COMPUTED_VALUE"""),"K0K 3K0")</f>
        <v>K0K 3K0</v>
      </c>
      <c r="E4534" s="3" t="str">
        <f>IFERROR(__xludf.DUMMYFUNCTION("""COMPUTED_VALUE"""),"sheryl and darren leblanc")</f>
        <v>sheryl and darren leblanc</v>
      </c>
      <c r="F4534" s="3" t="str">
        <f>IFERROR(__xludf.DUMMYFUNCTION("""COMPUTED_VALUE"""),"ddwag@gmail.com")</f>
        <v>ddwag@gmail.com</v>
      </c>
      <c r="G4534" s="3">
        <f>IFERROR(__xludf.DUMMYFUNCTION("""COMPUTED_VALUE"""),9.056448528E9)</f>
        <v>9056448528</v>
      </c>
      <c r="H4534" s="3">
        <f>IFERROR(__xludf.DUMMYFUNCTION("""COMPUTED_VALUE"""),7.059577323E9)</f>
        <v>7059577323</v>
      </c>
    </row>
    <row r="4535">
      <c r="A4535" s="2">
        <f>IFERROR(__xludf.DUMMYFUNCTION("""COMPUTED_VALUE"""),61243.0)</f>
        <v>61243</v>
      </c>
      <c r="B4535" s="3" t="str">
        <f>IFERROR(__xludf.DUMMYFUNCTION("""COMPUTED_VALUE"""),"14044 COUNTY 29 RD  ")</f>
        <v>14044 COUNTY 29 RD  </v>
      </c>
      <c r="C4535" s="3" t="str">
        <f>IFERROR(__xludf.DUMMYFUNCTION("""COMPUTED_VALUE"""),"WARKWORTH")</f>
        <v>WARKWORTH</v>
      </c>
      <c r="D4535" s="3" t="str">
        <f>IFERROR(__xludf.DUMMYFUNCTION("""COMPUTED_VALUE"""),"K0K 3K0")</f>
        <v>K0K 3K0</v>
      </c>
      <c r="E4535" s="3"/>
      <c r="F4535" s="3"/>
      <c r="G4535" s="3"/>
      <c r="H4535" s="3"/>
    </row>
    <row r="4536">
      <c r="A4536" s="2">
        <f>IFERROR(__xludf.DUMMYFUNCTION("""COMPUTED_VALUE"""),61244.0)</f>
        <v>61244</v>
      </c>
      <c r="B4536" s="3" t="str">
        <f>IFERROR(__xludf.DUMMYFUNCTION("""COMPUTED_VALUE"""),"14055 COUNTY 29 RD  ")</f>
        <v>14055 COUNTY 29 RD  </v>
      </c>
      <c r="C4536" s="3" t="str">
        <f>IFERROR(__xludf.DUMMYFUNCTION("""COMPUTED_VALUE"""),"WARKWORTH")</f>
        <v>WARKWORTH</v>
      </c>
      <c r="D4536" s="3" t="str">
        <f>IFERROR(__xludf.DUMMYFUNCTION("""COMPUTED_VALUE"""),"K0K 3K0")</f>
        <v>K0K 3K0</v>
      </c>
      <c r="E4536" s="3" t="str">
        <f>IFERROR(__xludf.DUMMYFUNCTION("""COMPUTED_VALUE"""),"t. spot ")</f>
        <v>t. spot </v>
      </c>
      <c r="F4536" s="3" t="str">
        <f>IFERROR(__xludf.DUMMYFUNCTION("""COMPUTED_VALUE"""),"plastersurgeon@gmail.com")</f>
        <v>plastersurgeon@gmail.com</v>
      </c>
      <c r="G4536" s="3">
        <f>IFERROR(__xludf.DUMMYFUNCTION("""COMPUTED_VALUE"""),6.472224579E9)</f>
        <v>6472224579</v>
      </c>
      <c r="H4536" s="3"/>
    </row>
    <row r="4537">
      <c r="A4537" s="2">
        <f>IFERROR(__xludf.DUMMYFUNCTION("""COMPUTED_VALUE"""),61245.0)</f>
        <v>61245</v>
      </c>
      <c r="B4537" s="3" t="str">
        <f>IFERROR(__xludf.DUMMYFUNCTION("""COMPUTED_VALUE"""),"14095 COUNTY 29 RD  ")</f>
        <v>14095 COUNTY 29 RD  </v>
      </c>
      <c r="C4537" s="3" t="str">
        <f>IFERROR(__xludf.DUMMYFUNCTION("""COMPUTED_VALUE"""),"WARKWORTH")</f>
        <v>WARKWORTH</v>
      </c>
      <c r="D4537" s="3" t="str">
        <f>IFERROR(__xludf.DUMMYFUNCTION("""COMPUTED_VALUE"""),"K0K 3K0")</f>
        <v>K0K 3K0</v>
      </c>
      <c r="E4537" s="3"/>
      <c r="F4537" s="3"/>
      <c r="G4537" s="3"/>
      <c r="H4537" s="3"/>
    </row>
    <row r="4538">
      <c r="A4538" s="2">
        <f>IFERROR(__xludf.DUMMYFUNCTION("""COMPUTED_VALUE"""),61246.0)</f>
        <v>61246</v>
      </c>
      <c r="B4538" s="3" t="str">
        <f>IFERROR(__xludf.DUMMYFUNCTION("""COMPUTED_VALUE"""),"14100 COUNTY 29 RD  ")</f>
        <v>14100 COUNTY 29 RD  </v>
      </c>
      <c r="C4538" s="3" t="str">
        <f>IFERROR(__xludf.DUMMYFUNCTION("""COMPUTED_VALUE"""),"WARKWORTH")</f>
        <v>WARKWORTH</v>
      </c>
      <c r="D4538" s="3" t="str">
        <f>IFERROR(__xludf.DUMMYFUNCTION("""COMPUTED_VALUE"""),"K0K 3K0")</f>
        <v>K0K 3K0</v>
      </c>
      <c r="E4538" s="3" t="str">
        <f>IFERROR(__xludf.DUMMYFUNCTION("""COMPUTED_VALUE"""),"Lydia Johnson")</f>
        <v>Lydia Johnson</v>
      </c>
      <c r="F4538" s="3" t="str">
        <f>IFERROR(__xludf.DUMMYFUNCTION("""COMPUTED_VALUE"""),"lybojohnson@hotmail.com")</f>
        <v>lybojohnson@hotmail.com</v>
      </c>
      <c r="G4538" s="3"/>
      <c r="H4538" s="3"/>
    </row>
    <row r="4539">
      <c r="A4539" s="2">
        <f>IFERROR(__xludf.DUMMYFUNCTION("""COMPUTED_VALUE"""),61247.0)</f>
        <v>61247</v>
      </c>
      <c r="B4539" s="3" t="str">
        <f>IFERROR(__xludf.DUMMYFUNCTION("""COMPUTED_VALUE"""),"14112 COUNTY 29 RD  ")</f>
        <v>14112 COUNTY 29 RD  </v>
      </c>
      <c r="C4539" s="3" t="str">
        <f>IFERROR(__xludf.DUMMYFUNCTION("""COMPUTED_VALUE"""),"WARKWORTH")</f>
        <v>WARKWORTH</v>
      </c>
      <c r="D4539" s="3" t="str">
        <f>IFERROR(__xludf.DUMMYFUNCTION("""COMPUTED_VALUE"""),"K0K 3K0")</f>
        <v>K0K 3K0</v>
      </c>
      <c r="E4539" s="3" t="str">
        <f>IFERROR(__xludf.DUMMYFUNCTION("""COMPUTED_VALUE"""),"heidi johnson")</f>
        <v>heidi johnson</v>
      </c>
      <c r="F4539" s="3" t="str">
        <f>IFERROR(__xludf.DUMMYFUNCTION("""COMPUTED_VALUE"""),"heidishulist@hotmail.com")</f>
        <v>heidishulist@hotmail.com</v>
      </c>
      <c r="G4539" s="3">
        <f>IFERROR(__xludf.DUMMYFUNCTION("""COMPUTED_VALUE"""),6.139298843E9)</f>
        <v>6139298843</v>
      </c>
      <c r="H4539" s="3">
        <f>IFERROR(__xludf.DUMMYFUNCTION("""COMPUTED_VALUE"""),7.057721906E9)</f>
        <v>7057721906</v>
      </c>
    </row>
    <row r="4540">
      <c r="A4540" s="2">
        <f>IFERROR(__xludf.DUMMYFUNCTION("""COMPUTED_VALUE"""),61248.0)</f>
        <v>61248</v>
      </c>
      <c r="B4540" s="3" t="str">
        <f>IFERROR(__xludf.DUMMYFUNCTION("""COMPUTED_VALUE"""),"14152 COUNTY 29 RD  ")</f>
        <v>14152 COUNTY 29 RD  </v>
      </c>
      <c r="C4540" s="3" t="str">
        <f>IFERROR(__xludf.DUMMYFUNCTION("""COMPUTED_VALUE"""),"WARKWORTH")</f>
        <v>WARKWORTH</v>
      </c>
      <c r="D4540" s="3" t="str">
        <f>IFERROR(__xludf.DUMMYFUNCTION("""COMPUTED_VALUE"""),"K0K 3K0")</f>
        <v>K0K 3K0</v>
      </c>
      <c r="E4540" s="3" t="str">
        <f>IFERROR(__xludf.DUMMYFUNCTION("""COMPUTED_VALUE"""),"Jon-Paul Malatestinic")</f>
        <v>Jon-Paul Malatestinic</v>
      </c>
      <c r="F4540" s="3" t="str">
        <f>IFERROR(__xludf.DUMMYFUNCTION("""COMPUTED_VALUE"""),"makkenzie@iolite.ca")</f>
        <v>makkenzie@iolite.ca</v>
      </c>
      <c r="G4540" s="3">
        <f>IFERROR(__xludf.DUMMYFUNCTION("""COMPUTED_VALUE"""),4.168584416E9)</f>
        <v>4168584416</v>
      </c>
      <c r="H4540" s="3"/>
    </row>
    <row r="4541">
      <c r="A4541" s="2">
        <f>IFERROR(__xludf.DUMMYFUNCTION("""COMPUTED_VALUE"""),61249.0)</f>
        <v>61249</v>
      </c>
      <c r="B4541" s="3" t="str">
        <f>IFERROR(__xludf.DUMMYFUNCTION("""COMPUTED_VALUE"""),"14154 COUNTY 29 RD  ")</f>
        <v>14154 COUNTY 29 RD  </v>
      </c>
      <c r="C4541" s="3" t="str">
        <f>IFERROR(__xludf.DUMMYFUNCTION("""COMPUTED_VALUE"""),"WARKWORTH")</f>
        <v>WARKWORTH</v>
      </c>
      <c r="D4541" s="3" t="str">
        <f>IFERROR(__xludf.DUMMYFUNCTION("""COMPUTED_VALUE"""),"K0K 3K0")</f>
        <v>K0K 3K0</v>
      </c>
      <c r="E4541" s="3" t="str">
        <f>IFERROR(__xludf.DUMMYFUNCTION("""COMPUTED_VALUE"""),"DAVID STEWART")</f>
        <v>DAVID STEWART</v>
      </c>
      <c r="F4541" s="3" t="str">
        <f>IFERROR(__xludf.DUMMYFUNCTION("""COMPUTED_VALUE"""),"email99@rocketmail.com")</f>
        <v>email99@rocketmail.com</v>
      </c>
      <c r="G4541" s="3"/>
      <c r="H4541" s="3"/>
    </row>
    <row r="4542">
      <c r="A4542" s="2">
        <f>IFERROR(__xludf.DUMMYFUNCTION("""COMPUTED_VALUE"""),61250.0)</f>
        <v>61250</v>
      </c>
      <c r="B4542" s="3" t="str">
        <f>IFERROR(__xludf.DUMMYFUNCTION("""COMPUTED_VALUE"""),"14181 COUNTY 29 RD  ")</f>
        <v>14181 COUNTY 29 RD  </v>
      </c>
      <c r="C4542" s="3" t="str">
        <f>IFERROR(__xludf.DUMMYFUNCTION("""COMPUTED_VALUE"""),"WARKWORTH")</f>
        <v>WARKWORTH</v>
      </c>
      <c r="D4542" s="3" t="str">
        <f>IFERROR(__xludf.DUMMYFUNCTION("""COMPUTED_VALUE"""),"K0K 3K0")</f>
        <v>K0K 3K0</v>
      </c>
      <c r="E4542" s="3" t="str">
        <f>IFERROR(__xludf.DUMMYFUNCTION("""COMPUTED_VALUE"""),"ron winelebank")</f>
        <v>ron winelebank</v>
      </c>
      <c r="F4542" s="3"/>
      <c r="G4542" s="3">
        <f>IFERROR(__xludf.DUMMYFUNCTION("""COMPUTED_VALUE"""),7.059249611E9)</f>
        <v>7059249611</v>
      </c>
      <c r="H4542" s="3">
        <f>IFERROR(__xludf.DUMMYFUNCTION("""COMPUTED_VALUE"""),9.054414547E9)</f>
        <v>9054414547</v>
      </c>
    </row>
    <row r="4543">
      <c r="A4543" s="2">
        <f>IFERROR(__xludf.DUMMYFUNCTION("""COMPUTED_VALUE"""),61251.0)</f>
        <v>61251</v>
      </c>
      <c r="B4543" s="3" t="str">
        <f>IFERROR(__xludf.DUMMYFUNCTION("""COMPUTED_VALUE"""),"14184 COUNTY 29 RD  ")</f>
        <v>14184 COUNTY 29 RD  </v>
      </c>
      <c r="C4543" s="3" t="str">
        <f>IFERROR(__xludf.DUMMYFUNCTION("""COMPUTED_VALUE"""),"WARKWORTH")</f>
        <v>WARKWORTH</v>
      </c>
      <c r="D4543" s="3" t="str">
        <f>IFERROR(__xludf.DUMMYFUNCTION("""COMPUTED_VALUE"""),"K0K 3K0")</f>
        <v>K0K 3K0</v>
      </c>
      <c r="E4543" s="3" t="str">
        <f>IFERROR(__xludf.DUMMYFUNCTION("""COMPUTED_VALUE"""),"mark maclaren ")</f>
        <v>mark maclaren </v>
      </c>
      <c r="F4543" s="3" t="str">
        <f>IFERROR(__xludf.DUMMYFUNCTION("""COMPUTED_VALUE"""),"nignthawkmif@hotmail.com")</f>
        <v>nignthawkmif@hotmail.com</v>
      </c>
      <c r="G4543" s="3">
        <f>IFERROR(__xludf.DUMMYFUNCTION("""COMPUTED_VALUE"""),9.052690413E9)</f>
        <v>9052690413</v>
      </c>
      <c r="H4543" s="3">
        <f>IFERROR(__xludf.DUMMYFUNCTION("""COMPUTED_VALUE"""),2.892596159E9)</f>
        <v>2892596159</v>
      </c>
    </row>
    <row r="4544">
      <c r="A4544" s="2">
        <f>IFERROR(__xludf.DUMMYFUNCTION("""COMPUTED_VALUE"""),61252.0)</f>
        <v>61252</v>
      </c>
      <c r="B4544" s="3" t="str">
        <f>IFERROR(__xludf.DUMMYFUNCTION("""COMPUTED_VALUE"""),"14258 COUNTY 29 RD  ")</f>
        <v>14258 COUNTY 29 RD  </v>
      </c>
      <c r="C4544" s="3" t="str">
        <f>IFERROR(__xludf.DUMMYFUNCTION("""COMPUTED_VALUE"""),"WARKWORTH")</f>
        <v>WARKWORTH</v>
      </c>
      <c r="D4544" s="3" t="str">
        <f>IFERROR(__xludf.DUMMYFUNCTION("""COMPUTED_VALUE"""),"K0K 3K0")</f>
        <v>K0K 3K0</v>
      </c>
      <c r="E4544" s="3" t="str">
        <f>IFERROR(__xludf.DUMMYFUNCTION("""COMPUTED_VALUE"""),"curtis  armstrong")</f>
        <v>curtis  armstrong</v>
      </c>
      <c r="F4544" s="3" t="str">
        <f>IFERROR(__xludf.DUMMYFUNCTION("""COMPUTED_VALUE"""),"armstre@hotmail.com")</f>
        <v>armstre@hotmail.com</v>
      </c>
      <c r="G4544" s="3">
        <f>IFERROR(__xludf.DUMMYFUNCTION("""COMPUTED_VALUE"""),7.057612833E9)</f>
        <v>7057612833</v>
      </c>
      <c r="H4544" s="3"/>
    </row>
    <row r="4545">
      <c r="A4545" s="2">
        <f>IFERROR(__xludf.DUMMYFUNCTION("""COMPUTED_VALUE"""),61253.0)</f>
        <v>61253</v>
      </c>
      <c r="B4545" s="3" t="str">
        <f>IFERROR(__xludf.DUMMYFUNCTION("""COMPUTED_VALUE"""),"14260 COUNTY 29 RD  ")</f>
        <v>14260 COUNTY 29 RD  </v>
      </c>
      <c r="C4545" s="3" t="str">
        <f>IFERROR(__xludf.DUMMYFUNCTION("""COMPUTED_VALUE"""),"WARKWORTH")</f>
        <v>WARKWORTH</v>
      </c>
      <c r="D4545" s="3" t="str">
        <f>IFERROR(__xludf.DUMMYFUNCTION("""COMPUTED_VALUE"""),"K0K 3K0")</f>
        <v>K0K 3K0</v>
      </c>
      <c r="E4545" s="3" t="str">
        <f>IFERROR(__xludf.DUMMYFUNCTION("""COMPUTED_VALUE"""),"AMANDA TWIGG")</f>
        <v>AMANDA TWIGG</v>
      </c>
      <c r="F4545" s="3" t="str">
        <f>IFERROR(__xludf.DUMMYFUNCTION("""COMPUTED_VALUE"""),"robinsnestfarm19@gmail.com")</f>
        <v>robinsnestfarm19@gmail.com</v>
      </c>
      <c r="G4545" s="3"/>
      <c r="H4545" s="3"/>
    </row>
    <row r="4546">
      <c r="A4546" s="2">
        <f>IFERROR(__xludf.DUMMYFUNCTION("""COMPUTED_VALUE"""),61254.0)</f>
        <v>61254</v>
      </c>
      <c r="B4546" s="3" t="str">
        <f>IFERROR(__xludf.DUMMYFUNCTION("""COMPUTED_VALUE"""),"14267 COUNTY 29 RD  A")</f>
        <v>14267 COUNTY 29 RD  A</v>
      </c>
      <c r="C4546" s="3" t="str">
        <f>IFERROR(__xludf.DUMMYFUNCTION("""COMPUTED_VALUE"""),"WARKWORTH")</f>
        <v>WARKWORTH</v>
      </c>
      <c r="D4546" s="3" t="str">
        <f>IFERROR(__xludf.DUMMYFUNCTION("""COMPUTED_VALUE"""),"K0K 3K0")</f>
        <v>K0K 3K0</v>
      </c>
      <c r="E4546" s="3"/>
      <c r="F4546" s="3"/>
      <c r="G4546" s="3"/>
      <c r="H4546" s="3"/>
    </row>
    <row r="4547">
      <c r="A4547" s="2">
        <f>IFERROR(__xludf.DUMMYFUNCTION("""COMPUTED_VALUE"""),61255.0)</f>
        <v>61255</v>
      </c>
      <c r="B4547" s="3" t="str">
        <f>IFERROR(__xludf.DUMMYFUNCTION("""COMPUTED_VALUE"""),"14267 COUNTY 29 RD  B")</f>
        <v>14267 COUNTY 29 RD  B</v>
      </c>
      <c r="C4547" s="3" t="str">
        <f>IFERROR(__xludf.DUMMYFUNCTION("""COMPUTED_VALUE"""),"WARKWORTH")</f>
        <v>WARKWORTH</v>
      </c>
      <c r="D4547" s="3" t="str">
        <f>IFERROR(__xludf.DUMMYFUNCTION("""COMPUTED_VALUE"""),"K0K 3K0")</f>
        <v>K0K 3K0</v>
      </c>
      <c r="E4547" s="3"/>
      <c r="F4547" s="3"/>
      <c r="G4547" s="3"/>
      <c r="H4547" s="3"/>
    </row>
    <row r="4548">
      <c r="A4548" s="2">
        <f>IFERROR(__xludf.DUMMYFUNCTION("""COMPUTED_VALUE"""),61256.0)</f>
        <v>61256</v>
      </c>
      <c r="B4548" s="3" t="str">
        <f>IFERROR(__xludf.DUMMYFUNCTION("""COMPUTED_VALUE"""),"14269 COUNTY 29 RD  ")</f>
        <v>14269 COUNTY 29 RD  </v>
      </c>
      <c r="C4548" s="3" t="str">
        <f>IFERROR(__xludf.DUMMYFUNCTION("""COMPUTED_VALUE"""),"WARKWORTH")</f>
        <v>WARKWORTH</v>
      </c>
      <c r="D4548" s="3" t="str">
        <f>IFERROR(__xludf.DUMMYFUNCTION("""COMPUTED_VALUE"""),"K0K 3K0")</f>
        <v>K0K 3K0</v>
      </c>
      <c r="E4548" s="3" t="str">
        <f>IFERROR(__xludf.DUMMYFUNCTION("""COMPUTED_VALUE"""),"peter and janie moore ")</f>
        <v>peter and janie moore </v>
      </c>
      <c r="F4548" s="3" t="str">
        <f>IFERROR(__xludf.DUMMYFUNCTION("""COMPUTED_VALUE"""),"janieandpete45@gmail.com")</f>
        <v>janieandpete45@gmail.com</v>
      </c>
      <c r="G4548" s="3">
        <f>IFERROR(__xludf.DUMMYFUNCTION("""COMPUTED_VALUE"""),7.0592413E9)</f>
        <v>7059241300</v>
      </c>
      <c r="H4548" s="3"/>
    </row>
    <row r="4549">
      <c r="A4549" s="2">
        <f>IFERROR(__xludf.DUMMYFUNCTION("""COMPUTED_VALUE"""),61257.0)</f>
        <v>61257</v>
      </c>
      <c r="B4549" s="3" t="str">
        <f>IFERROR(__xludf.DUMMYFUNCTION("""COMPUTED_VALUE"""),"14305 COUNTY 29 RD  ")</f>
        <v>14305 COUNTY 29 RD  </v>
      </c>
      <c r="C4549" s="3" t="str">
        <f>IFERROR(__xludf.DUMMYFUNCTION("""COMPUTED_VALUE"""),"WARKWORTH")</f>
        <v>WARKWORTH</v>
      </c>
      <c r="D4549" s="3" t="str">
        <f>IFERROR(__xludf.DUMMYFUNCTION("""COMPUTED_VALUE"""),"K0K 3K0")</f>
        <v>K0K 3K0</v>
      </c>
      <c r="E4549" s="3" t="str">
        <f>IFERROR(__xludf.DUMMYFUNCTION("""COMPUTED_VALUE"""),"terry and kim elnglish")</f>
        <v>terry and kim elnglish</v>
      </c>
      <c r="F4549" s="3" t="str">
        <f>IFERROR(__xludf.DUMMYFUNCTION("""COMPUTED_VALUE"""),"kimenglish61@gmail.com")</f>
        <v>kimenglish61@gmail.com</v>
      </c>
      <c r="G4549" s="3">
        <f>IFERROR(__xludf.DUMMYFUNCTION("""COMPUTED_VALUE"""),7.057682074E9)</f>
        <v>7057682074</v>
      </c>
      <c r="H4549" s="3"/>
    </row>
    <row r="4550">
      <c r="A4550" s="2">
        <f>IFERROR(__xludf.DUMMYFUNCTION("""COMPUTED_VALUE"""),61258.0)</f>
        <v>61258</v>
      </c>
      <c r="B4550" s="3" t="str">
        <f>IFERROR(__xludf.DUMMYFUNCTION("""COMPUTED_VALUE"""),"14311 COUNTY 29 RD  ")</f>
        <v>14311 COUNTY 29 RD  </v>
      </c>
      <c r="C4550" s="3" t="str">
        <f>IFERROR(__xludf.DUMMYFUNCTION("""COMPUTED_VALUE"""),"WARKWORTH")</f>
        <v>WARKWORTH</v>
      </c>
      <c r="D4550" s="3" t="str">
        <f>IFERROR(__xludf.DUMMYFUNCTION("""COMPUTED_VALUE"""),"K0K 3K0")</f>
        <v>K0K 3K0</v>
      </c>
      <c r="E4550" s="3"/>
      <c r="F4550" s="3"/>
      <c r="G4550" s="3"/>
      <c r="H4550" s="3"/>
    </row>
    <row r="4551">
      <c r="A4551" s="2">
        <f>IFERROR(__xludf.DUMMYFUNCTION("""COMPUTED_VALUE"""),61259.0)</f>
        <v>61259</v>
      </c>
      <c r="B4551" s="3" t="str">
        <f>IFERROR(__xludf.DUMMYFUNCTION("""COMPUTED_VALUE"""),"14324 COUNTY 29 RD  ")</f>
        <v>14324 COUNTY 29 RD  </v>
      </c>
      <c r="C4551" s="3" t="str">
        <f>IFERROR(__xludf.DUMMYFUNCTION("""COMPUTED_VALUE"""),"WARKWORTH")</f>
        <v>WARKWORTH</v>
      </c>
      <c r="D4551" s="3" t="str">
        <f>IFERROR(__xludf.DUMMYFUNCTION("""COMPUTED_VALUE"""),"K0K 3K0")</f>
        <v>K0K 3K0</v>
      </c>
      <c r="E4551" s="3" t="str">
        <f>IFERROR(__xludf.DUMMYFUNCTION("""COMPUTED_VALUE"""),"Briton Wells")</f>
        <v>Briton Wells</v>
      </c>
      <c r="F4551" s="3" t="str">
        <f>IFERROR(__xludf.DUMMYFUNCTION("""COMPUTED_VALUE"""),"nucer505@gmail.com")</f>
        <v>nucer505@gmail.com</v>
      </c>
      <c r="G4551" s="3">
        <f>IFERROR(__xludf.DUMMYFUNCTION("""COMPUTED_VALUE"""),6.477825708E9)</f>
        <v>6477825708</v>
      </c>
      <c r="H4551" s="3"/>
    </row>
    <row r="4552">
      <c r="A4552" s="2">
        <f>IFERROR(__xludf.DUMMYFUNCTION("""COMPUTED_VALUE"""),61260.0)</f>
        <v>61260</v>
      </c>
      <c r="B4552" s="3" t="str">
        <f>IFERROR(__xludf.DUMMYFUNCTION("""COMPUTED_VALUE"""),"15579 COUNTY 29 RD  ")</f>
        <v>15579 COUNTY 29 RD  </v>
      </c>
      <c r="C4552" s="3" t="str">
        <f>IFERROR(__xludf.DUMMYFUNCTION("""COMPUTED_VALUE"""),"CAMPBELLFORD")</f>
        <v>CAMPBELLFORD</v>
      </c>
      <c r="D4552" s="3" t="str">
        <f>IFERROR(__xludf.DUMMYFUNCTION("""COMPUTED_VALUE"""),"K0L 1L0")</f>
        <v>K0L 1L0</v>
      </c>
      <c r="E4552" s="3" t="str">
        <f>IFERROR(__xludf.DUMMYFUNCTION("""COMPUTED_VALUE"""),"kelly sykes")</f>
        <v>kelly sykes</v>
      </c>
      <c r="F4552" s="3" t="str">
        <f>IFERROR(__xludf.DUMMYFUNCTION("""COMPUTED_VALUE"""),"kellysykes261@aol.com")</f>
        <v>kellysykes261@aol.com</v>
      </c>
      <c r="G4552" s="3">
        <f>IFERROR(__xludf.DUMMYFUNCTION("""COMPUTED_VALUE"""),3.43263478E9)</f>
        <v>3432634780</v>
      </c>
      <c r="H4552" s="3"/>
    </row>
    <row r="4553">
      <c r="A4553" s="2">
        <f>IFERROR(__xludf.DUMMYFUNCTION("""COMPUTED_VALUE"""),61261.0)</f>
        <v>61261</v>
      </c>
      <c r="B4553" s="3" t="str">
        <f>IFERROR(__xludf.DUMMYFUNCTION("""COMPUTED_VALUE"""),"15641 COUNTY 29 RD  ")</f>
        <v>15641 COUNTY 29 RD  </v>
      </c>
      <c r="C4553" s="3" t="str">
        <f>IFERROR(__xludf.DUMMYFUNCTION("""COMPUTED_VALUE"""),"CAMPBELLFORD")</f>
        <v>CAMPBELLFORD</v>
      </c>
      <c r="D4553" s="3" t="str">
        <f>IFERROR(__xludf.DUMMYFUNCTION("""COMPUTED_VALUE"""),"K0L 1L0")</f>
        <v>K0L 1L0</v>
      </c>
      <c r="E4553" s="3" t="str">
        <f>IFERROR(__xludf.DUMMYFUNCTION("""COMPUTED_VALUE"""),"Ken Williamson")</f>
        <v>Ken Williamson</v>
      </c>
      <c r="F4553" s="3" t="str">
        <f>IFERROR(__xludf.DUMMYFUNCTION("""COMPUTED_VALUE"""),"kwill061@gmail.com")</f>
        <v>kwill061@gmail.com</v>
      </c>
      <c r="G4553" s="3">
        <f>IFERROR(__xludf.DUMMYFUNCTION("""COMPUTED_VALUE"""),7.055593804E9)</f>
        <v>7055593804</v>
      </c>
      <c r="H4553" s="3"/>
    </row>
    <row r="4554">
      <c r="A4554" s="2">
        <f>IFERROR(__xludf.DUMMYFUNCTION("""COMPUTED_VALUE"""),61262.0)</f>
        <v>61262</v>
      </c>
      <c r="B4554" s="3" t="str">
        <f>IFERROR(__xludf.DUMMYFUNCTION("""COMPUTED_VALUE"""),"15668 COUNTY 29 RD  ")</f>
        <v>15668 COUNTY 29 RD  </v>
      </c>
      <c r="C4554" s="3" t="str">
        <f>IFERROR(__xludf.DUMMYFUNCTION("""COMPUTED_VALUE"""),"CAMPBELLFORD")</f>
        <v>CAMPBELLFORD</v>
      </c>
      <c r="D4554" s="3" t="str">
        <f>IFERROR(__xludf.DUMMYFUNCTION("""COMPUTED_VALUE"""),"K0L 1L0")</f>
        <v>K0L 1L0</v>
      </c>
      <c r="E4554" s="3" t="str">
        <f>IFERROR(__xludf.DUMMYFUNCTION("""COMPUTED_VALUE"""),"Richelle Jean-Tobias")</f>
        <v>Richelle Jean-Tobias</v>
      </c>
      <c r="F4554" s="3" t="str">
        <f>IFERROR(__xludf.DUMMYFUNCTION("""COMPUTED_VALUE"""),"richellemccallum@hotmail.com")</f>
        <v>richellemccallum@hotmail.com</v>
      </c>
      <c r="G4554" s="3">
        <f>IFERROR(__xludf.DUMMYFUNCTION("""COMPUTED_VALUE"""),2.269660296E9)</f>
        <v>2269660296</v>
      </c>
      <c r="H4554" s="3"/>
    </row>
    <row r="4555">
      <c r="A4555" s="2">
        <f>IFERROR(__xludf.DUMMYFUNCTION("""COMPUTED_VALUE"""),61263.0)</f>
        <v>61263</v>
      </c>
      <c r="B4555" s="3" t="str">
        <f>IFERROR(__xludf.DUMMYFUNCTION("""COMPUTED_VALUE"""),"15673 COUNTY RD 29")</f>
        <v>15673 COUNTY RD 29</v>
      </c>
      <c r="C4555" s="3" t="str">
        <f>IFERROR(__xludf.DUMMYFUNCTION("""COMPUTED_VALUE"""),"CAMPBELLFORD")</f>
        <v>CAMPBELLFORD</v>
      </c>
      <c r="D4555" s="3" t="str">
        <f>IFERROR(__xludf.DUMMYFUNCTION("""COMPUTED_VALUE"""),"K0L 1L0")</f>
        <v>K0L 1L0</v>
      </c>
      <c r="E4555" s="3" t="str">
        <f>IFERROR(__xludf.DUMMYFUNCTION("""COMPUTED_VALUE"""),"C. Brian Findlay")</f>
        <v>C. Brian Findlay</v>
      </c>
      <c r="F4555" s="3" t="str">
        <f>IFERROR(__xludf.DUMMYFUNCTION("""COMPUTED_VALUE"""),"jannbrian2014@gmail.com")</f>
        <v>jannbrian2014@gmail.com</v>
      </c>
      <c r="G4555" s="3"/>
      <c r="H4555" s="3"/>
    </row>
    <row r="4556">
      <c r="A4556" s="2">
        <f>IFERROR(__xludf.DUMMYFUNCTION("""COMPUTED_VALUE"""),61264.0)</f>
        <v>61264</v>
      </c>
      <c r="B4556" s="3" t="str">
        <f>IFERROR(__xludf.DUMMYFUNCTION("""COMPUTED_VALUE"""),"15710 COUNTY RD 29")</f>
        <v>15710 COUNTY RD 29</v>
      </c>
      <c r="C4556" s="3" t="str">
        <f>IFERROR(__xludf.DUMMYFUNCTION("""COMPUTED_VALUE"""),"CAMPBELLFORD")</f>
        <v>CAMPBELLFORD</v>
      </c>
      <c r="D4556" s="3" t="str">
        <f>IFERROR(__xludf.DUMMYFUNCTION("""COMPUTED_VALUE"""),"K0L 1L0")</f>
        <v>K0L 1L0</v>
      </c>
      <c r="E4556" s="3" t="str">
        <f>IFERROR(__xludf.DUMMYFUNCTION("""COMPUTED_VALUE"""),"jenna james")</f>
        <v>jenna james</v>
      </c>
      <c r="F4556" s="3" t="str">
        <f>IFERROR(__xludf.DUMMYFUNCTION("""COMPUTED_VALUE"""),"jephgrave7@gmail.com")</f>
        <v>jephgrave7@gmail.com</v>
      </c>
      <c r="G4556" s="3">
        <f>IFERROR(__xludf.DUMMYFUNCTION("""COMPUTED_VALUE"""),5.878880623E9)</f>
        <v>5878880623</v>
      </c>
      <c r="H4556" s="3">
        <f>IFERROR(__xludf.DUMMYFUNCTION("""COMPUTED_VALUE"""),4.038889316E9)</f>
        <v>4038889316</v>
      </c>
    </row>
    <row r="4557">
      <c r="A4557" s="2">
        <f>IFERROR(__xludf.DUMMYFUNCTION("""COMPUTED_VALUE"""),61265.0)</f>
        <v>61265</v>
      </c>
      <c r="B4557" s="3" t="str">
        <f>IFERROR(__xludf.DUMMYFUNCTION("""COMPUTED_VALUE"""),"15721 COUNTY 29 RD  ")</f>
        <v>15721 COUNTY 29 RD  </v>
      </c>
      <c r="C4557" s="3" t="str">
        <f>IFERROR(__xludf.DUMMYFUNCTION("""COMPUTED_VALUE"""),"CAMPBELLFORD")</f>
        <v>CAMPBELLFORD</v>
      </c>
      <c r="D4557" s="3" t="str">
        <f>IFERROR(__xludf.DUMMYFUNCTION("""COMPUTED_VALUE"""),"K0L 1L0")</f>
        <v>K0L 1L0</v>
      </c>
      <c r="E4557" s="3" t="str">
        <f>IFERROR(__xludf.DUMMYFUNCTION("""COMPUTED_VALUE"""),"john and lynn finlay ")</f>
        <v>john and lynn finlay </v>
      </c>
      <c r="F4557" s="3" t="str">
        <f>IFERROR(__xludf.DUMMYFUNCTION("""COMPUTED_VALUE"""),"john.finlay@hotmail.com")</f>
        <v>john.finlay@hotmail.com</v>
      </c>
      <c r="G4557" s="3">
        <f>IFERROR(__xludf.DUMMYFUNCTION("""COMPUTED_VALUE"""),7.05924216E9)</f>
        <v>7059242160</v>
      </c>
      <c r="H4557" s="3"/>
    </row>
    <row r="4558">
      <c r="A4558" s="2">
        <f>IFERROR(__xludf.DUMMYFUNCTION("""COMPUTED_VALUE"""),61266.0)</f>
        <v>61266</v>
      </c>
      <c r="B4558" s="3" t="str">
        <f>IFERROR(__xludf.DUMMYFUNCTION("""COMPUTED_VALUE"""),"15766 COUNTY 29 RD  ")</f>
        <v>15766 COUNTY 29 RD  </v>
      </c>
      <c r="C4558" s="3" t="str">
        <f>IFERROR(__xludf.DUMMYFUNCTION("""COMPUTED_VALUE"""),"CAMPBELLFORD")</f>
        <v>CAMPBELLFORD</v>
      </c>
      <c r="D4558" s="3" t="str">
        <f>IFERROR(__xludf.DUMMYFUNCTION("""COMPUTED_VALUE"""),"K0L 1L0")</f>
        <v>K0L 1L0</v>
      </c>
      <c r="E4558" s="3" t="str">
        <f>IFERROR(__xludf.DUMMYFUNCTION("""COMPUTED_VALUE"""),"john spencer ")</f>
        <v>john spencer </v>
      </c>
      <c r="F4558" s="3" t="str">
        <f>IFERROR(__xludf.DUMMYFUNCTION("""COMPUTED_VALUE"""),"jspencer56164@hotmail.com")</f>
        <v>jspencer56164@hotmail.com</v>
      </c>
      <c r="G4558" s="3">
        <f>IFERROR(__xludf.DUMMYFUNCTION("""COMPUTED_VALUE"""),6.139226113E9)</f>
        <v>6139226113</v>
      </c>
      <c r="H4558" s="3"/>
    </row>
    <row r="4559">
      <c r="A4559" s="2">
        <f>IFERROR(__xludf.DUMMYFUNCTION("""COMPUTED_VALUE"""),61267.0)</f>
        <v>61267</v>
      </c>
      <c r="B4559" s="3" t="str">
        <f>IFERROR(__xludf.DUMMYFUNCTION("""COMPUTED_VALUE"""),"15774 COUNTY 29 RD  ")</f>
        <v>15774 COUNTY 29 RD  </v>
      </c>
      <c r="C4559" s="3" t="str">
        <f>IFERROR(__xludf.DUMMYFUNCTION("""COMPUTED_VALUE"""),"CAMPBELLFORD")</f>
        <v>CAMPBELLFORD</v>
      </c>
      <c r="D4559" s="3" t="str">
        <f>IFERROR(__xludf.DUMMYFUNCTION("""COMPUTED_VALUE"""),"K0L 1L0")</f>
        <v>K0L 1L0</v>
      </c>
      <c r="E4559" s="3"/>
      <c r="F4559" s="3"/>
      <c r="G4559" s="3"/>
      <c r="H4559" s="3"/>
    </row>
    <row r="4560">
      <c r="A4560" s="2">
        <f>IFERROR(__xludf.DUMMYFUNCTION("""COMPUTED_VALUE"""),61268.0)</f>
        <v>61268</v>
      </c>
      <c r="B4560" s="3" t="str">
        <f>IFERROR(__xludf.DUMMYFUNCTION("""COMPUTED_VALUE"""),"15818 COUNTY 29 RD  ")</f>
        <v>15818 COUNTY 29 RD  </v>
      </c>
      <c r="C4560" s="3" t="str">
        <f>IFERROR(__xludf.DUMMYFUNCTION("""COMPUTED_VALUE"""),"CAMPBELLFORD")</f>
        <v>CAMPBELLFORD</v>
      </c>
      <c r="D4560" s="3" t="str">
        <f>IFERROR(__xludf.DUMMYFUNCTION("""COMPUTED_VALUE"""),"K0L 1L0")</f>
        <v>K0L 1L0</v>
      </c>
      <c r="E4560" s="3" t="str">
        <f>IFERROR(__xludf.DUMMYFUNCTION("""COMPUTED_VALUE"""),"ron and vicki greenly ")</f>
        <v>ron and vicki greenly </v>
      </c>
      <c r="F4560" s="3" t="str">
        <f>IFERROR(__xludf.DUMMYFUNCTION("""COMPUTED_VALUE"""),"appyhorses.og@gmail.com")</f>
        <v>appyhorses.og@gmail.com</v>
      </c>
      <c r="G4560" s="3">
        <f>IFERROR(__xludf.DUMMYFUNCTION("""COMPUTED_VALUE"""),7.058727384E9)</f>
        <v>7058727384</v>
      </c>
      <c r="H4560" s="3">
        <f>IFERROR(__xludf.DUMMYFUNCTION("""COMPUTED_VALUE"""),7.058728462E9)</f>
        <v>7058728462</v>
      </c>
    </row>
    <row r="4561">
      <c r="A4561" s="2">
        <f>IFERROR(__xludf.DUMMYFUNCTION("""COMPUTED_VALUE"""),61270.0)</f>
        <v>61270</v>
      </c>
      <c r="B4561" s="3" t="str">
        <f>IFERROR(__xludf.DUMMYFUNCTION("""COMPUTED_VALUE"""),"15859 COUNTY 29 RD  ")</f>
        <v>15859 COUNTY 29 RD  </v>
      </c>
      <c r="C4561" s="3" t="str">
        <f>IFERROR(__xludf.DUMMYFUNCTION("""COMPUTED_VALUE"""),"CAMPBELLFORD")</f>
        <v>CAMPBELLFORD</v>
      </c>
      <c r="D4561" s="3" t="str">
        <f>IFERROR(__xludf.DUMMYFUNCTION("""COMPUTED_VALUE"""),"K0L 1L0")</f>
        <v>K0L 1L0</v>
      </c>
      <c r="E4561" s="3" t="str">
        <f>IFERROR(__xludf.DUMMYFUNCTION("""COMPUTED_VALUE"""),"gordon and grant clarke")</f>
        <v>gordon and grant clarke</v>
      </c>
      <c r="F4561" s="3"/>
      <c r="G4561" s="3">
        <f>IFERROR(__xludf.DUMMYFUNCTION("""COMPUTED_VALUE"""),7.05924307E9)</f>
        <v>7059243070</v>
      </c>
      <c r="H4561" s="3"/>
    </row>
    <row r="4562">
      <c r="A4562" s="2">
        <f>IFERROR(__xludf.DUMMYFUNCTION("""COMPUTED_VALUE"""),61271.0)</f>
        <v>61271</v>
      </c>
      <c r="B4562" s="3" t="str">
        <f>IFERROR(__xludf.DUMMYFUNCTION("""COMPUTED_VALUE"""),"15909 COUNTY 29 RD  ")</f>
        <v>15909 COUNTY 29 RD  </v>
      </c>
      <c r="C4562" s="3" t="str">
        <f>IFERROR(__xludf.DUMMYFUNCTION("""COMPUTED_VALUE"""),"CAMPBELLFORD")</f>
        <v>CAMPBELLFORD</v>
      </c>
      <c r="D4562" s="3" t="str">
        <f>IFERROR(__xludf.DUMMYFUNCTION("""COMPUTED_VALUE"""),"K0L 1L0")</f>
        <v>K0L 1L0</v>
      </c>
      <c r="E4562" s="3"/>
      <c r="F4562" s="3"/>
      <c r="G4562" s="3"/>
      <c r="H4562" s="3"/>
    </row>
    <row r="4563">
      <c r="A4563" s="2">
        <f>IFERROR(__xludf.DUMMYFUNCTION("""COMPUTED_VALUE"""),61273.0)</f>
        <v>61273</v>
      </c>
      <c r="B4563" s="3" t="str">
        <f>IFERROR(__xludf.DUMMYFUNCTION("""COMPUTED_VALUE"""),"3698 COUNTY 30 RD  ")</f>
        <v>3698 COUNTY 30 RD  </v>
      </c>
      <c r="C4563" s="3" t="str">
        <f>IFERROR(__xludf.DUMMYFUNCTION("""COMPUTED_VALUE"""),"CODRINGTON")</f>
        <v>CODRINGTON</v>
      </c>
      <c r="D4563" s="3" t="str">
        <f>IFERROR(__xludf.DUMMYFUNCTION("""COMPUTED_VALUE"""),"K0K 1R0")</f>
        <v>K0K 1R0</v>
      </c>
      <c r="E4563" s="3"/>
      <c r="F4563" s="3"/>
      <c r="G4563" s="3"/>
      <c r="H4563" s="3"/>
    </row>
    <row r="4564">
      <c r="A4564" s="2">
        <f>IFERROR(__xludf.DUMMYFUNCTION("""COMPUTED_VALUE"""),61274.0)</f>
        <v>61274</v>
      </c>
      <c r="B4564" s="3" t="str">
        <f>IFERROR(__xludf.DUMMYFUNCTION("""COMPUTED_VALUE"""),"3752 COUNTY 30 RD  ")</f>
        <v>3752 COUNTY 30 RD  </v>
      </c>
      <c r="C4564" s="3" t="str">
        <f>IFERROR(__xludf.DUMMYFUNCTION("""COMPUTED_VALUE"""),"CODRINGTON")</f>
        <v>CODRINGTON</v>
      </c>
      <c r="D4564" s="3" t="str">
        <f>IFERROR(__xludf.DUMMYFUNCTION("""COMPUTED_VALUE"""),"K0K 1R0")</f>
        <v>K0K 1R0</v>
      </c>
      <c r="E4564" s="3"/>
      <c r="F4564" s="3"/>
      <c r="G4564" s="3"/>
      <c r="H4564" s="3"/>
    </row>
    <row r="4565">
      <c r="A4565" s="2">
        <f>IFERROR(__xludf.DUMMYFUNCTION("""COMPUTED_VALUE"""),61275.0)</f>
        <v>61275</v>
      </c>
      <c r="B4565" s="3" t="str">
        <f>IFERROR(__xludf.DUMMYFUNCTION("""COMPUTED_VALUE"""),"3810 COUNTY 30 RD  ")</f>
        <v>3810 COUNTY 30 RD  </v>
      </c>
      <c r="C4565" s="3" t="str">
        <f>IFERROR(__xludf.DUMMYFUNCTION("""COMPUTED_VALUE"""),"CODRINGTON")</f>
        <v>CODRINGTON</v>
      </c>
      <c r="D4565" s="3" t="str">
        <f>IFERROR(__xludf.DUMMYFUNCTION("""COMPUTED_VALUE"""),"K0K 1R0")</f>
        <v>K0K 1R0</v>
      </c>
      <c r="E4565" s="3"/>
      <c r="F4565" s="3"/>
      <c r="G4565" s="3"/>
      <c r="H4565" s="3"/>
    </row>
    <row r="4566">
      <c r="A4566" s="2">
        <f>IFERROR(__xludf.DUMMYFUNCTION("""COMPUTED_VALUE"""),61276.0)</f>
        <v>61276</v>
      </c>
      <c r="B4566" s="3" t="str">
        <f>IFERROR(__xludf.DUMMYFUNCTION("""COMPUTED_VALUE"""),"3902 COUNTY RD 30")</f>
        <v>3902 COUNTY RD 30</v>
      </c>
      <c r="C4566" s="3"/>
      <c r="D4566" s="3"/>
      <c r="E4566" s="3"/>
      <c r="F4566" s="3"/>
      <c r="G4566" s="3"/>
      <c r="H4566" s="3"/>
    </row>
    <row r="4567">
      <c r="A4567" s="2">
        <f>IFERROR(__xludf.DUMMYFUNCTION("""COMPUTED_VALUE"""),61277.0)</f>
        <v>61277</v>
      </c>
      <c r="B4567" s="3" t="str">
        <f>IFERROR(__xludf.DUMMYFUNCTION("""COMPUTED_VALUE"""),"3985 COUNTY 30 RD  ")</f>
        <v>3985 COUNTY 30 RD  </v>
      </c>
      <c r="C4567" s="3" t="str">
        <f>IFERROR(__xludf.DUMMYFUNCTION("""COMPUTED_VALUE"""),"WARKWORTH")</f>
        <v>WARKWORTH</v>
      </c>
      <c r="D4567" s="3" t="str">
        <f>IFERROR(__xludf.DUMMYFUNCTION("""COMPUTED_VALUE"""),"K0K 3K0")</f>
        <v>K0K 3K0</v>
      </c>
      <c r="E4567" s="3" t="str">
        <f>IFERROR(__xludf.DUMMYFUNCTION("""COMPUTED_VALUE"""),"billl seguire ")</f>
        <v>billl seguire </v>
      </c>
      <c r="F4567" s="3" t="str">
        <f>IFERROR(__xludf.DUMMYFUNCTION("""COMPUTED_VALUE"""),"jseguire@icloud.com")</f>
        <v>jseguire@icloud.com</v>
      </c>
      <c r="G4567" s="3">
        <f>IFERROR(__xludf.DUMMYFUNCTION("""COMPUTED_VALUE"""),7.0532123747E10)</f>
        <v>70532123747</v>
      </c>
      <c r="H4567" s="3"/>
    </row>
    <row r="4568">
      <c r="A4568" s="2">
        <f>IFERROR(__xludf.DUMMYFUNCTION("""COMPUTED_VALUE"""),61278.0)</f>
        <v>61278</v>
      </c>
      <c r="B4568" s="3" t="str">
        <f>IFERROR(__xludf.DUMMYFUNCTION("""COMPUTED_VALUE"""),"4007 COUNTY 30 RD  ")</f>
        <v>4007 COUNTY 30 RD  </v>
      </c>
      <c r="C4568" s="3" t="str">
        <f>IFERROR(__xludf.DUMMYFUNCTION("""COMPUTED_VALUE"""),"WARKWORTH")</f>
        <v>WARKWORTH</v>
      </c>
      <c r="D4568" s="3" t="str">
        <f>IFERROR(__xludf.DUMMYFUNCTION("""COMPUTED_VALUE"""),"K0K 3K0")</f>
        <v>K0K 3K0</v>
      </c>
      <c r="E4568" s="3" t="str">
        <f>IFERROR(__xludf.DUMMYFUNCTION("""COMPUTED_VALUE"""),"John Seguire")</f>
        <v>John Seguire</v>
      </c>
      <c r="F4568" s="3" t="str">
        <f>IFERROR(__xludf.DUMMYFUNCTION("""COMPUTED_VALUE"""),"jseguire@icloud.com")</f>
        <v>jseguire@icloud.com</v>
      </c>
      <c r="G4568" s="3">
        <f>IFERROR(__xludf.DUMMYFUNCTION("""COMPUTED_VALUE"""),7.053123747E9)</f>
        <v>7053123747</v>
      </c>
      <c r="H4568" s="3"/>
    </row>
    <row r="4569">
      <c r="A4569" s="2">
        <f>IFERROR(__xludf.DUMMYFUNCTION("""COMPUTED_VALUE"""),61279.0)</f>
        <v>61279</v>
      </c>
      <c r="B4569" s="3" t="str">
        <f>IFERROR(__xludf.DUMMYFUNCTION("""COMPUTED_VALUE"""),"4020 COUNTY 30 RD  ")</f>
        <v>4020 COUNTY 30 RD  </v>
      </c>
      <c r="C4569" s="3" t="str">
        <f>IFERROR(__xludf.DUMMYFUNCTION("""COMPUTED_VALUE"""),"WARKWORTH")</f>
        <v>WARKWORTH</v>
      </c>
      <c r="D4569" s="3" t="str">
        <f>IFERROR(__xludf.DUMMYFUNCTION("""COMPUTED_VALUE"""),"K0K 3K0")</f>
        <v>K0K 3K0</v>
      </c>
      <c r="E4569" s="3" t="str">
        <f>IFERROR(__xludf.DUMMYFUNCTION("""COMPUTED_VALUE"""),"maunel jeronimo")</f>
        <v>maunel jeronimo</v>
      </c>
      <c r="F4569" s="3" t="str">
        <f>IFERROR(__xludf.DUMMYFUNCTION("""COMPUTED_VALUE"""),"info@golfpineridge.net")</f>
        <v>info@golfpineridge.net</v>
      </c>
      <c r="G4569" s="3">
        <f>IFERROR(__xludf.DUMMYFUNCTION("""COMPUTED_VALUE"""),7.059242687E9)</f>
        <v>7059242687</v>
      </c>
      <c r="H4569" s="3">
        <f>IFERROR(__xludf.DUMMYFUNCTION("""COMPUTED_VALUE"""),4.167047656E9)</f>
        <v>4167047656</v>
      </c>
    </row>
    <row r="4570">
      <c r="A4570" s="2">
        <f>IFERROR(__xludf.DUMMYFUNCTION("""COMPUTED_VALUE"""),61280.0)</f>
        <v>61280</v>
      </c>
      <c r="B4570" s="3" t="str">
        <f>IFERROR(__xludf.DUMMYFUNCTION("""COMPUTED_VALUE"""),"4032 COUNTY 30 RD  ")</f>
        <v>4032 COUNTY 30 RD  </v>
      </c>
      <c r="C4570" s="3" t="str">
        <f>IFERROR(__xludf.DUMMYFUNCTION("""COMPUTED_VALUE"""),"WARKWORTH")</f>
        <v>WARKWORTH</v>
      </c>
      <c r="D4570" s="3" t="str">
        <f>IFERROR(__xludf.DUMMYFUNCTION("""COMPUTED_VALUE"""),"K0K 3K0")</f>
        <v>K0K 3K0</v>
      </c>
      <c r="E4570" s="3" t="str">
        <f>IFERROR(__xludf.DUMMYFUNCTION("""COMPUTED_VALUE"""),"darran ingram ")</f>
        <v>darran ingram </v>
      </c>
      <c r="F4570" s="3" t="str">
        <f>IFERROR(__xludf.DUMMYFUNCTION("""COMPUTED_VALUE"""),"terrikelleher42@gmail.com")</f>
        <v>terrikelleher42@gmail.com</v>
      </c>
      <c r="G4570" s="3">
        <f>IFERROR(__xludf.DUMMYFUNCTION("""COMPUTED_VALUE"""),7.058900033E9)</f>
        <v>7058900033</v>
      </c>
      <c r="H4570" s="3"/>
    </row>
    <row r="4571">
      <c r="A4571" s="2">
        <f>IFERROR(__xludf.DUMMYFUNCTION("""COMPUTED_VALUE"""),61281.0)</f>
        <v>61281</v>
      </c>
      <c r="B4571" s="3" t="str">
        <f>IFERROR(__xludf.DUMMYFUNCTION("""COMPUTED_VALUE"""),"4146 COUNTY 30 RD  ")</f>
        <v>4146 COUNTY 30 RD  </v>
      </c>
      <c r="C4571" s="3" t="str">
        <f>IFERROR(__xludf.DUMMYFUNCTION("""COMPUTED_VALUE"""),"WARKWORTH")</f>
        <v>WARKWORTH</v>
      </c>
      <c r="D4571" s="3" t="str">
        <f>IFERROR(__xludf.DUMMYFUNCTION("""COMPUTED_VALUE"""),"K0K 3K0")</f>
        <v>K0K 3K0</v>
      </c>
      <c r="E4571" s="3"/>
      <c r="F4571" s="3"/>
      <c r="G4571" s="3"/>
      <c r="H4571" s="3"/>
    </row>
    <row r="4572">
      <c r="A4572" s="2">
        <f>IFERROR(__xludf.DUMMYFUNCTION("""COMPUTED_VALUE"""),61282.0)</f>
        <v>61282</v>
      </c>
      <c r="B4572" s="3" t="str">
        <f>IFERROR(__xludf.DUMMYFUNCTION("""COMPUTED_VALUE"""),"4154 COUNTY 30 RD  ")</f>
        <v>4154 COUNTY 30 RD  </v>
      </c>
      <c r="C4572" s="3" t="str">
        <f>IFERROR(__xludf.DUMMYFUNCTION("""COMPUTED_VALUE"""),"WARKWORTH")</f>
        <v>WARKWORTH</v>
      </c>
      <c r="D4572" s="3" t="str">
        <f>IFERROR(__xludf.DUMMYFUNCTION("""COMPUTED_VALUE"""),"K0K 3K0")</f>
        <v>K0K 3K0</v>
      </c>
      <c r="E4572" s="3" t="str">
        <f>IFERROR(__xludf.DUMMYFUNCTION("""COMPUTED_VALUE"""),"Donna Teixeira")</f>
        <v>Donna Teixeira</v>
      </c>
      <c r="F4572" s="3" t="str">
        <f>IFERROR(__xludf.DUMMYFUNCTION("""COMPUTED_VALUE"""),"dteixeira10@hotmail.com")</f>
        <v>dteixeira10@hotmail.com</v>
      </c>
      <c r="G4572" s="3">
        <f>IFERROR(__xludf.DUMMYFUNCTION("""COMPUTED_VALUE"""),9.059264574E9)</f>
        <v>9059264574</v>
      </c>
      <c r="H4572" s="3">
        <f>IFERROR(__xludf.DUMMYFUNCTION("""COMPUTED_VALUE"""),9.054420342E9)</f>
        <v>9054420342</v>
      </c>
    </row>
    <row r="4573">
      <c r="A4573" s="2">
        <f>IFERROR(__xludf.DUMMYFUNCTION("""COMPUTED_VALUE"""),61283.0)</f>
        <v>61283</v>
      </c>
      <c r="B4573" s="3" t="str">
        <f>IFERROR(__xludf.DUMMYFUNCTION("""COMPUTED_VALUE"""),"4162 COUNTY 30 RD  ")</f>
        <v>4162 COUNTY 30 RD  </v>
      </c>
      <c r="C4573" s="3" t="str">
        <f>IFERROR(__xludf.DUMMYFUNCTION("""COMPUTED_VALUE"""),"WARKWORTH")</f>
        <v>WARKWORTH</v>
      </c>
      <c r="D4573" s="3" t="str">
        <f>IFERROR(__xludf.DUMMYFUNCTION("""COMPUTED_VALUE"""),"K0K 3K0")</f>
        <v>K0K 3K0</v>
      </c>
      <c r="E4573" s="3" t="str">
        <f>IFERROR(__xludf.DUMMYFUNCTION("""COMPUTED_VALUE"""),"cheryl meekes")</f>
        <v>cheryl meekes</v>
      </c>
      <c r="F4573" s="3" t="str">
        <f>IFERROR(__xludf.DUMMYFUNCTION("""COMPUTED_VALUE"""),"cherylmeekes@gmail.com")</f>
        <v>cherylmeekes@gmail.com</v>
      </c>
      <c r="G4573" s="3">
        <f>IFERROR(__xludf.DUMMYFUNCTION("""COMPUTED_VALUE"""),7.059249918E9)</f>
        <v>7059249918</v>
      </c>
      <c r="H4573" s="3"/>
    </row>
    <row r="4574">
      <c r="A4574" s="2">
        <f>IFERROR(__xludf.DUMMYFUNCTION("""COMPUTED_VALUE"""),61284.0)</f>
        <v>61284</v>
      </c>
      <c r="B4574" s="3" t="str">
        <f>IFERROR(__xludf.DUMMYFUNCTION("""COMPUTED_VALUE"""),"4170 COUNTY 30 RD  ")</f>
        <v>4170 COUNTY 30 RD  </v>
      </c>
      <c r="C4574" s="3" t="str">
        <f>IFERROR(__xludf.DUMMYFUNCTION("""COMPUTED_VALUE"""),"WARKWORTH")</f>
        <v>WARKWORTH</v>
      </c>
      <c r="D4574" s="3" t="str">
        <f>IFERROR(__xludf.DUMMYFUNCTION("""COMPUTED_VALUE"""),"K0K 3K0")</f>
        <v>K0K 3K0</v>
      </c>
      <c r="E4574" s="3" t="str">
        <f>IFERROR(__xludf.DUMMYFUNCTION("""COMPUTED_VALUE"""),"adrienne murphy")</f>
        <v>adrienne murphy</v>
      </c>
      <c r="F4574" s="3" t="str">
        <f>IFERROR(__xludf.DUMMYFUNCTION("""COMPUTED_VALUE"""),"adrcharmurphy@yahoo.ca")</f>
        <v>adrcharmurphy@yahoo.ca</v>
      </c>
      <c r="G4574" s="3">
        <f>IFERROR(__xludf.DUMMYFUNCTION("""COMPUTED_VALUE"""),7.053133621E9)</f>
        <v>7053133621</v>
      </c>
      <c r="H4574" s="3">
        <f>IFERROR(__xludf.DUMMYFUNCTION("""COMPUTED_VALUE"""),7.057220911E9)</f>
        <v>7057220911</v>
      </c>
    </row>
    <row r="4575">
      <c r="A4575" s="2">
        <f>IFERROR(__xludf.DUMMYFUNCTION("""COMPUTED_VALUE"""),61285.0)</f>
        <v>61285</v>
      </c>
      <c r="B4575" s="3" t="str">
        <f>IFERROR(__xludf.DUMMYFUNCTION("""COMPUTED_VALUE"""),"4289 COUNTY 30 RD  ")</f>
        <v>4289 COUNTY 30 RD  </v>
      </c>
      <c r="C4575" s="3" t="str">
        <f>IFERROR(__xludf.DUMMYFUNCTION("""COMPUTED_VALUE"""),"CAMPBELLFORD")</f>
        <v>CAMPBELLFORD</v>
      </c>
      <c r="D4575" s="3" t="str">
        <f>IFERROR(__xludf.DUMMYFUNCTION("""COMPUTED_VALUE"""),"K0L 1L0")</f>
        <v>K0L 1L0</v>
      </c>
      <c r="E4575" s="3" t="str">
        <f>IFERROR(__xludf.DUMMYFUNCTION("""COMPUTED_VALUE"""),"andy thompson")</f>
        <v>andy thompson</v>
      </c>
      <c r="F4575" s="3" t="str">
        <f>IFERROR(__xludf.DUMMYFUNCTION("""COMPUTED_VALUE"""),"natduck@gmail.com")</f>
        <v>natduck@gmail.com</v>
      </c>
      <c r="G4575" s="3">
        <f>IFERROR(__xludf.DUMMYFUNCTION("""COMPUTED_VALUE"""),7.056326105E9)</f>
        <v>7056326105</v>
      </c>
      <c r="H4575" s="3"/>
    </row>
    <row r="4576">
      <c r="A4576" s="2">
        <f>IFERROR(__xludf.DUMMYFUNCTION("""COMPUTED_VALUE"""),61220.0)</f>
        <v>61220</v>
      </c>
      <c r="B4576" s="3" t="str">
        <f>IFERROR(__xludf.DUMMYFUNCTION("""COMPUTED_VALUE"""),"13673 COUNTY 29 RD  ")</f>
        <v>13673 COUNTY 29 RD  </v>
      </c>
      <c r="C4576" s="3" t="str">
        <f>IFERROR(__xludf.DUMMYFUNCTION("""COMPUTED_VALUE"""),"WARKWORTH")</f>
        <v>WARKWORTH</v>
      </c>
      <c r="D4576" s="3" t="str">
        <f>IFERROR(__xludf.DUMMYFUNCTION("""COMPUTED_VALUE"""),"K0K 3K0")</f>
        <v>K0K 3K0</v>
      </c>
      <c r="E4576" s="3"/>
      <c r="F4576" s="3"/>
      <c r="G4576" s="3"/>
      <c r="H4576" s="3"/>
    </row>
    <row r="4577">
      <c r="A4577" s="2">
        <f>IFERROR(__xludf.DUMMYFUNCTION("""COMPUTED_VALUE"""),61221.0)</f>
        <v>61221</v>
      </c>
      <c r="B4577" s="3" t="str">
        <f>IFERROR(__xludf.DUMMYFUNCTION("""COMPUTED_VALUE"""),"13690 COUNTY 29 RD  ")</f>
        <v>13690 COUNTY 29 RD  </v>
      </c>
      <c r="C4577" s="3" t="str">
        <f>IFERROR(__xludf.DUMMYFUNCTION("""COMPUTED_VALUE"""),"WARKWORTH")</f>
        <v>WARKWORTH</v>
      </c>
      <c r="D4577" s="3" t="str">
        <f>IFERROR(__xludf.DUMMYFUNCTION("""COMPUTED_VALUE"""),"K0K 3K0")</f>
        <v>K0K 3K0</v>
      </c>
      <c r="E4577" s="3"/>
      <c r="F4577" s="3"/>
      <c r="G4577" s="3"/>
      <c r="H4577" s="3"/>
    </row>
    <row r="4578">
      <c r="A4578" s="2">
        <f>IFERROR(__xludf.DUMMYFUNCTION("""COMPUTED_VALUE"""),61222.0)</f>
        <v>61222</v>
      </c>
      <c r="B4578" s="3" t="str">
        <f>IFERROR(__xludf.DUMMYFUNCTION("""COMPUTED_VALUE"""),"13697 COUNTY 29 RD  ")</f>
        <v>13697 COUNTY 29 RD  </v>
      </c>
      <c r="C4578" s="3" t="str">
        <f>IFERROR(__xludf.DUMMYFUNCTION("""COMPUTED_VALUE"""),"WARKWORTH")</f>
        <v>WARKWORTH</v>
      </c>
      <c r="D4578" s="3" t="str">
        <f>IFERROR(__xludf.DUMMYFUNCTION("""COMPUTED_VALUE"""),"K0K 3K0")</f>
        <v>K0K 3K0</v>
      </c>
      <c r="E4578" s="3"/>
      <c r="F4578" s="3"/>
      <c r="G4578" s="3"/>
      <c r="H4578" s="3"/>
    </row>
    <row r="4579">
      <c r="A4579" s="2">
        <f>IFERROR(__xludf.DUMMYFUNCTION("""COMPUTED_VALUE"""),61223.0)</f>
        <v>61223</v>
      </c>
      <c r="B4579" s="3" t="str">
        <f>IFERROR(__xludf.DUMMYFUNCTION("""COMPUTED_VALUE"""),"13704 COUNTY 29 RD  ")</f>
        <v>13704 COUNTY 29 RD  </v>
      </c>
      <c r="C4579" s="3" t="str">
        <f>IFERROR(__xludf.DUMMYFUNCTION("""COMPUTED_VALUE"""),"WARKWORTH")</f>
        <v>WARKWORTH</v>
      </c>
      <c r="D4579" s="3" t="str">
        <f>IFERROR(__xludf.DUMMYFUNCTION("""COMPUTED_VALUE"""),"K0K 3K0")</f>
        <v>K0K 3K0</v>
      </c>
      <c r="E4579" s="3"/>
      <c r="F4579" s="3"/>
      <c r="G4579" s="3"/>
      <c r="H4579" s="3"/>
    </row>
    <row r="4580">
      <c r="A4580" s="2">
        <f>IFERROR(__xludf.DUMMYFUNCTION("""COMPUTED_VALUE"""),61224.0)</f>
        <v>61224</v>
      </c>
      <c r="B4580" s="3" t="str">
        <f>IFERROR(__xludf.DUMMYFUNCTION("""COMPUTED_VALUE"""),"13705 COUNTY 29 RD  ")</f>
        <v>13705 COUNTY 29 RD  </v>
      </c>
      <c r="C4580" s="3" t="str">
        <f>IFERROR(__xludf.DUMMYFUNCTION("""COMPUTED_VALUE"""),"WARKWORTH")</f>
        <v>WARKWORTH</v>
      </c>
      <c r="D4580" s="3" t="str">
        <f>IFERROR(__xludf.DUMMYFUNCTION("""COMPUTED_VALUE"""),"K0K 3K0")</f>
        <v>K0K 3K0</v>
      </c>
      <c r="E4580" s="3"/>
      <c r="F4580" s="3"/>
      <c r="G4580" s="3"/>
      <c r="H4580" s="3"/>
    </row>
    <row r="4581">
      <c r="A4581" s="2">
        <f>IFERROR(__xludf.DUMMYFUNCTION("""COMPUTED_VALUE"""),61225.0)</f>
        <v>61225</v>
      </c>
      <c r="B4581" s="3" t="str">
        <f>IFERROR(__xludf.DUMMYFUNCTION("""COMPUTED_VALUE"""),"13708 COUNTY 29 RD  ")</f>
        <v>13708 COUNTY 29 RD  </v>
      </c>
      <c r="C4581" s="3" t="str">
        <f>IFERROR(__xludf.DUMMYFUNCTION("""COMPUTED_VALUE"""),"WARKWORTH")</f>
        <v>WARKWORTH</v>
      </c>
      <c r="D4581" s="3" t="str">
        <f>IFERROR(__xludf.DUMMYFUNCTION("""COMPUTED_VALUE"""),"K0K 3K0")</f>
        <v>K0K 3K0</v>
      </c>
      <c r="E4581" s="3" t="str">
        <f>IFERROR(__xludf.DUMMYFUNCTION("""COMPUTED_VALUE"""),"Janet &amp; Ron Wickett")</f>
        <v>Janet &amp; Ron Wickett</v>
      </c>
      <c r="F4581" s="3" t="str">
        <f>IFERROR(__xludf.DUMMYFUNCTION("""COMPUTED_VALUE"""),"janwik224@gmail.com")</f>
        <v>janwik224@gmail.com</v>
      </c>
      <c r="G4581" s="3"/>
      <c r="H4581" s="3"/>
    </row>
    <row r="4582">
      <c r="A4582" s="2">
        <f>IFERROR(__xludf.DUMMYFUNCTION("""COMPUTED_VALUE"""),61226.0)</f>
        <v>61226</v>
      </c>
      <c r="B4582" s="3" t="str">
        <f>IFERROR(__xludf.DUMMYFUNCTION("""COMPUTED_VALUE"""),"13711 COUNTY 29 RD  ")</f>
        <v>13711 COUNTY 29 RD  </v>
      </c>
      <c r="C4582" s="3" t="str">
        <f>IFERROR(__xludf.DUMMYFUNCTION("""COMPUTED_VALUE"""),"WARKWORTH")</f>
        <v>WARKWORTH</v>
      </c>
      <c r="D4582" s="3" t="str">
        <f>IFERROR(__xludf.DUMMYFUNCTION("""COMPUTED_VALUE"""),"K0K 3K0")</f>
        <v>K0K 3K0</v>
      </c>
      <c r="E4582" s="3" t="str">
        <f>IFERROR(__xludf.DUMMYFUNCTION("""COMPUTED_VALUE"""),"Lisa Allanson")</f>
        <v>Lisa Allanson</v>
      </c>
      <c r="F4582" s="3" t="str">
        <f>IFERROR(__xludf.DUMMYFUNCTION("""COMPUTED_VALUE"""),"allansons.4@gmail.com")</f>
        <v>allansons.4@gmail.com</v>
      </c>
      <c r="G4582" s="3">
        <f>IFERROR(__xludf.DUMMYFUNCTION("""COMPUTED_VALUE"""),7.057613769E9)</f>
        <v>7057613769</v>
      </c>
      <c r="H4582" s="3"/>
    </row>
    <row r="4583">
      <c r="A4583" s="2">
        <f>IFERROR(__xludf.DUMMYFUNCTION("""COMPUTED_VALUE"""),61227.0)</f>
        <v>61227</v>
      </c>
      <c r="B4583" s="3" t="str">
        <f>IFERROR(__xludf.DUMMYFUNCTION("""COMPUTED_VALUE"""),"13713 COUNTY 29 RD  ")</f>
        <v>13713 COUNTY 29 RD  </v>
      </c>
      <c r="C4583" s="3" t="str">
        <f>IFERROR(__xludf.DUMMYFUNCTION("""COMPUTED_VALUE"""),"WARKWORTH")</f>
        <v>WARKWORTH</v>
      </c>
      <c r="D4583" s="3" t="str">
        <f>IFERROR(__xludf.DUMMYFUNCTION("""COMPUTED_VALUE"""),"K0K 3K0")</f>
        <v>K0K 3K0</v>
      </c>
      <c r="E4583" s="3" t="str">
        <f>IFERROR(__xludf.DUMMYFUNCTION("""COMPUTED_VALUE"""),"JULIE HAY")</f>
        <v>JULIE HAY</v>
      </c>
      <c r="F4583" s="3" t="str">
        <f>IFERROR(__xludf.DUMMYFUNCTION("""COMPUTED_VALUE"""),"j_ellis24@hotmail.com")</f>
        <v>j_ellis24@hotmail.com</v>
      </c>
      <c r="G4583" s="3"/>
      <c r="H4583" s="3"/>
    </row>
    <row r="4584">
      <c r="A4584" s="2">
        <f>IFERROR(__xludf.DUMMYFUNCTION("""COMPUTED_VALUE"""),61228.0)</f>
        <v>61228</v>
      </c>
      <c r="B4584" s="3" t="str">
        <f>IFERROR(__xludf.DUMMYFUNCTION("""COMPUTED_VALUE"""),"13714 COUNTY 29 RD  ")</f>
        <v>13714 COUNTY 29 RD  </v>
      </c>
      <c r="C4584" s="3" t="str">
        <f>IFERROR(__xludf.DUMMYFUNCTION("""COMPUTED_VALUE"""),"WARKWORTH")</f>
        <v>WARKWORTH</v>
      </c>
      <c r="D4584" s="3" t="str">
        <f>IFERROR(__xludf.DUMMYFUNCTION("""COMPUTED_VALUE"""),"K0K 3K0")</f>
        <v>K0K 3K0</v>
      </c>
      <c r="E4584" s="3" t="str">
        <f>IFERROR(__xludf.DUMMYFUNCTION("""COMPUTED_VALUE"""),"William B Reid")</f>
        <v>William B Reid</v>
      </c>
      <c r="F4584" s="3" t="str">
        <f>IFERROR(__xludf.DUMMYFUNCTION("""COMPUTED_VALUE"""),"williamreid597@gmail.com")</f>
        <v>williamreid597@gmail.com</v>
      </c>
      <c r="G4584" s="3">
        <f>IFERROR(__xludf.DUMMYFUNCTION("""COMPUTED_VALUE"""),7.059579007E9)</f>
        <v>7059579007</v>
      </c>
      <c r="H4584" s="3"/>
    </row>
    <row r="4585">
      <c r="A4585" s="2">
        <f>IFERROR(__xludf.DUMMYFUNCTION("""COMPUTED_VALUE"""),61229.0)</f>
        <v>61229</v>
      </c>
      <c r="B4585" s="3" t="str">
        <f>IFERROR(__xludf.DUMMYFUNCTION("""COMPUTED_VALUE"""),"13716 COUNTY 29 RD  ")</f>
        <v>13716 COUNTY 29 RD  </v>
      </c>
      <c r="C4585" s="3" t="str">
        <f>IFERROR(__xludf.DUMMYFUNCTION("""COMPUTED_VALUE"""),"WARKWORTH")</f>
        <v>WARKWORTH</v>
      </c>
      <c r="D4585" s="3" t="str">
        <f>IFERROR(__xludf.DUMMYFUNCTION("""COMPUTED_VALUE"""),"K0K 3K0")</f>
        <v>K0K 3K0</v>
      </c>
      <c r="E4585" s="3"/>
      <c r="F4585" s="3"/>
      <c r="G4585" s="3"/>
      <c r="H4585" s="3"/>
    </row>
    <row r="4586">
      <c r="A4586" s="2">
        <f>IFERROR(__xludf.DUMMYFUNCTION("""COMPUTED_VALUE"""),61230.0)</f>
        <v>61230</v>
      </c>
      <c r="B4586" s="3" t="str">
        <f>IFERROR(__xludf.DUMMYFUNCTION("""COMPUTED_VALUE"""),"13717 COUNTY 29 RD  ")</f>
        <v>13717 COUNTY 29 RD  </v>
      </c>
      <c r="C4586" s="3" t="str">
        <f>IFERROR(__xludf.DUMMYFUNCTION("""COMPUTED_VALUE"""),"WARKWORTH")</f>
        <v>WARKWORTH</v>
      </c>
      <c r="D4586" s="3" t="str">
        <f>IFERROR(__xludf.DUMMYFUNCTION("""COMPUTED_VALUE"""),"K0K 3K0")</f>
        <v>K0K 3K0</v>
      </c>
      <c r="E4586" s="3" t="str">
        <f>IFERROR(__xludf.DUMMYFUNCTION("""COMPUTED_VALUE"""),"stephen allen ")</f>
        <v>stephen allen </v>
      </c>
      <c r="F4586" s="3" t="str">
        <f>IFERROR(__xludf.DUMMYFUNCTION("""COMPUTED_VALUE"""),"portallen1408@hotmail.com")</f>
        <v>portallen1408@hotmail.com</v>
      </c>
      <c r="G4586" s="3">
        <f>IFERROR(__xludf.DUMMYFUNCTION("""COMPUTED_VALUE"""),7.057689905E9)</f>
        <v>7057689905</v>
      </c>
      <c r="H4586" s="3"/>
    </row>
    <row r="4587">
      <c r="A4587" s="2">
        <f>IFERROR(__xludf.DUMMYFUNCTION("""COMPUTED_VALUE"""),61231.0)</f>
        <v>61231</v>
      </c>
      <c r="B4587" s="3" t="str">
        <f>IFERROR(__xludf.DUMMYFUNCTION("""COMPUTED_VALUE"""),"13723 COUNTY 29 RD  ")</f>
        <v>13723 COUNTY 29 RD  </v>
      </c>
      <c r="C4587" s="3" t="str">
        <f>IFERROR(__xludf.DUMMYFUNCTION("""COMPUTED_VALUE"""),"WARKWORTH")</f>
        <v>WARKWORTH</v>
      </c>
      <c r="D4587" s="3" t="str">
        <f>IFERROR(__xludf.DUMMYFUNCTION("""COMPUTED_VALUE"""),"K0K 3K0")</f>
        <v>K0K 3K0</v>
      </c>
      <c r="E4587" s="3" t="str">
        <f>IFERROR(__xludf.DUMMYFUNCTION("""COMPUTED_VALUE"""),"john and darlene hare ")</f>
        <v>john and darlene hare </v>
      </c>
      <c r="F4587" s="3" t="str">
        <f>IFERROR(__xludf.DUMMYFUNCTION("""COMPUTED_VALUE"""),"lilhare_1@hotmail.com")</f>
        <v>lilhare_1@hotmail.com</v>
      </c>
      <c r="G4587" s="3">
        <f>IFERROR(__xludf.DUMMYFUNCTION("""COMPUTED_VALUE"""),7.057637133E9)</f>
        <v>7057637133</v>
      </c>
      <c r="H4587" s="3"/>
    </row>
    <row r="4588">
      <c r="A4588" s="2">
        <f>IFERROR(__xludf.DUMMYFUNCTION("""COMPUTED_VALUE"""),61232.0)</f>
        <v>61232</v>
      </c>
      <c r="B4588" s="3" t="str">
        <f>IFERROR(__xludf.DUMMYFUNCTION("""COMPUTED_VALUE"""),"13727 COUNTY 29 RD  ")</f>
        <v>13727 COUNTY 29 RD  </v>
      </c>
      <c r="C4588" s="3" t="str">
        <f>IFERROR(__xludf.DUMMYFUNCTION("""COMPUTED_VALUE"""),"WARKWORTH")</f>
        <v>WARKWORTH</v>
      </c>
      <c r="D4588" s="3" t="str">
        <f>IFERROR(__xludf.DUMMYFUNCTION("""COMPUTED_VALUE"""),"K0K 3K0")</f>
        <v>K0K 3K0</v>
      </c>
      <c r="E4588" s="3"/>
      <c r="F4588" s="3"/>
      <c r="G4588" s="3"/>
      <c r="H4588" s="3"/>
    </row>
    <row r="4589">
      <c r="A4589" s="2">
        <f>IFERROR(__xludf.DUMMYFUNCTION("""COMPUTED_VALUE"""),61233.0)</f>
        <v>61233</v>
      </c>
      <c r="B4589" s="3" t="str">
        <f>IFERROR(__xludf.DUMMYFUNCTION("""COMPUTED_VALUE"""),"13732 COUNTY 29 RD  ")</f>
        <v>13732 COUNTY 29 RD  </v>
      </c>
      <c r="C4589" s="3" t="str">
        <f>IFERROR(__xludf.DUMMYFUNCTION("""COMPUTED_VALUE"""),"WARKWORTH")</f>
        <v>WARKWORTH</v>
      </c>
      <c r="D4589" s="3" t="str">
        <f>IFERROR(__xludf.DUMMYFUNCTION("""COMPUTED_VALUE"""),"K0K 3K0")</f>
        <v>K0K 3K0</v>
      </c>
      <c r="E4589" s="3" t="str">
        <f>IFERROR(__xludf.DUMMYFUNCTION("""COMPUTED_VALUE"""),"rick english")</f>
        <v>rick english</v>
      </c>
      <c r="F4589" s="3" t="str">
        <f>IFERROR(__xludf.DUMMYFUNCTION("""COMPUTED_VALUE"""),"vickenglishleafs@gmail.com")</f>
        <v>vickenglishleafs@gmail.com</v>
      </c>
      <c r="G4589" s="3">
        <f>IFERROR(__xludf.DUMMYFUNCTION("""COMPUTED_VALUE"""),7.5977176E8)</f>
        <v>759771760</v>
      </c>
      <c r="H4589" s="3"/>
    </row>
    <row r="4590">
      <c r="A4590" s="2">
        <f>IFERROR(__xludf.DUMMYFUNCTION("""COMPUTED_VALUE"""),61234.0)</f>
        <v>61234</v>
      </c>
      <c r="B4590" s="3" t="str">
        <f>IFERROR(__xludf.DUMMYFUNCTION("""COMPUTED_VALUE"""),"13746 COUNTY 29 RD  ")</f>
        <v>13746 COUNTY 29 RD  </v>
      </c>
      <c r="C4590" s="3" t="str">
        <f>IFERROR(__xludf.DUMMYFUNCTION("""COMPUTED_VALUE"""),"WARKWORTH")</f>
        <v>WARKWORTH</v>
      </c>
      <c r="D4590" s="3" t="str">
        <f>IFERROR(__xludf.DUMMYFUNCTION("""COMPUTED_VALUE"""),"K0K 3K0")</f>
        <v>K0K 3K0</v>
      </c>
      <c r="E4590" s="3" t="str">
        <f>IFERROR(__xludf.DUMMYFUNCTION("""COMPUTED_VALUE"""),"vivian evon smith ")</f>
        <v>vivian evon smith </v>
      </c>
      <c r="F4590" s="3" t="str">
        <f>IFERROR(__xludf.DUMMYFUNCTION("""COMPUTED_VALUE"""),"vivian_smith07@gmail.com")</f>
        <v>vivian_smith07@gmail.com</v>
      </c>
      <c r="G4590" s="3">
        <f>IFERROR(__xludf.DUMMYFUNCTION("""COMPUTED_VALUE"""),7.059249427E9)</f>
        <v>7059249427</v>
      </c>
      <c r="H4590" s="3"/>
    </row>
    <row r="4591">
      <c r="A4591" s="2">
        <f>IFERROR(__xludf.DUMMYFUNCTION("""COMPUTED_VALUE"""),61235.0)</f>
        <v>61235</v>
      </c>
      <c r="B4591" s="3" t="str">
        <f>IFERROR(__xludf.DUMMYFUNCTION("""COMPUTED_VALUE"""),"13754 COUNTY 29 RD  ")</f>
        <v>13754 COUNTY 29 RD  </v>
      </c>
      <c r="C4591" s="3" t="str">
        <f>IFERROR(__xludf.DUMMYFUNCTION("""COMPUTED_VALUE"""),"WARKWORTH")</f>
        <v>WARKWORTH</v>
      </c>
      <c r="D4591" s="3" t="str">
        <f>IFERROR(__xludf.DUMMYFUNCTION("""COMPUTED_VALUE"""),"K0K 3K0")</f>
        <v>K0K 3K0</v>
      </c>
      <c r="E4591" s="3" t="str">
        <f>IFERROR(__xludf.DUMMYFUNCTION("""COMPUTED_VALUE"""),"jeff kingston ")</f>
        <v>jeff kingston </v>
      </c>
      <c r="F4591" s="3" t="str">
        <f>IFERROR(__xludf.DUMMYFUNCTION("""COMPUTED_VALUE"""),"jeff.kingston@stawtec.com")</f>
        <v>jeff.kingston@stawtec.com</v>
      </c>
      <c r="G4591" s="3">
        <f>IFERROR(__xludf.DUMMYFUNCTION("""COMPUTED_VALUE"""),4.165403018E9)</f>
        <v>4165403018</v>
      </c>
      <c r="H4591" s="3"/>
    </row>
    <row r="4592">
      <c r="A4592" s="2">
        <f>IFERROR(__xludf.DUMMYFUNCTION("""COMPUTED_VALUE"""),61236.0)</f>
        <v>61236</v>
      </c>
      <c r="B4592" s="3" t="str">
        <f>IFERROR(__xludf.DUMMYFUNCTION("""COMPUTED_VALUE"""),"13779 COUNTY 29 RD  ")</f>
        <v>13779 COUNTY 29 RD  </v>
      </c>
      <c r="C4592" s="3" t="str">
        <f>IFERROR(__xludf.DUMMYFUNCTION("""COMPUTED_VALUE"""),"WARKWORTH")</f>
        <v>WARKWORTH</v>
      </c>
      <c r="D4592" s="3" t="str">
        <f>IFERROR(__xludf.DUMMYFUNCTION("""COMPUTED_VALUE"""),"K0K 3K0")</f>
        <v>K0K 3K0</v>
      </c>
      <c r="E4592" s="3"/>
      <c r="F4592" s="3"/>
      <c r="G4592" s="3"/>
      <c r="H4592" s="3"/>
    </row>
    <row r="4593">
      <c r="A4593" s="2">
        <f>IFERROR(__xludf.DUMMYFUNCTION("""COMPUTED_VALUE"""),61237.0)</f>
        <v>61237</v>
      </c>
      <c r="B4593" s="3" t="str">
        <f>IFERROR(__xludf.DUMMYFUNCTION("""COMPUTED_VALUE"""),"13809 COUNTY 29 RD  ")</f>
        <v>13809 COUNTY 29 RD  </v>
      </c>
      <c r="C4593" s="3" t="str">
        <f>IFERROR(__xludf.DUMMYFUNCTION("""COMPUTED_VALUE"""),"WARKWORTH")</f>
        <v>WARKWORTH</v>
      </c>
      <c r="D4593" s="3" t="str">
        <f>IFERROR(__xludf.DUMMYFUNCTION("""COMPUTED_VALUE"""),"K0K 3K0")</f>
        <v>K0K 3K0</v>
      </c>
      <c r="E4593" s="3"/>
      <c r="F4593" s="3"/>
      <c r="G4593" s="3"/>
      <c r="H4593" s="3"/>
    </row>
    <row r="4594">
      <c r="A4594" s="2">
        <f>IFERROR(__xludf.DUMMYFUNCTION("""COMPUTED_VALUE"""),62654.0)</f>
        <v>62654</v>
      </c>
      <c r="B4594" s="3" t="str">
        <f>IFERROR(__xludf.DUMMYFUNCTION("""COMPUTED_VALUE"""),"30 MILL ST  ")</f>
        <v>30 MILL ST  </v>
      </c>
      <c r="C4594" s="3" t="str">
        <f>IFERROR(__xludf.DUMMYFUNCTION("""COMPUTED_VALUE"""),"WARKWORTH")</f>
        <v>WARKWORTH</v>
      </c>
      <c r="D4594" s="3" t="str">
        <f>IFERROR(__xludf.DUMMYFUNCTION("""COMPUTED_VALUE"""),"K0K 3K0")</f>
        <v>K0K 3K0</v>
      </c>
      <c r="E4594" s="3"/>
      <c r="F4594" s="3"/>
      <c r="G4594" s="3"/>
      <c r="H4594" s="3"/>
    </row>
    <row r="4595">
      <c r="A4595" s="2">
        <f>IFERROR(__xludf.DUMMYFUNCTION("""COMPUTED_VALUE"""),61821.0)</f>
        <v>61821</v>
      </c>
      <c r="B4595" s="3" t="str">
        <f>IFERROR(__xludf.DUMMYFUNCTION("""COMPUTED_VALUE"""),"31 GEORGE ST  ")</f>
        <v>31 GEORGE ST  </v>
      </c>
      <c r="C4595" s="3" t="str">
        <f>IFERROR(__xludf.DUMMYFUNCTION("""COMPUTED_VALUE"""),"WARKWORTH")</f>
        <v>WARKWORTH</v>
      </c>
      <c r="D4595" s="3" t="str">
        <f>IFERROR(__xludf.DUMMYFUNCTION("""COMPUTED_VALUE"""),"K0K 3K0")</f>
        <v>K0K 3K0</v>
      </c>
      <c r="E4595" s="3"/>
      <c r="F4595" s="3"/>
      <c r="G4595" s="3"/>
      <c r="H4595" s="3"/>
    </row>
    <row r="4596">
      <c r="A4596" s="2">
        <f>IFERROR(__xludf.DUMMYFUNCTION("""COMPUTED_VALUE"""),63597.0)</f>
        <v>63597</v>
      </c>
      <c r="B4596" s="3" t="str">
        <f>IFERROR(__xludf.DUMMYFUNCTION("""COMPUTED_VALUE"""),"32 WALTER ST  ")</f>
        <v>32 WALTER ST  </v>
      </c>
      <c r="C4596" s="3" t="str">
        <f>IFERROR(__xludf.DUMMYFUNCTION("""COMPUTED_VALUE"""),"WARKWORTH")</f>
        <v>WARKWORTH</v>
      </c>
      <c r="D4596" s="3" t="str">
        <f>IFERROR(__xludf.DUMMYFUNCTION("""COMPUTED_VALUE"""),"K0K 3K0")</f>
        <v>K0K 3K0</v>
      </c>
      <c r="E4596" s="3"/>
      <c r="F4596" s="3"/>
      <c r="G4596" s="3"/>
      <c r="H4596" s="3"/>
    </row>
    <row r="4597">
      <c r="A4597" s="2">
        <f>IFERROR(__xludf.DUMMYFUNCTION("""COMPUTED_VALUE"""),63598.0)</f>
        <v>63598</v>
      </c>
      <c r="B4597" s="3" t="str">
        <f>IFERROR(__xludf.DUMMYFUNCTION("""COMPUTED_VALUE"""),"33 WALTER ST  ")</f>
        <v>33 WALTER ST  </v>
      </c>
      <c r="C4597" s="3" t="str">
        <f>IFERROR(__xludf.DUMMYFUNCTION("""COMPUTED_VALUE"""),"WARKWORTH")</f>
        <v>WARKWORTH</v>
      </c>
      <c r="D4597" s="3" t="str">
        <f>IFERROR(__xludf.DUMMYFUNCTION("""COMPUTED_VALUE"""),"K0K 3K0")</f>
        <v>K0K 3K0</v>
      </c>
      <c r="E4597" s="3"/>
      <c r="F4597" s="3"/>
      <c r="G4597" s="3"/>
      <c r="H4597" s="3"/>
    </row>
    <row r="4598">
      <c r="A4598" s="2">
        <f>IFERROR(__xludf.DUMMYFUNCTION("""COMPUTED_VALUE"""),62655.0)</f>
        <v>62655</v>
      </c>
      <c r="B4598" s="3" t="str">
        <f>IFERROR(__xludf.DUMMYFUNCTION("""COMPUTED_VALUE"""),"34 MILL ST  ")</f>
        <v>34 MILL ST  </v>
      </c>
      <c r="C4598" s="3" t="str">
        <f>IFERROR(__xludf.DUMMYFUNCTION("""COMPUTED_VALUE"""),"WARKWORTH")</f>
        <v>WARKWORTH</v>
      </c>
      <c r="D4598" s="3" t="str">
        <f>IFERROR(__xludf.DUMMYFUNCTION("""COMPUTED_VALUE"""),"K0K 3K0")</f>
        <v>K0K 3K0</v>
      </c>
      <c r="E4598" s="3" t="str">
        <f>IFERROR(__xludf.DUMMYFUNCTION("""COMPUTED_VALUE"""),"larry hehn ")</f>
        <v>larry hehn </v>
      </c>
      <c r="F4598" s="3" t="str">
        <f>IFERROR(__xludf.DUMMYFUNCTION("""COMPUTED_VALUE"""),"ljhehn@gmail.com")</f>
        <v>ljhehn@gmail.com</v>
      </c>
      <c r="G4598" s="3">
        <f>IFERROR(__xludf.DUMMYFUNCTION("""COMPUTED_VALUE"""),6.479714346E9)</f>
        <v>6479714346</v>
      </c>
      <c r="H4598" s="3"/>
    </row>
    <row r="4599">
      <c r="A4599" s="2">
        <f>IFERROR(__xludf.DUMMYFUNCTION("""COMPUTED_VALUE"""),62656.0)</f>
        <v>62656</v>
      </c>
      <c r="B4599" s="3" t="str">
        <f>IFERROR(__xludf.DUMMYFUNCTION("""COMPUTED_VALUE"""),"35 MILL ST  ")</f>
        <v>35 MILL ST  </v>
      </c>
      <c r="C4599" s="3" t="str">
        <f>IFERROR(__xludf.DUMMYFUNCTION("""COMPUTED_VALUE"""),"WARKWORTH")</f>
        <v>WARKWORTH</v>
      </c>
      <c r="D4599" s="3" t="str">
        <f>IFERROR(__xludf.DUMMYFUNCTION("""COMPUTED_VALUE"""),"K0K 3K0")</f>
        <v>K0K 3K0</v>
      </c>
      <c r="E4599" s="3"/>
      <c r="F4599" s="3"/>
      <c r="G4599" s="3"/>
      <c r="H4599" s="3"/>
    </row>
    <row r="4600">
      <c r="A4600" s="2">
        <f>IFERROR(__xludf.DUMMYFUNCTION("""COMPUTED_VALUE"""),61822.0)</f>
        <v>61822</v>
      </c>
      <c r="B4600" s="3" t="str">
        <f>IFERROR(__xludf.DUMMYFUNCTION("""COMPUTED_VALUE"""),"37 GEORGE ST  ")</f>
        <v>37 GEORGE ST  </v>
      </c>
      <c r="C4600" s="3" t="str">
        <f>IFERROR(__xludf.DUMMYFUNCTION("""COMPUTED_VALUE"""),"WARKWORTH")</f>
        <v>WARKWORTH</v>
      </c>
      <c r="D4600" s="3" t="str">
        <f>IFERROR(__xludf.DUMMYFUNCTION("""COMPUTED_VALUE"""),"K0K 3K0")</f>
        <v>K0K 3K0</v>
      </c>
      <c r="E4600" s="3"/>
      <c r="F4600" s="3"/>
      <c r="G4600" s="3"/>
      <c r="H4600" s="3"/>
    </row>
    <row r="4601">
      <c r="A4601" s="2">
        <f>IFERROR(__xludf.DUMMYFUNCTION("""COMPUTED_VALUE"""),61199.0)</f>
        <v>61199</v>
      </c>
      <c r="B4601" s="3" t="str">
        <f>IFERROR(__xludf.DUMMYFUNCTION("""COMPUTED_VALUE"""),"5866 COUNTY 25 RD  ")</f>
        <v>5866 COUNTY 25 RD  </v>
      </c>
      <c r="C4601" s="3" t="str">
        <f>IFERROR(__xludf.DUMMYFUNCTION("""COMPUTED_VALUE"""),"HASTINGS")</f>
        <v>HASTINGS</v>
      </c>
      <c r="D4601" s="3" t="str">
        <f>IFERROR(__xludf.DUMMYFUNCTION("""COMPUTED_VALUE"""),"K0L 1Y0")</f>
        <v>K0L 1Y0</v>
      </c>
      <c r="E4601" s="3" t="str">
        <f>IFERROR(__xludf.DUMMYFUNCTION("""COMPUTED_VALUE"""),"rita bai")</f>
        <v>rita bai</v>
      </c>
      <c r="F4601" s="3" t="str">
        <f>IFERROR(__xludf.DUMMYFUNCTION("""COMPUTED_VALUE"""),"bxyo714@gmail.com")</f>
        <v>bxyo714@gmail.com</v>
      </c>
      <c r="G4601" s="3">
        <f>IFERROR(__xludf.DUMMYFUNCTION("""COMPUTED_VALUE"""),7.058776166E9)</f>
        <v>7058776166</v>
      </c>
      <c r="H4601" s="3"/>
    </row>
    <row r="4602">
      <c r="A4602" s="2">
        <f>IFERROR(__xludf.DUMMYFUNCTION("""COMPUTED_VALUE"""),61200.0)</f>
        <v>61200</v>
      </c>
      <c r="B4602" s="3" t="str">
        <f>IFERROR(__xludf.DUMMYFUNCTION("""COMPUTED_VALUE"""),"5881 COUNTY 25 RD  ")</f>
        <v>5881 COUNTY 25 RD  </v>
      </c>
      <c r="C4602" s="3" t="str">
        <f>IFERROR(__xludf.DUMMYFUNCTION("""COMPUTED_VALUE"""),"HASTINGS")</f>
        <v>HASTINGS</v>
      </c>
      <c r="D4602" s="3" t="str">
        <f>IFERROR(__xludf.DUMMYFUNCTION("""COMPUTED_VALUE"""),"K0L 1Y0")</f>
        <v>K0L 1Y0</v>
      </c>
      <c r="E4602" s="3" t="str">
        <f>IFERROR(__xludf.DUMMYFUNCTION("""COMPUTED_VALUE"""),"robert &amp; heather Watt")</f>
        <v>robert &amp; heather Watt</v>
      </c>
      <c r="F4602" s="3" t="str">
        <f>IFERROR(__xludf.DUMMYFUNCTION("""COMPUTED_VALUE"""),"r.watt@bell.net")</f>
        <v>r.watt@bell.net</v>
      </c>
      <c r="G4602" s="3">
        <f>IFERROR(__xludf.DUMMYFUNCTION("""COMPUTED_VALUE"""),7.056969808E9)</f>
        <v>7056969808</v>
      </c>
      <c r="H4602" s="3">
        <f>IFERROR(__xludf.DUMMYFUNCTION("""COMPUTED_VALUE"""),6.135611001E9)</f>
        <v>6135611001</v>
      </c>
    </row>
    <row r="4603">
      <c r="A4603" s="2">
        <f>IFERROR(__xludf.DUMMYFUNCTION("""COMPUTED_VALUE"""),61201.0)</f>
        <v>61201</v>
      </c>
      <c r="B4603" s="3" t="str">
        <f>IFERROR(__xludf.DUMMYFUNCTION("""COMPUTED_VALUE"""),"5895 COUNTY 25 RD  ")</f>
        <v>5895 COUNTY 25 RD  </v>
      </c>
      <c r="C4603" s="3" t="str">
        <f>IFERROR(__xludf.DUMMYFUNCTION("""COMPUTED_VALUE"""),"HASTINGS")</f>
        <v>HASTINGS</v>
      </c>
      <c r="D4603" s="3" t="str">
        <f>IFERROR(__xludf.DUMMYFUNCTION("""COMPUTED_VALUE"""),"K0L 1Y0")</f>
        <v>K0L 1Y0</v>
      </c>
      <c r="E4603" s="3" t="str">
        <f>IFERROR(__xludf.DUMMYFUNCTION("""COMPUTED_VALUE"""),"Ken Tully ")</f>
        <v>Ken Tully </v>
      </c>
      <c r="F4603" s="3" t="str">
        <f>IFERROR(__xludf.DUMMYFUNCTION("""COMPUTED_VALUE"""),"tullyke@gmail.com")</f>
        <v>tullyke@gmail.com</v>
      </c>
      <c r="G4603" s="3"/>
      <c r="H4603" s="3"/>
    </row>
    <row r="4604">
      <c r="A4604" s="2">
        <f>IFERROR(__xludf.DUMMYFUNCTION("""COMPUTED_VALUE"""),61202.0)</f>
        <v>61202</v>
      </c>
      <c r="B4604" s="3" t="str">
        <f>IFERROR(__xludf.DUMMYFUNCTION("""COMPUTED_VALUE"""),"5907 COUNTY 25 RD  ")</f>
        <v>5907 COUNTY 25 RD  </v>
      </c>
      <c r="C4604" s="3" t="str">
        <f>IFERROR(__xludf.DUMMYFUNCTION("""COMPUTED_VALUE"""),"HASTINGS")</f>
        <v>HASTINGS</v>
      </c>
      <c r="D4604" s="3" t="str">
        <f>IFERROR(__xludf.DUMMYFUNCTION("""COMPUTED_VALUE"""),"K0L 1Y0")</f>
        <v>K0L 1Y0</v>
      </c>
      <c r="E4604" s="3"/>
      <c r="F4604" s="3"/>
      <c r="G4604" s="3"/>
      <c r="H4604" s="3"/>
    </row>
    <row r="4605">
      <c r="A4605" s="2">
        <f>IFERROR(__xludf.DUMMYFUNCTION("""COMPUTED_VALUE"""),61203.0)</f>
        <v>61203</v>
      </c>
      <c r="B4605" s="3" t="str">
        <f>IFERROR(__xludf.DUMMYFUNCTION("""COMPUTED_VALUE"""),"5967 COUNTY 25 RD  ")</f>
        <v>5967 COUNTY 25 RD  </v>
      </c>
      <c r="C4605" s="3" t="str">
        <f>IFERROR(__xludf.DUMMYFUNCTION("""COMPUTED_VALUE"""),"HASTINGS")</f>
        <v>HASTINGS</v>
      </c>
      <c r="D4605" s="3" t="str">
        <f>IFERROR(__xludf.DUMMYFUNCTION("""COMPUTED_VALUE"""),"K0L 1Y0")</f>
        <v>K0L 1Y0</v>
      </c>
      <c r="E4605" s="3" t="str">
        <f>IFERROR(__xludf.DUMMYFUNCTION("""COMPUTED_VALUE"""),"donna white ")</f>
        <v>donna white </v>
      </c>
      <c r="F4605" s="3" t="str">
        <f>IFERROR(__xludf.DUMMYFUNCTION("""COMPUTED_VALUE"""),"dwhite3675@hotmail.com")</f>
        <v>dwhite3675@hotmail.com</v>
      </c>
      <c r="G4605" s="3">
        <f>IFERROR(__xludf.DUMMYFUNCTION("""COMPUTED_VALUE"""),7.057686753E9)</f>
        <v>7057686753</v>
      </c>
      <c r="H4605" s="3">
        <f>IFERROR(__xludf.DUMMYFUNCTION("""COMPUTED_VALUE"""),7.059273082E9)</f>
        <v>7059273082</v>
      </c>
    </row>
    <row r="4606">
      <c r="A4606" s="2">
        <f>IFERROR(__xludf.DUMMYFUNCTION("""COMPUTED_VALUE"""),61204.0)</f>
        <v>61204</v>
      </c>
      <c r="B4606" s="3" t="str">
        <f>IFERROR(__xludf.DUMMYFUNCTION("""COMPUTED_VALUE"""),"5980 COUNTY 25 RD  ")</f>
        <v>5980 COUNTY 25 RD  </v>
      </c>
      <c r="C4606" s="3" t="str">
        <f>IFERROR(__xludf.DUMMYFUNCTION("""COMPUTED_VALUE"""),"HASTINGS")</f>
        <v>HASTINGS</v>
      </c>
      <c r="D4606" s="3" t="str">
        <f>IFERROR(__xludf.DUMMYFUNCTION("""COMPUTED_VALUE"""),"K0L 1Y0")</f>
        <v>K0L 1Y0</v>
      </c>
      <c r="E4606" s="3" t="str">
        <f>IFERROR(__xludf.DUMMYFUNCTION("""COMPUTED_VALUE"""),"john waugh &amp; Lisa Ransom")</f>
        <v>john waugh &amp; Lisa Ransom</v>
      </c>
      <c r="F4606" s="3" t="str">
        <f>IFERROR(__xludf.DUMMYFUNCTION("""COMPUTED_VALUE"""),"jawaugh136@gmail.com")</f>
        <v>jawaugh136@gmail.com</v>
      </c>
      <c r="G4606" s="3">
        <f>IFERROR(__xludf.DUMMYFUNCTION("""COMPUTED_VALUE"""),9.057671132E9)</f>
        <v>9057671132</v>
      </c>
      <c r="H4606" s="3">
        <f>IFERROR(__xludf.DUMMYFUNCTION("""COMPUTED_VALUE"""),2.504861576E9)</f>
        <v>2504861576</v>
      </c>
    </row>
    <row r="4607">
      <c r="A4607" s="2">
        <f>IFERROR(__xludf.DUMMYFUNCTION("""COMPUTED_VALUE"""),61205.0)</f>
        <v>61205</v>
      </c>
      <c r="B4607" s="3" t="str">
        <f>IFERROR(__xludf.DUMMYFUNCTION("""COMPUTED_VALUE"""),"5990 COUNTY 25 RD  ")</f>
        <v>5990 COUNTY 25 RD  </v>
      </c>
      <c r="C4607" s="3" t="str">
        <f>IFERROR(__xludf.DUMMYFUNCTION("""COMPUTED_VALUE"""),"HASTINGS")</f>
        <v>HASTINGS</v>
      </c>
      <c r="D4607" s="3" t="str">
        <f>IFERROR(__xludf.DUMMYFUNCTION("""COMPUTED_VALUE"""),"K0L 1Y0")</f>
        <v>K0L 1Y0</v>
      </c>
      <c r="E4607" s="3" t="str">
        <f>IFERROR(__xludf.DUMMYFUNCTION("""COMPUTED_VALUE"""),"Gordon Stiff")</f>
        <v>Gordon Stiff</v>
      </c>
      <c r="F4607" s="3" t="str">
        <f>IFERROR(__xludf.DUMMYFUNCTION("""COMPUTED_VALUE"""),"ghome@bell.net")</f>
        <v>ghome@bell.net</v>
      </c>
      <c r="G4607" s="3">
        <f>IFERROR(__xludf.DUMMYFUNCTION("""COMPUTED_VALUE"""),7.059337042E9)</f>
        <v>7059337042</v>
      </c>
      <c r="H4607" s="3"/>
    </row>
    <row r="4608">
      <c r="A4608" s="2">
        <f>IFERROR(__xludf.DUMMYFUNCTION("""COMPUTED_VALUE"""),61206.0)</f>
        <v>61206</v>
      </c>
      <c r="B4608" s="3" t="str">
        <f>IFERROR(__xludf.DUMMYFUNCTION("""COMPUTED_VALUE"""),"6000 COUNTY 25 RD  ")</f>
        <v>6000 COUNTY 25 RD  </v>
      </c>
      <c r="C4608" s="3" t="str">
        <f>IFERROR(__xludf.DUMMYFUNCTION("""COMPUTED_VALUE"""),"HASTINGS")</f>
        <v>HASTINGS</v>
      </c>
      <c r="D4608" s="3" t="str">
        <f>IFERROR(__xludf.DUMMYFUNCTION("""COMPUTED_VALUE"""),"K0L 1Y0")</f>
        <v>K0L 1Y0</v>
      </c>
      <c r="E4608" s="3"/>
      <c r="F4608" s="3"/>
      <c r="G4608" s="3"/>
      <c r="H4608" s="3"/>
    </row>
    <row r="4609">
      <c r="A4609" s="2">
        <f>IFERROR(__xludf.DUMMYFUNCTION("""COMPUTED_VALUE"""),61207.0)</f>
        <v>61207</v>
      </c>
      <c r="B4609" s="3" t="str">
        <f>IFERROR(__xludf.DUMMYFUNCTION("""COMPUTED_VALUE"""),"6001 COUNTY 25 RD  ")</f>
        <v>6001 COUNTY 25 RD  </v>
      </c>
      <c r="C4609" s="3" t="str">
        <f>IFERROR(__xludf.DUMMYFUNCTION("""COMPUTED_VALUE"""),"HASTINGS")</f>
        <v>HASTINGS</v>
      </c>
      <c r="D4609" s="3" t="str">
        <f>IFERROR(__xludf.DUMMYFUNCTION("""COMPUTED_VALUE"""),"K0L 1Y0")</f>
        <v>K0L 1Y0</v>
      </c>
      <c r="E4609" s="3"/>
      <c r="F4609" s="3"/>
      <c r="G4609" s="3"/>
      <c r="H4609" s="3"/>
    </row>
    <row r="4610">
      <c r="A4610" s="2">
        <f>IFERROR(__xludf.DUMMYFUNCTION("""COMPUTED_VALUE"""),63779.0)</f>
        <v>63779</v>
      </c>
      <c r="B4610" s="3" t="str">
        <f>IFERROR(__xludf.DUMMYFUNCTION("""COMPUTED_VALUE"""),"6003 COUNTY RD 25")</f>
        <v>6003 COUNTY RD 25</v>
      </c>
      <c r="C4610" s="3" t="str">
        <f>IFERROR(__xludf.DUMMYFUNCTION("""COMPUTED_VALUE"""),"HASTINGS")</f>
        <v>HASTINGS</v>
      </c>
      <c r="D4610" s="3" t="str">
        <f>IFERROR(__xludf.DUMMYFUNCTION("""COMPUTED_VALUE"""),"K0L 1Y0")</f>
        <v>K0L 1Y0</v>
      </c>
      <c r="E4610" s="3"/>
      <c r="F4610" s="3"/>
      <c r="G4610" s="3"/>
      <c r="H4610" s="3"/>
    </row>
    <row r="4611">
      <c r="A4611" s="2">
        <f>IFERROR(__xludf.DUMMYFUNCTION("""COMPUTED_VALUE"""),61208.0)</f>
        <v>61208</v>
      </c>
      <c r="B4611" s="3" t="str">
        <f>IFERROR(__xludf.DUMMYFUNCTION("""COMPUTED_VALUE"""),"6005 COUNTY 25 RD  ")</f>
        <v>6005 COUNTY 25 RD  </v>
      </c>
      <c r="C4611" s="3" t="str">
        <f>IFERROR(__xludf.DUMMYFUNCTION("""COMPUTED_VALUE"""),"HASTINGS")</f>
        <v>HASTINGS</v>
      </c>
      <c r="D4611" s="3" t="str">
        <f>IFERROR(__xludf.DUMMYFUNCTION("""COMPUTED_VALUE"""),"K0L 1Y0")</f>
        <v>K0L 1Y0</v>
      </c>
      <c r="E4611" s="3" t="str">
        <f>IFERROR(__xludf.DUMMYFUNCTION("""COMPUTED_VALUE"""),"jeff standaurt")</f>
        <v>jeff standaurt</v>
      </c>
      <c r="F4611" s="3" t="str">
        <f>IFERROR(__xludf.DUMMYFUNCTION("""COMPUTED_VALUE"""),"jstandaurt@bell.net")</f>
        <v>jstandaurt@bell.net</v>
      </c>
      <c r="G4611" s="3">
        <f>IFERROR(__xludf.DUMMYFUNCTION("""COMPUTED_VALUE"""),7.057601077E9)</f>
        <v>7057601077</v>
      </c>
      <c r="H4611" s="3"/>
    </row>
    <row r="4612">
      <c r="A4612" s="2">
        <f>IFERROR(__xludf.DUMMYFUNCTION("""COMPUTED_VALUE"""),61209.0)</f>
        <v>61209</v>
      </c>
      <c r="B4612" s="3" t="str">
        <f>IFERROR(__xludf.DUMMYFUNCTION("""COMPUTED_VALUE"""),"6010 COUNTY 25 RD  ")</f>
        <v>6010 COUNTY 25 RD  </v>
      </c>
      <c r="C4612" s="3" t="str">
        <f>IFERROR(__xludf.DUMMYFUNCTION("""COMPUTED_VALUE"""),"HASTINGS")</f>
        <v>HASTINGS</v>
      </c>
      <c r="D4612" s="3" t="str">
        <f>IFERROR(__xludf.DUMMYFUNCTION("""COMPUTED_VALUE"""),"K0L 1Y0")</f>
        <v>K0L 1Y0</v>
      </c>
      <c r="E4612" s="3" t="str">
        <f>IFERROR(__xludf.DUMMYFUNCTION("""COMPUTED_VALUE"""),"carrie hayward")</f>
        <v>carrie hayward</v>
      </c>
      <c r="F4612" s="3" t="str">
        <f>IFERROR(__xludf.DUMMYFUNCTION("""COMPUTED_VALUE"""),"cfhkiwi@gmail.com")</f>
        <v>cfhkiwi@gmail.com</v>
      </c>
      <c r="G4612" s="3">
        <f>IFERROR(__xludf.DUMMYFUNCTION("""COMPUTED_VALUE"""),7.056962913E9)</f>
        <v>7056962913</v>
      </c>
      <c r="H4612" s="3">
        <f>IFERROR(__xludf.DUMMYFUNCTION("""COMPUTED_VALUE"""),7.058686999E9)</f>
        <v>7058686999</v>
      </c>
    </row>
    <row r="4613">
      <c r="A4613" s="2">
        <f>IFERROR(__xludf.DUMMYFUNCTION("""COMPUTED_VALUE"""),61167.0)</f>
        <v>61167</v>
      </c>
      <c r="B4613" s="3" t="str">
        <f>IFERROR(__xludf.DUMMYFUNCTION("""COMPUTED_VALUE"""),"4826 COUNTY 25 RD  ")</f>
        <v>4826 COUNTY 25 RD  </v>
      </c>
      <c r="C4613" s="3" t="str">
        <f>IFERROR(__xludf.DUMMYFUNCTION("""COMPUTED_VALUE"""),"WARKWORTH")</f>
        <v>WARKWORTH</v>
      </c>
      <c r="D4613" s="3" t="str">
        <f>IFERROR(__xludf.DUMMYFUNCTION("""COMPUTED_VALUE"""),"K0K 3K0")</f>
        <v>K0K 3K0</v>
      </c>
      <c r="E4613" s="3"/>
      <c r="F4613" s="3"/>
      <c r="G4613" s="3"/>
      <c r="H4613" s="3"/>
    </row>
    <row r="4614">
      <c r="A4614" s="2">
        <f>IFERROR(__xludf.DUMMYFUNCTION("""COMPUTED_VALUE"""),61168.0)</f>
        <v>61168</v>
      </c>
      <c r="B4614" s="3" t="str">
        <f>IFERROR(__xludf.DUMMYFUNCTION("""COMPUTED_VALUE"""),"4925 COUNTY 25 RD  ")</f>
        <v>4925 COUNTY 25 RD  </v>
      </c>
      <c r="C4614" s="3" t="str">
        <f>IFERROR(__xludf.DUMMYFUNCTION("""COMPUTED_VALUE"""),"WARKWORTH")</f>
        <v>WARKWORTH</v>
      </c>
      <c r="D4614" s="3" t="str">
        <f>IFERROR(__xludf.DUMMYFUNCTION("""COMPUTED_VALUE"""),"K0K 3K0")</f>
        <v>K0K 3K0</v>
      </c>
      <c r="E4614" s="3" t="str">
        <f>IFERROR(__xludf.DUMMYFUNCTION("""COMPUTED_VALUE"""),"jim ellsworth ")</f>
        <v>jim ellsworth </v>
      </c>
      <c r="F4614" s="3" t="str">
        <f>IFERROR(__xludf.DUMMYFUNCTION("""COMPUTED_VALUE"""),"jim.ellsworth48@gmail.com")</f>
        <v>jim.ellsworth48@gmail.com</v>
      </c>
      <c r="G4614" s="3">
        <f>IFERROR(__xludf.DUMMYFUNCTION("""COMPUTED_VALUE"""),2.893560846E9)</f>
        <v>2893560846</v>
      </c>
      <c r="H4614" s="3"/>
    </row>
    <row r="4615">
      <c r="A4615" s="2">
        <f>IFERROR(__xludf.DUMMYFUNCTION("""COMPUTED_VALUE"""),61169.0)</f>
        <v>61169</v>
      </c>
      <c r="B4615" s="3" t="str">
        <f>IFERROR(__xludf.DUMMYFUNCTION("""COMPUTED_VALUE"""),"4935 COUNTY 25 RD  ")</f>
        <v>4935 COUNTY 25 RD  </v>
      </c>
      <c r="C4615" s="3" t="str">
        <f>IFERROR(__xludf.DUMMYFUNCTION("""COMPUTED_VALUE"""),"WARKWORTH")</f>
        <v>WARKWORTH</v>
      </c>
      <c r="D4615" s="3" t="str">
        <f>IFERROR(__xludf.DUMMYFUNCTION("""COMPUTED_VALUE"""),"K0K 3K0")</f>
        <v>K0K 3K0</v>
      </c>
      <c r="E4615" s="3"/>
      <c r="F4615" s="3"/>
      <c r="G4615" s="3"/>
      <c r="H4615" s="3"/>
    </row>
    <row r="4616">
      <c r="A4616" s="2">
        <f>IFERROR(__xludf.DUMMYFUNCTION("""COMPUTED_VALUE"""),61170.0)</f>
        <v>61170</v>
      </c>
      <c r="B4616" s="3" t="str">
        <f>IFERROR(__xludf.DUMMYFUNCTION("""COMPUTED_VALUE"""),"5015 COUNTY 25 RD  ")</f>
        <v>5015 COUNTY 25 RD  </v>
      </c>
      <c r="C4616" s="3" t="str">
        <f>IFERROR(__xludf.DUMMYFUNCTION("""COMPUTED_VALUE"""),"WARKWORTH")</f>
        <v>WARKWORTH</v>
      </c>
      <c r="D4616" s="3" t="str">
        <f>IFERROR(__xludf.DUMMYFUNCTION("""COMPUTED_VALUE"""),"K0K 3K0")</f>
        <v>K0K 3K0</v>
      </c>
      <c r="E4616" s="3" t="str">
        <f>IFERROR(__xludf.DUMMYFUNCTION("""COMPUTED_VALUE"""),"jennifer huycke")</f>
        <v>jennifer huycke</v>
      </c>
      <c r="F4616" s="3" t="str">
        <f>IFERROR(__xludf.DUMMYFUNCTION("""COMPUTED_VALUE"""),"jenn_huycke@hotmail.com")</f>
        <v>jenn_huycke@hotmail.com</v>
      </c>
      <c r="G4616" s="3">
        <f>IFERROR(__xludf.DUMMYFUNCTION("""COMPUTED_VALUE"""),9.053136838E9)</f>
        <v>9053136838</v>
      </c>
      <c r="H4616" s="3"/>
    </row>
    <row r="4617">
      <c r="A4617" s="2">
        <f>IFERROR(__xludf.DUMMYFUNCTION("""COMPUTED_VALUE"""),61171.0)</f>
        <v>61171</v>
      </c>
      <c r="B4617" s="3" t="str">
        <f>IFERROR(__xludf.DUMMYFUNCTION("""COMPUTED_VALUE"""),"5024 COUNTY 25 RD  ")</f>
        <v>5024 COUNTY 25 RD  </v>
      </c>
      <c r="C4617" s="3" t="str">
        <f>IFERROR(__xludf.DUMMYFUNCTION("""COMPUTED_VALUE"""),"WARKWORTH")</f>
        <v>WARKWORTH</v>
      </c>
      <c r="D4617" s="3" t="str">
        <f>IFERROR(__xludf.DUMMYFUNCTION("""COMPUTED_VALUE"""),"K0K 3K0")</f>
        <v>K0K 3K0</v>
      </c>
      <c r="E4617" s="3" t="str">
        <f>IFERROR(__xludf.DUMMYFUNCTION("""COMPUTED_VALUE"""),"sasp nikolovski")</f>
        <v>sasp nikolovski</v>
      </c>
      <c r="F4617" s="3" t="str">
        <f>IFERROR(__xludf.DUMMYFUNCTION("""COMPUTED_VALUE"""),"saso.nikolovski@icloud.com")</f>
        <v>saso.nikolovski@icloud.com</v>
      </c>
      <c r="G4617" s="3">
        <f>IFERROR(__xludf.DUMMYFUNCTION("""COMPUTED_VALUE"""),7.058750433E9)</f>
        <v>7058750433</v>
      </c>
      <c r="H4617" s="3"/>
    </row>
    <row r="4618">
      <c r="A4618" s="2">
        <f>IFERROR(__xludf.DUMMYFUNCTION("""COMPUTED_VALUE"""),61172.0)</f>
        <v>61172</v>
      </c>
      <c r="B4618" s="3" t="str">
        <f>IFERROR(__xludf.DUMMYFUNCTION("""COMPUTED_VALUE"""),"5031 COUNTY 25 RD  ")</f>
        <v>5031 COUNTY 25 RD  </v>
      </c>
      <c r="C4618" s="3" t="str">
        <f>IFERROR(__xludf.DUMMYFUNCTION("""COMPUTED_VALUE"""),"WARKWORTH")</f>
        <v>WARKWORTH</v>
      </c>
      <c r="D4618" s="3" t="str">
        <f>IFERROR(__xludf.DUMMYFUNCTION("""COMPUTED_VALUE"""),"K0K 3K0")</f>
        <v>K0K 3K0</v>
      </c>
      <c r="E4618" s="3" t="str">
        <f>IFERROR(__xludf.DUMMYFUNCTION("""COMPUTED_VALUE"""),"Doris Austin")</f>
        <v>Doris Austin</v>
      </c>
      <c r="F4618" s="3" t="str">
        <f>IFERROR(__xludf.DUMMYFUNCTION("""COMPUTED_VALUE"""),"barndor1960@gmail.com")</f>
        <v>barndor1960@gmail.com</v>
      </c>
      <c r="G4618" s="3"/>
      <c r="H4618" s="3"/>
    </row>
    <row r="4619">
      <c r="A4619" s="2">
        <f>IFERROR(__xludf.DUMMYFUNCTION("""COMPUTED_VALUE"""),61173.0)</f>
        <v>61173</v>
      </c>
      <c r="B4619" s="3" t="str">
        <f>IFERROR(__xludf.DUMMYFUNCTION("""COMPUTED_VALUE"""),"5035 COUNTY 25 RD  ")</f>
        <v>5035 COUNTY 25 RD  </v>
      </c>
      <c r="C4619" s="3" t="str">
        <f>IFERROR(__xludf.DUMMYFUNCTION("""COMPUTED_VALUE"""),"WARKWORTH")</f>
        <v>WARKWORTH</v>
      </c>
      <c r="D4619" s="3" t="str">
        <f>IFERROR(__xludf.DUMMYFUNCTION("""COMPUTED_VALUE"""),"K0K 3K0")</f>
        <v>K0K 3K0</v>
      </c>
      <c r="E4619" s="3" t="str">
        <f>IFERROR(__xludf.DUMMYFUNCTION("""COMPUTED_VALUE"""),"Ken Menheere")</f>
        <v>Ken Menheere</v>
      </c>
      <c r="F4619" s="3" t="str">
        <f>IFERROR(__xludf.DUMMYFUNCTION("""COMPUTED_VALUE"""),"ken.menheere@gmail.com")</f>
        <v>ken.menheere@gmail.com</v>
      </c>
      <c r="G4619" s="3">
        <f>IFERROR(__xludf.DUMMYFUNCTION("""COMPUTED_VALUE"""),9.05447272E9)</f>
        <v>9054472720</v>
      </c>
      <c r="H4619" s="3">
        <f>IFERROR(__xludf.DUMMYFUNCTION("""COMPUTED_VALUE"""),4.164356779E9)</f>
        <v>4164356779</v>
      </c>
    </row>
    <row r="4620">
      <c r="A4620" s="2">
        <f>IFERROR(__xludf.DUMMYFUNCTION("""COMPUTED_VALUE"""),61174.0)</f>
        <v>61174</v>
      </c>
      <c r="B4620" s="3" t="str">
        <f>IFERROR(__xludf.DUMMYFUNCTION("""COMPUTED_VALUE"""),"5039 COUNTY 25 RD  ")</f>
        <v>5039 COUNTY 25 RD  </v>
      </c>
      <c r="C4620" s="3" t="str">
        <f>IFERROR(__xludf.DUMMYFUNCTION("""COMPUTED_VALUE"""),"WARKWORTH")</f>
        <v>WARKWORTH</v>
      </c>
      <c r="D4620" s="3" t="str">
        <f>IFERROR(__xludf.DUMMYFUNCTION("""COMPUTED_VALUE"""),"K0K 3K0")</f>
        <v>K0K 3K0</v>
      </c>
      <c r="E4620" s="3" t="str">
        <f>IFERROR(__xludf.DUMMYFUNCTION("""COMPUTED_VALUE"""),"Bert Kellar")</f>
        <v>Bert Kellar</v>
      </c>
      <c r="F4620" s="3"/>
      <c r="G4620" s="3"/>
      <c r="H4620" s="3"/>
    </row>
    <row r="4621">
      <c r="A4621" s="2">
        <f>IFERROR(__xludf.DUMMYFUNCTION("""COMPUTED_VALUE"""),61175.0)</f>
        <v>61175</v>
      </c>
      <c r="B4621" s="3" t="str">
        <f>IFERROR(__xludf.DUMMYFUNCTION("""COMPUTED_VALUE"""),"5046 COUNTY 25 RD  ")</f>
        <v>5046 COUNTY 25 RD  </v>
      </c>
      <c r="C4621" s="3" t="str">
        <f>IFERROR(__xludf.DUMMYFUNCTION("""COMPUTED_VALUE"""),"WARKWORTH")</f>
        <v>WARKWORTH</v>
      </c>
      <c r="D4621" s="3" t="str">
        <f>IFERROR(__xludf.DUMMYFUNCTION("""COMPUTED_VALUE"""),"K0K 3K0")</f>
        <v>K0K 3K0</v>
      </c>
      <c r="E4621" s="3"/>
      <c r="F4621" s="3"/>
      <c r="G4621" s="3"/>
      <c r="H4621" s="3"/>
    </row>
    <row r="4622">
      <c r="A4622" s="2">
        <f>IFERROR(__xludf.DUMMYFUNCTION("""COMPUTED_VALUE"""),61176.0)</f>
        <v>61176</v>
      </c>
      <c r="B4622" s="3" t="str">
        <f>IFERROR(__xludf.DUMMYFUNCTION("""COMPUTED_VALUE"""),"5050 COUNTY 25 RD  ")</f>
        <v>5050 COUNTY 25 RD  </v>
      </c>
      <c r="C4622" s="3" t="str">
        <f>IFERROR(__xludf.DUMMYFUNCTION("""COMPUTED_VALUE"""),"WARKWORTH")</f>
        <v>WARKWORTH</v>
      </c>
      <c r="D4622" s="3" t="str">
        <f>IFERROR(__xludf.DUMMYFUNCTION("""COMPUTED_VALUE"""),"K0K 3K0")</f>
        <v>K0K 3K0</v>
      </c>
      <c r="E4622" s="3" t="str">
        <f>IFERROR(__xludf.DUMMYFUNCTION("""COMPUTED_VALUE"""),"Paul Portelli ")</f>
        <v>Paul Portelli </v>
      </c>
      <c r="F4622" s="3" t="str">
        <f>IFERROR(__xludf.DUMMYFUNCTION("""COMPUTED_VALUE"""),"paulportellistudio@gmail.com")</f>
        <v>paulportellistudio@gmail.com</v>
      </c>
      <c r="G4622" s="3"/>
      <c r="H4622" s="3"/>
    </row>
    <row r="4623">
      <c r="A4623" s="2">
        <f>IFERROR(__xludf.DUMMYFUNCTION("""COMPUTED_VALUE"""),61177.0)</f>
        <v>61177</v>
      </c>
      <c r="B4623" s="3" t="str">
        <f>IFERROR(__xludf.DUMMYFUNCTION("""COMPUTED_VALUE"""),"5062 COUNTY 25 RD  ")</f>
        <v>5062 COUNTY 25 RD  </v>
      </c>
      <c r="C4623" s="3" t="str">
        <f>IFERROR(__xludf.DUMMYFUNCTION("""COMPUTED_VALUE"""),"WARKWORTH")</f>
        <v>WARKWORTH</v>
      </c>
      <c r="D4623" s="3" t="str">
        <f>IFERROR(__xludf.DUMMYFUNCTION("""COMPUTED_VALUE"""),"K0K 3K0")</f>
        <v>K0K 3K0</v>
      </c>
      <c r="E4623" s="3" t="str">
        <f>IFERROR(__xludf.DUMMYFUNCTION("""COMPUTED_VALUE"""),"Meghan Trottman")</f>
        <v>Meghan Trottman</v>
      </c>
      <c r="F4623" s="3" t="str">
        <f>IFERROR(__xludf.DUMMYFUNCTION("""COMPUTED_VALUE"""),"meghantrottman@gmail.com")</f>
        <v>meghantrottman@gmail.com</v>
      </c>
      <c r="G4623" s="3">
        <f>IFERROR(__xludf.DUMMYFUNCTION("""COMPUTED_VALUE"""),7.057619841E9)</f>
        <v>7057619841</v>
      </c>
      <c r="H4623" s="3"/>
    </row>
    <row r="4624">
      <c r="A4624" s="2">
        <f>IFERROR(__xludf.DUMMYFUNCTION("""COMPUTED_VALUE"""),63781.0)</f>
        <v>63781</v>
      </c>
      <c r="B4624" s="3" t="str">
        <f>IFERROR(__xludf.DUMMYFUNCTION("""COMPUTED_VALUE"""),"5070 COUNTY 25 RD  ")</f>
        <v>5070 COUNTY 25 RD  </v>
      </c>
      <c r="C4624" s="3" t="str">
        <f>IFERROR(__xludf.DUMMYFUNCTION("""COMPUTED_VALUE"""),"WARKWORTH")</f>
        <v>WARKWORTH</v>
      </c>
      <c r="D4624" s="3" t="str">
        <f>IFERROR(__xludf.DUMMYFUNCTION("""COMPUTED_VALUE"""),"K0K 3K0")</f>
        <v>K0K 3K0</v>
      </c>
      <c r="E4624" s="3"/>
      <c r="F4624" s="3"/>
      <c r="G4624" s="3"/>
      <c r="H4624" s="3"/>
    </row>
    <row r="4625">
      <c r="A4625" s="2">
        <f>IFERROR(__xludf.DUMMYFUNCTION("""COMPUTED_VALUE"""),61178.0)</f>
        <v>61178</v>
      </c>
      <c r="B4625" s="3" t="str">
        <f>IFERROR(__xludf.DUMMYFUNCTION("""COMPUTED_VALUE"""),"5073 COUNTY 25 RD  ")</f>
        <v>5073 COUNTY 25 RD  </v>
      </c>
      <c r="C4625" s="3" t="str">
        <f>IFERROR(__xludf.DUMMYFUNCTION("""COMPUTED_VALUE"""),"WARKWORTH")</f>
        <v>WARKWORTH</v>
      </c>
      <c r="D4625" s="3" t="str">
        <f>IFERROR(__xludf.DUMMYFUNCTION("""COMPUTED_VALUE"""),"K0K 3K0")</f>
        <v>K0K 3K0</v>
      </c>
      <c r="E4625" s="3" t="str">
        <f>IFERROR(__xludf.DUMMYFUNCTION("""COMPUTED_VALUE"""),"Terry &amp; Susan Carlaw")</f>
        <v>Terry &amp; Susan Carlaw</v>
      </c>
      <c r="F4625" s="3" t="str">
        <f>IFERROR(__xludf.DUMMYFUNCTION("""COMPUTED_VALUE"""),"susanvcarlaw@gmail.com")</f>
        <v>susanvcarlaw@gmail.com</v>
      </c>
      <c r="G4625" s="3"/>
      <c r="H4625" s="3"/>
    </row>
    <row r="4626">
      <c r="A4626" s="2">
        <f>IFERROR(__xludf.DUMMYFUNCTION("""COMPUTED_VALUE"""),61179.0)</f>
        <v>61179</v>
      </c>
      <c r="B4626" s="3" t="str">
        <f>IFERROR(__xludf.DUMMYFUNCTION("""COMPUTED_VALUE"""),"5080 COUNTY 25 RD  ")</f>
        <v>5080 COUNTY 25 RD  </v>
      </c>
      <c r="C4626" s="3" t="str">
        <f>IFERROR(__xludf.DUMMYFUNCTION("""COMPUTED_VALUE"""),"WARKWORTH")</f>
        <v>WARKWORTH</v>
      </c>
      <c r="D4626" s="3" t="str">
        <f>IFERROR(__xludf.DUMMYFUNCTION("""COMPUTED_VALUE"""),"K0K 3K0")</f>
        <v>K0K 3K0</v>
      </c>
      <c r="E4626" s="3" t="str">
        <f>IFERROR(__xludf.DUMMYFUNCTION("""COMPUTED_VALUE"""),"dane and donna stratton ")</f>
        <v>dane and donna stratton </v>
      </c>
      <c r="F4626" s="3" t="str">
        <f>IFERROR(__xludf.DUMMYFUNCTION("""COMPUTED_VALUE"""),"stratton2966@gmail.com")</f>
        <v>stratton2966@gmail.com</v>
      </c>
      <c r="G4626" s="3">
        <f>IFERROR(__xludf.DUMMYFUNCTION("""COMPUTED_VALUE"""),9.059226696E9)</f>
        <v>9059226696</v>
      </c>
      <c r="H4626" s="3"/>
    </row>
    <row r="4627">
      <c r="A4627" s="2">
        <f>IFERROR(__xludf.DUMMYFUNCTION("""COMPUTED_VALUE"""),61180.0)</f>
        <v>61180</v>
      </c>
      <c r="B4627" s="3" t="str">
        <f>IFERROR(__xludf.DUMMYFUNCTION("""COMPUTED_VALUE"""),"5117 COUNTY 25 RD  ")</f>
        <v>5117 COUNTY 25 RD  </v>
      </c>
      <c r="C4627" s="3" t="str">
        <f>IFERROR(__xludf.DUMMYFUNCTION("""COMPUTED_VALUE"""),"WARKWORTH")</f>
        <v>WARKWORTH</v>
      </c>
      <c r="D4627" s="3" t="str">
        <f>IFERROR(__xludf.DUMMYFUNCTION("""COMPUTED_VALUE"""),"K0K 3K0")</f>
        <v>K0K 3K0</v>
      </c>
      <c r="E4627" s="3" t="str">
        <f>IFERROR(__xludf.DUMMYFUNCTION("""COMPUTED_VALUE"""),"Natasha Hohol")</f>
        <v>Natasha Hohol</v>
      </c>
      <c r="F4627" s="3" t="str">
        <f>IFERROR(__xludf.DUMMYFUNCTION("""COMPUTED_VALUE"""),"natasha.kamyab93@gmail.com")</f>
        <v>natasha.kamyab93@gmail.com</v>
      </c>
      <c r="G4627" s="3">
        <f>IFERROR(__xludf.DUMMYFUNCTION("""COMPUTED_VALUE"""),9.052599657E9)</f>
        <v>9052599657</v>
      </c>
      <c r="H4627" s="3"/>
    </row>
    <row r="4628">
      <c r="A4628" s="2">
        <f>IFERROR(__xludf.DUMMYFUNCTION("""COMPUTED_VALUE"""),61181.0)</f>
        <v>61181</v>
      </c>
      <c r="B4628" s="3" t="str">
        <f>IFERROR(__xludf.DUMMYFUNCTION("""COMPUTED_VALUE"""),"5124 COUNTY 25 RD  ")</f>
        <v>5124 COUNTY 25 RD  </v>
      </c>
      <c r="C4628" s="3" t="str">
        <f>IFERROR(__xludf.DUMMYFUNCTION("""COMPUTED_VALUE"""),"WARKWORTH")</f>
        <v>WARKWORTH</v>
      </c>
      <c r="D4628" s="3" t="str">
        <f>IFERROR(__xludf.DUMMYFUNCTION("""COMPUTED_VALUE"""),"K0K 3K0")</f>
        <v>K0K 3K0</v>
      </c>
      <c r="E4628" s="3" t="str">
        <f>IFERROR(__xludf.DUMMYFUNCTION("""COMPUTED_VALUE"""),"gino deschenes")</f>
        <v>gino deschenes</v>
      </c>
      <c r="F4628" s="3"/>
      <c r="G4628" s="3">
        <f>IFERROR(__xludf.DUMMYFUNCTION("""COMPUTED_VALUE"""),7.059242123E9)</f>
        <v>7059242123</v>
      </c>
      <c r="H4628" s="3"/>
    </row>
    <row r="4629">
      <c r="A4629" s="2">
        <f>IFERROR(__xludf.DUMMYFUNCTION("""COMPUTED_VALUE"""),61182.0)</f>
        <v>61182</v>
      </c>
      <c r="B4629" s="3" t="str">
        <f>IFERROR(__xludf.DUMMYFUNCTION("""COMPUTED_VALUE"""),"5142 COUNTY 25 RD  ")</f>
        <v>5142 COUNTY 25 RD  </v>
      </c>
      <c r="C4629" s="3" t="str">
        <f>IFERROR(__xludf.DUMMYFUNCTION("""COMPUTED_VALUE"""),"WARKWORTH")</f>
        <v>WARKWORTH</v>
      </c>
      <c r="D4629" s="3" t="str">
        <f>IFERROR(__xludf.DUMMYFUNCTION("""COMPUTED_VALUE"""),"K0K 3K0")</f>
        <v>K0K 3K0</v>
      </c>
      <c r="E4629" s="3" t="str">
        <f>IFERROR(__xludf.DUMMYFUNCTION("""COMPUTED_VALUE"""),"Daniel Pence")</f>
        <v>Daniel Pence</v>
      </c>
      <c r="F4629" s="3" t="str">
        <f>IFERROR(__xludf.DUMMYFUNCTION("""COMPUTED_VALUE"""),"daniel-pence@hotmail.com")</f>
        <v>daniel-pence@hotmail.com</v>
      </c>
      <c r="G4629" s="3"/>
      <c r="H4629" s="3"/>
    </row>
    <row r="4630">
      <c r="A4630" s="2">
        <f>IFERROR(__xludf.DUMMYFUNCTION("""COMPUTED_VALUE"""),61183.0)</f>
        <v>61183</v>
      </c>
      <c r="B4630" s="3" t="str">
        <f>IFERROR(__xludf.DUMMYFUNCTION("""COMPUTED_VALUE"""),"5144 COUNTY 25 RD  ")</f>
        <v>5144 COUNTY 25 RD  </v>
      </c>
      <c r="C4630" s="3" t="str">
        <f>IFERROR(__xludf.DUMMYFUNCTION("""COMPUTED_VALUE"""),"WARKWORTH")</f>
        <v>WARKWORTH</v>
      </c>
      <c r="D4630" s="3" t="str">
        <f>IFERROR(__xludf.DUMMYFUNCTION("""COMPUTED_VALUE"""),"K0K 3K0")</f>
        <v>K0K 3K0</v>
      </c>
      <c r="E4630" s="3"/>
      <c r="F4630" s="3"/>
      <c r="G4630" s="3"/>
      <c r="H4630" s="3"/>
    </row>
    <row r="4631">
      <c r="A4631" s="2">
        <f>IFERROR(__xludf.DUMMYFUNCTION("""COMPUTED_VALUE"""),61184.0)</f>
        <v>61184</v>
      </c>
      <c r="B4631" s="3" t="str">
        <f>IFERROR(__xludf.DUMMYFUNCTION("""COMPUTED_VALUE"""),"5170 COUNTY 25 RD  ")</f>
        <v>5170 COUNTY 25 RD  </v>
      </c>
      <c r="C4631" s="3" t="str">
        <f>IFERROR(__xludf.DUMMYFUNCTION("""COMPUTED_VALUE"""),"WARKWORTH")</f>
        <v>WARKWORTH</v>
      </c>
      <c r="D4631" s="3" t="str">
        <f>IFERROR(__xludf.DUMMYFUNCTION("""COMPUTED_VALUE"""),"K0K 3K0")</f>
        <v>K0K 3K0</v>
      </c>
      <c r="E4631" s="3"/>
      <c r="F4631" s="3"/>
      <c r="G4631" s="3"/>
      <c r="H4631" s="3"/>
    </row>
    <row r="4632">
      <c r="A4632" s="2">
        <f>IFERROR(__xludf.DUMMYFUNCTION("""COMPUTED_VALUE"""),61190.0)</f>
        <v>61190</v>
      </c>
      <c r="B4632" s="3" t="str">
        <f>IFERROR(__xludf.DUMMYFUNCTION("""COMPUTED_VALUE"""),"5438 COUNTY RD 25")</f>
        <v>5438 COUNTY RD 25</v>
      </c>
      <c r="C4632" s="3" t="str">
        <f>IFERROR(__xludf.DUMMYFUNCTION("""COMPUTED_VALUE"""),"WARKWORTH")</f>
        <v>WARKWORTH</v>
      </c>
      <c r="D4632" s="3" t="str">
        <f>IFERROR(__xludf.DUMMYFUNCTION("""COMPUTED_VALUE"""),"K0K 3K0")</f>
        <v>K0K 3K0</v>
      </c>
      <c r="E4632" s="3"/>
      <c r="F4632" s="3"/>
      <c r="G4632" s="3"/>
      <c r="H4632" s="3"/>
    </row>
    <row r="4633">
      <c r="A4633" s="2">
        <f>IFERROR(__xludf.DUMMYFUNCTION("""COMPUTED_VALUE"""),61198.0)</f>
        <v>61198</v>
      </c>
      <c r="B4633" s="3" t="str">
        <f>IFERROR(__xludf.DUMMYFUNCTION("""COMPUTED_VALUE"""),"5802 COUNTY RD 25")</f>
        <v>5802 COUNTY RD 25</v>
      </c>
      <c r="C4633" s="3" t="str">
        <f>IFERROR(__xludf.DUMMYFUNCTION("""COMPUTED_VALUE"""),"WARKWORTH")</f>
        <v>WARKWORTH</v>
      </c>
      <c r="D4633" s="3" t="str">
        <f>IFERROR(__xludf.DUMMYFUNCTION("""COMPUTED_VALUE"""),"K0K 3K0")</f>
        <v>K0K 3K0</v>
      </c>
      <c r="E4633" s="3"/>
      <c r="F4633" s="3"/>
      <c r="G4633" s="3"/>
      <c r="H4633" s="3"/>
    </row>
    <row r="4634">
      <c r="A4634" s="2">
        <f>IFERROR(__xludf.DUMMYFUNCTION("""COMPUTED_VALUE"""),61644.0)</f>
        <v>61644</v>
      </c>
      <c r="B4634" s="3" t="str">
        <f>IFERROR(__xludf.DUMMYFUNCTION("""COMPUTED_VALUE"""),"1 DOMINION ST  ")</f>
        <v>1 DOMINION ST  </v>
      </c>
      <c r="C4634" s="3" t="str">
        <f>IFERROR(__xludf.DUMMYFUNCTION("""COMPUTED_VALUE"""),"WARKWORTH")</f>
        <v>WARKWORTH</v>
      </c>
      <c r="D4634" s="3" t="str">
        <f>IFERROR(__xludf.DUMMYFUNCTION("""COMPUTED_VALUE"""),"K0K 3K0")</f>
        <v>K0K 3K0</v>
      </c>
      <c r="E4634" s="3"/>
      <c r="F4634" s="3"/>
      <c r="G4634" s="3"/>
      <c r="H4634" s="3"/>
    </row>
    <row r="4635">
      <c r="A4635" s="2">
        <f>IFERROR(__xludf.DUMMYFUNCTION("""COMPUTED_VALUE"""),61645.0)</f>
        <v>61645</v>
      </c>
      <c r="B4635" s="3" t="str">
        <f>IFERROR(__xludf.DUMMYFUNCTION("""COMPUTED_VALUE"""),"2 DOMINION ST  ")</f>
        <v>2 DOMINION ST  </v>
      </c>
      <c r="C4635" s="3" t="str">
        <f>IFERROR(__xludf.DUMMYFUNCTION("""COMPUTED_VALUE"""),"WARKWORTH")</f>
        <v>WARKWORTH</v>
      </c>
      <c r="D4635" s="3" t="str">
        <f>IFERROR(__xludf.DUMMYFUNCTION("""COMPUTED_VALUE"""),"K0K 3K0")</f>
        <v>K0K 3K0</v>
      </c>
      <c r="E4635" s="3" t="str">
        <f>IFERROR(__xludf.DUMMYFUNCTION("""COMPUTED_VALUE"""),"john and penny semutch")</f>
        <v>john and penny semutch</v>
      </c>
      <c r="F4635" s="3" t="str">
        <f>IFERROR(__xludf.DUMMYFUNCTION("""COMPUTED_VALUE"""),"johnf55@bell.net")</f>
        <v>johnf55@bell.net</v>
      </c>
      <c r="G4635" s="3">
        <f>IFERROR(__xludf.DUMMYFUNCTION("""COMPUTED_VALUE"""),7.056538967E9)</f>
        <v>7056538967</v>
      </c>
      <c r="H4635" s="3">
        <f>IFERROR(__xludf.DUMMYFUNCTION("""COMPUTED_VALUE"""),7.056536407E9)</f>
        <v>7056536407</v>
      </c>
    </row>
    <row r="4636">
      <c r="A4636" s="2">
        <f>IFERROR(__xludf.DUMMYFUNCTION("""COMPUTED_VALUE"""),61646.0)</f>
        <v>61646</v>
      </c>
      <c r="B4636" s="3" t="str">
        <f>IFERROR(__xludf.DUMMYFUNCTION("""COMPUTED_VALUE"""),"12 DOMINION ST  ")</f>
        <v>12 DOMINION ST  </v>
      </c>
      <c r="C4636" s="3" t="str">
        <f>IFERROR(__xludf.DUMMYFUNCTION("""COMPUTED_VALUE"""),"WARKWORTH")</f>
        <v>WARKWORTH</v>
      </c>
      <c r="D4636" s="3" t="str">
        <f>IFERROR(__xludf.DUMMYFUNCTION("""COMPUTED_VALUE"""),"K0K 3K0")</f>
        <v>K0K 3K0</v>
      </c>
      <c r="E4636" s="3" t="str">
        <f>IFERROR(__xludf.DUMMYFUNCTION("""COMPUTED_VALUE"""),"Terrye Calnan")</f>
        <v>Terrye Calnan</v>
      </c>
      <c r="F4636" s="3" t="str">
        <f>IFERROR(__xludf.DUMMYFUNCTION("""COMPUTED_VALUE"""),"killerbear@sympatico.ca")</f>
        <v>killerbear@sympatico.ca</v>
      </c>
      <c r="G4636" s="3">
        <f>IFERROR(__xludf.DUMMYFUNCTION("""COMPUTED_VALUE"""),7.059242319E9)</f>
        <v>7059242319</v>
      </c>
      <c r="H4636" s="3"/>
    </row>
    <row r="4637">
      <c r="A4637" s="2">
        <f>IFERROR(__xludf.DUMMYFUNCTION("""COMPUTED_VALUE"""),61647.0)</f>
        <v>61647</v>
      </c>
      <c r="B4637" s="3" t="str">
        <f>IFERROR(__xludf.DUMMYFUNCTION("""COMPUTED_VALUE"""),"15 DOMINION ST  ")</f>
        <v>15 DOMINION ST  </v>
      </c>
      <c r="C4637" s="3" t="str">
        <f>IFERROR(__xludf.DUMMYFUNCTION("""COMPUTED_VALUE"""),"WARKWORTH")</f>
        <v>WARKWORTH</v>
      </c>
      <c r="D4637" s="3" t="str">
        <f>IFERROR(__xludf.DUMMYFUNCTION("""COMPUTED_VALUE"""),"K0K 3K0")</f>
        <v>K0K 3K0</v>
      </c>
      <c r="E4637" s="3" t="str">
        <f>IFERROR(__xludf.DUMMYFUNCTION("""COMPUTED_VALUE"""),"dallas richard")</f>
        <v>dallas richard</v>
      </c>
      <c r="F4637" s="3" t="str">
        <f>IFERROR(__xludf.DUMMYFUNCTION("""COMPUTED_VALUE"""),"drichard96@gmail.com")</f>
        <v>drichard96@gmail.com</v>
      </c>
      <c r="G4637" s="3">
        <f>IFERROR(__xludf.DUMMYFUNCTION("""COMPUTED_VALUE"""),9057933.0)</f>
        <v>9057933</v>
      </c>
      <c r="H4637" s="3"/>
    </row>
    <row r="4638">
      <c r="A4638" s="2">
        <f>IFERROR(__xludf.DUMMYFUNCTION("""COMPUTED_VALUE"""),61648.0)</f>
        <v>61648</v>
      </c>
      <c r="B4638" s="3" t="str">
        <f>IFERROR(__xludf.DUMMYFUNCTION("""COMPUTED_VALUE"""),"19 DOMINION ST  ")</f>
        <v>19 DOMINION ST  </v>
      </c>
      <c r="C4638" s="3" t="str">
        <f>IFERROR(__xludf.DUMMYFUNCTION("""COMPUTED_VALUE"""),"WARKWORTH")</f>
        <v>WARKWORTH</v>
      </c>
      <c r="D4638" s="3" t="str">
        <f>IFERROR(__xludf.DUMMYFUNCTION("""COMPUTED_VALUE"""),"K0K 3K0")</f>
        <v>K0K 3K0</v>
      </c>
      <c r="E4638" s="3" t="str">
        <f>IFERROR(__xludf.DUMMYFUNCTION("""COMPUTED_VALUE"""),"Mateusz Swoboda")</f>
        <v>Mateusz Swoboda</v>
      </c>
      <c r="F4638" s="3" t="str">
        <f>IFERROR(__xludf.DUMMYFUNCTION("""COMPUTED_VALUE"""),"mateusz.swoboda@gmail.com")</f>
        <v>mateusz.swoboda@gmail.com</v>
      </c>
      <c r="G4638" s="3">
        <f>IFERROR(__xludf.DUMMYFUNCTION("""COMPUTED_VALUE"""),4.165778649E9)</f>
        <v>4165778649</v>
      </c>
      <c r="H4638" s="3"/>
    </row>
    <row r="4639">
      <c r="A4639" s="2">
        <f>IFERROR(__xludf.DUMMYFUNCTION("""COMPUTED_VALUE"""),61649.0)</f>
        <v>61649</v>
      </c>
      <c r="B4639" s="3" t="str">
        <f>IFERROR(__xludf.DUMMYFUNCTION("""COMPUTED_VALUE"""),"34 DOMINION ST  ")</f>
        <v>34 DOMINION ST  </v>
      </c>
      <c r="C4639" s="3" t="str">
        <f>IFERROR(__xludf.DUMMYFUNCTION("""COMPUTED_VALUE"""),"WARKWORTH")</f>
        <v>WARKWORTH</v>
      </c>
      <c r="D4639" s="3" t="str">
        <f>IFERROR(__xludf.DUMMYFUNCTION("""COMPUTED_VALUE"""),"K0K 3K0")</f>
        <v>K0K 3K0</v>
      </c>
      <c r="E4639" s="3" t="str">
        <f>IFERROR(__xludf.DUMMYFUNCTION("""COMPUTED_VALUE"""),"phyllis fenton")</f>
        <v>phyllis fenton</v>
      </c>
      <c r="F4639" s="3" t="str">
        <f>IFERROR(__xludf.DUMMYFUNCTION("""COMPUTED_VALUE"""),"pefenton25@gmail.com")</f>
        <v>pefenton25@gmail.com</v>
      </c>
      <c r="G4639" s="3">
        <f>IFERROR(__xludf.DUMMYFUNCTION("""COMPUTED_VALUE"""),9.053755488E9)</f>
        <v>9053755488</v>
      </c>
      <c r="H4639" s="3"/>
    </row>
    <row r="4640">
      <c r="A4640" s="2">
        <f>IFERROR(__xludf.DUMMYFUNCTION("""COMPUTED_VALUE"""),61650.0)</f>
        <v>61650</v>
      </c>
      <c r="B4640" s="3" t="str">
        <f>IFERROR(__xludf.DUMMYFUNCTION("""COMPUTED_VALUE"""),"35 DOMINION ST  ")</f>
        <v>35 DOMINION ST  </v>
      </c>
      <c r="C4640" s="3" t="str">
        <f>IFERROR(__xludf.DUMMYFUNCTION("""COMPUTED_VALUE"""),"WARKWORTH")</f>
        <v>WARKWORTH</v>
      </c>
      <c r="D4640" s="3" t="str">
        <f>IFERROR(__xludf.DUMMYFUNCTION("""COMPUTED_VALUE"""),"K0K 3K0")</f>
        <v>K0K 3K0</v>
      </c>
      <c r="E4640" s="3"/>
      <c r="F4640" s="3"/>
      <c r="G4640" s="3"/>
      <c r="H4640" s="3"/>
    </row>
    <row r="4641">
      <c r="A4641" s="2">
        <f>IFERROR(__xludf.DUMMYFUNCTION("""COMPUTED_VALUE"""),62728.0)</f>
        <v>62728</v>
      </c>
      <c r="B4641" s="3" t="str">
        <f>IFERROR(__xludf.DUMMYFUNCTION("""COMPUTED_VALUE"""),"18 NELSON ST  ")</f>
        <v>18 NELSON ST  </v>
      </c>
      <c r="C4641" s="3" t="str">
        <f>IFERROR(__xludf.DUMMYFUNCTION("""COMPUTED_VALUE"""),"WARKWORTH")</f>
        <v>WARKWORTH</v>
      </c>
      <c r="D4641" s="3" t="str">
        <f>IFERROR(__xludf.DUMMYFUNCTION("""COMPUTED_VALUE"""),"K0K 3K0")</f>
        <v>K0K 3K0</v>
      </c>
      <c r="E4641" s="3"/>
      <c r="F4641" s="3"/>
      <c r="G4641" s="3"/>
      <c r="H4641" s="3"/>
    </row>
    <row r="4642">
      <c r="A4642" s="2">
        <f>IFERROR(__xludf.DUMMYFUNCTION("""COMPUTED_VALUE"""),61651.0)</f>
        <v>61651</v>
      </c>
      <c r="B4642" s="3" t="str">
        <f>IFERROR(__xludf.DUMMYFUNCTION("""COMPUTED_VALUE"""),"45 DOMINION ST  ")</f>
        <v>45 DOMINION ST  </v>
      </c>
      <c r="C4642" s="3" t="str">
        <f>IFERROR(__xludf.DUMMYFUNCTION("""COMPUTED_VALUE"""),"WARKWORTH")</f>
        <v>WARKWORTH</v>
      </c>
      <c r="D4642" s="3" t="str">
        <f>IFERROR(__xludf.DUMMYFUNCTION("""COMPUTED_VALUE"""),"K0K 3K0")</f>
        <v>K0K 3K0</v>
      </c>
      <c r="E4642" s="3" t="str">
        <f>IFERROR(__xludf.DUMMYFUNCTION("""COMPUTED_VALUE"""),"alllen insurance brokers")</f>
        <v>alllen insurance brokers</v>
      </c>
      <c r="F4642" s="3" t="str">
        <f>IFERROR(__xludf.DUMMYFUNCTION("""COMPUTED_VALUE"""),"brycea@alleninsurance.ca")</f>
        <v>brycea@alleninsurance.ca</v>
      </c>
      <c r="G4642" s="3"/>
      <c r="H4642" s="3"/>
    </row>
    <row r="4643">
      <c r="A4643" s="2">
        <f>IFERROR(__xludf.DUMMYFUNCTION("""COMPUTED_VALUE"""),61286.0)</f>
        <v>61286</v>
      </c>
      <c r="B4643" s="3" t="str">
        <f>IFERROR(__xludf.DUMMYFUNCTION("""COMPUTED_VALUE"""),"4364 COUNTY 30 RD  ")</f>
        <v>4364 COUNTY 30 RD  </v>
      </c>
      <c r="C4643" s="3" t="str">
        <f>IFERROR(__xludf.DUMMYFUNCTION("""COMPUTED_VALUE"""),"CAMPBELLFORD")</f>
        <v>CAMPBELLFORD</v>
      </c>
      <c r="D4643" s="3" t="str">
        <f>IFERROR(__xludf.DUMMYFUNCTION("""COMPUTED_VALUE"""),"K0L 1L0")</f>
        <v>K0L 1L0</v>
      </c>
      <c r="E4643" s="3"/>
      <c r="F4643" s="3"/>
      <c r="G4643" s="3"/>
      <c r="H4643" s="3"/>
    </row>
    <row r="4644">
      <c r="A4644" s="2">
        <f>IFERROR(__xludf.DUMMYFUNCTION("""COMPUTED_VALUE"""),61287.0)</f>
        <v>61287</v>
      </c>
      <c r="B4644" s="3" t="str">
        <f>IFERROR(__xludf.DUMMYFUNCTION("""COMPUTED_VALUE"""),"4389 COUNTY 30 RD  ")</f>
        <v>4389 COUNTY 30 RD  </v>
      </c>
      <c r="C4644" s="3" t="str">
        <f>IFERROR(__xludf.DUMMYFUNCTION("""COMPUTED_VALUE"""),"CAMPBELLFORD")</f>
        <v>CAMPBELLFORD</v>
      </c>
      <c r="D4644" s="3" t="str">
        <f>IFERROR(__xludf.DUMMYFUNCTION("""COMPUTED_VALUE"""),"K0L 1L0")</f>
        <v>K0L 1L0</v>
      </c>
      <c r="E4644" s="3"/>
      <c r="F4644" s="3"/>
      <c r="G4644" s="3"/>
      <c r="H4644" s="3"/>
    </row>
    <row r="4645">
      <c r="A4645" s="2">
        <f>IFERROR(__xludf.DUMMYFUNCTION("""COMPUTED_VALUE"""),61288.0)</f>
        <v>61288</v>
      </c>
      <c r="B4645" s="3" t="str">
        <f>IFERROR(__xludf.DUMMYFUNCTION("""COMPUTED_VALUE"""),"4405 COUNTY 30 RD  ")</f>
        <v>4405 COUNTY 30 RD  </v>
      </c>
      <c r="C4645" s="3" t="str">
        <f>IFERROR(__xludf.DUMMYFUNCTION("""COMPUTED_VALUE"""),"CAMPBELLFORD")</f>
        <v>CAMPBELLFORD</v>
      </c>
      <c r="D4645" s="3" t="str">
        <f>IFERROR(__xludf.DUMMYFUNCTION("""COMPUTED_VALUE"""),"K0L 1L0")</f>
        <v>K0L 1L0</v>
      </c>
      <c r="E4645" s="3" t="str">
        <f>IFERROR(__xludf.DUMMYFUNCTION("""COMPUTED_VALUE"""),"debbire grant (stacey brown)")</f>
        <v>debbire grant (stacey brown)</v>
      </c>
      <c r="F4645" s="3"/>
      <c r="G4645" s="3">
        <f>IFERROR(__xludf.DUMMYFUNCTION("""COMPUTED_VALUE"""),2.892513318E9)</f>
        <v>2892513318</v>
      </c>
      <c r="H4645" s="3"/>
    </row>
    <row r="4646">
      <c r="A4646" s="2">
        <f>IFERROR(__xludf.DUMMYFUNCTION("""COMPUTED_VALUE"""),61289.0)</f>
        <v>61289</v>
      </c>
      <c r="B4646" s="3" t="str">
        <f>IFERROR(__xludf.DUMMYFUNCTION("""COMPUTED_VALUE"""),"4485 COUNTY RD 30")</f>
        <v>4485 COUNTY RD 30</v>
      </c>
      <c r="C4646" s="3"/>
      <c r="D4646" s="3"/>
      <c r="E4646" s="3"/>
      <c r="F4646" s="3"/>
      <c r="G4646" s="3"/>
      <c r="H4646" s="3"/>
    </row>
    <row r="4647">
      <c r="A4647" s="2">
        <f>IFERROR(__xludf.DUMMYFUNCTION("""COMPUTED_VALUE"""),61662.0)</f>
        <v>61662</v>
      </c>
      <c r="B4647" s="3" t="str">
        <f>IFERROR(__xludf.DUMMYFUNCTION("""COMPUTED_VALUE"""),"101 DUNFORDS LANE  ")</f>
        <v>101 DUNFORDS LANE  </v>
      </c>
      <c r="C4647" s="3" t="str">
        <f>IFERROR(__xludf.DUMMYFUNCTION("""COMPUTED_VALUE"""),"HAVELOCK")</f>
        <v>HAVELOCK</v>
      </c>
      <c r="D4647" s="3" t="str">
        <f>IFERROR(__xludf.DUMMYFUNCTION("""COMPUTED_VALUE"""),"K0L 1Z0")</f>
        <v>K0L 1Z0</v>
      </c>
      <c r="E4647" s="3" t="str">
        <f>IFERROR(__xludf.DUMMYFUNCTION("""COMPUTED_VALUE"""),"Doug and Tina Whiteman")</f>
        <v>Doug and Tina Whiteman</v>
      </c>
      <c r="F4647" s="3" t="str">
        <f>IFERROR(__xludf.DUMMYFUNCTION("""COMPUTED_VALUE"""),"whitemant@hotmail.com")</f>
        <v>whitemant@hotmail.com</v>
      </c>
      <c r="G4647" s="3"/>
      <c r="H4647" s="3"/>
    </row>
    <row r="4648">
      <c r="A4648" s="2">
        <f>IFERROR(__xludf.DUMMYFUNCTION("""COMPUTED_VALUE"""),61663.0)</f>
        <v>61663</v>
      </c>
      <c r="B4648" s="3" t="str">
        <f>IFERROR(__xludf.DUMMYFUNCTION("""COMPUTED_VALUE"""),"134 DUNFORDS LANE  ")</f>
        <v>134 DUNFORDS LANE  </v>
      </c>
      <c r="C4648" s="3" t="str">
        <f>IFERROR(__xludf.DUMMYFUNCTION("""COMPUTED_VALUE"""),"HAVELOCK")</f>
        <v>HAVELOCK</v>
      </c>
      <c r="D4648" s="3" t="str">
        <f>IFERROR(__xludf.DUMMYFUNCTION("""COMPUTED_VALUE"""),"K0L 1Z0")</f>
        <v>K0L 1Z0</v>
      </c>
      <c r="E4648" s="3"/>
      <c r="F4648" s="3"/>
      <c r="G4648" s="3"/>
      <c r="H4648" s="3"/>
    </row>
    <row r="4649">
      <c r="A4649" s="2">
        <f>IFERROR(__xludf.DUMMYFUNCTION("""COMPUTED_VALUE"""),61666.0)</f>
        <v>61666</v>
      </c>
      <c r="B4649" s="3" t="str">
        <f>IFERROR(__xludf.DUMMYFUNCTION("""COMPUTED_VALUE"""),"200 DUNFORDS LANE  ")</f>
        <v>200 DUNFORDS LANE  </v>
      </c>
      <c r="C4649" s="3" t="str">
        <f>IFERROR(__xludf.DUMMYFUNCTION("""COMPUTED_VALUE"""),"HAVELOCK")</f>
        <v>HAVELOCK</v>
      </c>
      <c r="D4649" s="3" t="str">
        <f>IFERROR(__xludf.DUMMYFUNCTION("""COMPUTED_VALUE"""),"K0L 1Z0")</f>
        <v>K0L 1Z0</v>
      </c>
      <c r="E4649" s="3" t="str">
        <f>IFERROR(__xludf.DUMMYFUNCTION("""COMPUTED_VALUE"""),"Jeff Danik")</f>
        <v>Jeff Danik</v>
      </c>
      <c r="F4649" s="3" t="str">
        <f>IFERROR(__xludf.DUMMYFUNCTION("""COMPUTED_VALUE"""),"Jeff.danik@gmail.com")</f>
        <v>Jeff.danik@gmail.com</v>
      </c>
      <c r="G4649" s="3">
        <f>IFERROR(__xludf.DUMMYFUNCTION("""COMPUTED_VALUE"""),9.052619278E9)</f>
        <v>9052619278</v>
      </c>
      <c r="H4649" s="3">
        <f>IFERROR(__xludf.DUMMYFUNCTION("""COMPUTED_VALUE"""),9.057061796E9)</f>
        <v>9057061796</v>
      </c>
    </row>
    <row r="4650">
      <c r="A4650" s="2">
        <f>IFERROR(__xludf.DUMMYFUNCTION("""COMPUTED_VALUE"""),61667.0)</f>
        <v>61667</v>
      </c>
      <c r="B4650" s="3" t="str">
        <f>IFERROR(__xludf.DUMMYFUNCTION("""COMPUTED_VALUE"""),"202 DUNFORDS LANE  ")</f>
        <v>202 DUNFORDS LANE  </v>
      </c>
      <c r="C4650" s="3" t="str">
        <f>IFERROR(__xludf.DUMMYFUNCTION("""COMPUTED_VALUE"""),"HAVELOCK")</f>
        <v>HAVELOCK</v>
      </c>
      <c r="D4650" s="3" t="str">
        <f>IFERROR(__xludf.DUMMYFUNCTION("""COMPUTED_VALUE"""),"K0L 1Z0")</f>
        <v>K0L 1Z0</v>
      </c>
      <c r="E4650" s="3"/>
      <c r="F4650" s="3"/>
      <c r="G4650" s="3"/>
      <c r="H4650" s="3"/>
    </row>
    <row r="4651">
      <c r="A4651" s="2">
        <f>IFERROR(__xludf.DUMMYFUNCTION("""COMPUTED_VALUE"""),61668.0)</f>
        <v>61668</v>
      </c>
      <c r="B4651" s="3" t="str">
        <f>IFERROR(__xludf.DUMMYFUNCTION("""COMPUTED_VALUE"""),"206 DUNFORDS LANE  ")</f>
        <v>206 DUNFORDS LANE  </v>
      </c>
      <c r="C4651" s="3" t="str">
        <f>IFERROR(__xludf.DUMMYFUNCTION("""COMPUTED_VALUE"""),"HAVELOCK")</f>
        <v>HAVELOCK</v>
      </c>
      <c r="D4651" s="3" t="str">
        <f>IFERROR(__xludf.DUMMYFUNCTION("""COMPUTED_VALUE"""),"K0L 1Z0")</f>
        <v>K0L 1Z0</v>
      </c>
      <c r="E4651" s="3" t="str">
        <f>IFERROR(__xludf.DUMMYFUNCTION("""COMPUTED_VALUE"""),"Denus kokhanov ")</f>
        <v>Denus kokhanov </v>
      </c>
      <c r="F4651" s="3" t="str">
        <f>IFERROR(__xludf.DUMMYFUNCTION("""COMPUTED_VALUE"""),"Kokhanovdenus@gmail.com")</f>
        <v>Kokhanovdenus@gmail.com</v>
      </c>
      <c r="G4651" s="3">
        <f>IFERROR(__xludf.DUMMYFUNCTION("""COMPUTED_VALUE"""),6.478684343E9)</f>
        <v>6478684343</v>
      </c>
      <c r="H4651" s="3"/>
    </row>
    <row r="4652">
      <c r="A4652" s="2">
        <f>IFERROR(__xludf.DUMMYFUNCTION("""COMPUTED_VALUE"""),61669.0)</f>
        <v>61669</v>
      </c>
      <c r="B4652" s="3" t="str">
        <f>IFERROR(__xludf.DUMMYFUNCTION("""COMPUTED_VALUE"""),"154A DUNFORDS LANE  ")</f>
        <v>154A DUNFORDS LANE  </v>
      </c>
      <c r="C4652" s="3" t="str">
        <f>IFERROR(__xludf.DUMMYFUNCTION("""COMPUTED_VALUE"""),"HAVELOCK")</f>
        <v>HAVELOCK</v>
      </c>
      <c r="D4652" s="3" t="str">
        <f>IFERROR(__xludf.DUMMYFUNCTION("""COMPUTED_VALUE"""),"K0L 1Z0")</f>
        <v>K0L 1Z0</v>
      </c>
      <c r="E4652" s="3" t="str">
        <f>IFERROR(__xludf.DUMMYFUNCTION("""COMPUTED_VALUE"""),"Pat and Gerry moriarty")</f>
        <v>Pat and Gerry moriarty</v>
      </c>
      <c r="F4652" s="3" t="str">
        <f>IFERROR(__xludf.DUMMYFUNCTION("""COMPUTED_VALUE"""),"Trentmart1@gmail.com")</f>
        <v>Trentmart1@gmail.com</v>
      </c>
      <c r="G4652" s="3">
        <f>IFERROR(__xludf.DUMMYFUNCTION("""COMPUTED_VALUE"""),7.057619557E9)</f>
        <v>7057619557</v>
      </c>
      <c r="H4652" s="3"/>
    </row>
    <row r="4653">
      <c r="A4653" s="2">
        <f>IFERROR(__xludf.DUMMYFUNCTION("""COMPUTED_VALUE"""),61670.0)</f>
        <v>61670</v>
      </c>
      <c r="B4653" s="3" t="str">
        <f>IFERROR(__xludf.DUMMYFUNCTION("""COMPUTED_VALUE"""),"154B DUNFORDS LANE  ")</f>
        <v>154B DUNFORDS LANE  </v>
      </c>
      <c r="C4653" s="3" t="str">
        <f>IFERROR(__xludf.DUMMYFUNCTION("""COMPUTED_VALUE"""),"HAVELOCK")</f>
        <v>HAVELOCK</v>
      </c>
      <c r="D4653" s="3" t="str">
        <f>IFERROR(__xludf.DUMMYFUNCTION("""COMPUTED_VALUE"""),"K0L 1Z0")</f>
        <v>K0L 1Z0</v>
      </c>
      <c r="E4653" s="3" t="str">
        <f>IFERROR(__xludf.DUMMYFUNCTION("""COMPUTED_VALUE"""),"Pat and Gerry moriarty")</f>
        <v>Pat and Gerry moriarty</v>
      </c>
      <c r="F4653" s="3" t="str">
        <f>IFERROR(__xludf.DUMMYFUNCTION("""COMPUTED_VALUE"""),"Trentmart1@gmail.con")</f>
        <v>Trentmart1@gmail.con</v>
      </c>
      <c r="G4653" s="3">
        <f>IFERROR(__xludf.DUMMYFUNCTION("""COMPUTED_VALUE"""),7.057619557E9)</f>
        <v>7057619557</v>
      </c>
      <c r="H4653" s="3"/>
    </row>
    <row r="4654">
      <c r="A4654" s="2">
        <f>IFERROR(__xludf.DUMMYFUNCTION("""COMPUTED_VALUE"""),61671.0)</f>
        <v>61671</v>
      </c>
      <c r="B4654" s="3" t="str">
        <f>IFERROR(__xludf.DUMMYFUNCTION("""COMPUTED_VALUE"""),"154C DUNFORDS LANE  ")</f>
        <v>154C DUNFORDS LANE  </v>
      </c>
      <c r="C4654" s="3" t="str">
        <f>IFERROR(__xludf.DUMMYFUNCTION("""COMPUTED_VALUE"""),"HAVELOCK")</f>
        <v>HAVELOCK</v>
      </c>
      <c r="D4654" s="3" t="str">
        <f>IFERROR(__xludf.DUMMYFUNCTION("""COMPUTED_VALUE"""),"K0L 1Z0")</f>
        <v>K0L 1Z0</v>
      </c>
      <c r="E4654" s="3" t="str">
        <f>IFERROR(__xludf.DUMMYFUNCTION("""COMPUTED_VALUE"""),"Glenn moriarty")</f>
        <v>Glenn moriarty</v>
      </c>
      <c r="F4654" s="3" t="str">
        <f>IFERROR(__xludf.DUMMYFUNCTION("""COMPUTED_VALUE"""),"Trentmart1@gmail.com")</f>
        <v>Trentmart1@gmail.com</v>
      </c>
      <c r="G4654" s="3">
        <f>IFERROR(__xludf.DUMMYFUNCTION("""COMPUTED_VALUE"""),6.476410624E9)</f>
        <v>6476410624</v>
      </c>
      <c r="H4654" s="3"/>
    </row>
    <row r="4655">
      <c r="A4655" s="2">
        <f>IFERROR(__xludf.DUMMYFUNCTION("""COMPUTED_VALUE"""),61672.0)</f>
        <v>61672</v>
      </c>
      <c r="B4655" s="3" t="str">
        <f>IFERROR(__xludf.DUMMYFUNCTION("""COMPUTED_VALUE"""),"154D DUNFORDS LANE  ")</f>
        <v>154D DUNFORDS LANE  </v>
      </c>
      <c r="C4655" s="3" t="str">
        <f>IFERROR(__xludf.DUMMYFUNCTION("""COMPUTED_VALUE"""),"HAVELOCK")</f>
        <v>HAVELOCK</v>
      </c>
      <c r="D4655" s="3" t="str">
        <f>IFERROR(__xludf.DUMMYFUNCTION("""COMPUTED_VALUE"""),"K0L 1Z0")</f>
        <v>K0L 1Z0</v>
      </c>
      <c r="E4655" s="3" t="str">
        <f>IFERROR(__xludf.DUMMYFUNCTION("""COMPUTED_VALUE"""),"trevor chambers")</f>
        <v>trevor chambers</v>
      </c>
      <c r="F4655" s="3" t="str">
        <f>IFERROR(__xludf.DUMMYFUNCTION("""COMPUTED_VALUE"""),"sharonchambers@roger.com")</f>
        <v>sharonchambers@roger.com</v>
      </c>
      <c r="G4655" s="3">
        <f>IFERROR(__xludf.DUMMYFUNCTION("""COMPUTED_VALUE"""),6.473028137E9)</f>
        <v>6473028137</v>
      </c>
      <c r="H4655" s="3"/>
    </row>
    <row r="4656">
      <c r="A4656" s="2">
        <f>IFERROR(__xludf.DUMMYFUNCTION("""COMPUTED_VALUE"""),61673.0)</f>
        <v>61673</v>
      </c>
      <c r="B4656" s="3" t="str">
        <f>IFERROR(__xludf.DUMMYFUNCTION("""COMPUTED_VALUE"""),"154E DUNFORDS LANE  ")</f>
        <v>154E DUNFORDS LANE  </v>
      </c>
      <c r="C4656" s="3" t="str">
        <f>IFERROR(__xludf.DUMMYFUNCTION("""COMPUTED_VALUE"""),"HAVELOCK")</f>
        <v>HAVELOCK</v>
      </c>
      <c r="D4656" s="3" t="str">
        <f>IFERROR(__xludf.DUMMYFUNCTION("""COMPUTED_VALUE"""),"K0L 1Z0")</f>
        <v>K0L 1Z0</v>
      </c>
      <c r="E4656" s="3" t="str">
        <f>IFERROR(__xludf.DUMMYFUNCTION("""COMPUTED_VALUE"""),"Norman Gregg ")</f>
        <v>Norman Gregg </v>
      </c>
      <c r="F4656" s="3" t="str">
        <f>IFERROR(__xludf.DUMMYFUNCTION("""COMPUTED_VALUE"""),"Norjack154e@gmail.com")</f>
        <v>Norjack154e@gmail.com</v>
      </c>
      <c r="G4656" s="3">
        <f>IFERROR(__xludf.DUMMYFUNCTION("""COMPUTED_VALUE"""),7.057781345E9)</f>
        <v>7057781345</v>
      </c>
      <c r="H4656" s="3">
        <f>IFERROR(__xludf.DUMMYFUNCTION("""COMPUTED_VALUE"""),7.056329189E9)</f>
        <v>7056329189</v>
      </c>
    </row>
    <row r="4657">
      <c r="A4657" s="2">
        <f>IFERROR(__xludf.DUMMYFUNCTION("""COMPUTED_VALUE"""),61674.0)</f>
        <v>61674</v>
      </c>
      <c r="B4657" s="3" t="str">
        <f>IFERROR(__xludf.DUMMYFUNCTION("""COMPUTED_VALUE"""),"154F DUNFORDS LANE  ")</f>
        <v>154F DUNFORDS LANE  </v>
      </c>
      <c r="C4657" s="3" t="str">
        <f>IFERROR(__xludf.DUMMYFUNCTION("""COMPUTED_VALUE"""),"HAVELOCK")</f>
        <v>HAVELOCK</v>
      </c>
      <c r="D4657" s="3" t="str">
        <f>IFERROR(__xludf.DUMMYFUNCTION("""COMPUTED_VALUE"""),"K0L 1Z0")</f>
        <v>K0L 1Z0</v>
      </c>
      <c r="E4657" s="3" t="str">
        <f>IFERROR(__xludf.DUMMYFUNCTION("""COMPUTED_VALUE"""),"John v, ")</f>
        <v>John v, </v>
      </c>
      <c r="F4657" s="3"/>
      <c r="G4657" s="3">
        <f>IFERROR(__xludf.DUMMYFUNCTION("""COMPUTED_VALUE"""),4.162193649E9)</f>
        <v>4162193649</v>
      </c>
      <c r="H4657" s="3"/>
    </row>
    <row r="4658">
      <c r="A4658" s="2">
        <f>IFERROR(__xludf.DUMMYFUNCTION("""COMPUTED_VALUE"""),61677.0)</f>
        <v>61677</v>
      </c>
      <c r="B4658" s="3" t="str">
        <f>IFERROR(__xludf.DUMMYFUNCTION("""COMPUTED_VALUE"""),"178A DUNFORDS LANE  ")</f>
        <v>178A DUNFORDS LANE  </v>
      </c>
      <c r="C4658" s="3" t="str">
        <f>IFERROR(__xludf.DUMMYFUNCTION("""COMPUTED_VALUE"""),"HAVELOCK")</f>
        <v>HAVELOCK</v>
      </c>
      <c r="D4658" s="3" t="str">
        <f>IFERROR(__xludf.DUMMYFUNCTION("""COMPUTED_VALUE"""),"K0L 1Z0")</f>
        <v>K0L 1Z0</v>
      </c>
      <c r="E4658" s="3"/>
      <c r="F4658" s="3"/>
      <c r="G4658" s="3"/>
      <c r="H4658" s="3"/>
    </row>
    <row r="4659">
      <c r="A4659" s="2">
        <f>IFERROR(__xludf.DUMMYFUNCTION("""COMPUTED_VALUE"""),61678.0)</f>
        <v>61678</v>
      </c>
      <c r="B4659" s="3" t="str">
        <f>IFERROR(__xludf.DUMMYFUNCTION("""COMPUTED_VALUE"""),"178B DUNFORDS LANE  ")</f>
        <v>178B DUNFORDS LANE  </v>
      </c>
      <c r="C4659" s="3" t="str">
        <f>IFERROR(__xludf.DUMMYFUNCTION("""COMPUTED_VALUE"""),"HAVELOCK")</f>
        <v>HAVELOCK</v>
      </c>
      <c r="D4659" s="3" t="str">
        <f>IFERROR(__xludf.DUMMYFUNCTION("""COMPUTED_VALUE"""),"K0L 1Z0")</f>
        <v>K0L 1Z0</v>
      </c>
      <c r="E4659" s="3" t="str">
        <f>IFERROR(__xludf.DUMMYFUNCTION("""COMPUTED_VALUE"""),"Sherry Robinson")</f>
        <v>Sherry Robinson</v>
      </c>
      <c r="F4659" s="3" t="str">
        <f>IFERROR(__xludf.DUMMYFUNCTION("""COMPUTED_VALUE"""),"Sherryrobinson7789@gmail.com")</f>
        <v>Sherryrobinson7789@gmail.com</v>
      </c>
      <c r="G4659" s="3">
        <f>IFERROR(__xludf.DUMMYFUNCTION("""COMPUTED_VALUE"""),9.05903404E9)</f>
        <v>9059034040</v>
      </c>
      <c r="H4659" s="3"/>
    </row>
    <row r="4660">
      <c r="A4660" s="2">
        <f>IFERROR(__xludf.DUMMYFUNCTION("""COMPUTED_VALUE"""),61679.0)</f>
        <v>61679</v>
      </c>
      <c r="B4660" s="3" t="str">
        <f>IFERROR(__xludf.DUMMYFUNCTION("""COMPUTED_VALUE"""),"178C DUNFORDS LANE  ")</f>
        <v>178C DUNFORDS LANE  </v>
      </c>
      <c r="C4660" s="3" t="str">
        <f>IFERROR(__xludf.DUMMYFUNCTION("""COMPUTED_VALUE"""),"HAVELOCK")</f>
        <v>HAVELOCK</v>
      </c>
      <c r="D4660" s="3" t="str">
        <f>IFERROR(__xludf.DUMMYFUNCTION("""COMPUTED_VALUE"""),"K0L 1Z0")</f>
        <v>K0L 1Z0</v>
      </c>
      <c r="E4660" s="3"/>
      <c r="F4660" s="3"/>
      <c r="G4660" s="3"/>
      <c r="H4660" s="3"/>
    </row>
    <row r="4661">
      <c r="A4661" s="2">
        <f>IFERROR(__xludf.DUMMYFUNCTION("""COMPUTED_VALUE"""),60093.0)</f>
        <v>60093</v>
      </c>
      <c r="B4661" s="3" t="str">
        <f>IFERROR(__xludf.DUMMYFUNCTION("""COMPUTED_VALUE"""),"1268 12TH LINE W")</f>
        <v>1268 12TH LINE W</v>
      </c>
      <c r="C4661" s="3" t="str">
        <f>IFERROR(__xludf.DUMMYFUNCTION("""COMPUTED_VALUE"""),"CAMPBELLFORD")</f>
        <v>CAMPBELLFORD</v>
      </c>
      <c r="D4661" s="3" t="str">
        <f>IFERROR(__xludf.DUMMYFUNCTION("""COMPUTED_VALUE"""),"K0L 1L0")</f>
        <v>K0L 1L0</v>
      </c>
      <c r="E4661" s="3" t="str">
        <f>IFERROR(__xludf.DUMMYFUNCTION("""COMPUTED_VALUE"""),"Jody Burnie")</f>
        <v>Jody Burnie</v>
      </c>
      <c r="F4661" s="3" t="str">
        <f>IFERROR(__xludf.DUMMYFUNCTION("""COMPUTED_VALUE"""),"jpjodyburnie@live.com")</f>
        <v>jpjodyburnie@live.com</v>
      </c>
      <c r="G4661" s="3">
        <f>IFERROR(__xludf.DUMMYFUNCTION("""COMPUTED_VALUE"""),2.493539548E9)</f>
        <v>2493539548</v>
      </c>
      <c r="H4661" s="3">
        <f>IFERROR(__xludf.DUMMYFUNCTION("""COMPUTED_VALUE"""),7.059315706E9)</f>
        <v>7059315706</v>
      </c>
    </row>
    <row r="4662">
      <c r="A4662" s="2">
        <f>IFERROR(__xludf.DUMMYFUNCTION("""COMPUTED_VALUE"""),60094.0)</f>
        <v>60094</v>
      </c>
      <c r="B4662" s="3" t="str">
        <f>IFERROR(__xludf.DUMMYFUNCTION("""COMPUTED_VALUE"""),"1290 12TH LINE W")</f>
        <v>1290 12TH LINE W</v>
      </c>
      <c r="C4662" s="3" t="str">
        <f>IFERROR(__xludf.DUMMYFUNCTION("""COMPUTED_VALUE"""),"CAMPBELLFORD")</f>
        <v>CAMPBELLFORD</v>
      </c>
      <c r="D4662" s="3" t="str">
        <f>IFERROR(__xludf.DUMMYFUNCTION("""COMPUTED_VALUE"""),"K0L 1L0")</f>
        <v>K0L 1L0</v>
      </c>
      <c r="E4662" s="3" t="str">
        <f>IFERROR(__xludf.DUMMYFUNCTION("""COMPUTED_VALUE"""),"Shannon McGurk")</f>
        <v>Shannon McGurk</v>
      </c>
      <c r="F4662" s="3" t="str">
        <f>IFERROR(__xludf.DUMMYFUNCTION("""COMPUTED_VALUE"""),"cartierkids@gmail.com")</f>
        <v>cartierkids@gmail.com</v>
      </c>
      <c r="G4662" s="3">
        <f>IFERROR(__xludf.DUMMYFUNCTION("""COMPUTED_VALUE"""),9.059777797E9)</f>
        <v>9059777797</v>
      </c>
      <c r="H4662" s="3">
        <f>IFERROR(__xludf.DUMMYFUNCTION("""COMPUTED_VALUE"""),9.055362673E9)</f>
        <v>9055362673</v>
      </c>
    </row>
    <row r="4663">
      <c r="A4663" s="2">
        <f>IFERROR(__xludf.DUMMYFUNCTION("""COMPUTED_VALUE"""),60095.0)</f>
        <v>60095</v>
      </c>
      <c r="B4663" s="3" t="str">
        <f>IFERROR(__xludf.DUMMYFUNCTION("""COMPUTED_VALUE"""),"1294 12TH LINE W")</f>
        <v>1294 12TH LINE W</v>
      </c>
      <c r="C4663" s="3" t="str">
        <f>IFERROR(__xludf.DUMMYFUNCTION("""COMPUTED_VALUE"""),"CAMPBELLFORD")</f>
        <v>CAMPBELLFORD</v>
      </c>
      <c r="D4663" s="3" t="str">
        <f>IFERROR(__xludf.DUMMYFUNCTION("""COMPUTED_VALUE"""),"K0L 1L0")</f>
        <v>K0L 1L0</v>
      </c>
      <c r="E4663" s="3" t="str">
        <f>IFERROR(__xludf.DUMMYFUNCTION("""COMPUTED_VALUE"""),"KRISTEN FINCH")</f>
        <v>KRISTEN FINCH</v>
      </c>
      <c r="F4663" s="3" t="str">
        <f>IFERROR(__xludf.DUMMYFUNCTION("""COMPUTED_VALUE"""),"kristenefinch@gmail.com")</f>
        <v>kristenefinch@gmail.com</v>
      </c>
      <c r="G4663" s="3">
        <f>IFERROR(__xludf.DUMMYFUNCTION("""COMPUTED_VALUE"""),7.059772477E9)</f>
        <v>7059772477</v>
      </c>
      <c r="H4663" s="3"/>
    </row>
    <row r="4664">
      <c r="A4664" s="2">
        <f>IFERROR(__xludf.DUMMYFUNCTION("""COMPUTED_VALUE"""),60096.0)</f>
        <v>60096</v>
      </c>
      <c r="B4664" s="3" t="str">
        <f>IFERROR(__xludf.DUMMYFUNCTION("""COMPUTED_VALUE"""),"1298 12TH LINE W")</f>
        <v>1298 12TH LINE W</v>
      </c>
      <c r="C4664" s="3" t="str">
        <f>IFERROR(__xludf.DUMMYFUNCTION("""COMPUTED_VALUE"""),"CAMPBELLFORD")</f>
        <v>CAMPBELLFORD</v>
      </c>
      <c r="D4664" s="3" t="str">
        <f>IFERROR(__xludf.DUMMYFUNCTION("""COMPUTED_VALUE"""),"K0L 1L0")</f>
        <v>K0L 1L0</v>
      </c>
      <c r="E4664" s="3"/>
      <c r="F4664" s="3"/>
      <c r="G4664" s="3"/>
      <c r="H4664" s="3"/>
    </row>
    <row r="4665">
      <c r="A4665" s="2">
        <f>IFERROR(__xludf.DUMMYFUNCTION("""COMPUTED_VALUE"""),60097.0)</f>
        <v>60097</v>
      </c>
      <c r="B4665" s="3" t="str">
        <f>IFERROR(__xludf.DUMMYFUNCTION("""COMPUTED_VALUE"""),"1312 12TH LINE W")</f>
        <v>1312 12TH LINE W</v>
      </c>
      <c r="C4665" s="3" t="str">
        <f>IFERROR(__xludf.DUMMYFUNCTION("""COMPUTED_VALUE"""),"CAMPBELLFORD")</f>
        <v>CAMPBELLFORD</v>
      </c>
      <c r="D4665" s="3" t="str">
        <f>IFERROR(__xludf.DUMMYFUNCTION("""COMPUTED_VALUE"""),"K0L 1L0")</f>
        <v>K0L 1L0</v>
      </c>
      <c r="E4665" s="3" t="str">
        <f>IFERROR(__xludf.DUMMYFUNCTION("""COMPUTED_VALUE"""),"Emanuele Bordonali
")</f>
        <v>Emanuele Bordonali
</v>
      </c>
      <c r="F4665" s="3" t="str">
        <f>IFERROR(__xludf.DUMMYFUNCTION("""COMPUTED_VALUE"""),"cywemanuele@gmail.comm")</f>
        <v>cywemanuele@gmail.comm</v>
      </c>
      <c r="G4665" s="3">
        <f>IFERROR(__xludf.DUMMYFUNCTION("""COMPUTED_VALUE"""),9.057570273E9)</f>
        <v>9057570273</v>
      </c>
      <c r="H4665" s="3"/>
    </row>
    <row r="4666">
      <c r="A4666" s="2">
        <f>IFERROR(__xludf.DUMMYFUNCTION("""COMPUTED_VALUE"""),60098.0)</f>
        <v>60098</v>
      </c>
      <c r="B4666" s="3" t="str">
        <f>IFERROR(__xludf.DUMMYFUNCTION("""COMPUTED_VALUE"""),"1326 12TH LINE W")</f>
        <v>1326 12TH LINE W</v>
      </c>
      <c r="C4666" s="3" t="str">
        <f>IFERROR(__xludf.DUMMYFUNCTION("""COMPUTED_VALUE"""),"CAMPBELLFORD")</f>
        <v>CAMPBELLFORD</v>
      </c>
      <c r="D4666" s="3" t="str">
        <f>IFERROR(__xludf.DUMMYFUNCTION("""COMPUTED_VALUE"""),"K0L 1L0")</f>
        <v>K0L 1L0</v>
      </c>
      <c r="E4666" s="3"/>
      <c r="F4666" s="3"/>
      <c r="G4666" s="3"/>
      <c r="H4666" s="3"/>
    </row>
    <row r="4667">
      <c r="A4667" s="2">
        <f>IFERROR(__xludf.DUMMYFUNCTION("""COMPUTED_VALUE"""),60099.0)</f>
        <v>60099</v>
      </c>
      <c r="B4667" s="3" t="str">
        <f>IFERROR(__xludf.DUMMYFUNCTION("""COMPUTED_VALUE"""),"1330 12TH LINE W")</f>
        <v>1330 12TH LINE W</v>
      </c>
      <c r="C4667" s="3" t="str">
        <f>IFERROR(__xludf.DUMMYFUNCTION("""COMPUTED_VALUE"""),"CAMPBELLFORD")</f>
        <v>CAMPBELLFORD</v>
      </c>
      <c r="D4667" s="3" t="str">
        <f>IFERROR(__xludf.DUMMYFUNCTION("""COMPUTED_VALUE"""),"K0L 1L0")</f>
        <v>K0L 1L0</v>
      </c>
      <c r="E4667" s="3" t="str">
        <f>IFERROR(__xludf.DUMMYFUNCTION("""COMPUTED_VALUE"""),"daniel knowles ")</f>
        <v>daniel knowles </v>
      </c>
      <c r="F4667" s="3"/>
      <c r="G4667" s="3">
        <f>IFERROR(__xludf.DUMMYFUNCTION("""COMPUTED_VALUE"""),7.059171173E9)</f>
        <v>7059171173</v>
      </c>
      <c r="H4667" s="3"/>
    </row>
    <row r="4668">
      <c r="A4668" s="2">
        <f>IFERROR(__xludf.DUMMYFUNCTION("""COMPUTED_VALUE"""),60100.0)</f>
        <v>60100</v>
      </c>
      <c r="B4668" s="3" t="str">
        <f>IFERROR(__xludf.DUMMYFUNCTION("""COMPUTED_VALUE"""),"1376 12TH LINE W")</f>
        <v>1376 12TH LINE W</v>
      </c>
      <c r="C4668" s="3" t="str">
        <f>IFERROR(__xludf.DUMMYFUNCTION("""COMPUTED_VALUE"""),"CAMPBELLFORD")</f>
        <v>CAMPBELLFORD</v>
      </c>
      <c r="D4668" s="3" t="str">
        <f>IFERROR(__xludf.DUMMYFUNCTION("""COMPUTED_VALUE"""),"K0L 1L0")</f>
        <v>K0L 1L0</v>
      </c>
      <c r="E4668" s="3"/>
      <c r="F4668" s="3"/>
      <c r="G4668" s="3"/>
      <c r="H4668" s="3"/>
    </row>
    <row r="4669">
      <c r="A4669" s="2">
        <f>IFERROR(__xludf.DUMMYFUNCTION("""COMPUTED_VALUE"""),60101.0)</f>
        <v>60101</v>
      </c>
      <c r="B4669" s="3" t="str">
        <f>IFERROR(__xludf.DUMMYFUNCTION("""COMPUTED_VALUE"""),"1400 12TH LINE W")</f>
        <v>1400 12TH LINE W</v>
      </c>
      <c r="C4669" s="3" t="str">
        <f>IFERROR(__xludf.DUMMYFUNCTION("""COMPUTED_VALUE"""),"CAMPBELLFORD")</f>
        <v>CAMPBELLFORD</v>
      </c>
      <c r="D4669" s="3" t="str">
        <f>IFERROR(__xludf.DUMMYFUNCTION("""COMPUTED_VALUE"""),"K0L 1L0")</f>
        <v>K0L 1L0</v>
      </c>
      <c r="E4669" s="3" t="str">
        <f>IFERROR(__xludf.DUMMYFUNCTION("""COMPUTED_VALUE"""),"Dean Yuile")</f>
        <v>Dean Yuile</v>
      </c>
      <c r="F4669" s="3" t="str">
        <f>IFERROR(__xludf.DUMMYFUNCTION("""COMPUTED_VALUE"""),"dmyuile67@gmail.com")</f>
        <v>dmyuile67@gmail.com</v>
      </c>
      <c r="G4669" s="3">
        <f>IFERROR(__xludf.DUMMYFUNCTION("""COMPUTED_VALUE"""),7.056538791E9)</f>
        <v>7056538791</v>
      </c>
      <c r="H4669" s="3"/>
    </row>
    <row r="4670">
      <c r="A4670" s="2">
        <f>IFERROR(__xludf.DUMMYFUNCTION("""COMPUTED_VALUE"""),60102.0)</f>
        <v>60102</v>
      </c>
      <c r="B4670" s="3" t="str">
        <f>IFERROR(__xludf.DUMMYFUNCTION("""COMPUTED_VALUE"""),"1410 12TH LINE W")</f>
        <v>1410 12TH LINE W</v>
      </c>
      <c r="C4670" s="3" t="str">
        <f>IFERROR(__xludf.DUMMYFUNCTION("""COMPUTED_VALUE"""),"CAMPBELLFORD")</f>
        <v>CAMPBELLFORD</v>
      </c>
      <c r="D4670" s="3" t="str">
        <f>IFERROR(__xludf.DUMMYFUNCTION("""COMPUTED_VALUE"""),"K0L 1L0")</f>
        <v>K0L 1L0</v>
      </c>
      <c r="E4670" s="3" t="str">
        <f>IFERROR(__xludf.DUMMYFUNCTION("""COMPUTED_VALUE"""),"Adam and Jennifer Cochrane")</f>
        <v>Adam and Jennifer Cochrane</v>
      </c>
      <c r="F4670" s="3" t="str">
        <f>IFERROR(__xludf.DUMMYFUNCTION("""COMPUTED_VALUE"""),"adamcochrane25@live.com")</f>
        <v>adamcochrane25@live.com</v>
      </c>
      <c r="G4670" s="3">
        <f>IFERROR(__xludf.DUMMYFUNCTION("""COMPUTED_VALUE"""),7.053120153E9)</f>
        <v>7053120153</v>
      </c>
      <c r="H4670" s="3">
        <f>IFERROR(__xludf.DUMMYFUNCTION("""COMPUTED_VALUE"""),7.056538219E9)</f>
        <v>7056538219</v>
      </c>
    </row>
    <row r="4671">
      <c r="A4671" s="2">
        <f>IFERROR(__xludf.DUMMYFUNCTION("""COMPUTED_VALUE"""),60103.0)</f>
        <v>60103</v>
      </c>
      <c r="B4671" s="3" t="str">
        <f>IFERROR(__xludf.DUMMYFUNCTION("""COMPUTED_VALUE"""),"1450 12TH LINE W")</f>
        <v>1450 12TH LINE W</v>
      </c>
      <c r="C4671" s="3" t="str">
        <f>IFERROR(__xludf.DUMMYFUNCTION("""COMPUTED_VALUE"""),"CAMPBELLFORD")</f>
        <v>CAMPBELLFORD</v>
      </c>
      <c r="D4671" s="3" t="str">
        <f>IFERROR(__xludf.DUMMYFUNCTION("""COMPUTED_VALUE"""),"K0L 1L0")</f>
        <v>K0L 1L0</v>
      </c>
      <c r="E4671" s="3" t="str">
        <f>IFERROR(__xludf.DUMMYFUNCTION("""COMPUTED_VALUE"""),"danica donald")</f>
        <v>danica donald</v>
      </c>
      <c r="F4671" s="3" t="str">
        <f>IFERROR(__xludf.DUMMYFUNCTION("""COMPUTED_VALUE"""),"danicadonald@gmail.com")</f>
        <v>danicadonald@gmail.com</v>
      </c>
      <c r="G4671" s="3">
        <f>IFERROR(__xludf.DUMMYFUNCTION("""COMPUTED_VALUE"""),7.058751678E9)</f>
        <v>7058751678</v>
      </c>
      <c r="H4671" s="3">
        <f>IFERROR(__xludf.DUMMYFUNCTION("""COMPUTED_VALUE"""),7.053130396E9)</f>
        <v>7053130396</v>
      </c>
    </row>
    <row r="4672">
      <c r="A4672" s="2">
        <f>IFERROR(__xludf.DUMMYFUNCTION("""COMPUTED_VALUE"""),60104.0)</f>
        <v>60104</v>
      </c>
      <c r="B4672" s="3" t="str">
        <f>IFERROR(__xludf.DUMMYFUNCTION("""COMPUTED_VALUE"""),"1453 12TH LINE W")</f>
        <v>1453 12TH LINE W</v>
      </c>
      <c r="C4672" s="3" t="str">
        <f>IFERROR(__xludf.DUMMYFUNCTION("""COMPUTED_VALUE"""),"CAMPBELLFORD")</f>
        <v>CAMPBELLFORD</v>
      </c>
      <c r="D4672" s="3" t="str">
        <f>IFERROR(__xludf.DUMMYFUNCTION("""COMPUTED_VALUE"""),"K0L 1L0")</f>
        <v>K0L 1L0</v>
      </c>
      <c r="E4672" s="3" t="str">
        <f>IFERROR(__xludf.DUMMYFUNCTION("""COMPUTED_VALUE"""),"brenda doidge")</f>
        <v>brenda doidge</v>
      </c>
      <c r="F4672" s="3" t="str">
        <f>IFERROR(__xludf.DUMMYFUNCTION("""COMPUTED_VALUE"""),"doidgebrenda2@gmail.com")</f>
        <v>doidgebrenda2@gmail.com</v>
      </c>
      <c r="G4672" s="3">
        <f>IFERROR(__xludf.DUMMYFUNCTION("""COMPUTED_VALUE"""),7.056536701E9)</f>
        <v>7056536701</v>
      </c>
      <c r="H4672" s="3"/>
    </row>
    <row r="4673">
      <c r="A4673" s="2">
        <f>IFERROR(__xludf.DUMMYFUNCTION("""COMPUTED_VALUE"""),60105.0)</f>
        <v>60105</v>
      </c>
      <c r="B4673" s="3" t="str">
        <f>IFERROR(__xludf.DUMMYFUNCTION("""COMPUTED_VALUE"""),"1498 12TH LINE W")</f>
        <v>1498 12TH LINE W</v>
      </c>
      <c r="C4673" s="3" t="str">
        <f>IFERROR(__xludf.DUMMYFUNCTION("""COMPUTED_VALUE"""),"CAMPBELLFORD")</f>
        <v>CAMPBELLFORD</v>
      </c>
      <c r="D4673" s="3" t="str">
        <f>IFERROR(__xludf.DUMMYFUNCTION("""COMPUTED_VALUE"""),"K0L 1L0")</f>
        <v>K0L 1L0</v>
      </c>
      <c r="E4673" s="3" t="str">
        <f>IFERROR(__xludf.DUMMYFUNCTION("""COMPUTED_VALUE"""),"Cheryll Alton")</f>
        <v>Cheryll Alton</v>
      </c>
      <c r="F4673" s="3" t="str">
        <f>IFERROR(__xludf.DUMMYFUNCTION("""COMPUTED_VALUE"""),"tighcu@gmail.com")</f>
        <v>tighcu@gmail.com</v>
      </c>
      <c r="G4673" s="3">
        <f>IFERROR(__xludf.DUMMYFUNCTION("""COMPUTED_VALUE"""),7.056530896E9)</f>
        <v>7056530896</v>
      </c>
      <c r="H4673" s="3">
        <f>IFERROR(__xludf.DUMMYFUNCTION("""COMPUTED_VALUE"""),7.056329012E9)</f>
        <v>7056329012</v>
      </c>
    </row>
    <row r="4674">
      <c r="A4674" s="2">
        <f>IFERROR(__xludf.DUMMYFUNCTION("""COMPUTED_VALUE"""),60106.0)</f>
        <v>60106</v>
      </c>
      <c r="B4674" s="3" t="str">
        <f>IFERROR(__xludf.DUMMYFUNCTION("""COMPUTED_VALUE"""),"1505 12TH LINE W")</f>
        <v>1505 12TH LINE W</v>
      </c>
      <c r="C4674" s="3" t="str">
        <f>IFERROR(__xludf.DUMMYFUNCTION("""COMPUTED_VALUE"""),"CAMPBELLFORD")</f>
        <v>CAMPBELLFORD</v>
      </c>
      <c r="D4674" s="3" t="str">
        <f>IFERROR(__xludf.DUMMYFUNCTION("""COMPUTED_VALUE"""),"K0L 1L0")</f>
        <v>K0L 1L0</v>
      </c>
      <c r="E4674" s="3" t="str">
        <f>IFERROR(__xludf.DUMMYFUNCTION("""COMPUTED_VALUE"""),"Paul Allen Joss")</f>
        <v>Paul Allen Joss</v>
      </c>
      <c r="F4674" s="3" t="str">
        <f>IFERROR(__xludf.DUMMYFUNCTION("""COMPUTED_VALUE"""),"wildernessretreatbandb@gmail.com")</f>
        <v>wildernessretreatbandb@gmail.com</v>
      </c>
      <c r="G4674" s="3">
        <f>IFERROR(__xludf.DUMMYFUNCTION("""COMPUTED_VALUE"""),7.056537703E9)</f>
        <v>7056537703</v>
      </c>
      <c r="H4674" s="3"/>
    </row>
    <row r="4675">
      <c r="A4675" s="2">
        <f>IFERROR(__xludf.DUMMYFUNCTION("""COMPUTED_VALUE"""),60107.0)</f>
        <v>60107</v>
      </c>
      <c r="B4675" s="3" t="str">
        <f>IFERROR(__xludf.DUMMYFUNCTION("""COMPUTED_VALUE"""),"1560 12TH LINE W")</f>
        <v>1560 12TH LINE W</v>
      </c>
      <c r="C4675" s="3" t="str">
        <f>IFERROR(__xludf.DUMMYFUNCTION("""COMPUTED_VALUE"""),"CAMPBELLFORD")</f>
        <v>CAMPBELLFORD</v>
      </c>
      <c r="D4675" s="3" t="str">
        <f>IFERROR(__xludf.DUMMYFUNCTION("""COMPUTED_VALUE"""),"K0L 1L0")</f>
        <v>K0L 1L0</v>
      </c>
      <c r="E4675" s="3" t="str">
        <f>IFERROR(__xludf.DUMMYFUNCTION("""COMPUTED_VALUE"""),"micahel regina ")</f>
        <v>micahel regina </v>
      </c>
      <c r="F4675" s="3"/>
      <c r="G4675" s="3">
        <f>IFERROR(__xludf.DUMMYFUNCTION("""COMPUTED_VALUE"""),4.1677682707E10)</f>
        <v>41677682707</v>
      </c>
      <c r="H4675" s="3"/>
    </row>
    <row r="4676">
      <c r="A4676" s="2">
        <f>IFERROR(__xludf.DUMMYFUNCTION("""COMPUTED_VALUE"""),60108.0)</f>
        <v>60108</v>
      </c>
      <c r="B4676" s="3" t="str">
        <f>IFERROR(__xludf.DUMMYFUNCTION("""COMPUTED_VALUE"""),"1589 12TH LINE W")</f>
        <v>1589 12TH LINE W</v>
      </c>
      <c r="C4676" s="3" t="str">
        <f>IFERROR(__xludf.DUMMYFUNCTION("""COMPUTED_VALUE"""),"CAMPBELLFORD")</f>
        <v>CAMPBELLFORD</v>
      </c>
      <c r="D4676" s="3" t="str">
        <f>IFERROR(__xludf.DUMMYFUNCTION("""COMPUTED_VALUE"""),"K0L 1L0")</f>
        <v>K0L 1L0</v>
      </c>
      <c r="E4676" s="3"/>
      <c r="F4676" s="3"/>
      <c r="G4676" s="3"/>
      <c r="H4676" s="3"/>
    </row>
    <row r="4677">
      <c r="A4677" s="2">
        <f>IFERROR(__xludf.DUMMYFUNCTION("""COMPUTED_VALUE"""),60109.0)</f>
        <v>60109</v>
      </c>
      <c r="B4677" s="3" t="str">
        <f>IFERROR(__xludf.DUMMYFUNCTION("""COMPUTED_VALUE"""),"1593 12TH LINE W")</f>
        <v>1593 12TH LINE W</v>
      </c>
      <c r="C4677" s="3" t="str">
        <f>IFERROR(__xludf.DUMMYFUNCTION("""COMPUTED_VALUE"""),"CAMPBELLFORD")</f>
        <v>CAMPBELLFORD</v>
      </c>
      <c r="D4677" s="3" t="str">
        <f>IFERROR(__xludf.DUMMYFUNCTION("""COMPUTED_VALUE"""),"K0L 1L0")</f>
        <v>K0L 1L0</v>
      </c>
      <c r="E4677" s="3" t="str">
        <f>IFERROR(__xludf.DUMMYFUNCTION("""COMPUTED_VALUE"""),"kat free")</f>
        <v>kat free</v>
      </c>
      <c r="F4677" s="3"/>
      <c r="G4677" s="3">
        <f>IFERROR(__xludf.DUMMYFUNCTION("""COMPUTED_VALUE"""),7.053129942E9)</f>
        <v>7053129942</v>
      </c>
      <c r="H4677" s="3"/>
    </row>
    <row r="4678">
      <c r="A4678" s="2">
        <f>IFERROR(__xludf.DUMMYFUNCTION("""COMPUTED_VALUE"""),60110.0)</f>
        <v>60110</v>
      </c>
      <c r="B4678" s="3" t="str">
        <f>IFERROR(__xludf.DUMMYFUNCTION("""COMPUTED_VALUE"""),"1638 12TH LINE W")</f>
        <v>1638 12TH LINE W</v>
      </c>
      <c r="C4678" s="3" t="str">
        <f>IFERROR(__xludf.DUMMYFUNCTION("""COMPUTED_VALUE"""),"CAMPBELLFORD")</f>
        <v>CAMPBELLFORD</v>
      </c>
      <c r="D4678" s="3" t="str">
        <f>IFERROR(__xludf.DUMMYFUNCTION("""COMPUTED_VALUE"""),"K0L 1L0")</f>
        <v>K0L 1L0</v>
      </c>
      <c r="E4678" s="3" t="str">
        <f>IFERROR(__xludf.DUMMYFUNCTION("""COMPUTED_VALUE"""),"Joan McCulloch")</f>
        <v>Joan McCulloch</v>
      </c>
      <c r="F4678" s="3" t="str">
        <f>IFERROR(__xludf.DUMMYFUNCTION("""COMPUTED_VALUE"""),"joanmcculloch40@gmail.com")</f>
        <v>joanmcculloch40@gmail.com</v>
      </c>
      <c r="G4678" s="3"/>
      <c r="H4678" s="3"/>
    </row>
    <row r="4679">
      <c r="A4679" s="2">
        <f>IFERROR(__xludf.DUMMYFUNCTION("""COMPUTED_VALUE"""),60111.0)</f>
        <v>60111</v>
      </c>
      <c r="B4679" s="3" t="str">
        <f>IFERROR(__xludf.DUMMYFUNCTION("""COMPUTED_VALUE"""),"1698 12TH LINE W")</f>
        <v>1698 12TH LINE W</v>
      </c>
      <c r="C4679" s="3" t="str">
        <f>IFERROR(__xludf.DUMMYFUNCTION("""COMPUTED_VALUE"""),"CAMPBELLFORD")</f>
        <v>CAMPBELLFORD</v>
      </c>
      <c r="D4679" s="3" t="str">
        <f>IFERROR(__xludf.DUMMYFUNCTION("""COMPUTED_VALUE"""),"K0L 1L0")</f>
        <v>K0L 1L0</v>
      </c>
      <c r="E4679" s="3" t="str">
        <f>IFERROR(__xludf.DUMMYFUNCTION("""COMPUTED_VALUE"""),"ken mcculloch")</f>
        <v>ken mcculloch</v>
      </c>
      <c r="F4679" s="3"/>
      <c r="G4679" s="3">
        <f>IFERROR(__xludf.DUMMYFUNCTION("""COMPUTED_VALUE"""),7.057618228E9)</f>
        <v>7057618228</v>
      </c>
      <c r="H4679" s="3"/>
    </row>
    <row r="4680">
      <c r="A4680" s="2">
        <f>IFERROR(__xludf.DUMMYFUNCTION("""COMPUTED_VALUE"""),63777.0)</f>
        <v>63777</v>
      </c>
      <c r="B4680" s="3" t="str">
        <f>IFERROR(__xludf.DUMMYFUNCTION("""COMPUTED_VALUE"""),"1288 12TH LINE W")</f>
        <v>1288 12TH LINE W</v>
      </c>
      <c r="C4680" s="3" t="str">
        <f>IFERROR(__xludf.DUMMYFUNCTION("""COMPUTED_VALUE"""),"HASTINGS")</f>
        <v>HASTINGS</v>
      </c>
      <c r="D4680" s="3" t="str">
        <f>IFERROR(__xludf.DUMMYFUNCTION("""COMPUTED_VALUE"""),"K0L 1Y0")</f>
        <v>K0L 1Y0</v>
      </c>
      <c r="E4680" s="3" t="str">
        <f>IFERROR(__xludf.DUMMYFUNCTION("""COMPUTED_VALUE"""),"Ryan Skalko")</f>
        <v>Ryan Skalko</v>
      </c>
      <c r="F4680" s="3" t="str">
        <f>IFERROR(__xludf.DUMMYFUNCTION("""COMPUTED_VALUE"""),"ryan.skalko@uacanada.ca")</f>
        <v>ryan.skalko@uacanada.ca</v>
      </c>
      <c r="G4680" s="3"/>
      <c r="H4680" s="3"/>
    </row>
    <row r="4681">
      <c r="A4681" s="2">
        <f>IFERROR(__xludf.DUMMYFUNCTION("""COMPUTED_VALUE"""),60079.0)</f>
        <v>60079</v>
      </c>
      <c r="B4681" s="3" t="str">
        <f>IFERROR(__xludf.DUMMYFUNCTION("""COMPUTED_VALUE"""),"705 12TH LINE W")</f>
        <v>705 12TH LINE W</v>
      </c>
      <c r="C4681" s="3" t="str">
        <f>IFERROR(__xludf.DUMMYFUNCTION("""COMPUTED_VALUE"""),"HASTINGS")</f>
        <v>HASTINGS</v>
      </c>
      <c r="D4681" s="3" t="str">
        <f>IFERROR(__xludf.DUMMYFUNCTION("""COMPUTED_VALUE"""),"K0L 1Y0")</f>
        <v>K0L 1Y0</v>
      </c>
      <c r="E4681" s="3"/>
      <c r="F4681" s="3"/>
      <c r="G4681" s="3"/>
      <c r="H4681" s="3"/>
    </row>
    <row r="4682">
      <c r="A4682" s="2">
        <f>IFERROR(__xludf.DUMMYFUNCTION("""COMPUTED_VALUE"""),60080.0)</f>
        <v>60080</v>
      </c>
      <c r="B4682" s="3" t="str">
        <f>IFERROR(__xludf.DUMMYFUNCTION("""COMPUTED_VALUE"""),"712 12TH LINE W")</f>
        <v>712 12TH LINE W</v>
      </c>
      <c r="C4682" s="3" t="str">
        <f>IFERROR(__xludf.DUMMYFUNCTION("""COMPUTED_VALUE"""),"HASTINGS")</f>
        <v>HASTINGS</v>
      </c>
      <c r="D4682" s="3" t="str">
        <f>IFERROR(__xludf.DUMMYFUNCTION("""COMPUTED_VALUE"""),"K0L 1Y0")</f>
        <v>K0L 1Y0</v>
      </c>
      <c r="E4682" s="3" t="str">
        <f>IFERROR(__xludf.DUMMYFUNCTION("""COMPUTED_VALUE"""),"Terrence William Adam")</f>
        <v>Terrence William Adam</v>
      </c>
      <c r="F4682" s="3" t="str">
        <f>IFERROR(__xludf.DUMMYFUNCTION("""COMPUTED_VALUE"""),"dkadamfarm@hotmail.comm")</f>
        <v>dkadamfarm@hotmail.comm</v>
      </c>
      <c r="G4682" s="3"/>
      <c r="H4682" s="3"/>
    </row>
    <row r="4683">
      <c r="A4683" s="2">
        <f>IFERROR(__xludf.DUMMYFUNCTION("""COMPUTED_VALUE"""),60081.0)</f>
        <v>60081</v>
      </c>
      <c r="B4683" s="3" t="str">
        <f>IFERROR(__xludf.DUMMYFUNCTION("""COMPUTED_VALUE"""),"765 12TH LINE W")</f>
        <v>765 12TH LINE W</v>
      </c>
      <c r="C4683" s="3" t="str">
        <f>IFERROR(__xludf.DUMMYFUNCTION("""COMPUTED_VALUE"""),"HASTINGS")</f>
        <v>HASTINGS</v>
      </c>
      <c r="D4683" s="3" t="str">
        <f>IFERROR(__xludf.DUMMYFUNCTION("""COMPUTED_VALUE"""),"K0L 1Y0")</f>
        <v>K0L 1Y0</v>
      </c>
      <c r="E4683" s="3"/>
      <c r="F4683" s="3"/>
      <c r="G4683" s="3"/>
      <c r="H4683" s="3"/>
    </row>
    <row r="4684">
      <c r="A4684" s="2">
        <f>IFERROR(__xludf.DUMMYFUNCTION("""COMPUTED_VALUE"""),60082.0)</f>
        <v>60082</v>
      </c>
      <c r="B4684" s="3" t="str">
        <f>IFERROR(__xludf.DUMMYFUNCTION("""COMPUTED_VALUE"""),"843 12TH LINE W")</f>
        <v>843 12TH LINE W</v>
      </c>
      <c r="C4684" s="3" t="str">
        <f>IFERROR(__xludf.DUMMYFUNCTION("""COMPUTED_VALUE"""),"HASTINGS")</f>
        <v>HASTINGS</v>
      </c>
      <c r="D4684" s="3" t="str">
        <f>IFERROR(__xludf.DUMMYFUNCTION("""COMPUTED_VALUE"""),"K0L 1Y0")</f>
        <v>K0L 1Y0</v>
      </c>
      <c r="E4684" s="3" t="str">
        <f>IFERROR(__xludf.DUMMYFUNCTION("""COMPUTED_VALUE"""),"Samantha Crowley")</f>
        <v>Samantha Crowley</v>
      </c>
      <c r="F4684" s="3" t="str">
        <f>IFERROR(__xludf.DUMMYFUNCTION("""COMPUTED_VALUE"""),"samanthabusby94@gmail.com")</f>
        <v>samanthabusby94@gmail.com</v>
      </c>
      <c r="G4684" s="3">
        <f>IFERROR(__xludf.DUMMYFUNCTION("""COMPUTED_VALUE"""),9.054245522E9)</f>
        <v>9054245522</v>
      </c>
      <c r="H4684" s="3">
        <f>IFERROR(__xludf.DUMMYFUNCTION("""COMPUTED_VALUE"""),9.057673363E9)</f>
        <v>9057673363</v>
      </c>
    </row>
    <row r="4685">
      <c r="A4685" s="2">
        <f>IFERROR(__xludf.DUMMYFUNCTION("""COMPUTED_VALUE"""),60083.0)</f>
        <v>60083</v>
      </c>
      <c r="B4685" s="3" t="str">
        <f>IFERROR(__xludf.DUMMYFUNCTION("""COMPUTED_VALUE"""),"846 12TH LINE W")</f>
        <v>846 12TH LINE W</v>
      </c>
      <c r="C4685" s="3" t="str">
        <f>IFERROR(__xludf.DUMMYFUNCTION("""COMPUTED_VALUE"""),"HASTINGS")</f>
        <v>HASTINGS</v>
      </c>
      <c r="D4685" s="3" t="str">
        <f>IFERROR(__xludf.DUMMYFUNCTION("""COMPUTED_VALUE"""),"K0L 1Y0")</f>
        <v>K0L 1Y0</v>
      </c>
      <c r="E4685" s="3"/>
      <c r="F4685" s="3"/>
      <c r="G4685" s="3"/>
      <c r="H4685" s="3"/>
    </row>
    <row r="4686">
      <c r="A4686" s="2">
        <f>IFERROR(__xludf.DUMMYFUNCTION("""COMPUTED_VALUE"""),60084.0)</f>
        <v>60084</v>
      </c>
      <c r="B4686" s="3" t="str">
        <f>IFERROR(__xludf.DUMMYFUNCTION("""COMPUTED_VALUE"""),"881 12TH LINE W")</f>
        <v>881 12TH LINE W</v>
      </c>
      <c r="C4686" s="3" t="str">
        <f>IFERROR(__xludf.DUMMYFUNCTION("""COMPUTED_VALUE"""),"HASTINGS")</f>
        <v>HASTINGS</v>
      </c>
      <c r="D4686" s="3" t="str">
        <f>IFERROR(__xludf.DUMMYFUNCTION("""COMPUTED_VALUE"""),"K0L 1Y0")</f>
        <v>K0L 1Y0</v>
      </c>
      <c r="E4686" s="3"/>
      <c r="F4686" s="3"/>
      <c r="G4686" s="3"/>
      <c r="H4686" s="3"/>
    </row>
    <row r="4687">
      <c r="A4687" s="2">
        <f>IFERROR(__xludf.DUMMYFUNCTION("""COMPUTED_VALUE"""),60085.0)</f>
        <v>60085</v>
      </c>
      <c r="B4687" s="3" t="str">
        <f>IFERROR(__xludf.DUMMYFUNCTION("""COMPUTED_VALUE"""),"884 12TH LINE W")</f>
        <v>884 12TH LINE W</v>
      </c>
      <c r="C4687" s="3" t="str">
        <f>IFERROR(__xludf.DUMMYFUNCTION("""COMPUTED_VALUE"""),"HASTINGS")</f>
        <v>HASTINGS</v>
      </c>
      <c r="D4687" s="3" t="str">
        <f>IFERROR(__xludf.DUMMYFUNCTION("""COMPUTED_VALUE"""),"K0L 1Y0")</f>
        <v>K0L 1Y0</v>
      </c>
      <c r="E4687" s="3"/>
      <c r="F4687" s="3"/>
      <c r="G4687" s="3"/>
      <c r="H4687" s="3"/>
    </row>
    <row r="4688">
      <c r="A4688" s="2">
        <f>IFERROR(__xludf.DUMMYFUNCTION("""COMPUTED_VALUE"""),60086.0)</f>
        <v>60086</v>
      </c>
      <c r="B4688" s="3" t="str">
        <f>IFERROR(__xludf.DUMMYFUNCTION("""COMPUTED_VALUE"""),"948 12TH LINE W")</f>
        <v>948 12TH LINE W</v>
      </c>
      <c r="C4688" s="3" t="str">
        <f>IFERROR(__xludf.DUMMYFUNCTION("""COMPUTED_VALUE"""),"HASTINGS")</f>
        <v>HASTINGS</v>
      </c>
      <c r="D4688" s="3" t="str">
        <f>IFERROR(__xludf.DUMMYFUNCTION("""COMPUTED_VALUE"""),"K0L 1Y0")</f>
        <v>K0L 1Y0</v>
      </c>
      <c r="E4688" s="3" t="str">
        <f>IFERROR(__xludf.DUMMYFUNCTION("""COMPUTED_VALUE"""),"james ross")</f>
        <v>james ross</v>
      </c>
      <c r="F4688" s="3" t="str">
        <f>IFERROR(__xludf.DUMMYFUNCTION("""COMPUTED_VALUE"""),"dieselcruze@gmail.com")</f>
        <v>dieselcruze@gmail.com</v>
      </c>
      <c r="G4688" s="3">
        <f>IFERROR(__xludf.DUMMYFUNCTION("""COMPUTED_VALUE"""),7.056326732E9)</f>
        <v>7056326732</v>
      </c>
      <c r="H4688" s="3"/>
    </row>
    <row r="4689">
      <c r="A4689" s="2">
        <f>IFERROR(__xludf.DUMMYFUNCTION("""COMPUTED_VALUE"""),60087.0)</f>
        <v>60087</v>
      </c>
      <c r="B4689" s="3" t="str">
        <f>IFERROR(__xludf.DUMMYFUNCTION("""COMPUTED_VALUE"""),"1012 12TH LINE W")</f>
        <v>1012 12TH LINE W</v>
      </c>
      <c r="C4689" s="3" t="str">
        <f>IFERROR(__xludf.DUMMYFUNCTION("""COMPUTED_VALUE"""),"HASTINGS")</f>
        <v>HASTINGS</v>
      </c>
      <c r="D4689" s="3" t="str">
        <f>IFERROR(__xludf.DUMMYFUNCTION("""COMPUTED_VALUE"""),"K0L 1Y0")</f>
        <v>K0L 1Y0</v>
      </c>
      <c r="E4689" s="3"/>
      <c r="F4689" s="3"/>
      <c r="G4689" s="3"/>
      <c r="H4689" s="3"/>
    </row>
    <row r="4690">
      <c r="A4690" s="2">
        <f>IFERROR(__xludf.DUMMYFUNCTION("""COMPUTED_VALUE"""),60088.0)</f>
        <v>60088</v>
      </c>
      <c r="B4690" s="3" t="str">
        <f>IFERROR(__xludf.DUMMYFUNCTION("""COMPUTED_VALUE"""),"1026 12TH LINE W")</f>
        <v>1026 12TH LINE W</v>
      </c>
      <c r="C4690" s="3" t="str">
        <f>IFERROR(__xludf.DUMMYFUNCTION("""COMPUTED_VALUE"""),"HASTINGS")</f>
        <v>HASTINGS</v>
      </c>
      <c r="D4690" s="3" t="str">
        <f>IFERROR(__xludf.DUMMYFUNCTION("""COMPUTED_VALUE"""),"K0L 1Y0")</f>
        <v>K0L 1Y0</v>
      </c>
      <c r="E4690" s="3"/>
      <c r="F4690" s="3"/>
      <c r="G4690" s="3"/>
      <c r="H4690" s="3"/>
    </row>
    <row r="4691">
      <c r="A4691" s="2">
        <f>IFERROR(__xludf.DUMMYFUNCTION("""COMPUTED_VALUE"""),60089.0)</f>
        <v>60089</v>
      </c>
      <c r="B4691" s="3" t="str">
        <f>IFERROR(__xludf.DUMMYFUNCTION("""COMPUTED_VALUE"""),"1032 12TH LINE W")</f>
        <v>1032 12TH LINE W</v>
      </c>
      <c r="C4691" s="3" t="str">
        <f>IFERROR(__xludf.DUMMYFUNCTION("""COMPUTED_VALUE"""),"HASTINGS")</f>
        <v>HASTINGS</v>
      </c>
      <c r="D4691" s="3" t="str">
        <f>IFERROR(__xludf.DUMMYFUNCTION("""COMPUTED_VALUE"""),"K0L 1Y0")</f>
        <v>K0L 1Y0</v>
      </c>
      <c r="E4691" s="3"/>
      <c r="F4691" s="3"/>
      <c r="G4691" s="3"/>
      <c r="H4691" s="3"/>
    </row>
    <row r="4692">
      <c r="A4692" s="2">
        <f>IFERROR(__xludf.DUMMYFUNCTION("""COMPUTED_VALUE"""),60090.0)</f>
        <v>60090</v>
      </c>
      <c r="B4692" s="3" t="str">
        <f>IFERROR(__xludf.DUMMYFUNCTION("""COMPUTED_VALUE"""),"1124 12TH LINE W")</f>
        <v>1124 12TH LINE W</v>
      </c>
      <c r="C4692" s="3" t="str">
        <f>IFERROR(__xludf.DUMMYFUNCTION("""COMPUTED_VALUE"""),"HASTINGS")</f>
        <v>HASTINGS</v>
      </c>
      <c r="D4692" s="3" t="str">
        <f>IFERROR(__xludf.DUMMYFUNCTION("""COMPUTED_VALUE"""),"K0L 1Y0")</f>
        <v>K0L 1Y0</v>
      </c>
      <c r="E4692" s="3" t="str">
        <f>IFERROR(__xludf.DUMMYFUNCTION("""COMPUTED_VALUE"""),"Grant Meadwell")</f>
        <v>Grant Meadwell</v>
      </c>
      <c r="F4692" s="3" t="str">
        <f>IFERROR(__xludf.DUMMYFUNCTION("""COMPUTED_VALUE"""),"ngrantmead@gmail.com")</f>
        <v>ngrantmead@gmail.com</v>
      </c>
      <c r="G4692" s="3">
        <f>IFERROR(__xludf.DUMMYFUNCTION("""COMPUTED_VALUE"""),7.058757668E9)</f>
        <v>7058757668</v>
      </c>
      <c r="H4692" s="3"/>
    </row>
    <row r="4693">
      <c r="A4693" s="2">
        <f>IFERROR(__xludf.DUMMYFUNCTION("""COMPUTED_VALUE"""),60091.0)</f>
        <v>60091</v>
      </c>
      <c r="B4693" s="3" t="str">
        <f>IFERROR(__xludf.DUMMYFUNCTION("""COMPUTED_VALUE"""),"1179 12TH LINE W")</f>
        <v>1179 12TH LINE W</v>
      </c>
      <c r="C4693" s="3" t="str">
        <f>IFERROR(__xludf.DUMMYFUNCTION("""COMPUTED_VALUE"""),"HASTINGS")</f>
        <v>HASTINGS</v>
      </c>
      <c r="D4693" s="3" t="str">
        <f>IFERROR(__xludf.DUMMYFUNCTION("""COMPUTED_VALUE"""),"K0L 1Y0")</f>
        <v>K0L 1Y0</v>
      </c>
      <c r="E4693" s="3" t="str">
        <f>IFERROR(__xludf.DUMMYFUNCTION("""COMPUTED_VALUE"""),"sandra graham")</f>
        <v>sandra graham</v>
      </c>
      <c r="F4693" s="3"/>
      <c r="G4693" s="3">
        <f>IFERROR(__xludf.DUMMYFUNCTION("""COMPUTED_VALUE"""),7.0565348228E10)</f>
        <v>70565348228</v>
      </c>
      <c r="H4693" s="3"/>
    </row>
    <row r="4694">
      <c r="A4694" s="2">
        <f>IFERROR(__xludf.DUMMYFUNCTION("""COMPUTED_VALUE"""),60092.0)</f>
        <v>60092</v>
      </c>
      <c r="B4694" s="3" t="str">
        <f>IFERROR(__xludf.DUMMYFUNCTION("""COMPUTED_VALUE"""),"1184 12TH LINE W")</f>
        <v>1184 12TH LINE W</v>
      </c>
      <c r="C4694" s="3" t="str">
        <f>IFERROR(__xludf.DUMMYFUNCTION("""COMPUTED_VALUE"""),"HASTINGS")</f>
        <v>HASTINGS</v>
      </c>
      <c r="D4694" s="3" t="str">
        <f>IFERROR(__xludf.DUMMYFUNCTION("""COMPUTED_VALUE"""),"K0L 1Y0")</f>
        <v>K0L 1Y0</v>
      </c>
      <c r="E4694" s="3"/>
      <c r="F4694" s="3"/>
      <c r="G4694" s="3"/>
      <c r="H4694" s="3"/>
    </row>
    <row r="4695">
      <c r="A4695" s="2">
        <f>IFERROR(__xludf.DUMMYFUNCTION("""COMPUTED_VALUE"""),60049.0)</f>
        <v>60049</v>
      </c>
      <c r="B4695" s="3" t="str">
        <f>IFERROR(__xludf.DUMMYFUNCTION("""COMPUTED_VALUE"""),"881 11TH LINE W")</f>
        <v>881 11TH LINE W</v>
      </c>
      <c r="C4695" s="3" t="str">
        <f>IFERROR(__xludf.DUMMYFUNCTION("""COMPUTED_VALUE"""),"CAMPBELLFORD")</f>
        <v>CAMPBELLFORD</v>
      </c>
      <c r="D4695" s="3" t="str">
        <f>IFERROR(__xludf.DUMMYFUNCTION("""COMPUTED_VALUE"""),"K0L 1L0")</f>
        <v>K0L 1L0</v>
      </c>
      <c r="E4695" s="3"/>
      <c r="F4695" s="3"/>
      <c r="G4695" s="3"/>
      <c r="H4695" s="3"/>
    </row>
    <row r="4696">
      <c r="A4696" s="2">
        <f>IFERROR(__xludf.DUMMYFUNCTION("""COMPUTED_VALUE"""),60050.0)</f>
        <v>60050</v>
      </c>
      <c r="B4696" s="3" t="str">
        <f>IFERROR(__xludf.DUMMYFUNCTION("""COMPUTED_VALUE"""),"902 11TH LINE W")</f>
        <v>902 11TH LINE W</v>
      </c>
      <c r="C4696" s="3" t="str">
        <f>IFERROR(__xludf.DUMMYFUNCTION("""COMPUTED_VALUE"""),"CAMPBELLFORD")</f>
        <v>CAMPBELLFORD</v>
      </c>
      <c r="D4696" s="3" t="str">
        <f>IFERROR(__xludf.DUMMYFUNCTION("""COMPUTED_VALUE"""),"K0L 1L0")</f>
        <v>K0L 1L0</v>
      </c>
      <c r="E4696" s="3" t="str">
        <f>IFERROR(__xludf.DUMMYFUNCTION("""COMPUTED_VALUE"""),"kenny williams")</f>
        <v>kenny williams</v>
      </c>
      <c r="F4696" s="3"/>
      <c r="G4696" s="3">
        <f>IFERROR(__xludf.DUMMYFUNCTION("""COMPUTED_VALUE"""),7.057614949E9)</f>
        <v>7057614949</v>
      </c>
      <c r="H4696" s="3"/>
    </row>
    <row r="4697">
      <c r="A4697" s="2">
        <f>IFERROR(__xludf.DUMMYFUNCTION("""COMPUTED_VALUE"""),60051.0)</f>
        <v>60051</v>
      </c>
      <c r="B4697" s="3" t="str">
        <f>IFERROR(__xludf.DUMMYFUNCTION("""COMPUTED_VALUE"""),"908 11TH LINE W")</f>
        <v>908 11TH LINE W</v>
      </c>
      <c r="C4697" s="3" t="str">
        <f>IFERROR(__xludf.DUMMYFUNCTION("""COMPUTED_VALUE"""),"CAMPBELLFORD")</f>
        <v>CAMPBELLFORD</v>
      </c>
      <c r="D4697" s="3" t="str">
        <f>IFERROR(__xludf.DUMMYFUNCTION("""COMPUTED_VALUE"""),"K0L 1L0")</f>
        <v>K0L 1L0</v>
      </c>
      <c r="E4697" s="3" t="str">
        <f>IFERROR(__xludf.DUMMYFUNCTION("""COMPUTED_VALUE"""),"darlene strawbridge")</f>
        <v>darlene strawbridge</v>
      </c>
      <c r="F4697" s="3"/>
      <c r="G4697" s="3">
        <f>IFERROR(__xludf.DUMMYFUNCTION("""COMPUTED_VALUE"""),7.056320347E9)</f>
        <v>7056320347</v>
      </c>
      <c r="H4697" s="3"/>
    </row>
    <row r="4698">
      <c r="A4698" s="2">
        <f>IFERROR(__xludf.DUMMYFUNCTION("""COMPUTED_VALUE"""),60052.0)</f>
        <v>60052</v>
      </c>
      <c r="B4698" s="3" t="str">
        <f>IFERROR(__xludf.DUMMYFUNCTION("""COMPUTED_VALUE"""),"1048 11TH LINE W")</f>
        <v>1048 11TH LINE W</v>
      </c>
      <c r="C4698" s="3" t="str">
        <f>IFERROR(__xludf.DUMMYFUNCTION("""COMPUTED_VALUE"""),"CAMPBELLFORD")</f>
        <v>CAMPBELLFORD</v>
      </c>
      <c r="D4698" s="3" t="str">
        <f>IFERROR(__xludf.DUMMYFUNCTION("""COMPUTED_VALUE"""),"K0L 1L0")</f>
        <v>K0L 1L0</v>
      </c>
      <c r="E4698" s="3"/>
      <c r="F4698" s="3"/>
      <c r="G4698" s="3"/>
      <c r="H4698" s="3"/>
    </row>
    <row r="4699">
      <c r="A4699" s="2">
        <f>IFERROR(__xludf.DUMMYFUNCTION("""COMPUTED_VALUE"""),60053.0)</f>
        <v>60053</v>
      </c>
      <c r="B4699" s="3" t="str">
        <f>IFERROR(__xludf.DUMMYFUNCTION("""COMPUTED_VALUE"""),"1080 11TH LINE W")</f>
        <v>1080 11TH LINE W</v>
      </c>
      <c r="C4699" s="3" t="str">
        <f>IFERROR(__xludf.DUMMYFUNCTION("""COMPUTED_VALUE"""),"CAMPBELLFORD")</f>
        <v>CAMPBELLFORD</v>
      </c>
      <c r="D4699" s="3" t="str">
        <f>IFERROR(__xludf.DUMMYFUNCTION("""COMPUTED_VALUE"""),"K0L 1L0")</f>
        <v>K0L 1L0</v>
      </c>
      <c r="E4699" s="3" t="str">
        <f>IFERROR(__xludf.DUMMYFUNCTION("""COMPUTED_VALUE"""),"murray kloosterman")</f>
        <v>murray kloosterman</v>
      </c>
      <c r="F4699" s="3"/>
      <c r="G4699" s="3">
        <f>IFERROR(__xludf.DUMMYFUNCTION("""COMPUTED_VALUE"""),7.056536325E9)</f>
        <v>7056536325</v>
      </c>
      <c r="H4699" s="3"/>
    </row>
    <row r="4700">
      <c r="A4700" s="2">
        <f>IFERROR(__xludf.DUMMYFUNCTION("""COMPUTED_VALUE"""),60054.0)</f>
        <v>60054</v>
      </c>
      <c r="B4700" s="3" t="str">
        <f>IFERROR(__xludf.DUMMYFUNCTION("""COMPUTED_VALUE"""),"1093 11TH LINE W")</f>
        <v>1093 11TH LINE W</v>
      </c>
      <c r="C4700" s="3" t="str">
        <f>IFERROR(__xludf.DUMMYFUNCTION("""COMPUTED_VALUE"""),"CAMPBELLFORD")</f>
        <v>CAMPBELLFORD</v>
      </c>
      <c r="D4700" s="3" t="str">
        <f>IFERROR(__xludf.DUMMYFUNCTION("""COMPUTED_VALUE"""),"K0L 1L0")</f>
        <v>K0L 1L0</v>
      </c>
      <c r="E4700" s="3"/>
      <c r="F4700" s="3"/>
      <c r="G4700" s="3"/>
      <c r="H4700" s="3"/>
    </row>
    <row r="4701">
      <c r="A4701" s="2">
        <f>IFERROR(__xludf.DUMMYFUNCTION("""COMPUTED_VALUE"""),60055.0)</f>
        <v>60055</v>
      </c>
      <c r="B4701" s="3" t="str">
        <f>IFERROR(__xludf.DUMMYFUNCTION("""COMPUTED_VALUE"""),"1094 11TH LINE W")</f>
        <v>1094 11TH LINE W</v>
      </c>
      <c r="C4701" s="3" t="str">
        <f>IFERROR(__xludf.DUMMYFUNCTION("""COMPUTED_VALUE"""),"CAMPBELLFORD")</f>
        <v>CAMPBELLFORD</v>
      </c>
      <c r="D4701" s="3" t="str">
        <f>IFERROR(__xludf.DUMMYFUNCTION("""COMPUTED_VALUE"""),"K0L 1L0")</f>
        <v>K0L 1L0</v>
      </c>
      <c r="E4701" s="3" t="str">
        <f>IFERROR(__xludf.DUMMYFUNCTION("""COMPUTED_VALUE"""),"helena perdue")</f>
        <v>helena perdue</v>
      </c>
      <c r="F4701" s="3"/>
      <c r="G4701" s="3">
        <f>IFERROR(__xludf.DUMMYFUNCTION("""COMPUTED_VALUE"""),7.059334376E9)</f>
        <v>7059334376</v>
      </c>
      <c r="H4701" s="3"/>
    </row>
    <row r="4702">
      <c r="A4702" s="2">
        <f>IFERROR(__xludf.DUMMYFUNCTION("""COMPUTED_VALUE"""),60056.0)</f>
        <v>60056</v>
      </c>
      <c r="B4702" s="3" t="str">
        <f>IFERROR(__xludf.DUMMYFUNCTION("""COMPUTED_VALUE"""),"1135 11TH LINE W")</f>
        <v>1135 11TH LINE W</v>
      </c>
      <c r="C4702" s="3" t="str">
        <f>IFERROR(__xludf.DUMMYFUNCTION("""COMPUTED_VALUE"""),"CAMPBELLFORD")</f>
        <v>CAMPBELLFORD</v>
      </c>
      <c r="D4702" s="3" t="str">
        <f>IFERROR(__xludf.DUMMYFUNCTION("""COMPUTED_VALUE"""),"K0L 1L0")</f>
        <v>K0L 1L0</v>
      </c>
      <c r="E4702" s="3" t="str">
        <f>IFERROR(__xludf.DUMMYFUNCTION("""COMPUTED_VALUE"""),"courtney cleverdon")</f>
        <v>courtney cleverdon</v>
      </c>
      <c r="F4702" s="3" t="str">
        <f>IFERROR(__xludf.DUMMYFUNCTION("""COMPUTED_VALUE"""),"clinkis@hotmail.com")</f>
        <v>clinkis@hotmail.com</v>
      </c>
      <c r="G4702" s="3">
        <f>IFERROR(__xludf.DUMMYFUNCTION("""COMPUTED_VALUE"""),7.056329534E9)</f>
        <v>7056329534</v>
      </c>
      <c r="H4702" s="3"/>
    </row>
    <row r="4703">
      <c r="A4703" s="2">
        <f>IFERROR(__xludf.DUMMYFUNCTION("""COMPUTED_VALUE"""),60057.0)</f>
        <v>60057</v>
      </c>
      <c r="B4703" s="3" t="str">
        <f>IFERROR(__xludf.DUMMYFUNCTION("""COMPUTED_VALUE"""),"1154 11TH LINE W")</f>
        <v>1154 11TH LINE W</v>
      </c>
      <c r="C4703" s="3" t="str">
        <f>IFERROR(__xludf.DUMMYFUNCTION("""COMPUTED_VALUE"""),"CAMPBELLFORD")</f>
        <v>CAMPBELLFORD</v>
      </c>
      <c r="D4703" s="3" t="str">
        <f>IFERROR(__xludf.DUMMYFUNCTION("""COMPUTED_VALUE"""),"K0L 1L0")</f>
        <v>K0L 1L0</v>
      </c>
      <c r="E4703" s="3"/>
      <c r="F4703" s="3"/>
      <c r="G4703" s="3"/>
      <c r="H4703" s="3"/>
    </row>
    <row r="4704">
      <c r="A4704" s="2">
        <f>IFERROR(__xludf.DUMMYFUNCTION("""COMPUTED_VALUE"""),60058.0)</f>
        <v>60058</v>
      </c>
      <c r="B4704" s="3" t="str">
        <f>IFERROR(__xludf.DUMMYFUNCTION("""COMPUTED_VALUE"""),"1255 11TH LINE W")</f>
        <v>1255 11TH LINE W</v>
      </c>
      <c r="C4704" s="3" t="str">
        <f>IFERROR(__xludf.DUMMYFUNCTION("""COMPUTED_VALUE"""),"CAMPBELLFORD")</f>
        <v>CAMPBELLFORD</v>
      </c>
      <c r="D4704" s="3" t="str">
        <f>IFERROR(__xludf.DUMMYFUNCTION("""COMPUTED_VALUE"""),"K0L 1L0")</f>
        <v>K0L 1L0</v>
      </c>
      <c r="E4704" s="3"/>
      <c r="F4704" s="3"/>
      <c r="G4704" s="3"/>
      <c r="H4704" s="3"/>
    </row>
    <row r="4705">
      <c r="A4705" s="2">
        <f>IFERROR(__xludf.DUMMYFUNCTION("""COMPUTED_VALUE"""),60060.0)</f>
        <v>60060</v>
      </c>
      <c r="B4705" s="3" t="str">
        <f>IFERROR(__xludf.DUMMYFUNCTION("""COMPUTED_VALUE"""),"1338 11TH LINE W")</f>
        <v>1338 11TH LINE W</v>
      </c>
      <c r="C4705" s="3" t="str">
        <f>IFERROR(__xludf.DUMMYFUNCTION("""COMPUTED_VALUE"""),"CAMPBELLFORD")</f>
        <v>CAMPBELLFORD</v>
      </c>
      <c r="D4705" s="3" t="str">
        <f>IFERROR(__xludf.DUMMYFUNCTION("""COMPUTED_VALUE"""),"K0L 1L0")</f>
        <v>K0L 1L0</v>
      </c>
      <c r="E4705" s="3"/>
      <c r="F4705" s="3"/>
      <c r="G4705" s="3"/>
      <c r="H4705" s="3"/>
    </row>
    <row r="4706">
      <c r="A4706" s="2">
        <f>IFERROR(__xludf.DUMMYFUNCTION("""COMPUTED_VALUE"""),60061.0)</f>
        <v>60061</v>
      </c>
      <c r="B4706" s="3" t="str">
        <f>IFERROR(__xludf.DUMMYFUNCTION("""COMPUTED_VALUE"""),"1349 11TH LINE W")</f>
        <v>1349 11TH LINE W</v>
      </c>
      <c r="C4706" s="3" t="str">
        <f>IFERROR(__xludf.DUMMYFUNCTION("""COMPUTED_VALUE"""),"CAMPBELLFORD")</f>
        <v>CAMPBELLFORD</v>
      </c>
      <c r="D4706" s="3" t="str">
        <f>IFERROR(__xludf.DUMMYFUNCTION("""COMPUTED_VALUE"""),"K0L 1L0")</f>
        <v>K0L 1L0</v>
      </c>
      <c r="E4706" s="3" t="str">
        <f>IFERROR(__xludf.DUMMYFUNCTION("""COMPUTED_VALUE"""),"Lucy Barnett")</f>
        <v>Lucy Barnett</v>
      </c>
      <c r="F4706" s="3" t="str">
        <f>IFERROR(__xludf.DUMMYFUNCTION("""COMPUTED_VALUE"""),"lucyjbarnett@icloud.com")</f>
        <v>lucyjbarnett@icloud.com</v>
      </c>
      <c r="G4706" s="3">
        <f>IFERROR(__xludf.DUMMYFUNCTION("""COMPUTED_VALUE"""),6.47721178E9)</f>
        <v>6477211780</v>
      </c>
      <c r="H4706" s="3">
        <f>IFERROR(__xludf.DUMMYFUNCTION("""COMPUTED_VALUE"""),4.16266475E9)</f>
        <v>4162664750</v>
      </c>
    </row>
    <row r="4707">
      <c r="A4707" s="2">
        <f>IFERROR(__xludf.DUMMYFUNCTION("""COMPUTED_VALUE"""),60062.0)</f>
        <v>60062</v>
      </c>
      <c r="B4707" s="3" t="str">
        <f>IFERROR(__xludf.DUMMYFUNCTION("""COMPUTED_VALUE"""),"1412 11TH LINE W")</f>
        <v>1412 11TH LINE W</v>
      </c>
      <c r="C4707" s="3" t="str">
        <f>IFERROR(__xludf.DUMMYFUNCTION("""COMPUTED_VALUE"""),"CAMPBELLFORD")</f>
        <v>CAMPBELLFORD</v>
      </c>
      <c r="D4707" s="3" t="str">
        <f>IFERROR(__xludf.DUMMYFUNCTION("""COMPUTED_VALUE"""),"K0L 1L0")</f>
        <v>K0L 1L0</v>
      </c>
      <c r="E4707" s="3" t="str">
        <f>IFERROR(__xludf.DUMMYFUNCTION("""COMPUTED_VALUE"""),"Jeff Casselman")</f>
        <v>Jeff Casselman</v>
      </c>
      <c r="F4707" s="3" t="str">
        <f>IFERROR(__xludf.DUMMYFUNCTION("""COMPUTED_VALUE"""),"jcasselman@gmail.com")</f>
        <v>jcasselman@gmail.com</v>
      </c>
      <c r="G4707" s="3"/>
      <c r="H4707" s="3"/>
    </row>
    <row r="4708">
      <c r="A4708" s="2">
        <f>IFERROR(__xludf.DUMMYFUNCTION("""COMPUTED_VALUE"""),60063.0)</f>
        <v>60063</v>
      </c>
      <c r="B4708" s="3" t="str">
        <f>IFERROR(__xludf.DUMMYFUNCTION("""COMPUTED_VALUE"""),"1425 11TH LINE W")</f>
        <v>1425 11TH LINE W</v>
      </c>
      <c r="C4708" s="3" t="str">
        <f>IFERROR(__xludf.DUMMYFUNCTION("""COMPUTED_VALUE"""),"CAMPBELLFORD")</f>
        <v>CAMPBELLFORD</v>
      </c>
      <c r="D4708" s="3" t="str">
        <f>IFERROR(__xludf.DUMMYFUNCTION("""COMPUTED_VALUE"""),"K0L 1L0")</f>
        <v>K0L 1L0</v>
      </c>
      <c r="E4708" s="3" t="str">
        <f>IFERROR(__xludf.DUMMYFUNCTION("""COMPUTED_VALUE"""),"Jeff Richardson")</f>
        <v>Jeff Richardson</v>
      </c>
      <c r="F4708" s="3" t="str">
        <f>IFERROR(__xludf.DUMMYFUNCTION("""COMPUTED_VALUE"""),"jeffstephno@yahoo.ca")</f>
        <v>jeffstephno@yahoo.ca</v>
      </c>
      <c r="G4708" s="3"/>
      <c r="H4708" s="3"/>
    </row>
    <row r="4709">
      <c r="A4709" s="2">
        <f>IFERROR(__xludf.DUMMYFUNCTION("""COMPUTED_VALUE"""),60059.0)</f>
        <v>60059</v>
      </c>
      <c r="B4709" s="3" t="str">
        <f>IFERROR(__xludf.DUMMYFUNCTION("""COMPUTED_VALUE"""),"1274 11TH LINE W")</f>
        <v>1274 11TH LINE W</v>
      </c>
      <c r="C4709" s="3" t="str">
        <f>IFERROR(__xludf.DUMMYFUNCTION("""COMPUTED_VALUE"""),"CAMPBELLFORD")</f>
        <v>CAMPBELLFORD</v>
      </c>
      <c r="D4709" s="3" t="str">
        <f>IFERROR(__xludf.DUMMYFUNCTION("""COMPUTED_VALUE"""),"K0L 1L0")</f>
        <v>K0L 1L0</v>
      </c>
      <c r="E4709" s="3"/>
      <c r="F4709" s="3"/>
      <c r="G4709" s="3"/>
      <c r="H4709" s="3"/>
    </row>
    <row r="4710">
      <c r="A4710" s="2">
        <f>IFERROR(__xludf.DUMMYFUNCTION("""COMPUTED_VALUE"""),60000.0)</f>
        <v>60000</v>
      </c>
      <c r="B4710" s="3" t="str">
        <f>IFERROR(__xludf.DUMMYFUNCTION("""COMPUTED_VALUE"""),"848 10TH LINE W")</f>
        <v>848 10TH LINE W</v>
      </c>
      <c r="C4710" s="3" t="str">
        <f>IFERROR(__xludf.DUMMYFUNCTION("""COMPUTED_VALUE"""),"HASTINGS")</f>
        <v>HASTINGS</v>
      </c>
      <c r="D4710" s="3" t="str">
        <f>IFERROR(__xludf.DUMMYFUNCTION("""COMPUTED_VALUE"""),"K0L 1Y0")</f>
        <v>K0L 1Y0</v>
      </c>
      <c r="E4710" s="3" t="str">
        <f>IFERROR(__xludf.DUMMYFUNCTION("""COMPUTED_VALUE"""),"reginald BROWN")</f>
        <v>reginald BROWN</v>
      </c>
      <c r="F4710" s="3" t="str">
        <f>IFERROR(__xludf.DUMMYFUNCTION("""COMPUTED_VALUE"""),"brownsautowreckers@icloud.com")</f>
        <v>brownsautowreckers@icloud.com</v>
      </c>
      <c r="G4710" s="3">
        <f>IFERROR(__xludf.DUMMYFUNCTION("""COMPUTED_VALUE"""),7.056963432E9)</f>
        <v>7056963432</v>
      </c>
      <c r="H4710" s="3"/>
    </row>
    <row r="4711">
      <c r="A4711" s="2">
        <f>IFERROR(__xludf.DUMMYFUNCTION("""COMPUTED_VALUE"""),60001.0)</f>
        <v>60001</v>
      </c>
      <c r="B4711" s="3" t="str">
        <f>IFERROR(__xludf.DUMMYFUNCTION("""COMPUTED_VALUE"""),"945 10TH LINE W")</f>
        <v>945 10TH LINE W</v>
      </c>
      <c r="C4711" s="3" t="str">
        <f>IFERROR(__xludf.DUMMYFUNCTION("""COMPUTED_VALUE"""),"HASTINGS")</f>
        <v>HASTINGS</v>
      </c>
      <c r="D4711" s="3" t="str">
        <f>IFERROR(__xludf.DUMMYFUNCTION("""COMPUTED_VALUE"""),"K0L 1Y0")</f>
        <v>K0L 1Y0</v>
      </c>
      <c r="E4711" s="3" t="str">
        <f>IFERROR(__xludf.DUMMYFUNCTION("""COMPUTED_VALUE"""),"John Farewell")</f>
        <v>John Farewell</v>
      </c>
      <c r="F4711" s="3" t="str">
        <f>IFERROR(__xludf.DUMMYFUNCTION("""COMPUTED_VALUE"""),"john.farewell@utoronto.ca")</f>
        <v>john.farewell@utoronto.ca</v>
      </c>
      <c r="G4711" s="3"/>
      <c r="H4711" s="3"/>
    </row>
    <row r="4712">
      <c r="A4712" s="2">
        <f>IFERROR(__xludf.DUMMYFUNCTION("""COMPUTED_VALUE"""),60002.0)</f>
        <v>60002</v>
      </c>
      <c r="B4712" s="3" t="str">
        <f>IFERROR(__xludf.DUMMYFUNCTION("""COMPUTED_VALUE"""),"960 10TH LINE W")</f>
        <v>960 10TH LINE W</v>
      </c>
      <c r="C4712" s="3" t="str">
        <f>IFERROR(__xludf.DUMMYFUNCTION("""COMPUTED_VALUE"""),"HASTINGS")</f>
        <v>HASTINGS</v>
      </c>
      <c r="D4712" s="3" t="str">
        <f>IFERROR(__xludf.DUMMYFUNCTION("""COMPUTED_VALUE"""),"K0L 1Y0")</f>
        <v>K0L 1Y0</v>
      </c>
      <c r="E4712" s="3" t="str">
        <f>IFERROR(__xludf.DUMMYFUNCTION("""COMPUTED_VALUE"""),"Erin Pettey")</f>
        <v>Erin Pettey</v>
      </c>
      <c r="F4712" s="3" t="str">
        <f>IFERROR(__xludf.DUMMYFUNCTION("""COMPUTED_VALUE"""),"erincrestblooms@outlook.com")</f>
        <v>erincrestblooms@outlook.com</v>
      </c>
      <c r="G4712" s="3"/>
      <c r="H4712" s="3"/>
    </row>
    <row r="4713">
      <c r="A4713" s="2">
        <f>IFERROR(__xludf.DUMMYFUNCTION("""COMPUTED_VALUE"""),60003.0)</f>
        <v>60003</v>
      </c>
      <c r="B4713" s="3" t="str">
        <f>IFERROR(__xludf.DUMMYFUNCTION("""COMPUTED_VALUE"""),"1022 10TH LINE W")</f>
        <v>1022 10TH LINE W</v>
      </c>
      <c r="C4713" s="3" t="str">
        <f>IFERROR(__xludf.DUMMYFUNCTION("""COMPUTED_VALUE"""),"HASTINGS")</f>
        <v>HASTINGS</v>
      </c>
      <c r="D4713" s="3" t="str">
        <f>IFERROR(__xludf.DUMMYFUNCTION("""COMPUTED_VALUE"""),"K0L 1Y0")</f>
        <v>K0L 1Y0</v>
      </c>
      <c r="E4713" s="3" t="str">
        <f>IFERROR(__xludf.DUMMYFUNCTION("""COMPUTED_VALUE"""),"Ken Berger")</f>
        <v>Ken Berger</v>
      </c>
      <c r="F4713" s="3" t="str">
        <f>IFERROR(__xludf.DUMMYFUNCTION("""COMPUTED_VALUE"""),"kenandlida@yahoo.ca")</f>
        <v>kenandlida@yahoo.ca</v>
      </c>
      <c r="G4713" s="3"/>
      <c r="H4713" s="3"/>
    </row>
    <row r="4714">
      <c r="A4714" s="2">
        <f>IFERROR(__xludf.DUMMYFUNCTION("""COMPUTED_VALUE"""),60004.0)</f>
        <v>60004</v>
      </c>
      <c r="B4714" s="3" t="str">
        <f>IFERROR(__xludf.DUMMYFUNCTION("""COMPUTED_VALUE"""),"1037 10TH LINE W")</f>
        <v>1037 10TH LINE W</v>
      </c>
      <c r="C4714" s="3" t="str">
        <f>IFERROR(__xludf.DUMMYFUNCTION("""COMPUTED_VALUE"""),"HASTINGS")</f>
        <v>HASTINGS</v>
      </c>
      <c r="D4714" s="3" t="str">
        <f>IFERROR(__xludf.DUMMYFUNCTION("""COMPUTED_VALUE"""),"K0L 1Y0")</f>
        <v>K0L 1Y0</v>
      </c>
      <c r="E4714" s="3" t="str">
        <f>IFERROR(__xludf.DUMMYFUNCTION("""COMPUTED_VALUE"""),"kevin braham")</f>
        <v>kevin braham</v>
      </c>
      <c r="F4714" s="3" t="str">
        <f>IFERROR(__xludf.DUMMYFUNCTION("""COMPUTED_VALUE"""),"bratsblade2@hotmail.com")</f>
        <v>bratsblade2@hotmail.com</v>
      </c>
      <c r="G4714" s="3">
        <f>IFERROR(__xludf.DUMMYFUNCTION("""COMPUTED_VALUE"""),7.057603471E9)</f>
        <v>7057603471</v>
      </c>
      <c r="H4714" s="3">
        <f>IFERROR(__xludf.DUMMYFUNCTION("""COMPUTED_VALUE"""),7.056536613E9)</f>
        <v>7056536613</v>
      </c>
    </row>
    <row r="4715">
      <c r="A4715" s="2">
        <f>IFERROR(__xludf.DUMMYFUNCTION("""COMPUTED_VALUE"""),60005.0)</f>
        <v>60005</v>
      </c>
      <c r="B4715" s="3" t="str">
        <f>IFERROR(__xludf.DUMMYFUNCTION("""COMPUTED_VALUE"""),"1040 10TH LINE W")</f>
        <v>1040 10TH LINE W</v>
      </c>
      <c r="C4715" s="3" t="str">
        <f>IFERROR(__xludf.DUMMYFUNCTION("""COMPUTED_VALUE"""),"HASTINGS")</f>
        <v>HASTINGS</v>
      </c>
      <c r="D4715" s="3" t="str">
        <f>IFERROR(__xludf.DUMMYFUNCTION("""COMPUTED_VALUE"""),"K0L 1Y0")</f>
        <v>K0L 1Y0</v>
      </c>
      <c r="E4715" s="3" t="str">
        <f>IFERROR(__xludf.DUMMYFUNCTION("""COMPUTED_VALUE"""),"Gary")</f>
        <v>Gary</v>
      </c>
      <c r="F4715" s="3"/>
      <c r="G4715" s="3"/>
      <c r="H4715" s="3"/>
    </row>
    <row r="4716">
      <c r="A4716" s="2">
        <f>IFERROR(__xludf.DUMMYFUNCTION("""COMPUTED_VALUE"""),60006.0)</f>
        <v>60006</v>
      </c>
      <c r="B4716" s="3" t="str">
        <f>IFERROR(__xludf.DUMMYFUNCTION("""COMPUTED_VALUE"""),"1071C 10TH LINE W")</f>
        <v>1071C 10TH LINE W</v>
      </c>
      <c r="C4716" s="3" t="str">
        <f>IFERROR(__xludf.DUMMYFUNCTION("""COMPUTED_VALUE"""),"HASTINGS")</f>
        <v>HASTINGS</v>
      </c>
      <c r="D4716" s="3" t="str">
        <f>IFERROR(__xludf.DUMMYFUNCTION("""COMPUTED_VALUE"""),"K0L 1Y0")</f>
        <v>K0L 1Y0</v>
      </c>
      <c r="E4716" s="3"/>
      <c r="F4716" s="3"/>
      <c r="G4716" s="3"/>
      <c r="H4716" s="3"/>
    </row>
    <row r="4717">
      <c r="A4717" s="2">
        <f>IFERROR(__xludf.DUMMYFUNCTION("""COMPUTED_VALUE"""),60007.0)</f>
        <v>60007</v>
      </c>
      <c r="B4717" s="3" t="str">
        <f>IFERROR(__xludf.DUMMYFUNCTION("""COMPUTED_VALUE"""),"1071A 10TH LINE W")</f>
        <v>1071A 10TH LINE W</v>
      </c>
      <c r="C4717" s="3" t="str">
        <f>IFERROR(__xludf.DUMMYFUNCTION("""COMPUTED_VALUE"""),"HASTINGS")</f>
        <v>HASTINGS</v>
      </c>
      <c r="D4717" s="3" t="str">
        <f>IFERROR(__xludf.DUMMYFUNCTION("""COMPUTED_VALUE"""),"K0L 1Y0")</f>
        <v>K0L 1Y0</v>
      </c>
      <c r="E4717" s="3"/>
      <c r="F4717" s="3"/>
      <c r="G4717" s="3"/>
      <c r="H4717" s="3"/>
    </row>
    <row r="4718">
      <c r="A4718" s="2">
        <f>IFERROR(__xludf.DUMMYFUNCTION("""COMPUTED_VALUE"""),60008.0)</f>
        <v>60008</v>
      </c>
      <c r="B4718" s="3" t="str">
        <f>IFERROR(__xludf.DUMMYFUNCTION("""COMPUTED_VALUE"""),"1071B 10TH LINE W")</f>
        <v>1071B 10TH LINE W</v>
      </c>
      <c r="C4718" s="3" t="str">
        <f>IFERROR(__xludf.DUMMYFUNCTION("""COMPUTED_VALUE"""),"HASTINGS")</f>
        <v>HASTINGS</v>
      </c>
      <c r="D4718" s="3" t="str">
        <f>IFERROR(__xludf.DUMMYFUNCTION("""COMPUTED_VALUE"""),"K0L 1Y0")</f>
        <v>K0L 1Y0</v>
      </c>
      <c r="E4718" s="3" t="str">
        <f>IFERROR(__xludf.DUMMYFUNCTION("""COMPUTED_VALUE"""),"Adam Fillier")</f>
        <v>Adam Fillier</v>
      </c>
      <c r="F4718" s="3" t="str">
        <f>IFERROR(__xludf.DUMMYFUNCTION("""COMPUTED_VALUE"""),"a.fillier.86@gmail.com")</f>
        <v>a.fillier.86@gmail.com</v>
      </c>
      <c r="G4718" s="3">
        <f>IFERROR(__xludf.DUMMYFUNCTION("""COMPUTED_VALUE"""),7.056329137E9)</f>
        <v>7056329137</v>
      </c>
      <c r="H4718" s="3"/>
    </row>
    <row r="4719">
      <c r="A4719" s="2">
        <f>IFERROR(__xludf.DUMMYFUNCTION("""COMPUTED_VALUE"""),60009.0)</f>
        <v>60009</v>
      </c>
      <c r="B4719" s="3" t="str">
        <f>IFERROR(__xludf.DUMMYFUNCTION("""COMPUTED_VALUE"""),"1118 10TH LINE W")</f>
        <v>1118 10TH LINE W</v>
      </c>
      <c r="C4719" s="3" t="str">
        <f>IFERROR(__xludf.DUMMYFUNCTION("""COMPUTED_VALUE"""),"HASTINGS")</f>
        <v>HASTINGS</v>
      </c>
      <c r="D4719" s="3" t="str">
        <f>IFERROR(__xludf.DUMMYFUNCTION("""COMPUTED_VALUE"""),"K0L 1Y0")</f>
        <v>K0L 1Y0</v>
      </c>
      <c r="E4719" s="3"/>
      <c r="F4719" s="3"/>
      <c r="G4719" s="3"/>
      <c r="H4719" s="3"/>
    </row>
    <row r="4720">
      <c r="A4720" s="2">
        <f>IFERROR(__xludf.DUMMYFUNCTION("""COMPUTED_VALUE"""),60010.0)</f>
        <v>60010</v>
      </c>
      <c r="B4720" s="3" t="str">
        <f>IFERROR(__xludf.DUMMYFUNCTION("""COMPUTED_VALUE"""),"1133 10TH LINE W")</f>
        <v>1133 10TH LINE W</v>
      </c>
      <c r="C4720" s="3" t="str">
        <f>IFERROR(__xludf.DUMMYFUNCTION("""COMPUTED_VALUE"""),"HASTINGS")</f>
        <v>HASTINGS</v>
      </c>
      <c r="D4720" s="3" t="str">
        <f>IFERROR(__xludf.DUMMYFUNCTION("""COMPUTED_VALUE"""),"K0L 1Y0")</f>
        <v>K0L 1Y0</v>
      </c>
      <c r="E4720" s="3" t="str">
        <f>IFERROR(__xludf.DUMMYFUNCTION("""COMPUTED_VALUE"""),"Meru Brown")</f>
        <v>Meru Brown</v>
      </c>
      <c r="F4720" s="3" t="str">
        <f>IFERROR(__xludf.DUMMYFUNCTION("""COMPUTED_VALUE"""),"merubrown1@hotmail.com")</f>
        <v>merubrown1@hotmail.com</v>
      </c>
      <c r="G4720" s="3"/>
      <c r="H4720" s="3"/>
    </row>
    <row r="4721">
      <c r="A4721" s="2">
        <f>IFERROR(__xludf.DUMMYFUNCTION("""COMPUTED_VALUE"""),60011.0)</f>
        <v>60011</v>
      </c>
      <c r="B4721" s="3" t="str">
        <f>IFERROR(__xludf.DUMMYFUNCTION("""COMPUTED_VALUE"""),"1192 10TH LINE W")</f>
        <v>1192 10TH LINE W</v>
      </c>
      <c r="C4721" s="3" t="str">
        <f>IFERROR(__xludf.DUMMYFUNCTION("""COMPUTED_VALUE"""),"HASTINGS")</f>
        <v>HASTINGS</v>
      </c>
      <c r="D4721" s="3" t="str">
        <f>IFERROR(__xludf.DUMMYFUNCTION("""COMPUTED_VALUE"""),"K0L 1Y0")</f>
        <v>K0L 1Y0</v>
      </c>
      <c r="E4721" s="3" t="str">
        <f>IFERROR(__xludf.DUMMYFUNCTION("""COMPUTED_VALUE"""),"Wesley &amp; Julianne Brown")</f>
        <v>Wesley &amp; Julianne Brown</v>
      </c>
      <c r="F4721" s="3" t="str">
        <f>IFERROR(__xludf.DUMMYFUNCTION("""COMPUTED_VALUE"""),"julianneburnbrown@gmail.com")</f>
        <v>julianneburnbrown@gmail.com</v>
      </c>
      <c r="G4721" s="3"/>
      <c r="H4721" s="3"/>
    </row>
    <row r="4722">
      <c r="A4722" s="2">
        <f>IFERROR(__xludf.DUMMYFUNCTION("""COMPUTED_VALUE"""),60012.0)</f>
        <v>60012</v>
      </c>
      <c r="B4722" s="3" t="str">
        <f>IFERROR(__xludf.DUMMYFUNCTION("""COMPUTED_VALUE"""),"1215 10TH LINE W")</f>
        <v>1215 10TH LINE W</v>
      </c>
      <c r="C4722" s="3" t="str">
        <f>IFERROR(__xludf.DUMMYFUNCTION("""COMPUTED_VALUE"""),"HASTINGS")</f>
        <v>HASTINGS</v>
      </c>
      <c r="D4722" s="3" t="str">
        <f>IFERROR(__xludf.DUMMYFUNCTION("""COMPUTED_VALUE"""),"K0L 1Y0")</f>
        <v>K0L 1Y0</v>
      </c>
      <c r="E4722" s="3" t="str">
        <f>IFERROR(__xludf.DUMMYFUNCTION("""COMPUTED_VALUE"""),"Kelley Burnham")</f>
        <v>Kelley Burnham</v>
      </c>
      <c r="F4722" s="3" t="str">
        <f>IFERROR(__xludf.DUMMYFUNCTION("""COMPUTED_VALUE"""),"burnham.k@outlook.com")</f>
        <v>burnham.k@outlook.com</v>
      </c>
      <c r="G4722" s="3">
        <f>IFERROR(__xludf.DUMMYFUNCTION("""COMPUTED_VALUE"""),7.05768278E9)</f>
        <v>7057682780</v>
      </c>
      <c r="H4722" s="3">
        <f>IFERROR(__xludf.DUMMYFUNCTION("""COMPUTED_VALUE"""),9.05376096E9)</f>
        <v>9053760960</v>
      </c>
    </row>
    <row r="4723">
      <c r="A4723" s="2">
        <f>IFERROR(__xludf.DUMMYFUNCTION("""COMPUTED_VALUE"""),60013.0)</f>
        <v>60013</v>
      </c>
      <c r="B4723" s="3" t="str">
        <f>IFERROR(__xludf.DUMMYFUNCTION("""COMPUTED_VALUE"""),"1256 10TH LINE W")</f>
        <v>1256 10TH LINE W</v>
      </c>
      <c r="C4723" s="3" t="str">
        <f>IFERROR(__xludf.DUMMYFUNCTION("""COMPUTED_VALUE"""),"HASTINGS")</f>
        <v>HASTINGS</v>
      </c>
      <c r="D4723" s="3" t="str">
        <f>IFERROR(__xludf.DUMMYFUNCTION("""COMPUTED_VALUE"""),"K0L 1Y0")</f>
        <v>K0L 1Y0</v>
      </c>
      <c r="E4723" s="3" t="str">
        <f>IFERROR(__xludf.DUMMYFUNCTION("""COMPUTED_VALUE"""),"carolyn brown")</f>
        <v>carolyn brown</v>
      </c>
      <c r="F4723" s="3" t="str">
        <f>IFERROR(__xludf.DUMMYFUNCTION("""COMPUTED_VALUE"""),"brucewbrown 2535@gmail.com")</f>
        <v>brucewbrown 2535@gmail.com</v>
      </c>
      <c r="G4723" s="3">
        <f>IFERROR(__xludf.DUMMYFUNCTION("""COMPUTED_VALUE"""),7.056534586E9)</f>
        <v>7056534586</v>
      </c>
      <c r="H4723" s="3"/>
    </row>
    <row r="4724">
      <c r="A4724" s="2">
        <f>IFERROR(__xludf.DUMMYFUNCTION("""COMPUTED_VALUE"""),60989.0)</f>
        <v>60989</v>
      </c>
      <c r="B4724" s="3" t="str">
        <f>IFERROR(__xludf.DUMMYFUNCTION("""COMPUTED_VALUE"""),"496 CONCESSION RD 13 RD E ")</f>
        <v>496 CONCESSION RD 13 RD E </v>
      </c>
      <c r="C4724" s="3" t="str">
        <f>IFERROR(__xludf.DUMMYFUNCTION("""COMPUTED_VALUE"""),"HASTINGS")</f>
        <v>HASTINGS</v>
      </c>
      <c r="D4724" s="3" t="str">
        <f>IFERROR(__xludf.DUMMYFUNCTION("""COMPUTED_VALUE"""),"K0L 1Y0")</f>
        <v>K0L 1Y0</v>
      </c>
      <c r="E4724" s="3"/>
      <c r="F4724" s="3"/>
      <c r="G4724" s="3"/>
      <c r="H4724" s="3"/>
    </row>
    <row r="4725">
      <c r="A4725" s="2">
        <f>IFERROR(__xludf.DUMMYFUNCTION("""COMPUTED_VALUE"""),60990.0)</f>
        <v>60990</v>
      </c>
      <c r="B4725" s="3" t="str">
        <f>IFERROR(__xludf.DUMMYFUNCTION("""COMPUTED_VALUE"""),"501 CONCESSION RD 13 RD E ")</f>
        <v>501 CONCESSION RD 13 RD E </v>
      </c>
      <c r="C4725" s="3" t="str">
        <f>IFERROR(__xludf.DUMMYFUNCTION("""COMPUTED_VALUE"""),"HASTINGS")</f>
        <v>HASTINGS</v>
      </c>
      <c r="D4725" s="3" t="str">
        <f>IFERROR(__xludf.DUMMYFUNCTION("""COMPUTED_VALUE"""),"K0L 1Y0")</f>
        <v>K0L 1Y0</v>
      </c>
      <c r="E4725" s="3" t="str">
        <f>IFERROR(__xludf.DUMMYFUNCTION("""COMPUTED_VALUE"""),"Liz Koegler")</f>
        <v>Liz Koegler</v>
      </c>
      <c r="F4725" s="3" t="str">
        <f>IFERROR(__xludf.DUMMYFUNCTION("""COMPUTED_VALUE"""),"thttrans873@gmail.com")</f>
        <v>thttrans873@gmail.com</v>
      </c>
      <c r="G4725" s="3"/>
      <c r="H4725" s="3"/>
    </row>
    <row r="4726">
      <c r="A4726" s="2">
        <f>IFERROR(__xludf.DUMMYFUNCTION("""COMPUTED_VALUE"""),60991.0)</f>
        <v>60991</v>
      </c>
      <c r="B4726" s="3" t="str">
        <f>IFERROR(__xludf.DUMMYFUNCTION("""COMPUTED_VALUE"""),"531 CONCESSION RD 13 RD E ")</f>
        <v>531 CONCESSION RD 13 RD E </v>
      </c>
      <c r="C4726" s="3" t="str">
        <f>IFERROR(__xludf.DUMMYFUNCTION("""COMPUTED_VALUE"""),"HASTINGS")</f>
        <v>HASTINGS</v>
      </c>
      <c r="D4726" s="3" t="str">
        <f>IFERROR(__xludf.DUMMYFUNCTION("""COMPUTED_VALUE"""),"K0L 1Y0")</f>
        <v>K0L 1Y0</v>
      </c>
      <c r="E4726" s="3" t="str">
        <f>IFERROR(__xludf.DUMMYFUNCTION("""COMPUTED_VALUE"""),"taylor l kidd ")</f>
        <v>taylor l kidd </v>
      </c>
      <c r="F4726" s="3" t="str">
        <f>IFERROR(__xludf.DUMMYFUNCTION("""COMPUTED_VALUE"""),"taylorlmoroz@gmail.com")</f>
        <v>taylorlmoroz@gmail.com</v>
      </c>
      <c r="G4726" s="3">
        <f>IFERROR(__xludf.DUMMYFUNCTION("""COMPUTED_VALUE"""),7.05313404E9)</f>
        <v>7053134040</v>
      </c>
      <c r="H4726" s="3">
        <f>IFERROR(__xludf.DUMMYFUNCTION("""COMPUTED_VALUE"""),7.057613048E9)</f>
        <v>7057613048</v>
      </c>
    </row>
    <row r="4727">
      <c r="A4727" s="2">
        <f>IFERROR(__xludf.DUMMYFUNCTION("""COMPUTED_VALUE"""),60992.0)</f>
        <v>60992</v>
      </c>
      <c r="B4727" s="3" t="str">
        <f>IFERROR(__xludf.DUMMYFUNCTION("""COMPUTED_VALUE"""),"534 CONCESSION RD 13 RD E ")</f>
        <v>534 CONCESSION RD 13 RD E </v>
      </c>
      <c r="C4727" s="3" t="str">
        <f>IFERROR(__xludf.DUMMYFUNCTION("""COMPUTED_VALUE"""),"HASTINGS")</f>
        <v>HASTINGS</v>
      </c>
      <c r="D4727" s="3" t="str">
        <f>IFERROR(__xludf.DUMMYFUNCTION("""COMPUTED_VALUE"""),"K0L 1Y0")</f>
        <v>K0L 1Y0</v>
      </c>
      <c r="E4727" s="3"/>
      <c r="F4727" s="3"/>
      <c r="G4727" s="3"/>
      <c r="H4727" s="3"/>
    </row>
    <row r="4728">
      <c r="A4728" s="2">
        <f>IFERROR(__xludf.DUMMYFUNCTION("""COMPUTED_VALUE"""),60993.0)</f>
        <v>60993</v>
      </c>
      <c r="B4728" s="3" t="str">
        <f>IFERROR(__xludf.DUMMYFUNCTION("""COMPUTED_VALUE"""),"554 CONCESSION RD 13 RD E ")</f>
        <v>554 CONCESSION RD 13 RD E </v>
      </c>
      <c r="C4728" s="3" t="str">
        <f>IFERROR(__xludf.DUMMYFUNCTION("""COMPUTED_VALUE"""),"HASTINGS")</f>
        <v>HASTINGS</v>
      </c>
      <c r="D4728" s="3" t="str">
        <f>IFERROR(__xludf.DUMMYFUNCTION("""COMPUTED_VALUE"""),"K0L 1Y0")</f>
        <v>K0L 1Y0</v>
      </c>
      <c r="E4728" s="3" t="str">
        <f>IFERROR(__xludf.DUMMYFUNCTION("""COMPUTED_VALUE"""),"Andrew Scott")</f>
        <v>Andrew Scott</v>
      </c>
      <c r="F4728" s="3" t="str">
        <f>IFERROR(__xludf.DUMMYFUNCTION("""COMPUTED_VALUE"""),"andrewscsc@hotmail.com")</f>
        <v>andrewscsc@hotmail.com</v>
      </c>
      <c r="G4728" s="3">
        <f>IFERROR(__xludf.DUMMYFUNCTION("""COMPUTED_VALUE"""),7.056329618E9)</f>
        <v>7056329618</v>
      </c>
      <c r="H4728" s="3">
        <f>IFERROR(__xludf.DUMMYFUNCTION("""COMPUTED_VALUE"""),7.056537412E9)</f>
        <v>7056537412</v>
      </c>
    </row>
    <row r="4729">
      <c r="A4729" s="2">
        <f>IFERROR(__xludf.DUMMYFUNCTION("""COMPUTED_VALUE"""),60994.0)</f>
        <v>60994</v>
      </c>
      <c r="B4729" s="3" t="str">
        <f>IFERROR(__xludf.DUMMYFUNCTION("""COMPUTED_VALUE"""),"570 CONCESSION RD 13 RD E ")</f>
        <v>570 CONCESSION RD 13 RD E </v>
      </c>
      <c r="C4729" s="3" t="str">
        <f>IFERROR(__xludf.DUMMYFUNCTION("""COMPUTED_VALUE"""),"HASTINGS")</f>
        <v>HASTINGS</v>
      </c>
      <c r="D4729" s="3" t="str">
        <f>IFERROR(__xludf.DUMMYFUNCTION("""COMPUTED_VALUE"""),"K0L 1Y0")</f>
        <v>K0L 1Y0</v>
      </c>
      <c r="E4729" s="3" t="str">
        <f>IFERROR(__xludf.DUMMYFUNCTION("""COMPUTED_VALUE"""),"TED FORDE")</f>
        <v>TED FORDE</v>
      </c>
      <c r="F4729" s="3" t="str">
        <f>IFERROR(__xludf.DUMMYFUNCTION("""COMPUTED_VALUE"""),"ted.forde55@gmail.com")</f>
        <v>ted.forde55@gmail.com</v>
      </c>
      <c r="G4729" s="3"/>
      <c r="H4729" s="3"/>
    </row>
    <row r="4730">
      <c r="A4730" s="2">
        <f>IFERROR(__xludf.DUMMYFUNCTION("""COMPUTED_VALUE"""),60995.0)</f>
        <v>60995</v>
      </c>
      <c r="B4730" s="3" t="str">
        <f>IFERROR(__xludf.DUMMYFUNCTION("""COMPUTED_VALUE"""),"576 CONCESSION RD 13 RD E ")</f>
        <v>576 CONCESSION RD 13 RD E </v>
      </c>
      <c r="C4730" s="3" t="str">
        <f>IFERROR(__xludf.DUMMYFUNCTION("""COMPUTED_VALUE"""),"HASTINGS")</f>
        <v>HASTINGS</v>
      </c>
      <c r="D4730" s="3" t="str">
        <f>IFERROR(__xludf.DUMMYFUNCTION("""COMPUTED_VALUE"""),"K0L 1Y0")</f>
        <v>K0L 1Y0</v>
      </c>
      <c r="E4730" s="3" t="str">
        <f>IFERROR(__xludf.DUMMYFUNCTION("""COMPUTED_VALUE"""),"TED FORDE")</f>
        <v>TED FORDE</v>
      </c>
      <c r="F4730" s="3" t="str">
        <f>IFERROR(__xludf.DUMMYFUNCTION("""COMPUTED_VALUE"""),"ted.forde55@gmail.com")</f>
        <v>ted.forde55@gmail.com</v>
      </c>
      <c r="G4730" s="3"/>
      <c r="H4730" s="3"/>
    </row>
    <row r="4731">
      <c r="A4731" s="2">
        <f>IFERROR(__xludf.DUMMYFUNCTION("""COMPUTED_VALUE"""),60996.0)</f>
        <v>60996</v>
      </c>
      <c r="B4731" s="3" t="str">
        <f>IFERROR(__xludf.DUMMYFUNCTION("""COMPUTED_VALUE"""),"603 CONCESSION RD 13 RD E ")</f>
        <v>603 CONCESSION RD 13 RD E </v>
      </c>
      <c r="C4731" s="3" t="str">
        <f>IFERROR(__xludf.DUMMYFUNCTION("""COMPUTED_VALUE"""),"HASTINGS")</f>
        <v>HASTINGS</v>
      </c>
      <c r="D4731" s="3" t="str">
        <f>IFERROR(__xludf.DUMMYFUNCTION("""COMPUTED_VALUE"""),"K0L 1Y0")</f>
        <v>K0L 1Y0</v>
      </c>
      <c r="E4731" s="3" t="str">
        <f>IFERROR(__xludf.DUMMYFUNCTION("""COMPUTED_VALUE"""),"John Pickens ")</f>
        <v>John Pickens </v>
      </c>
      <c r="F4731" s="3" t="str">
        <f>IFERROR(__xludf.DUMMYFUNCTION("""COMPUTED_VALUE"""),"jfpick@gmail.com")</f>
        <v>jfpick@gmail.com</v>
      </c>
      <c r="G4731" s="3"/>
      <c r="H4731" s="3"/>
    </row>
    <row r="4732">
      <c r="A4732" s="2">
        <f>IFERROR(__xludf.DUMMYFUNCTION("""COMPUTED_VALUE"""),60997.0)</f>
        <v>60997</v>
      </c>
      <c r="B4732" s="3" t="str">
        <f>IFERROR(__xludf.DUMMYFUNCTION("""COMPUTED_VALUE"""),"606 CONCESSION RD 13 RD E ")</f>
        <v>606 CONCESSION RD 13 RD E </v>
      </c>
      <c r="C4732" s="3" t="str">
        <f>IFERROR(__xludf.DUMMYFUNCTION("""COMPUTED_VALUE"""),"HASTINGS")</f>
        <v>HASTINGS</v>
      </c>
      <c r="D4732" s="3" t="str">
        <f>IFERROR(__xludf.DUMMYFUNCTION("""COMPUTED_VALUE"""),"K0L 1Y0")</f>
        <v>K0L 1Y0</v>
      </c>
      <c r="E4732" s="3" t="str">
        <f>IFERROR(__xludf.DUMMYFUNCTION("""COMPUTED_VALUE"""),"Joseph &amp; Darla Belamger")</f>
        <v>Joseph &amp; Darla Belamger</v>
      </c>
      <c r="F4732" s="3" t="str">
        <f>IFERROR(__xludf.DUMMYFUNCTION("""COMPUTED_VALUE"""),"jodar1983@gmail.com")</f>
        <v>jodar1983@gmail.com</v>
      </c>
      <c r="G4732" s="3">
        <f>IFERROR(__xludf.DUMMYFUNCTION("""COMPUTED_VALUE"""),7.059772756E9)</f>
        <v>7059772756</v>
      </c>
      <c r="H4732" s="3">
        <f>IFERROR(__xludf.DUMMYFUNCTION("""COMPUTED_VALUE"""),7.059770186E9)</f>
        <v>7059770186</v>
      </c>
    </row>
    <row r="4733">
      <c r="A4733" s="2">
        <f>IFERROR(__xludf.DUMMYFUNCTION("""COMPUTED_VALUE"""),60998.0)</f>
        <v>60998</v>
      </c>
      <c r="B4733" s="3" t="str">
        <f>IFERROR(__xludf.DUMMYFUNCTION("""COMPUTED_VALUE"""),"644 CONCESSION RD 13 RD E ")</f>
        <v>644 CONCESSION RD 13 RD E </v>
      </c>
      <c r="C4733" s="3" t="str">
        <f>IFERROR(__xludf.DUMMYFUNCTION("""COMPUTED_VALUE"""),"HASTINGS")</f>
        <v>HASTINGS</v>
      </c>
      <c r="D4733" s="3" t="str">
        <f>IFERROR(__xludf.DUMMYFUNCTION("""COMPUTED_VALUE"""),"K0L 1Y0")</f>
        <v>K0L 1Y0</v>
      </c>
      <c r="E4733" s="3"/>
      <c r="F4733" s="3"/>
      <c r="G4733" s="3"/>
      <c r="H4733" s="3"/>
    </row>
    <row r="4734">
      <c r="A4734" s="2">
        <f>IFERROR(__xludf.DUMMYFUNCTION("""COMPUTED_VALUE"""),60999.0)</f>
        <v>60999</v>
      </c>
      <c r="B4734" s="3" t="str">
        <f>IFERROR(__xludf.DUMMYFUNCTION("""COMPUTED_VALUE"""),"657 CONCESSION RD 13 RD E ")</f>
        <v>657 CONCESSION RD 13 RD E </v>
      </c>
      <c r="C4734" s="3" t="str">
        <f>IFERROR(__xludf.DUMMYFUNCTION("""COMPUTED_VALUE"""),"HASTINGS")</f>
        <v>HASTINGS</v>
      </c>
      <c r="D4734" s="3" t="str">
        <f>IFERROR(__xludf.DUMMYFUNCTION("""COMPUTED_VALUE"""),"K0L 1Y0")</f>
        <v>K0L 1Y0</v>
      </c>
      <c r="E4734" s="3" t="str">
        <f>IFERROR(__xludf.DUMMYFUNCTION("""COMPUTED_VALUE"""),"Christopher Wylie")</f>
        <v>Christopher Wylie</v>
      </c>
      <c r="F4734" s="3" t="str">
        <f>IFERROR(__xludf.DUMMYFUNCTION("""COMPUTED_VALUE"""),"chriswylie97@gmail.com")</f>
        <v>chriswylie97@gmail.com</v>
      </c>
      <c r="G4734" s="3">
        <f>IFERROR(__xludf.DUMMYFUNCTION("""COMPUTED_VALUE"""),6.133051077E9)</f>
        <v>6133051077</v>
      </c>
      <c r="H4734" s="3"/>
    </row>
    <row r="4735">
      <c r="A4735" s="2">
        <f>IFERROR(__xludf.DUMMYFUNCTION("""COMPUTED_VALUE"""),61000.0)</f>
        <v>61000</v>
      </c>
      <c r="B4735" s="3" t="str">
        <f>IFERROR(__xludf.DUMMYFUNCTION("""COMPUTED_VALUE"""),"665 CONCESSION RD 13 RD E ")</f>
        <v>665 CONCESSION RD 13 RD E </v>
      </c>
      <c r="C4735" s="3" t="str">
        <f>IFERROR(__xludf.DUMMYFUNCTION("""COMPUTED_VALUE"""),"HASTINGS")</f>
        <v>HASTINGS</v>
      </c>
      <c r="D4735" s="3" t="str">
        <f>IFERROR(__xludf.DUMMYFUNCTION("""COMPUTED_VALUE"""),"K0L 1Y0")</f>
        <v>K0L 1Y0</v>
      </c>
      <c r="E4735" s="3" t="str">
        <f>IFERROR(__xludf.DUMMYFUNCTION("""COMPUTED_VALUE"""),"Justin Gilmour")</f>
        <v>Justin Gilmour</v>
      </c>
      <c r="F4735" s="3" t="str">
        <f>IFERROR(__xludf.DUMMYFUNCTION("""COMPUTED_VALUE"""),"crusher36@live.ca")</f>
        <v>crusher36@live.ca</v>
      </c>
      <c r="G4735" s="3">
        <f>IFERROR(__xludf.DUMMYFUNCTION("""COMPUTED_VALUE"""),7.053139419E9)</f>
        <v>7053139419</v>
      </c>
      <c r="H4735" s="3">
        <f>IFERROR(__xludf.DUMMYFUNCTION("""COMPUTED_VALUE"""),7.05931507E9)</f>
        <v>7059315070</v>
      </c>
    </row>
    <row r="4736">
      <c r="A4736" s="2">
        <f>IFERROR(__xludf.DUMMYFUNCTION("""COMPUTED_VALUE"""),61001.0)</f>
        <v>61001</v>
      </c>
      <c r="B4736" s="3" t="str">
        <f>IFERROR(__xludf.DUMMYFUNCTION("""COMPUTED_VALUE"""),"669 CONCESSION RD 13 RD E ")</f>
        <v>669 CONCESSION RD 13 RD E </v>
      </c>
      <c r="C4736" s="3" t="str">
        <f>IFERROR(__xludf.DUMMYFUNCTION("""COMPUTED_VALUE"""),"HASTINGS")</f>
        <v>HASTINGS</v>
      </c>
      <c r="D4736" s="3" t="str">
        <f>IFERROR(__xludf.DUMMYFUNCTION("""COMPUTED_VALUE"""),"K0L 1Y0")</f>
        <v>K0L 1Y0</v>
      </c>
      <c r="E4736" s="3" t="str">
        <f>IFERROR(__xludf.DUMMYFUNCTION("""COMPUTED_VALUE"""),"brenda osak")</f>
        <v>brenda osak</v>
      </c>
      <c r="F4736" s="3" t="str">
        <f>IFERROR(__xludf.DUMMYFUNCTION("""COMPUTED_VALUE"""),"b.osak@hotmail.com")</f>
        <v>b.osak@hotmail.com</v>
      </c>
      <c r="G4736" s="3">
        <f>IFERROR(__xludf.DUMMYFUNCTION("""COMPUTED_VALUE"""),7.05876987E9)</f>
        <v>7058769870</v>
      </c>
      <c r="H4736" s="3"/>
    </row>
    <row r="4737">
      <c r="A4737" s="2">
        <f>IFERROR(__xludf.DUMMYFUNCTION("""COMPUTED_VALUE"""),61002.0)</f>
        <v>61002</v>
      </c>
      <c r="B4737" s="3" t="str">
        <f>IFERROR(__xludf.DUMMYFUNCTION("""COMPUTED_VALUE"""),"681 CONCESSION RD 13 RD E ")</f>
        <v>681 CONCESSION RD 13 RD E </v>
      </c>
      <c r="C4737" s="3" t="str">
        <f>IFERROR(__xludf.DUMMYFUNCTION("""COMPUTED_VALUE"""),"HASTINGS")</f>
        <v>HASTINGS</v>
      </c>
      <c r="D4737" s="3" t="str">
        <f>IFERROR(__xludf.DUMMYFUNCTION("""COMPUTED_VALUE"""),"K0L 1Y0")</f>
        <v>K0L 1Y0</v>
      </c>
      <c r="E4737" s="3" t="str">
        <f>IFERROR(__xludf.DUMMYFUNCTION("""COMPUTED_VALUE"""),"BEVERLEY WYNN")</f>
        <v>BEVERLEY WYNN</v>
      </c>
      <c r="F4737" s="3" t="str">
        <f>IFERROR(__xludf.DUMMYFUNCTION("""COMPUTED_VALUE"""),"maddiewynn6@gmail.com")</f>
        <v>maddiewynn6@gmail.com</v>
      </c>
      <c r="G4737" s="3"/>
      <c r="H4737" s="3"/>
    </row>
    <row r="4738">
      <c r="A4738" s="2">
        <f>IFERROR(__xludf.DUMMYFUNCTION("""COMPUTED_VALUE"""),61003.0)</f>
        <v>61003</v>
      </c>
      <c r="B4738" s="3" t="str">
        <f>IFERROR(__xludf.DUMMYFUNCTION("""COMPUTED_VALUE"""),"682 CONCESSION RD 13 RD E ")</f>
        <v>682 CONCESSION RD 13 RD E </v>
      </c>
      <c r="C4738" s="3" t="str">
        <f>IFERROR(__xludf.DUMMYFUNCTION("""COMPUTED_VALUE"""),"HASTINGS")</f>
        <v>HASTINGS</v>
      </c>
      <c r="D4738" s="3" t="str">
        <f>IFERROR(__xludf.DUMMYFUNCTION("""COMPUTED_VALUE"""),"K0L 1Y0")</f>
        <v>K0L 1Y0</v>
      </c>
      <c r="E4738" s="3"/>
      <c r="F4738" s="3"/>
      <c r="G4738" s="3"/>
      <c r="H4738" s="3"/>
    </row>
    <row r="4739">
      <c r="A4739" s="2">
        <f>IFERROR(__xludf.DUMMYFUNCTION("""COMPUTED_VALUE"""),61004.0)</f>
        <v>61004</v>
      </c>
      <c r="B4739" s="3" t="str">
        <f>IFERROR(__xludf.DUMMYFUNCTION("""COMPUTED_VALUE"""),"726 CONCESSION RD 13 RD E ")</f>
        <v>726 CONCESSION RD 13 RD E </v>
      </c>
      <c r="C4739" s="3" t="str">
        <f>IFERROR(__xludf.DUMMYFUNCTION("""COMPUTED_VALUE"""),"HASTINGS")</f>
        <v>HASTINGS</v>
      </c>
      <c r="D4739" s="3" t="str">
        <f>IFERROR(__xludf.DUMMYFUNCTION("""COMPUTED_VALUE"""),"K0L 1Y0")</f>
        <v>K0L 1Y0</v>
      </c>
      <c r="E4739" s="3" t="str">
        <f>IFERROR(__xludf.DUMMYFUNCTION("""COMPUTED_VALUE"""),"Bonnie Cooney")</f>
        <v>Bonnie Cooney</v>
      </c>
      <c r="F4739" s="3" t="str">
        <f>IFERROR(__xludf.DUMMYFUNCTION("""COMPUTED_VALUE"""),"bonnie-cooney@hotmail.com")</f>
        <v>bonnie-cooney@hotmail.com</v>
      </c>
      <c r="G4739" s="3">
        <f>IFERROR(__xludf.DUMMYFUNCTION("""COMPUTED_VALUE"""),7.057685761E9)</f>
        <v>7057685761</v>
      </c>
      <c r="H4739" s="3"/>
    </row>
    <row r="4740">
      <c r="A4740" s="2">
        <f>IFERROR(__xludf.DUMMYFUNCTION("""COMPUTED_VALUE"""),61005.0)</f>
        <v>61005</v>
      </c>
      <c r="B4740" s="3" t="str">
        <f>IFERROR(__xludf.DUMMYFUNCTION("""COMPUTED_VALUE"""),"712-722 CONCESSION RD 13 RD E ")</f>
        <v>712-722 CONCESSION RD 13 RD E </v>
      </c>
      <c r="C4740" s="3" t="str">
        <f>IFERROR(__xludf.DUMMYFUNCTION("""COMPUTED_VALUE"""),"HASTINGS")</f>
        <v>HASTINGS</v>
      </c>
      <c r="D4740" s="3" t="str">
        <f>IFERROR(__xludf.DUMMYFUNCTION("""COMPUTED_VALUE"""),"K0L 1Y0")</f>
        <v>K0L 1Y0</v>
      </c>
      <c r="E4740" s="3" t="str">
        <f>IFERROR(__xludf.DUMMYFUNCTION("""COMPUTED_VALUE"""),"browns auto wreckers")</f>
        <v>browns auto wreckers</v>
      </c>
      <c r="F4740" s="3" t="str">
        <f>IFERROR(__xludf.DUMMYFUNCTION("""COMPUTED_VALUE"""),"brownsusedcars@icloud.com")</f>
        <v>brownsusedcars@icloud.com</v>
      </c>
      <c r="G4740" s="3">
        <f>IFERROR(__xludf.DUMMYFUNCTION("""COMPUTED_VALUE"""),7.057617797E9)</f>
        <v>7057617797</v>
      </c>
      <c r="H4740" s="3">
        <f>IFERROR(__xludf.DUMMYFUNCTION("""COMPUTED_VALUE"""),7.0569629E9)</f>
        <v>7056962900</v>
      </c>
    </row>
    <row r="4741">
      <c r="A4741" s="2">
        <f>IFERROR(__xludf.DUMMYFUNCTION("""COMPUTED_VALUE"""),60977.0)</f>
        <v>60977</v>
      </c>
      <c r="B4741" s="3" t="str">
        <f>IFERROR(__xludf.DUMMYFUNCTION("""COMPUTED_VALUE"""),"310 CONCESSION RD 13 RD E ")</f>
        <v>310 CONCESSION RD 13 RD E </v>
      </c>
      <c r="C4741" s="3" t="str">
        <f>IFERROR(__xludf.DUMMYFUNCTION("""COMPUTED_VALUE"""),"HASTINGS")</f>
        <v>HASTINGS</v>
      </c>
      <c r="D4741" s="3" t="str">
        <f>IFERROR(__xludf.DUMMYFUNCTION("""COMPUTED_VALUE"""),"K0L 1Y0")</f>
        <v>K0L 1Y0</v>
      </c>
      <c r="E4741" s="3" t="str">
        <f>IFERROR(__xludf.DUMMYFUNCTION("""COMPUTED_VALUE"""),"Isabel &amp; Alfred Wickman ")</f>
        <v>Isabel &amp; Alfred Wickman </v>
      </c>
      <c r="F4741" s="3" t="str">
        <f>IFERROR(__xludf.DUMMYFUNCTION("""COMPUTED_VALUE"""),"isabelwickman@msn.com")</f>
        <v>isabelwickman@msn.com</v>
      </c>
      <c r="G4741" s="3"/>
      <c r="H4741" s="3"/>
    </row>
    <row r="4742">
      <c r="A4742" s="2">
        <f>IFERROR(__xludf.DUMMYFUNCTION("""COMPUTED_VALUE"""),60979.0)</f>
        <v>60979</v>
      </c>
      <c r="B4742" s="3" t="str">
        <f>IFERROR(__xludf.DUMMYFUNCTION("""COMPUTED_VALUE"""),"388 CONCESSION RD 13 RD E ")</f>
        <v>388 CONCESSION RD 13 RD E </v>
      </c>
      <c r="C4742" s="3" t="str">
        <f>IFERROR(__xludf.DUMMYFUNCTION("""COMPUTED_VALUE"""),"HASTINGS")</f>
        <v>HASTINGS</v>
      </c>
      <c r="D4742" s="3" t="str">
        <f>IFERROR(__xludf.DUMMYFUNCTION("""COMPUTED_VALUE"""),"K0L 1Y0")</f>
        <v>K0L 1Y0</v>
      </c>
      <c r="E4742" s="3" t="str">
        <f>IFERROR(__xludf.DUMMYFUNCTION("""COMPUTED_VALUE"""),"Vaughn Brown")</f>
        <v>Vaughn Brown</v>
      </c>
      <c r="F4742" s="3" t="str">
        <f>IFERROR(__xludf.DUMMYFUNCTION("""COMPUTED_VALUE"""),"browney-481@hotmail.com")</f>
        <v>browney-481@hotmail.com</v>
      </c>
      <c r="G4742" s="3"/>
      <c r="H4742" s="3"/>
    </row>
    <row r="4743">
      <c r="A4743" s="2">
        <f>IFERROR(__xludf.DUMMYFUNCTION("""COMPUTED_VALUE"""),60980.0)</f>
        <v>60980</v>
      </c>
      <c r="B4743" s="3" t="str">
        <f>IFERROR(__xludf.DUMMYFUNCTION("""COMPUTED_VALUE"""),"390 CONCESSION RD 13 RD E ")</f>
        <v>390 CONCESSION RD 13 RD E </v>
      </c>
      <c r="C4743" s="3" t="str">
        <f>IFERROR(__xludf.DUMMYFUNCTION("""COMPUTED_VALUE"""),"HASTINGS")</f>
        <v>HASTINGS</v>
      </c>
      <c r="D4743" s="3" t="str">
        <f>IFERROR(__xludf.DUMMYFUNCTION("""COMPUTED_VALUE"""),"K0L 1Y0")</f>
        <v>K0L 1Y0</v>
      </c>
      <c r="E4743" s="3" t="str">
        <f>IFERROR(__xludf.DUMMYFUNCTION("""COMPUTED_VALUE"""),"Malcolm MacArthur")</f>
        <v>Malcolm MacArthur</v>
      </c>
      <c r="F4743" s="3" t="str">
        <f>IFERROR(__xludf.DUMMYFUNCTION("""COMPUTED_VALUE"""),"malcolm_macarthur@hotmail.com")</f>
        <v>malcolm_macarthur@hotmail.com</v>
      </c>
      <c r="G4743" s="3">
        <f>IFERROR(__xludf.DUMMYFUNCTION("""COMPUTED_VALUE"""),7.057603811E9)</f>
        <v>7057603811</v>
      </c>
      <c r="H4743" s="3"/>
    </row>
    <row r="4744">
      <c r="A4744" s="2">
        <f>IFERROR(__xludf.DUMMYFUNCTION("""COMPUTED_VALUE"""),60981.0)</f>
        <v>60981</v>
      </c>
      <c r="B4744" s="3" t="str">
        <f>IFERROR(__xludf.DUMMYFUNCTION("""COMPUTED_VALUE"""),"408 CONCESSION RD 13 RD E ")</f>
        <v>408 CONCESSION RD 13 RD E </v>
      </c>
      <c r="C4744" s="3" t="str">
        <f>IFERROR(__xludf.DUMMYFUNCTION("""COMPUTED_VALUE"""),"HASTINGS")</f>
        <v>HASTINGS</v>
      </c>
      <c r="D4744" s="3" t="str">
        <f>IFERROR(__xludf.DUMMYFUNCTION("""COMPUTED_VALUE"""),"K0L 1Y0")</f>
        <v>K0L 1Y0</v>
      </c>
      <c r="E4744" s="3" t="str">
        <f>IFERROR(__xludf.DUMMYFUNCTION("""COMPUTED_VALUE"""),"Blare Robinson ")</f>
        <v>Blare Robinson </v>
      </c>
      <c r="F4744" s="3" t="str">
        <f>IFERROR(__xludf.DUMMYFUNCTION("""COMPUTED_VALUE"""),"bwrobin56@gmail.com")</f>
        <v>bwrobin56@gmail.com</v>
      </c>
      <c r="G4744" s="3"/>
      <c r="H4744" s="3"/>
    </row>
    <row r="4745">
      <c r="A4745" s="2">
        <f>IFERROR(__xludf.DUMMYFUNCTION("""COMPUTED_VALUE"""),60982.0)</f>
        <v>60982</v>
      </c>
      <c r="B4745" s="3" t="str">
        <f>IFERROR(__xludf.DUMMYFUNCTION("""COMPUTED_VALUE"""),"428 CONCESSION RD 13 RD E ")</f>
        <v>428 CONCESSION RD 13 RD E </v>
      </c>
      <c r="C4745" s="3" t="str">
        <f>IFERROR(__xludf.DUMMYFUNCTION("""COMPUTED_VALUE"""),"HASTINGS")</f>
        <v>HASTINGS</v>
      </c>
      <c r="D4745" s="3" t="str">
        <f>IFERROR(__xludf.DUMMYFUNCTION("""COMPUTED_VALUE"""),"K0L 1Y0")</f>
        <v>K0L 1Y0</v>
      </c>
      <c r="E4745" s="3"/>
      <c r="F4745" s="3"/>
      <c r="G4745" s="3"/>
      <c r="H4745" s="3"/>
    </row>
    <row r="4746">
      <c r="A4746" s="2">
        <f>IFERROR(__xludf.DUMMYFUNCTION("""COMPUTED_VALUE"""),60983.0)</f>
        <v>60983</v>
      </c>
      <c r="B4746" s="3" t="str">
        <f>IFERROR(__xludf.DUMMYFUNCTION("""COMPUTED_VALUE"""),"430 CONCESSION RD 13 RD E ")</f>
        <v>430 CONCESSION RD 13 RD E </v>
      </c>
      <c r="C4746" s="3" t="str">
        <f>IFERROR(__xludf.DUMMYFUNCTION("""COMPUTED_VALUE"""),"HASTINGS")</f>
        <v>HASTINGS</v>
      </c>
      <c r="D4746" s="3" t="str">
        <f>IFERROR(__xludf.DUMMYFUNCTION("""COMPUTED_VALUE"""),"K0L 1Y0")</f>
        <v>K0L 1Y0</v>
      </c>
      <c r="E4746" s="3" t="str">
        <f>IFERROR(__xludf.DUMMYFUNCTION("""COMPUTED_VALUE"""),"John Cottle ")</f>
        <v>John Cottle </v>
      </c>
      <c r="F4746" s="3" t="str">
        <f>IFERROR(__xludf.DUMMYFUNCTION("""COMPUTED_VALUE"""),"jrgcottle@gmail.com")</f>
        <v>jrgcottle@gmail.com</v>
      </c>
      <c r="G4746" s="3"/>
      <c r="H4746" s="3"/>
    </row>
    <row r="4747">
      <c r="A4747" s="2">
        <f>IFERROR(__xludf.DUMMYFUNCTION("""COMPUTED_VALUE"""),60984.0)</f>
        <v>60984</v>
      </c>
      <c r="B4747" s="3" t="str">
        <f>IFERROR(__xludf.DUMMYFUNCTION("""COMPUTED_VALUE"""),"452 CONCESSION RD 13 RD E ")</f>
        <v>452 CONCESSION RD 13 RD E </v>
      </c>
      <c r="C4747" s="3" t="str">
        <f>IFERROR(__xludf.DUMMYFUNCTION("""COMPUTED_VALUE"""),"HASTINGS")</f>
        <v>HASTINGS</v>
      </c>
      <c r="D4747" s="3" t="str">
        <f>IFERROR(__xludf.DUMMYFUNCTION("""COMPUTED_VALUE"""),"K0L 1Y0")</f>
        <v>K0L 1Y0</v>
      </c>
      <c r="E4747" s="3" t="str">
        <f>IFERROR(__xludf.DUMMYFUNCTION("""COMPUTED_VALUE"""),"Harry+Gwen Smit")</f>
        <v>Harry+Gwen Smit</v>
      </c>
      <c r="F4747" s="3"/>
      <c r="G4747" s="3"/>
      <c r="H4747" s="3"/>
    </row>
    <row r="4748">
      <c r="A4748" s="2">
        <f>IFERROR(__xludf.DUMMYFUNCTION("""COMPUTED_VALUE"""),60985.0)</f>
        <v>60985</v>
      </c>
      <c r="B4748" s="3" t="str">
        <f>IFERROR(__xludf.DUMMYFUNCTION("""COMPUTED_VALUE"""),"460 CONCESSION RD 13 RD  ")</f>
        <v>460 CONCESSION RD 13 RD  </v>
      </c>
      <c r="C4748" s="3" t="str">
        <f>IFERROR(__xludf.DUMMYFUNCTION("""COMPUTED_VALUE"""),"HASTINGS")</f>
        <v>HASTINGS</v>
      </c>
      <c r="D4748" s="3" t="str">
        <f>IFERROR(__xludf.DUMMYFUNCTION("""COMPUTED_VALUE"""),"K0L 1Y0")</f>
        <v>K0L 1Y0</v>
      </c>
      <c r="E4748" s="3" t="str">
        <f>IFERROR(__xludf.DUMMYFUNCTION("""COMPUTED_VALUE"""),"Shantelle Burnett")</f>
        <v>Shantelle Burnett</v>
      </c>
      <c r="F4748" s="3" t="str">
        <f>IFERROR(__xludf.DUMMYFUNCTION("""COMPUTED_VALUE"""),"shantelle.v@live.ca")</f>
        <v>shantelle.v@live.ca</v>
      </c>
      <c r="G4748" s="3"/>
      <c r="H4748" s="3"/>
    </row>
    <row r="4749">
      <c r="A4749" s="2">
        <f>IFERROR(__xludf.DUMMYFUNCTION("""COMPUTED_VALUE"""),60986.0)</f>
        <v>60986</v>
      </c>
      <c r="B4749" s="3" t="str">
        <f>IFERROR(__xludf.DUMMYFUNCTION("""COMPUTED_VALUE"""),"467 CONCESSION RD 13 RD E ")</f>
        <v>467 CONCESSION RD 13 RD E </v>
      </c>
      <c r="C4749" s="3" t="str">
        <f>IFERROR(__xludf.DUMMYFUNCTION("""COMPUTED_VALUE"""),"HASTINGS")</f>
        <v>HASTINGS</v>
      </c>
      <c r="D4749" s="3" t="str">
        <f>IFERROR(__xludf.DUMMYFUNCTION("""COMPUTED_VALUE"""),"K0L 1Y0")</f>
        <v>K0L 1Y0</v>
      </c>
      <c r="E4749" s="3" t="str">
        <f>IFERROR(__xludf.DUMMYFUNCTION("""COMPUTED_VALUE"""),"kelly thu tran")</f>
        <v>kelly thu tran</v>
      </c>
      <c r="F4749" s="3" t="str">
        <f>IFERROR(__xludf.DUMMYFUNCTION("""COMPUTED_VALUE"""),"kellytran1969@gmail.com")</f>
        <v>kellytran1969@gmail.com</v>
      </c>
      <c r="G4749" s="3">
        <f>IFERROR(__xludf.DUMMYFUNCTION("""COMPUTED_VALUE"""),4.162770252E9)</f>
        <v>4162770252</v>
      </c>
      <c r="H4749" s="3"/>
    </row>
    <row r="4750">
      <c r="A4750" s="2">
        <f>IFERROR(__xludf.DUMMYFUNCTION("""COMPUTED_VALUE"""),60987.0)</f>
        <v>60987</v>
      </c>
      <c r="B4750" s="3" t="str">
        <f>IFERROR(__xludf.DUMMYFUNCTION("""COMPUTED_VALUE"""),"478 CONCESSION RD 13 RD E ")</f>
        <v>478 CONCESSION RD 13 RD E </v>
      </c>
      <c r="C4750" s="3" t="str">
        <f>IFERROR(__xludf.DUMMYFUNCTION("""COMPUTED_VALUE"""),"HASTINGS")</f>
        <v>HASTINGS</v>
      </c>
      <c r="D4750" s="3" t="str">
        <f>IFERROR(__xludf.DUMMYFUNCTION("""COMPUTED_VALUE"""),"K0L 1Y0")</f>
        <v>K0L 1Y0</v>
      </c>
      <c r="E4750" s="3" t="str">
        <f>IFERROR(__xludf.DUMMYFUNCTION("""COMPUTED_VALUE"""),"WES WIKKERINK")</f>
        <v>WES WIKKERINK</v>
      </c>
      <c r="F4750" s="3" t="str">
        <f>IFERROR(__xludf.DUMMYFUNCTION("""COMPUTED_VALUE"""),"w.wikkerink@protonmail.com")</f>
        <v>w.wikkerink@protonmail.com</v>
      </c>
      <c r="G4750" s="3"/>
      <c r="H4750" s="3"/>
    </row>
    <row r="4751">
      <c r="A4751" s="2">
        <f>IFERROR(__xludf.DUMMYFUNCTION("""COMPUTED_VALUE"""),60988.0)</f>
        <v>60988</v>
      </c>
      <c r="B4751" s="3" t="str">
        <f>IFERROR(__xludf.DUMMYFUNCTION("""COMPUTED_VALUE"""),"481 CONCESSION RD 13 E")</f>
        <v>481 CONCESSION RD 13 E</v>
      </c>
      <c r="C4751" s="3" t="str">
        <f>IFERROR(__xludf.DUMMYFUNCTION("""COMPUTED_VALUE"""),"HASTINGS")</f>
        <v>HASTINGS</v>
      </c>
      <c r="D4751" s="3" t="str">
        <f>IFERROR(__xludf.DUMMYFUNCTION("""COMPUTED_VALUE"""),"K0L 1Y0")</f>
        <v>K0L 1Y0</v>
      </c>
      <c r="E4751" s="3"/>
      <c r="F4751" s="3"/>
      <c r="G4751" s="3"/>
      <c r="H4751" s="3"/>
    </row>
    <row r="4752">
      <c r="A4752" s="2">
        <f>IFERROR(__xludf.DUMMYFUNCTION("""COMPUTED_VALUE"""),60021.0)</f>
        <v>60021</v>
      </c>
      <c r="B4752" s="3" t="str">
        <f>IFERROR(__xludf.DUMMYFUNCTION("""COMPUTED_VALUE"""),"1996 10TH LINE W")</f>
        <v>1996 10TH LINE W</v>
      </c>
      <c r="C4752" s="3" t="str">
        <f>IFERROR(__xludf.DUMMYFUNCTION("""COMPUTED_VALUE"""),"CAMPBELLFORD")</f>
        <v>CAMPBELLFORD</v>
      </c>
      <c r="D4752" s="3" t="str">
        <f>IFERROR(__xludf.DUMMYFUNCTION("""COMPUTED_VALUE"""),"K0L 1L0")</f>
        <v>K0L 1L0</v>
      </c>
      <c r="E4752" s="3" t="str">
        <f>IFERROR(__xludf.DUMMYFUNCTION("""COMPUTED_VALUE"""),"PRESTON SIMMONS")</f>
        <v>PRESTON SIMMONS</v>
      </c>
      <c r="F4752" s="3" t="str">
        <f>IFERROR(__xludf.DUMMYFUNCTION("""COMPUTED_VALUE"""),"prestonsimmons@hotmail.com")</f>
        <v>prestonsimmons@hotmail.com</v>
      </c>
      <c r="G4752" s="3"/>
      <c r="H4752" s="3"/>
    </row>
    <row r="4753">
      <c r="A4753" s="2">
        <f>IFERROR(__xludf.DUMMYFUNCTION("""COMPUTED_VALUE"""),60022.0)</f>
        <v>60022</v>
      </c>
      <c r="B4753" s="3" t="str">
        <f>IFERROR(__xludf.DUMMYFUNCTION("""COMPUTED_VALUE"""),"2137 10TH LINE W")</f>
        <v>2137 10TH LINE W</v>
      </c>
      <c r="C4753" s="3" t="str">
        <f>IFERROR(__xludf.DUMMYFUNCTION("""COMPUTED_VALUE"""),"CAMPBELLFORD")</f>
        <v>CAMPBELLFORD</v>
      </c>
      <c r="D4753" s="3" t="str">
        <f>IFERROR(__xludf.DUMMYFUNCTION("""COMPUTED_VALUE"""),"K0L 1L0")</f>
        <v>K0L 1L0</v>
      </c>
      <c r="E4753" s="3" t="str">
        <f>IFERROR(__xludf.DUMMYFUNCTION("""COMPUTED_VALUE"""),"Catherine Jefferson")</f>
        <v>Catherine Jefferson</v>
      </c>
      <c r="F4753" s="3" t="str">
        <f>IFERROR(__xludf.DUMMYFUNCTION("""COMPUTED_VALUE"""),"rpipiens@nexicom.net")</f>
        <v>rpipiens@nexicom.net</v>
      </c>
      <c r="G4753" s="3">
        <f>IFERROR(__xludf.DUMMYFUNCTION("""COMPUTED_VALUE"""),7.057403362E9)</f>
        <v>7057403362</v>
      </c>
      <c r="H4753" s="3"/>
    </row>
    <row r="4754">
      <c r="A4754" s="2">
        <f>IFERROR(__xludf.DUMMYFUNCTION("""COMPUTED_VALUE"""),60023.0)</f>
        <v>60023</v>
      </c>
      <c r="B4754" s="3" t="str">
        <f>IFERROR(__xludf.DUMMYFUNCTION("""COMPUTED_VALUE"""),"2147 10TH LINE W")</f>
        <v>2147 10TH LINE W</v>
      </c>
      <c r="C4754" s="3" t="str">
        <f>IFERROR(__xludf.DUMMYFUNCTION("""COMPUTED_VALUE"""),"CAMPBELLFORD")</f>
        <v>CAMPBELLFORD</v>
      </c>
      <c r="D4754" s="3" t="str">
        <f>IFERROR(__xludf.DUMMYFUNCTION("""COMPUTED_VALUE"""),"K0L 1L0")</f>
        <v>K0L 1L0</v>
      </c>
      <c r="E4754" s="3" t="str">
        <f>IFERROR(__xludf.DUMMYFUNCTION("""COMPUTED_VALUE"""),"anrea and jim berry ")</f>
        <v>anrea and jim berry </v>
      </c>
      <c r="F4754" s="3" t="str">
        <f>IFERROR(__xludf.DUMMYFUNCTION("""COMPUTED_VALUE"""),"jberry@bevkana.com")</f>
        <v>jberry@bevkana.com</v>
      </c>
      <c r="G4754" s="3">
        <f>IFERROR(__xludf.DUMMYFUNCTION("""COMPUTED_VALUE"""),4.166069735E9)</f>
        <v>4166069735</v>
      </c>
      <c r="H4754" s="3">
        <f>IFERROR(__xludf.DUMMYFUNCTION("""COMPUTED_VALUE"""),4.163338461E9)</f>
        <v>4163338461</v>
      </c>
    </row>
    <row r="4755">
      <c r="A4755" s="2">
        <f>IFERROR(__xludf.DUMMYFUNCTION("""COMPUTED_VALUE"""),60024.0)</f>
        <v>60024</v>
      </c>
      <c r="B4755" s="3" t="str">
        <f>IFERROR(__xludf.DUMMYFUNCTION("""COMPUTED_VALUE"""),"2186 10TH LINE W")</f>
        <v>2186 10TH LINE W</v>
      </c>
      <c r="C4755" s="3" t="str">
        <f>IFERROR(__xludf.DUMMYFUNCTION("""COMPUTED_VALUE"""),"CAMPBELLFORD")</f>
        <v>CAMPBELLFORD</v>
      </c>
      <c r="D4755" s="3" t="str">
        <f>IFERROR(__xludf.DUMMYFUNCTION("""COMPUTED_VALUE"""),"K0L 1L0")</f>
        <v>K0L 1L0</v>
      </c>
      <c r="E4755" s="3" t="str">
        <f>IFERROR(__xludf.DUMMYFUNCTION("""COMPUTED_VALUE"""),"randy hislop ")</f>
        <v>randy hislop </v>
      </c>
      <c r="F4755" s="3"/>
      <c r="G4755" s="3">
        <f>IFERROR(__xludf.DUMMYFUNCTION("""COMPUTED_VALUE"""),7.056321305E9)</f>
        <v>7056321305</v>
      </c>
      <c r="H4755" s="3"/>
    </row>
    <row r="4756">
      <c r="A4756" s="2">
        <f>IFERROR(__xludf.DUMMYFUNCTION("""COMPUTED_VALUE"""),60025.0)</f>
        <v>60025</v>
      </c>
      <c r="B4756" s="3" t="str">
        <f>IFERROR(__xludf.DUMMYFUNCTION("""COMPUTED_VALUE"""),"2201 10TH LINE W")</f>
        <v>2201 10TH LINE W</v>
      </c>
      <c r="C4756" s="3" t="str">
        <f>IFERROR(__xludf.DUMMYFUNCTION("""COMPUTED_VALUE"""),"CAMPBELLFORD")</f>
        <v>CAMPBELLFORD</v>
      </c>
      <c r="D4756" s="3" t="str">
        <f>IFERROR(__xludf.DUMMYFUNCTION("""COMPUTED_VALUE"""),"K0L 1L0")</f>
        <v>K0L 1L0</v>
      </c>
      <c r="E4756" s="3" t="str">
        <f>IFERROR(__xludf.DUMMYFUNCTION("""COMPUTED_VALUE"""),"BARBARA O'NESS")</f>
        <v>BARBARA O'NESS</v>
      </c>
      <c r="F4756" s="3" t="str">
        <f>IFERROR(__xludf.DUMMYFUNCTION("""COMPUTED_VALUE"""),"jniferjoy@yahoo.com")</f>
        <v>jniferjoy@yahoo.com</v>
      </c>
      <c r="G4756" s="3"/>
      <c r="H4756" s="3"/>
    </row>
    <row r="4757">
      <c r="A4757" s="2">
        <f>IFERROR(__xludf.DUMMYFUNCTION("""COMPUTED_VALUE"""),60026.0)</f>
        <v>60026</v>
      </c>
      <c r="B4757" s="3" t="str">
        <f>IFERROR(__xludf.DUMMYFUNCTION("""COMPUTED_VALUE"""),"2221 10TH LINE W")</f>
        <v>2221 10TH LINE W</v>
      </c>
      <c r="C4757" s="3" t="str">
        <f>IFERROR(__xludf.DUMMYFUNCTION("""COMPUTED_VALUE"""),"CAMPBELLFORD")</f>
        <v>CAMPBELLFORD</v>
      </c>
      <c r="D4757" s="3" t="str">
        <f>IFERROR(__xludf.DUMMYFUNCTION("""COMPUTED_VALUE"""),"K0L 1L0")</f>
        <v>K0L 1L0</v>
      </c>
      <c r="E4757" s="3"/>
      <c r="F4757" s="3"/>
      <c r="G4757" s="3"/>
      <c r="H4757" s="3"/>
    </row>
    <row r="4758">
      <c r="A4758" s="2">
        <f>IFERROR(__xludf.DUMMYFUNCTION("""COMPUTED_VALUE"""),60027.0)</f>
        <v>60027</v>
      </c>
      <c r="B4758" s="3" t="str">
        <f>IFERROR(__xludf.DUMMYFUNCTION("""COMPUTED_VALUE"""),"2230 10TH LINE W")</f>
        <v>2230 10TH LINE W</v>
      </c>
      <c r="C4758" s="3" t="str">
        <f>IFERROR(__xludf.DUMMYFUNCTION("""COMPUTED_VALUE"""),"CAMPBELLFORD")</f>
        <v>CAMPBELLFORD</v>
      </c>
      <c r="D4758" s="3" t="str">
        <f>IFERROR(__xludf.DUMMYFUNCTION("""COMPUTED_VALUE"""),"K0L 1L0")</f>
        <v>K0L 1L0</v>
      </c>
      <c r="E4758" s="3" t="str">
        <f>IFERROR(__xludf.DUMMYFUNCTION("""COMPUTED_VALUE"""),"marie forgrave")</f>
        <v>marie forgrave</v>
      </c>
      <c r="F4758" s="3"/>
      <c r="G4758" s="3">
        <f>IFERROR(__xludf.DUMMYFUNCTION("""COMPUTED_VALUE"""),7.05653291E9)</f>
        <v>7056532910</v>
      </c>
      <c r="H4758" s="3"/>
    </row>
    <row r="4759">
      <c r="A4759" s="2">
        <f>IFERROR(__xludf.DUMMYFUNCTION("""COMPUTED_VALUE"""),60028.0)</f>
        <v>60028</v>
      </c>
      <c r="B4759" s="3" t="str">
        <f>IFERROR(__xludf.DUMMYFUNCTION("""COMPUTED_VALUE"""),"2240 10TH LINE W")</f>
        <v>2240 10TH LINE W</v>
      </c>
      <c r="C4759" s="3" t="str">
        <f>IFERROR(__xludf.DUMMYFUNCTION("""COMPUTED_VALUE"""),"CAMPBELLFORD")</f>
        <v>CAMPBELLFORD</v>
      </c>
      <c r="D4759" s="3" t="str">
        <f>IFERROR(__xludf.DUMMYFUNCTION("""COMPUTED_VALUE"""),"K0L 1L0")</f>
        <v>K0L 1L0</v>
      </c>
      <c r="E4759" s="3" t="str">
        <f>IFERROR(__xludf.DUMMYFUNCTION("""COMPUTED_VALUE"""),"lynn &amp; pam forgrave")</f>
        <v>lynn &amp; pam forgrave</v>
      </c>
      <c r="F4759" s="3" t="str">
        <f>IFERROR(__xludf.DUMMYFUNCTION("""COMPUTED_VALUE"""),"lynnforgrave@gmail.com")</f>
        <v>lynnforgrave@gmail.com</v>
      </c>
      <c r="G4759" s="3">
        <f>IFERROR(__xludf.DUMMYFUNCTION("""COMPUTED_VALUE"""),7.056536905E9)</f>
        <v>7056536905</v>
      </c>
      <c r="H4759" s="3">
        <f>IFERROR(__xludf.DUMMYFUNCTION("""COMPUTED_VALUE"""),7.05653291E9)</f>
        <v>7056532910</v>
      </c>
    </row>
    <row r="4760">
      <c r="A4760" s="2">
        <f>IFERROR(__xludf.DUMMYFUNCTION("""COMPUTED_VALUE"""),60029.0)</f>
        <v>60029</v>
      </c>
      <c r="B4760" s="3" t="str">
        <f>IFERROR(__xludf.DUMMYFUNCTION("""COMPUTED_VALUE"""),"2250 10TH LINE W")</f>
        <v>2250 10TH LINE W</v>
      </c>
      <c r="C4760" s="3" t="str">
        <f>IFERROR(__xludf.DUMMYFUNCTION("""COMPUTED_VALUE"""),"CAMPBELLFORD")</f>
        <v>CAMPBELLFORD</v>
      </c>
      <c r="D4760" s="3" t="str">
        <f>IFERROR(__xludf.DUMMYFUNCTION("""COMPUTED_VALUE"""),"K0L 1L0")</f>
        <v>K0L 1L0</v>
      </c>
      <c r="E4760" s="3" t="str">
        <f>IFERROR(__xludf.DUMMYFUNCTION("""COMPUTED_VALUE"""),"Jim DeNure")</f>
        <v>Jim DeNure</v>
      </c>
      <c r="F4760" s="3" t="str">
        <f>IFERROR(__xludf.DUMMYFUNCTION("""COMPUTED_VALUE"""),"bootgirl1@gmail.com")</f>
        <v>bootgirl1@gmail.com</v>
      </c>
      <c r="G4760" s="3"/>
      <c r="H4760" s="3"/>
    </row>
    <row r="4761">
      <c r="A4761" s="2">
        <f>IFERROR(__xludf.DUMMYFUNCTION("""COMPUTED_VALUE"""),60030.0)</f>
        <v>60030</v>
      </c>
      <c r="B4761" s="3" t="str">
        <f>IFERROR(__xludf.DUMMYFUNCTION("""COMPUTED_VALUE"""),"2255 10TH LINE W")</f>
        <v>2255 10TH LINE W</v>
      </c>
      <c r="C4761" s="3" t="str">
        <f>IFERROR(__xludf.DUMMYFUNCTION("""COMPUTED_VALUE"""),"CAMPBELLFORD")</f>
        <v>CAMPBELLFORD</v>
      </c>
      <c r="D4761" s="3" t="str">
        <f>IFERROR(__xludf.DUMMYFUNCTION("""COMPUTED_VALUE"""),"K0L 1L0")</f>
        <v>K0L 1L0</v>
      </c>
      <c r="E4761" s="3" t="str">
        <f>IFERROR(__xludf.DUMMYFUNCTION("""COMPUTED_VALUE"""),"Debra Bursey")</f>
        <v>Debra Bursey</v>
      </c>
      <c r="F4761" s="3" t="str">
        <f>IFERROR(__xludf.DUMMYFUNCTION("""COMPUTED_VALUE"""),"deb.bursey@hotmail.ca")</f>
        <v>deb.bursey@hotmail.ca</v>
      </c>
      <c r="G4761" s="3"/>
      <c r="H4761" s="3"/>
    </row>
    <row r="4762">
      <c r="A4762" s="2">
        <f>IFERROR(__xludf.DUMMYFUNCTION("""COMPUTED_VALUE"""),60031.0)</f>
        <v>60031</v>
      </c>
      <c r="B4762" s="3" t="str">
        <f>IFERROR(__xludf.DUMMYFUNCTION("""COMPUTED_VALUE"""),"2279 10TH LINE W")</f>
        <v>2279 10TH LINE W</v>
      </c>
      <c r="C4762" s="3" t="str">
        <f>IFERROR(__xludf.DUMMYFUNCTION("""COMPUTED_VALUE"""),"CAMPBELLFORD")</f>
        <v>CAMPBELLFORD</v>
      </c>
      <c r="D4762" s="3" t="str">
        <f>IFERROR(__xludf.DUMMYFUNCTION("""COMPUTED_VALUE"""),"K0L 1L0")</f>
        <v>K0L 1L0</v>
      </c>
      <c r="E4762" s="3" t="str">
        <f>IFERROR(__xludf.DUMMYFUNCTION("""COMPUTED_VALUE"""),"Angie Nestoruk")</f>
        <v>Angie Nestoruk</v>
      </c>
      <c r="F4762" s="3" t="str">
        <f>IFERROR(__xludf.DUMMYFUNCTION("""COMPUTED_VALUE"""),"angienestoruk@gmail.com")</f>
        <v>angienestoruk@gmail.com</v>
      </c>
      <c r="G4762" s="3"/>
      <c r="H4762" s="3"/>
    </row>
    <row r="4763">
      <c r="A4763" s="2">
        <f>IFERROR(__xludf.DUMMYFUNCTION("""COMPUTED_VALUE"""),60032.0)</f>
        <v>60032</v>
      </c>
      <c r="B4763" s="3" t="str">
        <f>IFERROR(__xludf.DUMMYFUNCTION("""COMPUTED_VALUE"""),"2315 10TH LINE W")</f>
        <v>2315 10TH LINE W</v>
      </c>
      <c r="C4763" s="3" t="str">
        <f>IFERROR(__xludf.DUMMYFUNCTION("""COMPUTED_VALUE"""),"CAMPBELLFORD")</f>
        <v>CAMPBELLFORD</v>
      </c>
      <c r="D4763" s="3" t="str">
        <f>IFERROR(__xludf.DUMMYFUNCTION("""COMPUTED_VALUE"""),"K0L 1L0")</f>
        <v>K0L 1L0</v>
      </c>
      <c r="E4763" s="3"/>
      <c r="F4763" s="3"/>
      <c r="G4763" s="3"/>
      <c r="H4763" s="3"/>
    </row>
    <row r="4764">
      <c r="A4764" s="2">
        <f>IFERROR(__xludf.DUMMYFUNCTION("""COMPUTED_VALUE"""),60033.0)</f>
        <v>60033</v>
      </c>
      <c r="B4764" s="3" t="str">
        <f>IFERROR(__xludf.DUMMYFUNCTION("""COMPUTED_VALUE"""),"2326 10TH LINE W")</f>
        <v>2326 10TH LINE W</v>
      </c>
      <c r="C4764" s="3" t="str">
        <f>IFERROR(__xludf.DUMMYFUNCTION("""COMPUTED_VALUE"""),"CAMPBELLFORD")</f>
        <v>CAMPBELLFORD</v>
      </c>
      <c r="D4764" s="3" t="str">
        <f>IFERROR(__xludf.DUMMYFUNCTION("""COMPUTED_VALUE"""),"K0L 1L0")</f>
        <v>K0L 1L0</v>
      </c>
      <c r="E4764" s="3"/>
      <c r="F4764" s="3"/>
      <c r="G4764" s="3"/>
      <c r="H4764" s="3"/>
    </row>
    <row r="4765">
      <c r="A4765" s="2">
        <f>IFERROR(__xludf.DUMMYFUNCTION("""COMPUTED_VALUE"""),60034.0)</f>
        <v>60034</v>
      </c>
      <c r="B4765" s="3" t="str">
        <f>IFERROR(__xludf.DUMMYFUNCTION("""COMPUTED_VALUE"""),"2350 10TH LINE W")</f>
        <v>2350 10TH LINE W</v>
      </c>
      <c r="C4765" s="3" t="str">
        <f>IFERROR(__xludf.DUMMYFUNCTION("""COMPUTED_VALUE"""),"CAMPBELLFORD")</f>
        <v>CAMPBELLFORD</v>
      </c>
      <c r="D4765" s="3" t="str">
        <f>IFERROR(__xludf.DUMMYFUNCTION("""COMPUTED_VALUE"""),"K0L 1L0")</f>
        <v>K0L 1L0</v>
      </c>
      <c r="E4765" s="3"/>
      <c r="F4765" s="3"/>
      <c r="G4765" s="3"/>
      <c r="H4765" s="3"/>
    </row>
    <row r="4766">
      <c r="A4766" s="2">
        <f>IFERROR(__xludf.DUMMYFUNCTION("""COMPUTED_VALUE"""),60035.0)</f>
        <v>60035</v>
      </c>
      <c r="B4766" s="3" t="str">
        <f>IFERROR(__xludf.DUMMYFUNCTION("""COMPUTED_VALUE"""),"2410 10TH LINE W")</f>
        <v>2410 10TH LINE W</v>
      </c>
      <c r="C4766" s="3" t="str">
        <f>IFERROR(__xludf.DUMMYFUNCTION("""COMPUTED_VALUE"""),"CAMPBELLFORD")</f>
        <v>CAMPBELLFORD</v>
      </c>
      <c r="D4766" s="3" t="str">
        <f>IFERROR(__xludf.DUMMYFUNCTION("""COMPUTED_VALUE"""),"K0L 1L0")</f>
        <v>K0L 1L0</v>
      </c>
      <c r="E4766" s="3" t="str">
        <f>IFERROR(__xludf.DUMMYFUNCTION("""COMPUTED_VALUE"""),"helen anderson")</f>
        <v>helen anderson</v>
      </c>
      <c r="F4766" s="3"/>
      <c r="G4766" s="3">
        <f>IFERROR(__xludf.DUMMYFUNCTION("""COMPUTED_VALUE"""),7.056532911E9)</f>
        <v>7056532911</v>
      </c>
      <c r="H4766" s="3"/>
    </row>
    <row r="4767">
      <c r="A4767" s="2">
        <f>IFERROR(__xludf.DUMMYFUNCTION("""COMPUTED_VALUE"""),60036.0)</f>
        <v>60036</v>
      </c>
      <c r="B4767" s="3" t="str">
        <f>IFERROR(__xludf.DUMMYFUNCTION("""COMPUTED_VALUE"""),"2440 10TH LINE W")</f>
        <v>2440 10TH LINE W</v>
      </c>
      <c r="C4767" s="3" t="str">
        <f>IFERROR(__xludf.DUMMYFUNCTION("""COMPUTED_VALUE"""),"CAMPBELLFORD")</f>
        <v>CAMPBELLFORD</v>
      </c>
      <c r="D4767" s="3" t="str">
        <f>IFERROR(__xludf.DUMMYFUNCTION("""COMPUTED_VALUE"""),"K0L 1L0")</f>
        <v>K0L 1L0</v>
      </c>
      <c r="E4767" s="3" t="str">
        <f>IFERROR(__xludf.DUMMYFUNCTION("""COMPUTED_VALUE"""),"Mark Mountjoy")</f>
        <v>Mark Mountjoy</v>
      </c>
      <c r="F4767" s="3" t="str">
        <f>IFERROR(__xludf.DUMMYFUNCTION("""COMPUTED_VALUE"""),"markee68@hotmail.com")</f>
        <v>markee68@hotmail.com</v>
      </c>
      <c r="G4767" s="3"/>
      <c r="H4767" s="3"/>
    </row>
    <row r="4768">
      <c r="A4768" s="2">
        <f>IFERROR(__xludf.DUMMYFUNCTION("""COMPUTED_VALUE"""),60071.0)</f>
        <v>60071</v>
      </c>
      <c r="B4768" s="3" t="str">
        <f>IFERROR(__xludf.DUMMYFUNCTION("""COMPUTED_VALUE"""),"1937 11TH LINE W")</f>
        <v>1937 11TH LINE W</v>
      </c>
      <c r="C4768" s="3" t="str">
        <f>IFERROR(__xludf.DUMMYFUNCTION("""COMPUTED_VALUE"""),"CAMPBELLFORD")</f>
        <v>CAMPBELLFORD</v>
      </c>
      <c r="D4768" s="3" t="str">
        <f>IFERROR(__xludf.DUMMYFUNCTION("""COMPUTED_VALUE"""),"K0L 1L0")</f>
        <v>K0L 1L0</v>
      </c>
      <c r="E4768" s="3"/>
      <c r="F4768" s="3"/>
      <c r="G4768" s="3"/>
      <c r="H4768" s="3"/>
    </row>
    <row r="4769">
      <c r="A4769" s="2">
        <f>IFERROR(__xludf.DUMMYFUNCTION("""COMPUTED_VALUE"""),60072.0)</f>
        <v>60072</v>
      </c>
      <c r="B4769" s="3" t="str">
        <f>IFERROR(__xludf.DUMMYFUNCTION("""COMPUTED_VALUE"""),"1973 11TH LINE W")</f>
        <v>1973 11TH LINE W</v>
      </c>
      <c r="C4769" s="3" t="str">
        <f>IFERROR(__xludf.DUMMYFUNCTION("""COMPUTED_VALUE"""),"CAMPBELLFORD")</f>
        <v>CAMPBELLFORD</v>
      </c>
      <c r="D4769" s="3" t="str">
        <f>IFERROR(__xludf.DUMMYFUNCTION("""COMPUTED_VALUE"""),"K0L 1L0")</f>
        <v>K0L 1L0</v>
      </c>
      <c r="E4769" s="3"/>
      <c r="F4769" s="3"/>
      <c r="G4769" s="3"/>
      <c r="H4769" s="3"/>
    </row>
    <row r="4770">
      <c r="A4770" s="2">
        <f>IFERROR(__xludf.DUMMYFUNCTION("""COMPUTED_VALUE"""),60073.0)</f>
        <v>60073</v>
      </c>
      <c r="B4770" s="3" t="str">
        <f>IFERROR(__xludf.DUMMYFUNCTION("""COMPUTED_VALUE"""),"1997 11TH LINE W")</f>
        <v>1997 11TH LINE W</v>
      </c>
      <c r="C4770" s="3" t="str">
        <f>IFERROR(__xludf.DUMMYFUNCTION("""COMPUTED_VALUE"""),"CAMPBELLFORD")</f>
        <v>CAMPBELLFORD</v>
      </c>
      <c r="D4770" s="3" t="str">
        <f>IFERROR(__xludf.DUMMYFUNCTION("""COMPUTED_VALUE"""),"K0L 1L0")</f>
        <v>K0L 1L0</v>
      </c>
      <c r="E4770" s="3" t="str">
        <f>IFERROR(__xludf.DUMMYFUNCTION("""COMPUTED_VALUE"""),"len rance ")</f>
        <v>len rance </v>
      </c>
      <c r="F4770" s="3" t="str">
        <f>IFERROR(__xludf.DUMMYFUNCTION("""COMPUTED_VALUE"""),"len56@hotmail.com")</f>
        <v>len56@hotmail.com</v>
      </c>
      <c r="G4770" s="3">
        <f>IFERROR(__xludf.DUMMYFUNCTION("""COMPUTED_VALUE"""),7.05930259E9)</f>
        <v>7059302590</v>
      </c>
      <c r="H4770" s="3"/>
    </row>
    <row r="4771">
      <c r="A4771" s="2">
        <f>IFERROR(__xludf.DUMMYFUNCTION("""COMPUTED_VALUE"""),60074.0)</f>
        <v>60074</v>
      </c>
      <c r="B4771" s="3" t="str">
        <f>IFERROR(__xludf.DUMMYFUNCTION("""COMPUTED_VALUE"""),"2015 11TH LINE W")</f>
        <v>2015 11TH LINE W</v>
      </c>
      <c r="C4771" s="3" t="str">
        <f>IFERROR(__xludf.DUMMYFUNCTION("""COMPUTED_VALUE"""),"CAMPBELLFORD")</f>
        <v>CAMPBELLFORD</v>
      </c>
      <c r="D4771" s="3" t="str">
        <f>IFERROR(__xludf.DUMMYFUNCTION("""COMPUTED_VALUE"""),"K0L 1L0")</f>
        <v>K0L 1L0</v>
      </c>
      <c r="E4771" s="3" t="str">
        <f>IFERROR(__xludf.DUMMYFUNCTION("""COMPUTED_VALUE"""),"Cari-An West")</f>
        <v>Cari-An West</v>
      </c>
      <c r="F4771" s="3" t="str">
        <f>IFERROR(__xludf.DUMMYFUNCTION("""COMPUTED_VALUE"""),"carianw@yahoo.ca")</f>
        <v>carianw@yahoo.ca</v>
      </c>
      <c r="G4771" s="3">
        <f>IFERROR(__xludf.DUMMYFUNCTION("""COMPUTED_VALUE"""),6.479963993E9)</f>
        <v>6479963993</v>
      </c>
      <c r="H4771" s="3">
        <f>IFERROR(__xludf.DUMMYFUNCTION("""COMPUTED_VALUE"""),7.056531429E9)</f>
        <v>7056531429</v>
      </c>
    </row>
    <row r="4772">
      <c r="A4772" s="2">
        <f>IFERROR(__xludf.DUMMYFUNCTION("""COMPUTED_VALUE"""),60075.0)</f>
        <v>60075</v>
      </c>
      <c r="B4772" s="3" t="str">
        <f>IFERROR(__xludf.DUMMYFUNCTION("""COMPUTED_VALUE"""),"2082 11TH LINE W")</f>
        <v>2082 11TH LINE W</v>
      </c>
      <c r="C4772" s="3" t="str">
        <f>IFERROR(__xludf.DUMMYFUNCTION("""COMPUTED_VALUE"""),"CAMPBELLFORD")</f>
        <v>CAMPBELLFORD</v>
      </c>
      <c r="D4772" s="3" t="str">
        <f>IFERROR(__xludf.DUMMYFUNCTION("""COMPUTED_VALUE"""),"K0L 1L0")</f>
        <v>K0L 1L0</v>
      </c>
      <c r="E4772" s="3" t="str">
        <f>IFERROR(__xludf.DUMMYFUNCTION("""COMPUTED_VALUE"""),"Hilary Nesbitt")</f>
        <v>Hilary Nesbitt</v>
      </c>
      <c r="F4772" s="3" t="str">
        <f>IFERROR(__xludf.DUMMYFUNCTION("""COMPUTED_VALUE"""),"hilarytracyb@hotmail.com")</f>
        <v>hilarytracyb@hotmail.com</v>
      </c>
      <c r="G4772" s="3">
        <f>IFERROR(__xludf.DUMMYFUNCTION("""COMPUTED_VALUE"""),9.056977096E9)</f>
        <v>9056977096</v>
      </c>
      <c r="H4772" s="3"/>
    </row>
    <row r="4773">
      <c r="A4773" s="2">
        <f>IFERROR(__xludf.DUMMYFUNCTION("""COMPUTED_VALUE"""),60076.0)</f>
        <v>60076</v>
      </c>
      <c r="B4773" s="3" t="str">
        <f>IFERROR(__xludf.DUMMYFUNCTION("""COMPUTED_VALUE"""),"2185 11TH LINE W")</f>
        <v>2185 11TH LINE W</v>
      </c>
      <c r="C4773" s="3" t="str">
        <f>IFERROR(__xludf.DUMMYFUNCTION("""COMPUTED_VALUE"""),"CAMPBELLFORD")</f>
        <v>CAMPBELLFORD</v>
      </c>
      <c r="D4773" s="3" t="str">
        <f>IFERROR(__xludf.DUMMYFUNCTION("""COMPUTED_VALUE"""),"K0L 1L0")</f>
        <v>K0L 1L0</v>
      </c>
      <c r="E4773" s="3"/>
      <c r="F4773" s="3"/>
      <c r="G4773" s="3"/>
      <c r="H4773" s="3"/>
    </row>
    <row r="4774">
      <c r="A4774" s="2">
        <f>IFERROR(__xludf.DUMMYFUNCTION("""COMPUTED_VALUE"""),60197.0)</f>
        <v>60197</v>
      </c>
      <c r="B4774" s="3" t="str">
        <f>IFERROR(__xludf.DUMMYFUNCTION("""COMPUTED_VALUE"""),"653 8TH LINE W")</f>
        <v>653 8TH LINE W</v>
      </c>
      <c r="C4774" s="3" t="str">
        <f>IFERROR(__xludf.DUMMYFUNCTION("""COMPUTED_VALUE"""),"CAMPBELLFORD")</f>
        <v>CAMPBELLFORD</v>
      </c>
      <c r="D4774" s="3" t="str">
        <f>IFERROR(__xludf.DUMMYFUNCTION("""COMPUTED_VALUE"""),"K0L 1L0")</f>
        <v>K0L 1L0</v>
      </c>
      <c r="E4774" s="3"/>
      <c r="F4774" s="3"/>
      <c r="G4774" s="3"/>
      <c r="H4774" s="3"/>
    </row>
    <row r="4775">
      <c r="A4775" s="2">
        <f>IFERROR(__xludf.DUMMYFUNCTION("""COMPUTED_VALUE"""),60198.0)</f>
        <v>60198</v>
      </c>
      <c r="B4775" s="3" t="str">
        <f>IFERROR(__xludf.DUMMYFUNCTION("""COMPUTED_VALUE"""),"656 8TH LINE W")</f>
        <v>656 8TH LINE W</v>
      </c>
      <c r="C4775" s="3" t="str">
        <f>IFERROR(__xludf.DUMMYFUNCTION("""COMPUTED_VALUE"""),"CAMPBELLFORD")</f>
        <v>CAMPBELLFORD</v>
      </c>
      <c r="D4775" s="3" t="str">
        <f>IFERROR(__xludf.DUMMYFUNCTION("""COMPUTED_VALUE"""),"K0L 1L0")</f>
        <v>K0L 1L0</v>
      </c>
      <c r="E4775" s="3" t="str">
        <f>IFERROR(__xludf.DUMMYFUNCTION("""COMPUTED_VALUE"""),"Sheree Logke")</f>
        <v>Sheree Logke</v>
      </c>
      <c r="F4775" s="3" t="str">
        <f>IFERROR(__xludf.DUMMYFUNCTION("""COMPUTED_VALUE"""),"jlocke@campbellfordwholesale.com")</f>
        <v>jlocke@campbellfordwholesale.com</v>
      </c>
      <c r="G4775" s="3"/>
      <c r="H4775" s="3"/>
    </row>
    <row r="4776">
      <c r="A4776" s="2">
        <f>IFERROR(__xludf.DUMMYFUNCTION("""COMPUTED_VALUE"""),60199.0)</f>
        <v>60199</v>
      </c>
      <c r="B4776" s="3" t="str">
        <f>IFERROR(__xludf.DUMMYFUNCTION("""COMPUTED_VALUE"""),"659 8TH LINE W")</f>
        <v>659 8TH LINE W</v>
      </c>
      <c r="C4776" s="3" t="str">
        <f>IFERROR(__xludf.DUMMYFUNCTION("""COMPUTED_VALUE"""),"CAMPBELLFORD")</f>
        <v>CAMPBELLFORD</v>
      </c>
      <c r="D4776" s="3" t="str">
        <f>IFERROR(__xludf.DUMMYFUNCTION("""COMPUTED_VALUE"""),"K0L 1L0")</f>
        <v>K0L 1L0</v>
      </c>
      <c r="E4776" s="3" t="str">
        <f>IFERROR(__xludf.DUMMYFUNCTION("""COMPUTED_VALUE"""),"Peter Foote")</f>
        <v>Peter Foote</v>
      </c>
      <c r="F4776" s="3"/>
      <c r="G4776" s="3"/>
      <c r="H4776" s="3"/>
    </row>
    <row r="4777">
      <c r="A4777" s="2">
        <f>IFERROR(__xludf.DUMMYFUNCTION("""COMPUTED_VALUE"""),60200.0)</f>
        <v>60200</v>
      </c>
      <c r="B4777" s="3" t="str">
        <f>IFERROR(__xludf.DUMMYFUNCTION("""COMPUTED_VALUE"""),"669 8TH LINE W ")</f>
        <v>669 8TH LINE W </v>
      </c>
      <c r="C4777" s="3" t="str">
        <f>IFERROR(__xludf.DUMMYFUNCTION("""COMPUTED_VALUE"""),"CAMPBELLFORD")</f>
        <v>CAMPBELLFORD</v>
      </c>
      <c r="D4777" s="3" t="str">
        <f>IFERROR(__xludf.DUMMYFUNCTION("""COMPUTED_VALUE"""),"K0L 1L0")</f>
        <v>K0L 1L0</v>
      </c>
      <c r="E4777" s="3" t="str">
        <f>IFERROR(__xludf.DUMMYFUNCTION("""COMPUTED_VALUE"""),"Christine Acco ")</f>
        <v>Christine Acco </v>
      </c>
      <c r="F4777" s="3" t="str">
        <f>IFERROR(__xludf.DUMMYFUNCTION("""COMPUTED_VALUE"""),"cca1112@gmail.com")</f>
        <v>cca1112@gmail.com</v>
      </c>
      <c r="G4777" s="3"/>
      <c r="H4777" s="3"/>
    </row>
    <row r="4778">
      <c r="A4778" s="2">
        <f>IFERROR(__xludf.DUMMYFUNCTION("""COMPUTED_VALUE"""),60201.0)</f>
        <v>60201</v>
      </c>
      <c r="B4778" s="3" t="str">
        <f>IFERROR(__xludf.DUMMYFUNCTION("""COMPUTED_VALUE"""),"681 8TH LINE W")</f>
        <v>681 8TH LINE W</v>
      </c>
      <c r="C4778" s="3" t="str">
        <f>IFERROR(__xludf.DUMMYFUNCTION("""COMPUTED_VALUE"""),"CAMPBELLFORD")</f>
        <v>CAMPBELLFORD</v>
      </c>
      <c r="D4778" s="3" t="str">
        <f>IFERROR(__xludf.DUMMYFUNCTION("""COMPUTED_VALUE"""),"K0L 1L0")</f>
        <v>K0L 1L0</v>
      </c>
      <c r="E4778" s="3" t="str">
        <f>IFERROR(__xludf.DUMMYFUNCTION("""COMPUTED_VALUE"""),"Kevin Broersma")</f>
        <v>Kevin Broersma</v>
      </c>
      <c r="F4778" s="3" t="str">
        <f>IFERROR(__xludf.DUMMYFUNCTION("""COMPUTED_VALUE"""),"kbroersma@outlook.com")</f>
        <v>kbroersma@outlook.com</v>
      </c>
      <c r="G4778" s="3">
        <f>IFERROR(__xludf.DUMMYFUNCTION("""COMPUTED_VALUE"""),7.056536304E9)</f>
        <v>7056536304</v>
      </c>
      <c r="H4778" s="3"/>
    </row>
    <row r="4779">
      <c r="A4779" s="2">
        <f>IFERROR(__xludf.DUMMYFUNCTION("""COMPUTED_VALUE"""),60202.0)</f>
        <v>60202</v>
      </c>
      <c r="B4779" s="3" t="str">
        <f>IFERROR(__xludf.DUMMYFUNCTION("""COMPUTED_VALUE"""),"726 8TH LINE W")</f>
        <v>726 8TH LINE W</v>
      </c>
      <c r="C4779" s="3" t="str">
        <f>IFERROR(__xludf.DUMMYFUNCTION("""COMPUTED_VALUE"""),"CAMPBELLFORD")</f>
        <v>CAMPBELLFORD</v>
      </c>
      <c r="D4779" s="3" t="str">
        <f>IFERROR(__xludf.DUMMYFUNCTION("""COMPUTED_VALUE"""),"K0L 1L0")</f>
        <v>K0L 1L0</v>
      </c>
      <c r="E4779" s="3" t="str">
        <f>IFERROR(__xludf.DUMMYFUNCTION("""COMPUTED_VALUE"""),"Marc+Diane Curle")</f>
        <v>Marc+Diane Curle</v>
      </c>
      <c r="F4779" s="3" t="str">
        <f>IFERROR(__xludf.DUMMYFUNCTION("""COMPUTED_VALUE"""),"info@curlesmaple.ca")</f>
        <v>info@curlesmaple.ca</v>
      </c>
      <c r="G4779" s="3"/>
      <c r="H4779" s="3"/>
    </row>
    <row r="4780">
      <c r="A4780" s="2">
        <f>IFERROR(__xludf.DUMMYFUNCTION("""COMPUTED_VALUE"""),60203.0)</f>
        <v>60203</v>
      </c>
      <c r="B4780" s="3" t="str">
        <f>IFERROR(__xludf.DUMMYFUNCTION("""COMPUTED_VALUE"""),"797 8TH LINE W")</f>
        <v>797 8TH LINE W</v>
      </c>
      <c r="C4780" s="3" t="str">
        <f>IFERROR(__xludf.DUMMYFUNCTION("""COMPUTED_VALUE"""),"CAMPBELLFORD")</f>
        <v>CAMPBELLFORD</v>
      </c>
      <c r="D4780" s="3" t="str">
        <f>IFERROR(__xludf.DUMMYFUNCTION("""COMPUTED_VALUE"""),"K0L 1L0")</f>
        <v>K0L 1L0</v>
      </c>
      <c r="E4780" s="3" t="str">
        <f>IFERROR(__xludf.DUMMYFUNCTION("""COMPUTED_VALUE"""),"Ira Bursey")</f>
        <v>Ira Bursey</v>
      </c>
      <c r="F4780" s="3"/>
      <c r="G4780" s="3"/>
      <c r="H4780" s="3"/>
    </row>
    <row r="4781">
      <c r="A4781" s="2">
        <f>IFERROR(__xludf.DUMMYFUNCTION("""COMPUTED_VALUE"""),60204.0)</f>
        <v>60204</v>
      </c>
      <c r="B4781" s="3" t="str">
        <f>IFERROR(__xludf.DUMMYFUNCTION("""COMPUTED_VALUE"""),"798 8TH LINE W")</f>
        <v>798 8TH LINE W</v>
      </c>
      <c r="C4781" s="3" t="str">
        <f>IFERROR(__xludf.DUMMYFUNCTION("""COMPUTED_VALUE"""),"CAMPBELLFORD")</f>
        <v>CAMPBELLFORD</v>
      </c>
      <c r="D4781" s="3" t="str">
        <f>IFERROR(__xludf.DUMMYFUNCTION("""COMPUTED_VALUE"""),"K0L 1L0")</f>
        <v>K0L 1L0</v>
      </c>
      <c r="E4781" s="3"/>
      <c r="F4781" s="3"/>
      <c r="G4781" s="3"/>
      <c r="H4781" s="3"/>
    </row>
    <row r="4782">
      <c r="A4782" s="2">
        <f>IFERROR(__xludf.DUMMYFUNCTION("""COMPUTED_VALUE"""),60205.0)</f>
        <v>60205</v>
      </c>
      <c r="B4782" s="3" t="str">
        <f>IFERROR(__xludf.DUMMYFUNCTION("""COMPUTED_VALUE"""),"804 8TH LINE W")</f>
        <v>804 8TH LINE W</v>
      </c>
      <c r="C4782" s="3" t="str">
        <f>IFERROR(__xludf.DUMMYFUNCTION("""COMPUTED_VALUE"""),"CAMPBELLFORD")</f>
        <v>CAMPBELLFORD</v>
      </c>
      <c r="D4782" s="3" t="str">
        <f>IFERROR(__xludf.DUMMYFUNCTION("""COMPUTED_VALUE"""),"K0L 1L0")</f>
        <v>K0L 1L0</v>
      </c>
      <c r="E4782" s="3" t="str">
        <f>IFERROR(__xludf.DUMMYFUNCTION("""COMPUTED_VALUE"""),"Alison Zarrello")</f>
        <v>Alison Zarrello</v>
      </c>
      <c r="F4782" s="3" t="str">
        <f>IFERROR(__xludf.DUMMYFUNCTION("""COMPUTED_VALUE"""),"alison.summerfoldt@yahoo.com")</f>
        <v>alison.summerfoldt@yahoo.com</v>
      </c>
      <c r="G4782" s="3"/>
      <c r="H4782" s="3"/>
    </row>
    <row r="4783">
      <c r="A4783" s="2">
        <f>IFERROR(__xludf.DUMMYFUNCTION("""COMPUTED_VALUE"""),60206.0)</f>
        <v>60206</v>
      </c>
      <c r="B4783" s="3" t="str">
        <f>IFERROR(__xludf.DUMMYFUNCTION("""COMPUTED_VALUE"""),"820 8TH LINE W")</f>
        <v>820 8TH LINE W</v>
      </c>
      <c r="C4783" s="3" t="str">
        <f>IFERROR(__xludf.DUMMYFUNCTION("""COMPUTED_VALUE"""),"CAMPBELLFORD")</f>
        <v>CAMPBELLFORD</v>
      </c>
      <c r="D4783" s="3" t="str">
        <f>IFERROR(__xludf.DUMMYFUNCTION("""COMPUTED_VALUE"""),"K0L 1L0")</f>
        <v>K0L 1L0</v>
      </c>
      <c r="E4783" s="3" t="str">
        <f>IFERROR(__xludf.DUMMYFUNCTION("""COMPUTED_VALUE"""),"Mark Weidenborner")</f>
        <v>Mark Weidenborner</v>
      </c>
      <c r="F4783" s="3" t="str">
        <f>IFERROR(__xludf.DUMMYFUNCTION("""COMPUTED_VALUE"""),"mweidenborner@hotmail.com")</f>
        <v>mweidenborner@hotmail.com</v>
      </c>
      <c r="G4783" s="3"/>
      <c r="H4783" s="3"/>
    </row>
    <row r="4784">
      <c r="A4784" s="2">
        <f>IFERROR(__xludf.DUMMYFUNCTION("""COMPUTED_VALUE"""),62335.0)</f>
        <v>62335</v>
      </c>
      <c r="B4784" s="3" t="str">
        <f>IFERROR(__xludf.DUMMYFUNCTION("""COMPUTED_VALUE"""),"301 IXL RD  ")</f>
        <v>301 IXL RD  </v>
      </c>
      <c r="C4784" s="3" t="str">
        <f>IFERROR(__xludf.DUMMYFUNCTION("""COMPUTED_VALUE"""),"CAMPBELLFORD")</f>
        <v>CAMPBELLFORD</v>
      </c>
      <c r="D4784" s="3" t="str">
        <f>IFERROR(__xludf.DUMMYFUNCTION("""COMPUTED_VALUE"""),"K0L 1L0")</f>
        <v>K0L 1L0</v>
      </c>
      <c r="E4784" s="3"/>
      <c r="F4784" s="3"/>
      <c r="G4784" s="3"/>
      <c r="H4784" s="3"/>
    </row>
    <row r="4785">
      <c r="A4785" s="2">
        <f>IFERROR(__xludf.DUMMYFUNCTION("""COMPUTED_VALUE"""),60920.0)</f>
        <v>60920</v>
      </c>
      <c r="B4785" s="3" t="str">
        <f>IFERROR(__xludf.DUMMYFUNCTION("""COMPUTED_VALUE"""),"141 CONCESSION RD 11 RD W ")</f>
        <v>141 CONCESSION RD 11 RD W </v>
      </c>
      <c r="C4785" s="3" t="str">
        <f>IFERROR(__xludf.DUMMYFUNCTION("""COMPUTED_VALUE"""),"HASTINGS")</f>
        <v>HASTINGS</v>
      </c>
      <c r="D4785" s="3" t="str">
        <f>IFERROR(__xludf.DUMMYFUNCTION("""COMPUTED_VALUE"""),"K0L 1Y0")</f>
        <v>K0L 1Y0</v>
      </c>
      <c r="E4785" s="3"/>
      <c r="F4785" s="3"/>
      <c r="G4785" s="3"/>
      <c r="H4785" s="3"/>
    </row>
    <row r="4786">
      <c r="A4786" s="2">
        <f>IFERROR(__xludf.DUMMYFUNCTION("""COMPUTED_VALUE"""),60926.0)</f>
        <v>60926</v>
      </c>
      <c r="B4786" s="3" t="str">
        <f>IFERROR(__xludf.DUMMYFUNCTION("""COMPUTED_VALUE"""),"228 CONCESSION RD 11 RD W ")</f>
        <v>228 CONCESSION RD 11 RD W </v>
      </c>
      <c r="C4786" s="3" t="str">
        <f>IFERROR(__xludf.DUMMYFUNCTION("""COMPUTED_VALUE"""),"HASTINGS")</f>
        <v>HASTINGS</v>
      </c>
      <c r="D4786" s="3" t="str">
        <f>IFERROR(__xludf.DUMMYFUNCTION("""COMPUTED_VALUE"""),"K0L 1Y0")</f>
        <v>K0L 1Y0</v>
      </c>
      <c r="E4786" s="3" t="str">
        <f>IFERROR(__xludf.DUMMYFUNCTION("""COMPUTED_VALUE"""),"Dave Beamish")</f>
        <v>Dave Beamish</v>
      </c>
      <c r="F4786" s="3" t="str">
        <f>IFERROR(__xludf.DUMMYFUNCTION("""COMPUTED_VALUE"""),"beamer28@hotmail.com")</f>
        <v>beamer28@hotmail.com</v>
      </c>
      <c r="G4786" s="3">
        <f>IFERROR(__xludf.DUMMYFUNCTION("""COMPUTED_VALUE"""),7.05868873E9)</f>
        <v>7058688730</v>
      </c>
      <c r="H4786" s="3"/>
    </row>
    <row r="4787">
      <c r="A4787" s="2">
        <f>IFERROR(__xludf.DUMMYFUNCTION("""COMPUTED_VALUE"""),60929.0)</f>
        <v>60929</v>
      </c>
      <c r="B4787" s="3" t="str">
        <f>IFERROR(__xludf.DUMMYFUNCTION("""COMPUTED_VALUE"""),"270 CONCESSION RD 11 RD W ")</f>
        <v>270 CONCESSION RD 11 RD W </v>
      </c>
      <c r="C4787" s="3" t="str">
        <f>IFERROR(__xludf.DUMMYFUNCTION("""COMPUTED_VALUE"""),"HASTINGS")</f>
        <v>HASTINGS</v>
      </c>
      <c r="D4787" s="3" t="str">
        <f>IFERROR(__xludf.DUMMYFUNCTION("""COMPUTED_VALUE"""),"K0L 1Y0")</f>
        <v>K0L 1Y0</v>
      </c>
      <c r="E4787" s="3" t="str">
        <f>IFERROR(__xludf.DUMMYFUNCTION("""COMPUTED_VALUE"""),"Doug Bingham")</f>
        <v>Doug Bingham</v>
      </c>
      <c r="F4787" s="3" t="str">
        <f>IFERROR(__xludf.DUMMYFUNCTION("""COMPUTED_VALUE"""),"binghams35@yahoo.ca")</f>
        <v>binghams35@yahoo.ca</v>
      </c>
      <c r="G4787" s="3"/>
      <c r="H4787" s="3"/>
    </row>
    <row r="4788">
      <c r="A4788" s="2">
        <f>IFERROR(__xludf.DUMMYFUNCTION("""COMPUTED_VALUE"""),60928.0)</f>
        <v>60928</v>
      </c>
      <c r="B4788" s="3" t="str">
        <f>IFERROR(__xludf.DUMMYFUNCTION("""COMPUTED_VALUE"""),"239 CONCESSION RD 11 RD W ")</f>
        <v>239 CONCESSION RD 11 RD W </v>
      </c>
      <c r="C4788" s="3" t="str">
        <f>IFERROR(__xludf.DUMMYFUNCTION("""COMPUTED_VALUE"""),"HASTINGS")</f>
        <v>HASTINGS</v>
      </c>
      <c r="D4788" s="3" t="str">
        <f>IFERROR(__xludf.DUMMYFUNCTION("""COMPUTED_VALUE"""),"K0L 1Y0")</f>
        <v>K0L 1Y0</v>
      </c>
      <c r="E4788" s="3"/>
      <c r="F4788" s="3"/>
      <c r="G4788" s="3"/>
      <c r="H4788" s="3"/>
    </row>
    <row r="4789">
      <c r="A4789" s="2">
        <f>IFERROR(__xludf.DUMMYFUNCTION("""COMPUTED_VALUE"""),60932.0)</f>
        <v>60932</v>
      </c>
      <c r="B4789" s="3" t="str">
        <f>IFERROR(__xludf.DUMMYFUNCTION("""COMPUTED_VALUE"""),"308 CONCESSION RD 11 RD W ")</f>
        <v>308 CONCESSION RD 11 RD W </v>
      </c>
      <c r="C4789" s="3" t="str">
        <f>IFERROR(__xludf.DUMMYFUNCTION("""COMPUTED_VALUE"""),"HASTINGS")</f>
        <v>HASTINGS</v>
      </c>
      <c r="D4789" s="3" t="str">
        <f>IFERROR(__xludf.DUMMYFUNCTION("""COMPUTED_VALUE"""),"K0L 1Y0")</f>
        <v>K0L 1Y0</v>
      </c>
      <c r="E4789" s="3"/>
      <c r="F4789" s="3"/>
      <c r="G4789" s="3"/>
      <c r="H4789" s="3"/>
    </row>
    <row r="4790">
      <c r="A4790" s="2">
        <f>IFERROR(__xludf.DUMMYFUNCTION("""COMPUTED_VALUE"""),60933.0)</f>
        <v>60933</v>
      </c>
      <c r="B4790" s="3" t="str">
        <f>IFERROR(__xludf.DUMMYFUNCTION("""COMPUTED_VALUE"""),"311 CONCESSION RD 11 RD W ")</f>
        <v>311 CONCESSION RD 11 RD W </v>
      </c>
      <c r="C4790" s="3" t="str">
        <f>IFERROR(__xludf.DUMMYFUNCTION("""COMPUTED_VALUE"""),"HASTINGS")</f>
        <v>HASTINGS</v>
      </c>
      <c r="D4790" s="3" t="str">
        <f>IFERROR(__xludf.DUMMYFUNCTION("""COMPUTED_VALUE"""),"K0L 1Y0")</f>
        <v>K0L 1Y0</v>
      </c>
      <c r="E4790" s="3" t="str">
        <f>IFERROR(__xludf.DUMMYFUNCTION("""COMPUTED_VALUE"""),"vince and maria damico")</f>
        <v>vince and maria damico</v>
      </c>
      <c r="F4790" s="3" t="str">
        <f>IFERROR(__xludf.DUMMYFUNCTION("""COMPUTED_VALUE"""),"v.damico@sympatico.ca")</f>
        <v>v.damico@sympatico.ca</v>
      </c>
      <c r="G4790" s="3">
        <f>IFERROR(__xludf.DUMMYFUNCTION("""COMPUTED_VALUE"""),9.05440146E9)</f>
        <v>9054401460</v>
      </c>
      <c r="H4790" s="3"/>
    </row>
    <row r="4791">
      <c r="A4791" s="2">
        <f>IFERROR(__xludf.DUMMYFUNCTION("""COMPUTED_VALUE"""),60935.0)</f>
        <v>60935</v>
      </c>
      <c r="B4791" s="3" t="str">
        <f>IFERROR(__xludf.DUMMYFUNCTION("""COMPUTED_VALUE"""),"325 CONCESSION RD 11 RD W ")</f>
        <v>325 CONCESSION RD 11 RD W </v>
      </c>
      <c r="C4791" s="3" t="str">
        <f>IFERROR(__xludf.DUMMYFUNCTION("""COMPUTED_VALUE"""),"HASTINGS")</f>
        <v>HASTINGS</v>
      </c>
      <c r="D4791" s="3" t="str">
        <f>IFERROR(__xludf.DUMMYFUNCTION("""COMPUTED_VALUE"""),"K0L 1Y0")</f>
        <v>K0L 1Y0</v>
      </c>
      <c r="E4791" s="3"/>
      <c r="F4791" s="3"/>
      <c r="G4791" s="3"/>
      <c r="H4791" s="3"/>
    </row>
    <row r="4792">
      <c r="A4792" s="2">
        <f>IFERROR(__xludf.DUMMYFUNCTION("""COMPUTED_VALUE"""),60937.0)</f>
        <v>60937</v>
      </c>
      <c r="B4792" s="3" t="str">
        <f>IFERROR(__xludf.DUMMYFUNCTION("""COMPUTED_VALUE"""),"333 CONCESSION RD 11 RD W ")</f>
        <v>333 CONCESSION RD 11 RD W </v>
      </c>
      <c r="C4792" s="3" t="str">
        <f>IFERROR(__xludf.DUMMYFUNCTION("""COMPUTED_VALUE"""),"HASTINGS")</f>
        <v>HASTINGS</v>
      </c>
      <c r="D4792" s="3" t="str">
        <f>IFERROR(__xludf.DUMMYFUNCTION("""COMPUTED_VALUE"""),"K0L 1Y0")</f>
        <v>K0L 1Y0</v>
      </c>
      <c r="E4792" s="3" t="str">
        <f>IFERROR(__xludf.DUMMYFUNCTION("""COMPUTED_VALUE"""),"Kevin Polley")</f>
        <v>Kevin Polley</v>
      </c>
      <c r="F4792" s="3" t="str">
        <f>IFERROR(__xludf.DUMMYFUNCTION("""COMPUTED_VALUE"""),"kwpolley1@gmail.com")</f>
        <v>kwpolley1@gmail.com</v>
      </c>
      <c r="G4792" s="3">
        <f>IFERROR(__xludf.DUMMYFUNCTION("""COMPUTED_VALUE"""),9.057182808E9)</f>
        <v>9057182808</v>
      </c>
      <c r="H4792" s="3"/>
    </row>
    <row r="4793">
      <c r="A4793" s="2">
        <f>IFERROR(__xludf.DUMMYFUNCTION("""COMPUTED_VALUE"""),60938.0)</f>
        <v>60938</v>
      </c>
      <c r="B4793" s="3" t="str">
        <f>IFERROR(__xludf.DUMMYFUNCTION("""COMPUTED_VALUE"""),"342 CONCESSION RD 11 RD W ")</f>
        <v>342 CONCESSION RD 11 RD W </v>
      </c>
      <c r="C4793" s="3" t="str">
        <f>IFERROR(__xludf.DUMMYFUNCTION("""COMPUTED_VALUE"""),"HASTINGS")</f>
        <v>HASTINGS</v>
      </c>
      <c r="D4793" s="3" t="str">
        <f>IFERROR(__xludf.DUMMYFUNCTION("""COMPUTED_VALUE"""),"K0L 1Y0")</f>
        <v>K0L 1Y0</v>
      </c>
      <c r="E4793" s="3" t="str">
        <f>IFERROR(__xludf.DUMMYFUNCTION("""COMPUTED_VALUE"""),"Denton Ward")</f>
        <v>Denton Ward</v>
      </c>
      <c r="F4793" s="3"/>
      <c r="G4793" s="3"/>
      <c r="H4793" s="3"/>
    </row>
    <row r="4794">
      <c r="A4794" s="2">
        <f>IFERROR(__xludf.DUMMYFUNCTION("""COMPUTED_VALUE"""),60941.0)</f>
        <v>60941</v>
      </c>
      <c r="B4794" s="3" t="str">
        <f>IFERROR(__xludf.DUMMYFUNCTION("""COMPUTED_VALUE"""),"362 CONCESSION RD 11 RD W ")</f>
        <v>362 CONCESSION RD 11 RD W </v>
      </c>
      <c r="C4794" s="3" t="str">
        <f>IFERROR(__xludf.DUMMYFUNCTION("""COMPUTED_VALUE"""),"HASTINGS")</f>
        <v>HASTINGS</v>
      </c>
      <c r="D4794" s="3" t="str">
        <f>IFERROR(__xludf.DUMMYFUNCTION("""COMPUTED_VALUE"""),"K0L 1Y0")</f>
        <v>K0L 1Y0</v>
      </c>
      <c r="E4794" s="3"/>
      <c r="F4794" s="3"/>
      <c r="G4794" s="3"/>
      <c r="H4794" s="3"/>
    </row>
    <row r="4795">
      <c r="A4795" s="2">
        <f>IFERROR(__xludf.DUMMYFUNCTION("""COMPUTED_VALUE"""),60942.0)</f>
        <v>60942</v>
      </c>
      <c r="B4795" s="3" t="str">
        <f>IFERROR(__xludf.DUMMYFUNCTION("""COMPUTED_VALUE"""),"387 CONCESSION RD 11 RD W ")</f>
        <v>387 CONCESSION RD 11 RD W </v>
      </c>
      <c r="C4795" s="3" t="str">
        <f>IFERROR(__xludf.DUMMYFUNCTION("""COMPUTED_VALUE"""),"HASTINGS")</f>
        <v>HASTINGS</v>
      </c>
      <c r="D4795" s="3" t="str">
        <f>IFERROR(__xludf.DUMMYFUNCTION("""COMPUTED_VALUE"""),"K0L 1Y0")</f>
        <v>K0L 1Y0</v>
      </c>
      <c r="E4795" s="3" t="str">
        <f>IFERROR(__xludf.DUMMYFUNCTION("""COMPUTED_VALUE"""),"Adam Gaudreau")</f>
        <v>Adam Gaudreau</v>
      </c>
      <c r="F4795" s="3" t="str">
        <f>IFERROR(__xludf.DUMMYFUNCTION("""COMPUTED_VALUE"""),"adam_gaudreau@yahoo.ca")</f>
        <v>adam_gaudreau@yahoo.ca</v>
      </c>
      <c r="G4795" s="3"/>
      <c r="H4795" s="3">
        <f>IFERROR(__xludf.DUMMYFUNCTION("""COMPUTED_VALUE"""),7.059317572E9)</f>
        <v>7059317572</v>
      </c>
    </row>
    <row r="4796">
      <c r="A4796" s="2">
        <f>IFERROR(__xludf.DUMMYFUNCTION("""COMPUTED_VALUE"""),60943.0)</f>
        <v>60943</v>
      </c>
      <c r="B4796" s="3" t="str">
        <f>IFERROR(__xludf.DUMMYFUNCTION("""COMPUTED_VALUE"""),"390 CONCESSION RD 11 RD W ")</f>
        <v>390 CONCESSION RD 11 RD W </v>
      </c>
      <c r="C4796" s="3" t="str">
        <f>IFERROR(__xludf.DUMMYFUNCTION("""COMPUTED_VALUE"""),"HASTINGS")</f>
        <v>HASTINGS</v>
      </c>
      <c r="D4796" s="3" t="str">
        <f>IFERROR(__xludf.DUMMYFUNCTION("""COMPUTED_VALUE"""),"K0L 1Y0")</f>
        <v>K0L 1Y0</v>
      </c>
      <c r="E4796" s="3" t="str">
        <f>IFERROR(__xludf.DUMMYFUNCTION("""COMPUTED_VALUE"""),"MALCOLM MACARTHUR")</f>
        <v>MALCOLM MACARTHUR</v>
      </c>
      <c r="F4796" s="3" t="str">
        <f>IFERROR(__xludf.DUMMYFUNCTION("""COMPUTED_VALUE"""),"malcolm_macarthur@hotmail.com")</f>
        <v>malcolm_macarthur@hotmail.com</v>
      </c>
      <c r="G4796" s="3"/>
      <c r="H4796" s="3"/>
    </row>
    <row r="4797">
      <c r="A4797" s="2">
        <f>IFERROR(__xludf.DUMMYFUNCTION("""COMPUTED_VALUE"""),60945.0)</f>
        <v>60945</v>
      </c>
      <c r="B4797" s="3" t="str">
        <f>IFERROR(__xludf.DUMMYFUNCTION("""COMPUTED_VALUE"""),"398 CONCESSION RD 11 RD W ")</f>
        <v>398 CONCESSION RD 11 RD W </v>
      </c>
      <c r="C4797" s="3" t="str">
        <f>IFERROR(__xludf.DUMMYFUNCTION("""COMPUTED_VALUE"""),"HASTINGS")</f>
        <v>HASTINGS</v>
      </c>
      <c r="D4797" s="3" t="str">
        <f>IFERROR(__xludf.DUMMYFUNCTION("""COMPUTED_VALUE"""),"K0L 1Y0")</f>
        <v>K0L 1Y0</v>
      </c>
      <c r="E4797" s="3" t="str">
        <f>IFERROR(__xludf.DUMMYFUNCTION("""COMPUTED_VALUE"""),"Loa White")</f>
        <v>Loa White</v>
      </c>
      <c r="F4797" s="3"/>
      <c r="G4797" s="3"/>
      <c r="H4797" s="3"/>
    </row>
    <row r="4798">
      <c r="A4798" s="2">
        <f>IFERROR(__xludf.DUMMYFUNCTION("""COMPUTED_VALUE"""),60948.0)</f>
        <v>60948</v>
      </c>
      <c r="B4798" s="3" t="str">
        <f>IFERROR(__xludf.DUMMYFUNCTION("""COMPUTED_VALUE"""),"433 CONCESSION RD 11 RD W ")</f>
        <v>433 CONCESSION RD 11 RD W </v>
      </c>
      <c r="C4798" s="3" t="str">
        <f>IFERROR(__xludf.DUMMYFUNCTION("""COMPUTED_VALUE"""),"HASTINGS")</f>
        <v>HASTINGS</v>
      </c>
      <c r="D4798" s="3" t="str">
        <f>IFERROR(__xludf.DUMMYFUNCTION("""COMPUTED_VALUE"""),"K0L 1Y0")</f>
        <v>K0L 1Y0</v>
      </c>
      <c r="E4798" s="3" t="str">
        <f>IFERROR(__xludf.DUMMYFUNCTION("""COMPUTED_VALUE"""),"Jack Bond for Sam Freeman")</f>
        <v>Jack Bond for Sam Freeman</v>
      </c>
      <c r="F4798" s="3"/>
      <c r="G4798" s="3"/>
      <c r="H4798" s="3"/>
    </row>
    <row r="4799">
      <c r="A4799" s="2">
        <f>IFERROR(__xludf.DUMMYFUNCTION("""COMPUTED_VALUE"""),60949.0)</f>
        <v>60949</v>
      </c>
      <c r="B4799" s="3" t="str">
        <f>IFERROR(__xludf.DUMMYFUNCTION("""COMPUTED_VALUE"""),"445 CONCESSION RD 11 RD W ")</f>
        <v>445 CONCESSION RD 11 RD W </v>
      </c>
      <c r="C4799" s="3" t="str">
        <f>IFERROR(__xludf.DUMMYFUNCTION("""COMPUTED_VALUE"""),"HASTINGS")</f>
        <v>HASTINGS</v>
      </c>
      <c r="D4799" s="3" t="str">
        <f>IFERROR(__xludf.DUMMYFUNCTION("""COMPUTED_VALUE"""),"K0L 1Y0")</f>
        <v>K0L 1Y0</v>
      </c>
      <c r="E4799" s="3" t="str">
        <f>IFERROR(__xludf.DUMMYFUNCTION("""COMPUTED_VALUE"""),"Don &amp; Paula Quist")</f>
        <v>Don &amp; Paula Quist</v>
      </c>
      <c r="F4799" s="3" t="str">
        <f>IFERROR(__xludf.DUMMYFUNCTION("""COMPUTED_VALUE"""),"dquist57@hotmail.com")</f>
        <v>dquist57@hotmail.com</v>
      </c>
      <c r="G4799" s="3">
        <f>IFERROR(__xludf.DUMMYFUNCTION("""COMPUTED_VALUE"""),7.056961408E9)</f>
        <v>7056961408</v>
      </c>
      <c r="H4799" s="3">
        <f>IFERROR(__xludf.DUMMYFUNCTION("""COMPUTED_VALUE"""),7.057605142E9)</f>
        <v>7057605142</v>
      </c>
    </row>
    <row r="4800">
      <c r="A4800" s="2">
        <f>IFERROR(__xludf.DUMMYFUNCTION("""COMPUTED_VALUE"""),60950.0)</f>
        <v>60950</v>
      </c>
      <c r="B4800" s="3" t="str">
        <f>IFERROR(__xludf.DUMMYFUNCTION("""COMPUTED_VALUE"""),"451 CONCESSION RD 11 RD W ")</f>
        <v>451 CONCESSION RD 11 RD W </v>
      </c>
      <c r="C4800" s="3" t="str">
        <f>IFERROR(__xludf.DUMMYFUNCTION("""COMPUTED_VALUE"""),"HASTINGS")</f>
        <v>HASTINGS</v>
      </c>
      <c r="D4800" s="3" t="str">
        <f>IFERROR(__xludf.DUMMYFUNCTION("""COMPUTED_VALUE"""),"K0L 1Y0")</f>
        <v>K0L 1Y0</v>
      </c>
      <c r="E4800" s="3" t="str">
        <f>IFERROR(__xludf.DUMMYFUNCTION("""COMPUTED_VALUE"""),"Nancy Cosgrave")</f>
        <v>Nancy Cosgrave</v>
      </c>
      <c r="F4800" s="3" t="str">
        <f>IFERROR(__xludf.DUMMYFUNCTION("""COMPUTED_VALUE"""),"cosgravenancy@hotmail.com")</f>
        <v>cosgravenancy@hotmail.com</v>
      </c>
      <c r="G4800" s="3"/>
      <c r="H4800" s="3"/>
    </row>
    <row r="4801">
      <c r="A4801" s="2">
        <f>IFERROR(__xludf.DUMMYFUNCTION("""COMPUTED_VALUE"""),60951.0)</f>
        <v>60951</v>
      </c>
      <c r="B4801" s="3" t="str">
        <f>IFERROR(__xludf.DUMMYFUNCTION("""COMPUTED_VALUE"""),"453 CONCESSION RD 11 RD W ")</f>
        <v>453 CONCESSION RD 11 RD W </v>
      </c>
      <c r="C4801" s="3" t="str">
        <f>IFERROR(__xludf.DUMMYFUNCTION("""COMPUTED_VALUE"""),"HASTINGS")</f>
        <v>HASTINGS</v>
      </c>
      <c r="D4801" s="3" t="str">
        <f>IFERROR(__xludf.DUMMYFUNCTION("""COMPUTED_VALUE"""),"K0L 1Y0")</f>
        <v>K0L 1Y0</v>
      </c>
      <c r="E4801" s="3" t="str">
        <f>IFERROR(__xludf.DUMMYFUNCTION("""COMPUTED_VALUE"""),"William + Margaret Porter")</f>
        <v>William + Margaret Porter</v>
      </c>
      <c r="F4801" s="3"/>
      <c r="G4801" s="3"/>
      <c r="H4801" s="3"/>
    </row>
    <row r="4802">
      <c r="A4802" s="2">
        <f>IFERROR(__xludf.DUMMYFUNCTION("""COMPUTED_VALUE"""),60952.0)</f>
        <v>60952</v>
      </c>
      <c r="B4802" s="3" t="str">
        <f>IFERROR(__xludf.DUMMYFUNCTION("""COMPUTED_VALUE"""),"457 CONCESSION RD 11 RD W ")</f>
        <v>457 CONCESSION RD 11 RD W </v>
      </c>
      <c r="C4802" s="3" t="str">
        <f>IFERROR(__xludf.DUMMYFUNCTION("""COMPUTED_VALUE"""),"HASTINGS")</f>
        <v>HASTINGS</v>
      </c>
      <c r="D4802" s="3" t="str">
        <f>IFERROR(__xludf.DUMMYFUNCTION("""COMPUTED_VALUE"""),"K0L 1Y0")</f>
        <v>K0L 1Y0</v>
      </c>
      <c r="E4802" s="3" t="str">
        <f>IFERROR(__xludf.DUMMYFUNCTION("""COMPUTED_VALUE"""),"L Mcarty")</f>
        <v>L Mcarty</v>
      </c>
      <c r="F4802" s="3" t="str">
        <f>IFERROR(__xludf.DUMMYFUNCTION("""COMPUTED_VALUE"""),"landctrucking@hotmail.com")</f>
        <v>landctrucking@hotmail.com</v>
      </c>
      <c r="G4802" s="3"/>
      <c r="H4802" s="3"/>
    </row>
    <row r="4803">
      <c r="A4803" s="2">
        <f>IFERROR(__xludf.DUMMYFUNCTION("""COMPUTED_VALUE"""),60954.0)</f>
        <v>60954</v>
      </c>
      <c r="B4803" s="3" t="str">
        <f>IFERROR(__xludf.DUMMYFUNCTION("""COMPUTED_VALUE"""),"487 CONCESSION RD 11 RD W ")</f>
        <v>487 CONCESSION RD 11 RD W </v>
      </c>
      <c r="C4803" s="3" t="str">
        <f>IFERROR(__xludf.DUMMYFUNCTION("""COMPUTED_VALUE"""),"HASTINGS")</f>
        <v>HASTINGS</v>
      </c>
      <c r="D4803" s="3" t="str">
        <f>IFERROR(__xludf.DUMMYFUNCTION("""COMPUTED_VALUE"""),"K0L 1Y0")</f>
        <v>K0L 1Y0</v>
      </c>
      <c r="E4803" s="3" t="str">
        <f>IFERROR(__xludf.DUMMYFUNCTION("""COMPUTED_VALUE"""),"logan linton")</f>
        <v>logan linton</v>
      </c>
      <c r="F4803" s="3" t="str">
        <f>IFERROR(__xludf.DUMMYFUNCTION("""COMPUTED_VALUE"""),"loganscob12@ggmail.com")</f>
        <v>loganscob12@ggmail.com</v>
      </c>
      <c r="G4803" s="3">
        <f>IFERROR(__xludf.DUMMYFUNCTION("""COMPUTED_VALUE"""),7.059305526E9)</f>
        <v>7059305526</v>
      </c>
      <c r="H4803" s="3"/>
    </row>
    <row r="4804">
      <c r="A4804" s="2">
        <f>IFERROR(__xludf.DUMMYFUNCTION("""COMPUTED_VALUE"""),60956.0)</f>
        <v>60956</v>
      </c>
      <c r="B4804" s="3" t="str">
        <f>IFERROR(__xludf.DUMMYFUNCTION("""COMPUTED_VALUE"""),"511 CONCESSION RD 11 RD W ")</f>
        <v>511 CONCESSION RD 11 RD W </v>
      </c>
      <c r="C4804" s="3" t="str">
        <f>IFERROR(__xludf.DUMMYFUNCTION("""COMPUTED_VALUE"""),"HASTINGS")</f>
        <v>HASTINGS</v>
      </c>
      <c r="D4804" s="3" t="str">
        <f>IFERROR(__xludf.DUMMYFUNCTION("""COMPUTED_VALUE"""),"K0L 1Y0")</f>
        <v>K0L 1Y0</v>
      </c>
      <c r="E4804" s="3" t="str">
        <f>IFERROR(__xludf.DUMMYFUNCTION("""COMPUTED_VALUE"""),"KAITLYN DEJONG")</f>
        <v>KAITLYN DEJONG</v>
      </c>
      <c r="F4804" s="3" t="str">
        <f>IFERROR(__xludf.DUMMYFUNCTION("""COMPUTED_VALUE"""),"bkprice2025@gmail.com")</f>
        <v>bkprice2025@gmail.com</v>
      </c>
      <c r="G4804" s="3"/>
      <c r="H4804" s="3"/>
    </row>
    <row r="4805">
      <c r="A4805" s="2">
        <f>IFERROR(__xludf.DUMMYFUNCTION("""COMPUTED_VALUE"""),60957.0)</f>
        <v>60957</v>
      </c>
      <c r="B4805" s="3" t="str">
        <f>IFERROR(__xludf.DUMMYFUNCTION("""COMPUTED_VALUE"""),"520 CONCESSION RD 11 RD W ")</f>
        <v>520 CONCESSION RD 11 RD W </v>
      </c>
      <c r="C4805" s="3" t="str">
        <f>IFERROR(__xludf.DUMMYFUNCTION("""COMPUTED_VALUE"""),"HASTINGS")</f>
        <v>HASTINGS</v>
      </c>
      <c r="D4805" s="3" t="str">
        <f>IFERROR(__xludf.DUMMYFUNCTION("""COMPUTED_VALUE"""),"K0L 1Y0")</f>
        <v>K0L 1Y0</v>
      </c>
      <c r="E4805" s="3"/>
      <c r="F4805" s="3"/>
      <c r="G4805" s="3"/>
      <c r="H4805" s="3"/>
    </row>
    <row r="4806">
      <c r="A4806" s="2">
        <f>IFERROR(__xludf.DUMMYFUNCTION("""COMPUTED_VALUE"""),60958.0)</f>
        <v>60958</v>
      </c>
      <c r="B4806" s="3" t="str">
        <f>IFERROR(__xludf.DUMMYFUNCTION("""COMPUTED_VALUE"""),"556 CONCESSION RD 11 RD W ")</f>
        <v>556 CONCESSION RD 11 RD W </v>
      </c>
      <c r="C4806" s="3" t="str">
        <f>IFERROR(__xludf.DUMMYFUNCTION("""COMPUTED_VALUE"""),"HASTINGS")</f>
        <v>HASTINGS</v>
      </c>
      <c r="D4806" s="3" t="str">
        <f>IFERROR(__xludf.DUMMYFUNCTION("""COMPUTED_VALUE"""),"K0L 1Y0")</f>
        <v>K0L 1Y0</v>
      </c>
      <c r="E4806" s="3" t="str">
        <f>IFERROR(__xludf.DUMMYFUNCTION("""COMPUTED_VALUE"""),"Renee Clark")</f>
        <v>Renee Clark</v>
      </c>
      <c r="F4806" s="3" t="str">
        <f>IFERROR(__xludf.DUMMYFUNCTION("""COMPUTED_VALUE"""),"lisareneeclark@outlook.com")</f>
        <v>lisareneeclark@outlook.com</v>
      </c>
      <c r="G4806" s="3"/>
      <c r="H4806" s="3"/>
    </row>
    <row r="4807">
      <c r="A4807" s="2">
        <f>IFERROR(__xludf.DUMMYFUNCTION("""COMPUTED_VALUE"""),60959.0)</f>
        <v>60959</v>
      </c>
      <c r="B4807" s="3" t="str">
        <f>IFERROR(__xludf.DUMMYFUNCTION("""COMPUTED_VALUE"""),"561 CONCESSION RD 11 RD W ")</f>
        <v>561 CONCESSION RD 11 RD W </v>
      </c>
      <c r="C4807" s="3" t="str">
        <f>IFERROR(__xludf.DUMMYFUNCTION("""COMPUTED_VALUE"""),"HASTINGS")</f>
        <v>HASTINGS</v>
      </c>
      <c r="D4807" s="3" t="str">
        <f>IFERROR(__xludf.DUMMYFUNCTION("""COMPUTED_VALUE"""),"K0L 1Y0")</f>
        <v>K0L 1Y0</v>
      </c>
      <c r="E4807" s="3"/>
      <c r="F4807" s="3"/>
      <c r="G4807" s="3"/>
      <c r="H4807" s="3"/>
    </row>
    <row r="4808">
      <c r="A4808" s="2">
        <f>IFERROR(__xludf.DUMMYFUNCTION("""COMPUTED_VALUE"""),61395.0)</f>
        <v>61395</v>
      </c>
      <c r="B4808" s="3" t="str">
        <f>IFERROR(__xludf.DUMMYFUNCTION("""COMPUTED_VALUE"""),"151 COUNTY 35 RD  ")</f>
        <v>151 COUNTY 35 RD  </v>
      </c>
      <c r="C4808" s="3" t="str">
        <f>IFERROR(__xludf.DUMMYFUNCTION("""COMPUTED_VALUE"""),"HASTINGS")</f>
        <v>HASTINGS</v>
      </c>
      <c r="D4808" s="3" t="str">
        <f>IFERROR(__xludf.DUMMYFUNCTION("""COMPUTED_VALUE"""),"K0L 1Y0")</f>
        <v>K0L 1Y0</v>
      </c>
      <c r="E4808" s="3" t="str">
        <f>IFERROR(__xludf.DUMMYFUNCTION("""COMPUTED_VALUE"""),"brian connolly")</f>
        <v>brian connolly</v>
      </c>
      <c r="F4808" s="3" t="str">
        <f>IFERROR(__xludf.DUMMYFUNCTION("""COMPUTED_VALUE"""),"bconnolly@rogers.com")</f>
        <v>bconnolly@rogers.com</v>
      </c>
      <c r="G4808" s="3">
        <f>IFERROR(__xludf.DUMMYFUNCTION("""COMPUTED_VALUE"""),9.054428806E9)</f>
        <v>9054428806</v>
      </c>
      <c r="H4808" s="3"/>
    </row>
    <row r="4809">
      <c r="A4809" s="2">
        <f>IFERROR(__xludf.DUMMYFUNCTION("""COMPUTED_VALUE"""),62106.0)</f>
        <v>62106</v>
      </c>
      <c r="B4809" s="3" t="str">
        <f>IFERROR(__xludf.DUMMYFUNCTION("""COMPUTED_VALUE"""),"4 HEATH DR  ")</f>
        <v>4 HEATH DR  </v>
      </c>
      <c r="C4809" s="3" t="str">
        <f>IFERROR(__xludf.DUMMYFUNCTION("""COMPUTED_VALUE"""),"WARKWORTH")</f>
        <v>WARKWORTH</v>
      </c>
      <c r="D4809" s="3" t="str">
        <f>IFERROR(__xludf.DUMMYFUNCTION("""COMPUTED_VALUE"""),"K0K 3K0")</f>
        <v>K0K 3K0</v>
      </c>
      <c r="E4809" s="3" t="str">
        <f>IFERROR(__xludf.DUMMYFUNCTION("""COMPUTED_VALUE"""),"elizabeth hubbard")</f>
        <v>elizabeth hubbard</v>
      </c>
      <c r="F4809" s="3" t="str">
        <f>IFERROR(__xludf.DUMMYFUNCTION("""COMPUTED_VALUE"""),"beth-petherick@hotmail.com")</f>
        <v>beth-petherick@hotmail.com</v>
      </c>
      <c r="G4809" s="3">
        <f>IFERROR(__xludf.DUMMYFUNCTION("""COMPUTED_VALUE"""),2.267879556E9)</f>
        <v>2267879556</v>
      </c>
      <c r="H4809" s="3"/>
    </row>
    <row r="4810">
      <c r="A4810" s="2">
        <f>IFERROR(__xludf.DUMMYFUNCTION("""COMPUTED_VALUE"""),62107.0)</f>
        <v>62107</v>
      </c>
      <c r="B4810" s="3" t="str">
        <f>IFERROR(__xludf.DUMMYFUNCTION("""COMPUTED_VALUE"""),"43 HEATH DR  ")</f>
        <v>43 HEATH DR  </v>
      </c>
      <c r="C4810" s="3" t="str">
        <f>IFERROR(__xludf.DUMMYFUNCTION("""COMPUTED_VALUE"""),"WARKWORTH")</f>
        <v>WARKWORTH</v>
      </c>
      <c r="D4810" s="3" t="str">
        <f>IFERROR(__xludf.DUMMYFUNCTION("""COMPUTED_VALUE"""),"K0K 3K0")</f>
        <v>K0K 3K0</v>
      </c>
      <c r="E4810" s="3" t="str">
        <f>IFERROR(__xludf.DUMMYFUNCTION("""COMPUTED_VALUE"""),"danny and aimee young ")</f>
        <v>danny and aimee young </v>
      </c>
      <c r="F4810" s="3" t="str">
        <f>IFERROR(__xludf.DUMMYFUNCTION("""COMPUTED_VALUE"""),"ay24jp@gmail.com")</f>
        <v>ay24jp@gmail.com</v>
      </c>
      <c r="G4810" s="3">
        <f>IFERROR(__xludf.DUMMYFUNCTION("""COMPUTED_VALUE"""),7.056762516E9)</f>
        <v>7056762516</v>
      </c>
      <c r="H4810" s="3"/>
    </row>
    <row r="4811">
      <c r="A4811" s="2">
        <f>IFERROR(__xludf.DUMMYFUNCTION("""COMPUTED_VALUE"""),62108.0)</f>
        <v>62108</v>
      </c>
      <c r="B4811" s="3" t="str">
        <f>IFERROR(__xludf.DUMMYFUNCTION("""COMPUTED_VALUE"""),"51 HEATH DR  ")</f>
        <v>51 HEATH DR  </v>
      </c>
      <c r="C4811" s="3" t="str">
        <f>IFERROR(__xludf.DUMMYFUNCTION("""COMPUTED_VALUE"""),"WARKWORTH")</f>
        <v>WARKWORTH</v>
      </c>
      <c r="D4811" s="3" t="str">
        <f>IFERROR(__xludf.DUMMYFUNCTION("""COMPUTED_VALUE"""),"K0K 3K0")</f>
        <v>K0K 3K0</v>
      </c>
      <c r="E4811" s="3" t="str">
        <f>IFERROR(__xludf.DUMMYFUNCTION("""COMPUTED_VALUE"""),"ashley bryden")</f>
        <v>ashley bryden</v>
      </c>
      <c r="F4811" s="3" t="str">
        <f>IFERROR(__xludf.DUMMYFUNCTION("""COMPUTED_VALUE"""),"ashleybrydon@outlook.com")</f>
        <v>ashleybrydon@outlook.com</v>
      </c>
      <c r="G4811" s="3">
        <f>IFERROR(__xludf.DUMMYFUNCTION("""COMPUTED_VALUE"""),9.053757621E9)</f>
        <v>9053757621</v>
      </c>
      <c r="H4811" s="3"/>
    </row>
    <row r="4812">
      <c r="A4812" s="2">
        <f>IFERROR(__xludf.DUMMYFUNCTION("""COMPUTED_VALUE"""),62109.0)</f>
        <v>62109</v>
      </c>
      <c r="B4812" s="3" t="str">
        <f>IFERROR(__xludf.DUMMYFUNCTION("""COMPUTED_VALUE"""),"88 HEATH DR  ")</f>
        <v>88 HEATH DR  </v>
      </c>
      <c r="C4812" s="3" t="str">
        <f>IFERROR(__xludf.DUMMYFUNCTION("""COMPUTED_VALUE"""),"WARKWORTH")</f>
        <v>WARKWORTH</v>
      </c>
      <c r="D4812" s="3" t="str">
        <f>IFERROR(__xludf.DUMMYFUNCTION("""COMPUTED_VALUE"""),"K0K 3K0")</f>
        <v>K0K 3K0</v>
      </c>
      <c r="E4812" s="3" t="str">
        <f>IFERROR(__xludf.DUMMYFUNCTION("""COMPUTED_VALUE"""),"Steve Brooks")</f>
        <v>Steve Brooks</v>
      </c>
      <c r="F4812" s="3" t="str">
        <f>IFERROR(__xludf.DUMMYFUNCTION("""COMPUTED_VALUE"""),"srbrooks999@gmail.com")</f>
        <v>srbrooks999@gmail.com</v>
      </c>
      <c r="G4812" s="3">
        <f>IFERROR(__xludf.DUMMYFUNCTION("""COMPUTED_VALUE"""),6.472105491E9)</f>
        <v>6472105491</v>
      </c>
      <c r="H4812" s="3"/>
    </row>
    <row r="4813">
      <c r="A4813" s="2">
        <f>IFERROR(__xludf.DUMMYFUNCTION("""COMPUTED_VALUE"""),62110.0)</f>
        <v>62110</v>
      </c>
      <c r="B4813" s="3" t="str">
        <f>IFERROR(__xludf.DUMMYFUNCTION("""COMPUTED_VALUE"""),"89 HEATH DR")</f>
        <v>89 HEATH DR</v>
      </c>
      <c r="C4813" s="3" t="str">
        <f>IFERROR(__xludf.DUMMYFUNCTION("""COMPUTED_VALUE"""),"WARKWORTH")</f>
        <v>WARKWORTH</v>
      </c>
      <c r="D4813" s="3" t="str">
        <f>IFERROR(__xludf.DUMMYFUNCTION("""COMPUTED_VALUE"""),"K0K 3K0")</f>
        <v>K0K 3K0</v>
      </c>
      <c r="E4813" s="3"/>
      <c r="F4813" s="3"/>
      <c r="G4813" s="3"/>
      <c r="H4813" s="3"/>
    </row>
    <row r="4814">
      <c r="A4814" s="2">
        <f>IFERROR(__xludf.DUMMYFUNCTION("""COMPUTED_VALUE"""),62111.0)</f>
        <v>62111</v>
      </c>
      <c r="B4814" s="3" t="str">
        <f>IFERROR(__xludf.DUMMYFUNCTION("""COMPUTED_VALUE"""),"142 HEATH DR  ")</f>
        <v>142 HEATH DR  </v>
      </c>
      <c r="C4814" s="3" t="str">
        <f>IFERROR(__xludf.DUMMYFUNCTION("""COMPUTED_VALUE"""),"WARKWORTH")</f>
        <v>WARKWORTH</v>
      </c>
      <c r="D4814" s="3" t="str">
        <f>IFERROR(__xludf.DUMMYFUNCTION("""COMPUTED_VALUE"""),"K0K 3K0")</f>
        <v>K0K 3K0</v>
      </c>
      <c r="E4814" s="3" t="str">
        <f>IFERROR(__xludf.DUMMYFUNCTION("""COMPUTED_VALUE"""),"Luke A Marshall")</f>
        <v>Luke A Marshall</v>
      </c>
      <c r="F4814" s="3" t="str">
        <f>IFERROR(__xludf.DUMMYFUNCTION("""COMPUTED_VALUE"""),"lmarshall1114@gmail.com")</f>
        <v>lmarshall1114@gmail.com</v>
      </c>
      <c r="G4814" s="3">
        <f>IFERROR(__xludf.DUMMYFUNCTION("""COMPUTED_VALUE"""),7.058757535E9)</f>
        <v>7058757535</v>
      </c>
      <c r="H4814" s="3"/>
    </row>
    <row r="4815">
      <c r="A4815" s="2">
        <f>IFERROR(__xludf.DUMMYFUNCTION("""COMPUTED_VALUE"""),63780.0)</f>
        <v>63780</v>
      </c>
      <c r="B4815" s="3" t="str">
        <f>IFERROR(__xludf.DUMMYFUNCTION("""COMPUTED_VALUE"""),"150 HEATH DR")</f>
        <v>150 HEATH DR</v>
      </c>
      <c r="C4815" s="3" t="str">
        <f>IFERROR(__xludf.DUMMYFUNCTION("""COMPUTED_VALUE"""),"WARKWORTH")</f>
        <v>WARKWORTH</v>
      </c>
      <c r="D4815" s="3" t="str">
        <f>IFERROR(__xludf.DUMMYFUNCTION("""COMPUTED_VALUE"""),"K0K 3K0")</f>
        <v>K0K 3K0</v>
      </c>
      <c r="E4815" s="3" t="str">
        <f>IFERROR(__xludf.DUMMYFUNCTION("""COMPUTED_VALUE"""),"BENJAMIN CRAIG")</f>
        <v>BENJAMIN CRAIG</v>
      </c>
      <c r="F4815" s="3" t="str">
        <f>IFERROR(__xludf.DUMMYFUNCTION("""COMPUTED_VALUE"""),"ben.craig97@gmail.com")</f>
        <v>ben.craig97@gmail.com</v>
      </c>
      <c r="G4815" s="3"/>
      <c r="H4815" s="3"/>
    </row>
    <row r="4816">
      <c r="A4816" s="2">
        <f>IFERROR(__xludf.DUMMYFUNCTION("""COMPUTED_VALUE"""),62112.0)</f>
        <v>62112</v>
      </c>
      <c r="B4816" s="3" t="str">
        <f>IFERROR(__xludf.DUMMYFUNCTION("""COMPUTED_VALUE"""),"161 HEATH DR  ")</f>
        <v>161 HEATH DR  </v>
      </c>
      <c r="C4816" s="3" t="str">
        <f>IFERROR(__xludf.DUMMYFUNCTION("""COMPUTED_VALUE"""),"WARKWORTH")</f>
        <v>WARKWORTH</v>
      </c>
      <c r="D4816" s="3" t="str">
        <f>IFERROR(__xludf.DUMMYFUNCTION("""COMPUTED_VALUE"""),"K0K 3K0")</f>
        <v>K0K 3K0</v>
      </c>
      <c r="E4816" s="3"/>
      <c r="F4816" s="3"/>
      <c r="G4816" s="3"/>
      <c r="H4816" s="3"/>
    </row>
    <row r="4817">
      <c r="A4817" s="2">
        <f>IFERROR(__xludf.DUMMYFUNCTION("""COMPUTED_VALUE"""),63225.0)</f>
        <v>63225</v>
      </c>
      <c r="B4817" s="3" t="str">
        <f>IFERROR(__xludf.DUMMYFUNCTION("""COMPUTED_VALUE"""),"141 RICHARDSON RD  ")</f>
        <v>141 RICHARDSON RD  </v>
      </c>
      <c r="C4817" s="3" t="str">
        <f>IFERROR(__xludf.DUMMYFUNCTION("""COMPUTED_VALUE"""),"HASTINGS")</f>
        <v>HASTINGS</v>
      </c>
      <c r="D4817" s="3" t="str">
        <f>IFERROR(__xludf.DUMMYFUNCTION("""COMPUTED_VALUE"""),"K0L 1Y0")</f>
        <v>K0L 1Y0</v>
      </c>
      <c r="E4817" s="3"/>
      <c r="F4817" s="3"/>
      <c r="G4817" s="3"/>
      <c r="H4817" s="3"/>
    </row>
    <row r="4818">
      <c r="A4818" s="2">
        <f>IFERROR(__xludf.DUMMYFUNCTION("""COMPUTED_VALUE"""),63226.0)</f>
        <v>63226</v>
      </c>
      <c r="B4818" s="3" t="str">
        <f>IFERROR(__xludf.DUMMYFUNCTION("""COMPUTED_VALUE"""),"181 RICHARDSON RD  ")</f>
        <v>181 RICHARDSON RD  </v>
      </c>
      <c r="C4818" s="3" t="str">
        <f>IFERROR(__xludf.DUMMYFUNCTION("""COMPUTED_VALUE"""),"HASTINGS")</f>
        <v>HASTINGS</v>
      </c>
      <c r="D4818" s="3" t="str">
        <f>IFERROR(__xludf.DUMMYFUNCTION("""COMPUTED_VALUE"""),"K0L 1Y0")</f>
        <v>K0L 1Y0</v>
      </c>
      <c r="E4818" s="3" t="str">
        <f>IFERROR(__xludf.DUMMYFUNCTION("""COMPUTED_VALUE"""),"Lillie Rienstra")</f>
        <v>Lillie Rienstra</v>
      </c>
      <c r="F4818" s="3" t="str">
        <f>IFERROR(__xludf.DUMMYFUNCTION("""COMPUTED_VALUE"""),"lrienstra@ntplimited.ca")</f>
        <v>lrienstra@ntplimited.ca</v>
      </c>
      <c r="G4818" s="3"/>
      <c r="H4818" s="3"/>
    </row>
    <row r="4819">
      <c r="A4819" s="2">
        <f>IFERROR(__xludf.DUMMYFUNCTION("""COMPUTED_VALUE"""),63227.0)</f>
        <v>63227</v>
      </c>
      <c r="B4819" s="3" t="str">
        <f>IFERROR(__xludf.DUMMYFUNCTION("""COMPUTED_VALUE"""),"196 RICHARDSON RD  ")</f>
        <v>196 RICHARDSON RD  </v>
      </c>
      <c r="C4819" s="3" t="str">
        <f>IFERROR(__xludf.DUMMYFUNCTION("""COMPUTED_VALUE"""),"HASTINGS")</f>
        <v>HASTINGS</v>
      </c>
      <c r="D4819" s="3" t="str">
        <f>IFERROR(__xludf.DUMMYFUNCTION("""COMPUTED_VALUE"""),"K0L 1Y0")</f>
        <v>K0L 1Y0</v>
      </c>
      <c r="E4819" s="3"/>
      <c r="F4819" s="3"/>
      <c r="G4819" s="3"/>
      <c r="H4819" s="3"/>
    </row>
    <row r="4820">
      <c r="A4820" s="2">
        <f>IFERROR(__xludf.DUMMYFUNCTION("""COMPUTED_VALUE"""),63228.0)</f>
        <v>63228</v>
      </c>
      <c r="B4820" s="3" t="str">
        <f>IFERROR(__xludf.DUMMYFUNCTION("""COMPUTED_VALUE"""),"201 RICHARDSON RD  ")</f>
        <v>201 RICHARDSON RD  </v>
      </c>
      <c r="C4820" s="3" t="str">
        <f>IFERROR(__xludf.DUMMYFUNCTION("""COMPUTED_VALUE"""),"HASTINGS")</f>
        <v>HASTINGS</v>
      </c>
      <c r="D4820" s="3" t="str">
        <f>IFERROR(__xludf.DUMMYFUNCTION("""COMPUTED_VALUE"""),"K0L 1Y0")</f>
        <v>K0L 1Y0</v>
      </c>
      <c r="E4820" s="3"/>
      <c r="F4820" s="3"/>
      <c r="G4820" s="3"/>
      <c r="H4820" s="3"/>
    </row>
    <row r="4821">
      <c r="A4821" s="2">
        <f>IFERROR(__xludf.DUMMYFUNCTION("""COMPUTED_VALUE"""),63229.0)</f>
        <v>63229</v>
      </c>
      <c r="B4821" s="3" t="str">
        <f>IFERROR(__xludf.DUMMYFUNCTION("""COMPUTED_VALUE"""),"202 RICHARDSON RD  ")</f>
        <v>202 RICHARDSON RD  </v>
      </c>
      <c r="C4821" s="3" t="str">
        <f>IFERROR(__xludf.DUMMYFUNCTION("""COMPUTED_VALUE"""),"HASTINGS")</f>
        <v>HASTINGS</v>
      </c>
      <c r="D4821" s="3" t="str">
        <f>IFERROR(__xludf.DUMMYFUNCTION("""COMPUTED_VALUE"""),"K0L 1Y0")</f>
        <v>K0L 1Y0</v>
      </c>
      <c r="E4821" s="3" t="str">
        <f>IFERROR(__xludf.DUMMYFUNCTION("""COMPUTED_VALUE"""),"steve ewart")</f>
        <v>steve ewart</v>
      </c>
      <c r="F4821" s="3" t="str">
        <f>IFERROR(__xludf.DUMMYFUNCTION("""COMPUTED_VALUE"""),"steve@customfire.ca")</f>
        <v>steve@customfire.ca</v>
      </c>
      <c r="G4821" s="3">
        <f>IFERROR(__xludf.DUMMYFUNCTION("""COMPUTED_VALUE"""),4.167051282E9)</f>
        <v>4167051282</v>
      </c>
      <c r="H4821" s="3">
        <f>IFERROR(__xludf.DUMMYFUNCTION("""COMPUTED_VALUE"""),7.057616566E9)</f>
        <v>7057616566</v>
      </c>
    </row>
    <row r="4822">
      <c r="A4822" s="2">
        <f>IFERROR(__xludf.DUMMYFUNCTION("""COMPUTED_VALUE"""),63230.0)</f>
        <v>63230</v>
      </c>
      <c r="B4822" s="3" t="str">
        <f>IFERROR(__xludf.DUMMYFUNCTION("""COMPUTED_VALUE"""),"220 RICHARDSON RD  ")</f>
        <v>220 RICHARDSON RD  </v>
      </c>
      <c r="C4822" s="3" t="str">
        <f>IFERROR(__xludf.DUMMYFUNCTION("""COMPUTED_VALUE"""),"HASTINGS")</f>
        <v>HASTINGS</v>
      </c>
      <c r="D4822" s="3" t="str">
        <f>IFERROR(__xludf.DUMMYFUNCTION("""COMPUTED_VALUE"""),"K0L 1Y0")</f>
        <v>K0L 1Y0</v>
      </c>
      <c r="E4822" s="3" t="str">
        <f>IFERROR(__xludf.DUMMYFUNCTION("""COMPUTED_VALUE"""),"Dorothy Caldwell")</f>
        <v>Dorothy Caldwell</v>
      </c>
      <c r="F4822" s="3" t="str">
        <f>IFERROR(__xludf.DUMMYFUNCTION("""COMPUTED_VALUE"""),"dorothycaldwell7@gmail.com")</f>
        <v>dorothycaldwell7@gmail.com</v>
      </c>
      <c r="G4822" s="3"/>
      <c r="H4822" s="3"/>
    </row>
    <row r="4823">
      <c r="A4823" s="2">
        <f>IFERROR(__xludf.DUMMYFUNCTION("""COMPUTED_VALUE"""),63231.0)</f>
        <v>63231</v>
      </c>
      <c r="B4823" s="3" t="str">
        <f>IFERROR(__xludf.DUMMYFUNCTION("""COMPUTED_VALUE"""),"223 RICHARDSON RD  ")</f>
        <v>223 RICHARDSON RD  </v>
      </c>
      <c r="C4823" s="3" t="str">
        <f>IFERROR(__xludf.DUMMYFUNCTION("""COMPUTED_VALUE"""),"HASTINGS")</f>
        <v>HASTINGS</v>
      </c>
      <c r="D4823" s="3" t="str">
        <f>IFERROR(__xludf.DUMMYFUNCTION("""COMPUTED_VALUE"""),"K0L 1Y0")</f>
        <v>K0L 1Y0</v>
      </c>
      <c r="E4823" s="3" t="str">
        <f>IFERROR(__xludf.DUMMYFUNCTION("""COMPUTED_VALUE"""),"peter brophy")</f>
        <v>peter brophy</v>
      </c>
      <c r="F4823" s="3" t="str">
        <f>IFERROR(__xludf.DUMMYFUNCTION("""COMPUTED_VALUE"""),"pvb35@rogers.com")</f>
        <v>pvb35@rogers.com</v>
      </c>
      <c r="G4823" s="3">
        <f>IFERROR(__xludf.DUMMYFUNCTION("""COMPUTED_VALUE"""),4.169940157E9)</f>
        <v>4169940157</v>
      </c>
      <c r="H4823" s="3"/>
    </row>
    <row r="4824">
      <c r="A4824" s="2">
        <f>IFERROR(__xludf.DUMMYFUNCTION("""COMPUTED_VALUE"""),63232.0)</f>
        <v>63232</v>
      </c>
      <c r="B4824" s="3" t="str">
        <f>IFERROR(__xludf.DUMMYFUNCTION("""COMPUTED_VALUE"""),"226 RICHARDSON RD  ")</f>
        <v>226 RICHARDSON RD  </v>
      </c>
      <c r="C4824" s="3" t="str">
        <f>IFERROR(__xludf.DUMMYFUNCTION("""COMPUTED_VALUE"""),"HASTINGS")</f>
        <v>HASTINGS</v>
      </c>
      <c r="D4824" s="3" t="str">
        <f>IFERROR(__xludf.DUMMYFUNCTION("""COMPUTED_VALUE"""),"K0L 1Y0")</f>
        <v>K0L 1Y0</v>
      </c>
      <c r="E4824" s="3" t="str">
        <f>IFERROR(__xludf.DUMMYFUNCTION("""COMPUTED_VALUE"""),"mike de blois")</f>
        <v>mike de blois</v>
      </c>
      <c r="F4824" s="3" t="str">
        <f>IFERROR(__xludf.DUMMYFUNCTION("""COMPUTED_VALUE"""),"michael.deblois1@gmail.com")</f>
        <v>michael.deblois1@gmail.com</v>
      </c>
      <c r="G4824" s="3">
        <f>IFERROR(__xludf.DUMMYFUNCTION("""COMPUTED_VALUE"""),6.472161682E9)</f>
        <v>6472161682</v>
      </c>
      <c r="H4824" s="3"/>
    </row>
    <row r="4825">
      <c r="A4825" s="2">
        <f>IFERROR(__xludf.DUMMYFUNCTION("""COMPUTED_VALUE"""),63233.0)</f>
        <v>63233</v>
      </c>
      <c r="B4825" s="3" t="str">
        <f>IFERROR(__xludf.DUMMYFUNCTION("""COMPUTED_VALUE"""),"245 RICHARDSON RD  ")</f>
        <v>245 RICHARDSON RD  </v>
      </c>
      <c r="C4825" s="3" t="str">
        <f>IFERROR(__xludf.DUMMYFUNCTION("""COMPUTED_VALUE"""),"HASTINGS")</f>
        <v>HASTINGS</v>
      </c>
      <c r="D4825" s="3" t="str">
        <f>IFERROR(__xludf.DUMMYFUNCTION("""COMPUTED_VALUE"""),"K0L 1Y0")</f>
        <v>K0L 1Y0</v>
      </c>
      <c r="E4825" s="3" t="str">
        <f>IFERROR(__xludf.DUMMYFUNCTION("""COMPUTED_VALUE"""),"Jeff Trotter")</f>
        <v>Jeff Trotter</v>
      </c>
      <c r="F4825" s="3" t="str">
        <f>IFERROR(__xludf.DUMMYFUNCTION("""COMPUTED_VALUE"""),"tinatrotter@gmail.com")</f>
        <v>tinatrotter@gmail.com</v>
      </c>
      <c r="G4825" s="3">
        <f>IFERROR(__xludf.DUMMYFUNCTION("""COMPUTED_VALUE"""),9.054428301E9)</f>
        <v>9054428301</v>
      </c>
      <c r="H4825" s="3"/>
    </row>
    <row r="4826">
      <c r="A4826" s="2">
        <f>IFERROR(__xludf.DUMMYFUNCTION("""COMPUTED_VALUE"""),63234.0)</f>
        <v>63234</v>
      </c>
      <c r="B4826" s="3" t="str">
        <f>IFERROR(__xludf.DUMMYFUNCTION("""COMPUTED_VALUE"""),"250 RICHARDSON RD  ")</f>
        <v>250 RICHARDSON RD  </v>
      </c>
      <c r="C4826" s="3" t="str">
        <f>IFERROR(__xludf.DUMMYFUNCTION("""COMPUTED_VALUE"""),"HASTINGS")</f>
        <v>HASTINGS</v>
      </c>
      <c r="D4826" s="3" t="str">
        <f>IFERROR(__xludf.DUMMYFUNCTION("""COMPUTED_VALUE"""),"K0L 1Y0")</f>
        <v>K0L 1Y0</v>
      </c>
      <c r="E4826" s="3"/>
      <c r="F4826" s="3"/>
      <c r="G4826" s="3"/>
      <c r="H4826" s="3"/>
    </row>
    <row r="4827">
      <c r="A4827" s="2">
        <f>IFERROR(__xludf.DUMMYFUNCTION("""COMPUTED_VALUE"""),63235.0)</f>
        <v>63235</v>
      </c>
      <c r="B4827" s="3" t="str">
        <f>IFERROR(__xludf.DUMMYFUNCTION("""COMPUTED_VALUE"""),"267 RICHARDSON RD  ")</f>
        <v>267 RICHARDSON RD  </v>
      </c>
      <c r="C4827" s="3" t="str">
        <f>IFERROR(__xludf.DUMMYFUNCTION("""COMPUTED_VALUE"""),"HASTINGS")</f>
        <v>HASTINGS</v>
      </c>
      <c r="D4827" s="3" t="str">
        <f>IFERROR(__xludf.DUMMYFUNCTION("""COMPUTED_VALUE"""),"K0L 1Y0")</f>
        <v>K0L 1Y0</v>
      </c>
      <c r="E4827" s="3" t="str">
        <f>IFERROR(__xludf.DUMMYFUNCTION("""COMPUTED_VALUE"""),"Mair MacDonald")</f>
        <v>Mair MacDonald</v>
      </c>
      <c r="F4827" s="3" t="str">
        <f>IFERROR(__xludf.DUMMYFUNCTION("""COMPUTED_VALUE"""),"tomacd@bell.net")</f>
        <v>tomacd@bell.net</v>
      </c>
      <c r="G4827" s="3"/>
      <c r="H4827" s="3"/>
    </row>
    <row r="4828">
      <c r="A4828" s="2">
        <f>IFERROR(__xludf.DUMMYFUNCTION("""COMPUTED_VALUE"""),63236.0)</f>
        <v>63236</v>
      </c>
      <c r="B4828" s="3" t="str">
        <f>IFERROR(__xludf.DUMMYFUNCTION("""COMPUTED_VALUE"""),"269 RICHARDSON RD  ")</f>
        <v>269 RICHARDSON RD  </v>
      </c>
      <c r="C4828" s="3" t="str">
        <f>IFERROR(__xludf.DUMMYFUNCTION("""COMPUTED_VALUE"""),"HASTINGS")</f>
        <v>HASTINGS</v>
      </c>
      <c r="D4828" s="3" t="str">
        <f>IFERROR(__xludf.DUMMYFUNCTION("""COMPUTED_VALUE"""),"K0L 1Y0")</f>
        <v>K0L 1Y0</v>
      </c>
      <c r="E4828" s="3" t="str">
        <f>IFERROR(__xludf.DUMMYFUNCTION("""COMPUTED_VALUE"""),"Thom Hancock")</f>
        <v>Thom Hancock</v>
      </c>
      <c r="F4828" s="3" t="str">
        <f>IFERROR(__xludf.DUMMYFUNCTION("""COMPUTED_VALUE"""),"thomhamcock@live.com")</f>
        <v>thomhamcock@live.com</v>
      </c>
      <c r="G4828" s="3"/>
      <c r="H4828" s="3"/>
    </row>
    <row r="4829">
      <c r="A4829" s="2">
        <f>IFERROR(__xludf.DUMMYFUNCTION("""COMPUTED_VALUE"""),63237.0)</f>
        <v>63237</v>
      </c>
      <c r="B4829" s="3" t="str">
        <f>IFERROR(__xludf.DUMMYFUNCTION("""COMPUTED_VALUE"""),"301 RICHARDSON RD  ")</f>
        <v>301 RICHARDSON RD  </v>
      </c>
      <c r="C4829" s="3" t="str">
        <f>IFERROR(__xludf.DUMMYFUNCTION("""COMPUTED_VALUE"""),"HASTINGS")</f>
        <v>HASTINGS</v>
      </c>
      <c r="D4829" s="3" t="str">
        <f>IFERROR(__xludf.DUMMYFUNCTION("""COMPUTED_VALUE"""),"K0L 1Y0")</f>
        <v>K0L 1Y0</v>
      </c>
      <c r="E4829" s="3"/>
      <c r="F4829" s="3"/>
      <c r="G4829" s="3"/>
      <c r="H4829" s="3"/>
    </row>
    <row r="4830">
      <c r="A4830" s="2">
        <f>IFERROR(__xludf.DUMMYFUNCTION("""COMPUTED_VALUE"""),63238.0)</f>
        <v>63238</v>
      </c>
      <c r="B4830" s="3" t="str">
        <f>IFERROR(__xludf.DUMMYFUNCTION("""COMPUTED_VALUE"""),"335 RICHARDSON RD  ")</f>
        <v>335 RICHARDSON RD  </v>
      </c>
      <c r="C4830" s="3" t="str">
        <f>IFERROR(__xludf.DUMMYFUNCTION("""COMPUTED_VALUE"""),"HASTINGS")</f>
        <v>HASTINGS</v>
      </c>
      <c r="D4830" s="3" t="str">
        <f>IFERROR(__xludf.DUMMYFUNCTION("""COMPUTED_VALUE"""),"K0L 1Y0")</f>
        <v>K0L 1Y0</v>
      </c>
      <c r="E4830" s="3" t="str">
        <f>IFERROR(__xludf.DUMMYFUNCTION("""COMPUTED_VALUE"""),"vivian musselwhite")</f>
        <v>vivian musselwhite</v>
      </c>
      <c r="F4830" s="3" t="str">
        <f>IFERROR(__xludf.DUMMYFUNCTION("""COMPUTED_VALUE"""),"vivian.m@sympatico")</f>
        <v>vivian.m@sympatico</v>
      </c>
      <c r="G4830" s="3">
        <f>IFERROR(__xludf.DUMMYFUNCTION("""COMPUTED_VALUE"""),7.056961168E9)</f>
        <v>7056961168</v>
      </c>
      <c r="H4830" s="3"/>
    </row>
    <row r="4831">
      <c r="A4831" s="2">
        <f>IFERROR(__xludf.DUMMYFUNCTION("""COMPUTED_VALUE"""),63239.0)</f>
        <v>63239</v>
      </c>
      <c r="B4831" s="3" t="str">
        <f>IFERROR(__xludf.DUMMYFUNCTION("""COMPUTED_VALUE"""),"348 RICHARDSON RD  ")</f>
        <v>348 RICHARDSON RD  </v>
      </c>
      <c r="C4831" s="3" t="str">
        <f>IFERROR(__xludf.DUMMYFUNCTION("""COMPUTED_VALUE"""),"HASTINGS")</f>
        <v>HASTINGS</v>
      </c>
      <c r="D4831" s="3" t="str">
        <f>IFERROR(__xludf.DUMMYFUNCTION("""COMPUTED_VALUE"""),"K0L 1Y0")</f>
        <v>K0L 1Y0</v>
      </c>
      <c r="E4831" s="3" t="str">
        <f>IFERROR(__xludf.DUMMYFUNCTION("""COMPUTED_VALUE"""),"Peter Nobes")</f>
        <v>Peter Nobes</v>
      </c>
      <c r="F4831" s="3" t="str">
        <f>IFERROR(__xludf.DUMMYFUNCTION("""COMPUTED_VALUE"""),"bonniestanley315@yahoo.ca")</f>
        <v>bonniestanley315@yahoo.ca</v>
      </c>
      <c r="G4831" s="3"/>
      <c r="H4831" s="3"/>
    </row>
    <row r="4832">
      <c r="A4832" s="2">
        <f>IFERROR(__xludf.DUMMYFUNCTION("""COMPUTED_VALUE"""),63240.0)</f>
        <v>63240</v>
      </c>
      <c r="B4832" s="3" t="str">
        <f>IFERROR(__xludf.DUMMYFUNCTION("""COMPUTED_VALUE"""),"355 RICHARDSON RD  ")</f>
        <v>355 RICHARDSON RD  </v>
      </c>
      <c r="C4832" s="3" t="str">
        <f>IFERROR(__xludf.DUMMYFUNCTION("""COMPUTED_VALUE"""),"HASTINGS")</f>
        <v>HASTINGS</v>
      </c>
      <c r="D4832" s="3" t="str">
        <f>IFERROR(__xludf.DUMMYFUNCTION("""COMPUTED_VALUE"""),"K0L 1Y0")</f>
        <v>K0L 1Y0</v>
      </c>
      <c r="E4832" s="3" t="str">
        <f>IFERROR(__xludf.DUMMYFUNCTION("""COMPUTED_VALUE"""),"william macpherson")</f>
        <v>william macpherson</v>
      </c>
      <c r="F4832" s="3" t="str">
        <f>IFERROR(__xludf.DUMMYFUNCTION("""COMPUTED_VALUE"""),"wmacpherson33@gmail.com")</f>
        <v>wmacpherson33@gmail.com</v>
      </c>
      <c r="G4832" s="3">
        <f>IFERROR(__xludf.DUMMYFUNCTION("""COMPUTED_VALUE"""),9.056555133E9)</f>
        <v>9056555133</v>
      </c>
      <c r="H4832" s="3">
        <f>IFERROR(__xludf.DUMMYFUNCTION("""COMPUTED_VALUE"""),9.059032455E9)</f>
        <v>9059032455</v>
      </c>
    </row>
    <row r="4833">
      <c r="A4833" s="2">
        <f>IFERROR(__xludf.DUMMYFUNCTION("""COMPUTED_VALUE"""),63241.0)</f>
        <v>63241</v>
      </c>
      <c r="B4833" s="3" t="str">
        <f>IFERROR(__xludf.DUMMYFUNCTION("""COMPUTED_VALUE"""),"364 RICHARDSON RD  ")</f>
        <v>364 RICHARDSON RD  </v>
      </c>
      <c r="C4833" s="3" t="str">
        <f>IFERROR(__xludf.DUMMYFUNCTION("""COMPUTED_VALUE"""),"HASTINGS")</f>
        <v>HASTINGS</v>
      </c>
      <c r="D4833" s="3" t="str">
        <f>IFERROR(__xludf.DUMMYFUNCTION("""COMPUTED_VALUE"""),"K0L 1Y0")</f>
        <v>K0L 1Y0</v>
      </c>
      <c r="E4833" s="3" t="str">
        <f>IFERROR(__xludf.DUMMYFUNCTION("""COMPUTED_VALUE"""),"Karen Bellamy ")</f>
        <v>Karen Bellamy </v>
      </c>
      <c r="F4833" s="3" t="str">
        <f>IFERROR(__xludf.DUMMYFUNCTION("""COMPUTED_VALUE"""),"karen.bellamy@sympatico.ca")</f>
        <v>karen.bellamy@sympatico.ca</v>
      </c>
      <c r="G4833" s="3"/>
      <c r="H4833" s="3"/>
    </row>
    <row r="4834">
      <c r="A4834" s="2">
        <f>IFERROR(__xludf.DUMMYFUNCTION("""COMPUTED_VALUE"""),63242.0)</f>
        <v>63242</v>
      </c>
      <c r="B4834" s="3" t="str">
        <f>IFERROR(__xludf.DUMMYFUNCTION("""COMPUTED_VALUE"""),"371 RICHARDSON RD  ")</f>
        <v>371 RICHARDSON RD  </v>
      </c>
      <c r="C4834" s="3" t="str">
        <f>IFERROR(__xludf.DUMMYFUNCTION("""COMPUTED_VALUE"""),"HASTINGS")</f>
        <v>HASTINGS</v>
      </c>
      <c r="D4834" s="3" t="str">
        <f>IFERROR(__xludf.DUMMYFUNCTION("""COMPUTED_VALUE"""),"K0L 1Y0")</f>
        <v>K0L 1Y0</v>
      </c>
      <c r="E4834" s="3" t="str">
        <f>IFERROR(__xludf.DUMMYFUNCTION("""COMPUTED_VALUE"""),"tim potter")</f>
        <v>tim potter</v>
      </c>
      <c r="F4834" s="3" t="str">
        <f>IFERROR(__xludf.DUMMYFUNCTION("""COMPUTED_VALUE"""),"timmerpotter@gmail.com")</f>
        <v>timmerpotter@gmail.com</v>
      </c>
      <c r="G4834" s="3">
        <f>IFERROR(__xludf.DUMMYFUNCTION("""COMPUTED_VALUE"""),6.478288844E9)</f>
        <v>6478288844</v>
      </c>
      <c r="H4834" s="3"/>
    </row>
    <row r="4835">
      <c r="A4835" s="2">
        <f>IFERROR(__xludf.DUMMYFUNCTION("""COMPUTED_VALUE"""),63243.0)</f>
        <v>63243</v>
      </c>
      <c r="B4835" s="3" t="str">
        <f>IFERROR(__xludf.DUMMYFUNCTION("""COMPUTED_VALUE"""),"380 RICHARDSON RD  ")</f>
        <v>380 RICHARDSON RD  </v>
      </c>
      <c r="C4835" s="3" t="str">
        <f>IFERROR(__xludf.DUMMYFUNCTION("""COMPUTED_VALUE"""),"HASTINGS")</f>
        <v>HASTINGS</v>
      </c>
      <c r="D4835" s="3" t="str">
        <f>IFERROR(__xludf.DUMMYFUNCTION("""COMPUTED_VALUE"""),"K0L 1Y0")</f>
        <v>K0L 1Y0</v>
      </c>
      <c r="E4835" s="3" t="str">
        <f>IFERROR(__xludf.DUMMYFUNCTION("""COMPUTED_VALUE"""),"Don McColl")</f>
        <v>Don McColl</v>
      </c>
      <c r="F4835" s="3" t="str">
        <f>IFERROR(__xludf.DUMMYFUNCTION("""COMPUTED_VALUE"""),"djkstard@hotmail.com")</f>
        <v>djkstard@hotmail.com</v>
      </c>
      <c r="G4835" s="3"/>
      <c r="H4835" s="3"/>
    </row>
    <row r="4836">
      <c r="A4836" s="2">
        <f>IFERROR(__xludf.DUMMYFUNCTION("""COMPUTED_VALUE"""),63244.0)</f>
        <v>63244</v>
      </c>
      <c r="B4836" s="3" t="str">
        <f>IFERROR(__xludf.DUMMYFUNCTION("""COMPUTED_VALUE"""),"381 RICHARDSON RD  ")</f>
        <v>381 RICHARDSON RD  </v>
      </c>
      <c r="C4836" s="3" t="str">
        <f>IFERROR(__xludf.DUMMYFUNCTION("""COMPUTED_VALUE"""),"HASTINGS")</f>
        <v>HASTINGS</v>
      </c>
      <c r="D4836" s="3" t="str">
        <f>IFERROR(__xludf.DUMMYFUNCTION("""COMPUTED_VALUE"""),"K0L 1Y0")</f>
        <v>K0L 1Y0</v>
      </c>
      <c r="E4836" s="3" t="str">
        <f>IFERROR(__xludf.DUMMYFUNCTION("""COMPUTED_VALUE"""),"frankwerf")</f>
        <v>frankwerf</v>
      </c>
      <c r="F4836" s="3" t="str">
        <f>IFERROR(__xludf.DUMMYFUNCTION("""COMPUTED_VALUE"""),"werf23frank@gmail.com")</f>
        <v>werf23frank@gmail.com</v>
      </c>
      <c r="G4836" s="3">
        <f>IFERROR(__xludf.DUMMYFUNCTION("""COMPUTED_VALUE"""),7.05345223E9)</f>
        <v>7053452230</v>
      </c>
      <c r="H4836" s="3"/>
    </row>
    <row r="4837">
      <c r="A4837" s="2">
        <f>IFERROR(__xludf.DUMMYFUNCTION("""COMPUTED_VALUE"""),63245.0)</f>
        <v>63245</v>
      </c>
      <c r="B4837" s="3" t="str">
        <f>IFERROR(__xludf.DUMMYFUNCTION("""COMPUTED_VALUE"""),"400 RICHARDSON RD  ")</f>
        <v>400 RICHARDSON RD  </v>
      </c>
      <c r="C4837" s="3" t="str">
        <f>IFERROR(__xludf.DUMMYFUNCTION("""COMPUTED_VALUE"""),"HASTINGS")</f>
        <v>HASTINGS</v>
      </c>
      <c r="D4837" s="3" t="str">
        <f>IFERROR(__xludf.DUMMYFUNCTION("""COMPUTED_VALUE"""),"K0L 1Y0")</f>
        <v>K0L 1Y0</v>
      </c>
      <c r="E4837" s="3" t="str">
        <f>IFERROR(__xludf.DUMMYFUNCTION("""COMPUTED_VALUE"""),"ganesh persaud")</f>
        <v>ganesh persaud</v>
      </c>
      <c r="F4837" s="3" t="str">
        <f>IFERROR(__xludf.DUMMYFUNCTION("""COMPUTED_VALUE"""),"ganeshpersaud@gmail.com")</f>
        <v>ganeshpersaud@gmail.com</v>
      </c>
      <c r="G4837" s="3">
        <f>IFERROR(__xludf.DUMMYFUNCTION("""COMPUTED_VALUE"""),4.168896643E9)</f>
        <v>4168896643</v>
      </c>
      <c r="H4837" s="3"/>
    </row>
    <row r="4838">
      <c r="A4838" s="2">
        <f>IFERROR(__xludf.DUMMYFUNCTION("""COMPUTED_VALUE"""),63246.0)</f>
        <v>63246</v>
      </c>
      <c r="B4838" s="3" t="str">
        <f>IFERROR(__xludf.DUMMYFUNCTION("""COMPUTED_VALUE"""),"401 RICHARDSON RD  ")</f>
        <v>401 RICHARDSON RD  </v>
      </c>
      <c r="C4838" s="3" t="str">
        <f>IFERROR(__xludf.DUMMYFUNCTION("""COMPUTED_VALUE"""),"HASTINGS")</f>
        <v>HASTINGS</v>
      </c>
      <c r="D4838" s="3" t="str">
        <f>IFERROR(__xludf.DUMMYFUNCTION("""COMPUTED_VALUE"""),"K0L 1Y0")</f>
        <v>K0L 1Y0</v>
      </c>
      <c r="E4838" s="3" t="str">
        <f>IFERROR(__xludf.DUMMYFUNCTION("""COMPUTED_VALUE"""),"don funston")</f>
        <v>don funston</v>
      </c>
      <c r="F4838" s="3" t="str">
        <f>IFERROR(__xludf.DUMMYFUNCTION("""COMPUTED_VALUE"""),"eveningshade401@hotmail.com")</f>
        <v>eveningshade401@hotmail.com</v>
      </c>
      <c r="G4838" s="3">
        <f>IFERROR(__xludf.DUMMYFUNCTION("""COMPUTED_VALUE"""),7.056961774E9)</f>
        <v>7056961774</v>
      </c>
      <c r="H4838" s="3"/>
    </row>
    <row r="4839">
      <c r="A4839" s="2">
        <f>IFERROR(__xludf.DUMMYFUNCTION("""COMPUTED_VALUE"""),63247.0)</f>
        <v>63247</v>
      </c>
      <c r="B4839" s="3" t="str">
        <f>IFERROR(__xludf.DUMMYFUNCTION("""COMPUTED_VALUE"""),"417 RICHARDSON RD  ")</f>
        <v>417 RICHARDSON RD  </v>
      </c>
      <c r="C4839" s="3" t="str">
        <f>IFERROR(__xludf.DUMMYFUNCTION("""COMPUTED_VALUE"""),"HASTINGS")</f>
        <v>HASTINGS</v>
      </c>
      <c r="D4839" s="3" t="str">
        <f>IFERROR(__xludf.DUMMYFUNCTION("""COMPUTED_VALUE"""),"K0L 1Y0")</f>
        <v>K0L 1Y0</v>
      </c>
      <c r="E4839" s="3" t="str">
        <f>IFERROR(__xludf.DUMMYFUNCTION("""COMPUTED_VALUE"""),"Don Funston")</f>
        <v>Don Funston</v>
      </c>
      <c r="F4839" s="3" t="str">
        <f>IFERROR(__xludf.DUMMYFUNCTION("""COMPUTED_VALUE"""),"donfunston401@gmail.com")</f>
        <v>donfunston401@gmail.com</v>
      </c>
      <c r="G4839" s="3"/>
      <c r="H4839" s="3"/>
    </row>
    <row r="4840">
      <c r="A4840" s="2">
        <f>IFERROR(__xludf.DUMMYFUNCTION("""COMPUTED_VALUE"""),61097.0)</f>
        <v>61097</v>
      </c>
      <c r="B4840" s="3" t="str">
        <f>IFERROR(__xludf.DUMMYFUNCTION("""COMPUTED_VALUE"""),"32 CONCESSION RD 8 RD W ")</f>
        <v>32 CONCESSION RD 8 RD W </v>
      </c>
      <c r="C4840" s="3" t="str">
        <f>IFERROR(__xludf.DUMMYFUNCTION("""COMPUTED_VALUE"""),"WARKWORTH")</f>
        <v>WARKWORTH</v>
      </c>
      <c r="D4840" s="3" t="str">
        <f>IFERROR(__xludf.DUMMYFUNCTION("""COMPUTED_VALUE"""),"K0K 3K0")</f>
        <v>K0K 3K0</v>
      </c>
      <c r="E4840" s="3" t="str">
        <f>IFERROR(__xludf.DUMMYFUNCTION("""COMPUTED_VALUE"""),"shelly shpak")</f>
        <v>shelly shpak</v>
      </c>
      <c r="F4840" s="3" t="str">
        <f>IFERROR(__xludf.DUMMYFUNCTION("""COMPUTED_VALUE"""),"shellyandgary6644@hotmail.com")</f>
        <v>shellyandgary6644@hotmail.com</v>
      </c>
      <c r="G4840" s="3">
        <f>IFERROR(__xludf.DUMMYFUNCTION("""COMPUTED_VALUE"""),7.056538724E9)</f>
        <v>7056538724</v>
      </c>
      <c r="H4840" s="3"/>
    </row>
    <row r="4841">
      <c r="A4841" s="2">
        <f>IFERROR(__xludf.DUMMYFUNCTION("""COMPUTED_VALUE"""),61099.0)</f>
        <v>61099</v>
      </c>
      <c r="B4841" s="3" t="str">
        <f>IFERROR(__xludf.DUMMYFUNCTION("""COMPUTED_VALUE"""),"48 CONCESSION RD 8 RD W ")</f>
        <v>48 CONCESSION RD 8 RD W </v>
      </c>
      <c r="C4841" s="3" t="str">
        <f>IFERROR(__xludf.DUMMYFUNCTION("""COMPUTED_VALUE"""),"WARKWORTH")</f>
        <v>WARKWORTH</v>
      </c>
      <c r="D4841" s="3" t="str">
        <f>IFERROR(__xludf.DUMMYFUNCTION("""COMPUTED_VALUE"""),"K0K 3K0")</f>
        <v>K0K 3K0</v>
      </c>
      <c r="E4841" s="3" t="str">
        <f>IFERROR(__xludf.DUMMYFUNCTION("""COMPUTED_VALUE"""),"Ryan Yarrow")</f>
        <v>Ryan Yarrow</v>
      </c>
      <c r="F4841" s="3" t="str">
        <f>IFERROR(__xludf.DUMMYFUNCTION("""COMPUTED_VALUE"""),"rayarrow@hotmail.com")</f>
        <v>rayarrow@hotmail.com</v>
      </c>
      <c r="G4841" s="3">
        <f>IFERROR(__xludf.DUMMYFUNCTION("""COMPUTED_VALUE"""),7.05653807E9)</f>
        <v>7056538070</v>
      </c>
      <c r="H4841" s="3"/>
    </row>
    <row r="4842">
      <c r="A4842" s="2">
        <f>IFERROR(__xludf.DUMMYFUNCTION("""COMPUTED_VALUE"""),61102.0)</f>
        <v>61102</v>
      </c>
      <c r="B4842" s="3" t="str">
        <f>IFERROR(__xludf.DUMMYFUNCTION("""COMPUTED_VALUE"""),"58 CONCESSION RD 8 RD W ")</f>
        <v>58 CONCESSION RD 8 RD W </v>
      </c>
      <c r="C4842" s="3" t="str">
        <f>IFERROR(__xludf.DUMMYFUNCTION("""COMPUTED_VALUE"""),"WARKWORTH")</f>
        <v>WARKWORTH</v>
      </c>
      <c r="D4842" s="3" t="str">
        <f>IFERROR(__xludf.DUMMYFUNCTION("""COMPUTED_VALUE"""),"K0K 3K0")</f>
        <v>K0K 3K0</v>
      </c>
      <c r="E4842" s="3" t="str">
        <f>IFERROR(__xludf.DUMMYFUNCTION("""COMPUTED_VALUE"""),"Ellen Brunson ")</f>
        <v>Ellen Brunson </v>
      </c>
      <c r="F4842" s="3" t="str">
        <f>IFERROR(__xludf.DUMMYFUNCTION("""COMPUTED_VALUE"""),"eabronson@hotmail.com")</f>
        <v>eabronson@hotmail.com</v>
      </c>
      <c r="G4842" s="3"/>
      <c r="H4842" s="3"/>
    </row>
    <row r="4843">
      <c r="A4843" s="2">
        <f>IFERROR(__xludf.DUMMYFUNCTION("""COMPUTED_VALUE"""),61103.0)</f>
        <v>61103</v>
      </c>
      <c r="B4843" s="3" t="str">
        <f>IFERROR(__xludf.DUMMYFUNCTION("""COMPUTED_VALUE"""),"61 CONCESSION RD 8 RD W ")</f>
        <v>61 CONCESSION RD 8 RD W </v>
      </c>
      <c r="C4843" s="3" t="str">
        <f>IFERROR(__xludf.DUMMYFUNCTION("""COMPUTED_VALUE"""),"WARKWORTH")</f>
        <v>WARKWORTH</v>
      </c>
      <c r="D4843" s="3" t="str">
        <f>IFERROR(__xludf.DUMMYFUNCTION("""COMPUTED_VALUE"""),"K0K 3K0")</f>
        <v>K0K 3K0</v>
      </c>
      <c r="E4843" s="3" t="str">
        <f>IFERROR(__xludf.DUMMYFUNCTION("""COMPUTED_VALUE"""),"John A Seeney")</f>
        <v>John A Seeney</v>
      </c>
      <c r="F4843" s="3" t="str">
        <f>IFERROR(__xludf.DUMMYFUNCTION("""COMPUTED_VALUE"""),"elaine_seeney@hotmail.com")</f>
        <v>elaine_seeney@hotmail.com</v>
      </c>
      <c r="G4843" s="3">
        <f>IFERROR(__xludf.DUMMYFUNCTION("""COMPUTED_VALUE"""),7.057619013E9)</f>
        <v>7057619013</v>
      </c>
      <c r="H4843" s="3"/>
    </row>
    <row r="4844">
      <c r="A4844" s="2">
        <f>IFERROR(__xludf.DUMMYFUNCTION("""COMPUTED_VALUE"""),61104.0)</f>
        <v>61104</v>
      </c>
      <c r="B4844" s="3" t="str">
        <f>IFERROR(__xludf.DUMMYFUNCTION("""COMPUTED_VALUE"""),"64 CONCESSION RD 8 RD E ")</f>
        <v>64 CONCESSION RD 8 RD E </v>
      </c>
      <c r="C4844" s="3" t="str">
        <f>IFERROR(__xludf.DUMMYFUNCTION("""COMPUTED_VALUE"""),"WARKWORTH")</f>
        <v>WARKWORTH</v>
      </c>
      <c r="D4844" s="3" t="str">
        <f>IFERROR(__xludf.DUMMYFUNCTION("""COMPUTED_VALUE"""),"K0K 3K0")</f>
        <v>K0K 3K0</v>
      </c>
      <c r="E4844" s="3" t="str">
        <f>IFERROR(__xludf.DUMMYFUNCTION("""COMPUTED_VALUE"""),"Foxley Oldwood")</f>
        <v>Foxley Oldwood</v>
      </c>
      <c r="F4844" s="3" t="str">
        <f>IFERROR(__xludf.DUMMYFUNCTION("""COMPUTED_VALUE"""),"foxleyo@riseup.net")</f>
        <v>foxleyo@riseup.net</v>
      </c>
      <c r="G4844" s="3">
        <f>IFERROR(__xludf.DUMMYFUNCTION("""COMPUTED_VALUE"""),7.059579228E9)</f>
        <v>7059579228</v>
      </c>
      <c r="H4844" s="3"/>
    </row>
    <row r="4845">
      <c r="A4845" s="2">
        <f>IFERROR(__xludf.DUMMYFUNCTION("""COMPUTED_VALUE"""),61105.0)</f>
        <v>61105</v>
      </c>
      <c r="B4845" s="3" t="str">
        <f>IFERROR(__xludf.DUMMYFUNCTION("""COMPUTED_VALUE"""),"64 CONCESSION RD 8 RD W ")</f>
        <v>64 CONCESSION RD 8 RD W </v>
      </c>
      <c r="C4845" s="3" t="str">
        <f>IFERROR(__xludf.DUMMYFUNCTION("""COMPUTED_VALUE"""),"WARKWORTH")</f>
        <v>WARKWORTH</v>
      </c>
      <c r="D4845" s="3" t="str">
        <f>IFERROR(__xludf.DUMMYFUNCTION("""COMPUTED_VALUE"""),"K0K 3K0")</f>
        <v>K0K 3K0</v>
      </c>
      <c r="E4845" s="3" t="str">
        <f>IFERROR(__xludf.DUMMYFUNCTION("""COMPUTED_VALUE"""),"Cheryl Maynes")</f>
        <v>Cheryl Maynes</v>
      </c>
      <c r="F4845" s="3"/>
      <c r="G4845" s="3"/>
      <c r="H4845" s="3"/>
    </row>
    <row r="4846">
      <c r="A4846" s="2">
        <f>IFERROR(__xludf.DUMMYFUNCTION("""COMPUTED_VALUE"""),61106.0)</f>
        <v>61106</v>
      </c>
      <c r="B4846" s="3" t="str">
        <f>IFERROR(__xludf.DUMMYFUNCTION("""COMPUTED_VALUE"""),"82 CONCESSION RD 8 RD W ")</f>
        <v>82 CONCESSION RD 8 RD W </v>
      </c>
      <c r="C4846" s="3" t="str">
        <f>IFERROR(__xludf.DUMMYFUNCTION("""COMPUTED_VALUE"""),"WARKWORTH")</f>
        <v>WARKWORTH</v>
      </c>
      <c r="D4846" s="3" t="str">
        <f>IFERROR(__xludf.DUMMYFUNCTION("""COMPUTED_VALUE"""),"K0K 3K0")</f>
        <v>K0K 3K0</v>
      </c>
      <c r="E4846" s="3" t="str">
        <f>IFERROR(__xludf.DUMMYFUNCTION("""COMPUTED_VALUE"""),"P Wihiteman")</f>
        <v>P Wihiteman</v>
      </c>
      <c r="F4846" s="3"/>
      <c r="G4846" s="3"/>
      <c r="H4846" s="3"/>
    </row>
    <row r="4847">
      <c r="A4847" s="2">
        <f>IFERROR(__xludf.DUMMYFUNCTION("""COMPUTED_VALUE"""),61107.0)</f>
        <v>61107</v>
      </c>
      <c r="B4847" s="3" t="str">
        <f>IFERROR(__xludf.DUMMYFUNCTION("""COMPUTED_VALUE"""),"98 CONCESSION RD 8 RD W ")</f>
        <v>98 CONCESSION RD 8 RD W </v>
      </c>
      <c r="C4847" s="3" t="str">
        <f>IFERROR(__xludf.DUMMYFUNCTION("""COMPUTED_VALUE"""),"WARKWORTH")</f>
        <v>WARKWORTH</v>
      </c>
      <c r="D4847" s="3" t="str">
        <f>IFERROR(__xludf.DUMMYFUNCTION("""COMPUTED_VALUE"""),"K0K 3K0")</f>
        <v>K0K 3K0</v>
      </c>
      <c r="E4847" s="3" t="str">
        <f>IFERROR(__xludf.DUMMYFUNCTION("""COMPUTED_VALUE"""),"Damian McGee")</f>
        <v>Damian McGee</v>
      </c>
      <c r="F4847" s="3" t="str">
        <f>IFERROR(__xludf.DUMMYFUNCTION("""COMPUTED_VALUE"""),"damian.mcgee@hotmail.com")</f>
        <v>damian.mcgee@hotmail.com</v>
      </c>
      <c r="G4847" s="3">
        <f>IFERROR(__xludf.DUMMYFUNCTION("""COMPUTED_VALUE"""),7.058686214E9)</f>
        <v>7058686214</v>
      </c>
      <c r="H4847" s="3"/>
    </row>
    <row r="4848">
      <c r="A4848" s="2">
        <f>IFERROR(__xludf.DUMMYFUNCTION("""COMPUTED_VALUE"""),61108.0)</f>
        <v>61108</v>
      </c>
      <c r="B4848" s="3" t="str">
        <f>IFERROR(__xludf.DUMMYFUNCTION("""COMPUTED_VALUE"""),"100 CONCESSION RD 8 RD W ")</f>
        <v>100 CONCESSION RD 8 RD W </v>
      </c>
      <c r="C4848" s="3" t="str">
        <f>IFERROR(__xludf.DUMMYFUNCTION("""COMPUTED_VALUE"""),"WARKWORTH")</f>
        <v>WARKWORTH</v>
      </c>
      <c r="D4848" s="3" t="str">
        <f>IFERROR(__xludf.DUMMYFUNCTION("""COMPUTED_VALUE"""),"K0K 3K0")</f>
        <v>K0K 3K0</v>
      </c>
      <c r="E4848" s="3" t="str">
        <f>IFERROR(__xludf.DUMMYFUNCTION("""COMPUTED_VALUE"""),"Jo-Anne Sanders")</f>
        <v>Jo-Anne Sanders</v>
      </c>
      <c r="F4848" s="3" t="str">
        <f>IFERROR(__xludf.DUMMYFUNCTION("""COMPUTED_VALUE"""),"jo-anne.sanders@outlook.com")</f>
        <v>jo-anne.sanders@outlook.com</v>
      </c>
      <c r="G4848" s="3"/>
      <c r="H4848" s="3"/>
    </row>
    <row r="4849">
      <c r="A4849" s="2">
        <f>IFERROR(__xludf.DUMMYFUNCTION("""COMPUTED_VALUE"""),61111.0)</f>
        <v>61111</v>
      </c>
      <c r="B4849" s="3" t="str">
        <f>IFERROR(__xludf.DUMMYFUNCTION("""COMPUTED_VALUE"""),"111 CONCESSION RD 8 RD W ")</f>
        <v>111 CONCESSION RD 8 RD W </v>
      </c>
      <c r="C4849" s="3" t="str">
        <f>IFERROR(__xludf.DUMMYFUNCTION("""COMPUTED_VALUE"""),"WARKWORTH")</f>
        <v>WARKWORTH</v>
      </c>
      <c r="D4849" s="3" t="str">
        <f>IFERROR(__xludf.DUMMYFUNCTION("""COMPUTED_VALUE"""),"K0K 3K0")</f>
        <v>K0K 3K0</v>
      </c>
      <c r="E4849" s="3" t="str">
        <f>IFERROR(__xludf.DUMMYFUNCTION("""COMPUTED_VALUE"""),"Alana Murphy")</f>
        <v>Alana Murphy</v>
      </c>
      <c r="F4849" s="3" t="str">
        <f>IFERROR(__xludf.DUMMYFUNCTION("""COMPUTED_VALUE"""),"bbudda08@gmail.com")</f>
        <v>bbudda08@gmail.com</v>
      </c>
      <c r="G4849" s="3"/>
      <c r="H4849" s="3"/>
    </row>
    <row r="4850">
      <c r="A4850" s="2">
        <f>IFERROR(__xludf.DUMMYFUNCTION("""COMPUTED_VALUE"""),61115.0)</f>
        <v>61115</v>
      </c>
      <c r="B4850" s="3" t="str">
        <f>IFERROR(__xludf.DUMMYFUNCTION("""COMPUTED_VALUE"""),"201 CONCESSION RD 8 RD W ")</f>
        <v>201 CONCESSION RD 8 RD W </v>
      </c>
      <c r="C4850" s="3" t="str">
        <f>IFERROR(__xludf.DUMMYFUNCTION("""COMPUTED_VALUE"""),"WARKWORTH")</f>
        <v>WARKWORTH</v>
      </c>
      <c r="D4850" s="3" t="str">
        <f>IFERROR(__xludf.DUMMYFUNCTION("""COMPUTED_VALUE"""),"K0K 3K0")</f>
        <v>K0K 3K0</v>
      </c>
      <c r="E4850" s="3" t="str">
        <f>IFERROR(__xludf.DUMMYFUNCTION("""COMPUTED_VALUE"""),"Andrea Sullivan")</f>
        <v>Andrea Sullivan</v>
      </c>
      <c r="F4850" s="3" t="str">
        <f>IFERROR(__xludf.DUMMYFUNCTION("""COMPUTED_VALUE"""),"andrea_l.ss@hotmail.com")</f>
        <v>andrea_l.ss@hotmail.com</v>
      </c>
      <c r="G4850" s="3"/>
      <c r="H4850" s="3"/>
    </row>
    <row r="4851">
      <c r="A4851" s="2">
        <f>IFERROR(__xludf.DUMMYFUNCTION("""COMPUTED_VALUE"""),61116.0)</f>
        <v>61116</v>
      </c>
      <c r="B4851" s="3" t="str">
        <f>IFERROR(__xludf.DUMMYFUNCTION("""COMPUTED_VALUE"""),"205 CONCESSION RD 8 RD W ")</f>
        <v>205 CONCESSION RD 8 RD W </v>
      </c>
      <c r="C4851" s="3" t="str">
        <f>IFERROR(__xludf.DUMMYFUNCTION("""COMPUTED_VALUE"""),"WARKWORTH")</f>
        <v>WARKWORTH</v>
      </c>
      <c r="D4851" s="3" t="str">
        <f>IFERROR(__xludf.DUMMYFUNCTION("""COMPUTED_VALUE"""),"K0K 3K0")</f>
        <v>K0K 3K0</v>
      </c>
      <c r="E4851" s="3" t="str">
        <f>IFERROR(__xludf.DUMMYFUNCTION("""COMPUTED_VALUE"""),"Jean Convey")</f>
        <v>Jean Convey</v>
      </c>
      <c r="F4851" s="3"/>
      <c r="G4851" s="3"/>
      <c r="H4851" s="3"/>
    </row>
    <row r="4852">
      <c r="A4852" s="2">
        <f>IFERROR(__xludf.DUMMYFUNCTION("""COMPUTED_VALUE"""),61121.0)</f>
        <v>61121</v>
      </c>
      <c r="B4852" s="3" t="str">
        <f>IFERROR(__xludf.DUMMYFUNCTION("""COMPUTED_VALUE"""),"248 CONCESSION RD 8 RD W ")</f>
        <v>248 CONCESSION RD 8 RD W </v>
      </c>
      <c r="C4852" s="3" t="str">
        <f>IFERROR(__xludf.DUMMYFUNCTION("""COMPUTED_VALUE"""),"WARKWORTH")</f>
        <v>WARKWORTH</v>
      </c>
      <c r="D4852" s="3" t="str">
        <f>IFERROR(__xludf.DUMMYFUNCTION("""COMPUTED_VALUE"""),"K0K 3K0")</f>
        <v>K0K 3K0</v>
      </c>
      <c r="E4852" s="3" t="str">
        <f>IFERROR(__xludf.DUMMYFUNCTION("""COMPUTED_VALUE"""),"Michael Gagnier")</f>
        <v>Michael Gagnier</v>
      </c>
      <c r="F4852" s="3" t="str">
        <f>IFERROR(__xludf.DUMMYFUNCTION("""COMPUTED_VALUE"""),"tboltmike@xplornet.com")</f>
        <v>tboltmike@xplornet.com</v>
      </c>
      <c r="G4852" s="3">
        <f>IFERROR(__xludf.DUMMYFUNCTION("""COMPUTED_VALUE"""),7.059241324E9)</f>
        <v>7059241324</v>
      </c>
      <c r="H4852" s="3"/>
    </row>
    <row r="4853">
      <c r="A4853" s="2">
        <f>IFERROR(__xludf.DUMMYFUNCTION("""COMPUTED_VALUE"""),61122.0)</f>
        <v>61122</v>
      </c>
      <c r="B4853" s="3" t="str">
        <f>IFERROR(__xludf.DUMMYFUNCTION("""COMPUTED_VALUE"""),"252 CONCESSION RD 8 RD W ")</f>
        <v>252 CONCESSION RD 8 RD W </v>
      </c>
      <c r="C4853" s="3" t="str">
        <f>IFERROR(__xludf.DUMMYFUNCTION("""COMPUTED_VALUE"""),"WARKWORTH")</f>
        <v>WARKWORTH</v>
      </c>
      <c r="D4853" s="3" t="str">
        <f>IFERROR(__xludf.DUMMYFUNCTION("""COMPUTED_VALUE"""),"K0K 3K0")</f>
        <v>K0K 3K0</v>
      </c>
      <c r="E4853" s="3"/>
      <c r="F4853" s="3"/>
      <c r="G4853" s="3"/>
      <c r="H4853" s="3"/>
    </row>
    <row r="4854">
      <c r="A4854" s="2">
        <f>IFERROR(__xludf.DUMMYFUNCTION("""COMPUTED_VALUE"""),61129.0)</f>
        <v>61129</v>
      </c>
      <c r="B4854" s="3" t="str">
        <f>IFERROR(__xludf.DUMMYFUNCTION("""COMPUTED_VALUE"""),"320 CONCESSION RD 8 RD W ")</f>
        <v>320 CONCESSION RD 8 RD W </v>
      </c>
      <c r="C4854" s="3" t="str">
        <f>IFERROR(__xludf.DUMMYFUNCTION("""COMPUTED_VALUE"""),"WARKWORTH")</f>
        <v>WARKWORTH</v>
      </c>
      <c r="D4854" s="3" t="str">
        <f>IFERROR(__xludf.DUMMYFUNCTION("""COMPUTED_VALUE"""),"K0K 3K0")</f>
        <v>K0K 3K0</v>
      </c>
      <c r="E4854" s="3" t="str">
        <f>IFERROR(__xludf.DUMMYFUNCTION("""COMPUTED_VALUE"""),"darwin mcgrath")</f>
        <v>darwin mcgrath</v>
      </c>
      <c r="F4854" s="3" t="str">
        <f>IFERROR(__xludf.DUMMYFUNCTION("""COMPUTED_VALUE"""),"darwin@meadowgoldfarm.ca")</f>
        <v>darwin@meadowgoldfarm.ca</v>
      </c>
      <c r="G4854" s="3">
        <f>IFERROR(__xludf.DUMMYFUNCTION("""COMPUTED_VALUE"""),4.165629173E9)</f>
        <v>4165629173</v>
      </c>
      <c r="H4854" s="3"/>
    </row>
    <row r="4855">
      <c r="A4855" s="2">
        <f>IFERROR(__xludf.DUMMYFUNCTION("""COMPUTED_VALUE"""),62253.0)</f>
        <v>62253</v>
      </c>
      <c r="B4855" s="3" t="str">
        <f>IFERROR(__xludf.DUMMYFUNCTION("""COMPUTED_VALUE"""),"11 HONEY LINE  ")</f>
        <v>11 HONEY LINE  </v>
      </c>
      <c r="C4855" s="3" t="str">
        <f>IFERROR(__xludf.DUMMYFUNCTION("""COMPUTED_VALUE"""),"WARKWORTH")</f>
        <v>WARKWORTH</v>
      </c>
      <c r="D4855" s="3" t="str">
        <f>IFERROR(__xludf.DUMMYFUNCTION("""COMPUTED_VALUE"""),"K0K 3K0")</f>
        <v>K0K 3K0</v>
      </c>
      <c r="E4855" s="3" t="str">
        <f>IFERROR(__xludf.DUMMYFUNCTION("""COMPUTED_VALUE"""),"PATSY PETERS")</f>
        <v>PATSY PETERS</v>
      </c>
      <c r="F4855" s="3" t="str">
        <f>IFERROR(__xludf.DUMMYFUNCTION("""COMPUTED_VALUE"""),"patj_46@yahoo.com")</f>
        <v>patj_46@yahoo.com</v>
      </c>
      <c r="G4855" s="3"/>
      <c r="H4855" s="3"/>
    </row>
    <row r="4856">
      <c r="A4856" s="2">
        <f>IFERROR(__xludf.DUMMYFUNCTION("""COMPUTED_VALUE"""),62254.0)</f>
        <v>62254</v>
      </c>
      <c r="B4856" s="3" t="str">
        <f>IFERROR(__xludf.DUMMYFUNCTION("""COMPUTED_VALUE"""),"20 HONEY LINE  ")</f>
        <v>20 HONEY LINE  </v>
      </c>
      <c r="C4856" s="3" t="str">
        <f>IFERROR(__xludf.DUMMYFUNCTION("""COMPUTED_VALUE"""),"WARKWORTH")</f>
        <v>WARKWORTH</v>
      </c>
      <c r="D4856" s="3" t="str">
        <f>IFERROR(__xludf.DUMMYFUNCTION("""COMPUTED_VALUE"""),"K0K 3K0")</f>
        <v>K0K 3K0</v>
      </c>
      <c r="E4856" s="3" t="str">
        <f>IFERROR(__xludf.DUMMYFUNCTION("""COMPUTED_VALUE"""),"Jackie Grills")</f>
        <v>Jackie Grills</v>
      </c>
      <c r="F4856" s="3" t="str">
        <f>IFERROR(__xludf.DUMMYFUNCTION("""COMPUTED_VALUE"""),"jackiegrills1962@icloud.com")</f>
        <v>jackiegrills1962@icloud.com</v>
      </c>
      <c r="G4856" s="3"/>
      <c r="H4856" s="3"/>
    </row>
    <row r="4857">
      <c r="A4857" s="2">
        <f>IFERROR(__xludf.DUMMYFUNCTION("""COMPUTED_VALUE"""),62255.0)</f>
        <v>62255</v>
      </c>
      <c r="B4857" s="3" t="str">
        <f>IFERROR(__xludf.DUMMYFUNCTION("""COMPUTED_VALUE"""),"27 HONEY LINE  ")</f>
        <v>27 HONEY LINE  </v>
      </c>
      <c r="C4857" s="3" t="str">
        <f>IFERROR(__xludf.DUMMYFUNCTION("""COMPUTED_VALUE"""),"WARKWORTH")</f>
        <v>WARKWORTH</v>
      </c>
      <c r="D4857" s="3" t="str">
        <f>IFERROR(__xludf.DUMMYFUNCTION("""COMPUTED_VALUE"""),"K0K 3K0")</f>
        <v>K0K 3K0</v>
      </c>
      <c r="E4857" s="3" t="str">
        <f>IFERROR(__xludf.DUMMYFUNCTION("""COMPUTED_VALUE"""),"paul ")</f>
        <v>paul </v>
      </c>
      <c r="F4857" s="3"/>
      <c r="G4857" s="3"/>
      <c r="H4857" s="3"/>
    </row>
    <row r="4858">
      <c r="A4858" s="2">
        <f>IFERROR(__xludf.DUMMYFUNCTION("""COMPUTED_VALUE"""),62256.0)</f>
        <v>62256</v>
      </c>
      <c r="B4858" s="3" t="str">
        <f>IFERROR(__xludf.DUMMYFUNCTION("""COMPUTED_VALUE"""),"31 HONEY LINE  ")</f>
        <v>31 HONEY LINE  </v>
      </c>
      <c r="C4858" s="3" t="str">
        <f>IFERROR(__xludf.DUMMYFUNCTION("""COMPUTED_VALUE"""),"WARKWORTH")</f>
        <v>WARKWORTH</v>
      </c>
      <c r="D4858" s="3" t="str">
        <f>IFERROR(__xludf.DUMMYFUNCTION("""COMPUTED_VALUE"""),"K0K 3K0")</f>
        <v>K0K 3K0</v>
      </c>
      <c r="E4858" s="3" t="str">
        <f>IFERROR(__xludf.DUMMYFUNCTION("""COMPUTED_VALUE"""),"Fraser Ratchford")</f>
        <v>Fraser Ratchford</v>
      </c>
      <c r="F4858" s="3" t="str">
        <f>IFERROR(__xludf.DUMMYFUNCTION("""COMPUTED_VALUE"""),"416.420.7436")</f>
        <v>416.420.7436</v>
      </c>
      <c r="G4858" s="3"/>
      <c r="H4858" s="3"/>
    </row>
    <row r="4859">
      <c r="A4859" s="2">
        <f>IFERROR(__xludf.DUMMYFUNCTION("""COMPUTED_VALUE"""),62257.0)</f>
        <v>62257</v>
      </c>
      <c r="B4859" s="3" t="str">
        <f>IFERROR(__xludf.DUMMYFUNCTION("""COMPUTED_VALUE"""),"37 HONEY LINE  ")</f>
        <v>37 HONEY LINE  </v>
      </c>
      <c r="C4859" s="3" t="str">
        <f>IFERROR(__xludf.DUMMYFUNCTION("""COMPUTED_VALUE"""),"WARKWORTH")</f>
        <v>WARKWORTH</v>
      </c>
      <c r="D4859" s="3" t="str">
        <f>IFERROR(__xludf.DUMMYFUNCTION("""COMPUTED_VALUE"""),"K0K 3K0")</f>
        <v>K0K 3K0</v>
      </c>
      <c r="E4859" s="3" t="str">
        <f>IFERROR(__xludf.DUMMYFUNCTION("""COMPUTED_VALUE"""),"Colin Hughes")</f>
        <v>Colin Hughes</v>
      </c>
      <c r="F4859" s="3" t="str">
        <f>IFERROR(__xludf.DUMMYFUNCTION("""COMPUTED_VALUE"""),"c.h.hughes@live.com")</f>
        <v>c.h.hughes@live.com</v>
      </c>
      <c r="G4859" s="3"/>
      <c r="H4859" s="3"/>
    </row>
    <row r="4860">
      <c r="A4860" s="2">
        <f>IFERROR(__xludf.DUMMYFUNCTION("""COMPUTED_VALUE"""),62258.0)</f>
        <v>62258</v>
      </c>
      <c r="B4860" s="3" t="str">
        <f>IFERROR(__xludf.DUMMYFUNCTION("""COMPUTED_VALUE"""),"44 HONEY LINE  A")</f>
        <v>44 HONEY LINE  A</v>
      </c>
      <c r="C4860" s="3" t="str">
        <f>IFERROR(__xludf.DUMMYFUNCTION("""COMPUTED_VALUE"""),"WARKWORTH")</f>
        <v>WARKWORTH</v>
      </c>
      <c r="D4860" s="3" t="str">
        <f>IFERROR(__xludf.DUMMYFUNCTION("""COMPUTED_VALUE"""),"K0K 3K0")</f>
        <v>K0K 3K0</v>
      </c>
      <c r="E4860" s="3" t="str">
        <f>IFERROR(__xludf.DUMMYFUNCTION("""COMPUTED_VALUE"""),"Don + Lorraine Honey")</f>
        <v>Don + Lorraine Honey</v>
      </c>
      <c r="F4860" s="3" t="str">
        <f>IFERROR(__xludf.DUMMYFUNCTION("""COMPUTED_VALUE"""),"don_honey@gmail.com")</f>
        <v>don_honey@gmail.com</v>
      </c>
      <c r="G4860" s="3"/>
      <c r="H4860" s="3"/>
    </row>
    <row r="4861">
      <c r="A4861" s="2">
        <f>IFERROR(__xludf.DUMMYFUNCTION("""COMPUTED_VALUE"""),62259.0)</f>
        <v>62259</v>
      </c>
      <c r="B4861" s="3" t="str">
        <f>IFERROR(__xludf.DUMMYFUNCTION("""COMPUTED_VALUE"""),"44 HONEY LINE  B")</f>
        <v>44 HONEY LINE  B</v>
      </c>
      <c r="C4861" s="3"/>
      <c r="D4861" s="3"/>
      <c r="E4861" s="3"/>
      <c r="F4861" s="3"/>
      <c r="G4861" s="3"/>
      <c r="H4861" s="3"/>
    </row>
    <row r="4862">
      <c r="A4862" s="2">
        <f>IFERROR(__xludf.DUMMYFUNCTION("""COMPUTED_VALUE"""),62260.0)</f>
        <v>62260</v>
      </c>
      <c r="B4862" s="3" t="str">
        <f>IFERROR(__xludf.DUMMYFUNCTION("""COMPUTED_VALUE"""),"45 HONEY LINE  ")</f>
        <v>45 HONEY LINE  </v>
      </c>
      <c r="C4862" s="3" t="str">
        <f>IFERROR(__xludf.DUMMYFUNCTION("""COMPUTED_VALUE"""),"WARKWORTH")</f>
        <v>WARKWORTH</v>
      </c>
      <c r="D4862" s="3" t="str">
        <f>IFERROR(__xludf.DUMMYFUNCTION("""COMPUTED_VALUE"""),"K0K 3K0")</f>
        <v>K0K 3K0</v>
      </c>
      <c r="E4862" s="3" t="str">
        <f>IFERROR(__xludf.DUMMYFUNCTION("""COMPUTED_VALUE"""),"Peter Daugarietis")</f>
        <v>Peter Daugarietis</v>
      </c>
      <c r="F4862" s="3" t="str">
        <f>IFERROR(__xludf.DUMMYFUNCTION("""COMPUTED_VALUE"""),"pdaugarietis@gmail.com")</f>
        <v>pdaugarietis@gmail.com</v>
      </c>
      <c r="G4862" s="3"/>
      <c r="H4862" s="3"/>
    </row>
    <row r="4863">
      <c r="A4863" s="2">
        <f>IFERROR(__xludf.DUMMYFUNCTION("""COMPUTED_VALUE"""),62261.0)</f>
        <v>62261</v>
      </c>
      <c r="B4863" s="3" t="str">
        <f>IFERROR(__xludf.DUMMYFUNCTION("""COMPUTED_VALUE"""),"100 HONEY LINE  ")</f>
        <v>100 HONEY LINE  </v>
      </c>
      <c r="C4863" s="3" t="str">
        <f>IFERROR(__xludf.DUMMYFUNCTION("""COMPUTED_VALUE"""),"WARKWORTH")</f>
        <v>WARKWORTH</v>
      </c>
      <c r="D4863" s="3" t="str">
        <f>IFERROR(__xludf.DUMMYFUNCTION("""COMPUTED_VALUE"""),"K0K 3K0")</f>
        <v>K0K 3K0</v>
      </c>
      <c r="E4863" s="3"/>
      <c r="F4863" s="3"/>
      <c r="G4863" s="3"/>
      <c r="H4863" s="3"/>
    </row>
    <row r="4864">
      <c r="A4864" s="2">
        <f>IFERROR(__xludf.DUMMYFUNCTION("""COMPUTED_VALUE"""),62262.0)</f>
        <v>62262</v>
      </c>
      <c r="B4864" s="3" t="str">
        <f>IFERROR(__xludf.DUMMYFUNCTION("""COMPUTED_VALUE"""),"127 HONEY LINE  ")</f>
        <v>127 HONEY LINE  </v>
      </c>
      <c r="C4864" s="3" t="str">
        <f>IFERROR(__xludf.DUMMYFUNCTION("""COMPUTED_VALUE"""),"WARKWORTH")</f>
        <v>WARKWORTH</v>
      </c>
      <c r="D4864" s="3" t="str">
        <f>IFERROR(__xludf.DUMMYFUNCTION("""COMPUTED_VALUE"""),"K0K 3K0")</f>
        <v>K0K 3K0</v>
      </c>
      <c r="E4864" s="3"/>
      <c r="F4864" s="3"/>
      <c r="G4864" s="3"/>
      <c r="H4864" s="3"/>
    </row>
    <row r="4865">
      <c r="A4865" s="2">
        <f>IFERROR(__xludf.DUMMYFUNCTION("""COMPUTED_VALUE"""),62263.0)</f>
        <v>62263</v>
      </c>
      <c r="B4865" s="3" t="str">
        <f>IFERROR(__xludf.DUMMYFUNCTION("""COMPUTED_VALUE"""),"138 HONEY LINE  ")</f>
        <v>138 HONEY LINE  </v>
      </c>
      <c r="C4865" s="3" t="str">
        <f>IFERROR(__xludf.DUMMYFUNCTION("""COMPUTED_VALUE"""),"WARKWORTH")</f>
        <v>WARKWORTH</v>
      </c>
      <c r="D4865" s="3" t="str">
        <f>IFERROR(__xludf.DUMMYFUNCTION("""COMPUTED_VALUE"""),"K0K 3K0")</f>
        <v>K0K 3K0</v>
      </c>
      <c r="E4865" s="3" t="str">
        <f>IFERROR(__xludf.DUMMYFUNCTION("""COMPUTED_VALUE"""),"Troy Easter")</f>
        <v>Troy Easter</v>
      </c>
      <c r="F4865" s="3" t="str">
        <f>IFERROR(__xludf.DUMMYFUNCTION("""COMPUTED_VALUE"""),"tronner1769@gmail.com")</f>
        <v>tronner1769@gmail.com</v>
      </c>
      <c r="G4865" s="3">
        <f>IFERROR(__xludf.DUMMYFUNCTION("""COMPUTED_VALUE"""),7.055594895E9)</f>
        <v>7055594895</v>
      </c>
      <c r="H4865" s="3">
        <f>IFERROR(__xludf.DUMMYFUNCTION("""COMPUTED_VALUE"""),7.056537622E9)</f>
        <v>7056537622</v>
      </c>
    </row>
    <row r="4866">
      <c r="A4866" s="2">
        <f>IFERROR(__xludf.DUMMYFUNCTION("""COMPUTED_VALUE"""),62264.0)</f>
        <v>62264</v>
      </c>
      <c r="B4866" s="3" t="str">
        <f>IFERROR(__xludf.DUMMYFUNCTION("""COMPUTED_VALUE"""),"157 HONEY LINE  ")</f>
        <v>157 HONEY LINE  </v>
      </c>
      <c r="C4866" s="3" t="str">
        <f>IFERROR(__xludf.DUMMYFUNCTION("""COMPUTED_VALUE"""),"WARKWORTH")</f>
        <v>WARKWORTH</v>
      </c>
      <c r="D4866" s="3" t="str">
        <f>IFERROR(__xludf.DUMMYFUNCTION("""COMPUTED_VALUE"""),"K0K 3K0")</f>
        <v>K0K 3K0</v>
      </c>
      <c r="E4866" s="3" t="str">
        <f>IFERROR(__xludf.DUMMYFUNCTION("""COMPUTED_VALUE"""),"Lawrence Coggins")</f>
        <v>Lawrence Coggins</v>
      </c>
      <c r="F4866" s="3" t="str">
        <f>IFERROR(__xludf.DUMMYFUNCTION("""COMPUTED_VALUE"""),"coggins.jane157@gmail.com")</f>
        <v>coggins.jane157@gmail.com</v>
      </c>
      <c r="G4866" s="3"/>
      <c r="H4866" s="3"/>
    </row>
    <row r="4867">
      <c r="A4867" s="2">
        <f>IFERROR(__xludf.DUMMYFUNCTION("""COMPUTED_VALUE"""),62267.0)</f>
        <v>62267</v>
      </c>
      <c r="B4867" s="3" t="str">
        <f>IFERROR(__xludf.DUMMYFUNCTION("""COMPUTED_VALUE"""),"208 HONEY LINE  ")</f>
        <v>208 HONEY LINE  </v>
      </c>
      <c r="C4867" s="3" t="str">
        <f>IFERROR(__xludf.DUMMYFUNCTION("""COMPUTED_VALUE"""),"WARKWORTH")</f>
        <v>WARKWORTH</v>
      </c>
      <c r="D4867" s="3" t="str">
        <f>IFERROR(__xludf.DUMMYFUNCTION("""COMPUTED_VALUE"""),"K0K 3K0")</f>
        <v>K0K 3K0</v>
      </c>
      <c r="E4867" s="3" t="str">
        <f>IFERROR(__xludf.DUMMYFUNCTION("""COMPUTED_VALUE"""),"Ed &amp; Jackie Dunk ")</f>
        <v>Ed &amp; Jackie Dunk </v>
      </c>
      <c r="F4867" s="3" t="str">
        <f>IFERROR(__xludf.DUMMYFUNCTION("""COMPUTED_VALUE"""),"dunker208@gmail.com")</f>
        <v>dunker208@gmail.com</v>
      </c>
      <c r="G4867" s="3"/>
      <c r="H4867" s="3"/>
    </row>
    <row r="4868">
      <c r="A4868" s="2">
        <f>IFERROR(__xludf.DUMMYFUNCTION("""COMPUTED_VALUE"""),62268.0)</f>
        <v>62268</v>
      </c>
      <c r="B4868" s="3" t="str">
        <f>IFERROR(__xludf.DUMMYFUNCTION("""COMPUTED_VALUE"""),"248 HONEY LINE  ")</f>
        <v>248 HONEY LINE  </v>
      </c>
      <c r="C4868" s="3" t="str">
        <f>IFERROR(__xludf.DUMMYFUNCTION("""COMPUTED_VALUE"""),"WARKWORTH")</f>
        <v>WARKWORTH</v>
      </c>
      <c r="D4868" s="3" t="str">
        <f>IFERROR(__xludf.DUMMYFUNCTION("""COMPUTED_VALUE"""),"K0K 3K0")</f>
        <v>K0K 3K0</v>
      </c>
      <c r="E4868" s="3" t="str">
        <f>IFERROR(__xludf.DUMMYFUNCTION("""COMPUTED_VALUE"""),"ROAMING VALLEY FARM")</f>
        <v>ROAMING VALLEY FARM</v>
      </c>
      <c r="F4868" s="3" t="str">
        <f>IFERROR(__xludf.DUMMYFUNCTION("""COMPUTED_VALUE"""),"Roamingvalleyfarm@gmail.com")</f>
        <v>Roamingvalleyfarm@gmail.com</v>
      </c>
      <c r="G4868" s="3"/>
      <c r="H4868" s="3"/>
    </row>
    <row r="4869">
      <c r="A4869" s="2">
        <f>IFERROR(__xludf.DUMMYFUNCTION("""COMPUTED_VALUE"""),61610.0)</f>
        <v>61610</v>
      </c>
      <c r="B4869" s="3" t="str">
        <f>IFERROR(__xludf.DUMMYFUNCTION("""COMPUTED_VALUE"""),"345 CRESTVIEW RD  ")</f>
        <v>345 CRESTVIEW RD  </v>
      </c>
      <c r="C4869" s="3" t="str">
        <f>IFERROR(__xludf.DUMMYFUNCTION("""COMPUTED_VALUE"""),"CAMPBELLFORD")</f>
        <v>CAMPBELLFORD</v>
      </c>
      <c r="D4869" s="3" t="str">
        <f>IFERROR(__xludf.DUMMYFUNCTION("""COMPUTED_VALUE"""),"K0L 1L0")</f>
        <v>K0L 1L0</v>
      </c>
      <c r="E4869" s="3" t="str">
        <f>IFERROR(__xludf.DUMMYFUNCTION("""COMPUTED_VALUE"""),"Rachel Parr")</f>
        <v>Rachel Parr</v>
      </c>
      <c r="F4869" s="3" t="str">
        <f>IFERROR(__xludf.DUMMYFUNCTION("""COMPUTED_VALUE"""),"Rachel111@hotmail.com")</f>
        <v>Rachel111@hotmail.com</v>
      </c>
      <c r="G4869" s="3">
        <f>IFERROR(__xludf.DUMMYFUNCTION("""COMPUTED_VALUE"""),6.138857849E9)</f>
        <v>6138857849</v>
      </c>
      <c r="H4869" s="3"/>
    </row>
    <row r="4870">
      <c r="A4870" s="2">
        <f>IFERROR(__xludf.DUMMYFUNCTION("""COMPUTED_VALUE"""),61611.0)</f>
        <v>61611</v>
      </c>
      <c r="B4870" s="3" t="str">
        <f>IFERROR(__xludf.DUMMYFUNCTION("""COMPUTED_VALUE"""),"404 CRESTVIEW RD  ")</f>
        <v>404 CRESTVIEW RD  </v>
      </c>
      <c r="C4870" s="3" t="str">
        <f>IFERROR(__xludf.DUMMYFUNCTION("""COMPUTED_VALUE"""),"CAMPBELLFORD")</f>
        <v>CAMPBELLFORD</v>
      </c>
      <c r="D4870" s="3" t="str">
        <f>IFERROR(__xludf.DUMMYFUNCTION("""COMPUTED_VALUE"""),"K0L 1L0")</f>
        <v>K0L 1L0</v>
      </c>
      <c r="E4870" s="3" t="str">
        <f>IFERROR(__xludf.DUMMYFUNCTION("""COMPUTED_VALUE"""),"Kelly Parks")</f>
        <v>Kelly Parks</v>
      </c>
      <c r="F4870" s="3" t="str">
        <f>IFERROR(__xludf.DUMMYFUNCTION("""COMPUTED_VALUE"""),"kparks49@yahoo.com")</f>
        <v>kparks49@yahoo.com</v>
      </c>
      <c r="G4870" s="3">
        <f>IFERROR(__xludf.DUMMYFUNCTION("""COMPUTED_VALUE"""),7.050758992E9)</f>
        <v>7050758992</v>
      </c>
      <c r="H4870" s="3"/>
    </row>
    <row r="4871">
      <c r="A4871" s="2">
        <f>IFERROR(__xludf.DUMMYFUNCTION("""COMPUTED_VALUE"""),61612.0)</f>
        <v>61612</v>
      </c>
      <c r="B4871" s="3" t="str">
        <f>IFERROR(__xludf.DUMMYFUNCTION("""COMPUTED_VALUE"""),"405 CRESTVIEW RD  ")</f>
        <v>405 CRESTVIEW RD  </v>
      </c>
      <c r="C4871" s="3" t="str">
        <f>IFERROR(__xludf.DUMMYFUNCTION("""COMPUTED_VALUE"""),"CAMPBELLFORD")</f>
        <v>CAMPBELLFORD</v>
      </c>
      <c r="D4871" s="3" t="str">
        <f>IFERROR(__xludf.DUMMYFUNCTION("""COMPUTED_VALUE"""),"K0L 1L0")</f>
        <v>K0L 1L0</v>
      </c>
      <c r="E4871" s="3" t="str">
        <f>IFERROR(__xludf.DUMMYFUNCTION("""COMPUTED_VALUE"""),"ALISON LANE")</f>
        <v>ALISON LANE</v>
      </c>
      <c r="F4871" s="3" t="str">
        <f>IFERROR(__xludf.DUMMYFUNCTION("""COMPUTED_VALUE"""),"alilane@rogers.com")</f>
        <v>alilane@rogers.com</v>
      </c>
      <c r="G4871" s="3"/>
      <c r="H4871" s="3"/>
    </row>
    <row r="4872">
      <c r="A4872" s="2">
        <f>IFERROR(__xludf.DUMMYFUNCTION("""COMPUTED_VALUE"""),61613.0)</f>
        <v>61613</v>
      </c>
      <c r="B4872" s="3" t="str">
        <f>IFERROR(__xludf.DUMMYFUNCTION("""COMPUTED_VALUE"""),"424 CRESTVIEW RD  ")</f>
        <v>424 CRESTVIEW RD  </v>
      </c>
      <c r="C4872" s="3" t="str">
        <f>IFERROR(__xludf.DUMMYFUNCTION("""COMPUTED_VALUE"""),"CAMPBELLFORD")</f>
        <v>CAMPBELLFORD</v>
      </c>
      <c r="D4872" s="3" t="str">
        <f>IFERROR(__xludf.DUMMYFUNCTION("""COMPUTED_VALUE"""),"K0L 1L0")</f>
        <v>K0L 1L0</v>
      </c>
      <c r="E4872" s="3"/>
      <c r="F4872" s="3"/>
      <c r="G4872" s="3"/>
      <c r="H4872" s="3"/>
    </row>
    <row r="4873">
      <c r="A4873" s="2">
        <f>IFERROR(__xludf.DUMMYFUNCTION("""COMPUTED_VALUE"""),61615.0)</f>
        <v>61615</v>
      </c>
      <c r="B4873" s="3" t="str">
        <f>IFERROR(__xludf.DUMMYFUNCTION("""COMPUTED_VALUE"""),"452 CRESTVIEW RD  ")</f>
        <v>452 CRESTVIEW RD  </v>
      </c>
      <c r="C4873" s="3" t="str">
        <f>IFERROR(__xludf.DUMMYFUNCTION("""COMPUTED_VALUE"""),"CAMPBELLFORD")</f>
        <v>CAMPBELLFORD</v>
      </c>
      <c r="D4873" s="3" t="str">
        <f>IFERROR(__xludf.DUMMYFUNCTION("""COMPUTED_VALUE"""),"K0L 1L0")</f>
        <v>K0L 1L0</v>
      </c>
      <c r="E4873" s="3" t="str">
        <f>IFERROR(__xludf.DUMMYFUNCTION("""COMPUTED_VALUE"""),"Donna &amp; Joel Simmonds")</f>
        <v>Donna &amp; Joel Simmonds</v>
      </c>
      <c r="F4873" s="3" t="str">
        <f>IFERROR(__xludf.DUMMYFUNCTION("""COMPUTED_VALUE"""),"averegan@gmail.com")</f>
        <v>averegan@gmail.com</v>
      </c>
      <c r="G4873" s="3"/>
      <c r="H4873" s="3"/>
    </row>
    <row r="4874">
      <c r="A4874" s="2">
        <f>IFERROR(__xludf.DUMMYFUNCTION("""COMPUTED_VALUE"""),61616.0)</f>
        <v>61616</v>
      </c>
      <c r="B4874" s="3" t="str">
        <f>IFERROR(__xludf.DUMMYFUNCTION("""COMPUTED_VALUE"""),"467 CRESTVIEW RD  ")</f>
        <v>467 CRESTVIEW RD  </v>
      </c>
      <c r="C4874" s="3" t="str">
        <f>IFERROR(__xludf.DUMMYFUNCTION("""COMPUTED_VALUE"""),"CAMPBELLFORD")</f>
        <v>CAMPBELLFORD</v>
      </c>
      <c r="D4874" s="3" t="str">
        <f>IFERROR(__xludf.DUMMYFUNCTION("""COMPUTED_VALUE"""),"K0L 1L0")</f>
        <v>K0L 1L0</v>
      </c>
      <c r="E4874" s="3" t="str">
        <f>IFERROR(__xludf.DUMMYFUNCTION("""COMPUTED_VALUE"""),"connie allen")</f>
        <v>connie allen</v>
      </c>
      <c r="F4874" s="3" t="str">
        <f>IFERROR(__xludf.DUMMYFUNCTION("""COMPUTED_VALUE"""),"winstont64@icloud.com")</f>
        <v>winstont64@icloud.com</v>
      </c>
      <c r="G4874" s="3">
        <f>IFERROR(__xludf.DUMMYFUNCTION("""COMPUTED_VALUE"""),7.0565316E9)</f>
        <v>7056531600</v>
      </c>
      <c r="H4874" s="3"/>
    </row>
    <row r="4875">
      <c r="A4875" s="2">
        <f>IFERROR(__xludf.DUMMYFUNCTION("""COMPUTED_VALUE"""),61618.0)</f>
        <v>61618</v>
      </c>
      <c r="B4875" s="3" t="str">
        <f>IFERROR(__xludf.DUMMYFUNCTION("""COMPUTED_VALUE"""),"491 CRESTVIEW RD  ")</f>
        <v>491 CRESTVIEW RD  </v>
      </c>
      <c r="C4875" s="3" t="str">
        <f>IFERROR(__xludf.DUMMYFUNCTION("""COMPUTED_VALUE"""),"CAMPBELLFORD")</f>
        <v>CAMPBELLFORD</v>
      </c>
      <c r="D4875" s="3" t="str">
        <f>IFERROR(__xludf.DUMMYFUNCTION("""COMPUTED_VALUE"""),"K0L 1L0")</f>
        <v>K0L 1L0</v>
      </c>
      <c r="E4875" s="3"/>
      <c r="F4875" s="3"/>
      <c r="G4875" s="3"/>
      <c r="H4875" s="3"/>
    </row>
    <row r="4876">
      <c r="A4876" s="2">
        <f>IFERROR(__xludf.DUMMYFUNCTION("""COMPUTED_VALUE"""),61619.0)</f>
        <v>61619</v>
      </c>
      <c r="B4876" s="3" t="str">
        <f>IFERROR(__xludf.DUMMYFUNCTION("""COMPUTED_VALUE"""),"508 CRESTVIEW RD  ")</f>
        <v>508 CRESTVIEW RD  </v>
      </c>
      <c r="C4876" s="3" t="str">
        <f>IFERROR(__xludf.DUMMYFUNCTION("""COMPUTED_VALUE"""),"CAMPBELLFORD")</f>
        <v>CAMPBELLFORD</v>
      </c>
      <c r="D4876" s="3" t="str">
        <f>IFERROR(__xludf.DUMMYFUNCTION("""COMPUTED_VALUE"""),"K0L 1L0")</f>
        <v>K0L 1L0</v>
      </c>
      <c r="E4876" s="3" t="str">
        <f>IFERROR(__xludf.DUMMYFUNCTION("""COMPUTED_VALUE"""),"Valarie and Pamela Hudson")</f>
        <v>Valarie and Pamela Hudson</v>
      </c>
      <c r="F4876" s="3" t="str">
        <f>IFERROR(__xludf.DUMMYFUNCTION("""COMPUTED_VALUE"""),"pamela.hudson@xplornet.ca")</f>
        <v>pamela.hudson@xplornet.ca</v>
      </c>
      <c r="G4876" s="3"/>
      <c r="H4876" s="3"/>
    </row>
    <row r="4877">
      <c r="A4877" s="2">
        <f>IFERROR(__xludf.DUMMYFUNCTION("""COMPUTED_VALUE"""),61620.0)</f>
        <v>61620</v>
      </c>
      <c r="B4877" s="3" t="str">
        <f>IFERROR(__xludf.DUMMYFUNCTION("""COMPUTED_VALUE"""),"516 CRESTVIEW RD  ")</f>
        <v>516 CRESTVIEW RD  </v>
      </c>
      <c r="C4877" s="3" t="str">
        <f>IFERROR(__xludf.DUMMYFUNCTION("""COMPUTED_VALUE"""),"CAMPBELLFORD")</f>
        <v>CAMPBELLFORD</v>
      </c>
      <c r="D4877" s="3" t="str">
        <f>IFERROR(__xludf.DUMMYFUNCTION("""COMPUTED_VALUE"""),"K0L 1L0")</f>
        <v>K0L 1L0</v>
      </c>
      <c r="E4877" s="3" t="str">
        <f>IFERROR(__xludf.DUMMYFUNCTION("""COMPUTED_VALUE"""),"kevin poole ")</f>
        <v>kevin poole </v>
      </c>
      <c r="F4877" s="3" t="str">
        <f>IFERROR(__xludf.DUMMYFUNCTION("""COMPUTED_VALUE"""),"kevin_poole66@outlook.com")</f>
        <v>kevin_poole66@outlook.com</v>
      </c>
      <c r="G4877" s="3">
        <f>IFERROR(__xludf.DUMMYFUNCTION("""COMPUTED_VALUE"""),7.055591319E9)</f>
        <v>7055591319</v>
      </c>
      <c r="H4877" s="3"/>
    </row>
    <row r="4878">
      <c r="A4878" s="2">
        <f>IFERROR(__xludf.DUMMYFUNCTION("""COMPUTED_VALUE"""),61621.0)</f>
        <v>61621</v>
      </c>
      <c r="B4878" s="3" t="str">
        <f>IFERROR(__xludf.DUMMYFUNCTION("""COMPUTED_VALUE"""),"571 CRESTVIEW RD  ")</f>
        <v>571 CRESTVIEW RD  </v>
      </c>
      <c r="C4878" s="3" t="str">
        <f>IFERROR(__xludf.DUMMYFUNCTION("""COMPUTED_VALUE"""),"CAMPBELLFORD")</f>
        <v>CAMPBELLFORD</v>
      </c>
      <c r="D4878" s="3" t="str">
        <f>IFERROR(__xludf.DUMMYFUNCTION("""COMPUTED_VALUE"""),"K0L 1L0")</f>
        <v>K0L 1L0</v>
      </c>
      <c r="E4878" s="3" t="str">
        <f>IFERROR(__xludf.DUMMYFUNCTION("""COMPUTED_VALUE"""),"joe medeiros ")</f>
        <v>joe medeiros </v>
      </c>
      <c r="F4878" s="4" t="str">
        <f>IFERROR(__xludf.DUMMYFUNCTION("""COMPUTED_VALUE"""),"doriterenovations88.com")</f>
        <v>doriterenovations88.com</v>
      </c>
      <c r="G4878" s="3">
        <f>IFERROR(__xludf.DUMMYFUNCTION("""COMPUTED_VALUE"""),7.058685442E9)</f>
        <v>7058685442</v>
      </c>
      <c r="H4878" s="3"/>
    </row>
    <row r="4879">
      <c r="A4879" s="2">
        <f>IFERROR(__xludf.DUMMYFUNCTION("""COMPUTED_VALUE"""),61622.0)</f>
        <v>61622</v>
      </c>
      <c r="B4879" s="3" t="str">
        <f>IFERROR(__xludf.DUMMYFUNCTION("""COMPUTED_VALUE"""),"587 CRESTVIEW RD  ")</f>
        <v>587 CRESTVIEW RD  </v>
      </c>
      <c r="C4879" s="3" t="str">
        <f>IFERROR(__xludf.DUMMYFUNCTION("""COMPUTED_VALUE"""),"CAMPBELLFORD")</f>
        <v>CAMPBELLFORD</v>
      </c>
      <c r="D4879" s="3" t="str">
        <f>IFERROR(__xludf.DUMMYFUNCTION("""COMPUTED_VALUE"""),"K0L 1L0")</f>
        <v>K0L 1L0</v>
      </c>
      <c r="E4879" s="3" t="str">
        <f>IFERROR(__xludf.DUMMYFUNCTION("""COMPUTED_VALUE"""),"Darryll Styles")</f>
        <v>Darryll Styles</v>
      </c>
      <c r="F4879" s="3" t="str">
        <f>IFERROR(__xludf.DUMMYFUNCTION("""COMPUTED_VALUE"""),"homer159@gmail.com")</f>
        <v>homer159@gmail.com</v>
      </c>
      <c r="G4879" s="3">
        <f>IFERROR(__xludf.DUMMYFUNCTION("""COMPUTED_VALUE"""),9.052071647E9)</f>
        <v>9052071647</v>
      </c>
      <c r="H4879" s="3">
        <f>IFERROR(__xludf.DUMMYFUNCTION("""COMPUTED_VALUE"""),9.053759102E9)</f>
        <v>9053759102</v>
      </c>
    </row>
    <row r="4880">
      <c r="A4880" s="2">
        <f>IFERROR(__xludf.DUMMYFUNCTION("""COMPUTED_VALUE"""),61623.0)</f>
        <v>61623</v>
      </c>
      <c r="B4880" s="3" t="str">
        <f>IFERROR(__xludf.DUMMYFUNCTION("""COMPUTED_VALUE"""),"590 CRESTVIEW RD  ")</f>
        <v>590 CRESTVIEW RD  </v>
      </c>
      <c r="C4880" s="3" t="str">
        <f>IFERROR(__xludf.DUMMYFUNCTION("""COMPUTED_VALUE"""),"CAMPBELLFORD")</f>
        <v>CAMPBELLFORD</v>
      </c>
      <c r="D4880" s="3" t="str">
        <f>IFERROR(__xludf.DUMMYFUNCTION("""COMPUTED_VALUE"""),"K0L 1L0")</f>
        <v>K0L 1L0</v>
      </c>
      <c r="E4880" s="3"/>
      <c r="F4880" s="3"/>
      <c r="G4880" s="3"/>
      <c r="H4880" s="3"/>
    </row>
    <row r="4881">
      <c r="A4881" s="2">
        <f>IFERROR(__xludf.DUMMYFUNCTION("""COMPUTED_VALUE"""),61624.0)</f>
        <v>61624</v>
      </c>
      <c r="B4881" s="3" t="str">
        <f>IFERROR(__xludf.DUMMYFUNCTION("""COMPUTED_VALUE"""),"626 CRESTVIEW RD  ")</f>
        <v>626 CRESTVIEW RD  </v>
      </c>
      <c r="C4881" s="3" t="str">
        <f>IFERROR(__xludf.DUMMYFUNCTION("""COMPUTED_VALUE"""),"CAMPBELLFORD")</f>
        <v>CAMPBELLFORD</v>
      </c>
      <c r="D4881" s="3" t="str">
        <f>IFERROR(__xludf.DUMMYFUNCTION("""COMPUTED_VALUE"""),"K0L 1L0")</f>
        <v>K0L 1L0</v>
      </c>
      <c r="E4881" s="3"/>
      <c r="F4881" s="3"/>
      <c r="G4881" s="3"/>
      <c r="H4881" s="3"/>
    </row>
    <row r="4882">
      <c r="A4882" s="2">
        <f>IFERROR(__xludf.DUMMYFUNCTION("""COMPUTED_VALUE"""),61625.0)</f>
        <v>61625</v>
      </c>
      <c r="B4882" s="3" t="str">
        <f>IFERROR(__xludf.DUMMYFUNCTION("""COMPUTED_VALUE"""),"642 CRESTVIEW RD  ")</f>
        <v>642 CRESTVIEW RD  </v>
      </c>
      <c r="C4882" s="3" t="str">
        <f>IFERROR(__xludf.DUMMYFUNCTION("""COMPUTED_VALUE"""),"CAMPBELLFORD")</f>
        <v>CAMPBELLFORD</v>
      </c>
      <c r="D4882" s="3" t="str">
        <f>IFERROR(__xludf.DUMMYFUNCTION("""COMPUTED_VALUE"""),"K0L 1L0")</f>
        <v>K0L 1L0</v>
      </c>
      <c r="E4882" s="3" t="str">
        <f>IFERROR(__xludf.DUMMYFUNCTION("""COMPUTED_VALUE"""),"pat mahoney")</f>
        <v>pat mahoney</v>
      </c>
      <c r="F4882" s="3" t="str">
        <f>IFERROR(__xludf.DUMMYFUNCTION("""COMPUTED_VALUE"""),"pmahoney1170@gmail.com")</f>
        <v>pmahoney1170@gmail.com</v>
      </c>
      <c r="G4882" s="3">
        <f>IFERROR(__xludf.DUMMYFUNCTION("""COMPUTED_VALUE"""),7.059306869E9)</f>
        <v>7059306869</v>
      </c>
      <c r="H4882" s="3"/>
    </row>
    <row r="4883">
      <c r="A4883" s="2">
        <f>IFERROR(__xludf.DUMMYFUNCTION("""COMPUTED_VALUE"""),61617.0)</f>
        <v>61617</v>
      </c>
      <c r="B4883" s="3" t="str">
        <f>IFERROR(__xludf.DUMMYFUNCTION("""COMPUTED_VALUE"""),"483 CRESTVIEW RD  ")</f>
        <v>483 CRESTVIEW RD  </v>
      </c>
      <c r="C4883" s="3" t="str">
        <f>IFERROR(__xludf.DUMMYFUNCTION("""COMPUTED_VALUE"""),"CAMPBELLFORD")</f>
        <v>CAMPBELLFORD</v>
      </c>
      <c r="D4883" s="3" t="str">
        <f>IFERROR(__xludf.DUMMYFUNCTION("""COMPUTED_VALUE"""),"K0L 1L0")</f>
        <v>K0L 1L0</v>
      </c>
      <c r="E4883" s="3" t="str">
        <f>IFERROR(__xludf.DUMMYFUNCTION("""COMPUTED_VALUE"""),"Olivia Maynes")</f>
        <v>Olivia Maynes</v>
      </c>
      <c r="F4883" s="3" t="str">
        <f>IFERROR(__xludf.DUMMYFUNCTION("""COMPUTED_VALUE"""),"oliviamaynes13@gmail.com")</f>
        <v>oliviamaynes13@gmail.com</v>
      </c>
      <c r="G4883" s="3">
        <f>IFERROR(__xludf.DUMMYFUNCTION("""COMPUTED_VALUE"""),7.058683977E9)</f>
        <v>7058683977</v>
      </c>
      <c r="H4883" s="3"/>
    </row>
    <row r="4884">
      <c r="A4884" s="2">
        <f>IFERROR(__xludf.DUMMYFUNCTION("""COMPUTED_VALUE"""),62533.0)</f>
        <v>62533</v>
      </c>
      <c r="B4884" s="3" t="str">
        <f>IFERROR(__xludf.DUMMYFUNCTION("""COMPUTED_VALUE"""),"50 MAHONEY RD  ")</f>
        <v>50 MAHONEY RD  </v>
      </c>
      <c r="C4884" s="3" t="str">
        <f>IFERROR(__xludf.DUMMYFUNCTION("""COMPUTED_VALUE"""),"CAMPBELLFORD")</f>
        <v>CAMPBELLFORD</v>
      </c>
      <c r="D4884" s="3" t="str">
        <f>IFERROR(__xludf.DUMMYFUNCTION("""COMPUTED_VALUE"""),"K0L 1L0")</f>
        <v>K0L 1L0</v>
      </c>
      <c r="E4884" s="3" t="str">
        <f>IFERROR(__xludf.DUMMYFUNCTION("""COMPUTED_VALUE"""),"mark mahoney")</f>
        <v>mark mahoney</v>
      </c>
      <c r="F4884" s="3" t="str">
        <f>IFERROR(__xludf.DUMMYFUNCTION("""COMPUTED_VALUE"""),"bethmahoney00@gmail.com")</f>
        <v>bethmahoney00@gmail.com</v>
      </c>
      <c r="G4884" s="3">
        <f>IFERROR(__xludf.DUMMYFUNCTION("""COMPUTED_VALUE"""),7.056326007E9)</f>
        <v>7056326007</v>
      </c>
      <c r="H4884" s="3"/>
    </row>
    <row r="4885">
      <c r="A4885" s="2">
        <f>IFERROR(__xludf.DUMMYFUNCTION("""COMPUTED_VALUE"""),62534.0)</f>
        <v>62534</v>
      </c>
      <c r="B4885" s="3" t="str">
        <f>IFERROR(__xludf.DUMMYFUNCTION("""COMPUTED_VALUE"""),"66 MAHONEY RD  ")</f>
        <v>66 MAHONEY RD  </v>
      </c>
      <c r="C4885" s="3" t="str">
        <f>IFERROR(__xludf.DUMMYFUNCTION("""COMPUTED_VALUE"""),"CAMPBELLFORD")</f>
        <v>CAMPBELLFORD</v>
      </c>
      <c r="D4885" s="3" t="str">
        <f>IFERROR(__xludf.DUMMYFUNCTION("""COMPUTED_VALUE"""),"K0L 1L0")</f>
        <v>K0L 1L0</v>
      </c>
      <c r="E4885" s="3" t="str">
        <f>IFERROR(__xludf.DUMMYFUNCTION("""COMPUTED_VALUE"""),"teresa davies")</f>
        <v>teresa davies</v>
      </c>
      <c r="F4885" s="3"/>
      <c r="G4885" s="3">
        <f>IFERROR(__xludf.DUMMYFUNCTION("""COMPUTED_VALUE"""),7.056536954E9)</f>
        <v>7056536954</v>
      </c>
      <c r="H4885" s="3"/>
    </row>
    <row r="4886">
      <c r="A4886" s="2">
        <f>IFERROR(__xludf.DUMMYFUNCTION("""COMPUTED_VALUE"""),62535.0)</f>
        <v>62535</v>
      </c>
      <c r="B4886" s="3" t="str">
        <f>IFERROR(__xludf.DUMMYFUNCTION("""COMPUTED_VALUE"""),"72 MAHONEY RD  ")</f>
        <v>72 MAHONEY RD  </v>
      </c>
      <c r="C4886" s="3" t="str">
        <f>IFERROR(__xludf.DUMMYFUNCTION("""COMPUTED_VALUE"""),"CAMPBELLFORD")</f>
        <v>CAMPBELLFORD</v>
      </c>
      <c r="D4886" s="3" t="str">
        <f>IFERROR(__xludf.DUMMYFUNCTION("""COMPUTED_VALUE"""),"K0L 1L0")</f>
        <v>K0L 1L0</v>
      </c>
      <c r="E4886" s="3" t="str">
        <f>IFERROR(__xludf.DUMMYFUNCTION("""COMPUTED_VALUE"""),"Dale McIlmoyl")</f>
        <v>Dale McIlmoyl</v>
      </c>
      <c r="F4886" s="3" t="str">
        <f>IFERROR(__xludf.DUMMYFUNCTION("""COMPUTED_VALUE"""),"6021mac@gmail.com")</f>
        <v>6021mac@gmail.com</v>
      </c>
      <c r="G4886" s="3"/>
      <c r="H4886" s="3"/>
    </row>
    <row r="4887">
      <c r="A4887" s="2">
        <f>IFERROR(__xludf.DUMMYFUNCTION("""COMPUTED_VALUE"""),62536.0)</f>
        <v>62536</v>
      </c>
      <c r="B4887" s="3" t="str">
        <f>IFERROR(__xludf.DUMMYFUNCTION("""COMPUTED_VALUE"""),"101 MAHONEY RD  ")</f>
        <v>101 MAHONEY RD  </v>
      </c>
      <c r="C4887" s="3" t="str">
        <f>IFERROR(__xludf.DUMMYFUNCTION("""COMPUTED_VALUE"""),"CAMPBELLFORD")</f>
        <v>CAMPBELLFORD</v>
      </c>
      <c r="D4887" s="3" t="str">
        <f>IFERROR(__xludf.DUMMYFUNCTION("""COMPUTED_VALUE"""),"K0L 1L0")</f>
        <v>K0L 1L0</v>
      </c>
      <c r="E4887" s="3" t="str">
        <f>IFERROR(__xludf.DUMMYFUNCTION("""COMPUTED_VALUE"""),"george christopoulos and natasha woodworth")</f>
        <v>george christopoulos and natasha woodworth</v>
      </c>
      <c r="F4887" s="3" t="str">
        <f>IFERROR(__xludf.DUMMYFUNCTION("""COMPUTED_VALUE"""),"natwoodworth@gmail.com")</f>
        <v>natwoodworth@gmail.com</v>
      </c>
      <c r="G4887" s="3">
        <f>IFERROR(__xludf.DUMMYFUNCTION("""COMPUTED_VALUE"""),9.053204234E9)</f>
        <v>9053204234</v>
      </c>
      <c r="H4887" s="3"/>
    </row>
    <row r="4888">
      <c r="A4888" s="2">
        <f>IFERROR(__xludf.DUMMYFUNCTION("""COMPUTED_VALUE"""),62537.0)</f>
        <v>62537</v>
      </c>
      <c r="B4888" s="3" t="str">
        <f>IFERROR(__xludf.DUMMYFUNCTION("""COMPUTED_VALUE"""),"178 MAHONEY RD  ")</f>
        <v>178 MAHONEY RD  </v>
      </c>
      <c r="C4888" s="3" t="str">
        <f>IFERROR(__xludf.DUMMYFUNCTION("""COMPUTED_VALUE"""),"CAMPBELLFORD")</f>
        <v>CAMPBELLFORD</v>
      </c>
      <c r="D4888" s="3" t="str">
        <f>IFERROR(__xludf.DUMMYFUNCTION("""COMPUTED_VALUE"""),"K0L 1L0")</f>
        <v>K0L 1L0</v>
      </c>
      <c r="E4888" s="3" t="str">
        <f>IFERROR(__xludf.DUMMYFUNCTION("""COMPUTED_VALUE"""),"david papple ")</f>
        <v>david papple </v>
      </c>
      <c r="F4888" s="3" t="str">
        <f>IFERROR(__xludf.DUMMYFUNCTION("""COMPUTED_VALUE"""),"davidjpapple@gmail.com")</f>
        <v>davidjpapple@gmail.com</v>
      </c>
      <c r="G4888" s="3">
        <f>IFERROR(__xludf.DUMMYFUNCTION("""COMPUTED_VALUE"""),7.05632554E9)</f>
        <v>7056325540</v>
      </c>
      <c r="H4888" s="3">
        <f>IFERROR(__xludf.DUMMYFUNCTION("""COMPUTED_VALUE"""),7.056532961E9)</f>
        <v>7056532961</v>
      </c>
    </row>
    <row r="4889">
      <c r="A4889" s="2">
        <f>IFERROR(__xludf.DUMMYFUNCTION("""COMPUTED_VALUE"""),62538.0)</f>
        <v>62538</v>
      </c>
      <c r="B4889" s="3" t="str">
        <f>IFERROR(__xludf.DUMMYFUNCTION("""COMPUTED_VALUE"""),"201 MAHONEY RD  ")</f>
        <v>201 MAHONEY RD  </v>
      </c>
      <c r="C4889" s="3" t="str">
        <f>IFERROR(__xludf.DUMMYFUNCTION("""COMPUTED_VALUE"""),"CAMPBELLFORD")</f>
        <v>CAMPBELLFORD</v>
      </c>
      <c r="D4889" s="3" t="str">
        <f>IFERROR(__xludf.DUMMYFUNCTION("""COMPUTED_VALUE"""),"K0L 1L0")</f>
        <v>K0L 1L0</v>
      </c>
      <c r="E4889" s="3"/>
      <c r="F4889" s="3"/>
      <c r="G4889" s="3"/>
      <c r="H4889" s="3"/>
    </row>
    <row r="4890">
      <c r="A4890" s="2">
        <f>IFERROR(__xludf.DUMMYFUNCTION("""COMPUTED_VALUE"""),62539.0)</f>
        <v>62539</v>
      </c>
      <c r="B4890" s="3" t="str">
        <f>IFERROR(__xludf.DUMMYFUNCTION("""COMPUTED_VALUE"""),"255 MAHONEY RD  ")</f>
        <v>255 MAHONEY RD  </v>
      </c>
      <c r="C4890" s="3" t="str">
        <f>IFERROR(__xludf.DUMMYFUNCTION("""COMPUTED_VALUE"""),"CAMPBELLFORD")</f>
        <v>CAMPBELLFORD</v>
      </c>
      <c r="D4890" s="3" t="str">
        <f>IFERROR(__xludf.DUMMYFUNCTION("""COMPUTED_VALUE"""),"K0L 1L0")</f>
        <v>K0L 1L0</v>
      </c>
      <c r="E4890" s="3" t="str">
        <f>IFERROR(__xludf.DUMMYFUNCTION("""COMPUTED_VALUE"""),"ann preston ")</f>
        <v>ann preston </v>
      </c>
      <c r="F4890" s="3" t="str">
        <f>IFERROR(__xludf.DUMMYFUNCTION("""COMPUTED_VALUE"""),"thenograinerbaker@gmail.com")</f>
        <v>thenograinerbaker@gmail.com</v>
      </c>
      <c r="G4890" s="3">
        <f>IFERROR(__xludf.DUMMYFUNCTION("""COMPUTED_VALUE"""),7.059574653E9)</f>
        <v>7059574653</v>
      </c>
      <c r="H4890" s="3">
        <f>IFERROR(__xludf.DUMMYFUNCTION("""COMPUTED_VALUE"""),7.059574993E9)</f>
        <v>7059574993</v>
      </c>
    </row>
    <row r="4891">
      <c r="A4891" s="2">
        <f>IFERROR(__xludf.DUMMYFUNCTION("""COMPUTED_VALUE"""),62540.0)</f>
        <v>62540</v>
      </c>
      <c r="B4891" s="3" t="str">
        <f>IFERROR(__xludf.DUMMYFUNCTION("""COMPUTED_VALUE"""),"261 MAHONEY RD  ")</f>
        <v>261 MAHONEY RD  </v>
      </c>
      <c r="C4891" s="3" t="str">
        <f>IFERROR(__xludf.DUMMYFUNCTION("""COMPUTED_VALUE"""),"CAMPBELLFORD")</f>
        <v>CAMPBELLFORD</v>
      </c>
      <c r="D4891" s="3" t="str">
        <f>IFERROR(__xludf.DUMMYFUNCTION("""COMPUTED_VALUE"""),"K0L 1L0")</f>
        <v>K0L 1L0</v>
      </c>
      <c r="E4891" s="3" t="str">
        <f>IFERROR(__xludf.DUMMYFUNCTION("""COMPUTED_VALUE"""),"Lenoard Loga ")</f>
        <v>Lenoard Loga </v>
      </c>
      <c r="F4891" s="3" t="str">
        <f>IFERROR(__xludf.DUMMYFUNCTION("""COMPUTED_VALUE"""),"len6367@yahoo.ca")</f>
        <v>len6367@yahoo.ca</v>
      </c>
      <c r="G4891" s="3"/>
      <c r="H4891" s="3"/>
    </row>
    <row r="4892">
      <c r="A4892" s="2">
        <f>IFERROR(__xludf.DUMMYFUNCTION("""COMPUTED_VALUE"""),62541.0)</f>
        <v>62541</v>
      </c>
      <c r="B4892" s="3" t="str">
        <f>IFERROR(__xludf.DUMMYFUNCTION("""COMPUTED_VALUE"""),"269 MAHONEY RD  ")</f>
        <v>269 MAHONEY RD  </v>
      </c>
      <c r="C4892" s="3" t="str">
        <f>IFERROR(__xludf.DUMMYFUNCTION("""COMPUTED_VALUE"""),"CAMPBELLFORD")</f>
        <v>CAMPBELLFORD</v>
      </c>
      <c r="D4892" s="3" t="str">
        <f>IFERROR(__xludf.DUMMYFUNCTION("""COMPUTED_VALUE"""),"K0L 1L0")</f>
        <v>K0L 1L0</v>
      </c>
      <c r="E4892" s="3"/>
      <c r="F4892" s="3"/>
      <c r="G4892" s="3"/>
      <c r="H4892" s="3"/>
    </row>
    <row r="4893">
      <c r="A4893" s="2">
        <f>IFERROR(__xludf.DUMMYFUNCTION("""COMPUTED_VALUE"""),62542.0)</f>
        <v>62542</v>
      </c>
      <c r="B4893" s="3" t="str">
        <f>IFERROR(__xludf.DUMMYFUNCTION("""COMPUTED_VALUE"""),"277 MAHONEY RD  ")</f>
        <v>277 MAHONEY RD  </v>
      </c>
      <c r="C4893" s="3" t="str">
        <f>IFERROR(__xludf.DUMMYFUNCTION("""COMPUTED_VALUE"""),"CAMPBELLFORD")</f>
        <v>CAMPBELLFORD</v>
      </c>
      <c r="D4893" s="3" t="str">
        <f>IFERROR(__xludf.DUMMYFUNCTION("""COMPUTED_VALUE"""),"K0L 1L0")</f>
        <v>K0L 1L0</v>
      </c>
      <c r="E4893" s="3" t="str">
        <f>IFERROR(__xludf.DUMMYFUNCTION("""COMPUTED_VALUE"""),"charlene ")</f>
        <v>charlene </v>
      </c>
      <c r="F4893" s="3"/>
      <c r="G4893" s="3">
        <f>IFERROR(__xludf.DUMMYFUNCTION("""COMPUTED_VALUE"""),7.056321195E9)</f>
        <v>7056321195</v>
      </c>
      <c r="H4893" s="3"/>
    </row>
    <row r="4894">
      <c r="A4894" s="2">
        <f>IFERROR(__xludf.DUMMYFUNCTION("""COMPUTED_VALUE"""),62543.0)</f>
        <v>62543</v>
      </c>
      <c r="B4894" s="3" t="str">
        <f>IFERROR(__xludf.DUMMYFUNCTION("""COMPUTED_VALUE"""),"285 MAHONEY RD  ")</f>
        <v>285 MAHONEY RD  </v>
      </c>
      <c r="C4894" s="3" t="str">
        <f>IFERROR(__xludf.DUMMYFUNCTION("""COMPUTED_VALUE"""),"CAMPBELLFORD")</f>
        <v>CAMPBELLFORD</v>
      </c>
      <c r="D4894" s="3" t="str">
        <f>IFERROR(__xludf.DUMMYFUNCTION("""COMPUTED_VALUE"""),"K0L 1L0")</f>
        <v>K0L 1L0</v>
      </c>
      <c r="E4894" s="3" t="str">
        <f>IFERROR(__xludf.DUMMYFUNCTION("""COMPUTED_VALUE"""),"mathew foster")</f>
        <v>mathew foster</v>
      </c>
      <c r="F4894" s="3" t="str">
        <f>IFERROR(__xludf.DUMMYFUNCTION("""COMPUTED_VALUE"""),"mathewfoster77@gmail.com")</f>
        <v>mathewfoster77@gmail.com</v>
      </c>
      <c r="G4894" s="3">
        <f>IFERROR(__xludf.DUMMYFUNCTION("""COMPUTED_VALUE"""),7.057403083E9)</f>
        <v>7057403083</v>
      </c>
      <c r="H4894" s="3"/>
    </row>
    <row r="4895">
      <c r="A4895" s="2">
        <f>IFERROR(__xludf.DUMMYFUNCTION("""COMPUTED_VALUE"""),62544.0)</f>
        <v>62544</v>
      </c>
      <c r="B4895" s="3" t="str">
        <f>IFERROR(__xludf.DUMMYFUNCTION("""COMPUTED_VALUE"""),"293 MAHONEY RD  ")</f>
        <v>293 MAHONEY RD  </v>
      </c>
      <c r="C4895" s="3" t="str">
        <f>IFERROR(__xludf.DUMMYFUNCTION("""COMPUTED_VALUE"""),"CAMPBELLFORD")</f>
        <v>CAMPBELLFORD</v>
      </c>
      <c r="D4895" s="3" t="str">
        <f>IFERROR(__xludf.DUMMYFUNCTION("""COMPUTED_VALUE"""),"K0L 1L0")</f>
        <v>K0L 1L0</v>
      </c>
      <c r="E4895" s="3"/>
      <c r="F4895" s="3"/>
      <c r="G4895" s="3"/>
      <c r="H4895" s="3"/>
    </row>
    <row r="4896">
      <c r="A4896" s="2">
        <f>IFERROR(__xludf.DUMMYFUNCTION("""COMPUTED_VALUE"""),62545.0)</f>
        <v>62545</v>
      </c>
      <c r="B4896" s="3" t="str">
        <f>IFERROR(__xludf.DUMMYFUNCTION("""COMPUTED_VALUE"""),"301 MAHONEY RD  ")</f>
        <v>301 MAHONEY RD  </v>
      </c>
      <c r="C4896" s="3" t="str">
        <f>IFERROR(__xludf.DUMMYFUNCTION("""COMPUTED_VALUE"""),"CAMPBELLFORD")</f>
        <v>CAMPBELLFORD</v>
      </c>
      <c r="D4896" s="3" t="str">
        <f>IFERROR(__xludf.DUMMYFUNCTION("""COMPUTED_VALUE"""),"K0L 1L0")</f>
        <v>K0L 1L0</v>
      </c>
      <c r="E4896" s="3" t="str">
        <f>IFERROR(__xludf.DUMMYFUNCTION("""COMPUTED_VALUE"""),"nicole and kirk newton")</f>
        <v>nicole and kirk newton</v>
      </c>
      <c r="F4896" s="3" t="str">
        <f>IFERROR(__xludf.DUMMYFUNCTION("""COMPUTED_VALUE"""),"hamiltonnicole7@gmail.com")</f>
        <v>hamiltonnicole7@gmail.com</v>
      </c>
      <c r="G4896" s="3">
        <f>IFERROR(__xludf.DUMMYFUNCTION("""COMPUTED_VALUE"""),9.052692219E9)</f>
        <v>9052692219</v>
      </c>
      <c r="H4896" s="3"/>
    </row>
    <row r="4897">
      <c r="A4897" s="2">
        <f>IFERROR(__xludf.DUMMYFUNCTION("""COMPUTED_VALUE"""),62546.0)</f>
        <v>62546</v>
      </c>
      <c r="B4897" s="3" t="str">
        <f>IFERROR(__xludf.DUMMYFUNCTION("""COMPUTED_VALUE"""),"305 MAHONEY RD  ")</f>
        <v>305 MAHONEY RD  </v>
      </c>
      <c r="C4897" s="3" t="str">
        <f>IFERROR(__xludf.DUMMYFUNCTION("""COMPUTED_VALUE"""),"CAMPBELLFORD")</f>
        <v>CAMPBELLFORD</v>
      </c>
      <c r="D4897" s="3" t="str">
        <f>IFERROR(__xludf.DUMMYFUNCTION("""COMPUTED_VALUE"""),"K0L 1L0")</f>
        <v>K0L 1L0</v>
      </c>
      <c r="E4897" s="3" t="str">
        <f>IFERROR(__xludf.DUMMYFUNCTION("""COMPUTED_VALUE"""),"James Mahoney ")</f>
        <v>James Mahoney </v>
      </c>
      <c r="F4897" s="3" t="str">
        <f>IFERROR(__xludf.DUMMYFUNCTION("""COMPUTED_VALUE"""),"jmahoney@peterborough.caa")</f>
        <v>jmahoney@peterborough.caa</v>
      </c>
      <c r="G4897" s="3">
        <f>IFERROR(__xludf.DUMMYFUNCTION("""COMPUTED_VALUE"""),7.058753277E9)</f>
        <v>7058753277</v>
      </c>
      <c r="H4897" s="3">
        <f>IFERROR(__xludf.DUMMYFUNCTION("""COMPUTED_VALUE"""),7.058758643E9)</f>
        <v>7058758643</v>
      </c>
    </row>
    <row r="4898">
      <c r="A4898" s="2">
        <f>IFERROR(__xludf.DUMMYFUNCTION("""COMPUTED_VALUE"""),62547.0)</f>
        <v>62547</v>
      </c>
      <c r="B4898" s="3" t="str">
        <f>IFERROR(__xludf.DUMMYFUNCTION("""COMPUTED_VALUE"""),"367 MAHONEY RD  ")</f>
        <v>367 MAHONEY RD  </v>
      </c>
      <c r="C4898" s="3" t="str">
        <f>IFERROR(__xludf.DUMMYFUNCTION("""COMPUTED_VALUE"""),"CAMPBELLFORD")</f>
        <v>CAMPBELLFORD</v>
      </c>
      <c r="D4898" s="3" t="str">
        <f>IFERROR(__xludf.DUMMYFUNCTION("""COMPUTED_VALUE"""),"K0L 1L0")</f>
        <v>K0L 1L0</v>
      </c>
      <c r="E4898" s="3" t="str">
        <f>IFERROR(__xludf.DUMMYFUNCTION("""COMPUTED_VALUE"""),"james mahoney ")</f>
        <v>james mahoney </v>
      </c>
      <c r="F4898" s="3"/>
      <c r="G4898" s="3">
        <f>IFERROR(__xludf.DUMMYFUNCTION("""COMPUTED_VALUE"""),7.056533015E9)</f>
        <v>7056533015</v>
      </c>
      <c r="H4898" s="3"/>
    </row>
    <row r="4899">
      <c r="A4899" s="2">
        <f>IFERROR(__xludf.DUMMYFUNCTION("""COMPUTED_VALUE"""),62548.0)</f>
        <v>62548</v>
      </c>
      <c r="B4899" s="3" t="str">
        <f>IFERROR(__xludf.DUMMYFUNCTION("""COMPUTED_VALUE"""),"518 MAHONEY RD  ")</f>
        <v>518 MAHONEY RD  </v>
      </c>
      <c r="C4899" s="3" t="str">
        <f>IFERROR(__xludf.DUMMYFUNCTION("""COMPUTED_VALUE"""),"CAMPBELLFORD")</f>
        <v>CAMPBELLFORD</v>
      </c>
      <c r="D4899" s="3" t="str">
        <f>IFERROR(__xludf.DUMMYFUNCTION("""COMPUTED_VALUE"""),"K0L 1L0")</f>
        <v>K0L 1L0</v>
      </c>
      <c r="E4899" s="3"/>
      <c r="F4899" s="3"/>
      <c r="G4899" s="3"/>
      <c r="H4899" s="3"/>
    </row>
    <row r="4900">
      <c r="A4900" s="2">
        <f>IFERROR(__xludf.DUMMYFUNCTION("""COMPUTED_VALUE"""),60294.0)</f>
        <v>60294</v>
      </c>
      <c r="B4900" s="3" t="str">
        <f>IFERROR(__xludf.DUMMYFUNCTION("""COMPUTED_VALUE"""),"220 BANNON RD")</f>
        <v>220 BANNON RD</v>
      </c>
      <c r="C4900" s="3" t="str">
        <f>IFERROR(__xludf.DUMMYFUNCTION("""COMPUTED_VALUE"""),"CAMPBELLFORD")</f>
        <v>CAMPBELLFORD</v>
      </c>
      <c r="D4900" s="3" t="str">
        <f>IFERROR(__xludf.DUMMYFUNCTION("""COMPUTED_VALUE"""),"K0L 1L0")</f>
        <v>K0L 1L0</v>
      </c>
      <c r="E4900" s="3" t="str">
        <f>IFERROR(__xludf.DUMMYFUNCTION("""COMPUTED_VALUE"""),"James Rosin")</f>
        <v>James Rosin</v>
      </c>
      <c r="F4900" s="3" t="str">
        <f>IFERROR(__xludf.DUMMYFUNCTION("""COMPUTED_VALUE"""),"rosin@live.ca")</f>
        <v>rosin@live.ca</v>
      </c>
      <c r="G4900" s="3">
        <f>IFERROR(__xludf.DUMMYFUNCTION("""COMPUTED_VALUE"""),7.057555557E9)</f>
        <v>7057555557</v>
      </c>
      <c r="H4900" s="3">
        <f>IFERROR(__xludf.DUMMYFUNCTION("""COMPUTED_VALUE"""),7.057727722E9)</f>
        <v>7057727722</v>
      </c>
    </row>
    <row r="4901">
      <c r="A4901" s="2">
        <f>IFERROR(__xludf.DUMMYFUNCTION("""COMPUTED_VALUE"""),60295.0)</f>
        <v>60295</v>
      </c>
      <c r="B4901" s="3" t="str">
        <f>IFERROR(__xludf.DUMMYFUNCTION("""COMPUTED_VALUE"""),"396 BANNON RD")</f>
        <v>396 BANNON RD</v>
      </c>
      <c r="C4901" s="3" t="str">
        <f>IFERROR(__xludf.DUMMYFUNCTION("""COMPUTED_VALUE"""),"CAMPBELLFORD")</f>
        <v>CAMPBELLFORD</v>
      </c>
      <c r="D4901" s="3" t="str">
        <f>IFERROR(__xludf.DUMMYFUNCTION("""COMPUTED_VALUE"""),"K0L 1L0")</f>
        <v>K0L 1L0</v>
      </c>
      <c r="E4901" s="3"/>
      <c r="F4901" s="3"/>
      <c r="G4901" s="3"/>
      <c r="H4901" s="3"/>
    </row>
    <row r="4902">
      <c r="A4902" s="2">
        <f>IFERROR(__xludf.DUMMYFUNCTION("""COMPUTED_VALUE"""),60296.0)</f>
        <v>60296</v>
      </c>
      <c r="B4902" s="3" t="str">
        <f>IFERROR(__xludf.DUMMYFUNCTION("""COMPUTED_VALUE"""),"401 BANNON RD")</f>
        <v>401 BANNON RD</v>
      </c>
      <c r="C4902" s="3" t="str">
        <f>IFERROR(__xludf.DUMMYFUNCTION("""COMPUTED_VALUE"""),"CAMPBELLFORD")</f>
        <v>CAMPBELLFORD</v>
      </c>
      <c r="D4902" s="3" t="str">
        <f>IFERROR(__xludf.DUMMYFUNCTION("""COMPUTED_VALUE"""),"K0L 1L0")</f>
        <v>K0L 1L0</v>
      </c>
      <c r="E4902" s="3" t="str">
        <f>IFERROR(__xludf.DUMMYFUNCTION("""COMPUTED_VALUE"""),"Robert Cork")</f>
        <v>Robert Cork</v>
      </c>
      <c r="F4902" s="3"/>
      <c r="G4902" s="3"/>
      <c r="H4902" s="3"/>
    </row>
    <row r="4903">
      <c r="A4903" s="2">
        <f>IFERROR(__xludf.DUMMYFUNCTION("""COMPUTED_VALUE"""),60297.0)</f>
        <v>60297</v>
      </c>
      <c r="B4903" s="3" t="str">
        <f>IFERROR(__xludf.DUMMYFUNCTION("""COMPUTED_VALUE"""),"465 BANNON RD")</f>
        <v>465 BANNON RD</v>
      </c>
      <c r="C4903" s="3" t="str">
        <f>IFERROR(__xludf.DUMMYFUNCTION("""COMPUTED_VALUE"""),"CAMPBELLFORD")</f>
        <v>CAMPBELLFORD</v>
      </c>
      <c r="D4903" s="3" t="str">
        <f>IFERROR(__xludf.DUMMYFUNCTION("""COMPUTED_VALUE"""),"K0L 1L0")</f>
        <v>K0L 1L0</v>
      </c>
      <c r="E4903" s="3"/>
      <c r="F4903" s="3"/>
      <c r="G4903" s="3"/>
      <c r="H4903" s="3"/>
    </row>
    <row r="4904">
      <c r="A4904" s="2">
        <f>IFERROR(__xludf.DUMMYFUNCTION("""COMPUTED_VALUE"""),60298.0)</f>
        <v>60298</v>
      </c>
      <c r="B4904" s="3" t="str">
        <f>IFERROR(__xludf.DUMMYFUNCTION("""COMPUTED_VALUE"""),"466 BANNON RD")</f>
        <v>466 BANNON RD</v>
      </c>
      <c r="C4904" s="3" t="str">
        <f>IFERROR(__xludf.DUMMYFUNCTION("""COMPUTED_VALUE"""),"CAMPBELLFORD")</f>
        <v>CAMPBELLFORD</v>
      </c>
      <c r="D4904" s="3" t="str">
        <f>IFERROR(__xludf.DUMMYFUNCTION("""COMPUTED_VALUE"""),"K0L 1L0")</f>
        <v>K0L 1L0</v>
      </c>
      <c r="E4904" s="3" t="str">
        <f>IFERROR(__xludf.DUMMYFUNCTION("""COMPUTED_VALUE"""),"Brad Kirkland")</f>
        <v>Brad Kirkland</v>
      </c>
      <c r="F4904" s="3" t="str">
        <f>IFERROR(__xludf.DUMMYFUNCTION("""COMPUTED_VALUE"""),"kirklandmichelle4@gmail.com")</f>
        <v>kirklandmichelle4@gmail.com</v>
      </c>
      <c r="G4904" s="3"/>
      <c r="H4904" s="3"/>
    </row>
    <row r="4905">
      <c r="A4905" s="2">
        <f>IFERROR(__xludf.DUMMYFUNCTION("""COMPUTED_VALUE"""),60299.0)</f>
        <v>60299</v>
      </c>
      <c r="B4905" s="3" t="str">
        <f>IFERROR(__xludf.DUMMYFUNCTION("""COMPUTED_VALUE"""),"482 BANNON RD")</f>
        <v>482 BANNON RD</v>
      </c>
      <c r="C4905" s="3" t="str">
        <f>IFERROR(__xludf.DUMMYFUNCTION("""COMPUTED_VALUE"""),"CAMPBELLFORD")</f>
        <v>CAMPBELLFORD</v>
      </c>
      <c r="D4905" s="3" t="str">
        <f>IFERROR(__xludf.DUMMYFUNCTION("""COMPUTED_VALUE"""),"K0L 1L0")</f>
        <v>K0L 1L0</v>
      </c>
      <c r="E4905" s="3" t="str">
        <f>IFERROR(__xludf.DUMMYFUNCTION("""COMPUTED_VALUE"""),"Shirley Grills")</f>
        <v>Shirley Grills</v>
      </c>
      <c r="F4905" s="3" t="str">
        <f>IFERROR(__xludf.DUMMYFUNCTION("""COMPUTED_VALUE"""),"e.schap@hotmail.com")</f>
        <v>e.schap@hotmail.com</v>
      </c>
      <c r="G4905" s="3"/>
      <c r="H4905" s="3"/>
    </row>
    <row r="4906">
      <c r="A4906" s="2">
        <f>IFERROR(__xludf.DUMMYFUNCTION("""COMPUTED_VALUE"""),60300.0)</f>
        <v>60300</v>
      </c>
      <c r="B4906" s="3" t="str">
        <f>IFERROR(__xludf.DUMMYFUNCTION("""COMPUTED_VALUE"""),"489 BANNON RD")</f>
        <v>489 BANNON RD</v>
      </c>
      <c r="C4906" s="3" t="str">
        <f>IFERROR(__xludf.DUMMYFUNCTION("""COMPUTED_VALUE"""),"CAMPBELLFORD")</f>
        <v>CAMPBELLFORD</v>
      </c>
      <c r="D4906" s="3" t="str">
        <f>IFERROR(__xludf.DUMMYFUNCTION("""COMPUTED_VALUE"""),"K0L 1L0")</f>
        <v>K0L 1L0</v>
      </c>
      <c r="E4906" s="3" t="str">
        <f>IFERROR(__xludf.DUMMYFUNCTION("""COMPUTED_VALUE"""),"Steve Russel")</f>
        <v>Steve Russel</v>
      </c>
      <c r="F4906" s="3" t="str">
        <f>IFERROR(__xludf.DUMMYFUNCTION("""COMPUTED_VALUE"""),"joedirtt2000@yahoo.com")</f>
        <v>joedirtt2000@yahoo.com</v>
      </c>
      <c r="G4906" s="3"/>
      <c r="H4906" s="3"/>
    </row>
    <row r="4907">
      <c r="A4907" s="2">
        <f>IFERROR(__xludf.DUMMYFUNCTION("""COMPUTED_VALUE"""),60301.0)</f>
        <v>60301</v>
      </c>
      <c r="B4907" s="3" t="str">
        <f>IFERROR(__xludf.DUMMYFUNCTION("""COMPUTED_VALUE"""),"509 BANNON RD")</f>
        <v>509 BANNON RD</v>
      </c>
      <c r="C4907" s="3" t="str">
        <f>IFERROR(__xludf.DUMMYFUNCTION("""COMPUTED_VALUE"""),"CAMPBELLFORD")</f>
        <v>CAMPBELLFORD</v>
      </c>
      <c r="D4907" s="3" t="str">
        <f>IFERROR(__xludf.DUMMYFUNCTION("""COMPUTED_VALUE"""),"K0L 1L0")</f>
        <v>K0L 1L0</v>
      </c>
      <c r="E4907" s="3" t="str">
        <f>IFERROR(__xludf.DUMMYFUNCTION("""COMPUTED_VALUE"""),"Rodney Torrance")</f>
        <v>Rodney Torrance</v>
      </c>
      <c r="F4907" s="3" t="str">
        <f>IFERROR(__xludf.DUMMYFUNCTION("""COMPUTED_VALUE"""),"torrancer@northumberland.ca")</f>
        <v>torrancer@northumberland.ca</v>
      </c>
      <c r="G4907" s="3">
        <f>IFERROR(__xludf.DUMMYFUNCTION("""COMPUTED_VALUE"""),9.053764436E9)</f>
        <v>9053764436</v>
      </c>
      <c r="H4907" s="3">
        <f>IFERROR(__xludf.DUMMYFUNCTION("""COMPUTED_VALUE"""),7.056329209E9)</f>
        <v>7056329209</v>
      </c>
    </row>
    <row r="4908">
      <c r="A4908" s="2">
        <f>IFERROR(__xludf.DUMMYFUNCTION("""COMPUTED_VALUE"""),60302.0)</f>
        <v>60302</v>
      </c>
      <c r="B4908" s="3" t="str">
        <f>IFERROR(__xludf.DUMMYFUNCTION("""COMPUTED_VALUE"""),"519 BANNON RD")</f>
        <v>519 BANNON RD</v>
      </c>
      <c r="C4908" s="3" t="str">
        <f>IFERROR(__xludf.DUMMYFUNCTION("""COMPUTED_VALUE"""),"CAMPBELLFORD")</f>
        <v>CAMPBELLFORD</v>
      </c>
      <c r="D4908" s="3" t="str">
        <f>IFERROR(__xludf.DUMMYFUNCTION("""COMPUTED_VALUE"""),"K0L 1L0")</f>
        <v>K0L 1L0</v>
      </c>
      <c r="E4908" s="3"/>
      <c r="F4908" s="3"/>
      <c r="G4908" s="3"/>
      <c r="H4908" s="3"/>
    </row>
    <row r="4909">
      <c r="A4909" s="2">
        <f>IFERROR(__xludf.DUMMYFUNCTION("""COMPUTED_VALUE"""),60303.0)</f>
        <v>60303</v>
      </c>
      <c r="B4909" s="3" t="str">
        <f>IFERROR(__xludf.DUMMYFUNCTION("""COMPUTED_VALUE"""),"524 BANNON RD")</f>
        <v>524 BANNON RD</v>
      </c>
      <c r="C4909" s="3" t="str">
        <f>IFERROR(__xludf.DUMMYFUNCTION("""COMPUTED_VALUE"""),"CAMPBELLFORD")</f>
        <v>CAMPBELLFORD</v>
      </c>
      <c r="D4909" s="3" t="str">
        <f>IFERROR(__xludf.DUMMYFUNCTION("""COMPUTED_VALUE"""),"K0L 1L0")</f>
        <v>K0L 1L0</v>
      </c>
      <c r="E4909" s="3" t="str">
        <f>IFERROR(__xludf.DUMMYFUNCTION("""COMPUTED_VALUE"""),"Bryce Bull")</f>
        <v>Bryce Bull</v>
      </c>
      <c r="F4909" s="3" t="str">
        <f>IFERROR(__xludf.DUMMYFUNCTION("""COMPUTED_VALUE"""),"dgbull@sympatico.ca")</f>
        <v>dgbull@sympatico.ca</v>
      </c>
      <c r="G4909" s="3"/>
      <c r="H4909" s="3"/>
    </row>
    <row r="4910">
      <c r="A4910" s="2">
        <f>IFERROR(__xludf.DUMMYFUNCTION("""COMPUTED_VALUE"""),60304.0)</f>
        <v>60304</v>
      </c>
      <c r="B4910" s="3" t="str">
        <f>IFERROR(__xludf.DUMMYFUNCTION("""COMPUTED_VALUE"""),"531 BANNON RD")</f>
        <v>531 BANNON RD</v>
      </c>
      <c r="C4910" s="3" t="str">
        <f>IFERROR(__xludf.DUMMYFUNCTION("""COMPUTED_VALUE"""),"CAMPBELLFORD")</f>
        <v>CAMPBELLFORD</v>
      </c>
      <c r="D4910" s="3" t="str">
        <f>IFERROR(__xludf.DUMMYFUNCTION("""COMPUTED_VALUE"""),"K0L 1L0")</f>
        <v>K0L 1L0</v>
      </c>
      <c r="E4910" s="3" t="str">
        <f>IFERROR(__xludf.DUMMYFUNCTION("""COMPUTED_VALUE"""),"joe bannon ")</f>
        <v>joe bannon </v>
      </c>
      <c r="F4910" s="3" t="str">
        <f>IFERROR(__xludf.DUMMYFUNCTION("""COMPUTED_VALUE"""),"joebannon06@gmail.com")</f>
        <v>joebannon06@gmail.com</v>
      </c>
      <c r="G4910" s="3">
        <f>IFERROR(__xludf.DUMMYFUNCTION("""COMPUTED_VALUE"""),7.055593242E9)</f>
        <v>7055593242</v>
      </c>
      <c r="H4910" s="3"/>
    </row>
    <row r="4911">
      <c r="A4911" s="2">
        <f>IFERROR(__xludf.DUMMYFUNCTION("""COMPUTED_VALUE"""),60305.0)</f>
        <v>60305</v>
      </c>
      <c r="B4911" s="3" t="str">
        <f>IFERROR(__xludf.DUMMYFUNCTION("""COMPUTED_VALUE"""),"538 BANNON RD")</f>
        <v>538 BANNON RD</v>
      </c>
      <c r="C4911" s="3" t="str">
        <f>IFERROR(__xludf.DUMMYFUNCTION("""COMPUTED_VALUE"""),"CAMPBELLFORD")</f>
        <v>CAMPBELLFORD</v>
      </c>
      <c r="D4911" s="3" t="str">
        <f>IFERROR(__xludf.DUMMYFUNCTION("""COMPUTED_VALUE"""),"K0L 1L0")</f>
        <v>K0L 1L0</v>
      </c>
      <c r="E4911" s="3" t="str">
        <f>IFERROR(__xludf.DUMMYFUNCTION("""COMPUTED_VALUE"""),"Izaak Monster")</f>
        <v>Izaak Monster</v>
      </c>
      <c r="F4911" s="3" t="str">
        <f>IFERROR(__xludf.DUMMYFUNCTION("""COMPUTED_VALUE"""),"ansmonster@hotmail.com")</f>
        <v>ansmonster@hotmail.com</v>
      </c>
      <c r="G4911" s="3">
        <f>IFERROR(__xludf.DUMMYFUNCTION("""COMPUTED_VALUE"""),1.7056531607E10)</f>
        <v>17056531607</v>
      </c>
      <c r="H4911" s="3">
        <f>IFERROR(__xludf.DUMMYFUNCTION("""COMPUTED_VALUE"""),1.7059308281E10)</f>
        <v>17059308281</v>
      </c>
    </row>
    <row r="4912">
      <c r="A4912" s="2">
        <f>IFERROR(__xludf.DUMMYFUNCTION("""COMPUTED_VALUE"""),60306.0)</f>
        <v>60306</v>
      </c>
      <c r="B4912" s="3" t="str">
        <f>IFERROR(__xludf.DUMMYFUNCTION("""COMPUTED_VALUE"""),"573 BANNON RD")</f>
        <v>573 BANNON RD</v>
      </c>
      <c r="C4912" s="3" t="str">
        <f>IFERROR(__xludf.DUMMYFUNCTION("""COMPUTED_VALUE"""),"CAMPBELLFORD")</f>
        <v>CAMPBELLFORD</v>
      </c>
      <c r="D4912" s="3" t="str">
        <f>IFERROR(__xludf.DUMMYFUNCTION("""COMPUTED_VALUE"""),"K0L 1L0")</f>
        <v>K0L 1L0</v>
      </c>
      <c r="E4912" s="3"/>
      <c r="F4912" s="3"/>
      <c r="G4912" s="3"/>
      <c r="H4912" s="3"/>
    </row>
    <row r="4913">
      <c r="A4913" s="2">
        <f>IFERROR(__xludf.DUMMYFUNCTION("""COMPUTED_VALUE"""),60307.0)</f>
        <v>60307</v>
      </c>
      <c r="B4913" s="3" t="str">
        <f>IFERROR(__xludf.DUMMYFUNCTION("""COMPUTED_VALUE"""),"581 BANNON RD")</f>
        <v>581 BANNON RD</v>
      </c>
      <c r="C4913" s="3" t="str">
        <f>IFERROR(__xludf.DUMMYFUNCTION("""COMPUTED_VALUE"""),"CAMPBELLFORD")</f>
        <v>CAMPBELLFORD</v>
      </c>
      <c r="D4913" s="3" t="str">
        <f>IFERROR(__xludf.DUMMYFUNCTION("""COMPUTED_VALUE"""),"K0L 1L0")</f>
        <v>K0L 1L0</v>
      </c>
      <c r="E4913" s="3"/>
      <c r="F4913" s="3"/>
      <c r="G4913" s="3"/>
      <c r="H4913" s="3"/>
    </row>
    <row r="4914">
      <c r="A4914" s="2">
        <f>IFERROR(__xludf.DUMMYFUNCTION("""COMPUTED_VALUE"""),61069.0)</f>
        <v>61069</v>
      </c>
      <c r="B4914" s="3" t="str">
        <f>IFERROR(__xludf.DUMMYFUNCTION("""COMPUTED_VALUE"""),"240 CONCESSION RD 6 RD E ")</f>
        <v>240 CONCESSION RD 6 RD E </v>
      </c>
      <c r="C4914" s="3" t="str">
        <f>IFERROR(__xludf.DUMMYFUNCTION("""COMPUTED_VALUE"""),"WARKWORTH")</f>
        <v>WARKWORTH</v>
      </c>
      <c r="D4914" s="3" t="str">
        <f>IFERROR(__xludf.DUMMYFUNCTION("""COMPUTED_VALUE"""),"K0K 3K0")</f>
        <v>K0K 3K0</v>
      </c>
      <c r="E4914" s="3" t="str">
        <f>IFERROR(__xludf.DUMMYFUNCTION("""COMPUTED_VALUE"""),"wendy murdoch ")</f>
        <v>wendy murdoch </v>
      </c>
      <c r="F4914" s="3" t="str">
        <f>IFERROR(__xludf.DUMMYFUNCTION("""COMPUTED_VALUE"""),"thewitchisin@live.ca")</f>
        <v>thewitchisin@live.ca</v>
      </c>
      <c r="G4914" s="3">
        <f>IFERROR(__xludf.DUMMYFUNCTION("""COMPUTED_VALUE"""),2.896750561E9)</f>
        <v>2896750561</v>
      </c>
      <c r="H4914" s="3"/>
    </row>
    <row r="4915">
      <c r="A4915" s="2">
        <f>IFERROR(__xludf.DUMMYFUNCTION("""COMPUTED_VALUE"""),61070.0)</f>
        <v>61070</v>
      </c>
      <c r="B4915" s="3" t="str">
        <f>IFERROR(__xludf.DUMMYFUNCTION("""COMPUTED_VALUE"""),"251 CONCESSION RD 6 RD E ")</f>
        <v>251 CONCESSION RD 6 RD E </v>
      </c>
      <c r="C4915" s="3" t="str">
        <f>IFERROR(__xludf.DUMMYFUNCTION("""COMPUTED_VALUE"""),"WARKWORTH")</f>
        <v>WARKWORTH</v>
      </c>
      <c r="D4915" s="3" t="str">
        <f>IFERROR(__xludf.DUMMYFUNCTION("""COMPUTED_VALUE"""),"K0K 3K0")</f>
        <v>K0K 3K0</v>
      </c>
      <c r="E4915" s="3" t="str">
        <f>IFERROR(__xludf.DUMMYFUNCTION("""COMPUTED_VALUE"""),"Frank Nabert")</f>
        <v>Frank Nabert</v>
      </c>
      <c r="F4915" s="3" t="str">
        <f>IFERROR(__xludf.DUMMYFUNCTION("""COMPUTED_VALUE"""),"Naberts@live.ca")</f>
        <v>Naberts@live.ca</v>
      </c>
      <c r="G4915" s="3">
        <f>IFERROR(__xludf.DUMMYFUNCTION("""COMPUTED_VALUE"""),7.053950696E9)</f>
        <v>7053950696</v>
      </c>
      <c r="H4915" s="3">
        <f>IFERROR(__xludf.DUMMYFUNCTION("""COMPUTED_VALUE"""),7.053951957E9)</f>
        <v>7053951957</v>
      </c>
    </row>
    <row r="4916">
      <c r="A4916" s="2">
        <f>IFERROR(__xludf.DUMMYFUNCTION("""COMPUTED_VALUE"""),61071.0)</f>
        <v>61071</v>
      </c>
      <c r="B4916" s="3" t="str">
        <f>IFERROR(__xludf.DUMMYFUNCTION("""COMPUTED_VALUE"""),"273 CONCESSION RD 6 RD E ")</f>
        <v>273 CONCESSION RD 6 RD E </v>
      </c>
      <c r="C4916" s="3" t="str">
        <f>IFERROR(__xludf.DUMMYFUNCTION("""COMPUTED_VALUE"""),"WARKWORTH")</f>
        <v>WARKWORTH</v>
      </c>
      <c r="D4916" s="3" t="str">
        <f>IFERROR(__xludf.DUMMYFUNCTION("""COMPUTED_VALUE"""),"K0K 3K0")</f>
        <v>K0K 3K0</v>
      </c>
      <c r="E4916" s="3" t="str">
        <f>IFERROR(__xludf.DUMMYFUNCTION("""COMPUTED_VALUE"""),"Lindsay Gosse")</f>
        <v>Lindsay Gosse</v>
      </c>
      <c r="F4916" s="3" t="str">
        <f>IFERROR(__xludf.DUMMYFUNCTION("""COMPUTED_VALUE"""),"lindsay.gosse@gmail.com")</f>
        <v>lindsay.gosse@gmail.com</v>
      </c>
      <c r="G4916" s="3">
        <f>IFERROR(__xludf.DUMMYFUNCTION("""COMPUTED_VALUE"""),4.166274186E9)</f>
        <v>4166274186</v>
      </c>
      <c r="H4916" s="3"/>
    </row>
    <row r="4917">
      <c r="A4917" s="2">
        <f>IFERROR(__xludf.DUMMYFUNCTION("""COMPUTED_VALUE"""),61072.0)</f>
        <v>61072</v>
      </c>
      <c r="B4917" s="3" t="str">
        <f>IFERROR(__xludf.DUMMYFUNCTION("""COMPUTED_VALUE"""),"314 CONCESSION RD 6 RD E ")</f>
        <v>314 CONCESSION RD 6 RD E </v>
      </c>
      <c r="C4917" s="3" t="str">
        <f>IFERROR(__xludf.DUMMYFUNCTION("""COMPUTED_VALUE"""),"WARKWORTH")</f>
        <v>WARKWORTH</v>
      </c>
      <c r="D4917" s="3" t="str">
        <f>IFERROR(__xludf.DUMMYFUNCTION("""COMPUTED_VALUE"""),"K0K 3K0")</f>
        <v>K0K 3K0</v>
      </c>
      <c r="E4917" s="3" t="str">
        <f>IFERROR(__xludf.DUMMYFUNCTION("""COMPUTED_VALUE"""),"Bill Nicholson")</f>
        <v>Bill Nicholson</v>
      </c>
      <c r="F4917" s="3" t="str">
        <f>IFERROR(__xludf.DUMMYFUNCTION("""COMPUTED_VALUE"""),"billandmackie@live.ca")</f>
        <v>billandmackie@live.ca</v>
      </c>
      <c r="G4917" s="3"/>
      <c r="H4917" s="3"/>
    </row>
    <row r="4918">
      <c r="A4918" s="2">
        <f>IFERROR(__xludf.DUMMYFUNCTION("""COMPUTED_VALUE"""),61073.0)</f>
        <v>61073</v>
      </c>
      <c r="B4918" s="3" t="str">
        <f>IFERROR(__xludf.DUMMYFUNCTION("""COMPUTED_VALUE"""),"327 CONCESSION RD 6 RD E ")</f>
        <v>327 CONCESSION RD 6 RD E </v>
      </c>
      <c r="C4918" s="3" t="str">
        <f>IFERROR(__xludf.DUMMYFUNCTION("""COMPUTED_VALUE"""),"WARKWORTH")</f>
        <v>WARKWORTH</v>
      </c>
      <c r="D4918" s="3" t="str">
        <f>IFERROR(__xludf.DUMMYFUNCTION("""COMPUTED_VALUE"""),"K0K 3K0")</f>
        <v>K0K 3K0</v>
      </c>
      <c r="E4918" s="3" t="str">
        <f>IFERROR(__xludf.DUMMYFUNCTION("""COMPUTED_VALUE"""),"John Charlton")</f>
        <v>John Charlton</v>
      </c>
      <c r="F4918" s="3" t="str">
        <f>IFERROR(__xludf.DUMMYFUNCTION("""COMPUTED_VALUE"""),"john.charlton@gmail.com")</f>
        <v>john.charlton@gmail.com</v>
      </c>
      <c r="G4918" s="3">
        <f>IFERROR(__xludf.DUMMYFUNCTION("""COMPUTED_VALUE"""),2.892511506E9)</f>
        <v>2892511506</v>
      </c>
      <c r="H4918" s="3"/>
    </row>
    <row r="4919">
      <c r="A4919" s="2">
        <f>IFERROR(__xludf.DUMMYFUNCTION("""COMPUTED_VALUE"""),61074.0)</f>
        <v>61074</v>
      </c>
      <c r="B4919" s="3" t="str">
        <f>IFERROR(__xludf.DUMMYFUNCTION("""COMPUTED_VALUE"""),"332 CONCESSION RD 6 RD E ")</f>
        <v>332 CONCESSION RD 6 RD E </v>
      </c>
      <c r="C4919" s="3" t="str">
        <f>IFERROR(__xludf.DUMMYFUNCTION("""COMPUTED_VALUE"""),"WARKWORTH")</f>
        <v>WARKWORTH</v>
      </c>
      <c r="D4919" s="3" t="str">
        <f>IFERROR(__xludf.DUMMYFUNCTION("""COMPUTED_VALUE"""),"K0K 3K0")</f>
        <v>K0K 3K0</v>
      </c>
      <c r="E4919" s="3" t="str">
        <f>IFERROR(__xludf.DUMMYFUNCTION("""COMPUTED_VALUE"""),"Chris &amp; Alison Whiklo")</f>
        <v>Chris &amp; Alison Whiklo</v>
      </c>
      <c r="F4919" s="3" t="str">
        <f>IFERROR(__xludf.DUMMYFUNCTION("""COMPUTED_VALUE"""),"wikwik9@gmail.com")</f>
        <v>wikwik9@gmail.com</v>
      </c>
      <c r="G4919" s="3">
        <f>IFERROR(__xludf.DUMMYFUNCTION("""COMPUTED_VALUE"""),7.059339457E9)</f>
        <v>7059339457</v>
      </c>
      <c r="H4919" s="3"/>
    </row>
    <row r="4920">
      <c r="A4920" s="2">
        <f>IFERROR(__xludf.DUMMYFUNCTION("""COMPUTED_VALUE"""),61075.0)</f>
        <v>61075</v>
      </c>
      <c r="B4920" s="3" t="str">
        <f>IFERROR(__xludf.DUMMYFUNCTION("""COMPUTED_VALUE"""),"338 CONCESSION RD 6 RD E ")</f>
        <v>338 CONCESSION RD 6 RD E </v>
      </c>
      <c r="C4920" s="3" t="str">
        <f>IFERROR(__xludf.DUMMYFUNCTION("""COMPUTED_VALUE"""),"WARKWORTH")</f>
        <v>WARKWORTH</v>
      </c>
      <c r="D4920" s="3" t="str">
        <f>IFERROR(__xludf.DUMMYFUNCTION("""COMPUTED_VALUE"""),"K0K 3K0")</f>
        <v>K0K 3K0</v>
      </c>
      <c r="E4920" s="3" t="str">
        <f>IFERROR(__xludf.DUMMYFUNCTION("""COMPUTED_VALUE"""),"Mark Reid")</f>
        <v>Mark Reid</v>
      </c>
      <c r="F4920" s="3" t="str">
        <f>IFERROR(__xludf.DUMMYFUNCTION("""COMPUTED_VALUE"""),"mgreid2010@gmail.com")</f>
        <v>mgreid2010@gmail.com</v>
      </c>
      <c r="G4920" s="3">
        <f>IFERROR(__xludf.DUMMYFUNCTION("""COMPUTED_VALUE"""),6.136615088E9)</f>
        <v>6136615088</v>
      </c>
      <c r="H4920" s="3"/>
    </row>
    <row r="4921">
      <c r="A4921" s="2">
        <f>IFERROR(__xludf.DUMMYFUNCTION("""COMPUTED_VALUE"""),61076.0)</f>
        <v>61076</v>
      </c>
      <c r="B4921" s="3" t="str">
        <f>IFERROR(__xludf.DUMMYFUNCTION("""COMPUTED_VALUE"""),"347 CONCESSION RD 6 RD E ")</f>
        <v>347 CONCESSION RD 6 RD E </v>
      </c>
      <c r="C4921" s="3" t="str">
        <f>IFERROR(__xludf.DUMMYFUNCTION("""COMPUTED_VALUE"""),"WARKWORTH")</f>
        <v>WARKWORTH</v>
      </c>
      <c r="D4921" s="3" t="str">
        <f>IFERROR(__xludf.DUMMYFUNCTION("""COMPUTED_VALUE"""),"K0K 3K0")</f>
        <v>K0K 3K0</v>
      </c>
      <c r="E4921" s="3" t="str">
        <f>IFERROR(__xludf.DUMMYFUNCTION("""COMPUTED_VALUE"""),"Samgar Prabaharan")</f>
        <v>Samgar Prabaharan</v>
      </c>
      <c r="F4921" s="3" t="str">
        <f>IFERROR(__xludf.DUMMYFUNCTION("""COMPUTED_VALUE"""),"samgar17@gmail.com")</f>
        <v>samgar17@gmail.com</v>
      </c>
      <c r="G4921" s="3"/>
      <c r="H4921" s="3"/>
    </row>
    <row r="4922">
      <c r="A4922" s="2">
        <f>IFERROR(__xludf.DUMMYFUNCTION("""COMPUTED_VALUE"""),61077.0)</f>
        <v>61077</v>
      </c>
      <c r="B4922" s="3" t="str">
        <f>IFERROR(__xludf.DUMMYFUNCTION("""COMPUTED_VALUE"""),"348 CONCESSION RD 6 RD E ")</f>
        <v>348 CONCESSION RD 6 RD E </v>
      </c>
      <c r="C4922" s="3" t="str">
        <f>IFERROR(__xludf.DUMMYFUNCTION("""COMPUTED_VALUE"""),"WARKWORTH")</f>
        <v>WARKWORTH</v>
      </c>
      <c r="D4922" s="3" t="str">
        <f>IFERROR(__xludf.DUMMYFUNCTION("""COMPUTED_VALUE"""),"K0K 3K0")</f>
        <v>K0K 3K0</v>
      </c>
      <c r="E4922" s="3"/>
      <c r="F4922" s="3"/>
      <c r="G4922" s="3"/>
      <c r="H4922" s="3"/>
    </row>
    <row r="4923">
      <c r="A4923" s="2">
        <f>IFERROR(__xludf.DUMMYFUNCTION("""COMPUTED_VALUE"""),61078.0)</f>
        <v>61078</v>
      </c>
      <c r="B4923" s="3" t="str">
        <f>IFERROR(__xludf.DUMMYFUNCTION("""COMPUTED_VALUE"""),"360 CONCESSION RD 6 RD E ")</f>
        <v>360 CONCESSION RD 6 RD E </v>
      </c>
      <c r="C4923" s="3" t="str">
        <f>IFERROR(__xludf.DUMMYFUNCTION("""COMPUTED_VALUE"""),"WARKWORTH")</f>
        <v>WARKWORTH</v>
      </c>
      <c r="D4923" s="3" t="str">
        <f>IFERROR(__xludf.DUMMYFUNCTION("""COMPUTED_VALUE"""),"K0K 3K0")</f>
        <v>K0K 3K0</v>
      </c>
      <c r="E4923" s="3" t="str">
        <f>IFERROR(__xludf.DUMMYFUNCTION("""COMPUTED_VALUE""")," Bradley Mcaree")</f>
        <v> Bradley Mcaree</v>
      </c>
      <c r="F4923" s="3" t="str">
        <f>IFERROR(__xludf.DUMMYFUNCTION("""COMPUTED_VALUE"""),"bradley.mcaree@gmail.com")</f>
        <v>bradley.mcaree@gmail.com</v>
      </c>
      <c r="G4923" s="3">
        <f>IFERROR(__xludf.DUMMYFUNCTION("""COMPUTED_VALUE"""),9.052692514E9)</f>
        <v>9052692514</v>
      </c>
      <c r="H4923" s="3"/>
    </row>
    <row r="4924">
      <c r="A4924" s="2">
        <f>IFERROR(__xludf.DUMMYFUNCTION("""COMPUTED_VALUE"""),61079.0)</f>
        <v>61079</v>
      </c>
      <c r="B4924" s="3" t="str">
        <f>IFERROR(__xludf.DUMMYFUNCTION("""COMPUTED_VALUE"""),"384 CONCESSION RD 6 RD E ")</f>
        <v>384 CONCESSION RD 6 RD E </v>
      </c>
      <c r="C4924" s="3" t="str">
        <f>IFERROR(__xludf.DUMMYFUNCTION("""COMPUTED_VALUE"""),"WARKWORTH")</f>
        <v>WARKWORTH</v>
      </c>
      <c r="D4924" s="3" t="str">
        <f>IFERROR(__xludf.DUMMYFUNCTION("""COMPUTED_VALUE"""),"K0K 3K0")</f>
        <v>K0K 3K0</v>
      </c>
      <c r="E4924" s="3" t="str">
        <f>IFERROR(__xludf.DUMMYFUNCTION("""COMPUTED_VALUE"""),"LIFANG XIA")</f>
        <v>LIFANG XIA</v>
      </c>
      <c r="F4924" s="3" t="str">
        <f>IFERROR(__xludf.DUMMYFUNCTION("""COMPUTED_VALUE"""),"lifangca@yahoo.com")</f>
        <v>lifangca@yahoo.com</v>
      </c>
      <c r="G4924" s="3"/>
      <c r="H4924" s="3"/>
    </row>
    <row r="4925">
      <c r="A4925" s="2">
        <f>IFERROR(__xludf.DUMMYFUNCTION("""COMPUTED_VALUE"""),61080.0)</f>
        <v>61080</v>
      </c>
      <c r="B4925" s="3" t="str">
        <f>IFERROR(__xludf.DUMMYFUNCTION("""COMPUTED_VALUE"""),"401 CONCESSION RD 6 RD E ")</f>
        <v>401 CONCESSION RD 6 RD E </v>
      </c>
      <c r="C4925" s="3" t="str">
        <f>IFERROR(__xludf.DUMMYFUNCTION("""COMPUTED_VALUE"""),"WARKWORTH")</f>
        <v>WARKWORTH</v>
      </c>
      <c r="D4925" s="3" t="str">
        <f>IFERROR(__xludf.DUMMYFUNCTION("""COMPUTED_VALUE"""),"K0K 3K0")</f>
        <v>K0K 3K0</v>
      </c>
      <c r="E4925" s="3" t="str">
        <f>IFERROR(__xludf.DUMMYFUNCTION("""COMPUTED_VALUE"""),"Robert Henderson")</f>
        <v>Robert Henderson</v>
      </c>
      <c r="F4925" s="3" t="str">
        <f>IFERROR(__xludf.DUMMYFUNCTION("""COMPUTED_VALUE"""),"drbob@nonieandpapa.ca")</f>
        <v>drbob@nonieandpapa.ca</v>
      </c>
      <c r="G4925" s="3">
        <f>IFERROR(__xludf.DUMMYFUNCTION("""COMPUTED_VALUE"""),7.05924293E9)</f>
        <v>7059242930</v>
      </c>
      <c r="H4925" s="3">
        <f>IFERROR(__xludf.DUMMYFUNCTION("""COMPUTED_VALUE"""),7.05653804E9)</f>
        <v>7056538040</v>
      </c>
    </row>
    <row r="4926">
      <c r="A4926" s="2">
        <f>IFERROR(__xludf.DUMMYFUNCTION("""COMPUTED_VALUE"""),61081.0)</f>
        <v>61081</v>
      </c>
      <c r="B4926" s="3" t="str">
        <f>IFERROR(__xludf.DUMMYFUNCTION("""COMPUTED_VALUE"""),"431 CONCESSION RD 6 RD E ")</f>
        <v>431 CONCESSION RD 6 RD E </v>
      </c>
      <c r="C4926" s="3" t="str">
        <f>IFERROR(__xludf.DUMMYFUNCTION("""COMPUTED_VALUE"""),"WARKWORTH")</f>
        <v>WARKWORTH</v>
      </c>
      <c r="D4926" s="3" t="str">
        <f>IFERROR(__xludf.DUMMYFUNCTION("""COMPUTED_VALUE"""),"K0K 3K0")</f>
        <v>K0K 3K0</v>
      </c>
      <c r="E4926" s="3" t="str">
        <f>IFERROR(__xludf.DUMMYFUNCTION("""COMPUTED_VALUE"""),"ron thain")</f>
        <v>ron thain</v>
      </c>
      <c r="F4926" s="3"/>
      <c r="G4926" s="3">
        <f>IFERROR(__xludf.DUMMYFUNCTION("""COMPUTED_VALUE"""),7.05924275E9)</f>
        <v>7059242750</v>
      </c>
      <c r="H4926" s="3"/>
    </row>
    <row r="4927">
      <c r="A4927" s="2">
        <f>IFERROR(__xludf.DUMMYFUNCTION("""COMPUTED_VALUE"""),61082.0)</f>
        <v>61082</v>
      </c>
      <c r="B4927" s="3" t="str">
        <f>IFERROR(__xludf.DUMMYFUNCTION("""COMPUTED_VALUE"""),"450 CONCESSION RD 6 RD E ")</f>
        <v>450 CONCESSION RD 6 RD E </v>
      </c>
      <c r="C4927" s="3" t="str">
        <f>IFERROR(__xludf.DUMMYFUNCTION("""COMPUTED_VALUE"""),"WARKWORTH")</f>
        <v>WARKWORTH</v>
      </c>
      <c r="D4927" s="3" t="str">
        <f>IFERROR(__xludf.DUMMYFUNCTION("""COMPUTED_VALUE"""),"K0K 3K0")</f>
        <v>K0K 3K0</v>
      </c>
      <c r="E4927" s="3" t="str">
        <f>IFERROR(__xludf.DUMMYFUNCTION("""COMPUTED_VALUE"""),"Dwight Boyd")</f>
        <v>Dwight Boyd</v>
      </c>
      <c r="F4927" s="3" t="str">
        <f>IFERROR(__xludf.DUMMYFUNCTION("""COMPUTED_VALUE"""),"dwight@bellnet.ca")</f>
        <v>dwight@bellnet.ca</v>
      </c>
      <c r="G4927" s="3"/>
      <c r="H4927" s="3"/>
    </row>
    <row r="4928">
      <c r="A4928" s="2">
        <f>IFERROR(__xludf.DUMMYFUNCTION("""COMPUTED_VALUE"""),61083.0)</f>
        <v>61083</v>
      </c>
      <c r="B4928" s="3" t="str">
        <f>IFERROR(__xludf.DUMMYFUNCTION("""COMPUTED_VALUE"""),"451 CONCESSION RD 6 RD E ")</f>
        <v>451 CONCESSION RD 6 RD E </v>
      </c>
      <c r="C4928" s="3" t="str">
        <f>IFERROR(__xludf.DUMMYFUNCTION("""COMPUTED_VALUE"""),"WARKWORTH")</f>
        <v>WARKWORTH</v>
      </c>
      <c r="D4928" s="3" t="str">
        <f>IFERROR(__xludf.DUMMYFUNCTION("""COMPUTED_VALUE"""),"K0K 3K0")</f>
        <v>K0K 3K0</v>
      </c>
      <c r="E4928" s="3"/>
      <c r="F4928" s="3"/>
      <c r="G4928" s="3"/>
      <c r="H4928" s="3"/>
    </row>
    <row r="4929">
      <c r="A4929" s="2">
        <f>IFERROR(__xludf.DUMMYFUNCTION("""COMPUTED_VALUE"""),61084.0)</f>
        <v>61084</v>
      </c>
      <c r="B4929" s="3" t="str">
        <f>IFERROR(__xludf.DUMMYFUNCTION("""COMPUTED_VALUE"""),"460 CONCESSION RD 6 RD E ")</f>
        <v>460 CONCESSION RD 6 RD E </v>
      </c>
      <c r="C4929" s="3" t="str">
        <f>IFERROR(__xludf.DUMMYFUNCTION("""COMPUTED_VALUE"""),"WARKWORTH")</f>
        <v>WARKWORTH</v>
      </c>
      <c r="D4929" s="3" t="str">
        <f>IFERROR(__xludf.DUMMYFUNCTION("""COMPUTED_VALUE"""),"K0K 3K0")</f>
        <v>K0K 3K0</v>
      </c>
      <c r="E4929" s="3" t="str">
        <f>IFERROR(__xludf.DUMMYFUNCTION("""COMPUTED_VALUE"""),"Alan Clough")</f>
        <v>Alan Clough</v>
      </c>
      <c r="F4929" s="3" t="str">
        <f>IFERROR(__xludf.DUMMYFUNCTION("""COMPUTED_VALUE"""),"awclough@gmail.com")</f>
        <v>awclough@gmail.com</v>
      </c>
      <c r="G4929" s="3"/>
      <c r="H4929" s="3"/>
    </row>
    <row r="4930">
      <c r="A4930" s="2">
        <f>IFERROR(__xludf.DUMMYFUNCTION("""COMPUTED_VALUE"""),61086.0)</f>
        <v>61086</v>
      </c>
      <c r="B4930" s="3" t="str">
        <f>IFERROR(__xludf.DUMMYFUNCTION("""COMPUTED_VALUE"""),"498 CONCESSION RD 6 RD E ")</f>
        <v>498 CONCESSION RD 6 RD E </v>
      </c>
      <c r="C4930" s="3" t="str">
        <f>IFERROR(__xludf.DUMMYFUNCTION("""COMPUTED_VALUE"""),"WARKWORTH")</f>
        <v>WARKWORTH</v>
      </c>
      <c r="D4930" s="3" t="str">
        <f>IFERROR(__xludf.DUMMYFUNCTION("""COMPUTED_VALUE"""),"K0K 3K0")</f>
        <v>K0K 3K0</v>
      </c>
      <c r="E4930" s="3" t="str">
        <f>IFERROR(__xludf.DUMMYFUNCTION("""COMPUTED_VALUE"""),"Alicia Orr-Lombardo")</f>
        <v>Alicia Orr-Lombardo</v>
      </c>
      <c r="F4930" s="3" t="str">
        <f>IFERROR(__xludf.DUMMYFUNCTION("""COMPUTED_VALUE"""),"alicia_orr1@gmail.com")</f>
        <v>alicia_orr1@gmail.com</v>
      </c>
      <c r="G4930" s="3"/>
      <c r="H4930" s="3"/>
    </row>
    <row r="4931">
      <c r="A4931" s="2">
        <f>IFERROR(__xludf.DUMMYFUNCTION("""COMPUTED_VALUE"""),61087.0)</f>
        <v>61087</v>
      </c>
      <c r="B4931" s="3" t="str">
        <f>IFERROR(__xludf.DUMMYFUNCTION("""COMPUTED_VALUE"""),"527 CONCESSION RD 6 RD E ")</f>
        <v>527 CONCESSION RD 6 RD E </v>
      </c>
      <c r="C4931" s="3" t="str">
        <f>IFERROR(__xludf.DUMMYFUNCTION("""COMPUTED_VALUE"""),"WARKWORTH")</f>
        <v>WARKWORTH</v>
      </c>
      <c r="D4931" s="3" t="str">
        <f>IFERROR(__xludf.DUMMYFUNCTION("""COMPUTED_VALUE"""),"K0K 3K0")</f>
        <v>K0K 3K0</v>
      </c>
      <c r="E4931" s="3" t="str">
        <f>IFERROR(__xludf.DUMMYFUNCTION("""COMPUTED_VALUE"""),"Jackie Gorman")</f>
        <v>Jackie Gorman</v>
      </c>
      <c r="F4931" s="3" t="str">
        <f>IFERROR(__xludf.DUMMYFUNCTION("""COMPUTED_VALUE"""),"gormjac@hotmail.com")</f>
        <v>gormjac@hotmail.com</v>
      </c>
      <c r="G4931" s="3"/>
      <c r="H4931" s="3"/>
    </row>
    <row r="4932">
      <c r="A4932" s="2">
        <f>IFERROR(__xludf.DUMMYFUNCTION("""COMPUTED_VALUE"""),61088.0)</f>
        <v>61088</v>
      </c>
      <c r="B4932" s="3" t="str">
        <f>IFERROR(__xludf.DUMMYFUNCTION("""COMPUTED_VALUE"""),"528 CONCESSION RD 6 RD E ")</f>
        <v>528 CONCESSION RD 6 RD E </v>
      </c>
      <c r="C4932" s="3" t="str">
        <f>IFERROR(__xludf.DUMMYFUNCTION("""COMPUTED_VALUE"""),"WARKWORTH")</f>
        <v>WARKWORTH</v>
      </c>
      <c r="D4932" s="3" t="str">
        <f>IFERROR(__xludf.DUMMYFUNCTION("""COMPUTED_VALUE"""),"K0K 3K0")</f>
        <v>K0K 3K0</v>
      </c>
      <c r="E4932" s="3" t="str">
        <f>IFERROR(__xludf.DUMMYFUNCTION("""COMPUTED_VALUE"""),"jane k wilson")</f>
        <v>jane k wilson</v>
      </c>
      <c r="F4932" s="3"/>
      <c r="G4932" s="3">
        <f>IFERROR(__xludf.DUMMYFUNCTION("""COMPUTED_VALUE"""),6.475077491E9)</f>
        <v>6475077491</v>
      </c>
      <c r="H4932" s="3"/>
    </row>
    <row r="4933">
      <c r="A4933" s="2">
        <f>IFERROR(__xludf.DUMMYFUNCTION("""COMPUTED_VALUE"""),61089.0)</f>
        <v>61089</v>
      </c>
      <c r="B4933" s="3" t="str">
        <f>IFERROR(__xludf.DUMMYFUNCTION("""COMPUTED_VALUE"""),"531 CONCESSION RD 6 RD E ")</f>
        <v>531 CONCESSION RD 6 RD E </v>
      </c>
      <c r="C4933" s="3" t="str">
        <f>IFERROR(__xludf.DUMMYFUNCTION("""COMPUTED_VALUE"""),"WARKWORTH")</f>
        <v>WARKWORTH</v>
      </c>
      <c r="D4933" s="3" t="str">
        <f>IFERROR(__xludf.DUMMYFUNCTION("""COMPUTED_VALUE"""),"K0K 3K0")</f>
        <v>K0K 3K0</v>
      </c>
      <c r="E4933" s="3" t="str">
        <f>IFERROR(__xludf.DUMMYFUNCTION("""COMPUTED_VALUE"""),"VICTOR LEHOTAY")</f>
        <v>VICTOR LEHOTAY</v>
      </c>
      <c r="F4933" s="3" t="str">
        <f>IFERROR(__xludf.DUMMYFUNCTION("""COMPUTED_VALUE"""),"vlehotay@yahoo.ca")</f>
        <v>vlehotay@yahoo.ca</v>
      </c>
      <c r="G4933" s="3"/>
      <c r="H4933" s="3"/>
    </row>
    <row r="4934">
      <c r="A4934" s="2">
        <f>IFERROR(__xludf.DUMMYFUNCTION("""COMPUTED_VALUE"""),61090.0)</f>
        <v>61090</v>
      </c>
      <c r="B4934" s="3" t="str">
        <f>IFERROR(__xludf.DUMMYFUNCTION("""COMPUTED_VALUE"""),"574 CONCESSION RD 6 RD E ")</f>
        <v>574 CONCESSION RD 6 RD E </v>
      </c>
      <c r="C4934" s="3" t="str">
        <f>IFERROR(__xludf.DUMMYFUNCTION("""COMPUTED_VALUE"""),"WARKWORTH")</f>
        <v>WARKWORTH</v>
      </c>
      <c r="D4934" s="3" t="str">
        <f>IFERROR(__xludf.DUMMYFUNCTION("""COMPUTED_VALUE"""),"K0K 3K0")</f>
        <v>K0K 3K0</v>
      </c>
      <c r="E4934" s="3" t="str">
        <f>IFERROR(__xludf.DUMMYFUNCTION("""COMPUTED_VALUE"""),"gary and bonnie russell")</f>
        <v>gary and bonnie russell</v>
      </c>
      <c r="F4934" s="3" t="str">
        <f>IFERROR(__xludf.DUMMYFUNCTION("""COMPUTED_VALUE"""),"russellgb168@gmail.com")</f>
        <v>russellgb168@gmail.com</v>
      </c>
      <c r="G4934" s="3">
        <f>IFERROR(__xludf.DUMMYFUNCTION("""COMPUTED_VALUE"""),6.472725336E9)</f>
        <v>6472725336</v>
      </c>
      <c r="H4934" s="3">
        <f>IFERROR(__xludf.DUMMYFUNCTION("""COMPUTED_VALUE"""),7.056320035E9)</f>
        <v>7056320035</v>
      </c>
    </row>
    <row r="4935">
      <c r="A4935" s="2">
        <f>IFERROR(__xludf.DUMMYFUNCTION("""COMPUTED_VALUE"""),61091.0)</f>
        <v>61091</v>
      </c>
      <c r="B4935" s="3" t="str">
        <f>IFERROR(__xludf.DUMMYFUNCTION("""COMPUTED_VALUE"""),"581 CONCESSION RD 6 RD E ")</f>
        <v>581 CONCESSION RD 6 RD E </v>
      </c>
      <c r="C4935" s="3" t="str">
        <f>IFERROR(__xludf.DUMMYFUNCTION("""COMPUTED_VALUE"""),"WARKWORTH")</f>
        <v>WARKWORTH</v>
      </c>
      <c r="D4935" s="3" t="str">
        <f>IFERROR(__xludf.DUMMYFUNCTION("""COMPUTED_VALUE"""),"K0K 3K0")</f>
        <v>K0K 3K0</v>
      </c>
      <c r="E4935" s="3"/>
      <c r="F4935" s="3"/>
      <c r="G4935" s="3"/>
      <c r="H4935" s="3"/>
    </row>
    <row r="4936">
      <c r="A4936" s="2">
        <f>IFERROR(__xludf.DUMMYFUNCTION("""COMPUTED_VALUE"""),61092.0)</f>
        <v>61092</v>
      </c>
      <c r="B4936" s="3" t="str">
        <f>IFERROR(__xludf.DUMMYFUNCTION("""COMPUTED_VALUE"""),"586 CONCESSION RD 6 RD E ")</f>
        <v>586 CONCESSION RD 6 RD E </v>
      </c>
      <c r="C4936" s="3" t="str">
        <f>IFERROR(__xludf.DUMMYFUNCTION("""COMPUTED_VALUE"""),"WARKWORTH")</f>
        <v>WARKWORTH</v>
      </c>
      <c r="D4936" s="3" t="str">
        <f>IFERROR(__xludf.DUMMYFUNCTION("""COMPUTED_VALUE"""),"K0K 3K0")</f>
        <v>K0K 3K0</v>
      </c>
      <c r="E4936" s="3" t="str">
        <f>IFERROR(__xludf.DUMMYFUNCTION("""COMPUTED_VALUE"""),"Tracey Geeconte")</f>
        <v>Tracey Geeconte</v>
      </c>
      <c r="F4936" s="3" t="str">
        <f>IFERROR(__xludf.DUMMYFUNCTION("""COMPUTED_VALUE"""),"geegee0525@outlook.com")</f>
        <v>geegee0525@outlook.com</v>
      </c>
      <c r="G4936" s="3"/>
      <c r="H4936" s="3"/>
    </row>
    <row r="4937">
      <c r="A4937" s="2">
        <f>IFERROR(__xludf.DUMMYFUNCTION("""COMPUTED_VALUE"""),61093.0)</f>
        <v>61093</v>
      </c>
      <c r="B4937" s="3" t="str">
        <f>IFERROR(__xludf.DUMMYFUNCTION("""COMPUTED_VALUE"""),"616 CONCESSION RD 6 RD E ")</f>
        <v>616 CONCESSION RD 6 RD E </v>
      </c>
      <c r="C4937" s="3" t="str">
        <f>IFERROR(__xludf.DUMMYFUNCTION("""COMPUTED_VALUE"""),"WARKWORTH")</f>
        <v>WARKWORTH</v>
      </c>
      <c r="D4937" s="3" t="str">
        <f>IFERROR(__xludf.DUMMYFUNCTION("""COMPUTED_VALUE"""),"K0K 3K0")</f>
        <v>K0K 3K0</v>
      </c>
      <c r="E4937" s="3" t="str">
        <f>IFERROR(__xludf.DUMMYFUNCTION("""COMPUTED_VALUE"""),"Pauline Haung")</f>
        <v>Pauline Haung</v>
      </c>
      <c r="F4937" s="3" t="str">
        <f>IFERROR(__xludf.DUMMYFUNCTION("""COMPUTED_VALUE"""),"paulineandben@yahoo.com ")</f>
        <v>paulineandben@yahoo.com </v>
      </c>
      <c r="G4937" s="3"/>
      <c r="H4937" s="3">
        <f>IFERROR(__xludf.DUMMYFUNCTION("""COMPUTED_VALUE"""),6.479790546E9)</f>
        <v>6479790546</v>
      </c>
    </row>
    <row r="4938">
      <c r="A4938" s="2">
        <f>IFERROR(__xludf.DUMMYFUNCTION("""COMPUTED_VALUE"""),60273.0)</f>
        <v>60273</v>
      </c>
      <c r="B4938" s="3" t="str">
        <f>IFERROR(__xludf.DUMMYFUNCTION("""COMPUTED_VALUE"""),"33 BAGLEY RD")</f>
        <v>33 BAGLEY RD</v>
      </c>
      <c r="C4938" s="3" t="str">
        <f>IFERROR(__xludf.DUMMYFUNCTION("""COMPUTED_VALUE"""),"WARKWORTH")</f>
        <v>WARKWORTH</v>
      </c>
      <c r="D4938" s="3" t="str">
        <f>IFERROR(__xludf.DUMMYFUNCTION("""COMPUTED_VALUE"""),"K0K 3K0")</f>
        <v>K0K 3K0</v>
      </c>
      <c r="E4938" s="3" t="str">
        <f>IFERROR(__xludf.DUMMYFUNCTION("""COMPUTED_VALUE"""),"Sean Macmillan")</f>
        <v>Sean Macmillan</v>
      </c>
      <c r="F4938" s="3"/>
      <c r="G4938" s="3"/>
      <c r="H4938" s="3"/>
    </row>
    <row r="4939">
      <c r="A4939" s="2">
        <f>IFERROR(__xludf.DUMMYFUNCTION("""COMPUTED_VALUE"""),61868.0)</f>
        <v>61868</v>
      </c>
      <c r="B4939" s="3" t="str">
        <f>IFERROR(__xludf.DUMMYFUNCTION("""COMPUTED_VALUE"""),"98 GODOLPHIN RD  ")</f>
        <v>98 GODOLPHIN RD  </v>
      </c>
      <c r="C4939" s="3" t="str">
        <f>IFERROR(__xludf.DUMMYFUNCTION("""COMPUTED_VALUE"""),"WARKWORTH")</f>
        <v>WARKWORTH</v>
      </c>
      <c r="D4939" s="3" t="str">
        <f>IFERROR(__xludf.DUMMYFUNCTION("""COMPUTED_VALUE"""),"K0K 3K0")</f>
        <v>K0K 3K0</v>
      </c>
      <c r="E4939" s="3" t="str">
        <f>IFERROR(__xludf.DUMMYFUNCTION("""COMPUTED_VALUE"""),"Adrian Gallo")</f>
        <v>Adrian Gallo</v>
      </c>
      <c r="F4939" s="3" t="str">
        <f>IFERROR(__xludf.DUMMYFUNCTION("""COMPUTED_VALUE"""),"adrianjgall.lo@gmail.com")</f>
        <v>adrianjgall.lo@gmail.com</v>
      </c>
      <c r="G4939" s="3"/>
      <c r="H4939" s="3"/>
    </row>
    <row r="4940">
      <c r="A4940" s="2">
        <f>IFERROR(__xludf.DUMMYFUNCTION("""COMPUTED_VALUE"""),61869.0)</f>
        <v>61869</v>
      </c>
      <c r="B4940" s="3" t="str">
        <f>IFERROR(__xludf.DUMMYFUNCTION("""COMPUTED_VALUE"""),"108 GODOLPHIN RD  ")</f>
        <v>108 GODOLPHIN RD  </v>
      </c>
      <c r="C4940" s="3" t="str">
        <f>IFERROR(__xludf.DUMMYFUNCTION("""COMPUTED_VALUE"""),"WARKWORTH")</f>
        <v>WARKWORTH</v>
      </c>
      <c r="D4940" s="3" t="str">
        <f>IFERROR(__xludf.DUMMYFUNCTION("""COMPUTED_VALUE"""),"K0K 3K0")</f>
        <v>K0K 3K0</v>
      </c>
      <c r="E4940" s="3" t="str">
        <f>IFERROR(__xludf.DUMMYFUNCTION("""COMPUTED_VALUE"""),"Sherry Downes")</f>
        <v>Sherry Downes</v>
      </c>
      <c r="F4940" s="3" t="str">
        <f>IFERROR(__xludf.DUMMYFUNCTION("""COMPUTED_VALUE"""),"bensonandsherry@aol.com")</f>
        <v>bensonandsherry@aol.com</v>
      </c>
      <c r="G4940" s="3">
        <f>IFERROR(__xludf.DUMMYFUNCTION("""COMPUTED_VALUE"""),7.053917499E9)</f>
        <v>7053917499</v>
      </c>
      <c r="H4940" s="3"/>
    </row>
    <row r="4941">
      <c r="A4941" s="2">
        <f>IFERROR(__xludf.DUMMYFUNCTION("""COMPUTED_VALUE"""),61870.0)</f>
        <v>61870</v>
      </c>
      <c r="B4941" s="3" t="str">
        <f>IFERROR(__xludf.DUMMYFUNCTION("""COMPUTED_VALUE"""),"114 GODOLPHIN RD  ")</f>
        <v>114 GODOLPHIN RD  </v>
      </c>
      <c r="C4941" s="3" t="str">
        <f>IFERROR(__xludf.DUMMYFUNCTION("""COMPUTED_VALUE"""),"WARKWORTH")</f>
        <v>WARKWORTH</v>
      </c>
      <c r="D4941" s="3" t="str">
        <f>IFERROR(__xludf.DUMMYFUNCTION("""COMPUTED_VALUE"""),"K0K 3K0")</f>
        <v>K0K 3K0</v>
      </c>
      <c r="E4941" s="3" t="str">
        <f>IFERROR(__xludf.DUMMYFUNCTION("""COMPUTED_VALUE"""),"Bonnie Gordon")</f>
        <v>Bonnie Gordon</v>
      </c>
      <c r="F4941" s="3" t="str">
        <f>IFERROR(__xludf.DUMMYFUNCTION("""COMPUTED_VALUE"""),"bunsrambo@gmail.com")</f>
        <v>bunsrambo@gmail.com</v>
      </c>
      <c r="G4941" s="3"/>
      <c r="H4941" s="3"/>
    </row>
    <row r="4942">
      <c r="A4942" s="2">
        <f>IFERROR(__xludf.DUMMYFUNCTION("""COMPUTED_VALUE"""),61871.0)</f>
        <v>61871</v>
      </c>
      <c r="B4942" s="3" t="str">
        <f>IFERROR(__xludf.DUMMYFUNCTION("""COMPUTED_VALUE"""),"118 GODOLPHIN RD  ")</f>
        <v>118 GODOLPHIN RD  </v>
      </c>
      <c r="C4942" s="3" t="str">
        <f>IFERROR(__xludf.DUMMYFUNCTION("""COMPUTED_VALUE"""),"WARKWORTH")</f>
        <v>WARKWORTH</v>
      </c>
      <c r="D4942" s="3" t="str">
        <f>IFERROR(__xludf.DUMMYFUNCTION("""COMPUTED_VALUE"""),"K0K 3K0")</f>
        <v>K0K 3K0</v>
      </c>
      <c r="E4942" s="3" t="str">
        <f>IFERROR(__xludf.DUMMYFUNCTION("""COMPUTED_VALUE"""),"Lorie Honeyman")</f>
        <v>Lorie Honeyman</v>
      </c>
      <c r="F4942" s="3" t="str">
        <f>IFERROR(__xludf.DUMMYFUNCTION("""COMPUTED_VALUE"""),"lorie.scents@gmail.com")</f>
        <v>lorie.scents@gmail.com</v>
      </c>
      <c r="G4942" s="3"/>
      <c r="H4942" s="3"/>
    </row>
    <row r="4943">
      <c r="A4943" s="2">
        <f>IFERROR(__xludf.DUMMYFUNCTION("""COMPUTED_VALUE"""),61872.0)</f>
        <v>61872</v>
      </c>
      <c r="B4943" s="3" t="str">
        <f>IFERROR(__xludf.DUMMYFUNCTION("""COMPUTED_VALUE"""),"124 GODOLPHIN RD  ")</f>
        <v>124 GODOLPHIN RD  </v>
      </c>
      <c r="C4943" s="3" t="str">
        <f>IFERROR(__xludf.DUMMYFUNCTION("""COMPUTED_VALUE"""),"WARKWORTH")</f>
        <v>WARKWORTH</v>
      </c>
      <c r="D4943" s="3" t="str">
        <f>IFERROR(__xludf.DUMMYFUNCTION("""COMPUTED_VALUE"""),"K0K 3K0")</f>
        <v>K0K 3K0</v>
      </c>
      <c r="E4943" s="3" t="str">
        <f>IFERROR(__xludf.DUMMYFUNCTION("""COMPUTED_VALUE"""),"Mike Ingram")</f>
        <v>Mike Ingram</v>
      </c>
      <c r="F4943" s="3" t="str">
        <f>IFERROR(__xludf.DUMMYFUNCTION("""COMPUTED_VALUE"""),"mikeingram012@gmail.com")</f>
        <v>mikeingram012@gmail.com</v>
      </c>
      <c r="G4943" s="3"/>
      <c r="H4943" s="3"/>
    </row>
    <row r="4944">
      <c r="A4944" s="2">
        <f>IFERROR(__xludf.DUMMYFUNCTION("""COMPUTED_VALUE"""),61873.0)</f>
        <v>61873</v>
      </c>
      <c r="B4944" s="3" t="str">
        <f>IFERROR(__xludf.DUMMYFUNCTION("""COMPUTED_VALUE"""),"131 GODOLPHIN RD")</f>
        <v>131 GODOLPHIN RD</v>
      </c>
      <c r="C4944" s="3" t="str">
        <f>IFERROR(__xludf.DUMMYFUNCTION("""COMPUTED_VALUE"""),"WARKWORTH")</f>
        <v>WARKWORTH</v>
      </c>
      <c r="D4944" s="3" t="str">
        <f>IFERROR(__xludf.DUMMYFUNCTION("""COMPUTED_VALUE"""),"K0K 3K0")</f>
        <v>K0K 3K0</v>
      </c>
      <c r="E4944" s="3"/>
      <c r="F4944" s="3"/>
      <c r="G4944" s="3"/>
      <c r="H4944" s="3"/>
    </row>
    <row r="4945">
      <c r="A4945" s="2">
        <f>IFERROR(__xludf.DUMMYFUNCTION("""COMPUTED_VALUE"""),61874.0)</f>
        <v>61874</v>
      </c>
      <c r="B4945" s="3" t="str">
        <f>IFERROR(__xludf.DUMMYFUNCTION("""COMPUTED_VALUE"""),"143 GODOLPHIN RD  ")</f>
        <v>143 GODOLPHIN RD  </v>
      </c>
      <c r="C4945" s="3" t="str">
        <f>IFERROR(__xludf.DUMMYFUNCTION("""COMPUTED_VALUE"""),"WARKWORTH")</f>
        <v>WARKWORTH</v>
      </c>
      <c r="D4945" s="3" t="str">
        <f>IFERROR(__xludf.DUMMYFUNCTION("""COMPUTED_VALUE"""),"K0K 3K0")</f>
        <v>K0K 3K0</v>
      </c>
      <c r="E4945" s="3" t="str">
        <f>IFERROR(__xludf.DUMMYFUNCTION("""COMPUTED_VALUE"""),"Jenny Ross")</f>
        <v>Jenny Ross</v>
      </c>
      <c r="F4945" s="3"/>
      <c r="G4945" s="3"/>
      <c r="H4945" s="3"/>
    </row>
    <row r="4946">
      <c r="A4946" s="2">
        <f>IFERROR(__xludf.DUMMYFUNCTION("""COMPUTED_VALUE"""),61875.0)</f>
        <v>61875</v>
      </c>
      <c r="B4946" s="3" t="str">
        <f>IFERROR(__xludf.DUMMYFUNCTION("""COMPUTED_VALUE"""),"144 GODOLPHIN RD  ")</f>
        <v>144 GODOLPHIN RD  </v>
      </c>
      <c r="C4946" s="3" t="str">
        <f>IFERROR(__xludf.DUMMYFUNCTION("""COMPUTED_VALUE"""),"WARKWORTH")</f>
        <v>WARKWORTH</v>
      </c>
      <c r="D4946" s="3" t="str">
        <f>IFERROR(__xludf.DUMMYFUNCTION("""COMPUTED_VALUE"""),"K0K 3K0")</f>
        <v>K0K 3K0</v>
      </c>
      <c r="E4946" s="3" t="str">
        <f>IFERROR(__xludf.DUMMYFUNCTION("""COMPUTED_VALUE"""),"Tim Galt")</f>
        <v>Tim Galt</v>
      </c>
      <c r="F4946" s="3" t="str">
        <f>IFERROR(__xludf.DUMMYFUNCTION("""COMPUTED_VALUE"""),"tlagmit@gmail.com")</f>
        <v>tlagmit@gmail.com</v>
      </c>
      <c r="G4946" s="3"/>
      <c r="H4946" s="3"/>
    </row>
    <row r="4947">
      <c r="A4947" s="2">
        <f>IFERROR(__xludf.DUMMYFUNCTION("""COMPUTED_VALUE"""),61876.0)</f>
        <v>61876</v>
      </c>
      <c r="B4947" s="3" t="str">
        <f>IFERROR(__xludf.DUMMYFUNCTION("""COMPUTED_VALUE"""),"152 GODOLPHIN RD  ")</f>
        <v>152 GODOLPHIN RD  </v>
      </c>
      <c r="C4947" s="3" t="str">
        <f>IFERROR(__xludf.DUMMYFUNCTION("""COMPUTED_VALUE"""),"WARKWORTH")</f>
        <v>WARKWORTH</v>
      </c>
      <c r="D4947" s="3" t="str">
        <f>IFERROR(__xludf.DUMMYFUNCTION("""COMPUTED_VALUE"""),"K0K 3K0")</f>
        <v>K0K 3K0</v>
      </c>
      <c r="E4947" s="3"/>
      <c r="F4947" s="3"/>
      <c r="G4947" s="3"/>
      <c r="H4947" s="3"/>
    </row>
    <row r="4948">
      <c r="A4948" s="2">
        <f>IFERROR(__xludf.DUMMYFUNCTION("""COMPUTED_VALUE"""),61877.0)</f>
        <v>61877</v>
      </c>
      <c r="B4948" s="3" t="str">
        <f>IFERROR(__xludf.DUMMYFUNCTION("""COMPUTED_VALUE"""),"157 GODOLPHIN RD")</f>
        <v>157 GODOLPHIN RD</v>
      </c>
      <c r="C4948" s="3" t="str">
        <f>IFERROR(__xludf.DUMMYFUNCTION("""COMPUTED_VALUE"""),"WARKWORTH")</f>
        <v>WARKWORTH</v>
      </c>
      <c r="D4948" s="3" t="str">
        <f>IFERROR(__xludf.DUMMYFUNCTION("""COMPUTED_VALUE"""),"K0K 3K0")</f>
        <v>K0K 3K0</v>
      </c>
      <c r="E4948" s="3" t="str">
        <f>IFERROR(__xludf.DUMMYFUNCTION("""COMPUTED_VALUE"""),"CHERIE WHALEN")</f>
        <v>CHERIE WHALEN</v>
      </c>
      <c r="F4948" s="3" t="str">
        <f>IFERROR(__xludf.DUMMYFUNCTION("""COMPUTED_VALUE"""),"cheriewhalen1975@gmail.com")</f>
        <v>cheriewhalen1975@gmail.com</v>
      </c>
      <c r="G4948" s="3"/>
      <c r="H4948" s="3"/>
    </row>
    <row r="4949">
      <c r="A4949" s="2">
        <f>IFERROR(__xludf.DUMMYFUNCTION("""COMPUTED_VALUE"""),61878.0)</f>
        <v>61878</v>
      </c>
      <c r="B4949" s="3" t="str">
        <f>IFERROR(__xludf.DUMMYFUNCTION("""COMPUTED_VALUE"""),"165 GODOLPHIN RD  ")</f>
        <v>165 GODOLPHIN RD  </v>
      </c>
      <c r="C4949" s="3" t="str">
        <f>IFERROR(__xludf.DUMMYFUNCTION("""COMPUTED_VALUE"""),"WARKWORTH")</f>
        <v>WARKWORTH</v>
      </c>
      <c r="D4949" s="3" t="str">
        <f>IFERROR(__xludf.DUMMYFUNCTION("""COMPUTED_VALUE"""),"K0K 3K0")</f>
        <v>K0K 3K0</v>
      </c>
      <c r="E4949" s="3" t="str">
        <f>IFERROR(__xludf.DUMMYFUNCTION("""COMPUTED_VALUE"""),"Cheryl Payne")</f>
        <v>Cheryl Payne</v>
      </c>
      <c r="F4949" s="3" t="str">
        <f>IFERROR(__xludf.DUMMYFUNCTION("""COMPUTED_VALUE"""),"barnmom1976@gmail.com")</f>
        <v>barnmom1976@gmail.com</v>
      </c>
      <c r="G4949" s="3">
        <f>IFERROR(__xludf.DUMMYFUNCTION("""COMPUTED_VALUE"""),9.052420384E9)</f>
        <v>9052420384</v>
      </c>
      <c r="H4949" s="3"/>
    </row>
    <row r="4950">
      <c r="A4950" s="2">
        <f>IFERROR(__xludf.DUMMYFUNCTION("""COMPUTED_VALUE"""),61879.0)</f>
        <v>61879</v>
      </c>
      <c r="B4950" s="3" t="str">
        <f>IFERROR(__xludf.DUMMYFUNCTION("""COMPUTED_VALUE"""),"166 GODOLPHIN RD  ")</f>
        <v>166 GODOLPHIN RD  </v>
      </c>
      <c r="C4950" s="3" t="str">
        <f>IFERROR(__xludf.DUMMYFUNCTION("""COMPUTED_VALUE"""),"WARKWORTH")</f>
        <v>WARKWORTH</v>
      </c>
      <c r="D4950" s="3" t="str">
        <f>IFERROR(__xludf.DUMMYFUNCTION("""COMPUTED_VALUE"""),"K0K 3K0")</f>
        <v>K0K 3K0</v>
      </c>
      <c r="E4950" s="3" t="str">
        <f>IFERROR(__xludf.DUMMYFUNCTION("""COMPUTED_VALUE"""),"Ivan ")</f>
        <v>Ivan </v>
      </c>
      <c r="F4950" s="3"/>
      <c r="G4950" s="3"/>
      <c r="H4950" s="3"/>
    </row>
    <row r="4951">
      <c r="A4951" s="2">
        <f>IFERROR(__xludf.DUMMYFUNCTION("""COMPUTED_VALUE"""),61880.0)</f>
        <v>61880</v>
      </c>
      <c r="B4951" s="3" t="str">
        <f>IFERROR(__xludf.DUMMYFUNCTION("""COMPUTED_VALUE"""),"168 GODOLPHIN RD  ")</f>
        <v>168 GODOLPHIN RD  </v>
      </c>
      <c r="C4951" s="3" t="str">
        <f>IFERROR(__xludf.DUMMYFUNCTION("""COMPUTED_VALUE"""),"WARKWORTH")</f>
        <v>WARKWORTH</v>
      </c>
      <c r="D4951" s="3" t="str">
        <f>IFERROR(__xludf.DUMMYFUNCTION("""COMPUTED_VALUE"""),"K0K 3K0")</f>
        <v>K0K 3K0</v>
      </c>
      <c r="E4951" s="3" t="str">
        <f>IFERROR(__xludf.DUMMYFUNCTION("""COMPUTED_VALUE"""),"Neil Makepeace")</f>
        <v>Neil Makepeace</v>
      </c>
      <c r="F4951" s="3" t="str">
        <f>IFERROR(__xludf.DUMMYFUNCTION("""COMPUTED_VALUE"""),"iluvot@hotmail.com")</f>
        <v>iluvot@hotmail.com</v>
      </c>
      <c r="G4951" s="3"/>
      <c r="H4951" s="3"/>
    </row>
    <row r="4952">
      <c r="A4952" s="2">
        <f>IFERROR(__xludf.DUMMYFUNCTION("""COMPUTED_VALUE"""),61881.0)</f>
        <v>61881</v>
      </c>
      <c r="B4952" s="3" t="str">
        <f>IFERROR(__xludf.DUMMYFUNCTION("""COMPUTED_VALUE"""),"184 GODOLPHIN RD  ")</f>
        <v>184 GODOLPHIN RD  </v>
      </c>
      <c r="C4952" s="3" t="str">
        <f>IFERROR(__xludf.DUMMYFUNCTION("""COMPUTED_VALUE"""),"WARKWORTH")</f>
        <v>WARKWORTH</v>
      </c>
      <c r="D4952" s="3" t="str">
        <f>IFERROR(__xludf.DUMMYFUNCTION("""COMPUTED_VALUE"""),"K0K 3K0")</f>
        <v>K0K 3K0</v>
      </c>
      <c r="E4952" s="3" t="str">
        <f>IFERROR(__xludf.DUMMYFUNCTION("""COMPUTED_VALUE"""),"Donald Sayles")</f>
        <v>Donald Sayles</v>
      </c>
      <c r="F4952" s="3" t="str">
        <f>IFERROR(__xludf.DUMMYFUNCTION("""COMPUTED_VALUE"""),"dsaylesthf1992@gmail.com")</f>
        <v>dsaylesthf1992@gmail.com</v>
      </c>
      <c r="G4952" s="3">
        <f>IFERROR(__xludf.DUMMYFUNCTION("""COMPUTED_VALUE"""),7.05927063E9)</f>
        <v>7059270630</v>
      </c>
      <c r="H4952" s="3"/>
    </row>
    <row r="4953">
      <c r="A4953" s="2">
        <f>IFERROR(__xludf.DUMMYFUNCTION("""COMPUTED_VALUE"""),61882.0)</f>
        <v>61882</v>
      </c>
      <c r="B4953" s="3" t="str">
        <f>IFERROR(__xludf.DUMMYFUNCTION("""COMPUTED_VALUE"""),"190 GODOLPHIN RD  ")</f>
        <v>190 GODOLPHIN RD  </v>
      </c>
      <c r="C4953" s="3" t="str">
        <f>IFERROR(__xludf.DUMMYFUNCTION("""COMPUTED_VALUE"""),"WARKWORTH")</f>
        <v>WARKWORTH</v>
      </c>
      <c r="D4953" s="3" t="str">
        <f>IFERROR(__xludf.DUMMYFUNCTION("""COMPUTED_VALUE"""),"K0K 3K0")</f>
        <v>K0K 3K0</v>
      </c>
      <c r="E4953" s="3"/>
      <c r="F4953" s="3"/>
      <c r="G4953" s="3"/>
      <c r="H4953" s="3"/>
    </row>
    <row r="4954">
      <c r="A4954" s="2">
        <f>IFERROR(__xludf.DUMMYFUNCTION("""COMPUTED_VALUE"""),61883.0)</f>
        <v>61883</v>
      </c>
      <c r="B4954" s="3" t="str">
        <f>IFERROR(__xludf.DUMMYFUNCTION("""COMPUTED_VALUE"""),"191 GODOLPHIN RD  ")</f>
        <v>191 GODOLPHIN RD  </v>
      </c>
      <c r="C4954" s="3" t="str">
        <f>IFERROR(__xludf.DUMMYFUNCTION("""COMPUTED_VALUE"""),"WARKWORTH")</f>
        <v>WARKWORTH</v>
      </c>
      <c r="D4954" s="3" t="str">
        <f>IFERROR(__xludf.DUMMYFUNCTION("""COMPUTED_VALUE"""),"K0K 3K0")</f>
        <v>K0K 3K0</v>
      </c>
      <c r="E4954" s="3" t="str">
        <f>IFERROR(__xludf.DUMMYFUNCTION("""COMPUTED_VALUE"""),"paul bezallczuk")</f>
        <v>paul bezallczuk</v>
      </c>
      <c r="F4954" s="3" t="str">
        <f>IFERROR(__xludf.DUMMYFUNCTION("""COMPUTED_VALUE"""),"paul@doorsrus.com")</f>
        <v>paul@doorsrus.com</v>
      </c>
      <c r="G4954" s="3">
        <f>IFERROR(__xludf.DUMMYFUNCTION("""COMPUTED_VALUE"""),6.472827725E9)</f>
        <v>6472827725</v>
      </c>
      <c r="H4954" s="3"/>
    </row>
    <row r="4955">
      <c r="A4955" s="2">
        <f>IFERROR(__xludf.DUMMYFUNCTION("""COMPUTED_VALUE"""),61884.0)</f>
        <v>61884</v>
      </c>
      <c r="B4955" s="3" t="str">
        <f>IFERROR(__xludf.DUMMYFUNCTION("""COMPUTED_VALUE"""),"194 GODOLPHIN RD  ")</f>
        <v>194 GODOLPHIN RD  </v>
      </c>
      <c r="C4955" s="3" t="str">
        <f>IFERROR(__xludf.DUMMYFUNCTION("""COMPUTED_VALUE"""),"WARKWORTH")</f>
        <v>WARKWORTH</v>
      </c>
      <c r="D4955" s="3" t="str">
        <f>IFERROR(__xludf.DUMMYFUNCTION("""COMPUTED_VALUE"""),"K0K 3K0")</f>
        <v>K0K 3K0</v>
      </c>
      <c r="E4955" s="3"/>
      <c r="F4955" s="3"/>
      <c r="G4955" s="3"/>
      <c r="H4955" s="3"/>
    </row>
    <row r="4956">
      <c r="A4956" s="2">
        <f>IFERROR(__xludf.DUMMYFUNCTION("""COMPUTED_VALUE"""),61885.0)</f>
        <v>61885</v>
      </c>
      <c r="B4956" s="3" t="str">
        <f>IFERROR(__xludf.DUMMYFUNCTION("""COMPUTED_VALUE"""),"200 GODOLPHIN RD  ")</f>
        <v>200 GODOLPHIN RD  </v>
      </c>
      <c r="C4956" s="3" t="str">
        <f>IFERROR(__xludf.DUMMYFUNCTION("""COMPUTED_VALUE"""),"WARKWORTH")</f>
        <v>WARKWORTH</v>
      </c>
      <c r="D4956" s="3" t="str">
        <f>IFERROR(__xludf.DUMMYFUNCTION("""COMPUTED_VALUE"""),"K0K 3K0")</f>
        <v>K0K 3K0</v>
      </c>
      <c r="E4956" s="3" t="str">
        <f>IFERROR(__xludf.DUMMYFUNCTION("""COMPUTED_VALUE"""),"Dow Lehmon")</f>
        <v>Dow Lehmon</v>
      </c>
      <c r="F4956" s="3"/>
      <c r="G4956" s="3"/>
      <c r="H4956" s="3"/>
    </row>
    <row r="4957">
      <c r="A4957" s="2">
        <f>IFERROR(__xludf.DUMMYFUNCTION("""COMPUTED_VALUE"""),61886.0)</f>
        <v>61886</v>
      </c>
      <c r="B4957" s="3" t="str">
        <f>IFERROR(__xludf.DUMMYFUNCTION("""COMPUTED_VALUE"""),"203 GODOLPHIN RD  ")</f>
        <v>203 GODOLPHIN RD  </v>
      </c>
      <c r="C4957" s="3" t="str">
        <f>IFERROR(__xludf.DUMMYFUNCTION("""COMPUTED_VALUE"""),"WARKWORTH")</f>
        <v>WARKWORTH</v>
      </c>
      <c r="D4957" s="3" t="str">
        <f>IFERROR(__xludf.DUMMYFUNCTION("""COMPUTED_VALUE"""),"K0K 3K0")</f>
        <v>K0K 3K0</v>
      </c>
      <c r="E4957" s="3" t="str">
        <f>IFERROR(__xludf.DUMMYFUNCTION("""COMPUTED_VALUE"""),"Dave+Erin Kick")</f>
        <v>Dave+Erin Kick</v>
      </c>
      <c r="F4957" s="3" t="str">
        <f>IFERROR(__xludf.DUMMYFUNCTION("""COMPUTED_VALUE"""),"erin.l.chambers@gmail.com")</f>
        <v>erin.l.chambers@gmail.com</v>
      </c>
      <c r="G4957" s="3"/>
      <c r="H4957" s="3"/>
    </row>
    <row r="4958">
      <c r="A4958" s="2">
        <f>IFERROR(__xludf.DUMMYFUNCTION("""COMPUTED_VALUE"""),61887.0)</f>
        <v>61887</v>
      </c>
      <c r="B4958" s="3" t="str">
        <f>IFERROR(__xludf.DUMMYFUNCTION("""COMPUTED_VALUE"""),"210 GODOLPHIN RD  ")</f>
        <v>210 GODOLPHIN RD  </v>
      </c>
      <c r="C4958" s="3" t="str">
        <f>IFERROR(__xludf.DUMMYFUNCTION("""COMPUTED_VALUE"""),"WARKWORTH")</f>
        <v>WARKWORTH</v>
      </c>
      <c r="D4958" s="3" t="str">
        <f>IFERROR(__xludf.DUMMYFUNCTION("""COMPUTED_VALUE"""),"K0K 3K0")</f>
        <v>K0K 3K0</v>
      </c>
      <c r="E4958" s="3" t="str">
        <f>IFERROR(__xludf.DUMMYFUNCTION("""COMPUTED_VALUE"""),"Alan Mennaman")</f>
        <v>Alan Mennaman</v>
      </c>
      <c r="F4958" s="3" t="str">
        <f>IFERROR(__xludf.DUMMYFUNCTION("""COMPUTED_VALUE"""),"alan.mennaman@gmail.com")</f>
        <v>alan.mennaman@gmail.com</v>
      </c>
      <c r="G4958" s="3">
        <f>IFERROR(__xludf.DUMMYFUNCTION("""COMPUTED_VALUE"""),2.892512994E9)</f>
        <v>2892512994</v>
      </c>
      <c r="H4958" s="3"/>
    </row>
    <row r="4959">
      <c r="A4959" s="2">
        <f>IFERROR(__xludf.DUMMYFUNCTION("""COMPUTED_VALUE"""),61888.0)</f>
        <v>61888</v>
      </c>
      <c r="B4959" s="3" t="str">
        <f>IFERROR(__xludf.DUMMYFUNCTION("""COMPUTED_VALUE"""),"217 GODOLPHIN RD  ")</f>
        <v>217 GODOLPHIN RD  </v>
      </c>
      <c r="C4959" s="3" t="str">
        <f>IFERROR(__xludf.DUMMYFUNCTION("""COMPUTED_VALUE"""),"WARKWORTH")</f>
        <v>WARKWORTH</v>
      </c>
      <c r="D4959" s="3" t="str">
        <f>IFERROR(__xludf.DUMMYFUNCTION("""COMPUTED_VALUE"""),"K0K 3K0")</f>
        <v>K0K 3K0</v>
      </c>
      <c r="E4959" s="3"/>
      <c r="F4959" s="3"/>
      <c r="G4959" s="3"/>
      <c r="H4959" s="3"/>
    </row>
    <row r="4960">
      <c r="A4960" s="2">
        <f>IFERROR(__xludf.DUMMYFUNCTION("""COMPUTED_VALUE"""),61889.0)</f>
        <v>61889</v>
      </c>
      <c r="B4960" s="3" t="str">
        <f>IFERROR(__xludf.DUMMYFUNCTION("""COMPUTED_VALUE"""),"225 GODOLPHIN RD  ")</f>
        <v>225 GODOLPHIN RD  </v>
      </c>
      <c r="C4960" s="3" t="str">
        <f>IFERROR(__xludf.DUMMYFUNCTION("""COMPUTED_VALUE"""),"WARKWORTH")</f>
        <v>WARKWORTH</v>
      </c>
      <c r="D4960" s="3" t="str">
        <f>IFERROR(__xludf.DUMMYFUNCTION("""COMPUTED_VALUE"""),"K0K 3K0")</f>
        <v>K0K 3K0</v>
      </c>
      <c r="E4960" s="3" t="str">
        <f>IFERROR(__xludf.DUMMYFUNCTION("""COMPUTED_VALUE"""),"james A")</f>
        <v>james A</v>
      </c>
      <c r="F4960" s="3"/>
      <c r="G4960" s="3"/>
      <c r="H4960" s="3"/>
    </row>
    <row r="4961">
      <c r="A4961" s="2">
        <f>IFERROR(__xludf.DUMMYFUNCTION("""COMPUTED_VALUE"""),61892.0)</f>
        <v>61892</v>
      </c>
      <c r="B4961" s="3" t="str">
        <f>IFERROR(__xludf.DUMMYFUNCTION("""COMPUTED_VALUE"""),"232 GODOLPHIN RD  ")</f>
        <v>232 GODOLPHIN RD  </v>
      </c>
      <c r="C4961" s="3" t="str">
        <f>IFERROR(__xludf.DUMMYFUNCTION("""COMPUTED_VALUE"""),"WARKWORTH")</f>
        <v>WARKWORTH</v>
      </c>
      <c r="D4961" s="3" t="str">
        <f>IFERROR(__xludf.DUMMYFUNCTION("""COMPUTED_VALUE"""),"K0K 3K0")</f>
        <v>K0K 3K0</v>
      </c>
      <c r="E4961" s="3"/>
      <c r="F4961" s="3"/>
      <c r="G4961" s="3"/>
      <c r="H4961" s="3"/>
    </row>
    <row r="4962">
      <c r="A4962" s="2">
        <f>IFERROR(__xludf.DUMMYFUNCTION("""COMPUTED_VALUE"""),61893.0)</f>
        <v>61893</v>
      </c>
      <c r="B4962" s="3" t="str">
        <f>IFERROR(__xludf.DUMMYFUNCTION("""COMPUTED_VALUE"""),"233 GODOLPHIN RD  ")</f>
        <v>233 GODOLPHIN RD  </v>
      </c>
      <c r="C4962" s="3" t="str">
        <f>IFERROR(__xludf.DUMMYFUNCTION("""COMPUTED_VALUE"""),"WARKWORTH")</f>
        <v>WARKWORTH</v>
      </c>
      <c r="D4962" s="3" t="str">
        <f>IFERROR(__xludf.DUMMYFUNCTION("""COMPUTED_VALUE"""),"K0K 3K0")</f>
        <v>K0K 3K0</v>
      </c>
      <c r="E4962" s="3" t="str">
        <f>IFERROR(__xludf.DUMMYFUNCTION("""COMPUTED_VALUE"""),"Kolton Kloosterman")</f>
        <v>Kolton Kloosterman</v>
      </c>
      <c r="F4962" s="3" t="str">
        <f>IFERROR(__xludf.DUMMYFUNCTION("""COMPUTED_VALUE"""),"koltonkloosterman@gmail.com")</f>
        <v>koltonkloosterman@gmail.com</v>
      </c>
      <c r="G4962" s="3">
        <f>IFERROR(__xludf.DUMMYFUNCTION("""COMPUTED_VALUE"""),7.056538053E9)</f>
        <v>7056538053</v>
      </c>
      <c r="H4962" s="3"/>
    </row>
    <row r="4963">
      <c r="A4963" s="2">
        <f>IFERROR(__xludf.DUMMYFUNCTION("""COMPUTED_VALUE"""),61894.0)</f>
        <v>61894</v>
      </c>
      <c r="B4963" s="3" t="str">
        <f>IFERROR(__xludf.DUMMYFUNCTION("""COMPUTED_VALUE"""),"236 GODOLPHIN RD  ")</f>
        <v>236 GODOLPHIN RD  </v>
      </c>
      <c r="C4963" s="3" t="str">
        <f>IFERROR(__xludf.DUMMYFUNCTION("""COMPUTED_VALUE"""),"WARKWORTH")</f>
        <v>WARKWORTH</v>
      </c>
      <c r="D4963" s="3" t="str">
        <f>IFERROR(__xludf.DUMMYFUNCTION("""COMPUTED_VALUE"""),"K0K 3K0")</f>
        <v>K0K 3K0</v>
      </c>
      <c r="E4963" s="3" t="str">
        <f>IFERROR(__xludf.DUMMYFUNCTION("""COMPUTED_VALUE"""),"Bill C Conway")</f>
        <v>Bill C Conway</v>
      </c>
      <c r="F4963" s="3" t="str">
        <f>IFERROR(__xludf.DUMMYFUNCTION("""COMPUTED_VALUE"""),"bilcon@sympatico.ca")</f>
        <v>bilcon@sympatico.ca</v>
      </c>
      <c r="G4963" s="3"/>
      <c r="H4963" s="3"/>
    </row>
    <row r="4964">
      <c r="A4964" s="2">
        <f>IFERROR(__xludf.DUMMYFUNCTION("""COMPUTED_VALUE"""),61895.0)</f>
        <v>61895</v>
      </c>
      <c r="B4964" s="3" t="str">
        <f>IFERROR(__xludf.DUMMYFUNCTION("""COMPUTED_VALUE"""),"237 GODOLPHIN RD  ")</f>
        <v>237 GODOLPHIN RD  </v>
      </c>
      <c r="C4964" s="3" t="str">
        <f>IFERROR(__xludf.DUMMYFUNCTION("""COMPUTED_VALUE"""),"WARKWORTH")</f>
        <v>WARKWORTH</v>
      </c>
      <c r="D4964" s="3" t="str">
        <f>IFERROR(__xludf.DUMMYFUNCTION("""COMPUTED_VALUE"""),"K0K 3K0")</f>
        <v>K0K 3K0</v>
      </c>
      <c r="E4964" s="3" t="str">
        <f>IFERROR(__xludf.DUMMYFUNCTION("""COMPUTED_VALUE"""),"Candice Newton")</f>
        <v>Candice Newton</v>
      </c>
      <c r="F4964" s="3" t="str">
        <f>IFERROR(__xludf.DUMMYFUNCTION("""COMPUTED_VALUE"""),"candi.crolla@gmail.com")</f>
        <v>candi.crolla@gmail.com</v>
      </c>
      <c r="G4964" s="3">
        <f>IFERROR(__xludf.DUMMYFUNCTION("""COMPUTED_VALUE"""),7.057173729E9)</f>
        <v>7057173729</v>
      </c>
      <c r="H4964" s="3"/>
    </row>
    <row r="4965">
      <c r="A4965" s="2">
        <f>IFERROR(__xludf.DUMMYFUNCTION("""COMPUTED_VALUE"""),61896.0)</f>
        <v>61896</v>
      </c>
      <c r="B4965" s="3" t="str">
        <f>IFERROR(__xludf.DUMMYFUNCTION("""COMPUTED_VALUE"""),"245 GODOLPHIN RD  ")</f>
        <v>245 GODOLPHIN RD  </v>
      </c>
      <c r="C4965" s="3" t="str">
        <f>IFERROR(__xludf.DUMMYFUNCTION("""COMPUTED_VALUE"""),"WARKWORTH")</f>
        <v>WARKWORTH</v>
      </c>
      <c r="D4965" s="3" t="str">
        <f>IFERROR(__xludf.DUMMYFUNCTION("""COMPUTED_VALUE"""),"K0K 3K0")</f>
        <v>K0K 3K0</v>
      </c>
      <c r="E4965" s="3" t="str">
        <f>IFERROR(__xludf.DUMMYFUNCTION("""COMPUTED_VALUE"""),"John Farle")</f>
        <v>John Farle</v>
      </c>
      <c r="F4965" s="3" t="str">
        <f>IFERROR(__xludf.DUMMYFUNCTION("""COMPUTED_VALUE"""),"bubbasu62@gmail.com")</f>
        <v>bubbasu62@gmail.com</v>
      </c>
      <c r="G4965" s="3"/>
      <c r="H4965" s="3"/>
    </row>
    <row r="4966">
      <c r="A4966" s="2">
        <f>IFERROR(__xludf.DUMMYFUNCTION("""COMPUTED_VALUE"""),61897.0)</f>
        <v>61897</v>
      </c>
      <c r="B4966" s="3" t="str">
        <f>IFERROR(__xludf.DUMMYFUNCTION("""COMPUTED_VALUE"""),"251 GODOLPHIN RD  ")</f>
        <v>251 GODOLPHIN RD  </v>
      </c>
      <c r="C4966" s="3" t="str">
        <f>IFERROR(__xludf.DUMMYFUNCTION("""COMPUTED_VALUE"""),"WARKWORTH")</f>
        <v>WARKWORTH</v>
      </c>
      <c r="D4966" s="3" t="str">
        <f>IFERROR(__xludf.DUMMYFUNCTION("""COMPUTED_VALUE"""),"K0K 3K0")</f>
        <v>K0K 3K0</v>
      </c>
      <c r="E4966" s="3"/>
      <c r="F4966" s="3"/>
      <c r="G4966" s="3"/>
      <c r="H4966" s="3"/>
    </row>
    <row r="4967">
      <c r="A4967" s="2">
        <f>IFERROR(__xludf.DUMMYFUNCTION("""COMPUTED_VALUE"""),61898.0)</f>
        <v>61898</v>
      </c>
      <c r="B4967" s="3" t="str">
        <f>IFERROR(__xludf.DUMMYFUNCTION("""COMPUTED_VALUE"""),"252 GODOLPHIN RD  ")</f>
        <v>252 GODOLPHIN RD  </v>
      </c>
      <c r="C4967" s="3" t="str">
        <f>IFERROR(__xludf.DUMMYFUNCTION("""COMPUTED_VALUE"""),"WARKWORTH")</f>
        <v>WARKWORTH</v>
      </c>
      <c r="D4967" s="3" t="str">
        <f>IFERROR(__xludf.DUMMYFUNCTION("""COMPUTED_VALUE"""),"K0K 3K0")</f>
        <v>K0K 3K0</v>
      </c>
      <c r="E4967" s="3" t="str">
        <f>IFERROR(__xludf.DUMMYFUNCTION("""COMPUTED_VALUE"""),"Wanda Zyla")</f>
        <v>Wanda Zyla</v>
      </c>
      <c r="F4967" s="3" t="str">
        <f>IFERROR(__xludf.DUMMYFUNCTION("""COMPUTED_VALUE"""),"wzyla2000@yahoo.com")</f>
        <v>wzyla2000@yahoo.com</v>
      </c>
      <c r="G4967" s="3"/>
      <c r="H4967" s="3"/>
    </row>
    <row r="4968">
      <c r="A4968" s="2">
        <f>IFERROR(__xludf.DUMMYFUNCTION("""COMPUTED_VALUE"""),61899.0)</f>
        <v>61899</v>
      </c>
      <c r="B4968" s="3" t="str">
        <f>IFERROR(__xludf.DUMMYFUNCTION("""COMPUTED_VALUE"""),"257 GODOLPHIN RD  ")</f>
        <v>257 GODOLPHIN RD  </v>
      </c>
      <c r="C4968" s="3" t="str">
        <f>IFERROR(__xludf.DUMMYFUNCTION("""COMPUTED_VALUE"""),"WARKWORTH")</f>
        <v>WARKWORTH</v>
      </c>
      <c r="D4968" s="3" t="str">
        <f>IFERROR(__xludf.DUMMYFUNCTION("""COMPUTED_VALUE"""),"K0K 3K0")</f>
        <v>K0K 3K0</v>
      </c>
      <c r="E4968" s="3" t="str">
        <f>IFERROR(__xludf.DUMMYFUNCTION("""COMPUTED_VALUE"""),"Matt Scott")</f>
        <v>Matt Scott</v>
      </c>
      <c r="F4968" s="3"/>
      <c r="G4968" s="3"/>
      <c r="H4968" s="3"/>
    </row>
    <row r="4969">
      <c r="A4969" s="2">
        <f>IFERROR(__xludf.DUMMYFUNCTION("""COMPUTED_VALUE"""),61900.0)</f>
        <v>61900</v>
      </c>
      <c r="B4969" s="3" t="str">
        <f>IFERROR(__xludf.DUMMYFUNCTION("""COMPUTED_VALUE"""),"262 GODOLPHIN RD  ")</f>
        <v>262 GODOLPHIN RD  </v>
      </c>
      <c r="C4969" s="3" t="str">
        <f>IFERROR(__xludf.DUMMYFUNCTION("""COMPUTED_VALUE"""),"WARKWORTH")</f>
        <v>WARKWORTH</v>
      </c>
      <c r="D4969" s="3" t="str">
        <f>IFERROR(__xludf.DUMMYFUNCTION("""COMPUTED_VALUE"""),"K0K 3K0")</f>
        <v>K0K 3K0</v>
      </c>
      <c r="E4969" s="3" t="str">
        <f>IFERROR(__xludf.DUMMYFUNCTION("""COMPUTED_VALUE"""),"David Chambo")</f>
        <v>David Chambo</v>
      </c>
      <c r="F4969" s="3"/>
      <c r="G4969" s="3"/>
      <c r="H4969" s="3"/>
    </row>
    <row r="4970">
      <c r="A4970" s="2">
        <f>IFERROR(__xludf.DUMMYFUNCTION("""COMPUTED_VALUE"""),61901.0)</f>
        <v>61901</v>
      </c>
      <c r="B4970" s="3" t="str">
        <f>IFERROR(__xludf.DUMMYFUNCTION("""COMPUTED_VALUE"""),"265 GODOLPHIN RD  ")</f>
        <v>265 GODOLPHIN RD  </v>
      </c>
      <c r="C4970" s="3" t="str">
        <f>IFERROR(__xludf.DUMMYFUNCTION("""COMPUTED_VALUE"""),"WARKWORTH")</f>
        <v>WARKWORTH</v>
      </c>
      <c r="D4970" s="3" t="str">
        <f>IFERROR(__xludf.DUMMYFUNCTION("""COMPUTED_VALUE"""),"K0K 3K0")</f>
        <v>K0K 3K0</v>
      </c>
      <c r="E4970" s="3" t="str">
        <f>IFERROR(__xludf.DUMMYFUNCTION("""COMPUTED_VALUE"""),"Richard Carberry")</f>
        <v>Richard Carberry</v>
      </c>
      <c r="F4970" s="3" t="str">
        <f>IFERROR(__xludf.DUMMYFUNCTION("""COMPUTED_VALUE"""),"Skylinefarms@icloud.com")</f>
        <v>Skylinefarms@icloud.com</v>
      </c>
      <c r="G4970" s="3"/>
      <c r="H4970" s="3"/>
    </row>
    <row r="4971">
      <c r="A4971" s="2">
        <f>IFERROR(__xludf.DUMMYFUNCTION("""COMPUTED_VALUE"""),61902.0)</f>
        <v>61902</v>
      </c>
      <c r="B4971" s="3" t="str">
        <f>IFERROR(__xludf.DUMMYFUNCTION("""COMPUTED_VALUE"""),"271 GODOLPHIN RD  ")</f>
        <v>271 GODOLPHIN RD  </v>
      </c>
      <c r="C4971" s="3" t="str">
        <f>IFERROR(__xludf.DUMMYFUNCTION("""COMPUTED_VALUE"""),"WARKWORTH")</f>
        <v>WARKWORTH</v>
      </c>
      <c r="D4971" s="3" t="str">
        <f>IFERROR(__xludf.DUMMYFUNCTION("""COMPUTED_VALUE"""),"K0K 3K0")</f>
        <v>K0K 3K0</v>
      </c>
      <c r="E4971" s="3" t="str">
        <f>IFERROR(__xludf.DUMMYFUNCTION("""COMPUTED_VALUE"""),"Lou Beauchamp")</f>
        <v>Lou Beauchamp</v>
      </c>
      <c r="F4971" s="3" t="str">
        <f>IFERROR(__xludf.DUMMYFUNCTION("""COMPUTED_VALUE"""),"lou-beauchamp@sympatica.ca")</f>
        <v>lou-beauchamp@sympatica.ca</v>
      </c>
      <c r="G4971" s="3"/>
      <c r="H4971" s="3"/>
    </row>
    <row r="4972">
      <c r="A4972" s="2">
        <f>IFERROR(__xludf.DUMMYFUNCTION("""COMPUTED_VALUE"""),61903.0)</f>
        <v>61903</v>
      </c>
      <c r="B4972" s="3" t="str">
        <f>IFERROR(__xludf.DUMMYFUNCTION("""COMPUTED_VALUE"""),"274 GODOLPHIN RD  ")</f>
        <v>274 GODOLPHIN RD  </v>
      </c>
      <c r="C4972" s="3" t="str">
        <f>IFERROR(__xludf.DUMMYFUNCTION("""COMPUTED_VALUE"""),"WARKWORTH")</f>
        <v>WARKWORTH</v>
      </c>
      <c r="D4972" s="3" t="str">
        <f>IFERROR(__xludf.DUMMYFUNCTION("""COMPUTED_VALUE"""),"K0K 3K0")</f>
        <v>K0K 3K0</v>
      </c>
      <c r="E4972" s="3" t="str">
        <f>IFERROR(__xludf.DUMMYFUNCTION("""COMPUTED_VALUE"""),"KEN LANE ")</f>
        <v>KEN LANE </v>
      </c>
      <c r="F4972" s="3" t="str">
        <f>IFERROR(__xludf.DUMMYFUNCTION("""COMPUTED_VALUE"""),"dlane1200@gmail.com")</f>
        <v>dlane1200@gmail.com</v>
      </c>
      <c r="G4972" s="3"/>
      <c r="H4972" s="3">
        <f>IFERROR(__xludf.DUMMYFUNCTION("""COMPUTED_VALUE"""),9.058662134E9)</f>
        <v>9058662134</v>
      </c>
    </row>
    <row r="4973">
      <c r="A4973" s="2">
        <f>IFERROR(__xludf.DUMMYFUNCTION("""COMPUTED_VALUE"""),61904.0)</f>
        <v>61904</v>
      </c>
      <c r="B4973" s="3" t="str">
        <f>IFERROR(__xludf.DUMMYFUNCTION("""COMPUTED_VALUE"""),"275 GODOLPHIN RD  ")</f>
        <v>275 GODOLPHIN RD  </v>
      </c>
      <c r="C4973" s="3" t="str">
        <f>IFERROR(__xludf.DUMMYFUNCTION("""COMPUTED_VALUE"""),"WARKWORTH")</f>
        <v>WARKWORTH</v>
      </c>
      <c r="D4973" s="3" t="str">
        <f>IFERROR(__xludf.DUMMYFUNCTION("""COMPUTED_VALUE"""),"K0K 3K0")</f>
        <v>K0K 3K0</v>
      </c>
      <c r="E4973" s="3" t="str">
        <f>IFERROR(__xludf.DUMMYFUNCTION("""COMPUTED_VALUE"""),"Andrew Garneau")</f>
        <v>Andrew Garneau</v>
      </c>
      <c r="F4973" s="3" t="str">
        <f>IFERROR(__xludf.DUMMYFUNCTION("""COMPUTED_VALUE"""),"andrew_foxracer@hotmail.com")</f>
        <v>andrew_foxracer@hotmail.com</v>
      </c>
      <c r="G4973" s="3"/>
      <c r="H4973" s="3"/>
    </row>
    <row r="4974">
      <c r="A4974" s="2">
        <f>IFERROR(__xludf.DUMMYFUNCTION("""COMPUTED_VALUE"""),61905.0)</f>
        <v>61905</v>
      </c>
      <c r="B4974" s="3" t="str">
        <f>IFERROR(__xludf.DUMMYFUNCTION("""COMPUTED_VALUE"""),"276 GODOLPHIN RD  ")</f>
        <v>276 GODOLPHIN RD  </v>
      </c>
      <c r="C4974" s="3" t="str">
        <f>IFERROR(__xludf.DUMMYFUNCTION("""COMPUTED_VALUE"""),"WARKWORTH")</f>
        <v>WARKWORTH</v>
      </c>
      <c r="D4974" s="3" t="str">
        <f>IFERROR(__xludf.DUMMYFUNCTION("""COMPUTED_VALUE"""),"K0K 3K0")</f>
        <v>K0K 3K0</v>
      </c>
      <c r="E4974" s="3" t="str">
        <f>IFERROR(__xludf.DUMMYFUNCTION("""COMPUTED_VALUE"""),"HERMAN VANDENBERG")</f>
        <v>HERMAN VANDENBERG</v>
      </c>
      <c r="F4974" s="3" t="str">
        <f>IFERROR(__xludf.DUMMYFUNCTION("""COMPUTED_VALUE"""),"herman@vandenberg.ca")</f>
        <v>herman@vandenberg.ca</v>
      </c>
      <c r="G4974" s="3"/>
      <c r="H4974" s="3"/>
    </row>
    <row r="4975">
      <c r="A4975" s="2">
        <f>IFERROR(__xludf.DUMMYFUNCTION("""COMPUTED_VALUE"""),61906.0)</f>
        <v>61906</v>
      </c>
      <c r="B4975" s="3" t="str">
        <f>IFERROR(__xludf.DUMMYFUNCTION("""COMPUTED_VALUE"""),"287 GODOLPHIN RD  ")</f>
        <v>287 GODOLPHIN RD  </v>
      </c>
      <c r="C4975" s="3" t="str">
        <f>IFERROR(__xludf.DUMMYFUNCTION("""COMPUTED_VALUE"""),"WARKWORTH")</f>
        <v>WARKWORTH</v>
      </c>
      <c r="D4975" s="3" t="str">
        <f>IFERROR(__xludf.DUMMYFUNCTION("""COMPUTED_VALUE"""),"K0K 3K0")</f>
        <v>K0K 3K0</v>
      </c>
      <c r="E4975" s="3" t="str">
        <f>IFERROR(__xludf.DUMMYFUNCTION("""COMPUTED_VALUE"""),"Sharon M Lyons")</f>
        <v>Sharon M Lyons</v>
      </c>
      <c r="F4975" s="3" t="str">
        <f>IFERROR(__xludf.DUMMYFUNCTION("""COMPUTED_VALUE"""),"lyons55903@gmail.com")</f>
        <v>lyons55903@gmail.com</v>
      </c>
      <c r="G4975" s="3"/>
      <c r="H4975" s="3"/>
    </row>
    <row r="4976">
      <c r="A4976" s="2">
        <f>IFERROR(__xludf.DUMMYFUNCTION("""COMPUTED_VALUE"""),61907.0)</f>
        <v>61907</v>
      </c>
      <c r="B4976" s="3" t="str">
        <f>IFERROR(__xludf.DUMMYFUNCTION("""COMPUTED_VALUE"""),"290 GODOLPHIN RD  ")</f>
        <v>290 GODOLPHIN RD  </v>
      </c>
      <c r="C4976" s="3" t="str">
        <f>IFERROR(__xludf.DUMMYFUNCTION("""COMPUTED_VALUE"""),"WARKWORTH")</f>
        <v>WARKWORTH</v>
      </c>
      <c r="D4976" s="3" t="str">
        <f>IFERROR(__xludf.DUMMYFUNCTION("""COMPUTED_VALUE"""),"K0K 3K0")</f>
        <v>K0K 3K0</v>
      </c>
      <c r="E4976" s="3" t="str">
        <f>IFERROR(__xludf.DUMMYFUNCTION("""COMPUTED_VALUE"""),"michael cotter")</f>
        <v>michael cotter</v>
      </c>
      <c r="F4976" s="3" t="str">
        <f>IFERROR(__xludf.DUMMYFUNCTION("""COMPUTED_VALUE"""),"mike.cotter@sympatico.ca")</f>
        <v>mike.cotter@sympatico.ca</v>
      </c>
      <c r="G4976" s="3">
        <f>IFERROR(__xludf.DUMMYFUNCTION("""COMPUTED_VALUE"""),7.059249151E9)</f>
        <v>7059249151</v>
      </c>
      <c r="H4976" s="3">
        <f>IFERROR(__xludf.DUMMYFUNCTION("""COMPUTED_VALUE"""),7.053127927E9)</f>
        <v>7053127927</v>
      </c>
    </row>
    <row r="4977">
      <c r="A4977" s="2">
        <f>IFERROR(__xludf.DUMMYFUNCTION("""COMPUTED_VALUE"""),61908.0)</f>
        <v>61908</v>
      </c>
      <c r="B4977" s="3" t="str">
        <f>IFERROR(__xludf.DUMMYFUNCTION("""COMPUTED_VALUE"""),"292 GODOLPHIN RD  ")</f>
        <v>292 GODOLPHIN RD  </v>
      </c>
      <c r="C4977" s="3" t="str">
        <f>IFERROR(__xludf.DUMMYFUNCTION("""COMPUTED_VALUE"""),"WARKWORTH")</f>
        <v>WARKWORTH</v>
      </c>
      <c r="D4977" s="3" t="str">
        <f>IFERROR(__xludf.DUMMYFUNCTION("""COMPUTED_VALUE"""),"K0K 3K0")</f>
        <v>K0K 3K0</v>
      </c>
      <c r="E4977" s="3" t="str">
        <f>IFERROR(__xludf.DUMMYFUNCTION("""COMPUTED_VALUE"""),"Matthew Holtby")</f>
        <v>Matthew Holtby</v>
      </c>
      <c r="F4977" s="3" t="str">
        <f>IFERROR(__xludf.DUMMYFUNCTION("""COMPUTED_VALUE"""),"mattdiamondholtby@gmail.com")</f>
        <v>mattdiamondholtby@gmail.com</v>
      </c>
      <c r="G4977" s="3"/>
      <c r="H4977" s="3"/>
    </row>
    <row r="4978">
      <c r="A4978" s="2">
        <f>IFERROR(__xludf.DUMMYFUNCTION("""COMPUTED_VALUE"""),61909.0)</f>
        <v>61909</v>
      </c>
      <c r="B4978" s="3" t="str">
        <f>IFERROR(__xludf.DUMMYFUNCTION("""COMPUTED_VALUE"""),"295 GODOLPHIN RD  ")</f>
        <v>295 GODOLPHIN RD  </v>
      </c>
      <c r="C4978" s="3" t="str">
        <f>IFERROR(__xludf.DUMMYFUNCTION("""COMPUTED_VALUE"""),"WARKWORTH")</f>
        <v>WARKWORTH</v>
      </c>
      <c r="D4978" s="3" t="str">
        <f>IFERROR(__xludf.DUMMYFUNCTION("""COMPUTED_VALUE"""),"K0K 3K0")</f>
        <v>K0K 3K0</v>
      </c>
      <c r="E4978" s="3" t="str">
        <f>IFERROR(__xludf.DUMMYFUNCTION("""COMPUTED_VALUE"""),"Scott Chapman")</f>
        <v>Scott Chapman</v>
      </c>
      <c r="F4978" s="3" t="str">
        <f>IFERROR(__xludf.DUMMYFUNCTION("""COMPUTED_VALUE"""),"scottchapman83@hotmail.com")</f>
        <v>scottchapman83@hotmail.com</v>
      </c>
      <c r="G4978" s="3">
        <f>IFERROR(__xludf.DUMMYFUNCTION("""COMPUTED_VALUE"""),6.139222893E9)</f>
        <v>6139222893</v>
      </c>
      <c r="H4978" s="3"/>
    </row>
    <row r="4979">
      <c r="A4979" s="2">
        <f>IFERROR(__xludf.DUMMYFUNCTION("""COMPUTED_VALUE"""),61910.0)</f>
        <v>61910</v>
      </c>
      <c r="B4979" s="3" t="str">
        <f>IFERROR(__xludf.DUMMYFUNCTION("""COMPUTED_VALUE"""),"296 GODOLPHIN RD  ")</f>
        <v>296 GODOLPHIN RD  </v>
      </c>
      <c r="C4979" s="3" t="str">
        <f>IFERROR(__xludf.DUMMYFUNCTION("""COMPUTED_VALUE"""),"WARKWORTH")</f>
        <v>WARKWORTH</v>
      </c>
      <c r="D4979" s="3" t="str">
        <f>IFERROR(__xludf.DUMMYFUNCTION("""COMPUTED_VALUE"""),"K0K 3K0")</f>
        <v>K0K 3K0</v>
      </c>
      <c r="E4979" s="3"/>
      <c r="F4979" s="3"/>
      <c r="G4979" s="3"/>
      <c r="H4979" s="3"/>
    </row>
    <row r="4980">
      <c r="A4980" s="2">
        <f>IFERROR(__xludf.DUMMYFUNCTION("""COMPUTED_VALUE"""),61911.0)</f>
        <v>61911</v>
      </c>
      <c r="B4980" s="3" t="str">
        <f>IFERROR(__xludf.DUMMYFUNCTION("""COMPUTED_VALUE"""),"303 GODOLPHIN RD  ")</f>
        <v>303 GODOLPHIN RD  </v>
      </c>
      <c r="C4980" s="3" t="str">
        <f>IFERROR(__xludf.DUMMYFUNCTION("""COMPUTED_VALUE"""),"WARKWORTH")</f>
        <v>WARKWORTH</v>
      </c>
      <c r="D4980" s="3" t="str">
        <f>IFERROR(__xludf.DUMMYFUNCTION("""COMPUTED_VALUE"""),"K0K 3K0")</f>
        <v>K0K 3K0</v>
      </c>
      <c r="E4980" s="3" t="str">
        <f>IFERROR(__xludf.DUMMYFUNCTION("""COMPUTED_VALUE"""),"janet huehn")</f>
        <v>janet huehn</v>
      </c>
      <c r="F4980" s="3" t="str">
        <f>IFERROR(__xludf.DUMMYFUNCTION("""COMPUTED_VALUE"""),"jmhuehn@gmail.com")</f>
        <v>jmhuehn@gmail.com</v>
      </c>
      <c r="G4980" s="3"/>
      <c r="H4980" s="3"/>
    </row>
    <row r="4981">
      <c r="A4981" s="2">
        <f>IFERROR(__xludf.DUMMYFUNCTION("""COMPUTED_VALUE"""),61912.0)</f>
        <v>61912</v>
      </c>
      <c r="B4981" s="3" t="str">
        <f>IFERROR(__xludf.DUMMYFUNCTION("""COMPUTED_VALUE"""),"306 GODOLPHIN RD  ")</f>
        <v>306 GODOLPHIN RD  </v>
      </c>
      <c r="C4981" s="3" t="str">
        <f>IFERROR(__xludf.DUMMYFUNCTION("""COMPUTED_VALUE"""),"WARKWORTH")</f>
        <v>WARKWORTH</v>
      </c>
      <c r="D4981" s="3" t="str">
        <f>IFERROR(__xludf.DUMMYFUNCTION("""COMPUTED_VALUE"""),"K0K 3K0")</f>
        <v>K0K 3K0</v>
      </c>
      <c r="E4981" s="3" t="str">
        <f>IFERROR(__xludf.DUMMYFUNCTION("""COMPUTED_VALUE"""),"Clare Harding")</f>
        <v>Clare Harding</v>
      </c>
      <c r="F4981" s="3" t="str">
        <f>IFERROR(__xludf.DUMMYFUNCTION("""COMPUTED_VALUE"""),"clareharding62@gmail.com")</f>
        <v>clareharding62@gmail.com</v>
      </c>
      <c r="G4981" s="3">
        <f>IFERROR(__xludf.DUMMYFUNCTION("""COMPUTED_VALUE"""),2.899961962E9)</f>
        <v>2899961962</v>
      </c>
      <c r="H4981" s="3"/>
    </row>
    <row r="4982">
      <c r="A4982" s="2">
        <f>IFERROR(__xludf.DUMMYFUNCTION("""COMPUTED_VALUE"""),61913.0)</f>
        <v>61913</v>
      </c>
      <c r="B4982" s="3" t="str">
        <f>IFERROR(__xludf.DUMMYFUNCTION("""COMPUTED_VALUE"""),"312 GODOLPHIN RD  ")</f>
        <v>312 GODOLPHIN RD  </v>
      </c>
      <c r="C4982" s="3" t="str">
        <f>IFERROR(__xludf.DUMMYFUNCTION("""COMPUTED_VALUE"""),"WARKWORTH")</f>
        <v>WARKWORTH</v>
      </c>
      <c r="D4982" s="3" t="str">
        <f>IFERROR(__xludf.DUMMYFUNCTION("""COMPUTED_VALUE"""),"K0K 3K0")</f>
        <v>K0K 3K0</v>
      </c>
      <c r="E4982" s="3" t="str">
        <f>IFERROR(__xludf.DUMMYFUNCTION("""COMPUTED_VALUE"""),"Chris Garden")</f>
        <v>Chris Garden</v>
      </c>
      <c r="F4982" s="3" t="str">
        <f>IFERROR(__xludf.DUMMYFUNCTION("""COMPUTED_VALUE"""),"christinagarden2008@hotmail.com")</f>
        <v>christinagarden2008@hotmail.com</v>
      </c>
      <c r="G4982" s="3"/>
      <c r="H4982" s="3"/>
    </row>
    <row r="4983">
      <c r="A4983" s="2">
        <f>IFERROR(__xludf.DUMMYFUNCTION("""COMPUTED_VALUE"""),61914.0)</f>
        <v>61914</v>
      </c>
      <c r="B4983" s="3" t="str">
        <f>IFERROR(__xludf.DUMMYFUNCTION("""COMPUTED_VALUE"""),"320 GODOLPHIN RD  ")</f>
        <v>320 GODOLPHIN RD  </v>
      </c>
      <c r="C4983" s="3" t="str">
        <f>IFERROR(__xludf.DUMMYFUNCTION("""COMPUTED_VALUE"""),"WARKWORTH")</f>
        <v>WARKWORTH</v>
      </c>
      <c r="D4983" s="3" t="str">
        <f>IFERROR(__xludf.DUMMYFUNCTION("""COMPUTED_VALUE"""),"K0K 3K0")</f>
        <v>K0K 3K0</v>
      </c>
      <c r="E4983" s="3" t="str">
        <f>IFERROR(__xludf.DUMMYFUNCTION("""COMPUTED_VALUE"""),"Chris &amp; Stacy Parker")</f>
        <v>Chris &amp; Stacy Parker</v>
      </c>
      <c r="F4983" s="3" t="str">
        <f>IFERROR(__xludf.DUMMYFUNCTION("""COMPUTED_VALUE"""),"stacy314stacy@gmail.com")</f>
        <v>stacy314stacy@gmail.com</v>
      </c>
      <c r="G4983" s="3"/>
      <c r="H4983" s="3"/>
    </row>
    <row r="4984">
      <c r="A4984" s="2">
        <f>IFERROR(__xludf.DUMMYFUNCTION("""COMPUTED_VALUE"""),61915.0)</f>
        <v>61915</v>
      </c>
      <c r="B4984" s="3" t="str">
        <f>IFERROR(__xludf.DUMMYFUNCTION("""COMPUTED_VALUE"""),"324 GODOLPHIN RD  ")</f>
        <v>324 GODOLPHIN RD  </v>
      </c>
      <c r="C4984" s="3" t="str">
        <f>IFERROR(__xludf.DUMMYFUNCTION("""COMPUTED_VALUE"""),"WARKWORTH")</f>
        <v>WARKWORTH</v>
      </c>
      <c r="D4984" s="3" t="str">
        <f>IFERROR(__xludf.DUMMYFUNCTION("""COMPUTED_VALUE"""),"K0K 3K0")</f>
        <v>K0K 3K0</v>
      </c>
      <c r="E4984" s="3" t="str">
        <f>IFERROR(__xludf.DUMMYFUNCTION("""COMPUTED_VALUE"""),"Scott Johnstone")</f>
        <v>Scott Johnstone</v>
      </c>
      <c r="F4984" s="3" t="str">
        <f>IFERROR(__xludf.DUMMYFUNCTION("""COMPUTED_VALUE"""),"sjohnstone1967@gmail.com")</f>
        <v>sjohnstone1967@gmail.com</v>
      </c>
      <c r="G4984" s="3"/>
      <c r="H4984" s="3"/>
    </row>
    <row r="4985">
      <c r="A4985" s="2">
        <f>IFERROR(__xludf.DUMMYFUNCTION("""COMPUTED_VALUE"""),61916.0)</f>
        <v>61916</v>
      </c>
      <c r="B4985" s="3" t="str">
        <f>IFERROR(__xludf.DUMMYFUNCTION("""COMPUTED_VALUE"""),"330 GODOLPHIN RD  ")</f>
        <v>330 GODOLPHIN RD  </v>
      </c>
      <c r="C4985" s="3" t="str">
        <f>IFERROR(__xludf.DUMMYFUNCTION("""COMPUTED_VALUE"""),"WARKWORTH")</f>
        <v>WARKWORTH</v>
      </c>
      <c r="D4985" s="3" t="str">
        <f>IFERROR(__xludf.DUMMYFUNCTION("""COMPUTED_VALUE"""),"K0K 3K0")</f>
        <v>K0K 3K0</v>
      </c>
      <c r="E4985" s="3"/>
      <c r="F4985" s="3"/>
      <c r="G4985" s="3"/>
      <c r="H4985" s="3"/>
    </row>
    <row r="4986">
      <c r="A4986" s="2">
        <f>IFERROR(__xludf.DUMMYFUNCTION("""COMPUTED_VALUE"""),61917.0)</f>
        <v>61917</v>
      </c>
      <c r="B4986" s="3" t="str">
        <f>IFERROR(__xludf.DUMMYFUNCTION("""COMPUTED_VALUE"""),"331 GODOLPHIN RD  ")</f>
        <v>331 GODOLPHIN RD  </v>
      </c>
      <c r="C4986" s="3" t="str">
        <f>IFERROR(__xludf.DUMMYFUNCTION("""COMPUTED_VALUE"""),"WARKWORTH")</f>
        <v>WARKWORTH</v>
      </c>
      <c r="D4986" s="3" t="str">
        <f>IFERROR(__xludf.DUMMYFUNCTION("""COMPUTED_VALUE"""),"K0K 3K0")</f>
        <v>K0K 3K0</v>
      </c>
      <c r="E4986" s="3"/>
      <c r="F4986" s="3"/>
      <c r="G4986" s="3"/>
      <c r="H4986" s="3"/>
    </row>
    <row r="4987">
      <c r="A4987" s="2">
        <f>IFERROR(__xludf.DUMMYFUNCTION("""COMPUTED_VALUE"""),61918.0)</f>
        <v>61918</v>
      </c>
      <c r="B4987" s="3" t="str">
        <f>IFERROR(__xludf.DUMMYFUNCTION("""COMPUTED_VALUE"""),"335 GODOLPHIN RD  ")</f>
        <v>335 GODOLPHIN RD  </v>
      </c>
      <c r="C4987" s="3" t="str">
        <f>IFERROR(__xludf.DUMMYFUNCTION("""COMPUTED_VALUE"""),"WARKWORTH")</f>
        <v>WARKWORTH</v>
      </c>
      <c r="D4987" s="3" t="str">
        <f>IFERROR(__xludf.DUMMYFUNCTION("""COMPUTED_VALUE"""),"K0K 3K0")</f>
        <v>K0K 3K0</v>
      </c>
      <c r="E4987" s="3" t="str">
        <f>IFERROR(__xludf.DUMMYFUNCTION("""COMPUTED_VALUE"""),"Mile Rolsta")</f>
        <v>Mile Rolsta</v>
      </c>
      <c r="F4987" s="3" t="str">
        <f>IFERROR(__xludf.DUMMYFUNCTION("""COMPUTED_VALUE"""),"mjelo335@gmail.com")</f>
        <v>mjelo335@gmail.com</v>
      </c>
      <c r="G4987" s="3"/>
      <c r="H4987" s="3"/>
    </row>
    <row r="4988">
      <c r="A4988" s="2">
        <f>IFERROR(__xludf.DUMMYFUNCTION("""COMPUTED_VALUE"""),61919.0)</f>
        <v>61919</v>
      </c>
      <c r="B4988" s="3" t="str">
        <f>IFERROR(__xludf.DUMMYFUNCTION("""COMPUTED_VALUE"""),"350 GODOLPHIN RD  ")</f>
        <v>350 GODOLPHIN RD  </v>
      </c>
      <c r="C4988" s="3" t="str">
        <f>IFERROR(__xludf.DUMMYFUNCTION("""COMPUTED_VALUE"""),"WARKWORTH")</f>
        <v>WARKWORTH</v>
      </c>
      <c r="D4988" s="3" t="str">
        <f>IFERROR(__xludf.DUMMYFUNCTION("""COMPUTED_VALUE"""),"K0K 3K0")</f>
        <v>K0K 3K0</v>
      </c>
      <c r="E4988" s="3"/>
      <c r="F4988" s="3"/>
      <c r="G4988" s="3"/>
      <c r="H4988" s="3"/>
    </row>
    <row r="4989">
      <c r="A4989" s="2">
        <f>IFERROR(__xludf.DUMMYFUNCTION("""COMPUTED_VALUE"""),61920.0)</f>
        <v>61920</v>
      </c>
      <c r="B4989" s="3" t="str">
        <f>IFERROR(__xludf.DUMMYFUNCTION("""COMPUTED_VALUE"""),"351 GODOLPHIN RD  ")</f>
        <v>351 GODOLPHIN RD  </v>
      </c>
      <c r="C4989" s="3" t="str">
        <f>IFERROR(__xludf.DUMMYFUNCTION("""COMPUTED_VALUE"""),"WARKWORTH")</f>
        <v>WARKWORTH</v>
      </c>
      <c r="D4989" s="3" t="str">
        <f>IFERROR(__xludf.DUMMYFUNCTION("""COMPUTED_VALUE"""),"K0K 3K0")</f>
        <v>K0K 3K0</v>
      </c>
      <c r="E4989" s="3"/>
      <c r="F4989" s="3"/>
      <c r="G4989" s="3"/>
      <c r="H4989" s="3"/>
    </row>
    <row r="4990">
      <c r="A4990" s="2">
        <f>IFERROR(__xludf.DUMMYFUNCTION("""COMPUTED_VALUE"""),61921.0)</f>
        <v>61921</v>
      </c>
      <c r="B4990" s="3" t="str">
        <f>IFERROR(__xludf.DUMMYFUNCTION("""COMPUTED_VALUE"""),"360 GODOLPHIN RD  ")</f>
        <v>360 GODOLPHIN RD  </v>
      </c>
      <c r="C4990" s="3" t="str">
        <f>IFERROR(__xludf.DUMMYFUNCTION("""COMPUTED_VALUE"""),"WARKWORTH")</f>
        <v>WARKWORTH</v>
      </c>
      <c r="D4990" s="3" t="str">
        <f>IFERROR(__xludf.DUMMYFUNCTION("""COMPUTED_VALUE"""),"K0K 3K0")</f>
        <v>K0K 3K0</v>
      </c>
      <c r="E4990" s="3" t="str">
        <f>IFERROR(__xludf.DUMMYFUNCTION("""COMPUTED_VALUE"""),"Eric Barrett")</f>
        <v>Eric Barrett</v>
      </c>
      <c r="F4990" s="3"/>
      <c r="G4990" s="3"/>
      <c r="H4990" s="3"/>
    </row>
    <row r="4991">
      <c r="A4991" s="2">
        <f>IFERROR(__xludf.DUMMYFUNCTION("""COMPUTED_VALUE"""),61922.0)</f>
        <v>61922</v>
      </c>
      <c r="B4991" s="3" t="str">
        <f>IFERROR(__xludf.DUMMYFUNCTION("""COMPUTED_VALUE"""),"363 GODOLPHIN RD  ")</f>
        <v>363 GODOLPHIN RD  </v>
      </c>
      <c r="C4991" s="3" t="str">
        <f>IFERROR(__xludf.DUMMYFUNCTION("""COMPUTED_VALUE"""),"WARKWORTH")</f>
        <v>WARKWORTH</v>
      </c>
      <c r="D4991" s="3" t="str">
        <f>IFERROR(__xludf.DUMMYFUNCTION("""COMPUTED_VALUE"""),"K0K 3K0")</f>
        <v>K0K 3K0</v>
      </c>
      <c r="E4991" s="3" t="str">
        <f>IFERROR(__xludf.DUMMYFUNCTION("""COMPUTED_VALUE"""),"Kevin Huestis ")</f>
        <v>Kevin Huestis </v>
      </c>
      <c r="F4991" s="3" t="str">
        <f>IFERROR(__xludf.DUMMYFUNCTION("""COMPUTED_VALUE"""),"catherine.huestis@gmail.com")</f>
        <v>catherine.huestis@gmail.com</v>
      </c>
      <c r="G4991" s="3"/>
      <c r="H4991" s="3"/>
    </row>
    <row r="4992">
      <c r="A4992" s="2">
        <f>IFERROR(__xludf.DUMMYFUNCTION("""COMPUTED_VALUE"""),61923.0)</f>
        <v>61923</v>
      </c>
      <c r="B4992" s="3" t="str">
        <f>IFERROR(__xludf.DUMMYFUNCTION("""COMPUTED_VALUE"""),"371 GODOLPHIN RD  SUITE A")</f>
        <v>371 GODOLPHIN RD  SUITE A</v>
      </c>
      <c r="C4992" s="3" t="str">
        <f>IFERROR(__xludf.DUMMYFUNCTION("""COMPUTED_VALUE"""),"WARKWORTH")</f>
        <v>WARKWORTH</v>
      </c>
      <c r="D4992" s="3" t="str">
        <f>IFERROR(__xludf.DUMMYFUNCTION("""COMPUTED_VALUE"""),"K0K 3K0")</f>
        <v>K0K 3K0</v>
      </c>
      <c r="E4992" s="3" t="str">
        <f>IFERROR(__xludf.DUMMYFUNCTION("""COMPUTED_VALUE"""),"jonathan brown ")</f>
        <v>jonathan brown </v>
      </c>
      <c r="F4992" s="3" t="str">
        <f>IFERROR(__xludf.DUMMYFUNCTION("""COMPUTED_VALUE"""),"jonbrn@hotmail.com")</f>
        <v>jonbrn@hotmail.com</v>
      </c>
      <c r="G4992" s="3">
        <f>IFERROR(__xludf.DUMMYFUNCTION("""COMPUTED_VALUE"""),4.168047419E9)</f>
        <v>4168047419</v>
      </c>
      <c r="H4992" s="3"/>
    </row>
    <row r="4993">
      <c r="A4993" s="2">
        <f>IFERROR(__xludf.DUMMYFUNCTION("""COMPUTED_VALUE"""),61924.0)</f>
        <v>61924</v>
      </c>
      <c r="B4993" s="3" t="str">
        <f>IFERROR(__xludf.DUMMYFUNCTION("""COMPUTED_VALUE"""),"385 GODOLPHIN RD  ")</f>
        <v>385 GODOLPHIN RD  </v>
      </c>
      <c r="C4993" s="3" t="str">
        <f>IFERROR(__xludf.DUMMYFUNCTION("""COMPUTED_VALUE"""),"WARKWORTH")</f>
        <v>WARKWORTH</v>
      </c>
      <c r="D4993" s="3" t="str">
        <f>IFERROR(__xludf.DUMMYFUNCTION("""COMPUTED_VALUE"""),"K0K 3K0")</f>
        <v>K0K 3K0</v>
      </c>
      <c r="E4993" s="3" t="str">
        <f>IFERROR(__xludf.DUMMYFUNCTION("""COMPUTED_VALUE"""),"Stevson Havulestrom")</f>
        <v>Stevson Havulestrom</v>
      </c>
      <c r="F4993" s="3" t="str">
        <f>IFERROR(__xludf.DUMMYFUNCTION("""COMPUTED_VALUE"""),"steven@haylestrom.com")</f>
        <v>steven@haylestrom.com</v>
      </c>
      <c r="G4993" s="3"/>
      <c r="H4993" s="3"/>
    </row>
    <row r="4994">
      <c r="A4994" s="2">
        <f>IFERROR(__xludf.DUMMYFUNCTION("""COMPUTED_VALUE"""),61925.0)</f>
        <v>61925</v>
      </c>
      <c r="B4994" s="3" t="str">
        <f>IFERROR(__xludf.DUMMYFUNCTION("""COMPUTED_VALUE"""),"386 GODOLPHIN RD  ")</f>
        <v>386 GODOLPHIN RD  </v>
      </c>
      <c r="C4994" s="3" t="str">
        <f>IFERROR(__xludf.DUMMYFUNCTION("""COMPUTED_VALUE"""),"WARKWORTH")</f>
        <v>WARKWORTH</v>
      </c>
      <c r="D4994" s="3" t="str">
        <f>IFERROR(__xludf.DUMMYFUNCTION("""COMPUTED_VALUE"""),"K0K 3K0")</f>
        <v>K0K 3K0</v>
      </c>
      <c r="E4994" s="3" t="str">
        <f>IFERROR(__xludf.DUMMYFUNCTION("""COMPUTED_VALUE"""),"garry carter ")</f>
        <v>garry carter </v>
      </c>
      <c r="F4994" s="3" t="str">
        <f>IFERROR(__xludf.DUMMYFUNCTION("""COMPUTED_VALUE"""),"carter.sharyn1947@gmail.com")</f>
        <v>carter.sharyn1947@gmail.com</v>
      </c>
      <c r="G4994" s="3">
        <f>IFERROR(__xludf.DUMMYFUNCTION("""COMPUTED_VALUE"""),7.058751575E9)</f>
        <v>7058751575</v>
      </c>
      <c r="H4994" s="3">
        <f>IFERROR(__xludf.DUMMYFUNCTION("""COMPUTED_VALUE"""),7.59242545E8)</f>
        <v>759242545</v>
      </c>
    </row>
    <row r="4995">
      <c r="A4995" s="2">
        <f>IFERROR(__xludf.DUMMYFUNCTION("""COMPUTED_VALUE"""),61926.0)</f>
        <v>61926</v>
      </c>
      <c r="B4995" s="3" t="str">
        <f>IFERROR(__xludf.DUMMYFUNCTION("""COMPUTED_VALUE"""),"397 GODOLPHIN RD  ")</f>
        <v>397 GODOLPHIN RD  </v>
      </c>
      <c r="C4995" s="3" t="str">
        <f>IFERROR(__xludf.DUMMYFUNCTION("""COMPUTED_VALUE"""),"WARKWORTH")</f>
        <v>WARKWORTH</v>
      </c>
      <c r="D4995" s="3" t="str">
        <f>IFERROR(__xludf.DUMMYFUNCTION("""COMPUTED_VALUE"""),"K0K 3K0")</f>
        <v>K0K 3K0</v>
      </c>
      <c r="E4995" s="3" t="str">
        <f>IFERROR(__xludf.DUMMYFUNCTION("""COMPUTED_VALUE"""),"Glenn Gibson")</f>
        <v>Glenn Gibson</v>
      </c>
      <c r="F4995" s="3" t="str">
        <f>IFERROR(__xludf.DUMMYFUNCTION("""COMPUTED_VALUE"""),"gibson_gc@hotmail.com")</f>
        <v>gibson_gc@hotmail.com</v>
      </c>
      <c r="G4995" s="3"/>
      <c r="H4995" s="3"/>
    </row>
    <row r="4996">
      <c r="A4996" s="2">
        <f>IFERROR(__xludf.DUMMYFUNCTION("""COMPUTED_VALUE"""),61927.0)</f>
        <v>61927</v>
      </c>
      <c r="B4996" s="3" t="str">
        <f>IFERROR(__xludf.DUMMYFUNCTION("""COMPUTED_VALUE"""),"424 GODOLPHIN RD  ")</f>
        <v>424 GODOLPHIN RD  </v>
      </c>
      <c r="C4996" s="3" t="str">
        <f>IFERROR(__xludf.DUMMYFUNCTION("""COMPUTED_VALUE"""),"WARKWORTH")</f>
        <v>WARKWORTH</v>
      </c>
      <c r="D4996" s="3" t="str">
        <f>IFERROR(__xludf.DUMMYFUNCTION("""COMPUTED_VALUE"""),"K0K 3K0")</f>
        <v>K0K 3K0</v>
      </c>
      <c r="E4996" s="3" t="str">
        <f>IFERROR(__xludf.DUMMYFUNCTION("""COMPUTED_VALUE"""),"michael comanna ")</f>
        <v>michael comanna </v>
      </c>
      <c r="F4996" s="3" t="str">
        <f>IFERROR(__xludf.DUMMYFUNCTION("""COMPUTED_VALUE"""),"lamannacontracting@gmail.com")</f>
        <v>lamannacontracting@gmail.com</v>
      </c>
      <c r="G4996" s="3">
        <f>IFERROR(__xludf.DUMMYFUNCTION("""COMPUTED_VALUE"""),9.05622529E9)</f>
        <v>9056225290</v>
      </c>
      <c r="H4996" s="3"/>
    </row>
    <row r="4997">
      <c r="A4997" s="2">
        <f>IFERROR(__xludf.DUMMYFUNCTION("""COMPUTED_VALUE"""),61946.0)</f>
        <v>61946</v>
      </c>
      <c r="B4997" s="3" t="str">
        <f>IFERROR(__xludf.DUMMYFUNCTION("""COMPUTED_VALUE"""),"371B GODOLPHIN RD  ")</f>
        <v>371B GODOLPHIN RD  </v>
      </c>
      <c r="C4997" s="3" t="str">
        <f>IFERROR(__xludf.DUMMYFUNCTION("""COMPUTED_VALUE"""),"WARKWORTH")</f>
        <v>WARKWORTH</v>
      </c>
      <c r="D4997" s="3" t="str">
        <f>IFERROR(__xludf.DUMMYFUNCTION("""COMPUTED_VALUE"""),"K0K 3K0")</f>
        <v>K0K 3K0</v>
      </c>
      <c r="E4997" s="3"/>
      <c r="F4997" s="3"/>
      <c r="G4997" s="3"/>
      <c r="H4997" s="3"/>
    </row>
    <row r="4998">
      <c r="A4998" s="2">
        <f>IFERROR(__xludf.DUMMYFUNCTION("""COMPUTED_VALUE"""),60561.0)</f>
        <v>60561</v>
      </c>
      <c r="B4998" s="3" t="str">
        <f>IFERROR(__xludf.DUMMYFUNCTION("""COMPUTED_VALUE"""),"4 CAMPBELL RD")</f>
        <v>4 CAMPBELL RD</v>
      </c>
      <c r="C4998" s="3" t="str">
        <f>IFERROR(__xludf.DUMMYFUNCTION("""COMPUTED_VALUE"""),"WARKWORTH")</f>
        <v>WARKWORTH</v>
      </c>
      <c r="D4998" s="3" t="str">
        <f>IFERROR(__xludf.DUMMYFUNCTION("""COMPUTED_VALUE"""),"K0K 3K0")</f>
        <v>K0K 3K0</v>
      </c>
      <c r="E4998" s="3" t="str">
        <f>IFERROR(__xludf.DUMMYFUNCTION("""COMPUTED_VALUE"""),"Vivean Dobney")</f>
        <v>Vivean Dobney</v>
      </c>
      <c r="F4998" s="3" t="str">
        <f>IFERROR(__xludf.DUMMYFUNCTION("""COMPUTED_VALUE"""),"dobney@bell.net")</f>
        <v>dobney@bell.net</v>
      </c>
      <c r="G4998" s="3"/>
      <c r="H4998" s="3"/>
    </row>
    <row r="4999">
      <c r="A4999" s="2">
        <f>IFERROR(__xludf.DUMMYFUNCTION("""COMPUTED_VALUE"""),60562.0)</f>
        <v>60562</v>
      </c>
      <c r="B4999" s="3" t="str">
        <f>IFERROR(__xludf.DUMMYFUNCTION("""COMPUTED_VALUE"""),"35 CAMPBELL RD")</f>
        <v>35 CAMPBELL RD</v>
      </c>
      <c r="C4999" s="3" t="str">
        <f>IFERROR(__xludf.DUMMYFUNCTION("""COMPUTED_VALUE"""),"WARKWORTH")</f>
        <v>WARKWORTH</v>
      </c>
      <c r="D4999" s="3" t="str">
        <f>IFERROR(__xludf.DUMMYFUNCTION("""COMPUTED_VALUE"""),"K0K 3K0")</f>
        <v>K0K 3K0</v>
      </c>
      <c r="E4999" s="3" t="str">
        <f>IFERROR(__xludf.DUMMYFUNCTION("""COMPUTED_VALUE"""),"tesni ellis ")</f>
        <v>tesni ellis </v>
      </c>
      <c r="F4999" s="3" t="str">
        <f>IFERROR(__xludf.DUMMYFUNCTION("""COMPUTED_VALUE"""),"tesni.ellis@gmail.com")</f>
        <v>tesni.ellis@gmail.com</v>
      </c>
      <c r="G4999" s="3">
        <f>IFERROR(__xludf.DUMMYFUNCTION("""COMPUTED_VALUE"""),4.168272293E9)</f>
        <v>4168272293</v>
      </c>
      <c r="H4999" s="3"/>
    </row>
    <row r="5000">
      <c r="A5000" s="2">
        <f>IFERROR(__xludf.DUMMYFUNCTION("""COMPUTED_VALUE"""),60563.0)</f>
        <v>60563</v>
      </c>
      <c r="B5000" s="3" t="str">
        <f>IFERROR(__xludf.DUMMYFUNCTION("""COMPUTED_VALUE"""),"36 CAMPBELL RD")</f>
        <v>36 CAMPBELL RD</v>
      </c>
      <c r="C5000" s="3" t="str">
        <f>IFERROR(__xludf.DUMMYFUNCTION("""COMPUTED_VALUE"""),"WARKWORTH")</f>
        <v>WARKWORTH</v>
      </c>
      <c r="D5000" s="3" t="str">
        <f>IFERROR(__xludf.DUMMYFUNCTION("""COMPUTED_VALUE"""),"K0K 3K0")</f>
        <v>K0K 3K0</v>
      </c>
      <c r="E5000" s="3" t="str">
        <f>IFERROR(__xludf.DUMMYFUNCTION("""COMPUTED_VALUE"""),"Leuya Hale")</f>
        <v>Leuya Hale</v>
      </c>
      <c r="F5000" s="3" t="str">
        <f>IFERROR(__xludf.DUMMYFUNCTION("""COMPUTED_VALUE"""),"torelorehill@gmail.com")</f>
        <v>torelorehill@gmail.com</v>
      </c>
      <c r="G5000" s="3"/>
      <c r="H5000" s="3"/>
    </row>
    <row r="5001">
      <c r="A5001" s="2">
        <f>IFERROR(__xludf.DUMMYFUNCTION("""COMPUTED_VALUE"""),60564.0)</f>
        <v>60564</v>
      </c>
      <c r="B5001" s="3" t="str">
        <f>IFERROR(__xludf.DUMMYFUNCTION("""COMPUTED_VALUE"""),"58 CAMPBELL RD")</f>
        <v>58 CAMPBELL RD</v>
      </c>
      <c r="C5001" s="3" t="str">
        <f>IFERROR(__xludf.DUMMYFUNCTION("""COMPUTED_VALUE"""),"WARKWORTH")</f>
        <v>WARKWORTH</v>
      </c>
      <c r="D5001" s="3" t="str">
        <f>IFERROR(__xludf.DUMMYFUNCTION("""COMPUTED_VALUE"""),"K0K 3K0")</f>
        <v>K0K 3K0</v>
      </c>
      <c r="E5001" s="3" t="str">
        <f>IFERROR(__xludf.DUMMYFUNCTION("""COMPUTED_VALUE"""),"Nicole Doyle")</f>
        <v>Nicole Doyle</v>
      </c>
      <c r="F5001" s="3" t="str">
        <f>IFERROR(__xludf.DUMMYFUNCTION("""COMPUTED_VALUE"""),"doylecn@yahoo.com")</f>
        <v>doylecn@yahoo.com</v>
      </c>
      <c r="G5001" s="3">
        <f>IFERROR(__xludf.DUMMYFUNCTION("""COMPUTED_VALUE"""),9.058093873E9)</f>
        <v>9058093873</v>
      </c>
      <c r="H5001" s="3"/>
    </row>
    <row r="5002">
      <c r="A5002" s="2">
        <f>IFERROR(__xludf.DUMMYFUNCTION("""COMPUTED_VALUE"""),60565.0)</f>
        <v>60565</v>
      </c>
      <c r="B5002" s="3" t="str">
        <f>IFERROR(__xludf.DUMMYFUNCTION("""COMPUTED_VALUE"""),"64 CAMPBELL RD")</f>
        <v>64 CAMPBELL RD</v>
      </c>
      <c r="C5002" s="3" t="str">
        <f>IFERROR(__xludf.DUMMYFUNCTION("""COMPUTED_VALUE"""),"WARKWORTH")</f>
        <v>WARKWORTH</v>
      </c>
      <c r="D5002" s="3" t="str">
        <f>IFERROR(__xludf.DUMMYFUNCTION("""COMPUTED_VALUE"""),"K0K 3K0")</f>
        <v>K0K 3K0</v>
      </c>
      <c r="E5002" s="3"/>
      <c r="F5002" s="3"/>
      <c r="G5002" s="3"/>
      <c r="H5002" s="3"/>
    </row>
    <row r="5003">
      <c r="A5003" s="2">
        <f>IFERROR(__xludf.DUMMYFUNCTION("""COMPUTED_VALUE"""),60566.0)</f>
        <v>60566</v>
      </c>
      <c r="B5003" s="3" t="str">
        <f>IFERROR(__xludf.DUMMYFUNCTION("""COMPUTED_VALUE"""),"72 CAMPBELL RD")</f>
        <v>72 CAMPBELL RD</v>
      </c>
      <c r="C5003" s="3" t="str">
        <f>IFERROR(__xludf.DUMMYFUNCTION("""COMPUTED_VALUE"""),"WARKWORTH")</f>
        <v>WARKWORTH</v>
      </c>
      <c r="D5003" s="3" t="str">
        <f>IFERROR(__xludf.DUMMYFUNCTION("""COMPUTED_VALUE"""),"K0K 3K0")</f>
        <v>K0K 3K0</v>
      </c>
      <c r="E5003" s="3" t="str">
        <f>IFERROR(__xludf.DUMMYFUNCTION("""COMPUTED_VALUE"""),"Meirion Jones")</f>
        <v>Meirion Jones</v>
      </c>
      <c r="F5003" s="3" t="str">
        <f>IFERROR(__xludf.DUMMYFUNCTION("""COMPUTED_VALUE"""),"meirionjones.ca@gmail.com")</f>
        <v>meirionjones.ca@gmail.com</v>
      </c>
      <c r="G5003" s="3">
        <f>IFERROR(__xludf.DUMMYFUNCTION("""COMPUTED_VALUE"""),7.056538695E9)</f>
        <v>7056538695</v>
      </c>
      <c r="H5003" s="3">
        <f>IFERROR(__xludf.DUMMYFUNCTION("""COMPUTED_VALUE"""),7.057616276E9)</f>
        <v>7057616276</v>
      </c>
    </row>
    <row r="5004">
      <c r="A5004" s="2">
        <f>IFERROR(__xludf.DUMMYFUNCTION("""COMPUTED_VALUE"""),60567.0)</f>
        <v>60567</v>
      </c>
      <c r="B5004" s="3" t="str">
        <f>IFERROR(__xludf.DUMMYFUNCTION("""COMPUTED_VALUE"""),"122 CAMPBELL RD")</f>
        <v>122 CAMPBELL RD</v>
      </c>
      <c r="C5004" s="3" t="str">
        <f>IFERROR(__xludf.DUMMYFUNCTION("""COMPUTED_VALUE"""),"WARKWORTH")</f>
        <v>WARKWORTH</v>
      </c>
      <c r="D5004" s="3" t="str">
        <f>IFERROR(__xludf.DUMMYFUNCTION("""COMPUTED_VALUE"""),"K0K 3K0")</f>
        <v>K0K 3K0</v>
      </c>
      <c r="E5004" s="3"/>
      <c r="F5004" s="3"/>
      <c r="G5004" s="3"/>
      <c r="H5004" s="3"/>
    </row>
    <row r="5005">
      <c r="A5005" s="2">
        <f>IFERROR(__xludf.DUMMYFUNCTION("""COMPUTED_VALUE"""),60568.0)</f>
        <v>60568</v>
      </c>
      <c r="B5005" s="3" t="str">
        <f>IFERROR(__xludf.DUMMYFUNCTION("""COMPUTED_VALUE"""),"125 CAMPBELL RD")</f>
        <v>125 CAMPBELL RD</v>
      </c>
      <c r="C5005" s="3" t="str">
        <f>IFERROR(__xludf.DUMMYFUNCTION("""COMPUTED_VALUE"""),"WARKWORTH")</f>
        <v>WARKWORTH</v>
      </c>
      <c r="D5005" s="3" t="str">
        <f>IFERROR(__xludf.DUMMYFUNCTION("""COMPUTED_VALUE"""),"K0K 3K0")</f>
        <v>K0K 3K0</v>
      </c>
      <c r="E5005" s="3" t="str">
        <f>IFERROR(__xludf.DUMMYFUNCTION("""COMPUTED_VALUE"""),"Lucas Cathmoir")</f>
        <v>Lucas Cathmoir</v>
      </c>
      <c r="F5005" s="3"/>
      <c r="G5005" s="3"/>
      <c r="H5005" s="3"/>
    </row>
    <row r="5006">
      <c r="A5006" s="2">
        <f>IFERROR(__xludf.DUMMYFUNCTION("""COMPUTED_VALUE"""),60569.0)</f>
        <v>60569</v>
      </c>
      <c r="B5006" s="3" t="str">
        <f>IFERROR(__xludf.DUMMYFUNCTION("""COMPUTED_VALUE"""),"220 CAMPBELL RD")</f>
        <v>220 CAMPBELL RD</v>
      </c>
      <c r="C5006" s="3" t="str">
        <f>IFERROR(__xludf.DUMMYFUNCTION("""COMPUTED_VALUE"""),"WARKWORTH")</f>
        <v>WARKWORTH</v>
      </c>
      <c r="D5006" s="3" t="str">
        <f>IFERROR(__xludf.DUMMYFUNCTION("""COMPUTED_VALUE"""),"K0K 3K0")</f>
        <v>K0K 3K0</v>
      </c>
      <c r="E5006" s="3" t="str">
        <f>IFERROR(__xludf.DUMMYFUNCTION("""COMPUTED_VALUE"""),"Peter G Campbell")</f>
        <v>Peter G Campbell</v>
      </c>
      <c r="F5006" s="3"/>
      <c r="G5006" s="3"/>
      <c r="H5006" s="3"/>
    </row>
    <row r="5007">
      <c r="A5007" s="2">
        <f>IFERROR(__xludf.DUMMYFUNCTION("""COMPUTED_VALUE"""),60570.0)</f>
        <v>60570</v>
      </c>
      <c r="B5007" s="3" t="str">
        <f>IFERROR(__xludf.DUMMYFUNCTION("""COMPUTED_VALUE"""),"255 CAMPBELL RD")</f>
        <v>255 CAMPBELL RD</v>
      </c>
      <c r="C5007" s="3" t="str">
        <f>IFERROR(__xludf.DUMMYFUNCTION("""COMPUTED_VALUE"""),"WARKWORTH")</f>
        <v>WARKWORTH</v>
      </c>
      <c r="D5007" s="3" t="str">
        <f>IFERROR(__xludf.DUMMYFUNCTION("""COMPUTED_VALUE"""),"K0K 3K0")</f>
        <v>K0K 3K0</v>
      </c>
      <c r="E5007" s="3" t="str">
        <f>IFERROR(__xludf.DUMMYFUNCTION("""COMPUTED_VALUE"""),"Peter G Campbell")</f>
        <v>Peter G Campbell</v>
      </c>
      <c r="F5007" s="3"/>
      <c r="G5007" s="3"/>
      <c r="H5007" s="3"/>
    </row>
    <row r="5008">
      <c r="A5008" s="2">
        <f>IFERROR(__xludf.DUMMYFUNCTION("""COMPUTED_VALUE"""),60571.0)</f>
        <v>60571</v>
      </c>
      <c r="B5008" s="3" t="str">
        <f>IFERROR(__xludf.DUMMYFUNCTION("""COMPUTED_VALUE"""),"290 CAMPBELL RD")</f>
        <v>290 CAMPBELL RD</v>
      </c>
      <c r="C5008" s="3" t="str">
        <f>IFERROR(__xludf.DUMMYFUNCTION("""COMPUTED_VALUE"""),"WARKWORTH")</f>
        <v>WARKWORTH</v>
      </c>
      <c r="D5008" s="3" t="str">
        <f>IFERROR(__xludf.DUMMYFUNCTION("""COMPUTED_VALUE"""),"K0K 3K0")</f>
        <v>K0K 3K0</v>
      </c>
      <c r="E5008" s="3" t="str">
        <f>IFERROR(__xludf.DUMMYFUNCTION("""COMPUTED_VALUE"""),"Tania Caryi")</f>
        <v>Tania Caryi</v>
      </c>
      <c r="F5008" s="3" t="str">
        <f>IFERROR(__xludf.DUMMYFUNCTION("""COMPUTED_VALUE"""),"taniacaryi@gmail.com")</f>
        <v>taniacaryi@gmail.com</v>
      </c>
      <c r="G5008" s="3">
        <f>IFERROR(__xludf.DUMMYFUNCTION("""COMPUTED_VALUE"""),9.057173714E9)</f>
        <v>9057173714</v>
      </c>
      <c r="H5008" s="3"/>
    </row>
    <row r="5009">
      <c r="A5009" s="2">
        <f>IFERROR(__xludf.DUMMYFUNCTION("""COMPUTED_VALUE"""),63731.0)</f>
        <v>63731</v>
      </c>
      <c r="B5009" s="3" t="str">
        <f>IFERROR(__xludf.DUMMYFUNCTION("""COMPUTED_VALUE"""),"6 WINTER RD  ")</f>
        <v>6 WINTER RD  </v>
      </c>
      <c r="C5009" s="3" t="str">
        <f>IFERROR(__xludf.DUMMYFUNCTION("""COMPUTED_VALUE"""),"WARKWORTH")</f>
        <v>WARKWORTH</v>
      </c>
      <c r="D5009" s="3" t="str">
        <f>IFERROR(__xludf.DUMMYFUNCTION("""COMPUTED_VALUE"""),"K0K 3K0")</f>
        <v>K0K 3K0</v>
      </c>
      <c r="E5009" s="3" t="str">
        <f>IFERROR(__xludf.DUMMYFUNCTION("""COMPUTED_VALUE"""),"ROBYN DEJUSSEL")</f>
        <v>ROBYN DEJUSSEL</v>
      </c>
      <c r="F5009" s="3" t="str">
        <f>IFERROR(__xludf.DUMMYFUNCTION("""COMPUTED_VALUE"""),"robyndejussel@gmail.com")</f>
        <v>robyndejussel@gmail.com</v>
      </c>
      <c r="G5009" s="3"/>
      <c r="H5009" s="3"/>
    </row>
    <row r="5010">
      <c r="A5010" s="2">
        <f>IFERROR(__xludf.DUMMYFUNCTION("""COMPUTED_VALUE"""),63732.0)</f>
        <v>63732</v>
      </c>
      <c r="B5010" s="3" t="str">
        <f>IFERROR(__xludf.DUMMYFUNCTION("""COMPUTED_VALUE"""),"10 WINTER RD  ")</f>
        <v>10 WINTER RD  </v>
      </c>
      <c r="C5010" s="3" t="str">
        <f>IFERROR(__xludf.DUMMYFUNCTION("""COMPUTED_VALUE"""),"WARKWORTH")</f>
        <v>WARKWORTH</v>
      </c>
      <c r="D5010" s="3" t="str">
        <f>IFERROR(__xludf.DUMMYFUNCTION("""COMPUTED_VALUE"""),"K0K 3K0")</f>
        <v>K0K 3K0</v>
      </c>
      <c r="E5010" s="3" t="str">
        <f>IFERROR(__xludf.DUMMYFUNCTION("""COMPUTED_VALUE"""),"Kim Good")</f>
        <v>Kim Good</v>
      </c>
      <c r="F5010" s="3" t="str">
        <f>IFERROR(__xludf.DUMMYFUNCTION("""COMPUTED_VALUE"""),"spreadthejoy62@gmail.com")</f>
        <v>spreadthejoy62@gmail.com</v>
      </c>
      <c r="G5010" s="3"/>
      <c r="H5010" s="3"/>
    </row>
    <row r="5011">
      <c r="A5011" s="2">
        <f>IFERROR(__xludf.DUMMYFUNCTION("""COMPUTED_VALUE"""),63733.0)</f>
        <v>63733</v>
      </c>
      <c r="B5011" s="3" t="str">
        <f>IFERROR(__xludf.DUMMYFUNCTION("""COMPUTED_VALUE"""),"13 WINTER RD  ")</f>
        <v>13 WINTER RD  </v>
      </c>
      <c r="C5011" s="3" t="str">
        <f>IFERROR(__xludf.DUMMYFUNCTION("""COMPUTED_VALUE"""),"WARKWORTH")</f>
        <v>WARKWORTH</v>
      </c>
      <c r="D5011" s="3" t="str">
        <f>IFERROR(__xludf.DUMMYFUNCTION("""COMPUTED_VALUE"""),"K0K 3K0")</f>
        <v>K0K 3K0</v>
      </c>
      <c r="E5011" s="3" t="str">
        <f>IFERROR(__xludf.DUMMYFUNCTION("""COMPUTED_VALUE"""),"danielle vanderstroop")</f>
        <v>danielle vanderstroop</v>
      </c>
      <c r="F5011" s="3" t="str">
        <f>IFERROR(__xludf.DUMMYFUNCTION("""COMPUTED_VALUE"""),"daniellevanderstroop@gmail.com")</f>
        <v>daniellevanderstroop@gmail.com</v>
      </c>
      <c r="G5011" s="3">
        <f>IFERROR(__xludf.DUMMYFUNCTION("""COMPUTED_VALUE"""),7.053132174E9)</f>
        <v>7053132174</v>
      </c>
      <c r="H5011" s="3"/>
    </row>
    <row r="5012">
      <c r="A5012" s="2">
        <f>IFERROR(__xludf.DUMMYFUNCTION("""COMPUTED_VALUE"""),63734.0)</f>
        <v>63734</v>
      </c>
      <c r="B5012" s="3" t="str">
        <f>IFERROR(__xludf.DUMMYFUNCTION("""COMPUTED_VALUE"""),"17 WINTER RD  ")</f>
        <v>17 WINTER RD  </v>
      </c>
      <c r="C5012" s="3" t="str">
        <f>IFERROR(__xludf.DUMMYFUNCTION("""COMPUTED_VALUE"""),"WARKWORTH")</f>
        <v>WARKWORTH</v>
      </c>
      <c r="D5012" s="3" t="str">
        <f>IFERROR(__xludf.DUMMYFUNCTION("""COMPUTED_VALUE"""),"K0K 3K0")</f>
        <v>K0K 3K0</v>
      </c>
      <c r="E5012" s="3"/>
      <c r="F5012" s="3"/>
      <c r="G5012" s="3"/>
      <c r="H5012" s="3"/>
    </row>
    <row r="5013">
      <c r="A5013" s="2">
        <f>IFERROR(__xludf.DUMMYFUNCTION("""COMPUTED_VALUE"""),63735.0)</f>
        <v>63735</v>
      </c>
      <c r="B5013" s="3" t="str">
        <f>IFERROR(__xludf.DUMMYFUNCTION("""COMPUTED_VALUE"""),"26 WINTER RD  ")</f>
        <v>26 WINTER RD  </v>
      </c>
      <c r="C5013" s="3" t="str">
        <f>IFERROR(__xludf.DUMMYFUNCTION("""COMPUTED_VALUE"""),"WARKWORTH")</f>
        <v>WARKWORTH</v>
      </c>
      <c r="D5013" s="3" t="str">
        <f>IFERROR(__xludf.DUMMYFUNCTION("""COMPUTED_VALUE"""),"K0K 3K0")</f>
        <v>K0K 3K0</v>
      </c>
      <c r="E5013" s="3" t="str">
        <f>IFERROR(__xludf.DUMMYFUNCTION("""COMPUTED_VALUE"""),"Greg Taggart")</f>
        <v>Greg Taggart</v>
      </c>
      <c r="F5013" s="3" t="str">
        <f>IFERROR(__xludf.DUMMYFUNCTION("""COMPUTED_VALUE"""),"g.taggart1953@gmail.com")</f>
        <v>g.taggart1953@gmail.com</v>
      </c>
      <c r="G5013" s="3">
        <f>IFERROR(__xludf.DUMMYFUNCTION("""COMPUTED_VALUE"""),9.054421953E9)</f>
        <v>9054421953</v>
      </c>
      <c r="H5013" s="3"/>
    </row>
    <row r="5014">
      <c r="A5014" s="2">
        <f>IFERROR(__xludf.DUMMYFUNCTION("""COMPUTED_VALUE"""),63736.0)</f>
        <v>63736</v>
      </c>
      <c r="B5014" s="3" t="str">
        <f>IFERROR(__xludf.DUMMYFUNCTION("""COMPUTED_VALUE"""),"42 WINTER RD  ")</f>
        <v>42 WINTER RD  </v>
      </c>
      <c r="C5014" s="3" t="str">
        <f>IFERROR(__xludf.DUMMYFUNCTION("""COMPUTED_VALUE"""),"WARKWORTH")</f>
        <v>WARKWORTH</v>
      </c>
      <c r="D5014" s="3" t="str">
        <f>IFERROR(__xludf.DUMMYFUNCTION("""COMPUTED_VALUE"""),"K0K 3K0")</f>
        <v>K0K 3K0</v>
      </c>
      <c r="E5014" s="3"/>
      <c r="F5014" s="3"/>
      <c r="G5014" s="3"/>
      <c r="H5014" s="3"/>
    </row>
    <row r="5015">
      <c r="A5015" s="2">
        <f>IFERROR(__xludf.DUMMYFUNCTION("""COMPUTED_VALUE"""),63737.0)</f>
        <v>63737</v>
      </c>
      <c r="B5015" s="3" t="str">
        <f>IFERROR(__xludf.DUMMYFUNCTION("""COMPUTED_VALUE"""),"55 WINTER RD  ")</f>
        <v>55 WINTER RD  </v>
      </c>
      <c r="C5015" s="3" t="str">
        <f>IFERROR(__xludf.DUMMYFUNCTION("""COMPUTED_VALUE"""),"WARKWORTH")</f>
        <v>WARKWORTH</v>
      </c>
      <c r="D5015" s="3" t="str">
        <f>IFERROR(__xludf.DUMMYFUNCTION("""COMPUTED_VALUE"""),"K0K 3K0")</f>
        <v>K0K 3K0</v>
      </c>
      <c r="E5015" s="3" t="str">
        <f>IFERROR(__xludf.DUMMYFUNCTION("""COMPUTED_VALUE"""),"scott hodgson")</f>
        <v>scott hodgson</v>
      </c>
      <c r="F5015" s="3" t="str">
        <f>IFERROR(__xludf.DUMMYFUNCTION("""COMPUTED_VALUE"""),"scottyhodge80@gmail.com")</f>
        <v>scottyhodge80@gmail.com</v>
      </c>
      <c r="G5015" s="3">
        <f>IFERROR(__xludf.DUMMYFUNCTION("""COMPUTED_VALUE"""),7.058782022E9)</f>
        <v>7058782022</v>
      </c>
      <c r="H5015" s="3"/>
    </row>
    <row r="5016">
      <c r="A5016" s="2">
        <f>IFERROR(__xludf.DUMMYFUNCTION("""COMPUTED_VALUE"""),63738.0)</f>
        <v>63738</v>
      </c>
      <c r="B5016" s="3" t="str">
        <f>IFERROR(__xludf.DUMMYFUNCTION("""COMPUTED_VALUE"""),"66 WINTER RD  ")</f>
        <v>66 WINTER RD  </v>
      </c>
      <c r="C5016" s="3" t="str">
        <f>IFERROR(__xludf.DUMMYFUNCTION("""COMPUTED_VALUE"""),"WARKWORTH")</f>
        <v>WARKWORTH</v>
      </c>
      <c r="D5016" s="3" t="str">
        <f>IFERROR(__xludf.DUMMYFUNCTION("""COMPUTED_VALUE"""),"K0K 3K0")</f>
        <v>K0K 3K0</v>
      </c>
      <c r="E5016" s="3" t="str">
        <f>IFERROR(__xludf.DUMMYFUNCTION("""COMPUTED_VALUE"""),"john primeau")</f>
        <v>john primeau</v>
      </c>
      <c r="F5016" s="3"/>
      <c r="G5016" s="3">
        <f>IFERROR(__xludf.DUMMYFUNCTION("""COMPUTED_VALUE"""),7.057283898E9)</f>
        <v>7057283898</v>
      </c>
      <c r="H5016" s="3"/>
    </row>
    <row r="5017">
      <c r="A5017" s="2">
        <f>IFERROR(__xludf.DUMMYFUNCTION("""COMPUTED_VALUE"""),63739.0)</f>
        <v>63739</v>
      </c>
      <c r="B5017" s="3" t="str">
        <f>IFERROR(__xludf.DUMMYFUNCTION("""COMPUTED_VALUE"""),"74 WINTER RD  ")</f>
        <v>74 WINTER RD  </v>
      </c>
      <c r="C5017" s="3" t="str">
        <f>IFERROR(__xludf.DUMMYFUNCTION("""COMPUTED_VALUE"""),"WARKWORTH")</f>
        <v>WARKWORTH</v>
      </c>
      <c r="D5017" s="3" t="str">
        <f>IFERROR(__xludf.DUMMYFUNCTION("""COMPUTED_VALUE"""),"K0K 3K0")</f>
        <v>K0K 3K0</v>
      </c>
      <c r="E5017" s="3" t="str">
        <f>IFERROR(__xludf.DUMMYFUNCTION("""COMPUTED_VALUE"""),"cathy walsh")</f>
        <v>cathy walsh</v>
      </c>
      <c r="F5017" s="3"/>
      <c r="G5017" s="3">
        <f>IFERROR(__xludf.DUMMYFUNCTION("""COMPUTED_VALUE"""),7.059242041E9)</f>
        <v>7059242041</v>
      </c>
      <c r="H5017" s="3"/>
    </row>
    <row r="5018">
      <c r="A5018" s="2">
        <f>IFERROR(__xludf.DUMMYFUNCTION("""COMPUTED_VALUE"""),63740.0)</f>
        <v>63740</v>
      </c>
      <c r="B5018" s="3" t="str">
        <f>IFERROR(__xludf.DUMMYFUNCTION("""COMPUTED_VALUE"""),"76 WINTER RD  ")</f>
        <v>76 WINTER RD  </v>
      </c>
      <c r="C5018" s="3" t="str">
        <f>IFERROR(__xludf.DUMMYFUNCTION("""COMPUTED_VALUE"""),"WARKWORTH")</f>
        <v>WARKWORTH</v>
      </c>
      <c r="D5018" s="3" t="str">
        <f>IFERROR(__xludf.DUMMYFUNCTION("""COMPUTED_VALUE"""),"K0K 3K0")</f>
        <v>K0K 3K0</v>
      </c>
      <c r="E5018" s="3" t="str">
        <f>IFERROR(__xludf.DUMMYFUNCTION("""COMPUTED_VALUE"""),"Karl Kober")</f>
        <v>Karl Kober</v>
      </c>
      <c r="F5018" s="3" t="str">
        <f>IFERROR(__xludf.DUMMYFUNCTION("""COMPUTED_VALUE"""),"karl.kober@gmail.com")</f>
        <v>karl.kober@gmail.com</v>
      </c>
      <c r="G5018" s="3">
        <f>IFERROR(__xludf.DUMMYFUNCTION("""COMPUTED_VALUE"""),4.165677082E9)</f>
        <v>4165677082</v>
      </c>
      <c r="H5018" s="3"/>
    </row>
    <row r="5019">
      <c r="A5019" s="2">
        <f>IFERROR(__xludf.DUMMYFUNCTION("""COMPUTED_VALUE"""),63741.0)</f>
        <v>63741</v>
      </c>
      <c r="B5019" s="3" t="str">
        <f>IFERROR(__xludf.DUMMYFUNCTION("""COMPUTED_VALUE"""),"78 WINTER RD  ")</f>
        <v>78 WINTER RD  </v>
      </c>
      <c r="C5019" s="3" t="str">
        <f>IFERROR(__xludf.DUMMYFUNCTION("""COMPUTED_VALUE"""),"WARKWORTH")</f>
        <v>WARKWORTH</v>
      </c>
      <c r="D5019" s="3" t="str">
        <f>IFERROR(__xludf.DUMMYFUNCTION("""COMPUTED_VALUE"""),"K0K 3K0")</f>
        <v>K0K 3K0</v>
      </c>
      <c r="E5019" s="3"/>
      <c r="F5019" s="3"/>
      <c r="G5019" s="3"/>
      <c r="H5019" s="3"/>
    </row>
    <row r="5020">
      <c r="A5020" s="2">
        <f>IFERROR(__xludf.DUMMYFUNCTION("""COMPUTED_VALUE"""),63742.0)</f>
        <v>63742</v>
      </c>
      <c r="B5020" s="3" t="str">
        <f>IFERROR(__xludf.DUMMYFUNCTION("""COMPUTED_VALUE"""),"82 WINTER RD  ")</f>
        <v>82 WINTER RD  </v>
      </c>
      <c r="C5020" s="3" t="str">
        <f>IFERROR(__xludf.DUMMYFUNCTION("""COMPUTED_VALUE"""),"WARKWORTH")</f>
        <v>WARKWORTH</v>
      </c>
      <c r="D5020" s="3" t="str">
        <f>IFERROR(__xludf.DUMMYFUNCTION("""COMPUTED_VALUE"""),"K0K 3K0")</f>
        <v>K0K 3K0</v>
      </c>
      <c r="E5020" s="3" t="str">
        <f>IFERROR(__xludf.DUMMYFUNCTION("""COMPUTED_VALUE"""),"Dale Bateman")</f>
        <v>Dale Bateman</v>
      </c>
      <c r="F5020" s="3" t="str">
        <f>IFERROR(__xludf.DUMMYFUNCTION("""COMPUTED_VALUE"""),"dale@dalebateman.com")</f>
        <v>dale@dalebateman.com</v>
      </c>
      <c r="G5020" s="3"/>
      <c r="H5020" s="3"/>
    </row>
    <row r="5021">
      <c r="A5021" s="2">
        <f>IFERROR(__xludf.DUMMYFUNCTION("""COMPUTED_VALUE"""),63743.0)</f>
        <v>63743</v>
      </c>
      <c r="B5021" s="3" t="str">
        <f>IFERROR(__xludf.DUMMYFUNCTION("""COMPUTED_VALUE"""),"84 WINTER RD  ")</f>
        <v>84 WINTER RD  </v>
      </c>
      <c r="C5021" s="3" t="str">
        <f>IFERROR(__xludf.DUMMYFUNCTION("""COMPUTED_VALUE"""),"WARKWORTH")</f>
        <v>WARKWORTH</v>
      </c>
      <c r="D5021" s="3" t="str">
        <f>IFERROR(__xludf.DUMMYFUNCTION("""COMPUTED_VALUE"""),"K0K 3K0")</f>
        <v>K0K 3K0</v>
      </c>
      <c r="E5021" s="3"/>
      <c r="F5021" s="3"/>
      <c r="G5021" s="3"/>
      <c r="H5021" s="3"/>
    </row>
    <row r="5022">
      <c r="A5022" s="2">
        <f>IFERROR(__xludf.DUMMYFUNCTION("""COMPUTED_VALUE"""),63778.0)</f>
        <v>63778</v>
      </c>
      <c r="B5022" s="3" t="str">
        <f>IFERROR(__xludf.DUMMYFUNCTION("""COMPUTED_VALUE"""),"39 WINTER RD")</f>
        <v>39 WINTER RD</v>
      </c>
      <c r="C5022" s="3" t="str">
        <f>IFERROR(__xludf.DUMMYFUNCTION("""COMPUTED_VALUE"""),"WARKWORTH")</f>
        <v>WARKWORTH</v>
      </c>
      <c r="D5022" s="3" t="str">
        <f>IFERROR(__xludf.DUMMYFUNCTION("""COMPUTED_VALUE"""),"K0K 3K0")</f>
        <v>K0K 3K0</v>
      </c>
      <c r="E5022" s="3"/>
      <c r="F5022" s="3"/>
      <c r="G5022" s="3"/>
      <c r="H5022" s="3"/>
    </row>
    <row r="5023">
      <c r="A5023" s="2">
        <f>IFERROR(__xludf.DUMMYFUNCTION("""COMPUTED_VALUE"""),62798.0)</f>
        <v>62798</v>
      </c>
      <c r="B5023" s="3" t="str">
        <f>IFERROR(__xludf.DUMMYFUNCTION("""COMPUTED_VALUE"""),"23 OLD HASTINGS RD  ")</f>
        <v>23 OLD HASTINGS RD  </v>
      </c>
      <c r="C5023" s="3" t="str">
        <f>IFERROR(__xludf.DUMMYFUNCTION("""COMPUTED_VALUE"""),"WARKWORTH")</f>
        <v>WARKWORTH</v>
      </c>
      <c r="D5023" s="3" t="str">
        <f>IFERROR(__xludf.DUMMYFUNCTION("""COMPUTED_VALUE"""),"K0K 3K0")</f>
        <v>K0K 3K0</v>
      </c>
      <c r="E5023" s="3" t="str">
        <f>IFERROR(__xludf.DUMMYFUNCTION("""COMPUTED_VALUE"""),"OWEN KHAIRULLAH")</f>
        <v>OWEN KHAIRULLAH</v>
      </c>
      <c r="F5023" s="3" t="str">
        <f>IFERROR(__xludf.DUMMYFUNCTION("""COMPUTED_VALUE"""),"owen_k52@hotmail.com")</f>
        <v>owen_k52@hotmail.com</v>
      </c>
      <c r="G5023" s="3"/>
      <c r="H5023" s="3"/>
    </row>
    <row r="5024">
      <c r="A5024" s="2">
        <f>IFERROR(__xludf.DUMMYFUNCTION("""COMPUTED_VALUE"""),62799.0)</f>
        <v>62799</v>
      </c>
      <c r="B5024" s="3" t="str">
        <f>IFERROR(__xludf.DUMMYFUNCTION("""COMPUTED_VALUE"""),"24 OLD HASTINGS RD  ")</f>
        <v>24 OLD HASTINGS RD  </v>
      </c>
      <c r="C5024" s="3" t="str">
        <f>IFERROR(__xludf.DUMMYFUNCTION("""COMPUTED_VALUE"""),"WARKWORTH")</f>
        <v>WARKWORTH</v>
      </c>
      <c r="D5024" s="3" t="str">
        <f>IFERROR(__xludf.DUMMYFUNCTION("""COMPUTED_VALUE"""),"K0K 3K0")</f>
        <v>K0K 3K0</v>
      </c>
      <c r="E5024" s="3" t="str">
        <f>IFERROR(__xludf.DUMMYFUNCTION("""COMPUTED_VALUE"""),"neil allanson")</f>
        <v>neil allanson</v>
      </c>
      <c r="F5024" s="3" t="str">
        <f>IFERROR(__xludf.DUMMYFUNCTION("""COMPUTED_VALUE"""),"neil.allanson@trenthills.com")</f>
        <v>neil.allanson@trenthills.com</v>
      </c>
      <c r="G5024" s="3">
        <f>IFERROR(__xludf.DUMMYFUNCTION("""COMPUTED_VALUE"""),7.05653709E9)</f>
        <v>7056537090</v>
      </c>
      <c r="H5024" s="3"/>
    </row>
    <row r="5025">
      <c r="A5025" s="2">
        <f>IFERROR(__xludf.DUMMYFUNCTION("""COMPUTED_VALUE"""),62800.0)</f>
        <v>62800</v>
      </c>
      <c r="B5025" s="3" t="str">
        <f>IFERROR(__xludf.DUMMYFUNCTION("""COMPUTED_VALUE"""),"29 OLD HASTINGS RD  ")</f>
        <v>29 OLD HASTINGS RD  </v>
      </c>
      <c r="C5025" s="3" t="str">
        <f>IFERROR(__xludf.DUMMYFUNCTION("""COMPUTED_VALUE"""),"WARKWORTH")</f>
        <v>WARKWORTH</v>
      </c>
      <c r="D5025" s="3" t="str">
        <f>IFERROR(__xludf.DUMMYFUNCTION("""COMPUTED_VALUE"""),"K0K 3K0")</f>
        <v>K0K 3K0</v>
      </c>
      <c r="E5025" s="3" t="str">
        <f>IFERROR(__xludf.DUMMYFUNCTION("""COMPUTED_VALUE"""),"iain macinnes")</f>
        <v>iain macinnes</v>
      </c>
      <c r="F5025" s="3" t="str">
        <f>IFERROR(__xludf.DUMMYFUNCTION("""COMPUTED_VALUE"""),"macinnes.iain@icloud.com")</f>
        <v>macinnes.iain@icloud.com</v>
      </c>
      <c r="G5025" s="3">
        <f>IFERROR(__xludf.DUMMYFUNCTION("""COMPUTED_VALUE"""),6.472486344E9)</f>
        <v>6472486344</v>
      </c>
      <c r="H5025" s="3"/>
    </row>
    <row r="5026">
      <c r="A5026" s="2">
        <f>IFERROR(__xludf.DUMMYFUNCTION("""COMPUTED_VALUE"""),62801.0)</f>
        <v>62801</v>
      </c>
      <c r="B5026" s="3" t="str">
        <f>IFERROR(__xludf.DUMMYFUNCTION("""COMPUTED_VALUE"""),"30 OLD HASTINGS RD  ")</f>
        <v>30 OLD HASTINGS RD  </v>
      </c>
      <c r="C5026" s="3" t="str">
        <f>IFERROR(__xludf.DUMMYFUNCTION("""COMPUTED_VALUE"""),"WARKWORTH")</f>
        <v>WARKWORTH</v>
      </c>
      <c r="D5026" s="3" t="str">
        <f>IFERROR(__xludf.DUMMYFUNCTION("""COMPUTED_VALUE"""),"K0K 3K0")</f>
        <v>K0K 3K0</v>
      </c>
      <c r="E5026" s="3" t="str">
        <f>IFERROR(__xludf.DUMMYFUNCTION("""COMPUTED_VALUE"""),"Scott Luke")</f>
        <v>Scott Luke</v>
      </c>
      <c r="F5026" s="3" t="str">
        <f>IFERROR(__xludf.DUMMYFUNCTION("""COMPUTED_VALUE"""),"scottrluke@gmail.com")</f>
        <v>scottrluke@gmail.com</v>
      </c>
      <c r="G5026" s="3"/>
      <c r="H5026" s="3"/>
    </row>
    <row r="5027">
      <c r="A5027" s="2">
        <f>IFERROR(__xludf.DUMMYFUNCTION("""COMPUTED_VALUE"""),62802.0)</f>
        <v>62802</v>
      </c>
      <c r="B5027" s="3" t="str">
        <f>IFERROR(__xludf.DUMMYFUNCTION("""COMPUTED_VALUE"""),"32 OLD HASTINGS RD  ")</f>
        <v>32 OLD HASTINGS RD  </v>
      </c>
      <c r="C5027" s="3" t="str">
        <f>IFERROR(__xludf.DUMMYFUNCTION("""COMPUTED_VALUE"""),"WARKWORTH")</f>
        <v>WARKWORTH</v>
      </c>
      <c r="D5027" s="3" t="str">
        <f>IFERROR(__xludf.DUMMYFUNCTION("""COMPUTED_VALUE"""),"K0K 3K0")</f>
        <v>K0K 3K0</v>
      </c>
      <c r="E5027" s="3" t="str">
        <f>IFERROR(__xludf.DUMMYFUNCTION("""COMPUTED_VALUE"""),"lawrence mccomb")</f>
        <v>lawrence mccomb</v>
      </c>
      <c r="F5027" s="3" t="str">
        <f>IFERROR(__xludf.DUMMYFUNCTION("""COMPUTED_VALUE"""),"mcclaw55@gmail.com")</f>
        <v>mcclaw55@gmail.com</v>
      </c>
      <c r="G5027" s="3">
        <f>IFERROR(__xludf.DUMMYFUNCTION("""COMPUTED_VALUE"""),7.056536768E9)</f>
        <v>7056536768</v>
      </c>
      <c r="H5027" s="3"/>
    </row>
    <row r="5028">
      <c r="A5028" s="2">
        <f>IFERROR(__xludf.DUMMYFUNCTION("""COMPUTED_VALUE"""),62803.0)</f>
        <v>62803</v>
      </c>
      <c r="B5028" s="3" t="str">
        <f>IFERROR(__xludf.DUMMYFUNCTION("""COMPUTED_VALUE"""),"36 OLD HASTINGS RD  ")</f>
        <v>36 OLD HASTINGS RD  </v>
      </c>
      <c r="C5028" s="3" t="str">
        <f>IFERROR(__xludf.DUMMYFUNCTION("""COMPUTED_VALUE"""),"WARKWORTH")</f>
        <v>WARKWORTH</v>
      </c>
      <c r="D5028" s="3" t="str">
        <f>IFERROR(__xludf.DUMMYFUNCTION("""COMPUTED_VALUE"""),"K0K 3K0")</f>
        <v>K0K 3K0</v>
      </c>
      <c r="E5028" s="3" t="str">
        <f>IFERROR(__xludf.DUMMYFUNCTION("""COMPUTED_VALUE"""),"georgina schaeff ")</f>
        <v>georgina schaeff </v>
      </c>
      <c r="F5028" s="3" t="str">
        <f>IFERROR(__xludf.DUMMYFUNCTION("""COMPUTED_VALUE"""),"georgie@georgieschaeff.com")</f>
        <v>georgie@georgieschaeff.com</v>
      </c>
      <c r="G5028" s="3">
        <f>IFERROR(__xludf.DUMMYFUNCTION("""COMPUTED_VALUE"""),7.059243315E9)</f>
        <v>7059243315</v>
      </c>
      <c r="H5028" s="3"/>
    </row>
    <row r="5029">
      <c r="A5029" s="2">
        <f>IFERROR(__xludf.DUMMYFUNCTION("""COMPUTED_VALUE"""),62804.0)</f>
        <v>62804</v>
      </c>
      <c r="B5029" s="3" t="str">
        <f>IFERROR(__xludf.DUMMYFUNCTION("""COMPUTED_VALUE"""),"37 OLD HASTINGS RD  ")</f>
        <v>37 OLD HASTINGS RD  </v>
      </c>
      <c r="C5029" s="3" t="str">
        <f>IFERROR(__xludf.DUMMYFUNCTION("""COMPUTED_VALUE"""),"WARKWORTH")</f>
        <v>WARKWORTH</v>
      </c>
      <c r="D5029" s="3" t="str">
        <f>IFERROR(__xludf.DUMMYFUNCTION("""COMPUTED_VALUE"""),"K0K 3K0")</f>
        <v>K0K 3K0</v>
      </c>
      <c r="E5029" s="3" t="str">
        <f>IFERROR(__xludf.DUMMYFUNCTION("""COMPUTED_VALUE"""),"wayne shaw")</f>
        <v>wayne shaw</v>
      </c>
      <c r="F5029" s="3" t="str">
        <f>IFERROR(__xludf.DUMMYFUNCTION("""COMPUTED_VALUE"""),"wayne.shaw@alum.utoronto.ca")</f>
        <v>wayne.shaw@alum.utoronto.ca</v>
      </c>
      <c r="G5029" s="3">
        <f>IFERROR(__xludf.DUMMYFUNCTION("""COMPUTED_VALUE"""),7.059241993E9)</f>
        <v>7059241993</v>
      </c>
      <c r="H5029" s="3"/>
    </row>
    <row r="5030">
      <c r="A5030" s="2">
        <f>IFERROR(__xludf.DUMMYFUNCTION("""COMPUTED_VALUE"""),62805.0)</f>
        <v>62805</v>
      </c>
      <c r="B5030" s="3" t="str">
        <f>IFERROR(__xludf.DUMMYFUNCTION("""COMPUTED_VALUE"""),"47 OLD HASTINGS RD  ")</f>
        <v>47 OLD HASTINGS RD  </v>
      </c>
      <c r="C5030" s="3" t="str">
        <f>IFERROR(__xludf.DUMMYFUNCTION("""COMPUTED_VALUE"""),"WARKWORTH")</f>
        <v>WARKWORTH</v>
      </c>
      <c r="D5030" s="3" t="str">
        <f>IFERROR(__xludf.DUMMYFUNCTION("""COMPUTED_VALUE"""),"K0K 3K0")</f>
        <v>K0K 3K0</v>
      </c>
      <c r="E5030" s="3"/>
      <c r="F5030" s="3"/>
      <c r="G5030" s="3"/>
      <c r="H5030" s="3"/>
    </row>
    <row r="5031">
      <c r="A5031" s="2">
        <f>IFERROR(__xludf.DUMMYFUNCTION("""COMPUTED_VALUE"""),62806.0)</f>
        <v>62806</v>
      </c>
      <c r="B5031" s="3" t="str">
        <f>IFERROR(__xludf.DUMMYFUNCTION("""COMPUTED_VALUE"""),"61 OLD HASTINGS RD  ")</f>
        <v>61 OLD HASTINGS RD  </v>
      </c>
      <c r="C5031" s="3" t="str">
        <f>IFERROR(__xludf.DUMMYFUNCTION("""COMPUTED_VALUE"""),"WARKWORTH")</f>
        <v>WARKWORTH</v>
      </c>
      <c r="D5031" s="3" t="str">
        <f>IFERROR(__xludf.DUMMYFUNCTION("""COMPUTED_VALUE"""),"K0K 3K0")</f>
        <v>K0K 3K0</v>
      </c>
      <c r="E5031" s="3" t="str">
        <f>IFERROR(__xludf.DUMMYFUNCTION("""COMPUTED_VALUE"""),"shelley riddell")</f>
        <v>shelley riddell</v>
      </c>
      <c r="F5031" s="3" t="str">
        <f>IFERROR(__xludf.DUMMYFUNCTION("""COMPUTED_VALUE"""),"shelleycorrine@gmail.com")</f>
        <v>shelleycorrine@gmail.com</v>
      </c>
      <c r="G5031" s="3">
        <f>IFERROR(__xludf.DUMMYFUNCTION("""COMPUTED_VALUE"""),7.057405347E9)</f>
        <v>7057405347</v>
      </c>
      <c r="H5031" s="3"/>
    </row>
    <row r="5032">
      <c r="A5032" s="2">
        <f>IFERROR(__xludf.DUMMYFUNCTION("""COMPUTED_VALUE"""),62807.0)</f>
        <v>62807</v>
      </c>
      <c r="B5032" s="3" t="str">
        <f>IFERROR(__xludf.DUMMYFUNCTION("""COMPUTED_VALUE"""),"67 OLD HASTINGS RD  ")</f>
        <v>67 OLD HASTINGS RD  </v>
      </c>
      <c r="C5032" s="3" t="str">
        <f>IFERROR(__xludf.DUMMYFUNCTION("""COMPUTED_VALUE"""),"WARKWORTH")</f>
        <v>WARKWORTH</v>
      </c>
      <c r="D5032" s="3" t="str">
        <f>IFERROR(__xludf.DUMMYFUNCTION("""COMPUTED_VALUE"""),"K0K 3K0")</f>
        <v>K0K 3K0</v>
      </c>
      <c r="E5032" s="3" t="str">
        <f>IFERROR(__xludf.DUMMYFUNCTION("""COMPUTED_VALUE"""),"shawn blaton")</f>
        <v>shawn blaton</v>
      </c>
      <c r="F5032" s="3" t="str">
        <f>IFERROR(__xludf.DUMMYFUNCTION("""COMPUTED_VALUE"""),"pblaton110876@gmail.com")</f>
        <v>pblaton110876@gmail.com</v>
      </c>
      <c r="G5032" s="3">
        <f>IFERROR(__xludf.DUMMYFUNCTION("""COMPUTED_VALUE"""),9.058094996E9)</f>
        <v>9058094996</v>
      </c>
      <c r="H5032" s="3">
        <f>IFERROR(__xludf.DUMMYFUNCTION("""COMPUTED_VALUE"""),9.056221025E9)</f>
        <v>9056221025</v>
      </c>
    </row>
    <row r="5033">
      <c r="A5033" s="2">
        <f>IFERROR(__xludf.DUMMYFUNCTION("""COMPUTED_VALUE"""),62808.0)</f>
        <v>62808</v>
      </c>
      <c r="B5033" s="3" t="str">
        <f>IFERROR(__xludf.DUMMYFUNCTION("""COMPUTED_VALUE"""),"73 OLD HASTINGS RD  ")</f>
        <v>73 OLD HASTINGS RD  </v>
      </c>
      <c r="C5033" s="3" t="str">
        <f>IFERROR(__xludf.DUMMYFUNCTION("""COMPUTED_VALUE"""),"WARKWORTH")</f>
        <v>WARKWORTH</v>
      </c>
      <c r="D5033" s="3" t="str">
        <f>IFERROR(__xludf.DUMMYFUNCTION("""COMPUTED_VALUE"""),"K0K 3K0")</f>
        <v>K0K 3K0</v>
      </c>
      <c r="E5033" s="3" t="str">
        <f>IFERROR(__xludf.DUMMYFUNCTION("""COMPUTED_VALUE"""),"Taylor Veley")</f>
        <v>Taylor Veley</v>
      </c>
      <c r="F5033" s="3" t="str">
        <f>IFERROR(__xludf.DUMMYFUNCTION("""COMPUTED_VALUE"""),"tveley10@gmail.com")</f>
        <v>tveley10@gmail.com</v>
      </c>
      <c r="G5033" s="3">
        <f>IFERROR(__xludf.DUMMYFUNCTION("""COMPUTED_VALUE"""),7.05934335E9)</f>
        <v>7059343350</v>
      </c>
      <c r="H5033" s="3">
        <f>IFERROR(__xludf.DUMMYFUNCTION("""COMPUTED_VALUE"""),7.053443939E9)</f>
        <v>7053443939</v>
      </c>
    </row>
    <row r="5034">
      <c r="A5034" s="2">
        <f>IFERROR(__xludf.DUMMYFUNCTION("""COMPUTED_VALUE"""),62809.0)</f>
        <v>62809</v>
      </c>
      <c r="B5034" s="3" t="str">
        <f>IFERROR(__xludf.DUMMYFUNCTION("""COMPUTED_VALUE"""),"79 OLD HASTINGS RD  ")</f>
        <v>79 OLD HASTINGS RD  </v>
      </c>
      <c r="C5034" s="3" t="str">
        <f>IFERROR(__xludf.DUMMYFUNCTION("""COMPUTED_VALUE"""),"WARKWORTH")</f>
        <v>WARKWORTH</v>
      </c>
      <c r="D5034" s="3" t="str">
        <f>IFERROR(__xludf.DUMMYFUNCTION("""COMPUTED_VALUE"""),"K0K 3K0")</f>
        <v>K0K 3K0</v>
      </c>
      <c r="E5034" s="3" t="str">
        <f>IFERROR(__xludf.DUMMYFUNCTION("""COMPUTED_VALUE"""),"tracy hart ")</f>
        <v>tracy hart </v>
      </c>
      <c r="F5034" s="3" t="str">
        <f>IFERROR(__xludf.DUMMYFUNCTION("""COMPUTED_VALUE"""),"tracyhart44@outlook.com")</f>
        <v>tracyhart44@outlook.com</v>
      </c>
      <c r="G5034" s="3">
        <f>IFERROR(__xludf.DUMMYFUNCTION("""COMPUTED_VALUE"""),6.134381074E9)</f>
        <v>6134381074</v>
      </c>
      <c r="H5034" s="3"/>
    </row>
    <row r="5035">
      <c r="A5035" s="2">
        <f>IFERROR(__xludf.DUMMYFUNCTION("""COMPUTED_VALUE"""),62810.0)</f>
        <v>62810</v>
      </c>
      <c r="B5035" s="3" t="str">
        <f>IFERROR(__xludf.DUMMYFUNCTION("""COMPUTED_VALUE"""),"80 OLD HASTINGS RD  ")</f>
        <v>80 OLD HASTINGS RD  </v>
      </c>
      <c r="C5035" s="3" t="str">
        <f>IFERROR(__xludf.DUMMYFUNCTION("""COMPUTED_VALUE"""),"WARKWORTH")</f>
        <v>WARKWORTH</v>
      </c>
      <c r="D5035" s="3" t="str">
        <f>IFERROR(__xludf.DUMMYFUNCTION("""COMPUTED_VALUE"""),"K0K 3K0")</f>
        <v>K0K 3K0</v>
      </c>
      <c r="E5035" s="3" t="str">
        <f>IFERROR(__xludf.DUMMYFUNCTION("""COMPUTED_VALUE"""),"Ruth Shaw")</f>
        <v>Ruth Shaw</v>
      </c>
      <c r="F5035" s="3" t="str">
        <f>IFERROR(__xludf.DUMMYFUNCTION("""COMPUTED_VALUE"""),"ruthshaw99@gmail.com")</f>
        <v>ruthshaw99@gmail.com</v>
      </c>
      <c r="G5035" s="3"/>
      <c r="H5035" s="3"/>
    </row>
    <row r="5036">
      <c r="A5036" s="2">
        <f>IFERROR(__xludf.DUMMYFUNCTION("""COMPUTED_VALUE"""),62811.0)</f>
        <v>62811</v>
      </c>
      <c r="B5036" s="3" t="str">
        <f>IFERROR(__xludf.DUMMYFUNCTION("""COMPUTED_VALUE"""),"85 OLD HASTINGS RD  ")</f>
        <v>85 OLD HASTINGS RD  </v>
      </c>
      <c r="C5036" s="3" t="str">
        <f>IFERROR(__xludf.DUMMYFUNCTION("""COMPUTED_VALUE"""),"WARKWORTH")</f>
        <v>WARKWORTH</v>
      </c>
      <c r="D5036" s="3" t="str">
        <f>IFERROR(__xludf.DUMMYFUNCTION("""COMPUTED_VALUE"""),"K0K 3K0")</f>
        <v>K0K 3K0</v>
      </c>
      <c r="E5036" s="3" t="str">
        <f>IFERROR(__xludf.DUMMYFUNCTION("""COMPUTED_VALUE"""),"augustus churchill")</f>
        <v>augustus churchill</v>
      </c>
      <c r="F5036" s="3" t="str">
        <f>IFERROR(__xludf.DUMMYFUNCTION("""COMPUTED_VALUE"""),"newfie6969@msn.ca")</f>
        <v>newfie6969@msn.ca</v>
      </c>
      <c r="G5036" s="3">
        <f>IFERROR(__xludf.DUMMYFUNCTION("""COMPUTED_VALUE"""),7.059338076E9)</f>
        <v>7059338076</v>
      </c>
      <c r="H5036" s="3"/>
    </row>
    <row r="5037">
      <c r="A5037" s="2">
        <f>IFERROR(__xludf.DUMMYFUNCTION("""COMPUTED_VALUE"""),62812.0)</f>
        <v>62812</v>
      </c>
      <c r="B5037" s="3" t="str">
        <f>IFERROR(__xludf.DUMMYFUNCTION("""COMPUTED_VALUE"""),"89 OLD HASTINGS RD  ")</f>
        <v>89 OLD HASTINGS RD  </v>
      </c>
      <c r="C5037" s="3" t="str">
        <f>IFERROR(__xludf.DUMMYFUNCTION("""COMPUTED_VALUE"""),"WARKWORTH")</f>
        <v>WARKWORTH</v>
      </c>
      <c r="D5037" s="3" t="str">
        <f>IFERROR(__xludf.DUMMYFUNCTION("""COMPUTED_VALUE"""),"K0K 3K0")</f>
        <v>K0K 3K0</v>
      </c>
      <c r="E5037" s="3" t="str">
        <f>IFERROR(__xludf.DUMMYFUNCTION("""COMPUTED_VALUE"""),"Sharifa Chivers")</f>
        <v>Sharifa Chivers</v>
      </c>
      <c r="F5037" s="3" t="str">
        <f>IFERROR(__xludf.DUMMYFUNCTION("""COMPUTED_VALUE"""),"sharifachivers@yahoo.com")</f>
        <v>sharifachivers@yahoo.com</v>
      </c>
      <c r="G5037" s="3"/>
      <c r="H5037" s="3"/>
    </row>
    <row r="5038">
      <c r="A5038" s="2">
        <f>IFERROR(__xludf.DUMMYFUNCTION("""COMPUTED_VALUE"""),62813.0)</f>
        <v>62813</v>
      </c>
      <c r="B5038" s="3" t="str">
        <f>IFERROR(__xludf.DUMMYFUNCTION("""COMPUTED_VALUE"""),"93 OLD HASTINGS RD  ")</f>
        <v>93 OLD HASTINGS RD  </v>
      </c>
      <c r="C5038" s="3" t="str">
        <f>IFERROR(__xludf.DUMMYFUNCTION("""COMPUTED_VALUE"""),"WARKWORTH")</f>
        <v>WARKWORTH</v>
      </c>
      <c r="D5038" s="3" t="str">
        <f>IFERROR(__xludf.DUMMYFUNCTION("""COMPUTED_VALUE"""),"K0K 3K0")</f>
        <v>K0K 3K0</v>
      </c>
      <c r="E5038" s="3" t="str">
        <f>IFERROR(__xludf.DUMMYFUNCTION("""COMPUTED_VALUE"""),"anna silverstein")</f>
        <v>anna silverstein</v>
      </c>
      <c r="F5038" s="3" t="str">
        <f>IFERROR(__xludf.DUMMYFUNCTION("""COMPUTED_VALUE"""),"silversteinanna@gmail.com")</f>
        <v>silversteinanna@gmail.com</v>
      </c>
      <c r="G5038" s="3">
        <f>IFERROR(__xludf.DUMMYFUNCTION("""COMPUTED_VALUE"""),6.475705726E9)</f>
        <v>6475705726</v>
      </c>
      <c r="H5038" s="3">
        <f>IFERROR(__xludf.DUMMYFUNCTION("""COMPUTED_VALUE"""),7.052021178E9)</f>
        <v>7052021178</v>
      </c>
    </row>
    <row r="5039">
      <c r="A5039" s="2">
        <f>IFERROR(__xludf.DUMMYFUNCTION("""COMPUTED_VALUE"""),62814.0)</f>
        <v>62814</v>
      </c>
      <c r="B5039" s="3" t="str">
        <f>IFERROR(__xludf.DUMMYFUNCTION("""COMPUTED_VALUE"""),"94 OLD HASTINGS RD  ")</f>
        <v>94 OLD HASTINGS RD  </v>
      </c>
      <c r="C5039" s="3" t="str">
        <f>IFERROR(__xludf.DUMMYFUNCTION("""COMPUTED_VALUE"""),"WARKWORTH")</f>
        <v>WARKWORTH</v>
      </c>
      <c r="D5039" s="3" t="str">
        <f>IFERROR(__xludf.DUMMYFUNCTION("""COMPUTED_VALUE"""),"K0K 3K0")</f>
        <v>K0K 3K0</v>
      </c>
      <c r="E5039" s="3"/>
      <c r="F5039" s="3"/>
      <c r="G5039" s="3"/>
      <c r="H5039" s="3"/>
    </row>
    <row r="5040">
      <c r="A5040" s="2">
        <f>IFERROR(__xludf.DUMMYFUNCTION("""COMPUTED_VALUE"""),62815.0)</f>
        <v>62815</v>
      </c>
      <c r="B5040" s="3" t="str">
        <f>IFERROR(__xludf.DUMMYFUNCTION("""COMPUTED_VALUE"""),"101 OLD HASTINGS RD  ")</f>
        <v>101 OLD HASTINGS RD  </v>
      </c>
      <c r="C5040" s="3" t="str">
        <f>IFERROR(__xludf.DUMMYFUNCTION("""COMPUTED_VALUE"""),"WARKWORTH")</f>
        <v>WARKWORTH</v>
      </c>
      <c r="D5040" s="3" t="str">
        <f>IFERROR(__xludf.DUMMYFUNCTION("""COMPUTED_VALUE"""),"K0K 3K0")</f>
        <v>K0K 3K0</v>
      </c>
      <c r="E5040" s="3" t="str">
        <f>IFERROR(__xludf.DUMMYFUNCTION("""COMPUTED_VALUE"""),"b, partridge ")</f>
        <v>b, partridge </v>
      </c>
      <c r="F5040" s="3" t="str">
        <f>IFERROR(__xludf.DUMMYFUNCTION("""COMPUTED_VALUE"""),"parhaven@heydon.com")</f>
        <v>parhaven@heydon.com</v>
      </c>
      <c r="G5040" s="3">
        <f>IFERROR(__xludf.DUMMYFUNCTION("""COMPUTED_VALUE"""),7.059242955E9)</f>
        <v>7059242955</v>
      </c>
      <c r="H5040" s="3"/>
    </row>
    <row r="5041">
      <c r="A5041" s="2">
        <f>IFERROR(__xludf.DUMMYFUNCTION("""COMPUTED_VALUE"""),62816.0)</f>
        <v>62816</v>
      </c>
      <c r="B5041" s="3" t="str">
        <f>IFERROR(__xludf.DUMMYFUNCTION("""COMPUTED_VALUE"""),"106 OLD HASTINGS RD  ")</f>
        <v>106 OLD HASTINGS RD  </v>
      </c>
      <c r="C5041" s="3" t="str">
        <f>IFERROR(__xludf.DUMMYFUNCTION("""COMPUTED_VALUE"""),"WARKWORTH")</f>
        <v>WARKWORTH</v>
      </c>
      <c r="D5041" s="3" t="str">
        <f>IFERROR(__xludf.DUMMYFUNCTION("""COMPUTED_VALUE"""),"K0K 3K0")</f>
        <v>K0K 3K0</v>
      </c>
      <c r="E5041" s="3" t="str">
        <f>IFERROR(__xludf.DUMMYFUNCTION("""COMPUTED_VALUE"""),"Marie Glover")</f>
        <v>Marie Glover</v>
      </c>
      <c r="F5041" s="3" t="str">
        <f>IFERROR(__xludf.DUMMYFUNCTION("""COMPUTED_VALUE"""),"marie.glover@bell.net")</f>
        <v>marie.glover@bell.net</v>
      </c>
      <c r="G5041" s="3"/>
      <c r="H5041" s="3"/>
    </row>
    <row r="5042">
      <c r="A5042" s="2">
        <f>IFERROR(__xludf.DUMMYFUNCTION("""COMPUTED_VALUE"""),62817.0)</f>
        <v>62817</v>
      </c>
      <c r="B5042" s="3" t="str">
        <f>IFERROR(__xludf.DUMMYFUNCTION("""COMPUTED_VALUE"""),"107 OLD HASTINGS RD  ")</f>
        <v>107 OLD HASTINGS RD  </v>
      </c>
      <c r="C5042" s="3" t="str">
        <f>IFERROR(__xludf.DUMMYFUNCTION("""COMPUTED_VALUE"""),"WARKWORTH")</f>
        <v>WARKWORTH</v>
      </c>
      <c r="D5042" s="3" t="str">
        <f>IFERROR(__xludf.DUMMYFUNCTION("""COMPUTED_VALUE"""),"K0K 3K0")</f>
        <v>K0K 3K0</v>
      </c>
      <c r="E5042" s="3"/>
      <c r="F5042" s="3"/>
      <c r="G5042" s="3"/>
      <c r="H5042" s="3"/>
    </row>
    <row r="5043">
      <c r="A5043" s="2">
        <f>IFERROR(__xludf.DUMMYFUNCTION("""COMPUTED_VALUE"""),62818.0)</f>
        <v>62818</v>
      </c>
      <c r="B5043" s="3" t="str">
        <f>IFERROR(__xludf.DUMMYFUNCTION("""COMPUTED_VALUE"""),"114 OLD HASTINGS RD  ")</f>
        <v>114 OLD HASTINGS RD  </v>
      </c>
      <c r="C5043" s="3" t="str">
        <f>IFERROR(__xludf.DUMMYFUNCTION("""COMPUTED_VALUE"""),"WARKWORTH")</f>
        <v>WARKWORTH</v>
      </c>
      <c r="D5043" s="3" t="str">
        <f>IFERROR(__xludf.DUMMYFUNCTION("""COMPUTED_VALUE"""),"K0K 3K0")</f>
        <v>K0K 3K0</v>
      </c>
      <c r="E5043" s="3" t="str">
        <f>IFERROR(__xludf.DUMMYFUNCTION("""COMPUTED_VALUE"""),"ron johnstone")</f>
        <v>ron johnstone</v>
      </c>
      <c r="F5043" s="3"/>
      <c r="G5043" s="3">
        <f>IFERROR(__xludf.DUMMYFUNCTION("""COMPUTED_VALUE"""),7.059242073E9)</f>
        <v>7059242073</v>
      </c>
      <c r="H5043" s="3"/>
    </row>
    <row r="5044">
      <c r="A5044" s="2">
        <f>IFERROR(__xludf.DUMMYFUNCTION("""COMPUTED_VALUE"""),62819.0)</f>
        <v>62819</v>
      </c>
      <c r="B5044" s="3" t="str">
        <f>IFERROR(__xludf.DUMMYFUNCTION("""COMPUTED_VALUE"""),"115 OLD HASTINGS RD  ")</f>
        <v>115 OLD HASTINGS RD  </v>
      </c>
      <c r="C5044" s="3" t="str">
        <f>IFERROR(__xludf.DUMMYFUNCTION("""COMPUTED_VALUE"""),"WARKWORTH")</f>
        <v>WARKWORTH</v>
      </c>
      <c r="D5044" s="3" t="str">
        <f>IFERROR(__xludf.DUMMYFUNCTION("""COMPUTED_VALUE"""),"K0K 3K0")</f>
        <v>K0K 3K0</v>
      </c>
      <c r="E5044" s="3" t="str">
        <f>IFERROR(__xludf.DUMMYFUNCTION("""COMPUTED_VALUE"""),"Kevin Robertson")</f>
        <v>Kevin Robertson</v>
      </c>
      <c r="F5044" s="3" t="str">
        <f>IFERROR(__xludf.DUMMYFUNCTION("""COMPUTED_VALUE"""),"robertkw61@gmail.com")</f>
        <v>robertkw61@gmail.com</v>
      </c>
      <c r="G5044" s="3">
        <f>IFERROR(__xludf.DUMMYFUNCTION("""COMPUTED_VALUE"""),7.059271969E9)</f>
        <v>7059271969</v>
      </c>
      <c r="H5044" s="3"/>
    </row>
    <row r="5045">
      <c r="A5045" s="2">
        <f>IFERROR(__xludf.DUMMYFUNCTION("""COMPUTED_VALUE"""),62820.0)</f>
        <v>62820</v>
      </c>
      <c r="B5045" s="3" t="str">
        <f>IFERROR(__xludf.DUMMYFUNCTION("""COMPUTED_VALUE"""),"116 OLD HASTINGS RD  ")</f>
        <v>116 OLD HASTINGS RD  </v>
      </c>
      <c r="C5045" s="3" t="str">
        <f>IFERROR(__xludf.DUMMYFUNCTION("""COMPUTED_VALUE"""),"WARKWORTH")</f>
        <v>WARKWORTH</v>
      </c>
      <c r="D5045" s="3" t="str">
        <f>IFERROR(__xludf.DUMMYFUNCTION("""COMPUTED_VALUE"""),"K0K 3K0")</f>
        <v>K0K 3K0</v>
      </c>
      <c r="E5045" s="3" t="str">
        <f>IFERROR(__xludf.DUMMYFUNCTION("""COMPUTED_VALUE"""),"Dennis Hora")</f>
        <v>Dennis Hora</v>
      </c>
      <c r="F5045" s="3" t="str">
        <f>IFERROR(__xludf.DUMMYFUNCTION("""COMPUTED_VALUE"""),"horadn@gmail.com")</f>
        <v>horadn@gmail.com</v>
      </c>
      <c r="G5045" s="3">
        <f>IFERROR(__xludf.DUMMYFUNCTION("""COMPUTED_VALUE"""),7.059242229E9)</f>
        <v>7059242229</v>
      </c>
      <c r="H5045" s="3"/>
    </row>
    <row r="5046">
      <c r="A5046" s="2">
        <f>IFERROR(__xludf.DUMMYFUNCTION("""COMPUTED_VALUE"""),62821.0)</f>
        <v>62821</v>
      </c>
      <c r="B5046" s="3" t="str">
        <f>IFERROR(__xludf.DUMMYFUNCTION("""COMPUTED_VALUE"""),"123 OLD HASTINGS RD  ")</f>
        <v>123 OLD HASTINGS RD  </v>
      </c>
      <c r="C5046" s="3" t="str">
        <f>IFERROR(__xludf.DUMMYFUNCTION("""COMPUTED_VALUE"""),"WARKWORTH")</f>
        <v>WARKWORTH</v>
      </c>
      <c r="D5046" s="3" t="str">
        <f>IFERROR(__xludf.DUMMYFUNCTION("""COMPUTED_VALUE"""),"K0K 3K0")</f>
        <v>K0K 3K0</v>
      </c>
      <c r="E5046" s="3" t="str">
        <f>IFERROR(__xludf.DUMMYFUNCTION("""COMPUTED_VALUE"""),"ron john stone")</f>
        <v>ron john stone</v>
      </c>
      <c r="F5046" s="3"/>
      <c r="G5046" s="3">
        <f>IFERROR(__xludf.DUMMYFUNCTION("""COMPUTED_VALUE"""),7.057279206E9)</f>
        <v>7057279206</v>
      </c>
      <c r="H5046" s="3"/>
    </row>
    <row r="5047">
      <c r="A5047" s="2">
        <f>IFERROR(__xludf.DUMMYFUNCTION("""COMPUTED_VALUE"""),62822.0)</f>
        <v>62822</v>
      </c>
      <c r="B5047" s="3" t="str">
        <f>IFERROR(__xludf.DUMMYFUNCTION("""COMPUTED_VALUE"""),"124 OLD HASTINGS RD  ")</f>
        <v>124 OLD HASTINGS RD  </v>
      </c>
      <c r="C5047" s="3" t="str">
        <f>IFERROR(__xludf.DUMMYFUNCTION("""COMPUTED_VALUE"""),"WARKWORTH")</f>
        <v>WARKWORTH</v>
      </c>
      <c r="D5047" s="3" t="str">
        <f>IFERROR(__xludf.DUMMYFUNCTION("""COMPUTED_VALUE"""),"K0K 3K0")</f>
        <v>K0K 3K0</v>
      </c>
      <c r="E5047" s="3" t="str">
        <f>IFERROR(__xludf.DUMMYFUNCTION("""COMPUTED_VALUE"""),"Suzann Dudley")</f>
        <v>Suzann Dudley</v>
      </c>
      <c r="F5047" s="3" t="str">
        <f>IFERROR(__xludf.DUMMYFUNCTION("""COMPUTED_VALUE"""),"suzgerdud@hotmail.com")</f>
        <v>suzgerdud@hotmail.com</v>
      </c>
      <c r="G5047" s="3">
        <f>IFERROR(__xludf.DUMMYFUNCTION("""COMPUTED_VALUE"""),7.059242987E9)</f>
        <v>7059242987</v>
      </c>
      <c r="H5047" s="3">
        <f>IFERROR(__xludf.DUMMYFUNCTION("""COMPUTED_VALUE"""),7.059300981E9)</f>
        <v>7059300981</v>
      </c>
    </row>
    <row r="5048">
      <c r="A5048" s="2">
        <f>IFERROR(__xludf.DUMMYFUNCTION("""COMPUTED_VALUE"""),62823.0)</f>
        <v>62823</v>
      </c>
      <c r="B5048" s="3" t="str">
        <f>IFERROR(__xludf.DUMMYFUNCTION("""COMPUTED_VALUE"""),"128 OLD HASTINGS RD  ")</f>
        <v>128 OLD HASTINGS RD  </v>
      </c>
      <c r="C5048" s="3" t="str">
        <f>IFERROR(__xludf.DUMMYFUNCTION("""COMPUTED_VALUE"""),"WARKWORTH")</f>
        <v>WARKWORTH</v>
      </c>
      <c r="D5048" s="3" t="str">
        <f>IFERROR(__xludf.DUMMYFUNCTION("""COMPUTED_VALUE"""),"K0K 3K0")</f>
        <v>K0K 3K0</v>
      </c>
      <c r="E5048" s="3" t="str">
        <f>IFERROR(__xludf.DUMMYFUNCTION("""COMPUTED_VALUE"""),"sue knof ")</f>
        <v>sue knof </v>
      </c>
      <c r="F5048" s="3" t="str">
        <f>IFERROR(__xludf.DUMMYFUNCTION("""COMPUTED_VALUE"""),"misiknof0755@gmail.com")</f>
        <v>misiknof0755@gmail.com</v>
      </c>
      <c r="G5048" s="3">
        <f>IFERROR(__xludf.DUMMYFUNCTION("""COMPUTED_VALUE"""),7.059243194E9)</f>
        <v>7059243194</v>
      </c>
      <c r="H5048" s="3">
        <f>IFERROR(__xludf.DUMMYFUNCTION("""COMPUTED_VALUE"""),9.056536565E9)</f>
        <v>9056536565</v>
      </c>
    </row>
    <row r="5049">
      <c r="A5049" s="2">
        <f>IFERROR(__xludf.DUMMYFUNCTION("""COMPUTED_VALUE"""),62824.0)</f>
        <v>62824</v>
      </c>
      <c r="B5049" s="3" t="str">
        <f>IFERROR(__xludf.DUMMYFUNCTION("""COMPUTED_VALUE"""),"131 OLD HASTINGS RD  ")</f>
        <v>131 OLD HASTINGS RD  </v>
      </c>
      <c r="C5049" s="3" t="str">
        <f>IFERROR(__xludf.DUMMYFUNCTION("""COMPUTED_VALUE"""),"WARKWORTH")</f>
        <v>WARKWORTH</v>
      </c>
      <c r="D5049" s="3" t="str">
        <f>IFERROR(__xludf.DUMMYFUNCTION("""COMPUTED_VALUE"""),"K0K 3K0")</f>
        <v>K0K 3K0</v>
      </c>
      <c r="E5049" s="3" t="str">
        <f>IFERROR(__xludf.DUMMYFUNCTION("""COMPUTED_VALUE"""),"chris rivest")</f>
        <v>chris rivest</v>
      </c>
      <c r="F5049" s="3" t="str">
        <f>IFERROR(__xludf.DUMMYFUNCTION("""COMPUTED_VALUE"""),"chris.rivest90@gmail.com")</f>
        <v>chris.rivest90@gmail.com</v>
      </c>
      <c r="G5049" s="3">
        <f>IFERROR(__xludf.DUMMYFUNCTION("""COMPUTED_VALUE"""),2.89830438E9)</f>
        <v>2898304380</v>
      </c>
      <c r="H5049" s="3"/>
    </row>
    <row r="5050">
      <c r="A5050" s="2">
        <f>IFERROR(__xludf.DUMMYFUNCTION("""COMPUTED_VALUE"""),62825.0)</f>
        <v>62825</v>
      </c>
      <c r="B5050" s="3" t="str">
        <f>IFERROR(__xludf.DUMMYFUNCTION("""COMPUTED_VALUE"""),"132 OLD HASTINGS RD  ")</f>
        <v>132 OLD HASTINGS RD  </v>
      </c>
      <c r="C5050" s="3" t="str">
        <f>IFERROR(__xludf.DUMMYFUNCTION("""COMPUTED_VALUE"""),"WARKWORTH")</f>
        <v>WARKWORTH</v>
      </c>
      <c r="D5050" s="3" t="str">
        <f>IFERROR(__xludf.DUMMYFUNCTION("""COMPUTED_VALUE"""),"K0K 3K0")</f>
        <v>K0K 3K0</v>
      </c>
      <c r="E5050" s="3" t="str">
        <f>IFERROR(__xludf.DUMMYFUNCTION("""COMPUTED_VALUE"""),"melody langer")</f>
        <v>melody langer</v>
      </c>
      <c r="F5050" s="3" t="str">
        <f>IFERROR(__xludf.DUMMYFUNCTION("""COMPUTED_VALUE"""),"scrimshawmelody@gmail.com")</f>
        <v>scrimshawmelody@gmail.com</v>
      </c>
      <c r="G5050" s="3">
        <f>IFERROR(__xludf.DUMMYFUNCTION("""COMPUTED_VALUE"""),7.059574759E9)</f>
        <v>7059574759</v>
      </c>
      <c r="H5050" s="3">
        <f>IFERROR(__xludf.DUMMYFUNCTION("""COMPUTED_VALUE"""),9.053761023E9)</f>
        <v>9053761023</v>
      </c>
    </row>
    <row r="5051">
      <c r="A5051" s="2">
        <f>IFERROR(__xludf.DUMMYFUNCTION("""COMPUTED_VALUE"""),62826.0)</f>
        <v>62826</v>
      </c>
      <c r="B5051" s="3" t="str">
        <f>IFERROR(__xludf.DUMMYFUNCTION("""COMPUTED_VALUE"""),"134 OLD HASTINGS RD  ")</f>
        <v>134 OLD HASTINGS RD  </v>
      </c>
      <c r="C5051" s="3" t="str">
        <f>IFERROR(__xludf.DUMMYFUNCTION("""COMPUTED_VALUE"""),"WARKWORTH")</f>
        <v>WARKWORTH</v>
      </c>
      <c r="D5051" s="3" t="str">
        <f>IFERROR(__xludf.DUMMYFUNCTION("""COMPUTED_VALUE"""),"K0K 3K0")</f>
        <v>K0K 3K0</v>
      </c>
      <c r="E5051" s="3"/>
      <c r="F5051" s="3"/>
      <c r="G5051" s="3"/>
      <c r="H5051" s="3"/>
    </row>
    <row r="5052">
      <c r="A5052" s="2">
        <f>IFERROR(__xludf.DUMMYFUNCTION("""COMPUTED_VALUE"""),62827.0)</f>
        <v>62827</v>
      </c>
      <c r="B5052" s="3" t="str">
        <f>IFERROR(__xludf.DUMMYFUNCTION("""COMPUTED_VALUE"""),"135 OLD HASTINGS RD  ")</f>
        <v>135 OLD HASTINGS RD  </v>
      </c>
      <c r="C5052" s="3" t="str">
        <f>IFERROR(__xludf.DUMMYFUNCTION("""COMPUTED_VALUE"""),"WARKWORTH")</f>
        <v>WARKWORTH</v>
      </c>
      <c r="D5052" s="3" t="str">
        <f>IFERROR(__xludf.DUMMYFUNCTION("""COMPUTED_VALUE"""),"K0K 3K0")</f>
        <v>K0K 3K0</v>
      </c>
      <c r="E5052" s="3" t="str">
        <f>IFERROR(__xludf.DUMMYFUNCTION("""COMPUTED_VALUE"""),"Robert &amp; Laurie Farley")</f>
        <v>Robert &amp; Laurie Farley</v>
      </c>
      <c r="F5052" s="3" t="str">
        <f>IFERROR(__xludf.DUMMYFUNCTION("""COMPUTED_VALUE"""),"robertfarley23@gmail.com")</f>
        <v>robertfarley23@gmail.com</v>
      </c>
      <c r="G5052" s="3"/>
      <c r="H5052" s="3"/>
    </row>
    <row r="5053">
      <c r="A5053" s="2">
        <f>IFERROR(__xludf.DUMMYFUNCTION("""COMPUTED_VALUE"""),62828.0)</f>
        <v>62828</v>
      </c>
      <c r="B5053" s="3" t="str">
        <f>IFERROR(__xludf.DUMMYFUNCTION("""COMPUTED_VALUE"""),"137 OLD HASTINGS RD  ")</f>
        <v>137 OLD HASTINGS RD  </v>
      </c>
      <c r="C5053" s="3" t="str">
        <f>IFERROR(__xludf.DUMMYFUNCTION("""COMPUTED_VALUE"""),"WARKWORTH")</f>
        <v>WARKWORTH</v>
      </c>
      <c r="D5053" s="3" t="str">
        <f>IFERROR(__xludf.DUMMYFUNCTION("""COMPUTED_VALUE"""),"K0K 3K0")</f>
        <v>K0K 3K0</v>
      </c>
      <c r="E5053" s="3"/>
      <c r="F5053" s="3"/>
      <c r="G5053" s="3"/>
      <c r="H5053" s="3"/>
    </row>
    <row r="5054">
      <c r="A5054" s="2">
        <f>IFERROR(__xludf.DUMMYFUNCTION("""COMPUTED_VALUE"""),62829.0)</f>
        <v>62829</v>
      </c>
      <c r="B5054" s="3" t="str">
        <f>IFERROR(__xludf.DUMMYFUNCTION("""COMPUTED_VALUE"""),"161 OLD HASTINGS RD  ")</f>
        <v>161 OLD HASTINGS RD  </v>
      </c>
      <c r="C5054" s="3" t="str">
        <f>IFERROR(__xludf.DUMMYFUNCTION("""COMPUTED_VALUE"""),"WARKWORTH")</f>
        <v>WARKWORTH</v>
      </c>
      <c r="D5054" s="3" t="str">
        <f>IFERROR(__xludf.DUMMYFUNCTION("""COMPUTED_VALUE"""),"K0K 3K0")</f>
        <v>K0K 3K0</v>
      </c>
      <c r="E5054" s="3"/>
      <c r="F5054" s="3"/>
      <c r="G5054" s="3"/>
      <c r="H5054" s="3"/>
    </row>
    <row r="5055">
      <c r="A5055" s="2">
        <f>IFERROR(__xludf.DUMMYFUNCTION("""COMPUTED_VALUE"""),61842.0)</f>
        <v>61842</v>
      </c>
      <c r="B5055" s="3" t="str">
        <f>IFERROR(__xludf.DUMMYFUNCTION("""COMPUTED_VALUE"""),"55 GLOVER RD  ")</f>
        <v>55 GLOVER RD  </v>
      </c>
      <c r="C5055" s="3" t="str">
        <f>IFERROR(__xludf.DUMMYFUNCTION("""COMPUTED_VALUE"""),"WARKWORTH")</f>
        <v>WARKWORTH</v>
      </c>
      <c r="D5055" s="3" t="str">
        <f>IFERROR(__xludf.DUMMYFUNCTION("""COMPUTED_VALUE"""),"K0K 3K0")</f>
        <v>K0K 3K0</v>
      </c>
      <c r="E5055" s="3" t="str">
        <f>IFERROR(__xludf.DUMMYFUNCTION("""COMPUTED_VALUE"""),"jill proudfoot ")</f>
        <v>jill proudfoot </v>
      </c>
      <c r="F5055" s="3" t="str">
        <f>IFERROR(__xludf.DUMMYFUNCTION("""COMPUTED_VALUE"""),"prodfootjill@gmail.com")</f>
        <v>prodfootjill@gmail.com</v>
      </c>
      <c r="G5055" s="3">
        <f>IFERROR(__xludf.DUMMYFUNCTION("""COMPUTED_VALUE"""),6.474622921E9)</f>
        <v>6474622921</v>
      </c>
      <c r="H5055" s="3"/>
    </row>
    <row r="5056">
      <c r="A5056" s="2">
        <f>IFERROR(__xludf.DUMMYFUNCTION("""COMPUTED_VALUE"""),61843.0)</f>
        <v>61843</v>
      </c>
      <c r="B5056" s="3" t="str">
        <f>IFERROR(__xludf.DUMMYFUNCTION("""COMPUTED_VALUE"""),"56 GLOVER RD  ")</f>
        <v>56 GLOVER RD  </v>
      </c>
      <c r="C5056" s="3" t="str">
        <f>IFERROR(__xludf.DUMMYFUNCTION("""COMPUTED_VALUE"""),"WARKWORTH")</f>
        <v>WARKWORTH</v>
      </c>
      <c r="D5056" s="3" t="str">
        <f>IFERROR(__xludf.DUMMYFUNCTION("""COMPUTED_VALUE"""),"K0K 3K0")</f>
        <v>K0K 3K0</v>
      </c>
      <c r="E5056" s="3" t="str">
        <f>IFERROR(__xludf.DUMMYFUNCTION("""COMPUTED_VALUE"""),"Dillon&amp;Claudia Brenton")</f>
        <v>Dillon&amp;Claudia Brenton</v>
      </c>
      <c r="F5056" s="3" t="str">
        <f>IFERROR(__xludf.DUMMYFUNCTION("""COMPUTED_VALUE"""),"Dillonbrenton@gmail.com")</f>
        <v>Dillonbrenton@gmail.com</v>
      </c>
      <c r="G5056" s="3">
        <f>IFERROR(__xludf.DUMMYFUNCTION("""COMPUTED_VALUE"""),7.059339769E9)</f>
        <v>7059339769</v>
      </c>
      <c r="H5056" s="3">
        <f>IFERROR(__xludf.DUMMYFUNCTION("""COMPUTED_VALUE"""),9.059242232E9)</f>
        <v>9059242232</v>
      </c>
    </row>
    <row r="5057">
      <c r="A5057" s="2">
        <f>IFERROR(__xludf.DUMMYFUNCTION("""COMPUTED_VALUE"""),61844.0)</f>
        <v>61844</v>
      </c>
      <c r="B5057" s="3" t="str">
        <f>IFERROR(__xludf.DUMMYFUNCTION("""COMPUTED_VALUE"""),"67 GLOVER RD  ")</f>
        <v>67 GLOVER RD  </v>
      </c>
      <c r="C5057" s="3" t="str">
        <f>IFERROR(__xludf.DUMMYFUNCTION("""COMPUTED_VALUE"""),"WARKWORTH")</f>
        <v>WARKWORTH</v>
      </c>
      <c r="D5057" s="3" t="str">
        <f>IFERROR(__xludf.DUMMYFUNCTION("""COMPUTED_VALUE"""),"K0K 3K0")</f>
        <v>K0K 3K0</v>
      </c>
      <c r="E5057" s="3" t="str">
        <f>IFERROR(__xludf.DUMMYFUNCTION("""COMPUTED_VALUE"""),"Liz Wegner")</f>
        <v>Liz Wegner</v>
      </c>
      <c r="F5057" s="3" t="str">
        <f>IFERROR(__xludf.DUMMYFUNCTION("""COMPUTED_VALUE"""),"lizwegner@live.com")</f>
        <v>lizwegner@live.com</v>
      </c>
      <c r="G5057" s="3"/>
      <c r="H5057" s="3"/>
    </row>
    <row r="5058">
      <c r="A5058" s="2">
        <f>IFERROR(__xludf.DUMMYFUNCTION("""COMPUTED_VALUE"""),62769.0)</f>
        <v>62769</v>
      </c>
      <c r="B5058" s="3" t="str">
        <f>IFERROR(__xludf.DUMMYFUNCTION("""COMPUTED_VALUE"""),"395 NORHAM RD  ")</f>
        <v>395 NORHAM RD  </v>
      </c>
      <c r="C5058" s="3" t="str">
        <f>IFERROR(__xludf.DUMMYFUNCTION("""COMPUTED_VALUE"""),"WARKWORTH")</f>
        <v>WARKWORTH</v>
      </c>
      <c r="D5058" s="3" t="str">
        <f>IFERROR(__xludf.DUMMYFUNCTION("""COMPUTED_VALUE"""),"K0K 3K0")</f>
        <v>K0K 3K0</v>
      </c>
      <c r="E5058" s="3"/>
      <c r="F5058" s="3"/>
      <c r="G5058" s="3"/>
      <c r="H5058" s="3"/>
    </row>
    <row r="5059">
      <c r="A5059" s="2">
        <f>IFERROR(__xludf.DUMMYFUNCTION("""COMPUTED_VALUE"""),62770.0)</f>
        <v>62770</v>
      </c>
      <c r="B5059" s="3" t="str">
        <f>IFERROR(__xludf.DUMMYFUNCTION("""COMPUTED_VALUE"""),"415 NORHAM RD  ")</f>
        <v>415 NORHAM RD  </v>
      </c>
      <c r="C5059" s="3" t="str">
        <f>IFERROR(__xludf.DUMMYFUNCTION("""COMPUTED_VALUE"""),"WARKWORTH")</f>
        <v>WARKWORTH</v>
      </c>
      <c r="D5059" s="3" t="str">
        <f>IFERROR(__xludf.DUMMYFUNCTION("""COMPUTED_VALUE"""),"K0K 3K0")</f>
        <v>K0K 3K0</v>
      </c>
      <c r="E5059" s="3" t="str">
        <f>IFERROR(__xludf.DUMMYFUNCTION("""COMPUTED_VALUE"""),"russel mccomb")</f>
        <v>russel mccomb</v>
      </c>
      <c r="F5059" s="3" t="str">
        <f>IFERROR(__xludf.DUMMYFUNCTION("""COMPUTED_VALUE"""),"midcomb@gmail.com")</f>
        <v>midcomb@gmail.com</v>
      </c>
      <c r="G5059" s="3">
        <f>IFERROR(__xludf.DUMMYFUNCTION("""COMPUTED_VALUE"""),7.059249636E9)</f>
        <v>7059249636</v>
      </c>
      <c r="H5059" s="3">
        <f>IFERROR(__xludf.DUMMYFUNCTION("""COMPUTED_VALUE"""),9.053738627E9)</f>
        <v>9053738627</v>
      </c>
    </row>
    <row r="5060">
      <c r="A5060" s="2">
        <f>IFERROR(__xludf.DUMMYFUNCTION("""COMPUTED_VALUE"""),62771.0)</f>
        <v>62771</v>
      </c>
      <c r="B5060" s="3" t="str">
        <f>IFERROR(__xludf.DUMMYFUNCTION("""COMPUTED_VALUE"""),"425 NORHAM RD  ")</f>
        <v>425 NORHAM RD  </v>
      </c>
      <c r="C5060" s="3" t="str">
        <f>IFERROR(__xludf.DUMMYFUNCTION("""COMPUTED_VALUE"""),"WARKWORTH")</f>
        <v>WARKWORTH</v>
      </c>
      <c r="D5060" s="3" t="str">
        <f>IFERROR(__xludf.DUMMYFUNCTION("""COMPUTED_VALUE"""),"K0K 3K0")</f>
        <v>K0K 3K0</v>
      </c>
      <c r="E5060" s="3" t="str">
        <f>IFERROR(__xludf.DUMMYFUNCTION("""COMPUTED_VALUE"""),"Bonnie Duele")</f>
        <v>Bonnie Duele</v>
      </c>
      <c r="F5060" s="3" t="str">
        <f>IFERROR(__xludf.DUMMYFUNCTION("""COMPUTED_VALUE"""),"bonnie.e.duele@gmail.com")</f>
        <v>bonnie.e.duele@gmail.com</v>
      </c>
      <c r="G5060" s="3"/>
      <c r="H5060" s="3"/>
    </row>
    <row r="5061">
      <c r="A5061" s="2">
        <f>IFERROR(__xludf.DUMMYFUNCTION("""COMPUTED_VALUE"""),62772.0)</f>
        <v>62772</v>
      </c>
      <c r="B5061" s="3" t="str">
        <f>IFERROR(__xludf.DUMMYFUNCTION("""COMPUTED_VALUE"""),"436 NORHAM RD  ")</f>
        <v>436 NORHAM RD  </v>
      </c>
      <c r="C5061" s="3" t="str">
        <f>IFERROR(__xludf.DUMMYFUNCTION("""COMPUTED_VALUE"""),"WARKWORTH")</f>
        <v>WARKWORTH</v>
      </c>
      <c r="D5061" s="3" t="str">
        <f>IFERROR(__xludf.DUMMYFUNCTION("""COMPUTED_VALUE"""),"K0K 3K0")</f>
        <v>K0K 3K0</v>
      </c>
      <c r="E5061" s="3"/>
      <c r="F5061" s="3"/>
      <c r="G5061" s="3"/>
      <c r="H5061" s="3"/>
    </row>
    <row r="5062">
      <c r="A5062" s="2">
        <f>IFERROR(__xludf.DUMMYFUNCTION("""COMPUTED_VALUE"""),62773.0)</f>
        <v>62773</v>
      </c>
      <c r="B5062" s="3" t="str">
        <f>IFERROR(__xludf.DUMMYFUNCTION("""COMPUTED_VALUE"""),"446 NORHAM RD  ")</f>
        <v>446 NORHAM RD  </v>
      </c>
      <c r="C5062" s="3" t="str">
        <f>IFERROR(__xludf.DUMMYFUNCTION("""COMPUTED_VALUE"""),"WARKWORTH")</f>
        <v>WARKWORTH</v>
      </c>
      <c r="D5062" s="3" t="str">
        <f>IFERROR(__xludf.DUMMYFUNCTION("""COMPUTED_VALUE"""),"K0K 3K0")</f>
        <v>K0K 3K0</v>
      </c>
      <c r="E5062" s="3" t="str">
        <f>IFERROR(__xludf.DUMMYFUNCTION("""COMPUTED_VALUE"""),"ginnie acton")</f>
        <v>ginnie acton</v>
      </c>
      <c r="F5062" s="3" t="str">
        <f>IFERROR(__xludf.DUMMYFUNCTION("""COMPUTED_VALUE"""),"marlehugsalot@gmail.com")</f>
        <v>marlehugsalot@gmail.com</v>
      </c>
      <c r="G5062" s="3"/>
      <c r="H5062" s="3"/>
    </row>
    <row r="5063">
      <c r="A5063" s="2">
        <f>IFERROR(__xludf.DUMMYFUNCTION("""COMPUTED_VALUE"""),62953.0)</f>
        <v>62953</v>
      </c>
      <c r="B5063" s="3" t="str">
        <f>IFERROR(__xludf.DUMMYFUNCTION("""COMPUTED_VALUE"""),"13 PERCY BOOM RD  ")</f>
        <v>13 PERCY BOOM RD  </v>
      </c>
      <c r="C5063" s="3" t="str">
        <f>IFERROR(__xludf.DUMMYFUNCTION("""COMPUTED_VALUE"""),"CAMPBELLFORD")</f>
        <v>CAMPBELLFORD</v>
      </c>
      <c r="D5063" s="3" t="str">
        <f>IFERROR(__xludf.DUMMYFUNCTION("""COMPUTED_VALUE"""),"K0L 1L0")</f>
        <v>K0L 1L0</v>
      </c>
      <c r="E5063" s="3" t="str">
        <f>IFERROR(__xludf.DUMMYFUNCTION("""COMPUTED_VALUE"""),"Elizabeth Clark ")</f>
        <v>Elizabeth Clark </v>
      </c>
      <c r="F5063" s="3" t="str">
        <f>IFERROR(__xludf.DUMMYFUNCTION("""COMPUTED_VALUE"""),"pinkswimmercat6@gmail.com")</f>
        <v>pinkswimmercat6@gmail.com</v>
      </c>
      <c r="G5063" s="3"/>
      <c r="H5063" s="3"/>
    </row>
    <row r="5064">
      <c r="A5064" s="2">
        <f>IFERROR(__xludf.DUMMYFUNCTION("""COMPUTED_VALUE"""),62954.0)</f>
        <v>62954</v>
      </c>
      <c r="B5064" s="3" t="str">
        <f>IFERROR(__xludf.DUMMYFUNCTION("""COMPUTED_VALUE"""),"80 PERCY BOOM RD  ")</f>
        <v>80 PERCY BOOM RD  </v>
      </c>
      <c r="C5064" s="3" t="str">
        <f>IFERROR(__xludf.DUMMYFUNCTION("""COMPUTED_VALUE"""),"CAMPBELLFORD")</f>
        <v>CAMPBELLFORD</v>
      </c>
      <c r="D5064" s="3" t="str">
        <f>IFERROR(__xludf.DUMMYFUNCTION("""COMPUTED_VALUE"""),"K0L 1L0")</f>
        <v>K0L 1L0</v>
      </c>
      <c r="E5064" s="3" t="str">
        <f>IFERROR(__xludf.DUMMYFUNCTION("""COMPUTED_VALUE"""),"rob wells")</f>
        <v>rob wells</v>
      </c>
      <c r="F5064" s="3" t="str">
        <f>IFERROR(__xludf.DUMMYFUNCTION("""COMPUTED_VALUE"""),"robbywells@sympatico.ca")</f>
        <v>robbywells@sympatico.ca</v>
      </c>
      <c r="G5064" s="3">
        <f>IFERROR(__xludf.DUMMYFUNCTION("""COMPUTED_VALUE"""),2.892516479E9)</f>
        <v>2892516479</v>
      </c>
      <c r="H5064" s="3"/>
    </row>
    <row r="5065">
      <c r="A5065" s="2">
        <f>IFERROR(__xludf.DUMMYFUNCTION("""COMPUTED_VALUE"""),62955.0)</f>
        <v>62955</v>
      </c>
      <c r="B5065" s="3" t="str">
        <f>IFERROR(__xludf.DUMMYFUNCTION("""COMPUTED_VALUE"""),"83 PERCY BOOM RD  ")</f>
        <v>83 PERCY BOOM RD  </v>
      </c>
      <c r="C5065" s="3" t="str">
        <f>IFERROR(__xludf.DUMMYFUNCTION("""COMPUTED_VALUE"""),"CAMPBELLFORD")</f>
        <v>CAMPBELLFORD</v>
      </c>
      <c r="D5065" s="3" t="str">
        <f>IFERROR(__xludf.DUMMYFUNCTION("""COMPUTED_VALUE"""),"K0L 1L0")</f>
        <v>K0L 1L0</v>
      </c>
      <c r="E5065" s="3" t="str">
        <f>IFERROR(__xludf.DUMMYFUNCTION("""COMPUTED_VALUE"""),"l, vanhamburg")</f>
        <v>l, vanhamburg</v>
      </c>
      <c r="F5065" s="3" t="str">
        <f>IFERROR(__xludf.DUMMYFUNCTION("""COMPUTED_VALUE"""),"lvanhamburg@hotmail.com")</f>
        <v>lvanhamburg@hotmail.com</v>
      </c>
      <c r="G5065" s="3"/>
      <c r="H5065" s="3"/>
    </row>
    <row r="5066">
      <c r="A5066" s="2">
        <f>IFERROR(__xludf.DUMMYFUNCTION("""COMPUTED_VALUE"""),62956.0)</f>
        <v>62956</v>
      </c>
      <c r="B5066" s="3" t="str">
        <f>IFERROR(__xludf.DUMMYFUNCTION("""COMPUTED_VALUE"""),"117 PERCY BOOM RD  ")</f>
        <v>117 PERCY BOOM RD  </v>
      </c>
      <c r="C5066" s="3" t="str">
        <f>IFERROR(__xludf.DUMMYFUNCTION("""COMPUTED_VALUE"""),"CAMPBELLFORD")</f>
        <v>CAMPBELLFORD</v>
      </c>
      <c r="D5066" s="3" t="str">
        <f>IFERROR(__xludf.DUMMYFUNCTION("""COMPUTED_VALUE"""),"K0L 1L0")</f>
        <v>K0L 1L0</v>
      </c>
      <c r="E5066" s="3" t="str">
        <f>IFERROR(__xludf.DUMMYFUNCTION("""COMPUTED_VALUE"""),"rob mckeown ")</f>
        <v>rob mckeown </v>
      </c>
      <c r="F5066" s="3" t="str">
        <f>IFERROR(__xludf.DUMMYFUNCTION("""COMPUTED_VALUE"""),"zekemckeown@gmail.com")</f>
        <v>zekemckeown@gmail.com</v>
      </c>
      <c r="G5066" s="3">
        <f>IFERROR(__xludf.DUMMYFUNCTION("""COMPUTED_VALUE"""),6.138273477E9)</f>
        <v>6138273477</v>
      </c>
      <c r="H5066" s="3"/>
    </row>
    <row r="5067">
      <c r="A5067" s="2">
        <f>IFERROR(__xludf.DUMMYFUNCTION("""COMPUTED_VALUE"""),62957.0)</f>
        <v>62957</v>
      </c>
      <c r="B5067" s="3" t="str">
        <f>IFERROR(__xludf.DUMMYFUNCTION("""COMPUTED_VALUE"""),"131 PERCY BOOM RD  ")</f>
        <v>131 PERCY BOOM RD  </v>
      </c>
      <c r="C5067" s="3" t="str">
        <f>IFERROR(__xludf.DUMMYFUNCTION("""COMPUTED_VALUE"""),"CAMPBELLFORD")</f>
        <v>CAMPBELLFORD</v>
      </c>
      <c r="D5067" s="3" t="str">
        <f>IFERROR(__xludf.DUMMYFUNCTION("""COMPUTED_VALUE"""),"K0L 1L0")</f>
        <v>K0L 1L0</v>
      </c>
      <c r="E5067" s="3"/>
      <c r="F5067" s="3"/>
      <c r="G5067" s="3"/>
      <c r="H5067" s="3"/>
    </row>
    <row r="5068">
      <c r="A5068" s="2">
        <f>IFERROR(__xludf.DUMMYFUNCTION("""COMPUTED_VALUE"""),62958.0)</f>
        <v>62958</v>
      </c>
      <c r="B5068" s="3" t="str">
        <f>IFERROR(__xludf.DUMMYFUNCTION("""COMPUTED_VALUE"""),"155 PERCY BOOM RD  ")</f>
        <v>155 PERCY BOOM RD  </v>
      </c>
      <c r="C5068" s="3" t="str">
        <f>IFERROR(__xludf.DUMMYFUNCTION("""COMPUTED_VALUE"""),"CAMPBELLFORD")</f>
        <v>CAMPBELLFORD</v>
      </c>
      <c r="D5068" s="3" t="str">
        <f>IFERROR(__xludf.DUMMYFUNCTION("""COMPUTED_VALUE"""),"K0L 1L0")</f>
        <v>K0L 1L0</v>
      </c>
      <c r="E5068" s="3" t="str">
        <f>IFERROR(__xludf.DUMMYFUNCTION("""COMPUTED_VALUE"""),"mike alquire ")</f>
        <v>mike alquire </v>
      </c>
      <c r="F5068" s="3" t="str">
        <f>IFERROR(__xludf.DUMMYFUNCTION("""COMPUTED_VALUE"""),"malguireevw@gmail.com")</f>
        <v>malguireevw@gmail.com</v>
      </c>
      <c r="G5068" s="3">
        <f>IFERROR(__xludf.DUMMYFUNCTION("""COMPUTED_VALUE"""),9.0521335E9)</f>
        <v>9052133500</v>
      </c>
      <c r="H5068" s="3">
        <f>IFERROR(__xludf.DUMMYFUNCTION("""COMPUTED_VALUE"""),9.05442591E9)</f>
        <v>9054425910</v>
      </c>
    </row>
    <row r="5069">
      <c r="A5069" s="2">
        <f>IFERROR(__xludf.DUMMYFUNCTION("""COMPUTED_VALUE"""),62959.0)</f>
        <v>62959</v>
      </c>
      <c r="B5069" s="3" t="str">
        <f>IFERROR(__xludf.DUMMYFUNCTION("""COMPUTED_VALUE"""),"249 PERCY BOOM RD  ")</f>
        <v>249 PERCY BOOM RD  </v>
      </c>
      <c r="C5069" s="3" t="str">
        <f>IFERROR(__xludf.DUMMYFUNCTION("""COMPUTED_VALUE"""),"CAMPBELLFORD")</f>
        <v>CAMPBELLFORD</v>
      </c>
      <c r="D5069" s="3" t="str">
        <f>IFERROR(__xludf.DUMMYFUNCTION("""COMPUTED_VALUE"""),"K0L 1L0")</f>
        <v>K0L 1L0</v>
      </c>
      <c r="E5069" s="3" t="str">
        <f>IFERROR(__xludf.DUMMYFUNCTION("""COMPUTED_VALUE"""),"jeff barker ")</f>
        <v>jeff barker </v>
      </c>
      <c r="F5069" s="3" t="str">
        <f>IFERROR(__xludf.DUMMYFUNCTION("""COMPUTED_VALUE"""),"barkerjeff@live.com")</f>
        <v>barkerjeff@live.com</v>
      </c>
      <c r="G5069" s="3">
        <f>IFERROR(__xludf.DUMMYFUNCTION("""COMPUTED_VALUE"""),4.169091351E9)</f>
        <v>4169091351</v>
      </c>
      <c r="H5069" s="3"/>
    </row>
    <row r="5070">
      <c r="A5070" s="2">
        <f>IFERROR(__xludf.DUMMYFUNCTION("""COMPUTED_VALUE"""),62960.0)</f>
        <v>62960</v>
      </c>
      <c r="B5070" s="3" t="str">
        <f>IFERROR(__xludf.DUMMYFUNCTION("""COMPUTED_VALUE"""),"256 PERCY BOOM RD  ")</f>
        <v>256 PERCY BOOM RD  </v>
      </c>
      <c r="C5070" s="3" t="str">
        <f>IFERROR(__xludf.DUMMYFUNCTION("""COMPUTED_VALUE"""),"CAMPBELLFORD")</f>
        <v>CAMPBELLFORD</v>
      </c>
      <c r="D5070" s="3" t="str">
        <f>IFERROR(__xludf.DUMMYFUNCTION("""COMPUTED_VALUE"""),"K0L 1L0")</f>
        <v>K0L 1L0</v>
      </c>
      <c r="E5070" s="3" t="str">
        <f>IFERROR(__xludf.DUMMYFUNCTION("""COMPUTED_VALUE"""),"jamie mullings")</f>
        <v>jamie mullings</v>
      </c>
      <c r="F5070" s="3" t="str">
        <f>IFERROR(__xludf.DUMMYFUNCTION("""COMPUTED_VALUE"""),"jamie.mullings@gmail.com")</f>
        <v>jamie.mullings@gmail.com</v>
      </c>
      <c r="G5070" s="3">
        <f>IFERROR(__xludf.DUMMYFUNCTION("""COMPUTED_VALUE"""),6.479998568E9)</f>
        <v>6479998568</v>
      </c>
      <c r="H5070" s="3"/>
    </row>
    <row r="5071">
      <c r="A5071" s="2">
        <f>IFERROR(__xludf.DUMMYFUNCTION("""COMPUTED_VALUE"""),62961.0)</f>
        <v>62961</v>
      </c>
      <c r="B5071" s="3" t="str">
        <f>IFERROR(__xludf.DUMMYFUNCTION("""COMPUTED_VALUE"""),"271 PERCY BOOM RD  ")</f>
        <v>271 PERCY BOOM RD  </v>
      </c>
      <c r="C5071" s="3" t="str">
        <f>IFERROR(__xludf.DUMMYFUNCTION("""COMPUTED_VALUE"""),"CAMPBELLFORD")</f>
        <v>CAMPBELLFORD</v>
      </c>
      <c r="D5071" s="3" t="str">
        <f>IFERROR(__xludf.DUMMYFUNCTION("""COMPUTED_VALUE"""),"K0L 1L0")</f>
        <v>K0L 1L0</v>
      </c>
      <c r="E5071" s="3" t="str">
        <f>IFERROR(__xludf.DUMMYFUNCTION("""COMPUTED_VALUE"""),"Orel Peterkin")</f>
        <v>Orel Peterkin</v>
      </c>
      <c r="F5071" s="3" t="str">
        <f>IFERROR(__xludf.DUMMYFUNCTION("""COMPUTED_VALUE"""),"orel.peterkin@gmail.com")</f>
        <v>orel.peterkin@gmail.com</v>
      </c>
      <c r="G5071" s="3"/>
      <c r="H5071" s="3"/>
    </row>
    <row r="5072">
      <c r="A5072" s="2">
        <f>IFERROR(__xludf.DUMMYFUNCTION("""COMPUTED_VALUE"""),62962.0)</f>
        <v>62962</v>
      </c>
      <c r="B5072" s="3" t="str">
        <f>IFERROR(__xludf.DUMMYFUNCTION("""COMPUTED_VALUE"""),"285 PERCY BOOM RD  ")</f>
        <v>285 PERCY BOOM RD  </v>
      </c>
      <c r="C5072" s="3" t="str">
        <f>IFERROR(__xludf.DUMMYFUNCTION("""COMPUTED_VALUE"""),"CAMPBELLFORD")</f>
        <v>CAMPBELLFORD</v>
      </c>
      <c r="D5072" s="3" t="str">
        <f>IFERROR(__xludf.DUMMYFUNCTION("""COMPUTED_VALUE"""),"K0L 1L0")</f>
        <v>K0L 1L0</v>
      </c>
      <c r="E5072" s="3" t="str">
        <f>IFERROR(__xludf.DUMMYFUNCTION("""COMPUTED_VALUE"""),"paul coninx ")</f>
        <v>paul coninx </v>
      </c>
      <c r="F5072" s="3" t="str">
        <f>IFERROR(__xludf.DUMMYFUNCTION("""COMPUTED_VALUE"""),"coninxp@hotmail.com")</f>
        <v>coninxp@hotmail.com</v>
      </c>
      <c r="G5072" s="3">
        <f>IFERROR(__xludf.DUMMYFUNCTION("""COMPUTED_VALUE"""),6.478881163E9)</f>
        <v>6478881163</v>
      </c>
      <c r="H5072" s="3">
        <f>IFERROR(__xludf.DUMMYFUNCTION("""COMPUTED_VALUE"""),4.166580705E9)</f>
        <v>4166580705</v>
      </c>
    </row>
    <row r="5073">
      <c r="A5073" s="2">
        <f>IFERROR(__xludf.DUMMYFUNCTION("""COMPUTED_VALUE"""),62963.0)</f>
        <v>62963</v>
      </c>
      <c r="B5073" s="3" t="str">
        <f>IFERROR(__xludf.DUMMYFUNCTION("""COMPUTED_VALUE"""),"310 PERCY BOOM RD  ")</f>
        <v>310 PERCY BOOM RD  </v>
      </c>
      <c r="C5073" s="3" t="str">
        <f>IFERROR(__xludf.DUMMYFUNCTION("""COMPUTED_VALUE"""),"CAMPBELLFORD")</f>
        <v>CAMPBELLFORD</v>
      </c>
      <c r="D5073" s="3" t="str">
        <f>IFERROR(__xludf.DUMMYFUNCTION("""COMPUTED_VALUE"""),"K0L 1L0")</f>
        <v>K0L 1L0</v>
      </c>
      <c r="E5073" s="3" t="str">
        <f>IFERROR(__xludf.DUMMYFUNCTION("""COMPUTED_VALUE"""),"rebecca coggins ")</f>
        <v>rebecca coggins </v>
      </c>
      <c r="F5073" s="3" t="str">
        <f>IFERROR(__xludf.DUMMYFUNCTION("""COMPUTED_VALUE"""),"rebeccacoggins@hotmail.com")</f>
        <v>rebeccacoggins@hotmail.com</v>
      </c>
      <c r="G5073" s="3">
        <f>IFERROR(__xludf.DUMMYFUNCTION("""COMPUTED_VALUE"""),7.05772819E9)</f>
        <v>7057728190</v>
      </c>
      <c r="H5073" s="3"/>
    </row>
    <row r="5074">
      <c r="A5074" s="2">
        <f>IFERROR(__xludf.DUMMYFUNCTION("""COMPUTED_VALUE"""),61009.0)</f>
        <v>61009</v>
      </c>
      <c r="B5074" s="3" t="str">
        <f>IFERROR(__xludf.DUMMYFUNCTION("""COMPUTED_VALUE"""),"198 CONCESSION RD 2 RD W")</f>
        <v>198 CONCESSION RD 2 RD W</v>
      </c>
      <c r="C5074" s="3" t="str">
        <f>IFERROR(__xludf.DUMMYFUNCTION("""COMPUTED_VALUE"""),"WARKWORTH")</f>
        <v>WARKWORTH</v>
      </c>
      <c r="D5074" s="3" t="str">
        <f>IFERROR(__xludf.DUMMYFUNCTION("""COMPUTED_VALUE"""),"K0K 3K0")</f>
        <v>K0K 3K0</v>
      </c>
      <c r="E5074" s="3" t="str">
        <f>IFERROR(__xludf.DUMMYFUNCTION("""COMPUTED_VALUE"""),"MARK SURMAN")</f>
        <v>MARK SURMAN</v>
      </c>
      <c r="F5074" s="3" t="str">
        <f>IFERROR(__xludf.DUMMYFUNCTION("""COMPUTED_VALUE"""),"ms2@commons.ca")</f>
        <v>ms2@commons.ca</v>
      </c>
      <c r="G5074" s="3"/>
      <c r="H5074" s="3"/>
    </row>
    <row r="5075">
      <c r="A5075" s="2">
        <f>IFERROR(__xludf.DUMMYFUNCTION("""COMPUTED_VALUE"""),63392.0)</f>
        <v>63392</v>
      </c>
      <c r="B5075" s="3" t="str">
        <f>IFERROR(__xludf.DUMMYFUNCTION("""COMPUTED_VALUE"""),"56 STEAM MILL LANE  ")</f>
        <v>56 STEAM MILL LANE  </v>
      </c>
      <c r="C5075" s="3" t="str">
        <f>IFERROR(__xludf.DUMMYFUNCTION("""COMPUTED_VALUE"""),"HAVELOCK")</f>
        <v>HAVELOCK</v>
      </c>
      <c r="D5075" s="3" t="str">
        <f>IFERROR(__xludf.DUMMYFUNCTION("""COMPUTED_VALUE"""),"K0L 1Z0")</f>
        <v>K0L 1Z0</v>
      </c>
      <c r="E5075" s="3" t="str">
        <f>IFERROR(__xludf.DUMMYFUNCTION("""COMPUTED_VALUE"""),"Eric dunford
Kevin &amp; Julie Gaskin")</f>
        <v>Eric dunford
Kevin &amp; Julie Gaskin</v>
      </c>
      <c r="F5075" s="3" t="str">
        <f>IFERROR(__xludf.DUMMYFUNCTION("""COMPUTED_VALUE"""),"Monfra@gmail.com
dunfordgaskin@gmail.com")</f>
        <v>Monfra@gmail.com
dunfordgaskin@gmail.com</v>
      </c>
      <c r="G5075" s="3"/>
      <c r="H5075" s="3">
        <f>IFERROR(__xludf.DUMMYFUNCTION("""COMPUTED_VALUE"""),3.656882112E9)</f>
        <v>3656882112</v>
      </c>
    </row>
    <row r="5076">
      <c r="A5076" s="2">
        <f>IFERROR(__xludf.DUMMYFUNCTION("""COMPUTED_VALUE"""),63393.0)</f>
        <v>63393</v>
      </c>
      <c r="B5076" s="3" t="str">
        <f>IFERROR(__xludf.DUMMYFUNCTION("""COMPUTED_VALUE"""),"60 STEAM MILL LANE  ")</f>
        <v>60 STEAM MILL LANE  </v>
      </c>
      <c r="C5076" s="3" t="str">
        <f>IFERROR(__xludf.DUMMYFUNCTION("""COMPUTED_VALUE"""),"HAVELOCK")</f>
        <v>HAVELOCK</v>
      </c>
      <c r="D5076" s="3" t="str">
        <f>IFERROR(__xludf.DUMMYFUNCTION("""COMPUTED_VALUE"""),"K0L 1Z0")</f>
        <v>K0L 1Z0</v>
      </c>
      <c r="E5076" s="3"/>
      <c r="F5076" s="3"/>
      <c r="G5076" s="3"/>
      <c r="H5076" s="3"/>
    </row>
    <row r="5077">
      <c r="A5077" s="2">
        <f>IFERROR(__xludf.DUMMYFUNCTION("""COMPUTED_VALUE"""),63394.0)</f>
        <v>63394</v>
      </c>
      <c r="B5077" s="3" t="str">
        <f>IFERROR(__xludf.DUMMYFUNCTION("""COMPUTED_VALUE"""),"94 STEAM MILL LANE  ")</f>
        <v>94 STEAM MILL LANE  </v>
      </c>
      <c r="C5077" s="3" t="str">
        <f>IFERROR(__xludf.DUMMYFUNCTION("""COMPUTED_VALUE"""),"HAVELOCK")</f>
        <v>HAVELOCK</v>
      </c>
      <c r="D5077" s="3" t="str">
        <f>IFERROR(__xludf.DUMMYFUNCTION("""COMPUTED_VALUE"""),"K0L 1Z0")</f>
        <v>K0L 1Z0</v>
      </c>
      <c r="E5077" s="3"/>
      <c r="F5077" s="3"/>
      <c r="G5077" s="3"/>
      <c r="H5077" s="3"/>
    </row>
    <row r="5078">
      <c r="A5078" s="2">
        <f>IFERROR(__xludf.DUMMYFUNCTION("""COMPUTED_VALUE"""),63395.0)</f>
        <v>63395</v>
      </c>
      <c r="B5078" s="3" t="str">
        <f>IFERROR(__xludf.DUMMYFUNCTION("""COMPUTED_VALUE"""),"98 STEAM MILL LANE  ")</f>
        <v>98 STEAM MILL LANE  </v>
      </c>
      <c r="C5078" s="3" t="str">
        <f>IFERROR(__xludf.DUMMYFUNCTION("""COMPUTED_VALUE"""),"HAVELOCK")</f>
        <v>HAVELOCK</v>
      </c>
      <c r="D5078" s="3" t="str">
        <f>IFERROR(__xludf.DUMMYFUNCTION("""COMPUTED_VALUE"""),"K0L 1Z0")</f>
        <v>K0L 1Z0</v>
      </c>
      <c r="E5078" s="3" t="str">
        <f>IFERROR(__xludf.DUMMYFUNCTION("""COMPUTED_VALUE"""),"Jerry Bertram")</f>
        <v>Jerry Bertram</v>
      </c>
      <c r="F5078" s="3" t="str">
        <f>IFERROR(__xludf.DUMMYFUNCTION("""COMPUTED_VALUE"""),"Jerry.bertram@outlook.com")</f>
        <v>Jerry.bertram@outlook.com</v>
      </c>
      <c r="G5078" s="3">
        <f>IFERROR(__xludf.DUMMYFUNCTION("""COMPUTED_VALUE"""),5.198617661E9)</f>
        <v>5198617661</v>
      </c>
      <c r="H5078" s="3"/>
    </row>
    <row r="5079">
      <c r="A5079" s="2">
        <f>IFERROR(__xludf.DUMMYFUNCTION("""COMPUTED_VALUE"""),63396.0)</f>
        <v>63396</v>
      </c>
      <c r="B5079" s="3" t="str">
        <f>IFERROR(__xludf.DUMMYFUNCTION("""COMPUTED_VALUE"""),"66A STEAM MILL LANE  ")</f>
        <v>66A STEAM MILL LANE  </v>
      </c>
      <c r="C5079" s="3" t="str">
        <f>IFERROR(__xludf.DUMMYFUNCTION("""COMPUTED_VALUE"""),"HAVELOCK")</f>
        <v>HAVELOCK</v>
      </c>
      <c r="D5079" s="3" t="str">
        <f>IFERROR(__xludf.DUMMYFUNCTION("""COMPUTED_VALUE"""),"K0L 1Z0")</f>
        <v>K0L 1Z0</v>
      </c>
      <c r="E5079" s="3" t="str">
        <f>IFERROR(__xludf.DUMMYFUNCTION("""COMPUTED_VALUE"""),"Jose Ferreira")</f>
        <v>Jose Ferreira</v>
      </c>
      <c r="F5079" s="3" t="str">
        <f>IFERROR(__xludf.DUMMYFUNCTION("""COMPUTED_VALUE"""),"joebferreira68@gmail.com")</f>
        <v>joebferreira68@gmail.com</v>
      </c>
      <c r="G5079" s="3">
        <f>IFERROR(__xludf.DUMMYFUNCTION("""COMPUTED_VALUE"""),6.475305947E9)</f>
        <v>6475305947</v>
      </c>
      <c r="H5079" s="3"/>
    </row>
    <row r="5080">
      <c r="A5080" s="2">
        <f>IFERROR(__xludf.DUMMYFUNCTION("""COMPUTED_VALUE"""),63397.0)</f>
        <v>63397</v>
      </c>
      <c r="B5080" s="3" t="str">
        <f>IFERROR(__xludf.DUMMYFUNCTION("""COMPUTED_VALUE"""),"66B STEAM MILL LANE  ")</f>
        <v>66B STEAM MILL LANE  </v>
      </c>
      <c r="C5080" s="3" t="str">
        <f>IFERROR(__xludf.DUMMYFUNCTION("""COMPUTED_VALUE"""),"HAVELOCK")</f>
        <v>HAVELOCK</v>
      </c>
      <c r="D5080" s="3" t="str">
        <f>IFERROR(__xludf.DUMMYFUNCTION("""COMPUTED_VALUE"""),"K0L 1Z0")</f>
        <v>K0L 1Z0</v>
      </c>
      <c r="E5080" s="3" t="str">
        <f>IFERROR(__xludf.DUMMYFUNCTION("""COMPUTED_VALUE"""),"FRANKLIN D. GRAY")</f>
        <v>FRANKLIN D. GRAY</v>
      </c>
      <c r="F5080" s="3" t="str">
        <f>IFERROR(__xludf.DUMMYFUNCTION("""COMPUTED_VALUE"""),"lgray1098@gmail.com")</f>
        <v>lgray1098@gmail.com</v>
      </c>
      <c r="G5080" s="3"/>
      <c r="H5080" s="3"/>
    </row>
    <row r="5081">
      <c r="A5081" s="2">
        <f>IFERROR(__xludf.DUMMYFUNCTION("""COMPUTED_VALUE"""),60129.0)</f>
        <v>60129</v>
      </c>
      <c r="B5081" s="3" t="str">
        <f>IFERROR(__xludf.DUMMYFUNCTION("""COMPUTED_VALUE"""),"8 14TH LINE W")</f>
        <v>8 14TH LINE W</v>
      </c>
      <c r="C5081" s="3" t="str">
        <f>IFERROR(__xludf.DUMMYFUNCTION("""COMPUTED_VALUE"""),"HAVELOCK")</f>
        <v>HAVELOCK</v>
      </c>
      <c r="D5081" s="3" t="str">
        <f>IFERROR(__xludf.DUMMYFUNCTION("""COMPUTED_VALUE"""),"K0L 1Z0")</f>
        <v>K0L 1Z0</v>
      </c>
      <c r="E5081" s="3" t="str">
        <f>IFERROR(__xludf.DUMMYFUNCTION("""COMPUTED_VALUE"""),"davydov oleksandr")</f>
        <v>davydov oleksandr</v>
      </c>
      <c r="F5081" s="3"/>
      <c r="G5081" s="3">
        <f>IFERROR(__xludf.DUMMYFUNCTION("""COMPUTED_VALUE"""),4.169361023E9)</f>
        <v>4169361023</v>
      </c>
      <c r="H5081" s="3"/>
    </row>
    <row r="5082">
      <c r="A5082" s="2">
        <f>IFERROR(__xludf.DUMMYFUNCTION("""COMPUTED_VALUE"""),60130.0)</f>
        <v>60130</v>
      </c>
      <c r="B5082" s="3" t="str">
        <f>IFERROR(__xludf.DUMMYFUNCTION("""COMPUTED_VALUE"""),"16 14TH LINE W")</f>
        <v>16 14TH LINE W</v>
      </c>
      <c r="C5082" s="3" t="str">
        <f>IFERROR(__xludf.DUMMYFUNCTION("""COMPUTED_VALUE"""),"HAVELOCK")</f>
        <v>HAVELOCK</v>
      </c>
      <c r="D5082" s="3" t="str">
        <f>IFERROR(__xludf.DUMMYFUNCTION("""COMPUTED_VALUE"""),"K0L 1Z0")</f>
        <v>K0L 1Z0</v>
      </c>
      <c r="E5082" s="3" t="str">
        <f>IFERROR(__xludf.DUMMYFUNCTION("""COMPUTED_VALUE"""),"Reid Elliott")</f>
        <v>Reid Elliott</v>
      </c>
      <c r="F5082" s="3" t="str">
        <f>IFERROR(__xludf.DUMMYFUNCTION("""COMPUTED_VALUE"""),"reid.w.elliott@gmail.com")</f>
        <v>reid.w.elliott@gmail.com</v>
      </c>
      <c r="G5082" s="3"/>
      <c r="H5082" s="3"/>
    </row>
    <row r="5083">
      <c r="A5083" s="2">
        <f>IFERROR(__xludf.DUMMYFUNCTION("""COMPUTED_VALUE"""),60131.0)</f>
        <v>60131</v>
      </c>
      <c r="B5083" s="3" t="str">
        <f>IFERROR(__xludf.DUMMYFUNCTION("""COMPUTED_VALUE"""),"21 14TH LINE W")</f>
        <v>21 14TH LINE W</v>
      </c>
      <c r="C5083" s="3" t="str">
        <f>IFERROR(__xludf.DUMMYFUNCTION("""COMPUTED_VALUE"""),"HAVELOCK")</f>
        <v>HAVELOCK</v>
      </c>
      <c r="D5083" s="3" t="str">
        <f>IFERROR(__xludf.DUMMYFUNCTION("""COMPUTED_VALUE"""),"K0L 1Z0")</f>
        <v>K0L 1Z0</v>
      </c>
      <c r="E5083" s="3"/>
      <c r="F5083" s="3"/>
      <c r="G5083" s="3"/>
      <c r="H5083" s="3"/>
    </row>
    <row r="5084">
      <c r="A5084" s="2">
        <f>IFERROR(__xludf.DUMMYFUNCTION("""COMPUTED_VALUE"""),60132.0)</f>
        <v>60132</v>
      </c>
      <c r="B5084" s="3" t="str">
        <f>IFERROR(__xludf.DUMMYFUNCTION("""COMPUTED_VALUE"""),"46 14TH LINE W")</f>
        <v>46 14TH LINE W</v>
      </c>
      <c r="C5084" s="3" t="str">
        <f>IFERROR(__xludf.DUMMYFUNCTION("""COMPUTED_VALUE"""),"HAVELOCK")</f>
        <v>HAVELOCK</v>
      </c>
      <c r="D5084" s="3" t="str">
        <f>IFERROR(__xludf.DUMMYFUNCTION("""COMPUTED_VALUE"""),"K0L 1Z0")</f>
        <v>K0L 1Z0</v>
      </c>
      <c r="E5084" s="3"/>
      <c r="F5084" s="3"/>
      <c r="G5084" s="3"/>
      <c r="H5084" s="3"/>
    </row>
    <row r="5085">
      <c r="A5085" s="2">
        <f>IFERROR(__xludf.DUMMYFUNCTION("""COMPUTED_VALUE"""),60133.0)</f>
        <v>60133</v>
      </c>
      <c r="B5085" s="3" t="str">
        <f>IFERROR(__xludf.DUMMYFUNCTION("""COMPUTED_VALUE"""),"102 14TH LINE W")</f>
        <v>102 14TH LINE W</v>
      </c>
      <c r="C5085" s="3" t="str">
        <f>IFERROR(__xludf.DUMMYFUNCTION("""COMPUTED_VALUE"""),"HAVELOCK")</f>
        <v>HAVELOCK</v>
      </c>
      <c r="D5085" s="3" t="str">
        <f>IFERROR(__xludf.DUMMYFUNCTION("""COMPUTED_VALUE"""),"K0L 1Z0")</f>
        <v>K0L 1Z0</v>
      </c>
      <c r="E5085" s="3" t="str">
        <f>IFERROR(__xludf.DUMMYFUNCTION("""COMPUTED_VALUE"""),"John Hegarty ")</f>
        <v>John Hegarty </v>
      </c>
      <c r="F5085" s="3"/>
      <c r="G5085" s="3"/>
      <c r="H5085" s="3"/>
    </row>
    <row r="5086">
      <c r="A5086" s="2">
        <f>IFERROR(__xludf.DUMMYFUNCTION("""COMPUTED_VALUE"""),60134.0)</f>
        <v>60134</v>
      </c>
      <c r="B5086" s="3" t="str">
        <f>IFERROR(__xludf.DUMMYFUNCTION("""COMPUTED_VALUE"""),"119 14TH LINE W")</f>
        <v>119 14TH LINE W</v>
      </c>
      <c r="C5086" s="3" t="str">
        <f>IFERROR(__xludf.DUMMYFUNCTION("""COMPUTED_VALUE"""),"HAVELOCK")</f>
        <v>HAVELOCK</v>
      </c>
      <c r="D5086" s="3" t="str">
        <f>IFERROR(__xludf.DUMMYFUNCTION("""COMPUTED_VALUE"""),"K0L 1Z0")</f>
        <v>K0L 1Z0</v>
      </c>
      <c r="E5086" s="3" t="str">
        <f>IFERROR(__xludf.DUMMYFUNCTION("""COMPUTED_VALUE"""),"Kyle Beacock")</f>
        <v>Kyle Beacock</v>
      </c>
      <c r="F5086" s="3" t="str">
        <f>IFERROR(__xludf.DUMMYFUNCTION("""COMPUTED_VALUE"""),"kyle.beacock@gmail.com")</f>
        <v>kyle.beacock@gmail.com</v>
      </c>
      <c r="G5086" s="3">
        <f>IFERROR(__xludf.DUMMYFUNCTION("""COMPUTED_VALUE"""),7.059277708E9)</f>
        <v>7059277708</v>
      </c>
      <c r="H5086" s="3"/>
    </row>
    <row r="5087">
      <c r="A5087" s="2">
        <f>IFERROR(__xludf.DUMMYFUNCTION("""COMPUTED_VALUE"""),60135.0)</f>
        <v>60135</v>
      </c>
      <c r="B5087" s="3" t="str">
        <f>IFERROR(__xludf.DUMMYFUNCTION("""COMPUTED_VALUE"""),"122 14TH LINE W")</f>
        <v>122 14TH LINE W</v>
      </c>
      <c r="C5087" s="3" t="str">
        <f>IFERROR(__xludf.DUMMYFUNCTION("""COMPUTED_VALUE"""),"HAVELOCK")</f>
        <v>HAVELOCK</v>
      </c>
      <c r="D5087" s="3" t="str">
        <f>IFERROR(__xludf.DUMMYFUNCTION("""COMPUTED_VALUE"""),"K0L 1Z0")</f>
        <v>K0L 1Z0</v>
      </c>
      <c r="E5087" s="3"/>
      <c r="F5087" s="3"/>
      <c r="G5087" s="3"/>
      <c r="H5087" s="3"/>
    </row>
    <row r="5088">
      <c r="A5088" s="2">
        <f>IFERROR(__xludf.DUMMYFUNCTION("""COMPUTED_VALUE"""),60136.0)</f>
        <v>60136</v>
      </c>
      <c r="B5088" s="3" t="str">
        <f>IFERROR(__xludf.DUMMYFUNCTION("""COMPUTED_VALUE"""),"257 14TH LINE W")</f>
        <v>257 14TH LINE W</v>
      </c>
      <c r="C5088" s="3"/>
      <c r="D5088" s="3"/>
      <c r="E5088" s="3"/>
      <c r="F5088" s="3"/>
      <c r="G5088" s="3"/>
      <c r="H5088" s="3"/>
    </row>
    <row r="5089">
      <c r="A5089" s="2">
        <f>IFERROR(__xludf.DUMMYFUNCTION("""COMPUTED_VALUE"""),60125.0)</f>
        <v>60125</v>
      </c>
      <c r="B5089" s="3" t="str">
        <f>IFERROR(__xludf.DUMMYFUNCTION("""COMPUTED_VALUE"""),"616 13TH LINE W")</f>
        <v>616 13TH LINE W</v>
      </c>
      <c r="C5089" s="3" t="str">
        <f>IFERROR(__xludf.DUMMYFUNCTION("""COMPUTED_VALUE"""),"HASTINGS")</f>
        <v>HASTINGS</v>
      </c>
      <c r="D5089" s="3" t="str">
        <f>IFERROR(__xludf.DUMMYFUNCTION("""COMPUTED_VALUE"""),"K0L 1Y0")</f>
        <v>K0L 1Y0</v>
      </c>
      <c r="E5089" s="3"/>
      <c r="F5089" s="3"/>
      <c r="G5089" s="3"/>
      <c r="H5089" s="3"/>
    </row>
    <row r="5090">
      <c r="A5090" s="2">
        <f>IFERROR(__xludf.DUMMYFUNCTION("""COMPUTED_VALUE"""),60126.0)</f>
        <v>60126</v>
      </c>
      <c r="B5090" s="3" t="str">
        <f>IFERROR(__xludf.DUMMYFUNCTION("""COMPUTED_VALUE"""),"731 13TH LINE W")</f>
        <v>731 13TH LINE W</v>
      </c>
      <c r="C5090" s="3" t="str">
        <f>IFERROR(__xludf.DUMMYFUNCTION("""COMPUTED_VALUE"""),"HASTINGS")</f>
        <v>HASTINGS</v>
      </c>
      <c r="D5090" s="3" t="str">
        <f>IFERROR(__xludf.DUMMYFUNCTION("""COMPUTED_VALUE"""),"K0L 1Y0")</f>
        <v>K0L 1Y0</v>
      </c>
      <c r="E5090" s="3"/>
      <c r="F5090" s="3"/>
      <c r="G5090" s="3"/>
      <c r="H5090" s="3"/>
    </row>
    <row r="5091">
      <c r="A5091" s="2">
        <f>IFERROR(__xludf.DUMMYFUNCTION("""COMPUTED_VALUE"""),63363.0)</f>
        <v>63363</v>
      </c>
      <c r="B5091" s="3" t="str">
        <f>IFERROR(__xludf.DUMMYFUNCTION("""COMPUTED_VALUE"""),"120 SOUTH SHORES RD  ")</f>
        <v>120 SOUTH SHORES RD  </v>
      </c>
      <c r="C5091" s="3" t="str">
        <f>IFERROR(__xludf.DUMMYFUNCTION("""COMPUTED_VALUE"""),"CAMPBELLFORD")</f>
        <v>CAMPBELLFORD</v>
      </c>
      <c r="D5091" s="3" t="str">
        <f>IFERROR(__xludf.DUMMYFUNCTION("""COMPUTED_VALUE"""),"K0L 1L0")</f>
        <v>K0L 1L0</v>
      </c>
      <c r="E5091" s="3" t="str">
        <f>IFERROR(__xludf.DUMMYFUNCTION("""COMPUTED_VALUE"""),"J. Scott Sheppard")</f>
        <v>J. Scott Sheppard</v>
      </c>
      <c r="F5091" s="3" t="str">
        <f>IFERROR(__xludf.DUMMYFUNCTION("""COMPUTED_VALUE"""),"csheppard58@sympatico.ca")</f>
        <v>csheppard58@sympatico.ca</v>
      </c>
      <c r="G5091" s="3">
        <f>IFERROR(__xludf.DUMMYFUNCTION("""COMPUTED_VALUE"""),7.05653408E9)</f>
        <v>7056534080</v>
      </c>
      <c r="H5091" s="3"/>
    </row>
    <row r="5092">
      <c r="A5092" s="2">
        <f>IFERROR(__xludf.DUMMYFUNCTION("""COMPUTED_VALUE"""),63364.0)</f>
        <v>63364</v>
      </c>
      <c r="B5092" s="3" t="str">
        <f>IFERROR(__xludf.DUMMYFUNCTION("""COMPUTED_VALUE"""),"139 SOUTH SHORES RD  ")</f>
        <v>139 SOUTH SHORES RD  </v>
      </c>
      <c r="C5092" s="3" t="str">
        <f>IFERROR(__xludf.DUMMYFUNCTION("""COMPUTED_VALUE"""),"CAMPBELLFORD")</f>
        <v>CAMPBELLFORD</v>
      </c>
      <c r="D5092" s="3" t="str">
        <f>IFERROR(__xludf.DUMMYFUNCTION("""COMPUTED_VALUE"""),"K0L 1L0")</f>
        <v>K0L 1L0</v>
      </c>
      <c r="E5092" s="3" t="str">
        <f>IFERROR(__xludf.DUMMYFUNCTION("""COMPUTED_VALUE"""),"Alison and Eric Longo")</f>
        <v>Alison and Eric Longo</v>
      </c>
      <c r="F5092" s="3" t="str">
        <f>IFERROR(__xludf.DUMMYFUNCTION("""COMPUTED_VALUE"""),"lizmathewson7@gmail.com")</f>
        <v>lizmathewson7@gmail.com</v>
      </c>
      <c r="G5092" s="3">
        <f>IFERROR(__xludf.DUMMYFUNCTION("""COMPUTED_VALUE"""),7.057617155E9)</f>
        <v>7057617155</v>
      </c>
      <c r="H5092" s="3"/>
    </row>
    <row r="5093">
      <c r="A5093" s="2">
        <f>IFERROR(__xludf.DUMMYFUNCTION("""COMPUTED_VALUE"""),63365.0)</f>
        <v>63365</v>
      </c>
      <c r="B5093" s="3" t="str">
        <f>IFERROR(__xludf.DUMMYFUNCTION("""COMPUTED_VALUE"""),"260 SOUTH SHORES RD  ")</f>
        <v>260 SOUTH SHORES RD  </v>
      </c>
      <c r="C5093" s="3" t="str">
        <f>IFERROR(__xludf.DUMMYFUNCTION("""COMPUTED_VALUE"""),"CAMPBELLFORD")</f>
        <v>CAMPBELLFORD</v>
      </c>
      <c r="D5093" s="3" t="str">
        <f>IFERROR(__xludf.DUMMYFUNCTION("""COMPUTED_VALUE"""),"K0L 1L0")</f>
        <v>K0L 1L0</v>
      </c>
      <c r="E5093" s="3" t="str">
        <f>IFERROR(__xludf.DUMMYFUNCTION("""COMPUTED_VALUE"""),"gregory porvalor ")</f>
        <v>gregory porvalor </v>
      </c>
      <c r="F5093" s="3"/>
      <c r="G5093" s="3">
        <f>IFERROR(__xludf.DUMMYFUNCTION("""COMPUTED_VALUE"""),4.166292197E9)</f>
        <v>4166292197</v>
      </c>
      <c r="H5093" s="3"/>
    </row>
    <row r="5094">
      <c r="A5094" s="2">
        <f>IFERROR(__xludf.DUMMYFUNCTION("""COMPUTED_VALUE"""),63366.0)</f>
        <v>63366</v>
      </c>
      <c r="B5094" s="3" t="str">
        <f>IFERROR(__xludf.DUMMYFUNCTION("""COMPUTED_VALUE"""),"266 SOUTH SHORES RD  ")</f>
        <v>266 SOUTH SHORES RD  </v>
      </c>
      <c r="C5094" s="3" t="str">
        <f>IFERROR(__xludf.DUMMYFUNCTION("""COMPUTED_VALUE"""),"CAMPBELLFORD")</f>
        <v>CAMPBELLFORD</v>
      </c>
      <c r="D5094" s="3" t="str">
        <f>IFERROR(__xludf.DUMMYFUNCTION("""COMPUTED_VALUE"""),"K0L 1L0")</f>
        <v>K0L 1L0</v>
      </c>
      <c r="E5094" s="3" t="str">
        <f>IFERROR(__xludf.DUMMYFUNCTION("""COMPUTED_VALUE"""),"brenda perry ")</f>
        <v>brenda perry </v>
      </c>
      <c r="F5094" s="3" t="str">
        <f>IFERROR(__xludf.DUMMYFUNCTION("""COMPUTED_VALUE"""),"rnbporny@hotmail.com")</f>
        <v>rnbporny@hotmail.com</v>
      </c>
      <c r="G5094" s="3">
        <f>IFERROR(__xludf.DUMMYFUNCTION("""COMPUTED_VALUE"""),7.053952211E9)</f>
        <v>7053952211</v>
      </c>
      <c r="H5094" s="3"/>
    </row>
    <row r="5095">
      <c r="A5095" s="2">
        <f>IFERROR(__xludf.DUMMYFUNCTION("""COMPUTED_VALUE"""),63367.0)</f>
        <v>63367</v>
      </c>
      <c r="B5095" s="3" t="str">
        <f>IFERROR(__xludf.DUMMYFUNCTION("""COMPUTED_VALUE"""),"270 SOUTH SHORES RD  ")</f>
        <v>270 SOUTH SHORES RD  </v>
      </c>
      <c r="C5095" s="3" t="str">
        <f>IFERROR(__xludf.DUMMYFUNCTION("""COMPUTED_VALUE"""),"CAMPBELLFORD")</f>
        <v>CAMPBELLFORD</v>
      </c>
      <c r="D5095" s="3" t="str">
        <f>IFERROR(__xludf.DUMMYFUNCTION("""COMPUTED_VALUE"""),"K0L 1L0")</f>
        <v>K0L 1L0</v>
      </c>
      <c r="E5095" s="3"/>
      <c r="F5095" s="3"/>
      <c r="G5095" s="3"/>
      <c r="H5095" s="3"/>
    </row>
    <row r="5096">
      <c r="A5096" s="2">
        <f>IFERROR(__xludf.DUMMYFUNCTION("""COMPUTED_VALUE"""),63368.0)</f>
        <v>63368</v>
      </c>
      <c r="B5096" s="3" t="str">
        <f>IFERROR(__xludf.DUMMYFUNCTION("""COMPUTED_VALUE"""),"274 SOUTH SHORES RD  ")</f>
        <v>274 SOUTH SHORES RD  </v>
      </c>
      <c r="C5096" s="3" t="str">
        <f>IFERROR(__xludf.DUMMYFUNCTION("""COMPUTED_VALUE"""),"CAMPBELLFORD")</f>
        <v>CAMPBELLFORD</v>
      </c>
      <c r="D5096" s="3" t="str">
        <f>IFERROR(__xludf.DUMMYFUNCTION("""COMPUTED_VALUE"""),"K0L 1L0")</f>
        <v>K0L 1L0</v>
      </c>
      <c r="E5096" s="3"/>
      <c r="F5096" s="3"/>
      <c r="G5096" s="3"/>
      <c r="H5096" s="3"/>
    </row>
    <row r="5097">
      <c r="A5097" s="2">
        <f>IFERROR(__xludf.DUMMYFUNCTION("""COMPUTED_VALUE"""),63369.0)</f>
        <v>63369</v>
      </c>
      <c r="B5097" s="3" t="str">
        <f>IFERROR(__xludf.DUMMYFUNCTION("""COMPUTED_VALUE"""),"276 SOUTH SHORES RD  ")</f>
        <v>276 SOUTH SHORES RD  </v>
      </c>
      <c r="C5097" s="3" t="str">
        <f>IFERROR(__xludf.DUMMYFUNCTION("""COMPUTED_VALUE"""),"CAMPBELLFORD")</f>
        <v>CAMPBELLFORD</v>
      </c>
      <c r="D5097" s="3" t="str">
        <f>IFERROR(__xludf.DUMMYFUNCTION("""COMPUTED_VALUE"""),"K0L 1L0")</f>
        <v>K0L 1L0</v>
      </c>
      <c r="E5097" s="3" t="str">
        <f>IFERROR(__xludf.DUMMYFUNCTION("""COMPUTED_VALUE"""),"ianni miniotis ")</f>
        <v>ianni miniotis </v>
      </c>
      <c r="F5097" s="3"/>
      <c r="G5097" s="3">
        <f>IFERROR(__xludf.DUMMYFUNCTION("""COMPUTED_VALUE"""),7.0593157E9)</f>
        <v>7059315700</v>
      </c>
      <c r="H5097" s="3"/>
    </row>
    <row r="5098">
      <c r="A5098" s="2">
        <f>IFERROR(__xludf.DUMMYFUNCTION("""COMPUTED_VALUE"""),63370.0)</f>
        <v>63370</v>
      </c>
      <c r="B5098" s="3" t="str">
        <f>IFERROR(__xludf.DUMMYFUNCTION("""COMPUTED_VALUE"""),"278 SOUTH SHORES RD  ")</f>
        <v>278 SOUTH SHORES RD  </v>
      </c>
      <c r="C5098" s="3" t="str">
        <f>IFERROR(__xludf.DUMMYFUNCTION("""COMPUTED_VALUE"""),"CAMPBELLFORD")</f>
        <v>CAMPBELLFORD</v>
      </c>
      <c r="D5098" s="3" t="str">
        <f>IFERROR(__xludf.DUMMYFUNCTION("""COMPUTED_VALUE"""),"K0L 1L0")</f>
        <v>K0L 1L0</v>
      </c>
      <c r="E5098" s="3" t="str">
        <f>IFERROR(__xludf.DUMMYFUNCTION("""COMPUTED_VALUE"""),"al ")</f>
        <v>al </v>
      </c>
      <c r="F5098" s="3"/>
      <c r="G5098" s="3">
        <f>IFERROR(__xludf.DUMMYFUNCTION("""COMPUTED_VALUE"""),4.164289738E9)</f>
        <v>4164289738</v>
      </c>
      <c r="H5098" s="3"/>
    </row>
    <row r="5099">
      <c r="A5099" s="2">
        <f>IFERROR(__xludf.DUMMYFUNCTION("""COMPUTED_VALUE"""),63371.0)</f>
        <v>63371</v>
      </c>
      <c r="B5099" s="3" t="str">
        <f>IFERROR(__xludf.DUMMYFUNCTION("""COMPUTED_VALUE"""),"280 SOUTH SHORES RD  ")</f>
        <v>280 SOUTH SHORES RD  </v>
      </c>
      <c r="C5099" s="3" t="str">
        <f>IFERROR(__xludf.DUMMYFUNCTION("""COMPUTED_VALUE"""),"CAMPBELLFORD")</f>
        <v>CAMPBELLFORD</v>
      </c>
      <c r="D5099" s="3" t="str">
        <f>IFERROR(__xludf.DUMMYFUNCTION("""COMPUTED_VALUE"""),"K0L 1L0")</f>
        <v>K0L 1L0</v>
      </c>
      <c r="E5099" s="3" t="str">
        <f>IFERROR(__xludf.DUMMYFUNCTION("""COMPUTED_VALUE"""),"David Turkovich")</f>
        <v>David Turkovich</v>
      </c>
      <c r="F5099" s="3" t="str">
        <f>IFERROR(__xludf.DUMMYFUNCTION("""COMPUTED_VALUE"""),"daveturkovich@gmail.com")</f>
        <v>daveturkovich@gmail.com</v>
      </c>
      <c r="G5099" s="3"/>
      <c r="H5099" s="3"/>
    </row>
    <row r="5100">
      <c r="A5100" s="2">
        <f>IFERROR(__xludf.DUMMYFUNCTION("""COMPUTED_VALUE"""),62711.0)</f>
        <v>62711</v>
      </c>
      <c r="B5100" s="3" t="str">
        <f>IFERROR(__xludf.DUMMYFUNCTION("""COMPUTED_VALUE"""),"32 NAPPAN ISLAND RD  ")</f>
        <v>32 NAPPAN ISLAND RD  </v>
      </c>
      <c r="C5100" s="3" t="str">
        <f>IFERROR(__xludf.DUMMYFUNCTION("""COMPUTED_VALUE"""),"CAMPBELLFORD")</f>
        <v>CAMPBELLFORD</v>
      </c>
      <c r="D5100" s="3" t="str">
        <f>IFERROR(__xludf.DUMMYFUNCTION("""COMPUTED_VALUE"""),"K0L 1L0")</f>
        <v>K0L 1L0</v>
      </c>
      <c r="E5100" s="3"/>
      <c r="F5100" s="3"/>
      <c r="G5100" s="3"/>
      <c r="H5100" s="3"/>
    </row>
    <row r="5101">
      <c r="A5101" s="2">
        <f>IFERROR(__xludf.DUMMYFUNCTION("""COMPUTED_VALUE"""),61682.0)</f>
        <v>61682</v>
      </c>
      <c r="B5101" s="3" t="str">
        <f>IFERROR(__xludf.DUMMYFUNCTION("""COMPUTED_VALUE"""),"221 DUNHAM RD  ")</f>
        <v>221 DUNHAM RD  </v>
      </c>
      <c r="C5101" s="3" t="str">
        <f>IFERROR(__xludf.DUMMYFUNCTION("""COMPUTED_VALUE"""),"CAMPBELLFORD")</f>
        <v>CAMPBELLFORD</v>
      </c>
      <c r="D5101" s="3" t="str">
        <f>IFERROR(__xludf.DUMMYFUNCTION("""COMPUTED_VALUE"""),"K0L 1L0")</f>
        <v>K0L 1L0</v>
      </c>
      <c r="E5101" s="3" t="str">
        <f>IFERROR(__xludf.DUMMYFUNCTION("""COMPUTED_VALUE"""),"hazel wright ")</f>
        <v>hazel wright </v>
      </c>
      <c r="F5101" s="3"/>
      <c r="G5101" s="3">
        <f>IFERROR(__xludf.DUMMYFUNCTION("""COMPUTED_VALUE"""),9.052595472E9)</f>
        <v>9052595472</v>
      </c>
      <c r="H5101" s="3">
        <f>IFERROR(__xludf.DUMMYFUNCTION("""COMPUTED_VALUE"""),9.052601999E9)</f>
        <v>9052601999</v>
      </c>
    </row>
    <row r="5102">
      <c r="A5102" s="2">
        <f>IFERROR(__xludf.DUMMYFUNCTION("""COMPUTED_VALUE"""),62598.0)</f>
        <v>62598</v>
      </c>
      <c r="B5102" s="3" t="str">
        <f>IFERROR(__xludf.DUMMYFUNCTION("""COMPUTED_VALUE"""),"135 MALCOLM RD  ")</f>
        <v>135 MALCOLM RD  </v>
      </c>
      <c r="C5102" s="3" t="str">
        <f>IFERROR(__xludf.DUMMYFUNCTION("""COMPUTED_VALUE"""),"HASTINGS")</f>
        <v>HASTINGS</v>
      </c>
      <c r="D5102" s="3" t="str">
        <f>IFERROR(__xludf.DUMMYFUNCTION("""COMPUTED_VALUE"""),"KOL 1Y0")</f>
        <v>KOL 1Y0</v>
      </c>
      <c r="E5102" s="3" t="str">
        <f>IFERROR(__xludf.DUMMYFUNCTION("""COMPUTED_VALUE"""),"Richard Thompson")</f>
        <v>Richard Thompson</v>
      </c>
      <c r="F5102" s="3" t="str">
        <f>IFERROR(__xludf.DUMMYFUNCTION("""COMPUTED_VALUE"""),"rthompson5611@gmail.com")</f>
        <v>rthompson5611@gmail.com</v>
      </c>
      <c r="G5102" s="3"/>
      <c r="H5102" s="3"/>
    </row>
    <row r="5103">
      <c r="A5103" s="2">
        <f>IFERROR(__xludf.DUMMYFUNCTION("""COMPUTED_VALUE"""),60064.0)</f>
        <v>60064</v>
      </c>
      <c r="B5103" s="3" t="str">
        <f>IFERROR(__xludf.DUMMYFUNCTION("""COMPUTED_VALUE"""),"1568 11TH LINE W")</f>
        <v>1568 11TH LINE W</v>
      </c>
      <c r="C5103" s="3" t="str">
        <f>IFERROR(__xludf.DUMMYFUNCTION("""COMPUTED_VALUE"""),"CAMPBELLFORD")</f>
        <v>CAMPBELLFORD</v>
      </c>
      <c r="D5103" s="3" t="str">
        <f>IFERROR(__xludf.DUMMYFUNCTION("""COMPUTED_VALUE"""),"K0L 1L0")</f>
        <v>K0L 1L0</v>
      </c>
      <c r="E5103" s="3" t="str">
        <f>IFERROR(__xludf.DUMMYFUNCTION("""COMPUTED_VALUE"""),"dave hiscox")</f>
        <v>dave hiscox</v>
      </c>
      <c r="F5103" s="3" t="str">
        <f>IFERROR(__xludf.DUMMYFUNCTION("""COMPUTED_VALUE"""),"dave@riverglenfarms.ca")</f>
        <v>dave@riverglenfarms.ca</v>
      </c>
      <c r="G5103" s="3">
        <f>IFERROR(__xludf.DUMMYFUNCTION("""COMPUTED_VALUE"""),7.05787581E9)</f>
        <v>7057875810</v>
      </c>
      <c r="H5103" s="3"/>
    </row>
    <row r="5104">
      <c r="A5104" s="2">
        <f>IFERROR(__xludf.DUMMYFUNCTION("""COMPUTED_VALUE"""),60065.0)</f>
        <v>60065</v>
      </c>
      <c r="B5104" s="3" t="str">
        <f>IFERROR(__xludf.DUMMYFUNCTION("""COMPUTED_VALUE"""),"1582 11TH LINE W")</f>
        <v>1582 11TH LINE W</v>
      </c>
      <c r="C5104" s="3" t="str">
        <f>IFERROR(__xludf.DUMMYFUNCTION("""COMPUTED_VALUE"""),"CAMPBELLFORD")</f>
        <v>CAMPBELLFORD</v>
      </c>
      <c r="D5104" s="3" t="str">
        <f>IFERROR(__xludf.DUMMYFUNCTION("""COMPUTED_VALUE"""),"K0L 1L0")</f>
        <v>K0L 1L0</v>
      </c>
      <c r="E5104" s="3" t="str">
        <f>IFERROR(__xludf.DUMMYFUNCTION("""COMPUTED_VALUE"""),"valerie kennedy")</f>
        <v>valerie kennedy</v>
      </c>
      <c r="F5104" s="3"/>
      <c r="G5104" s="3">
        <f>IFERROR(__xludf.DUMMYFUNCTION("""COMPUTED_VALUE"""),6.132925704E9)</f>
        <v>6132925704</v>
      </c>
      <c r="H5104" s="3"/>
    </row>
    <row r="5105">
      <c r="A5105" s="2">
        <f>IFERROR(__xludf.DUMMYFUNCTION("""COMPUTED_VALUE"""),60066.0)</f>
        <v>60066</v>
      </c>
      <c r="B5105" s="3" t="str">
        <f>IFERROR(__xludf.DUMMYFUNCTION("""COMPUTED_VALUE"""),"1652 11TH LINE W")</f>
        <v>1652 11TH LINE W</v>
      </c>
      <c r="C5105" s="3" t="str">
        <f>IFERROR(__xludf.DUMMYFUNCTION("""COMPUTED_VALUE"""),"CAMPBELLFORD")</f>
        <v>CAMPBELLFORD</v>
      </c>
      <c r="D5105" s="3" t="str">
        <f>IFERROR(__xludf.DUMMYFUNCTION("""COMPUTED_VALUE"""),"K0L 1L0")</f>
        <v>K0L 1L0</v>
      </c>
      <c r="E5105" s="3" t="str">
        <f>IFERROR(__xludf.DUMMYFUNCTION("""COMPUTED_VALUE"""),"Ron Peet")</f>
        <v>Ron Peet</v>
      </c>
      <c r="F5105" s="3" t="str">
        <f>IFERROR(__xludf.DUMMYFUNCTION("""COMPUTED_VALUE"""),"foxgels@nexicom.net")</f>
        <v>foxgels@nexicom.net</v>
      </c>
      <c r="G5105" s="3">
        <f>IFERROR(__xludf.DUMMYFUNCTION("""COMPUTED_VALUE"""),7.059302402E9)</f>
        <v>7059302402</v>
      </c>
      <c r="H5105" s="3"/>
    </row>
    <row r="5106">
      <c r="A5106" s="2">
        <f>IFERROR(__xludf.DUMMYFUNCTION("""COMPUTED_VALUE"""),60067.0)</f>
        <v>60067</v>
      </c>
      <c r="B5106" s="3" t="str">
        <f>IFERROR(__xludf.DUMMYFUNCTION("""COMPUTED_VALUE"""),"1685 11TH LINE W")</f>
        <v>1685 11TH LINE W</v>
      </c>
      <c r="C5106" s="3" t="str">
        <f>IFERROR(__xludf.DUMMYFUNCTION("""COMPUTED_VALUE"""),"CAMPBELLFORD")</f>
        <v>CAMPBELLFORD</v>
      </c>
      <c r="D5106" s="3" t="str">
        <f>IFERROR(__xludf.DUMMYFUNCTION("""COMPUTED_VALUE"""),"K0L 1L0")</f>
        <v>K0L 1L0</v>
      </c>
      <c r="E5106" s="3"/>
      <c r="F5106" s="3"/>
      <c r="G5106" s="3"/>
      <c r="H5106" s="3"/>
    </row>
    <row r="5107">
      <c r="A5107" s="2">
        <f>IFERROR(__xludf.DUMMYFUNCTION("""COMPUTED_VALUE"""),60068.0)</f>
        <v>60068</v>
      </c>
      <c r="B5107" s="3" t="str">
        <f>IFERROR(__xludf.DUMMYFUNCTION("""COMPUTED_VALUE"""),"1690 11TH LINE W")</f>
        <v>1690 11TH LINE W</v>
      </c>
      <c r="C5107" s="3" t="str">
        <f>IFERROR(__xludf.DUMMYFUNCTION("""COMPUTED_VALUE"""),"CAMPBELLFORD")</f>
        <v>CAMPBELLFORD</v>
      </c>
      <c r="D5107" s="3" t="str">
        <f>IFERROR(__xludf.DUMMYFUNCTION("""COMPUTED_VALUE"""),"K0L 1L0")</f>
        <v>K0L 1L0</v>
      </c>
      <c r="E5107" s="3" t="str">
        <f>IFERROR(__xludf.DUMMYFUNCTION("""COMPUTED_VALUE"""),"Jacqui Mack")</f>
        <v>Jacqui Mack</v>
      </c>
      <c r="F5107" s="3" t="str">
        <f>IFERROR(__xludf.DUMMYFUNCTION("""COMPUTED_VALUE"""),"mack.wj@outlook.com")</f>
        <v>mack.wj@outlook.com</v>
      </c>
      <c r="G5107" s="3">
        <f>IFERROR(__xludf.DUMMYFUNCTION("""COMPUTED_VALUE"""),7.059575517E9)</f>
        <v>7059575517</v>
      </c>
      <c r="H5107" s="3">
        <f>IFERROR(__xludf.DUMMYFUNCTION("""COMPUTED_VALUE"""),7.057680057E9)</f>
        <v>7057680057</v>
      </c>
    </row>
    <row r="5108">
      <c r="A5108" s="2">
        <f>IFERROR(__xludf.DUMMYFUNCTION("""COMPUTED_VALUE"""),63817.0)</f>
        <v>63817</v>
      </c>
      <c r="B5108" s="3" t="str">
        <f>IFERROR(__xludf.DUMMYFUNCTION("""COMPUTED_VALUE"""),"1702 11TH LINE W")</f>
        <v>1702 11TH LINE W</v>
      </c>
      <c r="C5108" s="3" t="str">
        <f>IFERROR(__xludf.DUMMYFUNCTION("""COMPUTED_VALUE"""),"CAMPBELLFORD")</f>
        <v>CAMPBELLFORD</v>
      </c>
      <c r="D5108" s="3" t="str">
        <f>IFERROR(__xludf.DUMMYFUNCTION("""COMPUTED_VALUE"""),"K0L 1L0")</f>
        <v>K0L 1L0</v>
      </c>
      <c r="E5108" s="3"/>
      <c r="F5108" s="3"/>
      <c r="G5108" s="3"/>
      <c r="H5108" s="3"/>
    </row>
    <row r="5109">
      <c r="A5109" s="2">
        <f>IFERROR(__xludf.DUMMYFUNCTION("""COMPUTED_VALUE"""),60069.0)</f>
        <v>60069</v>
      </c>
      <c r="B5109" s="3" t="str">
        <f>IFERROR(__xludf.DUMMYFUNCTION("""COMPUTED_VALUE"""),"1711 11TH LINE W")</f>
        <v>1711 11TH LINE W</v>
      </c>
      <c r="C5109" s="3" t="str">
        <f>IFERROR(__xludf.DUMMYFUNCTION("""COMPUTED_VALUE"""),"CAMPBELLFORD")</f>
        <v>CAMPBELLFORD</v>
      </c>
      <c r="D5109" s="3" t="str">
        <f>IFERROR(__xludf.DUMMYFUNCTION("""COMPUTED_VALUE"""),"K0L 1L0")</f>
        <v>K0L 1L0</v>
      </c>
      <c r="E5109" s="3" t="str">
        <f>IFERROR(__xludf.DUMMYFUNCTION("""COMPUTED_VALUE"""),"Bridget Redquest")</f>
        <v>Bridget Redquest</v>
      </c>
      <c r="F5109" s="3" t="str">
        <f>IFERROR(__xludf.DUMMYFUNCTION("""COMPUTED_VALUE"""),"bridgetredquest@trentu.ca")</f>
        <v>bridgetredquest@trentu.ca</v>
      </c>
      <c r="G5109" s="3"/>
      <c r="H5109" s="3"/>
    </row>
    <row r="5110">
      <c r="A5110" s="2">
        <f>IFERROR(__xludf.DUMMYFUNCTION("""COMPUTED_VALUE"""),60070.0)</f>
        <v>60070</v>
      </c>
      <c r="B5110" s="3" t="str">
        <f>IFERROR(__xludf.DUMMYFUNCTION("""COMPUTED_VALUE"""),"1721 11TH LINE W")</f>
        <v>1721 11TH LINE W</v>
      </c>
      <c r="C5110" s="3" t="str">
        <f>IFERROR(__xludf.DUMMYFUNCTION("""COMPUTED_VALUE"""),"CAMPBELLFORD")</f>
        <v>CAMPBELLFORD</v>
      </c>
      <c r="D5110" s="3" t="str">
        <f>IFERROR(__xludf.DUMMYFUNCTION("""COMPUTED_VALUE"""),"K0L 1L0")</f>
        <v>K0L 1L0</v>
      </c>
      <c r="E5110" s="3" t="str">
        <f>IFERROR(__xludf.DUMMYFUNCTION("""COMPUTED_VALUE"""),"carolyn and jeremy quinn ")</f>
        <v>carolyn and jeremy quinn </v>
      </c>
      <c r="F5110" s="3" t="str">
        <f>IFERROR(__xludf.DUMMYFUNCTION("""COMPUTED_VALUE"""),"carolynquinn535@gmail.com")</f>
        <v>carolynquinn535@gmail.com</v>
      </c>
      <c r="G5110" s="3">
        <f>IFERROR(__xludf.DUMMYFUNCTION("""COMPUTED_VALUE"""),7.056536523E9)</f>
        <v>7056536523</v>
      </c>
      <c r="H5110" s="3"/>
    </row>
    <row r="5111">
      <c r="A5111" s="2">
        <f>IFERROR(__xludf.DUMMYFUNCTION("""COMPUTED_VALUE"""),62348.0)</f>
        <v>62348</v>
      </c>
      <c r="B5111" s="3" t="str">
        <f>IFERROR(__xludf.DUMMYFUNCTION("""COMPUTED_VALUE"""),"901 IXL RD  ")</f>
        <v>901 IXL RD  </v>
      </c>
      <c r="C5111" s="3" t="str">
        <f>IFERROR(__xludf.DUMMYFUNCTION("""COMPUTED_VALUE"""),"CAMPBELLFORD")</f>
        <v>CAMPBELLFORD</v>
      </c>
      <c r="D5111" s="3" t="str">
        <f>IFERROR(__xludf.DUMMYFUNCTION("""COMPUTED_VALUE"""),"K0L 1L0")</f>
        <v>K0L 1L0</v>
      </c>
      <c r="E5111" s="3" t="str">
        <f>IFERROR(__xludf.DUMMYFUNCTION("""COMPUTED_VALUE"""),"Preston Simmons")</f>
        <v>Preston Simmons</v>
      </c>
      <c r="F5111" s="3" t="str">
        <f>IFERROR(__xludf.DUMMYFUNCTION("""COMPUTED_VALUE"""),"prestonsimmons@hotmail.com")</f>
        <v>prestonsimmons@hotmail.com</v>
      </c>
      <c r="G5111" s="3">
        <f>IFERROR(__xludf.DUMMYFUNCTION("""COMPUTED_VALUE"""),7.056329174E9)</f>
        <v>7056329174</v>
      </c>
      <c r="H5111" s="3"/>
    </row>
    <row r="5112">
      <c r="A5112" s="2">
        <f>IFERROR(__xludf.DUMMYFUNCTION("""COMPUTED_VALUE"""),62349.0)</f>
        <v>62349</v>
      </c>
      <c r="B5112" s="3" t="str">
        <f>IFERROR(__xludf.DUMMYFUNCTION("""COMPUTED_VALUE"""),"982 IXL RD  ")</f>
        <v>982 IXL RD  </v>
      </c>
      <c r="C5112" s="3" t="str">
        <f>IFERROR(__xludf.DUMMYFUNCTION("""COMPUTED_VALUE"""),"CAMPBELLFORD")</f>
        <v>CAMPBELLFORD</v>
      </c>
      <c r="D5112" s="3" t="str">
        <f>IFERROR(__xludf.DUMMYFUNCTION("""COMPUTED_VALUE"""),"K0L 1L0")</f>
        <v>K0L 1L0</v>
      </c>
      <c r="E5112" s="3" t="str">
        <f>IFERROR(__xludf.DUMMYFUNCTION("""COMPUTED_VALUE"""),"karen starczynowski")</f>
        <v>karen starczynowski</v>
      </c>
      <c r="F5112" s="3" t="str">
        <f>IFERROR(__xludf.DUMMYFUNCTION("""COMPUTED_VALUE"""),"kstar@hekru.net")</f>
        <v>kstar@hekru.net</v>
      </c>
      <c r="G5112" s="3">
        <f>IFERROR(__xludf.DUMMYFUNCTION("""COMPUTED_VALUE"""),7.056534979E9)</f>
        <v>7056534979</v>
      </c>
      <c r="H5112" s="3"/>
    </row>
    <row r="5113">
      <c r="A5113" s="2">
        <f>IFERROR(__xludf.DUMMYFUNCTION("""COMPUTED_VALUE"""),62350.0)</f>
        <v>62350</v>
      </c>
      <c r="B5113" s="3" t="str">
        <f>IFERROR(__xludf.DUMMYFUNCTION("""COMPUTED_VALUE"""),"1102 IXL RD  ")</f>
        <v>1102 IXL RD  </v>
      </c>
      <c r="C5113" s="3" t="str">
        <f>IFERROR(__xludf.DUMMYFUNCTION("""COMPUTED_VALUE"""),"CAMPBELLFORD")</f>
        <v>CAMPBELLFORD</v>
      </c>
      <c r="D5113" s="3" t="str">
        <f>IFERROR(__xludf.DUMMYFUNCTION("""COMPUTED_VALUE"""),"K0L 1L0")</f>
        <v>K0L 1L0</v>
      </c>
      <c r="E5113" s="3"/>
      <c r="F5113" s="3"/>
      <c r="G5113" s="3"/>
      <c r="H5113" s="3"/>
    </row>
    <row r="5114">
      <c r="A5114" s="2">
        <f>IFERROR(__xludf.DUMMYFUNCTION("""COMPUTED_VALUE"""),62351.0)</f>
        <v>62351</v>
      </c>
      <c r="B5114" s="3" t="str">
        <f>IFERROR(__xludf.DUMMYFUNCTION("""COMPUTED_VALUE"""),"1159 IXL RD  ")</f>
        <v>1159 IXL RD  </v>
      </c>
      <c r="C5114" s="3" t="str">
        <f>IFERROR(__xludf.DUMMYFUNCTION("""COMPUTED_VALUE"""),"CAMPBELLFORD")</f>
        <v>CAMPBELLFORD</v>
      </c>
      <c r="D5114" s="3" t="str">
        <f>IFERROR(__xludf.DUMMYFUNCTION("""COMPUTED_VALUE"""),"K0L 1L0")</f>
        <v>K0L 1L0</v>
      </c>
      <c r="E5114" s="3"/>
      <c r="F5114" s="3"/>
      <c r="G5114" s="3"/>
      <c r="H5114" s="3"/>
    </row>
    <row r="5115">
      <c r="A5115" s="2">
        <f>IFERROR(__xludf.DUMMYFUNCTION("""COMPUTED_VALUE"""),62352.0)</f>
        <v>62352</v>
      </c>
      <c r="B5115" s="3" t="str">
        <f>IFERROR(__xludf.DUMMYFUNCTION("""COMPUTED_VALUE"""),"1176 IXL RD  ")</f>
        <v>1176 IXL RD  </v>
      </c>
      <c r="C5115" s="3" t="str">
        <f>IFERROR(__xludf.DUMMYFUNCTION("""COMPUTED_VALUE"""),"CAMPBELLFORD")</f>
        <v>CAMPBELLFORD</v>
      </c>
      <c r="D5115" s="3" t="str">
        <f>IFERROR(__xludf.DUMMYFUNCTION("""COMPUTED_VALUE"""),"K0L 1L0")</f>
        <v>K0L 1L0</v>
      </c>
      <c r="E5115" s="3"/>
      <c r="F5115" s="3"/>
      <c r="G5115" s="3"/>
      <c r="H5115" s="3"/>
    </row>
    <row r="5116">
      <c r="A5116" s="2">
        <f>IFERROR(__xludf.DUMMYFUNCTION("""COMPUTED_VALUE"""),61680.0)</f>
        <v>61680</v>
      </c>
      <c r="B5116" s="3" t="str">
        <f>IFERROR(__xludf.DUMMYFUNCTION("""COMPUTED_VALUE"""),"73 DUNHAM RD  ")</f>
        <v>73 DUNHAM RD  </v>
      </c>
      <c r="C5116" s="3" t="str">
        <f>IFERROR(__xludf.DUMMYFUNCTION("""COMPUTED_VALUE"""),"CAMPBELLFORD")</f>
        <v>CAMPBELLFORD</v>
      </c>
      <c r="D5116" s="3" t="str">
        <f>IFERROR(__xludf.DUMMYFUNCTION("""COMPUTED_VALUE"""),"K0L 1L0")</f>
        <v>K0L 1L0</v>
      </c>
      <c r="E5116" s="3" t="str">
        <f>IFERROR(__xludf.DUMMYFUNCTION("""COMPUTED_VALUE"""),"Ronen Levshtein")</f>
        <v>Ronen Levshtein</v>
      </c>
      <c r="F5116" s="3" t="str">
        <f>IFERROR(__xludf.DUMMYFUNCTION("""COMPUTED_VALUE"""),"rlevshtein@gmail.com")</f>
        <v>rlevshtein@gmail.com</v>
      </c>
      <c r="G5116" s="3">
        <f>IFERROR(__xludf.DUMMYFUNCTION("""COMPUTED_VALUE"""),6.472095278E9)</f>
        <v>6472095278</v>
      </c>
      <c r="H5116" s="3">
        <f>IFERROR(__xludf.DUMMYFUNCTION("""COMPUTED_VALUE"""),4.168323092E9)</f>
        <v>4168323092</v>
      </c>
    </row>
    <row r="5117">
      <c r="A5117" s="2">
        <f>IFERROR(__xludf.DUMMYFUNCTION("""COMPUTED_VALUE"""),61681.0)</f>
        <v>61681</v>
      </c>
      <c r="B5117" s="3" t="str">
        <f>IFERROR(__xludf.DUMMYFUNCTION("""COMPUTED_VALUE"""),"76 DUNHAM RD  ")</f>
        <v>76 DUNHAM RD  </v>
      </c>
      <c r="C5117" s="3" t="str">
        <f>IFERROR(__xludf.DUMMYFUNCTION("""COMPUTED_VALUE"""),"CAMPBELLFORD")</f>
        <v>CAMPBELLFORD</v>
      </c>
      <c r="D5117" s="3" t="str">
        <f>IFERROR(__xludf.DUMMYFUNCTION("""COMPUTED_VALUE"""),"K0L 1L0")</f>
        <v>K0L 1L0</v>
      </c>
      <c r="E5117" s="3" t="str">
        <f>IFERROR(__xludf.DUMMYFUNCTION("""COMPUTED_VALUE"""),"don dunham")</f>
        <v>don dunham</v>
      </c>
      <c r="F5117" s="3"/>
      <c r="G5117" s="3">
        <f>IFERROR(__xludf.DUMMYFUNCTION("""COMPUTED_VALUE"""),7.056538234E9)</f>
        <v>7056538234</v>
      </c>
      <c r="H5117" s="3">
        <f>IFERROR(__xludf.DUMMYFUNCTION("""COMPUTED_VALUE"""),7.059314422E9)</f>
        <v>7059314422</v>
      </c>
    </row>
    <row r="5118">
      <c r="A5118" s="2">
        <f>IFERROR(__xludf.DUMMYFUNCTION("""COMPUTED_VALUE"""),60045.0)</f>
        <v>60045</v>
      </c>
      <c r="B5118" s="3" t="str">
        <f>IFERROR(__xludf.DUMMYFUNCTION("""COMPUTED_VALUE"""),"725 11TH LINE W")</f>
        <v>725 11TH LINE W</v>
      </c>
      <c r="C5118" s="3" t="str">
        <f>IFERROR(__xludf.DUMMYFUNCTION("""COMPUTED_VALUE"""),"HASTINGS")</f>
        <v>HASTINGS</v>
      </c>
      <c r="D5118" s="3" t="str">
        <f>IFERROR(__xludf.DUMMYFUNCTION("""COMPUTED_VALUE"""),"K0L 1Y0")</f>
        <v>K0L 1Y0</v>
      </c>
      <c r="E5118" s="3" t="str">
        <f>IFERROR(__xludf.DUMMYFUNCTION("""COMPUTED_VALUE"""),"ALEX KUSHNIR")</f>
        <v>ALEX KUSHNIR</v>
      </c>
      <c r="F5118" s="3" t="str">
        <f>IFERROR(__xludf.DUMMYFUNCTION("""COMPUTED_VALUE"""),"akushnir.4840@gmail.com")</f>
        <v>akushnir.4840@gmail.com</v>
      </c>
      <c r="G5118" s="3"/>
      <c r="H5118" s="3"/>
    </row>
    <row r="5119">
      <c r="A5119" s="2">
        <f>IFERROR(__xludf.DUMMYFUNCTION("""COMPUTED_VALUE"""),60046.0)</f>
        <v>60046</v>
      </c>
      <c r="B5119" s="3" t="str">
        <f>IFERROR(__xludf.DUMMYFUNCTION("""COMPUTED_VALUE"""),"729 11TH LINE W")</f>
        <v>729 11TH LINE W</v>
      </c>
      <c r="C5119" s="3" t="str">
        <f>IFERROR(__xludf.DUMMYFUNCTION("""COMPUTED_VALUE"""),"HASTINGS")</f>
        <v>HASTINGS</v>
      </c>
      <c r="D5119" s="3" t="str">
        <f>IFERROR(__xludf.DUMMYFUNCTION("""COMPUTED_VALUE"""),"K0L 1Y0")</f>
        <v>K0L 1Y0</v>
      </c>
      <c r="E5119" s="3" t="str">
        <f>IFERROR(__xludf.DUMMYFUNCTION("""COMPUTED_VALUE"""),"KEITH GILLISON")</f>
        <v>KEITH GILLISON</v>
      </c>
      <c r="F5119" s="3" t="str">
        <f>IFERROR(__xludf.DUMMYFUNCTION("""COMPUTED_VALUE"""),"k.gillison@hotmail.ca")</f>
        <v>k.gillison@hotmail.ca</v>
      </c>
      <c r="G5119" s="3"/>
      <c r="H5119" s="3"/>
    </row>
    <row r="5120">
      <c r="A5120" s="2">
        <f>IFERROR(__xludf.DUMMYFUNCTION("""COMPUTED_VALUE"""),60047.0)</f>
        <v>60047</v>
      </c>
      <c r="B5120" s="3" t="str">
        <f>IFERROR(__xludf.DUMMYFUNCTION("""COMPUTED_VALUE"""),"739 11TH LINE W")</f>
        <v>739 11TH LINE W</v>
      </c>
      <c r="C5120" s="3" t="str">
        <f>IFERROR(__xludf.DUMMYFUNCTION("""COMPUTED_VALUE"""),"HASTINGS")</f>
        <v>HASTINGS</v>
      </c>
      <c r="D5120" s="3" t="str">
        <f>IFERROR(__xludf.DUMMYFUNCTION("""COMPUTED_VALUE"""),"K0L 1Y0")</f>
        <v>K0L 1Y0</v>
      </c>
      <c r="E5120" s="3" t="str">
        <f>IFERROR(__xludf.DUMMYFUNCTION("""COMPUTED_VALUE"""),"jo vanattan")</f>
        <v>jo vanattan</v>
      </c>
      <c r="F5120" s="3"/>
      <c r="G5120" s="3">
        <f>IFERROR(__xludf.DUMMYFUNCTION("""COMPUTED_VALUE"""),6.13395253E9)</f>
        <v>6133952530</v>
      </c>
      <c r="H5120" s="3"/>
    </row>
    <row r="5121">
      <c r="A5121" s="2">
        <f>IFERROR(__xludf.DUMMYFUNCTION("""COMPUTED_VALUE"""),60048.0)</f>
        <v>60048</v>
      </c>
      <c r="B5121" s="3" t="str">
        <f>IFERROR(__xludf.DUMMYFUNCTION("""COMPUTED_VALUE"""),"826 11TH LINE W")</f>
        <v>826 11TH LINE W</v>
      </c>
      <c r="C5121" s="3" t="str">
        <f>IFERROR(__xludf.DUMMYFUNCTION("""COMPUTED_VALUE"""),"HASTINGS")</f>
        <v>HASTINGS</v>
      </c>
      <c r="D5121" s="3" t="str">
        <f>IFERROR(__xludf.DUMMYFUNCTION("""COMPUTED_VALUE"""),"K0L 1Y0")</f>
        <v>K0L 1Y0</v>
      </c>
      <c r="E5121" s="3" t="str">
        <f>IFERROR(__xludf.DUMMYFUNCTION("""COMPUTED_VALUE"""),"Paul Allen Joss")</f>
        <v>Paul Allen Joss</v>
      </c>
      <c r="F5121" s="3" t="str">
        <f>IFERROR(__xludf.DUMMYFUNCTION("""COMPUTED_VALUE"""),"wildernessretreatbandb@gmail.com")</f>
        <v>wildernessretreatbandb@gmail.com</v>
      </c>
      <c r="G5121" s="3">
        <f>IFERROR(__xludf.DUMMYFUNCTION("""COMPUTED_VALUE"""),7.056537703E9)</f>
        <v>7056537703</v>
      </c>
      <c r="H5121" s="3"/>
    </row>
    <row r="5122">
      <c r="A5122" s="2">
        <f>IFERROR(__xludf.DUMMYFUNCTION("""COMPUTED_VALUE"""),60014.0)</f>
        <v>60014</v>
      </c>
      <c r="B5122" s="3" t="str">
        <f>IFERROR(__xludf.DUMMYFUNCTION("""COMPUTED_VALUE"""),"1498 10TH LINE W")</f>
        <v>1498 10TH LINE W</v>
      </c>
      <c r="C5122" s="3" t="str">
        <f>IFERROR(__xludf.DUMMYFUNCTION("""COMPUTED_VALUE"""),"CAMPBELLFORD")</f>
        <v>CAMPBELLFORD</v>
      </c>
      <c r="D5122" s="3" t="str">
        <f>IFERROR(__xludf.DUMMYFUNCTION("""COMPUTED_VALUE"""),"K0L 1L0")</f>
        <v>K0L 1L0</v>
      </c>
      <c r="E5122" s="3"/>
      <c r="F5122" s="3"/>
      <c r="G5122" s="3"/>
      <c r="H5122" s="3"/>
    </row>
    <row r="5123">
      <c r="A5123" s="2">
        <f>IFERROR(__xludf.DUMMYFUNCTION("""COMPUTED_VALUE"""),60015.0)</f>
        <v>60015</v>
      </c>
      <c r="B5123" s="3" t="str">
        <f>IFERROR(__xludf.DUMMYFUNCTION("""COMPUTED_VALUE"""),"1527 10TH LINE W")</f>
        <v>1527 10TH LINE W</v>
      </c>
      <c r="C5123" s="3" t="str">
        <f>IFERROR(__xludf.DUMMYFUNCTION("""COMPUTED_VALUE"""),"CAMPBELLFORD")</f>
        <v>CAMPBELLFORD</v>
      </c>
      <c r="D5123" s="3" t="str">
        <f>IFERROR(__xludf.DUMMYFUNCTION("""COMPUTED_VALUE"""),"K0L 1L0")</f>
        <v>K0L 1L0</v>
      </c>
      <c r="E5123" s="3"/>
      <c r="F5123" s="3"/>
      <c r="G5123" s="3"/>
      <c r="H5123" s="3"/>
    </row>
    <row r="5124">
      <c r="A5124" s="2">
        <f>IFERROR(__xludf.DUMMYFUNCTION("""COMPUTED_VALUE"""),60016.0)</f>
        <v>60016</v>
      </c>
      <c r="B5124" s="3" t="str">
        <f>IFERROR(__xludf.DUMMYFUNCTION("""COMPUTED_VALUE"""),"1530 10TH LINE W")</f>
        <v>1530 10TH LINE W</v>
      </c>
      <c r="C5124" s="3" t="str">
        <f>IFERROR(__xludf.DUMMYFUNCTION("""COMPUTED_VALUE"""),"CAMPBELLFORD")</f>
        <v>CAMPBELLFORD</v>
      </c>
      <c r="D5124" s="3" t="str">
        <f>IFERROR(__xludf.DUMMYFUNCTION("""COMPUTED_VALUE"""),"K0L 1L0")</f>
        <v>K0L 1L0</v>
      </c>
      <c r="E5124" s="3"/>
      <c r="F5124" s="3"/>
      <c r="G5124" s="3"/>
      <c r="H5124" s="3"/>
    </row>
    <row r="5125">
      <c r="A5125" s="2">
        <f>IFERROR(__xludf.DUMMYFUNCTION("""COMPUTED_VALUE"""),60017.0)</f>
        <v>60017</v>
      </c>
      <c r="B5125" s="3" t="str">
        <f>IFERROR(__xludf.DUMMYFUNCTION("""COMPUTED_VALUE"""),"1695 10TH LINE W")</f>
        <v>1695 10TH LINE W</v>
      </c>
      <c r="C5125" s="3" t="str">
        <f>IFERROR(__xludf.DUMMYFUNCTION("""COMPUTED_VALUE"""),"CAMPBELLFORD")</f>
        <v>CAMPBELLFORD</v>
      </c>
      <c r="D5125" s="3" t="str">
        <f>IFERROR(__xludf.DUMMYFUNCTION("""COMPUTED_VALUE"""),"K0L 1L0")</f>
        <v>K0L 1L0</v>
      </c>
      <c r="E5125" s="3"/>
      <c r="F5125" s="3"/>
      <c r="G5125" s="3"/>
      <c r="H5125" s="3"/>
    </row>
    <row r="5126">
      <c r="A5126" s="2">
        <f>IFERROR(__xludf.DUMMYFUNCTION("""COMPUTED_VALUE"""),60018.0)</f>
        <v>60018</v>
      </c>
      <c r="B5126" s="3" t="str">
        <f>IFERROR(__xludf.DUMMYFUNCTION("""COMPUTED_VALUE"""),"1765 10TH LINE W")</f>
        <v>1765 10TH LINE W</v>
      </c>
      <c r="C5126" s="3" t="str">
        <f>IFERROR(__xludf.DUMMYFUNCTION("""COMPUTED_VALUE"""),"CAMPBELLFORD")</f>
        <v>CAMPBELLFORD</v>
      </c>
      <c r="D5126" s="3" t="str">
        <f>IFERROR(__xludf.DUMMYFUNCTION("""COMPUTED_VALUE"""),"K0L 1L0")</f>
        <v>K0L 1L0</v>
      </c>
      <c r="E5126" s="3"/>
      <c r="F5126" s="3"/>
      <c r="G5126" s="3"/>
      <c r="H5126" s="3"/>
    </row>
    <row r="5127">
      <c r="A5127" s="2">
        <f>IFERROR(__xludf.DUMMYFUNCTION("""COMPUTED_VALUE"""),60019.0)</f>
        <v>60019</v>
      </c>
      <c r="B5127" s="3" t="str">
        <f>IFERROR(__xludf.DUMMYFUNCTION("""COMPUTED_VALUE"""),"1827 10TH LINE W")</f>
        <v>1827 10TH LINE W</v>
      </c>
      <c r="C5127" s="3" t="str">
        <f>IFERROR(__xludf.DUMMYFUNCTION("""COMPUTED_VALUE"""),"CAMPBELLFORD")</f>
        <v>CAMPBELLFORD</v>
      </c>
      <c r="D5127" s="3" t="str">
        <f>IFERROR(__xludf.DUMMYFUNCTION("""COMPUTED_VALUE"""),"K0L 1L0")</f>
        <v>K0L 1L0</v>
      </c>
      <c r="E5127" s="3" t="str">
        <f>IFERROR(__xludf.DUMMYFUNCTION("""COMPUTED_VALUE"""),"Gabriele Wallis")</f>
        <v>Gabriele Wallis</v>
      </c>
      <c r="F5127" s="3" t="str">
        <f>IFERROR(__xludf.DUMMYFUNCTION("""COMPUTED_VALUE"""),"gabew2011@gmail.com")</f>
        <v>gabew2011@gmail.com</v>
      </c>
      <c r="G5127" s="3">
        <f>IFERROR(__xludf.DUMMYFUNCTION("""COMPUTED_VALUE"""),7.055598222E9)</f>
        <v>7055598222</v>
      </c>
      <c r="H5127" s="3"/>
    </row>
    <row r="5128">
      <c r="A5128" s="2">
        <f>IFERROR(__xludf.DUMMYFUNCTION("""COMPUTED_VALUE"""),60020.0)</f>
        <v>60020</v>
      </c>
      <c r="B5128" s="3" t="str">
        <f>IFERROR(__xludf.DUMMYFUNCTION("""COMPUTED_VALUE"""),"1834 10TH LINE W")</f>
        <v>1834 10TH LINE W</v>
      </c>
      <c r="C5128" s="3" t="str">
        <f>IFERROR(__xludf.DUMMYFUNCTION("""COMPUTED_VALUE"""),"CAMPBELLFORD")</f>
        <v>CAMPBELLFORD</v>
      </c>
      <c r="D5128" s="3" t="str">
        <f>IFERROR(__xludf.DUMMYFUNCTION("""COMPUTED_VALUE"""),"K0L 1L0")</f>
        <v>K0L 1L0</v>
      </c>
      <c r="E5128" s="3"/>
      <c r="F5128" s="3"/>
      <c r="G5128" s="3"/>
      <c r="H5128" s="3"/>
    </row>
    <row r="5129">
      <c r="A5129" s="2">
        <f>IFERROR(__xludf.DUMMYFUNCTION("""COMPUTED_VALUE"""),63045.0)</f>
        <v>63045</v>
      </c>
      <c r="B5129" s="3" t="str">
        <f>IFERROR(__xludf.DUMMYFUNCTION("""COMPUTED_VALUE"""),"29 PICKENS RD  ")</f>
        <v>29 PICKENS RD  </v>
      </c>
      <c r="C5129" s="3" t="str">
        <f>IFERROR(__xludf.DUMMYFUNCTION("""COMPUTED_VALUE"""),"HASTINGS")</f>
        <v>HASTINGS</v>
      </c>
      <c r="D5129" s="3" t="str">
        <f>IFERROR(__xludf.DUMMYFUNCTION("""COMPUTED_VALUE"""),"K0L 1Y0")</f>
        <v>K0L 1Y0</v>
      </c>
      <c r="E5129" s="3"/>
      <c r="F5129" s="3"/>
      <c r="G5129" s="3"/>
      <c r="H5129" s="3"/>
    </row>
    <row r="5130">
      <c r="A5130" s="2">
        <f>IFERROR(__xludf.DUMMYFUNCTION("""COMPUTED_VALUE"""),63046.0)</f>
        <v>63046</v>
      </c>
      <c r="B5130" s="3" t="str">
        <f>IFERROR(__xludf.DUMMYFUNCTION("""COMPUTED_VALUE"""),"55 PICKENS RD  Unit A")</f>
        <v>55 PICKENS RD  Unit A</v>
      </c>
      <c r="C5130" s="3" t="str">
        <f>IFERROR(__xludf.DUMMYFUNCTION("""COMPUTED_VALUE"""),"HASTINGS")</f>
        <v>HASTINGS</v>
      </c>
      <c r="D5130" s="3" t="str">
        <f>IFERROR(__xludf.DUMMYFUNCTION("""COMPUTED_VALUE"""),"K0L 1Y0")</f>
        <v>K0L 1Y0</v>
      </c>
      <c r="E5130" s="3"/>
      <c r="F5130" s="3"/>
      <c r="G5130" s="3"/>
      <c r="H5130" s="3"/>
    </row>
    <row r="5131">
      <c r="A5131" s="2">
        <f>IFERROR(__xludf.DUMMYFUNCTION("""COMPUTED_VALUE"""),63818.0)</f>
        <v>63818</v>
      </c>
      <c r="B5131" s="3" t="str">
        <f>IFERROR(__xludf.DUMMYFUNCTION("""COMPUTED_VALUE"""),"55 PICKENS RD  Unit B")</f>
        <v>55 PICKENS RD  Unit B</v>
      </c>
      <c r="C5131" s="3" t="str">
        <f>IFERROR(__xludf.DUMMYFUNCTION("""COMPUTED_VALUE"""),"HASTINGS")</f>
        <v>HASTINGS</v>
      </c>
      <c r="D5131" s="3" t="str">
        <f>IFERROR(__xludf.DUMMYFUNCTION("""COMPUTED_VALUE"""),"K0L 1Y0")</f>
        <v>K0L 1Y0</v>
      </c>
      <c r="E5131" s="3"/>
      <c r="F5131" s="3"/>
      <c r="G5131" s="3"/>
      <c r="H5131" s="3"/>
    </row>
    <row r="5132">
      <c r="A5132" s="2">
        <f>IFERROR(__xludf.DUMMYFUNCTION("""COMPUTED_VALUE"""),61740.0)</f>
        <v>61740</v>
      </c>
      <c r="B5132" s="3" t="str">
        <f>IFERROR(__xludf.DUMMYFUNCTION("""COMPUTED_VALUE"""),"29 FRIENDLY ACRES RD  ")</f>
        <v>29 FRIENDLY ACRES RD  </v>
      </c>
      <c r="C5132" s="3" t="str">
        <f>IFERROR(__xludf.DUMMYFUNCTION("""COMPUTED_VALUE"""),"HASTINGS")</f>
        <v>HASTINGS</v>
      </c>
      <c r="D5132" s="3" t="str">
        <f>IFERROR(__xludf.DUMMYFUNCTION("""COMPUTED_VALUE"""),"K0L 1Y0")</f>
        <v>K0L 1Y0</v>
      </c>
      <c r="E5132" s="3" t="str">
        <f>IFERROR(__xludf.DUMMYFUNCTION("""COMPUTED_VALUE"""),"Julie Andras")</f>
        <v>Julie Andras</v>
      </c>
      <c r="F5132" s="3" t="str">
        <f>IFERROR(__xludf.DUMMYFUNCTION("""COMPUTED_VALUE"""),"julie.andras@gmail.com")</f>
        <v>julie.andras@gmail.com</v>
      </c>
      <c r="G5132" s="3">
        <f>IFERROR(__xludf.DUMMYFUNCTION("""COMPUTED_VALUE"""),7.053413909E9)</f>
        <v>7053413909</v>
      </c>
      <c r="H5132" s="3">
        <f>IFERROR(__xludf.DUMMYFUNCTION("""COMPUTED_VALUE"""),7.057728295E9)</f>
        <v>7057728295</v>
      </c>
    </row>
    <row r="5133">
      <c r="A5133" s="2">
        <f>IFERROR(__xludf.DUMMYFUNCTION("""COMPUTED_VALUE"""),61741.0)</f>
        <v>61741</v>
      </c>
      <c r="B5133" s="3" t="str">
        <f>IFERROR(__xludf.DUMMYFUNCTION("""COMPUTED_VALUE"""),"48 FRIENDLY ACRES RD  ")</f>
        <v>48 FRIENDLY ACRES RD  </v>
      </c>
      <c r="C5133" s="3" t="str">
        <f>IFERROR(__xludf.DUMMYFUNCTION("""COMPUTED_VALUE"""),"HASTINGS")</f>
        <v>HASTINGS</v>
      </c>
      <c r="D5133" s="3" t="str">
        <f>IFERROR(__xludf.DUMMYFUNCTION("""COMPUTED_VALUE"""),"K0L 1Y0")</f>
        <v>K0L 1Y0</v>
      </c>
      <c r="E5133" s="3" t="str">
        <f>IFERROR(__xludf.DUMMYFUNCTION("""COMPUTED_VALUE"""),"jim geddes ")</f>
        <v>jim geddes </v>
      </c>
      <c r="F5133" s="3" t="str">
        <f>IFERROR(__xludf.DUMMYFUNCTION("""COMPUTED_VALUE"""),"jimgeddes@hotmail.com")</f>
        <v>jimgeddes@hotmail.com</v>
      </c>
      <c r="G5133" s="3">
        <f>IFERROR(__xludf.DUMMYFUNCTION("""COMPUTED_VALUE"""),7.066537475E9)</f>
        <v>7066537475</v>
      </c>
      <c r="H5133" s="3"/>
    </row>
    <row r="5134">
      <c r="A5134" s="2">
        <f>IFERROR(__xludf.DUMMYFUNCTION("""COMPUTED_VALUE"""),61742.0)</f>
        <v>61742</v>
      </c>
      <c r="B5134" s="3" t="str">
        <f>IFERROR(__xludf.DUMMYFUNCTION("""COMPUTED_VALUE"""),"54 FRIENDLY ACRES RD  ")</f>
        <v>54 FRIENDLY ACRES RD  </v>
      </c>
      <c r="C5134" s="3" t="str">
        <f>IFERROR(__xludf.DUMMYFUNCTION("""COMPUTED_VALUE"""),"HASTINGS")</f>
        <v>HASTINGS</v>
      </c>
      <c r="D5134" s="3" t="str">
        <f>IFERROR(__xludf.DUMMYFUNCTION("""COMPUTED_VALUE"""),"K0L 1Y0")</f>
        <v>K0L 1Y0</v>
      </c>
      <c r="E5134" s="3" t="str">
        <f>IFERROR(__xludf.DUMMYFUNCTION("""COMPUTED_VALUE"""),"Matthew McConnell")</f>
        <v>Matthew McConnell</v>
      </c>
      <c r="F5134" s="3" t="str">
        <f>IFERROR(__xludf.DUMMYFUNCTION("""COMPUTED_VALUE"""),"matt_mcconnell_09@hotmail.com")</f>
        <v>matt_mcconnell_09@hotmail.com</v>
      </c>
      <c r="G5134" s="3">
        <f>IFERROR(__xludf.DUMMYFUNCTION("""COMPUTED_VALUE"""),7.057404843E9)</f>
        <v>7057404843</v>
      </c>
      <c r="H5134" s="3"/>
    </row>
    <row r="5135">
      <c r="A5135" s="2">
        <f>IFERROR(__xludf.DUMMYFUNCTION("""COMPUTED_VALUE"""),61743.0)</f>
        <v>61743</v>
      </c>
      <c r="B5135" s="3" t="str">
        <f>IFERROR(__xludf.DUMMYFUNCTION("""COMPUTED_VALUE"""),"71 FRIENDLY ACRES RD  ")</f>
        <v>71 FRIENDLY ACRES RD  </v>
      </c>
      <c r="C5135" s="3" t="str">
        <f>IFERROR(__xludf.DUMMYFUNCTION("""COMPUTED_VALUE"""),"HASTINGS")</f>
        <v>HASTINGS</v>
      </c>
      <c r="D5135" s="3" t="str">
        <f>IFERROR(__xludf.DUMMYFUNCTION("""COMPUTED_VALUE"""),"K0L 1Y0")</f>
        <v>K0L 1Y0</v>
      </c>
      <c r="E5135" s="3" t="str">
        <f>IFERROR(__xludf.DUMMYFUNCTION("""COMPUTED_VALUE"""),"steve&amp;tammy mcconnell")</f>
        <v>steve&amp;tammy mcconnell</v>
      </c>
      <c r="F5135" s="3" t="str">
        <f>IFERROR(__xludf.DUMMYFUNCTION("""COMPUTED_VALUE"""),"mcconell4@xplornet.ca")</f>
        <v>mcconell4@xplornet.ca</v>
      </c>
      <c r="G5135" s="3">
        <f>IFERROR(__xludf.DUMMYFUNCTION("""COMPUTED_VALUE"""),7.056963723E9)</f>
        <v>7056963723</v>
      </c>
      <c r="H5135" s="3">
        <f>IFERROR(__xludf.DUMMYFUNCTION("""COMPUTED_VALUE"""),7.056329052E9)</f>
        <v>7056329052</v>
      </c>
    </row>
    <row r="5136">
      <c r="A5136" s="2">
        <f>IFERROR(__xludf.DUMMYFUNCTION("""COMPUTED_VALUE"""),61744.0)</f>
        <v>61744</v>
      </c>
      <c r="B5136" s="3" t="str">
        <f>IFERROR(__xludf.DUMMYFUNCTION("""COMPUTED_VALUE"""),"84 FRIENDLY ACRES RD  ")</f>
        <v>84 FRIENDLY ACRES RD  </v>
      </c>
      <c r="C5136" s="3" t="str">
        <f>IFERROR(__xludf.DUMMYFUNCTION("""COMPUTED_VALUE"""),"HASTINGS")</f>
        <v>HASTINGS</v>
      </c>
      <c r="D5136" s="3" t="str">
        <f>IFERROR(__xludf.DUMMYFUNCTION("""COMPUTED_VALUE"""),"K0L 1Y0")</f>
        <v>K0L 1Y0</v>
      </c>
      <c r="E5136" s="3" t="str">
        <f>IFERROR(__xludf.DUMMYFUNCTION("""COMPUTED_VALUE"""),"Abby Reynolds")</f>
        <v>Abby Reynolds</v>
      </c>
      <c r="F5136" s="3" t="str">
        <f>IFERROR(__xludf.DUMMYFUNCTION("""COMPUTED_VALUE"""),"abby.r.r.28@gmail.com")</f>
        <v>abby.r.r.28@gmail.com</v>
      </c>
      <c r="G5136" s="3">
        <f>IFERROR(__xludf.DUMMYFUNCTION("""COMPUTED_VALUE"""),7.055599873E9)</f>
        <v>7055599873</v>
      </c>
      <c r="H5136" s="3">
        <f>IFERROR(__xludf.DUMMYFUNCTION("""COMPUTED_VALUE"""),7.056536595E9)</f>
        <v>7056536595</v>
      </c>
    </row>
    <row r="5137">
      <c r="A5137" s="2">
        <f>IFERROR(__xludf.DUMMYFUNCTION("""COMPUTED_VALUE"""),61745.0)</f>
        <v>61745</v>
      </c>
      <c r="B5137" s="3" t="str">
        <f>IFERROR(__xludf.DUMMYFUNCTION("""COMPUTED_VALUE"""),"104 FRIENDLY ACRES RD  ")</f>
        <v>104 FRIENDLY ACRES RD  </v>
      </c>
      <c r="C5137" s="3" t="str">
        <f>IFERROR(__xludf.DUMMYFUNCTION("""COMPUTED_VALUE"""),"HASTINGS")</f>
        <v>HASTINGS</v>
      </c>
      <c r="D5137" s="3" t="str">
        <f>IFERROR(__xludf.DUMMYFUNCTION("""COMPUTED_VALUE"""),"K0L 1Y0")</f>
        <v>K0L 1Y0</v>
      </c>
      <c r="E5137" s="3" t="str">
        <f>IFERROR(__xludf.DUMMYFUNCTION("""COMPUTED_VALUE"""),"Kathryn &amp; Larry McConnell")</f>
        <v>Kathryn &amp; Larry McConnell</v>
      </c>
      <c r="F5137" s="3" t="str">
        <f>IFERROR(__xludf.DUMMYFUNCTION("""COMPUTED_VALUE"""),"kathryn52@xplornet.ca")</f>
        <v>kathryn52@xplornet.ca</v>
      </c>
      <c r="G5137" s="3">
        <f>IFERROR(__xludf.DUMMYFUNCTION("""COMPUTED_VALUE"""),7.056962166E9)</f>
        <v>7056962166</v>
      </c>
      <c r="H5137" s="3">
        <f>IFERROR(__xludf.DUMMYFUNCTION("""COMPUTED_VALUE"""),7.059771223E9)</f>
        <v>7059771223</v>
      </c>
    </row>
    <row r="5138">
      <c r="A5138" s="2">
        <f>IFERROR(__xludf.DUMMYFUNCTION("""COMPUTED_VALUE"""),61746.0)</f>
        <v>61746</v>
      </c>
      <c r="B5138" s="3" t="str">
        <f>IFERROR(__xludf.DUMMYFUNCTION("""COMPUTED_VALUE"""),"118 FRIENDLY ACRES RD  ")</f>
        <v>118 FRIENDLY ACRES RD  </v>
      </c>
      <c r="C5138" s="3" t="str">
        <f>IFERROR(__xludf.DUMMYFUNCTION("""COMPUTED_VALUE"""),"HASTINGS")</f>
        <v>HASTINGS</v>
      </c>
      <c r="D5138" s="3" t="str">
        <f>IFERROR(__xludf.DUMMYFUNCTION("""COMPUTED_VALUE"""),"K0L 1Y0")</f>
        <v>K0L 1Y0</v>
      </c>
      <c r="E5138" s="3" t="str">
        <f>IFERROR(__xludf.DUMMYFUNCTION("""COMPUTED_VALUE"""),"Ian and Nanci Thomson")</f>
        <v>Ian and Nanci Thomson</v>
      </c>
      <c r="F5138" s="3" t="str">
        <f>IFERROR(__xludf.DUMMYFUNCTION("""COMPUTED_VALUE"""),"thomsonfamily1@hotmail.com")</f>
        <v>thomsonfamily1@hotmail.com</v>
      </c>
      <c r="G5138" s="3"/>
      <c r="H5138" s="3"/>
    </row>
    <row r="5139">
      <c r="A5139" s="2">
        <f>IFERROR(__xludf.DUMMYFUNCTION("""COMPUTED_VALUE"""),61747.0)</f>
        <v>61747</v>
      </c>
      <c r="B5139" s="3" t="str">
        <f>IFERROR(__xludf.DUMMYFUNCTION("""COMPUTED_VALUE"""),"121 FRIENDLY ACRES RD  ")</f>
        <v>121 FRIENDLY ACRES RD  </v>
      </c>
      <c r="C5139" s="3" t="str">
        <f>IFERROR(__xludf.DUMMYFUNCTION("""COMPUTED_VALUE"""),"HASTINGS")</f>
        <v>HASTINGS</v>
      </c>
      <c r="D5139" s="3" t="str">
        <f>IFERROR(__xludf.DUMMYFUNCTION("""COMPUTED_VALUE"""),"K0L 1Y0")</f>
        <v>K0L 1Y0</v>
      </c>
      <c r="E5139" s="3" t="str">
        <f>IFERROR(__xludf.DUMMYFUNCTION("""COMPUTED_VALUE"""),"Blair Sheppard")</f>
        <v>Blair Sheppard</v>
      </c>
      <c r="F5139" s="3" t="str">
        <f>IFERROR(__xludf.DUMMYFUNCTION("""COMPUTED_VALUE"""),"skinny_791@hotmail.com")</f>
        <v>skinny_791@hotmail.com</v>
      </c>
      <c r="G5139" s="3">
        <f>IFERROR(__xludf.DUMMYFUNCTION("""COMPUTED_VALUE"""),7.056329151E9)</f>
        <v>7056329151</v>
      </c>
      <c r="H5139" s="3"/>
    </row>
    <row r="5140">
      <c r="A5140" s="2">
        <f>IFERROR(__xludf.DUMMYFUNCTION("""COMPUTED_VALUE"""),61748.0)</f>
        <v>61748</v>
      </c>
      <c r="B5140" s="3" t="str">
        <f>IFERROR(__xludf.DUMMYFUNCTION("""COMPUTED_VALUE"""),"124 FRIENDLY ACRES RD  ")</f>
        <v>124 FRIENDLY ACRES RD  </v>
      </c>
      <c r="C5140" s="3" t="str">
        <f>IFERROR(__xludf.DUMMYFUNCTION("""COMPUTED_VALUE"""),"HASTINGS")</f>
        <v>HASTINGS</v>
      </c>
      <c r="D5140" s="3" t="str">
        <f>IFERROR(__xludf.DUMMYFUNCTION("""COMPUTED_VALUE"""),"K0L 1Y0")</f>
        <v>K0L 1Y0</v>
      </c>
      <c r="E5140" s="3" t="str">
        <f>IFERROR(__xludf.DUMMYFUNCTION("""COMPUTED_VALUE"""),"Kevin Barry")</f>
        <v>Kevin Barry</v>
      </c>
      <c r="F5140" s="3" t="str">
        <f>IFERROR(__xludf.DUMMYFUNCTION("""COMPUTED_VALUE"""),"kevinbarry96@gmail.com")</f>
        <v>kevinbarry96@gmail.com</v>
      </c>
      <c r="G5140" s="3">
        <f>IFERROR(__xludf.DUMMYFUNCTION("""COMPUTED_VALUE"""),7.058688105E9)</f>
        <v>7058688105</v>
      </c>
      <c r="H5140" s="3">
        <f>IFERROR(__xludf.DUMMYFUNCTION("""COMPUTED_VALUE"""),7.058681369E9)</f>
        <v>7058681369</v>
      </c>
    </row>
    <row r="5141">
      <c r="A5141" s="2">
        <f>IFERROR(__xludf.DUMMYFUNCTION("""COMPUTED_VALUE"""),61749.0)</f>
        <v>61749</v>
      </c>
      <c r="B5141" s="3" t="str">
        <f>IFERROR(__xludf.DUMMYFUNCTION("""COMPUTED_VALUE"""),"167 FRIENDLY ACRES RD  ")</f>
        <v>167 FRIENDLY ACRES RD  </v>
      </c>
      <c r="C5141" s="3" t="str">
        <f>IFERROR(__xludf.DUMMYFUNCTION("""COMPUTED_VALUE"""),"HASTINGS")</f>
        <v>HASTINGS</v>
      </c>
      <c r="D5141" s="3" t="str">
        <f>IFERROR(__xludf.DUMMYFUNCTION("""COMPUTED_VALUE"""),"K0L 1Y0")</f>
        <v>K0L 1Y0</v>
      </c>
      <c r="E5141" s="3" t="str">
        <f>IFERROR(__xludf.DUMMYFUNCTION("""COMPUTED_VALUE"""),"ross g moore ")</f>
        <v>ross g moore </v>
      </c>
      <c r="F5141" s="3" t="str">
        <f>IFERROR(__xludf.DUMMYFUNCTION("""COMPUTED_VALUE"""),"diannemoore1949@gmail.com")</f>
        <v>diannemoore1949@gmail.com</v>
      </c>
      <c r="G5141" s="3">
        <f>IFERROR(__xludf.DUMMYFUNCTION("""COMPUTED_VALUE"""),7.05559344E9)</f>
        <v>7055593440</v>
      </c>
      <c r="H5141" s="3"/>
    </row>
    <row r="5142">
      <c r="A5142" s="2">
        <f>IFERROR(__xludf.DUMMYFUNCTION("""COMPUTED_VALUE"""),61750.0)</f>
        <v>61750</v>
      </c>
      <c r="B5142" s="3" t="str">
        <f>IFERROR(__xludf.DUMMYFUNCTION("""COMPUTED_VALUE"""),"168 FRIENDLY ACRES RD  ")</f>
        <v>168 FRIENDLY ACRES RD  </v>
      </c>
      <c r="C5142" s="3" t="str">
        <f>IFERROR(__xludf.DUMMYFUNCTION("""COMPUTED_VALUE"""),"HASTINGS")</f>
        <v>HASTINGS</v>
      </c>
      <c r="D5142" s="3" t="str">
        <f>IFERROR(__xludf.DUMMYFUNCTION("""COMPUTED_VALUE"""),"K0L 1Y0")</f>
        <v>K0L 1Y0</v>
      </c>
      <c r="E5142" s="3" t="str">
        <f>IFERROR(__xludf.DUMMYFUNCTION("""COMPUTED_VALUE"""),"Ryan&amp;melissa Fleming")</f>
        <v>Ryan&amp;melissa Fleming</v>
      </c>
      <c r="F5142" s="3" t="str">
        <f>IFERROR(__xludf.DUMMYFUNCTION("""COMPUTED_VALUE"""),"riverviewfarm168@gmail.com")</f>
        <v>riverviewfarm168@gmail.com</v>
      </c>
      <c r="G5142" s="3">
        <f>IFERROR(__xludf.DUMMYFUNCTION("""COMPUTED_VALUE"""),7.05632633E9)</f>
        <v>7056326330</v>
      </c>
      <c r="H5142" s="3">
        <f>IFERROR(__xludf.DUMMYFUNCTION("""COMPUTED_VALUE"""),7.057722674E9)</f>
        <v>7057722674</v>
      </c>
    </row>
    <row r="5143">
      <c r="A5143" s="2">
        <f>IFERROR(__xludf.DUMMYFUNCTION("""COMPUTED_VALUE"""),61751.0)</f>
        <v>61751</v>
      </c>
      <c r="B5143" s="3" t="str">
        <f>IFERROR(__xludf.DUMMYFUNCTION("""COMPUTED_VALUE"""),"198 FRIENDLY ACRES RD  ")</f>
        <v>198 FRIENDLY ACRES RD  </v>
      </c>
      <c r="C5143" s="3" t="str">
        <f>IFERROR(__xludf.DUMMYFUNCTION("""COMPUTED_VALUE"""),"HASTINGS")</f>
        <v>HASTINGS</v>
      </c>
      <c r="D5143" s="3" t="str">
        <f>IFERROR(__xludf.DUMMYFUNCTION("""COMPUTED_VALUE"""),"K0L 1Y0")</f>
        <v>K0L 1Y0</v>
      </c>
      <c r="E5143" s="3" t="str">
        <f>IFERROR(__xludf.DUMMYFUNCTION("""COMPUTED_VALUE"""),"Charlie &amp; Autumn Davidson ")</f>
        <v>Charlie &amp; Autumn Davidson </v>
      </c>
      <c r="F5143" s="3" t="str">
        <f>IFERROR(__xludf.DUMMYFUNCTION("""COMPUTED_VALUE"""),"davidsonxltd@gmail.com")</f>
        <v>davidsonxltd@gmail.com</v>
      </c>
      <c r="G5143" s="3"/>
      <c r="H5143" s="3"/>
    </row>
    <row r="5144">
      <c r="A5144" s="2">
        <f>IFERROR(__xludf.DUMMYFUNCTION("""COMPUTED_VALUE"""),61752.0)</f>
        <v>61752</v>
      </c>
      <c r="B5144" s="3" t="str">
        <f>IFERROR(__xludf.DUMMYFUNCTION("""COMPUTED_VALUE"""),"217 FRIENDLY ACRES RD  ")</f>
        <v>217 FRIENDLY ACRES RD  </v>
      </c>
      <c r="C5144" s="3" t="str">
        <f>IFERROR(__xludf.DUMMYFUNCTION("""COMPUTED_VALUE"""),"HASTINGS")</f>
        <v>HASTINGS</v>
      </c>
      <c r="D5144" s="3" t="str">
        <f>IFERROR(__xludf.DUMMYFUNCTION("""COMPUTED_VALUE"""),"K0L 1Y0")</f>
        <v>K0L 1Y0</v>
      </c>
      <c r="E5144" s="3" t="str">
        <f>IFERROR(__xludf.DUMMYFUNCTION("""COMPUTED_VALUE"""),"Allison &amp; Glen Gratton")</f>
        <v>Allison &amp; Glen Gratton</v>
      </c>
      <c r="F5144" s="3" t="str">
        <f>IFERROR(__xludf.DUMMYFUNCTION("""COMPUTED_VALUE"""),"alisong217@gmail.com")</f>
        <v>alisong217@gmail.com</v>
      </c>
      <c r="G5144" s="3">
        <f>IFERROR(__xludf.DUMMYFUNCTION("""COMPUTED_VALUE"""),7.059570354E9)</f>
        <v>7059570354</v>
      </c>
      <c r="H5144" s="3">
        <f>IFERROR(__xludf.DUMMYFUNCTION("""COMPUTED_VALUE"""),7.059271449E9)</f>
        <v>7059271449</v>
      </c>
    </row>
    <row r="5145">
      <c r="A5145" s="2">
        <f>IFERROR(__xludf.DUMMYFUNCTION("""COMPUTED_VALUE"""),61753.0)</f>
        <v>61753</v>
      </c>
      <c r="B5145" s="3" t="str">
        <f>IFERROR(__xludf.DUMMYFUNCTION("""COMPUTED_VALUE"""),"236 FRIENDLY ACRES RD  ")</f>
        <v>236 FRIENDLY ACRES RD  </v>
      </c>
      <c r="C5145" s="3" t="str">
        <f>IFERROR(__xludf.DUMMYFUNCTION("""COMPUTED_VALUE"""),"HASTINGS")</f>
        <v>HASTINGS</v>
      </c>
      <c r="D5145" s="3" t="str">
        <f>IFERROR(__xludf.DUMMYFUNCTION("""COMPUTED_VALUE"""),"K0L 1Y0")</f>
        <v>K0L 1Y0</v>
      </c>
      <c r="E5145" s="3" t="str">
        <f>IFERROR(__xludf.DUMMYFUNCTION("""COMPUTED_VALUE"""),"Danny Finkle")</f>
        <v>Danny Finkle</v>
      </c>
      <c r="F5145" s="3" t="str">
        <f>IFERROR(__xludf.DUMMYFUNCTION("""COMPUTED_VALUE"""),"n/a")</f>
        <v>n/a</v>
      </c>
      <c r="G5145" s="3"/>
      <c r="H5145" s="3"/>
    </row>
    <row r="5146">
      <c r="A5146" s="2">
        <f>IFERROR(__xludf.DUMMYFUNCTION("""COMPUTED_VALUE"""),61754.0)</f>
        <v>61754</v>
      </c>
      <c r="B5146" s="3" t="str">
        <f>IFERROR(__xludf.DUMMYFUNCTION("""COMPUTED_VALUE"""),"240 FRIENDLY ACRES RD  ")</f>
        <v>240 FRIENDLY ACRES RD  </v>
      </c>
      <c r="C5146" s="3" t="str">
        <f>IFERROR(__xludf.DUMMYFUNCTION("""COMPUTED_VALUE"""),"HASTINGS")</f>
        <v>HASTINGS</v>
      </c>
      <c r="D5146" s="3" t="str">
        <f>IFERROR(__xludf.DUMMYFUNCTION("""COMPUTED_VALUE"""),"K0L 1Y0")</f>
        <v>K0L 1Y0</v>
      </c>
      <c r="E5146" s="3" t="str">
        <f>IFERROR(__xludf.DUMMYFUNCTION("""COMPUTED_VALUE"""),"ed")</f>
        <v>ed</v>
      </c>
      <c r="F5146" s="3"/>
      <c r="G5146" s="3"/>
      <c r="H5146" s="3"/>
    </row>
    <row r="5147">
      <c r="A5147" s="2">
        <f>IFERROR(__xludf.DUMMYFUNCTION("""COMPUTED_VALUE"""),61757.0)</f>
        <v>61757</v>
      </c>
      <c r="B5147" s="3" t="str">
        <f>IFERROR(__xludf.DUMMYFUNCTION("""COMPUTED_VALUE"""),"266 FRIENDLY ACRES RD  ")</f>
        <v>266 FRIENDLY ACRES RD  </v>
      </c>
      <c r="C5147" s="3" t="str">
        <f>IFERROR(__xludf.DUMMYFUNCTION("""COMPUTED_VALUE"""),"HASTINGS")</f>
        <v>HASTINGS</v>
      </c>
      <c r="D5147" s="3" t="str">
        <f>IFERROR(__xludf.DUMMYFUNCTION("""COMPUTED_VALUE"""),"K0L 1Y0")</f>
        <v>K0L 1Y0</v>
      </c>
      <c r="E5147" s="3"/>
      <c r="F5147" s="3"/>
      <c r="G5147" s="3"/>
      <c r="H5147" s="3"/>
    </row>
    <row r="5148">
      <c r="A5148" s="2">
        <f>IFERROR(__xludf.DUMMYFUNCTION("""COMPUTED_VALUE"""),61758.0)</f>
        <v>61758</v>
      </c>
      <c r="B5148" s="3" t="str">
        <f>IFERROR(__xludf.DUMMYFUNCTION("""COMPUTED_VALUE"""),"268 FRIENDLY ACRES RD  ")</f>
        <v>268 FRIENDLY ACRES RD  </v>
      </c>
      <c r="C5148" s="3" t="str">
        <f>IFERROR(__xludf.DUMMYFUNCTION("""COMPUTED_VALUE"""),"HASTINGS")</f>
        <v>HASTINGS</v>
      </c>
      <c r="D5148" s="3" t="str">
        <f>IFERROR(__xludf.DUMMYFUNCTION("""COMPUTED_VALUE"""),"K0L 1Y0")</f>
        <v>K0L 1Y0</v>
      </c>
      <c r="E5148" s="3" t="str">
        <f>IFERROR(__xludf.DUMMYFUNCTION("""COMPUTED_VALUE"""),"jodie laplante")</f>
        <v>jodie laplante</v>
      </c>
      <c r="F5148" s="3" t="str">
        <f>IFERROR(__xludf.DUMMYFUNCTION("""COMPUTED_VALUE"""),"jodielaplante@gmail.com")</f>
        <v>jodielaplante@gmail.com</v>
      </c>
      <c r="G5148" s="3">
        <f>IFERROR(__xludf.DUMMYFUNCTION("""COMPUTED_VALUE"""),7.059270939E9)</f>
        <v>7059270939</v>
      </c>
      <c r="H5148" s="3"/>
    </row>
    <row r="5149">
      <c r="A5149" s="2">
        <f>IFERROR(__xludf.DUMMYFUNCTION("""COMPUTED_VALUE"""),61759.0)</f>
        <v>61759</v>
      </c>
      <c r="B5149" s="3" t="str">
        <f>IFERROR(__xludf.DUMMYFUNCTION("""COMPUTED_VALUE"""),"278 FRIENDLY ACRES RD  ")</f>
        <v>278 FRIENDLY ACRES RD  </v>
      </c>
      <c r="C5149" s="3" t="str">
        <f>IFERROR(__xludf.DUMMYFUNCTION("""COMPUTED_VALUE"""),"HASTINGS")</f>
        <v>HASTINGS</v>
      </c>
      <c r="D5149" s="3" t="str">
        <f>IFERROR(__xludf.DUMMYFUNCTION("""COMPUTED_VALUE"""),"K0L 1Y0")</f>
        <v>K0L 1Y0</v>
      </c>
      <c r="E5149" s="3"/>
      <c r="F5149" s="3"/>
      <c r="G5149" s="3"/>
      <c r="H5149" s="3"/>
    </row>
    <row r="5150">
      <c r="A5150" s="2">
        <f>IFERROR(__xludf.DUMMYFUNCTION("""COMPUTED_VALUE"""),61760.0)</f>
        <v>61760</v>
      </c>
      <c r="B5150" s="3" t="str">
        <f>IFERROR(__xludf.DUMMYFUNCTION("""COMPUTED_VALUE"""),"321 FRIENDLY ACRES RD  ")</f>
        <v>321 FRIENDLY ACRES RD  </v>
      </c>
      <c r="C5150" s="3" t="str">
        <f>IFERROR(__xludf.DUMMYFUNCTION("""COMPUTED_VALUE"""),"HASTINGS")</f>
        <v>HASTINGS</v>
      </c>
      <c r="D5150" s="3" t="str">
        <f>IFERROR(__xludf.DUMMYFUNCTION("""COMPUTED_VALUE"""),"K0L 1Y0")</f>
        <v>K0L 1Y0</v>
      </c>
      <c r="E5150" s="3"/>
      <c r="F5150" s="3"/>
      <c r="G5150" s="3"/>
      <c r="H5150" s="3"/>
    </row>
    <row r="5151">
      <c r="A5151" s="2">
        <f>IFERROR(__xludf.DUMMYFUNCTION("""COMPUTED_VALUE"""),61761.0)</f>
        <v>61761</v>
      </c>
      <c r="B5151" s="3" t="str">
        <f>IFERROR(__xludf.DUMMYFUNCTION("""COMPUTED_VALUE"""),"351 FRIENDLY ACRES RD  ")</f>
        <v>351 FRIENDLY ACRES RD  </v>
      </c>
      <c r="C5151" s="3" t="str">
        <f>IFERROR(__xludf.DUMMYFUNCTION("""COMPUTED_VALUE"""),"HASTINGS")</f>
        <v>HASTINGS</v>
      </c>
      <c r="D5151" s="3" t="str">
        <f>IFERROR(__xludf.DUMMYFUNCTION("""COMPUTED_VALUE"""),"K0L 1Y0")</f>
        <v>K0L 1Y0</v>
      </c>
      <c r="E5151" s="3"/>
      <c r="F5151" s="3"/>
      <c r="G5151" s="3"/>
      <c r="H5151" s="3"/>
    </row>
    <row r="5152">
      <c r="A5152" s="2">
        <f>IFERROR(__xludf.DUMMYFUNCTION("""COMPUTED_VALUE"""),61762.0)</f>
        <v>61762</v>
      </c>
      <c r="B5152" s="3" t="str">
        <f>IFERROR(__xludf.DUMMYFUNCTION("""COMPUTED_VALUE"""),"352 FRIENDLY ACRES RD  ")</f>
        <v>352 FRIENDLY ACRES RD  </v>
      </c>
      <c r="C5152" s="3" t="str">
        <f>IFERROR(__xludf.DUMMYFUNCTION("""COMPUTED_VALUE"""),"HASTINGS")</f>
        <v>HASTINGS</v>
      </c>
      <c r="D5152" s="3" t="str">
        <f>IFERROR(__xludf.DUMMYFUNCTION("""COMPUTED_VALUE"""),"K0L 1Y0")</f>
        <v>K0L 1Y0</v>
      </c>
      <c r="E5152" s="3" t="str">
        <f>IFERROR(__xludf.DUMMYFUNCTION("""COMPUTED_VALUE"""),"Susan Thompson")</f>
        <v>Susan Thompson</v>
      </c>
      <c r="F5152" s="3" t="str">
        <f>IFERROR(__xludf.DUMMYFUNCTION("""COMPUTED_VALUE"""),"19smt59@gmail.com")</f>
        <v>19smt59@gmail.com</v>
      </c>
      <c r="G5152" s="3"/>
      <c r="H5152" s="3"/>
    </row>
    <row r="5153">
      <c r="A5153" s="2">
        <f>IFERROR(__xludf.DUMMYFUNCTION("""COMPUTED_VALUE"""),61006.0)</f>
        <v>61006</v>
      </c>
      <c r="B5153" s="3" t="str">
        <f>IFERROR(__xludf.DUMMYFUNCTION("""COMPUTED_VALUE"""),"143 CONCESSION RD 14 RD E ")</f>
        <v>143 CONCESSION RD 14 RD E </v>
      </c>
      <c r="C5153" s="3" t="str">
        <f>IFERROR(__xludf.DUMMYFUNCTION("""COMPUTED_VALUE"""),"HASTINGS")</f>
        <v>HASTINGS</v>
      </c>
      <c r="D5153" s="3" t="str">
        <f>IFERROR(__xludf.DUMMYFUNCTION("""COMPUTED_VALUE"""),"K0L 1Y0")</f>
        <v>K0L 1Y0</v>
      </c>
      <c r="E5153" s="3" t="str">
        <f>IFERROR(__xludf.DUMMYFUNCTION("""COMPUTED_VALUE"""),"Philip Jones")</f>
        <v>Philip Jones</v>
      </c>
      <c r="F5153" s="3" t="str">
        <f>IFERROR(__xludf.DUMMYFUNCTION("""COMPUTED_VALUE"""),"philip@foxpress.design")</f>
        <v>philip@foxpress.design</v>
      </c>
      <c r="G5153" s="3"/>
      <c r="H5153" s="3"/>
    </row>
    <row r="5154">
      <c r="A5154" s="2">
        <f>IFERROR(__xludf.DUMMYFUNCTION("""COMPUTED_VALUE"""),62640.0)</f>
        <v>62640</v>
      </c>
      <c r="B5154" s="3" t="str">
        <f>IFERROR(__xludf.DUMMYFUNCTION("""COMPUTED_VALUE"""),"76 MARINE DR  ")</f>
        <v>76 MARINE DR  </v>
      </c>
      <c r="C5154" s="3" t="str">
        <f>IFERROR(__xludf.DUMMYFUNCTION("""COMPUTED_VALUE"""),"HASTINGS")</f>
        <v>HASTINGS</v>
      </c>
      <c r="D5154" s="3" t="str">
        <f>IFERROR(__xludf.DUMMYFUNCTION("""COMPUTED_VALUE"""),"KOL 1Y0")</f>
        <v>KOL 1Y0</v>
      </c>
      <c r="E5154" s="3" t="str">
        <f>IFERROR(__xludf.DUMMYFUNCTION("""COMPUTED_VALUE"""),"rachel")</f>
        <v>rachel</v>
      </c>
      <c r="F5154" s="3"/>
      <c r="G5154" s="3">
        <f>IFERROR(__xludf.DUMMYFUNCTION("""COMPUTED_VALUE"""),7.058682595E9)</f>
        <v>7058682595</v>
      </c>
      <c r="H5154" s="3"/>
    </row>
    <row r="5155">
      <c r="A5155" s="2">
        <f>IFERROR(__xludf.DUMMYFUNCTION("""COMPUTED_VALUE"""),62641.0)</f>
        <v>62641</v>
      </c>
      <c r="B5155" s="3" t="str">
        <f>IFERROR(__xludf.DUMMYFUNCTION("""COMPUTED_VALUE"""),"78 MARINE DR  ")</f>
        <v>78 MARINE DR  </v>
      </c>
      <c r="C5155" s="3" t="str">
        <f>IFERROR(__xludf.DUMMYFUNCTION("""COMPUTED_VALUE"""),"HASTINGS")</f>
        <v>HASTINGS</v>
      </c>
      <c r="D5155" s="3" t="str">
        <f>IFERROR(__xludf.DUMMYFUNCTION("""COMPUTED_VALUE"""),"KOL 1Y0")</f>
        <v>KOL 1Y0</v>
      </c>
      <c r="E5155" s="3" t="str">
        <f>IFERROR(__xludf.DUMMYFUNCTION("""COMPUTED_VALUE"""),"marilyn and brent k")</f>
        <v>marilyn and brent k</v>
      </c>
      <c r="F5155" s="3" t="str">
        <f>IFERROR(__xludf.DUMMYFUNCTION("""COMPUTED_VALUE"""),"marilynscherz@hotmail.com")</f>
        <v>marilynscherz@hotmail.com</v>
      </c>
      <c r="G5155" s="3">
        <f>IFERROR(__xludf.DUMMYFUNCTION("""COMPUTED_VALUE"""),6.474569671E9)</f>
        <v>6474569671</v>
      </c>
      <c r="H5155" s="3">
        <f>IFERROR(__xludf.DUMMYFUNCTION("""COMPUTED_VALUE"""),4.169931967E9)</f>
        <v>4169931967</v>
      </c>
    </row>
    <row r="5156">
      <c r="A5156" s="2">
        <f>IFERROR(__xludf.DUMMYFUNCTION("""COMPUTED_VALUE"""),62639.0)</f>
        <v>62639</v>
      </c>
      <c r="B5156" s="3" t="str">
        <f>IFERROR(__xludf.DUMMYFUNCTION("""COMPUTED_VALUE"""),"74 MARINE DR  ")</f>
        <v>74 MARINE DR  </v>
      </c>
      <c r="C5156" s="3" t="str">
        <f>IFERROR(__xludf.DUMMYFUNCTION("""COMPUTED_VALUE"""),"HASTINGS")</f>
        <v>HASTINGS</v>
      </c>
      <c r="D5156" s="3" t="str">
        <f>IFERROR(__xludf.DUMMYFUNCTION("""COMPUTED_VALUE"""),"KOL 1Y0")</f>
        <v>KOL 1Y0</v>
      </c>
      <c r="E5156" s="3"/>
      <c r="F5156" s="3"/>
      <c r="G5156" s="3"/>
      <c r="H5156" s="3"/>
    </row>
    <row r="5157">
      <c r="A5157" s="2">
        <f>IFERROR(__xludf.DUMMYFUNCTION("""COMPUTED_VALUE"""),62353.0)</f>
        <v>62353</v>
      </c>
      <c r="B5157" s="3" t="str">
        <f>IFERROR(__xludf.DUMMYFUNCTION("""COMPUTED_VALUE"""),"2 JACKSON RD  ")</f>
        <v>2 JACKSON RD  </v>
      </c>
      <c r="C5157" s="3" t="str">
        <f>IFERROR(__xludf.DUMMYFUNCTION("""COMPUTED_VALUE"""),"HASTINGS")</f>
        <v>HASTINGS</v>
      </c>
      <c r="D5157" s="3" t="str">
        <f>IFERROR(__xludf.DUMMYFUNCTION("""COMPUTED_VALUE"""),"K0L 1Y0")</f>
        <v>K0L 1Y0</v>
      </c>
      <c r="E5157" s="3" t="str">
        <f>IFERROR(__xludf.DUMMYFUNCTION("""COMPUTED_VALUE"""),"TERESA CARROLL")</f>
        <v>TERESA CARROLL</v>
      </c>
      <c r="F5157" s="3" t="str">
        <f>IFERROR(__xludf.DUMMYFUNCTION("""COMPUTED_VALUE"""),"kiwidog88@hotmail.com")</f>
        <v>kiwidog88@hotmail.com</v>
      </c>
      <c r="G5157" s="3"/>
      <c r="H5157" s="3"/>
    </row>
    <row r="5158">
      <c r="A5158" s="2">
        <f>IFERROR(__xludf.DUMMYFUNCTION("""COMPUTED_VALUE"""),62354.0)</f>
        <v>62354</v>
      </c>
      <c r="B5158" s="3" t="str">
        <f>IFERROR(__xludf.DUMMYFUNCTION("""COMPUTED_VALUE"""),"4 JACKSON RD  ")</f>
        <v>4 JACKSON RD  </v>
      </c>
      <c r="C5158" s="3" t="str">
        <f>IFERROR(__xludf.DUMMYFUNCTION("""COMPUTED_VALUE"""),"HASTINGS")</f>
        <v>HASTINGS</v>
      </c>
      <c r="D5158" s="3" t="str">
        <f>IFERROR(__xludf.DUMMYFUNCTION("""COMPUTED_VALUE"""),"K0L 1Y0")</f>
        <v>K0L 1Y0</v>
      </c>
      <c r="E5158" s="3"/>
      <c r="F5158" s="3"/>
      <c r="G5158" s="3"/>
      <c r="H5158" s="3"/>
    </row>
    <row r="5159">
      <c r="A5159" s="2">
        <f>IFERROR(__xludf.DUMMYFUNCTION("""COMPUTED_VALUE"""),62355.0)</f>
        <v>62355</v>
      </c>
      <c r="B5159" s="3" t="str">
        <f>IFERROR(__xludf.DUMMYFUNCTION("""COMPUTED_VALUE"""),"6 JACKSON RD  ")</f>
        <v>6 JACKSON RD  </v>
      </c>
      <c r="C5159" s="3" t="str">
        <f>IFERROR(__xludf.DUMMYFUNCTION("""COMPUTED_VALUE"""),"HASTINGS")</f>
        <v>HASTINGS</v>
      </c>
      <c r="D5159" s="3" t="str">
        <f>IFERROR(__xludf.DUMMYFUNCTION("""COMPUTED_VALUE"""),"K0L 1Y0")</f>
        <v>K0L 1Y0</v>
      </c>
      <c r="E5159" s="3" t="str">
        <f>IFERROR(__xludf.DUMMYFUNCTION("""COMPUTED_VALUE"""),"agustine")</f>
        <v>agustine</v>
      </c>
      <c r="F5159" s="3"/>
      <c r="G5159" s="3">
        <f>IFERROR(__xludf.DUMMYFUNCTION("""COMPUTED_VALUE"""),4.169920344E9)</f>
        <v>4169920344</v>
      </c>
      <c r="H5159" s="3"/>
    </row>
    <row r="5160">
      <c r="A5160" s="2">
        <f>IFERROR(__xludf.DUMMYFUNCTION("""COMPUTED_VALUE"""),62356.0)</f>
        <v>62356</v>
      </c>
      <c r="B5160" s="3" t="str">
        <f>IFERROR(__xludf.DUMMYFUNCTION("""COMPUTED_VALUE"""),"8 JACKSON RD  ")</f>
        <v>8 JACKSON RD  </v>
      </c>
      <c r="C5160" s="3" t="str">
        <f>IFERROR(__xludf.DUMMYFUNCTION("""COMPUTED_VALUE"""),"HASTINGS")</f>
        <v>HASTINGS</v>
      </c>
      <c r="D5160" s="3" t="str">
        <f>IFERROR(__xludf.DUMMYFUNCTION("""COMPUTED_VALUE"""),"K0L 1Y0")</f>
        <v>K0L 1Y0</v>
      </c>
      <c r="E5160" s="3" t="str">
        <f>IFERROR(__xludf.DUMMYFUNCTION("""COMPUTED_VALUE"""),"Craig Williamson")</f>
        <v>Craig Williamson</v>
      </c>
      <c r="F5160" s="3" t="str">
        <f>IFERROR(__xludf.DUMMYFUNCTION("""COMPUTED_VALUE"""),"williamsoncraig38@gmail.com")</f>
        <v>williamsoncraig38@gmail.com</v>
      </c>
      <c r="G5160" s="3"/>
      <c r="H5160" s="3"/>
    </row>
    <row r="5161">
      <c r="A5161" s="2">
        <f>IFERROR(__xludf.DUMMYFUNCTION("""COMPUTED_VALUE"""),62357.0)</f>
        <v>62357</v>
      </c>
      <c r="B5161" s="3" t="str">
        <f>IFERROR(__xludf.DUMMYFUNCTION("""COMPUTED_VALUE"""),"10 JACKSON RD  ")</f>
        <v>10 JACKSON RD  </v>
      </c>
      <c r="C5161" s="3" t="str">
        <f>IFERROR(__xludf.DUMMYFUNCTION("""COMPUTED_VALUE"""),"HASTINGS")</f>
        <v>HASTINGS</v>
      </c>
      <c r="D5161" s="3" t="str">
        <f>IFERROR(__xludf.DUMMYFUNCTION("""COMPUTED_VALUE"""),"K0L 1Y0")</f>
        <v>K0L 1Y0</v>
      </c>
      <c r="E5161" s="3" t="str">
        <f>IFERROR(__xludf.DUMMYFUNCTION("""COMPUTED_VALUE"""),"DANIEL LITTLE")</f>
        <v>DANIEL LITTLE</v>
      </c>
      <c r="F5161" s="3" t="str">
        <f>IFERROR(__xludf.DUMMYFUNCTION("""COMPUTED_VALUE"""),"daniel_g_little@outlook.com")</f>
        <v>daniel_g_little@outlook.com</v>
      </c>
      <c r="G5161" s="3"/>
      <c r="H5161" s="3"/>
    </row>
    <row r="5162">
      <c r="A5162" s="2">
        <f>IFERROR(__xludf.DUMMYFUNCTION("""COMPUTED_VALUE"""),62358.0)</f>
        <v>62358</v>
      </c>
      <c r="B5162" s="3" t="str">
        <f>IFERROR(__xludf.DUMMYFUNCTION("""COMPUTED_VALUE"""),"12 JACKSON RD  ")</f>
        <v>12 JACKSON RD  </v>
      </c>
      <c r="C5162" s="3" t="str">
        <f>IFERROR(__xludf.DUMMYFUNCTION("""COMPUTED_VALUE"""),"HASTINGS")</f>
        <v>HASTINGS</v>
      </c>
      <c r="D5162" s="3" t="str">
        <f>IFERROR(__xludf.DUMMYFUNCTION("""COMPUTED_VALUE"""),"K0L 1Y0")</f>
        <v>K0L 1Y0</v>
      </c>
      <c r="E5162" s="3" t="str">
        <f>IFERROR(__xludf.DUMMYFUNCTION("""COMPUTED_VALUE"""),"George Simson")</f>
        <v>George Simson</v>
      </c>
      <c r="F5162" s="3" t="str">
        <f>IFERROR(__xludf.DUMMYFUNCTION("""COMPUTED_VALUE"""),"gsimson@sympatico.ca")</f>
        <v>gsimson@sympatico.ca</v>
      </c>
      <c r="G5162" s="3"/>
      <c r="H5162" s="3"/>
    </row>
    <row r="5163">
      <c r="A5163" s="2">
        <f>IFERROR(__xludf.DUMMYFUNCTION("""COMPUTED_VALUE"""),62359.0)</f>
        <v>62359</v>
      </c>
      <c r="B5163" s="3" t="str">
        <f>IFERROR(__xludf.DUMMYFUNCTION("""COMPUTED_VALUE"""),"14 JACKSON RD  ")</f>
        <v>14 JACKSON RD  </v>
      </c>
      <c r="C5163" s="3" t="str">
        <f>IFERROR(__xludf.DUMMYFUNCTION("""COMPUTED_VALUE"""),"HASTINGS")</f>
        <v>HASTINGS</v>
      </c>
      <c r="D5163" s="3" t="str">
        <f>IFERROR(__xludf.DUMMYFUNCTION("""COMPUTED_VALUE"""),"K0L 1Y0")</f>
        <v>K0L 1Y0</v>
      </c>
      <c r="E5163" s="3"/>
      <c r="F5163" s="3"/>
      <c r="G5163" s="3"/>
      <c r="H5163" s="3"/>
    </row>
    <row r="5164">
      <c r="A5164" s="2">
        <f>IFERROR(__xludf.DUMMYFUNCTION("""COMPUTED_VALUE"""),62360.0)</f>
        <v>62360</v>
      </c>
      <c r="B5164" s="3" t="str">
        <f>IFERROR(__xludf.DUMMYFUNCTION("""COMPUTED_VALUE"""),"16 JACKSON RD  ")</f>
        <v>16 JACKSON RD  </v>
      </c>
      <c r="C5164" s="3" t="str">
        <f>IFERROR(__xludf.DUMMYFUNCTION("""COMPUTED_VALUE"""),"HASTINGS")</f>
        <v>HASTINGS</v>
      </c>
      <c r="D5164" s="3" t="str">
        <f>IFERROR(__xludf.DUMMYFUNCTION("""COMPUTED_VALUE"""),"K0L 1Y0")</f>
        <v>K0L 1Y0</v>
      </c>
      <c r="E5164" s="3" t="str">
        <f>IFERROR(__xludf.DUMMYFUNCTION("""COMPUTED_VALUE"""),"Eric Lizotte")</f>
        <v>Eric Lizotte</v>
      </c>
      <c r="F5164" s="3" t="str">
        <f>IFERROR(__xludf.DUMMYFUNCTION("""COMPUTED_VALUE"""),"eclizotte@gmail.com")</f>
        <v>eclizotte@gmail.com</v>
      </c>
      <c r="G5164" s="3">
        <f>IFERROR(__xludf.DUMMYFUNCTION("""COMPUTED_VALUE"""),4.165613361E9)</f>
        <v>4165613361</v>
      </c>
      <c r="H5164" s="3"/>
    </row>
    <row r="5165">
      <c r="A5165" s="2">
        <f>IFERROR(__xludf.DUMMYFUNCTION("""COMPUTED_VALUE"""),62361.0)</f>
        <v>62361</v>
      </c>
      <c r="B5165" s="3" t="str">
        <f>IFERROR(__xludf.DUMMYFUNCTION("""COMPUTED_VALUE"""),"18 JACKSON RD  ")</f>
        <v>18 JACKSON RD  </v>
      </c>
      <c r="C5165" s="3" t="str">
        <f>IFERROR(__xludf.DUMMYFUNCTION("""COMPUTED_VALUE"""),"HASTINGS")</f>
        <v>HASTINGS</v>
      </c>
      <c r="D5165" s="3" t="str">
        <f>IFERROR(__xludf.DUMMYFUNCTION("""COMPUTED_VALUE"""),"K0L 1Y0")</f>
        <v>K0L 1Y0</v>
      </c>
      <c r="E5165" s="3" t="str">
        <f>IFERROR(__xludf.DUMMYFUNCTION("""COMPUTED_VALUE"""),"Warren Gingrich &amp; Lisa Johnson")</f>
        <v>Warren Gingrich &amp; Lisa Johnson</v>
      </c>
      <c r="F5165" s="3" t="str">
        <f>IFERROR(__xludf.DUMMYFUNCTION("""COMPUTED_VALUE"""),"warren.gingrich@gmail.com")</f>
        <v>warren.gingrich@gmail.com</v>
      </c>
      <c r="G5165" s="3"/>
      <c r="H5165" s="3"/>
    </row>
    <row r="5166">
      <c r="A5166" s="2">
        <f>IFERROR(__xludf.DUMMYFUNCTION("""COMPUTED_VALUE"""),62362.0)</f>
        <v>62362</v>
      </c>
      <c r="B5166" s="3" t="str">
        <f>IFERROR(__xludf.DUMMYFUNCTION("""COMPUTED_VALUE"""),"20 JACKSON RD  ")</f>
        <v>20 JACKSON RD  </v>
      </c>
      <c r="C5166" s="3" t="str">
        <f>IFERROR(__xludf.DUMMYFUNCTION("""COMPUTED_VALUE"""),"HASTINGS")</f>
        <v>HASTINGS</v>
      </c>
      <c r="D5166" s="3" t="str">
        <f>IFERROR(__xludf.DUMMYFUNCTION("""COMPUTED_VALUE"""),"K0L 1Y0")</f>
        <v>K0L 1Y0</v>
      </c>
      <c r="E5166" s="3" t="str">
        <f>IFERROR(__xludf.DUMMYFUNCTION("""COMPUTED_VALUE"""),"Mark Robson")</f>
        <v>Mark Robson</v>
      </c>
      <c r="F5166" s="3" t="str">
        <f>IFERROR(__xludf.DUMMYFUNCTION("""COMPUTED_VALUE"""),"markrobson@rogers.com")</f>
        <v>markrobson@rogers.com</v>
      </c>
      <c r="G5166" s="3">
        <f>IFERROR(__xludf.DUMMYFUNCTION("""COMPUTED_VALUE"""),6.474487825E9)</f>
        <v>6474487825</v>
      </c>
      <c r="H5166" s="3">
        <f>IFERROR(__xludf.DUMMYFUNCTION("""COMPUTED_VALUE"""),9.054095982E9)</f>
        <v>9054095982</v>
      </c>
    </row>
    <row r="5167">
      <c r="A5167" s="2">
        <f>IFERROR(__xludf.DUMMYFUNCTION("""COMPUTED_VALUE"""),62363.0)</f>
        <v>62363</v>
      </c>
      <c r="B5167" s="3" t="str">
        <f>IFERROR(__xludf.DUMMYFUNCTION("""COMPUTED_VALUE"""),"22 JACKSON RD  ")</f>
        <v>22 JACKSON RD  </v>
      </c>
      <c r="C5167" s="3" t="str">
        <f>IFERROR(__xludf.DUMMYFUNCTION("""COMPUTED_VALUE"""),"HASTINGS")</f>
        <v>HASTINGS</v>
      </c>
      <c r="D5167" s="3" t="str">
        <f>IFERROR(__xludf.DUMMYFUNCTION("""COMPUTED_VALUE"""),"K0L 1Y0")</f>
        <v>K0L 1Y0</v>
      </c>
      <c r="E5167" s="3" t="str">
        <f>IFERROR(__xludf.DUMMYFUNCTION("""COMPUTED_VALUE"""),"James Ellis ")</f>
        <v>James Ellis </v>
      </c>
      <c r="F5167" s="3" t="str">
        <f>IFERROR(__xludf.DUMMYFUNCTION("""COMPUTED_VALUE"""),"jimandmarlae@gmail.com")</f>
        <v>jimandmarlae@gmail.com</v>
      </c>
      <c r="G5167" s="3"/>
      <c r="H5167" s="3"/>
    </row>
    <row r="5168">
      <c r="A5168" s="2">
        <f>IFERROR(__xludf.DUMMYFUNCTION("""COMPUTED_VALUE"""),62364.0)</f>
        <v>62364</v>
      </c>
      <c r="B5168" s="3" t="str">
        <f>IFERROR(__xludf.DUMMYFUNCTION("""COMPUTED_VALUE"""),"24 JACKSON RD  ")</f>
        <v>24 JACKSON RD  </v>
      </c>
      <c r="C5168" s="3" t="str">
        <f>IFERROR(__xludf.DUMMYFUNCTION("""COMPUTED_VALUE"""),"HASTINGS")</f>
        <v>HASTINGS</v>
      </c>
      <c r="D5168" s="3" t="str">
        <f>IFERROR(__xludf.DUMMYFUNCTION("""COMPUTED_VALUE"""),"K0L 1Y0")</f>
        <v>K0L 1Y0</v>
      </c>
      <c r="E5168" s="3" t="str">
        <f>IFERROR(__xludf.DUMMYFUNCTION("""COMPUTED_VALUE"""),"Patrick McCourt")</f>
        <v>Patrick McCourt</v>
      </c>
      <c r="F5168" s="3" t="str">
        <f>IFERROR(__xludf.DUMMYFUNCTION("""COMPUTED_VALUE"""),"palofish@live.ca")</f>
        <v>palofish@live.ca</v>
      </c>
      <c r="G5168" s="3">
        <f>IFERROR(__xludf.DUMMYFUNCTION("""COMPUTED_VALUE"""),5.197312766E9)</f>
        <v>5197312766</v>
      </c>
      <c r="H5168" s="3">
        <f>IFERROR(__xludf.DUMMYFUNCTION("""COMPUTED_VALUE"""),4.379945386E9)</f>
        <v>4379945386</v>
      </c>
    </row>
    <row r="5169">
      <c r="A5169" s="2">
        <f>IFERROR(__xludf.DUMMYFUNCTION("""COMPUTED_VALUE"""),62365.0)</f>
        <v>62365</v>
      </c>
      <c r="B5169" s="3" t="str">
        <f>IFERROR(__xludf.DUMMYFUNCTION("""COMPUTED_VALUE"""),"27 JACKSON RD  ")</f>
        <v>27 JACKSON RD  </v>
      </c>
      <c r="C5169" s="3" t="str">
        <f>IFERROR(__xludf.DUMMYFUNCTION("""COMPUTED_VALUE"""),"HASTINGS")</f>
        <v>HASTINGS</v>
      </c>
      <c r="D5169" s="3" t="str">
        <f>IFERROR(__xludf.DUMMYFUNCTION("""COMPUTED_VALUE"""),"K0L 1Y0")</f>
        <v>K0L 1Y0</v>
      </c>
      <c r="E5169" s="3" t="str">
        <f>IFERROR(__xludf.DUMMYFUNCTION("""COMPUTED_VALUE"""),"Ray Lake")</f>
        <v>Ray Lake</v>
      </c>
      <c r="F5169" s="3" t="str">
        <f>IFERROR(__xludf.DUMMYFUNCTION("""COMPUTED_VALUE"""),"raymd90_2000@yahoo.ca")</f>
        <v>raymd90_2000@yahoo.ca</v>
      </c>
      <c r="G5169" s="3">
        <f>IFERROR(__xludf.DUMMYFUNCTION("""COMPUTED_VALUE"""),6.138492175E9)</f>
        <v>6138492175</v>
      </c>
      <c r="H5169" s="3"/>
    </row>
    <row r="5170">
      <c r="A5170" s="2">
        <f>IFERROR(__xludf.DUMMYFUNCTION("""COMPUTED_VALUE"""),62366.0)</f>
        <v>62366</v>
      </c>
      <c r="B5170" s="3" t="str">
        <f>IFERROR(__xludf.DUMMYFUNCTION("""COMPUTED_VALUE"""),"28 JACKSON RD  ")</f>
        <v>28 JACKSON RD  </v>
      </c>
      <c r="C5170" s="3" t="str">
        <f>IFERROR(__xludf.DUMMYFUNCTION("""COMPUTED_VALUE"""),"HASTINGS")</f>
        <v>HASTINGS</v>
      </c>
      <c r="D5170" s="3" t="str">
        <f>IFERROR(__xludf.DUMMYFUNCTION("""COMPUTED_VALUE"""),"K0L 1Y0")</f>
        <v>K0L 1Y0</v>
      </c>
      <c r="E5170" s="3" t="str">
        <f>IFERROR(__xludf.DUMMYFUNCTION("""COMPUTED_VALUE"""),"Ken Solomon")</f>
        <v>Ken Solomon</v>
      </c>
      <c r="F5170" s="3" t="str">
        <f>IFERROR(__xludf.DUMMYFUNCTION("""COMPUTED_VALUE"""),"ken.solomon88@yahoo.com")</f>
        <v>ken.solomon88@yahoo.com</v>
      </c>
      <c r="G5170" s="3">
        <f>IFERROR(__xludf.DUMMYFUNCTION("""COMPUTED_VALUE"""),6.478689463E9)</f>
        <v>6478689463</v>
      </c>
      <c r="H5170" s="3"/>
    </row>
    <row r="5171">
      <c r="A5171" s="2">
        <f>IFERROR(__xludf.DUMMYFUNCTION("""COMPUTED_VALUE"""),62367.0)</f>
        <v>62367</v>
      </c>
      <c r="B5171" s="3" t="str">
        <f>IFERROR(__xludf.DUMMYFUNCTION("""COMPUTED_VALUE"""),"29 JACKSON RD  ")</f>
        <v>29 JACKSON RD  </v>
      </c>
      <c r="C5171" s="3" t="str">
        <f>IFERROR(__xludf.DUMMYFUNCTION("""COMPUTED_VALUE"""),"HASTINGS")</f>
        <v>HASTINGS</v>
      </c>
      <c r="D5171" s="3" t="str">
        <f>IFERROR(__xludf.DUMMYFUNCTION("""COMPUTED_VALUE"""),"K0L 1Y0")</f>
        <v>K0L 1Y0</v>
      </c>
      <c r="E5171" s="3" t="str">
        <f>IFERROR(__xludf.DUMMYFUNCTION("""COMPUTED_VALUE"""),"George Woolston")</f>
        <v>George Woolston</v>
      </c>
      <c r="F5171" s="3" t="str">
        <f>IFERROR(__xludf.DUMMYFUNCTION("""COMPUTED_VALUE"""),"georgelwoolston@gmail.com")</f>
        <v>georgelwoolston@gmail.com</v>
      </c>
      <c r="G5171" s="3"/>
      <c r="H5171" s="3"/>
    </row>
    <row r="5172">
      <c r="A5172" s="2">
        <f>IFERROR(__xludf.DUMMYFUNCTION("""COMPUTED_VALUE"""),62368.0)</f>
        <v>62368</v>
      </c>
      <c r="B5172" s="3" t="str">
        <f>IFERROR(__xludf.DUMMYFUNCTION("""COMPUTED_VALUE"""),"30 JACKSON RD  ")</f>
        <v>30 JACKSON RD  </v>
      </c>
      <c r="C5172" s="3" t="str">
        <f>IFERROR(__xludf.DUMMYFUNCTION("""COMPUTED_VALUE"""),"HASTINGS")</f>
        <v>HASTINGS</v>
      </c>
      <c r="D5172" s="3" t="str">
        <f>IFERROR(__xludf.DUMMYFUNCTION("""COMPUTED_VALUE"""),"K0L 1Y0")</f>
        <v>K0L 1Y0</v>
      </c>
      <c r="E5172" s="3" t="str">
        <f>IFERROR(__xludf.DUMMYFUNCTION("""COMPUTED_VALUE"""),"Paul Stillaway")</f>
        <v>Paul Stillaway</v>
      </c>
      <c r="F5172" s="3" t="str">
        <f>IFERROR(__xludf.DUMMYFUNCTION("""COMPUTED_VALUE"""),"paul_stillaway@hotmail.com")</f>
        <v>paul_stillaway@hotmail.com</v>
      </c>
      <c r="G5172" s="3">
        <f>IFERROR(__xludf.DUMMYFUNCTION("""COMPUTED_VALUE"""),6.476192646E9)</f>
        <v>6476192646</v>
      </c>
      <c r="H5172" s="3"/>
    </row>
    <row r="5173">
      <c r="A5173" s="2">
        <f>IFERROR(__xludf.DUMMYFUNCTION("""COMPUTED_VALUE"""),62369.0)</f>
        <v>62369</v>
      </c>
      <c r="B5173" s="3" t="str">
        <f>IFERROR(__xludf.DUMMYFUNCTION("""COMPUTED_VALUE"""),"31 JACKSON RD  ")</f>
        <v>31 JACKSON RD  </v>
      </c>
      <c r="C5173" s="3" t="str">
        <f>IFERROR(__xludf.DUMMYFUNCTION("""COMPUTED_VALUE"""),"HASTINGS")</f>
        <v>HASTINGS</v>
      </c>
      <c r="D5173" s="3" t="str">
        <f>IFERROR(__xludf.DUMMYFUNCTION("""COMPUTED_VALUE"""),"K0L 1Y0")</f>
        <v>K0L 1Y0</v>
      </c>
      <c r="E5173" s="3" t="str">
        <f>IFERROR(__xludf.DUMMYFUNCTION("""COMPUTED_VALUE"""),"Brett Larkan")</f>
        <v>Brett Larkan</v>
      </c>
      <c r="F5173" s="3" t="str">
        <f>IFERROR(__xludf.DUMMYFUNCTION("""COMPUTED_VALUE"""),"nerasick@hotmail.com")</f>
        <v>nerasick@hotmail.com</v>
      </c>
      <c r="G5173" s="3">
        <f>IFERROR(__xludf.DUMMYFUNCTION("""COMPUTED_VALUE"""),7.057729075E9)</f>
        <v>7057729075</v>
      </c>
      <c r="H5173" s="3"/>
    </row>
    <row r="5174">
      <c r="A5174" s="2">
        <f>IFERROR(__xludf.DUMMYFUNCTION("""COMPUTED_VALUE"""),62370.0)</f>
        <v>62370</v>
      </c>
      <c r="B5174" s="3" t="str">
        <f>IFERROR(__xludf.DUMMYFUNCTION("""COMPUTED_VALUE"""),"32 JACKSON RD  ")</f>
        <v>32 JACKSON RD  </v>
      </c>
      <c r="C5174" s="3" t="str">
        <f>IFERROR(__xludf.DUMMYFUNCTION("""COMPUTED_VALUE"""),"HASTINGS")</f>
        <v>HASTINGS</v>
      </c>
      <c r="D5174" s="3" t="str">
        <f>IFERROR(__xludf.DUMMYFUNCTION("""COMPUTED_VALUE"""),"K0L 1Y0")</f>
        <v>K0L 1Y0</v>
      </c>
      <c r="E5174" s="3" t="str">
        <f>IFERROR(__xludf.DUMMYFUNCTION("""COMPUTED_VALUE"""),"Sean Kinsella")</f>
        <v>Sean Kinsella</v>
      </c>
      <c r="F5174" s="3" t="str">
        <f>IFERROR(__xludf.DUMMYFUNCTION("""COMPUTED_VALUE"""),"skinsella@centennialcollege.ca")</f>
        <v>skinsella@centennialcollege.ca</v>
      </c>
      <c r="G5174" s="3">
        <f>IFERROR(__xludf.DUMMYFUNCTION("""COMPUTED_VALUE"""),6.474629693E9)</f>
        <v>6474629693</v>
      </c>
      <c r="H5174" s="3"/>
    </row>
    <row r="5175">
      <c r="A5175" s="2">
        <f>IFERROR(__xludf.DUMMYFUNCTION("""COMPUTED_VALUE"""),62371.0)</f>
        <v>62371</v>
      </c>
      <c r="B5175" s="3" t="str">
        <f>IFERROR(__xludf.DUMMYFUNCTION("""COMPUTED_VALUE"""),"34 JACKSON RD  ")</f>
        <v>34 JACKSON RD  </v>
      </c>
      <c r="C5175" s="3" t="str">
        <f>IFERROR(__xludf.DUMMYFUNCTION("""COMPUTED_VALUE"""),"HASTINGS")</f>
        <v>HASTINGS</v>
      </c>
      <c r="D5175" s="3" t="str">
        <f>IFERROR(__xludf.DUMMYFUNCTION("""COMPUTED_VALUE"""),"K0L 1Y0")</f>
        <v>K0L 1Y0</v>
      </c>
      <c r="E5175" s="3"/>
      <c r="F5175" s="3"/>
      <c r="G5175" s="3"/>
      <c r="H5175" s="3"/>
    </row>
    <row r="5176">
      <c r="A5176" s="2">
        <f>IFERROR(__xludf.DUMMYFUNCTION("""COMPUTED_VALUE"""),62372.0)</f>
        <v>62372</v>
      </c>
      <c r="B5176" s="3" t="str">
        <f>IFERROR(__xludf.DUMMYFUNCTION("""COMPUTED_VALUE"""),"36 JACKSON RD  ")</f>
        <v>36 JACKSON RD  </v>
      </c>
      <c r="C5176" s="3" t="str">
        <f>IFERROR(__xludf.DUMMYFUNCTION("""COMPUTED_VALUE"""),"HASTINGS")</f>
        <v>HASTINGS</v>
      </c>
      <c r="D5176" s="3" t="str">
        <f>IFERROR(__xludf.DUMMYFUNCTION("""COMPUTED_VALUE"""),"K0L 1Y0")</f>
        <v>K0L 1Y0</v>
      </c>
      <c r="E5176" s="3" t="str">
        <f>IFERROR(__xludf.DUMMYFUNCTION("""COMPUTED_VALUE"""),"Lynn Stafford")</f>
        <v>Lynn Stafford</v>
      </c>
      <c r="F5176" s="3"/>
      <c r="G5176" s="3"/>
      <c r="H5176" s="3"/>
    </row>
    <row r="5177">
      <c r="A5177" s="2">
        <f>IFERROR(__xludf.DUMMYFUNCTION("""COMPUTED_VALUE"""),62373.0)</f>
        <v>62373</v>
      </c>
      <c r="B5177" s="3" t="str">
        <f>IFERROR(__xludf.DUMMYFUNCTION("""COMPUTED_VALUE"""),"38 JACKSON RD  ")</f>
        <v>38 JACKSON RD  </v>
      </c>
      <c r="C5177" s="3" t="str">
        <f>IFERROR(__xludf.DUMMYFUNCTION("""COMPUTED_VALUE"""),"HASTINGS")</f>
        <v>HASTINGS</v>
      </c>
      <c r="D5177" s="3" t="str">
        <f>IFERROR(__xludf.DUMMYFUNCTION("""COMPUTED_VALUE"""),"K0L 1Y0")</f>
        <v>K0L 1Y0</v>
      </c>
      <c r="E5177" s="3" t="str">
        <f>IFERROR(__xludf.DUMMYFUNCTION("""COMPUTED_VALUE"""),"Joyce Fenton")</f>
        <v>Joyce Fenton</v>
      </c>
      <c r="F5177" s="3" t="str">
        <f>IFERROR(__xludf.DUMMYFUNCTION("""COMPUTED_VALUE"""),"hesmith@rogers.com")</f>
        <v>hesmith@rogers.com</v>
      </c>
      <c r="G5177" s="3"/>
      <c r="H5177" s="3"/>
    </row>
    <row r="5178">
      <c r="A5178" s="2">
        <f>IFERROR(__xludf.DUMMYFUNCTION("""COMPUTED_VALUE"""),62374.0)</f>
        <v>62374</v>
      </c>
      <c r="B5178" s="3" t="str">
        <f>IFERROR(__xludf.DUMMYFUNCTION("""COMPUTED_VALUE"""),"40 JACKSON RD  ")</f>
        <v>40 JACKSON RD  </v>
      </c>
      <c r="C5178" s="3" t="str">
        <f>IFERROR(__xludf.DUMMYFUNCTION("""COMPUTED_VALUE"""),"HASTINGS")</f>
        <v>HASTINGS</v>
      </c>
      <c r="D5178" s="3" t="str">
        <f>IFERROR(__xludf.DUMMYFUNCTION("""COMPUTED_VALUE"""),"K0L 1Y0")</f>
        <v>K0L 1Y0</v>
      </c>
      <c r="E5178" s="3" t="str">
        <f>IFERROR(__xludf.DUMMYFUNCTION("""COMPUTED_VALUE"""),"Brenda &amp; Mark Maclean")</f>
        <v>Brenda &amp; Mark Maclean</v>
      </c>
      <c r="F5178" s="3" t="str">
        <f>IFERROR(__xludf.DUMMYFUNCTION("""COMPUTED_VALUE"""),"bmac2140@hotmail.ca")</f>
        <v>bmac2140@hotmail.ca</v>
      </c>
      <c r="G5178" s="3"/>
      <c r="H5178" s="3"/>
    </row>
    <row r="5179">
      <c r="A5179" s="2">
        <f>IFERROR(__xludf.DUMMYFUNCTION("""COMPUTED_VALUE"""),62375.0)</f>
        <v>62375</v>
      </c>
      <c r="B5179" s="3" t="str">
        <f>IFERROR(__xludf.DUMMYFUNCTION("""COMPUTED_VALUE"""),"42 JACKSON RD  ")</f>
        <v>42 JACKSON RD  </v>
      </c>
      <c r="C5179" s="3" t="str">
        <f>IFERROR(__xludf.DUMMYFUNCTION("""COMPUTED_VALUE"""),"HASTINGS")</f>
        <v>HASTINGS</v>
      </c>
      <c r="D5179" s="3" t="str">
        <f>IFERROR(__xludf.DUMMYFUNCTION("""COMPUTED_VALUE"""),"K0L 1Y0")</f>
        <v>K0L 1Y0</v>
      </c>
      <c r="E5179" s="3" t="str">
        <f>IFERROR(__xludf.DUMMYFUNCTION("""COMPUTED_VALUE"""),"Joseph Goden")</f>
        <v>Joseph Goden</v>
      </c>
      <c r="F5179" s="3" t="str">
        <f>IFERROR(__xludf.DUMMYFUNCTION("""COMPUTED_VALUE"""),"josephgoden@mac.com")</f>
        <v>josephgoden@mac.com</v>
      </c>
      <c r="G5179" s="3"/>
      <c r="H5179" s="3"/>
    </row>
    <row r="5180">
      <c r="A5180" s="2">
        <f>IFERROR(__xludf.DUMMYFUNCTION("""COMPUTED_VALUE"""),62376.0)</f>
        <v>62376</v>
      </c>
      <c r="B5180" s="3" t="str">
        <f>IFERROR(__xludf.DUMMYFUNCTION("""COMPUTED_VALUE"""),"44 JACKSON RD  ")</f>
        <v>44 JACKSON RD  </v>
      </c>
      <c r="C5180" s="3" t="str">
        <f>IFERROR(__xludf.DUMMYFUNCTION("""COMPUTED_VALUE"""),"HASTINGS")</f>
        <v>HASTINGS</v>
      </c>
      <c r="D5180" s="3" t="str">
        <f>IFERROR(__xludf.DUMMYFUNCTION("""COMPUTED_VALUE"""),"K0L 1Y0")</f>
        <v>K0L 1Y0</v>
      </c>
      <c r="E5180" s="3" t="str">
        <f>IFERROR(__xludf.DUMMYFUNCTION("""COMPUTED_VALUE"""),"Kearny Charleson")</f>
        <v>Kearny Charleson</v>
      </c>
      <c r="F5180" s="3"/>
      <c r="G5180" s="3"/>
      <c r="H5180" s="3"/>
    </row>
    <row r="5181">
      <c r="A5181" s="2">
        <f>IFERROR(__xludf.DUMMYFUNCTION("""COMPUTED_VALUE"""),62377.0)</f>
        <v>62377</v>
      </c>
      <c r="B5181" s="3" t="str">
        <f>IFERROR(__xludf.DUMMYFUNCTION("""COMPUTED_VALUE"""),"48 JACKSON RD  ")</f>
        <v>48 JACKSON RD  </v>
      </c>
      <c r="C5181" s="3" t="str">
        <f>IFERROR(__xludf.DUMMYFUNCTION("""COMPUTED_VALUE"""),"HASTINGS")</f>
        <v>HASTINGS</v>
      </c>
      <c r="D5181" s="3" t="str">
        <f>IFERROR(__xludf.DUMMYFUNCTION("""COMPUTED_VALUE"""),"K0L 1Y0")</f>
        <v>K0L 1Y0</v>
      </c>
      <c r="E5181" s="3"/>
      <c r="F5181" s="3"/>
      <c r="G5181" s="3"/>
      <c r="H5181" s="3"/>
    </row>
    <row r="5182">
      <c r="A5182" s="2">
        <f>IFERROR(__xludf.DUMMYFUNCTION("""COMPUTED_VALUE"""),62378.0)</f>
        <v>62378</v>
      </c>
      <c r="B5182" s="3" t="str">
        <f>IFERROR(__xludf.DUMMYFUNCTION("""COMPUTED_VALUE"""),"50 JACKSON RD  ")</f>
        <v>50 JACKSON RD  </v>
      </c>
      <c r="C5182" s="3" t="str">
        <f>IFERROR(__xludf.DUMMYFUNCTION("""COMPUTED_VALUE"""),"HASTINGS")</f>
        <v>HASTINGS</v>
      </c>
      <c r="D5182" s="3" t="str">
        <f>IFERROR(__xludf.DUMMYFUNCTION("""COMPUTED_VALUE"""),"K0L 1Y0")</f>
        <v>K0L 1Y0</v>
      </c>
      <c r="E5182" s="3" t="str">
        <f>IFERROR(__xludf.DUMMYFUNCTION("""COMPUTED_VALUE"""),"James Penner")</f>
        <v>James Penner</v>
      </c>
      <c r="F5182" s="3" t="str">
        <f>IFERROR(__xludf.DUMMYFUNCTION("""COMPUTED_VALUE"""),"jpenner@mail.com")</f>
        <v>jpenner@mail.com</v>
      </c>
      <c r="G5182" s="3">
        <f>IFERROR(__xludf.DUMMYFUNCTION("""COMPUTED_VALUE"""),6.478827358E9)</f>
        <v>6478827358</v>
      </c>
      <c r="H5182" s="3"/>
    </row>
    <row r="5183">
      <c r="A5183" s="2">
        <f>IFERROR(__xludf.DUMMYFUNCTION("""COMPUTED_VALUE"""),62379.0)</f>
        <v>62379</v>
      </c>
      <c r="B5183" s="3" t="str">
        <f>IFERROR(__xludf.DUMMYFUNCTION("""COMPUTED_VALUE"""),"52 JACKSON RD  ")</f>
        <v>52 JACKSON RD  </v>
      </c>
      <c r="C5183" s="3" t="str">
        <f>IFERROR(__xludf.DUMMYFUNCTION("""COMPUTED_VALUE"""),"HASTINGS")</f>
        <v>HASTINGS</v>
      </c>
      <c r="D5183" s="3" t="str">
        <f>IFERROR(__xludf.DUMMYFUNCTION("""COMPUTED_VALUE"""),"K0L 1Y0")</f>
        <v>K0L 1Y0</v>
      </c>
      <c r="E5183" s="3" t="str">
        <f>IFERROR(__xludf.DUMMYFUNCTION("""COMPUTED_VALUE"""),"Cari Niemandt")</f>
        <v>Cari Niemandt</v>
      </c>
      <c r="F5183" s="3" t="str">
        <f>IFERROR(__xludf.DUMMYFUNCTION("""COMPUTED_VALUE"""),"cari.niemandt@gmail.com")</f>
        <v>cari.niemandt@gmail.com</v>
      </c>
      <c r="G5183" s="3">
        <f>IFERROR(__xludf.DUMMYFUNCTION("""COMPUTED_VALUE"""),2.3686777742E10)</f>
        <v>23686777742</v>
      </c>
      <c r="H5183" s="3">
        <f>IFERROR(__xludf.DUMMYFUNCTION("""COMPUTED_VALUE"""),6.047228759E9)</f>
        <v>6047228759</v>
      </c>
    </row>
    <row r="5184">
      <c r="A5184" s="2">
        <f>IFERROR(__xludf.DUMMYFUNCTION("""COMPUTED_VALUE"""),62380.0)</f>
        <v>62380</v>
      </c>
      <c r="B5184" s="3" t="str">
        <f>IFERROR(__xludf.DUMMYFUNCTION("""COMPUTED_VALUE"""),"54 JACKSON RD  ")</f>
        <v>54 JACKSON RD  </v>
      </c>
      <c r="C5184" s="3" t="str">
        <f>IFERROR(__xludf.DUMMYFUNCTION("""COMPUTED_VALUE"""),"HASTINGS")</f>
        <v>HASTINGS</v>
      </c>
      <c r="D5184" s="3" t="str">
        <f>IFERROR(__xludf.DUMMYFUNCTION("""COMPUTED_VALUE"""),"K0L 1Y0")</f>
        <v>K0L 1Y0</v>
      </c>
      <c r="E5184" s="3"/>
      <c r="F5184" s="3"/>
      <c r="G5184" s="3"/>
      <c r="H5184" s="3"/>
    </row>
    <row r="5185">
      <c r="A5185" s="2">
        <f>IFERROR(__xludf.DUMMYFUNCTION("""COMPUTED_VALUE"""),62381.0)</f>
        <v>62381</v>
      </c>
      <c r="B5185" s="3" t="str">
        <f>IFERROR(__xludf.DUMMYFUNCTION("""COMPUTED_VALUE"""),"56 JACKSON RD  ")</f>
        <v>56 JACKSON RD  </v>
      </c>
      <c r="C5185" s="3" t="str">
        <f>IFERROR(__xludf.DUMMYFUNCTION("""COMPUTED_VALUE"""),"HASTINGS")</f>
        <v>HASTINGS</v>
      </c>
      <c r="D5185" s="3" t="str">
        <f>IFERROR(__xludf.DUMMYFUNCTION("""COMPUTED_VALUE"""),"K0L 1Y0")</f>
        <v>K0L 1Y0</v>
      </c>
      <c r="E5185" s="3"/>
      <c r="F5185" s="3"/>
      <c r="G5185" s="3"/>
      <c r="H5185" s="3"/>
    </row>
    <row r="5186">
      <c r="A5186" s="2">
        <f>IFERROR(__xludf.DUMMYFUNCTION("""COMPUTED_VALUE"""),62382.0)</f>
        <v>62382</v>
      </c>
      <c r="B5186" s="3" t="str">
        <f>IFERROR(__xludf.DUMMYFUNCTION("""COMPUTED_VALUE"""),"58 JACKSON RD  ")</f>
        <v>58 JACKSON RD  </v>
      </c>
      <c r="C5186" s="3" t="str">
        <f>IFERROR(__xludf.DUMMYFUNCTION("""COMPUTED_VALUE"""),"HASTINGS")</f>
        <v>HASTINGS</v>
      </c>
      <c r="D5186" s="3" t="str">
        <f>IFERROR(__xludf.DUMMYFUNCTION("""COMPUTED_VALUE"""),"K0L 1Y0")</f>
        <v>K0L 1Y0</v>
      </c>
      <c r="E5186" s="3"/>
      <c r="F5186" s="3"/>
      <c r="G5186" s="3"/>
      <c r="H5186" s="3"/>
    </row>
    <row r="5187">
      <c r="A5187" s="2">
        <f>IFERROR(__xludf.DUMMYFUNCTION("""COMPUTED_VALUE"""),62383.0)</f>
        <v>62383</v>
      </c>
      <c r="B5187" s="3" t="str">
        <f>IFERROR(__xludf.DUMMYFUNCTION("""COMPUTED_VALUE"""),"60 JACKSON RD  ")</f>
        <v>60 JACKSON RD  </v>
      </c>
      <c r="C5187" s="3" t="str">
        <f>IFERROR(__xludf.DUMMYFUNCTION("""COMPUTED_VALUE"""),"HASTINGS")</f>
        <v>HASTINGS</v>
      </c>
      <c r="D5187" s="3" t="str">
        <f>IFERROR(__xludf.DUMMYFUNCTION("""COMPUTED_VALUE"""),"K0L 1Y0")</f>
        <v>K0L 1Y0</v>
      </c>
      <c r="E5187" s="3"/>
      <c r="F5187" s="3"/>
      <c r="G5187" s="3"/>
      <c r="H5187" s="3"/>
    </row>
    <row r="5188">
      <c r="A5188" s="2">
        <f>IFERROR(__xludf.DUMMYFUNCTION("""COMPUTED_VALUE"""),62384.0)</f>
        <v>62384</v>
      </c>
      <c r="B5188" s="3" t="str">
        <f>IFERROR(__xludf.DUMMYFUNCTION("""COMPUTED_VALUE"""),"62 JACKSON RD  ")</f>
        <v>62 JACKSON RD  </v>
      </c>
      <c r="C5188" s="3" t="str">
        <f>IFERROR(__xludf.DUMMYFUNCTION("""COMPUTED_VALUE"""),"HASTINGS")</f>
        <v>HASTINGS</v>
      </c>
      <c r="D5188" s="3" t="str">
        <f>IFERROR(__xludf.DUMMYFUNCTION("""COMPUTED_VALUE"""),"K0L 1Y0")</f>
        <v>K0L 1Y0</v>
      </c>
      <c r="E5188" s="3" t="str">
        <f>IFERROR(__xludf.DUMMYFUNCTION("""COMPUTED_VALUE"""),"Kareem Diljohn")</f>
        <v>Kareem Diljohn</v>
      </c>
      <c r="F5188" s="3" t="str">
        <f>IFERROR(__xludf.DUMMYFUNCTION("""COMPUTED_VALUE"""),"kareemd11d@gmail.com")</f>
        <v>kareemd11d@gmail.com</v>
      </c>
      <c r="G5188" s="3">
        <f>IFERROR(__xludf.DUMMYFUNCTION("""COMPUTED_VALUE"""),6.472981811E9)</f>
        <v>6472981811</v>
      </c>
      <c r="H5188" s="3"/>
    </row>
    <row r="5189">
      <c r="A5189" s="2">
        <f>IFERROR(__xludf.DUMMYFUNCTION("""COMPUTED_VALUE"""),63461.0)</f>
        <v>63461</v>
      </c>
      <c r="B5189" s="3" t="str">
        <f>IFERROR(__xludf.DUMMYFUNCTION("""COMPUTED_VALUE"""),"9 TRENT VALLEY CEMETARY RD  ")</f>
        <v>9 TRENT VALLEY CEMETARY RD  </v>
      </c>
      <c r="C5189" s="3" t="str">
        <f>IFERROR(__xludf.DUMMYFUNCTION("""COMPUTED_VALUE"""),"HASTINGS")</f>
        <v>HASTINGS</v>
      </c>
      <c r="D5189" s="3" t="str">
        <f>IFERROR(__xludf.DUMMYFUNCTION("""COMPUTED_VALUE"""),"K0L 1Y0")</f>
        <v>K0L 1Y0</v>
      </c>
      <c r="E5189" s="3"/>
      <c r="F5189" s="3"/>
      <c r="G5189" s="3"/>
      <c r="H5189" s="3"/>
    </row>
    <row r="5190">
      <c r="A5190" s="2">
        <f>IFERROR(__xludf.DUMMYFUNCTION("""COMPUTED_VALUE"""),63462.0)</f>
        <v>63462</v>
      </c>
      <c r="B5190" s="3" t="str">
        <f>IFERROR(__xludf.DUMMYFUNCTION("""COMPUTED_VALUE"""),"11 TRENT VALLEY CEMETARY RD  ")</f>
        <v>11 TRENT VALLEY CEMETARY RD  </v>
      </c>
      <c r="C5190" s="3" t="str">
        <f>IFERROR(__xludf.DUMMYFUNCTION("""COMPUTED_VALUE"""),"HASTINGS")</f>
        <v>HASTINGS</v>
      </c>
      <c r="D5190" s="3" t="str">
        <f>IFERROR(__xludf.DUMMYFUNCTION("""COMPUTED_VALUE"""),"K0L 1Y0")</f>
        <v>K0L 1Y0</v>
      </c>
      <c r="E5190" s="3" t="str">
        <f>IFERROR(__xludf.DUMMYFUNCTION("""COMPUTED_VALUE"""),"brooke allan")</f>
        <v>brooke allan</v>
      </c>
      <c r="F5190" s="3"/>
      <c r="G5190" s="3">
        <f>IFERROR(__xludf.DUMMYFUNCTION("""COMPUTED_VALUE"""),7.058722899E9)</f>
        <v>7058722899</v>
      </c>
      <c r="H5190" s="3"/>
    </row>
    <row r="5191">
      <c r="A5191" s="2">
        <f>IFERROR(__xludf.DUMMYFUNCTION("""COMPUTED_VALUE"""),62338.0)</f>
        <v>62338</v>
      </c>
      <c r="B5191" s="3" t="str">
        <f>IFERROR(__xludf.DUMMYFUNCTION("""COMPUTED_VALUE"""),"523 IXL RD  ")</f>
        <v>523 IXL RD  </v>
      </c>
      <c r="C5191" s="3" t="str">
        <f>IFERROR(__xludf.DUMMYFUNCTION("""COMPUTED_VALUE"""),"CAMPBELLFORD")</f>
        <v>CAMPBELLFORD</v>
      </c>
      <c r="D5191" s="3" t="str">
        <f>IFERROR(__xludf.DUMMYFUNCTION("""COMPUTED_VALUE"""),"K0L 1L0")</f>
        <v>K0L 1L0</v>
      </c>
      <c r="E5191" s="3"/>
      <c r="F5191" s="3"/>
      <c r="G5191" s="3"/>
      <c r="H5191" s="3"/>
    </row>
    <row r="5192">
      <c r="A5192" s="2">
        <f>IFERROR(__xludf.DUMMYFUNCTION("""COMPUTED_VALUE"""),62339.0)</f>
        <v>62339</v>
      </c>
      <c r="B5192" s="3" t="str">
        <f>IFERROR(__xludf.DUMMYFUNCTION("""COMPUTED_VALUE"""),"555 IXL RD  ")</f>
        <v>555 IXL RD  </v>
      </c>
      <c r="C5192" s="3" t="str">
        <f>IFERROR(__xludf.DUMMYFUNCTION("""COMPUTED_VALUE"""),"CAMPBELLFORD")</f>
        <v>CAMPBELLFORD</v>
      </c>
      <c r="D5192" s="3" t="str">
        <f>IFERROR(__xludf.DUMMYFUNCTION("""COMPUTED_VALUE"""),"K0L 1L0")</f>
        <v>K0L 1L0</v>
      </c>
      <c r="E5192" s="3" t="str">
        <f>IFERROR(__xludf.DUMMYFUNCTION("""COMPUTED_VALUE"""),"joey dawson ")</f>
        <v>joey dawson </v>
      </c>
      <c r="F5192" s="3"/>
      <c r="G5192" s="3">
        <f>IFERROR(__xludf.DUMMYFUNCTION("""COMPUTED_VALUE"""),7.057613789E9)</f>
        <v>7057613789</v>
      </c>
      <c r="H5192" s="3"/>
    </row>
    <row r="5193">
      <c r="A5193" s="2">
        <f>IFERROR(__xludf.DUMMYFUNCTION("""COMPUTED_VALUE"""),62340.0)</f>
        <v>62340</v>
      </c>
      <c r="B5193" s="3" t="str">
        <f>IFERROR(__xludf.DUMMYFUNCTION("""COMPUTED_VALUE"""),"571 IXL RD  ")</f>
        <v>571 IXL RD  </v>
      </c>
      <c r="C5193" s="3" t="str">
        <f>IFERROR(__xludf.DUMMYFUNCTION("""COMPUTED_VALUE"""),"CAMPBELLFORD")</f>
        <v>CAMPBELLFORD</v>
      </c>
      <c r="D5193" s="3" t="str">
        <f>IFERROR(__xludf.DUMMYFUNCTION("""COMPUTED_VALUE"""),"K0L 1L0")</f>
        <v>K0L 1L0</v>
      </c>
      <c r="E5193" s="3"/>
      <c r="F5193" s="3"/>
      <c r="G5193" s="3"/>
      <c r="H5193" s="3"/>
    </row>
    <row r="5194">
      <c r="A5194" s="2">
        <f>IFERROR(__xludf.DUMMYFUNCTION("""COMPUTED_VALUE"""),62341.0)</f>
        <v>62341</v>
      </c>
      <c r="B5194" s="3" t="str">
        <f>IFERROR(__xludf.DUMMYFUNCTION("""COMPUTED_VALUE"""),"573 IXL RD  ")</f>
        <v>573 IXL RD  </v>
      </c>
      <c r="C5194" s="3" t="str">
        <f>IFERROR(__xludf.DUMMYFUNCTION("""COMPUTED_VALUE"""),"CAMPBELLFORD")</f>
        <v>CAMPBELLFORD</v>
      </c>
      <c r="D5194" s="3" t="str">
        <f>IFERROR(__xludf.DUMMYFUNCTION("""COMPUTED_VALUE"""),"K0L 1L0")</f>
        <v>K0L 1L0</v>
      </c>
      <c r="E5194" s="3"/>
      <c r="F5194" s="3"/>
      <c r="G5194" s="3"/>
      <c r="H5194" s="3"/>
    </row>
    <row r="5195">
      <c r="A5195" s="2">
        <f>IFERROR(__xludf.DUMMYFUNCTION("""COMPUTED_VALUE"""),62342.0)</f>
        <v>62342</v>
      </c>
      <c r="B5195" s="3" t="str">
        <f>IFERROR(__xludf.DUMMYFUNCTION("""COMPUTED_VALUE"""),"575 IXL RD  ")</f>
        <v>575 IXL RD  </v>
      </c>
      <c r="C5195" s="3" t="str">
        <f>IFERROR(__xludf.DUMMYFUNCTION("""COMPUTED_VALUE"""),"CAMPBELLFORD")</f>
        <v>CAMPBELLFORD</v>
      </c>
      <c r="D5195" s="3" t="str">
        <f>IFERROR(__xludf.DUMMYFUNCTION("""COMPUTED_VALUE"""),"K0L 1L0")</f>
        <v>K0L 1L0</v>
      </c>
      <c r="E5195" s="3" t="str">
        <f>IFERROR(__xludf.DUMMYFUNCTION("""COMPUTED_VALUE"""),"Marjut Hirvonen")</f>
        <v>Marjut Hirvonen</v>
      </c>
      <c r="F5195" s="3" t="str">
        <f>IFERROR(__xludf.DUMMYFUNCTION("""COMPUTED_VALUE"""),"marjuthirvonen@bell.net")</f>
        <v>marjuthirvonen@bell.net</v>
      </c>
      <c r="G5195" s="3">
        <f>IFERROR(__xludf.DUMMYFUNCTION("""COMPUTED_VALUE"""),7.057617795E9)</f>
        <v>7057617795</v>
      </c>
      <c r="H5195" s="3">
        <f>IFERROR(__xludf.DUMMYFUNCTION("""COMPUTED_VALUE"""),4.165432286E9)</f>
        <v>4165432286</v>
      </c>
    </row>
    <row r="5196">
      <c r="A5196" s="2">
        <f>IFERROR(__xludf.DUMMYFUNCTION("""COMPUTED_VALUE"""),62343.0)</f>
        <v>62343</v>
      </c>
      <c r="B5196" s="3" t="str">
        <f>IFERROR(__xludf.DUMMYFUNCTION("""COMPUTED_VALUE"""),"706 IXL RD  ")</f>
        <v>706 IXL RD  </v>
      </c>
      <c r="C5196" s="3" t="str">
        <f>IFERROR(__xludf.DUMMYFUNCTION("""COMPUTED_VALUE"""),"CAMPBELLFORD")</f>
        <v>CAMPBELLFORD</v>
      </c>
      <c r="D5196" s="3" t="str">
        <f>IFERROR(__xludf.DUMMYFUNCTION("""COMPUTED_VALUE"""),"K0L 1L0")</f>
        <v>K0L 1L0</v>
      </c>
      <c r="E5196" s="3"/>
      <c r="F5196" s="3"/>
      <c r="G5196" s="3"/>
      <c r="H5196" s="3"/>
    </row>
    <row r="5197">
      <c r="A5197" s="2">
        <f>IFERROR(__xludf.DUMMYFUNCTION("""COMPUTED_VALUE"""),62344.0)</f>
        <v>62344</v>
      </c>
      <c r="B5197" s="3" t="str">
        <f>IFERROR(__xludf.DUMMYFUNCTION("""COMPUTED_VALUE"""),"735 IXL RD  ")</f>
        <v>735 IXL RD  </v>
      </c>
      <c r="C5197" s="3" t="str">
        <f>IFERROR(__xludf.DUMMYFUNCTION("""COMPUTED_VALUE"""),"CAMPBELLFORD")</f>
        <v>CAMPBELLFORD</v>
      </c>
      <c r="D5197" s="3" t="str">
        <f>IFERROR(__xludf.DUMMYFUNCTION("""COMPUTED_VALUE"""),"K0L 1L0")</f>
        <v>K0L 1L0</v>
      </c>
      <c r="E5197" s="3"/>
      <c r="F5197" s="3"/>
      <c r="G5197" s="3"/>
      <c r="H5197" s="3"/>
    </row>
    <row r="5198">
      <c r="A5198" s="2">
        <f>IFERROR(__xludf.DUMMYFUNCTION("""COMPUTED_VALUE"""),62345.0)</f>
        <v>62345</v>
      </c>
      <c r="B5198" s="3" t="str">
        <f>IFERROR(__xludf.DUMMYFUNCTION("""COMPUTED_VALUE"""),"737 IXL RD  ")</f>
        <v>737 IXL RD  </v>
      </c>
      <c r="C5198" s="3" t="str">
        <f>IFERROR(__xludf.DUMMYFUNCTION("""COMPUTED_VALUE"""),"CAMPBELLFORD")</f>
        <v>CAMPBELLFORD</v>
      </c>
      <c r="D5198" s="3" t="str">
        <f>IFERROR(__xludf.DUMMYFUNCTION("""COMPUTED_VALUE"""),"K0L 1L0")</f>
        <v>K0L 1L0</v>
      </c>
      <c r="E5198" s="3" t="str">
        <f>IFERROR(__xludf.DUMMYFUNCTION("""COMPUTED_VALUE"""),"Harry Ridge")</f>
        <v>Harry Ridge</v>
      </c>
      <c r="F5198" s="3" t="str">
        <f>IFERROR(__xludf.DUMMYFUNCTION("""COMPUTED_VALUE"""),"harryridge@gmail.com")</f>
        <v>harryridge@gmail.com</v>
      </c>
      <c r="G5198" s="3">
        <f>IFERROR(__xludf.DUMMYFUNCTION("""COMPUTED_VALUE"""),2.896911754E9)</f>
        <v>2896911754</v>
      </c>
      <c r="H5198" s="3"/>
    </row>
    <row r="5199">
      <c r="A5199" s="2">
        <f>IFERROR(__xludf.DUMMYFUNCTION("""COMPUTED_VALUE"""),62346.0)</f>
        <v>62346</v>
      </c>
      <c r="B5199" s="3" t="str">
        <f>IFERROR(__xludf.DUMMYFUNCTION("""COMPUTED_VALUE"""),"763 IXL RD  ")</f>
        <v>763 IXL RD  </v>
      </c>
      <c r="C5199" s="3" t="str">
        <f>IFERROR(__xludf.DUMMYFUNCTION("""COMPUTED_VALUE"""),"CAMPBELLFORD")</f>
        <v>CAMPBELLFORD</v>
      </c>
      <c r="D5199" s="3" t="str">
        <f>IFERROR(__xludf.DUMMYFUNCTION("""COMPUTED_VALUE"""),"K0L 1L0")</f>
        <v>K0L 1L0</v>
      </c>
      <c r="E5199" s="3"/>
      <c r="F5199" s="3"/>
      <c r="G5199" s="3"/>
      <c r="H5199" s="3"/>
    </row>
    <row r="5200">
      <c r="A5200" s="2">
        <f>IFERROR(__xludf.DUMMYFUNCTION("""COMPUTED_VALUE"""),62347.0)</f>
        <v>62347</v>
      </c>
      <c r="B5200" s="3" t="str">
        <f>IFERROR(__xludf.DUMMYFUNCTION("""COMPUTED_VALUE"""),"773 IXL RD  ")</f>
        <v>773 IXL RD  </v>
      </c>
      <c r="C5200" s="3" t="str">
        <f>IFERROR(__xludf.DUMMYFUNCTION("""COMPUTED_VALUE"""),"CAMPBELLFORD")</f>
        <v>CAMPBELLFORD</v>
      </c>
      <c r="D5200" s="3" t="str">
        <f>IFERROR(__xludf.DUMMYFUNCTION("""COMPUTED_VALUE"""),"K0L 1L0")</f>
        <v>K0L 1L0</v>
      </c>
      <c r="E5200" s="3"/>
      <c r="F5200" s="3"/>
      <c r="G5200" s="3"/>
      <c r="H5200" s="3"/>
    </row>
    <row r="5201">
      <c r="A5201" s="2">
        <f>IFERROR(__xludf.DUMMYFUNCTION("""COMPUTED_VALUE"""),62336.0)</f>
        <v>62336</v>
      </c>
      <c r="B5201" s="3" t="str">
        <f>IFERROR(__xludf.DUMMYFUNCTION("""COMPUTED_VALUE"""),"383 IXL RD  ")</f>
        <v>383 IXL RD  </v>
      </c>
      <c r="C5201" s="3" t="str">
        <f>IFERROR(__xludf.DUMMYFUNCTION("""COMPUTED_VALUE"""),"CAMPBELLFORD")</f>
        <v>CAMPBELLFORD</v>
      </c>
      <c r="D5201" s="3" t="str">
        <f>IFERROR(__xludf.DUMMYFUNCTION("""COMPUTED_VALUE"""),"K0L 1L0")</f>
        <v>K0L 1L0</v>
      </c>
      <c r="E5201" s="3" t="str">
        <f>IFERROR(__xludf.DUMMYFUNCTION("""COMPUTED_VALUE"""),"ANDREW BASTEDO")</f>
        <v>ANDREW BASTEDO</v>
      </c>
      <c r="F5201" s="3" t="str">
        <f>IFERROR(__xludf.DUMMYFUNCTION("""COMPUTED_VALUE"""),"andrew.bastedo@sympatico.ca")</f>
        <v>andrew.bastedo@sympatico.ca</v>
      </c>
      <c r="G5201" s="3"/>
      <c r="H5201" s="3"/>
    </row>
    <row r="5202">
      <c r="A5202" s="2">
        <f>IFERROR(__xludf.DUMMYFUNCTION("""COMPUTED_VALUE"""),62337.0)</f>
        <v>62337</v>
      </c>
      <c r="B5202" s="3" t="str">
        <f>IFERROR(__xludf.DUMMYFUNCTION("""COMPUTED_VALUE"""),"432 IXL RD  ")</f>
        <v>432 IXL RD  </v>
      </c>
      <c r="C5202" s="3" t="str">
        <f>IFERROR(__xludf.DUMMYFUNCTION("""COMPUTED_VALUE"""),"CAMPBELLFORD")</f>
        <v>CAMPBELLFORD</v>
      </c>
      <c r="D5202" s="3" t="str">
        <f>IFERROR(__xludf.DUMMYFUNCTION("""COMPUTED_VALUE"""),"K0L 1L0")</f>
        <v>K0L 1L0</v>
      </c>
      <c r="E5202" s="3"/>
      <c r="F5202" s="3"/>
      <c r="G5202" s="3"/>
      <c r="H5202" s="3"/>
    </row>
    <row r="5203">
      <c r="A5203" s="2">
        <f>IFERROR(__xludf.DUMMYFUNCTION("""COMPUTED_VALUE"""),60223.0)</f>
        <v>60223</v>
      </c>
      <c r="B5203" s="3" t="str">
        <f>IFERROR(__xludf.DUMMYFUNCTION("""COMPUTED_VALUE"""),"1932 9TH LINE W")</f>
        <v>1932 9TH LINE W</v>
      </c>
      <c r="C5203" s="3" t="str">
        <f>IFERROR(__xludf.DUMMYFUNCTION("""COMPUTED_VALUE"""),"CAMPBELLFORD")</f>
        <v>CAMPBELLFORD</v>
      </c>
      <c r="D5203" s="3" t="str">
        <f>IFERROR(__xludf.DUMMYFUNCTION("""COMPUTED_VALUE"""),"K0L 1L0")</f>
        <v>K0L 1L0</v>
      </c>
      <c r="E5203" s="3" t="str">
        <f>IFERROR(__xludf.DUMMYFUNCTION("""COMPUTED_VALUE"""),"Karen+Aaron Nicholas")</f>
        <v>Karen+Aaron Nicholas</v>
      </c>
      <c r="F5203" s="3" t="str">
        <f>IFERROR(__xludf.DUMMYFUNCTION("""COMPUTED_VALUE"""),"karen.e.wysenicholas@gmail.com")</f>
        <v>karen.e.wysenicholas@gmail.com</v>
      </c>
      <c r="G5203" s="3"/>
      <c r="H5203" s="3"/>
    </row>
    <row r="5204">
      <c r="A5204" s="2">
        <f>IFERROR(__xludf.DUMMYFUNCTION("""COMPUTED_VALUE"""),62333.0)</f>
        <v>62333</v>
      </c>
      <c r="B5204" s="3" t="str">
        <f>IFERROR(__xludf.DUMMYFUNCTION("""COMPUTED_VALUE"""),"290 IXL RD  ")</f>
        <v>290 IXL RD  </v>
      </c>
      <c r="C5204" s="3" t="str">
        <f>IFERROR(__xludf.DUMMYFUNCTION("""COMPUTED_VALUE"""),"CAMPBELLFORD")</f>
        <v>CAMPBELLFORD</v>
      </c>
      <c r="D5204" s="3" t="str">
        <f>IFERROR(__xludf.DUMMYFUNCTION("""COMPUTED_VALUE"""),"K0L 1L0")</f>
        <v>K0L 1L0</v>
      </c>
      <c r="E5204" s="3"/>
      <c r="F5204" s="3"/>
      <c r="G5204" s="3"/>
      <c r="H5204" s="3"/>
    </row>
    <row r="5205">
      <c r="A5205" s="2">
        <f>IFERROR(__xludf.DUMMYFUNCTION("""COMPUTED_VALUE"""),62334.0)</f>
        <v>62334</v>
      </c>
      <c r="B5205" s="3" t="str">
        <f>IFERROR(__xludf.DUMMYFUNCTION("""COMPUTED_VALUE"""),"300 IXL RD  ")</f>
        <v>300 IXL RD  </v>
      </c>
      <c r="C5205" s="3" t="str">
        <f>IFERROR(__xludf.DUMMYFUNCTION("""COMPUTED_VALUE"""),"CAMPBELLFORD")</f>
        <v>CAMPBELLFORD</v>
      </c>
      <c r="D5205" s="3" t="str">
        <f>IFERROR(__xludf.DUMMYFUNCTION("""COMPUTED_VALUE"""),"K0L 1L0")</f>
        <v>K0L 1L0</v>
      </c>
      <c r="E5205" s="3" t="str">
        <f>IFERROR(__xludf.DUMMYFUNCTION("""COMPUTED_VALUE"""),"james watson")</f>
        <v>james watson</v>
      </c>
      <c r="F5205" s="3" t="str">
        <f>IFERROR(__xludf.DUMMYFUNCTION("""COMPUTED_VALUE"""),"watsy22@gmail.com")</f>
        <v>watsy22@gmail.com</v>
      </c>
      <c r="G5205" s="3">
        <f>IFERROR(__xludf.DUMMYFUNCTION("""COMPUTED_VALUE"""),9.052429826E9)</f>
        <v>9052429826</v>
      </c>
      <c r="H5205" s="3"/>
    </row>
    <row r="5206">
      <c r="A5206" s="2">
        <f>IFERROR(__xludf.DUMMYFUNCTION("""COMPUTED_VALUE"""),62439.0)</f>
        <v>62439</v>
      </c>
      <c r="B5206" s="3" t="str">
        <f>IFERROR(__xludf.DUMMYFUNCTION("""COMPUTED_VALUE"""),"8 LAKEVIEW DR  ")</f>
        <v>8 LAKEVIEW DR  </v>
      </c>
      <c r="C5206" s="3" t="str">
        <f>IFERROR(__xludf.DUMMYFUNCTION("""COMPUTED_VALUE"""),"CAMPBELLFORD")</f>
        <v>CAMPBELLFORD</v>
      </c>
      <c r="D5206" s="3" t="str">
        <f>IFERROR(__xludf.DUMMYFUNCTION("""COMPUTED_VALUE"""),"K0L 1L0")</f>
        <v>K0L 1L0</v>
      </c>
      <c r="E5206" s="3"/>
      <c r="F5206" s="3"/>
      <c r="G5206" s="3"/>
      <c r="H5206" s="3"/>
    </row>
    <row r="5207">
      <c r="A5207" s="2">
        <f>IFERROR(__xludf.DUMMYFUNCTION("""COMPUTED_VALUE"""),62440.0)</f>
        <v>62440</v>
      </c>
      <c r="B5207" s="3" t="str">
        <f>IFERROR(__xludf.DUMMYFUNCTION("""COMPUTED_VALUE"""),"10 LAKEVIEW DR  ")</f>
        <v>10 LAKEVIEW DR  </v>
      </c>
      <c r="C5207" s="3" t="str">
        <f>IFERROR(__xludf.DUMMYFUNCTION("""COMPUTED_VALUE"""),"CAMPBELLFORD")</f>
        <v>CAMPBELLFORD</v>
      </c>
      <c r="D5207" s="3" t="str">
        <f>IFERROR(__xludf.DUMMYFUNCTION("""COMPUTED_VALUE"""),"K0L 1L0")</f>
        <v>K0L 1L0</v>
      </c>
      <c r="E5207" s="3"/>
      <c r="F5207" s="3"/>
      <c r="G5207" s="3"/>
      <c r="H5207" s="3"/>
    </row>
    <row r="5208">
      <c r="A5208" s="2">
        <f>IFERROR(__xludf.DUMMYFUNCTION("""COMPUTED_VALUE"""),62441.0)</f>
        <v>62441</v>
      </c>
      <c r="B5208" s="3" t="str">
        <f>IFERROR(__xludf.DUMMYFUNCTION("""COMPUTED_VALUE"""),"56 LAKEVIEW DR  ")</f>
        <v>56 LAKEVIEW DR  </v>
      </c>
      <c r="C5208" s="3" t="str">
        <f>IFERROR(__xludf.DUMMYFUNCTION("""COMPUTED_VALUE"""),"CAMPBELLFORD")</f>
        <v>CAMPBELLFORD</v>
      </c>
      <c r="D5208" s="3" t="str">
        <f>IFERROR(__xludf.DUMMYFUNCTION("""COMPUTED_VALUE"""),"K0L 1L0")</f>
        <v>K0L 1L0</v>
      </c>
      <c r="E5208" s="3" t="str">
        <f>IFERROR(__xludf.DUMMYFUNCTION("""COMPUTED_VALUE"""),"maria pilieci")</f>
        <v>maria pilieci</v>
      </c>
      <c r="F5208" s="3" t="str">
        <f>IFERROR(__xludf.DUMMYFUNCTION("""COMPUTED_VALUE"""),"rinareis@gmail.com")</f>
        <v>rinareis@gmail.com</v>
      </c>
      <c r="G5208" s="3">
        <f>IFERROR(__xludf.DUMMYFUNCTION("""COMPUTED_VALUE"""),7.059772171E9)</f>
        <v>7059772171</v>
      </c>
      <c r="H5208" s="3"/>
    </row>
    <row r="5209">
      <c r="A5209" s="2">
        <f>IFERROR(__xludf.DUMMYFUNCTION("""COMPUTED_VALUE"""),62442.0)</f>
        <v>62442</v>
      </c>
      <c r="B5209" s="3" t="str">
        <f>IFERROR(__xludf.DUMMYFUNCTION("""COMPUTED_VALUE"""),"58 LAKEVIEW DR  ")</f>
        <v>58 LAKEVIEW DR  </v>
      </c>
      <c r="C5209" s="3" t="str">
        <f>IFERROR(__xludf.DUMMYFUNCTION("""COMPUTED_VALUE"""),"CAMPBELLFORD")</f>
        <v>CAMPBELLFORD</v>
      </c>
      <c r="D5209" s="3" t="str">
        <f>IFERROR(__xludf.DUMMYFUNCTION("""COMPUTED_VALUE"""),"K0L 1L0")</f>
        <v>K0L 1L0</v>
      </c>
      <c r="E5209" s="3" t="str">
        <f>IFERROR(__xludf.DUMMYFUNCTION("""COMPUTED_VALUE"""),"Martine Vaz")</f>
        <v>Martine Vaz</v>
      </c>
      <c r="F5209" s="3" t="str">
        <f>IFERROR(__xludf.DUMMYFUNCTION("""COMPUTED_VALUE"""),"rayc@rogers.com")</f>
        <v>rayc@rogers.com</v>
      </c>
      <c r="G5209" s="3">
        <f>IFERROR(__xludf.DUMMYFUNCTION("""COMPUTED_VALUE"""),7.056533033E9)</f>
        <v>7056533033</v>
      </c>
      <c r="H5209" s="3">
        <f>IFERROR(__xludf.DUMMYFUNCTION("""COMPUTED_VALUE"""),7.0599161E9)</f>
        <v>7059916100</v>
      </c>
    </row>
    <row r="5210">
      <c r="A5210" s="2">
        <f>IFERROR(__xludf.DUMMYFUNCTION("""COMPUTED_VALUE"""),62443.0)</f>
        <v>62443</v>
      </c>
      <c r="B5210" s="3" t="str">
        <f>IFERROR(__xludf.DUMMYFUNCTION("""COMPUTED_VALUE"""),"71 LAKEVIEW DR  ")</f>
        <v>71 LAKEVIEW DR  </v>
      </c>
      <c r="C5210" s="3" t="str">
        <f>IFERROR(__xludf.DUMMYFUNCTION("""COMPUTED_VALUE"""),"CAMPBELLFORD")</f>
        <v>CAMPBELLFORD</v>
      </c>
      <c r="D5210" s="3" t="str">
        <f>IFERROR(__xludf.DUMMYFUNCTION("""COMPUTED_VALUE"""),"K0L 1L0")</f>
        <v>K0L 1L0</v>
      </c>
      <c r="E5210" s="3"/>
      <c r="F5210" s="3"/>
      <c r="G5210" s="3"/>
      <c r="H5210" s="3"/>
    </row>
    <row r="5211">
      <c r="A5211" s="2">
        <f>IFERROR(__xludf.DUMMYFUNCTION("""COMPUTED_VALUE"""),62444.0)</f>
        <v>62444</v>
      </c>
      <c r="B5211" s="3" t="str">
        <f>IFERROR(__xludf.DUMMYFUNCTION("""COMPUTED_VALUE"""),"72 LAKEVIEW DR  ")</f>
        <v>72 LAKEVIEW DR  </v>
      </c>
      <c r="C5211" s="3" t="str">
        <f>IFERROR(__xludf.DUMMYFUNCTION("""COMPUTED_VALUE"""),"CAMPBELLFORD")</f>
        <v>CAMPBELLFORD</v>
      </c>
      <c r="D5211" s="3" t="str">
        <f>IFERROR(__xludf.DUMMYFUNCTION("""COMPUTED_VALUE"""),"K0L 1L0")</f>
        <v>K0L 1L0</v>
      </c>
      <c r="E5211" s="3"/>
      <c r="F5211" s="3"/>
      <c r="G5211" s="3"/>
      <c r="H5211" s="3"/>
    </row>
    <row r="5212">
      <c r="A5212" s="2">
        <f>IFERROR(__xludf.DUMMYFUNCTION("""COMPUTED_VALUE"""),62445.0)</f>
        <v>62445</v>
      </c>
      <c r="B5212" s="3" t="str">
        <f>IFERROR(__xludf.DUMMYFUNCTION("""COMPUTED_VALUE"""),"74 LAKEVIEW DR  ")</f>
        <v>74 LAKEVIEW DR  </v>
      </c>
      <c r="C5212" s="3" t="str">
        <f>IFERROR(__xludf.DUMMYFUNCTION("""COMPUTED_VALUE"""),"CAMPBELLFORD")</f>
        <v>CAMPBELLFORD</v>
      </c>
      <c r="D5212" s="3" t="str">
        <f>IFERROR(__xludf.DUMMYFUNCTION("""COMPUTED_VALUE"""),"K0L 1L0")</f>
        <v>K0L 1L0</v>
      </c>
      <c r="E5212" s="3"/>
      <c r="F5212" s="3"/>
      <c r="G5212" s="3"/>
      <c r="H5212" s="3"/>
    </row>
    <row r="5213">
      <c r="A5213" s="2">
        <f>IFERROR(__xludf.DUMMYFUNCTION("""COMPUTED_VALUE"""),62446.0)</f>
        <v>62446</v>
      </c>
      <c r="B5213" s="3" t="str">
        <f>IFERROR(__xludf.DUMMYFUNCTION("""COMPUTED_VALUE"""),"108 LAKEVIEW DR  ")</f>
        <v>108 LAKEVIEW DR  </v>
      </c>
      <c r="C5213" s="3" t="str">
        <f>IFERROR(__xludf.DUMMYFUNCTION("""COMPUTED_VALUE"""),"CAMPBELLFORD")</f>
        <v>CAMPBELLFORD</v>
      </c>
      <c r="D5213" s="3" t="str">
        <f>IFERROR(__xludf.DUMMYFUNCTION("""COMPUTED_VALUE"""),"K0L 1L0")</f>
        <v>K0L 1L0</v>
      </c>
      <c r="E5213" s="3"/>
      <c r="F5213" s="3"/>
      <c r="G5213" s="3"/>
      <c r="H5213" s="3"/>
    </row>
    <row r="5214">
      <c r="A5214" s="2">
        <f>IFERROR(__xludf.DUMMYFUNCTION("""COMPUTED_VALUE"""),62447.0)</f>
        <v>62447</v>
      </c>
      <c r="B5214" s="3" t="str">
        <f>IFERROR(__xludf.DUMMYFUNCTION("""COMPUTED_VALUE"""),"110 LAKEVIEW DR  ")</f>
        <v>110 LAKEVIEW DR  </v>
      </c>
      <c r="C5214" s="3" t="str">
        <f>IFERROR(__xludf.DUMMYFUNCTION("""COMPUTED_VALUE"""),"CAMPBELLFORD")</f>
        <v>CAMPBELLFORD</v>
      </c>
      <c r="D5214" s="3" t="str">
        <f>IFERROR(__xludf.DUMMYFUNCTION("""COMPUTED_VALUE"""),"K0L 1L0")</f>
        <v>K0L 1L0</v>
      </c>
      <c r="E5214" s="3" t="str">
        <f>IFERROR(__xludf.DUMMYFUNCTION("""COMPUTED_VALUE"""),"george kava ")</f>
        <v>george kava </v>
      </c>
      <c r="F5214" s="3"/>
      <c r="G5214" s="3">
        <f>IFERROR(__xludf.DUMMYFUNCTION("""COMPUTED_VALUE"""),4.16970222E9)</f>
        <v>4169702220</v>
      </c>
      <c r="H5214" s="3"/>
    </row>
    <row r="5215">
      <c r="A5215" s="2">
        <f>IFERROR(__xludf.DUMMYFUNCTION("""COMPUTED_VALUE"""),62448.0)</f>
        <v>62448</v>
      </c>
      <c r="B5215" s="3" t="str">
        <f>IFERROR(__xludf.DUMMYFUNCTION("""COMPUTED_VALUE"""),"116 LAKEVIEW DR  ")</f>
        <v>116 LAKEVIEW DR  </v>
      </c>
      <c r="C5215" s="3" t="str">
        <f>IFERROR(__xludf.DUMMYFUNCTION("""COMPUTED_VALUE"""),"CAMPBELLFORD")</f>
        <v>CAMPBELLFORD</v>
      </c>
      <c r="D5215" s="3" t="str">
        <f>IFERROR(__xludf.DUMMYFUNCTION("""COMPUTED_VALUE"""),"K0L 1L0")</f>
        <v>K0L 1L0</v>
      </c>
      <c r="E5215" s="3" t="str">
        <f>IFERROR(__xludf.DUMMYFUNCTION("""COMPUTED_VALUE"""),"ianne and peter moody ")</f>
        <v>ianne and peter moody </v>
      </c>
      <c r="F5215" s="3" t="str">
        <f>IFERROR(__xludf.DUMMYFUNCTION("""COMPUTED_VALUE"""),"liannebutts@rogers.com")</f>
        <v>liannebutts@rogers.com</v>
      </c>
      <c r="G5215" s="3">
        <f>IFERROR(__xludf.DUMMYFUNCTION("""COMPUTED_VALUE"""),9.052795084E9)</f>
        <v>9052795084</v>
      </c>
      <c r="H5215" s="3">
        <f>IFERROR(__xludf.DUMMYFUNCTION("""COMPUTED_VALUE"""),6.475015084E9)</f>
        <v>6475015084</v>
      </c>
    </row>
    <row r="5216">
      <c r="A5216" s="2">
        <f>IFERROR(__xludf.DUMMYFUNCTION("""COMPUTED_VALUE"""),62449.0)</f>
        <v>62449</v>
      </c>
      <c r="B5216" s="3" t="str">
        <f>IFERROR(__xludf.DUMMYFUNCTION("""COMPUTED_VALUE"""),"122 LAKEVIEW DR  ")</f>
        <v>122 LAKEVIEW DR  </v>
      </c>
      <c r="C5216" s="3" t="str">
        <f>IFERROR(__xludf.DUMMYFUNCTION("""COMPUTED_VALUE"""),"CAMPBELLFORD")</f>
        <v>CAMPBELLFORD</v>
      </c>
      <c r="D5216" s="3" t="str">
        <f>IFERROR(__xludf.DUMMYFUNCTION("""COMPUTED_VALUE"""),"K0L 1L0")</f>
        <v>K0L 1L0</v>
      </c>
      <c r="E5216" s="3" t="str">
        <f>IFERROR(__xludf.DUMMYFUNCTION("""COMPUTED_VALUE"""),"Ruth Laity")</f>
        <v>Ruth Laity</v>
      </c>
      <c r="F5216" s="3" t="str">
        <f>IFERROR(__xludf.DUMMYFUNCTION("""COMPUTED_VALUE"""),"rlaity@hotmail.com")</f>
        <v>rlaity@hotmail.com</v>
      </c>
      <c r="G5216" s="3">
        <f>IFERROR(__xludf.DUMMYFUNCTION("""COMPUTED_VALUE"""),9.053960562E9)</f>
        <v>9053960562</v>
      </c>
      <c r="H5216" s="3">
        <f>IFERROR(__xludf.DUMMYFUNCTION("""COMPUTED_VALUE"""),9.053967175E9)</f>
        <v>9053967175</v>
      </c>
    </row>
    <row r="5217">
      <c r="A5217" s="2">
        <f>IFERROR(__xludf.DUMMYFUNCTION("""COMPUTED_VALUE"""),62450.0)</f>
        <v>62450</v>
      </c>
      <c r="B5217" s="3" t="str">
        <f>IFERROR(__xludf.DUMMYFUNCTION("""COMPUTED_VALUE"""),"130 LAKEVIEW DR  ")</f>
        <v>130 LAKEVIEW DR  </v>
      </c>
      <c r="C5217" s="3" t="str">
        <f>IFERROR(__xludf.DUMMYFUNCTION("""COMPUTED_VALUE"""),"CAMPBELLFORD")</f>
        <v>CAMPBELLFORD</v>
      </c>
      <c r="D5217" s="3" t="str">
        <f>IFERROR(__xludf.DUMMYFUNCTION("""COMPUTED_VALUE"""),"K0L 1L0")</f>
        <v>K0L 1L0</v>
      </c>
      <c r="E5217" s="3"/>
      <c r="F5217" s="3"/>
      <c r="G5217" s="3"/>
      <c r="H5217" s="3"/>
    </row>
    <row r="5218">
      <c r="A5218" s="2">
        <f>IFERROR(__xludf.DUMMYFUNCTION("""COMPUTED_VALUE"""),62451.0)</f>
        <v>62451</v>
      </c>
      <c r="B5218" s="3" t="str">
        <f>IFERROR(__xludf.DUMMYFUNCTION("""COMPUTED_VALUE"""),"138 LAKEVIEW DR  ")</f>
        <v>138 LAKEVIEW DR  </v>
      </c>
      <c r="C5218" s="3" t="str">
        <f>IFERROR(__xludf.DUMMYFUNCTION("""COMPUTED_VALUE"""),"CAMPBELLFORD")</f>
        <v>CAMPBELLFORD</v>
      </c>
      <c r="D5218" s="3" t="str">
        <f>IFERROR(__xludf.DUMMYFUNCTION("""COMPUTED_VALUE"""),"K0L 1L0")</f>
        <v>K0L 1L0</v>
      </c>
      <c r="E5218" s="3" t="str">
        <f>IFERROR(__xludf.DUMMYFUNCTION("""COMPUTED_VALUE"""),"dawn george")</f>
        <v>dawn george</v>
      </c>
      <c r="F5218" s="3" t="str">
        <f>IFERROR(__xludf.DUMMYFUNCTION("""COMPUTED_VALUE"""),"dawngeorge05@hotmail.com")</f>
        <v>dawngeorge05@hotmail.com</v>
      </c>
      <c r="G5218" s="3">
        <f>IFERROR(__xludf.DUMMYFUNCTION("""COMPUTED_VALUE"""),2.896851408E9)</f>
        <v>2896851408</v>
      </c>
      <c r="H5218" s="3"/>
    </row>
    <row r="5219">
      <c r="A5219" s="2">
        <f>IFERROR(__xludf.DUMMYFUNCTION("""COMPUTED_VALUE"""),62452.0)</f>
        <v>62452</v>
      </c>
      <c r="B5219" s="3" t="str">
        <f>IFERROR(__xludf.DUMMYFUNCTION("""COMPUTED_VALUE"""),"158 LAKEVIEW DR  ")</f>
        <v>158 LAKEVIEW DR  </v>
      </c>
      <c r="C5219" s="3" t="str">
        <f>IFERROR(__xludf.DUMMYFUNCTION("""COMPUTED_VALUE"""),"CAMPBELLFORD")</f>
        <v>CAMPBELLFORD</v>
      </c>
      <c r="D5219" s="3" t="str">
        <f>IFERROR(__xludf.DUMMYFUNCTION("""COMPUTED_VALUE"""),"K0L 1L0")</f>
        <v>K0L 1L0</v>
      </c>
      <c r="E5219" s="3" t="str">
        <f>IFERROR(__xludf.DUMMYFUNCTION("""COMPUTED_VALUE"""),"Ed Smilgis")</f>
        <v>Ed Smilgis</v>
      </c>
      <c r="F5219" s="3" t="str">
        <f>IFERROR(__xludf.DUMMYFUNCTION("""COMPUTED_VALUE"""),"ejas4@sympatico.ca")</f>
        <v>ejas4@sympatico.ca</v>
      </c>
      <c r="G5219" s="3">
        <f>IFERROR(__xludf.DUMMYFUNCTION("""COMPUTED_VALUE"""),7.05653055E9)</f>
        <v>7056530550</v>
      </c>
      <c r="H5219" s="3">
        <f>IFERROR(__xludf.DUMMYFUNCTION("""COMPUTED_VALUE"""),7.059313762E9)</f>
        <v>7059313762</v>
      </c>
    </row>
    <row r="5220">
      <c r="A5220" s="2">
        <f>IFERROR(__xludf.DUMMYFUNCTION("""COMPUTED_VALUE"""),62453.0)</f>
        <v>62453</v>
      </c>
      <c r="B5220" s="3" t="str">
        <f>IFERROR(__xludf.DUMMYFUNCTION("""COMPUTED_VALUE"""),"168 LAKEVIEW DR  ")</f>
        <v>168 LAKEVIEW DR  </v>
      </c>
      <c r="C5220" s="3" t="str">
        <f>IFERROR(__xludf.DUMMYFUNCTION("""COMPUTED_VALUE"""),"CAMPBELLFORD")</f>
        <v>CAMPBELLFORD</v>
      </c>
      <c r="D5220" s="3" t="str">
        <f>IFERROR(__xludf.DUMMYFUNCTION("""COMPUTED_VALUE"""),"K0L 1L0")</f>
        <v>K0L 1L0</v>
      </c>
      <c r="E5220" s="3"/>
      <c r="F5220" s="3"/>
      <c r="G5220" s="3"/>
      <c r="H5220" s="3"/>
    </row>
    <row r="5221">
      <c r="A5221" s="2">
        <f>IFERROR(__xludf.DUMMYFUNCTION("""COMPUTED_VALUE"""),62454.0)</f>
        <v>62454</v>
      </c>
      <c r="B5221" s="3" t="str">
        <f>IFERROR(__xludf.DUMMYFUNCTION("""COMPUTED_VALUE"""),"172 LAKEVIEW DR  ")</f>
        <v>172 LAKEVIEW DR  </v>
      </c>
      <c r="C5221" s="3" t="str">
        <f>IFERROR(__xludf.DUMMYFUNCTION("""COMPUTED_VALUE"""),"CAMPBELLFORD")</f>
        <v>CAMPBELLFORD</v>
      </c>
      <c r="D5221" s="3" t="str">
        <f>IFERROR(__xludf.DUMMYFUNCTION("""COMPUTED_VALUE"""),"K0L 1L0")</f>
        <v>K0L 1L0</v>
      </c>
      <c r="E5221" s="3"/>
      <c r="F5221" s="3"/>
      <c r="G5221" s="3"/>
      <c r="H5221" s="3"/>
    </row>
    <row r="5222">
      <c r="A5222" s="2">
        <f>IFERROR(__xludf.DUMMYFUNCTION("""COMPUTED_VALUE"""),62455.0)</f>
        <v>62455</v>
      </c>
      <c r="B5222" s="3" t="str">
        <f>IFERROR(__xludf.DUMMYFUNCTION("""COMPUTED_VALUE"""),"178 LAKEVIEW DR  ")</f>
        <v>178 LAKEVIEW DR  </v>
      </c>
      <c r="C5222" s="3" t="str">
        <f>IFERROR(__xludf.DUMMYFUNCTION("""COMPUTED_VALUE"""),"CAMPBELLFORD")</f>
        <v>CAMPBELLFORD</v>
      </c>
      <c r="D5222" s="3" t="str">
        <f>IFERROR(__xludf.DUMMYFUNCTION("""COMPUTED_VALUE"""),"K0L 1L0")</f>
        <v>K0L 1L0</v>
      </c>
      <c r="E5222" s="3" t="str">
        <f>IFERROR(__xludf.DUMMYFUNCTION("""COMPUTED_VALUE"""),"Gisele Thorpe")</f>
        <v>Gisele Thorpe</v>
      </c>
      <c r="F5222" s="3" t="str">
        <f>IFERROR(__xludf.DUMMYFUNCTION("""COMPUTED_VALUE"""),"giselethorpe@yahoo.com")</f>
        <v>giselethorpe@yahoo.com</v>
      </c>
      <c r="G5222" s="3">
        <f>IFERROR(__xludf.DUMMYFUNCTION("""COMPUTED_VALUE"""),4.165731924E9)</f>
        <v>4165731924</v>
      </c>
      <c r="H5222" s="3"/>
    </row>
    <row r="5223">
      <c r="A5223" s="2">
        <f>IFERROR(__xludf.DUMMYFUNCTION("""COMPUTED_VALUE"""),62456.0)</f>
        <v>62456</v>
      </c>
      <c r="B5223" s="3" t="str">
        <f>IFERROR(__xludf.DUMMYFUNCTION("""COMPUTED_VALUE"""),"184 LAKEVIEW DR  ")</f>
        <v>184 LAKEVIEW DR  </v>
      </c>
      <c r="C5223" s="3" t="str">
        <f>IFERROR(__xludf.DUMMYFUNCTION("""COMPUTED_VALUE"""),"CAMPBELLFORD")</f>
        <v>CAMPBELLFORD</v>
      </c>
      <c r="D5223" s="3" t="str">
        <f>IFERROR(__xludf.DUMMYFUNCTION("""COMPUTED_VALUE"""),"K0L 1L0")</f>
        <v>K0L 1L0</v>
      </c>
      <c r="E5223" s="3" t="str">
        <f>IFERROR(__xludf.DUMMYFUNCTION("""COMPUTED_VALUE"""),"James Stewart")</f>
        <v>James Stewart</v>
      </c>
      <c r="F5223" s="3" t="str">
        <f>IFERROR(__xludf.DUMMYFUNCTION("""COMPUTED_VALUE"""),"cadarham1@sympatico.ca")</f>
        <v>cadarham1@sympatico.ca</v>
      </c>
      <c r="G5223" s="3"/>
      <c r="H5223" s="3"/>
    </row>
    <row r="5224">
      <c r="A5224" s="2">
        <f>IFERROR(__xludf.DUMMYFUNCTION("""COMPUTED_VALUE"""),62457.0)</f>
        <v>62457</v>
      </c>
      <c r="B5224" s="3" t="str">
        <f>IFERROR(__xludf.DUMMYFUNCTION("""COMPUTED_VALUE"""),"201 LAKEVIEW DR  ")</f>
        <v>201 LAKEVIEW DR  </v>
      </c>
      <c r="C5224" s="3" t="str">
        <f>IFERROR(__xludf.DUMMYFUNCTION("""COMPUTED_VALUE"""),"CAMPBELLFORD")</f>
        <v>CAMPBELLFORD</v>
      </c>
      <c r="D5224" s="3" t="str">
        <f>IFERROR(__xludf.DUMMYFUNCTION("""COMPUTED_VALUE"""),"K0L 1L0")</f>
        <v>K0L 1L0</v>
      </c>
      <c r="E5224" s="3" t="str">
        <f>IFERROR(__xludf.DUMMYFUNCTION("""COMPUTED_VALUE"""),"mel iris ")</f>
        <v>mel iris </v>
      </c>
      <c r="F5224" s="3"/>
      <c r="G5224" s="3">
        <f>IFERROR(__xludf.DUMMYFUNCTION("""COMPUTED_VALUE"""),7.056321649E9)</f>
        <v>7056321649</v>
      </c>
      <c r="H5224" s="3"/>
    </row>
    <row r="5225">
      <c r="A5225" s="2">
        <f>IFERROR(__xludf.DUMMYFUNCTION("""COMPUTED_VALUE"""),62458.0)</f>
        <v>62458</v>
      </c>
      <c r="B5225" s="3" t="str">
        <f>IFERROR(__xludf.DUMMYFUNCTION("""COMPUTED_VALUE"""),"214 LAKEVIEW DR  ")</f>
        <v>214 LAKEVIEW DR  </v>
      </c>
      <c r="C5225" s="3" t="str">
        <f>IFERROR(__xludf.DUMMYFUNCTION("""COMPUTED_VALUE"""),"CAMPBELLFORD")</f>
        <v>CAMPBELLFORD</v>
      </c>
      <c r="D5225" s="3" t="str">
        <f>IFERROR(__xludf.DUMMYFUNCTION("""COMPUTED_VALUE"""),"K0L 1L0")</f>
        <v>K0L 1L0</v>
      </c>
      <c r="E5225" s="3" t="str">
        <f>IFERROR(__xludf.DUMMYFUNCTION("""COMPUTED_VALUE"""),"Eve Pingle")</f>
        <v>Eve Pingle</v>
      </c>
      <c r="F5225" s="3" t="str">
        <f>IFERROR(__xludf.DUMMYFUNCTION("""COMPUTED_VALUE"""),"epingle53@gmail.com")</f>
        <v>epingle53@gmail.com</v>
      </c>
      <c r="G5225" s="3"/>
      <c r="H5225" s="3"/>
    </row>
    <row r="5226">
      <c r="A5226" s="2">
        <f>IFERROR(__xludf.DUMMYFUNCTION("""COMPUTED_VALUE"""),62459.0)</f>
        <v>62459</v>
      </c>
      <c r="B5226" s="3" t="str">
        <f>IFERROR(__xludf.DUMMYFUNCTION("""COMPUTED_VALUE"""),"232 LAKEVIEW DR  ")</f>
        <v>232 LAKEVIEW DR  </v>
      </c>
      <c r="C5226" s="3" t="str">
        <f>IFERROR(__xludf.DUMMYFUNCTION("""COMPUTED_VALUE"""),"CAMPBELLFORD")</f>
        <v>CAMPBELLFORD</v>
      </c>
      <c r="D5226" s="3" t="str">
        <f>IFERROR(__xludf.DUMMYFUNCTION("""COMPUTED_VALUE"""),"K0L 1L0")</f>
        <v>K0L 1L0</v>
      </c>
      <c r="E5226" s="3" t="str">
        <f>IFERROR(__xludf.DUMMYFUNCTION("""COMPUTED_VALUE"""),"terry milligan")</f>
        <v>terry milligan</v>
      </c>
      <c r="F5226" s="3" t="str">
        <f>IFERROR(__xludf.DUMMYFUNCTION("""COMPUTED_VALUE"""),"bmwterry@hotmail.com")</f>
        <v>bmwterry@hotmail.com</v>
      </c>
      <c r="G5226" s="3">
        <f>IFERROR(__xludf.DUMMYFUNCTION("""COMPUTED_VALUE"""),7.053127872E9)</f>
        <v>7053127872</v>
      </c>
      <c r="H5226" s="3">
        <f>IFERROR(__xludf.DUMMYFUNCTION("""COMPUTED_VALUE"""),5.198786998E9)</f>
        <v>5198786998</v>
      </c>
    </row>
    <row r="5227">
      <c r="A5227" s="2">
        <f>IFERROR(__xludf.DUMMYFUNCTION("""COMPUTED_VALUE"""),62460.0)</f>
        <v>62460</v>
      </c>
      <c r="B5227" s="3" t="str">
        <f>IFERROR(__xludf.DUMMYFUNCTION("""COMPUTED_VALUE"""),"234 LAKEVIEW DR  ")</f>
        <v>234 LAKEVIEW DR  </v>
      </c>
      <c r="C5227" s="3" t="str">
        <f>IFERROR(__xludf.DUMMYFUNCTION("""COMPUTED_VALUE"""),"CAMPBELLFORD")</f>
        <v>CAMPBELLFORD</v>
      </c>
      <c r="D5227" s="3" t="str">
        <f>IFERROR(__xludf.DUMMYFUNCTION("""COMPUTED_VALUE"""),"K0L 1L0")</f>
        <v>K0L 1L0</v>
      </c>
      <c r="E5227" s="3" t="str">
        <f>IFERROR(__xludf.DUMMYFUNCTION("""COMPUTED_VALUE"""),"Luke Annaert")</f>
        <v>Luke Annaert</v>
      </c>
      <c r="F5227" s="3" t="str">
        <f>IFERROR(__xludf.DUMMYFUNCTION("""COMPUTED_VALUE"""),"free2fly44@gmail.com")</f>
        <v>free2fly44@gmail.com</v>
      </c>
      <c r="G5227" s="3"/>
      <c r="H5227" s="3"/>
    </row>
    <row r="5228">
      <c r="A5228" s="2">
        <f>IFERROR(__xludf.DUMMYFUNCTION("""COMPUTED_VALUE"""),63767.0)</f>
        <v>63767</v>
      </c>
      <c r="B5228" s="3" t="str">
        <f>IFERROR(__xludf.DUMMYFUNCTION("""COMPUTED_VALUE"""),"30 LAKEVIEW DR  ")</f>
        <v>30 LAKEVIEW DR  </v>
      </c>
      <c r="C5228" s="3" t="str">
        <f>IFERROR(__xludf.DUMMYFUNCTION("""COMPUTED_VALUE"""),"CAMPBELLFORD")</f>
        <v>CAMPBELLFORD</v>
      </c>
      <c r="D5228" s="3" t="str">
        <f>IFERROR(__xludf.DUMMYFUNCTION("""COMPUTED_VALUE"""),"K0L 1L0")</f>
        <v>K0L 1L0</v>
      </c>
      <c r="E5228" s="3"/>
      <c r="F5228" s="3"/>
      <c r="G5228" s="3"/>
      <c r="H5228" s="3"/>
    </row>
    <row r="5229">
      <c r="A5229" s="2">
        <f>IFERROR(__xludf.DUMMYFUNCTION("""COMPUTED_VALUE"""),63765.0)</f>
        <v>63765</v>
      </c>
      <c r="B5229" s="3" t="str">
        <f>IFERROR(__xludf.DUMMYFUNCTION("""COMPUTED_VALUE"""),"196 LAKEVIEW DR")</f>
        <v>196 LAKEVIEW DR</v>
      </c>
      <c r="C5229" s="3"/>
      <c r="D5229" s="3"/>
      <c r="E5229" s="3"/>
      <c r="F5229" s="3"/>
      <c r="G5229" s="3"/>
      <c r="H5229" s="3"/>
    </row>
    <row r="5230">
      <c r="A5230" s="2">
        <f>IFERROR(__xludf.DUMMYFUNCTION("""COMPUTED_VALUE"""),63766.0)</f>
        <v>63766</v>
      </c>
      <c r="B5230" s="3" t="str">
        <f>IFERROR(__xludf.DUMMYFUNCTION("""COMPUTED_VALUE"""),"211 LAKEVIEW DR")</f>
        <v>211 LAKEVIEW DR</v>
      </c>
      <c r="C5230" s="3"/>
      <c r="D5230" s="3"/>
      <c r="E5230" s="3"/>
      <c r="F5230" s="3"/>
      <c r="G5230" s="3"/>
      <c r="H5230" s="3"/>
    </row>
    <row r="5231">
      <c r="A5231" s="2">
        <f>IFERROR(__xludf.DUMMYFUNCTION("""COMPUTED_VALUE"""),62067.0)</f>
        <v>62067</v>
      </c>
      <c r="B5231" s="3" t="str">
        <f>IFERROR(__xludf.DUMMYFUNCTION("""COMPUTED_VALUE"""),"5 HEALEY FALLS DR DR  ")</f>
        <v>5 HEALEY FALLS DR DR  </v>
      </c>
      <c r="C5231" s="3" t="str">
        <f>IFERROR(__xludf.DUMMYFUNCTION("""COMPUTED_VALUE"""),"CAMPBELLFORD")</f>
        <v>CAMPBELLFORD</v>
      </c>
      <c r="D5231" s="3" t="str">
        <f>IFERROR(__xludf.DUMMYFUNCTION("""COMPUTED_VALUE"""),"K0L 1L0")</f>
        <v>K0L 1L0</v>
      </c>
      <c r="E5231" s="3"/>
      <c r="F5231" s="3"/>
      <c r="G5231" s="3"/>
      <c r="H5231" s="3"/>
    </row>
    <row r="5232">
      <c r="A5232" s="2">
        <f>IFERROR(__xludf.DUMMYFUNCTION("""COMPUTED_VALUE"""),62068.0)</f>
        <v>62068</v>
      </c>
      <c r="B5232" s="3" t="str">
        <f>IFERROR(__xludf.DUMMYFUNCTION("""COMPUTED_VALUE"""),"15 HEALEY FALLS DR DR  ")</f>
        <v>15 HEALEY FALLS DR DR  </v>
      </c>
      <c r="C5232" s="3" t="str">
        <f>IFERROR(__xludf.DUMMYFUNCTION("""COMPUTED_VALUE"""),"CAMPBELLFORD")</f>
        <v>CAMPBELLFORD</v>
      </c>
      <c r="D5232" s="3" t="str">
        <f>IFERROR(__xludf.DUMMYFUNCTION("""COMPUTED_VALUE"""),"K0L 1L0")</f>
        <v>K0L 1L0</v>
      </c>
      <c r="E5232" s="3"/>
      <c r="F5232" s="3"/>
      <c r="G5232" s="3"/>
      <c r="H5232" s="3"/>
    </row>
    <row r="5233">
      <c r="A5233" s="2">
        <f>IFERROR(__xludf.DUMMYFUNCTION("""COMPUTED_VALUE"""),62069.0)</f>
        <v>62069</v>
      </c>
      <c r="B5233" s="3" t="str">
        <f>IFERROR(__xludf.DUMMYFUNCTION("""COMPUTED_VALUE"""),"18 HEALEY FALLS DR DR  ")</f>
        <v>18 HEALEY FALLS DR DR  </v>
      </c>
      <c r="C5233" s="3" t="str">
        <f>IFERROR(__xludf.DUMMYFUNCTION("""COMPUTED_VALUE"""),"CAMPBELLFORD")</f>
        <v>CAMPBELLFORD</v>
      </c>
      <c r="D5233" s="3" t="str">
        <f>IFERROR(__xludf.DUMMYFUNCTION("""COMPUTED_VALUE"""),"K0L 1L0")</f>
        <v>K0L 1L0</v>
      </c>
      <c r="E5233" s="3" t="str">
        <f>IFERROR(__xludf.DUMMYFUNCTION("""COMPUTED_VALUE"""),"adam cole ")</f>
        <v>adam cole </v>
      </c>
      <c r="F5233" s="3" t="str">
        <f>IFERROR(__xludf.DUMMYFUNCTION("""COMPUTED_VALUE"""),"adamkcole1@gmail.com")</f>
        <v>adamkcole1@gmail.com</v>
      </c>
      <c r="G5233" s="3">
        <f>IFERROR(__xludf.DUMMYFUNCTION("""COMPUTED_VALUE"""),9.05442491E9)</f>
        <v>9054424910</v>
      </c>
      <c r="H5233" s="3"/>
    </row>
    <row r="5234">
      <c r="A5234" s="2">
        <f>IFERROR(__xludf.DUMMYFUNCTION("""COMPUTED_VALUE"""),62070.0)</f>
        <v>62070</v>
      </c>
      <c r="B5234" s="3" t="str">
        <f>IFERROR(__xludf.DUMMYFUNCTION("""COMPUTED_VALUE"""),"25 HEALEY FALLS DR DR  ")</f>
        <v>25 HEALEY FALLS DR DR  </v>
      </c>
      <c r="C5234" s="3" t="str">
        <f>IFERROR(__xludf.DUMMYFUNCTION("""COMPUTED_VALUE"""),"CAMPBELLFORD")</f>
        <v>CAMPBELLFORD</v>
      </c>
      <c r="D5234" s="3" t="str">
        <f>IFERROR(__xludf.DUMMYFUNCTION("""COMPUTED_VALUE"""),"K0L 1L0")</f>
        <v>K0L 1L0</v>
      </c>
      <c r="E5234" s="3"/>
      <c r="F5234" s="3"/>
      <c r="G5234" s="3"/>
      <c r="H5234" s="3"/>
    </row>
    <row r="5235">
      <c r="A5235" s="2">
        <f>IFERROR(__xludf.DUMMYFUNCTION("""COMPUTED_VALUE"""),62071.0)</f>
        <v>62071</v>
      </c>
      <c r="B5235" s="3" t="str">
        <f>IFERROR(__xludf.DUMMYFUNCTION("""COMPUTED_VALUE"""),"26 HEALEY FALLS DR DR  ")</f>
        <v>26 HEALEY FALLS DR DR  </v>
      </c>
      <c r="C5235" s="3" t="str">
        <f>IFERROR(__xludf.DUMMYFUNCTION("""COMPUTED_VALUE"""),"CAMPBELLFORD")</f>
        <v>CAMPBELLFORD</v>
      </c>
      <c r="D5235" s="3" t="str">
        <f>IFERROR(__xludf.DUMMYFUNCTION("""COMPUTED_VALUE"""),"K0L 1L0")</f>
        <v>K0L 1L0</v>
      </c>
      <c r="E5235" s="3"/>
      <c r="F5235" s="3"/>
      <c r="G5235" s="3"/>
      <c r="H5235" s="3"/>
    </row>
    <row r="5236">
      <c r="A5236" s="2">
        <f>IFERROR(__xludf.DUMMYFUNCTION("""COMPUTED_VALUE"""),62072.0)</f>
        <v>62072</v>
      </c>
      <c r="B5236" s="3" t="str">
        <f>IFERROR(__xludf.DUMMYFUNCTION("""COMPUTED_VALUE"""),"45 HEALEY FALLS DR DR  ")</f>
        <v>45 HEALEY FALLS DR DR  </v>
      </c>
      <c r="C5236" s="3" t="str">
        <f>IFERROR(__xludf.DUMMYFUNCTION("""COMPUTED_VALUE"""),"CAMPBELLFORD")</f>
        <v>CAMPBELLFORD</v>
      </c>
      <c r="D5236" s="3" t="str">
        <f>IFERROR(__xludf.DUMMYFUNCTION("""COMPUTED_VALUE"""),"K0L 1L0")</f>
        <v>K0L 1L0</v>
      </c>
      <c r="E5236" s="3" t="str">
        <f>IFERROR(__xludf.DUMMYFUNCTION("""COMPUTED_VALUE"""),"Jordan Tanner")</f>
        <v>Jordan Tanner</v>
      </c>
      <c r="F5236" s="3" t="str">
        <f>IFERROR(__xludf.DUMMYFUNCTION("""COMPUTED_VALUE"""),"jordan.r.tanner@gmail.com")</f>
        <v>jordan.r.tanner@gmail.com</v>
      </c>
      <c r="G5236" s="3">
        <f>IFERROR(__xludf.DUMMYFUNCTION("""COMPUTED_VALUE"""),7.058721636E9)</f>
        <v>7058721636</v>
      </c>
      <c r="H5236" s="3"/>
    </row>
    <row r="5237">
      <c r="A5237" s="2">
        <f>IFERROR(__xludf.DUMMYFUNCTION("""COMPUTED_VALUE"""),63588.0)</f>
        <v>63588</v>
      </c>
      <c r="B5237" s="3" t="str">
        <f>IFERROR(__xludf.DUMMYFUNCTION("""COMPUTED_VALUE"""),"16 WALLICK DR  ")</f>
        <v>16 WALLICK DR  </v>
      </c>
      <c r="C5237" s="3" t="str">
        <f>IFERROR(__xludf.DUMMYFUNCTION("""COMPUTED_VALUE"""),"CAMPBELLFORD")</f>
        <v>CAMPBELLFORD</v>
      </c>
      <c r="D5237" s="3" t="str">
        <f>IFERROR(__xludf.DUMMYFUNCTION("""COMPUTED_VALUE"""),"K0L 1L0")</f>
        <v>K0L 1L0</v>
      </c>
      <c r="E5237" s="3"/>
      <c r="F5237" s="3"/>
      <c r="G5237" s="3"/>
      <c r="H5237" s="3"/>
    </row>
    <row r="5238">
      <c r="A5238" s="2">
        <f>IFERROR(__xludf.DUMMYFUNCTION("""COMPUTED_VALUE"""),63816.0)</f>
        <v>63816</v>
      </c>
      <c r="B5238" s="3" t="str">
        <f>IFERROR(__xludf.DUMMYFUNCTION("""COMPUTED_VALUE"""),"9 SEYMOUR DR  ")</f>
        <v>9 SEYMOUR DR  </v>
      </c>
      <c r="C5238" s="3" t="str">
        <f>IFERROR(__xludf.DUMMYFUNCTION("""COMPUTED_VALUE"""),"CAMPBELLFORD")</f>
        <v>CAMPBELLFORD</v>
      </c>
      <c r="D5238" s="3" t="str">
        <f>IFERROR(__xludf.DUMMYFUNCTION("""COMPUTED_VALUE"""),"K0L 1L0")</f>
        <v>K0L 1L0</v>
      </c>
      <c r="E5238" s="3"/>
      <c r="F5238" s="3"/>
      <c r="G5238" s="3"/>
      <c r="H5238" s="3"/>
    </row>
    <row r="5239">
      <c r="A5239" s="2">
        <f>IFERROR(__xludf.DUMMYFUNCTION("""COMPUTED_VALUE"""),63334.0)</f>
        <v>63334</v>
      </c>
      <c r="B5239" s="3" t="str">
        <f>IFERROR(__xludf.DUMMYFUNCTION("""COMPUTED_VALUE"""),"11 SEYMOUR DR  ")</f>
        <v>11 SEYMOUR DR  </v>
      </c>
      <c r="C5239" s="3" t="str">
        <f>IFERROR(__xludf.DUMMYFUNCTION("""COMPUTED_VALUE"""),"CAMPBELLFORD")</f>
        <v>CAMPBELLFORD</v>
      </c>
      <c r="D5239" s="3" t="str">
        <f>IFERROR(__xludf.DUMMYFUNCTION("""COMPUTED_VALUE"""),"K0L 1L0")</f>
        <v>K0L 1L0</v>
      </c>
      <c r="E5239" s="3" t="str">
        <f>IFERROR(__xludf.DUMMYFUNCTION("""COMPUTED_VALUE"""),"LIHONG YAN")</f>
        <v>LIHONG YAN</v>
      </c>
      <c r="F5239" s="3" t="str">
        <f>IFERROR(__xludf.DUMMYFUNCTION("""COMPUTED_VALUE"""),"cgh719719@gmail.com")</f>
        <v>cgh719719@gmail.com</v>
      </c>
      <c r="G5239" s="3"/>
      <c r="H5239" s="3"/>
    </row>
    <row r="5240">
      <c r="A5240" s="2">
        <f>IFERROR(__xludf.DUMMYFUNCTION("""COMPUTED_VALUE"""),63335.0)</f>
        <v>63335</v>
      </c>
      <c r="B5240" s="3" t="str">
        <f>IFERROR(__xludf.DUMMYFUNCTION("""COMPUTED_VALUE"""),"12 SEYMOUR DR  ")</f>
        <v>12 SEYMOUR DR  </v>
      </c>
      <c r="C5240" s="3" t="str">
        <f>IFERROR(__xludf.DUMMYFUNCTION("""COMPUTED_VALUE"""),"CAMPBELLFORD")</f>
        <v>CAMPBELLFORD</v>
      </c>
      <c r="D5240" s="3" t="str">
        <f>IFERROR(__xludf.DUMMYFUNCTION("""COMPUTED_VALUE"""),"K0L 1L0")</f>
        <v>K0L 1L0</v>
      </c>
      <c r="E5240" s="3" t="str">
        <f>IFERROR(__xludf.DUMMYFUNCTION("""COMPUTED_VALUE"""),"Johanne Pierce")</f>
        <v>Johanne Pierce</v>
      </c>
      <c r="F5240" s="3" t="str">
        <f>IFERROR(__xludf.DUMMYFUNCTION("""COMPUTED_VALUE"""),"newagedrywall.rp@gmail.com")</f>
        <v>newagedrywall.rp@gmail.com</v>
      </c>
      <c r="G5240" s="3">
        <f>IFERROR(__xludf.DUMMYFUNCTION("""COMPUTED_VALUE"""),9.058098277E9)</f>
        <v>9058098277</v>
      </c>
      <c r="H5240" s="3"/>
    </row>
    <row r="5241">
      <c r="A5241" s="2">
        <f>IFERROR(__xludf.DUMMYFUNCTION("""COMPUTED_VALUE"""),63764.0)</f>
        <v>63764</v>
      </c>
      <c r="B5241" s="3" t="str">
        <f>IFERROR(__xludf.DUMMYFUNCTION("""COMPUTED_VALUE"""),"7 SEYMOUR DR")</f>
        <v>7 SEYMOUR DR</v>
      </c>
      <c r="C5241" s="3"/>
      <c r="D5241" s="3"/>
      <c r="E5241" s="3"/>
      <c r="F5241" s="3"/>
      <c r="G5241" s="3"/>
      <c r="H5241" s="3"/>
    </row>
    <row r="5242">
      <c r="A5242" s="2">
        <f>IFERROR(__xludf.DUMMYFUNCTION("""COMPUTED_VALUE"""),60572.0)</f>
        <v>60572</v>
      </c>
      <c r="B5242" s="3" t="str">
        <f>IFERROR(__xludf.DUMMYFUNCTION("""COMPUTED_VALUE"""),"50 CANAL RD")</f>
        <v>50 CANAL RD</v>
      </c>
      <c r="C5242" s="3" t="str">
        <f>IFERROR(__xludf.DUMMYFUNCTION("""COMPUTED_VALUE"""),"CAMPBELLFORD")</f>
        <v>CAMPBELLFORD</v>
      </c>
      <c r="D5242" s="3" t="str">
        <f>IFERROR(__xludf.DUMMYFUNCTION("""COMPUTED_VALUE"""),"K0L 1L0")</f>
        <v>K0L 1L0</v>
      </c>
      <c r="E5242" s="3" t="str">
        <f>IFERROR(__xludf.DUMMYFUNCTION("""COMPUTED_VALUE"""),"Beverley Denniston")</f>
        <v>Beverley Denniston</v>
      </c>
      <c r="F5242" s="3" t="str">
        <f>IFERROR(__xludf.DUMMYFUNCTION("""COMPUTED_VALUE"""),"teekd@me.com")</f>
        <v>teekd@me.com</v>
      </c>
      <c r="G5242" s="3"/>
      <c r="H5242" s="3"/>
    </row>
    <row r="5243">
      <c r="A5243" s="2">
        <f>IFERROR(__xludf.DUMMYFUNCTION("""COMPUTED_VALUE"""),60573.0)</f>
        <v>60573</v>
      </c>
      <c r="B5243" s="3" t="str">
        <f>IFERROR(__xludf.DUMMYFUNCTION("""COMPUTED_VALUE"""),"56 CANAL RD")</f>
        <v>56 CANAL RD</v>
      </c>
      <c r="C5243" s="3" t="str">
        <f>IFERROR(__xludf.DUMMYFUNCTION("""COMPUTED_VALUE"""),"CAMPBELLFORD")</f>
        <v>CAMPBELLFORD</v>
      </c>
      <c r="D5243" s="3" t="str">
        <f>IFERROR(__xludf.DUMMYFUNCTION("""COMPUTED_VALUE"""),"K0L 1L0")</f>
        <v>K0L 1L0</v>
      </c>
      <c r="E5243" s="3"/>
      <c r="F5243" s="3"/>
      <c r="G5243" s="3"/>
      <c r="H5243" s="3"/>
    </row>
    <row r="5244">
      <c r="A5244" s="2">
        <f>IFERROR(__xludf.DUMMYFUNCTION("""COMPUTED_VALUE"""),60574.0)</f>
        <v>60574</v>
      </c>
      <c r="B5244" s="3" t="str">
        <f>IFERROR(__xludf.DUMMYFUNCTION("""COMPUTED_VALUE"""),"66 CANAL RD")</f>
        <v>66 CANAL RD</v>
      </c>
      <c r="C5244" s="3" t="str">
        <f>IFERROR(__xludf.DUMMYFUNCTION("""COMPUTED_VALUE"""),"CAMPBELLFORD")</f>
        <v>CAMPBELLFORD</v>
      </c>
      <c r="D5244" s="3" t="str">
        <f>IFERROR(__xludf.DUMMYFUNCTION("""COMPUTED_VALUE"""),"K0L 1L0")</f>
        <v>K0L 1L0</v>
      </c>
      <c r="E5244" s="3"/>
      <c r="F5244" s="3"/>
      <c r="G5244" s="3"/>
      <c r="H5244" s="3"/>
    </row>
    <row r="5245">
      <c r="A5245" s="2">
        <f>IFERROR(__xludf.DUMMYFUNCTION("""COMPUTED_VALUE"""),60575.0)</f>
        <v>60575</v>
      </c>
      <c r="B5245" s="3" t="str">
        <f>IFERROR(__xludf.DUMMYFUNCTION("""COMPUTED_VALUE"""),"76 CANAL RD")</f>
        <v>76 CANAL RD</v>
      </c>
      <c r="C5245" s="3" t="str">
        <f>IFERROR(__xludf.DUMMYFUNCTION("""COMPUTED_VALUE"""),"CAMPBELLFORD")</f>
        <v>CAMPBELLFORD</v>
      </c>
      <c r="D5245" s="3" t="str">
        <f>IFERROR(__xludf.DUMMYFUNCTION("""COMPUTED_VALUE"""),"K0L 1L0")</f>
        <v>K0L 1L0</v>
      </c>
      <c r="E5245" s="3"/>
      <c r="F5245" s="3"/>
      <c r="G5245" s="3"/>
      <c r="H5245" s="3"/>
    </row>
    <row r="5246">
      <c r="A5246" s="2">
        <f>IFERROR(__xludf.DUMMYFUNCTION("""COMPUTED_VALUE"""),60576.0)</f>
        <v>60576</v>
      </c>
      <c r="B5246" s="3" t="str">
        <f>IFERROR(__xludf.DUMMYFUNCTION("""COMPUTED_VALUE"""),"82 CANAL RD")</f>
        <v>82 CANAL RD</v>
      </c>
      <c r="C5246" s="3" t="str">
        <f>IFERROR(__xludf.DUMMYFUNCTION("""COMPUTED_VALUE"""),"CAMPBELLFORD")</f>
        <v>CAMPBELLFORD</v>
      </c>
      <c r="D5246" s="3" t="str">
        <f>IFERROR(__xludf.DUMMYFUNCTION("""COMPUTED_VALUE"""),"K0L 1L0")</f>
        <v>K0L 1L0</v>
      </c>
      <c r="E5246" s="3"/>
      <c r="F5246" s="3"/>
      <c r="G5246" s="3"/>
      <c r="H5246" s="3"/>
    </row>
    <row r="5247">
      <c r="A5247" s="2">
        <f>IFERROR(__xludf.DUMMYFUNCTION("""COMPUTED_VALUE"""),60577.0)</f>
        <v>60577</v>
      </c>
      <c r="B5247" s="3" t="str">
        <f>IFERROR(__xludf.DUMMYFUNCTION("""COMPUTED_VALUE"""),"88 CANAL RD")</f>
        <v>88 CANAL RD</v>
      </c>
      <c r="C5247" s="3" t="str">
        <f>IFERROR(__xludf.DUMMYFUNCTION("""COMPUTED_VALUE"""),"CAMPBELLFORD")</f>
        <v>CAMPBELLFORD</v>
      </c>
      <c r="D5247" s="3" t="str">
        <f>IFERROR(__xludf.DUMMYFUNCTION("""COMPUTED_VALUE"""),"K0L 1L0")</f>
        <v>K0L 1L0</v>
      </c>
      <c r="E5247" s="3" t="str">
        <f>IFERROR(__xludf.DUMMYFUNCTION("""COMPUTED_VALUE"""),"Fern Vizza")</f>
        <v>Fern Vizza</v>
      </c>
      <c r="F5247" s="3" t="str">
        <f>IFERROR(__xludf.DUMMYFUNCTION("""COMPUTED_VALUE"""),"strictlyinterior52@gmail.com")</f>
        <v>strictlyinterior52@gmail.com</v>
      </c>
      <c r="G5247" s="3"/>
      <c r="H5247" s="3"/>
    </row>
    <row r="5248">
      <c r="A5248" s="2">
        <f>IFERROR(__xludf.DUMMYFUNCTION("""COMPUTED_VALUE"""),60578.0)</f>
        <v>60578</v>
      </c>
      <c r="B5248" s="3" t="str">
        <f>IFERROR(__xludf.DUMMYFUNCTION("""COMPUTED_VALUE"""),"96 CANAL RD")</f>
        <v>96 CANAL RD</v>
      </c>
      <c r="C5248" s="3" t="str">
        <f>IFERROR(__xludf.DUMMYFUNCTION("""COMPUTED_VALUE"""),"CAMPBELLFORD")</f>
        <v>CAMPBELLFORD</v>
      </c>
      <c r="D5248" s="3" t="str">
        <f>IFERROR(__xludf.DUMMYFUNCTION("""COMPUTED_VALUE"""),"K0L 1L0")</f>
        <v>K0L 1L0</v>
      </c>
      <c r="E5248" s="3" t="str">
        <f>IFERROR(__xludf.DUMMYFUNCTION("""COMPUTED_VALUE"""),"Jack Boisvert")</f>
        <v>Jack Boisvert</v>
      </c>
      <c r="F5248" s="3" t="str">
        <f>IFERROR(__xludf.DUMMYFUNCTION("""COMPUTED_VALUE"""),"Jack@candoosecurity.com")</f>
        <v>Jack@candoosecurity.com</v>
      </c>
      <c r="G5248" s="3">
        <f>IFERROR(__xludf.DUMMYFUNCTION("""COMPUTED_VALUE"""),4.168888335E9)</f>
        <v>4168888335</v>
      </c>
      <c r="H5248" s="3"/>
    </row>
    <row r="5249">
      <c r="A5249" s="2">
        <f>IFERROR(__xludf.DUMMYFUNCTION("""COMPUTED_VALUE"""),60579.0)</f>
        <v>60579</v>
      </c>
      <c r="B5249" s="3" t="str">
        <f>IFERROR(__xludf.DUMMYFUNCTION("""COMPUTED_VALUE"""),"102 CANAL RD")</f>
        <v>102 CANAL RD</v>
      </c>
      <c r="C5249" s="3" t="str">
        <f>IFERROR(__xludf.DUMMYFUNCTION("""COMPUTED_VALUE"""),"CAMPBELLFORD")</f>
        <v>CAMPBELLFORD</v>
      </c>
      <c r="D5249" s="3" t="str">
        <f>IFERROR(__xludf.DUMMYFUNCTION("""COMPUTED_VALUE"""),"K0L 1L0")</f>
        <v>K0L 1L0</v>
      </c>
      <c r="E5249" s="3"/>
      <c r="F5249" s="3"/>
      <c r="G5249" s="3"/>
      <c r="H5249" s="3"/>
    </row>
    <row r="5250">
      <c r="A5250" s="2">
        <f>IFERROR(__xludf.DUMMYFUNCTION("""COMPUTED_VALUE"""),60580.0)</f>
        <v>60580</v>
      </c>
      <c r="B5250" s="3" t="str">
        <f>IFERROR(__xludf.DUMMYFUNCTION("""COMPUTED_VALUE"""),"106 CANAL RD")</f>
        <v>106 CANAL RD</v>
      </c>
      <c r="C5250" s="3" t="str">
        <f>IFERROR(__xludf.DUMMYFUNCTION("""COMPUTED_VALUE"""),"CAMPBELLFORD")</f>
        <v>CAMPBELLFORD</v>
      </c>
      <c r="D5250" s="3" t="str">
        <f>IFERROR(__xludf.DUMMYFUNCTION("""COMPUTED_VALUE"""),"K0L 1L0")</f>
        <v>K0L 1L0</v>
      </c>
      <c r="E5250" s="3"/>
      <c r="F5250" s="3"/>
      <c r="G5250" s="3"/>
      <c r="H5250" s="3"/>
    </row>
    <row r="5251">
      <c r="A5251" s="2">
        <f>IFERROR(__xludf.DUMMYFUNCTION("""COMPUTED_VALUE"""),60581.0)</f>
        <v>60581</v>
      </c>
      <c r="B5251" s="3" t="str">
        <f>IFERROR(__xludf.DUMMYFUNCTION("""COMPUTED_VALUE"""),"116 CANAL RD")</f>
        <v>116 CANAL RD</v>
      </c>
      <c r="C5251" s="3" t="str">
        <f>IFERROR(__xludf.DUMMYFUNCTION("""COMPUTED_VALUE"""),"CAMPBELLFORD")</f>
        <v>CAMPBELLFORD</v>
      </c>
      <c r="D5251" s="3" t="str">
        <f>IFERROR(__xludf.DUMMYFUNCTION("""COMPUTED_VALUE"""),"K0L 1L0")</f>
        <v>K0L 1L0</v>
      </c>
      <c r="E5251" s="3" t="str">
        <f>IFERROR(__xludf.DUMMYFUNCTION("""COMPUTED_VALUE"""),"Eva Allaire ")</f>
        <v>Eva Allaire </v>
      </c>
      <c r="F5251" s="3" t="str">
        <f>IFERROR(__xludf.DUMMYFUNCTION("""COMPUTED_VALUE"""),"evaalaire@gmail.com")</f>
        <v>evaalaire@gmail.com</v>
      </c>
      <c r="G5251" s="3"/>
      <c r="H5251" s="3"/>
    </row>
    <row r="5252">
      <c r="A5252" s="2">
        <f>IFERROR(__xludf.DUMMYFUNCTION("""COMPUTED_VALUE"""),60582.0)</f>
        <v>60582</v>
      </c>
      <c r="B5252" s="3" t="str">
        <f>IFERROR(__xludf.DUMMYFUNCTION("""COMPUTED_VALUE"""),"124 CANAL RD")</f>
        <v>124 CANAL RD</v>
      </c>
      <c r="C5252" s="3" t="str">
        <f>IFERROR(__xludf.DUMMYFUNCTION("""COMPUTED_VALUE"""),"CAMPBELLFORD")</f>
        <v>CAMPBELLFORD</v>
      </c>
      <c r="D5252" s="3" t="str">
        <f>IFERROR(__xludf.DUMMYFUNCTION("""COMPUTED_VALUE"""),"K0L 1L0")</f>
        <v>K0L 1L0</v>
      </c>
      <c r="E5252" s="3"/>
      <c r="F5252" s="3"/>
      <c r="G5252" s="3"/>
      <c r="H5252" s="3"/>
    </row>
    <row r="5253">
      <c r="A5253" s="2">
        <f>IFERROR(__xludf.DUMMYFUNCTION("""COMPUTED_VALUE"""),60583.0)</f>
        <v>60583</v>
      </c>
      <c r="B5253" s="3" t="str">
        <f>IFERROR(__xludf.DUMMYFUNCTION("""COMPUTED_VALUE"""),"130 CANAL RD")</f>
        <v>130 CANAL RD</v>
      </c>
      <c r="C5253" s="3" t="str">
        <f>IFERROR(__xludf.DUMMYFUNCTION("""COMPUTED_VALUE"""),"CAMPBELLFORD")</f>
        <v>CAMPBELLFORD</v>
      </c>
      <c r="D5253" s="3" t="str">
        <f>IFERROR(__xludf.DUMMYFUNCTION("""COMPUTED_VALUE"""),"K0L 1L0")</f>
        <v>K0L 1L0</v>
      </c>
      <c r="E5253" s="3"/>
      <c r="F5253" s="3"/>
      <c r="G5253" s="3"/>
      <c r="H5253" s="3"/>
    </row>
    <row r="5254">
      <c r="A5254" s="2">
        <f>IFERROR(__xludf.DUMMYFUNCTION("""COMPUTED_VALUE"""),60584.0)</f>
        <v>60584</v>
      </c>
      <c r="B5254" s="3" t="str">
        <f>IFERROR(__xludf.DUMMYFUNCTION("""COMPUTED_VALUE"""),"134 CANAL RD")</f>
        <v>134 CANAL RD</v>
      </c>
      <c r="C5254" s="3" t="str">
        <f>IFERROR(__xludf.DUMMYFUNCTION("""COMPUTED_VALUE"""),"CAMPBELLFORD")</f>
        <v>CAMPBELLFORD</v>
      </c>
      <c r="D5254" s="3" t="str">
        <f>IFERROR(__xludf.DUMMYFUNCTION("""COMPUTED_VALUE"""),"K0L 1L0")</f>
        <v>K0L 1L0</v>
      </c>
      <c r="E5254" s="3" t="str">
        <f>IFERROR(__xludf.DUMMYFUNCTION("""COMPUTED_VALUE"""),"Keith Bird")</f>
        <v>Keith Bird</v>
      </c>
      <c r="F5254" s="3" t="str">
        <f>IFERROR(__xludf.DUMMYFUNCTION("""COMPUTED_VALUE"""),"sharonbird365@yahoo.c")</f>
        <v>sharonbird365@yahoo.c</v>
      </c>
      <c r="G5254" s="3"/>
      <c r="H5254" s="3"/>
    </row>
    <row r="5255">
      <c r="A5255" s="2">
        <f>IFERROR(__xludf.DUMMYFUNCTION("""COMPUTED_VALUE"""),60585.0)</f>
        <v>60585</v>
      </c>
      <c r="B5255" s="3" t="str">
        <f>IFERROR(__xludf.DUMMYFUNCTION("""COMPUTED_VALUE"""),"136 CANAL RD")</f>
        <v>136 CANAL RD</v>
      </c>
      <c r="C5255" s="3" t="str">
        <f>IFERROR(__xludf.DUMMYFUNCTION("""COMPUTED_VALUE"""),"CAMPBELLFORD")</f>
        <v>CAMPBELLFORD</v>
      </c>
      <c r="D5255" s="3" t="str">
        <f>IFERROR(__xludf.DUMMYFUNCTION("""COMPUTED_VALUE"""),"K0L 1L0")</f>
        <v>K0L 1L0</v>
      </c>
      <c r="E5255" s="3"/>
      <c r="F5255" s="3"/>
      <c r="G5255" s="3"/>
      <c r="H5255" s="3"/>
    </row>
    <row r="5256">
      <c r="A5256" s="2">
        <f>IFERROR(__xludf.DUMMYFUNCTION("""COMPUTED_VALUE"""),60586.0)</f>
        <v>60586</v>
      </c>
      <c r="B5256" s="3" t="str">
        <f>IFERROR(__xludf.DUMMYFUNCTION("""COMPUTED_VALUE"""),"140 CANAL RD")</f>
        <v>140 CANAL RD</v>
      </c>
      <c r="C5256" s="3" t="str">
        <f>IFERROR(__xludf.DUMMYFUNCTION("""COMPUTED_VALUE"""),"CAMPBELLFORD")</f>
        <v>CAMPBELLFORD</v>
      </c>
      <c r="D5256" s="3" t="str">
        <f>IFERROR(__xludf.DUMMYFUNCTION("""COMPUTED_VALUE"""),"K0L 1L0")</f>
        <v>K0L 1L0</v>
      </c>
      <c r="E5256" s="3" t="str">
        <f>IFERROR(__xludf.DUMMYFUNCTION("""COMPUTED_VALUE"""),"Jeff Blain")</f>
        <v>Jeff Blain</v>
      </c>
      <c r="F5256" s="3" t="str">
        <f>IFERROR(__xludf.DUMMYFUNCTION("""COMPUTED_VALUE"""),"jgblain@hotmail.com")</f>
        <v>jgblain@hotmail.com</v>
      </c>
      <c r="G5256" s="3"/>
      <c r="H5256" s="3"/>
    </row>
    <row r="5257">
      <c r="A5257" s="2">
        <f>IFERROR(__xludf.DUMMYFUNCTION("""COMPUTED_VALUE"""),60587.0)</f>
        <v>60587</v>
      </c>
      <c r="B5257" s="3" t="str">
        <f>IFERROR(__xludf.DUMMYFUNCTION("""COMPUTED_VALUE"""),"146 CANAL RD")</f>
        <v>146 CANAL RD</v>
      </c>
      <c r="C5257" s="3" t="str">
        <f>IFERROR(__xludf.DUMMYFUNCTION("""COMPUTED_VALUE"""),"CAMPBELLFORD")</f>
        <v>CAMPBELLFORD</v>
      </c>
      <c r="D5257" s="3" t="str">
        <f>IFERROR(__xludf.DUMMYFUNCTION("""COMPUTED_VALUE"""),"K0L 1L0")</f>
        <v>K0L 1L0</v>
      </c>
      <c r="E5257" s="3" t="str">
        <f>IFERROR(__xludf.DUMMYFUNCTION("""COMPUTED_VALUE"""),"rob gordon ")</f>
        <v>rob gordon </v>
      </c>
      <c r="F5257" s="3" t="str">
        <f>IFERROR(__xludf.DUMMYFUNCTION("""COMPUTED_VALUE"""),"healyfalls@hmail.com")</f>
        <v>healyfalls@hmail.com</v>
      </c>
      <c r="G5257" s="3"/>
      <c r="H5257" s="3"/>
    </row>
    <row r="5258">
      <c r="A5258" s="2">
        <f>IFERROR(__xludf.DUMMYFUNCTION("""COMPUTED_VALUE"""),60588.0)</f>
        <v>60588</v>
      </c>
      <c r="B5258" s="3" t="str">
        <f>IFERROR(__xludf.DUMMYFUNCTION("""COMPUTED_VALUE"""),"148 CANAL RD")</f>
        <v>148 CANAL RD</v>
      </c>
      <c r="C5258" s="3" t="str">
        <f>IFERROR(__xludf.DUMMYFUNCTION("""COMPUTED_VALUE"""),"CAMPBELLFORD")</f>
        <v>CAMPBELLFORD</v>
      </c>
      <c r="D5258" s="3" t="str">
        <f>IFERROR(__xludf.DUMMYFUNCTION("""COMPUTED_VALUE"""),"K0L 1L0")</f>
        <v>K0L 1L0</v>
      </c>
      <c r="E5258" s="3" t="str">
        <f>IFERROR(__xludf.DUMMYFUNCTION("""COMPUTED_VALUE"""),"robert armour")</f>
        <v>robert armour</v>
      </c>
      <c r="F5258" s="3" t="str">
        <f>IFERROR(__xludf.DUMMYFUNCTION("""COMPUTED_VALUE"""),"armourrobm@gmail.com")</f>
        <v>armourrobm@gmail.com</v>
      </c>
      <c r="G5258" s="3">
        <f>IFERROR(__xludf.DUMMYFUNCTION("""COMPUTED_VALUE"""),4.16316851E9)</f>
        <v>4163168510</v>
      </c>
      <c r="H5258" s="3"/>
    </row>
    <row r="5259">
      <c r="A5259" s="2">
        <f>IFERROR(__xludf.DUMMYFUNCTION("""COMPUTED_VALUE"""),60589.0)</f>
        <v>60589</v>
      </c>
      <c r="B5259" s="3" t="str">
        <f>IFERROR(__xludf.DUMMYFUNCTION("""COMPUTED_VALUE"""),"152 CANAL RD")</f>
        <v>152 CANAL RD</v>
      </c>
      <c r="C5259" s="3" t="str">
        <f>IFERROR(__xludf.DUMMYFUNCTION("""COMPUTED_VALUE"""),"CAMPBELLFORD")</f>
        <v>CAMPBELLFORD</v>
      </c>
      <c r="D5259" s="3" t="str">
        <f>IFERROR(__xludf.DUMMYFUNCTION("""COMPUTED_VALUE"""),"K0L 1L0")</f>
        <v>K0L 1L0</v>
      </c>
      <c r="E5259" s="3"/>
      <c r="F5259" s="3"/>
      <c r="G5259" s="3"/>
      <c r="H5259" s="3"/>
    </row>
    <row r="5260">
      <c r="A5260" s="2">
        <f>IFERROR(__xludf.DUMMYFUNCTION("""COMPUTED_VALUE"""),60590.0)</f>
        <v>60590</v>
      </c>
      <c r="B5260" s="3" t="str">
        <f>IFERROR(__xludf.DUMMYFUNCTION("""COMPUTED_VALUE"""),"156 CANAL RD")</f>
        <v>156 CANAL RD</v>
      </c>
      <c r="C5260" s="3" t="str">
        <f>IFERROR(__xludf.DUMMYFUNCTION("""COMPUTED_VALUE"""),"CAMPBELLFORD")</f>
        <v>CAMPBELLFORD</v>
      </c>
      <c r="D5260" s="3" t="str">
        <f>IFERROR(__xludf.DUMMYFUNCTION("""COMPUTED_VALUE"""),"K0L 1L0")</f>
        <v>K0L 1L0</v>
      </c>
      <c r="E5260" s="3" t="str">
        <f>IFERROR(__xludf.DUMMYFUNCTION("""COMPUTED_VALUE"""),"a andrerson")</f>
        <v>a andrerson</v>
      </c>
      <c r="F5260" s="3"/>
      <c r="G5260" s="3">
        <f>IFERROR(__xludf.DUMMYFUNCTION("""COMPUTED_VALUE"""),7.057680011E9)</f>
        <v>7057680011</v>
      </c>
      <c r="H5260" s="3"/>
    </row>
    <row r="5261">
      <c r="A5261" s="2">
        <f>IFERROR(__xludf.DUMMYFUNCTION("""COMPUTED_VALUE"""),60591.0)</f>
        <v>60591</v>
      </c>
      <c r="B5261" s="3" t="str">
        <f>IFERROR(__xludf.DUMMYFUNCTION("""COMPUTED_VALUE"""),"158 CANAL RD")</f>
        <v>158 CANAL RD</v>
      </c>
      <c r="C5261" s="3" t="str">
        <f>IFERROR(__xludf.DUMMYFUNCTION("""COMPUTED_VALUE"""),"CAMPBELLFORD")</f>
        <v>CAMPBELLFORD</v>
      </c>
      <c r="D5261" s="3" t="str">
        <f>IFERROR(__xludf.DUMMYFUNCTION("""COMPUTED_VALUE"""),"K0L 1L0")</f>
        <v>K0L 1L0</v>
      </c>
      <c r="E5261" s="3"/>
      <c r="F5261" s="3"/>
      <c r="G5261" s="3"/>
      <c r="H5261" s="3"/>
    </row>
    <row r="5262">
      <c r="A5262" s="2">
        <f>IFERROR(__xludf.DUMMYFUNCTION("""COMPUTED_VALUE"""),60592.0)</f>
        <v>60592</v>
      </c>
      <c r="B5262" s="3" t="str">
        <f>IFERROR(__xludf.DUMMYFUNCTION("""COMPUTED_VALUE"""),"160 CANAL RD")</f>
        <v>160 CANAL RD</v>
      </c>
      <c r="C5262" s="3" t="str">
        <f>IFERROR(__xludf.DUMMYFUNCTION("""COMPUTED_VALUE"""),"CAMPBELLFORD")</f>
        <v>CAMPBELLFORD</v>
      </c>
      <c r="D5262" s="3" t="str">
        <f>IFERROR(__xludf.DUMMYFUNCTION("""COMPUTED_VALUE"""),"K0L 1L0")</f>
        <v>K0L 1L0</v>
      </c>
      <c r="E5262" s="3"/>
      <c r="F5262" s="3"/>
      <c r="G5262" s="3"/>
      <c r="H5262" s="3"/>
    </row>
    <row r="5263">
      <c r="A5263" s="2">
        <f>IFERROR(__xludf.DUMMYFUNCTION("""COMPUTED_VALUE"""),60593.0)</f>
        <v>60593</v>
      </c>
      <c r="B5263" s="3" t="str">
        <f>IFERROR(__xludf.DUMMYFUNCTION("""COMPUTED_VALUE"""),"163 CANAL RD")</f>
        <v>163 CANAL RD</v>
      </c>
      <c r="C5263" s="3" t="str">
        <f>IFERROR(__xludf.DUMMYFUNCTION("""COMPUTED_VALUE"""),"CAMPBELLFORD")</f>
        <v>CAMPBELLFORD</v>
      </c>
      <c r="D5263" s="3" t="str">
        <f>IFERROR(__xludf.DUMMYFUNCTION("""COMPUTED_VALUE"""),"K0L 1L0")</f>
        <v>K0L 1L0</v>
      </c>
      <c r="E5263" s="3"/>
      <c r="F5263" s="3"/>
      <c r="G5263" s="3"/>
      <c r="H5263" s="3"/>
    </row>
    <row r="5264">
      <c r="A5264" s="2">
        <f>IFERROR(__xludf.DUMMYFUNCTION("""COMPUTED_VALUE"""),60594.0)</f>
        <v>60594</v>
      </c>
      <c r="B5264" s="3" t="str">
        <f>IFERROR(__xludf.DUMMYFUNCTION("""COMPUTED_VALUE"""),"171 CANAL RD")</f>
        <v>171 CANAL RD</v>
      </c>
      <c r="C5264" s="3" t="str">
        <f>IFERROR(__xludf.DUMMYFUNCTION("""COMPUTED_VALUE"""),"CAMPBELLFORD")</f>
        <v>CAMPBELLFORD</v>
      </c>
      <c r="D5264" s="3" t="str">
        <f>IFERROR(__xludf.DUMMYFUNCTION("""COMPUTED_VALUE"""),"K0L 1L0")</f>
        <v>K0L 1L0</v>
      </c>
      <c r="E5264" s="3" t="str">
        <f>IFERROR(__xludf.DUMMYFUNCTION("""COMPUTED_VALUE"""),"Gary Powell")</f>
        <v>Gary Powell</v>
      </c>
      <c r="F5264" s="3" t="str">
        <f>IFERROR(__xludf.DUMMYFUNCTION("""COMPUTED_VALUE"""),"garypoweall@look.ca")</f>
        <v>garypoweall@look.ca</v>
      </c>
      <c r="G5264" s="3"/>
      <c r="H5264" s="3"/>
    </row>
    <row r="5265">
      <c r="A5265" s="2">
        <f>IFERROR(__xludf.DUMMYFUNCTION("""COMPUTED_VALUE"""),60595.0)</f>
        <v>60595</v>
      </c>
      <c r="B5265" s="3" t="str">
        <f>IFERROR(__xludf.DUMMYFUNCTION("""COMPUTED_VALUE"""),"175 CANAL RD")</f>
        <v>175 CANAL RD</v>
      </c>
      <c r="C5265" s="3" t="str">
        <f>IFERROR(__xludf.DUMMYFUNCTION("""COMPUTED_VALUE"""),"septic")</f>
        <v>septic</v>
      </c>
      <c r="D5265" s="3" t="str">
        <f>IFERROR(__xludf.DUMMYFUNCTION("""COMPUTED_VALUE"""),"K0L 1L0")</f>
        <v>K0L 1L0</v>
      </c>
      <c r="E5265" s="3" t="str">
        <f>IFERROR(__xludf.DUMMYFUNCTION("""COMPUTED_VALUE"""),"Jack Boisvert")</f>
        <v>Jack Boisvert</v>
      </c>
      <c r="F5265" s="3" t="str">
        <f>IFERROR(__xludf.DUMMYFUNCTION("""COMPUTED_VALUE"""),"jack@candoosecurity.com")</f>
        <v>jack@candoosecurity.com</v>
      </c>
      <c r="G5265" s="3">
        <f>IFERROR(__xludf.DUMMYFUNCTION("""COMPUTED_VALUE"""),4.168888335E9)</f>
        <v>4168888335</v>
      </c>
      <c r="H5265" s="3"/>
    </row>
    <row r="5266">
      <c r="A5266" s="2">
        <f>IFERROR(__xludf.DUMMYFUNCTION("""COMPUTED_VALUE"""),60596.0)</f>
        <v>60596</v>
      </c>
      <c r="B5266" s="3" t="str">
        <f>IFERROR(__xludf.DUMMYFUNCTION("""COMPUTED_VALUE"""),"219 CANAL RD")</f>
        <v>219 CANAL RD</v>
      </c>
      <c r="C5266" s="3" t="str">
        <f>IFERROR(__xludf.DUMMYFUNCTION("""COMPUTED_VALUE"""),"CAMPBELLFORD")</f>
        <v>CAMPBELLFORD</v>
      </c>
      <c r="D5266" s="3" t="str">
        <f>IFERROR(__xludf.DUMMYFUNCTION("""COMPUTED_VALUE"""),"K0L 1L0")</f>
        <v>K0L 1L0</v>
      </c>
      <c r="E5266" s="3" t="str">
        <f>IFERROR(__xludf.DUMMYFUNCTION("""COMPUTED_VALUE"""),"jayne williams")</f>
        <v>jayne williams</v>
      </c>
      <c r="F5266" s="3" t="str">
        <f>IFERROR(__xludf.DUMMYFUNCTION("""COMPUTED_VALUE"""),"gfj219@gmail.com")</f>
        <v>gfj219@gmail.com</v>
      </c>
      <c r="G5266" s="3">
        <f>IFERROR(__xludf.DUMMYFUNCTION("""COMPUTED_VALUE"""),7.056534479E9)</f>
        <v>7056534479</v>
      </c>
      <c r="H5266" s="3"/>
    </row>
    <row r="5267">
      <c r="A5267" s="2">
        <f>IFERROR(__xludf.DUMMYFUNCTION("""COMPUTED_VALUE"""),62743.0)</f>
        <v>62743</v>
      </c>
      <c r="B5267" s="3" t="str">
        <f>IFERROR(__xludf.DUMMYFUNCTION("""COMPUTED_VALUE"""),"44 NICHOLAS RD  ")</f>
        <v>44 NICHOLAS RD  </v>
      </c>
      <c r="C5267" s="3" t="str">
        <f>IFERROR(__xludf.DUMMYFUNCTION("""COMPUTED_VALUE"""),"CAMPBELLFORD")</f>
        <v>CAMPBELLFORD</v>
      </c>
      <c r="D5267" s="3" t="str">
        <f>IFERROR(__xludf.DUMMYFUNCTION("""COMPUTED_VALUE"""),"K0L 1L0")</f>
        <v>K0L 1L0</v>
      </c>
      <c r="E5267" s="3" t="str">
        <f>IFERROR(__xludf.DUMMYFUNCTION("""COMPUTED_VALUE"""),"Jackie Shute")</f>
        <v>Jackie Shute</v>
      </c>
      <c r="F5267" s="3" t="str">
        <f>IFERROR(__xludf.DUMMYFUNCTION("""COMPUTED_VALUE"""),"jsshute@hotmail.com")</f>
        <v>jsshute@hotmail.com</v>
      </c>
      <c r="G5267" s="3">
        <f>IFERROR(__xludf.DUMMYFUNCTION("""COMPUTED_VALUE"""),7.056530681E9)</f>
        <v>7056530681</v>
      </c>
      <c r="H5267" s="3">
        <f>IFERROR(__xludf.DUMMYFUNCTION("""COMPUTED_VALUE"""),7.056537694E9)</f>
        <v>7056537694</v>
      </c>
    </row>
    <row r="5268">
      <c r="A5268" s="2">
        <f>IFERROR(__xludf.DUMMYFUNCTION("""COMPUTED_VALUE"""),62744.0)</f>
        <v>62744</v>
      </c>
      <c r="B5268" s="3" t="str">
        <f>IFERROR(__xludf.DUMMYFUNCTION("""COMPUTED_VALUE"""),"59 NICHOLAS RD  ")</f>
        <v>59 NICHOLAS RD  </v>
      </c>
      <c r="C5268" s="3" t="str">
        <f>IFERROR(__xludf.DUMMYFUNCTION("""COMPUTED_VALUE"""),"CAMPBELLFORD")</f>
        <v>CAMPBELLFORD</v>
      </c>
      <c r="D5268" s="3" t="str">
        <f>IFERROR(__xludf.DUMMYFUNCTION("""COMPUTED_VALUE"""),"K0L 1L0")</f>
        <v>K0L 1L0</v>
      </c>
      <c r="E5268" s="3"/>
      <c r="F5268" s="3"/>
      <c r="G5268" s="3"/>
      <c r="H5268" s="3"/>
    </row>
    <row r="5269">
      <c r="A5269" s="2">
        <f>IFERROR(__xludf.DUMMYFUNCTION("""COMPUTED_VALUE"""),60077.0)</f>
        <v>60077</v>
      </c>
      <c r="B5269" s="3" t="str">
        <f>IFERROR(__xludf.DUMMYFUNCTION("""COMPUTED_VALUE"""),"2198 11TH LINE W")</f>
        <v>2198 11TH LINE W</v>
      </c>
      <c r="C5269" s="3" t="str">
        <f>IFERROR(__xludf.DUMMYFUNCTION("""COMPUTED_VALUE"""),"CAMPBELLFORD")</f>
        <v>CAMPBELLFORD</v>
      </c>
      <c r="D5269" s="3" t="str">
        <f>IFERROR(__xludf.DUMMYFUNCTION("""COMPUTED_VALUE"""),"K0L 1L0")</f>
        <v>K0L 1L0</v>
      </c>
      <c r="E5269" s="3" t="str">
        <f>IFERROR(__xludf.DUMMYFUNCTION("""COMPUTED_VALUE"""),"gail mclaughlin")</f>
        <v>gail mclaughlin</v>
      </c>
      <c r="F5269" s="3"/>
      <c r="G5269" s="3">
        <f>IFERROR(__xludf.DUMMYFUNCTION("""COMPUTED_VALUE"""),7.052538946E9)</f>
        <v>7052538946</v>
      </c>
      <c r="H5269" s="3"/>
    </row>
    <row r="5270">
      <c r="A5270" s="2">
        <f>IFERROR(__xludf.DUMMYFUNCTION("""COMPUTED_VALUE"""),60597.0)</f>
        <v>60597</v>
      </c>
      <c r="B5270" s="3" t="str">
        <f>IFERROR(__xludf.DUMMYFUNCTION("""COMPUTED_VALUE"""),"394 CANAL RD")</f>
        <v>394 CANAL RD</v>
      </c>
      <c r="C5270" s="3" t="str">
        <f>IFERROR(__xludf.DUMMYFUNCTION("""COMPUTED_VALUE"""),"CAMPBELLFORD")</f>
        <v>CAMPBELLFORD</v>
      </c>
      <c r="D5270" s="3" t="str">
        <f>IFERROR(__xludf.DUMMYFUNCTION("""COMPUTED_VALUE"""),"K0L 1L0")</f>
        <v>K0L 1L0</v>
      </c>
      <c r="E5270" s="3"/>
      <c r="F5270" s="3"/>
      <c r="G5270" s="3"/>
      <c r="H5270" s="3"/>
    </row>
    <row r="5271">
      <c r="A5271" s="2">
        <f>IFERROR(__xludf.DUMMYFUNCTION("""COMPUTED_VALUE"""),60598.0)</f>
        <v>60598</v>
      </c>
      <c r="B5271" s="3" t="str">
        <f>IFERROR(__xludf.DUMMYFUNCTION("""COMPUTED_VALUE"""),"402 CANAL RD")</f>
        <v>402 CANAL RD</v>
      </c>
      <c r="C5271" s="3" t="str">
        <f>IFERROR(__xludf.DUMMYFUNCTION("""COMPUTED_VALUE"""),"CAMPBELLFORD")</f>
        <v>CAMPBELLFORD</v>
      </c>
      <c r="D5271" s="3" t="str">
        <f>IFERROR(__xludf.DUMMYFUNCTION("""COMPUTED_VALUE"""),"K0L 1L0")</f>
        <v>K0L 1L0</v>
      </c>
      <c r="E5271" s="3" t="str">
        <f>IFERROR(__xludf.DUMMYFUNCTION("""COMPUTED_VALUE"""),"Radomir Rancic")</f>
        <v>Radomir Rancic</v>
      </c>
      <c r="F5271" s="3" t="str">
        <f>IFERROR(__xludf.DUMMYFUNCTION("""COMPUTED_VALUE"""),"radomirrancic@gmail.com")</f>
        <v>radomirrancic@gmail.com</v>
      </c>
      <c r="G5271" s="3">
        <f>IFERROR(__xludf.DUMMYFUNCTION("""COMPUTED_VALUE"""),9.059254051E9)</f>
        <v>9059254051</v>
      </c>
      <c r="H5271" s="3"/>
    </row>
    <row r="5272">
      <c r="A5272" s="2">
        <f>IFERROR(__xludf.DUMMYFUNCTION("""COMPUTED_VALUE"""),60599.0)</f>
        <v>60599</v>
      </c>
      <c r="B5272" s="3" t="str">
        <f>IFERROR(__xludf.DUMMYFUNCTION("""COMPUTED_VALUE"""),"406 CANAL RD")</f>
        <v>406 CANAL RD</v>
      </c>
      <c r="C5272" s="3" t="str">
        <f>IFERROR(__xludf.DUMMYFUNCTION("""COMPUTED_VALUE"""),"CAMPBELLFORD")</f>
        <v>CAMPBELLFORD</v>
      </c>
      <c r="D5272" s="3" t="str">
        <f>IFERROR(__xludf.DUMMYFUNCTION("""COMPUTED_VALUE"""),"K0L 1L0")</f>
        <v>K0L 1L0</v>
      </c>
      <c r="E5272" s="3" t="str">
        <f>IFERROR(__xludf.DUMMYFUNCTION("""COMPUTED_VALUE"""),"Karen Ferrier")</f>
        <v>Karen Ferrier</v>
      </c>
      <c r="F5272" s="3" t="str">
        <f>IFERROR(__xludf.DUMMYFUNCTION("""COMPUTED_VALUE"""),"karenbear65@yahoo.com")</f>
        <v>karenbear65@yahoo.com</v>
      </c>
      <c r="G5272" s="3"/>
      <c r="H5272" s="3"/>
    </row>
    <row r="5273">
      <c r="A5273" s="2">
        <f>IFERROR(__xludf.DUMMYFUNCTION("""COMPUTED_VALUE"""),60600.0)</f>
        <v>60600</v>
      </c>
      <c r="B5273" s="3" t="str">
        <f>IFERROR(__xludf.DUMMYFUNCTION("""COMPUTED_VALUE"""),"410 CANAL RD")</f>
        <v>410 CANAL RD</v>
      </c>
      <c r="C5273" s="3" t="str">
        <f>IFERROR(__xludf.DUMMYFUNCTION("""COMPUTED_VALUE"""),"CAMPBELLFORD")</f>
        <v>CAMPBELLFORD</v>
      </c>
      <c r="D5273" s="3" t="str">
        <f>IFERROR(__xludf.DUMMYFUNCTION("""COMPUTED_VALUE"""),"K0L 1L0")</f>
        <v>K0L 1L0</v>
      </c>
      <c r="E5273" s="3" t="str">
        <f>IFERROR(__xludf.DUMMYFUNCTION("""COMPUTED_VALUE"""),"steve mavromatis")</f>
        <v>steve mavromatis</v>
      </c>
      <c r="F5273" s="3"/>
      <c r="G5273" s="3">
        <f>IFERROR(__xludf.DUMMYFUNCTION("""COMPUTED_VALUE"""),6.479611021E9)</f>
        <v>6479611021</v>
      </c>
      <c r="H5273" s="3"/>
    </row>
    <row r="5274">
      <c r="A5274" s="2">
        <f>IFERROR(__xludf.DUMMYFUNCTION("""COMPUTED_VALUE"""),60601.0)</f>
        <v>60601</v>
      </c>
      <c r="B5274" s="3" t="str">
        <f>IFERROR(__xludf.DUMMYFUNCTION("""COMPUTED_VALUE"""),"414 CANAL RD")</f>
        <v>414 CANAL RD</v>
      </c>
      <c r="C5274" s="3" t="str">
        <f>IFERROR(__xludf.DUMMYFUNCTION("""COMPUTED_VALUE"""),"CAMPBELLFORD")</f>
        <v>CAMPBELLFORD</v>
      </c>
      <c r="D5274" s="3" t="str">
        <f>IFERROR(__xludf.DUMMYFUNCTION("""COMPUTED_VALUE"""),"K0L 1L0")</f>
        <v>K0L 1L0</v>
      </c>
      <c r="E5274" s="3" t="str">
        <f>IFERROR(__xludf.DUMMYFUNCTION("""COMPUTED_VALUE"""),"Shane Sanford")</f>
        <v>Shane Sanford</v>
      </c>
      <c r="F5274" s="3"/>
      <c r="G5274" s="3"/>
      <c r="H5274" s="3"/>
    </row>
    <row r="5275">
      <c r="A5275" s="2">
        <f>IFERROR(__xludf.DUMMYFUNCTION("""COMPUTED_VALUE"""),60602.0)</f>
        <v>60602</v>
      </c>
      <c r="B5275" s="3" t="str">
        <f>IFERROR(__xludf.DUMMYFUNCTION("""COMPUTED_VALUE"""),"420 CANAL RD")</f>
        <v>420 CANAL RD</v>
      </c>
      <c r="C5275" s="3" t="str">
        <f>IFERROR(__xludf.DUMMYFUNCTION("""COMPUTED_VALUE"""),"CAMPBELLFORD")</f>
        <v>CAMPBELLFORD</v>
      </c>
      <c r="D5275" s="3" t="str">
        <f>IFERROR(__xludf.DUMMYFUNCTION("""COMPUTED_VALUE"""),"K0L 1L0")</f>
        <v>K0L 1L0</v>
      </c>
      <c r="E5275" s="3"/>
      <c r="F5275" s="3"/>
      <c r="G5275" s="3"/>
      <c r="H5275" s="3"/>
    </row>
    <row r="5276">
      <c r="A5276" s="2">
        <f>IFERROR(__xludf.DUMMYFUNCTION("""COMPUTED_VALUE"""),60603.0)</f>
        <v>60603</v>
      </c>
      <c r="B5276" s="3" t="str">
        <f>IFERROR(__xludf.DUMMYFUNCTION("""COMPUTED_VALUE"""),"428 CANAL RD")</f>
        <v>428 CANAL RD</v>
      </c>
      <c r="C5276" s="3" t="str">
        <f>IFERROR(__xludf.DUMMYFUNCTION("""COMPUTED_VALUE"""),"CAMPBELLFORD")</f>
        <v>CAMPBELLFORD</v>
      </c>
      <c r="D5276" s="3" t="str">
        <f>IFERROR(__xludf.DUMMYFUNCTION("""COMPUTED_VALUE"""),"K0L 1L0")</f>
        <v>K0L 1L0</v>
      </c>
      <c r="E5276" s="3"/>
      <c r="F5276" s="3"/>
      <c r="G5276" s="3"/>
      <c r="H5276" s="3"/>
    </row>
    <row r="5277">
      <c r="A5277" s="2">
        <f>IFERROR(__xludf.DUMMYFUNCTION("""COMPUTED_VALUE"""),60604.0)</f>
        <v>60604</v>
      </c>
      <c r="B5277" s="3" t="str">
        <f>IFERROR(__xludf.DUMMYFUNCTION("""COMPUTED_VALUE"""),"436 CANAL RD")</f>
        <v>436 CANAL RD</v>
      </c>
      <c r="C5277" s="3" t="str">
        <f>IFERROR(__xludf.DUMMYFUNCTION("""COMPUTED_VALUE"""),"CAMPBELLFORD")</f>
        <v>CAMPBELLFORD</v>
      </c>
      <c r="D5277" s="3" t="str">
        <f>IFERROR(__xludf.DUMMYFUNCTION("""COMPUTED_VALUE"""),"K0L 1L0")</f>
        <v>K0L 1L0</v>
      </c>
      <c r="E5277" s="3" t="str">
        <f>IFERROR(__xludf.DUMMYFUNCTION("""COMPUTED_VALUE"""),"Arthur Collins")</f>
        <v>Arthur Collins</v>
      </c>
      <c r="F5277" s="3" t="str">
        <f>IFERROR(__xludf.DUMMYFUNCTION("""COMPUTED_VALUE"""),"lucillegcomeau@rogers.com")</f>
        <v>lucillegcomeau@rogers.com</v>
      </c>
      <c r="G5277" s="3">
        <f>IFERROR(__xludf.DUMMYFUNCTION("""COMPUTED_VALUE"""),7.056326742E9)</f>
        <v>7056326742</v>
      </c>
      <c r="H5277" s="3">
        <f>IFERROR(__xludf.DUMMYFUNCTION("""COMPUTED_VALUE"""),7.056326741E9)</f>
        <v>7056326741</v>
      </c>
    </row>
    <row r="5278">
      <c r="A5278" s="2">
        <f>IFERROR(__xludf.DUMMYFUNCTION("""COMPUTED_VALUE"""),60605.0)</f>
        <v>60605</v>
      </c>
      <c r="B5278" s="3" t="str">
        <f>IFERROR(__xludf.DUMMYFUNCTION("""COMPUTED_VALUE"""),"447 CANAL RD")</f>
        <v>447 CANAL RD</v>
      </c>
      <c r="C5278" s="3" t="str">
        <f>IFERROR(__xludf.DUMMYFUNCTION("""COMPUTED_VALUE"""),"CAMPBELLFORD")</f>
        <v>CAMPBELLFORD</v>
      </c>
      <c r="D5278" s="3" t="str">
        <f>IFERROR(__xludf.DUMMYFUNCTION("""COMPUTED_VALUE"""),"K0L 1L0")</f>
        <v>K0L 1L0</v>
      </c>
      <c r="E5278" s="3"/>
      <c r="F5278" s="3"/>
      <c r="G5278" s="3"/>
      <c r="H5278" s="3"/>
    </row>
    <row r="5279">
      <c r="A5279" s="2">
        <f>IFERROR(__xludf.DUMMYFUNCTION("""COMPUTED_VALUE"""),60606.0)</f>
        <v>60606</v>
      </c>
      <c r="B5279" s="3" t="str">
        <f>IFERROR(__xludf.DUMMYFUNCTION("""COMPUTED_VALUE"""),"458 CANAL RD")</f>
        <v>458 CANAL RD</v>
      </c>
      <c r="C5279" s="3" t="str">
        <f>IFERROR(__xludf.DUMMYFUNCTION("""COMPUTED_VALUE"""),"CAMPBELLFORD")</f>
        <v>CAMPBELLFORD</v>
      </c>
      <c r="D5279" s="3" t="str">
        <f>IFERROR(__xludf.DUMMYFUNCTION("""COMPUTED_VALUE"""),"K0L 1L0")</f>
        <v>K0L 1L0</v>
      </c>
      <c r="E5279" s="3" t="str">
        <f>IFERROR(__xludf.DUMMYFUNCTION("""COMPUTED_VALUE"""),"leslie brown")</f>
        <v>leslie brown</v>
      </c>
      <c r="F5279" s="3" t="str">
        <f>IFERROR(__xludf.DUMMYFUNCTION("""COMPUTED_VALUE"""),"lab@labourlaw.com")</f>
        <v>lab@labourlaw.com</v>
      </c>
      <c r="G5279" s="3">
        <f>IFERROR(__xludf.DUMMYFUNCTION("""COMPUTED_VALUE"""),9.055368691E9)</f>
        <v>9055368691</v>
      </c>
      <c r="H5279" s="3"/>
    </row>
    <row r="5280">
      <c r="A5280" s="2">
        <f>IFERROR(__xludf.DUMMYFUNCTION("""COMPUTED_VALUE"""),60607.0)</f>
        <v>60607</v>
      </c>
      <c r="B5280" s="3" t="str">
        <f>IFERROR(__xludf.DUMMYFUNCTION("""COMPUTED_VALUE"""),"472 CANAL RD")</f>
        <v>472 CANAL RD</v>
      </c>
      <c r="C5280" s="3" t="str">
        <f>IFERROR(__xludf.DUMMYFUNCTION("""COMPUTED_VALUE"""),"CAMPBELLFORD")</f>
        <v>CAMPBELLFORD</v>
      </c>
      <c r="D5280" s="3" t="str">
        <f>IFERROR(__xludf.DUMMYFUNCTION("""COMPUTED_VALUE"""),"K0L 1L0")</f>
        <v>K0L 1L0</v>
      </c>
      <c r="E5280" s="3" t="str">
        <f>IFERROR(__xludf.DUMMYFUNCTION("""COMPUTED_VALUE"""),"rose geraw")</f>
        <v>rose geraw</v>
      </c>
      <c r="F5280" s="3"/>
      <c r="G5280" s="3">
        <f>IFERROR(__xludf.DUMMYFUNCTION("""COMPUTED_VALUE"""),6.472446926E9)</f>
        <v>6472446926</v>
      </c>
      <c r="H5280" s="3"/>
    </row>
    <row r="5281">
      <c r="A5281" s="2">
        <f>IFERROR(__xludf.DUMMYFUNCTION("""COMPUTED_VALUE"""),60608.0)</f>
        <v>60608</v>
      </c>
      <c r="B5281" s="3" t="str">
        <f>IFERROR(__xludf.DUMMYFUNCTION("""COMPUTED_VALUE"""),"492 CANAL RD")</f>
        <v>492 CANAL RD</v>
      </c>
      <c r="C5281" s="3" t="str">
        <f>IFERROR(__xludf.DUMMYFUNCTION("""COMPUTED_VALUE"""),"CAMPBELLFORD")</f>
        <v>CAMPBELLFORD</v>
      </c>
      <c r="D5281" s="3" t="str">
        <f>IFERROR(__xludf.DUMMYFUNCTION("""COMPUTED_VALUE"""),"K0L 1L0")</f>
        <v>K0L 1L0</v>
      </c>
      <c r="E5281" s="3" t="str">
        <f>IFERROR(__xludf.DUMMYFUNCTION("""COMPUTED_VALUE"""),"Paul &amp; Julie Baker")</f>
        <v>Paul &amp; Julie Baker</v>
      </c>
      <c r="F5281" s="3" t="str">
        <f>IFERROR(__xludf.DUMMYFUNCTION("""COMPUTED_VALUE"""),"ionpaul@aol.com")</f>
        <v>ionpaul@aol.com</v>
      </c>
      <c r="G5281" s="3"/>
      <c r="H5281" s="3"/>
    </row>
    <row r="5282">
      <c r="A5282" s="2">
        <f>IFERROR(__xludf.DUMMYFUNCTION("""COMPUTED_VALUE"""),60609.0)</f>
        <v>60609</v>
      </c>
      <c r="B5282" s="3" t="str">
        <f>IFERROR(__xludf.DUMMYFUNCTION("""COMPUTED_VALUE"""),"499 CANAL RD")</f>
        <v>499 CANAL RD</v>
      </c>
      <c r="C5282" s="3" t="str">
        <f>IFERROR(__xludf.DUMMYFUNCTION("""COMPUTED_VALUE"""),"CAMPBELLFORD")</f>
        <v>CAMPBELLFORD</v>
      </c>
      <c r="D5282" s="3" t="str">
        <f>IFERROR(__xludf.DUMMYFUNCTION("""COMPUTED_VALUE"""),"K0L 1L0")</f>
        <v>K0L 1L0</v>
      </c>
      <c r="E5282" s="3" t="str">
        <f>IFERROR(__xludf.DUMMYFUNCTION("""COMPUTED_VALUE"""),"jeff weekes")</f>
        <v>jeff weekes</v>
      </c>
      <c r="F5282" s="3" t="str">
        <f>IFERROR(__xludf.DUMMYFUNCTION("""COMPUTED_VALUE"""),"jeffweekes76@gmail.com")</f>
        <v>jeffweekes76@gmail.com</v>
      </c>
      <c r="G5282" s="3">
        <f>IFERROR(__xludf.DUMMYFUNCTION("""COMPUTED_VALUE"""),4.167885233E9)</f>
        <v>4167885233</v>
      </c>
      <c r="H5282" s="3">
        <f>IFERROR(__xludf.DUMMYFUNCTION("""COMPUTED_VALUE"""),6.475207921E9)</f>
        <v>6475207921</v>
      </c>
    </row>
    <row r="5283">
      <c r="A5283" s="2">
        <f>IFERROR(__xludf.DUMMYFUNCTION("""COMPUTED_VALUE"""),60611.0)</f>
        <v>60611</v>
      </c>
      <c r="B5283" s="3" t="str">
        <f>IFERROR(__xludf.DUMMYFUNCTION("""COMPUTED_VALUE"""),"500 CANAL RD")</f>
        <v>500 CANAL RD</v>
      </c>
      <c r="C5283" s="3" t="str">
        <f>IFERROR(__xludf.DUMMYFUNCTION("""COMPUTED_VALUE"""),"CAMPBELLFORD")</f>
        <v>CAMPBELLFORD</v>
      </c>
      <c r="D5283" s="3" t="str">
        <f>IFERROR(__xludf.DUMMYFUNCTION("""COMPUTED_VALUE"""),"K0L 1L0")</f>
        <v>K0L 1L0</v>
      </c>
      <c r="E5283" s="3" t="str">
        <f>IFERROR(__xludf.DUMMYFUNCTION("""COMPUTED_VALUE"""),"Paul &amp; Julie Baker")</f>
        <v>Paul &amp; Julie Baker</v>
      </c>
      <c r="F5283" s="3" t="str">
        <f>IFERROR(__xludf.DUMMYFUNCTION("""COMPUTED_VALUE"""),"ionpaul@aol.com")</f>
        <v>ionpaul@aol.com</v>
      </c>
      <c r="G5283" s="3"/>
      <c r="H5283" s="3"/>
    </row>
    <row r="5284">
      <c r="A5284" s="2">
        <f>IFERROR(__xludf.DUMMYFUNCTION("""COMPUTED_VALUE"""),60612.0)</f>
        <v>60612</v>
      </c>
      <c r="B5284" s="3" t="str">
        <f>IFERROR(__xludf.DUMMYFUNCTION("""COMPUTED_VALUE"""),"501 CANAL RD")</f>
        <v>501 CANAL RD</v>
      </c>
      <c r="C5284" s="3" t="str">
        <f>IFERROR(__xludf.DUMMYFUNCTION("""COMPUTED_VALUE"""),"CAMPBELLFORD")</f>
        <v>CAMPBELLFORD</v>
      </c>
      <c r="D5284" s="3" t="str">
        <f>IFERROR(__xludf.DUMMYFUNCTION("""COMPUTED_VALUE"""),"K0L 1L0")</f>
        <v>K0L 1L0</v>
      </c>
      <c r="E5284" s="3"/>
      <c r="F5284" s="3"/>
      <c r="G5284" s="3"/>
      <c r="H5284" s="3"/>
    </row>
    <row r="5285">
      <c r="A5285" s="2">
        <f>IFERROR(__xludf.DUMMYFUNCTION("""COMPUTED_VALUE"""),60613.0)</f>
        <v>60613</v>
      </c>
      <c r="B5285" s="3" t="str">
        <f>IFERROR(__xludf.DUMMYFUNCTION("""COMPUTED_VALUE"""),"502 CANAL RD")</f>
        <v>502 CANAL RD</v>
      </c>
      <c r="C5285" s="3" t="str">
        <f>IFERROR(__xludf.DUMMYFUNCTION("""COMPUTED_VALUE"""),"CAMPBELLFORD")</f>
        <v>CAMPBELLFORD</v>
      </c>
      <c r="D5285" s="3" t="str">
        <f>IFERROR(__xludf.DUMMYFUNCTION("""COMPUTED_VALUE"""),"K0L 1L0")</f>
        <v>K0L 1L0</v>
      </c>
      <c r="E5285" s="3"/>
      <c r="F5285" s="3"/>
      <c r="G5285" s="3"/>
      <c r="H5285" s="3"/>
    </row>
    <row r="5286">
      <c r="A5286" s="2">
        <f>IFERROR(__xludf.DUMMYFUNCTION("""COMPUTED_VALUE"""),60614.0)</f>
        <v>60614</v>
      </c>
      <c r="B5286" s="3" t="str">
        <f>IFERROR(__xludf.DUMMYFUNCTION("""COMPUTED_VALUE"""),"518 CANAL RD")</f>
        <v>518 CANAL RD</v>
      </c>
      <c r="C5286" s="3" t="str">
        <f>IFERROR(__xludf.DUMMYFUNCTION("""COMPUTED_VALUE"""),"CAMPBELLFORD")</f>
        <v>CAMPBELLFORD</v>
      </c>
      <c r="D5286" s="3" t="str">
        <f>IFERROR(__xludf.DUMMYFUNCTION("""COMPUTED_VALUE"""),"K0L 1L0")</f>
        <v>K0L 1L0</v>
      </c>
      <c r="E5286" s="3"/>
      <c r="F5286" s="3"/>
      <c r="G5286" s="3"/>
      <c r="H5286" s="3"/>
    </row>
    <row r="5287">
      <c r="A5287" s="2">
        <f>IFERROR(__xludf.DUMMYFUNCTION("""COMPUTED_VALUE"""),60615.0)</f>
        <v>60615</v>
      </c>
      <c r="B5287" s="3" t="str">
        <f>IFERROR(__xludf.DUMMYFUNCTION("""COMPUTED_VALUE"""),"523 CANAL RD")</f>
        <v>523 CANAL RD</v>
      </c>
      <c r="C5287" s="3" t="str">
        <f>IFERROR(__xludf.DUMMYFUNCTION("""COMPUTED_VALUE"""),"CAMPBELLFORD")</f>
        <v>CAMPBELLFORD</v>
      </c>
      <c r="D5287" s="3" t="str">
        <f>IFERROR(__xludf.DUMMYFUNCTION("""COMPUTED_VALUE"""),"K0L 1L0")</f>
        <v>K0L 1L0</v>
      </c>
      <c r="E5287" s="3"/>
      <c r="F5287" s="3"/>
      <c r="G5287" s="3"/>
      <c r="H5287" s="3"/>
    </row>
    <row r="5288">
      <c r="A5288" s="2">
        <f>IFERROR(__xludf.DUMMYFUNCTION("""COMPUTED_VALUE"""),60616.0)</f>
        <v>60616</v>
      </c>
      <c r="B5288" s="3" t="str">
        <f>IFERROR(__xludf.DUMMYFUNCTION("""COMPUTED_VALUE"""),"528 CANAL RD")</f>
        <v>528 CANAL RD</v>
      </c>
      <c r="C5288" s="3" t="str">
        <f>IFERROR(__xludf.DUMMYFUNCTION("""COMPUTED_VALUE"""),"CAMPBELLFORD")</f>
        <v>CAMPBELLFORD</v>
      </c>
      <c r="D5288" s="3" t="str">
        <f>IFERROR(__xludf.DUMMYFUNCTION("""COMPUTED_VALUE"""),"K0L 1L0")</f>
        <v>K0L 1L0</v>
      </c>
      <c r="E5288" s="3"/>
      <c r="F5288" s="3"/>
      <c r="G5288" s="3"/>
      <c r="H5288" s="3"/>
    </row>
    <row r="5289">
      <c r="A5289" s="2">
        <f>IFERROR(__xludf.DUMMYFUNCTION("""COMPUTED_VALUE"""),60617.0)</f>
        <v>60617</v>
      </c>
      <c r="B5289" s="3" t="str">
        <f>IFERROR(__xludf.DUMMYFUNCTION("""COMPUTED_VALUE"""),"530 CANAL RD")</f>
        <v>530 CANAL RD</v>
      </c>
      <c r="C5289" s="3" t="str">
        <f>IFERROR(__xludf.DUMMYFUNCTION("""COMPUTED_VALUE"""),"CAMPBELLFORD")</f>
        <v>CAMPBELLFORD</v>
      </c>
      <c r="D5289" s="3" t="str">
        <f>IFERROR(__xludf.DUMMYFUNCTION("""COMPUTED_VALUE"""),"K0L 1L0")</f>
        <v>K0L 1L0</v>
      </c>
      <c r="E5289" s="3" t="str">
        <f>IFERROR(__xludf.DUMMYFUNCTION("""COMPUTED_VALUE"""),"brian pridmore")</f>
        <v>brian pridmore</v>
      </c>
      <c r="F5289" s="3" t="str">
        <f>IFERROR(__xludf.DUMMYFUNCTION("""COMPUTED_VALUE"""),"vpridmore@bell.net")</f>
        <v>vpridmore@bell.net</v>
      </c>
      <c r="G5289" s="3">
        <f>IFERROR(__xludf.DUMMYFUNCTION("""COMPUTED_VALUE"""),7.05653199E9)</f>
        <v>7056531990</v>
      </c>
      <c r="H5289" s="3"/>
    </row>
    <row r="5290">
      <c r="A5290" s="2">
        <f>IFERROR(__xludf.DUMMYFUNCTION("""COMPUTED_VALUE"""),63776.0)</f>
        <v>63776</v>
      </c>
      <c r="B5290" s="3" t="str">
        <f>IFERROR(__xludf.DUMMYFUNCTION("""COMPUTED_VALUE"""),"444 CANAL RD")</f>
        <v>444 CANAL RD</v>
      </c>
      <c r="C5290" s="3" t="str">
        <f>IFERROR(__xludf.DUMMYFUNCTION("""COMPUTED_VALUE"""),"CAMPBELLFORD")</f>
        <v>CAMPBELLFORD</v>
      </c>
      <c r="D5290" s="3" t="str">
        <f>IFERROR(__xludf.DUMMYFUNCTION("""COMPUTED_VALUE"""),"K0L 1L0")</f>
        <v>K0L 1L0</v>
      </c>
      <c r="E5290" s="3"/>
      <c r="F5290" s="3"/>
      <c r="G5290" s="3"/>
      <c r="H5290" s="3"/>
    </row>
    <row r="5291">
      <c r="A5291" s="2">
        <f>IFERROR(__xludf.DUMMYFUNCTION("""COMPUTED_VALUE"""),63728.0)</f>
        <v>63728</v>
      </c>
      <c r="B5291" s="3" t="str">
        <f>IFERROR(__xludf.DUMMYFUNCTION("""COMPUTED_VALUE"""),"180 WINDSOR AVE  ")</f>
        <v>180 WINDSOR AVE  </v>
      </c>
      <c r="C5291" s="3" t="str">
        <f>IFERROR(__xludf.DUMMYFUNCTION("""COMPUTED_VALUE"""),"CAMPBELLFORD")</f>
        <v>CAMPBELLFORD</v>
      </c>
      <c r="D5291" s="3" t="str">
        <f>IFERROR(__xludf.DUMMYFUNCTION("""COMPUTED_VALUE"""),"K0L 1L0")</f>
        <v>K0L 1L0</v>
      </c>
      <c r="E5291" s="3" t="str">
        <f>IFERROR(__xludf.DUMMYFUNCTION("""COMPUTED_VALUE"""),"CATHERINE YEO")</f>
        <v>CATHERINE YEO</v>
      </c>
      <c r="F5291" s="3" t="str">
        <f>IFERROR(__xludf.DUMMYFUNCTION("""COMPUTED_VALUE"""),"yeo@xplornet.ca")</f>
        <v>yeo@xplornet.ca</v>
      </c>
      <c r="G5291" s="3"/>
      <c r="H5291" s="3"/>
    </row>
    <row r="5292">
      <c r="A5292" s="2">
        <f>IFERROR(__xludf.DUMMYFUNCTION("""COMPUTED_VALUE"""),63729.0)</f>
        <v>63729</v>
      </c>
      <c r="B5292" s="3" t="str">
        <f>IFERROR(__xludf.DUMMYFUNCTION("""COMPUTED_VALUE"""),"200 WINDSOR AVE  ")</f>
        <v>200 WINDSOR AVE  </v>
      </c>
      <c r="C5292" s="3" t="str">
        <f>IFERROR(__xludf.DUMMYFUNCTION("""COMPUTED_VALUE"""),"CAMPBELLFORD")</f>
        <v>CAMPBELLFORD</v>
      </c>
      <c r="D5292" s="3" t="str">
        <f>IFERROR(__xludf.DUMMYFUNCTION("""COMPUTED_VALUE"""),"K0L 1L0")</f>
        <v>K0L 1L0</v>
      </c>
      <c r="E5292" s="3"/>
      <c r="F5292" s="3"/>
      <c r="G5292" s="3"/>
      <c r="H5292" s="3"/>
    </row>
    <row r="5293">
      <c r="A5293" s="2">
        <f>IFERROR(__xludf.DUMMYFUNCTION("""COMPUTED_VALUE"""),63757.0)</f>
        <v>63757</v>
      </c>
      <c r="B5293" s="3" t="str">
        <f>IFERROR(__xludf.DUMMYFUNCTION("""COMPUTED_VALUE"""),"897 WOODVIEW RD  ")</f>
        <v>897 WOODVIEW RD  </v>
      </c>
      <c r="C5293" s="3" t="str">
        <f>IFERROR(__xludf.DUMMYFUNCTION("""COMPUTED_VALUE"""),"CAMPBELLFORD")</f>
        <v>CAMPBELLFORD</v>
      </c>
      <c r="D5293" s="3" t="str">
        <f>IFERROR(__xludf.DUMMYFUNCTION("""COMPUTED_VALUE"""),"K0L 1L0")</f>
        <v>K0L 1L0</v>
      </c>
      <c r="E5293" s="3" t="str">
        <f>IFERROR(__xludf.DUMMYFUNCTION("""COMPUTED_VALUE"""),"Steve McCain/ Andrea Enright")</f>
        <v>Steve McCain/ Andrea Enright</v>
      </c>
      <c r="F5293" s="3" t="str">
        <f>IFERROR(__xludf.DUMMYFUNCTION("""COMPUTED_VALUE"""),"smccain66@gmail.com")</f>
        <v>smccain66@gmail.com</v>
      </c>
      <c r="G5293" s="3">
        <f>IFERROR(__xludf.DUMMYFUNCTION("""COMPUTED_VALUE"""),7.057680073E9)</f>
        <v>7057680073</v>
      </c>
      <c r="H5293" s="3">
        <f>IFERROR(__xludf.DUMMYFUNCTION("""COMPUTED_VALUE"""),2.896918468E9)</f>
        <v>2896918468</v>
      </c>
    </row>
    <row r="5294">
      <c r="A5294" s="2">
        <f>IFERROR(__xludf.DUMMYFUNCTION("""COMPUTED_VALUE"""),63758.0)</f>
        <v>63758</v>
      </c>
      <c r="B5294" s="3" t="str">
        <f>IFERROR(__xludf.DUMMYFUNCTION("""COMPUTED_VALUE"""),"900 WOODVIEW RD  ")</f>
        <v>900 WOODVIEW RD  </v>
      </c>
      <c r="C5294" s="3" t="str">
        <f>IFERROR(__xludf.DUMMYFUNCTION("""COMPUTED_VALUE"""),"CAMPBELLFORD")</f>
        <v>CAMPBELLFORD</v>
      </c>
      <c r="D5294" s="3" t="str">
        <f>IFERROR(__xludf.DUMMYFUNCTION("""COMPUTED_VALUE"""),"K0L 1L0")</f>
        <v>K0L 1L0</v>
      </c>
      <c r="E5294" s="3" t="str">
        <f>IFERROR(__xludf.DUMMYFUNCTION("""COMPUTED_VALUE"""),"Janice Hendy")</f>
        <v>Janice Hendy</v>
      </c>
      <c r="F5294" s="3" t="str">
        <f>IFERROR(__xludf.DUMMYFUNCTION("""COMPUTED_VALUE"""),"j7hendy@hotmail.com ")</f>
        <v>j7hendy@hotmail.com </v>
      </c>
      <c r="G5294" s="3"/>
      <c r="H5294" s="3"/>
    </row>
    <row r="5295">
      <c r="A5295" s="2">
        <f>IFERROR(__xludf.DUMMYFUNCTION("""COMPUTED_VALUE"""),63759.0)</f>
        <v>63759</v>
      </c>
      <c r="B5295" s="3" t="str">
        <f>IFERROR(__xludf.DUMMYFUNCTION("""COMPUTED_VALUE"""),"921 WOODVIEW RD  ")</f>
        <v>921 WOODVIEW RD  </v>
      </c>
      <c r="C5295" s="3" t="str">
        <f>IFERROR(__xludf.DUMMYFUNCTION("""COMPUTED_VALUE"""),"CAMPBELLFORD")</f>
        <v>CAMPBELLFORD</v>
      </c>
      <c r="D5295" s="3" t="str">
        <f>IFERROR(__xludf.DUMMYFUNCTION("""COMPUTED_VALUE"""),"K0L 1L0")</f>
        <v>K0L 1L0</v>
      </c>
      <c r="E5295" s="3" t="str">
        <f>IFERROR(__xludf.DUMMYFUNCTION("""COMPUTED_VALUE"""),"cynthia macmillan")</f>
        <v>cynthia macmillan</v>
      </c>
      <c r="F5295" s="3" t="str">
        <f>IFERROR(__xludf.DUMMYFUNCTION("""COMPUTED_VALUE"""),"cynmacm69@gmail.com")</f>
        <v>cynmacm69@gmail.com</v>
      </c>
      <c r="G5295" s="3">
        <f>IFERROR(__xludf.DUMMYFUNCTION("""COMPUTED_VALUE"""),7.056536302E9)</f>
        <v>7056536302</v>
      </c>
      <c r="H5295" s="3"/>
    </row>
    <row r="5296">
      <c r="A5296" s="2">
        <f>IFERROR(__xludf.DUMMYFUNCTION("""COMPUTED_VALUE"""),63756.0)</f>
        <v>63756</v>
      </c>
      <c r="B5296" s="3" t="str">
        <f>IFERROR(__xludf.DUMMYFUNCTION("""COMPUTED_VALUE"""),"455 WOODVIEW RD")</f>
        <v>455 WOODVIEW RD</v>
      </c>
      <c r="C5296" s="3"/>
      <c r="D5296" s="3"/>
      <c r="E5296" s="3"/>
      <c r="F5296" s="3"/>
      <c r="G5296" s="3"/>
      <c r="H5296" s="3"/>
    </row>
    <row r="5297">
      <c r="A5297" s="2">
        <f>IFERROR(__xludf.DUMMYFUNCTION("""COMPUTED_VALUE"""),63359.0)</f>
        <v>63359</v>
      </c>
      <c r="B5297" s="3" t="str">
        <f>IFERROR(__xludf.DUMMYFUNCTION("""COMPUTED_VALUE"""),"19 SMITH RD  ")</f>
        <v>19 SMITH RD  </v>
      </c>
      <c r="C5297" s="3" t="str">
        <f>IFERROR(__xludf.DUMMYFUNCTION("""COMPUTED_VALUE"""),"CAMPBELLFORD")</f>
        <v>CAMPBELLFORD</v>
      </c>
      <c r="D5297" s="3" t="str">
        <f>IFERROR(__xludf.DUMMYFUNCTION("""COMPUTED_VALUE"""),"K0L 1L0")</f>
        <v>K0L 1L0</v>
      </c>
      <c r="E5297" s="3" t="str">
        <f>IFERROR(__xludf.DUMMYFUNCTION("""COMPUTED_VALUE"""),"John nelson")</f>
        <v>John nelson</v>
      </c>
      <c r="F5297" s="3" t="str">
        <f>IFERROR(__xludf.DUMMYFUNCTION("""COMPUTED_VALUE"""),"jwnelson9954@gmail.com")</f>
        <v>jwnelson9954@gmail.com</v>
      </c>
      <c r="G5297" s="3">
        <f>IFERROR(__xludf.DUMMYFUNCTION("""COMPUTED_VALUE"""),7.056329789E9)</f>
        <v>7056329789</v>
      </c>
      <c r="H5297" s="3">
        <f>IFERROR(__xludf.DUMMYFUNCTION("""COMPUTED_VALUE"""),7.056321108E9)</f>
        <v>7056321108</v>
      </c>
    </row>
    <row r="5298">
      <c r="A5298" s="2">
        <f>IFERROR(__xludf.DUMMYFUNCTION("""COMPUTED_VALUE"""),63360.0)</f>
        <v>63360</v>
      </c>
      <c r="B5298" s="3" t="str">
        <f>IFERROR(__xludf.DUMMYFUNCTION("""COMPUTED_VALUE"""),"21 SMITH RD  ")</f>
        <v>21 SMITH RD  </v>
      </c>
      <c r="C5298" s="3" t="str">
        <f>IFERROR(__xludf.DUMMYFUNCTION("""COMPUTED_VALUE"""),"CAMPBELLFORD")</f>
        <v>CAMPBELLFORD</v>
      </c>
      <c r="D5298" s="3" t="str">
        <f>IFERROR(__xludf.DUMMYFUNCTION("""COMPUTED_VALUE"""),"K0L 1L0")</f>
        <v>K0L 1L0</v>
      </c>
      <c r="E5298" s="3"/>
      <c r="F5298" s="3"/>
      <c r="G5298" s="3"/>
      <c r="H5298" s="3"/>
    </row>
    <row r="5299">
      <c r="A5299" s="2">
        <f>IFERROR(__xludf.DUMMYFUNCTION("""COMPUTED_VALUE"""),60532.0)</f>
        <v>60532</v>
      </c>
      <c r="B5299" s="3" t="str">
        <f>IFERROR(__xludf.DUMMYFUNCTION("""COMPUTED_VALUE"""),"19 BRIGHTS LANE")</f>
        <v>19 BRIGHTS LANE</v>
      </c>
      <c r="C5299" s="3" t="str">
        <f>IFERROR(__xludf.DUMMYFUNCTION("""COMPUTED_VALUE"""),"CAMPBELLFORD")</f>
        <v>CAMPBELLFORD</v>
      </c>
      <c r="D5299" s="3" t="str">
        <f>IFERROR(__xludf.DUMMYFUNCTION("""COMPUTED_VALUE"""),"K0L 1L0")</f>
        <v>K0L 1L0</v>
      </c>
      <c r="E5299" s="3" t="str">
        <f>IFERROR(__xludf.DUMMYFUNCTION("""COMPUTED_VALUE"""),"Catherine Barr")</f>
        <v>Catherine Barr</v>
      </c>
      <c r="F5299" s="3" t="str">
        <f>IFERROR(__xludf.DUMMYFUNCTION("""COMPUTED_VALUE"""),"catherine.barr@rocketmail.com")</f>
        <v>catherine.barr@rocketmail.com</v>
      </c>
      <c r="G5299" s="3">
        <f>IFERROR(__xludf.DUMMYFUNCTION("""COMPUTED_VALUE"""),6.132423682E9)</f>
        <v>6132423682</v>
      </c>
      <c r="H5299" s="3"/>
    </row>
    <row r="5300">
      <c r="A5300" s="2">
        <f>IFERROR(__xludf.DUMMYFUNCTION("""COMPUTED_VALUE"""),60533.0)</f>
        <v>60533</v>
      </c>
      <c r="B5300" s="3" t="str">
        <f>IFERROR(__xludf.DUMMYFUNCTION("""COMPUTED_VALUE"""),"20 BRIGHTS LANE")</f>
        <v>20 BRIGHTS LANE</v>
      </c>
      <c r="C5300" s="3" t="str">
        <f>IFERROR(__xludf.DUMMYFUNCTION("""COMPUTED_VALUE"""),"CAMPBELLFORD")</f>
        <v>CAMPBELLFORD</v>
      </c>
      <c r="D5300" s="3" t="str">
        <f>IFERROR(__xludf.DUMMYFUNCTION("""COMPUTED_VALUE"""),"K0L 1L0")</f>
        <v>K0L 1L0</v>
      </c>
      <c r="E5300" s="3" t="str">
        <f>IFERROR(__xludf.DUMMYFUNCTION("""COMPUTED_VALUE"""),"cheri davis ")</f>
        <v>cheri davis </v>
      </c>
      <c r="F5300" s="3" t="str">
        <f>IFERROR(__xludf.DUMMYFUNCTION("""COMPUTED_VALUE"""),"cheri.davis1974@outlook.com")</f>
        <v>cheri.davis1974@outlook.com</v>
      </c>
      <c r="G5300" s="3">
        <f>IFERROR(__xludf.DUMMYFUNCTION("""COMPUTED_VALUE"""),4.165579053E9)</f>
        <v>4165579053</v>
      </c>
      <c r="H5300" s="3"/>
    </row>
    <row r="5301">
      <c r="A5301" s="2">
        <f>IFERROR(__xludf.DUMMYFUNCTION("""COMPUTED_VALUE"""),60534.0)</f>
        <v>60534</v>
      </c>
      <c r="B5301" s="3" t="str">
        <f>IFERROR(__xludf.DUMMYFUNCTION("""COMPUTED_VALUE"""),"26 BRIGHTS LANE")</f>
        <v>26 BRIGHTS LANE</v>
      </c>
      <c r="C5301" s="3" t="str">
        <f>IFERROR(__xludf.DUMMYFUNCTION("""COMPUTED_VALUE"""),"CAMPBELLFORD")</f>
        <v>CAMPBELLFORD</v>
      </c>
      <c r="D5301" s="3" t="str">
        <f>IFERROR(__xludf.DUMMYFUNCTION("""COMPUTED_VALUE"""),"K0L 1L0")</f>
        <v>K0L 1L0</v>
      </c>
      <c r="E5301" s="3" t="str">
        <f>IFERROR(__xludf.DUMMYFUNCTION("""COMPUTED_VALUE"""),"Larry Kinnear")</f>
        <v>Larry Kinnear</v>
      </c>
      <c r="F5301" s="3"/>
      <c r="G5301" s="3">
        <f>IFERROR(__xludf.DUMMYFUNCTION("""COMPUTED_VALUE"""),7.059313399E9)</f>
        <v>7059313399</v>
      </c>
      <c r="H5301" s="3"/>
    </row>
    <row r="5302">
      <c r="A5302" s="2">
        <f>IFERROR(__xludf.DUMMYFUNCTION("""COMPUTED_VALUE"""),60535.0)</f>
        <v>60535</v>
      </c>
      <c r="B5302" s="3" t="str">
        <f>IFERROR(__xludf.DUMMYFUNCTION("""COMPUTED_VALUE"""),"32 BRIGHTS LANE")</f>
        <v>32 BRIGHTS LANE</v>
      </c>
      <c r="C5302" s="3" t="str">
        <f>IFERROR(__xludf.DUMMYFUNCTION("""COMPUTED_VALUE"""),"CAMPBELLFORD")</f>
        <v>CAMPBELLFORD</v>
      </c>
      <c r="D5302" s="3" t="str">
        <f>IFERROR(__xludf.DUMMYFUNCTION("""COMPUTED_VALUE"""),"K0L 1L0")</f>
        <v>K0L 1L0</v>
      </c>
      <c r="E5302" s="3"/>
      <c r="F5302" s="3"/>
      <c r="G5302" s="3"/>
      <c r="H5302" s="3"/>
    </row>
    <row r="5303">
      <c r="A5303" s="2">
        <f>IFERROR(__xludf.DUMMYFUNCTION("""COMPUTED_VALUE"""),60536.0)</f>
        <v>60536</v>
      </c>
      <c r="B5303" s="3" t="str">
        <f>IFERROR(__xludf.DUMMYFUNCTION("""COMPUTED_VALUE"""),"37 BRIGHTS LANE")</f>
        <v>37 BRIGHTS LANE</v>
      </c>
      <c r="C5303" s="3" t="str">
        <f>IFERROR(__xludf.DUMMYFUNCTION("""COMPUTED_VALUE"""),"CAMPBELLFORD")</f>
        <v>CAMPBELLFORD</v>
      </c>
      <c r="D5303" s="3" t="str">
        <f>IFERROR(__xludf.DUMMYFUNCTION("""COMPUTED_VALUE"""),"K0L 1L0")</f>
        <v>K0L 1L0</v>
      </c>
      <c r="E5303" s="3"/>
      <c r="F5303" s="3"/>
      <c r="G5303" s="3"/>
      <c r="H5303" s="3"/>
    </row>
    <row r="5304">
      <c r="A5304" s="2">
        <f>IFERROR(__xludf.DUMMYFUNCTION("""COMPUTED_VALUE"""),60537.0)</f>
        <v>60537</v>
      </c>
      <c r="B5304" s="3" t="str">
        <f>IFERROR(__xludf.DUMMYFUNCTION("""COMPUTED_VALUE"""),"38 BRIGHTS LANE")</f>
        <v>38 BRIGHTS LANE</v>
      </c>
      <c r="C5304" s="3" t="str">
        <f>IFERROR(__xludf.DUMMYFUNCTION("""COMPUTED_VALUE"""),"CAMPBELLFORD")</f>
        <v>CAMPBELLFORD</v>
      </c>
      <c r="D5304" s="3" t="str">
        <f>IFERROR(__xludf.DUMMYFUNCTION("""COMPUTED_VALUE"""),"K0L 1L0")</f>
        <v>K0L 1L0</v>
      </c>
      <c r="E5304" s="3" t="str">
        <f>IFERROR(__xludf.DUMMYFUNCTION("""COMPUTED_VALUE"""),"John Wallace Warringtom")</f>
        <v>John Wallace Warringtom</v>
      </c>
      <c r="F5304" s="3" t="str">
        <f>IFERROR(__xludf.DUMMYFUNCTION("""COMPUTED_VALUE"""),"dotwarrington@gmail.com")</f>
        <v>dotwarrington@gmail.com</v>
      </c>
      <c r="G5304" s="3">
        <f>IFERROR(__xludf.DUMMYFUNCTION("""COMPUTED_VALUE"""),9.057212257E9)</f>
        <v>9057212257</v>
      </c>
      <c r="H5304" s="3">
        <f>IFERROR(__xludf.DUMMYFUNCTION("""COMPUTED_VALUE"""),7.05542792E9)</f>
        <v>7055427920</v>
      </c>
    </row>
    <row r="5305">
      <c r="A5305" s="2">
        <f>IFERROR(__xludf.DUMMYFUNCTION("""COMPUTED_VALUE"""),60538.0)</f>
        <v>60538</v>
      </c>
      <c r="B5305" s="3" t="str">
        <f>IFERROR(__xludf.DUMMYFUNCTION("""COMPUTED_VALUE"""),"41 BRIGHTS LANE")</f>
        <v>41 BRIGHTS LANE</v>
      </c>
      <c r="C5305" s="3" t="str">
        <f>IFERROR(__xludf.DUMMYFUNCTION("""COMPUTED_VALUE"""),"Campbellford")</f>
        <v>Campbellford</v>
      </c>
      <c r="D5305" s="3" t="str">
        <f>IFERROR(__xludf.DUMMYFUNCTION("""COMPUTED_VALUE"""),"K0L1L0")</f>
        <v>K0L1L0</v>
      </c>
      <c r="E5305" s="3" t="str">
        <f>IFERROR(__xludf.DUMMYFUNCTION("""COMPUTED_VALUE"""),"Shawn Devonish")</f>
        <v>Shawn Devonish</v>
      </c>
      <c r="F5305" s="3" t="str">
        <f>IFERROR(__xludf.DUMMYFUNCTION("""COMPUTED_VALUE"""),"shawn33d@yahoo.ca")</f>
        <v>shawn33d@yahoo.ca</v>
      </c>
      <c r="G5305" s="3">
        <f>IFERROR(__xludf.DUMMYFUNCTION("""COMPUTED_VALUE"""),7.057686502E9)</f>
        <v>7057686502</v>
      </c>
      <c r="H5305" s="3"/>
    </row>
    <row r="5306">
      <c r="A5306" s="2">
        <f>IFERROR(__xludf.DUMMYFUNCTION("""COMPUTED_VALUE"""),60544.0)</f>
        <v>60544</v>
      </c>
      <c r="B5306" s="3" t="str">
        <f>IFERROR(__xludf.DUMMYFUNCTION("""COMPUTED_VALUE"""),"50 BRIGHTS LANE")</f>
        <v>50 BRIGHTS LANE</v>
      </c>
      <c r="C5306" s="3" t="str">
        <f>IFERROR(__xludf.DUMMYFUNCTION("""COMPUTED_VALUE"""),"HASTINGS")</f>
        <v>HASTINGS</v>
      </c>
      <c r="D5306" s="3" t="str">
        <f>IFERROR(__xludf.DUMMYFUNCTION("""COMPUTED_VALUE"""),"K0L 1Y0")</f>
        <v>K0L 1Y0</v>
      </c>
      <c r="E5306" s="3"/>
      <c r="F5306" s="3"/>
      <c r="G5306" s="3"/>
      <c r="H5306" s="3"/>
    </row>
    <row r="5307">
      <c r="A5307" s="2">
        <f>IFERROR(__xludf.DUMMYFUNCTION("""COMPUTED_VALUE"""),61707.0)</f>
        <v>61707</v>
      </c>
      <c r="B5307" s="3" t="str">
        <f>IFERROR(__xludf.DUMMYFUNCTION("""COMPUTED_VALUE"""),"11 FAUX RD  ")</f>
        <v>11 FAUX RD  </v>
      </c>
      <c r="C5307" s="3" t="str">
        <f>IFERROR(__xludf.DUMMYFUNCTION("""COMPUTED_VALUE"""),"HASTINGS")</f>
        <v>HASTINGS</v>
      </c>
      <c r="D5307" s="3" t="str">
        <f>IFERROR(__xludf.DUMMYFUNCTION("""COMPUTED_VALUE"""),"K0L 1Y0")</f>
        <v>K0L 1Y0</v>
      </c>
      <c r="E5307" s="3"/>
      <c r="F5307" s="3"/>
      <c r="G5307" s="3"/>
      <c r="H5307" s="3"/>
    </row>
    <row r="5308">
      <c r="A5308" s="2">
        <f>IFERROR(__xludf.DUMMYFUNCTION("""COMPUTED_VALUE"""),61708.0)</f>
        <v>61708</v>
      </c>
      <c r="B5308" s="3" t="str">
        <f>IFERROR(__xludf.DUMMYFUNCTION("""COMPUTED_VALUE"""),"20 FAUX RD  ")</f>
        <v>20 FAUX RD  </v>
      </c>
      <c r="C5308" s="3" t="str">
        <f>IFERROR(__xludf.DUMMYFUNCTION("""COMPUTED_VALUE"""),"HASTINGS")</f>
        <v>HASTINGS</v>
      </c>
      <c r="D5308" s="3" t="str">
        <f>IFERROR(__xludf.DUMMYFUNCTION("""COMPUTED_VALUE"""),"K0L 1Y0")</f>
        <v>K0L 1Y0</v>
      </c>
      <c r="E5308" s="3"/>
      <c r="F5308" s="3"/>
      <c r="G5308" s="3"/>
      <c r="H5308" s="3"/>
    </row>
    <row r="5309">
      <c r="A5309" s="2">
        <f>IFERROR(__xludf.DUMMYFUNCTION("""COMPUTED_VALUE"""),61709.0)</f>
        <v>61709</v>
      </c>
      <c r="B5309" s="3" t="str">
        <f>IFERROR(__xludf.DUMMYFUNCTION("""COMPUTED_VALUE"""),"35 FAUX RD  ")</f>
        <v>35 FAUX RD  </v>
      </c>
      <c r="C5309" s="3" t="str">
        <f>IFERROR(__xludf.DUMMYFUNCTION("""COMPUTED_VALUE"""),"HASTINGS")</f>
        <v>HASTINGS</v>
      </c>
      <c r="D5309" s="3" t="str">
        <f>IFERROR(__xludf.DUMMYFUNCTION("""COMPUTED_VALUE"""),"K0L 1Y0")</f>
        <v>K0L 1Y0</v>
      </c>
      <c r="E5309" s="3"/>
      <c r="F5309" s="3"/>
      <c r="G5309" s="3"/>
      <c r="H5309" s="3"/>
    </row>
    <row r="5310">
      <c r="A5310" s="2">
        <f>IFERROR(__xludf.DUMMYFUNCTION("""COMPUTED_VALUE"""),60912.0)</f>
        <v>60912</v>
      </c>
      <c r="B5310" s="3" t="str">
        <f>IFERROR(__xludf.DUMMYFUNCTION("""COMPUTED_VALUE"""),"16 CONCESSION RD 11 RD E ")</f>
        <v>16 CONCESSION RD 11 RD E </v>
      </c>
      <c r="C5310" s="3" t="str">
        <f>IFERROR(__xludf.DUMMYFUNCTION("""COMPUTED_VALUE"""),"WARKWORTH")</f>
        <v>WARKWORTH</v>
      </c>
      <c r="D5310" s="3" t="str">
        <f>IFERROR(__xludf.DUMMYFUNCTION("""COMPUTED_VALUE"""),"K0K 3K0")</f>
        <v>K0K 3K0</v>
      </c>
      <c r="E5310" s="3" t="str">
        <f>IFERROR(__xludf.DUMMYFUNCTION("""COMPUTED_VALUE"""),"Roger Sherwin")</f>
        <v>Roger Sherwin</v>
      </c>
      <c r="F5310" s="3" t="str">
        <f>IFERROR(__xludf.DUMMYFUNCTION("""COMPUTED_VALUE"""),"sr389676@outlook.com")</f>
        <v>sr389676@outlook.com</v>
      </c>
      <c r="G5310" s="3"/>
      <c r="H5310" s="3"/>
    </row>
    <row r="5311">
      <c r="A5311" s="2">
        <f>IFERROR(__xludf.DUMMYFUNCTION("""COMPUTED_VALUE"""),60913.0)</f>
        <v>60913</v>
      </c>
      <c r="B5311" s="3" t="str">
        <f>IFERROR(__xludf.DUMMYFUNCTION("""COMPUTED_VALUE"""),"25 CONCESSION RD 11 RD E ")</f>
        <v>25 CONCESSION RD 11 RD E </v>
      </c>
      <c r="C5311" s="3" t="str">
        <f>IFERROR(__xludf.DUMMYFUNCTION("""COMPUTED_VALUE"""),"HASTINGS")</f>
        <v>HASTINGS</v>
      </c>
      <c r="D5311" s="3" t="str">
        <f>IFERROR(__xludf.DUMMYFUNCTION("""COMPUTED_VALUE"""),"K0L 1Y0")</f>
        <v>K0L 1Y0</v>
      </c>
      <c r="E5311" s="3" t="str">
        <f>IFERROR(__xludf.DUMMYFUNCTION("""COMPUTED_VALUE"""),"Theresa Packer")</f>
        <v>Theresa Packer</v>
      </c>
      <c r="F5311" s="3"/>
      <c r="G5311" s="3"/>
      <c r="H5311" s="3"/>
    </row>
    <row r="5312">
      <c r="A5312" s="2">
        <f>IFERROR(__xludf.DUMMYFUNCTION("""COMPUTED_VALUE"""),60914.0)</f>
        <v>60914</v>
      </c>
      <c r="B5312" s="3" t="str">
        <f>IFERROR(__xludf.DUMMYFUNCTION("""COMPUTED_VALUE"""),"35 CONCESSION RD 11 RD E ")</f>
        <v>35 CONCESSION RD 11 RD E </v>
      </c>
      <c r="C5312" s="3" t="str">
        <f>IFERROR(__xludf.DUMMYFUNCTION("""COMPUTED_VALUE"""),"HASTINGS")</f>
        <v>HASTINGS</v>
      </c>
      <c r="D5312" s="3" t="str">
        <f>IFERROR(__xludf.DUMMYFUNCTION("""COMPUTED_VALUE"""),"K0L 1Y0")</f>
        <v>K0L 1Y0</v>
      </c>
      <c r="E5312" s="3" t="str">
        <f>IFERROR(__xludf.DUMMYFUNCTION("""COMPUTED_VALUE"""),"Angie Rittwage")</f>
        <v>Angie Rittwage</v>
      </c>
      <c r="F5312" s="3" t="str">
        <f>IFERROR(__xludf.DUMMYFUNCTION("""COMPUTED_VALUE"""),"rittwage77@gmail.com")</f>
        <v>rittwage77@gmail.com</v>
      </c>
      <c r="G5312" s="3">
        <f>IFERROR(__xludf.DUMMYFUNCTION("""COMPUTED_VALUE"""),7.053130664E9)</f>
        <v>7053130664</v>
      </c>
      <c r="H5312" s="3"/>
    </row>
    <row r="5313">
      <c r="A5313" s="2">
        <f>IFERROR(__xludf.DUMMYFUNCTION("""COMPUTED_VALUE"""),60915.0)</f>
        <v>60915</v>
      </c>
      <c r="B5313" s="3" t="str">
        <f>IFERROR(__xludf.DUMMYFUNCTION("""COMPUTED_VALUE"""),"40 CONCESSION RD 11 RD E ")</f>
        <v>40 CONCESSION RD 11 RD E </v>
      </c>
      <c r="C5313" s="3" t="str">
        <f>IFERROR(__xludf.DUMMYFUNCTION("""COMPUTED_VALUE"""),"HASTINGS")</f>
        <v>HASTINGS</v>
      </c>
      <c r="D5313" s="3" t="str">
        <f>IFERROR(__xludf.DUMMYFUNCTION("""COMPUTED_VALUE"""),"K0L 1Y0")</f>
        <v>K0L 1Y0</v>
      </c>
      <c r="E5313" s="3" t="str">
        <f>IFERROR(__xludf.DUMMYFUNCTION("""COMPUTED_VALUE"""),"Peter Heath")</f>
        <v>Peter Heath</v>
      </c>
      <c r="F5313" s="3" t="str">
        <f>IFERROR(__xludf.DUMMYFUNCTION("""COMPUTED_VALUE"""),"pheathone@gmail.com")</f>
        <v>pheathone@gmail.com</v>
      </c>
      <c r="G5313" s="3"/>
      <c r="H5313" s="3"/>
    </row>
    <row r="5314">
      <c r="A5314" s="2">
        <f>IFERROR(__xludf.DUMMYFUNCTION("""COMPUTED_VALUE"""),60916.0)</f>
        <v>60916</v>
      </c>
      <c r="B5314" s="3" t="str">
        <f>IFERROR(__xludf.DUMMYFUNCTION("""COMPUTED_VALUE"""),"41 CONCESSION RD 11 RD E ")</f>
        <v>41 CONCESSION RD 11 RD E </v>
      </c>
      <c r="C5314" s="3" t="str">
        <f>IFERROR(__xludf.DUMMYFUNCTION("""COMPUTED_VALUE"""),"HASTINGS")</f>
        <v>HASTINGS</v>
      </c>
      <c r="D5314" s="3" t="str">
        <f>IFERROR(__xludf.DUMMYFUNCTION("""COMPUTED_VALUE"""),"K0L 1Y0")</f>
        <v>K0L 1Y0</v>
      </c>
      <c r="E5314" s="3" t="str">
        <f>IFERROR(__xludf.DUMMYFUNCTION("""COMPUTED_VALUE"""),"Josiah Olver")</f>
        <v>Josiah Olver</v>
      </c>
      <c r="F5314" s="3" t="str">
        <f>IFERROR(__xludf.DUMMYFUNCTION("""COMPUTED_VALUE"""),"josiaholver@hotmail.com")</f>
        <v>josiaholver@hotmail.com</v>
      </c>
      <c r="G5314" s="3"/>
      <c r="H5314" s="3"/>
    </row>
    <row r="5315">
      <c r="A5315" s="2">
        <f>IFERROR(__xludf.DUMMYFUNCTION("""COMPUTED_VALUE"""),60917.0)</f>
        <v>60917</v>
      </c>
      <c r="B5315" s="3" t="str">
        <f>IFERROR(__xludf.DUMMYFUNCTION("""COMPUTED_VALUE"""),"70 CONCESSION RD 11 RD E ")</f>
        <v>70 CONCESSION RD 11 RD E </v>
      </c>
      <c r="C5315" s="3" t="str">
        <f>IFERROR(__xludf.DUMMYFUNCTION("""COMPUTED_VALUE"""),"HASTINGS")</f>
        <v>HASTINGS</v>
      </c>
      <c r="D5315" s="3" t="str">
        <f>IFERROR(__xludf.DUMMYFUNCTION("""COMPUTED_VALUE"""),"K0L 1Y0")</f>
        <v>K0L 1Y0</v>
      </c>
      <c r="E5315" s="3" t="str">
        <f>IFERROR(__xludf.DUMMYFUNCTION("""COMPUTED_VALUE"""),"Clint Newman")</f>
        <v>Clint Newman</v>
      </c>
      <c r="F5315" s="3"/>
      <c r="G5315" s="3"/>
      <c r="H5315" s="3"/>
    </row>
    <row r="5316">
      <c r="A5316" s="2">
        <f>IFERROR(__xludf.DUMMYFUNCTION("""COMPUTED_VALUE"""),60391.0)</f>
        <v>60391</v>
      </c>
      <c r="B5316" s="3" t="str">
        <f>IFERROR(__xludf.DUMMYFUNCTION("""COMPUTED_VALUE"""),"8 BEAMISH RD")</f>
        <v>8 BEAMISH RD</v>
      </c>
      <c r="C5316" s="3"/>
      <c r="D5316" s="3"/>
      <c r="E5316" s="3"/>
      <c r="F5316" s="3"/>
      <c r="G5316" s="3"/>
      <c r="H5316" s="3"/>
    </row>
    <row r="5317">
      <c r="A5317" s="2">
        <f>IFERROR(__xludf.DUMMYFUNCTION("""COMPUTED_VALUE"""),60392.0)</f>
        <v>60392</v>
      </c>
      <c r="B5317" s="3" t="str">
        <f>IFERROR(__xludf.DUMMYFUNCTION("""COMPUTED_VALUE"""),"26 BEAMISH RD")</f>
        <v>26 BEAMISH RD</v>
      </c>
      <c r="C5317" s="3" t="str">
        <f>IFERROR(__xludf.DUMMYFUNCTION("""COMPUTED_VALUE"""),"HASTINGS")</f>
        <v>HASTINGS</v>
      </c>
      <c r="D5317" s="3" t="str">
        <f>IFERROR(__xludf.DUMMYFUNCTION("""COMPUTED_VALUE"""),"K0L 1Y0")</f>
        <v>K0L 1Y0</v>
      </c>
      <c r="E5317" s="3"/>
      <c r="F5317" s="3"/>
      <c r="G5317" s="3"/>
      <c r="H5317" s="3"/>
    </row>
    <row r="5318">
      <c r="A5318" s="2">
        <f>IFERROR(__xludf.DUMMYFUNCTION("""COMPUTED_VALUE"""),60393.0)</f>
        <v>60393</v>
      </c>
      <c r="B5318" s="3" t="str">
        <f>IFERROR(__xludf.DUMMYFUNCTION("""COMPUTED_VALUE"""),"41 BEAMISH RD")</f>
        <v>41 BEAMISH RD</v>
      </c>
      <c r="C5318" s="3" t="str">
        <f>IFERROR(__xludf.DUMMYFUNCTION("""COMPUTED_VALUE"""),"HASTINGS")</f>
        <v>HASTINGS</v>
      </c>
      <c r="D5318" s="3" t="str">
        <f>IFERROR(__xludf.DUMMYFUNCTION("""COMPUTED_VALUE"""),"K0L 1Y0")</f>
        <v>K0L 1Y0</v>
      </c>
      <c r="E5318" s="3" t="str">
        <f>IFERROR(__xludf.DUMMYFUNCTION("""COMPUTED_VALUE"""),"Mary Jan Lyle")</f>
        <v>Mary Jan Lyle</v>
      </c>
      <c r="F5318" s="3" t="str">
        <f>IFERROR(__xludf.DUMMYFUNCTION("""COMPUTED_VALUE"""),"mjhamish@hotmail.com")</f>
        <v>mjhamish@hotmail.com</v>
      </c>
      <c r="G5318" s="3">
        <f>IFERROR(__xludf.DUMMYFUNCTION("""COMPUTED_VALUE"""),7.0597701E9)</f>
        <v>7059770100</v>
      </c>
      <c r="H5318" s="3"/>
    </row>
    <row r="5319">
      <c r="A5319" s="2">
        <f>IFERROR(__xludf.DUMMYFUNCTION("""COMPUTED_VALUE"""),63319.0)</f>
        <v>63319</v>
      </c>
      <c r="B5319" s="3" t="str">
        <f>IFERROR(__xludf.DUMMYFUNCTION("""COMPUTED_VALUE"""),"21 RUSAW LINE  ")</f>
        <v>21 RUSAW LINE  </v>
      </c>
      <c r="C5319" s="3" t="str">
        <f>IFERROR(__xludf.DUMMYFUNCTION("""COMPUTED_VALUE"""),"HASTINGS")</f>
        <v>HASTINGS</v>
      </c>
      <c r="D5319" s="3" t="str">
        <f>IFERROR(__xludf.DUMMYFUNCTION("""COMPUTED_VALUE"""),"K0L 1Y0")</f>
        <v>K0L 1Y0</v>
      </c>
      <c r="E5319" s="3" t="str">
        <f>IFERROR(__xludf.DUMMYFUNCTION("""COMPUTED_VALUE"""),"Bryan &amp; Karen Turgeon")</f>
        <v>Bryan &amp; Karen Turgeon</v>
      </c>
      <c r="F5319" s="3" t="str">
        <f>IFERROR(__xludf.DUMMYFUNCTION("""COMPUTED_VALUE"""),"karenturgeon62@gmail.com")</f>
        <v>karenturgeon62@gmail.com</v>
      </c>
      <c r="G5319" s="3"/>
      <c r="H5319" s="3"/>
    </row>
    <row r="5320">
      <c r="A5320" s="2">
        <f>IFERROR(__xludf.DUMMYFUNCTION("""COMPUTED_VALUE"""),63320.0)</f>
        <v>63320</v>
      </c>
      <c r="B5320" s="3" t="str">
        <f>IFERROR(__xludf.DUMMYFUNCTION("""COMPUTED_VALUE"""),"43 RUSAW LINE  ")</f>
        <v>43 RUSAW LINE  </v>
      </c>
      <c r="C5320" s="3" t="str">
        <f>IFERROR(__xludf.DUMMYFUNCTION("""COMPUTED_VALUE"""),"HASTINGS")</f>
        <v>HASTINGS</v>
      </c>
      <c r="D5320" s="3" t="str">
        <f>IFERROR(__xludf.DUMMYFUNCTION("""COMPUTED_VALUE"""),"K0L 1Y0")</f>
        <v>K0L 1Y0</v>
      </c>
      <c r="E5320" s="3" t="str">
        <f>IFERROR(__xludf.DUMMYFUNCTION("""COMPUTED_VALUE"""),"MELISSA KOLLAARD")</f>
        <v>MELISSA KOLLAARD</v>
      </c>
      <c r="F5320" s="3" t="str">
        <f>IFERROR(__xludf.DUMMYFUNCTION("""COMPUTED_VALUE"""),"mel.kollaard@gmail.com")</f>
        <v>mel.kollaard@gmail.com</v>
      </c>
      <c r="G5320" s="3">
        <f>IFERROR(__xludf.DUMMYFUNCTION("""COMPUTED_VALUE"""),7.05957915E9)</f>
        <v>7059579150</v>
      </c>
      <c r="H5320" s="3"/>
    </row>
    <row r="5321">
      <c r="A5321" s="2">
        <f>IFERROR(__xludf.DUMMYFUNCTION("""COMPUTED_VALUE"""),63506.0)</f>
        <v>63506</v>
      </c>
      <c r="B5321" s="3" t="str">
        <f>IFERROR(__xludf.DUMMYFUNCTION("""COMPUTED_VALUE"""),"19 TRENTWOOD ESTATES RD  ")</f>
        <v>19 TRENTWOOD ESTATES RD  </v>
      </c>
      <c r="C5321" s="3" t="str">
        <f>IFERROR(__xludf.DUMMYFUNCTION("""COMPUTED_VALUE"""),"HASTINGS")</f>
        <v>HASTINGS</v>
      </c>
      <c r="D5321" s="3" t="str">
        <f>IFERROR(__xludf.DUMMYFUNCTION("""COMPUTED_VALUE"""),"K0L 1Y0")</f>
        <v>K0L 1Y0</v>
      </c>
      <c r="E5321" s="3"/>
      <c r="F5321" s="3"/>
      <c r="G5321" s="3"/>
      <c r="H5321" s="3"/>
    </row>
    <row r="5322">
      <c r="A5322" s="2">
        <f>IFERROR(__xludf.DUMMYFUNCTION("""COMPUTED_VALUE"""),63507.0)</f>
        <v>63507</v>
      </c>
      <c r="B5322" s="3" t="str">
        <f>IFERROR(__xludf.DUMMYFUNCTION("""COMPUTED_VALUE"""),"142 TRENTWOOD ESTATES RD  ")</f>
        <v>142 TRENTWOOD ESTATES RD  </v>
      </c>
      <c r="C5322" s="3" t="str">
        <f>IFERROR(__xludf.DUMMYFUNCTION("""COMPUTED_VALUE"""),"HASTINGS")</f>
        <v>HASTINGS</v>
      </c>
      <c r="D5322" s="3" t="str">
        <f>IFERROR(__xludf.DUMMYFUNCTION("""COMPUTED_VALUE"""),"K0L 1Y0")</f>
        <v>K0L 1Y0</v>
      </c>
      <c r="E5322" s="3" t="str">
        <f>IFERROR(__xludf.DUMMYFUNCTION("""COMPUTED_VALUE"""),"scott &amp;candice white")</f>
        <v>scott &amp;candice white</v>
      </c>
      <c r="F5322" s="3" t="str">
        <f>IFERROR(__xludf.DUMMYFUNCTION("""COMPUTED_VALUE"""),"scottwhite6913@icloud.com")</f>
        <v>scottwhite6913@icloud.com</v>
      </c>
      <c r="G5322" s="3">
        <f>IFERROR(__xludf.DUMMYFUNCTION("""COMPUTED_VALUE"""),7.053958569E9)</f>
        <v>7053958569</v>
      </c>
      <c r="H5322" s="3">
        <f>IFERROR(__xludf.DUMMYFUNCTION("""COMPUTED_VALUE"""),7.059302779E9)</f>
        <v>7059302779</v>
      </c>
    </row>
    <row r="5323">
      <c r="A5323" s="2">
        <f>IFERROR(__xludf.DUMMYFUNCTION("""COMPUTED_VALUE"""),63508.0)</f>
        <v>63508</v>
      </c>
      <c r="B5323" s="3" t="str">
        <f>IFERROR(__xludf.DUMMYFUNCTION("""COMPUTED_VALUE"""),"1 TRILLIUM LANE  ")</f>
        <v>1 TRILLIUM LANE  </v>
      </c>
      <c r="C5323" s="3" t="str">
        <f>IFERROR(__xludf.DUMMYFUNCTION("""COMPUTED_VALUE"""),"HASTINGS")</f>
        <v>HASTINGS</v>
      </c>
      <c r="D5323" s="3" t="str">
        <f>IFERROR(__xludf.DUMMYFUNCTION("""COMPUTED_VALUE"""),"K0L 1Y0")</f>
        <v>K0L 1Y0</v>
      </c>
      <c r="E5323" s="3"/>
      <c r="F5323" s="3"/>
      <c r="G5323" s="3"/>
      <c r="H5323" s="3"/>
    </row>
    <row r="5324">
      <c r="A5324" s="2">
        <f>IFERROR(__xludf.DUMMYFUNCTION("""COMPUTED_VALUE"""),63509.0)</f>
        <v>63509</v>
      </c>
      <c r="B5324" s="3" t="str">
        <f>IFERROR(__xludf.DUMMYFUNCTION("""COMPUTED_VALUE"""),"3 TRILLIUM LANE  ")</f>
        <v>3 TRILLIUM LANE  </v>
      </c>
      <c r="C5324" s="3" t="str">
        <f>IFERROR(__xludf.DUMMYFUNCTION("""COMPUTED_VALUE"""),"HASTINGS")</f>
        <v>HASTINGS</v>
      </c>
      <c r="D5324" s="3" t="str">
        <f>IFERROR(__xludf.DUMMYFUNCTION("""COMPUTED_VALUE"""),"K0L 1Y0")</f>
        <v>K0L 1Y0</v>
      </c>
      <c r="E5324" s="3" t="str">
        <f>IFERROR(__xludf.DUMMYFUNCTION("""COMPUTED_VALUE"""),"joan brown")</f>
        <v>joan brown</v>
      </c>
      <c r="F5324" s="3" t="str">
        <f>IFERROR(__xludf.DUMMYFUNCTION("""COMPUTED_VALUE"""),"superiorsouth@gmail.com")</f>
        <v>superiorsouth@gmail.com</v>
      </c>
      <c r="G5324" s="3">
        <f>IFERROR(__xludf.DUMMYFUNCTION("""COMPUTED_VALUE"""),7.056961525E9)</f>
        <v>7056961525</v>
      </c>
      <c r="H5324" s="3"/>
    </row>
    <row r="5325">
      <c r="A5325" s="2">
        <f>IFERROR(__xludf.DUMMYFUNCTION("""COMPUTED_VALUE"""),63510.0)</f>
        <v>63510</v>
      </c>
      <c r="B5325" s="3" t="str">
        <f>IFERROR(__xludf.DUMMYFUNCTION("""COMPUTED_VALUE"""),"7 TRILLIUM LANE  ")</f>
        <v>7 TRILLIUM LANE  </v>
      </c>
      <c r="C5325" s="3" t="str">
        <f>IFERROR(__xludf.DUMMYFUNCTION("""COMPUTED_VALUE"""),"HASTINGS")</f>
        <v>HASTINGS</v>
      </c>
      <c r="D5325" s="3" t="str">
        <f>IFERROR(__xludf.DUMMYFUNCTION("""COMPUTED_VALUE"""),"K0L 1Y0")</f>
        <v>K0L 1Y0</v>
      </c>
      <c r="E5325" s="3" t="str">
        <f>IFERROR(__xludf.DUMMYFUNCTION("""COMPUTED_VALUE"""),"tom &amp; helen gushue")</f>
        <v>tom &amp; helen gushue</v>
      </c>
      <c r="F5325" s="3"/>
      <c r="G5325" s="3">
        <f>IFERROR(__xludf.DUMMYFUNCTION("""COMPUTED_VALUE"""),7.05696207E9)</f>
        <v>7056962070</v>
      </c>
      <c r="H5325" s="3"/>
    </row>
    <row r="5326">
      <c r="A5326" s="2">
        <f>IFERROR(__xludf.DUMMYFUNCTION("""COMPUTED_VALUE"""),63511.0)</f>
        <v>63511</v>
      </c>
      <c r="B5326" s="3" t="str">
        <f>IFERROR(__xludf.DUMMYFUNCTION("""COMPUTED_VALUE"""),"11 TRILLIUM LANE  ")</f>
        <v>11 TRILLIUM LANE  </v>
      </c>
      <c r="C5326" s="3" t="str">
        <f>IFERROR(__xludf.DUMMYFUNCTION("""COMPUTED_VALUE"""),"HASTINGS")</f>
        <v>HASTINGS</v>
      </c>
      <c r="D5326" s="3" t="str">
        <f>IFERROR(__xludf.DUMMYFUNCTION("""COMPUTED_VALUE"""),"K0L 1Y0")</f>
        <v>K0L 1Y0</v>
      </c>
      <c r="E5326" s="3" t="str">
        <f>IFERROR(__xludf.DUMMYFUNCTION("""COMPUTED_VALUE"""),"bell, archideld")</f>
        <v>bell, archideld</v>
      </c>
      <c r="F5326" s="3"/>
      <c r="G5326" s="3"/>
      <c r="H5326" s="3"/>
    </row>
    <row r="5327">
      <c r="A5327" s="2">
        <f>IFERROR(__xludf.DUMMYFUNCTION("""COMPUTED_VALUE"""),63512.0)</f>
        <v>63512</v>
      </c>
      <c r="B5327" s="3" t="str">
        <f>IFERROR(__xludf.DUMMYFUNCTION("""COMPUTED_VALUE"""),"14 TRILLIUM LANE  ")</f>
        <v>14 TRILLIUM LANE  </v>
      </c>
      <c r="C5327" s="3" t="str">
        <f>IFERROR(__xludf.DUMMYFUNCTION("""COMPUTED_VALUE"""),"HASTINGS")</f>
        <v>HASTINGS</v>
      </c>
      <c r="D5327" s="3" t="str">
        <f>IFERROR(__xludf.DUMMYFUNCTION("""COMPUTED_VALUE"""),"K0L 1Y0")</f>
        <v>K0L 1Y0</v>
      </c>
      <c r="E5327" s="3" t="str">
        <f>IFERROR(__xludf.DUMMYFUNCTION("""COMPUTED_VALUE"""),"santina modica ")</f>
        <v>santina modica </v>
      </c>
      <c r="F5327" s="3" t="str">
        <f>IFERROR(__xludf.DUMMYFUNCTION("""COMPUTED_VALUE"""),"michelecherry@yahoo.ca")</f>
        <v>michelecherry@yahoo.ca</v>
      </c>
      <c r="G5327" s="3">
        <f>IFERROR(__xludf.DUMMYFUNCTION("""COMPUTED_VALUE"""),4.168415082E9)</f>
        <v>4168415082</v>
      </c>
      <c r="H5327" s="3"/>
    </row>
    <row r="5328">
      <c r="A5328" s="2">
        <f>IFERROR(__xludf.DUMMYFUNCTION("""COMPUTED_VALUE"""),63513.0)</f>
        <v>63513</v>
      </c>
      <c r="B5328" s="3" t="str">
        <f>IFERROR(__xludf.DUMMYFUNCTION("""COMPUTED_VALUE"""),"15 TRILLIUM LANE  ")</f>
        <v>15 TRILLIUM LANE  </v>
      </c>
      <c r="C5328" s="3" t="str">
        <f>IFERROR(__xludf.DUMMYFUNCTION("""COMPUTED_VALUE"""),"HASTINGS")</f>
        <v>HASTINGS</v>
      </c>
      <c r="D5328" s="3" t="str">
        <f>IFERROR(__xludf.DUMMYFUNCTION("""COMPUTED_VALUE"""),"K0L 1Y0")</f>
        <v>K0L 1Y0</v>
      </c>
      <c r="E5328" s="3" t="str">
        <f>IFERROR(__xludf.DUMMYFUNCTION("""COMPUTED_VALUE"""),"Bryce Wolfraim")</f>
        <v>Bryce Wolfraim</v>
      </c>
      <c r="F5328" s="3" t="str">
        <f>IFERROR(__xludf.DUMMYFUNCTION("""COMPUTED_VALUE"""),"brycewolfraim@hotmail.com")</f>
        <v>brycewolfraim@hotmail.com</v>
      </c>
      <c r="G5328" s="3"/>
      <c r="H5328" s="3"/>
    </row>
    <row r="5329">
      <c r="A5329" s="2">
        <f>IFERROR(__xludf.DUMMYFUNCTION("""COMPUTED_VALUE"""),63514.0)</f>
        <v>63514</v>
      </c>
      <c r="B5329" s="3" t="str">
        <f>IFERROR(__xludf.DUMMYFUNCTION("""COMPUTED_VALUE"""),"17 TRILLIUM LANE  ")</f>
        <v>17 TRILLIUM LANE  </v>
      </c>
      <c r="C5329" s="3" t="str">
        <f>IFERROR(__xludf.DUMMYFUNCTION("""COMPUTED_VALUE"""),"HASTINGS")</f>
        <v>HASTINGS</v>
      </c>
      <c r="D5329" s="3" t="str">
        <f>IFERROR(__xludf.DUMMYFUNCTION("""COMPUTED_VALUE"""),"K0L 1Y0")</f>
        <v>K0L 1Y0</v>
      </c>
      <c r="E5329" s="3"/>
      <c r="F5329" s="3"/>
      <c r="G5329" s="3"/>
      <c r="H5329" s="3"/>
    </row>
    <row r="5330">
      <c r="A5330" s="2">
        <f>IFERROR(__xludf.DUMMYFUNCTION("""COMPUTED_VALUE"""),63515.0)</f>
        <v>63515</v>
      </c>
      <c r="B5330" s="3" t="str">
        <f>IFERROR(__xludf.DUMMYFUNCTION("""COMPUTED_VALUE"""),"22 TRILLIUM LANE  ")</f>
        <v>22 TRILLIUM LANE  </v>
      </c>
      <c r="C5330" s="3" t="str">
        <f>IFERROR(__xludf.DUMMYFUNCTION("""COMPUTED_VALUE"""),"HASTINGS")</f>
        <v>HASTINGS</v>
      </c>
      <c r="D5330" s="3" t="str">
        <f>IFERROR(__xludf.DUMMYFUNCTION("""COMPUTED_VALUE"""),"K0L 1Y0")</f>
        <v>K0L 1Y0</v>
      </c>
      <c r="E5330" s="3" t="str">
        <f>IFERROR(__xludf.DUMMYFUNCTION("""COMPUTED_VALUE"""),"Dmitry Perstin")</f>
        <v>Dmitry Perstin</v>
      </c>
      <c r="F5330" s="3" t="str">
        <f>IFERROR(__xludf.DUMMYFUNCTION("""COMPUTED_VALUE"""),"dperstin@gmail.com")</f>
        <v>dperstin@gmail.com</v>
      </c>
      <c r="G5330" s="3">
        <f>IFERROR(__xludf.DUMMYFUNCTION("""COMPUTED_VALUE"""),4.164099595E9)</f>
        <v>4164099595</v>
      </c>
      <c r="H5330" s="3"/>
    </row>
    <row r="5331">
      <c r="A5331" s="2">
        <f>IFERROR(__xludf.DUMMYFUNCTION("""COMPUTED_VALUE"""),63516.0)</f>
        <v>63516</v>
      </c>
      <c r="B5331" s="3" t="str">
        <f>IFERROR(__xludf.DUMMYFUNCTION("""COMPUTED_VALUE"""),"23 TRILLIUM LANE  ")</f>
        <v>23 TRILLIUM LANE  </v>
      </c>
      <c r="C5331" s="3" t="str">
        <f>IFERROR(__xludf.DUMMYFUNCTION("""COMPUTED_VALUE"""),"HASTINGS")</f>
        <v>HASTINGS</v>
      </c>
      <c r="D5331" s="3" t="str">
        <f>IFERROR(__xludf.DUMMYFUNCTION("""COMPUTED_VALUE"""),"K0L 1Y0")</f>
        <v>K0L 1Y0</v>
      </c>
      <c r="E5331" s="3"/>
      <c r="F5331" s="3"/>
      <c r="G5331" s="3"/>
      <c r="H5331" s="3"/>
    </row>
    <row r="5332">
      <c r="A5332" s="2">
        <f>IFERROR(__xludf.DUMMYFUNCTION("""COMPUTED_VALUE"""),63517.0)</f>
        <v>63517</v>
      </c>
      <c r="B5332" s="3" t="str">
        <f>IFERROR(__xludf.DUMMYFUNCTION("""COMPUTED_VALUE"""),"24 TRILLIUM LANE  ")</f>
        <v>24 TRILLIUM LANE  </v>
      </c>
      <c r="C5332" s="3" t="str">
        <f>IFERROR(__xludf.DUMMYFUNCTION("""COMPUTED_VALUE"""),"HASTINGS")</f>
        <v>HASTINGS</v>
      </c>
      <c r="D5332" s="3" t="str">
        <f>IFERROR(__xludf.DUMMYFUNCTION("""COMPUTED_VALUE"""),"K0L 1Y0")</f>
        <v>K0L 1Y0</v>
      </c>
      <c r="E5332" s="3"/>
      <c r="F5332" s="3"/>
      <c r="G5332" s="3"/>
      <c r="H5332" s="3"/>
    </row>
    <row r="5333">
      <c r="A5333" s="2">
        <f>IFERROR(__xludf.DUMMYFUNCTION("""COMPUTED_VALUE"""),63518.0)</f>
        <v>63518</v>
      </c>
      <c r="B5333" s="3" t="str">
        <f>IFERROR(__xludf.DUMMYFUNCTION("""COMPUTED_VALUE"""),"28 TRILLIUM LANE  ")</f>
        <v>28 TRILLIUM LANE  </v>
      </c>
      <c r="C5333" s="3" t="str">
        <f>IFERROR(__xludf.DUMMYFUNCTION("""COMPUTED_VALUE"""),"HASTINGS")</f>
        <v>HASTINGS</v>
      </c>
      <c r="D5333" s="3" t="str">
        <f>IFERROR(__xludf.DUMMYFUNCTION("""COMPUTED_VALUE"""),"K0L 1Y0")</f>
        <v>K0L 1Y0</v>
      </c>
      <c r="E5333" s="3" t="str">
        <f>IFERROR(__xludf.DUMMYFUNCTION("""COMPUTED_VALUE"""),"peter wright ")</f>
        <v>peter wright </v>
      </c>
      <c r="F5333" s="3"/>
      <c r="G5333" s="3">
        <f>IFERROR(__xludf.DUMMYFUNCTION("""COMPUTED_VALUE"""),7.057496141E9)</f>
        <v>7057496141</v>
      </c>
      <c r="H5333" s="3"/>
    </row>
    <row r="5334">
      <c r="A5334" s="2">
        <f>IFERROR(__xludf.DUMMYFUNCTION("""COMPUTED_VALUE"""),63519.0)</f>
        <v>63519</v>
      </c>
      <c r="B5334" s="3" t="str">
        <f>IFERROR(__xludf.DUMMYFUNCTION("""COMPUTED_VALUE"""),"30 TRILLIUM LANE  ")</f>
        <v>30 TRILLIUM LANE  </v>
      </c>
      <c r="C5334" s="3" t="str">
        <f>IFERROR(__xludf.DUMMYFUNCTION("""COMPUTED_VALUE"""),"HASTINGS")</f>
        <v>HASTINGS</v>
      </c>
      <c r="D5334" s="3" t="str">
        <f>IFERROR(__xludf.DUMMYFUNCTION("""COMPUTED_VALUE"""),"K0L 1Y0")</f>
        <v>K0L 1Y0</v>
      </c>
      <c r="E5334" s="3" t="str">
        <f>IFERROR(__xludf.DUMMYFUNCTION("""COMPUTED_VALUE"""),"leanne brusisma leanne465@protonmail.com")</f>
        <v>leanne brusisma leanne465@protonmail.com</v>
      </c>
      <c r="F5334" s="3"/>
      <c r="G5334" s="3">
        <f>IFERROR(__xludf.DUMMYFUNCTION("""COMPUTED_VALUE"""),2.896854428E9)</f>
        <v>2896854428</v>
      </c>
      <c r="H5334" s="3"/>
    </row>
    <row r="5335">
      <c r="A5335" s="2">
        <f>IFERROR(__xludf.DUMMYFUNCTION("""COMPUTED_VALUE"""),63520.0)</f>
        <v>63520</v>
      </c>
      <c r="B5335" s="3" t="str">
        <f>IFERROR(__xludf.DUMMYFUNCTION("""COMPUTED_VALUE"""),"32 TRILLIUM LANE  ")</f>
        <v>32 TRILLIUM LANE  </v>
      </c>
      <c r="C5335" s="3" t="str">
        <f>IFERROR(__xludf.DUMMYFUNCTION("""COMPUTED_VALUE"""),"HASTINGS")</f>
        <v>HASTINGS</v>
      </c>
      <c r="D5335" s="3" t="str">
        <f>IFERROR(__xludf.DUMMYFUNCTION("""COMPUTED_VALUE"""),"K0L 1Y0")</f>
        <v>K0L 1Y0</v>
      </c>
      <c r="E5335" s="3" t="str">
        <f>IFERROR(__xludf.DUMMYFUNCTION("""COMPUTED_VALUE"""),"Maria lengyel ")</f>
        <v>Maria lengyel </v>
      </c>
      <c r="F5335" s="3"/>
      <c r="G5335" s="3">
        <f>IFERROR(__xludf.DUMMYFUNCTION("""COMPUTED_VALUE"""),7.056962042E9)</f>
        <v>7056962042</v>
      </c>
      <c r="H5335" s="3"/>
    </row>
    <row r="5336">
      <c r="A5336" s="2">
        <f>IFERROR(__xludf.DUMMYFUNCTION("""COMPUTED_VALUE"""),63521.0)</f>
        <v>63521</v>
      </c>
      <c r="B5336" s="3" t="str">
        <f>IFERROR(__xludf.DUMMYFUNCTION("""COMPUTED_VALUE"""),"33 TRILLIUM LANE  ")</f>
        <v>33 TRILLIUM LANE  </v>
      </c>
      <c r="C5336" s="3" t="str">
        <f>IFERROR(__xludf.DUMMYFUNCTION("""COMPUTED_VALUE"""),"HASTINGS")</f>
        <v>HASTINGS</v>
      </c>
      <c r="D5336" s="3" t="str">
        <f>IFERROR(__xludf.DUMMYFUNCTION("""COMPUTED_VALUE"""),"K0L 1Y0")</f>
        <v>K0L 1Y0</v>
      </c>
      <c r="E5336" s="3"/>
      <c r="F5336" s="3"/>
      <c r="G5336" s="3"/>
      <c r="H5336" s="3"/>
    </row>
    <row r="5337">
      <c r="A5337" s="2">
        <f>IFERROR(__xludf.DUMMYFUNCTION("""COMPUTED_VALUE"""),63522.0)</f>
        <v>63522</v>
      </c>
      <c r="B5337" s="3" t="str">
        <f>IFERROR(__xludf.DUMMYFUNCTION("""COMPUTED_VALUE"""),"34 TRILLIUM LANE  ")</f>
        <v>34 TRILLIUM LANE  </v>
      </c>
      <c r="C5337" s="3" t="str">
        <f>IFERROR(__xludf.DUMMYFUNCTION("""COMPUTED_VALUE"""),"HASTINGS")</f>
        <v>HASTINGS</v>
      </c>
      <c r="D5337" s="3" t="str">
        <f>IFERROR(__xludf.DUMMYFUNCTION("""COMPUTED_VALUE"""),"K0L 1Y0")</f>
        <v>K0L 1Y0</v>
      </c>
      <c r="E5337" s="3" t="str">
        <f>IFERROR(__xludf.DUMMYFUNCTION("""COMPUTED_VALUE"""),"Tom Northam ")</f>
        <v>Tom Northam </v>
      </c>
      <c r="F5337" s="3" t="str">
        <f>IFERROR(__xludf.DUMMYFUNCTION("""COMPUTED_VALUE"""),"tomster3300@gmail.com")</f>
        <v>tomster3300@gmail.com</v>
      </c>
      <c r="G5337" s="3"/>
      <c r="H5337" s="3"/>
    </row>
    <row r="5338">
      <c r="A5338" s="2">
        <f>IFERROR(__xludf.DUMMYFUNCTION("""COMPUTED_VALUE"""),63523.0)</f>
        <v>63523</v>
      </c>
      <c r="B5338" s="3" t="str">
        <f>IFERROR(__xludf.DUMMYFUNCTION("""COMPUTED_VALUE"""),"35 TRILLIUM LANE  ")</f>
        <v>35 TRILLIUM LANE  </v>
      </c>
      <c r="C5338" s="3" t="str">
        <f>IFERROR(__xludf.DUMMYFUNCTION("""COMPUTED_VALUE"""),"HASTINGS")</f>
        <v>HASTINGS</v>
      </c>
      <c r="D5338" s="3" t="str">
        <f>IFERROR(__xludf.DUMMYFUNCTION("""COMPUTED_VALUE"""),"K0L 1Y0")</f>
        <v>K0L 1Y0</v>
      </c>
      <c r="E5338" s="3" t="str">
        <f>IFERROR(__xludf.DUMMYFUNCTION("""COMPUTED_VALUE"""),"mike morin ")</f>
        <v>mike morin </v>
      </c>
      <c r="F5338" s="3" t="str">
        <f>IFERROR(__xludf.DUMMYFUNCTION("""COMPUTED_VALUE"""),"anne.morin21058@gmail.com")</f>
        <v>anne.morin21058@gmail.com</v>
      </c>
      <c r="G5338" s="3">
        <f>IFERROR(__xludf.DUMMYFUNCTION("""COMPUTED_VALUE"""),2.262801756E9)</f>
        <v>2262801756</v>
      </c>
      <c r="H5338" s="3">
        <f>IFERROR(__xludf.DUMMYFUNCTION("""COMPUTED_VALUE"""),5.199963867E9)</f>
        <v>5199963867</v>
      </c>
    </row>
    <row r="5339">
      <c r="A5339" s="2">
        <f>IFERROR(__xludf.DUMMYFUNCTION("""COMPUTED_VALUE"""),63524.0)</f>
        <v>63524</v>
      </c>
      <c r="B5339" s="3" t="str">
        <f>IFERROR(__xludf.DUMMYFUNCTION("""COMPUTED_VALUE"""),"36 TRILLIUM LANE  ")</f>
        <v>36 TRILLIUM LANE  </v>
      </c>
      <c r="C5339" s="3" t="str">
        <f>IFERROR(__xludf.DUMMYFUNCTION("""COMPUTED_VALUE"""),"HASTINGS")</f>
        <v>HASTINGS</v>
      </c>
      <c r="D5339" s="3" t="str">
        <f>IFERROR(__xludf.DUMMYFUNCTION("""COMPUTED_VALUE"""),"K0L 1Y0")</f>
        <v>K0L 1Y0</v>
      </c>
      <c r="E5339" s="3" t="str">
        <f>IFERROR(__xludf.DUMMYFUNCTION("""COMPUTED_VALUE"""),"avril and gordon sweeny")</f>
        <v>avril and gordon sweeny</v>
      </c>
      <c r="F5339" s="3" t="str">
        <f>IFERROR(__xludf.DUMMYFUNCTION("""COMPUTED_VALUE"""),"avril-sweeny@hotmail.com")</f>
        <v>avril-sweeny@hotmail.com</v>
      </c>
      <c r="G5339" s="3">
        <f>IFERROR(__xludf.DUMMYFUNCTION("""COMPUTED_VALUE"""),9.055377275E9)</f>
        <v>9055377275</v>
      </c>
      <c r="H5339" s="3"/>
    </row>
    <row r="5340">
      <c r="A5340" s="2">
        <f>IFERROR(__xludf.DUMMYFUNCTION("""COMPUTED_VALUE"""),63525.0)</f>
        <v>63525</v>
      </c>
      <c r="B5340" s="3" t="str">
        <f>IFERROR(__xludf.DUMMYFUNCTION("""COMPUTED_VALUE"""),"40 TRILLIUM LANE  ")</f>
        <v>40 TRILLIUM LANE  </v>
      </c>
      <c r="C5340" s="3" t="str">
        <f>IFERROR(__xludf.DUMMYFUNCTION("""COMPUTED_VALUE"""),"HASTINGS")</f>
        <v>HASTINGS</v>
      </c>
      <c r="D5340" s="3" t="str">
        <f>IFERROR(__xludf.DUMMYFUNCTION("""COMPUTED_VALUE"""),"K0L 1Y0")</f>
        <v>K0L 1Y0</v>
      </c>
      <c r="E5340" s="3" t="str">
        <f>IFERROR(__xludf.DUMMYFUNCTION("""COMPUTED_VALUE"""),"dave mckellar ")</f>
        <v>dave mckellar </v>
      </c>
      <c r="F5340" s="3" t="str">
        <f>IFERROR(__xludf.DUMMYFUNCTION("""COMPUTED_VALUE"""),"mckellar@live.ca")</f>
        <v>mckellar@live.ca</v>
      </c>
      <c r="G5340" s="3">
        <f>IFERROR(__xludf.DUMMYFUNCTION("""COMPUTED_VALUE"""),7.056962965E9)</f>
        <v>7056962965</v>
      </c>
      <c r="H5340" s="3"/>
    </row>
    <row r="5341">
      <c r="A5341" s="2">
        <f>IFERROR(__xludf.DUMMYFUNCTION("""COMPUTED_VALUE"""),62423.0)</f>
        <v>62423</v>
      </c>
      <c r="B5341" s="3" t="str">
        <f>IFERROR(__xludf.DUMMYFUNCTION("""COMPUTED_VALUE"""),"2 LAKESHORE DR  ")</f>
        <v>2 LAKESHORE DR  </v>
      </c>
      <c r="C5341" s="3" t="str">
        <f>IFERROR(__xludf.DUMMYFUNCTION("""COMPUTED_VALUE"""),"HASTINGS")</f>
        <v>HASTINGS</v>
      </c>
      <c r="D5341" s="3" t="str">
        <f>IFERROR(__xludf.DUMMYFUNCTION("""COMPUTED_VALUE"""),"K0L 1Y0")</f>
        <v>K0L 1Y0</v>
      </c>
      <c r="E5341" s="3" t="str">
        <f>IFERROR(__xludf.DUMMYFUNCTION("""COMPUTED_VALUE"""),"helen lloyd ")</f>
        <v>helen lloyd </v>
      </c>
      <c r="F5341" s="3" t="str">
        <f>IFERROR(__xludf.DUMMYFUNCTION("""COMPUTED_VALUE"""),"helenlloyd713@gmail.com")</f>
        <v>helenlloyd713@gmail.com</v>
      </c>
      <c r="G5341" s="3">
        <f>IFERROR(__xludf.DUMMYFUNCTION("""COMPUTED_VALUE"""),7.056962137E9)</f>
        <v>7056962137</v>
      </c>
      <c r="H5341" s="3"/>
    </row>
    <row r="5342">
      <c r="A5342" s="2">
        <f>IFERROR(__xludf.DUMMYFUNCTION("""COMPUTED_VALUE"""),62424.0)</f>
        <v>62424</v>
      </c>
      <c r="B5342" s="3" t="str">
        <f>IFERROR(__xludf.DUMMYFUNCTION("""COMPUTED_VALUE"""),"4 LAKESHORE DR  ")</f>
        <v>4 LAKESHORE DR  </v>
      </c>
      <c r="C5342" s="3" t="str">
        <f>IFERROR(__xludf.DUMMYFUNCTION("""COMPUTED_VALUE"""),"HASTINGS")</f>
        <v>HASTINGS</v>
      </c>
      <c r="D5342" s="3" t="str">
        <f>IFERROR(__xludf.DUMMYFUNCTION("""COMPUTED_VALUE"""),"K0L 1Y0")</f>
        <v>K0L 1Y0</v>
      </c>
      <c r="E5342" s="3" t="str">
        <f>IFERROR(__xludf.DUMMYFUNCTION("""COMPUTED_VALUE"""),"James Coveney")</f>
        <v>James Coveney</v>
      </c>
      <c r="F5342" s="3" t="str">
        <f>IFERROR(__xludf.DUMMYFUNCTION("""COMPUTED_VALUE"""),"jcovista@gmail.com")</f>
        <v>jcovista@gmail.com</v>
      </c>
      <c r="G5342" s="3">
        <f>IFERROR(__xludf.DUMMYFUNCTION("""COMPUTED_VALUE"""),7.057601315E9)</f>
        <v>7057601315</v>
      </c>
      <c r="H5342" s="3"/>
    </row>
    <row r="5343">
      <c r="A5343" s="2">
        <f>IFERROR(__xludf.DUMMYFUNCTION("""COMPUTED_VALUE"""),62425.0)</f>
        <v>62425</v>
      </c>
      <c r="B5343" s="3" t="str">
        <f>IFERROR(__xludf.DUMMYFUNCTION("""COMPUTED_VALUE"""),"6 LAKESHORE DR  ")</f>
        <v>6 LAKESHORE DR  </v>
      </c>
      <c r="C5343" s="3" t="str">
        <f>IFERROR(__xludf.DUMMYFUNCTION("""COMPUTED_VALUE"""),"HASTINGS")</f>
        <v>HASTINGS</v>
      </c>
      <c r="D5343" s="3" t="str">
        <f>IFERROR(__xludf.DUMMYFUNCTION("""COMPUTED_VALUE"""),"K0L 1Y0")</f>
        <v>K0L 1Y0</v>
      </c>
      <c r="E5343" s="3" t="str">
        <f>IFERROR(__xludf.DUMMYFUNCTION("""COMPUTED_VALUE"""),"Dennis Edward Savery")</f>
        <v>Dennis Edward Savery</v>
      </c>
      <c r="F5343" s="3" t="str">
        <f>IFERROR(__xludf.DUMMYFUNCTION("""COMPUTED_VALUE"""),"densavery@gmail.com")</f>
        <v>densavery@gmail.com</v>
      </c>
      <c r="G5343" s="3"/>
      <c r="H5343" s="3"/>
    </row>
    <row r="5344">
      <c r="A5344" s="2">
        <f>IFERROR(__xludf.DUMMYFUNCTION("""COMPUTED_VALUE"""),62426.0)</f>
        <v>62426</v>
      </c>
      <c r="B5344" s="3" t="str">
        <f>IFERROR(__xludf.DUMMYFUNCTION("""COMPUTED_VALUE"""),"10 LAKESHORE DR  ")</f>
        <v>10 LAKESHORE DR  </v>
      </c>
      <c r="C5344" s="3" t="str">
        <f>IFERROR(__xludf.DUMMYFUNCTION("""COMPUTED_VALUE"""),"HASTINGS")</f>
        <v>HASTINGS</v>
      </c>
      <c r="D5344" s="3" t="str">
        <f>IFERROR(__xludf.DUMMYFUNCTION("""COMPUTED_VALUE"""),"K0L 1Y0")</f>
        <v>K0L 1Y0</v>
      </c>
      <c r="E5344" s="3"/>
      <c r="F5344" s="3"/>
      <c r="G5344" s="3"/>
      <c r="H5344" s="3"/>
    </row>
    <row r="5345">
      <c r="A5345" s="2">
        <f>IFERROR(__xludf.DUMMYFUNCTION("""COMPUTED_VALUE"""),62427.0)</f>
        <v>62427</v>
      </c>
      <c r="B5345" s="3" t="str">
        <f>IFERROR(__xludf.DUMMYFUNCTION("""COMPUTED_VALUE"""),"14 LAKESHORE DR  ")</f>
        <v>14 LAKESHORE DR  </v>
      </c>
      <c r="C5345" s="3" t="str">
        <f>IFERROR(__xludf.DUMMYFUNCTION("""COMPUTED_VALUE"""),"HASTINGS")</f>
        <v>HASTINGS</v>
      </c>
      <c r="D5345" s="3" t="str">
        <f>IFERROR(__xludf.DUMMYFUNCTION("""COMPUTED_VALUE"""),"K0L 1Y0")</f>
        <v>K0L 1Y0</v>
      </c>
      <c r="E5345" s="3" t="str">
        <f>IFERROR(__xludf.DUMMYFUNCTION("""COMPUTED_VALUE"""),"rick lindsay")</f>
        <v>rick lindsay</v>
      </c>
      <c r="F5345" s="3" t="str">
        <f>IFERROR(__xludf.DUMMYFUNCTION("""COMPUTED_VALUE"""),"rslindsay7@gmail.com")</f>
        <v>rslindsay7@gmail.com</v>
      </c>
      <c r="G5345" s="3">
        <f>IFERROR(__xludf.DUMMYFUNCTION("""COMPUTED_VALUE"""),6.472784891E9)</f>
        <v>6472784891</v>
      </c>
      <c r="H5345" s="3"/>
    </row>
    <row r="5346">
      <c r="A5346" s="2">
        <f>IFERROR(__xludf.DUMMYFUNCTION("""COMPUTED_VALUE"""),62428.0)</f>
        <v>62428</v>
      </c>
      <c r="B5346" s="3" t="str">
        <f>IFERROR(__xludf.DUMMYFUNCTION("""COMPUTED_VALUE"""),"15 LAKESHORE DR  ")</f>
        <v>15 LAKESHORE DR  </v>
      </c>
      <c r="C5346" s="3" t="str">
        <f>IFERROR(__xludf.DUMMYFUNCTION("""COMPUTED_VALUE"""),"HASTINGS")</f>
        <v>HASTINGS</v>
      </c>
      <c r="D5346" s="3" t="str">
        <f>IFERROR(__xludf.DUMMYFUNCTION("""COMPUTED_VALUE"""),"K0L 1Y0")</f>
        <v>K0L 1Y0</v>
      </c>
      <c r="E5346" s="3"/>
      <c r="F5346" s="3"/>
      <c r="G5346" s="3"/>
      <c r="H5346" s="3"/>
    </row>
    <row r="5347">
      <c r="A5347" s="2">
        <f>IFERROR(__xludf.DUMMYFUNCTION("""COMPUTED_VALUE"""),62429.0)</f>
        <v>62429</v>
      </c>
      <c r="B5347" s="3" t="str">
        <f>IFERROR(__xludf.DUMMYFUNCTION("""COMPUTED_VALUE"""),"18 LAKESHORE DR  ")</f>
        <v>18 LAKESHORE DR  </v>
      </c>
      <c r="C5347" s="3" t="str">
        <f>IFERROR(__xludf.DUMMYFUNCTION("""COMPUTED_VALUE"""),"HASTINGS")</f>
        <v>HASTINGS</v>
      </c>
      <c r="D5347" s="3" t="str">
        <f>IFERROR(__xludf.DUMMYFUNCTION("""COMPUTED_VALUE"""),"K0L 1Y0")</f>
        <v>K0L 1Y0</v>
      </c>
      <c r="E5347" s="3" t="str">
        <f>IFERROR(__xludf.DUMMYFUNCTION("""COMPUTED_VALUE"""),"joe mcauley ")</f>
        <v>joe mcauley </v>
      </c>
      <c r="F5347" s="3"/>
      <c r="G5347" s="3">
        <f>IFERROR(__xludf.DUMMYFUNCTION("""COMPUTED_VALUE"""),6.475152996E9)</f>
        <v>6475152996</v>
      </c>
      <c r="H5347" s="3"/>
    </row>
    <row r="5348">
      <c r="A5348" s="2">
        <f>IFERROR(__xludf.DUMMYFUNCTION("""COMPUTED_VALUE"""),62430.0)</f>
        <v>62430</v>
      </c>
      <c r="B5348" s="3" t="str">
        <f>IFERROR(__xludf.DUMMYFUNCTION("""COMPUTED_VALUE"""),"20 LAKESHORE DR  ")</f>
        <v>20 LAKESHORE DR  </v>
      </c>
      <c r="C5348" s="3" t="str">
        <f>IFERROR(__xludf.DUMMYFUNCTION("""COMPUTED_VALUE"""),"HASTINGS")</f>
        <v>HASTINGS</v>
      </c>
      <c r="D5348" s="3" t="str">
        <f>IFERROR(__xludf.DUMMYFUNCTION("""COMPUTED_VALUE"""),"K0L 1Y0")</f>
        <v>K0L 1Y0</v>
      </c>
      <c r="E5348" s="3" t="str">
        <f>IFERROR(__xludf.DUMMYFUNCTION("""COMPUTED_VALUE"""),"deb wirsching")</f>
        <v>deb wirsching</v>
      </c>
      <c r="F5348" s="3" t="str">
        <f>IFERROR(__xludf.DUMMYFUNCTION("""COMPUTED_VALUE"""),"dwirsch754@gmail.com")</f>
        <v>dwirsch754@gmail.com</v>
      </c>
      <c r="G5348" s="3">
        <f>IFERROR(__xludf.DUMMYFUNCTION("""COMPUTED_VALUE"""),2.8935642E9)</f>
        <v>2893564200</v>
      </c>
      <c r="H5348" s="3"/>
    </row>
    <row r="5349">
      <c r="A5349" s="2">
        <f>IFERROR(__xludf.DUMMYFUNCTION("""COMPUTED_VALUE"""),62431.0)</f>
        <v>62431</v>
      </c>
      <c r="B5349" s="3" t="str">
        <f>IFERROR(__xludf.DUMMYFUNCTION("""COMPUTED_VALUE"""),"22 LAKESHORE DR")</f>
        <v>22 LAKESHORE DR</v>
      </c>
      <c r="C5349" s="3"/>
      <c r="D5349" s="3"/>
      <c r="E5349" s="3"/>
      <c r="F5349" s="3"/>
      <c r="G5349" s="3"/>
      <c r="H5349" s="3"/>
    </row>
    <row r="5350">
      <c r="A5350" s="2">
        <f>IFERROR(__xludf.DUMMYFUNCTION("""COMPUTED_VALUE"""),60961.0)</f>
        <v>60961</v>
      </c>
      <c r="B5350" s="3" t="str">
        <f>IFERROR(__xludf.DUMMYFUNCTION("""COMPUTED_VALUE"""),"9 CONCESSION RD 12 RD W ")</f>
        <v>9 CONCESSION RD 12 RD W </v>
      </c>
      <c r="C5350" s="3" t="str">
        <f>IFERROR(__xludf.DUMMYFUNCTION("""COMPUTED_VALUE"""),"HASTINGS")</f>
        <v>HASTINGS</v>
      </c>
      <c r="D5350" s="3" t="str">
        <f>IFERROR(__xludf.DUMMYFUNCTION("""COMPUTED_VALUE"""),"K0L 1Y0")</f>
        <v>K0L 1Y0</v>
      </c>
      <c r="E5350" s="3" t="str">
        <f>IFERROR(__xludf.DUMMYFUNCTION("""COMPUTED_VALUE"""),"jodi belec-doucet")</f>
        <v>jodi belec-doucet</v>
      </c>
      <c r="F5350" s="3" t="str">
        <f>IFERROR(__xludf.DUMMYFUNCTION("""COMPUTED_VALUE"""),"jmbk68@gmail.com")</f>
        <v>jmbk68@gmail.com</v>
      </c>
      <c r="G5350" s="3">
        <f>IFERROR(__xludf.DUMMYFUNCTION("""COMPUTED_VALUE"""),9.052426462E9)</f>
        <v>9052426462</v>
      </c>
      <c r="H5350" s="3"/>
    </row>
    <row r="5351">
      <c r="A5351" s="2">
        <f>IFERROR(__xludf.DUMMYFUNCTION("""COMPUTED_VALUE"""),62777.0)</f>
        <v>62777</v>
      </c>
      <c r="B5351" s="3" t="str">
        <f>IFERROR(__xludf.DUMMYFUNCTION("""COMPUTED_VALUE"""),"8 NORTHWOODS DR  ")</f>
        <v>8 NORTHWOODS DR  </v>
      </c>
      <c r="C5351" s="3" t="str">
        <f>IFERROR(__xludf.DUMMYFUNCTION("""COMPUTED_VALUE"""),"HASTINGS")</f>
        <v>HASTINGS</v>
      </c>
      <c r="D5351" s="3" t="str">
        <f>IFERROR(__xludf.DUMMYFUNCTION("""COMPUTED_VALUE"""),"KOL 1Y0")</f>
        <v>KOL 1Y0</v>
      </c>
      <c r="E5351" s="3" t="str">
        <f>IFERROR(__xludf.DUMMYFUNCTION("""COMPUTED_VALUE"""),"amber berrigan")</f>
        <v>amber berrigan</v>
      </c>
      <c r="F5351" s="3" t="str">
        <f>IFERROR(__xludf.DUMMYFUNCTION("""COMPUTED_VALUE"""),"amber_elizabeth@live.ca")</f>
        <v>amber_elizabeth@live.ca</v>
      </c>
      <c r="G5351" s="3">
        <f>IFERROR(__xludf.DUMMYFUNCTION("""COMPUTED_VALUE"""),7.05500659E9)</f>
        <v>7055006590</v>
      </c>
      <c r="H5351" s="3">
        <f>IFERROR(__xludf.DUMMYFUNCTION("""COMPUTED_VALUE"""),4.165713637E9)</f>
        <v>4165713637</v>
      </c>
    </row>
    <row r="5352">
      <c r="A5352" s="2">
        <f>IFERROR(__xludf.DUMMYFUNCTION("""COMPUTED_VALUE"""),62778.0)</f>
        <v>62778</v>
      </c>
      <c r="B5352" s="3" t="str">
        <f>IFERROR(__xludf.DUMMYFUNCTION("""COMPUTED_VALUE"""),"12 NORTHWOODS DR  ")</f>
        <v>12 NORTHWOODS DR  </v>
      </c>
      <c r="C5352" s="3" t="str">
        <f>IFERROR(__xludf.DUMMYFUNCTION("""COMPUTED_VALUE"""),"HASTINGS")</f>
        <v>HASTINGS</v>
      </c>
      <c r="D5352" s="3" t="str">
        <f>IFERROR(__xludf.DUMMYFUNCTION("""COMPUTED_VALUE"""),"KOL 1Y0")</f>
        <v>KOL 1Y0</v>
      </c>
      <c r="E5352" s="3"/>
      <c r="F5352" s="3"/>
      <c r="G5352" s="3"/>
      <c r="H5352" s="3"/>
    </row>
    <row r="5353">
      <c r="A5353" s="2">
        <f>IFERROR(__xludf.DUMMYFUNCTION("""COMPUTED_VALUE"""),62779.0)</f>
        <v>62779</v>
      </c>
      <c r="B5353" s="3" t="str">
        <f>IFERROR(__xludf.DUMMYFUNCTION("""COMPUTED_VALUE"""),"16 NORTHWOODS DR  ")</f>
        <v>16 NORTHWOODS DR  </v>
      </c>
      <c r="C5353" s="3" t="str">
        <f>IFERROR(__xludf.DUMMYFUNCTION("""COMPUTED_VALUE"""),"HASTINGS")</f>
        <v>HASTINGS</v>
      </c>
      <c r="D5353" s="3" t="str">
        <f>IFERROR(__xludf.DUMMYFUNCTION("""COMPUTED_VALUE"""),"KOL 1Y0")</f>
        <v>KOL 1Y0</v>
      </c>
      <c r="E5353" s="3" t="str">
        <f>IFERROR(__xludf.DUMMYFUNCTION("""COMPUTED_VALUE"""),"christine mcdougall")</f>
        <v>christine mcdougall</v>
      </c>
      <c r="F5353" s="3" t="str">
        <f>IFERROR(__xludf.DUMMYFUNCTION("""COMPUTED_VALUE"""),"christine-mcdougall@hotmail.com")</f>
        <v>christine-mcdougall@hotmail.com</v>
      </c>
      <c r="G5353" s="3">
        <f>IFERROR(__xludf.DUMMYFUNCTION("""COMPUTED_VALUE"""),9.059147657E9)</f>
        <v>9059147657</v>
      </c>
      <c r="H5353" s="3">
        <f>IFERROR(__xludf.DUMMYFUNCTION("""COMPUTED_VALUE"""),9.056219415E9)</f>
        <v>9056219415</v>
      </c>
    </row>
    <row r="5354">
      <c r="A5354" s="2">
        <f>IFERROR(__xludf.DUMMYFUNCTION("""COMPUTED_VALUE"""),62780.0)</f>
        <v>62780</v>
      </c>
      <c r="B5354" s="3" t="str">
        <f>IFERROR(__xludf.DUMMYFUNCTION("""COMPUTED_VALUE"""),"20 NORTHWOODS DR  ")</f>
        <v>20 NORTHWOODS DR  </v>
      </c>
      <c r="C5354" s="3" t="str">
        <f>IFERROR(__xludf.DUMMYFUNCTION("""COMPUTED_VALUE"""),"HASTINGS")</f>
        <v>HASTINGS</v>
      </c>
      <c r="D5354" s="3" t="str">
        <f>IFERROR(__xludf.DUMMYFUNCTION("""COMPUTED_VALUE"""),"KOL 1Y0")</f>
        <v>KOL 1Y0</v>
      </c>
      <c r="E5354" s="3"/>
      <c r="F5354" s="3"/>
      <c r="G5354" s="3"/>
      <c r="H5354" s="3"/>
    </row>
    <row r="5355">
      <c r="A5355" s="2">
        <f>IFERROR(__xludf.DUMMYFUNCTION("""COMPUTED_VALUE"""),62781.0)</f>
        <v>62781</v>
      </c>
      <c r="B5355" s="3" t="str">
        <f>IFERROR(__xludf.DUMMYFUNCTION("""COMPUTED_VALUE"""),"24 NORTHWOODS DR  ")</f>
        <v>24 NORTHWOODS DR  </v>
      </c>
      <c r="C5355" s="3" t="str">
        <f>IFERROR(__xludf.DUMMYFUNCTION("""COMPUTED_VALUE"""),"HASTINGS")</f>
        <v>HASTINGS</v>
      </c>
      <c r="D5355" s="3" t="str">
        <f>IFERROR(__xludf.DUMMYFUNCTION("""COMPUTED_VALUE"""),"KOL 1Y0")</f>
        <v>KOL 1Y0</v>
      </c>
      <c r="E5355" s="3" t="str">
        <f>IFERROR(__xludf.DUMMYFUNCTION("""COMPUTED_VALUE"""),"Scott McIsaac")</f>
        <v>Scott McIsaac</v>
      </c>
      <c r="F5355" s="3" t="str">
        <f>IFERROR(__xludf.DUMMYFUNCTION("""COMPUTED_VALUE"""),"smcisaac@me.com")</f>
        <v>smcisaac@me.com</v>
      </c>
      <c r="G5355" s="3"/>
      <c r="H5355" s="3"/>
    </row>
    <row r="5356">
      <c r="A5356" s="2">
        <f>IFERROR(__xludf.DUMMYFUNCTION("""COMPUTED_VALUE"""),62782.0)</f>
        <v>62782</v>
      </c>
      <c r="B5356" s="3" t="str">
        <f>IFERROR(__xludf.DUMMYFUNCTION("""COMPUTED_VALUE"""),"26 NORTHWOODS DR  ")</f>
        <v>26 NORTHWOODS DR  </v>
      </c>
      <c r="C5356" s="3" t="str">
        <f>IFERROR(__xludf.DUMMYFUNCTION("""COMPUTED_VALUE"""),"HASTINGS")</f>
        <v>HASTINGS</v>
      </c>
      <c r="D5356" s="3" t="str">
        <f>IFERROR(__xludf.DUMMYFUNCTION("""COMPUTED_VALUE"""),"KOL 1Y0")</f>
        <v>KOL 1Y0</v>
      </c>
      <c r="E5356" s="3"/>
      <c r="F5356" s="3"/>
      <c r="G5356" s="3"/>
      <c r="H5356" s="3"/>
    </row>
    <row r="5357">
      <c r="A5357" s="2">
        <f>IFERROR(__xludf.DUMMYFUNCTION("""COMPUTED_VALUE"""),62783.0)</f>
        <v>62783</v>
      </c>
      <c r="B5357" s="3" t="str">
        <f>IFERROR(__xludf.DUMMYFUNCTION("""COMPUTED_VALUE"""),"30 NORTHWOODS DR  ")</f>
        <v>30 NORTHWOODS DR  </v>
      </c>
      <c r="C5357" s="3" t="str">
        <f>IFERROR(__xludf.DUMMYFUNCTION("""COMPUTED_VALUE"""),"HASTINGS")</f>
        <v>HASTINGS</v>
      </c>
      <c r="D5357" s="3" t="str">
        <f>IFERROR(__xludf.DUMMYFUNCTION("""COMPUTED_VALUE"""),"KOL 1Y0")</f>
        <v>KOL 1Y0</v>
      </c>
      <c r="E5357" s="3" t="str">
        <f>IFERROR(__xludf.DUMMYFUNCTION("""COMPUTED_VALUE"""),"Ken McIsaac")</f>
        <v>Ken McIsaac</v>
      </c>
      <c r="F5357" s="3" t="str">
        <f>IFERROR(__xludf.DUMMYFUNCTION("""COMPUTED_VALUE"""),"ken.mcisaac@sympatico.ca")</f>
        <v>ken.mcisaac@sympatico.ca</v>
      </c>
      <c r="G5357" s="3"/>
      <c r="H5357" s="3"/>
    </row>
    <row r="5358">
      <c r="A5358" s="2">
        <f>IFERROR(__xludf.DUMMYFUNCTION("""COMPUTED_VALUE"""),62784.0)</f>
        <v>62784</v>
      </c>
      <c r="B5358" s="3" t="str">
        <f>IFERROR(__xludf.DUMMYFUNCTION("""COMPUTED_VALUE"""),"34 NORTHWOODS DR  ")</f>
        <v>34 NORTHWOODS DR  </v>
      </c>
      <c r="C5358" s="3" t="str">
        <f>IFERROR(__xludf.DUMMYFUNCTION("""COMPUTED_VALUE"""),"HASTINGS")</f>
        <v>HASTINGS</v>
      </c>
      <c r="D5358" s="3" t="str">
        <f>IFERROR(__xludf.DUMMYFUNCTION("""COMPUTED_VALUE"""),"KOL 1Y0")</f>
        <v>KOL 1Y0</v>
      </c>
      <c r="E5358" s="3" t="str">
        <f>IFERROR(__xludf.DUMMYFUNCTION("""COMPUTED_VALUE"""),"salvatore copa")</f>
        <v>salvatore copa</v>
      </c>
      <c r="F5358" s="3"/>
      <c r="G5358" s="3">
        <f>IFERROR(__xludf.DUMMYFUNCTION("""COMPUTED_VALUE"""),4.16906554E9)</f>
        <v>4169065540</v>
      </c>
      <c r="H5358" s="3"/>
    </row>
    <row r="5359">
      <c r="A5359" s="2">
        <f>IFERROR(__xludf.DUMMYFUNCTION("""COMPUTED_VALUE"""),62785.0)</f>
        <v>62785</v>
      </c>
      <c r="B5359" s="3" t="str">
        <f>IFERROR(__xludf.DUMMYFUNCTION("""COMPUTED_VALUE"""),"36 NORTHWOODS DR  ")</f>
        <v>36 NORTHWOODS DR  </v>
      </c>
      <c r="C5359" s="3" t="str">
        <f>IFERROR(__xludf.DUMMYFUNCTION("""COMPUTED_VALUE"""),"HASTINGS")</f>
        <v>HASTINGS</v>
      </c>
      <c r="D5359" s="3" t="str">
        <f>IFERROR(__xludf.DUMMYFUNCTION("""COMPUTED_VALUE"""),"KOL 1Y0")</f>
        <v>KOL 1Y0</v>
      </c>
      <c r="E5359" s="3"/>
      <c r="F5359" s="3"/>
      <c r="G5359" s="3"/>
      <c r="H5359" s="3"/>
    </row>
    <row r="5360">
      <c r="A5360" s="2">
        <f>IFERROR(__xludf.DUMMYFUNCTION("""COMPUTED_VALUE"""),62786.0)</f>
        <v>62786</v>
      </c>
      <c r="B5360" s="3" t="str">
        <f>IFERROR(__xludf.DUMMYFUNCTION("""COMPUTED_VALUE"""),"38 NORTHWOODS DR  ")</f>
        <v>38 NORTHWOODS DR  </v>
      </c>
      <c r="C5360" s="3" t="str">
        <f>IFERROR(__xludf.DUMMYFUNCTION("""COMPUTED_VALUE"""),"HASTINGS")</f>
        <v>HASTINGS</v>
      </c>
      <c r="D5360" s="3" t="str">
        <f>IFERROR(__xludf.DUMMYFUNCTION("""COMPUTED_VALUE"""),"KOL 1Y0")</f>
        <v>KOL 1Y0</v>
      </c>
      <c r="E5360" s="3"/>
      <c r="F5360" s="3"/>
      <c r="G5360" s="3"/>
      <c r="H5360" s="3"/>
    </row>
    <row r="5361">
      <c r="A5361" s="2">
        <f>IFERROR(__xludf.DUMMYFUNCTION("""COMPUTED_VALUE"""),62787.0)</f>
        <v>62787</v>
      </c>
      <c r="B5361" s="3" t="str">
        <f>IFERROR(__xludf.DUMMYFUNCTION("""COMPUTED_VALUE"""),"40 NORTHWOODS DR  ")</f>
        <v>40 NORTHWOODS DR  </v>
      </c>
      <c r="C5361" s="3" t="str">
        <f>IFERROR(__xludf.DUMMYFUNCTION("""COMPUTED_VALUE"""),"HASTINGS")</f>
        <v>HASTINGS</v>
      </c>
      <c r="D5361" s="3" t="str">
        <f>IFERROR(__xludf.DUMMYFUNCTION("""COMPUTED_VALUE"""),"KOL 1Y0")</f>
        <v>KOL 1Y0</v>
      </c>
      <c r="E5361" s="3"/>
      <c r="F5361" s="3"/>
      <c r="G5361" s="3"/>
      <c r="H5361" s="3"/>
    </row>
    <row r="5362">
      <c r="A5362" s="2">
        <f>IFERROR(__xludf.DUMMYFUNCTION("""COMPUTED_VALUE"""),62788.0)</f>
        <v>62788</v>
      </c>
      <c r="B5362" s="3" t="str">
        <f>IFERROR(__xludf.DUMMYFUNCTION("""COMPUTED_VALUE"""),"42 NORTHWOODS DR  ")</f>
        <v>42 NORTHWOODS DR  </v>
      </c>
      <c r="C5362" s="3" t="str">
        <f>IFERROR(__xludf.DUMMYFUNCTION("""COMPUTED_VALUE"""),"HASTINGS")</f>
        <v>HASTINGS</v>
      </c>
      <c r="D5362" s="3" t="str">
        <f>IFERROR(__xludf.DUMMYFUNCTION("""COMPUTED_VALUE"""),"KOL 1Y0")</f>
        <v>KOL 1Y0</v>
      </c>
      <c r="E5362" s="3" t="str">
        <f>IFERROR(__xludf.DUMMYFUNCTION("""COMPUTED_VALUE"""),"ingrid and david mcleod")</f>
        <v>ingrid and david mcleod</v>
      </c>
      <c r="F5362" s="3" t="str">
        <f>IFERROR(__xludf.DUMMYFUNCTION("""COMPUTED_VALUE"""),"ingridlmcleod@gmail.com")</f>
        <v>ingridlmcleod@gmail.com</v>
      </c>
      <c r="G5362" s="3">
        <f>IFERROR(__xludf.DUMMYFUNCTION("""COMPUTED_VALUE"""),6.473313674E9)</f>
        <v>6473313674</v>
      </c>
      <c r="H5362" s="3">
        <f>IFERROR(__xludf.DUMMYFUNCTION("""COMPUTED_VALUE"""),6.474473674E9)</f>
        <v>6474473674</v>
      </c>
    </row>
    <row r="5363">
      <c r="A5363" s="2">
        <f>IFERROR(__xludf.DUMMYFUNCTION("""COMPUTED_VALUE"""),62789.0)</f>
        <v>62789</v>
      </c>
      <c r="B5363" s="3" t="str">
        <f>IFERROR(__xludf.DUMMYFUNCTION("""COMPUTED_VALUE"""),"44 NORTHWOODS DR  ")</f>
        <v>44 NORTHWOODS DR  </v>
      </c>
      <c r="C5363" s="3" t="str">
        <f>IFERROR(__xludf.DUMMYFUNCTION("""COMPUTED_VALUE"""),"HASTINGS")</f>
        <v>HASTINGS</v>
      </c>
      <c r="D5363" s="3" t="str">
        <f>IFERROR(__xludf.DUMMYFUNCTION("""COMPUTED_VALUE"""),"KOL 1Y0")</f>
        <v>KOL 1Y0</v>
      </c>
      <c r="E5363" s="3" t="str">
        <f>IFERROR(__xludf.DUMMYFUNCTION("""COMPUTED_VALUE"""),"Paul Kett")</f>
        <v>Paul Kett</v>
      </c>
      <c r="F5363" s="3" t="str">
        <f>IFERROR(__xludf.DUMMYFUNCTION("""COMPUTED_VALUE"""),"Paultrieshard@gmail.com")</f>
        <v>Paultrieshard@gmail.com</v>
      </c>
      <c r="G5363" s="3">
        <f>IFERROR(__xludf.DUMMYFUNCTION("""COMPUTED_VALUE"""),4.165573984E9)</f>
        <v>4165573984</v>
      </c>
      <c r="H5363" s="3"/>
    </row>
    <row r="5364">
      <c r="A5364" s="2">
        <f>IFERROR(__xludf.DUMMYFUNCTION("""COMPUTED_VALUE"""),62790.0)</f>
        <v>62790</v>
      </c>
      <c r="B5364" s="3" t="str">
        <f>IFERROR(__xludf.DUMMYFUNCTION("""COMPUTED_VALUE"""),"46 NORTHWOODS DR  ")</f>
        <v>46 NORTHWOODS DR  </v>
      </c>
      <c r="C5364" s="3" t="str">
        <f>IFERROR(__xludf.DUMMYFUNCTION("""COMPUTED_VALUE"""),"HASTINGS")</f>
        <v>HASTINGS</v>
      </c>
      <c r="D5364" s="3" t="str">
        <f>IFERROR(__xludf.DUMMYFUNCTION("""COMPUTED_VALUE"""),"K0L 1Y0")</f>
        <v>K0L 1Y0</v>
      </c>
      <c r="E5364" s="3" t="str">
        <f>IFERROR(__xludf.DUMMYFUNCTION("""COMPUTED_VALUE"""),"keith doucette")</f>
        <v>keith doucette</v>
      </c>
      <c r="F5364" s="3" t="str">
        <f>IFERROR(__xludf.DUMMYFUNCTION("""COMPUTED_VALUE"""),"doucette.home@gmail.com")</f>
        <v>doucette.home@gmail.com</v>
      </c>
      <c r="G5364" s="3">
        <f>IFERROR(__xludf.DUMMYFUNCTION("""COMPUTED_VALUE"""),9.056553438E9)</f>
        <v>9056553438</v>
      </c>
      <c r="H5364" s="3">
        <f>IFERROR(__xludf.DUMMYFUNCTION("""COMPUTED_VALUE"""),2.899803438E9)</f>
        <v>2899803438</v>
      </c>
    </row>
    <row r="5365">
      <c r="A5365" s="2">
        <f>IFERROR(__xludf.DUMMYFUNCTION("""COMPUTED_VALUE"""),62791.0)</f>
        <v>62791</v>
      </c>
      <c r="B5365" s="3" t="str">
        <f>IFERROR(__xludf.DUMMYFUNCTION("""COMPUTED_VALUE"""),"52 NORTHWOODS DR  ")</f>
        <v>52 NORTHWOODS DR  </v>
      </c>
      <c r="C5365" s="3" t="str">
        <f>IFERROR(__xludf.DUMMYFUNCTION("""COMPUTED_VALUE"""),"HASTINGS")</f>
        <v>HASTINGS</v>
      </c>
      <c r="D5365" s="3" t="str">
        <f>IFERROR(__xludf.DUMMYFUNCTION("""COMPUTED_VALUE"""),"KOL 1Y0")</f>
        <v>KOL 1Y0</v>
      </c>
      <c r="E5365" s="3"/>
      <c r="F5365" s="3"/>
      <c r="G5365" s="3"/>
      <c r="H5365" s="3"/>
    </row>
    <row r="5366">
      <c r="A5366" s="2">
        <f>IFERROR(__xludf.DUMMYFUNCTION("""COMPUTED_VALUE"""),63482.0)</f>
        <v>63482</v>
      </c>
      <c r="B5366" s="3" t="str">
        <f>IFERROR(__xludf.DUMMYFUNCTION("""COMPUTED_VALUE"""),"81 TRENT VIEW DR  ")</f>
        <v>81 TRENT VIEW DR  </v>
      </c>
      <c r="C5366" s="3" t="str">
        <f>IFERROR(__xludf.DUMMYFUNCTION("""COMPUTED_VALUE"""),"HASTINGS")</f>
        <v>HASTINGS</v>
      </c>
      <c r="D5366" s="3" t="str">
        <f>IFERROR(__xludf.DUMMYFUNCTION("""COMPUTED_VALUE"""),"K0L 1Y0")</f>
        <v>K0L 1Y0</v>
      </c>
      <c r="E5366" s="3"/>
      <c r="F5366" s="3"/>
      <c r="G5366" s="3"/>
      <c r="H5366" s="3"/>
    </row>
    <row r="5367">
      <c r="A5367" s="2">
        <f>IFERROR(__xludf.DUMMYFUNCTION("""COMPUTED_VALUE"""),63483.0)</f>
        <v>63483</v>
      </c>
      <c r="B5367" s="3" t="str">
        <f>IFERROR(__xludf.DUMMYFUNCTION("""COMPUTED_VALUE"""),"83 TRENT VIEW DR  ")</f>
        <v>83 TRENT VIEW DR  </v>
      </c>
      <c r="C5367" s="3" t="str">
        <f>IFERROR(__xludf.DUMMYFUNCTION("""COMPUTED_VALUE"""),"HASTINGS")</f>
        <v>HASTINGS</v>
      </c>
      <c r="D5367" s="3" t="str">
        <f>IFERROR(__xludf.DUMMYFUNCTION("""COMPUTED_VALUE"""),"K0L 1Y0")</f>
        <v>K0L 1Y0</v>
      </c>
      <c r="E5367" s="3"/>
      <c r="F5367" s="3"/>
      <c r="G5367" s="3"/>
      <c r="H5367" s="3"/>
    </row>
    <row r="5368">
      <c r="A5368" s="2">
        <f>IFERROR(__xludf.DUMMYFUNCTION("""COMPUTED_VALUE"""),63467.0)</f>
        <v>63467</v>
      </c>
      <c r="B5368" s="3" t="str">
        <f>IFERROR(__xludf.DUMMYFUNCTION("""COMPUTED_VALUE"""),"37 TRENT VIEW DR  ")</f>
        <v>37 TRENT VIEW DR  </v>
      </c>
      <c r="C5368" s="3" t="str">
        <f>IFERROR(__xludf.DUMMYFUNCTION("""COMPUTED_VALUE"""),"HASTINGS")</f>
        <v>HASTINGS</v>
      </c>
      <c r="D5368" s="3" t="str">
        <f>IFERROR(__xludf.DUMMYFUNCTION("""COMPUTED_VALUE"""),"K0L 1Y0")</f>
        <v>K0L 1Y0</v>
      </c>
      <c r="E5368" s="3" t="str">
        <f>IFERROR(__xludf.DUMMYFUNCTION("""COMPUTED_VALUE"""),"robin mcrobby")</f>
        <v>robin mcrobby</v>
      </c>
      <c r="F5368" s="3" t="str">
        <f>IFERROR(__xludf.DUMMYFUNCTION("""COMPUTED_VALUE"""),"robin@thewoodenduck.ca")</f>
        <v>robin@thewoodenduck.ca</v>
      </c>
      <c r="G5368" s="3">
        <f>IFERROR(__xludf.DUMMYFUNCTION("""COMPUTED_VALUE"""),7.059306898E9)</f>
        <v>7059306898</v>
      </c>
      <c r="H5368" s="3"/>
    </row>
    <row r="5369">
      <c r="A5369" s="2">
        <f>IFERROR(__xludf.DUMMYFUNCTION("""COMPUTED_VALUE"""),63469.0)</f>
        <v>63469</v>
      </c>
      <c r="B5369" s="3" t="str">
        <f>IFERROR(__xludf.DUMMYFUNCTION("""COMPUTED_VALUE"""),"42 TRENT VIEW DR  ")</f>
        <v>42 TRENT VIEW DR  </v>
      </c>
      <c r="C5369" s="3" t="str">
        <f>IFERROR(__xludf.DUMMYFUNCTION("""COMPUTED_VALUE"""),"HASTINGS")</f>
        <v>HASTINGS</v>
      </c>
      <c r="D5369" s="3" t="str">
        <f>IFERROR(__xludf.DUMMYFUNCTION("""COMPUTED_VALUE"""),"K0L 1Y0")</f>
        <v>K0L 1Y0</v>
      </c>
      <c r="E5369" s="3" t="str">
        <f>IFERROR(__xludf.DUMMYFUNCTION("""COMPUTED_VALUE"""),"kelly sherwin")</f>
        <v>kelly sherwin</v>
      </c>
      <c r="F5369" s="4" t="str">
        <f>IFERROR(__xludf.DUMMYFUNCTION("""COMPUTED_VALUE"""),"kellyparsons2342gmail.com")</f>
        <v>kellyparsons2342gmail.com</v>
      </c>
      <c r="G5369" s="3">
        <f>IFERROR(__xludf.DUMMYFUNCTION("""COMPUTED_VALUE"""),9.053769945E9)</f>
        <v>9053769945</v>
      </c>
      <c r="H5369" s="3"/>
    </row>
    <row r="5370">
      <c r="A5370" s="2">
        <f>IFERROR(__xludf.DUMMYFUNCTION("""COMPUTED_VALUE"""),63470.0)</f>
        <v>63470</v>
      </c>
      <c r="B5370" s="3" t="str">
        <f>IFERROR(__xludf.DUMMYFUNCTION("""COMPUTED_VALUE"""),"45 TRENT VIEW DR  ")</f>
        <v>45 TRENT VIEW DR  </v>
      </c>
      <c r="C5370" s="3" t="str">
        <f>IFERROR(__xludf.DUMMYFUNCTION("""COMPUTED_VALUE"""),"HASTINGS")</f>
        <v>HASTINGS</v>
      </c>
      <c r="D5370" s="3" t="str">
        <f>IFERROR(__xludf.DUMMYFUNCTION("""COMPUTED_VALUE"""),"K0L 1Y0")</f>
        <v>K0L 1Y0</v>
      </c>
      <c r="E5370" s="3" t="str">
        <f>IFERROR(__xludf.DUMMYFUNCTION("""COMPUTED_VALUE"""),"Alvin secord")</f>
        <v>Alvin secord</v>
      </c>
      <c r="F5370" s="3" t="str">
        <f>IFERROR(__xludf.DUMMYFUNCTION("""COMPUTED_VALUE"""),"ajsecord@live.com")</f>
        <v>ajsecord@live.com</v>
      </c>
      <c r="G5370" s="3">
        <f>IFERROR(__xludf.DUMMYFUNCTION("""COMPUTED_VALUE"""),7.059570675E9)</f>
        <v>7059570675</v>
      </c>
      <c r="H5370" s="3"/>
    </row>
    <row r="5371">
      <c r="A5371" s="2">
        <f>IFERROR(__xludf.DUMMYFUNCTION("""COMPUTED_VALUE"""),63473.0)</f>
        <v>63473</v>
      </c>
      <c r="B5371" s="3" t="str">
        <f>IFERROR(__xludf.DUMMYFUNCTION("""COMPUTED_VALUE"""),"48 TRENT VIEW DR  ")</f>
        <v>48 TRENT VIEW DR  </v>
      </c>
      <c r="C5371" s="3" t="str">
        <f>IFERROR(__xludf.DUMMYFUNCTION("""COMPUTED_VALUE"""),"HASTINGS")</f>
        <v>HASTINGS</v>
      </c>
      <c r="D5371" s="3" t="str">
        <f>IFERROR(__xludf.DUMMYFUNCTION("""COMPUTED_VALUE"""),"K0L 1Y0")</f>
        <v>K0L 1Y0</v>
      </c>
      <c r="E5371" s="3" t="str">
        <f>IFERROR(__xludf.DUMMYFUNCTION("""COMPUTED_VALUE"""),"Jesse Kelly ")</f>
        <v>Jesse Kelly </v>
      </c>
      <c r="F5371" s="3" t="str">
        <f>IFERROR(__xludf.DUMMYFUNCTION("""COMPUTED_VALUE"""),"Jsjkelly@hotmail.com")</f>
        <v>Jsjkelly@hotmail.com</v>
      </c>
      <c r="G5371" s="3">
        <f>IFERROR(__xludf.DUMMYFUNCTION("""COMPUTED_VALUE"""),7.059298491E9)</f>
        <v>7059298491</v>
      </c>
      <c r="H5371" s="3"/>
    </row>
    <row r="5372">
      <c r="A5372" s="2">
        <f>IFERROR(__xludf.DUMMYFUNCTION("""COMPUTED_VALUE"""),63474.0)</f>
        <v>63474</v>
      </c>
      <c r="B5372" s="3" t="str">
        <f>IFERROR(__xludf.DUMMYFUNCTION("""COMPUTED_VALUE"""),"49 TRENT VIEW DR  ")</f>
        <v>49 TRENT VIEW DR  </v>
      </c>
      <c r="C5372" s="3" t="str">
        <f>IFERROR(__xludf.DUMMYFUNCTION("""COMPUTED_VALUE"""),"HASTINGS")</f>
        <v>HASTINGS</v>
      </c>
      <c r="D5372" s="3" t="str">
        <f>IFERROR(__xludf.DUMMYFUNCTION("""COMPUTED_VALUE"""),"K0L 1Y0")</f>
        <v>K0L 1Y0</v>
      </c>
      <c r="E5372" s="3"/>
      <c r="F5372" s="3"/>
      <c r="G5372" s="3"/>
      <c r="H5372" s="3"/>
    </row>
    <row r="5373">
      <c r="A5373" s="2">
        <f>IFERROR(__xludf.DUMMYFUNCTION("""COMPUTED_VALUE"""),63477.0)</f>
        <v>63477</v>
      </c>
      <c r="B5373" s="3" t="str">
        <f>IFERROR(__xludf.DUMMYFUNCTION("""COMPUTED_VALUE"""),"65 TRENT VIEW DR  ")</f>
        <v>65 TRENT VIEW DR  </v>
      </c>
      <c r="C5373" s="3" t="str">
        <f>IFERROR(__xludf.DUMMYFUNCTION("""COMPUTED_VALUE"""),"HASTINGS")</f>
        <v>HASTINGS</v>
      </c>
      <c r="D5373" s="3" t="str">
        <f>IFERROR(__xludf.DUMMYFUNCTION("""COMPUTED_VALUE"""),"K0L 1Y0")</f>
        <v>K0L 1Y0</v>
      </c>
      <c r="E5373" s="3" t="str">
        <f>IFERROR(__xludf.DUMMYFUNCTION("""COMPUTED_VALUE"""),"andy stewelan")</f>
        <v>andy stewelan</v>
      </c>
      <c r="F5373" s="3" t="str">
        <f>IFERROR(__xludf.DUMMYFUNCTION("""COMPUTED_VALUE"""),"andy@etstech.ca")</f>
        <v>andy@etstech.ca</v>
      </c>
      <c r="G5373" s="3"/>
      <c r="H5373" s="3"/>
    </row>
    <row r="5374">
      <c r="A5374" s="2">
        <f>IFERROR(__xludf.DUMMYFUNCTION("""COMPUTED_VALUE"""),63480.0)</f>
        <v>63480</v>
      </c>
      <c r="B5374" s="3" t="str">
        <f>IFERROR(__xludf.DUMMYFUNCTION("""COMPUTED_VALUE"""),"70 TRENTVIEW DR")</f>
        <v>70 TRENTVIEW DR</v>
      </c>
      <c r="C5374" s="3" t="str">
        <f>IFERROR(__xludf.DUMMYFUNCTION("""COMPUTED_VALUE"""),"HASTINGS")</f>
        <v>HASTINGS</v>
      </c>
      <c r="D5374" s="3" t="str">
        <f>IFERROR(__xludf.DUMMYFUNCTION("""COMPUTED_VALUE"""),"K0L 1Y0")</f>
        <v>K0L 1Y0</v>
      </c>
      <c r="E5374" s="3"/>
      <c r="F5374" s="3"/>
      <c r="G5374" s="3"/>
      <c r="H5374" s="3"/>
    </row>
    <row r="5375">
      <c r="A5375" s="2">
        <f>IFERROR(__xludf.DUMMYFUNCTION("""COMPUTED_VALUE"""),63486.0)</f>
        <v>63486</v>
      </c>
      <c r="B5375" s="3" t="str">
        <f>IFERROR(__xludf.DUMMYFUNCTION("""COMPUTED_VALUE"""),"92 TRENT VIEW DR  ")</f>
        <v>92 TRENT VIEW DR  </v>
      </c>
      <c r="C5375" s="3" t="str">
        <f>IFERROR(__xludf.DUMMYFUNCTION("""COMPUTED_VALUE"""),"HASTINGS")</f>
        <v>HASTINGS</v>
      </c>
      <c r="D5375" s="3" t="str">
        <f>IFERROR(__xludf.DUMMYFUNCTION("""COMPUTED_VALUE"""),"K0L 1Y0")</f>
        <v>K0L 1Y0</v>
      </c>
      <c r="E5375" s="3"/>
      <c r="F5375" s="3"/>
      <c r="G5375" s="3"/>
      <c r="H5375" s="3"/>
    </row>
    <row r="5376">
      <c r="A5376" s="2">
        <f>IFERROR(__xludf.DUMMYFUNCTION("""COMPUTED_VALUE"""),63488.0)</f>
        <v>63488</v>
      </c>
      <c r="B5376" s="3" t="str">
        <f>IFERROR(__xludf.DUMMYFUNCTION("""COMPUTED_VALUE"""),"93 TRENT VIEW DR  ")</f>
        <v>93 TRENT VIEW DR  </v>
      </c>
      <c r="C5376" s="3" t="str">
        <f>IFERROR(__xludf.DUMMYFUNCTION("""COMPUTED_VALUE"""),"HASTINGS")</f>
        <v>HASTINGS</v>
      </c>
      <c r="D5376" s="3" t="str">
        <f>IFERROR(__xludf.DUMMYFUNCTION("""COMPUTED_VALUE"""),"K0L 1Y0")</f>
        <v>K0L 1Y0</v>
      </c>
      <c r="E5376" s="3"/>
      <c r="F5376" s="3"/>
      <c r="G5376" s="3"/>
      <c r="H5376" s="3"/>
    </row>
    <row r="5377">
      <c r="A5377" s="2">
        <f>IFERROR(__xludf.DUMMYFUNCTION("""COMPUTED_VALUE"""),63489.0)</f>
        <v>63489</v>
      </c>
      <c r="B5377" s="3" t="str">
        <f>IFERROR(__xludf.DUMMYFUNCTION("""COMPUTED_VALUE"""),"94 TRENT VIEW DR  ")</f>
        <v>94 TRENT VIEW DR  </v>
      </c>
      <c r="C5377" s="3" t="str">
        <f>IFERROR(__xludf.DUMMYFUNCTION("""COMPUTED_VALUE"""),"HASTINGS")</f>
        <v>HASTINGS</v>
      </c>
      <c r="D5377" s="3" t="str">
        <f>IFERROR(__xludf.DUMMYFUNCTION("""COMPUTED_VALUE"""),"K0L 1Y0")</f>
        <v>K0L 1Y0</v>
      </c>
      <c r="E5377" s="3" t="str">
        <f>IFERROR(__xludf.DUMMYFUNCTION("""COMPUTED_VALUE"""),"massimo phulbes")</f>
        <v>massimo phulbes</v>
      </c>
      <c r="F5377" s="3"/>
      <c r="G5377" s="3">
        <f>IFERROR(__xludf.DUMMYFUNCTION("""COMPUTED_VALUE"""),4.16617063E9)</f>
        <v>4166170630</v>
      </c>
      <c r="H5377" s="3"/>
    </row>
    <row r="5378">
      <c r="A5378" s="2">
        <f>IFERROR(__xludf.DUMMYFUNCTION("""COMPUTED_VALUE"""),63490.0)</f>
        <v>63490</v>
      </c>
      <c r="B5378" s="3" t="str">
        <f>IFERROR(__xludf.DUMMYFUNCTION("""COMPUTED_VALUE"""),"95 TRENT VIEW DR  ")</f>
        <v>95 TRENT VIEW DR  </v>
      </c>
      <c r="C5378" s="3" t="str">
        <f>IFERROR(__xludf.DUMMYFUNCTION("""COMPUTED_VALUE"""),"HASTINGS")</f>
        <v>HASTINGS</v>
      </c>
      <c r="D5378" s="3" t="str">
        <f>IFERROR(__xludf.DUMMYFUNCTION("""COMPUTED_VALUE"""),"K0L 1Y0")</f>
        <v>K0L 1Y0</v>
      </c>
      <c r="E5378" s="3" t="str">
        <f>IFERROR(__xludf.DUMMYFUNCTION("""COMPUTED_VALUE"""),"greg quinn")</f>
        <v>greg quinn</v>
      </c>
      <c r="F5378" s="3" t="str">
        <f>IFERROR(__xludf.DUMMYFUNCTION("""COMPUTED_VALUE"""),"hryupnw8@hotmail.com")</f>
        <v>hryupnw8@hotmail.com</v>
      </c>
      <c r="G5378" s="3">
        <f>IFERROR(__xludf.DUMMYFUNCTION("""COMPUTED_VALUE"""),7.059338692E9)</f>
        <v>7059338692</v>
      </c>
      <c r="H5378" s="3">
        <f>IFERROR(__xludf.DUMMYFUNCTION("""COMPUTED_VALUE"""),6.18489471E8)</f>
        <v>618489471</v>
      </c>
    </row>
    <row r="5379">
      <c r="A5379" s="2">
        <f>IFERROR(__xludf.DUMMYFUNCTION("""COMPUTED_VALUE"""),63493.0)</f>
        <v>63493</v>
      </c>
      <c r="B5379" s="3" t="str">
        <f>IFERROR(__xludf.DUMMYFUNCTION("""COMPUTED_VALUE"""),"101 TRENT VIEW DR  ")</f>
        <v>101 TRENT VIEW DR  </v>
      </c>
      <c r="C5379" s="3" t="str">
        <f>IFERROR(__xludf.DUMMYFUNCTION("""COMPUTED_VALUE"""),"HASTINGS")</f>
        <v>HASTINGS</v>
      </c>
      <c r="D5379" s="3" t="str">
        <f>IFERROR(__xludf.DUMMYFUNCTION("""COMPUTED_VALUE"""),"K0L 1Y0")</f>
        <v>K0L 1Y0</v>
      </c>
      <c r="E5379" s="3" t="str">
        <f>IFERROR(__xludf.DUMMYFUNCTION("""COMPUTED_VALUE"""),"maria a martins")</f>
        <v>maria a martins</v>
      </c>
      <c r="F5379" s="3" t="str">
        <f>IFERROR(__xludf.DUMMYFUNCTION("""COMPUTED_VALUE"""),"bam1998@hotmail.com")</f>
        <v>bam1998@hotmail.com</v>
      </c>
      <c r="G5379" s="3">
        <f>IFERROR(__xludf.DUMMYFUNCTION("""COMPUTED_VALUE"""),4.1674446679E10)</f>
        <v>41674446679</v>
      </c>
      <c r="H5379" s="3"/>
    </row>
    <row r="5380">
      <c r="A5380" s="2">
        <f>IFERROR(__xludf.DUMMYFUNCTION("""COMPUTED_VALUE"""),63496.0)</f>
        <v>63496</v>
      </c>
      <c r="B5380" s="3" t="str">
        <f>IFERROR(__xludf.DUMMYFUNCTION("""COMPUTED_VALUE"""),"107 TRENT VIEW DR  ")</f>
        <v>107 TRENT VIEW DR  </v>
      </c>
      <c r="C5380" s="3" t="str">
        <f>IFERROR(__xludf.DUMMYFUNCTION("""COMPUTED_VALUE"""),"HASTINGS")</f>
        <v>HASTINGS</v>
      </c>
      <c r="D5380" s="3" t="str">
        <f>IFERROR(__xludf.DUMMYFUNCTION("""COMPUTED_VALUE"""),"K0L 1Y0")</f>
        <v>K0L 1Y0</v>
      </c>
      <c r="E5380" s="3" t="str">
        <f>IFERROR(__xludf.DUMMYFUNCTION("""COMPUTED_VALUE"""),"Joe kordi")</f>
        <v>Joe kordi</v>
      </c>
      <c r="F5380" s="3" t="str">
        <f>IFERROR(__xludf.DUMMYFUNCTION("""COMPUTED_VALUE"""),"Jukir@rogers.com")</f>
        <v>Jukir@rogers.com</v>
      </c>
      <c r="G5380" s="3"/>
      <c r="H5380" s="3"/>
    </row>
    <row r="5381">
      <c r="A5381" s="2">
        <f>IFERROR(__xludf.DUMMYFUNCTION("""COMPUTED_VALUE"""),63498.0)</f>
        <v>63498</v>
      </c>
      <c r="B5381" s="3" t="str">
        <f>IFERROR(__xludf.DUMMYFUNCTION("""COMPUTED_VALUE"""),"110 TRENT VIEW DR  ")</f>
        <v>110 TRENT VIEW DR  </v>
      </c>
      <c r="C5381" s="3" t="str">
        <f>IFERROR(__xludf.DUMMYFUNCTION("""COMPUTED_VALUE"""),"HASTINGS")</f>
        <v>HASTINGS</v>
      </c>
      <c r="D5381" s="3" t="str">
        <f>IFERROR(__xludf.DUMMYFUNCTION("""COMPUTED_VALUE"""),"K0L 1Y0")</f>
        <v>K0L 1Y0</v>
      </c>
      <c r="E5381" s="3"/>
      <c r="F5381" s="3"/>
      <c r="G5381" s="3"/>
      <c r="H5381" s="3"/>
    </row>
    <row r="5382">
      <c r="A5382" s="2">
        <f>IFERROR(__xludf.DUMMYFUNCTION("""COMPUTED_VALUE"""),63499.0)</f>
        <v>63499</v>
      </c>
      <c r="B5382" s="3" t="str">
        <f>IFERROR(__xludf.DUMMYFUNCTION("""COMPUTED_VALUE"""),"112 TRENT VIEW DR  ")</f>
        <v>112 TRENT VIEW DR  </v>
      </c>
      <c r="C5382" s="3" t="str">
        <f>IFERROR(__xludf.DUMMYFUNCTION("""COMPUTED_VALUE"""),"HASTINGS")</f>
        <v>HASTINGS</v>
      </c>
      <c r="D5382" s="3" t="str">
        <f>IFERROR(__xludf.DUMMYFUNCTION("""COMPUTED_VALUE"""),"K0L 1Y0")</f>
        <v>K0L 1Y0</v>
      </c>
      <c r="E5382" s="3" t="str">
        <f>IFERROR(__xludf.DUMMYFUNCTION("""COMPUTED_VALUE"""),"John Martin ")</f>
        <v>John Martin </v>
      </c>
      <c r="F5382" s="3"/>
      <c r="G5382" s="3">
        <f>IFERROR(__xludf.DUMMYFUNCTION("""COMPUTED_VALUE"""),5.192429586E9)</f>
        <v>5192429586</v>
      </c>
      <c r="H5382" s="3"/>
    </row>
    <row r="5383">
      <c r="A5383" s="2">
        <f>IFERROR(__xludf.DUMMYFUNCTION("""COMPUTED_VALUE"""),63500.0)</f>
        <v>63500</v>
      </c>
      <c r="B5383" s="3" t="str">
        <f>IFERROR(__xludf.DUMMYFUNCTION("""COMPUTED_VALUE"""),"113 TRENTVIEW DR")</f>
        <v>113 TRENTVIEW DR</v>
      </c>
      <c r="C5383" s="3" t="str">
        <f>IFERROR(__xludf.DUMMYFUNCTION("""COMPUTED_VALUE"""),"HASTINGS")</f>
        <v>HASTINGS</v>
      </c>
      <c r="D5383" s="3" t="str">
        <f>IFERROR(__xludf.DUMMYFUNCTION("""COMPUTED_VALUE"""),"K0L 1Y0")</f>
        <v>K0L 1Y0</v>
      </c>
      <c r="E5383" s="3"/>
      <c r="F5383" s="3"/>
      <c r="G5383" s="3"/>
      <c r="H5383" s="3"/>
    </row>
    <row r="5384">
      <c r="A5384" s="2">
        <f>IFERROR(__xludf.DUMMYFUNCTION("""COMPUTED_VALUE"""),63501.0)</f>
        <v>63501</v>
      </c>
      <c r="B5384" s="3" t="str">
        <f>IFERROR(__xludf.DUMMYFUNCTION("""COMPUTED_VALUE"""),"114 TRENT VIEW DR  ")</f>
        <v>114 TRENT VIEW DR  </v>
      </c>
      <c r="C5384" s="3" t="str">
        <f>IFERROR(__xludf.DUMMYFUNCTION("""COMPUTED_VALUE"""),"HASTINGS")</f>
        <v>HASTINGS</v>
      </c>
      <c r="D5384" s="3" t="str">
        <f>IFERROR(__xludf.DUMMYFUNCTION("""COMPUTED_VALUE"""),"K0L 1Y0")</f>
        <v>K0L 1Y0</v>
      </c>
      <c r="E5384" s="3" t="str">
        <f>IFERROR(__xludf.DUMMYFUNCTION("""COMPUTED_VALUE"""),"Salvatore galione ")</f>
        <v>Salvatore galione </v>
      </c>
      <c r="F5384" s="3" t="str">
        <f>IFERROR(__xludf.DUMMYFUNCTION("""COMPUTED_VALUE"""),"Sara.highview@hotmail.com")</f>
        <v>Sara.highview@hotmail.com</v>
      </c>
      <c r="G5384" s="3">
        <f>IFERROR(__xludf.DUMMYFUNCTION("""COMPUTED_VALUE"""),6.47281717E9)</f>
        <v>6472817170</v>
      </c>
      <c r="H5384" s="3"/>
    </row>
    <row r="5385">
      <c r="A5385" s="2">
        <f>IFERROR(__xludf.DUMMYFUNCTION("""COMPUTED_VALUE"""),63502.0)</f>
        <v>63502</v>
      </c>
      <c r="B5385" s="3" t="str">
        <f>IFERROR(__xludf.DUMMYFUNCTION("""COMPUTED_VALUE"""),"116 TRENT VIEW DR  ")</f>
        <v>116 TRENT VIEW DR  </v>
      </c>
      <c r="C5385" s="3" t="str">
        <f>IFERROR(__xludf.DUMMYFUNCTION("""COMPUTED_VALUE"""),"HASTINGS")</f>
        <v>HASTINGS</v>
      </c>
      <c r="D5385" s="3" t="str">
        <f>IFERROR(__xludf.DUMMYFUNCTION("""COMPUTED_VALUE"""),"K0L 1Y0")</f>
        <v>K0L 1Y0</v>
      </c>
      <c r="E5385" s="3" t="str">
        <f>IFERROR(__xludf.DUMMYFUNCTION("""COMPUTED_VALUE"""),"joe tibenley")</f>
        <v>joe tibenley</v>
      </c>
      <c r="F5385" s="3" t="str">
        <f>IFERROR(__xludf.DUMMYFUNCTION("""COMPUTED_VALUE"""),"jstibenly@gmail.com")</f>
        <v>jstibenly@gmail.com</v>
      </c>
      <c r="G5385" s="3">
        <f>IFERROR(__xludf.DUMMYFUNCTION("""COMPUTED_VALUE"""),6.472003839E9)</f>
        <v>6472003839</v>
      </c>
      <c r="H5385" s="3"/>
    </row>
    <row r="5386">
      <c r="A5386" s="2">
        <f>IFERROR(__xludf.DUMMYFUNCTION("""COMPUTED_VALUE"""),63503.0)</f>
        <v>63503</v>
      </c>
      <c r="B5386" s="3" t="str">
        <f>IFERROR(__xludf.DUMMYFUNCTION("""COMPUTED_VALUE"""),"120 TRENT VIEW DR  ")</f>
        <v>120 TRENT VIEW DR  </v>
      </c>
      <c r="C5386" s="3" t="str">
        <f>IFERROR(__xludf.DUMMYFUNCTION("""COMPUTED_VALUE"""),"HASTINGS")</f>
        <v>HASTINGS</v>
      </c>
      <c r="D5386" s="3" t="str">
        <f>IFERROR(__xludf.DUMMYFUNCTION("""COMPUTED_VALUE"""),"K0L 1Y0")</f>
        <v>K0L 1Y0</v>
      </c>
      <c r="E5386" s="3" t="str">
        <f>IFERROR(__xludf.DUMMYFUNCTION("""COMPUTED_VALUE"""),"ali saleem")</f>
        <v>ali saleem</v>
      </c>
      <c r="F5386" s="3" t="str">
        <f>IFERROR(__xludf.DUMMYFUNCTION("""COMPUTED_VALUE"""),"alisaleem76@gmail.com")</f>
        <v>alisaleem76@gmail.com</v>
      </c>
      <c r="G5386" s="3">
        <f>IFERROR(__xludf.DUMMYFUNCTION("""COMPUTED_VALUE"""),4.167057746E9)</f>
        <v>4167057746</v>
      </c>
      <c r="H5386" s="3"/>
    </row>
    <row r="5387">
      <c r="A5387" s="2">
        <f>IFERROR(__xludf.DUMMYFUNCTION("""COMPUTED_VALUE"""),63504.0)</f>
        <v>63504</v>
      </c>
      <c r="B5387" s="3" t="str">
        <f>IFERROR(__xludf.DUMMYFUNCTION("""COMPUTED_VALUE"""),"122 TRENT VIEW DR  ")</f>
        <v>122 TRENT VIEW DR  </v>
      </c>
      <c r="C5387" s="3" t="str">
        <f>IFERROR(__xludf.DUMMYFUNCTION("""COMPUTED_VALUE"""),"HASTINGS")</f>
        <v>HASTINGS</v>
      </c>
      <c r="D5387" s="3" t="str">
        <f>IFERROR(__xludf.DUMMYFUNCTION("""COMPUTED_VALUE"""),"K0L 1Y0")</f>
        <v>K0L 1Y0</v>
      </c>
      <c r="E5387" s="3" t="str">
        <f>IFERROR(__xludf.DUMMYFUNCTION("""COMPUTED_VALUE"""),"kris reynolds ")</f>
        <v>kris reynolds </v>
      </c>
      <c r="F5387" s="3" t="str">
        <f>IFERROR(__xludf.DUMMYFUNCTION("""COMPUTED_VALUE"""),"kris@rmoorehomes.com")</f>
        <v>kris@rmoorehomes.com</v>
      </c>
      <c r="G5387" s="3">
        <f>IFERROR(__xludf.DUMMYFUNCTION("""COMPUTED_VALUE"""),7.053415722E9)</f>
        <v>7053415722</v>
      </c>
      <c r="H5387" s="3">
        <f>IFERROR(__xludf.DUMMYFUNCTION("""COMPUTED_VALUE"""),7.053282992E9)</f>
        <v>7053282992</v>
      </c>
    </row>
    <row r="5388">
      <c r="A5388" s="2">
        <f>IFERROR(__xludf.DUMMYFUNCTION("""COMPUTED_VALUE"""),63750.0)</f>
        <v>63750</v>
      </c>
      <c r="B5388" s="3" t="str">
        <f>IFERROR(__xludf.DUMMYFUNCTION("""COMPUTED_VALUE"""),"59 WOODLAWN DR  ")</f>
        <v>59 WOODLAWN DR  </v>
      </c>
      <c r="C5388" s="3" t="str">
        <f>IFERROR(__xludf.DUMMYFUNCTION("""COMPUTED_VALUE"""),"HASTINGS")</f>
        <v>HASTINGS</v>
      </c>
      <c r="D5388" s="3" t="str">
        <f>IFERROR(__xludf.DUMMYFUNCTION("""COMPUTED_VALUE"""),"K0L 1Y0")</f>
        <v>K0L 1Y0</v>
      </c>
      <c r="E5388" s="3"/>
      <c r="F5388" s="3"/>
      <c r="G5388" s="3"/>
      <c r="H5388" s="3"/>
    </row>
    <row r="5389">
      <c r="A5389" s="2">
        <f>IFERROR(__xludf.DUMMYFUNCTION("""COMPUTED_VALUE"""),63770.0)</f>
        <v>63770</v>
      </c>
      <c r="B5389" s="3" t="str">
        <f>IFERROR(__xludf.DUMMYFUNCTION("""COMPUTED_VALUE"""),"5 WOODLAWN DR")</f>
        <v>5 WOODLAWN DR</v>
      </c>
      <c r="C5389" s="3"/>
      <c r="D5389" s="3"/>
      <c r="E5389" s="3"/>
      <c r="F5389" s="3"/>
      <c r="G5389" s="3"/>
      <c r="H5389" s="3"/>
    </row>
    <row r="5390">
      <c r="A5390" s="2">
        <f>IFERROR(__xludf.DUMMYFUNCTION("""COMPUTED_VALUE"""),63771.0)</f>
        <v>63771</v>
      </c>
      <c r="B5390" s="3" t="str">
        <f>IFERROR(__xludf.DUMMYFUNCTION("""COMPUTED_VALUE"""),"11 WOODLAWN DR")</f>
        <v>11 WOODLAWN DR</v>
      </c>
      <c r="C5390" s="3"/>
      <c r="D5390" s="3"/>
      <c r="E5390" s="3"/>
      <c r="F5390" s="3"/>
      <c r="G5390" s="3"/>
      <c r="H5390" s="3"/>
    </row>
    <row r="5391">
      <c r="A5391" s="2">
        <f>IFERROR(__xludf.DUMMYFUNCTION("""COMPUTED_VALUE"""),63744.0)</f>
        <v>63744</v>
      </c>
      <c r="B5391" s="3" t="str">
        <f>IFERROR(__xludf.DUMMYFUNCTION("""COMPUTED_VALUE"""),"28 WOODLAWN DR  ")</f>
        <v>28 WOODLAWN DR  </v>
      </c>
      <c r="C5391" s="3" t="str">
        <f>IFERROR(__xludf.DUMMYFUNCTION("""COMPUTED_VALUE"""),"HASTINGS")</f>
        <v>HASTINGS</v>
      </c>
      <c r="D5391" s="3" t="str">
        <f>IFERROR(__xludf.DUMMYFUNCTION("""COMPUTED_VALUE"""),"K0L 1Y0")</f>
        <v>K0L 1Y0</v>
      </c>
      <c r="E5391" s="3" t="str">
        <f>IFERROR(__xludf.DUMMYFUNCTION("""COMPUTED_VALUE"""),"Halina Gavbowski")</f>
        <v>Halina Gavbowski</v>
      </c>
      <c r="F5391" s="3" t="str">
        <f>IFERROR(__xludf.DUMMYFUNCTION("""COMPUTED_VALUE"""),"lasoth@hotmail.com")</f>
        <v>lasoth@hotmail.com</v>
      </c>
      <c r="G5391" s="3"/>
      <c r="H5391" s="3"/>
    </row>
    <row r="5392">
      <c r="A5392" s="2">
        <f>IFERROR(__xludf.DUMMYFUNCTION("""COMPUTED_VALUE"""),63745.0)</f>
        <v>63745</v>
      </c>
      <c r="B5392" s="3" t="str">
        <f>IFERROR(__xludf.DUMMYFUNCTION("""COMPUTED_VALUE"""),"29 WOODLAWN DR  ")</f>
        <v>29 WOODLAWN DR  </v>
      </c>
      <c r="C5392" s="3" t="str">
        <f>IFERROR(__xludf.DUMMYFUNCTION("""COMPUTED_VALUE"""),"HASTINGS")</f>
        <v>HASTINGS</v>
      </c>
      <c r="D5392" s="3" t="str">
        <f>IFERROR(__xludf.DUMMYFUNCTION("""COMPUTED_VALUE"""),"K0L 1Y0")</f>
        <v>K0L 1Y0</v>
      </c>
      <c r="E5392" s="3" t="str">
        <f>IFERROR(__xludf.DUMMYFUNCTION("""COMPUTED_VALUE"""),"Stephen Yiannoulis")</f>
        <v>Stephen Yiannoulis</v>
      </c>
      <c r="F5392" s="3" t="str">
        <f>IFERROR(__xludf.DUMMYFUNCTION("""COMPUTED_VALUE"""),"7056537748")</f>
        <v>7056537748</v>
      </c>
      <c r="G5392" s="3"/>
      <c r="H5392" s="3"/>
    </row>
    <row r="5393">
      <c r="A5393" s="2">
        <f>IFERROR(__xludf.DUMMYFUNCTION("""COMPUTED_VALUE"""),63746.0)</f>
        <v>63746</v>
      </c>
      <c r="B5393" s="3" t="str">
        <f>IFERROR(__xludf.DUMMYFUNCTION("""COMPUTED_VALUE"""),"35 WOODLAWN DR  ")</f>
        <v>35 WOODLAWN DR  </v>
      </c>
      <c r="C5393" s="3" t="str">
        <f>IFERROR(__xludf.DUMMYFUNCTION("""COMPUTED_VALUE"""),"HASTINGS")</f>
        <v>HASTINGS</v>
      </c>
      <c r="D5393" s="3" t="str">
        <f>IFERROR(__xludf.DUMMYFUNCTION("""COMPUTED_VALUE"""),"K0L 1Y0")</f>
        <v>K0L 1Y0</v>
      </c>
      <c r="E5393" s="3" t="str">
        <f>IFERROR(__xludf.DUMMYFUNCTION("""COMPUTED_VALUE"""),"Adrian Harrington")</f>
        <v>Adrian Harrington</v>
      </c>
      <c r="F5393" s="3" t="str">
        <f>IFERROR(__xludf.DUMMYFUNCTION("""COMPUTED_VALUE"""),"anfharr@gmail.com")</f>
        <v>anfharr@gmail.com</v>
      </c>
      <c r="G5393" s="3">
        <f>IFERROR(__xludf.DUMMYFUNCTION("""COMPUTED_VALUE"""),4.162714784E9)</f>
        <v>4162714784</v>
      </c>
      <c r="H5393" s="3"/>
    </row>
    <row r="5394">
      <c r="A5394" s="2">
        <f>IFERROR(__xludf.DUMMYFUNCTION("""COMPUTED_VALUE"""),63768.0)</f>
        <v>63768</v>
      </c>
      <c r="B5394" s="3" t="str">
        <f>IFERROR(__xludf.DUMMYFUNCTION("""COMPUTED_VALUE"""),"37 WOODLAWN DR  ")</f>
        <v>37 WOODLAWN DR  </v>
      </c>
      <c r="C5394" s="3" t="str">
        <f>IFERROR(__xludf.DUMMYFUNCTION("""COMPUTED_VALUE"""),"HASTINGS")</f>
        <v>HASTINGS</v>
      </c>
      <c r="D5394" s="3" t="str">
        <f>IFERROR(__xludf.DUMMYFUNCTION("""COMPUTED_VALUE"""),"K0L 1Y0")</f>
        <v>K0L 1Y0</v>
      </c>
      <c r="E5394" s="3"/>
      <c r="F5394" s="3"/>
      <c r="G5394" s="3"/>
      <c r="H5394" s="3"/>
    </row>
    <row r="5395">
      <c r="A5395" s="2">
        <f>IFERROR(__xludf.DUMMYFUNCTION("""COMPUTED_VALUE"""),63769.0)</f>
        <v>63769</v>
      </c>
      <c r="B5395" s="3" t="str">
        <f>IFERROR(__xludf.DUMMYFUNCTION("""COMPUTED_VALUE"""),"41 WOODLAWN DR  ")</f>
        <v>41 WOODLAWN DR  </v>
      </c>
      <c r="C5395" s="3" t="str">
        <f>IFERROR(__xludf.DUMMYFUNCTION("""COMPUTED_VALUE"""),"HASTINGS")</f>
        <v>HASTINGS</v>
      </c>
      <c r="D5395" s="3" t="str">
        <f>IFERROR(__xludf.DUMMYFUNCTION("""COMPUTED_VALUE"""),"K0L 1Y0")</f>
        <v>K0L 1Y0</v>
      </c>
      <c r="E5395" s="3" t="str">
        <f>IFERROR(__xludf.DUMMYFUNCTION("""COMPUTED_VALUE"""),"Ievgen Ostafiichuk")</f>
        <v>Ievgen Ostafiichuk</v>
      </c>
      <c r="F5395" s="3" t="str">
        <f>IFERROR(__xludf.DUMMYFUNCTION("""COMPUTED_VALUE"""),"ostafana@yahoo.ca")</f>
        <v>ostafana@yahoo.ca</v>
      </c>
      <c r="G5395" s="3"/>
      <c r="H5395" s="3">
        <f>IFERROR(__xludf.DUMMYFUNCTION("""COMPUTED_VALUE"""),4.162203676E9)</f>
        <v>4162203676</v>
      </c>
    </row>
    <row r="5396">
      <c r="A5396" s="2">
        <f>IFERROR(__xludf.DUMMYFUNCTION("""COMPUTED_VALUE"""),63747.0)</f>
        <v>63747</v>
      </c>
      <c r="B5396" s="3" t="str">
        <f>IFERROR(__xludf.DUMMYFUNCTION("""COMPUTED_VALUE"""),"42 WOODLAWN DR  ")</f>
        <v>42 WOODLAWN DR  </v>
      </c>
      <c r="C5396" s="3" t="str">
        <f>IFERROR(__xludf.DUMMYFUNCTION("""COMPUTED_VALUE"""),"HASTINGS")</f>
        <v>HASTINGS</v>
      </c>
      <c r="D5396" s="3" t="str">
        <f>IFERROR(__xludf.DUMMYFUNCTION("""COMPUTED_VALUE"""),"K0L 1Y0")</f>
        <v>K0L 1Y0</v>
      </c>
      <c r="E5396" s="3" t="str">
        <f>IFERROR(__xludf.DUMMYFUNCTION("""COMPUTED_VALUE"""),"John &amp; Monica Anderson ")</f>
        <v>John &amp; Monica Anderson </v>
      </c>
      <c r="F5396" s="3" t="str">
        <f>IFERROR(__xludf.DUMMYFUNCTION("""COMPUTED_VALUE"""),"m.anderson0805@gmail.com")</f>
        <v>m.anderson0805@gmail.com</v>
      </c>
      <c r="G5396" s="3"/>
      <c r="H5396" s="3"/>
    </row>
    <row r="5397">
      <c r="A5397" s="2">
        <f>IFERROR(__xludf.DUMMYFUNCTION("""COMPUTED_VALUE"""),63748.0)</f>
        <v>63748</v>
      </c>
      <c r="B5397" s="3" t="str">
        <f>IFERROR(__xludf.DUMMYFUNCTION("""COMPUTED_VALUE"""),"51 WOODLAWN DR  ")</f>
        <v>51 WOODLAWN DR  </v>
      </c>
      <c r="C5397" s="3" t="str">
        <f>IFERROR(__xludf.DUMMYFUNCTION("""COMPUTED_VALUE"""),"HASTINGS")</f>
        <v>HASTINGS</v>
      </c>
      <c r="D5397" s="3" t="str">
        <f>IFERROR(__xludf.DUMMYFUNCTION("""COMPUTED_VALUE"""),"K0L 1Y0")</f>
        <v>K0L 1Y0</v>
      </c>
      <c r="E5397" s="3" t="str">
        <f>IFERROR(__xludf.DUMMYFUNCTION("""COMPUTED_VALUE"""),"MELISSA FEDERICO")</f>
        <v>MELISSA FEDERICO</v>
      </c>
      <c r="F5397" s="3" t="str">
        <f>IFERROR(__xludf.DUMMYFUNCTION("""COMPUTED_VALUE"""),"melfederico@hotmail.com")</f>
        <v>melfederico@hotmail.com</v>
      </c>
      <c r="G5397" s="3"/>
      <c r="H5397" s="3"/>
    </row>
    <row r="5398">
      <c r="A5398" s="2">
        <f>IFERROR(__xludf.DUMMYFUNCTION("""COMPUTED_VALUE"""),63749.0)</f>
        <v>63749</v>
      </c>
      <c r="B5398" s="3" t="str">
        <f>IFERROR(__xludf.DUMMYFUNCTION("""COMPUTED_VALUE"""),"55 WOODLAWN DR  ")</f>
        <v>55 WOODLAWN DR  </v>
      </c>
      <c r="C5398" s="3" t="str">
        <f>IFERROR(__xludf.DUMMYFUNCTION("""COMPUTED_VALUE"""),"HASTINGS")</f>
        <v>HASTINGS</v>
      </c>
      <c r="D5398" s="3" t="str">
        <f>IFERROR(__xludf.DUMMYFUNCTION("""COMPUTED_VALUE"""),"K0L 1Y0")</f>
        <v>K0L 1Y0</v>
      </c>
      <c r="E5398" s="3"/>
      <c r="F5398" s="3"/>
      <c r="G5398" s="3"/>
      <c r="H5398" s="3"/>
    </row>
    <row r="5399">
      <c r="A5399" s="2">
        <f>IFERROR(__xludf.DUMMYFUNCTION("""COMPUTED_VALUE"""),63751.0)</f>
        <v>63751</v>
      </c>
      <c r="B5399" s="3" t="str">
        <f>IFERROR(__xludf.DUMMYFUNCTION("""COMPUTED_VALUE"""),"72 WOODLAWN DR  ")</f>
        <v>72 WOODLAWN DR  </v>
      </c>
      <c r="C5399" s="3" t="str">
        <f>IFERROR(__xludf.DUMMYFUNCTION("""COMPUTED_VALUE"""),"HASTINGS")</f>
        <v>HASTINGS</v>
      </c>
      <c r="D5399" s="3" t="str">
        <f>IFERROR(__xludf.DUMMYFUNCTION("""COMPUTED_VALUE"""),"K0L 1Y0")</f>
        <v>K0L 1Y0</v>
      </c>
      <c r="E5399" s="3"/>
      <c r="F5399" s="3"/>
      <c r="G5399" s="3"/>
      <c r="H5399" s="3"/>
    </row>
    <row r="5400">
      <c r="A5400" s="2">
        <f>IFERROR(__xludf.DUMMYFUNCTION("""COMPUTED_VALUE"""),63752.0)</f>
        <v>63752</v>
      </c>
      <c r="B5400" s="3" t="str">
        <f>IFERROR(__xludf.DUMMYFUNCTION("""COMPUTED_VALUE"""),"75 WOODLAWN DR  ")</f>
        <v>75 WOODLAWN DR  </v>
      </c>
      <c r="C5400" s="3" t="str">
        <f>IFERROR(__xludf.DUMMYFUNCTION("""COMPUTED_VALUE"""),"HASTINGS")</f>
        <v>HASTINGS</v>
      </c>
      <c r="D5400" s="3" t="str">
        <f>IFERROR(__xludf.DUMMYFUNCTION("""COMPUTED_VALUE"""),"K0L 1Y0")</f>
        <v>K0L 1Y0</v>
      </c>
      <c r="E5400" s="3" t="str">
        <f>IFERROR(__xludf.DUMMYFUNCTION("""COMPUTED_VALUE"""),"jack delorme ")</f>
        <v>jack delorme </v>
      </c>
      <c r="F5400" s="3" t="str">
        <f>IFERROR(__xludf.DUMMYFUNCTION("""COMPUTED_VALUE"""),"jackdelorme47@gmail.com")</f>
        <v>jackdelorme47@gmail.com</v>
      </c>
      <c r="G5400" s="3">
        <f>IFERROR(__xludf.DUMMYFUNCTION("""COMPUTED_VALUE"""),7.057616084E9)</f>
        <v>7057616084</v>
      </c>
      <c r="H5400" s="3"/>
    </row>
    <row r="5401">
      <c r="A5401" s="2">
        <f>IFERROR(__xludf.DUMMYFUNCTION("""COMPUTED_VALUE"""),63753.0)</f>
        <v>63753</v>
      </c>
      <c r="B5401" s="3" t="str">
        <f>IFERROR(__xludf.DUMMYFUNCTION("""COMPUTED_VALUE"""),"78 WOODLAWN DR  ")</f>
        <v>78 WOODLAWN DR  </v>
      </c>
      <c r="C5401" s="3" t="str">
        <f>IFERROR(__xludf.DUMMYFUNCTION("""COMPUTED_VALUE"""),"HASTINGS")</f>
        <v>HASTINGS</v>
      </c>
      <c r="D5401" s="3" t="str">
        <f>IFERROR(__xludf.DUMMYFUNCTION("""COMPUTED_VALUE"""),"K0L 1Y0")</f>
        <v>K0L 1Y0</v>
      </c>
      <c r="E5401" s="3" t="str">
        <f>IFERROR(__xludf.DUMMYFUNCTION("""COMPUTED_VALUE"""),"kimberly wager ")</f>
        <v>kimberly wager </v>
      </c>
      <c r="F5401" s="3" t="str">
        <f>IFERROR(__xludf.DUMMYFUNCTION("""COMPUTED_VALUE"""),"kimmywager@gmail.com")</f>
        <v>kimmywager@gmail.com</v>
      </c>
      <c r="G5401" s="3">
        <f>IFERROR(__xludf.DUMMYFUNCTION("""COMPUTED_VALUE"""),2.89943539E9)</f>
        <v>2899435390</v>
      </c>
      <c r="H5401" s="3">
        <f>IFERROR(__xludf.DUMMYFUNCTION("""COMPUTED_VALUE"""),2.899436375E9)</f>
        <v>2899436375</v>
      </c>
    </row>
    <row r="5402">
      <c r="A5402" s="2">
        <f>IFERROR(__xludf.DUMMYFUNCTION("""COMPUTED_VALUE"""),61094.0)</f>
        <v>61094</v>
      </c>
      <c r="B5402" s="3" t="str">
        <f>IFERROR(__xludf.DUMMYFUNCTION("""COMPUTED_VALUE"""),"1 CONCESSION RD 8 RD E ")</f>
        <v>1 CONCESSION RD 8 RD E </v>
      </c>
      <c r="C5402" s="3" t="str">
        <f>IFERROR(__xludf.DUMMYFUNCTION("""COMPUTED_VALUE"""),"WARKWORTH")</f>
        <v>WARKWORTH</v>
      </c>
      <c r="D5402" s="3" t="str">
        <f>IFERROR(__xludf.DUMMYFUNCTION("""COMPUTED_VALUE"""),"K0K 3K0")</f>
        <v>K0K 3K0</v>
      </c>
      <c r="E5402" s="3"/>
      <c r="F5402" s="3"/>
      <c r="G5402" s="3"/>
      <c r="H5402" s="3"/>
    </row>
    <row r="5403">
      <c r="A5403" s="2">
        <f>IFERROR(__xludf.DUMMYFUNCTION("""COMPUTED_VALUE"""),61095.0)</f>
        <v>61095</v>
      </c>
      <c r="B5403" s="3" t="str">
        <f>IFERROR(__xludf.DUMMYFUNCTION("""COMPUTED_VALUE"""),"4 CONCESSION RD 8 RD E ")</f>
        <v>4 CONCESSION RD 8 RD E </v>
      </c>
      <c r="C5403" s="3" t="str">
        <f>IFERROR(__xludf.DUMMYFUNCTION("""COMPUTED_VALUE"""),"WARKWORTH")</f>
        <v>WARKWORTH</v>
      </c>
      <c r="D5403" s="3" t="str">
        <f>IFERROR(__xludf.DUMMYFUNCTION("""COMPUTED_VALUE"""),"K0K 3K0")</f>
        <v>K0K 3K0</v>
      </c>
      <c r="E5403" s="3" t="str">
        <f>IFERROR(__xludf.DUMMYFUNCTION("""COMPUTED_VALUE"""),"Steve Hackett")</f>
        <v>Steve Hackett</v>
      </c>
      <c r="F5403" s="3" t="str">
        <f>IFERROR(__xludf.DUMMYFUNCTION("""COMPUTED_VALUE"""),"hackettmarineservices@gmail.com")</f>
        <v>hackettmarineservices@gmail.com</v>
      </c>
      <c r="G5403" s="3"/>
      <c r="H5403" s="3"/>
    </row>
    <row r="5404">
      <c r="A5404" s="2">
        <f>IFERROR(__xludf.DUMMYFUNCTION("""COMPUTED_VALUE"""),61096.0)</f>
        <v>61096</v>
      </c>
      <c r="B5404" s="3" t="str">
        <f>IFERROR(__xludf.DUMMYFUNCTION("""COMPUTED_VALUE"""),"5 CONCESSION RD 8 RD E ")</f>
        <v>5 CONCESSION RD 8 RD E </v>
      </c>
      <c r="C5404" s="3" t="str">
        <f>IFERROR(__xludf.DUMMYFUNCTION("""COMPUTED_VALUE"""),"WARKWORTH")</f>
        <v>WARKWORTH</v>
      </c>
      <c r="D5404" s="3" t="str">
        <f>IFERROR(__xludf.DUMMYFUNCTION("""COMPUTED_VALUE"""),"K0K 3K0")</f>
        <v>K0K 3K0</v>
      </c>
      <c r="E5404" s="3" t="str">
        <f>IFERROR(__xludf.DUMMYFUNCTION("""COMPUTED_VALUE"""),"Charity Hannigan")</f>
        <v>Charity Hannigan</v>
      </c>
      <c r="F5404" s="3"/>
      <c r="G5404" s="3"/>
      <c r="H5404" s="3"/>
    </row>
    <row r="5405">
      <c r="A5405" s="2">
        <f>IFERROR(__xludf.DUMMYFUNCTION("""COMPUTED_VALUE"""),61098.0)</f>
        <v>61098</v>
      </c>
      <c r="B5405" s="3" t="str">
        <f>IFERROR(__xludf.DUMMYFUNCTION("""COMPUTED_VALUE"""),"37 CONCESSION RD 8 RD E ")</f>
        <v>37 CONCESSION RD 8 RD E </v>
      </c>
      <c r="C5405" s="3" t="str">
        <f>IFERROR(__xludf.DUMMYFUNCTION("""COMPUTED_VALUE"""),"WARKWORTH")</f>
        <v>WARKWORTH</v>
      </c>
      <c r="D5405" s="3" t="str">
        <f>IFERROR(__xludf.DUMMYFUNCTION("""COMPUTED_VALUE"""),"K0K 3K0")</f>
        <v>K0K 3K0</v>
      </c>
      <c r="E5405" s="3" t="str">
        <f>IFERROR(__xludf.DUMMYFUNCTION("""COMPUTED_VALUE"""),"Gregory Philip Wood")</f>
        <v>Gregory Philip Wood</v>
      </c>
      <c r="F5405" s="3" t="str">
        <f>IFERROR(__xludf.DUMMYFUNCTION("""COMPUTED_VALUE"""),"gregpwood@yahoo.ca")</f>
        <v>gregpwood@yahoo.ca</v>
      </c>
      <c r="G5405" s="3">
        <f>IFERROR(__xludf.DUMMYFUNCTION("""COMPUTED_VALUE"""),6.472411646E9)</f>
        <v>6472411646</v>
      </c>
      <c r="H5405" s="3"/>
    </row>
    <row r="5406">
      <c r="A5406" s="2">
        <f>IFERROR(__xludf.DUMMYFUNCTION("""COMPUTED_VALUE"""),61100.0)</f>
        <v>61100</v>
      </c>
      <c r="B5406" s="3" t="str">
        <f>IFERROR(__xludf.DUMMYFUNCTION("""COMPUTED_VALUE"""),"54 CONCESSION RD 8 RD E ")</f>
        <v>54 CONCESSION RD 8 RD E </v>
      </c>
      <c r="C5406" s="3" t="str">
        <f>IFERROR(__xludf.DUMMYFUNCTION("""COMPUTED_VALUE"""),"WARKWORTH")</f>
        <v>WARKWORTH</v>
      </c>
      <c r="D5406" s="3" t="str">
        <f>IFERROR(__xludf.DUMMYFUNCTION("""COMPUTED_VALUE"""),"K0K 3K0")</f>
        <v>K0K 3K0</v>
      </c>
      <c r="E5406" s="3" t="str">
        <f>IFERROR(__xludf.DUMMYFUNCTION("""COMPUTED_VALUE"""),"Brian Knight")</f>
        <v>Brian Knight</v>
      </c>
      <c r="F5406" s="3"/>
      <c r="G5406" s="3"/>
      <c r="H5406" s="3"/>
    </row>
    <row r="5407">
      <c r="A5407" s="2">
        <f>IFERROR(__xludf.DUMMYFUNCTION("""COMPUTED_VALUE"""),61101.0)</f>
        <v>61101</v>
      </c>
      <c r="B5407" s="3" t="str">
        <f>IFERROR(__xludf.DUMMYFUNCTION("""COMPUTED_VALUE"""),"57 CONCESSION RD 8 RD E ")</f>
        <v>57 CONCESSION RD 8 RD E </v>
      </c>
      <c r="C5407" s="3" t="str">
        <f>IFERROR(__xludf.DUMMYFUNCTION("""COMPUTED_VALUE"""),"WARKWORTH")</f>
        <v>WARKWORTH</v>
      </c>
      <c r="D5407" s="3" t="str">
        <f>IFERROR(__xludf.DUMMYFUNCTION("""COMPUTED_VALUE"""),"K0K 3K0")</f>
        <v>K0K 3K0</v>
      </c>
      <c r="E5407" s="3" t="str">
        <f>IFERROR(__xludf.DUMMYFUNCTION("""COMPUTED_VALUE"""),"Hayden Verge")</f>
        <v>Hayden Verge</v>
      </c>
      <c r="F5407" s="3" t="str">
        <f>IFERROR(__xludf.DUMMYFUNCTION("""COMPUTED_VALUE"""),"haydenverge@hotmail.com")</f>
        <v>haydenverge@hotmail.com</v>
      </c>
      <c r="G5407" s="3"/>
      <c r="H5407" s="3"/>
    </row>
    <row r="5408">
      <c r="A5408" s="2">
        <f>IFERROR(__xludf.DUMMYFUNCTION("""COMPUTED_VALUE"""),61109.0)</f>
        <v>61109</v>
      </c>
      <c r="B5408" s="3" t="str">
        <f>IFERROR(__xludf.DUMMYFUNCTION("""COMPUTED_VALUE"""),"105 CONCESSION RD 8 RD E ")</f>
        <v>105 CONCESSION RD 8 RD E </v>
      </c>
      <c r="C5408" s="3" t="str">
        <f>IFERROR(__xludf.DUMMYFUNCTION("""COMPUTED_VALUE"""),"WARKWORTH")</f>
        <v>WARKWORTH</v>
      </c>
      <c r="D5408" s="3" t="str">
        <f>IFERROR(__xludf.DUMMYFUNCTION("""COMPUTED_VALUE"""),"K0K 3K0")</f>
        <v>K0K 3K0</v>
      </c>
      <c r="E5408" s="3" t="str">
        <f>IFERROR(__xludf.DUMMYFUNCTION("""COMPUTED_VALUE"""),"Len Colclough")</f>
        <v>Len Colclough</v>
      </c>
      <c r="F5408" s="3" t="str">
        <f>IFERROR(__xludf.DUMMYFUNCTION("""COMPUTED_VALUE"""),"lcolclo_2000@yahoo.ca")</f>
        <v>lcolclo_2000@yahoo.ca</v>
      </c>
      <c r="G5408" s="3"/>
      <c r="H5408" s="3"/>
    </row>
    <row r="5409">
      <c r="A5409" s="2">
        <f>IFERROR(__xludf.DUMMYFUNCTION("""COMPUTED_VALUE"""),61110.0)</f>
        <v>61110</v>
      </c>
      <c r="B5409" s="3" t="str">
        <f>IFERROR(__xludf.DUMMYFUNCTION("""COMPUTED_VALUE"""),"108 CONCESSION RD 8 RD E ")</f>
        <v>108 CONCESSION RD 8 RD E </v>
      </c>
      <c r="C5409" s="3" t="str">
        <f>IFERROR(__xludf.DUMMYFUNCTION("""COMPUTED_VALUE"""),"WARKWORTH")</f>
        <v>WARKWORTH</v>
      </c>
      <c r="D5409" s="3" t="str">
        <f>IFERROR(__xludf.DUMMYFUNCTION("""COMPUTED_VALUE"""),"K0K 3K0")</f>
        <v>K0K 3K0</v>
      </c>
      <c r="E5409" s="3" t="str">
        <f>IFERROR(__xludf.DUMMYFUNCTION("""COMPUTED_VALUE"""),"Brenda Orr")</f>
        <v>Brenda Orr</v>
      </c>
      <c r="F5409" s="3" t="str">
        <f>IFERROR(__xludf.DUMMYFUNCTION("""COMPUTED_VALUE"""),"signladylucy@gmail.com")</f>
        <v>signladylucy@gmail.com</v>
      </c>
      <c r="G5409" s="3"/>
      <c r="H5409" s="3"/>
    </row>
    <row r="5410">
      <c r="A5410" s="2">
        <f>IFERROR(__xludf.DUMMYFUNCTION("""COMPUTED_VALUE"""),61112.0)</f>
        <v>61112</v>
      </c>
      <c r="B5410" s="3" t="str">
        <f>IFERROR(__xludf.DUMMYFUNCTION("""COMPUTED_VALUE"""),"145 CONCESSION RD 8 RD E ")</f>
        <v>145 CONCESSION RD 8 RD E </v>
      </c>
      <c r="C5410" s="3" t="str">
        <f>IFERROR(__xludf.DUMMYFUNCTION("""COMPUTED_VALUE"""),"WARKWORTH")</f>
        <v>WARKWORTH</v>
      </c>
      <c r="D5410" s="3" t="str">
        <f>IFERROR(__xludf.DUMMYFUNCTION("""COMPUTED_VALUE"""),"K0K 3K0")</f>
        <v>K0K 3K0</v>
      </c>
      <c r="E5410" s="3" t="str">
        <f>IFERROR(__xludf.DUMMYFUNCTION("""COMPUTED_VALUE"""),"Shawn Scott &amp; Dianne Horner-Fox")</f>
        <v>Shawn Scott &amp; Dianne Horner-Fox</v>
      </c>
      <c r="F5410" s="3" t="str">
        <f>IFERROR(__xludf.DUMMYFUNCTION("""COMPUTED_VALUE"""),"bdhfox88@gmail.com")</f>
        <v>bdhfox88@gmail.com</v>
      </c>
      <c r="G5410" s="3"/>
      <c r="H5410" s="3"/>
    </row>
    <row r="5411">
      <c r="A5411" s="2">
        <f>IFERROR(__xludf.DUMMYFUNCTION("""COMPUTED_VALUE"""),61113.0)</f>
        <v>61113</v>
      </c>
      <c r="B5411" s="3" t="str">
        <f>IFERROR(__xludf.DUMMYFUNCTION("""COMPUTED_VALUE"""),"190 CONCESSION RD 8 RD E ")</f>
        <v>190 CONCESSION RD 8 RD E </v>
      </c>
      <c r="C5411" s="3" t="str">
        <f>IFERROR(__xludf.DUMMYFUNCTION("""COMPUTED_VALUE"""),"WARKWORTH")</f>
        <v>WARKWORTH</v>
      </c>
      <c r="D5411" s="3" t="str">
        <f>IFERROR(__xludf.DUMMYFUNCTION("""COMPUTED_VALUE"""),"K0K 3K0")</f>
        <v>K0K 3K0</v>
      </c>
      <c r="E5411" s="3"/>
      <c r="F5411" s="3"/>
      <c r="G5411" s="3"/>
      <c r="H5411" s="3"/>
    </row>
    <row r="5412">
      <c r="A5412" s="2">
        <f>IFERROR(__xludf.DUMMYFUNCTION("""COMPUTED_VALUE"""),61117.0)</f>
        <v>61117</v>
      </c>
      <c r="B5412" s="3" t="str">
        <f>IFERROR(__xludf.DUMMYFUNCTION("""COMPUTED_VALUE"""),"210 CONCESSION RD 8 RD E ")</f>
        <v>210 CONCESSION RD 8 RD E </v>
      </c>
      <c r="C5412" s="3" t="str">
        <f>IFERROR(__xludf.DUMMYFUNCTION("""COMPUTED_VALUE"""),"WARKWORTH")</f>
        <v>WARKWORTH</v>
      </c>
      <c r="D5412" s="3" t="str">
        <f>IFERROR(__xludf.DUMMYFUNCTION("""COMPUTED_VALUE"""),"K0K 3K0")</f>
        <v>K0K 3K0</v>
      </c>
      <c r="E5412" s="3"/>
      <c r="F5412" s="3"/>
      <c r="G5412" s="3"/>
      <c r="H5412" s="3"/>
    </row>
    <row r="5413">
      <c r="A5413" s="2">
        <f>IFERROR(__xludf.DUMMYFUNCTION("""COMPUTED_VALUE"""),61118.0)</f>
        <v>61118</v>
      </c>
      <c r="B5413" s="3" t="str">
        <f>IFERROR(__xludf.DUMMYFUNCTION("""COMPUTED_VALUE"""),"215 CONCESSION RD 8 RD E ")</f>
        <v>215 CONCESSION RD 8 RD E </v>
      </c>
      <c r="C5413" s="3" t="str">
        <f>IFERROR(__xludf.DUMMYFUNCTION("""COMPUTED_VALUE"""),"WARKWORTH")</f>
        <v>WARKWORTH</v>
      </c>
      <c r="D5413" s="3" t="str">
        <f>IFERROR(__xludf.DUMMYFUNCTION("""COMPUTED_VALUE"""),"K0K 3K0")</f>
        <v>K0K 3K0</v>
      </c>
      <c r="E5413" s="3" t="str">
        <f>IFERROR(__xludf.DUMMYFUNCTION("""COMPUTED_VALUE"""),"Victoria Lulleyman")</f>
        <v>Victoria Lulleyman</v>
      </c>
      <c r="F5413" s="3" t="str">
        <f>IFERROR(__xludf.DUMMYFUNCTION("""COMPUTED_VALUE"""),"vicki.welstead@gmail.com")</f>
        <v>vicki.welstead@gmail.com</v>
      </c>
      <c r="G5413" s="3"/>
      <c r="H5413" s="3"/>
    </row>
    <row r="5414">
      <c r="A5414" s="2">
        <f>IFERROR(__xludf.DUMMYFUNCTION("""COMPUTED_VALUE"""),61119.0)</f>
        <v>61119</v>
      </c>
      <c r="B5414" s="3" t="str">
        <f>IFERROR(__xludf.DUMMYFUNCTION("""COMPUTED_VALUE"""),"218 CONCESSION RD 8 RD E ")</f>
        <v>218 CONCESSION RD 8 RD E </v>
      </c>
      <c r="C5414" s="3" t="str">
        <f>IFERROR(__xludf.DUMMYFUNCTION("""COMPUTED_VALUE"""),"WARKWORTH")</f>
        <v>WARKWORTH</v>
      </c>
      <c r="D5414" s="3" t="str">
        <f>IFERROR(__xludf.DUMMYFUNCTION("""COMPUTED_VALUE"""),"K0K 3K0")</f>
        <v>K0K 3K0</v>
      </c>
      <c r="E5414" s="3" t="str">
        <f>IFERROR(__xludf.DUMMYFUNCTION("""COMPUTED_VALUE"""),"Justin Licis")</f>
        <v>Justin Licis</v>
      </c>
      <c r="F5414" s="3" t="str">
        <f>IFERROR(__xludf.DUMMYFUNCTION("""COMPUTED_VALUE"""),"justin@justinlicisremax.ca")</f>
        <v>justin@justinlicisremax.ca</v>
      </c>
      <c r="G5414" s="3">
        <f>IFERROR(__xludf.DUMMYFUNCTION("""COMPUTED_VALUE"""),7.0565388E9)</f>
        <v>7056538800</v>
      </c>
      <c r="H5414" s="3"/>
    </row>
    <row r="5415">
      <c r="A5415" s="2">
        <f>IFERROR(__xludf.DUMMYFUNCTION("""COMPUTED_VALUE"""),61120.0)</f>
        <v>61120</v>
      </c>
      <c r="B5415" s="3" t="str">
        <f>IFERROR(__xludf.DUMMYFUNCTION("""COMPUTED_VALUE"""),"225 CONCESSION RD 8 RD E ")</f>
        <v>225 CONCESSION RD 8 RD E </v>
      </c>
      <c r="C5415" s="3" t="str">
        <f>IFERROR(__xludf.DUMMYFUNCTION("""COMPUTED_VALUE"""),"WARKWORTH")</f>
        <v>WARKWORTH</v>
      </c>
      <c r="D5415" s="3" t="str">
        <f>IFERROR(__xludf.DUMMYFUNCTION("""COMPUTED_VALUE"""),"K0K 3K0")</f>
        <v>K0K 3K0</v>
      </c>
      <c r="E5415" s="3" t="str">
        <f>IFERROR(__xludf.DUMMYFUNCTION("""COMPUTED_VALUE"""),"George (Sonny) Lennon")</f>
        <v>George (Sonny) Lennon</v>
      </c>
      <c r="F5415" s="3" t="str">
        <f>IFERROR(__xludf.DUMMYFUNCTION("""COMPUTED_VALUE"""),"georgelennon@rurallynx.com")</f>
        <v>georgelennon@rurallynx.com</v>
      </c>
      <c r="G5415" s="3">
        <f>IFERROR(__xludf.DUMMYFUNCTION("""COMPUTED_VALUE"""),7.059241875E9)</f>
        <v>7059241875</v>
      </c>
      <c r="H5415" s="3"/>
    </row>
    <row r="5416">
      <c r="A5416" s="2">
        <f>IFERROR(__xludf.DUMMYFUNCTION("""COMPUTED_VALUE"""),61123.0)</f>
        <v>61123</v>
      </c>
      <c r="B5416" s="3" t="str">
        <f>IFERROR(__xludf.DUMMYFUNCTION("""COMPUTED_VALUE"""),"264 CONCESSION RD 8 RD E ")</f>
        <v>264 CONCESSION RD 8 RD E </v>
      </c>
      <c r="C5416" s="3" t="str">
        <f>IFERROR(__xludf.DUMMYFUNCTION("""COMPUTED_VALUE"""),"WARKWORTH")</f>
        <v>WARKWORTH</v>
      </c>
      <c r="D5416" s="3" t="str">
        <f>IFERROR(__xludf.DUMMYFUNCTION("""COMPUTED_VALUE"""),"K0K 3K0")</f>
        <v>K0K 3K0</v>
      </c>
      <c r="E5416" s="3" t="str">
        <f>IFERROR(__xludf.DUMMYFUNCTION("""COMPUTED_VALUE"""),"Garu Bigelon")</f>
        <v>Garu Bigelon</v>
      </c>
      <c r="F5416" s="3" t="str">
        <f>IFERROR(__xludf.DUMMYFUNCTION("""COMPUTED_VALUE"""),"bl.blgelow@hotmail.com")</f>
        <v>bl.blgelow@hotmail.com</v>
      </c>
      <c r="G5416" s="3"/>
      <c r="H5416" s="3"/>
    </row>
    <row r="5417">
      <c r="A5417" s="2">
        <f>IFERROR(__xludf.DUMMYFUNCTION("""COMPUTED_VALUE"""),61124.0)</f>
        <v>61124</v>
      </c>
      <c r="B5417" s="3" t="str">
        <f>IFERROR(__xludf.DUMMYFUNCTION("""COMPUTED_VALUE"""),"288 CONCESSION RD 8 RD E ")</f>
        <v>288 CONCESSION RD 8 RD E </v>
      </c>
      <c r="C5417" s="3" t="str">
        <f>IFERROR(__xludf.DUMMYFUNCTION("""COMPUTED_VALUE"""),"WARKWORTH")</f>
        <v>WARKWORTH</v>
      </c>
      <c r="D5417" s="3" t="str">
        <f>IFERROR(__xludf.DUMMYFUNCTION("""COMPUTED_VALUE"""),"K0K 3K0")</f>
        <v>K0K 3K0</v>
      </c>
      <c r="E5417" s="3"/>
      <c r="F5417" s="3"/>
      <c r="G5417" s="3"/>
      <c r="H5417" s="3"/>
    </row>
    <row r="5418">
      <c r="A5418" s="2">
        <f>IFERROR(__xludf.DUMMYFUNCTION("""COMPUTED_VALUE"""),61125.0)</f>
        <v>61125</v>
      </c>
      <c r="B5418" s="3" t="str">
        <f>IFERROR(__xludf.DUMMYFUNCTION("""COMPUTED_VALUE"""),"290 CONCESSION RD 8 RD E ")</f>
        <v>290 CONCESSION RD 8 RD E </v>
      </c>
      <c r="C5418" s="3" t="str">
        <f>IFERROR(__xludf.DUMMYFUNCTION("""COMPUTED_VALUE"""),"WARKWORTH")</f>
        <v>WARKWORTH</v>
      </c>
      <c r="D5418" s="3" t="str">
        <f>IFERROR(__xludf.DUMMYFUNCTION("""COMPUTED_VALUE"""),"K0K 3K0")</f>
        <v>K0K 3K0</v>
      </c>
      <c r="E5418" s="3" t="str">
        <f>IFERROR(__xludf.DUMMYFUNCTION("""COMPUTED_VALUE"""),"Jackie Mahoney")</f>
        <v>Jackie Mahoney</v>
      </c>
      <c r="F5418" s="3"/>
      <c r="G5418" s="3"/>
      <c r="H5418" s="3"/>
    </row>
    <row r="5419">
      <c r="A5419" s="2">
        <f>IFERROR(__xludf.DUMMYFUNCTION("""COMPUTED_VALUE"""),61126.0)</f>
        <v>61126</v>
      </c>
      <c r="B5419" s="3" t="str">
        <f>IFERROR(__xludf.DUMMYFUNCTION("""COMPUTED_VALUE"""),"292 CONCESSION RD 8 RD E ")</f>
        <v>292 CONCESSION RD 8 RD E </v>
      </c>
      <c r="C5419" s="3" t="str">
        <f>IFERROR(__xludf.DUMMYFUNCTION("""COMPUTED_VALUE"""),"WARKWORTH")</f>
        <v>WARKWORTH</v>
      </c>
      <c r="D5419" s="3" t="str">
        <f>IFERROR(__xludf.DUMMYFUNCTION("""COMPUTED_VALUE"""),"K0K 3K0")</f>
        <v>K0K 3K0</v>
      </c>
      <c r="E5419" s="3" t="str">
        <f>IFERROR(__xludf.DUMMYFUNCTION("""COMPUTED_VALUE"""),"Wendy Mahoney")</f>
        <v>Wendy Mahoney</v>
      </c>
      <c r="F5419" s="3"/>
      <c r="G5419" s="3"/>
      <c r="H5419" s="3"/>
    </row>
    <row r="5420">
      <c r="A5420" s="2">
        <f>IFERROR(__xludf.DUMMYFUNCTION("""COMPUTED_VALUE"""),61127.0)</f>
        <v>61127</v>
      </c>
      <c r="B5420" s="3" t="str">
        <f>IFERROR(__xludf.DUMMYFUNCTION("""COMPUTED_VALUE"""),"311 CONCESSION RD 8 RD E ")</f>
        <v>311 CONCESSION RD 8 RD E </v>
      </c>
      <c r="C5420" s="3" t="str">
        <f>IFERROR(__xludf.DUMMYFUNCTION("""COMPUTED_VALUE"""),"WARKWORTH")</f>
        <v>WARKWORTH</v>
      </c>
      <c r="D5420" s="3" t="str">
        <f>IFERROR(__xludf.DUMMYFUNCTION("""COMPUTED_VALUE"""),"K0K 3K0")</f>
        <v>K0K 3K0</v>
      </c>
      <c r="E5420" s="3" t="str">
        <f>IFERROR(__xludf.DUMMYFUNCTION("""COMPUTED_VALUE"""),"Peter Brackenbury")</f>
        <v>Peter Brackenbury</v>
      </c>
      <c r="F5420" s="3" t="str">
        <f>IFERROR(__xludf.DUMMYFUNCTION("""COMPUTED_VALUE"""),"madden.brackenbury@gmail.com")</f>
        <v>madden.brackenbury@gmail.com</v>
      </c>
      <c r="G5420" s="3"/>
      <c r="H5420" s="3"/>
    </row>
    <row r="5421">
      <c r="A5421" s="2">
        <f>IFERROR(__xludf.DUMMYFUNCTION("""COMPUTED_VALUE"""),61128.0)</f>
        <v>61128</v>
      </c>
      <c r="B5421" s="3" t="str">
        <f>IFERROR(__xludf.DUMMYFUNCTION("""COMPUTED_VALUE"""),"312 CONCESSION RD 8 RD E ")</f>
        <v>312 CONCESSION RD 8 RD E </v>
      </c>
      <c r="C5421" s="3" t="str">
        <f>IFERROR(__xludf.DUMMYFUNCTION("""COMPUTED_VALUE"""),"WARKWORTH")</f>
        <v>WARKWORTH</v>
      </c>
      <c r="D5421" s="3" t="str">
        <f>IFERROR(__xludf.DUMMYFUNCTION("""COMPUTED_VALUE"""),"K0K 3K0")</f>
        <v>K0K 3K0</v>
      </c>
      <c r="E5421" s="3" t="str">
        <f>IFERROR(__xludf.DUMMYFUNCTION("""COMPUTED_VALUE"""),"sarah tanner ")</f>
        <v>sarah tanner </v>
      </c>
      <c r="F5421" s="3"/>
      <c r="G5421" s="3">
        <f>IFERROR(__xludf.DUMMYFUNCTION("""COMPUTED_VALUE"""),7.059273603E9)</f>
        <v>7059273603</v>
      </c>
      <c r="H5421" s="3"/>
    </row>
    <row r="5422">
      <c r="A5422" s="2">
        <f>IFERROR(__xludf.DUMMYFUNCTION("""COMPUTED_VALUE"""),61130.0)</f>
        <v>61130</v>
      </c>
      <c r="B5422" s="3" t="str">
        <f>IFERROR(__xludf.DUMMYFUNCTION("""COMPUTED_VALUE"""),"328 CONCESSION RD 8 RD E ")</f>
        <v>328 CONCESSION RD 8 RD E </v>
      </c>
      <c r="C5422" s="3" t="str">
        <f>IFERROR(__xludf.DUMMYFUNCTION("""COMPUTED_VALUE"""),"WARKWORTH")</f>
        <v>WARKWORTH</v>
      </c>
      <c r="D5422" s="3" t="str">
        <f>IFERROR(__xludf.DUMMYFUNCTION("""COMPUTED_VALUE"""),"K0K 3K0")</f>
        <v>K0K 3K0</v>
      </c>
      <c r="E5422" s="3" t="str">
        <f>IFERROR(__xludf.DUMMYFUNCTION("""COMPUTED_VALUE"""),"Kim France ")</f>
        <v>Kim France </v>
      </c>
      <c r="F5422" s="3" t="str">
        <f>IFERROR(__xludf.DUMMYFUNCTION("""COMPUTED_VALUE"""),"cleansweepkim@sympatico.ca")</f>
        <v>cleansweepkim@sympatico.ca</v>
      </c>
      <c r="G5422" s="3"/>
      <c r="H5422" s="3"/>
    </row>
    <row r="5423">
      <c r="A5423" s="2">
        <f>IFERROR(__xludf.DUMMYFUNCTION("""COMPUTED_VALUE"""),61131.0)</f>
        <v>61131</v>
      </c>
      <c r="B5423" s="3" t="str">
        <f>IFERROR(__xludf.DUMMYFUNCTION("""COMPUTED_VALUE"""),"258-260 CONCESSION RD 8 RD E ")</f>
        <v>258-260 CONCESSION RD 8 RD E </v>
      </c>
      <c r="C5423" s="3" t="str">
        <f>IFERROR(__xludf.DUMMYFUNCTION("""COMPUTED_VALUE"""),"WARKWORTH")</f>
        <v>WARKWORTH</v>
      </c>
      <c r="D5423" s="3" t="str">
        <f>IFERROR(__xludf.DUMMYFUNCTION("""COMPUTED_VALUE"""),"K0K 3K0")</f>
        <v>K0K 3K0</v>
      </c>
      <c r="E5423" s="3" t="str">
        <f>IFERROR(__xludf.DUMMYFUNCTION("""COMPUTED_VALUE"""),"Finley Mahoney")</f>
        <v>Finley Mahoney</v>
      </c>
      <c r="F5423" s="3" t="str">
        <f>IFERROR(__xludf.DUMMYFUNCTION("""COMPUTED_VALUE"""),"scottandleslie@yahoo.com")</f>
        <v>scottandleslie@yahoo.com</v>
      </c>
      <c r="G5423" s="3"/>
      <c r="H5423" s="3"/>
    </row>
    <row r="5424">
      <c r="A5424" s="2">
        <f>IFERROR(__xludf.DUMMYFUNCTION("""COMPUTED_VALUE"""),61933.0)</f>
        <v>61933</v>
      </c>
      <c r="B5424" s="3" t="str">
        <f>IFERROR(__xludf.DUMMYFUNCTION("""COMPUTED_VALUE"""),"618 GODOLPHIN RD  ")</f>
        <v>618 GODOLPHIN RD  </v>
      </c>
      <c r="C5424" s="3" t="str">
        <f>IFERROR(__xludf.DUMMYFUNCTION("""COMPUTED_VALUE"""),"CAMPBELLFORD")</f>
        <v>CAMPBELLFORD</v>
      </c>
      <c r="D5424" s="3" t="str">
        <f>IFERROR(__xludf.DUMMYFUNCTION("""COMPUTED_VALUE"""),"K0L 1L0")</f>
        <v>K0L 1L0</v>
      </c>
      <c r="E5424" s="3" t="str">
        <f>IFERROR(__xludf.DUMMYFUNCTION("""COMPUTED_VALUE"""),"donald cooze ")</f>
        <v>donald cooze </v>
      </c>
      <c r="F5424" s="3" t="str">
        <f>IFERROR(__xludf.DUMMYFUNCTION("""COMPUTED_VALUE"""),"donnycooze@me.com")</f>
        <v>donnycooze@me.com</v>
      </c>
      <c r="G5424" s="3">
        <f>IFERROR(__xludf.DUMMYFUNCTION("""COMPUTED_VALUE"""),4.379282184E9)</f>
        <v>4379282184</v>
      </c>
      <c r="H5424" s="3"/>
    </row>
    <row r="5425">
      <c r="A5425" s="2">
        <f>IFERROR(__xludf.DUMMYFUNCTION("""COMPUTED_VALUE"""),61934.0)</f>
        <v>61934</v>
      </c>
      <c r="B5425" s="3" t="str">
        <f>IFERROR(__xludf.DUMMYFUNCTION("""COMPUTED_VALUE"""),"647 GODOLPHIN RD  ")</f>
        <v>647 GODOLPHIN RD  </v>
      </c>
      <c r="C5425" s="3" t="str">
        <f>IFERROR(__xludf.DUMMYFUNCTION("""COMPUTED_VALUE"""),"CAMPBELLFORD")</f>
        <v>CAMPBELLFORD</v>
      </c>
      <c r="D5425" s="3" t="str">
        <f>IFERROR(__xludf.DUMMYFUNCTION("""COMPUTED_VALUE"""),"K0L 1L0")</f>
        <v>K0L 1L0</v>
      </c>
      <c r="E5425" s="3" t="str">
        <f>IFERROR(__xludf.DUMMYFUNCTION("""COMPUTED_VALUE"""),"EVA GONOS MOCON")</f>
        <v>EVA GONOS MOCON</v>
      </c>
      <c r="F5425" s="3" t="str">
        <f>IFERROR(__xludf.DUMMYFUNCTION("""COMPUTED_VALUE"""),"eva.gonos@gmail.com")</f>
        <v>eva.gonos@gmail.com</v>
      </c>
      <c r="G5425" s="3"/>
      <c r="H5425" s="3"/>
    </row>
    <row r="5426">
      <c r="A5426" s="2">
        <f>IFERROR(__xludf.DUMMYFUNCTION("""COMPUTED_VALUE"""),61935.0)</f>
        <v>61935</v>
      </c>
      <c r="B5426" s="3" t="str">
        <f>IFERROR(__xludf.DUMMYFUNCTION("""COMPUTED_VALUE"""),"658 GODOLPHIN RD  ")</f>
        <v>658 GODOLPHIN RD  </v>
      </c>
      <c r="C5426" s="3" t="str">
        <f>IFERROR(__xludf.DUMMYFUNCTION("""COMPUTED_VALUE"""),"CAMPBELLFORD")</f>
        <v>CAMPBELLFORD</v>
      </c>
      <c r="D5426" s="3" t="str">
        <f>IFERROR(__xludf.DUMMYFUNCTION("""COMPUTED_VALUE"""),"K0L 1L0")</f>
        <v>K0L 1L0</v>
      </c>
      <c r="E5426" s="3" t="str">
        <f>IFERROR(__xludf.DUMMYFUNCTION("""COMPUTED_VALUE"""),"Curt Schmid")</f>
        <v>Curt Schmid</v>
      </c>
      <c r="F5426" s="3" t="str">
        <f>IFERROR(__xludf.DUMMYFUNCTION("""COMPUTED_VALUE"""),"curt_schmid@hotmail.com")</f>
        <v>curt_schmid@hotmail.com</v>
      </c>
      <c r="G5426" s="3"/>
      <c r="H5426" s="3"/>
    </row>
    <row r="5427">
      <c r="A5427" s="2">
        <f>IFERROR(__xludf.DUMMYFUNCTION("""COMPUTED_VALUE"""),61936.0)</f>
        <v>61936</v>
      </c>
      <c r="B5427" s="3" t="str">
        <f>IFERROR(__xludf.DUMMYFUNCTION("""COMPUTED_VALUE"""),"671 GODOLPHIN RD  ")</f>
        <v>671 GODOLPHIN RD  </v>
      </c>
      <c r="C5427" s="3" t="str">
        <f>IFERROR(__xludf.DUMMYFUNCTION("""COMPUTED_VALUE"""),"CAMPBELLFORD")</f>
        <v>CAMPBELLFORD</v>
      </c>
      <c r="D5427" s="3" t="str">
        <f>IFERROR(__xludf.DUMMYFUNCTION("""COMPUTED_VALUE"""),"K0L 1L0")</f>
        <v>K0L 1L0</v>
      </c>
      <c r="E5427" s="3" t="str">
        <f>IFERROR(__xludf.DUMMYFUNCTION("""COMPUTED_VALUE"""),"eleanor cartwright ")</f>
        <v>eleanor cartwright </v>
      </c>
      <c r="F5427" s="3" t="str">
        <f>IFERROR(__xludf.DUMMYFUNCTION("""COMPUTED_VALUE"""),"office@dajeeling.net")</f>
        <v>office@dajeeling.net</v>
      </c>
      <c r="G5427" s="3">
        <f>IFERROR(__xludf.DUMMYFUNCTION("""COMPUTED_VALUE"""),4.164444911E9)</f>
        <v>4164444911</v>
      </c>
      <c r="H5427" s="3"/>
    </row>
    <row r="5428">
      <c r="A5428" s="2">
        <f>IFERROR(__xludf.DUMMYFUNCTION("""COMPUTED_VALUE"""),61937.0)</f>
        <v>61937</v>
      </c>
      <c r="B5428" s="3" t="str">
        <f>IFERROR(__xludf.DUMMYFUNCTION("""COMPUTED_VALUE"""),"701 GODOLPHIN RD  ")</f>
        <v>701 GODOLPHIN RD  </v>
      </c>
      <c r="C5428" s="3" t="str">
        <f>IFERROR(__xludf.DUMMYFUNCTION("""COMPUTED_VALUE"""),"CAMPBELLFORD")</f>
        <v>CAMPBELLFORD</v>
      </c>
      <c r="D5428" s="3" t="str">
        <f>IFERROR(__xludf.DUMMYFUNCTION("""COMPUTED_VALUE"""),"K0L 1L0")</f>
        <v>K0L 1L0</v>
      </c>
      <c r="E5428" s="3"/>
      <c r="F5428" s="3"/>
      <c r="G5428" s="3"/>
      <c r="H5428" s="3"/>
    </row>
    <row r="5429">
      <c r="A5429" s="2">
        <f>IFERROR(__xludf.DUMMYFUNCTION("""COMPUTED_VALUE"""),61938.0)</f>
        <v>61938</v>
      </c>
      <c r="B5429" s="3" t="str">
        <f>IFERROR(__xludf.DUMMYFUNCTION("""COMPUTED_VALUE"""),"748 GODOLPHIN RD  ")</f>
        <v>748 GODOLPHIN RD  </v>
      </c>
      <c r="C5429" s="3" t="str">
        <f>IFERROR(__xludf.DUMMYFUNCTION("""COMPUTED_VALUE"""),"CAMPBELLFORD")</f>
        <v>CAMPBELLFORD</v>
      </c>
      <c r="D5429" s="3" t="str">
        <f>IFERROR(__xludf.DUMMYFUNCTION("""COMPUTED_VALUE"""),"K0L 1L0")</f>
        <v>K0L 1L0</v>
      </c>
      <c r="E5429" s="3" t="str">
        <f>IFERROR(__xludf.DUMMYFUNCTION("""COMPUTED_VALUE"""),"ivan unwin")</f>
        <v>ivan unwin</v>
      </c>
      <c r="F5429" s="3" t="str">
        <f>IFERROR(__xludf.DUMMYFUNCTION("""COMPUTED_VALUE"""),"ivanunwin2020@gmail.com")</f>
        <v>ivanunwin2020@gmail.com</v>
      </c>
      <c r="G5429" s="3">
        <f>IFERROR(__xludf.DUMMYFUNCTION("""COMPUTED_VALUE"""),7.059910306E9)</f>
        <v>7059910306</v>
      </c>
      <c r="H5429" s="3">
        <f>IFERROR(__xludf.DUMMYFUNCTION("""COMPUTED_VALUE"""),7.057610306E9)</f>
        <v>7057610306</v>
      </c>
    </row>
    <row r="5430">
      <c r="A5430" s="2">
        <f>IFERROR(__xludf.DUMMYFUNCTION("""COMPUTED_VALUE"""),62868.0)</f>
        <v>62868</v>
      </c>
      <c r="B5430" s="3" t="str">
        <f>IFERROR(__xludf.DUMMYFUNCTION("""COMPUTED_VALUE"""),"18 O'MELIA LAKE RD  ")</f>
        <v>18 O'MELIA LAKE RD  </v>
      </c>
      <c r="C5430" s="3" t="str">
        <f>IFERROR(__xludf.DUMMYFUNCTION("""COMPUTED_VALUE"""),"HASTINGS")</f>
        <v>HASTINGS</v>
      </c>
      <c r="D5430" s="3" t="str">
        <f>IFERROR(__xludf.DUMMYFUNCTION("""COMPUTED_VALUE"""),"KOL 1Y0")</f>
        <v>KOL 1Y0</v>
      </c>
      <c r="E5430" s="3" t="str">
        <f>IFERROR(__xludf.DUMMYFUNCTION("""COMPUTED_VALUE"""),"Melissa Condotta")</f>
        <v>Melissa Condotta</v>
      </c>
      <c r="F5430" s="3" t="str">
        <f>IFERROR(__xludf.DUMMYFUNCTION("""COMPUTED_VALUE"""),"mcondotta@gmail.com")</f>
        <v>mcondotta@gmail.com</v>
      </c>
      <c r="G5430" s="3">
        <f>IFERROR(__xludf.DUMMYFUNCTION("""COMPUTED_VALUE"""),4.169027882E9)</f>
        <v>4169027882</v>
      </c>
      <c r="H5430" s="3"/>
    </row>
    <row r="5431">
      <c r="A5431" s="2">
        <f>IFERROR(__xludf.DUMMYFUNCTION("""COMPUTED_VALUE"""),62869.0)</f>
        <v>62869</v>
      </c>
      <c r="B5431" s="3" t="str">
        <f>IFERROR(__xludf.DUMMYFUNCTION("""COMPUTED_VALUE"""),"35 O'MELIA LAKE RD  ")</f>
        <v>35 O'MELIA LAKE RD  </v>
      </c>
      <c r="C5431" s="3" t="str">
        <f>IFERROR(__xludf.DUMMYFUNCTION("""COMPUTED_VALUE"""),"HASTINGS")</f>
        <v>HASTINGS</v>
      </c>
      <c r="D5431" s="3" t="str">
        <f>IFERROR(__xludf.DUMMYFUNCTION("""COMPUTED_VALUE"""),"KOL 1Y0")</f>
        <v>KOL 1Y0</v>
      </c>
      <c r="E5431" s="3"/>
      <c r="F5431" s="3"/>
      <c r="G5431" s="3"/>
      <c r="H5431" s="3"/>
    </row>
    <row r="5432">
      <c r="A5432" s="2">
        <f>IFERROR(__xludf.DUMMYFUNCTION("""COMPUTED_VALUE"""),62870.0)</f>
        <v>62870</v>
      </c>
      <c r="B5432" s="3" t="str">
        <f>IFERROR(__xludf.DUMMYFUNCTION("""COMPUTED_VALUE"""),"36 O'MELIA LAKE RD  ")</f>
        <v>36 O'MELIA LAKE RD  </v>
      </c>
      <c r="C5432" s="3" t="str">
        <f>IFERROR(__xludf.DUMMYFUNCTION("""COMPUTED_VALUE"""),"HASTINGS")</f>
        <v>HASTINGS</v>
      </c>
      <c r="D5432" s="3" t="str">
        <f>IFERROR(__xludf.DUMMYFUNCTION("""COMPUTED_VALUE"""),"KOL 1Y0")</f>
        <v>KOL 1Y0</v>
      </c>
      <c r="E5432" s="3" t="str">
        <f>IFERROR(__xludf.DUMMYFUNCTION("""COMPUTED_VALUE"""),"roger white ")</f>
        <v>roger white </v>
      </c>
      <c r="F5432" s="3" t="str">
        <f>IFERROR(__xludf.DUMMYFUNCTION("""COMPUTED_VALUE"""),"rogwhite13@gmail.com")</f>
        <v>rogwhite13@gmail.com</v>
      </c>
      <c r="G5432" s="3">
        <f>IFERROR(__xludf.DUMMYFUNCTION("""COMPUTED_VALUE"""),7.05768244E9)</f>
        <v>7057682440</v>
      </c>
      <c r="H5432" s="3">
        <f>IFERROR(__xludf.DUMMYFUNCTION("""COMPUTED_VALUE"""),9.054671999E9)</f>
        <v>9054671999</v>
      </c>
    </row>
    <row r="5433">
      <c r="A5433" s="2">
        <f>IFERROR(__xludf.DUMMYFUNCTION("""COMPUTED_VALUE"""),61114.0)</f>
        <v>61114</v>
      </c>
      <c r="B5433" s="3" t="str">
        <f>IFERROR(__xludf.DUMMYFUNCTION("""COMPUTED_VALUE"""),"200 CONCESSION RD 8 RD W ")</f>
        <v>200 CONCESSION RD 8 RD W </v>
      </c>
      <c r="C5433" s="3" t="str">
        <f>IFERROR(__xludf.DUMMYFUNCTION("""COMPUTED_VALUE"""),"WARKWORTH")</f>
        <v>WARKWORTH</v>
      </c>
      <c r="D5433" s="3" t="str">
        <f>IFERROR(__xludf.DUMMYFUNCTION("""COMPUTED_VALUE"""),"K0K 3K0")</f>
        <v>K0K 3K0</v>
      </c>
      <c r="E5433" s="3"/>
      <c r="F5433" s="3"/>
      <c r="G5433" s="3"/>
      <c r="H5433" s="3"/>
    </row>
    <row r="5434">
      <c r="A5434" s="2">
        <f>IFERROR(__xludf.DUMMYFUNCTION("""COMPUTED_VALUE"""),63601.0)</f>
        <v>63601</v>
      </c>
      <c r="B5434" s="3" t="str">
        <f>IFERROR(__xludf.DUMMYFUNCTION("""COMPUTED_VALUE"""),"121 WARD RD  ")</f>
        <v>121 WARD RD  </v>
      </c>
      <c r="C5434" s="3" t="str">
        <f>IFERROR(__xludf.DUMMYFUNCTION("""COMPUTED_VALUE"""),"WARKWORTH")</f>
        <v>WARKWORTH</v>
      </c>
      <c r="D5434" s="3" t="str">
        <f>IFERROR(__xludf.DUMMYFUNCTION("""COMPUTED_VALUE"""),"K0K 3K0")</f>
        <v>K0K 3K0</v>
      </c>
      <c r="E5434" s="3" t="str">
        <f>IFERROR(__xludf.DUMMYFUNCTION("""COMPUTED_VALUE"""),"John Keely")</f>
        <v>John Keely</v>
      </c>
      <c r="F5434" s="3" t="str">
        <f>IFERROR(__xludf.DUMMYFUNCTION("""COMPUTED_VALUE"""),"keluve@icloud.com")</f>
        <v>keluve@icloud.com</v>
      </c>
      <c r="G5434" s="3"/>
      <c r="H5434" s="3"/>
    </row>
    <row r="5435">
      <c r="A5435" s="2">
        <f>IFERROR(__xludf.DUMMYFUNCTION("""COMPUTED_VALUE"""),63602.0)</f>
        <v>63602</v>
      </c>
      <c r="B5435" s="3" t="str">
        <f>IFERROR(__xludf.DUMMYFUNCTION("""COMPUTED_VALUE"""),"155 WARD RD  ")</f>
        <v>155 WARD RD  </v>
      </c>
      <c r="C5435" s="3" t="str">
        <f>IFERROR(__xludf.DUMMYFUNCTION("""COMPUTED_VALUE"""),"WARKWORTH")</f>
        <v>WARKWORTH</v>
      </c>
      <c r="D5435" s="3" t="str">
        <f>IFERROR(__xludf.DUMMYFUNCTION("""COMPUTED_VALUE"""),"K0K 3K0")</f>
        <v>K0K 3K0</v>
      </c>
      <c r="E5435" s="3" t="str">
        <f>IFERROR(__xludf.DUMMYFUNCTION("""COMPUTED_VALUE"""),"charlie vickers ")</f>
        <v>charlie vickers </v>
      </c>
      <c r="F5435" s="3"/>
      <c r="G5435" s="3">
        <f>IFERROR(__xludf.DUMMYFUNCTION("""COMPUTED_VALUE"""),7.059243024E9)</f>
        <v>7059243024</v>
      </c>
      <c r="H5435" s="3"/>
    </row>
    <row r="5436">
      <c r="A5436" s="2">
        <f>IFERROR(__xludf.DUMMYFUNCTION("""COMPUTED_VALUE"""),63603.0)</f>
        <v>63603</v>
      </c>
      <c r="B5436" s="3" t="str">
        <f>IFERROR(__xludf.DUMMYFUNCTION("""COMPUTED_VALUE"""),"158 WARD RD  ")</f>
        <v>158 WARD RD  </v>
      </c>
      <c r="C5436" s="3" t="str">
        <f>IFERROR(__xludf.DUMMYFUNCTION("""COMPUTED_VALUE"""),"WARKWORTH")</f>
        <v>WARKWORTH</v>
      </c>
      <c r="D5436" s="3" t="str">
        <f>IFERROR(__xludf.DUMMYFUNCTION("""COMPUTED_VALUE"""),"K0K 3K0")</f>
        <v>K0K 3K0</v>
      </c>
      <c r="E5436" s="3" t="str">
        <f>IFERROR(__xludf.DUMMYFUNCTION("""COMPUTED_VALUE"""),"Diana Sebera")</f>
        <v>Diana Sebera</v>
      </c>
      <c r="F5436" s="3" t="str">
        <f>IFERROR(__xludf.DUMMYFUNCTION("""COMPUTED_VALUE"""),"dianadears@gmail.com")</f>
        <v>dianadears@gmail.com</v>
      </c>
      <c r="G5436" s="3"/>
      <c r="H5436" s="3"/>
    </row>
    <row r="5437">
      <c r="A5437" s="2">
        <f>IFERROR(__xludf.DUMMYFUNCTION("""COMPUTED_VALUE"""),63604.0)</f>
        <v>63604</v>
      </c>
      <c r="B5437" s="3" t="str">
        <f>IFERROR(__xludf.DUMMYFUNCTION("""COMPUTED_VALUE"""),"196 WARD RD  ")</f>
        <v>196 WARD RD  </v>
      </c>
      <c r="C5437" s="3" t="str">
        <f>IFERROR(__xludf.DUMMYFUNCTION("""COMPUTED_VALUE"""),"WARKWORTH")</f>
        <v>WARKWORTH</v>
      </c>
      <c r="D5437" s="3" t="str">
        <f>IFERROR(__xludf.DUMMYFUNCTION("""COMPUTED_VALUE"""),"K0K 3K0")</f>
        <v>K0K 3K0</v>
      </c>
      <c r="E5437" s="3"/>
      <c r="F5437" s="3"/>
      <c r="G5437" s="3"/>
      <c r="H5437" s="3"/>
    </row>
    <row r="5438">
      <c r="A5438" s="2">
        <f>IFERROR(__xludf.DUMMYFUNCTION("""COMPUTED_VALUE"""),63605.0)</f>
        <v>63605</v>
      </c>
      <c r="B5438" s="3" t="str">
        <f>IFERROR(__xludf.DUMMYFUNCTION("""COMPUTED_VALUE"""),"205 WARD RD  ")</f>
        <v>205 WARD RD  </v>
      </c>
      <c r="C5438" s="3" t="str">
        <f>IFERROR(__xludf.DUMMYFUNCTION("""COMPUTED_VALUE"""),"WARKWORTH")</f>
        <v>WARKWORTH</v>
      </c>
      <c r="D5438" s="3" t="str">
        <f>IFERROR(__xludf.DUMMYFUNCTION("""COMPUTED_VALUE"""),"K0K 3K0")</f>
        <v>K0K 3K0</v>
      </c>
      <c r="E5438" s="3" t="str">
        <f>IFERROR(__xludf.DUMMYFUNCTION("""COMPUTED_VALUE"""),"Stuart Johnston")</f>
        <v>Stuart Johnston</v>
      </c>
      <c r="F5438" s="3" t="str">
        <f>IFERROR(__xludf.DUMMYFUNCTION("""COMPUTED_VALUE"""),"rachel@noco.realty")</f>
        <v>rachel@noco.realty</v>
      </c>
      <c r="G5438" s="3"/>
      <c r="H5438" s="3"/>
    </row>
    <row r="5439">
      <c r="A5439" s="2">
        <f>IFERROR(__xludf.DUMMYFUNCTION("""COMPUTED_VALUE"""),62265.0)</f>
        <v>62265</v>
      </c>
      <c r="B5439" s="3" t="str">
        <f>IFERROR(__xludf.DUMMYFUNCTION("""COMPUTED_VALUE"""),"166 HONEY LINE  ")</f>
        <v>166 HONEY LINE  </v>
      </c>
      <c r="C5439" s="3" t="str">
        <f>IFERROR(__xludf.DUMMYFUNCTION("""COMPUTED_VALUE"""),"WARKWORTH")</f>
        <v>WARKWORTH</v>
      </c>
      <c r="D5439" s="3" t="str">
        <f>IFERROR(__xludf.DUMMYFUNCTION("""COMPUTED_VALUE"""),"K0K 3K0")</f>
        <v>K0K 3K0</v>
      </c>
      <c r="E5439" s="3"/>
      <c r="F5439" s="3"/>
      <c r="G5439" s="3"/>
      <c r="H5439" s="3"/>
    </row>
    <row r="5440">
      <c r="A5440" s="2">
        <f>IFERROR(__xludf.DUMMYFUNCTION("""COMPUTED_VALUE"""),62266.0)</f>
        <v>62266</v>
      </c>
      <c r="B5440" s="3" t="str">
        <f>IFERROR(__xludf.DUMMYFUNCTION("""COMPUTED_VALUE"""),"167 HONEY LINE  ")</f>
        <v>167 HONEY LINE  </v>
      </c>
      <c r="C5440" s="3" t="str">
        <f>IFERROR(__xludf.DUMMYFUNCTION("""COMPUTED_VALUE"""),"WARKWORTH")</f>
        <v>WARKWORTH</v>
      </c>
      <c r="D5440" s="3" t="str">
        <f>IFERROR(__xludf.DUMMYFUNCTION("""COMPUTED_VALUE"""),"K0K 3K0")</f>
        <v>K0K 3K0</v>
      </c>
      <c r="E5440" s="3" t="str">
        <f>IFERROR(__xludf.DUMMYFUNCTION("""COMPUTED_VALUE"""),"Margaret Coggins")</f>
        <v>Margaret Coggins</v>
      </c>
      <c r="F5440" s="3" t="str">
        <f>IFERROR(__xludf.DUMMYFUNCTION("""COMPUTED_VALUE"""),"margaret.coggins@outlook.com")</f>
        <v>margaret.coggins@outlook.com</v>
      </c>
      <c r="G5440" s="3"/>
      <c r="H5440" s="3"/>
    </row>
    <row r="5441">
      <c r="A5441" s="2">
        <f>IFERROR(__xludf.DUMMYFUNCTION("""COMPUTED_VALUE"""),62473.0)</f>
        <v>62473</v>
      </c>
      <c r="B5441" s="3" t="str">
        <f>IFERROR(__xludf.DUMMYFUNCTION("""COMPUTED_VALUE"""),"15 LOCKHART CRT  ")</f>
        <v>15 LOCKHART CRT  </v>
      </c>
      <c r="C5441" s="3" t="str">
        <f>IFERROR(__xludf.DUMMYFUNCTION("""COMPUTED_VALUE"""),"WARKWORTH")</f>
        <v>WARKWORTH</v>
      </c>
      <c r="D5441" s="3" t="str">
        <f>IFERROR(__xludf.DUMMYFUNCTION("""COMPUTED_VALUE"""),"K0K 3K0")</f>
        <v>K0K 3K0</v>
      </c>
      <c r="E5441" s="3" t="str">
        <f>IFERROR(__xludf.DUMMYFUNCTION("""COMPUTED_VALUE"""),"Walter and Janice Banit")</f>
        <v>Walter and Janice Banit</v>
      </c>
      <c r="F5441" s="3" t="str">
        <f>IFERROR(__xludf.DUMMYFUNCTION("""COMPUTED_VALUE"""),"wbanit@gmail.com")</f>
        <v>wbanit@gmail.com</v>
      </c>
      <c r="G5441" s="3"/>
      <c r="H5441" s="3"/>
    </row>
    <row r="5442">
      <c r="A5442" s="2">
        <f>IFERROR(__xludf.DUMMYFUNCTION("""COMPUTED_VALUE"""),62474.0)</f>
        <v>62474</v>
      </c>
      <c r="B5442" s="3" t="str">
        <f>IFERROR(__xludf.DUMMYFUNCTION("""COMPUTED_VALUE"""),"18 LOCKHART CRT  ")</f>
        <v>18 LOCKHART CRT  </v>
      </c>
      <c r="C5442" s="3" t="str">
        <f>IFERROR(__xludf.DUMMYFUNCTION("""COMPUTED_VALUE"""),"WARKWORTH")</f>
        <v>WARKWORTH</v>
      </c>
      <c r="D5442" s="3" t="str">
        <f>IFERROR(__xludf.DUMMYFUNCTION("""COMPUTED_VALUE"""),"K0K 3K0")</f>
        <v>K0K 3K0</v>
      </c>
      <c r="E5442" s="3"/>
      <c r="F5442" s="3"/>
      <c r="G5442" s="3"/>
      <c r="H5442" s="3"/>
    </row>
    <row r="5443">
      <c r="A5443" s="2">
        <f>IFERROR(__xludf.DUMMYFUNCTION("""COMPUTED_VALUE"""),62475.0)</f>
        <v>62475</v>
      </c>
      <c r="B5443" s="3" t="str">
        <f>IFERROR(__xludf.DUMMYFUNCTION("""COMPUTED_VALUE"""),"28 LOCKHART CRT  ")</f>
        <v>28 LOCKHART CRT  </v>
      </c>
      <c r="C5443" s="3" t="str">
        <f>IFERROR(__xludf.DUMMYFUNCTION("""COMPUTED_VALUE"""),"WARKWORTH")</f>
        <v>WARKWORTH</v>
      </c>
      <c r="D5443" s="3" t="str">
        <f>IFERROR(__xludf.DUMMYFUNCTION("""COMPUTED_VALUE"""),"K0K 3K0")</f>
        <v>K0K 3K0</v>
      </c>
      <c r="E5443" s="3"/>
      <c r="F5443" s="3"/>
      <c r="G5443" s="3"/>
      <c r="H5443" s="3"/>
    </row>
    <row r="5444">
      <c r="A5444" s="2">
        <f>IFERROR(__xludf.DUMMYFUNCTION("""COMPUTED_VALUE"""),62461.0)</f>
        <v>62461</v>
      </c>
      <c r="B5444" s="3" t="str">
        <f>IFERROR(__xludf.DUMMYFUNCTION("""COMPUTED_VALUE"""),"20 LANGFORD DR  ")</f>
        <v>20 LANGFORD DR  </v>
      </c>
      <c r="C5444" s="3" t="str">
        <f>IFERROR(__xludf.DUMMYFUNCTION("""COMPUTED_VALUE"""),"WARKWORTH")</f>
        <v>WARKWORTH</v>
      </c>
      <c r="D5444" s="3" t="str">
        <f>IFERROR(__xludf.DUMMYFUNCTION("""COMPUTED_VALUE"""),"K0K 3K0")</f>
        <v>K0K 3K0</v>
      </c>
      <c r="E5444" s="3" t="str">
        <f>IFERROR(__xludf.DUMMYFUNCTION("""COMPUTED_VALUE"""),"w.weston winston")</f>
        <v>w.weston winston</v>
      </c>
      <c r="F5444" s="3" t="str">
        <f>IFERROR(__xludf.DUMMYFUNCTION("""COMPUTED_VALUE"""),"windygladediane@gmail.com")</f>
        <v>windygladediane@gmail.com</v>
      </c>
      <c r="G5444" s="3">
        <f>IFERROR(__xludf.DUMMYFUNCTION("""COMPUTED_VALUE"""),7.059243521E9)</f>
        <v>7059243521</v>
      </c>
      <c r="H5444" s="3"/>
    </row>
    <row r="5445">
      <c r="A5445" s="2">
        <f>IFERROR(__xludf.DUMMYFUNCTION("""COMPUTED_VALUE"""),62462.0)</f>
        <v>62462</v>
      </c>
      <c r="B5445" s="3" t="str">
        <f>IFERROR(__xludf.DUMMYFUNCTION("""COMPUTED_VALUE"""),"70 LANGFORD DR  ")</f>
        <v>70 LANGFORD DR  </v>
      </c>
      <c r="C5445" s="3" t="str">
        <f>IFERROR(__xludf.DUMMYFUNCTION("""COMPUTED_VALUE"""),"WARKWORTH")</f>
        <v>WARKWORTH</v>
      </c>
      <c r="D5445" s="3" t="str">
        <f>IFERROR(__xludf.DUMMYFUNCTION("""COMPUTED_VALUE"""),"K0K 3K0")</f>
        <v>K0K 3K0</v>
      </c>
      <c r="E5445" s="3"/>
      <c r="F5445" s="3"/>
      <c r="G5445" s="3"/>
      <c r="H5445" s="3"/>
    </row>
    <row r="5446">
      <c r="A5446" s="2">
        <f>IFERROR(__xludf.DUMMYFUNCTION("""COMPUTED_VALUE"""),62463.0)</f>
        <v>62463</v>
      </c>
      <c r="B5446" s="3" t="str">
        <f>IFERROR(__xludf.DUMMYFUNCTION("""COMPUTED_VALUE"""),"94 LANGFORD DR  ")</f>
        <v>94 LANGFORD DR  </v>
      </c>
      <c r="C5446" s="3" t="str">
        <f>IFERROR(__xludf.DUMMYFUNCTION("""COMPUTED_VALUE"""),"WARKWORTH")</f>
        <v>WARKWORTH</v>
      </c>
      <c r="D5446" s="3" t="str">
        <f>IFERROR(__xludf.DUMMYFUNCTION("""COMPUTED_VALUE"""),"K0K 3K0")</f>
        <v>K0K 3K0</v>
      </c>
      <c r="E5446" s="3" t="str">
        <f>IFERROR(__xludf.DUMMYFUNCTION("""COMPUTED_VALUE"""),"Derek Ganes")</f>
        <v>Derek Ganes</v>
      </c>
      <c r="F5446" s="3" t="str">
        <f>IFERROR(__xludf.DUMMYFUNCTION("""COMPUTED_VALUE"""),"derek.ganes@gmail.com")</f>
        <v>derek.ganes@gmail.com</v>
      </c>
      <c r="G5446" s="3">
        <f>IFERROR(__xludf.DUMMYFUNCTION("""COMPUTED_VALUE"""),4.165797287E9)</f>
        <v>4165797287</v>
      </c>
      <c r="H5446" s="3"/>
    </row>
    <row r="5447">
      <c r="A5447" s="2">
        <f>IFERROR(__xludf.DUMMYFUNCTION("""COMPUTED_VALUE"""),62464.0)</f>
        <v>62464</v>
      </c>
      <c r="B5447" s="3" t="str">
        <f>IFERROR(__xludf.DUMMYFUNCTION("""COMPUTED_VALUE"""),"97 LANGFORD DR  ")</f>
        <v>97 LANGFORD DR  </v>
      </c>
      <c r="C5447" s="3" t="str">
        <f>IFERROR(__xludf.DUMMYFUNCTION("""COMPUTED_VALUE"""),"WARKWORTH")</f>
        <v>WARKWORTH</v>
      </c>
      <c r="D5447" s="3" t="str">
        <f>IFERROR(__xludf.DUMMYFUNCTION("""COMPUTED_VALUE"""),"K0K 3K0")</f>
        <v>K0K 3K0</v>
      </c>
      <c r="E5447" s="3" t="str">
        <f>IFERROR(__xludf.DUMMYFUNCTION("""COMPUTED_VALUE"""),"Steve MacDonald")</f>
        <v>Steve MacDonald</v>
      </c>
      <c r="F5447" s="3" t="str">
        <f>IFERROR(__xludf.DUMMYFUNCTION("""COMPUTED_VALUE"""),"stevemacdonald5@gmail.com")</f>
        <v>stevemacdonald5@gmail.com</v>
      </c>
      <c r="G5447" s="3">
        <f>IFERROR(__xludf.DUMMYFUNCTION("""COMPUTED_VALUE"""),4.162626401E9)</f>
        <v>4162626401</v>
      </c>
      <c r="H5447" s="3"/>
    </row>
    <row r="5448">
      <c r="A5448" s="2">
        <f>IFERROR(__xludf.DUMMYFUNCTION("""COMPUTED_VALUE"""),62465.0)</f>
        <v>62465</v>
      </c>
      <c r="B5448" s="3" t="str">
        <f>IFERROR(__xludf.DUMMYFUNCTION("""COMPUTED_VALUE"""),"101 LANGFORD DR  ")</f>
        <v>101 LANGFORD DR  </v>
      </c>
      <c r="C5448" s="3" t="str">
        <f>IFERROR(__xludf.DUMMYFUNCTION("""COMPUTED_VALUE"""),"WARKWORTH")</f>
        <v>WARKWORTH</v>
      </c>
      <c r="D5448" s="3" t="str">
        <f>IFERROR(__xludf.DUMMYFUNCTION("""COMPUTED_VALUE"""),"K0K 3K0")</f>
        <v>K0K 3K0</v>
      </c>
      <c r="E5448" s="3" t="str">
        <f>IFERROR(__xludf.DUMMYFUNCTION("""COMPUTED_VALUE"""),"Christopher Watson")</f>
        <v>Christopher Watson</v>
      </c>
      <c r="F5448" s="3" t="str">
        <f>IFERROR(__xludf.DUMMYFUNCTION("""COMPUTED_VALUE"""),"cjcwatson@hotmail.com")</f>
        <v>cjcwatson@hotmail.com</v>
      </c>
      <c r="G5448" s="3"/>
      <c r="H5448" s="3"/>
    </row>
    <row r="5449">
      <c r="A5449" s="2">
        <f>IFERROR(__xludf.DUMMYFUNCTION("""COMPUTED_VALUE"""),62466.0)</f>
        <v>62466</v>
      </c>
      <c r="B5449" s="3" t="str">
        <f>IFERROR(__xludf.DUMMYFUNCTION("""COMPUTED_VALUE"""),"188 LANGFORD DR  ")</f>
        <v>188 LANGFORD DR  </v>
      </c>
      <c r="C5449" s="3" t="str">
        <f>IFERROR(__xludf.DUMMYFUNCTION("""COMPUTED_VALUE"""),"WARKWORTH")</f>
        <v>WARKWORTH</v>
      </c>
      <c r="D5449" s="3" t="str">
        <f>IFERROR(__xludf.DUMMYFUNCTION("""COMPUTED_VALUE"""),"K0K 3K0")</f>
        <v>K0K 3K0</v>
      </c>
      <c r="E5449" s="3" t="str">
        <f>IFERROR(__xludf.DUMMYFUNCTION("""COMPUTED_VALUE"""),"derek and cort hymel")</f>
        <v>derek and cort hymel</v>
      </c>
      <c r="F5449" s="3" t="str">
        <f>IFERROR(__xludf.DUMMYFUNCTION("""COMPUTED_VALUE"""),"gocustomfit@gmail.com")</f>
        <v>gocustomfit@gmail.com</v>
      </c>
      <c r="G5449" s="3">
        <f>IFERROR(__xludf.DUMMYFUNCTION("""COMPUTED_VALUE"""),7.057619944E9)</f>
        <v>7057619944</v>
      </c>
      <c r="H5449" s="3">
        <f>IFERROR(__xludf.DUMMYFUNCTION("""COMPUTED_VALUE"""),7.059306294E9)</f>
        <v>7059306294</v>
      </c>
    </row>
    <row r="5450">
      <c r="A5450" s="2">
        <f>IFERROR(__xludf.DUMMYFUNCTION("""COMPUTED_VALUE"""),62467.0)</f>
        <v>62467</v>
      </c>
      <c r="B5450" s="3" t="str">
        <f>IFERROR(__xludf.DUMMYFUNCTION("""COMPUTED_VALUE"""),"211 LANGFORD DR  ")</f>
        <v>211 LANGFORD DR  </v>
      </c>
      <c r="C5450" s="3" t="str">
        <f>IFERROR(__xludf.DUMMYFUNCTION("""COMPUTED_VALUE"""),"WARKWORTH")</f>
        <v>WARKWORTH</v>
      </c>
      <c r="D5450" s="3" t="str">
        <f>IFERROR(__xludf.DUMMYFUNCTION("""COMPUTED_VALUE"""),"K0K 3K0")</f>
        <v>K0K 3K0</v>
      </c>
      <c r="E5450" s="3"/>
      <c r="F5450" s="3"/>
      <c r="G5450" s="3"/>
      <c r="H5450" s="3"/>
    </row>
    <row r="5451">
      <c r="A5451" s="2">
        <f>IFERROR(__xludf.DUMMYFUNCTION("""COMPUTED_VALUE"""),61928.0)</f>
        <v>61928</v>
      </c>
      <c r="B5451" s="3" t="str">
        <f>IFERROR(__xludf.DUMMYFUNCTION("""COMPUTED_VALUE"""),"462 GODOLPHIN RD  ")</f>
        <v>462 GODOLPHIN RD  </v>
      </c>
      <c r="C5451" s="3" t="str">
        <f>IFERROR(__xludf.DUMMYFUNCTION("""COMPUTED_VALUE"""),"WARKWORTH")</f>
        <v>WARKWORTH</v>
      </c>
      <c r="D5451" s="3" t="str">
        <f>IFERROR(__xludf.DUMMYFUNCTION("""COMPUTED_VALUE"""),"K0K 3K0")</f>
        <v>K0K 3K0</v>
      </c>
      <c r="E5451" s="3" t="str">
        <f>IFERROR(__xludf.DUMMYFUNCTION("""COMPUTED_VALUE"""),"melissa and nathan maraj ")</f>
        <v>melissa and nathan maraj </v>
      </c>
      <c r="F5451" s="3" t="str">
        <f>IFERROR(__xludf.DUMMYFUNCTION("""COMPUTED_VALUE"""),"nate1339@hotmail.com")</f>
        <v>nate1339@hotmail.com</v>
      </c>
      <c r="G5451" s="3">
        <f>IFERROR(__xludf.DUMMYFUNCTION("""COMPUTED_VALUE"""),2.892513253E9)</f>
        <v>2892513253</v>
      </c>
      <c r="H5451" s="3"/>
    </row>
    <row r="5452">
      <c r="A5452" s="2">
        <f>IFERROR(__xludf.DUMMYFUNCTION("""COMPUTED_VALUE"""),61929.0)</f>
        <v>61929</v>
      </c>
      <c r="B5452" s="3" t="str">
        <f>IFERROR(__xludf.DUMMYFUNCTION("""COMPUTED_VALUE"""),"473 GODOLPHIN RD  ")</f>
        <v>473 GODOLPHIN RD  </v>
      </c>
      <c r="C5452" s="3" t="str">
        <f>IFERROR(__xludf.DUMMYFUNCTION("""COMPUTED_VALUE"""),"WARKWORTH")</f>
        <v>WARKWORTH</v>
      </c>
      <c r="D5452" s="3" t="str">
        <f>IFERROR(__xludf.DUMMYFUNCTION("""COMPUTED_VALUE"""),"K0K 3K0")</f>
        <v>K0K 3K0</v>
      </c>
      <c r="E5452" s="3" t="str">
        <f>IFERROR(__xludf.DUMMYFUNCTION("""COMPUTED_VALUE"""),"patti eller ")</f>
        <v>patti eller </v>
      </c>
      <c r="F5452" s="3" t="str">
        <f>IFERROR(__xludf.DUMMYFUNCTION("""COMPUTED_VALUE"""),"pattimeller@gmail.com")</f>
        <v>pattimeller@gmail.com</v>
      </c>
      <c r="G5452" s="3">
        <f>IFERROR(__xludf.DUMMYFUNCTION("""COMPUTED_VALUE"""),7.059241911E9)</f>
        <v>7059241911</v>
      </c>
      <c r="H5452" s="3">
        <f>IFERROR(__xludf.DUMMYFUNCTION("""COMPUTED_VALUE"""),9.052440235E9)</f>
        <v>9052440235</v>
      </c>
    </row>
    <row r="5453">
      <c r="A5453" s="2">
        <f>IFERROR(__xludf.DUMMYFUNCTION("""COMPUTED_VALUE"""),61930.0)</f>
        <v>61930</v>
      </c>
      <c r="B5453" s="3" t="str">
        <f>IFERROR(__xludf.DUMMYFUNCTION("""COMPUTED_VALUE"""),"477 GODOLPHIN RD  ")</f>
        <v>477 GODOLPHIN RD  </v>
      </c>
      <c r="C5453" s="3" t="str">
        <f>IFERROR(__xludf.DUMMYFUNCTION("""COMPUTED_VALUE"""),"WARKWORTH")</f>
        <v>WARKWORTH</v>
      </c>
      <c r="D5453" s="3" t="str">
        <f>IFERROR(__xludf.DUMMYFUNCTION("""COMPUTED_VALUE"""),"K0K 3K0")</f>
        <v>K0K 3K0</v>
      </c>
      <c r="E5453" s="3" t="str">
        <f>IFERROR(__xludf.DUMMYFUNCTION("""COMPUTED_VALUE"""),"Michael &amp; Janice Elvery ")</f>
        <v>Michael &amp; Janice Elvery </v>
      </c>
      <c r="F5453" s="3" t="str">
        <f>IFERROR(__xludf.DUMMYFUNCTION("""COMPUTED_VALUE"""),"elverym@gmail.com")</f>
        <v>elverym@gmail.com</v>
      </c>
      <c r="G5453" s="3"/>
      <c r="H5453" s="3"/>
    </row>
    <row r="5454">
      <c r="A5454" s="2">
        <f>IFERROR(__xludf.DUMMYFUNCTION("""COMPUTED_VALUE"""),61931.0)</f>
        <v>61931</v>
      </c>
      <c r="B5454" s="3" t="str">
        <f>IFERROR(__xludf.DUMMYFUNCTION("""COMPUTED_VALUE"""),"547 GODOLPHIN RD  ")</f>
        <v>547 GODOLPHIN RD  </v>
      </c>
      <c r="C5454" s="3" t="str">
        <f>IFERROR(__xludf.DUMMYFUNCTION("""COMPUTED_VALUE"""),"WARKWORTH")</f>
        <v>WARKWORTH</v>
      </c>
      <c r="D5454" s="3" t="str">
        <f>IFERROR(__xludf.DUMMYFUNCTION("""COMPUTED_VALUE"""),"K0K 3K0")</f>
        <v>K0K 3K0</v>
      </c>
      <c r="E5454" s="3" t="str">
        <f>IFERROR(__xludf.DUMMYFUNCTION("""COMPUTED_VALUE"""),"murray kirkland")</f>
        <v>murray kirkland</v>
      </c>
      <c r="F5454" s="3" t="str">
        <f>IFERROR(__xludf.DUMMYFUNCTION("""COMPUTED_VALUE"""),"kirklandmechanical@gmail.com")</f>
        <v>kirklandmechanical@gmail.com</v>
      </c>
      <c r="G5454" s="3">
        <f>IFERROR(__xludf.DUMMYFUNCTION("""COMPUTED_VALUE"""),7.059243219E9)</f>
        <v>7059243219</v>
      </c>
      <c r="H5454" s="3">
        <f>IFERROR(__xludf.DUMMYFUNCTION("""COMPUTED_VALUE"""),7.053132334E9)</f>
        <v>7053132334</v>
      </c>
    </row>
    <row r="5455">
      <c r="A5455" s="2">
        <f>IFERROR(__xludf.DUMMYFUNCTION("""COMPUTED_VALUE"""),61932.0)</f>
        <v>61932</v>
      </c>
      <c r="B5455" s="3" t="str">
        <f>IFERROR(__xludf.DUMMYFUNCTION("""COMPUTED_VALUE"""),"548 GODOLPHIN RD  ")</f>
        <v>548 GODOLPHIN RD  </v>
      </c>
      <c r="C5455" s="3" t="str">
        <f>IFERROR(__xludf.DUMMYFUNCTION("""COMPUTED_VALUE"""),"WARKWORTH")</f>
        <v>WARKWORTH</v>
      </c>
      <c r="D5455" s="3" t="str">
        <f>IFERROR(__xludf.DUMMYFUNCTION("""COMPUTED_VALUE"""),"K0K 3K0")</f>
        <v>K0K 3K0</v>
      </c>
      <c r="E5455" s="3" t="str">
        <f>IFERROR(__xludf.DUMMYFUNCTION("""COMPUTED_VALUE"""),"emilio ojeda ")</f>
        <v>emilio ojeda </v>
      </c>
      <c r="F5455" s="3" t="str">
        <f>IFERROR(__xludf.DUMMYFUNCTION("""COMPUTED_VALUE"""),"jeojeda@gmail.com")</f>
        <v>jeojeda@gmail.com</v>
      </c>
      <c r="G5455" s="3">
        <f>IFERROR(__xludf.DUMMYFUNCTION("""COMPUTED_VALUE"""),9.053757047E9)</f>
        <v>9053757047</v>
      </c>
      <c r="H5455" s="3"/>
    </row>
    <row r="5456">
      <c r="A5456" s="2">
        <f>IFERROR(__xludf.DUMMYFUNCTION("""COMPUTED_VALUE"""),62930.0)</f>
        <v>62930</v>
      </c>
      <c r="B5456" s="3" t="str">
        <f>IFERROR(__xludf.DUMMYFUNCTION("""COMPUTED_VALUE"""),"60 PERCY LANE  ")</f>
        <v>60 PERCY LANE  </v>
      </c>
      <c r="C5456" s="3" t="str">
        <f>IFERROR(__xludf.DUMMYFUNCTION("""COMPUTED_VALUE"""),"CAMPBELLFORD")</f>
        <v>CAMPBELLFORD</v>
      </c>
      <c r="D5456" s="3" t="str">
        <f>IFERROR(__xludf.DUMMYFUNCTION("""COMPUTED_VALUE"""),"K0L 1L0")</f>
        <v>K0L 1L0</v>
      </c>
      <c r="E5456" s="3" t="str">
        <f>IFERROR(__xludf.DUMMYFUNCTION("""COMPUTED_VALUE"""),"William Barber")</f>
        <v>William Barber</v>
      </c>
      <c r="F5456" s="3" t="str">
        <f>IFERROR(__xludf.DUMMYFUNCTION("""COMPUTED_VALUE"""),"jenna.will.barber@gmail.com")</f>
        <v>jenna.will.barber@gmail.com</v>
      </c>
      <c r="G5456" s="3">
        <f>IFERROR(__xludf.DUMMYFUNCTION("""COMPUTED_VALUE"""),9.059226228E9)</f>
        <v>9059226228</v>
      </c>
      <c r="H5456" s="3"/>
    </row>
    <row r="5457">
      <c r="A5457" s="2">
        <f>IFERROR(__xludf.DUMMYFUNCTION("""COMPUTED_VALUE"""),62931.0)</f>
        <v>62931</v>
      </c>
      <c r="B5457" s="3" t="str">
        <f>IFERROR(__xludf.DUMMYFUNCTION("""COMPUTED_VALUE"""),"114 PERCY LANE  ")</f>
        <v>114 PERCY LANE  </v>
      </c>
      <c r="C5457" s="3" t="str">
        <f>IFERROR(__xludf.DUMMYFUNCTION("""COMPUTED_VALUE"""),"CAMPBELLFORD")</f>
        <v>CAMPBELLFORD</v>
      </c>
      <c r="D5457" s="3" t="str">
        <f>IFERROR(__xludf.DUMMYFUNCTION("""COMPUTED_VALUE"""),"K0L 1L0")</f>
        <v>K0L 1L0</v>
      </c>
      <c r="E5457" s="3" t="str">
        <f>IFERROR(__xludf.DUMMYFUNCTION("""COMPUTED_VALUE"""),"Shelley Peterson")</f>
        <v>Shelley Peterson</v>
      </c>
      <c r="F5457" s="3" t="str">
        <f>IFERROR(__xludf.DUMMYFUNCTION("""COMPUTED_VALUE"""),"shelleypeterson99@outlook.com")</f>
        <v>shelleypeterson99@outlook.com</v>
      </c>
      <c r="G5457" s="3">
        <f>IFERROR(__xludf.DUMMYFUNCTION("""COMPUTED_VALUE"""),7.056329793E9)</f>
        <v>7056329793</v>
      </c>
      <c r="H5457" s="3">
        <f>IFERROR(__xludf.DUMMYFUNCTION("""COMPUTED_VALUE"""),7.056536619E9)</f>
        <v>7056536619</v>
      </c>
    </row>
    <row r="5458">
      <c r="A5458" s="2">
        <f>IFERROR(__xludf.DUMMYFUNCTION("""COMPUTED_VALUE"""),60146.0)</f>
        <v>60146</v>
      </c>
      <c r="B5458" s="3" t="str">
        <f>IFERROR(__xludf.DUMMYFUNCTION("""COMPUTED_VALUE"""),"377 5TH LINE W")</f>
        <v>377 5TH LINE W</v>
      </c>
      <c r="C5458" s="3" t="str">
        <f>IFERROR(__xludf.DUMMYFUNCTION("""COMPUTED_VALUE"""),"CAMPBELLFORD")</f>
        <v>CAMPBELLFORD</v>
      </c>
      <c r="D5458" s="3" t="str">
        <f>IFERROR(__xludf.DUMMYFUNCTION("""COMPUTED_VALUE"""),"K0L 1L0")</f>
        <v>K0L 1L0</v>
      </c>
      <c r="E5458" s="3" t="str">
        <f>IFERROR(__xludf.DUMMYFUNCTION("""COMPUTED_VALUE"""),"Christopher Peters")</f>
        <v>Christopher Peters</v>
      </c>
      <c r="F5458" s="3" t="str">
        <f>IFERROR(__xludf.DUMMYFUNCTION("""COMPUTED_VALUE"""),"tag85xc@gmail.com")</f>
        <v>tag85xc@gmail.com</v>
      </c>
      <c r="G5458" s="3"/>
      <c r="H5458" s="3"/>
    </row>
    <row r="5459">
      <c r="A5459" s="2">
        <f>IFERROR(__xludf.DUMMYFUNCTION("""COMPUTED_VALUE"""),60147.0)</f>
        <v>60147</v>
      </c>
      <c r="B5459" s="3" t="str">
        <f>IFERROR(__xludf.DUMMYFUNCTION("""COMPUTED_VALUE"""),"400 5TH LINE W")</f>
        <v>400 5TH LINE W</v>
      </c>
      <c r="C5459" s="3" t="str">
        <f>IFERROR(__xludf.DUMMYFUNCTION("""COMPUTED_VALUE"""),"CAMPBELLFORD")</f>
        <v>CAMPBELLFORD</v>
      </c>
      <c r="D5459" s="3" t="str">
        <f>IFERROR(__xludf.DUMMYFUNCTION("""COMPUTED_VALUE"""),"K0L 1L0")</f>
        <v>K0L 1L0</v>
      </c>
      <c r="E5459" s="3" t="str">
        <f>IFERROR(__xludf.DUMMYFUNCTION("""COMPUTED_VALUE"""),"frank kucman ")</f>
        <v>frank kucman </v>
      </c>
      <c r="F5459" s="3" t="str">
        <f>IFERROR(__xludf.DUMMYFUNCTION("""COMPUTED_VALUE"""),"aaroonandfrank@gmail.com")</f>
        <v>aaroonandfrank@gmail.com</v>
      </c>
      <c r="G5459" s="3">
        <f>IFERROR(__xludf.DUMMYFUNCTION("""COMPUTED_VALUE"""),7.056533093E9)</f>
        <v>7056533093</v>
      </c>
      <c r="H5459" s="3"/>
    </row>
    <row r="5460">
      <c r="A5460" s="2">
        <f>IFERROR(__xludf.DUMMYFUNCTION("""COMPUTED_VALUE"""),60148.0)</f>
        <v>60148</v>
      </c>
      <c r="B5460" s="3" t="str">
        <f>IFERROR(__xludf.DUMMYFUNCTION("""COMPUTED_VALUE"""),"451 5TH LINE W")</f>
        <v>451 5TH LINE W</v>
      </c>
      <c r="C5460" s="3" t="str">
        <f>IFERROR(__xludf.DUMMYFUNCTION("""COMPUTED_VALUE"""),"CAMPBELLFORD")</f>
        <v>CAMPBELLFORD</v>
      </c>
      <c r="D5460" s="3" t="str">
        <f>IFERROR(__xludf.DUMMYFUNCTION("""COMPUTED_VALUE"""),"K0L 1L0")</f>
        <v>K0L 1L0</v>
      </c>
      <c r="E5460" s="3" t="str">
        <f>IFERROR(__xludf.DUMMYFUNCTION("""COMPUTED_VALUE"""),"victor muscat")</f>
        <v>victor muscat</v>
      </c>
      <c r="F5460" s="3" t="str">
        <f>IFERROR(__xludf.DUMMYFUNCTION("""COMPUTED_VALUE"""),"kifinty27@bell.net")</f>
        <v>kifinty27@bell.net</v>
      </c>
      <c r="G5460" s="3">
        <f>IFERROR(__xludf.DUMMYFUNCTION("""COMPUTED_VALUE"""),7.056321684E9)</f>
        <v>7056321684</v>
      </c>
      <c r="H5460" s="3"/>
    </row>
    <row r="5461">
      <c r="A5461" s="2">
        <f>IFERROR(__xludf.DUMMYFUNCTION("""COMPUTED_VALUE"""),60149.0)</f>
        <v>60149</v>
      </c>
      <c r="B5461" s="3" t="str">
        <f>IFERROR(__xludf.DUMMYFUNCTION("""COMPUTED_VALUE"""),"527 5TH LINE W")</f>
        <v>527 5TH LINE W</v>
      </c>
      <c r="C5461" s="3" t="str">
        <f>IFERROR(__xludf.DUMMYFUNCTION("""COMPUTED_VALUE"""),"CAMPBELLFORD")</f>
        <v>CAMPBELLFORD</v>
      </c>
      <c r="D5461" s="3" t="str">
        <f>IFERROR(__xludf.DUMMYFUNCTION("""COMPUTED_VALUE"""),"K0L 1L0")</f>
        <v>K0L 1L0</v>
      </c>
      <c r="E5461" s="3"/>
      <c r="F5461" s="3"/>
      <c r="G5461" s="3"/>
      <c r="H5461" s="3"/>
    </row>
    <row r="5462">
      <c r="A5462" s="2">
        <f>IFERROR(__xludf.DUMMYFUNCTION("""COMPUTED_VALUE"""),60150.0)</f>
        <v>60150</v>
      </c>
      <c r="B5462" s="3" t="str">
        <f>IFERROR(__xludf.DUMMYFUNCTION("""COMPUTED_VALUE"""),"530 5TH LINE W")</f>
        <v>530 5TH LINE W</v>
      </c>
      <c r="C5462" s="3" t="str">
        <f>IFERROR(__xludf.DUMMYFUNCTION("""COMPUTED_VALUE"""),"CAMPBELLFORD")</f>
        <v>CAMPBELLFORD</v>
      </c>
      <c r="D5462" s="3" t="str">
        <f>IFERROR(__xludf.DUMMYFUNCTION("""COMPUTED_VALUE"""),"K0L 1L0")</f>
        <v>K0L 1L0</v>
      </c>
      <c r="E5462" s="3" t="str">
        <f>IFERROR(__xludf.DUMMYFUNCTION("""COMPUTED_VALUE"""),"David Prince")</f>
        <v>David Prince</v>
      </c>
      <c r="F5462" s="3" t="str">
        <f>IFERROR(__xludf.DUMMYFUNCTION("""COMPUTED_VALUE"""),"dp.lakeshore@gmail.comm")</f>
        <v>dp.lakeshore@gmail.comm</v>
      </c>
      <c r="G5462" s="3">
        <f>IFERROR(__xludf.DUMMYFUNCTION("""COMPUTED_VALUE"""),9.05252438E9)</f>
        <v>9052524380</v>
      </c>
      <c r="H5462" s="3">
        <f>IFERROR(__xludf.DUMMYFUNCTION("""COMPUTED_VALUE"""),9.052522004E9)</f>
        <v>9052522004</v>
      </c>
    </row>
    <row r="5463">
      <c r="A5463" s="2">
        <f>IFERROR(__xludf.DUMMYFUNCTION("""COMPUTED_VALUE"""),60151.0)</f>
        <v>60151</v>
      </c>
      <c r="B5463" s="3" t="str">
        <f>IFERROR(__xludf.DUMMYFUNCTION("""COMPUTED_VALUE"""),"689 5TH LINE W")</f>
        <v>689 5TH LINE W</v>
      </c>
      <c r="C5463" s="3" t="str">
        <f>IFERROR(__xludf.DUMMYFUNCTION("""COMPUTED_VALUE"""),"CAMPBELLFORD")</f>
        <v>CAMPBELLFORD</v>
      </c>
      <c r="D5463" s="3" t="str">
        <f>IFERROR(__xludf.DUMMYFUNCTION("""COMPUTED_VALUE"""),"K0L 1L0")</f>
        <v>K0L 1L0</v>
      </c>
      <c r="E5463" s="3"/>
      <c r="F5463" s="3"/>
      <c r="G5463" s="3"/>
      <c r="H5463" s="3"/>
    </row>
    <row r="5464">
      <c r="A5464" s="2">
        <f>IFERROR(__xludf.DUMMYFUNCTION("""COMPUTED_VALUE"""),60152.0)</f>
        <v>60152</v>
      </c>
      <c r="B5464" s="3" t="str">
        <f>IFERROR(__xludf.DUMMYFUNCTION("""COMPUTED_VALUE"""),"705 5TH LINE W")</f>
        <v>705 5TH LINE W</v>
      </c>
      <c r="C5464" s="3" t="str">
        <f>IFERROR(__xludf.DUMMYFUNCTION("""COMPUTED_VALUE"""),"CAMPBELLFORD")</f>
        <v>CAMPBELLFORD</v>
      </c>
      <c r="D5464" s="3" t="str">
        <f>IFERROR(__xludf.DUMMYFUNCTION("""COMPUTED_VALUE"""),"K0L 1L0")</f>
        <v>K0L 1L0</v>
      </c>
      <c r="E5464" s="3"/>
      <c r="F5464" s="3"/>
      <c r="G5464" s="3"/>
      <c r="H5464" s="3"/>
    </row>
    <row r="5465">
      <c r="A5465" s="2">
        <f>IFERROR(__xludf.DUMMYFUNCTION("""COMPUTED_VALUE"""),60153.0)</f>
        <v>60153</v>
      </c>
      <c r="B5465" s="3" t="str">
        <f>IFERROR(__xludf.DUMMYFUNCTION("""COMPUTED_VALUE"""),"730 5TH LINE W")</f>
        <v>730 5TH LINE W</v>
      </c>
      <c r="C5465" s="3" t="str">
        <f>IFERROR(__xludf.DUMMYFUNCTION("""COMPUTED_VALUE"""),"CAMPBELLFORD")</f>
        <v>CAMPBELLFORD</v>
      </c>
      <c r="D5465" s="3" t="str">
        <f>IFERROR(__xludf.DUMMYFUNCTION("""COMPUTED_VALUE"""),"K0L 1L0")</f>
        <v>K0L 1L0</v>
      </c>
      <c r="E5465" s="3"/>
      <c r="F5465" s="3"/>
      <c r="G5465" s="3"/>
      <c r="H5465" s="3"/>
    </row>
    <row r="5466">
      <c r="A5466" s="2">
        <f>IFERROR(__xludf.DUMMYFUNCTION("""COMPUTED_VALUE"""),60154.0)</f>
        <v>60154</v>
      </c>
      <c r="B5466" s="3" t="str">
        <f>IFERROR(__xludf.DUMMYFUNCTION("""COMPUTED_VALUE"""),"765 5TH LINE W")</f>
        <v>765 5TH LINE W</v>
      </c>
      <c r="C5466" s="3" t="str">
        <f>IFERROR(__xludf.DUMMYFUNCTION("""COMPUTED_VALUE"""),"CAMPBELLFORD")</f>
        <v>CAMPBELLFORD</v>
      </c>
      <c r="D5466" s="3" t="str">
        <f>IFERROR(__xludf.DUMMYFUNCTION("""COMPUTED_VALUE"""),"K0L 1L0")</f>
        <v>K0L 1L0</v>
      </c>
      <c r="E5466" s="3"/>
      <c r="F5466" s="3"/>
      <c r="G5466" s="3"/>
      <c r="H5466" s="3"/>
    </row>
    <row r="5467">
      <c r="A5467" s="2">
        <f>IFERROR(__xludf.DUMMYFUNCTION("""COMPUTED_VALUE"""),60155.0)</f>
        <v>60155</v>
      </c>
      <c r="B5467" s="3" t="str">
        <f>IFERROR(__xludf.DUMMYFUNCTION("""COMPUTED_VALUE"""),"799 5TH LINE W")</f>
        <v>799 5TH LINE W</v>
      </c>
      <c r="C5467" s="3" t="str">
        <f>IFERROR(__xludf.DUMMYFUNCTION("""COMPUTED_VALUE"""),"CAMPBELLFORD")</f>
        <v>CAMPBELLFORD</v>
      </c>
      <c r="D5467" s="3" t="str">
        <f>IFERROR(__xludf.DUMMYFUNCTION("""COMPUTED_VALUE"""),"K0L 1L0")</f>
        <v>K0L 1L0</v>
      </c>
      <c r="E5467" s="3" t="str">
        <f>IFERROR(__xludf.DUMMYFUNCTION("""COMPUTED_VALUE"""),"Erik Brinkman")</f>
        <v>Erik Brinkman</v>
      </c>
      <c r="F5467" s="3" t="str">
        <f>IFERROR(__xludf.DUMMYFUNCTION("""COMPUTED_VALUE"""),"erik@bodyx.ca")</f>
        <v>erik@bodyx.ca</v>
      </c>
      <c r="G5467" s="3"/>
      <c r="H5467" s="3"/>
    </row>
    <row r="5468">
      <c r="A5468" s="2">
        <f>IFERROR(__xludf.DUMMYFUNCTION("""COMPUTED_VALUE"""),60156.0)</f>
        <v>60156</v>
      </c>
      <c r="B5468" s="3" t="str">
        <f>IFERROR(__xludf.DUMMYFUNCTION("""COMPUTED_VALUE"""),"801 5TH LINE W")</f>
        <v>801 5TH LINE W</v>
      </c>
      <c r="C5468" s="3" t="str">
        <f>IFERROR(__xludf.DUMMYFUNCTION("""COMPUTED_VALUE"""),"CAMPBELLFORD")</f>
        <v>CAMPBELLFORD</v>
      </c>
      <c r="D5468" s="3" t="str">
        <f>IFERROR(__xludf.DUMMYFUNCTION("""COMPUTED_VALUE"""),"K0L 1L0")</f>
        <v>K0L 1L0</v>
      </c>
      <c r="E5468" s="3"/>
      <c r="F5468" s="3"/>
      <c r="G5468" s="3"/>
      <c r="H5468" s="3"/>
    </row>
    <row r="5469">
      <c r="A5469" s="2">
        <f>IFERROR(__xludf.DUMMYFUNCTION("""COMPUTED_VALUE"""),60157.0)</f>
        <v>60157</v>
      </c>
      <c r="B5469" s="3" t="str">
        <f>IFERROR(__xludf.DUMMYFUNCTION("""COMPUTED_VALUE"""),"240 6TH LINE W")</f>
        <v>240 6TH LINE W</v>
      </c>
      <c r="C5469" s="3" t="str">
        <f>IFERROR(__xludf.DUMMYFUNCTION("""COMPUTED_VALUE"""),"CAMPBELLFORD")</f>
        <v>CAMPBELLFORD</v>
      </c>
      <c r="D5469" s="3" t="str">
        <f>IFERROR(__xludf.DUMMYFUNCTION("""COMPUTED_VALUE"""),"K0L 1L0")</f>
        <v>K0L 1L0</v>
      </c>
      <c r="E5469" s="3" t="str">
        <f>IFERROR(__xludf.DUMMYFUNCTION("""COMPUTED_VALUE"""),"robert towns")</f>
        <v>robert towns</v>
      </c>
      <c r="F5469" s="3" t="str">
        <f>IFERROR(__xludf.DUMMYFUNCTION("""COMPUTED_VALUE"""),"roberttowns0658@hotmail.com")</f>
        <v>roberttowns0658@hotmail.com</v>
      </c>
      <c r="G5469" s="3">
        <f>IFERROR(__xludf.DUMMYFUNCTION("""COMPUTED_VALUE"""),7.05653647E9)</f>
        <v>7056536470</v>
      </c>
      <c r="H5469" s="3"/>
    </row>
    <row r="5470">
      <c r="A5470" s="2">
        <f>IFERROR(__xludf.DUMMYFUNCTION("""COMPUTED_VALUE"""),60158.0)</f>
        <v>60158</v>
      </c>
      <c r="B5470" s="3" t="str">
        <f>IFERROR(__xludf.DUMMYFUNCTION("""COMPUTED_VALUE"""),"242 6TH LINE W")</f>
        <v>242 6TH LINE W</v>
      </c>
      <c r="C5470" s="3" t="str">
        <f>IFERROR(__xludf.DUMMYFUNCTION("""COMPUTED_VALUE"""),"CAMPBELLFORD")</f>
        <v>CAMPBELLFORD</v>
      </c>
      <c r="D5470" s="3" t="str">
        <f>IFERROR(__xludf.DUMMYFUNCTION("""COMPUTED_VALUE"""),"K0L 1L0")</f>
        <v>K0L 1L0</v>
      </c>
      <c r="E5470" s="3" t="str">
        <f>IFERROR(__xludf.DUMMYFUNCTION("""COMPUTED_VALUE"""),"STEVE CAM &amp; MARION CAM")</f>
        <v>STEVE CAM &amp; MARION CAM</v>
      </c>
      <c r="F5470" s="3" t="str">
        <f>IFERROR(__xludf.DUMMYFUNCTION("""COMPUTED_VALUE"""),"marioncam@icloud.com")</f>
        <v>marioncam@icloud.com</v>
      </c>
      <c r="G5470" s="3"/>
      <c r="H5470" s="3"/>
    </row>
    <row r="5471">
      <c r="A5471" s="2">
        <f>IFERROR(__xludf.DUMMYFUNCTION("""COMPUTED_VALUE"""),60159.0)</f>
        <v>60159</v>
      </c>
      <c r="B5471" s="3" t="str">
        <f>IFERROR(__xludf.DUMMYFUNCTION("""COMPUTED_VALUE"""),"244 6TH LINE W")</f>
        <v>244 6TH LINE W</v>
      </c>
      <c r="C5471" s="3" t="str">
        <f>IFERROR(__xludf.DUMMYFUNCTION("""COMPUTED_VALUE"""),"CAMPBELLFORD")</f>
        <v>CAMPBELLFORD</v>
      </c>
      <c r="D5471" s="3" t="str">
        <f>IFERROR(__xludf.DUMMYFUNCTION("""COMPUTED_VALUE"""),"K0L 1L0")</f>
        <v>K0L 1L0</v>
      </c>
      <c r="E5471" s="3"/>
      <c r="F5471" s="3"/>
      <c r="G5471" s="3"/>
      <c r="H5471" s="3"/>
    </row>
    <row r="5472">
      <c r="A5472" s="2">
        <f>IFERROR(__xludf.DUMMYFUNCTION("""COMPUTED_VALUE"""),60160.0)</f>
        <v>60160</v>
      </c>
      <c r="B5472" s="3" t="str">
        <f>IFERROR(__xludf.DUMMYFUNCTION("""COMPUTED_VALUE"""),"245 6TH LINE W")</f>
        <v>245 6TH LINE W</v>
      </c>
      <c r="C5472" s="3" t="str">
        <f>IFERROR(__xludf.DUMMYFUNCTION("""COMPUTED_VALUE"""),"CAMPBELLFORD")</f>
        <v>CAMPBELLFORD</v>
      </c>
      <c r="D5472" s="3" t="str">
        <f>IFERROR(__xludf.DUMMYFUNCTION("""COMPUTED_VALUE"""),"K0L 1L0")</f>
        <v>K0L 1L0</v>
      </c>
      <c r="E5472" s="3" t="str">
        <f>IFERROR(__xludf.DUMMYFUNCTION("""COMPUTED_VALUE"""),"TERRY B GRAHAM")</f>
        <v>TERRY B GRAHAM</v>
      </c>
      <c r="F5472" s="3" t="str">
        <f>IFERROR(__xludf.DUMMYFUNCTION("""COMPUTED_VALUE"""),"michelegraham1@hotmail.com")</f>
        <v>michelegraham1@hotmail.com</v>
      </c>
      <c r="G5472" s="3"/>
      <c r="H5472" s="3"/>
    </row>
    <row r="5473">
      <c r="A5473" s="2">
        <f>IFERROR(__xludf.DUMMYFUNCTION("""COMPUTED_VALUE"""),60161.0)</f>
        <v>60161</v>
      </c>
      <c r="B5473" s="3" t="str">
        <f>IFERROR(__xludf.DUMMYFUNCTION("""COMPUTED_VALUE"""),"247 6TH LINE W")</f>
        <v>247 6TH LINE W</v>
      </c>
      <c r="C5473" s="3" t="str">
        <f>IFERROR(__xludf.DUMMYFUNCTION("""COMPUTED_VALUE"""),"CAMPBELLFORD")</f>
        <v>CAMPBELLFORD</v>
      </c>
      <c r="D5473" s="3" t="str">
        <f>IFERROR(__xludf.DUMMYFUNCTION("""COMPUTED_VALUE"""),"K0L 1L0")</f>
        <v>K0L 1L0</v>
      </c>
      <c r="E5473" s="3" t="str">
        <f>IFERROR(__xludf.DUMMYFUNCTION("""COMPUTED_VALUE"""),"lenore whitney ")</f>
        <v>lenore whitney </v>
      </c>
      <c r="F5473" s="3" t="str">
        <f>IFERROR(__xludf.DUMMYFUNCTION("""COMPUTED_VALUE"""),"ldw964@gmail.com")</f>
        <v>ldw964@gmail.com</v>
      </c>
      <c r="G5473" s="3">
        <f>IFERROR(__xludf.DUMMYFUNCTION("""COMPUTED_VALUE"""),7.056531203E9)</f>
        <v>7056531203</v>
      </c>
      <c r="H5473" s="3"/>
    </row>
    <row r="5474">
      <c r="A5474" s="2">
        <f>IFERROR(__xludf.DUMMYFUNCTION("""COMPUTED_VALUE"""),60162.0)</f>
        <v>60162</v>
      </c>
      <c r="B5474" s="3" t="str">
        <f>IFERROR(__xludf.DUMMYFUNCTION("""COMPUTED_VALUE"""),"251 6TH LINE W")</f>
        <v>251 6TH LINE W</v>
      </c>
      <c r="C5474" s="3" t="str">
        <f>IFERROR(__xludf.DUMMYFUNCTION("""COMPUTED_VALUE"""),"CAMPBELLFORD")</f>
        <v>CAMPBELLFORD</v>
      </c>
      <c r="D5474" s="3" t="str">
        <f>IFERROR(__xludf.DUMMYFUNCTION("""COMPUTED_VALUE"""),"K0L 1L0")</f>
        <v>K0L 1L0</v>
      </c>
      <c r="E5474" s="3" t="str">
        <f>IFERROR(__xludf.DUMMYFUNCTION("""COMPUTED_VALUE"""),"george burges ")</f>
        <v>george burges </v>
      </c>
      <c r="F5474" s="3"/>
      <c r="G5474" s="3">
        <f>IFERROR(__xludf.DUMMYFUNCTION("""COMPUTED_VALUE"""),7.056535539E9)</f>
        <v>7056535539</v>
      </c>
      <c r="H5474" s="3"/>
    </row>
    <row r="5475">
      <c r="A5475" s="2">
        <f>IFERROR(__xludf.DUMMYFUNCTION("""COMPUTED_VALUE"""),60163.0)</f>
        <v>60163</v>
      </c>
      <c r="B5475" s="3" t="str">
        <f>IFERROR(__xludf.DUMMYFUNCTION("""COMPUTED_VALUE"""),"260 6TH LINE W")</f>
        <v>260 6TH LINE W</v>
      </c>
      <c r="C5475" s="3" t="str">
        <f>IFERROR(__xludf.DUMMYFUNCTION("""COMPUTED_VALUE"""),"CAMPBELLFORD")</f>
        <v>CAMPBELLFORD</v>
      </c>
      <c r="D5475" s="3" t="str">
        <f>IFERROR(__xludf.DUMMYFUNCTION("""COMPUTED_VALUE"""),"K0L 1L0")</f>
        <v>K0L 1L0</v>
      </c>
      <c r="E5475" s="3"/>
      <c r="F5475" s="3"/>
      <c r="G5475" s="3"/>
      <c r="H5475" s="3"/>
    </row>
    <row r="5476">
      <c r="A5476" s="2">
        <f>IFERROR(__xludf.DUMMYFUNCTION("""COMPUTED_VALUE"""),60164.0)</f>
        <v>60164</v>
      </c>
      <c r="B5476" s="3" t="str">
        <f>IFERROR(__xludf.DUMMYFUNCTION("""COMPUTED_VALUE"""),"271 6TH LINE W")</f>
        <v>271 6TH LINE W</v>
      </c>
      <c r="C5476" s="3" t="str">
        <f>IFERROR(__xludf.DUMMYFUNCTION("""COMPUTED_VALUE"""),"CAMPBELLFORD")</f>
        <v>CAMPBELLFORD</v>
      </c>
      <c r="D5476" s="3" t="str">
        <f>IFERROR(__xludf.DUMMYFUNCTION("""COMPUTED_VALUE"""),"K0L 1L0")</f>
        <v>K0L 1L0</v>
      </c>
      <c r="E5476" s="3"/>
      <c r="F5476" s="3"/>
      <c r="G5476" s="3"/>
      <c r="H5476" s="3"/>
    </row>
    <row r="5477">
      <c r="A5477" s="2">
        <f>IFERROR(__xludf.DUMMYFUNCTION("""COMPUTED_VALUE"""),60165.0)</f>
        <v>60165</v>
      </c>
      <c r="B5477" s="3" t="str">
        <f>IFERROR(__xludf.DUMMYFUNCTION("""COMPUTED_VALUE"""),"281 6TH LINE W")</f>
        <v>281 6TH LINE W</v>
      </c>
      <c r="C5477" s="3" t="str">
        <f>IFERROR(__xludf.DUMMYFUNCTION("""COMPUTED_VALUE"""),"CAMPBELLFORD")</f>
        <v>CAMPBELLFORD</v>
      </c>
      <c r="D5477" s="3" t="str">
        <f>IFERROR(__xludf.DUMMYFUNCTION("""COMPUTED_VALUE"""),"K0L 1L0")</f>
        <v>K0L 1L0</v>
      </c>
      <c r="E5477" s="3"/>
      <c r="F5477" s="3"/>
      <c r="G5477" s="3"/>
      <c r="H5477" s="3"/>
    </row>
    <row r="5478">
      <c r="A5478" s="2">
        <f>IFERROR(__xludf.DUMMYFUNCTION("""COMPUTED_VALUE"""),60166.0)</f>
        <v>60166</v>
      </c>
      <c r="B5478" s="3" t="str">
        <f>IFERROR(__xludf.DUMMYFUNCTION("""COMPUTED_VALUE"""),"291 6TH LINE W")</f>
        <v>291 6TH LINE W</v>
      </c>
      <c r="C5478" s="3" t="str">
        <f>IFERROR(__xludf.DUMMYFUNCTION("""COMPUTED_VALUE"""),"CAMPBELLFORD")</f>
        <v>CAMPBELLFORD</v>
      </c>
      <c r="D5478" s="3" t="str">
        <f>IFERROR(__xludf.DUMMYFUNCTION("""COMPUTED_VALUE"""),"K0L 1L0")</f>
        <v>K0L 1L0</v>
      </c>
      <c r="E5478" s="3"/>
      <c r="F5478" s="3"/>
      <c r="G5478" s="3"/>
      <c r="H5478" s="3"/>
    </row>
    <row r="5479">
      <c r="A5479" s="2">
        <f>IFERROR(__xludf.DUMMYFUNCTION("""COMPUTED_VALUE"""),60167.0)</f>
        <v>60167</v>
      </c>
      <c r="B5479" s="3" t="str">
        <f>IFERROR(__xludf.DUMMYFUNCTION("""COMPUTED_VALUE"""),"301 6TH LINE W")</f>
        <v>301 6TH LINE W</v>
      </c>
      <c r="C5479" s="3"/>
      <c r="D5479" s="3"/>
      <c r="E5479" s="3"/>
      <c r="F5479" s="3"/>
      <c r="G5479" s="3"/>
      <c r="H5479" s="3"/>
    </row>
    <row r="5480">
      <c r="A5480" s="2">
        <f>IFERROR(__xludf.DUMMYFUNCTION("""COMPUTED_VALUE"""),60168.0)</f>
        <v>60168</v>
      </c>
      <c r="B5480" s="3" t="str">
        <f>IFERROR(__xludf.DUMMYFUNCTION("""COMPUTED_VALUE"""),"321 6TH LINE W")</f>
        <v>321 6TH LINE W</v>
      </c>
      <c r="C5480" s="3" t="str">
        <f>IFERROR(__xludf.DUMMYFUNCTION("""COMPUTED_VALUE"""),"CAMPBELLFORD")</f>
        <v>CAMPBELLFORD</v>
      </c>
      <c r="D5480" s="3" t="str">
        <f>IFERROR(__xludf.DUMMYFUNCTION("""COMPUTED_VALUE"""),"K0L 1L0")</f>
        <v>K0L 1L0</v>
      </c>
      <c r="E5480" s="3"/>
      <c r="F5480" s="3"/>
      <c r="G5480" s="3"/>
      <c r="H5480" s="3"/>
    </row>
    <row r="5481">
      <c r="A5481" s="2">
        <f>IFERROR(__xludf.DUMMYFUNCTION("""COMPUTED_VALUE"""),60169.0)</f>
        <v>60169</v>
      </c>
      <c r="B5481" s="3" t="str">
        <f>IFERROR(__xludf.DUMMYFUNCTION("""COMPUTED_VALUE"""),"354 6TH LINE W")</f>
        <v>354 6TH LINE W</v>
      </c>
      <c r="C5481" s="3" t="str">
        <f>IFERROR(__xludf.DUMMYFUNCTION("""COMPUTED_VALUE"""),"CAMPBELLFORD")</f>
        <v>CAMPBELLFORD</v>
      </c>
      <c r="D5481" s="3" t="str">
        <f>IFERROR(__xludf.DUMMYFUNCTION("""COMPUTED_VALUE"""),"K0L 1L0")</f>
        <v>K0L 1L0</v>
      </c>
      <c r="E5481" s="3" t="str">
        <f>IFERROR(__xludf.DUMMYFUNCTION("""COMPUTED_VALUE"""),"susan bowman ")</f>
        <v>susan bowman </v>
      </c>
      <c r="F5481" s="3" t="str">
        <f>IFERROR(__xludf.DUMMYFUNCTION("""COMPUTED_VALUE"""),"susan.bowman247@gmail.com ")</f>
        <v>susan.bowman247@gmail.com </v>
      </c>
      <c r="G5481" s="3">
        <f>IFERROR(__xludf.DUMMYFUNCTION("""COMPUTED_VALUE"""),2.89829062E9)</f>
        <v>2898290620</v>
      </c>
      <c r="H5481" s="3"/>
    </row>
    <row r="5482">
      <c r="A5482" s="2">
        <f>IFERROR(__xludf.DUMMYFUNCTION("""COMPUTED_VALUE"""),60170.0)</f>
        <v>60170</v>
      </c>
      <c r="B5482" s="3" t="str">
        <f>IFERROR(__xludf.DUMMYFUNCTION("""COMPUTED_VALUE"""),"400 6TH LINE W")</f>
        <v>400 6TH LINE W</v>
      </c>
      <c r="C5482" s="3" t="str">
        <f>IFERROR(__xludf.DUMMYFUNCTION("""COMPUTED_VALUE"""),"CAMPBELLFORD")</f>
        <v>CAMPBELLFORD</v>
      </c>
      <c r="D5482" s="3" t="str">
        <f>IFERROR(__xludf.DUMMYFUNCTION("""COMPUTED_VALUE"""),"K0L 1L0")</f>
        <v>K0L 1L0</v>
      </c>
      <c r="E5482" s="3" t="str">
        <f>IFERROR(__xludf.DUMMYFUNCTION("""COMPUTED_VALUE"""),"MARLENE REID AND RICHARD COKE")</f>
        <v>MARLENE REID AND RICHARD COKE</v>
      </c>
      <c r="F5482" s="3" t="str">
        <f>IFERROR(__xludf.DUMMYFUNCTION("""COMPUTED_VALUE"""),"marlenereid@hotmail.com")</f>
        <v>marlenereid@hotmail.com</v>
      </c>
      <c r="G5482" s="3"/>
      <c r="H5482" s="3"/>
    </row>
    <row r="5483">
      <c r="A5483" s="2">
        <f>IFERROR(__xludf.DUMMYFUNCTION("""COMPUTED_VALUE"""),60171.0)</f>
        <v>60171</v>
      </c>
      <c r="B5483" s="3" t="str">
        <f>IFERROR(__xludf.DUMMYFUNCTION("""COMPUTED_VALUE"""),"416 6TH LINE W")</f>
        <v>416 6TH LINE W</v>
      </c>
      <c r="C5483" s="3" t="str">
        <f>IFERROR(__xludf.DUMMYFUNCTION("""COMPUTED_VALUE"""),"CAMPBELLFORD")</f>
        <v>CAMPBELLFORD</v>
      </c>
      <c r="D5483" s="3" t="str">
        <f>IFERROR(__xludf.DUMMYFUNCTION("""COMPUTED_VALUE"""),"K0L 1L0")</f>
        <v>K0L 1L0</v>
      </c>
      <c r="E5483" s="3"/>
      <c r="F5483" s="3"/>
      <c r="G5483" s="3"/>
      <c r="H5483" s="3"/>
    </row>
    <row r="5484">
      <c r="A5484" s="2">
        <f>IFERROR(__xludf.DUMMYFUNCTION("""COMPUTED_VALUE"""),60172.0)</f>
        <v>60172</v>
      </c>
      <c r="B5484" s="3" t="str">
        <f>IFERROR(__xludf.DUMMYFUNCTION("""COMPUTED_VALUE"""),"447 6TH LINE W")</f>
        <v>447 6TH LINE W</v>
      </c>
      <c r="C5484" s="3" t="str">
        <f>IFERROR(__xludf.DUMMYFUNCTION("""COMPUTED_VALUE"""),"CAMPBELLFORD")</f>
        <v>CAMPBELLFORD</v>
      </c>
      <c r="D5484" s="3" t="str">
        <f>IFERROR(__xludf.DUMMYFUNCTION("""COMPUTED_VALUE"""),"K0L 1L0")</f>
        <v>K0L 1L0</v>
      </c>
      <c r="E5484" s="3"/>
      <c r="F5484" s="3"/>
      <c r="G5484" s="3"/>
      <c r="H5484" s="3"/>
    </row>
    <row r="5485">
      <c r="A5485" s="2">
        <f>IFERROR(__xludf.DUMMYFUNCTION("""COMPUTED_VALUE"""),60173.0)</f>
        <v>60173</v>
      </c>
      <c r="B5485" s="3" t="str">
        <f>IFERROR(__xludf.DUMMYFUNCTION("""COMPUTED_VALUE"""),"479 6TH LINE W")</f>
        <v>479 6TH LINE W</v>
      </c>
      <c r="C5485" s="3" t="str">
        <f>IFERROR(__xludf.DUMMYFUNCTION("""COMPUTED_VALUE"""),"CAMPBELLFORD")</f>
        <v>CAMPBELLFORD</v>
      </c>
      <c r="D5485" s="3" t="str">
        <f>IFERROR(__xludf.DUMMYFUNCTION("""COMPUTED_VALUE"""),"K0L 1L0")</f>
        <v>K0L 1L0</v>
      </c>
      <c r="E5485" s="3" t="str">
        <f>IFERROR(__xludf.DUMMYFUNCTION("""COMPUTED_VALUE"""),"tim holt")</f>
        <v>tim holt</v>
      </c>
      <c r="F5485" s="3" t="str">
        <f>IFERROR(__xludf.DUMMYFUNCTION("""COMPUTED_VALUE"""),"tim_debbieholt@nexicom.net")</f>
        <v>tim_debbieholt@nexicom.net</v>
      </c>
      <c r="G5485" s="3">
        <f>IFERROR(__xludf.DUMMYFUNCTION("""COMPUTED_VALUE"""),7.055599059E9)</f>
        <v>7055599059</v>
      </c>
      <c r="H5485" s="3"/>
    </row>
    <row r="5486">
      <c r="A5486" s="2">
        <f>IFERROR(__xludf.DUMMYFUNCTION("""COMPUTED_VALUE"""),60174.0)</f>
        <v>60174</v>
      </c>
      <c r="B5486" s="3" t="str">
        <f>IFERROR(__xludf.DUMMYFUNCTION("""COMPUTED_VALUE"""),"493 6TH LINE W")</f>
        <v>493 6TH LINE W</v>
      </c>
      <c r="C5486" s="3" t="str">
        <f>IFERROR(__xludf.DUMMYFUNCTION("""COMPUTED_VALUE"""),"CAMPBELLFORD")</f>
        <v>CAMPBELLFORD</v>
      </c>
      <c r="D5486" s="3" t="str">
        <f>IFERROR(__xludf.DUMMYFUNCTION("""COMPUTED_VALUE"""),"K0L 1L0")</f>
        <v>K0L 1L0</v>
      </c>
      <c r="E5486" s="3"/>
      <c r="F5486" s="3"/>
      <c r="G5486" s="3"/>
      <c r="H5486" s="3"/>
    </row>
    <row r="5487">
      <c r="A5487" s="2">
        <f>IFERROR(__xludf.DUMMYFUNCTION("""COMPUTED_VALUE"""),60175.0)</f>
        <v>60175</v>
      </c>
      <c r="B5487" s="3" t="str">
        <f>IFERROR(__xludf.DUMMYFUNCTION("""COMPUTED_VALUE"""),"498 6TH LINE W")</f>
        <v>498 6TH LINE W</v>
      </c>
      <c r="C5487" s="3" t="str">
        <f>IFERROR(__xludf.DUMMYFUNCTION("""COMPUTED_VALUE"""),"CAMPBELLFORD")</f>
        <v>CAMPBELLFORD</v>
      </c>
      <c r="D5487" s="3" t="str">
        <f>IFERROR(__xludf.DUMMYFUNCTION("""COMPUTED_VALUE"""),"K0L 1L0")</f>
        <v>K0L 1L0</v>
      </c>
      <c r="E5487" s="3" t="str">
        <f>IFERROR(__xludf.DUMMYFUNCTION("""COMPUTED_VALUE"""),"pat kelleher ")</f>
        <v>pat kelleher </v>
      </c>
      <c r="F5487" s="3" t="str">
        <f>IFERROR(__xludf.DUMMYFUNCTION("""COMPUTED_VALUE"""),"pat.kelleher@hotmail.com")</f>
        <v>pat.kelleher@hotmail.com</v>
      </c>
      <c r="G5487" s="3">
        <f>IFERROR(__xludf.DUMMYFUNCTION("""COMPUTED_VALUE"""),7.050654065E9)</f>
        <v>7050654065</v>
      </c>
      <c r="H5487" s="3"/>
    </row>
    <row r="5488">
      <c r="A5488" s="2">
        <f>IFERROR(__xludf.DUMMYFUNCTION("""COMPUTED_VALUE"""),60176.0)</f>
        <v>60176</v>
      </c>
      <c r="B5488" s="3" t="str">
        <f>IFERROR(__xludf.DUMMYFUNCTION("""COMPUTED_VALUE"""),"507 6TH LINE W")</f>
        <v>507 6TH LINE W</v>
      </c>
      <c r="C5488" s="3" t="str">
        <f>IFERROR(__xludf.DUMMYFUNCTION("""COMPUTED_VALUE"""),"CAMPBELLFORD")</f>
        <v>CAMPBELLFORD</v>
      </c>
      <c r="D5488" s="3" t="str">
        <f>IFERROR(__xludf.DUMMYFUNCTION("""COMPUTED_VALUE"""),"K0L 1L0")</f>
        <v>K0L 1L0</v>
      </c>
      <c r="E5488" s="3" t="str">
        <f>IFERROR(__xludf.DUMMYFUNCTION("""COMPUTED_VALUE"""),"Marisa Gadziola ")</f>
        <v>Marisa Gadziola </v>
      </c>
      <c r="F5488" s="3" t="str">
        <f>IFERROR(__xludf.DUMMYFUNCTION("""COMPUTED_VALUE"""),"marisagadziola@outlook.com")</f>
        <v>marisagadziola@outlook.com</v>
      </c>
      <c r="G5488" s="3"/>
      <c r="H5488" s="3"/>
    </row>
    <row r="5489">
      <c r="A5489" s="2">
        <f>IFERROR(__xludf.DUMMYFUNCTION("""COMPUTED_VALUE"""),60177.0)</f>
        <v>60177</v>
      </c>
      <c r="B5489" s="3" t="str">
        <f>IFERROR(__xludf.DUMMYFUNCTION("""COMPUTED_VALUE"""),"533 6TH LINE W")</f>
        <v>533 6TH LINE W</v>
      </c>
      <c r="C5489" s="3" t="str">
        <f>IFERROR(__xludf.DUMMYFUNCTION("""COMPUTED_VALUE"""),"CAMPBELLFORD")</f>
        <v>CAMPBELLFORD</v>
      </c>
      <c r="D5489" s="3" t="str">
        <f>IFERROR(__xludf.DUMMYFUNCTION("""COMPUTED_VALUE"""),"K0L 1L0")</f>
        <v>K0L 1L0</v>
      </c>
      <c r="E5489" s="3"/>
      <c r="F5489" s="3"/>
      <c r="G5489" s="3"/>
      <c r="H5489" s="3"/>
    </row>
    <row r="5490">
      <c r="A5490" s="2">
        <f>IFERROR(__xludf.DUMMYFUNCTION("""COMPUTED_VALUE"""),60178.0)</f>
        <v>60178</v>
      </c>
      <c r="B5490" s="3" t="str">
        <f>IFERROR(__xludf.DUMMYFUNCTION("""COMPUTED_VALUE"""),"537 6TH LINE W")</f>
        <v>537 6TH LINE W</v>
      </c>
      <c r="C5490" s="3" t="str">
        <f>IFERROR(__xludf.DUMMYFUNCTION("""COMPUTED_VALUE"""),"CAMPBELLFORD")</f>
        <v>CAMPBELLFORD</v>
      </c>
      <c r="D5490" s="3" t="str">
        <f>IFERROR(__xludf.DUMMYFUNCTION("""COMPUTED_VALUE"""),"K0L 1L0")</f>
        <v>K0L 1L0</v>
      </c>
      <c r="E5490" s="3"/>
      <c r="F5490" s="3"/>
      <c r="G5490" s="3"/>
      <c r="H5490" s="3"/>
    </row>
    <row r="5491">
      <c r="A5491" s="2">
        <f>IFERROR(__xludf.DUMMYFUNCTION("""COMPUTED_VALUE"""),60179.0)</f>
        <v>60179</v>
      </c>
      <c r="B5491" s="3" t="str">
        <f>IFERROR(__xludf.DUMMYFUNCTION("""COMPUTED_VALUE"""),"538 6TH LINE W")</f>
        <v>538 6TH LINE W</v>
      </c>
      <c r="C5491" s="3" t="str">
        <f>IFERROR(__xludf.DUMMYFUNCTION("""COMPUTED_VALUE"""),"CAMPBELLFORD")</f>
        <v>CAMPBELLFORD</v>
      </c>
      <c r="D5491" s="3" t="str">
        <f>IFERROR(__xludf.DUMMYFUNCTION("""COMPUTED_VALUE"""),"K0L 1L0")</f>
        <v>K0L 1L0</v>
      </c>
      <c r="E5491" s="3" t="str">
        <f>IFERROR(__xludf.DUMMYFUNCTION("""COMPUTED_VALUE"""),"maria moore")</f>
        <v>maria moore</v>
      </c>
      <c r="F5491" s="3"/>
      <c r="G5491" s="3">
        <f>IFERROR(__xludf.DUMMYFUNCTION("""COMPUTED_VALUE"""),7.056535747E9)</f>
        <v>7056535747</v>
      </c>
      <c r="H5491" s="3"/>
    </row>
    <row r="5492">
      <c r="A5492" s="2">
        <f>IFERROR(__xludf.DUMMYFUNCTION("""COMPUTED_VALUE"""),60180.0)</f>
        <v>60180</v>
      </c>
      <c r="B5492" s="3" t="str">
        <f>IFERROR(__xludf.DUMMYFUNCTION("""COMPUTED_VALUE"""),"541 6TH LINE W")</f>
        <v>541 6TH LINE W</v>
      </c>
      <c r="C5492" s="3" t="str">
        <f>IFERROR(__xludf.DUMMYFUNCTION("""COMPUTED_VALUE"""),"CAMPBELLFORD")</f>
        <v>CAMPBELLFORD</v>
      </c>
      <c r="D5492" s="3" t="str">
        <f>IFERROR(__xludf.DUMMYFUNCTION("""COMPUTED_VALUE"""),"K0L 1L0")</f>
        <v>K0L 1L0</v>
      </c>
      <c r="E5492" s="3"/>
      <c r="F5492" s="3"/>
      <c r="G5492" s="3"/>
      <c r="H5492" s="3"/>
    </row>
    <row r="5493">
      <c r="A5493" s="2">
        <f>IFERROR(__xludf.DUMMYFUNCTION("""COMPUTED_VALUE"""),60181.0)</f>
        <v>60181</v>
      </c>
      <c r="B5493" s="3" t="str">
        <f>IFERROR(__xludf.DUMMYFUNCTION("""COMPUTED_VALUE"""),"587 6TH LINE W")</f>
        <v>587 6TH LINE W</v>
      </c>
      <c r="C5493" s="3" t="str">
        <f>IFERROR(__xludf.DUMMYFUNCTION("""COMPUTED_VALUE"""),"CAMPBELLFORD")</f>
        <v>CAMPBELLFORD</v>
      </c>
      <c r="D5493" s="3" t="str">
        <f>IFERROR(__xludf.DUMMYFUNCTION("""COMPUTED_VALUE"""),"K0L 1L0")</f>
        <v>K0L 1L0</v>
      </c>
      <c r="E5493" s="3" t="str">
        <f>IFERROR(__xludf.DUMMYFUNCTION("""COMPUTED_VALUE"""),"Patrice Bosse")</f>
        <v>Patrice Bosse</v>
      </c>
      <c r="F5493" s="3" t="str">
        <f>IFERROR(__xludf.DUMMYFUNCTION("""COMPUTED_VALUE"""),"patbossy26@gmail.com")</f>
        <v>patbossy26@gmail.com</v>
      </c>
      <c r="G5493" s="3">
        <f>IFERROR(__xludf.DUMMYFUNCTION("""COMPUTED_VALUE"""),9.054356029E9)</f>
        <v>9054356029</v>
      </c>
      <c r="H5493" s="3"/>
    </row>
    <row r="5494">
      <c r="A5494" s="2">
        <f>IFERROR(__xludf.DUMMYFUNCTION("""COMPUTED_VALUE"""),60182.0)</f>
        <v>60182</v>
      </c>
      <c r="B5494" s="3" t="str">
        <f>IFERROR(__xludf.DUMMYFUNCTION("""COMPUTED_VALUE"""),"599 6TH LINE W")</f>
        <v>599 6TH LINE W</v>
      </c>
      <c r="C5494" s="3" t="str">
        <f>IFERROR(__xludf.DUMMYFUNCTION("""COMPUTED_VALUE"""),"CAMPBELLFORD")</f>
        <v>CAMPBELLFORD</v>
      </c>
      <c r="D5494" s="3" t="str">
        <f>IFERROR(__xludf.DUMMYFUNCTION("""COMPUTED_VALUE"""),"K0L 1L0")</f>
        <v>K0L 1L0</v>
      </c>
      <c r="E5494" s="3"/>
      <c r="F5494" s="3"/>
      <c r="G5494" s="3"/>
      <c r="H5494" s="3"/>
    </row>
    <row r="5495">
      <c r="A5495" s="2">
        <f>IFERROR(__xludf.DUMMYFUNCTION("""COMPUTED_VALUE"""),60183.0)</f>
        <v>60183</v>
      </c>
      <c r="B5495" s="3" t="str">
        <f>IFERROR(__xludf.DUMMYFUNCTION("""COMPUTED_VALUE"""),"617 6TH LINE W")</f>
        <v>617 6TH LINE W</v>
      </c>
      <c r="C5495" s="3" t="str">
        <f>IFERROR(__xludf.DUMMYFUNCTION("""COMPUTED_VALUE"""),"CAMPBELLFORD")</f>
        <v>CAMPBELLFORD</v>
      </c>
      <c r="D5495" s="3" t="str">
        <f>IFERROR(__xludf.DUMMYFUNCTION("""COMPUTED_VALUE"""),"K0L 1L0")</f>
        <v>K0L 1L0</v>
      </c>
      <c r="E5495" s="3" t="str">
        <f>IFERROR(__xludf.DUMMYFUNCTION("""COMPUTED_VALUE"""),"Douglas Haskell")</f>
        <v>Douglas Haskell</v>
      </c>
      <c r="F5495" s="3" t="str">
        <f>IFERROR(__xludf.DUMMYFUNCTION("""COMPUTED_VALUE"""),"pdshaskell@gmail.com")</f>
        <v>pdshaskell@gmail.com</v>
      </c>
      <c r="G5495" s="3">
        <f>IFERROR(__xludf.DUMMYFUNCTION("""COMPUTED_VALUE"""),7.058726715E9)</f>
        <v>7058726715</v>
      </c>
      <c r="H5495" s="3">
        <f>IFERROR(__xludf.DUMMYFUNCTION("""COMPUTED_VALUE"""),7.056329114E9)</f>
        <v>7056329114</v>
      </c>
    </row>
    <row r="5496">
      <c r="A5496" s="2">
        <f>IFERROR(__xludf.DUMMYFUNCTION("""COMPUTED_VALUE"""),62647.0)</f>
        <v>62647</v>
      </c>
      <c r="B5496" s="3" t="str">
        <f>IFERROR(__xludf.DUMMYFUNCTION("""COMPUTED_VALUE"""),"228 MEYERS ISLAND DR")</f>
        <v>228 MEYERS ISLAND DR</v>
      </c>
      <c r="C5496" s="3" t="str">
        <f>IFERROR(__xludf.DUMMYFUNCTION("""COMPUTED_VALUE"""),"CAMPBELLFORD")</f>
        <v>CAMPBELLFORD</v>
      </c>
      <c r="D5496" s="3" t="str">
        <f>IFERROR(__xludf.DUMMYFUNCTION("""COMPUTED_VALUE"""),"K0L 1L0")</f>
        <v>K0L 1L0</v>
      </c>
      <c r="E5496" s="3"/>
      <c r="F5496" s="3"/>
      <c r="G5496" s="3"/>
      <c r="H5496" s="3"/>
    </row>
    <row r="5497">
      <c r="A5497" s="2">
        <f>IFERROR(__xludf.DUMMYFUNCTION("""COMPUTED_VALUE"""),62140.0)</f>
        <v>62140</v>
      </c>
      <c r="B5497" s="3" t="str">
        <f>IFERROR(__xludf.DUMMYFUNCTION("""COMPUTED_VALUE"""),"232 HILLSIDE DR  ")</f>
        <v>232 HILLSIDE DR  </v>
      </c>
      <c r="C5497" s="3" t="str">
        <f>IFERROR(__xludf.DUMMYFUNCTION("""COMPUTED_VALUE"""),"CAMPBELLFORD")</f>
        <v>CAMPBELLFORD</v>
      </c>
      <c r="D5497" s="3" t="str">
        <f>IFERROR(__xludf.DUMMYFUNCTION("""COMPUTED_VALUE"""),"K0L 1L0")</f>
        <v>K0L 1L0</v>
      </c>
      <c r="E5497" s="3" t="str">
        <f>IFERROR(__xludf.DUMMYFUNCTION("""COMPUTED_VALUE"""),"Robert Pozaic")</f>
        <v>Robert Pozaic</v>
      </c>
      <c r="F5497" s="3" t="str">
        <f>IFERROR(__xludf.DUMMYFUNCTION("""COMPUTED_VALUE"""),"sattysat@hotmail.com")</f>
        <v>sattysat@hotmail.com</v>
      </c>
      <c r="G5497" s="3"/>
      <c r="H5497" s="3"/>
    </row>
    <row r="5498">
      <c r="A5498" s="2">
        <f>IFERROR(__xludf.DUMMYFUNCTION("""COMPUTED_VALUE"""),62141.0)</f>
        <v>62141</v>
      </c>
      <c r="B5498" s="3" t="str">
        <f>IFERROR(__xludf.DUMMYFUNCTION("""COMPUTED_VALUE"""),"233 HILLSIDE DR  ")</f>
        <v>233 HILLSIDE DR  </v>
      </c>
      <c r="C5498" s="3" t="str">
        <f>IFERROR(__xludf.DUMMYFUNCTION("""COMPUTED_VALUE"""),"CAMPBELLFORD")</f>
        <v>CAMPBELLFORD</v>
      </c>
      <c r="D5498" s="3" t="str">
        <f>IFERROR(__xludf.DUMMYFUNCTION("""COMPUTED_VALUE"""),"K0L 1L0")</f>
        <v>K0L 1L0</v>
      </c>
      <c r="E5498" s="3"/>
      <c r="F5498" s="3"/>
      <c r="G5498" s="3"/>
      <c r="H5498" s="3"/>
    </row>
    <row r="5499">
      <c r="A5499" s="2">
        <f>IFERROR(__xludf.DUMMYFUNCTION("""COMPUTED_VALUE"""),62142.0)</f>
        <v>62142</v>
      </c>
      <c r="B5499" s="3" t="str">
        <f>IFERROR(__xludf.DUMMYFUNCTION("""COMPUTED_VALUE"""),"234 HILLSIDE DR  ")</f>
        <v>234 HILLSIDE DR  </v>
      </c>
      <c r="C5499" s="3" t="str">
        <f>IFERROR(__xludf.DUMMYFUNCTION("""COMPUTED_VALUE"""),"CAMPBELLFORD")</f>
        <v>CAMPBELLFORD</v>
      </c>
      <c r="D5499" s="3" t="str">
        <f>IFERROR(__xludf.DUMMYFUNCTION("""COMPUTED_VALUE"""),"K0L 1L0")</f>
        <v>K0L 1L0</v>
      </c>
      <c r="E5499" s="3" t="str">
        <f>IFERROR(__xludf.DUMMYFUNCTION("""COMPUTED_VALUE"""),"robert wihawlon")</f>
        <v>robert wihawlon</v>
      </c>
      <c r="F5499" s="3" t="str">
        <f>IFERROR(__xludf.DUMMYFUNCTION("""COMPUTED_VALUE"""),"karentupling827@gmail.com")</f>
        <v>karentupling827@gmail.com</v>
      </c>
      <c r="G5499" s="3">
        <f>IFERROR(__xludf.DUMMYFUNCTION("""COMPUTED_VALUE"""),4.162007861E9)</f>
        <v>4162007861</v>
      </c>
      <c r="H5499" s="3"/>
    </row>
    <row r="5500">
      <c r="A5500" s="2">
        <f>IFERROR(__xludf.DUMMYFUNCTION("""COMPUTED_VALUE"""),62143.0)</f>
        <v>62143</v>
      </c>
      <c r="B5500" s="3" t="str">
        <f>IFERROR(__xludf.DUMMYFUNCTION("""COMPUTED_VALUE"""),"235 HILLSIDE DR  ")</f>
        <v>235 HILLSIDE DR  </v>
      </c>
      <c r="C5500" s="3" t="str">
        <f>IFERROR(__xludf.DUMMYFUNCTION("""COMPUTED_VALUE"""),"CAMPBELLFORD")</f>
        <v>CAMPBELLFORD</v>
      </c>
      <c r="D5500" s="3" t="str">
        <f>IFERROR(__xludf.DUMMYFUNCTION("""COMPUTED_VALUE"""),"K0L 1L0")</f>
        <v>K0L 1L0</v>
      </c>
      <c r="E5500" s="3" t="str">
        <f>IFERROR(__xludf.DUMMYFUNCTION("""COMPUTED_VALUE"""),"qingyu liao ")</f>
        <v>qingyu liao </v>
      </c>
      <c r="F5500" s="3" t="str">
        <f>IFERROR(__xludf.DUMMYFUNCTION("""COMPUTED_VALUE"""),"smecliao@yahoo.ca")</f>
        <v>smecliao@yahoo.ca</v>
      </c>
      <c r="G5500" s="3">
        <f>IFERROR(__xludf.DUMMYFUNCTION("""COMPUTED_VALUE"""),9.054931632E9)</f>
        <v>9054931632</v>
      </c>
      <c r="H5500" s="3"/>
    </row>
    <row r="5501">
      <c r="A5501" s="2">
        <f>IFERROR(__xludf.DUMMYFUNCTION("""COMPUTED_VALUE"""),62144.0)</f>
        <v>62144</v>
      </c>
      <c r="B5501" s="3" t="str">
        <f>IFERROR(__xludf.DUMMYFUNCTION("""COMPUTED_VALUE"""),"237 HILLSIDE DR  ")</f>
        <v>237 HILLSIDE DR  </v>
      </c>
      <c r="C5501" s="3" t="str">
        <f>IFERROR(__xludf.DUMMYFUNCTION("""COMPUTED_VALUE"""),"CAMPBELLFORD")</f>
        <v>CAMPBELLFORD</v>
      </c>
      <c r="D5501" s="3" t="str">
        <f>IFERROR(__xludf.DUMMYFUNCTION("""COMPUTED_VALUE"""),"K0L 1L0")</f>
        <v>K0L 1L0</v>
      </c>
      <c r="E5501" s="3" t="str">
        <f>IFERROR(__xludf.DUMMYFUNCTION("""COMPUTED_VALUE"""),"johnson chin ting ")</f>
        <v>johnson chin ting </v>
      </c>
      <c r="F5501" s="3" t="str">
        <f>IFERROR(__xludf.DUMMYFUNCTION("""COMPUTED_VALUE"""),"jchingting@gmail.com")</f>
        <v>jchingting@gmail.com</v>
      </c>
      <c r="G5501" s="3">
        <f>IFERROR(__xludf.DUMMYFUNCTION("""COMPUTED_VALUE"""),6.4722976E9)</f>
        <v>6472297600</v>
      </c>
      <c r="H5501" s="3">
        <f>IFERROR(__xludf.DUMMYFUNCTION("""COMPUTED_VALUE"""),6.4723176E9)</f>
        <v>6472317600</v>
      </c>
    </row>
    <row r="5502">
      <c r="A5502" s="2">
        <f>IFERROR(__xludf.DUMMYFUNCTION("""COMPUTED_VALUE"""),62145.0)</f>
        <v>62145</v>
      </c>
      <c r="B5502" s="3" t="str">
        <f>IFERROR(__xludf.DUMMYFUNCTION("""COMPUTED_VALUE"""),"240 HILLSIDE DR  ")</f>
        <v>240 HILLSIDE DR  </v>
      </c>
      <c r="C5502" s="3" t="str">
        <f>IFERROR(__xludf.DUMMYFUNCTION("""COMPUTED_VALUE"""),"CAMPBELLFORD")</f>
        <v>CAMPBELLFORD</v>
      </c>
      <c r="D5502" s="3" t="str">
        <f>IFERROR(__xludf.DUMMYFUNCTION("""COMPUTED_VALUE"""),"K0L 1L0")</f>
        <v>K0L 1L0</v>
      </c>
      <c r="E5502" s="3" t="str">
        <f>IFERROR(__xludf.DUMMYFUNCTION("""COMPUTED_VALUE"""),"kim lamont ")</f>
        <v>kim lamont </v>
      </c>
      <c r="F5502" s="3" t="str">
        <f>IFERROR(__xludf.DUMMYFUNCTION("""COMPUTED_VALUE"""),"kim-phyllis@outlook.com")</f>
        <v>kim-phyllis@outlook.com</v>
      </c>
      <c r="G5502" s="3"/>
      <c r="H5502" s="3"/>
    </row>
    <row r="5503">
      <c r="A5503" s="2">
        <f>IFERROR(__xludf.DUMMYFUNCTION("""COMPUTED_VALUE"""),62146.0)</f>
        <v>62146</v>
      </c>
      <c r="B5503" s="3" t="str">
        <f>IFERROR(__xludf.DUMMYFUNCTION("""COMPUTED_VALUE"""),"241 HILLSIDE DR  ")</f>
        <v>241 HILLSIDE DR  </v>
      </c>
      <c r="C5503" s="3" t="str">
        <f>IFERROR(__xludf.DUMMYFUNCTION("""COMPUTED_VALUE"""),"CAMPBELLFORD")</f>
        <v>CAMPBELLFORD</v>
      </c>
      <c r="D5503" s="3" t="str">
        <f>IFERROR(__xludf.DUMMYFUNCTION("""COMPUTED_VALUE"""),"K0L 1L0")</f>
        <v>K0L 1L0</v>
      </c>
      <c r="E5503" s="3" t="str">
        <f>IFERROR(__xludf.DUMMYFUNCTION("""COMPUTED_VALUE"""),"glenn dollery ")</f>
        <v>glenn dollery </v>
      </c>
      <c r="F5503" s="3" t="str">
        <f>IFERROR(__xludf.DUMMYFUNCTION("""COMPUTED_VALUE"""),"shanheath@outlook.com")</f>
        <v>shanheath@outlook.com</v>
      </c>
      <c r="G5503" s="3"/>
      <c r="H5503" s="3"/>
    </row>
    <row r="5504">
      <c r="A5504" s="2">
        <f>IFERROR(__xludf.DUMMYFUNCTION("""COMPUTED_VALUE"""),62147.0)</f>
        <v>62147</v>
      </c>
      <c r="B5504" s="3" t="str">
        <f>IFERROR(__xludf.DUMMYFUNCTION("""COMPUTED_VALUE"""),"243 HILLSIDE DR  ")</f>
        <v>243 HILLSIDE DR  </v>
      </c>
      <c r="C5504" s="3" t="str">
        <f>IFERROR(__xludf.DUMMYFUNCTION("""COMPUTED_VALUE"""),"CAMPBELLFORD")</f>
        <v>CAMPBELLFORD</v>
      </c>
      <c r="D5504" s="3" t="str">
        <f>IFERROR(__xludf.DUMMYFUNCTION("""COMPUTED_VALUE"""),"K0L 1L0")</f>
        <v>K0L 1L0</v>
      </c>
      <c r="E5504" s="3" t="str">
        <f>IFERROR(__xludf.DUMMYFUNCTION("""COMPUTED_VALUE"""),"james finlay")</f>
        <v>james finlay</v>
      </c>
      <c r="F5504" s="3" t="str">
        <f>IFERROR(__xludf.DUMMYFUNCTION("""COMPUTED_VALUE"""),"finlayj77@yaho0.ca")</f>
        <v>finlayj77@yaho0.ca</v>
      </c>
      <c r="G5504" s="3">
        <f>IFERROR(__xludf.DUMMYFUNCTION("""COMPUTED_VALUE"""),2.896853484E9)</f>
        <v>2896853484</v>
      </c>
      <c r="H5504" s="3"/>
    </row>
    <row r="5505">
      <c r="A5505" s="2">
        <f>IFERROR(__xludf.DUMMYFUNCTION("""COMPUTED_VALUE"""),62148.0)</f>
        <v>62148</v>
      </c>
      <c r="B5505" s="3" t="str">
        <f>IFERROR(__xludf.DUMMYFUNCTION("""COMPUTED_VALUE"""),"244 HILLSIDE DR  ")</f>
        <v>244 HILLSIDE DR  </v>
      </c>
      <c r="C5505" s="3" t="str">
        <f>IFERROR(__xludf.DUMMYFUNCTION("""COMPUTED_VALUE"""),"CAMPBELLFORD")</f>
        <v>CAMPBELLFORD</v>
      </c>
      <c r="D5505" s="3" t="str">
        <f>IFERROR(__xludf.DUMMYFUNCTION("""COMPUTED_VALUE"""),"K0L 1L0")</f>
        <v>K0L 1L0</v>
      </c>
      <c r="E5505" s="3" t="str">
        <f>IFERROR(__xludf.DUMMYFUNCTION("""COMPUTED_VALUE"""),"Dennis Sandham")</f>
        <v>Dennis Sandham</v>
      </c>
      <c r="F5505" s="3" t="str">
        <f>IFERROR(__xludf.DUMMYFUNCTION("""COMPUTED_VALUE"""),"d.s.sandham@outlook.com")</f>
        <v>d.s.sandham@outlook.com</v>
      </c>
      <c r="G5505" s="3"/>
      <c r="H5505" s="3"/>
    </row>
    <row r="5506">
      <c r="A5506" s="2">
        <f>IFERROR(__xludf.DUMMYFUNCTION("""COMPUTED_VALUE"""),62149.0)</f>
        <v>62149</v>
      </c>
      <c r="B5506" s="3" t="str">
        <f>IFERROR(__xludf.DUMMYFUNCTION("""COMPUTED_VALUE"""),"251 HILLSIDE DR  ")</f>
        <v>251 HILLSIDE DR  </v>
      </c>
      <c r="C5506" s="3" t="str">
        <f>IFERROR(__xludf.DUMMYFUNCTION("""COMPUTED_VALUE"""),"CAMPBELLFORD")</f>
        <v>CAMPBELLFORD</v>
      </c>
      <c r="D5506" s="3" t="str">
        <f>IFERROR(__xludf.DUMMYFUNCTION("""COMPUTED_VALUE"""),"K0L 1L0")</f>
        <v>K0L 1L0</v>
      </c>
      <c r="E5506" s="3"/>
      <c r="F5506" s="3"/>
      <c r="G5506" s="3"/>
      <c r="H5506" s="3"/>
    </row>
    <row r="5507">
      <c r="A5507" s="2">
        <f>IFERROR(__xludf.DUMMYFUNCTION("""COMPUTED_VALUE"""),62150.0)</f>
        <v>62150</v>
      </c>
      <c r="B5507" s="3" t="str">
        <f>IFERROR(__xludf.DUMMYFUNCTION("""COMPUTED_VALUE"""),"260 HILLSIDE DR  ")</f>
        <v>260 HILLSIDE DR  </v>
      </c>
      <c r="C5507" s="3" t="str">
        <f>IFERROR(__xludf.DUMMYFUNCTION("""COMPUTED_VALUE"""),"CAMPBELLFORD")</f>
        <v>CAMPBELLFORD</v>
      </c>
      <c r="D5507" s="3" t="str">
        <f>IFERROR(__xludf.DUMMYFUNCTION("""COMPUTED_VALUE"""),"K0L 1L0")</f>
        <v>K0L 1L0</v>
      </c>
      <c r="E5507" s="3" t="str">
        <f>IFERROR(__xludf.DUMMYFUNCTION("""COMPUTED_VALUE"""),"errol ellis ")</f>
        <v>errol ellis </v>
      </c>
      <c r="F5507" s="3" t="str">
        <f>IFERROR(__xludf.DUMMYFUNCTION("""COMPUTED_VALUE"""),"errol.ellis37@gmail.com ")</f>
        <v>errol.ellis37@gmail.com </v>
      </c>
      <c r="G5507" s="3">
        <f>IFERROR(__xludf.DUMMYFUNCTION("""COMPUTED_VALUE"""),7.059575104E9)</f>
        <v>7059575104</v>
      </c>
      <c r="H5507" s="3">
        <f>IFERROR(__xludf.DUMMYFUNCTION("""COMPUTED_VALUE"""),7.058680267E9)</f>
        <v>7058680267</v>
      </c>
    </row>
    <row r="5508">
      <c r="A5508" s="2">
        <f>IFERROR(__xludf.DUMMYFUNCTION("""COMPUTED_VALUE"""),62151.0)</f>
        <v>62151</v>
      </c>
      <c r="B5508" s="3" t="str">
        <f>IFERROR(__xludf.DUMMYFUNCTION("""COMPUTED_VALUE"""),"261 HILLSIDE DR  ")</f>
        <v>261 HILLSIDE DR  </v>
      </c>
      <c r="C5508" s="3" t="str">
        <f>IFERROR(__xludf.DUMMYFUNCTION("""COMPUTED_VALUE"""),"CAMPBELLFORD")</f>
        <v>CAMPBELLFORD</v>
      </c>
      <c r="D5508" s="3" t="str">
        <f>IFERROR(__xludf.DUMMYFUNCTION("""COMPUTED_VALUE"""),"K0L 1L0")</f>
        <v>K0L 1L0</v>
      </c>
      <c r="E5508" s="3"/>
      <c r="F5508" s="3"/>
      <c r="G5508" s="3"/>
      <c r="H5508" s="3"/>
    </row>
    <row r="5509">
      <c r="A5509" s="2">
        <f>IFERROR(__xludf.DUMMYFUNCTION("""COMPUTED_VALUE"""),62152.0)</f>
        <v>62152</v>
      </c>
      <c r="B5509" s="3" t="str">
        <f>IFERROR(__xludf.DUMMYFUNCTION("""COMPUTED_VALUE"""),"268 HILLSIDE DR  ")</f>
        <v>268 HILLSIDE DR  </v>
      </c>
      <c r="C5509" s="3" t="str">
        <f>IFERROR(__xludf.DUMMYFUNCTION("""COMPUTED_VALUE"""),"CAMPBELLFORD")</f>
        <v>CAMPBELLFORD</v>
      </c>
      <c r="D5509" s="3" t="str">
        <f>IFERROR(__xludf.DUMMYFUNCTION("""COMPUTED_VALUE"""),"K0L 1L0")</f>
        <v>K0L 1L0</v>
      </c>
      <c r="E5509" s="3" t="str">
        <f>IFERROR(__xludf.DUMMYFUNCTION("""COMPUTED_VALUE"""),"Barry Allan Budd")</f>
        <v>Barry Allan Budd</v>
      </c>
      <c r="F5509" s="3" t="str">
        <f>IFERROR(__xludf.DUMMYFUNCTION("""COMPUTED_VALUE"""),"barry_budd@hotmail.com")</f>
        <v>barry_budd@hotmail.com</v>
      </c>
      <c r="G5509" s="3">
        <f>IFERROR(__xludf.DUMMYFUNCTION("""COMPUTED_VALUE"""),9.05995442E9)</f>
        <v>9059954420</v>
      </c>
      <c r="H5509" s="3"/>
    </row>
    <row r="5510">
      <c r="A5510" s="2">
        <f>IFERROR(__xludf.DUMMYFUNCTION("""COMPUTED_VALUE"""),62153.0)</f>
        <v>62153</v>
      </c>
      <c r="B5510" s="3" t="str">
        <f>IFERROR(__xludf.DUMMYFUNCTION("""COMPUTED_VALUE"""),"269 HILLSIDE DR  ")</f>
        <v>269 HILLSIDE DR  </v>
      </c>
      <c r="C5510" s="3" t="str">
        <f>IFERROR(__xludf.DUMMYFUNCTION("""COMPUTED_VALUE"""),"CAMPBELLFORD")</f>
        <v>CAMPBELLFORD</v>
      </c>
      <c r="D5510" s="3" t="str">
        <f>IFERROR(__xludf.DUMMYFUNCTION("""COMPUTED_VALUE"""),"K0L 1L0")</f>
        <v>K0L 1L0</v>
      </c>
      <c r="E5510" s="3"/>
      <c r="F5510" s="3"/>
      <c r="G5510" s="3"/>
      <c r="H5510" s="3"/>
    </row>
    <row r="5511">
      <c r="A5511" s="2">
        <f>IFERROR(__xludf.DUMMYFUNCTION("""COMPUTED_VALUE"""),62154.0)</f>
        <v>62154</v>
      </c>
      <c r="B5511" s="3" t="str">
        <f>IFERROR(__xludf.DUMMYFUNCTION("""COMPUTED_VALUE"""),"278 HILLSIDE DR  ")</f>
        <v>278 HILLSIDE DR  </v>
      </c>
      <c r="C5511" s="3" t="str">
        <f>IFERROR(__xludf.DUMMYFUNCTION("""COMPUTED_VALUE"""),"CAMPBELLFORD")</f>
        <v>CAMPBELLFORD</v>
      </c>
      <c r="D5511" s="3" t="str">
        <f>IFERROR(__xludf.DUMMYFUNCTION("""COMPUTED_VALUE"""),"K0L 1L0")</f>
        <v>K0L 1L0</v>
      </c>
      <c r="E5511" s="3" t="str">
        <f>IFERROR(__xludf.DUMMYFUNCTION("""COMPUTED_VALUE"""),"Douglas HARPUR")</f>
        <v>Douglas HARPUR</v>
      </c>
      <c r="F5511" s="3" t="str">
        <f>IFERROR(__xludf.DUMMYFUNCTION("""COMPUTED_VALUE"""),"harpurdo@gmail.com")</f>
        <v>harpurdo@gmail.com</v>
      </c>
      <c r="G5511" s="3">
        <f>IFERROR(__xludf.DUMMYFUNCTION("""COMPUTED_VALUE"""),7.057615621E9)</f>
        <v>7057615621</v>
      </c>
      <c r="H5511" s="3"/>
    </row>
    <row r="5512">
      <c r="A5512" s="2">
        <f>IFERROR(__xludf.DUMMYFUNCTION("""COMPUTED_VALUE"""),62155.0)</f>
        <v>62155</v>
      </c>
      <c r="B5512" s="3" t="str">
        <f>IFERROR(__xludf.DUMMYFUNCTION("""COMPUTED_VALUE"""),"285 HILLSIDE DR  ")</f>
        <v>285 HILLSIDE DR  </v>
      </c>
      <c r="C5512" s="3" t="str">
        <f>IFERROR(__xludf.DUMMYFUNCTION("""COMPUTED_VALUE"""),"CAMPBELLFORD")</f>
        <v>CAMPBELLFORD</v>
      </c>
      <c r="D5512" s="3" t="str">
        <f>IFERROR(__xludf.DUMMYFUNCTION("""COMPUTED_VALUE"""),"K0L 1L0")</f>
        <v>K0L 1L0</v>
      </c>
      <c r="E5512" s="3"/>
      <c r="F5512" s="3"/>
      <c r="G5512" s="3"/>
      <c r="H5512" s="3"/>
    </row>
    <row r="5513">
      <c r="A5513" s="2">
        <f>IFERROR(__xludf.DUMMYFUNCTION("""COMPUTED_VALUE"""),62156.0)</f>
        <v>62156</v>
      </c>
      <c r="B5513" s="3" t="str">
        <f>IFERROR(__xludf.DUMMYFUNCTION("""COMPUTED_VALUE"""),"293 HILLSIDE DR  ")</f>
        <v>293 HILLSIDE DR  </v>
      </c>
      <c r="C5513" s="3" t="str">
        <f>IFERROR(__xludf.DUMMYFUNCTION("""COMPUTED_VALUE"""),"CAMPBELLFORD")</f>
        <v>CAMPBELLFORD</v>
      </c>
      <c r="D5513" s="3" t="str">
        <f>IFERROR(__xludf.DUMMYFUNCTION("""COMPUTED_VALUE"""),"K0L 1L0")</f>
        <v>K0L 1L0</v>
      </c>
      <c r="E5513" s="3" t="str">
        <f>IFERROR(__xludf.DUMMYFUNCTION("""COMPUTED_VALUE"""),"devinder dutt")</f>
        <v>devinder dutt</v>
      </c>
      <c r="F5513" s="3" t="str">
        <f>IFERROR(__xludf.DUMMYFUNCTION("""COMPUTED_VALUE"""),"devinderpdutt@gmail.com")</f>
        <v>devinderpdutt@gmail.com</v>
      </c>
      <c r="G5513" s="3">
        <f>IFERROR(__xludf.DUMMYFUNCTION("""COMPUTED_VALUE"""),9.054315886E9)</f>
        <v>9054315886</v>
      </c>
      <c r="H5513" s="3"/>
    </row>
    <row r="5514">
      <c r="A5514" s="2">
        <f>IFERROR(__xludf.DUMMYFUNCTION("""COMPUTED_VALUE"""),62157.0)</f>
        <v>62157</v>
      </c>
      <c r="B5514" s="3" t="str">
        <f>IFERROR(__xludf.DUMMYFUNCTION("""COMPUTED_VALUE"""),"297 HILLSIDE DR  ")</f>
        <v>297 HILLSIDE DR  </v>
      </c>
      <c r="C5514" s="3" t="str">
        <f>IFERROR(__xludf.DUMMYFUNCTION("""COMPUTED_VALUE"""),"CAMPBELLFORD")</f>
        <v>CAMPBELLFORD</v>
      </c>
      <c r="D5514" s="3" t="str">
        <f>IFERROR(__xludf.DUMMYFUNCTION("""COMPUTED_VALUE"""),"K0L 1L0")</f>
        <v>K0L 1L0</v>
      </c>
      <c r="E5514" s="3"/>
      <c r="F5514" s="3"/>
      <c r="G5514" s="3"/>
      <c r="H5514" s="3"/>
    </row>
    <row r="5515">
      <c r="A5515" s="2">
        <f>IFERROR(__xludf.DUMMYFUNCTION("""COMPUTED_VALUE"""),62158.0)</f>
        <v>62158</v>
      </c>
      <c r="B5515" s="3" t="str">
        <f>IFERROR(__xludf.DUMMYFUNCTION("""COMPUTED_VALUE"""),"303 HILLSIDE DR  ")</f>
        <v>303 HILLSIDE DR  </v>
      </c>
      <c r="C5515" s="3" t="str">
        <f>IFERROR(__xludf.DUMMYFUNCTION("""COMPUTED_VALUE"""),"CAMPBELLFORD")</f>
        <v>CAMPBELLFORD</v>
      </c>
      <c r="D5515" s="3" t="str">
        <f>IFERROR(__xludf.DUMMYFUNCTION("""COMPUTED_VALUE"""),"K0L 1L0")</f>
        <v>K0L 1L0</v>
      </c>
      <c r="E5515" s="3" t="str">
        <f>IFERROR(__xludf.DUMMYFUNCTION("""COMPUTED_VALUE"""),"cheryl see")</f>
        <v>cheryl see</v>
      </c>
      <c r="F5515" s="3" t="str">
        <f>IFERROR(__xludf.DUMMYFUNCTION("""COMPUTED_VALUE"""),"cherylsee1@hotmail.com")</f>
        <v>cherylsee1@hotmail.com</v>
      </c>
      <c r="G5515" s="3">
        <f>IFERROR(__xludf.DUMMYFUNCTION("""COMPUTED_VALUE"""),9.05396131E9)</f>
        <v>9053961310</v>
      </c>
      <c r="H5515" s="3">
        <f>IFERROR(__xludf.DUMMYFUNCTION("""COMPUTED_VALUE"""),6.479686641E9)</f>
        <v>6479686641</v>
      </c>
    </row>
    <row r="5516">
      <c r="A5516" s="2">
        <f>IFERROR(__xludf.DUMMYFUNCTION("""COMPUTED_VALUE"""),62159.0)</f>
        <v>62159</v>
      </c>
      <c r="B5516" s="3" t="str">
        <f>IFERROR(__xludf.DUMMYFUNCTION("""COMPUTED_VALUE"""),"304 HILLSIDE DR  ")</f>
        <v>304 HILLSIDE DR  </v>
      </c>
      <c r="C5516" s="3" t="str">
        <f>IFERROR(__xludf.DUMMYFUNCTION("""COMPUTED_VALUE"""),"CAMPBELLFORD")</f>
        <v>CAMPBELLFORD</v>
      </c>
      <c r="D5516" s="3" t="str">
        <f>IFERROR(__xludf.DUMMYFUNCTION("""COMPUTED_VALUE"""),"K0L 1L0")</f>
        <v>K0L 1L0</v>
      </c>
      <c r="E5516" s="3"/>
      <c r="F5516" s="3"/>
      <c r="G5516" s="3"/>
      <c r="H5516" s="3"/>
    </row>
    <row r="5517">
      <c r="A5517" s="2">
        <f>IFERROR(__xludf.DUMMYFUNCTION("""COMPUTED_VALUE"""),62160.0)</f>
        <v>62160</v>
      </c>
      <c r="B5517" s="3" t="str">
        <f>IFERROR(__xludf.DUMMYFUNCTION("""COMPUTED_VALUE"""),"307 HILLSIDE DR  ")</f>
        <v>307 HILLSIDE DR  </v>
      </c>
      <c r="C5517" s="3" t="str">
        <f>IFERROR(__xludf.DUMMYFUNCTION("""COMPUTED_VALUE"""),"CAMPBELLFORD")</f>
        <v>CAMPBELLFORD</v>
      </c>
      <c r="D5517" s="3" t="str">
        <f>IFERROR(__xludf.DUMMYFUNCTION("""COMPUTED_VALUE"""),"K0L 1L0")</f>
        <v>K0L 1L0</v>
      </c>
      <c r="E5517" s="3" t="str">
        <f>IFERROR(__xludf.DUMMYFUNCTION("""COMPUTED_VALUE"""),"john cabral ")</f>
        <v>john cabral </v>
      </c>
      <c r="F5517" s="3" t="str">
        <f>IFERROR(__xludf.DUMMYFUNCTION("""COMPUTED_VALUE"""),"connie.cabral7@gmail.com")</f>
        <v>connie.cabral7@gmail.com</v>
      </c>
      <c r="G5517" s="3">
        <f>IFERROR(__xludf.DUMMYFUNCTION("""COMPUTED_VALUE"""),6.472908651E9)</f>
        <v>6472908651</v>
      </c>
      <c r="H5517" s="3">
        <f>IFERROR(__xludf.DUMMYFUNCTION("""COMPUTED_VALUE"""),4.16236289E9)</f>
        <v>4162362890</v>
      </c>
    </row>
    <row r="5518">
      <c r="A5518" s="2">
        <f>IFERROR(__xludf.DUMMYFUNCTION("""COMPUTED_VALUE"""),62161.0)</f>
        <v>62161</v>
      </c>
      <c r="B5518" s="3" t="str">
        <f>IFERROR(__xludf.DUMMYFUNCTION("""COMPUTED_VALUE"""),"321 HILLSIDE DR  ")</f>
        <v>321 HILLSIDE DR  </v>
      </c>
      <c r="C5518" s="3" t="str">
        <f>IFERROR(__xludf.DUMMYFUNCTION("""COMPUTED_VALUE"""),"CAMPBELLFORD")</f>
        <v>CAMPBELLFORD</v>
      </c>
      <c r="D5518" s="3" t="str">
        <f>IFERROR(__xludf.DUMMYFUNCTION("""COMPUTED_VALUE"""),"K0L 1L0")</f>
        <v>K0L 1L0</v>
      </c>
      <c r="E5518" s="3"/>
      <c r="F5518" s="3"/>
      <c r="G5518" s="3"/>
      <c r="H5518" s="3"/>
    </row>
    <row r="5519">
      <c r="A5519" s="2">
        <f>IFERROR(__xludf.DUMMYFUNCTION("""COMPUTED_VALUE"""),62162.0)</f>
        <v>62162</v>
      </c>
      <c r="B5519" s="3" t="str">
        <f>IFERROR(__xludf.DUMMYFUNCTION("""COMPUTED_VALUE"""),"325 HILLSIDE DR  ")</f>
        <v>325 HILLSIDE DR  </v>
      </c>
      <c r="C5519" s="3" t="str">
        <f>IFERROR(__xludf.DUMMYFUNCTION("""COMPUTED_VALUE"""),"CAMPBELLFORD")</f>
        <v>CAMPBELLFORD</v>
      </c>
      <c r="D5519" s="3" t="str">
        <f>IFERROR(__xludf.DUMMYFUNCTION("""COMPUTED_VALUE"""),"K0L 1L0")</f>
        <v>K0L 1L0</v>
      </c>
      <c r="E5519" s="3" t="str">
        <f>IFERROR(__xludf.DUMMYFUNCTION("""COMPUTED_VALUE"""),"lenore Steacy")</f>
        <v>lenore Steacy</v>
      </c>
      <c r="F5519" s="3" t="str">
        <f>IFERROR(__xludf.DUMMYFUNCTION("""COMPUTED_VALUE"""),"ljsteacy@hotmail.com")</f>
        <v>ljsteacy@hotmail.com</v>
      </c>
      <c r="G5519" s="3"/>
      <c r="H5519" s="3"/>
    </row>
    <row r="5520">
      <c r="A5520" s="2">
        <f>IFERROR(__xludf.DUMMYFUNCTION("""COMPUTED_VALUE"""),62163.0)</f>
        <v>62163</v>
      </c>
      <c r="B5520" s="3" t="str">
        <f>IFERROR(__xludf.DUMMYFUNCTION("""COMPUTED_VALUE"""),"335 HILLSIDE DR  ")</f>
        <v>335 HILLSIDE DR  </v>
      </c>
      <c r="C5520" s="3" t="str">
        <f>IFERROR(__xludf.DUMMYFUNCTION("""COMPUTED_VALUE"""),"CAMPBELLFORD")</f>
        <v>CAMPBELLFORD</v>
      </c>
      <c r="D5520" s="3" t="str">
        <f>IFERROR(__xludf.DUMMYFUNCTION("""COMPUTED_VALUE"""),"K0L 1L0")</f>
        <v>K0L 1L0</v>
      </c>
      <c r="E5520" s="3"/>
      <c r="F5520" s="3"/>
      <c r="G5520" s="3"/>
      <c r="H5520" s="3"/>
    </row>
    <row r="5521">
      <c r="A5521" s="2">
        <f>IFERROR(__xludf.DUMMYFUNCTION("""COMPUTED_VALUE"""),62164.0)</f>
        <v>62164</v>
      </c>
      <c r="B5521" s="3" t="str">
        <f>IFERROR(__xludf.DUMMYFUNCTION("""COMPUTED_VALUE"""),"343 HILLSIDE DR  ")</f>
        <v>343 HILLSIDE DR  </v>
      </c>
      <c r="C5521" s="3" t="str">
        <f>IFERROR(__xludf.DUMMYFUNCTION("""COMPUTED_VALUE"""),"CAMPBELLFORD")</f>
        <v>CAMPBELLFORD</v>
      </c>
      <c r="D5521" s="3" t="str">
        <f>IFERROR(__xludf.DUMMYFUNCTION("""COMPUTED_VALUE"""),"K0L 1L0")</f>
        <v>K0L 1L0</v>
      </c>
      <c r="E5521" s="3"/>
      <c r="F5521" s="3"/>
      <c r="G5521" s="3"/>
      <c r="H5521" s="3"/>
    </row>
    <row r="5522">
      <c r="A5522" s="2">
        <f>IFERROR(__xludf.DUMMYFUNCTION("""COMPUTED_VALUE"""),62165.0)</f>
        <v>62165</v>
      </c>
      <c r="B5522" s="3" t="str">
        <f>IFERROR(__xludf.DUMMYFUNCTION("""COMPUTED_VALUE"""),"345 HILLSIDE DR  ")</f>
        <v>345 HILLSIDE DR  </v>
      </c>
      <c r="C5522" s="3" t="str">
        <f>IFERROR(__xludf.DUMMYFUNCTION("""COMPUTED_VALUE"""),"CAMPBELLFORD")</f>
        <v>CAMPBELLFORD</v>
      </c>
      <c r="D5522" s="3" t="str">
        <f>IFERROR(__xludf.DUMMYFUNCTION("""COMPUTED_VALUE"""),"K0L 1L0")</f>
        <v>K0L 1L0</v>
      </c>
      <c r="E5522" s="3"/>
      <c r="F5522" s="3"/>
      <c r="G5522" s="3"/>
      <c r="H5522" s="3"/>
    </row>
    <row r="5523">
      <c r="A5523" s="2">
        <f>IFERROR(__xludf.DUMMYFUNCTION("""COMPUTED_VALUE"""),62166.0)</f>
        <v>62166</v>
      </c>
      <c r="B5523" s="3" t="str">
        <f>IFERROR(__xludf.DUMMYFUNCTION("""COMPUTED_VALUE"""),"351 HILLSIDE DR  ")</f>
        <v>351 HILLSIDE DR  </v>
      </c>
      <c r="C5523" s="3" t="str">
        <f>IFERROR(__xludf.DUMMYFUNCTION("""COMPUTED_VALUE"""),"CAMPBELLFORD")</f>
        <v>CAMPBELLFORD</v>
      </c>
      <c r="D5523" s="3" t="str">
        <f>IFERROR(__xludf.DUMMYFUNCTION("""COMPUTED_VALUE"""),"K0L 1L0")</f>
        <v>K0L 1L0</v>
      </c>
      <c r="E5523" s="3"/>
      <c r="F5523" s="3"/>
      <c r="G5523" s="3"/>
      <c r="H5523" s="3"/>
    </row>
    <row r="5524">
      <c r="A5524" s="2">
        <f>IFERROR(__xludf.DUMMYFUNCTION("""COMPUTED_VALUE"""),62167.0)</f>
        <v>62167</v>
      </c>
      <c r="B5524" s="3" t="str">
        <f>IFERROR(__xludf.DUMMYFUNCTION("""COMPUTED_VALUE"""),"357 HILLSIDE DR  ")</f>
        <v>357 HILLSIDE DR  </v>
      </c>
      <c r="C5524" s="3" t="str">
        <f>IFERROR(__xludf.DUMMYFUNCTION("""COMPUTED_VALUE"""),"CAMPBELLFORD")</f>
        <v>CAMPBELLFORD</v>
      </c>
      <c r="D5524" s="3" t="str">
        <f>IFERROR(__xludf.DUMMYFUNCTION("""COMPUTED_VALUE"""),"K0L 1L0")</f>
        <v>K0L 1L0</v>
      </c>
      <c r="E5524" s="3" t="str">
        <f>IFERROR(__xludf.DUMMYFUNCTION("""COMPUTED_VALUE"""),"SEAN POWERS")</f>
        <v>SEAN POWERS</v>
      </c>
      <c r="F5524" s="3" t="str">
        <f>IFERROR(__xludf.DUMMYFUNCTION("""COMPUTED_VALUE"""),"snpowers@gmail.com")</f>
        <v>snpowers@gmail.com</v>
      </c>
      <c r="G5524" s="3"/>
      <c r="H5524" s="3"/>
    </row>
    <row r="5525">
      <c r="A5525" s="2">
        <f>IFERROR(__xludf.DUMMYFUNCTION("""COMPUTED_VALUE"""),62168.0)</f>
        <v>62168</v>
      </c>
      <c r="B5525" s="3" t="str">
        <f>IFERROR(__xludf.DUMMYFUNCTION("""COMPUTED_VALUE"""),"363 HILLSIDE DR  ")</f>
        <v>363 HILLSIDE DR  </v>
      </c>
      <c r="C5525" s="3" t="str">
        <f>IFERROR(__xludf.DUMMYFUNCTION("""COMPUTED_VALUE"""),"CAMPBELLFORD")</f>
        <v>CAMPBELLFORD</v>
      </c>
      <c r="D5525" s="3" t="str">
        <f>IFERROR(__xludf.DUMMYFUNCTION("""COMPUTED_VALUE"""),"K0L 1L0")</f>
        <v>K0L 1L0</v>
      </c>
      <c r="E5525" s="3"/>
      <c r="F5525" s="3"/>
      <c r="G5525" s="3"/>
      <c r="H5525" s="3"/>
    </row>
    <row r="5526">
      <c r="A5526" s="2">
        <f>IFERROR(__xludf.DUMMYFUNCTION("""COMPUTED_VALUE"""),62169.0)</f>
        <v>62169</v>
      </c>
      <c r="B5526" s="3" t="str">
        <f>IFERROR(__xludf.DUMMYFUNCTION("""COMPUTED_VALUE"""),"369 HILLSIDE DR  ")</f>
        <v>369 HILLSIDE DR  </v>
      </c>
      <c r="C5526" s="3" t="str">
        <f>IFERROR(__xludf.DUMMYFUNCTION("""COMPUTED_VALUE"""),"CAMPBELLFORD")</f>
        <v>CAMPBELLFORD</v>
      </c>
      <c r="D5526" s="3" t="str">
        <f>IFERROR(__xludf.DUMMYFUNCTION("""COMPUTED_VALUE"""),"K0L 1L0")</f>
        <v>K0L 1L0</v>
      </c>
      <c r="E5526" s="3"/>
      <c r="F5526" s="3"/>
      <c r="G5526" s="3"/>
      <c r="H5526" s="3"/>
    </row>
    <row r="5527">
      <c r="A5527" s="2">
        <f>IFERROR(__xludf.DUMMYFUNCTION("""COMPUTED_VALUE"""),62170.0)</f>
        <v>62170</v>
      </c>
      <c r="B5527" s="3" t="str">
        <f>IFERROR(__xludf.DUMMYFUNCTION("""COMPUTED_VALUE"""),"377 HILLSIDE DR  ")</f>
        <v>377 HILLSIDE DR  </v>
      </c>
      <c r="C5527" s="3" t="str">
        <f>IFERROR(__xludf.DUMMYFUNCTION("""COMPUTED_VALUE"""),"CAMPBELLFORD")</f>
        <v>CAMPBELLFORD</v>
      </c>
      <c r="D5527" s="3" t="str">
        <f>IFERROR(__xludf.DUMMYFUNCTION("""COMPUTED_VALUE"""),"K0L 1L0")</f>
        <v>K0L 1L0</v>
      </c>
      <c r="E5527" s="3" t="str">
        <f>IFERROR(__xludf.DUMMYFUNCTION("""COMPUTED_VALUE"""),"Sharon Abernethy")</f>
        <v>Sharon Abernethy</v>
      </c>
      <c r="F5527" s="3" t="str">
        <f>IFERROR(__xludf.DUMMYFUNCTION("""COMPUTED_VALUE"""),"aberneth@live.com")</f>
        <v>aberneth@live.com</v>
      </c>
      <c r="G5527" s="3"/>
      <c r="H5527" s="3"/>
    </row>
    <row r="5528">
      <c r="A5528" s="2">
        <f>IFERROR(__xludf.DUMMYFUNCTION("""COMPUTED_VALUE"""),62171.0)</f>
        <v>62171</v>
      </c>
      <c r="B5528" s="3" t="str">
        <f>IFERROR(__xludf.DUMMYFUNCTION("""COMPUTED_VALUE"""),"385 HILLSIDE DR  ")</f>
        <v>385 HILLSIDE DR  </v>
      </c>
      <c r="C5528" s="3" t="str">
        <f>IFERROR(__xludf.DUMMYFUNCTION("""COMPUTED_VALUE"""),"CAMPBELLFORD")</f>
        <v>CAMPBELLFORD</v>
      </c>
      <c r="D5528" s="3" t="str">
        <f>IFERROR(__xludf.DUMMYFUNCTION("""COMPUTED_VALUE"""),"K0L 1L0")</f>
        <v>K0L 1L0</v>
      </c>
      <c r="E5528" s="3"/>
      <c r="F5528" s="3"/>
      <c r="G5528" s="3"/>
      <c r="H5528" s="3"/>
    </row>
    <row r="5529">
      <c r="A5529" s="2">
        <f>IFERROR(__xludf.DUMMYFUNCTION("""COMPUTED_VALUE"""),62172.0)</f>
        <v>62172</v>
      </c>
      <c r="B5529" s="3" t="str">
        <f>IFERROR(__xludf.DUMMYFUNCTION("""COMPUTED_VALUE"""),"389 HILLSIDE DR  ")</f>
        <v>389 HILLSIDE DR  </v>
      </c>
      <c r="C5529" s="3" t="str">
        <f>IFERROR(__xludf.DUMMYFUNCTION("""COMPUTED_VALUE"""),"CAMPBELLFORD")</f>
        <v>CAMPBELLFORD</v>
      </c>
      <c r="D5529" s="3" t="str">
        <f>IFERROR(__xludf.DUMMYFUNCTION("""COMPUTED_VALUE"""),"K0L 1L0")</f>
        <v>K0L 1L0</v>
      </c>
      <c r="E5529" s="3" t="str">
        <f>IFERROR(__xludf.DUMMYFUNCTION("""COMPUTED_VALUE"""),"linda hemming ")</f>
        <v>linda hemming </v>
      </c>
      <c r="F5529" s="3" t="str">
        <f>IFERROR(__xludf.DUMMYFUNCTION("""COMPUTED_VALUE"""),"brucehemming@gmail.com")</f>
        <v>brucehemming@gmail.com</v>
      </c>
      <c r="G5529" s="3">
        <f>IFERROR(__xludf.DUMMYFUNCTION("""COMPUTED_VALUE"""),4.162235327E9)</f>
        <v>4162235327</v>
      </c>
      <c r="H5529" s="3"/>
    </row>
    <row r="5530">
      <c r="A5530" s="2">
        <f>IFERROR(__xludf.DUMMYFUNCTION("""COMPUTED_VALUE"""),62173.0)</f>
        <v>62173</v>
      </c>
      <c r="B5530" s="3" t="str">
        <f>IFERROR(__xludf.DUMMYFUNCTION("""COMPUTED_VALUE"""),"397 HILLSIDE DR  ")</f>
        <v>397 HILLSIDE DR  </v>
      </c>
      <c r="C5530" s="3" t="str">
        <f>IFERROR(__xludf.DUMMYFUNCTION("""COMPUTED_VALUE"""),"CAMPBELLFORD")</f>
        <v>CAMPBELLFORD</v>
      </c>
      <c r="D5530" s="3" t="str">
        <f>IFERROR(__xludf.DUMMYFUNCTION("""COMPUTED_VALUE"""),"K0L 1L0")</f>
        <v>K0L 1L0</v>
      </c>
      <c r="E5530" s="3" t="str">
        <f>IFERROR(__xludf.DUMMYFUNCTION("""COMPUTED_VALUE"""),"Andrea Southward")</f>
        <v>Andrea Southward</v>
      </c>
      <c r="F5530" s="3" t="str">
        <f>IFERROR(__xludf.DUMMYFUNCTION("""COMPUTED_VALUE"""),"aksouthward@yahoo.com")</f>
        <v>aksouthward@yahoo.com</v>
      </c>
      <c r="G5530" s="3"/>
      <c r="H5530" s="3"/>
    </row>
    <row r="5531">
      <c r="A5531" s="2">
        <f>IFERROR(__xludf.DUMMYFUNCTION("""COMPUTED_VALUE"""),62174.0)</f>
        <v>62174</v>
      </c>
      <c r="B5531" s="3" t="str">
        <f>IFERROR(__xludf.DUMMYFUNCTION("""COMPUTED_VALUE"""),"401 HILLSIDE DR  ")</f>
        <v>401 HILLSIDE DR  </v>
      </c>
      <c r="C5531" s="3" t="str">
        <f>IFERROR(__xludf.DUMMYFUNCTION("""COMPUTED_VALUE"""),"CAMPBELLFORD")</f>
        <v>CAMPBELLFORD</v>
      </c>
      <c r="D5531" s="3" t="str">
        <f>IFERROR(__xludf.DUMMYFUNCTION("""COMPUTED_VALUE"""),"K0L 1L0")</f>
        <v>K0L 1L0</v>
      </c>
      <c r="E5531" s="3" t="str">
        <f>IFERROR(__xludf.DUMMYFUNCTION("""COMPUTED_VALUE"""),"Roxanne Howell")</f>
        <v>Roxanne Howell</v>
      </c>
      <c r="F5531" s="3" t="str">
        <f>IFERROR(__xludf.DUMMYFUNCTION("""COMPUTED_VALUE"""),"roxanne.howell043@sympatico.ca")</f>
        <v>roxanne.howell043@sympatico.ca</v>
      </c>
      <c r="G5531" s="3">
        <f>IFERROR(__xludf.DUMMYFUNCTION("""COMPUTED_VALUE"""),7.056320544E9)</f>
        <v>7056320544</v>
      </c>
      <c r="H5531" s="3"/>
    </row>
    <row r="5532">
      <c r="A5532" s="2">
        <f>IFERROR(__xludf.DUMMYFUNCTION("""COMPUTED_VALUE"""),62175.0)</f>
        <v>62175</v>
      </c>
      <c r="B5532" s="3" t="str">
        <f>IFERROR(__xludf.DUMMYFUNCTION("""COMPUTED_VALUE"""),"415 HILLSIDE DR  ")</f>
        <v>415 HILLSIDE DR  </v>
      </c>
      <c r="C5532" s="3" t="str">
        <f>IFERROR(__xludf.DUMMYFUNCTION("""COMPUTED_VALUE"""),"CAMPBELLFORD")</f>
        <v>CAMPBELLFORD</v>
      </c>
      <c r="D5532" s="3" t="str">
        <f>IFERROR(__xludf.DUMMYFUNCTION("""COMPUTED_VALUE"""),"K0L 1L0")</f>
        <v>K0L 1L0</v>
      </c>
      <c r="E5532" s="3" t="str">
        <f>IFERROR(__xludf.DUMMYFUNCTION("""COMPUTED_VALUE"""),"david dayphove")</f>
        <v>david dayphove</v>
      </c>
      <c r="F5532" s="3"/>
      <c r="G5532" s="3"/>
      <c r="H5532" s="3"/>
    </row>
    <row r="5533">
      <c r="A5533" s="2">
        <f>IFERROR(__xludf.DUMMYFUNCTION("""COMPUTED_VALUE"""),63070.0)</f>
        <v>63070</v>
      </c>
      <c r="B5533" s="3" t="str">
        <f>IFERROR(__xludf.DUMMYFUNCTION("""COMPUTED_VALUE"""),"419 HILLSIDE DR  ")</f>
        <v>419 HILLSIDE DR  </v>
      </c>
      <c r="C5533" s="3" t="str">
        <f>IFERROR(__xludf.DUMMYFUNCTION("""COMPUTED_VALUE"""),"CAMPBELLFORD")</f>
        <v>CAMPBELLFORD</v>
      </c>
      <c r="D5533" s="3" t="str">
        <f>IFERROR(__xludf.DUMMYFUNCTION("""COMPUTED_VALUE"""),"K0L 1L0")</f>
        <v>K0L 1L0</v>
      </c>
      <c r="E5533" s="3" t="str">
        <f>IFERROR(__xludf.DUMMYFUNCTION("""COMPUTED_VALUE"""),"katrin soolepp")</f>
        <v>katrin soolepp</v>
      </c>
      <c r="F5533" s="3" t="str">
        <f>IFERROR(__xludf.DUMMYFUNCTION("""COMPUTED_VALUE"""),"katrinsoolepprsw@gmail.com")</f>
        <v>katrinsoolepprsw@gmail.com</v>
      </c>
      <c r="G5533" s="3">
        <f>IFERROR(__xludf.DUMMYFUNCTION("""COMPUTED_VALUE"""),7.056536054E9)</f>
        <v>7056536054</v>
      </c>
      <c r="H5533" s="3"/>
    </row>
    <row r="5534">
      <c r="A5534" s="2">
        <f>IFERROR(__xludf.DUMMYFUNCTION("""COMPUTED_VALUE"""),62176.0)</f>
        <v>62176</v>
      </c>
      <c r="B5534" s="3" t="str">
        <f>IFERROR(__xludf.DUMMYFUNCTION("""COMPUTED_VALUE"""),"421 HILLSIDE DR")</f>
        <v>421 HILLSIDE DR</v>
      </c>
      <c r="C5534" s="3" t="str">
        <f>IFERROR(__xludf.DUMMYFUNCTION("""COMPUTED_VALUE"""),"CAMPBELLFORD")</f>
        <v>CAMPBELLFORD</v>
      </c>
      <c r="D5534" s="3" t="str">
        <f>IFERROR(__xludf.DUMMYFUNCTION("""COMPUTED_VALUE"""),"K0L 1L0")</f>
        <v>K0L 1L0</v>
      </c>
      <c r="E5534" s="3"/>
      <c r="F5534" s="3"/>
      <c r="G5534" s="3"/>
      <c r="H5534" s="3"/>
    </row>
    <row r="5535">
      <c r="A5535" s="2">
        <f>IFERROR(__xludf.DUMMYFUNCTION("""COMPUTED_VALUE"""),62177.0)</f>
        <v>62177</v>
      </c>
      <c r="B5535" s="3" t="str">
        <f>IFERROR(__xludf.DUMMYFUNCTION("""COMPUTED_VALUE"""),"425 HILLSIDE DR  ")</f>
        <v>425 HILLSIDE DR  </v>
      </c>
      <c r="C5535" s="3" t="str">
        <f>IFERROR(__xludf.DUMMYFUNCTION("""COMPUTED_VALUE"""),"CAMPBELLFORD")</f>
        <v>CAMPBELLFORD</v>
      </c>
      <c r="D5535" s="3" t="str">
        <f>IFERROR(__xludf.DUMMYFUNCTION("""COMPUTED_VALUE"""),"K0L 1L0")</f>
        <v>K0L 1L0</v>
      </c>
      <c r="E5535" s="3" t="str">
        <f>IFERROR(__xludf.DUMMYFUNCTION("""COMPUTED_VALUE"""),"june huston")</f>
        <v>june huston</v>
      </c>
      <c r="F5535" s="3" t="str">
        <f>IFERROR(__xludf.DUMMYFUNCTION("""COMPUTED_VALUE"""),"junebill425@hotmail.com")</f>
        <v>junebill425@hotmail.com</v>
      </c>
      <c r="G5535" s="3">
        <f>IFERROR(__xludf.DUMMYFUNCTION("""COMPUTED_VALUE"""),7.056534368E9)</f>
        <v>7056534368</v>
      </c>
      <c r="H5535" s="3"/>
    </row>
    <row r="5536">
      <c r="A5536" s="2">
        <f>IFERROR(__xludf.DUMMYFUNCTION("""COMPUTED_VALUE"""),62178.0)</f>
        <v>62178</v>
      </c>
      <c r="B5536" s="3" t="str">
        <f>IFERROR(__xludf.DUMMYFUNCTION("""COMPUTED_VALUE"""),"445 HILLSIDE DR  ")</f>
        <v>445 HILLSIDE DR  </v>
      </c>
      <c r="C5536" s="3" t="str">
        <f>IFERROR(__xludf.DUMMYFUNCTION("""COMPUTED_VALUE"""),"CAMPBELLFORD")</f>
        <v>CAMPBELLFORD</v>
      </c>
      <c r="D5536" s="3" t="str">
        <f>IFERROR(__xludf.DUMMYFUNCTION("""COMPUTED_VALUE"""),"K0L 1L0")</f>
        <v>K0L 1L0</v>
      </c>
      <c r="E5536" s="3"/>
      <c r="F5536" s="3"/>
      <c r="G5536" s="3"/>
      <c r="H5536" s="3"/>
    </row>
    <row r="5537">
      <c r="A5537" s="2">
        <f>IFERROR(__xludf.DUMMYFUNCTION("""COMPUTED_VALUE"""),62179.0)</f>
        <v>62179</v>
      </c>
      <c r="B5537" s="3" t="str">
        <f>IFERROR(__xludf.DUMMYFUNCTION("""COMPUTED_VALUE"""),"449 HILLSIDE DR  ")</f>
        <v>449 HILLSIDE DR  </v>
      </c>
      <c r="C5537" s="3" t="str">
        <f>IFERROR(__xludf.DUMMYFUNCTION("""COMPUTED_VALUE"""),"CAMPBELLFORD")</f>
        <v>CAMPBELLFORD</v>
      </c>
      <c r="D5537" s="3" t="str">
        <f>IFERROR(__xludf.DUMMYFUNCTION("""COMPUTED_VALUE"""),"K0L 1L0")</f>
        <v>K0L 1L0</v>
      </c>
      <c r="E5537" s="3"/>
      <c r="F5537" s="3"/>
      <c r="G5537" s="3"/>
      <c r="H5537" s="3"/>
    </row>
    <row r="5538">
      <c r="A5538" s="2">
        <f>IFERROR(__xludf.DUMMYFUNCTION("""COMPUTED_VALUE"""),62180.0)</f>
        <v>62180</v>
      </c>
      <c r="B5538" s="3" t="str">
        <f>IFERROR(__xludf.DUMMYFUNCTION("""COMPUTED_VALUE"""),"457 HILLSIDE DR  ")</f>
        <v>457 HILLSIDE DR  </v>
      </c>
      <c r="C5538" s="3" t="str">
        <f>IFERROR(__xludf.DUMMYFUNCTION("""COMPUTED_VALUE"""),"CAMPBELLFORD")</f>
        <v>CAMPBELLFORD</v>
      </c>
      <c r="D5538" s="3" t="str">
        <f>IFERROR(__xludf.DUMMYFUNCTION("""COMPUTED_VALUE"""),"K0L 1L0")</f>
        <v>K0L 1L0</v>
      </c>
      <c r="E5538" s="3" t="str">
        <f>IFERROR(__xludf.DUMMYFUNCTION("""COMPUTED_VALUE"""),"J &amp; M Pettey")</f>
        <v>J &amp; M Pettey</v>
      </c>
      <c r="F5538" s="3" t="str">
        <f>IFERROR(__xludf.DUMMYFUNCTION("""COMPUTED_VALUE"""),"jmp75@outlook.com")</f>
        <v>jmp75@outlook.com</v>
      </c>
      <c r="G5538" s="3"/>
      <c r="H5538" s="3"/>
    </row>
    <row r="5539">
      <c r="A5539" s="2">
        <f>IFERROR(__xludf.DUMMYFUNCTION("""COMPUTED_VALUE"""),62181.0)</f>
        <v>62181</v>
      </c>
      <c r="B5539" s="3" t="str">
        <f>IFERROR(__xludf.DUMMYFUNCTION("""COMPUTED_VALUE"""),"463 HILLSIDE DR  ")</f>
        <v>463 HILLSIDE DR  </v>
      </c>
      <c r="C5539" s="3" t="str">
        <f>IFERROR(__xludf.DUMMYFUNCTION("""COMPUTED_VALUE"""),"CAMPBELLFORD")</f>
        <v>CAMPBELLFORD</v>
      </c>
      <c r="D5539" s="3" t="str">
        <f>IFERROR(__xludf.DUMMYFUNCTION("""COMPUTED_VALUE"""),"K0L 1L0")</f>
        <v>K0L 1L0</v>
      </c>
      <c r="E5539" s="3" t="str">
        <f>IFERROR(__xludf.DUMMYFUNCTION("""COMPUTED_VALUE"""),"William Alexander Adcock")</f>
        <v>William Alexander Adcock</v>
      </c>
      <c r="F5539" s="3" t="str">
        <f>IFERROR(__xludf.DUMMYFUNCTION("""COMPUTED_VALUE"""),"bill.adcock1@gmail.com")</f>
        <v>bill.adcock1@gmail.com</v>
      </c>
      <c r="G5539" s="3">
        <f>IFERROR(__xludf.DUMMYFUNCTION("""COMPUTED_VALUE"""),7.056532417E9)</f>
        <v>7056532417</v>
      </c>
      <c r="H5539" s="3">
        <f>IFERROR(__xludf.DUMMYFUNCTION("""COMPUTED_VALUE"""),7.053958022E9)</f>
        <v>7053958022</v>
      </c>
    </row>
    <row r="5540">
      <c r="A5540" s="2">
        <f>IFERROR(__xludf.DUMMYFUNCTION("""COMPUTED_VALUE"""),62182.0)</f>
        <v>62182</v>
      </c>
      <c r="B5540" s="3" t="str">
        <f>IFERROR(__xludf.DUMMYFUNCTION("""COMPUTED_VALUE"""),"470 HILLSIDE DR  ")</f>
        <v>470 HILLSIDE DR  </v>
      </c>
      <c r="C5540" s="3" t="str">
        <f>IFERROR(__xludf.DUMMYFUNCTION("""COMPUTED_VALUE"""),"CAMPBELLFORD")</f>
        <v>CAMPBELLFORD</v>
      </c>
      <c r="D5540" s="3" t="str">
        <f>IFERROR(__xludf.DUMMYFUNCTION("""COMPUTED_VALUE"""),"K0L 1L0")</f>
        <v>K0L 1L0</v>
      </c>
      <c r="E5540" s="3" t="str">
        <f>IFERROR(__xludf.DUMMYFUNCTION("""COMPUTED_VALUE"""),"katrin soolepp")</f>
        <v>katrin soolepp</v>
      </c>
      <c r="F5540" s="3" t="str">
        <f>IFERROR(__xludf.DUMMYFUNCTION("""COMPUTED_VALUE"""),"katrinsoolepprsw@gmail.com")</f>
        <v>katrinsoolepprsw@gmail.com</v>
      </c>
      <c r="G5540" s="3">
        <f>IFERROR(__xludf.DUMMYFUNCTION("""COMPUTED_VALUE"""),7.056536054E9)</f>
        <v>7056536054</v>
      </c>
      <c r="H5540" s="3"/>
    </row>
    <row r="5541">
      <c r="A5541" s="2">
        <f>IFERROR(__xludf.DUMMYFUNCTION("""COMPUTED_VALUE"""),62183.0)</f>
        <v>62183</v>
      </c>
      <c r="B5541" s="3" t="str">
        <f>IFERROR(__xludf.DUMMYFUNCTION("""COMPUTED_VALUE"""),"475 HILLSIDE DR  ")</f>
        <v>475 HILLSIDE DR  </v>
      </c>
      <c r="C5541" s="3" t="str">
        <f>IFERROR(__xludf.DUMMYFUNCTION("""COMPUTED_VALUE"""),"CAMPBELLFORD")</f>
        <v>CAMPBELLFORD</v>
      </c>
      <c r="D5541" s="3" t="str">
        <f>IFERROR(__xludf.DUMMYFUNCTION("""COMPUTED_VALUE"""),"K0L 1L0")</f>
        <v>K0L 1L0</v>
      </c>
      <c r="E5541" s="3" t="str">
        <f>IFERROR(__xludf.DUMMYFUNCTION("""COMPUTED_VALUE"""),"Frank Dambrosi")</f>
        <v>Frank Dambrosi</v>
      </c>
      <c r="F5541" s="3" t="str">
        <f>IFERROR(__xludf.DUMMYFUNCTION("""COMPUTED_VALUE"""),"f.a.dambrosi@gmail.com")</f>
        <v>f.a.dambrosi@gmail.com</v>
      </c>
      <c r="G5541" s="3">
        <f>IFERROR(__xludf.DUMMYFUNCTION("""COMPUTED_VALUE"""),2.893501266E9)</f>
        <v>2893501266</v>
      </c>
      <c r="H5541" s="3">
        <f>IFERROR(__xludf.DUMMYFUNCTION("""COMPUTED_VALUE"""),9.052992135E9)</f>
        <v>9052992135</v>
      </c>
    </row>
    <row r="5542">
      <c r="A5542" s="2">
        <f>IFERROR(__xludf.DUMMYFUNCTION("""COMPUTED_VALUE"""),62184.0)</f>
        <v>62184</v>
      </c>
      <c r="B5542" s="3" t="str">
        <f>IFERROR(__xludf.DUMMYFUNCTION("""COMPUTED_VALUE"""),"479 HILLSIDE DR  ")</f>
        <v>479 HILLSIDE DR  </v>
      </c>
      <c r="C5542" s="3" t="str">
        <f>IFERROR(__xludf.DUMMYFUNCTION("""COMPUTED_VALUE"""),"CAMPBELLFORD")</f>
        <v>CAMPBELLFORD</v>
      </c>
      <c r="D5542" s="3" t="str">
        <f>IFERROR(__xludf.DUMMYFUNCTION("""COMPUTED_VALUE"""),"K0L 1L0")</f>
        <v>K0L 1L0</v>
      </c>
      <c r="E5542" s="3" t="str">
        <f>IFERROR(__xludf.DUMMYFUNCTION("""COMPUTED_VALUE"""),"Mirella Aimola")</f>
        <v>Mirella Aimola</v>
      </c>
      <c r="F5542" s="3" t="str">
        <f>IFERROR(__xludf.DUMMYFUNCTION("""COMPUTED_VALUE"""),"aimolamirella@gmail.com")</f>
        <v>aimolamirella@gmail.com</v>
      </c>
      <c r="G5542" s="3"/>
      <c r="H5542" s="3"/>
    </row>
    <row r="5543">
      <c r="A5543" s="2">
        <f>IFERROR(__xludf.DUMMYFUNCTION("""COMPUTED_VALUE"""),62185.0)</f>
        <v>62185</v>
      </c>
      <c r="B5543" s="3" t="str">
        <f>IFERROR(__xludf.DUMMYFUNCTION("""COMPUTED_VALUE"""),"485 HILLSIDE DR  ")</f>
        <v>485 HILLSIDE DR  </v>
      </c>
      <c r="C5543" s="3" t="str">
        <f>IFERROR(__xludf.DUMMYFUNCTION("""COMPUTED_VALUE"""),"CAMPBELLFORD")</f>
        <v>CAMPBELLFORD</v>
      </c>
      <c r="D5543" s="3" t="str">
        <f>IFERROR(__xludf.DUMMYFUNCTION("""COMPUTED_VALUE"""),"K0L 1L0")</f>
        <v>K0L 1L0</v>
      </c>
      <c r="E5543" s="3" t="str">
        <f>IFERROR(__xludf.DUMMYFUNCTION("""COMPUTED_VALUE"""),"ernst mangold")</f>
        <v>ernst mangold</v>
      </c>
      <c r="F5543" s="3" t="str">
        <f>IFERROR(__xludf.DUMMYFUNCTION("""COMPUTED_VALUE"""),"emangold1@gmail.com")</f>
        <v>emangold1@gmail.com</v>
      </c>
      <c r="G5543" s="3"/>
      <c r="H5543" s="3"/>
    </row>
    <row r="5544">
      <c r="A5544" s="2">
        <f>IFERROR(__xludf.DUMMYFUNCTION("""COMPUTED_VALUE"""),62186.0)</f>
        <v>62186</v>
      </c>
      <c r="B5544" s="3" t="str">
        <f>IFERROR(__xludf.DUMMYFUNCTION("""COMPUTED_VALUE"""),"492 HILLSIDE DR  ")</f>
        <v>492 HILLSIDE DR  </v>
      </c>
      <c r="C5544" s="3" t="str">
        <f>IFERROR(__xludf.DUMMYFUNCTION("""COMPUTED_VALUE"""),"CAMPBELLFORD")</f>
        <v>CAMPBELLFORD</v>
      </c>
      <c r="D5544" s="3" t="str">
        <f>IFERROR(__xludf.DUMMYFUNCTION("""COMPUTED_VALUE"""),"K0L 1L0")</f>
        <v>K0L 1L0</v>
      </c>
      <c r="E5544" s="3"/>
      <c r="F5544" s="3"/>
      <c r="G5544" s="3"/>
      <c r="H5544" s="3"/>
    </row>
    <row r="5545">
      <c r="A5545" s="2">
        <f>IFERROR(__xludf.DUMMYFUNCTION("""COMPUTED_VALUE"""),62187.0)</f>
        <v>62187</v>
      </c>
      <c r="B5545" s="3" t="str">
        <f>IFERROR(__xludf.DUMMYFUNCTION("""COMPUTED_VALUE"""),"495 HILLSIDE DR  ")</f>
        <v>495 HILLSIDE DR  </v>
      </c>
      <c r="C5545" s="3" t="str">
        <f>IFERROR(__xludf.DUMMYFUNCTION("""COMPUTED_VALUE"""),"CAMPBELLFORD")</f>
        <v>CAMPBELLFORD</v>
      </c>
      <c r="D5545" s="3" t="str">
        <f>IFERROR(__xludf.DUMMYFUNCTION("""COMPUTED_VALUE"""),"K0L 1L0")</f>
        <v>K0L 1L0</v>
      </c>
      <c r="E5545" s="3" t="str">
        <f>IFERROR(__xludf.DUMMYFUNCTION("""COMPUTED_VALUE"""),"alex prost")</f>
        <v>alex prost</v>
      </c>
      <c r="F5545" s="3" t="str">
        <f>IFERROR(__xludf.DUMMYFUNCTION("""COMPUTED_VALUE"""),"aprost@bell.net")</f>
        <v>aprost@bell.net</v>
      </c>
      <c r="G5545" s="3">
        <f>IFERROR(__xludf.DUMMYFUNCTION("""COMPUTED_VALUE"""),7.056533166E9)</f>
        <v>7056533166</v>
      </c>
      <c r="H5545" s="3"/>
    </row>
    <row r="5546">
      <c r="A5546" s="2">
        <f>IFERROR(__xludf.DUMMYFUNCTION("""COMPUTED_VALUE"""),62188.0)</f>
        <v>62188</v>
      </c>
      <c r="B5546" s="3" t="str">
        <f>IFERROR(__xludf.DUMMYFUNCTION("""COMPUTED_VALUE"""),"500 HILLSIDE DR  ")</f>
        <v>500 HILLSIDE DR  </v>
      </c>
      <c r="C5546" s="3" t="str">
        <f>IFERROR(__xludf.DUMMYFUNCTION("""COMPUTED_VALUE"""),"CAMPBELLFORD")</f>
        <v>CAMPBELLFORD</v>
      </c>
      <c r="D5546" s="3" t="str">
        <f>IFERROR(__xludf.DUMMYFUNCTION("""COMPUTED_VALUE"""),"K0L 1L0")</f>
        <v>K0L 1L0</v>
      </c>
      <c r="E5546" s="3"/>
      <c r="F5546" s="3"/>
      <c r="G5546" s="3"/>
      <c r="H5546" s="3"/>
    </row>
    <row r="5547">
      <c r="A5547" s="2">
        <f>IFERROR(__xludf.DUMMYFUNCTION("""COMPUTED_VALUE"""),62189.0)</f>
        <v>62189</v>
      </c>
      <c r="B5547" s="3" t="str">
        <f>IFERROR(__xludf.DUMMYFUNCTION("""COMPUTED_VALUE"""),"501 HILLSIDE DR  ")</f>
        <v>501 HILLSIDE DR  </v>
      </c>
      <c r="C5547" s="3" t="str">
        <f>IFERROR(__xludf.DUMMYFUNCTION("""COMPUTED_VALUE"""),"CAMPBELLFORD")</f>
        <v>CAMPBELLFORD</v>
      </c>
      <c r="D5547" s="3" t="str">
        <f>IFERROR(__xludf.DUMMYFUNCTION("""COMPUTED_VALUE"""),"K0L 1L0")</f>
        <v>K0L 1L0</v>
      </c>
      <c r="E5547" s="3" t="str">
        <f>IFERROR(__xludf.DUMMYFUNCTION("""COMPUTED_VALUE"""),"Lea Koiv")</f>
        <v>Lea Koiv</v>
      </c>
      <c r="F5547" s="3" t="str">
        <f>IFERROR(__xludf.DUMMYFUNCTION("""COMPUTED_VALUE"""),"leakoiv@rogers.com")</f>
        <v>leakoiv@rogers.com</v>
      </c>
      <c r="G5547" s="3"/>
      <c r="H5547" s="3"/>
    </row>
    <row r="5548">
      <c r="A5548" s="2">
        <f>IFERROR(__xludf.DUMMYFUNCTION("""COMPUTED_VALUE"""),62190.0)</f>
        <v>62190</v>
      </c>
      <c r="B5548" s="3" t="str">
        <f>IFERROR(__xludf.DUMMYFUNCTION("""COMPUTED_VALUE"""),"506 HILLSIDE DR  ")</f>
        <v>506 HILLSIDE DR  </v>
      </c>
      <c r="C5548" s="3" t="str">
        <f>IFERROR(__xludf.DUMMYFUNCTION("""COMPUTED_VALUE"""),"CAMPBELLFORD")</f>
        <v>CAMPBELLFORD</v>
      </c>
      <c r="D5548" s="3" t="str">
        <f>IFERROR(__xludf.DUMMYFUNCTION("""COMPUTED_VALUE"""),"K0L 1L0")</f>
        <v>K0L 1L0</v>
      </c>
      <c r="E5548" s="3" t="str">
        <f>IFERROR(__xludf.DUMMYFUNCTION("""COMPUTED_VALUE"""),"Dave Brand")</f>
        <v>Dave Brand</v>
      </c>
      <c r="F5548" s="3" t="str">
        <f>IFERROR(__xludf.DUMMYFUNCTION("""COMPUTED_VALUE"""),"lecoland@yahoo.com")</f>
        <v>lecoland@yahoo.com</v>
      </c>
      <c r="G5548" s="3">
        <f>IFERROR(__xludf.DUMMYFUNCTION("""COMPUTED_VALUE"""),7.057617737E9)</f>
        <v>7057617737</v>
      </c>
      <c r="H5548" s="3"/>
    </row>
    <row r="5549">
      <c r="A5549" s="2">
        <f>IFERROR(__xludf.DUMMYFUNCTION("""COMPUTED_VALUE"""),62191.0)</f>
        <v>62191</v>
      </c>
      <c r="B5549" s="3" t="str">
        <f>IFERROR(__xludf.DUMMYFUNCTION("""COMPUTED_VALUE"""),"513 HILLSIDE DR  ")</f>
        <v>513 HILLSIDE DR  </v>
      </c>
      <c r="C5549" s="3" t="str">
        <f>IFERROR(__xludf.DUMMYFUNCTION("""COMPUTED_VALUE"""),"CAMPBELLFORD")</f>
        <v>CAMPBELLFORD</v>
      </c>
      <c r="D5549" s="3" t="str">
        <f>IFERROR(__xludf.DUMMYFUNCTION("""COMPUTED_VALUE"""),"K0L 1L0")</f>
        <v>K0L 1L0</v>
      </c>
      <c r="E5549" s="3"/>
      <c r="F5549" s="3"/>
      <c r="G5549" s="3"/>
      <c r="H5549" s="3"/>
    </row>
    <row r="5550">
      <c r="A5550" s="2">
        <f>IFERROR(__xludf.DUMMYFUNCTION("""COMPUTED_VALUE"""),62192.0)</f>
        <v>62192</v>
      </c>
      <c r="B5550" s="3" t="str">
        <f>IFERROR(__xludf.DUMMYFUNCTION("""COMPUTED_VALUE"""),"516 HILLSIDE DR  ")</f>
        <v>516 HILLSIDE DR  </v>
      </c>
      <c r="C5550" s="3" t="str">
        <f>IFERROR(__xludf.DUMMYFUNCTION("""COMPUTED_VALUE"""),"CAMPBELLFORD")</f>
        <v>CAMPBELLFORD</v>
      </c>
      <c r="D5550" s="3" t="str">
        <f>IFERROR(__xludf.DUMMYFUNCTION("""COMPUTED_VALUE"""),"K0L 1L0")</f>
        <v>K0L 1L0</v>
      </c>
      <c r="E5550" s="3" t="str">
        <f>IFERROR(__xludf.DUMMYFUNCTION("""COMPUTED_VALUE"""),"SYLVIA ADSHADE AND CARLINE BARNES")</f>
        <v>SYLVIA ADSHADE AND CARLINE BARNES</v>
      </c>
      <c r="F5550" s="3" t="str">
        <f>IFERROR(__xludf.DUMMYFUNCTION("""COMPUTED_VALUE"""),"sylvia.adshade@telus.net")</f>
        <v>sylvia.adshade@telus.net</v>
      </c>
      <c r="G5550" s="3"/>
      <c r="H5550" s="3"/>
    </row>
    <row r="5551">
      <c r="A5551" s="2">
        <f>IFERROR(__xludf.DUMMYFUNCTION("""COMPUTED_VALUE"""),62193.0)</f>
        <v>62193</v>
      </c>
      <c r="B5551" s="3" t="str">
        <f>IFERROR(__xludf.DUMMYFUNCTION("""COMPUTED_VALUE"""),"523 HILLSIDE DR  ")</f>
        <v>523 HILLSIDE DR  </v>
      </c>
      <c r="C5551" s="3" t="str">
        <f>IFERROR(__xludf.DUMMYFUNCTION("""COMPUTED_VALUE"""),"CAMPBELLFORD")</f>
        <v>CAMPBELLFORD</v>
      </c>
      <c r="D5551" s="3" t="str">
        <f>IFERROR(__xludf.DUMMYFUNCTION("""COMPUTED_VALUE"""),"K0L 1L0")</f>
        <v>K0L 1L0</v>
      </c>
      <c r="E5551" s="3" t="str">
        <f>IFERROR(__xludf.DUMMYFUNCTION("""COMPUTED_VALUE"""),"Karen Henderson")</f>
        <v>Karen Henderson</v>
      </c>
      <c r="F5551" s="3" t="str">
        <f>IFERROR(__xludf.DUMMYFUNCTION("""COMPUTED_VALUE"""),"karen@orchestratedinfo.com")</f>
        <v>karen@orchestratedinfo.com</v>
      </c>
      <c r="G5551" s="3">
        <f>IFERROR(__xludf.DUMMYFUNCTION("""COMPUTED_VALUE"""),7.056321888E9)</f>
        <v>7056321888</v>
      </c>
      <c r="H5551" s="3">
        <f>IFERROR(__xludf.DUMMYFUNCTION("""COMPUTED_VALUE"""),4.165878082E9)</f>
        <v>4165878082</v>
      </c>
    </row>
    <row r="5552">
      <c r="A5552" s="2">
        <f>IFERROR(__xludf.DUMMYFUNCTION("""COMPUTED_VALUE"""),62194.0)</f>
        <v>62194</v>
      </c>
      <c r="B5552" s="3" t="str">
        <f>IFERROR(__xludf.DUMMYFUNCTION("""COMPUTED_VALUE"""),"524 HILLSIDE DR  ")</f>
        <v>524 HILLSIDE DR  </v>
      </c>
      <c r="C5552" s="3" t="str">
        <f>IFERROR(__xludf.DUMMYFUNCTION("""COMPUTED_VALUE"""),"CAMPBELLFORD")</f>
        <v>CAMPBELLFORD</v>
      </c>
      <c r="D5552" s="3" t="str">
        <f>IFERROR(__xludf.DUMMYFUNCTION("""COMPUTED_VALUE"""),"K0L 1L0")</f>
        <v>K0L 1L0</v>
      </c>
      <c r="E5552" s="3" t="str">
        <f>IFERROR(__xludf.DUMMYFUNCTION("""COMPUTED_VALUE"""),"spencer anderson")</f>
        <v>spencer anderson</v>
      </c>
      <c r="F5552" s="3"/>
      <c r="G5552" s="3">
        <f>IFERROR(__xludf.DUMMYFUNCTION("""COMPUTED_VALUE"""),9.056530171E9)</f>
        <v>9056530171</v>
      </c>
      <c r="H5552" s="3"/>
    </row>
    <row r="5553">
      <c r="A5553" s="2">
        <f>IFERROR(__xludf.DUMMYFUNCTION("""COMPUTED_VALUE"""),62195.0)</f>
        <v>62195</v>
      </c>
      <c r="B5553" s="3" t="str">
        <f>IFERROR(__xludf.DUMMYFUNCTION("""COMPUTED_VALUE"""),"533 HILLSIDE DR  ")</f>
        <v>533 HILLSIDE DR  </v>
      </c>
      <c r="C5553" s="3" t="str">
        <f>IFERROR(__xludf.DUMMYFUNCTION("""COMPUTED_VALUE"""),"CAMPBELLFORD")</f>
        <v>CAMPBELLFORD</v>
      </c>
      <c r="D5553" s="3" t="str">
        <f>IFERROR(__xludf.DUMMYFUNCTION("""COMPUTED_VALUE"""),"K0L 1L0")</f>
        <v>K0L 1L0</v>
      </c>
      <c r="E5553" s="3" t="str">
        <f>IFERROR(__xludf.DUMMYFUNCTION("""COMPUTED_VALUE"""),"nayida bowen")</f>
        <v>nayida bowen</v>
      </c>
      <c r="F5553" s="3" t="str">
        <f>IFERROR(__xludf.DUMMYFUNCTION("""COMPUTED_VALUE"""),"nayida-bowen@yahoo.ca")</f>
        <v>nayida-bowen@yahoo.ca</v>
      </c>
      <c r="G5553" s="3">
        <f>IFERROR(__xludf.DUMMYFUNCTION("""COMPUTED_VALUE"""),6.478802459E9)</f>
        <v>6478802459</v>
      </c>
      <c r="H5553" s="3">
        <f>IFERROR(__xludf.DUMMYFUNCTION("""COMPUTED_VALUE"""),7.056530585E9)</f>
        <v>7056530585</v>
      </c>
    </row>
    <row r="5554">
      <c r="A5554" s="2">
        <f>IFERROR(__xludf.DUMMYFUNCTION("""COMPUTED_VALUE"""),62196.0)</f>
        <v>62196</v>
      </c>
      <c r="B5554" s="3" t="str">
        <f>IFERROR(__xludf.DUMMYFUNCTION("""COMPUTED_VALUE"""),"538 HILLSIDE DR  ")</f>
        <v>538 HILLSIDE DR  </v>
      </c>
      <c r="C5554" s="3" t="str">
        <f>IFERROR(__xludf.DUMMYFUNCTION("""COMPUTED_VALUE"""),"CAMPBELLFORD")</f>
        <v>CAMPBELLFORD</v>
      </c>
      <c r="D5554" s="3" t="str">
        <f>IFERROR(__xludf.DUMMYFUNCTION("""COMPUTED_VALUE"""),"K0L 1L0")</f>
        <v>K0L 1L0</v>
      </c>
      <c r="E5554" s="3" t="str">
        <f>IFERROR(__xludf.DUMMYFUNCTION("""COMPUTED_VALUE"""),"mark mcarron")</f>
        <v>mark mcarron</v>
      </c>
      <c r="F5554" s="3"/>
      <c r="G5554" s="3">
        <f>IFERROR(__xludf.DUMMYFUNCTION("""COMPUTED_VALUE"""),2.893800351E9)</f>
        <v>2893800351</v>
      </c>
      <c r="H5554" s="3"/>
    </row>
    <row r="5555">
      <c r="A5555" s="2">
        <f>IFERROR(__xludf.DUMMYFUNCTION("""COMPUTED_VALUE"""),62197.0)</f>
        <v>62197</v>
      </c>
      <c r="B5555" s="3" t="str">
        <f>IFERROR(__xludf.DUMMYFUNCTION("""COMPUTED_VALUE"""),"541 HILLSIDE DR  ")</f>
        <v>541 HILLSIDE DR  </v>
      </c>
      <c r="C5555" s="3" t="str">
        <f>IFERROR(__xludf.DUMMYFUNCTION("""COMPUTED_VALUE"""),"CAMPBELLFORD")</f>
        <v>CAMPBELLFORD</v>
      </c>
      <c r="D5555" s="3" t="str">
        <f>IFERROR(__xludf.DUMMYFUNCTION("""COMPUTED_VALUE"""),"K0L 1L0")</f>
        <v>K0L 1L0</v>
      </c>
      <c r="E5555" s="3" t="str">
        <f>IFERROR(__xludf.DUMMYFUNCTION("""COMPUTED_VALUE"""),"ta phu vi ")</f>
        <v>ta phu vi </v>
      </c>
      <c r="F5555" s="3" t="str">
        <f>IFERROR(__xludf.DUMMYFUNCTION("""COMPUTED_VALUE"""),"jackila26@hotmail.com")</f>
        <v>jackila26@hotmail.com</v>
      </c>
      <c r="G5555" s="3">
        <f>IFERROR(__xludf.DUMMYFUNCTION("""COMPUTED_VALUE"""),4.165986321E9)</f>
        <v>4165986321</v>
      </c>
      <c r="H5555" s="3"/>
    </row>
    <row r="5556">
      <c r="A5556" s="2">
        <f>IFERROR(__xludf.DUMMYFUNCTION("""COMPUTED_VALUE"""),62198.0)</f>
        <v>62198</v>
      </c>
      <c r="B5556" s="3" t="str">
        <f>IFERROR(__xludf.DUMMYFUNCTION("""COMPUTED_VALUE"""),"543 HILLSIDE DR  ")</f>
        <v>543 HILLSIDE DR  </v>
      </c>
      <c r="C5556" s="3" t="str">
        <f>IFERROR(__xludf.DUMMYFUNCTION("""COMPUTED_VALUE"""),"CAMPBELLFORD")</f>
        <v>CAMPBELLFORD</v>
      </c>
      <c r="D5556" s="3" t="str">
        <f>IFERROR(__xludf.DUMMYFUNCTION("""COMPUTED_VALUE"""),"K0L 1L0")</f>
        <v>K0L 1L0</v>
      </c>
      <c r="E5556" s="3"/>
      <c r="F5556" s="3"/>
      <c r="G5556" s="3"/>
      <c r="H5556" s="3"/>
    </row>
    <row r="5557">
      <c r="A5557" s="2">
        <f>IFERROR(__xludf.DUMMYFUNCTION("""COMPUTED_VALUE"""),62199.0)</f>
        <v>62199</v>
      </c>
      <c r="B5557" s="3" t="str">
        <f>IFERROR(__xludf.DUMMYFUNCTION("""COMPUTED_VALUE"""),"548 HILLSIDE DR  ")</f>
        <v>548 HILLSIDE DR  </v>
      </c>
      <c r="C5557" s="3" t="str">
        <f>IFERROR(__xludf.DUMMYFUNCTION("""COMPUTED_VALUE"""),"CAMPBELLFORD")</f>
        <v>CAMPBELLFORD</v>
      </c>
      <c r="D5557" s="3" t="str">
        <f>IFERROR(__xludf.DUMMYFUNCTION("""COMPUTED_VALUE"""),"K0L 1L0")</f>
        <v>K0L 1L0</v>
      </c>
      <c r="E5557" s="3"/>
      <c r="F5557" s="3"/>
      <c r="G5557" s="3"/>
      <c r="H5557" s="3"/>
    </row>
    <row r="5558">
      <c r="A5558" s="2">
        <f>IFERROR(__xludf.DUMMYFUNCTION("""COMPUTED_VALUE"""),62200.0)</f>
        <v>62200</v>
      </c>
      <c r="B5558" s="3" t="str">
        <f>IFERROR(__xludf.DUMMYFUNCTION("""COMPUTED_VALUE"""),"549 HILLSIDE DR  ")</f>
        <v>549 HILLSIDE DR  </v>
      </c>
      <c r="C5558" s="3" t="str">
        <f>IFERROR(__xludf.DUMMYFUNCTION("""COMPUTED_VALUE"""),"CAMPBELLFORD")</f>
        <v>CAMPBELLFORD</v>
      </c>
      <c r="D5558" s="3" t="str">
        <f>IFERROR(__xludf.DUMMYFUNCTION("""COMPUTED_VALUE"""),"K0L 1L0")</f>
        <v>K0L 1L0</v>
      </c>
      <c r="E5558" s="3" t="str">
        <f>IFERROR(__xludf.DUMMYFUNCTION("""COMPUTED_VALUE"""),"owen &amp; Donna ")</f>
        <v>owen &amp; Donna </v>
      </c>
      <c r="F5558" s="3" t="str">
        <f>IFERROR(__xludf.DUMMYFUNCTION("""COMPUTED_VALUE"""),"dawnfryer25@yahoo.com")</f>
        <v>dawnfryer25@yahoo.com</v>
      </c>
      <c r="G5558" s="3">
        <f>IFERROR(__xludf.DUMMYFUNCTION("""COMPUTED_VALUE"""),4.166694432E9)</f>
        <v>4166694432</v>
      </c>
      <c r="H5558" s="3"/>
    </row>
    <row r="5559">
      <c r="A5559" s="2">
        <f>IFERROR(__xludf.DUMMYFUNCTION("""COMPUTED_VALUE"""),62201.0)</f>
        <v>62201</v>
      </c>
      <c r="B5559" s="3" t="str">
        <f>IFERROR(__xludf.DUMMYFUNCTION("""COMPUTED_VALUE"""),"555 HILLSIDE DR  ")</f>
        <v>555 HILLSIDE DR  </v>
      </c>
      <c r="C5559" s="3" t="str">
        <f>IFERROR(__xludf.DUMMYFUNCTION("""COMPUTED_VALUE"""),"CAMPBELLFORD")</f>
        <v>CAMPBELLFORD</v>
      </c>
      <c r="D5559" s="3" t="str">
        <f>IFERROR(__xludf.DUMMYFUNCTION("""COMPUTED_VALUE"""),"K0L 1L0")</f>
        <v>K0L 1L0</v>
      </c>
      <c r="E5559" s="3" t="str">
        <f>IFERROR(__xludf.DUMMYFUNCTION("""COMPUTED_VALUE"""),"paul bramley")</f>
        <v>paul bramley</v>
      </c>
      <c r="F5559" s="3" t="str">
        <f>IFERROR(__xludf.DUMMYFUNCTION("""COMPUTED_VALUE"""),"bramleyleeds@icloud.com")</f>
        <v>bramleyleeds@icloud.com</v>
      </c>
      <c r="G5559" s="3">
        <f>IFERROR(__xludf.DUMMYFUNCTION("""COMPUTED_VALUE"""),3.432632637E9)</f>
        <v>3432632637</v>
      </c>
      <c r="H5559" s="3"/>
    </row>
    <row r="5560">
      <c r="A5560" s="2">
        <f>IFERROR(__xludf.DUMMYFUNCTION("""COMPUTED_VALUE"""),62202.0)</f>
        <v>62202</v>
      </c>
      <c r="B5560" s="3" t="str">
        <f>IFERROR(__xludf.DUMMYFUNCTION("""COMPUTED_VALUE"""),"560 HILLSIDE DR  ")</f>
        <v>560 HILLSIDE DR  </v>
      </c>
      <c r="C5560" s="3" t="str">
        <f>IFERROR(__xludf.DUMMYFUNCTION("""COMPUTED_VALUE"""),"CAMPBELLFORD")</f>
        <v>CAMPBELLFORD</v>
      </c>
      <c r="D5560" s="3" t="str">
        <f>IFERROR(__xludf.DUMMYFUNCTION("""COMPUTED_VALUE"""),"K0L 1L0")</f>
        <v>K0L 1L0</v>
      </c>
      <c r="E5560" s="3" t="str">
        <f>IFERROR(__xludf.DUMMYFUNCTION("""COMPUTED_VALUE"""),"Jeanette Cournoyer")</f>
        <v>Jeanette Cournoyer</v>
      </c>
      <c r="F5560" s="3" t="str">
        <f>IFERROR(__xludf.DUMMYFUNCTION("""COMPUTED_VALUE"""),"jeanettecournoyer@gmail.com")</f>
        <v>jeanettecournoyer@gmail.com</v>
      </c>
      <c r="G5560" s="3">
        <f>IFERROR(__xludf.DUMMYFUNCTION("""COMPUTED_VALUE"""),7.055590132E9)</f>
        <v>7055590132</v>
      </c>
      <c r="H5560" s="3">
        <f>IFERROR(__xludf.DUMMYFUNCTION("""COMPUTED_VALUE"""),7.059914229E9)</f>
        <v>7059914229</v>
      </c>
    </row>
    <row r="5561">
      <c r="A5561" s="2">
        <f>IFERROR(__xludf.DUMMYFUNCTION("""COMPUTED_VALUE"""),62203.0)</f>
        <v>62203</v>
      </c>
      <c r="B5561" s="3" t="str">
        <f>IFERROR(__xludf.DUMMYFUNCTION("""COMPUTED_VALUE"""),"569 HILLSIDE DR  ")</f>
        <v>569 HILLSIDE DR  </v>
      </c>
      <c r="C5561" s="3" t="str">
        <f>IFERROR(__xludf.DUMMYFUNCTION("""COMPUTED_VALUE"""),"CAMPBELLFORD")</f>
        <v>CAMPBELLFORD</v>
      </c>
      <c r="D5561" s="3" t="str">
        <f>IFERROR(__xludf.DUMMYFUNCTION("""COMPUTED_VALUE"""),"K0L 1L0")</f>
        <v>K0L 1L0</v>
      </c>
      <c r="E5561" s="3" t="str">
        <f>IFERROR(__xludf.DUMMYFUNCTION("""COMPUTED_VALUE"""),"jacquelen morais ")</f>
        <v>jacquelen morais </v>
      </c>
      <c r="F5561" s="3" t="str">
        <f>IFERROR(__xludf.DUMMYFUNCTION("""COMPUTED_VALUE"""),"jqln1967@gmail.com")</f>
        <v>jqln1967@gmail.com</v>
      </c>
      <c r="G5561" s="3">
        <f>IFERROR(__xludf.DUMMYFUNCTION("""COMPUTED_VALUE"""),7.053124412E9)</f>
        <v>7053124412</v>
      </c>
      <c r="H5561" s="3"/>
    </row>
    <row r="5562">
      <c r="A5562" s="2">
        <f>IFERROR(__xludf.DUMMYFUNCTION("""COMPUTED_VALUE"""),62204.0)</f>
        <v>62204</v>
      </c>
      <c r="B5562" s="3" t="str">
        <f>IFERROR(__xludf.DUMMYFUNCTION("""COMPUTED_VALUE"""),"577 HILLSIDE DR  ")</f>
        <v>577 HILLSIDE DR  </v>
      </c>
      <c r="C5562" s="3" t="str">
        <f>IFERROR(__xludf.DUMMYFUNCTION("""COMPUTED_VALUE"""),"CAMPBELLFORD")</f>
        <v>CAMPBELLFORD</v>
      </c>
      <c r="D5562" s="3" t="str">
        <f>IFERROR(__xludf.DUMMYFUNCTION("""COMPUTED_VALUE"""),"K0L 1L0")</f>
        <v>K0L 1L0</v>
      </c>
      <c r="E5562" s="3" t="str">
        <f>IFERROR(__xludf.DUMMYFUNCTION("""COMPUTED_VALUE"""),"George Pyke ")</f>
        <v>George Pyke </v>
      </c>
      <c r="F5562" s="3" t="str">
        <f>IFERROR(__xludf.DUMMYFUNCTION("""COMPUTED_VALUE"""),"schulzpyke@yahoo.ca")</f>
        <v>schulzpyke@yahoo.ca</v>
      </c>
      <c r="G5562" s="3"/>
      <c r="H5562" s="3"/>
    </row>
    <row r="5563">
      <c r="A5563" s="2">
        <f>IFERROR(__xludf.DUMMYFUNCTION("""COMPUTED_VALUE"""),62205.0)</f>
        <v>62205</v>
      </c>
      <c r="B5563" s="3" t="str">
        <f>IFERROR(__xludf.DUMMYFUNCTION("""COMPUTED_VALUE"""),"578 HILLSIDE DR  ")</f>
        <v>578 HILLSIDE DR  </v>
      </c>
      <c r="C5563" s="3" t="str">
        <f>IFERROR(__xludf.DUMMYFUNCTION("""COMPUTED_VALUE"""),"CAMPBELLFORD")</f>
        <v>CAMPBELLFORD</v>
      </c>
      <c r="D5563" s="3" t="str">
        <f>IFERROR(__xludf.DUMMYFUNCTION("""COMPUTED_VALUE"""),"K0L 1L0")</f>
        <v>K0L 1L0</v>
      </c>
      <c r="E5563" s="3" t="str">
        <f>IFERROR(__xludf.DUMMYFUNCTION("""COMPUTED_VALUE"""),"lauren latock")</f>
        <v>lauren latock</v>
      </c>
      <c r="F5563" s="3" t="str">
        <f>IFERROR(__xludf.DUMMYFUNCTION("""COMPUTED_VALUE"""),"laura7989@hotmail.com")</f>
        <v>laura7989@hotmail.com</v>
      </c>
      <c r="G5563" s="3">
        <f>IFERROR(__xludf.DUMMYFUNCTION("""COMPUTED_VALUE"""),7.056535822E9)</f>
        <v>7056535822</v>
      </c>
      <c r="H5563" s="3"/>
    </row>
    <row r="5564">
      <c r="A5564" s="2">
        <f>IFERROR(__xludf.DUMMYFUNCTION("""COMPUTED_VALUE"""),62206.0)</f>
        <v>62206</v>
      </c>
      <c r="B5564" s="3" t="str">
        <f>IFERROR(__xludf.DUMMYFUNCTION("""COMPUTED_VALUE"""),"583 HILLSIDE DR  ")</f>
        <v>583 HILLSIDE DR  </v>
      </c>
      <c r="C5564" s="3" t="str">
        <f>IFERROR(__xludf.DUMMYFUNCTION("""COMPUTED_VALUE"""),"CAMPBELLFORD")</f>
        <v>CAMPBELLFORD</v>
      </c>
      <c r="D5564" s="3" t="str">
        <f>IFERROR(__xludf.DUMMYFUNCTION("""COMPUTED_VALUE"""),"K0L 1L0")</f>
        <v>K0L 1L0</v>
      </c>
      <c r="E5564" s="3"/>
      <c r="F5564" s="3"/>
      <c r="G5564" s="3"/>
      <c r="H5564" s="3"/>
    </row>
    <row r="5565">
      <c r="A5565" s="2">
        <f>IFERROR(__xludf.DUMMYFUNCTION("""COMPUTED_VALUE"""),63250.0)</f>
        <v>63250</v>
      </c>
      <c r="B5565" s="3" t="str">
        <f>IFERROR(__xludf.DUMMYFUNCTION("""COMPUTED_VALUE"""),"22 RIVERSIDE BLVD  ")</f>
        <v>22 RIVERSIDE BLVD  </v>
      </c>
      <c r="C5565" s="3" t="str">
        <f>IFERROR(__xludf.DUMMYFUNCTION("""COMPUTED_VALUE"""),"CAMPBELLFORD")</f>
        <v>CAMPBELLFORD</v>
      </c>
      <c r="D5565" s="3" t="str">
        <f>IFERROR(__xludf.DUMMYFUNCTION("""COMPUTED_VALUE"""),"K0L 1L0")</f>
        <v>K0L 1L0</v>
      </c>
      <c r="E5565" s="3"/>
      <c r="F5565" s="3"/>
      <c r="G5565" s="3"/>
      <c r="H5565" s="3"/>
    </row>
    <row r="5566">
      <c r="A5566" s="2">
        <f>IFERROR(__xludf.DUMMYFUNCTION("""COMPUTED_VALUE"""),63251.0)</f>
        <v>63251</v>
      </c>
      <c r="B5566" s="3" t="str">
        <f>IFERROR(__xludf.DUMMYFUNCTION("""COMPUTED_VALUE"""),"29 RIVERSIDE BLVD  ")</f>
        <v>29 RIVERSIDE BLVD  </v>
      </c>
      <c r="C5566" s="3" t="str">
        <f>IFERROR(__xludf.DUMMYFUNCTION("""COMPUTED_VALUE"""),"CAMPBELLFORD")</f>
        <v>CAMPBELLFORD</v>
      </c>
      <c r="D5566" s="3" t="str">
        <f>IFERROR(__xludf.DUMMYFUNCTION("""COMPUTED_VALUE"""),"K0L 1L0")</f>
        <v>K0L 1L0</v>
      </c>
      <c r="E5566" s="3" t="str">
        <f>IFERROR(__xludf.DUMMYFUNCTION("""COMPUTED_VALUE"""),"David &amp; lisa Reader")</f>
        <v>David &amp; lisa Reader</v>
      </c>
      <c r="F5566" s="3" t="str">
        <f>IFERROR(__xludf.DUMMYFUNCTION("""COMPUTED_VALUE"""),"dlreader@yahoo.com")</f>
        <v>dlreader@yahoo.com</v>
      </c>
      <c r="G5566" s="3">
        <f>IFERROR(__xludf.DUMMYFUNCTION("""COMPUTED_VALUE"""),9.054390417E9)</f>
        <v>9054390417</v>
      </c>
      <c r="H5566" s="3"/>
    </row>
    <row r="5567">
      <c r="A5567" s="2">
        <f>IFERROR(__xludf.DUMMYFUNCTION("""COMPUTED_VALUE"""),63252.0)</f>
        <v>63252</v>
      </c>
      <c r="B5567" s="3" t="str">
        <f>IFERROR(__xludf.DUMMYFUNCTION("""COMPUTED_VALUE"""),"37 RIVERSIDE BLVD  ")</f>
        <v>37 RIVERSIDE BLVD  </v>
      </c>
      <c r="C5567" s="3" t="str">
        <f>IFERROR(__xludf.DUMMYFUNCTION("""COMPUTED_VALUE"""),"CAMPBELLFORD")</f>
        <v>CAMPBELLFORD</v>
      </c>
      <c r="D5567" s="3" t="str">
        <f>IFERROR(__xludf.DUMMYFUNCTION("""COMPUTED_VALUE"""),"K0L 1L0")</f>
        <v>K0L 1L0</v>
      </c>
      <c r="E5567" s="3"/>
      <c r="F5567" s="3"/>
      <c r="G5567" s="3"/>
      <c r="H5567" s="3"/>
    </row>
    <row r="5568">
      <c r="A5568" s="2">
        <f>IFERROR(__xludf.DUMMYFUNCTION("""COMPUTED_VALUE"""),63253.0)</f>
        <v>63253</v>
      </c>
      <c r="B5568" s="3" t="str">
        <f>IFERROR(__xludf.DUMMYFUNCTION("""COMPUTED_VALUE"""),"45 RIVERSIDE BLVD  ")</f>
        <v>45 RIVERSIDE BLVD  </v>
      </c>
      <c r="C5568" s="3" t="str">
        <f>IFERROR(__xludf.DUMMYFUNCTION("""COMPUTED_VALUE"""),"CAMPBELLFORD")</f>
        <v>CAMPBELLFORD</v>
      </c>
      <c r="D5568" s="3" t="str">
        <f>IFERROR(__xludf.DUMMYFUNCTION("""COMPUTED_VALUE"""),"K0L 1L0")</f>
        <v>K0L 1L0</v>
      </c>
      <c r="E5568" s="3" t="str">
        <f>IFERROR(__xludf.DUMMYFUNCTION("""COMPUTED_VALUE"""),"Wes Salter")</f>
        <v>Wes Salter</v>
      </c>
      <c r="F5568" s="3" t="str">
        <f>IFERROR(__xludf.DUMMYFUNCTION("""COMPUTED_VALUE"""),"wes_salter@icloud.com")</f>
        <v>wes_salter@icloud.com</v>
      </c>
      <c r="G5568" s="3">
        <f>IFERROR(__xludf.DUMMYFUNCTION("""COMPUTED_VALUE"""),2.269713632E9)</f>
        <v>2269713632</v>
      </c>
      <c r="H5568" s="3"/>
    </row>
    <row r="5569">
      <c r="A5569" s="2">
        <f>IFERROR(__xludf.DUMMYFUNCTION("""COMPUTED_VALUE"""),63254.0)</f>
        <v>63254</v>
      </c>
      <c r="B5569" s="3" t="str">
        <f>IFERROR(__xludf.DUMMYFUNCTION("""COMPUTED_VALUE"""),"48 RIVERSIDE BLVD  ")</f>
        <v>48 RIVERSIDE BLVD  </v>
      </c>
      <c r="C5569" s="3" t="str">
        <f>IFERROR(__xludf.DUMMYFUNCTION("""COMPUTED_VALUE"""),"CAMPBELLFORD")</f>
        <v>CAMPBELLFORD</v>
      </c>
      <c r="D5569" s="3" t="str">
        <f>IFERROR(__xludf.DUMMYFUNCTION("""COMPUTED_VALUE"""),"K0L 1L0")</f>
        <v>K0L 1L0</v>
      </c>
      <c r="E5569" s="3"/>
      <c r="F5569" s="3"/>
      <c r="G5569" s="3"/>
      <c r="H5569" s="3"/>
    </row>
    <row r="5570">
      <c r="A5570" s="2">
        <f>IFERROR(__xludf.DUMMYFUNCTION("""COMPUTED_VALUE"""),63255.0)</f>
        <v>63255</v>
      </c>
      <c r="B5570" s="3" t="str">
        <f>IFERROR(__xludf.DUMMYFUNCTION("""COMPUTED_VALUE"""),"53 RIVERSIDE BLVD  ")</f>
        <v>53 RIVERSIDE BLVD  </v>
      </c>
      <c r="C5570" s="3" t="str">
        <f>IFERROR(__xludf.DUMMYFUNCTION("""COMPUTED_VALUE"""),"CAMPBELLFORD")</f>
        <v>CAMPBELLFORD</v>
      </c>
      <c r="D5570" s="3" t="str">
        <f>IFERROR(__xludf.DUMMYFUNCTION("""COMPUTED_VALUE"""),"K0L 1L0")</f>
        <v>K0L 1L0</v>
      </c>
      <c r="E5570" s="3"/>
      <c r="F5570" s="3"/>
      <c r="G5570" s="3"/>
      <c r="H5570" s="3"/>
    </row>
    <row r="5571">
      <c r="A5571" s="2">
        <f>IFERROR(__xludf.DUMMYFUNCTION("""COMPUTED_VALUE"""),63256.0)</f>
        <v>63256</v>
      </c>
      <c r="B5571" s="3" t="str">
        <f>IFERROR(__xludf.DUMMYFUNCTION("""COMPUTED_VALUE"""),"56 RIVERSIDE BLVD  ")</f>
        <v>56 RIVERSIDE BLVD  </v>
      </c>
      <c r="C5571" s="3" t="str">
        <f>IFERROR(__xludf.DUMMYFUNCTION("""COMPUTED_VALUE"""),"CAMPBELLFORD")</f>
        <v>CAMPBELLFORD</v>
      </c>
      <c r="D5571" s="3" t="str">
        <f>IFERROR(__xludf.DUMMYFUNCTION("""COMPUTED_VALUE"""),"K0L 1L0")</f>
        <v>K0L 1L0</v>
      </c>
      <c r="E5571" s="3" t="str">
        <f>IFERROR(__xludf.DUMMYFUNCTION("""COMPUTED_VALUE"""),"Troy Stephens")</f>
        <v>Troy Stephens</v>
      </c>
      <c r="F5571" s="3"/>
      <c r="G5571" s="3"/>
      <c r="H5571" s="3"/>
    </row>
    <row r="5572">
      <c r="A5572" s="2">
        <f>IFERROR(__xludf.DUMMYFUNCTION("""COMPUTED_VALUE"""),63257.0)</f>
        <v>63257</v>
      </c>
      <c r="B5572" s="3" t="str">
        <f>IFERROR(__xludf.DUMMYFUNCTION("""COMPUTED_VALUE"""),"61 RIVERSIDE BLVD  ")</f>
        <v>61 RIVERSIDE BLVD  </v>
      </c>
      <c r="C5572" s="3" t="str">
        <f>IFERROR(__xludf.DUMMYFUNCTION("""COMPUTED_VALUE"""),"CAMPBELLFORD")</f>
        <v>CAMPBELLFORD</v>
      </c>
      <c r="D5572" s="3" t="str">
        <f>IFERROR(__xludf.DUMMYFUNCTION("""COMPUTED_VALUE"""),"K0L 1L0")</f>
        <v>K0L 1L0</v>
      </c>
      <c r="E5572" s="3" t="str">
        <f>IFERROR(__xludf.DUMMYFUNCTION("""COMPUTED_VALUE"""),"ashley lord ")</f>
        <v>ashley lord </v>
      </c>
      <c r="F5572" s="3" t="str">
        <f>IFERROR(__xludf.DUMMYFUNCTION("""COMPUTED_VALUE"""),"samandashley@outlook.com")</f>
        <v>samandashley@outlook.com</v>
      </c>
      <c r="G5572" s="3">
        <f>IFERROR(__xludf.DUMMYFUNCTION("""COMPUTED_VALUE"""),6.134380347E9)</f>
        <v>6134380347</v>
      </c>
      <c r="H5572" s="3"/>
    </row>
    <row r="5573">
      <c r="A5573" s="2">
        <f>IFERROR(__xludf.DUMMYFUNCTION("""COMPUTED_VALUE"""),63258.0)</f>
        <v>63258</v>
      </c>
      <c r="B5573" s="3" t="str">
        <f>IFERROR(__xludf.DUMMYFUNCTION("""COMPUTED_VALUE"""),"64 RIVERSIDE BLVD  ")</f>
        <v>64 RIVERSIDE BLVD  </v>
      </c>
      <c r="C5573" s="3" t="str">
        <f>IFERROR(__xludf.DUMMYFUNCTION("""COMPUTED_VALUE"""),"CAMPBELLFORD")</f>
        <v>CAMPBELLFORD</v>
      </c>
      <c r="D5573" s="3" t="str">
        <f>IFERROR(__xludf.DUMMYFUNCTION("""COMPUTED_VALUE"""),"K0L 1L0")</f>
        <v>K0L 1L0</v>
      </c>
      <c r="E5573" s="3" t="str">
        <f>IFERROR(__xludf.DUMMYFUNCTION("""COMPUTED_VALUE"""),"David Wallace")</f>
        <v>David Wallace</v>
      </c>
      <c r="F5573" s="3" t="str">
        <f>IFERROR(__xludf.DUMMYFUNCTION("""COMPUTED_VALUE"""),"dwallace3333@gmail.com")</f>
        <v>dwallace3333@gmail.com</v>
      </c>
      <c r="G5573" s="3">
        <f>IFERROR(__xludf.DUMMYFUNCTION("""COMPUTED_VALUE"""),4.166943341E9)</f>
        <v>4166943341</v>
      </c>
      <c r="H5573" s="3"/>
    </row>
    <row r="5574">
      <c r="A5574" s="2">
        <f>IFERROR(__xludf.DUMMYFUNCTION("""COMPUTED_VALUE"""),63259.0)</f>
        <v>63259</v>
      </c>
      <c r="B5574" s="3" t="str">
        <f>IFERROR(__xludf.DUMMYFUNCTION("""COMPUTED_VALUE"""),"65 RIVERSIDE BLVD  ")</f>
        <v>65 RIVERSIDE BLVD  </v>
      </c>
      <c r="C5574" s="3" t="str">
        <f>IFERROR(__xludf.DUMMYFUNCTION("""COMPUTED_VALUE"""),"CAMPBELLFORD")</f>
        <v>CAMPBELLFORD</v>
      </c>
      <c r="D5574" s="3" t="str">
        <f>IFERROR(__xludf.DUMMYFUNCTION("""COMPUTED_VALUE"""),"K0L 1L0")</f>
        <v>K0L 1L0</v>
      </c>
      <c r="E5574" s="3" t="str">
        <f>IFERROR(__xludf.DUMMYFUNCTION("""COMPUTED_VALUE"""),"David &amp; Dianne White ")</f>
        <v>David &amp; Dianne White </v>
      </c>
      <c r="F5574" s="3" t="str">
        <f>IFERROR(__xludf.DUMMYFUNCTION("""COMPUTED_VALUE"""),"diannewhite0588@gmail.com")</f>
        <v>diannewhite0588@gmail.com</v>
      </c>
      <c r="G5574" s="3"/>
      <c r="H5574" s="3"/>
    </row>
    <row r="5575">
      <c r="A5575" s="2">
        <f>IFERROR(__xludf.DUMMYFUNCTION("""COMPUTED_VALUE"""),63260.0)</f>
        <v>63260</v>
      </c>
      <c r="B5575" s="3" t="str">
        <f>IFERROR(__xludf.DUMMYFUNCTION("""COMPUTED_VALUE"""),"70 RIVERSIDE BLVD  ")</f>
        <v>70 RIVERSIDE BLVD  </v>
      </c>
      <c r="C5575" s="3" t="str">
        <f>IFERROR(__xludf.DUMMYFUNCTION("""COMPUTED_VALUE"""),"CAMPBELLFORD")</f>
        <v>CAMPBELLFORD</v>
      </c>
      <c r="D5575" s="3" t="str">
        <f>IFERROR(__xludf.DUMMYFUNCTION("""COMPUTED_VALUE"""),"K0L 1L0")</f>
        <v>K0L 1L0</v>
      </c>
      <c r="E5575" s="3" t="str">
        <f>IFERROR(__xludf.DUMMYFUNCTION("""COMPUTED_VALUE"""),"Wayne Richmond")</f>
        <v>Wayne Richmond</v>
      </c>
      <c r="F5575" s="3"/>
      <c r="G5575" s="3"/>
      <c r="H5575" s="3"/>
    </row>
    <row r="5576">
      <c r="A5576" s="2">
        <f>IFERROR(__xludf.DUMMYFUNCTION("""COMPUTED_VALUE"""),63261.0)</f>
        <v>63261</v>
      </c>
      <c r="B5576" s="3" t="str">
        <f>IFERROR(__xludf.DUMMYFUNCTION("""COMPUTED_VALUE"""),"80 RIVERSIDE BLVD  ")</f>
        <v>80 RIVERSIDE BLVD  </v>
      </c>
      <c r="C5576" s="3" t="str">
        <f>IFERROR(__xludf.DUMMYFUNCTION("""COMPUTED_VALUE"""),"CAMPBELLFORD")</f>
        <v>CAMPBELLFORD</v>
      </c>
      <c r="D5576" s="3" t="str">
        <f>IFERROR(__xludf.DUMMYFUNCTION("""COMPUTED_VALUE"""),"K0L 1L0")</f>
        <v>K0L 1L0</v>
      </c>
      <c r="E5576" s="3" t="str">
        <f>IFERROR(__xludf.DUMMYFUNCTION("""COMPUTED_VALUE"""),"nanct elmhirst ")</f>
        <v>nanct elmhirst </v>
      </c>
      <c r="F5576" s="3" t="str">
        <f>IFERROR(__xludf.DUMMYFUNCTION("""COMPUTED_VALUE"""),"nancyelmhirst@yahoo.ca")</f>
        <v>nancyelmhirst@yahoo.ca</v>
      </c>
      <c r="G5576" s="3">
        <f>IFERROR(__xludf.DUMMYFUNCTION("""COMPUTED_VALUE"""),7.056531423E9)</f>
        <v>7056531423</v>
      </c>
      <c r="H5576" s="3"/>
    </row>
    <row r="5577">
      <c r="A5577" s="2">
        <f>IFERROR(__xludf.DUMMYFUNCTION("""COMPUTED_VALUE"""),63262.0)</f>
        <v>63262</v>
      </c>
      <c r="B5577" s="3" t="str">
        <f>IFERROR(__xludf.DUMMYFUNCTION("""COMPUTED_VALUE"""),"88 RIVERSIDE BLVD  ")</f>
        <v>88 RIVERSIDE BLVD  </v>
      </c>
      <c r="C5577" s="3" t="str">
        <f>IFERROR(__xludf.DUMMYFUNCTION("""COMPUTED_VALUE"""),"CAMPBELLFORD")</f>
        <v>CAMPBELLFORD</v>
      </c>
      <c r="D5577" s="3" t="str">
        <f>IFERROR(__xludf.DUMMYFUNCTION("""COMPUTED_VALUE"""),"K0L 1L0")</f>
        <v>K0L 1L0</v>
      </c>
      <c r="E5577" s="3" t="str">
        <f>IFERROR(__xludf.DUMMYFUNCTION("""COMPUTED_VALUE"""),"Dan Beck")</f>
        <v>Dan Beck</v>
      </c>
      <c r="F5577" s="3" t="str">
        <f>IFERROR(__xludf.DUMMYFUNCTION("""COMPUTED_VALUE"""),"dbeck54@hotmail.com")</f>
        <v>dbeck54@hotmail.com</v>
      </c>
      <c r="G5577" s="3"/>
      <c r="H5577" s="3"/>
    </row>
    <row r="5578">
      <c r="A5578" s="2">
        <f>IFERROR(__xludf.DUMMYFUNCTION("""COMPUTED_VALUE"""),63263.0)</f>
        <v>63263</v>
      </c>
      <c r="B5578" s="3" t="str">
        <f>IFERROR(__xludf.DUMMYFUNCTION("""COMPUTED_VALUE"""),"96 RIVERSIDE BLVD  ")</f>
        <v>96 RIVERSIDE BLVD  </v>
      </c>
      <c r="C5578" s="3" t="str">
        <f>IFERROR(__xludf.DUMMYFUNCTION("""COMPUTED_VALUE"""),"CAMPBELLFORD")</f>
        <v>CAMPBELLFORD</v>
      </c>
      <c r="D5578" s="3" t="str">
        <f>IFERROR(__xludf.DUMMYFUNCTION("""COMPUTED_VALUE"""),"K0L 1L0")</f>
        <v>K0L 1L0</v>
      </c>
      <c r="E5578" s="3" t="str">
        <f>IFERROR(__xludf.DUMMYFUNCTION("""COMPUTED_VALUE"""),"theodore&amp;julie ring")</f>
        <v>theodore&amp;julie ring</v>
      </c>
      <c r="F5578" s="3" t="str">
        <f>IFERROR(__xludf.DUMMYFUNCTION("""COMPUTED_VALUE"""),"tedfaye56@protonmail.com")</f>
        <v>tedfaye56@protonmail.com</v>
      </c>
      <c r="G5578" s="3">
        <f>IFERROR(__xludf.DUMMYFUNCTION("""COMPUTED_VALUE"""),4.16565578E9)</f>
        <v>4165655780</v>
      </c>
      <c r="H5578" s="3"/>
    </row>
    <row r="5579">
      <c r="A5579" s="2">
        <f>IFERROR(__xludf.DUMMYFUNCTION("""COMPUTED_VALUE"""),63264.0)</f>
        <v>63264</v>
      </c>
      <c r="B5579" s="3" t="str">
        <f>IFERROR(__xludf.DUMMYFUNCTION("""COMPUTED_VALUE"""),"106 RIVERSIDE BLVD  ")</f>
        <v>106 RIVERSIDE BLVD  </v>
      </c>
      <c r="C5579" s="3" t="str">
        <f>IFERROR(__xludf.DUMMYFUNCTION("""COMPUTED_VALUE"""),"CAMPBELLFORD")</f>
        <v>CAMPBELLFORD</v>
      </c>
      <c r="D5579" s="3" t="str">
        <f>IFERROR(__xludf.DUMMYFUNCTION("""COMPUTED_VALUE"""),"K0L 1L0")</f>
        <v>K0L 1L0</v>
      </c>
      <c r="E5579" s="3"/>
      <c r="F5579" s="3"/>
      <c r="G5579" s="3"/>
      <c r="H5579" s="3"/>
    </row>
    <row r="5580">
      <c r="A5580" s="2">
        <f>IFERROR(__xludf.DUMMYFUNCTION("""COMPUTED_VALUE"""),63265.0)</f>
        <v>63265</v>
      </c>
      <c r="B5580" s="3" t="str">
        <f>IFERROR(__xludf.DUMMYFUNCTION("""COMPUTED_VALUE"""),"110 RIVERSIDE BLVD  ")</f>
        <v>110 RIVERSIDE BLVD  </v>
      </c>
      <c r="C5580" s="3" t="str">
        <f>IFERROR(__xludf.DUMMYFUNCTION("""COMPUTED_VALUE"""),"CAMPBELLFORD")</f>
        <v>CAMPBELLFORD</v>
      </c>
      <c r="D5580" s="3" t="str">
        <f>IFERROR(__xludf.DUMMYFUNCTION("""COMPUTED_VALUE"""),"K0L 1L0")</f>
        <v>K0L 1L0</v>
      </c>
      <c r="E5580" s="3" t="str">
        <f>IFERROR(__xludf.DUMMYFUNCTION("""COMPUTED_VALUE"""),"mike sherwin")</f>
        <v>mike sherwin</v>
      </c>
      <c r="F5580" s="3" t="str">
        <f>IFERROR(__xludf.DUMMYFUNCTION("""COMPUTED_VALUE"""),"sherwing1972@hotmail.com")</f>
        <v>sherwing1972@hotmail.com</v>
      </c>
      <c r="G5580" s="3">
        <f>IFERROR(__xludf.DUMMYFUNCTION("""COMPUTED_VALUE"""),7.059307446E9)</f>
        <v>7059307446</v>
      </c>
      <c r="H5580" s="3"/>
    </row>
    <row r="5581">
      <c r="A5581" s="2">
        <f>IFERROR(__xludf.DUMMYFUNCTION("""COMPUTED_VALUE"""),63266.0)</f>
        <v>63266</v>
      </c>
      <c r="B5581" s="3" t="str">
        <f>IFERROR(__xludf.DUMMYFUNCTION("""COMPUTED_VALUE"""),"116 RIVERSIDE BLVD  ")</f>
        <v>116 RIVERSIDE BLVD  </v>
      </c>
      <c r="C5581" s="3" t="str">
        <f>IFERROR(__xludf.DUMMYFUNCTION("""COMPUTED_VALUE"""),"CAMPBELLFORD")</f>
        <v>CAMPBELLFORD</v>
      </c>
      <c r="D5581" s="3" t="str">
        <f>IFERROR(__xludf.DUMMYFUNCTION("""COMPUTED_VALUE"""),"K0L 1L0")</f>
        <v>K0L 1L0</v>
      </c>
      <c r="E5581" s="3" t="str">
        <f>IFERROR(__xludf.DUMMYFUNCTION("""COMPUTED_VALUE"""),"dan luke")</f>
        <v>dan luke</v>
      </c>
      <c r="F5581" s="3" t="str">
        <f>IFERROR(__xludf.DUMMYFUNCTION("""COMPUTED_VALUE"""),"danluke1961@gmail.com")</f>
        <v>danluke1961@gmail.com</v>
      </c>
      <c r="G5581" s="3">
        <f>IFERROR(__xludf.DUMMYFUNCTION("""COMPUTED_VALUE"""),9.052443305E9)</f>
        <v>9052443305</v>
      </c>
      <c r="H5581" s="3"/>
    </row>
    <row r="5582">
      <c r="A5582" s="2">
        <f>IFERROR(__xludf.DUMMYFUNCTION("""COMPUTED_VALUE"""),63267.0)</f>
        <v>63267</v>
      </c>
      <c r="B5582" s="3" t="str">
        <f>IFERROR(__xludf.DUMMYFUNCTION("""COMPUTED_VALUE"""),"124 RIVERSIDE BLVD  ")</f>
        <v>124 RIVERSIDE BLVD  </v>
      </c>
      <c r="C5582" s="3" t="str">
        <f>IFERROR(__xludf.DUMMYFUNCTION("""COMPUTED_VALUE"""),"CAMPBELLFORD")</f>
        <v>CAMPBELLFORD</v>
      </c>
      <c r="D5582" s="3" t="str">
        <f>IFERROR(__xludf.DUMMYFUNCTION("""COMPUTED_VALUE"""),"K0L 1L0")</f>
        <v>K0L 1L0</v>
      </c>
      <c r="E5582" s="3" t="str">
        <f>IFERROR(__xludf.DUMMYFUNCTION("""COMPUTED_VALUE"""),"Chari Beck")</f>
        <v>Chari Beck</v>
      </c>
      <c r="F5582" s="3"/>
      <c r="G5582" s="3"/>
      <c r="H5582" s="3"/>
    </row>
    <row r="5583">
      <c r="A5583" s="2">
        <f>IFERROR(__xludf.DUMMYFUNCTION("""COMPUTED_VALUE"""),63268.0)</f>
        <v>63268</v>
      </c>
      <c r="B5583" s="3" t="str">
        <f>IFERROR(__xludf.DUMMYFUNCTION("""COMPUTED_VALUE"""),"138 RIVERSIDE BLVD  ")</f>
        <v>138 RIVERSIDE BLVD  </v>
      </c>
      <c r="C5583" s="3" t="str">
        <f>IFERROR(__xludf.DUMMYFUNCTION("""COMPUTED_VALUE"""),"CAMPBELLFORD")</f>
        <v>CAMPBELLFORD</v>
      </c>
      <c r="D5583" s="3" t="str">
        <f>IFERROR(__xludf.DUMMYFUNCTION("""COMPUTED_VALUE"""),"K0L 1L0")</f>
        <v>K0L 1L0</v>
      </c>
      <c r="E5583" s="3" t="str">
        <f>IFERROR(__xludf.DUMMYFUNCTION("""COMPUTED_VALUE"""),"Jeff Border/Charlene HIll")</f>
        <v>Jeff Border/Charlene HIll</v>
      </c>
      <c r="F5583" s="3"/>
      <c r="G5583" s="3"/>
      <c r="H5583" s="3"/>
    </row>
    <row r="5584">
      <c r="A5584" s="2">
        <f>IFERROR(__xludf.DUMMYFUNCTION("""COMPUTED_VALUE"""),63269.0)</f>
        <v>63269</v>
      </c>
      <c r="B5584" s="3" t="str">
        <f>IFERROR(__xludf.DUMMYFUNCTION("""COMPUTED_VALUE"""),"144 RIVERSIDE BLVD  ")</f>
        <v>144 RIVERSIDE BLVD  </v>
      </c>
      <c r="C5584" s="3" t="str">
        <f>IFERROR(__xludf.DUMMYFUNCTION("""COMPUTED_VALUE"""),"CAMPBELLFORD")</f>
        <v>CAMPBELLFORD</v>
      </c>
      <c r="D5584" s="3" t="str">
        <f>IFERROR(__xludf.DUMMYFUNCTION("""COMPUTED_VALUE"""),"K0L 1L0")</f>
        <v>K0L 1L0</v>
      </c>
      <c r="E5584" s="3"/>
      <c r="F5584" s="3"/>
      <c r="G5584" s="3"/>
      <c r="H5584" s="3"/>
    </row>
    <row r="5585">
      <c r="A5585" s="2">
        <f>IFERROR(__xludf.DUMMYFUNCTION("""COMPUTED_VALUE"""),63270.0)</f>
        <v>63270</v>
      </c>
      <c r="B5585" s="3" t="str">
        <f>IFERROR(__xludf.DUMMYFUNCTION("""COMPUTED_VALUE"""),"154 RIVERSIDE BLVD  ")</f>
        <v>154 RIVERSIDE BLVD  </v>
      </c>
      <c r="C5585" s="3" t="str">
        <f>IFERROR(__xludf.DUMMYFUNCTION("""COMPUTED_VALUE"""),"CAMPBELLFORD")</f>
        <v>CAMPBELLFORD</v>
      </c>
      <c r="D5585" s="3" t="str">
        <f>IFERROR(__xludf.DUMMYFUNCTION("""COMPUTED_VALUE"""),"K0L 1L0")</f>
        <v>K0L 1L0</v>
      </c>
      <c r="E5585" s="3" t="str">
        <f>IFERROR(__xludf.DUMMYFUNCTION("""COMPUTED_VALUE"""),"patrick bogue")</f>
        <v>patrick bogue</v>
      </c>
      <c r="F5585" s="3" t="str">
        <f>IFERROR(__xludf.DUMMYFUNCTION("""COMPUTED_VALUE"""),"twylapat@gmail.com")</f>
        <v>twylapat@gmail.com</v>
      </c>
      <c r="G5585" s="3">
        <f>IFERROR(__xludf.DUMMYFUNCTION("""COMPUTED_VALUE"""),7.056320479E9)</f>
        <v>7056320479</v>
      </c>
      <c r="H5585" s="3">
        <f>IFERROR(__xludf.DUMMYFUNCTION("""COMPUTED_VALUE"""),7.055590988E9)</f>
        <v>7055590988</v>
      </c>
    </row>
    <row r="5586">
      <c r="A5586" s="2">
        <f>IFERROR(__xludf.DUMMYFUNCTION("""COMPUTED_VALUE"""),63271.0)</f>
        <v>63271</v>
      </c>
      <c r="B5586" s="3" t="str">
        <f>IFERROR(__xludf.DUMMYFUNCTION("""COMPUTED_VALUE"""),"164 RIVERSIDE BLVD  ")</f>
        <v>164 RIVERSIDE BLVD  </v>
      </c>
      <c r="C5586" s="3" t="str">
        <f>IFERROR(__xludf.DUMMYFUNCTION("""COMPUTED_VALUE"""),"CAMPBELLFORD")</f>
        <v>CAMPBELLFORD</v>
      </c>
      <c r="D5586" s="3" t="str">
        <f>IFERROR(__xludf.DUMMYFUNCTION("""COMPUTED_VALUE"""),"K0L 1L0")</f>
        <v>K0L 1L0</v>
      </c>
      <c r="E5586" s="3"/>
      <c r="F5586" s="3"/>
      <c r="G5586" s="3"/>
      <c r="H5586" s="3"/>
    </row>
    <row r="5587">
      <c r="A5587" s="2">
        <f>IFERROR(__xludf.DUMMYFUNCTION("""COMPUTED_VALUE"""),63272.0)</f>
        <v>63272</v>
      </c>
      <c r="B5587" s="3" t="str">
        <f>IFERROR(__xludf.DUMMYFUNCTION("""COMPUTED_VALUE"""),"166 RIVERSIDE BLVD  ")</f>
        <v>166 RIVERSIDE BLVD  </v>
      </c>
      <c r="C5587" s="3" t="str">
        <f>IFERROR(__xludf.DUMMYFUNCTION("""COMPUTED_VALUE"""),"CAMPBELLFORD")</f>
        <v>CAMPBELLFORD</v>
      </c>
      <c r="D5587" s="3" t="str">
        <f>IFERROR(__xludf.DUMMYFUNCTION("""COMPUTED_VALUE"""),"K0L 1L0")</f>
        <v>K0L 1L0</v>
      </c>
      <c r="E5587" s="3" t="str">
        <f>IFERROR(__xludf.DUMMYFUNCTION("""COMPUTED_VALUE"""),"Stephen McFadden")</f>
        <v>Stephen McFadden</v>
      </c>
      <c r="F5587" s="3" t="str">
        <f>IFERROR(__xludf.DUMMYFUNCTION("""COMPUTED_VALUE"""),"mcfadden_steve@hotmail.com")</f>
        <v>mcfadden_steve@hotmail.com</v>
      </c>
      <c r="G5587" s="3"/>
      <c r="H5587" s="3"/>
    </row>
    <row r="5588">
      <c r="A5588" s="2">
        <f>IFERROR(__xludf.DUMMYFUNCTION("""COMPUTED_VALUE"""),63273.0)</f>
        <v>63273</v>
      </c>
      <c r="B5588" s="3" t="str">
        <f>IFERROR(__xludf.DUMMYFUNCTION("""COMPUTED_VALUE"""),"174 RIVERSIDE BLVD  ")</f>
        <v>174 RIVERSIDE BLVD  </v>
      </c>
      <c r="C5588" s="3" t="str">
        <f>IFERROR(__xludf.DUMMYFUNCTION("""COMPUTED_VALUE"""),"CAMPBELLFORD")</f>
        <v>CAMPBELLFORD</v>
      </c>
      <c r="D5588" s="3" t="str">
        <f>IFERROR(__xludf.DUMMYFUNCTION("""COMPUTED_VALUE"""),"K0L 1L0")</f>
        <v>K0L 1L0</v>
      </c>
      <c r="E5588" s="3" t="str">
        <f>IFERROR(__xludf.DUMMYFUNCTION("""COMPUTED_VALUE"""),"Stan Bydal")</f>
        <v>Stan Bydal</v>
      </c>
      <c r="F5588" s="3"/>
      <c r="G5588" s="3"/>
      <c r="H5588" s="3"/>
    </row>
    <row r="5589">
      <c r="A5589" s="2">
        <f>IFERROR(__xludf.DUMMYFUNCTION("""COMPUTED_VALUE"""),63355.0)</f>
        <v>63355</v>
      </c>
      <c r="B5589" s="3" t="str">
        <f>IFERROR(__xludf.DUMMYFUNCTION("""COMPUTED_VALUE"""),"403 SKINKLE RD  ")</f>
        <v>403 SKINKLE RD  </v>
      </c>
      <c r="C5589" s="3" t="str">
        <f>IFERROR(__xludf.DUMMYFUNCTION("""COMPUTED_VALUE"""),"WARKWORTH")</f>
        <v>WARKWORTH</v>
      </c>
      <c r="D5589" s="3" t="str">
        <f>IFERROR(__xludf.DUMMYFUNCTION("""COMPUTED_VALUE"""),"K0K 3K0")</f>
        <v>K0K 3K0</v>
      </c>
      <c r="E5589" s="3" t="str">
        <f>IFERROR(__xludf.DUMMYFUNCTION("""COMPUTED_VALUE"""),"Catharine S. Shannon")</f>
        <v>Catharine S. Shannon</v>
      </c>
      <c r="F5589" s="3" t="str">
        <f>IFERROR(__xludf.DUMMYFUNCTION("""COMPUTED_VALUE"""),"cshannon223@gmail.com")</f>
        <v>cshannon223@gmail.com</v>
      </c>
      <c r="G5589" s="3"/>
      <c r="H5589" s="3"/>
    </row>
    <row r="5590">
      <c r="A5590" s="2">
        <f>IFERROR(__xludf.DUMMYFUNCTION("""COMPUTED_VALUE"""),63356.0)</f>
        <v>63356</v>
      </c>
      <c r="B5590" s="3" t="str">
        <f>IFERROR(__xludf.DUMMYFUNCTION("""COMPUTED_VALUE"""),"448 SKINKLE RD  ")</f>
        <v>448 SKINKLE RD  </v>
      </c>
      <c r="C5590" s="3" t="str">
        <f>IFERROR(__xludf.DUMMYFUNCTION("""COMPUTED_VALUE"""),"CAMPBELLFORD")</f>
        <v>CAMPBELLFORD</v>
      </c>
      <c r="D5590" s="3" t="str">
        <f>IFERROR(__xludf.DUMMYFUNCTION("""COMPUTED_VALUE"""),"K0L 1L0")</f>
        <v>K0L 1L0</v>
      </c>
      <c r="E5590" s="3" t="str">
        <f>IFERROR(__xludf.DUMMYFUNCTION("""COMPUTED_VALUE"""),"martin hill")</f>
        <v>martin hill</v>
      </c>
      <c r="F5590" s="3"/>
      <c r="G5590" s="3">
        <f>IFERROR(__xludf.DUMMYFUNCTION("""COMPUTED_VALUE"""),9.05372213E9)</f>
        <v>9053722130</v>
      </c>
      <c r="H5590" s="3"/>
    </row>
    <row r="5591">
      <c r="A5591" s="2">
        <f>IFERROR(__xludf.DUMMYFUNCTION("""COMPUTED_VALUE"""),63357.0)</f>
        <v>63357</v>
      </c>
      <c r="B5591" s="3" t="str">
        <f>IFERROR(__xludf.DUMMYFUNCTION("""COMPUTED_VALUE"""),"462 SKINKLE RD  ")</f>
        <v>462 SKINKLE RD  </v>
      </c>
      <c r="C5591" s="3" t="str">
        <f>IFERROR(__xludf.DUMMYFUNCTION("""COMPUTED_VALUE"""),"CAMPBELLFORD")</f>
        <v>CAMPBELLFORD</v>
      </c>
      <c r="D5591" s="3" t="str">
        <f>IFERROR(__xludf.DUMMYFUNCTION("""COMPUTED_VALUE"""),"K0L 1L0")</f>
        <v>K0L 1L0</v>
      </c>
      <c r="E5591" s="3" t="str">
        <f>IFERROR(__xludf.DUMMYFUNCTION("""COMPUTED_VALUE"""),"rob denbroden")</f>
        <v>rob denbroden</v>
      </c>
      <c r="F5591" s="3"/>
      <c r="G5591" s="3">
        <f>IFERROR(__xludf.DUMMYFUNCTION("""COMPUTED_VALUE"""),7.056588344E9)</f>
        <v>7056588344</v>
      </c>
      <c r="H5591" s="3"/>
    </row>
    <row r="5592">
      <c r="A5592" s="2">
        <f>IFERROR(__xludf.DUMMYFUNCTION("""COMPUTED_VALUE"""),63358.0)</f>
        <v>63358</v>
      </c>
      <c r="B5592" s="3" t="str">
        <f>IFERROR(__xludf.DUMMYFUNCTION("""COMPUTED_VALUE"""),"471 SKINKLE RD  ")</f>
        <v>471 SKINKLE RD  </v>
      </c>
      <c r="C5592" s="3" t="str">
        <f>IFERROR(__xludf.DUMMYFUNCTION("""COMPUTED_VALUE"""),"CAMPBELLFORD")</f>
        <v>CAMPBELLFORD</v>
      </c>
      <c r="D5592" s="3" t="str">
        <f>IFERROR(__xludf.DUMMYFUNCTION("""COMPUTED_VALUE"""),"K0L 1L0")</f>
        <v>K0L 1L0</v>
      </c>
      <c r="E5592" s="3"/>
      <c r="F5592" s="3"/>
      <c r="G5592" s="3"/>
      <c r="H5592" s="3"/>
    </row>
    <row r="5593">
      <c r="A5593" s="2">
        <f>IFERROR(__xludf.DUMMYFUNCTION("""COMPUTED_VALUE"""),62047.0)</f>
        <v>62047</v>
      </c>
      <c r="B5593" s="3" t="str">
        <f>IFERROR(__xludf.DUMMYFUNCTION("""COMPUTED_VALUE"""),"300 GREENLY RD  ")</f>
        <v>300 GREENLY RD  </v>
      </c>
      <c r="C5593" s="3" t="str">
        <f>IFERROR(__xludf.DUMMYFUNCTION("""COMPUTED_VALUE"""),"WARKWORTH")</f>
        <v>WARKWORTH</v>
      </c>
      <c r="D5593" s="3" t="str">
        <f>IFERROR(__xludf.DUMMYFUNCTION("""COMPUTED_VALUE"""),"K0K 3K0")</f>
        <v>K0K 3K0</v>
      </c>
      <c r="E5593" s="3" t="str">
        <f>IFERROR(__xludf.DUMMYFUNCTION("""COMPUTED_VALUE"""),"Kelsey Gorniak")</f>
        <v>Kelsey Gorniak</v>
      </c>
      <c r="F5593" s="3" t="str">
        <f>IFERROR(__xludf.DUMMYFUNCTION("""COMPUTED_VALUE"""),"kelseygork@gmail.com")</f>
        <v>kelseygork@gmail.com</v>
      </c>
      <c r="G5593" s="3"/>
      <c r="H5593" s="3"/>
    </row>
    <row r="5594">
      <c r="A5594" s="2">
        <f>IFERROR(__xludf.DUMMYFUNCTION("""COMPUTED_VALUE"""),62056.0)</f>
        <v>62056</v>
      </c>
      <c r="B5594" s="3" t="str">
        <f>IFERROR(__xludf.DUMMYFUNCTION("""COMPUTED_VALUE"""),"290 GREENLY RD  ")</f>
        <v>290 GREENLY RD  </v>
      </c>
      <c r="C5594" s="3" t="str">
        <f>IFERROR(__xludf.DUMMYFUNCTION("""COMPUTED_VALUE"""),"WARKWORTH")</f>
        <v>WARKWORTH</v>
      </c>
      <c r="D5594" s="3" t="str">
        <f>IFERROR(__xludf.DUMMYFUNCTION("""COMPUTED_VALUE"""),"K0K 3K0")</f>
        <v>K0K 3K0</v>
      </c>
      <c r="E5594" s="3" t="str">
        <f>IFERROR(__xludf.DUMMYFUNCTION("""COMPUTED_VALUE"""),"Gary Kyle")</f>
        <v>Gary Kyle</v>
      </c>
      <c r="F5594" s="3" t="str">
        <f>IFERROR(__xludf.DUMMYFUNCTION("""COMPUTED_VALUE"""),"kylekid290@gmail.com")</f>
        <v>kylekid290@gmail.com</v>
      </c>
      <c r="G5594" s="3"/>
      <c r="H5594" s="3"/>
    </row>
    <row r="5595">
      <c r="A5595" s="2">
        <f>IFERROR(__xludf.DUMMYFUNCTION("""COMPUTED_VALUE"""),62057.0)</f>
        <v>62057</v>
      </c>
      <c r="B5595" s="3" t="str">
        <f>IFERROR(__xludf.DUMMYFUNCTION("""COMPUTED_VALUE"""),"347 GREENLY RD  ")</f>
        <v>347 GREENLY RD  </v>
      </c>
      <c r="C5595" s="3" t="str">
        <f>IFERROR(__xludf.DUMMYFUNCTION("""COMPUTED_VALUE"""),"WARKWORTH")</f>
        <v>WARKWORTH</v>
      </c>
      <c r="D5595" s="3" t="str">
        <f>IFERROR(__xludf.DUMMYFUNCTION("""COMPUTED_VALUE"""),"K0K 3K0")</f>
        <v>K0K 3K0</v>
      </c>
      <c r="E5595" s="3" t="str">
        <f>IFERROR(__xludf.DUMMYFUNCTION("""COMPUTED_VALUE"""),"mary greenly ")</f>
        <v>mary greenly </v>
      </c>
      <c r="F5595" s="3" t="str">
        <f>IFERROR(__xludf.DUMMYFUNCTION("""COMPUTED_VALUE"""),"marygreenly@hotmail.com")</f>
        <v>marygreenly@hotmail.com</v>
      </c>
      <c r="G5595" s="3">
        <f>IFERROR(__xludf.DUMMYFUNCTION("""COMPUTED_VALUE"""),7.057612498E9)</f>
        <v>7057612498</v>
      </c>
      <c r="H5595" s="3"/>
    </row>
    <row r="5596">
      <c r="A5596" s="2">
        <f>IFERROR(__xludf.DUMMYFUNCTION("""COMPUTED_VALUE"""),62058.0)</f>
        <v>62058</v>
      </c>
      <c r="B5596" s="3" t="str">
        <f>IFERROR(__xludf.DUMMYFUNCTION("""COMPUTED_VALUE"""),"348 GREENLY RD  ")</f>
        <v>348 GREENLY RD  </v>
      </c>
      <c r="C5596" s="3" t="str">
        <f>IFERROR(__xludf.DUMMYFUNCTION("""COMPUTED_VALUE"""),"WARKWORTH")</f>
        <v>WARKWORTH</v>
      </c>
      <c r="D5596" s="3" t="str">
        <f>IFERROR(__xludf.DUMMYFUNCTION("""COMPUTED_VALUE"""),"K0K 3K0")</f>
        <v>K0K 3K0</v>
      </c>
      <c r="E5596" s="3" t="str">
        <f>IFERROR(__xludf.DUMMYFUNCTION("""COMPUTED_VALUE"""),"ron nelson ")</f>
        <v>ron nelson </v>
      </c>
      <c r="F5596" s="3" t="str">
        <f>IFERROR(__xludf.DUMMYFUNCTION("""COMPUTED_VALUE"""),"ronlinnelson@gmail.com")</f>
        <v>ronlinnelson@gmail.com</v>
      </c>
      <c r="G5596" s="3">
        <f>IFERROR(__xludf.DUMMYFUNCTION("""COMPUTED_VALUE"""),7.05761882E9)</f>
        <v>7057618820</v>
      </c>
      <c r="H5596" s="3">
        <f>IFERROR(__xludf.DUMMYFUNCTION("""COMPUTED_VALUE"""),7.057611975E9)</f>
        <v>7057611975</v>
      </c>
    </row>
    <row r="5597">
      <c r="A5597" s="2">
        <f>IFERROR(__xludf.DUMMYFUNCTION("""COMPUTED_VALUE"""),62059.0)</f>
        <v>62059</v>
      </c>
      <c r="B5597" s="3" t="str">
        <f>IFERROR(__xludf.DUMMYFUNCTION("""COMPUTED_VALUE"""),"382 GREENLY RD  ")</f>
        <v>382 GREENLY RD  </v>
      </c>
      <c r="C5597" s="3" t="str">
        <f>IFERROR(__xludf.DUMMYFUNCTION("""COMPUTED_VALUE"""),"WARKWORTH")</f>
        <v>WARKWORTH</v>
      </c>
      <c r="D5597" s="3" t="str">
        <f>IFERROR(__xludf.DUMMYFUNCTION("""COMPUTED_VALUE"""),"K0K 3K0")</f>
        <v>K0K 3K0</v>
      </c>
      <c r="E5597" s="3" t="str">
        <f>IFERROR(__xludf.DUMMYFUNCTION("""COMPUTED_VALUE"""),"michael kaufmann")</f>
        <v>michael kaufmann</v>
      </c>
      <c r="F5597" s="3" t="str">
        <f>IFERROR(__xludf.DUMMYFUNCTION("""COMPUTED_VALUE"""),"m.kaufmann382@gmail.com")</f>
        <v>m.kaufmann382@gmail.com</v>
      </c>
      <c r="G5597" s="3">
        <f>IFERROR(__xludf.DUMMYFUNCTION("""COMPUTED_VALUE"""),2.892513938E9)</f>
        <v>2892513938</v>
      </c>
      <c r="H5597" s="3"/>
    </row>
    <row r="5598">
      <c r="A5598" s="2">
        <f>IFERROR(__xludf.DUMMYFUNCTION("""COMPUTED_VALUE"""),62060.0)</f>
        <v>62060</v>
      </c>
      <c r="B5598" s="3" t="str">
        <f>IFERROR(__xludf.DUMMYFUNCTION("""COMPUTED_VALUE"""),"411 GREENLY RD  ")</f>
        <v>411 GREENLY RD  </v>
      </c>
      <c r="C5598" s="3" t="str">
        <f>IFERROR(__xludf.DUMMYFUNCTION("""COMPUTED_VALUE"""),"WARKWORTH")</f>
        <v>WARKWORTH</v>
      </c>
      <c r="D5598" s="3" t="str">
        <f>IFERROR(__xludf.DUMMYFUNCTION("""COMPUTED_VALUE"""),"K0K 3K0")</f>
        <v>K0K 3K0</v>
      </c>
      <c r="E5598" s="3"/>
      <c r="F5598" s="3"/>
      <c r="G5598" s="3"/>
      <c r="H5598" s="3"/>
    </row>
    <row r="5599">
      <c r="A5599" s="2">
        <f>IFERROR(__xludf.DUMMYFUNCTION("""COMPUTED_VALUE"""),62061.0)</f>
        <v>62061</v>
      </c>
      <c r="B5599" s="3" t="str">
        <f>IFERROR(__xludf.DUMMYFUNCTION("""COMPUTED_VALUE"""),"421 GREENLY RD  ")</f>
        <v>421 GREENLY RD  </v>
      </c>
      <c r="C5599" s="3" t="str">
        <f>IFERROR(__xludf.DUMMYFUNCTION("""COMPUTED_VALUE"""),"WARKWORTH")</f>
        <v>WARKWORTH</v>
      </c>
      <c r="D5599" s="3" t="str">
        <f>IFERROR(__xludf.DUMMYFUNCTION("""COMPUTED_VALUE"""),"K0K 3K0")</f>
        <v>K0K 3K0</v>
      </c>
      <c r="E5599" s="3" t="str">
        <f>IFERROR(__xludf.DUMMYFUNCTION("""COMPUTED_VALUE"""),"CHRISTOPHER THORPE")</f>
        <v>CHRISTOPHER THORPE</v>
      </c>
      <c r="F5599" s="3" t="str">
        <f>IFERROR(__xludf.DUMMYFUNCTION("""COMPUTED_VALUE"""),"thorpe@artbridge.ca")</f>
        <v>thorpe@artbridge.ca</v>
      </c>
      <c r="G5599" s="3"/>
      <c r="H5599" s="3"/>
    </row>
    <row r="5600">
      <c r="A5600" s="2">
        <f>IFERROR(__xludf.DUMMYFUNCTION("""COMPUTED_VALUE"""),62062.0)</f>
        <v>62062</v>
      </c>
      <c r="B5600" s="3" t="str">
        <f>IFERROR(__xludf.DUMMYFUNCTION("""COMPUTED_VALUE"""),"422 GREENLY RD  ")</f>
        <v>422 GREENLY RD  </v>
      </c>
      <c r="C5600" s="3" t="str">
        <f>IFERROR(__xludf.DUMMYFUNCTION("""COMPUTED_VALUE"""),"WARKWORTH")</f>
        <v>WARKWORTH</v>
      </c>
      <c r="D5600" s="3" t="str">
        <f>IFERROR(__xludf.DUMMYFUNCTION("""COMPUTED_VALUE"""),"K0K 3K0")</f>
        <v>K0K 3K0</v>
      </c>
      <c r="E5600" s="3"/>
      <c r="F5600" s="3"/>
      <c r="G5600" s="3"/>
      <c r="H5600" s="3"/>
    </row>
    <row r="5601">
      <c r="A5601" s="2">
        <f>IFERROR(__xludf.DUMMYFUNCTION("""COMPUTED_VALUE"""),62549.0)</f>
        <v>62549</v>
      </c>
      <c r="B5601" s="3" t="str">
        <f>IFERROR(__xludf.DUMMYFUNCTION("""COMPUTED_VALUE"""),"17 MAIDENS MILL RD  ")</f>
        <v>17 MAIDENS MILL RD  </v>
      </c>
      <c r="C5601" s="3" t="str">
        <f>IFERROR(__xludf.DUMMYFUNCTION("""COMPUTED_VALUE"""),"WARKWORTH")</f>
        <v>WARKWORTH</v>
      </c>
      <c r="D5601" s="3" t="str">
        <f>IFERROR(__xludf.DUMMYFUNCTION("""COMPUTED_VALUE"""),"K0K 3K0")</f>
        <v>K0K 3K0</v>
      </c>
      <c r="E5601" s="3" t="str">
        <f>IFERROR(__xludf.DUMMYFUNCTION("""COMPUTED_VALUE"""),"Alex Shakura")</f>
        <v>Alex Shakura</v>
      </c>
      <c r="F5601" s="3" t="str">
        <f>IFERROR(__xludf.DUMMYFUNCTION("""COMPUTED_VALUE"""),"shakura39@hotmail.com")</f>
        <v>shakura39@hotmail.com</v>
      </c>
      <c r="G5601" s="3">
        <f>IFERROR(__xludf.DUMMYFUNCTION("""COMPUTED_VALUE"""),7.057508774E9)</f>
        <v>7057508774</v>
      </c>
      <c r="H5601" s="3">
        <f>IFERROR(__xludf.DUMMYFUNCTION("""COMPUTED_VALUE"""),7.059243565E9)</f>
        <v>7059243565</v>
      </c>
    </row>
    <row r="5602">
      <c r="A5602" s="2">
        <f>IFERROR(__xludf.DUMMYFUNCTION("""COMPUTED_VALUE"""),62550.0)</f>
        <v>62550</v>
      </c>
      <c r="B5602" s="3" t="str">
        <f>IFERROR(__xludf.DUMMYFUNCTION("""COMPUTED_VALUE"""),"20 MAIDENS MILL RD  ")</f>
        <v>20 MAIDENS MILL RD  </v>
      </c>
      <c r="C5602" s="3" t="str">
        <f>IFERROR(__xludf.DUMMYFUNCTION("""COMPUTED_VALUE"""),"WARKWORTH")</f>
        <v>WARKWORTH</v>
      </c>
      <c r="D5602" s="3" t="str">
        <f>IFERROR(__xludf.DUMMYFUNCTION("""COMPUTED_VALUE"""),"K0K 3K0")</f>
        <v>K0K 3K0</v>
      </c>
      <c r="E5602" s="3" t="str">
        <f>IFERROR(__xludf.DUMMYFUNCTION("""COMPUTED_VALUE"""),"wayne merrill ")</f>
        <v>wayne merrill </v>
      </c>
      <c r="F5602" s="3" t="str">
        <f>IFERROR(__xludf.DUMMYFUNCTION("""COMPUTED_VALUE"""),"waynemerrill90@gmail.com")</f>
        <v>waynemerrill90@gmail.com</v>
      </c>
      <c r="G5602" s="3">
        <f>IFERROR(__xludf.DUMMYFUNCTION("""COMPUTED_VALUE"""),9.053966688E9)</f>
        <v>9053966688</v>
      </c>
      <c r="H5602" s="3"/>
    </row>
    <row r="5603">
      <c r="A5603" s="2">
        <f>IFERROR(__xludf.DUMMYFUNCTION("""COMPUTED_VALUE"""),62551.0)</f>
        <v>62551</v>
      </c>
      <c r="B5603" s="3" t="str">
        <f>IFERROR(__xludf.DUMMYFUNCTION("""COMPUTED_VALUE"""),"23 MAIDENS MILL RD  ")</f>
        <v>23 MAIDENS MILL RD  </v>
      </c>
      <c r="C5603" s="3" t="str">
        <f>IFERROR(__xludf.DUMMYFUNCTION("""COMPUTED_VALUE"""),"WARKWORTH")</f>
        <v>WARKWORTH</v>
      </c>
      <c r="D5603" s="3" t="str">
        <f>IFERROR(__xludf.DUMMYFUNCTION("""COMPUTED_VALUE"""),"K0K 3K0")</f>
        <v>K0K 3K0</v>
      </c>
      <c r="E5603" s="3" t="str">
        <f>IFERROR(__xludf.DUMMYFUNCTION("""COMPUTED_VALUE"""),"Michael &amp; Marg Lachapelle")</f>
        <v>Michael &amp; Marg Lachapelle</v>
      </c>
      <c r="F5603" s="3" t="str">
        <f>IFERROR(__xludf.DUMMYFUNCTION("""COMPUTED_VALUE"""),"lachapellem@teksavvy.com")</f>
        <v>lachapellem@teksavvy.com</v>
      </c>
      <c r="G5603" s="3"/>
      <c r="H5603" s="3"/>
    </row>
    <row r="5604">
      <c r="A5604" s="2">
        <f>IFERROR(__xludf.DUMMYFUNCTION("""COMPUTED_VALUE"""),62552.0)</f>
        <v>62552</v>
      </c>
      <c r="B5604" s="3" t="str">
        <f>IFERROR(__xludf.DUMMYFUNCTION("""COMPUTED_VALUE"""),"27 MAIDENS MILL RD  ")</f>
        <v>27 MAIDENS MILL RD  </v>
      </c>
      <c r="C5604" s="3" t="str">
        <f>IFERROR(__xludf.DUMMYFUNCTION("""COMPUTED_VALUE"""),"WARKWORTH")</f>
        <v>WARKWORTH</v>
      </c>
      <c r="D5604" s="3" t="str">
        <f>IFERROR(__xludf.DUMMYFUNCTION("""COMPUTED_VALUE"""),"K0K 3K0")</f>
        <v>K0K 3K0</v>
      </c>
      <c r="E5604" s="3"/>
      <c r="F5604" s="3"/>
      <c r="G5604" s="3"/>
      <c r="H5604" s="3"/>
    </row>
    <row r="5605">
      <c r="A5605" s="2">
        <f>IFERROR(__xludf.DUMMYFUNCTION("""COMPUTED_VALUE"""),62553.0)</f>
        <v>62553</v>
      </c>
      <c r="B5605" s="3" t="str">
        <f>IFERROR(__xludf.DUMMYFUNCTION("""COMPUTED_VALUE"""),"28 MAIDENS MILL RD  ")</f>
        <v>28 MAIDENS MILL RD  </v>
      </c>
      <c r="C5605" s="3" t="str">
        <f>IFERROR(__xludf.DUMMYFUNCTION("""COMPUTED_VALUE"""),"WARKWORTH")</f>
        <v>WARKWORTH</v>
      </c>
      <c r="D5605" s="3" t="str">
        <f>IFERROR(__xludf.DUMMYFUNCTION("""COMPUTED_VALUE"""),"K0K 3K0")</f>
        <v>K0K 3K0</v>
      </c>
      <c r="E5605" s="3" t="str">
        <f>IFERROR(__xludf.DUMMYFUNCTION("""COMPUTED_VALUE"""),"alan gavin")</f>
        <v>alan gavin</v>
      </c>
      <c r="F5605" s="3" t="str">
        <f>IFERROR(__xludf.DUMMYFUNCTION("""COMPUTED_VALUE"""),"ajgavin1927@gmail.com")</f>
        <v>ajgavin1927@gmail.com</v>
      </c>
      <c r="G5605" s="3">
        <f>IFERROR(__xludf.DUMMYFUNCTION("""COMPUTED_VALUE"""),7.057720941E9)</f>
        <v>7057720941</v>
      </c>
      <c r="H5605" s="3"/>
    </row>
    <row r="5606">
      <c r="A5606" s="2">
        <f>IFERROR(__xludf.DUMMYFUNCTION("""COMPUTED_VALUE"""),62554.0)</f>
        <v>62554</v>
      </c>
      <c r="B5606" s="3" t="str">
        <f>IFERROR(__xludf.DUMMYFUNCTION("""COMPUTED_VALUE"""),"29 MAIDENS MILL RD  ")</f>
        <v>29 MAIDENS MILL RD  </v>
      </c>
      <c r="C5606" s="3" t="str">
        <f>IFERROR(__xludf.DUMMYFUNCTION("""COMPUTED_VALUE"""),"WARKWORTH")</f>
        <v>WARKWORTH</v>
      </c>
      <c r="D5606" s="3" t="str">
        <f>IFERROR(__xludf.DUMMYFUNCTION("""COMPUTED_VALUE"""),"K0K 3K0")</f>
        <v>K0K 3K0</v>
      </c>
      <c r="E5606" s="3" t="str">
        <f>IFERROR(__xludf.DUMMYFUNCTION("""COMPUTED_VALUE"""),"Michelle Maynes/Richard Shears")</f>
        <v>Michelle Maynes/Richard Shears</v>
      </c>
      <c r="F5606" s="3" t="str">
        <f>IFERROR(__xludf.DUMMYFUNCTION("""COMPUTED_VALUE"""),"michelle.maynes416@gmail.com")</f>
        <v>michelle.maynes416@gmail.com</v>
      </c>
      <c r="G5606" s="3">
        <f>IFERROR(__xludf.DUMMYFUNCTION("""COMPUTED_VALUE"""),4.168443006E9)</f>
        <v>4168443006</v>
      </c>
      <c r="H5606" s="3">
        <f>IFERROR(__xludf.DUMMYFUNCTION("""COMPUTED_VALUE"""),6.472971685E9)</f>
        <v>6472971685</v>
      </c>
    </row>
    <row r="5607">
      <c r="A5607" s="2">
        <f>IFERROR(__xludf.DUMMYFUNCTION("""COMPUTED_VALUE"""),62555.0)</f>
        <v>62555</v>
      </c>
      <c r="B5607" s="3" t="str">
        <f>IFERROR(__xludf.DUMMYFUNCTION("""COMPUTED_VALUE"""),"32 MAIDENS MILL RD  ")</f>
        <v>32 MAIDENS MILL RD  </v>
      </c>
      <c r="C5607" s="3" t="str">
        <f>IFERROR(__xludf.DUMMYFUNCTION("""COMPUTED_VALUE"""),"WARKWORTH")</f>
        <v>WARKWORTH</v>
      </c>
      <c r="D5607" s="3" t="str">
        <f>IFERROR(__xludf.DUMMYFUNCTION("""COMPUTED_VALUE"""),"K0K 3K0")</f>
        <v>K0K 3K0</v>
      </c>
      <c r="E5607" s="3" t="str">
        <f>IFERROR(__xludf.DUMMYFUNCTION("""COMPUTED_VALUE"""),"geoff aiek ")</f>
        <v>geoff aiek </v>
      </c>
      <c r="F5607" s="3" t="str">
        <f>IFERROR(__xludf.DUMMYFUNCTION("""COMPUTED_VALUE"""),"geoffaiek@gmail.com")</f>
        <v>geoffaiek@gmail.com</v>
      </c>
      <c r="G5607" s="3">
        <f>IFERROR(__xludf.DUMMYFUNCTION("""COMPUTED_VALUE"""),7.055592863E9)</f>
        <v>7055592863</v>
      </c>
      <c r="H5607" s="3"/>
    </row>
    <row r="5608">
      <c r="A5608" s="2">
        <f>IFERROR(__xludf.DUMMYFUNCTION("""COMPUTED_VALUE"""),62556.0)</f>
        <v>62556</v>
      </c>
      <c r="B5608" s="3" t="str">
        <f>IFERROR(__xludf.DUMMYFUNCTION("""COMPUTED_VALUE"""),"33 MAIDENS MILL RD  ")</f>
        <v>33 MAIDENS MILL RD  </v>
      </c>
      <c r="C5608" s="3" t="str">
        <f>IFERROR(__xludf.DUMMYFUNCTION("""COMPUTED_VALUE"""),"WARKWORTH")</f>
        <v>WARKWORTH</v>
      </c>
      <c r="D5608" s="3" t="str">
        <f>IFERROR(__xludf.DUMMYFUNCTION("""COMPUTED_VALUE"""),"K0K 3K0")</f>
        <v>K0K 3K0</v>
      </c>
      <c r="E5608" s="3" t="str">
        <f>IFERROR(__xludf.DUMMYFUNCTION("""COMPUTED_VALUE"""),"Liz Law")</f>
        <v>Liz Law</v>
      </c>
      <c r="F5608" s="3" t="str">
        <f>IFERROR(__xludf.DUMMYFUNCTION("""COMPUTED_VALUE"""),"law.cjl1982@gmail.com")</f>
        <v>law.cjl1982@gmail.com</v>
      </c>
      <c r="G5608" s="3">
        <f>IFERROR(__xludf.DUMMYFUNCTION("""COMPUTED_VALUE"""),7.057613429E9)</f>
        <v>7057613429</v>
      </c>
      <c r="H5608" s="3">
        <f>IFERROR(__xludf.DUMMYFUNCTION("""COMPUTED_VALUE"""),7.059243821E9)</f>
        <v>7059243821</v>
      </c>
    </row>
    <row r="5609">
      <c r="A5609" s="2">
        <f>IFERROR(__xludf.DUMMYFUNCTION("""COMPUTED_VALUE"""),62557.0)</f>
        <v>62557</v>
      </c>
      <c r="B5609" s="3" t="str">
        <f>IFERROR(__xludf.DUMMYFUNCTION("""COMPUTED_VALUE"""),"36 MAIDENS MILL RD  ")</f>
        <v>36 MAIDENS MILL RD  </v>
      </c>
      <c r="C5609" s="3" t="str">
        <f>IFERROR(__xludf.DUMMYFUNCTION("""COMPUTED_VALUE"""),"WARKWORTH")</f>
        <v>WARKWORTH</v>
      </c>
      <c r="D5609" s="3" t="str">
        <f>IFERROR(__xludf.DUMMYFUNCTION("""COMPUTED_VALUE"""),"K0K 3K0")</f>
        <v>K0K 3K0</v>
      </c>
      <c r="E5609" s="3"/>
      <c r="F5609" s="3"/>
      <c r="G5609" s="3"/>
      <c r="H5609" s="3"/>
    </row>
    <row r="5610">
      <c r="A5610" s="2">
        <f>IFERROR(__xludf.DUMMYFUNCTION("""COMPUTED_VALUE"""),62558.0)</f>
        <v>62558</v>
      </c>
      <c r="B5610" s="3" t="str">
        <f>IFERROR(__xludf.DUMMYFUNCTION("""COMPUTED_VALUE"""),"37 MAIDENS MILL RD  ")</f>
        <v>37 MAIDENS MILL RD  </v>
      </c>
      <c r="C5610" s="3" t="str">
        <f>IFERROR(__xludf.DUMMYFUNCTION("""COMPUTED_VALUE"""),"WARKWORTH")</f>
        <v>WARKWORTH</v>
      </c>
      <c r="D5610" s="3" t="str">
        <f>IFERROR(__xludf.DUMMYFUNCTION("""COMPUTED_VALUE"""),"K0K 3K0")</f>
        <v>K0K 3K0</v>
      </c>
      <c r="E5610" s="3" t="str">
        <f>IFERROR(__xludf.DUMMYFUNCTION("""COMPUTED_VALUE"""),"ricky hernden")</f>
        <v>ricky hernden</v>
      </c>
      <c r="F5610" s="3" t="str">
        <f>IFERROR(__xludf.DUMMYFUNCTION("""COMPUTED_VALUE"""),"rkh298@yahoo.ca")</f>
        <v>rkh298@yahoo.ca</v>
      </c>
      <c r="G5610" s="3">
        <f>IFERROR(__xludf.DUMMYFUNCTION("""COMPUTED_VALUE"""),4.16906208E9)</f>
        <v>4169062080</v>
      </c>
      <c r="H5610" s="3"/>
    </row>
    <row r="5611">
      <c r="A5611" s="2">
        <f>IFERROR(__xludf.DUMMYFUNCTION("""COMPUTED_VALUE"""),62559.0)</f>
        <v>62559</v>
      </c>
      <c r="B5611" s="3" t="str">
        <f>IFERROR(__xludf.DUMMYFUNCTION("""COMPUTED_VALUE"""),"38 MAIDENS MILL RD  ")</f>
        <v>38 MAIDENS MILL RD  </v>
      </c>
      <c r="C5611" s="3" t="str">
        <f>IFERROR(__xludf.DUMMYFUNCTION("""COMPUTED_VALUE"""),"WARKWORTH")</f>
        <v>WARKWORTH</v>
      </c>
      <c r="D5611" s="3" t="str">
        <f>IFERROR(__xludf.DUMMYFUNCTION("""COMPUTED_VALUE"""),"K0K 3K0")</f>
        <v>K0K 3K0</v>
      </c>
      <c r="E5611" s="3" t="str">
        <f>IFERROR(__xludf.DUMMYFUNCTION("""COMPUTED_VALUE"""),"amanda Turner ")</f>
        <v>amanda Turner </v>
      </c>
      <c r="F5611" s="3" t="str">
        <f>IFERROR(__xludf.DUMMYFUNCTION("""COMPUTED_VALUE"""),"aturner07@yahoo.ca")</f>
        <v>aturner07@yahoo.ca</v>
      </c>
      <c r="G5611" s="3"/>
      <c r="H5611" s="3"/>
    </row>
    <row r="5612">
      <c r="A5612" s="2">
        <f>IFERROR(__xludf.DUMMYFUNCTION("""COMPUTED_VALUE"""),60240.0)</f>
        <v>60240</v>
      </c>
      <c r="B5612" s="3" t="str">
        <f>IFERROR(__xludf.DUMMYFUNCTION("""COMPUTED_VALUE"""),"144 ALLEN DR")</f>
        <v>144 ALLEN DR</v>
      </c>
      <c r="C5612" s="3" t="str">
        <f>IFERROR(__xludf.DUMMYFUNCTION("""COMPUTED_VALUE"""),"WARKWORTH")</f>
        <v>WARKWORTH</v>
      </c>
      <c r="D5612" s="3" t="str">
        <f>IFERROR(__xludf.DUMMYFUNCTION("""COMPUTED_VALUE"""),"K0K 3K0")</f>
        <v>K0K 3K0</v>
      </c>
      <c r="E5612" s="3" t="str">
        <f>IFERROR(__xludf.DUMMYFUNCTION("""COMPUTED_VALUE"""),"Cynthia Crysdale")</f>
        <v>Cynthia Crysdale</v>
      </c>
      <c r="F5612" s="3" t="str">
        <f>IFERROR(__xludf.DUMMYFUNCTION("""COMPUTED_VALUE"""),"lacrysdale@hotmail.com")</f>
        <v>lacrysdale@hotmail.com</v>
      </c>
      <c r="G5612" s="3">
        <f>IFERROR(__xludf.DUMMYFUNCTION("""COMPUTED_VALUE"""),9.05344713E9)</f>
        <v>9053447130</v>
      </c>
      <c r="H5612" s="3"/>
    </row>
    <row r="5613">
      <c r="A5613" s="2">
        <f>IFERROR(__xludf.DUMMYFUNCTION("""COMPUTED_VALUE"""),60241.0)</f>
        <v>60241</v>
      </c>
      <c r="B5613" s="3" t="str">
        <f>IFERROR(__xludf.DUMMYFUNCTION("""COMPUTED_VALUE"""),"160 ALLEN DR")</f>
        <v>160 ALLEN DR</v>
      </c>
      <c r="C5613" s="3" t="str">
        <f>IFERROR(__xludf.DUMMYFUNCTION("""COMPUTED_VALUE"""),"WARKWORTH")</f>
        <v>WARKWORTH</v>
      </c>
      <c r="D5613" s="3" t="str">
        <f>IFERROR(__xludf.DUMMYFUNCTION("""COMPUTED_VALUE"""),"K0K 3K0")</f>
        <v>K0K 3K0</v>
      </c>
      <c r="E5613" s="3" t="str">
        <f>IFERROR(__xludf.DUMMYFUNCTION("""COMPUTED_VALUE"""),"Jason Gilmour")</f>
        <v>Jason Gilmour</v>
      </c>
      <c r="F5613" s="3" t="str">
        <f>IFERROR(__xludf.DUMMYFUNCTION("""COMPUTED_VALUE"""),"jason.david.71@hotmail.com")</f>
        <v>jason.david.71@hotmail.com</v>
      </c>
      <c r="G5613" s="3"/>
      <c r="H5613" s="3"/>
    </row>
    <row r="5614">
      <c r="A5614" s="2">
        <f>IFERROR(__xludf.DUMMYFUNCTION("""COMPUTED_VALUE"""),60242.0)</f>
        <v>60242</v>
      </c>
      <c r="B5614" s="3" t="str">
        <f>IFERROR(__xludf.DUMMYFUNCTION("""COMPUTED_VALUE"""),"133 ALLEN DR")</f>
        <v>133 ALLEN DR</v>
      </c>
      <c r="C5614" s="3" t="str">
        <f>IFERROR(__xludf.DUMMYFUNCTION("""COMPUTED_VALUE"""),"WARKWORTH")</f>
        <v>WARKWORTH</v>
      </c>
      <c r="D5614" s="3" t="str">
        <f>IFERROR(__xludf.DUMMYFUNCTION("""COMPUTED_VALUE"""),"K0K 3K0")</f>
        <v>K0K 3K0</v>
      </c>
      <c r="E5614" s="3"/>
      <c r="F5614" s="3"/>
      <c r="G5614" s="3"/>
      <c r="H5614" s="3"/>
    </row>
    <row r="5615">
      <c r="A5615" s="2">
        <f>IFERROR(__xludf.DUMMYFUNCTION("""COMPUTED_VALUE"""),60243.0)</f>
        <v>60243</v>
      </c>
      <c r="B5615" s="3" t="str">
        <f>IFERROR(__xludf.DUMMYFUNCTION("""COMPUTED_VALUE"""),"179 ALLEN DR")</f>
        <v>179 ALLEN DR</v>
      </c>
      <c r="C5615" s="3" t="str">
        <f>IFERROR(__xludf.DUMMYFUNCTION("""COMPUTED_VALUE"""),"WARKWORTH")</f>
        <v>WARKWORTH</v>
      </c>
      <c r="D5615" s="3" t="str">
        <f>IFERROR(__xludf.DUMMYFUNCTION("""COMPUTED_VALUE"""),"K0K 3K0")</f>
        <v>K0K 3K0</v>
      </c>
      <c r="E5615" s="3" t="str">
        <f>IFERROR(__xludf.DUMMYFUNCTION("""COMPUTED_VALUE"""),"Jake Stonehouse")</f>
        <v>Jake Stonehouse</v>
      </c>
      <c r="F5615" s="3"/>
      <c r="G5615" s="3"/>
      <c r="H5615" s="3"/>
    </row>
    <row r="5616">
      <c r="A5616" s="2">
        <f>IFERROR(__xludf.DUMMYFUNCTION("""COMPUTED_VALUE"""),60244.0)</f>
        <v>60244</v>
      </c>
      <c r="B5616" s="3" t="str">
        <f>IFERROR(__xludf.DUMMYFUNCTION("""COMPUTED_VALUE"""),"199 ALLEN DR")</f>
        <v>199 ALLEN DR</v>
      </c>
      <c r="C5616" s="3" t="str">
        <f>IFERROR(__xludf.DUMMYFUNCTION("""COMPUTED_VALUE"""),"WARKWORTH")</f>
        <v>WARKWORTH</v>
      </c>
      <c r="D5616" s="3" t="str">
        <f>IFERROR(__xludf.DUMMYFUNCTION("""COMPUTED_VALUE"""),"K0K 3K0")</f>
        <v>K0K 3K0</v>
      </c>
      <c r="E5616" s="3" t="str">
        <f>IFERROR(__xludf.DUMMYFUNCTION("""COMPUTED_VALUE"""),"Linda Ferreira")</f>
        <v>Linda Ferreira</v>
      </c>
      <c r="F5616" s="3" t="str">
        <f>IFERROR(__xludf.DUMMYFUNCTION("""COMPUTED_VALUE"""),"lal31415@me.com")</f>
        <v>lal31415@me.com</v>
      </c>
      <c r="G5616" s="3">
        <f>IFERROR(__xludf.DUMMYFUNCTION("""COMPUTED_VALUE"""),6.475224306E9)</f>
        <v>6475224306</v>
      </c>
      <c r="H5616" s="3">
        <f>IFERROR(__xludf.DUMMYFUNCTION("""COMPUTED_VALUE"""),4.163892306E9)</f>
        <v>4163892306</v>
      </c>
    </row>
    <row r="5617">
      <c r="A5617" s="2">
        <f>IFERROR(__xludf.DUMMYFUNCTION("""COMPUTED_VALUE"""),60245.0)</f>
        <v>60245</v>
      </c>
      <c r="B5617" s="3" t="str">
        <f>IFERROR(__xludf.DUMMYFUNCTION("""COMPUTED_VALUE"""),"219 ALLEN DR")</f>
        <v>219 ALLEN DR</v>
      </c>
      <c r="C5617" s="3" t="str">
        <f>IFERROR(__xludf.DUMMYFUNCTION("""COMPUTED_VALUE"""),"WARKWORTH")</f>
        <v>WARKWORTH</v>
      </c>
      <c r="D5617" s="3" t="str">
        <f>IFERROR(__xludf.DUMMYFUNCTION("""COMPUTED_VALUE"""),"K0K 3K0")</f>
        <v>K0K 3K0</v>
      </c>
      <c r="E5617" s="3" t="str">
        <f>IFERROR(__xludf.DUMMYFUNCTION("""COMPUTED_VALUE"""),"Adam Grenon")</f>
        <v>Adam Grenon</v>
      </c>
      <c r="F5617" s="3" t="str">
        <f>IFERROR(__xludf.DUMMYFUNCTION("""COMPUTED_VALUE"""),"ajgrenon@gmail.com")</f>
        <v>ajgrenon@gmail.com</v>
      </c>
      <c r="G5617" s="3">
        <f>IFERROR(__xludf.DUMMYFUNCTION("""COMPUTED_VALUE"""),6.139680426E9)</f>
        <v>6139680426</v>
      </c>
      <c r="H5617" s="3"/>
    </row>
    <row r="5618">
      <c r="A5618" s="2">
        <f>IFERROR(__xludf.DUMMYFUNCTION("""COMPUTED_VALUE"""),62468.0)</f>
        <v>62468</v>
      </c>
      <c r="B5618" s="3" t="str">
        <f>IFERROR(__xludf.DUMMYFUNCTION("""COMPUTED_VALUE"""),"10 LAWSON DR  ")</f>
        <v>10 LAWSON DR  </v>
      </c>
      <c r="C5618" s="3" t="str">
        <f>IFERROR(__xludf.DUMMYFUNCTION("""COMPUTED_VALUE"""),"WARKWORTH")</f>
        <v>WARKWORTH</v>
      </c>
      <c r="D5618" s="3" t="str">
        <f>IFERROR(__xludf.DUMMYFUNCTION("""COMPUTED_VALUE"""),"K0K 3K0")</f>
        <v>K0K 3K0</v>
      </c>
      <c r="E5618" s="3" t="str">
        <f>IFERROR(__xludf.DUMMYFUNCTION("""COMPUTED_VALUE"""),"Larry Roberts")</f>
        <v>Larry Roberts</v>
      </c>
      <c r="F5618" s="3" t="str">
        <f>IFERROR(__xludf.DUMMYFUNCTION("""COMPUTED_VALUE"""),"larryrobertsjr@hotmail.com")</f>
        <v>larryrobertsjr@hotmail.com</v>
      </c>
      <c r="G5618" s="3"/>
      <c r="H5618" s="3"/>
    </row>
    <row r="5619">
      <c r="A5619" s="2">
        <f>IFERROR(__xludf.DUMMYFUNCTION("""COMPUTED_VALUE"""),62469.0)</f>
        <v>62469</v>
      </c>
      <c r="B5619" s="3" t="str">
        <f>IFERROR(__xludf.DUMMYFUNCTION("""COMPUTED_VALUE"""),"14 LAWSON DR  ")</f>
        <v>14 LAWSON DR  </v>
      </c>
      <c r="C5619" s="3" t="str">
        <f>IFERROR(__xludf.DUMMYFUNCTION("""COMPUTED_VALUE"""),"WARKWORTH")</f>
        <v>WARKWORTH</v>
      </c>
      <c r="D5619" s="3" t="str">
        <f>IFERROR(__xludf.DUMMYFUNCTION("""COMPUTED_VALUE"""),"K0K 3K0")</f>
        <v>K0K 3K0</v>
      </c>
      <c r="E5619" s="3" t="str">
        <f>IFERROR(__xludf.DUMMYFUNCTION("""COMPUTED_VALUE"""),"Ron O'Neill")</f>
        <v>Ron O'Neill</v>
      </c>
      <c r="F5619" s="3" t="str">
        <f>IFERROR(__xludf.DUMMYFUNCTION("""COMPUTED_VALUE"""),"wolfstar135@gmail.com")</f>
        <v>wolfstar135@gmail.com</v>
      </c>
      <c r="G5619" s="3">
        <f>IFERROR(__xludf.DUMMYFUNCTION("""COMPUTED_VALUE"""),6.479551592E9)</f>
        <v>6479551592</v>
      </c>
      <c r="H5619" s="3">
        <f>IFERROR(__xludf.DUMMYFUNCTION("""COMPUTED_VALUE"""),9.059559484E9)</f>
        <v>9059559484</v>
      </c>
    </row>
    <row r="5620">
      <c r="A5620" s="2">
        <f>IFERROR(__xludf.DUMMYFUNCTION("""COMPUTED_VALUE"""),62470.0)</f>
        <v>62470</v>
      </c>
      <c r="B5620" s="3" t="str">
        <f>IFERROR(__xludf.DUMMYFUNCTION("""COMPUTED_VALUE"""),"16 LAWSON DR  ")</f>
        <v>16 LAWSON DR  </v>
      </c>
      <c r="C5620" s="3" t="str">
        <f>IFERROR(__xludf.DUMMYFUNCTION("""COMPUTED_VALUE"""),"WARKWORTH")</f>
        <v>WARKWORTH</v>
      </c>
      <c r="D5620" s="3" t="str">
        <f>IFERROR(__xludf.DUMMYFUNCTION("""COMPUTED_VALUE"""),"K0K 3K0")</f>
        <v>K0K 3K0</v>
      </c>
      <c r="E5620" s="3" t="str">
        <f>IFERROR(__xludf.DUMMYFUNCTION("""COMPUTED_VALUE"""),"Janice &amp; Stephen Snider")</f>
        <v>Janice &amp; Stephen Snider</v>
      </c>
      <c r="F5620" s="3" t="str">
        <f>IFERROR(__xludf.DUMMYFUNCTION("""COMPUTED_VALUE"""),"janicemsnider@gmail.comm")</f>
        <v>janicemsnider@gmail.comm</v>
      </c>
      <c r="G5620" s="3">
        <f>IFERROR(__xludf.DUMMYFUNCTION("""COMPUTED_VALUE"""),9.053753751E9)</f>
        <v>9053753751</v>
      </c>
      <c r="H5620" s="3">
        <f>IFERROR(__xludf.DUMMYFUNCTION("""COMPUTED_VALUE"""),9.052697942E9)</f>
        <v>9052697942</v>
      </c>
    </row>
    <row r="5621">
      <c r="A5621" s="2">
        <f>IFERROR(__xludf.DUMMYFUNCTION("""COMPUTED_VALUE"""),63058.0)</f>
        <v>63058</v>
      </c>
      <c r="B5621" s="3" t="str">
        <f>IFERROR(__xludf.DUMMYFUNCTION("""COMPUTED_VALUE"""),"11 PINE CRT  ")</f>
        <v>11 PINE CRT  </v>
      </c>
      <c r="C5621" s="3" t="str">
        <f>IFERROR(__xludf.DUMMYFUNCTION("""COMPUTED_VALUE"""),"WARKWORTH")</f>
        <v>WARKWORTH</v>
      </c>
      <c r="D5621" s="3" t="str">
        <f>IFERROR(__xludf.DUMMYFUNCTION("""COMPUTED_VALUE"""),"K0K 3K0")</f>
        <v>K0K 3K0</v>
      </c>
      <c r="E5621" s="3" t="str">
        <f>IFERROR(__xludf.DUMMYFUNCTION("""COMPUTED_VALUE"""),"dave lawes ")</f>
        <v>dave lawes </v>
      </c>
      <c r="F5621" s="3" t="str">
        <f>IFERROR(__xludf.DUMMYFUNCTION("""COMPUTED_VALUE"""),"dlawes65@yahoo.ca")</f>
        <v>dlawes65@yahoo.ca</v>
      </c>
      <c r="G5621" s="3">
        <f>IFERROR(__xludf.DUMMYFUNCTION("""COMPUTED_VALUE"""),7.059249415E9)</f>
        <v>7059249415</v>
      </c>
      <c r="H5621" s="3"/>
    </row>
    <row r="5622">
      <c r="A5622" s="2">
        <f>IFERROR(__xludf.DUMMYFUNCTION("""COMPUTED_VALUE"""),63059.0)</f>
        <v>63059</v>
      </c>
      <c r="B5622" s="3" t="str">
        <f>IFERROR(__xludf.DUMMYFUNCTION("""COMPUTED_VALUE"""),"14 PINE CRT  ")</f>
        <v>14 PINE CRT  </v>
      </c>
      <c r="C5622" s="3" t="str">
        <f>IFERROR(__xludf.DUMMYFUNCTION("""COMPUTED_VALUE"""),"WARKWORTH")</f>
        <v>WARKWORTH</v>
      </c>
      <c r="D5622" s="3" t="str">
        <f>IFERROR(__xludf.DUMMYFUNCTION("""COMPUTED_VALUE"""),"K0K 3K0")</f>
        <v>K0K 3K0</v>
      </c>
      <c r="E5622" s="3" t="str">
        <f>IFERROR(__xludf.DUMMYFUNCTION("""COMPUTED_VALUE"""),"john and dylan bishop")</f>
        <v>john and dylan bishop</v>
      </c>
      <c r="F5622" s="3" t="str">
        <f>IFERROR(__xludf.DUMMYFUNCTION("""COMPUTED_VALUE"""),"johnnytourch@gmail.com")</f>
        <v>johnnytourch@gmail.com</v>
      </c>
      <c r="G5622" s="3">
        <f>IFERROR(__xludf.DUMMYFUNCTION("""COMPUTED_VALUE"""),9.058059203E9)</f>
        <v>9058059203</v>
      </c>
      <c r="H5622" s="3"/>
    </row>
    <row r="5623">
      <c r="A5623" s="2">
        <f>IFERROR(__xludf.DUMMYFUNCTION("""COMPUTED_VALUE"""),63060.0)</f>
        <v>63060</v>
      </c>
      <c r="B5623" s="3" t="str">
        <f>IFERROR(__xludf.DUMMYFUNCTION("""COMPUTED_VALUE"""),"20 PINE CRT  ")</f>
        <v>20 PINE CRT  </v>
      </c>
      <c r="C5623" s="3" t="str">
        <f>IFERROR(__xludf.DUMMYFUNCTION("""COMPUTED_VALUE"""),"WARKWORTH")</f>
        <v>WARKWORTH</v>
      </c>
      <c r="D5623" s="3" t="str">
        <f>IFERROR(__xludf.DUMMYFUNCTION("""COMPUTED_VALUE"""),"K0K 3K0")</f>
        <v>K0K 3K0</v>
      </c>
      <c r="E5623" s="3" t="str">
        <f>IFERROR(__xludf.DUMMYFUNCTION("""COMPUTED_VALUE"""),"steven gonzalez ")</f>
        <v>steven gonzalez </v>
      </c>
      <c r="F5623" s="3" t="str">
        <f>IFERROR(__xludf.DUMMYFUNCTION("""COMPUTED_VALUE"""),"stevengben99@gmail.com")</f>
        <v>stevengben99@gmail.com</v>
      </c>
      <c r="G5623" s="3">
        <f>IFERROR(__xludf.DUMMYFUNCTION("""COMPUTED_VALUE"""),7.059914479E9)</f>
        <v>7059914479</v>
      </c>
      <c r="H5623" s="3">
        <f>IFERROR(__xludf.DUMMYFUNCTION("""COMPUTED_VALUE"""),9.052616143E9)</f>
        <v>9052616143</v>
      </c>
    </row>
    <row r="5624">
      <c r="A5624" s="2">
        <f>IFERROR(__xludf.DUMMYFUNCTION("""COMPUTED_VALUE"""),63061.0)</f>
        <v>63061</v>
      </c>
      <c r="B5624" s="3" t="str">
        <f>IFERROR(__xludf.DUMMYFUNCTION("""COMPUTED_VALUE"""),"21 PINE CRT  ")</f>
        <v>21 PINE CRT  </v>
      </c>
      <c r="C5624" s="3" t="str">
        <f>IFERROR(__xludf.DUMMYFUNCTION("""COMPUTED_VALUE"""),"WARKWORTH")</f>
        <v>WARKWORTH</v>
      </c>
      <c r="D5624" s="3" t="str">
        <f>IFERROR(__xludf.DUMMYFUNCTION("""COMPUTED_VALUE"""),"K0K 3K0")</f>
        <v>K0K 3K0</v>
      </c>
      <c r="E5624" s="3"/>
      <c r="F5624" s="3"/>
      <c r="G5624" s="3"/>
      <c r="H5624" s="3"/>
    </row>
    <row r="5625">
      <c r="A5625" s="2">
        <f>IFERROR(__xludf.DUMMYFUNCTION("""COMPUTED_VALUE"""),63062.0)</f>
        <v>63062</v>
      </c>
      <c r="B5625" s="3" t="str">
        <f>IFERROR(__xludf.DUMMYFUNCTION("""COMPUTED_VALUE"""),"30 PINE CRT  ")</f>
        <v>30 PINE CRT  </v>
      </c>
      <c r="C5625" s="3" t="str">
        <f>IFERROR(__xludf.DUMMYFUNCTION("""COMPUTED_VALUE"""),"WARKWORTH")</f>
        <v>WARKWORTH</v>
      </c>
      <c r="D5625" s="3" t="str">
        <f>IFERROR(__xludf.DUMMYFUNCTION("""COMPUTED_VALUE"""),"K0K 3K0")</f>
        <v>K0K 3K0</v>
      </c>
      <c r="E5625" s="3" t="str">
        <f>IFERROR(__xludf.DUMMYFUNCTION("""COMPUTED_VALUE"""),"lorraine kavanaugh")</f>
        <v>lorraine kavanaugh</v>
      </c>
      <c r="F5625" s="3" t="str">
        <f>IFERROR(__xludf.DUMMYFUNCTION("""COMPUTED_VALUE"""),"myhorseflashdance@gmail.com ")</f>
        <v>myhorseflashdance@gmail.com </v>
      </c>
      <c r="G5625" s="3">
        <f>IFERROR(__xludf.DUMMYFUNCTION("""COMPUTED_VALUE"""),7.059249564E9)</f>
        <v>7059249564</v>
      </c>
      <c r="H5625" s="3"/>
    </row>
    <row r="5626">
      <c r="A5626" s="2">
        <f>IFERROR(__xludf.DUMMYFUNCTION("""COMPUTED_VALUE"""),63321.0)</f>
        <v>63321</v>
      </c>
      <c r="B5626" s="3" t="str">
        <f>IFERROR(__xludf.DUMMYFUNCTION("""COMPUTED_VALUE"""),"141 SANDY FLAT RD  ")</f>
        <v>141 SANDY FLAT RD  </v>
      </c>
      <c r="C5626" s="3" t="str">
        <f>IFERROR(__xludf.DUMMYFUNCTION("""COMPUTED_VALUE"""),"ROSENEATH")</f>
        <v>ROSENEATH</v>
      </c>
      <c r="D5626" s="3" t="str">
        <f>IFERROR(__xludf.DUMMYFUNCTION("""COMPUTED_VALUE"""),"K0K 2X0")</f>
        <v>K0K 2X0</v>
      </c>
      <c r="E5626" s="3" t="str">
        <f>IFERROR(__xludf.DUMMYFUNCTION("""COMPUTED_VALUE"""),"Janice Waring")</f>
        <v>Janice Waring</v>
      </c>
      <c r="F5626" s="3" t="str">
        <f>IFERROR(__xludf.DUMMYFUNCTION("""COMPUTED_VALUE"""),"janiqua68@yahoo.ca")</f>
        <v>janiqua68@yahoo.ca</v>
      </c>
      <c r="G5626" s="3">
        <f>IFERROR(__xludf.DUMMYFUNCTION("""COMPUTED_VALUE"""),7.057187892E9)</f>
        <v>7057187892</v>
      </c>
      <c r="H5626" s="3">
        <f>IFERROR(__xludf.DUMMYFUNCTION("""COMPUTED_VALUE"""),7.059241497E9)</f>
        <v>7059241497</v>
      </c>
    </row>
    <row r="5627">
      <c r="A5627" s="2">
        <f>IFERROR(__xludf.DUMMYFUNCTION("""COMPUTED_VALUE"""),63322.0)</f>
        <v>63322</v>
      </c>
      <c r="B5627" s="3" t="str">
        <f>IFERROR(__xludf.DUMMYFUNCTION("""COMPUTED_VALUE"""),"184 SANDY FLAT RD  ")</f>
        <v>184 SANDY FLAT RD  </v>
      </c>
      <c r="C5627" s="3" t="str">
        <f>IFERROR(__xludf.DUMMYFUNCTION("""COMPUTED_VALUE"""),"ROSENEATH")</f>
        <v>ROSENEATH</v>
      </c>
      <c r="D5627" s="3" t="str">
        <f>IFERROR(__xludf.DUMMYFUNCTION("""COMPUTED_VALUE"""),"K0K 2X0")</f>
        <v>K0K 2X0</v>
      </c>
      <c r="E5627" s="3" t="str">
        <f>IFERROR(__xludf.DUMMYFUNCTION("""COMPUTED_VALUE"""),"Tim Van Hoekelen")</f>
        <v>Tim Van Hoekelen</v>
      </c>
      <c r="F5627" s="3" t="str">
        <f>IFERROR(__xludf.DUMMYFUNCTION("""COMPUTED_VALUE"""),"vanhoekelen.electric@hotmail.com")</f>
        <v>vanhoekelen.electric@hotmail.com</v>
      </c>
      <c r="G5627" s="3"/>
      <c r="H5627" s="3"/>
    </row>
    <row r="5628">
      <c r="A5628" s="2">
        <f>IFERROR(__xludf.DUMMYFUNCTION("""COMPUTED_VALUE"""),63323.0)</f>
        <v>63323</v>
      </c>
      <c r="B5628" s="3" t="str">
        <f>IFERROR(__xludf.DUMMYFUNCTION("""COMPUTED_VALUE"""),"191 SANDY FLAT RD  ")</f>
        <v>191 SANDY FLAT RD  </v>
      </c>
      <c r="C5628" s="3" t="str">
        <f>IFERROR(__xludf.DUMMYFUNCTION("""COMPUTED_VALUE"""),"ROSENEATH")</f>
        <v>ROSENEATH</v>
      </c>
      <c r="D5628" s="3" t="str">
        <f>IFERROR(__xludf.DUMMYFUNCTION("""COMPUTED_VALUE"""),"K0K 2X0")</f>
        <v>K0K 2X0</v>
      </c>
      <c r="E5628" s="3" t="str">
        <f>IFERROR(__xludf.DUMMYFUNCTION("""COMPUTED_VALUE"""),"Hailey Gyde")</f>
        <v>Hailey Gyde</v>
      </c>
      <c r="F5628" s="3" t="str">
        <f>IFERROR(__xludf.DUMMYFUNCTION("""COMPUTED_VALUE"""),"h_george66@hotmail.com")</f>
        <v>h_george66@hotmail.com</v>
      </c>
      <c r="G5628" s="3">
        <f>IFERROR(__xludf.DUMMYFUNCTION("""COMPUTED_VALUE"""),9.053961391E9)</f>
        <v>9053961391</v>
      </c>
      <c r="H5628" s="3"/>
    </row>
    <row r="5629">
      <c r="A5629" s="2">
        <f>IFERROR(__xludf.DUMMYFUNCTION("""COMPUTED_VALUE"""),63324.0)</f>
        <v>63324</v>
      </c>
      <c r="B5629" s="3" t="str">
        <f>IFERROR(__xludf.DUMMYFUNCTION("""COMPUTED_VALUE"""),"201 SANDY FLAT RD  ")</f>
        <v>201 SANDY FLAT RD  </v>
      </c>
      <c r="C5629" s="3" t="str">
        <f>IFERROR(__xludf.DUMMYFUNCTION("""COMPUTED_VALUE"""),"ROSENEATH")</f>
        <v>ROSENEATH</v>
      </c>
      <c r="D5629" s="3" t="str">
        <f>IFERROR(__xludf.DUMMYFUNCTION("""COMPUTED_VALUE"""),"K0K 2X0")</f>
        <v>K0K 2X0</v>
      </c>
      <c r="E5629" s="3" t="str">
        <f>IFERROR(__xludf.DUMMYFUNCTION("""COMPUTED_VALUE"""),"xiaobo yang ")</f>
        <v>xiaobo yang </v>
      </c>
      <c r="F5629" s="3" t="str">
        <f>IFERROR(__xludf.DUMMYFUNCTION("""COMPUTED_VALUE"""),"xiaoboyang@hotmail.com")</f>
        <v>xiaoboyang@hotmail.com</v>
      </c>
      <c r="G5629" s="3">
        <f>IFERROR(__xludf.DUMMYFUNCTION("""COMPUTED_VALUE"""),4.16346054E9)</f>
        <v>4163460540</v>
      </c>
      <c r="H5629" s="3"/>
    </row>
    <row r="5630">
      <c r="A5630" s="2">
        <f>IFERROR(__xludf.DUMMYFUNCTION("""COMPUTED_VALUE"""),63325.0)</f>
        <v>63325</v>
      </c>
      <c r="B5630" s="3" t="str">
        <f>IFERROR(__xludf.DUMMYFUNCTION("""COMPUTED_VALUE"""),"202 SANDY FLAT RD  ")</f>
        <v>202 SANDY FLAT RD  </v>
      </c>
      <c r="C5630" s="3" t="str">
        <f>IFERROR(__xludf.DUMMYFUNCTION("""COMPUTED_VALUE"""),"ROSENEATH")</f>
        <v>ROSENEATH</v>
      </c>
      <c r="D5630" s="3" t="str">
        <f>IFERROR(__xludf.DUMMYFUNCTION("""COMPUTED_VALUE"""),"K0K 2X0")</f>
        <v>K0K 2X0</v>
      </c>
      <c r="E5630" s="3" t="str">
        <f>IFERROR(__xludf.DUMMYFUNCTION("""COMPUTED_VALUE"""),"DANA PINKERTON")</f>
        <v>DANA PINKERTON</v>
      </c>
      <c r="F5630" s="3" t="str">
        <f>IFERROR(__xludf.DUMMYFUNCTION("""COMPUTED_VALUE"""),"dpinkerton@outlook.com")</f>
        <v>dpinkerton@outlook.com</v>
      </c>
      <c r="G5630" s="3"/>
      <c r="H5630" s="3"/>
    </row>
    <row r="5631">
      <c r="A5631" s="2">
        <f>IFERROR(__xludf.DUMMYFUNCTION("""COMPUTED_VALUE"""),63326.0)</f>
        <v>63326</v>
      </c>
      <c r="B5631" s="3" t="str">
        <f>IFERROR(__xludf.DUMMYFUNCTION("""COMPUTED_VALUE"""),"219 SANDY FLAT RD  ")</f>
        <v>219 SANDY FLAT RD  </v>
      </c>
      <c r="C5631" s="3" t="str">
        <f>IFERROR(__xludf.DUMMYFUNCTION("""COMPUTED_VALUE"""),"ROSENEATH")</f>
        <v>ROSENEATH</v>
      </c>
      <c r="D5631" s="3" t="str">
        <f>IFERROR(__xludf.DUMMYFUNCTION("""COMPUTED_VALUE"""),"K0K 2X0")</f>
        <v>K0K 2X0</v>
      </c>
      <c r="E5631" s="3" t="str">
        <f>IFERROR(__xludf.DUMMYFUNCTION("""COMPUTED_VALUE"""),"Ron beatty")</f>
        <v>Ron beatty</v>
      </c>
      <c r="F5631" s="3" t="str">
        <f>IFERROR(__xludf.DUMMYFUNCTION("""COMPUTED_VALUE"""),"ronbeatty2508@gmail.com")</f>
        <v>ronbeatty2508@gmail.com</v>
      </c>
      <c r="G5631" s="3">
        <f>IFERROR(__xludf.DUMMYFUNCTION("""COMPUTED_VALUE"""),7.057404718E9)</f>
        <v>7057404718</v>
      </c>
      <c r="H5631" s="3">
        <f>IFERROR(__xludf.DUMMYFUNCTION("""COMPUTED_VALUE"""),9.053962508E9)</f>
        <v>9053962508</v>
      </c>
    </row>
    <row r="5632">
      <c r="A5632" s="2">
        <f>IFERROR(__xludf.DUMMYFUNCTION("""COMPUTED_VALUE"""),63327.0)</f>
        <v>63327</v>
      </c>
      <c r="B5632" s="3" t="str">
        <f>IFERROR(__xludf.DUMMYFUNCTION("""COMPUTED_VALUE"""),"222 SANDY FLAT RD  ")</f>
        <v>222 SANDY FLAT RD  </v>
      </c>
      <c r="C5632" s="3" t="str">
        <f>IFERROR(__xludf.DUMMYFUNCTION("""COMPUTED_VALUE"""),"ROSENEATH")</f>
        <v>ROSENEATH</v>
      </c>
      <c r="D5632" s="3" t="str">
        <f>IFERROR(__xludf.DUMMYFUNCTION("""COMPUTED_VALUE"""),"K0K 2X0")</f>
        <v>K0K 2X0</v>
      </c>
      <c r="E5632" s="3" t="str">
        <f>IFERROR(__xludf.DUMMYFUNCTION("""COMPUTED_VALUE"""),"PATRICIA COPPING")</f>
        <v>PATRICIA COPPING</v>
      </c>
      <c r="F5632" s="3" t="str">
        <f>IFERROR(__xludf.DUMMYFUNCTION("""COMPUTED_VALUE"""),"cooksflowes@live.ca")</f>
        <v>cooksflowes@live.ca</v>
      </c>
      <c r="G5632" s="3"/>
      <c r="H5632" s="3"/>
    </row>
    <row r="5633">
      <c r="A5633" s="2">
        <f>IFERROR(__xludf.DUMMYFUNCTION("""COMPUTED_VALUE"""),63328.0)</f>
        <v>63328</v>
      </c>
      <c r="B5633" s="3" t="str">
        <f>IFERROR(__xludf.DUMMYFUNCTION("""COMPUTED_VALUE"""),"223 SANDY FLAT RD  ")</f>
        <v>223 SANDY FLAT RD  </v>
      </c>
      <c r="C5633" s="3" t="str">
        <f>IFERROR(__xludf.DUMMYFUNCTION("""COMPUTED_VALUE"""),"ROSENEATH")</f>
        <v>ROSENEATH</v>
      </c>
      <c r="D5633" s="3" t="str">
        <f>IFERROR(__xludf.DUMMYFUNCTION("""COMPUTED_VALUE"""),"K0K 2X0")</f>
        <v>K0K 2X0</v>
      </c>
      <c r="E5633" s="3" t="str">
        <f>IFERROR(__xludf.DUMMYFUNCTION("""COMPUTED_VALUE"""),"Nathan beatty")</f>
        <v>Nathan beatty</v>
      </c>
      <c r="F5633" s="3" t="str">
        <f>IFERROR(__xludf.DUMMYFUNCTION("""COMPUTED_VALUE"""),"nathanbeatty7162@gmail.com")</f>
        <v>nathanbeatty7162@gmail.com</v>
      </c>
      <c r="G5633" s="3">
        <f>IFERROR(__xludf.DUMMYFUNCTION("""COMPUTED_VALUE"""),6.138487162E9)</f>
        <v>6138487162</v>
      </c>
      <c r="H5633" s="3">
        <f>IFERROR(__xludf.DUMMYFUNCTION("""COMPUTED_VALUE"""),9.052690378E9)</f>
        <v>9052690378</v>
      </c>
    </row>
    <row r="5634">
      <c r="A5634" s="2">
        <f>IFERROR(__xludf.DUMMYFUNCTION("""COMPUTED_VALUE"""),63329.0)</f>
        <v>63329</v>
      </c>
      <c r="B5634" s="3" t="str">
        <f>IFERROR(__xludf.DUMMYFUNCTION("""COMPUTED_VALUE"""),"226 SANDY FLAT RD  ")</f>
        <v>226 SANDY FLAT RD  </v>
      </c>
      <c r="C5634" s="3" t="str">
        <f>IFERROR(__xludf.DUMMYFUNCTION("""COMPUTED_VALUE"""),"ROSENEATH")</f>
        <v>ROSENEATH</v>
      </c>
      <c r="D5634" s="3" t="str">
        <f>IFERROR(__xludf.DUMMYFUNCTION("""COMPUTED_VALUE"""),"K0K 2X0")</f>
        <v>K0K 2X0</v>
      </c>
      <c r="E5634" s="3"/>
      <c r="F5634" s="3"/>
      <c r="G5634" s="3"/>
      <c r="H5634" s="3"/>
    </row>
    <row r="5635">
      <c r="A5635" s="2">
        <f>IFERROR(__xludf.DUMMYFUNCTION("""COMPUTED_VALUE"""),63330.0)</f>
        <v>63330</v>
      </c>
      <c r="B5635" s="3" t="str">
        <f>IFERROR(__xludf.DUMMYFUNCTION("""COMPUTED_VALUE"""),"250 SANDY FLAT RD  ")</f>
        <v>250 SANDY FLAT RD  </v>
      </c>
      <c r="C5635" s="3" t="str">
        <f>IFERROR(__xludf.DUMMYFUNCTION("""COMPUTED_VALUE"""),"ROSENEATH")</f>
        <v>ROSENEATH</v>
      </c>
      <c r="D5635" s="3" t="str">
        <f>IFERROR(__xludf.DUMMYFUNCTION("""COMPUTED_VALUE"""),"K0K 2X0")</f>
        <v>K0K 2X0</v>
      </c>
      <c r="E5635" s="3" t="str">
        <f>IFERROR(__xludf.DUMMYFUNCTION("""COMPUTED_VALUE"""),"greg luehof ")</f>
        <v>greg luehof </v>
      </c>
      <c r="F5635" s="3" t="str">
        <f>IFERROR(__xludf.DUMMYFUNCTION("""COMPUTED_VALUE"""),"luehofgreg@gmail.com")</f>
        <v>luehofgreg@gmail.com</v>
      </c>
      <c r="G5635" s="3">
        <f>IFERROR(__xludf.DUMMYFUNCTION("""COMPUTED_VALUE"""),2.896910454E9)</f>
        <v>2896910454</v>
      </c>
      <c r="H5635" s="3">
        <f>IFERROR(__xludf.DUMMYFUNCTION("""COMPUTED_VALUE"""),2.89691047E9)</f>
        <v>2896910470</v>
      </c>
    </row>
    <row r="5636">
      <c r="A5636" s="2">
        <f>IFERROR(__xludf.DUMMYFUNCTION("""COMPUTED_VALUE"""),63331.0)</f>
        <v>63331</v>
      </c>
      <c r="B5636" s="3" t="str">
        <f>IFERROR(__xludf.DUMMYFUNCTION("""COMPUTED_VALUE"""),"274 SANDY FLAT RD  ")</f>
        <v>274 SANDY FLAT RD  </v>
      </c>
      <c r="C5636" s="3" t="str">
        <f>IFERROR(__xludf.DUMMYFUNCTION("""COMPUTED_VALUE"""),"ROSENEATH")</f>
        <v>ROSENEATH</v>
      </c>
      <c r="D5636" s="3" t="str">
        <f>IFERROR(__xludf.DUMMYFUNCTION("""COMPUTED_VALUE"""),"K0K 2X0")</f>
        <v>K0K 2X0</v>
      </c>
      <c r="E5636" s="3" t="str">
        <f>IFERROR(__xludf.DUMMYFUNCTION("""COMPUTED_VALUE"""),"donald keachie")</f>
        <v>donald keachie</v>
      </c>
      <c r="F5636" s="3" t="str">
        <f>IFERROR(__xludf.DUMMYFUNCTION("""COMPUTED_VALUE"""),"don.keachie@gmail.com")</f>
        <v>don.keachie@gmail.com</v>
      </c>
      <c r="G5636" s="3">
        <f>IFERROR(__xludf.DUMMYFUNCTION("""COMPUTED_VALUE"""),4.165704608E9)</f>
        <v>4165704608</v>
      </c>
      <c r="H5636" s="3"/>
    </row>
    <row r="5637">
      <c r="A5637" s="2">
        <f>IFERROR(__xludf.DUMMYFUNCTION("""COMPUTED_VALUE"""),63332.0)</f>
        <v>63332</v>
      </c>
      <c r="B5637" s="3" t="str">
        <f>IFERROR(__xludf.DUMMYFUNCTION("""COMPUTED_VALUE"""),"290 SANDY FLAT RD  ")</f>
        <v>290 SANDY FLAT RD  </v>
      </c>
      <c r="C5637" s="3" t="str">
        <f>IFERROR(__xludf.DUMMYFUNCTION("""COMPUTED_VALUE"""),"ROSENEATH")</f>
        <v>ROSENEATH</v>
      </c>
      <c r="D5637" s="3" t="str">
        <f>IFERROR(__xludf.DUMMYFUNCTION("""COMPUTED_VALUE"""),"K0K 2X0")</f>
        <v>K0K 2X0</v>
      </c>
      <c r="E5637" s="3"/>
      <c r="F5637" s="3"/>
      <c r="G5637" s="3"/>
      <c r="H5637" s="3"/>
    </row>
    <row r="5638">
      <c r="A5638" s="2">
        <f>IFERROR(__xludf.DUMMYFUNCTION("""COMPUTED_VALUE"""),63333.0)</f>
        <v>63333</v>
      </c>
      <c r="B5638" s="3" t="str">
        <f>IFERROR(__xludf.DUMMYFUNCTION("""COMPUTED_VALUE"""),"295 SANDY FLATS RD")</f>
        <v>295 SANDY FLATS RD</v>
      </c>
      <c r="C5638" s="3"/>
      <c r="D5638" s="3"/>
      <c r="E5638" s="3"/>
      <c r="F5638" s="3"/>
      <c r="G5638" s="3"/>
      <c r="H5638" s="3"/>
    </row>
    <row r="5639">
      <c r="A5639" s="2">
        <f>IFERROR(__xludf.DUMMYFUNCTION("""COMPUTED_VALUE"""),61039.0)</f>
        <v>61039</v>
      </c>
      <c r="B5639" s="3" t="str">
        <f>IFERROR(__xludf.DUMMYFUNCTION("""COMPUTED_VALUE"""),"20 CONCESSION RD 4 RD W ")</f>
        <v>20 CONCESSION RD 4 RD W </v>
      </c>
      <c r="C5639" s="3" t="str">
        <f>IFERROR(__xludf.DUMMYFUNCTION("""COMPUTED_VALUE"""),"WARKWORTH")</f>
        <v>WARKWORTH</v>
      </c>
      <c r="D5639" s="3" t="str">
        <f>IFERROR(__xludf.DUMMYFUNCTION("""COMPUTED_VALUE"""),"K0K 3K0")</f>
        <v>K0K 3K0</v>
      </c>
      <c r="E5639" s="3"/>
      <c r="F5639" s="3"/>
      <c r="G5639" s="3"/>
      <c r="H5639" s="3"/>
    </row>
    <row r="5640">
      <c r="A5640" s="2">
        <f>IFERROR(__xludf.DUMMYFUNCTION("""COMPUTED_VALUE"""),61040.0)</f>
        <v>61040</v>
      </c>
      <c r="B5640" s="3" t="str">
        <f>IFERROR(__xludf.DUMMYFUNCTION("""COMPUTED_VALUE"""),"23 ROAD 4 CONC W")</f>
        <v>23 ROAD 4 CONC W</v>
      </c>
      <c r="C5640" s="3" t="str">
        <f>IFERROR(__xludf.DUMMYFUNCTION("""COMPUTED_VALUE"""),"WARKWORTH")</f>
        <v>WARKWORTH</v>
      </c>
      <c r="D5640" s="3" t="str">
        <f>IFERROR(__xludf.DUMMYFUNCTION("""COMPUTED_VALUE"""),"K0K 3K0")</f>
        <v>K0K 3K0</v>
      </c>
      <c r="E5640" s="3"/>
      <c r="F5640" s="3"/>
      <c r="G5640" s="3"/>
      <c r="H5640" s="3"/>
    </row>
    <row r="5641">
      <c r="A5641" s="2">
        <f>IFERROR(__xludf.DUMMYFUNCTION("""COMPUTED_VALUE"""),61041.0)</f>
        <v>61041</v>
      </c>
      <c r="B5641" s="3" t="str">
        <f>IFERROR(__xludf.DUMMYFUNCTION("""COMPUTED_VALUE"""),"30 CONCESSION RD 4 RD W ")</f>
        <v>30 CONCESSION RD 4 RD W </v>
      </c>
      <c r="C5641" s="3" t="str">
        <f>IFERROR(__xludf.DUMMYFUNCTION("""COMPUTED_VALUE"""),"WARKWORTH")</f>
        <v>WARKWORTH</v>
      </c>
      <c r="D5641" s="3" t="str">
        <f>IFERROR(__xludf.DUMMYFUNCTION("""COMPUTED_VALUE"""),"K0K 3K0")</f>
        <v>K0K 3K0</v>
      </c>
      <c r="E5641" s="3" t="str">
        <f>IFERROR(__xludf.DUMMYFUNCTION("""COMPUTED_VALUE"""),"Crystal Wilson")</f>
        <v>Crystal Wilson</v>
      </c>
      <c r="F5641" s="3" t="str">
        <f>IFERROR(__xludf.DUMMYFUNCTION("""COMPUTED_VALUE"""),"crystallynn538@gmail.com")</f>
        <v>crystallynn538@gmail.com</v>
      </c>
      <c r="G5641" s="3"/>
      <c r="H5641" s="3"/>
    </row>
    <row r="5642">
      <c r="A5642" s="2">
        <f>IFERROR(__xludf.DUMMYFUNCTION("""COMPUTED_VALUE"""),61042.0)</f>
        <v>61042</v>
      </c>
      <c r="B5642" s="3" t="str">
        <f>IFERROR(__xludf.DUMMYFUNCTION("""COMPUTED_VALUE"""),"34 CONCESSION RD 4 RD W ")</f>
        <v>34 CONCESSION RD 4 RD W </v>
      </c>
      <c r="C5642" s="3" t="str">
        <f>IFERROR(__xludf.DUMMYFUNCTION("""COMPUTED_VALUE"""),"WARKWORTH")</f>
        <v>WARKWORTH</v>
      </c>
      <c r="D5642" s="3" t="str">
        <f>IFERROR(__xludf.DUMMYFUNCTION("""COMPUTED_VALUE"""),"K0K 3K0")</f>
        <v>K0K 3K0</v>
      </c>
      <c r="E5642" s="3" t="str">
        <f>IFERROR(__xludf.DUMMYFUNCTION("""COMPUTED_VALUE"""),"Card+Lorne Wilson")</f>
        <v>Card+Lorne Wilson</v>
      </c>
      <c r="F5642" s="3"/>
      <c r="G5642" s="3"/>
      <c r="H5642" s="3"/>
    </row>
    <row r="5643">
      <c r="A5643" s="2">
        <f>IFERROR(__xludf.DUMMYFUNCTION("""COMPUTED_VALUE"""),61043.0)</f>
        <v>61043</v>
      </c>
      <c r="B5643" s="3" t="str">
        <f>IFERROR(__xludf.DUMMYFUNCTION("""COMPUTED_VALUE"""),"38 CONCESSION RD 4 RD W ")</f>
        <v>38 CONCESSION RD 4 RD W </v>
      </c>
      <c r="C5643" s="3" t="str">
        <f>IFERROR(__xludf.DUMMYFUNCTION("""COMPUTED_VALUE"""),"WARKWORTH")</f>
        <v>WARKWORTH</v>
      </c>
      <c r="D5643" s="3" t="str">
        <f>IFERROR(__xludf.DUMMYFUNCTION("""COMPUTED_VALUE"""),"K0K 3K0")</f>
        <v>K0K 3K0</v>
      </c>
      <c r="E5643" s="3" t="str">
        <f>IFERROR(__xludf.DUMMYFUNCTION("""COMPUTED_VALUE"""),"Pam Daley ")</f>
        <v>Pam Daley </v>
      </c>
      <c r="F5643" s="3" t="str">
        <f>IFERROR(__xludf.DUMMYFUNCTION("""COMPUTED_VALUE"""),"coecaptain26@yahoo.com")</f>
        <v>coecaptain26@yahoo.com</v>
      </c>
      <c r="G5643" s="3"/>
      <c r="H5643" s="3"/>
    </row>
    <row r="5644">
      <c r="A5644" s="2">
        <f>IFERROR(__xludf.DUMMYFUNCTION("""COMPUTED_VALUE"""),61044.0)</f>
        <v>61044</v>
      </c>
      <c r="B5644" s="3" t="str">
        <f>IFERROR(__xludf.DUMMYFUNCTION("""COMPUTED_VALUE"""),"40 CONCESSION RD 4 RD W ")</f>
        <v>40 CONCESSION RD 4 RD W </v>
      </c>
      <c r="C5644" s="3" t="str">
        <f>IFERROR(__xludf.DUMMYFUNCTION("""COMPUTED_VALUE"""),"WARKWORTH")</f>
        <v>WARKWORTH</v>
      </c>
      <c r="D5644" s="3" t="str">
        <f>IFERROR(__xludf.DUMMYFUNCTION("""COMPUTED_VALUE"""),"K0K 3K0")</f>
        <v>K0K 3K0</v>
      </c>
      <c r="E5644" s="3" t="str">
        <f>IFERROR(__xludf.DUMMYFUNCTION("""COMPUTED_VALUE"""),"Josh Wilson")</f>
        <v>Josh Wilson</v>
      </c>
      <c r="F5644" s="3" t="str">
        <f>IFERROR(__xludf.DUMMYFUNCTION("""COMPUTED_VALUE"""),"joshwilson180@gmail.com")</f>
        <v>joshwilson180@gmail.com</v>
      </c>
      <c r="G5644" s="3"/>
      <c r="H5644" s="3"/>
    </row>
    <row r="5645">
      <c r="A5645" s="2">
        <f>IFERROR(__xludf.DUMMYFUNCTION("""COMPUTED_VALUE"""),61045.0)</f>
        <v>61045</v>
      </c>
      <c r="B5645" s="3" t="str">
        <f>IFERROR(__xludf.DUMMYFUNCTION("""COMPUTED_VALUE"""),"41 CONCESSION RD 4 RD W ")</f>
        <v>41 CONCESSION RD 4 RD W </v>
      </c>
      <c r="C5645" s="3" t="str">
        <f>IFERROR(__xludf.DUMMYFUNCTION("""COMPUTED_VALUE"""),"WARKWORTH")</f>
        <v>WARKWORTH</v>
      </c>
      <c r="D5645" s="3" t="str">
        <f>IFERROR(__xludf.DUMMYFUNCTION("""COMPUTED_VALUE"""),"K0K 3K0")</f>
        <v>K0K 3K0</v>
      </c>
      <c r="E5645" s="3"/>
      <c r="F5645" s="3"/>
      <c r="G5645" s="3"/>
      <c r="H5645" s="3"/>
    </row>
    <row r="5646">
      <c r="A5646" s="2">
        <f>IFERROR(__xludf.DUMMYFUNCTION("""COMPUTED_VALUE"""),61046.0)</f>
        <v>61046</v>
      </c>
      <c r="B5646" s="3" t="str">
        <f>IFERROR(__xludf.DUMMYFUNCTION("""COMPUTED_VALUE"""),"44 CONCESSION RD 4 RD W ")</f>
        <v>44 CONCESSION RD 4 RD W </v>
      </c>
      <c r="C5646" s="3" t="str">
        <f>IFERROR(__xludf.DUMMYFUNCTION("""COMPUTED_VALUE"""),"WARKWORTH")</f>
        <v>WARKWORTH</v>
      </c>
      <c r="D5646" s="3" t="str">
        <f>IFERROR(__xludf.DUMMYFUNCTION("""COMPUTED_VALUE"""),"K0K 3K0")</f>
        <v>K0K 3K0</v>
      </c>
      <c r="E5646" s="3" t="str">
        <f>IFERROR(__xludf.DUMMYFUNCTION("""COMPUTED_VALUE"""),"JEFF SCOTT")</f>
        <v>JEFF SCOTT</v>
      </c>
      <c r="F5646" s="3" t="str">
        <f>IFERROR(__xludf.DUMMYFUNCTION("""COMPUTED_VALUE"""),"sjeff4536@gmail.com")</f>
        <v>sjeff4536@gmail.com</v>
      </c>
      <c r="G5646" s="3"/>
      <c r="H5646" s="3"/>
    </row>
    <row r="5647">
      <c r="A5647" s="2">
        <f>IFERROR(__xludf.DUMMYFUNCTION("""COMPUTED_VALUE"""),61047.0)</f>
        <v>61047</v>
      </c>
      <c r="B5647" s="3" t="str">
        <f>IFERROR(__xludf.DUMMYFUNCTION("""COMPUTED_VALUE"""),"47 CONCESSION RD 4 RD E ")</f>
        <v>47 CONCESSION RD 4 RD E </v>
      </c>
      <c r="C5647" s="3" t="str">
        <f>IFERROR(__xludf.DUMMYFUNCTION("""COMPUTED_VALUE"""),"WARKWORTH")</f>
        <v>WARKWORTH</v>
      </c>
      <c r="D5647" s="3" t="str">
        <f>IFERROR(__xludf.DUMMYFUNCTION("""COMPUTED_VALUE"""),"K0K 3K0")</f>
        <v>K0K 3K0</v>
      </c>
      <c r="E5647" s="3"/>
      <c r="F5647" s="3"/>
      <c r="G5647" s="3"/>
      <c r="H5647" s="3"/>
    </row>
    <row r="5648">
      <c r="A5648" s="2">
        <f>IFERROR(__xludf.DUMMYFUNCTION("""COMPUTED_VALUE"""),61048.0)</f>
        <v>61048</v>
      </c>
      <c r="B5648" s="3" t="str">
        <f>IFERROR(__xludf.DUMMYFUNCTION("""COMPUTED_VALUE"""),"51 CONCESSION RD 4 RD W ")</f>
        <v>51 CONCESSION RD 4 RD W </v>
      </c>
      <c r="C5648" s="3" t="str">
        <f>IFERROR(__xludf.DUMMYFUNCTION("""COMPUTED_VALUE"""),"WARKWORTH")</f>
        <v>WARKWORTH</v>
      </c>
      <c r="D5648" s="3" t="str">
        <f>IFERROR(__xludf.DUMMYFUNCTION("""COMPUTED_VALUE"""),"K0K 3K0")</f>
        <v>K0K 3K0</v>
      </c>
      <c r="E5648" s="3" t="str">
        <f>IFERROR(__xludf.DUMMYFUNCTION("""COMPUTED_VALUE"""),"ken yarrow")</f>
        <v>ken yarrow</v>
      </c>
      <c r="F5648" s="3" t="str">
        <f>IFERROR(__xludf.DUMMYFUNCTION("""COMPUTED_VALUE"""),"kyarrow2@hotmail.com")</f>
        <v>kyarrow2@hotmail.com</v>
      </c>
      <c r="G5648" s="3">
        <f>IFERROR(__xludf.DUMMYFUNCTION("""COMPUTED_VALUE"""),7.057606719E9)</f>
        <v>7057606719</v>
      </c>
      <c r="H5648" s="3">
        <f>IFERROR(__xludf.DUMMYFUNCTION("""COMPUTED_VALUE"""),7.059243706E9)</f>
        <v>7059243706</v>
      </c>
    </row>
    <row r="5649">
      <c r="A5649" s="2">
        <f>IFERROR(__xludf.DUMMYFUNCTION("""COMPUTED_VALUE"""),61049.0)</f>
        <v>61049</v>
      </c>
      <c r="B5649" s="3" t="str">
        <f>IFERROR(__xludf.DUMMYFUNCTION("""COMPUTED_VALUE"""),"114 CONCESSION RD 4 RD W ")</f>
        <v>114 CONCESSION RD 4 RD W </v>
      </c>
      <c r="C5649" s="3" t="str">
        <f>IFERROR(__xludf.DUMMYFUNCTION("""COMPUTED_VALUE"""),"WARKWORTH")</f>
        <v>WARKWORTH</v>
      </c>
      <c r="D5649" s="3" t="str">
        <f>IFERROR(__xludf.DUMMYFUNCTION("""COMPUTED_VALUE"""),"K0K 3K0")</f>
        <v>K0K 3K0</v>
      </c>
      <c r="E5649" s="3" t="str">
        <f>IFERROR(__xludf.DUMMYFUNCTION("""COMPUTED_VALUE"""),"Ralph Saykes")</f>
        <v>Ralph Saykes</v>
      </c>
      <c r="F5649" s="3"/>
      <c r="G5649" s="3"/>
      <c r="H5649" s="3"/>
    </row>
    <row r="5650">
      <c r="A5650" s="2">
        <f>IFERROR(__xludf.DUMMYFUNCTION("""COMPUTED_VALUE"""),61050.0)</f>
        <v>61050</v>
      </c>
      <c r="B5650" s="3" t="str">
        <f>IFERROR(__xludf.DUMMYFUNCTION("""COMPUTED_VALUE"""),"126 CONCESSION RD 4 RD W ")</f>
        <v>126 CONCESSION RD 4 RD W </v>
      </c>
      <c r="C5650" s="3" t="str">
        <f>IFERROR(__xludf.DUMMYFUNCTION("""COMPUTED_VALUE"""),"WARKWORTH")</f>
        <v>WARKWORTH</v>
      </c>
      <c r="D5650" s="3" t="str">
        <f>IFERROR(__xludf.DUMMYFUNCTION("""COMPUTED_VALUE"""),"K0K 3K0")</f>
        <v>K0K 3K0</v>
      </c>
      <c r="E5650" s="3" t="str">
        <f>IFERROR(__xludf.DUMMYFUNCTION("""COMPUTED_VALUE"""),"Ruth Nelson")</f>
        <v>Ruth Nelson</v>
      </c>
      <c r="F5650" s="3"/>
      <c r="G5650" s="3"/>
      <c r="H5650" s="3"/>
    </row>
    <row r="5651">
      <c r="A5651" s="2">
        <f>IFERROR(__xludf.DUMMYFUNCTION("""COMPUTED_VALUE"""),62269.0)</f>
        <v>62269</v>
      </c>
      <c r="B5651" s="3" t="str">
        <f>IFERROR(__xludf.DUMMYFUNCTION("""COMPUTED_VALUE"""),"16 HUMPHRIES RD")</f>
        <v>16 HUMPHRIES RD</v>
      </c>
      <c r="C5651" s="3" t="str">
        <f>IFERROR(__xludf.DUMMYFUNCTION("""COMPUTED_VALUE"""),"WARKWORTH")</f>
        <v>WARKWORTH</v>
      </c>
      <c r="D5651" s="3" t="str">
        <f>IFERROR(__xludf.DUMMYFUNCTION("""COMPUTED_VALUE"""),"K0K 3K0")</f>
        <v>K0K 3K0</v>
      </c>
      <c r="E5651" s="3"/>
      <c r="F5651" s="3"/>
      <c r="G5651" s="3"/>
      <c r="H5651" s="3"/>
    </row>
    <row r="5652">
      <c r="A5652" s="2">
        <f>IFERROR(__xludf.DUMMYFUNCTION("""COMPUTED_VALUE"""),62270.0)</f>
        <v>62270</v>
      </c>
      <c r="B5652" s="3" t="str">
        <f>IFERROR(__xludf.DUMMYFUNCTION("""COMPUTED_VALUE"""),"24 HUMPHRIES RD  ")</f>
        <v>24 HUMPHRIES RD  </v>
      </c>
      <c r="C5652" s="3" t="str">
        <f>IFERROR(__xludf.DUMMYFUNCTION("""COMPUTED_VALUE"""),"WARKWORTH")</f>
        <v>WARKWORTH</v>
      </c>
      <c r="D5652" s="3" t="str">
        <f>IFERROR(__xludf.DUMMYFUNCTION("""COMPUTED_VALUE"""),"K0K 3K0")</f>
        <v>K0K 3K0</v>
      </c>
      <c r="E5652" s="3" t="str">
        <f>IFERROR(__xludf.DUMMYFUNCTION("""COMPUTED_VALUE"""),"stacey&amp;kelly prosser")</f>
        <v>stacey&amp;kelly prosser</v>
      </c>
      <c r="F5652" s="3" t="str">
        <f>IFERROR(__xludf.DUMMYFUNCTION("""COMPUTED_VALUE"""),"sprosser66@hotmail.com")</f>
        <v>sprosser66@hotmail.com</v>
      </c>
      <c r="G5652" s="3">
        <f>IFERROR(__xludf.DUMMYFUNCTION("""COMPUTED_VALUE"""),6.472007532E9)</f>
        <v>6472007532</v>
      </c>
      <c r="H5652" s="3">
        <f>IFERROR(__xludf.DUMMYFUNCTION("""COMPUTED_VALUE"""),4.16458314E9)</f>
        <v>4164583140</v>
      </c>
    </row>
    <row r="5653">
      <c r="A5653" s="2">
        <f>IFERROR(__xludf.DUMMYFUNCTION("""COMPUTED_VALUE"""),62271.0)</f>
        <v>62271</v>
      </c>
      <c r="B5653" s="3" t="str">
        <f>IFERROR(__xludf.DUMMYFUNCTION("""COMPUTED_VALUE"""),"28 HUMPHRIES RD  ")</f>
        <v>28 HUMPHRIES RD  </v>
      </c>
      <c r="C5653" s="3" t="str">
        <f>IFERROR(__xludf.DUMMYFUNCTION("""COMPUTED_VALUE"""),"WARKWORTH")</f>
        <v>WARKWORTH</v>
      </c>
      <c r="D5653" s="3" t="str">
        <f>IFERROR(__xludf.DUMMYFUNCTION("""COMPUTED_VALUE"""),"K0K 3K0")</f>
        <v>K0K 3K0</v>
      </c>
      <c r="E5653" s="3"/>
      <c r="F5653" s="3"/>
      <c r="G5653" s="3"/>
      <c r="H5653" s="3"/>
    </row>
    <row r="5654">
      <c r="A5654" s="2">
        <f>IFERROR(__xludf.DUMMYFUNCTION("""COMPUTED_VALUE"""),62272.0)</f>
        <v>62272</v>
      </c>
      <c r="B5654" s="3" t="str">
        <f>IFERROR(__xludf.DUMMYFUNCTION("""COMPUTED_VALUE"""),"48 HUMPHRIES RD  ")</f>
        <v>48 HUMPHRIES RD  </v>
      </c>
      <c r="C5654" s="3" t="str">
        <f>IFERROR(__xludf.DUMMYFUNCTION("""COMPUTED_VALUE"""),"WARKWORTH")</f>
        <v>WARKWORTH</v>
      </c>
      <c r="D5654" s="3" t="str">
        <f>IFERROR(__xludf.DUMMYFUNCTION("""COMPUTED_VALUE"""),"K0K 3K0")</f>
        <v>K0K 3K0</v>
      </c>
      <c r="E5654" s="3" t="str">
        <f>IFERROR(__xludf.DUMMYFUNCTION("""COMPUTED_VALUE"""),"greg tait ")</f>
        <v>greg tait </v>
      </c>
      <c r="F5654" s="3" t="str">
        <f>IFERROR(__xludf.DUMMYFUNCTION("""COMPUTED_VALUE"""),"taiter@icloud.com")</f>
        <v>taiter@icloud.com</v>
      </c>
      <c r="G5654" s="3">
        <f>IFERROR(__xludf.DUMMYFUNCTION("""COMPUTED_VALUE"""),9.054368234E9)</f>
        <v>9054368234</v>
      </c>
      <c r="H5654" s="3">
        <f>IFERROR(__xludf.DUMMYFUNCTION("""COMPUTED_VALUE"""),9.054365795E9)</f>
        <v>9054365795</v>
      </c>
    </row>
    <row r="5655">
      <c r="A5655" s="2">
        <f>IFERROR(__xludf.DUMMYFUNCTION("""COMPUTED_VALUE"""),62273.0)</f>
        <v>62273</v>
      </c>
      <c r="B5655" s="3" t="str">
        <f>IFERROR(__xludf.DUMMYFUNCTION("""COMPUTED_VALUE"""),"53 HUMPHRIES RD  ")</f>
        <v>53 HUMPHRIES RD  </v>
      </c>
      <c r="C5655" s="3" t="str">
        <f>IFERROR(__xludf.DUMMYFUNCTION("""COMPUTED_VALUE"""),"WARKWORTH")</f>
        <v>WARKWORTH</v>
      </c>
      <c r="D5655" s="3" t="str">
        <f>IFERROR(__xludf.DUMMYFUNCTION("""COMPUTED_VALUE"""),"K0K 3K0")</f>
        <v>K0K 3K0</v>
      </c>
      <c r="E5655" s="3" t="str">
        <f>IFERROR(__xludf.DUMMYFUNCTION("""COMPUTED_VALUE"""),"Gary Crawford")</f>
        <v>Gary Crawford</v>
      </c>
      <c r="F5655" s="3" t="str">
        <f>IFERROR(__xludf.DUMMYFUNCTION("""COMPUTED_VALUE"""),"garycrawford@sympatico.ca")</f>
        <v>garycrawford@sympatico.ca</v>
      </c>
      <c r="G5655" s="3"/>
      <c r="H5655" s="3"/>
    </row>
    <row r="5656">
      <c r="A5656" s="2">
        <f>IFERROR(__xludf.DUMMYFUNCTION("""COMPUTED_VALUE"""),62274.0)</f>
        <v>62274</v>
      </c>
      <c r="B5656" s="3" t="str">
        <f>IFERROR(__xludf.DUMMYFUNCTION("""COMPUTED_VALUE"""),"58 HUMPHRIES RD  ")</f>
        <v>58 HUMPHRIES RD  </v>
      </c>
      <c r="C5656" s="3" t="str">
        <f>IFERROR(__xludf.DUMMYFUNCTION("""COMPUTED_VALUE"""),"WARKWORTH")</f>
        <v>WARKWORTH</v>
      </c>
      <c r="D5656" s="3" t="str">
        <f>IFERROR(__xludf.DUMMYFUNCTION("""COMPUTED_VALUE"""),"K0K 3K0")</f>
        <v>K0K 3K0</v>
      </c>
      <c r="E5656" s="3" t="str">
        <f>IFERROR(__xludf.DUMMYFUNCTION("""COMPUTED_VALUE"""),"Patrick Durcak")</f>
        <v>Patrick Durcak</v>
      </c>
      <c r="F5656" s="3" t="str">
        <f>IFERROR(__xludf.DUMMYFUNCTION("""COMPUTED_VALUE"""),"patrick@durcak.ca")</f>
        <v>patrick@durcak.ca</v>
      </c>
      <c r="G5656" s="3"/>
      <c r="H5656" s="3"/>
    </row>
    <row r="5657">
      <c r="A5657" s="2">
        <f>IFERROR(__xludf.DUMMYFUNCTION("""COMPUTED_VALUE"""),62275.0)</f>
        <v>62275</v>
      </c>
      <c r="B5657" s="3" t="str">
        <f>IFERROR(__xludf.DUMMYFUNCTION("""COMPUTED_VALUE"""),"89 HUMPHRIES RD  ")</f>
        <v>89 HUMPHRIES RD  </v>
      </c>
      <c r="C5657" s="3" t="str">
        <f>IFERROR(__xludf.DUMMYFUNCTION("""COMPUTED_VALUE"""),"WARKWORTH")</f>
        <v>WARKWORTH</v>
      </c>
      <c r="D5657" s="3" t="str">
        <f>IFERROR(__xludf.DUMMYFUNCTION("""COMPUTED_VALUE"""),"K0K 3K0")</f>
        <v>K0K 3K0</v>
      </c>
      <c r="E5657" s="3" t="str">
        <f>IFERROR(__xludf.DUMMYFUNCTION("""COMPUTED_VALUE"""),"Bob Winship")</f>
        <v>Bob Winship</v>
      </c>
      <c r="F5657" s="3" t="str">
        <f>IFERROR(__xludf.DUMMYFUNCTION("""COMPUTED_VALUE"""),"bobwinship@nexicom.net")</f>
        <v>bobwinship@nexicom.net</v>
      </c>
      <c r="G5657" s="3">
        <f>IFERROR(__xludf.DUMMYFUNCTION("""COMPUTED_VALUE"""),7.059572627E9)</f>
        <v>7059572627</v>
      </c>
      <c r="H5657" s="3">
        <f>IFERROR(__xludf.DUMMYFUNCTION("""COMPUTED_VALUE"""),7.059571524E9)</f>
        <v>7059571524</v>
      </c>
    </row>
    <row r="5658">
      <c r="A5658" s="2">
        <f>IFERROR(__xludf.DUMMYFUNCTION("""COMPUTED_VALUE"""),62276.0)</f>
        <v>62276</v>
      </c>
      <c r="B5658" s="3" t="str">
        <f>IFERROR(__xludf.DUMMYFUNCTION("""COMPUTED_VALUE"""),"8 HURLBUT CRES  ")</f>
        <v>8 HURLBUT CRES  </v>
      </c>
      <c r="C5658" s="3" t="str">
        <f>IFERROR(__xludf.DUMMYFUNCTION("""COMPUTED_VALUE"""),"WARKWORTH")</f>
        <v>WARKWORTH</v>
      </c>
      <c r="D5658" s="3" t="str">
        <f>IFERROR(__xludf.DUMMYFUNCTION("""COMPUTED_VALUE"""),"K0K 3K0")</f>
        <v>K0K 3K0</v>
      </c>
      <c r="E5658" s="3"/>
      <c r="F5658" s="3"/>
      <c r="G5658" s="3"/>
      <c r="H5658" s="3"/>
    </row>
    <row r="5659">
      <c r="A5659" s="2">
        <f>IFERROR(__xludf.DUMMYFUNCTION("""COMPUTED_VALUE"""),62277.0)</f>
        <v>62277</v>
      </c>
      <c r="B5659" s="3" t="str">
        <f>IFERROR(__xludf.DUMMYFUNCTION("""COMPUTED_VALUE"""),"9 HURLBUT CRES  ")</f>
        <v>9 HURLBUT CRES  </v>
      </c>
      <c r="C5659" s="3" t="str">
        <f>IFERROR(__xludf.DUMMYFUNCTION("""COMPUTED_VALUE"""),"WARKWORTH")</f>
        <v>WARKWORTH</v>
      </c>
      <c r="D5659" s="3" t="str">
        <f>IFERROR(__xludf.DUMMYFUNCTION("""COMPUTED_VALUE"""),"K0K 3K0")</f>
        <v>K0K 3K0</v>
      </c>
      <c r="E5659" s="3" t="str">
        <f>IFERROR(__xludf.DUMMYFUNCTION("""COMPUTED_VALUE"""),"Paul Rivers")</f>
        <v>Paul Rivers</v>
      </c>
      <c r="F5659" s="3" t="str">
        <f>IFERROR(__xludf.DUMMYFUNCTION("""COMPUTED_VALUE"""),"riversp353@gmail.com")</f>
        <v>riversp353@gmail.com</v>
      </c>
      <c r="G5659" s="3"/>
      <c r="H5659" s="3"/>
    </row>
    <row r="5660">
      <c r="A5660" s="2">
        <f>IFERROR(__xludf.DUMMYFUNCTION("""COMPUTED_VALUE"""),62278.0)</f>
        <v>62278</v>
      </c>
      <c r="B5660" s="3" t="str">
        <f>IFERROR(__xludf.DUMMYFUNCTION("""COMPUTED_VALUE"""),"14 HURLBUT CRES  ")</f>
        <v>14 HURLBUT CRES  </v>
      </c>
      <c r="C5660" s="3" t="str">
        <f>IFERROR(__xludf.DUMMYFUNCTION("""COMPUTED_VALUE"""),"WARKWORTH")</f>
        <v>WARKWORTH</v>
      </c>
      <c r="D5660" s="3" t="str">
        <f>IFERROR(__xludf.DUMMYFUNCTION("""COMPUTED_VALUE"""),"K0K 3K0")</f>
        <v>K0K 3K0</v>
      </c>
      <c r="E5660" s="3"/>
      <c r="F5660" s="3"/>
      <c r="G5660" s="3"/>
      <c r="H5660" s="3"/>
    </row>
    <row r="5661">
      <c r="A5661" s="2">
        <f>IFERROR(__xludf.DUMMYFUNCTION("""COMPUTED_VALUE"""),62279.0)</f>
        <v>62279</v>
      </c>
      <c r="B5661" s="3" t="str">
        <f>IFERROR(__xludf.DUMMYFUNCTION("""COMPUTED_VALUE"""),"15 HURLBUT CRES  ")</f>
        <v>15 HURLBUT CRES  </v>
      </c>
      <c r="C5661" s="3" t="str">
        <f>IFERROR(__xludf.DUMMYFUNCTION("""COMPUTED_VALUE"""),"WARKWORTH")</f>
        <v>WARKWORTH</v>
      </c>
      <c r="D5661" s="3" t="str">
        <f>IFERROR(__xludf.DUMMYFUNCTION("""COMPUTED_VALUE"""),"K0K 3K0")</f>
        <v>K0K 3K0</v>
      </c>
      <c r="E5661" s="3"/>
      <c r="F5661" s="3"/>
      <c r="G5661" s="3"/>
      <c r="H5661" s="3"/>
    </row>
    <row r="5662">
      <c r="A5662" s="2">
        <f>IFERROR(__xludf.DUMMYFUNCTION("""COMPUTED_VALUE"""),62280.0)</f>
        <v>62280</v>
      </c>
      <c r="B5662" s="3" t="str">
        <f>IFERROR(__xludf.DUMMYFUNCTION("""COMPUTED_VALUE"""),"16 HURLBUT CRES  ")</f>
        <v>16 HURLBUT CRES  </v>
      </c>
      <c r="C5662" s="3" t="str">
        <f>IFERROR(__xludf.DUMMYFUNCTION("""COMPUTED_VALUE"""),"WARKWORTH")</f>
        <v>WARKWORTH</v>
      </c>
      <c r="D5662" s="3" t="str">
        <f>IFERROR(__xludf.DUMMYFUNCTION("""COMPUTED_VALUE"""),"K0K 3K0")</f>
        <v>K0K 3K0</v>
      </c>
      <c r="E5662" s="3" t="str">
        <f>IFERROR(__xludf.DUMMYFUNCTION("""COMPUTED_VALUE"""),"Shannon Lackey")</f>
        <v>Shannon Lackey</v>
      </c>
      <c r="F5662" s="3" t="str">
        <f>IFERROR(__xludf.DUMMYFUNCTION("""COMPUTED_VALUE"""),"s.parsons15@hotmail.com")</f>
        <v>s.parsons15@hotmail.com</v>
      </c>
      <c r="G5662" s="3">
        <f>IFERROR(__xludf.DUMMYFUNCTION("""COMPUTED_VALUE"""),6.472329644E9)</f>
        <v>6472329644</v>
      </c>
      <c r="H5662" s="3">
        <f>IFERROR(__xludf.DUMMYFUNCTION("""COMPUTED_VALUE"""),7.056537428E9)</f>
        <v>7056537428</v>
      </c>
    </row>
    <row r="5663">
      <c r="A5663" s="2">
        <f>IFERROR(__xludf.DUMMYFUNCTION("""COMPUTED_VALUE"""),62281.0)</f>
        <v>62281</v>
      </c>
      <c r="B5663" s="3" t="str">
        <f>IFERROR(__xludf.DUMMYFUNCTION("""COMPUTED_VALUE"""),"20 HURLBUT CRES  ")</f>
        <v>20 HURLBUT CRES  </v>
      </c>
      <c r="C5663" s="3" t="str">
        <f>IFERROR(__xludf.DUMMYFUNCTION("""COMPUTED_VALUE"""),"WARKWORTH")</f>
        <v>WARKWORTH</v>
      </c>
      <c r="D5663" s="3" t="str">
        <f>IFERROR(__xludf.DUMMYFUNCTION("""COMPUTED_VALUE"""),"K0K 3K0")</f>
        <v>K0K 3K0</v>
      </c>
      <c r="E5663" s="3" t="str">
        <f>IFERROR(__xludf.DUMMYFUNCTION("""COMPUTED_VALUE"""),"Bruce Coleman")</f>
        <v>Bruce Coleman</v>
      </c>
      <c r="F5663" s="3"/>
      <c r="G5663" s="3"/>
      <c r="H5663" s="3"/>
    </row>
    <row r="5664">
      <c r="A5664" s="2">
        <f>IFERROR(__xludf.DUMMYFUNCTION("""COMPUTED_VALUE"""),62282.0)</f>
        <v>62282</v>
      </c>
      <c r="B5664" s="3" t="str">
        <f>IFERROR(__xludf.DUMMYFUNCTION("""COMPUTED_VALUE"""),"23 HURLBUT CRES  ")</f>
        <v>23 HURLBUT CRES  </v>
      </c>
      <c r="C5664" s="3" t="str">
        <f>IFERROR(__xludf.DUMMYFUNCTION("""COMPUTED_VALUE"""),"WARKWORTH")</f>
        <v>WARKWORTH</v>
      </c>
      <c r="D5664" s="3" t="str">
        <f>IFERROR(__xludf.DUMMYFUNCTION("""COMPUTED_VALUE"""),"K0K 3K0")</f>
        <v>K0K 3K0</v>
      </c>
      <c r="E5664" s="3" t="str">
        <f>IFERROR(__xludf.DUMMYFUNCTION("""COMPUTED_VALUE"""),"Dave Carter")</f>
        <v>Dave Carter</v>
      </c>
      <c r="F5664" s="3" t="str">
        <f>IFERROR(__xludf.DUMMYFUNCTION("""COMPUTED_VALUE"""),"dscarter1931@hotmail.com")</f>
        <v>dscarter1931@hotmail.com</v>
      </c>
      <c r="G5664" s="3"/>
      <c r="H5664" s="3"/>
    </row>
    <row r="5665">
      <c r="A5665" s="2">
        <f>IFERROR(__xludf.DUMMYFUNCTION("""COMPUTED_VALUE"""),62283.0)</f>
        <v>62283</v>
      </c>
      <c r="B5665" s="3" t="str">
        <f>IFERROR(__xludf.DUMMYFUNCTION("""COMPUTED_VALUE"""),"28 HURLBUT CRES  ")</f>
        <v>28 HURLBUT CRES  </v>
      </c>
      <c r="C5665" s="3" t="str">
        <f>IFERROR(__xludf.DUMMYFUNCTION("""COMPUTED_VALUE"""),"WARKWORTH")</f>
        <v>WARKWORTH</v>
      </c>
      <c r="D5665" s="3" t="str">
        <f>IFERROR(__xludf.DUMMYFUNCTION("""COMPUTED_VALUE"""),"K0K 3K0")</f>
        <v>K0K 3K0</v>
      </c>
      <c r="E5665" s="3" t="str">
        <f>IFERROR(__xludf.DUMMYFUNCTION("""COMPUTED_VALUE"""),"Ron Green")</f>
        <v>Ron Green</v>
      </c>
      <c r="F5665" s="3"/>
      <c r="G5665" s="3"/>
      <c r="H5665" s="3"/>
    </row>
    <row r="5666">
      <c r="A5666" s="2">
        <f>IFERROR(__xludf.DUMMYFUNCTION("""COMPUTED_VALUE"""),62284.0)</f>
        <v>62284</v>
      </c>
      <c r="B5666" s="3" t="str">
        <f>IFERROR(__xludf.DUMMYFUNCTION("""COMPUTED_VALUE"""),"29 HURLBUT CRES  ")</f>
        <v>29 HURLBUT CRES  </v>
      </c>
      <c r="C5666" s="3" t="str">
        <f>IFERROR(__xludf.DUMMYFUNCTION("""COMPUTED_VALUE"""),"WARKWORTH")</f>
        <v>WARKWORTH</v>
      </c>
      <c r="D5666" s="3" t="str">
        <f>IFERROR(__xludf.DUMMYFUNCTION("""COMPUTED_VALUE"""),"K0K 3K0")</f>
        <v>K0K 3K0</v>
      </c>
      <c r="E5666" s="3" t="str">
        <f>IFERROR(__xludf.DUMMYFUNCTION("""COMPUTED_VALUE"""),"Alexander Bailey")</f>
        <v>Alexander Bailey</v>
      </c>
      <c r="F5666" s="3" t="str">
        <f>IFERROR(__xludf.DUMMYFUNCTION("""COMPUTED_VALUE"""),"alexvistagreen@gmail.com")</f>
        <v>alexvistagreen@gmail.com</v>
      </c>
      <c r="G5666" s="3">
        <f>IFERROR(__xludf.DUMMYFUNCTION("""COMPUTED_VALUE"""),9.055981077E9)</f>
        <v>9055981077</v>
      </c>
      <c r="H5666" s="3"/>
    </row>
    <row r="5667">
      <c r="A5667" s="2">
        <f>IFERROR(__xludf.DUMMYFUNCTION("""COMPUTED_VALUE"""),63814.0)</f>
        <v>63814</v>
      </c>
      <c r="B5667" s="3" t="str">
        <f>IFERROR(__xludf.DUMMYFUNCTION("""COMPUTED_VALUE"""),"59 AUTUMN RD")</f>
        <v>59 AUTUMN RD</v>
      </c>
      <c r="C5667" s="3" t="str">
        <f>IFERROR(__xludf.DUMMYFUNCTION("""COMPUTED_VALUE"""),"WARKWORTH")</f>
        <v>WARKWORTH</v>
      </c>
      <c r="D5667" s="3" t="str">
        <f>IFERROR(__xludf.DUMMYFUNCTION("""COMPUTED_VALUE"""),"K0K 3K0")</f>
        <v>K0K 3K0</v>
      </c>
      <c r="E5667" s="3"/>
      <c r="F5667" s="3"/>
      <c r="G5667" s="3"/>
      <c r="H5667" s="3"/>
    </row>
    <row r="5668">
      <c r="A5668" s="2">
        <f>IFERROR(__xludf.DUMMYFUNCTION("""COMPUTED_VALUE"""),60274.0)</f>
        <v>60274</v>
      </c>
      <c r="B5668" s="3" t="str">
        <f>IFERROR(__xludf.DUMMYFUNCTION("""COMPUTED_VALUE"""),"34 BAGLEY RD")</f>
        <v>34 BAGLEY RD</v>
      </c>
      <c r="C5668" s="3" t="str">
        <f>IFERROR(__xludf.DUMMYFUNCTION("""COMPUTED_VALUE"""),"WARKWORTH")</f>
        <v>WARKWORTH</v>
      </c>
      <c r="D5668" s="3" t="str">
        <f>IFERROR(__xludf.DUMMYFUNCTION("""COMPUTED_VALUE"""),"K0K 3K0")</f>
        <v>K0K 3K0</v>
      </c>
      <c r="E5668" s="3" t="str">
        <f>IFERROR(__xludf.DUMMYFUNCTION("""COMPUTED_VALUE"""),"Tom Davis")</f>
        <v>Tom Davis</v>
      </c>
      <c r="F5668" s="3" t="str">
        <f>IFERROR(__xludf.DUMMYFUNCTION("""COMPUTED_VALUE"""),"tomdavis59@hotmail.com")</f>
        <v>tomdavis59@hotmail.com</v>
      </c>
      <c r="G5668" s="3"/>
      <c r="H5668" s="3"/>
    </row>
    <row r="5669">
      <c r="A5669" s="2">
        <f>IFERROR(__xludf.DUMMYFUNCTION("""COMPUTED_VALUE"""),60275.0)</f>
        <v>60275</v>
      </c>
      <c r="B5669" s="3" t="str">
        <f>IFERROR(__xludf.DUMMYFUNCTION("""COMPUTED_VALUE"""),"52 BAGLEY RD")</f>
        <v>52 BAGLEY RD</v>
      </c>
      <c r="C5669" s="3" t="str">
        <f>IFERROR(__xludf.DUMMYFUNCTION("""COMPUTED_VALUE"""),"WARKWORTH")</f>
        <v>WARKWORTH</v>
      </c>
      <c r="D5669" s="3" t="str">
        <f>IFERROR(__xludf.DUMMYFUNCTION("""COMPUTED_VALUE"""),"K0K 3K0")</f>
        <v>K0K 3K0</v>
      </c>
      <c r="E5669" s="3"/>
      <c r="F5669" s="3"/>
      <c r="G5669" s="3"/>
      <c r="H5669" s="3"/>
    </row>
    <row r="5670">
      <c r="A5670" s="2">
        <f>IFERROR(__xludf.DUMMYFUNCTION("""COMPUTED_VALUE"""),60261.0)</f>
        <v>60261</v>
      </c>
      <c r="B5670" s="3" t="str">
        <f>IFERROR(__xludf.DUMMYFUNCTION("""COMPUTED_VALUE"""),"7 AUTUMN RD")</f>
        <v>7 AUTUMN RD</v>
      </c>
      <c r="C5670" s="3" t="str">
        <f>IFERROR(__xludf.DUMMYFUNCTION("""COMPUTED_VALUE"""),"WARKWORTH")</f>
        <v>WARKWORTH</v>
      </c>
      <c r="D5670" s="3" t="str">
        <f>IFERROR(__xludf.DUMMYFUNCTION("""COMPUTED_VALUE"""),"K0K 3K0")</f>
        <v>K0K 3K0</v>
      </c>
      <c r="E5670" s="3" t="str">
        <f>IFERROR(__xludf.DUMMYFUNCTION("""COMPUTED_VALUE"""),"Noe A Magania")</f>
        <v>Noe A Magania</v>
      </c>
      <c r="F5670" s="3"/>
      <c r="G5670" s="3"/>
      <c r="H5670" s="3"/>
    </row>
    <row r="5671">
      <c r="A5671" s="2">
        <f>IFERROR(__xludf.DUMMYFUNCTION("""COMPUTED_VALUE"""),60262.0)</f>
        <v>60262</v>
      </c>
      <c r="B5671" s="3" t="str">
        <f>IFERROR(__xludf.DUMMYFUNCTION("""COMPUTED_VALUE"""),"11 AUTUMN RD")</f>
        <v>11 AUTUMN RD</v>
      </c>
      <c r="C5671" s="3" t="str">
        <f>IFERROR(__xludf.DUMMYFUNCTION("""COMPUTED_VALUE"""),"WARKWORTH")</f>
        <v>WARKWORTH</v>
      </c>
      <c r="D5671" s="3" t="str">
        <f>IFERROR(__xludf.DUMMYFUNCTION("""COMPUTED_VALUE"""),"K0K 3K0")</f>
        <v>K0K 3K0</v>
      </c>
      <c r="E5671" s="3" t="str">
        <f>IFERROR(__xludf.DUMMYFUNCTION("""COMPUTED_VALUE"""),"Lance Ward")</f>
        <v>Lance Ward</v>
      </c>
      <c r="F5671" s="3" t="str">
        <f>IFERROR(__xludf.DUMMYFUNCTION("""COMPUTED_VALUE"""),"lward877@gmail.com")</f>
        <v>lward877@gmail.com</v>
      </c>
      <c r="G5671" s="3"/>
      <c r="H5671" s="3"/>
    </row>
    <row r="5672">
      <c r="A5672" s="2">
        <f>IFERROR(__xludf.DUMMYFUNCTION("""COMPUTED_VALUE"""),60263.0)</f>
        <v>60263</v>
      </c>
      <c r="B5672" s="3" t="str">
        <f>IFERROR(__xludf.DUMMYFUNCTION("""COMPUTED_VALUE"""),"20 AUTUMN RD")</f>
        <v>20 AUTUMN RD</v>
      </c>
      <c r="C5672" s="3" t="str">
        <f>IFERROR(__xludf.DUMMYFUNCTION("""COMPUTED_VALUE"""),"WARKWORTH")</f>
        <v>WARKWORTH</v>
      </c>
      <c r="D5672" s="3" t="str">
        <f>IFERROR(__xludf.DUMMYFUNCTION("""COMPUTED_VALUE"""),"K0K 3K0")</f>
        <v>K0K 3K0</v>
      </c>
      <c r="E5672" s="3" t="str">
        <f>IFERROR(__xludf.DUMMYFUNCTION("""COMPUTED_VALUE"""),"cynthia green ")</f>
        <v>cynthia green </v>
      </c>
      <c r="F5672" s="3" t="str">
        <f>IFERROR(__xludf.DUMMYFUNCTION("""COMPUTED_VALUE"""),"cyn.green@sympatico.ca")</f>
        <v>cyn.green@sympatico.ca</v>
      </c>
      <c r="G5672" s="3">
        <f>IFERROR(__xludf.DUMMYFUNCTION("""COMPUTED_VALUE"""),4.165572061E9)</f>
        <v>4165572061</v>
      </c>
      <c r="H5672" s="3"/>
    </row>
    <row r="5673">
      <c r="A5673" s="2">
        <f>IFERROR(__xludf.DUMMYFUNCTION("""COMPUTED_VALUE"""),60264.0)</f>
        <v>60264</v>
      </c>
      <c r="B5673" s="3" t="str">
        <f>IFERROR(__xludf.DUMMYFUNCTION("""COMPUTED_VALUE"""),"21 AUTUMN RD")</f>
        <v>21 AUTUMN RD</v>
      </c>
      <c r="C5673" s="3" t="str">
        <f>IFERROR(__xludf.DUMMYFUNCTION("""COMPUTED_VALUE"""),"WARKWORTH")</f>
        <v>WARKWORTH</v>
      </c>
      <c r="D5673" s="3" t="str">
        <f>IFERROR(__xludf.DUMMYFUNCTION("""COMPUTED_VALUE"""),"K0K 3K0")</f>
        <v>K0K 3K0</v>
      </c>
      <c r="E5673" s="3" t="str">
        <f>IFERROR(__xludf.DUMMYFUNCTION("""COMPUTED_VALUE"""),"RACHELLE TOUGAS")</f>
        <v>RACHELLE TOUGAS</v>
      </c>
      <c r="F5673" s="3" t="str">
        <f>IFERROR(__xludf.DUMMYFUNCTION("""COMPUTED_VALUE"""),"tougasrd@gmail.com")</f>
        <v>tougasrd@gmail.com</v>
      </c>
      <c r="G5673" s="3"/>
      <c r="H5673" s="3"/>
    </row>
    <row r="5674">
      <c r="A5674" s="2">
        <f>IFERROR(__xludf.DUMMYFUNCTION("""COMPUTED_VALUE"""),60265.0)</f>
        <v>60265</v>
      </c>
      <c r="B5674" s="3" t="str">
        <f>IFERROR(__xludf.DUMMYFUNCTION("""COMPUTED_VALUE"""),"23 AUTUMN RD")</f>
        <v>23 AUTUMN RD</v>
      </c>
      <c r="C5674" s="3" t="str">
        <f>IFERROR(__xludf.DUMMYFUNCTION("""COMPUTED_VALUE"""),"WARKWORTH")</f>
        <v>WARKWORTH</v>
      </c>
      <c r="D5674" s="3" t="str">
        <f>IFERROR(__xludf.DUMMYFUNCTION("""COMPUTED_VALUE"""),"K0K 3K0")</f>
        <v>K0K 3K0</v>
      </c>
      <c r="E5674" s="3" t="str">
        <f>IFERROR(__xludf.DUMMYFUNCTION("""COMPUTED_VALUE"""),"George Shanyn Koe")</f>
        <v>George Shanyn Koe</v>
      </c>
      <c r="F5674" s="3" t="str">
        <f>IFERROR(__xludf.DUMMYFUNCTION("""COMPUTED_VALUE"""),"shanynkoe@hotmail.com")</f>
        <v>shanynkoe@hotmail.com</v>
      </c>
      <c r="G5674" s="3"/>
      <c r="H5674" s="3"/>
    </row>
    <row r="5675">
      <c r="A5675" s="2">
        <f>IFERROR(__xludf.DUMMYFUNCTION("""COMPUTED_VALUE"""),60266.0)</f>
        <v>60266</v>
      </c>
      <c r="B5675" s="3" t="str">
        <f>IFERROR(__xludf.DUMMYFUNCTION("""COMPUTED_VALUE"""),"26 AUTUMN RD")</f>
        <v>26 AUTUMN RD</v>
      </c>
      <c r="C5675" s="3" t="str">
        <f>IFERROR(__xludf.DUMMYFUNCTION("""COMPUTED_VALUE"""),"WARKWORTH")</f>
        <v>WARKWORTH</v>
      </c>
      <c r="D5675" s="3" t="str">
        <f>IFERROR(__xludf.DUMMYFUNCTION("""COMPUTED_VALUE"""),"K0K 3K0")</f>
        <v>K0K 3K0</v>
      </c>
      <c r="E5675" s="3"/>
      <c r="F5675" s="3"/>
      <c r="G5675" s="3"/>
      <c r="H5675" s="3"/>
    </row>
    <row r="5676">
      <c r="A5676" s="2">
        <f>IFERROR(__xludf.DUMMYFUNCTION("""COMPUTED_VALUE"""),60267.0)</f>
        <v>60267</v>
      </c>
      <c r="B5676" s="3" t="str">
        <f>IFERROR(__xludf.DUMMYFUNCTION("""COMPUTED_VALUE"""),"34 AUTUMN RD")</f>
        <v>34 AUTUMN RD</v>
      </c>
      <c r="C5676" s="3" t="str">
        <f>IFERROR(__xludf.DUMMYFUNCTION("""COMPUTED_VALUE"""),"WARKWORTH")</f>
        <v>WARKWORTH</v>
      </c>
      <c r="D5676" s="3" t="str">
        <f>IFERROR(__xludf.DUMMYFUNCTION("""COMPUTED_VALUE"""),"K0K 3K0")</f>
        <v>K0K 3K0</v>
      </c>
      <c r="E5676" s="3"/>
      <c r="F5676" s="3"/>
      <c r="G5676" s="3"/>
      <c r="H5676" s="3"/>
    </row>
    <row r="5677">
      <c r="A5677" s="2">
        <f>IFERROR(__xludf.DUMMYFUNCTION("""COMPUTED_VALUE"""),60268.0)</f>
        <v>60268</v>
      </c>
      <c r="B5677" s="3" t="str">
        <f>IFERROR(__xludf.DUMMYFUNCTION("""COMPUTED_VALUE"""),"36 AUTUMN RD")</f>
        <v>36 AUTUMN RD</v>
      </c>
      <c r="C5677" s="3" t="str">
        <f>IFERROR(__xludf.DUMMYFUNCTION("""COMPUTED_VALUE"""),"WARKWORTH")</f>
        <v>WARKWORTH</v>
      </c>
      <c r="D5677" s="3" t="str">
        <f>IFERROR(__xludf.DUMMYFUNCTION("""COMPUTED_VALUE"""),"K0K 3K0")</f>
        <v>K0K 3K0</v>
      </c>
      <c r="E5677" s="3" t="str">
        <f>IFERROR(__xludf.DUMMYFUNCTION("""COMPUTED_VALUE"""),"Tom+Kenda Dillabough")</f>
        <v>Tom+Kenda Dillabough</v>
      </c>
      <c r="F5677" s="3"/>
      <c r="G5677" s="3"/>
      <c r="H5677" s="3"/>
    </row>
    <row r="5678">
      <c r="A5678" s="2">
        <f>IFERROR(__xludf.DUMMYFUNCTION("""COMPUTED_VALUE"""),60269.0)</f>
        <v>60269</v>
      </c>
      <c r="B5678" s="3" t="str">
        <f>IFERROR(__xludf.DUMMYFUNCTION("""COMPUTED_VALUE"""),"47 AUTUMN RD")</f>
        <v>47 AUTUMN RD</v>
      </c>
      <c r="C5678" s="3" t="str">
        <f>IFERROR(__xludf.DUMMYFUNCTION("""COMPUTED_VALUE"""),"WARKWORTH")</f>
        <v>WARKWORTH</v>
      </c>
      <c r="D5678" s="3" t="str">
        <f>IFERROR(__xludf.DUMMYFUNCTION("""COMPUTED_VALUE"""),"K0K 3K0")</f>
        <v>K0K 3K0</v>
      </c>
      <c r="E5678" s="3" t="str">
        <f>IFERROR(__xludf.DUMMYFUNCTION("""COMPUTED_VALUE"""),"Danna+Ross Boswell")</f>
        <v>Danna+Ross Boswell</v>
      </c>
      <c r="F5678" s="3"/>
      <c r="G5678" s="3"/>
      <c r="H5678" s="3"/>
    </row>
    <row r="5679">
      <c r="A5679" s="2">
        <f>IFERROR(__xludf.DUMMYFUNCTION("""COMPUTED_VALUE"""),60270.0)</f>
        <v>60270</v>
      </c>
      <c r="B5679" s="3" t="str">
        <f>IFERROR(__xludf.DUMMYFUNCTION("""COMPUTED_VALUE"""),"52 AUTUMN RD")</f>
        <v>52 AUTUMN RD</v>
      </c>
      <c r="C5679" s="3" t="str">
        <f>IFERROR(__xludf.DUMMYFUNCTION("""COMPUTED_VALUE"""),"WARKWORTH")</f>
        <v>WARKWORTH</v>
      </c>
      <c r="D5679" s="3" t="str">
        <f>IFERROR(__xludf.DUMMYFUNCTION("""COMPUTED_VALUE"""),"K0K 3K0")</f>
        <v>K0K 3K0</v>
      </c>
      <c r="E5679" s="3" t="str">
        <f>IFERROR(__xludf.DUMMYFUNCTION("""COMPUTED_VALUE"""),"STUART JAMES McGETRICK")</f>
        <v>STUART JAMES McGETRICK</v>
      </c>
      <c r="F5679" s="3" t="str">
        <f>IFERROR(__xludf.DUMMYFUNCTION("""COMPUTED_VALUE"""),"sjmcgetrick@gmail.com")</f>
        <v>sjmcgetrick@gmail.com</v>
      </c>
      <c r="G5679" s="3">
        <f>IFERROR(__xludf.DUMMYFUNCTION("""COMPUTED_VALUE"""),9.054073724E9)</f>
        <v>9054073724</v>
      </c>
      <c r="H5679" s="3"/>
    </row>
    <row r="5680">
      <c r="A5680" s="2">
        <f>IFERROR(__xludf.DUMMYFUNCTION("""COMPUTED_VALUE"""),60271.0)</f>
        <v>60271</v>
      </c>
      <c r="B5680" s="3" t="str">
        <f>IFERROR(__xludf.DUMMYFUNCTION("""COMPUTED_VALUE"""),"55 AUTUMN RD")</f>
        <v>55 AUTUMN RD</v>
      </c>
      <c r="C5680" s="3" t="str">
        <f>IFERROR(__xludf.DUMMYFUNCTION("""COMPUTED_VALUE"""),"WARKWORTH")</f>
        <v>WARKWORTH</v>
      </c>
      <c r="D5680" s="3" t="str">
        <f>IFERROR(__xludf.DUMMYFUNCTION("""COMPUTED_VALUE"""),"K0K 3K0")</f>
        <v>K0K 3K0</v>
      </c>
      <c r="E5680" s="3" t="str">
        <f>IFERROR(__xludf.DUMMYFUNCTION("""COMPUTED_VALUE"""),"Mark Dawidowicz")</f>
        <v>Mark Dawidowicz</v>
      </c>
      <c r="F5680" s="3" t="str">
        <f>IFERROR(__xludf.DUMMYFUNCTION("""COMPUTED_VALUE"""),"markdawidowicz2.0@gmail.com")</f>
        <v>markdawidowicz2.0@gmail.com</v>
      </c>
      <c r="G5680" s="3">
        <f>IFERROR(__xludf.DUMMYFUNCTION("""COMPUTED_VALUE"""),4.169532671E9)</f>
        <v>4169532671</v>
      </c>
      <c r="H5680" s="3">
        <f>IFERROR(__xludf.DUMMYFUNCTION("""COMPUTED_VALUE"""),4.16845467E9)</f>
        <v>4168454670</v>
      </c>
    </row>
    <row r="5681">
      <c r="A5681" s="2">
        <f>IFERROR(__xludf.DUMMYFUNCTION("""COMPUTED_VALUE"""),63398.0)</f>
        <v>63398</v>
      </c>
      <c r="B5681" s="3" t="str">
        <f>IFERROR(__xludf.DUMMYFUNCTION("""COMPUTED_VALUE"""),"8 SUMMER LANE  ")</f>
        <v>8 SUMMER LANE  </v>
      </c>
      <c r="C5681" s="3" t="str">
        <f>IFERROR(__xludf.DUMMYFUNCTION("""COMPUTED_VALUE"""),"WARKWORTH")</f>
        <v>WARKWORTH</v>
      </c>
      <c r="D5681" s="3" t="str">
        <f>IFERROR(__xludf.DUMMYFUNCTION("""COMPUTED_VALUE"""),"K0K 3K0")</f>
        <v>K0K 3K0</v>
      </c>
      <c r="E5681" s="3" t="str">
        <f>IFERROR(__xludf.DUMMYFUNCTION("""COMPUTED_VALUE"""),"Carly Reyner")</f>
        <v>Carly Reyner</v>
      </c>
      <c r="F5681" s="3" t="str">
        <f>IFERROR(__xludf.DUMMYFUNCTION("""COMPUTED_VALUE"""),"carlyreyner@gmail.com")</f>
        <v>carlyreyner@gmail.com</v>
      </c>
      <c r="G5681" s="3"/>
      <c r="H5681" s="3"/>
    </row>
    <row r="5682">
      <c r="A5682" s="2">
        <f>IFERROR(__xludf.DUMMYFUNCTION("""COMPUTED_VALUE"""),63399.0)</f>
        <v>63399</v>
      </c>
      <c r="B5682" s="3" t="str">
        <f>IFERROR(__xludf.DUMMYFUNCTION("""COMPUTED_VALUE"""),"9 SUMMER LANE  ")</f>
        <v>9 SUMMER LANE  </v>
      </c>
      <c r="C5682" s="3" t="str">
        <f>IFERROR(__xludf.DUMMYFUNCTION("""COMPUTED_VALUE"""),"WARKWORTH")</f>
        <v>WARKWORTH</v>
      </c>
      <c r="D5682" s="3" t="str">
        <f>IFERROR(__xludf.DUMMYFUNCTION("""COMPUTED_VALUE"""),"K0K 3K0")</f>
        <v>K0K 3K0</v>
      </c>
      <c r="E5682" s="3" t="str">
        <f>IFERROR(__xludf.DUMMYFUNCTION("""COMPUTED_VALUE"""),"ARthur Medlock")</f>
        <v>ARthur Medlock</v>
      </c>
      <c r="F5682" s="3"/>
      <c r="G5682" s="3"/>
      <c r="H5682" s="3"/>
    </row>
    <row r="5683">
      <c r="A5683" s="2">
        <f>IFERROR(__xludf.DUMMYFUNCTION("""COMPUTED_VALUE"""),63400.0)</f>
        <v>63400</v>
      </c>
      <c r="B5683" s="3" t="str">
        <f>IFERROR(__xludf.DUMMYFUNCTION("""COMPUTED_VALUE"""),"15 SUMMER LANE  ")</f>
        <v>15 SUMMER LANE  </v>
      </c>
      <c r="C5683" s="3" t="str">
        <f>IFERROR(__xludf.DUMMYFUNCTION("""COMPUTED_VALUE"""),"WARKWORTH")</f>
        <v>WARKWORTH</v>
      </c>
      <c r="D5683" s="3" t="str">
        <f>IFERROR(__xludf.DUMMYFUNCTION("""COMPUTED_VALUE"""),"K0K 3K0")</f>
        <v>K0K 3K0</v>
      </c>
      <c r="E5683" s="3" t="str">
        <f>IFERROR(__xludf.DUMMYFUNCTION("""COMPUTED_VALUE"""),"Cam Donald")</f>
        <v>Cam Donald</v>
      </c>
      <c r="F5683" s="3"/>
      <c r="G5683" s="3"/>
      <c r="H5683" s="3"/>
    </row>
    <row r="5684">
      <c r="A5684" s="2">
        <f>IFERROR(__xludf.DUMMYFUNCTION("""COMPUTED_VALUE"""),63401.0)</f>
        <v>63401</v>
      </c>
      <c r="B5684" s="3" t="str">
        <f>IFERROR(__xludf.DUMMYFUNCTION("""COMPUTED_VALUE"""),"17 SUMMER LANE  ")</f>
        <v>17 SUMMER LANE  </v>
      </c>
      <c r="C5684" s="3" t="str">
        <f>IFERROR(__xludf.DUMMYFUNCTION("""COMPUTED_VALUE"""),"WARKWORTH")</f>
        <v>WARKWORTH</v>
      </c>
      <c r="D5684" s="3" t="str">
        <f>IFERROR(__xludf.DUMMYFUNCTION("""COMPUTED_VALUE"""),"K0K 3K0")</f>
        <v>K0K 3K0</v>
      </c>
      <c r="E5684" s="3" t="str">
        <f>IFERROR(__xludf.DUMMYFUNCTION("""COMPUTED_VALUE"""),"Al Webber")</f>
        <v>Al Webber</v>
      </c>
      <c r="F5684" s="3"/>
      <c r="G5684" s="3"/>
      <c r="H5684" s="3"/>
    </row>
    <row r="5685">
      <c r="A5685" s="2">
        <f>IFERROR(__xludf.DUMMYFUNCTION("""COMPUTED_VALUE"""),63402.0)</f>
        <v>63402</v>
      </c>
      <c r="B5685" s="3" t="str">
        <f>IFERROR(__xludf.DUMMYFUNCTION("""COMPUTED_VALUE"""),"21 SUMMER LANE  ")</f>
        <v>21 SUMMER LANE  </v>
      </c>
      <c r="C5685" s="3" t="str">
        <f>IFERROR(__xludf.DUMMYFUNCTION("""COMPUTED_VALUE"""),"WARKWORTH")</f>
        <v>WARKWORTH</v>
      </c>
      <c r="D5685" s="3" t="str">
        <f>IFERROR(__xludf.DUMMYFUNCTION("""COMPUTED_VALUE"""),"K0K 3K0")</f>
        <v>K0K 3K0</v>
      </c>
      <c r="E5685" s="3"/>
      <c r="F5685" s="3"/>
      <c r="G5685" s="3"/>
      <c r="H5685" s="3"/>
    </row>
    <row r="5686">
      <c r="A5686" s="2">
        <f>IFERROR(__xludf.DUMMYFUNCTION("""COMPUTED_VALUE"""),63403.0)</f>
        <v>63403</v>
      </c>
      <c r="B5686" s="3" t="str">
        <f>IFERROR(__xludf.DUMMYFUNCTION("""COMPUTED_VALUE"""),"22 SUMMER LANE  ")</f>
        <v>22 SUMMER LANE  </v>
      </c>
      <c r="C5686" s="3" t="str">
        <f>IFERROR(__xludf.DUMMYFUNCTION("""COMPUTED_VALUE"""),"WARKWORTH")</f>
        <v>WARKWORTH</v>
      </c>
      <c r="D5686" s="3" t="str">
        <f>IFERROR(__xludf.DUMMYFUNCTION("""COMPUTED_VALUE"""),"K0K 3K0")</f>
        <v>K0K 3K0</v>
      </c>
      <c r="E5686" s="3"/>
      <c r="F5686" s="3"/>
      <c r="G5686" s="3"/>
      <c r="H5686" s="3"/>
    </row>
    <row r="5687">
      <c r="A5687" s="2">
        <f>IFERROR(__xludf.DUMMYFUNCTION("""COMPUTED_VALUE"""),63404.0)</f>
        <v>63404</v>
      </c>
      <c r="B5687" s="3" t="str">
        <f>IFERROR(__xludf.DUMMYFUNCTION("""COMPUTED_VALUE"""),"31 SUMMER LANE  ")</f>
        <v>31 SUMMER LANE  </v>
      </c>
      <c r="C5687" s="3" t="str">
        <f>IFERROR(__xludf.DUMMYFUNCTION("""COMPUTED_VALUE"""),"WARKWORTH")</f>
        <v>WARKWORTH</v>
      </c>
      <c r="D5687" s="3" t="str">
        <f>IFERROR(__xludf.DUMMYFUNCTION("""COMPUTED_VALUE"""),"K0K 3K0")</f>
        <v>K0K 3K0</v>
      </c>
      <c r="E5687" s="3" t="str">
        <f>IFERROR(__xludf.DUMMYFUNCTION("""COMPUTED_VALUE"""),"Doug Mceachern")</f>
        <v>Doug Mceachern</v>
      </c>
      <c r="F5687" s="3"/>
      <c r="G5687" s="3"/>
      <c r="H5687" s="3"/>
    </row>
    <row r="5688">
      <c r="A5688" s="2">
        <f>IFERROR(__xludf.DUMMYFUNCTION("""COMPUTED_VALUE"""),63405.0)</f>
        <v>63405</v>
      </c>
      <c r="B5688" s="3" t="str">
        <f>IFERROR(__xludf.DUMMYFUNCTION("""COMPUTED_VALUE"""),"32 SUMMER LANE  ")</f>
        <v>32 SUMMER LANE  </v>
      </c>
      <c r="C5688" s="3" t="str">
        <f>IFERROR(__xludf.DUMMYFUNCTION("""COMPUTED_VALUE"""),"WARKWORTH")</f>
        <v>WARKWORTH</v>
      </c>
      <c r="D5688" s="3" t="str">
        <f>IFERROR(__xludf.DUMMYFUNCTION("""COMPUTED_VALUE"""),"K0K 3K0")</f>
        <v>K0K 3K0</v>
      </c>
      <c r="E5688" s="3" t="str">
        <f>IFERROR(__xludf.DUMMYFUNCTION("""COMPUTED_VALUE"""),"Joel Tilley")</f>
        <v>Joel Tilley</v>
      </c>
      <c r="F5688" s="3" t="str">
        <f>IFERROR(__xludf.DUMMYFUNCTION("""COMPUTED_VALUE"""),"Tilley-69@live.com")</f>
        <v>Tilley-69@live.com</v>
      </c>
      <c r="G5688" s="3">
        <f>IFERROR(__xludf.DUMMYFUNCTION("""COMPUTED_VALUE"""),2.892519569E9)</f>
        <v>2892519569</v>
      </c>
      <c r="H5688" s="3">
        <f>IFERROR(__xludf.DUMMYFUNCTION("""COMPUTED_VALUE"""),2.897712566E9)</f>
        <v>2897712566</v>
      </c>
    </row>
    <row r="5689">
      <c r="A5689" s="2">
        <f>IFERROR(__xludf.DUMMYFUNCTION("""COMPUTED_VALUE"""),63406.0)</f>
        <v>63406</v>
      </c>
      <c r="B5689" s="3" t="str">
        <f>IFERROR(__xludf.DUMMYFUNCTION("""COMPUTED_VALUE"""),"34 SUMMER LANE  ")</f>
        <v>34 SUMMER LANE  </v>
      </c>
      <c r="C5689" s="3" t="str">
        <f>IFERROR(__xludf.DUMMYFUNCTION("""COMPUTED_VALUE"""),"WARKWORTH")</f>
        <v>WARKWORTH</v>
      </c>
      <c r="D5689" s="3" t="str">
        <f>IFERROR(__xludf.DUMMYFUNCTION("""COMPUTED_VALUE"""),"K0K 3K0")</f>
        <v>K0K 3K0</v>
      </c>
      <c r="E5689" s="3"/>
      <c r="F5689" s="3"/>
      <c r="G5689" s="3"/>
      <c r="H5689" s="3"/>
    </row>
    <row r="5690">
      <c r="A5690" s="2">
        <f>IFERROR(__xludf.DUMMYFUNCTION("""COMPUTED_VALUE"""),63407.0)</f>
        <v>63407</v>
      </c>
      <c r="B5690" s="3" t="str">
        <f>IFERROR(__xludf.DUMMYFUNCTION("""COMPUTED_VALUE"""),"39 SUMMER LANE  ")</f>
        <v>39 SUMMER LANE  </v>
      </c>
      <c r="C5690" s="3" t="str">
        <f>IFERROR(__xludf.DUMMYFUNCTION("""COMPUTED_VALUE"""),"WARKWORTH")</f>
        <v>WARKWORTH</v>
      </c>
      <c r="D5690" s="3" t="str">
        <f>IFERROR(__xludf.DUMMYFUNCTION("""COMPUTED_VALUE"""),"K0K 3K0")</f>
        <v>K0K 3K0</v>
      </c>
      <c r="E5690" s="3"/>
      <c r="F5690" s="3"/>
      <c r="G5690" s="3"/>
      <c r="H5690" s="3"/>
    </row>
    <row r="5691">
      <c r="A5691" s="2">
        <f>IFERROR(__xludf.DUMMYFUNCTION("""COMPUTED_VALUE"""),63408.0)</f>
        <v>63408</v>
      </c>
      <c r="B5691" s="3" t="str">
        <f>IFERROR(__xludf.DUMMYFUNCTION("""COMPUTED_VALUE"""),"40 SUMMER LANE  ")</f>
        <v>40 SUMMER LANE  </v>
      </c>
      <c r="C5691" s="3" t="str">
        <f>IFERROR(__xludf.DUMMYFUNCTION("""COMPUTED_VALUE"""),"WARKWORTH")</f>
        <v>WARKWORTH</v>
      </c>
      <c r="D5691" s="3" t="str">
        <f>IFERROR(__xludf.DUMMYFUNCTION("""COMPUTED_VALUE"""),"K0K 3K0")</f>
        <v>K0K 3K0</v>
      </c>
      <c r="E5691" s="3" t="str">
        <f>IFERROR(__xludf.DUMMYFUNCTION("""COMPUTED_VALUE"""),"Matthew top")</f>
        <v>Matthew top</v>
      </c>
      <c r="F5691" s="3" t="str">
        <f>IFERROR(__xludf.DUMMYFUNCTION("""COMPUTED_VALUE"""),"matthewrichardtop@gmail.com")</f>
        <v>matthewrichardtop@gmail.com</v>
      </c>
      <c r="G5691" s="3">
        <f>IFERROR(__xludf.DUMMYFUNCTION("""COMPUTED_VALUE"""),6.138270406E9)</f>
        <v>6138270406</v>
      </c>
      <c r="H5691" s="3"/>
    </row>
    <row r="5692">
      <c r="A5692" s="2">
        <f>IFERROR(__xludf.DUMMYFUNCTION("""COMPUTED_VALUE"""),63410.0)</f>
        <v>63410</v>
      </c>
      <c r="B5692" s="3" t="str">
        <f>IFERROR(__xludf.DUMMYFUNCTION("""COMPUTED_VALUE"""),"44 SUMMER LANE  ")</f>
        <v>44 SUMMER LANE  </v>
      </c>
      <c r="C5692" s="3" t="str">
        <f>IFERROR(__xludf.DUMMYFUNCTION("""COMPUTED_VALUE"""),"WARKWORTH")</f>
        <v>WARKWORTH</v>
      </c>
      <c r="D5692" s="3" t="str">
        <f>IFERROR(__xludf.DUMMYFUNCTION("""COMPUTED_VALUE"""),"K0K 3K0")</f>
        <v>K0K 3K0</v>
      </c>
      <c r="E5692" s="3" t="str">
        <f>IFERROR(__xludf.DUMMYFUNCTION("""COMPUTED_VALUE"""),"Frank Barry")</f>
        <v>Frank Barry</v>
      </c>
      <c r="F5692" s="3" t="str">
        <f>IFERROR(__xludf.DUMMYFUNCTION("""COMPUTED_VALUE"""),"frank797293@gmail.com")</f>
        <v>frank797293@gmail.com</v>
      </c>
      <c r="G5692" s="3"/>
      <c r="H5692" s="3">
        <f>IFERROR(__xludf.DUMMYFUNCTION("""COMPUTED_VALUE"""),2.898930327E9)</f>
        <v>2898930327</v>
      </c>
    </row>
    <row r="5693">
      <c r="A5693" s="2">
        <f>IFERROR(__xludf.DUMMYFUNCTION("""COMPUTED_VALUE"""),63411.0)</f>
        <v>63411</v>
      </c>
      <c r="B5693" s="3" t="str">
        <f>IFERROR(__xludf.DUMMYFUNCTION("""COMPUTED_VALUE"""),"52 SUMMER LANE  ")</f>
        <v>52 SUMMER LANE  </v>
      </c>
      <c r="C5693" s="3" t="str">
        <f>IFERROR(__xludf.DUMMYFUNCTION("""COMPUTED_VALUE"""),"WARKWORTH")</f>
        <v>WARKWORTH</v>
      </c>
      <c r="D5693" s="3" t="str">
        <f>IFERROR(__xludf.DUMMYFUNCTION("""COMPUTED_VALUE"""),"K0K 3K0")</f>
        <v>K0K 3K0</v>
      </c>
      <c r="E5693" s="3" t="str">
        <f>IFERROR(__xludf.DUMMYFUNCTION("""COMPUTED_VALUE"""),"Tristan Young")</f>
        <v>Tristan Young</v>
      </c>
      <c r="F5693" s="3"/>
      <c r="G5693" s="3"/>
      <c r="H5693" s="3"/>
    </row>
    <row r="5694">
      <c r="A5694" s="2">
        <f>IFERROR(__xludf.DUMMYFUNCTION("""COMPUTED_VALUE"""),63412.0)</f>
        <v>63412</v>
      </c>
      <c r="B5694" s="3" t="str">
        <f>IFERROR(__xludf.DUMMYFUNCTION("""COMPUTED_VALUE"""),"55 SUMMER LANE  ")</f>
        <v>55 SUMMER LANE  </v>
      </c>
      <c r="C5694" s="3" t="str">
        <f>IFERROR(__xludf.DUMMYFUNCTION("""COMPUTED_VALUE"""),"WARKWORTH")</f>
        <v>WARKWORTH</v>
      </c>
      <c r="D5694" s="3" t="str">
        <f>IFERROR(__xludf.DUMMYFUNCTION("""COMPUTED_VALUE"""),"K0K 3K0")</f>
        <v>K0K 3K0</v>
      </c>
      <c r="E5694" s="3"/>
      <c r="F5694" s="3"/>
      <c r="G5694" s="3"/>
      <c r="H5694" s="3"/>
    </row>
    <row r="5695">
      <c r="A5695" s="2">
        <f>IFERROR(__xludf.DUMMYFUNCTION("""COMPUTED_VALUE"""),63413.0)</f>
        <v>63413</v>
      </c>
      <c r="B5695" s="3" t="str">
        <f>IFERROR(__xludf.DUMMYFUNCTION("""COMPUTED_VALUE"""),"59 SUMMER LANE  ")</f>
        <v>59 SUMMER LANE  </v>
      </c>
      <c r="C5695" s="3" t="str">
        <f>IFERROR(__xludf.DUMMYFUNCTION("""COMPUTED_VALUE"""),"WARKWORTH")</f>
        <v>WARKWORTH</v>
      </c>
      <c r="D5695" s="3" t="str">
        <f>IFERROR(__xludf.DUMMYFUNCTION("""COMPUTED_VALUE"""),"K0K 3K0")</f>
        <v>K0K 3K0</v>
      </c>
      <c r="E5695" s="3" t="str">
        <f>IFERROR(__xludf.DUMMYFUNCTION("""COMPUTED_VALUE"""),"Carmen Untalan")</f>
        <v>Carmen Untalan</v>
      </c>
      <c r="F5695" s="3" t="str">
        <f>IFERROR(__xludf.DUMMYFUNCTION("""COMPUTED_VALUE"""),"carmen.untalan94@gmail.com")</f>
        <v>carmen.untalan94@gmail.com</v>
      </c>
      <c r="G5695" s="3"/>
      <c r="H5695" s="3"/>
    </row>
    <row r="5696">
      <c r="A5696" s="2">
        <f>IFERROR(__xludf.DUMMYFUNCTION("""COMPUTED_VALUE"""),63414.0)</f>
        <v>63414</v>
      </c>
      <c r="B5696" s="3" t="str">
        <f>IFERROR(__xludf.DUMMYFUNCTION("""COMPUTED_VALUE"""),"60 SUMMER LANE  ")</f>
        <v>60 SUMMER LANE  </v>
      </c>
      <c r="C5696" s="3" t="str">
        <f>IFERROR(__xludf.DUMMYFUNCTION("""COMPUTED_VALUE"""),"WARKWORTH")</f>
        <v>WARKWORTH</v>
      </c>
      <c r="D5696" s="3" t="str">
        <f>IFERROR(__xludf.DUMMYFUNCTION("""COMPUTED_VALUE"""),"K0K 3K0")</f>
        <v>K0K 3K0</v>
      </c>
      <c r="E5696" s="3" t="str">
        <f>IFERROR(__xludf.DUMMYFUNCTION("""COMPUTED_VALUE"""),"Judith &amp; Edward Kraushar")</f>
        <v>Judith &amp; Edward Kraushar</v>
      </c>
      <c r="F5696" s="3" t="str">
        <f>IFERROR(__xludf.DUMMYFUNCTION("""COMPUTED_VALUE"""),"edkraushar@bell.net")</f>
        <v>edkraushar@bell.net</v>
      </c>
      <c r="G5696" s="3"/>
      <c r="H5696" s="3"/>
    </row>
    <row r="5697">
      <c r="A5697" s="2">
        <f>IFERROR(__xludf.DUMMYFUNCTION("""COMPUTED_VALUE"""),63415.0)</f>
        <v>63415</v>
      </c>
      <c r="B5697" s="3" t="str">
        <f>IFERROR(__xludf.DUMMYFUNCTION("""COMPUTED_VALUE"""),"66 SUMMER LANE  ")</f>
        <v>66 SUMMER LANE  </v>
      </c>
      <c r="C5697" s="3" t="str">
        <f>IFERROR(__xludf.DUMMYFUNCTION("""COMPUTED_VALUE"""),"WARKWORTH")</f>
        <v>WARKWORTH</v>
      </c>
      <c r="D5697" s="3" t="str">
        <f>IFERROR(__xludf.DUMMYFUNCTION("""COMPUTED_VALUE"""),"K0K 3K0")</f>
        <v>K0K 3K0</v>
      </c>
      <c r="E5697" s="3"/>
      <c r="F5697" s="3"/>
      <c r="G5697" s="3"/>
      <c r="H5697" s="3"/>
    </row>
    <row r="5698">
      <c r="A5698" s="2">
        <f>IFERROR(__xludf.DUMMYFUNCTION("""COMPUTED_VALUE"""),63416.0)</f>
        <v>63416</v>
      </c>
      <c r="B5698" s="3" t="str">
        <f>IFERROR(__xludf.DUMMYFUNCTION("""COMPUTED_VALUE"""),"68 SUMMER LANE  ")</f>
        <v>68 SUMMER LANE  </v>
      </c>
      <c r="C5698" s="3" t="str">
        <f>IFERROR(__xludf.DUMMYFUNCTION("""COMPUTED_VALUE"""),"WARKWORTH")</f>
        <v>WARKWORTH</v>
      </c>
      <c r="D5698" s="3" t="str">
        <f>IFERROR(__xludf.DUMMYFUNCTION("""COMPUTED_VALUE"""),"K0K 3K0")</f>
        <v>K0K 3K0</v>
      </c>
      <c r="E5698" s="3"/>
      <c r="F5698" s="3"/>
      <c r="G5698" s="3"/>
      <c r="H5698" s="3"/>
    </row>
    <row r="5699">
      <c r="A5699" s="2">
        <f>IFERROR(__xludf.DUMMYFUNCTION("""COMPUTED_VALUE"""),63417.0)</f>
        <v>63417</v>
      </c>
      <c r="B5699" s="3" t="str">
        <f>IFERROR(__xludf.DUMMYFUNCTION("""COMPUTED_VALUE"""),"70 SUMMER LANE  ")</f>
        <v>70 SUMMER LANE  </v>
      </c>
      <c r="C5699" s="3" t="str">
        <f>IFERROR(__xludf.DUMMYFUNCTION("""COMPUTED_VALUE"""),"WARKWORTH")</f>
        <v>WARKWORTH</v>
      </c>
      <c r="D5699" s="3" t="str">
        <f>IFERROR(__xludf.DUMMYFUNCTION("""COMPUTED_VALUE"""),"K0K 3K0")</f>
        <v>K0K 3K0</v>
      </c>
      <c r="E5699" s="3" t="str">
        <f>IFERROR(__xludf.DUMMYFUNCTION("""COMPUTED_VALUE"""),"Joe Ann Kortman")</f>
        <v>Joe Ann Kortman</v>
      </c>
      <c r="F5699" s="3" t="str">
        <f>IFERROR(__xludf.DUMMYFUNCTION("""COMPUTED_VALUE"""),"joeannfolan@hotmail.com")</f>
        <v>joeannfolan@hotmail.com</v>
      </c>
      <c r="G5699" s="3">
        <f>IFERROR(__xludf.DUMMYFUNCTION("""COMPUTED_VALUE"""),9.052692283E9)</f>
        <v>9052692283</v>
      </c>
      <c r="H5699" s="3"/>
    </row>
    <row r="5700">
      <c r="A5700" s="2">
        <f>IFERROR(__xludf.DUMMYFUNCTION("""COMPUTED_VALUE"""),63418.0)</f>
        <v>63418</v>
      </c>
      <c r="B5700" s="3" t="str">
        <f>IFERROR(__xludf.DUMMYFUNCTION("""COMPUTED_VALUE"""),"72 SUMMER LANE  ")</f>
        <v>72 SUMMER LANE  </v>
      </c>
      <c r="C5700" s="3" t="str">
        <f>IFERROR(__xludf.DUMMYFUNCTION("""COMPUTED_VALUE"""),"WARKWORTH")</f>
        <v>WARKWORTH</v>
      </c>
      <c r="D5700" s="3" t="str">
        <f>IFERROR(__xludf.DUMMYFUNCTION("""COMPUTED_VALUE"""),"K0K 3K0")</f>
        <v>K0K 3K0</v>
      </c>
      <c r="E5700" s="3" t="str">
        <f>IFERROR(__xludf.DUMMYFUNCTION("""COMPUTED_VALUE"""),"Steve Jeffery")</f>
        <v>Steve Jeffery</v>
      </c>
      <c r="F5700" s="3"/>
      <c r="G5700" s="3"/>
      <c r="H5700" s="3"/>
    </row>
    <row r="5701">
      <c r="A5701" s="2">
        <f>IFERROR(__xludf.DUMMYFUNCTION("""COMPUTED_VALUE"""),63384.0)</f>
        <v>63384</v>
      </c>
      <c r="B5701" s="3" t="str">
        <f>IFERROR(__xludf.DUMMYFUNCTION("""COMPUTED_VALUE"""),"6 SPRING LANE  ")</f>
        <v>6 SPRING LANE  </v>
      </c>
      <c r="C5701" s="3" t="str">
        <f>IFERROR(__xludf.DUMMYFUNCTION("""COMPUTED_VALUE"""),"WARKWORTH")</f>
        <v>WARKWORTH</v>
      </c>
      <c r="D5701" s="3" t="str">
        <f>IFERROR(__xludf.DUMMYFUNCTION("""COMPUTED_VALUE"""),"K0K 3K0")</f>
        <v>K0K 3K0</v>
      </c>
      <c r="E5701" s="3"/>
      <c r="F5701" s="3"/>
      <c r="G5701" s="3"/>
      <c r="H5701" s="3"/>
    </row>
    <row r="5702">
      <c r="A5702" s="2">
        <f>IFERROR(__xludf.DUMMYFUNCTION("""COMPUTED_VALUE"""),63385.0)</f>
        <v>63385</v>
      </c>
      <c r="B5702" s="3" t="str">
        <f>IFERROR(__xludf.DUMMYFUNCTION("""COMPUTED_VALUE"""),"10 SPRING LANE  ")</f>
        <v>10 SPRING LANE  </v>
      </c>
      <c r="C5702" s="3" t="str">
        <f>IFERROR(__xludf.DUMMYFUNCTION("""COMPUTED_VALUE"""),"WARKWORTH")</f>
        <v>WARKWORTH</v>
      </c>
      <c r="D5702" s="3" t="str">
        <f>IFERROR(__xludf.DUMMYFUNCTION("""COMPUTED_VALUE"""),"K0K 3K0")</f>
        <v>K0K 3K0</v>
      </c>
      <c r="E5702" s="3" t="str">
        <f>IFERROR(__xludf.DUMMYFUNCTION("""COMPUTED_VALUE"""),"gary gulbrotv")</f>
        <v>gary gulbrotv</v>
      </c>
      <c r="F5702" s="3"/>
      <c r="G5702" s="3">
        <f>IFERROR(__xludf.DUMMYFUNCTION("""COMPUTED_VALUE"""),7.058686461E9)</f>
        <v>7058686461</v>
      </c>
      <c r="H5702" s="3"/>
    </row>
    <row r="5703">
      <c r="A5703" s="2">
        <f>IFERROR(__xludf.DUMMYFUNCTION("""COMPUTED_VALUE"""),63386.0)</f>
        <v>63386</v>
      </c>
      <c r="B5703" s="3" t="str">
        <f>IFERROR(__xludf.DUMMYFUNCTION("""COMPUTED_VALUE"""),"14 SPRING LANE  ")</f>
        <v>14 SPRING LANE  </v>
      </c>
      <c r="C5703" s="3" t="str">
        <f>IFERROR(__xludf.DUMMYFUNCTION("""COMPUTED_VALUE"""),"WARKWORTH")</f>
        <v>WARKWORTH</v>
      </c>
      <c r="D5703" s="3" t="str">
        <f>IFERROR(__xludf.DUMMYFUNCTION("""COMPUTED_VALUE"""),"K0K 3K0")</f>
        <v>K0K 3K0</v>
      </c>
      <c r="E5703" s="3" t="str">
        <f>IFERROR(__xludf.DUMMYFUNCTION("""COMPUTED_VALUE"""),"Debbie Vangemeren")</f>
        <v>Debbie Vangemeren</v>
      </c>
      <c r="F5703" s="3" t="str">
        <f>IFERROR(__xludf.DUMMYFUNCTION("""COMPUTED_VALUE"""),"vang_d@hotmail.com")</f>
        <v>vang_d@hotmail.com</v>
      </c>
      <c r="G5703" s="3">
        <f>IFERROR(__xludf.DUMMYFUNCTION("""COMPUTED_VALUE"""),7.059242642E9)</f>
        <v>7059242642</v>
      </c>
      <c r="H5703" s="3">
        <f>IFERROR(__xludf.DUMMYFUNCTION("""COMPUTED_VALUE"""),7.05917264E9)</f>
        <v>7059172640</v>
      </c>
    </row>
    <row r="5704">
      <c r="A5704" s="2">
        <f>IFERROR(__xludf.DUMMYFUNCTION("""COMPUTED_VALUE"""),63387.0)</f>
        <v>63387</v>
      </c>
      <c r="B5704" s="3" t="str">
        <f>IFERROR(__xludf.DUMMYFUNCTION("""COMPUTED_VALUE"""),"17 SPRING LANE  ")</f>
        <v>17 SPRING LANE  </v>
      </c>
      <c r="C5704" s="3" t="str">
        <f>IFERROR(__xludf.DUMMYFUNCTION("""COMPUTED_VALUE"""),"WARKWORTH")</f>
        <v>WARKWORTH</v>
      </c>
      <c r="D5704" s="3" t="str">
        <f>IFERROR(__xludf.DUMMYFUNCTION("""COMPUTED_VALUE"""),"K0K 3K0")</f>
        <v>K0K 3K0</v>
      </c>
      <c r="E5704" s="3" t="str">
        <f>IFERROR(__xludf.DUMMYFUNCTION("""COMPUTED_VALUE"""),"les holzmann")</f>
        <v>les holzmann</v>
      </c>
      <c r="F5704" s="3" t="str">
        <f>IFERROR(__xludf.DUMMYFUNCTION("""COMPUTED_VALUE"""),"holzmann1@hotmail.com")</f>
        <v>holzmann1@hotmail.com</v>
      </c>
      <c r="G5704" s="3">
        <f>IFERROR(__xludf.DUMMYFUNCTION("""COMPUTED_VALUE"""),7.059242779E9)</f>
        <v>7059242779</v>
      </c>
      <c r="H5704" s="3"/>
    </row>
    <row r="5705">
      <c r="A5705" s="2">
        <f>IFERROR(__xludf.DUMMYFUNCTION("""COMPUTED_VALUE"""),63388.0)</f>
        <v>63388</v>
      </c>
      <c r="B5705" s="3" t="str">
        <f>IFERROR(__xludf.DUMMYFUNCTION("""COMPUTED_VALUE"""),"18 SPRING LANE  ")</f>
        <v>18 SPRING LANE  </v>
      </c>
      <c r="C5705" s="3" t="str">
        <f>IFERROR(__xludf.DUMMYFUNCTION("""COMPUTED_VALUE"""),"WARKWORTH")</f>
        <v>WARKWORTH</v>
      </c>
      <c r="D5705" s="3" t="str">
        <f>IFERROR(__xludf.DUMMYFUNCTION("""COMPUTED_VALUE"""),"K0K 3K0")</f>
        <v>K0K 3K0</v>
      </c>
      <c r="E5705" s="3" t="str">
        <f>IFERROR(__xludf.DUMMYFUNCTION("""COMPUTED_VALUE"""),"Valerie Calnan")</f>
        <v>Valerie Calnan</v>
      </c>
      <c r="F5705" s="3" t="str">
        <f>IFERROR(__xludf.DUMMYFUNCTION("""COMPUTED_VALUE"""),"valerie.calnan17@yahoo.com")</f>
        <v>valerie.calnan17@yahoo.com</v>
      </c>
      <c r="G5705" s="3">
        <f>IFERROR(__xludf.DUMMYFUNCTION("""COMPUTED_VALUE"""),7.057614574E9)</f>
        <v>7057614574</v>
      </c>
      <c r="H5705" s="3">
        <f>IFERROR(__xludf.DUMMYFUNCTION("""COMPUTED_VALUE"""),7.057619334E9)</f>
        <v>7057619334</v>
      </c>
    </row>
    <row r="5706">
      <c r="A5706" s="2">
        <f>IFERROR(__xludf.DUMMYFUNCTION("""COMPUTED_VALUE"""),63389.0)</f>
        <v>63389</v>
      </c>
      <c r="B5706" s="3" t="str">
        <f>IFERROR(__xludf.DUMMYFUNCTION("""COMPUTED_VALUE"""),"20 SPRING LANE  ")</f>
        <v>20 SPRING LANE  </v>
      </c>
      <c r="C5706" s="3" t="str">
        <f>IFERROR(__xludf.DUMMYFUNCTION("""COMPUTED_VALUE"""),"WARKWORTH")</f>
        <v>WARKWORTH</v>
      </c>
      <c r="D5706" s="3" t="str">
        <f>IFERROR(__xludf.DUMMYFUNCTION("""COMPUTED_VALUE"""),"K0K 3K0")</f>
        <v>K0K 3K0</v>
      </c>
      <c r="E5706" s="3" t="str">
        <f>IFERROR(__xludf.DUMMYFUNCTION("""COMPUTED_VALUE"""),"kevin rowsell ")</f>
        <v>kevin rowsell </v>
      </c>
      <c r="F5706" s="3" t="str">
        <f>IFERROR(__xludf.DUMMYFUNCTION("""COMPUTED_VALUE"""),"bandroom59@yahoo.ca")</f>
        <v>bandroom59@yahoo.ca</v>
      </c>
      <c r="G5706" s="3">
        <f>IFERROR(__xludf.DUMMYFUNCTION("""COMPUTED_VALUE"""),7.053133551E9)</f>
        <v>7053133551</v>
      </c>
      <c r="H5706" s="3"/>
    </row>
    <row r="5707">
      <c r="A5707" s="2">
        <f>IFERROR(__xludf.DUMMYFUNCTION("""COMPUTED_VALUE"""),63390.0)</f>
        <v>63390</v>
      </c>
      <c r="B5707" s="3" t="str">
        <f>IFERROR(__xludf.DUMMYFUNCTION("""COMPUTED_VALUE"""),"23 SPRING LANE  ")</f>
        <v>23 SPRING LANE  </v>
      </c>
      <c r="C5707" s="3" t="str">
        <f>IFERROR(__xludf.DUMMYFUNCTION("""COMPUTED_VALUE"""),"WARKWORTH")</f>
        <v>WARKWORTH</v>
      </c>
      <c r="D5707" s="3" t="str">
        <f>IFERROR(__xludf.DUMMYFUNCTION("""COMPUTED_VALUE"""),"K0K 3K0")</f>
        <v>K0K 3K0</v>
      </c>
      <c r="E5707" s="3"/>
      <c r="F5707" s="3"/>
      <c r="G5707" s="3"/>
      <c r="H5707" s="3"/>
    </row>
    <row r="5708">
      <c r="A5708" s="2">
        <f>IFERROR(__xludf.DUMMYFUNCTION("""COMPUTED_VALUE"""),63391.0)</f>
        <v>63391</v>
      </c>
      <c r="B5708" s="3" t="str">
        <f>IFERROR(__xludf.DUMMYFUNCTION("""COMPUTED_VALUE"""),"24 SPRING LANE  ")</f>
        <v>24 SPRING LANE  </v>
      </c>
      <c r="C5708" s="3" t="str">
        <f>IFERROR(__xludf.DUMMYFUNCTION("""COMPUTED_VALUE"""),"WARKWORTH")</f>
        <v>WARKWORTH</v>
      </c>
      <c r="D5708" s="3" t="str">
        <f>IFERROR(__xludf.DUMMYFUNCTION("""COMPUTED_VALUE"""),"K0K 3K0")</f>
        <v>K0K 3K0</v>
      </c>
      <c r="E5708" s="3" t="str">
        <f>IFERROR(__xludf.DUMMYFUNCTION("""COMPUTED_VALUE"""),"Matthew Dalton")</f>
        <v>Matthew Dalton</v>
      </c>
      <c r="F5708" s="3" t="str">
        <f>IFERROR(__xludf.DUMMYFUNCTION("""COMPUTED_VALUE"""),"mrdxrp@gmail.com")</f>
        <v>mrdxrp@gmail.com</v>
      </c>
      <c r="G5708" s="3">
        <f>IFERROR(__xludf.DUMMYFUNCTION("""COMPUTED_VALUE"""),2.89314532E9)</f>
        <v>2893145320</v>
      </c>
      <c r="H5708" s="3">
        <f>IFERROR(__xludf.DUMMYFUNCTION("""COMPUTED_VALUE"""),4.165268026E9)</f>
        <v>4165268026</v>
      </c>
    </row>
    <row r="5709">
      <c r="A5709" s="2">
        <f>IFERROR(__xludf.DUMMYFUNCTION("""COMPUTED_VALUE"""),62933.0)</f>
        <v>62933</v>
      </c>
      <c r="B5709" s="3" t="str">
        <f>IFERROR(__xludf.DUMMYFUNCTION("""COMPUTED_VALUE"""),"6 PERCY ST  ")</f>
        <v>6 PERCY ST  </v>
      </c>
      <c r="C5709" s="3" t="str">
        <f>IFERROR(__xludf.DUMMYFUNCTION("""COMPUTED_VALUE"""),"WARKWORTH")</f>
        <v>WARKWORTH</v>
      </c>
      <c r="D5709" s="3" t="str">
        <f>IFERROR(__xludf.DUMMYFUNCTION("""COMPUTED_VALUE"""),"K0K 3K0")</f>
        <v>K0K 3K0</v>
      </c>
      <c r="E5709" s="3"/>
      <c r="F5709" s="3"/>
      <c r="G5709" s="3"/>
      <c r="H5709" s="3"/>
    </row>
    <row r="5710">
      <c r="A5710" s="2">
        <f>IFERROR(__xludf.DUMMYFUNCTION("""COMPUTED_VALUE"""),62934.0)</f>
        <v>62934</v>
      </c>
      <c r="B5710" s="3" t="str">
        <f>IFERROR(__xludf.DUMMYFUNCTION("""COMPUTED_VALUE"""),"12 PERCY ST  ")</f>
        <v>12 PERCY ST  </v>
      </c>
      <c r="C5710" s="3" t="str">
        <f>IFERROR(__xludf.DUMMYFUNCTION("""COMPUTED_VALUE"""),"WARKWORTH")</f>
        <v>WARKWORTH</v>
      </c>
      <c r="D5710" s="3" t="str">
        <f>IFERROR(__xludf.DUMMYFUNCTION("""COMPUTED_VALUE"""),"K0K 3K0")</f>
        <v>K0K 3K0</v>
      </c>
      <c r="E5710" s="3" t="str">
        <f>IFERROR(__xludf.DUMMYFUNCTION("""COMPUTED_VALUE"""),"lloyd culhane")</f>
        <v>lloyd culhane</v>
      </c>
      <c r="F5710" s="3"/>
      <c r="G5710" s="3">
        <f>IFERROR(__xludf.DUMMYFUNCTION("""COMPUTED_VALUE"""),7.056538859E9)</f>
        <v>7056538859</v>
      </c>
      <c r="H5710" s="3"/>
    </row>
    <row r="5711">
      <c r="A5711" s="2">
        <f>IFERROR(__xludf.DUMMYFUNCTION("""COMPUTED_VALUE"""),62935.0)</f>
        <v>62935</v>
      </c>
      <c r="B5711" s="3" t="str">
        <f>IFERROR(__xludf.DUMMYFUNCTION("""COMPUTED_VALUE"""),"15 PERCY ST  ")</f>
        <v>15 PERCY ST  </v>
      </c>
      <c r="C5711" s="3" t="str">
        <f>IFERROR(__xludf.DUMMYFUNCTION("""COMPUTED_VALUE"""),"WARKWORTH")</f>
        <v>WARKWORTH</v>
      </c>
      <c r="D5711" s="3" t="str">
        <f>IFERROR(__xludf.DUMMYFUNCTION("""COMPUTED_VALUE"""),"K0K 3K0")</f>
        <v>K0K 3K0</v>
      </c>
      <c r="E5711" s="3" t="str">
        <f>IFERROR(__xludf.DUMMYFUNCTION("""COMPUTED_VALUE"""),"Bonnie Lawson")</f>
        <v>Bonnie Lawson</v>
      </c>
      <c r="F5711" s="3" t="str">
        <f>IFERROR(__xludf.DUMMYFUNCTION("""COMPUTED_VALUE"""),"bonnielawson53@gmail.com")</f>
        <v>bonnielawson53@gmail.com</v>
      </c>
      <c r="G5711" s="3"/>
      <c r="H5711" s="3"/>
    </row>
    <row r="5712">
      <c r="A5712" s="2">
        <f>IFERROR(__xludf.DUMMYFUNCTION("""COMPUTED_VALUE"""),62936.0)</f>
        <v>62936</v>
      </c>
      <c r="B5712" s="3" t="str">
        <f>IFERROR(__xludf.DUMMYFUNCTION("""COMPUTED_VALUE"""),"17 PERCY ST  ")</f>
        <v>17 PERCY ST  </v>
      </c>
      <c r="C5712" s="3" t="str">
        <f>IFERROR(__xludf.DUMMYFUNCTION("""COMPUTED_VALUE"""),"WARKWORTH")</f>
        <v>WARKWORTH</v>
      </c>
      <c r="D5712" s="3" t="str">
        <f>IFERROR(__xludf.DUMMYFUNCTION("""COMPUTED_VALUE"""),"K0K 3K0")</f>
        <v>K0K 3K0</v>
      </c>
      <c r="E5712" s="3" t="str">
        <f>IFERROR(__xludf.DUMMYFUNCTION("""COMPUTED_VALUE"""),"christie cafik")</f>
        <v>christie cafik</v>
      </c>
      <c r="F5712" s="3" t="str">
        <f>IFERROR(__xludf.DUMMYFUNCTION("""COMPUTED_VALUE"""),"ladyduncecap@yahoo.com")</f>
        <v>ladyduncecap@yahoo.com</v>
      </c>
      <c r="G5712" s="3">
        <f>IFERROR(__xludf.DUMMYFUNCTION("""COMPUTED_VALUE"""),9.052430868E9)</f>
        <v>9052430868</v>
      </c>
      <c r="H5712" s="3"/>
    </row>
    <row r="5713">
      <c r="A5713" s="2">
        <f>IFERROR(__xludf.DUMMYFUNCTION("""COMPUTED_VALUE"""),62937.0)</f>
        <v>62937</v>
      </c>
      <c r="B5713" s="3" t="str">
        <f>IFERROR(__xludf.DUMMYFUNCTION("""COMPUTED_VALUE"""),"21 PERCY ST  ")</f>
        <v>21 PERCY ST  </v>
      </c>
      <c r="C5713" s="3" t="str">
        <f>IFERROR(__xludf.DUMMYFUNCTION("""COMPUTED_VALUE"""),"WARKWORTH")</f>
        <v>WARKWORTH</v>
      </c>
      <c r="D5713" s="3" t="str">
        <f>IFERROR(__xludf.DUMMYFUNCTION("""COMPUTED_VALUE"""),"K0K 3K0")</f>
        <v>K0K 3K0</v>
      </c>
      <c r="E5713" s="3" t="str">
        <f>IFERROR(__xludf.DUMMYFUNCTION("""COMPUTED_VALUE"""),"valda okane ")</f>
        <v>valda okane </v>
      </c>
      <c r="F5713" s="3" t="str">
        <f>IFERROR(__xludf.DUMMYFUNCTION("""COMPUTED_VALUE"""),"val.7537@gmail.com")</f>
        <v>val.7537@gmail.com</v>
      </c>
      <c r="G5713" s="3">
        <f>IFERROR(__xludf.DUMMYFUNCTION("""COMPUTED_VALUE"""),7.055597537E9)</f>
        <v>7055597537</v>
      </c>
      <c r="H5713" s="3"/>
    </row>
    <row r="5714">
      <c r="A5714" s="2">
        <f>IFERROR(__xludf.DUMMYFUNCTION("""COMPUTED_VALUE"""),62938.0)</f>
        <v>62938</v>
      </c>
      <c r="B5714" s="3" t="str">
        <f>IFERROR(__xludf.DUMMYFUNCTION("""COMPUTED_VALUE"""),"23 PERCY ST  ")</f>
        <v>23 PERCY ST  </v>
      </c>
      <c r="C5714" s="3" t="str">
        <f>IFERROR(__xludf.DUMMYFUNCTION("""COMPUTED_VALUE"""),"WARKWORTH")</f>
        <v>WARKWORTH</v>
      </c>
      <c r="D5714" s="3" t="str">
        <f>IFERROR(__xludf.DUMMYFUNCTION("""COMPUTED_VALUE"""),"K0K 3K0")</f>
        <v>K0K 3K0</v>
      </c>
      <c r="E5714" s="3"/>
      <c r="F5714" s="3"/>
      <c r="G5714" s="3"/>
      <c r="H5714" s="3"/>
    </row>
    <row r="5715">
      <c r="A5715" s="2">
        <f>IFERROR(__xludf.DUMMYFUNCTION("""COMPUTED_VALUE"""),62939.0)</f>
        <v>62939</v>
      </c>
      <c r="B5715" s="3" t="str">
        <f>IFERROR(__xludf.DUMMYFUNCTION("""COMPUTED_VALUE"""),"24 PERCY ST  ")</f>
        <v>24 PERCY ST  </v>
      </c>
      <c r="C5715" s="3" t="str">
        <f>IFERROR(__xludf.DUMMYFUNCTION("""COMPUTED_VALUE"""),"WARKWORTH")</f>
        <v>WARKWORTH</v>
      </c>
      <c r="D5715" s="3" t="str">
        <f>IFERROR(__xludf.DUMMYFUNCTION("""COMPUTED_VALUE"""),"K0K 3K0")</f>
        <v>K0K 3K0</v>
      </c>
      <c r="E5715" s="3"/>
      <c r="F5715" s="3"/>
      <c r="G5715" s="3"/>
      <c r="H5715" s="3"/>
    </row>
    <row r="5716">
      <c r="A5716" s="2">
        <f>IFERROR(__xludf.DUMMYFUNCTION("""COMPUTED_VALUE"""),62940.0)</f>
        <v>62940</v>
      </c>
      <c r="B5716" s="3" t="str">
        <f>IFERROR(__xludf.DUMMYFUNCTION("""COMPUTED_VALUE"""),"25 PERCY ST  ")</f>
        <v>25 PERCY ST  </v>
      </c>
      <c r="C5716" s="3" t="str">
        <f>IFERROR(__xludf.DUMMYFUNCTION("""COMPUTED_VALUE"""),"WARKWORTH")</f>
        <v>WARKWORTH</v>
      </c>
      <c r="D5716" s="3" t="str">
        <f>IFERROR(__xludf.DUMMYFUNCTION("""COMPUTED_VALUE"""),"K0K 3K0")</f>
        <v>K0K 3K0</v>
      </c>
      <c r="E5716" s="3" t="str">
        <f>IFERROR(__xludf.DUMMYFUNCTION("""COMPUTED_VALUE"""),"Kenneth Norris")</f>
        <v>Kenneth Norris</v>
      </c>
      <c r="F5716" s="3" t="str">
        <f>IFERROR(__xludf.DUMMYFUNCTION("""COMPUTED_VALUE"""),"k_norris@gmx.com")</f>
        <v>k_norris@gmx.com</v>
      </c>
      <c r="G5716" s="3">
        <f>IFERROR(__xludf.DUMMYFUNCTION("""COMPUTED_VALUE"""),4.165532788E9)</f>
        <v>4165532788</v>
      </c>
      <c r="H5716" s="3">
        <f>IFERROR(__xludf.DUMMYFUNCTION("""COMPUTED_VALUE"""),4.169869277E9)</f>
        <v>4169869277</v>
      </c>
    </row>
    <row r="5717">
      <c r="A5717" s="2">
        <f>IFERROR(__xludf.DUMMYFUNCTION("""COMPUTED_VALUE"""),62941.0)</f>
        <v>62941</v>
      </c>
      <c r="B5717" s="3" t="str">
        <f>IFERROR(__xludf.DUMMYFUNCTION("""COMPUTED_VALUE"""),"27 PERCY ST  ")</f>
        <v>27 PERCY ST  </v>
      </c>
      <c r="C5717" s="3" t="str">
        <f>IFERROR(__xludf.DUMMYFUNCTION("""COMPUTED_VALUE"""),"WARKWORTH")</f>
        <v>WARKWORTH</v>
      </c>
      <c r="D5717" s="3" t="str">
        <f>IFERROR(__xludf.DUMMYFUNCTION("""COMPUTED_VALUE"""),"K0K 3K0")</f>
        <v>K0K 3K0</v>
      </c>
      <c r="E5717" s="3" t="str">
        <f>IFERROR(__xludf.DUMMYFUNCTION("""COMPUTED_VALUE"""),"frank fontyn")</f>
        <v>frank fontyn</v>
      </c>
      <c r="F5717" s="3" t="str">
        <f>IFERROR(__xludf.DUMMYFUNCTION("""COMPUTED_VALUE"""),"frankfontyn1952@icloud.com")</f>
        <v>frankfontyn1952@icloud.com</v>
      </c>
      <c r="G5717" s="3">
        <f>IFERROR(__xludf.DUMMYFUNCTION("""COMPUTED_VALUE"""),7.056538197E9)</f>
        <v>7056538197</v>
      </c>
      <c r="H5717" s="3"/>
    </row>
    <row r="5718">
      <c r="A5718" s="2">
        <f>IFERROR(__xludf.DUMMYFUNCTION("""COMPUTED_VALUE"""),62942.0)</f>
        <v>62942</v>
      </c>
      <c r="B5718" s="3" t="str">
        <f>IFERROR(__xludf.DUMMYFUNCTION("""COMPUTED_VALUE"""),"28 PERCY ST  ")</f>
        <v>28 PERCY ST  </v>
      </c>
      <c r="C5718" s="3" t="str">
        <f>IFERROR(__xludf.DUMMYFUNCTION("""COMPUTED_VALUE"""),"WARKWORTH")</f>
        <v>WARKWORTH</v>
      </c>
      <c r="D5718" s="3" t="str">
        <f>IFERROR(__xludf.DUMMYFUNCTION("""COMPUTED_VALUE"""),"K0K 3K0")</f>
        <v>K0K 3K0</v>
      </c>
      <c r="E5718" s="3" t="str">
        <f>IFERROR(__xludf.DUMMYFUNCTION("""COMPUTED_VALUE"""),"Jennifer Glover")</f>
        <v>Jennifer Glover</v>
      </c>
      <c r="F5718" s="3" t="str">
        <f>IFERROR(__xludf.DUMMYFUNCTION("""COMPUTED_VALUE"""),"Jenniferglover84@hotmail.com")</f>
        <v>Jenniferglover84@hotmail.com</v>
      </c>
      <c r="G5718" s="3">
        <f>IFERROR(__xludf.DUMMYFUNCTION("""COMPUTED_VALUE"""),7.057727727E9)</f>
        <v>7057727727</v>
      </c>
      <c r="H5718" s="3"/>
    </row>
    <row r="5719">
      <c r="A5719" s="2">
        <f>IFERROR(__xludf.DUMMYFUNCTION("""COMPUTED_VALUE"""),62943.0)</f>
        <v>62943</v>
      </c>
      <c r="B5719" s="3" t="str">
        <f>IFERROR(__xludf.DUMMYFUNCTION("""COMPUTED_VALUE"""),"30 PERCY ST  ")</f>
        <v>30 PERCY ST  </v>
      </c>
      <c r="C5719" s="3" t="str">
        <f>IFERROR(__xludf.DUMMYFUNCTION("""COMPUTED_VALUE"""),"WARKWORTH")</f>
        <v>WARKWORTH</v>
      </c>
      <c r="D5719" s="3" t="str">
        <f>IFERROR(__xludf.DUMMYFUNCTION("""COMPUTED_VALUE"""),"K0K 3K0")</f>
        <v>K0K 3K0</v>
      </c>
      <c r="E5719" s="3" t="str">
        <f>IFERROR(__xludf.DUMMYFUNCTION("""COMPUTED_VALUE"""),"Brian Hamilton ")</f>
        <v>Brian Hamilton </v>
      </c>
      <c r="F5719" s="3" t="str">
        <f>IFERROR(__xludf.DUMMYFUNCTION("""COMPUTED_VALUE"""),"bchamilt123@gmail.com")</f>
        <v>bchamilt123@gmail.com</v>
      </c>
      <c r="G5719" s="3"/>
      <c r="H5719" s="3"/>
    </row>
    <row r="5720">
      <c r="A5720" s="2">
        <f>IFERROR(__xludf.DUMMYFUNCTION("""COMPUTED_VALUE"""),62944.0)</f>
        <v>62944</v>
      </c>
      <c r="B5720" s="3" t="str">
        <f>IFERROR(__xludf.DUMMYFUNCTION("""COMPUTED_VALUE"""),"32 PERCY ST  ")</f>
        <v>32 PERCY ST  </v>
      </c>
      <c r="C5720" s="3" t="str">
        <f>IFERROR(__xludf.DUMMYFUNCTION("""COMPUTED_VALUE"""),"WARKWORTH")</f>
        <v>WARKWORTH</v>
      </c>
      <c r="D5720" s="3" t="str">
        <f>IFERROR(__xludf.DUMMYFUNCTION("""COMPUTED_VALUE"""),"K0K 3K0")</f>
        <v>K0K 3K0</v>
      </c>
      <c r="E5720" s="3" t="str">
        <f>IFERROR(__xludf.DUMMYFUNCTION("""COMPUTED_VALUE"""),"David Rogers")</f>
        <v>David Rogers</v>
      </c>
      <c r="F5720" s="3" t="str">
        <f>IFERROR(__xludf.DUMMYFUNCTION("""COMPUTED_VALUE"""),"dropdavealine@gmail.com")</f>
        <v>dropdavealine@gmail.com</v>
      </c>
      <c r="G5720" s="3">
        <f>IFERROR(__xludf.DUMMYFUNCTION("""COMPUTED_VALUE"""),6.132179543E9)</f>
        <v>6132179543</v>
      </c>
      <c r="H5720" s="3"/>
    </row>
    <row r="5721">
      <c r="A5721" s="2">
        <f>IFERROR(__xludf.DUMMYFUNCTION("""COMPUTED_VALUE"""),62945.0)</f>
        <v>62945</v>
      </c>
      <c r="B5721" s="3" t="str">
        <f>IFERROR(__xludf.DUMMYFUNCTION("""COMPUTED_VALUE"""),"35 PERCY ST  ")</f>
        <v>35 PERCY ST  </v>
      </c>
      <c r="C5721" s="3" t="str">
        <f>IFERROR(__xludf.DUMMYFUNCTION("""COMPUTED_VALUE"""),"WARKWORTH")</f>
        <v>WARKWORTH</v>
      </c>
      <c r="D5721" s="3" t="str">
        <f>IFERROR(__xludf.DUMMYFUNCTION("""COMPUTED_VALUE"""),"K0K 3K0")</f>
        <v>K0K 3K0</v>
      </c>
      <c r="E5721" s="3" t="str">
        <f>IFERROR(__xludf.DUMMYFUNCTION("""COMPUTED_VALUE"""),"John Pritchard")</f>
        <v>John Pritchard</v>
      </c>
      <c r="F5721" s="3" t="str">
        <f>IFERROR(__xludf.DUMMYFUNCTION("""COMPUTED_VALUE"""),"naturenutx2@gmail.com")</f>
        <v>naturenutx2@gmail.com</v>
      </c>
      <c r="G5721" s="3"/>
      <c r="H5721" s="3"/>
    </row>
    <row r="5722">
      <c r="A5722" s="2">
        <f>IFERROR(__xludf.DUMMYFUNCTION("""COMPUTED_VALUE"""),62946.0)</f>
        <v>62946</v>
      </c>
      <c r="B5722" s="3" t="str">
        <f>IFERROR(__xludf.DUMMYFUNCTION("""COMPUTED_VALUE"""),"36 PERCY ST  ")</f>
        <v>36 PERCY ST  </v>
      </c>
      <c r="C5722" s="3" t="str">
        <f>IFERROR(__xludf.DUMMYFUNCTION("""COMPUTED_VALUE"""),"WARKWORTH")</f>
        <v>WARKWORTH</v>
      </c>
      <c r="D5722" s="3" t="str">
        <f>IFERROR(__xludf.DUMMYFUNCTION("""COMPUTED_VALUE"""),"K0K 3K0")</f>
        <v>K0K 3K0</v>
      </c>
      <c r="E5722" s="3"/>
      <c r="F5722" s="3"/>
      <c r="G5722" s="3"/>
      <c r="H5722" s="3"/>
    </row>
    <row r="5723">
      <c r="A5723" s="2">
        <f>IFERROR(__xludf.DUMMYFUNCTION("""COMPUTED_VALUE"""),62947.0)</f>
        <v>62947</v>
      </c>
      <c r="B5723" s="3" t="str">
        <f>IFERROR(__xludf.DUMMYFUNCTION("""COMPUTED_VALUE"""),"45 PERCY ST  ")</f>
        <v>45 PERCY ST  </v>
      </c>
      <c r="C5723" s="3" t="str">
        <f>IFERROR(__xludf.DUMMYFUNCTION("""COMPUTED_VALUE"""),"WARKWORTH")</f>
        <v>WARKWORTH</v>
      </c>
      <c r="D5723" s="3" t="str">
        <f>IFERROR(__xludf.DUMMYFUNCTION("""COMPUTED_VALUE"""),"K0K 3K0")</f>
        <v>K0K 3K0</v>
      </c>
      <c r="E5723" s="3" t="str">
        <f>IFERROR(__xludf.DUMMYFUNCTION("""COMPUTED_VALUE"""),"justibne kiske")</f>
        <v>justibne kiske</v>
      </c>
      <c r="F5723" s="3" t="str">
        <f>IFERROR(__xludf.DUMMYFUNCTION("""COMPUTED_VALUE"""),"farmchicksos@live.ca")</f>
        <v>farmchicksos@live.ca</v>
      </c>
      <c r="G5723" s="3">
        <f>IFERROR(__xludf.DUMMYFUNCTION("""COMPUTED_VALUE"""),9.057670417E9)</f>
        <v>9057670417</v>
      </c>
      <c r="H5723" s="3"/>
    </row>
    <row r="5724">
      <c r="A5724" s="2">
        <f>IFERROR(__xludf.DUMMYFUNCTION("""COMPUTED_VALUE"""),62948.0)</f>
        <v>62948</v>
      </c>
      <c r="B5724" s="3" t="str">
        <f>IFERROR(__xludf.DUMMYFUNCTION("""COMPUTED_VALUE"""),"66 PERCY ST  ")</f>
        <v>66 PERCY ST  </v>
      </c>
      <c r="C5724" s="3" t="str">
        <f>IFERROR(__xludf.DUMMYFUNCTION("""COMPUTED_VALUE"""),"WARKWORTH")</f>
        <v>WARKWORTH</v>
      </c>
      <c r="D5724" s="3" t="str">
        <f>IFERROR(__xludf.DUMMYFUNCTION("""COMPUTED_VALUE"""),"K0K 3K0")</f>
        <v>K0K 3K0</v>
      </c>
      <c r="E5724" s="3" t="str">
        <f>IFERROR(__xludf.DUMMYFUNCTION("""COMPUTED_VALUE"""),"paula burlock")</f>
        <v>paula burlock</v>
      </c>
      <c r="F5724" s="3" t="str">
        <f>IFERROR(__xludf.DUMMYFUNCTION("""COMPUTED_VALUE"""),"pjoburlock@gmail.com")</f>
        <v>pjoburlock@gmail.com</v>
      </c>
      <c r="G5724" s="3">
        <f>IFERROR(__xludf.DUMMYFUNCTION("""COMPUTED_VALUE"""),7.056329473E9)</f>
        <v>7056329473</v>
      </c>
      <c r="H5724" s="3"/>
    </row>
    <row r="5725">
      <c r="A5725" s="2">
        <f>IFERROR(__xludf.DUMMYFUNCTION("""COMPUTED_VALUE"""),62949.0)</f>
        <v>62949</v>
      </c>
      <c r="B5725" s="3" t="str">
        <f>IFERROR(__xludf.DUMMYFUNCTION("""COMPUTED_VALUE"""),"70 PERCY ST  ")</f>
        <v>70 PERCY ST  </v>
      </c>
      <c r="C5725" s="3" t="str">
        <f>IFERROR(__xludf.DUMMYFUNCTION("""COMPUTED_VALUE"""),"WARKWORTH")</f>
        <v>WARKWORTH</v>
      </c>
      <c r="D5725" s="3" t="str">
        <f>IFERROR(__xludf.DUMMYFUNCTION("""COMPUTED_VALUE"""),"K0K 3K0")</f>
        <v>K0K 3K0</v>
      </c>
      <c r="E5725" s="3"/>
      <c r="F5725" s="3"/>
      <c r="G5725" s="3"/>
      <c r="H5725" s="3"/>
    </row>
    <row r="5726">
      <c r="A5726" s="2">
        <f>IFERROR(__xludf.DUMMYFUNCTION("""COMPUTED_VALUE"""),62950.0)</f>
        <v>62950</v>
      </c>
      <c r="B5726" s="3" t="str">
        <f>IFERROR(__xludf.DUMMYFUNCTION("""COMPUTED_VALUE"""),"72 PERCY ST  ")</f>
        <v>72 PERCY ST  </v>
      </c>
      <c r="C5726" s="3" t="str">
        <f>IFERROR(__xludf.DUMMYFUNCTION("""COMPUTED_VALUE"""),"WARKWORTH")</f>
        <v>WARKWORTH</v>
      </c>
      <c r="D5726" s="3" t="str">
        <f>IFERROR(__xludf.DUMMYFUNCTION("""COMPUTED_VALUE"""),"K0K 3K0")</f>
        <v>K0K 3K0</v>
      </c>
      <c r="E5726" s="3" t="str">
        <f>IFERROR(__xludf.DUMMYFUNCTION("""COMPUTED_VALUE"""),"David Linton")</f>
        <v>David Linton</v>
      </c>
      <c r="F5726" s="3" t="str">
        <f>IFERROR(__xludf.DUMMYFUNCTION("""COMPUTED_VALUE"""),"davidlinton980@gmail.com")</f>
        <v>davidlinton980@gmail.com</v>
      </c>
      <c r="G5726" s="3">
        <f>IFERROR(__xludf.DUMMYFUNCTION("""COMPUTED_VALUE"""),7.059243424E9)</f>
        <v>7059243424</v>
      </c>
      <c r="H5726" s="3"/>
    </row>
    <row r="5727">
      <c r="A5727" s="2">
        <f>IFERROR(__xludf.DUMMYFUNCTION("""COMPUTED_VALUE"""),62951.0)</f>
        <v>62951</v>
      </c>
      <c r="B5727" s="3" t="str">
        <f>IFERROR(__xludf.DUMMYFUNCTION("""COMPUTED_VALUE"""),"81 PERCY ST  ")</f>
        <v>81 PERCY ST  </v>
      </c>
      <c r="C5727" s="3" t="str">
        <f>IFERROR(__xludf.DUMMYFUNCTION("""COMPUTED_VALUE"""),"WARKWORTH")</f>
        <v>WARKWORTH</v>
      </c>
      <c r="D5727" s="3" t="str">
        <f>IFERROR(__xludf.DUMMYFUNCTION("""COMPUTED_VALUE"""),"K0K 3K0")</f>
        <v>K0K 3K0</v>
      </c>
      <c r="E5727" s="3" t="str">
        <f>IFERROR(__xludf.DUMMYFUNCTION("""COMPUTED_VALUE"""),"elwood corneilius ")</f>
        <v>elwood corneilius </v>
      </c>
      <c r="F5727" s="3" t="str">
        <f>IFERROR(__xludf.DUMMYFUNCTION("""COMPUTED_VALUE"""),"sandtdonaldson@sympatico.ca")</f>
        <v>sandtdonaldson@sympatico.ca</v>
      </c>
      <c r="G5727" s="3">
        <f>IFERROR(__xludf.DUMMYFUNCTION("""COMPUTED_VALUE"""),7.059242197E9)</f>
        <v>7059242197</v>
      </c>
      <c r="H5727" s="3"/>
    </row>
    <row r="5728">
      <c r="A5728" s="2">
        <f>IFERROR(__xludf.DUMMYFUNCTION("""COMPUTED_VALUE"""),62952.0)</f>
        <v>62952</v>
      </c>
      <c r="B5728" s="3" t="str">
        <f>IFERROR(__xludf.DUMMYFUNCTION("""COMPUTED_VALUE"""),"120 PERCY ST  ")</f>
        <v>120 PERCY ST  </v>
      </c>
      <c r="C5728" s="3" t="str">
        <f>IFERROR(__xludf.DUMMYFUNCTION("""COMPUTED_VALUE"""),"WARKWORTH")</f>
        <v>WARKWORTH</v>
      </c>
      <c r="D5728" s="3" t="str">
        <f>IFERROR(__xludf.DUMMYFUNCTION("""COMPUTED_VALUE"""),"K0K 3K0")</f>
        <v>K0K 3K0</v>
      </c>
      <c r="E5728" s="3" t="str">
        <f>IFERROR(__xludf.DUMMYFUNCTION("""COMPUTED_VALUE"""),"elizabeth faltas")</f>
        <v>elizabeth faltas</v>
      </c>
      <c r="F5728" s="3" t="str">
        <f>IFERROR(__xludf.DUMMYFUNCTION("""COMPUTED_VALUE"""),"bfaltas76@gmail.com")</f>
        <v>bfaltas76@gmail.com</v>
      </c>
      <c r="G5728" s="3">
        <f>IFERROR(__xludf.DUMMYFUNCTION("""COMPUTED_VALUE"""),7.05924953E9)</f>
        <v>7059249530</v>
      </c>
      <c r="H5728" s="3"/>
    </row>
    <row r="5729">
      <c r="A5729" s="2">
        <f>IFERROR(__xludf.DUMMYFUNCTION("""COMPUTED_VALUE"""),62932.0)</f>
        <v>62932</v>
      </c>
      <c r="B5729" s="3" t="str">
        <f>IFERROR(__xludf.DUMMYFUNCTION("""COMPUTED_VALUE"""),"4 PERCY ST  ")</f>
        <v>4 PERCY ST  </v>
      </c>
      <c r="C5729" s="3" t="str">
        <f>IFERROR(__xludf.DUMMYFUNCTION("""COMPUTED_VALUE"""),"WARKWORTH")</f>
        <v>WARKWORTH</v>
      </c>
      <c r="D5729" s="3" t="str">
        <f>IFERROR(__xludf.DUMMYFUNCTION("""COMPUTED_VALUE"""),"K0K 3K0")</f>
        <v>K0K 3K0</v>
      </c>
      <c r="E5729" s="3" t="str">
        <f>IFERROR(__xludf.DUMMYFUNCTION("""COMPUTED_VALUE"""),"iain macinnes")</f>
        <v>iain macinnes</v>
      </c>
      <c r="F5729" s="3" t="str">
        <f>IFERROR(__xludf.DUMMYFUNCTION("""COMPUTED_VALUE"""),"macinnes.iain@icloud.com")</f>
        <v>macinnes.iain@icloud.com</v>
      </c>
      <c r="G5729" s="3">
        <f>IFERROR(__xludf.DUMMYFUNCTION("""COMPUTED_VALUE"""),6.472486344E9)</f>
        <v>6472486344</v>
      </c>
      <c r="H5729" s="3"/>
    </row>
    <row r="5730">
      <c r="A5730" s="2">
        <f>IFERROR(__xludf.DUMMYFUNCTION("""COMPUTED_VALUE"""),61861.0)</f>
        <v>61861</v>
      </c>
      <c r="B5730" s="3" t="str">
        <f>IFERROR(__xludf.DUMMYFUNCTION("""COMPUTED_VALUE"""),"35 GODOLPHIN RD  ")</f>
        <v>35 GODOLPHIN RD  </v>
      </c>
      <c r="C5730" s="3" t="str">
        <f>IFERROR(__xludf.DUMMYFUNCTION("""COMPUTED_VALUE"""),"WARKWORTH")</f>
        <v>WARKWORTH</v>
      </c>
      <c r="D5730" s="3" t="str">
        <f>IFERROR(__xludf.DUMMYFUNCTION("""COMPUTED_VALUE"""),"K0K 3K0")</f>
        <v>K0K 3K0</v>
      </c>
      <c r="E5730" s="3"/>
      <c r="F5730" s="3"/>
      <c r="G5730" s="3"/>
      <c r="H5730" s="3"/>
    </row>
    <row r="5731">
      <c r="A5731" s="2">
        <f>IFERROR(__xludf.DUMMYFUNCTION("""COMPUTED_VALUE"""),61862.0)</f>
        <v>61862</v>
      </c>
      <c r="B5731" s="3" t="str">
        <f>IFERROR(__xludf.DUMMYFUNCTION("""COMPUTED_VALUE"""),"38 GODOLPHIN RD  ")</f>
        <v>38 GODOLPHIN RD  </v>
      </c>
      <c r="C5731" s="3" t="str">
        <f>IFERROR(__xludf.DUMMYFUNCTION("""COMPUTED_VALUE"""),"WARKWORTH")</f>
        <v>WARKWORTH</v>
      </c>
      <c r="D5731" s="3" t="str">
        <f>IFERROR(__xludf.DUMMYFUNCTION("""COMPUTED_VALUE"""),"K0K 3K0")</f>
        <v>K0K 3K0</v>
      </c>
      <c r="E5731" s="3" t="str">
        <f>IFERROR(__xludf.DUMMYFUNCTION("""COMPUTED_VALUE"""),"Darren Clarke")</f>
        <v>Darren Clarke</v>
      </c>
      <c r="F5731" s="3" t="str">
        <f>IFERROR(__xludf.DUMMYFUNCTION("""COMPUTED_VALUE"""),"info@clarkeroofing.org")</f>
        <v>info@clarkeroofing.org</v>
      </c>
      <c r="G5731" s="3"/>
      <c r="H5731" s="3"/>
    </row>
    <row r="5732">
      <c r="A5732" s="2">
        <f>IFERROR(__xludf.DUMMYFUNCTION("""COMPUTED_VALUE"""),61863.0)</f>
        <v>61863</v>
      </c>
      <c r="B5732" s="3" t="str">
        <f>IFERROR(__xludf.DUMMYFUNCTION("""COMPUTED_VALUE"""),"45 GODOLPHIN RD  ")</f>
        <v>45 GODOLPHIN RD  </v>
      </c>
      <c r="C5732" s="3" t="str">
        <f>IFERROR(__xludf.DUMMYFUNCTION("""COMPUTED_VALUE"""),"WARKWORTH")</f>
        <v>WARKWORTH</v>
      </c>
      <c r="D5732" s="3" t="str">
        <f>IFERROR(__xludf.DUMMYFUNCTION("""COMPUTED_VALUE"""),"K0K 3K0")</f>
        <v>K0K 3K0</v>
      </c>
      <c r="E5732" s="3" t="str">
        <f>IFERROR(__xludf.DUMMYFUNCTION("""COMPUTED_VALUE"""),"john marlow")</f>
        <v>john marlow</v>
      </c>
      <c r="F5732" s="3"/>
      <c r="G5732" s="3">
        <f>IFERROR(__xludf.DUMMYFUNCTION("""COMPUTED_VALUE"""),7.059242026E9)</f>
        <v>7059242026</v>
      </c>
      <c r="H5732" s="3"/>
    </row>
    <row r="5733">
      <c r="A5733" s="2">
        <f>IFERROR(__xludf.DUMMYFUNCTION("""COMPUTED_VALUE"""),61864.0)</f>
        <v>61864</v>
      </c>
      <c r="B5733" s="3" t="str">
        <f>IFERROR(__xludf.DUMMYFUNCTION("""COMPUTED_VALUE"""),"50 GODOLPHIN RD  ")</f>
        <v>50 GODOLPHIN RD  </v>
      </c>
      <c r="C5733" s="3" t="str">
        <f>IFERROR(__xludf.DUMMYFUNCTION("""COMPUTED_VALUE"""),"WARKWORTH")</f>
        <v>WARKWORTH</v>
      </c>
      <c r="D5733" s="3" t="str">
        <f>IFERROR(__xludf.DUMMYFUNCTION("""COMPUTED_VALUE"""),"K0K 3K0")</f>
        <v>K0K 3K0</v>
      </c>
      <c r="E5733" s="3" t="str">
        <f>IFERROR(__xludf.DUMMYFUNCTION("""COMPUTED_VALUE"""),"Jason Markham")</f>
        <v>Jason Markham</v>
      </c>
      <c r="F5733" s="3" t="str">
        <f>IFERROR(__xludf.DUMMYFUNCTION("""COMPUTED_VALUE"""),"purplepancakes9901@gmail.com")</f>
        <v>purplepancakes9901@gmail.com</v>
      </c>
      <c r="G5733" s="3"/>
      <c r="H5733" s="3"/>
    </row>
    <row r="5734">
      <c r="A5734" s="2">
        <f>IFERROR(__xludf.DUMMYFUNCTION("""COMPUTED_VALUE"""),61865.0)</f>
        <v>61865</v>
      </c>
      <c r="B5734" s="3" t="str">
        <f>IFERROR(__xludf.DUMMYFUNCTION("""COMPUTED_VALUE"""),"53 GODOLPHIN RD  ")</f>
        <v>53 GODOLPHIN RD  </v>
      </c>
      <c r="C5734" s="3" t="str">
        <f>IFERROR(__xludf.DUMMYFUNCTION("""COMPUTED_VALUE"""),"WARKWORTH")</f>
        <v>WARKWORTH</v>
      </c>
      <c r="D5734" s="3" t="str">
        <f>IFERROR(__xludf.DUMMYFUNCTION("""COMPUTED_VALUE"""),"K0K 3K0")</f>
        <v>K0K 3K0</v>
      </c>
      <c r="E5734" s="3" t="str">
        <f>IFERROR(__xludf.DUMMYFUNCTION("""COMPUTED_VALUE"""),"Samuel Cortefif")</f>
        <v>Samuel Cortefif</v>
      </c>
      <c r="F5734" s="3" t="str">
        <f>IFERROR(__xludf.DUMMYFUNCTION("""COMPUTED_VALUE"""),"scartefif96@gmail.com")</f>
        <v>scartefif96@gmail.com</v>
      </c>
      <c r="G5734" s="3"/>
      <c r="H5734" s="3"/>
    </row>
    <row r="5735">
      <c r="A5735" s="2">
        <f>IFERROR(__xludf.DUMMYFUNCTION("""COMPUTED_VALUE"""),61866.0)</f>
        <v>61866</v>
      </c>
      <c r="B5735" s="3" t="str">
        <f>IFERROR(__xludf.DUMMYFUNCTION("""COMPUTED_VALUE"""),"61 GODOLPHIN RD  ")</f>
        <v>61 GODOLPHIN RD  </v>
      </c>
      <c r="C5735" s="3" t="str">
        <f>IFERROR(__xludf.DUMMYFUNCTION("""COMPUTED_VALUE"""),"WARKWORTH")</f>
        <v>WARKWORTH</v>
      </c>
      <c r="D5735" s="3" t="str">
        <f>IFERROR(__xludf.DUMMYFUNCTION("""COMPUTED_VALUE"""),"K0K 3K0")</f>
        <v>K0K 3K0</v>
      </c>
      <c r="E5735" s="3" t="str">
        <f>IFERROR(__xludf.DUMMYFUNCTION("""COMPUTED_VALUE"""),"Sean McNeil")</f>
        <v>Sean McNeil</v>
      </c>
      <c r="F5735" s="3" t="str">
        <f>IFERROR(__xludf.DUMMYFUNCTION("""COMPUTED_VALUE"""),"sean.mcneil79@gmail.com")</f>
        <v>sean.mcneil79@gmail.com</v>
      </c>
      <c r="G5735" s="3">
        <f>IFERROR(__xludf.DUMMYFUNCTION("""COMPUTED_VALUE"""),7.053952952E9)</f>
        <v>7053952952</v>
      </c>
      <c r="H5735" s="3"/>
    </row>
    <row r="5736">
      <c r="A5736" s="2">
        <f>IFERROR(__xludf.DUMMYFUNCTION("""COMPUTED_VALUE"""),61867.0)</f>
        <v>61867</v>
      </c>
      <c r="B5736" s="3" t="str">
        <f>IFERROR(__xludf.DUMMYFUNCTION("""COMPUTED_VALUE"""),"71 GODOLPHIN RD  ")</f>
        <v>71 GODOLPHIN RD  </v>
      </c>
      <c r="C5736" s="3" t="str">
        <f>IFERROR(__xludf.DUMMYFUNCTION("""COMPUTED_VALUE"""),"WARKWORTH")</f>
        <v>WARKWORTH</v>
      </c>
      <c r="D5736" s="3" t="str">
        <f>IFERROR(__xludf.DUMMYFUNCTION("""COMPUTED_VALUE"""),"K0K 3K0")</f>
        <v>K0K 3K0</v>
      </c>
      <c r="E5736" s="3" t="str">
        <f>IFERROR(__xludf.DUMMYFUNCTION("""COMPUTED_VALUE"""),"TARA NESBITT")</f>
        <v>TARA NESBITT</v>
      </c>
      <c r="F5736" s="3" t="str">
        <f>IFERROR(__xludf.DUMMYFUNCTION("""COMPUTED_VALUE"""),"nesbitt073@gmail.com")</f>
        <v>nesbitt073@gmail.com</v>
      </c>
      <c r="G5736" s="3"/>
      <c r="H5736" s="3"/>
    </row>
    <row r="5737">
      <c r="A5737" s="2">
        <f>IFERROR(__xludf.DUMMYFUNCTION("""COMPUTED_VALUE"""),62048.0)</f>
        <v>62048</v>
      </c>
      <c r="B5737" s="3" t="str">
        <f>IFERROR(__xludf.DUMMYFUNCTION("""COMPUTED_VALUE"""),"45 GREENLY RD  ")</f>
        <v>45 GREENLY RD  </v>
      </c>
      <c r="C5737" s="3" t="str">
        <f>IFERROR(__xludf.DUMMYFUNCTION("""COMPUTED_VALUE"""),"WARKWORTH")</f>
        <v>WARKWORTH</v>
      </c>
      <c r="D5737" s="3" t="str">
        <f>IFERROR(__xludf.DUMMYFUNCTION("""COMPUTED_VALUE"""),"K0K 3K0")</f>
        <v>K0K 3K0</v>
      </c>
      <c r="E5737" s="3" t="str">
        <f>IFERROR(__xludf.DUMMYFUNCTION("""COMPUTED_VALUE"""),"Scott Simmons")</f>
        <v>Scott Simmons</v>
      </c>
      <c r="F5737" s="3" t="str">
        <f>IFERROR(__xludf.DUMMYFUNCTION("""COMPUTED_VALUE"""),"simmons57@hotmail.com")</f>
        <v>simmons57@hotmail.com</v>
      </c>
      <c r="G5737" s="3"/>
      <c r="H5737" s="3"/>
    </row>
    <row r="5738">
      <c r="A5738" s="2">
        <f>IFERROR(__xludf.DUMMYFUNCTION("""COMPUTED_VALUE"""),62049.0)</f>
        <v>62049</v>
      </c>
      <c r="B5738" s="3" t="str">
        <f>IFERROR(__xludf.DUMMYFUNCTION("""COMPUTED_VALUE"""),"57 GREENLY RD  ")</f>
        <v>57 GREENLY RD  </v>
      </c>
      <c r="C5738" s="3" t="str">
        <f>IFERROR(__xludf.DUMMYFUNCTION("""COMPUTED_VALUE"""),"WARKWORTH")</f>
        <v>WARKWORTH</v>
      </c>
      <c r="D5738" s="3" t="str">
        <f>IFERROR(__xludf.DUMMYFUNCTION("""COMPUTED_VALUE"""),"K0K 3K0")</f>
        <v>K0K 3K0</v>
      </c>
      <c r="E5738" s="3" t="str">
        <f>IFERROR(__xludf.DUMMYFUNCTION("""COMPUTED_VALUE"""),"elizabeth gerdner")</f>
        <v>elizabeth gerdner</v>
      </c>
      <c r="F5738" s="3"/>
      <c r="G5738" s="3">
        <f>IFERROR(__xludf.DUMMYFUNCTION("""COMPUTED_VALUE"""),7.059243579E9)</f>
        <v>7059243579</v>
      </c>
      <c r="H5738" s="3"/>
    </row>
    <row r="5739">
      <c r="A5739" s="2">
        <f>IFERROR(__xludf.DUMMYFUNCTION("""COMPUTED_VALUE"""),62050.0)</f>
        <v>62050</v>
      </c>
      <c r="B5739" s="3" t="str">
        <f>IFERROR(__xludf.DUMMYFUNCTION("""COMPUTED_VALUE"""),"110 GREENLY RD  ")</f>
        <v>110 GREENLY RD  </v>
      </c>
      <c r="C5739" s="3" t="str">
        <f>IFERROR(__xludf.DUMMYFUNCTION("""COMPUTED_VALUE"""),"WARKWORTH")</f>
        <v>WARKWORTH</v>
      </c>
      <c r="D5739" s="3" t="str">
        <f>IFERROR(__xludf.DUMMYFUNCTION("""COMPUTED_VALUE"""),"K0K 3K0")</f>
        <v>K0K 3K0</v>
      </c>
      <c r="E5739" s="3" t="str">
        <f>IFERROR(__xludf.DUMMYFUNCTION("""COMPUTED_VALUE"""),"cheryl heales mamabearheales")</f>
        <v>cheryl heales mamabearheales</v>
      </c>
      <c r="F5739" s="3" t="str">
        <f>IFERROR(__xludf.DUMMYFUNCTION("""COMPUTED_VALUE"""),"mamabearheales@gmail.com")</f>
        <v>mamabearheales@gmail.com</v>
      </c>
      <c r="G5739" s="3">
        <f>IFERROR(__xludf.DUMMYFUNCTION("""COMPUTED_VALUE"""),7.056537768E9)</f>
        <v>7056537768</v>
      </c>
      <c r="H5739" s="3">
        <f>IFERROR(__xludf.DUMMYFUNCTION("""COMPUTED_VALUE"""),9.052692424E9)</f>
        <v>9052692424</v>
      </c>
    </row>
    <row r="5740">
      <c r="A5740" s="2">
        <f>IFERROR(__xludf.DUMMYFUNCTION("""COMPUTED_VALUE"""),62051.0)</f>
        <v>62051</v>
      </c>
      <c r="B5740" s="3" t="str">
        <f>IFERROR(__xludf.DUMMYFUNCTION("""COMPUTED_VALUE"""),"111 GREENLY RD  ")</f>
        <v>111 GREENLY RD  </v>
      </c>
      <c r="C5740" s="3" t="str">
        <f>IFERROR(__xludf.DUMMYFUNCTION("""COMPUTED_VALUE"""),"WARKWORTH")</f>
        <v>WARKWORTH</v>
      </c>
      <c r="D5740" s="3" t="str">
        <f>IFERROR(__xludf.DUMMYFUNCTION("""COMPUTED_VALUE"""),"K0K 3K0")</f>
        <v>K0K 3K0</v>
      </c>
      <c r="E5740" s="3" t="str">
        <f>IFERROR(__xludf.DUMMYFUNCTION("""COMPUTED_VALUE"""),"chris heales ")</f>
        <v>chris heales </v>
      </c>
      <c r="F5740" s="3" t="str">
        <f>IFERROR(__xludf.DUMMYFUNCTION("""COMPUTED_VALUE"""),"heales24@gmail.com")</f>
        <v>heales24@gmail.com</v>
      </c>
      <c r="G5740" s="3">
        <f>IFERROR(__xludf.DUMMYFUNCTION("""COMPUTED_VALUE"""),9.052692424E9)</f>
        <v>9052692424</v>
      </c>
      <c r="H5740" s="3"/>
    </row>
    <row r="5741">
      <c r="A5741" s="2">
        <f>IFERROR(__xludf.DUMMYFUNCTION("""COMPUTED_VALUE"""),62052.0)</f>
        <v>62052</v>
      </c>
      <c r="B5741" s="3" t="str">
        <f>IFERROR(__xludf.DUMMYFUNCTION("""COMPUTED_VALUE"""),"151 GREENLY RD  ")</f>
        <v>151 GREENLY RD  </v>
      </c>
      <c r="C5741" s="3" t="str">
        <f>IFERROR(__xludf.DUMMYFUNCTION("""COMPUTED_VALUE"""),"WARKWORTH")</f>
        <v>WARKWORTH</v>
      </c>
      <c r="D5741" s="3" t="str">
        <f>IFERROR(__xludf.DUMMYFUNCTION("""COMPUTED_VALUE"""),"K0K 3K0")</f>
        <v>K0K 3K0</v>
      </c>
      <c r="E5741" s="3" t="str">
        <f>IFERROR(__xludf.DUMMYFUNCTION("""COMPUTED_VALUE"""),"brad franklin ")</f>
        <v>brad franklin </v>
      </c>
      <c r="F5741" s="3" t="str">
        <f>IFERROR(__xludf.DUMMYFUNCTION("""COMPUTED_VALUE"""),"bfranklin@rogers.com")</f>
        <v>bfranklin@rogers.com</v>
      </c>
      <c r="G5741" s="3">
        <f>IFERROR(__xludf.DUMMYFUNCTION("""COMPUTED_VALUE"""),2.8925143E9)</f>
        <v>2892514300</v>
      </c>
      <c r="H5741" s="3">
        <f>IFERROR(__xludf.DUMMYFUNCTION("""COMPUTED_VALUE"""),9.052132757E9)</f>
        <v>9052132757</v>
      </c>
    </row>
    <row r="5742">
      <c r="A5742" s="2">
        <f>IFERROR(__xludf.DUMMYFUNCTION("""COMPUTED_VALUE"""),62053.0)</f>
        <v>62053</v>
      </c>
      <c r="B5742" s="3" t="str">
        <f>IFERROR(__xludf.DUMMYFUNCTION("""COMPUTED_VALUE"""),"180 GREENLY RD  ")</f>
        <v>180 GREENLY RD  </v>
      </c>
      <c r="C5742" s="3" t="str">
        <f>IFERROR(__xludf.DUMMYFUNCTION("""COMPUTED_VALUE"""),"WARKWORTH")</f>
        <v>WARKWORTH</v>
      </c>
      <c r="D5742" s="3" t="str">
        <f>IFERROR(__xludf.DUMMYFUNCTION("""COMPUTED_VALUE"""),"K0K 3K0")</f>
        <v>K0K 3K0</v>
      </c>
      <c r="E5742" s="3" t="str">
        <f>IFERROR(__xludf.DUMMYFUNCTION("""COMPUTED_VALUE"""),"derick greenly ")</f>
        <v>derick greenly </v>
      </c>
      <c r="F5742" s="3" t="str">
        <f>IFERROR(__xludf.DUMMYFUNCTION("""COMPUTED_VALUE"""),"dgreenly@gmail.com")</f>
        <v>dgreenly@gmail.com</v>
      </c>
      <c r="G5742" s="3">
        <f>IFERROR(__xludf.DUMMYFUNCTION("""COMPUTED_VALUE"""),7.057682637E9)</f>
        <v>7057682637</v>
      </c>
      <c r="H5742" s="3"/>
    </row>
    <row r="5743">
      <c r="A5743" s="2">
        <f>IFERROR(__xludf.DUMMYFUNCTION("""COMPUTED_VALUE"""),62054.0)</f>
        <v>62054</v>
      </c>
      <c r="B5743" s="3" t="str">
        <f>IFERROR(__xludf.DUMMYFUNCTION("""COMPUTED_VALUE"""),"260 GREENLY RD  ")</f>
        <v>260 GREENLY RD  </v>
      </c>
      <c r="C5743" s="3" t="str">
        <f>IFERROR(__xludf.DUMMYFUNCTION("""COMPUTED_VALUE"""),"WARKWORTH")</f>
        <v>WARKWORTH</v>
      </c>
      <c r="D5743" s="3" t="str">
        <f>IFERROR(__xludf.DUMMYFUNCTION("""COMPUTED_VALUE"""),"K0K 3K0")</f>
        <v>K0K 3K0</v>
      </c>
      <c r="E5743" s="3" t="str">
        <f>IFERROR(__xludf.DUMMYFUNCTION("""COMPUTED_VALUE"""),"rene van oosten ")</f>
        <v>rene van oosten </v>
      </c>
      <c r="F5743" s="3" t="str">
        <f>IFERROR(__xludf.DUMMYFUNCTION("""COMPUTED_VALUE"""),"rxvanoosten@gmail.com")</f>
        <v>rxvanoosten@gmail.com</v>
      </c>
      <c r="G5743" s="3">
        <f>IFERROR(__xludf.DUMMYFUNCTION("""COMPUTED_VALUE"""),7.056538667E9)</f>
        <v>7056538667</v>
      </c>
      <c r="H5743" s="3"/>
    </row>
    <row r="5744">
      <c r="A5744" s="2">
        <f>IFERROR(__xludf.DUMMYFUNCTION("""COMPUTED_VALUE"""),60137.0)</f>
        <v>60137</v>
      </c>
      <c r="B5744" s="3" t="str">
        <f>IFERROR(__xludf.DUMMYFUNCTION("""COMPUTED_VALUE"""),"23 1ST LINE W")</f>
        <v>23 1ST LINE W</v>
      </c>
      <c r="C5744" s="3" t="str">
        <f>IFERROR(__xludf.DUMMYFUNCTION("""COMPUTED_VALUE"""),"CAMPBELLFORD")</f>
        <v>CAMPBELLFORD</v>
      </c>
      <c r="D5744" s="3" t="str">
        <f>IFERROR(__xludf.DUMMYFUNCTION("""COMPUTED_VALUE"""),"K0L 1L0")</f>
        <v>K0L 1L0</v>
      </c>
      <c r="E5744" s="3"/>
      <c r="F5744" s="3"/>
      <c r="G5744" s="3"/>
      <c r="H5744" s="3"/>
    </row>
    <row r="5745">
      <c r="A5745" s="2">
        <f>IFERROR(__xludf.DUMMYFUNCTION("""COMPUTED_VALUE"""),60138.0)</f>
        <v>60138</v>
      </c>
      <c r="B5745" s="3" t="str">
        <f>IFERROR(__xludf.DUMMYFUNCTION("""COMPUTED_VALUE"""),"97 1ST LINE W")</f>
        <v>97 1ST LINE W</v>
      </c>
      <c r="C5745" s="3" t="str">
        <f>IFERROR(__xludf.DUMMYFUNCTION("""COMPUTED_VALUE"""),"CAMPBELLFORD")</f>
        <v>CAMPBELLFORD</v>
      </c>
      <c r="D5745" s="3" t="str">
        <f>IFERROR(__xludf.DUMMYFUNCTION("""COMPUTED_VALUE"""),"K0L 1L0")</f>
        <v>K0L 1L0</v>
      </c>
      <c r="E5745" s="3"/>
      <c r="F5745" s="3"/>
      <c r="G5745" s="3"/>
      <c r="H5745" s="3"/>
    </row>
    <row r="5746">
      <c r="A5746" s="2">
        <f>IFERROR(__xludf.DUMMYFUNCTION("""COMPUTED_VALUE"""),61051.0)</f>
        <v>61051</v>
      </c>
      <c r="B5746" s="3" t="str">
        <f>IFERROR(__xludf.DUMMYFUNCTION("""COMPUTED_VALUE"""),"352 CONCESSION RD 4 RD E ")</f>
        <v>352 CONCESSION RD 4 RD E </v>
      </c>
      <c r="C5746" s="3" t="str">
        <f>IFERROR(__xludf.DUMMYFUNCTION("""COMPUTED_VALUE"""),"WARKWORTH")</f>
        <v>WARKWORTH</v>
      </c>
      <c r="D5746" s="3" t="str">
        <f>IFERROR(__xludf.DUMMYFUNCTION("""COMPUTED_VALUE"""),"K0K 3K0")</f>
        <v>K0K 3K0</v>
      </c>
      <c r="E5746" s="3" t="str">
        <f>IFERROR(__xludf.DUMMYFUNCTION("""COMPUTED_VALUE"""),"roy elwood brooks ")</f>
        <v>roy elwood brooks </v>
      </c>
      <c r="F5746" s="3"/>
      <c r="G5746" s="3">
        <f>IFERROR(__xludf.DUMMYFUNCTION("""COMPUTED_VALUE"""),7.059242393E9)</f>
        <v>7059242393</v>
      </c>
      <c r="H5746" s="3"/>
    </row>
    <row r="5747">
      <c r="A5747" s="2">
        <f>IFERROR(__xludf.DUMMYFUNCTION("""COMPUTED_VALUE"""),61052.0)</f>
        <v>61052</v>
      </c>
      <c r="B5747" s="3" t="str">
        <f>IFERROR(__xludf.DUMMYFUNCTION("""COMPUTED_VALUE"""),"358 CONCESSION RD 4 RD E ")</f>
        <v>358 CONCESSION RD 4 RD E </v>
      </c>
      <c r="C5747" s="3" t="str">
        <f>IFERROR(__xludf.DUMMYFUNCTION("""COMPUTED_VALUE"""),"WARKWORTH")</f>
        <v>WARKWORTH</v>
      </c>
      <c r="D5747" s="3" t="str">
        <f>IFERROR(__xludf.DUMMYFUNCTION("""COMPUTED_VALUE"""),"K0K 3K0")</f>
        <v>K0K 3K0</v>
      </c>
      <c r="E5747" s="3" t="str">
        <f>IFERROR(__xludf.DUMMYFUNCTION("""COMPUTED_VALUE"""),"MARY COLES")</f>
        <v>MARY COLES</v>
      </c>
      <c r="F5747" s="3" t="str">
        <f>IFERROR(__xludf.DUMMYFUNCTION("""COMPUTED_VALUE"""),"colesmary@hotmail.com")</f>
        <v>colesmary@hotmail.com</v>
      </c>
      <c r="G5747" s="3"/>
      <c r="H5747" s="3"/>
    </row>
    <row r="5748">
      <c r="A5748" s="2">
        <f>IFERROR(__xludf.DUMMYFUNCTION("""COMPUTED_VALUE"""),61053.0)</f>
        <v>61053</v>
      </c>
      <c r="B5748" s="3" t="str">
        <f>IFERROR(__xludf.DUMMYFUNCTION("""COMPUTED_VALUE"""),"387 CONCESSION RD 4 RD E ")</f>
        <v>387 CONCESSION RD 4 RD E </v>
      </c>
      <c r="C5748" s="3" t="str">
        <f>IFERROR(__xludf.DUMMYFUNCTION("""COMPUTED_VALUE"""),"WARKWORTH")</f>
        <v>WARKWORTH</v>
      </c>
      <c r="D5748" s="3" t="str">
        <f>IFERROR(__xludf.DUMMYFUNCTION("""COMPUTED_VALUE"""),"K0K 3K0")</f>
        <v>K0K 3K0</v>
      </c>
      <c r="E5748" s="3" t="str">
        <f>IFERROR(__xludf.DUMMYFUNCTION("""COMPUTED_VALUE"""),"William Levesque")</f>
        <v>William Levesque</v>
      </c>
      <c r="F5748" s="3" t="str">
        <f>IFERROR(__xludf.DUMMYFUNCTION("""COMPUTED_VALUE"""),"levesquewilliam4@gmail.com")</f>
        <v>levesquewilliam4@gmail.com</v>
      </c>
      <c r="G5748" s="3"/>
      <c r="H5748" s="3"/>
    </row>
    <row r="5749">
      <c r="A5749" s="2">
        <f>IFERROR(__xludf.DUMMYFUNCTION("""COMPUTED_VALUE"""),61055.0)</f>
        <v>61055</v>
      </c>
      <c r="B5749" s="3" t="str">
        <f>IFERROR(__xludf.DUMMYFUNCTION("""COMPUTED_VALUE"""),"404 CONCESSION RD 4 RD E ")</f>
        <v>404 CONCESSION RD 4 RD E </v>
      </c>
      <c r="C5749" s="3" t="str">
        <f>IFERROR(__xludf.DUMMYFUNCTION("""COMPUTED_VALUE"""),"WARKWORTH")</f>
        <v>WARKWORTH</v>
      </c>
      <c r="D5749" s="3" t="str">
        <f>IFERROR(__xludf.DUMMYFUNCTION("""COMPUTED_VALUE"""),"K0K 3K0")</f>
        <v>K0K 3K0</v>
      </c>
      <c r="E5749" s="3" t="str">
        <f>IFERROR(__xludf.DUMMYFUNCTION("""COMPUTED_VALUE"""),"Kirk Adair")</f>
        <v>Kirk Adair</v>
      </c>
      <c r="F5749" s="3" t="str">
        <f>IFERROR(__xludf.DUMMYFUNCTION("""COMPUTED_VALUE"""),"kirkadair@gmail.com")</f>
        <v>kirkadair@gmail.com</v>
      </c>
      <c r="G5749" s="3"/>
      <c r="H5749" s="3"/>
    </row>
    <row r="5750">
      <c r="A5750" s="2">
        <f>IFERROR(__xludf.DUMMYFUNCTION("""COMPUTED_VALUE"""),61056.0)</f>
        <v>61056</v>
      </c>
      <c r="B5750" s="3" t="str">
        <f>IFERROR(__xludf.DUMMYFUNCTION("""COMPUTED_VALUE"""),"421 CONCESSION RD 4 RD E ")</f>
        <v>421 CONCESSION RD 4 RD E </v>
      </c>
      <c r="C5750" s="3" t="str">
        <f>IFERROR(__xludf.DUMMYFUNCTION("""COMPUTED_VALUE"""),"WARKWORTH")</f>
        <v>WARKWORTH</v>
      </c>
      <c r="D5750" s="3" t="str">
        <f>IFERROR(__xludf.DUMMYFUNCTION("""COMPUTED_VALUE"""),"K0K 3K0")</f>
        <v>K0K 3K0</v>
      </c>
      <c r="E5750" s="3" t="str">
        <f>IFERROR(__xludf.DUMMYFUNCTION("""COMPUTED_VALUE"""),"Crystal and Ryan Gagne")</f>
        <v>Crystal and Ryan Gagne</v>
      </c>
      <c r="F5750" s="3" t="str">
        <f>IFERROR(__xludf.DUMMYFUNCTION("""COMPUTED_VALUE"""),"crystal@a1-heating.ca")</f>
        <v>crystal@a1-heating.ca</v>
      </c>
      <c r="G5750" s="3">
        <f>IFERROR(__xludf.DUMMYFUNCTION("""COMPUTED_VALUE"""),7.058681061E9)</f>
        <v>7058681061</v>
      </c>
      <c r="H5750" s="3">
        <f>IFERROR(__xludf.DUMMYFUNCTION("""COMPUTED_VALUE"""),6.138277108E9)</f>
        <v>6138277108</v>
      </c>
    </row>
    <row r="5751">
      <c r="A5751" s="2">
        <f>IFERROR(__xludf.DUMMYFUNCTION("""COMPUTED_VALUE"""),61057.0)</f>
        <v>61057</v>
      </c>
      <c r="B5751" s="3" t="str">
        <f>IFERROR(__xludf.DUMMYFUNCTION("""COMPUTED_VALUE"""),"450 CONCESSION RD 4 RD E ")</f>
        <v>450 CONCESSION RD 4 RD E </v>
      </c>
      <c r="C5751" s="3" t="str">
        <f>IFERROR(__xludf.DUMMYFUNCTION("""COMPUTED_VALUE"""),"WARKWORTH")</f>
        <v>WARKWORTH</v>
      </c>
      <c r="D5751" s="3" t="str">
        <f>IFERROR(__xludf.DUMMYFUNCTION("""COMPUTED_VALUE"""),"K0K 3K0")</f>
        <v>K0K 3K0</v>
      </c>
      <c r="E5751" s="3" t="str">
        <f>IFERROR(__xludf.DUMMYFUNCTION("""COMPUTED_VALUE"""),"DWIGHT BOYD")</f>
        <v>DWIGHT BOYD</v>
      </c>
      <c r="F5751" s="3" t="str">
        <f>IFERROR(__xludf.DUMMYFUNCTION("""COMPUTED_VALUE"""),"dwight@bellnet.ca")</f>
        <v>dwight@bellnet.ca</v>
      </c>
      <c r="G5751" s="3"/>
      <c r="H5751" s="3"/>
    </row>
    <row r="5752">
      <c r="A5752" s="2">
        <f>IFERROR(__xludf.DUMMYFUNCTION("""COMPUTED_VALUE"""),61058.0)</f>
        <v>61058</v>
      </c>
      <c r="B5752" s="3" t="str">
        <f>IFERROR(__xludf.DUMMYFUNCTION("""COMPUTED_VALUE"""),"471 CONCESSION RD 4 RD E ")</f>
        <v>471 CONCESSION RD 4 RD E </v>
      </c>
      <c r="C5752" s="3" t="str">
        <f>IFERROR(__xludf.DUMMYFUNCTION("""COMPUTED_VALUE"""),"WARKWORTH")</f>
        <v>WARKWORTH</v>
      </c>
      <c r="D5752" s="3" t="str">
        <f>IFERROR(__xludf.DUMMYFUNCTION("""COMPUTED_VALUE"""),"K0K 3K0")</f>
        <v>K0K 3K0</v>
      </c>
      <c r="E5752" s="3" t="str">
        <f>IFERROR(__xludf.DUMMYFUNCTION("""COMPUTED_VALUE"""),"Laura Sheppavol")</f>
        <v>Laura Sheppavol</v>
      </c>
      <c r="F5752" s="3" t="str">
        <f>IFERROR(__xludf.DUMMYFUNCTION("""COMPUTED_VALUE"""),"laura.pitre@outlook.com")</f>
        <v>laura.pitre@outlook.com</v>
      </c>
      <c r="G5752" s="3"/>
      <c r="H5752" s="3"/>
    </row>
    <row r="5753">
      <c r="A5753" s="2">
        <f>IFERROR(__xludf.DUMMYFUNCTION("""COMPUTED_VALUE"""),61059.0)</f>
        <v>61059</v>
      </c>
      <c r="B5753" s="3" t="str">
        <f>IFERROR(__xludf.DUMMYFUNCTION("""COMPUTED_VALUE"""),"495 CONCESSION RD 4 RD E ")</f>
        <v>495 CONCESSION RD 4 RD E </v>
      </c>
      <c r="C5753" s="3" t="str">
        <f>IFERROR(__xludf.DUMMYFUNCTION("""COMPUTED_VALUE"""),"WARKWORTH")</f>
        <v>WARKWORTH</v>
      </c>
      <c r="D5753" s="3" t="str">
        <f>IFERROR(__xludf.DUMMYFUNCTION("""COMPUTED_VALUE"""),"K0K 3K0")</f>
        <v>K0K 3K0</v>
      </c>
      <c r="E5753" s="3" t="str">
        <f>IFERROR(__xludf.DUMMYFUNCTION("""COMPUTED_VALUE"""),"Morgan Foster")</f>
        <v>Morgan Foster</v>
      </c>
      <c r="F5753" s="3" t="str">
        <f>IFERROR(__xludf.DUMMYFUNCTION("""COMPUTED_VALUE"""),"fosterfarmsanctuary@gmail.com")</f>
        <v>fosterfarmsanctuary@gmail.com</v>
      </c>
      <c r="G5753" s="3"/>
      <c r="H5753" s="3"/>
    </row>
    <row r="5754">
      <c r="A5754" s="2">
        <f>IFERROR(__xludf.DUMMYFUNCTION("""COMPUTED_VALUE"""),61060.0)</f>
        <v>61060</v>
      </c>
      <c r="B5754" s="3" t="str">
        <f>IFERROR(__xludf.DUMMYFUNCTION("""COMPUTED_VALUE"""),"499 CONCESSION RD 4 RD E ")</f>
        <v>499 CONCESSION RD 4 RD E </v>
      </c>
      <c r="C5754" s="3" t="str">
        <f>IFERROR(__xludf.DUMMYFUNCTION("""COMPUTED_VALUE"""),"WARKWORTH")</f>
        <v>WARKWORTH</v>
      </c>
      <c r="D5754" s="3" t="str">
        <f>IFERROR(__xludf.DUMMYFUNCTION("""COMPUTED_VALUE"""),"K0K 3K0")</f>
        <v>K0K 3K0</v>
      </c>
      <c r="E5754" s="3"/>
      <c r="F5754" s="3"/>
      <c r="G5754" s="3"/>
      <c r="H5754" s="3"/>
    </row>
    <row r="5755">
      <c r="A5755" s="2">
        <f>IFERROR(__xludf.DUMMYFUNCTION("""COMPUTED_VALUE"""),61061.0)</f>
        <v>61061</v>
      </c>
      <c r="B5755" s="3" t="str">
        <f>IFERROR(__xludf.DUMMYFUNCTION("""COMPUTED_VALUE"""),"520 CONCESSION RD 4 RD E ")</f>
        <v>520 CONCESSION RD 4 RD E </v>
      </c>
      <c r="C5755" s="3" t="str">
        <f>IFERROR(__xludf.DUMMYFUNCTION("""COMPUTED_VALUE"""),"WARKWORTH")</f>
        <v>WARKWORTH</v>
      </c>
      <c r="D5755" s="3" t="str">
        <f>IFERROR(__xludf.DUMMYFUNCTION("""COMPUTED_VALUE"""),"K0K 3K0")</f>
        <v>K0K 3K0</v>
      </c>
      <c r="E5755" s="3"/>
      <c r="F5755" s="3"/>
      <c r="G5755" s="3"/>
      <c r="H5755" s="3"/>
    </row>
    <row r="5756">
      <c r="A5756" s="2">
        <f>IFERROR(__xludf.DUMMYFUNCTION("""COMPUTED_VALUE"""),61062.0)</f>
        <v>61062</v>
      </c>
      <c r="B5756" s="3" t="str">
        <f>IFERROR(__xludf.DUMMYFUNCTION("""COMPUTED_VALUE"""),"524 CONCESSION RD 4 RD E ")</f>
        <v>524 CONCESSION RD 4 RD E </v>
      </c>
      <c r="C5756" s="3" t="str">
        <f>IFERROR(__xludf.DUMMYFUNCTION("""COMPUTED_VALUE"""),"WARKWORTH")</f>
        <v>WARKWORTH</v>
      </c>
      <c r="D5756" s="3" t="str">
        <f>IFERROR(__xludf.DUMMYFUNCTION("""COMPUTED_VALUE"""),"K0K 3K0")</f>
        <v>K0K 3K0</v>
      </c>
      <c r="E5756" s="3" t="str">
        <f>IFERROR(__xludf.DUMMYFUNCTION("""COMPUTED_VALUE"""),"Tara Young")</f>
        <v>Tara Young</v>
      </c>
      <c r="F5756" s="3" t="str">
        <f>IFERROR(__xludf.DUMMYFUNCTION("""COMPUTED_VALUE"""),"royalmiss39@hotmail.com")</f>
        <v>royalmiss39@hotmail.com</v>
      </c>
      <c r="G5756" s="3">
        <f>IFERROR(__xludf.DUMMYFUNCTION("""COMPUTED_VALUE"""),7.056326028E9)</f>
        <v>7056326028</v>
      </c>
      <c r="H5756" s="3"/>
    </row>
    <row r="5757">
      <c r="A5757" s="2">
        <f>IFERROR(__xludf.DUMMYFUNCTION("""COMPUTED_VALUE"""),61063.0)</f>
        <v>61063</v>
      </c>
      <c r="B5757" s="3" t="str">
        <f>IFERROR(__xludf.DUMMYFUNCTION("""COMPUTED_VALUE"""),"530 CONCESSION RD 4 RD E ")</f>
        <v>530 CONCESSION RD 4 RD E </v>
      </c>
      <c r="C5757" s="3" t="str">
        <f>IFERROR(__xludf.DUMMYFUNCTION("""COMPUTED_VALUE"""),"WARKWORTH")</f>
        <v>WARKWORTH</v>
      </c>
      <c r="D5757" s="3" t="str">
        <f>IFERROR(__xludf.DUMMYFUNCTION("""COMPUTED_VALUE"""),"K0K 3K0")</f>
        <v>K0K 3K0</v>
      </c>
      <c r="E5757" s="3" t="str">
        <f>IFERROR(__xludf.DUMMYFUNCTION("""COMPUTED_VALUE"""),"earl st.jean")</f>
        <v>earl st.jean</v>
      </c>
      <c r="F5757" s="3" t="str">
        <f>IFERROR(__xludf.DUMMYFUNCTION("""COMPUTED_VALUE"""),"rockwood.eatstjean@gmail.com")</f>
        <v>rockwood.eatstjean@gmail.com</v>
      </c>
      <c r="G5757" s="3">
        <f>IFERROR(__xludf.DUMMYFUNCTION("""COMPUTED_VALUE"""),9.053765678E9)</f>
        <v>9053765678</v>
      </c>
      <c r="H5757" s="3"/>
    </row>
    <row r="5758">
      <c r="A5758" s="2">
        <f>IFERROR(__xludf.DUMMYFUNCTION("""COMPUTED_VALUE"""),61064.0)</f>
        <v>61064</v>
      </c>
      <c r="B5758" s="3" t="str">
        <f>IFERROR(__xludf.DUMMYFUNCTION("""COMPUTED_VALUE"""),"541 CONCESSION RD 4 RD E ")</f>
        <v>541 CONCESSION RD 4 RD E </v>
      </c>
      <c r="C5758" s="3" t="str">
        <f>IFERROR(__xludf.DUMMYFUNCTION("""COMPUTED_VALUE"""),"WARKWORTH")</f>
        <v>WARKWORTH</v>
      </c>
      <c r="D5758" s="3" t="str">
        <f>IFERROR(__xludf.DUMMYFUNCTION("""COMPUTED_VALUE"""),"K0K 3K0")</f>
        <v>K0K 3K0</v>
      </c>
      <c r="E5758" s="3" t="str">
        <f>IFERROR(__xludf.DUMMYFUNCTION("""COMPUTED_VALUE"""),"alan nicholson ")</f>
        <v>alan nicholson </v>
      </c>
      <c r="F5758" s="3" t="str">
        <f>IFERROR(__xludf.DUMMYFUNCTION("""COMPUTED_VALUE"""),"bonnielynjones@hotmail.com")</f>
        <v>bonnielynjones@hotmail.com</v>
      </c>
      <c r="G5758" s="3">
        <f>IFERROR(__xludf.DUMMYFUNCTION("""COMPUTED_VALUE"""),7.059305404E9)</f>
        <v>7059305404</v>
      </c>
      <c r="H5758" s="3">
        <f>IFERROR(__xludf.DUMMYFUNCTION("""COMPUTED_VALUE"""),7.059573404E9)</f>
        <v>7059573404</v>
      </c>
    </row>
    <row r="5759">
      <c r="A5759" s="2">
        <f>IFERROR(__xludf.DUMMYFUNCTION("""COMPUTED_VALUE"""),61065.0)</f>
        <v>61065</v>
      </c>
      <c r="B5759" s="3" t="str">
        <f>IFERROR(__xludf.DUMMYFUNCTION("""COMPUTED_VALUE"""),"591 CONCESSION RD 4 RD E ")</f>
        <v>591 CONCESSION RD 4 RD E </v>
      </c>
      <c r="C5759" s="3" t="str">
        <f>IFERROR(__xludf.DUMMYFUNCTION("""COMPUTED_VALUE"""),"WARKWORTH")</f>
        <v>WARKWORTH</v>
      </c>
      <c r="D5759" s="3" t="str">
        <f>IFERROR(__xludf.DUMMYFUNCTION("""COMPUTED_VALUE"""),"K0K 3K0")</f>
        <v>K0K 3K0</v>
      </c>
      <c r="E5759" s="3"/>
      <c r="F5759" s="3"/>
      <c r="G5759" s="3"/>
      <c r="H5759" s="3"/>
    </row>
    <row r="5760">
      <c r="A5760" s="2">
        <f>IFERROR(__xludf.DUMMYFUNCTION("""COMPUTED_VALUE"""),61066.0)</f>
        <v>61066</v>
      </c>
      <c r="B5760" s="3" t="str">
        <f>IFERROR(__xludf.DUMMYFUNCTION("""COMPUTED_VALUE"""),"614 CONCESSION RD 4 RD E ")</f>
        <v>614 CONCESSION RD 4 RD E </v>
      </c>
      <c r="C5760" s="3" t="str">
        <f>IFERROR(__xludf.DUMMYFUNCTION("""COMPUTED_VALUE"""),"WARKWORTH")</f>
        <v>WARKWORTH</v>
      </c>
      <c r="D5760" s="3" t="str">
        <f>IFERROR(__xludf.DUMMYFUNCTION("""COMPUTED_VALUE"""),"K0K 3K0")</f>
        <v>K0K 3K0</v>
      </c>
      <c r="E5760" s="3" t="str">
        <f>IFERROR(__xludf.DUMMYFUNCTION("""COMPUTED_VALUE"""),"Dianne+John Pettey")</f>
        <v>Dianne+John Pettey</v>
      </c>
      <c r="F5760" s="3" t="str">
        <f>IFERROR(__xludf.DUMMYFUNCTION("""COMPUTED_VALUE"""),"dpettey46@gmail.com")</f>
        <v>dpettey46@gmail.com</v>
      </c>
      <c r="G5760" s="3"/>
      <c r="H5760" s="3"/>
    </row>
    <row r="5761">
      <c r="A5761" s="2">
        <f>IFERROR(__xludf.DUMMYFUNCTION("""COMPUTED_VALUE"""),61067.0)</f>
        <v>61067</v>
      </c>
      <c r="B5761" s="3" t="str">
        <f>IFERROR(__xludf.DUMMYFUNCTION("""COMPUTED_VALUE"""),"638 CONCESSION RD 4 RD E ")</f>
        <v>638 CONCESSION RD 4 RD E </v>
      </c>
      <c r="C5761" s="3" t="str">
        <f>IFERROR(__xludf.DUMMYFUNCTION("""COMPUTED_VALUE"""),"WARKWORTH")</f>
        <v>WARKWORTH</v>
      </c>
      <c r="D5761" s="3" t="str">
        <f>IFERROR(__xludf.DUMMYFUNCTION("""COMPUTED_VALUE"""),"K0K 3K0")</f>
        <v>K0K 3K0</v>
      </c>
      <c r="E5761" s="3" t="str">
        <f>IFERROR(__xludf.DUMMYFUNCTION("""COMPUTED_VALUE"""),"McCamus Reid")</f>
        <v>McCamus Reid</v>
      </c>
      <c r="F5761" s="3" t="str">
        <f>IFERROR(__xludf.DUMMYFUNCTION("""COMPUTED_VALUE"""),"chickreid@mac.com")</f>
        <v>chickreid@mac.com</v>
      </c>
      <c r="G5761" s="3"/>
      <c r="H5761" s="3"/>
    </row>
    <row r="5762">
      <c r="A5762" s="2">
        <f>IFERROR(__xludf.DUMMYFUNCTION("""COMPUTED_VALUE"""),63346.0)</f>
        <v>63346</v>
      </c>
      <c r="B5762" s="3" t="str">
        <f>IFERROR(__xludf.DUMMYFUNCTION("""COMPUTED_VALUE"""),"2 SKINKLE RD  ")</f>
        <v>2 SKINKLE RD  </v>
      </c>
      <c r="C5762" s="3" t="str">
        <f>IFERROR(__xludf.DUMMYFUNCTION("""COMPUTED_VALUE"""),"WARKWORTH")</f>
        <v>WARKWORTH</v>
      </c>
      <c r="D5762" s="3" t="str">
        <f>IFERROR(__xludf.DUMMYFUNCTION("""COMPUTED_VALUE"""),"K0K 3K0")</f>
        <v>K0K 3K0</v>
      </c>
      <c r="E5762" s="3" t="str">
        <f>IFERROR(__xludf.DUMMYFUNCTION("""COMPUTED_VALUE"""),"Sam Runciman")</f>
        <v>Sam Runciman</v>
      </c>
      <c r="F5762" s="3" t="str">
        <f>IFERROR(__xludf.DUMMYFUNCTION("""COMPUTED_VALUE"""),"srunciman6@gmail.com")</f>
        <v>srunciman6@gmail.com</v>
      </c>
      <c r="G5762" s="3">
        <f>IFERROR(__xludf.DUMMYFUNCTION("""COMPUTED_VALUE"""),7.028680102E9)</f>
        <v>7028680102</v>
      </c>
      <c r="H5762" s="3">
        <f>IFERROR(__xludf.DUMMYFUNCTION("""COMPUTED_VALUE"""),6.13438739E9)</f>
        <v>6134387390</v>
      </c>
    </row>
    <row r="5763">
      <c r="A5763" s="2">
        <f>IFERROR(__xludf.DUMMYFUNCTION("""COMPUTED_VALUE"""),63347.0)</f>
        <v>63347</v>
      </c>
      <c r="B5763" s="3" t="str">
        <f>IFERROR(__xludf.DUMMYFUNCTION("""COMPUTED_VALUE"""),"64 SKINKLE RD  ")</f>
        <v>64 SKINKLE RD  </v>
      </c>
      <c r="C5763" s="3" t="str">
        <f>IFERROR(__xludf.DUMMYFUNCTION("""COMPUTED_VALUE"""),"WARKWORTH")</f>
        <v>WARKWORTH</v>
      </c>
      <c r="D5763" s="3" t="str">
        <f>IFERROR(__xludf.DUMMYFUNCTION("""COMPUTED_VALUE"""),"K0K 3K0")</f>
        <v>K0K 3K0</v>
      </c>
      <c r="E5763" s="3" t="str">
        <f>IFERROR(__xludf.DUMMYFUNCTION("""COMPUTED_VALUE"""),"VICKY SKINKLE")</f>
        <v>VICKY SKINKLE</v>
      </c>
      <c r="F5763" s="3" t="str">
        <f>IFERROR(__xludf.DUMMYFUNCTION("""COMPUTED_VALUE"""),"grandmavicky@bell.net")</f>
        <v>grandmavicky@bell.net</v>
      </c>
      <c r="G5763" s="3"/>
      <c r="H5763" s="3"/>
    </row>
    <row r="5764">
      <c r="A5764" s="2">
        <f>IFERROR(__xludf.DUMMYFUNCTION("""COMPUTED_VALUE"""),63348.0)</f>
        <v>63348</v>
      </c>
      <c r="B5764" s="3" t="str">
        <f>IFERROR(__xludf.DUMMYFUNCTION("""COMPUTED_VALUE"""),"70 SKINKLE RD  ")</f>
        <v>70 SKINKLE RD  </v>
      </c>
      <c r="C5764" s="3" t="str">
        <f>IFERROR(__xludf.DUMMYFUNCTION("""COMPUTED_VALUE"""),"WARKWORTH")</f>
        <v>WARKWORTH</v>
      </c>
      <c r="D5764" s="3" t="str">
        <f>IFERROR(__xludf.DUMMYFUNCTION("""COMPUTED_VALUE"""),"K0K 3K0")</f>
        <v>K0K 3K0</v>
      </c>
      <c r="E5764" s="3" t="str">
        <f>IFERROR(__xludf.DUMMYFUNCTION("""COMPUTED_VALUE"""),"JAMES GORDON SKINKLE")</f>
        <v>JAMES GORDON SKINKLE</v>
      </c>
      <c r="F5764" s="3" t="str">
        <f>IFERROR(__xludf.DUMMYFUNCTION("""COMPUTED_VALUE"""),"skinkle1@live.com")</f>
        <v>skinkle1@live.com</v>
      </c>
      <c r="G5764" s="3"/>
      <c r="H5764" s="3"/>
    </row>
    <row r="5765">
      <c r="A5765" s="2">
        <f>IFERROR(__xludf.DUMMYFUNCTION("""COMPUTED_VALUE"""),63349.0)</f>
        <v>63349</v>
      </c>
      <c r="B5765" s="3" t="str">
        <f>IFERROR(__xludf.DUMMYFUNCTION("""COMPUTED_VALUE"""),"82 SKINKLE RD  ")</f>
        <v>82 SKINKLE RD  </v>
      </c>
      <c r="C5765" s="3" t="str">
        <f>IFERROR(__xludf.DUMMYFUNCTION("""COMPUTED_VALUE"""),"WARKWORTH")</f>
        <v>WARKWORTH</v>
      </c>
      <c r="D5765" s="3" t="str">
        <f>IFERROR(__xludf.DUMMYFUNCTION("""COMPUTED_VALUE"""),"K0K 3K0")</f>
        <v>K0K 3K0</v>
      </c>
      <c r="E5765" s="3"/>
      <c r="F5765" s="3"/>
      <c r="G5765" s="3"/>
      <c r="H5765" s="3"/>
    </row>
    <row r="5766">
      <c r="A5766" s="2">
        <f>IFERROR(__xludf.DUMMYFUNCTION("""COMPUTED_VALUE"""),63350.0)</f>
        <v>63350</v>
      </c>
      <c r="B5766" s="3" t="str">
        <f>IFERROR(__xludf.DUMMYFUNCTION("""COMPUTED_VALUE"""),"86 SKINKLE RD  ")</f>
        <v>86 SKINKLE RD  </v>
      </c>
      <c r="C5766" s="3" t="str">
        <f>IFERROR(__xludf.DUMMYFUNCTION("""COMPUTED_VALUE"""),"WARKWORTH")</f>
        <v>WARKWORTH</v>
      </c>
      <c r="D5766" s="3" t="str">
        <f>IFERROR(__xludf.DUMMYFUNCTION("""COMPUTED_VALUE"""),"K0K 3K0")</f>
        <v>K0K 3K0</v>
      </c>
      <c r="E5766" s="3"/>
      <c r="F5766" s="3"/>
      <c r="G5766" s="3"/>
      <c r="H5766" s="3"/>
    </row>
    <row r="5767">
      <c r="A5767" s="2">
        <f>IFERROR(__xludf.DUMMYFUNCTION("""COMPUTED_VALUE"""),63351.0)</f>
        <v>63351</v>
      </c>
      <c r="B5767" s="3" t="str">
        <f>IFERROR(__xludf.DUMMYFUNCTION("""COMPUTED_VALUE"""),"88 SKINKLE RD  ")</f>
        <v>88 SKINKLE RD  </v>
      </c>
      <c r="C5767" s="3" t="str">
        <f>IFERROR(__xludf.DUMMYFUNCTION("""COMPUTED_VALUE"""),"WARKWORTH")</f>
        <v>WARKWORTH</v>
      </c>
      <c r="D5767" s="3" t="str">
        <f>IFERROR(__xludf.DUMMYFUNCTION("""COMPUTED_VALUE"""),"K0K 3K0")</f>
        <v>K0K 3K0</v>
      </c>
      <c r="E5767" s="3" t="str">
        <f>IFERROR(__xludf.DUMMYFUNCTION("""COMPUTED_VALUE"""),"Owen &amp; Kim Ashley")</f>
        <v>Owen &amp; Kim Ashley</v>
      </c>
      <c r="F5767" s="3" t="str">
        <f>IFERROR(__xludf.DUMMYFUNCTION("""COMPUTED_VALUE"""),"ogashley90@outlook.com")</f>
        <v>ogashley90@outlook.com</v>
      </c>
      <c r="G5767" s="3"/>
      <c r="H5767" s="3"/>
    </row>
    <row r="5768">
      <c r="A5768" s="2">
        <f>IFERROR(__xludf.DUMMYFUNCTION("""COMPUTED_VALUE"""),61015.0)</f>
        <v>61015</v>
      </c>
      <c r="B5768" s="3" t="str">
        <f>IFERROR(__xludf.DUMMYFUNCTION("""COMPUTED_VALUE"""),"423 CONCESSION RD 2 RD E ")</f>
        <v>423 CONCESSION RD 2 RD E </v>
      </c>
      <c r="C5768" s="3" t="str">
        <f>IFERROR(__xludf.DUMMYFUNCTION("""COMPUTED_VALUE"""),"WARKWORTH")</f>
        <v>WARKWORTH</v>
      </c>
      <c r="D5768" s="3" t="str">
        <f>IFERROR(__xludf.DUMMYFUNCTION("""COMPUTED_VALUE"""),"K0K 3K0")</f>
        <v>K0K 3K0</v>
      </c>
      <c r="E5768" s="3"/>
      <c r="F5768" s="3"/>
      <c r="G5768" s="3"/>
      <c r="H5768" s="3"/>
    </row>
    <row r="5769">
      <c r="A5769" s="2">
        <f>IFERROR(__xludf.DUMMYFUNCTION("""COMPUTED_VALUE"""),61016.0)</f>
        <v>61016</v>
      </c>
      <c r="B5769" s="3" t="str">
        <f>IFERROR(__xludf.DUMMYFUNCTION("""COMPUTED_VALUE"""),"437 CONCESSION RD 2 RD E ")</f>
        <v>437 CONCESSION RD 2 RD E </v>
      </c>
      <c r="C5769" s="3" t="str">
        <f>IFERROR(__xludf.DUMMYFUNCTION("""COMPUTED_VALUE"""),"WARKWORTH")</f>
        <v>WARKWORTH</v>
      </c>
      <c r="D5769" s="3" t="str">
        <f>IFERROR(__xludf.DUMMYFUNCTION("""COMPUTED_VALUE"""),"K0K 3K0")</f>
        <v>K0K 3K0</v>
      </c>
      <c r="E5769" s="3" t="str">
        <f>IFERROR(__xludf.DUMMYFUNCTION("""COMPUTED_VALUE"""),"adam brown ")</f>
        <v>adam brown </v>
      </c>
      <c r="F5769" s="3" t="str">
        <f>IFERROR(__xludf.DUMMYFUNCTION("""COMPUTED_VALUE"""),"adambrown515@gmail.com")</f>
        <v>adambrown515@gmail.com</v>
      </c>
      <c r="G5769" s="3">
        <f>IFERROR(__xludf.DUMMYFUNCTION("""COMPUTED_VALUE"""),9.052696905E9)</f>
        <v>9052696905</v>
      </c>
      <c r="H5769" s="3"/>
    </row>
    <row r="5770">
      <c r="A5770" s="2">
        <f>IFERROR(__xludf.DUMMYFUNCTION("""COMPUTED_VALUE"""),61017.0)</f>
        <v>61017</v>
      </c>
      <c r="B5770" s="3" t="str">
        <f>IFERROR(__xludf.DUMMYFUNCTION("""COMPUTED_VALUE"""),"443 CONCESSION RD 2 RD E ")</f>
        <v>443 CONCESSION RD 2 RD E </v>
      </c>
      <c r="C5770" s="3" t="str">
        <f>IFERROR(__xludf.DUMMYFUNCTION("""COMPUTED_VALUE"""),"WARKWORTH")</f>
        <v>WARKWORTH</v>
      </c>
      <c r="D5770" s="3" t="str">
        <f>IFERROR(__xludf.DUMMYFUNCTION("""COMPUTED_VALUE"""),"K0K 3K0")</f>
        <v>K0K 3K0</v>
      </c>
      <c r="E5770" s="3" t="str">
        <f>IFERROR(__xludf.DUMMYFUNCTION("""COMPUTED_VALUE"""),"doug and donna carlaw ")</f>
        <v>doug and donna carlaw </v>
      </c>
      <c r="F5770" s="3" t="str">
        <f>IFERROR(__xludf.DUMMYFUNCTION("""COMPUTED_VALUE"""),"dmcarlaw@gmail.com")</f>
        <v>dmcarlaw@gmail.com</v>
      </c>
      <c r="G5770" s="3">
        <f>IFERROR(__xludf.DUMMYFUNCTION("""COMPUTED_VALUE"""),7.059911222E9)</f>
        <v>7059911222</v>
      </c>
      <c r="H5770" s="3"/>
    </row>
    <row r="5771">
      <c r="A5771" s="2">
        <f>IFERROR(__xludf.DUMMYFUNCTION("""COMPUTED_VALUE"""),61018.0)</f>
        <v>61018</v>
      </c>
      <c r="B5771" s="3" t="str">
        <f>IFERROR(__xludf.DUMMYFUNCTION("""COMPUTED_VALUE"""),"461 CONCESSION RD 2 RD E ")</f>
        <v>461 CONCESSION RD 2 RD E </v>
      </c>
      <c r="C5771" s="3" t="str">
        <f>IFERROR(__xludf.DUMMYFUNCTION("""COMPUTED_VALUE"""),"WARKWORTH")</f>
        <v>WARKWORTH</v>
      </c>
      <c r="D5771" s="3" t="str">
        <f>IFERROR(__xludf.DUMMYFUNCTION("""COMPUTED_VALUE"""),"K0K 3K0")</f>
        <v>K0K 3K0</v>
      </c>
      <c r="E5771" s="3" t="str">
        <f>IFERROR(__xludf.DUMMYFUNCTION("""COMPUTED_VALUE"""),"Jenn Hertzer")</f>
        <v>Jenn Hertzer</v>
      </c>
      <c r="F5771" s="3" t="str">
        <f>IFERROR(__xludf.DUMMYFUNCTION("""COMPUTED_VALUE"""),"jenna_johansen14@gmail.com")</f>
        <v>jenna_johansen14@gmail.com</v>
      </c>
      <c r="G5771" s="3"/>
      <c r="H5771" s="3"/>
    </row>
    <row r="5772">
      <c r="A5772" s="2">
        <f>IFERROR(__xludf.DUMMYFUNCTION("""COMPUTED_VALUE"""),61019.0)</f>
        <v>61019</v>
      </c>
      <c r="B5772" s="3" t="str">
        <f>IFERROR(__xludf.DUMMYFUNCTION("""COMPUTED_VALUE"""),"477 CONCESSION RD 2 RD E ")</f>
        <v>477 CONCESSION RD 2 RD E </v>
      </c>
      <c r="C5772" s="3" t="str">
        <f>IFERROR(__xludf.DUMMYFUNCTION("""COMPUTED_VALUE"""),"WARKWORTH")</f>
        <v>WARKWORTH</v>
      </c>
      <c r="D5772" s="3" t="str">
        <f>IFERROR(__xludf.DUMMYFUNCTION("""COMPUTED_VALUE"""),"K0K 3K0")</f>
        <v>K0K 3K0</v>
      </c>
      <c r="E5772" s="3" t="str">
        <f>IFERROR(__xludf.DUMMYFUNCTION("""COMPUTED_VALUE"""),"erik cox ")</f>
        <v>erik cox </v>
      </c>
      <c r="F5772" s="3" t="str">
        <f>IFERROR(__xludf.DUMMYFUNCTION("""COMPUTED_VALUE"""),"rustedpipe1@msn.comm")</f>
        <v>rustedpipe1@msn.comm</v>
      </c>
      <c r="G5772" s="3">
        <f>IFERROR(__xludf.DUMMYFUNCTION("""COMPUTED_VALUE"""),4.1679504E9)</f>
        <v>4167950400</v>
      </c>
      <c r="H5772" s="3"/>
    </row>
    <row r="5773">
      <c r="A5773" s="2">
        <f>IFERROR(__xludf.DUMMYFUNCTION("""COMPUTED_VALUE"""),61020.0)</f>
        <v>61020</v>
      </c>
      <c r="B5773" s="3" t="str">
        <f>IFERROR(__xludf.DUMMYFUNCTION("""COMPUTED_VALUE"""),"487 CONCESSION RD 2 RD E ")</f>
        <v>487 CONCESSION RD 2 RD E </v>
      </c>
      <c r="C5773" s="3" t="str">
        <f>IFERROR(__xludf.DUMMYFUNCTION("""COMPUTED_VALUE"""),"WARKWORTH")</f>
        <v>WARKWORTH</v>
      </c>
      <c r="D5773" s="3" t="str">
        <f>IFERROR(__xludf.DUMMYFUNCTION("""COMPUTED_VALUE"""),"K0K 3K0")</f>
        <v>K0K 3K0</v>
      </c>
      <c r="E5773" s="3" t="str">
        <f>IFERROR(__xludf.DUMMYFUNCTION("""COMPUTED_VALUE"""),"Julie Bruchmann")</f>
        <v>Julie Bruchmann</v>
      </c>
      <c r="F5773" s="3" t="str">
        <f>IFERROR(__xludf.DUMMYFUNCTION("""COMPUTED_VALUE"""),"julie_bruchmann@outlook.com")</f>
        <v>julie_bruchmann@outlook.com</v>
      </c>
      <c r="G5773" s="3">
        <f>IFERROR(__xludf.DUMMYFUNCTION("""COMPUTED_VALUE"""),7.057616497E9)</f>
        <v>7057616497</v>
      </c>
      <c r="H5773" s="3"/>
    </row>
    <row r="5774">
      <c r="A5774" s="2">
        <f>IFERROR(__xludf.DUMMYFUNCTION("""COMPUTED_VALUE"""),61021.0)</f>
        <v>61021</v>
      </c>
      <c r="B5774" s="3" t="str">
        <f>IFERROR(__xludf.DUMMYFUNCTION("""COMPUTED_VALUE"""),"495 CONCESSION RD 2 RD E ")</f>
        <v>495 CONCESSION RD 2 RD E </v>
      </c>
      <c r="C5774" s="3" t="str">
        <f>IFERROR(__xludf.DUMMYFUNCTION("""COMPUTED_VALUE"""),"WARKWORTH")</f>
        <v>WARKWORTH</v>
      </c>
      <c r="D5774" s="3" t="str">
        <f>IFERROR(__xludf.DUMMYFUNCTION("""COMPUTED_VALUE"""),"K0K 3K0")</f>
        <v>K0K 3K0</v>
      </c>
      <c r="E5774" s="3" t="str">
        <f>IFERROR(__xludf.DUMMYFUNCTION("""COMPUTED_VALUE"""),"devon and jamine white")</f>
        <v>devon and jamine white</v>
      </c>
      <c r="F5774" s="3" t="str">
        <f>IFERROR(__xludf.DUMMYFUNCTION("""COMPUTED_VALUE"""),"dwhiteab@gmail.com")</f>
        <v>dwhiteab@gmail.com</v>
      </c>
      <c r="G5774" s="3">
        <f>IFERROR(__xludf.DUMMYFUNCTION("""COMPUTED_VALUE"""),2496668.0)</f>
        <v>2496668</v>
      </c>
      <c r="H5774" s="3"/>
    </row>
    <row r="5775">
      <c r="A5775" s="2">
        <f>IFERROR(__xludf.DUMMYFUNCTION("""COMPUTED_VALUE"""),61022.0)</f>
        <v>61022</v>
      </c>
      <c r="B5775" s="3" t="str">
        <f>IFERROR(__xludf.DUMMYFUNCTION("""COMPUTED_VALUE"""),"497 CONCESSION RD 2 RD E ")</f>
        <v>497 CONCESSION RD 2 RD E </v>
      </c>
      <c r="C5775" s="3" t="str">
        <f>IFERROR(__xludf.DUMMYFUNCTION("""COMPUTED_VALUE"""),"WARKWORTH")</f>
        <v>WARKWORTH</v>
      </c>
      <c r="D5775" s="3" t="str">
        <f>IFERROR(__xludf.DUMMYFUNCTION("""COMPUTED_VALUE"""),"K0K 3K0")</f>
        <v>K0K 3K0</v>
      </c>
      <c r="E5775" s="3" t="str">
        <f>IFERROR(__xludf.DUMMYFUNCTION("""COMPUTED_VALUE"""),"griffiths/ warrack")</f>
        <v>griffiths/ warrack</v>
      </c>
      <c r="F5775" s="3" t="str">
        <f>IFERROR(__xludf.DUMMYFUNCTION("""COMPUTED_VALUE"""),"tweetangel11@gmail.com")</f>
        <v>tweetangel11@gmail.com</v>
      </c>
      <c r="G5775" s="3">
        <f>IFERROR(__xludf.DUMMYFUNCTION("""COMPUTED_VALUE"""),6.476685757E9)</f>
        <v>6476685757</v>
      </c>
      <c r="H5775" s="3"/>
    </row>
    <row r="5776">
      <c r="A5776" s="2">
        <f>IFERROR(__xludf.DUMMYFUNCTION("""COMPUTED_VALUE"""),61023.0)</f>
        <v>61023</v>
      </c>
      <c r="B5776" s="3" t="str">
        <f>IFERROR(__xludf.DUMMYFUNCTION("""COMPUTED_VALUE"""),"507 CONCESSION RD 2 RD E ")</f>
        <v>507 CONCESSION RD 2 RD E </v>
      </c>
      <c r="C5776" s="3" t="str">
        <f>IFERROR(__xludf.DUMMYFUNCTION("""COMPUTED_VALUE"""),"WARKWORTH")</f>
        <v>WARKWORTH</v>
      </c>
      <c r="D5776" s="3" t="str">
        <f>IFERROR(__xludf.DUMMYFUNCTION("""COMPUTED_VALUE"""),"K0K 3K0")</f>
        <v>K0K 3K0</v>
      </c>
      <c r="E5776" s="3" t="str">
        <f>IFERROR(__xludf.DUMMYFUNCTION("""COMPUTED_VALUE"""),"IRA QUINSEY")</f>
        <v>IRA QUINSEY</v>
      </c>
      <c r="F5776" s="3" t="str">
        <f>IFERROR(__xludf.DUMMYFUNCTION("""COMPUTED_VALUE"""),"iraquinsey@gmail.com")</f>
        <v>iraquinsey@gmail.com</v>
      </c>
      <c r="G5776" s="3"/>
      <c r="H5776" s="3"/>
    </row>
    <row r="5777">
      <c r="A5777" s="2">
        <f>IFERROR(__xludf.DUMMYFUNCTION("""COMPUTED_VALUE"""),61024.0)</f>
        <v>61024</v>
      </c>
      <c r="B5777" s="3" t="str">
        <f>IFERROR(__xludf.DUMMYFUNCTION("""COMPUTED_VALUE"""),"509 CONCESSION RD 2 RD E ")</f>
        <v>509 CONCESSION RD 2 RD E </v>
      </c>
      <c r="C5777" s="3" t="str">
        <f>IFERROR(__xludf.DUMMYFUNCTION("""COMPUTED_VALUE"""),"WARKWORTH")</f>
        <v>WARKWORTH</v>
      </c>
      <c r="D5777" s="3" t="str">
        <f>IFERROR(__xludf.DUMMYFUNCTION("""COMPUTED_VALUE"""),"K0K 3K0")</f>
        <v>K0K 3K0</v>
      </c>
      <c r="E5777" s="3" t="str">
        <f>IFERROR(__xludf.DUMMYFUNCTION("""COMPUTED_VALUE"""),"DAVID DODGSON")</f>
        <v>DAVID DODGSON</v>
      </c>
      <c r="F5777" s="3" t="str">
        <f>IFERROR(__xludf.DUMMYFUNCTION("""COMPUTED_VALUE"""),"dave5500@hotmail.com")</f>
        <v>dave5500@hotmail.com</v>
      </c>
      <c r="G5777" s="3"/>
      <c r="H5777" s="3"/>
    </row>
    <row r="5778">
      <c r="A5778" s="2">
        <f>IFERROR(__xludf.DUMMYFUNCTION("""COMPUTED_VALUE"""),61025.0)</f>
        <v>61025</v>
      </c>
      <c r="B5778" s="3" t="str">
        <f>IFERROR(__xludf.DUMMYFUNCTION("""COMPUTED_VALUE"""),"521 CONCESSION RD 2 RD E ")</f>
        <v>521 CONCESSION RD 2 RD E </v>
      </c>
      <c r="C5778" s="3" t="str">
        <f>IFERROR(__xludf.DUMMYFUNCTION("""COMPUTED_VALUE"""),"WARKWORTH")</f>
        <v>WARKWORTH</v>
      </c>
      <c r="D5778" s="3" t="str">
        <f>IFERROR(__xludf.DUMMYFUNCTION("""COMPUTED_VALUE"""),"K0K 3K0")</f>
        <v>K0K 3K0</v>
      </c>
      <c r="E5778" s="3" t="str">
        <f>IFERROR(__xludf.DUMMYFUNCTION("""COMPUTED_VALUE"""),"eric baker ")</f>
        <v>eric baker </v>
      </c>
      <c r="F5778" s="3" t="str">
        <f>IFERROR(__xludf.DUMMYFUNCTION("""COMPUTED_VALUE"""),"bcbdrywall@live.ca")</f>
        <v>bcbdrywall@live.ca</v>
      </c>
      <c r="G5778" s="3">
        <f>IFERROR(__xludf.DUMMYFUNCTION("""COMPUTED_VALUE"""),7.056326046E9)</f>
        <v>7056326046</v>
      </c>
      <c r="H5778" s="3"/>
    </row>
    <row r="5779">
      <c r="A5779" s="2">
        <f>IFERROR(__xludf.DUMMYFUNCTION("""COMPUTED_VALUE"""),61026.0)</f>
        <v>61026</v>
      </c>
      <c r="B5779" s="3" t="str">
        <f>IFERROR(__xludf.DUMMYFUNCTION("""COMPUTED_VALUE"""),"527 CONCESSION RD 2 RD E ")</f>
        <v>527 CONCESSION RD 2 RD E </v>
      </c>
      <c r="C5779" s="3" t="str">
        <f>IFERROR(__xludf.DUMMYFUNCTION("""COMPUTED_VALUE"""),"WARKWORTH")</f>
        <v>WARKWORTH</v>
      </c>
      <c r="D5779" s="3" t="str">
        <f>IFERROR(__xludf.DUMMYFUNCTION("""COMPUTED_VALUE"""),"K0K 3K0")</f>
        <v>K0K 3K0</v>
      </c>
      <c r="E5779" s="3" t="str">
        <f>IFERROR(__xludf.DUMMYFUNCTION("""COMPUTED_VALUE"""),"JACKÌE GORMAN")</f>
        <v>JACKÌE GORMAN</v>
      </c>
      <c r="F5779" s="3" t="str">
        <f>IFERROR(__xludf.DUMMYFUNCTION("""COMPUTED_VALUE"""),"Gormjac@hotmail.com")</f>
        <v>Gormjac@hotmail.com</v>
      </c>
      <c r="G5779" s="3"/>
      <c r="H5779" s="3"/>
    </row>
    <row r="5780">
      <c r="A5780" s="2">
        <f>IFERROR(__xludf.DUMMYFUNCTION("""COMPUTED_VALUE"""),61068.0)</f>
        <v>61068</v>
      </c>
      <c r="B5780" s="3" t="str">
        <f>IFERROR(__xludf.DUMMYFUNCTION("""COMPUTED_VALUE"""),"467 CONCESSION RD 2 E")</f>
        <v>467 CONCESSION RD 2 E</v>
      </c>
      <c r="C5780" s="3" t="str">
        <f>IFERROR(__xludf.DUMMYFUNCTION("""COMPUTED_VALUE"""),"WARKWORTH")</f>
        <v>WARKWORTH</v>
      </c>
      <c r="D5780" s="3" t="str">
        <f>IFERROR(__xludf.DUMMYFUNCTION("""COMPUTED_VALUE"""),"K0K 3K0")</f>
        <v>K0K 3K0</v>
      </c>
      <c r="E5780" s="3" t="str">
        <f>IFERROR(__xludf.DUMMYFUNCTION("""COMPUTED_VALUE"""),"Bill Meeker")</f>
        <v>Bill Meeker</v>
      </c>
      <c r="F5780" s="3" t="str">
        <f>IFERROR(__xludf.DUMMYFUNCTION("""COMPUTED_VALUE"""),"wemeeker1@gmail.com")</f>
        <v>wemeeker1@gmail.com</v>
      </c>
      <c r="G5780" s="3">
        <f>IFERROR(__xludf.DUMMYFUNCTION("""COMPUTED_VALUE"""),4.164096044E9)</f>
        <v>4164096044</v>
      </c>
      <c r="H5780" s="3"/>
    </row>
    <row r="5781">
      <c r="A5781" s="2">
        <f>IFERROR(__xludf.DUMMYFUNCTION("""COMPUTED_VALUE"""),63063.0)</f>
        <v>63063</v>
      </c>
      <c r="B5781" s="3" t="str">
        <f>IFERROR(__xludf.DUMMYFUNCTION("""COMPUTED_VALUE"""),"2 PINE RIDGE WAY")</f>
        <v>2 PINE RIDGE WAY</v>
      </c>
      <c r="C5781" s="3"/>
      <c r="D5781" s="3"/>
      <c r="E5781" s="3"/>
      <c r="F5781" s="3"/>
      <c r="G5781" s="3"/>
      <c r="H5781" s="3"/>
    </row>
    <row r="5782">
      <c r="A5782" s="2">
        <f>IFERROR(__xludf.DUMMYFUNCTION("""COMPUTED_VALUE"""),63064.0)</f>
        <v>63064</v>
      </c>
      <c r="B5782" s="3" t="str">
        <f>IFERROR(__xludf.DUMMYFUNCTION("""COMPUTED_VALUE"""),"4 PINE RIDGE WAY  ")</f>
        <v>4 PINE RIDGE WAY  </v>
      </c>
      <c r="C5782" s="3" t="str">
        <f>IFERROR(__xludf.DUMMYFUNCTION("""COMPUTED_VALUE"""),"WARKWORTH")</f>
        <v>WARKWORTH</v>
      </c>
      <c r="D5782" s="3" t="str">
        <f>IFERROR(__xludf.DUMMYFUNCTION("""COMPUTED_VALUE"""),"K0K 3K0")</f>
        <v>K0K 3K0</v>
      </c>
      <c r="E5782" s="3" t="str">
        <f>IFERROR(__xludf.DUMMYFUNCTION("""COMPUTED_VALUE"""),"TAMMY DAY &amp; SCOTT DAY")</f>
        <v>TAMMY DAY &amp; SCOTT DAY</v>
      </c>
      <c r="F5782" s="3" t="str">
        <f>IFERROR(__xludf.DUMMYFUNCTION("""COMPUTED_VALUE"""),"daytamm@gmail.com")</f>
        <v>daytamm@gmail.com</v>
      </c>
      <c r="G5782" s="3"/>
      <c r="H5782" s="3"/>
    </row>
    <row r="5783">
      <c r="A5783" s="2">
        <f>IFERROR(__xludf.DUMMYFUNCTION("""COMPUTED_VALUE"""),63065.0)</f>
        <v>63065</v>
      </c>
      <c r="B5783" s="3" t="str">
        <f>IFERROR(__xludf.DUMMYFUNCTION("""COMPUTED_VALUE"""),"6 PINE RIDGE WAY  ")</f>
        <v>6 PINE RIDGE WAY  </v>
      </c>
      <c r="C5783" s="3" t="str">
        <f>IFERROR(__xludf.DUMMYFUNCTION("""COMPUTED_VALUE"""),"WARKWORTH")</f>
        <v>WARKWORTH</v>
      </c>
      <c r="D5783" s="3" t="str">
        <f>IFERROR(__xludf.DUMMYFUNCTION("""COMPUTED_VALUE"""),"K0K 3K0")</f>
        <v>K0K 3K0</v>
      </c>
      <c r="E5783" s="3" t="str">
        <f>IFERROR(__xludf.DUMMYFUNCTION("""COMPUTED_VALUE"""),"shari lang")</f>
        <v>shari lang</v>
      </c>
      <c r="F5783" s="3" t="str">
        <f>IFERROR(__xludf.DUMMYFUNCTION("""COMPUTED_VALUE"""),"sharilang@explornet.ca")</f>
        <v>sharilang@explornet.ca</v>
      </c>
      <c r="G5783" s="3">
        <f>IFERROR(__xludf.DUMMYFUNCTION("""COMPUTED_VALUE"""),7.059241808E9)</f>
        <v>7059241808</v>
      </c>
      <c r="H5783" s="3">
        <f>IFERROR(__xludf.DUMMYFUNCTION("""COMPUTED_VALUE"""),7.053951808E9)</f>
        <v>7053951808</v>
      </c>
    </row>
    <row r="5784">
      <c r="A5784" s="2">
        <f>IFERROR(__xludf.DUMMYFUNCTION("""COMPUTED_VALUE"""),63066.0)</f>
        <v>63066</v>
      </c>
      <c r="B5784" s="3" t="str">
        <f>IFERROR(__xludf.DUMMYFUNCTION("""COMPUTED_VALUE"""),"8 PINE RIDGE WAY  ")</f>
        <v>8 PINE RIDGE WAY  </v>
      </c>
      <c r="C5784" s="3" t="str">
        <f>IFERROR(__xludf.DUMMYFUNCTION("""COMPUTED_VALUE"""),"WARKWORTH")</f>
        <v>WARKWORTH</v>
      </c>
      <c r="D5784" s="3" t="str">
        <f>IFERROR(__xludf.DUMMYFUNCTION("""COMPUTED_VALUE"""),"K0K 3K0")</f>
        <v>K0K 3K0</v>
      </c>
      <c r="E5784" s="3"/>
      <c r="F5784" s="3"/>
      <c r="G5784" s="3"/>
      <c r="H5784" s="3"/>
    </row>
    <row r="5785">
      <c r="A5785" s="2">
        <f>IFERROR(__xludf.DUMMYFUNCTION("""COMPUTED_VALUE"""),63067.0)</f>
        <v>63067</v>
      </c>
      <c r="B5785" s="3" t="str">
        <f>IFERROR(__xludf.DUMMYFUNCTION("""COMPUTED_VALUE"""),"12 PINE RIDGE WAY  ")</f>
        <v>12 PINE RIDGE WAY  </v>
      </c>
      <c r="C5785" s="3" t="str">
        <f>IFERROR(__xludf.DUMMYFUNCTION("""COMPUTED_VALUE"""),"WARKWORTH")</f>
        <v>WARKWORTH</v>
      </c>
      <c r="D5785" s="3" t="str">
        <f>IFERROR(__xludf.DUMMYFUNCTION("""COMPUTED_VALUE"""),"K0K 3K0")</f>
        <v>K0K 3K0</v>
      </c>
      <c r="E5785" s="3" t="str">
        <f>IFERROR(__xludf.DUMMYFUNCTION("""COMPUTED_VALUE"""),"jennifer macleod")</f>
        <v>jennifer macleod</v>
      </c>
      <c r="F5785" s="3" t="str">
        <f>IFERROR(__xludf.DUMMYFUNCTION("""COMPUTED_VALUE"""),"dmacjmac@gmail.com")</f>
        <v>dmacjmac@gmail.com</v>
      </c>
      <c r="G5785" s="3">
        <f>IFERROR(__xludf.DUMMYFUNCTION("""COMPUTED_VALUE"""),9.054418897E9)</f>
        <v>9054418897</v>
      </c>
      <c r="H5785" s="3"/>
    </row>
    <row r="5786">
      <c r="A5786" s="2">
        <f>IFERROR(__xludf.DUMMYFUNCTION("""COMPUTED_VALUE"""),63068.0)</f>
        <v>63068</v>
      </c>
      <c r="B5786" s="3" t="str">
        <f>IFERROR(__xludf.DUMMYFUNCTION("""COMPUTED_VALUE"""),"14 PINE RIDGE WAY  ")</f>
        <v>14 PINE RIDGE WAY  </v>
      </c>
      <c r="C5786" s="3" t="str">
        <f>IFERROR(__xludf.DUMMYFUNCTION("""COMPUTED_VALUE"""),"WARKWORTH")</f>
        <v>WARKWORTH</v>
      </c>
      <c r="D5786" s="3" t="str">
        <f>IFERROR(__xludf.DUMMYFUNCTION("""COMPUTED_VALUE"""),"K0K 3K0")</f>
        <v>K0K 3K0</v>
      </c>
      <c r="E5786" s="3" t="str">
        <f>IFERROR(__xludf.DUMMYFUNCTION("""COMPUTED_VALUE"""),"beverly ethridge")</f>
        <v>beverly ethridge</v>
      </c>
      <c r="F5786" s="3" t="str">
        <f>IFERROR(__xludf.DUMMYFUNCTION("""COMPUTED_VALUE"""),"beverlyethridge@yahoo.ca")</f>
        <v>beverlyethridge@yahoo.ca</v>
      </c>
      <c r="G5786" s="3">
        <f>IFERROR(__xludf.DUMMYFUNCTION("""COMPUTED_VALUE"""),6.138858149E9)</f>
        <v>6138858149</v>
      </c>
      <c r="H5786" s="3"/>
    </row>
    <row r="5787">
      <c r="A5787" s="2">
        <f>IFERROR(__xludf.DUMMYFUNCTION("""COMPUTED_VALUE"""),63069.0)</f>
        <v>63069</v>
      </c>
      <c r="B5787" s="3" t="str">
        <f>IFERROR(__xludf.DUMMYFUNCTION("""COMPUTED_VALUE"""),"16 PINE RIDGE WAY  ")</f>
        <v>16 PINE RIDGE WAY  </v>
      </c>
      <c r="C5787" s="3" t="str">
        <f>IFERROR(__xludf.DUMMYFUNCTION("""COMPUTED_VALUE"""),"WARKWORTH")</f>
        <v>WARKWORTH</v>
      </c>
      <c r="D5787" s="3" t="str">
        <f>IFERROR(__xludf.DUMMYFUNCTION("""COMPUTED_VALUE"""),"K0K 3K0")</f>
        <v>K0K 3K0</v>
      </c>
      <c r="E5787" s="3" t="str">
        <f>IFERROR(__xludf.DUMMYFUNCTION("""COMPUTED_VALUE"""),"Michael Real")</f>
        <v>Michael Real</v>
      </c>
      <c r="F5787" s="3" t="str">
        <f>IFERROR(__xludf.DUMMYFUNCTION("""COMPUTED_VALUE"""),"michaeljreal@gmail.com")</f>
        <v>michaeljreal@gmail.com</v>
      </c>
      <c r="G5787" s="3"/>
      <c r="H5787" s="3"/>
    </row>
    <row r="5788">
      <c r="A5788" s="2">
        <f>IFERROR(__xludf.DUMMYFUNCTION("""COMPUTED_VALUE"""),62385.0)</f>
        <v>62385</v>
      </c>
      <c r="B5788" s="3" t="str">
        <f>IFERROR(__xludf.DUMMYFUNCTION("""COMPUTED_VALUE"""),"8 JAKES RD  ")</f>
        <v>8 JAKES RD  </v>
      </c>
      <c r="C5788" s="3" t="str">
        <f>IFERROR(__xludf.DUMMYFUNCTION("""COMPUTED_VALUE"""),"CAMPBELLFORD")</f>
        <v>CAMPBELLFORD</v>
      </c>
      <c r="D5788" s="3" t="str">
        <f>IFERROR(__xludf.DUMMYFUNCTION("""COMPUTED_VALUE"""),"K0L 1L0")</f>
        <v>K0L 1L0</v>
      </c>
      <c r="E5788" s="3" t="str">
        <f>IFERROR(__xludf.DUMMYFUNCTION("""COMPUTED_VALUE"""),"donald rate ")</f>
        <v>donald rate </v>
      </c>
      <c r="F5788" s="3" t="str">
        <f>IFERROR(__xludf.DUMMYFUNCTION("""COMPUTED_VALUE"""),"turbo066@yahoo.com")</f>
        <v>turbo066@yahoo.com</v>
      </c>
      <c r="G5788" s="3">
        <f>IFERROR(__xludf.DUMMYFUNCTION("""COMPUTED_VALUE"""),2.893853318E9)</f>
        <v>2893853318</v>
      </c>
      <c r="H5788" s="3"/>
    </row>
    <row r="5789">
      <c r="A5789" s="2">
        <f>IFERROR(__xludf.DUMMYFUNCTION("""COMPUTED_VALUE"""),62386.0)</f>
        <v>62386</v>
      </c>
      <c r="B5789" s="3" t="str">
        <f>IFERROR(__xludf.DUMMYFUNCTION("""COMPUTED_VALUE"""),"12 JAKES RD  ")</f>
        <v>12 JAKES RD  </v>
      </c>
      <c r="C5789" s="3" t="str">
        <f>IFERROR(__xludf.DUMMYFUNCTION("""COMPUTED_VALUE"""),"CAMPBELLFORD")</f>
        <v>CAMPBELLFORD</v>
      </c>
      <c r="D5789" s="3" t="str">
        <f>IFERROR(__xludf.DUMMYFUNCTION("""COMPUTED_VALUE"""),"K0L 1L0")</f>
        <v>K0L 1L0</v>
      </c>
      <c r="E5789" s="3"/>
      <c r="F5789" s="3"/>
      <c r="G5789" s="3"/>
      <c r="H5789" s="3"/>
    </row>
    <row r="5790">
      <c r="A5790" s="2">
        <f>IFERROR(__xludf.DUMMYFUNCTION("""COMPUTED_VALUE"""),62387.0)</f>
        <v>62387</v>
      </c>
      <c r="B5790" s="3" t="str">
        <f>IFERROR(__xludf.DUMMYFUNCTION("""COMPUTED_VALUE"""),"14 JAKES RD  ")</f>
        <v>14 JAKES RD  </v>
      </c>
      <c r="C5790" s="3" t="str">
        <f>IFERROR(__xludf.DUMMYFUNCTION("""COMPUTED_VALUE"""),"CAMPBELLFORD")</f>
        <v>CAMPBELLFORD</v>
      </c>
      <c r="D5790" s="3" t="str">
        <f>IFERROR(__xludf.DUMMYFUNCTION("""COMPUTED_VALUE"""),"K0L 1L0")</f>
        <v>K0L 1L0</v>
      </c>
      <c r="E5790" s="3"/>
      <c r="F5790" s="3"/>
      <c r="G5790" s="3"/>
      <c r="H5790" s="3"/>
    </row>
    <row r="5791">
      <c r="A5791" s="2">
        <f>IFERROR(__xludf.DUMMYFUNCTION("""COMPUTED_VALUE"""),62388.0)</f>
        <v>62388</v>
      </c>
      <c r="B5791" s="3" t="str">
        <f>IFERROR(__xludf.DUMMYFUNCTION("""COMPUTED_VALUE"""),"15 JAKES RD  ")</f>
        <v>15 JAKES RD  </v>
      </c>
      <c r="C5791" s="3" t="str">
        <f>IFERROR(__xludf.DUMMYFUNCTION("""COMPUTED_VALUE"""),"CAMPBELLFORD")</f>
        <v>CAMPBELLFORD</v>
      </c>
      <c r="D5791" s="3" t="str">
        <f>IFERROR(__xludf.DUMMYFUNCTION("""COMPUTED_VALUE"""),"K0L 1L0")</f>
        <v>K0L 1L0</v>
      </c>
      <c r="E5791" s="3"/>
      <c r="F5791" s="3"/>
      <c r="G5791" s="3"/>
      <c r="H5791" s="3"/>
    </row>
    <row r="5792">
      <c r="A5792" s="2">
        <f>IFERROR(__xludf.DUMMYFUNCTION("""COMPUTED_VALUE"""),62389.0)</f>
        <v>62389</v>
      </c>
      <c r="B5792" s="3" t="str">
        <f>IFERROR(__xludf.DUMMYFUNCTION("""COMPUTED_VALUE"""),"18 JAKES RD  ")</f>
        <v>18 JAKES RD  </v>
      </c>
      <c r="C5792" s="3" t="str">
        <f>IFERROR(__xludf.DUMMYFUNCTION("""COMPUTED_VALUE"""),"CAMPBELLFORD")</f>
        <v>CAMPBELLFORD</v>
      </c>
      <c r="D5792" s="3" t="str">
        <f>IFERROR(__xludf.DUMMYFUNCTION("""COMPUTED_VALUE"""),"K0L 1L0")</f>
        <v>K0L 1L0</v>
      </c>
      <c r="E5792" s="3" t="str">
        <f>IFERROR(__xludf.DUMMYFUNCTION("""COMPUTED_VALUE"""),"terry ccolley ")</f>
        <v>terry ccolley </v>
      </c>
      <c r="F5792" s="3" t="str">
        <f>IFERROR(__xludf.DUMMYFUNCTION("""COMPUTED_VALUE"""),"terrycolley@gmail.com")</f>
        <v>terrycolley@gmail.com</v>
      </c>
      <c r="G5792" s="3">
        <f>IFERROR(__xludf.DUMMYFUNCTION("""COMPUTED_VALUE"""),9.052698589E9)</f>
        <v>9052698589</v>
      </c>
      <c r="H5792" s="3">
        <f>IFERROR(__xludf.DUMMYFUNCTION("""COMPUTED_VALUE"""),9.052692531E9)</f>
        <v>9052692531</v>
      </c>
    </row>
    <row r="5793">
      <c r="A5793" s="2">
        <f>IFERROR(__xludf.DUMMYFUNCTION("""COMPUTED_VALUE"""),62390.0)</f>
        <v>62390</v>
      </c>
      <c r="B5793" s="3" t="str">
        <f>IFERROR(__xludf.DUMMYFUNCTION("""COMPUTED_VALUE"""),"24 JAKES RD  ")</f>
        <v>24 JAKES RD  </v>
      </c>
      <c r="C5793" s="3" t="str">
        <f>IFERROR(__xludf.DUMMYFUNCTION("""COMPUTED_VALUE"""),"CAMPBELLFORD")</f>
        <v>CAMPBELLFORD</v>
      </c>
      <c r="D5793" s="3" t="str">
        <f>IFERROR(__xludf.DUMMYFUNCTION("""COMPUTED_VALUE"""),"K0L 1L0")</f>
        <v>K0L 1L0</v>
      </c>
      <c r="E5793" s="3"/>
      <c r="F5793" s="3"/>
      <c r="G5793" s="3"/>
      <c r="H5793" s="3"/>
    </row>
    <row r="5794">
      <c r="A5794" s="2">
        <f>IFERROR(__xludf.DUMMYFUNCTION("""COMPUTED_VALUE"""),62391.0)</f>
        <v>62391</v>
      </c>
      <c r="B5794" s="3" t="str">
        <f>IFERROR(__xludf.DUMMYFUNCTION("""COMPUTED_VALUE"""),"26 JAKES RD  ")</f>
        <v>26 JAKES RD  </v>
      </c>
      <c r="C5794" s="3" t="str">
        <f>IFERROR(__xludf.DUMMYFUNCTION("""COMPUTED_VALUE"""),"CAMPBELLFORD")</f>
        <v>CAMPBELLFORD</v>
      </c>
      <c r="D5794" s="3" t="str">
        <f>IFERROR(__xludf.DUMMYFUNCTION("""COMPUTED_VALUE"""),"K0L 1L0")</f>
        <v>K0L 1L0</v>
      </c>
      <c r="E5794" s="3"/>
      <c r="F5794" s="3"/>
      <c r="G5794" s="3"/>
      <c r="H5794" s="3"/>
    </row>
    <row r="5795">
      <c r="A5795" s="2">
        <f>IFERROR(__xludf.DUMMYFUNCTION("""COMPUTED_VALUE"""),62392.0)</f>
        <v>62392</v>
      </c>
      <c r="B5795" s="3" t="str">
        <f>IFERROR(__xludf.DUMMYFUNCTION("""COMPUTED_VALUE"""),"32A JAKES RD  ")</f>
        <v>32A JAKES RD  </v>
      </c>
      <c r="C5795" s="3" t="str">
        <f>IFERROR(__xludf.DUMMYFUNCTION("""COMPUTED_VALUE"""),"CAMPBELLFORD")</f>
        <v>CAMPBELLFORD</v>
      </c>
      <c r="D5795" s="3" t="str">
        <f>IFERROR(__xludf.DUMMYFUNCTION("""COMPUTED_VALUE"""),"K0L 1L0")</f>
        <v>K0L 1L0</v>
      </c>
      <c r="E5795" s="3"/>
      <c r="F5795" s="3"/>
      <c r="G5795" s="3"/>
      <c r="H5795" s="3"/>
    </row>
    <row r="5796">
      <c r="A5796" s="2">
        <f>IFERROR(__xludf.DUMMYFUNCTION("""COMPUTED_VALUE"""),62393.0)</f>
        <v>62393</v>
      </c>
      <c r="B5796" s="3" t="str">
        <f>IFERROR(__xludf.DUMMYFUNCTION("""COMPUTED_VALUE"""),"32B JAKES RD  ")</f>
        <v>32B JAKES RD  </v>
      </c>
      <c r="C5796" s="3" t="str">
        <f>IFERROR(__xludf.DUMMYFUNCTION("""COMPUTED_VALUE"""),"CAMPBELLFORD")</f>
        <v>CAMPBELLFORD</v>
      </c>
      <c r="D5796" s="3" t="str">
        <f>IFERROR(__xludf.DUMMYFUNCTION("""COMPUTED_VALUE"""),"K0L 1L0")</f>
        <v>K0L 1L0</v>
      </c>
      <c r="E5796" s="3"/>
      <c r="F5796" s="3"/>
      <c r="G5796" s="3"/>
      <c r="H5796" s="3"/>
    </row>
    <row r="5797">
      <c r="A5797" s="2">
        <f>IFERROR(__xludf.DUMMYFUNCTION("""COMPUTED_VALUE"""),60746.0)</f>
        <v>60746</v>
      </c>
      <c r="B5797" s="3" t="str">
        <f>IFERROR(__xludf.DUMMYFUNCTION("""COMPUTED_VALUE"""),"3 CENTRE ST")</f>
        <v>3 CENTRE ST</v>
      </c>
      <c r="C5797" s="3" t="str">
        <f>IFERROR(__xludf.DUMMYFUNCTION("""COMPUTED_VALUE"""),"WARKWORTH")</f>
        <v>WARKWORTH</v>
      </c>
      <c r="D5797" s="3" t="str">
        <f>IFERROR(__xludf.DUMMYFUNCTION("""COMPUTED_VALUE"""),"K0K 3K0")</f>
        <v>K0K 3K0</v>
      </c>
      <c r="E5797" s="3" t="str">
        <f>IFERROR(__xludf.DUMMYFUNCTION("""COMPUTED_VALUE"""),"Lorraine Chiasson")</f>
        <v>Lorraine Chiasson</v>
      </c>
      <c r="F5797" s="3" t="str">
        <f>IFERROR(__xludf.DUMMYFUNCTION("""COMPUTED_VALUE"""),"lorrainechiasson@hotmail.com")</f>
        <v>lorrainechiasson@hotmail.com</v>
      </c>
      <c r="G5797" s="3"/>
      <c r="H5797" s="3"/>
    </row>
    <row r="5798">
      <c r="A5798" s="2">
        <f>IFERROR(__xludf.DUMMYFUNCTION("""COMPUTED_VALUE"""),60747.0)</f>
        <v>60747</v>
      </c>
      <c r="B5798" s="3" t="str">
        <f>IFERROR(__xludf.DUMMYFUNCTION("""COMPUTED_VALUE"""),"7 CENTRE ST")</f>
        <v>7 CENTRE ST</v>
      </c>
      <c r="C5798" s="3" t="str">
        <f>IFERROR(__xludf.DUMMYFUNCTION("""COMPUTED_VALUE"""),"WARKWORTH")</f>
        <v>WARKWORTH</v>
      </c>
      <c r="D5798" s="3" t="str">
        <f>IFERROR(__xludf.DUMMYFUNCTION("""COMPUTED_VALUE"""),"K0K 3K0")</f>
        <v>K0K 3K0</v>
      </c>
      <c r="E5798" s="3"/>
      <c r="F5798" s="3"/>
      <c r="G5798" s="3"/>
      <c r="H5798" s="3"/>
    </row>
    <row r="5799">
      <c r="A5799" s="2">
        <f>IFERROR(__xludf.DUMMYFUNCTION("""COMPUTED_VALUE"""),60748.0)</f>
        <v>60748</v>
      </c>
      <c r="B5799" s="3" t="str">
        <f>IFERROR(__xludf.DUMMYFUNCTION("""COMPUTED_VALUE"""),"15 CENTRE ST")</f>
        <v>15 CENTRE ST</v>
      </c>
      <c r="C5799" s="3" t="str">
        <f>IFERROR(__xludf.DUMMYFUNCTION("""COMPUTED_VALUE"""),"WARKWORTH")</f>
        <v>WARKWORTH</v>
      </c>
      <c r="D5799" s="3" t="str">
        <f>IFERROR(__xludf.DUMMYFUNCTION("""COMPUTED_VALUE"""),"K0K 3K0")</f>
        <v>K0K 3K0</v>
      </c>
      <c r="E5799" s="3"/>
      <c r="F5799" s="3"/>
      <c r="G5799" s="3"/>
      <c r="H5799" s="3"/>
    </row>
    <row r="5800">
      <c r="A5800" s="2">
        <f>IFERROR(__xludf.DUMMYFUNCTION("""COMPUTED_VALUE"""),60749.0)</f>
        <v>60749</v>
      </c>
      <c r="B5800" s="3" t="str">
        <f>IFERROR(__xludf.DUMMYFUNCTION("""COMPUTED_VALUE"""),"17 CENTRE ST")</f>
        <v>17 CENTRE ST</v>
      </c>
      <c r="C5800" s="3" t="str">
        <f>IFERROR(__xludf.DUMMYFUNCTION("""COMPUTED_VALUE"""),"WARKWORTH")</f>
        <v>WARKWORTH</v>
      </c>
      <c r="D5800" s="3" t="str">
        <f>IFERROR(__xludf.DUMMYFUNCTION("""COMPUTED_VALUE"""),"K0K 3K0")</f>
        <v>K0K 3K0</v>
      </c>
      <c r="E5800" s="3" t="str">
        <f>IFERROR(__xludf.DUMMYFUNCTION("""COMPUTED_VALUE"""),"ner macmillan ")</f>
        <v>ner macmillan </v>
      </c>
      <c r="F5800" s="3"/>
      <c r="G5800" s="3">
        <f>IFERROR(__xludf.DUMMYFUNCTION("""COMPUTED_VALUE"""),7.059249147E9)</f>
        <v>7059249147</v>
      </c>
      <c r="H5800" s="3"/>
    </row>
    <row r="5801">
      <c r="A5801" s="2">
        <f>IFERROR(__xludf.DUMMYFUNCTION("""COMPUTED_VALUE"""),60750.0)</f>
        <v>60750</v>
      </c>
      <c r="B5801" s="3" t="str">
        <f>IFERROR(__xludf.DUMMYFUNCTION("""COMPUTED_VALUE"""),"21 CENTRE ST")</f>
        <v>21 CENTRE ST</v>
      </c>
      <c r="C5801" s="3" t="str">
        <f>IFERROR(__xludf.DUMMYFUNCTION("""COMPUTED_VALUE"""),"WARKWORTH")</f>
        <v>WARKWORTH</v>
      </c>
      <c r="D5801" s="3" t="str">
        <f>IFERROR(__xludf.DUMMYFUNCTION("""COMPUTED_VALUE"""),"K0K 3K0")</f>
        <v>K0K 3K0</v>
      </c>
      <c r="E5801" s="3" t="str">
        <f>IFERROR(__xludf.DUMMYFUNCTION("""COMPUTED_VALUE"""),"Brian H Sterling ")</f>
        <v>Brian H Sterling </v>
      </c>
      <c r="F5801" s="3" t="str">
        <f>IFERROR(__xludf.DUMMYFUNCTION("""COMPUTED_VALUE"""),"sterling@950@gmail.com")</f>
        <v>sterling@950@gmail.com</v>
      </c>
      <c r="G5801" s="3"/>
      <c r="H5801" s="3"/>
    </row>
    <row r="5802">
      <c r="A5802" s="2">
        <f>IFERROR(__xludf.DUMMYFUNCTION("""COMPUTED_VALUE"""),60751.0)</f>
        <v>60751</v>
      </c>
      <c r="B5802" s="3" t="str">
        <f>IFERROR(__xludf.DUMMYFUNCTION("""COMPUTED_VALUE"""),"24 CENTRE ST")</f>
        <v>24 CENTRE ST</v>
      </c>
      <c r="C5802" s="3" t="str">
        <f>IFERROR(__xludf.DUMMYFUNCTION("""COMPUTED_VALUE"""),"WARKWORTH")</f>
        <v>WARKWORTH</v>
      </c>
      <c r="D5802" s="3" t="str">
        <f>IFERROR(__xludf.DUMMYFUNCTION("""COMPUTED_VALUE"""),"K0K 3K0")</f>
        <v>K0K 3K0</v>
      </c>
      <c r="E5802" s="3" t="str">
        <f>IFERROR(__xludf.DUMMYFUNCTION("""COMPUTED_VALUE"""),"GLEN BROWN")</f>
        <v>GLEN BROWN</v>
      </c>
      <c r="F5802" s="3" t="str">
        <f>IFERROR(__xludf.DUMMYFUNCTION("""COMPUTED_VALUE"""),"glenbrown@sympatco.ca")</f>
        <v>glenbrown@sympatco.ca</v>
      </c>
      <c r="G5802" s="3"/>
      <c r="H5802" s="3"/>
    </row>
    <row r="5803">
      <c r="A5803" s="2">
        <f>IFERROR(__xludf.DUMMYFUNCTION("""COMPUTED_VALUE"""),60752.0)</f>
        <v>60752</v>
      </c>
      <c r="B5803" s="3" t="str">
        <f>IFERROR(__xludf.DUMMYFUNCTION("""COMPUTED_VALUE"""),"25 CENTRE ST")</f>
        <v>25 CENTRE ST</v>
      </c>
      <c r="C5803" s="3" t="str">
        <f>IFERROR(__xludf.DUMMYFUNCTION("""COMPUTED_VALUE"""),"WARKWORTH")</f>
        <v>WARKWORTH</v>
      </c>
      <c r="D5803" s="3" t="str">
        <f>IFERROR(__xludf.DUMMYFUNCTION("""COMPUTED_VALUE"""),"K0K 3K0")</f>
        <v>K0K 3K0</v>
      </c>
      <c r="E5803" s="3" t="str">
        <f>IFERROR(__xludf.DUMMYFUNCTION("""COMPUTED_VALUE"""),"rick dean ")</f>
        <v>rick dean </v>
      </c>
      <c r="F5803" s="3" t="str">
        <f>IFERROR(__xludf.DUMMYFUNCTION("""COMPUTED_VALUE"""),"rick.d.dean@gmail.com")</f>
        <v>rick.d.dean@gmail.com</v>
      </c>
      <c r="G5803" s="3">
        <f>IFERROR(__xludf.DUMMYFUNCTION("""COMPUTED_VALUE"""),7.059305494E9)</f>
        <v>7059305494</v>
      </c>
      <c r="H5803" s="3"/>
    </row>
    <row r="5804">
      <c r="A5804" s="2">
        <f>IFERROR(__xludf.DUMMYFUNCTION("""COMPUTED_VALUE"""),60753.0)</f>
        <v>60753</v>
      </c>
      <c r="B5804" s="3" t="str">
        <f>IFERROR(__xludf.DUMMYFUNCTION("""COMPUTED_VALUE"""),"30 CENTRE ST")</f>
        <v>30 CENTRE ST</v>
      </c>
      <c r="C5804" s="3" t="str">
        <f>IFERROR(__xludf.DUMMYFUNCTION("""COMPUTED_VALUE"""),"WARKWORTH")</f>
        <v>WARKWORTH</v>
      </c>
      <c r="D5804" s="3" t="str">
        <f>IFERROR(__xludf.DUMMYFUNCTION("""COMPUTED_VALUE"""),"K0K 3K0")</f>
        <v>K0K 3K0</v>
      </c>
      <c r="E5804" s="3" t="str">
        <f>IFERROR(__xludf.DUMMYFUNCTION("""COMPUTED_VALUE"""),"Matt Boelen")</f>
        <v>Matt Boelen</v>
      </c>
      <c r="F5804" s="3" t="str">
        <f>IFERROR(__xludf.DUMMYFUNCTION("""COMPUTED_VALUE"""),"mattboelen@gmail.com")</f>
        <v>mattboelen@gmail.com</v>
      </c>
      <c r="G5804" s="3">
        <f>IFERROR(__xludf.DUMMYFUNCTION("""COMPUTED_VALUE"""),4.164587875E9)</f>
        <v>4164587875</v>
      </c>
      <c r="H5804" s="3"/>
    </row>
    <row r="5805">
      <c r="A5805" s="2">
        <f>IFERROR(__xludf.DUMMYFUNCTION("""COMPUTED_VALUE"""),60754.0)</f>
        <v>60754</v>
      </c>
      <c r="B5805" s="3" t="str">
        <f>IFERROR(__xludf.DUMMYFUNCTION("""COMPUTED_VALUE"""),"35 CENTRE ST")</f>
        <v>35 CENTRE ST</v>
      </c>
      <c r="C5805" s="3" t="str">
        <f>IFERROR(__xludf.DUMMYFUNCTION("""COMPUTED_VALUE"""),"WARKWORTH")</f>
        <v>WARKWORTH</v>
      </c>
      <c r="D5805" s="3" t="str">
        <f>IFERROR(__xludf.DUMMYFUNCTION("""COMPUTED_VALUE"""),"K0K 3K0")</f>
        <v>K0K 3K0</v>
      </c>
      <c r="E5805" s="3" t="str">
        <f>IFERROR(__xludf.DUMMYFUNCTION("""COMPUTED_VALUE"""),"Grant and Trish Meredith")</f>
        <v>Grant and Trish Meredith</v>
      </c>
      <c r="F5805" s="3" t="str">
        <f>IFERROR(__xludf.DUMMYFUNCTION("""COMPUTED_VALUE"""),"parforethecourse@gmail.com")</f>
        <v>parforethecourse@gmail.com</v>
      </c>
      <c r="G5805" s="3"/>
      <c r="H5805" s="3"/>
    </row>
    <row r="5806">
      <c r="A5806" s="2">
        <f>IFERROR(__xludf.DUMMYFUNCTION("""COMPUTED_VALUE"""),60755.0)</f>
        <v>60755</v>
      </c>
      <c r="B5806" s="3" t="str">
        <f>IFERROR(__xludf.DUMMYFUNCTION("""COMPUTED_VALUE"""),"43 CENTRE ST")</f>
        <v>43 CENTRE ST</v>
      </c>
      <c r="C5806" s="3" t="str">
        <f>IFERROR(__xludf.DUMMYFUNCTION("""COMPUTED_VALUE"""),"WARKWORTH")</f>
        <v>WARKWORTH</v>
      </c>
      <c r="D5806" s="3" t="str">
        <f>IFERROR(__xludf.DUMMYFUNCTION("""COMPUTED_VALUE"""),"K0K 3K0")</f>
        <v>K0K 3K0</v>
      </c>
      <c r="E5806" s="3" t="str">
        <f>IFERROR(__xludf.DUMMYFUNCTION("""COMPUTED_VALUE"""),"charlotte giele")</f>
        <v>charlotte giele</v>
      </c>
      <c r="F5806" s="3" t="str">
        <f>IFERROR(__xludf.DUMMYFUNCTION("""COMPUTED_VALUE"""),"charlottegiele@gmail.com")</f>
        <v>charlottegiele@gmail.com</v>
      </c>
      <c r="G5806" s="3">
        <f>IFERROR(__xludf.DUMMYFUNCTION("""COMPUTED_VALUE"""),6.478765046E9)</f>
        <v>6478765046</v>
      </c>
      <c r="H5806" s="3"/>
    </row>
    <row r="5807">
      <c r="A5807" s="2">
        <f>IFERROR(__xludf.DUMMYFUNCTION("""COMPUTED_VALUE"""),60756.0)</f>
        <v>60756</v>
      </c>
      <c r="B5807" s="3" t="str">
        <f>IFERROR(__xludf.DUMMYFUNCTION("""COMPUTED_VALUE"""),"44 CENTRE ST")</f>
        <v>44 CENTRE ST</v>
      </c>
      <c r="C5807" s="3" t="str">
        <f>IFERROR(__xludf.DUMMYFUNCTION("""COMPUTED_VALUE"""),"WARKWORTH")</f>
        <v>WARKWORTH</v>
      </c>
      <c r="D5807" s="3" t="str">
        <f>IFERROR(__xludf.DUMMYFUNCTION("""COMPUTED_VALUE"""),"K0K 3K0")</f>
        <v>K0K 3K0</v>
      </c>
      <c r="E5807" s="3"/>
      <c r="F5807" s="3"/>
      <c r="G5807" s="3"/>
      <c r="H5807" s="3"/>
    </row>
    <row r="5808">
      <c r="A5808" s="2">
        <f>IFERROR(__xludf.DUMMYFUNCTION("""COMPUTED_VALUE"""),60757.0)</f>
        <v>60757</v>
      </c>
      <c r="B5808" s="3" t="str">
        <f>IFERROR(__xludf.DUMMYFUNCTION("""COMPUTED_VALUE"""),"48 CENTRE ST")</f>
        <v>48 CENTRE ST</v>
      </c>
      <c r="C5808" s="3" t="str">
        <f>IFERROR(__xludf.DUMMYFUNCTION("""COMPUTED_VALUE"""),"WARKWORTH")</f>
        <v>WARKWORTH</v>
      </c>
      <c r="D5808" s="3" t="str">
        <f>IFERROR(__xludf.DUMMYFUNCTION("""COMPUTED_VALUE"""),"K0K 3K0")</f>
        <v>K0K 3K0</v>
      </c>
      <c r="E5808" s="3" t="str">
        <f>IFERROR(__xludf.DUMMYFUNCTION("""COMPUTED_VALUE"""),"DAVE TAMLIN")</f>
        <v>DAVE TAMLIN</v>
      </c>
      <c r="F5808" s="3" t="str">
        <f>IFERROR(__xludf.DUMMYFUNCTION("""COMPUTED_VALUE"""),"gobsofglory@gmail.com")</f>
        <v>gobsofglory@gmail.com</v>
      </c>
      <c r="G5808" s="3"/>
      <c r="H5808" s="3"/>
    </row>
    <row r="5809">
      <c r="A5809" s="2">
        <f>IFERROR(__xludf.DUMMYFUNCTION("""COMPUTED_VALUE"""),60758.0)</f>
        <v>60758</v>
      </c>
      <c r="B5809" s="3" t="str">
        <f>IFERROR(__xludf.DUMMYFUNCTION("""COMPUTED_VALUE"""),"49 CENTRE ST")</f>
        <v>49 CENTRE ST</v>
      </c>
      <c r="C5809" s="3" t="str">
        <f>IFERROR(__xludf.DUMMYFUNCTION("""COMPUTED_VALUE"""),"WARKWORTH")</f>
        <v>WARKWORTH</v>
      </c>
      <c r="D5809" s="3" t="str">
        <f>IFERROR(__xludf.DUMMYFUNCTION("""COMPUTED_VALUE"""),"K0K 3K0")</f>
        <v>K0K 3K0</v>
      </c>
      <c r="E5809" s="3"/>
      <c r="F5809" s="3"/>
      <c r="G5809" s="3"/>
      <c r="H5809" s="3"/>
    </row>
    <row r="5810">
      <c r="A5810" s="2">
        <f>IFERROR(__xludf.DUMMYFUNCTION("""COMPUTED_VALUE"""),60759.0)</f>
        <v>60759</v>
      </c>
      <c r="B5810" s="3" t="str">
        <f>IFERROR(__xludf.DUMMYFUNCTION("""COMPUTED_VALUE"""),"50 CENTRE ST")</f>
        <v>50 CENTRE ST</v>
      </c>
      <c r="C5810" s="3" t="str">
        <f>IFERROR(__xludf.DUMMYFUNCTION("""COMPUTED_VALUE"""),"WARKWORTH")</f>
        <v>WARKWORTH</v>
      </c>
      <c r="D5810" s="3" t="str">
        <f>IFERROR(__xludf.DUMMYFUNCTION("""COMPUTED_VALUE"""),"K0K 3K0")</f>
        <v>K0K 3K0</v>
      </c>
      <c r="E5810" s="3"/>
      <c r="F5810" s="3"/>
      <c r="G5810" s="3"/>
      <c r="H5810" s="3"/>
    </row>
    <row r="5811">
      <c r="A5811" s="2">
        <f>IFERROR(__xludf.DUMMYFUNCTION("""COMPUTED_VALUE"""),61689.0)</f>
        <v>61689</v>
      </c>
      <c r="B5811" s="3" t="str">
        <f>IFERROR(__xludf.DUMMYFUNCTION("""COMPUTED_VALUE"""),"12 EAST ST  ")</f>
        <v>12 EAST ST  </v>
      </c>
      <c r="C5811" s="3" t="str">
        <f>IFERROR(__xludf.DUMMYFUNCTION("""COMPUTED_VALUE"""),"WARKWORTH")</f>
        <v>WARKWORTH</v>
      </c>
      <c r="D5811" s="3" t="str">
        <f>IFERROR(__xludf.DUMMYFUNCTION("""COMPUTED_VALUE"""),"K0K 3K0")</f>
        <v>K0K 3K0</v>
      </c>
      <c r="E5811" s="3" t="str">
        <f>IFERROR(__xludf.DUMMYFUNCTION("""COMPUTED_VALUE"""),"Bruce Brown")</f>
        <v>Bruce Brown</v>
      </c>
      <c r="F5811" s="3" t="str">
        <f>IFERROR(__xludf.DUMMYFUNCTION("""COMPUTED_VALUE"""),"honeyglover@sympatico.ca")</f>
        <v>honeyglover@sympatico.ca</v>
      </c>
      <c r="G5811" s="3">
        <f>IFERROR(__xludf.DUMMYFUNCTION("""COMPUTED_VALUE"""),7.059243881E9)</f>
        <v>7059243881</v>
      </c>
      <c r="H5811" s="3">
        <f>IFERROR(__xludf.DUMMYFUNCTION("""COMPUTED_VALUE"""),7.05653632E9)</f>
        <v>7056536320</v>
      </c>
    </row>
    <row r="5812">
      <c r="A5812" s="2">
        <f>IFERROR(__xludf.DUMMYFUNCTION("""COMPUTED_VALUE"""),61690.0)</f>
        <v>61690</v>
      </c>
      <c r="B5812" s="3" t="str">
        <f>IFERROR(__xludf.DUMMYFUNCTION("""COMPUTED_VALUE"""),"15 EAST ST  ")</f>
        <v>15 EAST ST  </v>
      </c>
      <c r="C5812" s="3" t="str">
        <f>IFERROR(__xludf.DUMMYFUNCTION("""COMPUTED_VALUE"""),"WARKWORTH")</f>
        <v>WARKWORTH</v>
      </c>
      <c r="D5812" s="3" t="str">
        <f>IFERROR(__xludf.DUMMYFUNCTION("""COMPUTED_VALUE"""),"K0K 3K0")</f>
        <v>K0K 3K0</v>
      </c>
      <c r="E5812" s="3"/>
      <c r="F5812" s="3"/>
      <c r="G5812" s="3"/>
      <c r="H5812" s="3"/>
    </row>
    <row r="5813">
      <c r="A5813" s="2">
        <f>IFERROR(__xludf.DUMMYFUNCTION("""COMPUTED_VALUE"""),61691.0)</f>
        <v>61691</v>
      </c>
      <c r="B5813" s="3" t="str">
        <f>IFERROR(__xludf.DUMMYFUNCTION("""COMPUTED_VALUE"""),"16 EAST ST  ")</f>
        <v>16 EAST ST  </v>
      </c>
      <c r="C5813" s="3" t="str">
        <f>IFERROR(__xludf.DUMMYFUNCTION("""COMPUTED_VALUE"""),"WARKWORTH")</f>
        <v>WARKWORTH</v>
      </c>
      <c r="D5813" s="3" t="str">
        <f>IFERROR(__xludf.DUMMYFUNCTION("""COMPUTED_VALUE"""),"K0K 3K0")</f>
        <v>K0K 3K0</v>
      </c>
      <c r="E5813" s="3"/>
      <c r="F5813" s="3"/>
      <c r="G5813" s="3"/>
      <c r="H5813" s="3"/>
    </row>
    <row r="5814">
      <c r="A5814" s="2">
        <f>IFERROR(__xludf.DUMMYFUNCTION("""COMPUTED_VALUE"""),61693.0)</f>
        <v>61693</v>
      </c>
      <c r="B5814" s="3" t="str">
        <f>IFERROR(__xludf.DUMMYFUNCTION("""COMPUTED_VALUE"""),"24 EAST ST  ")</f>
        <v>24 EAST ST  </v>
      </c>
      <c r="C5814" s="3" t="str">
        <f>IFERROR(__xludf.DUMMYFUNCTION("""COMPUTED_VALUE"""),"WARKWORTH")</f>
        <v>WARKWORTH</v>
      </c>
      <c r="D5814" s="3" t="str">
        <f>IFERROR(__xludf.DUMMYFUNCTION("""COMPUTED_VALUE"""),"K0K 3K0")</f>
        <v>K0K 3K0</v>
      </c>
      <c r="E5814" s="3"/>
      <c r="F5814" s="3"/>
      <c r="G5814" s="3"/>
      <c r="H5814" s="3"/>
    </row>
    <row r="5815">
      <c r="A5815" s="2">
        <f>IFERROR(__xludf.DUMMYFUNCTION("""COMPUTED_VALUE"""),61694.0)</f>
        <v>61694</v>
      </c>
      <c r="B5815" s="3" t="str">
        <f>IFERROR(__xludf.DUMMYFUNCTION("""COMPUTED_VALUE"""),"32 EAST ST  ")</f>
        <v>32 EAST ST  </v>
      </c>
      <c r="C5815" s="3" t="str">
        <f>IFERROR(__xludf.DUMMYFUNCTION("""COMPUTED_VALUE"""),"WARKWORTH")</f>
        <v>WARKWORTH</v>
      </c>
      <c r="D5815" s="3" t="str">
        <f>IFERROR(__xludf.DUMMYFUNCTION("""COMPUTED_VALUE"""),"K0K 3K0")</f>
        <v>K0K 3K0</v>
      </c>
      <c r="E5815" s="3" t="str">
        <f>IFERROR(__xludf.DUMMYFUNCTION("""COMPUTED_VALUE"""),"nikk durham")</f>
        <v>nikk durham</v>
      </c>
      <c r="F5815" s="3" t="str">
        <f>IFERROR(__xludf.DUMMYFUNCTION("""COMPUTED_VALUE"""),"nikkdurham@gmail.com")</f>
        <v>nikkdurham@gmail.com</v>
      </c>
      <c r="G5815" s="3">
        <f>IFERROR(__xludf.DUMMYFUNCTION("""COMPUTED_VALUE"""),7.05633899E9)</f>
        <v>7056338990</v>
      </c>
      <c r="H5815" s="3"/>
    </row>
    <row r="5816">
      <c r="A5816" s="2">
        <f>IFERROR(__xludf.DUMMYFUNCTION("""COMPUTED_VALUE"""),62657.0)</f>
        <v>62657</v>
      </c>
      <c r="B5816" s="3" t="str">
        <f>IFERROR(__xludf.DUMMYFUNCTION("""COMPUTED_VALUE"""),"39 MILL ST  ")</f>
        <v>39 MILL ST  </v>
      </c>
      <c r="C5816" s="3" t="str">
        <f>IFERROR(__xludf.DUMMYFUNCTION("""COMPUTED_VALUE"""),"WARKWORTH")</f>
        <v>WARKWORTH</v>
      </c>
      <c r="D5816" s="3" t="str">
        <f>IFERROR(__xludf.DUMMYFUNCTION("""COMPUTED_VALUE"""),"K0K 3K0")</f>
        <v>K0K 3K0</v>
      </c>
      <c r="E5816" s="3"/>
      <c r="F5816" s="3"/>
      <c r="G5816" s="3"/>
      <c r="H5816" s="3"/>
    </row>
    <row r="5817">
      <c r="A5817" s="2">
        <f>IFERROR(__xludf.DUMMYFUNCTION("""COMPUTED_VALUE"""),61823.0)</f>
        <v>61823</v>
      </c>
      <c r="B5817" s="3" t="str">
        <f>IFERROR(__xludf.DUMMYFUNCTION("""COMPUTED_VALUE"""),"42 GEORGE ST  ")</f>
        <v>42 GEORGE ST  </v>
      </c>
      <c r="C5817" s="3" t="str">
        <f>IFERROR(__xludf.DUMMYFUNCTION("""COMPUTED_VALUE"""),"WARKWORTH")</f>
        <v>WARKWORTH</v>
      </c>
      <c r="D5817" s="3" t="str">
        <f>IFERROR(__xludf.DUMMYFUNCTION("""COMPUTED_VALUE"""),"K0K 3K0")</f>
        <v>K0K 3K0</v>
      </c>
      <c r="E5817" s="3"/>
      <c r="F5817" s="3"/>
      <c r="G5817" s="3"/>
      <c r="H5817" s="3"/>
    </row>
    <row r="5818">
      <c r="A5818" s="2">
        <f>IFERROR(__xludf.DUMMYFUNCTION("""COMPUTED_VALUE"""),62658.0)</f>
        <v>62658</v>
      </c>
      <c r="B5818" s="3" t="str">
        <f>IFERROR(__xludf.DUMMYFUNCTION("""COMPUTED_VALUE"""),"42 MILL ST  ")</f>
        <v>42 MILL ST  </v>
      </c>
      <c r="C5818" s="3" t="str">
        <f>IFERROR(__xludf.DUMMYFUNCTION("""COMPUTED_VALUE"""),"WARKWORTH")</f>
        <v>WARKWORTH</v>
      </c>
      <c r="D5818" s="3" t="str">
        <f>IFERROR(__xludf.DUMMYFUNCTION("""COMPUTED_VALUE"""),"K0K 3K0")</f>
        <v>K0K 3K0</v>
      </c>
      <c r="E5818" s="3" t="str">
        <f>IFERROR(__xludf.DUMMYFUNCTION("""COMPUTED_VALUE"""),"janice c ")</f>
        <v>janice c </v>
      </c>
      <c r="F5818" s="3" t="str">
        <f>IFERROR(__xludf.DUMMYFUNCTION("""COMPUTED_VALUE"""),"jaclarevintage@protonmail.com")</f>
        <v>jaclarevintage@protonmail.com</v>
      </c>
      <c r="G5818" s="3">
        <f>IFERROR(__xludf.DUMMYFUNCTION("""COMPUTED_VALUE"""),7.057729484E9)</f>
        <v>7057729484</v>
      </c>
      <c r="H5818" s="3"/>
    </row>
    <row r="5819">
      <c r="A5819" s="2">
        <f>IFERROR(__xludf.DUMMYFUNCTION("""COMPUTED_VALUE"""),62659.0)</f>
        <v>62659</v>
      </c>
      <c r="B5819" s="3" t="str">
        <f>IFERROR(__xludf.DUMMYFUNCTION("""COMPUTED_VALUE"""),"49 MILL ST  ")</f>
        <v>49 MILL ST  </v>
      </c>
      <c r="C5819" s="3" t="str">
        <f>IFERROR(__xludf.DUMMYFUNCTION("""COMPUTED_VALUE"""),"WARKWORTH")</f>
        <v>WARKWORTH</v>
      </c>
      <c r="D5819" s="3" t="str">
        <f>IFERROR(__xludf.DUMMYFUNCTION("""COMPUTED_VALUE"""),"K0K 3K0")</f>
        <v>K0K 3K0</v>
      </c>
      <c r="E5819" s="3" t="str">
        <f>IFERROR(__xludf.DUMMYFUNCTION("""COMPUTED_VALUE"""),"Anne Radburn")</f>
        <v>Anne Radburn</v>
      </c>
      <c r="F5819" s="3"/>
      <c r="G5819" s="3"/>
      <c r="H5819" s="3"/>
    </row>
    <row r="5820">
      <c r="A5820" s="2">
        <f>IFERROR(__xludf.DUMMYFUNCTION("""COMPUTED_VALUE"""),62660.0)</f>
        <v>62660</v>
      </c>
      <c r="B5820" s="3" t="str">
        <f>IFERROR(__xludf.DUMMYFUNCTION("""COMPUTED_VALUE"""),"52 MILL ST  ")</f>
        <v>52 MILL ST  </v>
      </c>
      <c r="C5820" s="3" t="str">
        <f>IFERROR(__xludf.DUMMYFUNCTION("""COMPUTED_VALUE"""),"WARKWORTH")</f>
        <v>WARKWORTH</v>
      </c>
      <c r="D5820" s="3" t="str">
        <f>IFERROR(__xludf.DUMMYFUNCTION("""COMPUTED_VALUE"""),"K0K 3K0")</f>
        <v>K0K 3K0</v>
      </c>
      <c r="E5820" s="3"/>
      <c r="F5820" s="3"/>
      <c r="G5820" s="3"/>
      <c r="H5820" s="3"/>
    </row>
    <row r="5821">
      <c r="A5821" s="2">
        <f>IFERROR(__xludf.DUMMYFUNCTION("""COMPUTED_VALUE"""),62661.0)</f>
        <v>62661</v>
      </c>
      <c r="B5821" s="3" t="str">
        <f>IFERROR(__xludf.DUMMYFUNCTION("""COMPUTED_VALUE"""),"53 MILL ST  ")</f>
        <v>53 MILL ST  </v>
      </c>
      <c r="C5821" s="3" t="str">
        <f>IFERROR(__xludf.DUMMYFUNCTION("""COMPUTED_VALUE"""),"WARKWORTH")</f>
        <v>WARKWORTH</v>
      </c>
      <c r="D5821" s="3" t="str">
        <f>IFERROR(__xludf.DUMMYFUNCTION("""COMPUTED_VALUE"""),"K0K 3K0")</f>
        <v>K0K 3K0</v>
      </c>
      <c r="E5821" s="3" t="str">
        <f>IFERROR(__xludf.DUMMYFUNCTION("""COMPUTED_VALUE"""),"wm kelly ")</f>
        <v>wm kelly </v>
      </c>
      <c r="F5821" s="3"/>
      <c r="G5821" s="3">
        <f>IFERROR(__xludf.DUMMYFUNCTION("""COMPUTED_VALUE"""),7.056537772E9)</f>
        <v>7056537772</v>
      </c>
      <c r="H5821" s="3"/>
    </row>
    <row r="5822">
      <c r="A5822" s="2">
        <f>IFERROR(__xludf.DUMMYFUNCTION("""COMPUTED_VALUE"""),62662.0)</f>
        <v>62662</v>
      </c>
      <c r="B5822" s="3" t="str">
        <f>IFERROR(__xludf.DUMMYFUNCTION("""COMPUTED_VALUE"""),"56 MILL ST  ")</f>
        <v>56 MILL ST  </v>
      </c>
      <c r="C5822" s="3" t="str">
        <f>IFERROR(__xludf.DUMMYFUNCTION("""COMPUTED_VALUE"""),"WARKWORTH")</f>
        <v>WARKWORTH</v>
      </c>
      <c r="D5822" s="3" t="str">
        <f>IFERROR(__xludf.DUMMYFUNCTION("""COMPUTED_VALUE"""),"K0K 3K0")</f>
        <v>K0K 3K0</v>
      </c>
      <c r="E5822" s="3"/>
      <c r="F5822" s="3"/>
      <c r="G5822" s="3"/>
      <c r="H5822" s="3"/>
    </row>
    <row r="5823">
      <c r="A5823" s="2">
        <f>IFERROR(__xludf.DUMMYFUNCTION("""COMPUTED_VALUE"""),62663.0)</f>
        <v>62663</v>
      </c>
      <c r="B5823" s="3" t="str">
        <f>IFERROR(__xludf.DUMMYFUNCTION("""COMPUTED_VALUE"""),"61 MILL ST  ")</f>
        <v>61 MILL ST  </v>
      </c>
      <c r="C5823" s="3" t="str">
        <f>IFERROR(__xludf.DUMMYFUNCTION("""COMPUTED_VALUE"""),"WARKWORTH")</f>
        <v>WARKWORTH</v>
      </c>
      <c r="D5823" s="3" t="str">
        <f>IFERROR(__xludf.DUMMYFUNCTION("""COMPUTED_VALUE"""),"K0K 3K0")</f>
        <v>K0K 3K0</v>
      </c>
      <c r="E5823" s="3" t="str">
        <f>IFERROR(__xludf.DUMMYFUNCTION("""COMPUTED_VALUE"""),"Andy Coull")</f>
        <v>Andy Coull</v>
      </c>
      <c r="F5823" s="3" t="str">
        <f>IFERROR(__xludf.DUMMYFUNCTION("""COMPUTED_VALUE"""),"aaar.coull@ail.con")</f>
        <v>aaar.coull@ail.con</v>
      </c>
      <c r="G5823" s="3">
        <f>IFERROR(__xludf.DUMMYFUNCTION("""COMPUTED_VALUE"""),7.05313313E9)</f>
        <v>7053133130</v>
      </c>
      <c r="H5823" s="3"/>
    </row>
    <row r="5824">
      <c r="A5824" s="2">
        <f>IFERROR(__xludf.DUMMYFUNCTION("""COMPUTED_VALUE"""),62664.0)</f>
        <v>62664</v>
      </c>
      <c r="B5824" s="3" t="str">
        <f>IFERROR(__xludf.DUMMYFUNCTION("""COMPUTED_VALUE"""),"62 MILL ST  ")</f>
        <v>62 MILL ST  </v>
      </c>
      <c r="C5824" s="3" t="str">
        <f>IFERROR(__xludf.DUMMYFUNCTION("""COMPUTED_VALUE"""),"WARKWORTH")</f>
        <v>WARKWORTH</v>
      </c>
      <c r="D5824" s="3" t="str">
        <f>IFERROR(__xludf.DUMMYFUNCTION("""COMPUTED_VALUE"""),"K0K 3K0")</f>
        <v>K0K 3K0</v>
      </c>
      <c r="E5824" s="3"/>
      <c r="F5824" s="3"/>
      <c r="G5824" s="3"/>
      <c r="H5824" s="3"/>
    </row>
    <row r="5825">
      <c r="A5825" s="2">
        <f>IFERROR(__xludf.DUMMYFUNCTION("""COMPUTED_VALUE"""),62665.0)</f>
        <v>62665</v>
      </c>
      <c r="B5825" s="3" t="str">
        <f>IFERROR(__xludf.DUMMYFUNCTION("""COMPUTED_VALUE"""),"67 MILL ST  ")</f>
        <v>67 MILL ST  </v>
      </c>
      <c r="C5825" s="3" t="str">
        <f>IFERROR(__xludf.DUMMYFUNCTION("""COMPUTED_VALUE"""),"WARKWORTH")</f>
        <v>WARKWORTH</v>
      </c>
      <c r="D5825" s="3" t="str">
        <f>IFERROR(__xludf.DUMMYFUNCTION("""COMPUTED_VALUE"""),"K0K 3K0")</f>
        <v>K0K 3K0</v>
      </c>
      <c r="E5825" s="3"/>
      <c r="F5825" s="3"/>
      <c r="G5825" s="3"/>
      <c r="H5825" s="3"/>
    </row>
    <row r="5826">
      <c r="A5826" s="2">
        <f>IFERROR(__xludf.DUMMYFUNCTION("""COMPUTED_VALUE"""),62666.0)</f>
        <v>62666</v>
      </c>
      <c r="B5826" s="3" t="str">
        <f>IFERROR(__xludf.DUMMYFUNCTION("""COMPUTED_VALUE"""),"68 MILL ST  ")</f>
        <v>68 MILL ST  </v>
      </c>
      <c r="C5826" s="3" t="str">
        <f>IFERROR(__xludf.DUMMYFUNCTION("""COMPUTED_VALUE"""),"WARKWORTH")</f>
        <v>WARKWORTH</v>
      </c>
      <c r="D5826" s="3" t="str">
        <f>IFERROR(__xludf.DUMMYFUNCTION("""COMPUTED_VALUE"""),"K0K 3K0")</f>
        <v>K0K 3K0</v>
      </c>
      <c r="E5826" s="3" t="str">
        <f>IFERROR(__xludf.DUMMYFUNCTION("""COMPUTED_VALUE"""),"Robert Skinner")</f>
        <v>Robert Skinner</v>
      </c>
      <c r="F5826" s="3" t="str">
        <f>IFERROR(__xludf.DUMMYFUNCTION("""COMPUTED_VALUE"""),"boyroy_0@yahoo.ca")</f>
        <v>boyroy_0@yahoo.ca</v>
      </c>
      <c r="G5826" s="3">
        <f>IFERROR(__xludf.DUMMYFUNCTION("""COMPUTED_VALUE"""),9.054106384E9)</f>
        <v>9054106384</v>
      </c>
      <c r="H5826" s="3">
        <f>IFERROR(__xludf.DUMMYFUNCTION("""COMPUTED_VALUE"""),7.057726751E9)</f>
        <v>7057726751</v>
      </c>
    </row>
    <row r="5827">
      <c r="A5827" s="2">
        <f>IFERROR(__xludf.DUMMYFUNCTION("""COMPUTED_VALUE"""),62667.0)</f>
        <v>62667</v>
      </c>
      <c r="B5827" s="3" t="str">
        <f>IFERROR(__xludf.DUMMYFUNCTION("""COMPUTED_VALUE"""),"78 MILL ST  ")</f>
        <v>78 MILL ST  </v>
      </c>
      <c r="C5827" s="3" t="str">
        <f>IFERROR(__xludf.DUMMYFUNCTION("""COMPUTED_VALUE"""),"WARKWORTH")</f>
        <v>WARKWORTH</v>
      </c>
      <c r="D5827" s="3" t="str">
        <f>IFERROR(__xludf.DUMMYFUNCTION("""COMPUTED_VALUE"""),"K0K 3K0")</f>
        <v>K0K 3K0</v>
      </c>
      <c r="E5827" s="3" t="str">
        <f>IFERROR(__xludf.DUMMYFUNCTION("""COMPUTED_VALUE"""),"Schena McDonald")</f>
        <v>Schena McDonald</v>
      </c>
      <c r="F5827" s="3" t="str">
        <f>IFERROR(__xludf.DUMMYFUNCTION("""COMPUTED_VALUE"""),"schena2000@hotmail.com")</f>
        <v>schena2000@hotmail.com</v>
      </c>
      <c r="G5827" s="3">
        <f>IFERROR(__xludf.DUMMYFUNCTION("""COMPUTED_VALUE"""),6.479298841E9)</f>
        <v>6479298841</v>
      </c>
      <c r="H5827" s="3"/>
    </row>
    <row r="5828">
      <c r="A5828" s="2">
        <f>IFERROR(__xludf.DUMMYFUNCTION("""COMPUTED_VALUE"""),62668.0)</f>
        <v>62668</v>
      </c>
      <c r="B5828" s="3" t="str">
        <f>IFERROR(__xludf.DUMMYFUNCTION("""COMPUTED_VALUE"""),"82 MILL ST  ")</f>
        <v>82 MILL ST  </v>
      </c>
      <c r="C5828" s="3" t="str">
        <f>IFERROR(__xludf.DUMMYFUNCTION("""COMPUTED_VALUE"""),"WARKWORTH")</f>
        <v>WARKWORTH</v>
      </c>
      <c r="D5828" s="3" t="str">
        <f>IFERROR(__xludf.DUMMYFUNCTION("""COMPUTED_VALUE"""),"K0K 3K0")</f>
        <v>K0K 3K0</v>
      </c>
      <c r="E5828" s="3" t="str">
        <f>IFERROR(__xludf.DUMMYFUNCTION("""COMPUTED_VALUE"""),"Tonia Walsh")</f>
        <v>Tonia Walsh</v>
      </c>
      <c r="F5828" s="3" t="str">
        <f>IFERROR(__xludf.DUMMYFUNCTION("""COMPUTED_VALUE"""),"toniarosewalsh@gmail.com")</f>
        <v>toniarosewalsh@gmail.com</v>
      </c>
      <c r="G5828" s="3">
        <f>IFERROR(__xludf.DUMMYFUNCTION("""COMPUTED_VALUE"""),9.053761523E9)</f>
        <v>9053761523</v>
      </c>
      <c r="H5828" s="3">
        <f>IFERROR(__xludf.DUMMYFUNCTION("""COMPUTED_VALUE"""),2.898290898E9)</f>
        <v>2898290898</v>
      </c>
    </row>
    <row r="5829">
      <c r="A5829" s="2">
        <f>IFERROR(__xludf.DUMMYFUNCTION("""COMPUTED_VALUE"""),62669.0)</f>
        <v>62669</v>
      </c>
      <c r="B5829" s="3" t="str">
        <f>IFERROR(__xludf.DUMMYFUNCTION("""COMPUTED_VALUE"""),"88 MILL ST  ")</f>
        <v>88 MILL ST  </v>
      </c>
      <c r="C5829" s="3" t="str">
        <f>IFERROR(__xludf.DUMMYFUNCTION("""COMPUTED_VALUE"""),"WARKWORTH")</f>
        <v>WARKWORTH</v>
      </c>
      <c r="D5829" s="3" t="str">
        <f>IFERROR(__xludf.DUMMYFUNCTION("""COMPUTED_VALUE"""),"K0K 3K0")</f>
        <v>K0K 3K0</v>
      </c>
      <c r="E5829" s="3" t="str">
        <f>IFERROR(__xludf.DUMMYFUNCTION("""COMPUTED_VALUE"""),"darlene kleinmoore&amp;brian moore")</f>
        <v>darlene kleinmoore&amp;brian moore</v>
      </c>
      <c r="F5829" s="3" t="str">
        <f>IFERROR(__xludf.DUMMYFUNCTION("""COMPUTED_VALUE"""),"darlene_ksharp@hotmail.com")</f>
        <v>darlene_ksharp@hotmail.com</v>
      </c>
      <c r="G5829" s="3">
        <f>IFERROR(__xludf.DUMMYFUNCTION("""COMPUTED_VALUE"""),7.056326626E9)</f>
        <v>7056326626</v>
      </c>
      <c r="H5829" s="3">
        <f>IFERROR(__xludf.DUMMYFUNCTION("""COMPUTED_VALUE"""),7.05772279E9)</f>
        <v>7057722790</v>
      </c>
    </row>
    <row r="5830">
      <c r="A5830" s="2">
        <f>IFERROR(__xludf.DUMMYFUNCTION("""COMPUTED_VALUE"""),62670.0)</f>
        <v>62670</v>
      </c>
      <c r="B5830" s="3" t="str">
        <f>IFERROR(__xludf.DUMMYFUNCTION("""COMPUTED_VALUE"""),"96 MILL ST  ")</f>
        <v>96 MILL ST  </v>
      </c>
      <c r="C5830" s="3" t="str">
        <f>IFERROR(__xludf.DUMMYFUNCTION("""COMPUTED_VALUE"""),"WARKWORTH")</f>
        <v>WARKWORTH</v>
      </c>
      <c r="D5830" s="3" t="str">
        <f>IFERROR(__xludf.DUMMYFUNCTION("""COMPUTED_VALUE"""),"K0K 3K0")</f>
        <v>K0K 3K0</v>
      </c>
      <c r="E5830" s="3"/>
      <c r="F5830" s="3"/>
      <c r="G5830" s="3"/>
      <c r="H5830" s="3"/>
    </row>
    <row r="5831">
      <c r="A5831" s="2">
        <f>IFERROR(__xludf.DUMMYFUNCTION("""COMPUTED_VALUE"""),62671.0)</f>
        <v>62671</v>
      </c>
      <c r="B5831" s="3" t="str">
        <f>IFERROR(__xludf.DUMMYFUNCTION("""COMPUTED_VALUE"""),"97 MILL ST  ")</f>
        <v>97 MILL ST  </v>
      </c>
      <c r="C5831" s="3" t="str">
        <f>IFERROR(__xludf.DUMMYFUNCTION("""COMPUTED_VALUE"""),"WARKWORTH")</f>
        <v>WARKWORTH</v>
      </c>
      <c r="D5831" s="3" t="str">
        <f>IFERROR(__xludf.DUMMYFUNCTION("""COMPUTED_VALUE"""),"K0K 3K0")</f>
        <v>K0K 3K0</v>
      </c>
      <c r="E5831" s="3" t="str">
        <f>IFERROR(__xludf.DUMMYFUNCTION("""COMPUTED_VALUE"""),"Jason Henry ")</f>
        <v>Jason Henry </v>
      </c>
      <c r="F5831" s="3" t="str">
        <f>IFERROR(__xludf.DUMMYFUNCTION("""COMPUTED_VALUE"""),"ldevlin@southbridgecare.com ")</f>
        <v>ldevlin@southbridgecare.com </v>
      </c>
      <c r="G5831" s="3"/>
      <c r="H5831" s="3"/>
    </row>
    <row r="5832">
      <c r="A5832" s="2">
        <f>IFERROR(__xludf.DUMMYFUNCTION("""COMPUTED_VALUE"""),62672.0)</f>
        <v>62672</v>
      </c>
      <c r="B5832" s="3" t="str">
        <f>IFERROR(__xludf.DUMMYFUNCTION("""COMPUTED_VALUE"""),"99 MILL ST  ")</f>
        <v>99 MILL ST  </v>
      </c>
      <c r="C5832" s="3" t="str">
        <f>IFERROR(__xludf.DUMMYFUNCTION("""COMPUTED_VALUE"""),"WARKWORTH")</f>
        <v>WARKWORTH</v>
      </c>
      <c r="D5832" s="3" t="str">
        <f>IFERROR(__xludf.DUMMYFUNCTION("""COMPUTED_VALUE"""),"K0K 3K0")</f>
        <v>K0K 3K0</v>
      </c>
      <c r="E5832" s="3" t="str">
        <f>IFERROR(__xludf.DUMMYFUNCTION("""COMPUTED_VALUE"""),"sharon pratt ")</f>
        <v>sharon pratt </v>
      </c>
      <c r="F5832" s="3" t="str">
        <f>IFERROR(__xludf.DUMMYFUNCTION("""COMPUTED_VALUE"""),"sharonpratt15@gmail.com")</f>
        <v>sharonpratt15@gmail.com</v>
      </c>
      <c r="G5832" s="3">
        <f>IFERROR(__xludf.DUMMYFUNCTION("""COMPUTED_VALUE"""),9.057692735E9)</f>
        <v>9057692735</v>
      </c>
      <c r="H5832" s="3"/>
    </row>
    <row r="5833">
      <c r="A5833" s="2">
        <f>IFERROR(__xludf.DUMMYFUNCTION("""COMPUTED_VALUE"""),62673.0)</f>
        <v>62673</v>
      </c>
      <c r="B5833" s="3" t="str">
        <f>IFERROR(__xludf.DUMMYFUNCTION("""COMPUTED_VALUE"""),"122 MILL ST  ")</f>
        <v>122 MILL ST  </v>
      </c>
      <c r="C5833" s="3" t="str">
        <f>IFERROR(__xludf.DUMMYFUNCTION("""COMPUTED_VALUE"""),"WARKWORTH")</f>
        <v>WARKWORTH</v>
      </c>
      <c r="D5833" s="3" t="str">
        <f>IFERROR(__xludf.DUMMYFUNCTION("""COMPUTED_VALUE"""),"K0K 3K0")</f>
        <v>K0K 3K0</v>
      </c>
      <c r="E5833" s="3"/>
      <c r="F5833" s="3"/>
      <c r="G5833" s="3"/>
      <c r="H5833" s="3"/>
    </row>
    <row r="5834">
      <c r="A5834" s="2">
        <f>IFERROR(__xludf.DUMMYFUNCTION("""COMPUTED_VALUE"""),62725.0)</f>
        <v>62725</v>
      </c>
      <c r="B5834" s="3" t="str">
        <f>IFERROR(__xludf.DUMMYFUNCTION("""COMPUTED_VALUE"""),"8 NELSON ST  ")</f>
        <v>8 NELSON ST  </v>
      </c>
      <c r="C5834" s="3" t="str">
        <f>IFERROR(__xludf.DUMMYFUNCTION("""COMPUTED_VALUE"""),"WARKWORTH")</f>
        <v>WARKWORTH</v>
      </c>
      <c r="D5834" s="3" t="str">
        <f>IFERROR(__xludf.DUMMYFUNCTION("""COMPUTED_VALUE"""),"K0K 3K0")</f>
        <v>K0K 3K0</v>
      </c>
      <c r="E5834" s="3" t="str">
        <f>IFERROR(__xludf.DUMMYFUNCTION("""COMPUTED_VALUE"""),"James Fenton")</f>
        <v>James Fenton</v>
      </c>
      <c r="F5834" s="3" t="str">
        <f>IFERROR(__xludf.DUMMYFUNCTION("""COMPUTED_VALUE"""),"rockettime@gmail.com")</f>
        <v>rockettime@gmail.com</v>
      </c>
      <c r="G5834" s="3">
        <f>IFERROR(__xludf.DUMMYFUNCTION("""COMPUTED_VALUE"""),4.168465217E9)</f>
        <v>4168465217</v>
      </c>
      <c r="H5834" s="3"/>
    </row>
    <row r="5835">
      <c r="A5835" s="2">
        <f>IFERROR(__xludf.DUMMYFUNCTION("""COMPUTED_VALUE"""),62726.0)</f>
        <v>62726</v>
      </c>
      <c r="B5835" s="3" t="str">
        <f>IFERROR(__xludf.DUMMYFUNCTION("""COMPUTED_VALUE"""),"14 NELSON ST  ")</f>
        <v>14 NELSON ST  </v>
      </c>
      <c r="C5835" s="3" t="str">
        <f>IFERROR(__xludf.DUMMYFUNCTION("""COMPUTED_VALUE"""),"WARKWORTH")</f>
        <v>WARKWORTH</v>
      </c>
      <c r="D5835" s="3" t="str">
        <f>IFERROR(__xludf.DUMMYFUNCTION("""COMPUTED_VALUE"""),"K0K 3K0")</f>
        <v>K0K 3K0</v>
      </c>
      <c r="E5835" s="3" t="str">
        <f>IFERROR(__xludf.DUMMYFUNCTION("""COMPUTED_VALUE"""),"amber mcgill ")</f>
        <v>amber mcgill </v>
      </c>
      <c r="F5835" s="3" t="str">
        <f>IFERROR(__xludf.DUMMYFUNCTION("""COMPUTED_VALUE"""),"mcgillamber1@gmail.com")</f>
        <v>mcgillamber1@gmail.com</v>
      </c>
      <c r="G5835" s="3">
        <f>IFERROR(__xludf.DUMMYFUNCTION("""COMPUTED_VALUE"""),7.058680816E9)</f>
        <v>7058680816</v>
      </c>
      <c r="H5835" s="3">
        <f>IFERROR(__xludf.DUMMYFUNCTION("""COMPUTED_VALUE"""),2.892516628E9)</f>
        <v>2892516628</v>
      </c>
    </row>
    <row r="5836">
      <c r="A5836" s="2">
        <f>IFERROR(__xludf.DUMMYFUNCTION("""COMPUTED_VALUE"""),62727.0)</f>
        <v>62727</v>
      </c>
      <c r="B5836" s="3" t="str">
        <f>IFERROR(__xludf.DUMMYFUNCTION("""COMPUTED_VALUE"""),"15 NELSON ST  ")</f>
        <v>15 NELSON ST  </v>
      </c>
      <c r="C5836" s="3" t="str">
        <f>IFERROR(__xludf.DUMMYFUNCTION("""COMPUTED_VALUE"""),"WARKWORTH")</f>
        <v>WARKWORTH</v>
      </c>
      <c r="D5836" s="3" t="str">
        <f>IFERROR(__xludf.DUMMYFUNCTION("""COMPUTED_VALUE"""),"K0K 3K0")</f>
        <v>K0K 3K0</v>
      </c>
      <c r="E5836" s="3" t="str">
        <f>IFERROR(__xludf.DUMMYFUNCTION("""COMPUTED_VALUE"""),"guy  and marlynn catherwood")</f>
        <v>guy  and marlynn catherwood</v>
      </c>
      <c r="F5836" s="3" t="str">
        <f>IFERROR(__xludf.DUMMYFUNCTION("""COMPUTED_VALUE"""),"guymare@outlook.com")</f>
        <v>guymare@outlook.com</v>
      </c>
      <c r="G5836" s="3">
        <f>IFERROR(__xludf.DUMMYFUNCTION("""COMPUTED_VALUE"""),7.059243355E9)</f>
        <v>7059243355</v>
      </c>
      <c r="H5836" s="3"/>
    </row>
    <row r="5837">
      <c r="A5837" s="2">
        <f>IFERROR(__xludf.DUMMYFUNCTION("""COMPUTED_VALUE"""),62729.0)</f>
        <v>62729</v>
      </c>
      <c r="B5837" s="3" t="str">
        <f>IFERROR(__xludf.DUMMYFUNCTION("""COMPUTED_VALUE"""),"30 NELSON ST  ")</f>
        <v>30 NELSON ST  </v>
      </c>
      <c r="C5837" s="3" t="str">
        <f>IFERROR(__xludf.DUMMYFUNCTION("""COMPUTED_VALUE"""),"WARKWORTH")</f>
        <v>WARKWORTH</v>
      </c>
      <c r="D5837" s="3" t="str">
        <f>IFERROR(__xludf.DUMMYFUNCTION("""COMPUTED_VALUE"""),"K0K 3K0")</f>
        <v>K0K 3K0</v>
      </c>
      <c r="E5837" s="3"/>
      <c r="F5837" s="3"/>
      <c r="G5837" s="3"/>
      <c r="H5837" s="3"/>
    </row>
    <row r="5838">
      <c r="A5838" s="2">
        <f>IFERROR(__xludf.DUMMYFUNCTION("""COMPUTED_VALUE"""),62730.0)</f>
        <v>62730</v>
      </c>
      <c r="B5838" s="3" t="str">
        <f>IFERROR(__xludf.DUMMYFUNCTION("""COMPUTED_VALUE"""),"42 NELSON ST  ")</f>
        <v>42 NELSON ST  </v>
      </c>
      <c r="C5838" s="3" t="str">
        <f>IFERROR(__xludf.DUMMYFUNCTION("""COMPUTED_VALUE"""),"WARKWORTH")</f>
        <v>WARKWORTH</v>
      </c>
      <c r="D5838" s="3" t="str">
        <f>IFERROR(__xludf.DUMMYFUNCTION("""COMPUTED_VALUE"""),"K0K 3K0")</f>
        <v>K0K 3K0</v>
      </c>
      <c r="E5838" s="3"/>
      <c r="F5838" s="3"/>
      <c r="G5838" s="3"/>
      <c r="H5838" s="3"/>
    </row>
    <row r="5839">
      <c r="A5839" s="2">
        <f>IFERROR(__xludf.DUMMYFUNCTION("""COMPUTED_VALUE"""),62731.0)</f>
        <v>62731</v>
      </c>
      <c r="B5839" s="3" t="str">
        <f>IFERROR(__xludf.DUMMYFUNCTION("""COMPUTED_VALUE"""),"43 NELSON ST  ")</f>
        <v>43 NELSON ST  </v>
      </c>
      <c r="C5839" s="3" t="str">
        <f>IFERROR(__xludf.DUMMYFUNCTION("""COMPUTED_VALUE"""),"WARKWORTH")</f>
        <v>WARKWORTH</v>
      </c>
      <c r="D5839" s="3" t="str">
        <f>IFERROR(__xludf.DUMMYFUNCTION("""COMPUTED_VALUE"""),"K0K 3K0")</f>
        <v>K0K 3K0</v>
      </c>
      <c r="E5839" s="3" t="str">
        <f>IFERROR(__xludf.DUMMYFUNCTION("""COMPUTED_VALUE"""),"Scott Pomeroy")</f>
        <v>Scott Pomeroy</v>
      </c>
      <c r="F5839" s="3" t="str">
        <f>IFERROR(__xludf.DUMMYFUNCTION("""COMPUTED_VALUE"""),"scottwpomeroy@gmail.com")</f>
        <v>scottwpomeroy@gmail.com</v>
      </c>
      <c r="G5839" s="3">
        <f>IFERROR(__xludf.DUMMYFUNCTION("""COMPUTED_VALUE"""),7.056538158E9)</f>
        <v>7056538158</v>
      </c>
      <c r="H5839" s="3"/>
    </row>
    <row r="5840">
      <c r="A5840" s="2">
        <f>IFERROR(__xludf.DUMMYFUNCTION("""COMPUTED_VALUE"""),62732.0)</f>
        <v>62732</v>
      </c>
      <c r="B5840" s="3" t="str">
        <f>IFERROR(__xludf.DUMMYFUNCTION("""COMPUTED_VALUE"""),"45 NELSON ST  ")</f>
        <v>45 NELSON ST  </v>
      </c>
      <c r="C5840" s="3" t="str">
        <f>IFERROR(__xludf.DUMMYFUNCTION("""COMPUTED_VALUE"""),"WARKWORTH")</f>
        <v>WARKWORTH</v>
      </c>
      <c r="D5840" s="3" t="str">
        <f>IFERROR(__xludf.DUMMYFUNCTION("""COMPUTED_VALUE"""),"K0K 3K0")</f>
        <v>K0K 3K0</v>
      </c>
      <c r="E5840" s="3" t="str">
        <f>IFERROR(__xludf.DUMMYFUNCTION("""COMPUTED_VALUE"""),"William and Margaret Vennard")</f>
        <v>William and Margaret Vennard</v>
      </c>
      <c r="F5840" s="3" t="str">
        <f>IFERROR(__xludf.DUMMYFUNCTION("""COMPUTED_VALUE"""),"missus@sympatico.ca")</f>
        <v>missus@sympatico.ca</v>
      </c>
      <c r="G5840" s="3">
        <f>IFERROR(__xludf.DUMMYFUNCTION("""COMPUTED_VALUE"""),7.059243156E9)</f>
        <v>7059243156</v>
      </c>
      <c r="H5840" s="3"/>
    </row>
    <row r="5841">
      <c r="A5841" s="2">
        <f>IFERROR(__xludf.DUMMYFUNCTION("""COMPUTED_VALUE"""),62733.0)</f>
        <v>62733</v>
      </c>
      <c r="B5841" s="3" t="str">
        <f>IFERROR(__xludf.DUMMYFUNCTION("""COMPUTED_VALUE"""),"47 NELSON ST  ")</f>
        <v>47 NELSON ST  </v>
      </c>
      <c r="C5841" s="3" t="str">
        <f>IFERROR(__xludf.DUMMYFUNCTION("""COMPUTED_VALUE"""),"WARKWORTH")</f>
        <v>WARKWORTH</v>
      </c>
      <c r="D5841" s="3" t="str">
        <f>IFERROR(__xludf.DUMMYFUNCTION("""COMPUTED_VALUE"""),"K0K 3K0")</f>
        <v>K0K 3K0</v>
      </c>
      <c r="E5841" s="3" t="str">
        <f>IFERROR(__xludf.DUMMYFUNCTION("""COMPUTED_VALUE"""),"LISA KELLY")</f>
        <v>LISA KELLY</v>
      </c>
      <c r="F5841" s="3" t="str">
        <f>IFERROR(__xludf.DUMMYFUNCTION("""COMPUTED_VALUE"""),"lisa.kelly@bell.net")</f>
        <v>lisa.kelly@bell.net</v>
      </c>
      <c r="G5841" s="3"/>
      <c r="H5841" s="3"/>
    </row>
    <row r="5842">
      <c r="A5842" s="2">
        <f>IFERROR(__xludf.DUMMYFUNCTION("""COMPUTED_VALUE"""),62734.0)</f>
        <v>62734</v>
      </c>
      <c r="B5842" s="3" t="str">
        <f>IFERROR(__xludf.DUMMYFUNCTION("""COMPUTED_VALUE"""),"48 NELSON ST")</f>
        <v>48 NELSON ST</v>
      </c>
      <c r="C5842" s="3" t="str">
        <f>IFERROR(__xludf.DUMMYFUNCTION("""COMPUTED_VALUE"""),"WARKWORTH")</f>
        <v>WARKWORTH</v>
      </c>
      <c r="D5842" s="3" t="str">
        <f>IFERROR(__xludf.DUMMYFUNCTION("""COMPUTED_VALUE"""),"K0K 3K0")</f>
        <v>K0K 3K0</v>
      </c>
      <c r="E5842" s="3" t="str">
        <f>IFERROR(__xludf.DUMMYFUNCTION("""COMPUTED_VALUE"""),"ALEKSANDER WITTKAMP")</f>
        <v>ALEKSANDER WITTKAMP</v>
      </c>
      <c r="F5842" s="3" t="str">
        <f>IFERROR(__xludf.DUMMYFUNCTION("""COMPUTED_VALUE"""),"aleksander.wittkamp@gmail.com")</f>
        <v>aleksander.wittkamp@gmail.com</v>
      </c>
      <c r="G5842" s="3"/>
      <c r="H5842" s="3"/>
    </row>
    <row r="5843">
      <c r="A5843" s="2">
        <f>IFERROR(__xludf.DUMMYFUNCTION("""COMPUTED_VALUE"""),63663.0)</f>
        <v>63663</v>
      </c>
      <c r="B5843" s="3" t="str">
        <f>IFERROR(__xludf.DUMMYFUNCTION("""COMPUTED_VALUE"""),"33 WEST ST  ")</f>
        <v>33 WEST ST  </v>
      </c>
      <c r="C5843" s="3" t="str">
        <f>IFERROR(__xludf.DUMMYFUNCTION("""COMPUTED_VALUE"""),"WARKWORTH")</f>
        <v>WARKWORTH</v>
      </c>
      <c r="D5843" s="3" t="str">
        <f>IFERROR(__xludf.DUMMYFUNCTION("""COMPUTED_VALUE"""),"K0K 3K0")</f>
        <v>K0K 3K0</v>
      </c>
      <c r="E5843" s="3" t="str">
        <f>IFERROR(__xludf.DUMMYFUNCTION("""COMPUTED_VALUE"""),"terry grundy")</f>
        <v>terry grundy</v>
      </c>
      <c r="F5843" s="3" t="str">
        <f>IFERROR(__xludf.DUMMYFUNCTION("""COMPUTED_VALUE"""),"tgrundy@vianet.ca")</f>
        <v>tgrundy@vianet.ca</v>
      </c>
      <c r="G5843" s="3">
        <f>IFERROR(__xludf.DUMMYFUNCTION("""COMPUTED_VALUE"""),9.052073707E9)</f>
        <v>9052073707</v>
      </c>
      <c r="H5843" s="3"/>
    </row>
    <row r="5844">
      <c r="A5844" s="2">
        <f>IFERROR(__xludf.DUMMYFUNCTION("""COMPUTED_VALUE"""),62745.0)</f>
        <v>62745</v>
      </c>
      <c r="B5844" s="3" t="str">
        <f>IFERROR(__xludf.DUMMYFUNCTION("""COMPUTED_VALUE"""),"12 NORHAM RD  ")</f>
        <v>12 NORHAM RD  </v>
      </c>
      <c r="C5844" s="3" t="str">
        <f>IFERROR(__xludf.DUMMYFUNCTION("""COMPUTED_VALUE"""),"WARKWORTH")</f>
        <v>WARKWORTH</v>
      </c>
      <c r="D5844" s="3" t="str">
        <f>IFERROR(__xludf.DUMMYFUNCTION("""COMPUTED_VALUE"""),"K0K 3K0")</f>
        <v>K0K 3K0</v>
      </c>
      <c r="E5844" s="3" t="str">
        <f>IFERROR(__xludf.DUMMYFUNCTION("""COMPUTED_VALUE"""),"Royal Canadian Legion Branch 380")</f>
        <v>Royal Canadian Legion Branch 380</v>
      </c>
      <c r="F5844" s="3" t="str">
        <f>IFERROR(__xludf.DUMMYFUNCTION("""COMPUTED_VALUE"""),"farleymcdonald@hotmail.com")</f>
        <v>farleymcdonald@hotmail.com</v>
      </c>
      <c r="G5844" s="3"/>
      <c r="H5844" s="3"/>
    </row>
    <row r="5845">
      <c r="A5845" s="2">
        <f>IFERROR(__xludf.DUMMYFUNCTION("""COMPUTED_VALUE"""),62746.0)</f>
        <v>62746</v>
      </c>
      <c r="B5845" s="3" t="str">
        <f>IFERROR(__xludf.DUMMYFUNCTION("""COMPUTED_VALUE"""),"21 NORHAM RD  ")</f>
        <v>21 NORHAM RD  </v>
      </c>
      <c r="C5845" s="3" t="str">
        <f>IFERROR(__xludf.DUMMYFUNCTION("""COMPUTED_VALUE"""),"WARKWORTH")</f>
        <v>WARKWORTH</v>
      </c>
      <c r="D5845" s="3" t="str">
        <f>IFERROR(__xludf.DUMMYFUNCTION("""COMPUTED_VALUE"""),"K0K 3K0")</f>
        <v>K0K 3K0</v>
      </c>
      <c r="E5845" s="3" t="str">
        <f>IFERROR(__xludf.DUMMYFUNCTION("""COMPUTED_VALUE"""),"johnston ")</f>
        <v>johnston </v>
      </c>
      <c r="F5845" s="3"/>
      <c r="G5845" s="3">
        <f>IFERROR(__xludf.DUMMYFUNCTION("""COMPUTED_VALUE"""),7.05924271E9)</f>
        <v>7059242710</v>
      </c>
      <c r="H5845" s="3"/>
    </row>
    <row r="5846">
      <c r="A5846" s="2">
        <f>IFERROR(__xludf.DUMMYFUNCTION("""COMPUTED_VALUE"""),62747.0)</f>
        <v>62747</v>
      </c>
      <c r="B5846" s="3" t="str">
        <f>IFERROR(__xludf.DUMMYFUNCTION("""COMPUTED_VALUE"""),"53 NORHAM RD  ")</f>
        <v>53 NORHAM RD  </v>
      </c>
      <c r="C5846" s="3" t="str">
        <f>IFERROR(__xludf.DUMMYFUNCTION("""COMPUTED_VALUE"""),"WARKWORTH")</f>
        <v>WARKWORTH</v>
      </c>
      <c r="D5846" s="3" t="str">
        <f>IFERROR(__xludf.DUMMYFUNCTION("""COMPUTED_VALUE"""),"K0K 3K0")</f>
        <v>K0K 3K0</v>
      </c>
      <c r="E5846" s="3" t="str">
        <f>IFERROR(__xludf.DUMMYFUNCTION("""COMPUTED_VALUE"""),"Bruce Warriner")</f>
        <v>Bruce Warriner</v>
      </c>
      <c r="F5846" s="3"/>
      <c r="G5846" s="3"/>
      <c r="H5846" s="3"/>
    </row>
    <row r="5847">
      <c r="A5847" s="2">
        <f>IFERROR(__xludf.DUMMYFUNCTION("""COMPUTED_VALUE"""),62748.0)</f>
        <v>62748</v>
      </c>
      <c r="B5847" s="3" t="str">
        <f>IFERROR(__xludf.DUMMYFUNCTION("""COMPUTED_VALUE"""),"57 NORHAM RD  ")</f>
        <v>57 NORHAM RD  </v>
      </c>
      <c r="C5847" s="3" t="str">
        <f>IFERROR(__xludf.DUMMYFUNCTION("""COMPUTED_VALUE"""),"WARKWORTH")</f>
        <v>WARKWORTH</v>
      </c>
      <c r="D5847" s="3" t="str">
        <f>IFERROR(__xludf.DUMMYFUNCTION("""COMPUTED_VALUE"""),"K0K 3K0")</f>
        <v>K0K 3K0</v>
      </c>
      <c r="E5847" s="3" t="str">
        <f>IFERROR(__xludf.DUMMYFUNCTION("""COMPUTED_VALUE"""),"Glenn &amp;Gail Hatcher")</f>
        <v>Glenn &amp;Gail Hatcher</v>
      </c>
      <c r="F5847" s="3"/>
      <c r="G5847" s="3"/>
      <c r="H5847" s="3"/>
    </row>
    <row r="5848">
      <c r="A5848" s="2">
        <f>IFERROR(__xludf.DUMMYFUNCTION("""COMPUTED_VALUE"""),62749.0)</f>
        <v>62749</v>
      </c>
      <c r="B5848" s="3" t="str">
        <f>IFERROR(__xludf.DUMMYFUNCTION("""COMPUTED_VALUE"""),"63 NORHAM RD  ")</f>
        <v>63 NORHAM RD  </v>
      </c>
      <c r="C5848" s="3" t="str">
        <f>IFERROR(__xludf.DUMMYFUNCTION("""COMPUTED_VALUE"""),"WARKWORTH")</f>
        <v>WARKWORTH</v>
      </c>
      <c r="D5848" s="3" t="str">
        <f>IFERROR(__xludf.DUMMYFUNCTION("""COMPUTED_VALUE"""),"K0K 3K0")</f>
        <v>K0K 3K0</v>
      </c>
      <c r="E5848" s="3" t="str">
        <f>IFERROR(__xludf.DUMMYFUNCTION("""COMPUTED_VALUE"""),"STEPHEN WILLIGAR")</f>
        <v>STEPHEN WILLIGAR</v>
      </c>
      <c r="F5848" s="3" t="str">
        <f>IFERROR(__xludf.DUMMYFUNCTION("""COMPUTED_VALUE"""),"snowmobiling_@hotmail.com")</f>
        <v>snowmobiling_@hotmail.com</v>
      </c>
      <c r="G5848" s="3"/>
      <c r="H5848" s="3"/>
    </row>
    <row r="5849">
      <c r="A5849" s="2">
        <f>IFERROR(__xludf.DUMMYFUNCTION("""COMPUTED_VALUE"""),62750.0)</f>
        <v>62750</v>
      </c>
      <c r="B5849" s="3" t="str">
        <f>IFERROR(__xludf.DUMMYFUNCTION("""COMPUTED_VALUE"""),"75 NORHAM RD  ")</f>
        <v>75 NORHAM RD  </v>
      </c>
      <c r="C5849" s="3" t="str">
        <f>IFERROR(__xludf.DUMMYFUNCTION("""COMPUTED_VALUE"""),"WARKWORTH")</f>
        <v>WARKWORTH</v>
      </c>
      <c r="D5849" s="3" t="str">
        <f>IFERROR(__xludf.DUMMYFUNCTION("""COMPUTED_VALUE"""),"K0K 3K0")</f>
        <v>K0K 3K0</v>
      </c>
      <c r="E5849" s="3"/>
      <c r="F5849" s="3"/>
      <c r="G5849" s="3"/>
      <c r="H5849" s="3"/>
    </row>
    <row r="5850">
      <c r="A5850" s="2">
        <f>IFERROR(__xludf.DUMMYFUNCTION("""COMPUTED_VALUE"""),62751.0)</f>
        <v>62751</v>
      </c>
      <c r="B5850" s="3" t="str">
        <f>IFERROR(__xludf.DUMMYFUNCTION("""COMPUTED_VALUE"""),"106 NORHAM RD  ")</f>
        <v>106 NORHAM RD  </v>
      </c>
      <c r="C5850" s="3" t="str">
        <f>IFERROR(__xludf.DUMMYFUNCTION("""COMPUTED_VALUE"""),"WARKWORTH")</f>
        <v>WARKWORTH</v>
      </c>
      <c r="D5850" s="3" t="str">
        <f>IFERROR(__xludf.DUMMYFUNCTION("""COMPUTED_VALUE"""),"K0K 3K0")</f>
        <v>K0K 3K0</v>
      </c>
      <c r="E5850" s="3" t="str">
        <f>IFERROR(__xludf.DUMMYFUNCTION("""COMPUTED_VALUE"""),"Jason Kellogg")</f>
        <v>Jason Kellogg</v>
      </c>
      <c r="F5850" s="3" t="str">
        <f>IFERROR(__xludf.DUMMYFUNCTION("""COMPUTED_VALUE"""),"misterkellogg@gmail.com")</f>
        <v>misterkellogg@gmail.com</v>
      </c>
      <c r="G5850" s="3"/>
      <c r="H5850" s="3"/>
    </row>
    <row r="5851">
      <c r="A5851" s="2">
        <f>IFERROR(__xludf.DUMMYFUNCTION("""COMPUTED_VALUE"""),62752.0)</f>
        <v>62752</v>
      </c>
      <c r="B5851" s="3" t="str">
        <f>IFERROR(__xludf.DUMMYFUNCTION("""COMPUTED_VALUE"""),"112 NORHAM RD  ")</f>
        <v>112 NORHAM RD  </v>
      </c>
      <c r="C5851" s="3" t="str">
        <f>IFERROR(__xludf.DUMMYFUNCTION("""COMPUTED_VALUE"""),"WARKWORTH")</f>
        <v>WARKWORTH</v>
      </c>
      <c r="D5851" s="3" t="str">
        <f>IFERROR(__xludf.DUMMYFUNCTION("""COMPUTED_VALUE"""),"K0K 3K0")</f>
        <v>K0K 3K0</v>
      </c>
      <c r="E5851" s="3" t="str">
        <f>IFERROR(__xludf.DUMMYFUNCTION("""COMPUTED_VALUE"""),"rooney newman ")</f>
        <v>rooney newman </v>
      </c>
      <c r="F5851" s="3" t="str">
        <f>IFERROR(__xludf.DUMMYFUNCTION("""COMPUTED_VALUE"""),"rnewman1960@gmail.com")</f>
        <v>rnewman1960@gmail.com</v>
      </c>
      <c r="G5851" s="3">
        <f>IFERROR(__xludf.DUMMYFUNCTION("""COMPUTED_VALUE"""),7.0563296122E10)</f>
        <v>70563296122</v>
      </c>
      <c r="H5851" s="3"/>
    </row>
    <row r="5852">
      <c r="A5852" s="2">
        <f>IFERROR(__xludf.DUMMYFUNCTION("""COMPUTED_VALUE"""),62753.0)</f>
        <v>62753</v>
      </c>
      <c r="B5852" s="3" t="str">
        <f>IFERROR(__xludf.DUMMYFUNCTION("""COMPUTED_VALUE"""),"113 NORHAM RD  ")</f>
        <v>113 NORHAM RD  </v>
      </c>
      <c r="C5852" s="3" t="str">
        <f>IFERROR(__xludf.DUMMYFUNCTION("""COMPUTED_VALUE"""),"WARKWORTH")</f>
        <v>WARKWORTH</v>
      </c>
      <c r="D5852" s="3" t="str">
        <f>IFERROR(__xludf.DUMMYFUNCTION("""COMPUTED_VALUE"""),"K0K 3K0")</f>
        <v>K0K 3K0</v>
      </c>
      <c r="E5852" s="3" t="str">
        <f>IFERROR(__xludf.DUMMYFUNCTION("""COMPUTED_VALUE"""),"josephine campbell")</f>
        <v>josephine campbell</v>
      </c>
      <c r="F5852" s="3"/>
      <c r="G5852" s="3">
        <f>IFERROR(__xludf.DUMMYFUNCTION("""COMPUTED_VALUE"""),7.059242275E9)</f>
        <v>7059242275</v>
      </c>
      <c r="H5852" s="3">
        <f>IFERROR(__xludf.DUMMYFUNCTION("""COMPUTED_VALUE"""),6.138856696E9)</f>
        <v>6138856696</v>
      </c>
    </row>
    <row r="5853">
      <c r="A5853" s="2">
        <f>IFERROR(__xludf.DUMMYFUNCTION("""COMPUTED_VALUE"""),62754.0)</f>
        <v>62754</v>
      </c>
      <c r="B5853" s="3" t="str">
        <f>IFERROR(__xludf.DUMMYFUNCTION("""COMPUTED_VALUE"""),"115 NORHAM RD  ")</f>
        <v>115 NORHAM RD  </v>
      </c>
      <c r="C5853" s="3" t="str">
        <f>IFERROR(__xludf.DUMMYFUNCTION("""COMPUTED_VALUE"""),"WARKWORTH")</f>
        <v>WARKWORTH</v>
      </c>
      <c r="D5853" s="3" t="str">
        <f>IFERROR(__xludf.DUMMYFUNCTION("""COMPUTED_VALUE"""),"K0K 3K0")</f>
        <v>K0K 3K0</v>
      </c>
      <c r="E5853" s="3" t="str">
        <f>IFERROR(__xludf.DUMMYFUNCTION("""COMPUTED_VALUE"""),"lynn brenton")</f>
        <v>lynn brenton</v>
      </c>
      <c r="F5853" s="3" t="str">
        <f>IFERROR(__xludf.DUMMYFUNCTION("""COMPUTED_VALUE"""),"lbrenton@sympatio.ca")</f>
        <v>lbrenton@sympatio.ca</v>
      </c>
      <c r="G5853" s="3">
        <f>IFERROR(__xludf.DUMMYFUNCTION("""COMPUTED_VALUE"""),7.059242701E9)</f>
        <v>7059242701</v>
      </c>
      <c r="H5853" s="3">
        <f>IFERROR(__xludf.DUMMYFUNCTION("""COMPUTED_VALUE"""),7.0575005476E10)</f>
        <v>70575005476</v>
      </c>
    </row>
    <row r="5854">
      <c r="A5854" s="2">
        <f>IFERROR(__xludf.DUMMYFUNCTION("""COMPUTED_VALUE"""),62755.0)</f>
        <v>62755</v>
      </c>
      <c r="B5854" s="3" t="str">
        <f>IFERROR(__xludf.DUMMYFUNCTION("""COMPUTED_VALUE"""),"118 NORHAM RD  ")</f>
        <v>118 NORHAM RD  </v>
      </c>
      <c r="C5854" s="3" t="str">
        <f>IFERROR(__xludf.DUMMYFUNCTION("""COMPUTED_VALUE"""),"WARKWORTH")</f>
        <v>WARKWORTH</v>
      </c>
      <c r="D5854" s="3" t="str">
        <f>IFERROR(__xludf.DUMMYFUNCTION("""COMPUTED_VALUE"""),"K0K 3K0")</f>
        <v>K0K 3K0</v>
      </c>
      <c r="E5854" s="3" t="str">
        <f>IFERROR(__xludf.DUMMYFUNCTION("""COMPUTED_VALUE"""),"joel mac charles ")</f>
        <v>joel mac charles </v>
      </c>
      <c r="F5854" s="3"/>
      <c r="G5854" s="3">
        <f>IFERROR(__xludf.DUMMYFUNCTION("""COMPUTED_VALUE"""),4.167377532E9)</f>
        <v>4167377532</v>
      </c>
      <c r="H5854" s="3"/>
    </row>
    <row r="5855">
      <c r="A5855" s="2">
        <f>IFERROR(__xludf.DUMMYFUNCTION("""COMPUTED_VALUE"""),62756.0)</f>
        <v>62756</v>
      </c>
      <c r="B5855" s="3" t="str">
        <f>IFERROR(__xludf.DUMMYFUNCTION("""COMPUTED_VALUE"""),"119 NORHAM RD  ")</f>
        <v>119 NORHAM RD  </v>
      </c>
      <c r="C5855" s="3" t="str">
        <f>IFERROR(__xludf.DUMMYFUNCTION("""COMPUTED_VALUE"""),"WARKWORTH")</f>
        <v>WARKWORTH</v>
      </c>
      <c r="D5855" s="3" t="str">
        <f>IFERROR(__xludf.DUMMYFUNCTION("""COMPUTED_VALUE"""),"K0K 3K0")</f>
        <v>K0K 3K0</v>
      </c>
      <c r="E5855" s="3"/>
      <c r="F5855" s="3"/>
      <c r="G5855" s="3"/>
      <c r="H5855" s="3"/>
    </row>
    <row r="5856">
      <c r="A5856" s="2">
        <f>IFERROR(__xludf.DUMMYFUNCTION("""COMPUTED_VALUE"""),62757.0)</f>
        <v>62757</v>
      </c>
      <c r="B5856" s="3" t="str">
        <f>IFERROR(__xludf.DUMMYFUNCTION("""COMPUTED_VALUE"""),"122 NORHAM RD  ")</f>
        <v>122 NORHAM RD  </v>
      </c>
      <c r="C5856" s="3" t="str">
        <f>IFERROR(__xludf.DUMMYFUNCTION("""COMPUTED_VALUE"""),"WARKWORTH")</f>
        <v>WARKWORTH</v>
      </c>
      <c r="D5856" s="3" t="str">
        <f>IFERROR(__xludf.DUMMYFUNCTION("""COMPUTED_VALUE"""),"K0K 3K0")</f>
        <v>K0K 3K0</v>
      </c>
      <c r="E5856" s="3"/>
      <c r="F5856" s="3"/>
      <c r="G5856" s="3"/>
      <c r="H5856" s="3"/>
    </row>
    <row r="5857">
      <c r="A5857" s="2">
        <f>IFERROR(__xludf.DUMMYFUNCTION("""COMPUTED_VALUE"""),62758.0)</f>
        <v>62758</v>
      </c>
      <c r="B5857" s="3" t="str">
        <f>IFERROR(__xludf.DUMMYFUNCTION("""COMPUTED_VALUE"""),"125 NORHAM RD  ")</f>
        <v>125 NORHAM RD  </v>
      </c>
      <c r="C5857" s="3" t="str">
        <f>IFERROR(__xludf.DUMMYFUNCTION("""COMPUTED_VALUE"""),"WARKWORTH")</f>
        <v>WARKWORTH</v>
      </c>
      <c r="D5857" s="3" t="str">
        <f>IFERROR(__xludf.DUMMYFUNCTION("""COMPUTED_VALUE"""),"K0K 3K0")</f>
        <v>K0K 3K0</v>
      </c>
      <c r="E5857" s="3" t="str">
        <f>IFERROR(__xludf.DUMMYFUNCTION("""COMPUTED_VALUE"""),"Richard Casserley")</f>
        <v>Richard Casserley</v>
      </c>
      <c r="F5857" s="3" t="str">
        <f>IFERROR(__xludf.DUMMYFUNCTION("""COMPUTED_VALUE"""),"speedycass1@hotmail.com")</f>
        <v>speedycass1@hotmail.com</v>
      </c>
      <c r="G5857" s="3">
        <f>IFERROR(__xludf.DUMMYFUNCTION("""COMPUTED_VALUE"""),9.052692332E9)</f>
        <v>9052692332</v>
      </c>
      <c r="H5857" s="3"/>
    </row>
    <row r="5858">
      <c r="A5858" s="2">
        <f>IFERROR(__xludf.DUMMYFUNCTION("""COMPUTED_VALUE"""),62759.0)</f>
        <v>62759</v>
      </c>
      <c r="B5858" s="3" t="str">
        <f>IFERROR(__xludf.DUMMYFUNCTION("""COMPUTED_VALUE"""),"129 NORHAM RD  ")</f>
        <v>129 NORHAM RD  </v>
      </c>
      <c r="C5858" s="3" t="str">
        <f>IFERROR(__xludf.DUMMYFUNCTION("""COMPUTED_VALUE"""),"WARKWORTH")</f>
        <v>WARKWORTH</v>
      </c>
      <c r="D5858" s="3" t="str">
        <f>IFERROR(__xludf.DUMMYFUNCTION("""COMPUTED_VALUE"""),"K0K 3K0")</f>
        <v>K0K 3K0</v>
      </c>
      <c r="E5858" s="3"/>
      <c r="F5858" s="3"/>
      <c r="G5858" s="3"/>
      <c r="H5858" s="3"/>
    </row>
    <row r="5859">
      <c r="A5859" s="2">
        <f>IFERROR(__xludf.DUMMYFUNCTION("""COMPUTED_VALUE"""),62760.0)</f>
        <v>62760</v>
      </c>
      <c r="B5859" s="3" t="str">
        <f>IFERROR(__xludf.DUMMYFUNCTION("""COMPUTED_VALUE"""),"133 NORHAM RD  ")</f>
        <v>133 NORHAM RD  </v>
      </c>
      <c r="C5859" s="3" t="str">
        <f>IFERROR(__xludf.DUMMYFUNCTION("""COMPUTED_VALUE"""),"WARKWORTH")</f>
        <v>WARKWORTH</v>
      </c>
      <c r="D5859" s="3" t="str">
        <f>IFERROR(__xludf.DUMMYFUNCTION("""COMPUTED_VALUE"""),"K0K 3K0")</f>
        <v>K0K 3K0</v>
      </c>
      <c r="E5859" s="3"/>
      <c r="F5859" s="3"/>
      <c r="G5859" s="3"/>
      <c r="H5859" s="3"/>
    </row>
    <row r="5860">
      <c r="A5860" s="2">
        <f>IFERROR(__xludf.DUMMYFUNCTION("""COMPUTED_VALUE"""),62761.0)</f>
        <v>62761</v>
      </c>
      <c r="B5860" s="3" t="str">
        <f>IFERROR(__xludf.DUMMYFUNCTION("""COMPUTED_VALUE"""),"134 NORHAM RD  ")</f>
        <v>134 NORHAM RD  </v>
      </c>
      <c r="C5860" s="3" t="str">
        <f>IFERROR(__xludf.DUMMYFUNCTION("""COMPUTED_VALUE"""),"WARKWORTH")</f>
        <v>WARKWORTH</v>
      </c>
      <c r="D5860" s="3" t="str">
        <f>IFERROR(__xludf.DUMMYFUNCTION("""COMPUTED_VALUE"""),"K0K 3K0")</f>
        <v>K0K 3K0</v>
      </c>
      <c r="E5860" s="3" t="str">
        <f>IFERROR(__xludf.DUMMYFUNCTION("""COMPUTED_VALUE"""),"Ron Richardson")</f>
        <v>Ron Richardson</v>
      </c>
      <c r="F5860" s="3" t="str">
        <f>IFERROR(__xludf.DUMMYFUNCTION("""COMPUTED_VALUE"""),"dalouronron9@icloud.com")</f>
        <v>dalouronron9@icloud.com</v>
      </c>
      <c r="G5860" s="3"/>
      <c r="H5860" s="3"/>
    </row>
    <row r="5861">
      <c r="A5861" s="2">
        <f>IFERROR(__xludf.DUMMYFUNCTION("""COMPUTED_VALUE"""),62762.0)</f>
        <v>62762</v>
      </c>
      <c r="B5861" s="3" t="str">
        <f>IFERROR(__xludf.DUMMYFUNCTION("""COMPUTED_VALUE"""),"151 NORHAM RD  ")</f>
        <v>151 NORHAM RD  </v>
      </c>
      <c r="C5861" s="3" t="str">
        <f>IFERROR(__xludf.DUMMYFUNCTION("""COMPUTED_VALUE"""),"WARKWORTH")</f>
        <v>WARKWORTH</v>
      </c>
      <c r="D5861" s="3" t="str">
        <f>IFERROR(__xludf.DUMMYFUNCTION("""COMPUTED_VALUE"""),"K0K 3K0")</f>
        <v>K0K 3K0</v>
      </c>
      <c r="E5861" s="3" t="str">
        <f>IFERROR(__xludf.DUMMYFUNCTION("""COMPUTED_VALUE"""),"linda gummer ")</f>
        <v>linda gummer </v>
      </c>
      <c r="F5861" s="3" t="str">
        <f>IFERROR(__xludf.DUMMYFUNCTION("""COMPUTED_VALUE"""),"llnnor152@gmail.com")</f>
        <v>llnnor152@gmail.com</v>
      </c>
      <c r="G5861" s="3">
        <f>IFERROR(__xludf.DUMMYFUNCTION("""COMPUTED_VALUE"""),7.05924264E9)</f>
        <v>7059242640</v>
      </c>
      <c r="H5861" s="3"/>
    </row>
    <row r="5862">
      <c r="A5862" s="2">
        <f>IFERROR(__xludf.DUMMYFUNCTION("""COMPUTED_VALUE"""),61657.0)</f>
        <v>61657</v>
      </c>
      <c r="B5862" s="3" t="str">
        <f>IFERROR(__xludf.DUMMYFUNCTION("""COMPUTED_VALUE"""),"12 DUDLEY RD  ")</f>
        <v>12 DUDLEY RD  </v>
      </c>
      <c r="C5862" s="3" t="str">
        <f>IFERROR(__xludf.DUMMYFUNCTION("""COMPUTED_VALUE"""),"WARKWORTH")</f>
        <v>WARKWORTH</v>
      </c>
      <c r="D5862" s="3" t="str">
        <f>IFERROR(__xludf.DUMMYFUNCTION("""COMPUTED_VALUE"""),"K0K 3K0")</f>
        <v>K0K 3K0</v>
      </c>
      <c r="E5862" s="3"/>
      <c r="F5862" s="3"/>
      <c r="G5862" s="3"/>
      <c r="H5862" s="3"/>
    </row>
    <row r="5863">
      <c r="A5863" s="2">
        <f>IFERROR(__xludf.DUMMYFUNCTION("""COMPUTED_VALUE"""),61658.0)</f>
        <v>61658</v>
      </c>
      <c r="B5863" s="3" t="str">
        <f>IFERROR(__xludf.DUMMYFUNCTION("""COMPUTED_VALUE"""),"20 DUDLEY RD  ")</f>
        <v>20 DUDLEY RD  </v>
      </c>
      <c r="C5863" s="3" t="str">
        <f>IFERROR(__xludf.DUMMYFUNCTION("""COMPUTED_VALUE"""),"WARKWORTH")</f>
        <v>WARKWORTH</v>
      </c>
      <c r="D5863" s="3" t="str">
        <f>IFERROR(__xludf.DUMMYFUNCTION("""COMPUTED_VALUE"""),"K0K 3K0")</f>
        <v>K0K 3K0</v>
      </c>
      <c r="E5863" s="3"/>
      <c r="F5863" s="3"/>
      <c r="G5863" s="3"/>
      <c r="H5863" s="3"/>
    </row>
    <row r="5864">
      <c r="A5864" s="2">
        <f>IFERROR(__xludf.DUMMYFUNCTION("""COMPUTED_VALUE"""),61659.0)</f>
        <v>61659</v>
      </c>
      <c r="B5864" s="3" t="str">
        <f>IFERROR(__xludf.DUMMYFUNCTION("""COMPUTED_VALUE"""),"22 DUDLEY RD  ")</f>
        <v>22 DUDLEY RD  </v>
      </c>
      <c r="C5864" s="3" t="str">
        <f>IFERROR(__xludf.DUMMYFUNCTION("""COMPUTED_VALUE"""),"WARKWORTH")</f>
        <v>WARKWORTH</v>
      </c>
      <c r="D5864" s="3" t="str">
        <f>IFERROR(__xludf.DUMMYFUNCTION("""COMPUTED_VALUE"""),"K0K 3K0")</f>
        <v>K0K 3K0</v>
      </c>
      <c r="E5864" s="3" t="str">
        <f>IFERROR(__xludf.DUMMYFUNCTION("""COMPUTED_VALUE"""),"James Cohen")</f>
        <v>James Cohen</v>
      </c>
      <c r="F5864" s="3" t="str">
        <f>IFERROR(__xludf.DUMMYFUNCTION("""COMPUTED_VALUE"""),"jimcohen215@gmail.com")</f>
        <v>jimcohen215@gmail.com</v>
      </c>
      <c r="G5864" s="3"/>
      <c r="H5864" s="3"/>
    </row>
    <row r="5865">
      <c r="A5865" s="2">
        <f>IFERROR(__xludf.DUMMYFUNCTION("""COMPUTED_VALUE"""),61660.0)</f>
        <v>61660</v>
      </c>
      <c r="B5865" s="3" t="str">
        <f>IFERROR(__xludf.DUMMYFUNCTION("""COMPUTED_VALUE"""),"42 DUDLEY RD  ")</f>
        <v>42 DUDLEY RD  </v>
      </c>
      <c r="C5865" s="3" t="str">
        <f>IFERROR(__xludf.DUMMYFUNCTION("""COMPUTED_VALUE"""),"WARKWORTH")</f>
        <v>WARKWORTH</v>
      </c>
      <c r="D5865" s="3" t="str">
        <f>IFERROR(__xludf.DUMMYFUNCTION("""COMPUTED_VALUE"""),"K0K 3K0")</f>
        <v>K0K 3K0</v>
      </c>
      <c r="E5865" s="3"/>
      <c r="F5865" s="3"/>
      <c r="G5865" s="3"/>
      <c r="H5865" s="3"/>
    </row>
    <row r="5866">
      <c r="A5866" s="2">
        <f>IFERROR(__xludf.DUMMYFUNCTION("""COMPUTED_VALUE"""),61661.0)</f>
        <v>61661</v>
      </c>
      <c r="B5866" s="3" t="str">
        <f>IFERROR(__xludf.DUMMYFUNCTION("""COMPUTED_VALUE"""),"100 DUDLEY RD  ")</f>
        <v>100 DUDLEY RD  </v>
      </c>
      <c r="C5866" s="3" t="str">
        <f>IFERROR(__xludf.DUMMYFUNCTION("""COMPUTED_VALUE"""),"WARKWORTH")</f>
        <v>WARKWORTH</v>
      </c>
      <c r="D5866" s="3" t="str">
        <f>IFERROR(__xludf.DUMMYFUNCTION("""COMPUTED_VALUE"""),"K0K 3K0")</f>
        <v>K0K 3K0</v>
      </c>
      <c r="E5866" s="3" t="str">
        <f>IFERROR(__xludf.DUMMYFUNCTION("""COMPUTED_VALUE"""),"emma stapley")</f>
        <v>emma stapley</v>
      </c>
      <c r="F5866" s="3" t="str">
        <f>IFERROR(__xludf.DUMMYFUNCTION("""COMPUTED_VALUE"""),"emmastapley16@gmail.com")</f>
        <v>emmastapley16@gmail.com</v>
      </c>
      <c r="G5866" s="3">
        <f>IFERROR(__xludf.DUMMYFUNCTION("""COMPUTED_VALUE"""),7.056536284E9)</f>
        <v>7056536284</v>
      </c>
      <c r="H5866" s="3"/>
    </row>
    <row r="5867">
      <c r="A5867" s="2">
        <f>IFERROR(__xludf.DUMMYFUNCTION("""COMPUTED_VALUE"""),61642.0)</f>
        <v>61642</v>
      </c>
      <c r="B5867" s="3" t="str">
        <f>IFERROR(__xludf.DUMMYFUNCTION("""COMPUTED_VALUE"""),"16 DIVISION ST  ")</f>
        <v>16 DIVISION ST  </v>
      </c>
      <c r="C5867" s="3" t="str">
        <f>IFERROR(__xludf.DUMMYFUNCTION("""COMPUTED_VALUE"""),"WARKWORTH")</f>
        <v>WARKWORTH</v>
      </c>
      <c r="D5867" s="3" t="str">
        <f>IFERROR(__xludf.DUMMYFUNCTION("""COMPUTED_VALUE"""),"K0K 3K0")</f>
        <v>K0K 3K0</v>
      </c>
      <c r="E5867" s="3" t="str">
        <f>IFERROR(__xludf.DUMMYFUNCTION("""COMPUTED_VALUE"""),"Patrick Toman")</f>
        <v>Patrick Toman</v>
      </c>
      <c r="F5867" s="3" t="str">
        <f>IFERROR(__xludf.DUMMYFUNCTION("""COMPUTED_VALUE"""),"p_t_toman@hotmail.com")</f>
        <v>p_t_toman@hotmail.com</v>
      </c>
      <c r="G5867" s="3">
        <f>IFERROR(__xludf.DUMMYFUNCTION("""COMPUTED_VALUE"""),6.472399659E9)</f>
        <v>6472399659</v>
      </c>
      <c r="H5867" s="3"/>
    </row>
    <row r="5868">
      <c r="A5868" s="2">
        <f>IFERROR(__xludf.DUMMYFUNCTION("""COMPUTED_VALUE"""),61643.0)</f>
        <v>61643</v>
      </c>
      <c r="B5868" s="3" t="str">
        <f>IFERROR(__xludf.DUMMYFUNCTION("""COMPUTED_VALUE"""),"17 DIVISION ST  ")</f>
        <v>17 DIVISION ST  </v>
      </c>
      <c r="C5868" s="3" t="str">
        <f>IFERROR(__xludf.DUMMYFUNCTION("""COMPUTED_VALUE"""),"WARKWORTH")</f>
        <v>WARKWORTH</v>
      </c>
      <c r="D5868" s="3" t="str">
        <f>IFERROR(__xludf.DUMMYFUNCTION("""COMPUTED_VALUE"""),"K0K 3K0")</f>
        <v>K0K 3K0</v>
      </c>
      <c r="E5868" s="3" t="str">
        <f>IFERROR(__xludf.DUMMYFUNCTION("""COMPUTED_VALUE"""),"James Alexander")</f>
        <v>James Alexander</v>
      </c>
      <c r="F5868" s="3" t="str">
        <f>IFERROR(__xludf.DUMMYFUNCTION("""COMPUTED_VALUE"""),"cole24@sympatico.ca")</f>
        <v>cole24@sympatico.ca</v>
      </c>
      <c r="G5868" s="3">
        <f>IFERROR(__xludf.DUMMYFUNCTION("""COMPUTED_VALUE"""),9.058677918E9)</f>
        <v>9058677918</v>
      </c>
      <c r="H5868" s="3">
        <f>IFERROR(__xludf.DUMMYFUNCTION("""COMPUTED_VALUE"""),7.056536846E9)</f>
        <v>7056536846</v>
      </c>
    </row>
    <row r="5869">
      <c r="A5869" s="2">
        <f>IFERROR(__xludf.DUMMYFUNCTION("""COMPUTED_VALUE"""),61652.0)</f>
        <v>61652</v>
      </c>
      <c r="B5869" s="3" t="str">
        <f>IFERROR(__xludf.DUMMYFUNCTION("""COMPUTED_VALUE"""),"6 DOUGLAS ST  ")</f>
        <v>6 DOUGLAS ST  </v>
      </c>
      <c r="C5869" s="3" t="str">
        <f>IFERROR(__xludf.DUMMYFUNCTION("""COMPUTED_VALUE"""),"WARKWORTH")</f>
        <v>WARKWORTH</v>
      </c>
      <c r="D5869" s="3" t="str">
        <f>IFERROR(__xludf.DUMMYFUNCTION("""COMPUTED_VALUE"""),"K0K 3K0")</f>
        <v>K0K 3K0</v>
      </c>
      <c r="E5869" s="3" t="str">
        <f>IFERROR(__xludf.DUMMYFUNCTION("""COMPUTED_VALUE"""),"Darren J Minih")</f>
        <v>Darren J Minih</v>
      </c>
      <c r="F5869" s="3" t="str">
        <f>IFERROR(__xludf.DUMMYFUNCTION("""COMPUTED_VALUE"""),"dirtdigger1970@gmail.com")</f>
        <v>dirtdigger1970@gmail.com</v>
      </c>
      <c r="G5869" s="3"/>
      <c r="H5869" s="3"/>
    </row>
    <row r="5870">
      <c r="A5870" s="2">
        <f>IFERROR(__xludf.DUMMYFUNCTION("""COMPUTED_VALUE"""),61653.0)</f>
        <v>61653</v>
      </c>
      <c r="B5870" s="3" t="str">
        <f>IFERROR(__xludf.DUMMYFUNCTION("""COMPUTED_VALUE"""),"11 DOUGLAS ST  ")</f>
        <v>11 DOUGLAS ST  </v>
      </c>
      <c r="C5870" s="3" t="str">
        <f>IFERROR(__xludf.DUMMYFUNCTION("""COMPUTED_VALUE"""),"WARKWORTH")</f>
        <v>WARKWORTH</v>
      </c>
      <c r="D5870" s="3" t="str">
        <f>IFERROR(__xludf.DUMMYFUNCTION("""COMPUTED_VALUE"""),"K0K 3K0")</f>
        <v>K0K 3K0</v>
      </c>
      <c r="E5870" s="3"/>
      <c r="F5870" s="3"/>
      <c r="G5870" s="3"/>
      <c r="H5870" s="3"/>
    </row>
    <row r="5871">
      <c r="A5871" s="2">
        <f>IFERROR(__xludf.DUMMYFUNCTION("""COMPUTED_VALUE"""),61654.0)</f>
        <v>61654</v>
      </c>
      <c r="B5871" s="3" t="str">
        <f>IFERROR(__xludf.DUMMYFUNCTION("""COMPUTED_VALUE"""),"14 DOUGLAS ST  ")</f>
        <v>14 DOUGLAS ST  </v>
      </c>
      <c r="C5871" s="3" t="str">
        <f>IFERROR(__xludf.DUMMYFUNCTION("""COMPUTED_VALUE"""),"WARKWORTH")</f>
        <v>WARKWORTH</v>
      </c>
      <c r="D5871" s="3" t="str">
        <f>IFERROR(__xludf.DUMMYFUNCTION("""COMPUTED_VALUE"""),"K0K 3K0")</f>
        <v>K0K 3K0</v>
      </c>
      <c r="E5871" s="3" t="str">
        <f>IFERROR(__xludf.DUMMYFUNCTION("""COMPUTED_VALUE"""),"sandra pearson")</f>
        <v>sandra pearson</v>
      </c>
      <c r="F5871" s="3" t="str">
        <f>IFERROR(__xludf.DUMMYFUNCTION("""COMPUTED_VALUE"""),"sannanny941@gmail.com")</f>
        <v>sannanny941@gmail.com</v>
      </c>
      <c r="G5871" s="3">
        <f>IFERROR(__xludf.DUMMYFUNCTION("""COMPUTED_VALUE"""),7.058684471E9)</f>
        <v>7058684471</v>
      </c>
      <c r="H5871" s="3"/>
    </row>
    <row r="5872">
      <c r="A5872" s="2">
        <f>IFERROR(__xludf.DUMMYFUNCTION("""COMPUTED_VALUE"""),61655.0)</f>
        <v>61655</v>
      </c>
      <c r="B5872" s="3" t="str">
        <f>IFERROR(__xludf.DUMMYFUNCTION("""COMPUTED_VALUE"""),"17 DOUGLAS ST  ")</f>
        <v>17 DOUGLAS ST  </v>
      </c>
      <c r="C5872" s="3" t="str">
        <f>IFERROR(__xludf.DUMMYFUNCTION("""COMPUTED_VALUE"""),"WARKWORTH")</f>
        <v>WARKWORTH</v>
      </c>
      <c r="D5872" s="3" t="str">
        <f>IFERROR(__xludf.DUMMYFUNCTION("""COMPUTED_VALUE"""),"K0K 3K0")</f>
        <v>K0K 3K0</v>
      </c>
      <c r="E5872" s="3"/>
      <c r="F5872" s="3"/>
      <c r="G5872" s="3"/>
      <c r="H5872" s="3"/>
    </row>
    <row r="5873">
      <c r="A5873" s="2">
        <f>IFERROR(__xludf.DUMMYFUNCTION("""COMPUTED_VALUE"""),61656.0)</f>
        <v>61656</v>
      </c>
      <c r="B5873" s="3" t="str">
        <f>IFERROR(__xludf.DUMMYFUNCTION("""COMPUTED_VALUE"""),"18 DOUGLAS ST  ")</f>
        <v>18 DOUGLAS ST  </v>
      </c>
      <c r="C5873" s="3" t="str">
        <f>IFERROR(__xludf.DUMMYFUNCTION("""COMPUTED_VALUE"""),"WARKWORTH")</f>
        <v>WARKWORTH</v>
      </c>
      <c r="D5873" s="3" t="str">
        <f>IFERROR(__xludf.DUMMYFUNCTION("""COMPUTED_VALUE"""),"K0K 3K0")</f>
        <v>K0K 3K0</v>
      </c>
      <c r="E5873" s="3" t="str">
        <f>IFERROR(__xludf.DUMMYFUNCTION("""COMPUTED_VALUE"""),"Stuart Watson")</f>
        <v>Stuart Watson</v>
      </c>
      <c r="F5873" s="3"/>
      <c r="G5873" s="3"/>
      <c r="H5873" s="3"/>
    </row>
    <row r="5874">
      <c r="A5874" s="2">
        <f>IFERROR(__xludf.DUMMYFUNCTION("""COMPUTED_VALUE"""),62026.0)</f>
        <v>62026</v>
      </c>
      <c r="B5874" s="3" t="str">
        <f>IFERROR(__xludf.DUMMYFUNCTION("""COMPUTED_VALUE"""),"4 GRAVEL RD  ")</f>
        <v>4 GRAVEL RD  </v>
      </c>
      <c r="C5874" s="3" t="str">
        <f>IFERROR(__xludf.DUMMYFUNCTION("""COMPUTED_VALUE"""),"WARKWORTH")</f>
        <v>WARKWORTH</v>
      </c>
      <c r="D5874" s="3" t="str">
        <f>IFERROR(__xludf.DUMMYFUNCTION("""COMPUTED_VALUE"""),"K0K 3K0")</f>
        <v>K0K 3K0</v>
      </c>
      <c r="E5874" s="3"/>
      <c r="F5874" s="3"/>
      <c r="G5874" s="3"/>
      <c r="H5874" s="3"/>
    </row>
    <row r="5875">
      <c r="A5875" s="2">
        <f>IFERROR(__xludf.DUMMYFUNCTION("""COMPUTED_VALUE"""),62027.0)</f>
        <v>62027</v>
      </c>
      <c r="B5875" s="3" t="str">
        <f>IFERROR(__xludf.DUMMYFUNCTION("""COMPUTED_VALUE"""),"7 GRAVEL RD  ")</f>
        <v>7 GRAVEL RD  </v>
      </c>
      <c r="C5875" s="3" t="str">
        <f>IFERROR(__xludf.DUMMYFUNCTION("""COMPUTED_VALUE"""),"WARKWORTH")</f>
        <v>WARKWORTH</v>
      </c>
      <c r="D5875" s="3" t="str">
        <f>IFERROR(__xludf.DUMMYFUNCTION("""COMPUTED_VALUE"""),"K0K 3K0")</f>
        <v>K0K 3K0</v>
      </c>
      <c r="E5875" s="3" t="str">
        <f>IFERROR(__xludf.DUMMYFUNCTION("""COMPUTED_VALUE"""),"Bruno Milne")</f>
        <v>Bruno Milne</v>
      </c>
      <c r="F5875" s="3"/>
      <c r="G5875" s="3"/>
      <c r="H5875" s="3"/>
    </row>
    <row r="5876">
      <c r="A5876" s="2">
        <f>IFERROR(__xludf.DUMMYFUNCTION("""COMPUTED_VALUE"""),62028.0)</f>
        <v>62028</v>
      </c>
      <c r="B5876" s="3" t="str">
        <f>IFERROR(__xludf.DUMMYFUNCTION("""COMPUTED_VALUE"""),"10 GRAVEL RD  ")</f>
        <v>10 GRAVEL RD  </v>
      </c>
      <c r="C5876" s="3" t="str">
        <f>IFERROR(__xludf.DUMMYFUNCTION("""COMPUTED_VALUE"""),"WARKWORTH")</f>
        <v>WARKWORTH</v>
      </c>
      <c r="D5876" s="3" t="str">
        <f>IFERROR(__xludf.DUMMYFUNCTION("""COMPUTED_VALUE"""),"K0K 3K0")</f>
        <v>K0K 3K0</v>
      </c>
      <c r="E5876" s="3"/>
      <c r="F5876" s="3"/>
      <c r="G5876" s="3"/>
      <c r="H5876" s="3"/>
    </row>
    <row r="5877">
      <c r="A5877" s="2">
        <f>IFERROR(__xludf.DUMMYFUNCTION("""COMPUTED_VALUE"""),62029.0)</f>
        <v>62029</v>
      </c>
      <c r="B5877" s="3" t="str">
        <f>IFERROR(__xludf.DUMMYFUNCTION("""COMPUTED_VALUE"""),"21 GRAVEL RD  ")</f>
        <v>21 GRAVEL RD  </v>
      </c>
      <c r="C5877" s="3" t="str">
        <f>IFERROR(__xludf.DUMMYFUNCTION("""COMPUTED_VALUE"""),"WARKWORTH")</f>
        <v>WARKWORTH</v>
      </c>
      <c r="D5877" s="3" t="str">
        <f>IFERROR(__xludf.DUMMYFUNCTION("""COMPUTED_VALUE"""),"K0K 3K0")</f>
        <v>K0K 3K0</v>
      </c>
      <c r="E5877" s="3" t="str">
        <f>IFERROR(__xludf.DUMMYFUNCTION("""COMPUTED_VALUE"""),"Mark Buttars")</f>
        <v>Mark Buttars</v>
      </c>
      <c r="F5877" s="3" t="str">
        <f>IFERROR(__xludf.DUMMYFUNCTION("""COMPUTED_VALUE"""),"mk766t@gmail.com")</f>
        <v>mk766t@gmail.com</v>
      </c>
      <c r="G5877" s="3"/>
      <c r="H5877" s="3"/>
    </row>
    <row r="5878">
      <c r="A5878" s="2">
        <f>IFERROR(__xludf.DUMMYFUNCTION("""COMPUTED_VALUE"""),62030.0)</f>
        <v>62030</v>
      </c>
      <c r="B5878" s="3" t="str">
        <f>IFERROR(__xludf.DUMMYFUNCTION("""COMPUTED_VALUE"""),"22 GRAVEL RD  ")</f>
        <v>22 GRAVEL RD  </v>
      </c>
      <c r="C5878" s="3" t="str">
        <f>IFERROR(__xludf.DUMMYFUNCTION("""COMPUTED_VALUE"""),"WARKWORTH")</f>
        <v>WARKWORTH</v>
      </c>
      <c r="D5878" s="3" t="str">
        <f>IFERROR(__xludf.DUMMYFUNCTION("""COMPUTED_VALUE"""),"K0K 3K0")</f>
        <v>K0K 3K0</v>
      </c>
      <c r="E5878" s="3" t="str">
        <f>IFERROR(__xludf.DUMMYFUNCTION("""COMPUTED_VALUE"""),"Ella Heatherop")</f>
        <v>Ella Heatherop</v>
      </c>
      <c r="F5878" s="3"/>
      <c r="G5878" s="3"/>
      <c r="H5878" s="3"/>
    </row>
    <row r="5879">
      <c r="A5879" s="2">
        <f>IFERROR(__xludf.DUMMYFUNCTION("""COMPUTED_VALUE"""),62031.0)</f>
        <v>62031</v>
      </c>
      <c r="B5879" s="3" t="str">
        <f>IFERROR(__xludf.DUMMYFUNCTION("""COMPUTED_VALUE"""),"23 GRAVEL RD  ")</f>
        <v>23 GRAVEL RD  </v>
      </c>
      <c r="C5879" s="3" t="str">
        <f>IFERROR(__xludf.DUMMYFUNCTION("""COMPUTED_VALUE"""),"WARKWORTH")</f>
        <v>WARKWORTH</v>
      </c>
      <c r="D5879" s="3" t="str">
        <f>IFERROR(__xludf.DUMMYFUNCTION("""COMPUTED_VALUE"""),"K0K 3K0")</f>
        <v>K0K 3K0</v>
      </c>
      <c r="E5879" s="3"/>
      <c r="F5879" s="3"/>
      <c r="G5879" s="3"/>
      <c r="H5879" s="3"/>
    </row>
    <row r="5880">
      <c r="A5880" s="2">
        <f>IFERROR(__xludf.DUMMYFUNCTION("""COMPUTED_VALUE"""),62032.0)</f>
        <v>62032</v>
      </c>
      <c r="B5880" s="3" t="str">
        <f>IFERROR(__xludf.DUMMYFUNCTION("""COMPUTED_VALUE"""),"25 GRAVEL RD  ")</f>
        <v>25 GRAVEL RD  </v>
      </c>
      <c r="C5880" s="3" t="str">
        <f>IFERROR(__xludf.DUMMYFUNCTION("""COMPUTED_VALUE"""),"WARKWORTH")</f>
        <v>WARKWORTH</v>
      </c>
      <c r="D5880" s="3" t="str">
        <f>IFERROR(__xludf.DUMMYFUNCTION("""COMPUTED_VALUE"""),"K0K 3K0")</f>
        <v>K0K 3K0</v>
      </c>
      <c r="E5880" s="3" t="str">
        <f>IFERROR(__xludf.DUMMYFUNCTION("""COMPUTED_VALUE"""),"Dominic Morrocco")</f>
        <v>Dominic Morrocco</v>
      </c>
      <c r="F5880" s="3" t="str">
        <f>IFERROR(__xludf.DUMMYFUNCTION("""COMPUTED_VALUE"""),"dmorrocco@alumnitrentu.ca")</f>
        <v>dmorrocco@alumnitrentu.ca</v>
      </c>
      <c r="G5880" s="3"/>
      <c r="H5880" s="3"/>
    </row>
    <row r="5881">
      <c r="A5881" s="2">
        <f>IFERROR(__xludf.DUMMYFUNCTION("""COMPUTED_VALUE"""),63071.0)</f>
        <v>63071</v>
      </c>
      <c r="B5881" s="3" t="str">
        <f>IFERROR(__xludf.DUMMYFUNCTION("""COMPUTED_VALUE"""),"4 PLATT RD  ")</f>
        <v>4 PLATT RD  </v>
      </c>
      <c r="C5881" s="3" t="str">
        <f>IFERROR(__xludf.DUMMYFUNCTION("""COMPUTED_VALUE"""),"WARKWORTH")</f>
        <v>WARKWORTH</v>
      </c>
      <c r="D5881" s="3" t="str">
        <f>IFERROR(__xludf.DUMMYFUNCTION("""COMPUTED_VALUE"""),"K0K 3K0")</f>
        <v>K0K 3K0</v>
      </c>
      <c r="E5881" s="3"/>
      <c r="F5881" s="3"/>
      <c r="G5881" s="3"/>
      <c r="H5881" s="3"/>
    </row>
    <row r="5882">
      <c r="A5882" s="2">
        <f>IFERROR(__xludf.DUMMYFUNCTION("""COMPUTED_VALUE"""),63072.0)</f>
        <v>63072</v>
      </c>
      <c r="B5882" s="3" t="str">
        <f>IFERROR(__xludf.DUMMYFUNCTION("""COMPUTED_VALUE"""),"21 PLATT RD  ")</f>
        <v>21 PLATT RD  </v>
      </c>
      <c r="C5882" s="3" t="str">
        <f>IFERROR(__xludf.DUMMYFUNCTION("""COMPUTED_VALUE"""),"WARKWORTH")</f>
        <v>WARKWORTH</v>
      </c>
      <c r="D5882" s="3" t="str">
        <f>IFERROR(__xludf.DUMMYFUNCTION("""COMPUTED_VALUE"""),"K0K 3K0")</f>
        <v>K0K 3K0</v>
      </c>
      <c r="E5882" s="3" t="str">
        <f>IFERROR(__xludf.DUMMYFUNCTION("""COMPUTED_VALUE"""),"linda&amp;charlie hoard")</f>
        <v>linda&amp;charlie hoard</v>
      </c>
      <c r="F5882" s="3" t="str">
        <f>IFERROR(__xludf.DUMMYFUNCTION("""COMPUTED_VALUE"""),"linda_toms@hotmail.com")</f>
        <v>linda_toms@hotmail.com</v>
      </c>
      <c r="G5882" s="3">
        <f>IFERROR(__xludf.DUMMYFUNCTION("""COMPUTED_VALUE"""),7.056537011E9)</f>
        <v>7056537011</v>
      </c>
      <c r="H5882" s="3">
        <f>IFERROR(__xludf.DUMMYFUNCTION("""COMPUTED_VALUE"""),4.163181217E9)</f>
        <v>4163181217</v>
      </c>
    </row>
    <row r="5883">
      <c r="A5883" s="2">
        <f>IFERROR(__xludf.DUMMYFUNCTION("""COMPUTED_VALUE"""),63073.0)</f>
        <v>63073</v>
      </c>
      <c r="B5883" s="3" t="str">
        <f>IFERROR(__xludf.DUMMYFUNCTION("""COMPUTED_VALUE"""),"51 PLATT RD  ")</f>
        <v>51 PLATT RD  </v>
      </c>
      <c r="C5883" s="3" t="str">
        <f>IFERROR(__xludf.DUMMYFUNCTION("""COMPUTED_VALUE"""),"WARKWORTH")</f>
        <v>WARKWORTH</v>
      </c>
      <c r="D5883" s="3" t="str">
        <f>IFERROR(__xludf.DUMMYFUNCTION("""COMPUTED_VALUE"""),"K0K 3K0")</f>
        <v>K0K 3K0</v>
      </c>
      <c r="E5883" s="3" t="str">
        <f>IFERROR(__xludf.DUMMYFUNCTION("""COMPUTED_VALUE"""),"Roy Haig ")</f>
        <v>Roy Haig </v>
      </c>
      <c r="F5883" s="3" t="str">
        <f>IFERROR(__xludf.DUMMYFUNCTION("""COMPUTED_VALUE"""),"rhaig63@gmail.com")</f>
        <v>rhaig63@gmail.com</v>
      </c>
      <c r="G5883" s="3">
        <f>IFERROR(__xludf.DUMMYFUNCTION("""COMPUTED_VALUE"""),7.058757199E9)</f>
        <v>7058757199</v>
      </c>
      <c r="H5883" s="3"/>
    </row>
    <row r="5884">
      <c r="A5884" s="2">
        <f>IFERROR(__xludf.DUMMYFUNCTION("""COMPUTED_VALUE"""),62033.0)</f>
        <v>62033</v>
      </c>
      <c r="B5884" s="3" t="str">
        <f>IFERROR(__xludf.DUMMYFUNCTION("""COMPUTED_VALUE"""),"27 GRAVEL RD  ")</f>
        <v>27 GRAVEL RD  </v>
      </c>
      <c r="C5884" s="3" t="str">
        <f>IFERROR(__xludf.DUMMYFUNCTION("""COMPUTED_VALUE"""),"WARKWORTH")</f>
        <v>WARKWORTH</v>
      </c>
      <c r="D5884" s="3" t="str">
        <f>IFERROR(__xludf.DUMMYFUNCTION("""COMPUTED_VALUE"""),"K0K 3K0")</f>
        <v>K0K 3K0</v>
      </c>
      <c r="E5884" s="3"/>
      <c r="F5884" s="3"/>
      <c r="G5884" s="3"/>
      <c r="H5884" s="3"/>
    </row>
    <row r="5885">
      <c r="A5885" s="2">
        <f>IFERROR(__xludf.DUMMYFUNCTION("""COMPUTED_VALUE"""),62034.0)</f>
        <v>62034</v>
      </c>
      <c r="B5885" s="3" t="str">
        <f>IFERROR(__xludf.DUMMYFUNCTION("""COMPUTED_VALUE"""),"37 GRAVEL RD  ")</f>
        <v>37 GRAVEL RD  </v>
      </c>
      <c r="C5885" s="3" t="str">
        <f>IFERROR(__xludf.DUMMYFUNCTION("""COMPUTED_VALUE"""),"WARKWORTH")</f>
        <v>WARKWORTH</v>
      </c>
      <c r="D5885" s="3" t="str">
        <f>IFERROR(__xludf.DUMMYFUNCTION("""COMPUTED_VALUE"""),"K0K 3K0")</f>
        <v>K0K 3K0</v>
      </c>
      <c r="E5885" s="3"/>
      <c r="F5885" s="3"/>
      <c r="G5885" s="3"/>
      <c r="H5885" s="3"/>
    </row>
    <row r="5886">
      <c r="A5886" s="2">
        <f>IFERROR(__xludf.DUMMYFUNCTION("""COMPUTED_VALUE"""),62035.0)</f>
        <v>62035</v>
      </c>
      <c r="B5886" s="3" t="str">
        <f>IFERROR(__xludf.DUMMYFUNCTION("""COMPUTED_VALUE"""),"42 GRAVEL RD  ")</f>
        <v>42 GRAVEL RD  </v>
      </c>
      <c r="C5886" s="3" t="str">
        <f>IFERROR(__xludf.DUMMYFUNCTION("""COMPUTED_VALUE"""),"WARKWORTH")</f>
        <v>WARKWORTH</v>
      </c>
      <c r="D5886" s="3" t="str">
        <f>IFERROR(__xludf.DUMMYFUNCTION("""COMPUTED_VALUE"""),"K0K 3K0")</f>
        <v>K0K 3K0</v>
      </c>
      <c r="E5886" s="3" t="str">
        <f>IFERROR(__xludf.DUMMYFUNCTION("""COMPUTED_VALUE"""),"Ben Van Hoerelen")</f>
        <v>Ben Van Hoerelen</v>
      </c>
      <c r="F5886" s="3" t="str">
        <f>IFERROR(__xludf.DUMMYFUNCTION("""COMPUTED_VALUE"""),"vanhoereleng@hotmail.com")</f>
        <v>vanhoereleng@hotmail.com</v>
      </c>
      <c r="G5886" s="3"/>
      <c r="H5886" s="3"/>
    </row>
    <row r="5887">
      <c r="A5887" s="2">
        <f>IFERROR(__xludf.DUMMYFUNCTION("""COMPUTED_VALUE"""),62036.0)</f>
        <v>62036</v>
      </c>
      <c r="B5887" s="3" t="str">
        <f>IFERROR(__xludf.DUMMYFUNCTION("""COMPUTED_VALUE"""),"44 GRAVEL RD  ")</f>
        <v>44 GRAVEL RD  </v>
      </c>
      <c r="C5887" s="3" t="str">
        <f>IFERROR(__xludf.DUMMYFUNCTION("""COMPUTED_VALUE"""),"WARKWORTH")</f>
        <v>WARKWORTH</v>
      </c>
      <c r="D5887" s="3" t="str">
        <f>IFERROR(__xludf.DUMMYFUNCTION("""COMPUTED_VALUE"""),"K0K 3K0")</f>
        <v>K0K 3K0</v>
      </c>
      <c r="E5887" s="3"/>
      <c r="F5887" s="3"/>
      <c r="G5887" s="3"/>
      <c r="H5887" s="3"/>
    </row>
    <row r="5888">
      <c r="A5888" s="2">
        <f>IFERROR(__xludf.DUMMYFUNCTION("""COMPUTED_VALUE"""),62037.0)</f>
        <v>62037</v>
      </c>
      <c r="B5888" s="3" t="str">
        <f>IFERROR(__xludf.DUMMYFUNCTION("""COMPUTED_VALUE"""),"45 GRAVEL RD  ")</f>
        <v>45 GRAVEL RD  </v>
      </c>
      <c r="C5888" s="3" t="str">
        <f>IFERROR(__xludf.DUMMYFUNCTION("""COMPUTED_VALUE"""),"WARKWORTH")</f>
        <v>WARKWORTH</v>
      </c>
      <c r="D5888" s="3" t="str">
        <f>IFERROR(__xludf.DUMMYFUNCTION("""COMPUTED_VALUE"""),"K0K 3K0")</f>
        <v>K0K 3K0</v>
      </c>
      <c r="E5888" s="3" t="str">
        <f>IFERROR(__xludf.DUMMYFUNCTION("""COMPUTED_VALUE"""),"Matthew Tippet")</f>
        <v>Matthew Tippet</v>
      </c>
      <c r="F5888" s="3"/>
      <c r="G5888" s="3"/>
      <c r="H5888" s="3"/>
    </row>
    <row r="5889">
      <c r="A5889" s="2">
        <f>IFERROR(__xludf.DUMMYFUNCTION("""COMPUTED_VALUE"""),62038.0)</f>
        <v>62038</v>
      </c>
      <c r="B5889" s="3" t="str">
        <f>IFERROR(__xludf.DUMMYFUNCTION("""COMPUTED_VALUE"""),"48 GRAVEL RD  ")</f>
        <v>48 GRAVEL RD  </v>
      </c>
      <c r="C5889" s="3" t="str">
        <f>IFERROR(__xludf.DUMMYFUNCTION("""COMPUTED_VALUE"""),"WARKWORTH")</f>
        <v>WARKWORTH</v>
      </c>
      <c r="D5889" s="3" t="str">
        <f>IFERROR(__xludf.DUMMYFUNCTION("""COMPUTED_VALUE"""),"K0K 3K0")</f>
        <v>K0K 3K0</v>
      </c>
      <c r="E5889" s="3" t="str">
        <f>IFERROR(__xludf.DUMMYFUNCTION("""COMPUTED_VALUE"""),"Mary Hunter")</f>
        <v>Mary Hunter</v>
      </c>
      <c r="F5889" s="3" t="str">
        <f>IFERROR(__xludf.DUMMYFUNCTION("""COMPUTED_VALUE"""),"maryhunter.316@yahoo.com")</f>
        <v>maryhunter.316@yahoo.com</v>
      </c>
      <c r="G5889" s="3"/>
      <c r="H5889" s="3"/>
    </row>
    <row r="5890">
      <c r="A5890" s="2">
        <f>IFERROR(__xludf.DUMMYFUNCTION("""COMPUTED_VALUE"""),62039.0)</f>
        <v>62039</v>
      </c>
      <c r="B5890" s="3" t="str">
        <f>IFERROR(__xludf.DUMMYFUNCTION("""COMPUTED_VALUE"""),"50 GRAVEL RD  ")</f>
        <v>50 GRAVEL RD  </v>
      </c>
      <c r="C5890" s="3" t="str">
        <f>IFERROR(__xludf.DUMMYFUNCTION("""COMPUTED_VALUE"""),"WARKWORTH")</f>
        <v>WARKWORTH</v>
      </c>
      <c r="D5890" s="3" t="str">
        <f>IFERROR(__xludf.DUMMYFUNCTION("""COMPUTED_VALUE"""),"K0K 3K0")</f>
        <v>K0K 3K0</v>
      </c>
      <c r="E5890" s="3" t="str">
        <f>IFERROR(__xludf.DUMMYFUNCTION("""COMPUTED_VALUE"""),"grant boswell")</f>
        <v>grant boswell</v>
      </c>
      <c r="F5890" s="3"/>
      <c r="G5890" s="3">
        <f>IFERROR(__xludf.DUMMYFUNCTION("""COMPUTED_VALUE"""),4.169379629E9)</f>
        <v>4169379629</v>
      </c>
      <c r="H5890" s="3">
        <f>IFERROR(__xludf.DUMMYFUNCTION("""COMPUTED_VALUE"""),7.059243098E9)</f>
        <v>7059243098</v>
      </c>
    </row>
    <row r="5891">
      <c r="A5891" s="2">
        <f>IFERROR(__xludf.DUMMYFUNCTION("""COMPUTED_VALUE"""),62040.0)</f>
        <v>62040</v>
      </c>
      <c r="B5891" s="3" t="str">
        <f>IFERROR(__xludf.DUMMYFUNCTION("""COMPUTED_VALUE"""),"52 GRAVEL RD  ")</f>
        <v>52 GRAVEL RD  </v>
      </c>
      <c r="C5891" s="3" t="str">
        <f>IFERROR(__xludf.DUMMYFUNCTION("""COMPUTED_VALUE"""),"WARKWORTH")</f>
        <v>WARKWORTH</v>
      </c>
      <c r="D5891" s="3" t="str">
        <f>IFERROR(__xludf.DUMMYFUNCTION("""COMPUTED_VALUE"""),"K0K 3K0")</f>
        <v>K0K 3K0</v>
      </c>
      <c r="E5891" s="3"/>
      <c r="F5891" s="3"/>
      <c r="G5891" s="3"/>
      <c r="H5891" s="3"/>
    </row>
    <row r="5892">
      <c r="A5892" s="2">
        <f>IFERROR(__xludf.DUMMYFUNCTION("""COMPUTED_VALUE"""),62041.0)</f>
        <v>62041</v>
      </c>
      <c r="B5892" s="3" t="str">
        <f>IFERROR(__xludf.DUMMYFUNCTION("""COMPUTED_VALUE"""),"57 GRAVEL RD  ")</f>
        <v>57 GRAVEL RD  </v>
      </c>
      <c r="C5892" s="3" t="str">
        <f>IFERROR(__xludf.DUMMYFUNCTION("""COMPUTED_VALUE"""),"WARKWORTH")</f>
        <v>WARKWORTH</v>
      </c>
      <c r="D5892" s="3" t="str">
        <f>IFERROR(__xludf.DUMMYFUNCTION("""COMPUTED_VALUE"""),"K0K 3K0")</f>
        <v>K0K 3K0</v>
      </c>
      <c r="E5892" s="3" t="str">
        <f>IFERROR(__xludf.DUMMYFUNCTION("""COMPUTED_VALUE"""),"Tucker Alice")</f>
        <v>Tucker Alice</v>
      </c>
      <c r="F5892" s="3"/>
      <c r="G5892" s="3"/>
      <c r="H5892" s="3"/>
    </row>
    <row r="5893">
      <c r="A5893" s="2">
        <f>IFERROR(__xludf.DUMMYFUNCTION("""COMPUTED_VALUE"""),62042.0)</f>
        <v>62042</v>
      </c>
      <c r="B5893" s="3" t="str">
        <f>IFERROR(__xludf.DUMMYFUNCTION("""COMPUTED_VALUE"""),"65 GRAVEL RD  ")</f>
        <v>65 GRAVEL RD  </v>
      </c>
      <c r="C5893" s="3" t="str">
        <f>IFERROR(__xludf.DUMMYFUNCTION("""COMPUTED_VALUE"""),"WARKWORTH")</f>
        <v>WARKWORTH</v>
      </c>
      <c r="D5893" s="3" t="str">
        <f>IFERROR(__xludf.DUMMYFUNCTION("""COMPUTED_VALUE"""),"K0K 3K0")</f>
        <v>K0K 3K0</v>
      </c>
      <c r="E5893" s="3" t="str">
        <f>IFERROR(__xludf.DUMMYFUNCTION("""COMPUTED_VALUE"""),"Desmond Cox")</f>
        <v>Desmond Cox</v>
      </c>
      <c r="F5893" s="3"/>
      <c r="G5893" s="3"/>
      <c r="H5893" s="3"/>
    </row>
    <row r="5894">
      <c r="A5894" s="2">
        <f>IFERROR(__xludf.DUMMYFUNCTION("""COMPUTED_VALUE"""),62043.0)</f>
        <v>62043</v>
      </c>
      <c r="B5894" s="3" t="str">
        <f>IFERROR(__xludf.DUMMYFUNCTION("""COMPUTED_VALUE"""),"70 GRAVEL RD  ")</f>
        <v>70 GRAVEL RD  </v>
      </c>
      <c r="C5894" s="3" t="str">
        <f>IFERROR(__xludf.DUMMYFUNCTION("""COMPUTED_VALUE"""),"WARKWORTH")</f>
        <v>WARKWORTH</v>
      </c>
      <c r="D5894" s="3" t="str">
        <f>IFERROR(__xludf.DUMMYFUNCTION("""COMPUTED_VALUE"""),"K0K 3K0")</f>
        <v>K0K 3K0</v>
      </c>
      <c r="E5894" s="3" t="str">
        <f>IFERROR(__xludf.DUMMYFUNCTION("""COMPUTED_VALUE"""),"Randy Newman")</f>
        <v>Randy Newman</v>
      </c>
      <c r="F5894" s="3" t="str">
        <f>IFERROR(__xludf.DUMMYFUNCTION("""COMPUTED_VALUE"""),"randy-newman@outlook.com")</f>
        <v>randy-newman@outlook.com</v>
      </c>
      <c r="G5894" s="3">
        <f>IFERROR(__xludf.DUMMYFUNCTION("""COMPUTED_VALUE"""),7.056537603E9)</f>
        <v>7056537603</v>
      </c>
      <c r="H5894" s="3"/>
    </row>
    <row r="5895">
      <c r="A5895" s="2">
        <f>IFERROR(__xludf.DUMMYFUNCTION("""COMPUTED_VALUE"""),62044.0)</f>
        <v>62044</v>
      </c>
      <c r="B5895" s="3" t="str">
        <f>IFERROR(__xludf.DUMMYFUNCTION("""COMPUTED_VALUE"""),"118 GRAVEL RD  ")</f>
        <v>118 GRAVEL RD  </v>
      </c>
      <c r="C5895" s="3" t="str">
        <f>IFERROR(__xludf.DUMMYFUNCTION("""COMPUTED_VALUE"""),"WARKWORTH")</f>
        <v>WARKWORTH</v>
      </c>
      <c r="D5895" s="3" t="str">
        <f>IFERROR(__xludf.DUMMYFUNCTION("""COMPUTED_VALUE"""),"K0K 3K0")</f>
        <v>K0K 3K0</v>
      </c>
      <c r="E5895" s="3" t="str">
        <f>IFERROR(__xludf.DUMMYFUNCTION("""COMPUTED_VALUE"""),"WAYNE GEVEKOTH")</f>
        <v>WAYNE GEVEKOTH</v>
      </c>
      <c r="F5895" s="3" t="str">
        <f>IFERROR(__xludf.DUMMYFUNCTION("""COMPUTED_VALUE"""),"wgevekoth@yahoo.com")</f>
        <v>wgevekoth@yahoo.com</v>
      </c>
      <c r="G5895" s="3"/>
      <c r="H5895" s="3"/>
    </row>
    <row r="5896">
      <c r="A5896" s="2">
        <f>IFERROR(__xludf.DUMMYFUNCTION("""COMPUTED_VALUE"""),62045.0)</f>
        <v>62045</v>
      </c>
      <c r="B5896" s="3" t="str">
        <f>IFERROR(__xludf.DUMMYFUNCTION("""COMPUTED_VALUE"""),"122 GRAVEL RD  ")</f>
        <v>122 GRAVEL RD  </v>
      </c>
      <c r="C5896" s="3" t="str">
        <f>IFERROR(__xludf.DUMMYFUNCTION("""COMPUTED_VALUE"""),"WARKWORTH")</f>
        <v>WARKWORTH</v>
      </c>
      <c r="D5896" s="3" t="str">
        <f>IFERROR(__xludf.DUMMYFUNCTION("""COMPUTED_VALUE"""),"K0K 3K0")</f>
        <v>K0K 3K0</v>
      </c>
      <c r="E5896" s="3" t="str">
        <f>IFERROR(__xludf.DUMMYFUNCTION("""COMPUTED_VALUE"""),"Kerry Watson")</f>
        <v>Kerry Watson</v>
      </c>
      <c r="F5896" s="3" t="str">
        <f>IFERROR(__xludf.DUMMYFUNCTION("""COMPUTED_VALUE"""),"kerryjwatson@yahoo.com")</f>
        <v>kerryjwatson@yahoo.com</v>
      </c>
      <c r="G5896" s="3">
        <f>IFERROR(__xludf.DUMMYFUNCTION("""COMPUTED_VALUE"""),7.059241848E9)</f>
        <v>7059241848</v>
      </c>
      <c r="H5896" s="3">
        <f>IFERROR(__xludf.DUMMYFUNCTION("""COMPUTED_VALUE"""),7.059171849E9)</f>
        <v>7059171849</v>
      </c>
    </row>
    <row r="5897">
      <c r="A5897" s="2">
        <f>IFERROR(__xludf.DUMMYFUNCTION("""COMPUTED_VALUE"""),62964.0)</f>
        <v>62964</v>
      </c>
      <c r="B5897" s="3" t="str">
        <f>IFERROR(__xludf.DUMMYFUNCTION("""COMPUTED_VALUE"""),"321 PERCY BOOM RD  ")</f>
        <v>321 PERCY BOOM RD  </v>
      </c>
      <c r="C5897" s="3" t="str">
        <f>IFERROR(__xludf.DUMMYFUNCTION("""COMPUTED_VALUE"""),"CAMPBELLFORD")</f>
        <v>CAMPBELLFORD</v>
      </c>
      <c r="D5897" s="3" t="str">
        <f>IFERROR(__xludf.DUMMYFUNCTION("""COMPUTED_VALUE"""),"K0L 1L0")</f>
        <v>K0L 1L0</v>
      </c>
      <c r="E5897" s="3"/>
      <c r="F5897" s="3"/>
      <c r="G5897" s="3"/>
      <c r="H5897" s="3"/>
    </row>
    <row r="5898">
      <c r="A5898" s="2">
        <f>IFERROR(__xludf.DUMMYFUNCTION("""COMPUTED_VALUE"""),62965.0)</f>
        <v>62965</v>
      </c>
      <c r="B5898" s="3" t="str">
        <f>IFERROR(__xludf.DUMMYFUNCTION("""COMPUTED_VALUE"""),"323 PERCY BOOM RD  ")</f>
        <v>323 PERCY BOOM RD  </v>
      </c>
      <c r="C5898" s="3" t="str">
        <f>IFERROR(__xludf.DUMMYFUNCTION("""COMPUTED_VALUE"""),"CAMPBELLFORD")</f>
        <v>CAMPBELLFORD</v>
      </c>
      <c r="D5898" s="3" t="str">
        <f>IFERROR(__xludf.DUMMYFUNCTION("""COMPUTED_VALUE"""),"K0L 1L0")</f>
        <v>K0L 1L0</v>
      </c>
      <c r="E5898" s="3"/>
      <c r="F5898" s="3"/>
      <c r="G5898" s="3"/>
      <c r="H5898" s="3"/>
    </row>
    <row r="5899">
      <c r="A5899" s="2">
        <f>IFERROR(__xludf.DUMMYFUNCTION("""COMPUTED_VALUE"""),62966.0)</f>
        <v>62966</v>
      </c>
      <c r="B5899" s="3" t="str">
        <f>IFERROR(__xludf.DUMMYFUNCTION("""COMPUTED_VALUE"""),"333 PERCY BOOM RD  ")</f>
        <v>333 PERCY BOOM RD  </v>
      </c>
      <c r="C5899" s="3" t="str">
        <f>IFERROR(__xludf.DUMMYFUNCTION("""COMPUTED_VALUE"""),"CAMPBELLFORD")</f>
        <v>CAMPBELLFORD</v>
      </c>
      <c r="D5899" s="3" t="str">
        <f>IFERROR(__xludf.DUMMYFUNCTION("""COMPUTED_VALUE"""),"K0L 1L0")</f>
        <v>K0L 1L0</v>
      </c>
      <c r="E5899" s="3" t="str">
        <f>IFERROR(__xludf.DUMMYFUNCTION("""COMPUTED_VALUE"""),"dave mackenzie")</f>
        <v>dave mackenzie</v>
      </c>
      <c r="F5899" s="3"/>
      <c r="G5899" s="3"/>
      <c r="H5899" s="3"/>
    </row>
    <row r="5900">
      <c r="A5900" s="2">
        <f>IFERROR(__xludf.DUMMYFUNCTION("""COMPUTED_VALUE"""),62967.0)</f>
        <v>62967</v>
      </c>
      <c r="B5900" s="3" t="str">
        <f>IFERROR(__xludf.DUMMYFUNCTION("""COMPUTED_VALUE"""),"341 PERCY BOOM RD  ")</f>
        <v>341 PERCY BOOM RD  </v>
      </c>
      <c r="C5900" s="3" t="str">
        <f>IFERROR(__xludf.DUMMYFUNCTION("""COMPUTED_VALUE"""),"CAMPBELLFORD")</f>
        <v>CAMPBELLFORD</v>
      </c>
      <c r="D5900" s="3" t="str">
        <f>IFERROR(__xludf.DUMMYFUNCTION("""COMPUTED_VALUE"""),"K0L 1L0")</f>
        <v>K0L 1L0</v>
      </c>
      <c r="E5900" s="3" t="str">
        <f>IFERROR(__xludf.DUMMYFUNCTION("""COMPUTED_VALUE"""),"margaret redcliffe")</f>
        <v>margaret redcliffe</v>
      </c>
      <c r="F5900" s="3"/>
      <c r="G5900" s="3">
        <f>IFERROR(__xludf.DUMMYFUNCTION("""COMPUTED_VALUE"""),7.056320004E9)</f>
        <v>7056320004</v>
      </c>
      <c r="H5900" s="3"/>
    </row>
    <row r="5901">
      <c r="A5901" s="2">
        <f>IFERROR(__xludf.DUMMYFUNCTION("""COMPUTED_VALUE"""),62968.0)</f>
        <v>62968</v>
      </c>
      <c r="B5901" s="3" t="str">
        <f>IFERROR(__xludf.DUMMYFUNCTION("""COMPUTED_VALUE"""),"345 PERCY BOOM RD  ")</f>
        <v>345 PERCY BOOM RD  </v>
      </c>
      <c r="C5901" s="3" t="str">
        <f>IFERROR(__xludf.DUMMYFUNCTION("""COMPUTED_VALUE"""),"CAMPBELLFORD")</f>
        <v>CAMPBELLFORD</v>
      </c>
      <c r="D5901" s="3" t="str">
        <f>IFERROR(__xludf.DUMMYFUNCTION("""COMPUTED_VALUE"""),"K0L 1L0")</f>
        <v>K0L 1L0</v>
      </c>
      <c r="E5901" s="3"/>
      <c r="F5901" s="3"/>
      <c r="G5901" s="3"/>
      <c r="H5901" s="3"/>
    </row>
    <row r="5902">
      <c r="A5902" s="2">
        <f>IFERROR(__xludf.DUMMYFUNCTION("""COMPUTED_VALUE"""),62969.0)</f>
        <v>62969</v>
      </c>
      <c r="B5902" s="3" t="str">
        <f>IFERROR(__xludf.DUMMYFUNCTION("""COMPUTED_VALUE"""),"349 PERCY BOOM RD  ")</f>
        <v>349 PERCY BOOM RD  </v>
      </c>
      <c r="C5902" s="3" t="str">
        <f>IFERROR(__xludf.DUMMYFUNCTION("""COMPUTED_VALUE"""),"CAMPBELLFORD")</f>
        <v>CAMPBELLFORD</v>
      </c>
      <c r="D5902" s="3" t="str">
        <f>IFERROR(__xludf.DUMMYFUNCTION("""COMPUTED_VALUE"""),"K0L 1L0")</f>
        <v>K0L 1L0</v>
      </c>
      <c r="E5902" s="3" t="str">
        <f>IFERROR(__xludf.DUMMYFUNCTION("""COMPUTED_VALUE"""),"linda nokes ")</f>
        <v>linda nokes </v>
      </c>
      <c r="F5902" s="3" t="str">
        <f>IFERROR(__xludf.DUMMYFUNCTION("""COMPUTED_VALUE"""),"lindypgn@gmail.com")</f>
        <v>lindypgn@gmail.com</v>
      </c>
      <c r="G5902" s="3">
        <f>IFERROR(__xludf.DUMMYFUNCTION("""COMPUTED_VALUE"""),7.056532035E9)</f>
        <v>7056532035</v>
      </c>
      <c r="H5902" s="3"/>
    </row>
    <row r="5903">
      <c r="A5903" s="2">
        <f>IFERROR(__xludf.DUMMYFUNCTION("""COMPUTED_VALUE"""),62970.0)</f>
        <v>62970</v>
      </c>
      <c r="B5903" s="3" t="str">
        <f>IFERROR(__xludf.DUMMYFUNCTION("""COMPUTED_VALUE"""),"356 PERCY BOOM RD  ")</f>
        <v>356 PERCY BOOM RD  </v>
      </c>
      <c r="C5903" s="3" t="str">
        <f>IFERROR(__xludf.DUMMYFUNCTION("""COMPUTED_VALUE"""),"CAMPBELLFORD")</f>
        <v>CAMPBELLFORD</v>
      </c>
      <c r="D5903" s="3" t="str">
        <f>IFERROR(__xludf.DUMMYFUNCTION("""COMPUTED_VALUE"""),"K0L 1L0")</f>
        <v>K0L 1L0</v>
      </c>
      <c r="E5903" s="3" t="str">
        <f>IFERROR(__xludf.DUMMYFUNCTION("""COMPUTED_VALUE"""),"mark blight ")</f>
        <v>mark blight </v>
      </c>
      <c r="F5903" s="3" t="str">
        <f>IFERROR(__xludf.DUMMYFUNCTION("""COMPUTED_VALUE"""),"markblight81@icloud.com")</f>
        <v>markblight81@icloud.com</v>
      </c>
      <c r="G5903" s="3">
        <f>IFERROR(__xludf.DUMMYFUNCTION("""COMPUTED_VALUE"""),7.059314507E9)</f>
        <v>7059314507</v>
      </c>
      <c r="H5903" s="3"/>
    </row>
    <row r="5904">
      <c r="A5904" s="2">
        <f>IFERROR(__xludf.DUMMYFUNCTION("""COMPUTED_VALUE"""),62971.0)</f>
        <v>62971</v>
      </c>
      <c r="B5904" s="3" t="str">
        <f>IFERROR(__xludf.DUMMYFUNCTION("""COMPUTED_VALUE"""),"363 PERCY BOOM RD  ")</f>
        <v>363 PERCY BOOM RD  </v>
      </c>
      <c r="C5904" s="3" t="str">
        <f>IFERROR(__xludf.DUMMYFUNCTION("""COMPUTED_VALUE"""),"CAMPBELLFORD")</f>
        <v>CAMPBELLFORD</v>
      </c>
      <c r="D5904" s="3" t="str">
        <f>IFERROR(__xludf.DUMMYFUNCTION("""COMPUTED_VALUE"""),"K0L 1L0")</f>
        <v>K0L 1L0</v>
      </c>
      <c r="E5904" s="3" t="str">
        <f>IFERROR(__xludf.DUMMYFUNCTION("""COMPUTED_VALUE"""),"ed winstanley ")</f>
        <v>ed winstanley </v>
      </c>
      <c r="F5904" s="3"/>
      <c r="G5904" s="3">
        <f>IFERROR(__xludf.DUMMYFUNCTION("""COMPUTED_VALUE"""),7.056320053E9)</f>
        <v>7056320053</v>
      </c>
      <c r="H5904" s="3"/>
    </row>
    <row r="5905">
      <c r="A5905" s="2">
        <f>IFERROR(__xludf.DUMMYFUNCTION("""COMPUTED_VALUE"""),62972.0)</f>
        <v>62972</v>
      </c>
      <c r="B5905" s="3" t="str">
        <f>IFERROR(__xludf.DUMMYFUNCTION("""COMPUTED_VALUE"""),"371 PERCY BOOM RD  ")</f>
        <v>371 PERCY BOOM RD  </v>
      </c>
      <c r="C5905" s="3" t="str">
        <f>IFERROR(__xludf.DUMMYFUNCTION("""COMPUTED_VALUE"""),"CAMPBELLFORD")</f>
        <v>CAMPBELLFORD</v>
      </c>
      <c r="D5905" s="3" t="str">
        <f>IFERROR(__xludf.DUMMYFUNCTION("""COMPUTED_VALUE"""),"K0L 1L0")</f>
        <v>K0L 1L0</v>
      </c>
      <c r="E5905" s="3" t="str">
        <f>IFERROR(__xludf.DUMMYFUNCTION("""COMPUTED_VALUE""")," shaun and annette nelson")</f>
        <v> shaun and annette nelson</v>
      </c>
      <c r="F5905" s="3" t="str">
        <f>IFERROR(__xludf.DUMMYFUNCTION("""COMPUTED_VALUE"""),"shaunnelson@hotmail.com")</f>
        <v>shaunnelson@hotmail.com</v>
      </c>
      <c r="G5905" s="3">
        <f>IFERROR(__xludf.DUMMYFUNCTION("""COMPUTED_VALUE"""),6.132434207E9)</f>
        <v>6132434207</v>
      </c>
      <c r="H5905" s="3"/>
    </row>
    <row r="5906">
      <c r="A5906" s="2">
        <f>IFERROR(__xludf.DUMMYFUNCTION("""COMPUTED_VALUE"""),62973.0)</f>
        <v>62973</v>
      </c>
      <c r="B5906" s="3" t="str">
        <f>IFERROR(__xludf.DUMMYFUNCTION("""COMPUTED_VALUE"""),"376 PERCY BOOM RD  ")</f>
        <v>376 PERCY BOOM RD  </v>
      </c>
      <c r="C5906" s="3" t="str">
        <f>IFERROR(__xludf.DUMMYFUNCTION("""COMPUTED_VALUE"""),"CAMPBELLFORD")</f>
        <v>CAMPBELLFORD</v>
      </c>
      <c r="D5906" s="3" t="str">
        <f>IFERROR(__xludf.DUMMYFUNCTION("""COMPUTED_VALUE"""),"K0L 1L0")</f>
        <v>K0L 1L0</v>
      </c>
      <c r="E5906" s="3"/>
      <c r="F5906" s="3"/>
      <c r="G5906" s="3"/>
      <c r="H5906" s="3"/>
    </row>
    <row r="5907">
      <c r="A5907" s="2">
        <f>IFERROR(__xludf.DUMMYFUNCTION("""COMPUTED_VALUE"""),62974.0)</f>
        <v>62974</v>
      </c>
      <c r="B5907" s="3" t="str">
        <f>IFERROR(__xludf.DUMMYFUNCTION("""COMPUTED_VALUE"""),"379 PERCY BOOM RD  ")</f>
        <v>379 PERCY BOOM RD  </v>
      </c>
      <c r="C5907" s="3" t="str">
        <f>IFERROR(__xludf.DUMMYFUNCTION("""COMPUTED_VALUE"""),"CAMPBELLFORD")</f>
        <v>CAMPBELLFORD</v>
      </c>
      <c r="D5907" s="3" t="str">
        <f>IFERROR(__xludf.DUMMYFUNCTION("""COMPUTED_VALUE"""),"K0L 1L0")</f>
        <v>K0L 1L0</v>
      </c>
      <c r="E5907" s="3" t="str">
        <f>IFERROR(__xludf.DUMMYFUNCTION("""COMPUTED_VALUE"""),"cheyanne gray")</f>
        <v>cheyanne gray</v>
      </c>
      <c r="F5907" s="3" t="str">
        <f>IFERROR(__xludf.DUMMYFUNCTION("""COMPUTED_VALUE"""),"chey.gray@hotmail.com")</f>
        <v>chey.gray@hotmail.com</v>
      </c>
      <c r="G5907" s="3">
        <f>IFERROR(__xludf.DUMMYFUNCTION("""COMPUTED_VALUE"""),7.055590379E9)</f>
        <v>7055590379</v>
      </c>
      <c r="H5907" s="3"/>
    </row>
    <row r="5908">
      <c r="A5908" s="2">
        <f>IFERROR(__xludf.DUMMYFUNCTION("""COMPUTED_VALUE"""),62975.0)</f>
        <v>62975</v>
      </c>
      <c r="B5908" s="3" t="str">
        <f>IFERROR(__xludf.DUMMYFUNCTION("""COMPUTED_VALUE"""),"382 PERCY BOOM RD  ")</f>
        <v>382 PERCY BOOM RD  </v>
      </c>
      <c r="C5908" s="3" t="str">
        <f>IFERROR(__xludf.DUMMYFUNCTION("""COMPUTED_VALUE"""),"CAMPBELLFORD")</f>
        <v>CAMPBELLFORD</v>
      </c>
      <c r="D5908" s="3" t="str">
        <f>IFERROR(__xludf.DUMMYFUNCTION("""COMPUTED_VALUE"""),"K0L 1L0")</f>
        <v>K0L 1L0</v>
      </c>
      <c r="E5908" s="3" t="str">
        <f>IFERROR(__xludf.DUMMYFUNCTION("""COMPUTED_VALUE"""),"JAMIE HARWOOD")</f>
        <v>JAMIE HARWOOD</v>
      </c>
      <c r="F5908" s="3" t="str">
        <f>IFERROR(__xludf.DUMMYFUNCTION("""COMPUTED_VALUE"""),"skrufi318@hotmail.com")</f>
        <v>skrufi318@hotmail.com</v>
      </c>
      <c r="G5908" s="3"/>
      <c r="H5908" s="3"/>
    </row>
    <row r="5909">
      <c r="A5909" s="2">
        <f>IFERROR(__xludf.DUMMYFUNCTION("""COMPUTED_VALUE"""),62976.0)</f>
        <v>62976</v>
      </c>
      <c r="B5909" s="3" t="str">
        <f>IFERROR(__xludf.DUMMYFUNCTION("""COMPUTED_VALUE"""),"387 PERCY BOOM RD  ")</f>
        <v>387 PERCY BOOM RD  </v>
      </c>
      <c r="C5909" s="3" t="str">
        <f>IFERROR(__xludf.DUMMYFUNCTION("""COMPUTED_VALUE"""),"CAMPBELLFORD")</f>
        <v>CAMPBELLFORD</v>
      </c>
      <c r="D5909" s="3" t="str">
        <f>IFERROR(__xludf.DUMMYFUNCTION("""COMPUTED_VALUE"""),"K0L 1L0")</f>
        <v>K0L 1L0</v>
      </c>
      <c r="E5909" s="3"/>
      <c r="F5909" s="3"/>
      <c r="G5909" s="3"/>
      <c r="H5909" s="3"/>
    </row>
    <row r="5910">
      <c r="A5910" s="2">
        <f>IFERROR(__xludf.DUMMYFUNCTION("""COMPUTED_VALUE"""),62977.0)</f>
        <v>62977</v>
      </c>
      <c r="B5910" s="3" t="str">
        <f>IFERROR(__xludf.DUMMYFUNCTION("""COMPUTED_VALUE"""),"390 PERCY BOOM RD  ")</f>
        <v>390 PERCY BOOM RD  </v>
      </c>
      <c r="C5910" s="3" t="str">
        <f>IFERROR(__xludf.DUMMYFUNCTION("""COMPUTED_VALUE"""),"CAMPBELLFORD")</f>
        <v>CAMPBELLFORD</v>
      </c>
      <c r="D5910" s="3" t="str">
        <f>IFERROR(__xludf.DUMMYFUNCTION("""COMPUTED_VALUE"""),"K0L 1L0")</f>
        <v>K0L 1L0</v>
      </c>
      <c r="E5910" s="3" t="str">
        <f>IFERROR(__xludf.DUMMYFUNCTION("""COMPUTED_VALUE"""),"PETER LYNCH")</f>
        <v>PETER LYNCH</v>
      </c>
      <c r="F5910" s="3" t="str">
        <f>IFERROR(__xludf.DUMMYFUNCTION("""COMPUTED_VALUE"""),"peterlynch.12@outlook.com")</f>
        <v>peterlynch.12@outlook.com</v>
      </c>
      <c r="G5910" s="3"/>
      <c r="H5910" s="3"/>
    </row>
    <row r="5911">
      <c r="A5911" s="2">
        <f>IFERROR(__xludf.DUMMYFUNCTION("""COMPUTED_VALUE"""),62978.0)</f>
        <v>62978</v>
      </c>
      <c r="B5911" s="3" t="str">
        <f>IFERROR(__xludf.DUMMYFUNCTION("""COMPUTED_VALUE"""),"396 PERCY BOOM RD  ")</f>
        <v>396 PERCY BOOM RD  </v>
      </c>
      <c r="C5911" s="3" t="str">
        <f>IFERROR(__xludf.DUMMYFUNCTION("""COMPUTED_VALUE"""),"CAMPBELLFORD")</f>
        <v>CAMPBELLFORD</v>
      </c>
      <c r="D5911" s="3" t="str">
        <f>IFERROR(__xludf.DUMMYFUNCTION("""COMPUTED_VALUE"""),"K0L 1L0")</f>
        <v>K0L 1L0</v>
      </c>
      <c r="E5911" s="3" t="str">
        <f>IFERROR(__xludf.DUMMYFUNCTION("""COMPUTED_VALUE"""),"tanya gorgerat ")</f>
        <v>tanya gorgerat </v>
      </c>
      <c r="F5911" s="3" t="str">
        <f>IFERROR(__xludf.DUMMYFUNCTION("""COMPUTED_VALUE"""),"always-forever1108@hotmail.com")</f>
        <v>always-forever1108@hotmail.com</v>
      </c>
      <c r="G5911" s="3">
        <f>IFERROR(__xludf.DUMMYFUNCTION("""COMPUTED_VALUE"""),7.053132558E9)</f>
        <v>7053132558</v>
      </c>
      <c r="H5911" s="3">
        <f>IFERROR(__xludf.DUMMYFUNCTION("""COMPUTED_VALUE"""),7.058683744E9)</f>
        <v>7058683744</v>
      </c>
    </row>
    <row r="5912">
      <c r="A5912" s="2">
        <f>IFERROR(__xludf.DUMMYFUNCTION("""COMPUTED_VALUE"""),62979.0)</f>
        <v>62979</v>
      </c>
      <c r="B5912" s="3" t="str">
        <f>IFERROR(__xludf.DUMMYFUNCTION("""COMPUTED_VALUE"""),"397 PERCY BOOM RD  ")</f>
        <v>397 PERCY BOOM RD  </v>
      </c>
      <c r="C5912" s="3" t="str">
        <f>IFERROR(__xludf.DUMMYFUNCTION("""COMPUTED_VALUE"""),"CAMPBELLFORD")</f>
        <v>CAMPBELLFORD</v>
      </c>
      <c r="D5912" s="3" t="str">
        <f>IFERROR(__xludf.DUMMYFUNCTION("""COMPUTED_VALUE"""),"K0L 1L0")</f>
        <v>K0L 1L0</v>
      </c>
      <c r="E5912" s="3" t="str">
        <f>IFERROR(__xludf.DUMMYFUNCTION("""COMPUTED_VALUE"""),"leanne and robert yagrinees")</f>
        <v>leanne and robert yagrinees</v>
      </c>
      <c r="F5912" s="3" t="str">
        <f>IFERROR(__xludf.DUMMYFUNCTION("""COMPUTED_VALUE"""),"lyagrines@gmail.com")</f>
        <v>lyagrines@gmail.com</v>
      </c>
      <c r="G5912" s="3">
        <f>IFERROR(__xludf.DUMMYFUNCTION("""COMPUTED_VALUE"""),2.892515222E9)</f>
        <v>2892515222</v>
      </c>
      <c r="H5912" s="3">
        <f>IFERROR(__xludf.DUMMYFUNCTION("""COMPUTED_VALUE"""),2.892519513E9)</f>
        <v>2892519513</v>
      </c>
    </row>
    <row r="5913">
      <c r="A5913" s="2">
        <f>IFERROR(__xludf.DUMMYFUNCTION("""COMPUTED_VALUE"""),62980.0)</f>
        <v>62980</v>
      </c>
      <c r="B5913" s="3" t="str">
        <f>IFERROR(__xludf.DUMMYFUNCTION("""COMPUTED_VALUE"""),"401 PERCY BOOM RD  ")</f>
        <v>401 PERCY BOOM RD  </v>
      </c>
      <c r="C5913" s="3" t="str">
        <f>IFERROR(__xludf.DUMMYFUNCTION("""COMPUTED_VALUE"""),"CAMPBELLFORD")</f>
        <v>CAMPBELLFORD</v>
      </c>
      <c r="D5913" s="3" t="str">
        <f>IFERROR(__xludf.DUMMYFUNCTION("""COMPUTED_VALUE"""),"K0L 1L0")</f>
        <v>K0L 1L0</v>
      </c>
      <c r="E5913" s="3"/>
      <c r="F5913" s="3"/>
      <c r="G5913" s="3"/>
      <c r="H5913" s="3"/>
    </row>
    <row r="5914">
      <c r="A5914" s="2">
        <f>IFERROR(__xludf.DUMMYFUNCTION("""COMPUTED_VALUE"""),62981.0)</f>
        <v>62981</v>
      </c>
      <c r="B5914" s="3" t="str">
        <f>IFERROR(__xludf.DUMMYFUNCTION("""COMPUTED_VALUE"""),"404 PERCY BOOM RD  ")</f>
        <v>404 PERCY BOOM RD  </v>
      </c>
      <c r="C5914" s="3" t="str">
        <f>IFERROR(__xludf.DUMMYFUNCTION("""COMPUTED_VALUE"""),"CAMPBELLFORD")</f>
        <v>CAMPBELLFORD</v>
      </c>
      <c r="D5914" s="3" t="str">
        <f>IFERROR(__xludf.DUMMYFUNCTION("""COMPUTED_VALUE"""),"K0L 1L0")</f>
        <v>K0L 1L0</v>
      </c>
      <c r="E5914" s="3" t="str">
        <f>IFERROR(__xludf.DUMMYFUNCTION("""COMPUTED_VALUE"""),"MADISON TURK")</f>
        <v>MADISON TURK</v>
      </c>
      <c r="F5914" s="3" t="str">
        <f>IFERROR(__xludf.DUMMYFUNCTION("""COMPUTED_VALUE"""),"Madison_turk@hotmail.com")</f>
        <v>Madison_turk@hotmail.com</v>
      </c>
      <c r="G5914" s="3"/>
      <c r="H5914" s="3"/>
    </row>
    <row r="5915">
      <c r="A5915" s="2">
        <f>IFERROR(__xludf.DUMMYFUNCTION("""COMPUTED_VALUE"""),62982.0)</f>
        <v>62982</v>
      </c>
      <c r="B5915" s="3" t="str">
        <f>IFERROR(__xludf.DUMMYFUNCTION("""COMPUTED_VALUE"""),"405 PERCY BOOM RD  ")</f>
        <v>405 PERCY BOOM RD  </v>
      </c>
      <c r="C5915" s="3" t="str">
        <f>IFERROR(__xludf.DUMMYFUNCTION("""COMPUTED_VALUE"""),"CAMPBELLFORD")</f>
        <v>CAMPBELLFORD</v>
      </c>
      <c r="D5915" s="3" t="str">
        <f>IFERROR(__xludf.DUMMYFUNCTION("""COMPUTED_VALUE"""),"K0L 1L0")</f>
        <v>K0L 1L0</v>
      </c>
      <c r="E5915" s="3"/>
      <c r="F5915" s="3"/>
      <c r="G5915" s="3"/>
      <c r="H5915" s="3"/>
    </row>
    <row r="5916">
      <c r="A5916" s="2">
        <f>IFERROR(__xludf.DUMMYFUNCTION("""COMPUTED_VALUE"""),62983.0)</f>
        <v>62983</v>
      </c>
      <c r="B5916" s="3" t="str">
        <f>IFERROR(__xludf.DUMMYFUNCTION("""COMPUTED_VALUE"""),"407 PERCY BOOM RD  ")</f>
        <v>407 PERCY BOOM RD  </v>
      </c>
      <c r="C5916" s="3" t="str">
        <f>IFERROR(__xludf.DUMMYFUNCTION("""COMPUTED_VALUE"""),"CAMPBELLFORD")</f>
        <v>CAMPBELLFORD</v>
      </c>
      <c r="D5916" s="3" t="str">
        <f>IFERROR(__xludf.DUMMYFUNCTION("""COMPUTED_VALUE"""),"K0L 1L0")</f>
        <v>K0L 1L0</v>
      </c>
      <c r="E5916" s="3"/>
      <c r="F5916" s="3"/>
      <c r="G5916" s="3"/>
      <c r="H5916" s="3"/>
    </row>
    <row r="5917">
      <c r="A5917" s="2">
        <f>IFERROR(__xludf.DUMMYFUNCTION("""COMPUTED_VALUE"""),62984.0)</f>
        <v>62984</v>
      </c>
      <c r="B5917" s="3" t="str">
        <f>IFERROR(__xludf.DUMMYFUNCTION("""COMPUTED_VALUE"""),"410 PERCY BOOM RD  ")</f>
        <v>410 PERCY BOOM RD  </v>
      </c>
      <c r="C5917" s="3" t="str">
        <f>IFERROR(__xludf.DUMMYFUNCTION("""COMPUTED_VALUE"""),"CAMPBELLFORD")</f>
        <v>CAMPBELLFORD</v>
      </c>
      <c r="D5917" s="3" t="str">
        <f>IFERROR(__xludf.DUMMYFUNCTION("""COMPUTED_VALUE"""),"K0L 1L0")</f>
        <v>K0L 1L0</v>
      </c>
      <c r="E5917" s="3" t="str">
        <f>IFERROR(__xludf.DUMMYFUNCTION("""COMPUTED_VALUE"""),"scott newman")</f>
        <v>scott newman</v>
      </c>
      <c r="F5917" s="3" t="str">
        <f>IFERROR(__xludf.DUMMYFUNCTION("""COMPUTED_VALUE"""),"snewman@htminsuransa.ca")</f>
        <v>snewman@htminsuransa.ca</v>
      </c>
      <c r="G5917" s="3">
        <f>IFERROR(__xludf.DUMMYFUNCTION("""COMPUTED_VALUE"""),9.053754525E9)</f>
        <v>9053754525</v>
      </c>
      <c r="H5917" s="3"/>
    </row>
    <row r="5918">
      <c r="A5918" s="2">
        <f>IFERROR(__xludf.DUMMYFUNCTION("""COMPUTED_VALUE"""),62985.0)</f>
        <v>62985</v>
      </c>
      <c r="B5918" s="3" t="str">
        <f>IFERROR(__xludf.DUMMYFUNCTION("""COMPUTED_VALUE"""),"419 PERCY BOOM RD  ")</f>
        <v>419 PERCY BOOM RD  </v>
      </c>
      <c r="C5918" s="3" t="str">
        <f>IFERROR(__xludf.DUMMYFUNCTION("""COMPUTED_VALUE"""),"CAMPBELLFORD")</f>
        <v>CAMPBELLFORD</v>
      </c>
      <c r="D5918" s="3" t="str">
        <f>IFERROR(__xludf.DUMMYFUNCTION("""COMPUTED_VALUE"""),"K0L 1L0")</f>
        <v>K0L 1L0</v>
      </c>
      <c r="E5918" s="3" t="str">
        <f>IFERROR(__xludf.DUMMYFUNCTION("""COMPUTED_VALUE"""),"peter van vliet ")</f>
        <v>peter van vliet </v>
      </c>
      <c r="F5918" s="3"/>
      <c r="G5918" s="3">
        <f>IFERROR(__xludf.DUMMYFUNCTION("""COMPUTED_VALUE"""),7.056530999E9)</f>
        <v>7056530999</v>
      </c>
      <c r="H5918" s="3"/>
    </row>
    <row r="5919">
      <c r="A5919" s="2">
        <f>IFERROR(__xludf.DUMMYFUNCTION("""COMPUTED_VALUE"""),62986.0)</f>
        <v>62986</v>
      </c>
      <c r="B5919" s="3" t="str">
        <f>IFERROR(__xludf.DUMMYFUNCTION("""COMPUTED_VALUE"""),"425 PERCY BOOM RD  ")</f>
        <v>425 PERCY BOOM RD  </v>
      </c>
      <c r="C5919" s="3" t="str">
        <f>IFERROR(__xludf.DUMMYFUNCTION("""COMPUTED_VALUE"""),"CAMPBELLFORD")</f>
        <v>CAMPBELLFORD</v>
      </c>
      <c r="D5919" s="3" t="str">
        <f>IFERROR(__xludf.DUMMYFUNCTION("""COMPUTED_VALUE"""),"K0L 1L0")</f>
        <v>K0L 1L0</v>
      </c>
      <c r="E5919" s="3"/>
      <c r="F5919" s="3"/>
      <c r="G5919" s="3"/>
      <c r="H5919" s="3"/>
    </row>
    <row r="5920">
      <c r="A5920" s="2">
        <f>IFERROR(__xludf.DUMMYFUNCTION("""COMPUTED_VALUE"""),62987.0)</f>
        <v>62987</v>
      </c>
      <c r="B5920" s="3" t="str">
        <f>IFERROR(__xludf.DUMMYFUNCTION("""COMPUTED_VALUE"""),"435 PERCY BOOM RD  ")</f>
        <v>435 PERCY BOOM RD  </v>
      </c>
      <c r="C5920" s="3" t="str">
        <f>IFERROR(__xludf.DUMMYFUNCTION("""COMPUTED_VALUE"""),"CAMPBELLFORD")</f>
        <v>CAMPBELLFORD</v>
      </c>
      <c r="D5920" s="3" t="str">
        <f>IFERROR(__xludf.DUMMYFUNCTION("""COMPUTED_VALUE"""),"K0L 1L0")</f>
        <v>K0L 1L0</v>
      </c>
      <c r="E5920" s="3" t="str">
        <f>IFERROR(__xludf.DUMMYFUNCTION("""COMPUTED_VALUE"""),"roger mcgee ")</f>
        <v>roger mcgee </v>
      </c>
      <c r="F5920" s="3"/>
      <c r="G5920" s="3">
        <f>IFERROR(__xludf.DUMMYFUNCTION("""COMPUTED_VALUE"""),7.056531321E9)</f>
        <v>7056531321</v>
      </c>
      <c r="H5920" s="3"/>
    </row>
    <row r="5921">
      <c r="A5921" s="2">
        <f>IFERROR(__xludf.DUMMYFUNCTION("""COMPUTED_VALUE"""),62988.0)</f>
        <v>62988</v>
      </c>
      <c r="B5921" s="3" t="str">
        <f>IFERROR(__xludf.DUMMYFUNCTION("""COMPUTED_VALUE"""),"441 PERCY BOOM RD  ")</f>
        <v>441 PERCY BOOM RD  </v>
      </c>
      <c r="C5921" s="3" t="str">
        <f>IFERROR(__xludf.DUMMYFUNCTION("""COMPUTED_VALUE"""),"CAMPBELLFORD")</f>
        <v>CAMPBELLFORD</v>
      </c>
      <c r="D5921" s="3" t="str">
        <f>IFERROR(__xludf.DUMMYFUNCTION("""COMPUTED_VALUE"""),"K0L 1L0")</f>
        <v>K0L 1L0</v>
      </c>
      <c r="E5921" s="3"/>
      <c r="F5921" s="3"/>
      <c r="G5921" s="3"/>
      <c r="H5921" s="3"/>
    </row>
    <row r="5922">
      <c r="A5922" s="2">
        <f>IFERROR(__xludf.DUMMYFUNCTION("""COMPUTED_VALUE"""),62989.0)</f>
        <v>62989</v>
      </c>
      <c r="B5922" s="3" t="str">
        <f>IFERROR(__xludf.DUMMYFUNCTION("""COMPUTED_VALUE"""),"443 PERCY BOOM RD  ")</f>
        <v>443 PERCY BOOM RD  </v>
      </c>
      <c r="C5922" s="3" t="str">
        <f>IFERROR(__xludf.DUMMYFUNCTION("""COMPUTED_VALUE"""),"CAMPBELLFORD")</f>
        <v>CAMPBELLFORD</v>
      </c>
      <c r="D5922" s="3" t="str">
        <f>IFERROR(__xludf.DUMMYFUNCTION("""COMPUTED_VALUE"""),"K0L 1L0")</f>
        <v>K0L 1L0</v>
      </c>
      <c r="E5922" s="3"/>
      <c r="F5922" s="3"/>
      <c r="G5922" s="3"/>
      <c r="H5922" s="3"/>
    </row>
    <row r="5923">
      <c r="A5923" s="2">
        <f>IFERROR(__xludf.DUMMYFUNCTION("""COMPUTED_VALUE"""),62990.0)</f>
        <v>62990</v>
      </c>
      <c r="B5923" s="3" t="str">
        <f>IFERROR(__xludf.DUMMYFUNCTION("""COMPUTED_VALUE"""),"445 PERCY BOOM RD  ")</f>
        <v>445 PERCY BOOM RD  </v>
      </c>
      <c r="C5923" s="3" t="str">
        <f>IFERROR(__xludf.DUMMYFUNCTION("""COMPUTED_VALUE"""),"CAMPBELLFORD")</f>
        <v>CAMPBELLFORD</v>
      </c>
      <c r="D5923" s="3" t="str">
        <f>IFERROR(__xludf.DUMMYFUNCTION("""COMPUTED_VALUE"""),"K0L 1L0")</f>
        <v>K0L 1L0</v>
      </c>
      <c r="E5923" s="3"/>
      <c r="F5923" s="3"/>
      <c r="G5923" s="3"/>
      <c r="H5923" s="3"/>
    </row>
    <row r="5924">
      <c r="A5924" s="2">
        <f>IFERROR(__xludf.DUMMYFUNCTION("""COMPUTED_VALUE"""),62991.0)</f>
        <v>62991</v>
      </c>
      <c r="B5924" s="3" t="str">
        <f>IFERROR(__xludf.DUMMYFUNCTION("""COMPUTED_VALUE"""),"446 PERCY BOOM RD  ")</f>
        <v>446 PERCY BOOM RD  </v>
      </c>
      <c r="C5924" s="3" t="str">
        <f>IFERROR(__xludf.DUMMYFUNCTION("""COMPUTED_VALUE"""),"CAMPBELLFORD")</f>
        <v>CAMPBELLFORD</v>
      </c>
      <c r="D5924" s="3" t="str">
        <f>IFERROR(__xludf.DUMMYFUNCTION("""COMPUTED_VALUE"""),"K0L 1L0")</f>
        <v>K0L 1L0</v>
      </c>
      <c r="E5924" s="3"/>
      <c r="F5924" s="3"/>
      <c r="G5924" s="3"/>
      <c r="H5924" s="3"/>
    </row>
    <row r="5925">
      <c r="A5925" s="2">
        <f>IFERROR(__xludf.DUMMYFUNCTION("""COMPUTED_VALUE"""),62992.0)</f>
        <v>62992</v>
      </c>
      <c r="B5925" s="3" t="str">
        <f>IFERROR(__xludf.DUMMYFUNCTION("""COMPUTED_VALUE"""),"447 PERCY BOOM RD  ")</f>
        <v>447 PERCY BOOM RD  </v>
      </c>
      <c r="C5925" s="3" t="str">
        <f>IFERROR(__xludf.DUMMYFUNCTION("""COMPUTED_VALUE"""),"CAMPBELLFORD")</f>
        <v>CAMPBELLFORD</v>
      </c>
      <c r="D5925" s="3" t="str">
        <f>IFERROR(__xludf.DUMMYFUNCTION("""COMPUTED_VALUE"""),"K0L 1L0")</f>
        <v>K0L 1L0</v>
      </c>
      <c r="E5925" s="3"/>
      <c r="F5925" s="3"/>
      <c r="G5925" s="3"/>
      <c r="H5925" s="3"/>
    </row>
    <row r="5926">
      <c r="A5926" s="2">
        <f>IFERROR(__xludf.DUMMYFUNCTION("""COMPUTED_VALUE"""),62993.0)</f>
        <v>62993</v>
      </c>
      <c r="B5926" s="3" t="str">
        <f>IFERROR(__xludf.DUMMYFUNCTION("""COMPUTED_VALUE"""),"449 PERCY BOOM RD  ")</f>
        <v>449 PERCY BOOM RD  </v>
      </c>
      <c r="C5926" s="3" t="str">
        <f>IFERROR(__xludf.DUMMYFUNCTION("""COMPUTED_VALUE"""),"CAMPBELLFORD")</f>
        <v>CAMPBELLFORD</v>
      </c>
      <c r="D5926" s="3" t="str">
        <f>IFERROR(__xludf.DUMMYFUNCTION("""COMPUTED_VALUE"""),"K0L 1L0")</f>
        <v>K0L 1L0</v>
      </c>
      <c r="E5926" s="3" t="str">
        <f>IFERROR(__xludf.DUMMYFUNCTION("""COMPUTED_VALUE"""),"sue hoult ")</f>
        <v>sue hoult </v>
      </c>
      <c r="F5926" s="3" t="str">
        <f>IFERROR(__xludf.DUMMYFUNCTION("""COMPUTED_VALUE"""),"suehoult@hotmail.com")</f>
        <v>suehoult@hotmail.com</v>
      </c>
      <c r="G5926" s="3">
        <f>IFERROR(__xludf.DUMMYFUNCTION("""COMPUTED_VALUE"""),4.166290792E9)</f>
        <v>4166290792</v>
      </c>
      <c r="H5926" s="3"/>
    </row>
    <row r="5927">
      <c r="A5927" s="2">
        <f>IFERROR(__xludf.DUMMYFUNCTION("""COMPUTED_VALUE"""),62994.0)</f>
        <v>62994</v>
      </c>
      <c r="B5927" s="3" t="str">
        <f>IFERROR(__xludf.DUMMYFUNCTION("""COMPUTED_VALUE"""),"452 PERCY BOOM RD  ")</f>
        <v>452 PERCY BOOM RD  </v>
      </c>
      <c r="C5927" s="3" t="str">
        <f>IFERROR(__xludf.DUMMYFUNCTION("""COMPUTED_VALUE"""),"CAMPBELLFORD")</f>
        <v>CAMPBELLFORD</v>
      </c>
      <c r="D5927" s="3" t="str">
        <f>IFERROR(__xludf.DUMMYFUNCTION("""COMPUTED_VALUE"""),"K0L 1L0")</f>
        <v>K0L 1L0</v>
      </c>
      <c r="E5927" s="3" t="str">
        <f>IFERROR(__xludf.DUMMYFUNCTION("""COMPUTED_VALUE"""),"michael bishop ")</f>
        <v>michael bishop </v>
      </c>
      <c r="F5927" s="3"/>
      <c r="G5927" s="3">
        <f>IFERROR(__xludf.DUMMYFUNCTION("""COMPUTED_VALUE"""),7.05632199E9)</f>
        <v>7056321990</v>
      </c>
      <c r="H5927" s="3"/>
    </row>
    <row r="5928">
      <c r="A5928" s="2">
        <f>IFERROR(__xludf.DUMMYFUNCTION("""COMPUTED_VALUE"""),62995.0)</f>
        <v>62995</v>
      </c>
      <c r="B5928" s="3" t="str">
        <f>IFERROR(__xludf.DUMMYFUNCTION("""COMPUTED_VALUE"""),"457 PERCY BOOM RD  ")</f>
        <v>457 PERCY BOOM RD  </v>
      </c>
      <c r="C5928" s="3" t="str">
        <f>IFERROR(__xludf.DUMMYFUNCTION("""COMPUTED_VALUE"""),"CAMPBELLFORD")</f>
        <v>CAMPBELLFORD</v>
      </c>
      <c r="D5928" s="3" t="str">
        <f>IFERROR(__xludf.DUMMYFUNCTION("""COMPUTED_VALUE"""),"K0L 1L0")</f>
        <v>K0L 1L0</v>
      </c>
      <c r="E5928" s="3" t="str">
        <f>IFERROR(__xludf.DUMMYFUNCTION("""COMPUTED_VALUE"""),"Mark HANSEN")</f>
        <v>Mark HANSEN</v>
      </c>
      <c r="F5928" s="3" t="str">
        <f>IFERROR(__xludf.DUMMYFUNCTION("""COMPUTED_VALUE"""),"handymanhansen@yahoo.ca")</f>
        <v>handymanhansen@yahoo.ca</v>
      </c>
      <c r="G5928" s="3"/>
      <c r="H5928" s="3"/>
    </row>
    <row r="5929">
      <c r="A5929" s="2">
        <f>IFERROR(__xludf.DUMMYFUNCTION("""COMPUTED_VALUE"""),62996.0)</f>
        <v>62996</v>
      </c>
      <c r="B5929" s="3" t="str">
        <f>IFERROR(__xludf.DUMMYFUNCTION("""COMPUTED_VALUE"""),"458 PERCY BOOM RD  ")</f>
        <v>458 PERCY BOOM RD  </v>
      </c>
      <c r="C5929" s="3" t="str">
        <f>IFERROR(__xludf.DUMMYFUNCTION("""COMPUTED_VALUE"""),"CAMPBELLFORD")</f>
        <v>CAMPBELLFORD</v>
      </c>
      <c r="D5929" s="3" t="str">
        <f>IFERROR(__xludf.DUMMYFUNCTION("""COMPUTED_VALUE"""),"K0L 1L0")</f>
        <v>K0L 1L0</v>
      </c>
      <c r="E5929" s="3" t="str">
        <f>IFERROR(__xludf.DUMMYFUNCTION("""COMPUTED_VALUE"""),"jackherrington")</f>
        <v>jackherrington</v>
      </c>
      <c r="F5929" s="3"/>
      <c r="G5929" s="3">
        <f>IFERROR(__xludf.DUMMYFUNCTION("""COMPUTED_VALUE"""),7.056537495E9)</f>
        <v>7056537495</v>
      </c>
      <c r="H5929" s="3"/>
    </row>
    <row r="5930">
      <c r="A5930" s="2">
        <f>IFERROR(__xludf.DUMMYFUNCTION("""COMPUTED_VALUE"""),62997.0)</f>
        <v>62997</v>
      </c>
      <c r="B5930" s="3" t="str">
        <f>IFERROR(__xludf.DUMMYFUNCTION("""COMPUTED_VALUE"""),"465 PERCY BOOM RD  ")</f>
        <v>465 PERCY BOOM RD  </v>
      </c>
      <c r="C5930" s="3" t="str">
        <f>IFERROR(__xludf.DUMMYFUNCTION("""COMPUTED_VALUE"""),"CAMPBELLFORD")</f>
        <v>CAMPBELLFORD</v>
      </c>
      <c r="D5930" s="3" t="str">
        <f>IFERROR(__xludf.DUMMYFUNCTION("""COMPUTED_VALUE"""),"K0L 1L0")</f>
        <v>K0L 1L0</v>
      </c>
      <c r="E5930" s="3" t="str">
        <f>IFERROR(__xludf.DUMMYFUNCTION("""COMPUTED_VALUE"""),"peter mclaughlin")</f>
        <v>peter mclaughlin</v>
      </c>
      <c r="F5930" s="3" t="str">
        <f>IFERROR(__xludf.DUMMYFUNCTION("""COMPUTED_VALUE"""),"redliner09@gmail.com")</f>
        <v>redliner09@gmail.com</v>
      </c>
      <c r="G5930" s="3">
        <f>IFERROR(__xludf.DUMMYFUNCTION("""COMPUTED_VALUE"""),7.056536759E9)</f>
        <v>7056536759</v>
      </c>
      <c r="H5930" s="3"/>
    </row>
    <row r="5931">
      <c r="A5931" s="2">
        <f>IFERROR(__xludf.DUMMYFUNCTION("""COMPUTED_VALUE"""),62998.0)</f>
        <v>62998</v>
      </c>
      <c r="B5931" s="3" t="str">
        <f>IFERROR(__xludf.DUMMYFUNCTION("""COMPUTED_VALUE"""),"466 PERCY BOOM RD  ")</f>
        <v>466 PERCY BOOM RD  </v>
      </c>
      <c r="C5931" s="3" t="str">
        <f>IFERROR(__xludf.DUMMYFUNCTION("""COMPUTED_VALUE"""),"CAMPBELLFORD")</f>
        <v>CAMPBELLFORD</v>
      </c>
      <c r="D5931" s="3" t="str">
        <f>IFERROR(__xludf.DUMMYFUNCTION("""COMPUTED_VALUE"""),"K0L 1L0")</f>
        <v>K0L 1L0</v>
      </c>
      <c r="E5931" s="3"/>
      <c r="F5931" s="3"/>
      <c r="G5931" s="3"/>
      <c r="H5931" s="3"/>
    </row>
    <row r="5932">
      <c r="A5932" s="2">
        <f>IFERROR(__xludf.DUMMYFUNCTION("""COMPUTED_VALUE"""),62999.0)</f>
        <v>62999</v>
      </c>
      <c r="B5932" s="3" t="str">
        <f>IFERROR(__xludf.DUMMYFUNCTION("""COMPUTED_VALUE"""),"467 PERCY BOOM RD  ")</f>
        <v>467 PERCY BOOM RD  </v>
      </c>
      <c r="C5932" s="3" t="str">
        <f>IFERROR(__xludf.DUMMYFUNCTION("""COMPUTED_VALUE"""),"CAMPBELLFORD")</f>
        <v>CAMPBELLFORD</v>
      </c>
      <c r="D5932" s="3" t="str">
        <f>IFERROR(__xludf.DUMMYFUNCTION("""COMPUTED_VALUE"""),"K0L 1L0")</f>
        <v>K0L 1L0</v>
      </c>
      <c r="E5932" s="3" t="str">
        <f>IFERROR(__xludf.DUMMYFUNCTION("""COMPUTED_VALUE"""),"g, birnes")</f>
        <v>g, birnes</v>
      </c>
      <c r="F5932" s="3"/>
      <c r="G5932" s="3">
        <f>IFERROR(__xludf.DUMMYFUNCTION("""COMPUTED_VALUE"""),7.056531237E9)</f>
        <v>7056531237</v>
      </c>
      <c r="H5932" s="3"/>
    </row>
    <row r="5933">
      <c r="A5933" s="2">
        <f>IFERROR(__xludf.DUMMYFUNCTION("""COMPUTED_VALUE"""),63000.0)</f>
        <v>63000</v>
      </c>
      <c r="B5933" s="3" t="str">
        <f>IFERROR(__xludf.DUMMYFUNCTION("""COMPUTED_VALUE"""),"469 PERCY BOOM RD  ")</f>
        <v>469 PERCY BOOM RD  </v>
      </c>
      <c r="C5933" s="3" t="str">
        <f>IFERROR(__xludf.DUMMYFUNCTION("""COMPUTED_VALUE"""),"CAMPBELLFORD")</f>
        <v>CAMPBELLFORD</v>
      </c>
      <c r="D5933" s="3" t="str">
        <f>IFERROR(__xludf.DUMMYFUNCTION("""COMPUTED_VALUE"""),"K0L 1L0")</f>
        <v>K0L 1L0</v>
      </c>
      <c r="E5933" s="3" t="str">
        <f>IFERROR(__xludf.DUMMYFUNCTION("""COMPUTED_VALUE"""),"danielle barnes ")</f>
        <v>danielle barnes </v>
      </c>
      <c r="F5933" s="3" t="str">
        <f>IFERROR(__xludf.DUMMYFUNCTION("""COMPUTED_VALUE"""),"barnesdanielle.mk@gmail.com")</f>
        <v>barnesdanielle.mk@gmail.com</v>
      </c>
      <c r="G5933" s="3">
        <f>IFERROR(__xludf.DUMMYFUNCTION("""COMPUTED_VALUE"""),6.138499997E9)</f>
        <v>6138499997</v>
      </c>
      <c r="H5933" s="3">
        <f>IFERROR(__xludf.DUMMYFUNCTION("""COMPUTED_VALUE"""),7.056320528E9)</f>
        <v>7056320528</v>
      </c>
    </row>
    <row r="5934">
      <c r="A5934" s="2">
        <f>IFERROR(__xludf.DUMMYFUNCTION("""COMPUTED_VALUE"""),63001.0)</f>
        <v>63001</v>
      </c>
      <c r="B5934" s="3" t="str">
        <f>IFERROR(__xludf.DUMMYFUNCTION("""COMPUTED_VALUE"""),"470 PERCY BOOM RD  ")</f>
        <v>470 PERCY BOOM RD  </v>
      </c>
      <c r="C5934" s="3" t="str">
        <f>IFERROR(__xludf.DUMMYFUNCTION("""COMPUTED_VALUE"""),"CAMPBELLFORD")</f>
        <v>CAMPBELLFORD</v>
      </c>
      <c r="D5934" s="3" t="str">
        <f>IFERROR(__xludf.DUMMYFUNCTION("""COMPUTED_VALUE"""),"K0L 1L0")</f>
        <v>K0L 1L0</v>
      </c>
      <c r="E5934" s="3" t="str">
        <f>IFERROR(__xludf.DUMMYFUNCTION("""COMPUTED_VALUE"""),"cathy herrington")</f>
        <v>cathy herrington</v>
      </c>
      <c r="F5934" s="3" t="str">
        <f>IFERROR(__xludf.DUMMYFUNCTION("""COMPUTED_VALUE"""),"cherrington@gmail.com")</f>
        <v>cherrington@gmail.com</v>
      </c>
      <c r="G5934" s="3">
        <f>IFERROR(__xludf.DUMMYFUNCTION("""COMPUTED_VALUE"""),7.055597983E9)</f>
        <v>7055597983</v>
      </c>
      <c r="H5934" s="3"/>
    </row>
    <row r="5935">
      <c r="A5935" s="2">
        <f>IFERROR(__xludf.DUMMYFUNCTION("""COMPUTED_VALUE"""),63002.0)</f>
        <v>63002</v>
      </c>
      <c r="B5935" s="3" t="str">
        <f>IFERROR(__xludf.DUMMYFUNCTION("""COMPUTED_VALUE"""),"471 PERCY BOOM RD  ")</f>
        <v>471 PERCY BOOM RD  </v>
      </c>
      <c r="C5935" s="3" t="str">
        <f>IFERROR(__xludf.DUMMYFUNCTION("""COMPUTED_VALUE"""),"CAMPBELLFORD")</f>
        <v>CAMPBELLFORD</v>
      </c>
      <c r="D5935" s="3" t="str">
        <f>IFERROR(__xludf.DUMMYFUNCTION("""COMPUTED_VALUE"""),"K0L 1L0")</f>
        <v>K0L 1L0</v>
      </c>
      <c r="E5935" s="3" t="str">
        <f>IFERROR(__xludf.DUMMYFUNCTION("""COMPUTED_VALUE"""),"robert longo")</f>
        <v>robert longo</v>
      </c>
      <c r="F5935" s="3" t="str">
        <f>IFERROR(__xludf.DUMMYFUNCTION("""COMPUTED_VALUE"""),"boblongo63@gmail.com")</f>
        <v>boblongo63@gmail.com</v>
      </c>
      <c r="G5935" s="3">
        <f>IFERROR(__xludf.DUMMYFUNCTION("""COMPUTED_VALUE"""),6.47273778E9)</f>
        <v>6472737780</v>
      </c>
      <c r="H5935" s="3"/>
    </row>
    <row r="5936">
      <c r="A5936" s="2">
        <f>IFERROR(__xludf.DUMMYFUNCTION("""COMPUTED_VALUE"""),63003.0)</f>
        <v>63003</v>
      </c>
      <c r="B5936" s="3" t="str">
        <f>IFERROR(__xludf.DUMMYFUNCTION("""COMPUTED_VALUE"""),"475 PERCY BOOM RD  ")</f>
        <v>475 PERCY BOOM RD  </v>
      </c>
      <c r="C5936" s="3" t="str">
        <f>IFERROR(__xludf.DUMMYFUNCTION("""COMPUTED_VALUE"""),"CAMPBELLFORD")</f>
        <v>CAMPBELLFORD</v>
      </c>
      <c r="D5936" s="3" t="str">
        <f>IFERROR(__xludf.DUMMYFUNCTION("""COMPUTED_VALUE"""),"K0L 1L0")</f>
        <v>K0L 1L0</v>
      </c>
      <c r="E5936" s="3"/>
      <c r="F5936" s="3"/>
      <c r="G5936" s="3"/>
      <c r="H5936" s="3"/>
    </row>
    <row r="5937">
      <c r="A5937" s="2">
        <f>IFERROR(__xludf.DUMMYFUNCTION("""COMPUTED_VALUE"""),63004.0)</f>
        <v>63004</v>
      </c>
      <c r="B5937" s="3" t="str">
        <f>IFERROR(__xludf.DUMMYFUNCTION("""COMPUTED_VALUE"""),"480 PERCY BOOM RD  ")</f>
        <v>480 PERCY BOOM RD  </v>
      </c>
      <c r="C5937" s="3" t="str">
        <f>IFERROR(__xludf.DUMMYFUNCTION("""COMPUTED_VALUE"""),"CAMPBELLFORD")</f>
        <v>CAMPBELLFORD</v>
      </c>
      <c r="D5937" s="3" t="str">
        <f>IFERROR(__xludf.DUMMYFUNCTION("""COMPUTED_VALUE"""),"K0L 1L0")</f>
        <v>K0L 1L0</v>
      </c>
      <c r="E5937" s="3"/>
      <c r="F5937" s="3"/>
      <c r="G5937" s="3"/>
      <c r="H5937" s="3"/>
    </row>
    <row r="5938">
      <c r="A5938" s="2">
        <f>IFERROR(__xludf.DUMMYFUNCTION("""COMPUTED_VALUE"""),63005.0)</f>
        <v>63005</v>
      </c>
      <c r="B5938" s="3" t="str">
        <f>IFERROR(__xludf.DUMMYFUNCTION("""COMPUTED_VALUE"""),"483 PERCY BOOM RD  ")</f>
        <v>483 PERCY BOOM RD  </v>
      </c>
      <c r="C5938" s="3" t="str">
        <f>IFERROR(__xludf.DUMMYFUNCTION("""COMPUTED_VALUE"""),"CAMPBELLFORD")</f>
        <v>CAMPBELLFORD</v>
      </c>
      <c r="D5938" s="3" t="str">
        <f>IFERROR(__xludf.DUMMYFUNCTION("""COMPUTED_VALUE"""),"K0L 1L0")</f>
        <v>K0L 1L0</v>
      </c>
      <c r="E5938" s="3" t="str">
        <f>IFERROR(__xludf.DUMMYFUNCTION("""COMPUTED_VALUE"""),"William Grant")</f>
        <v>William Grant</v>
      </c>
      <c r="F5938" s="3" t="str">
        <f>IFERROR(__xludf.DUMMYFUNCTION("""COMPUTED_VALUE"""),"scotlandgrant@gmail.com")</f>
        <v>scotlandgrant@gmail.com</v>
      </c>
      <c r="G5938" s="3">
        <f>IFERROR(__xludf.DUMMYFUNCTION("""COMPUTED_VALUE"""),6.138134205E9)</f>
        <v>6138134205</v>
      </c>
      <c r="H5938" s="3"/>
    </row>
    <row r="5939">
      <c r="A5939" s="2">
        <f>IFERROR(__xludf.DUMMYFUNCTION("""COMPUTED_VALUE"""),63006.0)</f>
        <v>63006</v>
      </c>
      <c r="B5939" s="3" t="str">
        <f>IFERROR(__xludf.DUMMYFUNCTION("""COMPUTED_VALUE"""),"493 PERCY BOOM RD  ")</f>
        <v>493 PERCY BOOM RD  </v>
      </c>
      <c r="C5939" s="3" t="str">
        <f>IFERROR(__xludf.DUMMYFUNCTION("""COMPUTED_VALUE"""),"CAMPBELLFORD")</f>
        <v>CAMPBELLFORD</v>
      </c>
      <c r="D5939" s="3" t="str">
        <f>IFERROR(__xludf.DUMMYFUNCTION("""COMPUTED_VALUE"""),"K0L 1L0")</f>
        <v>K0L 1L0</v>
      </c>
      <c r="E5939" s="3" t="str">
        <f>IFERROR(__xludf.DUMMYFUNCTION("""COMPUTED_VALUE"""),"adam macgregor ")</f>
        <v>adam macgregor </v>
      </c>
      <c r="F5939" s="3" t="str">
        <f>IFERROR(__xludf.DUMMYFUNCTION("""COMPUTED_VALUE"""),"macgregor.adamscott@gmail.com")</f>
        <v>macgregor.adamscott@gmail.com</v>
      </c>
      <c r="G5939" s="3">
        <f>IFERROR(__xludf.DUMMYFUNCTION("""COMPUTED_VALUE"""),6.479879484E9)</f>
        <v>6479879484</v>
      </c>
      <c r="H5939" s="3"/>
    </row>
    <row r="5940">
      <c r="A5940" s="2">
        <f>IFERROR(__xludf.DUMMYFUNCTION("""COMPUTED_VALUE"""),63007.0)</f>
        <v>63007</v>
      </c>
      <c r="B5940" s="3" t="str">
        <f>IFERROR(__xludf.DUMMYFUNCTION("""COMPUTED_VALUE"""),"497 PERCY BOOM RD  ")</f>
        <v>497 PERCY BOOM RD  </v>
      </c>
      <c r="C5940" s="3" t="str">
        <f>IFERROR(__xludf.DUMMYFUNCTION("""COMPUTED_VALUE"""),"CAMPBELLFORD")</f>
        <v>CAMPBELLFORD</v>
      </c>
      <c r="D5940" s="3" t="str">
        <f>IFERROR(__xludf.DUMMYFUNCTION("""COMPUTED_VALUE"""),"K0L 1L0")</f>
        <v>K0L 1L0</v>
      </c>
      <c r="E5940" s="3" t="str">
        <f>IFERROR(__xludf.DUMMYFUNCTION("""COMPUTED_VALUE"""),"david overholt")</f>
        <v>david overholt</v>
      </c>
      <c r="F5940" s="3"/>
      <c r="G5940" s="3">
        <f>IFERROR(__xludf.DUMMYFUNCTION("""COMPUTED_VALUE"""),7.056536258E9)</f>
        <v>7056536258</v>
      </c>
      <c r="H5940" s="3"/>
    </row>
    <row r="5941">
      <c r="A5941" s="2">
        <f>IFERROR(__xludf.DUMMYFUNCTION("""COMPUTED_VALUE"""),63008.0)</f>
        <v>63008</v>
      </c>
      <c r="B5941" s="3" t="str">
        <f>IFERROR(__xludf.DUMMYFUNCTION("""COMPUTED_VALUE"""),"515 PERCY BOOM RD  ")</f>
        <v>515 PERCY BOOM RD  </v>
      </c>
      <c r="C5941" s="3" t="str">
        <f>IFERROR(__xludf.DUMMYFUNCTION("""COMPUTED_VALUE"""),"CAMPBELLFORD")</f>
        <v>CAMPBELLFORD</v>
      </c>
      <c r="D5941" s="3" t="str">
        <f>IFERROR(__xludf.DUMMYFUNCTION("""COMPUTED_VALUE"""),"K0L 1L0")</f>
        <v>K0L 1L0</v>
      </c>
      <c r="E5941" s="3" t="str">
        <f>IFERROR(__xludf.DUMMYFUNCTION("""COMPUTED_VALUE"""),"tim miller ")</f>
        <v>tim miller </v>
      </c>
      <c r="F5941" s="3"/>
      <c r="G5941" s="3">
        <f>IFERROR(__xludf.DUMMYFUNCTION("""COMPUTED_VALUE"""),9.052699515E9)</f>
        <v>9052699515</v>
      </c>
      <c r="H5941" s="3"/>
    </row>
    <row r="5942">
      <c r="A5942" s="2">
        <f>IFERROR(__xludf.DUMMYFUNCTION("""COMPUTED_VALUE"""),63009.0)</f>
        <v>63009</v>
      </c>
      <c r="B5942" s="3" t="str">
        <f>IFERROR(__xludf.DUMMYFUNCTION("""COMPUTED_VALUE"""),"536 PERCY BOOM RD  ")</f>
        <v>536 PERCY BOOM RD  </v>
      </c>
      <c r="C5942" s="3" t="str">
        <f>IFERROR(__xludf.DUMMYFUNCTION("""COMPUTED_VALUE"""),"CAMPBELLFORD")</f>
        <v>CAMPBELLFORD</v>
      </c>
      <c r="D5942" s="3" t="str">
        <f>IFERROR(__xludf.DUMMYFUNCTION("""COMPUTED_VALUE"""),"K0L 1L0")</f>
        <v>K0L 1L0</v>
      </c>
      <c r="E5942" s="3" t="str">
        <f>IFERROR(__xludf.DUMMYFUNCTION("""COMPUTED_VALUE"""),"paul gamacke")</f>
        <v>paul gamacke</v>
      </c>
      <c r="F5942" s="3" t="str">
        <f>IFERROR(__xludf.DUMMYFUNCTION("""COMPUTED_VALUE"""),"pgamacke@hotmail.com")</f>
        <v>pgamacke@hotmail.com</v>
      </c>
      <c r="G5942" s="3">
        <f>IFERROR(__xludf.DUMMYFUNCTION("""COMPUTED_VALUE"""),4.165736918E9)</f>
        <v>4165736918</v>
      </c>
      <c r="H5942" s="3"/>
    </row>
    <row r="5943">
      <c r="A5943" s="2">
        <f>IFERROR(__xludf.DUMMYFUNCTION("""COMPUTED_VALUE"""),63010.0)</f>
        <v>63010</v>
      </c>
      <c r="B5943" s="3" t="str">
        <f>IFERROR(__xludf.DUMMYFUNCTION("""COMPUTED_VALUE"""),"547 PERCY BOOM RD  ")</f>
        <v>547 PERCY BOOM RD  </v>
      </c>
      <c r="C5943" s="3" t="str">
        <f>IFERROR(__xludf.DUMMYFUNCTION("""COMPUTED_VALUE"""),"CAMPBELLFORD")</f>
        <v>CAMPBELLFORD</v>
      </c>
      <c r="D5943" s="3" t="str">
        <f>IFERROR(__xludf.DUMMYFUNCTION("""COMPUTED_VALUE"""),"K0L 1L0")</f>
        <v>K0L 1L0</v>
      </c>
      <c r="E5943" s="3"/>
      <c r="F5943" s="3"/>
      <c r="G5943" s="3"/>
      <c r="H5943" s="3"/>
    </row>
    <row r="5944">
      <c r="A5944" s="2">
        <f>IFERROR(__xludf.DUMMYFUNCTION("""COMPUTED_VALUE"""),63011.0)</f>
        <v>63011</v>
      </c>
      <c r="B5944" s="3" t="str">
        <f>IFERROR(__xludf.DUMMYFUNCTION("""COMPUTED_VALUE"""),"550 PERCY BOOM RD  ")</f>
        <v>550 PERCY BOOM RD  </v>
      </c>
      <c r="C5944" s="3" t="str">
        <f>IFERROR(__xludf.DUMMYFUNCTION("""COMPUTED_VALUE"""),"CAMPBELLFORD")</f>
        <v>CAMPBELLFORD</v>
      </c>
      <c r="D5944" s="3" t="str">
        <f>IFERROR(__xludf.DUMMYFUNCTION("""COMPUTED_VALUE"""),"K0L 1L0")</f>
        <v>K0L 1L0</v>
      </c>
      <c r="E5944" s="3" t="str">
        <f>IFERROR(__xludf.DUMMYFUNCTION("""COMPUTED_VALUE"""),"sherry hicks ")</f>
        <v>sherry hicks </v>
      </c>
      <c r="F5944" s="3" t="str">
        <f>IFERROR(__xludf.DUMMYFUNCTION("""COMPUTED_VALUE"""),"sherryh669@gmail.com")</f>
        <v>sherryh669@gmail.com</v>
      </c>
      <c r="G5944" s="3">
        <f>IFERROR(__xludf.DUMMYFUNCTION("""COMPUTED_VALUE"""),7.057726319E9)</f>
        <v>7057726319</v>
      </c>
      <c r="H5944" s="3"/>
    </row>
    <row r="5945">
      <c r="A5945" s="2">
        <f>IFERROR(__xludf.DUMMYFUNCTION("""COMPUTED_VALUE"""),63012.0)</f>
        <v>63012</v>
      </c>
      <c r="B5945" s="3" t="str">
        <f>IFERROR(__xludf.DUMMYFUNCTION("""COMPUTED_VALUE"""),"551 PERCY BOOM RD  ")</f>
        <v>551 PERCY BOOM RD  </v>
      </c>
      <c r="C5945" s="3" t="str">
        <f>IFERROR(__xludf.DUMMYFUNCTION("""COMPUTED_VALUE"""),"CAMPBELLFORD")</f>
        <v>CAMPBELLFORD</v>
      </c>
      <c r="D5945" s="3" t="str">
        <f>IFERROR(__xludf.DUMMYFUNCTION("""COMPUTED_VALUE"""),"K0L 1L0")</f>
        <v>K0L 1L0</v>
      </c>
      <c r="E5945" s="3" t="str">
        <f>IFERROR(__xludf.DUMMYFUNCTION("""COMPUTED_VALUE"""),"bert ruhl ")</f>
        <v>bert ruhl </v>
      </c>
      <c r="F5945" s="3" t="str">
        <f>IFERROR(__xludf.DUMMYFUNCTION("""COMPUTED_VALUE"""),"fbird2000@hotmail.com")</f>
        <v>fbird2000@hotmail.com</v>
      </c>
      <c r="G5945" s="3">
        <f>IFERROR(__xludf.DUMMYFUNCTION("""COMPUTED_VALUE"""),9.059141749E9)</f>
        <v>9059141749</v>
      </c>
      <c r="H5945" s="3"/>
    </row>
    <row r="5946">
      <c r="A5946" s="2">
        <f>IFERROR(__xludf.DUMMYFUNCTION("""COMPUTED_VALUE"""),63013.0)</f>
        <v>63013</v>
      </c>
      <c r="B5946" s="3" t="str">
        <f>IFERROR(__xludf.DUMMYFUNCTION("""COMPUTED_VALUE"""),"561 PERCY BOOM RD  ")</f>
        <v>561 PERCY BOOM RD  </v>
      </c>
      <c r="C5946" s="3" t="str">
        <f>IFERROR(__xludf.DUMMYFUNCTION("""COMPUTED_VALUE"""),"CAMPBELLFORD")</f>
        <v>CAMPBELLFORD</v>
      </c>
      <c r="D5946" s="3" t="str">
        <f>IFERROR(__xludf.DUMMYFUNCTION("""COMPUTED_VALUE"""),"K0L 1L0")</f>
        <v>K0L 1L0</v>
      </c>
      <c r="E5946" s="3"/>
      <c r="F5946" s="3"/>
      <c r="G5946" s="3"/>
      <c r="H5946" s="3"/>
    </row>
    <row r="5947">
      <c r="A5947" s="2">
        <f>IFERROR(__xludf.DUMMYFUNCTION("""COMPUTED_VALUE"""),63014.0)</f>
        <v>63014</v>
      </c>
      <c r="B5947" s="3" t="str">
        <f>IFERROR(__xludf.DUMMYFUNCTION("""COMPUTED_VALUE"""),"569 PERCY BOOM RD  ")</f>
        <v>569 PERCY BOOM RD  </v>
      </c>
      <c r="C5947" s="3" t="str">
        <f>IFERROR(__xludf.DUMMYFUNCTION("""COMPUTED_VALUE"""),"CAMPBELLFORD")</f>
        <v>CAMPBELLFORD</v>
      </c>
      <c r="D5947" s="3" t="str">
        <f>IFERROR(__xludf.DUMMYFUNCTION("""COMPUTED_VALUE"""),"K0L 1L0")</f>
        <v>K0L 1L0</v>
      </c>
      <c r="E5947" s="3"/>
      <c r="F5947" s="3"/>
      <c r="G5947" s="3"/>
      <c r="H5947" s="3"/>
    </row>
    <row r="5948">
      <c r="A5948" s="2">
        <f>IFERROR(__xludf.DUMMYFUNCTION("""COMPUTED_VALUE"""),63015.0)</f>
        <v>63015</v>
      </c>
      <c r="B5948" s="3" t="str">
        <f>IFERROR(__xludf.DUMMYFUNCTION("""COMPUTED_VALUE"""),"577 PERCY BOOM RD  ")</f>
        <v>577 PERCY BOOM RD  </v>
      </c>
      <c r="C5948" s="3" t="str">
        <f>IFERROR(__xludf.DUMMYFUNCTION("""COMPUTED_VALUE"""),"CAMPBELLFORD")</f>
        <v>CAMPBELLFORD</v>
      </c>
      <c r="D5948" s="3" t="str">
        <f>IFERROR(__xludf.DUMMYFUNCTION("""COMPUTED_VALUE"""),"K0L 1L0")</f>
        <v>K0L 1L0</v>
      </c>
      <c r="E5948" s="3"/>
      <c r="F5948" s="3"/>
      <c r="G5948" s="3"/>
      <c r="H5948" s="3"/>
    </row>
    <row r="5949">
      <c r="A5949" s="2">
        <f>IFERROR(__xludf.DUMMYFUNCTION("""COMPUTED_VALUE"""),63016.0)</f>
        <v>63016</v>
      </c>
      <c r="B5949" s="3" t="str">
        <f>IFERROR(__xludf.DUMMYFUNCTION("""COMPUTED_VALUE"""),"584 PERCY BOOM RD  ")</f>
        <v>584 PERCY BOOM RD  </v>
      </c>
      <c r="C5949" s="3" t="str">
        <f>IFERROR(__xludf.DUMMYFUNCTION("""COMPUTED_VALUE"""),"CAMPBELLFORD")</f>
        <v>CAMPBELLFORD</v>
      </c>
      <c r="D5949" s="3" t="str">
        <f>IFERROR(__xludf.DUMMYFUNCTION("""COMPUTED_VALUE"""),"K0L 1L0")</f>
        <v>K0L 1L0</v>
      </c>
      <c r="E5949" s="3" t="str">
        <f>IFERROR(__xludf.DUMMYFUNCTION("""COMPUTED_VALUE"""),"Dawn Welch")</f>
        <v>Dawn Welch</v>
      </c>
      <c r="F5949" s="3" t="str">
        <f>IFERROR(__xludf.DUMMYFUNCTION("""COMPUTED_VALUE"""),"dawn_welch@live.ca")</f>
        <v>dawn_welch@live.ca</v>
      </c>
      <c r="G5949" s="3">
        <f>IFERROR(__xludf.DUMMYFUNCTION("""COMPUTED_VALUE"""),7.05632889E8)</f>
        <v>705632889</v>
      </c>
      <c r="H5949" s="3"/>
    </row>
    <row r="5950">
      <c r="A5950" s="2">
        <f>IFERROR(__xludf.DUMMYFUNCTION("""COMPUTED_VALUE"""),63017.0)</f>
        <v>63017</v>
      </c>
      <c r="B5950" s="3" t="str">
        <f>IFERROR(__xludf.DUMMYFUNCTION("""COMPUTED_VALUE"""),"587 PERCY BOOM RD  ")</f>
        <v>587 PERCY BOOM RD  </v>
      </c>
      <c r="C5950" s="3" t="str">
        <f>IFERROR(__xludf.DUMMYFUNCTION("""COMPUTED_VALUE"""),"CAMPBELLFORD")</f>
        <v>CAMPBELLFORD</v>
      </c>
      <c r="D5950" s="3" t="str">
        <f>IFERROR(__xludf.DUMMYFUNCTION("""COMPUTED_VALUE"""),"K0L 1L0")</f>
        <v>K0L 1L0</v>
      </c>
      <c r="E5950" s="3" t="str">
        <f>IFERROR(__xludf.DUMMYFUNCTION("""COMPUTED_VALUE"""),"amy-jo doherty ")</f>
        <v>amy-jo doherty </v>
      </c>
      <c r="F5950" s="3" t="str">
        <f>IFERROR(__xludf.DUMMYFUNCTION("""COMPUTED_VALUE"""),"boomblades@gmail.com ")</f>
        <v>boomblades@gmail.com </v>
      </c>
      <c r="G5950" s="3">
        <f>IFERROR(__xludf.DUMMYFUNCTION("""COMPUTED_VALUE"""),7.057725121E9)</f>
        <v>7057725121</v>
      </c>
      <c r="H5950" s="3">
        <f>IFERROR(__xludf.DUMMYFUNCTION("""COMPUTED_VALUE"""),7.05772512E9)</f>
        <v>7057725120</v>
      </c>
    </row>
    <row r="5951">
      <c r="A5951" s="2">
        <f>IFERROR(__xludf.DUMMYFUNCTION("""COMPUTED_VALUE"""),63018.0)</f>
        <v>63018</v>
      </c>
      <c r="B5951" s="3" t="str">
        <f>IFERROR(__xludf.DUMMYFUNCTION("""COMPUTED_VALUE"""),"595 PERCY BOOM RD  ")</f>
        <v>595 PERCY BOOM RD  </v>
      </c>
      <c r="C5951" s="3" t="str">
        <f>IFERROR(__xludf.DUMMYFUNCTION("""COMPUTED_VALUE"""),"CAMPBELLFORD")</f>
        <v>CAMPBELLFORD</v>
      </c>
      <c r="D5951" s="3" t="str">
        <f>IFERROR(__xludf.DUMMYFUNCTION("""COMPUTED_VALUE"""),"K0L 1L0")</f>
        <v>K0L 1L0</v>
      </c>
      <c r="E5951" s="3"/>
      <c r="F5951" s="3"/>
      <c r="G5951" s="3"/>
      <c r="H5951" s="3"/>
    </row>
    <row r="5952">
      <c r="A5952" s="2">
        <f>IFERROR(__xludf.DUMMYFUNCTION("""COMPUTED_VALUE"""),63019.0)</f>
        <v>63019</v>
      </c>
      <c r="B5952" s="3" t="str">
        <f>IFERROR(__xludf.DUMMYFUNCTION("""COMPUTED_VALUE"""),"604 PERCY BOOM RD  ")</f>
        <v>604 PERCY BOOM RD  </v>
      </c>
      <c r="C5952" s="3" t="str">
        <f>IFERROR(__xludf.DUMMYFUNCTION("""COMPUTED_VALUE"""),"CAMPBELLFORD")</f>
        <v>CAMPBELLFORD</v>
      </c>
      <c r="D5952" s="3" t="str">
        <f>IFERROR(__xludf.DUMMYFUNCTION("""COMPUTED_VALUE"""),"K0L 1L0")</f>
        <v>K0L 1L0</v>
      </c>
      <c r="E5952" s="3"/>
      <c r="F5952" s="3"/>
      <c r="G5952" s="3"/>
      <c r="H5952" s="3"/>
    </row>
    <row r="5953">
      <c r="A5953" s="2">
        <f>IFERROR(__xludf.DUMMYFUNCTION("""COMPUTED_VALUE"""),63020.0)</f>
        <v>63020</v>
      </c>
      <c r="B5953" s="3" t="str">
        <f>IFERROR(__xludf.DUMMYFUNCTION("""COMPUTED_VALUE"""),"614 PERCY BOOM RD  ")</f>
        <v>614 PERCY BOOM RD  </v>
      </c>
      <c r="C5953" s="3" t="str">
        <f>IFERROR(__xludf.DUMMYFUNCTION("""COMPUTED_VALUE"""),"CAMPBELLFORD")</f>
        <v>CAMPBELLFORD</v>
      </c>
      <c r="D5953" s="3" t="str">
        <f>IFERROR(__xludf.DUMMYFUNCTION("""COMPUTED_VALUE"""),"K0L 1L0")</f>
        <v>K0L 1L0</v>
      </c>
      <c r="E5953" s="3"/>
      <c r="F5953" s="3"/>
      <c r="G5953" s="3"/>
      <c r="H5953" s="3"/>
    </row>
    <row r="5954">
      <c r="A5954" s="2">
        <f>IFERROR(__xludf.DUMMYFUNCTION("""COMPUTED_VALUE"""),63021.0)</f>
        <v>63021</v>
      </c>
      <c r="B5954" s="3" t="str">
        <f>IFERROR(__xludf.DUMMYFUNCTION("""COMPUTED_VALUE"""),"624 PERCY BOOM RD  ")</f>
        <v>624 PERCY BOOM RD  </v>
      </c>
      <c r="C5954" s="3" t="str">
        <f>IFERROR(__xludf.DUMMYFUNCTION("""COMPUTED_VALUE"""),"CAMPBELLFORD")</f>
        <v>CAMPBELLFORD</v>
      </c>
      <c r="D5954" s="3" t="str">
        <f>IFERROR(__xludf.DUMMYFUNCTION("""COMPUTED_VALUE"""),"K0L 1L0")</f>
        <v>K0L 1L0</v>
      </c>
      <c r="E5954" s="3" t="str">
        <f>IFERROR(__xludf.DUMMYFUNCTION("""COMPUTED_VALUE"""),"shelby lamarre ")</f>
        <v>shelby lamarre </v>
      </c>
      <c r="F5954" s="3" t="str">
        <f>IFERROR(__xludf.DUMMYFUNCTION("""COMPUTED_VALUE"""),"lamarreshelby@gmail.com")</f>
        <v>lamarreshelby@gmail.com</v>
      </c>
      <c r="G5954" s="3">
        <f>IFERROR(__xludf.DUMMYFUNCTION("""COMPUTED_VALUE"""),5.195660723E9)</f>
        <v>5195660723</v>
      </c>
      <c r="H5954" s="3"/>
    </row>
    <row r="5955">
      <c r="A5955" s="2">
        <f>IFERROR(__xludf.DUMMYFUNCTION("""COMPUTED_VALUE"""),63022.0)</f>
        <v>63022</v>
      </c>
      <c r="B5955" s="3" t="str">
        <f>IFERROR(__xludf.DUMMYFUNCTION("""COMPUTED_VALUE"""),"642 PERCY BOOM RD  ")</f>
        <v>642 PERCY BOOM RD  </v>
      </c>
      <c r="C5955" s="3" t="str">
        <f>IFERROR(__xludf.DUMMYFUNCTION("""COMPUTED_VALUE"""),"CAMPBELLFORD")</f>
        <v>CAMPBELLFORD</v>
      </c>
      <c r="D5955" s="3" t="str">
        <f>IFERROR(__xludf.DUMMYFUNCTION("""COMPUTED_VALUE"""),"K0L 1L0")</f>
        <v>K0L 1L0</v>
      </c>
      <c r="E5955" s="3" t="str">
        <f>IFERROR(__xludf.DUMMYFUNCTION("""COMPUTED_VALUE"""),"robert herobin ")</f>
        <v>robert herobin </v>
      </c>
      <c r="F5955" s="3" t="str">
        <f>IFERROR(__xludf.DUMMYFUNCTION("""COMPUTED_VALUE"""),"rhorobin@xplorenet.ca")</f>
        <v>rhorobin@xplorenet.ca</v>
      </c>
      <c r="G5955" s="3">
        <f>IFERROR(__xludf.DUMMYFUNCTION("""COMPUTED_VALUE"""),7.0565315686E10)</f>
        <v>70565315686</v>
      </c>
      <c r="H5955" s="3"/>
    </row>
    <row r="5956">
      <c r="A5956" s="2">
        <f>IFERROR(__xludf.DUMMYFUNCTION("""COMPUTED_VALUE"""),63023.0)</f>
        <v>63023</v>
      </c>
      <c r="B5956" s="3" t="str">
        <f>IFERROR(__xludf.DUMMYFUNCTION("""COMPUTED_VALUE"""),"650 PERCY BOOM RD  ")</f>
        <v>650 PERCY BOOM RD  </v>
      </c>
      <c r="C5956" s="3" t="str">
        <f>IFERROR(__xludf.DUMMYFUNCTION("""COMPUTED_VALUE"""),"CAMPBELLFORD")</f>
        <v>CAMPBELLFORD</v>
      </c>
      <c r="D5956" s="3" t="str">
        <f>IFERROR(__xludf.DUMMYFUNCTION("""COMPUTED_VALUE"""),"K0L 1L0")</f>
        <v>K0L 1L0</v>
      </c>
      <c r="E5956" s="3" t="str">
        <f>IFERROR(__xludf.DUMMYFUNCTION("""COMPUTED_VALUE"""),"may and robert murphy ")</f>
        <v>may and robert murphy </v>
      </c>
      <c r="F5956" s="3" t="str">
        <f>IFERROR(__xludf.DUMMYFUNCTION("""COMPUTED_VALUE"""),"dragon.lady6000@gmail.com")</f>
        <v>dragon.lady6000@gmail.com</v>
      </c>
      <c r="G5956" s="3">
        <f>IFERROR(__xludf.DUMMYFUNCTION("""COMPUTED_VALUE"""),7.056535667E9)</f>
        <v>7056535667</v>
      </c>
      <c r="H5956" s="3"/>
    </row>
    <row r="5957">
      <c r="A5957" s="2">
        <f>IFERROR(__xludf.DUMMYFUNCTION("""COMPUTED_VALUE"""),63024.0)</f>
        <v>63024</v>
      </c>
      <c r="B5957" s="3" t="str">
        <f>IFERROR(__xludf.DUMMYFUNCTION("""COMPUTED_VALUE"""),"652 PERCY BOOM RD  ")</f>
        <v>652 PERCY BOOM RD  </v>
      </c>
      <c r="C5957" s="3" t="str">
        <f>IFERROR(__xludf.DUMMYFUNCTION("""COMPUTED_VALUE"""),"CAMPBELLFORD")</f>
        <v>CAMPBELLFORD</v>
      </c>
      <c r="D5957" s="3" t="str">
        <f>IFERROR(__xludf.DUMMYFUNCTION("""COMPUTED_VALUE"""),"K0L 1L0")</f>
        <v>K0L 1L0</v>
      </c>
      <c r="E5957" s="3" t="str">
        <f>IFERROR(__xludf.DUMMYFUNCTION("""COMPUTED_VALUE"""),"bernard stall")</f>
        <v>bernard stall</v>
      </c>
      <c r="F5957" s="3" t="str">
        <f>IFERROR(__xludf.DUMMYFUNCTION("""COMPUTED_VALUE"""),"buddystohiz@gmail.com")</f>
        <v>buddystohiz@gmail.com</v>
      </c>
      <c r="G5957" s="3"/>
      <c r="H5957" s="3"/>
    </row>
    <row r="5958">
      <c r="A5958" s="2">
        <f>IFERROR(__xludf.DUMMYFUNCTION("""COMPUTED_VALUE"""),63025.0)</f>
        <v>63025</v>
      </c>
      <c r="B5958" s="3" t="str">
        <f>IFERROR(__xludf.DUMMYFUNCTION("""COMPUTED_VALUE"""),"658 PERCY BOOM RD  ")</f>
        <v>658 PERCY BOOM RD  </v>
      </c>
      <c r="C5958" s="3" t="str">
        <f>IFERROR(__xludf.DUMMYFUNCTION("""COMPUTED_VALUE"""),"CAMPBELLFORD")</f>
        <v>CAMPBELLFORD</v>
      </c>
      <c r="D5958" s="3" t="str">
        <f>IFERROR(__xludf.DUMMYFUNCTION("""COMPUTED_VALUE"""),"K0L 1L0")</f>
        <v>K0L 1L0</v>
      </c>
      <c r="E5958" s="3" t="str">
        <f>IFERROR(__xludf.DUMMYFUNCTION("""COMPUTED_VALUE"""),"glynis lobo ")</f>
        <v>glynis lobo </v>
      </c>
      <c r="F5958" s="3" t="str">
        <f>IFERROR(__xludf.DUMMYFUNCTION("""COMPUTED_VALUE"""),"glynislobo@hotmail.com")</f>
        <v>glynislobo@hotmail.com</v>
      </c>
      <c r="G5958" s="3">
        <f>IFERROR(__xludf.DUMMYFUNCTION("""COMPUTED_VALUE"""),9.056531712E9)</f>
        <v>9056531712</v>
      </c>
      <c r="H5958" s="3">
        <f>IFERROR(__xludf.DUMMYFUNCTION("""COMPUTED_VALUE"""),6.972224006E9)</f>
        <v>6972224006</v>
      </c>
    </row>
    <row r="5959">
      <c r="A5959" s="2">
        <f>IFERROR(__xludf.DUMMYFUNCTION("""COMPUTED_VALUE"""),63026.0)</f>
        <v>63026</v>
      </c>
      <c r="B5959" s="3" t="str">
        <f>IFERROR(__xludf.DUMMYFUNCTION("""COMPUTED_VALUE"""),"672 PERCY BOOM RD  ")</f>
        <v>672 PERCY BOOM RD  </v>
      </c>
      <c r="C5959" s="3" t="str">
        <f>IFERROR(__xludf.DUMMYFUNCTION("""COMPUTED_VALUE"""),"CAMPBELLFORD")</f>
        <v>CAMPBELLFORD</v>
      </c>
      <c r="D5959" s="3" t="str">
        <f>IFERROR(__xludf.DUMMYFUNCTION("""COMPUTED_VALUE"""),"K0L 1L0")</f>
        <v>K0L 1L0</v>
      </c>
      <c r="E5959" s="3" t="str">
        <f>IFERROR(__xludf.DUMMYFUNCTION("""COMPUTED_VALUE"""),"wayne jacob ")</f>
        <v>wayne jacob </v>
      </c>
      <c r="F5959" s="3" t="str">
        <f>IFERROR(__xludf.DUMMYFUNCTION("""COMPUTED_VALUE"""),"waynetjacobs@yahoo.ca")</f>
        <v>waynetjacobs@yahoo.ca</v>
      </c>
      <c r="G5959" s="3">
        <f>IFERROR(__xludf.DUMMYFUNCTION("""COMPUTED_VALUE"""),4.164272704E9)</f>
        <v>4164272704</v>
      </c>
      <c r="H5959" s="3"/>
    </row>
    <row r="5960">
      <c r="A5960" s="2">
        <f>IFERROR(__xludf.DUMMYFUNCTION("""COMPUTED_VALUE"""),63027.0)</f>
        <v>63027</v>
      </c>
      <c r="B5960" s="3" t="str">
        <f>IFERROR(__xludf.DUMMYFUNCTION("""COMPUTED_VALUE"""),"673 PERCY BOOM RD  ")</f>
        <v>673 PERCY BOOM RD  </v>
      </c>
      <c r="C5960" s="3" t="str">
        <f>IFERROR(__xludf.DUMMYFUNCTION("""COMPUTED_VALUE"""),"CAMPBELLFORD")</f>
        <v>CAMPBELLFORD</v>
      </c>
      <c r="D5960" s="3" t="str">
        <f>IFERROR(__xludf.DUMMYFUNCTION("""COMPUTED_VALUE"""),"K0L 1L0")</f>
        <v>K0L 1L0</v>
      </c>
      <c r="E5960" s="3" t="str">
        <f>IFERROR(__xludf.DUMMYFUNCTION("""COMPUTED_VALUE"""),"raj joshi ")</f>
        <v>raj joshi </v>
      </c>
      <c r="F5960" s="3" t="str">
        <f>IFERROR(__xludf.DUMMYFUNCTION("""COMPUTED_VALUE"""),"ritujoshi1@hotmail.com")</f>
        <v>ritujoshi1@hotmail.com</v>
      </c>
      <c r="G5960" s="3">
        <f>IFERROR(__xludf.DUMMYFUNCTION("""COMPUTED_VALUE"""),4.163830101E9)</f>
        <v>4163830101</v>
      </c>
      <c r="H5960" s="3"/>
    </row>
    <row r="5961">
      <c r="A5961" s="2">
        <f>IFERROR(__xludf.DUMMYFUNCTION("""COMPUTED_VALUE"""),63028.0)</f>
        <v>63028</v>
      </c>
      <c r="B5961" s="3" t="str">
        <f>IFERROR(__xludf.DUMMYFUNCTION("""COMPUTED_VALUE"""),"681 PERCY BOOM RD  ")</f>
        <v>681 PERCY BOOM RD  </v>
      </c>
      <c r="C5961" s="3" t="str">
        <f>IFERROR(__xludf.DUMMYFUNCTION("""COMPUTED_VALUE"""),"CAMPBELLFORD")</f>
        <v>CAMPBELLFORD</v>
      </c>
      <c r="D5961" s="3" t="str">
        <f>IFERROR(__xludf.DUMMYFUNCTION("""COMPUTED_VALUE"""),"K0L 1L0")</f>
        <v>K0L 1L0</v>
      </c>
      <c r="E5961" s="3"/>
      <c r="F5961" s="3"/>
      <c r="G5961" s="3"/>
      <c r="H5961" s="3"/>
    </row>
    <row r="5962">
      <c r="A5962" s="2">
        <f>IFERROR(__xludf.DUMMYFUNCTION("""COMPUTED_VALUE"""),63029.0)</f>
        <v>63029</v>
      </c>
      <c r="B5962" s="3" t="str">
        <f>IFERROR(__xludf.DUMMYFUNCTION("""COMPUTED_VALUE"""),"684 PERCY BOOM RD  ")</f>
        <v>684 PERCY BOOM RD  </v>
      </c>
      <c r="C5962" s="3" t="str">
        <f>IFERROR(__xludf.DUMMYFUNCTION("""COMPUTED_VALUE"""),"CAMPBELLFORD")</f>
        <v>CAMPBELLFORD</v>
      </c>
      <c r="D5962" s="3" t="str">
        <f>IFERROR(__xludf.DUMMYFUNCTION("""COMPUTED_VALUE"""),"K0L 1L0")</f>
        <v>K0L 1L0</v>
      </c>
      <c r="E5962" s="3" t="str">
        <f>IFERROR(__xludf.DUMMYFUNCTION("""COMPUTED_VALUE"""),"gene stroeder")</f>
        <v>gene stroeder</v>
      </c>
      <c r="F5962" s="3" t="str">
        <f>IFERROR(__xludf.DUMMYFUNCTION("""COMPUTED_VALUE"""),"gene.stroeder@gmail.com")</f>
        <v>gene.stroeder@gmail.com</v>
      </c>
      <c r="G5962" s="3">
        <f>IFERROR(__xludf.DUMMYFUNCTION("""COMPUTED_VALUE"""),9.053752293E9)</f>
        <v>9053752293</v>
      </c>
      <c r="H5962" s="3"/>
    </row>
    <row r="5963">
      <c r="A5963" s="2">
        <f>IFERROR(__xludf.DUMMYFUNCTION("""COMPUTED_VALUE"""),63030.0)</f>
        <v>63030</v>
      </c>
      <c r="B5963" s="3" t="str">
        <f>IFERROR(__xludf.DUMMYFUNCTION("""COMPUTED_VALUE"""),"691 PERCY BOOM RD  ")</f>
        <v>691 PERCY BOOM RD  </v>
      </c>
      <c r="C5963" s="3" t="str">
        <f>IFERROR(__xludf.DUMMYFUNCTION("""COMPUTED_VALUE"""),"CAMPBELLFORD")</f>
        <v>CAMPBELLFORD</v>
      </c>
      <c r="D5963" s="3" t="str">
        <f>IFERROR(__xludf.DUMMYFUNCTION("""COMPUTED_VALUE"""),"K0L 1L0")</f>
        <v>K0L 1L0</v>
      </c>
      <c r="E5963" s="3"/>
      <c r="F5963" s="3"/>
      <c r="G5963" s="3"/>
      <c r="H5963" s="3"/>
    </row>
    <row r="5964">
      <c r="A5964" s="2">
        <f>IFERROR(__xludf.DUMMYFUNCTION("""COMPUTED_VALUE"""),63031.0)</f>
        <v>63031</v>
      </c>
      <c r="B5964" s="3" t="str">
        <f>IFERROR(__xludf.DUMMYFUNCTION("""COMPUTED_VALUE"""),"702 PERCY BOOM RD  ")</f>
        <v>702 PERCY BOOM RD  </v>
      </c>
      <c r="C5964" s="3" t="str">
        <f>IFERROR(__xludf.DUMMYFUNCTION("""COMPUTED_VALUE"""),"CAMPBELLFORD")</f>
        <v>CAMPBELLFORD</v>
      </c>
      <c r="D5964" s="3" t="str">
        <f>IFERROR(__xludf.DUMMYFUNCTION("""COMPUTED_VALUE"""),"K0L 1L0")</f>
        <v>K0L 1L0</v>
      </c>
      <c r="E5964" s="3" t="str">
        <f>IFERROR(__xludf.DUMMYFUNCTION("""COMPUTED_VALUE"""),"ian holbrook")</f>
        <v>ian holbrook</v>
      </c>
      <c r="F5964" s="3" t="str">
        <f>IFERROR(__xludf.DUMMYFUNCTION("""COMPUTED_VALUE"""),"holbrookian13@gmail.com")</f>
        <v>holbrookian13@gmail.com</v>
      </c>
      <c r="G5964" s="3">
        <f>IFERROR(__xludf.DUMMYFUNCTION("""COMPUTED_VALUE"""),7.056535552E9)</f>
        <v>7056535552</v>
      </c>
      <c r="H5964" s="3">
        <f>IFERROR(__xludf.DUMMYFUNCTION("""COMPUTED_VALUE"""),4.169319345E9)</f>
        <v>4169319345</v>
      </c>
    </row>
    <row r="5965">
      <c r="A5965" s="2">
        <f>IFERROR(__xludf.DUMMYFUNCTION("""COMPUTED_VALUE"""),63032.0)</f>
        <v>63032</v>
      </c>
      <c r="B5965" s="3" t="str">
        <f>IFERROR(__xludf.DUMMYFUNCTION("""COMPUTED_VALUE"""),"711 PERCY BOOM RD  ")</f>
        <v>711 PERCY BOOM RD  </v>
      </c>
      <c r="C5965" s="3" t="str">
        <f>IFERROR(__xludf.DUMMYFUNCTION("""COMPUTED_VALUE"""),"CAMPBELLFORD")</f>
        <v>CAMPBELLFORD</v>
      </c>
      <c r="D5965" s="3" t="str">
        <f>IFERROR(__xludf.DUMMYFUNCTION("""COMPUTED_VALUE"""),"K0L 1L0")</f>
        <v>K0L 1L0</v>
      </c>
      <c r="E5965" s="3" t="str">
        <f>IFERROR(__xludf.DUMMYFUNCTION("""COMPUTED_VALUE"""),"caitlin penney ")</f>
        <v>caitlin penney </v>
      </c>
      <c r="F5965" s="3" t="str">
        <f>IFERROR(__xludf.DUMMYFUNCTION("""COMPUTED_VALUE"""),"caitlynn-nh@hotmail.com")</f>
        <v>caitlynn-nh@hotmail.com</v>
      </c>
      <c r="G5965" s="3">
        <f>IFERROR(__xludf.DUMMYFUNCTION("""COMPUTED_VALUE"""),7.057720002E9)</f>
        <v>7057720002</v>
      </c>
      <c r="H5965" s="3"/>
    </row>
    <row r="5966">
      <c r="A5966" s="2">
        <f>IFERROR(__xludf.DUMMYFUNCTION("""COMPUTED_VALUE"""),63033.0)</f>
        <v>63033</v>
      </c>
      <c r="B5966" s="3" t="str">
        <f>IFERROR(__xludf.DUMMYFUNCTION("""COMPUTED_VALUE"""),"714 PERCY BOOM RD  ")</f>
        <v>714 PERCY BOOM RD  </v>
      </c>
      <c r="C5966" s="3" t="str">
        <f>IFERROR(__xludf.DUMMYFUNCTION("""COMPUTED_VALUE"""),"CAMPBELLFORD")</f>
        <v>CAMPBELLFORD</v>
      </c>
      <c r="D5966" s="3" t="str">
        <f>IFERROR(__xludf.DUMMYFUNCTION("""COMPUTED_VALUE"""),"K0L 1L0")</f>
        <v>K0L 1L0</v>
      </c>
      <c r="E5966" s="3"/>
      <c r="F5966" s="3"/>
      <c r="G5966" s="3"/>
      <c r="H5966" s="3"/>
    </row>
    <row r="5967">
      <c r="A5967" s="2">
        <f>IFERROR(__xludf.DUMMYFUNCTION("""COMPUTED_VALUE"""),63034.0)</f>
        <v>63034</v>
      </c>
      <c r="B5967" s="3" t="str">
        <f>IFERROR(__xludf.DUMMYFUNCTION("""COMPUTED_VALUE"""),"729 PERCY BOOM RD  ")</f>
        <v>729 PERCY BOOM RD  </v>
      </c>
      <c r="C5967" s="3" t="str">
        <f>IFERROR(__xludf.DUMMYFUNCTION("""COMPUTED_VALUE"""),"CAMPBELLFORD")</f>
        <v>CAMPBELLFORD</v>
      </c>
      <c r="D5967" s="3" t="str">
        <f>IFERROR(__xludf.DUMMYFUNCTION("""COMPUTED_VALUE"""),"K0L 1L0")</f>
        <v>K0L 1L0</v>
      </c>
      <c r="E5967" s="3" t="str">
        <f>IFERROR(__xludf.DUMMYFUNCTION("""COMPUTED_VALUE"""),"elizabeth ")</f>
        <v>elizabeth </v>
      </c>
      <c r="F5967" s="3"/>
      <c r="G5967" s="3">
        <f>IFERROR(__xludf.DUMMYFUNCTION("""COMPUTED_VALUE"""),4.374768309E9)</f>
        <v>4374768309</v>
      </c>
      <c r="H5967" s="3"/>
    </row>
    <row r="5968">
      <c r="A5968" s="2">
        <f>IFERROR(__xludf.DUMMYFUNCTION("""COMPUTED_VALUE"""),63035.0)</f>
        <v>63035</v>
      </c>
      <c r="B5968" s="3" t="str">
        <f>IFERROR(__xludf.DUMMYFUNCTION("""COMPUTED_VALUE"""),"429A PERCY BOOM RD  ")</f>
        <v>429A PERCY BOOM RD  </v>
      </c>
      <c r="C5968" s="3" t="str">
        <f>IFERROR(__xludf.DUMMYFUNCTION("""COMPUTED_VALUE"""),"CAMPBELLFORD")</f>
        <v>CAMPBELLFORD</v>
      </c>
      <c r="D5968" s="3" t="str">
        <f>IFERROR(__xludf.DUMMYFUNCTION("""COMPUTED_VALUE"""),"K0L 1L0")</f>
        <v>K0L 1L0</v>
      </c>
      <c r="E5968" s="3"/>
      <c r="F5968" s="3"/>
      <c r="G5968" s="3"/>
      <c r="H5968" s="3"/>
    </row>
    <row r="5969">
      <c r="A5969" s="2">
        <f>IFERROR(__xludf.DUMMYFUNCTION("""COMPUTED_VALUE"""),63036.0)</f>
        <v>63036</v>
      </c>
      <c r="B5969" s="3" t="str">
        <f>IFERROR(__xludf.DUMMYFUNCTION("""COMPUTED_VALUE"""),"429C PERCY BOOM RD  ")</f>
        <v>429C PERCY BOOM RD  </v>
      </c>
      <c r="C5969" s="3" t="str">
        <f>IFERROR(__xludf.DUMMYFUNCTION("""COMPUTED_VALUE"""),"CAMPBELLFORD")</f>
        <v>CAMPBELLFORD</v>
      </c>
      <c r="D5969" s="3" t="str">
        <f>IFERROR(__xludf.DUMMYFUNCTION("""COMPUTED_VALUE"""),"K0L 1L0")</f>
        <v>K0L 1L0</v>
      </c>
      <c r="E5969" s="3"/>
      <c r="F5969" s="3"/>
      <c r="G5969" s="3"/>
      <c r="H5969" s="3"/>
    </row>
    <row r="5970">
      <c r="A5970" s="2">
        <f>IFERROR(__xludf.DUMMYFUNCTION("""COMPUTED_VALUE"""),63037.0)</f>
        <v>63037</v>
      </c>
      <c r="B5970" s="3" t="str">
        <f>IFERROR(__xludf.DUMMYFUNCTION("""COMPUTED_VALUE"""),"429D PERCY BOOM RD  ")</f>
        <v>429D PERCY BOOM RD  </v>
      </c>
      <c r="C5970" s="3" t="str">
        <f>IFERROR(__xludf.DUMMYFUNCTION("""COMPUTED_VALUE"""),"CAMPBELLFORD")</f>
        <v>CAMPBELLFORD</v>
      </c>
      <c r="D5970" s="3" t="str">
        <f>IFERROR(__xludf.DUMMYFUNCTION("""COMPUTED_VALUE"""),"K0L 1L0")</f>
        <v>K0L 1L0</v>
      </c>
      <c r="E5970" s="3"/>
      <c r="F5970" s="3"/>
      <c r="G5970" s="3"/>
      <c r="H5970" s="3"/>
    </row>
    <row r="5971">
      <c r="A5971" s="2">
        <f>IFERROR(__xludf.DUMMYFUNCTION("""COMPUTED_VALUE"""),63038.0)</f>
        <v>63038</v>
      </c>
      <c r="B5971" s="3" t="str">
        <f>IFERROR(__xludf.DUMMYFUNCTION("""COMPUTED_VALUE"""),"429E PERCY BOOM RD  ")</f>
        <v>429E PERCY BOOM RD  </v>
      </c>
      <c r="C5971" s="3" t="str">
        <f>IFERROR(__xludf.DUMMYFUNCTION("""COMPUTED_VALUE"""),"CAMPBELLFORD")</f>
        <v>CAMPBELLFORD</v>
      </c>
      <c r="D5971" s="3" t="str">
        <f>IFERROR(__xludf.DUMMYFUNCTION("""COMPUTED_VALUE"""),"K0L 1L0")</f>
        <v>K0L 1L0</v>
      </c>
      <c r="E5971" s="3"/>
      <c r="F5971" s="3"/>
      <c r="G5971" s="3"/>
      <c r="H5971" s="3"/>
    </row>
    <row r="5972">
      <c r="A5972" s="2">
        <f>IFERROR(__xludf.DUMMYFUNCTION("""COMPUTED_VALUE"""),63039.0)</f>
        <v>63039</v>
      </c>
      <c r="B5972" s="3" t="str">
        <f>IFERROR(__xludf.DUMMYFUNCTION("""COMPUTED_VALUE"""),"429F PERCY BOOM RD  ")</f>
        <v>429F PERCY BOOM RD  </v>
      </c>
      <c r="C5972" s="3" t="str">
        <f>IFERROR(__xludf.DUMMYFUNCTION("""COMPUTED_VALUE"""),"CAMPBELLFORD")</f>
        <v>CAMPBELLFORD</v>
      </c>
      <c r="D5972" s="3" t="str">
        <f>IFERROR(__xludf.DUMMYFUNCTION("""COMPUTED_VALUE"""),"K0L 1L0")</f>
        <v>K0L 1L0</v>
      </c>
      <c r="E5972" s="3"/>
      <c r="F5972" s="3"/>
      <c r="G5972" s="3"/>
      <c r="H5972" s="3"/>
    </row>
    <row r="5973">
      <c r="A5973" s="2">
        <f>IFERROR(__xludf.DUMMYFUNCTION("""COMPUTED_VALUE"""),63040.0)</f>
        <v>63040</v>
      </c>
      <c r="B5973" s="3" t="str">
        <f>IFERROR(__xludf.DUMMYFUNCTION("""COMPUTED_VALUE"""),"451A PERCY BOOM RD  ")</f>
        <v>451A PERCY BOOM RD  </v>
      </c>
      <c r="C5973" s="3" t="str">
        <f>IFERROR(__xludf.DUMMYFUNCTION("""COMPUTED_VALUE"""),"CAMPBELLFORD")</f>
        <v>CAMPBELLFORD</v>
      </c>
      <c r="D5973" s="3" t="str">
        <f>IFERROR(__xludf.DUMMYFUNCTION("""COMPUTED_VALUE"""),"K0L 1L0")</f>
        <v>K0L 1L0</v>
      </c>
      <c r="E5973" s="3" t="str">
        <f>IFERROR(__xludf.DUMMYFUNCTION("""COMPUTED_VALUE"""),"john bentham")</f>
        <v>john bentham</v>
      </c>
      <c r="F5973" s="3"/>
      <c r="G5973" s="3">
        <f>IFERROR(__xludf.DUMMYFUNCTION("""COMPUTED_VALUE"""),2.899876496E9)</f>
        <v>2899876496</v>
      </c>
      <c r="H5973" s="3"/>
    </row>
    <row r="5974">
      <c r="A5974" s="2">
        <f>IFERROR(__xludf.DUMMYFUNCTION("""COMPUTED_VALUE"""),63041.0)</f>
        <v>63041</v>
      </c>
      <c r="B5974" s="3" t="str">
        <f>IFERROR(__xludf.DUMMYFUNCTION("""COMPUTED_VALUE"""),"451B PERCY BOOM RD  ")</f>
        <v>451B PERCY BOOM RD  </v>
      </c>
      <c r="C5974" s="3" t="str">
        <f>IFERROR(__xludf.DUMMYFUNCTION("""COMPUTED_VALUE"""),"CAMPBELLFORD")</f>
        <v>CAMPBELLFORD</v>
      </c>
      <c r="D5974" s="3" t="str">
        <f>IFERROR(__xludf.DUMMYFUNCTION("""COMPUTED_VALUE"""),"K0L 1L0")</f>
        <v>K0L 1L0</v>
      </c>
      <c r="E5974" s="3" t="str">
        <f>IFERROR(__xludf.DUMMYFUNCTION("""COMPUTED_VALUE"""),"dave parker ")</f>
        <v>dave parker </v>
      </c>
      <c r="F5974" s="3" t="str">
        <f>IFERROR(__xludf.DUMMYFUNCTION("""COMPUTED_VALUE"""),"uswajbcentre@bell.net")</f>
        <v>uswajbcentre@bell.net</v>
      </c>
      <c r="G5974" s="3">
        <f>IFERROR(__xludf.DUMMYFUNCTION("""COMPUTED_VALUE"""),4.163898326E9)</f>
        <v>4163898326</v>
      </c>
      <c r="H5974" s="3"/>
    </row>
    <row r="5975">
      <c r="A5975" s="2">
        <f>IFERROR(__xludf.DUMMYFUNCTION("""COMPUTED_VALUE"""),63042.0)</f>
        <v>63042</v>
      </c>
      <c r="B5975" s="3" t="str">
        <f>IFERROR(__xludf.DUMMYFUNCTION("""COMPUTED_VALUE"""),"699-703 PERCY BOOM RD  ")</f>
        <v>699-703 PERCY BOOM RD  </v>
      </c>
      <c r="C5975" s="3" t="str">
        <f>IFERROR(__xludf.DUMMYFUNCTION("""COMPUTED_VALUE"""),"CAMPBELLFORD")</f>
        <v>CAMPBELLFORD</v>
      </c>
      <c r="D5975" s="3" t="str">
        <f>IFERROR(__xludf.DUMMYFUNCTION("""COMPUTED_VALUE"""),"K0L 1L0")</f>
        <v>K0L 1L0</v>
      </c>
      <c r="E5975" s="3" t="str">
        <f>IFERROR(__xludf.DUMMYFUNCTION("""COMPUTED_VALUE"""),"giles lauzon")</f>
        <v>giles lauzon</v>
      </c>
      <c r="F5975" s="3" t="str">
        <f>IFERROR(__xludf.DUMMYFUNCTION("""COMPUTED_VALUE"""),"gillesangela@bell.net")</f>
        <v>gillesangela@bell.net</v>
      </c>
      <c r="G5975" s="3">
        <f>IFERROR(__xludf.DUMMYFUNCTION("""COMPUTED_VALUE"""),4.165432675E9)</f>
        <v>4165432675</v>
      </c>
      <c r="H5975" s="3"/>
    </row>
    <row r="5976">
      <c r="A5976" s="2">
        <f>IFERROR(__xludf.DUMMYFUNCTION("""COMPUTED_VALUE"""),61008.0)</f>
        <v>61008</v>
      </c>
      <c r="B5976" s="3" t="str">
        <f>IFERROR(__xludf.DUMMYFUNCTION("""COMPUTED_VALUE"""),"170 CONCESSION RD 2 RD E ")</f>
        <v>170 CONCESSION RD 2 RD E </v>
      </c>
      <c r="C5976" s="3" t="str">
        <f>IFERROR(__xludf.DUMMYFUNCTION("""COMPUTED_VALUE"""),"WARKWORTH")</f>
        <v>WARKWORTH</v>
      </c>
      <c r="D5976" s="3" t="str">
        <f>IFERROR(__xludf.DUMMYFUNCTION("""COMPUTED_VALUE"""),"K0K 3K0")</f>
        <v>K0K 3K0</v>
      </c>
      <c r="E5976" s="3" t="str">
        <f>IFERROR(__xludf.DUMMYFUNCTION("""COMPUTED_VALUE"""),"leanne petheris ")</f>
        <v>leanne petheris </v>
      </c>
      <c r="F5976" s="3" t="str">
        <f>IFERROR(__xludf.DUMMYFUNCTION("""COMPUTED_VALUE"""),"lea-pet@hotmail.com")</f>
        <v>lea-pet@hotmail.com</v>
      </c>
      <c r="G5976" s="3">
        <f>IFERROR(__xludf.DUMMYFUNCTION("""COMPUTED_VALUE"""),7.056329397E9)</f>
        <v>7056329397</v>
      </c>
      <c r="H5976" s="3"/>
    </row>
    <row r="5977">
      <c r="A5977" s="2">
        <f>IFERROR(__xludf.DUMMYFUNCTION("""COMPUTED_VALUE"""),60308.0)</f>
        <v>60308</v>
      </c>
      <c r="B5977" s="3" t="str">
        <f>IFERROR(__xludf.DUMMYFUNCTION("""COMPUTED_VALUE"""),"3 BANTA RD")</f>
        <v>3 BANTA RD</v>
      </c>
      <c r="C5977" s="3" t="str">
        <f>IFERROR(__xludf.DUMMYFUNCTION("""COMPUTED_VALUE"""),"WARKWORTH")</f>
        <v>WARKWORTH</v>
      </c>
      <c r="D5977" s="3" t="str">
        <f>IFERROR(__xludf.DUMMYFUNCTION("""COMPUTED_VALUE"""),"K0K 3K0")</f>
        <v>K0K 3K0</v>
      </c>
      <c r="E5977" s="3" t="str">
        <f>IFERROR(__xludf.DUMMYFUNCTION("""COMPUTED_VALUE"""),"Jerry Dunk")</f>
        <v>Jerry Dunk</v>
      </c>
      <c r="F5977" s="3" t="str">
        <f>IFERROR(__xludf.DUMMYFUNCTION("""COMPUTED_VALUE"""),"jerrydunk@hotmail.com")</f>
        <v>jerrydunk@hotmail.com</v>
      </c>
      <c r="G5977" s="3">
        <f>IFERROR(__xludf.DUMMYFUNCTION("""COMPUTED_VALUE"""),7.05957091E9)</f>
        <v>7059570910</v>
      </c>
      <c r="H5977" s="3"/>
    </row>
    <row r="5978">
      <c r="A5978" s="2">
        <f>IFERROR(__xludf.DUMMYFUNCTION("""COMPUTED_VALUE"""),60309.0)</f>
        <v>60309</v>
      </c>
      <c r="B5978" s="3" t="str">
        <f>IFERROR(__xludf.DUMMYFUNCTION("""COMPUTED_VALUE"""),"9 BANTA RD")</f>
        <v>9 BANTA RD</v>
      </c>
      <c r="C5978" s="3" t="str">
        <f>IFERROR(__xludf.DUMMYFUNCTION("""COMPUTED_VALUE"""),"WARKWORTH")</f>
        <v>WARKWORTH</v>
      </c>
      <c r="D5978" s="3" t="str">
        <f>IFERROR(__xludf.DUMMYFUNCTION("""COMPUTED_VALUE"""),"K0K 3K0")</f>
        <v>K0K 3K0</v>
      </c>
      <c r="E5978" s="3" t="str">
        <f>IFERROR(__xludf.DUMMYFUNCTION("""COMPUTED_VALUE"""),"patricia meacock")</f>
        <v>patricia meacock</v>
      </c>
      <c r="F5978" s="3" t="str">
        <f>IFERROR(__xludf.DUMMYFUNCTION("""COMPUTED_VALUE"""),"kirtrinka@gmail.com ")</f>
        <v>kirtrinka@gmail.com </v>
      </c>
      <c r="G5978" s="3">
        <f>IFERROR(__xludf.DUMMYFUNCTION("""COMPUTED_VALUE"""),7.05559046E9)</f>
        <v>7055590460</v>
      </c>
      <c r="H5978" s="3"/>
    </row>
    <row r="5979">
      <c r="A5979" s="2">
        <f>IFERROR(__xludf.DUMMYFUNCTION("""COMPUTED_VALUE"""),60310.0)</f>
        <v>60310</v>
      </c>
      <c r="B5979" s="3" t="str">
        <f>IFERROR(__xludf.DUMMYFUNCTION("""COMPUTED_VALUE"""),"15 BANTA RD")</f>
        <v>15 BANTA RD</v>
      </c>
      <c r="C5979" s="3" t="str">
        <f>IFERROR(__xludf.DUMMYFUNCTION("""COMPUTED_VALUE"""),"WARKWORTH")</f>
        <v>WARKWORTH</v>
      </c>
      <c r="D5979" s="3" t="str">
        <f>IFERROR(__xludf.DUMMYFUNCTION("""COMPUTED_VALUE"""),"K0K 3K0")</f>
        <v>K0K 3K0</v>
      </c>
      <c r="E5979" s="3" t="str">
        <f>IFERROR(__xludf.DUMMYFUNCTION("""COMPUTED_VALUE"""),"Jennifer Crinion")</f>
        <v>Jennifer Crinion</v>
      </c>
      <c r="F5979" s="3"/>
      <c r="G5979" s="3"/>
      <c r="H5979" s="3"/>
    </row>
    <row r="5980">
      <c r="A5980" s="2">
        <f>IFERROR(__xludf.DUMMYFUNCTION("""COMPUTED_VALUE"""),60332.0)</f>
        <v>60332</v>
      </c>
      <c r="B5980" s="3" t="str">
        <f>IFERROR(__xludf.DUMMYFUNCTION("""COMPUTED_VALUE"""),"168 BANTA RD")</f>
        <v>168 BANTA RD</v>
      </c>
      <c r="C5980" s="3" t="str">
        <f>IFERROR(__xludf.DUMMYFUNCTION("""COMPUTED_VALUE"""),"WARKWORTH")</f>
        <v>WARKWORTH</v>
      </c>
      <c r="D5980" s="3" t="str">
        <f>IFERROR(__xludf.DUMMYFUNCTION("""COMPUTED_VALUE"""),"K0K 3K0")</f>
        <v>K0K 3K0</v>
      </c>
      <c r="E5980" s="3"/>
      <c r="F5980" s="3"/>
      <c r="G5980" s="3"/>
      <c r="H5980" s="3"/>
    </row>
    <row r="5981">
      <c r="A5981" s="2">
        <f>IFERROR(__xludf.DUMMYFUNCTION("""COMPUTED_VALUE"""),60333.0)</f>
        <v>60333</v>
      </c>
      <c r="B5981" s="3" t="str">
        <f>IFERROR(__xludf.DUMMYFUNCTION("""COMPUTED_VALUE"""),"170 BANTA RD")</f>
        <v>170 BANTA RD</v>
      </c>
      <c r="C5981" s="3" t="str">
        <f>IFERROR(__xludf.DUMMYFUNCTION("""COMPUTED_VALUE"""),"WARKWORTH")</f>
        <v>WARKWORTH</v>
      </c>
      <c r="D5981" s="3" t="str">
        <f>IFERROR(__xludf.DUMMYFUNCTION("""COMPUTED_VALUE"""),"K0K 3K0")</f>
        <v>K0K 3K0</v>
      </c>
      <c r="E5981" s="3" t="str">
        <f>IFERROR(__xludf.DUMMYFUNCTION("""COMPUTED_VALUE"""),"Alice Potter")</f>
        <v>Alice Potter</v>
      </c>
      <c r="F5981" s="3" t="str">
        <f>IFERROR(__xludf.DUMMYFUNCTION("""COMPUTED_VALUE"""),"nancy.hermiston@ubc.ca")</f>
        <v>nancy.hermiston@ubc.ca</v>
      </c>
      <c r="G5981" s="3"/>
      <c r="H5981" s="3"/>
    </row>
    <row r="5982">
      <c r="A5982" s="2">
        <f>IFERROR(__xludf.DUMMYFUNCTION("""COMPUTED_VALUE"""),60334.0)</f>
        <v>60334</v>
      </c>
      <c r="B5982" s="3" t="str">
        <f>IFERROR(__xludf.DUMMYFUNCTION("""COMPUTED_VALUE"""),"176 BANTA RD")</f>
        <v>176 BANTA RD</v>
      </c>
      <c r="C5982" s="3" t="str">
        <f>IFERROR(__xludf.DUMMYFUNCTION("""COMPUTED_VALUE"""),"WARKWORTH")</f>
        <v>WARKWORTH</v>
      </c>
      <c r="D5982" s="3" t="str">
        <f>IFERROR(__xludf.DUMMYFUNCTION("""COMPUTED_VALUE"""),"K0K 3K0")</f>
        <v>K0K 3K0</v>
      </c>
      <c r="E5982" s="3" t="str">
        <f>IFERROR(__xludf.DUMMYFUNCTION("""COMPUTED_VALUE"""),"Ruth and Jim Widdowson")</f>
        <v>Ruth and Jim Widdowson</v>
      </c>
      <c r="F5982" s="3" t="str">
        <f>IFERROR(__xludf.DUMMYFUNCTION("""COMPUTED_VALUE"""),"owlcottage@nexicom.net")</f>
        <v>owlcottage@nexicom.net</v>
      </c>
      <c r="G5982" s="3">
        <f>IFERROR(__xludf.DUMMYFUNCTION("""COMPUTED_VALUE"""),7.059243843E9)</f>
        <v>7059243843</v>
      </c>
      <c r="H5982" s="3"/>
    </row>
    <row r="5983">
      <c r="A5983" s="2">
        <f>IFERROR(__xludf.DUMMYFUNCTION("""COMPUTED_VALUE"""),60335.0)</f>
        <v>60335</v>
      </c>
      <c r="B5983" s="3" t="str">
        <f>IFERROR(__xludf.DUMMYFUNCTION("""COMPUTED_VALUE"""),"177 BANTA RD")</f>
        <v>177 BANTA RD</v>
      </c>
      <c r="C5983" s="3" t="str">
        <f>IFERROR(__xludf.DUMMYFUNCTION("""COMPUTED_VALUE"""),"WARKWORTH")</f>
        <v>WARKWORTH</v>
      </c>
      <c r="D5983" s="3" t="str">
        <f>IFERROR(__xludf.DUMMYFUNCTION("""COMPUTED_VALUE"""),"K0K 3K0")</f>
        <v>K0K 3K0</v>
      </c>
      <c r="E5983" s="3" t="str">
        <f>IFERROR(__xludf.DUMMYFUNCTION("""COMPUTED_VALUE"""),"Marvin Ruth Orr")</f>
        <v>Marvin Ruth Orr</v>
      </c>
      <c r="F5983" s="3"/>
      <c r="G5983" s="3"/>
      <c r="H5983" s="3"/>
    </row>
    <row r="5984">
      <c r="A5984" s="2">
        <f>IFERROR(__xludf.DUMMYFUNCTION("""COMPUTED_VALUE"""),60336.0)</f>
        <v>60336</v>
      </c>
      <c r="B5984" s="3" t="str">
        <f>IFERROR(__xludf.DUMMYFUNCTION("""COMPUTED_VALUE"""),"180 BANTA RD")</f>
        <v>180 BANTA RD</v>
      </c>
      <c r="C5984" s="3" t="str">
        <f>IFERROR(__xludf.DUMMYFUNCTION("""COMPUTED_VALUE"""),"WARKWORTH")</f>
        <v>WARKWORTH</v>
      </c>
      <c r="D5984" s="3" t="str">
        <f>IFERROR(__xludf.DUMMYFUNCTION("""COMPUTED_VALUE"""),"K0K 3K0")</f>
        <v>K0K 3K0</v>
      </c>
      <c r="E5984" s="3"/>
      <c r="F5984" s="3"/>
      <c r="G5984" s="3"/>
      <c r="H5984" s="3"/>
    </row>
    <row r="5985">
      <c r="A5985" s="2">
        <f>IFERROR(__xludf.DUMMYFUNCTION("""COMPUTED_VALUE"""),60337.0)</f>
        <v>60337</v>
      </c>
      <c r="B5985" s="3" t="str">
        <f>IFERROR(__xludf.DUMMYFUNCTION("""COMPUTED_VALUE"""),"201 BANTA RD")</f>
        <v>201 BANTA RD</v>
      </c>
      <c r="C5985" s="3" t="str">
        <f>IFERROR(__xludf.DUMMYFUNCTION("""COMPUTED_VALUE"""),"WARKWORTH")</f>
        <v>WARKWORTH</v>
      </c>
      <c r="D5985" s="3" t="str">
        <f>IFERROR(__xludf.DUMMYFUNCTION("""COMPUTED_VALUE"""),"K0K 3K0")</f>
        <v>K0K 3K0</v>
      </c>
      <c r="E5985" s="3" t="str">
        <f>IFERROR(__xludf.DUMMYFUNCTION("""COMPUTED_VALUE"""),"dwyte johnson")</f>
        <v>dwyte johnson</v>
      </c>
      <c r="F5985" s="4" t="str">
        <f>IFERROR(__xludf.DUMMYFUNCTION("""COMPUTED_VALUE"""),"dwyte2bell.net")</f>
        <v>dwyte2bell.net</v>
      </c>
      <c r="G5985" s="3">
        <f>IFERROR(__xludf.DUMMYFUNCTION("""COMPUTED_VALUE"""),7.058761626E9)</f>
        <v>7058761626</v>
      </c>
      <c r="H5985" s="3"/>
    </row>
    <row r="5986">
      <c r="A5986" s="2">
        <f>IFERROR(__xludf.DUMMYFUNCTION("""COMPUTED_VALUE"""),60338.0)</f>
        <v>60338</v>
      </c>
      <c r="B5986" s="3" t="str">
        <f>IFERROR(__xludf.DUMMYFUNCTION("""COMPUTED_VALUE"""),"207 BANTA RD")</f>
        <v>207 BANTA RD</v>
      </c>
      <c r="C5986" s="3" t="str">
        <f>IFERROR(__xludf.DUMMYFUNCTION("""COMPUTED_VALUE"""),"WARKWORTH")</f>
        <v>WARKWORTH</v>
      </c>
      <c r="D5986" s="3" t="str">
        <f>IFERROR(__xludf.DUMMYFUNCTION("""COMPUTED_VALUE"""),"K0K 3K0")</f>
        <v>K0K 3K0</v>
      </c>
      <c r="E5986" s="3"/>
      <c r="F5986" s="3"/>
      <c r="G5986" s="3"/>
      <c r="H5986" s="3"/>
    </row>
    <row r="5987">
      <c r="A5987" s="2">
        <f>IFERROR(__xludf.DUMMYFUNCTION("""COMPUTED_VALUE"""),60339.0)</f>
        <v>60339</v>
      </c>
      <c r="B5987" s="3" t="str">
        <f>IFERROR(__xludf.DUMMYFUNCTION("""COMPUTED_VALUE"""),"215 BANTA RD")</f>
        <v>215 BANTA RD</v>
      </c>
      <c r="C5987" s="3" t="str">
        <f>IFERROR(__xludf.DUMMYFUNCTION("""COMPUTED_VALUE"""),"WARKWORTH")</f>
        <v>WARKWORTH</v>
      </c>
      <c r="D5987" s="3" t="str">
        <f>IFERROR(__xludf.DUMMYFUNCTION("""COMPUTED_VALUE"""),"K0K 3K0")</f>
        <v>K0K 3K0</v>
      </c>
      <c r="E5987" s="3"/>
      <c r="F5987" s="3"/>
      <c r="G5987" s="3"/>
      <c r="H5987" s="3"/>
    </row>
    <row r="5988">
      <c r="A5988" s="2">
        <f>IFERROR(__xludf.DUMMYFUNCTION("""COMPUTED_VALUE"""),60340.0)</f>
        <v>60340</v>
      </c>
      <c r="B5988" s="3" t="str">
        <f>IFERROR(__xludf.DUMMYFUNCTION("""COMPUTED_VALUE"""),"218 BANTA RD")</f>
        <v>218 BANTA RD</v>
      </c>
      <c r="C5988" s="3" t="str">
        <f>IFERROR(__xludf.DUMMYFUNCTION("""COMPUTED_VALUE"""),"WARKWORTH")</f>
        <v>WARKWORTH</v>
      </c>
      <c r="D5988" s="3" t="str">
        <f>IFERROR(__xludf.DUMMYFUNCTION("""COMPUTED_VALUE"""),"K0K 3K0")</f>
        <v>K0K 3K0</v>
      </c>
      <c r="E5988" s="3"/>
      <c r="F5988" s="3"/>
      <c r="G5988" s="3"/>
      <c r="H5988" s="3"/>
    </row>
    <row r="5989">
      <c r="A5989" s="2">
        <f>IFERROR(__xludf.DUMMYFUNCTION("""COMPUTED_VALUE"""),60341.0)</f>
        <v>60341</v>
      </c>
      <c r="B5989" s="3" t="str">
        <f>IFERROR(__xludf.DUMMYFUNCTION("""COMPUTED_VALUE"""),"221 BANTA RD")</f>
        <v>221 BANTA RD</v>
      </c>
      <c r="C5989" s="3" t="str">
        <f>IFERROR(__xludf.DUMMYFUNCTION("""COMPUTED_VALUE"""),"WARKWORTH")</f>
        <v>WARKWORTH</v>
      </c>
      <c r="D5989" s="3" t="str">
        <f>IFERROR(__xludf.DUMMYFUNCTION("""COMPUTED_VALUE"""),"K0K 3K0")</f>
        <v>K0K 3K0</v>
      </c>
      <c r="E5989" s="3"/>
      <c r="F5989" s="3"/>
      <c r="G5989" s="3"/>
      <c r="H5989" s="3"/>
    </row>
    <row r="5990">
      <c r="A5990" s="2">
        <f>IFERROR(__xludf.DUMMYFUNCTION("""COMPUTED_VALUE"""),60342.0)</f>
        <v>60342</v>
      </c>
      <c r="B5990" s="3" t="str">
        <f>IFERROR(__xludf.DUMMYFUNCTION("""COMPUTED_VALUE"""),"235 BANTA RD")</f>
        <v>235 BANTA RD</v>
      </c>
      <c r="C5990" s="3" t="str">
        <f>IFERROR(__xludf.DUMMYFUNCTION("""COMPUTED_VALUE"""),"WARKWORTH")</f>
        <v>WARKWORTH</v>
      </c>
      <c r="D5990" s="3" t="str">
        <f>IFERROR(__xludf.DUMMYFUNCTION("""COMPUTED_VALUE"""),"K0K 3K0")</f>
        <v>K0K 3K0</v>
      </c>
      <c r="E5990" s="3" t="str">
        <f>IFERROR(__xludf.DUMMYFUNCTION("""COMPUTED_VALUE"""),"Michele L March ")</f>
        <v>Michele L March </v>
      </c>
      <c r="F5990" s="3" t="str">
        <f>IFERROR(__xludf.DUMMYFUNCTION("""COMPUTED_VALUE"""),"michelemarch27@gmail.com")</f>
        <v>michelemarch27@gmail.com</v>
      </c>
      <c r="G5990" s="3"/>
      <c r="H5990" s="3"/>
    </row>
    <row r="5991">
      <c r="A5991" s="2">
        <f>IFERROR(__xludf.DUMMYFUNCTION("""COMPUTED_VALUE"""),61030.0)</f>
        <v>61030</v>
      </c>
      <c r="B5991" s="3" t="str">
        <f>IFERROR(__xludf.DUMMYFUNCTION("""COMPUTED_VALUE"""),"80 CONCESSION RD 3 RD W ")</f>
        <v>80 CONCESSION RD 3 RD W </v>
      </c>
      <c r="C5991" s="3" t="str">
        <f>IFERROR(__xludf.DUMMYFUNCTION("""COMPUTED_VALUE"""),"WARKWORTH")</f>
        <v>WARKWORTH</v>
      </c>
      <c r="D5991" s="3" t="str">
        <f>IFERROR(__xludf.DUMMYFUNCTION("""COMPUTED_VALUE"""),"K0K 3K0")</f>
        <v>K0K 3K0</v>
      </c>
      <c r="E5991" s="3" t="str">
        <f>IFERROR(__xludf.DUMMYFUNCTION("""COMPUTED_VALUE"""),"richard briant ")</f>
        <v>richard briant </v>
      </c>
      <c r="F5991" s="3" t="str">
        <f>IFERROR(__xludf.DUMMYFUNCTION("""COMPUTED_VALUE"""),"atomthepug@gmail.com")</f>
        <v>atomthepug@gmail.com</v>
      </c>
      <c r="G5991" s="3">
        <f>IFERROR(__xludf.DUMMYFUNCTION("""COMPUTED_VALUE"""),6.47282972E9)</f>
        <v>6472829720</v>
      </c>
      <c r="H5991" s="3"/>
    </row>
    <row r="5992">
      <c r="A5992" s="2">
        <f>IFERROR(__xludf.DUMMYFUNCTION("""COMPUTED_VALUE"""),61031.0)</f>
        <v>61031</v>
      </c>
      <c r="B5992" s="3" t="str">
        <f>IFERROR(__xludf.DUMMYFUNCTION("""COMPUTED_VALUE"""),"91 CONCESSION RD 3 RD W ")</f>
        <v>91 CONCESSION RD 3 RD W </v>
      </c>
      <c r="C5992" s="3" t="str">
        <f>IFERROR(__xludf.DUMMYFUNCTION("""COMPUTED_VALUE"""),"WARKWORTH")</f>
        <v>WARKWORTH</v>
      </c>
      <c r="D5992" s="3" t="str">
        <f>IFERROR(__xludf.DUMMYFUNCTION("""COMPUTED_VALUE"""),"K0K 3K0")</f>
        <v>K0K 3K0</v>
      </c>
      <c r="E5992" s="3"/>
      <c r="F5992" s="3"/>
      <c r="G5992" s="3"/>
      <c r="H5992" s="3"/>
    </row>
    <row r="5993">
      <c r="A5993" s="2">
        <f>IFERROR(__xludf.DUMMYFUNCTION("""COMPUTED_VALUE"""),62629.0)</f>
        <v>62629</v>
      </c>
      <c r="B5993" s="3" t="str">
        <f>IFERROR(__xludf.DUMMYFUNCTION("""COMPUTED_VALUE"""),"8 MAPLE RIDGE DR  ")</f>
        <v>8 MAPLE RIDGE DR  </v>
      </c>
      <c r="C5993" s="3" t="str">
        <f>IFERROR(__xludf.DUMMYFUNCTION("""COMPUTED_VALUE"""),"HASTINGS")</f>
        <v>HASTINGS</v>
      </c>
      <c r="D5993" s="3" t="str">
        <f>IFERROR(__xludf.DUMMYFUNCTION("""COMPUTED_VALUE"""),"KOL 1Y0")</f>
        <v>KOL 1Y0</v>
      </c>
      <c r="E5993" s="3" t="str">
        <f>IFERROR(__xludf.DUMMYFUNCTION("""COMPUTED_VALUE"""),"Martha McGregor ")</f>
        <v>Martha McGregor </v>
      </c>
      <c r="F5993" s="3" t="str">
        <f>IFERROR(__xludf.DUMMYFUNCTION("""COMPUTED_VALUE"""),"mmmisabeliever@yahoo.ca")</f>
        <v>mmmisabeliever@yahoo.ca</v>
      </c>
      <c r="G5993" s="3"/>
      <c r="H5993" s="3"/>
    </row>
    <row r="5994">
      <c r="A5994" s="2">
        <f>IFERROR(__xludf.DUMMYFUNCTION("""COMPUTED_VALUE"""),62630.0)</f>
        <v>62630</v>
      </c>
      <c r="B5994" s="3" t="str">
        <f>IFERROR(__xludf.DUMMYFUNCTION("""COMPUTED_VALUE"""),"16 MAPLE RIDGE DR  ")</f>
        <v>16 MAPLE RIDGE DR  </v>
      </c>
      <c r="C5994" s="3" t="str">
        <f>IFERROR(__xludf.DUMMYFUNCTION("""COMPUTED_VALUE"""),"HASTINGS")</f>
        <v>HASTINGS</v>
      </c>
      <c r="D5994" s="3" t="str">
        <f>IFERROR(__xludf.DUMMYFUNCTION("""COMPUTED_VALUE"""),"KOL 1Y0")</f>
        <v>KOL 1Y0</v>
      </c>
      <c r="E5994" s="3" t="str">
        <f>IFERROR(__xludf.DUMMYFUNCTION("""COMPUTED_VALUE"""),"Darlene Racz")</f>
        <v>Darlene Racz</v>
      </c>
      <c r="F5994" s="3" t="str">
        <f>IFERROR(__xludf.DUMMYFUNCTION("""COMPUTED_VALUE"""),"darleneracz@gmail.com")</f>
        <v>darleneracz@gmail.com</v>
      </c>
      <c r="G5994" s="3">
        <f>IFERROR(__xludf.DUMMYFUNCTION("""COMPUTED_VALUE"""),7.057603596E9)</f>
        <v>7057603596</v>
      </c>
      <c r="H5994" s="3"/>
    </row>
    <row r="5995">
      <c r="A5995" s="2">
        <f>IFERROR(__xludf.DUMMYFUNCTION("""COMPUTED_VALUE"""),62631.0)</f>
        <v>62631</v>
      </c>
      <c r="B5995" s="3" t="str">
        <f>IFERROR(__xludf.DUMMYFUNCTION("""COMPUTED_VALUE"""),"20 MAPLE RIDGE DR  ")</f>
        <v>20 MAPLE RIDGE DR  </v>
      </c>
      <c r="C5995" s="3" t="str">
        <f>IFERROR(__xludf.DUMMYFUNCTION("""COMPUTED_VALUE"""),"HASTINGS")</f>
        <v>HASTINGS</v>
      </c>
      <c r="D5995" s="3" t="str">
        <f>IFERROR(__xludf.DUMMYFUNCTION("""COMPUTED_VALUE"""),"KOL 1Y0")</f>
        <v>KOL 1Y0</v>
      </c>
      <c r="E5995" s="3" t="str">
        <f>IFERROR(__xludf.DUMMYFUNCTION("""COMPUTED_VALUE"""),"Jonathon Grawbarger")</f>
        <v>Jonathon Grawbarger</v>
      </c>
      <c r="F5995" s="3" t="str">
        <f>IFERROR(__xludf.DUMMYFUNCTION("""COMPUTED_VALUE"""),"bcrichmetalmaster@hotmail.com")</f>
        <v>bcrichmetalmaster@hotmail.com</v>
      </c>
      <c r="G5995" s="3">
        <f>IFERROR(__xludf.DUMMYFUNCTION("""COMPUTED_VALUE"""),7.058080709E9)</f>
        <v>7058080709</v>
      </c>
      <c r="H5995" s="3"/>
    </row>
    <row r="5996">
      <c r="A5996" s="2">
        <f>IFERROR(__xludf.DUMMYFUNCTION("""COMPUTED_VALUE"""),62632.0)</f>
        <v>62632</v>
      </c>
      <c r="B5996" s="3" t="str">
        <f>IFERROR(__xludf.DUMMYFUNCTION("""COMPUTED_VALUE"""),"22 MAPLE RIDGE DR  ")</f>
        <v>22 MAPLE RIDGE DR  </v>
      </c>
      <c r="C5996" s="3" t="str">
        <f>IFERROR(__xludf.DUMMYFUNCTION("""COMPUTED_VALUE"""),"HASTINGS")</f>
        <v>HASTINGS</v>
      </c>
      <c r="D5996" s="3" t="str">
        <f>IFERROR(__xludf.DUMMYFUNCTION("""COMPUTED_VALUE"""),"KOL 1Y0")</f>
        <v>KOL 1Y0</v>
      </c>
      <c r="E5996" s="3" t="str">
        <f>IFERROR(__xludf.DUMMYFUNCTION("""COMPUTED_VALUE"""),"JEFF GALLAUGHER ")</f>
        <v>JEFF GALLAUGHER </v>
      </c>
      <c r="F5996" s="3" t="str">
        <f>IFERROR(__xludf.DUMMYFUNCTION("""COMPUTED_VALUE"""),"sbud99@hotmail.com")</f>
        <v>sbud99@hotmail.com</v>
      </c>
      <c r="G5996" s="3"/>
      <c r="H5996" s="3"/>
    </row>
    <row r="5997">
      <c r="A5997" s="2">
        <f>IFERROR(__xludf.DUMMYFUNCTION("""COMPUTED_VALUE"""),62633.0)</f>
        <v>62633</v>
      </c>
      <c r="B5997" s="3" t="str">
        <f>IFERROR(__xludf.DUMMYFUNCTION("""COMPUTED_VALUE"""),"24 MAPLE RIDGE DR  ")</f>
        <v>24 MAPLE RIDGE DR  </v>
      </c>
      <c r="C5997" s="3" t="str">
        <f>IFERROR(__xludf.DUMMYFUNCTION("""COMPUTED_VALUE"""),"HASTINGS")</f>
        <v>HASTINGS</v>
      </c>
      <c r="D5997" s="3" t="str">
        <f>IFERROR(__xludf.DUMMYFUNCTION("""COMPUTED_VALUE"""),"KOL 1Y0")</f>
        <v>KOL 1Y0</v>
      </c>
      <c r="E5997" s="3" t="str">
        <f>IFERROR(__xludf.DUMMYFUNCTION("""COMPUTED_VALUE"""),"kelly francella ")</f>
        <v>kelly francella </v>
      </c>
      <c r="F5997" s="3" t="str">
        <f>IFERROR(__xludf.DUMMYFUNCTION("""COMPUTED_VALUE"""),"kfrancella4@gmail.com")</f>
        <v>kfrancella4@gmail.com</v>
      </c>
      <c r="G5997" s="3">
        <f>IFERROR(__xludf.DUMMYFUNCTION("""COMPUTED_VALUE"""),4.168756845E9)</f>
        <v>4168756845</v>
      </c>
      <c r="H5997" s="3"/>
    </row>
    <row r="5998">
      <c r="A5998" s="2">
        <f>IFERROR(__xludf.DUMMYFUNCTION("""COMPUTED_VALUE"""),62634.0)</f>
        <v>62634</v>
      </c>
      <c r="B5998" s="3" t="str">
        <f>IFERROR(__xludf.DUMMYFUNCTION("""COMPUTED_VALUE"""),"29 MARINE DR  ")</f>
        <v>29 MARINE DR  </v>
      </c>
      <c r="C5998" s="3" t="str">
        <f>IFERROR(__xludf.DUMMYFUNCTION("""COMPUTED_VALUE"""),"HASTINGS")</f>
        <v>HASTINGS</v>
      </c>
      <c r="D5998" s="3" t="str">
        <f>IFERROR(__xludf.DUMMYFUNCTION("""COMPUTED_VALUE"""),"KOL 1Y0")</f>
        <v>KOL 1Y0</v>
      </c>
      <c r="E5998" s="3"/>
      <c r="F5998" s="3"/>
      <c r="G5998" s="3"/>
      <c r="H5998" s="3"/>
    </row>
    <row r="5999">
      <c r="A5999" s="2">
        <f>IFERROR(__xludf.DUMMYFUNCTION("""COMPUTED_VALUE"""),62635.0)</f>
        <v>62635</v>
      </c>
      <c r="B5999" s="3" t="str">
        <f>IFERROR(__xludf.DUMMYFUNCTION("""COMPUTED_VALUE"""),"34 MARINE DR  ")</f>
        <v>34 MARINE DR  </v>
      </c>
      <c r="C5999" s="3" t="str">
        <f>IFERROR(__xludf.DUMMYFUNCTION("""COMPUTED_VALUE"""),"HASTINGS")</f>
        <v>HASTINGS</v>
      </c>
      <c r="D5999" s="3" t="str">
        <f>IFERROR(__xludf.DUMMYFUNCTION("""COMPUTED_VALUE"""),"KOL 1Y0")</f>
        <v>KOL 1Y0</v>
      </c>
      <c r="E5999" s="3"/>
      <c r="F5999" s="3"/>
      <c r="G5999" s="3"/>
      <c r="H5999" s="3"/>
    </row>
    <row r="6000">
      <c r="A6000" s="2">
        <f>IFERROR(__xludf.DUMMYFUNCTION("""COMPUTED_VALUE"""),62636.0)</f>
        <v>62636</v>
      </c>
      <c r="B6000" s="3" t="str">
        <f>IFERROR(__xludf.DUMMYFUNCTION("""COMPUTED_VALUE"""),"62 MARINE DR  ")</f>
        <v>62 MARINE DR  </v>
      </c>
      <c r="C6000" s="3" t="str">
        <f>IFERROR(__xludf.DUMMYFUNCTION("""COMPUTED_VALUE"""),"HASTINGS")</f>
        <v>HASTINGS</v>
      </c>
      <c r="D6000" s="3" t="str">
        <f>IFERROR(__xludf.DUMMYFUNCTION("""COMPUTED_VALUE"""),"KOL 1Y0")</f>
        <v>KOL 1Y0</v>
      </c>
      <c r="E6000" s="3"/>
      <c r="F6000" s="3"/>
      <c r="G6000" s="3"/>
      <c r="H6000" s="3"/>
    </row>
    <row r="6001">
      <c r="A6001" s="2">
        <f>IFERROR(__xludf.DUMMYFUNCTION("""COMPUTED_VALUE"""),62637.0)</f>
        <v>62637</v>
      </c>
      <c r="B6001" s="3" t="str">
        <f>IFERROR(__xludf.DUMMYFUNCTION("""COMPUTED_VALUE"""),"70 MARINE DR  ")</f>
        <v>70 MARINE DR  </v>
      </c>
      <c r="C6001" s="3" t="str">
        <f>IFERROR(__xludf.DUMMYFUNCTION("""COMPUTED_VALUE"""),"HASTINGS")</f>
        <v>HASTINGS</v>
      </c>
      <c r="D6001" s="3" t="str">
        <f>IFERROR(__xludf.DUMMYFUNCTION("""COMPUTED_VALUE"""),"KOL 1Y0")</f>
        <v>KOL 1Y0</v>
      </c>
      <c r="E6001" s="3" t="str">
        <f>IFERROR(__xludf.DUMMYFUNCTION("""COMPUTED_VALUE"""),"Doug Sallans")</f>
        <v>Doug Sallans</v>
      </c>
      <c r="F6001" s="3" t="str">
        <f>IFERROR(__xludf.DUMMYFUNCTION("""COMPUTED_VALUE"""),"stevensonsmarina@hotmail.com")</f>
        <v>stevensonsmarina@hotmail.com</v>
      </c>
      <c r="G6001" s="3">
        <f>IFERROR(__xludf.DUMMYFUNCTION("""COMPUTED_VALUE"""),7.056962683E9)</f>
        <v>7056962683</v>
      </c>
      <c r="H6001" s="3">
        <f>IFERROR(__xludf.DUMMYFUNCTION("""COMPUTED_VALUE"""),7.055595694E9)</f>
        <v>7055595694</v>
      </c>
    </row>
    <row r="6002">
      <c r="A6002" s="2">
        <f>IFERROR(__xludf.DUMMYFUNCTION("""COMPUTED_VALUE"""),62638.0)</f>
        <v>62638</v>
      </c>
      <c r="B6002" s="3" t="str">
        <f>IFERROR(__xludf.DUMMYFUNCTION("""COMPUTED_VALUE"""),"72 MARINE DR  ")</f>
        <v>72 MARINE DR  </v>
      </c>
      <c r="C6002" s="3" t="str">
        <f>IFERROR(__xludf.DUMMYFUNCTION("""COMPUTED_VALUE"""),"HASTINGS")</f>
        <v>HASTINGS</v>
      </c>
      <c r="D6002" s="3" t="str">
        <f>IFERROR(__xludf.DUMMYFUNCTION("""COMPUTED_VALUE"""),"KOL 1Y0")</f>
        <v>KOL 1Y0</v>
      </c>
      <c r="E6002" s="3"/>
      <c r="F6002" s="3"/>
      <c r="G6002" s="3"/>
      <c r="H6002" s="3"/>
    </row>
    <row r="6003">
      <c r="A6003" s="2">
        <f>IFERROR(__xludf.DUMMYFUNCTION("""COMPUTED_VALUE"""),60703.0)</f>
        <v>60703</v>
      </c>
      <c r="B6003" s="3" t="str">
        <f>IFERROR(__xludf.DUMMYFUNCTION("""COMPUTED_VALUE"""),"30 CENTENNIAL LANE")</f>
        <v>30 CENTENNIAL LANE</v>
      </c>
      <c r="C6003" s="3" t="str">
        <f>IFERROR(__xludf.DUMMYFUNCTION("""COMPUTED_VALUE"""),"HAVELOCK")</f>
        <v>HAVELOCK</v>
      </c>
      <c r="D6003" s="3" t="str">
        <f>IFERROR(__xludf.DUMMYFUNCTION("""COMPUTED_VALUE"""),"K0L 1Z0")</f>
        <v>K0L 1Z0</v>
      </c>
      <c r="E6003" s="3" t="str">
        <f>IFERROR(__xludf.DUMMYFUNCTION("""COMPUTED_VALUE"""),"Mike Sharp")</f>
        <v>Mike Sharp</v>
      </c>
      <c r="F6003" s="3" t="str">
        <f>IFERROR(__xludf.DUMMYFUNCTION("""COMPUTED_VALUE"""),"mikesharp1@hotmail.com")</f>
        <v>mikesharp1@hotmail.com</v>
      </c>
      <c r="G6003" s="3"/>
      <c r="H6003" s="3"/>
    </row>
    <row r="6004">
      <c r="A6004" s="2">
        <f>IFERROR(__xludf.DUMMYFUNCTION("""COMPUTED_VALUE"""),60704.0)</f>
        <v>60704</v>
      </c>
      <c r="B6004" s="3" t="str">
        <f>IFERROR(__xludf.DUMMYFUNCTION("""COMPUTED_VALUE"""),"52 CENTENNIAL LANE")</f>
        <v>52 CENTENNIAL LANE</v>
      </c>
      <c r="C6004" s="3" t="str">
        <f>IFERROR(__xludf.DUMMYFUNCTION("""COMPUTED_VALUE"""),"HAVELOCK")</f>
        <v>HAVELOCK</v>
      </c>
      <c r="D6004" s="3" t="str">
        <f>IFERROR(__xludf.DUMMYFUNCTION("""COMPUTED_VALUE"""),"K0L 1Z0")</f>
        <v>K0L 1Z0</v>
      </c>
      <c r="E6004" s="3" t="str">
        <f>IFERROR(__xludf.DUMMYFUNCTION("""COMPUTED_VALUE"""),"BRAD GIBSON")</f>
        <v>BRAD GIBSON</v>
      </c>
      <c r="F6004" s="3" t="str">
        <f>IFERROR(__xludf.DUMMYFUNCTION("""COMPUTED_VALUE"""),"abcd.gibson@hotmail.com")</f>
        <v>abcd.gibson@hotmail.com</v>
      </c>
      <c r="G6004" s="3"/>
      <c r="H6004" s="3"/>
    </row>
    <row r="6005">
      <c r="A6005" s="2">
        <f>IFERROR(__xludf.DUMMYFUNCTION("""COMPUTED_VALUE"""),60705.0)</f>
        <v>60705</v>
      </c>
      <c r="B6005" s="3" t="str">
        <f>IFERROR(__xludf.DUMMYFUNCTION("""COMPUTED_VALUE"""),"54 CENTENNIAL LANE")</f>
        <v>54 CENTENNIAL LANE</v>
      </c>
      <c r="C6005" s="3" t="str">
        <f>IFERROR(__xludf.DUMMYFUNCTION("""COMPUTED_VALUE"""),"HAVELOCK")</f>
        <v>HAVELOCK</v>
      </c>
      <c r="D6005" s="3" t="str">
        <f>IFERROR(__xludf.DUMMYFUNCTION("""COMPUTED_VALUE"""),"K0L 1Z0")</f>
        <v>K0L 1Z0</v>
      </c>
      <c r="E6005" s="3" t="str">
        <f>IFERROR(__xludf.DUMMYFUNCTION("""COMPUTED_VALUE"""),"Margaret Dick")</f>
        <v>Margaret Dick</v>
      </c>
      <c r="F6005" s="3" t="str">
        <f>IFERROR(__xludf.DUMMYFUNCTION("""COMPUTED_VALUE"""),"margandbob54@gmail.com")</f>
        <v>margandbob54@gmail.com</v>
      </c>
      <c r="G6005" s="3"/>
      <c r="H6005" s="3"/>
    </row>
    <row r="6006">
      <c r="A6006" s="2">
        <f>IFERROR(__xludf.DUMMYFUNCTION("""COMPUTED_VALUE"""),60706.0)</f>
        <v>60706</v>
      </c>
      <c r="B6006" s="3" t="str">
        <f>IFERROR(__xludf.DUMMYFUNCTION("""COMPUTED_VALUE"""),"58 CENTENNIAL LANE")</f>
        <v>58 CENTENNIAL LANE</v>
      </c>
      <c r="C6006" s="3" t="str">
        <f>IFERROR(__xludf.DUMMYFUNCTION("""COMPUTED_VALUE"""),"HAVELOCK")</f>
        <v>HAVELOCK</v>
      </c>
      <c r="D6006" s="3" t="str">
        <f>IFERROR(__xludf.DUMMYFUNCTION("""COMPUTED_VALUE"""),"K0L 1Z0")</f>
        <v>K0L 1Z0</v>
      </c>
      <c r="E6006" s="3" t="str">
        <f>IFERROR(__xludf.DUMMYFUNCTION("""COMPUTED_VALUE"""),"Glenn Pinkerton")</f>
        <v>Glenn Pinkerton</v>
      </c>
      <c r="F6006" s="3" t="str">
        <f>IFERROR(__xludf.DUMMYFUNCTION("""COMPUTED_VALUE"""),"glenne14@icloud.com")</f>
        <v>glenne14@icloud.com</v>
      </c>
      <c r="G6006" s="3"/>
      <c r="H6006" s="3"/>
    </row>
    <row r="6007">
      <c r="A6007" s="2">
        <f>IFERROR(__xludf.DUMMYFUNCTION("""COMPUTED_VALUE"""),60707.0)</f>
        <v>60707</v>
      </c>
      <c r="B6007" s="3" t="str">
        <f>IFERROR(__xludf.DUMMYFUNCTION("""COMPUTED_VALUE"""),"62 CENTENNIAL LANE")</f>
        <v>62 CENTENNIAL LANE</v>
      </c>
      <c r="C6007" s="3" t="str">
        <f>IFERROR(__xludf.DUMMYFUNCTION("""COMPUTED_VALUE"""),"HAVELOCK")</f>
        <v>HAVELOCK</v>
      </c>
      <c r="D6007" s="3" t="str">
        <f>IFERROR(__xludf.DUMMYFUNCTION("""COMPUTED_VALUE"""),"K0L 1Z0")</f>
        <v>K0L 1Z0</v>
      </c>
      <c r="E6007" s="3"/>
      <c r="F6007" s="3"/>
      <c r="G6007" s="3"/>
      <c r="H6007" s="3"/>
    </row>
    <row r="6008">
      <c r="A6008" s="2">
        <f>IFERROR(__xludf.DUMMYFUNCTION("""COMPUTED_VALUE"""),60708.0)</f>
        <v>60708</v>
      </c>
      <c r="B6008" s="3" t="str">
        <f>IFERROR(__xludf.DUMMYFUNCTION("""COMPUTED_VALUE"""),"64 CENTENNIAL LANE")</f>
        <v>64 CENTENNIAL LANE</v>
      </c>
      <c r="C6008" s="3" t="str">
        <f>IFERROR(__xludf.DUMMYFUNCTION("""COMPUTED_VALUE"""),"HAVELOCK")</f>
        <v>HAVELOCK</v>
      </c>
      <c r="D6008" s="3" t="str">
        <f>IFERROR(__xludf.DUMMYFUNCTION("""COMPUTED_VALUE"""),"K0L 1Z0")</f>
        <v>K0L 1Z0</v>
      </c>
      <c r="E6008" s="3" t="str">
        <f>IFERROR(__xludf.DUMMYFUNCTION("""COMPUTED_VALUE"""),"Wl so rad")</f>
        <v>Wl so rad</v>
      </c>
      <c r="F6008" s="3"/>
      <c r="G6008" s="3">
        <f>IFERROR(__xludf.DUMMYFUNCTION("""COMPUTED_VALUE"""),7.057782025E9)</f>
        <v>7057782025</v>
      </c>
      <c r="H6008" s="3"/>
    </row>
    <row r="6009">
      <c r="A6009" s="2">
        <f>IFERROR(__xludf.DUMMYFUNCTION("""COMPUTED_VALUE"""),60710.0)</f>
        <v>60710</v>
      </c>
      <c r="B6009" s="3" t="str">
        <f>IFERROR(__xludf.DUMMYFUNCTION("""COMPUTED_VALUE"""),"116 CENTENNIAL LANE")</f>
        <v>116 CENTENNIAL LANE</v>
      </c>
      <c r="C6009" s="3" t="str">
        <f>IFERROR(__xludf.DUMMYFUNCTION("""COMPUTED_VALUE"""),"HAVELOCK")</f>
        <v>HAVELOCK</v>
      </c>
      <c r="D6009" s="3" t="str">
        <f>IFERROR(__xludf.DUMMYFUNCTION("""COMPUTED_VALUE"""),"K0L 1Z0")</f>
        <v>K0L 1Z0</v>
      </c>
      <c r="E6009" s="3"/>
      <c r="F6009" s="3"/>
      <c r="G6009" s="3"/>
      <c r="H6009" s="3"/>
    </row>
    <row r="6010">
      <c r="A6010" s="2">
        <f>IFERROR(__xludf.DUMMYFUNCTION("""COMPUTED_VALUE"""),60711.0)</f>
        <v>60711</v>
      </c>
      <c r="B6010" s="3" t="str">
        <f>IFERROR(__xludf.DUMMYFUNCTION("""COMPUTED_VALUE"""),"117 CENTENNIAL LANE")</f>
        <v>117 CENTENNIAL LANE</v>
      </c>
      <c r="C6010" s="3" t="str">
        <f>IFERROR(__xludf.DUMMYFUNCTION("""COMPUTED_VALUE"""),"HAVELOCK")</f>
        <v>HAVELOCK</v>
      </c>
      <c r="D6010" s="3" t="str">
        <f>IFERROR(__xludf.DUMMYFUNCTION("""COMPUTED_VALUE"""),"K0L 1Z0")</f>
        <v>K0L 1Z0</v>
      </c>
      <c r="E6010" s="3" t="str">
        <f>IFERROR(__xludf.DUMMYFUNCTION("""COMPUTED_VALUE"""),"edith foss ")</f>
        <v>edith foss </v>
      </c>
      <c r="F6010" s="3"/>
      <c r="G6010" s="3">
        <f>IFERROR(__xludf.DUMMYFUNCTION("""COMPUTED_VALUE"""),7.057222384E9)</f>
        <v>7057222384</v>
      </c>
      <c r="H6010" s="3"/>
    </row>
    <row r="6011">
      <c r="A6011" s="2">
        <f>IFERROR(__xludf.DUMMYFUNCTION("""COMPUTED_VALUE"""),60712.0)</f>
        <v>60712</v>
      </c>
      <c r="B6011" s="3" t="str">
        <f>IFERROR(__xludf.DUMMYFUNCTION("""COMPUTED_VALUE"""),"129 CENTENNIAL LANE")</f>
        <v>129 CENTENNIAL LANE</v>
      </c>
      <c r="C6011" s="3" t="str">
        <f>IFERROR(__xludf.DUMMYFUNCTION("""COMPUTED_VALUE"""),"HAVELOCK")</f>
        <v>HAVELOCK</v>
      </c>
      <c r="D6011" s="3" t="str">
        <f>IFERROR(__xludf.DUMMYFUNCTION("""COMPUTED_VALUE"""),"K0L 1Z0")</f>
        <v>K0L 1Z0</v>
      </c>
      <c r="E6011" s="3" t="str">
        <f>IFERROR(__xludf.DUMMYFUNCTION("""COMPUTED_VALUE"""),"Terry Dodsley")</f>
        <v>Terry Dodsley</v>
      </c>
      <c r="F6011" s="3" t="str">
        <f>IFERROR(__xludf.DUMMYFUNCTION("""COMPUTED_VALUE"""),"tdodsley55@gmail.com")</f>
        <v>tdodsley55@gmail.com</v>
      </c>
      <c r="G6011" s="3"/>
      <c r="H6011" s="3"/>
    </row>
    <row r="6012">
      <c r="A6012" s="2">
        <f>IFERROR(__xludf.DUMMYFUNCTION("""COMPUTED_VALUE"""),60713.0)</f>
        <v>60713</v>
      </c>
      <c r="B6012" s="3" t="str">
        <f>IFERROR(__xludf.DUMMYFUNCTION("""COMPUTED_VALUE"""),"132 CENTENNIAL LANE")</f>
        <v>132 CENTENNIAL LANE</v>
      </c>
      <c r="C6012" s="3" t="str">
        <f>IFERROR(__xludf.DUMMYFUNCTION("""COMPUTED_VALUE"""),"HAVELOCK")</f>
        <v>HAVELOCK</v>
      </c>
      <c r="D6012" s="3" t="str">
        <f>IFERROR(__xludf.DUMMYFUNCTION("""COMPUTED_VALUE"""),"K0L 1Z0")</f>
        <v>K0L 1Z0</v>
      </c>
      <c r="E6012" s="3" t="str">
        <f>IFERROR(__xludf.DUMMYFUNCTION("""COMPUTED_VALUE"""),"rob duchene ")</f>
        <v>rob duchene </v>
      </c>
      <c r="F6012" s="3"/>
      <c r="G6012" s="3">
        <f>IFERROR(__xludf.DUMMYFUNCTION("""COMPUTED_VALUE"""),9.054413679E9)</f>
        <v>9054413679</v>
      </c>
      <c r="H6012" s="3"/>
    </row>
    <row r="6013">
      <c r="A6013" s="2">
        <f>IFERROR(__xludf.DUMMYFUNCTION("""COMPUTED_VALUE"""),60714.0)</f>
        <v>60714</v>
      </c>
      <c r="B6013" s="3" t="str">
        <f>IFERROR(__xludf.DUMMYFUNCTION("""COMPUTED_VALUE"""),"134 CENTENNIAL LANE")</f>
        <v>134 CENTENNIAL LANE</v>
      </c>
      <c r="C6013" s="3" t="str">
        <f>IFERROR(__xludf.DUMMYFUNCTION("""COMPUTED_VALUE"""),"HAVELOCK")</f>
        <v>HAVELOCK</v>
      </c>
      <c r="D6013" s="3" t="str">
        <f>IFERROR(__xludf.DUMMYFUNCTION("""COMPUTED_VALUE"""),"K0L 1Z0")</f>
        <v>K0L 1Z0</v>
      </c>
      <c r="E6013" s="3" t="str">
        <f>IFERROR(__xludf.DUMMYFUNCTION("""COMPUTED_VALUE"""),"paul foster")</f>
        <v>paul foster</v>
      </c>
      <c r="F6013" s="3"/>
      <c r="G6013" s="3">
        <f>IFERROR(__xludf.DUMMYFUNCTION("""COMPUTED_VALUE"""),9.059261779E9)</f>
        <v>9059261779</v>
      </c>
      <c r="H6013" s="3"/>
    </row>
    <row r="6014">
      <c r="A6014" s="2">
        <f>IFERROR(__xludf.DUMMYFUNCTION("""COMPUTED_VALUE"""),60715.0)</f>
        <v>60715</v>
      </c>
      <c r="B6014" s="3" t="str">
        <f>IFERROR(__xludf.DUMMYFUNCTION("""COMPUTED_VALUE"""),"142 CENTENNIAL LANE")</f>
        <v>142 CENTENNIAL LANE</v>
      </c>
      <c r="C6014" s="3" t="str">
        <f>IFERROR(__xludf.DUMMYFUNCTION("""COMPUTED_VALUE"""),"HAVELOCK")</f>
        <v>HAVELOCK</v>
      </c>
      <c r="D6014" s="3" t="str">
        <f>IFERROR(__xludf.DUMMYFUNCTION("""COMPUTED_VALUE"""),"K0L 1Z0")</f>
        <v>K0L 1Z0</v>
      </c>
      <c r="E6014" s="3"/>
      <c r="F6014" s="3"/>
      <c r="G6014" s="3"/>
      <c r="H6014" s="3"/>
    </row>
    <row r="6015">
      <c r="A6015" s="2">
        <f>IFERROR(__xludf.DUMMYFUNCTION("""COMPUTED_VALUE"""),60716.0)</f>
        <v>60716</v>
      </c>
      <c r="B6015" s="3" t="str">
        <f>IFERROR(__xludf.DUMMYFUNCTION("""COMPUTED_VALUE"""),"148 CENTENNIAL LANE")</f>
        <v>148 CENTENNIAL LANE</v>
      </c>
      <c r="C6015" s="3" t="str">
        <f>IFERROR(__xludf.DUMMYFUNCTION("""COMPUTED_VALUE"""),"HAVELOCK")</f>
        <v>HAVELOCK</v>
      </c>
      <c r="D6015" s="3" t="str">
        <f>IFERROR(__xludf.DUMMYFUNCTION("""COMPUTED_VALUE"""),"K0L 1Z0")</f>
        <v>K0L 1Z0</v>
      </c>
      <c r="E6015" s="3"/>
      <c r="F6015" s="3"/>
      <c r="G6015" s="3"/>
      <c r="H6015" s="3"/>
    </row>
    <row r="6016">
      <c r="A6016" s="2">
        <f>IFERROR(__xludf.DUMMYFUNCTION("""COMPUTED_VALUE"""),60717.0)</f>
        <v>60717</v>
      </c>
      <c r="B6016" s="3" t="str">
        <f>IFERROR(__xludf.DUMMYFUNCTION("""COMPUTED_VALUE"""),"158 CENTENNIAL LANE")</f>
        <v>158 CENTENNIAL LANE</v>
      </c>
      <c r="C6016" s="3" t="str">
        <f>IFERROR(__xludf.DUMMYFUNCTION("""COMPUTED_VALUE"""),"HAVELOCK")</f>
        <v>HAVELOCK</v>
      </c>
      <c r="D6016" s="3" t="str">
        <f>IFERROR(__xludf.DUMMYFUNCTION("""COMPUTED_VALUE"""),"K0L 1Z0")</f>
        <v>K0L 1Z0</v>
      </c>
      <c r="E6016" s="3" t="str">
        <f>IFERROR(__xludf.DUMMYFUNCTION("""COMPUTED_VALUE"""),"Bell Dewitt")</f>
        <v>Bell Dewitt</v>
      </c>
      <c r="F6016" s="3" t="str">
        <f>IFERROR(__xludf.DUMMYFUNCTION("""COMPUTED_VALUE"""),"Billdewitt004@gmail.com")</f>
        <v>Billdewitt004@gmail.com</v>
      </c>
      <c r="G6016" s="3">
        <f>IFERROR(__xludf.DUMMYFUNCTION("""COMPUTED_VALUE"""),6.145824715E9)</f>
        <v>6145824715</v>
      </c>
      <c r="H6016" s="3">
        <f>IFERROR(__xludf.DUMMYFUNCTION("""COMPUTED_VALUE"""),6.145823079E9)</f>
        <v>6145823079</v>
      </c>
    </row>
    <row r="6017">
      <c r="A6017" s="2">
        <f>IFERROR(__xludf.DUMMYFUNCTION("""COMPUTED_VALUE"""),60718.0)</f>
        <v>60718</v>
      </c>
      <c r="B6017" s="3" t="str">
        <f>IFERROR(__xludf.DUMMYFUNCTION("""COMPUTED_VALUE"""),"166 CENTENNIAL LANE")</f>
        <v>166 CENTENNIAL LANE</v>
      </c>
      <c r="C6017" s="3" t="str">
        <f>IFERROR(__xludf.DUMMYFUNCTION("""COMPUTED_VALUE"""),"HAVELOCK")</f>
        <v>HAVELOCK</v>
      </c>
      <c r="D6017" s="3" t="str">
        <f>IFERROR(__xludf.DUMMYFUNCTION("""COMPUTED_VALUE"""),"K0L 1Z0")</f>
        <v>K0L 1Z0</v>
      </c>
      <c r="E6017" s="3" t="str">
        <f>IFERROR(__xludf.DUMMYFUNCTION("""COMPUTED_VALUE"""),"Kevin Paterson")</f>
        <v>Kevin Paterson</v>
      </c>
      <c r="F6017" s="3" t="str">
        <f>IFERROR(__xludf.DUMMYFUNCTION("""COMPUTED_VALUE"""),"voxxseto@gmail.com")</f>
        <v>voxxseto@gmail.com</v>
      </c>
      <c r="G6017" s="3">
        <f>IFERROR(__xludf.DUMMYFUNCTION("""COMPUTED_VALUE"""),7.055592677E9)</f>
        <v>7055592677</v>
      </c>
      <c r="H6017" s="3"/>
    </row>
    <row r="6018">
      <c r="A6018" s="2">
        <f>IFERROR(__xludf.DUMMYFUNCTION("""COMPUTED_VALUE"""),60719.0)</f>
        <v>60719</v>
      </c>
      <c r="B6018" s="3" t="str">
        <f>IFERROR(__xludf.DUMMYFUNCTION("""COMPUTED_VALUE"""),"172 CENTENNIAL LANE")</f>
        <v>172 CENTENNIAL LANE</v>
      </c>
      <c r="C6018" s="3" t="str">
        <f>IFERROR(__xludf.DUMMYFUNCTION("""COMPUTED_VALUE"""),"HAVELOCK")</f>
        <v>HAVELOCK</v>
      </c>
      <c r="D6018" s="3" t="str">
        <f>IFERROR(__xludf.DUMMYFUNCTION("""COMPUTED_VALUE"""),"K0L 1Z0")</f>
        <v>K0L 1Z0</v>
      </c>
      <c r="E6018" s="3" t="str">
        <f>IFERROR(__xludf.DUMMYFUNCTION("""COMPUTED_VALUE"""),"Glenn watts ")</f>
        <v>Glenn watts </v>
      </c>
      <c r="F6018" s="3" t="str">
        <f>IFERROR(__xludf.DUMMYFUNCTION("""COMPUTED_VALUE"""),"Glenn@hwilliamjewellery.com")</f>
        <v>Glenn@hwilliamjewellery.com</v>
      </c>
      <c r="G6018" s="3">
        <f>IFERROR(__xludf.DUMMYFUNCTION("""COMPUTED_VALUE"""),9.055123173E9)</f>
        <v>9055123173</v>
      </c>
      <c r="H6018" s="3">
        <f>IFERROR(__xludf.DUMMYFUNCTION("""COMPUTED_VALUE"""),9.059847027E9)</f>
        <v>9059847027</v>
      </c>
    </row>
    <row r="6019">
      <c r="A6019" s="2">
        <f>IFERROR(__xludf.DUMMYFUNCTION("""COMPUTED_VALUE"""),60720.0)</f>
        <v>60720</v>
      </c>
      <c r="B6019" s="3" t="str">
        <f>IFERROR(__xludf.DUMMYFUNCTION("""COMPUTED_VALUE"""),"180 CENTENNIAL LANE")</f>
        <v>180 CENTENNIAL LANE</v>
      </c>
      <c r="C6019" s="3" t="str">
        <f>IFERROR(__xludf.DUMMYFUNCTION("""COMPUTED_VALUE"""),"HAVELOCK")</f>
        <v>HAVELOCK</v>
      </c>
      <c r="D6019" s="3" t="str">
        <f>IFERROR(__xludf.DUMMYFUNCTION("""COMPUTED_VALUE"""),"K0L 1Z0")</f>
        <v>K0L 1Z0</v>
      </c>
      <c r="E6019" s="3" t="str">
        <f>IFERROR(__xludf.DUMMYFUNCTION("""COMPUTED_VALUE"""),"John Mastragostino")</f>
        <v>John Mastragostino</v>
      </c>
      <c r="F6019" s="3" t="str">
        <f>IFERROR(__xludf.DUMMYFUNCTION("""COMPUTED_VALUE"""),"gjmas@outlook.com")</f>
        <v>gjmas@outlook.com</v>
      </c>
      <c r="G6019" s="3">
        <f>IFERROR(__xludf.DUMMYFUNCTION("""COMPUTED_VALUE"""),4.162200057E9)</f>
        <v>4162200057</v>
      </c>
      <c r="H6019" s="3"/>
    </row>
    <row r="6020">
      <c r="A6020" s="2">
        <f>IFERROR(__xludf.DUMMYFUNCTION("""COMPUTED_VALUE"""),60721.0)</f>
        <v>60721</v>
      </c>
      <c r="B6020" s="3" t="str">
        <f>IFERROR(__xludf.DUMMYFUNCTION("""COMPUTED_VALUE"""),"186 CENTENNIAL LANE")</f>
        <v>186 CENTENNIAL LANE</v>
      </c>
      <c r="C6020" s="3" t="str">
        <f>IFERROR(__xludf.DUMMYFUNCTION("""COMPUTED_VALUE"""),"HAVELOCK")</f>
        <v>HAVELOCK</v>
      </c>
      <c r="D6020" s="3" t="str">
        <f>IFERROR(__xludf.DUMMYFUNCTION("""COMPUTED_VALUE"""),"K0L 1Z0")</f>
        <v>K0L 1Z0</v>
      </c>
      <c r="E6020" s="3"/>
      <c r="F6020" s="3"/>
      <c r="G6020" s="3"/>
      <c r="H6020" s="3"/>
    </row>
    <row r="6021">
      <c r="A6021" s="2">
        <f>IFERROR(__xludf.DUMMYFUNCTION("""COMPUTED_VALUE"""),60722.0)</f>
        <v>60722</v>
      </c>
      <c r="B6021" s="3" t="str">
        <f>IFERROR(__xludf.DUMMYFUNCTION("""COMPUTED_VALUE"""),"188 CENTENNIAL LANE")</f>
        <v>188 CENTENNIAL LANE</v>
      </c>
      <c r="C6021" s="3" t="str">
        <f>IFERROR(__xludf.DUMMYFUNCTION("""COMPUTED_VALUE"""),"HAVELOCK")</f>
        <v>HAVELOCK</v>
      </c>
      <c r="D6021" s="3" t="str">
        <f>IFERROR(__xludf.DUMMYFUNCTION("""COMPUTED_VALUE"""),"K0L 1Z0")</f>
        <v>K0L 1Z0</v>
      </c>
      <c r="E6021" s="3"/>
      <c r="F6021" s="3"/>
      <c r="G6021" s="3"/>
      <c r="H6021" s="3"/>
    </row>
    <row r="6022">
      <c r="A6022" s="2">
        <f>IFERROR(__xludf.DUMMYFUNCTION("""COMPUTED_VALUE"""),60723.0)</f>
        <v>60723</v>
      </c>
      <c r="B6022" s="3" t="str">
        <f>IFERROR(__xludf.DUMMYFUNCTION("""COMPUTED_VALUE"""),"192 CENTENNIAL LANE")</f>
        <v>192 CENTENNIAL LANE</v>
      </c>
      <c r="C6022" s="3" t="str">
        <f>IFERROR(__xludf.DUMMYFUNCTION("""COMPUTED_VALUE"""),"HAVELOCK")</f>
        <v>HAVELOCK</v>
      </c>
      <c r="D6022" s="3" t="str">
        <f>IFERROR(__xludf.DUMMYFUNCTION("""COMPUTED_VALUE"""),"K0L 1Z0")</f>
        <v>K0L 1Z0</v>
      </c>
      <c r="E6022" s="3" t="str">
        <f>IFERROR(__xludf.DUMMYFUNCTION("""COMPUTED_VALUE"""),"Ian Johnston ")</f>
        <v>Ian Johnston </v>
      </c>
      <c r="F6022" s="3"/>
      <c r="G6022" s="3">
        <f>IFERROR(__xludf.DUMMYFUNCTION("""COMPUTED_VALUE"""),6.478834928E9)</f>
        <v>6478834928</v>
      </c>
      <c r="H6022" s="3"/>
    </row>
    <row r="6023">
      <c r="A6023" s="2">
        <f>IFERROR(__xludf.DUMMYFUNCTION("""COMPUTED_VALUE"""),60724.0)</f>
        <v>60724</v>
      </c>
      <c r="B6023" s="3" t="str">
        <f>IFERROR(__xludf.DUMMYFUNCTION("""COMPUTED_VALUE"""),"196 CENTENNIAL LANE")</f>
        <v>196 CENTENNIAL LANE</v>
      </c>
      <c r="C6023" s="3" t="str">
        <f>IFERROR(__xludf.DUMMYFUNCTION("""COMPUTED_VALUE"""),"HAVELOCK")</f>
        <v>HAVELOCK</v>
      </c>
      <c r="D6023" s="3" t="str">
        <f>IFERROR(__xludf.DUMMYFUNCTION("""COMPUTED_VALUE"""),"K0L 1Z0")</f>
        <v>K0L 1Z0</v>
      </c>
      <c r="E6023" s="3"/>
      <c r="F6023" s="3"/>
      <c r="G6023" s="3"/>
      <c r="H6023" s="3"/>
    </row>
    <row r="6024">
      <c r="A6024" s="2">
        <f>IFERROR(__xludf.DUMMYFUNCTION("""COMPUTED_VALUE"""),60725.0)</f>
        <v>60725</v>
      </c>
      <c r="B6024" s="3" t="str">
        <f>IFERROR(__xludf.DUMMYFUNCTION("""COMPUTED_VALUE"""),"198 CENTENNIAL LANE")</f>
        <v>198 CENTENNIAL LANE</v>
      </c>
      <c r="C6024" s="3" t="str">
        <f>IFERROR(__xludf.DUMMYFUNCTION("""COMPUTED_VALUE"""),"HAVELOCK")</f>
        <v>HAVELOCK</v>
      </c>
      <c r="D6024" s="3" t="str">
        <f>IFERROR(__xludf.DUMMYFUNCTION("""COMPUTED_VALUE"""),"K0L 1Z0")</f>
        <v>K0L 1Z0</v>
      </c>
      <c r="E6024" s="3"/>
      <c r="F6024" s="3"/>
      <c r="G6024" s="3"/>
      <c r="H6024" s="3"/>
    </row>
    <row r="6025">
      <c r="A6025" s="2">
        <f>IFERROR(__xludf.DUMMYFUNCTION("""COMPUTED_VALUE"""),60726.0)</f>
        <v>60726</v>
      </c>
      <c r="B6025" s="3" t="str">
        <f>IFERROR(__xludf.DUMMYFUNCTION("""COMPUTED_VALUE"""),"202 CENTENNIAL LANE")</f>
        <v>202 CENTENNIAL LANE</v>
      </c>
      <c r="C6025" s="3" t="str">
        <f>IFERROR(__xludf.DUMMYFUNCTION("""COMPUTED_VALUE"""),"HAVELOCK")</f>
        <v>HAVELOCK</v>
      </c>
      <c r="D6025" s="3" t="str">
        <f>IFERROR(__xludf.DUMMYFUNCTION("""COMPUTED_VALUE"""),"K0L 1Z0")</f>
        <v>K0L 1Z0</v>
      </c>
      <c r="E6025" s="3"/>
      <c r="F6025" s="3"/>
      <c r="G6025" s="3"/>
      <c r="H6025" s="3"/>
    </row>
    <row r="6026">
      <c r="A6026" s="2">
        <f>IFERROR(__xludf.DUMMYFUNCTION("""COMPUTED_VALUE"""),60727.0)</f>
        <v>60727</v>
      </c>
      <c r="B6026" s="3" t="str">
        <f>IFERROR(__xludf.DUMMYFUNCTION("""COMPUTED_VALUE"""),"204 CENTENNIAL LANE")</f>
        <v>204 CENTENNIAL LANE</v>
      </c>
      <c r="C6026" s="3" t="str">
        <f>IFERROR(__xludf.DUMMYFUNCTION("""COMPUTED_VALUE"""),"HAVELOCK")</f>
        <v>HAVELOCK</v>
      </c>
      <c r="D6026" s="3" t="str">
        <f>IFERROR(__xludf.DUMMYFUNCTION("""COMPUTED_VALUE"""),"K0L 1Z0")</f>
        <v>K0L 1Z0</v>
      </c>
      <c r="E6026" s="3" t="str">
        <f>IFERROR(__xludf.DUMMYFUNCTION("""COMPUTED_VALUE"""),"Mehdi")</f>
        <v>Mehdi</v>
      </c>
      <c r="F6026" s="3" t="str">
        <f>IFERROR(__xludf.DUMMYFUNCTION("""COMPUTED_VALUE"""),"s.m.mirmoezi@gmail.com")</f>
        <v>s.m.mirmoezi@gmail.com</v>
      </c>
      <c r="G6026" s="3"/>
      <c r="H6026" s="3"/>
    </row>
    <row r="6027">
      <c r="A6027" s="2">
        <f>IFERROR(__xludf.DUMMYFUNCTION("""COMPUTED_VALUE"""),60728.0)</f>
        <v>60728</v>
      </c>
      <c r="B6027" s="3" t="str">
        <f>IFERROR(__xludf.DUMMYFUNCTION("""COMPUTED_VALUE"""),"206 CENTENNIAL LANE")</f>
        <v>206 CENTENNIAL LANE</v>
      </c>
      <c r="C6027" s="3" t="str">
        <f>IFERROR(__xludf.DUMMYFUNCTION("""COMPUTED_VALUE"""),"HAVELOCK")</f>
        <v>HAVELOCK</v>
      </c>
      <c r="D6027" s="3" t="str">
        <f>IFERROR(__xludf.DUMMYFUNCTION("""COMPUTED_VALUE"""),"K0L 1Z0")</f>
        <v>K0L 1Z0</v>
      </c>
      <c r="E6027" s="3" t="str">
        <f>IFERROR(__xludf.DUMMYFUNCTION("""COMPUTED_VALUE"""),"wayne neil ")</f>
        <v>wayne neil </v>
      </c>
      <c r="F6027" s="3"/>
      <c r="G6027" s="3">
        <f>IFERROR(__xludf.DUMMYFUNCTION("""COMPUTED_VALUE"""),4.165229904E9)</f>
        <v>4165229904</v>
      </c>
      <c r="H6027" s="3">
        <f>IFERROR(__xludf.DUMMYFUNCTION("""COMPUTED_VALUE"""),7.057787545E9)</f>
        <v>7057787545</v>
      </c>
    </row>
    <row r="6028">
      <c r="A6028" s="2">
        <f>IFERROR(__xludf.DUMMYFUNCTION("""COMPUTED_VALUE"""),60729.0)</f>
        <v>60729</v>
      </c>
      <c r="B6028" s="3" t="str">
        <f>IFERROR(__xludf.DUMMYFUNCTION("""COMPUTED_VALUE"""),"210 CENTENNIAL LANE")</f>
        <v>210 CENTENNIAL LANE</v>
      </c>
      <c r="C6028" s="3" t="str">
        <f>IFERROR(__xludf.DUMMYFUNCTION("""COMPUTED_VALUE"""),"HAVELOCK")</f>
        <v>HAVELOCK</v>
      </c>
      <c r="D6028" s="3" t="str">
        <f>IFERROR(__xludf.DUMMYFUNCTION("""COMPUTED_VALUE"""),"K0L 1Z0")</f>
        <v>K0L 1Z0</v>
      </c>
      <c r="E6028" s="3"/>
      <c r="F6028" s="3"/>
      <c r="G6028" s="3"/>
      <c r="H6028" s="3"/>
    </row>
    <row r="6029">
      <c r="A6029" s="2">
        <f>IFERROR(__xludf.DUMMYFUNCTION("""COMPUTED_VALUE"""),60730.0)</f>
        <v>60730</v>
      </c>
      <c r="B6029" s="3" t="str">
        <f>IFERROR(__xludf.DUMMYFUNCTION("""COMPUTED_VALUE"""),"216 CENTENNIAL LANE")</f>
        <v>216 CENTENNIAL LANE</v>
      </c>
      <c r="C6029" s="3" t="str">
        <f>IFERROR(__xludf.DUMMYFUNCTION("""COMPUTED_VALUE"""),"HAVELOCK")</f>
        <v>HAVELOCK</v>
      </c>
      <c r="D6029" s="3" t="str">
        <f>IFERROR(__xludf.DUMMYFUNCTION("""COMPUTED_VALUE"""),"K0L 1Z0")</f>
        <v>K0L 1Z0</v>
      </c>
      <c r="E6029" s="3"/>
      <c r="F6029" s="3"/>
      <c r="G6029" s="3"/>
      <c r="H6029" s="3"/>
    </row>
    <row r="6030">
      <c r="A6030" s="2">
        <f>IFERROR(__xludf.DUMMYFUNCTION("""COMPUTED_VALUE"""),60731.0)</f>
        <v>60731</v>
      </c>
      <c r="B6030" s="3" t="str">
        <f>IFERROR(__xludf.DUMMYFUNCTION("""COMPUTED_VALUE"""),"218 CENTENNIAL LANE")</f>
        <v>218 CENTENNIAL LANE</v>
      </c>
      <c r="C6030" s="3" t="str">
        <f>IFERROR(__xludf.DUMMYFUNCTION("""COMPUTED_VALUE"""),"HAVELOCK")</f>
        <v>HAVELOCK</v>
      </c>
      <c r="D6030" s="3" t="str">
        <f>IFERROR(__xludf.DUMMYFUNCTION("""COMPUTED_VALUE"""),"K0L 1Z0")</f>
        <v>K0L 1Z0</v>
      </c>
      <c r="E6030" s="3"/>
      <c r="F6030" s="3"/>
      <c r="G6030" s="3"/>
      <c r="H6030" s="3"/>
    </row>
    <row r="6031">
      <c r="A6031" s="2">
        <f>IFERROR(__xludf.DUMMYFUNCTION("""COMPUTED_VALUE"""),60732.0)</f>
        <v>60732</v>
      </c>
      <c r="B6031" s="3" t="str">
        <f>IFERROR(__xludf.DUMMYFUNCTION("""COMPUTED_VALUE"""),"222 CENTENNIAL LANE")</f>
        <v>222 CENTENNIAL LANE</v>
      </c>
      <c r="C6031" s="3" t="str">
        <f>IFERROR(__xludf.DUMMYFUNCTION("""COMPUTED_VALUE"""),"HAVELOCK")</f>
        <v>HAVELOCK</v>
      </c>
      <c r="D6031" s="3" t="str">
        <f>IFERROR(__xludf.DUMMYFUNCTION("""COMPUTED_VALUE"""),"K0L 1Z0")</f>
        <v>K0L 1Z0</v>
      </c>
      <c r="E6031" s="3"/>
      <c r="F6031" s="3"/>
      <c r="G6031" s="3"/>
      <c r="H6031" s="3"/>
    </row>
    <row r="6032">
      <c r="A6032" s="2">
        <f>IFERROR(__xludf.DUMMYFUNCTION("""COMPUTED_VALUE"""),60733.0)</f>
        <v>60733</v>
      </c>
      <c r="B6032" s="3" t="str">
        <f>IFERROR(__xludf.DUMMYFUNCTION("""COMPUTED_VALUE"""),"224 CENTENNIAL LANE")</f>
        <v>224 CENTENNIAL LANE</v>
      </c>
      <c r="C6032" s="3" t="str">
        <f>IFERROR(__xludf.DUMMYFUNCTION("""COMPUTED_VALUE"""),"HAVELOCK")</f>
        <v>HAVELOCK</v>
      </c>
      <c r="D6032" s="3" t="str">
        <f>IFERROR(__xludf.DUMMYFUNCTION("""COMPUTED_VALUE"""),"K0L 1Z0")</f>
        <v>K0L 1Z0</v>
      </c>
      <c r="E6032" s="3"/>
      <c r="F6032" s="3"/>
      <c r="G6032" s="3"/>
      <c r="H6032" s="3"/>
    </row>
    <row r="6033">
      <c r="A6033" s="2">
        <f>IFERROR(__xludf.DUMMYFUNCTION("""COMPUTED_VALUE"""),60734.0)</f>
        <v>60734</v>
      </c>
      <c r="B6033" s="3" t="str">
        <f>IFERROR(__xludf.DUMMYFUNCTION("""COMPUTED_VALUE"""),"226 CENTENNIAL LANE")</f>
        <v>226 CENTENNIAL LANE</v>
      </c>
      <c r="C6033" s="3" t="str">
        <f>IFERROR(__xludf.DUMMYFUNCTION("""COMPUTED_VALUE"""),"HAVELOCK")</f>
        <v>HAVELOCK</v>
      </c>
      <c r="D6033" s="3" t="str">
        <f>IFERROR(__xludf.DUMMYFUNCTION("""COMPUTED_VALUE"""),"K0L 1Z0")</f>
        <v>K0L 1Z0</v>
      </c>
      <c r="E6033" s="3"/>
      <c r="F6033" s="3"/>
      <c r="G6033" s="3"/>
      <c r="H6033" s="3"/>
    </row>
    <row r="6034">
      <c r="A6034" s="2">
        <f>IFERROR(__xludf.DUMMYFUNCTION("""COMPUTED_VALUE"""),60735.0)</f>
        <v>60735</v>
      </c>
      <c r="B6034" s="3" t="str">
        <f>IFERROR(__xludf.DUMMYFUNCTION("""COMPUTED_VALUE"""),"228 CENTENNIAL LANE")</f>
        <v>228 CENTENNIAL LANE</v>
      </c>
      <c r="C6034" s="3" t="str">
        <f>IFERROR(__xludf.DUMMYFUNCTION("""COMPUTED_VALUE"""),"HAVELOCK")</f>
        <v>HAVELOCK</v>
      </c>
      <c r="D6034" s="3" t="str">
        <f>IFERROR(__xludf.DUMMYFUNCTION("""COMPUTED_VALUE"""),"K0L 1Z0")</f>
        <v>K0L 1Z0</v>
      </c>
      <c r="E6034" s="3"/>
      <c r="F6034" s="3"/>
      <c r="G6034" s="3"/>
      <c r="H6034" s="3"/>
    </row>
    <row r="6035">
      <c r="A6035" s="2">
        <f>IFERROR(__xludf.DUMMYFUNCTION("""COMPUTED_VALUE"""),60736.0)</f>
        <v>60736</v>
      </c>
      <c r="B6035" s="3" t="str">
        <f>IFERROR(__xludf.DUMMYFUNCTION("""COMPUTED_VALUE"""),"234 CENTENNIAL LANE")</f>
        <v>234 CENTENNIAL LANE</v>
      </c>
      <c r="C6035" s="3" t="str">
        <f>IFERROR(__xludf.DUMMYFUNCTION("""COMPUTED_VALUE"""),"HAVELOCK")</f>
        <v>HAVELOCK</v>
      </c>
      <c r="D6035" s="3" t="str">
        <f>IFERROR(__xludf.DUMMYFUNCTION("""COMPUTED_VALUE"""),"K0L 1Z0")</f>
        <v>K0L 1Z0</v>
      </c>
      <c r="E6035" s="3" t="str">
        <f>IFERROR(__xludf.DUMMYFUNCTION("""COMPUTED_VALUE"""),"wayne moores")</f>
        <v>wayne moores</v>
      </c>
      <c r="F6035" s="3" t="str">
        <f>IFERROR(__xludf.DUMMYFUNCTION("""COMPUTED_VALUE"""),"wayne@thehoneydoguys.ca")</f>
        <v>wayne@thehoneydoguys.ca</v>
      </c>
      <c r="G6035" s="3">
        <f>IFERROR(__xludf.DUMMYFUNCTION("""COMPUTED_VALUE"""),7.057911753E9)</f>
        <v>7057911753</v>
      </c>
      <c r="H6035" s="3"/>
    </row>
    <row r="6036">
      <c r="A6036" s="2">
        <f>IFERROR(__xludf.DUMMYFUNCTION("""COMPUTED_VALUE"""),60737.0)</f>
        <v>60737</v>
      </c>
      <c r="B6036" s="3" t="str">
        <f>IFERROR(__xludf.DUMMYFUNCTION("""COMPUTED_VALUE"""),"240 CENTENNIAL LANE")</f>
        <v>240 CENTENNIAL LANE</v>
      </c>
      <c r="C6036" s="3" t="str">
        <f>IFERROR(__xludf.DUMMYFUNCTION("""COMPUTED_VALUE"""),"HAVELOCK")</f>
        <v>HAVELOCK</v>
      </c>
      <c r="D6036" s="3" t="str">
        <f>IFERROR(__xludf.DUMMYFUNCTION("""COMPUTED_VALUE"""),"K0L 1Z0")</f>
        <v>K0L 1Z0</v>
      </c>
      <c r="E6036" s="3" t="str">
        <f>IFERROR(__xludf.DUMMYFUNCTION("""COMPUTED_VALUE"""),"Anna dekleer")</f>
        <v>Anna dekleer</v>
      </c>
      <c r="F6036" s="3" t="str">
        <f>IFERROR(__xludf.DUMMYFUNCTION("""COMPUTED_VALUE"""),"Anna-dk@outlook.com")</f>
        <v>Anna-dk@outlook.com</v>
      </c>
      <c r="G6036" s="3">
        <f>IFERROR(__xludf.DUMMYFUNCTION("""COMPUTED_VALUE"""),6.13861105E9)</f>
        <v>6138611050</v>
      </c>
      <c r="H6036" s="3"/>
    </row>
    <row r="6037">
      <c r="A6037" s="2">
        <f>IFERROR(__xludf.DUMMYFUNCTION("""COMPUTED_VALUE"""),60738.0)</f>
        <v>60738</v>
      </c>
      <c r="B6037" s="3" t="str">
        <f>IFERROR(__xludf.DUMMYFUNCTION("""COMPUTED_VALUE"""),"241 CENTENNIAL LANE")</f>
        <v>241 CENTENNIAL LANE</v>
      </c>
      <c r="C6037" s="3" t="str">
        <f>IFERROR(__xludf.DUMMYFUNCTION("""COMPUTED_VALUE"""),"HAVELOCK")</f>
        <v>HAVELOCK</v>
      </c>
      <c r="D6037" s="3" t="str">
        <f>IFERROR(__xludf.DUMMYFUNCTION("""COMPUTED_VALUE"""),"K0L 1Z0")</f>
        <v>K0L 1Z0</v>
      </c>
      <c r="E6037" s="3"/>
      <c r="F6037" s="3"/>
      <c r="G6037" s="3"/>
      <c r="H6037" s="3"/>
    </row>
    <row r="6038">
      <c r="A6038" s="2">
        <f>IFERROR(__xludf.DUMMYFUNCTION("""COMPUTED_VALUE"""),60739.0)</f>
        <v>60739</v>
      </c>
      <c r="B6038" s="3" t="str">
        <f>IFERROR(__xludf.DUMMYFUNCTION("""COMPUTED_VALUE"""),"242 CENTENNIAL LANE")</f>
        <v>242 CENTENNIAL LANE</v>
      </c>
      <c r="C6038" s="3" t="str">
        <f>IFERROR(__xludf.DUMMYFUNCTION("""COMPUTED_VALUE"""),"HAVELOCK")</f>
        <v>HAVELOCK</v>
      </c>
      <c r="D6038" s="3" t="str">
        <f>IFERROR(__xludf.DUMMYFUNCTION("""COMPUTED_VALUE"""),"K0L 1Z0")</f>
        <v>K0L 1Z0</v>
      </c>
      <c r="E6038" s="3" t="str">
        <f>IFERROR(__xludf.DUMMYFUNCTION("""COMPUTED_VALUE"""),"Paul bittick")</f>
        <v>Paul bittick</v>
      </c>
      <c r="F6038" s="3" t="str">
        <f>IFERROR(__xludf.DUMMYFUNCTION("""COMPUTED_VALUE"""),"Tp.oshaughnessy@sympatico.ca")</f>
        <v>Tp.oshaughnessy@sympatico.ca</v>
      </c>
      <c r="G6038" s="3">
        <f>IFERROR(__xludf.DUMMYFUNCTION("""COMPUTED_VALUE"""),4.169381174E9)</f>
        <v>4169381174</v>
      </c>
      <c r="H6038" s="3"/>
    </row>
    <row r="6039">
      <c r="A6039" s="2">
        <f>IFERROR(__xludf.DUMMYFUNCTION("""COMPUTED_VALUE"""),60868.0)</f>
        <v>60868</v>
      </c>
      <c r="B6039" s="3" t="str">
        <f>IFERROR(__xludf.DUMMYFUNCTION("""COMPUTED_VALUE"""),"3 CONCESSION ST E")</f>
        <v>3 CONCESSION ST E</v>
      </c>
      <c r="C6039" s="3" t="str">
        <f>IFERROR(__xludf.DUMMYFUNCTION("""COMPUTED_VALUE"""),"WARKWORTH")</f>
        <v>WARKWORTH</v>
      </c>
      <c r="D6039" s="3" t="str">
        <f>IFERROR(__xludf.DUMMYFUNCTION("""COMPUTED_VALUE"""),"K0K 3K0")</f>
        <v>K0K 3K0</v>
      </c>
      <c r="E6039" s="3" t="str">
        <f>IFERROR(__xludf.DUMMYFUNCTION("""COMPUTED_VALUE"""),"Christine Milligan")</f>
        <v>Christine Milligan</v>
      </c>
      <c r="F6039" s="3" t="str">
        <f>IFERROR(__xludf.DUMMYFUNCTION("""COMPUTED_VALUE"""),"milligan.cl@outlook.com")</f>
        <v>milligan.cl@outlook.com</v>
      </c>
      <c r="G6039" s="3">
        <f>IFERROR(__xludf.DUMMYFUNCTION("""COMPUTED_VALUE"""),6.139680797E9)</f>
        <v>6139680797</v>
      </c>
      <c r="H6039" s="3"/>
    </row>
    <row r="6040">
      <c r="A6040" s="2">
        <f>IFERROR(__xludf.DUMMYFUNCTION("""COMPUTED_VALUE"""),60869.0)</f>
        <v>60869</v>
      </c>
      <c r="B6040" s="3" t="str">
        <f>IFERROR(__xludf.DUMMYFUNCTION("""COMPUTED_VALUE"""),"4 NORHAM RD  ")</f>
        <v>4 NORHAM RD  </v>
      </c>
      <c r="C6040" s="3" t="str">
        <f>IFERROR(__xludf.DUMMYFUNCTION("""COMPUTED_VALUE"""),"WARKWORTH")</f>
        <v>WARKWORTH</v>
      </c>
      <c r="D6040" s="3" t="str">
        <f>IFERROR(__xludf.DUMMYFUNCTION("""COMPUTED_VALUE"""),"K0K 3K0")</f>
        <v>K0K 3K0</v>
      </c>
      <c r="E6040" s="3"/>
      <c r="F6040" s="3"/>
      <c r="G6040" s="3"/>
      <c r="H6040" s="3"/>
    </row>
    <row r="6041">
      <c r="A6041" s="2">
        <f>IFERROR(__xludf.DUMMYFUNCTION("""COMPUTED_VALUE"""),60870.0)</f>
        <v>60870</v>
      </c>
      <c r="B6041" s="3" t="str">
        <f>IFERROR(__xludf.DUMMYFUNCTION("""COMPUTED_VALUE"""),"5 CONCESSION ST W")</f>
        <v>5 CONCESSION ST W</v>
      </c>
      <c r="C6041" s="3" t="str">
        <f>IFERROR(__xludf.DUMMYFUNCTION("""COMPUTED_VALUE"""),"WARKWORTH")</f>
        <v>WARKWORTH</v>
      </c>
      <c r="D6041" s="3" t="str">
        <f>IFERROR(__xludf.DUMMYFUNCTION("""COMPUTED_VALUE"""),"K0K 3K0")</f>
        <v>K0K 3K0</v>
      </c>
      <c r="E6041" s="3" t="str">
        <f>IFERROR(__xludf.DUMMYFUNCTION("""COMPUTED_VALUE"""),"Quinlan Jones")</f>
        <v>Quinlan Jones</v>
      </c>
      <c r="F6041" s="3" t="str">
        <f>IFERROR(__xludf.DUMMYFUNCTION("""COMPUTED_VALUE"""),"jonesq878@gmail.com")</f>
        <v>jonesq878@gmail.com</v>
      </c>
      <c r="G6041" s="3">
        <f>IFERROR(__xludf.DUMMYFUNCTION("""COMPUTED_VALUE"""),7.059338162E9)</f>
        <v>7059338162</v>
      </c>
      <c r="H6041" s="3">
        <f>IFERROR(__xludf.DUMMYFUNCTION("""COMPUTED_VALUE"""),7.059278261E9)</f>
        <v>7059278261</v>
      </c>
    </row>
    <row r="6042">
      <c r="A6042" s="2">
        <f>IFERROR(__xludf.DUMMYFUNCTION("""COMPUTED_VALUE"""),60871.0)</f>
        <v>60871</v>
      </c>
      <c r="B6042" s="3" t="str">
        <f>IFERROR(__xludf.DUMMYFUNCTION("""COMPUTED_VALUE"""),"7 CONCESSION ST W")</f>
        <v>7 CONCESSION ST W</v>
      </c>
      <c r="C6042" s="3" t="str">
        <f>IFERROR(__xludf.DUMMYFUNCTION("""COMPUTED_VALUE"""),"WARKWORTH")</f>
        <v>WARKWORTH</v>
      </c>
      <c r="D6042" s="3" t="str">
        <f>IFERROR(__xludf.DUMMYFUNCTION("""COMPUTED_VALUE"""),"K0K 3K0")</f>
        <v>K0K 3K0</v>
      </c>
      <c r="E6042" s="3"/>
      <c r="F6042" s="3"/>
      <c r="G6042" s="3"/>
      <c r="H6042" s="3"/>
    </row>
    <row r="6043">
      <c r="A6043" s="2">
        <f>IFERROR(__xludf.DUMMYFUNCTION("""COMPUTED_VALUE"""),60872.0)</f>
        <v>60872</v>
      </c>
      <c r="B6043" s="3" t="str">
        <f>IFERROR(__xludf.DUMMYFUNCTION("""COMPUTED_VALUE"""),"9 CONCESSION ST W")</f>
        <v>9 CONCESSION ST W</v>
      </c>
      <c r="C6043" s="3" t="str">
        <f>IFERROR(__xludf.DUMMYFUNCTION("""COMPUTED_VALUE"""),"WARKWORTH")</f>
        <v>WARKWORTH</v>
      </c>
      <c r="D6043" s="3" t="str">
        <f>IFERROR(__xludf.DUMMYFUNCTION("""COMPUTED_VALUE"""),"K0K 3K0")</f>
        <v>K0K 3K0</v>
      </c>
      <c r="E6043" s="3"/>
      <c r="F6043" s="3"/>
      <c r="G6043" s="3"/>
      <c r="H6043" s="3"/>
    </row>
    <row r="6044">
      <c r="A6044" s="2">
        <f>IFERROR(__xludf.DUMMYFUNCTION("""COMPUTED_VALUE"""),60873.0)</f>
        <v>60873</v>
      </c>
      <c r="B6044" s="3" t="str">
        <f>IFERROR(__xludf.DUMMYFUNCTION("""COMPUTED_VALUE"""),"11 CONCESSION ST E")</f>
        <v>11 CONCESSION ST E</v>
      </c>
      <c r="C6044" s="3" t="str">
        <f>IFERROR(__xludf.DUMMYFUNCTION("""COMPUTED_VALUE"""),"WARKWORTH")</f>
        <v>WARKWORTH</v>
      </c>
      <c r="D6044" s="3" t="str">
        <f>IFERROR(__xludf.DUMMYFUNCTION("""COMPUTED_VALUE"""),"K0K 3K0")</f>
        <v>K0K 3K0</v>
      </c>
      <c r="E6044" s="3" t="str">
        <f>IFERROR(__xludf.DUMMYFUNCTION("""COMPUTED_VALUE"""),"CATHERINE MCCREA")</f>
        <v>CATHERINE MCCREA</v>
      </c>
      <c r="F6044" s="3" t="str">
        <f>IFERROR(__xludf.DUMMYFUNCTION("""COMPUTED_VALUE"""),"csmccrea@bell.net")</f>
        <v>csmccrea@bell.net</v>
      </c>
      <c r="G6044" s="3"/>
      <c r="H6044" s="3"/>
    </row>
    <row r="6045">
      <c r="A6045" s="2">
        <f>IFERROR(__xludf.DUMMYFUNCTION("""COMPUTED_VALUE"""),60874.0)</f>
        <v>60874</v>
      </c>
      <c r="B6045" s="3" t="str">
        <f>IFERROR(__xludf.DUMMYFUNCTION("""COMPUTED_VALUE"""),"11 CONCESSION ST W")</f>
        <v>11 CONCESSION ST W</v>
      </c>
      <c r="C6045" s="3" t="str">
        <f>IFERROR(__xludf.DUMMYFUNCTION("""COMPUTED_VALUE"""),"WARKWORTH")</f>
        <v>WARKWORTH</v>
      </c>
      <c r="D6045" s="3" t="str">
        <f>IFERROR(__xludf.DUMMYFUNCTION("""COMPUTED_VALUE"""),"K0K 3K0")</f>
        <v>K0K 3K0</v>
      </c>
      <c r="E6045" s="3" t="str">
        <f>IFERROR(__xludf.DUMMYFUNCTION("""COMPUTED_VALUE"""),"ian &amp; Catherine  mcrea ")</f>
        <v>ian &amp; Catherine  mcrea </v>
      </c>
      <c r="F6045" s="3" t="str">
        <f>IFERROR(__xludf.DUMMYFUNCTION("""COMPUTED_VALUE"""),"ianmcrea@bell.net/csmccrea@bell.net")</f>
        <v>ianmcrea@bell.net/csmccrea@bell.net</v>
      </c>
      <c r="G6045" s="3">
        <f>IFERROR(__xludf.DUMMYFUNCTION("""COMPUTED_VALUE"""),7.05924241E9)</f>
        <v>7059242410</v>
      </c>
      <c r="H6045" s="3"/>
    </row>
    <row r="6046">
      <c r="A6046" s="2">
        <f>IFERROR(__xludf.DUMMYFUNCTION("""COMPUTED_VALUE"""),60875.0)</f>
        <v>60875</v>
      </c>
      <c r="B6046" s="3" t="str">
        <f>IFERROR(__xludf.DUMMYFUNCTION("""COMPUTED_VALUE"""),"12 CONCESSION ST E")</f>
        <v>12 CONCESSION ST E</v>
      </c>
      <c r="C6046" s="3" t="str">
        <f>IFERROR(__xludf.DUMMYFUNCTION("""COMPUTED_VALUE"""),"WARKWORTH")</f>
        <v>WARKWORTH</v>
      </c>
      <c r="D6046" s="3" t="str">
        <f>IFERROR(__xludf.DUMMYFUNCTION("""COMPUTED_VALUE"""),"K0K 3K0")</f>
        <v>K0K 3K0</v>
      </c>
      <c r="E6046" s="3"/>
      <c r="F6046" s="3"/>
      <c r="G6046" s="3"/>
      <c r="H6046" s="3"/>
    </row>
    <row r="6047">
      <c r="A6047" s="2">
        <f>IFERROR(__xludf.DUMMYFUNCTION("""COMPUTED_VALUE"""),60876.0)</f>
        <v>60876</v>
      </c>
      <c r="B6047" s="3" t="str">
        <f>IFERROR(__xludf.DUMMYFUNCTION("""COMPUTED_VALUE"""),"19 CONCESSION ST W")</f>
        <v>19 CONCESSION ST W</v>
      </c>
      <c r="C6047" s="3" t="str">
        <f>IFERROR(__xludf.DUMMYFUNCTION("""COMPUTED_VALUE"""),"WARKWORTH")</f>
        <v>WARKWORTH</v>
      </c>
      <c r="D6047" s="3" t="str">
        <f>IFERROR(__xludf.DUMMYFUNCTION("""COMPUTED_VALUE"""),"K0K 3K0")</f>
        <v>K0K 3K0</v>
      </c>
      <c r="E6047" s="3"/>
      <c r="F6047" s="3"/>
      <c r="G6047" s="3"/>
      <c r="H6047" s="3"/>
    </row>
    <row r="6048">
      <c r="A6048" s="2">
        <f>IFERROR(__xludf.DUMMYFUNCTION("""COMPUTED_VALUE"""),60877.0)</f>
        <v>60877</v>
      </c>
      <c r="B6048" s="3" t="str">
        <f>IFERROR(__xludf.DUMMYFUNCTION("""COMPUTED_VALUE"""),"21 CONCESSION ST E")</f>
        <v>21 CONCESSION ST E</v>
      </c>
      <c r="C6048" s="3" t="str">
        <f>IFERROR(__xludf.DUMMYFUNCTION("""COMPUTED_VALUE"""),"WARKWORTH")</f>
        <v>WARKWORTH</v>
      </c>
      <c r="D6048" s="3" t="str">
        <f>IFERROR(__xludf.DUMMYFUNCTION("""COMPUTED_VALUE"""),"K0K 3K0")</f>
        <v>K0K 3K0</v>
      </c>
      <c r="E6048" s="3" t="str">
        <f>IFERROR(__xludf.DUMMYFUNCTION("""COMPUTED_VALUE"""),"steve peacock")</f>
        <v>steve peacock</v>
      </c>
      <c r="F6048" s="3" t="str">
        <f>IFERROR(__xludf.DUMMYFUNCTION("""COMPUTED_VALUE"""),"stevepeacockphi@gmail.com")</f>
        <v>stevepeacockphi@gmail.com</v>
      </c>
      <c r="G6048" s="3">
        <f>IFERROR(__xludf.DUMMYFUNCTION("""COMPUTED_VALUE"""),7.053131986E9)</f>
        <v>7053131986</v>
      </c>
      <c r="H6048" s="3"/>
    </row>
    <row r="6049">
      <c r="A6049" s="2">
        <f>IFERROR(__xludf.DUMMYFUNCTION("""COMPUTED_VALUE"""),60878.0)</f>
        <v>60878</v>
      </c>
      <c r="B6049" s="3" t="str">
        <f>IFERROR(__xludf.DUMMYFUNCTION("""COMPUTED_VALUE"""),"22 CONCESSION ST E")</f>
        <v>22 CONCESSION ST E</v>
      </c>
      <c r="C6049" s="3" t="str">
        <f>IFERROR(__xludf.DUMMYFUNCTION("""COMPUTED_VALUE"""),"WARKWORTH")</f>
        <v>WARKWORTH</v>
      </c>
      <c r="D6049" s="3" t="str">
        <f>IFERROR(__xludf.DUMMYFUNCTION("""COMPUTED_VALUE"""),"K0K 3K0")</f>
        <v>K0K 3K0</v>
      </c>
      <c r="E6049" s="3" t="str">
        <f>IFERROR(__xludf.DUMMYFUNCTION("""COMPUTED_VALUE"""),"Steve Peacock")</f>
        <v>Steve Peacock</v>
      </c>
      <c r="F6049" s="3" t="str">
        <f>IFERROR(__xludf.DUMMYFUNCTION("""COMPUTED_VALUE"""),"stevepeacockphi@gmail.com")</f>
        <v>stevepeacockphi@gmail.com</v>
      </c>
      <c r="G6049" s="3">
        <f>IFERROR(__xludf.DUMMYFUNCTION("""COMPUTED_VALUE"""),7.053131986E9)</f>
        <v>7053131986</v>
      </c>
      <c r="H6049" s="3"/>
    </row>
    <row r="6050">
      <c r="A6050" s="2">
        <f>IFERROR(__xludf.DUMMYFUNCTION("""COMPUTED_VALUE"""),60879.0)</f>
        <v>60879</v>
      </c>
      <c r="B6050" s="3" t="str">
        <f>IFERROR(__xludf.DUMMYFUNCTION("""COMPUTED_VALUE"""),"24 CONCESSION ST E")</f>
        <v>24 CONCESSION ST E</v>
      </c>
      <c r="C6050" s="3" t="str">
        <f>IFERROR(__xludf.DUMMYFUNCTION("""COMPUTED_VALUE"""),"WARKWORTH")</f>
        <v>WARKWORTH</v>
      </c>
      <c r="D6050" s="3" t="str">
        <f>IFERROR(__xludf.DUMMYFUNCTION("""COMPUTED_VALUE"""),"K0K 3K0")</f>
        <v>K0K 3K0</v>
      </c>
      <c r="E6050" s="3" t="str">
        <f>IFERROR(__xludf.DUMMYFUNCTION("""COMPUTED_VALUE"""),"lea phillips")</f>
        <v>lea phillips</v>
      </c>
      <c r="F6050" s="3" t="str">
        <f>IFERROR(__xludf.DUMMYFUNCTION("""COMPUTED_VALUE"""),"phillipslea@hotmail.com")</f>
        <v>phillipslea@hotmail.com</v>
      </c>
      <c r="G6050" s="3">
        <f>IFERROR(__xludf.DUMMYFUNCTION("""COMPUTED_VALUE"""),4.169448717E9)</f>
        <v>4169448717</v>
      </c>
      <c r="H6050" s="3">
        <f>IFERROR(__xludf.DUMMYFUNCTION("""COMPUTED_VALUE"""),6.476544151E9)</f>
        <v>6476544151</v>
      </c>
    </row>
    <row r="6051">
      <c r="A6051" s="2">
        <f>IFERROR(__xludf.DUMMYFUNCTION("""COMPUTED_VALUE"""),60880.0)</f>
        <v>60880</v>
      </c>
      <c r="B6051" s="3" t="str">
        <f>IFERROR(__xludf.DUMMYFUNCTION("""COMPUTED_VALUE"""),"25 CONCESSION ST E")</f>
        <v>25 CONCESSION ST E</v>
      </c>
      <c r="C6051" s="3" t="str">
        <f>IFERROR(__xludf.DUMMYFUNCTION("""COMPUTED_VALUE"""),"WARKWORTH")</f>
        <v>WARKWORTH</v>
      </c>
      <c r="D6051" s="3" t="str">
        <f>IFERROR(__xludf.DUMMYFUNCTION("""COMPUTED_VALUE"""),"K0K 3K0")</f>
        <v>K0K 3K0</v>
      </c>
      <c r="E6051" s="3"/>
      <c r="F6051" s="3"/>
      <c r="G6051" s="3"/>
      <c r="H6051" s="3"/>
    </row>
    <row r="6052">
      <c r="A6052" s="2">
        <f>IFERROR(__xludf.DUMMYFUNCTION("""COMPUTED_VALUE"""),60881.0)</f>
        <v>60881</v>
      </c>
      <c r="B6052" s="3" t="str">
        <f>IFERROR(__xludf.DUMMYFUNCTION("""COMPUTED_VALUE"""),"25 CONCESSION ST W")</f>
        <v>25 CONCESSION ST W</v>
      </c>
      <c r="C6052" s="3" t="str">
        <f>IFERROR(__xludf.DUMMYFUNCTION("""COMPUTED_VALUE"""),"WARKWORTH")</f>
        <v>WARKWORTH</v>
      </c>
      <c r="D6052" s="3" t="str">
        <f>IFERROR(__xludf.DUMMYFUNCTION("""COMPUTED_VALUE"""),"K0K 3K0")</f>
        <v>K0K 3K0</v>
      </c>
      <c r="E6052" s="3"/>
      <c r="F6052" s="3"/>
      <c r="G6052" s="3"/>
      <c r="H6052" s="3"/>
    </row>
    <row r="6053">
      <c r="A6053" s="2">
        <f>IFERROR(__xludf.DUMMYFUNCTION("""COMPUTED_VALUE"""),60882.0)</f>
        <v>60882</v>
      </c>
      <c r="B6053" s="3" t="str">
        <f>IFERROR(__xludf.DUMMYFUNCTION("""COMPUTED_VALUE"""),"29 CONCESSION ST W")</f>
        <v>29 CONCESSION ST W</v>
      </c>
      <c r="C6053" s="3" t="str">
        <f>IFERROR(__xludf.DUMMYFUNCTION("""COMPUTED_VALUE"""),"WARKWORTH")</f>
        <v>WARKWORTH</v>
      </c>
      <c r="D6053" s="3" t="str">
        <f>IFERROR(__xludf.DUMMYFUNCTION("""COMPUTED_VALUE"""),"K0K 3K0")</f>
        <v>K0K 3K0</v>
      </c>
      <c r="E6053" s="3" t="str">
        <f>IFERROR(__xludf.DUMMYFUNCTION("""COMPUTED_VALUE"""),"Dennis Ecclestone")</f>
        <v>Dennis Ecclestone</v>
      </c>
      <c r="F6053" s="3" t="str">
        <f>IFERROR(__xludf.DUMMYFUNCTION("""COMPUTED_VALUE"""),"dennis.ecclestone@live.ca")</f>
        <v>dennis.ecclestone@live.ca</v>
      </c>
      <c r="G6053" s="3">
        <f>IFERROR(__xludf.DUMMYFUNCTION("""COMPUTED_VALUE"""),2.26203658E9)</f>
        <v>2262036580</v>
      </c>
      <c r="H6053" s="3">
        <f>IFERROR(__xludf.DUMMYFUNCTION("""COMPUTED_VALUE"""),9.058770555E9)</f>
        <v>9058770555</v>
      </c>
    </row>
    <row r="6054">
      <c r="A6054" s="2">
        <f>IFERROR(__xludf.DUMMYFUNCTION("""COMPUTED_VALUE"""),60883.0)</f>
        <v>60883</v>
      </c>
      <c r="B6054" s="3" t="str">
        <f>IFERROR(__xludf.DUMMYFUNCTION("""COMPUTED_VALUE"""),"35 CONCESSION ST E")</f>
        <v>35 CONCESSION ST E</v>
      </c>
      <c r="C6054" s="3" t="str">
        <f>IFERROR(__xludf.DUMMYFUNCTION("""COMPUTED_VALUE"""),"WARKWORTH")</f>
        <v>WARKWORTH</v>
      </c>
      <c r="D6054" s="3" t="str">
        <f>IFERROR(__xludf.DUMMYFUNCTION("""COMPUTED_VALUE"""),"K0K 3K0")</f>
        <v>K0K 3K0</v>
      </c>
      <c r="E6054" s="3"/>
      <c r="F6054" s="3"/>
      <c r="G6054" s="3"/>
      <c r="H6054" s="3"/>
    </row>
    <row r="6055">
      <c r="A6055" s="2">
        <f>IFERROR(__xludf.DUMMYFUNCTION("""COMPUTED_VALUE"""),60884.0)</f>
        <v>60884</v>
      </c>
      <c r="B6055" s="3" t="str">
        <f>IFERROR(__xludf.DUMMYFUNCTION("""COMPUTED_VALUE"""),"36 CONCESSION ST E")</f>
        <v>36 CONCESSION ST E</v>
      </c>
      <c r="C6055" s="3" t="str">
        <f>IFERROR(__xludf.DUMMYFUNCTION("""COMPUTED_VALUE"""),"WARKWORTH")</f>
        <v>WARKWORTH</v>
      </c>
      <c r="D6055" s="3" t="str">
        <f>IFERROR(__xludf.DUMMYFUNCTION("""COMPUTED_VALUE"""),"K0K 3K0")</f>
        <v>K0K 3K0</v>
      </c>
      <c r="E6055" s="3"/>
      <c r="F6055" s="3"/>
      <c r="G6055" s="3"/>
      <c r="H6055" s="3"/>
    </row>
    <row r="6056">
      <c r="A6056" s="2">
        <f>IFERROR(__xludf.DUMMYFUNCTION("""COMPUTED_VALUE"""),60885.0)</f>
        <v>60885</v>
      </c>
      <c r="B6056" s="3" t="str">
        <f>IFERROR(__xludf.DUMMYFUNCTION("""COMPUTED_VALUE"""),"36 CONCESSION ST W")</f>
        <v>36 CONCESSION ST W</v>
      </c>
      <c r="C6056" s="3" t="str">
        <f>IFERROR(__xludf.DUMMYFUNCTION("""COMPUTED_VALUE"""),"WARKWORTH")</f>
        <v>WARKWORTH</v>
      </c>
      <c r="D6056" s="3" t="str">
        <f>IFERROR(__xludf.DUMMYFUNCTION("""COMPUTED_VALUE"""),"K0K 3K0")</f>
        <v>K0K 3K0</v>
      </c>
      <c r="E6056" s="3"/>
      <c r="F6056" s="3"/>
      <c r="G6056" s="3"/>
      <c r="H6056" s="3"/>
    </row>
    <row r="6057">
      <c r="A6057" s="2">
        <f>IFERROR(__xludf.DUMMYFUNCTION("""COMPUTED_VALUE"""),60886.0)</f>
        <v>60886</v>
      </c>
      <c r="B6057" s="3" t="str">
        <f>IFERROR(__xludf.DUMMYFUNCTION("""COMPUTED_VALUE"""),"42 CONCESSION ST W")</f>
        <v>42 CONCESSION ST W</v>
      </c>
      <c r="C6057" s="3" t="str">
        <f>IFERROR(__xludf.DUMMYFUNCTION("""COMPUTED_VALUE"""),"WARKWORTH")</f>
        <v>WARKWORTH</v>
      </c>
      <c r="D6057" s="3" t="str">
        <f>IFERROR(__xludf.DUMMYFUNCTION("""COMPUTED_VALUE"""),"K0K 3K0")</f>
        <v>K0K 3K0</v>
      </c>
      <c r="E6057" s="3" t="str">
        <f>IFERROR(__xludf.DUMMYFUNCTION("""COMPUTED_VALUE"""),"douglas milne ")</f>
        <v>douglas milne </v>
      </c>
      <c r="F6057" s="3"/>
      <c r="G6057" s="3">
        <f>IFERROR(__xludf.DUMMYFUNCTION("""COMPUTED_VALUE"""),7.059243115E9)</f>
        <v>7059243115</v>
      </c>
      <c r="H6057" s="3"/>
    </row>
    <row r="6058">
      <c r="A6058" s="2">
        <f>IFERROR(__xludf.DUMMYFUNCTION("""COMPUTED_VALUE"""),60887.0)</f>
        <v>60887</v>
      </c>
      <c r="B6058" s="3" t="str">
        <f>IFERROR(__xludf.DUMMYFUNCTION("""COMPUTED_VALUE"""),"45 CONCESSION ST E")</f>
        <v>45 CONCESSION ST E</v>
      </c>
      <c r="C6058" s="3" t="str">
        <f>IFERROR(__xludf.DUMMYFUNCTION("""COMPUTED_VALUE"""),"WARKWORTH")</f>
        <v>WARKWORTH</v>
      </c>
      <c r="D6058" s="3" t="str">
        <f>IFERROR(__xludf.DUMMYFUNCTION("""COMPUTED_VALUE"""),"K0K 3K0")</f>
        <v>K0K 3K0</v>
      </c>
      <c r="E6058" s="3" t="str">
        <f>IFERROR(__xludf.DUMMYFUNCTION("""COMPUTED_VALUE"""),"claudia hoffman")</f>
        <v>claudia hoffman</v>
      </c>
      <c r="F6058" s="3" t="str">
        <f>IFERROR(__xludf.DUMMYFUNCTION("""COMPUTED_VALUE"""),"choffman@live.ca")</f>
        <v>choffman@live.ca</v>
      </c>
      <c r="G6058" s="3">
        <f>IFERROR(__xludf.DUMMYFUNCTION("""COMPUTED_VALUE"""),7.055590993E9)</f>
        <v>7055590993</v>
      </c>
      <c r="H6058" s="3"/>
    </row>
    <row r="6059">
      <c r="A6059" s="2">
        <f>IFERROR(__xludf.DUMMYFUNCTION("""COMPUTED_VALUE"""),60888.0)</f>
        <v>60888</v>
      </c>
      <c r="B6059" s="3" t="str">
        <f>IFERROR(__xludf.DUMMYFUNCTION("""COMPUTED_VALUE"""),"46 CONCESSION ST W")</f>
        <v>46 CONCESSION ST W</v>
      </c>
      <c r="C6059" s="3" t="str">
        <f>IFERROR(__xludf.DUMMYFUNCTION("""COMPUTED_VALUE"""),"WARKWORTH")</f>
        <v>WARKWORTH</v>
      </c>
      <c r="D6059" s="3" t="str">
        <f>IFERROR(__xludf.DUMMYFUNCTION("""COMPUTED_VALUE"""),"K0K 3K0")</f>
        <v>K0K 3K0</v>
      </c>
      <c r="E6059" s="3" t="str">
        <f>IFERROR(__xludf.DUMMYFUNCTION("""COMPUTED_VALUE"""),"patrick braney")</f>
        <v>patrick braney</v>
      </c>
      <c r="F6059" s="3" t="str">
        <f>IFERROR(__xludf.DUMMYFUNCTION("""COMPUTED_VALUE"""),"poisonivy1255@gmail.com")</f>
        <v>poisonivy1255@gmail.com</v>
      </c>
      <c r="G6059" s="3">
        <f>IFERROR(__xludf.DUMMYFUNCTION("""COMPUTED_VALUE"""),6.475150302E9)</f>
        <v>6475150302</v>
      </c>
      <c r="H6059" s="3"/>
    </row>
    <row r="6060">
      <c r="A6060" s="2">
        <f>IFERROR(__xludf.DUMMYFUNCTION("""COMPUTED_VALUE"""),60889.0)</f>
        <v>60889</v>
      </c>
      <c r="B6060" s="3" t="str">
        <f>IFERROR(__xludf.DUMMYFUNCTION("""COMPUTED_VALUE"""),"50 CONCESSION ST W")</f>
        <v>50 CONCESSION ST W</v>
      </c>
      <c r="C6060" s="3" t="str">
        <f>IFERROR(__xludf.DUMMYFUNCTION("""COMPUTED_VALUE"""),"WARKWORTH")</f>
        <v>WARKWORTH</v>
      </c>
      <c r="D6060" s="3" t="str">
        <f>IFERROR(__xludf.DUMMYFUNCTION("""COMPUTED_VALUE"""),"K0K 3K0")</f>
        <v>K0K 3K0</v>
      </c>
      <c r="E6060" s="3" t="str">
        <f>IFERROR(__xludf.DUMMYFUNCTION("""COMPUTED_VALUE"""),"Brant MacAvelia")</f>
        <v>Brant MacAvelia</v>
      </c>
      <c r="F6060" s="3" t="str">
        <f>IFERROR(__xludf.DUMMYFUNCTION("""COMPUTED_VALUE"""),"brantmac@gmail.com")</f>
        <v>brantmac@gmail.com</v>
      </c>
      <c r="G6060" s="3">
        <f>IFERROR(__xludf.DUMMYFUNCTION("""COMPUTED_VALUE"""),7.058684082E9)</f>
        <v>7058684082</v>
      </c>
      <c r="H6060" s="3"/>
    </row>
    <row r="6061">
      <c r="A6061" s="2">
        <f>IFERROR(__xludf.DUMMYFUNCTION("""COMPUTED_VALUE"""),60890.0)</f>
        <v>60890</v>
      </c>
      <c r="B6061" s="3" t="str">
        <f>IFERROR(__xludf.DUMMYFUNCTION("""COMPUTED_VALUE"""),"52 CONCESSION ST E")</f>
        <v>52 CONCESSION ST E</v>
      </c>
      <c r="C6061" s="3" t="str">
        <f>IFERROR(__xludf.DUMMYFUNCTION("""COMPUTED_VALUE"""),"WARKWORTH")</f>
        <v>WARKWORTH</v>
      </c>
      <c r="D6061" s="3" t="str">
        <f>IFERROR(__xludf.DUMMYFUNCTION("""COMPUTED_VALUE"""),"K0K 3K0")</f>
        <v>K0K 3K0</v>
      </c>
      <c r="E6061" s="3" t="str">
        <f>IFERROR(__xludf.DUMMYFUNCTION("""COMPUTED_VALUE"""),"Kristy Sherwood")</f>
        <v>Kristy Sherwood</v>
      </c>
      <c r="F6061" s="3" t="str">
        <f>IFERROR(__xludf.DUMMYFUNCTION("""COMPUTED_VALUE"""),"gkks63@outlook.vom")</f>
        <v>gkks63@outlook.vom</v>
      </c>
      <c r="G6061" s="3">
        <f>IFERROR(__xludf.DUMMYFUNCTION("""COMPUTED_VALUE"""),4.169940143E9)</f>
        <v>4169940143</v>
      </c>
      <c r="H6061" s="3"/>
    </row>
    <row r="6062">
      <c r="A6062" s="2">
        <f>IFERROR(__xludf.DUMMYFUNCTION("""COMPUTED_VALUE"""),60891.0)</f>
        <v>60891</v>
      </c>
      <c r="B6062" s="3" t="str">
        <f>IFERROR(__xludf.DUMMYFUNCTION("""COMPUTED_VALUE"""),"55 CONCESSION ST E")</f>
        <v>55 CONCESSION ST E</v>
      </c>
      <c r="C6062" s="3" t="str">
        <f>IFERROR(__xludf.DUMMYFUNCTION("""COMPUTED_VALUE"""),"WARKWORTH")</f>
        <v>WARKWORTH</v>
      </c>
      <c r="D6062" s="3" t="str">
        <f>IFERROR(__xludf.DUMMYFUNCTION("""COMPUTED_VALUE"""),"K0K 3K0")</f>
        <v>K0K 3K0</v>
      </c>
      <c r="E6062" s="3" t="str">
        <f>IFERROR(__xludf.DUMMYFUNCTION("""COMPUTED_VALUE"""),"victor dodsworth")</f>
        <v>victor dodsworth</v>
      </c>
      <c r="F6062" s="3" t="str">
        <f>IFERROR(__xludf.DUMMYFUNCTION("""COMPUTED_VALUE"""),"dodsworth.vic@gmail.com")</f>
        <v>dodsworth.vic@gmail.com</v>
      </c>
      <c r="G6062" s="3"/>
      <c r="H6062" s="3"/>
    </row>
    <row r="6063">
      <c r="A6063" s="2">
        <f>IFERROR(__xludf.DUMMYFUNCTION("""COMPUTED_VALUE"""),60892.0)</f>
        <v>60892</v>
      </c>
      <c r="B6063" s="3" t="str">
        <f>IFERROR(__xludf.DUMMYFUNCTION("""COMPUTED_VALUE"""),"59 CONCESSION ST E")</f>
        <v>59 CONCESSION ST E</v>
      </c>
      <c r="C6063" s="3" t="str">
        <f>IFERROR(__xludf.DUMMYFUNCTION("""COMPUTED_VALUE"""),"WARKWORTH")</f>
        <v>WARKWORTH</v>
      </c>
      <c r="D6063" s="3" t="str">
        <f>IFERROR(__xludf.DUMMYFUNCTION("""COMPUTED_VALUE"""),"K0K 3K0")</f>
        <v>K0K 3K0</v>
      </c>
      <c r="E6063" s="3" t="str">
        <f>IFERROR(__xludf.DUMMYFUNCTION("""COMPUTED_VALUE"""),"dave mcdiarmid ")</f>
        <v>dave mcdiarmid </v>
      </c>
      <c r="F6063" s="3" t="str">
        <f>IFERROR(__xludf.DUMMYFUNCTION("""COMPUTED_VALUE"""),"emcdia@hotmail.com")</f>
        <v>emcdia@hotmail.com</v>
      </c>
      <c r="G6063" s="3">
        <f>IFERROR(__xludf.DUMMYFUNCTION("""COMPUTED_VALUE"""),7.059241766E9)</f>
        <v>7059241766</v>
      </c>
      <c r="H6063" s="3"/>
    </row>
    <row r="6064">
      <c r="A6064" s="2">
        <f>IFERROR(__xludf.DUMMYFUNCTION("""COMPUTED_VALUE"""),60893.0)</f>
        <v>60893</v>
      </c>
      <c r="B6064" s="3" t="str">
        <f>IFERROR(__xludf.DUMMYFUNCTION("""COMPUTED_VALUE"""),"60 CONCESSION ST W")</f>
        <v>60 CONCESSION ST W</v>
      </c>
      <c r="C6064" s="3" t="str">
        <f>IFERROR(__xludf.DUMMYFUNCTION("""COMPUTED_VALUE"""),"WARKWORTH")</f>
        <v>WARKWORTH</v>
      </c>
      <c r="D6064" s="3" t="str">
        <f>IFERROR(__xludf.DUMMYFUNCTION("""COMPUTED_VALUE"""),"K0K 3K0")</f>
        <v>K0K 3K0</v>
      </c>
      <c r="E6064" s="3" t="str">
        <f>IFERROR(__xludf.DUMMYFUNCTION("""COMPUTED_VALUE"""),"Jason Brown")</f>
        <v>Jason Brown</v>
      </c>
      <c r="F6064" s="3" t="str">
        <f>IFERROR(__xludf.DUMMYFUNCTION("""COMPUTED_VALUE"""),"jaynbrown@gmail.com")</f>
        <v>jaynbrown@gmail.com</v>
      </c>
      <c r="G6064" s="3"/>
      <c r="H6064" s="3"/>
    </row>
    <row r="6065">
      <c r="A6065" s="2">
        <f>IFERROR(__xludf.DUMMYFUNCTION("""COMPUTED_VALUE"""),60894.0)</f>
        <v>60894</v>
      </c>
      <c r="B6065" s="3" t="str">
        <f>IFERROR(__xludf.DUMMYFUNCTION("""COMPUTED_VALUE"""),"64 CONCESSION ST E")</f>
        <v>64 CONCESSION ST E</v>
      </c>
      <c r="C6065" s="3" t="str">
        <f>IFERROR(__xludf.DUMMYFUNCTION("""COMPUTED_VALUE"""),"WARKWORTH")</f>
        <v>WARKWORTH</v>
      </c>
      <c r="D6065" s="3" t="str">
        <f>IFERROR(__xludf.DUMMYFUNCTION("""COMPUTED_VALUE"""),"K0K 3K0")</f>
        <v>K0K 3K0</v>
      </c>
      <c r="E6065" s="3" t="str">
        <f>IFERROR(__xludf.DUMMYFUNCTION("""COMPUTED_VALUE"""),"graham halley")</f>
        <v>graham halley</v>
      </c>
      <c r="F6065" s="3" t="str">
        <f>IFERROR(__xludf.DUMMYFUNCTION("""COMPUTED_VALUE"""),"grahamhallet9@gmail.com")</f>
        <v>grahamhallet9@gmail.com</v>
      </c>
      <c r="G6065" s="3">
        <f>IFERROR(__xludf.DUMMYFUNCTION("""COMPUTED_VALUE"""),9.057069749E9)</f>
        <v>9057069749</v>
      </c>
      <c r="H6065" s="3">
        <f>IFERROR(__xludf.DUMMYFUNCTION("""COMPUTED_VALUE"""),9.05922294E9)</f>
        <v>9059222940</v>
      </c>
    </row>
    <row r="6066">
      <c r="A6066" s="2">
        <f>IFERROR(__xludf.DUMMYFUNCTION("""COMPUTED_VALUE"""),60895.0)</f>
        <v>60895</v>
      </c>
      <c r="B6066" s="3" t="str">
        <f>IFERROR(__xludf.DUMMYFUNCTION("""COMPUTED_VALUE"""),"65 CONCESSION ST E")</f>
        <v>65 CONCESSION ST E</v>
      </c>
      <c r="C6066" s="3" t="str">
        <f>IFERROR(__xludf.DUMMYFUNCTION("""COMPUTED_VALUE"""),"WARKWORTH")</f>
        <v>WARKWORTH</v>
      </c>
      <c r="D6066" s="3" t="str">
        <f>IFERROR(__xludf.DUMMYFUNCTION("""COMPUTED_VALUE"""),"K0K 3K0")</f>
        <v>K0K 3K0</v>
      </c>
      <c r="E6066" s="3" t="str">
        <f>IFERROR(__xludf.DUMMYFUNCTION("""COMPUTED_VALUE"""),"wayne yarrow")</f>
        <v>wayne yarrow</v>
      </c>
      <c r="F6066" s="3"/>
      <c r="G6066" s="3">
        <f>IFERROR(__xludf.DUMMYFUNCTION("""COMPUTED_VALUE"""),7.059242966E9)</f>
        <v>7059242966</v>
      </c>
      <c r="H6066" s="3"/>
    </row>
    <row r="6067">
      <c r="A6067" s="2">
        <f>IFERROR(__xludf.DUMMYFUNCTION("""COMPUTED_VALUE"""),60896.0)</f>
        <v>60896</v>
      </c>
      <c r="B6067" s="3" t="str">
        <f>IFERROR(__xludf.DUMMYFUNCTION("""COMPUTED_VALUE"""),"66 CONCESSION ST E")</f>
        <v>66 CONCESSION ST E</v>
      </c>
      <c r="C6067" s="3" t="str">
        <f>IFERROR(__xludf.DUMMYFUNCTION("""COMPUTED_VALUE"""),"WARKWORTH")</f>
        <v>WARKWORTH</v>
      </c>
      <c r="D6067" s="3" t="str">
        <f>IFERROR(__xludf.DUMMYFUNCTION("""COMPUTED_VALUE"""),"K0K 3K0")</f>
        <v>K0K 3K0</v>
      </c>
      <c r="E6067" s="3" t="str">
        <f>IFERROR(__xludf.DUMMYFUNCTION("""COMPUTED_VALUE"""),"chantel de la coumeuve ")</f>
        <v>chantel de la coumeuve </v>
      </c>
      <c r="F6067" s="3" t="str">
        <f>IFERROR(__xludf.DUMMYFUNCTION("""COMPUTED_VALUE"""),"cdelacourmeuve@yahoo.com")</f>
        <v>cdelacourmeuve@yahoo.com</v>
      </c>
      <c r="G6067" s="3">
        <f>IFERROR(__xludf.DUMMYFUNCTION("""COMPUTED_VALUE"""),7.053952001E9)</f>
        <v>7053952001</v>
      </c>
      <c r="H6067" s="3"/>
    </row>
    <row r="6068">
      <c r="A6068" s="2">
        <f>IFERROR(__xludf.DUMMYFUNCTION("""COMPUTED_VALUE"""),60897.0)</f>
        <v>60897</v>
      </c>
      <c r="B6068" s="3" t="str">
        <f>IFERROR(__xludf.DUMMYFUNCTION("""COMPUTED_VALUE"""),"68 CONCESSION ST E")</f>
        <v>68 CONCESSION ST E</v>
      </c>
      <c r="C6068" s="3" t="str">
        <f>IFERROR(__xludf.DUMMYFUNCTION("""COMPUTED_VALUE"""),"WARKWORTH")</f>
        <v>WARKWORTH</v>
      </c>
      <c r="D6068" s="3" t="str">
        <f>IFERROR(__xludf.DUMMYFUNCTION("""COMPUTED_VALUE"""),"K0K 3K0")</f>
        <v>K0K 3K0</v>
      </c>
      <c r="E6068" s="3" t="str">
        <f>IFERROR(__xludf.DUMMYFUNCTION("""COMPUTED_VALUE"""),"shane barry ")</f>
        <v>shane barry </v>
      </c>
      <c r="F6068" s="3" t="str">
        <f>IFERROR(__xludf.DUMMYFUNCTION("""COMPUTED_VALUE"""),"sbarry2387@gmail.com")</f>
        <v>sbarry2387@gmail.com</v>
      </c>
      <c r="G6068" s="3">
        <f>IFERROR(__xludf.DUMMYFUNCTION("""COMPUTED_VALUE"""),7.053952001E9)</f>
        <v>7053952001</v>
      </c>
      <c r="H6068" s="3"/>
    </row>
    <row r="6069">
      <c r="A6069" s="2">
        <f>IFERROR(__xludf.DUMMYFUNCTION("""COMPUTED_VALUE"""),60901.0)</f>
        <v>60901</v>
      </c>
      <c r="B6069" s="3" t="str">
        <f>IFERROR(__xludf.DUMMYFUNCTION("""COMPUTED_VALUE"""),"116 CONCESSION ST W")</f>
        <v>116 CONCESSION ST W</v>
      </c>
      <c r="C6069" s="3" t="str">
        <f>IFERROR(__xludf.DUMMYFUNCTION("""COMPUTED_VALUE"""),"WARKWORTH")</f>
        <v>WARKWORTH</v>
      </c>
      <c r="D6069" s="3" t="str">
        <f>IFERROR(__xludf.DUMMYFUNCTION("""COMPUTED_VALUE"""),"K0K 3K0")</f>
        <v>K0K 3K0</v>
      </c>
      <c r="E6069" s="3"/>
      <c r="F6069" s="3"/>
      <c r="G6069" s="3"/>
      <c r="H6069" s="3"/>
    </row>
    <row r="6070">
      <c r="A6070" s="2">
        <f>IFERROR(__xludf.DUMMYFUNCTION("""COMPUTED_VALUE"""),63657.0)</f>
        <v>63657</v>
      </c>
      <c r="B6070" s="3" t="str">
        <f>IFERROR(__xludf.DUMMYFUNCTION("""COMPUTED_VALUE"""),"15 WEST ST  ")</f>
        <v>15 WEST ST  </v>
      </c>
      <c r="C6070" s="3" t="str">
        <f>IFERROR(__xludf.DUMMYFUNCTION("""COMPUTED_VALUE"""),"WARKWORTH")</f>
        <v>WARKWORTH</v>
      </c>
      <c r="D6070" s="3" t="str">
        <f>IFERROR(__xludf.DUMMYFUNCTION("""COMPUTED_VALUE"""),"K0K 3K0")</f>
        <v>K0K 3K0</v>
      </c>
      <c r="E6070" s="3" t="str">
        <f>IFERROR(__xludf.DUMMYFUNCTION("""COMPUTED_VALUE"""),"darlene downes ")</f>
        <v>darlene downes </v>
      </c>
      <c r="F6070" s="3" t="str">
        <f>IFERROR(__xludf.DUMMYFUNCTION("""COMPUTED_VALUE"""),"pddownes@nexicom.net")</f>
        <v>pddownes@nexicom.net</v>
      </c>
      <c r="G6070" s="3">
        <f>IFERROR(__xludf.DUMMYFUNCTION("""COMPUTED_VALUE"""),7.059241013E9)</f>
        <v>7059241013</v>
      </c>
      <c r="H6070" s="3"/>
    </row>
    <row r="6071">
      <c r="A6071" s="2">
        <f>IFERROR(__xludf.DUMMYFUNCTION("""COMPUTED_VALUE"""),63658.0)</f>
        <v>63658</v>
      </c>
      <c r="B6071" s="3" t="str">
        <f>IFERROR(__xludf.DUMMYFUNCTION("""COMPUTED_VALUE"""),"19 WEST ST  ")</f>
        <v>19 WEST ST  </v>
      </c>
      <c r="C6071" s="3" t="str">
        <f>IFERROR(__xludf.DUMMYFUNCTION("""COMPUTED_VALUE"""),"WARKWORTH")</f>
        <v>WARKWORTH</v>
      </c>
      <c r="D6071" s="3" t="str">
        <f>IFERROR(__xludf.DUMMYFUNCTION("""COMPUTED_VALUE"""),"K0K 3K0")</f>
        <v>K0K 3K0</v>
      </c>
      <c r="E6071" s="3" t="str">
        <f>IFERROR(__xludf.DUMMYFUNCTION("""COMPUTED_VALUE"""),"Nathan Wendel")</f>
        <v>Nathan Wendel</v>
      </c>
      <c r="F6071" s="3" t="str">
        <f>IFERROR(__xludf.DUMMYFUNCTION("""COMPUTED_VALUE"""),"nathan.wendel@live.ca")</f>
        <v>nathan.wendel@live.ca</v>
      </c>
      <c r="G6071" s="3">
        <f>IFERROR(__xludf.DUMMYFUNCTION("""COMPUTED_VALUE"""),6.134037975E9)</f>
        <v>6134037975</v>
      </c>
      <c r="H6071" s="3"/>
    </row>
    <row r="6072">
      <c r="A6072" s="2">
        <f>IFERROR(__xludf.DUMMYFUNCTION("""COMPUTED_VALUE"""),63659.0)</f>
        <v>63659</v>
      </c>
      <c r="B6072" s="3" t="str">
        <f>IFERROR(__xludf.DUMMYFUNCTION("""COMPUTED_VALUE"""),"23 WEST ST  ")</f>
        <v>23 WEST ST  </v>
      </c>
      <c r="C6072" s="3" t="str">
        <f>IFERROR(__xludf.DUMMYFUNCTION("""COMPUTED_VALUE"""),"WARKWORTH")</f>
        <v>WARKWORTH</v>
      </c>
      <c r="D6072" s="3" t="str">
        <f>IFERROR(__xludf.DUMMYFUNCTION("""COMPUTED_VALUE"""),"K0K 3K0")</f>
        <v>K0K 3K0</v>
      </c>
      <c r="E6072" s="3" t="str">
        <f>IFERROR(__xludf.DUMMYFUNCTION("""COMPUTED_VALUE"""),"christina kelly ")</f>
        <v>christina kelly </v>
      </c>
      <c r="F6072" s="3" t="str">
        <f>IFERROR(__xludf.DUMMYFUNCTION("""COMPUTED_VALUE"""),"lockhartc120@gmail.com")</f>
        <v>lockhartc120@gmail.com</v>
      </c>
      <c r="G6072" s="3">
        <f>IFERROR(__xludf.DUMMYFUNCTION("""COMPUTED_VALUE"""),7.05653909E9)</f>
        <v>7056539090</v>
      </c>
      <c r="H6072" s="3"/>
    </row>
    <row r="6073">
      <c r="A6073" s="2">
        <f>IFERROR(__xludf.DUMMYFUNCTION("""COMPUTED_VALUE"""),63660.0)</f>
        <v>63660</v>
      </c>
      <c r="B6073" s="3" t="str">
        <f>IFERROR(__xludf.DUMMYFUNCTION("""COMPUTED_VALUE"""),"27 WEST ST  ")</f>
        <v>27 WEST ST  </v>
      </c>
      <c r="C6073" s="3" t="str">
        <f>IFERROR(__xludf.DUMMYFUNCTION("""COMPUTED_VALUE"""),"WARKWORTH")</f>
        <v>WARKWORTH</v>
      </c>
      <c r="D6073" s="3" t="str">
        <f>IFERROR(__xludf.DUMMYFUNCTION("""COMPUTED_VALUE"""),"K0K 3K0")</f>
        <v>K0K 3K0</v>
      </c>
      <c r="E6073" s="3"/>
      <c r="F6073" s="3"/>
      <c r="G6073" s="3"/>
      <c r="H6073" s="3"/>
    </row>
    <row r="6074">
      <c r="A6074" s="2">
        <f>IFERROR(__xludf.DUMMYFUNCTION("""COMPUTED_VALUE"""),63661.0)</f>
        <v>63661</v>
      </c>
      <c r="B6074" s="3" t="str">
        <f>IFERROR(__xludf.DUMMYFUNCTION("""COMPUTED_VALUE"""),"31 WEST ST  ")</f>
        <v>31 WEST ST  </v>
      </c>
      <c r="C6074" s="3" t="str">
        <f>IFERROR(__xludf.DUMMYFUNCTION("""COMPUTED_VALUE"""),"WARKWORTH")</f>
        <v>WARKWORTH</v>
      </c>
      <c r="D6074" s="3" t="str">
        <f>IFERROR(__xludf.DUMMYFUNCTION("""COMPUTED_VALUE"""),"K0K 3K0")</f>
        <v>K0K 3K0</v>
      </c>
      <c r="E6074" s="3" t="str">
        <f>IFERROR(__xludf.DUMMYFUNCTION("""COMPUTED_VALUE"""),"Jim ogdrn")</f>
        <v>Jim ogdrn</v>
      </c>
      <c r="F6074" s="3" t="str">
        <f>IFERROR(__xludf.DUMMYFUNCTION("""COMPUTED_VALUE"""),"Jimogden42@gmail.comj")</f>
        <v>Jimogden42@gmail.comj</v>
      </c>
      <c r="G6074" s="3">
        <f>IFERROR(__xludf.DUMMYFUNCTION("""COMPUTED_VALUE"""),7.059242359E9)</f>
        <v>7059242359</v>
      </c>
      <c r="H6074" s="3"/>
    </row>
    <row r="6075">
      <c r="A6075" s="2">
        <f>IFERROR(__xludf.DUMMYFUNCTION("""COMPUTED_VALUE"""),63662.0)</f>
        <v>63662</v>
      </c>
      <c r="B6075" s="3" t="str">
        <f>IFERROR(__xludf.DUMMYFUNCTION("""COMPUTED_VALUE"""),"32 WEST ST  ")</f>
        <v>32 WEST ST  </v>
      </c>
      <c r="C6075" s="3" t="str">
        <f>IFERROR(__xludf.DUMMYFUNCTION("""COMPUTED_VALUE"""),"WARKWORTH")</f>
        <v>WARKWORTH</v>
      </c>
      <c r="D6075" s="3" t="str">
        <f>IFERROR(__xludf.DUMMYFUNCTION("""COMPUTED_VALUE"""),"K0K 3K0")</f>
        <v>K0K 3K0</v>
      </c>
      <c r="E6075" s="3" t="str">
        <f>IFERROR(__xludf.DUMMYFUNCTION("""COMPUTED_VALUE"""),"steve simon")</f>
        <v>steve simon</v>
      </c>
      <c r="F6075" s="3" t="str">
        <f>IFERROR(__xludf.DUMMYFUNCTION("""COMPUTED_VALUE"""),"stevesimon10@yahoo.ca")</f>
        <v>stevesimon10@yahoo.ca</v>
      </c>
      <c r="G6075" s="3">
        <f>IFERROR(__xludf.DUMMYFUNCTION("""COMPUTED_VALUE"""),9.053764194E9)</f>
        <v>9053764194</v>
      </c>
      <c r="H6075" s="3"/>
    </row>
    <row r="6076">
      <c r="A6076" s="2">
        <f>IFERROR(__xludf.DUMMYFUNCTION("""COMPUTED_VALUE"""),62735.0)</f>
        <v>62735</v>
      </c>
      <c r="B6076" s="3" t="str">
        <f>IFERROR(__xludf.DUMMYFUNCTION("""COMPUTED_VALUE"""),"57 NEWMAN DR  ")</f>
        <v>57 NEWMAN DR  </v>
      </c>
      <c r="C6076" s="3" t="str">
        <f>IFERROR(__xludf.DUMMYFUNCTION("""COMPUTED_VALUE"""),"WARKWORTH")</f>
        <v>WARKWORTH</v>
      </c>
      <c r="D6076" s="3" t="str">
        <f>IFERROR(__xludf.DUMMYFUNCTION("""COMPUTED_VALUE"""),"K0K 3K0")</f>
        <v>K0K 3K0</v>
      </c>
      <c r="E6076" s="3" t="str">
        <f>IFERROR(__xludf.DUMMYFUNCTION("""COMPUTED_VALUE"""),"Mike Heintzman")</f>
        <v>Mike Heintzman</v>
      </c>
      <c r="F6076" s="3" t="str">
        <f>IFERROR(__xludf.DUMMYFUNCTION("""COMPUTED_VALUE"""),"heintzman50@gmail.com")</f>
        <v>heintzman50@gmail.com</v>
      </c>
      <c r="G6076" s="3">
        <f>IFERROR(__xludf.DUMMYFUNCTION("""COMPUTED_VALUE"""),6.133348458E9)</f>
        <v>6133348458</v>
      </c>
      <c r="H6076" s="3">
        <f>IFERROR(__xludf.DUMMYFUNCTION("""COMPUTED_VALUE"""),7.053133591E9)</f>
        <v>7053133591</v>
      </c>
    </row>
    <row r="6077">
      <c r="A6077" s="2">
        <f>IFERROR(__xludf.DUMMYFUNCTION("""COMPUTED_VALUE"""),62736.0)</f>
        <v>62736</v>
      </c>
      <c r="B6077" s="3" t="str">
        <f>IFERROR(__xludf.DUMMYFUNCTION("""COMPUTED_VALUE"""),"79 NEWMAN DR  ")</f>
        <v>79 NEWMAN DR  </v>
      </c>
      <c r="C6077" s="3" t="str">
        <f>IFERROR(__xludf.DUMMYFUNCTION("""COMPUTED_VALUE"""),"WARKWORTH")</f>
        <v>WARKWORTH</v>
      </c>
      <c r="D6077" s="3" t="str">
        <f>IFERROR(__xludf.DUMMYFUNCTION("""COMPUTED_VALUE"""),"K0K 3K0")</f>
        <v>K0K 3K0</v>
      </c>
      <c r="E6077" s="3" t="str">
        <f>IFERROR(__xludf.DUMMYFUNCTION("""COMPUTED_VALUE"""),"lisa moniz-luis")</f>
        <v>lisa moniz-luis</v>
      </c>
      <c r="F6077" s="3" t="str">
        <f>IFERROR(__xludf.DUMMYFUNCTION("""COMPUTED_VALUE"""),"lisamonizluis@gmail.com")</f>
        <v>lisamonizluis@gmail.com</v>
      </c>
      <c r="G6077" s="3">
        <f>IFERROR(__xludf.DUMMYFUNCTION("""COMPUTED_VALUE"""),4.16844977E9)</f>
        <v>4168449770</v>
      </c>
      <c r="H6077" s="3">
        <f>IFERROR(__xludf.DUMMYFUNCTION("""COMPUTED_VALUE"""),9.059886742E9)</f>
        <v>9059886742</v>
      </c>
    </row>
    <row r="6078">
      <c r="A6078" s="2">
        <f>IFERROR(__xludf.DUMMYFUNCTION("""COMPUTED_VALUE"""),62737.0)</f>
        <v>62737</v>
      </c>
      <c r="B6078" s="3" t="str">
        <f>IFERROR(__xludf.DUMMYFUNCTION("""COMPUTED_VALUE"""),"84 NEWMAN DR  ")</f>
        <v>84 NEWMAN DR  </v>
      </c>
      <c r="C6078" s="3" t="str">
        <f>IFERROR(__xludf.DUMMYFUNCTION("""COMPUTED_VALUE"""),"WARKWORTH")</f>
        <v>WARKWORTH</v>
      </c>
      <c r="D6078" s="3" t="str">
        <f>IFERROR(__xludf.DUMMYFUNCTION("""COMPUTED_VALUE"""),"K0K 3K0")</f>
        <v>K0K 3K0</v>
      </c>
      <c r="E6078" s="3" t="str">
        <f>IFERROR(__xludf.DUMMYFUNCTION("""COMPUTED_VALUE"""),"jay singh")</f>
        <v>jay singh</v>
      </c>
      <c r="F6078" s="3"/>
      <c r="G6078" s="3">
        <f>IFERROR(__xludf.DUMMYFUNCTION("""COMPUTED_VALUE"""),4.164177243E9)</f>
        <v>4164177243</v>
      </c>
      <c r="H6078" s="3"/>
    </row>
    <row r="6079">
      <c r="A6079" s="2">
        <f>IFERROR(__xludf.DUMMYFUNCTION("""COMPUTED_VALUE"""),62738.0)</f>
        <v>62738</v>
      </c>
      <c r="B6079" s="3" t="str">
        <f>IFERROR(__xludf.DUMMYFUNCTION("""COMPUTED_VALUE"""),"40 NEWMAN DR  ")</f>
        <v>40 NEWMAN DR  </v>
      </c>
      <c r="C6079" s="3" t="str">
        <f>IFERROR(__xludf.DUMMYFUNCTION("""COMPUTED_VALUE"""),"WARKWORTH")</f>
        <v>WARKWORTH</v>
      </c>
      <c r="D6079" s="3" t="str">
        <f>IFERROR(__xludf.DUMMYFUNCTION("""COMPUTED_VALUE"""),"K0K 3K0")</f>
        <v>K0K 3K0</v>
      </c>
      <c r="E6079" s="3" t="str">
        <f>IFERROR(__xludf.DUMMYFUNCTION("""COMPUTED_VALUE"""),"randy newman ")</f>
        <v>randy newman </v>
      </c>
      <c r="F6079" s="3" t="str">
        <f>IFERROR(__xludf.DUMMYFUNCTION("""COMPUTED_VALUE"""),"randy-newman@outlook.com")</f>
        <v>randy-newman@outlook.com</v>
      </c>
      <c r="G6079" s="3">
        <f>IFERROR(__xludf.DUMMYFUNCTION("""COMPUTED_VALUE"""),7.056537603E9)</f>
        <v>7056537603</v>
      </c>
      <c r="H6079" s="3"/>
    </row>
    <row r="6080">
      <c r="A6080" s="2">
        <f>IFERROR(__xludf.DUMMYFUNCTION("""COMPUTED_VALUE"""),62739.0)</f>
        <v>62739</v>
      </c>
      <c r="B6080" s="3" t="str">
        <f>IFERROR(__xludf.DUMMYFUNCTION("""COMPUTED_VALUE"""),"41 NEWMAN DR  ")</f>
        <v>41 NEWMAN DR  </v>
      </c>
      <c r="C6080" s="3" t="str">
        <f>IFERROR(__xludf.DUMMYFUNCTION("""COMPUTED_VALUE"""),"WARKWORTH")</f>
        <v>WARKWORTH</v>
      </c>
      <c r="D6080" s="3" t="str">
        <f>IFERROR(__xludf.DUMMYFUNCTION("""COMPUTED_VALUE"""),"K0K 3K0")</f>
        <v>K0K 3K0</v>
      </c>
      <c r="E6080" s="3" t="str">
        <f>IFERROR(__xludf.DUMMYFUNCTION("""COMPUTED_VALUE"""),"elaine newman")</f>
        <v>elaine newman</v>
      </c>
      <c r="F6080" s="3"/>
      <c r="G6080" s="3">
        <f>IFERROR(__xludf.DUMMYFUNCTION("""COMPUTED_VALUE"""),9.059242285E9)</f>
        <v>9059242285</v>
      </c>
      <c r="H6080" s="3"/>
    </row>
    <row r="6081">
      <c r="A6081" s="2">
        <f>IFERROR(__xludf.DUMMYFUNCTION("""COMPUTED_VALUE"""),62740.0)</f>
        <v>62740</v>
      </c>
      <c r="B6081" s="3" t="str">
        <f>IFERROR(__xludf.DUMMYFUNCTION("""COMPUTED_VALUE"""),"56 NEWMAN DR  ")</f>
        <v>56 NEWMAN DR  </v>
      </c>
      <c r="C6081" s="3" t="str">
        <f>IFERROR(__xludf.DUMMYFUNCTION("""COMPUTED_VALUE"""),"WARKWORTH")</f>
        <v>WARKWORTH</v>
      </c>
      <c r="D6081" s="3" t="str">
        <f>IFERROR(__xludf.DUMMYFUNCTION("""COMPUTED_VALUE"""),"K0K 3K0")</f>
        <v>K0K 3K0</v>
      </c>
      <c r="E6081" s="3" t="str">
        <f>IFERROR(__xludf.DUMMYFUNCTION("""COMPUTED_VALUE"""),"randy newman ")</f>
        <v>randy newman </v>
      </c>
      <c r="F6081" s="3" t="str">
        <f>IFERROR(__xludf.DUMMYFUNCTION("""COMPUTED_VALUE"""),"raandy-newman@outlook.com")</f>
        <v>raandy-newman@outlook.com</v>
      </c>
      <c r="G6081" s="3">
        <f>IFERROR(__xludf.DUMMYFUNCTION("""COMPUTED_VALUE"""),7.056537603E9)</f>
        <v>7056537603</v>
      </c>
      <c r="H6081" s="3"/>
    </row>
    <row r="6082">
      <c r="A6082" s="2">
        <f>IFERROR(__xludf.DUMMYFUNCTION("""COMPUTED_VALUE"""),62741.0)</f>
        <v>62741</v>
      </c>
      <c r="B6082" s="3" t="str">
        <f>IFERROR(__xludf.DUMMYFUNCTION("""COMPUTED_VALUE"""),"77 NEWMAN DR  ")</f>
        <v>77 NEWMAN DR  </v>
      </c>
      <c r="C6082" s="3" t="str">
        <f>IFERROR(__xludf.DUMMYFUNCTION("""COMPUTED_VALUE"""),"WARKWORTH")</f>
        <v>WARKWORTH</v>
      </c>
      <c r="D6082" s="3" t="str">
        <f>IFERROR(__xludf.DUMMYFUNCTION("""COMPUTED_VALUE"""),"K0K 3K0")</f>
        <v>K0K 3K0</v>
      </c>
      <c r="E6082" s="3" t="str">
        <f>IFERROR(__xludf.DUMMYFUNCTION("""COMPUTED_VALUE"""),"mark blight ")</f>
        <v>mark blight </v>
      </c>
      <c r="F6082" s="3"/>
      <c r="G6082" s="3">
        <f>IFERROR(__xludf.DUMMYFUNCTION("""COMPUTED_VALUE"""),7.058680575E9)</f>
        <v>7058680575</v>
      </c>
      <c r="H6082" s="3"/>
    </row>
    <row r="6083">
      <c r="A6083" s="2">
        <f>IFERROR(__xludf.DUMMYFUNCTION("""COMPUTED_VALUE"""),62742.0)</f>
        <v>62742</v>
      </c>
      <c r="B6083" s="3" t="str">
        <f>IFERROR(__xludf.DUMMYFUNCTION("""COMPUTED_VALUE"""),"91 NEWMAN DR  ")</f>
        <v>91 NEWMAN DR  </v>
      </c>
      <c r="C6083" s="3" t="str">
        <f>IFERROR(__xludf.DUMMYFUNCTION("""COMPUTED_VALUE"""),"WARKWORTH")</f>
        <v>WARKWORTH</v>
      </c>
      <c r="D6083" s="3" t="str">
        <f>IFERROR(__xludf.DUMMYFUNCTION("""COMPUTED_VALUE"""),"K0K 3K0")</f>
        <v>K0K 3K0</v>
      </c>
      <c r="E6083" s="3"/>
      <c r="F6083" s="3"/>
      <c r="G6083" s="3"/>
      <c r="H6083" s="3"/>
    </row>
    <row r="6084">
      <c r="A6084" s="2">
        <f>IFERROR(__xludf.DUMMYFUNCTION("""COMPUTED_VALUE"""),60908.0)</f>
        <v>60908</v>
      </c>
      <c r="B6084" s="3" t="str">
        <f>IFERROR(__xludf.DUMMYFUNCTION("""COMPUTED_VALUE"""),"509 CONCESSION RD 1 RD E ")</f>
        <v>509 CONCESSION RD 1 RD E </v>
      </c>
      <c r="C6084" s="3" t="str">
        <f>IFERROR(__xludf.DUMMYFUNCTION("""COMPUTED_VALUE"""),"WARKWORTH")</f>
        <v>WARKWORTH</v>
      </c>
      <c r="D6084" s="3" t="str">
        <f>IFERROR(__xludf.DUMMYFUNCTION("""COMPUTED_VALUE"""),"K0K 3K0")</f>
        <v>K0K 3K0</v>
      </c>
      <c r="E6084" s="3" t="str">
        <f>IFERROR(__xludf.DUMMYFUNCTION("""COMPUTED_VALUE"""),"Bayley Lewis")</f>
        <v>Bayley Lewis</v>
      </c>
      <c r="F6084" s="3" t="str">
        <f>IFERROR(__xludf.DUMMYFUNCTION("""COMPUTED_VALUE"""),"bayleyd@hotmail.com")</f>
        <v>bayleyd@hotmail.com</v>
      </c>
      <c r="G6084" s="3">
        <f>IFERROR(__xludf.DUMMYFUNCTION("""COMPUTED_VALUE"""),9.059265111E9)</f>
        <v>9059265111</v>
      </c>
      <c r="H6084" s="3"/>
    </row>
    <row r="6085">
      <c r="A6085" s="2">
        <f>IFERROR(__xludf.DUMMYFUNCTION("""COMPUTED_VALUE"""),60909.0)</f>
        <v>60909</v>
      </c>
      <c r="B6085" s="3" t="str">
        <f>IFERROR(__xludf.DUMMYFUNCTION("""COMPUTED_VALUE"""),"510 CONCESSION RD 1 RD E ")</f>
        <v>510 CONCESSION RD 1 RD E </v>
      </c>
      <c r="C6085" s="3" t="str">
        <f>IFERROR(__xludf.DUMMYFUNCTION("""COMPUTED_VALUE"""),"WARKWORTH")</f>
        <v>WARKWORTH</v>
      </c>
      <c r="D6085" s="3" t="str">
        <f>IFERROR(__xludf.DUMMYFUNCTION("""COMPUTED_VALUE"""),"K0K 3K0")</f>
        <v>K0K 3K0</v>
      </c>
      <c r="E6085" s="3"/>
      <c r="F6085" s="3"/>
      <c r="G6085" s="3"/>
      <c r="H6085" s="3"/>
    </row>
    <row r="6086">
      <c r="A6086" s="2">
        <f>IFERROR(__xludf.DUMMYFUNCTION("""COMPUTED_VALUE"""),60910.0)</f>
        <v>60910</v>
      </c>
      <c r="B6086" s="3" t="str">
        <f>IFERROR(__xludf.DUMMYFUNCTION("""COMPUTED_VALUE"""),"530 CONCESSION RD 1 RD E ")</f>
        <v>530 CONCESSION RD 1 RD E </v>
      </c>
      <c r="C6086" s="3" t="str">
        <f>IFERROR(__xludf.DUMMYFUNCTION("""COMPUTED_VALUE"""),"WARKWORTH")</f>
        <v>WARKWORTH</v>
      </c>
      <c r="D6086" s="3" t="str">
        <f>IFERROR(__xludf.DUMMYFUNCTION("""COMPUTED_VALUE"""),"K0K 3K0")</f>
        <v>K0K 3K0</v>
      </c>
      <c r="E6086" s="3"/>
      <c r="F6086" s="3"/>
      <c r="G6086" s="3"/>
      <c r="H6086" s="3"/>
    </row>
    <row r="6087">
      <c r="A6087" s="2">
        <f>IFERROR(__xludf.DUMMYFUNCTION("""COMPUTED_VALUE"""),60911.0)</f>
        <v>60911</v>
      </c>
      <c r="B6087" s="3" t="str">
        <f>IFERROR(__xludf.DUMMYFUNCTION("""COMPUTED_VALUE"""),"540 CONCESSION RD 1 RD E ")</f>
        <v>540 CONCESSION RD 1 RD E </v>
      </c>
      <c r="C6087" s="3" t="str">
        <f>IFERROR(__xludf.DUMMYFUNCTION("""COMPUTED_VALUE"""),"WARKWORTH")</f>
        <v>WARKWORTH</v>
      </c>
      <c r="D6087" s="3" t="str">
        <f>IFERROR(__xludf.DUMMYFUNCTION("""COMPUTED_VALUE"""),"K0K 3K0")</f>
        <v>K0K 3K0</v>
      </c>
      <c r="E6087" s="3"/>
      <c r="F6087" s="3"/>
      <c r="G6087" s="3"/>
      <c r="H6087" s="3"/>
    </row>
    <row r="6088">
      <c r="A6088" s="2">
        <f>IFERROR(__xludf.DUMMYFUNCTION("""COMPUTED_VALUE"""),61032.0)</f>
        <v>61032</v>
      </c>
      <c r="B6088" s="3" t="str">
        <f>IFERROR(__xludf.DUMMYFUNCTION("""COMPUTED_VALUE"""),"98 CONCESSION RD 3 RD W ")</f>
        <v>98 CONCESSION RD 3 RD W </v>
      </c>
      <c r="C6088" s="3" t="str">
        <f>IFERROR(__xludf.DUMMYFUNCTION("""COMPUTED_VALUE"""),"WARKWORTH")</f>
        <v>WARKWORTH</v>
      </c>
      <c r="D6088" s="3" t="str">
        <f>IFERROR(__xludf.DUMMYFUNCTION("""COMPUTED_VALUE"""),"K0K 3K0")</f>
        <v>K0K 3K0</v>
      </c>
      <c r="E6088" s="3" t="str">
        <f>IFERROR(__xludf.DUMMYFUNCTION("""COMPUTED_VALUE"""),"Steve Fradley")</f>
        <v>Steve Fradley</v>
      </c>
      <c r="F6088" s="3" t="str">
        <f>IFERROR(__xludf.DUMMYFUNCTION("""COMPUTED_VALUE"""),"thefrads@hotmail.ca")</f>
        <v>thefrads@hotmail.ca</v>
      </c>
      <c r="G6088" s="3">
        <f>IFERROR(__xludf.DUMMYFUNCTION("""COMPUTED_VALUE"""),2.892511974E9)</f>
        <v>2892511974</v>
      </c>
      <c r="H6088" s="3">
        <f>IFERROR(__xludf.DUMMYFUNCTION("""COMPUTED_VALUE"""),2.896919197E9)</f>
        <v>2896919197</v>
      </c>
    </row>
    <row r="6089">
      <c r="A6089" s="2">
        <f>IFERROR(__xludf.DUMMYFUNCTION("""COMPUTED_VALUE"""),61033.0)</f>
        <v>61033</v>
      </c>
      <c r="B6089" s="3" t="str">
        <f>IFERROR(__xludf.DUMMYFUNCTION("""COMPUTED_VALUE"""),"135 CONCESSION RD 3 RD W ")</f>
        <v>135 CONCESSION RD 3 RD W </v>
      </c>
      <c r="C6089" s="3" t="str">
        <f>IFERROR(__xludf.DUMMYFUNCTION("""COMPUTED_VALUE"""),"WARKWORTH")</f>
        <v>WARKWORTH</v>
      </c>
      <c r="D6089" s="3" t="str">
        <f>IFERROR(__xludf.DUMMYFUNCTION("""COMPUTED_VALUE"""),"K0K 3K0")</f>
        <v>K0K 3K0</v>
      </c>
      <c r="E6089" s="3"/>
      <c r="F6089" s="3"/>
      <c r="G6089" s="3"/>
      <c r="H6089" s="3"/>
    </row>
    <row r="6090">
      <c r="A6090" s="2">
        <f>IFERROR(__xludf.DUMMYFUNCTION("""COMPUTED_VALUE"""),61034.0)</f>
        <v>61034</v>
      </c>
      <c r="B6090" s="3" t="str">
        <f>IFERROR(__xludf.DUMMYFUNCTION("""COMPUTED_VALUE"""),"161 CONCESSION RD 3 RD W ")</f>
        <v>161 CONCESSION RD 3 RD W </v>
      </c>
      <c r="C6090" s="3" t="str">
        <f>IFERROR(__xludf.DUMMYFUNCTION("""COMPUTED_VALUE"""),"WARKWORTH")</f>
        <v>WARKWORTH</v>
      </c>
      <c r="D6090" s="3" t="str">
        <f>IFERROR(__xludf.DUMMYFUNCTION("""COMPUTED_VALUE"""),"K0K 3K0")</f>
        <v>K0K 3K0</v>
      </c>
      <c r="E6090" s="3"/>
      <c r="F6090" s="3"/>
      <c r="G6090" s="3"/>
      <c r="H6090" s="3"/>
    </row>
    <row r="6091">
      <c r="A6091" s="2">
        <f>IFERROR(__xludf.DUMMYFUNCTION("""COMPUTED_VALUE"""),61035.0)</f>
        <v>61035</v>
      </c>
      <c r="B6091" s="3" t="str">
        <f>IFERROR(__xludf.DUMMYFUNCTION("""COMPUTED_VALUE"""),"178 CONCESSION RD 3 RD W ")</f>
        <v>178 CONCESSION RD 3 RD W </v>
      </c>
      <c r="C6091" s="3" t="str">
        <f>IFERROR(__xludf.DUMMYFUNCTION("""COMPUTED_VALUE"""),"WARKWORTH")</f>
        <v>WARKWORTH</v>
      </c>
      <c r="D6091" s="3" t="str">
        <f>IFERROR(__xludf.DUMMYFUNCTION("""COMPUTED_VALUE"""),"K0K 3K0")</f>
        <v>K0K 3K0</v>
      </c>
      <c r="E6091" s="3" t="str">
        <f>IFERROR(__xludf.DUMMYFUNCTION("""COMPUTED_VALUE"""),"joe marskell")</f>
        <v>joe marskell</v>
      </c>
      <c r="F6091" s="3"/>
      <c r="G6091" s="3">
        <f>IFERROR(__xludf.DUMMYFUNCTION("""COMPUTED_VALUE"""),7.059242531E9)</f>
        <v>7059242531</v>
      </c>
      <c r="H6091" s="3"/>
    </row>
    <row r="6092">
      <c r="A6092" s="2">
        <f>IFERROR(__xludf.DUMMYFUNCTION("""COMPUTED_VALUE"""),61036.0)</f>
        <v>61036</v>
      </c>
      <c r="B6092" s="3" t="str">
        <f>IFERROR(__xludf.DUMMYFUNCTION("""COMPUTED_VALUE"""),"196 CONCESSION RD 3 RD W ")</f>
        <v>196 CONCESSION RD 3 RD W </v>
      </c>
      <c r="C6092" s="3" t="str">
        <f>IFERROR(__xludf.DUMMYFUNCTION("""COMPUTED_VALUE"""),"WARKWORTH")</f>
        <v>WARKWORTH</v>
      </c>
      <c r="D6092" s="3" t="str">
        <f>IFERROR(__xludf.DUMMYFUNCTION("""COMPUTED_VALUE"""),"K0K 3K0")</f>
        <v>K0K 3K0</v>
      </c>
      <c r="E6092" s="3"/>
      <c r="F6092" s="3"/>
      <c r="G6092" s="3"/>
      <c r="H6092" s="3"/>
    </row>
    <row r="6093">
      <c r="A6093" s="2">
        <f>IFERROR(__xludf.DUMMYFUNCTION("""COMPUTED_VALUE"""),62685.0)</f>
        <v>62685</v>
      </c>
      <c r="B6093" s="3" t="str">
        <f>IFERROR(__xludf.DUMMYFUNCTION("""COMPUTED_VALUE"""),"8800A MONUMENT RD")</f>
        <v>8800A MONUMENT RD</v>
      </c>
      <c r="C6093" s="3"/>
      <c r="D6093" s="3"/>
      <c r="E6093" s="3"/>
      <c r="F6093" s="3"/>
      <c r="G6093" s="3"/>
      <c r="H6093" s="3"/>
    </row>
    <row r="6094">
      <c r="A6094" s="2">
        <f>IFERROR(__xludf.DUMMYFUNCTION("""COMPUTED_VALUE"""),62686.0)</f>
        <v>62686</v>
      </c>
      <c r="B6094" s="3" t="str">
        <f>IFERROR(__xludf.DUMMYFUNCTION("""COMPUTED_VALUE"""),"8800B MONUMENT RD")</f>
        <v>8800B MONUMENT RD</v>
      </c>
      <c r="C6094" s="3"/>
      <c r="D6094" s="3"/>
      <c r="E6094" s="3"/>
      <c r="F6094" s="3"/>
      <c r="G6094" s="3"/>
      <c r="H6094" s="3"/>
    </row>
    <row r="6095">
      <c r="A6095" s="2">
        <f>IFERROR(__xludf.DUMMYFUNCTION("""COMPUTED_VALUE"""),62687.0)</f>
        <v>62687</v>
      </c>
      <c r="B6095" s="3" t="str">
        <f>IFERROR(__xludf.DUMMYFUNCTION("""COMPUTED_VALUE"""),"8800C MONUMENT RD")</f>
        <v>8800C MONUMENT RD</v>
      </c>
      <c r="C6095" s="3" t="str">
        <f>IFERROR(__xludf.DUMMYFUNCTION("""COMPUTED_VALUE"""),"HAVELOCK ")</f>
        <v>HAVELOCK </v>
      </c>
      <c r="D6095" s="3" t="str">
        <f>IFERROR(__xludf.DUMMYFUNCTION("""COMPUTED_VALUE"""),"K0L 1Z0")</f>
        <v>K0L 1Z0</v>
      </c>
      <c r="E6095" s="3" t="str">
        <f>IFERROR(__xludf.DUMMYFUNCTION("""COMPUTED_VALUE"""),"Ken Schafer")</f>
        <v>Ken Schafer</v>
      </c>
      <c r="F6095" s="3" t="str">
        <f>IFERROR(__xludf.DUMMYFUNCTION("""COMPUTED_VALUE"""),"kwschafer@gmail.com")</f>
        <v>kwschafer@gmail.com</v>
      </c>
      <c r="G6095" s="3"/>
      <c r="H6095" s="3"/>
    </row>
    <row r="6096">
      <c r="A6096" s="2">
        <f>IFERROR(__xludf.DUMMYFUNCTION("""COMPUTED_VALUE"""),62688.0)</f>
        <v>62688</v>
      </c>
      <c r="B6096" s="3" t="str">
        <f>IFERROR(__xludf.DUMMYFUNCTION("""COMPUTED_VALUE"""),"8800D MONUMENT RD")</f>
        <v>8800D MONUMENT RD</v>
      </c>
      <c r="C6096" s="3"/>
      <c r="D6096" s="3" t="str">
        <f>IFERROR(__xludf.DUMMYFUNCTION("""COMPUTED_VALUE"""),"K0L 1Z0")</f>
        <v>K0L 1Z0</v>
      </c>
      <c r="E6096" s="3" t="str">
        <f>IFERROR(__xludf.DUMMYFUNCTION("""COMPUTED_VALUE"""),"Linda HEINTZMAN")</f>
        <v>Linda HEINTZMAN</v>
      </c>
      <c r="F6096" s="3" t="str">
        <f>IFERROR(__xludf.DUMMYFUNCTION("""COMPUTED_VALUE"""),"pollypocket1959@yahoo.com")</f>
        <v>pollypocket1959@yahoo.com</v>
      </c>
      <c r="G6096" s="3"/>
      <c r="H6096" s="3"/>
    </row>
    <row r="6097">
      <c r="A6097" s="2">
        <f>IFERROR(__xludf.DUMMYFUNCTION("""COMPUTED_VALUE"""),63248.0)</f>
        <v>63248</v>
      </c>
      <c r="B6097" s="3" t="str">
        <f>IFERROR(__xludf.DUMMYFUNCTION("""COMPUTED_VALUE"""),"425 RICHARDSON RD  ")</f>
        <v>425 RICHARDSON RD  </v>
      </c>
      <c r="C6097" s="3" t="str">
        <f>IFERROR(__xludf.DUMMYFUNCTION("""COMPUTED_VALUE"""),"HASTINGS")</f>
        <v>HASTINGS</v>
      </c>
      <c r="D6097" s="3" t="str">
        <f>IFERROR(__xludf.DUMMYFUNCTION("""COMPUTED_VALUE"""),"K0L 1Y0")</f>
        <v>K0L 1Y0</v>
      </c>
      <c r="E6097" s="3" t="str">
        <f>IFERROR(__xludf.DUMMYFUNCTION("""COMPUTED_VALUE"""),"ron ward ")</f>
        <v>ron ward </v>
      </c>
      <c r="F6097" s="3" t="str">
        <f>IFERROR(__xludf.DUMMYFUNCTION("""COMPUTED_VALUE"""),"aaronward@csc-src.gc.ca")</f>
        <v>aaronward@csc-src.gc.ca</v>
      </c>
      <c r="G6097" s="3">
        <f>IFERROR(__xludf.DUMMYFUNCTION("""COMPUTED_VALUE"""),6.137665501E9)</f>
        <v>6137665501</v>
      </c>
      <c r="H6097" s="3"/>
    </row>
    <row r="6098">
      <c r="A6098" s="2">
        <f>IFERROR(__xludf.DUMMYFUNCTION("""COMPUTED_VALUE"""),60404.0)</f>
        <v>60404</v>
      </c>
      <c r="B6098" s="3" t="str">
        <f>IFERROR(__xludf.DUMMYFUNCTION("""COMPUTED_VALUE"""),"32 BIRCH POINT RD")</f>
        <v>32 BIRCH POINT RD</v>
      </c>
      <c r="C6098" s="3" t="str">
        <f>IFERROR(__xludf.DUMMYFUNCTION("""COMPUTED_VALUE"""),"HASTINGS")</f>
        <v>HASTINGS</v>
      </c>
      <c r="D6098" s="3" t="str">
        <f>IFERROR(__xludf.DUMMYFUNCTION("""COMPUTED_VALUE"""),"K0L 1Y0")</f>
        <v>K0L 1Y0</v>
      </c>
      <c r="E6098" s="3" t="str">
        <f>IFERROR(__xludf.DUMMYFUNCTION("""COMPUTED_VALUE"""),"KRAHN RAYMOND AND MARYANN")</f>
        <v>KRAHN RAYMOND AND MARYANN</v>
      </c>
      <c r="F6098" s="3" t="str">
        <f>IFERROR(__xludf.DUMMYFUNCTION("""COMPUTED_VALUE"""),"smkrahn624@gmail.com")</f>
        <v>smkrahn624@gmail.com</v>
      </c>
      <c r="G6098" s="3">
        <f>IFERROR(__xludf.DUMMYFUNCTION("""COMPUTED_VALUE"""),7.057787682E9)</f>
        <v>7057787682</v>
      </c>
      <c r="H6098" s="3"/>
    </row>
    <row r="6099">
      <c r="A6099" s="2">
        <f>IFERROR(__xludf.DUMMYFUNCTION("""COMPUTED_VALUE"""),60405.0)</f>
        <v>60405</v>
      </c>
      <c r="B6099" s="3" t="str">
        <f>IFERROR(__xludf.DUMMYFUNCTION("""COMPUTED_VALUE"""),"106 BIRCH POINT RD")</f>
        <v>106 BIRCH POINT RD</v>
      </c>
      <c r="C6099" s="3" t="str">
        <f>IFERROR(__xludf.DUMMYFUNCTION("""COMPUTED_VALUE"""),"HASTINGS")</f>
        <v>HASTINGS</v>
      </c>
      <c r="D6099" s="3" t="str">
        <f>IFERROR(__xludf.DUMMYFUNCTION("""COMPUTED_VALUE"""),"K0L 1Y0")</f>
        <v>K0L 1Y0</v>
      </c>
      <c r="E6099" s="3" t="str">
        <f>IFERROR(__xludf.DUMMYFUNCTION("""COMPUTED_VALUE"""),"Dale Laundry")</f>
        <v>Dale Laundry</v>
      </c>
      <c r="F6099" s="3" t="str">
        <f>IFERROR(__xludf.DUMMYFUNCTION("""COMPUTED_VALUE"""),"laundry6@msn.com")</f>
        <v>laundry6@msn.com</v>
      </c>
      <c r="G6099" s="3"/>
      <c r="H6099" s="3"/>
    </row>
    <row r="6100">
      <c r="A6100" s="2">
        <f>IFERROR(__xludf.DUMMYFUNCTION("""COMPUTED_VALUE"""),60406.0)</f>
        <v>60406</v>
      </c>
      <c r="B6100" s="3" t="str">
        <f>IFERROR(__xludf.DUMMYFUNCTION("""COMPUTED_VALUE"""),"116 BIRCH POINT RD")</f>
        <v>116 BIRCH POINT RD</v>
      </c>
      <c r="C6100" s="3" t="str">
        <f>IFERROR(__xludf.DUMMYFUNCTION("""COMPUTED_VALUE"""),"HASTINGS")</f>
        <v>HASTINGS</v>
      </c>
      <c r="D6100" s="3" t="str">
        <f>IFERROR(__xludf.DUMMYFUNCTION("""COMPUTED_VALUE"""),"K0L 1Y0")</f>
        <v>K0L 1Y0</v>
      </c>
      <c r="E6100" s="3"/>
      <c r="F6100" s="3"/>
      <c r="G6100" s="3"/>
      <c r="H6100" s="3"/>
    </row>
    <row r="6101">
      <c r="A6101" s="2">
        <f>IFERROR(__xludf.DUMMYFUNCTION("""COMPUTED_VALUE"""),60407.0)</f>
        <v>60407</v>
      </c>
      <c r="B6101" s="3" t="str">
        <f>IFERROR(__xludf.DUMMYFUNCTION("""COMPUTED_VALUE"""),"120 BIRCH POINT RD")</f>
        <v>120 BIRCH POINT RD</v>
      </c>
      <c r="C6101" s="3" t="str">
        <f>IFERROR(__xludf.DUMMYFUNCTION("""COMPUTED_VALUE"""),"HASTINGS")</f>
        <v>HASTINGS</v>
      </c>
      <c r="D6101" s="3" t="str">
        <f>IFERROR(__xludf.DUMMYFUNCTION("""COMPUTED_VALUE"""),"K0L 1Y0")</f>
        <v>K0L 1Y0</v>
      </c>
      <c r="E6101" s="3" t="str">
        <f>IFERROR(__xludf.DUMMYFUNCTION("""COMPUTED_VALUE"""),"Karin Mahnke")</f>
        <v>Karin Mahnke</v>
      </c>
      <c r="F6101" s="3" t="str">
        <f>IFERROR(__xludf.DUMMYFUNCTION("""COMPUTED_VALUE"""),"jeanschads@gmail.com")</f>
        <v>jeanschads@gmail.com</v>
      </c>
      <c r="G6101" s="3"/>
      <c r="H6101" s="3"/>
    </row>
    <row r="6102">
      <c r="A6102" s="2">
        <f>IFERROR(__xludf.DUMMYFUNCTION("""COMPUTED_VALUE"""),60408.0)</f>
        <v>60408</v>
      </c>
      <c r="B6102" s="3" t="str">
        <f>IFERROR(__xludf.DUMMYFUNCTION("""COMPUTED_VALUE"""),"132 BIRCH POINT RD")</f>
        <v>132 BIRCH POINT RD</v>
      </c>
      <c r="C6102" s="3" t="str">
        <f>IFERROR(__xludf.DUMMYFUNCTION("""COMPUTED_VALUE"""),"HASTINGS")</f>
        <v>HASTINGS</v>
      </c>
      <c r="D6102" s="3" t="str">
        <f>IFERROR(__xludf.DUMMYFUNCTION("""COMPUTED_VALUE"""),"K0L 1Y0")</f>
        <v>K0L 1Y0</v>
      </c>
      <c r="E6102" s="3"/>
      <c r="F6102" s="3"/>
      <c r="G6102" s="3"/>
      <c r="H6102" s="3"/>
    </row>
    <row r="6103">
      <c r="A6103" s="2">
        <f>IFERROR(__xludf.DUMMYFUNCTION("""COMPUTED_VALUE"""),60409.0)</f>
        <v>60409</v>
      </c>
      <c r="B6103" s="3" t="str">
        <f>IFERROR(__xludf.DUMMYFUNCTION("""COMPUTED_VALUE"""),"150 BIRCH POINT RD")</f>
        <v>150 BIRCH POINT RD</v>
      </c>
      <c r="C6103" s="3" t="str">
        <f>IFERROR(__xludf.DUMMYFUNCTION("""COMPUTED_VALUE"""),"HASTINGS")</f>
        <v>HASTINGS</v>
      </c>
      <c r="D6103" s="3" t="str">
        <f>IFERROR(__xludf.DUMMYFUNCTION("""COMPUTED_VALUE"""),"K0L 1Y0")</f>
        <v>K0L 1Y0</v>
      </c>
      <c r="E6103" s="3"/>
      <c r="F6103" s="3"/>
      <c r="G6103" s="3"/>
      <c r="H6103" s="3"/>
    </row>
    <row r="6104">
      <c r="A6104" s="2">
        <f>IFERROR(__xludf.DUMMYFUNCTION("""COMPUTED_VALUE"""),60410.0)</f>
        <v>60410</v>
      </c>
      <c r="B6104" s="3" t="str">
        <f>IFERROR(__xludf.DUMMYFUNCTION("""COMPUTED_VALUE"""),"158 BIRCH POINT RD")</f>
        <v>158 BIRCH POINT RD</v>
      </c>
      <c r="C6104" s="3" t="str">
        <f>IFERROR(__xludf.DUMMYFUNCTION("""COMPUTED_VALUE"""),"HASTINGS")</f>
        <v>HASTINGS</v>
      </c>
      <c r="D6104" s="3" t="str">
        <f>IFERROR(__xludf.DUMMYFUNCTION("""COMPUTED_VALUE"""),"K0L 1Y0")</f>
        <v>K0L 1Y0</v>
      </c>
      <c r="E6104" s="3"/>
      <c r="F6104" s="3"/>
      <c r="G6104" s="3"/>
      <c r="H6104" s="3"/>
    </row>
    <row r="6105">
      <c r="A6105" s="2">
        <f>IFERROR(__xludf.DUMMYFUNCTION("""COMPUTED_VALUE"""),60411.0)</f>
        <v>60411</v>
      </c>
      <c r="B6105" s="3" t="str">
        <f>IFERROR(__xludf.DUMMYFUNCTION("""COMPUTED_VALUE"""),"168 BIRCH POINT RD")</f>
        <v>168 BIRCH POINT RD</v>
      </c>
      <c r="C6105" s="3" t="str">
        <f>IFERROR(__xludf.DUMMYFUNCTION("""COMPUTED_VALUE"""),"HASTINGS")</f>
        <v>HASTINGS</v>
      </c>
      <c r="D6105" s="3" t="str">
        <f>IFERROR(__xludf.DUMMYFUNCTION("""COMPUTED_VALUE"""),"K0L 1Y0")</f>
        <v>K0L 1Y0</v>
      </c>
      <c r="E6105" s="3"/>
      <c r="F6105" s="3"/>
      <c r="G6105" s="3"/>
      <c r="H6105" s="3"/>
    </row>
    <row r="6106">
      <c r="A6106" s="2">
        <f>IFERROR(__xludf.DUMMYFUNCTION("""COMPUTED_VALUE"""),60412.0)</f>
        <v>60412</v>
      </c>
      <c r="B6106" s="3" t="str">
        <f>IFERROR(__xludf.DUMMYFUNCTION("""COMPUTED_VALUE"""),"174 BIRCH POINT RD")</f>
        <v>174 BIRCH POINT RD</v>
      </c>
      <c r="C6106" s="3" t="str">
        <f>IFERROR(__xludf.DUMMYFUNCTION("""COMPUTED_VALUE"""),"HASTINGS")</f>
        <v>HASTINGS</v>
      </c>
      <c r="D6106" s="3" t="str">
        <f>IFERROR(__xludf.DUMMYFUNCTION("""COMPUTED_VALUE"""),"K0L 1Y0")</f>
        <v>K0L 1Y0</v>
      </c>
      <c r="E6106" s="3"/>
      <c r="F6106" s="3"/>
      <c r="G6106" s="3"/>
      <c r="H6106" s="3"/>
    </row>
    <row r="6107">
      <c r="A6107" s="2">
        <f>IFERROR(__xludf.DUMMYFUNCTION("""COMPUTED_VALUE"""),60413.0)</f>
        <v>60413</v>
      </c>
      <c r="B6107" s="3" t="str">
        <f>IFERROR(__xludf.DUMMYFUNCTION("""COMPUTED_VALUE"""),"178 BIRCH POINT RD")</f>
        <v>178 BIRCH POINT RD</v>
      </c>
      <c r="C6107" s="3" t="str">
        <f>IFERROR(__xludf.DUMMYFUNCTION("""COMPUTED_VALUE"""),"HASTINGS")</f>
        <v>HASTINGS</v>
      </c>
      <c r="D6107" s="3" t="str">
        <f>IFERROR(__xludf.DUMMYFUNCTION("""COMPUTED_VALUE"""),"K0L 1Y0")</f>
        <v>K0L 1Y0</v>
      </c>
      <c r="E6107" s="3" t="str">
        <f>IFERROR(__xludf.DUMMYFUNCTION("""COMPUTED_VALUE"""),"Conor")</f>
        <v>Conor</v>
      </c>
      <c r="F6107" s="3" t="str">
        <f>IFERROR(__xludf.DUMMYFUNCTION("""COMPUTED_VALUE"""),"conoross91@gmail.com")</f>
        <v>conoross91@gmail.com</v>
      </c>
      <c r="G6107" s="3">
        <f>IFERROR(__xludf.DUMMYFUNCTION("""COMPUTED_VALUE"""),9.059674959E9)</f>
        <v>9059674959</v>
      </c>
      <c r="H6107" s="3">
        <f>IFERROR(__xludf.DUMMYFUNCTION("""COMPUTED_VALUE"""),9.057751034E9)</f>
        <v>9057751034</v>
      </c>
    </row>
    <row r="6108">
      <c r="A6108" s="2">
        <f>IFERROR(__xludf.DUMMYFUNCTION("""COMPUTED_VALUE"""),60414.0)</f>
        <v>60414</v>
      </c>
      <c r="B6108" s="3" t="str">
        <f>IFERROR(__xludf.DUMMYFUNCTION("""COMPUTED_VALUE"""),"180 BIRCH POINT RD")</f>
        <v>180 BIRCH POINT RD</v>
      </c>
      <c r="C6108" s="3" t="str">
        <f>IFERROR(__xludf.DUMMYFUNCTION("""COMPUTED_VALUE"""),"HASTINGS")</f>
        <v>HASTINGS</v>
      </c>
      <c r="D6108" s="3" t="str">
        <f>IFERROR(__xludf.DUMMYFUNCTION("""COMPUTED_VALUE"""),"K0L 1Y0")</f>
        <v>K0L 1Y0</v>
      </c>
      <c r="E6108" s="3" t="str">
        <f>IFERROR(__xludf.DUMMYFUNCTION("""COMPUTED_VALUE"""),"eddie tilley ")</f>
        <v>eddie tilley </v>
      </c>
      <c r="F6108" s="3"/>
      <c r="G6108" s="3">
        <f>IFERROR(__xludf.DUMMYFUNCTION("""COMPUTED_VALUE"""),6.479883127E9)</f>
        <v>6479883127</v>
      </c>
      <c r="H6108" s="3"/>
    </row>
    <row r="6109">
      <c r="A6109" s="2">
        <f>IFERROR(__xludf.DUMMYFUNCTION("""COMPUTED_VALUE"""),60415.0)</f>
        <v>60415</v>
      </c>
      <c r="B6109" s="3" t="str">
        <f>IFERROR(__xludf.DUMMYFUNCTION("""COMPUTED_VALUE"""),"186 BIRCH POINT RD")</f>
        <v>186 BIRCH POINT RD</v>
      </c>
      <c r="C6109" s="3" t="str">
        <f>IFERROR(__xludf.DUMMYFUNCTION("""COMPUTED_VALUE"""),"HASTINGS")</f>
        <v>HASTINGS</v>
      </c>
      <c r="D6109" s="3" t="str">
        <f>IFERROR(__xludf.DUMMYFUNCTION("""COMPUTED_VALUE"""),"K0L 1Y0")</f>
        <v>K0L 1Y0</v>
      </c>
      <c r="E6109" s="3" t="str">
        <f>IFERROR(__xludf.DUMMYFUNCTION("""COMPUTED_VALUE"""),"cindy mcredie")</f>
        <v>cindy mcredie</v>
      </c>
      <c r="F6109" s="3" t="str">
        <f>IFERROR(__xludf.DUMMYFUNCTION("""COMPUTED_VALUE"""),"cindymcredie@gmail.com")</f>
        <v>cindymcredie@gmail.com</v>
      </c>
      <c r="G6109" s="3">
        <f>IFERROR(__xludf.DUMMYFUNCTION("""COMPUTED_VALUE"""),7.056537692E9)</f>
        <v>7056537692</v>
      </c>
      <c r="H6109" s="3"/>
    </row>
    <row r="6110">
      <c r="A6110" s="2">
        <f>IFERROR(__xludf.DUMMYFUNCTION("""COMPUTED_VALUE"""),60416.0)</f>
        <v>60416</v>
      </c>
      <c r="B6110" s="3" t="str">
        <f>IFERROR(__xludf.DUMMYFUNCTION("""COMPUTED_VALUE"""),"192 BIRCH POINT RD")</f>
        <v>192 BIRCH POINT RD</v>
      </c>
      <c r="C6110" s="3" t="str">
        <f>IFERROR(__xludf.DUMMYFUNCTION("""COMPUTED_VALUE"""),"HASTINGS")</f>
        <v>HASTINGS</v>
      </c>
      <c r="D6110" s="3" t="str">
        <f>IFERROR(__xludf.DUMMYFUNCTION("""COMPUTED_VALUE"""),"K0L 1Y0")</f>
        <v>K0L 1Y0</v>
      </c>
      <c r="E6110" s="3"/>
      <c r="F6110" s="3"/>
      <c r="G6110" s="3"/>
      <c r="H6110" s="3"/>
    </row>
    <row r="6111">
      <c r="A6111" s="2">
        <f>IFERROR(__xludf.DUMMYFUNCTION("""COMPUTED_VALUE"""),60417.0)</f>
        <v>60417</v>
      </c>
      <c r="B6111" s="3" t="str">
        <f>IFERROR(__xludf.DUMMYFUNCTION("""COMPUTED_VALUE"""),"200 BIRCH POINT RD")</f>
        <v>200 BIRCH POINT RD</v>
      </c>
      <c r="C6111" s="3" t="str">
        <f>IFERROR(__xludf.DUMMYFUNCTION("""COMPUTED_VALUE"""),"HASTINGS")</f>
        <v>HASTINGS</v>
      </c>
      <c r="D6111" s="3" t="str">
        <f>IFERROR(__xludf.DUMMYFUNCTION("""COMPUTED_VALUE"""),"K0L 1Y0")</f>
        <v>K0L 1Y0</v>
      </c>
      <c r="E6111" s="3"/>
      <c r="F6111" s="3"/>
      <c r="G6111" s="3"/>
      <c r="H6111" s="3"/>
    </row>
    <row r="6112">
      <c r="A6112" s="2">
        <f>IFERROR(__xludf.DUMMYFUNCTION("""COMPUTED_VALUE"""),60418.0)</f>
        <v>60418</v>
      </c>
      <c r="B6112" s="3" t="str">
        <f>IFERROR(__xludf.DUMMYFUNCTION("""COMPUTED_VALUE"""),"210 BIRCH POINT RD")</f>
        <v>210 BIRCH POINT RD</v>
      </c>
      <c r="C6112" s="3" t="str">
        <f>IFERROR(__xludf.DUMMYFUNCTION("""COMPUTED_VALUE"""),"HASTINGS")</f>
        <v>HASTINGS</v>
      </c>
      <c r="D6112" s="3" t="str">
        <f>IFERROR(__xludf.DUMMYFUNCTION("""COMPUTED_VALUE"""),"K0L 1Y0")</f>
        <v>K0L 1Y0</v>
      </c>
      <c r="E6112" s="3"/>
      <c r="F6112" s="3"/>
      <c r="G6112" s="3"/>
      <c r="H6112" s="3"/>
    </row>
    <row r="6113">
      <c r="A6113" s="2">
        <f>IFERROR(__xludf.DUMMYFUNCTION("""COMPUTED_VALUE"""),60419.0)</f>
        <v>60419</v>
      </c>
      <c r="B6113" s="3" t="str">
        <f>IFERROR(__xludf.DUMMYFUNCTION("""COMPUTED_VALUE"""),"218 BIRCH POINT RD")</f>
        <v>218 BIRCH POINT RD</v>
      </c>
      <c r="C6113" s="3" t="str">
        <f>IFERROR(__xludf.DUMMYFUNCTION("""COMPUTED_VALUE"""),"HASTINGS")</f>
        <v>HASTINGS</v>
      </c>
      <c r="D6113" s="3" t="str">
        <f>IFERROR(__xludf.DUMMYFUNCTION("""COMPUTED_VALUE"""),"K0L 1Y0")</f>
        <v>K0L 1Y0</v>
      </c>
      <c r="E6113" s="3" t="str">
        <f>IFERROR(__xludf.DUMMYFUNCTION("""COMPUTED_VALUE"""),"angie benedicto")</f>
        <v>angie benedicto</v>
      </c>
      <c r="F6113" s="3"/>
      <c r="G6113" s="3">
        <f>IFERROR(__xludf.DUMMYFUNCTION("""COMPUTED_VALUE"""),6.472100125E9)</f>
        <v>6472100125</v>
      </c>
      <c r="H6113" s="3"/>
    </row>
    <row r="6114">
      <c r="A6114" s="2">
        <f>IFERROR(__xludf.DUMMYFUNCTION("""COMPUTED_VALUE"""),60420.0)</f>
        <v>60420</v>
      </c>
      <c r="B6114" s="3" t="str">
        <f>IFERROR(__xludf.DUMMYFUNCTION("""COMPUTED_VALUE"""),"224 BIRCH POINT RD")</f>
        <v>224 BIRCH POINT RD</v>
      </c>
      <c r="C6114" s="3" t="str">
        <f>IFERROR(__xludf.DUMMYFUNCTION("""COMPUTED_VALUE"""),"HASTINGS")</f>
        <v>HASTINGS</v>
      </c>
      <c r="D6114" s="3" t="str">
        <f>IFERROR(__xludf.DUMMYFUNCTION("""COMPUTED_VALUE"""),"K0L 1Y0")</f>
        <v>K0L 1Y0</v>
      </c>
      <c r="E6114" s="3"/>
      <c r="F6114" s="3"/>
      <c r="G6114" s="3"/>
      <c r="H6114" s="3"/>
    </row>
    <row r="6115">
      <c r="A6115" s="2">
        <f>IFERROR(__xludf.DUMMYFUNCTION("""COMPUTED_VALUE"""),60421.0)</f>
        <v>60421</v>
      </c>
      <c r="B6115" s="3" t="str">
        <f>IFERROR(__xludf.DUMMYFUNCTION("""COMPUTED_VALUE"""),"244 BIRCH POINT RD")</f>
        <v>244 BIRCH POINT RD</v>
      </c>
      <c r="C6115" s="3" t="str">
        <f>IFERROR(__xludf.DUMMYFUNCTION("""COMPUTED_VALUE"""),"HASTINGS")</f>
        <v>HASTINGS</v>
      </c>
      <c r="D6115" s="3" t="str">
        <f>IFERROR(__xludf.DUMMYFUNCTION("""COMPUTED_VALUE"""),"K0L 1Y0")</f>
        <v>K0L 1Y0</v>
      </c>
      <c r="E6115" s="3"/>
      <c r="F6115" s="3"/>
      <c r="G6115" s="3"/>
      <c r="H6115" s="3"/>
    </row>
    <row r="6116">
      <c r="A6116" s="2">
        <f>IFERROR(__xludf.DUMMYFUNCTION("""COMPUTED_VALUE"""),62694.0)</f>
        <v>62694</v>
      </c>
      <c r="B6116" s="3" t="str">
        <f>IFERROR(__xludf.DUMMYFUNCTION("""COMPUTED_VALUE"""),"184 MUSKIE MILE LANE  ")</f>
        <v>184 MUSKIE MILE LANE  </v>
      </c>
      <c r="C6116" s="3" t="str">
        <f>IFERROR(__xludf.DUMMYFUNCTION("""COMPUTED_VALUE"""),"HAVELOCK")</f>
        <v>HAVELOCK</v>
      </c>
      <c r="D6116" s="3" t="str">
        <f>IFERROR(__xludf.DUMMYFUNCTION("""COMPUTED_VALUE"""),"K0L 1Z0")</f>
        <v>K0L 1Z0</v>
      </c>
      <c r="E6116" s="3" t="str">
        <f>IFERROR(__xludf.DUMMYFUNCTION("""COMPUTED_VALUE"""),"Adam Lomas")</f>
        <v>Adam Lomas</v>
      </c>
      <c r="F6116" s="3" t="str">
        <f>IFERROR(__xludf.DUMMYFUNCTION("""COMPUTED_VALUE"""),"adam.lomas@live.com")</f>
        <v>adam.lomas@live.com</v>
      </c>
      <c r="G6116" s="3"/>
      <c r="H6116" s="3"/>
    </row>
    <row r="6117">
      <c r="A6117" s="2">
        <f>IFERROR(__xludf.DUMMYFUNCTION("""COMPUTED_VALUE"""),62695.0)</f>
        <v>62695</v>
      </c>
      <c r="B6117" s="3" t="str">
        <f>IFERROR(__xludf.DUMMYFUNCTION("""COMPUTED_VALUE"""),"200 MUSKIE MILE LANE  ")</f>
        <v>200 MUSKIE MILE LANE  </v>
      </c>
      <c r="C6117" s="3" t="str">
        <f>IFERROR(__xludf.DUMMYFUNCTION("""COMPUTED_VALUE"""),"HAVELOCK")</f>
        <v>HAVELOCK</v>
      </c>
      <c r="D6117" s="3" t="str">
        <f>IFERROR(__xludf.DUMMYFUNCTION("""COMPUTED_VALUE"""),"K0L 1Z0")</f>
        <v>K0L 1Z0</v>
      </c>
      <c r="E6117" s="3"/>
      <c r="F6117" s="3"/>
      <c r="G6117" s="3"/>
      <c r="H6117" s="3"/>
    </row>
    <row r="6118">
      <c r="A6118" s="2">
        <f>IFERROR(__xludf.DUMMYFUNCTION("""COMPUTED_VALUE"""),62696.0)</f>
        <v>62696</v>
      </c>
      <c r="B6118" s="3" t="str">
        <f>IFERROR(__xludf.DUMMYFUNCTION("""COMPUTED_VALUE"""),"208 MUSKIE MILE LANE  ")</f>
        <v>208 MUSKIE MILE LANE  </v>
      </c>
      <c r="C6118" s="3" t="str">
        <f>IFERROR(__xludf.DUMMYFUNCTION("""COMPUTED_VALUE"""),"HAVELOCK")</f>
        <v>HAVELOCK</v>
      </c>
      <c r="D6118" s="3" t="str">
        <f>IFERROR(__xludf.DUMMYFUNCTION("""COMPUTED_VALUE"""),"K0L 1Z0")</f>
        <v>K0L 1Z0</v>
      </c>
      <c r="E6118" s="3" t="str">
        <f>IFERROR(__xludf.DUMMYFUNCTION("""COMPUTED_VALUE"""),"Robert west ")</f>
        <v>Robert west </v>
      </c>
      <c r="F6118" s="3" t="str">
        <f>IFERROR(__xludf.DUMMYFUNCTION("""COMPUTED_VALUE"""),"Rob-west116@hotmail.com")</f>
        <v>Rob-west116@hotmail.com</v>
      </c>
      <c r="G6118" s="3">
        <f>IFERROR(__xludf.DUMMYFUNCTION("""COMPUTED_VALUE"""),9.054313031E9)</f>
        <v>9054313031</v>
      </c>
      <c r="H6118" s="3"/>
    </row>
    <row r="6119">
      <c r="A6119" s="2">
        <f>IFERROR(__xludf.DUMMYFUNCTION("""COMPUTED_VALUE"""),62697.0)</f>
        <v>62697</v>
      </c>
      <c r="B6119" s="3" t="str">
        <f>IFERROR(__xludf.DUMMYFUNCTION("""COMPUTED_VALUE"""),"238 MUSKIE MILE LANE  ")</f>
        <v>238 MUSKIE MILE LANE  </v>
      </c>
      <c r="C6119" s="3" t="str">
        <f>IFERROR(__xludf.DUMMYFUNCTION("""COMPUTED_VALUE"""),"HAVELOCK")</f>
        <v>HAVELOCK</v>
      </c>
      <c r="D6119" s="3" t="str">
        <f>IFERROR(__xludf.DUMMYFUNCTION("""COMPUTED_VALUE"""),"K0L 1Z0")</f>
        <v>K0L 1Z0</v>
      </c>
      <c r="E6119" s="3" t="str">
        <f>IFERROR(__xludf.DUMMYFUNCTION("""COMPUTED_VALUE"""),"lesley&amp;brad forbes")</f>
        <v>lesley&amp;brad forbes</v>
      </c>
      <c r="F6119" s="3" t="str">
        <f>IFERROR(__xludf.DUMMYFUNCTION("""COMPUTED_VALUE"""),"fourbeesfamily@gmail.com")</f>
        <v>fourbeesfamily@gmail.com</v>
      </c>
      <c r="G6119" s="3">
        <f>IFERROR(__xludf.DUMMYFUNCTION("""COMPUTED_VALUE"""),4.165506334E9)</f>
        <v>4165506334</v>
      </c>
      <c r="H6119" s="3">
        <f>IFERROR(__xludf.DUMMYFUNCTION("""COMPUTED_VALUE"""),7.057785481E9)</f>
        <v>7057785481</v>
      </c>
    </row>
    <row r="6120">
      <c r="A6120" s="2">
        <f>IFERROR(__xludf.DUMMYFUNCTION("""COMPUTED_VALUE"""),62698.0)</f>
        <v>62698</v>
      </c>
      <c r="B6120" s="3" t="str">
        <f>IFERROR(__xludf.DUMMYFUNCTION("""COMPUTED_VALUE"""),"243 MUSKIE MILE LANE  ")</f>
        <v>243 MUSKIE MILE LANE  </v>
      </c>
      <c r="C6120" s="3" t="str">
        <f>IFERROR(__xludf.DUMMYFUNCTION("""COMPUTED_VALUE"""),"HAVELOCK")</f>
        <v>HAVELOCK</v>
      </c>
      <c r="D6120" s="3" t="str">
        <f>IFERROR(__xludf.DUMMYFUNCTION("""COMPUTED_VALUE"""),"K0L 1Z0")</f>
        <v>K0L 1Z0</v>
      </c>
      <c r="E6120" s="3" t="str">
        <f>IFERROR(__xludf.DUMMYFUNCTION("""COMPUTED_VALUE"""),"John Hayes")</f>
        <v>John Hayes</v>
      </c>
      <c r="F6120" s="3" t="str">
        <f>IFERROR(__xludf.DUMMYFUNCTION("""COMPUTED_VALUE"""),"jack@hayescontracting.ca")</f>
        <v>jack@hayescontracting.ca</v>
      </c>
      <c r="G6120" s="3"/>
      <c r="H6120" s="3"/>
    </row>
    <row r="6121">
      <c r="A6121" s="2">
        <f>IFERROR(__xludf.DUMMYFUNCTION("""COMPUTED_VALUE"""),62699.0)</f>
        <v>62699</v>
      </c>
      <c r="B6121" s="3" t="str">
        <f>IFERROR(__xludf.DUMMYFUNCTION("""COMPUTED_VALUE"""),"253 MUSKIE MILE LANE  ")</f>
        <v>253 MUSKIE MILE LANE  </v>
      </c>
      <c r="C6121" s="3" t="str">
        <f>IFERROR(__xludf.DUMMYFUNCTION("""COMPUTED_VALUE"""),"HAVELOCK")</f>
        <v>HAVELOCK</v>
      </c>
      <c r="D6121" s="3" t="str">
        <f>IFERROR(__xludf.DUMMYFUNCTION("""COMPUTED_VALUE"""),"K0L 1Z0")</f>
        <v>K0L 1Z0</v>
      </c>
      <c r="E6121" s="3"/>
      <c r="F6121" s="3"/>
      <c r="G6121" s="3"/>
      <c r="H6121" s="3"/>
    </row>
    <row r="6122">
      <c r="A6122" s="2">
        <f>IFERROR(__xludf.DUMMYFUNCTION("""COMPUTED_VALUE"""),62700.0)</f>
        <v>62700</v>
      </c>
      <c r="B6122" s="3" t="str">
        <f>IFERROR(__xludf.DUMMYFUNCTION("""COMPUTED_VALUE"""),"255 MUSKIE MILE LANE  ")</f>
        <v>255 MUSKIE MILE LANE  </v>
      </c>
      <c r="C6122" s="3" t="str">
        <f>IFERROR(__xludf.DUMMYFUNCTION("""COMPUTED_VALUE"""),"HAVELOCK")</f>
        <v>HAVELOCK</v>
      </c>
      <c r="D6122" s="3" t="str">
        <f>IFERROR(__xludf.DUMMYFUNCTION("""COMPUTED_VALUE"""),"K0L 1Z0")</f>
        <v>K0L 1Z0</v>
      </c>
      <c r="E6122" s="3"/>
      <c r="F6122" s="3"/>
      <c r="G6122" s="3"/>
      <c r="H6122" s="3"/>
    </row>
    <row r="6123">
      <c r="A6123" s="2">
        <f>IFERROR(__xludf.DUMMYFUNCTION("""COMPUTED_VALUE"""),62701.0)</f>
        <v>62701</v>
      </c>
      <c r="B6123" s="3" t="str">
        <f>IFERROR(__xludf.DUMMYFUNCTION("""COMPUTED_VALUE"""),"265 MUSKIE MILE LANE  ")</f>
        <v>265 MUSKIE MILE LANE  </v>
      </c>
      <c r="C6123" s="3" t="str">
        <f>IFERROR(__xludf.DUMMYFUNCTION("""COMPUTED_VALUE"""),"HAVELOCK")</f>
        <v>HAVELOCK</v>
      </c>
      <c r="D6123" s="3" t="str">
        <f>IFERROR(__xludf.DUMMYFUNCTION("""COMPUTED_VALUE"""),"K0L 1Z0")</f>
        <v>K0L 1Z0</v>
      </c>
      <c r="E6123" s="3"/>
      <c r="F6123" s="3"/>
      <c r="G6123" s="3"/>
      <c r="H6123" s="3"/>
    </row>
    <row r="6124">
      <c r="A6124" s="2">
        <f>IFERROR(__xludf.DUMMYFUNCTION("""COMPUTED_VALUE"""),62702.0)</f>
        <v>62702</v>
      </c>
      <c r="B6124" s="3" t="str">
        <f>IFERROR(__xludf.DUMMYFUNCTION("""COMPUTED_VALUE"""),"275 MUSKIE MILE LANE  ")</f>
        <v>275 MUSKIE MILE LANE  </v>
      </c>
      <c r="C6124" s="3" t="str">
        <f>IFERROR(__xludf.DUMMYFUNCTION("""COMPUTED_VALUE"""),"HAVELOCK")</f>
        <v>HAVELOCK</v>
      </c>
      <c r="D6124" s="3" t="str">
        <f>IFERROR(__xludf.DUMMYFUNCTION("""COMPUTED_VALUE"""),"K0L 1Z0")</f>
        <v>K0L 1Z0</v>
      </c>
      <c r="E6124" s="3"/>
      <c r="F6124" s="3"/>
      <c r="G6124" s="3"/>
      <c r="H6124" s="3"/>
    </row>
    <row r="6125">
      <c r="A6125" s="2">
        <f>IFERROR(__xludf.DUMMYFUNCTION("""COMPUTED_VALUE"""),62703.0)</f>
        <v>62703</v>
      </c>
      <c r="B6125" s="3" t="str">
        <f>IFERROR(__xludf.DUMMYFUNCTION("""COMPUTED_VALUE"""),"281 MUSKIE MILE LANE  ")</f>
        <v>281 MUSKIE MILE LANE  </v>
      </c>
      <c r="C6125" s="3" t="str">
        <f>IFERROR(__xludf.DUMMYFUNCTION("""COMPUTED_VALUE"""),"HAVELOCK")</f>
        <v>HAVELOCK</v>
      </c>
      <c r="D6125" s="3" t="str">
        <f>IFERROR(__xludf.DUMMYFUNCTION("""COMPUTED_VALUE"""),"K0L 1Z0")</f>
        <v>K0L 1Z0</v>
      </c>
      <c r="E6125" s="3"/>
      <c r="F6125" s="3"/>
      <c r="G6125" s="3"/>
      <c r="H6125" s="3"/>
    </row>
    <row r="6126">
      <c r="A6126" s="2">
        <f>IFERROR(__xludf.DUMMYFUNCTION("""COMPUTED_VALUE"""),62704.0)</f>
        <v>62704</v>
      </c>
      <c r="B6126" s="3" t="str">
        <f>IFERROR(__xludf.DUMMYFUNCTION("""COMPUTED_VALUE"""),"285 MUSKIE MILE LANE  ")</f>
        <v>285 MUSKIE MILE LANE  </v>
      </c>
      <c r="C6126" s="3" t="str">
        <f>IFERROR(__xludf.DUMMYFUNCTION("""COMPUTED_VALUE"""),"HAVELOCK")</f>
        <v>HAVELOCK</v>
      </c>
      <c r="D6126" s="3" t="str">
        <f>IFERROR(__xludf.DUMMYFUNCTION("""COMPUTED_VALUE"""),"K0L 1Z0")</f>
        <v>K0L 1Z0</v>
      </c>
      <c r="E6126" s="3" t="str">
        <f>IFERROR(__xludf.DUMMYFUNCTION("""COMPUTED_VALUE"""),"Steven rose ")</f>
        <v>Steven rose </v>
      </c>
      <c r="F6126" s="3" t="str">
        <f>IFERROR(__xludf.DUMMYFUNCTION("""COMPUTED_VALUE"""),"Squeege.rose@gmail.com")</f>
        <v>Squeege.rose@gmail.com</v>
      </c>
      <c r="G6126" s="3">
        <f>IFERROR(__xludf.DUMMYFUNCTION("""COMPUTED_VALUE"""),4.168775869E9)</f>
        <v>4168775869</v>
      </c>
      <c r="H6126" s="3">
        <f>IFERROR(__xludf.DUMMYFUNCTION("""COMPUTED_VALUE"""),4.165799773E9)</f>
        <v>4165799773</v>
      </c>
    </row>
    <row r="6127">
      <c r="A6127" s="2">
        <f>IFERROR(__xludf.DUMMYFUNCTION("""COMPUTED_VALUE"""),62705.0)</f>
        <v>62705</v>
      </c>
      <c r="B6127" s="3" t="str">
        <f>IFERROR(__xludf.DUMMYFUNCTION("""COMPUTED_VALUE"""),"291 MUSKIE MILE LANE  ")</f>
        <v>291 MUSKIE MILE LANE  </v>
      </c>
      <c r="C6127" s="3" t="str">
        <f>IFERROR(__xludf.DUMMYFUNCTION("""COMPUTED_VALUE"""),"HAVELOCK")</f>
        <v>HAVELOCK</v>
      </c>
      <c r="D6127" s="3" t="str">
        <f>IFERROR(__xludf.DUMMYFUNCTION("""COMPUTED_VALUE"""),"K0L 1Z0")</f>
        <v>K0L 1Z0</v>
      </c>
      <c r="E6127" s="3" t="str">
        <f>IFERROR(__xludf.DUMMYFUNCTION("""COMPUTED_VALUE"""),"Jeffrey r. Wight")</f>
        <v>Jeffrey r. Wight</v>
      </c>
      <c r="F6127" s="3" t="str">
        <f>IFERROR(__xludf.DUMMYFUNCTION("""COMPUTED_VALUE"""),"Jeffreyamdpj2005@yahoo.com")</f>
        <v>Jeffreyamdpj2005@yahoo.com</v>
      </c>
      <c r="G6127" s="3">
        <f>IFERROR(__xludf.DUMMYFUNCTION("""COMPUTED_VALUE"""),5.198973547E9)</f>
        <v>5198973547</v>
      </c>
      <c r="H6127" s="3">
        <f>IFERROR(__xludf.DUMMYFUNCTION("""COMPUTED_VALUE"""),5.195028263E9)</f>
        <v>5195028263</v>
      </c>
    </row>
    <row r="6128">
      <c r="A6128" s="2">
        <f>IFERROR(__xludf.DUMMYFUNCTION("""COMPUTED_VALUE"""),62706.0)</f>
        <v>62706</v>
      </c>
      <c r="B6128" s="3" t="str">
        <f>IFERROR(__xludf.DUMMYFUNCTION("""COMPUTED_VALUE"""),"297 MUSKIE MILE LANE  ")</f>
        <v>297 MUSKIE MILE LANE  </v>
      </c>
      <c r="C6128" s="3" t="str">
        <f>IFERROR(__xludf.DUMMYFUNCTION("""COMPUTED_VALUE"""),"HAVELOCK")</f>
        <v>HAVELOCK</v>
      </c>
      <c r="D6128" s="3" t="str">
        <f>IFERROR(__xludf.DUMMYFUNCTION("""COMPUTED_VALUE"""),"K0L 1Z0")</f>
        <v>K0L 1Z0</v>
      </c>
      <c r="E6128" s="3" t="str">
        <f>IFERROR(__xludf.DUMMYFUNCTION("""COMPUTED_VALUE"""),"Tom and Anne Peterson")</f>
        <v>Tom and Anne Peterson</v>
      </c>
      <c r="F6128" s="3" t="str">
        <f>IFERROR(__xludf.DUMMYFUNCTION("""COMPUTED_VALUE"""),"antopeterson@hotmail.com")</f>
        <v>antopeterson@hotmail.com</v>
      </c>
      <c r="G6128" s="3">
        <f>IFERROR(__xludf.DUMMYFUNCTION("""COMPUTED_VALUE"""),6.138214107E9)</f>
        <v>6138214107</v>
      </c>
      <c r="H6128" s="3">
        <f>IFERROR(__xludf.DUMMYFUNCTION("""COMPUTED_VALUE"""),6.133712809E9)</f>
        <v>6133712809</v>
      </c>
    </row>
    <row r="6129">
      <c r="A6129" s="2">
        <f>IFERROR(__xludf.DUMMYFUNCTION("""COMPUTED_VALUE"""),60311.0)</f>
        <v>60311</v>
      </c>
      <c r="B6129" s="3" t="str">
        <f>IFERROR(__xludf.DUMMYFUNCTION("""COMPUTED_VALUE"""),"17 BANTA RD")</f>
        <v>17 BANTA RD</v>
      </c>
      <c r="C6129" s="3" t="str">
        <f>IFERROR(__xludf.DUMMYFUNCTION("""COMPUTED_VALUE"""),"WARKWORTH")</f>
        <v>WARKWORTH</v>
      </c>
      <c r="D6129" s="3" t="str">
        <f>IFERROR(__xludf.DUMMYFUNCTION("""COMPUTED_VALUE"""),"K0K 3K0")</f>
        <v>K0K 3K0</v>
      </c>
      <c r="E6129" s="3" t="str">
        <f>IFERROR(__xludf.DUMMYFUNCTION("""COMPUTED_VALUE"""),"candice armstrong ")</f>
        <v>candice armstrong </v>
      </c>
      <c r="F6129" s="3" t="str">
        <f>IFERROR(__xludf.DUMMYFUNCTION("""COMPUTED_VALUE"""),"candice-armstrong@live.com")</f>
        <v>candice-armstrong@live.com</v>
      </c>
      <c r="G6129" s="3">
        <f>IFERROR(__xludf.DUMMYFUNCTION("""COMPUTED_VALUE"""),9.052763365E9)</f>
        <v>9052763365</v>
      </c>
      <c r="H6129" s="3"/>
    </row>
    <row r="6130">
      <c r="A6130" s="2">
        <f>IFERROR(__xludf.DUMMYFUNCTION("""COMPUTED_VALUE"""),60313.0)</f>
        <v>60313</v>
      </c>
      <c r="B6130" s="3" t="str">
        <f>IFERROR(__xludf.DUMMYFUNCTION("""COMPUTED_VALUE"""),"21 BANTA RD")</f>
        <v>21 BANTA RD</v>
      </c>
      <c r="C6130" s="3" t="str">
        <f>IFERROR(__xludf.DUMMYFUNCTION("""COMPUTED_VALUE"""),"WARKWORTH")</f>
        <v>WARKWORTH</v>
      </c>
      <c r="D6130" s="3" t="str">
        <f>IFERROR(__xludf.DUMMYFUNCTION("""COMPUTED_VALUE"""),"K0K 3K0")</f>
        <v>K0K 3K0</v>
      </c>
      <c r="E6130" s="3" t="str">
        <f>IFERROR(__xludf.DUMMYFUNCTION("""COMPUTED_VALUE"""),"karen laver ")</f>
        <v>karen laver </v>
      </c>
      <c r="F6130" s="3"/>
      <c r="G6130" s="3">
        <f>IFERROR(__xludf.DUMMYFUNCTION("""COMPUTED_VALUE"""),7.057687258E9)</f>
        <v>7057687258</v>
      </c>
      <c r="H6130" s="3"/>
    </row>
    <row r="6131">
      <c r="A6131" s="2">
        <f>IFERROR(__xludf.DUMMYFUNCTION("""COMPUTED_VALUE"""),60314.0)</f>
        <v>60314</v>
      </c>
      <c r="B6131" s="3" t="str">
        <f>IFERROR(__xludf.DUMMYFUNCTION("""COMPUTED_VALUE"""),"23 BANTA RD")</f>
        <v>23 BANTA RD</v>
      </c>
      <c r="C6131" s="3" t="str">
        <f>IFERROR(__xludf.DUMMYFUNCTION("""COMPUTED_VALUE"""),"WARKWORTH")</f>
        <v>WARKWORTH</v>
      </c>
      <c r="D6131" s="3" t="str">
        <f>IFERROR(__xludf.DUMMYFUNCTION("""COMPUTED_VALUE"""),"K0K 3K0")</f>
        <v>K0K 3K0</v>
      </c>
      <c r="E6131" s="3" t="str">
        <f>IFERROR(__xludf.DUMMYFUNCTION("""COMPUTED_VALUE"""),"Mark Switzer")</f>
        <v>Mark Switzer</v>
      </c>
      <c r="F6131" s="3" t="str">
        <f>IFERROR(__xludf.DUMMYFUNCTION("""COMPUTED_VALUE"""),"markswitzer1972@gmail.com")</f>
        <v>markswitzer1972@gmail.com</v>
      </c>
      <c r="G6131" s="3"/>
      <c r="H6131" s="3"/>
    </row>
    <row r="6132">
      <c r="A6132" s="2">
        <f>IFERROR(__xludf.DUMMYFUNCTION("""COMPUTED_VALUE"""),60315.0)</f>
        <v>60315</v>
      </c>
      <c r="B6132" s="3" t="str">
        <f>IFERROR(__xludf.DUMMYFUNCTION("""COMPUTED_VALUE"""),"33 BANTA RD")</f>
        <v>33 BANTA RD</v>
      </c>
      <c r="C6132" s="3" t="str">
        <f>IFERROR(__xludf.DUMMYFUNCTION("""COMPUTED_VALUE"""),"WARKWORTH")</f>
        <v>WARKWORTH</v>
      </c>
      <c r="D6132" s="3" t="str">
        <f>IFERROR(__xludf.DUMMYFUNCTION("""COMPUTED_VALUE"""),"K0K 3K0")</f>
        <v>K0K 3K0</v>
      </c>
      <c r="E6132" s="3"/>
      <c r="F6132" s="3"/>
      <c r="G6132" s="3"/>
      <c r="H6132" s="3"/>
    </row>
    <row r="6133">
      <c r="A6133" s="2">
        <f>IFERROR(__xludf.DUMMYFUNCTION("""COMPUTED_VALUE"""),60317.0)</f>
        <v>60317</v>
      </c>
      <c r="B6133" s="3" t="str">
        <f>IFERROR(__xludf.DUMMYFUNCTION("""COMPUTED_VALUE"""),"41 BANTA RD")</f>
        <v>41 BANTA RD</v>
      </c>
      <c r="C6133" s="3" t="str">
        <f>IFERROR(__xludf.DUMMYFUNCTION("""COMPUTED_VALUE"""),"WARKWORTH")</f>
        <v>WARKWORTH</v>
      </c>
      <c r="D6133" s="3" t="str">
        <f>IFERROR(__xludf.DUMMYFUNCTION("""COMPUTED_VALUE"""),"K0K 3K0")</f>
        <v>K0K 3K0</v>
      </c>
      <c r="E6133" s="3"/>
      <c r="F6133" s="3"/>
      <c r="G6133" s="3"/>
      <c r="H6133" s="3"/>
    </row>
    <row r="6134">
      <c r="A6134" s="2">
        <f>IFERROR(__xludf.DUMMYFUNCTION("""COMPUTED_VALUE"""),60318.0)</f>
        <v>60318</v>
      </c>
      <c r="B6134" s="3" t="str">
        <f>IFERROR(__xludf.DUMMYFUNCTION("""COMPUTED_VALUE"""),"45 BANTA RD")</f>
        <v>45 BANTA RD</v>
      </c>
      <c r="C6134" s="3" t="str">
        <f>IFERROR(__xludf.DUMMYFUNCTION("""COMPUTED_VALUE"""),"WARKWORTH")</f>
        <v>WARKWORTH</v>
      </c>
      <c r="D6134" s="3" t="str">
        <f>IFERROR(__xludf.DUMMYFUNCTION("""COMPUTED_VALUE"""),"K0K 3K0")</f>
        <v>K0K 3K0</v>
      </c>
      <c r="E6134" s="3" t="str">
        <f>IFERROR(__xludf.DUMMYFUNCTION("""COMPUTED_VALUE"""),"John Mclaughlin")</f>
        <v>John Mclaughlin</v>
      </c>
      <c r="F6134" s="3" t="str">
        <f>IFERROR(__xludf.DUMMYFUNCTION("""COMPUTED_VALUE"""),"redwings131940@gmail.com")</f>
        <v>redwings131940@gmail.com</v>
      </c>
      <c r="G6134" s="3">
        <f>IFERROR(__xludf.DUMMYFUNCTION("""COMPUTED_VALUE"""),6.135401319E9)</f>
        <v>6135401319</v>
      </c>
      <c r="H6134" s="3"/>
    </row>
    <row r="6135">
      <c r="A6135" s="2">
        <f>IFERROR(__xludf.DUMMYFUNCTION("""COMPUTED_VALUE"""),60319.0)</f>
        <v>60319</v>
      </c>
      <c r="B6135" s="3" t="str">
        <f>IFERROR(__xludf.DUMMYFUNCTION("""COMPUTED_VALUE"""),"46 BANTA RD")</f>
        <v>46 BANTA RD</v>
      </c>
      <c r="C6135" s="3" t="str">
        <f>IFERROR(__xludf.DUMMYFUNCTION("""COMPUTED_VALUE"""),"WARKWORTH")</f>
        <v>WARKWORTH</v>
      </c>
      <c r="D6135" s="3" t="str">
        <f>IFERROR(__xludf.DUMMYFUNCTION("""COMPUTED_VALUE"""),"K0K 3K0")</f>
        <v>K0K 3K0</v>
      </c>
      <c r="E6135" s="3" t="str">
        <f>IFERROR(__xludf.DUMMYFUNCTION("""COMPUTED_VALUE"""),"Judit Rita")</f>
        <v>Judit Rita</v>
      </c>
      <c r="F6135" s="3" t="str">
        <f>IFERROR(__xludf.DUMMYFUNCTION("""COMPUTED_VALUE"""),"juditb@live.ca")</f>
        <v>juditb@live.ca</v>
      </c>
      <c r="G6135" s="3">
        <f>IFERROR(__xludf.DUMMYFUNCTION("""COMPUTED_VALUE"""),6.478252957E9)</f>
        <v>6478252957</v>
      </c>
      <c r="H6135" s="3"/>
    </row>
    <row r="6136">
      <c r="A6136" s="2">
        <f>IFERROR(__xludf.DUMMYFUNCTION("""COMPUTED_VALUE"""),60320.0)</f>
        <v>60320</v>
      </c>
      <c r="B6136" s="3" t="str">
        <f>IFERROR(__xludf.DUMMYFUNCTION("""COMPUTED_VALUE"""),"49 BANTA RD")</f>
        <v>49 BANTA RD</v>
      </c>
      <c r="C6136" s="3" t="str">
        <f>IFERROR(__xludf.DUMMYFUNCTION("""COMPUTED_VALUE"""),"WARKWORTH")</f>
        <v>WARKWORTH</v>
      </c>
      <c r="D6136" s="3" t="str">
        <f>IFERROR(__xludf.DUMMYFUNCTION("""COMPUTED_VALUE"""),"K0K 3K0")</f>
        <v>K0K 3K0</v>
      </c>
      <c r="E6136" s="3" t="str">
        <f>IFERROR(__xludf.DUMMYFUNCTION("""COMPUTED_VALUE"""),"joseph maika ")</f>
        <v>joseph maika </v>
      </c>
      <c r="F6136" s="3" t="str">
        <f>IFERROR(__xludf.DUMMYFUNCTION("""COMPUTED_VALUE"""),"jmaik@live.ca")</f>
        <v>jmaik@live.ca</v>
      </c>
      <c r="G6136" s="3">
        <f>IFERROR(__xludf.DUMMYFUNCTION("""COMPUTED_VALUE"""),9.052593119E9)</f>
        <v>9052593119</v>
      </c>
      <c r="H6136" s="3"/>
    </row>
    <row r="6137">
      <c r="A6137" s="2">
        <f>IFERROR(__xludf.DUMMYFUNCTION("""COMPUTED_VALUE"""),60321.0)</f>
        <v>60321</v>
      </c>
      <c r="B6137" s="3" t="str">
        <f>IFERROR(__xludf.DUMMYFUNCTION("""COMPUTED_VALUE"""),"53 BANTA RD")</f>
        <v>53 BANTA RD</v>
      </c>
      <c r="C6137" s="3" t="str">
        <f>IFERROR(__xludf.DUMMYFUNCTION("""COMPUTED_VALUE"""),"WARKWORTH")</f>
        <v>WARKWORTH</v>
      </c>
      <c r="D6137" s="3" t="str">
        <f>IFERROR(__xludf.DUMMYFUNCTION("""COMPUTED_VALUE"""),"K0K 3K0")</f>
        <v>K0K 3K0</v>
      </c>
      <c r="E6137" s="3" t="str">
        <f>IFERROR(__xludf.DUMMYFUNCTION("""COMPUTED_VALUE"""),"Victor Balas")</f>
        <v>Victor Balas</v>
      </c>
      <c r="F6137" s="3" t="str">
        <f>IFERROR(__xludf.DUMMYFUNCTION("""COMPUTED_VALUE"""),"securitybalas@gmail.com")</f>
        <v>securitybalas@gmail.com</v>
      </c>
      <c r="G6137" s="3"/>
      <c r="H6137" s="3"/>
    </row>
    <row r="6138">
      <c r="A6138" s="2">
        <f>IFERROR(__xludf.DUMMYFUNCTION("""COMPUTED_VALUE"""),60322.0)</f>
        <v>60322</v>
      </c>
      <c r="B6138" s="3" t="str">
        <f>IFERROR(__xludf.DUMMYFUNCTION("""COMPUTED_VALUE"""),"57 BANTA RD")</f>
        <v>57 BANTA RD</v>
      </c>
      <c r="C6138" s="3" t="str">
        <f>IFERROR(__xludf.DUMMYFUNCTION("""COMPUTED_VALUE"""),"WARKWORTH")</f>
        <v>WARKWORTH</v>
      </c>
      <c r="D6138" s="3" t="str">
        <f>IFERROR(__xludf.DUMMYFUNCTION("""COMPUTED_VALUE"""),"K0K 3K0")</f>
        <v>K0K 3K0</v>
      </c>
      <c r="E6138" s="3" t="str">
        <f>IFERROR(__xludf.DUMMYFUNCTION("""COMPUTED_VALUE"""),"douglas hintze")</f>
        <v>douglas hintze</v>
      </c>
      <c r="F6138" s="3" t="str">
        <f>IFERROR(__xludf.DUMMYFUNCTION("""COMPUTED_VALUE"""),"dwhintze@gmail.com")</f>
        <v>dwhintze@gmail.com</v>
      </c>
      <c r="G6138" s="3">
        <f>IFERROR(__xludf.DUMMYFUNCTION("""COMPUTED_VALUE"""),4.164357212E9)</f>
        <v>4164357212</v>
      </c>
      <c r="H6138" s="3">
        <f>IFERROR(__xludf.DUMMYFUNCTION("""COMPUTED_VALUE"""),4.163226961E9)</f>
        <v>4163226961</v>
      </c>
    </row>
    <row r="6139">
      <c r="A6139" s="2">
        <f>IFERROR(__xludf.DUMMYFUNCTION("""COMPUTED_VALUE"""),60323.0)</f>
        <v>60323</v>
      </c>
      <c r="B6139" s="3" t="str">
        <f>IFERROR(__xludf.DUMMYFUNCTION("""COMPUTED_VALUE"""),"64 BANTA RD")</f>
        <v>64 BANTA RD</v>
      </c>
      <c r="C6139" s="3" t="str">
        <f>IFERROR(__xludf.DUMMYFUNCTION("""COMPUTED_VALUE"""),"WARKWORTH")</f>
        <v>WARKWORTH</v>
      </c>
      <c r="D6139" s="3" t="str">
        <f>IFERROR(__xludf.DUMMYFUNCTION("""COMPUTED_VALUE"""),"K0K 3K0")</f>
        <v>K0K 3K0</v>
      </c>
      <c r="E6139" s="3" t="str">
        <f>IFERROR(__xludf.DUMMYFUNCTION("""COMPUTED_VALUE"""),"Nancy Hermiston")</f>
        <v>Nancy Hermiston</v>
      </c>
      <c r="F6139" s="3" t="str">
        <f>IFERROR(__xludf.DUMMYFUNCTION("""COMPUTED_VALUE"""),"nancy.hermiston@ubc.ca")</f>
        <v>nancy.hermiston@ubc.ca</v>
      </c>
      <c r="G6139" s="3"/>
      <c r="H6139" s="3"/>
    </row>
    <row r="6140">
      <c r="A6140" s="2">
        <f>IFERROR(__xludf.DUMMYFUNCTION("""COMPUTED_VALUE"""),60324.0)</f>
        <v>60324</v>
      </c>
      <c r="B6140" s="3" t="str">
        <f>IFERROR(__xludf.DUMMYFUNCTION("""COMPUTED_VALUE"""),"82 BANTA RD")</f>
        <v>82 BANTA RD</v>
      </c>
      <c r="C6140" s="3" t="str">
        <f>IFERROR(__xludf.DUMMYFUNCTION("""COMPUTED_VALUE"""),"WARKWORTH")</f>
        <v>WARKWORTH</v>
      </c>
      <c r="D6140" s="3" t="str">
        <f>IFERROR(__xludf.DUMMYFUNCTION("""COMPUTED_VALUE"""),"K0K 3K0")</f>
        <v>K0K 3K0</v>
      </c>
      <c r="E6140" s="3" t="str">
        <f>IFERROR(__xludf.DUMMYFUNCTION("""COMPUTED_VALUE"""),"bong-hwan kim")</f>
        <v>bong-hwan kim</v>
      </c>
      <c r="F6140" s="3" t="str">
        <f>IFERROR(__xludf.DUMMYFUNCTION("""COMPUTED_VALUE"""),"jung765k@gmail.com")</f>
        <v>jung765k@gmail.com</v>
      </c>
      <c r="G6140" s="3">
        <f>IFERROR(__xludf.DUMMYFUNCTION("""COMPUTED_VALUE"""),7.057728039E9)</f>
        <v>7057728039</v>
      </c>
      <c r="H6140" s="3"/>
    </row>
    <row r="6141">
      <c r="A6141" s="2">
        <f>IFERROR(__xludf.DUMMYFUNCTION("""COMPUTED_VALUE"""),60325.0)</f>
        <v>60325</v>
      </c>
      <c r="B6141" s="3" t="str">
        <f>IFERROR(__xludf.DUMMYFUNCTION("""COMPUTED_VALUE"""),"99 BANTA RD")</f>
        <v>99 BANTA RD</v>
      </c>
      <c r="C6141" s="3" t="str">
        <f>IFERROR(__xludf.DUMMYFUNCTION("""COMPUTED_VALUE"""),"WARKWORTH")</f>
        <v>WARKWORTH</v>
      </c>
      <c r="D6141" s="3" t="str">
        <f>IFERROR(__xludf.DUMMYFUNCTION("""COMPUTED_VALUE"""),"K0K 3K0")</f>
        <v>K0K 3K0</v>
      </c>
      <c r="E6141" s="3" t="str">
        <f>IFERROR(__xludf.DUMMYFUNCTION("""COMPUTED_VALUE"""),"David Lightowhers")</f>
        <v>David Lightowhers</v>
      </c>
      <c r="F6141" s="3"/>
      <c r="G6141" s="3"/>
      <c r="H6141" s="3"/>
    </row>
    <row r="6142">
      <c r="A6142" s="2">
        <f>IFERROR(__xludf.DUMMYFUNCTION("""COMPUTED_VALUE"""),60326.0)</f>
        <v>60326</v>
      </c>
      <c r="B6142" s="3" t="str">
        <f>IFERROR(__xludf.DUMMYFUNCTION("""COMPUTED_VALUE"""),"100 BANTA RD")</f>
        <v>100 BANTA RD</v>
      </c>
      <c r="C6142" s="3" t="str">
        <f>IFERROR(__xludf.DUMMYFUNCTION("""COMPUTED_VALUE"""),"WARKWORTH")</f>
        <v>WARKWORTH</v>
      </c>
      <c r="D6142" s="3" t="str">
        <f>IFERROR(__xludf.DUMMYFUNCTION("""COMPUTED_VALUE"""),"K0K 3K0")</f>
        <v>K0K 3K0</v>
      </c>
      <c r="E6142" s="3"/>
      <c r="F6142" s="3"/>
      <c r="G6142" s="3"/>
      <c r="H6142" s="3"/>
    </row>
    <row r="6143">
      <c r="A6143" s="2">
        <f>IFERROR(__xludf.DUMMYFUNCTION("""COMPUTED_VALUE"""),60327.0)</f>
        <v>60327</v>
      </c>
      <c r="B6143" s="3" t="str">
        <f>IFERROR(__xludf.DUMMYFUNCTION("""COMPUTED_VALUE"""),"118 BANTA RD")</f>
        <v>118 BANTA RD</v>
      </c>
      <c r="C6143" s="3" t="str">
        <f>IFERROR(__xludf.DUMMYFUNCTION("""COMPUTED_VALUE"""),"WARKWORTH")</f>
        <v>WARKWORTH</v>
      </c>
      <c r="D6143" s="3" t="str">
        <f>IFERROR(__xludf.DUMMYFUNCTION("""COMPUTED_VALUE"""),"K0K 3K0")</f>
        <v>K0K 3K0</v>
      </c>
      <c r="E6143" s="3"/>
      <c r="F6143" s="3"/>
      <c r="G6143" s="3"/>
      <c r="H6143" s="3"/>
    </row>
    <row r="6144">
      <c r="A6144" s="2">
        <f>IFERROR(__xludf.DUMMYFUNCTION("""COMPUTED_VALUE"""),60328.0)</f>
        <v>60328</v>
      </c>
      <c r="B6144" s="3" t="str">
        <f>IFERROR(__xludf.DUMMYFUNCTION("""COMPUTED_VALUE"""),"124 BANTA RD")</f>
        <v>124 BANTA RD</v>
      </c>
      <c r="C6144" s="3" t="str">
        <f>IFERROR(__xludf.DUMMYFUNCTION("""COMPUTED_VALUE"""),"WARKWORTH")</f>
        <v>WARKWORTH</v>
      </c>
      <c r="D6144" s="3" t="str">
        <f>IFERROR(__xludf.DUMMYFUNCTION("""COMPUTED_VALUE"""),"K0K 3K0")</f>
        <v>K0K 3K0</v>
      </c>
      <c r="E6144" s="3" t="str">
        <f>IFERROR(__xludf.DUMMYFUNCTION("""COMPUTED_VALUE"""),"Stephen Rapos")</f>
        <v>Stephen Rapos</v>
      </c>
      <c r="F6144" s="3" t="str">
        <f>IFERROR(__xludf.DUMMYFUNCTION("""COMPUTED_VALUE"""),"stephenrapos@sympatico.ca")</f>
        <v>stephenrapos@sympatico.ca</v>
      </c>
      <c r="G6144" s="3">
        <f>IFERROR(__xludf.DUMMYFUNCTION("""COMPUTED_VALUE"""),7.056537323E9)</f>
        <v>7056537323</v>
      </c>
      <c r="H6144" s="3"/>
    </row>
    <row r="6145">
      <c r="A6145" s="2">
        <f>IFERROR(__xludf.DUMMYFUNCTION("""COMPUTED_VALUE"""),60329.0)</f>
        <v>60329</v>
      </c>
      <c r="B6145" s="3" t="str">
        <f>IFERROR(__xludf.DUMMYFUNCTION("""COMPUTED_VALUE"""),"130 BANTA RD")</f>
        <v>130 BANTA RD</v>
      </c>
      <c r="C6145" s="3" t="str">
        <f>IFERROR(__xludf.DUMMYFUNCTION("""COMPUTED_VALUE"""),"WARKWORTH")</f>
        <v>WARKWORTH</v>
      </c>
      <c r="D6145" s="3" t="str">
        <f>IFERROR(__xludf.DUMMYFUNCTION("""COMPUTED_VALUE"""),"K0K 3K0")</f>
        <v>K0K 3K0</v>
      </c>
      <c r="E6145" s="3" t="str">
        <f>IFERROR(__xludf.DUMMYFUNCTION("""COMPUTED_VALUE"""),"sharon lewis ")</f>
        <v>sharon lewis </v>
      </c>
      <c r="F6145" s="3"/>
      <c r="G6145" s="3">
        <f>IFERROR(__xludf.DUMMYFUNCTION("""COMPUTED_VALUE"""),9.054105071E9)</f>
        <v>9054105071</v>
      </c>
      <c r="H6145" s="3"/>
    </row>
    <row r="6146">
      <c r="A6146" s="2">
        <f>IFERROR(__xludf.DUMMYFUNCTION("""COMPUTED_VALUE"""),60330.0)</f>
        <v>60330</v>
      </c>
      <c r="B6146" s="3" t="str">
        <f>IFERROR(__xludf.DUMMYFUNCTION("""COMPUTED_VALUE"""),"134 BANTA RD")</f>
        <v>134 BANTA RD</v>
      </c>
      <c r="C6146" s="3" t="str">
        <f>IFERROR(__xludf.DUMMYFUNCTION("""COMPUTED_VALUE"""),"WARKWORTH")</f>
        <v>WARKWORTH</v>
      </c>
      <c r="D6146" s="3" t="str">
        <f>IFERROR(__xludf.DUMMYFUNCTION("""COMPUTED_VALUE"""),"K0K 3K0")</f>
        <v>K0K 3K0</v>
      </c>
      <c r="E6146" s="3" t="str">
        <f>IFERROR(__xludf.DUMMYFUNCTION("""COMPUTED_VALUE"""),"blair pollock")</f>
        <v>blair pollock</v>
      </c>
      <c r="F6146" s="3"/>
      <c r="G6146" s="3">
        <f>IFERROR(__xludf.DUMMYFUNCTION("""COMPUTED_VALUE"""),9.052604624E9)</f>
        <v>9052604624</v>
      </c>
      <c r="H6146" s="3"/>
    </row>
    <row r="6147">
      <c r="A6147" s="2">
        <f>IFERROR(__xludf.DUMMYFUNCTION("""COMPUTED_VALUE"""),60331.0)</f>
        <v>60331</v>
      </c>
      <c r="B6147" s="3" t="str">
        <f>IFERROR(__xludf.DUMMYFUNCTION("""COMPUTED_VALUE"""),"150 BANTA RD")</f>
        <v>150 BANTA RD</v>
      </c>
      <c r="C6147" s="3" t="str">
        <f>IFERROR(__xludf.DUMMYFUNCTION("""COMPUTED_VALUE"""),"WARKWORTH")</f>
        <v>WARKWORTH</v>
      </c>
      <c r="D6147" s="3" t="str">
        <f>IFERROR(__xludf.DUMMYFUNCTION("""COMPUTED_VALUE"""),"K0K 3K0")</f>
        <v>K0K 3K0</v>
      </c>
      <c r="E6147" s="3"/>
      <c r="F6147" s="3"/>
      <c r="G6147" s="3"/>
      <c r="H6147" s="3"/>
    </row>
    <row r="6148">
      <c r="A6148" s="2">
        <f>IFERROR(__xludf.DUMMYFUNCTION("""COMPUTED_VALUE"""),63648.0)</f>
        <v>63648</v>
      </c>
      <c r="B6148" s="3" t="str">
        <f>IFERROR(__xludf.DUMMYFUNCTION("""COMPUTED_VALUE"""),"6 WEST LANE  ")</f>
        <v>6 WEST LANE  </v>
      </c>
      <c r="C6148" s="3" t="str">
        <f>IFERROR(__xludf.DUMMYFUNCTION("""COMPUTED_VALUE"""),"CAMPBELLFORD")</f>
        <v>CAMPBELLFORD</v>
      </c>
      <c r="D6148" s="3" t="str">
        <f>IFERROR(__xludf.DUMMYFUNCTION("""COMPUTED_VALUE"""),"K0L 1L0")</f>
        <v>K0L 1L0</v>
      </c>
      <c r="E6148" s="3" t="str">
        <f>IFERROR(__xludf.DUMMYFUNCTION("""COMPUTED_VALUE"""),"rick parkin")</f>
        <v>rick parkin</v>
      </c>
      <c r="F6148" s="3" t="str">
        <f>IFERROR(__xludf.DUMMYFUNCTION("""COMPUTED_VALUE"""),"rparkin@hotmail.com")</f>
        <v>rparkin@hotmail.com</v>
      </c>
      <c r="G6148" s="3"/>
      <c r="H6148" s="3"/>
    </row>
    <row r="6149">
      <c r="A6149" s="2">
        <f>IFERROR(__xludf.DUMMYFUNCTION("""COMPUTED_VALUE"""),63649.0)</f>
        <v>63649</v>
      </c>
      <c r="B6149" s="3" t="str">
        <f>IFERROR(__xludf.DUMMYFUNCTION("""COMPUTED_VALUE"""),"16 WEST LANE  ")</f>
        <v>16 WEST LANE  </v>
      </c>
      <c r="C6149" s="3" t="str">
        <f>IFERROR(__xludf.DUMMYFUNCTION("""COMPUTED_VALUE"""),"CAMPBELLFORD")</f>
        <v>CAMPBELLFORD</v>
      </c>
      <c r="D6149" s="3" t="str">
        <f>IFERROR(__xludf.DUMMYFUNCTION("""COMPUTED_VALUE"""),"K0L 1L0")</f>
        <v>K0L 1L0</v>
      </c>
      <c r="E6149" s="3" t="str">
        <f>IFERROR(__xludf.DUMMYFUNCTION("""COMPUTED_VALUE"""),"William Littlejohn")</f>
        <v>William Littlejohn</v>
      </c>
      <c r="F6149" s="3" t="str">
        <f>IFERROR(__xludf.DUMMYFUNCTION("""COMPUTED_VALUE"""),"bglittlejohn1980@gmail.com")</f>
        <v>bglittlejohn1980@gmail.com</v>
      </c>
      <c r="G6149" s="3"/>
      <c r="H6149" s="3"/>
    </row>
    <row r="6150">
      <c r="A6150" s="2">
        <f>IFERROR(__xludf.DUMMYFUNCTION("""COMPUTED_VALUE"""),63650.0)</f>
        <v>63650</v>
      </c>
      <c r="B6150" s="3" t="str">
        <f>IFERROR(__xludf.DUMMYFUNCTION("""COMPUTED_VALUE"""),"18 WEST LANE  ")</f>
        <v>18 WEST LANE  </v>
      </c>
      <c r="C6150" s="3" t="str">
        <f>IFERROR(__xludf.DUMMYFUNCTION("""COMPUTED_VALUE"""),"CAMPBELLFORD")</f>
        <v>CAMPBELLFORD</v>
      </c>
      <c r="D6150" s="3" t="str">
        <f>IFERROR(__xludf.DUMMYFUNCTION("""COMPUTED_VALUE"""),"K0L 1L0")</f>
        <v>K0L 1L0</v>
      </c>
      <c r="E6150" s="3" t="str">
        <f>IFERROR(__xludf.DUMMYFUNCTION("""COMPUTED_VALUE"""),"Dave Scime")</f>
        <v>Dave Scime</v>
      </c>
      <c r="F6150" s="3" t="str">
        <f>IFERROR(__xludf.DUMMYFUNCTION("""COMPUTED_VALUE"""),"dscime1@outlook.com")</f>
        <v>dscime1@outlook.com</v>
      </c>
      <c r="G6150" s="3"/>
      <c r="H6150" s="3"/>
    </row>
    <row r="6151">
      <c r="A6151" s="2">
        <f>IFERROR(__xludf.DUMMYFUNCTION("""COMPUTED_VALUE"""),63651.0)</f>
        <v>63651</v>
      </c>
      <c r="B6151" s="3" t="str">
        <f>IFERROR(__xludf.DUMMYFUNCTION("""COMPUTED_VALUE"""),"28 WEST LANE  ")</f>
        <v>28 WEST LANE  </v>
      </c>
      <c r="C6151" s="3" t="str">
        <f>IFERROR(__xludf.DUMMYFUNCTION("""COMPUTED_VALUE"""),"CAMPBELLFORD")</f>
        <v>CAMPBELLFORD</v>
      </c>
      <c r="D6151" s="3" t="str">
        <f>IFERROR(__xludf.DUMMYFUNCTION("""COMPUTED_VALUE"""),"K0L 1L0")</f>
        <v>K0L 1L0</v>
      </c>
      <c r="E6151" s="3" t="str">
        <f>IFERROR(__xludf.DUMMYFUNCTION("""COMPUTED_VALUE"""),"Andrej Paulik")</f>
        <v>Andrej Paulik</v>
      </c>
      <c r="F6151" s="3" t="str">
        <f>IFERROR(__xludf.DUMMYFUNCTION("""COMPUTED_VALUE"""),"andrejpaulik@hotmail.com")</f>
        <v>andrejpaulik@hotmail.com</v>
      </c>
      <c r="G6151" s="3">
        <f>IFERROR(__xludf.DUMMYFUNCTION("""COMPUTED_VALUE"""),6.479888783E9)</f>
        <v>6479888783</v>
      </c>
      <c r="H6151" s="3"/>
    </row>
    <row r="6152">
      <c r="A6152" s="2">
        <f>IFERROR(__xludf.DUMMYFUNCTION("""COMPUTED_VALUE"""),63652.0)</f>
        <v>63652</v>
      </c>
      <c r="B6152" s="3" t="str">
        <f>IFERROR(__xludf.DUMMYFUNCTION("""COMPUTED_VALUE"""),"32 WEST LANE  ")</f>
        <v>32 WEST LANE  </v>
      </c>
      <c r="C6152" s="3" t="str">
        <f>IFERROR(__xludf.DUMMYFUNCTION("""COMPUTED_VALUE"""),"CAMPBELLFORD")</f>
        <v>CAMPBELLFORD</v>
      </c>
      <c r="D6152" s="3" t="str">
        <f>IFERROR(__xludf.DUMMYFUNCTION("""COMPUTED_VALUE"""),"K0L 1L0")</f>
        <v>K0L 1L0</v>
      </c>
      <c r="E6152" s="3"/>
      <c r="F6152" s="3" t="str">
        <f>IFERROR(__xludf.DUMMYFUNCTION("""COMPUTED_VALUE"""),"skiwithjames@hotmail.ca")</f>
        <v>skiwithjames@hotmail.ca</v>
      </c>
      <c r="G6152" s="3">
        <f>IFERROR(__xludf.DUMMYFUNCTION("""COMPUTED_VALUE"""),4.036901381E9)</f>
        <v>4036901381</v>
      </c>
      <c r="H6152" s="3"/>
    </row>
    <row r="6153">
      <c r="A6153" s="2">
        <f>IFERROR(__xludf.DUMMYFUNCTION("""COMPUTED_VALUE"""),63653.0)</f>
        <v>63653</v>
      </c>
      <c r="B6153" s="3" t="str">
        <f>IFERROR(__xludf.DUMMYFUNCTION("""COMPUTED_VALUE"""),"34 WEST LANE  ")</f>
        <v>34 WEST LANE  </v>
      </c>
      <c r="C6153" s="3" t="str">
        <f>IFERROR(__xludf.DUMMYFUNCTION("""COMPUTED_VALUE"""),"CAMPBELLFORD")</f>
        <v>CAMPBELLFORD</v>
      </c>
      <c r="D6153" s="3" t="str">
        <f>IFERROR(__xludf.DUMMYFUNCTION("""COMPUTED_VALUE"""),"K0L 1L0")</f>
        <v>K0L 1L0</v>
      </c>
      <c r="E6153" s="3" t="str">
        <f>IFERROR(__xludf.DUMMYFUNCTION("""COMPUTED_VALUE"""),"david hill ")</f>
        <v>david hill </v>
      </c>
      <c r="F6153" s="3"/>
      <c r="G6153" s="3">
        <f>IFERROR(__xludf.DUMMYFUNCTION("""COMPUTED_VALUE"""),7.059910098E9)</f>
        <v>7059910098</v>
      </c>
      <c r="H6153" s="3"/>
    </row>
    <row r="6154">
      <c r="A6154" s="2">
        <f>IFERROR(__xludf.DUMMYFUNCTION("""COMPUTED_VALUE"""),63654.0)</f>
        <v>63654</v>
      </c>
      <c r="B6154" s="3" t="str">
        <f>IFERROR(__xludf.DUMMYFUNCTION("""COMPUTED_VALUE"""),"36 WEST LANE  ")</f>
        <v>36 WEST LANE  </v>
      </c>
      <c r="C6154" s="3" t="str">
        <f>IFERROR(__xludf.DUMMYFUNCTION("""COMPUTED_VALUE"""),"CAMPBELLFORD")</f>
        <v>CAMPBELLFORD</v>
      </c>
      <c r="D6154" s="3" t="str">
        <f>IFERROR(__xludf.DUMMYFUNCTION("""COMPUTED_VALUE"""),"K0L 1L0")</f>
        <v>K0L 1L0</v>
      </c>
      <c r="E6154" s="3" t="str">
        <f>IFERROR(__xludf.DUMMYFUNCTION("""COMPUTED_VALUE"""),"Cory Smith")</f>
        <v>Cory Smith</v>
      </c>
      <c r="F6154" s="3" t="str">
        <f>IFERROR(__xludf.DUMMYFUNCTION("""COMPUTED_VALUE"""),"beaniesmith@yahoo.com")</f>
        <v>beaniesmith@yahoo.com</v>
      </c>
      <c r="G6154" s="3">
        <f>IFERROR(__xludf.DUMMYFUNCTION("""COMPUTED_VALUE"""),5.192727268E9)</f>
        <v>5192727268</v>
      </c>
      <c r="H6154" s="3">
        <f>IFERROR(__xludf.DUMMYFUNCTION("""COMPUTED_VALUE"""),5.192757146E9)</f>
        <v>5192757146</v>
      </c>
    </row>
    <row r="6155">
      <c r="A6155" s="2">
        <f>IFERROR(__xludf.DUMMYFUNCTION("""COMPUTED_VALUE"""),63655.0)</f>
        <v>63655</v>
      </c>
      <c r="B6155" s="3" t="str">
        <f>IFERROR(__xludf.DUMMYFUNCTION("""COMPUTED_VALUE"""),"44 WEST LANE  ")</f>
        <v>44 WEST LANE  </v>
      </c>
      <c r="C6155" s="3" t="str">
        <f>IFERROR(__xludf.DUMMYFUNCTION("""COMPUTED_VALUE"""),"CAMPBELLFORD")</f>
        <v>CAMPBELLFORD</v>
      </c>
      <c r="D6155" s="3" t="str">
        <f>IFERROR(__xludf.DUMMYFUNCTION("""COMPUTED_VALUE"""),"K0L 1L0")</f>
        <v>K0L 1L0</v>
      </c>
      <c r="E6155" s="3" t="str">
        <f>IFERROR(__xludf.DUMMYFUNCTION("""COMPUTED_VALUE"""),"randy moss ")</f>
        <v>randy moss </v>
      </c>
      <c r="F6155" s="3" t="str">
        <f>IFERROR(__xludf.DUMMYFUNCTION("""COMPUTED_VALUE"""),"randymoss@randor.com")</f>
        <v>randymoss@randor.com</v>
      </c>
      <c r="G6155" s="3">
        <f>IFERROR(__xludf.DUMMYFUNCTION("""COMPUTED_VALUE"""),4.162308295E9)</f>
        <v>4162308295</v>
      </c>
      <c r="H6155" s="3">
        <f>IFERROR(__xludf.DUMMYFUNCTION("""COMPUTED_VALUE"""),6.476432922E9)</f>
        <v>6476432922</v>
      </c>
    </row>
    <row r="6156">
      <c r="A6156" s="2">
        <f>IFERROR(__xludf.DUMMYFUNCTION("""COMPUTED_VALUE"""),63656.0)</f>
        <v>63656</v>
      </c>
      <c r="B6156" s="3" t="str">
        <f>IFERROR(__xludf.DUMMYFUNCTION("""COMPUTED_VALUE"""),"52 WEST LANE  ")</f>
        <v>52 WEST LANE  </v>
      </c>
      <c r="C6156" s="3" t="str">
        <f>IFERROR(__xludf.DUMMYFUNCTION("""COMPUTED_VALUE"""),"CAMPBELLFORD")</f>
        <v>CAMPBELLFORD</v>
      </c>
      <c r="D6156" s="3" t="str">
        <f>IFERROR(__xludf.DUMMYFUNCTION("""COMPUTED_VALUE"""),"K0L 1L0")</f>
        <v>K0L 1L0</v>
      </c>
      <c r="E6156" s="3" t="str">
        <f>IFERROR(__xludf.DUMMYFUNCTION("""COMPUTED_VALUE"""),"david mcculooch")</f>
        <v>david mcculooch</v>
      </c>
      <c r="F6156" s="3" t="str">
        <f>IFERROR(__xludf.DUMMYFUNCTION("""COMPUTED_VALUE"""),"davemcculloch@gmail.com")</f>
        <v>davemcculloch@gmail.com</v>
      </c>
      <c r="G6156" s="3">
        <f>IFERROR(__xludf.DUMMYFUNCTION("""COMPUTED_VALUE"""),4.165086257E9)</f>
        <v>4165086257</v>
      </c>
      <c r="H6156" s="3"/>
    </row>
    <row r="6157">
      <c r="A6157" s="2">
        <f>IFERROR(__xludf.DUMMYFUNCTION("""COMPUTED_VALUE"""),63092.0)</f>
        <v>63092</v>
      </c>
      <c r="B6157" s="3" t="str">
        <f>IFERROR(__xludf.DUMMYFUNCTION("""COMPUTED_VALUE"""),"10 PUFF BALL INN RD  ")</f>
        <v>10 PUFF BALL INN RD  </v>
      </c>
      <c r="C6157" s="3" t="str">
        <f>IFERROR(__xludf.DUMMYFUNCTION("""COMPUTED_VALUE"""),"CAMPBELLFORD")</f>
        <v>CAMPBELLFORD</v>
      </c>
      <c r="D6157" s="3" t="str">
        <f>IFERROR(__xludf.DUMMYFUNCTION("""COMPUTED_VALUE"""),"K0L 1L0")</f>
        <v>K0L 1L0</v>
      </c>
      <c r="E6157" s="3" t="str">
        <f>IFERROR(__xludf.DUMMYFUNCTION("""COMPUTED_VALUE"""),"MARIO J MORA")</f>
        <v>MARIO J MORA</v>
      </c>
      <c r="F6157" s="3" t="str">
        <f>IFERROR(__xludf.DUMMYFUNCTION("""COMPUTED_VALUE"""),"info@buildeightgroup.ca")</f>
        <v>info@buildeightgroup.ca</v>
      </c>
      <c r="G6157" s="3">
        <f>IFERROR(__xludf.DUMMYFUNCTION("""COMPUTED_VALUE"""),4.169937532E9)</f>
        <v>4169937532</v>
      </c>
      <c r="H6157" s="3"/>
    </row>
    <row r="6158">
      <c r="A6158" s="2">
        <f>IFERROR(__xludf.DUMMYFUNCTION("""COMPUTED_VALUE"""),63093.0)</f>
        <v>63093</v>
      </c>
      <c r="B6158" s="3" t="str">
        <f>IFERROR(__xludf.DUMMYFUNCTION("""COMPUTED_VALUE"""),"46 PUFF BALL INN RD  ")</f>
        <v>46 PUFF BALL INN RD  </v>
      </c>
      <c r="C6158" s="3" t="str">
        <f>IFERROR(__xludf.DUMMYFUNCTION("""COMPUTED_VALUE"""),"CAMPBELLFORD")</f>
        <v>CAMPBELLFORD</v>
      </c>
      <c r="D6158" s="3" t="str">
        <f>IFERROR(__xludf.DUMMYFUNCTION("""COMPUTED_VALUE"""),"K0L 1L0")</f>
        <v>K0L 1L0</v>
      </c>
      <c r="E6158" s="3" t="str">
        <f>IFERROR(__xludf.DUMMYFUNCTION("""COMPUTED_VALUE"""),"cherly westall")</f>
        <v>cherly westall</v>
      </c>
      <c r="F6158" s="3" t="str">
        <f>IFERROR(__xludf.DUMMYFUNCTION("""COMPUTED_VALUE"""),"gmwestall@gmail.com")</f>
        <v>gmwestall@gmail.com</v>
      </c>
      <c r="G6158" s="3"/>
      <c r="H6158" s="3"/>
    </row>
    <row r="6159">
      <c r="A6159" s="2">
        <f>IFERROR(__xludf.DUMMYFUNCTION("""COMPUTED_VALUE"""),63094.0)</f>
        <v>63094</v>
      </c>
      <c r="B6159" s="3" t="str">
        <f>IFERROR(__xludf.DUMMYFUNCTION("""COMPUTED_VALUE"""),"50 PUFF BALL INN RD  ")</f>
        <v>50 PUFF BALL INN RD  </v>
      </c>
      <c r="C6159" s="3" t="str">
        <f>IFERROR(__xludf.DUMMYFUNCTION("""COMPUTED_VALUE"""),"CAMPBELLFORD")</f>
        <v>CAMPBELLFORD</v>
      </c>
      <c r="D6159" s="3" t="str">
        <f>IFERROR(__xludf.DUMMYFUNCTION("""COMPUTED_VALUE"""),"K0L 1L0")</f>
        <v>K0L 1L0</v>
      </c>
      <c r="E6159" s="3"/>
      <c r="F6159" s="3"/>
      <c r="G6159" s="3"/>
      <c r="H6159" s="3"/>
    </row>
    <row r="6160">
      <c r="A6160" s="2">
        <f>IFERROR(__xludf.DUMMYFUNCTION("""COMPUTED_VALUE"""),63095.0)</f>
        <v>63095</v>
      </c>
      <c r="B6160" s="3" t="str">
        <f>IFERROR(__xludf.DUMMYFUNCTION("""COMPUTED_VALUE"""),"58 PUFF BALL INN RD  ")</f>
        <v>58 PUFF BALL INN RD  </v>
      </c>
      <c r="C6160" s="3" t="str">
        <f>IFERROR(__xludf.DUMMYFUNCTION("""COMPUTED_VALUE"""),"CAMPBELLFORD")</f>
        <v>CAMPBELLFORD</v>
      </c>
      <c r="D6160" s="3" t="str">
        <f>IFERROR(__xludf.DUMMYFUNCTION("""COMPUTED_VALUE"""),"K0L 1L0")</f>
        <v>K0L 1L0</v>
      </c>
      <c r="E6160" s="3" t="str">
        <f>IFERROR(__xludf.DUMMYFUNCTION("""COMPUTED_VALUE"""),"Karen Archbell")</f>
        <v>Karen Archbell</v>
      </c>
      <c r="F6160" s="3" t="str">
        <f>IFERROR(__xludf.DUMMYFUNCTION("""COMPUTED_VALUE"""),"karen.archbell@gmail.com")</f>
        <v>karen.archbell@gmail.com</v>
      </c>
      <c r="G6160" s="3">
        <f>IFERROR(__xludf.DUMMYFUNCTION("""COMPUTED_VALUE"""),8.673331689E9)</f>
        <v>8673331689</v>
      </c>
      <c r="H6160" s="3"/>
    </row>
    <row r="6161">
      <c r="A6161" s="2">
        <f>IFERROR(__xludf.DUMMYFUNCTION("""COMPUTED_VALUE"""),63096.0)</f>
        <v>63096</v>
      </c>
      <c r="B6161" s="3" t="str">
        <f>IFERROR(__xludf.DUMMYFUNCTION("""COMPUTED_VALUE"""),"60 PUFF BALL INN RD  ")</f>
        <v>60 PUFF BALL INN RD  </v>
      </c>
      <c r="C6161" s="3" t="str">
        <f>IFERROR(__xludf.DUMMYFUNCTION("""COMPUTED_VALUE"""),"CAMPBELLFORD")</f>
        <v>CAMPBELLFORD</v>
      </c>
      <c r="D6161" s="3" t="str">
        <f>IFERROR(__xludf.DUMMYFUNCTION("""COMPUTED_VALUE"""),"K0L 1L0")</f>
        <v>K0L 1L0</v>
      </c>
      <c r="E6161" s="3" t="str">
        <f>IFERROR(__xludf.DUMMYFUNCTION("""COMPUTED_VALUE"""),"dave ,ould ")</f>
        <v>dave ,ould </v>
      </c>
      <c r="F6161" s="3" t="str">
        <f>IFERROR(__xludf.DUMMYFUNCTION("""COMPUTED_VALUE"""),"oldbread@hotmail.com")</f>
        <v>oldbread@hotmail.com</v>
      </c>
      <c r="G6161" s="3">
        <f>IFERROR(__xludf.DUMMYFUNCTION("""COMPUTED_VALUE"""),6.477003031E9)</f>
        <v>6477003031</v>
      </c>
      <c r="H6161" s="3">
        <f>IFERROR(__xludf.DUMMYFUNCTION("""COMPUTED_VALUE"""),2.893161036E9)</f>
        <v>2893161036</v>
      </c>
    </row>
    <row r="6162">
      <c r="A6162" s="2">
        <f>IFERROR(__xludf.DUMMYFUNCTION("""COMPUTED_VALUE"""),63097.0)</f>
        <v>63097</v>
      </c>
      <c r="B6162" s="3" t="str">
        <f>IFERROR(__xludf.DUMMYFUNCTION("""COMPUTED_VALUE"""),"64 PUFF BALL INN RD  ")</f>
        <v>64 PUFF BALL INN RD  </v>
      </c>
      <c r="C6162" s="3" t="str">
        <f>IFERROR(__xludf.DUMMYFUNCTION("""COMPUTED_VALUE"""),"CAMPBELLFORD")</f>
        <v>CAMPBELLFORD</v>
      </c>
      <c r="D6162" s="3" t="str">
        <f>IFERROR(__xludf.DUMMYFUNCTION("""COMPUTED_VALUE"""),"K0L 1L0")</f>
        <v>K0L 1L0</v>
      </c>
      <c r="E6162" s="3" t="str">
        <f>IFERROR(__xludf.DUMMYFUNCTION("""COMPUTED_VALUE"""),"andrew veenstra")</f>
        <v>andrew veenstra</v>
      </c>
      <c r="F6162" s="4" t="str">
        <f>IFERROR(__xludf.DUMMYFUNCTION("""COMPUTED_VALUE"""),"andrew.veenstrahearthstonehomes.ca")</f>
        <v>andrew.veenstrahearthstonehomes.ca</v>
      </c>
      <c r="G6162" s="3">
        <f>IFERROR(__xludf.DUMMYFUNCTION("""COMPUTED_VALUE"""),5.797786353E9)</f>
        <v>5797786353</v>
      </c>
      <c r="H6162" s="3">
        <f>IFERROR(__xludf.DUMMYFUNCTION("""COMPUTED_VALUE"""),2.268982044E9)</f>
        <v>2268982044</v>
      </c>
    </row>
    <row r="6163">
      <c r="A6163" s="2">
        <f>IFERROR(__xludf.DUMMYFUNCTION("""COMPUTED_VALUE"""),63099.0)</f>
        <v>63099</v>
      </c>
      <c r="B6163" s="3" t="str">
        <f>IFERROR(__xludf.DUMMYFUNCTION("""COMPUTED_VALUE"""),"68 PUFF BALL INN RD  ")</f>
        <v>68 PUFF BALL INN RD  </v>
      </c>
      <c r="C6163" s="3" t="str">
        <f>IFERROR(__xludf.DUMMYFUNCTION("""COMPUTED_VALUE"""),"CAMPBELLFORD")</f>
        <v>CAMPBELLFORD</v>
      </c>
      <c r="D6163" s="3" t="str">
        <f>IFERROR(__xludf.DUMMYFUNCTION("""COMPUTED_VALUE"""),"K0L 1L0")</f>
        <v>K0L 1L0</v>
      </c>
      <c r="E6163" s="3" t="str">
        <f>IFERROR(__xludf.DUMMYFUNCTION("""COMPUTED_VALUE"""),"g, grimm ")</f>
        <v>g, grimm </v>
      </c>
      <c r="F6163" s="3" t="str">
        <f>IFERROR(__xludf.DUMMYFUNCTION("""COMPUTED_VALUE"""),"ggrimm3@rogers.com")</f>
        <v>ggrimm3@rogers.com</v>
      </c>
      <c r="G6163" s="3"/>
      <c r="H6163" s="3"/>
    </row>
    <row r="6164">
      <c r="A6164" s="2">
        <f>IFERROR(__xludf.DUMMYFUNCTION("""COMPUTED_VALUE"""),63100.0)</f>
        <v>63100</v>
      </c>
      <c r="B6164" s="3" t="str">
        <f>IFERROR(__xludf.DUMMYFUNCTION("""COMPUTED_VALUE"""),"74 PUFF BALL INN RD  ")</f>
        <v>74 PUFF BALL INN RD  </v>
      </c>
      <c r="C6164" s="3" t="str">
        <f>IFERROR(__xludf.DUMMYFUNCTION("""COMPUTED_VALUE"""),"CAMPBELLFORD")</f>
        <v>CAMPBELLFORD</v>
      </c>
      <c r="D6164" s="3" t="str">
        <f>IFERROR(__xludf.DUMMYFUNCTION("""COMPUTED_VALUE"""),"K0L 1L0")</f>
        <v>K0L 1L0</v>
      </c>
      <c r="E6164" s="3" t="str">
        <f>IFERROR(__xludf.DUMMYFUNCTION("""COMPUTED_VALUE"""),"andrew veenstra")</f>
        <v>andrew veenstra</v>
      </c>
      <c r="F6164" s="4" t="str">
        <f>IFERROR(__xludf.DUMMYFUNCTION("""COMPUTED_VALUE"""),"andrew.veenstrahearthstonehomes.ca")</f>
        <v>andrew.veenstrahearthstonehomes.ca</v>
      </c>
      <c r="G6164" s="3">
        <f>IFERROR(__xludf.DUMMYFUNCTION("""COMPUTED_VALUE"""),5.797786353E9)</f>
        <v>5797786353</v>
      </c>
      <c r="H6164" s="3">
        <f>IFERROR(__xludf.DUMMYFUNCTION("""COMPUTED_VALUE"""),2.268982044E9)</f>
        <v>2268982044</v>
      </c>
    </row>
    <row r="6165">
      <c r="A6165" s="2">
        <f>IFERROR(__xludf.DUMMYFUNCTION("""COMPUTED_VALUE"""),63101.0)</f>
        <v>63101</v>
      </c>
      <c r="B6165" s="3" t="str">
        <f>IFERROR(__xludf.DUMMYFUNCTION("""COMPUTED_VALUE"""),"80 PUFF BALL INN RD  ")</f>
        <v>80 PUFF BALL INN RD  </v>
      </c>
      <c r="C6165" s="3" t="str">
        <f>IFERROR(__xludf.DUMMYFUNCTION("""COMPUTED_VALUE"""),"CAMPBELLFORD")</f>
        <v>CAMPBELLFORD</v>
      </c>
      <c r="D6165" s="3" t="str">
        <f>IFERROR(__xludf.DUMMYFUNCTION("""COMPUTED_VALUE"""),"K0L 1L0")</f>
        <v>K0L 1L0</v>
      </c>
      <c r="E6165" s="3"/>
      <c r="F6165" s="3"/>
      <c r="G6165" s="3"/>
      <c r="H6165" s="3"/>
    </row>
    <row r="6166">
      <c r="A6166" s="2">
        <f>IFERROR(__xludf.DUMMYFUNCTION("""COMPUTED_VALUE"""),63102.0)</f>
        <v>63102</v>
      </c>
      <c r="B6166" s="3" t="str">
        <f>IFERROR(__xludf.DUMMYFUNCTION("""COMPUTED_VALUE"""),"92 PUFF BALL INN RD  ")</f>
        <v>92 PUFF BALL INN RD  </v>
      </c>
      <c r="C6166" s="3" t="str">
        <f>IFERROR(__xludf.DUMMYFUNCTION("""COMPUTED_VALUE"""),"CAMPBELLFORD")</f>
        <v>CAMPBELLFORD</v>
      </c>
      <c r="D6166" s="3" t="str">
        <f>IFERROR(__xludf.DUMMYFUNCTION("""COMPUTED_VALUE"""),"K0L 1L0")</f>
        <v>K0L 1L0</v>
      </c>
      <c r="E6166" s="3" t="str">
        <f>IFERROR(__xludf.DUMMYFUNCTION("""COMPUTED_VALUE"""),"james carrothers ")</f>
        <v>james carrothers </v>
      </c>
      <c r="F6166" s="3" t="str">
        <f>IFERROR(__xludf.DUMMYFUNCTION("""COMPUTED_VALUE"""),"gtime40@gmail..com")</f>
        <v>gtime40@gmail..com</v>
      </c>
      <c r="G6166" s="3">
        <f>IFERROR(__xludf.DUMMYFUNCTION("""COMPUTED_VALUE"""),7.0597766004E10)</f>
        <v>70597766004</v>
      </c>
      <c r="H6166" s="3"/>
    </row>
    <row r="6167">
      <c r="A6167" s="2">
        <f>IFERROR(__xludf.DUMMYFUNCTION("""COMPUTED_VALUE"""),63103.0)</f>
        <v>63103</v>
      </c>
      <c r="B6167" s="3" t="str">
        <f>IFERROR(__xludf.DUMMYFUNCTION("""COMPUTED_VALUE"""),"96 PUFF BALL INN RD  ")</f>
        <v>96 PUFF BALL INN RD  </v>
      </c>
      <c r="C6167" s="3" t="str">
        <f>IFERROR(__xludf.DUMMYFUNCTION("""COMPUTED_VALUE"""),"CAMPBELLFORD")</f>
        <v>CAMPBELLFORD</v>
      </c>
      <c r="D6167" s="3" t="str">
        <f>IFERROR(__xludf.DUMMYFUNCTION("""COMPUTED_VALUE"""),"K0L 1L0")</f>
        <v>K0L 1L0</v>
      </c>
      <c r="E6167" s="3" t="str">
        <f>IFERROR(__xludf.DUMMYFUNCTION("""COMPUTED_VALUE"""),"edward s kormann ")</f>
        <v>edward s kormann </v>
      </c>
      <c r="F6167" s="3" t="str">
        <f>IFERROR(__xludf.DUMMYFUNCTION("""COMPUTED_VALUE"""),"ekormann@rogers.com")</f>
        <v>ekormann@rogers.com</v>
      </c>
      <c r="G6167" s="3">
        <f>IFERROR(__xludf.DUMMYFUNCTION("""COMPUTED_VALUE"""),7.056530465E9)</f>
        <v>7056530465</v>
      </c>
      <c r="H6167" s="3"/>
    </row>
    <row r="6168">
      <c r="A6168" s="2">
        <f>IFERROR(__xludf.DUMMYFUNCTION("""COMPUTED_VALUE"""),63104.0)</f>
        <v>63104</v>
      </c>
      <c r="B6168" s="3" t="str">
        <f>IFERROR(__xludf.DUMMYFUNCTION("""COMPUTED_VALUE"""),"104 PUFF BALL INN RD  ")</f>
        <v>104 PUFF BALL INN RD  </v>
      </c>
      <c r="C6168" s="3" t="str">
        <f>IFERROR(__xludf.DUMMYFUNCTION("""COMPUTED_VALUE"""),"CAMPBELLFORD")</f>
        <v>CAMPBELLFORD</v>
      </c>
      <c r="D6168" s="3" t="str">
        <f>IFERROR(__xludf.DUMMYFUNCTION("""COMPUTED_VALUE"""),"K0L 1L0")</f>
        <v>K0L 1L0</v>
      </c>
      <c r="E6168" s="3" t="str">
        <f>IFERROR(__xludf.DUMMYFUNCTION("""COMPUTED_VALUE"""),"rob kocot ")</f>
        <v>rob kocot </v>
      </c>
      <c r="F6168" s="3"/>
      <c r="G6168" s="3">
        <f>IFERROR(__xludf.DUMMYFUNCTION("""COMPUTED_VALUE"""),9.054427246E9)</f>
        <v>9054427246</v>
      </c>
      <c r="H6168" s="3"/>
    </row>
    <row r="6169">
      <c r="A6169" s="2">
        <f>IFERROR(__xludf.DUMMYFUNCTION("""COMPUTED_VALUE"""),63105.0)</f>
        <v>63105</v>
      </c>
      <c r="B6169" s="3" t="str">
        <f>IFERROR(__xludf.DUMMYFUNCTION("""COMPUTED_VALUE"""),"137 PUFF BALL INN RD  ")</f>
        <v>137 PUFF BALL INN RD  </v>
      </c>
      <c r="C6169" s="3" t="str">
        <f>IFERROR(__xludf.DUMMYFUNCTION("""COMPUTED_VALUE"""),"CAMPBELLFORD")</f>
        <v>CAMPBELLFORD</v>
      </c>
      <c r="D6169" s="3" t="str">
        <f>IFERROR(__xludf.DUMMYFUNCTION("""COMPUTED_VALUE"""),"K0L 1L0")</f>
        <v>K0L 1L0</v>
      </c>
      <c r="E6169" s="3" t="str">
        <f>IFERROR(__xludf.DUMMYFUNCTION("""COMPUTED_VALUE"""),"Jason Ruthven")</f>
        <v>Jason Ruthven</v>
      </c>
      <c r="F6169" s="3" t="str">
        <f>IFERROR(__xludf.DUMMYFUNCTION("""COMPUTED_VALUE"""),"jasonruthven914@gmail.com")</f>
        <v>jasonruthven914@gmail.com</v>
      </c>
      <c r="G6169" s="3">
        <f>IFERROR(__xludf.DUMMYFUNCTION("""COMPUTED_VALUE"""),7.05734866E9)</f>
        <v>7057348660</v>
      </c>
      <c r="H6169" s="3"/>
    </row>
    <row r="6170">
      <c r="A6170" s="2">
        <f>IFERROR(__xludf.DUMMYFUNCTION("""COMPUTED_VALUE"""),63106.0)</f>
        <v>63106</v>
      </c>
      <c r="B6170" s="3" t="str">
        <f>IFERROR(__xludf.DUMMYFUNCTION("""COMPUTED_VALUE"""),"142 PUFF BALL INN RD  ")</f>
        <v>142 PUFF BALL INN RD  </v>
      </c>
      <c r="C6170" s="3" t="str">
        <f>IFERROR(__xludf.DUMMYFUNCTION("""COMPUTED_VALUE"""),"CAMPBELLFORD")</f>
        <v>CAMPBELLFORD</v>
      </c>
      <c r="D6170" s="3" t="str">
        <f>IFERROR(__xludf.DUMMYFUNCTION("""COMPUTED_VALUE"""),"K0L 1L0")</f>
        <v>K0L 1L0</v>
      </c>
      <c r="E6170" s="3" t="str">
        <f>IFERROR(__xludf.DUMMYFUNCTION("""COMPUTED_VALUE"""),"neil carrasco")</f>
        <v>neil carrasco</v>
      </c>
      <c r="F6170" s="3" t="str">
        <f>IFERROR(__xludf.DUMMYFUNCTION("""COMPUTED_VALUE"""),"neil.car@live.ca")</f>
        <v>neil.car@live.ca</v>
      </c>
      <c r="G6170" s="3">
        <f>IFERROR(__xludf.DUMMYFUNCTION("""COMPUTED_VALUE"""),9.054315054E9)</f>
        <v>9054315054</v>
      </c>
      <c r="H6170" s="3"/>
    </row>
    <row r="6171">
      <c r="A6171" s="2">
        <f>IFERROR(__xludf.DUMMYFUNCTION("""COMPUTED_VALUE"""),63107.0)</f>
        <v>63107</v>
      </c>
      <c r="B6171" s="3" t="str">
        <f>IFERROR(__xludf.DUMMYFUNCTION("""COMPUTED_VALUE"""),"148 PUFF BALL INN RD  ")</f>
        <v>148 PUFF BALL INN RD  </v>
      </c>
      <c r="C6171" s="3" t="str">
        <f>IFERROR(__xludf.DUMMYFUNCTION("""COMPUTED_VALUE"""),"CAMPBELLFORD")</f>
        <v>CAMPBELLFORD</v>
      </c>
      <c r="D6171" s="3" t="str">
        <f>IFERROR(__xludf.DUMMYFUNCTION("""COMPUTED_VALUE"""),"K0L 1L0")</f>
        <v>K0L 1L0</v>
      </c>
      <c r="E6171" s="3"/>
      <c r="F6171" s="3"/>
      <c r="G6171" s="3"/>
      <c r="H6171" s="3"/>
    </row>
    <row r="6172">
      <c r="A6172" s="2">
        <f>IFERROR(__xludf.DUMMYFUNCTION("""COMPUTED_VALUE"""),63108.0)</f>
        <v>63108</v>
      </c>
      <c r="B6172" s="3" t="str">
        <f>IFERROR(__xludf.DUMMYFUNCTION("""COMPUTED_VALUE"""),"156 PUFF BALL INN RD  ")</f>
        <v>156 PUFF BALL INN RD  </v>
      </c>
      <c r="C6172" s="3" t="str">
        <f>IFERROR(__xludf.DUMMYFUNCTION("""COMPUTED_VALUE"""),"CAMPBELLFORD")</f>
        <v>CAMPBELLFORD</v>
      </c>
      <c r="D6172" s="3" t="str">
        <f>IFERROR(__xludf.DUMMYFUNCTION("""COMPUTED_VALUE"""),"K0L 1L0")</f>
        <v>K0L 1L0</v>
      </c>
      <c r="E6172" s="3"/>
      <c r="F6172" s="3"/>
      <c r="G6172" s="3"/>
      <c r="H6172" s="3"/>
    </row>
    <row r="6173">
      <c r="A6173" s="2">
        <f>IFERROR(__xludf.DUMMYFUNCTION("""COMPUTED_VALUE"""),63109.0)</f>
        <v>63109</v>
      </c>
      <c r="B6173" s="3" t="str">
        <f>IFERROR(__xludf.DUMMYFUNCTION("""COMPUTED_VALUE"""),"162 PUFF BALL INN RD  ")</f>
        <v>162 PUFF BALL INN RD  </v>
      </c>
      <c r="C6173" s="3" t="str">
        <f>IFERROR(__xludf.DUMMYFUNCTION("""COMPUTED_VALUE"""),"CAMPBELLFORD")</f>
        <v>CAMPBELLFORD</v>
      </c>
      <c r="D6173" s="3" t="str">
        <f>IFERROR(__xludf.DUMMYFUNCTION("""COMPUTED_VALUE"""),"K0L 1L0")</f>
        <v>K0L 1L0</v>
      </c>
      <c r="E6173" s="3" t="str">
        <f>IFERROR(__xludf.DUMMYFUNCTION("""COMPUTED_VALUE"""),"Janice White")</f>
        <v>Janice White</v>
      </c>
      <c r="F6173" s="3" t="str">
        <f>IFERROR(__xludf.DUMMYFUNCTION("""COMPUTED_VALUE"""),"janice@emendo.ca")</f>
        <v>janice@emendo.ca</v>
      </c>
      <c r="G6173" s="3"/>
      <c r="H6173" s="3"/>
    </row>
    <row r="6174">
      <c r="A6174" s="2">
        <f>IFERROR(__xludf.DUMMYFUNCTION("""COMPUTED_VALUE"""),63110.0)</f>
        <v>63110</v>
      </c>
      <c r="B6174" s="3" t="str">
        <f>IFERROR(__xludf.DUMMYFUNCTION("""COMPUTED_VALUE"""),"166 PUFF BALL INN RD  ")</f>
        <v>166 PUFF BALL INN RD  </v>
      </c>
      <c r="C6174" s="3" t="str">
        <f>IFERROR(__xludf.DUMMYFUNCTION("""COMPUTED_VALUE"""),"CAMPBELLFORD")</f>
        <v>CAMPBELLFORD</v>
      </c>
      <c r="D6174" s="3" t="str">
        <f>IFERROR(__xludf.DUMMYFUNCTION("""COMPUTED_VALUE"""),"K0L 1L0")</f>
        <v>K0L 1L0</v>
      </c>
      <c r="E6174" s="3"/>
      <c r="F6174" s="3"/>
      <c r="G6174" s="3"/>
      <c r="H6174" s="3"/>
    </row>
    <row r="6175">
      <c r="A6175" s="2">
        <f>IFERROR(__xludf.DUMMYFUNCTION("""COMPUTED_VALUE"""),63111.0)</f>
        <v>63111</v>
      </c>
      <c r="B6175" s="3" t="str">
        <f>IFERROR(__xludf.DUMMYFUNCTION("""COMPUTED_VALUE"""),"168 PUFF BALL INN RD  ")</f>
        <v>168 PUFF BALL INN RD  </v>
      </c>
      <c r="C6175" s="3" t="str">
        <f>IFERROR(__xludf.DUMMYFUNCTION("""COMPUTED_VALUE"""),"CAMPBELLFORD")</f>
        <v>CAMPBELLFORD</v>
      </c>
      <c r="D6175" s="3" t="str">
        <f>IFERROR(__xludf.DUMMYFUNCTION("""COMPUTED_VALUE"""),"K0L 1L0")</f>
        <v>K0L 1L0</v>
      </c>
      <c r="E6175" s="3" t="str">
        <f>IFERROR(__xludf.DUMMYFUNCTION("""COMPUTED_VALUE"""),"laszlo darcsi")</f>
        <v>laszlo darcsi</v>
      </c>
      <c r="F6175" s="3" t="str">
        <f>IFERROR(__xludf.DUMMYFUNCTION("""COMPUTED_VALUE"""),"uldariadarsi@yahoo.ca")</f>
        <v>uldariadarsi@yahoo.ca</v>
      </c>
      <c r="G6175" s="3">
        <f>IFERROR(__xludf.DUMMYFUNCTION("""COMPUTED_VALUE"""),4.164551373E9)</f>
        <v>4164551373</v>
      </c>
      <c r="H6175" s="3">
        <f>IFERROR(__xludf.DUMMYFUNCTION("""COMPUTED_VALUE"""),6.479703715E9)</f>
        <v>6479703715</v>
      </c>
    </row>
    <row r="6176">
      <c r="A6176" s="2">
        <f>IFERROR(__xludf.DUMMYFUNCTION("""COMPUTED_VALUE"""),63112.0)</f>
        <v>63112</v>
      </c>
      <c r="B6176" s="3" t="str">
        <f>IFERROR(__xludf.DUMMYFUNCTION("""COMPUTED_VALUE"""),"172 PUFF BALL INN RD  ")</f>
        <v>172 PUFF BALL INN RD  </v>
      </c>
      <c r="C6176" s="3" t="str">
        <f>IFERROR(__xludf.DUMMYFUNCTION("""COMPUTED_VALUE"""),"CAMPBELLFORD")</f>
        <v>CAMPBELLFORD</v>
      </c>
      <c r="D6176" s="3" t="str">
        <f>IFERROR(__xludf.DUMMYFUNCTION("""COMPUTED_VALUE"""),"K0L 1L0")</f>
        <v>K0L 1L0</v>
      </c>
      <c r="E6176" s="3" t="str">
        <f>IFERROR(__xludf.DUMMYFUNCTION("""COMPUTED_VALUE"""),"patricia gray")</f>
        <v>patricia gray</v>
      </c>
      <c r="F6176" s="3" t="str">
        <f>IFERROR(__xludf.DUMMYFUNCTION("""COMPUTED_VALUE"""),"gray.patsy@gmail.com")</f>
        <v>gray.patsy@gmail.com</v>
      </c>
      <c r="G6176" s="3">
        <f>IFERROR(__xludf.DUMMYFUNCTION("""COMPUTED_VALUE"""),4.16819566E9)</f>
        <v>4168195660</v>
      </c>
      <c r="H6176" s="3"/>
    </row>
    <row r="6177">
      <c r="A6177" s="2">
        <f>IFERROR(__xludf.DUMMYFUNCTION("""COMPUTED_VALUE"""),63113.0)</f>
        <v>63113</v>
      </c>
      <c r="B6177" s="3" t="str">
        <f>IFERROR(__xludf.DUMMYFUNCTION("""COMPUTED_VALUE"""),"176 PUFF BALL INN RD  ")</f>
        <v>176 PUFF BALL INN RD  </v>
      </c>
      <c r="C6177" s="3" t="str">
        <f>IFERROR(__xludf.DUMMYFUNCTION("""COMPUTED_VALUE"""),"CAMPBELLFORD")</f>
        <v>CAMPBELLFORD</v>
      </c>
      <c r="D6177" s="3" t="str">
        <f>IFERROR(__xludf.DUMMYFUNCTION("""COMPUTED_VALUE"""),"K0L 1L0")</f>
        <v>K0L 1L0</v>
      </c>
      <c r="E6177" s="3"/>
      <c r="F6177" s="3"/>
      <c r="G6177" s="3"/>
      <c r="H6177" s="3"/>
    </row>
    <row r="6178">
      <c r="A6178" s="2">
        <f>IFERROR(__xludf.DUMMYFUNCTION("""COMPUTED_VALUE"""),63114.0)</f>
        <v>63114</v>
      </c>
      <c r="B6178" s="3" t="str">
        <f>IFERROR(__xludf.DUMMYFUNCTION("""COMPUTED_VALUE"""),"182 PUFF BALL INN RD  ")</f>
        <v>182 PUFF BALL INN RD  </v>
      </c>
      <c r="C6178" s="3" t="str">
        <f>IFERROR(__xludf.DUMMYFUNCTION("""COMPUTED_VALUE"""),"CAMPBELLFORD")</f>
        <v>CAMPBELLFORD</v>
      </c>
      <c r="D6178" s="3" t="str">
        <f>IFERROR(__xludf.DUMMYFUNCTION("""COMPUTED_VALUE"""),"K0L 1L0")</f>
        <v>K0L 1L0</v>
      </c>
      <c r="E6178" s="3"/>
      <c r="F6178" s="3"/>
      <c r="G6178" s="3"/>
      <c r="H6178" s="3"/>
    </row>
    <row r="6179">
      <c r="A6179" s="2">
        <f>IFERROR(__xludf.DUMMYFUNCTION("""COMPUTED_VALUE"""),63115.0)</f>
        <v>63115</v>
      </c>
      <c r="B6179" s="3" t="str">
        <f>IFERROR(__xludf.DUMMYFUNCTION("""COMPUTED_VALUE"""),"192 PUFF BALL INN RD  ")</f>
        <v>192 PUFF BALL INN RD  </v>
      </c>
      <c r="C6179" s="3" t="str">
        <f>IFERROR(__xludf.DUMMYFUNCTION("""COMPUTED_VALUE"""),"CAMPBELLFORD")</f>
        <v>CAMPBELLFORD</v>
      </c>
      <c r="D6179" s="3" t="str">
        <f>IFERROR(__xludf.DUMMYFUNCTION("""COMPUTED_VALUE"""),"K0L 1L0")</f>
        <v>K0L 1L0</v>
      </c>
      <c r="E6179" s="3"/>
      <c r="F6179" s="3"/>
      <c r="G6179" s="3"/>
      <c r="H6179" s="3"/>
    </row>
    <row r="6180">
      <c r="A6180" s="2">
        <f>IFERROR(__xludf.DUMMYFUNCTION("""COMPUTED_VALUE"""),63116.0)</f>
        <v>63116</v>
      </c>
      <c r="B6180" s="3" t="str">
        <f>IFERROR(__xludf.DUMMYFUNCTION("""COMPUTED_VALUE"""),"194 PUFF BALL INN RD  ")</f>
        <v>194 PUFF BALL INN RD  </v>
      </c>
      <c r="C6180" s="3" t="str">
        <f>IFERROR(__xludf.DUMMYFUNCTION("""COMPUTED_VALUE"""),"CAMPBELLFORD")</f>
        <v>CAMPBELLFORD</v>
      </c>
      <c r="D6180" s="3" t="str">
        <f>IFERROR(__xludf.DUMMYFUNCTION("""COMPUTED_VALUE"""),"K0L 1L0")</f>
        <v>K0L 1L0</v>
      </c>
      <c r="E6180" s="3" t="str">
        <f>IFERROR(__xludf.DUMMYFUNCTION("""COMPUTED_VALUE"""),"charles simpson ")</f>
        <v>charles simpson </v>
      </c>
      <c r="F6180" s="3" t="str">
        <f>IFERROR(__xludf.DUMMYFUNCTION("""COMPUTED_VALUE"""),"seymourc555@gmail.com")</f>
        <v>seymourc555@gmail.com</v>
      </c>
      <c r="G6180" s="3">
        <f>IFERROR(__xludf.DUMMYFUNCTION("""COMPUTED_VALUE"""),9.054413745E9)</f>
        <v>9054413745</v>
      </c>
      <c r="H6180" s="3"/>
    </row>
    <row r="6181">
      <c r="A6181" s="2">
        <f>IFERROR(__xludf.DUMMYFUNCTION("""COMPUTED_VALUE"""),63117.0)</f>
        <v>63117</v>
      </c>
      <c r="B6181" s="3" t="str">
        <f>IFERROR(__xludf.DUMMYFUNCTION("""COMPUTED_VALUE"""),"200 PUFF BALL INN RD  ")</f>
        <v>200 PUFF BALL INN RD  </v>
      </c>
      <c r="C6181" s="3" t="str">
        <f>IFERROR(__xludf.DUMMYFUNCTION("""COMPUTED_VALUE"""),"CAMPBELLFORD")</f>
        <v>CAMPBELLFORD</v>
      </c>
      <c r="D6181" s="3" t="str">
        <f>IFERROR(__xludf.DUMMYFUNCTION("""COMPUTED_VALUE"""),"K0L 1L0")</f>
        <v>K0L 1L0</v>
      </c>
      <c r="E6181" s="3" t="str">
        <f>IFERROR(__xludf.DUMMYFUNCTION("""COMPUTED_VALUE"""),"cheryl and brian ")</f>
        <v>cheryl and brian </v>
      </c>
      <c r="F6181" s="3" t="str">
        <f>IFERROR(__xludf.DUMMYFUNCTION("""COMPUTED_VALUE"""),"cherylabergin@gmail.com")</f>
        <v>cherylabergin@gmail.com</v>
      </c>
      <c r="G6181" s="3">
        <f>IFERROR(__xludf.DUMMYFUNCTION("""COMPUTED_VALUE"""),7.056533285E9)</f>
        <v>7056533285</v>
      </c>
      <c r="H6181" s="3">
        <f>IFERROR(__xludf.DUMMYFUNCTION("""COMPUTED_VALUE"""),4.16846129E9)</f>
        <v>4168461290</v>
      </c>
    </row>
    <row r="6182">
      <c r="A6182" s="2">
        <f>IFERROR(__xludf.DUMMYFUNCTION("""COMPUTED_VALUE"""),63118.0)</f>
        <v>63118</v>
      </c>
      <c r="B6182" s="3" t="str">
        <f>IFERROR(__xludf.DUMMYFUNCTION("""COMPUTED_VALUE"""),"204 PUFF BALL INN RD  ")</f>
        <v>204 PUFF BALL INN RD  </v>
      </c>
      <c r="C6182" s="3" t="str">
        <f>IFERROR(__xludf.DUMMYFUNCTION("""COMPUTED_VALUE"""),"CAMPBELLFORD")</f>
        <v>CAMPBELLFORD</v>
      </c>
      <c r="D6182" s="3" t="str">
        <f>IFERROR(__xludf.DUMMYFUNCTION("""COMPUTED_VALUE"""),"K0L 1L0")</f>
        <v>K0L 1L0</v>
      </c>
      <c r="E6182" s="3"/>
      <c r="F6182" s="3"/>
      <c r="G6182" s="3"/>
      <c r="H6182" s="3"/>
    </row>
    <row r="6183">
      <c r="A6183" s="2">
        <f>IFERROR(__xludf.DUMMYFUNCTION("""COMPUTED_VALUE"""),63119.0)</f>
        <v>63119</v>
      </c>
      <c r="B6183" s="3" t="str">
        <f>IFERROR(__xludf.DUMMYFUNCTION("""COMPUTED_VALUE"""),"208 PUFF BALL INN RD  ")</f>
        <v>208 PUFF BALL INN RD  </v>
      </c>
      <c r="C6183" s="3" t="str">
        <f>IFERROR(__xludf.DUMMYFUNCTION("""COMPUTED_VALUE"""),"CAMPBELLFORD")</f>
        <v>CAMPBELLFORD</v>
      </c>
      <c r="D6183" s="3" t="str">
        <f>IFERROR(__xludf.DUMMYFUNCTION("""COMPUTED_VALUE"""),"K0L 1L0")</f>
        <v>K0L 1L0</v>
      </c>
      <c r="E6183" s="3"/>
      <c r="F6183" s="3"/>
      <c r="G6183" s="3"/>
      <c r="H6183" s="3"/>
    </row>
    <row r="6184">
      <c r="A6184" s="2">
        <f>IFERROR(__xludf.DUMMYFUNCTION("""COMPUTED_VALUE"""),63120.0)</f>
        <v>63120</v>
      </c>
      <c r="B6184" s="3" t="str">
        <f>IFERROR(__xludf.DUMMYFUNCTION("""COMPUTED_VALUE"""),"214 PUFF BALL INN RD  ")</f>
        <v>214 PUFF BALL INN RD  </v>
      </c>
      <c r="C6184" s="3" t="str">
        <f>IFERROR(__xludf.DUMMYFUNCTION("""COMPUTED_VALUE"""),"CAMPBELLFORD")</f>
        <v>CAMPBELLFORD</v>
      </c>
      <c r="D6184" s="3" t="str">
        <f>IFERROR(__xludf.DUMMYFUNCTION("""COMPUTED_VALUE"""),"K0L 1L0")</f>
        <v>K0L 1L0</v>
      </c>
      <c r="E6184" s="3" t="str">
        <f>IFERROR(__xludf.DUMMYFUNCTION("""COMPUTED_VALUE"""),"Mike McPhee")</f>
        <v>Mike McPhee</v>
      </c>
      <c r="F6184" s="3"/>
      <c r="G6184" s="3"/>
      <c r="H6184" s="3"/>
    </row>
    <row r="6185">
      <c r="A6185" s="2">
        <f>IFERROR(__xludf.DUMMYFUNCTION("""COMPUTED_VALUE"""),63121.0)</f>
        <v>63121</v>
      </c>
      <c r="B6185" s="3" t="str">
        <f>IFERROR(__xludf.DUMMYFUNCTION("""COMPUTED_VALUE"""),"218 PUFF BALL INN RD  ")</f>
        <v>218 PUFF BALL INN RD  </v>
      </c>
      <c r="C6185" s="3" t="str">
        <f>IFERROR(__xludf.DUMMYFUNCTION("""COMPUTED_VALUE"""),"CAMPBELLFORD")</f>
        <v>CAMPBELLFORD</v>
      </c>
      <c r="D6185" s="3" t="str">
        <f>IFERROR(__xludf.DUMMYFUNCTION("""COMPUTED_VALUE"""),"K0L 1L0")</f>
        <v>K0L 1L0</v>
      </c>
      <c r="E6185" s="3" t="str">
        <f>IFERROR(__xludf.DUMMYFUNCTION("""COMPUTED_VALUE"""),"susanne mckay ")</f>
        <v>susanne mckay </v>
      </c>
      <c r="F6185" s="3" t="str">
        <f>IFERROR(__xludf.DUMMYFUNCTION("""COMPUTED_VALUE"""),"germandogger@hotmail.com")</f>
        <v>germandogger@hotmail.com</v>
      </c>
      <c r="G6185" s="3">
        <f>IFERROR(__xludf.DUMMYFUNCTION("""COMPUTED_VALUE"""),4.167211013E9)</f>
        <v>4167211013</v>
      </c>
      <c r="H6185" s="3"/>
    </row>
    <row r="6186">
      <c r="A6186" s="2">
        <f>IFERROR(__xludf.DUMMYFUNCTION("""COMPUTED_VALUE"""),63122.0)</f>
        <v>63122</v>
      </c>
      <c r="B6186" s="3" t="str">
        <f>IFERROR(__xludf.DUMMYFUNCTION("""COMPUTED_VALUE"""),"222 PUFF BALL INN RD  ")</f>
        <v>222 PUFF BALL INN RD  </v>
      </c>
      <c r="C6186" s="3" t="str">
        <f>IFERROR(__xludf.DUMMYFUNCTION("""COMPUTED_VALUE"""),"CAMPBELLFORD")</f>
        <v>CAMPBELLFORD</v>
      </c>
      <c r="D6186" s="3" t="str">
        <f>IFERROR(__xludf.DUMMYFUNCTION("""COMPUTED_VALUE"""),"K0L 1L0")</f>
        <v>K0L 1L0</v>
      </c>
      <c r="E6186" s="3" t="str">
        <f>IFERROR(__xludf.DUMMYFUNCTION("""COMPUTED_VALUE"""),"Mario Galati")</f>
        <v>Mario Galati</v>
      </c>
      <c r="F6186" s="3" t="str">
        <f>IFERROR(__xludf.DUMMYFUNCTION("""COMPUTED_VALUE"""),"adirondack1@live.ca")</f>
        <v>adirondack1@live.ca</v>
      </c>
      <c r="G6186" s="3"/>
      <c r="H6186" s="3"/>
    </row>
    <row r="6187">
      <c r="A6187" s="2">
        <f>IFERROR(__xludf.DUMMYFUNCTION("""COMPUTED_VALUE"""),63123.0)</f>
        <v>63123</v>
      </c>
      <c r="B6187" s="3" t="str">
        <f>IFERROR(__xludf.DUMMYFUNCTION("""COMPUTED_VALUE"""),"226 PUFF BALL INN RD  ")</f>
        <v>226 PUFF BALL INN RD  </v>
      </c>
      <c r="C6187" s="3" t="str">
        <f>IFERROR(__xludf.DUMMYFUNCTION("""COMPUTED_VALUE"""),"CAMPBELLFORD")</f>
        <v>CAMPBELLFORD</v>
      </c>
      <c r="D6187" s="3" t="str">
        <f>IFERROR(__xludf.DUMMYFUNCTION("""COMPUTED_VALUE"""),"K0L 1L0")</f>
        <v>K0L 1L0</v>
      </c>
      <c r="E6187" s="3"/>
      <c r="F6187" s="3"/>
      <c r="G6187" s="3"/>
      <c r="H6187" s="3"/>
    </row>
    <row r="6188">
      <c r="A6188" s="2">
        <f>IFERROR(__xludf.DUMMYFUNCTION("""COMPUTED_VALUE"""),63124.0)</f>
        <v>63124</v>
      </c>
      <c r="B6188" s="3" t="str">
        <f>IFERROR(__xludf.DUMMYFUNCTION("""COMPUTED_VALUE"""),"240 PUFF BALL INN RD  ")</f>
        <v>240 PUFF BALL INN RD  </v>
      </c>
      <c r="C6188" s="3" t="str">
        <f>IFERROR(__xludf.DUMMYFUNCTION("""COMPUTED_VALUE"""),"CAMPBELLFORD")</f>
        <v>CAMPBELLFORD</v>
      </c>
      <c r="D6188" s="3" t="str">
        <f>IFERROR(__xludf.DUMMYFUNCTION("""COMPUTED_VALUE"""),"K0L 1L0")</f>
        <v>K0L 1L0</v>
      </c>
      <c r="E6188" s="3" t="str">
        <f>IFERROR(__xludf.DUMMYFUNCTION("""COMPUTED_VALUE"""),"tim and dianne chennetle")</f>
        <v>tim and dianne chennetle</v>
      </c>
      <c r="F6188" s="3" t="str">
        <f>IFERROR(__xludf.DUMMYFUNCTION("""COMPUTED_VALUE"""),"tim.chennetle@icloud.com")</f>
        <v>tim.chennetle@icloud.com</v>
      </c>
      <c r="G6188" s="3"/>
      <c r="H6188" s="3"/>
    </row>
    <row r="6189">
      <c r="A6189" s="2">
        <f>IFERROR(__xludf.DUMMYFUNCTION("""COMPUTED_VALUE"""),63125.0)</f>
        <v>63125</v>
      </c>
      <c r="B6189" s="3" t="str">
        <f>IFERROR(__xludf.DUMMYFUNCTION("""COMPUTED_VALUE"""),"65A PUFF BALL INN RD  ")</f>
        <v>65A PUFF BALL INN RD  </v>
      </c>
      <c r="C6189" s="3" t="str">
        <f>IFERROR(__xludf.DUMMYFUNCTION("""COMPUTED_VALUE"""),"CAMPBELLFORD")</f>
        <v>CAMPBELLFORD</v>
      </c>
      <c r="D6189" s="3" t="str">
        <f>IFERROR(__xludf.DUMMYFUNCTION("""COMPUTED_VALUE"""),"K0L 1L0")</f>
        <v>K0L 1L0</v>
      </c>
      <c r="E6189" s="3"/>
      <c r="F6189" s="3"/>
      <c r="G6189" s="3"/>
      <c r="H6189" s="3"/>
    </row>
    <row r="6190">
      <c r="A6190" s="2">
        <f>IFERROR(__xludf.DUMMYFUNCTION("""COMPUTED_VALUE"""),62712.0)</f>
        <v>62712</v>
      </c>
      <c r="B6190" s="3" t="str">
        <f>IFERROR(__xludf.DUMMYFUNCTION("""COMPUTED_VALUE"""),"232 NAPPAN ISLAND RD  ")</f>
        <v>232 NAPPAN ISLAND RD  </v>
      </c>
      <c r="C6190" s="3" t="str">
        <f>IFERROR(__xludf.DUMMYFUNCTION("""COMPUTED_VALUE"""),"CAMPBELLFORD")</f>
        <v>CAMPBELLFORD</v>
      </c>
      <c r="D6190" s="3" t="str">
        <f>IFERROR(__xludf.DUMMYFUNCTION("""COMPUTED_VALUE"""),"K0L 1L0")</f>
        <v>K0L 1L0</v>
      </c>
      <c r="E6190" s="3" t="str">
        <f>IFERROR(__xludf.DUMMYFUNCTION("""COMPUTED_VALUE"""),"Petronella Tenhaaf")</f>
        <v>Petronella Tenhaaf</v>
      </c>
      <c r="F6190" s="3" t="str">
        <f>IFERROR(__xludf.DUMMYFUNCTION("""COMPUTED_VALUE"""),"tenhaaf@yorku.ca")</f>
        <v>tenhaaf@yorku.ca</v>
      </c>
      <c r="G6190" s="3"/>
      <c r="H6190" s="3"/>
    </row>
    <row r="6191">
      <c r="A6191" s="2">
        <f>IFERROR(__xludf.DUMMYFUNCTION("""COMPUTED_VALUE"""),63098.0)</f>
        <v>63098</v>
      </c>
      <c r="B6191" s="3" t="str">
        <f>IFERROR(__xludf.DUMMYFUNCTION("""COMPUTED_VALUE"""),"65 PUFF BALL INN RD  ")</f>
        <v>65 PUFF BALL INN RD  </v>
      </c>
      <c r="C6191" s="3" t="str">
        <f>IFERROR(__xludf.DUMMYFUNCTION("""COMPUTED_VALUE"""),"CAMPBELLFORD")</f>
        <v>CAMPBELLFORD</v>
      </c>
      <c r="D6191" s="3" t="str">
        <f>IFERROR(__xludf.DUMMYFUNCTION("""COMPUTED_VALUE"""),"K0L 1L0")</f>
        <v>K0L 1L0</v>
      </c>
      <c r="E6191" s="3" t="str">
        <f>IFERROR(__xludf.DUMMYFUNCTION("""COMPUTED_VALUE"""),"Steve Sun")</f>
        <v>Steve Sun</v>
      </c>
      <c r="F6191" s="3" t="str">
        <f>IFERROR(__xludf.DUMMYFUNCTION("""COMPUTED_VALUE"""),"stephensun.job@gmail.com")</f>
        <v>stephensun.job@gmail.com</v>
      </c>
      <c r="G6191" s="3"/>
      <c r="H6191" s="3"/>
    </row>
    <row r="6192">
      <c r="A6192" s="2">
        <f>IFERROR(__xludf.DUMMYFUNCTION("""COMPUTED_VALUE"""),63372.0)</f>
        <v>63372</v>
      </c>
      <c r="B6192" s="3" t="str">
        <f>IFERROR(__xludf.DUMMYFUNCTION("""COMPUTED_VALUE"""),"284 SOUTH SHORES RD  ")</f>
        <v>284 SOUTH SHORES RD  </v>
      </c>
      <c r="C6192" s="3" t="str">
        <f>IFERROR(__xludf.DUMMYFUNCTION("""COMPUTED_VALUE"""),"CAMPBELLFORD")</f>
        <v>CAMPBELLFORD</v>
      </c>
      <c r="D6192" s="3" t="str">
        <f>IFERROR(__xludf.DUMMYFUNCTION("""COMPUTED_VALUE"""),"K0L 1L0")</f>
        <v>K0L 1L0</v>
      </c>
      <c r="E6192" s="3" t="str">
        <f>IFERROR(__xludf.DUMMYFUNCTION("""COMPUTED_VALUE"""),"Richard Henderson")</f>
        <v>Richard Henderson</v>
      </c>
      <c r="F6192" s="3" t="str">
        <f>IFERROR(__xludf.DUMMYFUNCTION("""COMPUTED_VALUE"""),"cchendersonwelding@hotmail.com")</f>
        <v>cchendersonwelding@hotmail.com</v>
      </c>
      <c r="G6192" s="3">
        <f>IFERROR(__xludf.DUMMYFUNCTION("""COMPUTED_VALUE"""),7.056536163E9)</f>
        <v>7056536163</v>
      </c>
      <c r="H6192" s="3"/>
    </row>
    <row r="6193">
      <c r="A6193" s="2">
        <f>IFERROR(__xludf.DUMMYFUNCTION("""COMPUTED_VALUE"""),63373.0)</f>
        <v>63373</v>
      </c>
      <c r="B6193" s="3" t="str">
        <f>IFERROR(__xludf.DUMMYFUNCTION("""COMPUTED_VALUE"""),"298 SOUTH SHORES RD  ")</f>
        <v>298 SOUTH SHORES RD  </v>
      </c>
      <c r="C6193" s="3" t="str">
        <f>IFERROR(__xludf.DUMMYFUNCTION("""COMPUTED_VALUE"""),"CAMPBELLFORD")</f>
        <v>CAMPBELLFORD</v>
      </c>
      <c r="D6193" s="3" t="str">
        <f>IFERROR(__xludf.DUMMYFUNCTION("""COMPUTED_VALUE"""),"K0L 1L0")</f>
        <v>K0L 1L0</v>
      </c>
      <c r="E6193" s="3" t="str">
        <f>IFERROR(__xludf.DUMMYFUNCTION("""COMPUTED_VALUE"""),"jane shea ")</f>
        <v>jane shea </v>
      </c>
      <c r="F6193" s="3" t="str">
        <f>IFERROR(__xludf.DUMMYFUNCTION("""COMPUTED_VALUE"""),"sheadepby03@gmaill.com")</f>
        <v>sheadepby03@gmaill.com</v>
      </c>
      <c r="G6193" s="3">
        <f>IFERROR(__xludf.DUMMYFUNCTION("""COMPUTED_VALUE"""),7.056329702E9)</f>
        <v>7056329702</v>
      </c>
      <c r="H6193" s="3"/>
    </row>
    <row r="6194">
      <c r="A6194" s="2">
        <f>IFERROR(__xludf.DUMMYFUNCTION("""COMPUTED_VALUE"""),63374.0)</f>
        <v>63374</v>
      </c>
      <c r="B6194" s="3" t="str">
        <f>IFERROR(__xludf.DUMMYFUNCTION("""COMPUTED_VALUE"""),"304 SOUTH SHORES RD  ")</f>
        <v>304 SOUTH SHORES RD  </v>
      </c>
      <c r="C6194" s="3" t="str">
        <f>IFERROR(__xludf.DUMMYFUNCTION("""COMPUTED_VALUE"""),"CAMPBELLFORD")</f>
        <v>CAMPBELLFORD</v>
      </c>
      <c r="D6194" s="3" t="str">
        <f>IFERROR(__xludf.DUMMYFUNCTION("""COMPUTED_VALUE"""),"K0L 1L0")</f>
        <v>K0L 1L0</v>
      </c>
      <c r="E6194" s="3"/>
      <c r="F6194" s="3"/>
      <c r="G6194" s="3"/>
      <c r="H6194" s="3"/>
    </row>
    <row r="6195">
      <c r="A6195" s="2">
        <f>IFERROR(__xludf.DUMMYFUNCTION("""COMPUTED_VALUE"""),63375.0)</f>
        <v>63375</v>
      </c>
      <c r="B6195" s="3" t="str">
        <f>IFERROR(__xludf.DUMMYFUNCTION("""COMPUTED_VALUE"""),"310 SOUTH SHORES RD  ")</f>
        <v>310 SOUTH SHORES RD  </v>
      </c>
      <c r="C6195" s="3" t="str">
        <f>IFERROR(__xludf.DUMMYFUNCTION("""COMPUTED_VALUE"""),"CAMPBELLFORD")</f>
        <v>CAMPBELLFORD</v>
      </c>
      <c r="D6195" s="3" t="str">
        <f>IFERROR(__xludf.DUMMYFUNCTION("""COMPUTED_VALUE"""),"K0L 1L0")</f>
        <v>K0L 1L0</v>
      </c>
      <c r="E6195" s="3"/>
      <c r="F6195" s="3"/>
      <c r="G6195" s="3"/>
      <c r="H6195" s="3"/>
    </row>
    <row r="6196">
      <c r="A6196" s="2">
        <f>IFERROR(__xludf.DUMMYFUNCTION("""COMPUTED_VALUE"""),63376.0)</f>
        <v>63376</v>
      </c>
      <c r="B6196" s="3" t="str">
        <f>IFERROR(__xludf.DUMMYFUNCTION("""COMPUTED_VALUE"""),"318 SOUTH SHORES RD  ")</f>
        <v>318 SOUTH SHORES RD  </v>
      </c>
      <c r="C6196" s="3" t="str">
        <f>IFERROR(__xludf.DUMMYFUNCTION("""COMPUTED_VALUE"""),"CAMPBELLFORD")</f>
        <v>CAMPBELLFORD</v>
      </c>
      <c r="D6196" s="3" t="str">
        <f>IFERROR(__xludf.DUMMYFUNCTION("""COMPUTED_VALUE"""),"K0L 1L0")</f>
        <v>K0L 1L0</v>
      </c>
      <c r="E6196" s="3" t="str">
        <f>IFERROR(__xludf.DUMMYFUNCTION("""COMPUTED_VALUE"""),"dale chrysler ")</f>
        <v>dale chrysler </v>
      </c>
      <c r="F6196" s="3" t="str">
        <f>IFERROR(__xludf.DUMMYFUNCTION("""COMPUTED_VALUE"""),"wendy-chrysler@hotmail..com")</f>
        <v>wendy-chrysler@hotmail..com</v>
      </c>
      <c r="G6196" s="3">
        <f>IFERROR(__xludf.DUMMYFUNCTION("""COMPUTED_VALUE"""),7.057684106E9)</f>
        <v>7057684106</v>
      </c>
      <c r="H6196" s="3">
        <f>IFERROR(__xludf.DUMMYFUNCTION("""COMPUTED_VALUE"""),7.057618536E9)</f>
        <v>7057618536</v>
      </c>
    </row>
    <row r="6197">
      <c r="A6197" s="2">
        <f>IFERROR(__xludf.DUMMYFUNCTION("""COMPUTED_VALUE"""),63377.0)</f>
        <v>63377</v>
      </c>
      <c r="B6197" s="3" t="str">
        <f>IFERROR(__xludf.DUMMYFUNCTION("""COMPUTED_VALUE"""),"320 SOUTH SHORES RD  ")</f>
        <v>320 SOUTH SHORES RD  </v>
      </c>
      <c r="C6197" s="3" t="str">
        <f>IFERROR(__xludf.DUMMYFUNCTION("""COMPUTED_VALUE"""),"CAMPBELLFORD")</f>
        <v>CAMPBELLFORD</v>
      </c>
      <c r="D6197" s="3" t="str">
        <f>IFERROR(__xludf.DUMMYFUNCTION("""COMPUTED_VALUE"""),"K0L 1L0")</f>
        <v>K0L 1L0</v>
      </c>
      <c r="E6197" s="3" t="str">
        <f>IFERROR(__xludf.DUMMYFUNCTION("""COMPUTED_VALUE"""),"tom machearn ")</f>
        <v>tom machearn </v>
      </c>
      <c r="F6197" s="3"/>
      <c r="G6197" s="3"/>
      <c r="H6197" s="3"/>
    </row>
    <row r="6198">
      <c r="A6198" s="2">
        <f>IFERROR(__xludf.DUMMYFUNCTION("""COMPUTED_VALUE"""),63378.0)</f>
        <v>63378</v>
      </c>
      <c r="B6198" s="3" t="str">
        <f>IFERROR(__xludf.DUMMYFUNCTION("""COMPUTED_VALUE"""),"322 SOUTH SHORES RD  ")</f>
        <v>322 SOUTH SHORES RD  </v>
      </c>
      <c r="C6198" s="3" t="str">
        <f>IFERROR(__xludf.DUMMYFUNCTION("""COMPUTED_VALUE"""),"CAMPBELLFORD")</f>
        <v>CAMPBELLFORD</v>
      </c>
      <c r="D6198" s="3" t="str">
        <f>IFERROR(__xludf.DUMMYFUNCTION("""COMPUTED_VALUE"""),"K0L 1L0")</f>
        <v>K0L 1L0</v>
      </c>
      <c r="E6198" s="3"/>
      <c r="F6198" s="3"/>
      <c r="G6198" s="3"/>
      <c r="H6198" s="3"/>
    </row>
    <row r="6199">
      <c r="A6199" s="2">
        <f>IFERROR(__xludf.DUMMYFUNCTION("""COMPUTED_VALUE"""),63379.0)</f>
        <v>63379</v>
      </c>
      <c r="B6199" s="3" t="str">
        <f>IFERROR(__xludf.DUMMYFUNCTION("""COMPUTED_VALUE"""),"332 SOUTH SHORES RD  ")</f>
        <v>332 SOUTH SHORES RD  </v>
      </c>
      <c r="C6199" s="3" t="str">
        <f>IFERROR(__xludf.DUMMYFUNCTION("""COMPUTED_VALUE"""),"CAMPBELLFORD")</f>
        <v>CAMPBELLFORD</v>
      </c>
      <c r="D6199" s="3" t="str">
        <f>IFERROR(__xludf.DUMMYFUNCTION("""COMPUTED_VALUE"""),"K0L 1L0")</f>
        <v>K0L 1L0</v>
      </c>
      <c r="E6199" s="3"/>
      <c r="F6199" s="3"/>
      <c r="G6199" s="3"/>
      <c r="H6199" s="3"/>
    </row>
    <row r="6200">
      <c r="A6200" s="2">
        <f>IFERROR(__xludf.DUMMYFUNCTION("""COMPUTED_VALUE"""),63380.0)</f>
        <v>63380</v>
      </c>
      <c r="B6200" s="3" t="str">
        <f>IFERROR(__xludf.DUMMYFUNCTION("""COMPUTED_VALUE"""),"338 SOUTH SHORES RD  ")</f>
        <v>338 SOUTH SHORES RD  </v>
      </c>
      <c r="C6200" s="3" t="str">
        <f>IFERROR(__xludf.DUMMYFUNCTION("""COMPUTED_VALUE"""),"CAMPBELLFORD")</f>
        <v>CAMPBELLFORD</v>
      </c>
      <c r="D6200" s="3" t="str">
        <f>IFERROR(__xludf.DUMMYFUNCTION("""COMPUTED_VALUE"""),"K0L 1L0")</f>
        <v>K0L 1L0</v>
      </c>
      <c r="E6200" s="3" t="str">
        <f>IFERROR(__xludf.DUMMYFUNCTION("""COMPUTED_VALUE"""),"JOSEPH NUNES")</f>
        <v>JOSEPH NUNES</v>
      </c>
      <c r="F6200" s="3" t="str">
        <f>IFERROR(__xludf.DUMMYFUNCTION("""COMPUTED_VALUE"""),"joe@nunesfamily.ca")</f>
        <v>joe@nunesfamily.ca</v>
      </c>
      <c r="G6200" s="3">
        <f>IFERROR(__xludf.DUMMYFUNCTION("""COMPUTED_VALUE"""),6.47643004E9)</f>
        <v>6476430040</v>
      </c>
      <c r="H6200" s="3"/>
    </row>
    <row r="6201">
      <c r="A6201" s="2">
        <f>IFERROR(__xludf.DUMMYFUNCTION("""COMPUTED_VALUE"""),63381.0)</f>
        <v>63381</v>
      </c>
      <c r="B6201" s="3" t="str">
        <f>IFERROR(__xludf.DUMMYFUNCTION("""COMPUTED_VALUE"""),"346 SOUTH SHORES RD  ")</f>
        <v>346 SOUTH SHORES RD  </v>
      </c>
      <c r="C6201" s="3" t="str">
        <f>IFERROR(__xludf.DUMMYFUNCTION("""COMPUTED_VALUE"""),"CAMPBELLFORD")</f>
        <v>CAMPBELLFORD</v>
      </c>
      <c r="D6201" s="3" t="str">
        <f>IFERROR(__xludf.DUMMYFUNCTION("""COMPUTED_VALUE"""),"K0L 1L0")</f>
        <v>K0L 1L0</v>
      </c>
      <c r="E6201" s="3" t="str">
        <f>IFERROR(__xludf.DUMMYFUNCTION("""COMPUTED_VALUE"""),"marlene cottrell-irvine")</f>
        <v>marlene cottrell-irvine</v>
      </c>
      <c r="F6201" s="3" t="str">
        <f>IFERROR(__xludf.DUMMYFUNCTION("""COMPUTED_VALUE"""),"eurkwoods@eastlink.ca")</f>
        <v>eurkwoods@eastlink.ca</v>
      </c>
      <c r="G6201" s="3">
        <f>IFERROR(__xludf.DUMMYFUNCTION("""COMPUTED_VALUE"""),7.059772696E9)</f>
        <v>7059772696</v>
      </c>
      <c r="H6201" s="3"/>
    </row>
    <row r="6202">
      <c r="A6202" s="2">
        <f>IFERROR(__xludf.DUMMYFUNCTION("""COMPUTED_VALUE"""),63382.0)</f>
        <v>63382</v>
      </c>
      <c r="B6202" s="3" t="str">
        <f>IFERROR(__xludf.DUMMYFUNCTION("""COMPUTED_VALUE"""),"354 SOUTH SHORES RD  ")</f>
        <v>354 SOUTH SHORES RD  </v>
      </c>
      <c r="C6202" s="3" t="str">
        <f>IFERROR(__xludf.DUMMYFUNCTION("""COMPUTED_VALUE"""),"CAMPBELLFORD")</f>
        <v>CAMPBELLFORD</v>
      </c>
      <c r="D6202" s="3" t="str">
        <f>IFERROR(__xludf.DUMMYFUNCTION("""COMPUTED_VALUE"""),"K0L 1L0")</f>
        <v>K0L 1L0</v>
      </c>
      <c r="E6202" s="3"/>
      <c r="F6202" s="3"/>
      <c r="G6202" s="3"/>
      <c r="H6202" s="3"/>
    </row>
    <row r="6203">
      <c r="A6203" s="2">
        <f>IFERROR(__xludf.DUMMYFUNCTION("""COMPUTED_VALUE"""),63383.0)</f>
        <v>63383</v>
      </c>
      <c r="B6203" s="3" t="str">
        <f>IFERROR(__xludf.DUMMYFUNCTION("""COMPUTED_VALUE"""),"358 SOUTH SHORES RD  ")</f>
        <v>358 SOUTH SHORES RD  </v>
      </c>
      <c r="C6203" s="3" t="str">
        <f>IFERROR(__xludf.DUMMYFUNCTION("""COMPUTED_VALUE"""),"CAMPBELLFORD")</f>
        <v>CAMPBELLFORD</v>
      </c>
      <c r="D6203" s="3" t="str">
        <f>IFERROR(__xludf.DUMMYFUNCTION("""COMPUTED_VALUE"""),"K0L 1L0")</f>
        <v>K0L 1L0</v>
      </c>
      <c r="E6203" s="3" t="str">
        <f>IFERROR(__xludf.DUMMYFUNCTION("""COMPUTED_VALUE"""),"kelly theoret")</f>
        <v>kelly theoret</v>
      </c>
      <c r="F6203" s="3" t="str">
        <f>IFERROR(__xludf.DUMMYFUNCTION("""COMPUTED_VALUE"""),"kellykelly2006@gmail.com")</f>
        <v>kellykelly2006@gmail.com</v>
      </c>
      <c r="G6203" s="3">
        <f>IFERROR(__xludf.DUMMYFUNCTION("""COMPUTED_VALUE"""),9.052422321E9)</f>
        <v>9052422321</v>
      </c>
      <c r="H6203" s="3"/>
    </row>
    <row r="6204">
      <c r="A6204" s="2">
        <f>IFERROR(__xludf.DUMMYFUNCTION("""COMPUTED_VALUE"""),80007.0)</f>
        <v>80007</v>
      </c>
      <c r="B6204" s="3" t="str">
        <f>IFERROR(__xludf.DUMMYFUNCTION("""COMPUTED_VALUE"""),"104 ALLISON ST ")</f>
        <v>104 ALLISON ST </v>
      </c>
      <c r="C6204" s="3" t="str">
        <f>IFERROR(__xludf.DUMMYFUNCTION("""COMPUTED_VALUE"""),"CODRINGTON")</f>
        <v>CODRINGTON</v>
      </c>
      <c r="D6204" s="3" t="str">
        <f>IFERROR(__xludf.DUMMYFUNCTION("""COMPUTED_VALUE"""),"K0K 1R0")</f>
        <v>K0K 1R0</v>
      </c>
      <c r="E6204" s="3" t="str">
        <f>IFERROR(__xludf.DUMMYFUNCTION("""COMPUTED_VALUE"""),"anne hall")</f>
        <v>anne hall</v>
      </c>
      <c r="F6204" s="3" t="str">
        <f>IFERROR(__xludf.DUMMYFUNCTION("""COMPUTED_VALUE"""),"hall.anne8@gmail.com")</f>
        <v>hall.anne8@gmail.com</v>
      </c>
      <c r="G6204" s="3">
        <f>IFERROR(__xludf.DUMMYFUNCTION("""COMPUTED_VALUE"""),6.134755097E9)</f>
        <v>6134755097</v>
      </c>
      <c r="H6204" s="3">
        <f>IFERROR(__xludf.DUMMYFUNCTION("""COMPUTED_VALUE"""),6.134033071E9)</f>
        <v>6134033071</v>
      </c>
    </row>
    <row r="6205">
      <c r="A6205" s="2">
        <f>IFERROR(__xludf.DUMMYFUNCTION("""COMPUTED_VALUE"""),80008.0)</f>
        <v>80008</v>
      </c>
      <c r="B6205" s="3" t="str">
        <f>IFERROR(__xludf.DUMMYFUNCTION("""COMPUTED_VALUE"""),"105 ALLISON ST ")</f>
        <v>105 ALLISON ST </v>
      </c>
      <c r="C6205" s="3" t="str">
        <f>IFERROR(__xludf.DUMMYFUNCTION("""COMPUTED_VALUE"""),"CODRINGTON")</f>
        <v>CODRINGTON</v>
      </c>
      <c r="D6205" s="3" t="str">
        <f>IFERROR(__xludf.DUMMYFUNCTION("""COMPUTED_VALUE"""),"K0K 1R0")</f>
        <v>K0K 1R0</v>
      </c>
      <c r="E6205" s="3" t="str">
        <f>IFERROR(__xludf.DUMMYFUNCTION("""COMPUTED_VALUE"""),"Gary Baker")</f>
        <v>Gary Baker</v>
      </c>
      <c r="F6205" s="3" t="str">
        <f>IFERROR(__xludf.DUMMYFUNCTION("""COMPUTED_VALUE"""),"f.baker0212@gmail.com")</f>
        <v>f.baker0212@gmail.com</v>
      </c>
      <c r="G6205" s="3">
        <f>IFERROR(__xludf.DUMMYFUNCTION("""COMPUTED_VALUE"""),6.475266305E9)</f>
        <v>6475266305</v>
      </c>
      <c r="H6205" s="3"/>
    </row>
    <row r="6206">
      <c r="A6206" s="2">
        <f>IFERROR(__xludf.DUMMYFUNCTION("""COMPUTED_VALUE"""),80000.0)</f>
        <v>80000</v>
      </c>
      <c r="B6206" s="3" t="str">
        <f>IFERROR(__xludf.DUMMYFUNCTION("""COMPUTED_VALUE"""),"41 ALLISON ST ")</f>
        <v>41 ALLISON ST </v>
      </c>
      <c r="C6206" s="3" t="str">
        <f>IFERROR(__xludf.DUMMYFUNCTION("""COMPUTED_VALUE"""),"CODRINGTON")</f>
        <v>CODRINGTON</v>
      </c>
      <c r="D6206" s="3" t="str">
        <f>IFERROR(__xludf.DUMMYFUNCTION("""COMPUTED_VALUE"""),"K0K 1R0")</f>
        <v>K0K 1R0</v>
      </c>
      <c r="E6206" s="3" t="str">
        <f>IFERROR(__xludf.DUMMYFUNCTION("""COMPUTED_VALUE"""),"Celine McGowan")</f>
        <v>Celine McGowan</v>
      </c>
      <c r="F6206" s="3" t="str">
        <f>IFERROR(__xludf.DUMMYFUNCTION("""COMPUTED_VALUE"""),"celinemcgowan@rogers.com")</f>
        <v>celinemcgowan@rogers.com</v>
      </c>
      <c r="G6206" s="3">
        <f>IFERROR(__xludf.DUMMYFUNCTION("""COMPUTED_VALUE"""),6.134754535E9)</f>
        <v>6134754535</v>
      </c>
      <c r="H6206" s="3">
        <f>IFERROR(__xludf.DUMMYFUNCTION("""COMPUTED_VALUE"""),6.139219511E9)</f>
        <v>6139219511</v>
      </c>
    </row>
    <row r="6207">
      <c r="A6207" s="2">
        <f>IFERROR(__xludf.DUMMYFUNCTION("""COMPUTED_VALUE"""),80001.0)</f>
        <v>80001</v>
      </c>
      <c r="B6207" s="3" t="str">
        <f>IFERROR(__xludf.DUMMYFUNCTION("""COMPUTED_VALUE"""),"71 ALLISON ST ")</f>
        <v>71 ALLISON ST </v>
      </c>
      <c r="C6207" s="3" t="str">
        <f>IFERROR(__xludf.DUMMYFUNCTION("""COMPUTED_VALUE"""),"CODRINGTON")</f>
        <v>CODRINGTON</v>
      </c>
      <c r="D6207" s="3" t="str">
        <f>IFERROR(__xludf.DUMMYFUNCTION("""COMPUTED_VALUE"""),"K0K 1R0")</f>
        <v>K0K 1R0</v>
      </c>
      <c r="E6207" s="3" t="str">
        <f>IFERROR(__xludf.DUMMYFUNCTION("""COMPUTED_VALUE"""),"christina shorts ")</f>
        <v>christina shorts </v>
      </c>
      <c r="F6207" s="3" t="str">
        <f>IFERROR(__xludf.DUMMYFUNCTION("""COMPUTED_VALUE"""),"shortschristina@gmail.com")</f>
        <v>shortschristina@gmail.com</v>
      </c>
      <c r="G6207" s="3">
        <f>IFERROR(__xludf.DUMMYFUNCTION("""COMPUTED_VALUE"""),6.138851045E9)</f>
        <v>6138851045</v>
      </c>
      <c r="H6207" s="3"/>
    </row>
    <row r="6208">
      <c r="A6208" s="2">
        <f>IFERROR(__xludf.DUMMYFUNCTION("""COMPUTED_VALUE"""),80002.0)</f>
        <v>80002</v>
      </c>
      <c r="B6208" s="3" t="str">
        <f>IFERROR(__xludf.DUMMYFUNCTION("""COMPUTED_VALUE"""),"77 ALLISON ST ")</f>
        <v>77 ALLISON ST </v>
      </c>
      <c r="C6208" s="3" t="str">
        <f>IFERROR(__xludf.DUMMYFUNCTION("""COMPUTED_VALUE"""),"CODRINGTON")</f>
        <v>CODRINGTON</v>
      </c>
      <c r="D6208" s="3" t="str">
        <f>IFERROR(__xludf.DUMMYFUNCTION("""COMPUTED_VALUE"""),"K0K 1R0")</f>
        <v>K0K 1R0</v>
      </c>
      <c r="E6208" s="3"/>
      <c r="F6208" s="3"/>
      <c r="G6208" s="3"/>
      <c r="H6208" s="3"/>
    </row>
    <row r="6209">
      <c r="A6209" s="2">
        <f>IFERROR(__xludf.DUMMYFUNCTION("""COMPUTED_VALUE"""),80003.0)</f>
        <v>80003</v>
      </c>
      <c r="B6209" s="3" t="str">
        <f>IFERROR(__xludf.DUMMYFUNCTION("""COMPUTED_VALUE"""),"84 ALLISON ST ")</f>
        <v>84 ALLISON ST </v>
      </c>
      <c r="C6209" s="3" t="str">
        <f>IFERROR(__xludf.DUMMYFUNCTION("""COMPUTED_VALUE"""),"CODRINGTON")</f>
        <v>CODRINGTON</v>
      </c>
      <c r="D6209" s="3" t="str">
        <f>IFERROR(__xludf.DUMMYFUNCTION("""COMPUTED_VALUE"""),"K0K 1R0")</f>
        <v>K0K 1R0</v>
      </c>
      <c r="E6209" s="3" t="str">
        <f>IFERROR(__xludf.DUMMYFUNCTION("""COMPUTED_VALUE"""),"julie hietala")</f>
        <v>julie hietala</v>
      </c>
      <c r="F6209" s="3" t="str">
        <f>IFERROR(__xludf.DUMMYFUNCTION("""COMPUTED_VALUE"""),"juliekory@gmail.cokm")</f>
        <v>juliekory@gmail.cokm</v>
      </c>
      <c r="G6209" s="3">
        <f>IFERROR(__xludf.DUMMYFUNCTION("""COMPUTED_VALUE"""),6.138850171E9)</f>
        <v>6138850171</v>
      </c>
      <c r="H6209" s="3">
        <f>IFERROR(__xludf.DUMMYFUNCTION("""COMPUTED_VALUE"""),6.134389459E9)</f>
        <v>6134389459</v>
      </c>
    </row>
    <row r="6210">
      <c r="A6210" s="2">
        <f>IFERROR(__xludf.DUMMYFUNCTION("""COMPUTED_VALUE"""),80004.0)</f>
        <v>80004</v>
      </c>
      <c r="B6210" s="3" t="str">
        <f>IFERROR(__xludf.DUMMYFUNCTION("""COMPUTED_VALUE"""),"85 ALLISON ST ")</f>
        <v>85 ALLISON ST </v>
      </c>
      <c r="C6210" s="3" t="str">
        <f>IFERROR(__xludf.DUMMYFUNCTION("""COMPUTED_VALUE"""),"CODRINGTON")</f>
        <v>CODRINGTON</v>
      </c>
      <c r="D6210" s="3" t="str">
        <f>IFERROR(__xludf.DUMMYFUNCTION("""COMPUTED_VALUE"""),"K0K 1R0")</f>
        <v>K0K 1R0</v>
      </c>
      <c r="E6210" s="3" t="str">
        <f>IFERROR(__xludf.DUMMYFUNCTION("""COMPUTED_VALUE"""),"julie hietala")</f>
        <v>julie hietala</v>
      </c>
      <c r="F6210" s="3" t="str">
        <f>IFERROR(__xludf.DUMMYFUNCTION("""COMPUTED_VALUE"""),"juliekory@gmail.cokm")</f>
        <v>juliekory@gmail.cokm</v>
      </c>
      <c r="G6210" s="3">
        <f>IFERROR(__xludf.DUMMYFUNCTION("""COMPUTED_VALUE"""),6.138850171E9)</f>
        <v>6138850171</v>
      </c>
      <c r="H6210" s="3">
        <f>IFERROR(__xludf.DUMMYFUNCTION("""COMPUTED_VALUE"""),6.134389459E9)</f>
        <v>6134389459</v>
      </c>
    </row>
    <row r="6211">
      <c r="A6211" s="2">
        <f>IFERROR(__xludf.DUMMYFUNCTION("""COMPUTED_VALUE"""),80005.0)</f>
        <v>80005</v>
      </c>
      <c r="B6211" s="3" t="str">
        <f>IFERROR(__xludf.DUMMYFUNCTION("""COMPUTED_VALUE"""),"90 ALLISON ST ")</f>
        <v>90 ALLISON ST </v>
      </c>
      <c r="C6211" s="3" t="str">
        <f>IFERROR(__xludf.DUMMYFUNCTION("""COMPUTED_VALUE"""),"CODRINGTON")</f>
        <v>CODRINGTON</v>
      </c>
      <c r="D6211" s="3" t="str">
        <f>IFERROR(__xludf.DUMMYFUNCTION("""COMPUTED_VALUE"""),"K0K 1R0")</f>
        <v>K0K 1R0</v>
      </c>
      <c r="E6211" s="3" t="str">
        <f>IFERROR(__xludf.DUMMYFUNCTION("""COMPUTED_VALUE"""),"Johnathan Figueiredo")</f>
        <v>Johnathan Figueiredo</v>
      </c>
      <c r="F6211" s="3" t="str">
        <f>IFERROR(__xludf.DUMMYFUNCTION("""COMPUTED_VALUE"""),"johnathan.figueiredo@gmail.com")</f>
        <v>johnathan.figueiredo@gmail.com</v>
      </c>
      <c r="G6211" s="3">
        <f>IFERROR(__xludf.DUMMYFUNCTION("""COMPUTED_VALUE"""),9.05441082E9)</f>
        <v>9054410820</v>
      </c>
      <c r="H6211" s="3"/>
    </row>
    <row r="6212">
      <c r="A6212" s="2">
        <f>IFERROR(__xludf.DUMMYFUNCTION("""COMPUTED_VALUE"""),80006.0)</f>
        <v>80006</v>
      </c>
      <c r="B6212" s="3" t="str">
        <f>IFERROR(__xludf.DUMMYFUNCTION("""COMPUTED_VALUE"""),"91 ALLISON ST ")</f>
        <v>91 ALLISON ST </v>
      </c>
      <c r="C6212" s="3" t="str">
        <f>IFERROR(__xludf.DUMMYFUNCTION("""COMPUTED_VALUE"""),"CODRINGTON")</f>
        <v>CODRINGTON</v>
      </c>
      <c r="D6212" s="3" t="str">
        <f>IFERROR(__xludf.DUMMYFUNCTION("""COMPUTED_VALUE"""),"K0K 1R0")</f>
        <v>K0K 1R0</v>
      </c>
      <c r="E6212" s="3" t="str">
        <f>IFERROR(__xludf.DUMMYFUNCTION("""COMPUTED_VALUE"""),"kim sweet ")</f>
        <v>kim sweet </v>
      </c>
      <c r="F6212" s="3" t="str">
        <f>IFERROR(__xludf.DUMMYFUNCTION("""COMPUTED_VALUE"""),"kasweet1991@gmail.com")</f>
        <v>kasweet1991@gmail.com</v>
      </c>
      <c r="G6212" s="3">
        <f>IFERROR(__xludf.DUMMYFUNCTION("""COMPUTED_VALUE"""),6.1347537E9)</f>
        <v>6134753700</v>
      </c>
      <c r="H6212" s="3"/>
    </row>
    <row r="6213">
      <c r="A6213" s="2">
        <f>IFERROR(__xludf.DUMMYFUNCTION("""COMPUTED_VALUE"""),80021.0)</f>
        <v>80021</v>
      </c>
      <c r="B6213" s="3" t="str">
        <f>IFERROR(__xludf.DUMMYFUNCTION("""COMPUTED_VALUE"""),"102 ARANDA WAY ")</f>
        <v>102 ARANDA WAY </v>
      </c>
      <c r="C6213" s="3" t="str">
        <f>IFERROR(__xludf.DUMMYFUNCTION("""COMPUTED_VALUE"""),"CODRINGTON")</f>
        <v>CODRINGTON</v>
      </c>
      <c r="D6213" s="3" t="str">
        <f>IFERROR(__xludf.DUMMYFUNCTION("""COMPUTED_VALUE"""),"K0K 1R0")</f>
        <v>K0K 1R0</v>
      </c>
      <c r="E6213" s="3" t="str">
        <f>IFERROR(__xludf.DUMMYFUNCTION("""COMPUTED_VALUE"""),"helen larsen")</f>
        <v>helen larsen</v>
      </c>
      <c r="F6213" s="3" t="str">
        <f>IFERROR(__xludf.DUMMYFUNCTION("""COMPUTED_VALUE"""),"helenlarsen333@gmail.com")</f>
        <v>helenlarsen333@gmail.com</v>
      </c>
      <c r="G6213" s="3">
        <f>IFERROR(__xludf.DUMMYFUNCTION("""COMPUTED_VALUE"""),2.898290164E9)</f>
        <v>2898290164</v>
      </c>
      <c r="H6213" s="3"/>
    </row>
    <row r="6214">
      <c r="A6214" s="2">
        <f>IFERROR(__xludf.DUMMYFUNCTION("""COMPUTED_VALUE"""),80022.0)</f>
        <v>80022</v>
      </c>
      <c r="B6214" s="3" t="str">
        <f>IFERROR(__xludf.DUMMYFUNCTION("""COMPUTED_VALUE"""),"107 ARANDA WAY ")</f>
        <v>107 ARANDA WAY </v>
      </c>
      <c r="C6214" s="3" t="str">
        <f>IFERROR(__xludf.DUMMYFUNCTION("""COMPUTED_VALUE"""),"CODRINGTON")</f>
        <v>CODRINGTON</v>
      </c>
      <c r="D6214" s="3" t="str">
        <f>IFERROR(__xludf.DUMMYFUNCTION("""COMPUTED_VALUE"""),"K0K 1R0")</f>
        <v>K0K 1R0</v>
      </c>
      <c r="E6214" s="3" t="str">
        <f>IFERROR(__xludf.DUMMYFUNCTION("""COMPUTED_VALUE"""),"paul heley ")</f>
        <v>paul heley </v>
      </c>
      <c r="F6214" s="3"/>
      <c r="G6214" s="3">
        <f>IFERROR(__xludf.DUMMYFUNCTION("""COMPUTED_VALUE"""),6.138850712E9)</f>
        <v>6138850712</v>
      </c>
      <c r="H6214" s="3"/>
    </row>
    <row r="6215">
      <c r="A6215" s="2">
        <f>IFERROR(__xludf.DUMMYFUNCTION("""COMPUTED_VALUE"""),80023.0)</f>
        <v>80023</v>
      </c>
      <c r="B6215" s="3" t="str">
        <f>IFERROR(__xludf.DUMMYFUNCTION("""COMPUTED_VALUE"""),"151 ARANDA WAY ")</f>
        <v>151 ARANDA WAY </v>
      </c>
      <c r="C6215" s="3" t="str">
        <f>IFERROR(__xludf.DUMMYFUNCTION("""COMPUTED_VALUE"""),"CODRINGTON")</f>
        <v>CODRINGTON</v>
      </c>
      <c r="D6215" s="3" t="str">
        <f>IFERROR(__xludf.DUMMYFUNCTION("""COMPUTED_VALUE"""),"K0K 1R0")</f>
        <v>K0K 1R0</v>
      </c>
      <c r="E6215" s="3"/>
      <c r="F6215" s="3"/>
      <c r="G6215" s="3"/>
      <c r="H6215" s="3"/>
    </row>
    <row r="6216">
      <c r="A6216" s="2">
        <f>IFERROR(__xludf.DUMMYFUNCTION("""COMPUTED_VALUE"""),80024.0)</f>
        <v>80024</v>
      </c>
      <c r="B6216" s="3" t="str">
        <f>IFERROR(__xludf.DUMMYFUNCTION("""COMPUTED_VALUE"""),"156 ARANDA WAY ")</f>
        <v>156 ARANDA WAY </v>
      </c>
      <c r="C6216" s="3" t="str">
        <f>IFERROR(__xludf.DUMMYFUNCTION("""COMPUTED_VALUE"""),"CODRINGTON")</f>
        <v>CODRINGTON</v>
      </c>
      <c r="D6216" s="3" t="str">
        <f>IFERROR(__xludf.DUMMYFUNCTION("""COMPUTED_VALUE"""),"K0K 1R0")</f>
        <v>K0K 1R0</v>
      </c>
      <c r="E6216" s="3" t="str">
        <f>IFERROR(__xludf.DUMMYFUNCTION("""COMPUTED_VALUE"""),"claude bernier")</f>
        <v>claude bernier</v>
      </c>
      <c r="F6216" s="3" t="str">
        <f>IFERROR(__xludf.DUMMYFUNCTION("""COMPUTED_VALUE"""),"phyllisgagne95@gmail.com")</f>
        <v>phyllisgagne95@gmail.com</v>
      </c>
      <c r="G6216" s="3">
        <f>IFERROR(__xludf.DUMMYFUNCTION("""COMPUTED_VALUE"""),9.053759013E9)</f>
        <v>9053759013</v>
      </c>
      <c r="H6216" s="3"/>
    </row>
    <row r="6217">
      <c r="A6217" s="2">
        <f>IFERROR(__xludf.DUMMYFUNCTION("""COMPUTED_VALUE"""),80009.0)</f>
        <v>80009</v>
      </c>
      <c r="B6217" s="3" t="str">
        <f>IFERROR(__xludf.DUMMYFUNCTION("""COMPUTED_VALUE"""),"21 ARANDA WAY ")</f>
        <v>21 ARANDA WAY </v>
      </c>
      <c r="C6217" s="3" t="str">
        <f>IFERROR(__xludf.DUMMYFUNCTION("""COMPUTED_VALUE"""),"CODRINGTON")</f>
        <v>CODRINGTON</v>
      </c>
      <c r="D6217" s="3" t="str">
        <f>IFERROR(__xludf.DUMMYFUNCTION("""COMPUTED_VALUE"""),"K0K 1R0")</f>
        <v>K0K 1R0</v>
      </c>
      <c r="E6217" s="3" t="str">
        <f>IFERROR(__xludf.DUMMYFUNCTION("""COMPUTED_VALUE"""),"chris kruger ")</f>
        <v>chris kruger </v>
      </c>
      <c r="F6217" s="3" t="str">
        <f>IFERROR(__xludf.DUMMYFUNCTION("""COMPUTED_VALUE"""),"steamfitteroverflowing@hotmail.com")</f>
        <v>steamfitteroverflowing@hotmail.com</v>
      </c>
      <c r="G6217" s="3">
        <f>IFERROR(__xludf.DUMMYFUNCTION("""COMPUTED_VALUE"""),9.054428824E9)</f>
        <v>9054428824</v>
      </c>
      <c r="H6217" s="3"/>
    </row>
    <row r="6218">
      <c r="A6218" s="2">
        <f>IFERROR(__xludf.DUMMYFUNCTION("""COMPUTED_VALUE"""),80025.0)</f>
        <v>80025</v>
      </c>
      <c r="B6218" s="3" t="str">
        <f>IFERROR(__xludf.DUMMYFUNCTION("""COMPUTED_VALUE"""),"229 ARANDA WAY ")</f>
        <v>229 ARANDA WAY </v>
      </c>
      <c r="C6218" s="3" t="str">
        <f>IFERROR(__xludf.DUMMYFUNCTION("""COMPUTED_VALUE"""),"CODRINGTON")</f>
        <v>CODRINGTON</v>
      </c>
      <c r="D6218" s="3" t="str">
        <f>IFERROR(__xludf.DUMMYFUNCTION("""COMPUTED_VALUE"""),"K0K 1R0")</f>
        <v>K0K 1R0</v>
      </c>
      <c r="E6218" s="3" t="str">
        <f>IFERROR(__xludf.DUMMYFUNCTION("""COMPUTED_VALUE"""),"dennis o connor ")</f>
        <v>dennis o connor </v>
      </c>
      <c r="F6218" s="3" t="str">
        <f>IFERROR(__xludf.DUMMYFUNCTION("""COMPUTED_VALUE"""),"jdoconnor@sympatico.ca")</f>
        <v>jdoconnor@sympatico.ca</v>
      </c>
      <c r="G6218" s="3">
        <f>IFERROR(__xludf.DUMMYFUNCTION("""COMPUTED_VALUE"""),6.134034389E9)</f>
        <v>6134034389</v>
      </c>
      <c r="H6218" s="3">
        <f>IFERROR(__xludf.DUMMYFUNCTION("""COMPUTED_VALUE"""),6.134753881E9)</f>
        <v>6134753881</v>
      </c>
    </row>
    <row r="6219">
      <c r="A6219" s="2">
        <f>IFERROR(__xludf.DUMMYFUNCTION("""COMPUTED_VALUE"""),80026.0)</f>
        <v>80026</v>
      </c>
      <c r="B6219" s="3" t="str">
        <f>IFERROR(__xludf.DUMMYFUNCTION("""COMPUTED_VALUE"""),"232 ARANDA WAY ")</f>
        <v>232 ARANDA WAY </v>
      </c>
      <c r="C6219" s="3" t="str">
        <f>IFERROR(__xludf.DUMMYFUNCTION("""COMPUTED_VALUE"""),"CODRINGTON")</f>
        <v>CODRINGTON</v>
      </c>
      <c r="D6219" s="3" t="str">
        <f>IFERROR(__xludf.DUMMYFUNCTION("""COMPUTED_VALUE"""),"K0K 1R0")</f>
        <v>K0K 1R0</v>
      </c>
      <c r="E6219" s="3" t="str">
        <f>IFERROR(__xludf.DUMMYFUNCTION("""COMPUTED_VALUE"""),"Candice Gunter &amp; Ken Birney ")</f>
        <v>Candice Gunter &amp; Ken Birney </v>
      </c>
      <c r="F6219" s="3" t="str">
        <f>IFERROR(__xludf.DUMMYFUNCTION("""COMPUTED_VALUE"""),"candicerosegunter@gmail.com")</f>
        <v>candicerosegunter@gmail.com</v>
      </c>
      <c r="G6219" s="3"/>
      <c r="H6219" s="3"/>
    </row>
    <row r="6220">
      <c r="A6220" s="2">
        <f>IFERROR(__xludf.DUMMYFUNCTION("""COMPUTED_VALUE"""),80010.0)</f>
        <v>80010</v>
      </c>
      <c r="B6220" s="3" t="str">
        <f>IFERROR(__xludf.DUMMYFUNCTION("""COMPUTED_VALUE"""),"24 ARANDA WAY ")</f>
        <v>24 ARANDA WAY </v>
      </c>
      <c r="C6220" s="3" t="str">
        <f>IFERROR(__xludf.DUMMYFUNCTION("""COMPUTED_VALUE"""),"CODRINGTON")</f>
        <v>CODRINGTON</v>
      </c>
      <c r="D6220" s="3" t="str">
        <f>IFERROR(__xludf.DUMMYFUNCTION("""COMPUTED_VALUE"""),"K0K 1R0")</f>
        <v>K0K 1R0</v>
      </c>
      <c r="E6220" s="3" t="str">
        <f>IFERROR(__xludf.DUMMYFUNCTION("""COMPUTED_VALUE"""),"duane nicholson")</f>
        <v>duane nicholson</v>
      </c>
      <c r="F6220" s="3" t="str">
        <f>IFERROR(__xludf.DUMMYFUNCTION("""COMPUTED_VALUE"""),"duane.nicholson@ddsb.ca")</f>
        <v>duane.nicholson@ddsb.ca</v>
      </c>
      <c r="G6220" s="3">
        <f>IFERROR(__xludf.DUMMYFUNCTION("""COMPUTED_VALUE"""),9.052606709E9)</f>
        <v>9052606709</v>
      </c>
      <c r="H6220" s="3"/>
    </row>
    <row r="6221">
      <c r="A6221" s="2">
        <f>IFERROR(__xludf.DUMMYFUNCTION("""COMPUTED_VALUE"""),80027.0)</f>
        <v>80027</v>
      </c>
      <c r="B6221" s="3" t="str">
        <f>IFERROR(__xludf.DUMMYFUNCTION("""COMPUTED_VALUE"""),"263 ARANDA WAY ")</f>
        <v>263 ARANDA WAY </v>
      </c>
      <c r="C6221" s="3" t="str">
        <f>IFERROR(__xludf.DUMMYFUNCTION("""COMPUTED_VALUE"""),"CODRINGTON")</f>
        <v>CODRINGTON</v>
      </c>
      <c r="D6221" s="3" t="str">
        <f>IFERROR(__xludf.DUMMYFUNCTION("""COMPUTED_VALUE"""),"K0K 1R0")</f>
        <v>K0K 1R0</v>
      </c>
      <c r="E6221" s="3" t="str">
        <f>IFERROR(__xludf.DUMMYFUNCTION("""COMPUTED_VALUE"""),"Al &amp; Marianne Berton")</f>
        <v>Al &amp; Marianne Berton</v>
      </c>
      <c r="F6221" s="3" t="str">
        <f>IFERROR(__xludf.DUMMYFUNCTION("""COMPUTED_VALUE"""),"mariannebeaton@gmail.com")</f>
        <v>mariannebeaton@gmail.com</v>
      </c>
      <c r="G6221" s="3"/>
      <c r="H6221" s="3"/>
    </row>
    <row r="6222">
      <c r="A6222" s="2">
        <f>IFERROR(__xludf.DUMMYFUNCTION("""COMPUTED_VALUE"""),80011.0)</f>
        <v>80011</v>
      </c>
      <c r="B6222" s="3" t="str">
        <f>IFERROR(__xludf.DUMMYFUNCTION("""COMPUTED_VALUE"""),"28 ARANDA WAY ")</f>
        <v>28 ARANDA WAY </v>
      </c>
      <c r="C6222" s="3" t="str">
        <f>IFERROR(__xludf.DUMMYFUNCTION("""COMPUTED_VALUE"""),"CODRINGTON")</f>
        <v>CODRINGTON</v>
      </c>
      <c r="D6222" s="3" t="str">
        <f>IFERROR(__xludf.DUMMYFUNCTION("""COMPUTED_VALUE"""),"K0K 1R0")</f>
        <v>K0K 1R0</v>
      </c>
      <c r="E6222" s="3"/>
      <c r="F6222" s="3"/>
      <c r="G6222" s="3"/>
      <c r="H6222" s="3"/>
    </row>
    <row r="6223">
      <c r="A6223" s="2">
        <f>IFERROR(__xludf.DUMMYFUNCTION("""COMPUTED_VALUE"""),80012.0)</f>
        <v>80012</v>
      </c>
      <c r="B6223" s="3" t="str">
        <f>IFERROR(__xludf.DUMMYFUNCTION("""COMPUTED_VALUE"""),"49 ARANDA WAY ")</f>
        <v>49 ARANDA WAY </v>
      </c>
      <c r="C6223" s="3" t="str">
        <f>IFERROR(__xludf.DUMMYFUNCTION("""COMPUTED_VALUE"""),"CODRINGTON")</f>
        <v>CODRINGTON</v>
      </c>
      <c r="D6223" s="3" t="str">
        <f>IFERROR(__xludf.DUMMYFUNCTION("""COMPUTED_VALUE"""),"K0K 1R0")</f>
        <v>K0K 1R0</v>
      </c>
      <c r="E6223" s="3"/>
      <c r="F6223" s="3"/>
      <c r="G6223" s="3"/>
      <c r="H6223" s="3"/>
    </row>
    <row r="6224">
      <c r="A6224" s="2">
        <f>IFERROR(__xludf.DUMMYFUNCTION("""COMPUTED_VALUE"""),80013.0)</f>
        <v>80013</v>
      </c>
      <c r="B6224" s="3" t="str">
        <f>IFERROR(__xludf.DUMMYFUNCTION("""COMPUTED_VALUE"""),"56 ARANDA WAY ")</f>
        <v>56 ARANDA WAY </v>
      </c>
      <c r="C6224" s="3" t="str">
        <f>IFERROR(__xludf.DUMMYFUNCTION("""COMPUTED_VALUE"""),"CODRINGTON")</f>
        <v>CODRINGTON</v>
      </c>
      <c r="D6224" s="3" t="str">
        <f>IFERROR(__xludf.DUMMYFUNCTION("""COMPUTED_VALUE"""),"K0K 1R0")</f>
        <v>K0K 1R0</v>
      </c>
      <c r="E6224" s="3" t="str">
        <f>IFERROR(__xludf.DUMMYFUNCTION("""COMPUTED_VALUE"""),"Jesse Hubble")</f>
        <v>Jesse Hubble</v>
      </c>
      <c r="F6224" s="3" t="str">
        <f>IFERROR(__xludf.DUMMYFUNCTION("""COMPUTED_VALUE"""),"jessehubble@hotmail.com")</f>
        <v>jessehubble@hotmail.com</v>
      </c>
      <c r="G6224" s="3">
        <f>IFERROR(__xludf.DUMMYFUNCTION("""COMPUTED_VALUE"""),6.132438486E9)</f>
        <v>6132438486</v>
      </c>
      <c r="H6224" s="3"/>
    </row>
    <row r="6225">
      <c r="A6225" s="2">
        <f>IFERROR(__xludf.DUMMYFUNCTION("""COMPUTED_VALUE"""),80014.0)</f>
        <v>80014</v>
      </c>
      <c r="B6225" s="3" t="str">
        <f>IFERROR(__xludf.DUMMYFUNCTION("""COMPUTED_VALUE"""),"58 ARANDA WAY ")</f>
        <v>58 ARANDA WAY </v>
      </c>
      <c r="C6225" s="3" t="str">
        <f>IFERROR(__xludf.DUMMYFUNCTION("""COMPUTED_VALUE"""),"CODRINGTON")</f>
        <v>CODRINGTON</v>
      </c>
      <c r="D6225" s="3" t="str">
        <f>IFERROR(__xludf.DUMMYFUNCTION("""COMPUTED_VALUE"""),"K0K 1R0")</f>
        <v>K0K 1R0</v>
      </c>
      <c r="E6225" s="3" t="str">
        <f>IFERROR(__xludf.DUMMYFUNCTION("""COMPUTED_VALUE"""),"NOT INTERESTED ")</f>
        <v>NOT INTERESTED </v>
      </c>
      <c r="F6225" s="3"/>
      <c r="G6225" s="3"/>
      <c r="H6225" s="3"/>
    </row>
    <row r="6226">
      <c r="A6226" s="2">
        <f>IFERROR(__xludf.DUMMYFUNCTION("""COMPUTED_VALUE"""),80015.0)</f>
        <v>80015</v>
      </c>
      <c r="B6226" s="3" t="str">
        <f>IFERROR(__xludf.DUMMYFUNCTION("""COMPUTED_VALUE"""),"63 ARANDA WAY ")</f>
        <v>63 ARANDA WAY </v>
      </c>
      <c r="C6226" s="3" t="str">
        <f>IFERROR(__xludf.DUMMYFUNCTION("""COMPUTED_VALUE"""),"CODRINGTON")</f>
        <v>CODRINGTON</v>
      </c>
      <c r="D6226" s="3" t="str">
        <f>IFERROR(__xludf.DUMMYFUNCTION("""COMPUTED_VALUE"""),"K0K 1R0")</f>
        <v>K0K 1R0</v>
      </c>
      <c r="E6226" s="3" t="str">
        <f>IFERROR(__xludf.DUMMYFUNCTION("""COMPUTED_VALUE"""),"joshua pahach")</f>
        <v>joshua pahach</v>
      </c>
      <c r="F6226" s="3" t="str">
        <f>IFERROR(__xludf.DUMMYFUNCTION("""COMPUTED_VALUE"""),"joshuapahach@hotmail.com")</f>
        <v>joshuapahach@hotmail.com</v>
      </c>
      <c r="G6226" s="3">
        <f>IFERROR(__xludf.DUMMYFUNCTION("""COMPUTED_VALUE"""),9.05213055E9)</f>
        <v>9052130550</v>
      </c>
      <c r="H6226" s="3">
        <f>IFERROR(__xludf.DUMMYFUNCTION("""COMPUTED_VALUE"""),3.43363887E9)</f>
        <v>3433638870</v>
      </c>
    </row>
    <row r="6227">
      <c r="A6227" s="2">
        <f>IFERROR(__xludf.DUMMYFUNCTION("""COMPUTED_VALUE"""),80016.0)</f>
        <v>80016</v>
      </c>
      <c r="B6227" s="3" t="str">
        <f>IFERROR(__xludf.DUMMYFUNCTION("""COMPUTED_VALUE"""),"75 ARANDA WAY ")</f>
        <v>75 ARANDA WAY </v>
      </c>
      <c r="C6227" s="3" t="str">
        <f>IFERROR(__xludf.DUMMYFUNCTION("""COMPUTED_VALUE"""),"CODRINGTON")</f>
        <v>CODRINGTON</v>
      </c>
      <c r="D6227" s="3" t="str">
        <f>IFERROR(__xludf.DUMMYFUNCTION("""COMPUTED_VALUE"""),"K0K 1R0")</f>
        <v>K0K 1R0</v>
      </c>
      <c r="E6227" s="3" t="str">
        <f>IFERROR(__xludf.DUMMYFUNCTION("""COMPUTED_VALUE"""),"kim rayner ")</f>
        <v>kim rayner </v>
      </c>
      <c r="F6227" s="3" t="str">
        <f>IFERROR(__xludf.DUMMYFUNCTION("""COMPUTED_VALUE"""),"kim.rayner56@gmail.com")</f>
        <v>kim.rayner56@gmail.com</v>
      </c>
      <c r="G6227" s="3">
        <f>IFERROR(__xludf.DUMMYFUNCTION("""COMPUTED_VALUE"""),6.13475458E9)</f>
        <v>6134754580</v>
      </c>
      <c r="H6227" s="3">
        <f>IFERROR(__xludf.DUMMYFUNCTION("""COMPUTED_VALUE"""),6.138473499E9)</f>
        <v>6138473499</v>
      </c>
    </row>
    <row r="6228">
      <c r="A6228" s="2">
        <f>IFERROR(__xludf.DUMMYFUNCTION("""COMPUTED_VALUE"""),80017.0)</f>
        <v>80017</v>
      </c>
      <c r="B6228" s="3" t="str">
        <f>IFERROR(__xludf.DUMMYFUNCTION("""COMPUTED_VALUE"""),"76 ARANDA WAY ")</f>
        <v>76 ARANDA WAY </v>
      </c>
      <c r="C6228" s="3" t="str">
        <f>IFERROR(__xludf.DUMMYFUNCTION("""COMPUTED_VALUE"""),"CODRINGTON")</f>
        <v>CODRINGTON</v>
      </c>
      <c r="D6228" s="3" t="str">
        <f>IFERROR(__xludf.DUMMYFUNCTION("""COMPUTED_VALUE"""),"K0K 1R0")</f>
        <v>K0K 1R0</v>
      </c>
      <c r="E6228" s="3" t="str">
        <f>IFERROR(__xludf.DUMMYFUNCTION("""COMPUTED_VALUE"""),"kim rayner ")</f>
        <v>kim rayner </v>
      </c>
      <c r="F6228" s="3" t="str">
        <f>IFERROR(__xludf.DUMMYFUNCTION("""COMPUTED_VALUE"""),"kim.rayner56@gmail.com")</f>
        <v>kim.rayner56@gmail.com</v>
      </c>
      <c r="G6228" s="3">
        <f>IFERROR(__xludf.DUMMYFUNCTION("""COMPUTED_VALUE"""),6.13475458E9)</f>
        <v>6134754580</v>
      </c>
      <c r="H6228" s="3">
        <f>IFERROR(__xludf.DUMMYFUNCTION("""COMPUTED_VALUE"""),6.138473499E9)</f>
        <v>6138473499</v>
      </c>
    </row>
    <row r="6229">
      <c r="A6229" s="2">
        <f>IFERROR(__xludf.DUMMYFUNCTION("""COMPUTED_VALUE"""),80018.0)</f>
        <v>80018</v>
      </c>
      <c r="B6229" s="3" t="str">
        <f>IFERROR(__xludf.DUMMYFUNCTION("""COMPUTED_VALUE"""),"85 ARANDA WAY ")</f>
        <v>85 ARANDA WAY </v>
      </c>
      <c r="C6229" s="3" t="str">
        <f>IFERROR(__xludf.DUMMYFUNCTION("""COMPUTED_VALUE"""),"CODRINGTON")</f>
        <v>CODRINGTON</v>
      </c>
      <c r="D6229" s="3" t="str">
        <f>IFERROR(__xludf.DUMMYFUNCTION("""COMPUTED_VALUE"""),"K0K 1R0")</f>
        <v>K0K 1R0</v>
      </c>
      <c r="E6229" s="3" t="str">
        <f>IFERROR(__xludf.DUMMYFUNCTION("""COMPUTED_VALUE"""),"Curtis and Suzanne Patrick")</f>
        <v>Curtis and Suzanne Patrick</v>
      </c>
      <c r="F6229" s="3" t="str">
        <f>IFERROR(__xludf.DUMMYFUNCTION("""COMPUTED_VALUE"""),"mmscpatrick@outlook.com")</f>
        <v>mmscpatrick@outlook.com</v>
      </c>
      <c r="G6229" s="3">
        <f>IFERROR(__xludf.DUMMYFUNCTION("""COMPUTED_VALUE"""),6.139216819E9)</f>
        <v>6139216819</v>
      </c>
      <c r="H6229" s="3">
        <f>IFERROR(__xludf.DUMMYFUNCTION("""COMPUTED_VALUE"""),6.134751068E9)</f>
        <v>6134751068</v>
      </c>
    </row>
    <row r="6230">
      <c r="A6230" s="2">
        <f>IFERROR(__xludf.DUMMYFUNCTION("""COMPUTED_VALUE"""),80019.0)</f>
        <v>80019</v>
      </c>
      <c r="B6230" s="3" t="str">
        <f>IFERROR(__xludf.DUMMYFUNCTION("""COMPUTED_VALUE"""),"95 ARANDA WAY ")</f>
        <v>95 ARANDA WAY </v>
      </c>
      <c r="C6230" s="3" t="str">
        <f>IFERROR(__xludf.DUMMYFUNCTION("""COMPUTED_VALUE"""),"CODRINGTON")</f>
        <v>CODRINGTON</v>
      </c>
      <c r="D6230" s="3" t="str">
        <f>IFERROR(__xludf.DUMMYFUNCTION("""COMPUTED_VALUE"""),"K0K 1R0")</f>
        <v>K0K 1R0</v>
      </c>
      <c r="E6230" s="3" t="str">
        <f>IFERROR(__xludf.DUMMYFUNCTION("""COMPUTED_VALUE"""),"cathy belanger ")</f>
        <v>cathy belanger </v>
      </c>
      <c r="F6230" s="3" t="str">
        <f>IFERROR(__xludf.DUMMYFUNCTION("""COMPUTED_VALUE"""),"belanger57@gmail.com")</f>
        <v>belanger57@gmail.com</v>
      </c>
      <c r="G6230" s="3">
        <f>IFERROR(__xludf.DUMMYFUNCTION("""COMPUTED_VALUE"""),6.134030604E9)</f>
        <v>6134030604</v>
      </c>
      <c r="H6230" s="3"/>
    </row>
    <row r="6231">
      <c r="A6231" s="2">
        <f>IFERROR(__xludf.DUMMYFUNCTION("""COMPUTED_VALUE"""),80020.0)</f>
        <v>80020</v>
      </c>
      <c r="B6231" s="3" t="str">
        <f>IFERROR(__xludf.DUMMYFUNCTION("""COMPUTED_VALUE"""),"96 ARANDA WAY ")</f>
        <v>96 ARANDA WAY </v>
      </c>
      <c r="C6231" s="3" t="str">
        <f>IFERROR(__xludf.DUMMYFUNCTION("""COMPUTED_VALUE"""),"CODRINGTON")</f>
        <v>CODRINGTON</v>
      </c>
      <c r="D6231" s="3" t="str">
        <f>IFERROR(__xludf.DUMMYFUNCTION("""COMPUTED_VALUE"""),"K0K 1R0")</f>
        <v>K0K 1R0</v>
      </c>
      <c r="E6231" s="3" t="str">
        <f>IFERROR(__xludf.DUMMYFUNCTION("""COMPUTED_VALUE"""),"Brad Fegan")</f>
        <v>Brad Fegan</v>
      </c>
      <c r="F6231" s="3" t="str">
        <f>IFERROR(__xludf.DUMMYFUNCTION("""COMPUTED_VALUE"""),"bradfegan@hotmail.com")</f>
        <v>bradfegan@hotmail.com</v>
      </c>
      <c r="G6231" s="3">
        <f>IFERROR(__xludf.DUMMYFUNCTION("""COMPUTED_VALUE"""),9.054421515E9)</f>
        <v>9054421515</v>
      </c>
      <c r="H6231" s="3"/>
    </row>
    <row r="6232">
      <c r="A6232" s="2">
        <f>IFERROR(__xludf.DUMMYFUNCTION("""COMPUTED_VALUE"""),80032.0)</f>
        <v>80032</v>
      </c>
      <c r="B6232" s="3" t="str">
        <f>IFERROR(__xludf.DUMMYFUNCTION("""COMPUTED_VALUE"""),"14 BARRETT LANE ")</f>
        <v>14 BARRETT LANE </v>
      </c>
      <c r="C6232" s="3" t="str">
        <f>IFERROR(__xludf.DUMMYFUNCTION("""COMPUTED_VALUE"""),"CODRINGTON")</f>
        <v>CODRINGTON</v>
      </c>
      <c r="D6232" s="3" t="str">
        <f>IFERROR(__xludf.DUMMYFUNCTION("""COMPUTED_VALUE"""),"K0K 1R0")</f>
        <v>K0K 1R0</v>
      </c>
      <c r="E6232" s="3" t="str">
        <f>IFERROR(__xludf.DUMMYFUNCTION("""COMPUTED_VALUE"""),"Sarjoon Elawar")</f>
        <v>Sarjoon Elawar</v>
      </c>
      <c r="F6232" s="3" t="str">
        <f>IFERROR(__xludf.DUMMYFUNCTION("""COMPUTED_VALUE"""),"thumbsuppaint@gmail.com")</f>
        <v>thumbsuppaint@gmail.com</v>
      </c>
      <c r="G6232" s="3">
        <f>IFERROR(__xludf.DUMMYFUNCTION("""COMPUTED_VALUE"""),6.474652E9)</f>
        <v>6474652000</v>
      </c>
      <c r="H6232" s="3"/>
    </row>
    <row r="6233">
      <c r="A6233" s="2">
        <f>IFERROR(__xludf.DUMMYFUNCTION("""COMPUTED_VALUE"""),80034.0)</f>
        <v>80034</v>
      </c>
      <c r="B6233" s="3" t="str">
        <f>IFERROR(__xludf.DUMMYFUNCTION("""COMPUTED_VALUE"""),"103 BEGG RD ")</f>
        <v>103 BEGG RD </v>
      </c>
      <c r="C6233" s="3" t="str">
        <f>IFERROR(__xludf.DUMMYFUNCTION("""COMPUTED_VALUE"""),"CASTLETON")</f>
        <v>CASTLETON</v>
      </c>
      <c r="D6233" s="3" t="str">
        <f>IFERROR(__xludf.DUMMYFUNCTION("""COMPUTED_VALUE"""),"K0K 1M0")</f>
        <v>K0K 1M0</v>
      </c>
      <c r="E6233" s="3" t="str">
        <f>IFERROR(__xludf.DUMMYFUNCTION("""COMPUTED_VALUE"""),"Jacque Newman")</f>
        <v>Jacque Newman</v>
      </c>
      <c r="F6233" s="3" t="str">
        <f>IFERROR(__xludf.DUMMYFUNCTION("""COMPUTED_VALUE"""),"jacque.newman@yahoo.com")</f>
        <v>jacque.newman@yahoo.com</v>
      </c>
      <c r="G6233" s="3">
        <f>IFERROR(__xludf.DUMMYFUNCTION("""COMPUTED_VALUE"""),6.134750574E9)</f>
        <v>6134750574</v>
      </c>
      <c r="H6233" s="3"/>
    </row>
    <row r="6234">
      <c r="A6234" s="2">
        <f>IFERROR(__xludf.DUMMYFUNCTION("""COMPUTED_VALUE"""),80035.0)</f>
        <v>80035</v>
      </c>
      <c r="B6234" s="3" t="str">
        <f>IFERROR(__xludf.DUMMYFUNCTION("""COMPUTED_VALUE"""),"204 BEGG RD ")</f>
        <v>204 BEGG RD </v>
      </c>
      <c r="C6234" s="3" t="str">
        <f>IFERROR(__xludf.DUMMYFUNCTION("""COMPUTED_VALUE"""),"CASTLETON")</f>
        <v>CASTLETON</v>
      </c>
      <c r="D6234" s="3" t="str">
        <f>IFERROR(__xludf.DUMMYFUNCTION("""COMPUTED_VALUE"""),"K0K 1M0")</f>
        <v>K0K 1M0</v>
      </c>
      <c r="E6234" s="3"/>
      <c r="F6234" s="3"/>
      <c r="G6234" s="3"/>
      <c r="H6234" s="3"/>
    </row>
    <row r="6235">
      <c r="A6235" s="2">
        <f>IFERROR(__xludf.DUMMYFUNCTION("""COMPUTED_VALUE"""),80036.0)</f>
        <v>80036</v>
      </c>
      <c r="B6235" s="3" t="str">
        <f>IFERROR(__xludf.DUMMYFUNCTION("""COMPUTED_VALUE"""),"312 BEGG RD ")</f>
        <v>312 BEGG RD </v>
      </c>
      <c r="C6235" s="3" t="str">
        <f>IFERROR(__xludf.DUMMYFUNCTION("""COMPUTED_VALUE"""),"CASTLETON")</f>
        <v>CASTLETON</v>
      </c>
      <c r="D6235" s="3" t="str">
        <f>IFERROR(__xludf.DUMMYFUNCTION("""COMPUTED_VALUE"""),"K0K 1M0")</f>
        <v>K0K 1M0</v>
      </c>
      <c r="E6235" s="3"/>
      <c r="F6235" s="3"/>
      <c r="G6235" s="3"/>
      <c r="H6235" s="3"/>
    </row>
    <row r="6236">
      <c r="A6236" s="2">
        <f>IFERROR(__xludf.DUMMYFUNCTION("""COMPUTED_VALUE"""),80033.0)</f>
        <v>80033</v>
      </c>
      <c r="B6236" s="3" t="str">
        <f>IFERROR(__xludf.DUMMYFUNCTION("""COMPUTED_VALUE"""),"53 BEGG RD ")</f>
        <v>53 BEGG RD </v>
      </c>
      <c r="C6236" s="3" t="str">
        <f>IFERROR(__xludf.DUMMYFUNCTION("""COMPUTED_VALUE"""),"CASTLETON")</f>
        <v>CASTLETON</v>
      </c>
      <c r="D6236" s="3" t="str">
        <f>IFERROR(__xludf.DUMMYFUNCTION("""COMPUTED_VALUE"""),"K0K 1M0")</f>
        <v>K0K 1M0</v>
      </c>
      <c r="E6236" s="3" t="str">
        <f>IFERROR(__xludf.DUMMYFUNCTION("""COMPUTED_VALUE"""),"Pat O'Neil")</f>
        <v>Pat O'Neil</v>
      </c>
      <c r="F6236" s="3" t="str">
        <f>IFERROR(__xludf.DUMMYFUNCTION("""COMPUTED_VALUE"""),"pao33c@gmail.com")</f>
        <v>pao33c@gmail.com</v>
      </c>
      <c r="G6236" s="3"/>
      <c r="H6236" s="3"/>
    </row>
    <row r="6237">
      <c r="A6237" s="2">
        <f>IFERROR(__xludf.DUMMYFUNCTION("""COMPUTED_VALUE"""),80037.0)</f>
        <v>80037</v>
      </c>
      <c r="B6237" s="3" t="str">
        <f>IFERROR(__xludf.DUMMYFUNCTION("""COMPUTED_VALUE"""),"146 BROOKS CRES ")</f>
        <v>146 BROOKS CRES </v>
      </c>
      <c r="C6237" s="3" t="str">
        <f>IFERROR(__xludf.DUMMYFUNCTION("""COMPUTED_VALUE"""),"BRIGHTON")</f>
        <v>BRIGHTON</v>
      </c>
      <c r="D6237" s="3" t="str">
        <f>IFERROR(__xludf.DUMMYFUNCTION("""COMPUTED_VALUE"""),"K0K 1H0")</f>
        <v>K0K 1H0</v>
      </c>
      <c r="E6237" s="3"/>
      <c r="F6237" s="3"/>
      <c r="G6237" s="3"/>
      <c r="H6237" s="3"/>
    </row>
    <row r="6238">
      <c r="A6238" s="2">
        <f>IFERROR(__xludf.DUMMYFUNCTION("""COMPUTED_VALUE"""),80038.0)</f>
        <v>80038</v>
      </c>
      <c r="B6238" s="3" t="str">
        <f>IFERROR(__xludf.DUMMYFUNCTION("""COMPUTED_VALUE"""),"154 BROOKS CRES ")</f>
        <v>154 BROOKS CRES </v>
      </c>
      <c r="C6238" s="3" t="str">
        <f>IFERROR(__xludf.DUMMYFUNCTION("""COMPUTED_VALUE"""),"BRIGHTON")</f>
        <v>BRIGHTON</v>
      </c>
      <c r="D6238" s="3" t="str">
        <f>IFERROR(__xludf.DUMMYFUNCTION("""COMPUTED_VALUE"""),"K0K 1H0")</f>
        <v>K0K 1H0</v>
      </c>
      <c r="E6238" s="3"/>
      <c r="F6238" s="3"/>
      <c r="G6238" s="3"/>
      <c r="H6238" s="3"/>
    </row>
    <row r="6239">
      <c r="A6239" s="2">
        <f>IFERROR(__xludf.DUMMYFUNCTION("""COMPUTED_VALUE"""),80039.0)</f>
        <v>80039</v>
      </c>
      <c r="B6239" s="3" t="str">
        <f>IFERROR(__xludf.DUMMYFUNCTION("""COMPUTED_VALUE"""),"188 BROOKS CRES ")</f>
        <v>188 BROOKS CRES </v>
      </c>
      <c r="C6239" s="3" t="str">
        <f>IFERROR(__xludf.DUMMYFUNCTION("""COMPUTED_VALUE"""),"BRIGHTON")</f>
        <v>BRIGHTON</v>
      </c>
      <c r="D6239" s="3" t="str">
        <f>IFERROR(__xludf.DUMMYFUNCTION("""COMPUTED_VALUE"""),"K0K 1H0")</f>
        <v>K0K 1H0</v>
      </c>
      <c r="E6239" s="3"/>
      <c r="F6239" s="3"/>
      <c r="G6239" s="3"/>
      <c r="H6239" s="3"/>
    </row>
    <row r="6240">
      <c r="A6240" s="2">
        <f>IFERROR(__xludf.DUMMYFUNCTION("""COMPUTED_VALUE"""),80041.0)</f>
        <v>80041</v>
      </c>
      <c r="B6240" s="3" t="str">
        <f>IFERROR(__xludf.DUMMYFUNCTION("""COMPUTED_VALUE"""),"228 BROOKS CRES ")</f>
        <v>228 BROOKS CRES </v>
      </c>
      <c r="C6240" s="3" t="str">
        <f>IFERROR(__xludf.DUMMYFUNCTION("""COMPUTED_VALUE"""),"BRIGHTON")</f>
        <v>BRIGHTON</v>
      </c>
      <c r="D6240" s="3" t="str">
        <f>IFERROR(__xludf.DUMMYFUNCTION("""COMPUTED_VALUE"""),"K0K 1H0")</f>
        <v>K0K 1H0</v>
      </c>
      <c r="E6240" s="3" t="str">
        <f>IFERROR(__xludf.DUMMYFUNCTION("""COMPUTED_VALUE"""),"Ashley Hutchinson")</f>
        <v>Ashley Hutchinson</v>
      </c>
      <c r="F6240" s="3" t="str">
        <f>IFERROR(__xludf.DUMMYFUNCTION("""COMPUTED_VALUE"""),"a_hutchinson24@hotmail.com")</f>
        <v>a_hutchinson24@hotmail.com</v>
      </c>
      <c r="G6240" s="3">
        <f>IFERROR(__xludf.DUMMYFUNCTION("""COMPUTED_VALUE"""),7.056326207E9)</f>
        <v>7056326207</v>
      </c>
      <c r="H6240" s="3"/>
    </row>
    <row r="6241">
      <c r="A6241" s="2">
        <f>IFERROR(__xludf.DUMMYFUNCTION("""COMPUTED_VALUE"""),80042.0)</f>
        <v>80042</v>
      </c>
      <c r="B6241" s="3" t="str">
        <f>IFERROR(__xludf.DUMMYFUNCTION("""COMPUTED_VALUE"""),"234 BROOKS CRES ")</f>
        <v>234 BROOKS CRES </v>
      </c>
      <c r="C6241" s="3" t="str">
        <f>IFERROR(__xludf.DUMMYFUNCTION("""COMPUTED_VALUE"""),"BRIGHTON")</f>
        <v>BRIGHTON</v>
      </c>
      <c r="D6241" s="3" t="str">
        <f>IFERROR(__xludf.DUMMYFUNCTION("""COMPUTED_VALUE"""),"K0K 1H0")</f>
        <v>K0K 1H0</v>
      </c>
      <c r="E6241" s="3" t="str">
        <f>IFERROR(__xludf.DUMMYFUNCTION("""COMPUTED_VALUE"""),"shawn low")</f>
        <v>shawn low</v>
      </c>
      <c r="F6241" s="3" t="str">
        <f>IFERROR(__xludf.DUMMYFUNCTION("""COMPUTED_VALUE"""),"Shawnlow82@gmail.com")</f>
        <v>Shawnlow82@gmail.com</v>
      </c>
      <c r="G6241" s="3">
        <f>IFERROR(__xludf.DUMMYFUNCTION("""COMPUTED_VALUE"""),9.083766729E9)</f>
        <v>9083766729</v>
      </c>
      <c r="H6241" s="3"/>
    </row>
    <row r="6242">
      <c r="A6242" s="2">
        <f>IFERROR(__xludf.DUMMYFUNCTION("""COMPUTED_VALUE"""),80043.0)</f>
        <v>80043</v>
      </c>
      <c r="B6242" s="3" t="str">
        <f>IFERROR(__xludf.DUMMYFUNCTION("""COMPUTED_VALUE"""),"115 BROOMFIELD RD ")</f>
        <v>115 BROOMFIELD RD </v>
      </c>
      <c r="C6242" s="3" t="str">
        <f>IFERROR(__xludf.DUMMYFUNCTION("""COMPUTED_VALUE"""),"COLBORNE")</f>
        <v>COLBORNE</v>
      </c>
      <c r="D6242" s="3" t="str">
        <f>IFERROR(__xludf.DUMMYFUNCTION("""COMPUTED_VALUE"""),"K0K 1S0")</f>
        <v>K0K 1S0</v>
      </c>
      <c r="E6242" s="3" t="str">
        <f>IFERROR(__xludf.DUMMYFUNCTION("""COMPUTED_VALUE"""),"dailan ronals")</f>
        <v>dailan ronals</v>
      </c>
      <c r="F6242" s="3" t="str">
        <f>IFERROR(__xludf.DUMMYFUNCTION("""COMPUTED_VALUE"""),"d-ronals@hotmail.com")</f>
        <v>d-ronals@hotmail.com</v>
      </c>
      <c r="G6242" s="3">
        <f>IFERROR(__xludf.DUMMYFUNCTION("""COMPUTED_VALUE"""),9.054497818E9)</f>
        <v>9054497818</v>
      </c>
      <c r="H6242" s="3"/>
    </row>
    <row r="6243">
      <c r="A6243" s="2">
        <f>IFERROR(__xludf.DUMMYFUNCTION("""COMPUTED_VALUE"""),80044.0)</f>
        <v>80044</v>
      </c>
      <c r="B6243" s="3" t="str">
        <f>IFERROR(__xludf.DUMMYFUNCTION("""COMPUTED_VALUE"""),"120 BROOMFIELD RD ")</f>
        <v>120 BROOMFIELD RD </v>
      </c>
      <c r="C6243" s="3" t="str">
        <f>IFERROR(__xludf.DUMMYFUNCTION("""COMPUTED_VALUE"""),"COLBORNE")</f>
        <v>COLBORNE</v>
      </c>
      <c r="D6243" s="3" t="str">
        <f>IFERROR(__xludf.DUMMYFUNCTION("""COMPUTED_VALUE"""),"K0K 1S0")</f>
        <v>K0K 1S0</v>
      </c>
      <c r="E6243" s="3"/>
      <c r="F6243" s="3"/>
      <c r="G6243" s="3"/>
      <c r="H6243" s="3"/>
    </row>
    <row r="6244">
      <c r="A6244" s="2">
        <f>IFERROR(__xludf.DUMMYFUNCTION("""COMPUTED_VALUE"""),80045.0)</f>
        <v>80045</v>
      </c>
      <c r="B6244" s="3" t="str">
        <f>IFERROR(__xludf.DUMMYFUNCTION("""COMPUTED_VALUE"""),"11 BRYCE DR ")</f>
        <v>11 BRYCE DR </v>
      </c>
      <c r="C6244" s="3" t="str">
        <f>IFERROR(__xludf.DUMMYFUNCTION("""COMPUTED_VALUE"""),"CODRINGTON")</f>
        <v>CODRINGTON</v>
      </c>
      <c r="D6244" s="3" t="str">
        <f>IFERROR(__xludf.DUMMYFUNCTION("""COMPUTED_VALUE"""),"K0K 1R0")</f>
        <v>K0K 1R0</v>
      </c>
      <c r="E6244" s="3" t="str">
        <f>IFERROR(__xludf.DUMMYFUNCTION("""COMPUTED_VALUE"""),"MATHEW HEINOLA")</f>
        <v>MATHEW HEINOLA</v>
      </c>
      <c r="F6244" s="3" t="str">
        <f>IFERROR(__xludf.DUMMYFUNCTION("""COMPUTED_VALUE"""),"m_heinola@hotmail.com")</f>
        <v>m_heinola@hotmail.com</v>
      </c>
      <c r="G6244" s="3">
        <f>IFERROR(__xludf.DUMMYFUNCTION("""COMPUTED_VALUE"""),6.478663583E9)</f>
        <v>6478663583</v>
      </c>
      <c r="H6244" s="3"/>
    </row>
    <row r="6245">
      <c r="A6245" s="2">
        <f>IFERROR(__xludf.DUMMYFUNCTION("""COMPUTED_VALUE"""),80046.0)</f>
        <v>80046</v>
      </c>
      <c r="B6245" s="3" t="str">
        <f>IFERROR(__xludf.DUMMYFUNCTION("""COMPUTED_VALUE"""),"35 BRYCE DR ")</f>
        <v>35 BRYCE DR </v>
      </c>
      <c r="C6245" s="3" t="str">
        <f>IFERROR(__xludf.DUMMYFUNCTION("""COMPUTED_VALUE"""),"CODRINGTON")</f>
        <v>CODRINGTON</v>
      </c>
      <c r="D6245" s="3" t="str">
        <f>IFERROR(__xludf.DUMMYFUNCTION("""COMPUTED_VALUE"""),"K0K 1R0")</f>
        <v>K0K 1R0</v>
      </c>
      <c r="E6245" s="3" t="str">
        <f>IFERROR(__xludf.DUMMYFUNCTION("""COMPUTED_VALUE"""),"Ken Oosting")</f>
        <v>Ken Oosting</v>
      </c>
      <c r="F6245" s="3" t="str">
        <f>IFERROR(__xludf.DUMMYFUNCTION("""COMPUTED_VALUE"""),"kenoget@gmail.com")</f>
        <v>kenoget@gmail.com</v>
      </c>
      <c r="G6245" s="3">
        <f>IFERROR(__xludf.DUMMYFUNCTION("""COMPUTED_VALUE"""),6.139213133E9)</f>
        <v>6139213133</v>
      </c>
      <c r="H6245" s="3"/>
    </row>
    <row r="6246">
      <c r="A6246" s="2">
        <f>IFERROR(__xludf.DUMMYFUNCTION("""COMPUTED_VALUE"""),80047.0)</f>
        <v>80047</v>
      </c>
      <c r="B6246" s="3" t="str">
        <f>IFERROR(__xludf.DUMMYFUNCTION("""COMPUTED_VALUE"""),"39 BRYCE DR ")</f>
        <v>39 BRYCE DR </v>
      </c>
      <c r="C6246" s="3" t="str">
        <f>IFERROR(__xludf.DUMMYFUNCTION("""COMPUTED_VALUE"""),"CODRINGTON")</f>
        <v>CODRINGTON</v>
      </c>
      <c r="D6246" s="3" t="str">
        <f>IFERROR(__xludf.DUMMYFUNCTION("""COMPUTED_VALUE"""),"K0K 1R0")</f>
        <v>K0K 1R0</v>
      </c>
      <c r="E6246" s="3"/>
      <c r="F6246" s="3"/>
      <c r="G6246" s="3"/>
      <c r="H6246" s="3"/>
    </row>
    <row r="6247">
      <c r="A6247" s="2">
        <f>IFERROR(__xludf.DUMMYFUNCTION("""COMPUTED_VALUE"""),80048.0)</f>
        <v>80048</v>
      </c>
      <c r="B6247" s="3" t="str">
        <f>IFERROR(__xludf.DUMMYFUNCTION("""COMPUTED_VALUE"""),"48 BRYCE DR ")</f>
        <v>48 BRYCE DR </v>
      </c>
      <c r="C6247" s="3" t="str">
        <f>IFERROR(__xludf.DUMMYFUNCTION("""COMPUTED_VALUE"""),"CODRINGTON")</f>
        <v>CODRINGTON</v>
      </c>
      <c r="D6247" s="3" t="str">
        <f>IFERROR(__xludf.DUMMYFUNCTION("""COMPUTED_VALUE"""),"K0K 1R0")</f>
        <v>K0K 1R0</v>
      </c>
      <c r="E6247" s="3" t="str">
        <f>IFERROR(__xludf.DUMMYFUNCTION("""COMPUTED_VALUE"""),"Linda Chambers")</f>
        <v>Linda Chambers</v>
      </c>
      <c r="F6247" s="3" t="str">
        <f>IFERROR(__xludf.DUMMYFUNCTION("""COMPUTED_VALUE"""),"tlchambers48@gmail.com")</f>
        <v>tlchambers48@gmail.com</v>
      </c>
      <c r="G6247" s="3">
        <f>IFERROR(__xludf.DUMMYFUNCTION("""COMPUTED_VALUE"""),6.134753515E9)</f>
        <v>6134753515</v>
      </c>
      <c r="H6247" s="3"/>
    </row>
    <row r="6248">
      <c r="A6248" s="2">
        <f>IFERROR(__xludf.DUMMYFUNCTION("""COMPUTED_VALUE"""),80049.0)</f>
        <v>80049</v>
      </c>
      <c r="B6248" s="3" t="str">
        <f>IFERROR(__xludf.DUMMYFUNCTION("""COMPUTED_VALUE"""),"49 BRYCE DR ")</f>
        <v>49 BRYCE DR </v>
      </c>
      <c r="C6248" s="3" t="str">
        <f>IFERROR(__xludf.DUMMYFUNCTION("""COMPUTED_VALUE"""),"CODRINGTON")</f>
        <v>CODRINGTON</v>
      </c>
      <c r="D6248" s="3" t="str">
        <f>IFERROR(__xludf.DUMMYFUNCTION("""COMPUTED_VALUE"""),"K0K 1R0")</f>
        <v>K0K 1R0</v>
      </c>
      <c r="E6248" s="3"/>
      <c r="F6248" s="3"/>
      <c r="G6248" s="3"/>
      <c r="H6248" s="3"/>
    </row>
    <row r="6249">
      <c r="A6249" s="2">
        <f>IFERROR(__xludf.DUMMYFUNCTION("""COMPUTED_VALUE"""),81063.0)</f>
        <v>81063</v>
      </c>
      <c r="B6249" s="3" t="str">
        <f>IFERROR(__xludf.DUMMYFUNCTION("""COMPUTED_VALUE"""),"55 BRYCE DR ")</f>
        <v>55 BRYCE DR </v>
      </c>
      <c r="C6249" s="3" t="str">
        <f>IFERROR(__xludf.DUMMYFUNCTION("""COMPUTED_VALUE"""),"CODRINGTON")</f>
        <v>CODRINGTON</v>
      </c>
      <c r="D6249" s="3" t="str">
        <f>IFERROR(__xludf.DUMMYFUNCTION("""COMPUTED_VALUE"""),"K0K 1R0")</f>
        <v>K0K 1R0</v>
      </c>
      <c r="E6249" s="3"/>
      <c r="F6249" s="3"/>
      <c r="G6249" s="3"/>
      <c r="H6249" s="3"/>
    </row>
    <row r="6250">
      <c r="A6250" s="2">
        <f>IFERROR(__xludf.DUMMYFUNCTION("""COMPUTED_VALUE"""),81064.0)</f>
        <v>81064</v>
      </c>
      <c r="B6250" s="3" t="str">
        <f>IFERROR(__xludf.DUMMYFUNCTION("""COMPUTED_VALUE"""),"59 BRYCE DR ")</f>
        <v>59 BRYCE DR </v>
      </c>
      <c r="C6250" s="3" t="str">
        <f>IFERROR(__xludf.DUMMYFUNCTION("""COMPUTED_VALUE"""),"CODRINGTON")</f>
        <v>CODRINGTON</v>
      </c>
      <c r="D6250" s="3" t="str">
        <f>IFERROR(__xludf.DUMMYFUNCTION("""COMPUTED_VALUE"""),"K0K 1R0")</f>
        <v>K0K 1R0</v>
      </c>
      <c r="E6250" s="3"/>
      <c r="F6250" s="3"/>
      <c r="G6250" s="3"/>
      <c r="H6250" s="3"/>
    </row>
    <row r="6251">
      <c r="A6251" s="2">
        <f>IFERROR(__xludf.DUMMYFUNCTION("""COMPUTED_VALUE"""),80056.0)</f>
        <v>80056</v>
      </c>
      <c r="B6251" s="3" t="str">
        <f>IFERROR(__xludf.DUMMYFUNCTION("""COMPUTED_VALUE"""),"18 CAMERON RD ")</f>
        <v>18 CAMERON RD </v>
      </c>
      <c r="C6251" s="3" t="str">
        <f>IFERROR(__xludf.DUMMYFUNCTION("""COMPUTED_VALUE"""),"CODRINGTON")</f>
        <v>CODRINGTON</v>
      </c>
      <c r="D6251" s="3" t="str">
        <f>IFERROR(__xludf.DUMMYFUNCTION("""COMPUTED_VALUE"""),"K0K 1R0")</f>
        <v>K0K 1R0</v>
      </c>
      <c r="E6251" s="3"/>
      <c r="F6251" s="3"/>
      <c r="G6251" s="3"/>
      <c r="H6251" s="3"/>
    </row>
    <row r="6252">
      <c r="A6252" s="2">
        <f>IFERROR(__xludf.DUMMYFUNCTION("""COMPUTED_VALUE"""),80087.0)</f>
        <v>80087</v>
      </c>
      <c r="B6252" s="3" t="str">
        <f>IFERROR(__xludf.DUMMYFUNCTION("""COMPUTED_VALUE"""),"1028 CARMAN RD ")</f>
        <v>1028 CARMAN RD </v>
      </c>
      <c r="C6252" s="3" t="str">
        <f>IFERROR(__xludf.DUMMYFUNCTION("""COMPUTED_VALUE"""),"BRIGHTON")</f>
        <v>BRIGHTON</v>
      </c>
      <c r="D6252" s="3" t="str">
        <f>IFERROR(__xludf.DUMMYFUNCTION("""COMPUTED_VALUE"""),"K0K 1H0")</f>
        <v>K0K 1H0</v>
      </c>
      <c r="E6252" s="3" t="str">
        <f>IFERROR(__xludf.DUMMYFUNCTION("""COMPUTED_VALUE"""),"kyle sharpe ")</f>
        <v>kyle sharpe </v>
      </c>
      <c r="F6252" s="3" t="str">
        <f>IFERROR(__xludf.DUMMYFUNCTION("""COMPUTED_VALUE"""),"sharpeyatdfi@hotmail.com")</f>
        <v>sharpeyatdfi@hotmail.com</v>
      </c>
      <c r="G6252" s="3">
        <f>IFERROR(__xludf.DUMMYFUNCTION("""COMPUTED_VALUE"""),6.13919172E9)</f>
        <v>6139191720</v>
      </c>
      <c r="H6252" s="3">
        <f>IFERROR(__xludf.DUMMYFUNCTION("""COMPUTED_VALUE"""),9.057184086E9)</f>
        <v>9057184086</v>
      </c>
    </row>
    <row r="6253">
      <c r="A6253" s="2">
        <f>IFERROR(__xludf.DUMMYFUNCTION("""COMPUTED_VALUE"""),80088.0)</f>
        <v>80088</v>
      </c>
      <c r="B6253" s="3" t="str">
        <f>IFERROR(__xludf.DUMMYFUNCTION("""COMPUTED_VALUE"""),"1043 CARMAN RD ")</f>
        <v>1043 CARMAN RD </v>
      </c>
      <c r="C6253" s="3" t="str">
        <f>IFERROR(__xludf.DUMMYFUNCTION("""COMPUTED_VALUE"""),"BRIGHTON")</f>
        <v>BRIGHTON</v>
      </c>
      <c r="D6253" s="3" t="str">
        <f>IFERROR(__xludf.DUMMYFUNCTION("""COMPUTED_VALUE"""),"K0K 1H0")</f>
        <v>K0K 1H0</v>
      </c>
      <c r="E6253" s="3" t="str">
        <f>IFERROR(__xludf.DUMMYFUNCTION("""COMPUTED_VALUE"""),"Mackenzie Yarrow")</f>
        <v>Mackenzie Yarrow</v>
      </c>
      <c r="F6253" s="3" t="str">
        <f>IFERROR(__xludf.DUMMYFUNCTION("""COMPUTED_VALUE"""),"joshuayarrow24@gmail.com")</f>
        <v>joshuayarrow24@gmail.com</v>
      </c>
      <c r="G6253" s="3"/>
      <c r="H6253" s="3"/>
    </row>
    <row r="6254">
      <c r="A6254" s="2">
        <f>IFERROR(__xludf.DUMMYFUNCTION("""COMPUTED_VALUE"""),81042.0)</f>
        <v>81042</v>
      </c>
      <c r="B6254" s="3" t="str">
        <f>IFERROR(__xludf.DUMMYFUNCTION("""COMPUTED_VALUE"""),"1048 CARMAN RD ")</f>
        <v>1048 CARMAN RD </v>
      </c>
      <c r="C6254" s="3" t="str">
        <f>IFERROR(__xludf.DUMMYFUNCTION("""COMPUTED_VALUE"""),"BRIGHTON")</f>
        <v>BRIGHTON</v>
      </c>
      <c r="D6254" s="3" t="str">
        <f>IFERROR(__xludf.DUMMYFUNCTION("""COMPUTED_VALUE"""),"K0K 1H0")</f>
        <v>K0K 1H0</v>
      </c>
      <c r="E6254" s="3"/>
      <c r="F6254" s="3"/>
      <c r="G6254" s="3"/>
      <c r="H6254" s="3"/>
    </row>
    <row r="6255">
      <c r="A6255" s="2">
        <f>IFERROR(__xludf.DUMMYFUNCTION("""COMPUTED_VALUE"""),81043.0)</f>
        <v>81043</v>
      </c>
      <c r="B6255" s="3" t="str">
        <f>IFERROR(__xludf.DUMMYFUNCTION("""COMPUTED_VALUE"""),"1055 CARMAN RD ")</f>
        <v>1055 CARMAN RD </v>
      </c>
      <c r="C6255" s="3" t="str">
        <f>IFERROR(__xludf.DUMMYFUNCTION("""COMPUTED_VALUE"""),"BRIGHTON")</f>
        <v>BRIGHTON</v>
      </c>
      <c r="D6255" s="3" t="str">
        <f>IFERROR(__xludf.DUMMYFUNCTION("""COMPUTED_VALUE"""),"K0K 1H0")</f>
        <v>K0K 1H0</v>
      </c>
      <c r="E6255" s="3" t="str">
        <f>IFERROR(__xludf.DUMMYFUNCTION("""COMPUTED_VALUE"""),"Michael Haisma")</f>
        <v>Michael Haisma</v>
      </c>
      <c r="F6255" s="3" t="str">
        <f>IFERROR(__xludf.DUMMYFUNCTION("""COMPUTED_VALUE"""),"Mjhaisma@outlook.com")</f>
        <v>Mjhaisma@outlook.com</v>
      </c>
      <c r="G6255" s="3">
        <f>IFERROR(__xludf.DUMMYFUNCTION("""COMPUTED_VALUE"""),6.134753352E9)</f>
        <v>6134753352</v>
      </c>
      <c r="H6255" s="3">
        <f>IFERROR(__xludf.DUMMYFUNCTION("""COMPUTED_VALUE"""),6.13813077E9)</f>
        <v>6138130770</v>
      </c>
    </row>
    <row r="6256">
      <c r="A6256" s="2">
        <f>IFERROR(__xludf.DUMMYFUNCTION("""COMPUTED_VALUE"""),80089.0)</f>
        <v>80089</v>
      </c>
      <c r="B6256" s="3" t="str">
        <f>IFERROR(__xludf.DUMMYFUNCTION("""COMPUTED_VALUE"""),"1067 CARMAN RD ")</f>
        <v>1067 CARMAN RD </v>
      </c>
      <c r="C6256" s="3" t="str">
        <f>IFERROR(__xludf.DUMMYFUNCTION("""COMPUTED_VALUE"""),"BRIGHTON")</f>
        <v>BRIGHTON</v>
      </c>
      <c r="D6256" s="3" t="str">
        <f>IFERROR(__xludf.DUMMYFUNCTION("""COMPUTED_VALUE"""),"K0K 1H0")</f>
        <v>K0K 1H0</v>
      </c>
      <c r="E6256" s="3" t="str">
        <f>IFERROR(__xludf.DUMMYFUNCTION("""COMPUTED_VALUE"""),"Mike Ciolfe")</f>
        <v>Mike Ciolfe</v>
      </c>
      <c r="F6256" s="3" t="str">
        <f>IFERROR(__xludf.DUMMYFUNCTION("""COMPUTED_VALUE"""),"mciolfe@bell.net")</f>
        <v>mciolfe@bell.net</v>
      </c>
      <c r="G6256" s="3">
        <f>IFERROR(__xludf.DUMMYFUNCTION("""COMPUTED_VALUE"""),6.139619977E9)</f>
        <v>6139619977</v>
      </c>
      <c r="H6256" s="3"/>
    </row>
    <row r="6257">
      <c r="A6257" s="2">
        <f>IFERROR(__xludf.DUMMYFUNCTION("""COMPUTED_VALUE"""),80090.0)</f>
        <v>80090</v>
      </c>
      <c r="B6257" s="3" t="str">
        <f>IFERROR(__xludf.DUMMYFUNCTION("""COMPUTED_VALUE"""),"1075 CARMAN RD ")</f>
        <v>1075 CARMAN RD </v>
      </c>
      <c r="C6257" s="3" t="str">
        <f>IFERROR(__xludf.DUMMYFUNCTION("""COMPUTED_VALUE"""),"BRIGHTON")</f>
        <v>BRIGHTON</v>
      </c>
      <c r="D6257" s="3" t="str">
        <f>IFERROR(__xludf.DUMMYFUNCTION("""COMPUTED_VALUE"""),"K0K 1H0")</f>
        <v>K0K 1H0</v>
      </c>
      <c r="E6257" s="3" t="str">
        <f>IFERROR(__xludf.DUMMYFUNCTION("""COMPUTED_VALUE"""),"mitchel sharpe")</f>
        <v>mitchel sharpe</v>
      </c>
      <c r="F6257" s="3" t="str">
        <f>IFERROR(__xludf.DUMMYFUNCTION("""COMPUTED_VALUE"""),"sharpesexcavating@gmail.com")</f>
        <v>sharpesexcavating@gmail.com</v>
      </c>
      <c r="G6257" s="3">
        <f>IFERROR(__xludf.DUMMYFUNCTION("""COMPUTED_VALUE"""),6.138859366E9)</f>
        <v>6138859366</v>
      </c>
      <c r="H6257" s="3"/>
    </row>
    <row r="6258">
      <c r="A6258" s="2">
        <f>IFERROR(__xludf.DUMMYFUNCTION("""COMPUTED_VALUE"""),80091.0)</f>
        <v>80091</v>
      </c>
      <c r="B6258" s="3" t="str">
        <f>IFERROR(__xludf.DUMMYFUNCTION("""COMPUTED_VALUE"""),"1087 CARMAN RD ")</f>
        <v>1087 CARMAN RD </v>
      </c>
      <c r="C6258" s="3" t="str">
        <f>IFERROR(__xludf.DUMMYFUNCTION("""COMPUTED_VALUE"""),"BRIGHTON")</f>
        <v>BRIGHTON</v>
      </c>
      <c r="D6258" s="3" t="str">
        <f>IFERROR(__xludf.DUMMYFUNCTION("""COMPUTED_VALUE"""),"K0K 1H0")</f>
        <v>K0K 1H0</v>
      </c>
      <c r="E6258" s="3"/>
      <c r="F6258" s="3"/>
      <c r="G6258" s="3"/>
      <c r="H6258" s="3"/>
    </row>
    <row r="6259">
      <c r="A6259" s="2">
        <f>IFERROR(__xludf.DUMMYFUNCTION("""COMPUTED_VALUE"""),80092.0)</f>
        <v>80092</v>
      </c>
      <c r="B6259" s="3" t="str">
        <f>IFERROR(__xludf.DUMMYFUNCTION("""COMPUTED_VALUE"""),"1089 CARMAN RD ")</f>
        <v>1089 CARMAN RD </v>
      </c>
      <c r="C6259" s="3" t="str">
        <f>IFERROR(__xludf.DUMMYFUNCTION("""COMPUTED_VALUE"""),"BRIGHTON")</f>
        <v>BRIGHTON</v>
      </c>
      <c r="D6259" s="3" t="str">
        <f>IFERROR(__xludf.DUMMYFUNCTION("""COMPUTED_VALUE"""),"K0K 1H0")</f>
        <v>K0K 1H0</v>
      </c>
      <c r="E6259" s="3" t="str">
        <f>IFERROR(__xludf.DUMMYFUNCTION("""COMPUTED_VALUE"""),"Bruce Myles")</f>
        <v>Bruce Myles</v>
      </c>
      <c r="F6259" s="3" t="str">
        <f>IFERROR(__xludf.DUMMYFUNCTION("""COMPUTED_VALUE"""),"mylesguys@hotmail.ca")</f>
        <v>mylesguys@hotmail.ca</v>
      </c>
      <c r="G6259" s="3">
        <f>IFERROR(__xludf.DUMMYFUNCTION("""COMPUTED_VALUE"""),3.43645274E9)</f>
        <v>3436452740</v>
      </c>
      <c r="H6259" s="3"/>
    </row>
    <row r="6260">
      <c r="A6260" s="2">
        <f>IFERROR(__xludf.DUMMYFUNCTION("""COMPUTED_VALUE"""),80093.0)</f>
        <v>80093</v>
      </c>
      <c r="B6260" s="3" t="str">
        <f>IFERROR(__xludf.DUMMYFUNCTION("""COMPUTED_VALUE"""),"1090 CARMAN RD ")</f>
        <v>1090 CARMAN RD </v>
      </c>
      <c r="C6260" s="3" t="str">
        <f>IFERROR(__xludf.DUMMYFUNCTION("""COMPUTED_VALUE"""),"BRIGHTON")</f>
        <v>BRIGHTON</v>
      </c>
      <c r="D6260" s="3" t="str">
        <f>IFERROR(__xludf.DUMMYFUNCTION("""COMPUTED_VALUE"""),"K0K 1H0")</f>
        <v>K0K 1H0</v>
      </c>
      <c r="E6260" s="3" t="str">
        <f>IFERROR(__xludf.DUMMYFUNCTION("""COMPUTED_VALUE"""),"kelly m sharpe")</f>
        <v>kelly m sharpe</v>
      </c>
      <c r="F6260" s="3" t="str">
        <f>IFERROR(__xludf.DUMMYFUNCTION("""COMPUTED_VALUE"""),"kandmsharpe@gmail.com")</f>
        <v>kandmsharpe@gmail.com</v>
      </c>
      <c r="G6260" s="3">
        <f>IFERROR(__xludf.DUMMYFUNCTION("""COMPUTED_VALUE"""),3.432639498E9)</f>
        <v>3432639498</v>
      </c>
      <c r="H6260" s="3">
        <f>IFERROR(__xludf.DUMMYFUNCTION("""COMPUTED_VALUE"""),6.133919246E9)</f>
        <v>6133919246</v>
      </c>
    </row>
    <row r="6261">
      <c r="A6261" s="2">
        <f>IFERROR(__xludf.DUMMYFUNCTION("""COMPUTED_VALUE"""),80094.0)</f>
        <v>80094</v>
      </c>
      <c r="B6261" s="3" t="str">
        <f>IFERROR(__xludf.DUMMYFUNCTION("""COMPUTED_VALUE"""),"1163 CARMAN RD ")</f>
        <v>1163 CARMAN RD </v>
      </c>
      <c r="C6261" s="3" t="str">
        <f>IFERROR(__xludf.DUMMYFUNCTION("""COMPUTED_VALUE"""),"BRIGHTON")</f>
        <v>BRIGHTON</v>
      </c>
      <c r="D6261" s="3" t="str">
        <f>IFERROR(__xludf.DUMMYFUNCTION("""COMPUTED_VALUE"""),"K0K 1H0")</f>
        <v>K0K 1H0</v>
      </c>
      <c r="E6261" s="3" t="str">
        <f>IFERROR(__xludf.DUMMYFUNCTION("""COMPUTED_VALUE"""),"Stuart Williams ")</f>
        <v>Stuart Williams </v>
      </c>
      <c r="F6261" s="3" t="str">
        <f>IFERROR(__xludf.DUMMYFUNCTION("""COMPUTED_VALUE"""),"stwilliams68@outlook.com")</f>
        <v>stwilliams68@outlook.com</v>
      </c>
      <c r="G6261" s="3"/>
      <c r="H6261" s="3"/>
    </row>
    <row r="6262">
      <c r="A6262" s="2">
        <f>IFERROR(__xludf.DUMMYFUNCTION("""COMPUTED_VALUE"""),80095.0)</f>
        <v>80095</v>
      </c>
      <c r="B6262" s="3" t="str">
        <f>IFERROR(__xludf.DUMMYFUNCTION("""COMPUTED_VALUE"""),"1179 CARMAN RD ")</f>
        <v>1179 CARMAN RD </v>
      </c>
      <c r="C6262" s="3" t="str">
        <f>IFERROR(__xludf.DUMMYFUNCTION("""COMPUTED_VALUE"""),"BRIGHTON")</f>
        <v>BRIGHTON</v>
      </c>
      <c r="D6262" s="3" t="str">
        <f>IFERROR(__xludf.DUMMYFUNCTION("""COMPUTED_VALUE"""),"K0K 1H0")</f>
        <v>K0K 1H0</v>
      </c>
      <c r="E6262" s="3" t="str">
        <f>IFERROR(__xludf.DUMMYFUNCTION("""COMPUTED_VALUE"""),"Phillip Barnes")</f>
        <v>Phillip Barnes</v>
      </c>
      <c r="F6262" s="3" t="str">
        <f>IFERROR(__xludf.DUMMYFUNCTION("""COMPUTED_VALUE"""),"phil@wethinkit.ca")</f>
        <v>phil@wethinkit.ca</v>
      </c>
      <c r="G6262" s="3">
        <f>IFERROR(__xludf.DUMMYFUNCTION("""COMPUTED_VALUE"""),6.134753381E9)</f>
        <v>6134753381</v>
      </c>
      <c r="H6262" s="3">
        <f>IFERROR(__xludf.DUMMYFUNCTION("""COMPUTED_VALUE"""),6.139200288E9)</f>
        <v>6139200288</v>
      </c>
    </row>
    <row r="6263">
      <c r="A6263" s="2">
        <f>IFERROR(__xludf.DUMMYFUNCTION("""COMPUTED_VALUE"""),80096.0)</f>
        <v>80096</v>
      </c>
      <c r="B6263" s="3" t="str">
        <f>IFERROR(__xludf.DUMMYFUNCTION("""COMPUTED_VALUE"""),"1187 CARMAN RD ")</f>
        <v>1187 CARMAN RD </v>
      </c>
      <c r="C6263" s="3" t="str">
        <f>IFERROR(__xludf.DUMMYFUNCTION("""COMPUTED_VALUE"""),"BRIGHTON")</f>
        <v>BRIGHTON</v>
      </c>
      <c r="D6263" s="3" t="str">
        <f>IFERROR(__xludf.DUMMYFUNCTION("""COMPUTED_VALUE"""),"K0K 1H0")</f>
        <v>K0K 1H0</v>
      </c>
      <c r="E6263" s="3" t="str">
        <f>IFERROR(__xludf.DUMMYFUNCTION("""COMPUTED_VALUE"""),"Jason Lowery")</f>
        <v>Jason Lowery</v>
      </c>
      <c r="F6263" s="3" t="str">
        <f>IFERROR(__xludf.DUMMYFUNCTION("""COMPUTED_VALUE"""),"jaselowery13@gmail.com")</f>
        <v>jaselowery13@gmail.com</v>
      </c>
      <c r="G6263" s="3">
        <f>IFERROR(__xludf.DUMMYFUNCTION("""COMPUTED_VALUE"""),9.059255556E9)</f>
        <v>9059255556</v>
      </c>
      <c r="H6263" s="3">
        <f>IFERROR(__xludf.DUMMYFUNCTION("""COMPUTED_VALUE"""),9.059991248E9)</f>
        <v>9059991248</v>
      </c>
    </row>
    <row r="6264">
      <c r="A6264" s="2">
        <f>IFERROR(__xludf.DUMMYFUNCTION("""COMPUTED_VALUE"""),80097.0)</f>
        <v>80097</v>
      </c>
      <c r="B6264" s="3" t="str">
        <f>IFERROR(__xludf.DUMMYFUNCTION("""COMPUTED_VALUE"""),"1249 CARMAN RD ")</f>
        <v>1249 CARMAN RD </v>
      </c>
      <c r="C6264" s="3" t="str">
        <f>IFERROR(__xludf.DUMMYFUNCTION("""COMPUTED_VALUE"""),"BRIGHTON")</f>
        <v>BRIGHTON</v>
      </c>
      <c r="D6264" s="3" t="str">
        <f>IFERROR(__xludf.DUMMYFUNCTION("""COMPUTED_VALUE"""),"K0K 1H0")</f>
        <v>K0K 1H0</v>
      </c>
      <c r="E6264" s="3" t="str">
        <f>IFERROR(__xludf.DUMMYFUNCTION("""COMPUTED_VALUE"""),"Christopher Low")</f>
        <v>Christopher Low</v>
      </c>
      <c r="F6264" s="3" t="str">
        <f>IFERROR(__xludf.DUMMYFUNCTION("""COMPUTED_VALUE"""),"chrislow@canadianpower.ca")</f>
        <v>chrislow@canadianpower.ca</v>
      </c>
      <c r="G6264" s="3"/>
      <c r="H6264" s="3"/>
    </row>
    <row r="6265">
      <c r="A6265" s="2">
        <f>IFERROR(__xludf.DUMMYFUNCTION("""COMPUTED_VALUE"""),80098.0)</f>
        <v>80098</v>
      </c>
      <c r="B6265" s="3" t="str">
        <f>IFERROR(__xludf.DUMMYFUNCTION("""COMPUTED_VALUE"""),"1258 CARMAN RD ")</f>
        <v>1258 CARMAN RD </v>
      </c>
      <c r="C6265" s="3" t="str">
        <f>IFERROR(__xludf.DUMMYFUNCTION("""COMPUTED_VALUE"""),"BRIGHTON")</f>
        <v>BRIGHTON</v>
      </c>
      <c r="D6265" s="3" t="str">
        <f>IFERROR(__xludf.DUMMYFUNCTION("""COMPUTED_VALUE"""),"K0K 1H0")</f>
        <v>K0K 1H0</v>
      </c>
      <c r="E6265" s="3"/>
      <c r="F6265" s="3"/>
      <c r="G6265" s="3"/>
      <c r="H6265" s="3"/>
    </row>
    <row r="6266">
      <c r="A6266" s="2">
        <f>IFERROR(__xludf.DUMMYFUNCTION("""COMPUTED_VALUE"""),80062.0)</f>
        <v>80062</v>
      </c>
      <c r="B6266" s="3" t="str">
        <f>IFERROR(__xludf.DUMMYFUNCTION("""COMPUTED_VALUE"""),"151 CARMAN RD ")</f>
        <v>151 CARMAN RD </v>
      </c>
      <c r="C6266" s="3" t="str">
        <f>IFERROR(__xludf.DUMMYFUNCTION("""COMPUTED_VALUE"""),"BRIGHTON")</f>
        <v>BRIGHTON</v>
      </c>
      <c r="D6266" s="3" t="str">
        <f>IFERROR(__xludf.DUMMYFUNCTION("""COMPUTED_VALUE"""),"K0K 1H0")</f>
        <v>K0K 1H0</v>
      </c>
      <c r="E6266" s="3" t="str">
        <f>IFERROR(__xludf.DUMMYFUNCTION("""COMPUTED_VALUE"""),"Bernard Kloosterman")</f>
        <v>Bernard Kloosterman</v>
      </c>
      <c r="F6266" s="3" t="str">
        <f>IFERROR(__xludf.DUMMYFUNCTION("""COMPUTED_VALUE"""),"klooyv@gmail.com")</f>
        <v>klooyv@gmail.com</v>
      </c>
      <c r="G6266" s="3"/>
      <c r="H6266" s="3"/>
    </row>
    <row r="6267">
      <c r="A6267" s="2">
        <f>IFERROR(__xludf.DUMMYFUNCTION("""COMPUTED_VALUE"""),80063.0)</f>
        <v>80063</v>
      </c>
      <c r="B6267" s="3" t="str">
        <f>IFERROR(__xludf.DUMMYFUNCTION("""COMPUTED_VALUE"""),"230 CARMAN RD ")</f>
        <v>230 CARMAN RD </v>
      </c>
      <c r="C6267" s="3" t="str">
        <f>IFERROR(__xludf.DUMMYFUNCTION("""COMPUTED_VALUE"""),"BRIGHTON")</f>
        <v>BRIGHTON</v>
      </c>
      <c r="D6267" s="3" t="str">
        <f>IFERROR(__xludf.DUMMYFUNCTION("""COMPUTED_VALUE"""),"K0K 1H0")</f>
        <v>K0K 1H0</v>
      </c>
      <c r="E6267" s="3" t="str">
        <f>IFERROR(__xludf.DUMMYFUNCTION("""COMPUTED_VALUE"""),"b, vanegmond")</f>
        <v>b, vanegmond</v>
      </c>
      <c r="F6267" s="3" t="str">
        <f>IFERROR(__xludf.DUMMYFUNCTION("""COMPUTED_VALUE"""),"vanegmond@hotmail.ca")</f>
        <v>vanegmond@hotmail.ca</v>
      </c>
      <c r="G6267" s="3">
        <f>IFERROR(__xludf.DUMMYFUNCTION("""COMPUTED_VALUE"""),6.134753262E9)</f>
        <v>6134753262</v>
      </c>
      <c r="H6267" s="3"/>
    </row>
    <row r="6268">
      <c r="A6268" s="2">
        <f>IFERROR(__xludf.DUMMYFUNCTION("""COMPUTED_VALUE"""),80064.0)</f>
        <v>80064</v>
      </c>
      <c r="B6268" s="3" t="str">
        <f>IFERROR(__xludf.DUMMYFUNCTION("""COMPUTED_VALUE"""),"231 CARMAN RD ")</f>
        <v>231 CARMAN RD </v>
      </c>
      <c r="C6268" s="3" t="str">
        <f>IFERROR(__xludf.DUMMYFUNCTION("""COMPUTED_VALUE"""),"BRIGHTON")</f>
        <v>BRIGHTON</v>
      </c>
      <c r="D6268" s="3" t="str">
        <f>IFERROR(__xludf.DUMMYFUNCTION("""COMPUTED_VALUE"""),"K0K 1H0")</f>
        <v>K0K 1H0</v>
      </c>
      <c r="E6268" s="3"/>
      <c r="F6268" s="3"/>
      <c r="G6268" s="3"/>
      <c r="H6268" s="3"/>
    </row>
    <row r="6269">
      <c r="A6269" s="2">
        <f>IFERROR(__xludf.DUMMYFUNCTION("""COMPUTED_VALUE"""),80065.0)</f>
        <v>80065</v>
      </c>
      <c r="B6269" s="3" t="str">
        <f>IFERROR(__xludf.DUMMYFUNCTION("""COMPUTED_VALUE"""),"300 CARMAN RD ")</f>
        <v>300 CARMAN RD </v>
      </c>
      <c r="C6269" s="3" t="str">
        <f>IFERROR(__xludf.DUMMYFUNCTION("""COMPUTED_VALUE"""),"BRIGHTON")</f>
        <v>BRIGHTON</v>
      </c>
      <c r="D6269" s="3" t="str">
        <f>IFERROR(__xludf.DUMMYFUNCTION("""COMPUTED_VALUE"""),"K0K 1H0")</f>
        <v>K0K 1H0</v>
      </c>
      <c r="E6269" s="3" t="str">
        <f>IFERROR(__xludf.DUMMYFUNCTION("""COMPUTED_VALUE"""),"Brenda VanEgmond")</f>
        <v>Brenda VanEgmond</v>
      </c>
      <c r="F6269" s="3" t="str">
        <f>IFERROR(__xludf.DUMMYFUNCTION("""COMPUTED_VALUE"""),"vanegmond@hotmail.ca")</f>
        <v>vanegmond@hotmail.ca</v>
      </c>
      <c r="G6269" s="3">
        <f>IFERROR(__xludf.DUMMYFUNCTION("""COMPUTED_VALUE"""),6.134753262E9)</f>
        <v>6134753262</v>
      </c>
      <c r="H6269" s="3">
        <f>IFERROR(__xludf.DUMMYFUNCTION("""COMPUTED_VALUE"""),6.134377337E9)</f>
        <v>6134377337</v>
      </c>
    </row>
    <row r="6270">
      <c r="A6270" s="2">
        <f>IFERROR(__xludf.DUMMYFUNCTION("""COMPUTED_VALUE"""),80066.0)</f>
        <v>80066</v>
      </c>
      <c r="B6270" s="3" t="str">
        <f>IFERROR(__xludf.DUMMYFUNCTION("""COMPUTED_VALUE"""),"406 CARMAN RD ")</f>
        <v>406 CARMAN RD </v>
      </c>
      <c r="C6270" s="3" t="str">
        <f>IFERROR(__xludf.DUMMYFUNCTION("""COMPUTED_VALUE"""),"BRIGHTON")</f>
        <v>BRIGHTON</v>
      </c>
      <c r="D6270" s="3" t="str">
        <f>IFERROR(__xludf.DUMMYFUNCTION("""COMPUTED_VALUE"""),"K0K 1H0")</f>
        <v>K0K 1H0</v>
      </c>
      <c r="E6270" s="3" t="str">
        <f>IFERROR(__xludf.DUMMYFUNCTION("""COMPUTED_VALUE"""),"Lucas Wheatley")</f>
        <v>Lucas Wheatley</v>
      </c>
      <c r="F6270" s="3" t="str">
        <f>IFERROR(__xludf.DUMMYFUNCTION("""COMPUTED_VALUE"""),"lwwheatley2@gmail.com")</f>
        <v>lwwheatley2@gmail.com</v>
      </c>
      <c r="G6270" s="3">
        <f>IFERROR(__xludf.DUMMYFUNCTION("""COMPUTED_VALUE"""),6.134388825E9)</f>
        <v>6134388825</v>
      </c>
      <c r="H6270" s="3"/>
    </row>
    <row r="6271">
      <c r="A6271" s="2">
        <f>IFERROR(__xludf.DUMMYFUNCTION("""COMPUTED_VALUE"""),80067.0)</f>
        <v>80067</v>
      </c>
      <c r="B6271" s="3" t="str">
        <f>IFERROR(__xludf.DUMMYFUNCTION("""COMPUTED_VALUE"""),"431 CARMAN RD ")</f>
        <v>431 CARMAN RD </v>
      </c>
      <c r="C6271" s="3" t="str">
        <f>IFERROR(__xludf.DUMMYFUNCTION("""COMPUTED_VALUE"""),"BRIGHTON")</f>
        <v>BRIGHTON</v>
      </c>
      <c r="D6271" s="3" t="str">
        <f>IFERROR(__xludf.DUMMYFUNCTION("""COMPUTED_VALUE"""),"K0K 1H0")</f>
        <v>K0K 1H0</v>
      </c>
      <c r="E6271" s="3" t="str">
        <f>IFERROR(__xludf.DUMMYFUNCTION("""COMPUTED_VALUE"""),"brend vanegmond")</f>
        <v>brend vanegmond</v>
      </c>
      <c r="F6271" s="3" t="str">
        <f>IFERROR(__xludf.DUMMYFUNCTION("""COMPUTED_VALUE"""),"vangemond@hotmail.com")</f>
        <v>vangemond@hotmail.com</v>
      </c>
      <c r="G6271" s="3">
        <f>IFERROR(__xludf.DUMMYFUNCTION("""COMPUTED_VALUE"""),6.134753262E9)</f>
        <v>6134753262</v>
      </c>
      <c r="H6271" s="3"/>
    </row>
    <row r="6272">
      <c r="A6272" s="2">
        <f>IFERROR(__xludf.DUMMYFUNCTION("""COMPUTED_VALUE"""),80068.0)</f>
        <v>80068</v>
      </c>
      <c r="B6272" s="3" t="str">
        <f>IFERROR(__xludf.DUMMYFUNCTION("""COMPUTED_VALUE"""),"491 CARMAN RD ")</f>
        <v>491 CARMAN RD </v>
      </c>
      <c r="C6272" s="3" t="str">
        <f>IFERROR(__xludf.DUMMYFUNCTION("""COMPUTED_VALUE"""),"BRIGHTON")</f>
        <v>BRIGHTON</v>
      </c>
      <c r="D6272" s="3" t="str">
        <f>IFERROR(__xludf.DUMMYFUNCTION("""COMPUTED_VALUE"""),"K0K 1H0")</f>
        <v>K0K 1H0</v>
      </c>
      <c r="E6272" s="3"/>
      <c r="F6272" s="3"/>
      <c r="G6272" s="3"/>
      <c r="H6272" s="3"/>
    </row>
    <row r="6273">
      <c r="A6273" s="2">
        <f>IFERROR(__xludf.DUMMYFUNCTION("""COMPUTED_VALUE"""),80069.0)</f>
        <v>80069</v>
      </c>
      <c r="B6273" s="3" t="str">
        <f>IFERROR(__xludf.DUMMYFUNCTION("""COMPUTED_VALUE"""),"523 CARMAN RD ")</f>
        <v>523 CARMAN RD </v>
      </c>
      <c r="C6273" s="3" t="str">
        <f>IFERROR(__xludf.DUMMYFUNCTION("""COMPUTED_VALUE"""),"BRIGHTON")</f>
        <v>BRIGHTON</v>
      </c>
      <c r="D6273" s="3" t="str">
        <f>IFERROR(__xludf.DUMMYFUNCTION("""COMPUTED_VALUE"""),"K0K 1H0")</f>
        <v>K0K 1H0</v>
      </c>
      <c r="E6273" s="3"/>
      <c r="F6273" s="3"/>
      <c r="G6273" s="3"/>
      <c r="H6273" s="3"/>
    </row>
    <row r="6274">
      <c r="A6274" s="2">
        <f>IFERROR(__xludf.DUMMYFUNCTION("""COMPUTED_VALUE"""),80070.0)</f>
        <v>80070</v>
      </c>
      <c r="B6274" s="3" t="str">
        <f>IFERROR(__xludf.DUMMYFUNCTION("""COMPUTED_VALUE"""),"526 CARMAN RD ")</f>
        <v>526 CARMAN RD </v>
      </c>
      <c r="C6274" s="3" t="str">
        <f>IFERROR(__xludf.DUMMYFUNCTION("""COMPUTED_VALUE"""),"BRIGHTON")</f>
        <v>BRIGHTON</v>
      </c>
      <c r="D6274" s="3" t="str">
        <f>IFERROR(__xludf.DUMMYFUNCTION("""COMPUTED_VALUE"""),"K0K 1H0")</f>
        <v>K0K 1H0</v>
      </c>
      <c r="E6274" s="3" t="str">
        <f>IFERROR(__xludf.DUMMYFUNCTION("""COMPUTED_VALUE"""),"Martin Opsteen")</f>
        <v>Martin Opsteen</v>
      </c>
      <c r="F6274" s="3" t="str">
        <f>IFERROR(__xludf.DUMMYFUNCTION("""COMPUTED_VALUE"""),"martinopsteen@gmail.com")</f>
        <v>martinopsteen@gmail.com</v>
      </c>
      <c r="G6274" s="3">
        <f>IFERROR(__xludf.DUMMYFUNCTION("""COMPUTED_VALUE"""),6.13920117E9)</f>
        <v>6139201170</v>
      </c>
      <c r="H6274" s="3">
        <f>IFERROR(__xludf.DUMMYFUNCTION("""COMPUTED_VALUE"""),7.059342132E9)</f>
        <v>7059342132</v>
      </c>
    </row>
    <row r="6275">
      <c r="A6275" s="2">
        <f>IFERROR(__xludf.DUMMYFUNCTION("""COMPUTED_VALUE"""),80071.0)</f>
        <v>80071</v>
      </c>
      <c r="B6275" s="3" t="str">
        <f>IFERROR(__xludf.DUMMYFUNCTION("""COMPUTED_VALUE"""),"556 CARMAN RD ")</f>
        <v>556 CARMAN RD </v>
      </c>
      <c r="C6275" s="3" t="str">
        <f>IFERROR(__xludf.DUMMYFUNCTION("""COMPUTED_VALUE"""),"BRIGHTON")</f>
        <v>BRIGHTON</v>
      </c>
      <c r="D6275" s="3" t="str">
        <f>IFERROR(__xludf.DUMMYFUNCTION("""COMPUTED_VALUE"""),"K0K 1H0")</f>
        <v>K0K 1H0</v>
      </c>
      <c r="E6275" s="3" t="str">
        <f>IFERROR(__xludf.DUMMYFUNCTION("""COMPUTED_VALUE"""),"matt semple ")</f>
        <v>matt semple </v>
      </c>
      <c r="F6275" s="3"/>
      <c r="G6275" s="3">
        <f>IFERROR(__xludf.DUMMYFUNCTION("""COMPUTED_VALUE"""),6.134032768E9)</f>
        <v>6134032768</v>
      </c>
      <c r="H6275" s="3"/>
    </row>
    <row r="6276">
      <c r="A6276" s="2">
        <f>IFERROR(__xludf.DUMMYFUNCTION("""COMPUTED_VALUE"""),80072.0)</f>
        <v>80072</v>
      </c>
      <c r="B6276" s="3" t="str">
        <f>IFERROR(__xludf.DUMMYFUNCTION("""COMPUTED_VALUE"""),"632 CARMAN RD ")</f>
        <v>632 CARMAN RD </v>
      </c>
      <c r="C6276" s="3" t="str">
        <f>IFERROR(__xludf.DUMMYFUNCTION("""COMPUTED_VALUE"""),"BRIGHTON")</f>
        <v>BRIGHTON</v>
      </c>
      <c r="D6276" s="3" t="str">
        <f>IFERROR(__xludf.DUMMYFUNCTION("""COMPUTED_VALUE"""),"K0K 1H0")</f>
        <v>K0K 1H0</v>
      </c>
      <c r="E6276" s="3" t="str">
        <f>IFERROR(__xludf.DUMMYFUNCTION("""COMPUTED_VALUE"""),"Blake E Terry/Patricia D stewart")</f>
        <v>Blake E Terry/Patricia D stewart</v>
      </c>
      <c r="F6276" s="3" t="str">
        <f>IFERROR(__xludf.DUMMYFUNCTION("""COMPUTED_VALUE"""),"blakezx11@gmail.com")</f>
        <v>blakezx11@gmail.com</v>
      </c>
      <c r="G6276" s="3"/>
      <c r="H6276" s="3"/>
    </row>
    <row r="6277">
      <c r="A6277" s="2">
        <f>IFERROR(__xludf.DUMMYFUNCTION("""COMPUTED_VALUE"""),80073.0)</f>
        <v>80073</v>
      </c>
      <c r="B6277" s="3" t="str">
        <f>IFERROR(__xludf.DUMMYFUNCTION("""COMPUTED_VALUE"""),"647 CARMAN RD ")</f>
        <v>647 CARMAN RD </v>
      </c>
      <c r="C6277" s="3" t="str">
        <f>IFERROR(__xludf.DUMMYFUNCTION("""COMPUTED_VALUE"""),"BRIGHTON")</f>
        <v>BRIGHTON</v>
      </c>
      <c r="D6277" s="3" t="str">
        <f>IFERROR(__xludf.DUMMYFUNCTION("""COMPUTED_VALUE"""),"K0K 1H0")</f>
        <v>K0K 1H0</v>
      </c>
      <c r="E6277" s="3" t="str">
        <f>IFERROR(__xludf.DUMMYFUNCTION("""COMPUTED_VALUE"""),"kelly sharpe")</f>
        <v>kelly sharpe</v>
      </c>
      <c r="F6277" s="3" t="str">
        <f>IFERROR(__xludf.DUMMYFUNCTION("""COMPUTED_VALUE"""),"kandmsharpe@gmail.com`")</f>
        <v>kandmsharpe@gmail.com`</v>
      </c>
      <c r="G6277" s="3">
        <f>IFERROR(__xludf.DUMMYFUNCTION("""COMPUTED_VALUE"""),6.133919246E9)</f>
        <v>6133919246</v>
      </c>
      <c r="H6277" s="3">
        <f>IFERROR(__xludf.DUMMYFUNCTION("""COMPUTED_VALUE"""),3.432639498E9)</f>
        <v>3432639498</v>
      </c>
    </row>
    <row r="6278">
      <c r="A6278" s="2">
        <f>IFERROR(__xludf.DUMMYFUNCTION("""COMPUTED_VALUE"""),80074.0)</f>
        <v>80074</v>
      </c>
      <c r="B6278" s="3" t="str">
        <f>IFERROR(__xludf.DUMMYFUNCTION("""COMPUTED_VALUE"""),"696 CARMAN RD ")</f>
        <v>696 CARMAN RD </v>
      </c>
      <c r="C6278" s="3" t="str">
        <f>IFERROR(__xludf.DUMMYFUNCTION("""COMPUTED_VALUE"""),"BRIGHTON")</f>
        <v>BRIGHTON</v>
      </c>
      <c r="D6278" s="3" t="str">
        <f>IFERROR(__xludf.DUMMYFUNCTION("""COMPUTED_VALUE"""),"K0K 1H0")</f>
        <v>K0K 1H0</v>
      </c>
      <c r="E6278" s="3" t="str">
        <f>IFERROR(__xludf.DUMMYFUNCTION("""COMPUTED_VALUE"""),"douglas richens")</f>
        <v>douglas richens</v>
      </c>
      <c r="F6278" s="3" t="str">
        <f>IFERROR(__xludf.DUMMYFUNCTION("""COMPUTED_VALUE"""),"douglas.richens@gmail.com")</f>
        <v>douglas.richens@gmail.com</v>
      </c>
      <c r="G6278" s="3">
        <f>IFERROR(__xludf.DUMMYFUNCTION("""COMPUTED_VALUE"""),2.89688566E9)</f>
        <v>2896885660</v>
      </c>
      <c r="H6278" s="3"/>
    </row>
    <row r="6279">
      <c r="A6279" s="2">
        <f>IFERROR(__xludf.DUMMYFUNCTION("""COMPUTED_VALUE"""),80075.0)</f>
        <v>80075</v>
      </c>
      <c r="B6279" s="3" t="str">
        <f>IFERROR(__xludf.DUMMYFUNCTION("""COMPUTED_VALUE"""),"708 CARMAN RD ")</f>
        <v>708 CARMAN RD </v>
      </c>
      <c r="C6279" s="3" t="str">
        <f>IFERROR(__xludf.DUMMYFUNCTION("""COMPUTED_VALUE"""),"BRIGHTON")</f>
        <v>BRIGHTON</v>
      </c>
      <c r="D6279" s="3" t="str">
        <f>IFERROR(__xludf.DUMMYFUNCTION("""COMPUTED_VALUE"""),"K0K 1H0")</f>
        <v>K0K 1H0</v>
      </c>
      <c r="E6279" s="3"/>
      <c r="F6279" s="3"/>
      <c r="G6279" s="3"/>
      <c r="H6279" s="3"/>
    </row>
    <row r="6280">
      <c r="A6280" s="2">
        <f>IFERROR(__xludf.DUMMYFUNCTION("""COMPUTED_VALUE"""),80076.0)</f>
        <v>80076</v>
      </c>
      <c r="B6280" s="3" t="str">
        <f>IFERROR(__xludf.DUMMYFUNCTION("""COMPUTED_VALUE"""),"728 CARMAN RD ")</f>
        <v>728 CARMAN RD </v>
      </c>
      <c r="C6280" s="3" t="str">
        <f>IFERROR(__xludf.DUMMYFUNCTION("""COMPUTED_VALUE"""),"BRIGHTON")</f>
        <v>BRIGHTON</v>
      </c>
      <c r="D6280" s="3" t="str">
        <f>IFERROR(__xludf.DUMMYFUNCTION("""COMPUTED_VALUE"""),"K0K 1H0")</f>
        <v>K0K 1H0</v>
      </c>
      <c r="E6280" s="3"/>
      <c r="F6280" s="3"/>
      <c r="G6280" s="3"/>
      <c r="H6280" s="3"/>
    </row>
    <row r="6281">
      <c r="A6281" s="2">
        <f>IFERROR(__xludf.DUMMYFUNCTION("""COMPUTED_VALUE"""),80077.0)</f>
        <v>80077</v>
      </c>
      <c r="B6281" s="3" t="str">
        <f>IFERROR(__xludf.DUMMYFUNCTION("""COMPUTED_VALUE"""),"753 CARMAN RD ")</f>
        <v>753 CARMAN RD </v>
      </c>
      <c r="C6281" s="3" t="str">
        <f>IFERROR(__xludf.DUMMYFUNCTION("""COMPUTED_VALUE"""),"BRIGHTON")</f>
        <v>BRIGHTON</v>
      </c>
      <c r="D6281" s="3" t="str">
        <f>IFERROR(__xludf.DUMMYFUNCTION("""COMPUTED_VALUE"""),"K0K 1H0")</f>
        <v>K0K 1H0</v>
      </c>
      <c r="E6281" s="3"/>
      <c r="F6281" s="3"/>
      <c r="G6281" s="3"/>
      <c r="H6281" s="3"/>
    </row>
    <row r="6282">
      <c r="A6282" s="2">
        <f>IFERROR(__xludf.DUMMYFUNCTION("""COMPUTED_VALUE"""),80078.0)</f>
        <v>80078</v>
      </c>
      <c r="B6282" s="3" t="str">
        <f>IFERROR(__xludf.DUMMYFUNCTION("""COMPUTED_VALUE"""),"772 CARMAN RD ")</f>
        <v>772 CARMAN RD </v>
      </c>
      <c r="C6282" s="3" t="str">
        <f>IFERROR(__xludf.DUMMYFUNCTION("""COMPUTED_VALUE"""),"BRIGHTON")</f>
        <v>BRIGHTON</v>
      </c>
      <c r="D6282" s="3" t="str">
        <f>IFERROR(__xludf.DUMMYFUNCTION("""COMPUTED_VALUE"""),"K0K 1H0")</f>
        <v>K0K 1H0</v>
      </c>
      <c r="E6282" s="3"/>
      <c r="F6282" s="3"/>
      <c r="G6282" s="3"/>
      <c r="H6282" s="3"/>
    </row>
    <row r="6283">
      <c r="A6283" s="2">
        <f>IFERROR(__xludf.DUMMYFUNCTION("""COMPUTED_VALUE"""),80079.0)</f>
        <v>80079</v>
      </c>
      <c r="B6283" s="3" t="str">
        <f>IFERROR(__xludf.DUMMYFUNCTION("""COMPUTED_VALUE"""),"781 CARMAN RD ")</f>
        <v>781 CARMAN RD </v>
      </c>
      <c r="C6283" s="3" t="str">
        <f>IFERROR(__xludf.DUMMYFUNCTION("""COMPUTED_VALUE"""),"BRIGHTON")</f>
        <v>BRIGHTON</v>
      </c>
      <c r="D6283" s="3" t="str">
        <f>IFERROR(__xludf.DUMMYFUNCTION("""COMPUTED_VALUE"""),"K0K 1H0")</f>
        <v>K0K 1H0</v>
      </c>
      <c r="E6283" s="3" t="str">
        <f>IFERROR(__xludf.DUMMYFUNCTION("""COMPUTED_VALUE"""),"Bruce Stewart")</f>
        <v>Bruce Stewart</v>
      </c>
      <c r="F6283" s="3" t="str">
        <f>IFERROR(__xludf.DUMMYFUNCTION("""COMPUTED_VALUE"""),"stirlane@gmail.com")</f>
        <v>stirlane@gmail.com</v>
      </c>
      <c r="G6283" s="3">
        <f>IFERROR(__xludf.DUMMYFUNCTION("""COMPUTED_VALUE"""),6.133911921E9)</f>
        <v>6133911921</v>
      </c>
      <c r="H6283" s="3"/>
    </row>
    <row r="6284">
      <c r="A6284" s="2">
        <f>IFERROR(__xludf.DUMMYFUNCTION("""COMPUTED_VALUE"""),80080.0)</f>
        <v>80080</v>
      </c>
      <c r="B6284" s="3" t="str">
        <f>IFERROR(__xludf.DUMMYFUNCTION("""COMPUTED_VALUE"""),"784 CARMAN RD ")</f>
        <v>784 CARMAN RD </v>
      </c>
      <c r="C6284" s="3" t="str">
        <f>IFERROR(__xludf.DUMMYFUNCTION("""COMPUTED_VALUE"""),"BRIGHTON")</f>
        <v>BRIGHTON</v>
      </c>
      <c r="D6284" s="3" t="str">
        <f>IFERROR(__xludf.DUMMYFUNCTION("""COMPUTED_VALUE"""),"K0K 1H0")</f>
        <v>K0K 1H0</v>
      </c>
      <c r="E6284" s="3"/>
      <c r="F6284" s="3"/>
      <c r="G6284" s="3"/>
      <c r="H6284" s="3"/>
    </row>
    <row r="6285">
      <c r="A6285" s="2">
        <f>IFERROR(__xludf.DUMMYFUNCTION("""COMPUTED_VALUE"""),80081.0)</f>
        <v>80081</v>
      </c>
      <c r="B6285" s="3" t="str">
        <f>IFERROR(__xludf.DUMMYFUNCTION("""COMPUTED_VALUE"""),"820 CARMAN RD ")</f>
        <v>820 CARMAN RD </v>
      </c>
      <c r="C6285" s="3" t="str">
        <f>IFERROR(__xludf.DUMMYFUNCTION("""COMPUTED_VALUE"""),"BRIGHTON")</f>
        <v>BRIGHTON</v>
      </c>
      <c r="D6285" s="3" t="str">
        <f>IFERROR(__xludf.DUMMYFUNCTION("""COMPUTED_VALUE"""),"K0K 1H0")</f>
        <v>K0K 1H0</v>
      </c>
      <c r="E6285" s="3"/>
      <c r="F6285" s="3"/>
      <c r="G6285" s="3"/>
      <c r="H6285" s="3"/>
    </row>
    <row r="6286">
      <c r="A6286" s="2">
        <f>IFERROR(__xludf.DUMMYFUNCTION("""COMPUTED_VALUE"""),80099.0)</f>
        <v>80099</v>
      </c>
      <c r="B6286" s="3" t="str">
        <f>IFERROR(__xludf.DUMMYFUNCTION("""COMPUTED_VALUE"""),"890-902 CARMAN RD ")</f>
        <v>890-902 CARMAN RD </v>
      </c>
      <c r="C6286" s="3" t="str">
        <f>IFERROR(__xludf.DUMMYFUNCTION("""COMPUTED_VALUE"""),"BRIGHTON")</f>
        <v>BRIGHTON</v>
      </c>
      <c r="D6286" s="3" t="str">
        <f>IFERROR(__xludf.DUMMYFUNCTION("""COMPUTED_VALUE"""),"K0K 1H0")</f>
        <v>K0K 1H0</v>
      </c>
      <c r="E6286" s="3" t="str">
        <f>IFERROR(__xludf.DUMMYFUNCTION("""COMPUTED_VALUE"""),"george taylor")</f>
        <v>george taylor</v>
      </c>
      <c r="F6286" s="3" t="str">
        <f>IFERROR(__xludf.DUMMYFUNCTION("""COMPUTED_VALUE"""),"georgetaylor49@hotmail.com")</f>
        <v>georgetaylor49@hotmail.com</v>
      </c>
      <c r="G6286" s="3">
        <f>IFERROR(__xludf.DUMMYFUNCTION("""COMPUTED_VALUE"""),6.139677329E9)</f>
        <v>6139677329</v>
      </c>
      <c r="H6286" s="3"/>
    </row>
    <row r="6287">
      <c r="A6287" s="2">
        <f>IFERROR(__xludf.DUMMYFUNCTION("""COMPUTED_VALUE"""),80099.0)</f>
        <v>80099</v>
      </c>
      <c r="B6287" s="3" t="str">
        <f>IFERROR(__xludf.DUMMYFUNCTION("""COMPUTED_VALUE"""),"902 CARMAN RD ")</f>
        <v>902 CARMAN RD </v>
      </c>
      <c r="C6287" s="3" t="str">
        <f>IFERROR(__xludf.DUMMYFUNCTION("""COMPUTED_VALUE"""),"BRIGHTON")</f>
        <v>BRIGHTON</v>
      </c>
      <c r="D6287" s="3" t="str">
        <f>IFERROR(__xludf.DUMMYFUNCTION("""COMPUTED_VALUE"""),"K0K 1H0")</f>
        <v>K0K 1H0</v>
      </c>
      <c r="E6287" s="3" t="str">
        <f>IFERROR(__xludf.DUMMYFUNCTION("""COMPUTED_VALUE"""),"george taylor")</f>
        <v>george taylor</v>
      </c>
      <c r="F6287" s="3" t="str">
        <f>IFERROR(__xludf.DUMMYFUNCTION("""COMPUTED_VALUE"""),"georgetaylor49@hotmail.com")</f>
        <v>georgetaylor49@hotmail.com</v>
      </c>
      <c r="G6287" s="3">
        <f>IFERROR(__xludf.DUMMYFUNCTION("""COMPUTED_VALUE"""),6.139677329E9)</f>
        <v>6139677329</v>
      </c>
      <c r="H6287" s="3"/>
    </row>
    <row r="6288">
      <c r="A6288" s="2">
        <f>IFERROR(__xludf.DUMMYFUNCTION("""COMPUTED_VALUE"""),80082.0)</f>
        <v>80082</v>
      </c>
      <c r="B6288" s="3" t="str">
        <f>IFERROR(__xludf.DUMMYFUNCTION("""COMPUTED_VALUE"""),"917 CARMAN RD ")</f>
        <v>917 CARMAN RD </v>
      </c>
      <c r="C6288" s="3" t="str">
        <f>IFERROR(__xludf.DUMMYFUNCTION("""COMPUTED_VALUE"""),"BRIGHTON")</f>
        <v>BRIGHTON</v>
      </c>
      <c r="D6288" s="3" t="str">
        <f>IFERROR(__xludf.DUMMYFUNCTION("""COMPUTED_VALUE"""),"K0K 1H0")</f>
        <v>K0K 1H0</v>
      </c>
      <c r="E6288" s="3" t="str">
        <f>IFERROR(__xludf.DUMMYFUNCTION("""COMPUTED_VALUE"""),"terry plumton")</f>
        <v>terry plumton</v>
      </c>
      <c r="F6288" s="3"/>
      <c r="G6288" s="3">
        <f>IFERROR(__xludf.DUMMYFUNCTION("""COMPUTED_VALUE"""),6.134751606E9)</f>
        <v>6134751606</v>
      </c>
      <c r="H6288" s="3"/>
    </row>
    <row r="6289">
      <c r="A6289" s="2">
        <f>IFERROR(__xludf.DUMMYFUNCTION("""COMPUTED_VALUE"""),80084.0)</f>
        <v>80084</v>
      </c>
      <c r="B6289" s="3" t="str">
        <f>IFERROR(__xludf.DUMMYFUNCTION("""COMPUTED_VALUE"""),"946 CARMAN RD ")</f>
        <v>946 CARMAN RD </v>
      </c>
      <c r="C6289" s="3" t="str">
        <f>IFERROR(__xludf.DUMMYFUNCTION("""COMPUTED_VALUE"""),"BRIGHTON")</f>
        <v>BRIGHTON</v>
      </c>
      <c r="D6289" s="3" t="str">
        <f>IFERROR(__xludf.DUMMYFUNCTION("""COMPUTED_VALUE"""),"K0K 1H0")</f>
        <v>K0K 1H0</v>
      </c>
      <c r="E6289" s="3" t="str">
        <f>IFERROR(__xludf.DUMMYFUNCTION("""COMPUTED_VALUE"""),"Emily Parisian")</f>
        <v>Emily Parisian</v>
      </c>
      <c r="F6289" s="3" t="str">
        <f>IFERROR(__xludf.DUMMYFUNCTION("""COMPUTED_VALUE"""),"emilyjenparisian@gmail.com")</f>
        <v>emilyjenparisian@gmail.com</v>
      </c>
      <c r="G6289" s="3">
        <f>IFERROR(__xludf.DUMMYFUNCTION("""COMPUTED_VALUE"""),4.16697269E9)</f>
        <v>4166972690</v>
      </c>
      <c r="H6289" s="3"/>
    </row>
    <row r="6290">
      <c r="A6290" s="2">
        <f>IFERROR(__xludf.DUMMYFUNCTION("""COMPUTED_VALUE"""),80085.0)</f>
        <v>80085</v>
      </c>
      <c r="B6290" s="3" t="str">
        <f>IFERROR(__xludf.DUMMYFUNCTION("""COMPUTED_VALUE"""),"972 CARMAN RD ")</f>
        <v>972 CARMAN RD </v>
      </c>
      <c r="C6290" s="3" t="str">
        <f>IFERROR(__xludf.DUMMYFUNCTION("""COMPUTED_VALUE"""),"BRIGHTON")</f>
        <v>BRIGHTON</v>
      </c>
      <c r="D6290" s="3" t="str">
        <f>IFERROR(__xludf.DUMMYFUNCTION("""COMPUTED_VALUE"""),"K0K 1H0")</f>
        <v>K0K 1H0</v>
      </c>
      <c r="E6290" s="3"/>
      <c r="F6290" s="3"/>
      <c r="G6290" s="3"/>
      <c r="H6290" s="3"/>
    </row>
    <row r="6291">
      <c r="A6291" s="2">
        <f>IFERROR(__xludf.DUMMYFUNCTION("""COMPUTED_VALUE"""),80086.0)</f>
        <v>80086</v>
      </c>
      <c r="B6291" s="3" t="str">
        <f>IFERROR(__xludf.DUMMYFUNCTION("""COMPUTED_VALUE"""),"989 CARMAN RD ")</f>
        <v>989 CARMAN RD </v>
      </c>
      <c r="C6291" s="3" t="str">
        <f>IFERROR(__xludf.DUMMYFUNCTION("""COMPUTED_VALUE"""),"BRIGHTON")</f>
        <v>BRIGHTON</v>
      </c>
      <c r="D6291" s="3" t="str">
        <f>IFERROR(__xludf.DUMMYFUNCTION("""COMPUTED_VALUE"""),"K0K 1H0")</f>
        <v>K0K 1H0</v>
      </c>
      <c r="E6291" s="3" t="str">
        <f>IFERROR(__xludf.DUMMYFUNCTION("""COMPUTED_VALUE"""),"cooper sheil")</f>
        <v>cooper sheil</v>
      </c>
      <c r="F6291" s="3" t="str">
        <f>IFERROR(__xludf.DUMMYFUNCTION("""COMPUTED_VALUE"""),"cooopersheil450x@gmail.com")</f>
        <v>cooopersheil450x@gmail.com</v>
      </c>
      <c r="G6291" s="3">
        <f>IFERROR(__xludf.DUMMYFUNCTION("""COMPUTED_VALUE"""),3.438892467E9)</f>
        <v>3438892467</v>
      </c>
      <c r="H6291" s="3"/>
    </row>
    <row r="6292">
      <c r="A6292" s="2">
        <f>IFERROR(__xludf.DUMMYFUNCTION("""COMPUTED_VALUE"""),80100.0)</f>
        <v>80100</v>
      </c>
      <c r="B6292" s="3" t="str">
        <f>IFERROR(__xludf.DUMMYFUNCTION("""COMPUTED_VALUE"""),"112 CHAPMAN RD ")</f>
        <v>112 CHAPMAN RD </v>
      </c>
      <c r="C6292" s="3" t="str">
        <f>IFERROR(__xludf.DUMMYFUNCTION("""COMPUTED_VALUE"""),"COLBORNE")</f>
        <v>COLBORNE</v>
      </c>
      <c r="D6292" s="3" t="str">
        <f>IFERROR(__xludf.DUMMYFUNCTION("""COMPUTED_VALUE"""),"K0K 1S0")</f>
        <v>K0K 1S0</v>
      </c>
      <c r="E6292" s="3" t="str">
        <f>IFERROR(__xludf.DUMMYFUNCTION("""COMPUTED_VALUE"""),"Jackie Chapman Davis")</f>
        <v>Jackie Chapman Davis</v>
      </c>
      <c r="F6292" s="3" t="str">
        <f>IFERROR(__xludf.DUMMYFUNCTION("""COMPUTED_VALUE"""),"davis.jackiegeoff@xplornet.ca")</f>
        <v>davis.jackiegeoff@xplornet.ca</v>
      </c>
      <c r="G6292" s="3">
        <f>IFERROR(__xludf.DUMMYFUNCTION("""COMPUTED_VALUE"""),9.053737976E9)</f>
        <v>9053737976</v>
      </c>
      <c r="H6292" s="3"/>
    </row>
    <row r="6293">
      <c r="A6293" s="2">
        <f>IFERROR(__xludf.DUMMYFUNCTION("""COMPUTED_VALUE"""),80101.0)</f>
        <v>80101</v>
      </c>
      <c r="B6293" s="3" t="str">
        <f>IFERROR(__xludf.DUMMYFUNCTION("""COMPUTED_VALUE"""),"121 CHAPMAN RD ")</f>
        <v>121 CHAPMAN RD </v>
      </c>
      <c r="C6293" s="3" t="str">
        <f>IFERROR(__xludf.DUMMYFUNCTION("""COMPUTED_VALUE"""),"COLBORNE")</f>
        <v>COLBORNE</v>
      </c>
      <c r="D6293" s="3" t="str">
        <f>IFERROR(__xludf.DUMMYFUNCTION("""COMPUTED_VALUE"""),"K0K 1S0")</f>
        <v>K0K 1S0</v>
      </c>
      <c r="E6293" s="3" t="str">
        <f>IFERROR(__xludf.DUMMYFUNCTION("""COMPUTED_VALUE"""),"brittany chapman")</f>
        <v>brittany chapman</v>
      </c>
      <c r="F6293" s="3" t="str">
        <f>IFERROR(__xludf.DUMMYFUNCTION("""COMPUTED_VALUE"""),"brittanylewis3288@gmail.com")</f>
        <v>brittanylewis3288@gmail.com</v>
      </c>
      <c r="G6293" s="3">
        <f>IFERROR(__xludf.DUMMYFUNCTION("""COMPUTED_VALUE"""),6.138476083E9)</f>
        <v>6138476083</v>
      </c>
      <c r="H6293" s="3">
        <f>IFERROR(__xludf.DUMMYFUNCTION("""COMPUTED_VALUE"""),2.892513285E9)</f>
        <v>2892513285</v>
      </c>
    </row>
    <row r="6294">
      <c r="A6294" s="2">
        <f>IFERROR(__xludf.DUMMYFUNCTION("""COMPUTED_VALUE"""),80109.0)</f>
        <v>80109</v>
      </c>
      <c r="B6294" s="3" t="str">
        <f>IFERROR(__xludf.DUMMYFUNCTION("""COMPUTED_VALUE"""),"11 CHATTEN RD ")</f>
        <v>11 CHATTEN RD </v>
      </c>
      <c r="C6294" s="3" t="str">
        <f>IFERROR(__xludf.DUMMYFUNCTION("""COMPUTED_VALUE"""),"BRIGHTON")</f>
        <v>BRIGHTON</v>
      </c>
      <c r="D6294" s="3" t="str">
        <f>IFERROR(__xludf.DUMMYFUNCTION("""COMPUTED_VALUE"""),"K0K 1H0")</f>
        <v>K0K 1H0</v>
      </c>
      <c r="E6294" s="3" t="str">
        <f>IFERROR(__xludf.DUMMYFUNCTION("""COMPUTED_VALUE"""),"jamie bonisteel")</f>
        <v>jamie bonisteel</v>
      </c>
      <c r="F6294" s="3" t="str">
        <f>IFERROR(__xludf.DUMMYFUNCTION("""COMPUTED_VALUE"""),"habscamp@hotmail,com")</f>
        <v>habscamp@hotmail,com</v>
      </c>
      <c r="G6294" s="3">
        <f>IFERROR(__xludf.DUMMYFUNCTION("""COMPUTED_VALUE"""),6.138473002E9)</f>
        <v>6138473002</v>
      </c>
      <c r="H6294" s="3"/>
    </row>
    <row r="6295">
      <c r="A6295" s="2">
        <f>IFERROR(__xludf.DUMMYFUNCTION("""COMPUTED_VALUE"""),80120.0)</f>
        <v>80120</v>
      </c>
      <c r="B6295" s="3" t="str">
        <f>IFERROR(__xludf.DUMMYFUNCTION("""COMPUTED_VALUE"""),"115 CHATTEN RD ")</f>
        <v>115 CHATTEN RD </v>
      </c>
      <c r="C6295" s="3" t="str">
        <f>IFERROR(__xludf.DUMMYFUNCTION("""COMPUTED_VALUE"""),"BRIGHTON")</f>
        <v>BRIGHTON</v>
      </c>
      <c r="D6295" s="3" t="str">
        <f>IFERROR(__xludf.DUMMYFUNCTION("""COMPUTED_VALUE"""),"K0K 1H0")</f>
        <v>K0K 1H0</v>
      </c>
      <c r="E6295" s="3" t="str">
        <f>IFERROR(__xludf.DUMMYFUNCTION("""COMPUTED_VALUE"""),"jim chatten")</f>
        <v>jim chatten</v>
      </c>
      <c r="F6295" s="3"/>
      <c r="G6295" s="3">
        <f>IFERROR(__xludf.DUMMYFUNCTION("""COMPUTED_VALUE"""),6.134752187E9)</f>
        <v>6134752187</v>
      </c>
      <c r="H6295" s="3"/>
    </row>
    <row r="6296">
      <c r="A6296" s="2">
        <f>IFERROR(__xludf.DUMMYFUNCTION("""COMPUTED_VALUE"""),80121.0)</f>
        <v>80121</v>
      </c>
      <c r="B6296" s="3" t="str">
        <f>IFERROR(__xludf.DUMMYFUNCTION("""COMPUTED_VALUE"""),"154 CHATTEN RD ")</f>
        <v>154 CHATTEN RD </v>
      </c>
      <c r="C6296" s="3" t="str">
        <f>IFERROR(__xludf.DUMMYFUNCTION("""COMPUTED_VALUE"""),"BRIGHTON")</f>
        <v>BRIGHTON</v>
      </c>
      <c r="D6296" s="3" t="str">
        <f>IFERROR(__xludf.DUMMYFUNCTION("""COMPUTED_VALUE"""),"K0K 1H0")</f>
        <v>K0K 1H0</v>
      </c>
      <c r="E6296" s="3" t="str">
        <f>IFERROR(__xludf.DUMMYFUNCTION("""COMPUTED_VALUE"""),"Richard A Plumton")</f>
        <v>Richard A Plumton</v>
      </c>
      <c r="F6296" s="3" t="str">
        <f>IFERROR(__xludf.DUMMYFUNCTION("""COMPUTED_VALUE"""),"aperich@xplornet.com")</f>
        <v>aperich@xplornet.com</v>
      </c>
      <c r="G6296" s="3">
        <f>IFERROR(__xludf.DUMMYFUNCTION("""COMPUTED_VALUE"""),6.13968041E9)</f>
        <v>6139680410</v>
      </c>
      <c r="H6296" s="3"/>
    </row>
    <row r="6297">
      <c r="A6297" s="2">
        <f>IFERROR(__xludf.DUMMYFUNCTION("""COMPUTED_VALUE"""),80122.0)</f>
        <v>80122</v>
      </c>
      <c r="B6297" s="3" t="str">
        <f>IFERROR(__xludf.DUMMYFUNCTION("""COMPUTED_VALUE"""),"181 CHATTEN RD ")</f>
        <v>181 CHATTEN RD </v>
      </c>
      <c r="C6297" s="3" t="str">
        <f>IFERROR(__xludf.DUMMYFUNCTION("""COMPUTED_VALUE"""),"BRIGHTON")</f>
        <v>BRIGHTON</v>
      </c>
      <c r="D6297" s="3" t="str">
        <f>IFERROR(__xludf.DUMMYFUNCTION("""COMPUTED_VALUE"""),"K0K 1H0")</f>
        <v>K0K 1H0</v>
      </c>
      <c r="E6297" s="3" t="str">
        <f>IFERROR(__xludf.DUMMYFUNCTION("""COMPUTED_VALUE"""),"Nicholas Tortola ")</f>
        <v>Nicholas Tortola </v>
      </c>
      <c r="F6297" s="3" t="str">
        <f>IFERROR(__xludf.DUMMYFUNCTION("""COMPUTED_VALUE"""),"nicholastortola@hotmail.com")</f>
        <v>nicholastortola@hotmail.com</v>
      </c>
      <c r="G6297" s="3"/>
      <c r="H6297" s="3"/>
    </row>
    <row r="6298">
      <c r="A6298" s="2">
        <f>IFERROR(__xludf.DUMMYFUNCTION("""COMPUTED_VALUE"""),80110.0)</f>
        <v>80110</v>
      </c>
      <c r="B6298" s="3" t="str">
        <f>IFERROR(__xludf.DUMMYFUNCTION("""COMPUTED_VALUE"""),"25 CHATTEN RD ")</f>
        <v>25 CHATTEN RD </v>
      </c>
      <c r="C6298" s="3" t="str">
        <f>IFERROR(__xludf.DUMMYFUNCTION("""COMPUTED_VALUE"""),"BRIGHTON")</f>
        <v>BRIGHTON</v>
      </c>
      <c r="D6298" s="3" t="str">
        <f>IFERROR(__xludf.DUMMYFUNCTION("""COMPUTED_VALUE"""),"K0K 1H0")</f>
        <v>K0K 1H0</v>
      </c>
      <c r="E6298" s="3" t="str">
        <f>IFERROR(__xludf.DUMMYFUNCTION("""COMPUTED_VALUE"""),"Aldona &amp; Oben Arsenault")</f>
        <v>Aldona &amp; Oben Arsenault</v>
      </c>
      <c r="F6298" s="3" t="str">
        <f>IFERROR(__xludf.DUMMYFUNCTION("""COMPUTED_VALUE"""),"rflieler@hotmail.com")</f>
        <v>rflieler@hotmail.com</v>
      </c>
      <c r="G6298" s="3"/>
      <c r="H6298" s="3"/>
    </row>
    <row r="6299">
      <c r="A6299" s="2">
        <f>IFERROR(__xludf.DUMMYFUNCTION("""COMPUTED_VALUE"""),80123.0)</f>
        <v>80123</v>
      </c>
      <c r="B6299" s="3" t="str">
        <f>IFERROR(__xludf.DUMMYFUNCTION("""COMPUTED_VALUE"""),"291 CHATTEN RD ")</f>
        <v>291 CHATTEN RD </v>
      </c>
      <c r="C6299" s="3" t="str">
        <f>IFERROR(__xludf.DUMMYFUNCTION("""COMPUTED_VALUE"""),"BRIGHTON")</f>
        <v>BRIGHTON</v>
      </c>
      <c r="D6299" s="3" t="str">
        <f>IFERROR(__xludf.DUMMYFUNCTION("""COMPUTED_VALUE"""),"K0K 1H0")</f>
        <v>K0K 1H0</v>
      </c>
      <c r="E6299" s="3" t="str">
        <f>IFERROR(__xludf.DUMMYFUNCTION("""COMPUTED_VALUE"""),"dan white ")</f>
        <v>dan white </v>
      </c>
      <c r="F6299" s="3" t="str">
        <f>IFERROR(__xludf.DUMMYFUNCTION("""COMPUTED_VALUE"""),"jet200_dan@hotmail.com")</f>
        <v>jet200_dan@hotmail.com</v>
      </c>
      <c r="G6299" s="3">
        <f>IFERROR(__xludf.DUMMYFUNCTION("""COMPUTED_VALUE"""),6.134031147E9)</f>
        <v>6134031147</v>
      </c>
      <c r="H6299" s="3"/>
    </row>
    <row r="6300">
      <c r="A6300" s="2">
        <f>IFERROR(__xludf.DUMMYFUNCTION("""COMPUTED_VALUE"""),80124.0)</f>
        <v>80124</v>
      </c>
      <c r="B6300" s="3" t="str">
        <f>IFERROR(__xludf.DUMMYFUNCTION("""COMPUTED_VALUE"""),"299 CHATTEN RD ")</f>
        <v>299 CHATTEN RD </v>
      </c>
      <c r="C6300" s="3" t="str">
        <f>IFERROR(__xludf.DUMMYFUNCTION("""COMPUTED_VALUE"""),"BRIGHTON")</f>
        <v>BRIGHTON</v>
      </c>
      <c r="D6300" s="3" t="str">
        <f>IFERROR(__xludf.DUMMYFUNCTION("""COMPUTED_VALUE"""),"K0K 1H0")</f>
        <v>K0K 1H0</v>
      </c>
      <c r="E6300" s="3" t="str">
        <f>IFERROR(__xludf.DUMMYFUNCTION("""COMPUTED_VALUE"""),"Richard Pantridge")</f>
        <v>Richard Pantridge</v>
      </c>
      <c r="F6300" s="3" t="str">
        <f>IFERROR(__xludf.DUMMYFUNCTION("""COMPUTED_VALUE"""),"rbpantridge@gmail.com")</f>
        <v>rbpantridge@gmail.com</v>
      </c>
      <c r="G6300" s="3"/>
      <c r="H6300" s="3"/>
    </row>
    <row r="6301">
      <c r="A6301" s="2">
        <f>IFERROR(__xludf.DUMMYFUNCTION("""COMPUTED_VALUE"""),80111.0)</f>
        <v>80111</v>
      </c>
      <c r="B6301" s="3" t="str">
        <f>IFERROR(__xludf.DUMMYFUNCTION("""COMPUTED_VALUE"""),"30 CHATTEN RD ")</f>
        <v>30 CHATTEN RD </v>
      </c>
      <c r="C6301" s="3" t="str">
        <f>IFERROR(__xludf.DUMMYFUNCTION("""COMPUTED_VALUE"""),"BRIGHTON")</f>
        <v>BRIGHTON</v>
      </c>
      <c r="D6301" s="3" t="str">
        <f>IFERROR(__xludf.DUMMYFUNCTION("""COMPUTED_VALUE"""),"K0K 1H0")</f>
        <v>K0K 1H0</v>
      </c>
      <c r="E6301" s="3" t="str">
        <f>IFERROR(__xludf.DUMMYFUNCTION("""COMPUTED_VALUE"""),"Robert Hood")</f>
        <v>Robert Hood</v>
      </c>
      <c r="F6301" s="3" t="str">
        <f>IFERROR(__xludf.DUMMYFUNCTION("""COMPUTED_VALUE"""),"bobandcarolhood@hotmail.com")</f>
        <v>bobandcarolhood@hotmail.com</v>
      </c>
      <c r="G6301" s="3">
        <f>IFERROR(__xludf.DUMMYFUNCTION("""COMPUTED_VALUE"""),6.133918518E9)</f>
        <v>6133918518</v>
      </c>
      <c r="H6301" s="3">
        <f>IFERROR(__xludf.DUMMYFUNCTION("""COMPUTED_VALUE"""),6.13921745E9)</f>
        <v>6139217450</v>
      </c>
    </row>
    <row r="6302">
      <c r="A6302" s="2">
        <f>IFERROR(__xludf.DUMMYFUNCTION("""COMPUTED_VALUE"""),80125.0)</f>
        <v>80125</v>
      </c>
      <c r="B6302" s="3" t="str">
        <f>IFERROR(__xludf.DUMMYFUNCTION("""COMPUTED_VALUE"""),"307 CHATTEN RD ")</f>
        <v>307 CHATTEN RD </v>
      </c>
      <c r="C6302" s="3" t="str">
        <f>IFERROR(__xludf.DUMMYFUNCTION("""COMPUTED_VALUE"""),"BRIGHTON")</f>
        <v>BRIGHTON</v>
      </c>
      <c r="D6302" s="3" t="str">
        <f>IFERROR(__xludf.DUMMYFUNCTION("""COMPUTED_VALUE"""),"K0K 1H0")</f>
        <v>K0K 1H0</v>
      </c>
      <c r="E6302" s="3" t="str">
        <f>IFERROR(__xludf.DUMMYFUNCTION("""COMPUTED_VALUE"""),"david heaton ")</f>
        <v>david heaton </v>
      </c>
      <c r="F6302" s="3" t="str">
        <f>IFERROR(__xludf.DUMMYFUNCTION("""COMPUTED_VALUE"""),"doctordecoder@hotmail.com")</f>
        <v>doctordecoder@hotmail.com</v>
      </c>
      <c r="G6302" s="3">
        <f>IFERROR(__xludf.DUMMYFUNCTION("""COMPUTED_VALUE"""),6.132430255E9)</f>
        <v>6132430255</v>
      </c>
      <c r="H6302" s="3"/>
    </row>
    <row r="6303">
      <c r="A6303" s="2">
        <f>IFERROR(__xludf.DUMMYFUNCTION("""COMPUTED_VALUE"""),80126.0)</f>
        <v>80126</v>
      </c>
      <c r="B6303" s="3" t="str">
        <f>IFERROR(__xludf.DUMMYFUNCTION("""COMPUTED_VALUE"""),"315 CHATTEN RD ")</f>
        <v>315 CHATTEN RD </v>
      </c>
      <c r="C6303" s="3" t="str">
        <f>IFERROR(__xludf.DUMMYFUNCTION("""COMPUTED_VALUE"""),"BRIGHTON")</f>
        <v>BRIGHTON</v>
      </c>
      <c r="D6303" s="3" t="str">
        <f>IFERROR(__xludf.DUMMYFUNCTION("""COMPUTED_VALUE"""),"K0K 1H0")</f>
        <v>K0K 1H0</v>
      </c>
      <c r="E6303" s="3"/>
      <c r="F6303" s="3"/>
      <c r="G6303" s="3"/>
      <c r="H6303" s="3"/>
    </row>
    <row r="6304">
      <c r="A6304" s="2">
        <f>IFERROR(__xludf.DUMMYFUNCTION("""COMPUTED_VALUE"""),80127.0)</f>
        <v>80127</v>
      </c>
      <c r="B6304" s="3" t="str">
        <f>IFERROR(__xludf.DUMMYFUNCTION("""COMPUTED_VALUE"""),"325 CHATTEN RD ")</f>
        <v>325 CHATTEN RD </v>
      </c>
      <c r="C6304" s="3" t="str">
        <f>IFERROR(__xludf.DUMMYFUNCTION("""COMPUTED_VALUE"""),"BRIGHTON")</f>
        <v>BRIGHTON</v>
      </c>
      <c r="D6304" s="3" t="str">
        <f>IFERROR(__xludf.DUMMYFUNCTION("""COMPUTED_VALUE"""),"K0K 1H0")</f>
        <v>K0K 1H0</v>
      </c>
      <c r="E6304" s="3" t="str">
        <f>IFERROR(__xludf.DUMMYFUNCTION("""COMPUTED_VALUE"""),"harold bruce ")</f>
        <v>harold bruce </v>
      </c>
      <c r="F6304" s="3" t="str">
        <f>IFERROR(__xludf.DUMMYFUNCTION("""COMPUTED_VALUE"""),"harold.bruce@hotmail.com")</f>
        <v>harold.bruce@hotmail.com</v>
      </c>
      <c r="G6304" s="3">
        <f>IFERROR(__xludf.DUMMYFUNCTION("""COMPUTED_VALUE"""),9.056239313E9)</f>
        <v>9056239313</v>
      </c>
      <c r="H6304" s="3"/>
    </row>
    <row r="6305">
      <c r="A6305" s="2">
        <f>IFERROR(__xludf.DUMMYFUNCTION("""COMPUTED_VALUE"""),80112.0)</f>
        <v>80112</v>
      </c>
      <c r="B6305" s="3" t="str">
        <f>IFERROR(__xludf.DUMMYFUNCTION("""COMPUTED_VALUE"""),"39 CHATTEN RD ")</f>
        <v>39 CHATTEN RD </v>
      </c>
      <c r="C6305" s="3" t="str">
        <f>IFERROR(__xludf.DUMMYFUNCTION("""COMPUTED_VALUE"""),"BRIGHTON")</f>
        <v>BRIGHTON</v>
      </c>
      <c r="D6305" s="3" t="str">
        <f>IFERROR(__xludf.DUMMYFUNCTION("""COMPUTED_VALUE"""),"K0K 1H0")</f>
        <v>K0K 1H0</v>
      </c>
      <c r="E6305" s="3"/>
      <c r="F6305" s="3"/>
      <c r="G6305" s="3"/>
      <c r="H6305" s="3"/>
    </row>
    <row r="6306">
      <c r="A6306" s="2">
        <f>IFERROR(__xludf.DUMMYFUNCTION("""COMPUTED_VALUE"""),80128.0)</f>
        <v>80128</v>
      </c>
      <c r="B6306" s="3" t="str">
        <f>IFERROR(__xludf.DUMMYFUNCTION("""COMPUTED_VALUE"""),"400 CHATTEN RD ")</f>
        <v>400 CHATTEN RD </v>
      </c>
      <c r="C6306" s="3" t="str">
        <f>IFERROR(__xludf.DUMMYFUNCTION("""COMPUTED_VALUE"""),"BRIGHTON")</f>
        <v>BRIGHTON</v>
      </c>
      <c r="D6306" s="3" t="str">
        <f>IFERROR(__xludf.DUMMYFUNCTION("""COMPUTED_VALUE"""),"K0K 1H0")</f>
        <v>K0K 1H0</v>
      </c>
      <c r="E6306" s="3" t="str">
        <f>IFERROR(__xludf.DUMMYFUNCTION("""COMPUTED_VALUE"""),"peter harrington")</f>
        <v>peter harrington</v>
      </c>
      <c r="F6306" s="3" t="str">
        <f>IFERROR(__xludf.DUMMYFUNCTION("""COMPUTED_VALUE"""),"chrispeteherrington@gmaill.com")</f>
        <v>chrispeteherrington@gmaill.com</v>
      </c>
      <c r="G6306" s="3">
        <f>IFERROR(__xludf.DUMMYFUNCTION("""COMPUTED_VALUE"""),6.139227411E9)</f>
        <v>6139227411</v>
      </c>
      <c r="H6306" s="3">
        <f>IFERROR(__xludf.DUMMYFUNCTION("""COMPUTED_VALUE"""),6.13922741E9)</f>
        <v>6139227410</v>
      </c>
    </row>
    <row r="6307">
      <c r="A6307" s="2">
        <f>IFERROR(__xludf.DUMMYFUNCTION("""COMPUTED_VALUE"""),80129.0)</f>
        <v>80129</v>
      </c>
      <c r="B6307" s="3" t="str">
        <f>IFERROR(__xludf.DUMMYFUNCTION("""COMPUTED_VALUE"""),"453 CHATTEN RD ")</f>
        <v>453 CHATTEN RD </v>
      </c>
      <c r="C6307" s="3" t="str">
        <f>IFERROR(__xludf.DUMMYFUNCTION("""COMPUTED_VALUE"""),"BRIGHTON")</f>
        <v>BRIGHTON</v>
      </c>
      <c r="D6307" s="3" t="str">
        <f>IFERROR(__xludf.DUMMYFUNCTION("""COMPUTED_VALUE"""),"K0K 1H0")</f>
        <v>K0K 1H0</v>
      </c>
      <c r="E6307" s="3" t="str">
        <f>IFERROR(__xludf.DUMMYFUNCTION("""COMPUTED_VALUE"""),"Lynda &amp; Bob Douglas")</f>
        <v>Lynda &amp; Bob Douglas</v>
      </c>
      <c r="F6307" s="3" t="str">
        <f>IFERROR(__xludf.DUMMYFUNCTION("""COMPUTED_VALUE"""),"snoguzzler@gmail.com")</f>
        <v>snoguzzler@gmail.com</v>
      </c>
      <c r="G6307" s="3"/>
      <c r="H6307" s="3"/>
    </row>
    <row r="6308">
      <c r="A6308" s="2">
        <f>IFERROR(__xludf.DUMMYFUNCTION("""COMPUTED_VALUE"""),80130.0)</f>
        <v>80130</v>
      </c>
      <c r="B6308" s="3" t="str">
        <f>IFERROR(__xludf.DUMMYFUNCTION("""COMPUTED_VALUE"""),"462 CHATTEN RD ")</f>
        <v>462 CHATTEN RD </v>
      </c>
      <c r="C6308" s="3" t="str">
        <f>IFERROR(__xludf.DUMMYFUNCTION("""COMPUTED_VALUE"""),"BRIGHTON")</f>
        <v>BRIGHTON</v>
      </c>
      <c r="D6308" s="3" t="str">
        <f>IFERROR(__xludf.DUMMYFUNCTION("""COMPUTED_VALUE"""),"K0K 1H0")</f>
        <v>K0K 1H0</v>
      </c>
      <c r="E6308" s="3" t="str">
        <f>IFERROR(__xludf.DUMMYFUNCTION("""COMPUTED_VALUE"""),"Tracey Stevenson")</f>
        <v>Tracey Stevenson</v>
      </c>
      <c r="F6308" s="3" t="str">
        <f>IFERROR(__xludf.DUMMYFUNCTION("""COMPUTED_VALUE"""),"Stevensont2017@gmail.com")</f>
        <v>Stevensont2017@gmail.com</v>
      </c>
      <c r="G6308" s="3">
        <f>IFERROR(__xludf.DUMMYFUNCTION("""COMPUTED_VALUE"""),2.896750878E9)</f>
        <v>2896750878</v>
      </c>
      <c r="H6308" s="3"/>
    </row>
    <row r="6309">
      <c r="A6309" s="2">
        <f>IFERROR(__xludf.DUMMYFUNCTION("""COMPUTED_VALUE"""),80131.0)</f>
        <v>80131</v>
      </c>
      <c r="B6309" s="3" t="str">
        <f>IFERROR(__xludf.DUMMYFUNCTION("""COMPUTED_VALUE"""),"497 CHATTEN RD ")</f>
        <v>497 CHATTEN RD </v>
      </c>
      <c r="C6309" s="3" t="str">
        <f>IFERROR(__xludf.DUMMYFUNCTION("""COMPUTED_VALUE"""),"BRIGHTON")</f>
        <v>BRIGHTON</v>
      </c>
      <c r="D6309" s="3" t="str">
        <f>IFERROR(__xludf.DUMMYFUNCTION("""COMPUTED_VALUE"""),"K0K 1H0")</f>
        <v>K0K 1H0</v>
      </c>
      <c r="E6309" s="3" t="str">
        <f>IFERROR(__xludf.DUMMYFUNCTION("""COMPUTED_VALUE"""),"Todd Gerow")</f>
        <v>Todd Gerow</v>
      </c>
      <c r="F6309" s="3" t="str">
        <f>IFERROR(__xludf.DUMMYFUNCTION("""COMPUTED_VALUE"""),"todd.gerow@hotmail.com")</f>
        <v>todd.gerow@hotmail.com</v>
      </c>
      <c r="G6309" s="3">
        <f>IFERROR(__xludf.DUMMYFUNCTION("""COMPUTED_VALUE"""),6.132436727E9)</f>
        <v>6132436727</v>
      </c>
      <c r="H6309" s="3"/>
    </row>
    <row r="6310">
      <c r="A6310" s="2">
        <f>IFERROR(__xludf.DUMMYFUNCTION("""COMPUTED_VALUE"""),80113.0)</f>
        <v>80113</v>
      </c>
      <c r="B6310" s="3" t="str">
        <f>IFERROR(__xludf.DUMMYFUNCTION("""COMPUTED_VALUE"""),"50 CHATTEN RD ")</f>
        <v>50 CHATTEN RD </v>
      </c>
      <c r="C6310" s="3" t="str">
        <f>IFERROR(__xludf.DUMMYFUNCTION("""COMPUTED_VALUE"""),"BRIGHTON")</f>
        <v>BRIGHTON</v>
      </c>
      <c r="D6310" s="3" t="str">
        <f>IFERROR(__xludf.DUMMYFUNCTION("""COMPUTED_VALUE"""),"K0K 1H0")</f>
        <v>K0K 1H0</v>
      </c>
      <c r="E6310" s="3"/>
      <c r="F6310" s="3"/>
      <c r="G6310" s="3"/>
      <c r="H6310" s="3"/>
    </row>
    <row r="6311">
      <c r="A6311" s="2">
        <f>IFERROR(__xludf.DUMMYFUNCTION("""COMPUTED_VALUE"""),80114.0)</f>
        <v>80114</v>
      </c>
      <c r="B6311" s="3" t="str">
        <f>IFERROR(__xludf.DUMMYFUNCTION("""COMPUTED_VALUE"""),"58 CHATTEN RD ")</f>
        <v>58 CHATTEN RD </v>
      </c>
      <c r="C6311" s="3" t="str">
        <f>IFERROR(__xludf.DUMMYFUNCTION("""COMPUTED_VALUE"""),"BRIGHTON")</f>
        <v>BRIGHTON</v>
      </c>
      <c r="D6311" s="3" t="str">
        <f>IFERROR(__xludf.DUMMYFUNCTION("""COMPUTED_VALUE"""),"K0K 1H0")</f>
        <v>K0K 1H0</v>
      </c>
      <c r="E6311" s="3" t="str">
        <f>IFERROR(__xludf.DUMMYFUNCTION("""COMPUTED_VALUE"""),"Kirt Krocker")</f>
        <v>Kirt Krocker</v>
      </c>
      <c r="F6311" s="3" t="str">
        <f>IFERROR(__xludf.DUMMYFUNCTION("""COMPUTED_VALUE"""),"kirtkrocker@hotmail.com")</f>
        <v>kirtkrocker@hotmail.com</v>
      </c>
      <c r="G6311" s="3">
        <f>IFERROR(__xludf.DUMMYFUNCTION("""COMPUTED_VALUE"""),9.0537615E9)</f>
        <v>9053761500</v>
      </c>
      <c r="H6311" s="3"/>
    </row>
    <row r="6312">
      <c r="A6312" s="2">
        <f>IFERROR(__xludf.DUMMYFUNCTION("""COMPUTED_VALUE"""),80115.0)</f>
        <v>80115</v>
      </c>
      <c r="B6312" s="3" t="str">
        <f>IFERROR(__xludf.DUMMYFUNCTION("""COMPUTED_VALUE"""),"66 CHATTEN RD ")</f>
        <v>66 CHATTEN RD </v>
      </c>
      <c r="C6312" s="3" t="str">
        <f>IFERROR(__xludf.DUMMYFUNCTION("""COMPUTED_VALUE"""),"BRIGHTON")</f>
        <v>BRIGHTON</v>
      </c>
      <c r="D6312" s="3" t="str">
        <f>IFERROR(__xludf.DUMMYFUNCTION("""COMPUTED_VALUE"""),"K0K 1H0")</f>
        <v>K0K 1H0</v>
      </c>
      <c r="E6312" s="3" t="str">
        <f>IFERROR(__xludf.DUMMYFUNCTION("""COMPUTED_VALUE"""),"Lynda &amp; Bob Douglas")</f>
        <v>Lynda &amp; Bob Douglas</v>
      </c>
      <c r="F6312" s="3" t="str">
        <f>IFERROR(__xludf.DUMMYFUNCTION("""COMPUTED_VALUE"""),"rldouglas66@outlook.com")</f>
        <v>rldouglas66@outlook.com</v>
      </c>
      <c r="G6312" s="3"/>
      <c r="H6312" s="3"/>
    </row>
    <row r="6313">
      <c r="A6313" s="2">
        <f>IFERROR(__xludf.DUMMYFUNCTION("""COMPUTED_VALUE"""),80116.0)</f>
        <v>80116</v>
      </c>
      <c r="B6313" s="3" t="str">
        <f>IFERROR(__xludf.DUMMYFUNCTION("""COMPUTED_VALUE"""),"71 CHATTEN RD ")</f>
        <v>71 CHATTEN RD </v>
      </c>
      <c r="C6313" s="3" t="str">
        <f>IFERROR(__xludf.DUMMYFUNCTION("""COMPUTED_VALUE"""),"BRIGHTON")</f>
        <v>BRIGHTON</v>
      </c>
      <c r="D6313" s="3" t="str">
        <f>IFERROR(__xludf.DUMMYFUNCTION("""COMPUTED_VALUE"""),"K0K 1H0")</f>
        <v>K0K 1H0</v>
      </c>
      <c r="E6313" s="3"/>
      <c r="F6313" s="3"/>
      <c r="G6313" s="3"/>
      <c r="H6313" s="3"/>
    </row>
    <row r="6314">
      <c r="A6314" s="2">
        <f>IFERROR(__xludf.DUMMYFUNCTION("""COMPUTED_VALUE"""),80117.0)</f>
        <v>80117</v>
      </c>
      <c r="B6314" s="3" t="str">
        <f>IFERROR(__xludf.DUMMYFUNCTION("""COMPUTED_VALUE"""),"77 CHATTEN RD ")</f>
        <v>77 CHATTEN RD </v>
      </c>
      <c r="C6314" s="3" t="str">
        <f>IFERROR(__xludf.DUMMYFUNCTION("""COMPUTED_VALUE"""),"BRIGHTON")</f>
        <v>BRIGHTON</v>
      </c>
      <c r="D6314" s="3" t="str">
        <f>IFERROR(__xludf.DUMMYFUNCTION("""COMPUTED_VALUE"""),"K0K 1H0")</f>
        <v>K0K 1H0</v>
      </c>
      <c r="E6314" s="3" t="str">
        <f>IFERROR(__xludf.DUMMYFUNCTION("""COMPUTED_VALUE"""),"tom moran")</f>
        <v>tom moran</v>
      </c>
      <c r="F6314" s="3"/>
      <c r="G6314" s="3">
        <f>IFERROR(__xludf.DUMMYFUNCTION("""COMPUTED_VALUE"""),6.138138324E9)</f>
        <v>6138138324</v>
      </c>
      <c r="H6314" s="3"/>
    </row>
    <row r="6315">
      <c r="A6315" s="2">
        <f>IFERROR(__xludf.DUMMYFUNCTION("""COMPUTED_VALUE"""),80118.0)</f>
        <v>80118</v>
      </c>
      <c r="B6315" s="3" t="str">
        <f>IFERROR(__xludf.DUMMYFUNCTION("""COMPUTED_VALUE"""),"82 CHATTEN RD ")</f>
        <v>82 CHATTEN RD </v>
      </c>
      <c r="C6315" s="3" t="str">
        <f>IFERROR(__xludf.DUMMYFUNCTION("""COMPUTED_VALUE"""),"BRIGHTON")</f>
        <v>BRIGHTON</v>
      </c>
      <c r="D6315" s="3" t="str">
        <f>IFERROR(__xludf.DUMMYFUNCTION("""COMPUTED_VALUE"""),"K0K 1H0")</f>
        <v>K0K 1H0</v>
      </c>
      <c r="E6315" s="3" t="str">
        <f>IFERROR(__xludf.DUMMYFUNCTION("""COMPUTED_VALUE"""),"Trevor Doucette")</f>
        <v>Trevor Doucette</v>
      </c>
      <c r="F6315" s="3" t="str">
        <f>IFERROR(__xludf.DUMMYFUNCTION("""COMPUTED_VALUE"""),"trevor.a.doucette@gmail.com")</f>
        <v>trevor.a.doucette@gmail.com</v>
      </c>
      <c r="G6315" s="3"/>
      <c r="H6315" s="3"/>
    </row>
    <row r="6316">
      <c r="A6316" s="2">
        <f>IFERROR(__xludf.DUMMYFUNCTION("""COMPUTED_VALUE"""),80119.0)</f>
        <v>80119</v>
      </c>
      <c r="B6316" s="3" t="str">
        <f>IFERROR(__xludf.DUMMYFUNCTION("""COMPUTED_VALUE"""),"87 CHATTEN RD ")</f>
        <v>87 CHATTEN RD </v>
      </c>
      <c r="C6316" s="3" t="str">
        <f>IFERROR(__xludf.DUMMYFUNCTION("""COMPUTED_VALUE"""),"BRIGHTON")</f>
        <v>BRIGHTON</v>
      </c>
      <c r="D6316" s="3" t="str">
        <f>IFERROR(__xludf.DUMMYFUNCTION("""COMPUTED_VALUE"""),"K0K 1H0")</f>
        <v>K0K 1H0</v>
      </c>
      <c r="E6316" s="3" t="str">
        <f>IFERROR(__xludf.DUMMYFUNCTION("""COMPUTED_VALUE"""),"dan wilson")</f>
        <v>dan wilson</v>
      </c>
      <c r="F6316" s="3" t="str">
        <f>IFERROR(__xludf.DUMMYFUNCTION("""COMPUTED_VALUE"""),"mr_dan_wilson@live.ca")</f>
        <v>mr_dan_wilson@live.ca</v>
      </c>
      <c r="G6316" s="3">
        <f>IFERROR(__xludf.DUMMYFUNCTION("""COMPUTED_VALUE"""),2.899271186E9)</f>
        <v>2899271186</v>
      </c>
      <c r="H6316" s="3"/>
    </row>
    <row r="6317">
      <c r="A6317" s="2">
        <f>IFERROR(__xludf.DUMMYFUNCTION("""COMPUTED_VALUE"""),80140.0)</f>
        <v>80140</v>
      </c>
      <c r="B6317" s="3" t="str">
        <f>IFERROR(__xludf.DUMMYFUNCTION("""COMPUTED_VALUE"""),"13023 COUNTY 21 RD ")</f>
        <v>13023 COUNTY 21 RD </v>
      </c>
      <c r="C6317" s="3" t="str">
        <f>IFERROR(__xludf.DUMMYFUNCTION("""COMPUTED_VALUE"""),"COLBORNE")</f>
        <v>COLBORNE</v>
      </c>
      <c r="D6317" s="3" t="str">
        <f>IFERROR(__xludf.DUMMYFUNCTION("""COMPUTED_VALUE"""),"K0K 1S0")</f>
        <v>K0K 1S0</v>
      </c>
      <c r="E6317" s="3" t="str">
        <f>IFERROR(__xludf.DUMMYFUNCTION("""COMPUTED_VALUE"""),"Thelma Herley ")</f>
        <v>Thelma Herley </v>
      </c>
      <c r="F6317" s="3" t="str">
        <f>IFERROR(__xludf.DUMMYFUNCTION("""COMPUTED_VALUE"""),"tmherley@htomail.com")</f>
        <v>tmherley@htomail.com</v>
      </c>
      <c r="G6317" s="3"/>
      <c r="H6317" s="3"/>
    </row>
    <row r="6318">
      <c r="A6318" s="2">
        <f>IFERROR(__xludf.DUMMYFUNCTION("""COMPUTED_VALUE"""),80141.0)</f>
        <v>80141</v>
      </c>
      <c r="B6318" s="3" t="str">
        <f>IFERROR(__xludf.DUMMYFUNCTION("""COMPUTED_VALUE"""),"13026 COUNTY 21 RD ")</f>
        <v>13026 COUNTY 21 RD </v>
      </c>
      <c r="C6318" s="3" t="str">
        <f>IFERROR(__xludf.DUMMYFUNCTION("""COMPUTED_VALUE"""),"COLBORNE")</f>
        <v>COLBORNE</v>
      </c>
      <c r="D6318" s="3" t="str">
        <f>IFERROR(__xludf.DUMMYFUNCTION("""COMPUTED_VALUE"""),"K0K 1S0")</f>
        <v>K0K 1S0</v>
      </c>
      <c r="E6318" s="3" t="str">
        <f>IFERROR(__xludf.DUMMYFUNCTION("""COMPUTED_VALUE"""),"don guay")</f>
        <v>don guay</v>
      </c>
      <c r="F6318" s="3" t="str">
        <f>IFERROR(__xludf.DUMMYFUNCTION("""COMPUTED_VALUE"""),"dddsguay@live.ca`")</f>
        <v>dddsguay@live.ca`</v>
      </c>
      <c r="G6318" s="3">
        <f>IFERROR(__xludf.DUMMYFUNCTION("""COMPUTED_VALUE"""),9.053447774E9)</f>
        <v>9053447774</v>
      </c>
      <c r="H6318" s="3"/>
    </row>
    <row r="6319">
      <c r="A6319" s="2">
        <f>IFERROR(__xludf.DUMMYFUNCTION("""COMPUTED_VALUE"""),81052.0)</f>
        <v>81052</v>
      </c>
      <c r="B6319" s="3" t="str">
        <f>IFERROR(__xludf.DUMMYFUNCTION("""COMPUTED_VALUE"""),"13042 COUNTY RD 21")</f>
        <v>13042 COUNTY RD 21</v>
      </c>
      <c r="C6319" s="3" t="str">
        <f>IFERROR(__xludf.DUMMYFUNCTION("""COMPUTED_VALUE"""),"COLBORNE")</f>
        <v>COLBORNE</v>
      </c>
      <c r="D6319" s="3" t="str">
        <f>IFERROR(__xludf.DUMMYFUNCTION("""COMPUTED_VALUE"""),"K0K 1S0")</f>
        <v>K0K 1S0</v>
      </c>
      <c r="E6319" s="3"/>
      <c r="F6319" s="3"/>
      <c r="G6319" s="3"/>
      <c r="H6319" s="3"/>
    </row>
    <row r="6320">
      <c r="A6320" s="2">
        <f>IFERROR(__xludf.DUMMYFUNCTION("""COMPUTED_VALUE"""),80143.0)</f>
        <v>80143</v>
      </c>
      <c r="B6320" s="3" t="str">
        <f>IFERROR(__xludf.DUMMYFUNCTION("""COMPUTED_VALUE"""),"13058 COUNTY 21 RD ")</f>
        <v>13058 COUNTY 21 RD </v>
      </c>
      <c r="C6320" s="3" t="str">
        <f>IFERROR(__xludf.DUMMYFUNCTION("""COMPUTED_VALUE"""),"COLBORNE")</f>
        <v>COLBORNE</v>
      </c>
      <c r="D6320" s="3" t="str">
        <f>IFERROR(__xludf.DUMMYFUNCTION("""COMPUTED_VALUE"""),"K0K 1S0")</f>
        <v>K0K 1S0</v>
      </c>
      <c r="E6320" s="3"/>
      <c r="F6320" s="3"/>
      <c r="G6320" s="3"/>
      <c r="H6320" s="3"/>
    </row>
    <row r="6321">
      <c r="A6321" s="2">
        <f>IFERROR(__xludf.DUMMYFUNCTION("""COMPUTED_VALUE"""),81051.0)</f>
        <v>81051</v>
      </c>
      <c r="B6321" s="3" t="str">
        <f>IFERROR(__xludf.DUMMYFUNCTION("""COMPUTED_VALUE"""),"13113 COUNTY RD 21")</f>
        <v>13113 COUNTY RD 21</v>
      </c>
      <c r="C6321" s="3" t="str">
        <f>IFERROR(__xludf.DUMMYFUNCTION("""COMPUTED_VALUE"""),"COLBORNE")</f>
        <v>COLBORNE</v>
      </c>
      <c r="D6321" s="3" t="str">
        <f>IFERROR(__xludf.DUMMYFUNCTION("""COMPUTED_VALUE"""),"K0K 1S0")</f>
        <v>K0K 1S0</v>
      </c>
      <c r="E6321" s="3"/>
      <c r="F6321" s="3"/>
      <c r="G6321" s="3"/>
      <c r="H6321" s="3"/>
    </row>
    <row r="6322">
      <c r="A6322" s="2">
        <f>IFERROR(__xludf.DUMMYFUNCTION("""COMPUTED_VALUE"""),81050.0)</f>
        <v>81050</v>
      </c>
      <c r="B6322" s="3" t="str">
        <f>IFERROR(__xludf.DUMMYFUNCTION("""COMPUTED_VALUE"""),"13149 COUNTY RD 21")</f>
        <v>13149 COUNTY RD 21</v>
      </c>
      <c r="C6322" s="3" t="str">
        <f>IFERROR(__xludf.DUMMYFUNCTION("""COMPUTED_VALUE"""),"COLBORNE")</f>
        <v>COLBORNE</v>
      </c>
      <c r="D6322" s="3" t="str">
        <f>IFERROR(__xludf.DUMMYFUNCTION("""COMPUTED_VALUE"""),"K0K 1S0")</f>
        <v>K0K 1S0</v>
      </c>
      <c r="E6322" s="3" t="str">
        <f>IFERROR(__xludf.DUMMYFUNCTION("""COMPUTED_VALUE"""),"ed van egmond")</f>
        <v>ed van egmond</v>
      </c>
      <c r="F6322" s="3" t="str">
        <f>IFERROR(__xludf.DUMMYFUNCTION("""COMPUTED_VALUE"""),"eddvanegmond1@gmail.com")</f>
        <v>eddvanegmond1@gmail.com</v>
      </c>
      <c r="G6322" s="3">
        <f>IFERROR(__xludf.DUMMYFUNCTION("""COMPUTED_VALUE"""),9.053447767E9)</f>
        <v>9053447767</v>
      </c>
      <c r="H6322" s="3">
        <f>IFERROR(__xludf.DUMMYFUNCTION("""COMPUTED_VALUE"""),2.897711987E9)</f>
        <v>2897711987</v>
      </c>
    </row>
    <row r="6323">
      <c r="A6323" s="2">
        <f>IFERROR(__xludf.DUMMYFUNCTION("""COMPUTED_VALUE"""),80144.0)</f>
        <v>80144</v>
      </c>
      <c r="B6323" s="3" t="str">
        <f>IFERROR(__xludf.DUMMYFUNCTION("""COMPUTED_VALUE"""),"13161 COUNTY 21 RD ")</f>
        <v>13161 COUNTY 21 RD </v>
      </c>
      <c r="C6323" s="3" t="str">
        <f>IFERROR(__xludf.DUMMYFUNCTION("""COMPUTED_VALUE"""),"COLBORNE")</f>
        <v>COLBORNE</v>
      </c>
      <c r="D6323" s="3" t="str">
        <f>IFERROR(__xludf.DUMMYFUNCTION("""COMPUTED_VALUE"""),"K0K 1S0")</f>
        <v>K0K 1S0</v>
      </c>
      <c r="E6323" s="3"/>
      <c r="F6323" s="3"/>
      <c r="G6323" s="3"/>
      <c r="H6323" s="3"/>
    </row>
    <row r="6324">
      <c r="A6324" s="2">
        <f>IFERROR(__xludf.DUMMYFUNCTION("""COMPUTED_VALUE"""),80144.0)</f>
        <v>80144</v>
      </c>
      <c r="B6324" s="3" t="str">
        <f>IFERROR(__xludf.DUMMYFUNCTION("""COMPUTED_VALUE"""),"13161 COUNTY 21 RD ")</f>
        <v>13161 COUNTY 21 RD </v>
      </c>
      <c r="C6324" s="3" t="str">
        <f>IFERROR(__xludf.DUMMYFUNCTION("""COMPUTED_VALUE"""),"COLBORNE")</f>
        <v>COLBORNE</v>
      </c>
      <c r="D6324" s="3" t="str">
        <f>IFERROR(__xludf.DUMMYFUNCTION("""COMPUTED_VALUE"""),"K0K 1S0")</f>
        <v>K0K 1S0</v>
      </c>
      <c r="E6324" s="3"/>
      <c r="F6324" s="3"/>
      <c r="G6324" s="3"/>
      <c r="H6324" s="3"/>
    </row>
    <row r="6325">
      <c r="A6325" s="2">
        <f>IFERROR(__xludf.DUMMYFUNCTION("""COMPUTED_VALUE"""),80145.0)</f>
        <v>80145</v>
      </c>
      <c r="B6325" s="3" t="str">
        <f>IFERROR(__xludf.DUMMYFUNCTION("""COMPUTED_VALUE"""),"13170 COUNTY 21 RD ")</f>
        <v>13170 COUNTY 21 RD </v>
      </c>
      <c r="C6325" s="3" t="str">
        <f>IFERROR(__xludf.DUMMYFUNCTION("""COMPUTED_VALUE"""),"COLBORNE")</f>
        <v>COLBORNE</v>
      </c>
      <c r="D6325" s="3" t="str">
        <f>IFERROR(__xludf.DUMMYFUNCTION("""COMPUTED_VALUE"""),"K0K 1S0")</f>
        <v>K0K 1S0</v>
      </c>
      <c r="E6325" s="3"/>
      <c r="F6325" s="3"/>
      <c r="G6325" s="3"/>
      <c r="H6325" s="3"/>
    </row>
    <row r="6326">
      <c r="A6326" s="2">
        <f>IFERROR(__xludf.DUMMYFUNCTION("""COMPUTED_VALUE"""),80146.0)</f>
        <v>80146</v>
      </c>
      <c r="B6326" s="3" t="str">
        <f>IFERROR(__xludf.DUMMYFUNCTION("""COMPUTED_VALUE"""),"13171 COUNTY 21 RD ")</f>
        <v>13171 COUNTY 21 RD </v>
      </c>
      <c r="C6326" s="3" t="str">
        <f>IFERROR(__xludf.DUMMYFUNCTION("""COMPUTED_VALUE"""),"COLBORNE")</f>
        <v>COLBORNE</v>
      </c>
      <c r="D6326" s="3" t="str">
        <f>IFERROR(__xludf.DUMMYFUNCTION("""COMPUTED_VALUE"""),"K0K 1S0")</f>
        <v>K0K 1S0</v>
      </c>
      <c r="E6326" s="3"/>
      <c r="F6326" s="3"/>
      <c r="G6326" s="3"/>
      <c r="H6326" s="3"/>
    </row>
    <row r="6327">
      <c r="A6327" s="2">
        <f>IFERROR(__xludf.DUMMYFUNCTION("""COMPUTED_VALUE"""),80147.0)</f>
        <v>80147</v>
      </c>
      <c r="B6327" s="3" t="str">
        <f>IFERROR(__xludf.DUMMYFUNCTION("""COMPUTED_VALUE"""),"13195 COUNTY 21 RD ")</f>
        <v>13195 COUNTY 21 RD </v>
      </c>
      <c r="C6327" s="3" t="str">
        <f>IFERROR(__xludf.DUMMYFUNCTION("""COMPUTED_VALUE"""),"COLBORNE")</f>
        <v>COLBORNE</v>
      </c>
      <c r="D6327" s="3" t="str">
        <f>IFERROR(__xludf.DUMMYFUNCTION("""COMPUTED_VALUE"""),"K0K 1S0")</f>
        <v>K0K 1S0</v>
      </c>
      <c r="E6327" s="3"/>
      <c r="F6327" s="3"/>
      <c r="G6327" s="3"/>
      <c r="H6327" s="3"/>
    </row>
    <row r="6328">
      <c r="A6328" s="2">
        <f>IFERROR(__xludf.DUMMYFUNCTION("""COMPUTED_VALUE"""),80148.0)</f>
        <v>80148</v>
      </c>
      <c r="B6328" s="3" t="str">
        <f>IFERROR(__xludf.DUMMYFUNCTION("""COMPUTED_VALUE"""),"13295 COUNTY 21 RD ")</f>
        <v>13295 COUNTY 21 RD </v>
      </c>
      <c r="C6328" s="3" t="str">
        <f>IFERROR(__xludf.DUMMYFUNCTION("""COMPUTED_VALUE"""),"COLBORNE")</f>
        <v>COLBORNE</v>
      </c>
      <c r="D6328" s="3" t="str">
        <f>IFERROR(__xludf.DUMMYFUNCTION("""COMPUTED_VALUE"""),"K0K 1S0")</f>
        <v>K0K 1S0</v>
      </c>
      <c r="E6328" s="3" t="str">
        <f>IFERROR(__xludf.DUMMYFUNCTION("""COMPUTED_VALUE"""),"Jeremy Lalonde")</f>
        <v>Jeremy Lalonde</v>
      </c>
      <c r="F6328" s="3" t="str">
        <f>IFERROR(__xludf.DUMMYFUNCTION("""COMPUTED_VALUE"""),"jeremylalonde@live.ca")</f>
        <v>jeremylalonde@live.ca</v>
      </c>
      <c r="G6328" s="3">
        <f>IFERROR(__xludf.DUMMYFUNCTION("""COMPUTED_VALUE"""),2.896916086E9)</f>
        <v>2896916086</v>
      </c>
      <c r="H6328" s="3"/>
    </row>
    <row r="6329">
      <c r="A6329" s="2">
        <f>IFERROR(__xludf.DUMMYFUNCTION("""COMPUTED_VALUE"""),80149.0)</f>
        <v>80149</v>
      </c>
      <c r="B6329" s="3" t="str">
        <f>IFERROR(__xludf.DUMMYFUNCTION("""COMPUTED_VALUE"""),"13389 COUNTY 21 RD ")</f>
        <v>13389 COUNTY 21 RD </v>
      </c>
      <c r="C6329" s="3" t="str">
        <f>IFERROR(__xludf.DUMMYFUNCTION("""COMPUTED_VALUE"""),"COLBORNE")</f>
        <v>COLBORNE</v>
      </c>
      <c r="D6329" s="3" t="str">
        <f>IFERROR(__xludf.DUMMYFUNCTION("""COMPUTED_VALUE"""),"K0K 1S0")</f>
        <v>K0K 1S0</v>
      </c>
      <c r="E6329" s="3"/>
      <c r="F6329" s="3"/>
      <c r="G6329" s="3"/>
      <c r="H6329" s="3"/>
    </row>
    <row r="6330">
      <c r="A6330" s="2">
        <f>IFERROR(__xludf.DUMMYFUNCTION("""COMPUTED_VALUE"""),80150.0)</f>
        <v>80150</v>
      </c>
      <c r="B6330" s="3" t="str">
        <f>IFERROR(__xludf.DUMMYFUNCTION("""COMPUTED_VALUE"""),"13411 COUNTY 21 RD ")</f>
        <v>13411 COUNTY 21 RD </v>
      </c>
      <c r="C6330" s="3" t="str">
        <f>IFERROR(__xludf.DUMMYFUNCTION("""COMPUTED_VALUE"""),"COLBORNE")</f>
        <v>COLBORNE</v>
      </c>
      <c r="D6330" s="3" t="str">
        <f>IFERROR(__xludf.DUMMYFUNCTION("""COMPUTED_VALUE"""),"K0K 1S0")</f>
        <v>K0K 1S0</v>
      </c>
      <c r="E6330" s="3"/>
      <c r="F6330" s="3"/>
      <c r="G6330" s="3"/>
      <c r="H6330" s="3"/>
    </row>
    <row r="6331">
      <c r="A6331" s="2">
        <f>IFERROR(__xludf.DUMMYFUNCTION("""COMPUTED_VALUE"""),80151.0)</f>
        <v>80151</v>
      </c>
      <c r="B6331" s="3" t="str">
        <f>IFERROR(__xludf.DUMMYFUNCTION("""COMPUTED_VALUE"""),"13430 COUNTY 21 RD ")</f>
        <v>13430 COUNTY 21 RD </v>
      </c>
      <c r="C6331" s="3" t="str">
        <f>IFERROR(__xludf.DUMMYFUNCTION("""COMPUTED_VALUE"""),"COLBORNE")</f>
        <v>COLBORNE</v>
      </c>
      <c r="D6331" s="3" t="str">
        <f>IFERROR(__xludf.DUMMYFUNCTION("""COMPUTED_VALUE"""),"K0K 1S0")</f>
        <v>K0K 1S0</v>
      </c>
      <c r="E6331" s="3"/>
      <c r="F6331" s="3"/>
      <c r="G6331" s="3"/>
      <c r="H6331" s="3"/>
    </row>
    <row r="6332">
      <c r="A6332" s="2">
        <f>IFERROR(__xludf.DUMMYFUNCTION("""COMPUTED_VALUE"""),80152.0)</f>
        <v>80152</v>
      </c>
      <c r="B6332" s="3" t="str">
        <f>IFERROR(__xludf.DUMMYFUNCTION("""COMPUTED_VALUE"""),"13440 COUNTY 21 RD ")</f>
        <v>13440 COUNTY 21 RD </v>
      </c>
      <c r="C6332" s="3" t="str">
        <f>IFERROR(__xludf.DUMMYFUNCTION("""COMPUTED_VALUE"""),"COLBORNE")</f>
        <v>COLBORNE</v>
      </c>
      <c r="D6332" s="3" t="str">
        <f>IFERROR(__xludf.DUMMYFUNCTION("""COMPUTED_VALUE"""),"K0K 1S0")</f>
        <v>K0K 1S0</v>
      </c>
      <c r="E6332" s="3"/>
      <c r="F6332" s="3"/>
      <c r="G6332" s="3"/>
      <c r="H6332" s="3"/>
    </row>
    <row r="6333">
      <c r="A6333" s="2">
        <f>IFERROR(__xludf.DUMMYFUNCTION("""COMPUTED_VALUE"""),80153.0)</f>
        <v>80153</v>
      </c>
      <c r="B6333" s="3" t="str">
        <f>IFERROR(__xludf.DUMMYFUNCTION("""COMPUTED_VALUE"""),"13561 COUNTY 21 RD ")</f>
        <v>13561 COUNTY 21 RD </v>
      </c>
      <c r="C6333" s="3" t="str">
        <f>IFERROR(__xludf.DUMMYFUNCTION("""COMPUTED_VALUE"""),"COLBORNE")</f>
        <v>COLBORNE</v>
      </c>
      <c r="D6333" s="3" t="str">
        <f>IFERROR(__xludf.DUMMYFUNCTION("""COMPUTED_VALUE"""),"K0K 1S0")</f>
        <v>K0K 1S0</v>
      </c>
      <c r="E6333" s="3"/>
      <c r="F6333" s="3"/>
      <c r="G6333" s="3"/>
      <c r="H6333" s="3"/>
    </row>
    <row r="6334">
      <c r="A6334" s="2">
        <f>IFERROR(__xludf.DUMMYFUNCTION("""COMPUTED_VALUE"""),80154.0)</f>
        <v>80154</v>
      </c>
      <c r="B6334" s="3" t="str">
        <f>IFERROR(__xludf.DUMMYFUNCTION("""COMPUTED_VALUE"""),"13565 COUNTY 21 RD ")</f>
        <v>13565 COUNTY 21 RD </v>
      </c>
      <c r="C6334" s="3" t="str">
        <f>IFERROR(__xludf.DUMMYFUNCTION("""COMPUTED_VALUE"""),"COLBORNE")</f>
        <v>COLBORNE</v>
      </c>
      <c r="D6334" s="3" t="str">
        <f>IFERROR(__xludf.DUMMYFUNCTION("""COMPUTED_VALUE"""),"K0K 1S0")</f>
        <v>K0K 1S0</v>
      </c>
      <c r="E6334" s="3" t="str">
        <f>IFERROR(__xludf.DUMMYFUNCTION("""COMPUTED_VALUE"""),"sheila savoie")</f>
        <v>sheila savoie</v>
      </c>
      <c r="F6334" s="3" t="str">
        <f>IFERROR(__xludf.DUMMYFUNCTION("""COMPUTED_VALUE"""),"sheiladickson82@gmail.com")</f>
        <v>sheiladickson82@gmail.com</v>
      </c>
      <c r="G6334" s="3">
        <f>IFERROR(__xludf.DUMMYFUNCTION("""COMPUTED_VALUE"""),2.892513337E9)</f>
        <v>2892513337</v>
      </c>
      <c r="H6334" s="3"/>
    </row>
    <row r="6335">
      <c r="A6335" s="2">
        <f>IFERROR(__xludf.DUMMYFUNCTION("""COMPUTED_VALUE"""),80155.0)</f>
        <v>80155</v>
      </c>
      <c r="B6335" s="3" t="str">
        <f>IFERROR(__xludf.DUMMYFUNCTION("""COMPUTED_VALUE"""),"13581 COUNTY 21 RD ")</f>
        <v>13581 COUNTY 21 RD </v>
      </c>
      <c r="C6335" s="3" t="str">
        <f>IFERROR(__xludf.DUMMYFUNCTION("""COMPUTED_VALUE"""),"COLBORNE")</f>
        <v>COLBORNE</v>
      </c>
      <c r="D6335" s="3" t="str">
        <f>IFERROR(__xludf.DUMMYFUNCTION("""COMPUTED_VALUE"""),"K0K 1S0")</f>
        <v>K0K 1S0</v>
      </c>
      <c r="E6335" s="3" t="str">
        <f>IFERROR(__xludf.DUMMYFUNCTION("""COMPUTED_VALUE"""),"dean marchant ")</f>
        <v>dean marchant </v>
      </c>
      <c r="F6335" s="3" t="str">
        <f>IFERROR(__xludf.DUMMYFUNCTION("""COMPUTED_VALUE"""),"deanm70@outlook.com")</f>
        <v>deanm70@outlook.com</v>
      </c>
      <c r="G6335" s="3">
        <f>IFERROR(__xludf.DUMMYFUNCTION("""COMPUTED_VALUE"""),9.059250325E9)</f>
        <v>9059250325</v>
      </c>
      <c r="H6335" s="3"/>
    </row>
    <row r="6336">
      <c r="A6336" s="2">
        <f>IFERROR(__xludf.DUMMYFUNCTION("""COMPUTED_VALUE"""),80156.0)</f>
        <v>80156</v>
      </c>
      <c r="B6336" s="3" t="str">
        <f>IFERROR(__xludf.DUMMYFUNCTION("""COMPUTED_VALUE"""),"13587 COUNTY 21 RD ")</f>
        <v>13587 COUNTY 21 RD </v>
      </c>
      <c r="C6336" s="3" t="str">
        <f>IFERROR(__xludf.DUMMYFUNCTION("""COMPUTED_VALUE"""),"COLBORNE")</f>
        <v>COLBORNE</v>
      </c>
      <c r="D6336" s="3" t="str">
        <f>IFERROR(__xludf.DUMMYFUNCTION("""COMPUTED_VALUE"""),"K0K 1S0")</f>
        <v>K0K 1S0</v>
      </c>
      <c r="E6336" s="3" t="str">
        <f>IFERROR(__xludf.DUMMYFUNCTION("""COMPUTED_VALUE"""),"john ehmann")</f>
        <v>john ehmann</v>
      </c>
      <c r="F6336" s="3" t="str">
        <f>IFERROR(__xludf.DUMMYFUNCTION("""COMPUTED_VALUE"""),"ehmannjohn@gmail.com")</f>
        <v>ehmannjohn@gmail.com</v>
      </c>
      <c r="G6336" s="3">
        <f>IFERROR(__xludf.DUMMYFUNCTION("""COMPUTED_VALUE"""),6.478935706E9)</f>
        <v>6478935706</v>
      </c>
      <c r="H6336" s="3"/>
    </row>
    <row r="6337">
      <c r="A6337" s="2">
        <f>IFERROR(__xludf.DUMMYFUNCTION("""COMPUTED_VALUE"""),80157.0)</f>
        <v>80157</v>
      </c>
      <c r="B6337" s="3" t="str">
        <f>IFERROR(__xludf.DUMMYFUNCTION("""COMPUTED_VALUE"""),"13596 COUNTY 21 RD ")</f>
        <v>13596 COUNTY 21 RD </v>
      </c>
      <c r="C6337" s="3" t="str">
        <f>IFERROR(__xludf.DUMMYFUNCTION("""COMPUTED_VALUE"""),"COLBORNE")</f>
        <v>COLBORNE</v>
      </c>
      <c r="D6337" s="3" t="str">
        <f>IFERROR(__xludf.DUMMYFUNCTION("""COMPUTED_VALUE"""),"K0K 1S0")</f>
        <v>K0K 1S0</v>
      </c>
      <c r="E6337" s="3" t="str">
        <f>IFERROR(__xludf.DUMMYFUNCTION("""COMPUTED_VALUE"""),"marvin hill")</f>
        <v>marvin hill</v>
      </c>
      <c r="F6337" s="3" t="str">
        <f>IFERROR(__xludf.DUMMYFUNCTION("""COMPUTED_VALUE"""),"marvhill12@hotmail.com")</f>
        <v>marvhill12@hotmail.com</v>
      </c>
      <c r="G6337" s="3">
        <f>IFERROR(__xludf.DUMMYFUNCTION("""COMPUTED_VALUE"""),9.053736333E9)</f>
        <v>9053736333</v>
      </c>
      <c r="H6337" s="3"/>
    </row>
    <row r="6338">
      <c r="A6338" s="2">
        <f>IFERROR(__xludf.DUMMYFUNCTION("""COMPUTED_VALUE"""),80158.0)</f>
        <v>80158</v>
      </c>
      <c r="B6338" s="3" t="str">
        <f>IFERROR(__xludf.DUMMYFUNCTION("""COMPUTED_VALUE"""),"13597 COUNTY 21 RD ")</f>
        <v>13597 COUNTY 21 RD </v>
      </c>
      <c r="C6338" s="3" t="str">
        <f>IFERROR(__xludf.DUMMYFUNCTION("""COMPUTED_VALUE"""),"COLBORNE")</f>
        <v>COLBORNE</v>
      </c>
      <c r="D6338" s="3" t="str">
        <f>IFERROR(__xludf.DUMMYFUNCTION("""COMPUTED_VALUE"""),"K0K 1S0")</f>
        <v>K0K 1S0</v>
      </c>
      <c r="E6338" s="3" t="str">
        <f>IFERROR(__xludf.DUMMYFUNCTION("""COMPUTED_VALUE"""),"Henry Robbins")</f>
        <v>Henry Robbins</v>
      </c>
      <c r="F6338" s="3" t="str">
        <f>IFERROR(__xludf.DUMMYFUNCTION("""COMPUTED_VALUE"""),"hrobbins74@gmail.com")</f>
        <v>hrobbins74@gmail.com</v>
      </c>
      <c r="G6338" s="3">
        <f>IFERROR(__xludf.DUMMYFUNCTION("""COMPUTED_VALUE"""),6.134388851E9)</f>
        <v>6134388851</v>
      </c>
      <c r="H6338" s="3">
        <f>IFERROR(__xludf.DUMMYFUNCTION("""COMPUTED_VALUE"""),9.053967554E9)</f>
        <v>9053967554</v>
      </c>
    </row>
    <row r="6339">
      <c r="A6339" s="2">
        <f>IFERROR(__xludf.DUMMYFUNCTION("""COMPUTED_VALUE"""),80159.0)</f>
        <v>80159</v>
      </c>
      <c r="B6339" s="3" t="str">
        <f>IFERROR(__xludf.DUMMYFUNCTION("""COMPUTED_VALUE"""),"13605 COUNTY 21 RD ")</f>
        <v>13605 COUNTY 21 RD </v>
      </c>
      <c r="C6339" s="3" t="str">
        <f>IFERROR(__xludf.DUMMYFUNCTION("""COMPUTED_VALUE"""),"COLBORNE")</f>
        <v>COLBORNE</v>
      </c>
      <c r="D6339" s="3" t="str">
        <f>IFERROR(__xludf.DUMMYFUNCTION("""COMPUTED_VALUE"""),"K0K 1S0")</f>
        <v>K0K 1S0</v>
      </c>
      <c r="E6339" s="3"/>
      <c r="F6339" s="3" t="str">
        <f>IFERROR(__xludf.DUMMYFUNCTION("""COMPUTED_VALUE"""),"p.lucci@hotmail.com")</f>
        <v>p.lucci@hotmail.com</v>
      </c>
      <c r="G6339" s="3">
        <f>IFERROR(__xludf.DUMMYFUNCTION("""COMPUTED_VALUE"""),6.132430053E9)</f>
        <v>6132430053</v>
      </c>
      <c r="H6339" s="3">
        <f>IFERROR(__xludf.DUMMYFUNCTION("""COMPUTED_VALUE"""),6.132432302E9)</f>
        <v>6132432302</v>
      </c>
    </row>
    <row r="6340">
      <c r="A6340" s="2">
        <f>IFERROR(__xludf.DUMMYFUNCTION("""COMPUTED_VALUE"""),80160.0)</f>
        <v>80160</v>
      </c>
      <c r="B6340" s="3" t="str">
        <f>IFERROR(__xludf.DUMMYFUNCTION("""COMPUTED_VALUE"""),"13615 COUNTY 21 RD ")</f>
        <v>13615 COUNTY 21 RD </v>
      </c>
      <c r="C6340" s="3" t="str">
        <f>IFERROR(__xludf.DUMMYFUNCTION("""COMPUTED_VALUE"""),"COLBORNE")</f>
        <v>COLBORNE</v>
      </c>
      <c r="D6340" s="3" t="str">
        <f>IFERROR(__xludf.DUMMYFUNCTION("""COMPUTED_VALUE"""),"K0K 1S0")</f>
        <v>K0K 1S0</v>
      </c>
      <c r="E6340" s="3" t="str">
        <f>IFERROR(__xludf.DUMMYFUNCTION("""COMPUTED_VALUE"""),"james and angie wilce")</f>
        <v>james and angie wilce</v>
      </c>
      <c r="F6340" s="3" t="str">
        <f>IFERROR(__xludf.DUMMYFUNCTION("""COMPUTED_VALUE"""),"angiewilce@hotmail.com")</f>
        <v>angiewilce@hotmail.com</v>
      </c>
      <c r="G6340" s="3">
        <f>IFERROR(__xludf.DUMMYFUNCTION("""COMPUTED_VALUE"""),9.053757507E9)</f>
        <v>9053757507</v>
      </c>
      <c r="H6340" s="3"/>
    </row>
    <row r="6341">
      <c r="A6341" s="2">
        <f>IFERROR(__xludf.DUMMYFUNCTION("""COMPUTED_VALUE"""),80161.0)</f>
        <v>80161</v>
      </c>
      <c r="B6341" s="3" t="str">
        <f>IFERROR(__xludf.DUMMYFUNCTION("""COMPUTED_VALUE"""),"13621 COUNTY 21 RD ")</f>
        <v>13621 COUNTY 21 RD </v>
      </c>
      <c r="C6341" s="3" t="str">
        <f>IFERROR(__xludf.DUMMYFUNCTION("""COMPUTED_VALUE"""),"COLBORNE")</f>
        <v>COLBORNE</v>
      </c>
      <c r="D6341" s="3" t="str">
        <f>IFERROR(__xludf.DUMMYFUNCTION("""COMPUTED_VALUE"""),"K0K 1S0")</f>
        <v>K0K 1S0</v>
      </c>
      <c r="E6341" s="3" t="str">
        <f>IFERROR(__xludf.DUMMYFUNCTION("""COMPUTED_VALUE"""),"Bruce &amp; Veronica Bond")</f>
        <v>Bruce &amp; Veronica Bond</v>
      </c>
      <c r="F6341" s="3" t="str">
        <f>IFERROR(__xludf.DUMMYFUNCTION("""COMPUTED_VALUE"""),"bondveronica71@gmail.com")</f>
        <v>bondveronica71@gmail.com</v>
      </c>
      <c r="G6341" s="3">
        <f>IFERROR(__xludf.DUMMYFUNCTION("""COMPUTED_VALUE"""),7.056329121E9)</f>
        <v>7056329121</v>
      </c>
      <c r="H6341" s="3">
        <f>IFERROR(__xludf.DUMMYFUNCTION("""COMPUTED_VALUE"""),9.053769686E9)</f>
        <v>9053769686</v>
      </c>
    </row>
    <row r="6342">
      <c r="A6342" s="2">
        <f>IFERROR(__xludf.DUMMYFUNCTION("""COMPUTED_VALUE"""),80162.0)</f>
        <v>80162</v>
      </c>
      <c r="B6342" s="3" t="str">
        <f>IFERROR(__xludf.DUMMYFUNCTION("""COMPUTED_VALUE"""),"13629 COUNTY 21 RD ")</f>
        <v>13629 COUNTY 21 RD </v>
      </c>
      <c r="C6342" s="3" t="str">
        <f>IFERROR(__xludf.DUMMYFUNCTION("""COMPUTED_VALUE"""),"COLBORNE")</f>
        <v>COLBORNE</v>
      </c>
      <c r="D6342" s="3" t="str">
        <f>IFERROR(__xludf.DUMMYFUNCTION("""COMPUTED_VALUE"""),"K0K 1S0")</f>
        <v>K0K 1S0</v>
      </c>
      <c r="E6342" s="3" t="str">
        <f>IFERROR(__xludf.DUMMYFUNCTION("""COMPUTED_VALUE"""),"patricia millet ")</f>
        <v>patricia millet </v>
      </c>
      <c r="F6342" s="3" t="str">
        <f>IFERROR(__xludf.DUMMYFUNCTION("""COMPUTED_VALUE"""),"trish.miller908@gmail.com")</f>
        <v>trish.miller908@gmail.com</v>
      </c>
      <c r="G6342" s="3">
        <f>IFERROR(__xludf.DUMMYFUNCTION("""COMPUTED_VALUE"""),9.053966908E9)</f>
        <v>9053966908</v>
      </c>
      <c r="H6342" s="3"/>
    </row>
    <row r="6343">
      <c r="A6343" s="2">
        <f>IFERROR(__xludf.DUMMYFUNCTION("""COMPUTED_VALUE"""),80163.0)</f>
        <v>80163</v>
      </c>
      <c r="B6343" s="3" t="str">
        <f>IFERROR(__xludf.DUMMYFUNCTION("""COMPUTED_VALUE"""),"13667 COUNTY 21 RD ")</f>
        <v>13667 COUNTY 21 RD </v>
      </c>
      <c r="C6343" s="3" t="str">
        <f>IFERROR(__xludf.DUMMYFUNCTION("""COMPUTED_VALUE"""),"COLBORNE")</f>
        <v>COLBORNE</v>
      </c>
      <c r="D6343" s="3" t="str">
        <f>IFERROR(__xludf.DUMMYFUNCTION("""COMPUTED_VALUE"""),"K0K 1S0")</f>
        <v>K0K 1S0</v>
      </c>
      <c r="E6343" s="3"/>
      <c r="F6343" s="3"/>
      <c r="G6343" s="3"/>
      <c r="H6343" s="3"/>
    </row>
    <row r="6344">
      <c r="A6344" s="2">
        <f>IFERROR(__xludf.DUMMYFUNCTION("""COMPUTED_VALUE"""),80164.0)</f>
        <v>80164</v>
      </c>
      <c r="B6344" s="3" t="str">
        <f>IFERROR(__xludf.DUMMYFUNCTION("""COMPUTED_VALUE"""),"13768 COUNTY 21 RD ")</f>
        <v>13768 COUNTY 21 RD </v>
      </c>
      <c r="C6344" s="3" t="str">
        <f>IFERROR(__xludf.DUMMYFUNCTION("""COMPUTED_VALUE"""),"COLBORNE")</f>
        <v>COLBORNE</v>
      </c>
      <c r="D6344" s="3" t="str">
        <f>IFERROR(__xludf.DUMMYFUNCTION("""COMPUTED_VALUE"""),"K0K 1S0")</f>
        <v>K0K 1S0</v>
      </c>
      <c r="E6344" s="3" t="str">
        <f>IFERROR(__xludf.DUMMYFUNCTION("""COMPUTED_VALUE"""),"Mary Scott")</f>
        <v>Mary Scott</v>
      </c>
      <c r="F6344" s="3" t="str">
        <f>IFERROR(__xludf.DUMMYFUNCTION("""COMPUTED_VALUE"""),"scottmary344@gmail.com")</f>
        <v>scottmary344@gmail.com</v>
      </c>
      <c r="G6344" s="3">
        <f>IFERROR(__xludf.DUMMYFUNCTION("""COMPUTED_VALUE"""),2.892511828E9)</f>
        <v>2892511828</v>
      </c>
      <c r="H6344" s="3"/>
    </row>
    <row r="6345">
      <c r="A6345" s="2">
        <f>IFERROR(__xludf.DUMMYFUNCTION("""COMPUTED_VALUE"""),80165.0)</f>
        <v>80165</v>
      </c>
      <c r="B6345" s="3" t="str">
        <f>IFERROR(__xludf.DUMMYFUNCTION("""COMPUTED_VALUE"""),"13773 COUNTY 21 RD ")</f>
        <v>13773 COUNTY 21 RD </v>
      </c>
      <c r="C6345" s="3" t="str">
        <f>IFERROR(__xludf.DUMMYFUNCTION("""COMPUTED_VALUE"""),"COLBORNE")</f>
        <v>COLBORNE</v>
      </c>
      <c r="D6345" s="3" t="str">
        <f>IFERROR(__xludf.DUMMYFUNCTION("""COMPUTED_VALUE"""),"K0K 1S0")</f>
        <v>K0K 1S0</v>
      </c>
      <c r="E6345" s="3" t="str">
        <f>IFERROR(__xludf.DUMMYFUNCTION("""COMPUTED_VALUE"""),"GREGORY A FRASER")</f>
        <v>GREGORY A FRASER</v>
      </c>
      <c r="F6345" s="3" t="str">
        <f>IFERROR(__xludf.DUMMYFUNCTION("""COMPUTED_VALUE"""),"gfraser29@hotmail.com")</f>
        <v>gfraser29@hotmail.com</v>
      </c>
      <c r="G6345" s="3"/>
      <c r="H6345" s="3"/>
    </row>
    <row r="6346">
      <c r="A6346" s="2">
        <f>IFERROR(__xludf.DUMMYFUNCTION("""COMPUTED_VALUE"""),80166.0)</f>
        <v>80166</v>
      </c>
      <c r="B6346" s="3" t="str">
        <f>IFERROR(__xludf.DUMMYFUNCTION("""COMPUTED_VALUE"""),"13776 COUNTY 21 RD ")</f>
        <v>13776 COUNTY 21 RD </v>
      </c>
      <c r="C6346" s="3" t="str">
        <f>IFERROR(__xludf.DUMMYFUNCTION("""COMPUTED_VALUE"""),"COLBORNE")</f>
        <v>COLBORNE</v>
      </c>
      <c r="D6346" s="3" t="str">
        <f>IFERROR(__xludf.DUMMYFUNCTION("""COMPUTED_VALUE"""),"K0K 1S0")</f>
        <v>K0K 1S0</v>
      </c>
      <c r="E6346" s="3" t="str">
        <f>IFERROR(__xludf.DUMMYFUNCTION("""COMPUTED_VALUE"""),"Stewart McNeely")</f>
        <v>Stewart McNeely</v>
      </c>
      <c r="F6346" s="3" t="str">
        <f>IFERROR(__xludf.DUMMYFUNCTION("""COMPUTED_VALUE"""),"gonetowinnipeg@hotmail.com")</f>
        <v>gonetowinnipeg@hotmail.com</v>
      </c>
      <c r="G6346" s="3"/>
      <c r="H6346" s="3"/>
    </row>
    <row r="6347">
      <c r="A6347" s="2">
        <f>IFERROR(__xludf.DUMMYFUNCTION("""COMPUTED_VALUE"""),81049.0)</f>
        <v>81049</v>
      </c>
      <c r="B6347" s="3" t="str">
        <f>IFERROR(__xludf.DUMMYFUNCTION("""COMPUTED_VALUE"""),"13784 COUNTY 21 RD ")</f>
        <v>13784 COUNTY 21 RD </v>
      </c>
      <c r="C6347" s="3" t="str">
        <f>IFERROR(__xludf.DUMMYFUNCTION("""COMPUTED_VALUE"""),"COLBORNE")</f>
        <v>COLBORNE</v>
      </c>
      <c r="D6347" s="3" t="str">
        <f>IFERROR(__xludf.DUMMYFUNCTION("""COMPUTED_VALUE"""),"K0K 1S0")</f>
        <v>K0K 1S0</v>
      </c>
      <c r="E6347" s="3"/>
      <c r="F6347" s="3"/>
      <c r="G6347" s="3"/>
      <c r="H6347" s="3"/>
    </row>
    <row r="6348">
      <c r="A6348" s="2">
        <f>IFERROR(__xludf.DUMMYFUNCTION("""COMPUTED_VALUE"""),80167.0)</f>
        <v>80167</v>
      </c>
      <c r="B6348" s="3" t="str">
        <f>IFERROR(__xludf.DUMMYFUNCTION("""COMPUTED_VALUE"""),"13789 COUNTY 21 RD ")</f>
        <v>13789 COUNTY 21 RD </v>
      </c>
      <c r="C6348" s="3" t="str">
        <f>IFERROR(__xludf.DUMMYFUNCTION("""COMPUTED_VALUE"""),"COLBORNE")</f>
        <v>COLBORNE</v>
      </c>
      <c r="D6348" s="3" t="str">
        <f>IFERROR(__xludf.DUMMYFUNCTION("""COMPUTED_VALUE"""),"K0K 1S0")</f>
        <v>K0K 1S0</v>
      </c>
      <c r="E6348" s="3" t="str">
        <f>IFERROR(__xludf.DUMMYFUNCTION("""COMPUTED_VALUE"""),"Susan Scott-Horne")</f>
        <v>Susan Scott-Horne</v>
      </c>
      <c r="F6348" s="3" t="str">
        <f>IFERROR(__xludf.DUMMYFUNCTION("""COMPUTED_VALUE"""),"suzeeq.scott@gmail.com")</f>
        <v>suzeeq.scott@gmail.com</v>
      </c>
      <c r="G6348" s="3"/>
      <c r="H6348" s="3"/>
    </row>
    <row r="6349">
      <c r="A6349" s="2">
        <f>IFERROR(__xludf.DUMMYFUNCTION("""COMPUTED_VALUE"""),80168.0)</f>
        <v>80168</v>
      </c>
      <c r="B6349" s="3" t="str">
        <f>IFERROR(__xludf.DUMMYFUNCTION("""COMPUTED_VALUE"""),"13792 COUNTY 21 RD ")</f>
        <v>13792 COUNTY 21 RD </v>
      </c>
      <c r="C6349" s="3" t="str">
        <f>IFERROR(__xludf.DUMMYFUNCTION("""COMPUTED_VALUE"""),"COLBORNE")</f>
        <v>COLBORNE</v>
      </c>
      <c r="D6349" s="3" t="str">
        <f>IFERROR(__xludf.DUMMYFUNCTION("""COMPUTED_VALUE"""),"K0K 1S0")</f>
        <v>K0K 1S0</v>
      </c>
      <c r="E6349" s="3" t="str">
        <f>IFERROR(__xludf.DUMMYFUNCTION("""COMPUTED_VALUE"""),"bennitz pearson")</f>
        <v>bennitz pearson</v>
      </c>
      <c r="F6349" s="3" t="str">
        <f>IFERROR(__xludf.DUMMYFUNCTION("""COMPUTED_VALUE"""),"drpandlmb2016@gmail.com")</f>
        <v>drpandlmb2016@gmail.com</v>
      </c>
      <c r="G6349" s="3">
        <f>IFERROR(__xludf.DUMMYFUNCTION("""COMPUTED_VALUE"""),4.163190866E9)</f>
        <v>4163190866</v>
      </c>
      <c r="H6349" s="3"/>
    </row>
    <row r="6350">
      <c r="A6350" s="2">
        <f>IFERROR(__xludf.DUMMYFUNCTION("""COMPUTED_VALUE"""),80169.0)</f>
        <v>80169</v>
      </c>
      <c r="B6350" s="3" t="str">
        <f>IFERROR(__xludf.DUMMYFUNCTION("""COMPUTED_VALUE"""),"13799 COUNTY 21 RD ")</f>
        <v>13799 COUNTY 21 RD </v>
      </c>
      <c r="C6350" s="3" t="str">
        <f>IFERROR(__xludf.DUMMYFUNCTION("""COMPUTED_VALUE"""),"COLBORNE")</f>
        <v>COLBORNE</v>
      </c>
      <c r="D6350" s="3" t="str">
        <f>IFERROR(__xludf.DUMMYFUNCTION("""COMPUTED_VALUE"""),"K0K 1S0")</f>
        <v>K0K 1S0</v>
      </c>
      <c r="E6350" s="3" t="str">
        <f>IFERROR(__xludf.DUMMYFUNCTION("""COMPUTED_VALUE"""),"Leon Miklos")</f>
        <v>Leon Miklos</v>
      </c>
      <c r="F6350" s="3" t="str">
        <f>IFERROR(__xludf.DUMMYFUNCTION("""COMPUTED_VALUE"""),"leon_miklos@hotmail.com")</f>
        <v>leon_miklos@hotmail.com</v>
      </c>
      <c r="G6350" s="3">
        <f>IFERROR(__xludf.DUMMYFUNCTION("""COMPUTED_VALUE"""),9.053755437E9)</f>
        <v>9053755437</v>
      </c>
      <c r="H6350" s="3"/>
    </row>
    <row r="6351">
      <c r="A6351" s="2">
        <f>IFERROR(__xludf.DUMMYFUNCTION("""COMPUTED_VALUE"""),80170.0)</f>
        <v>80170</v>
      </c>
      <c r="B6351" s="3" t="str">
        <f>IFERROR(__xludf.DUMMYFUNCTION("""COMPUTED_VALUE"""),"13800 COUNTY 21 RD ")</f>
        <v>13800 COUNTY 21 RD </v>
      </c>
      <c r="C6351" s="3" t="str">
        <f>IFERROR(__xludf.DUMMYFUNCTION("""COMPUTED_VALUE"""),"COLBORNE")</f>
        <v>COLBORNE</v>
      </c>
      <c r="D6351" s="3" t="str">
        <f>IFERROR(__xludf.DUMMYFUNCTION("""COMPUTED_VALUE"""),"K0K 1S0")</f>
        <v>K0K 1S0</v>
      </c>
      <c r="E6351" s="3"/>
      <c r="F6351" s="3"/>
      <c r="G6351" s="3"/>
      <c r="H6351" s="3"/>
    </row>
    <row r="6352">
      <c r="A6352" s="2">
        <f>IFERROR(__xludf.DUMMYFUNCTION("""COMPUTED_VALUE"""),80171.0)</f>
        <v>80171</v>
      </c>
      <c r="B6352" s="3" t="str">
        <f>IFERROR(__xludf.DUMMYFUNCTION("""COMPUTED_VALUE"""),"13807 COUNTY 21 RD ")</f>
        <v>13807 COUNTY 21 RD </v>
      </c>
      <c r="C6352" s="3" t="str">
        <f>IFERROR(__xludf.DUMMYFUNCTION("""COMPUTED_VALUE"""),"COLBORNE")</f>
        <v>COLBORNE</v>
      </c>
      <c r="D6352" s="3" t="str">
        <f>IFERROR(__xludf.DUMMYFUNCTION("""COMPUTED_VALUE"""),"K0K 1S0")</f>
        <v>K0K 1S0</v>
      </c>
      <c r="E6352" s="3"/>
      <c r="F6352" s="3"/>
      <c r="G6352" s="3"/>
      <c r="H6352" s="3"/>
    </row>
    <row r="6353">
      <c r="A6353" s="2">
        <f>IFERROR(__xludf.DUMMYFUNCTION("""COMPUTED_VALUE"""),80172.0)</f>
        <v>80172</v>
      </c>
      <c r="B6353" s="3" t="str">
        <f>IFERROR(__xludf.DUMMYFUNCTION("""COMPUTED_VALUE"""),"13840 COUNTY 21 RD ")</f>
        <v>13840 COUNTY 21 RD </v>
      </c>
      <c r="C6353" s="3" t="str">
        <f>IFERROR(__xludf.DUMMYFUNCTION("""COMPUTED_VALUE"""),"COLBORNE")</f>
        <v>COLBORNE</v>
      </c>
      <c r="D6353" s="3" t="str">
        <f>IFERROR(__xludf.DUMMYFUNCTION("""COMPUTED_VALUE"""),"K0K 1S0")</f>
        <v>K0K 1S0</v>
      </c>
      <c r="E6353" s="3" t="str">
        <f>IFERROR(__xludf.DUMMYFUNCTION("""COMPUTED_VALUE"""),"Jeremy Brennan")</f>
        <v>Jeremy Brennan</v>
      </c>
      <c r="F6353" s="3" t="str">
        <f>IFERROR(__xludf.DUMMYFUNCTION("""COMPUTED_VALUE"""),"jeremy.brennan310@gmail.com")</f>
        <v>jeremy.brennan310@gmail.com</v>
      </c>
      <c r="G6353" s="3">
        <f>IFERROR(__xludf.DUMMYFUNCTION("""COMPUTED_VALUE"""),6.13848592E9)</f>
        <v>6138485920</v>
      </c>
      <c r="H6353" s="3"/>
    </row>
    <row r="6354">
      <c r="A6354" s="2">
        <f>IFERROR(__xludf.DUMMYFUNCTION("""COMPUTED_VALUE"""),80173.0)</f>
        <v>80173</v>
      </c>
      <c r="B6354" s="3" t="str">
        <f>IFERROR(__xludf.DUMMYFUNCTION("""COMPUTED_VALUE"""),"13866 COUNTY 21 RD ")</f>
        <v>13866 COUNTY 21 RD </v>
      </c>
      <c r="C6354" s="3" t="str">
        <f>IFERROR(__xludf.DUMMYFUNCTION("""COMPUTED_VALUE"""),"COLBORNE")</f>
        <v>COLBORNE</v>
      </c>
      <c r="D6354" s="3" t="str">
        <f>IFERROR(__xludf.DUMMYFUNCTION("""COMPUTED_VALUE"""),"K0K 1S0")</f>
        <v>K0K 1S0</v>
      </c>
      <c r="E6354" s="3" t="str">
        <f>IFERROR(__xludf.DUMMYFUNCTION("""COMPUTED_VALUE"""),"Clifford Murray McCullough")</f>
        <v>Clifford Murray McCullough</v>
      </c>
      <c r="F6354" s="3" t="str">
        <f>IFERROR(__xludf.DUMMYFUNCTION("""COMPUTED_VALUE"""),"c.murray.mccullough@gmail.com")</f>
        <v>c.murray.mccullough@gmail.com</v>
      </c>
      <c r="G6354" s="3">
        <f>IFERROR(__xludf.DUMMYFUNCTION("""COMPUTED_VALUE"""),9.053447746E9)</f>
        <v>9053447746</v>
      </c>
      <c r="H6354" s="3"/>
    </row>
    <row r="6355">
      <c r="A6355" s="2">
        <f>IFERROR(__xludf.DUMMYFUNCTION("""COMPUTED_VALUE"""),80174.0)</f>
        <v>80174</v>
      </c>
      <c r="B6355" s="3" t="str">
        <f>IFERROR(__xludf.DUMMYFUNCTION("""COMPUTED_VALUE"""),"13912 COUNTY 21 RD ")</f>
        <v>13912 COUNTY 21 RD </v>
      </c>
      <c r="C6355" s="3" t="str">
        <f>IFERROR(__xludf.DUMMYFUNCTION("""COMPUTED_VALUE"""),"COLBORNE")</f>
        <v>COLBORNE</v>
      </c>
      <c r="D6355" s="3" t="str">
        <f>IFERROR(__xludf.DUMMYFUNCTION("""COMPUTED_VALUE"""),"K0K 1S0")</f>
        <v>K0K 1S0</v>
      </c>
      <c r="E6355" s="3" t="str">
        <f>IFERROR(__xludf.DUMMYFUNCTION("""COMPUTED_VALUE"""),"Kyle Hartley")</f>
        <v>Kyle Hartley</v>
      </c>
      <c r="F6355" s="3" t="str">
        <f>IFERROR(__xludf.DUMMYFUNCTION("""COMPUTED_VALUE"""),"kyle_hartley@hotmail.com")</f>
        <v>kyle_hartley@hotmail.com</v>
      </c>
      <c r="G6355" s="3"/>
      <c r="H6355" s="3"/>
    </row>
    <row r="6356">
      <c r="A6356" s="2">
        <f>IFERROR(__xludf.DUMMYFUNCTION("""COMPUTED_VALUE"""),80175.0)</f>
        <v>80175</v>
      </c>
      <c r="B6356" s="3" t="str">
        <f>IFERROR(__xludf.DUMMYFUNCTION("""COMPUTED_VALUE"""),"13918 COUNTY 21 RD ")</f>
        <v>13918 COUNTY 21 RD </v>
      </c>
      <c r="C6356" s="3" t="str">
        <f>IFERROR(__xludf.DUMMYFUNCTION("""COMPUTED_VALUE"""),"COLBORNE")</f>
        <v>COLBORNE</v>
      </c>
      <c r="D6356" s="3" t="str">
        <f>IFERROR(__xludf.DUMMYFUNCTION("""COMPUTED_VALUE"""),"K0K 1S0")</f>
        <v>K0K 1S0</v>
      </c>
      <c r="E6356" s="3"/>
      <c r="F6356" s="3"/>
      <c r="G6356" s="3"/>
      <c r="H6356" s="3"/>
    </row>
    <row r="6357">
      <c r="A6357" s="2">
        <f>IFERROR(__xludf.DUMMYFUNCTION("""COMPUTED_VALUE"""),80176.0)</f>
        <v>80176</v>
      </c>
      <c r="B6357" s="3" t="str">
        <f>IFERROR(__xludf.DUMMYFUNCTION("""COMPUTED_VALUE"""),"13928 COUNTY 21 RD ")</f>
        <v>13928 COUNTY 21 RD </v>
      </c>
      <c r="C6357" s="3" t="str">
        <f>IFERROR(__xludf.DUMMYFUNCTION("""COMPUTED_VALUE"""),"COLBORNE")</f>
        <v>COLBORNE</v>
      </c>
      <c r="D6357" s="3" t="str">
        <f>IFERROR(__xludf.DUMMYFUNCTION("""COMPUTED_VALUE"""),"K0K 1S0")</f>
        <v>K0K 1S0</v>
      </c>
      <c r="E6357" s="3"/>
      <c r="F6357" s="3"/>
      <c r="G6357" s="3"/>
      <c r="H6357" s="3"/>
    </row>
    <row r="6358">
      <c r="A6358" s="2">
        <f>IFERROR(__xludf.DUMMYFUNCTION("""COMPUTED_VALUE"""),80177.0)</f>
        <v>80177</v>
      </c>
      <c r="B6358" s="3" t="str">
        <f>IFERROR(__xludf.DUMMYFUNCTION("""COMPUTED_VALUE"""),"13940 COUNTY 21 RD ")</f>
        <v>13940 COUNTY 21 RD </v>
      </c>
      <c r="C6358" s="3" t="str">
        <f>IFERROR(__xludf.DUMMYFUNCTION("""COMPUTED_VALUE"""),"COLBORNE")</f>
        <v>COLBORNE</v>
      </c>
      <c r="D6358" s="3" t="str">
        <f>IFERROR(__xludf.DUMMYFUNCTION("""COMPUTED_VALUE"""),"K0K 1S0")</f>
        <v>K0K 1S0</v>
      </c>
      <c r="E6358" s="3" t="str">
        <f>IFERROR(__xludf.DUMMYFUNCTION("""COMPUTED_VALUE"""),"gord hill ")</f>
        <v>gord hill </v>
      </c>
      <c r="F6358" s="3" t="str">
        <f>IFERROR(__xludf.DUMMYFUNCTION("""COMPUTED_VALUE"""),"josie_21_foxy@hotmail.com")</f>
        <v>josie_21_foxy@hotmail.com</v>
      </c>
      <c r="G6358" s="3">
        <f>IFERROR(__xludf.DUMMYFUNCTION("""COMPUTED_VALUE"""),9.053752925E9)</f>
        <v>9053752925</v>
      </c>
      <c r="H6358" s="3"/>
    </row>
    <row r="6359">
      <c r="A6359" s="2">
        <f>IFERROR(__xludf.DUMMYFUNCTION("""COMPUTED_VALUE"""),80178.0)</f>
        <v>80178</v>
      </c>
      <c r="B6359" s="3" t="str">
        <f>IFERROR(__xludf.DUMMYFUNCTION("""COMPUTED_VALUE"""),"13956 COUNTY 21 RD ")</f>
        <v>13956 COUNTY 21 RD </v>
      </c>
      <c r="C6359" s="3" t="str">
        <f>IFERROR(__xludf.DUMMYFUNCTION("""COMPUTED_VALUE"""),"COLBORNE")</f>
        <v>COLBORNE</v>
      </c>
      <c r="D6359" s="3" t="str">
        <f>IFERROR(__xludf.DUMMYFUNCTION("""COMPUTED_VALUE"""),"K0K 1S0")</f>
        <v>K0K 1S0</v>
      </c>
      <c r="E6359" s="3" t="str">
        <f>IFERROR(__xludf.DUMMYFUNCTION("""COMPUTED_VALUE"""),"cathy paterson")</f>
        <v>cathy paterson</v>
      </c>
      <c r="F6359" s="3" t="str">
        <f>IFERROR(__xludf.DUMMYFUNCTION("""COMPUTED_VALUE"""),"cathyrose45@hotmail.com")</f>
        <v>cathyrose45@hotmail.com</v>
      </c>
      <c r="G6359" s="3">
        <f>IFERROR(__xludf.DUMMYFUNCTION("""COMPUTED_VALUE"""),2.89251891E9)</f>
        <v>2892518910</v>
      </c>
      <c r="H6359" s="3"/>
    </row>
    <row r="6360">
      <c r="A6360" s="2">
        <f>IFERROR(__xludf.DUMMYFUNCTION("""COMPUTED_VALUE"""),81065.0)</f>
        <v>81065</v>
      </c>
      <c r="B6360" s="3" t="str">
        <f>IFERROR(__xludf.DUMMYFUNCTION("""COMPUTED_VALUE"""),"13972 COUNTY 21 RD ")</f>
        <v>13972 COUNTY 21 RD </v>
      </c>
      <c r="C6360" s="3" t="str">
        <f>IFERROR(__xludf.DUMMYFUNCTION("""COMPUTED_VALUE"""),"COLBORNE")</f>
        <v>COLBORNE</v>
      </c>
      <c r="D6360" s="3" t="str">
        <f>IFERROR(__xludf.DUMMYFUNCTION("""COMPUTED_VALUE"""),"K0K 1S0")</f>
        <v>K0K 1S0</v>
      </c>
      <c r="E6360" s="3"/>
      <c r="F6360" s="3"/>
      <c r="G6360" s="3"/>
      <c r="H6360" s="3"/>
    </row>
    <row r="6361">
      <c r="A6361" s="2">
        <f>IFERROR(__xludf.DUMMYFUNCTION("""COMPUTED_VALUE"""),80179.0)</f>
        <v>80179</v>
      </c>
      <c r="B6361" s="3" t="str">
        <f>IFERROR(__xludf.DUMMYFUNCTION("""COMPUTED_VALUE"""),"13979 COUNTY 21 RD ")</f>
        <v>13979 COUNTY 21 RD </v>
      </c>
      <c r="C6361" s="3" t="str">
        <f>IFERROR(__xludf.DUMMYFUNCTION("""COMPUTED_VALUE"""),"COLBORNE")</f>
        <v>COLBORNE</v>
      </c>
      <c r="D6361" s="3" t="str">
        <f>IFERROR(__xludf.DUMMYFUNCTION("""COMPUTED_VALUE"""),"K0K 1S0")</f>
        <v>K0K 1S0</v>
      </c>
      <c r="E6361" s="3" t="str">
        <f>IFERROR(__xludf.DUMMYFUNCTION("""COMPUTED_VALUE"""),"Wayne Llewellyn")</f>
        <v>Wayne Llewellyn</v>
      </c>
      <c r="F6361" s="3" t="str">
        <f>IFERROR(__xludf.DUMMYFUNCTION("""COMPUTED_VALUE"""),"w.llewellyn@hotmail.com")</f>
        <v>w.llewellyn@hotmail.com</v>
      </c>
      <c r="G6361" s="3">
        <f>IFERROR(__xludf.DUMMYFUNCTION("""COMPUTED_VALUE"""),2.892517565E9)</f>
        <v>2892517565</v>
      </c>
      <c r="H6361" s="3">
        <f>IFERROR(__xludf.DUMMYFUNCTION("""COMPUTED_VALUE"""),9.053773538E9)</f>
        <v>9053773538</v>
      </c>
    </row>
    <row r="6362">
      <c r="A6362" s="2">
        <f>IFERROR(__xludf.DUMMYFUNCTION("""COMPUTED_VALUE"""),80180.0)</f>
        <v>80180</v>
      </c>
      <c r="B6362" s="3" t="str">
        <f>IFERROR(__xludf.DUMMYFUNCTION("""COMPUTED_VALUE"""),"13985 COUNTY 21 RD ")</f>
        <v>13985 COUNTY 21 RD </v>
      </c>
      <c r="C6362" s="3" t="str">
        <f>IFERROR(__xludf.DUMMYFUNCTION("""COMPUTED_VALUE"""),"COLBORNE")</f>
        <v>COLBORNE</v>
      </c>
      <c r="D6362" s="3" t="str">
        <f>IFERROR(__xludf.DUMMYFUNCTION("""COMPUTED_VALUE"""),"K0K 1S0")</f>
        <v>K0K 1S0</v>
      </c>
      <c r="E6362" s="3" t="str">
        <f>IFERROR(__xludf.DUMMYFUNCTION("""COMPUTED_VALUE"""),"wilma and ben diesche")</f>
        <v>wilma and ben diesche</v>
      </c>
      <c r="F6362" s="3"/>
      <c r="G6362" s="3">
        <f>IFERROR(__xludf.DUMMYFUNCTION("""COMPUTED_VALUE"""),5.188516402E9)</f>
        <v>5188516402</v>
      </c>
      <c r="H6362" s="3"/>
    </row>
    <row r="6363">
      <c r="A6363" s="2">
        <f>IFERROR(__xludf.DUMMYFUNCTION("""COMPUTED_VALUE"""),80181.0)</f>
        <v>80181</v>
      </c>
      <c r="B6363" s="3" t="str">
        <f>IFERROR(__xludf.DUMMYFUNCTION("""COMPUTED_VALUE"""),"13990 COUNTY 21 RD ")</f>
        <v>13990 COUNTY 21 RD </v>
      </c>
      <c r="C6363" s="3" t="str">
        <f>IFERROR(__xludf.DUMMYFUNCTION("""COMPUTED_VALUE"""),"COLBORNE")</f>
        <v>COLBORNE</v>
      </c>
      <c r="D6363" s="3" t="str">
        <f>IFERROR(__xludf.DUMMYFUNCTION("""COMPUTED_VALUE"""),"K0K 1S0")</f>
        <v>K0K 1S0</v>
      </c>
      <c r="E6363" s="3" t="str">
        <f>IFERROR(__xludf.DUMMYFUNCTION("""COMPUTED_VALUE"""),"betty oliver")</f>
        <v>betty oliver</v>
      </c>
      <c r="F6363" s="3" t="str">
        <f>IFERROR(__xludf.DUMMYFUNCTION("""COMPUTED_VALUE"""),"betannoliver@outlook.com")</f>
        <v>betannoliver@outlook.com</v>
      </c>
      <c r="G6363" s="3">
        <f>IFERROR(__xludf.DUMMYFUNCTION("""COMPUTED_VALUE"""),9.053761611E9)</f>
        <v>9053761611</v>
      </c>
      <c r="H6363" s="3">
        <f>IFERROR(__xludf.DUMMYFUNCTION("""COMPUTED_VALUE"""),9.053754207E9)</f>
        <v>9053754207</v>
      </c>
    </row>
    <row r="6364">
      <c r="A6364" s="2">
        <f>IFERROR(__xludf.DUMMYFUNCTION("""COMPUTED_VALUE"""),80182.0)</f>
        <v>80182</v>
      </c>
      <c r="B6364" s="3" t="str">
        <f>IFERROR(__xludf.DUMMYFUNCTION("""COMPUTED_VALUE"""),"14043 COUNTY 21 RD ")</f>
        <v>14043 COUNTY 21 RD </v>
      </c>
      <c r="C6364" s="3" t="str">
        <f>IFERROR(__xludf.DUMMYFUNCTION("""COMPUTED_VALUE"""),"COLBORNE")</f>
        <v>COLBORNE</v>
      </c>
      <c r="D6364" s="3" t="str">
        <f>IFERROR(__xludf.DUMMYFUNCTION("""COMPUTED_VALUE"""),"K0K 1S0")</f>
        <v>K0K 1S0</v>
      </c>
      <c r="E6364" s="3"/>
      <c r="F6364" s="3"/>
      <c r="G6364" s="3"/>
      <c r="H6364" s="3"/>
    </row>
    <row r="6365">
      <c r="A6365" s="2">
        <f>IFERROR(__xludf.DUMMYFUNCTION("""COMPUTED_VALUE"""),80183.0)</f>
        <v>80183</v>
      </c>
      <c r="B6365" s="3" t="str">
        <f>IFERROR(__xludf.DUMMYFUNCTION("""COMPUTED_VALUE"""),"14051 COUNTY 21 RD ")</f>
        <v>14051 COUNTY 21 RD </v>
      </c>
      <c r="C6365" s="3" t="str">
        <f>IFERROR(__xludf.DUMMYFUNCTION("""COMPUTED_VALUE"""),"COLBORNE")</f>
        <v>COLBORNE</v>
      </c>
      <c r="D6365" s="3" t="str">
        <f>IFERROR(__xludf.DUMMYFUNCTION("""COMPUTED_VALUE"""),"K0K 1S0")</f>
        <v>K0K 1S0</v>
      </c>
      <c r="E6365" s="3" t="str">
        <f>IFERROR(__xludf.DUMMYFUNCTION("""COMPUTED_VALUE"""),"Diane Meekes")</f>
        <v>Diane Meekes</v>
      </c>
      <c r="F6365" s="3" t="str">
        <f>IFERROR(__xludf.DUMMYFUNCTION("""COMPUTED_VALUE"""),"dvmeekes@gmail.com")</f>
        <v>dvmeekes@gmail.com</v>
      </c>
      <c r="G6365" s="3"/>
      <c r="H6365" s="3"/>
    </row>
    <row r="6366">
      <c r="A6366" s="2">
        <f>IFERROR(__xludf.DUMMYFUNCTION("""COMPUTED_VALUE"""),80184.0)</f>
        <v>80184</v>
      </c>
      <c r="B6366" s="3" t="str">
        <f>IFERROR(__xludf.DUMMYFUNCTION("""COMPUTED_VALUE"""),"14082 COUNTY 21 RD ")</f>
        <v>14082 COUNTY 21 RD </v>
      </c>
      <c r="C6366" s="3" t="str">
        <f>IFERROR(__xludf.DUMMYFUNCTION("""COMPUTED_VALUE"""),"COLBORNE")</f>
        <v>COLBORNE</v>
      </c>
      <c r="D6366" s="3" t="str">
        <f>IFERROR(__xludf.DUMMYFUNCTION("""COMPUTED_VALUE"""),"K0K 1S0")</f>
        <v>K0K 1S0</v>
      </c>
      <c r="E6366" s="3" t="str">
        <f>IFERROR(__xludf.DUMMYFUNCTION("""COMPUTED_VALUE"""),"William Vroegryk")</f>
        <v>William Vroegryk</v>
      </c>
      <c r="F6366" s="3" t="str">
        <f>IFERROR(__xludf.DUMMYFUNCTION("""COMPUTED_VALUE"""),"coldcreekhvac@hotmail.com")</f>
        <v>coldcreekhvac@hotmail.com</v>
      </c>
      <c r="G6366" s="3">
        <f>IFERROR(__xludf.DUMMYFUNCTION("""COMPUTED_VALUE"""),9.053736894E9)</f>
        <v>9053736894</v>
      </c>
      <c r="H6366" s="3">
        <f>IFERROR(__xludf.DUMMYFUNCTION("""COMPUTED_VALUE"""),9.052692102E9)</f>
        <v>9052692102</v>
      </c>
    </row>
    <row r="6367">
      <c r="A6367" s="2">
        <f>IFERROR(__xludf.DUMMYFUNCTION("""COMPUTED_VALUE"""),80185.0)</f>
        <v>80185</v>
      </c>
      <c r="B6367" s="3" t="str">
        <f>IFERROR(__xludf.DUMMYFUNCTION("""COMPUTED_VALUE"""),"14096 COUNTY 21 RD ")</f>
        <v>14096 COUNTY 21 RD </v>
      </c>
      <c r="C6367" s="3" t="str">
        <f>IFERROR(__xludf.DUMMYFUNCTION("""COMPUTED_VALUE"""),"COLBORNE")</f>
        <v>COLBORNE</v>
      </c>
      <c r="D6367" s="3" t="str">
        <f>IFERROR(__xludf.DUMMYFUNCTION("""COMPUTED_VALUE"""),"K0K 1S0")</f>
        <v>K0K 1S0</v>
      </c>
      <c r="E6367" s="3" t="str">
        <f>IFERROR(__xludf.DUMMYFUNCTION("""COMPUTED_VALUE"""),"keremy shaip")</f>
        <v>keremy shaip</v>
      </c>
      <c r="F6367" s="3" t="str">
        <f>IFERROR(__xludf.DUMMYFUNCTION("""COMPUTED_VALUE"""),"jwshaip29@hotmail.com")</f>
        <v>jwshaip29@hotmail.com</v>
      </c>
      <c r="G6367" s="3">
        <f>IFERROR(__xludf.DUMMYFUNCTION("""COMPUTED_VALUE"""),6.13847911E9)</f>
        <v>6138479110</v>
      </c>
      <c r="H6367" s="3"/>
    </row>
    <row r="6368">
      <c r="A6368" s="2">
        <f>IFERROR(__xludf.DUMMYFUNCTION("""COMPUTED_VALUE"""),80186.0)</f>
        <v>80186</v>
      </c>
      <c r="B6368" s="3" t="str">
        <f>IFERROR(__xludf.DUMMYFUNCTION("""COMPUTED_VALUE"""),"14103 COUNTY 21 RD ")</f>
        <v>14103 COUNTY 21 RD </v>
      </c>
      <c r="C6368" s="3" t="str">
        <f>IFERROR(__xludf.DUMMYFUNCTION("""COMPUTED_VALUE"""),"COLBORNE")</f>
        <v>COLBORNE</v>
      </c>
      <c r="D6368" s="3" t="str">
        <f>IFERROR(__xludf.DUMMYFUNCTION("""COMPUTED_VALUE"""),"K0K 1S0")</f>
        <v>K0K 1S0</v>
      </c>
      <c r="E6368" s="3"/>
      <c r="F6368" s="3"/>
      <c r="G6368" s="3"/>
      <c r="H6368" s="3"/>
    </row>
    <row r="6369">
      <c r="A6369" s="2">
        <f>IFERROR(__xludf.DUMMYFUNCTION("""COMPUTED_VALUE"""),80187.0)</f>
        <v>80187</v>
      </c>
      <c r="B6369" s="3" t="str">
        <f>IFERROR(__xludf.DUMMYFUNCTION("""COMPUTED_VALUE"""),"14120 COUNTY 21 RD ")</f>
        <v>14120 COUNTY 21 RD </v>
      </c>
      <c r="C6369" s="3" t="str">
        <f>IFERROR(__xludf.DUMMYFUNCTION("""COMPUTED_VALUE"""),"COLBORNE")</f>
        <v>COLBORNE</v>
      </c>
      <c r="D6369" s="3" t="str">
        <f>IFERROR(__xludf.DUMMYFUNCTION("""COMPUTED_VALUE"""),"K0K 1S0")</f>
        <v>K0K 1S0</v>
      </c>
      <c r="E6369" s="3" t="str">
        <f>IFERROR(__xludf.DUMMYFUNCTION("""COMPUTED_VALUE"""),"katherine partridge")</f>
        <v>katherine partridge</v>
      </c>
      <c r="F6369" s="3" t="str">
        <f>IFERROR(__xludf.DUMMYFUNCTION("""COMPUTED_VALUE"""),"katherinepartridge01@gmail.com")</f>
        <v>katherinepartridge01@gmail.com</v>
      </c>
      <c r="G6369" s="3">
        <f>IFERROR(__xludf.DUMMYFUNCTION("""COMPUTED_VALUE"""),9.053440033E9)</f>
        <v>9053440033</v>
      </c>
      <c r="H6369" s="3"/>
    </row>
    <row r="6370">
      <c r="A6370" s="2">
        <f>IFERROR(__xludf.DUMMYFUNCTION("""COMPUTED_VALUE"""),80188.0)</f>
        <v>80188</v>
      </c>
      <c r="B6370" s="3" t="str">
        <f>IFERROR(__xludf.DUMMYFUNCTION("""COMPUTED_VALUE"""),"14195 COUNTY 21 RD ")</f>
        <v>14195 COUNTY 21 RD </v>
      </c>
      <c r="C6370" s="3" t="str">
        <f>IFERROR(__xludf.DUMMYFUNCTION("""COMPUTED_VALUE"""),"COLBORNE")</f>
        <v>COLBORNE</v>
      </c>
      <c r="D6370" s="3" t="str">
        <f>IFERROR(__xludf.DUMMYFUNCTION("""COMPUTED_VALUE"""),"K0K 1S0")</f>
        <v>K0K 1S0</v>
      </c>
      <c r="E6370" s="3" t="str">
        <f>IFERROR(__xludf.DUMMYFUNCTION("""COMPUTED_VALUE"""),"Kathy Packard")</f>
        <v>Kathy Packard</v>
      </c>
      <c r="F6370" s="3" t="str">
        <f>IFERROR(__xludf.DUMMYFUNCTION("""COMPUTED_VALUE"""),"kmpackard14195@gmail.com")</f>
        <v>kmpackard14195@gmail.com</v>
      </c>
      <c r="G6370" s="3">
        <f>IFERROR(__xludf.DUMMYFUNCTION("""COMPUTED_VALUE"""),9.052070085E9)</f>
        <v>9052070085</v>
      </c>
      <c r="H6370" s="3"/>
    </row>
    <row r="6371">
      <c r="A6371" s="2">
        <f>IFERROR(__xludf.DUMMYFUNCTION("""COMPUTED_VALUE"""),80189.0)</f>
        <v>80189</v>
      </c>
      <c r="B6371" s="3" t="str">
        <f>IFERROR(__xludf.DUMMYFUNCTION("""COMPUTED_VALUE"""),"14209 COUNTY 21 RD ")</f>
        <v>14209 COUNTY 21 RD </v>
      </c>
      <c r="C6371" s="3" t="str">
        <f>IFERROR(__xludf.DUMMYFUNCTION("""COMPUTED_VALUE"""),"COLBORNE")</f>
        <v>COLBORNE</v>
      </c>
      <c r="D6371" s="3" t="str">
        <f>IFERROR(__xludf.DUMMYFUNCTION("""COMPUTED_VALUE"""),"K0K 1S0")</f>
        <v>K0K 1S0</v>
      </c>
      <c r="E6371" s="3" t="str">
        <f>IFERROR(__xludf.DUMMYFUNCTION("""COMPUTED_VALUE"""),"craig harding ")</f>
        <v>craig harding </v>
      </c>
      <c r="F6371" s="3" t="str">
        <f>IFERROR(__xludf.DUMMYFUNCTION("""COMPUTED_VALUE"""),"craigdpharding@gmail.com")</f>
        <v>craigdpharding@gmail.com</v>
      </c>
      <c r="G6371" s="3">
        <f>IFERROR(__xludf.DUMMYFUNCTION("""COMPUTED_VALUE"""),4.162589407E9)</f>
        <v>4162589407</v>
      </c>
      <c r="H6371" s="3">
        <f>IFERROR(__xludf.DUMMYFUNCTION("""COMPUTED_VALUE"""),4.162197428E9)</f>
        <v>4162197428</v>
      </c>
    </row>
    <row r="6372">
      <c r="A6372" s="2">
        <f>IFERROR(__xludf.DUMMYFUNCTION("""COMPUTED_VALUE"""),80190.0)</f>
        <v>80190</v>
      </c>
      <c r="B6372" s="3" t="str">
        <f>IFERROR(__xludf.DUMMYFUNCTION("""COMPUTED_VALUE"""),"14216 COUNTY 21 RD ")</f>
        <v>14216 COUNTY 21 RD </v>
      </c>
      <c r="C6372" s="3" t="str">
        <f>IFERROR(__xludf.DUMMYFUNCTION("""COMPUTED_VALUE"""),"COLBORNE")</f>
        <v>COLBORNE</v>
      </c>
      <c r="D6372" s="3" t="str">
        <f>IFERROR(__xludf.DUMMYFUNCTION("""COMPUTED_VALUE"""),"K0K 1S0")</f>
        <v>K0K 1S0</v>
      </c>
      <c r="E6372" s="3" t="str">
        <f>IFERROR(__xludf.DUMMYFUNCTION("""COMPUTED_VALUE"""),"Peter Eddy")</f>
        <v>Peter Eddy</v>
      </c>
      <c r="F6372" s="3" t="str">
        <f>IFERROR(__xludf.DUMMYFUNCTION("""COMPUTED_VALUE"""),"eddymatches@hotmail.com")</f>
        <v>eddymatches@hotmail.com</v>
      </c>
      <c r="G6372" s="3">
        <f>IFERROR(__xludf.DUMMYFUNCTION("""COMPUTED_VALUE"""),9.053764225E9)</f>
        <v>9053764225</v>
      </c>
      <c r="H6372" s="3">
        <f>IFERROR(__xludf.DUMMYFUNCTION("""COMPUTED_VALUE"""),9.053447696E9)</f>
        <v>9053447696</v>
      </c>
    </row>
    <row r="6373">
      <c r="A6373" s="2">
        <f>IFERROR(__xludf.DUMMYFUNCTION("""COMPUTED_VALUE"""),80191.0)</f>
        <v>80191</v>
      </c>
      <c r="B6373" s="3" t="str">
        <f>IFERROR(__xludf.DUMMYFUNCTION("""COMPUTED_VALUE"""),"14290 COUNTY 21 RD ")</f>
        <v>14290 COUNTY 21 RD </v>
      </c>
      <c r="C6373" s="3" t="str">
        <f>IFERROR(__xludf.DUMMYFUNCTION("""COMPUTED_VALUE"""),"COLBORNE")</f>
        <v>COLBORNE</v>
      </c>
      <c r="D6373" s="3" t="str">
        <f>IFERROR(__xludf.DUMMYFUNCTION("""COMPUTED_VALUE"""),"K0K 1S0")</f>
        <v>K0K 1S0</v>
      </c>
      <c r="E6373" s="3"/>
      <c r="F6373" s="3"/>
      <c r="G6373" s="3"/>
      <c r="H6373" s="3"/>
    </row>
    <row r="6374">
      <c r="A6374" s="2">
        <f>IFERROR(__xludf.DUMMYFUNCTION("""COMPUTED_VALUE"""),80192.0)</f>
        <v>80192</v>
      </c>
      <c r="B6374" s="3" t="str">
        <f>IFERROR(__xludf.DUMMYFUNCTION("""COMPUTED_VALUE"""),"14293 COUNTY 21 RD ")</f>
        <v>14293 COUNTY 21 RD </v>
      </c>
      <c r="C6374" s="3" t="str">
        <f>IFERROR(__xludf.DUMMYFUNCTION("""COMPUTED_VALUE"""),"COLBORNE")</f>
        <v>COLBORNE</v>
      </c>
      <c r="D6374" s="3" t="str">
        <f>IFERROR(__xludf.DUMMYFUNCTION("""COMPUTED_VALUE"""),"K0K 1S0")</f>
        <v>K0K 1S0</v>
      </c>
      <c r="E6374" s="3" t="str">
        <f>IFERROR(__xludf.DUMMYFUNCTION("""COMPUTED_VALUE"""),"m. keough ")</f>
        <v>m. keough </v>
      </c>
      <c r="F6374" s="3" t="str">
        <f>IFERROR(__xludf.DUMMYFUNCTION("""COMPUTED_VALUE"""),"pandwoodforest@gmail.com")</f>
        <v>pandwoodforest@gmail.com</v>
      </c>
      <c r="G6374" s="3">
        <f>IFERROR(__xludf.DUMMYFUNCTION("""COMPUTED_VALUE"""),9.053445983E9)</f>
        <v>9053445983</v>
      </c>
      <c r="H6374" s="3"/>
    </row>
    <row r="6375">
      <c r="A6375" s="2">
        <f>IFERROR(__xludf.DUMMYFUNCTION("""COMPUTED_VALUE"""),80193.0)</f>
        <v>80193</v>
      </c>
      <c r="B6375" s="3" t="str">
        <f>IFERROR(__xludf.DUMMYFUNCTION("""COMPUTED_VALUE"""),"14307 COUNTY 21 RD ")</f>
        <v>14307 COUNTY 21 RD </v>
      </c>
      <c r="C6375" s="3" t="str">
        <f>IFERROR(__xludf.DUMMYFUNCTION("""COMPUTED_VALUE"""),"COLBORNE")</f>
        <v>COLBORNE</v>
      </c>
      <c r="D6375" s="3" t="str">
        <f>IFERROR(__xludf.DUMMYFUNCTION("""COMPUTED_VALUE"""),"K0K 1S0")</f>
        <v>K0K 1S0</v>
      </c>
      <c r="E6375" s="3" t="str">
        <f>IFERROR(__xludf.DUMMYFUNCTION("""COMPUTED_VALUE"""),"Barry Turvey")</f>
        <v>Barry Turvey</v>
      </c>
      <c r="F6375" s="3" t="str">
        <f>IFERROR(__xludf.DUMMYFUNCTION("""COMPUTED_VALUE"""),"b_turvey@yahoo.com")</f>
        <v>b_turvey@yahoo.com</v>
      </c>
      <c r="G6375" s="3">
        <f>IFERROR(__xludf.DUMMYFUNCTION("""COMPUTED_VALUE"""),9.053447016E9)</f>
        <v>9053447016</v>
      </c>
      <c r="H6375" s="3"/>
    </row>
    <row r="6376">
      <c r="A6376" s="2">
        <f>IFERROR(__xludf.DUMMYFUNCTION("""COMPUTED_VALUE"""),80194.0)</f>
        <v>80194</v>
      </c>
      <c r="B6376" s="3" t="str">
        <f>IFERROR(__xludf.DUMMYFUNCTION("""COMPUTED_VALUE"""),"14331 COUNTY 21 RD ")</f>
        <v>14331 COUNTY 21 RD </v>
      </c>
      <c r="C6376" s="3" t="str">
        <f>IFERROR(__xludf.DUMMYFUNCTION("""COMPUTED_VALUE"""),"COLBORNE")</f>
        <v>COLBORNE</v>
      </c>
      <c r="D6376" s="3" t="str">
        <f>IFERROR(__xludf.DUMMYFUNCTION("""COMPUTED_VALUE"""),"K0K 1S0")</f>
        <v>K0K 1S0</v>
      </c>
      <c r="E6376" s="3" t="str">
        <f>IFERROR(__xludf.DUMMYFUNCTION("""COMPUTED_VALUE"""),"lesley steeves ")</f>
        <v>lesley steeves </v>
      </c>
      <c r="F6376" s="3" t="str">
        <f>IFERROR(__xludf.DUMMYFUNCTION("""COMPUTED_VALUE"""),"lesliesteeves10@hotmai.com")</f>
        <v>lesliesteeves10@hotmai.com</v>
      </c>
      <c r="G6376" s="3">
        <f>IFERROR(__xludf.DUMMYFUNCTION("""COMPUTED_VALUE"""),7.056536384E9)</f>
        <v>7056536384</v>
      </c>
      <c r="H6376" s="3"/>
    </row>
    <row r="6377">
      <c r="A6377" s="2">
        <f>IFERROR(__xludf.DUMMYFUNCTION("""COMPUTED_VALUE"""),80195.0)</f>
        <v>80195</v>
      </c>
      <c r="B6377" s="3" t="str">
        <f>IFERROR(__xludf.DUMMYFUNCTION("""COMPUTED_VALUE"""),"14336 COUNTY 21 RD ")</f>
        <v>14336 COUNTY 21 RD </v>
      </c>
      <c r="C6377" s="3" t="str">
        <f>IFERROR(__xludf.DUMMYFUNCTION("""COMPUTED_VALUE"""),"COLBORNE")</f>
        <v>COLBORNE</v>
      </c>
      <c r="D6377" s="3" t="str">
        <f>IFERROR(__xludf.DUMMYFUNCTION("""COMPUTED_VALUE"""),"K0K 1S0")</f>
        <v>K0K 1S0</v>
      </c>
      <c r="E6377" s="3" t="str">
        <f>IFERROR(__xludf.DUMMYFUNCTION("""COMPUTED_VALUE"""),"Jason &amp; Wendy Balsdon")</f>
        <v>Jason &amp; Wendy Balsdon</v>
      </c>
      <c r="F6377" s="3" t="str">
        <f>IFERROR(__xludf.DUMMYFUNCTION("""COMPUTED_VALUE"""),"balsdonfamily@gmail.com")</f>
        <v>balsdonfamily@gmail.com</v>
      </c>
      <c r="G6377" s="3"/>
      <c r="H6377" s="3"/>
    </row>
    <row r="6378">
      <c r="A6378" s="2">
        <f>IFERROR(__xludf.DUMMYFUNCTION("""COMPUTED_VALUE"""),81048.0)</f>
        <v>81048</v>
      </c>
      <c r="B6378" s="3" t="str">
        <f>IFERROR(__xludf.DUMMYFUNCTION("""COMPUTED_VALUE"""),"14339 COUNTY 21 RD ")</f>
        <v>14339 COUNTY 21 RD </v>
      </c>
      <c r="C6378" s="3" t="str">
        <f>IFERROR(__xludf.DUMMYFUNCTION("""COMPUTED_VALUE"""),"COLBORNE")</f>
        <v>COLBORNE</v>
      </c>
      <c r="D6378" s="3" t="str">
        <f>IFERROR(__xludf.DUMMYFUNCTION("""COMPUTED_VALUE"""),"K0K 1S0")</f>
        <v>K0K 1S0</v>
      </c>
      <c r="E6378" s="3"/>
      <c r="F6378" s="3"/>
      <c r="G6378" s="3"/>
      <c r="H6378" s="3"/>
    </row>
    <row r="6379">
      <c r="A6379" s="2">
        <f>IFERROR(__xludf.DUMMYFUNCTION("""COMPUTED_VALUE"""),80196.0)</f>
        <v>80196</v>
      </c>
      <c r="B6379" s="3" t="str">
        <f>IFERROR(__xludf.DUMMYFUNCTION("""COMPUTED_VALUE"""),"14345 COUNTY 21 RD ")</f>
        <v>14345 COUNTY 21 RD </v>
      </c>
      <c r="C6379" s="3" t="str">
        <f>IFERROR(__xludf.DUMMYFUNCTION("""COMPUTED_VALUE"""),"COLBORNE")</f>
        <v>COLBORNE</v>
      </c>
      <c r="D6379" s="3" t="str">
        <f>IFERROR(__xludf.DUMMYFUNCTION("""COMPUTED_VALUE"""),"K0K 1S0")</f>
        <v>K0K 1S0</v>
      </c>
      <c r="E6379" s="3" t="str">
        <f>IFERROR(__xludf.DUMMYFUNCTION("""COMPUTED_VALUE"""),"Susan Billik")</f>
        <v>Susan Billik</v>
      </c>
      <c r="F6379" s="3" t="str">
        <f>IFERROR(__xludf.DUMMYFUNCTION("""COMPUTED_VALUE"""),"billiksusan@gmail.com")</f>
        <v>billiksusan@gmail.com</v>
      </c>
      <c r="G6379" s="3"/>
      <c r="H6379" s="3"/>
    </row>
    <row r="6380">
      <c r="A6380" s="2">
        <f>IFERROR(__xludf.DUMMYFUNCTION("""COMPUTED_VALUE"""),80197.0)</f>
        <v>80197</v>
      </c>
      <c r="B6380" s="3" t="str">
        <f>IFERROR(__xludf.DUMMYFUNCTION("""COMPUTED_VALUE"""),"14355 COUNTY 21 RD ")</f>
        <v>14355 COUNTY 21 RD </v>
      </c>
      <c r="C6380" s="3" t="str">
        <f>IFERROR(__xludf.DUMMYFUNCTION("""COMPUTED_VALUE"""),"COLBORNE")</f>
        <v>COLBORNE</v>
      </c>
      <c r="D6380" s="3" t="str">
        <f>IFERROR(__xludf.DUMMYFUNCTION("""COMPUTED_VALUE"""),"K0K 1S0")</f>
        <v>K0K 1S0</v>
      </c>
      <c r="E6380" s="3" t="str">
        <f>IFERROR(__xludf.DUMMYFUNCTION("""COMPUTED_VALUE"""),"Ian Beaton")</f>
        <v>Ian Beaton</v>
      </c>
      <c r="F6380" s="3" t="str">
        <f>IFERROR(__xludf.DUMMYFUNCTION("""COMPUTED_VALUE"""),"idbeaton@hotmail.com")</f>
        <v>idbeaton@hotmail.com</v>
      </c>
      <c r="G6380" s="3">
        <f>IFERROR(__xludf.DUMMYFUNCTION("""COMPUTED_VALUE"""),4.162686528E9)</f>
        <v>4162686528</v>
      </c>
      <c r="H6380" s="3"/>
    </row>
    <row r="6381">
      <c r="A6381" s="2">
        <f>IFERROR(__xludf.DUMMYFUNCTION("""COMPUTED_VALUE"""),80198.0)</f>
        <v>80198</v>
      </c>
      <c r="B6381" s="3" t="str">
        <f>IFERROR(__xludf.DUMMYFUNCTION("""COMPUTED_VALUE"""),"14365 COUNTY 21 RD ")</f>
        <v>14365 COUNTY 21 RD </v>
      </c>
      <c r="C6381" s="3" t="str">
        <f>IFERROR(__xludf.DUMMYFUNCTION("""COMPUTED_VALUE"""),"COLBORNE")</f>
        <v>COLBORNE</v>
      </c>
      <c r="D6381" s="3" t="str">
        <f>IFERROR(__xludf.DUMMYFUNCTION("""COMPUTED_VALUE"""),"K0K 1S0")</f>
        <v>K0K 1S0</v>
      </c>
      <c r="E6381" s="3" t="str">
        <f>IFERROR(__xludf.DUMMYFUNCTION("""COMPUTED_VALUE"""),"VICTORIA DUTHIE")</f>
        <v>VICTORIA DUTHIE</v>
      </c>
      <c r="F6381" s="3" t="str">
        <f>IFERROR(__xludf.DUMMYFUNCTION("""COMPUTED_VALUE"""),"alexvictoriatang@gmail.com")</f>
        <v>alexvictoriatang@gmail.com</v>
      </c>
      <c r="G6381" s="3"/>
      <c r="H6381" s="3"/>
    </row>
    <row r="6382">
      <c r="A6382" s="2">
        <f>IFERROR(__xludf.DUMMYFUNCTION("""COMPUTED_VALUE"""),80199.0)</f>
        <v>80199</v>
      </c>
      <c r="B6382" s="3" t="str">
        <f>IFERROR(__xludf.DUMMYFUNCTION("""COMPUTED_VALUE"""),"14367 COUNTY 21 RD ")</f>
        <v>14367 COUNTY 21 RD </v>
      </c>
      <c r="C6382" s="3" t="str">
        <f>IFERROR(__xludf.DUMMYFUNCTION("""COMPUTED_VALUE"""),"COLBORNE")</f>
        <v>COLBORNE</v>
      </c>
      <c r="D6382" s="3" t="str">
        <f>IFERROR(__xludf.DUMMYFUNCTION("""COMPUTED_VALUE"""),"K0K 1S0")</f>
        <v>K0K 1S0</v>
      </c>
      <c r="E6382" s="3" t="str">
        <f>IFERROR(__xludf.DUMMYFUNCTION("""COMPUTED_VALUE"""),"Mark Smyth")</f>
        <v>Mark Smyth</v>
      </c>
      <c r="F6382" s="3" t="str">
        <f>IFERROR(__xludf.DUMMYFUNCTION("""COMPUTED_VALUE"""),"trentonfootclinic@hotmail.com")</f>
        <v>trentonfootclinic@hotmail.com</v>
      </c>
      <c r="G6382" s="3">
        <f>IFERROR(__xludf.DUMMYFUNCTION("""COMPUTED_VALUE"""),2.892510316E9)</f>
        <v>2892510316</v>
      </c>
      <c r="H6382" s="3"/>
    </row>
    <row r="6383">
      <c r="A6383" s="2">
        <f>IFERROR(__xludf.DUMMYFUNCTION("""COMPUTED_VALUE"""),80200.0)</f>
        <v>80200</v>
      </c>
      <c r="B6383" s="3" t="str">
        <f>IFERROR(__xludf.DUMMYFUNCTION("""COMPUTED_VALUE"""),"14396 COUNTY 21 RD ")</f>
        <v>14396 COUNTY 21 RD </v>
      </c>
      <c r="C6383" s="3" t="str">
        <f>IFERROR(__xludf.DUMMYFUNCTION("""COMPUTED_VALUE"""),"COLBORNE")</f>
        <v>COLBORNE</v>
      </c>
      <c r="D6383" s="3" t="str">
        <f>IFERROR(__xludf.DUMMYFUNCTION("""COMPUTED_VALUE"""),"K0K 1S0")</f>
        <v>K0K 1S0</v>
      </c>
      <c r="E6383" s="3" t="str">
        <f>IFERROR(__xludf.DUMMYFUNCTION("""COMPUTED_VALUE"""),"Dr. Gary Orpana")</f>
        <v>Dr. Gary Orpana</v>
      </c>
      <c r="F6383" s="3" t="str">
        <f>IFERROR(__xludf.DUMMYFUNCTION("""COMPUTED_VALUE"""),"garyorpana@hotmail.com")</f>
        <v>garyorpana@hotmail.com</v>
      </c>
      <c r="G6383" s="3">
        <f>IFERROR(__xludf.DUMMYFUNCTION("""COMPUTED_VALUE"""),9.0534473E9)</f>
        <v>9053447300</v>
      </c>
      <c r="H6383" s="3"/>
    </row>
    <row r="6384">
      <c r="A6384" s="2">
        <f>IFERROR(__xludf.DUMMYFUNCTION("""COMPUTED_VALUE"""),80201.0)</f>
        <v>80201</v>
      </c>
      <c r="B6384" s="3" t="str">
        <f>IFERROR(__xludf.DUMMYFUNCTION("""COMPUTED_VALUE"""),"14527 COUNTY 21 RD ")</f>
        <v>14527 COUNTY 21 RD </v>
      </c>
      <c r="C6384" s="3" t="str">
        <f>IFERROR(__xludf.DUMMYFUNCTION("""COMPUTED_VALUE"""),"COLBORNE")</f>
        <v>COLBORNE</v>
      </c>
      <c r="D6384" s="3" t="str">
        <f>IFERROR(__xludf.DUMMYFUNCTION("""COMPUTED_VALUE"""),"K0K 1S0")</f>
        <v>K0K 1S0</v>
      </c>
      <c r="E6384" s="3" t="str">
        <f>IFERROR(__xludf.DUMMYFUNCTION("""COMPUTED_VALUE"""),"Tim Williams")</f>
        <v>Tim Williams</v>
      </c>
      <c r="F6384" s="3" t="str">
        <f>IFERROR(__xludf.DUMMYFUNCTION("""COMPUTED_VALUE"""),"twilliams@fidelitygroup.ca")</f>
        <v>twilliams@fidelitygroup.ca</v>
      </c>
      <c r="G6384" s="3">
        <f>IFERROR(__xludf.DUMMYFUNCTION("""COMPUTED_VALUE"""),9.053764805E9)</f>
        <v>9053764805</v>
      </c>
      <c r="H6384" s="3"/>
    </row>
    <row r="6385">
      <c r="A6385" s="2">
        <f>IFERROR(__xludf.DUMMYFUNCTION("""COMPUTED_VALUE"""),80202.0)</f>
        <v>80202</v>
      </c>
      <c r="B6385" s="3" t="str">
        <f>IFERROR(__xludf.DUMMYFUNCTION("""COMPUTED_VALUE"""),"14625 COUNTY 21 RD ")</f>
        <v>14625 COUNTY 21 RD </v>
      </c>
      <c r="C6385" s="3" t="str">
        <f>IFERROR(__xludf.DUMMYFUNCTION("""COMPUTED_VALUE"""),"BRIGHTON")</f>
        <v>BRIGHTON</v>
      </c>
      <c r="D6385" s="3" t="str">
        <f>IFERROR(__xludf.DUMMYFUNCTION("""COMPUTED_VALUE"""),"K0K 1H0")</f>
        <v>K0K 1H0</v>
      </c>
      <c r="E6385" s="3" t="str">
        <f>IFERROR(__xludf.DUMMYFUNCTION("""COMPUTED_VALUE"""),"Amanda Laird")</f>
        <v>Amanda Laird</v>
      </c>
      <c r="F6385" s="3" t="str">
        <f>IFERROR(__xludf.DUMMYFUNCTION("""COMPUTED_VALUE"""),"jandalaird@yahoo.ca")</f>
        <v>jandalaird@yahoo.ca</v>
      </c>
      <c r="G6385" s="3">
        <f>IFERROR(__xludf.DUMMYFUNCTION("""COMPUTED_VALUE"""),9.052592808E9)</f>
        <v>9052592808</v>
      </c>
      <c r="H6385" s="3"/>
    </row>
    <row r="6386">
      <c r="A6386" s="2">
        <f>IFERROR(__xludf.DUMMYFUNCTION("""COMPUTED_VALUE"""),80203.0)</f>
        <v>80203</v>
      </c>
      <c r="B6386" s="3" t="str">
        <f>IFERROR(__xludf.DUMMYFUNCTION("""COMPUTED_VALUE"""),"14627 COUNTY 21 RD ")</f>
        <v>14627 COUNTY 21 RD </v>
      </c>
      <c r="C6386" s="3" t="str">
        <f>IFERROR(__xludf.DUMMYFUNCTION("""COMPUTED_VALUE"""),"BRIGHTON")</f>
        <v>BRIGHTON</v>
      </c>
      <c r="D6386" s="3" t="str">
        <f>IFERROR(__xludf.DUMMYFUNCTION("""COMPUTED_VALUE"""),"K0K 1H0")</f>
        <v>K0K 1H0</v>
      </c>
      <c r="E6386" s="3" t="str">
        <f>IFERROR(__xludf.DUMMYFUNCTION("""COMPUTED_VALUE"""),"sandra and joe zarb")</f>
        <v>sandra and joe zarb</v>
      </c>
      <c r="F6386" s="3" t="str">
        <f>IFERROR(__xludf.DUMMYFUNCTION("""COMPUTED_VALUE"""),"pro-tek@rogers.com")</f>
        <v>pro-tek@rogers.com</v>
      </c>
      <c r="G6386" s="3">
        <f>IFERROR(__xludf.DUMMYFUNCTION("""COMPUTED_VALUE"""),4.169846623E9)</f>
        <v>4169846623</v>
      </c>
      <c r="H6386" s="3">
        <f>IFERROR(__xludf.DUMMYFUNCTION("""COMPUTED_VALUE"""),2.892004961E9)</f>
        <v>2892004961</v>
      </c>
    </row>
    <row r="6387">
      <c r="A6387" s="2">
        <f>IFERROR(__xludf.DUMMYFUNCTION("""COMPUTED_VALUE"""),80204.0)</f>
        <v>80204</v>
      </c>
      <c r="B6387" s="3" t="str">
        <f>IFERROR(__xludf.DUMMYFUNCTION("""COMPUTED_VALUE"""),"14628 COUNTY 21 RD ")</f>
        <v>14628 COUNTY 21 RD </v>
      </c>
      <c r="C6387" s="3" t="str">
        <f>IFERROR(__xludf.DUMMYFUNCTION("""COMPUTED_VALUE"""),"BRIGHTON")</f>
        <v>BRIGHTON</v>
      </c>
      <c r="D6387" s="3" t="str">
        <f>IFERROR(__xludf.DUMMYFUNCTION("""COMPUTED_VALUE"""),"K0K 1H0")</f>
        <v>K0K 1H0</v>
      </c>
      <c r="E6387" s="3" t="str">
        <f>IFERROR(__xludf.DUMMYFUNCTION("""COMPUTED_VALUE"""),"Glen Parsneau")</f>
        <v>Glen Parsneau</v>
      </c>
      <c r="F6387" s="3" t="str">
        <f>IFERROR(__xludf.DUMMYFUNCTION("""COMPUTED_VALUE"""),"gparsneau@xplornet.com")</f>
        <v>gparsneau@xplornet.com</v>
      </c>
      <c r="G6387" s="3">
        <f>IFERROR(__xludf.DUMMYFUNCTION("""COMPUTED_VALUE"""),1.613885769E10)</f>
        <v>16138857690</v>
      </c>
      <c r="H6387" s="3"/>
    </row>
    <row r="6388">
      <c r="A6388" s="2">
        <f>IFERROR(__xludf.DUMMYFUNCTION("""COMPUTED_VALUE"""),80205.0)</f>
        <v>80205</v>
      </c>
      <c r="B6388" s="3" t="str">
        <f>IFERROR(__xludf.DUMMYFUNCTION("""COMPUTED_VALUE"""),"14656 COUNTY 21 RD ")</f>
        <v>14656 COUNTY 21 RD </v>
      </c>
      <c r="C6388" s="3" t="str">
        <f>IFERROR(__xludf.DUMMYFUNCTION("""COMPUTED_VALUE"""),"BRIGHTON")</f>
        <v>BRIGHTON</v>
      </c>
      <c r="D6388" s="3" t="str">
        <f>IFERROR(__xludf.DUMMYFUNCTION("""COMPUTED_VALUE"""),"K0K 1H0")</f>
        <v>K0K 1H0</v>
      </c>
      <c r="E6388" s="3" t="str">
        <f>IFERROR(__xludf.DUMMYFUNCTION("""COMPUTED_VALUE"""),"Stephen Cohrs")</f>
        <v>Stephen Cohrs</v>
      </c>
      <c r="F6388" s="3" t="str">
        <f>IFERROR(__xludf.DUMMYFUNCTION("""COMPUTED_VALUE"""),"stephen@cohrs.ca")</f>
        <v>stephen@cohrs.ca</v>
      </c>
      <c r="G6388" s="3">
        <f>IFERROR(__xludf.DUMMYFUNCTION("""COMPUTED_VALUE"""),6.134385854E9)</f>
        <v>6134385854</v>
      </c>
      <c r="H6388" s="3"/>
    </row>
    <row r="6389">
      <c r="A6389" s="2">
        <f>IFERROR(__xludf.DUMMYFUNCTION("""COMPUTED_VALUE"""),80206.0)</f>
        <v>80206</v>
      </c>
      <c r="B6389" s="3" t="str">
        <f>IFERROR(__xludf.DUMMYFUNCTION("""COMPUTED_VALUE"""),"14742 COUNTY 21 RD ")</f>
        <v>14742 COUNTY 21 RD </v>
      </c>
      <c r="C6389" s="3" t="str">
        <f>IFERROR(__xludf.DUMMYFUNCTION("""COMPUTED_VALUE"""),"BRIGHTON")</f>
        <v>BRIGHTON</v>
      </c>
      <c r="D6389" s="3" t="str">
        <f>IFERROR(__xludf.DUMMYFUNCTION("""COMPUTED_VALUE"""),"K0K 1H0")</f>
        <v>K0K 1H0</v>
      </c>
      <c r="E6389" s="3" t="str">
        <f>IFERROR(__xludf.DUMMYFUNCTION("""COMPUTED_VALUE"""),"donald anderson")</f>
        <v>donald anderson</v>
      </c>
      <c r="F6389" s="3" t="str">
        <f>IFERROR(__xludf.DUMMYFUNCTION("""COMPUTED_VALUE"""),"anderson@fcainsurance.com")</f>
        <v>anderson@fcainsurance.com</v>
      </c>
      <c r="G6389" s="3">
        <f>IFERROR(__xludf.DUMMYFUNCTION("""COMPUTED_VALUE"""),6.134752214E9)</f>
        <v>6134752214</v>
      </c>
      <c r="H6389" s="3"/>
    </row>
    <row r="6390">
      <c r="A6390" s="2">
        <f>IFERROR(__xludf.DUMMYFUNCTION("""COMPUTED_VALUE"""),81047.0)</f>
        <v>81047</v>
      </c>
      <c r="B6390" s="3" t="str">
        <f>IFERROR(__xludf.DUMMYFUNCTION("""COMPUTED_VALUE"""),"14836 COUNTY 21 RD ")</f>
        <v>14836 COUNTY 21 RD </v>
      </c>
      <c r="C6390" s="3" t="str">
        <f>IFERROR(__xludf.DUMMYFUNCTION("""COMPUTED_VALUE"""),"BRIGHTON")</f>
        <v>BRIGHTON</v>
      </c>
      <c r="D6390" s="3" t="str">
        <f>IFERROR(__xludf.DUMMYFUNCTION("""COMPUTED_VALUE"""),"K0K 1H0")</f>
        <v>K0K 1H0</v>
      </c>
      <c r="E6390" s="3"/>
      <c r="F6390" s="3"/>
      <c r="G6390" s="3"/>
      <c r="H6390" s="3"/>
    </row>
    <row r="6391">
      <c r="A6391" s="2">
        <f>IFERROR(__xludf.DUMMYFUNCTION("""COMPUTED_VALUE"""),80207.0)</f>
        <v>80207</v>
      </c>
      <c r="B6391" s="3" t="str">
        <f>IFERROR(__xludf.DUMMYFUNCTION("""COMPUTED_VALUE"""),"14969 COUNTY 21 RD ")</f>
        <v>14969 COUNTY 21 RD </v>
      </c>
      <c r="C6391" s="3" t="str">
        <f>IFERROR(__xludf.DUMMYFUNCTION("""COMPUTED_VALUE"""),"BRIGHTON")</f>
        <v>BRIGHTON</v>
      </c>
      <c r="D6391" s="3" t="str">
        <f>IFERROR(__xludf.DUMMYFUNCTION("""COMPUTED_VALUE"""),"K0K 1H0")</f>
        <v>K0K 1H0</v>
      </c>
      <c r="E6391" s="3" t="str">
        <f>IFERROR(__xludf.DUMMYFUNCTION("""COMPUTED_VALUE"""),"stanley james mutton")</f>
        <v>stanley james mutton</v>
      </c>
      <c r="F6391" s="3" t="str">
        <f>IFERROR(__xludf.DUMMYFUNCTION("""COMPUTED_VALUE"""),"stanleyjmutton@gmail.com")</f>
        <v>stanleyjmutton@gmail.com</v>
      </c>
      <c r="G6391" s="3">
        <f>IFERROR(__xludf.DUMMYFUNCTION("""COMPUTED_VALUE"""),6.138477944E9)</f>
        <v>6138477944</v>
      </c>
      <c r="H6391" s="3">
        <f>IFERROR(__xludf.DUMMYFUNCTION("""COMPUTED_VALUE"""),6.132436892E9)</f>
        <v>6132436892</v>
      </c>
    </row>
    <row r="6392">
      <c r="A6392" s="2">
        <f>IFERROR(__xludf.DUMMYFUNCTION("""COMPUTED_VALUE"""),80208.0)</f>
        <v>80208</v>
      </c>
      <c r="B6392" s="3" t="str">
        <f>IFERROR(__xludf.DUMMYFUNCTION("""COMPUTED_VALUE"""),"14984 COUNTY 21 RD ")</f>
        <v>14984 COUNTY 21 RD </v>
      </c>
      <c r="C6392" s="3" t="str">
        <f>IFERROR(__xludf.DUMMYFUNCTION("""COMPUTED_VALUE"""),"BRIGHTON")</f>
        <v>BRIGHTON</v>
      </c>
      <c r="D6392" s="3" t="str">
        <f>IFERROR(__xludf.DUMMYFUNCTION("""COMPUTED_VALUE"""),"K0K 1H0")</f>
        <v>K0K 1H0</v>
      </c>
      <c r="E6392" s="3" t="str">
        <f>IFERROR(__xludf.DUMMYFUNCTION("""COMPUTED_VALUE"""),"philip mutton")</f>
        <v>philip mutton</v>
      </c>
      <c r="F6392" s="3" t="str">
        <f>IFERROR(__xludf.DUMMYFUNCTION("""COMPUTED_VALUE"""),"pb.mutton@explornet.com")</f>
        <v>pb.mutton@explornet.com</v>
      </c>
      <c r="G6392" s="3">
        <f>IFERROR(__xludf.DUMMYFUNCTION("""COMPUTED_VALUE"""),6.139216834E9)</f>
        <v>6139216834</v>
      </c>
      <c r="H6392" s="3"/>
    </row>
    <row r="6393">
      <c r="A6393" s="2">
        <f>IFERROR(__xludf.DUMMYFUNCTION("""COMPUTED_VALUE"""),80209.0)</f>
        <v>80209</v>
      </c>
      <c r="B6393" s="3" t="str">
        <f>IFERROR(__xludf.DUMMYFUNCTION("""COMPUTED_VALUE"""),"15034 COUNTY 21 RD ")</f>
        <v>15034 COUNTY 21 RD </v>
      </c>
      <c r="C6393" s="3" t="str">
        <f>IFERROR(__xludf.DUMMYFUNCTION("""COMPUTED_VALUE"""),"BRIGHTON")</f>
        <v>BRIGHTON</v>
      </c>
      <c r="D6393" s="3" t="str">
        <f>IFERROR(__xludf.DUMMYFUNCTION("""COMPUTED_VALUE"""),"K0K 1H0")</f>
        <v>K0K 1H0</v>
      </c>
      <c r="E6393" s="3" t="str">
        <f>IFERROR(__xludf.DUMMYFUNCTION("""COMPUTED_VALUE"""),"tyler mutton")</f>
        <v>tyler mutton</v>
      </c>
      <c r="F6393" s="3" t="str">
        <f>IFERROR(__xludf.DUMMYFUNCTION("""COMPUTED_VALUE"""),"tyler.mutton93@gmail.com")</f>
        <v>tyler.mutton93@gmail.com</v>
      </c>
      <c r="G6393" s="3">
        <f>IFERROR(__xludf.DUMMYFUNCTION("""COMPUTED_VALUE"""),6.134386327E9)</f>
        <v>6134386327</v>
      </c>
      <c r="H6393" s="3">
        <f>IFERROR(__xludf.DUMMYFUNCTION("""COMPUTED_VALUE"""),6.138854509E9)</f>
        <v>6138854509</v>
      </c>
    </row>
    <row r="6394">
      <c r="A6394" s="2">
        <f>IFERROR(__xludf.DUMMYFUNCTION("""COMPUTED_VALUE"""),80210.0)</f>
        <v>80210</v>
      </c>
      <c r="B6394" s="3" t="str">
        <f>IFERROR(__xludf.DUMMYFUNCTION("""COMPUTED_VALUE"""),"15043 COUNTY 21 RD ")</f>
        <v>15043 COUNTY 21 RD </v>
      </c>
      <c r="C6394" s="3" t="str">
        <f>IFERROR(__xludf.DUMMYFUNCTION("""COMPUTED_VALUE"""),"BRIGHTON")</f>
        <v>BRIGHTON</v>
      </c>
      <c r="D6394" s="3" t="str">
        <f>IFERROR(__xludf.DUMMYFUNCTION("""COMPUTED_VALUE"""),"K0K 1H0")</f>
        <v>K0K 1H0</v>
      </c>
      <c r="E6394" s="3" t="str">
        <f>IFERROR(__xludf.DUMMYFUNCTION("""COMPUTED_VALUE"""),"heather morris ")</f>
        <v>heather morris </v>
      </c>
      <c r="F6394" s="3" t="str">
        <f>IFERROR(__xludf.DUMMYFUNCTION("""COMPUTED_VALUE"""),"hct1211me@hotmail.com")</f>
        <v>hct1211me@hotmail.com</v>
      </c>
      <c r="G6394" s="3">
        <f>IFERROR(__xludf.DUMMYFUNCTION("""COMPUTED_VALUE"""),6.138276999E9)</f>
        <v>6138276999</v>
      </c>
      <c r="H6394" s="3">
        <f>IFERROR(__xludf.DUMMYFUNCTION("""COMPUTED_VALUE"""),9.053765758E9)</f>
        <v>9053765758</v>
      </c>
    </row>
    <row r="6395">
      <c r="A6395" s="2">
        <f>IFERROR(__xludf.DUMMYFUNCTION("""COMPUTED_VALUE"""),80211.0)</f>
        <v>80211</v>
      </c>
      <c r="B6395" s="3" t="str">
        <f>IFERROR(__xludf.DUMMYFUNCTION("""COMPUTED_VALUE"""),"15113 COUNTY 21 RD ")</f>
        <v>15113 COUNTY 21 RD </v>
      </c>
      <c r="C6395" s="3" t="str">
        <f>IFERROR(__xludf.DUMMYFUNCTION("""COMPUTED_VALUE"""),"BRIGHTON")</f>
        <v>BRIGHTON</v>
      </c>
      <c r="D6395" s="3" t="str">
        <f>IFERROR(__xludf.DUMMYFUNCTION("""COMPUTED_VALUE"""),"K0K 1H0")</f>
        <v>K0K 1H0</v>
      </c>
      <c r="E6395" s="3" t="str">
        <f>IFERROR(__xludf.DUMMYFUNCTION("""COMPUTED_VALUE"""),"rob cox")</f>
        <v>rob cox</v>
      </c>
      <c r="F6395" s="3" t="str">
        <f>IFERROR(__xludf.DUMMYFUNCTION("""COMPUTED_VALUE"""),"blueskies22@hotmail.com")</f>
        <v>blueskies22@hotmail.com</v>
      </c>
      <c r="G6395" s="3">
        <f>IFERROR(__xludf.DUMMYFUNCTION("""COMPUTED_VALUE"""),6.139193307E9)</f>
        <v>6139193307</v>
      </c>
      <c r="H6395" s="3"/>
    </row>
    <row r="6396">
      <c r="A6396" s="2">
        <f>IFERROR(__xludf.DUMMYFUNCTION("""COMPUTED_VALUE"""),80212.0)</f>
        <v>80212</v>
      </c>
      <c r="B6396" s="3" t="str">
        <f>IFERROR(__xludf.DUMMYFUNCTION("""COMPUTED_VALUE"""),"15134 COUNTY 21 RD ")</f>
        <v>15134 COUNTY 21 RD </v>
      </c>
      <c r="C6396" s="3" t="str">
        <f>IFERROR(__xludf.DUMMYFUNCTION("""COMPUTED_VALUE"""),"BRIGHTON")</f>
        <v>BRIGHTON</v>
      </c>
      <c r="D6396" s="3" t="str">
        <f>IFERROR(__xludf.DUMMYFUNCTION("""COMPUTED_VALUE"""),"K0K 1H0")</f>
        <v>K0K 1H0</v>
      </c>
      <c r="E6396" s="3" t="str">
        <f>IFERROR(__xludf.DUMMYFUNCTION("""COMPUTED_VALUE"""),"JOHN MARCHANT")</f>
        <v>JOHN MARCHANT</v>
      </c>
      <c r="F6396" s="3" t="str">
        <f>IFERROR(__xludf.DUMMYFUNCTION("""COMPUTED_VALUE"""),"JOHN.MARCHANT@ymail.com")</f>
        <v>JOHN.MARCHANT@ymail.com</v>
      </c>
      <c r="G6396" s="3"/>
      <c r="H6396" s="3"/>
    </row>
    <row r="6397">
      <c r="A6397" s="2">
        <f>IFERROR(__xludf.DUMMYFUNCTION("""COMPUTED_VALUE"""),80213.0)</f>
        <v>80213</v>
      </c>
      <c r="B6397" s="3" t="str">
        <f>IFERROR(__xludf.DUMMYFUNCTION("""COMPUTED_VALUE"""),"15148 COUNTY 21 RD ")</f>
        <v>15148 COUNTY 21 RD </v>
      </c>
      <c r="C6397" s="3" t="str">
        <f>IFERROR(__xludf.DUMMYFUNCTION("""COMPUTED_VALUE"""),"BRIGHTON")</f>
        <v>BRIGHTON</v>
      </c>
      <c r="D6397" s="3" t="str">
        <f>IFERROR(__xludf.DUMMYFUNCTION("""COMPUTED_VALUE"""),"K0K 1H0")</f>
        <v>K0K 1H0</v>
      </c>
      <c r="E6397" s="3" t="str">
        <f>IFERROR(__xludf.DUMMYFUNCTION("""COMPUTED_VALUE"""),"shawn stone ")</f>
        <v>shawn stone </v>
      </c>
      <c r="F6397" s="3"/>
      <c r="G6397" s="3">
        <f>IFERROR(__xludf.DUMMYFUNCTION("""COMPUTED_VALUE"""),2.899296922E9)</f>
        <v>2899296922</v>
      </c>
      <c r="H6397" s="3"/>
    </row>
    <row r="6398">
      <c r="A6398" s="2">
        <f>IFERROR(__xludf.DUMMYFUNCTION("""COMPUTED_VALUE"""),80214.0)</f>
        <v>80214</v>
      </c>
      <c r="B6398" s="3" t="str">
        <f>IFERROR(__xludf.DUMMYFUNCTION("""COMPUTED_VALUE"""),"15192 COUNTY 21 RD ")</f>
        <v>15192 COUNTY 21 RD </v>
      </c>
      <c r="C6398" s="3" t="str">
        <f>IFERROR(__xludf.DUMMYFUNCTION("""COMPUTED_VALUE"""),"BRIGHTON")</f>
        <v>BRIGHTON</v>
      </c>
      <c r="D6398" s="3" t="str">
        <f>IFERROR(__xludf.DUMMYFUNCTION("""COMPUTED_VALUE"""),"K0K 1H0")</f>
        <v>K0K 1H0</v>
      </c>
      <c r="E6398" s="3"/>
      <c r="F6398" s="3"/>
      <c r="G6398" s="3"/>
      <c r="H6398" s="3"/>
    </row>
    <row r="6399">
      <c r="A6399" s="2">
        <f>IFERROR(__xludf.DUMMYFUNCTION("""COMPUTED_VALUE"""),80215.0)</f>
        <v>80215</v>
      </c>
      <c r="B6399" s="3" t="str">
        <f>IFERROR(__xludf.DUMMYFUNCTION("""COMPUTED_VALUE"""),"15193 COUNTY 21 RD ")</f>
        <v>15193 COUNTY 21 RD </v>
      </c>
      <c r="C6399" s="3" t="str">
        <f>IFERROR(__xludf.DUMMYFUNCTION("""COMPUTED_VALUE"""),"BRIGHTON")</f>
        <v>BRIGHTON</v>
      </c>
      <c r="D6399" s="3" t="str">
        <f>IFERROR(__xludf.DUMMYFUNCTION("""COMPUTED_VALUE"""),"K0K 1H0")</f>
        <v>K0K 1H0</v>
      </c>
      <c r="E6399" s="3"/>
      <c r="F6399" s="3"/>
      <c r="G6399" s="3"/>
      <c r="H6399" s="3"/>
    </row>
    <row r="6400">
      <c r="A6400" s="2">
        <f>IFERROR(__xludf.DUMMYFUNCTION("""COMPUTED_VALUE"""),80216.0)</f>
        <v>80216</v>
      </c>
      <c r="B6400" s="3" t="str">
        <f>IFERROR(__xludf.DUMMYFUNCTION("""COMPUTED_VALUE"""),"15239 COUNTY 21 RD ")</f>
        <v>15239 COUNTY 21 RD </v>
      </c>
      <c r="C6400" s="3" t="str">
        <f>IFERROR(__xludf.DUMMYFUNCTION("""COMPUTED_VALUE"""),"BRIGHTON")</f>
        <v>BRIGHTON</v>
      </c>
      <c r="D6400" s="3" t="str">
        <f>IFERROR(__xludf.DUMMYFUNCTION("""COMPUTED_VALUE"""),"K0K 1H0")</f>
        <v>K0K 1H0</v>
      </c>
      <c r="E6400" s="3" t="str">
        <f>IFERROR(__xludf.DUMMYFUNCTION("""COMPUTED_VALUE"""),"logan trapp")</f>
        <v>logan trapp</v>
      </c>
      <c r="F6400" s="3" t="str">
        <f>IFERROR(__xludf.DUMMYFUNCTION("""COMPUTED_VALUE"""),"logan_trapp@hotmail.com")</f>
        <v>logan_trapp@hotmail.com</v>
      </c>
      <c r="G6400" s="3">
        <f>IFERROR(__xludf.DUMMYFUNCTION("""COMPUTED_VALUE"""),9.053753409E9)</f>
        <v>9053753409</v>
      </c>
      <c r="H6400" s="3"/>
    </row>
    <row r="6401">
      <c r="A6401" s="2">
        <f>IFERROR(__xludf.DUMMYFUNCTION("""COMPUTED_VALUE"""),80217.0)</f>
        <v>80217</v>
      </c>
      <c r="B6401" s="3" t="str">
        <f>IFERROR(__xludf.DUMMYFUNCTION("""COMPUTED_VALUE"""),"15261 COUNTY 21 RD ")</f>
        <v>15261 COUNTY 21 RD </v>
      </c>
      <c r="C6401" s="3" t="str">
        <f>IFERROR(__xludf.DUMMYFUNCTION("""COMPUTED_VALUE"""),"BRIGHTON")</f>
        <v>BRIGHTON</v>
      </c>
      <c r="D6401" s="3" t="str">
        <f>IFERROR(__xludf.DUMMYFUNCTION("""COMPUTED_VALUE"""),"K0K 1H0")</f>
        <v>K0K 1H0</v>
      </c>
      <c r="E6401" s="3" t="str">
        <f>IFERROR(__xludf.DUMMYFUNCTION("""COMPUTED_VALUE"""),"jeff mayer ")</f>
        <v>jeff mayer </v>
      </c>
      <c r="F6401" s="3" t="str">
        <f>IFERROR(__xludf.DUMMYFUNCTION("""COMPUTED_VALUE"""),"jeffmayer@hotmail.com")</f>
        <v>jeffmayer@hotmail.com</v>
      </c>
      <c r="G6401" s="3">
        <f>IFERROR(__xludf.DUMMYFUNCTION("""COMPUTED_VALUE"""),9.054427037E9)</f>
        <v>9054427037</v>
      </c>
      <c r="H6401" s="3"/>
    </row>
    <row r="6402">
      <c r="A6402" s="2">
        <f>IFERROR(__xludf.DUMMYFUNCTION("""COMPUTED_VALUE"""),80218.0)</f>
        <v>80218</v>
      </c>
      <c r="B6402" s="3" t="str">
        <f>IFERROR(__xludf.DUMMYFUNCTION("""COMPUTED_VALUE"""),"15264 COUNTY 21 RD ")</f>
        <v>15264 COUNTY 21 RD </v>
      </c>
      <c r="C6402" s="3" t="str">
        <f>IFERROR(__xludf.DUMMYFUNCTION("""COMPUTED_VALUE"""),"BRIGHTON")</f>
        <v>BRIGHTON</v>
      </c>
      <c r="D6402" s="3" t="str">
        <f>IFERROR(__xludf.DUMMYFUNCTION("""COMPUTED_VALUE"""),"K0K 1H0")</f>
        <v>K0K 1H0</v>
      </c>
      <c r="E6402" s="3" t="str">
        <f>IFERROR(__xludf.DUMMYFUNCTION("""COMPUTED_VALUE"""),"bernard veleke")</f>
        <v>bernard veleke</v>
      </c>
      <c r="F6402" s="3"/>
      <c r="G6402" s="3">
        <f>IFERROR(__xludf.DUMMYFUNCTION("""COMPUTED_VALUE"""),6.132420047E9)</f>
        <v>6132420047</v>
      </c>
      <c r="H6402" s="3"/>
    </row>
    <row r="6403">
      <c r="A6403" s="2">
        <f>IFERROR(__xludf.DUMMYFUNCTION("""COMPUTED_VALUE"""),80219.0)</f>
        <v>80219</v>
      </c>
      <c r="B6403" s="3" t="str">
        <f>IFERROR(__xludf.DUMMYFUNCTION("""COMPUTED_VALUE"""),"15268 COUNTY 21 RD ")</f>
        <v>15268 COUNTY 21 RD </v>
      </c>
      <c r="C6403" s="3" t="str">
        <f>IFERROR(__xludf.DUMMYFUNCTION("""COMPUTED_VALUE"""),"BRIGHTON")</f>
        <v>BRIGHTON</v>
      </c>
      <c r="D6403" s="3" t="str">
        <f>IFERROR(__xludf.DUMMYFUNCTION("""COMPUTED_VALUE"""),"K0K 1H0")</f>
        <v>K0K 1H0</v>
      </c>
      <c r="E6403" s="3" t="str">
        <f>IFERROR(__xludf.DUMMYFUNCTION("""COMPUTED_VALUE"""),"scott and carol herrington")</f>
        <v>scott and carol herrington</v>
      </c>
      <c r="F6403" s="3" t="str">
        <f>IFERROR(__xludf.DUMMYFUNCTION("""COMPUTED_VALUE"""),"carolh1964@hotmail.com")</f>
        <v>carolh1964@hotmail.com</v>
      </c>
      <c r="G6403" s="3">
        <f>IFERROR(__xludf.DUMMYFUNCTION("""COMPUTED_VALUE"""),6.138497357E9)</f>
        <v>6138497357</v>
      </c>
      <c r="H6403" s="3">
        <f>IFERROR(__xludf.DUMMYFUNCTION("""COMPUTED_VALUE"""),6.138497347E9)</f>
        <v>6138497347</v>
      </c>
    </row>
    <row r="6404">
      <c r="A6404" s="2">
        <f>IFERROR(__xludf.DUMMYFUNCTION("""COMPUTED_VALUE"""),80220.0)</f>
        <v>80220</v>
      </c>
      <c r="B6404" s="3" t="str">
        <f>IFERROR(__xludf.DUMMYFUNCTION("""COMPUTED_VALUE"""),"15279 COUNTY 21 RD ")</f>
        <v>15279 COUNTY 21 RD </v>
      </c>
      <c r="C6404" s="3" t="str">
        <f>IFERROR(__xludf.DUMMYFUNCTION("""COMPUTED_VALUE"""),"BRIGHTON")</f>
        <v>BRIGHTON</v>
      </c>
      <c r="D6404" s="3" t="str">
        <f>IFERROR(__xludf.DUMMYFUNCTION("""COMPUTED_VALUE"""),"K0K 1H0")</f>
        <v>K0K 1H0</v>
      </c>
      <c r="E6404" s="3"/>
      <c r="F6404" s="3"/>
      <c r="G6404" s="3"/>
      <c r="H6404" s="3"/>
    </row>
    <row r="6405">
      <c r="A6405" s="2">
        <f>IFERROR(__xludf.DUMMYFUNCTION("""COMPUTED_VALUE"""),80221.0)</f>
        <v>80221</v>
      </c>
      <c r="B6405" s="3" t="str">
        <f>IFERROR(__xludf.DUMMYFUNCTION("""COMPUTED_VALUE"""),"15285 COUNTY 21 RD ")</f>
        <v>15285 COUNTY 21 RD </v>
      </c>
      <c r="C6405" s="3" t="str">
        <f>IFERROR(__xludf.DUMMYFUNCTION("""COMPUTED_VALUE"""),"BRIGHTON")</f>
        <v>BRIGHTON</v>
      </c>
      <c r="D6405" s="3" t="str">
        <f>IFERROR(__xludf.DUMMYFUNCTION("""COMPUTED_VALUE"""),"K0K 1H0")</f>
        <v>K0K 1H0</v>
      </c>
      <c r="E6405" s="3" t="str">
        <f>IFERROR(__xludf.DUMMYFUNCTION("""COMPUTED_VALUE"""),"CODY COLGAN")</f>
        <v>CODY COLGAN</v>
      </c>
      <c r="F6405" s="3" t="str">
        <f>IFERROR(__xludf.DUMMYFUNCTION("""COMPUTED_VALUE"""),"cody-colgan@hotmail.com")</f>
        <v>cody-colgan@hotmail.com</v>
      </c>
      <c r="G6405" s="3">
        <f>IFERROR(__xludf.DUMMYFUNCTION("""COMPUTED_VALUE"""),9.059955519E9)</f>
        <v>9059955519</v>
      </c>
      <c r="H6405" s="3"/>
    </row>
    <row r="6406">
      <c r="A6406" s="2">
        <f>IFERROR(__xludf.DUMMYFUNCTION("""COMPUTED_VALUE"""),80222.0)</f>
        <v>80222</v>
      </c>
      <c r="B6406" s="3" t="str">
        <f>IFERROR(__xludf.DUMMYFUNCTION("""COMPUTED_VALUE"""),"15293 COUNTY 21 RD ")</f>
        <v>15293 COUNTY 21 RD </v>
      </c>
      <c r="C6406" s="3" t="str">
        <f>IFERROR(__xludf.DUMMYFUNCTION("""COMPUTED_VALUE"""),"BRIGHTON")</f>
        <v>BRIGHTON</v>
      </c>
      <c r="D6406" s="3" t="str">
        <f>IFERROR(__xludf.DUMMYFUNCTION("""COMPUTED_VALUE"""),"K0K 1H0")</f>
        <v>K0K 1H0</v>
      </c>
      <c r="E6406" s="3" t="str">
        <f>IFERROR(__xludf.DUMMYFUNCTION("""COMPUTED_VALUE"""),"Sefan Beattie")</f>
        <v>Sefan Beattie</v>
      </c>
      <c r="F6406" s="3" t="str">
        <f>IFERROR(__xludf.DUMMYFUNCTION("""COMPUTED_VALUE"""),"Sefanbeattie91@gmail.com")</f>
        <v>Sefanbeattie91@gmail.com</v>
      </c>
      <c r="G6406" s="3">
        <f>IFERROR(__xludf.DUMMYFUNCTION("""COMPUTED_VALUE"""),4.167058039E9)</f>
        <v>4167058039</v>
      </c>
      <c r="H6406" s="3"/>
    </row>
    <row r="6407">
      <c r="A6407" s="2">
        <f>IFERROR(__xludf.DUMMYFUNCTION("""COMPUTED_VALUE"""),80223.0)</f>
        <v>80223</v>
      </c>
      <c r="B6407" s="3" t="str">
        <f>IFERROR(__xludf.DUMMYFUNCTION("""COMPUTED_VALUE"""),"15305 COUNTY 21 RD ")</f>
        <v>15305 COUNTY 21 RD </v>
      </c>
      <c r="C6407" s="3" t="str">
        <f>IFERROR(__xludf.DUMMYFUNCTION("""COMPUTED_VALUE"""),"BRIGHTON")</f>
        <v>BRIGHTON</v>
      </c>
      <c r="D6407" s="3" t="str">
        <f>IFERROR(__xludf.DUMMYFUNCTION("""COMPUTED_VALUE"""),"K0K 1H0")</f>
        <v>K0K 1H0</v>
      </c>
      <c r="E6407" s="3" t="str">
        <f>IFERROR(__xludf.DUMMYFUNCTION("""COMPUTED_VALUE"""),"Brian Zeldenrust")</f>
        <v>Brian Zeldenrust</v>
      </c>
      <c r="F6407" s="3" t="str">
        <f>IFERROR(__xludf.DUMMYFUNCTION("""COMPUTED_VALUE"""),"bzeldenrust8@hotmail.com")</f>
        <v>bzeldenrust8@hotmail.com</v>
      </c>
      <c r="G6407" s="3">
        <f>IFERROR(__xludf.DUMMYFUNCTION("""COMPUTED_VALUE"""),6.134752695E9)</f>
        <v>6134752695</v>
      </c>
      <c r="H6407" s="3">
        <f>IFERROR(__xludf.DUMMYFUNCTION("""COMPUTED_VALUE"""),6.139214008E9)</f>
        <v>6139214008</v>
      </c>
    </row>
    <row r="6408">
      <c r="A6408" s="2">
        <f>IFERROR(__xludf.DUMMYFUNCTION("""COMPUTED_VALUE"""),80224.0)</f>
        <v>80224</v>
      </c>
      <c r="B6408" s="3" t="str">
        <f>IFERROR(__xludf.DUMMYFUNCTION("""COMPUTED_VALUE"""),"15309 COUNTY 21 RD ")</f>
        <v>15309 COUNTY 21 RD </v>
      </c>
      <c r="C6408" s="3" t="str">
        <f>IFERROR(__xludf.DUMMYFUNCTION("""COMPUTED_VALUE"""),"BRIGHTON")</f>
        <v>BRIGHTON</v>
      </c>
      <c r="D6408" s="3" t="str">
        <f>IFERROR(__xludf.DUMMYFUNCTION("""COMPUTED_VALUE"""),"K0K 1H0")</f>
        <v>K0K 1H0</v>
      </c>
      <c r="E6408" s="3" t="str">
        <f>IFERROR(__xludf.DUMMYFUNCTION("""COMPUTED_VALUE"""),"wayne kenneth")</f>
        <v>wayne kenneth</v>
      </c>
      <c r="F6408" s="3"/>
      <c r="G6408" s="3">
        <f>IFERROR(__xludf.DUMMYFUNCTION("""COMPUTED_VALUE"""),6.134750407E9)</f>
        <v>6134750407</v>
      </c>
      <c r="H6408" s="3"/>
    </row>
    <row r="6409">
      <c r="A6409" s="2">
        <f>IFERROR(__xludf.DUMMYFUNCTION("""COMPUTED_VALUE"""),80225.0)</f>
        <v>80225</v>
      </c>
      <c r="B6409" s="3" t="str">
        <f>IFERROR(__xludf.DUMMYFUNCTION("""COMPUTED_VALUE"""),"15323 COUNTY 21 RD ")</f>
        <v>15323 COUNTY 21 RD </v>
      </c>
      <c r="C6409" s="3" t="str">
        <f>IFERROR(__xludf.DUMMYFUNCTION("""COMPUTED_VALUE"""),"BRIGHTON")</f>
        <v>BRIGHTON</v>
      </c>
      <c r="D6409" s="3" t="str">
        <f>IFERROR(__xludf.DUMMYFUNCTION("""COMPUTED_VALUE"""),"K0K 1H0")</f>
        <v>K0K 1H0</v>
      </c>
      <c r="E6409" s="3" t="str">
        <f>IFERROR(__xludf.DUMMYFUNCTION("""COMPUTED_VALUE"""),"darrin taylor ")</f>
        <v>darrin taylor </v>
      </c>
      <c r="F6409" s="3" t="str">
        <f>IFERROR(__xludf.DUMMYFUNCTION("""COMPUTED_VALUE"""),"sherri_roberts27@hotmail.com")</f>
        <v>sherri_roberts27@hotmail.com</v>
      </c>
      <c r="G6409" s="3">
        <f>IFERROR(__xludf.DUMMYFUNCTION("""COMPUTED_VALUE"""),6.134031621E9)</f>
        <v>6134031621</v>
      </c>
      <c r="H6409" s="3"/>
    </row>
    <row r="6410">
      <c r="A6410" s="2">
        <f>IFERROR(__xludf.DUMMYFUNCTION("""COMPUTED_VALUE"""),80226.0)</f>
        <v>80226</v>
      </c>
      <c r="B6410" s="3" t="str">
        <f>IFERROR(__xludf.DUMMYFUNCTION("""COMPUTED_VALUE"""),"15331 COUNTY 21 RD ")</f>
        <v>15331 COUNTY 21 RD </v>
      </c>
      <c r="C6410" s="3" t="str">
        <f>IFERROR(__xludf.DUMMYFUNCTION("""COMPUTED_VALUE"""),"BRIGHTON")</f>
        <v>BRIGHTON</v>
      </c>
      <c r="D6410" s="3" t="str">
        <f>IFERROR(__xludf.DUMMYFUNCTION("""COMPUTED_VALUE"""),"K0K 1H0")</f>
        <v>K0K 1H0</v>
      </c>
      <c r="E6410" s="3"/>
      <c r="F6410" s="3"/>
      <c r="G6410" s="3"/>
      <c r="H6410" s="3"/>
    </row>
    <row r="6411">
      <c r="A6411" s="2">
        <f>IFERROR(__xludf.DUMMYFUNCTION("""COMPUTED_VALUE"""),80227.0)</f>
        <v>80227</v>
      </c>
      <c r="B6411" s="3" t="str">
        <f>IFERROR(__xludf.DUMMYFUNCTION("""COMPUTED_VALUE"""),"15333 COUNTY 21 RD ")</f>
        <v>15333 COUNTY 21 RD </v>
      </c>
      <c r="C6411" s="3" t="str">
        <f>IFERROR(__xludf.DUMMYFUNCTION("""COMPUTED_VALUE"""),"BRIGHTON")</f>
        <v>BRIGHTON</v>
      </c>
      <c r="D6411" s="3" t="str">
        <f>IFERROR(__xludf.DUMMYFUNCTION("""COMPUTED_VALUE"""),"K0K 1H0")</f>
        <v>K0K 1H0</v>
      </c>
      <c r="E6411" s="3" t="str">
        <f>IFERROR(__xludf.DUMMYFUNCTION("""COMPUTED_VALUE"""),"Angela Flindall")</f>
        <v>Angela Flindall</v>
      </c>
      <c r="F6411" s="3" t="str">
        <f>IFERROR(__xludf.DUMMYFUNCTION("""COMPUTED_VALUE"""),"jacelaflindall@hotmail.com")</f>
        <v>jacelaflindall@hotmail.com</v>
      </c>
      <c r="G6411" s="3">
        <f>IFERROR(__xludf.DUMMYFUNCTION("""COMPUTED_VALUE"""),6.133917387E9)</f>
        <v>6133917387</v>
      </c>
      <c r="H6411" s="3"/>
    </row>
    <row r="6412">
      <c r="A6412" s="2">
        <f>IFERROR(__xludf.DUMMYFUNCTION("""COMPUTED_VALUE"""),80228.0)</f>
        <v>80228</v>
      </c>
      <c r="B6412" s="3" t="str">
        <f>IFERROR(__xludf.DUMMYFUNCTION("""COMPUTED_VALUE"""),"15340 COUNTY 21 RD ")</f>
        <v>15340 COUNTY 21 RD </v>
      </c>
      <c r="C6412" s="3" t="str">
        <f>IFERROR(__xludf.DUMMYFUNCTION("""COMPUTED_VALUE"""),"BRIGHTON")</f>
        <v>BRIGHTON</v>
      </c>
      <c r="D6412" s="3" t="str">
        <f>IFERROR(__xludf.DUMMYFUNCTION("""COMPUTED_VALUE"""),"K0K 1H0")</f>
        <v>K0K 1H0</v>
      </c>
      <c r="E6412" s="3" t="str">
        <f>IFERROR(__xludf.DUMMYFUNCTION("""COMPUTED_VALUE"""),"adam herrington")</f>
        <v>adam herrington</v>
      </c>
      <c r="F6412" s="3" t="str">
        <f>IFERROR(__xludf.DUMMYFUNCTION("""COMPUTED_VALUE"""),"herrinton@gmail.com")</f>
        <v>herrinton@gmail.com</v>
      </c>
      <c r="G6412" s="3">
        <f>IFERROR(__xludf.DUMMYFUNCTION("""COMPUTED_VALUE"""),6.133476538E9)</f>
        <v>6133476538</v>
      </c>
      <c r="H6412" s="3"/>
    </row>
    <row r="6413">
      <c r="A6413" s="2">
        <f>IFERROR(__xludf.DUMMYFUNCTION("""COMPUTED_VALUE"""),80229.0)</f>
        <v>80229</v>
      </c>
      <c r="B6413" s="3" t="str">
        <f>IFERROR(__xludf.DUMMYFUNCTION("""COMPUTED_VALUE"""),"15343 COUNTY 21 RD ")</f>
        <v>15343 COUNTY 21 RD </v>
      </c>
      <c r="C6413" s="3" t="str">
        <f>IFERROR(__xludf.DUMMYFUNCTION("""COMPUTED_VALUE"""),"BRIGHTON")</f>
        <v>BRIGHTON</v>
      </c>
      <c r="D6413" s="3" t="str">
        <f>IFERROR(__xludf.DUMMYFUNCTION("""COMPUTED_VALUE"""),"K0K 1H0")</f>
        <v>K0K 1H0</v>
      </c>
      <c r="E6413" s="3"/>
      <c r="F6413" s="3"/>
      <c r="G6413" s="3"/>
      <c r="H6413" s="3"/>
    </row>
    <row r="6414">
      <c r="A6414" s="2">
        <f>IFERROR(__xludf.DUMMYFUNCTION("""COMPUTED_VALUE"""),80263.0)</f>
        <v>80263</v>
      </c>
      <c r="B6414" s="3" t="str">
        <f>IFERROR(__xludf.DUMMYFUNCTION("""COMPUTED_VALUE"""),"1010 COUNTY 26 RD ")</f>
        <v>1010 COUNTY 26 RD </v>
      </c>
      <c r="C6414" s="3" t="str">
        <f>IFERROR(__xludf.DUMMYFUNCTION("""COMPUTED_VALUE"""),"BRIGHTON")</f>
        <v>BRIGHTON</v>
      </c>
      <c r="D6414" s="3" t="str">
        <f>IFERROR(__xludf.DUMMYFUNCTION("""COMPUTED_VALUE"""),"K0K 1H0")</f>
        <v>K0K 1H0</v>
      </c>
      <c r="E6414" s="3" t="str">
        <f>IFERROR(__xludf.DUMMYFUNCTION("""COMPUTED_VALUE"""),"jessica allison")</f>
        <v>jessica allison</v>
      </c>
      <c r="F6414" s="3" t="str">
        <f>IFERROR(__xludf.DUMMYFUNCTION("""COMPUTED_VALUE"""),"jessielynn0306@gmail.com")</f>
        <v>jessielynn0306@gmail.com</v>
      </c>
      <c r="G6414" s="3">
        <f>IFERROR(__xludf.DUMMYFUNCTION("""COMPUTED_VALUE"""),9.0537597E9)</f>
        <v>9053759700</v>
      </c>
      <c r="H6414" s="3">
        <f>IFERROR(__xludf.DUMMYFUNCTION("""COMPUTED_VALUE"""),9.052696076E9)</f>
        <v>9052696076</v>
      </c>
    </row>
    <row r="6415">
      <c r="A6415" s="2">
        <f>IFERROR(__xludf.DUMMYFUNCTION("""COMPUTED_VALUE"""),81044.0)</f>
        <v>81044</v>
      </c>
      <c r="B6415" s="3" t="str">
        <f>IFERROR(__xludf.DUMMYFUNCTION("""COMPUTED_VALUE"""),"1112 COUNTY RD 26")</f>
        <v>1112 COUNTY RD 26</v>
      </c>
      <c r="C6415" s="3" t="str">
        <f>IFERROR(__xludf.DUMMYFUNCTION("""COMPUTED_VALUE"""),"BRIGHTON")</f>
        <v>BRIGHTON</v>
      </c>
      <c r="D6415" s="3" t="str">
        <f>IFERROR(__xludf.DUMMYFUNCTION("""COMPUTED_VALUE"""),"K0K 1H0")</f>
        <v>K0K 1H0</v>
      </c>
      <c r="E6415" s="3" t="str">
        <f>IFERROR(__xludf.DUMMYFUNCTION("""COMPUTED_VALUE"""),"Brighton Community Recycling Centre")</f>
        <v>Brighton Community Recycling Centre</v>
      </c>
      <c r="F6415" s="3" t="str">
        <f>IFERROR(__xludf.DUMMYFUNCTION("""COMPUTED_VALUE"""),"mccuea@northumberland.ca")</f>
        <v>mccuea@northumberland.ca</v>
      </c>
      <c r="G6415" s="3"/>
      <c r="H6415" s="3"/>
    </row>
    <row r="6416">
      <c r="A6416" s="2">
        <f>IFERROR(__xludf.DUMMYFUNCTION("""COMPUTED_VALUE"""),80264.0)</f>
        <v>80264</v>
      </c>
      <c r="B6416" s="3" t="str">
        <f>IFERROR(__xludf.DUMMYFUNCTION("""COMPUTED_VALUE"""),"1151 COUNTY 26 RD ")</f>
        <v>1151 COUNTY 26 RD </v>
      </c>
      <c r="C6416" s="3" t="str">
        <f>IFERROR(__xludf.DUMMYFUNCTION("""COMPUTED_VALUE"""),"BRIGHTON")</f>
        <v>BRIGHTON</v>
      </c>
      <c r="D6416" s="3" t="str">
        <f>IFERROR(__xludf.DUMMYFUNCTION("""COMPUTED_VALUE"""),"K0K 1H0")</f>
        <v>K0K 1H0</v>
      </c>
      <c r="E6416" s="3" t="str">
        <f>IFERROR(__xludf.DUMMYFUNCTION("""COMPUTED_VALUE"""),"Andy Devries")</f>
        <v>Andy Devries</v>
      </c>
      <c r="F6416" s="3" t="str">
        <f>IFERROR(__xludf.DUMMYFUNCTION("""COMPUTED_VALUE"""),"nogoaldad@gmail.com")</f>
        <v>nogoaldad@gmail.com</v>
      </c>
      <c r="G6416" s="3"/>
      <c r="H6416" s="3"/>
    </row>
    <row r="6417">
      <c r="A6417" s="2">
        <f>IFERROR(__xludf.DUMMYFUNCTION("""COMPUTED_VALUE"""),80265.0)</f>
        <v>80265</v>
      </c>
      <c r="B6417" s="3" t="str">
        <f>IFERROR(__xludf.DUMMYFUNCTION("""COMPUTED_VALUE"""),"1412 COUNTY 26 RD ")</f>
        <v>1412 COUNTY 26 RD </v>
      </c>
      <c r="C6417" s="3" t="str">
        <f>IFERROR(__xludf.DUMMYFUNCTION("""COMPUTED_VALUE"""),"BRIGHTON")</f>
        <v>BRIGHTON</v>
      </c>
      <c r="D6417" s="3" t="str">
        <f>IFERROR(__xludf.DUMMYFUNCTION("""COMPUTED_VALUE"""),"K0K 1H0")</f>
        <v>K0K 1H0</v>
      </c>
      <c r="E6417" s="3" t="str">
        <f>IFERROR(__xludf.DUMMYFUNCTION("""COMPUTED_VALUE"""),"Peter Stewart")</f>
        <v>Peter Stewart</v>
      </c>
      <c r="F6417" s="3" t="str">
        <f>IFERROR(__xludf.DUMMYFUNCTION("""COMPUTED_VALUE"""),"pr_k.stewart@xplornet.com")</f>
        <v>pr_k.stewart@xplornet.com</v>
      </c>
      <c r="G6417" s="3">
        <f>IFERROR(__xludf.DUMMYFUNCTION("""COMPUTED_VALUE"""),6.138481339E9)</f>
        <v>6138481339</v>
      </c>
      <c r="H6417" s="3">
        <f>IFERROR(__xludf.DUMMYFUNCTION("""COMPUTED_VALUE"""),6.134750415E9)</f>
        <v>6134750415</v>
      </c>
    </row>
    <row r="6418">
      <c r="A6418" s="2">
        <f>IFERROR(__xludf.DUMMYFUNCTION("""COMPUTED_VALUE"""),80266.0)</f>
        <v>80266</v>
      </c>
      <c r="B6418" s="3" t="str">
        <f>IFERROR(__xludf.DUMMYFUNCTION("""COMPUTED_VALUE"""),"1491 COUNTY 26 RD ")</f>
        <v>1491 COUNTY 26 RD </v>
      </c>
      <c r="C6418" s="3" t="str">
        <f>IFERROR(__xludf.DUMMYFUNCTION("""COMPUTED_VALUE"""),"BRIGHTON")</f>
        <v>BRIGHTON</v>
      </c>
      <c r="D6418" s="3" t="str">
        <f>IFERROR(__xludf.DUMMYFUNCTION("""COMPUTED_VALUE"""),"K0K 1H0")</f>
        <v>K0K 1H0</v>
      </c>
      <c r="E6418" s="3" t="str">
        <f>IFERROR(__xludf.DUMMYFUNCTION("""COMPUTED_VALUE"""),"lindsay wilson")</f>
        <v>lindsay wilson</v>
      </c>
      <c r="F6418" s="3" t="str">
        <f>IFERROR(__xludf.DUMMYFUNCTION("""COMPUTED_VALUE"""),"wilsonfamily1491@gmail.com")</f>
        <v>wilsonfamily1491@gmail.com</v>
      </c>
      <c r="G6418" s="3">
        <f>IFERROR(__xludf.DUMMYFUNCTION("""COMPUTED_VALUE"""),6.134755081E9)</f>
        <v>6134755081</v>
      </c>
      <c r="H6418" s="3">
        <f>IFERROR(__xludf.DUMMYFUNCTION("""COMPUTED_VALUE"""),6.138486651E9)</f>
        <v>6138486651</v>
      </c>
    </row>
    <row r="6419">
      <c r="A6419" s="2">
        <f>IFERROR(__xludf.DUMMYFUNCTION("""COMPUTED_VALUE"""),80267.0)</f>
        <v>80267</v>
      </c>
      <c r="B6419" s="3" t="str">
        <f>IFERROR(__xludf.DUMMYFUNCTION("""COMPUTED_VALUE"""),"1572 COUNTY 26 RD ")</f>
        <v>1572 COUNTY 26 RD </v>
      </c>
      <c r="C6419" s="3" t="str">
        <f>IFERROR(__xludf.DUMMYFUNCTION("""COMPUTED_VALUE"""),"BRIGHTON")</f>
        <v>BRIGHTON</v>
      </c>
      <c r="D6419" s="3" t="str">
        <f>IFERROR(__xludf.DUMMYFUNCTION("""COMPUTED_VALUE"""),"K0K 1H0")</f>
        <v>K0K 1H0</v>
      </c>
      <c r="E6419" s="3"/>
      <c r="F6419" s="3"/>
      <c r="G6419" s="3"/>
      <c r="H6419" s="3"/>
    </row>
    <row r="6420">
      <c r="A6420" s="2">
        <f>IFERROR(__xludf.DUMMYFUNCTION("""COMPUTED_VALUE"""),80268.0)</f>
        <v>80268</v>
      </c>
      <c r="B6420" s="3" t="str">
        <f>IFERROR(__xludf.DUMMYFUNCTION("""COMPUTED_VALUE"""),"1608 COUNTY 26 RD ")</f>
        <v>1608 COUNTY 26 RD </v>
      </c>
      <c r="C6420" s="3" t="str">
        <f>IFERROR(__xludf.DUMMYFUNCTION("""COMPUTED_VALUE"""),"BRIGHTON")</f>
        <v>BRIGHTON</v>
      </c>
      <c r="D6420" s="3" t="str">
        <f>IFERROR(__xludf.DUMMYFUNCTION("""COMPUTED_VALUE"""),"K0K 1H0")</f>
        <v>K0K 1H0</v>
      </c>
      <c r="E6420" s="3" t="str">
        <f>IFERROR(__xludf.DUMMYFUNCTION("""COMPUTED_VALUE"""),"Carl Wilson")</f>
        <v>Carl Wilson</v>
      </c>
      <c r="F6420" s="3" t="str">
        <f>IFERROR(__xludf.DUMMYFUNCTION("""COMPUTED_VALUE"""),"carlwilson2009@hotmail.com")</f>
        <v>carlwilson2009@hotmail.com</v>
      </c>
      <c r="G6420" s="3"/>
      <c r="H6420" s="3"/>
    </row>
    <row r="6421">
      <c r="A6421" s="2">
        <f>IFERROR(__xludf.DUMMYFUNCTION("""COMPUTED_VALUE"""),80269.0)</f>
        <v>80269</v>
      </c>
      <c r="B6421" s="3" t="str">
        <f>IFERROR(__xludf.DUMMYFUNCTION("""COMPUTED_VALUE"""),"1726 COUNTY 26 RD ")</f>
        <v>1726 COUNTY 26 RD </v>
      </c>
      <c r="C6421" s="3" t="str">
        <f>IFERROR(__xludf.DUMMYFUNCTION("""COMPUTED_VALUE"""),"BRIGHTON")</f>
        <v>BRIGHTON</v>
      </c>
      <c r="D6421" s="3" t="str">
        <f>IFERROR(__xludf.DUMMYFUNCTION("""COMPUTED_VALUE"""),"K0K 1H0")</f>
        <v>K0K 1H0</v>
      </c>
      <c r="E6421" s="3" t="str">
        <f>IFERROR(__xludf.DUMMYFUNCTION("""COMPUTED_VALUE"""),"Liz Muldoon")</f>
        <v>Liz Muldoon</v>
      </c>
      <c r="F6421" s="3" t="str">
        <f>IFERROR(__xludf.DUMMYFUNCTION("""COMPUTED_VALUE"""),"lmuldoonie@gmail.com")</f>
        <v>lmuldoonie@gmail.com</v>
      </c>
      <c r="G6421" s="3"/>
      <c r="H6421" s="3"/>
    </row>
    <row r="6422">
      <c r="A6422" s="2">
        <f>IFERROR(__xludf.DUMMYFUNCTION("""COMPUTED_VALUE"""),80270.0)</f>
        <v>80270</v>
      </c>
      <c r="B6422" s="3" t="str">
        <f>IFERROR(__xludf.DUMMYFUNCTION("""COMPUTED_VALUE"""),"1734 COUNTY 26 RD ")</f>
        <v>1734 COUNTY 26 RD </v>
      </c>
      <c r="C6422" s="3" t="str">
        <f>IFERROR(__xludf.DUMMYFUNCTION("""COMPUTED_VALUE"""),"BRIGHTON")</f>
        <v>BRIGHTON</v>
      </c>
      <c r="D6422" s="3" t="str">
        <f>IFERROR(__xludf.DUMMYFUNCTION("""COMPUTED_VALUE"""),"K0K 1H0")</f>
        <v>K0K 1H0</v>
      </c>
      <c r="E6422" s="3"/>
      <c r="F6422" s="3"/>
      <c r="G6422" s="3"/>
      <c r="H6422" s="3"/>
    </row>
    <row r="6423">
      <c r="A6423" s="2">
        <f>IFERROR(__xludf.DUMMYFUNCTION("""COMPUTED_VALUE"""),80271.0)</f>
        <v>80271</v>
      </c>
      <c r="B6423" s="3" t="str">
        <f>IFERROR(__xludf.DUMMYFUNCTION("""COMPUTED_VALUE"""),"1745 COUNTY 26 RD ")</f>
        <v>1745 COUNTY 26 RD </v>
      </c>
      <c r="C6423" s="3" t="str">
        <f>IFERROR(__xludf.DUMMYFUNCTION("""COMPUTED_VALUE"""),"BRIGHTON")</f>
        <v>BRIGHTON</v>
      </c>
      <c r="D6423" s="3" t="str">
        <f>IFERROR(__xludf.DUMMYFUNCTION("""COMPUTED_VALUE"""),"K0K 1H0")</f>
        <v>K0K 1H0</v>
      </c>
      <c r="E6423" s="3" t="str">
        <f>IFERROR(__xludf.DUMMYFUNCTION("""COMPUTED_VALUE"""),"Cliff Clark ")</f>
        <v>Cliff Clark </v>
      </c>
      <c r="F6423" s="3" t="str">
        <f>IFERROR(__xludf.DUMMYFUNCTION("""COMPUTED_VALUE"""),"clifford.f.clark@gmail.com")</f>
        <v>clifford.f.clark@gmail.com</v>
      </c>
      <c r="G6423" s="3"/>
      <c r="H6423" s="3"/>
    </row>
    <row r="6424">
      <c r="A6424" s="2">
        <f>IFERROR(__xludf.DUMMYFUNCTION("""COMPUTED_VALUE"""),80272.0)</f>
        <v>80272</v>
      </c>
      <c r="B6424" s="3" t="str">
        <f>IFERROR(__xludf.DUMMYFUNCTION("""COMPUTED_VALUE"""),"1787 COUNTY 26 RD ")</f>
        <v>1787 COUNTY 26 RD </v>
      </c>
      <c r="C6424" s="3" t="str">
        <f>IFERROR(__xludf.DUMMYFUNCTION("""COMPUTED_VALUE"""),"BRIGHTON")</f>
        <v>BRIGHTON</v>
      </c>
      <c r="D6424" s="3" t="str">
        <f>IFERROR(__xludf.DUMMYFUNCTION("""COMPUTED_VALUE"""),"K0K 1H0")</f>
        <v>K0K 1H0</v>
      </c>
      <c r="E6424" s="3" t="str">
        <f>IFERROR(__xludf.DUMMYFUNCTION("""COMPUTED_VALUE"""),"Jeff Osborne")</f>
        <v>Jeff Osborne</v>
      </c>
      <c r="F6424" s="3" t="str">
        <f>IFERROR(__xludf.DUMMYFUNCTION("""COMPUTED_VALUE"""),"josborne@breakthrubev.com")</f>
        <v>josborne@breakthrubev.com</v>
      </c>
      <c r="G6424" s="3">
        <f>IFERROR(__xludf.DUMMYFUNCTION("""COMPUTED_VALUE"""),4.162783325E9)</f>
        <v>4162783325</v>
      </c>
      <c r="H6424" s="3"/>
    </row>
    <row r="6425">
      <c r="A6425" s="2">
        <f>IFERROR(__xludf.DUMMYFUNCTION("""COMPUTED_VALUE"""),80273.0)</f>
        <v>80273</v>
      </c>
      <c r="B6425" s="3" t="str">
        <f>IFERROR(__xludf.DUMMYFUNCTION("""COMPUTED_VALUE"""),"1806 COUNTY 26 RD ")</f>
        <v>1806 COUNTY 26 RD </v>
      </c>
      <c r="C6425" s="3" t="str">
        <f>IFERROR(__xludf.DUMMYFUNCTION("""COMPUTED_VALUE"""),"BRIGHTON")</f>
        <v>BRIGHTON</v>
      </c>
      <c r="D6425" s="3" t="str">
        <f>IFERROR(__xludf.DUMMYFUNCTION("""COMPUTED_VALUE"""),"K0K 1H0")</f>
        <v>K0K 1H0</v>
      </c>
      <c r="E6425" s="3" t="str">
        <f>IFERROR(__xludf.DUMMYFUNCTION("""COMPUTED_VALUE"""),"ADAM WALSH")</f>
        <v>ADAM WALSH</v>
      </c>
      <c r="F6425" s="3" t="str">
        <f>IFERROR(__xludf.DUMMYFUNCTION("""COMPUTED_VALUE"""),"adamwalsh99@hotmail.com")</f>
        <v>adamwalsh99@hotmail.com</v>
      </c>
      <c r="G6425" s="3">
        <f>IFERROR(__xludf.DUMMYFUNCTION("""COMPUTED_VALUE"""),6.13847575E8)</f>
        <v>613847575</v>
      </c>
      <c r="H6425" s="3"/>
    </row>
    <row r="6426">
      <c r="A6426" s="2">
        <f>IFERROR(__xludf.DUMMYFUNCTION("""COMPUTED_VALUE"""),80274.0)</f>
        <v>80274</v>
      </c>
      <c r="B6426" s="3" t="str">
        <f>IFERROR(__xludf.DUMMYFUNCTION("""COMPUTED_VALUE"""),"1823 COUNTY 26 RD ")</f>
        <v>1823 COUNTY 26 RD </v>
      </c>
      <c r="C6426" s="3" t="str">
        <f>IFERROR(__xludf.DUMMYFUNCTION("""COMPUTED_VALUE"""),"BRIGHTON")</f>
        <v>BRIGHTON</v>
      </c>
      <c r="D6426" s="3" t="str">
        <f>IFERROR(__xludf.DUMMYFUNCTION("""COMPUTED_VALUE"""),"K0K 1H0")</f>
        <v>K0K 1H0</v>
      </c>
      <c r="E6426" s="3" t="str">
        <f>IFERROR(__xludf.DUMMYFUNCTION("""COMPUTED_VALUE"""),"Robert Middleton")</f>
        <v>Robert Middleton</v>
      </c>
      <c r="F6426" s="3" t="str">
        <f>IFERROR(__xludf.DUMMYFUNCTION("""COMPUTED_VALUE"""),"b.k.middleton1959@gmail.com")</f>
        <v>b.k.middleton1959@gmail.com</v>
      </c>
      <c r="G6426" s="3">
        <f>IFERROR(__xludf.DUMMYFUNCTION("""COMPUTED_VALUE"""),6.133711562E9)</f>
        <v>6133711562</v>
      </c>
      <c r="H6426" s="3">
        <f>IFERROR(__xludf.DUMMYFUNCTION("""COMPUTED_VALUE"""),6.138476028E9)</f>
        <v>6138476028</v>
      </c>
    </row>
    <row r="6427">
      <c r="A6427" s="2">
        <f>IFERROR(__xludf.DUMMYFUNCTION("""COMPUTED_VALUE"""),80275.0)</f>
        <v>80275</v>
      </c>
      <c r="B6427" s="3" t="str">
        <f>IFERROR(__xludf.DUMMYFUNCTION("""COMPUTED_VALUE"""),"1827 COUNTY 26 RD ")</f>
        <v>1827 COUNTY 26 RD </v>
      </c>
      <c r="C6427" s="3" t="str">
        <f>IFERROR(__xludf.DUMMYFUNCTION("""COMPUTED_VALUE"""),"BRIGHTON")</f>
        <v>BRIGHTON</v>
      </c>
      <c r="D6427" s="3" t="str">
        <f>IFERROR(__xludf.DUMMYFUNCTION("""COMPUTED_VALUE"""),"K0K 1H0")</f>
        <v>K0K 1H0</v>
      </c>
      <c r="E6427" s="3" t="str">
        <f>IFERROR(__xludf.DUMMYFUNCTION("""COMPUTED_VALUE"""),"Rian Troy Lewis")</f>
        <v>Rian Troy Lewis</v>
      </c>
      <c r="F6427" s="3"/>
      <c r="G6427" s="3"/>
      <c r="H6427" s="3"/>
    </row>
    <row r="6428">
      <c r="A6428" s="2">
        <f>IFERROR(__xludf.DUMMYFUNCTION("""COMPUTED_VALUE"""),80276.0)</f>
        <v>80276</v>
      </c>
      <c r="B6428" s="3" t="str">
        <f>IFERROR(__xludf.DUMMYFUNCTION("""COMPUTED_VALUE"""),"1883 COUNTY 26 RD ")</f>
        <v>1883 COUNTY 26 RD </v>
      </c>
      <c r="C6428" s="3" t="str">
        <f>IFERROR(__xludf.DUMMYFUNCTION("""COMPUTED_VALUE"""),"BRIGHTON")</f>
        <v>BRIGHTON</v>
      </c>
      <c r="D6428" s="3" t="str">
        <f>IFERROR(__xludf.DUMMYFUNCTION("""COMPUTED_VALUE"""),"K0K 1H0")</f>
        <v>K0K 1H0</v>
      </c>
      <c r="E6428" s="3" t="str">
        <f>IFERROR(__xludf.DUMMYFUNCTION("""COMPUTED_VALUE"""),"Martin McVety ")</f>
        <v>Martin McVety </v>
      </c>
      <c r="F6428" s="3" t="str">
        <f>IFERROR(__xludf.DUMMYFUNCTION("""COMPUTED_VALUE"""),"martinmcvety@hotmail.com")</f>
        <v>martinmcvety@hotmail.com</v>
      </c>
      <c r="G6428" s="3">
        <f>IFERROR(__xludf.DUMMYFUNCTION("""COMPUTED_VALUE"""),9.053738972E9)</f>
        <v>9053738972</v>
      </c>
      <c r="H6428" s="3"/>
    </row>
    <row r="6429">
      <c r="A6429" s="2">
        <f>IFERROR(__xludf.DUMMYFUNCTION("""COMPUTED_VALUE"""),80277.0)</f>
        <v>80277</v>
      </c>
      <c r="B6429" s="3" t="str">
        <f>IFERROR(__xludf.DUMMYFUNCTION("""COMPUTED_VALUE"""),"1887 COUNTY 26 RD ")</f>
        <v>1887 COUNTY 26 RD </v>
      </c>
      <c r="C6429" s="3" t="str">
        <f>IFERROR(__xludf.DUMMYFUNCTION("""COMPUTED_VALUE"""),"BRIGHTON")</f>
        <v>BRIGHTON</v>
      </c>
      <c r="D6429" s="3" t="str">
        <f>IFERROR(__xludf.DUMMYFUNCTION("""COMPUTED_VALUE"""),"K0K 1H0")</f>
        <v>K0K 1H0</v>
      </c>
      <c r="E6429" s="3" t="str">
        <f>IFERROR(__xludf.DUMMYFUNCTION("""COMPUTED_VALUE"""),"Phyllis Coulter ")</f>
        <v>Phyllis Coulter </v>
      </c>
      <c r="F6429" s="3" t="str">
        <f>IFERROR(__xludf.DUMMYFUNCTION("""COMPUTED_VALUE"""),"pacoulter58@gmail.com")</f>
        <v>pacoulter58@gmail.com</v>
      </c>
      <c r="G6429" s="3"/>
      <c r="H6429" s="3"/>
    </row>
    <row r="6430">
      <c r="A6430" s="2">
        <f>IFERROR(__xludf.DUMMYFUNCTION("""COMPUTED_VALUE"""),80278.0)</f>
        <v>80278</v>
      </c>
      <c r="B6430" s="3" t="str">
        <f>IFERROR(__xludf.DUMMYFUNCTION("""COMPUTED_VALUE"""),"1925 COUNTY 26 RD ")</f>
        <v>1925 COUNTY 26 RD </v>
      </c>
      <c r="C6430" s="3" t="str">
        <f>IFERROR(__xludf.DUMMYFUNCTION("""COMPUTED_VALUE"""),"BRIGHTON")</f>
        <v>BRIGHTON</v>
      </c>
      <c r="D6430" s="3" t="str">
        <f>IFERROR(__xludf.DUMMYFUNCTION("""COMPUTED_VALUE"""),"K0K 1H0")</f>
        <v>K0K 1H0</v>
      </c>
      <c r="E6430" s="3" t="str">
        <f>IFERROR(__xludf.DUMMYFUNCTION("""COMPUTED_VALUE"""),"Jennifer Vander Meulen")</f>
        <v>Jennifer Vander Meulen</v>
      </c>
      <c r="F6430" s="3" t="str">
        <f>IFERROR(__xludf.DUMMYFUNCTION("""COMPUTED_VALUE"""),"avonleagenetics@gmail.com")</f>
        <v>avonleagenetics@gmail.com</v>
      </c>
      <c r="G6430" s="3">
        <f>IFERROR(__xludf.DUMMYFUNCTION("""COMPUTED_VALUE"""),6.139223534E9)</f>
        <v>6139223534</v>
      </c>
      <c r="H6430" s="3">
        <f>IFERROR(__xludf.DUMMYFUNCTION("""COMPUTED_VALUE"""),6.134752627E9)</f>
        <v>6134752627</v>
      </c>
    </row>
    <row r="6431">
      <c r="A6431" s="2">
        <f>IFERROR(__xludf.DUMMYFUNCTION("""COMPUTED_VALUE"""),80231.0)</f>
        <v>80231</v>
      </c>
      <c r="B6431" s="3" t="str">
        <f>IFERROR(__xludf.DUMMYFUNCTION("""COMPUTED_VALUE"""),"627 COUNTY 26 RD ")</f>
        <v>627 COUNTY 26 RD </v>
      </c>
      <c r="C6431" s="3" t="str">
        <f>IFERROR(__xludf.DUMMYFUNCTION("""COMPUTED_VALUE"""),"BRIGHTON")</f>
        <v>BRIGHTON</v>
      </c>
      <c r="D6431" s="3" t="str">
        <f>IFERROR(__xludf.DUMMYFUNCTION("""COMPUTED_VALUE"""),"K0K 1H0")</f>
        <v>K0K 1H0</v>
      </c>
      <c r="E6431" s="3"/>
      <c r="F6431" s="3"/>
      <c r="G6431" s="3"/>
      <c r="H6431" s="3"/>
    </row>
    <row r="6432">
      <c r="A6432" s="2">
        <f>IFERROR(__xludf.DUMMYFUNCTION("""COMPUTED_VALUE"""),80232.0)</f>
        <v>80232</v>
      </c>
      <c r="B6432" s="3" t="str">
        <f>IFERROR(__xludf.DUMMYFUNCTION("""COMPUTED_VALUE"""),"637 COUNTY 26 RD ")</f>
        <v>637 COUNTY 26 RD </v>
      </c>
      <c r="C6432" s="3" t="str">
        <f>IFERROR(__xludf.DUMMYFUNCTION("""COMPUTED_VALUE"""),"BRIGHTON")</f>
        <v>BRIGHTON</v>
      </c>
      <c r="D6432" s="3" t="str">
        <f>IFERROR(__xludf.DUMMYFUNCTION("""COMPUTED_VALUE"""),"K0K 1H0")</f>
        <v>K0K 1H0</v>
      </c>
      <c r="E6432" s="3"/>
      <c r="F6432" s="3"/>
      <c r="G6432" s="3"/>
      <c r="H6432" s="3"/>
    </row>
    <row r="6433">
      <c r="A6433" s="2">
        <f>IFERROR(__xludf.DUMMYFUNCTION("""COMPUTED_VALUE"""),80233.0)</f>
        <v>80233</v>
      </c>
      <c r="B6433" s="3" t="str">
        <f>IFERROR(__xludf.DUMMYFUNCTION("""COMPUTED_VALUE"""),"638 COUNTY 26 RD ")</f>
        <v>638 COUNTY 26 RD </v>
      </c>
      <c r="C6433" s="3" t="str">
        <f>IFERROR(__xludf.DUMMYFUNCTION("""COMPUTED_VALUE"""),"BRIGHTON")</f>
        <v>BRIGHTON</v>
      </c>
      <c r="D6433" s="3" t="str">
        <f>IFERROR(__xludf.DUMMYFUNCTION("""COMPUTED_VALUE"""),"K0K 1H0")</f>
        <v>K0K 1H0</v>
      </c>
      <c r="E6433" s="3"/>
      <c r="F6433" s="3"/>
      <c r="G6433" s="3"/>
      <c r="H6433" s="3"/>
    </row>
    <row r="6434">
      <c r="A6434" s="2">
        <f>IFERROR(__xludf.DUMMYFUNCTION("""COMPUTED_VALUE"""),80234.0)</f>
        <v>80234</v>
      </c>
      <c r="B6434" s="3" t="str">
        <f>IFERROR(__xludf.DUMMYFUNCTION("""COMPUTED_VALUE"""),"657 COUNTY 26 RD ")</f>
        <v>657 COUNTY 26 RD </v>
      </c>
      <c r="C6434" s="3" t="str">
        <f>IFERROR(__xludf.DUMMYFUNCTION("""COMPUTED_VALUE"""),"BRIGHTON")</f>
        <v>BRIGHTON</v>
      </c>
      <c r="D6434" s="3" t="str">
        <f>IFERROR(__xludf.DUMMYFUNCTION("""COMPUTED_VALUE"""),"K0K 1H0")</f>
        <v>K0K 1H0</v>
      </c>
      <c r="E6434" s="3"/>
      <c r="F6434" s="3"/>
      <c r="G6434" s="3"/>
      <c r="H6434" s="3"/>
    </row>
    <row r="6435">
      <c r="A6435" s="2">
        <f>IFERROR(__xludf.DUMMYFUNCTION("""COMPUTED_VALUE"""),80235.0)</f>
        <v>80235</v>
      </c>
      <c r="B6435" s="3" t="str">
        <f>IFERROR(__xludf.DUMMYFUNCTION("""COMPUTED_VALUE"""),"667 COUNTY 26 RD ")</f>
        <v>667 COUNTY 26 RD </v>
      </c>
      <c r="C6435" s="3" t="str">
        <f>IFERROR(__xludf.DUMMYFUNCTION("""COMPUTED_VALUE"""),"BRIGHTON")</f>
        <v>BRIGHTON</v>
      </c>
      <c r="D6435" s="3" t="str">
        <f>IFERROR(__xludf.DUMMYFUNCTION("""COMPUTED_VALUE"""),"K0K 1H0")</f>
        <v>K0K 1H0</v>
      </c>
      <c r="E6435" s="3" t="str">
        <f>IFERROR(__xludf.DUMMYFUNCTION("""COMPUTED_VALUE"""),"Jennifer Patterson")</f>
        <v>Jennifer Patterson</v>
      </c>
      <c r="F6435" s="3" t="str">
        <f>IFERROR(__xludf.DUMMYFUNCTION("""COMPUTED_VALUE"""),"pattersonjenny05@gmail.com")</f>
        <v>pattersonjenny05@gmail.com</v>
      </c>
      <c r="G6435" s="3">
        <f>IFERROR(__xludf.DUMMYFUNCTION("""COMPUTED_VALUE"""),6.132424952E9)</f>
        <v>6132424952</v>
      </c>
      <c r="H6435" s="3"/>
    </row>
    <row r="6436">
      <c r="A6436" s="2">
        <f>IFERROR(__xludf.DUMMYFUNCTION("""COMPUTED_VALUE"""),80236.0)</f>
        <v>80236</v>
      </c>
      <c r="B6436" s="3" t="str">
        <f>IFERROR(__xludf.DUMMYFUNCTION("""COMPUTED_VALUE"""),"670 COUNTY 26 RD ")</f>
        <v>670 COUNTY 26 RD </v>
      </c>
      <c r="C6436" s="3" t="str">
        <f>IFERROR(__xludf.DUMMYFUNCTION("""COMPUTED_VALUE"""),"BRIGHTON")</f>
        <v>BRIGHTON</v>
      </c>
      <c r="D6436" s="3" t="str">
        <f>IFERROR(__xludf.DUMMYFUNCTION("""COMPUTED_VALUE"""),"K0K 1H0")</f>
        <v>K0K 1H0</v>
      </c>
      <c r="E6436" s="3"/>
      <c r="F6436" s="3"/>
      <c r="G6436" s="3"/>
      <c r="H6436" s="3"/>
    </row>
    <row r="6437">
      <c r="A6437" s="2">
        <f>IFERROR(__xludf.DUMMYFUNCTION("""COMPUTED_VALUE"""),80237.0)</f>
        <v>80237</v>
      </c>
      <c r="B6437" s="3" t="str">
        <f>IFERROR(__xludf.DUMMYFUNCTION("""COMPUTED_VALUE"""),"677 COUNTY 26 RD ")</f>
        <v>677 COUNTY 26 RD </v>
      </c>
      <c r="C6437" s="3" t="str">
        <f>IFERROR(__xludf.DUMMYFUNCTION("""COMPUTED_VALUE"""),"BRIGHTON")</f>
        <v>BRIGHTON</v>
      </c>
      <c r="D6437" s="3" t="str">
        <f>IFERROR(__xludf.DUMMYFUNCTION("""COMPUTED_VALUE"""),"K0K 1H0")</f>
        <v>K0K 1H0</v>
      </c>
      <c r="E6437" s="3" t="str">
        <f>IFERROR(__xludf.DUMMYFUNCTION("""COMPUTED_VALUE"""),"Kevin MacGregor")</f>
        <v>Kevin MacGregor</v>
      </c>
      <c r="F6437" s="3" t="str">
        <f>IFERROR(__xludf.DUMMYFUNCTION("""COMPUTED_VALUE"""),"kevinmacgregor3@gmail.com")</f>
        <v>kevinmacgregor3@gmail.com</v>
      </c>
      <c r="G6437" s="3">
        <f>IFERROR(__xludf.DUMMYFUNCTION("""COMPUTED_VALUE"""),1.6138482503E10)</f>
        <v>16138482503</v>
      </c>
      <c r="H6437" s="3"/>
    </row>
    <row r="6438">
      <c r="A6438" s="2">
        <f>IFERROR(__xludf.DUMMYFUNCTION("""COMPUTED_VALUE"""),80238.0)</f>
        <v>80238</v>
      </c>
      <c r="B6438" s="3" t="str">
        <f>IFERROR(__xludf.DUMMYFUNCTION("""COMPUTED_VALUE"""),"684 COUNTY 26 RD ")</f>
        <v>684 COUNTY 26 RD </v>
      </c>
      <c r="C6438" s="3" t="str">
        <f>IFERROR(__xludf.DUMMYFUNCTION("""COMPUTED_VALUE"""),"BRIGHTON")</f>
        <v>BRIGHTON</v>
      </c>
      <c r="D6438" s="3" t="str">
        <f>IFERROR(__xludf.DUMMYFUNCTION("""COMPUTED_VALUE"""),"K0K 1H0")</f>
        <v>K0K 1H0</v>
      </c>
      <c r="E6438" s="3" t="str">
        <f>IFERROR(__xludf.DUMMYFUNCTION("""COMPUTED_VALUE"""),"isabelle patterson ")</f>
        <v>isabelle patterson </v>
      </c>
      <c r="F6438" s="3"/>
      <c r="G6438" s="3">
        <f>IFERROR(__xludf.DUMMYFUNCTION("""COMPUTED_VALUE"""),6.138479264E9)</f>
        <v>6138479264</v>
      </c>
      <c r="H6438" s="3"/>
    </row>
    <row r="6439">
      <c r="A6439" s="2">
        <f>IFERROR(__xludf.DUMMYFUNCTION("""COMPUTED_VALUE"""),80239.0)</f>
        <v>80239</v>
      </c>
      <c r="B6439" s="3" t="str">
        <f>IFERROR(__xludf.DUMMYFUNCTION("""COMPUTED_VALUE"""),"685 COUNTY 26 RD ")</f>
        <v>685 COUNTY 26 RD </v>
      </c>
      <c r="C6439" s="3" t="str">
        <f>IFERROR(__xludf.DUMMYFUNCTION("""COMPUTED_VALUE"""),"BRIGHTON")</f>
        <v>BRIGHTON</v>
      </c>
      <c r="D6439" s="3" t="str">
        <f>IFERROR(__xludf.DUMMYFUNCTION("""COMPUTED_VALUE"""),"K0K 1H0")</f>
        <v>K0K 1H0</v>
      </c>
      <c r="E6439" s="3" t="str">
        <f>IFERROR(__xludf.DUMMYFUNCTION("""COMPUTED_VALUE"""),"Naomi Typhair")</f>
        <v>Naomi Typhair</v>
      </c>
      <c r="F6439" s="3" t="str">
        <f>IFERROR(__xludf.DUMMYFUNCTION("""COMPUTED_VALUE"""),"ntyphair@yahoo.ca")</f>
        <v>ntyphair@yahoo.ca</v>
      </c>
      <c r="G6439" s="3">
        <f>IFERROR(__xludf.DUMMYFUNCTION("""COMPUTED_VALUE"""),6.138270773E9)</f>
        <v>6138270773</v>
      </c>
      <c r="H6439" s="3">
        <f>IFERROR(__xludf.DUMMYFUNCTION("""COMPUTED_VALUE"""),6.139217475E9)</f>
        <v>6139217475</v>
      </c>
    </row>
    <row r="6440">
      <c r="A6440" s="2">
        <f>IFERROR(__xludf.DUMMYFUNCTION("""COMPUTED_VALUE"""),80240.0)</f>
        <v>80240</v>
      </c>
      <c r="B6440" s="3" t="str">
        <f>IFERROR(__xludf.DUMMYFUNCTION("""COMPUTED_VALUE"""),"692 COUNTY 26 RD ")</f>
        <v>692 COUNTY 26 RD </v>
      </c>
      <c r="C6440" s="3" t="str">
        <f>IFERROR(__xludf.DUMMYFUNCTION("""COMPUTED_VALUE"""),"BRIGHTON")</f>
        <v>BRIGHTON</v>
      </c>
      <c r="D6440" s="3" t="str">
        <f>IFERROR(__xludf.DUMMYFUNCTION("""COMPUTED_VALUE"""),"K0K 1H0")</f>
        <v>K0K 1H0</v>
      </c>
      <c r="E6440" s="3" t="str">
        <f>IFERROR(__xludf.DUMMYFUNCTION("""COMPUTED_VALUE"""),"s, seaton")</f>
        <v>s, seaton</v>
      </c>
      <c r="F6440" s="3" t="str">
        <f>IFERROR(__xludf.DUMMYFUNCTION("""COMPUTED_VALUE"""),"ride.far@hotmail.com")</f>
        <v>ride.far@hotmail.com</v>
      </c>
      <c r="G6440" s="3">
        <f>IFERROR(__xludf.DUMMYFUNCTION("""COMPUTED_VALUE"""),6.139202126E9)</f>
        <v>6139202126</v>
      </c>
      <c r="H6440" s="3"/>
    </row>
    <row r="6441">
      <c r="A6441" s="2">
        <f>IFERROR(__xludf.DUMMYFUNCTION("""COMPUTED_VALUE"""),80241.0)</f>
        <v>80241</v>
      </c>
      <c r="B6441" s="3" t="str">
        <f>IFERROR(__xludf.DUMMYFUNCTION("""COMPUTED_VALUE"""),"700 COUNTY 26 RD ")</f>
        <v>700 COUNTY 26 RD </v>
      </c>
      <c r="C6441" s="3" t="str">
        <f>IFERROR(__xludf.DUMMYFUNCTION("""COMPUTED_VALUE"""),"BRIGHTON")</f>
        <v>BRIGHTON</v>
      </c>
      <c r="D6441" s="3" t="str">
        <f>IFERROR(__xludf.DUMMYFUNCTION("""COMPUTED_VALUE"""),"K0K 1H0")</f>
        <v>K0K 1H0</v>
      </c>
      <c r="E6441" s="3" t="str">
        <f>IFERROR(__xludf.DUMMYFUNCTION("""COMPUTED_VALUE"""),"Jeri Lynn Horton-Joyce")</f>
        <v>Jeri Lynn Horton-Joyce</v>
      </c>
      <c r="F6441" s="3" t="str">
        <f>IFERROR(__xludf.DUMMYFUNCTION("""COMPUTED_VALUE"""),"o2dive.joyces@xplornet.com")</f>
        <v>o2dive.joyces@xplornet.com</v>
      </c>
      <c r="G6441" s="3">
        <f>IFERROR(__xludf.DUMMYFUNCTION("""COMPUTED_VALUE"""),6.133911026E9)</f>
        <v>6133911026</v>
      </c>
      <c r="H6441" s="3">
        <f>IFERROR(__xludf.DUMMYFUNCTION("""COMPUTED_VALUE"""),6.133911028E9)</f>
        <v>6133911028</v>
      </c>
    </row>
    <row r="6442">
      <c r="A6442" s="2">
        <f>IFERROR(__xludf.DUMMYFUNCTION("""COMPUTED_VALUE"""),80242.0)</f>
        <v>80242</v>
      </c>
      <c r="B6442" s="3" t="str">
        <f>IFERROR(__xludf.DUMMYFUNCTION("""COMPUTED_VALUE"""),"735 COUNTY 26 RD ")</f>
        <v>735 COUNTY 26 RD </v>
      </c>
      <c r="C6442" s="3" t="str">
        <f>IFERROR(__xludf.DUMMYFUNCTION("""COMPUTED_VALUE"""),"BRIGHTON")</f>
        <v>BRIGHTON</v>
      </c>
      <c r="D6442" s="3" t="str">
        <f>IFERROR(__xludf.DUMMYFUNCTION("""COMPUTED_VALUE"""),"K0K 1H0")</f>
        <v>K0K 1H0</v>
      </c>
      <c r="E6442" s="3"/>
      <c r="F6442" s="3"/>
      <c r="G6442" s="3"/>
      <c r="H6442" s="3"/>
    </row>
    <row r="6443">
      <c r="A6443" s="2">
        <f>IFERROR(__xludf.DUMMYFUNCTION("""COMPUTED_VALUE"""),80243.0)</f>
        <v>80243</v>
      </c>
      <c r="B6443" s="3" t="str">
        <f>IFERROR(__xludf.DUMMYFUNCTION("""COMPUTED_VALUE"""),"746 COUNTY 26 RD ")</f>
        <v>746 COUNTY 26 RD </v>
      </c>
      <c r="C6443" s="3" t="str">
        <f>IFERROR(__xludf.DUMMYFUNCTION("""COMPUTED_VALUE"""),"BRIGHTON")</f>
        <v>BRIGHTON</v>
      </c>
      <c r="D6443" s="3" t="str">
        <f>IFERROR(__xludf.DUMMYFUNCTION("""COMPUTED_VALUE"""),"K0K 1H0")</f>
        <v>K0K 1H0</v>
      </c>
      <c r="E6443" s="3" t="str">
        <f>IFERROR(__xludf.DUMMYFUNCTION("""COMPUTED_VALUE"""),"Curcy Joyce")</f>
        <v>Curcy Joyce</v>
      </c>
      <c r="F6443" s="3" t="str">
        <f>IFERROR(__xludf.DUMMYFUNCTION("""COMPUTED_VALUE"""),"arcwindsaber7@gmail.com")</f>
        <v>arcwindsaber7@gmail.com</v>
      </c>
      <c r="G6443" s="3"/>
      <c r="H6443" s="3"/>
    </row>
    <row r="6444">
      <c r="A6444" s="2">
        <f>IFERROR(__xludf.DUMMYFUNCTION("""COMPUTED_VALUE"""),80245.0)</f>
        <v>80245</v>
      </c>
      <c r="B6444" s="3" t="str">
        <f>IFERROR(__xludf.DUMMYFUNCTION("""COMPUTED_VALUE"""),"748 COUNTY 26 RD ")</f>
        <v>748 COUNTY 26 RD </v>
      </c>
      <c r="C6444" s="3" t="str">
        <f>IFERROR(__xludf.DUMMYFUNCTION("""COMPUTED_VALUE"""),"BRIGHTON")</f>
        <v>BRIGHTON</v>
      </c>
      <c r="D6444" s="3" t="str">
        <f>IFERROR(__xludf.DUMMYFUNCTION("""COMPUTED_VALUE"""),"K0K 1H0")</f>
        <v>K0K 1H0</v>
      </c>
      <c r="E6444" s="3" t="str">
        <f>IFERROR(__xludf.DUMMYFUNCTION("""COMPUTED_VALUE"""),"leo boucher ")</f>
        <v>leo boucher </v>
      </c>
      <c r="F6444" s="3" t="str">
        <f>IFERROR(__xludf.DUMMYFUNCTION("""COMPUTED_VALUE"""),"buckeys47@hotmail.com ")</f>
        <v>buckeys47@hotmail.com </v>
      </c>
      <c r="G6444" s="3">
        <f>IFERROR(__xludf.DUMMYFUNCTION("""COMPUTED_VALUE"""),2.899874537E9)</f>
        <v>2899874537</v>
      </c>
      <c r="H6444" s="3">
        <f>IFERROR(__xludf.DUMMYFUNCTION("""COMPUTED_VALUE"""),6.134750523E9)</f>
        <v>6134750523</v>
      </c>
    </row>
    <row r="6445">
      <c r="A6445" s="2">
        <f>IFERROR(__xludf.DUMMYFUNCTION("""COMPUTED_VALUE"""),80246.0)</f>
        <v>80246</v>
      </c>
      <c r="B6445" s="3" t="str">
        <f>IFERROR(__xludf.DUMMYFUNCTION("""COMPUTED_VALUE"""),"749 COUNTY 26 RD ")</f>
        <v>749 COUNTY 26 RD </v>
      </c>
      <c r="C6445" s="3" t="str">
        <f>IFERROR(__xludf.DUMMYFUNCTION("""COMPUTED_VALUE"""),"BRIGHTON")</f>
        <v>BRIGHTON</v>
      </c>
      <c r="D6445" s="3" t="str">
        <f>IFERROR(__xludf.DUMMYFUNCTION("""COMPUTED_VALUE"""),"K0K 1H0")</f>
        <v>K0K 1H0</v>
      </c>
      <c r="E6445" s="3" t="str">
        <f>IFERROR(__xludf.DUMMYFUNCTION("""COMPUTED_VALUE"""),"JENNIFER ALLEN")</f>
        <v>JENNIFER ALLEN</v>
      </c>
      <c r="F6445" s="3" t="str">
        <f>IFERROR(__xludf.DUMMYFUNCTION("""COMPUTED_VALUE"""),"jendown05@gmail.com")</f>
        <v>jendown05@gmail.com</v>
      </c>
      <c r="G6445" s="3"/>
      <c r="H6445" s="3"/>
    </row>
    <row r="6446">
      <c r="A6446" s="2">
        <f>IFERROR(__xludf.DUMMYFUNCTION("""COMPUTED_VALUE"""),80247.0)</f>
        <v>80247</v>
      </c>
      <c r="B6446" s="3" t="str">
        <f>IFERROR(__xludf.DUMMYFUNCTION("""COMPUTED_VALUE"""),"752 COUNTY 26 RD ")</f>
        <v>752 COUNTY 26 RD </v>
      </c>
      <c r="C6446" s="3" t="str">
        <f>IFERROR(__xludf.DUMMYFUNCTION("""COMPUTED_VALUE"""),"BRIGHTON")</f>
        <v>BRIGHTON</v>
      </c>
      <c r="D6446" s="3" t="str">
        <f>IFERROR(__xludf.DUMMYFUNCTION("""COMPUTED_VALUE"""),"K0K 1H0")</f>
        <v>K0K 1H0</v>
      </c>
      <c r="E6446" s="3" t="str">
        <f>IFERROR(__xludf.DUMMYFUNCTION("""COMPUTED_VALUE"""),"juliette duthie ")</f>
        <v>juliette duthie </v>
      </c>
      <c r="F6446" s="3" t="str">
        <f>IFERROR(__xludf.DUMMYFUNCTION("""COMPUTED_VALUE"""),"juliette.duthie@sympatico.ca")</f>
        <v>juliette.duthie@sympatico.ca</v>
      </c>
      <c r="G6446" s="3">
        <f>IFERROR(__xludf.DUMMYFUNCTION("""COMPUTED_VALUE"""),6.134752437E9)</f>
        <v>6134752437</v>
      </c>
      <c r="H6446" s="3"/>
    </row>
    <row r="6447">
      <c r="A6447" s="2">
        <f>IFERROR(__xludf.DUMMYFUNCTION("""COMPUTED_VALUE"""),80248.0)</f>
        <v>80248</v>
      </c>
      <c r="B6447" s="3" t="str">
        <f>IFERROR(__xludf.DUMMYFUNCTION("""COMPUTED_VALUE"""),"757 COUNTY 26 RD ")</f>
        <v>757 COUNTY 26 RD </v>
      </c>
      <c r="C6447" s="3" t="str">
        <f>IFERROR(__xludf.DUMMYFUNCTION("""COMPUTED_VALUE"""),"BRIGHTON")</f>
        <v>BRIGHTON</v>
      </c>
      <c r="D6447" s="3" t="str">
        <f>IFERROR(__xludf.DUMMYFUNCTION("""COMPUTED_VALUE"""),"K0K 1H0")</f>
        <v>K0K 1H0</v>
      </c>
      <c r="E6447" s="3"/>
      <c r="F6447" s="3"/>
      <c r="G6447" s="3"/>
      <c r="H6447" s="3"/>
    </row>
    <row r="6448">
      <c r="A6448" s="2">
        <f>IFERROR(__xludf.DUMMYFUNCTION("""COMPUTED_VALUE"""),80249.0)</f>
        <v>80249</v>
      </c>
      <c r="B6448" s="3" t="str">
        <f>IFERROR(__xludf.DUMMYFUNCTION("""COMPUTED_VALUE"""),"766 COUNTY 26 RD ")</f>
        <v>766 COUNTY 26 RD </v>
      </c>
      <c r="C6448" s="3" t="str">
        <f>IFERROR(__xludf.DUMMYFUNCTION("""COMPUTED_VALUE"""),"BRIGHTON")</f>
        <v>BRIGHTON</v>
      </c>
      <c r="D6448" s="3" t="str">
        <f>IFERROR(__xludf.DUMMYFUNCTION("""COMPUTED_VALUE"""),"K0K 1H0")</f>
        <v>K0K 1H0</v>
      </c>
      <c r="E6448" s="3" t="str">
        <f>IFERROR(__xludf.DUMMYFUNCTION("""COMPUTED_VALUE"""),"angelina scriver")</f>
        <v>angelina scriver</v>
      </c>
      <c r="F6448" s="3" t="str">
        <f>IFERROR(__xludf.DUMMYFUNCTION("""COMPUTED_VALUE"""),"angelina.scr@hotmail.com")</f>
        <v>angelina.scr@hotmail.com</v>
      </c>
      <c r="G6448" s="3">
        <f>IFERROR(__xludf.DUMMYFUNCTION("""COMPUTED_VALUE"""),5.875012926E9)</f>
        <v>5875012926</v>
      </c>
      <c r="H6448" s="3"/>
    </row>
    <row r="6449">
      <c r="A6449" s="2">
        <f>IFERROR(__xludf.DUMMYFUNCTION("""COMPUTED_VALUE"""),80250.0)</f>
        <v>80250</v>
      </c>
      <c r="B6449" s="3" t="str">
        <f>IFERROR(__xludf.DUMMYFUNCTION("""COMPUTED_VALUE"""),"777 COUNTY 26 RD ")</f>
        <v>777 COUNTY 26 RD </v>
      </c>
      <c r="C6449" s="3" t="str">
        <f>IFERROR(__xludf.DUMMYFUNCTION("""COMPUTED_VALUE"""),"BRIGHTON")</f>
        <v>BRIGHTON</v>
      </c>
      <c r="D6449" s="3" t="str">
        <f>IFERROR(__xludf.DUMMYFUNCTION("""COMPUTED_VALUE"""),"K0K 1H0")</f>
        <v>K0K 1H0</v>
      </c>
      <c r="E6449" s="3" t="str">
        <f>IFERROR(__xludf.DUMMYFUNCTION("""COMPUTED_VALUE"""),"Tina &amp; Norm Henry ")</f>
        <v>Tina &amp; Norm Henry </v>
      </c>
      <c r="F6449" s="3" t="str">
        <f>IFERROR(__xludf.DUMMYFUNCTION("""COMPUTED_VALUE"""),"busytinahenry@hotmail.com")</f>
        <v>busytinahenry@hotmail.com</v>
      </c>
      <c r="G6449" s="3"/>
      <c r="H6449" s="3"/>
    </row>
    <row r="6450">
      <c r="A6450" s="2">
        <f>IFERROR(__xludf.DUMMYFUNCTION("""COMPUTED_VALUE"""),80244.0)</f>
        <v>80244</v>
      </c>
      <c r="B6450" s="3" t="str">
        <f>IFERROR(__xludf.DUMMYFUNCTION("""COMPUTED_VALUE"""),"793 COUNTY 26 RD ")</f>
        <v>793 COUNTY 26 RD </v>
      </c>
      <c r="C6450" s="3" t="str">
        <f>IFERROR(__xludf.DUMMYFUNCTION("""COMPUTED_VALUE"""),"BRIGHTON")</f>
        <v>BRIGHTON</v>
      </c>
      <c r="D6450" s="3" t="str">
        <f>IFERROR(__xludf.DUMMYFUNCTION("""COMPUTED_VALUE"""),"K0K 1H0")</f>
        <v>K0K 1H0</v>
      </c>
      <c r="E6450" s="3"/>
      <c r="F6450" s="3"/>
      <c r="G6450" s="3"/>
      <c r="H6450" s="3"/>
    </row>
    <row r="6451">
      <c r="A6451" s="2">
        <f>IFERROR(__xludf.DUMMYFUNCTION("""COMPUTED_VALUE"""),80251.0)</f>
        <v>80251</v>
      </c>
      <c r="B6451" s="3" t="str">
        <f>IFERROR(__xludf.DUMMYFUNCTION("""COMPUTED_VALUE"""),"799 COUNTY 26 RD ")</f>
        <v>799 COUNTY 26 RD </v>
      </c>
      <c r="C6451" s="3" t="str">
        <f>IFERROR(__xludf.DUMMYFUNCTION("""COMPUTED_VALUE"""),"BRIGHTON")</f>
        <v>BRIGHTON</v>
      </c>
      <c r="D6451" s="3" t="str">
        <f>IFERROR(__xludf.DUMMYFUNCTION("""COMPUTED_VALUE"""),"K0K 1H0")</f>
        <v>K0K 1H0</v>
      </c>
      <c r="E6451" s="3" t="str">
        <f>IFERROR(__xludf.DUMMYFUNCTION("""COMPUTED_VALUE"""),"Michael D Hewton")</f>
        <v>Michael D Hewton</v>
      </c>
      <c r="F6451" s="3" t="str">
        <f>IFERROR(__xludf.DUMMYFUNCTION("""COMPUTED_VALUE"""),"Mike@hewbrook.com")</f>
        <v>Mike@hewbrook.com</v>
      </c>
      <c r="G6451" s="3">
        <f>IFERROR(__xludf.DUMMYFUNCTION("""COMPUTED_VALUE"""),6.138482633E9)</f>
        <v>6138482633</v>
      </c>
      <c r="H6451" s="3">
        <f>IFERROR(__xludf.DUMMYFUNCTION("""COMPUTED_VALUE"""),6.139224749E9)</f>
        <v>6139224749</v>
      </c>
    </row>
    <row r="6452">
      <c r="A6452" s="2">
        <f>IFERROR(__xludf.DUMMYFUNCTION("""COMPUTED_VALUE"""),80252.0)</f>
        <v>80252</v>
      </c>
      <c r="B6452" s="3" t="str">
        <f>IFERROR(__xludf.DUMMYFUNCTION("""COMPUTED_VALUE"""),"805 COUNTY 26 RD ")</f>
        <v>805 COUNTY 26 RD </v>
      </c>
      <c r="C6452" s="3" t="str">
        <f>IFERROR(__xludf.DUMMYFUNCTION("""COMPUTED_VALUE"""),"BRIGHTON")</f>
        <v>BRIGHTON</v>
      </c>
      <c r="D6452" s="3" t="str">
        <f>IFERROR(__xludf.DUMMYFUNCTION("""COMPUTED_VALUE"""),"K0K 1H0")</f>
        <v>K0K 1H0</v>
      </c>
      <c r="E6452" s="3" t="str">
        <f>IFERROR(__xludf.DUMMYFUNCTION("""COMPUTED_VALUE"""),"Kevin Taylor")</f>
        <v>Kevin Taylor</v>
      </c>
      <c r="F6452" s="3" t="str">
        <f>IFERROR(__xludf.DUMMYFUNCTION("""COMPUTED_VALUE"""),"kevyt27@outlook.com")</f>
        <v>kevyt27@outlook.com</v>
      </c>
      <c r="G6452" s="3">
        <f>IFERROR(__xludf.DUMMYFUNCTION("""COMPUTED_VALUE"""),6.133919194E9)</f>
        <v>6133919194</v>
      </c>
      <c r="H6452" s="3"/>
    </row>
    <row r="6453">
      <c r="A6453" s="2">
        <f>IFERROR(__xludf.DUMMYFUNCTION("""COMPUTED_VALUE"""),80253.0)</f>
        <v>80253</v>
      </c>
      <c r="B6453" s="3" t="str">
        <f>IFERROR(__xludf.DUMMYFUNCTION("""COMPUTED_VALUE"""),"806 COUNTY 26 RD ")</f>
        <v>806 COUNTY 26 RD </v>
      </c>
      <c r="C6453" s="3" t="str">
        <f>IFERROR(__xludf.DUMMYFUNCTION("""COMPUTED_VALUE"""),"BRIGHTON")</f>
        <v>BRIGHTON</v>
      </c>
      <c r="D6453" s="3" t="str">
        <f>IFERROR(__xludf.DUMMYFUNCTION("""COMPUTED_VALUE"""),"K0K 1H0")</f>
        <v>K0K 1H0</v>
      </c>
      <c r="E6453" s="3" t="str">
        <f>IFERROR(__xludf.DUMMYFUNCTION("""COMPUTED_VALUE"""),"Michelle Ferguson")</f>
        <v>Michelle Ferguson</v>
      </c>
      <c r="F6453" s="3" t="str">
        <f>IFERROR(__xludf.DUMMYFUNCTION("""COMPUTED_VALUE"""),"michelle_ferguson_8@hotmail.com")</f>
        <v>michelle_ferguson_8@hotmail.com</v>
      </c>
      <c r="G6453" s="3"/>
      <c r="H6453" s="3"/>
    </row>
    <row r="6454">
      <c r="A6454" s="2">
        <f>IFERROR(__xludf.DUMMYFUNCTION("""COMPUTED_VALUE"""),80254.0)</f>
        <v>80254</v>
      </c>
      <c r="B6454" s="3" t="str">
        <f>IFERROR(__xludf.DUMMYFUNCTION("""COMPUTED_VALUE"""),"808 COUNTY 26 RD ")</f>
        <v>808 COUNTY 26 RD </v>
      </c>
      <c r="C6454" s="3" t="str">
        <f>IFERROR(__xludf.DUMMYFUNCTION("""COMPUTED_VALUE"""),"BRIGHTON")</f>
        <v>BRIGHTON</v>
      </c>
      <c r="D6454" s="3" t="str">
        <f>IFERROR(__xludf.DUMMYFUNCTION("""COMPUTED_VALUE"""),"K0K 1H0")</f>
        <v>K0K 1H0</v>
      </c>
      <c r="E6454" s="3" t="str">
        <f>IFERROR(__xludf.DUMMYFUNCTION("""COMPUTED_VALUE"""),"Gloria Ferri")</f>
        <v>Gloria Ferri</v>
      </c>
      <c r="F6454" s="3" t="str">
        <f>IFERROR(__xludf.DUMMYFUNCTION("""COMPUTED_VALUE"""),"gloriaferri12@gmail.com")</f>
        <v>gloriaferri12@gmail.com</v>
      </c>
      <c r="G6454" s="3">
        <f>IFERROR(__xludf.DUMMYFUNCTION("""COMPUTED_VALUE"""),6.472013212E9)</f>
        <v>6472013212</v>
      </c>
      <c r="H6454" s="3"/>
    </row>
    <row r="6455">
      <c r="A6455" s="2">
        <f>IFERROR(__xludf.DUMMYFUNCTION("""COMPUTED_VALUE"""),80255.0)</f>
        <v>80255</v>
      </c>
      <c r="B6455" s="3" t="str">
        <f>IFERROR(__xludf.DUMMYFUNCTION("""COMPUTED_VALUE"""),"823 COUNTY 26 RD ")</f>
        <v>823 COUNTY 26 RD </v>
      </c>
      <c r="C6455" s="3" t="str">
        <f>IFERROR(__xludf.DUMMYFUNCTION("""COMPUTED_VALUE"""),"BRIGHTON")</f>
        <v>BRIGHTON</v>
      </c>
      <c r="D6455" s="3" t="str">
        <f>IFERROR(__xludf.DUMMYFUNCTION("""COMPUTED_VALUE"""),"K0K 1H0")</f>
        <v>K0K 1H0</v>
      </c>
      <c r="E6455" s="3" t="str">
        <f>IFERROR(__xludf.DUMMYFUNCTION("""COMPUTED_VALUE"""),"Garry Renner")</f>
        <v>Garry Renner</v>
      </c>
      <c r="F6455" s="3" t="str">
        <f>IFERROR(__xludf.DUMMYFUNCTION("""COMPUTED_VALUE"""),"garryrenner@yahoo.ca")</f>
        <v>garryrenner@yahoo.ca</v>
      </c>
      <c r="G6455" s="3"/>
      <c r="H6455" s="3"/>
    </row>
    <row r="6456">
      <c r="A6456" s="2">
        <f>IFERROR(__xludf.DUMMYFUNCTION("""COMPUTED_VALUE"""),80256.0)</f>
        <v>80256</v>
      </c>
      <c r="B6456" s="3" t="str">
        <f>IFERROR(__xludf.DUMMYFUNCTION("""COMPUTED_VALUE"""),"854 COUNTY 26 RD ")</f>
        <v>854 COUNTY 26 RD </v>
      </c>
      <c r="C6456" s="3" t="str">
        <f>IFERROR(__xludf.DUMMYFUNCTION("""COMPUTED_VALUE"""),"BRIGHTON")</f>
        <v>BRIGHTON</v>
      </c>
      <c r="D6456" s="3" t="str">
        <f>IFERROR(__xludf.DUMMYFUNCTION("""COMPUTED_VALUE"""),"K0K 1H0")</f>
        <v>K0K 1H0</v>
      </c>
      <c r="E6456" s="3" t="str">
        <f>IFERROR(__xludf.DUMMYFUNCTION("""COMPUTED_VALUE"""),"don mahoney")</f>
        <v>don mahoney</v>
      </c>
      <c r="F6456" s="3" t="str">
        <f>IFERROR(__xludf.DUMMYFUNCTION("""COMPUTED_VALUE"""),"hmahoney@hotmail.com")</f>
        <v>hmahoney@hotmail.com</v>
      </c>
      <c r="G6456" s="3">
        <f>IFERROR(__xludf.DUMMYFUNCTION("""COMPUTED_VALUE"""),6.13475142E9)</f>
        <v>6134751420</v>
      </c>
      <c r="H6456" s="3"/>
    </row>
    <row r="6457">
      <c r="A6457" s="2">
        <f>IFERROR(__xludf.DUMMYFUNCTION("""COMPUTED_VALUE"""),80257.0)</f>
        <v>80257</v>
      </c>
      <c r="B6457" s="3" t="str">
        <f>IFERROR(__xludf.DUMMYFUNCTION("""COMPUTED_VALUE"""),"880 COUNTY 26 RD ")</f>
        <v>880 COUNTY 26 RD </v>
      </c>
      <c r="C6457" s="3" t="str">
        <f>IFERROR(__xludf.DUMMYFUNCTION("""COMPUTED_VALUE"""),"BRIGHTON")</f>
        <v>BRIGHTON</v>
      </c>
      <c r="D6457" s="3" t="str">
        <f>IFERROR(__xludf.DUMMYFUNCTION("""COMPUTED_VALUE"""),"K0K 1H0")</f>
        <v>K0K 1H0</v>
      </c>
      <c r="E6457" s="3" t="str">
        <f>IFERROR(__xludf.DUMMYFUNCTION("""COMPUTED_VALUE"""),"Jason Landry")</f>
        <v>Jason Landry</v>
      </c>
      <c r="F6457" s="3" t="str">
        <f>IFERROR(__xludf.DUMMYFUNCTION("""COMPUTED_VALUE"""),"h85478425@hotmail.com")</f>
        <v>h85478425@hotmail.com</v>
      </c>
      <c r="G6457" s="3">
        <f>IFERROR(__xludf.DUMMYFUNCTION("""COMPUTED_VALUE"""),6.138278324E9)</f>
        <v>6138278324</v>
      </c>
      <c r="H6457" s="3"/>
    </row>
    <row r="6458">
      <c r="A6458" s="2">
        <f>IFERROR(__xludf.DUMMYFUNCTION("""COMPUTED_VALUE"""),80258.0)</f>
        <v>80258</v>
      </c>
      <c r="B6458" s="3" t="str">
        <f>IFERROR(__xludf.DUMMYFUNCTION("""COMPUTED_VALUE"""),"902 COUNTY 26 RD ")</f>
        <v>902 COUNTY 26 RD </v>
      </c>
      <c r="C6458" s="3" t="str">
        <f>IFERROR(__xludf.DUMMYFUNCTION("""COMPUTED_VALUE"""),"BRIGHTON")</f>
        <v>BRIGHTON</v>
      </c>
      <c r="D6458" s="3" t="str">
        <f>IFERROR(__xludf.DUMMYFUNCTION("""COMPUTED_VALUE"""),"K0K 1H0")</f>
        <v>K0K 1H0</v>
      </c>
      <c r="E6458" s="3" t="str">
        <f>IFERROR(__xludf.DUMMYFUNCTION("""COMPUTED_VALUE"""),"Vanessa Lobo")</f>
        <v>Vanessa Lobo</v>
      </c>
      <c r="F6458" s="3" t="str">
        <f>IFERROR(__xludf.DUMMYFUNCTION("""COMPUTED_VALUE"""),"vlobo@rogers.com")</f>
        <v>vlobo@rogers.com</v>
      </c>
      <c r="G6458" s="3">
        <f>IFERROR(__xludf.DUMMYFUNCTION("""COMPUTED_VALUE"""),6.13885511E9)</f>
        <v>6138855110</v>
      </c>
      <c r="H6458" s="3"/>
    </row>
    <row r="6459">
      <c r="A6459" s="2">
        <f>IFERROR(__xludf.DUMMYFUNCTION("""COMPUTED_VALUE"""),80259.0)</f>
        <v>80259</v>
      </c>
      <c r="B6459" s="3" t="str">
        <f>IFERROR(__xludf.DUMMYFUNCTION("""COMPUTED_VALUE"""),"908 COUNTY 26 RD ")</f>
        <v>908 COUNTY 26 RD </v>
      </c>
      <c r="C6459" s="3" t="str">
        <f>IFERROR(__xludf.DUMMYFUNCTION("""COMPUTED_VALUE"""),"BRIGHTON")</f>
        <v>BRIGHTON</v>
      </c>
      <c r="D6459" s="3" t="str">
        <f>IFERROR(__xludf.DUMMYFUNCTION("""COMPUTED_VALUE"""),"K0K 1H0")</f>
        <v>K0K 1H0</v>
      </c>
      <c r="E6459" s="3"/>
      <c r="F6459" s="3"/>
      <c r="G6459" s="3"/>
      <c r="H6459" s="3"/>
    </row>
    <row r="6460">
      <c r="A6460" s="2">
        <f>IFERROR(__xludf.DUMMYFUNCTION("""COMPUTED_VALUE"""),80260.0)</f>
        <v>80260</v>
      </c>
      <c r="B6460" s="3" t="str">
        <f>IFERROR(__xludf.DUMMYFUNCTION("""COMPUTED_VALUE"""),"909 COUNTY 26 RD ")</f>
        <v>909 COUNTY 26 RD </v>
      </c>
      <c r="C6460" s="3" t="str">
        <f>IFERROR(__xludf.DUMMYFUNCTION("""COMPUTED_VALUE"""),"BRIGHTON")</f>
        <v>BRIGHTON</v>
      </c>
      <c r="D6460" s="3" t="str">
        <f>IFERROR(__xludf.DUMMYFUNCTION("""COMPUTED_VALUE"""),"K0K 1H0")</f>
        <v>K0K 1H0</v>
      </c>
      <c r="E6460" s="3" t="str">
        <f>IFERROR(__xludf.DUMMYFUNCTION("""COMPUTED_VALUE"""),"jonathan george")</f>
        <v>jonathan george</v>
      </c>
      <c r="F6460" s="3" t="str">
        <f>IFERROR(__xludf.DUMMYFUNCTION("""COMPUTED_VALUE"""),"jgeorge@j-george.com")</f>
        <v>jgeorge@j-george.com</v>
      </c>
      <c r="G6460" s="3">
        <f>IFERROR(__xludf.DUMMYFUNCTION("""COMPUTED_VALUE"""),6.134753864E9)</f>
        <v>6134753864</v>
      </c>
      <c r="H6460" s="3"/>
    </row>
    <row r="6461">
      <c r="A6461" s="2">
        <f>IFERROR(__xludf.DUMMYFUNCTION("""COMPUTED_VALUE"""),80261.0)</f>
        <v>80261</v>
      </c>
      <c r="B6461" s="3" t="str">
        <f>IFERROR(__xludf.DUMMYFUNCTION("""COMPUTED_VALUE"""),"915 COUNTY 26 RD ")</f>
        <v>915 COUNTY 26 RD </v>
      </c>
      <c r="C6461" s="3" t="str">
        <f>IFERROR(__xludf.DUMMYFUNCTION("""COMPUTED_VALUE"""),"BRIGHTON")</f>
        <v>BRIGHTON</v>
      </c>
      <c r="D6461" s="3" t="str">
        <f>IFERROR(__xludf.DUMMYFUNCTION("""COMPUTED_VALUE"""),"K0K 1H0")</f>
        <v>K0K 1H0</v>
      </c>
      <c r="E6461" s="3" t="str">
        <f>IFERROR(__xludf.DUMMYFUNCTION("""COMPUTED_VALUE"""),"alexander lweis barks")</f>
        <v>alexander lweis barks</v>
      </c>
      <c r="F6461" s="3" t="str">
        <f>IFERROR(__xludf.DUMMYFUNCTION("""COMPUTED_VALUE"""),"golddsthd2@outlook.com")</f>
        <v>golddsthd2@outlook.com</v>
      </c>
      <c r="G6461" s="3">
        <f>IFERROR(__xludf.DUMMYFUNCTION("""COMPUTED_VALUE"""),6.134751751E9)</f>
        <v>6134751751</v>
      </c>
      <c r="H6461" s="3"/>
    </row>
    <row r="6462">
      <c r="A6462" s="2">
        <f>IFERROR(__xludf.DUMMYFUNCTION("""COMPUTED_VALUE"""),80262.0)</f>
        <v>80262</v>
      </c>
      <c r="B6462" s="3" t="str">
        <f>IFERROR(__xludf.DUMMYFUNCTION("""COMPUTED_VALUE"""),"918 COUNTY 26 RD ")</f>
        <v>918 COUNTY 26 RD </v>
      </c>
      <c r="C6462" s="3" t="str">
        <f>IFERROR(__xludf.DUMMYFUNCTION("""COMPUTED_VALUE"""),"BRIGHTON")</f>
        <v>BRIGHTON</v>
      </c>
      <c r="D6462" s="3" t="str">
        <f>IFERROR(__xludf.DUMMYFUNCTION("""COMPUTED_VALUE"""),"K0K 1H0")</f>
        <v>K0K 1H0</v>
      </c>
      <c r="E6462" s="3" t="str">
        <f>IFERROR(__xludf.DUMMYFUNCTION("""COMPUTED_VALUE"""),"Mandy Schenk")</f>
        <v>Mandy Schenk</v>
      </c>
      <c r="F6462" s="3" t="str">
        <f>IFERROR(__xludf.DUMMYFUNCTION("""COMPUTED_VALUE"""),"mandymcewen@hotmail.com")</f>
        <v>mandymcewen@hotmail.com</v>
      </c>
      <c r="G6462" s="3">
        <f>IFERROR(__xludf.DUMMYFUNCTION("""COMPUTED_VALUE"""),9.054425673E9)</f>
        <v>9054425673</v>
      </c>
      <c r="H6462" s="3"/>
    </row>
    <row r="6463">
      <c r="A6463" s="2">
        <f>IFERROR(__xludf.DUMMYFUNCTION("""COMPUTED_VALUE"""),80289.0)</f>
        <v>80289</v>
      </c>
      <c r="B6463" s="3" t="str">
        <f>IFERROR(__xludf.DUMMYFUNCTION("""COMPUTED_VALUE"""),"1027 COUNTY 27 RD ")</f>
        <v>1027 COUNTY 27 RD </v>
      </c>
      <c r="C6463" s="3" t="str">
        <f>IFERROR(__xludf.DUMMYFUNCTION("""COMPUTED_VALUE"""),"CODRINGTON")</f>
        <v>CODRINGTON</v>
      </c>
      <c r="D6463" s="3" t="str">
        <f>IFERROR(__xludf.DUMMYFUNCTION("""COMPUTED_VALUE"""),"K0K 1R0")</f>
        <v>K0K 1R0</v>
      </c>
      <c r="E6463" s="3" t="str">
        <f>IFERROR(__xludf.DUMMYFUNCTION("""COMPUTED_VALUE"""),"al and julie carter ")</f>
        <v>al and julie carter </v>
      </c>
      <c r="F6463" s="3" t="str">
        <f>IFERROR(__xludf.DUMMYFUNCTION("""COMPUTED_VALUE"""),"juliecarter22@live.ca")</f>
        <v>juliecarter22@live.ca</v>
      </c>
      <c r="G6463" s="3">
        <f>IFERROR(__xludf.DUMMYFUNCTION("""COMPUTED_VALUE"""),6.134750349E9)</f>
        <v>6134750349</v>
      </c>
      <c r="H6463" s="3"/>
    </row>
    <row r="6464">
      <c r="A6464" s="2">
        <f>IFERROR(__xludf.DUMMYFUNCTION("""COMPUTED_VALUE"""),80290.0)</f>
        <v>80290</v>
      </c>
      <c r="B6464" s="3" t="str">
        <f>IFERROR(__xludf.DUMMYFUNCTION("""COMPUTED_VALUE"""),"1079 COUNTY 27 RD ")</f>
        <v>1079 COUNTY 27 RD </v>
      </c>
      <c r="C6464" s="3" t="str">
        <f>IFERROR(__xludf.DUMMYFUNCTION("""COMPUTED_VALUE"""),"CODRINGTON")</f>
        <v>CODRINGTON</v>
      </c>
      <c r="D6464" s="3" t="str">
        <f>IFERROR(__xludf.DUMMYFUNCTION("""COMPUTED_VALUE"""),"K0K 1R0")</f>
        <v>K0K 1R0</v>
      </c>
      <c r="E6464" s="3" t="str">
        <f>IFERROR(__xludf.DUMMYFUNCTION("""COMPUTED_VALUE"""),"Paul Kozlenko")</f>
        <v>Paul Kozlenko</v>
      </c>
      <c r="F6464" s="3" t="str">
        <f>IFERROR(__xludf.DUMMYFUNCTION("""COMPUTED_VALUE"""),"pkozlenko@outlook.com")</f>
        <v>pkozlenko@outlook.com</v>
      </c>
      <c r="G6464" s="3">
        <f>IFERROR(__xludf.DUMMYFUNCTION("""COMPUTED_VALUE"""),9.054479383E9)</f>
        <v>9054479383</v>
      </c>
      <c r="H6464" s="3">
        <f>IFERROR(__xludf.DUMMYFUNCTION("""COMPUTED_VALUE"""),9.054479383E9)</f>
        <v>9054479383</v>
      </c>
    </row>
    <row r="6465">
      <c r="A6465" s="2">
        <f>IFERROR(__xludf.DUMMYFUNCTION("""COMPUTED_VALUE"""),80291.0)</f>
        <v>80291</v>
      </c>
      <c r="B6465" s="3" t="str">
        <f>IFERROR(__xludf.DUMMYFUNCTION("""COMPUTED_VALUE"""),"1092 COUNTY 27 RD ")</f>
        <v>1092 COUNTY 27 RD </v>
      </c>
      <c r="C6465" s="3" t="str">
        <f>IFERROR(__xludf.DUMMYFUNCTION("""COMPUTED_VALUE"""),"CODRINGTON")</f>
        <v>CODRINGTON</v>
      </c>
      <c r="D6465" s="3" t="str">
        <f>IFERROR(__xludf.DUMMYFUNCTION("""COMPUTED_VALUE"""),"K0K 1R0")</f>
        <v>K0K 1R0</v>
      </c>
      <c r="E6465" s="3"/>
      <c r="F6465" s="3"/>
      <c r="G6465" s="3"/>
      <c r="H6465" s="3"/>
    </row>
    <row r="6466">
      <c r="A6466" s="2">
        <f>IFERROR(__xludf.DUMMYFUNCTION("""COMPUTED_VALUE"""),80292.0)</f>
        <v>80292</v>
      </c>
      <c r="B6466" s="3" t="str">
        <f>IFERROR(__xludf.DUMMYFUNCTION("""COMPUTED_VALUE"""),"1093 COUNTY 27 RD ")</f>
        <v>1093 COUNTY 27 RD </v>
      </c>
      <c r="C6466" s="3" t="str">
        <f>IFERROR(__xludf.DUMMYFUNCTION("""COMPUTED_VALUE"""),"CODRINGTON")</f>
        <v>CODRINGTON</v>
      </c>
      <c r="D6466" s="3" t="str">
        <f>IFERROR(__xludf.DUMMYFUNCTION("""COMPUTED_VALUE"""),"K0K 1R0")</f>
        <v>K0K 1R0</v>
      </c>
      <c r="E6466" s="3" t="str">
        <f>IFERROR(__xludf.DUMMYFUNCTION("""COMPUTED_VALUE"""),"misty maurer")</f>
        <v>misty maurer</v>
      </c>
      <c r="F6466" s="3" t="str">
        <f>IFERROR(__xludf.DUMMYFUNCTION("""COMPUTED_VALUE"""),"mistypontaleo@gmail.com")</f>
        <v>mistypontaleo@gmail.com</v>
      </c>
      <c r="G6466" s="3">
        <f>IFERROR(__xludf.DUMMYFUNCTION("""COMPUTED_VALUE"""),2.896913351E9)</f>
        <v>2896913351</v>
      </c>
      <c r="H6466" s="3"/>
    </row>
    <row r="6467">
      <c r="A6467" s="2">
        <f>IFERROR(__xludf.DUMMYFUNCTION("""COMPUTED_VALUE"""),80293.0)</f>
        <v>80293</v>
      </c>
      <c r="B6467" s="3" t="str">
        <f>IFERROR(__xludf.DUMMYFUNCTION("""COMPUTED_VALUE"""),"1120 COUNTY 27 RD ")</f>
        <v>1120 COUNTY 27 RD </v>
      </c>
      <c r="C6467" s="3" t="str">
        <f>IFERROR(__xludf.DUMMYFUNCTION("""COMPUTED_VALUE"""),"CODRINGTON")</f>
        <v>CODRINGTON</v>
      </c>
      <c r="D6467" s="3" t="str">
        <f>IFERROR(__xludf.DUMMYFUNCTION("""COMPUTED_VALUE"""),"K0K 1R0")</f>
        <v>K0K 1R0</v>
      </c>
      <c r="E6467" s="3"/>
      <c r="F6467" s="3"/>
      <c r="G6467" s="3"/>
      <c r="H6467" s="3"/>
    </row>
    <row r="6468">
      <c r="A6468" s="2">
        <f>IFERROR(__xludf.DUMMYFUNCTION("""COMPUTED_VALUE"""),80294.0)</f>
        <v>80294</v>
      </c>
      <c r="B6468" s="3" t="str">
        <f>IFERROR(__xludf.DUMMYFUNCTION("""COMPUTED_VALUE"""),"1131 COUNTY 27 RD ")</f>
        <v>1131 COUNTY 27 RD </v>
      </c>
      <c r="C6468" s="3" t="str">
        <f>IFERROR(__xludf.DUMMYFUNCTION("""COMPUTED_VALUE"""),"CODRINGTON")</f>
        <v>CODRINGTON</v>
      </c>
      <c r="D6468" s="3" t="str">
        <f>IFERROR(__xludf.DUMMYFUNCTION("""COMPUTED_VALUE"""),"K0K 1R0")</f>
        <v>K0K 1R0</v>
      </c>
      <c r="E6468" s="3"/>
      <c r="F6468" s="3"/>
      <c r="G6468" s="3"/>
      <c r="H6468" s="3"/>
    </row>
    <row r="6469">
      <c r="A6469" s="2">
        <f>IFERROR(__xludf.DUMMYFUNCTION("""COMPUTED_VALUE"""),80295.0)</f>
        <v>80295</v>
      </c>
      <c r="B6469" s="3" t="str">
        <f>IFERROR(__xludf.DUMMYFUNCTION("""COMPUTED_VALUE"""),"1153 COUNTY 27 RD ")</f>
        <v>1153 COUNTY 27 RD </v>
      </c>
      <c r="C6469" s="3" t="str">
        <f>IFERROR(__xludf.DUMMYFUNCTION("""COMPUTED_VALUE"""),"CODRINGTON")</f>
        <v>CODRINGTON</v>
      </c>
      <c r="D6469" s="3" t="str">
        <f>IFERROR(__xludf.DUMMYFUNCTION("""COMPUTED_VALUE"""),"K0K 1R0")</f>
        <v>K0K 1R0</v>
      </c>
      <c r="E6469" s="3"/>
      <c r="F6469" s="3"/>
      <c r="G6469" s="3"/>
      <c r="H6469" s="3"/>
    </row>
    <row r="6470">
      <c r="A6470" s="2">
        <f>IFERROR(__xludf.DUMMYFUNCTION("""COMPUTED_VALUE"""),80296.0)</f>
        <v>80296</v>
      </c>
      <c r="B6470" s="3" t="str">
        <f>IFERROR(__xludf.DUMMYFUNCTION("""COMPUTED_VALUE"""),"1156 COUNTY 27 RD ")</f>
        <v>1156 COUNTY 27 RD </v>
      </c>
      <c r="C6470" s="3" t="str">
        <f>IFERROR(__xludf.DUMMYFUNCTION("""COMPUTED_VALUE"""),"CODRINGTON")</f>
        <v>CODRINGTON</v>
      </c>
      <c r="D6470" s="3" t="str">
        <f>IFERROR(__xludf.DUMMYFUNCTION("""COMPUTED_VALUE"""),"K0K 1R0")</f>
        <v>K0K 1R0</v>
      </c>
      <c r="E6470" s="3" t="str">
        <f>IFERROR(__xludf.DUMMYFUNCTION("""COMPUTED_VALUE"""),"jeff pheriill")</f>
        <v>jeff pheriill</v>
      </c>
      <c r="F6470" s="3" t="str">
        <f>IFERROR(__xludf.DUMMYFUNCTION("""COMPUTED_VALUE"""),"jpherrill@hotmail.com")</f>
        <v>jpherrill@hotmail.com</v>
      </c>
      <c r="G6470" s="3">
        <f>IFERROR(__xludf.DUMMYFUNCTION("""COMPUTED_VALUE"""),4.167793035E9)</f>
        <v>4167793035</v>
      </c>
      <c r="H6470" s="3"/>
    </row>
    <row r="6471">
      <c r="A6471" s="2">
        <f>IFERROR(__xludf.DUMMYFUNCTION("""COMPUTED_VALUE"""),80297.0)</f>
        <v>80297</v>
      </c>
      <c r="B6471" s="3" t="str">
        <f>IFERROR(__xludf.DUMMYFUNCTION("""COMPUTED_VALUE"""),"1176 COUNTY 27 RD ")</f>
        <v>1176 COUNTY 27 RD </v>
      </c>
      <c r="C6471" s="3" t="str">
        <f>IFERROR(__xludf.DUMMYFUNCTION("""COMPUTED_VALUE"""),"CODRINGTON")</f>
        <v>CODRINGTON</v>
      </c>
      <c r="D6471" s="3" t="str">
        <f>IFERROR(__xludf.DUMMYFUNCTION("""COMPUTED_VALUE"""),"K0K 1R0")</f>
        <v>K0K 1R0</v>
      </c>
      <c r="E6471" s="3" t="str">
        <f>IFERROR(__xludf.DUMMYFUNCTION("""COMPUTED_VALUE"""),"mr alan th miller")</f>
        <v>mr alan th miller</v>
      </c>
      <c r="F6471" s="3" t="str">
        <f>IFERROR(__xludf.DUMMYFUNCTION("""COMPUTED_VALUE"""),"firerescue61@gmail.com")</f>
        <v>firerescue61@gmail.com</v>
      </c>
      <c r="G6471" s="3">
        <f>IFERROR(__xludf.DUMMYFUNCTION("""COMPUTED_VALUE"""),9.052425955E9)</f>
        <v>9052425955</v>
      </c>
      <c r="H6471" s="3"/>
    </row>
    <row r="6472">
      <c r="A6472" s="2">
        <f>IFERROR(__xludf.DUMMYFUNCTION("""COMPUTED_VALUE"""),80298.0)</f>
        <v>80298</v>
      </c>
      <c r="B6472" s="3" t="str">
        <f>IFERROR(__xludf.DUMMYFUNCTION("""COMPUTED_VALUE"""),"1238 COUNTY 27 RD ")</f>
        <v>1238 COUNTY 27 RD </v>
      </c>
      <c r="C6472" s="3" t="str">
        <f>IFERROR(__xludf.DUMMYFUNCTION("""COMPUTED_VALUE"""),"CODRINGTON")</f>
        <v>CODRINGTON</v>
      </c>
      <c r="D6472" s="3" t="str">
        <f>IFERROR(__xludf.DUMMYFUNCTION("""COMPUTED_VALUE"""),"K0K 1R0")</f>
        <v>K0K 1R0</v>
      </c>
      <c r="E6472" s="3" t="str">
        <f>IFERROR(__xludf.DUMMYFUNCTION("""COMPUTED_VALUE"""),"Sean Hogan")</f>
        <v>Sean Hogan</v>
      </c>
      <c r="F6472" s="3" t="str">
        <f>IFERROR(__xludf.DUMMYFUNCTION("""COMPUTED_VALUE"""),"seanb3321@gmail.com")</f>
        <v>seanb3321@gmail.com</v>
      </c>
      <c r="G6472" s="3">
        <f>IFERROR(__xludf.DUMMYFUNCTION("""COMPUTED_VALUE"""),9.058090909E9)</f>
        <v>9058090909</v>
      </c>
      <c r="H6472" s="3">
        <f>IFERROR(__xludf.DUMMYFUNCTION("""COMPUTED_VALUE"""),6.479995254E9)</f>
        <v>6479995254</v>
      </c>
    </row>
    <row r="6473">
      <c r="A6473" s="2">
        <f>IFERROR(__xludf.DUMMYFUNCTION("""COMPUTED_VALUE"""),80299.0)</f>
        <v>80299</v>
      </c>
      <c r="B6473" s="3" t="str">
        <f>IFERROR(__xludf.DUMMYFUNCTION("""COMPUTED_VALUE"""),"1243 COUNTY 27 RD ")</f>
        <v>1243 COUNTY 27 RD </v>
      </c>
      <c r="C6473" s="3" t="str">
        <f>IFERROR(__xludf.DUMMYFUNCTION("""COMPUTED_VALUE"""),"CODRINGTON")</f>
        <v>CODRINGTON</v>
      </c>
      <c r="D6473" s="3" t="str">
        <f>IFERROR(__xludf.DUMMYFUNCTION("""COMPUTED_VALUE"""),"K0K 1R0")</f>
        <v>K0K 1R0</v>
      </c>
      <c r="E6473" s="3"/>
      <c r="F6473" s="3"/>
      <c r="G6473" s="3"/>
      <c r="H6473" s="3"/>
    </row>
    <row r="6474">
      <c r="A6474" s="2">
        <f>IFERROR(__xludf.DUMMYFUNCTION("""COMPUTED_VALUE"""),80300.0)</f>
        <v>80300</v>
      </c>
      <c r="B6474" s="3" t="str">
        <f>IFERROR(__xludf.DUMMYFUNCTION("""COMPUTED_VALUE"""),"1256 COUNTY 27 RD ")</f>
        <v>1256 COUNTY 27 RD </v>
      </c>
      <c r="C6474" s="3" t="str">
        <f>IFERROR(__xludf.DUMMYFUNCTION("""COMPUTED_VALUE"""),"CODRINGTON")</f>
        <v>CODRINGTON</v>
      </c>
      <c r="D6474" s="3" t="str">
        <f>IFERROR(__xludf.DUMMYFUNCTION("""COMPUTED_VALUE"""),"K0K 1R0")</f>
        <v>K0K 1R0</v>
      </c>
      <c r="E6474" s="3"/>
      <c r="F6474" s="3"/>
      <c r="G6474" s="3"/>
      <c r="H6474" s="3"/>
    </row>
    <row r="6475">
      <c r="A6475" s="2">
        <f>IFERROR(__xludf.DUMMYFUNCTION("""COMPUTED_VALUE"""),80279.0)</f>
        <v>80279</v>
      </c>
      <c r="B6475" s="3" t="str">
        <f>IFERROR(__xludf.DUMMYFUNCTION("""COMPUTED_VALUE"""),"649 COUNTY 27 RD ")</f>
        <v>649 COUNTY 27 RD </v>
      </c>
      <c r="C6475" s="3" t="str">
        <f>IFERROR(__xludf.DUMMYFUNCTION("""COMPUTED_VALUE"""),"CASTLETON")</f>
        <v>CASTLETON</v>
      </c>
      <c r="D6475" s="3" t="str">
        <f>IFERROR(__xludf.DUMMYFUNCTION("""COMPUTED_VALUE"""),"K0K 1M0")</f>
        <v>K0K 1M0</v>
      </c>
      <c r="E6475" s="3"/>
      <c r="F6475" s="3"/>
      <c r="G6475" s="3"/>
      <c r="H6475" s="3"/>
    </row>
    <row r="6476">
      <c r="A6476" s="2">
        <f>IFERROR(__xludf.DUMMYFUNCTION("""COMPUTED_VALUE"""),80280.0)</f>
        <v>80280</v>
      </c>
      <c r="B6476" s="3" t="str">
        <f>IFERROR(__xludf.DUMMYFUNCTION("""COMPUTED_VALUE"""),"668 COUNTY 27 RD ")</f>
        <v>668 COUNTY 27 RD </v>
      </c>
      <c r="C6476" s="3" t="str">
        <f>IFERROR(__xludf.DUMMYFUNCTION("""COMPUTED_VALUE"""),"CASTLETON")</f>
        <v>CASTLETON</v>
      </c>
      <c r="D6476" s="3" t="str">
        <f>IFERROR(__xludf.DUMMYFUNCTION("""COMPUTED_VALUE"""),"K0K 1M0")</f>
        <v>K0K 1M0</v>
      </c>
      <c r="E6476" s="3" t="str">
        <f>IFERROR(__xludf.DUMMYFUNCTION("""COMPUTED_VALUE"""),"sara and adam rayner")</f>
        <v>sara and adam rayner</v>
      </c>
      <c r="F6476" s="3" t="str">
        <f>IFERROR(__xludf.DUMMYFUNCTION("""COMPUTED_VALUE"""),"raynerranch101@gmai.com")</f>
        <v>raynerranch101@gmai.com</v>
      </c>
      <c r="G6476" s="3">
        <f>IFERROR(__xludf.DUMMYFUNCTION("""COMPUTED_VALUE"""),7.059772322E9)</f>
        <v>7059772322</v>
      </c>
      <c r="H6476" s="3">
        <f>IFERROR(__xludf.DUMMYFUNCTION("""COMPUTED_VALUE"""),2.898291981E9)</f>
        <v>2898291981</v>
      </c>
    </row>
    <row r="6477">
      <c r="A6477" s="2">
        <f>IFERROR(__xludf.DUMMYFUNCTION("""COMPUTED_VALUE"""),80281.0)</f>
        <v>80281</v>
      </c>
      <c r="B6477" s="3" t="str">
        <f>IFERROR(__xludf.DUMMYFUNCTION("""COMPUTED_VALUE"""),"737 COUNTY 27 RD ")</f>
        <v>737 COUNTY 27 RD </v>
      </c>
      <c r="C6477" s="3" t="str">
        <f>IFERROR(__xludf.DUMMYFUNCTION("""COMPUTED_VALUE"""),"CASTLETON")</f>
        <v>CASTLETON</v>
      </c>
      <c r="D6477" s="3" t="str">
        <f>IFERROR(__xludf.DUMMYFUNCTION("""COMPUTED_VALUE"""),"K0K 1M0")</f>
        <v>K0K 1M0</v>
      </c>
      <c r="E6477" s="3"/>
      <c r="F6477" s="3"/>
      <c r="G6477" s="3"/>
      <c r="H6477" s="3"/>
    </row>
    <row r="6478">
      <c r="A6478" s="2">
        <f>IFERROR(__xludf.DUMMYFUNCTION("""COMPUTED_VALUE"""),80282.0)</f>
        <v>80282</v>
      </c>
      <c r="B6478" s="3" t="str">
        <f>IFERROR(__xludf.DUMMYFUNCTION("""COMPUTED_VALUE"""),"830 COUNTY 27 RD ")</f>
        <v>830 COUNTY 27 RD </v>
      </c>
      <c r="C6478" s="3" t="str">
        <f>IFERROR(__xludf.DUMMYFUNCTION("""COMPUTED_VALUE"""),"CODRINGTON")</f>
        <v>CODRINGTON</v>
      </c>
      <c r="D6478" s="3" t="str">
        <f>IFERROR(__xludf.DUMMYFUNCTION("""COMPUTED_VALUE"""),"K0K 1R0")</f>
        <v>K0K 1R0</v>
      </c>
      <c r="E6478" s="3"/>
      <c r="F6478" s="3"/>
      <c r="G6478" s="3"/>
      <c r="H6478" s="3"/>
    </row>
    <row r="6479">
      <c r="A6479" s="2">
        <f>IFERROR(__xludf.DUMMYFUNCTION("""COMPUTED_VALUE"""),80283.0)</f>
        <v>80283</v>
      </c>
      <c r="B6479" s="3" t="str">
        <f>IFERROR(__xludf.DUMMYFUNCTION("""COMPUTED_VALUE"""),"845 COUNTY 27 RD ")</f>
        <v>845 COUNTY 27 RD </v>
      </c>
      <c r="C6479" s="3" t="str">
        <f>IFERROR(__xludf.DUMMYFUNCTION("""COMPUTED_VALUE"""),"CODRINGTON")</f>
        <v>CODRINGTON</v>
      </c>
      <c r="D6479" s="3" t="str">
        <f>IFERROR(__xludf.DUMMYFUNCTION("""COMPUTED_VALUE"""),"K0K 1R0")</f>
        <v>K0K 1R0</v>
      </c>
      <c r="E6479" s="3" t="str">
        <f>IFERROR(__xludf.DUMMYFUNCTION("""COMPUTED_VALUE"""),"martha schuster")</f>
        <v>martha schuster</v>
      </c>
      <c r="F6479" s="3"/>
      <c r="G6479" s="3">
        <f>IFERROR(__xludf.DUMMYFUNCTION("""COMPUTED_VALUE"""),6.134751142E9)</f>
        <v>6134751142</v>
      </c>
      <c r="H6479" s="3">
        <f>IFERROR(__xludf.DUMMYFUNCTION("""COMPUTED_VALUE"""),6.133912323E9)</f>
        <v>6133912323</v>
      </c>
    </row>
    <row r="6480">
      <c r="A6480" s="2">
        <f>IFERROR(__xludf.DUMMYFUNCTION("""COMPUTED_VALUE"""),80284.0)</f>
        <v>80284</v>
      </c>
      <c r="B6480" s="3" t="str">
        <f>IFERROR(__xludf.DUMMYFUNCTION("""COMPUTED_VALUE"""),"923 COUNTY 27 RD ")</f>
        <v>923 COUNTY 27 RD </v>
      </c>
      <c r="C6480" s="3" t="str">
        <f>IFERROR(__xludf.DUMMYFUNCTION("""COMPUTED_VALUE"""),"CODRINGTON")</f>
        <v>CODRINGTON</v>
      </c>
      <c r="D6480" s="3" t="str">
        <f>IFERROR(__xludf.DUMMYFUNCTION("""COMPUTED_VALUE"""),"K0K 1R0")</f>
        <v>K0K 1R0</v>
      </c>
      <c r="E6480" s="3" t="str">
        <f>IFERROR(__xludf.DUMMYFUNCTION("""COMPUTED_VALUE"""),"RYAN BILTON")</f>
        <v>RYAN BILTON</v>
      </c>
      <c r="F6480" s="3" t="str">
        <f>IFERROR(__xludf.DUMMYFUNCTION("""COMPUTED_VALUE"""),"biltonryan@gmail.com")</f>
        <v>biltonryan@gmail.com</v>
      </c>
      <c r="G6480" s="3"/>
      <c r="H6480" s="3"/>
    </row>
    <row r="6481">
      <c r="A6481" s="2">
        <f>IFERROR(__xludf.DUMMYFUNCTION("""COMPUTED_VALUE"""),80285.0)</f>
        <v>80285</v>
      </c>
      <c r="B6481" s="3" t="str">
        <f>IFERROR(__xludf.DUMMYFUNCTION("""COMPUTED_VALUE"""),"951 COUNTY 27 RD ")</f>
        <v>951 COUNTY 27 RD </v>
      </c>
      <c r="C6481" s="3" t="str">
        <f>IFERROR(__xludf.DUMMYFUNCTION("""COMPUTED_VALUE"""),"CODRINGTON")</f>
        <v>CODRINGTON</v>
      </c>
      <c r="D6481" s="3" t="str">
        <f>IFERROR(__xludf.DUMMYFUNCTION("""COMPUTED_VALUE"""),"K0K 1R0")</f>
        <v>K0K 1R0</v>
      </c>
      <c r="E6481" s="3" t="str">
        <f>IFERROR(__xludf.DUMMYFUNCTION("""COMPUTED_VALUE"""),"walter austin ")</f>
        <v>walter austin </v>
      </c>
      <c r="F6481" s="3"/>
      <c r="G6481" s="3">
        <f>IFERROR(__xludf.DUMMYFUNCTION("""COMPUTED_VALUE"""),6.134381163E9)</f>
        <v>6134381163</v>
      </c>
      <c r="H6481" s="3"/>
    </row>
    <row r="6482">
      <c r="A6482" s="2">
        <f>IFERROR(__xludf.DUMMYFUNCTION("""COMPUTED_VALUE"""),80286.0)</f>
        <v>80286</v>
      </c>
      <c r="B6482" s="3" t="str">
        <f>IFERROR(__xludf.DUMMYFUNCTION("""COMPUTED_VALUE"""),"973 COUNTY 27 RD ")</f>
        <v>973 COUNTY 27 RD </v>
      </c>
      <c r="C6482" s="3" t="str">
        <f>IFERROR(__xludf.DUMMYFUNCTION("""COMPUTED_VALUE"""),"CODRINGTON")</f>
        <v>CODRINGTON</v>
      </c>
      <c r="D6482" s="3" t="str">
        <f>IFERROR(__xludf.DUMMYFUNCTION("""COMPUTED_VALUE"""),"K0K 1R0")</f>
        <v>K0K 1R0</v>
      </c>
      <c r="E6482" s="3"/>
      <c r="F6482" s="3"/>
      <c r="G6482" s="3"/>
      <c r="H6482" s="3"/>
    </row>
    <row r="6483">
      <c r="A6483" s="2">
        <f>IFERROR(__xludf.DUMMYFUNCTION("""COMPUTED_VALUE"""),80287.0)</f>
        <v>80287</v>
      </c>
      <c r="B6483" s="3" t="str">
        <f>IFERROR(__xludf.DUMMYFUNCTION("""COMPUTED_VALUE"""),"976 COUNTY 27 RD ")</f>
        <v>976 COUNTY 27 RD </v>
      </c>
      <c r="C6483" s="3" t="str">
        <f>IFERROR(__xludf.DUMMYFUNCTION("""COMPUTED_VALUE"""),"CODRINGTON")</f>
        <v>CODRINGTON</v>
      </c>
      <c r="D6483" s="3" t="str">
        <f>IFERROR(__xludf.DUMMYFUNCTION("""COMPUTED_VALUE"""),"K0K 1R0")</f>
        <v>K0K 1R0</v>
      </c>
      <c r="E6483" s="3" t="str">
        <f>IFERROR(__xludf.DUMMYFUNCTION("""COMPUTED_VALUE"""),"angus francis")</f>
        <v>angus francis</v>
      </c>
      <c r="F6483" s="3" t="str">
        <f>IFERROR(__xludf.DUMMYFUNCTION("""COMPUTED_VALUE"""),"angusfrancis123@gmail.com")</f>
        <v>angusfrancis123@gmail.com</v>
      </c>
      <c r="G6483" s="3">
        <f>IFERROR(__xludf.DUMMYFUNCTION("""COMPUTED_VALUE"""),3.438891177E9)</f>
        <v>3438891177</v>
      </c>
      <c r="H6483" s="3"/>
    </row>
    <row r="6484">
      <c r="A6484" s="2">
        <f>IFERROR(__xludf.DUMMYFUNCTION("""COMPUTED_VALUE"""),80288.0)</f>
        <v>80288</v>
      </c>
      <c r="B6484" s="3" t="str">
        <f>IFERROR(__xludf.DUMMYFUNCTION("""COMPUTED_VALUE"""),"985 COUNTY 27 RD ")</f>
        <v>985 COUNTY 27 RD </v>
      </c>
      <c r="C6484" s="3" t="str">
        <f>IFERROR(__xludf.DUMMYFUNCTION("""COMPUTED_VALUE"""),"CODRINGTON")</f>
        <v>CODRINGTON</v>
      </c>
      <c r="D6484" s="3" t="str">
        <f>IFERROR(__xludf.DUMMYFUNCTION("""COMPUTED_VALUE"""),"K0K 1R0")</f>
        <v>K0K 1R0</v>
      </c>
      <c r="E6484" s="3"/>
      <c r="F6484" s="3"/>
      <c r="G6484" s="3"/>
      <c r="H6484" s="3"/>
    </row>
    <row r="6485">
      <c r="A6485" s="2">
        <f>IFERROR(__xludf.DUMMYFUNCTION("""COMPUTED_VALUE"""),80302.0)</f>
        <v>80302</v>
      </c>
      <c r="B6485" s="3" t="str">
        <f>IFERROR(__xludf.DUMMYFUNCTION("""COMPUTED_VALUE"""),"1020 COUNTY 30 RD ")</f>
        <v>1020 COUNTY 30 RD </v>
      </c>
      <c r="C6485" s="3" t="str">
        <f>IFERROR(__xludf.DUMMYFUNCTION("""COMPUTED_VALUE"""),"BRIGHTON")</f>
        <v>BRIGHTON</v>
      </c>
      <c r="D6485" s="3" t="str">
        <f>IFERROR(__xludf.DUMMYFUNCTION("""COMPUTED_VALUE"""),"K0K 1H0")</f>
        <v>K0K 1H0</v>
      </c>
      <c r="E6485" s="3" t="str">
        <f>IFERROR(__xludf.DUMMYFUNCTION("""COMPUTED_VALUE"""),"Krista Chapman")</f>
        <v>Krista Chapman</v>
      </c>
      <c r="F6485" s="3" t="str">
        <f>IFERROR(__xludf.DUMMYFUNCTION("""COMPUTED_VALUE"""),"chapmanauto2@gmail.com")</f>
        <v>chapmanauto2@gmail.com</v>
      </c>
      <c r="G6485" s="3"/>
      <c r="H6485" s="3"/>
    </row>
    <row r="6486">
      <c r="A6486" s="2">
        <f>IFERROR(__xludf.DUMMYFUNCTION("""COMPUTED_VALUE"""),80303.0)</f>
        <v>80303</v>
      </c>
      <c r="B6486" s="3" t="str">
        <f>IFERROR(__xludf.DUMMYFUNCTION("""COMPUTED_VALUE"""),"1033 COUNTY 30 RD ")</f>
        <v>1033 COUNTY 30 RD </v>
      </c>
      <c r="C6486" s="3" t="str">
        <f>IFERROR(__xludf.DUMMYFUNCTION("""COMPUTED_VALUE"""),"BRIGHTON")</f>
        <v>BRIGHTON</v>
      </c>
      <c r="D6486" s="3" t="str">
        <f>IFERROR(__xludf.DUMMYFUNCTION("""COMPUTED_VALUE"""),"K0K 1H0")</f>
        <v>K0K 1H0</v>
      </c>
      <c r="E6486" s="3"/>
      <c r="F6486" s="3"/>
      <c r="G6486" s="3"/>
      <c r="H6486" s="3"/>
    </row>
    <row r="6487">
      <c r="A6487" s="2">
        <f>IFERROR(__xludf.DUMMYFUNCTION("""COMPUTED_VALUE"""),80304.0)</f>
        <v>80304</v>
      </c>
      <c r="B6487" s="3" t="str">
        <f>IFERROR(__xludf.DUMMYFUNCTION("""COMPUTED_VALUE"""),"1052 COUNTY 30 RD ")</f>
        <v>1052 COUNTY 30 RD </v>
      </c>
      <c r="C6487" s="3" t="str">
        <f>IFERROR(__xludf.DUMMYFUNCTION("""COMPUTED_VALUE"""),"BRIGHTON")</f>
        <v>BRIGHTON</v>
      </c>
      <c r="D6487" s="3" t="str">
        <f>IFERROR(__xludf.DUMMYFUNCTION("""COMPUTED_VALUE"""),"K0K 1H0")</f>
        <v>K0K 1H0</v>
      </c>
      <c r="E6487" s="3" t="str">
        <f>IFERROR(__xludf.DUMMYFUNCTION("""COMPUTED_VALUE"""),"terry cassan")</f>
        <v>terry cassan</v>
      </c>
      <c r="F6487" s="3"/>
      <c r="G6487" s="3">
        <f>IFERROR(__xludf.DUMMYFUNCTION("""COMPUTED_VALUE"""),6.138481501E9)</f>
        <v>6138481501</v>
      </c>
      <c r="H6487" s="3"/>
    </row>
    <row r="6488">
      <c r="A6488" s="2">
        <f>IFERROR(__xludf.DUMMYFUNCTION("""COMPUTED_VALUE"""),80305.0)</f>
        <v>80305</v>
      </c>
      <c r="B6488" s="3" t="str">
        <f>IFERROR(__xludf.DUMMYFUNCTION("""COMPUTED_VALUE"""),"1059 COUNTY 30 RD ")</f>
        <v>1059 COUNTY 30 RD </v>
      </c>
      <c r="C6488" s="3" t="str">
        <f>IFERROR(__xludf.DUMMYFUNCTION("""COMPUTED_VALUE"""),"BRIGHTON")</f>
        <v>BRIGHTON</v>
      </c>
      <c r="D6488" s="3" t="str">
        <f>IFERROR(__xludf.DUMMYFUNCTION("""COMPUTED_VALUE"""),"K0K 1H0")</f>
        <v>K0K 1H0</v>
      </c>
      <c r="E6488" s="3"/>
      <c r="F6488" s="3"/>
      <c r="G6488" s="3"/>
      <c r="H6488" s="3"/>
    </row>
    <row r="6489">
      <c r="A6489" s="2">
        <f>IFERROR(__xludf.DUMMYFUNCTION("""COMPUTED_VALUE"""),80306.0)</f>
        <v>80306</v>
      </c>
      <c r="B6489" s="3" t="str">
        <f>IFERROR(__xludf.DUMMYFUNCTION("""COMPUTED_VALUE"""),"1074 COUNTY 30 RD ")</f>
        <v>1074 COUNTY 30 RD </v>
      </c>
      <c r="C6489" s="3" t="str">
        <f>IFERROR(__xludf.DUMMYFUNCTION("""COMPUTED_VALUE"""),"BRIGHTON")</f>
        <v>BRIGHTON</v>
      </c>
      <c r="D6489" s="3" t="str">
        <f>IFERROR(__xludf.DUMMYFUNCTION("""COMPUTED_VALUE"""),"K0K 1H0")</f>
        <v>K0K 1H0</v>
      </c>
      <c r="E6489" s="3" t="str">
        <f>IFERROR(__xludf.DUMMYFUNCTION("""COMPUTED_VALUE"""),"Taylor Hunter")</f>
        <v>Taylor Hunter</v>
      </c>
      <c r="F6489" s="3" t="str">
        <f>IFERROR(__xludf.DUMMYFUNCTION("""COMPUTED_VALUE"""),"taylor_faith_hunter@hotmail.com")</f>
        <v>taylor_faith_hunter@hotmail.com</v>
      </c>
      <c r="G6489" s="3">
        <f>IFERROR(__xludf.DUMMYFUNCTION("""COMPUTED_VALUE"""),9.059244474E9)</f>
        <v>9059244474</v>
      </c>
      <c r="H6489" s="3"/>
    </row>
    <row r="6490">
      <c r="A6490" s="2">
        <f>IFERROR(__xludf.DUMMYFUNCTION("""COMPUTED_VALUE"""),80307.0)</f>
        <v>80307</v>
      </c>
      <c r="B6490" s="3" t="str">
        <f>IFERROR(__xludf.DUMMYFUNCTION("""COMPUTED_VALUE"""),"1080 COUNTY 30 RD ")</f>
        <v>1080 COUNTY 30 RD </v>
      </c>
      <c r="C6490" s="3" t="str">
        <f>IFERROR(__xludf.DUMMYFUNCTION("""COMPUTED_VALUE"""),"BRIGHTON")</f>
        <v>BRIGHTON</v>
      </c>
      <c r="D6490" s="3" t="str">
        <f>IFERROR(__xludf.DUMMYFUNCTION("""COMPUTED_VALUE"""),"K0K 1H0")</f>
        <v>K0K 1H0</v>
      </c>
      <c r="E6490" s="3" t="str">
        <f>IFERROR(__xludf.DUMMYFUNCTION("""COMPUTED_VALUE"""),"Erika Mutton")</f>
        <v>Erika Mutton</v>
      </c>
      <c r="F6490" s="3" t="str">
        <f>IFERROR(__xludf.DUMMYFUNCTION("""COMPUTED_VALUE"""),"ekka_grrl@hotmail.com")</f>
        <v>ekka_grrl@hotmail.com</v>
      </c>
      <c r="G6490" s="3">
        <f>IFERROR(__xludf.DUMMYFUNCTION("""COMPUTED_VALUE"""),6.139226329E9)</f>
        <v>6139226329</v>
      </c>
      <c r="H6490" s="3"/>
    </row>
    <row r="6491">
      <c r="A6491" s="2">
        <f>IFERROR(__xludf.DUMMYFUNCTION("""COMPUTED_VALUE"""),80308.0)</f>
        <v>80308</v>
      </c>
      <c r="B6491" s="3" t="str">
        <f>IFERROR(__xludf.DUMMYFUNCTION("""COMPUTED_VALUE"""),"1161 COUNTY 30 RD ")</f>
        <v>1161 COUNTY 30 RD </v>
      </c>
      <c r="C6491" s="3" t="str">
        <f>IFERROR(__xludf.DUMMYFUNCTION("""COMPUTED_VALUE"""),"BRIGHTON")</f>
        <v>BRIGHTON</v>
      </c>
      <c r="D6491" s="3" t="str">
        <f>IFERROR(__xludf.DUMMYFUNCTION("""COMPUTED_VALUE"""),"K0K 1H0")</f>
        <v>K0K 1H0</v>
      </c>
      <c r="E6491" s="3"/>
      <c r="F6491" s="3"/>
      <c r="G6491" s="3"/>
      <c r="H6491" s="3"/>
    </row>
    <row r="6492">
      <c r="A6492" s="2">
        <f>IFERROR(__xludf.DUMMYFUNCTION("""COMPUTED_VALUE"""),80309.0)</f>
        <v>80309</v>
      </c>
      <c r="B6492" s="3" t="str">
        <f>IFERROR(__xludf.DUMMYFUNCTION("""COMPUTED_VALUE"""),"1178 COUNTY 30 RD ")</f>
        <v>1178 COUNTY 30 RD </v>
      </c>
      <c r="C6492" s="3" t="str">
        <f>IFERROR(__xludf.DUMMYFUNCTION("""COMPUTED_VALUE"""),"BRIGHTON")</f>
        <v>BRIGHTON</v>
      </c>
      <c r="D6492" s="3" t="str">
        <f>IFERROR(__xludf.DUMMYFUNCTION("""COMPUTED_VALUE"""),"K0K 1H0")</f>
        <v>K0K 1H0</v>
      </c>
      <c r="E6492" s="3" t="str">
        <f>IFERROR(__xludf.DUMMYFUNCTION("""COMPUTED_VALUE"""),"Sarah Partridge")</f>
        <v>Sarah Partridge</v>
      </c>
      <c r="F6492" s="3" t="str">
        <f>IFERROR(__xludf.DUMMYFUNCTION("""COMPUTED_VALUE"""),"spartridge@hotmail.com")</f>
        <v>spartridge@hotmail.com</v>
      </c>
      <c r="G6492" s="3">
        <f>IFERROR(__xludf.DUMMYFUNCTION("""COMPUTED_VALUE"""),2.898292012E9)</f>
        <v>2898292012</v>
      </c>
      <c r="H6492" s="3"/>
    </row>
    <row r="6493">
      <c r="A6493" s="2">
        <f>IFERROR(__xludf.DUMMYFUNCTION("""COMPUTED_VALUE"""),80310.0)</f>
        <v>80310</v>
      </c>
      <c r="B6493" s="3" t="str">
        <f>IFERROR(__xludf.DUMMYFUNCTION("""COMPUTED_VALUE"""),"1206 COUNTY 30 RD ")</f>
        <v>1206 COUNTY 30 RD </v>
      </c>
      <c r="C6493" s="3" t="str">
        <f>IFERROR(__xludf.DUMMYFUNCTION("""COMPUTED_VALUE"""),"BRIGHTON")</f>
        <v>BRIGHTON</v>
      </c>
      <c r="D6493" s="3" t="str">
        <f>IFERROR(__xludf.DUMMYFUNCTION("""COMPUTED_VALUE"""),"K0K 1H0")</f>
        <v>K0K 1H0</v>
      </c>
      <c r="E6493" s="3" t="str">
        <f>IFERROR(__xludf.DUMMYFUNCTION("""COMPUTED_VALUE"""),"tisa vine ")</f>
        <v>tisa vine </v>
      </c>
      <c r="F6493" s="3" t="str">
        <f>IFERROR(__xludf.DUMMYFUNCTION("""COMPUTED_VALUE"""),"tisa.vine@gmail.com")</f>
        <v>tisa.vine@gmail.com</v>
      </c>
      <c r="G6493" s="3">
        <f>IFERROR(__xludf.DUMMYFUNCTION("""COMPUTED_VALUE"""),2.893873093E9)</f>
        <v>2893873093</v>
      </c>
      <c r="H6493" s="3"/>
    </row>
    <row r="6494">
      <c r="A6494" s="2">
        <f>IFERROR(__xludf.DUMMYFUNCTION("""COMPUTED_VALUE"""),80311.0)</f>
        <v>80311</v>
      </c>
      <c r="B6494" s="3" t="str">
        <f>IFERROR(__xludf.DUMMYFUNCTION("""COMPUTED_VALUE"""),"1208 COUNTY 30 RD ")</f>
        <v>1208 COUNTY 30 RD </v>
      </c>
      <c r="C6494" s="3" t="str">
        <f>IFERROR(__xludf.DUMMYFUNCTION("""COMPUTED_VALUE"""),"BRIGHTON")</f>
        <v>BRIGHTON</v>
      </c>
      <c r="D6494" s="3" t="str">
        <f>IFERROR(__xludf.DUMMYFUNCTION("""COMPUTED_VALUE"""),"K0K 1H0")</f>
        <v>K0K 1H0</v>
      </c>
      <c r="E6494" s="3" t="str">
        <f>IFERROR(__xludf.DUMMYFUNCTION("""COMPUTED_VALUE"""),"sirpa Green")</f>
        <v>sirpa Green</v>
      </c>
      <c r="F6494" s="3" t="str">
        <f>IFERROR(__xludf.DUMMYFUNCTION("""COMPUTED_VALUE"""),"sirpa28@gmail.com")</f>
        <v>sirpa28@gmail.com</v>
      </c>
      <c r="G6494" s="3">
        <f>IFERROR(__xludf.DUMMYFUNCTION("""COMPUTED_VALUE"""),4.16786379E9)</f>
        <v>4167863790</v>
      </c>
      <c r="H6494" s="3"/>
    </row>
    <row r="6495">
      <c r="A6495" s="2">
        <f>IFERROR(__xludf.DUMMYFUNCTION("""COMPUTED_VALUE"""),80312.0)</f>
        <v>80312</v>
      </c>
      <c r="B6495" s="3" t="str">
        <f>IFERROR(__xludf.DUMMYFUNCTION("""COMPUTED_VALUE"""),"1260 COUNTY 30 RD ")</f>
        <v>1260 COUNTY 30 RD </v>
      </c>
      <c r="C6495" s="3" t="str">
        <f>IFERROR(__xludf.DUMMYFUNCTION("""COMPUTED_VALUE"""),"BRIGHTON")</f>
        <v>BRIGHTON</v>
      </c>
      <c r="D6495" s="3" t="str">
        <f>IFERROR(__xludf.DUMMYFUNCTION("""COMPUTED_VALUE"""),"K0K 1H0")</f>
        <v>K0K 1H0</v>
      </c>
      <c r="E6495" s="3" t="str">
        <f>IFERROR(__xludf.DUMMYFUNCTION("""COMPUTED_VALUE"""),"Pat Heath")</f>
        <v>Pat Heath</v>
      </c>
      <c r="F6495" s="3" t="str">
        <f>IFERROR(__xludf.DUMMYFUNCTION("""COMPUTED_VALUE"""),"leavememailhere@gmail.com")</f>
        <v>leavememailhere@gmail.com</v>
      </c>
      <c r="G6495" s="3">
        <f>IFERROR(__xludf.DUMMYFUNCTION("""COMPUTED_VALUE"""),6.139218603E9)</f>
        <v>6139218603</v>
      </c>
      <c r="H6495" s="3"/>
    </row>
    <row r="6496">
      <c r="A6496" s="2">
        <f>IFERROR(__xludf.DUMMYFUNCTION("""COMPUTED_VALUE"""),80313.0)</f>
        <v>80313</v>
      </c>
      <c r="B6496" s="3" t="str">
        <f>IFERROR(__xludf.DUMMYFUNCTION("""COMPUTED_VALUE"""),"1279 COUNTY 30 RD ")</f>
        <v>1279 COUNTY 30 RD </v>
      </c>
      <c r="C6496" s="3" t="str">
        <f>IFERROR(__xludf.DUMMYFUNCTION("""COMPUTED_VALUE"""),"BRIGHTON")</f>
        <v>BRIGHTON</v>
      </c>
      <c r="D6496" s="3" t="str">
        <f>IFERROR(__xludf.DUMMYFUNCTION("""COMPUTED_VALUE"""),"K0K 1H0")</f>
        <v>K0K 1H0</v>
      </c>
      <c r="E6496" s="3" t="str">
        <f>IFERROR(__xludf.DUMMYFUNCTION("""COMPUTED_VALUE"""),"Douglas Borton")</f>
        <v>Douglas Borton</v>
      </c>
      <c r="F6496" s="3" t="str">
        <f>IFERROR(__xludf.DUMMYFUNCTION("""COMPUTED_VALUE"""),"borton.doug@yahoo.com")</f>
        <v>borton.doug@yahoo.com</v>
      </c>
      <c r="G6496" s="3">
        <f>IFERROR(__xludf.DUMMYFUNCTION("""COMPUTED_VALUE"""),6.138483441E9)</f>
        <v>6138483441</v>
      </c>
      <c r="H6496" s="3"/>
    </row>
    <row r="6497">
      <c r="A6497" s="2">
        <f>IFERROR(__xludf.DUMMYFUNCTION("""COMPUTED_VALUE"""),80314.0)</f>
        <v>80314</v>
      </c>
      <c r="B6497" s="3" t="str">
        <f>IFERROR(__xludf.DUMMYFUNCTION("""COMPUTED_VALUE"""),"1301 COUNTY 30 RD ")</f>
        <v>1301 COUNTY 30 RD </v>
      </c>
      <c r="C6497" s="3" t="str">
        <f>IFERROR(__xludf.DUMMYFUNCTION("""COMPUTED_VALUE"""),"BRIGHTON")</f>
        <v>BRIGHTON</v>
      </c>
      <c r="D6497" s="3" t="str">
        <f>IFERROR(__xludf.DUMMYFUNCTION("""COMPUTED_VALUE"""),"K0K 1H0")</f>
        <v>K0K 1H0</v>
      </c>
      <c r="E6497" s="3"/>
      <c r="F6497" s="3"/>
      <c r="G6497" s="3"/>
      <c r="H6497" s="3"/>
    </row>
    <row r="6498">
      <c r="A6498" s="2">
        <f>IFERROR(__xludf.DUMMYFUNCTION("""COMPUTED_VALUE"""),80315.0)</f>
        <v>80315</v>
      </c>
      <c r="B6498" s="3" t="str">
        <f>IFERROR(__xludf.DUMMYFUNCTION("""COMPUTED_VALUE"""),"1562 COUNTY 30 RD ")</f>
        <v>1562 COUNTY 30 RD </v>
      </c>
      <c r="C6498" s="3" t="str">
        <f>IFERROR(__xludf.DUMMYFUNCTION("""COMPUTED_VALUE"""),"BRIGHTON")</f>
        <v>BRIGHTON</v>
      </c>
      <c r="D6498" s="3" t="str">
        <f>IFERROR(__xludf.DUMMYFUNCTION("""COMPUTED_VALUE"""),"K0K 1H0")</f>
        <v>K0K 1H0</v>
      </c>
      <c r="E6498" s="3" t="str">
        <f>IFERROR(__xludf.DUMMYFUNCTION("""COMPUTED_VALUE"""),"steph gagnon")</f>
        <v>steph gagnon</v>
      </c>
      <c r="F6498" s="3" t="str">
        <f>IFERROR(__xludf.DUMMYFUNCTION("""COMPUTED_VALUE"""),"stephtheengineer@gmail.com")</f>
        <v>stephtheengineer@gmail.com</v>
      </c>
      <c r="G6498" s="3">
        <f>IFERROR(__xludf.DUMMYFUNCTION("""COMPUTED_VALUE"""),6.477020263E9)</f>
        <v>6477020263</v>
      </c>
      <c r="H6498" s="3"/>
    </row>
    <row r="6499">
      <c r="A6499" s="2">
        <f>IFERROR(__xludf.DUMMYFUNCTION("""COMPUTED_VALUE"""),80316.0)</f>
        <v>80316</v>
      </c>
      <c r="B6499" s="3" t="str">
        <f>IFERROR(__xludf.DUMMYFUNCTION("""COMPUTED_VALUE"""),"1621 COUNTY 30 RD ")</f>
        <v>1621 COUNTY 30 RD </v>
      </c>
      <c r="C6499" s="3" t="str">
        <f>IFERROR(__xludf.DUMMYFUNCTION("""COMPUTED_VALUE"""),"BRIGHTON")</f>
        <v>BRIGHTON</v>
      </c>
      <c r="D6499" s="3" t="str">
        <f>IFERROR(__xludf.DUMMYFUNCTION("""COMPUTED_VALUE"""),"K0K 1H0")</f>
        <v>K0K 1H0</v>
      </c>
      <c r="E6499" s="3"/>
      <c r="F6499" s="3"/>
      <c r="G6499" s="3"/>
      <c r="H6499" s="3"/>
    </row>
    <row r="6500">
      <c r="A6500" s="2">
        <f>IFERROR(__xludf.DUMMYFUNCTION("""COMPUTED_VALUE"""),80317.0)</f>
        <v>80317</v>
      </c>
      <c r="B6500" s="3" t="str">
        <f>IFERROR(__xludf.DUMMYFUNCTION("""COMPUTED_VALUE"""),"1622 COUNTY 30 RD ")</f>
        <v>1622 COUNTY 30 RD </v>
      </c>
      <c r="C6500" s="3" t="str">
        <f>IFERROR(__xludf.DUMMYFUNCTION("""COMPUTED_VALUE"""),"BRIGHTON")</f>
        <v>BRIGHTON</v>
      </c>
      <c r="D6500" s="3" t="str">
        <f>IFERROR(__xludf.DUMMYFUNCTION("""COMPUTED_VALUE"""),"K0K 1H0")</f>
        <v>K0K 1H0</v>
      </c>
      <c r="E6500" s="3" t="str">
        <f>IFERROR(__xludf.DUMMYFUNCTION("""COMPUTED_VALUE"""),"Judy Metcalf")</f>
        <v>Judy Metcalf</v>
      </c>
      <c r="F6500" s="3" t="str">
        <f>IFERROR(__xludf.DUMMYFUNCTION("""COMPUTED_VALUE"""),"judyshobby@gmail.com")</f>
        <v>judyshobby@gmail.com</v>
      </c>
      <c r="G6500" s="3"/>
      <c r="H6500" s="3"/>
    </row>
    <row r="6501">
      <c r="A6501" s="2">
        <f>IFERROR(__xludf.DUMMYFUNCTION("""COMPUTED_VALUE"""),80318.0)</f>
        <v>80318</v>
      </c>
      <c r="B6501" s="3" t="str">
        <f>IFERROR(__xludf.DUMMYFUNCTION("""COMPUTED_VALUE"""),"1703 COUNTY 30 RD ")</f>
        <v>1703 COUNTY 30 RD </v>
      </c>
      <c r="C6501" s="3" t="str">
        <f>IFERROR(__xludf.DUMMYFUNCTION("""COMPUTED_VALUE"""),"BRIGHTON")</f>
        <v>BRIGHTON</v>
      </c>
      <c r="D6501" s="3" t="str">
        <f>IFERROR(__xludf.DUMMYFUNCTION("""COMPUTED_VALUE"""),"K0K 1H0")</f>
        <v>K0K 1H0</v>
      </c>
      <c r="E6501" s="3" t="str">
        <f>IFERROR(__xludf.DUMMYFUNCTION("""COMPUTED_VALUE"""),"renee ryan")</f>
        <v>renee ryan</v>
      </c>
      <c r="F6501" s="3" t="str">
        <f>IFERROR(__xludf.DUMMYFUNCTION("""COMPUTED_VALUE"""),"taureaufarms@hotmail.com")</f>
        <v>taureaufarms@hotmail.com</v>
      </c>
      <c r="G6501" s="3">
        <f>IFERROR(__xludf.DUMMYFUNCTION("""COMPUTED_VALUE"""),6.134753266E9)</f>
        <v>6134753266</v>
      </c>
      <c r="H6501" s="3"/>
    </row>
    <row r="6502">
      <c r="A6502" s="2">
        <f>IFERROR(__xludf.DUMMYFUNCTION("""COMPUTED_VALUE"""),80319.0)</f>
        <v>80319</v>
      </c>
      <c r="B6502" s="3" t="str">
        <f>IFERROR(__xludf.DUMMYFUNCTION("""COMPUTED_VALUE"""),"1759 COUNTY 30 RD ")</f>
        <v>1759 COUNTY 30 RD </v>
      </c>
      <c r="C6502" s="3" t="str">
        <f>IFERROR(__xludf.DUMMYFUNCTION("""COMPUTED_VALUE"""),"BRIGHTON")</f>
        <v>BRIGHTON</v>
      </c>
      <c r="D6502" s="3" t="str">
        <f>IFERROR(__xludf.DUMMYFUNCTION("""COMPUTED_VALUE"""),"K0K 1H0")</f>
        <v>K0K 1H0</v>
      </c>
      <c r="E6502" s="3" t="str">
        <f>IFERROR(__xludf.DUMMYFUNCTION("""COMPUTED_VALUE"""),"Cedar creek campground")</f>
        <v>Cedar creek campground</v>
      </c>
      <c r="F6502" s="3" t="str">
        <f>IFERROR(__xludf.DUMMYFUNCTION("""COMPUTED_VALUE"""),"schari2007@gmail.com")</f>
        <v>schari2007@gmail.com</v>
      </c>
      <c r="G6502" s="3">
        <f>IFERROR(__xludf.DUMMYFUNCTION("""COMPUTED_VALUE"""),6.1347536E9)</f>
        <v>6134753600</v>
      </c>
      <c r="H6502" s="3">
        <f>IFERROR(__xludf.DUMMYFUNCTION("""COMPUTED_VALUE"""),4.16830852E9)</f>
        <v>4168308520</v>
      </c>
    </row>
    <row r="6503">
      <c r="A6503" s="2">
        <f>IFERROR(__xludf.DUMMYFUNCTION("""COMPUTED_VALUE"""),80320.0)</f>
        <v>80320</v>
      </c>
      <c r="B6503" s="3" t="str">
        <f>IFERROR(__xludf.DUMMYFUNCTION("""COMPUTED_VALUE"""),"1901 COUNTY 30 RD ")</f>
        <v>1901 COUNTY 30 RD </v>
      </c>
      <c r="C6503" s="3" t="str">
        <f>IFERROR(__xludf.DUMMYFUNCTION("""COMPUTED_VALUE"""),"BRIGHTON")</f>
        <v>BRIGHTON</v>
      </c>
      <c r="D6503" s="3" t="str">
        <f>IFERROR(__xludf.DUMMYFUNCTION("""COMPUTED_VALUE"""),"K0K 1H0")</f>
        <v>K0K 1H0</v>
      </c>
      <c r="E6503" s="3" t="str">
        <f>IFERROR(__xludf.DUMMYFUNCTION("""COMPUTED_VALUE"""),"Darryl Burke")</f>
        <v>Darryl Burke</v>
      </c>
      <c r="F6503" s="3" t="str">
        <f>IFERROR(__xludf.DUMMYFUNCTION("""COMPUTED_VALUE"""),"mro2010@hotmail.com")</f>
        <v>mro2010@hotmail.com</v>
      </c>
      <c r="G6503" s="3"/>
      <c r="H6503" s="3"/>
    </row>
    <row r="6504">
      <c r="A6504" s="2">
        <f>IFERROR(__xludf.DUMMYFUNCTION("""COMPUTED_VALUE"""),80321.0)</f>
        <v>80321</v>
      </c>
      <c r="B6504" s="3" t="str">
        <f>IFERROR(__xludf.DUMMYFUNCTION("""COMPUTED_VALUE"""),"1927 COUNTY 30 RD ")</f>
        <v>1927 COUNTY 30 RD </v>
      </c>
      <c r="C6504" s="3" t="str">
        <f>IFERROR(__xludf.DUMMYFUNCTION("""COMPUTED_VALUE"""),"BRIGHTON")</f>
        <v>BRIGHTON</v>
      </c>
      <c r="D6504" s="3" t="str">
        <f>IFERROR(__xludf.DUMMYFUNCTION("""COMPUTED_VALUE"""),"K0K 1H0")</f>
        <v>K0K 1H0</v>
      </c>
      <c r="E6504" s="3" t="str">
        <f>IFERROR(__xludf.DUMMYFUNCTION("""COMPUTED_VALUE"""),"Wayne and Cheryl Johnston")</f>
        <v>Wayne and Cheryl Johnston</v>
      </c>
      <c r="F6504" s="3" t="str">
        <f>IFERROR(__xludf.DUMMYFUNCTION("""COMPUTED_VALUE"""),"wcj.28@hotmail.com")</f>
        <v>wcj.28@hotmail.com</v>
      </c>
      <c r="G6504" s="3">
        <f>IFERROR(__xludf.DUMMYFUNCTION("""COMPUTED_VALUE"""),1.6138137148E10)</f>
        <v>16138137148</v>
      </c>
      <c r="H6504" s="3"/>
    </row>
    <row r="6505">
      <c r="A6505" s="2">
        <f>IFERROR(__xludf.DUMMYFUNCTION("""COMPUTED_VALUE"""),80322.0)</f>
        <v>80322</v>
      </c>
      <c r="B6505" s="3" t="str">
        <f>IFERROR(__xludf.DUMMYFUNCTION("""COMPUTED_VALUE"""),"1929 COUNTY 30 RD ")</f>
        <v>1929 COUNTY 30 RD </v>
      </c>
      <c r="C6505" s="3" t="str">
        <f>IFERROR(__xludf.DUMMYFUNCTION("""COMPUTED_VALUE"""),"BRIGHTON")</f>
        <v>BRIGHTON</v>
      </c>
      <c r="D6505" s="3" t="str">
        <f>IFERROR(__xludf.DUMMYFUNCTION("""COMPUTED_VALUE"""),"K0K 1H0")</f>
        <v>K0K 1H0</v>
      </c>
      <c r="E6505" s="3" t="str">
        <f>IFERROR(__xludf.DUMMYFUNCTION("""COMPUTED_VALUE"""),"Bruce Majuro")</f>
        <v>Bruce Majuro</v>
      </c>
      <c r="F6505" s="3" t="str">
        <f>IFERROR(__xludf.DUMMYFUNCTION("""COMPUTED_VALUE"""),"bsmgr3@gmail.com")</f>
        <v>bsmgr3@gmail.com</v>
      </c>
      <c r="G6505" s="3"/>
      <c r="H6505" s="3"/>
    </row>
    <row r="6506">
      <c r="A6506" s="2">
        <f>IFERROR(__xludf.DUMMYFUNCTION("""COMPUTED_VALUE"""),80380.0)</f>
        <v>80380</v>
      </c>
      <c r="B6506" s="3" t="str">
        <f>IFERROR(__xludf.DUMMYFUNCTION("""COMPUTED_VALUE"""),"1948A COUNTY 30 RD ")</f>
        <v>1948A COUNTY 30 RD </v>
      </c>
      <c r="C6506" s="3" t="str">
        <f>IFERROR(__xludf.DUMMYFUNCTION("""COMPUTED_VALUE"""),"BRIGHTON")</f>
        <v>BRIGHTON</v>
      </c>
      <c r="D6506" s="3" t="str">
        <f>IFERROR(__xludf.DUMMYFUNCTION("""COMPUTED_VALUE"""),"K0K 1H0")</f>
        <v>K0K 1H0</v>
      </c>
      <c r="E6506" s="3" t="str">
        <f>IFERROR(__xludf.DUMMYFUNCTION("""COMPUTED_VALUE"""),"DAWN SHORTT")</f>
        <v>DAWN SHORTT</v>
      </c>
      <c r="F6506" s="3" t="str">
        <f>IFERROR(__xludf.DUMMYFUNCTION("""COMPUTED_VALUE"""),"shorttstop666@gmail.com")</f>
        <v>shorttstop666@gmail.com</v>
      </c>
      <c r="G6506" s="3"/>
      <c r="H6506" s="3"/>
    </row>
    <row r="6507">
      <c r="A6507" s="2">
        <f>IFERROR(__xludf.DUMMYFUNCTION("""COMPUTED_VALUE"""),80381.0)</f>
        <v>80381</v>
      </c>
      <c r="B6507" s="3" t="str">
        <f>IFERROR(__xludf.DUMMYFUNCTION("""COMPUTED_VALUE"""),"1948B COUNTY 30 RD ")</f>
        <v>1948B COUNTY 30 RD </v>
      </c>
      <c r="C6507" s="3" t="str">
        <f>IFERROR(__xludf.DUMMYFUNCTION("""COMPUTED_VALUE"""),"BRIGHTON")</f>
        <v>BRIGHTON</v>
      </c>
      <c r="D6507" s="3" t="str">
        <f>IFERROR(__xludf.DUMMYFUNCTION("""COMPUTED_VALUE"""),"K0K 1H0")</f>
        <v>K0K 1H0</v>
      </c>
      <c r="E6507" s="3" t="str">
        <f>IFERROR(__xludf.DUMMYFUNCTION("""COMPUTED_VALUE"""),"Roberta Bittner")</f>
        <v>Roberta Bittner</v>
      </c>
      <c r="F6507" s="3" t="str">
        <f>IFERROR(__xludf.DUMMYFUNCTION("""COMPUTED_VALUE"""),"rlbittner@hotmail.com")</f>
        <v>rlbittner@hotmail.com</v>
      </c>
      <c r="G6507" s="3"/>
      <c r="H6507" s="3"/>
    </row>
    <row r="6508">
      <c r="A6508" s="2">
        <f>IFERROR(__xludf.DUMMYFUNCTION("""COMPUTED_VALUE"""),80323.0)</f>
        <v>80323</v>
      </c>
      <c r="B6508" s="3" t="str">
        <f>IFERROR(__xludf.DUMMYFUNCTION("""COMPUTED_VALUE"""),"1948C COUNTY 30 RD ")</f>
        <v>1948C COUNTY 30 RD </v>
      </c>
      <c r="C6508" s="3" t="str">
        <f>IFERROR(__xludf.DUMMYFUNCTION("""COMPUTED_VALUE"""),"BRIGHTON")</f>
        <v>BRIGHTON</v>
      </c>
      <c r="D6508" s="3" t="str">
        <f>IFERROR(__xludf.DUMMYFUNCTION("""COMPUTED_VALUE"""),"K0K 1H0")</f>
        <v>K0K 1H0</v>
      </c>
      <c r="E6508" s="3" t="str">
        <f>IFERROR(__xludf.DUMMYFUNCTION("""COMPUTED_VALUE"""),"Ryan Harding")</f>
        <v>Ryan Harding</v>
      </c>
      <c r="F6508" s="3" t="str">
        <f>IFERROR(__xludf.DUMMYFUNCTION("""COMPUTED_VALUE"""),"ryanedwardharding@gmail.com")</f>
        <v>ryanedwardharding@gmail.com</v>
      </c>
      <c r="G6508" s="3">
        <f>IFERROR(__xludf.DUMMYFUNCTION("""COMPUTED_VALUE"""),6.134387995E9)</f>
        <v>6134387995</v>
      </c>
      <c r="H6508" s="3"/>
    </row>
    <row r="6509">
      <c r="A6509" s="2">
        <f>IFERROR(__xludf.DUMMYFUNCTION("""COMPUTED_VALUE"""),80324.0)</f>
        <v>80324</v>
      </c>
      <c r="B6509" s="3" t="str">
        <f>IFERROR(__xludf.DUMMYFUNCTION("""COMPUTED_VALUE"""),"1973 COUNTY 30 RD ")</f>
        <v>1973 COUNTY 30 RD </v>
      </c>
      <c r="C6509" s="3" t="str">
        <f>IFERROR(__xludf.DUMMYFUNCTION("""COMPUTED_VALUE"""),"BRIGHTON")</f>
        <v>BRIGHTON</v>
      </c>
      <c r="D6509" s="3" t="str">
        <f>IFERROR(__xludf.DUMMYFUNCTION("""COMPUTED_VALUE"""),"K0K 1H0")</f>
        <v>K0K 1H0</v>
      </c>
      <c r="E6509" s="3" t="str">
        <f>IFERROR(__xludf.DUMMYFUNCTION("""COMPUTED_VALUE"""),"Renee McGuire")</f>
        <v>Renee McGuire</v>
      </c>
      <c r="F6509" s="3" t="str">
        <f>IFERROR(__xludf.DUMMYFUNCTION("""COMPUTED_VALUE"""),"reneemcguire22@yahoo.com")</f>
        <v>reneemcguire22@yahoo.com</v>
      </c>
      <c r="G6509" s="3"/>
      <c r="H6509" s="3"/>
    </row>
    <row r="6510">
      <c r="A6510" s="2">
        <f>IFERROR(__xludf.DUMMYFUNCTION("""COMPUTED_VALUE"""),80325.0)</f>
        <v>80325</v>
      </c>
      <c r="B6510" s="3" t="str">
        <f>IFERROR(__xludf.DUMMYFUNCTION("""COMPUTED_VALUE"""),"1998 COUNTY 30 RD ")</f>
        <v>1998 COUNTY 30 RD </v>
      </c>
      <c r="C6510" s="3" t="str">
        <f>IFERROR(__xludf.DUMMYFUNCTION("""COMPUTED_VALUE"""),"BRIGHTON")</f>
        <v>BRIGHTON</v>
      </c>
      <c r="D6510" s="3" t="str">
        <f>IFERROR(__xludf.DUMMYFUNCTION("""COMPUTED_VALUE"""),"K0K 1H0")</f>
        <v>K0K 1H0</v>
      </c>
      <c r="E6510" s="3"/>
      <c r="F6510" s="3"/>
      <c r="G6510" s="3"/>
      <c r="H6510" s="3"/>
    </row>
    <row r="6511">
      <c r="A6511" s="2">
        <f>IFERROR(__xludf.DUMMYFUNCTION("""COMPUTED_VALUE"""),80326.0)</f>
        <v>80326</v>
      </c>
      <c r="B6511" s="3" t="str">
        <f>IFERROR(__xludf.DUMMYFUNCTION("""COMPUTED_VALUE"""),"2031 COUNTY 30 RD ")</f>
        <v>2031 COUNTY 30 RD </v>
      </c>
      <c r="C6511" s="3" t="str">
        <f>IFERROR(__xludf.DUMMYFUNCTION("""COMPUTED_VALUE"""),"BRIGHTON")</f>
        <v>BRIGHTON</v>
      </c>
      <c r="D6511" s="3" t="str">
        <f>IFERROR(__xludf.DUMMYFUNCTION("""COMPUTED_VALUE"""),"K0K 1H0")</f>
        <v>K0K 1H0</v>
      </c>
      <c r="E6511" s="3"/>
      <c r="F6511" s="3"/>
      <c r="G6511" s="3"/>
      <c r="H6511" s="3"/>
    </row>
    <row r="6512">
      <c r="A6512" s="2">
        <f>IFERROR(__xludf.DUMMYFUNCTION("""COMPUTED_VALUE"""),80327.0)</f>
        <v>80327</v>
      </c>
      <c r="B6512" s="3" t="str">
        <f>IFERROR(__xludf.DUMMYFUNCTION("""COMPUTED_VALUE"""),"2106 COUNTY 30 RD ")</f>
        <v>2106 COUNTY 30 RD </v>
      </c>
      <c r="C6512" s="3" t="str">
        <f>IFERROR(__xludf.DUMMYFUNCTION("""COMPUTED_VALUE"""),"BRIGHTON")</f>
        <v>BRIGHTON</v>
      </c>
      <c r="D6512" s="3" t="str">
        <f>IFERROR(__xludf.DUMMYFUNCTION("""COMPUTED_VALUE"""),"K0K 1H0")</f>
        <v>K0K 1H0</v>
      </c>
      <c r="E6512" s="3" t="str">
        <f>IFERROR(__xludf.DUMMYFUNCTION("""COMPUTED_VALUE"""),"shirley sparkes")</f>
        <v>shirley sparkes</v>
      </c>
      <c r="F6512" s="3"/>
      <c r="G6512" s="3">
        <f>IFERROR(__xludf.DUMMYFUNCTION("""COMPUTED_VALUE"""),6.139220022E9)</f>
        <v>6139220022</v>
      </c>
      <c r="H6512" s="3"/>
    </row>
    <row r="6513">
      <c r="A6513" s="2">
        <f>IFERROR(__xludf.DUMMYFUNCTION("""COMPUTED_VALUE"""),81041.0)</f>
        <v>81041</v>
      </c>
      <c r="B6513" s="3" t="str">
        <f>IFERROR(__xludf.DUMMYFUNCTION("""COMPUTED_VALUE"""),"2112 COUNTY RD 30")</f>
        <v>2112 COUNTY RD 30</v>
      </c>
      <c r="C6513" s="3" t="str">
        <f>IFERROR(__xludf.DUMMYFUNCTION("""COMPUTED_VALUE"""),"BRIGHTON")</f>
        <v>BRIGHTON</v>
      </c>
      <c r="D6513" s="3" t="str">
        <f>IFERROR(__xludf.DUMMYFUNCTION("""COMPUTED_VALUE"""),"K0K 1H0")</f>
        <v>K0K 1H0</v>
      </c>
      <c r="E6513" s="3"/>
      <c r="F6513" s="3"/>
      <c r="G6513" s="3"/>
      <c r="H6513" s="3"/>
    </row>
    <row r="6514">
      <c r="A6514" s="2">
        <f>IFERROR(__xludf.DUMMYFUNCTION("""COMPUTED_VALUE"""),80328.0)</f>
        <v>80328</v>
      </c>
      <c r="B6514" s="3" t="str">
        <f>IFERROR(__xludf.DUMMYFUNCTION("""COMPUTED_VALUE"""),"2146 COUNTY 30 RD ")</f>
        <v>2146 COUNTY 30 RD </v>
      </c>
      <c r="C6514" s="3" t="str">
        <f>IFERROR(__xludf.DUMMYFUNCTION("""COMPUTED_VALUE"""),"BRIGHTON")</f>
        <v>BRIGHTON</v>
      </c>
      <c r="D6514" s="3" t="str">
        <f>IFERROR(__xludf.DUMMYFUNCTION("""COMPUTED_VALUE"""),"K0K 1H0")</f>
        <v>K0K 1H0</v>
      </c>
      <c r="E6514" s="3"/>
      <c r="F6514" s="3"/>
      <c r="G6514" s="3"/>
      <c r="H6514" s="3"/>
    </row>
    <row r="6515">
      <c r="A6515" s="2">
        <f>IFERROR(__xludf.DUMMYFUNCTION("""COMPUTED_VALUE"""),80329.0)</f>
        <v>80329</v>
      </c>
      <c r="B6515" s="3" t="str">
        <f>IFERROR(__xludf.DUMMYFUNCTION("""COMPUTED_VALUE"""),"2153 COUNTY 30 RD ")</f>
        <v>2153 COUNTY 30 RD </v>
      </c>
      <c r="C6515" s="3" t="str">
        <f>IFERROR(__xludf.DUMMYFUNCTION("""COMPUTED_VALUE"""),"BRIGHTON")</f>
        <v>BRIGHTON</v>
      </c>
      <c r="D6515" s="3" t="str">
        <f>IFERROR(__xludf.DUMMYFUNCTION("""COMPUTED_VALUE"""),"K0K 1H0")</f>
        <v>K0K 1H0</v>
      </c>
      <c r="E6515" s="3" t="str">
        <f>IFERROR(__xludf.DUMMYFUNCTION("""COMPUTED_VALUE"""),"Richard Rzezniczak")</f>
        <v>Richard Rzezniczak</v>
      </c>
      <c r="F6515" s="3" t="str">
        <f>IFERROR(__xludf.DUMMYFUNCTION("""COMPUTED_VALUE"""),"rickrez@yahoo.ca ")</f>
        <v>rickrez@yahoo.ca </v>
      </c>
      <c r="G6515" s="3"/>
      <c r="H6515" s="3"/>
    </row>
    <row r="6516">
      <c r="A6516" s="2">
        <f>IFERROR(__xludf.DUMMYFUNCTION("""COMPUTED_VALUE"""),80330.0)</f>
        <v>80330</v>
      </c>
      <c r="B6516" s="3" t="str">
        <f>IFERROR(__xludf.DUMMYFUNCTION("""COMPUTED_VALUE"""),"2252 COUNTY 30 RD ")</f>
        <v>2252 COUNTY 30 RD </v>
      </c>
      <c r="C6516" s="3" t="str">
        <f>IFERROR(__xludf.DUMMYFUNCTION("""COMPUTED_VALUE"""),"CODRINGTON")</f>
        <v>CODRINGTON</v>
      </c>
      <c r="D6516" s="3" t="str">
        <f>IFERROR(__xludf.DUMMYFUNCTION("""COMPUTED_VALUE"""),"K0K 1R0")</f>
        <v>K0K 1R0</v>
      </c>
      <c r="E6516" s="3" t="str">
        <f>IFERROR(__xludf.DUMMYFUNCTION("""COMPUTED_VALUE"""),"Thomas Iwan")</f>
        <v>Thomas Iwan</v>
      </c>
      <c r="F6516" s="3" t="str">
        <f>IFERROR(__xludf.DUMMYFUNCTION("""COMPUTED_VALUE"""),"nawimot@icloud.com")</f>
        <v>nawimot@icloud.com</v>
      </c>
      <c r="G6516" s="3">
        <f>IFERROR(__xludf.DUMMYFUNCTION("""COMPUTED_VALUE"""),6.475202702E9)</f>
        <v>6475202702</v>
      </c>
      <c r="H6516" s="3"/>
    </row>
    <row r="6517">
      <c r="A6517" s="2">
        <f>IFERROR(__xludf.DUMMYFUNCTION("""COMPUTED_VALUE"""),80331.0)</f>
        <v>80331</v>
      </c>
      <c r="B6517" s="3" t="str">
        <f>IFERROR(__xludf.DUMMYFUNCTION("""COMPUTED_VALUE"""),"2280 COUNTY 30 RD ")</f>
        <v>2280 COUNTY 30 RD </v>
      </c>
      <c r="C6517" s="3" t="str">
        <f>IFERROR(__xludf.DUMMYFUNCTION("""COMPUTED_VALUE"""),"CODRINGTON")</f>
        <v>CODRINGTON</v>
      </c>
      <c r="D6517" s="3" t="str">
        <f>IFERROR(__xludf.DUMMYFUNCTION("""COMPUTED_VALUE"""),"K0K 1R0")</f>
        <v>K0K 1R0</v>
      </c>
      <c r="E6517" s="3"/>
      <c r="F6517" s="3"/>
      <c r="G6517" s="3"/>
      <c r="H6517" s="3"/>
    </row>
    <row r="6518">
      <c r="A6518" s="2">
        <f>IFERROR(__xludf.DUMMYFUNCTION("""COMPUTED_VALUE"""),80332.0)</f>
        <v>80332</v>
      </c>
      <c r="B6518" s="3" t="str">
        <f>IFERROR(__xludf.DUMMYFUNCTION("""COMPUTED_VALUE"""),"2281 COUNTY 30 RD ")</f>
        <v>2281 COUNTY 30 RD </v>
      </c>
      <c r="C6518" s="3" t="str">
        <f>IFERROR(__xludf.DUMMYFUNCTION("""COMPUTED_VALUE"""),"CODRINGTON")</f>
        <v>CODRINGTON</v>
      </c>
      <c r="D6518" s="3" t="str">
        <f>IFERROR(__xludf.DUMMYFUNCTION("""COMPUTED_VALUE"""),"K0K 1R0")</f>
        <v>K0K 1R0</v>
      </c>
      <c r="E6518" s="3" t="str">
        <f>IFERROR(__xludf.DUMMYFUNCTION("""COMPUTED_VALUE"""),"shone atkinson")</f>
        <v>shone atkinson</v>
      </c>
      <c r="F6518" s="3" t="str">
        <f>IFERROR(__xludf.DUMMYFUNCTION("""COMPUTED_VALUE"""),"oldmansea@icloud.com")</f>
        <v>oldmansea@icloud.com</v>
      </c>
      <c r="G6518" s="3">
        <f>IFERROR(__xludf.DUMMYFUNCTION("""COMPUTED_VALUE"""),9.053961565E9)</f>
        <v>9053961565</v>
      </c>
      <c r="H6518" s="3">
        <f>IFERROR(__xludf.DUMMYFUNCTION("""COMPUTED_VALUE"""),9.053961564E9)</f>
        <v>9053961564</v>
      </c>
    </row>
    <row r="6519">
      <c r="A6519" s="2">
        <f>IFERROR(__xludf.DUMMYFUNCTION("""COMPUTED_VALUE"""),80333.0)</f>
        <v>80333</v>
      </c>
      <c r="B6519" s="3" t="str">
        <f>IFERROR(__xludf.DUMMYFUNCTION("""COMPUTED_VALUE"""),"2321 COUNTY 30 RD ")</f>
        <v>2321 COUNTY 30 RD </v>
      </c>
      <c r="C6519" s="3" t="str">
        <f>IFERROR(__xludf.DUMMYFUNCTION("""COMPUTED_VALUE"""),"CODRINGTON")</f>
        <v>CODRINGTON</v>
      </c>
      <c r="D6519" s="3" t="str">
        <f>IFERROR(__xludf.DUMMYFUNCTION("""COMPUTED_VALUE"""),"K0K 1R0")</f>
        <v>K0K 1R0</v>
      </c>
      <c r="E6519" s="3" t="str">
        <f>IFERROR(__xludf.DUMMYFUNCTION("""COMPUTED_VALUE"""),"Terry Bonang")</f>
        <v>Terry Bonang</v>
      </c>
      <c r="F6519" s="3" t="str">
        <f>IFERROR(__xludf.DUMMYFUNCTION("""COMPUTED_VALUE"""),"terrybonang@gmail.com")</f>
        <v>terrybonang@gmail.com</v>
      </c>
      <c r="G6519" s="3">
        <f>IFERROR(__xludf.DUMMYFUNCTION("""COMPUTED_VALUE"""),2.893836538E9)</f>
        <v>2893836538</v>
      </c>
      <c r="H6519" s="3"/>
    </row>
    <row r="6520">
      <c r="A6520" s="2">
        <f>IFERROR(__xludf.DUMMYFUNCTION("""COMPUTED_VALUE"""),80334.0)</f>
        <v>80334</v>
      </c>
      <c r="B6520" s="3" t="str">
        <f>IFERROR(__xludf.DUMMYFUNCTION("""COMPUTED_VALUE"""),"2324 COUNTY 30 RD ")</f>
        <v>2324 COUNTY 30 RD </v>
      </c>
      <c r="C6520" s="3" t="str">
        <f>IFERROR(__xludf.DUMMYFUNCTION("""COMPUTED_VALUE"""),"CODRINGTON")</f>
        <v>CODRINGTON</v>
      </c>
      <c r="D6520" s="3" t="str">
        <f>IFERROR(__xludf.DUMMYFUNCTION("""COMPUTED_VALUE"""),"K0K 1R0")</f>
        <v>K0K 1R0</v>
      </c>
      <c r="E6520" s="3" t="str">
        <f>IFERROR(__xludf.DUMMYFUNCTION("""COMPUTED_VALUE"""),"Chris Holland")</f>
        <v>Chris Holland</v>
      </c>
      <c r="F6520" s="3" t="str">
        <f>IFERROR(__xludf.DUMMYFUNCTION("""COMPUTED_VALUE"""),"holland011@hotmail.com")</f>
        <v>holland011@hotmail.com</v>
      </c>
      <c r="G6520" s="3">
        <f>IFERROR(__xludf.DUMMYFUNCTION("""COMPUTED_VALUE"""),6.138820686E9)</f>
        <v>6138820686</v>
      </c>
      <c r="H6520" s="3"/>
    </row>
    <row r="6521">
      <c r="A6521" s="2">
        <f>IFERROR(__xludf.DUMMYFUNCTION("""COMPUTED_VALUE"""),80335.0)</f>
        <v>80335</v>
      </c>
      <c r="B6521" s="3" t="str">
        <f>IFERROR(__xludf.DUMMYFUNCTION("""COMPUTED_VALUE"""),"2327 COUNTY 30 RD ")</f>
        <v>2327 COUNTY 30 RD </v>
      </c>
      <c r="C6521" s="3" t="str">
        <f>IFERROR(__xludf.DUMMYFUNCTION("""COMPUTED_VALUE"""),"CODRINGTON")</f>
        <v>CODRINGTON</v>
      </c>
      <c r="D6521" s="3" t="str">
        <f>IFERROR(__xludf.DUMMYFUNCTION("""COMPUTED_VALUE"""),"K0K 1R0")</f>
        <v>K0K 1R0</v>
      </c>
      <c r="E6521" s="3" t="str">
        <f>IFERROR(__xludf.DUMMYFUNCTION("""COMPUTED_VALUE"""),"sam hazlewood")</f>
        <v>sam hazlewood</v>
      </c>
      <c r="F6521" s="3" t="str">
        <f>IFERROR(__xludf.DUMMYFUNCTION("""COMPUTED_VALUE"""),"samsauto@hotmail.com")</f>
        <v>samsauto@hotmail.com</v>
      </c>
      <c r="G6521" s="3">
        <f>IFERROR(__xludf.DUMMYFUNCTION("""COMPUTED_VALUE"""),6.139681309E9)</f>
        <v>6139681309</v>
      </c>
      <c r="H6521" s="3">
        <f>IFERROR(__xludf.DUMMYFUNCTION("""COMPUTED_VALUE"""),6.13475131E9)</f>
        <v>6134751310</v>
      </c>
    </row>
    <row r="6522">
      <c r="A6522" s="2">
        <f>IFERROR(__xludf.DUMMYFUNCTION("""COMPUTED_VALUE"""),80336.0)</f>
        <v>80336</v>
      </c>
      <c r="B6522" s="3" t="str">
        <f>IFERROR(__xludf.DUMMYFUNCTION("""COMPUTED_VALUE"""),"2328 COUNTY 30 RD ")</f>
        <v>2328 COUNTY 30 RD </v>
      </c>
      <c r="C6522" s="3" t="str">
        <f>IFERROR(__xludf.DUMMYFUNCTION("""COMPUTED_VALUE"""),"CODRINGTON")</f>
        <v>CODRINGTON</v>
      </c>
      <c r="D6522" s="3" t="str">
        <f>IFERROR(__xludf.DUMMYFUNCTION("""COMPUTED_VALUE"""),"K0K 1R0")</f>
        <v>K0K 1R0</v>
      </c>
      <c r="E6522" s="3" t="str">
        <f>IFERROR(__xludf.DUMMYFUNCTION("""COMPUTED_VALUE"""),"harry harrison")</f>
        <v>harry harrison</v>
      </c>
      <c r="F6522" s="3" t="str">
        <f>IFERROR(__xludf.DUMMYFUNCTION("""COMPUTED_VALUE"""),"harrison64@gmail.co,")</f>
        <v>harrison64@gmail.co,</v>
      </c>
      <c r="G6522" s="3">
        <f>IFERROR(__xludf.DUMMYFUNCTION("""COMPUTED_VALUE"""),6.138484962E9)</f>
        <v>6138484962</v>
      </c>
      <c r="H6522" s="3">
        <f>IFERROR(__xludf.DUMMYFUNCTION("""COMPUTED_VALUE"""),6.139223439E9)</f>
        <v>6139223439</v>
      </c>
    </row>
    <row r="6523">
      <c r="A6523" s="2">
        <f>IFERROR(__xludf.DUMMYFUNCTION("""COMPUTED_VALUE"""),80337.0)</f>
        <v>80337</v>
      </c>
      <c r="B6523" s="3" t="str">
        <f>IFERROR(__xludf.DUMMYFUNCTION("""COMPUTED_VALUE"""),"2329 COUNTY 30 RD ")</f>
        <v>2329 COUNTY 30 RD </v>
      </c>
      <c r="C6523" s="3" t="str">
        <f>IFERROR(__xludf.DUMMYFUNCTION("""COMPUTED_VALUE"""),"CODRINGTON")</f>
        <v>CODRINGTON</v>
      </c>
      <c r="D6523" s="3" t="str">
        <f>IFERROR(__xludf.DUMMYFUNCTION("""COMPUTED_VALUE"""),"K0K 1R0")</f>
        <v>K0K 1R0</v>
      </c>
      <c r="E6523" s="3" t="str">
        <f>IFERROR(__xludf.DUMMYFUNCTION("""COMPUTED_VALUE"""),"kevin van valls")</f>
        <v>kevin van valls</v>
      </c>
      <c r="F6523" s="3" t="str">
        <f>IFERROR(__xludf.DUMMYFUNCTION("""COMPUTED_VALUE"""),"kvanvaals@gmail.com")</f>
        <v>kvanvaals@gmail.com</v>
      </c>
      <c r="G6523" s="3">
        <f>IFERROR(__xludf.DUMMYFUNCTION("""COMPUTED_VALUE"""),6.134386858E9)</f>
        <v>6134386858</v>
      </c>
      <c r="H6523" s="3"/>
    </row>
    <row r="6524">
      <c r="A6524" s="2">
        <f>IFERROR(__xludf.DUMMYFUNCTION("""COMPUTED_VALUE"""),80338.0)</f>
        <v>80338</v>
      </c>
      <c r="B6524" s="3" t="str">
        <f>IFERROR(__xludf.DUMMYFUNCTION("""COMPUTED_VALUE"""),"2335 COUNTY 30 RD ")</f>
        <v>2335 COUNTY 30 RD </v>
      </c>
      <c r="C6524" s="3" t="str">
        <f>IFERROR(__xludf.DUMMYFUNCTION("""COMPUTED_VALUE"""),"CODRINGTON")</f>
        <v>CODRINGTON</v>
      </c>
      <c r="D6524" s="3" t="str">
        <f>IFERROR(__xludf.DUMMYFUNCTION("""COMPUTED_VALUE"""),"K0K 1R0")</f>
        <v>K0K 1R0</v>
      </c>
      <c r="E6524" s="3" t="str">
        <f>IFERROR(__xludf.DUMMYFUNCTION("""COMPUTED_VALUE"""),"Sheri Fader ")</f>
        <v>Sheri Fader </v>
      </c>
      <c r="F6524" s="3" t="str">
        <f>IFERROR(__xludf.DUMMYFUNCTION("""COMPUTED_VALUE"""),"sherilynfader@gmail.com ")</f>
        <v>sherilynfader@gmail.com </v>
      </c>
      <c r="G6524" s="3"/>
      <c r="H6524" s="3"/>
    </row>
    <row r="6525">
      <c r="A6525" s="2">
        <f>IFERROR(__xludf.DUMMYFUNCTION("""COMPUTED_VALUE"""),80339.0)</f>
        <v>80339</v>
      </c>
      <c r="B6525" s="3" t="str">
        <f>IFERROR(__xludf.DUMMYFUNCTION("""COMPUTED_VALUE"""),"2342 COUNTY 30 RD ")</f>
        <v>2342 COUNTY 30 RD </v>
      </c>
      <c r="C6525" s="3" t="str">
        <f>IFERROR(__xludf.DUMMYFUNCTION("""COMPUTED_VALUE"""),"CODRINGTON")</f>
        <v>CODRINGTON</v>
      </c>
      <c r="D6525" s="3" t="str">
        <f>IFERROR(__xludf.DUMMYFUNCTION("""COMPUTED_VALUE"""),"K0K 1R0")</f>
        <v>K0K 1R0</v>
      </c>
      <c r="E6525" s="3" t="str">
        <f>IFERROR(__xludf.DUMMYFUNCTION("""COMPUTED_VALUE"""),"nancy hindle")</f>
        <v>nancy hindle</v>
      </c>
      <c r="F6525" s="3" t="str">
        <f>IFERROR(__xludf.DUMMYFUNCTION("""COMPUTED_VALUE"""),"nancyahindle@hotmail.com")</f>
        <v>nancyahindle@hotmail.com</v>
      </c>
      <c r="G6525" s="3">
        <f>IFERROR(__xludf.DUMMYFUNCTION("""COMPUTED_VALUE"""),6.138838075E9)</f>
        <v>6138838075</v>
      </c>
      <c r="H6525" s="3">
        <f>IFERROR(__xludf.DUMMYFUNCTION("""COMPUTED_VALUE"""),6.138854802E9)</f>
        <v>6138854802</v>
      </c>
    </row>
    <row r="6526">
      <c r="A6526" s="2">
        <f>IFERROR(__xludf.DUMMYFUNCTION("""COMPUTED_VALUE"""),80340.0)</f>
        <v>80340</v>
      </c>
      <c r="B6526" s="3" t="str">
        <f>IFERROR(__xludf.DUMMYFUNCTION("""COMPUTED_VALUE"""),"2348 COUNTY 30 RD ")</f>
        <v>2348 COUNTY 30 RD </v>
      </c>
      <c r="C6526" s="3" t="str">
        <f>IFERROR(__xludf.DUMMYFUNCTION("""COMPUTED_VALUE"""),"CODRINGTON")</f>
        <v>CODRINGTON</v>
      </c>
      <c r="D6526" s="3" t="str">
        <f>IFERROR(__xludf.DUMMYFUNCTION("""COMPUTED_VALUE"""),"K0K 1R0")</f>
        <v>K0K 1R0</v>
      </c>
      <c r="E6526" s="3" t="str">
        <f>IFERROR(__xludf.DUMMYFUNCTION("""COMPUTED_VALUE"""),"bonnie dingman")</f>
        <v>bonnie dingman</v>
      </c>
      <c r="F6526" s="3" t="str">
        <f>IFERROR(__xludf.DUMMYFUNCTION("""COMPUTED_VALUE"""),"bdingman@gmail.com")</f>
        <v>bdingman@gmail.com</v>
      </c>
      <c r="G6526" s="3">
        <f>IFERROR(__xludf.DUMMYFUNCTION("""COMPUTED_VALUE"""),6.134752601E9)</f>
        <v>6134752601</v>
      </c>
      <c r="H6526" s="3"/>
    </row>
    <row r="6527">
      <c r="A6527" s="2">
        <f>IFERROR(__xludf.DUMMYFUNCTION("""COMPUTED_VALUE"""),80341.0)</f>
        <v>80341</v>
      </c>
      <c r="B6527" s="3" t="str">
        <f>IFERROR(__xludf.DUMMYFUNCTION("""COMPUTED_VALUE"""),"2353 COUNTY 30 RD ")</f>
        <v>2353 COUNTY 30 RD </v>
      </c>
      <c r="C6527" s="3" t="str">
        <f>IFERROR(__xludf.DUMMYFUNCTION("""COMPUTED_VALUE"""),"CODRINGTON")</f>
        <v>CODRINGTON</v>
      </c>
      <c r="D6527" s="3" t="str">
        <f>IFERROR(__xludf.DUMMYFUNCTION("""COMPUTED_VALUE"""),"K0K 1R0")</f>
        <v>K0K 1R0</v>
      </c>
      <c r="E6527" s="3" t="str">
        <f>IFERROR(__xludf.DUMMYFUNCTION("""COMPUTED_VALUE"""),"Patrick Hickey")</f>
        <v>Patrick Hickey</v>
      </c>
      <c r="F6527" s="3" t="str">
        <f>IFERROR(__xludf.DUMMYFUNCTION("""COMPUTED_VALUE"""),"hickjpca@hotmail.com")</f>
        <v>hickjpca@hotmail.com</v>
      </c>
      <c r="G6527" s="3"/>
      <c r="H6527" s="3"/>
    </row>
    <row r="6528">
      <c r="A6528" s="2">
        <f>IFERROR(__xludf.DUMMYFUNCTION("""COMPUTED_VALUE"""),80342.0)</f>
        <v>80342</v>
      </c>
      <c r="B6528" s="3" t="str">
        <f>IFERROR(__xludf.DUMMYFUNCTION("""COMPUTED_VALUE"""),"2361 COUNTY 30 RD ")</f>
        <v>2361 COUNTY 30 RD </v>
      </c>
      <c r="C6528" s="3" t="str">
        <f>IFERROR(__xludf.DUMMYFUNCTION("""COMPUTED_VALUE"""),"CODRINGTON")</f>
        <v>CODRINGTON</v>
      </c>
      <c r="D6528" s="3" t="str">
        <f>IFERROR(__xludf.DUMMYFUNCTION("""COMPUTED_VALUE"""),"K0K 1R0")</f>
        <v>K0K 1R0</v>
      </c>
      <c r="E6528" s="3" t="str">
        <f>IFERROR(__xludf.DUMMYFUNCTION("""COMPUTED_VALUE"""),"danielle ibbotson")</f>
        <v>danielle ibbotson</v>
      </c>
      <c r="F6528" s="3" t="str">
        <f>IFERROR(__xludf.DUMMYFUNCTION("""COMPUTED_VALUE"""),"ibbotson.danielle@yahoo.com")</f>
        <v>ibbotson.danielle@yahoo.com</v>
      </c>
      <c r="G6528" s="3">
        <f>IFERROR(__xludf.DUMMYFUNCTION("""COMPUTED_VALUE"""),6.138482501E9)</f>
        <v>6138482501</v>
      </c>
      <c r="H6528" s="3"/>
    </row>
    <row r="6529">
      <c r="A6529" s="2">
        <f>IFERROR(__xludf.DUMMYFUNCTION("""COMPUTED_VALUE"""),80343.0)</f>
        <v>80343</v>
      </c>
      <c r="B6529" s="3" t="str">
        <f>IFERROR(__xludf.DUMMYFUNCTION("""COMPUTED_VALUE"""),"2364 COUNTY 30 RD ")</f>
        <v>2364 COUNTY 30 RD </v>
      </c>
      <c r="C6529" s="3" t="str">
        <f>IFERROR(__xludf.DUMMYFUNCTION("""COMPUTED_VALUE"""),"CODRINGTON")</f>
        <v>CODRINGTON</v>
      </c>
      <c r="D6529" s="3" t="str">
        <f>IFERROR(__xludf.DUMMYFUNCTION("""COMPUTED_VALUE"""),"K0K 1R0")</f>
        <v>K0K 1R0</v>
      </c>
      <c r="E6529" s="3" t="str">
        <f>IFERROR(__xludf.DUMMYFUNCTION("""COMPUTED_VALUE"""),"Susanne Hazlewood")</f>
        <v>Susanne Hazlewood</v>
      </c>
      <c r="F6529" s="3" t="str">
        <f>IFERROR(__xludf.DUMMYFUNCTION("""COMPUTED_VALUE"""),"ronhaze@xplornet.com")</f>
        <v>ronhaze@xplornet.com</v>
      </c>
      <c r="G6529" s="3"/>
      <c r="H6529" s="3"/>
    </row>
    <row r="6530">
      <c r="A6530" s="2">
        <f>IFERROR(__xludf.DUMMYFUNCTION("""COMPUTED_VALUE"""),80344.0)</f>
        <v>80344</v>
      </c>
      <c r="B6530" s="3" t="str">
        <f>IFERROR(__xludf.DUMMYFUNCTION("""COMPUTED_VALUE"""),"2365 COUNTY 30 RD ")</f>
        <v>2365 COUNTY 30 RD </v>
      </c>
      <c r="C6530" s="3" t="str">
        <f>IFERROR(__xludf.DUMMYFUNCTION("""COMPUTED_VALUE"""),"CODRINGTON")</f>
        <v>CODRINGTON</v>
      </c>
      <c r="D6530" s="3" t="str">
        <f>IFERROR(__xludf.DUMMYFUNCTION("""COMPUTED_VALUE"""),"K0K 1R0")</f>
        <v>K0K 1R0</v>
      </c>
      <c r="E6530" s="3" t="str">
        <f>IFERROR(__xludf.DUMMYFUNCTION("""COMPUTED_VALUE"""),"SUSANNE HAZLEWOOD")</f>
        <v>SUSANNE HAZLEWOOD</v>
      </c>
      <c r="F6530" s="3" t="str">
        <f>IFERROR(__xludf.DUMMYFUNCTION("""COMPUTED_VALUE"""),"ronhaze@xplornet.com")</f>
        <v>ronhaze@xplornet.com</v>
      </c>
      <c r="G6530" s="3"/>
      <c r="H6530" s="3"/>
    </row>
    <row r="6531">
      <c r="A6531" s="2">
        <f>IFERROR(__xludf.DUMMYFUNCTION("""COMPUTED_VALUE"""),80345.0)</f>
        <v>80345</v>
      </c>
      <c r="B6531" s="3" t="str">
        <f>IFERROR(__xludf.DUMMYFUNCTION("""COMPUTED_VALUE"""),"2379 COUNTY 30 RD ")</f>
        <v>2379 COUNTY 30 RD </v>
      </c>
      <c r="C6531" s="3" t="str">
        <f>IFERROR(__xludf.DUMMYFUNCTION("""COMPUTED_VALUE"""),"CODRINGTON")</f>
        <v>CODRINGTON</v>
      </c>
      <c r="D6531" s="3" t="str">
        <f>IFERROR(__xludf.DUMMYFUNCTION("""COMPUTED_VALUE"""),"K0K 1R0")</f>
        <v>K0K 1R0</v>
      </c>
      <c r="E6531" s="3" t="str">
        <f>IFERROR(__xludf.DUMMYFUNCTION("""COMPUTED_VALUE"""),"pamela mclaughlin")</f>
        <v>pamela mclaughlin</v>
      </c>
      <c r="F6531" s="3" t="str">
        <f>IFERROR(__xludf.DUMMYFUNCTION("""COMPUTED_VALUE"""),"p.mclaughlin@voodooair.com")</f>
        <v>p.mclaughlin@voodooair.com</v>
      </c>
      <c r="G6531" s="3">
        <f>IFERROR(__xludf.DUMMYFUNCTION("""COMPUTED_VALUE"""),9.056212973E9)</f>
        <v>9056212973</v>
      </c>
      <c r="H6531" s="3"/>
    </row>
    <row r="6532">
      <c r="A6532" s="2">
        <f>IFERROR(__xludf.DUMMYFUNCTION("""COMPUTED_VALUE"""),80346.0)</f>
        <v>80346</v>
      </c>
      <c r="B6532" s="3" t="str">
        <f>IFERROR(__xludf.DUMMYFUNCTION("""COMPUTED_VALUE"""),"2423 COUNTY 30 RD ")</f>
        <v>2423 COUNTY 30 RD </v>
      </c>
      <c r="C6532" s="3" t="str">
        <f>IFERROR(__xludf.DUMMYFUNCTION("""COMPUTED_VALUE"""),"CODRINGTON")</f>
        <v>CODRINGTON</v>
      </c>
      <c r="D6532" s="3" t="str">
        <f>IFERROR(__xludf.DUMMYFUNCTION("""COMPUTED_VALUE"""),"K0K 1R0")</f>
        <v>K0K 1R0</v>
      </c>
      <c r="E6532" s="3" t="str">
        <f>IFERROR(__xludf.DUMMYFUNCTION("""COMPUTED_VALUE"""),"pam hazlewood")</f>
        <v>pam hazlewood</v>
      </c>
      <c r="F6532" s="3" t="str">
        <f>IFERROR(__xludf.DUMMYFUNCTION("""COMPUTED_VALUE"""),"phazlewood1@hotmail.com")</f>
        <v>phazlewood1@hotmail.com</v>
      </c>
      <c r="G6532" s="3">
        <f>IFERROR(__xludf.DUMMYFUNCTION("""COMPUTED_VALUE"""),6.133919551E9)</f>
        <v>6133919551</v>
      </c>
      <c r="H6532" s="3"/>
    </row>
    <row r="6533">
      <c r="A6533" s="2">
        <f>IFERROR(__xludf.DUMMYFUNCTION("""COMPUTED_VALUE"""),80347.0)</f>
        <v>80347</v>
      </c>
      <c r="B6533" s="3" t="str">
        <f>IFERROR(__xludf.DUMMYFUNCTION("""COMPUTED_VALUE"""),"2439 COUNTY 30 RD ")</f>
        <v>2439 COUNTY 30 RD </v>
      </c>
      <c r="C6533" s="3" t="str">
        <f>IFERROR(__xludf.DUMMYFUNCTION("""COMPUTED_VALUE"""),"CODRINGTON")</f>
        <v>CODRINGTON</v>
      </c>
      <c r="D6533" s="3" t="str">
        <f>IFERROR(__xludf.DUMMYFUNCTION("""COMPUTED_VALUE"""),"K0K 1R0")</f>
        <v>K0K 1R0</v>
      </c>
      <c r="E6533" s="3"/>
      <c r="F6533" s="3"/>
      <c r="G6533" s="3"/>
      <c r="H6533" s="3"/>
    </row>
    <row r="6534">
      <c r="A6534" s="2">
        <f>IFERROR(__xludf.DUMMYFUNCTION("""COMPUTED_VALUE"""),80348.0)</f>
        <v>80348</v>
      </c>
      <c r="B6534" s="3" t="str">
        <f>IFERROR(__xludf.DUMMYFUNCTION("""COMPUTED_VALUE"""),"2451 COUNTY 30 RD ")</f>
        <v>2451 COUNTY 30 RD </v>
      </c>
      <c r="C6534" s="3" t="str">
        <f>IFERROR(__xludf.DUMMYFUNCTION("""COMPUTED_VALUE"""),"CODRINGTON")</f>
        <v>CODRINGTON</v>
      </c>
      <c r="D6534" s="3" t="str">
        <f>IFERROR(__xludf.DUMMYFUNCTION("""COMPUTED_VALUE"""),"K0K 1R0")</f>
        <v>K0K 1R0</v>
      </c>
      <c r="E6534" s="3" t="str">
        <f>IFERROR(__xludf.DUMMYFUNCTION("""COMPUTED_VALUE"""),"Grace MacDonald")</f>
        <v>Grace MacDonald</v>
      </c>
      <c r="F6534" s="3" t="str">
        <f>IFERROR(__xludf.DUMMYFUNCTION("""COMPUTED_VALUE"""),"sarahgrace@live.ca")</f>
        <v>sarahgrace@live.ca</v>
      </c>
      <c r="G6534" s="3"/>
      <c r="H6534" s="3"/>
    </row>
    <row r="6535">
      <c r="A6535" s="2">
        <f>IFERROR(__xludf.DUMMYFUNCTION("""COMPUTED_VALUE"""),80349.0)</f>
        <v>80349</v>
      </c>
      <c r="B6535" s="3" t="str">
        <f>IFERROR(__xludf.DUMMYFUNCTION("""COMPUTED_VALUE"""),"2548 COUNTY 30 RD ")</f>
        <v>2548 COUNTY 30 RD </v>
      </c>
      <c r="C6535" s="3" t="str">
        <f>IFERROR(__xludf.DUMMYFUNCTION("""COMPUTED_VALUE"""),"CODRINGTON")</f>
        <v>CODRINGTON</v>
      </c>
      <c r="D6535" s="3" t="str">
        <f>IFERROR(__xludf.DUMMYFUNCTION("""COMPUTED_VALUE"""),"K0K 1R0")</f>
        <v>K0K 1R0</v>
      </c>
      <c r="E6535" s="3" t="str">
        <f>IFERROR(__xludf.DUMMYFUNCTION("""COMPUTED_VALUE"""),"tammy michelle archer")</f>
        <v>tammy michelle archer</v>
      </c>
      <c r="F6535" s="3"/>
      <c r="G6535" s="3">
        <f>IFERROR(__xludf.DUMMYFUNCTION("""COMPUTED_VALUE"""),6.139198164E9)</f>
        <v>6139198164</v>
      </c>
      <c r="H6535" s="3"/>
    </row>
    <row r="6536">
      <c r="A6536" s="2">
        <f>IFERROR(__xludf.DUMMYFUNCTION("""COMPUTED_VALUE"""),80350.0)</f>
        <v>80350</v>
      </c>
      <c r="B6536" s="3" t="str">
        <f>IFERROR(__xludf.DUMMYFUNCTION("""COMPUTED_VALUE"""),"2605 COUNTY 30 RD ")</f>
        <v>2605 COUNTY 30 RD </v>
      </c>
      <c r="C6536" s="3" t="str">
        <f>IFERROR(__xludf.DUMMYFUNCTION("""COMPUTED_VALUE"""),"CODRINGTON")</f>
        <v>CODRINGTON</v>
      </c>
      <c r="D6536" s="3" t="str">
        <f>IFERROR(__xludf.DUMMYFUNCTION("""COMPUTED_VALUE"""),"K0K 1R0")</f>
        <v>K0K 1R0</v>
      </c>
      <c r="E6536" s="3"/>
      <c r="F6536" s="3"/>
      <c r="G6536" s="3"/>
      <c r="H6536" s="3"/>
    </row>
    <row r="6537">
      <c r="A6537" s="2">
        <f>IFERROR(__xludf.DUMMYFUNCTION("""COMPUTED_VALUE"""),80351.0)</f>
        <v>80351</v>
      </c>
      <c r="B6537" s="3" t="str">
        <f>IFERROR(__xludf.DUMMYFUNCTION("""COMPUTED_VALUE"""),"2647 COUNTY 30 RD ")</f>
        <v>2647 COUNTY 30 RD </v>
      </c>
      <c r="C6537" s="3" t="str">
        <f>IFERROR(__xludf.DUMMYFUNCTION("""COMPUTED_VALUE"""),"CODRINGTON")</f>
        <v>CODRINGTON</v>
      </c>
      <c r="D6537" s="3" t="str">
        <f>IFERROR(__xludf.DUMMYFUNCTION("""COMPUTED_VALUE"""),"K0K 1R0")</f>
        <v>K0K 1R0</v>
      </c>
      <c r="E6537" s="3"/>
      <c r="F6537" s="3"/>
      <c r="G6537" s="3"/>
      <c r="H6537" s="3"/>
    </row>
    <row r="6538">
      <c r="A6538" s="2">
        <f>IFERROR(__xludf.DUMMYFUNCTION("""COMPUTED_VALUE"""),80352.0)</f>
        <v>80352</v>
      </c>
      <c r="B6538" s="3" t="str">
        <f>IFERROR(__xludf.DUMMYFUNCTION("""COMPUTED_VALUE"""),"2718 COUNTY 30 RD ")</f>
        <v>2718 COUNTY 30 RD </v>
      </c>
      <c r="C6538" s="3" t="str">
        <f>IFERROR(__xludf.DUMMYFUNCTION("""COMPUTED_VALUE"""),"CODRINGTON")</f>
        <v>CODRINGTON</v>
      </c>
      <c r="D6538" s="3" t="str">
        <f>IFERROR(__xludf.DUMMYFUNCTION("""COMPUTED_VALUE"""),"K0K 1R0")</f>
        <v>K0K 1R0</v>
      </c>
      <c r="E6538" s="3" t="str">
        <f>IFERROR(__xludf.DUMMYFUNCTION("""COMPUTED_VALUE"""),"katelynn lawrence")</f>
        <v>katelynn lawrence</v>
      </c>
      <c r="F6538" s="3" t="str">
        <f>IFERROR(__xludf.DUMMYFUNCTION("""COMPUTED_VALUE"""),"katelawrence88@gmail.com")</f>
        <v>katelawrence88@gmail.com</v>
      </c>
      <c r="G6538" s="3">
        <f>IFERROR(__xludf.DUMMYFUNCTION("""COMPUTED_VALUE"""),6.139227273E9)</f>
        <v>6139227273</v>
      </c>
      <c r="H6538" s="3"/>
    </row>
    <row r="6539">
      <c r="A6539" s="2">
        <f>IFERROR(__xludf.DUMMYFUNCTION("""COMPUTED_VALUE"""),80353.0)</f>
        <v>80353</v>
      </c>
      <c r="B6539" s="3" t="str">
        <f>IFERROR(__xludf.DUMMYFUNCTION("""COMPUTED_VALUE"""),"2791 COUNTY 30 RD ")</f>
        <v>2791 COUNTY 30 RD </v>
      </c>
      <c r="C6539" s="3" t="str">
        <f>IFERROR(__xludf.DUMMYFUNCTION("""COMPUTED_VALUE"""),"CODRINGTON")</f>
        <v>CODRINGTON</v>
      </c>
      <c r="D6539" s="3" t="str">
        <f>IFERROR(__xludf.DUMMYFUNCTION("""COMPUTED_VALUE"""),"K0K 1R0")</f>
        <v>K0K 1R0</v>
      </c>
      <c r="E6539" s="3"/>
      <c r="F6539" s="3"/>
      <c r="G6539" s="3"/>
      <c r="H6539" s="3"/>
    </row>
    <row r="6540">
      <c r="A6540" s="2">
        <f>IFERROR(__xludf.DUMMYFUNCTION("""COMPUTED_VALUE"""),80354.0)</f>
        <v>80354</v>
      </c>
      <c r="B6540" s="3" t="str">
        <f>IFERROR(__xludf.DUMMYFUNCTION("""COMPUTED_VALUE"""),"2851 COUNTY 30 RD ")</f>
        <v>2851 COUNTY 30 RD </v>
      </c>
      <c r="C6540" s="3" t="str">
        <f>IFERROR(__xludf.DUMMYFUNCTION("""COMPUTED_VALUE"""),"CODRINGTON")</f>
        <v>CODRINGTON</v>
      </c>
      <c r="D6540" s="3" t="str">
        <f>IFERROR(__xludf.DUMMYFUNCTION("""COMPUTED_VALUE"""),"K0K 1R0")</f>
        <v>K0K 1R0</v>
      </c>
      <c r="E6540" s="3"/>
      <c r="F6540" s="3"/>
      <c r="G6540" s="3"/>
      <c r="H6540" s="3"/>
    </row>
    <row r="6541">
      <c r="A6541" s="2">
        <f>IFERROR(__xludf.DUMMYFUNCTION("""COMPUTED_VALUE"""),80355.0)</f>
        <v>80355</v>
      </c>
      <c r="B6541" s="3" t="str">
        <f>IFERROR(__xludf.DUMMYFUNCTION("""COMPUTED_VALUE"""),"2854 COUNTY 30 RD ")</f>
        <v>2854 COUNTY 30 RD </v>
      </c>
      <c r="C6541" s="3" t="str">
        <f>IFERROR(__xludf.DUMMYFUNCTION("""COMPUTED_VALUE"""),"CODRINGTON")</f>
        <v>CODRINGTON</v>
      </c>
      <c r="D6541" s="3" t="str">
        <f>IFERROR(__xludf.DUMMYFUNCTION("""COMPUTED_VALUE"""),"K0K 1R0")</f>
        <v>K0K 1R0</v>
      </c>
      <c r="E6541" s="3"/>
      <c r="F6541" s="3"/>
      <c r="G6541" s="3"/>
      <c r="H6541" s="3"/>
    </row>
    <row r="6542">
      <c r="A6542" s="2">
        <f>IFERROR(__xludf.DUMMYFUNCTION("""COMPUTED_VALUE"""),80356.0)</f>
        <v>80356</v>
      </c>
      <c r="B6542" s="3" t="str">
        <f>IFERROR(__xludf.DUMMYFUNCTION("""COMPUTED_VALUE"""),"2919 COUNTY 30 RD ")</f>
        <v>2919 COUNTY 30 RD </v>
      </c>
      <c r="C6542" s="3" t="str">
        <f>IFERROR(__xludf.DUMMYFUNCTION("""COMPUTED_VALUE"""),"CODRINGTON")</f>
        <v>CODRINGTON</v>
      </c>
      <c r="D6542" s="3" t="str">
        <f>IFERROR(__xludf.DUMMYFUNCTION("""COMPUTED_VALUE"""),"K0K 1R0")</f>
        <v>K0K 1R0</v>
      </c>
      <c r="E6542" s="3" t="str">
        <f>IFERROR(__xludf.DUMMYFUNCTION("""COMPUTED_VALUE"""),"Louise Lloyd")</f>
        <v>Louise Lloyd</v>
      </c>
      <c r="F6542" s="3" t="str">
        <f>IFERROR(__xludf.DUMMYFUNCTION("""COMPUTED_VALUE"""),"louiselloyd58@outlook.com")</f>
        <v>louiselloyd58@outlook.com</v>
      </c>
      <c r="G6542" s="3"/>
      <c r="H6542" s="3"/>
    </row>
    <row r="6543">
      <c r="A6543" s="2">
        <f>IFERROR(__xludf.DUMMYFUNCTION("""COMPUTED_VALUE"""),80357.0)</f>
        <v>80357</v>
      </c>
      <c r="B6543" s="3" t="str">
        <f>IFERROR(__xludf.DUMMYFUNCTION("""COMPUTED_VALUE"""),"2927 COUNTY 30 RD ")</f>
        <v>2927 COUNTY 30 RD </v>
      </c>
      <c r="C6543" s="3" t="str">
        <f>IFERROR(__xludf.DUMMYFUNCTION("""COMPUTED_VALUE"""),"CODRINGTON")</f>
        <v>CODRINGTON</v>
      </c>
      <c r="D6543" s="3" t="str">
        <f>IFERROR(__xludf.DUMMYFUNCTION("""COMPUTED_VALUE"""),"K0K 1R0")</f>
        <v>K0K 1R0</v>
      </c>
      <c r="E6543" s="3" t="str">
        <f>IFERROR(__xludf.DUMMYFUNCTION("""COMPUTED_VALUE"""),"Susan &amp; David Asselstine")</f>
        <v>Susan &amp; David Asselstine</v>
      </c>
      <c r="F6543" s="3" t="str">
        <f>IFERROR(__xludf.DUMMYFUNCTION("""COMPUTED_VALUE"""),"sue.asselstine@hotmailcom")</f>
        <v>sue.asselstine@hotmailcom</v>
      </c>
      <c r="G6543" s="3"/>
      <c r="H6543" s="3"/>
    </row>
    <row r="6544">
      <c r="A6544" s="2">
        <f>IFERROR(__xludf.DUMMYFUNCTION("""COMPUTED_VALUE"""),80358.0)</f>
        <v>80358</v>
      </c>
      <c r="B6544" s="3" t="str">
        <f>IFERROR(__xludf.DUMMYFUNCTION("""COMPUTED_VALUE"""),"2947 COUNTY 30 RD ")</f>
        <v>2947 COUNTY 30 RD </v>
      </c>
      <c r="C6544" s="3" t="str">
        <f>IFERROR(__xludf.DUMMYFUNCTION("""COMPUTED_VALUE"""),"CODRINGTON")</f>
        <v>CODRINGTON</v>
      </c>
      <c r="D6544" s="3" t="str">
        <f>IFERROR(__xludf.DUMMYFUNCTION("""COMPUTED_VALUE"""),"K0K 1R0")</f>
        <v>K0K 1R0</v>
      </c>
      <c r="E6544" s="3" t="str">
        <f>IFERROR(__xludf.DUMMYFUNCTION("""COMPUTED_VALUE"""),"sam paive ")</f>
        <v>sam paive </v>
      </c>
      <c r="F6544" s="3" t="str">
        <f>IFERROR(__xludf.DUMMYFUNCTION("""COMPUTED_VALUE"""),"sam.nick96@outlook.com")</f>
        <v>sam.nick96@outlook.com</v>
      </c>
      <c r="G6544" s="3">
        <f>IFERROR(__xludf.DUMMYFUNCTION("""COMPUTED_VALUE"""),5.192151096E9)</f>
        <v>5192151096</v>
      </c>
      <c r="H6544" s="3"/>
    </row>
    <row r="6545">
      <c r="A6545" s="2">
        <f>IFERROR(__xludf.DUMMYFUNCTION("""COMPUTED_VALUE"""),80359.0)</f>
        <v>80359</v>
      </c>
      <c r="B6545" s="3" t="str">
        <f>IFERROR(__xludf.DUMMYFUNCTION("""COMPUTED_VALUE"""),"2992 COUNTY 30 RD ")</f>
        <v>2992 COUNTY 30 RD </v>
      </c>
      <c r="C6545" s="3" t="str">
        <f>IFERROR(__xludf.DUMMYFUNCTION("""COMPUTED_VALUE"""),"CODRINGTON")</f>
        <v>CODRINGTON</v>
      </c>
      <c r="D6545" s="3" t="str">
        <f>IFERROR(__xludf.DUMMYFUNCTION("""COMPUTED_VALUE"""),"K0K 1R0")</f>
        <v>K0K 1R0</v>
      </c>
      <c r="E6545" s="3"/>
      <c r="F6545" s="3"/>
      <c r="G6545" s="3"/>
      <c r="H6545" s="3"/>
    </row>
    <row r="6546">
      <c r="A6546" s="2">
        <f>IFERROR(__xludf.DUMMYFUNCTION("""COMPUTED_VALUE"""),80360.0)</f>
        <v>80360</v>
      </c>
      <c r="B6546" s="3" t="str">
        <f>IFERROR(__xludf.DUMMYFUNCTION("""COMPUTED_VALUE"""),"3005 COUNTY 30 RD ")</f>
        <v>3005 COUNTY 30 RD </v>
      </c>
      <c r="C6546" s="3" t="str">
        <f>IFERROR(__xludf.DUMMYFUNCTION("""COMPUTED_VALUE"""),"CODRINGTON")</f>
        <v>CODRINGTON</v>
      </c>
      <c r="D6546" s="3" t="str">
        <f>IFERROR(__xludf.DUMMYFUNCTION("""COMPUTED_VALUE"""),"K0K 1R0")</f>
        <v>K0K 1R0</v>
      </c>
      <c r="E6546" s="3"/>
      <c r="F6546" s="3"/>
      <c r="G6546" s="3"/>
      <c r="H6546" s="3"/>
    </row>
    <row r="6547">
      <c r="A6547" s="2">
        <f>IFERROR(__xludf.DUMMYFUNCTION("""COMPUTED_VALUE"""),80361.0)</f>
        <v>80361</v>
      </c>
      <c r="B6547" s="3" t="str">
        <f>IFERROR(__xludf.DUMMYFUNCTION("""COMPUTED_VALUE"""),"3006 COUNTY 30 RD ")</f>
        <v>3006 COUNTY 30 RD </v>
      </c>
      <c r="C6547" s="3" t="str">
        <f>IFERROR(__xludf.DUMMYFUNCTION("""COMPUTED_VALUE"""),"CODRINGTON")</f>
        <v>CODRINGTON</v>
      </c>
      <c r="D6547" s="3" t="str">
        <f>IFERROR(__xludf.DUMMYFUNCTION("""COMPUTED_VALUE"""),"K0K 1R0")</f>
        <v>K0K 1R0</v>
      </c>
      <c r="E6547" s="3"/>
      <c r="F6547" s="3"/>
      <c r="G6547" s="3"/>
      <c r="H6547" s="3"/>
    </row>
    <row r="6548">
      <c r="A6548" s="2">
        <f>IFERROR(__xludf.DUMMYFUNCTION("""COMPUTED_VALUE"""),80362.0)</f>
        <v>80362</v>
      </c>
      <c r="B6548" s="3" t="str">
        <f>IFERROR(__xludf.DUMMYFUNCTION("""COMPUTED_VALUE"""),"3010 COUNTY 30 RD ")</f>
        <v>3010 COUNTY 30 RD </v>
      </c>
      <c r="C6548" s="3" t="str">
        <f>IFERROR(__xludf.DUMMYFUNCTION("""COMPUTED_VALUE"""),"CODRINGTON")</f>
        <v>CODRINGTON</v>
      </c>
      <c r="D6548" s="3" t="str">
        <f>IFERROR(__xludf.DUMMYFUNCTION("""COMPUTED_VALUE"""),"K0K 1R0")</f>
        <v>K0K 1R0</v>
      </c>
      <c r="E6548" s="3" t="str">
        <f>IFERROR(__xludf.DUMMYFUNCTION("""COMPUTED_VALUE"""),"richard dingman")</f>
        <v>richard dingman</v>
      </c>
      <c r="F6548" s="3"/>
      <c r="G6548" s="3">
        <f>IFERROR(__xludf.DUMMYFUNCTION("""COMPUTED_VALUE"""),6.134753973E9)</f>
        <v>6134753973</v>
      </c>
      <c r="H6548" s="3"/>
    </row>
    <row r="6549">
      <c r="A6549" s="2">
        <f>IFERROR(__xludf.DUMMYFUNCTION("""COMPUTED_VALUE"""),80363.0)</f>
        <v>80363</v>
      </c>
      <c r="B6549" s="3" t="str">
        <f>IFERROR(__xludf.DUMMYFUNCTION("""COMPUTED_VALUE"""),"3032 COUNTY 30 RD ")</f>
        <v>3032 COUNTY 30 RD </v>
      </c>
      <c r="C6549" s="3" t="str">
        <f>IFERROR(__xludf.DUMMYFUNCTION("""COMPUTED_VALUE"""),"CODRINGTON")</f>
        <v>CODRINGTON</v>
      </c>
      <c r="D6549" s="3" t="str">
        <f>IFERROR(__xludf.DUMMYFUNCTION("""COMPUTED_VALUE"""),"K0K 1R0")</f>
        <v>K0K 1R0</v>
      </c>
      <c r="E6549" s="3" t="str">
        <f>IFERROR(__xludf.DUMMYFUNCTION("""COMPUTED_VALUE"""),"barbara and stephen  yatsula")</f>
        <v>barbara and stephen  yatsula</v>
      </c>
      <c r="F6549" s="3" t="str">
        <f>IFERROR(__xludf.DUMMYFUNCTION("""COMPUTED_VALUE"""),"barbarayatsula@gmail.com")</f>
        <v>barbarayatsula@gmail.com</v>
      </c>
      <c r="G6549" s="3">
        <f>IFERROR(__xludf.DUMMYFUNCTION("""COMPUTED_VALUE"""),6.134382046E9)</f>
        <v>6134382046</v>
      </c>
      <c r="H6549" s="3"/>
    </row>
    <row r="6550">
      <c r="A6550" s="2">
        <f>IFERROR(__xludf.DUMMYFUNCTION("""COMPUTED_VALUE"""),80364.0)</f>
        <v>80364</v>
      </c>
      <c r="B6550" s="3" t="str">
        <f>IFERROR(__xludf.DUMMYFUNCTION("""COMPUTED_VALUE"""),"3045 COUNTY 30 RD ")</f>
        <v>3045 COUNTY 30 RD </v>
      </c>
      <c r="C6550" s="3" t="str">
        <f>IFERROR(__xludf.DUMMYFUNCTION("""COMPUTED_VALUE"""),"CODRINGTON")</f>
        <v>CODRINGTON</v>
      </c>
      <c r="D6550" s="3" t="str">
        <f>IFERROR(__xludf.DUMMYFUNCTION("""COMPUTED_VALUE"""),"K0K 1R0")</f>
        <v>K0K 1R0</v>
      </c>
      <c r="E6550" s="3" t="str">
        <f>IFERROR(__xludf.DUMMYFUNCTION("""COMPUTED_VALUE"""),"alexandra smith")</f>
        <v>alexandra smith</v>
      </c>
      <c r="F6550" s="3" t="str">
        <f>IFERROR(__xludf.DUMMYFUNCTION("""COMPUTED_VALUE"""),"alexandra_r@outlook.com")</f>
        <v>alexandra_r@outlook.com</v>
      </c>
      <c r="G6550" s="3">
        <f>IFERROR(__xludf.DUMMYFUNCTION("""COMPUTED_VALUE"""),9.05396421E9)</f>
        <v>9053964210</v>
      </c>
      <c r="H6550" s="3"/>
    </row>
    <row r="6551">
      <c r="A6551" s="2">
        <f>IFERROR(__xludf.DUMMYFUNCTION("""COMPUTED_VALUE"""),80365.0)</f>
        <v>80365</v>
      </c>
      <c r="B6551" s="3" t="str">
        <f>IFERROR(__xludf.DUMMYFUNCTION("""COMPUTED_VALUE"""),"3046 COUNTY 30 RD ")</f>
        <v>3046 COUNTY 30 RD </v>
      </c>
      <c r="C6551" s="3" t="str">
        <f>IFERROR(__xludf.DUMMYFUNCTION("""COMPUTED_VALUE"""),"CODRINGTON")</f>
        <v>CODRINGTON</v>
      </c>
      <c r="D6551" s="3" t="str">
        <f>IFERROR(__xludf.DUMMYFUNCTION("""COMPUTED_VALUE"""),"K0K 1R0")</f>
        <v>K0K 1R0</v>
      </c>
      <c r="E6551" s="3" t="str">
        <f>IFERROR(__xludf.DUMMYFUNCTION("""COMPUTED_VALUE"""),"roy bruce")</f>
        <v>roy bruce</v>
      </c>
      <c r="F6551" s="3" t="str">
        <f>IFERROR(__xludf.DUMMYFUNCTION("""COMPUTED_VALUE"""),"7zrebz7@gmail.com")</f>
        <v>7zrebz7@gmail.com</v>
      </c>
      <c r="G6551" s="3">
        <f>IFERROR(__xludf.DUMMYFUNCTION("""COMPUTED_VALUE"""),9.052597323E9)</f>
        <v>9052597323</v>
      </c>
      <c r="H6551" s="3"/>
    </row>
    <row r="6552">
      <c r="A6552" s="2">
        <f>IFERROR(__xludf.DUMMYFUNCTION("""COMPUTED_VALUE"""),80366.0)</f>
        <v>80366</v>
      </c>
      <c r="B6552" s="3" t="str">
        <f>IFERROR(__xludf.DUMMYFUNCTION("""COMPUTED_VALUE"""),"3054 COUNTY 30 RD ")</f>
        <v>3054 COUNTY 30 RD </v>
      </c>
      <c r="C6552" s="3" t="str">
        <f>IFERROR(__xludf.DUMMYFUNCTION("""COMPUTED_VALUE"""),"CODRINGTON")</f>
        <v>CODRINGTON</v>
      </c>
      <c r="D6552" s="3" t="str">
        <f>IFERROR(__xludf.DUMMYFUNCTION("""COMPUTED_VALUE"""),"K0K 1R0")</f>
        <v>K0K 1R0</v>
      </c>
      <c r="E6552" s="3"/>
      <c r="F6552" s="3"/>
      <c r="G6552" s="3"/>
      <c r="H6552" s="3"/>
    </row>
    <row r="6553">
      <c r="A6553" s="2">
        <f>IFERROR(__xludf.DUMMYFUNCTION("""COMPUTED_VALUE"""),80367.0)</f>
        <v>80367</v>
      </c>
      <c r="B6553" s="3" t="str">
        <f>IFERROR(__xludf.DUMMYFUNCTION("""COMPUTED_VALUE"""),"3058 COUNTY 30 RD ")</f>
        <v>3058 COUNTY 30 RD </v>
      </c>
      <c r="C6553" s="3" t="str">
        <f>IFERROR(__xludf.DUMMYFUNCTION("""COMPUTED_VALUE"""),"CODRINGTON")</f>
        <v>CODRINGTON</v>
      </c>
      <c r="D6553" s="3" t="str">
        <f>IFERROR(__xludf.DUMMYFUNCTION("""COMPUTED_VALUE"""),"K0K 1R0")</f>
        <v>K0K 1R0</v>
      </c>
      <c r="E6553" s="3"/>
      <c r="F6553" s="3"/>
      <c r="G6553" s="3"/>
      <c r="H6553" s="3"/>
    </row>
    <row r="6554">
      <c r="A6554" s="2">
        <f>IFERROR(__xludf.DUMMYFUNCTION("""COMPUTED_VALUE"""),80368.0)</f>
        <v>80368</v>
      </c>
      <c r="B6554" s="3" t="str">
        <f>IFERROR(__xludf.DUMMYFUNCTION("""COMPUTED_VALUE"""),"3061 COUNTY 30 RD ")</f>
        <v>3061 COUNTY 30 RD </v>
      </c>
      <c r="C6554" s="3" t="str">
        <f>IFERROR(__xludf.DUMMYFUNCTION("""COMPUTED_VALUE"""),"CODRINGTON")</f>
        <v>CODRINGTON</v>
      </c>
      <c r="D6554" s="3" t="str">
        <f>IFERROR(__xludf.DUMMYFUNCTION("""COMPUTED_VALUE"""),"K0K 1R0")</f>
        <v>K0K 1R0</v>
      </c>
      <c r="E6554" s="3" t="str">
        <f>IFERROR(__xludf.DUMMYFUNCTION("""COMPUTED_VALUE"""),"jenna mason `")</f>
        <v>jenna mason `</v>
      </c>
      <c r="F6554" s="3" t="str">
        <f>IFERROR(__xludf.DUMMYFUNCTION("""COMPUTED_VALUE"""),"jenladybug80@gmail.com")</f>
        <v>jenladybug80@gmail.com</v>
      </c>
      <c r="G6554" s="3">
        <f>IFERROR(__xludf.DUMMYFUNCTION("""COMPUTED_VALUE"""),9.052696458E9)</f>
        <v>9052696458</v>
      </c>
      <c r="H6554" s="3"/>
    </row>
    <row r="6555">
      <c r="A6555" s="2">
        <f>IFERROR(__xludf.DUMMYFUNCTION("""COMPUTED_VALUE"""),80369.0)</f>
        <v>80369</v>
      </c>
      <c r="B6555" s="3" t="str">
        <f>IFERROR(__xludf.DUMMYFUNCTION("""COMPUTED_VALUE"""),"3072 COUNTY 30 RD ")</f>
        <v>3072 COUNTY 30 RD </v>
      </c>
      <c r="C6555" s="3" t="str">
        <f>IFERROR(__xludf.DUMMYFUNCTION("""COMPUTED_VALUE"""),"CODRINGTON")</f>
        <v>CODRINGTON</v>
      </c>
      <c r="D6555" s="3" t="str">
        <f>IFERROR(__xludf.DUMMYFUNCTION("""COMPUTED_VALUE"""),"K0K 1R0")</f>
        <v>K0K 1R0</v>
      </c>
      <c r="E6555" s="3" t="str">
        <f>IFERROR(__xludf.DUMMYFUNCTION("""COMPUTED_VALUE"""),"stacy drowsy")</f>
        <v>stacy drowsy</v>
      </c>
      <c r="F6555" s="3" t="str">
        <f>IFERROR(__xludf.DUMMYFUNCTION("""COMPUTED_VALUE"""),"sdrowsy@xplornet.com")</f>
        <v>sdrowsy@xplornet.com</v>
      </c>
      <c r="G6555" s="3">
        <f>IFERROR(__xludf.DUMMYFUNCTION("""COMPUTED_VALUE"""),6.138484546E9)</f>
        <v>6138484546</v>
      </c>
      <c r="H6555" s="3"/>
    </row>
    <row r="6556">
      <c r="A6556" s="2">
        <f>IFERROR(__xludf.DUMMYFUNCTION("""COMPUTED_VALUE"""),80370.0)</f>
        <v>80370</v>
      </c>
      <c r="B6556" s="3" t="str">
        <f>IFERROR(__xludf.DUMMYFUNCTION("""COMPUTED_VALUE"""),"3087 COUNTY 30 RD ")</f>
        <v>3087 COUNTY 30 RD </v>
      </c>
      <c r="C6556" s="3" t="str">
        <f>IFERROR(__xludf.DUMMYFUNCTION("""COMPUTED_VALUE"""),"CODRINGTON")</f>
        <v>CODRINGTON</v>
      </c>
      <c r="D6556" s="3" t="str">
        <f>IFERROR(__xludf.DUMMYFUNCTION("""COMPUTED_VALUE"""),"K0K 1R0")</f>
        <v>K0K 1R0</v>
      </c>
      <c r="E6556" s="3"/>
      <c r="F6556" s="3"/>
      <c r="G6556" s="3"/>
      <c r="H6556" s="3"/>
    </row>
    <row r="6557">
      <c r="A6557" s="2">
        <f>IFERROR(__xludf.DUMMYFUNCTION("""COMPUTED_VALUE"""),80371.0)</f>
        <v>80371</v>
      </c>
      <c r="B6557" s="3" t="str">
        <f>IFERROR(__xludf.DUMMYFUNCTION("""COMPUTED_VALUE"""),"3090 COUNTY 30 RD ")</f>
        <v>3090 COUNTY 30 RD </v>
      </c>
      <c r="C6557" s="3" t="str">
        <f>IFERROR(__xludf.DUMMYFUNCTION("""COMPUTED_VALUE"""),"CODRINGTON")</f>
        <v>CODRINGTON</v>
      </c>
      <c r="D6557" s="3" t="str">
        <f>IFERROR(__xludf.DUMMYFUNCTION("""COMPUTED_VALUE"""),"K0K 1R0")</f>
        <v>K0K 1R0</v>
      </c>
      <c r="E6557" s="3" t="str">
        <f>IFERROR(__xludf.DUMMYFUNCTION("""COMPUTED_VALUE"""),"bruce kerswill ")</f>
        <v>bruce kerswill </v>
      </c>
      <c r="F6557" s="3"/>
      <c r="G6557" s="3">
        <f>IFERROR(__xludf.DUMMYFUNCTION("""COMPUTED_VALUE"""),6.134751109E9)</f>
        <v>6134751109</v>
      </c>
      <c r="H6557" s="3"/>
    </row>
    <row r="6558">
      <c r="A6558" s="2">
        <f>IFERROR(__xludf.DUMMYFUNCTION("""COMPUTED_VALUE"""),80372.0)</f>
        <v>80372</v>
      </c>
      <c r="B6558" s="3" t="str">
        <f>IFERROR(__xludf.DUMMYFUNCTION("""COMPUTED_VALUE"""),"3094 COUNTY 30 RD ")</f>
        <v>3094 COUNTY 30 RD </v>
      </c>
      <c r="C6558" s="3" t="str">
        <f>IFERROR(__xludf.DUMMYFUNCTION("""COMPUTED_VALUE"""),"CODRINGTON")</f>
        <v>CODRINGTON</v>
      </c>
      <c r="D6558" s="3" t="str">
        <f>IFERROR(__xludf.DUMMYFUNCTION("""COMPUTED_VALUE"""),"K0K 1R0")</f>
        <v>K0K 1R0</v>
      </c>
      <c r="E6558" s="3" t="str">
        <f>IFERROR(__xludf.DUMMYFUNCTION("""COMPUTED_VALUE"""),"kyle barnley")</f>
        <v>kyle barnley</v>
      </c>
      <c r="F6558" s="3"/>
      <c r="G6558" s="3">
        <f>IFERROR(__xludf.DUMMYFUNCTION("""COMPUTED_VALUE"""),6.13438474E9)</f>
        <v>6134384740</v>
      </c>
      <c r="H6558" s="3"/>
    </row>
    <row r="6559">
      <c r="A6559" s="2">
        <f>IFERROR(__xludf.DUMMYFUNCTION("""COMPUTED_VALUE"""),80373.0)</f>
        <v>80373</v>
      </c>
      <c r="B6559" s="3" t="str">
        <f>IFERROR(__xludf.DUMMYFUNCTION("""COMPUTED_VALUE"""),"3101 COUNTY 30 RD ")</f>
        <v>3101 COUNTY 30 RD </v>
      </c>
      <c r="C6559" s="3" t="str">
        <f>IFERROR(__xludf.DUMMYFUNCTION("""COMPUTED_VALUE"""),"CODRINGTON")</f>
        <v>CODRINGTON</v>
      </c>
      <c r="D6559" s="3" t="str">
        <f>IFERROR(__xludf.DUMMYFUNCTION("""COMPUTED_VALUE"""),"K0K 1R0")</f>
        <v>K0K 1R0</v>
      </c>
      <c r="E6559" s="3" t="str">
        <f>IFERROR(__xludf.DUMMYFUNCTION("""COMPUTED_VALUE"""),"jacob desoulines")</f>
        <v>jacob desoulines</v>
      </c>
      <c r="F6559" s="3" t="str">
        <f>IFERROR(__xludf.DUMMYFUNCTION("""COMPUTED_VALUE"""),"jakery.1114@gmail.com")</f>
        <v>jakery.1114@gmail.com</v>
      </c>
      <c r="G6559" s="3">
        <f>IFERROR(__xludf.DUMMYFUNCTION("""COMPUTED_VALUE"""),3.436456486E9)</f>
        <v>3436456486</v>
      </c>
      <c r="H6559" s="3"/>
    </row>
    <row r="6560">
      <c r="A6560" s="2">
        <f>IFERROR(__xludf.DUMMYFUNCTION("""COMPUTED_VALUE"""),80374.0)</f>
        <v>80374</v>
      </c>
      <c r="B6560" s="3" t="str">
        <f>IFERROR(__xludf.DUMMYFUNCTION("""COMPUTED_VALUE"""),"3102 COUNTY 30 RD ")</f>
        <v>3102 COUNTY 30 RD </v>
      </c>
      <c r="C6560" s="3" t="str">
        <f>IFERROR(__xludf.DUMMYFUNCTION("""COMPUTED_VALUE"""),"CODRINGTON")</f>
        <v>CODRINGTON</v>
      </c>
      <c r="D6560" s="3" t="str">
        <f>IFERROR(__xludf.DUMMYFUNCTION("""COMPUTED_VALUE"""),"K0K 1R0")</f>
        <v>K0K 1R0</v>
      </c>
      <c r="E6560" s="3" t="str">
        <f>IFERROR(__xludf.DUMMYFUNCTION("""COMPUTED_VALUE"""),"Ashley Hagerman")</f>
        <v>Ashley Hagerman</v>
      </c>
      <c r="F6560" s="3" t="str">
        <f>IFERROR(__xludf.DUMMYFUNCTION("""COMPUTED_VALUE"""),"Ashley.hagerman@hotmail.com")</f>
        <v>Ashley.hagerman@hotmail.com</v>
      </c>
      <c r="G6560" s="3">
        <f>IFERROR(__xludf.DUMMYFUNCTION("""COMPUTED_VALUE"""),9.052693535E9)</f>
        <v>9052693535</v>
      </c>
      <c r="H6560" s="3"/>
    </row>
    <row r="6561">
      <c r="A6561" s="2">
        <f>IFERROR(__xludf.DUMMYFUNCTION("""COMPUTED_VALUE"""),80375.0)</f>
        <v>80375</v>
      </c>
      <c r="B6561" s="3" t="str">
        <f>IFERROR(__xludf.DUMMYFUNCTION("""COMPUTED_VALUE"""),"3114 COUNTY 30 RD ")</f>
        <v>3114 COUNTY 30 RD </v>
      </c>
      <c r="C6561" s="3" t="str">
        <f>IFERROR(__xludf.DUMMYFUNCTION("""COMPUTED_VALUE"""),"CODRINGTON")</f>
        <v>CODRINGTON</v>
      </c>
      <c r="D6561" s="3" t="str">
        <f>IFERROR(__xludf.DUMMYFUNCTION("""COMPUTED_VALUE"""),"K0K 1R0")</f>
        <v>K0K 1R0</v>
      </c>
      <c r="E6561" s="3" t="str">
        <f>IFERROR(__xludf.DUMMYFUNCTION("""COMPUTED_VALUE"""),"Jeffrey Naegeli")</f>
        <v>Jeffrey Naegeli</v>
      </c>
      <c r="F6561" s="3" t="str">
        <f>IFERROR(__xludf.DUMMYFUNCTION("""COMPUTED_VALUE"""),"quad119@hotmail.com")</f>
        <v>quad119@hotmail.com</v>
      </c>
      <c r="G6561" s="3"/>
      <c r="H6561" s="3"/>
    </row>
    <row r="6562">
      <c r="A6562" s="2">
        <f>IFERROR(__xludf.DUMMYFUNCTION("""COMPUTED_VALUE"""),80376.0)</f>
        <v>80376</v>
      </c>
      <c r="B6562" s="3" t="str">
        <f>IFERROR(__xludf.DUMMYFUNCTION("""COMPUTED_VALUE"""),"3130 COUNTY 30 RD ")</f>
        <v>3130 COUNTY 30 RD </v>
      </c>
      <c r="C6562" s="3" t="str">
        <f>IFERROR(__xludf.DUMMYFUNCTION("""COMPUTED_VALUE"""),"CODRINGTON")</f>
        <v>CODRINGTON</v>
      </c>
      <c r="D6562" s="3" t="str">
        <f>IFERROR(__xludf.DUMMYFUNCTION("""COMPUTED_VALUE"""),"K0K 1R0")</f>
        <v>K0K 1R0</v>
      </c>
      <c r="E6562" s="3" t="str">
        <f>IFERROR(__xludf.DUMMYFUNCTION("""COMPUTED_VALUE"""),"James H Van Meggelen")</f>
        <v>James H Van Meggelen</v>
      </c>
      <c r="F6562" s="3" t="str">
        <f>IFERROR(__xludf.DUMMYFUNCTION("""COMPUTED_VALUE"""),"jim.vanmeggelen@gmail.com")</f>
        <v>jim.vanmeggelen@gmail.com</v>
      </c>
      <c r="G6562" s="3">
        <f>IFERROR(__xludf.DUMMYFUNCTION("""COMPUTED_VALUE"""),6.478965963E9)</f>
        <v>6478965963</v>
      </c>
      <c r="H6562" s="3"/>
    </row>
    <row r="6563">
      <c r="A6563" s="2">
        <f>IFERROR(__xludf.DUMMYFUNCTION("""COMPUTED_VALUE"""),80377.0)</f>
        <v>80377</v>
      </c>
      <c r="B6563" s="3" t="str">
        <f>IFERROR(__xludf.DUMMYFUNCTION("""COMPUTED_VALUE"""),"3291 COUNTY 30 RD ")</f>
        <v>3291 COUNTY 30 RD </v>
      </c>
      <c r="C6563" s="3" t="str">
        <f>IFERROR(__xludf.DUMMYFUNCTION("""COMPUTED_VALUE"""),"CODRINGTON")</f>
        <v>CODRINGTON</v>
      </c>
      <c r="D6563" s="3" t="str">
        <f>IFERROR(__xludf.DUMMYFUNCTION("""COMPUTED_VALUE"""),"K0K 1R0")</f>
        <v>K0K 1R0</v>
      </c>
      <c r="E6563" s="3"/>
      <c r="F6563" s="3"/>
      <c r="G6563" s="3"/>
      <c r="H6563" s="3"/>
    </row>
    <row r="6564">
      <c r="A6564" s="2">
        <f>IFERROR(__xludf.DUMMYFUNCTION("""COMPUTED_VALUE"""),80378.0)</f>
        <v>80378</v>
      </c>
      <c r="B6564" s="3" t="str">
        <f>IFERROR(__xludf.DUMMYFUNCTION("""COMPUTED_VALUE"""),"3529 COUNTY 30 RD ")</f>
        <v>3529 COUNTY 30 RD </v>
      </c>
      <c r="C6564" s="3" t="str">
        <f>IFERROR(__xludf.DUMMYFUNCTION("""COMPUTED_VALUE"""),"CODRINGTON")</f>
        <v>CODRINGTON</v>
      </c>
      <c r="D6564" s="3" t="str">
        <f>IFERROR(__xludf.DUMMYFUNCTION("""COMPUTED_VALUE"""),"K0K 1R0")</f>
        <v>K0K 1R0</v>
      </c>
      <c r="E6564" s="3" t="str">
        <f>IFERROR(__xludf.DUMMYFUNCTION("""COMPUTED_VALUE"""),"buddy harvey")</f>
        <v>buddy harvey</v>
      </c>
      <c r="F6564" s="3"/>
      <c r="G6564" s="3">
        <f>IFERROR(__xludf.DUMMYFUNCTION("""COMPUTED_VALUE"""),6.134750539E9)</f>
        <v>6134750539</v>
      </c>
      <c r="H6564" s="3"/>
    </row>
    <row r="6565">
      <c r="A6565" s="2">
        <f>IFERROR(__xludf.DUMMYFUNCTION("""COMPUTED_VALUE"""),80379.0)</f>
        <v>80379</v>
      </c>
      <c r="B6565" s="3" t="str">
        <f>IFERROR(__xludf.DUMMYFUNCTION("""COMPUTED_VALUE"""),"3602 COUNTY 30 RD ")</f>
        <v>3602 COUNTY 30 RD </v>
      </c>
      <c r="C6565" s="3" t="str">
        <f>IFERROR(__xludf.DUMMYFUNCTION("""COMPUTED_VALUE"""),"CODRINGTON")</f>
        <v>CODRINGTON</v>
      </c>
      <c r="D6565" s="3" t="str">
        <f>IFERROR(__xludf.DUMMYFUNCTION("""COMPUTED_VALUE"""),"K0K 1R0")</f>
        <v>K0K 1R0</v>
      </c>
      <c r="E6565" s="3" t="str">
        <f>IFERROR(__xludf.DUMMYFUNCTION("""COMPUTED_VALUE"""),"ron mcgee")</f>
        <v>ron mcgee</v>
      </c>
      <c r="F6565" s="3"/>
      <c r="G6565" s="3">
        <f>IFERROR(__xludf.DUMMYFUNCTION("""COMPUTED_VALUE"""),6.134750196E9)</f>
        <v>6134750196</v>
      </c>
      <c r="H6565" s="3">
        <f>IFERROR(__xludf.DUMMYFUNCTION("""COMPUTED_VALUE"""),6.138488522E9)</f>
        <v>6138488522</v>
      </c>
    </row>
    <row r="6566">
      <c r="A6566" s="2">
        <f>IFERROR(__xludf.DUMMYFUNCTION("""COMPUTED_VALUE"""),80301.0)</f>
        <v>80301</v>
      </c>
      <c r="B6566" s="3" t="str">
        <f>IFERROR(__xludf.DUMMYFUNCTION("""COMPUTED_VALUE"""),"979 COUNTY 30 RD ")</f>
        <v>979 COUNTY 30 RD </v>
      </c>
      <c r="C6566" s="3" t="str">
        <f>IFERROR(__xludf.DUMMYFUNCTION("""COMPUTED_VALUE"""),"BRIGHTON")</f>
        <v>BRIGHTON</v>
      </c>
      <c r="D6566" s="3" t="str">
        <f>IFERROR(__xludf.DUMMYFUNCTION("""COMPUTED_VALUE"""),"K0K 1H0")</f>
        <v>K0K 1H0</v>
      </c>
      <c r="E6566" s="3" t="str">
        <f>IFERROR(__xludf.DUMMYFUNCTION("""COMPUTED_VALUE"""),"george sipidias")</f>
        <v>george sipidias</v>
      </c>
      <c r="F6566" s="3" t="str">
        <f>IFERROR(__xludf.DUMMYFUNCTION("""COMPUTED_VALUE"""),"georgesipidias@ghail.com")</f>
        <v>georgesipidias@ghail.com</v>
      </c>
      <c r="G6566" s="3">
        <f>IFERROR(__xludf.DUMMYFUNCTION("""COMPUTED_VALUE"""),6.476252878E9)</f>
        <v>6476252878</v>
      </c>
      <c r="H6566" s="3"/>
    </row>
    <row r="6567">
      <c r="A6567" s="2">
        <f>IFERROR(__xludf.DUMMYFUNCTION("""COMPUTED_VALUE"""),80136.0)</f>
        <v>80136</v>
      </c>
      <c r="B6567" s="3" t="str">
        <f>IFERROR(__xludf.DUMMYFUNCTION("""COMPUTED_VALUE"""),"998 COUNTY RD 30")</f>
        <v>998 COUNTY RD 30</v>
      </c>
      <c r="C6567" s="3" t="str">
        <f>IFERROR(__xludf.DUMMYFUNCTION("""COMPUTED_VALUE"""),"BRIGHTON")</f>
        <v>BRIGHTON</v>
      </c>
      <c r="D6567" s="3" t="str">
        <f>IFERROR(__xludf.DUMMYFUNCTION("""COMPUTED_VALUE"""),"K0K 1H0")</f>
        <v>K0K 1H0</v>
      </c>
      <c r="E6567" s="3"/>
      <c r="F6567" s="3"/>
      <c r="G6567" s="3"/>
      <c r="H6567" s="3"/>
    </row>
    <row r="6568">
      <c r="A6568" s="2">
        <f>IFERROR(__xludf.DUMMYFUNCTION("""COMPUTED_VALUE"""),80382.0)</f>
        <v>80382</v>
      </c>
      <c r="B6568" s="3" t="str">
        <f>IFERROR(__xludf.DUMMYFUNCTION("""COMPUTED_VALUE"""),"102 COUNTY 41 RD ")</f>
        <v>102 COUNTY 41 RD </v>
      </c>
      <c r="C6568" s="3" t="str">
        <f>IFERROR(__xludf.DUMMYFUNCTION("""COMPUTED_VALUE"""),"CODRINGTON")</f>
        <v>CODRINGTON</v>
      </c>
      <c r="D6568" s="3" t="str">
        <f>IFERROR(__xludf.DUMMYFUNCTION("""COMPUTED_VALUE"""),"K0K 1R0")</f>
        <v>K0K 1R0</v>
      </c>
      <c r="E6568" s="3"/>
      <c r="F6568" s="3"/>
      <c r="G6568" s="3"/>
      <c r="H6568" s="3"/>
    </row>
    <row r="6569">
      <c r="A6569" s="2">
        <f>IFERROR(__xludf.DUMMYFUNCTION("""COMPUTED_VALUE"""),80383.0)</f>
        <v>80383</v>
      </c>
      <c r="B6569" s="3" t="str">
        <f>IFERROR(__xludf.DUMMYFUNCTION("""COMPUTED_VALUE"""),"110 COUNTY 41 RD ")</f>
        <v>110 COUNTY 41 RD </v>
      </c>
      <c r="C6569" s="3" t="str">
        <f>IFERROR(__xludf.DUMMYFUNCTION("""COMPUTED_VALUE"""),"CODRINGTON")</f>
        <v>CODRINGTON</v>
      </c>
      <c r="D6569" s="3" t="str">
        <f>IFERROR(__xludf.DUMMYFUNCTION("""COMPUTED_VALUE"""),"K0K 1R0")</f>
        <v>K0K 1R0</v>
      </c>
      <c r="E6569" s="3"/>
      <c r="F6569" s="3"/>
      <c r="G6569" s="3"/>
      <c r="H6569" s="3"/>
    </row>
    <row r="6570">
      <c r="A6570" s="2">
        <f>IFERROR(__xludf.DUMMYFUNCTION("""COMPUTED_VALUE"""),80384.0)</f>
        <v>80384</v>
      </c>
      <c r="B6570" s="3" t="str">
        <f>IFERROR(__xludf.DUMMYFUNCTION("""COMPUTED_VALUE"""),"203 COUNTY 41 RD ")</f>
        <v>203 COUNTY 41 RD </v>
      </c>
      <c r="C6570" s="3" t="str">
        <f>IFERROR(__xludf.DUMMYFUNCTION("""COMPUTED_VALUE"""),"CODRINGTON")</f>
        <v>CODRINGTON</v>
      </c>
      <c r="D6570" s="3" t="str">
        <f>IFERROR(__xludf.DUMMYFUNCTION("""COMPUTED_VALUE"""),"K0K 1R0")</f>
        <v>K0K 1R0</v>
      </c>
      <c r="E6570" s="3" t="str">
        <f>IFERROR(__xludf.DUMMYFUNCTION("""COMPUTED_VALUE"""),"Samuel Prince &amp; Dian Prince")</f>
        <v>Samuel Prince &amp; Dian Prince</v>
      </c>
      <c r="F6570" s="3" t="str">
        <f>IFERROR(__xludf.DUMMYFUNCTION("""COMPUTED_VALUE"""),"jasdprince@yahoo.ca")</f>
        <v>jasdprince@yahoo.ca</v>
      </c>
      <c r="G6570" s="3"/>
      <c r="H6570" s="3"/>
    </row>
    <row r="6571">
      <c r="A6571" s="2">
        <f>IFERROR(__xludf.DUMMYFUNCTION("""COMPUTED_VALUE"""),80385.0)</f>
        <v>80385</v>
      </c>
      <c r="B6571" s="3" t="str">
        <f>IFERROR(__xludf.DUMMYFUNCTION("""COMPUTED_VALUE"""),"208 COUNTY 41 RD ")</f>
        <v>208 COUNTY 41 RD </v>
      </c>
      <c r="C6571" s="3" t="str">
        <f>IFERROR(__xludf.DUMMYFUNCTION("""COMPUTED_VALUE"""),"CODRINGTON")</f>
        <v>CODRINGTON</v>
      </c>
      <c r="D6571" s="3" t="str">
        <f>IFERROR(__xludf.DUMMYFUNCTION("""COMPUTED_VALUE"""),"K0K 1R0")</f>
        <v>K0K 1R0</v>
      </c>
      <c r="E6571" s="3" t="str">
        <f>IFERROR(__xludf.DUMMYFUNCTION("""COMPUTED_VALUE"""),"barry digby")</f>
        <v>barry digby</v>
      </c>
      <c r="F6571" s="3" t="str">
        <f>IFERROR(__xludf.DUMMYFUNCTION("""COMPUTED_VALUE"""),"aspectroofing@ymail.com")</f>
        <v>aspectroofing@ymail.com</v>
      </c>
      <c r="G6571" s="3">
        <f>IFERROR(__xludf.DUMMYFUNCTION("""COMPUTED_VALUE"""),4.168867639E9)</f>
        <v>4168867639</v>
      </c>
      <c r="H6571" s="3"/>
    </row>
    <row r="6572">
      <c r="A6572" s="2">
        <f>IFERROR(__xludf.DUMMYFUNCTION("""COMPUTED_VALUE"""),80386.0)</f>
        <v>80386</v>
      </c>
      <c r="B6572" s="3" t="str">
        <f>IFERROR(__xludf.DUMMYFUNCTION("""COMPUTED_VALUE"""),"216 COUNTY 41 RD ")</f>
        <v>216 COUNTY 41 RD </v>
      </c>
      <c r="C6572" s="3" t="str">
        <f>IFERROR(__xludf.DUMMYFUNCTION("""COMPUTED_VALUE"""),"CODRINGTON")</f>
        <v>CODRINGTON</v>
      </c>
      <c r="D6572" s="3" t="str">
        <f>IFERROR(__xludf.DUMMYFUNCTION("""COMPUTED_VALUE"""),"K0K 1R0")</f>
        <v>K0K 1R0</v>
      </c>
      <c r="E6572" s="3" t="str">
        <f>IFERROR(__xludf.DUMMYFUNCTION("""COMPUTED_VALUE"""),"Carman Howard")</f>
        <v>Carman Howard</v>
      </c>
      <c r="F6572" s="3" t="str">
        <f>IFERROR(__xludf.DUMMYFUNCTION("""COMPUTED_VALUE"""),"howardcp@hotmail.com")</f>
        <v>howardcp@hotmail.com</v>
      </c>
      <c r="G6572" s="3">
        <f>IFERROR(__xludf.DUMMYFUNCTION("""COMPUTED_VALUE"""),6.139203113E9)</f>
        <v>6139203113</v>
      </c>
      <c r="H6572" s="3"/>
    </row>
    <row r="6573">
      <c r="A6573" s="2">
        <f>IFERROR(__xludf.DUMMYFUNCTION("""COMPUTED_VALUE"""),80387.0)</f>
        <v>80387</v>
      </c>
      <c r="B6573" s="3" t="str">
        <f>IFERROR(__xludf.DUMMYFUNCTION("""COMPUTED_VALUE"""),"227 COUNTY 41 RD ")</f>
        <v>227 COUNTY 41 RD </v>
      </c>
      <c r="C6573" s="3" t="str">
        <f>IFERROR(__xludf.DUMMYFUNCTION("""COMPUTED_VALUE"""),"CODRINGTON")</f>
        <v>CODRINGTON</v>
      </c>
      <c r="D6573" s="3" t="str">
        <f>IFERROR(__xludf.DUMMYFUNCTION("""COMPUTED_VALUE"""),"K0K 1R0")</f>
        <v>K0K 1R0</v>
      </c>
      <c r="E6573" s="3" t="str">
        <f>IFERROR(__xludf.DUMMYFUNCTION("""COMPUTED_VALUE"""),"Corinne A Deller")</f>
        <v>Corinne A Deller</v>
      </c>
      <c r="F6573" s="3" t="str">
        <f>IFERROR(__xludf.DUMMYFUNCTION("""COMPUTED_VALUE"""),"threeboys78@hotmail.com")</f>
        <v>threeboys78@hotmail.com</v>
      </c>
      <c r="G6573" s="3"/>
      <c r="H6573" s="3"/>
    </row>
    <row r="6574">
      <c r="A6574" s="2">
        <f>IFERROR(__xludf.DUMMYFUNCTION("""COMPUTED_VALUE"""),80388.0)</f>
        <v>80388</v>
      </c>
      <c r="B6574" s="3" t="str">
        <f>IFERROR(__xludf.DUMMYFUNCTION("""COMPUTED_VALUE"""),"234 COUNTY 41 RD ")</f>
        <v>234 COUNTY 41 RD </v>
      </c>
      <c r="C6574" s="3" t="str">
        <f>IFERROR(__xludf.DUMMYFUNCTION("""COMPUTED_VALUE"""),"CODRINGTON")</f>
        <v>CODRINGTON</v>
      </c>
      <c r="D6574" s="3" t="str">
        <f>IFERROR(__xludf.DUMMYFUNCTION("""COMPUTED_VALUE"""),"K0K 1R0")</f>
        <v>K0K 1R0</v>
      </c>
      <c r="E6574" s="3"/>
      <c r="F6574" s="3"/>
      <c r="G6574" s="3"/>
      <c r="H6574" s="3"/>
    </row>
    <row r="6575">
      <c r="A6575" s="2">
        <f>IFERROR(__xludf.DUMMYFUNCTION("""COMPUTED_VALUE"""),80389.0)</f>
        <v>80389</v>
      </c>
      <c r="B6575" s="3" t="str">
        <f>IFERROR(__xludf.DUMMYFUNCTION("""COMPUTED_VALUE"""),"235 COUNTY 41 RD ")</f>
        <v>235 COUNTY 41 RD </v>
      </c>
      <c r="C6575" s="3" t="str">
        <f>IFERROR(__xludf.DUMMYFUNCTION("""COMPUTED_VALUE"""),"CODRINGTON")</f>
        <v>CODRINGTON</v>
      </c>
      <c r="D6575" s="3" t="str">
        <f>IFERROR(__xludf.DUMMYFUNCTION("""COMPUTED_VALUE"""),"K0K 1R0")</f>
        <v>K0K 1R0</v>
      </c>
      <c r="E6575" s="3" t="str">
        <f>IFERROR(__xludf.DUMMYFUNCTION("""COMPUTED_VALUE"""),"Josh Letch")</f>
        <v>Josh Letch</v>
      </c>
      <c r="F6575" s="3" t="str">
        <f>IFERROR(__xludf.DUMMYFUNCTION("""COMPUTED_VALUE"""),"letch5@hotmail.com")</f>
        <v>letch5@hotmail.com</v>
      </c>
      <c r="G6575" s="3"/>
      <c r="H6575" s="3"/>
    </row>
    <row r="6576">
      <c r="A6576" s="2">
        <f>IFERROR(__xludf.DUMMYFUNCTION("""COMPUTED_VALUE"""),80390.0)</f>
        <v>80390</v>
      </c>
      <c r="B6576" s="3" t="str">
        <f>IFERROR(__xludf.DUMMYFUNCTION("""COMPUTED_VALUE"""),"250 COUNTY 41 RD ")</f>
        <v>250 COUNTY 41 RD </v>
      </c>
      <c r="C6576" s="3" t="str">
        <f>IFERROR(__xludf.DUMMYFUNCTION("""COMPUTED_VALUE"""),"CODRINGTON")</f>
        <v>CODRINGTON</v>
      </c>
      <c r="D6576" s="3" t="str">
        <f>IFERROR(__xludf.DUMMYFUNCTION("""COMPUTED_VALUE"""),"K0K 1R0")</f>
        <v>K0K 1R0</v>
      </c>
      <c r="E6576" s="3" t="str">
        <f>IFERROR(__xludf.DUMMYFUNCTION("""COMPUTED_VALUE"""),"vincent wong")</f>
        <v>vincent wong</v>
      </c>
      <c r="F6576" s="3" t="str">
        <f>IFERROR(__xludf.DUMMYFUNCTION("""COMPUTED_VALUE"""),"wonagi@outlook.com")</f>
        <v>wonagi@outlook.com</v>
      </c>
      <c r="G6576" s="3">
        <f>IFERROR(__xludf.DUMMYFUNCTION("""COMPUTED_VALUE"""),6.139225678E9)</f>
        <v>6139225678</v>
      </c>
      <c r="H6576" s="3"/>
    </row>
    <row r="6577">
      <c r="A6577" s="2">
        <f>IFERROR(__xludf.DUMMYFUNCTION("""COMPUTED_VALUE"""),80391.0)</f>
        <v>80391</v>
      </c>
      <c r="B6577" s="3" t="str">
        <f>IFERROR(__xludf.DUMMYFUNCTION("""COMPUTED_VALUE"""),"251 COUNTY 41 RD ")</f>
        <v>251 COUNTY 41 RD </v>
      </c>
      <c r="C6577" s="3" t="str">
        <f>IFERROR(__xludf.DUMMYFUNCTION("""COMPUTED_VALUE"""),"CODRINGTON")</f>
        <v>CODRINGTON</v>
      </c>
      <c r="D6577" s="3" t="str">
        <f>IFERROR(__xludf.DUMMYFUNCTION("""COMPUTED_VALUE"""),"K0K 1R0")</f>
        <v>K0K 1R0</v>
      </c>
      <c r="E6577" s="3"/>
      <c r="F6577" s="3"/>
      <c r="G6577" s="3"/>
      <c r="H6577" s="3"/>
    </row>
    <row r="6578">
      <c r="A6578" s="2">
        <f>IFERROR(__xludf.DUMMYFUNCTION("""COMPUTED_VALUE"""),80392.0)</f>
        <v>80392</v>
      </c>
      <c r="B6578" s="3" t="str">
        <f>IFERROR(__xludf.DUMMYFUNCTION("""COMPUTED_VALUE"""),"253 COUNTY 41 RD ")</f>
        <v>253 COUNTY 41 RD </v>
      </c>
      <c r="C6578" s="3" t="str">
        <f>IFERROR(__xludf.DUMMYFUNCTION("""COMPUTED_VALUE"""),"CODRINGTON")</f>
        <v>CODRINGTON</v>
      </c>
      <c r="D6578" s="3" t="str">
        <f>IFERROR(__xludf.DUMMYFUNCTION("""COMPUTED_VALUE"""),"K0K 1R0")</f>
        <v>K0K 1R0</v>
      </c>
      <c r="E6578" s="3" t="str">
        <f>IFERROR(__xludf.DUMMYFUNCTION("""COMPUTED_VALUE"""),"Troy Partridge")</f>
        <v>Troy Partridge</v>
      </c>
      <c r="F6578" s="3" t="str">
        <f>IFERROR(__xludf.DUMMYFUNCTION("""COMPUTED_VALUE"""),"troygpartridge@hotmail.com")</f>
        <v>troygpartridge@hotmail.com</v>
      </c>
      <c r="G6578" s="3">
        <f>IFERROR(__xludf.DUMMYFUNCTION("""COMPUTED_VALUE"""),2.892517675E9)</f>
        <v>2892517675</v>
      </c>
      <c r="H6578" s="3"/>
    </row>
    <row r="6579">
      <c r="A6579" s="2">
        <f>IFERROR(__xludf.DUMMYFUNCTION("""COMPUTED_VALUE"""),80393.0)</f>
        <v>80393</v>
      </c>
      <c r="B6579" s="3" t="str">
        <f>IFERROR(__xludf.DUMMYFUNCTION("""COMPUTED_VALUE"""),"265 COUNTY 41 RD ")</f>
        <v>265 COUNTY 41 RD </v>
      </c>
      <c r="C6579" s="3" t="str">
        <f>IFERROR(__xludf.DUMMYFUNCTION("""COMPUTED_VALUE"""),"CODRINGTON")</f>
        <v>CODRINGTON</v>
      </c>
      <c r="D6579" s="3" t="str">
        <f>IFERROR(__xludf.DUMMYFUNCTION("""COMPUTED_VALUE"""),"K0K 1R0")</f>
        <v>K0K 1R0</v>
      </c>
      <c r="E6579" s="3" t="str">
        <f>IFERROR(__xludf.DUMMYFUNCTION("""COMPUTED_VALUE"""),"Linda Town ")</f>
        <v>Linda Town </v>
      </c>
      <c r="F6579" s="3" t="str">
        <f>IFERROR(__xludf.DUMMYFUNCTION("""COMPUTED_VALUE"""),"lindatown6@gmail.com")</f>
        <v>lindatown6@gmail.com</v>
      </c>
      <c r="G6579" s="3"/>
      <c r="H6579" s="3"/>
    </row>
    <row r="6580">
      <c r="A6580" s="2">
        <f>IFERROR(__xludf.DUMMYFUNCTION("""COMPUTED_VALUE"""),80394.0)</f>
        <v>80394</v>
      </c>
      <c r="B6580" s="3" t="str">
        <f>IFERROR(__xludf.DUMMYFUNCTION("""COMPUTED_VALUE"""),"273 COUNTY 41 RD ")</f>
        <v>273 COUNTY 41 RD </v>
      </c>
      <c r="C6580" s="3" t="str">
        <f>IFERROR(__xludf.DUMMYFUNCTION("""COMPUTED_VALUE"""),"CODRINGTON")</f>
        <v>CODRINGTON</v>
      </c>
      <c r="D6580" s="3" t="str">
        <f>IFERROR(__xludf.DUMMYFUNCTION("""COMPUTED_VALUE"""),"K0K 1R0")</f>
        <v>K0K 1R0</v>
      </c>
      <c r="E6580" s="3"/>
      <c r="F6580" s="3"/>
      <c r="G6580" s="3"/>
      <c r="H6580" s="3"/>
    </row>
    <row r="6581">
      <c r="A6581" s="2">
        <f>IFERROR(__xludf.DUMMYFUNCTION("""COMPUTED_VALUE"""),80395.0)</f>
        <v>80395</v>
      </c>
      <c r="B6581" s="3" t="str">
        <f>IFERROR(__xludf.DUMMYFUNCTION("""COMPUTED_VALUE"""),"275 COUNTY 41 RD ")</f>
        <v>275 COUNTY 41 RD </v>
      </c>
      <c r="C6581" s="3" t="str">
        <f>IFERROR(__xludf.DUMMYFUNCTION("""COMPUTED_VALUE"""),"CODRINGTON")</f>
        <v>CODRINGTON</v>
      </c>
      <c r="D6581" s="3" t="str">
        <f>IFERROR(__xludf.DUMMYFUNCTION("""COMPUTED_VALUE"""),"K0K 1R0")</f>
        <v>K0K 1R0</v>
      </c>
      <c r="E6581" s="3" t="str">
        <f>IFERROR(__xludf.DUMMYFUNCTION("""COMPUTED_VALUE"""),"Denise Barker")</f>
        <v>Denise Barker</v>
      </c>
      <c r="F6581" s="3" t="str">
        <f>IFERROR(__xludf.DUMMYFUNCTION("""COMPUTED_VALUE"""),"denise.barker@hotmail.con")</f>
        <v>denise.barker@hotmail.con</v>
      </c>
      <c r="G6581" s="3">
        <f>IFERROR(__xludf.DUMMYFUNCTION("""COMPUTED_VALUE"""),6.139229584E9)</f>
        <v>6139229584</v>
      </c>
      <c r="H6581" s="3"/>
    </row>
    <row r="6582">
      <c r="A6582" s="2">
        <f>IFERROR(__xludf.DUMMYFUNCTION("""COMPUTED_VALUE"""),80396.0)</f>
        <v>80396</v>
      </c>
      <c r="B6582" s="3" t="str">
        <f>IFERROR(__xludf.DUMMYFUNCTION("""COMPUTED_VALUE"""),"278 COUNTY 41 RD ")</f>
        <v>278 COUNTY 41 RD </v>
      </c>
      <c r="C6582" s="3" t="str">
        <f>IFERROR(__xludf.DUMMYFUNCTION("""COMPUTED_VALUE"""),"CODRINGTON")</f>
        <v>CODRINGTON</v>
      </c>
      <c r="D6582" s="3" t="str">
        <f>IFERROR(__xludf.DUMMYFUNCTION("""COMPUTED_VALUE"""),"K0K 1R0")</f>
        <v>K0K 1R0</v>
      </c>
      <c r="E6582" s="3"/>
      <c r="F6582" s="3"/>
      <c r="G6582" s="3"/>
      <c r="H6582" s="3"/>
    </row>
    <row r="6583">
      <c r="A6583" s="2">
        <f>IFERROR(__xludf.DUMMYFUNCTION("""COMPUTED_VALUE"""),80397.0)</f>
        <v>80397</v>
      </c>
      <c r="B6583" s="3" t="str">
        <f>IFERROR(__xludf.DUMMYFUNCTION("""COMPUTED_VALUE"""),"347 COUNTY 41 RD ")</f>
        <v>347 COUNTY 41 RD </v>
      </c>
      <c r="C6583" s="3" t="str">
        <f>IFERROR(__xludf.DUMMYFUNCTION("""COMPUTED_VALUE"""),"CODRINGTON")</f>
        <v>CODRINGTON</v>
      </c>
      <c r="D6583" s="3" t="str">
        <f>IFERROR(__xludf.DUMMYFUNCTION("""COMPUTED_VALUE"""),"K0K 1R0")</f>
        <v>K0K 1R0</v>
      </c>
      <c r="E6583" s="3"/>
      <c r="F6583" s="3"/>
      <c r="G6583" s="3"/>
      <c r="H6583" s="3"/>
    </row>
    <row r="6584">
      <c r="A6584" s="2">
        <f>IFERROR(__xludf.DUMMYFUNCTION("""COMPUTED_VALUE"""),80398.0)</f>
        <v>80398</v>
      </c>
      <c r="B6584" s="3" t="str">
        <f>IFERROR(__xludf.DUMMYFUNCTION("""COMPUTED_VALUE"""),"348 COUNTY 41 RD ")</f>
        <v>348 COUNTY 41 RD </v>
      </c>
      <c r="C6584" s="3" t="str">
        <f>IFERROR(__xludf.DUMMYFUNCTION("""COMPUTED_VALUE"""),"CODRINGTON")</f>
        <v>CODRINGTON</v>
      </c>
      <c r="D6584" s="3" t="str">
        <f>IFERROR(__xludf.DUMMYFUNCTION("""COMPUTED_VALUE"""),"K0K 1R0")</f>
        <v>K0K 1R0</v>
      </c>
      <c r="E6584" s="3" t="str">
        <f>IFERROR(__xludf.DUMMYFUNCTION("""COMPUTED_VALUE"""),"Ken Cochrane")</f>
        <v>Ken Cochrane</v>
      </c>
      <c r="F6584" s="3" t="str">
        <f>IFERROR(__xludf.DUMMYFUNCTION("""COMPUTED_VALUE"""),"Kcochrane0606@outlook.com")</f>
        <v>Kcochrane0606@outlook.com</v>
      </c>
      <c r="G6584" s="3">
        <f>IFERROR(__xludf.DUMMYFUNCTION("""COMPUTED_VALUE"""),2.899435074E9)</f>
        <v>2899435074</v>
      </c>
      <c r="H6584" s="3"/>
    </row>
    <row r="6585">
      <c r="A6585" s="2">
        <f>IFERROR(__xludf.DUMMYFUNCTION("""COMPUTED_VALUE"""),80399.0)</f>
        <v>80399</v>
      </c>
      <c r="B6585" s="3" t="str">
        <f>IFERROR(__xludf.DUMMYFUNCTION("""COMPUTED_VALUE"""),"381 COUNTY 41 RD ")</f>
        <v>381 COUNTY 41 RD </v>
      </c>
      <c r="C6585" s="3" t="str">
        <f>IFERROR(__xludf.DUMMYFUNCTION("""COMPUTED_VALUE"""),"CODRINGTON")</f>
        <v>CODRINGTON</v>
      </c>
      <c r="D6585" s="3" t="str">
        <f>IFERROR(__xludf.DUMMYFUNCTION("""COMPUTED_VALUE"""),"K0K 1R0")</f>
        <v>K0K 1R0</v>
      </c>
      <c r="E6585" s="3" t="str">
        <f>IFERROR(__xludf.DUMMYFUNCTION("""COMPUTED_VALUE"""),"Wayne &amp; Lenore Helliwell")</f>
        <v>Wayne &amp; Lenore Helliwell</v>
      </c>
      <c r="F6585" s="3" t="str">
        <f>IFERROR(__xludf.DUMMYFUNCTION("""COMPUTED_VALUE"""),"kmakze@hotmail.com")</f>
        <v>kmakze@hotmail.com</v>
      </c>
      <c r="G6585" s="3"/>
      <c r="H6585" s="3"/>
    </row>
    <row r="6586">
      <c r="A6586" s="2">
        <f>IFERROR(__xludf.DUMMYFUNCTION("""COMPUTED_VALUE"""),80400.0)</f>
        <v>80400</v>
      </c>
      <c r="B6586" s="3" t="str">
        <f>IFERROR(__xludf.DUMMYFUNCTION("""COMPUTED_VALUE"""),"389 COUNTY 41 RD ")</f>
        <v>389 COUNTY 41 RD </v>
      </c>
      <c r="C6586" s="3" t="str">
        <f>IFERROR(__xludf.DUMMYFUNCTION("""COMPUTED_VALUE"""),"CODRINGTON")</f>
        <v>CODRINGTON</v>
      </c>
      <c r="D6586" s="3" t="str">
        <f>IFERROR(__xludf.DUMMYFUNCTION("""COMPUTED_VALUE"""),"K0K 1R0")</f>
        <v>K0K 1R0</v>
      </c>
      <c r="E6586" s="3" t="str">
        <f>IFERROR(__xludf.DUMMYFUNCTION("""COMPUTED_VALUE"""),"Kim Boates")</f>
        <v>Kim Boates</v>
      </c>
      <c r="F6586" s="3" t="str">
        <f>IFERROR(__xludf.DUMMYFUNCTION("""COMPUTED_VALUE"""),"kbq@live.ca")</f>
        <v>kbq@live.ca</v>
      </c>
      <c r="G6586" s="3"/>
      <c r="H6586" s="3"/>
    </row>
    <row r="6587">
      <c r="A6587" s="2">
        <f>IFERROR(__xludf.DUMMYFUNCTION("""COMPUTED_VALUE"""),80401.0)</f>
        <v>80401</v>
      </c>
      <c r="B6587" s="3" t="str">
        <f>IFERROR(__xludf.DUMMYFUNCTION("""COMPUTED_VALUE"""),"416 COUNTY 41 RD ")</f>
        <v>416 COUNTY 41 RD </v>
      </c>
      <c r="C6587" s="3" t="str">
        <f>IFERROR(__xludf.DUMMYFUNCTION("""COMPUTED_VALUE"""),"CODRINGTON")</f>
        <v>CODRINGTON</v>
      </c>
      <c r="D6587" s="3" t="str">
        <f>IFERROR(__xludf.DUMMYFUNCTION("""COMPUTED_VALUE"""),"K0K 1R0")</f>
        <v>K0K 1R0</v>
      </c>
      <c r="E6587" s="3" t="str">
        <f>IFERROR(__xludf.DUMMYFUNCTION("""COMPUTED_VALUE"""),"Adam Metcalf")</f>
        <v>Adam Metcalf</v>
      </c>
      <c r="F6587" s="3"/>
      <c r="G6587" s="3"/>
      <c r="H6587" s="3"/>
    </row>
    <row r="6588">
      <c r="A6588" s="2">
        <f>IFERROR(__xludf.DUMMYFUNCTION("""COMPUTED_VALUE"""),80402.0)</f>
        <v>80402</v>
      </c>
      <c r="B6588" s="3" t="str">
        <f>IFERROR(__xludf.DUMMYFUNCTION("""COMPUTED_VALUE"""),"426 COUNTY 41 RD ")</f>
        <v>426 COUNTY 41 RD </v>
      </c>
      <c r="C6588" s="3" t="str">
        <f>IFERROR(__xludf.DUMMYFUNCTION("""COMPUTED_VALUE"""),"CODRINGTON")</f>
        <v>CODRINGTON</v>
      </c>
      <c r="D6588" s="3" t="str">
        <f>IFERROR(__xludf.DUMMYFUNCTION("""COMPUTED_VALUE"""),"K0K 1R0")</f>
        <v>K0K 1R0</v>
      </c>
      <c r="E6588" s="3" t="str">
        <f>IFERROR(__xludf.DUMMYFUNCTION("""COMPUTED_VALUE"""),"tim richardson")</f>
        <v>tim richardson</v>
      </c>
      <c r="F6588" s="3"/>
      <c r="G6588" s="3"/>
      <c r="H6588" s="3"/>
    </row>
    <row r="6589">
      <c r="A6589" s="2">
        <f>IFERROR(__xludf.DUMMYFUNCTION("""COMPUTED_VALUE"""),80403.0)</f>
        <v>80403</v>
      </c>
      <c r="B6589" s="3" t="str">
        <f>IFERROR(__xludf.DUMMYFUNCTION("""COMPUTED_VALUE"""),"446 COUNTY 41 RD ")</f>
        <v>446 COUNTY 41 RD </v>
      </c>
      <c r="C6589" s="3" t="str">
        <f>IFERROR(__xludf.DUMMYFUNCTION("""COMPUTED_VALUE"""),"CODRINGTON")</f>
        <v>CODRINGTON</v>
      </c>
      <c r="D6589" s="3" t="str">
        <f>IFERROR(__xludf.DUMMYFUNCTION("""COMPUTED_VALUE"""),"K0K 1R0")</f>
        <v>K0K 1R0</v>
      </c>
      <c r="E6589" s="3" t="str">
        <f>IFERROR(__xludf.DUMMYFUNCTION("""COMPUTED_VALUE"""),"randy taylor")</f>
        <v>randy taylor</v>
      </c>
      <c r="F6589" s="3"/>
      <c r="G6589" s="3">
        <f>IFERROR(__xludf.DUMMYFUNCTION("""COMPUTED_VALUE"""),6.134756527E9)</f>
        <v>6134756527</v>
      </c>
      <c r="H6589" s="3"/>
    </row>
    <row r="6590">
      <c r="A6590" s="2">
        <f>IFERROR(__xludf.DUMMYFUNCTION("""COMPUTED_VALUE"""),80404.0)</f>
        <v>80404</v>
      </c>
      <c r="B6590" s="3" t="str">
        <f>IFERROR(__xludf.DUMMYFUNCTION("""COMPUTED_VALUE"""),"466 COUNTY 41 RD ")</f>
        <v>466 COUNTY 41 RD </v>
      </c>
      <c r="C6590" s="3" t="str">
        <f>IFERROR(__xludf.DUMMYFUNCTION("""COMPUTED_VALUE"""),"CODRINGTON")</f>
        <v>CODRINGTON</v>
      </c>
      <c r="D6590" s="3" t="str">
        <f>IFERROR(__xludf.DUMMYFUNCTION("""COMPUTED_VALUE"""),"K0K 1R0")</f>
        <v>K0K 1R0</v>
      </c>
      <c r="E6590" s="3" t="str">
        <f>IFERROR(__xludf.DUMMYFUNCTION("""COMPUTED_VALUE"""),"john longhurst")</f>
        <v>john longhurst</v>
      </c>
      <c r="F6590" s="3"/>
      <c r="G6590" s="3">
        <f>IFERROR(__xludf.DUMMYFUNCTION("""COMPUTED_VALUE"""),6.134759766E9)</f>
        <v>6134759766</v>
      </c>
      <c r="H6590" s="3"/>
    </row>
    <row r="6591">
      <c r="A6591" s="2">
        <f>IFERROR(__xludf.DUMMYFUNCTION("""COMPUTED_VALUE"""),80405.0)</f>
        <v>80405</v>
      </c>
      <c r="B6591" s="3" t="str">
        <f>IFERROR(__xludf.DUMMYFUNCTION("""COMPUTED_VALUE"""),"471 COUNTY 41 RD ")</f>
        <v>471 COUNTY 41 RD </v>
      </c>
      <c r="C6591" s="3" t="str">
        <f>IFERROR(__xludf.DUMMYFUNCTION("""COMPUTED_VALUE"""),"CODRINGTON")</f>
        <v>CODRINGTON</v>
      </c>
      <c r="D6591" s="3" t="str">
        <f>IFERROR(__xludf.DUMMYFUNCTION("""COMPUTED_VALUE"""),"K0K 1R0")</f>
        <v>K0K 1R0</v>
      </c>
      <c r="E6591" s="3" t="str">
        <f>IFERROR(__xludf.DUMMYFUNCTION("""COMPUTED_VALUE"""),"kyle ferguson")</f>
        <v>kyle ferguson</v>
      </c>
      <c r="F6591" s="3"/>
      <c r="G6591" s="3">
        <f>IFERROR(__xludf.DUMMYFUNCTION("""COMPUTED_VALUE"""),6.134754227E9)</f>
        <v>6134754227</v>
      </c>
      <c r="H6591" s="3"/>
    </row>
    <row r="6592">
      <c r="A6592" s="2">
        <f>IFERROR(__xludf.DUMMYFUNCTION("""COMPUTED_VALUE"""),80406.0)</f>
        <v>80406</v>
      </c>
      <c r="B6592" s="3" t="str">
        <f>IFERROR(__xludf.DUMMYFUNCTION("""COMPUTED_VALUE"""),"480 COUNTY 41 RD ")</f>
        <v>480 COUNTY 41 RD </v>
      </c>
      <c r="C6592" s="3" t="str">
        <f>IFERROR(__xludf.DUMMYFUNCTION("""COMPUTED_VALUE"""),"CODRINGTON")</f>
        <v>CODRINGTON</v>
      </c>
      <c r="D6592" s="3" t="str">
        <f>IFERROR(__xludf.DUMMYFUNCTION("""COMPUTED_VALUE"""),"K0K 1R0")</f>
        <v>K0K 1R0</v>
      </c>
      <c r="E6592" s="3" t="str">
        <f>IFERROR(__xludf.DUMMYFUNCTION("""COMPUTED_VALUE"""),"Charlene Indewey")</f>
        <v>Charlene Indewey</v>
      </c>
      <c r="F6592" s="3" t="str">
        <f>IFERROR(__xludf.DUMMYFUNCTION("""COMPUTED_VALUE"""),"c.indewey@live.com")</f>
        <v>c.indewey@live.com</v>
      </c>
      <c r="G6592" s="3"/>
      <c r="H6592" s="3"/>
    </row>
    <row r="6593">
      <c r="A6593" s="2">
        <f>IFERROR(__xludf.DUMMYFUNCTION("""COMPUTED_VALUE"""),80407.0)</f>
        <v>80407</v>
      </c>
      <c r="B6593" s="3" t="str">
        <f>IFERROR(__xludf.DUMMYFUNCTION("""COMPUTED_VALUE"""),"488 COUNTY 41 RD ")</f>
        <v>488 COUNTY 41 RD </v>
      </c>
      <c r="C6593" s="3" t="str">
        <f>IFERROR(__xludf.DUMMYFUNCTION("""COMPUTED_VALUE"""),"CODRINGTON")</f>
        <v>CODRINGTON</v>
      </c>
      <c r="D6593" s="3" t="str">
        <f>IFERROR(__xludf.DUMMYFUNCTION("""COMPUTED_VALUE"""),"K0K 1R0")</f>
        <v>K0K 1R0</v>
      </c>
      <c r="E6593" s="3" t="str">
        <f>IFERROR(__xludf.DUMMYFUNCTION("""COMPUTED_VALUE"""),"Norm &amp; Tammy Indewey")</f>
        <v>Norm &amp; Tammy Indewey</v>
      </c>
      <c r="F6593" s="3" t="str">
        <f>IFERROR(__xludf.DUMMYFUNCTION("""COMPUTED_VALUE"""),"tdindy@hotmail.com")</f>
        <v>tdindy@hotmail.com</v>
      </c>
      <c r="G6593" s="3"/>
      <c r="H6593" s="3"/>
    </row>
    <row r="6594">
      <c r="A6594" s="2">
        <f>IFERROR(__xludf.DUMMYFUNCTION("""COMPUTED_VALUE"""),80435.0)</f>
        <v>80435</v>
      </c>
      <c r="B6594" s="3" t="str">
        <f>IFERROR(__xludf.DUMMYFUNCTION("""COMPUTED_VALUE"""),"492 COUNTY 41 RD ")</f>
        <v>492 COUNTY 41 RD </v>
      </c>
      <c r="C6594" s="3" t="str">
        <f>IFERROR(__xludf.DUMMYFUNCTION("""COMPUTED_VALUE"""),"CODRINGTON")</f>
        <v>CODRINGTON</v>
      </c>
      <c r="D6594" s="3" t="str">
        <f>IFERROR(__xludf.DUMMYFUNCTION("""COMPUTED_VALUE"""),"K0K 1R0")</f>
        <v>K0K 1R0</v>
      </c>
      <c r="E6594" s="3"/>
      <c r="F6594" s="3"/>
      <c r="G6594" s="3"/>
      <c r="H6594" s="3"/>
    </row>
    <row r="6595">
      <c r="A6595" s="2">
        <f>IFERROR(__xludf.DUMMYFUNCTION("""COMPUTED_VALUE"""),80408.0)</f>
        <v>80408</v>
      </c>
      <c r="B6595" s="3" t="str">
        <f>IFERROR(__xludf.DUMMYFUNCTION("""COMPUTED_VALUE"""),"511 COUNTY 41 RD ")</f>
        <v>511 COUNTY 41 RD </v>
      </c>
      <c r="C6595" s="3" t="str">
        <f>IFERROR(__xludf.DUMMYFUNCTION("""COMPUTED_VALUE"""),"CODRINGTON")</f>
        <v>CODRINGTON</v>
      </c>
      <c r="D6595" s="3" t="str">
        <f>IFERROR(__xludf.DUMMYFUNCTION("""COMPUTED_VALUE"""),"K0K 1R0")</f>
        <v>K0K 1R0</v>
      </c>
      <c r="E6595" s="3" t="str">
        <f>IFERROR(__xludf.DUMMYFUNCTION("""COMPUTED_VALUE"""),"archers poultry farm")</f>
        <v>archers poultry farm</v>
      </c>
      <c r="F6595" s="3" t="str">
        <f>IFERROR(__xludf.DUMMYFUNCTION("""COMPUTED_VALUE"""),"cheryl@archaerpoultry.ca")</f>
        <v>cheryl@archaerpoultry.ca</v>
      </c>
      <c r="G6595" s="3">
        <f>IFERROR(__xludf.DUMMYFUNCTION("""COMPUTED_VALUE"""),6.13475087E9)</f>
        <v>6134750870</v>
      </c>
      <c r="H6595" s="3">
        <f>IFERROR(__xludf.DUMMYFUNCTION("""COMPUTED_VALUE"""),6.139200259E9)</f>
        <v>6139200259</v>
      </c>
    </row>
    <row r="6596">
      <c r="A6596" s="2">
        <f>IFERROR(__xludf.DUMMYFUNCTION("""COMPUTED_VALUE"""),80409.0)</f>
        <v>80409</v>
      </c>
      <c r="B6596" s="3" t="str">
        <f>IFERROR(__xludf.DUMMYFUNCTION("""COMPUTED_VALUE"""),"512 COUNTY 41 RD ")</f>
        <v>512 COUNTY 41 RD </v>
      </c>
      <c r="C6596" s="3" t="str">
        <f>IFERROR(__xludf.DUMMYFUNCTION("""COMPUTED_VALUE"""),"CODRINGTON")</f>
        <v>CODRINGTON</v>
      </c>
      <c r="D6596" s="3" t="str">
        <f>IFERROR(__xludf.DUMMYFUNCTION("""COMPUTED_VALUE"""),"K0K 1R0")</f>
        <v>K0K 1R0</v>
      </c>
      <c r="E6596" s="3" t="str">
        <f>IFERROR(__xludf.DUMMYFUNCTION("""COMPUTED_VALUE"""),"john terhaar ")</f>
        <v>john terhaar </v>
      </c>
      <c r="F6596" s="3" t="str">
        <f>IFERROR(__xludf.DUMMYFUNCTION("""COMPUTED_VALUE"""),"thefamilyofj@hotmail.com")</f>
        <v>thefamilyofj@hotmail.com</v>
      </c>
      <c r="G6596" s="3">
        <f>IFERROR(__xludf.DUMMYFUNCTION("""COMPUTED_VALUE"""),6.138483684E9)</f>
        <v>6138483684</v>
      </c>
      <c r="H6596" s="3"/>
    </row>
    <row r="6597">
      <c r="A6597" s="2">
        <f>IFERROR(__xludf.DUMMYFUNCTION("""COMPUTED_VALUE"""),80410.0)</f>
        <v>80410</v>
      </c>
      <c r="B6597" s="3" t="str">
        <f>IFERROR(__xludf.DUMMYFUNCTION("""COMPUTED_VALUE"""),"612 COUNTY 41 RD ")</f>
        <v>612 COUNTY 41 RD </v>
      </c>
      <c r="C6597" s="3" t="str">
        <f>IFERROR(__xludf.DUMMYFUNCTION("""COMPUTED_VALUE"""),"CODRINGTON")</f>
        <v>CODRINGTON</v>
      </c>
      <c r="D6597" s="3" t="str">
        <f>IFERROR(__xludf.DUMMYFUNCTION("""COMPUTED_VALUE"""),"K0K 1R0")</f>
        <v>K0K 1R0</v>
      </c>
      <c r="E6597" s="3" t="str">
        <f>IFERROR(__xludf.DUMMYFUNCTION("""COMPUTED_VALUE"""),"madelynn killfoil")</f>
        <v>madelynn killfoil</v>
      </c>
      <c r="F6597" s="3" t="str">
        <f>IFERROR(__xludf.DUMMYFUNCTION("""COMPUTED_VALUE"""),"maddykilfoil10@gmail.com")</f>
        <v>maddykilfoil10@gmail.com</v>
      </c>
      <c r="G6597" s="3">
        <f>IFERROR(__xludf.DUMMYFUNCTION("""COMPUTED_VALUE"""),6.138277416E9)</f>
        <v>6138277416</v>
      </c>
      <c r="H6597" s="3">
        <f>IFERROR(__xludf.DUMMYFUNCTION("""COMPUTED_VALUE"""),6.138473169E9)</f>
        <v>6138473169</v>
      </c>
    </row>
    <row r="6598">
      <c r="A6598" s="2">
        <f>IFERROR(__xludf.DUMMYFUNCTION("""COMPUTED_VALUE"""),80411.0)</f>
        <v>80411</v>
      </c>
      <c r="B6598" s="3" t="str">
        <f>IFERROR(__xludf.DUMMYFUNCTION("""COMPUTED_VALUE"""),"614 COUNTY 41 RD ")</f>
        <v>614 COUNTY 41 RD </v>
      </c>
      <c r="C6598" s="3" t="str">
        <f>IFERROR(__xludf.DUMMYFUNCTION("""COMPUTED_VALUE"""),"CODRINGTON")</f>
        <v>CODRINGTON</v>
      </c>
      <c r="D6598" s="3" t="str">
        <f>IFERROR(__xludf.DUMMYFUNCTION("""COMPUTED_VALUE"""),"K0K 1R0")</f>
        <v>K0K 1R0</v>
      </c>
      <c r="E6598" s="3" t="str">
        <f>IFERROR(__xludf.DUMMYFUNCTION("""COMPUTED_VALUE"""),"David Nicholls")</f>
        <v>David Nicholls</v>
      </c>
      <c r="F6598" s="3" t="str">
        <f>IFERROR(__xludf.DUMMYFUNCTION("""COMPUTED_VALUE"""),"davidnicholls1977@gmail.com")</f>
        <v>davidnicholls1977@gmail.com</v>
      </c>
      <c r="G6598" s="3">
        <f>IFERROR(__xludf.DUMMYFUNCTION("""COMPUTED_VALUE"""),9.053738754E9)</f>
        <v>9053738754</v>
      </c>
      <c r="H6598" s="3"/>
    </row>
    <row r="6599">
      <c r="A6599" s="2">
        <f>IFERROR(__xludf.DUMMYFUNCTION("""COMPUTED_VALUE"""),80412.0)</f>
        <v>80412</v>
      </c>
      <c r="B6599" s="3" t="str">
        <f>IFERROR(__xludf.DUMMYFUNCTION("""COMPUTED_VALUE"""),"632 COUNTY 41 RD ")</f>
        <v>632 COUNTY 41 RD </v>
      </c>
      <c r="C6599" s="3" t="str">
        <f>IFERROR(__xludf.DUMMYFUNCTION("""COMPUTED_VALUE"""),"CODRINGTON")</f>
        <v>CODRINGTON</v>
      </c>
      <c r="D6599" s="3" t="str">
        <f>IFERROR(__xludf.DUMMYFUNCTION("""COMPUTED_VALUE"""),"K0K 1R0")</f>
        <v>K0K 1R0</v>
      </c>
      <c r="E6599" s="3" t="str">
        <f>IFERROR(__xludf.DUMMYFUNCTION("""COMPUTED_VALUE"""),"JASON SCOTT")</f>
        <v>JASON SCOTT</v>
      </c>
      <c r="F6599" s="3" t="str">
        <f>IFERROR(__xludf.DUMMYFUNCTION("""COMPUTED_VALUE"""),"jayscott1@gmail.com")</f>
        <v>jayscott1@gmail.com</v>
      </c>
      <c r="G6599" s="3"/>
      <c r="H6599" s="3"/>
    </row>
    <row r="6600">
      <c r="A6600" s="2">
        <f>IFERROR(__xludf.DUMMYFUNCTION("""COMPUTED_VALUE"""),80413.0)</f>
        <v>80413</v>
      </c>
      <c r="B6600" s="3" t="str">
        <f>IFERROR(__xludf.DUMMYFUNCTION("""COMPUTED_VALUE"""),"642 COUNTY 41 RD ")</f>
        <v>642 COUNTY 41 RD </v>
      </c>
      <c r="C6600" s="3" t="str">
        <f>IFERROR(__xludf.DUMMYFUNCTION("""COMPUTED_VALUE"""),"CODRINGTON")</f>
        <v>CODRINGTON</v>
      </c>
      <c r="D6600" s="3" t="str">
        <f>IFERROR(__xludf.DUMMYFUNCTION("""COMPUTED_VALUE"""),"K0K 1R0")</f>
        <v>K0K 1R0</v>
      </c>
      <c r="E6600" s="3" t="str">
        <f>IFERROR(__xludf.DUMMYFUNCTION("""COMPUTED_VALUE"""),"Michael Coffey")</f>
        <v>Michael Coffey</v>
      </c>
      <c r="F6600" s="3" t="str">
        <f>IFERROR(__xludf.DUMMYFUNCTION("""COMPUTED_VALUE"""),"mikescoffey@gmail.com")</f>
        <v>mikescoffey@gmail.com</v>
      </c>
      <c r="G6600" s="3">
        <f>IFERROR(__xludf.DUMMYFUNCTION("""COMPUTED_VALUE"""),6.134750044E9)</f>
        <v>6134750044</v>
      </c>
      <c r="H6600" s="3">
        <f>IFERROR(__xludf.DUMMYFUNCTION("""COMPUTED_VALUE"""),9.054358517E9)</f>
        <v>9054358517</v>
      </c>
    </row>
    <row r="6601">
      <c r="A6601" s="2">
        <f>IFERROR(__xludf.DUMMYFUNCTION("""COMPUTED_VALUE"""),80414.0)</f>
        <v>80414</v>
      </c>
      <c r="B6601" s="3" t="str">
        <f>IFERROR(__xludf.DUMMYFUNCTION("""COMPUTED_VALUE"""),"676 COUNTY 41 RD ")</f>
        <v>676 COUNTY 41 RD </v>
      </c>
      <c r="C6601" s="3" t="str">
        <f>IFERROR(__xludf.DUMMYFUNCTION("""COMPUTED_VALUE"""),"CODRINGTON")</f>
        <v>CODRINGTON</v>
      </c>
      <c r="D6601" s="3" t="str">
        <f>IFERROR(__xludf.DUMMYFUNCTION("""COMPUTED_VALUE"""),"K0K 1R0")</f>
        <v>K0K 1R0</v>
      </c>
      <c r="E6601" s="3" t="str">
        <f>IFERROR(__xludf.DUMMYFUNCTION("""COMPUTED_VALUE"""),"Summer Waite")</f>
        <v>Summer Waite</v>
      </c>
      <c r="F6601" s="3" t="str">
        <f>IFERROR(__xludf.DUMMYFUNCTION("""COMPUTED_VALUE"""),"summer.waite3@gmail.com")</f>
        <v>summer.waite3@gmail.com</v>
      </c>
      <c r="G6601" s="3">
        <f>IFERROR(__xludf.DUMMYFUNCTION("""COMPUTED_VALUE"""),6.13847553E9)</f>
        <v>6138475530</v>
      </c>
      <c r="H6601" s="3"/>
    </row>
    <row r="6602">
      <c r="A6602" s="2">
        <f>IFERROR(__xludf.DUMMYFUNCTION("""COMPUTED_VALUE"""),80415.0)</f>
        <v>80415</v>
      </c>
      <c r="B6602" s="3" t="str">
        <f>IFERROR(__xludf.DUMMYFUNCTION("""COMPUTED_VALUE"""),"758 COUNTY 41 RD ")</f>
        <v>758 COUNTY 41 RD </v>
      </c>
      <c r="C6602" s="3" t="str">
        <f>IFERROR(__xludf.DUMMYFUNCTION("""COMPUTED_VALUE"""),"CODRINGTON")</f>
        <v>CODRINGTON</v>
      </c>
      <c r="D6602" s="3" t="str">
        <f>IFERROR(__xludf.DUMMYFUNCTION("""COMPUTED_VALUE"""),"K0K 1R0")</f>
        <v>K0K 1R0</v>
      </c>
      <c r="E6602" s="3"/>
      <c r="F6602" s="3"/>
      <c r="G6602" s="3"/>
      <c r="H6602" s="3"/>
    </row>
    <row r="6603">
      <c r="A6603" s="2">
        <f>IFERROR(__xludf.DUMMYFUNCTION("""COMPUTED_VALUE"""),80416.0)</f>
        <v>80416</v>
      </c>
      <c r="B6603" s="3" t="str">
        <f>IFERROR(__xludf.DUMMYFUNCTION("""COMPUTED_VALUE"""),"848 COUNTY RD 41")</f>
        <v>848 COUNTY RD 41</v>
      </c>
      <c r="C6603" s="3" t="str">
        <f>IFERROR(__xludf.DUMMYFUNCTION("""COMPUTED_VALUE"""),"CODRINGTON")</f>
        <v>CODRINGTON</v>
      </c>
      <c r="D6603" s="3" t="str">
        <f>IFERROR(__xludf.DUMMYFUNCTION("""COMPUTED_VALUE"""),"K0K 1R0")</f>
        <v>K0K 1R0</v>
      </c>
      <c r="E6603" s="3" t="str">
        <f>IFERROR(__xludf.DUMMYFUNCTION("""COMPUTED_VALUE"""),"Nick Soper")</f>
        <v>Nick Soper</v>
      </c>
      <c r="F6603" s="3" t="str">
        <f>IFERROR(__xludf.DUMMYFUNCTION("""COMPUTED_VALUE"""),"nick_soper1980@hotmail.com")</f>
        <v>nick_soper1980@hotmail.com</v>
      </c>
      <c r="G6603" s="3">
        <f>IFERROR(__xludf.DUMMYFUNCTION("""COMPUTED_VALUE"""),9.052613135E9)</f>
        <v>9052613135</v>
      </c>
      <c r="H6603" s="3"/>
    </row>
    <row r="6604">
      <c r="A6604" s="2">
        <f>IFERROR(__xludf.DUMMYFUNCTION("""COMPUTED_VALUE"""),80417.0)</f>
        <v>80417</v>
      </c>
      <c r="B6604" s="3" t="str">
        <f>IFERROR(__xludf.DUMMYFUNCTION("""COMPUTED_VALUE"""),"936 COUNTY 41 RD ")</f>
        <v>936 COUNTY 41 RD </v>
      </c>
      <c r="C6604" s="3" t="str">
        <f>IFERROR(__xludf.DUMMYFUNCTION("""COMPUTED_VALUE"""),"BRIGHTON")</f>
        <v>BRIGHTON</v>
      </c>
      <c r="D6604" s="3" t="str">
        <f>IFERROR(__xludf.DUMMYFUNCTION("""COMPUTED_VALUE"""),"K0K 1H0")</f>
        <v>K0K 1H0</v>
      </c>
      <c r="E6604" s="3" t="str">
        <f>IFERROR(__xludf.DUMMYFUNCTION("""COMPUTED_VALUE"""),"Bill Dorland")</f>
        <v>Bill Dorland</v>
      </c>
      <c r="F6604" s="3" t="str">
        <f>IFERROR(__xludf.DUMMYFUNCTION("""COMPUTED_VALUE"""),"dorlandab@xplornet.com")</f>
        <v>dorlandab@xplornet.com</v>
      </c>
      <c r="G6604" s="3"/>
      <c r="H6604" s="3"/>
    </row>
    <row r="6605">
      <c r="A6605" s="2">
        <f>IFERROR(__xludf.DUMMYFUNCTION("""COMPUTED_VALUE"""),80418.0)</f>
        <v>80418</v>
      </c>
      <c r="B6605" s="3" t="str">
        <f>IFERROR(__xludf.DUMMYFUNCTION("""COMPUTED_VALUE"""),"972 COUNTY 41 RD ")</f>
        <v>972 COUNTY 41 RD </v>
      </c>
      <c r="C6605" s="3" t="str">
        <f>IFERROR(__xludf.DUMMYFUNCTION("""COMPUTED_VALUE"""),"BRIGHTON")</f>
        <v>BRIGHTON</v>
      </c>
      <c r="D6605" s="3" t="str">
        <f>IFERROR(__xludf.DUMMYFUNCTION("""COMPUTED_VALUE"""),"K0K 1H0")</f>
        <v>K0K 1H0</v>
      </c>
      <c r="E6605" s="3" t="str">
        <f>IFERROR(__xludf.DUMMYFUNCTION("""COMPUTED_VALUE"""),"jennifer dorland")</f>
        <v>jennifer dorland</v>
      </c>
      <c r="F6605" s="3" t="str">
        <f>IFERROR(__xludf.DUMMYFUNCTION("""COMPUTED_VALUE"""),"jenniferdorland2@gamil.com")</f>
        <v>jenniferdorland2@gamil.com</v>
      </c>
      <c r="G6605" s="3">
        <f>IFERROR(__xludf.DUMMYFUNCTION("""COMPUTED_VALUE"""),6.138481133E9)</f>
        <v>6138481133</v>
      </c>
      <c r="H6605" s="3">
        <f>IFERROR(__xludf.DUMMYFUNCTION("""COMPUTED_VALUE"""),6.138482248E9)</f>
        <v>6138482248</v>
      </c>
    </row>
    <row r="6606">
      <c r="A6606" s="2">
        <f>IFERROR(__xludf.DUMMYFUNCTION("""COMPUTED_VALUE"""),80436.0)</f>
        <v>80436</v>
      </c>
      <c r="B6606" s="3" t="str">
        <f>IFERROR(__xludf.DUMMYFUNCTION("""COMPUTED_VALUE"""),"114 COWIE RD ")</f>
        <v>114 COWIE RD </v>
      </c>
      <c r="C6606" s="3" t="str">
        <f>IFERROR(__xludf.DUMMYFUNCTION("""COMPUTED_VALUE"""),"COLBORNE")</f>
        <v>COLBORNE</v>
      </c>
      <c r="D6606" s="3" t="str">
        <f>IFERROR(__xludf.DUMMYFUNCTION("""COMPUTED_VALUE"""),"K0K 1S0")</f>
        <v>K0K 1S0</v>
      </c>
      <c r="E6606" s="3" t="str">
        <f>IFERROR(__xludf.DUMMYFUNCTION("""COMPUTED_VALUE"""),"GREG PARSONS")</f>
        <v>GREG PARSONS</v>
      </c>
      <c r="F6606" s="3" t="str">
        <f>IFERROR(__xludf.DUMMYFUNCTION("""COMPUTED_VALUE"""),"parsons.greg67@gmail.com")</f>
        <v>parsons.greg67@gmail.com</v>
      </c>
      <c r="G6606" s="3"/>
      <c r="H6606" s="3"/>
    </row>
    <row r="6607">
      <c r="A6607" s="2">
        <f>IFERROR(__xludf.DUMMYFUNCTION("""COMPUTED_VALUE"""),80437.0)</f>
        <v>80437</v>
      </c>
      <c r="B6607" s="3" t="str">
        <f>IFERROR(__xludf.DUMMYFUNCTION("""COMPUTED_VALUE"""),"170 COWIE RD ")</f>
        <v>170 COWIE RD </v>
      </c>
      <c r="C6607" s="3" t="str">
        <f>IFERROR(__xludf.DUMMYFUNCTION("""COMPUTED_VALUE"""),"COLBORNE")</f>
        <v>COLBORNE</v>
      </c>
      <c r="D6607" s="3" t="str">
        <f>IFERROR(__xludf.DUMMYFUNCTION("""COMPUTED_VALUE"""),"K0K 1S0")</f>
        <v>K0K 1S0</v>
      </c>
      <c r="E6607" s="3" t="str">
        <f>IFERROR(__xludf.DUMMYFUNCTION("""COMPUTED_VALUE"""),"Edward Manuel Cabral Leite")</f>
        <v>Edward Manuel Cabral Leite</v>
      </c>
      <c r="F6607" s="3" t="str">
        <f>IFERROR(__xludf.DUMMYFUNCTION("""COMPUTED_VALUE"""),"edwardleite@icloud.com")</f>
        <v>edwardleite@icloud.com</v>
      </c>
      <c r="G6607" s="3">
        <f>IFERROR(__xludf.DUMMYFUNCTION("""COMPUTED_VALUE"""),6.138275514E9)</f>
        <v>6138275514</v>
      </c>
      <c r="H6607" s="3">
        <f>IFERROR(__xludf.DUMMYFUNCTION("""COMPUTED_VALUE"""),6.138277669E9)</f>
        <v>6138277669</v>
      </c>
    </row>
    <row r="6608">
      <c r="A6608" s="2">
        <f>IFERROR(__xludf.DUMMYFUNCTION("""COMPUTED_VALUE"""),80438.0)</f>
        <v>80438</v>
      </c>
      <c r="B6608" s="3" t="str">
        <f>IFERROR(__xludf.DUMMYFUNCTION("""COMPUTED_VALUE"""),"206 COWIE RD ")</f>
        <v>206 COWIE RD </v>
      </c>
      <c r="C6608" s="3" t="str">
        <f>IFERROR(__xludf.DUMMYFUNCTION("""COMPUTED_VALUE"""),"COLBORNE")</f>
        <v>COLBORNE</v>
      </c>
      <c r="D6608" s="3" t="str">
        <f>IFERROR(__xludf.DUMMYFUNCTION("""COMPUTED_VALUE"""),"K0K 1S0")</f>
        <v>K0K 1S0</v>
      </c>
      <c r="E6608" s="3" t="str">
        <f>IFERROR(__xludf.DUMMYFUNCTION("""COMPUTED_VALUE"""),"james toms ")</f>
        <v>james toms </v>
      </c>
      <c r="F6608" s="3" t="str">
        <f>IFERROR(__xludf.DUMMYFUNCTION("""COMPUTED_VALUE"""),"jgtoms@hotmail.com")</f>
        <v>jgtoms@hotmail.com</v>
      </c>
      <c r="G6608" s="3">
        <f>IFERROR(__xludf.DUMMYFUNCTION("""COMPUTED_VALUE"""),7.059276924E9)</f>
        <v>7059276924</v>
      </c>
      <c r="H6608" s="3">
        <f>IFERROR(__xludf.DUMMYFUNCTION("""COMPUTED_VALUE"""),2.892285865E9)</f>
        <v>2892285865</v>
      </c>
    </row>
    <row r="6609">
      <c r="A6609" s="2">
        <f>IFERROR(__xludf.DUMMYFUNCTION("""COMPUTED_VALUE"""),80439.0)</f>
        <v>80439</v>
      </c>
      <c r="B6609" s="3" t="str">
        <f>IFERROR(__xludf.DUMMYFUNCTION("""COMPUTED_VALUE"""),"228 COWIE RD ")</f>
        <v>228 COWIE RD </v>
      </c>
      <c r="C6609" s="3" t="str">
        <f>IFERROR(__xludf.DUMMYFUNCTION("""COMPUTED_VALUE"""),"COLBORNE")</f>
        <v>COLBORNE</v>
      </c>
      <c r="D6609" s="3" t="str">
        <f>IFERROR(__xludf.DUMMYFUNCTION("""COMPUTED_VALUE"""),"K0K 1S0")</f>
        <v>K0K 1S0</v>
      </c>
      <c r="E6609" s="3" t="str">
        <f>IFERROR(__xludf.DUMMYFUNCTION("""COMPUTED_VALUE"""),"Lori Clarke")</f>
        <v>Lori Clarke</v>
      </c>
      <c r="F6609" s="3" t="str">
        <f>IFERROR(__xludf.DUMMYFUNCTION("""COMPUTED_VALUE"""),"lori.clarke@live.com")</f>
        <v>lori.clarke@live.com</v>
      </c>
      <c r="G6609" s="3">
        <f>IFERROR(__xludf.DUMMYFUNCTION("""COMPUTED_VALUE"""),2.893140921E9)</f>
        <v>2893140921</v>
      </c>
      <c r="H6609" s="3">
        <f>IFERROR(__xludf.DUMMYFUNCTION("""COMPUTED_VALUE"""),2.897711221E9)</f>
        <v>2897711221</v>
      </c>
    </row>
    <row r="6610">
      <c r="A6610" s="2">
        <f>IFERROR(__xludf.DUMMYFUNCTION("""COMPUTED_VALUE"""),80440.0)</f>
        <v>80440</v>
      </c>
      <c r="B6610" s="3" t="str">
        <f>IFERROR(__xludf.DUMMYFUNCTION("""COMPUTED_VALUE"""),"256 COWIE RD ")</f>
        <v>256 COWIE RD </v>
      </c>
      <c r="C6610" s="3" t="str">
        <f>IFERROR(__xludf.DUMMYFUNCTION("""COMPUTED_VALUE"""),"COLBORNE")</f>
        <v>COLBORNE</v>
      </c>
      <c r="D6610" s="3" t="str">
        <f>IFERROR(__xludf.DUMMYFUNCTION("""COMPUTED_VALUE"""),"K0K 1S0")</f>
        <v>K0K 1S0</v>
      </c>
      <c r="E6610" s="3"/>
      <c r="F6610" s="3"/>
      <c r="G6610" s="3"/>
      <c r="H6610" s="3"/>
    </row>
    <row r="6611">
      <c r="A6611" s="2">
        <f>IFERROR(__xludf.DUMMYFUNCTION("""COMPUTED_VALUE"""),80442.0)</f>
        <v>80442</v>
      </c>
      <c r="B6611" s="3" t="str">
        <f>IFERROR(__xludf.DUMMYFUNCTION("""COMPUTED_VALUE"""),"24 CRAMAHE HILL RD ")</f>
        <v>24 CRAMAHE HILL RD </v>
      </c>
      <c r="C6611" s="3" t="str">
        <f>IFERROR(__xludf.DUMMYFUNCTION("""COMPUTED_VALUE"""),"CASTLETON")</f>
        <v>CASTLETON</v>
      </c>
      <c r="D6611" s="3" t="str">
        <f>IFERROR(__xludf.DUMMYFUNCTION("""COMPUTED_VALUE"""),"K0K 1M0")</f>
        <v>K0K 1M0</v>
      </c>
      <c r="E6611" s="3"/>
      <c r="F6611" s="3"/>
      <c r="G6611" s="3"/>
      <c r="H6611" s="3"/>
    </row>
    <row r="6612">
      <c r="A6612" s="2">
        <f>IFERROR(__xludf.DUMMYFUNCTION("""COMPUTED_VALUE"""),80493.0)</f>
        <v>80493</v>
      </c>
      <c r="B6612" s="3" t="str">
        <f>IFERROR(__xludf.DUMMYFUNCTION("""COMPUTED_VALUE"""),"100 DALE RD ")</f>
        <v>100 DALE RD </v>
      </c>
      <c r="C6612" s="3" t="str">
        <f>IFERROR(__xludf.DUMMYFUNCTION("""COMPUTED_VALUE"""),"COLBORNE")</f>
        <v>COLBORNE</v>
      </c>
      <c r="D6612" s="3" t="str">
        <f>IFERROR(__xludf.DUMMYFUNCTION("""COMPUTED_VALUE"""),"K0K 1S0")</f>
        <v>K0K 1S0</v>
      </c>
      <c r="E6612" s="3" t="str">
        <f>IFERROR(__xludf.DUMMYFUNCTION("""COMPUTED_VALUE"""),"al hicks")</f>
        <v>al hicks</v>
      </c>
      <c r="F6612" s="3" t="str">
        <f>IFERROR(__xludf.DUMMYFUNCTION("""COMPUTED_VALUE"""),"alandog@bell.nett")</f>
        <v>alandog@bell.nett</v>
      </c>
      <c r="G6612" s="3">
        <f>IFERROR(__xludf.DUMMYFUNCTION("""COMPUTED_VALUE"""),6.134758878E9)</f>
        <v>6134758878</v>
      </c>
      <c r="H6612" s="3"/>
    </row>
    <row r="6613">
      <c r="A6613" s="2">
        <f>IFERROR(__xludf.DUMMYFUNCTION("""COMPUTED_VALUE"""),80494.0)</f>
        <v>80494</v>
      </c>
      <c r="B6613" s="3" t="str">
        <f>IFERROR(__xludf.DUMMYFUNCTION("""COMPUTED_VALUE"""),"242 DALE RD ")</f>
        <v>242 DALE RD </v>
      </c>
      <c r="C6613" s="3" t="str">
        <f>IFERROR(__xludf.DUMMYFUNCTION("""COMPUTED_VALUE"""),"COLBORNE")</f>
        <v>COLBORNE</v>
      </c>
      <c r="D6613" s="3" t="str">
        <f>IFERROR(__xludf.DUMMYFUNCTION("""COMPUTED_VALUE"""),"K0K 1S0")</f>
        <v>K0K 1S0</v>
      </c>
      <c r="E6613" s="3" t="str">
        <f>IFERROR(__xludf.DUMMYFUNCTION("""COMPUTED_VALUE"""),"Philip Tunley")</f>
        <v>Philip Tunley</v>
      </c>
      <c r="F6613" s="3" t="str">
        <f>IFERROR(__xludf.DUMMYFUNCTION("""COMPUTED_VALUE"""),"phil@tunleylaw.ca")</f>
        <v>phil@tunleylaw.ca</v>
      </c>
      <c r="G6613" s="3">
        <f>IFERROR(__xludf.DUMMYFUNCTION("""COMPUTED_VALUE"""),6.479643495E9)</f>
        <v>6479643495</v>
      </c>
      <c r="H6613" s="3">
        <f>IFERROR(__xludf.DUMMYFUNCTION("""COMPUTED_VALUE"""),6.134756117E9)</f>
        <v>6134756117</v>
      </c>
    </row>
    <row r="6614">
      <c r="A6614" s="2">
        <f>IFERROR(__xludf.DUMMYFUNCTION("""COMPUTED_VALUE"""),80496.0)</f>
        <v>80496</v>
      </c>
      <c r="B6614" s="3" t="str">
        <f>IFERROR(__xludf.DUMMYFUNCTION("""COMPUTED_VALUE"""),"12 DALLISON LANE ")</f>
        <v>12 DALLISON LANE </v>
      </c>
      <c r="C6614" s="3" t="str">
        <f>IFERROR(__xludf.DUMMYFUNCTION("""COMPUTED_VALUE"""),"BRIGHTON")</f>
        <v>BRIGHTON</v>
      </c>
      <c r="D6614" s="3" t="str">
        <f>IFERROR(__xludf.DUMMYFUNCTION("""COMPUTED_VALUE"""),"K0K 1H0")</f>
        <v>K0K 1H0</v>
      </c>
      <c r="E6614" s="3"/>
      <c r="F6614" s="3"/>
      <c r="G6614" s="3"/>
      <c r="H6614" s="3"/>
    </row>
    <row r="6615">
      <c r="A6615" s="2">
        <f>IFERROR(__xludf.DUMMYFUNCTION("""COMPUTED_VALUE"""),80497.0)</f>
        <v>80497</v>
      </c>
      <c r="B6615" s="3" t="str">
        <f>IFERROR(__xludf.DUMMYFUNCTION("""COMPUTED_VALUE"""),"38 DALLISON LANE ")</f>
        <v>38 DALLISON LANE </v>
      </c>
      <c r="C6615" s="3" t="str">
        <f>IFERROR(__xludf.DUMMYFUNCTION("""COMPUTED_VALUE"""),"BRIGHTON")</f>
        <v>BRIGHTON</v>
      </c>
      <c r="D6615" s="3" t="str">
        <f>IFERROR(__xludf.DUMMYFUNCTION("""COMPUTED_VALUE"""),"K0K 1H0")</f>
        <v>K0K 1H0</v>
      </c>
      <c r="E6615" s="3" t="str">
        <f>IFERROR(__xludf.DUMMYFUNCTION("""COMPUTED_VALUE"""),"Stephen Coulter")</f>
        <v>Stephen Coulter</v>
      </c>
      <c r="F6615" s="3" t="str">
        <f>IFERROR(__xludf.DUMMYFUNCTION("""COMPUTED_VALUE"""),"stevecoulter21@gmail.com")</f>
        <v>stevecoulter21@gmail.com</v>
      </c>
      <c r="G6615" s="3">
        <f>IFERROR(__xludf.DUMMYFUNCTION("""COMPUTED_VALUE"""),4.168999962E9)</f>
        <v>4168999962</v>
      </c>
      <c r="H6615" s="3">
        <f>IFERROR(__xludf.DUMMYFUNCTION("""COMPUTED_VALUE"""),4.168992085E9)</f>
        <v>4168992085</v>
      </c>
    </row>
    <row r="6616">
      <c r="A6616" s="2">
        <f>IFERROR(__xludf.DUMMYFUNCTION("""COMPUTED_VALUE"""),80507.0)</f>
        <v>80507</v>
      </c>
      <c r="B6616" s="3" t="str">
        <f>IFERROR(__xludf.DUMMYFUNCTION("""COMPUTED_VALUE"""),"139 DEELE RD ")</f>
        <v>139 DEELE RD </v>
      </c>
      <c r="C6616" s="3" t="str">
        <f>IFERROR(__xludf.DUMMYFUNCTION("""COMPUTED_VALUE"""),"COLBORNE")</f>
        <v>COLBORNE</v>
      </c>
      <c r="D6616" s="3" t="str">
        <f>IFERROR(__xludf.DUMMYFUNCTION("""COMPUTED_VALUE"""),"K0K 1S0")</f>
        <v>K0K 1S0</v>
      </c>
      <c r="E6616" s="3" t="str">
        <f>IFERROR(__xludf.DUMMYFUNCTION("""COMPUTED_VALUE"""),"Guy and Sandy Stacey")</f>
        <v>Guy and Sandy Stacey</v>
      </c>
      <c r="F6616" s="3" t="str">
        <f>IFERROR(__xludf.DUMMYFUNCTION("""COMPUTED_VALUE"""),"dwifeni@gmail.com")</f>
        <v>dwifeni@gmail.com</v>
      </c>
      <c r="G6616" s="3"/>
      <c r="H6616" s="3"/>
    </row>
    <row r="6617">
      <c r="A6617" s="2">
        <f>IFERROR(__xludf.DUMMYFUNCTION("""COMPUTED_VALUE"""),80508.0)</f>
        <v>80508</v>
      </c>
      <c r="B6617" s="3" t="str">
        <f>IFERROR(__xludf.DUMMYFUNCTION("""COMPUTED_VALUE"""),"191 DEELE RD ")</f>
        <v>191 DEELE RD </v>
      </c>
      <c r="C6617" s="3" t="str">
        <f>IFERROR(__xludf.DUMMYFUNCTION("""COMPUTED_VALUE"""),"COLBORNE")</f>
        <v>COLBORNE</v>
      </c>
      <c r="D6617" s="3" t="str">
        <f>IFERROR(__xludf.DUMMYFUNCTION("""COMPUTED_VALUE"""),"K0K 1S0")</f>
        <v>K0K 1S0</v>
      </c>
      <c r="E6617" s="3" t="str">
        <f>IFERROR(__xludf.DUMMYFUNCTION("""COMPUTED_VALUE"""),"michael caza")</f>
        <v>michael caza</v>
      </c>
      <c r="F6617" s="3" t="str">
        <f>IFERROR(__xludf.DUMMYFUNCTION("""COMPUTED_VALUE"""),"cazamike@hotmail.com")</f>
        <v>cazamike@hotmail.com</v>
      </c>
      <c r="G6617" s="3">
        <f>IFERROR(__xludf.DUMMYFUNCTION("""COMPUTED_VALUE"""),9.053766998E9)</f>
        <v>9053766998</v>
      </c>
      <c r="H6617" s="3"/>
    </row>
    <row r="6618">
      <c r="A6618" s="2">
        <f>IFERROR(__xludf.DUMMYFUNCTION("""COMPUTED_VALUE"""),80509.0)</f>
        <v>80509</v>
      </c>
      <c r="B6618" s="3" t="str">
        <f>IFERROR(__xludf.DUMMYFUNCTION("""COMPUTED_VALUE"""),"223 DEELE RD ")</f>
        <v>223 DEELE RD </v>
      </c>
      <c r="C6618" s="3" t="str">
        <f>IFERROR(__xludf.DUMMYFUNCTION("""COMPUTED_VALUE"""),"COLBORNE")</f>
        <v>COLBORNE</v>
      </c>
      <c r="D6618" s="3" t="str">
        <f>IFERROR(__xludf.DUMMYFUNCTION("""COMPUTED_VALUE"""),"K0K 1S0")</f>
        <v>K0K 1S0</v>
      </c>
      <c r="E6618" s="3" t="str">
        <f>IFERROR(__xludf.DUMMYFUNCTION("""COMPUTED_VALUE"""),"ed smith ")</f>
        <v>ed smith </v>
      </c>
      <c r="F6618" s="3"/>
      <c r="G6618" s="3">
        <f>IFERROR(__xludf.DUMMYFUNCTION("""COMPUTED_VALUE"""),2.896881331E9)</f>
        <v>2896881331</v>
      </c>
      <c r="H6618" s="3">
        <f>IFERROR(__xludf.DUMMYFUNCTION("""COMPUTED_VALUE"""),9.052600522E9)</f>
        <v>9052600522</v>
      </c>
    </row>
    <row r="6619">
      <c r="A6619" s="2">
        <f>IFERROR(__xludf.DUMMYFUNCTION("""COMPUTED_VALUE"""),80510.0)</f>
        <v>80510</v>
      </c>
      <c r="B6619" s="3" t="str">
        <f>IFERROR(__xludf.DUMMYFUNCTION("""COMPUTED_VALUE"""),"241 DEELE RD ")</f>
        <v>241 DEELE RD </v>
      </c>
      <c r="C6619" s="3" t="str">
        <f>IFERROR(__xludf.DUMMYFUNCTION("""COMPUTED_VALUE"""),"COLBORNE")</f>
        <v>COLBORNE</v>
      </c>
      <c r="D6619" s="3" t="str">
        <f>IFERROR(__xludf.DUMMYFUNCTION("""COMPUTED_VALUE"""),"K0K 1S0")</f>
        <v>K0K 1S0</v>
      </c>
      <c r="E6619" s="3" t="str">
        <f>IFERROR(__xludf.DUMMYFUNCTION("""COMPUTED_VALUE"""),"Repul Kher")</f>
        <v>Repul Kher</v>
      </c>
      <c r="F6619" s="3" t="str">
        <f>IFERROR(__xludf.DUMMYFUNCTION("""COMPUTED_VALUE"""),"repul.kher@outlook.com")</f>
        <v>repul.kher@outlook.com</v>
      </c>
      <c r="G6619" s="3">
        <f>IFERROR(__xludf.DUMMYFUNCTION("""COMPUTED_VALUE"""),6.476492742E9)</f>
        <v>6476492742</v>
      </c>
      <c r="H6619" s="3"/>
    </row>
    <row r="6620">
      <c r="A6620" s="2">
        <f>IFERROR(__xludf.DUMMYFUNCTION("""COMPUTED_VALUE"""),80511.0)</f>
        <v>80511</v>
      </c>
      <c r="B6620" s="3" t="str">
        <f>IFERROR(__xludf.DUMMYFUNCTION("""COMPUTED_VALUE"""),"251 DEELE RD ")</f>
        <v>251 DEELE RD </v>
      </c>
      <c r="C6620" s="3" t="str">
        <f>IFERROR(__xludf.DUMMYFUNCTION("""COMPUTED_VALUE"""),"COLBORNE")</f>
        <v>COLBORNE</v>
      </c>
      <c r="D6620" s="3" t="str">
        <f>IFERROR(__xludf.DUMMYFUNCTION("""COMPUTED_VALUE"""),"K0K 1S0")</f>
        <v>K0K 1S0</v>
      </c>
      <c r="E6620" s="3"/>
      <c r="F6620" s="3"/>
      <c r="G6620" s="3"/>
      <c r="H6620" s="3"/>
    </row>
    <row r="6621">
      <c r="A6621" s="2">
        <f>IFERROR(__xludf.DUMMYFUNCTION("""COMPUTED_VALUE"""),80512.0)</f>
        <v>80512</v>
      </c>
      <c r="B6621" s="3" t="str">
        <f>IFERROR(__xludf.DUMMYFUNCTION("""COMPUTED_VALUE"""),"257 DEELE RD ")</f>
        <v>257 DEELE RD </v>
      </c>
      <c r="C6621" s="3" t="str">
        <f>IFERROR(__xludf.DUMMYFUNCTION("""COMPUTED_VALUE"""),"COLBORNE")</f>
        <v>COLBORNE</v>
      </c>
      <c r="D6621" s="3" t="str">
        <f>IFERROR(__xludf.DUMMYFUNCTION("""COMPUTED_VALUE"""),"K0K 1S0")</f>
        <v>K0K 1S0</v>
      </c>
      <c r="E6621" s="3" t="str">
        <f>IFERROR(__xludf.DUMMYFUNCTION("""COMPUTED_VALUE"""),"Andrew Burt")</f>
        <v>Andrew Burt</v>
      </c>
      <c r="F6621" s="3" t="str">
        <f>IFERROR(__xludf.DUMMYFUNCTION("""COMPUTED_VALUE"""),"mail@drewburt.com")</f>
        <v>mail@drewburt.com</v>
      </c>
      <c r="G6621" s="3"/>
      <c r="H6621" s="3"/>
    </row>
    <row r="6622">
      <c r="A6622" s="2">
        <f>IFERROR(__xludf.DUMMYFUNCTION("""COMPUTED_VALUE"""),80513.0)</f>
        <v>80513</v>
      </c>
      <c r="B6622" s="3" t="str">
        <f>IFERROR(__xludf.DUMMYFUNCTION("""COMPUTED_VALUE"""),"273 DEELE RD ")</f>
        <v>273 DEELE RD </v>
      </c>
      <c r="C6622" s="3" t="str">
        <f>IFERROR(__xludf.DUMMYFUNCTION("""COMPUTED_VALUE"""),"COLBORNE")</f>
        <v>COLBORNE</v>
      </c>
      <c r="D6622" s="3" t="str">
        <f>IFERROR(__xludf.DUMMYFUNCTION("""COMPUTED_VALUE"""),"K0K 1S0")</f>
        <v>K0K 1S0</v>
      </c>
      <c r="E6622" s="3" t="str">
        <f>IFERROR(__xludf.DUMMYFUNCTION("""COMPUTED_VALUE"""),"Rachael BROUGH")</f>
        <v>Rachael BROUGH</v>
      </c>
      <c r="F6622" s="3" t="str">
        <f>IFERROR(__xludf.DUMMYFUNCTION("""COMPUTED_VALUE"""),"hunt.rachael@outlook.com")</f>
        <v>hunt.rachael@outlook.com</v>
      </c>
      <c r="G6622" s="3"/>
      <c r="H6622" s="3"/>
    </row>
    <row r="6623">
      <c r="A6623" s="2">
        <f>IFERROR(__xludf.DUMMYFUNCTION("""COMPUTED_VALUE"""),80514.0)</f>
        <v>80514</v>
      </c>
      <c r="B6623" s="3" t="str">
        <f>IFERROR(__xludf.DUMMYFUNCTION("""COMPUTED_VALUE"""),"286 DEELE RD ")</f>
        <v>286 DEELE RD </v>
      </c>
      <c r="C6623" s="3" t="str">
        <f>IFERROR(__xludf.DUMMYFUNCTION("""COMPUTED_VALUE"""),"COLBORNE")</f>
        <v>COLBORNE</v>
      </c>
      <c r="D6623" s="3" t="str">
        <f>IFERROR(__xludf.DUMMYFUNCTION("""COMPUTED_VALUE"""),"K0K 1S0")</f>
        <v>K0K 1S0</v>
      </c>
      <c r="E6623" s="3" t="str">
        <f>IFERROR(__xludf.DUMMYFUNCTION("""COMPUTED_VALUE"""),"Geraldine Miedema")</f>
        <v>Geraldine Miedema</v>
      </c>
      <c r="F6623" s="3" t="str">
        <f>IFERROR(__xludf.DUMMYFUNCTION("""COMPUTED_VALUE"""),"dgmiedema5@hotmail.com")</f>
        <v>dgmiedema5@hotmail.com</v>
      </c>
      <c r="G6623" s="3">
        <f>IFERROR(__xludf.DUMMYFUNCTION("""COMPUTED_VALUE"""),2.892516115E9)</f>
        <v>2892516115</v>
      </c>
      <c r="H6623" s="3"/>
    </row>
    <row r="6624">
      <c r="A6624" s="2">
        <f>IFERROR(__xludf.DUMMYFUNCTION("""COMPUTED_VALUE"""),80516.0)</f>
        <v>80516</v>
      </c>
      <c r="B6624" s="3" t="str">
        <f>IFERROR(__xludf.DUMMYFUNCTION("""COMPUTED_VALUE"""),"174 DONALDSON RD ")</f>
        <v>174 DONALDSON RD </v>
      </c>
      <c r="C6624" s="3" t="str">
        <f>IFERROR(__xludf.DUMMYFUNCTION("""COMPUTED_VALUE"""),"BRIGHTON")</f>
        <v>BRIGHTON</v>
      </c>
      <c r="D6624" s="3" t="str">
        <f>IFERROR(__xludf.DUMMYFUNCTION("""COMPUTED_VALUE"""),"K0K 1H0")</f>
        <v>K0K 1H0</v>
      </c>
      <c r="E6624" s="3" t="str">
        <f>IFERROR(__xludf.DUMMYFUNCTION("""COMPUTED_VALUE"""),"robyn allen ")</f>
        <v>robyn allen </v>
      </c>
      <c r="F6624" s="3" t="str">
        <f>IFERROR(__xludf.DUMMYFUNCTION("""COMPUTED_VALUE"""),"robynadasilva30@gmail.com")</f>
        <v>robynadasilva30@gmail.com</v>
      </c>
      <c r="G6624" s="3">
        <f>IFERROR(__xludf.DUMMYFUNCTION("""COMPUTED_VALUE"""),9.053969126E9)</f>
        <v>9053969126</v>
      </c>
      <c r="H6624" s="3"/>
    </row>
    <row r="6625">
      <c r="A6625" s="2">
        <f>IFERROR(__xludf.DUMMYFUNCTION("""COMPUTED_VALUE"""),80517.0)</f>
        <v>80517</v>
      </c>
      <c r="B6625" s="3" t="str">
        <f>IFERROR(__xludf.DUMMYFUNCTION("""COMPUTED_VALUE"""),"188 DONALDSON RD ")</f>
        <v>188 DONALDSON RD </v>
      </c>
      <c r="C6625" s="3" t="str">
        <f>IFERROR(__xludf.DUMMYFUNCTION("""COMPUTED_VALUE"""),"BRIGHTON")</f>
        <v>BRIGHTON</v>
      </c>
      <c r="D6625" s="3" t="str">
        <f>IFERROR(__xludf.DUMMYFUNCTION("""COMPUTED_VALUE"""),"K0K 1H0")</f>
        <v>K0K 1H0</v>
      </c>
      <c r="E6625" s="3"/>
      <c r="F6625" s="3"/>
      <c r="G6625" s="3"/>
      <c r="H6625" s="3"/>
    </row>
    <row r="6626">
      <c r="A6626" s="2">
        <f>IFERROR(__xludf.DUMMYFUNCTION("""COMPUTED_VALUE"""),80518.0)</f>
        <v>80518</v>
      </c>
      <c r="B6626" s="3" t="str">
        <f>IFERROR(__xludf.DUMMYFUNCTION("""COMPUTED_VALUE"""),"234 DONALDSON RD ")</f>
        <v>234 DONALDSON RD </v>
      </c>
      <c r="C6626" s="3" t="str">
        <f>IFERROR(__xludf.DUMMYFUNCTION("""COMPUTED_VALUE"""),"BRIGHTON")</f>
        <v>BRIGHTON</v>
      </c>
      <c r="D6626" s="3" t="str">
        <f>IFERROR(__xludf.DUMMYFUNCTION("""COMPUTED_VALUE"""),"K0K 1H0")</f>
        <v>K0K 1H0</v>
      </c>
      <c r="E6626" s="3" t="str">
        <f>IFERROR(__xludf.DUMMYFUNCTION("""COMPUTED_VALUE"""),"Brenda &amp; Lewis Theodoris ")</f>
        <v>Brenda &amp; Lewis Theodoris </v>
      </c>
      <c r="F6626" s="3" t="str">
        <f>IFERROR(__xludf.DUMMYFUNCTION("""COMPUTED_VALUE"""),"n/a")</f>
        <v>n/a</v>
      </c>
      <c r="G6626" s="3"/>
      <c r="H6626" s="3"/>
    </row>
    <row r="6627">
      <c r="A6627" s="2">
        <f>IFERROR(__xludf.DUMMYFUNCTION("""COMPUTED_VALUE"""),80519.0)</f>
        <v>80519</v>
      </c>
      <c r="B6627" s="3" t="str">
        <f>IFERROR(__xludf.DUMMYFUNCTION("""COMPUTED_VALUE"""),"235 DONALDSON RD ")</f>
        <v>235 DONALDSON RD </v>
      </c>
      <c r="C6627" s="3" t="str">
        <f>IFERROR(__xludf.DUMMYFUNCTION("""COMPUTED_VALUE"""),"BRIGHTON")</f>
        <v>BRIGHTON</v>
      </c>
      <c r="D6627" s="3" t="str">
        <f>IFERROR(__xludf.DUMMYFUNCTION("""COMPUTED_VALUE"""),"K0K 1H0")</f>
        <v>K0K 1H0</v>
      </c>
      <c r="E6627" s="3" t="str">
        <f>IFERROR(__xludf.DUMMYFUNCTION("""COMPUTED_VALUE"""),"roy borden")</f>
        <v>roy borden</v>
      </c>
      <c r="F6627" s="3"/>
      <c r="G6627" s="3">
        <f>IFERROR(__xludf.DUMMYFUNCTION("""COMPUTED_VALUE"""),6.134759954E9)</f>
        <v>6134759954</v>
      </c>
      <c r="H6627" s="3"/>
    </row>
    <row r="6628">
      <c r="A6628" s="2">
        <f>IFERROR(__xludf.DUMMYFUNCTION("""COMPUTED_VALUE"""),80520.0)</f>
        <v>80520</v>
      </c>
      <c r="B6628" s="3" t="str">
        <f>IFERROR(__xludf.DUMMYFUNCTION("""COMPUTED_VALUE"""),"256 DONALDSON RD ")</f>
        <v>256 DONALDSON RD </v>
      </c>
      <c r="C6628" s="3" t="str">
        <f>IFERROR(__xludf.DUMMYFUNCTION("""COMPUTED_VALUE"""),"BRIGHTON")</f>
        <v>BRIGHTON</v>
      </c>
      <c r="D6628" s="3" t="str">
        <f>IFERROR(__xludf.DUMMYFUNCTION("""COMPUTED_VALUE"""),"K0K 1H0")</f>
        <v>K0K 1H0</v>
      </c>
      <c r="E6628" s="3" t="str">
        <f>IFERROR(__xludf.DUMMYFUNCTION("""COMPUTED_VALUE"""),"gordon watters ")</f>
        <v>gordon watters </v>
      </c>
      <c r="F6628" s="3"/>
      <c r="G6628" s="3">
        <f>IFERROR(__xludf.DUMMYFUNCTION("""COMPUTED_VALUE"""),6.134756174E9)</f>
        <v>6134756174</v>
      </c>
      <c r="H6628" s="3"/>
    </row>
    <row r="6629">
      <c r="A6629" s="2">
        <f>IFERROR(__xludf.DUMMYFUNCTION("""COMPUTED_VALUE"""),80521.0)</f>
        <v>80521</v>
      </c>
      <c r="B6629" s="3" t="str">
        <f>IFERROR(__xludf.DUMMYFUNCTION("""COMPUTED_VALUE"""),"261 DONALDSON RD ")</f>
        <v>261 DONALDSON RD </v>
      </c>
      <c r="C6629" s="3" t="str">
        <f>IFERROR(__xludf.DUMMYFUNCTION("""COMPUTED_VALUE"""),"BRIGHTON")</f>
        <v>BRIGHTON</v>
      </c>
      <c r="D6629" s="3" t="str">
        <f>IFERROR(__xludf.DUMMYFUNCTION("""COMPUTED_VALUE"""),"K0K 1H0")</f>
        <v>K0K 1H0</v>
      </c>
      <c r="E6629" s="3" t="str">
        <f>IFERROR(__xludf.DUMMYFUNCTION("""COMPUTED_VALUE"""),"Andrew Wright")</f>
        <v>Andrew Wright</v>
      </c>
      <c r="F6629" s="3" t="str">
        <f>IFERROR(__xludf.DUMMYFUNCTION("""COMPUTED_VALUE"""),"andrew.wright12@gmail.com")</f>
        <v>andrew.wright12@gmail.com</v>
      </c>
      <c r="G6629" s="3">
        <f>IFERROR(__xludf.DUMMYFUNCTION("""COMPUTED_VALUE"""),2.262203589E9)</f>
        <v>2262203589</v>
      </c>
      <c r="H6629" s="3"/>
    </row>
    <row r="6630">
      <c r="A6630" s="2">
        <f>IFERROR(__xludf.DUMMYFUNCTION("""COMPUTED_VALUE"""),80522.0)</f>
        <v>80522</v>
      </c>
      <c r="B6630" s="3" t="str">
        <f>IFERROR(__xludf.DUMMYFUNCTION("""COMPUTED_VALUE"""),"271 DONALDSON RD ")</f>
        <v>271 DONALDSON RD </v>
      </c>
      <c r="C6630" s="3" t="str">
        <f>IFERROR(__xludf.DUMMYFUNCTION("""COMPUTED_VALUE"""),"BRIGHTON")</f>
        <v>BRIGHTON</v>
      </c>
      <c r="D6630" s="3" t="str">
        <f>IFERROR(__xludf.DUMMYFUNCTION("""COMPUTED_VALUE"""),"K0K 1H0")</f>
        <v>K0K 1H0</v>
      </c>
      <c r="E6630" s="3" t="str">
        <f>IFERROR(__xludf.DUMMYFUNCTION("""COMPUTED_VALUE"""),"Randal Green")</f>
        <v>Randal Green</v>
      </c>
      <c r="F6630" s="3" t="str">
        <f>IFERROR(__xludf.DUMMYFUNCTION("""COMPUTED_VALUE"""),"randy.green53@outlook.com")</f>
        <v>randy.green53@outlook.com</v>
      </c>
      <c r="G6630" s="3">
        <f>IFERROR(__xludf.DUMMYFUNCTION("""COMPUTED_VALUE"""),6.132427863E9)</f>
        <v>6132427863</v>
      </c>
      <c r="H6630" s="3"/>
    </row>
    <row r="6631">
      <c r="A6631" s="2">
        <f>IFERROR(__xludf.DUMMYFUNCTION("""COMPUTED_VALUE"""),80523.0)</f>
        <v>80523</v>
      </c>
      <c r="B6631" s="3" t="str">
        <f>IFERROR(__xludf.DUMMYFUNCTION("""COMPUTED_VALUE"""),"272 DONALDSON RD ")</f>
        <v>272 DONALDSON RD </v>
      </c>
      <c r="C6631" s="3" t="str">
        <f>IFERROR(__xludf.DUMMYFUNCTION("""COMPUTED_VALUE"""),"BRIGHTON")</f>
        <v>BRIGHTON</v>
      </c>
      <c r="D6631" s="3" t="str">
        <f>IFERROR(__xludf.DUMMYFUNCTION("""COMPUTED_VALUE"""),"K0K 1H0")</f>
        <v>K0K 1H0</v>
      </c>
      <c r="E6631" s="3" t="str">
        <f>IFERROR(__xludf.DUMMYFUNCTION("""COMPUTED_VALUE"""),"susan and brian bartholomew")</f>
        <v>susan and brian bartholomew</v>
      </c>
      <c r="F6631" s="3" t="str">
        <f>IFERROR(__xludf.DUMMYFUNCTION("""COMPUTED_VALUE"""),"sue-bartholomew@hotmail.com")</f>
        <v>sue-bartholomew@hotmail.com</v>
      </c>
      <c r="G6631" s="3">
        <f>IFERROR(__xludf.DUMMYFUNCTION("""COMPUTED_VALUE"""),9.054240202E9)</f>
        <v>9054240202</v>
      </c>
      <c r="H6631" s="3">
        <f>IFERROR(__xludf.DUMMYFUNCTION("""COMPUTED_VALUE"""),9.057061061E9)</f>
        <v>9057061061</v>
      </c>
    </row>
    <row r="6632">
      <c r="A6632" s="2">
        <f>IFERROR(__xludf.DUMMYFUNCTION("""COMPUTED_VALUE"""),81056.0)</f>
        <v>81056</v>
      </c>
      <c r="B6632" s="3" t="str">
        <f>IFERROR(__xludf.DUMMYFUNCTION("""COMPUTED_VALUE"""),"282 DONALDSON RD")</f>
        <v>282 DONALDSON RD</v>
      </c>
      <c r="C6632" s="3" t="str">
        <f>IFERROR(__xludf.DUMMYFUNCTION("""COMPUTED_VALUE"""),"BRIGHTON")</f>
        <v>BRIGHTON</v>
      </c>
      <c r="D6632" s="3" t="str">
        <f>IFERROR(__xludf.DUMMYFUNCTION("""COMPUTED_VALUE"""),"K0K 1H0")</f>
        <v>K0K 1H0</v>
      </c>
      <c r="E6632" s="3"/>
      <c r="F6632" s="3"/>
      <c r="G6632" s="3"/>
      <c r="H6632" s="3"/>
    </row>
    <row r="6633">
      <c r="A6633" s="2">
        <f>IFERROR(__xludf.DUMMYFUNCTION("""COMPUTED_VALUE"""),80524.0)</f>
        <v>80524</v>
      </c>
      <c r="B6633" s="3" t="str">
        <f>IFERROR(__xludf.DUMMYFUNCTION("""COMPUTED_VALUE"""),"283 DONALDSON RD ")</f>
        <v>283 DONALDSON RD </v>
      </c>
      <c r="C6633" s="3" t="str">
        <f>IFERROR(__xludf.DUMMYFUNCTION("""COMPUTED_VALUE"""),"BRIGHTON")</f>
        <v>BRIGHTON</v>
      </c>
      <c r="D6633" s="3" t="str">
        <f>IFERROR(__xludf.DUMMYFUNCTION("""COMPUTED_VALUE"""),"K0K 1H0")</f>
        <v>K0K 1H0</v>
      </c>
      <c r="E6633" s="3" t="str">
        <f>IFERROR(__xludf.DUMMYFUNCTION("""COMPUTED_VALUE"""),"amelie romard")</f>
        <v>amelie romard</v>
      </c>
      <c r="F6633" s="3" t="str">
        <f>IFERROR(__xludf.DUMMYFUNCTION("""COMPUTED_VALUE"""),"romardamelie@hotmail.com")</f>
        <v>romardamelie@hotmail.com</v>
      </c>
      <c r="G6633" s="3">
        <f>IFERROR(__xludf.DUMMYFUNCTION("""COMPUTED_VALUE"""),6.138481027E9)</f>
        <v>6138481027</v>
      </c>
      <c r="H6633" s="3">
        <f>IFERROR(__xludf.DUMMYFUNCTION("""COMPUTED_VALUE"""),6.133295393E9)</f>
        <v>6133295393</v>
      </c>
    </row>
    <row r="6634">
      <c r="A6634" s="2">
        <f>IFERROR(__xludf.DUMMYFUNCTION("""COMPUTED_VALUE"""),80525.0)</f>
        <v>80525</v>
      </c>
      <c r="B6634" s="3" t="str">
        <f>IFERROR(__xludf.DUMMYFUNCTION("""COMPUTED_VALUE"""),"284 DONALDSON RD ")</f>
        <v>284 DONALDSON RD </v>
      </c>
      <c r="C6634" s="3" t="str">
        <f>IFERROR(__xludf.DUMMYFUNCTION("""COMPUTED_VALUE"""),"BRIGHTON")</f>
        <v>BRIGHTON</v>
      </c>
      <c r="D6634" s="3" t="str">
        <f>IFERROR(__xludf.DUMMYFUNCTION("""COMPUTED_VALUE"""),"K0K 1H0")</f>
        <v>K0K 1H0</v>
      </c>
      <c r="E6634" s="3" t="str">
        <f>IFERROR(__xludf.DUMMYFUNCTION("""COMPUTED_VALUE"""),"vanessa honey")</f>
        <v>vanessa honey</v>
      </c>
      <c r="F6634" s="3"/>
      <c r="G6634" s="3">
        <f>IFERROR(__xludf.DUMMYFUNCTION("""COMPUTED_VALUE"""),7.057724032E9)</f>
        <v>7057724032</v>
      </c>
      <c r="H6634" s="3"/>
    </row>
    <row r="6635">
      <c r="A6635" s="2">
        <f>IFERROR(__xludf.DUMMYFUNCTION("""COMPUTED_VALUE"""),80529.0)</f>
        <v>80529</v>
      </c>
      <c r="B6635" s="3" t="str">
        <f>IFERROR(__xludf.DUMMYFUNCTION("""COMPUTED_VALUE"""),"14 FERGUSON HILL RD ")</f>
        <v>14 FERGUSON HILL RD </v>
      </c>
      <c r="C6635" s="3" t="str">
        <f>IFERROR(__xludf.DUMMYFUNCTION("""COMPUTED_VALUE"""),"CODRINGTON")</f>
        <v>CODRINGTON</v>
      </c>
      <c r="D6635" s="3" t="str">
        <f>IFERROR(__xludf.DUMMYFUNCTION("""COMPUTED_VALUE"""),"K0K 1R0")</f>
        <v>K0K 1R0</v>
      </c>
      <c r="E6635" s="3" t="str">
        <f>IFERROR(__xludf.DUMMYFUNCTION("""COMPUTED_VALUE"""),"Rebecca Rodgers")</f>
        <v>Rebecca Rodgers</v>
      </c>
      <c r="F6635" s="3" t="str">
        <f>IFERROR(__xludf.DUMMYFUNCTION("""COMPUTED_VALUE"""),"r.rodgers552@gmail.com")</f>
        <v>r.rodgers552@gmail.com</v>
      </c>
      <c r="G6635" s="3">
        <f>IFERROR(__xludf.DUMMYFUNCTION("""COMPUTED_VALUE"""),4.165754861E9)</f>
        <v>4165754861</v>
      </c>
      <c r="H6635" s="3">
        <f>IFERROR(__xludf.DUMMYFUNCTION("""COMPUTED_VALUE"""),4.1647675E9)</f>
        <v>4164767500</v>
      </c>
    </row>
    <row r="6636">
      <c r="A6636" s="2">
        <f>IFERROR(__xludf.DUMMYFUNCTION("""COMPUTED_VALUE"""),80530.0)</f>
        <v>80530</v>
      </c>
      <c r="B6636" s="3" t="str">
        <f>IFERROR(__xludf.DUMMYFUNCTION("""COMPUTED_VALUE"""),"1 FIELDCREST CRT ")</f>
        <v>1 FIELDCREST CRT </v>
      </c>
      <c r="C6636" s="3" t="str">
        <f>IFERROR(__xludf.DUMMYFUNCTION("""COMPUTED_VALUE"""),"CODRINGTON")</f>
        <v>CODRINGTON</v>
      </c>
      <c r="D6636" s="3" t="str">
        <f>IFERROR(__xludf.DUMMYFUNCTION("""COMPUTED_VALUE"""),"K0K 1R0")</f>
        <v>K0K 1R0</v>
      </c>
      <c r="E6636" s="3"/>
      <c r="F6636" s="3"/>
      <c r="G6636" s="3"/>
      <c r="H6636" s="3"/>
    </row>
    <row r="6637">
      <c r="A6637" s="2">
        <f>IFERROR(__xludf.DUMMYFUNCTION("""COMPUTED_VALUE"""),80539.0)</f>
        <v>80539</v>
      </c>
      <c r="B6637" s="3" t="str">
        <f>IFERROR(__xludf.DUMMYFUNCTION("""COMPUTED_VALUE"""),"10 FIELDCREST CRT ")</f>
        <v>10 FIELDCREST CRT </v>
      </c>
      <c r="C6637" s="3" t="str">
        <f>IFERROR(__xludf.DUMMYFUNCTION("""COMPUTED_VALUE"""),"CODRINGTON")</f>
        <v>CODRINGTON</v>
      </c>
      <c r="D6637" s="3" t="str">
        <f>IFERROR(__xludf.DUMMYFUNCTION("""COMPUTED_VALUE"""),"K0K 1R0")</f>
        <v>K0K 1R0</v>
      </c>
      <c r="E6637" s="3" t="str">
        <f>IFERROR(__xludf.DUMMYFUNCTION("""COMPUTED_VALUE"""),"lisa smith ")</f>
        <v>lisa smith </v>
      </c>
      <c r="F6637" s="3" t="str">
        <f>IFERROR(__xludf.DUMMYFUNCTION("""COMPUTED_VALUE"""),"lifechangingwithlisa@gmail.com")</f>
        <v>lifechangingwithlisa@gmail.com</v>
      </c>
      <c r="G6637" s="3">
        <f>IFERROR(__xludf.DUMMYFUNCTION("""COMPUTED_VALUE"""),4.169497784E9)</f>
        <v>4169497784</v>
      </c>
      <c r="H6637" s="3"/>
    </row>
    <row r="6638">
      <c r="A6638" s="2">
        <f>IFERROR(__xludf.DUMMYFUNCTION("""COMPUTED_VALUE"""),80540.0)</f>
        <v>80540</v>
      </c>
      <c r="B6638" s="3" t="str">
        <f>IFERROR(__xludf.DUMMYFUNCTION("""COMPUTED_VALUE"""),"11 FIELDCREST CRT ")</f>
        <v>11 FIELDCREST CRT </v>
      </c>
      <c r="C6638" s="3" t="str">
        <f>IFERROR(__xludf.DUMMYFUNCTION("""COMPUTED_VALUE"""),"CODRINGTON")</f>
        <v>CODRINGTON</v>
      </c>
      <c r="D6638" s="3" t="str">
        <f>IFERROR(__xludf.DUMMYFUNCTION("""COMPUTED_VALUE"""),"K0K 1R0")</f>
        <v>K0K 1R0</v>
      </c>
      <c r="E6638" s="3" t="str">
        <f>IFERROR(__xludf.DUMMYFUNCTION("""COMPUTED_VALUE"""),"John")</f>
        <v>John</v>
      </c>
      <c r="F6638" s="3"/>
      <c r="G6638" s="3">
        <f>IFERROR(__xludf.DUMMYFUNCTION("""COMPUTED_VALUE"""),6.478728229E9)</f>
        <v>6478728229</v>
      </c>
      <c r="H6638" s="3"/>
    </row>
    <row r="6639">
      <c r="A6639" s="2">
        <f>IFERROR(__xludf.DUMMYFUNCTION("""COMPUTED_VALUE"""),80531.0)</f>
        <v>80531</v>
      </c>
      <c r="B6639" s="3" t="str">
        <f>IFERROR(__xludf.DUMMYFUNCTION("""COMPUTED_VALUE"""),"2 FIELDCREST CRT ")</f>
        <v>2 FIELDCREST CRT </v>
      </c>
      <c r="C6639" s="3" t="str">
        <f>IFERROR(__xludf.DUMMYFUNCTION("""COMPUTED_VALUE"""),"CODRINGTON")</f>
        <v>CODRINGTON</v>
      </c>
      <c r="D6639" s="3" t="str">
        <f>IFERROR(__xludf.DUMMYFUNCTION("""COMPUTED_VALUE"""),"K0K 1R0")</f>
        <v>K0K 1R0</v>
      </c>
      <c r="E6639" s="3" t="str">
        <f>IFERROR(__xludf.DUMMYFUNCTION("""COMPUTED_VALUE"""),"john mellafey")</f>
        <v>john mellafey</v>
      </c>
      <c r="F6639" s="3"/>
      <c r="G6639" s="3">
        <f>IFERROR(__xludf.DUMMYFUNCTION("""COMPUTED_VALUE"""),3.432634638E9)</f>
        <v>3432634638</v>
      </c>
      <c r="H6639" s="3"/>
    </row>
    <row r="6640">
      <c r="A6640" s="2">
        <f>IFERROR(__xludf.DUMMYFUNCTION("""COMPUTED_VALUE"""),80532.0)</f>
        <v>80532</v>
      </c>
      <c r="B6640" s="3" t="str">
        <f>IFERROR(__xludf.DUMMYFUNCTION("""COMPUTED_VALUE"""),"3 FIELDCREST CRT ")</f>
        <v>3 FIELDCREST CRT </v>
      </c>
      <c r="C6640" s="3" t="str">
        <f>IFERROR(__xludf.DUMMYFUNCTION("""COMPUTED_VALUE"""),"CODRINGTON")</f>
        <v>CODRINGTON</v>
      </c>
      <c r="D6640" s="3" t="str">
        <f>IFERROR(__xludf.DUMMYFUNCTION("""COMPUTED_VALUE"""),"K0K 1R0")</f>
        <v>K0K 1R0</v>
      </c>
      <c r="E6640" s="3" t="str">
        <f>IFERROR(__xludf.DUMMYFUNCTION("""COMPUTED_VALUE"""),"Anthony Pugliese ")</f>
        <v>Anthony Pugliese </v>
      </c>
      <c r="F6640" s="3" t="str">
        <f>IFERROR(__xludf.DUMMYFUNCTION("""COMPUTED_VALUE"""),"apugliese263@gmail.com")</f>
        <v>apugliese263@gmail.com</v>
      </c>
      <c r="G6640" s="3"/>
      <c r="H6640" s="3"/>
    </row>
    <row r="6641">
      <c r="A6641" s="2">
        <f>IFERROR(__xludf.DUMMYFUNCTION("""COMPUTED_VALUE"""),80533.0)</f>
        <v>80533</v>
      </c>
      <c r="B6641" s="3" t="str">
        <f>IFERROR(__xludf.DUMMYFUNCTION("""COMPUTED_VALUE"""),"4 FIELDCREST CRT ")</f>
        <v>4 FIELDCREST CRT </v>
      </c>
      <c r="C6641" s="3" t="str">
        <f>IFERROR(__xludf.DUMMYFUNCTION("""COMPUTED_VALUE"""),"CODRINGTON")</f>
        <v>CODRINGTON</v>
      </c>
      <c r="D6641" s="3" t="str">
        <f>IFERROR(__xludf.DUMMYFUNCTION("""COMPUTED_VALUE"""),"K0K 1R0")</f>
        <v>K0K 1R0</v>
      </c>
      <c r="E6641" s="3" t="str">
        <f>IFERROR(__xludf.DUMMYFUNCTION("""COMPUTED_VALUE"""),"Wayne Olmstead")</f>
        <v>Wayne Olmstead</v>
      </c>
      <c r="F6641" s="3" t="str">
        <f>IFERROR(__xludf.DUMMYFUNCTION("""COMPUTED_VALUE"""),"wolmstead12@gmail.com")</f>
        <v>wolmstead12@gmail.com</v>
      </c>
      <c r="G6641" s="3">
        <f>IFERROR(__xludf.DUMMYFUNCTION("""COMPUTED_VALUE"""),7.055687299E9)</f>
        <v>7055687299</v>
      </c>
      <c r="H6641" s="3"/>
    </row>
    <row r="6642">
      <c r="A6642" s="2">
        <f>IFERROR(__xludf.DUMMYFUNCTION("""COMPUTED_VALUE"""),80534.0)</f>
        <v>80534</v>
      </c>
      <c r="B6642" s="3" t="str">
        <f>IFERROR(__xludf.DUMMYFUNCTION("""COMPUTED_VALUE"""),"5 FIELDCREST CRT ")</f>
        <v>5 FIELDCREST CRT </v>
      </c>
      <c r="C6642" s="3" t="str">
        <f>IFERROR(__xludf.DUMMYFUNCTION("""COMPUTED_VALUE"""),"CODRINGTON")</f>
        <v>CODRINGTON</v>
      </c>
      <c r="D6642" s="3" t="str">
        <f>IFERROR(__xludf.DUMMYFUNCTION("""COMPUTED_VALUE"""),"K0K 1R0")</f>
        <v>K0K 1R0</v>
      </c>
      <c r="E6642" s="3" t="str">
        <f>IFERROR(__xludf.DUMMYFUNCTION("""COMPUTED_VALUE"""),"David Dorland")</f>
        <v>David Dorland</v>
      </c>
      <c r="F6642" s="3" t="str">
        <f>IFERROR(__xludf.DUMMYFUNCTION("""COMPUTED_VALUE"""),"dave@dorland.ca")</f>
        <v>dave@dorland.ca</v>
      </c>
      <c r="G6642" s="3"/>
      <c r="H6642" s="3"/>
    </row>
    <row r="6643">
      <c r="A6643" s="2">
        <f>IFERROR(__xludf.DUMMYFUNCTION("""COMPUTED_VALUE"""),80535.0)</f>
        <v>80535</v>
      </c>
      <c r="B6643" s="3" t="str">
        <f>IFERROR(__xludf.DUMMYFUNCTION("""COMPUTED_VALUE"""),"6 FIELDCREST CRT ")</f>
        <v>6 FIELDCREST CRT </v>
      </c>
      <c r="C6643" s="3" t="str">
        <f>IFERROR(__xludf.DUMMYFUNCTION("""COMPUTED_VALUE"""),"CODRINGTON")</f>
        <v>CODRINGTON</v>
      </c>
      <c r="D6643" s="3" t="str">
        <f>IFERROR(__xludf.DUMMYFUNCTION("""COMPUTED_VALUE"""),"K0K 1R0")</f>
        <v>K0K 1R0</v>
      </c>
      <c r="E6643" s="3" t="str">
        <f>IFERROR(__xludf.DUMMYFUNCTION("""COMPUTED_VALUE"""),"angela lanes ")</f>
        <v>angela lanes </v>
      </c>
      <c r="F6643" s="3" t="str">
        <f>IFERROR(__xludf.DUMMYFUNCTION("""COMPUTED_VALUE"""),"angelawhite34@gmail.com")</f>
        <v>angelawhite34@gmail.com</v>
      </c>
      <c r="G6643" s="3">
        <f>IFERROR(__xludf.DUMMYFUNCTION("""COMPUTED_VALUE"""),2.896003227E9)</f>
        <v>2896003227</v>
      </c>
      <c r="H6643" s="3"/>
    </row>
    <row r="6644">
      <c r="A6644" s="2">
        <f>IFERROR(__xludf.DUMMYFUNCTION("""COMPUTED_VALUE"""),80536.0)</f>
        <v>80536</v>
      </c>
      <c r="B6644" s="3" t="str">
        <f>IFERROR(__xludf.DUMMYFUNCTION("""COMPUTED_VALUE"""),"7 FIELDCREST CRT ")</f>
        <v>7 FIELDCREST CRT </v>
      </c>
      <c r="C6644" s="3" t="str">
        <f>IFERROR(__xludf.DUMMYFUNCTION("""COMPUTED_VALUE"""),"CODRINGTON")</f>
        <v>CODRINGTON</v>
      </c>
      <c r="D6644" s="3" t="str">
        <f>IFERROR(__xludf.DUMMYFUNCTION("""COMPUTED_VALUE"""),"K0K 1R0")</f>
        <v>K0K 1R0</v>
      </c>
      <c r="E6644" s="3" t="str">
        <f>IFERROR(__xludf.DUMMYFUNCTION("""COMPUTED_VALUE"""),"brian beattle")</f>
        <v>brian beattle</v>
      </c>
      <c r="F6644" s="3" t="str">
        <f>IFERROR(__xludf.DUMMYFUNCTION("""COMPUTED_VALUE"""),"brian_beattle@hotmail.com")</f>
        <v>brian_beattle@hotmail.com</v>
      </c>
      <c r="G6644" s="3">
        <f>IFERROR(__xludf.DUMMYFUNCTION("""COMPUTED_VALUE"""),9.054044577E9)</f>
        <v>9054044577</v>
      </c>
      <c r="H6644" s="3">
        <f>IFERROR(__xludf.DUMMYFUNCTION("""COMPUTED_VALUE"""),9.057188737E9)</f>
        <v>9057188737</v>
      </c>
    </row>
    <row r="6645">
      <c r="A6645" s="2">
        <f>IFERROR(__xludf.DUMMYFUNCTION("""COMPUTED_VALUE"""),80537.0)</f>
        <v>80537</v>
      </c>
      <c r="B6645" s="3" t="str">
        <f>IFERROR(__xludf.DUMMYFUNCTION("""COMPUTED_VALUE"""),"8 FIELDCREST CRT ")</f>
        <v>8 FIELDCREST CRT </v>
      </c>
      <c r="C6645" s="3" t="str">
        <f>IFERROR(__xludf.DUMMYFUNCTION("""COMPUTED_VALUE"""),"CODRINGTON")</f>
        <v>CODRINGTON</v>
      </c>
      <c r="D6645" s="3" t="str">
        <f>IFERROR(__xludf.DUMMYFUNCTION("""COMPUTED_VALUE"""),"K0K 1R0")</f>
        <v>K0K 1R0</v>
      </c>
      <c r="E6645" s="3" t="str">
        <f>IFERROR(__xludf.DUMMYFUNCTION("""COMPUTED_VALUE"""),"KYLE SCOTT")</f>
        <v>KYLE SCOTT</v>
      </c>
      <c r="F6645" s="3" t="str">
        <f>IFERROR(__xludf.DUMMYFUNCTION("""COMPUTED_VALUE"""),"ktscott_13@hotmail.com")</f>
        <v>ktscott_13@hotmail.com</v>
      </c>
      <c r="G6645" s="3"/>
      <c r="H6645" s="3"/>
    </row>
    <row r="6646">
      <c r="A6646" s="2">
        <f>IFERROR(__xludf.DUMMYFUNCTION("""COMPUTED_VALUE"""),80538.0)</f>
        <v>80538</v>
      </c>
      <c r="B6646" s="3" t="str">
        <f>IFERROR(__xludf.DUMMYFUNCTION("""COMPUTED_VALUE"""),"9 FIELDCREST CRT ")</f>
        <v>9 FIELDCREST CRT </v>
      </c>
      <c r="C6646" s="3" t="str">
        <f>IFERROR(__xludf.DUMMYFUNCTION("""COMPUTED_VALUE"""),"CODRINGTON")</f>
        <v>CODRINGTON</v>
      </c>
      <c r="D6646" s="3" t="str">
        <f>IFERROR(__xludf.DUMMYFUNCTION("""COMPUTED_VALUE"""),"K0K 1R0")</f>
        <v>K0K 1R0</v>
      </c>
      <c r="E6646" s="3" t="str">
        <f>IFERROR(__xludf.DUMMYFUNCTION("""COMPUTED_VALUE"""),"janice little ")</f>
        <v>janice little </v>
      </c>
      <c r="F6646" s="3" t="str">
        <f>IFERROR(__xludf.DUMMYFUNCTION("""COMPUTED_VALUE"""),"janicelittle74@gmail.com")</f>
        <v>janicelittle74@gmail.com</v>
      </c>
      <c r="G6646" s="3">
        <f>IFERROR(__xludf.DUMMYFUNCTION("""COMPUTED_VALUE"""),7.059248593E9)</f>
        <v>7059248593</v>
      </c>
      <c r="H6646" s="3">
        <f>IFERROR(__xludf.DUMMYFUNCTION("""COMPUTED_VALUE"""),9.052694979E9)</f>
        <v>9052694979</v>
      </c>
    </row>
    <row r="6647">
      <c r="A6647" s="2">
        <f>IFERROR(__xludf.DUMMYFUNCTION("""COMPUTED_VALUE"""),80542.0)</f>
        <v>80542</v>
      </c>
      <c r="B6647" s="3" t="str">
        <f>IFERROR(__xludf.DUMMYFUNCTION("""COMPUTED_VALUE"""),"33 FLORENCE RD ")</f>
        <v>33 FLORENCE RD </v>
      </c>
      <c r="C6647" s="3" t="str">
        <f>IFERROR(__xludf.DUMMYFUNCTION("""COMPUTED_VALUE"""),"BRIGHTON")</f>
        <v>BRIGHTON</v>
      </c>
      <c r="D6647" s="3" t="str">
        <f>IFERROR(__xludf.DUMMYFUNCTION("""COMPUTED_VALUE"""),"K0K 1H0")</f>
        <v>K0K 1H0</v>
      </c>
      <c r="E6647" s="3"/>
      <c r="F6647" s="3"/>
      <c r="G6647" s="3"/>
      <c r="H6647" s="3"/>
    </row>
    <row r="6648">
      <c r="A6648" s="2">
        <f>IFERROR(__xludf.DUMMYFUNCTION("""COMPUTED_VALUE"""),80551.0)</f>
        <v>80551</v>
      </c>
      <c r="B6648" s="3" t="str">
        <f>IFERROR(__xludf.DUMMYFUNCTION("""COMPUTED_VALUE"""),"44 GOODFELLOW RD ")</f>
        <v>44 GOODFELLOW RD </v>
      </c>
      <c r="C6648" s="3" t="str">
        <f>IFERROR(__xludf.DUMMYFUNCTION("""COMPUTED_VALUE"""),"CODRINGTON")</f>
        <v>CODRINGTON</v>
      </c>
      <c r="D6648" s="3" t="str">
        <f>IFERROR(__xludf.DUMMYFUNCTION("""COMPUTED_VALUE"""),"K0K 1R0")</f>
        <v>K0K 1R0</v>
      </c>
      <c r="E6648" s="3" t="str">
        <f>IFERROR(__xludf.DUMMYFUNCTION("""COMPUTED_VALUE"""),"Cathy Shannon ")</f>
        <v>Cathy Shannon </v>
      </c>
      <c r="F6648" s="3" t="str">
        <f>IFERROR(__xludf.DUMMYFUNCTION("""COMPUTED_VALUE"""),"shannonc4456@gmail.com")</f>
        <v>shannonc4456@gmail.com</v>
      </c>
      <c r="G6648" s="3"/>
      <c r="H6648" s="3"/>
    </row>
    <row r="6649">
      <c r="A6649" s="2">
        <f>IFERROR(__xludf.DUMMYFUNCTION("""COMPUTED_VALUE"""),80572.0)</f>
        <v>80572</v>
      </c>
      <c r="B6649" s="3" t="str">
        <f>IFERROR(__xludf.DUMMYFUNCTION("""COMPUTED_VALUE"""),"249 GOODRICH RD ")</f>
        <v>249 GOODRICH RD </v>
      </c>
      <c r="C6649" s="3" t="str">
        <f>IFERROR(__xludf.DUMMYFUNCTION("""COMPUTED_VALUE"""),"CODRINGTON")</f>
        <v>CODRINGTON</v>
      </c>
      <c r="D6649" s="3" t="str">
        <f>IFERROR(__xludf.DUMMYFUNCTION("""COMPUTED_VALUE"""),"K0K 1R0")</f>
        <v>K0K 1R0</v>
      </c>
      <c r="E6649" s="3" t="str">
        <f>IFERROR(__xludf.DUMMYFUNCTION("""COMPUTED_VALUE"""),"paul fielding ")</f>
        <v>paul fielding </v>
      </c>
      <c r="F6649" s="3"/>
      <c r="G6649" s="3">
        <f>IFERROR(__xludf.DUMMYFUNCTION("""COMPUTED_VALUE"""),6.136610135E9)</f>
        <v>6136610135</v>
      </c>
      <c r="H6649" s="3"/>
    </row>
    <row r="6650">
      <c r="A6650" s="2">
        <f>IFERROR(__xludf.DUMMYFUNCTION("""COMPUTED_VALUE"""),80573.0)</f>
        <v>80573</v>
      </c>
      <c r="B6650" s="3" t="str">
        <f>IFERROR(__xludf.DUMMYFUNCTION("""COMPUTED_VALUE"""),"275 GOODRICH RD ")</f>
        <v>275 GOODRICH RD </v>
      </c>
      <c r="C6650" s="3" t="str">
        <f>IFERROR(__xludf.DUMMYFUNCTION("""COMPUTED_VALUE"""),"CODRINGTON")</f>
        <v>CODRINGTON</v>
      </c>
      <c r="D6650" s="3" t="str">
        <f>IFERROR(__xludf.DUMMYFUNCTION("""COMPUTED_VALUE"""),"K0K 1R0")</f>
        <v>K0K 1R0</v>
      </c>
      <c r="E6650" s="3" t="str">
        <f>IFERROR(__xludf.DUMMYFUNCTION("""COMPUTED_VALUE"""),"richard pender")</f>
        <v>richard pender</v>
      </c>
      <c r="F6650" s="3"/>
      <c r="G6650" s="3">
        <f>IFERROR(__xludf.DUMMYFUNCTION("""COMPUTED_VALUE"""),2.265675325E9)</f>
        <v>2265675325</v>
      </c>
      <c r="H6650" s="3"/>
    </row>
    <row r="6651">
      <c r="A6651" s="2">
        <f>IFERROR(__xludf.DUMMYFUNCTION("""COMPUTED_VALUE"""),80574.0)</f>
        <v>80574</v>
      </c>
      <c r="B6651" s="3" t="str">
        <f>IFERROR(__xludf.DUMMYFUNCTION("""COMPUTED_VALUE"""),"287 GOODRICH RD ")</f>
        <v>287 GOODRICH RD </v>
      </c>
      <c r="C6651" s="3" t="str">
        <f>IFERROR(__xludf.DUMMYFUNCTION("""COMPUTED_VALUE"""),"CODRINGTON")</f>
        <v>CODRINGTON</v>
      </c>
      <c r="D6651" s="3" t="str">
        <f>IFERROR(__xludf.DUMMYFUNCTION("""COMPUTED_VALUE"""),"K0K 1R0")</f>
        <v>K0K 1R0</v>
      </c>
      <c r="E6651" s="3" t="str">
        <f>IFERROR(__xludf.DUMMYFUNCTION("""COMPUTED_VALUE"""),"john benjamin")</f>
        <v>john benjamin</v>
      </c>
      <c r="F6651" s="3"/>
      <c r="G6651" s="3">
        <f>IFERROR(__xludf.DUMMYFUNCTION("""COMPUTED_VALUE"""),6.138476403E9)</f>
        <v>6138476403</v>
      </c>
      <c r="H6651" s="3"/>
    </row>
    <row r="6652">
      <c r="A6652" s="2">
        <f>IFERROR(__xludf.DUMMYFUNCTION("""COMPUTED_VALUE"""),80575.0)</f>
        <v>80575</v>
      </c>
      <c r="B6652" s="3" t="str">
        <f>IFERROR(__xludf.DUMMYFUNCTION("""COMPUTED_VALUE"""),"310 GOODRICH RD ")</f>
        <v>310 GOODRICH RD </v>
      </c>
      <c r="C6652" s="3" t="str">
        <f>IFERROR(__xludf.DUMMYFUNCTION("""COMPUTED_VALUE"""),"CODRINGTON")</f>
        <v>CODRINGTON</v>
      </c>
      <c r="D6652" s="3" t="str">
        <f>IFERROR(__xludf.DUMMYFUNCTION("""COMPUTED_VALUE"""),"K0K 1R0")</f>
        <v>K0K 1R0</v>
      </c>
      <c r="E6652" s="3"/>
      <c r="F6652" s="3"/>
      <c r="G6652" s="3"/>
      <c r="H6652" s="3"/>
    </row>
    <row r="6653">
      <c r="A6653" s="2">
        <f>IFERROR(__xludf.DUMMYFUNCTION("""COMPUTED_VALUE"""),80576.0)</f>
        <v>80576</v>
      </c>
      <c r="B6653" s="3" t="str">
        <f>IFERROR(__xludf.DUMMYFUNCTION("""COMPUTED_VALUE"""),"315 GOODRICH RD ")</f>
        <v>315 GOODRICH RD </v>
      </c>
      <c r="C6653" s="3" t="str">
        <f>IFERROR(__xludf.DUMMYFUNCTION("""COMPUTED_VALUE"""),"CODRINGTON")</f>
        <v>CODRINGTON</v>
      </c>
      <c r="D6653" s="3" t="str">
        <f>IFERROR(__xludf.DUMMYFUNCTION("""COMPUTED_VALUE"""),"K0K 1R0")</f>
        <v>K0K 1R0</v>
      </c>
      <c r="E6653" s="3" t="str">
        <f>IFERROR(__xludf.DUMMYFUNCTION("""COMPUTED_VALUE"""),"Michael Leonard")</f>
        <v>Michael Leonard</v>
      </c>
      <c r="F6653" s="3"/>
      <c r="G6653" s="3">
        <f>IFERROR(__xludf.DUMMYFUNCTION("""COMPUTED_VALUE"""),4.163568912E9)</f>
        <v>4163568912</v>
      </c>
      <c r="H6653" s="3"/>
    </row>
    <row r="6654">
      <c r="A6654" s="2">
        <f>IFERROR(__xludf.DUMMYFUNCTION("""COMPUTED_VALUE"""),81060.0)</f>
        <v>81060</v>
      </c>
      <c r="B6654" s="3" t="str">
        <f>IFERROR(__xludf.DUMMYFUNCTION("""COMPUTED_VALUE"""),"327 GOODRICH RD ")</f>
        <v>327 GOODRICH RD </v>
      </c>
      <c r="C6654" s="3" t="str">
        <f>IFERROR(__xludf.DUMMYFUNCTION("""COMPUTED_VALUE"""),"CODRINGTON")</f>
        <v>CODRINGTON</v>
      </c>
      <c r="D6654" s="3" t="str">
        <f>IFERROR(__xludf.DUMMYFUNCTION("""COMPUTED_VALUE"""),"K0K 1R0")</f>
        <v>K0K 1R0</v>
      </c>
      <c r="E6654" s="3"/>
      <c r="F6654" s="3"/>
      <c r="G6654" s="3"/>
      <c r="H6654" s="3"/>
    </row>
    <row r="6655">
      <c r="A6655" s="2">
        <f>IFERROR(__xludf.DUMMYFUNCTION("""COMPUTED_VALUE"""),80577.0)</f>
        <v>80577</v>
      </c>
      <c r="B6655" s="3" t="str">
        <f>IFERROR(__xludf.DUMMYFUNCTION("""COMPUTED_VALUE"""),"351 GOODRICH RD ")</f>
        <v>351 GOODRICH RD </v>
      </c>
      <c r="C6655" s="3" t="str">
        <f>IFERROR(__xludf.DUMMYFUNCTION("""COMPUTED_VALUE"""),"CODRINGTON")</f>
        <v>CODRINGTON</v>
      </c>
      <c r="D6655" s="3" t="str">
        <f>IFERROR(__xludf.DUMMYFUNCTION("""COMPUTED_VALUE"""),"K0K 1R0")</f>
        <v>K0K 1R0</v>
      </c>
      <c r="E6655" s="3" t="str">
        <f>IFERROR(__xludf.DUMMYFUNCTION("""COMPUTED_VALUE"""),"Dominic Lacroix")</f>
        <v>Dominic Lacroix</v>
      </c>
      <c r="F6655" s="3" t="str">
        <f>IFERROR(__xludf.DUMMYFUNCTION("""COMPUTED_VALUE"""),"dominiclacroix26@gmail.com")</f>
        <v>dominiclacroix26@gmail.com</v>
      </c>
      <c r="G6655" s="3">
        <f>IFERROR(__xludf.DUMMYFUNCTION("""COMPUTED_VALUE"""),4.16859091E9)</f>
        <v>4168590910</v>
      </c>
      <c r="H6655" s="3"/>
    </row>
    <row r="6656">
      <c r="A6656" s="2">
        <f>IFERROR(__xludf.DUMMYFUNCTION("""COMPUTED_VALUE"""),80578.0)</f>
        <v>80578</v>
      </c>
      <c r="B6656" s="3" t="str">
        <f>IFERROR(__xludf.DUMMYFUNCTION("""COMPUTED_VALUE"""),"358 GOODRICH RD ")</f>
        <v>358 GOODRICH RD </v>
      </c>
      <c r="C6656" s="3" t="str">
        <f>IFERROR(__xludf.DUMMYFUNCTION("""COMPUTED_VALUE"""),"CODRINGTON")</f>
        <v>CODRINGTON</v>
      </c>
      <c r="D6656" s="3" t="str">
        <f>IFERROR(__xludf.DUMMYFUNCTION("""COMPUTED_VALUE"""),"K0K 1R0")</f>
        <v>K0K 1R0</v>
      </c>
      <c r="E6656" s="3"/>
      <c r="F6656" s="3"/>
      <c r="G6656" s="3"/>
      <c r="H6656" s="3"/>
    </row>
    <row r="6657">
      <c r="A6657" s="2">
        <f>IFERROR(__xludf.DUMMYFUNCTION("""COMPUTED_VALUE"""),80579.0)</f>
        <v>80579</v>
      </c>
      <c r="B6657" s="3" t="str">
        <f>IFERROR(__xludf.DUMMYFUNCTION("""COMPUTED_VALUE"""),"363 GOODRICH RD ")</f>
        <v>363 GOODRICH RD </v>
      </c>
      <c r="C6657" s="3" t="str">
        <f>IFERROR(__xludf.DUMMYFUNCTION("""COMPUTED_VALUE"""),"CODRINGTON")</f>
        <v>CODRINGTON</v>
      </c>
      <c r="D6657" s="3" t="str">
        <f>IFERROR(__xludf.DUMMYFUNCTION("""COMPUTED_VALUE"""),"K0K 1R0")</f>
        <v>K0K 1R0</v>
      </c>
      <c r="E6657" s="3" t="str">
        <f>IFERROR(__xludf.DUMMYFUNCTION("""COMPUTED_VALUE"""),"inge and egon wittman")</f>
        <v>inge and egon wittman</v>
      </c>
      <c r="F6657" s="3"/>
      <c r="G6657" s="3">
        <f>IFERROR(__xludf.DUMMYFUNCTION("""COMPUTED_VALUE"""),6.133639456E9)</f>
        <v>6133639456</v>
      </c>
      <c r="H6657" s="3"/>
    </row>
    <row r="6658">
      <c r="A6658" s="2">
        <f>IFERROR(__xludf.DUMMYFUNCTION("""COMPUTED_VALUE"""),80580.0)</f>
        <v>80580</v>
      </c>
      <c r="B6658" s="3" t="str">
        <f>IFERROR(__xludf.DUMMYFUNCTION("""COMPUTED_VALUE"""),"368 GOODRICH RD ")</f>
        <v>368 GOODRICH RD </v>
      </c>
      <c r="C6658" s="3" t="str">
        <f>IFERROR(__xludf.DUMMYFUNCTION("""COMPUTED_VALUE"""),"CODRINGTON")</f>
        <v>CODRINGTON</v>
      </c>
      <c r="D6658" s="3" t="str">
        <f>IFERROR(__xludf.DUMMYFUNCTION("""COMPUTED_VALUE"""),"K0K 1R0")</f>
        <v>K0K 1R0</v>
      </c>
      <c r="E6658" s="3" t="str">
        <f>IFERROR(__xludf.DUMMYFUNCTION("""COMPUTED_VALUE"""),"ron plue")</f>
        <v>ron plue</v>
      </c>
      <c r="F6658" s="3" t="str">
        <f>IFERROR(__xludf.DUMMYFUNCTION("""COMPUTED_VALUE"""),"rvplue@gmail.com")</f>
        <v>rvplue@gmail.com</v>
      </c>
      <c r="G6658" s="3">
        <f>IFERROR(__xludf.DUMMYFUNCTION("""COMPUTED_VALUE"""),6.134754832E9)</f>
        <v>6134754832</v>
      </c>
      <c r="H6658" s="3">
        <f>IFERROR(__xludf.DUMMYFUNCTION("""COMPUTED_VALUE"""),6.1308494459E10)</f>
        <v>61308494459</v>
      </c>
    </row>
    <row r="6659">
      <c r="A6659" s="2">
        <f>IFERROR(__xludf.DUMMYFUNCTION("""COMPUTED_VALUE"""),80581.0)</f>
        <v>80581</v>
      </c>
      <c r="B6659" s="3" t="str">
        <f>IFERROR(__xludf.DUMMYFUNCTION("""COMPUTED_VALUE"""),"376 GOODRICH RD ")</f>
        <v>376 GOODRICH RD </v>
      </c>
      <c r="C6659" s="3" t="str">
        <f>IFERROR(__xludf.DUMMYFUNCTION("""COMPUTED_VALUE"""),"CODRINGTON")</f>
        <v>CODRINGTON</v>
      </c>
      <c r="D6659" s="3" t="str">
        <f>IFERROR(__xludf.DUMMYFUNCTION("""COMPUTED_VALUE"""),"K0K 1R0")</f>
        <v>K0K 1R0</v>
      </c>
      <c r="E6659" s="3" t="str">
        <f>IFERROR(__xludf.DUMMYFUNCTION("""COMPUTED_VALUE"""),"teresa plue ")</f>
        <v>teresa plue </v>
      </c>
      <c r="F6659" s="3" t="str">
        <f>IFERROR(__xludf.DUMMYFUNCTION("""COMPUTED_VALUE"""),"tmplue@gmail.com")</f>
        <v>tmplue@gmail.com</v>
      </c>
      <c r="G6659" s="3">
        <f>IFERROR(__xludf.DUMMYFUNCTION("""COMPUTED_VALUE"""),6.134752998E9)</f>
        <v>6134752998</v>
      </c>
      <c r="H6659" s="3"/>
    </row>
    <row r="6660">
      <c r="A6660" s="2">
        <f>IFERROR(__xludf.DUMMYFUNCTION("""COMPUTED_VALUE"""),80582.0)</f>
        <v>80582</v>
      </c>
      <c r="B6660" s="3" t="str">
        <f>IFERROR(__xludf.DUMMYFUNCTION("""COMPUTED_VALUE"""),"386 GOODRICH RD ")</f>
        <v>386 GOODRICH RD </v>
      </c>
      <c r="C6660" s="3" t="str">
        <f>IFERROR(__xludf.DUMMYFUNCTION("""COMPUTED_VALUE"""),"CODRINGTON")</f>
        <v>CODRINGTON</v>
      </c>
      <c r="D6660" s="3" t="str">
        <f>IFERROR(__xludf.DUMMYFUNCTION("""COMPUTED_VALUE"""),"K0K 1R0")</f>
        <v>K0K 1R0</v>
      </c>
      <c r="E6660" s="3" t="str">
        <f>IFERROR(__xludf.DUMMYFUNCTION("""COMPUTED_VALUE"""),"jennifer quesnel")</f>
        <v>jennifer quesnel</v>
      </c>
      <c r="F6660" s="3" t="str">
        <f>IFERROR(__xludf.DUMMYFUNCTION("""COMPUTED_VALUE"""),"jennpenn@hotmail.com")</f>
        <v>jennpenn@hotmail.com</v>
      </c>
      <c r="G6660" s="3">
        <f>IFERROR(__xludf.DUMMYFUNCTION("""COMPUTED_VALUE"""),9.052442731E9)</f>
        <v>9052442731</v>
      </c>
      <c r="H6660" s="3">
        <f>IFERROR(__xludf.DUMMYFUNCTION("""COMPUTED_VALUE"""),9.059545646E9)</f>
        <v>9059545646</v>
      </c>
    </row>
    <row r="6661">
      <c r="A6661" s="2">
        <f>IFERROR(__xludf.DUMMYFUNCTION("""COMPUTED_VALUE"""),80583.0)</f>
        <v>80583</v>
      </c>
      <c r="B6661" s="3" t="str">
        <f>IFERROR(__xludf.DUMMYFUNCTION("""COMPUTED_VALUE"""),"387 GOODRICH RD ")</f>
        <v>387 GOODRICH RD </v>
      </c>
      <c r="C6661" s="3" t="str">
        <f>IFERROR(__xludf.DUMMYFUNCTION("""COMPUTED_VALUE"""),"CODRINGTON")</f>
        <v>CODRINGTON</v>
      </c>
      <c r="D6661" s="3" t="str">
        <f>IFERROR(__xludf.DUMMYFUNCTION("""COMPUTED_VALUE"""),"K0K 1R0")</f>
        <v>K0K 1R0</v>
      </c>
      <c r="E6661" s="3" t="str">
        <f>IFERROR(__xludf.DUMMYFUNCTION("""COMPUTED_VALUE"""),"ralph villman")</f>
        <v>ralph villman</v>
      </c>
      <c r="F6661" s="3" t="str">
        <f>IFERROR(__xludf.DUMMYFUNCTION("""COMPUTED_VALUE"""),"gandrmgt@sympatico.ca")</f>
        <v>gandrmgt@sympatico.ca</v>
      </c>
      <c r="G6661" s="3">
        <f>IFERROR(__xludf.DUMMYFUNCTION("""COMPUTED_VALUE"""),6.139701245E9)</f>
        <v>6139701245</v>
      </c>
      <c r="H6661" s="3"/>
    </row>
    <row r="6662">
      <c r="A6662" s="2">
        <f>IFERROR(__xludf.DUMMYFUNCTION("""COMPUTED_VALUE"""),80584.0)</f>
        <v>80584</v>
      </c>
      <c r="B6662" s="3" t="str">
        <f>IFERROR(__xludf.DUMMYFUNCTION("""COMPUTED_VALUE"""),"392 GOODRICH RD ")</f>
        <v>392 GOODRICH RD </v>
      </c>
      <c r="C6662" s="3" t="str">
        <f>IFERROR(__xludf.DUMMYFUNCTION("""COMPUTED_VALUE"""),"CODRINGTON")</f>
        <v>CODRINGTON</v>
      </c>
      <c r="D6662" s="3" t="str">
        <f>IFERROR(__xludf.DUMMYFUNCTION("""COMPUTED_VALUE"""),"K0K 1R0")</f>
        <v>K0K 1R0</v>
      </c>
      <c r="E6662" s="3" t="str">
        <f>IFERROR(__xludf.DUMMYFUNCTION("""COMPUTED_VALUE"""),"Alyshia Booth")</f>
        <v>Alyshia Booth</v>
      </c>
      <c r="F6662" s="3" t="str">
        <f>IFERROR(__xludf.DUMMYFUNCTION("""COMPUTED_VALUE"""),"alyshia_g123@hotmail.com")</f>
        <v>alyshia_g123@hotmail.com</v>
      </c>
      <c r="G6662" s="3">
        <f>IFERROR(__xludf.DUMMYFUNCTION("""COMPUTED_VALUE"""),3.432632246E9)</f>
        <v>3432632246</v>
      </c>
      <c r="H6662" s="3">
        <f>IFERROR(__xludf.DUMMYFUNCTION("""COMPUTED_VALUE"""),6.139210456E9)</f>
        <v>6139210456</v>
      </c>
    </row>
    <row r="6663">
      <c r="A6663" s="2">
        <f>IFERROR(__xludf.DUMMYFUNCTION("""COMPUTED_VALUE"""),80587.0)</f>
        <v>80587</v>
      </c>
      <c r="B6663" s="3" t="str">
        <f>IFERROR(__xludf.DUMMYFUNCTION("""COMPUTED_VALUE"""),"120 GROSJEAN RD ")</f>
        <v>120 GROSJEAN RD </v>
      </c>
      <c r="C6663" s="3" t="str">
        <f>IFERROR(__xludf.DUMMYFUNCTION("""COMPUTED_VALUE"""),"CODRINGTON")</f>
        <v>CODRINGTON</v>
      </c>
      <c r="D6663" s="3" t="str">
        <f>IFERROR(__xludf.DUMMYFUNCTION("""COMPUTED_VALUE"""),"K0K 1R0")</f>
        <v>K0K 1R0</v>
      </c>
      <c r="E6663" s="3" t="str">
        <f>IFERROR(__xludf.DUMMYFUNCTION("""COMPUTED_VALUE"""),"Charlene Lord")</f>
        <v>Charlene Lord</v>
      </c>
      <c r="F6663" s="3" t="str">
        <f>IFERROR(__xludf.DUMMYFUNCTION("""COMPUTED_VALUE"""),"clordskate@gmail.com")</f>
        <v>clordskate@gmail.com</v>
      </c>
      <c r="G6663" s="3">
        <f>IFERROR(__xludf.DUMMYFUNCTION("""COMPUTED_VALUE"""),7.05653639E9)</f>
        <v>7056536390</v>
      </c>
      <c r="H6663" s="3"/>
    </row>
    <row r="6664">
      <c r="A6664" s="2">
        <f>IFERROR(__xludf.DUMMYFUNCTION("""COMPUTED_VALUE"""),80588.0)</f>
        <v>80588</v>
      </c>
      <c r="B6664" s="3" t="str">
        <f>IFERROR(__xludf.DUMMYFUNCTION("""COMPUTED_VALUE"""),"161 GROSJEAN RD ")</f>
        <v>161 GROSJEAN RD </v>
      </c>
      <c r="C6664" s="3" t="str">
        <f>IFERROR(__xludf.DUMMYFUNCTION("""COMPUTED_VALUE"""),"CODRINGTON")</f>
        <v>CODRINGTON</v>
      </c>
      <c r="D6664" s="3" t="str">
        <f>IFERROR(__xludf.DUMMYFUNCTION("""COMPUTED_VALUE"""),"K0K 1R0")</f>
        <v>K0K 1R0</v>
      </c>
      <c r="E6664" s="3" t="str">
        <f>IFERROR(__xludf.DUMMYFUNCTION("""COMPUTED_VALUE"""),"ELIZABETH PAYETTE")</f>
        <v>ELIZABETH PAYETTE</v>
      </c>
      <c r="F6664" s="3" t="str">
        <f>IFERROR(__xludf.DUMMYFUNCTION("""COMPUTED_VALUE"""),"liz.payette@gmail.com")</f>
        <v>liz.payette@gmail.com</v>
      </c>
      <c r="G6664" s="3">
        <f>IFERROR(__xludf.DUMMYFUNCTION("""COMPUTED_VALUE"""),6.139223814E9)</f>
        <v>6139223814</v>
      </c>
      <c r="H6664" s="3"/>
    </row>
    <row r="6665">
      <c r="A6665" s="2">
        <f>IFERROR(__xludf.DUMMYFUNCTION("""COMPUTED_VALUE"""),80589.0)</f>
        <v>80589</v>
      </c>
      <c r="B6665" s="3" t="str">
        <f>IFERROR(__xludf.DUMMYFUNCTION("""COMPUTED_VALUE"""),"162 GROSJEAN RD ")</f>
        <v>162 GROSJEAN RD </v>
      </c>
      <c r="C6665" s="3" t="str">
        <f>IFERROR(__xludf.DUMMYFUNCTION("""COMPUTED_VALUE"""),"CODRINGTON")</f>
        <v>CODRINGTON</v>
      </c>
      <c r="D6665" s="3" t="str">
        <f>IFERROR(__xludf.DUMMYFUNCTION("""COMPUTED_VALUE"""),"K0K 1R0")</f>
        <v>K0K 1R0</v>
      </c>
      <c r="E6665" s="3"/>
      <c r="F6665" s="3"/>
      <c r="G6665" s="3"/>
      <c r="H6665" s="3"/>
    </row>
    <row r="6666">
      <c r="A6666" s="2">
        <f>IFERROR(__xludf.DUMMYFUNCTION("""COMPUTED_VALUE"""),80590.0)</f>
        <v>80590</v>
      </c>
      <c r="B6666" s="3" t="str">
        <f>IFERROR(__xludf.DUMMYFUNCTION("""COMPUTED_VALUE"""),"172 GROSJEAN RD ")</f>
        <v>172 GROSJEAN RD </v>
      </c>
      <c r="C6666" s="3" t="str">
        <f>IFERROR(__xludf.DUMMYFUNCTION("""COMPUTED_VALUE"""),"CODRINGTON")</f>
        <v>CODRINGTON</v>
      </c>
      <c r="D6666" s="3" t="str">
        <f>IFERROR(__xludf.DUMMYFUNCTION("""COMPUTED_VALUE"""),"K0K 1R0")</f>
        <v>K0K 1R0</v>
      </c>
      <c r="E6666" s="3"/>
      <c r="F6666" s="3"/>
      <c r="G6666" s="3"/>
      <c r="H6666" s="3"/>
    </row>
    <row r="6667">
      <c r="A6667" s="2">
        <f>IFERROR(__xludf.DUMMYFUNCTION("""COMPUTED_VALUE"""),80591.0)</f>
        <v>80591</v>
      </c>
      <c r="B6667" s="3" t="str">
        <f>IFERROR(__xludf.DUMMYFUNCTION("""COMPUTED_VALUE"""),"175 GROSJEAN RD ")</f>
        <v>175 GROSJEAN RD </v>
      </c>
      <c r="C6667" s="3" t="str">
        <f>IFERROR(__xludf.DUMMYFUNCTION("""COMPUTED_VALUE"""),"CODRINGTON")</f>
        <v>CODRINGTON</v>
      </c>
      <c r="D6667" s="3" t="str">
        <f>IFERROR(__xludf.DUMMYFUNCTION("""COMPUTED_VALUE"""),"K0K 1R0")</f>
        <v>K0K 1R0</v>
      </c>
      <c r="E6667" s="3" t="str">
        <f>IFERROR(__xludf.DUMMYFUNCTION("""COMPUTED_VALUE"""),"Elizabeth Payette &amp; Duncan Day ")</f>
        <v>Elizabeth Payette &amp; Duncan Day </v>
      </c>
      <c r="F6667" s="3" t="str">
        <f>IFERROR(__xludf.DUMMYFUNCTION("""COMPUTED_VALUE"""),"liz.payetter@gmail.com")</f>
        <v>liz.payetter@gmail.com</v>
      </c>
      <c r="G6667" s="3"/>
      <c r="H6667" s="3"/>
    </row>
    <row r="6668">
      <c r="A6668" s="2">
        <f>IFERROR(__xludf.DUMMYFUNCTION("""COMPUTED_VALUE"""),80585.0)</f>
        <v>80585</v>
      </c>
      <c r="B6668" s="3" t="str">
        <f>IFERROR(__xludf.DUMMYFUNCTION("""COMPUTED_VALUE"""),"33 GROSJEAN RD ")</f>
        <v>33 GROSJEAN RD </v>
      </c>
      <c r="C6668" s="3" t="str">
        <f>IFERROR(__xludf.DUMMYFUNCTION("""COMPUTED_VALUE"""),"CODRINGTON")</f>
        <v>CODRINGTON</v>
      </c>
      <c r="D6668" s="3" t="str">
        <f>IFERROR(__xludf.DUMMYFUNCTION("""COMPUTED_VALUE"""),"K0K 1R0")</f>
        <v>K0K 1R0</v>
      </c>
      <c r="E6668" s="3" t="str">
        <f>IFERROR(__xludf.DUMMYFUNCTION("""COMPUTED_VALUE"""),"kathy&amp;george mccormack")</f>
        <v>kathy&amp;george mccormack</v>
      </c>
      <c r="F6668" s="3" t="str">
        <f>IFERROR(__xludf.DUMMYFUNCTION("""COMPUTED_VALUE"""),"kathyandgeorge@outlook.com")</f>
        <v>kathyandgeorge@outlook.com</v>
      </c>
      <c r="G6668" s="3">
        <f>IFERROR(__xludf.DUMMYFUNCTION("""COMPUTED_VALUE"""),6.136617985E9)</f>
        <v>6136617985</v>
      </c>
      <c r="H6668" s="3">
        <f>IFERROR(__xludf.DUMMYFUNCTION("""COMPUTED_VALUE"""),6.132437869E9)</f>
        <v>6132437869</v>
      </c>
    </row>
    <row r="6669">
      <c r="A6669" s="2">
        <f>IFERROR(__xludf.DUMMYFUNCTION("""COMPUTED_VALUE"""),80586.0)</f>
        <v>80586</v>
      </c>
      <c r="B6669" s="3" t="str">
        <f>IFERROR(__xludf.DUMMYFUNCTION("""COMPUTED_VALUE"""),"96 GROSJEAN RD ")</f>
        <v>96 GROSJEAN RD </v>
      </c>
      <c r="C6669" s="3" t="str">
        <f>IFERROR(__xludf.DUMMYFUNCTION("""COMPUTED_VALUE"""),"CODRINGTON")</f>
        <v>CODRINGTON</v>
      </c>
      <c r="D6669" s="3" t="str">
        <f>IFERROR(__xludf.DUMMYFUNCTION("""COMPUTED_VALUE"""),"K0K 1R0")</f>
        <v>K0K 1R0</v>
      </c>
      <c r="E6669" s="3"/>
      <c r="F6669" s="3"/>
      <c r="G6669" s="3"/>
      <c r="H6669" s="3"/>
    </row>
    <row r="6670">
      <c r="A6670" s="2">
        <f>IFERROR(__xludf.DUMMYFUNCTION("""COMPUTED_VALUE"""),80592.0)</f>
        <v>80592</v>
      </c>
      <c r="B6670" s="3" t="str">
        <f>IFERROR(__xludf.DUMMYFUNCTION("""COMPUTED_VALUE"""),"104 GUERTIN RD ")</f>
        <v>104 GUERTIN RD </v>
      </c>
      <c r="C6670" s="3" t="str">
        <f>IFERROR(__xludf.DUMMYFUNCTION("""COMPUTED_VALUE"""),"BRIGHTON")</f>
        <v>BRIGHTON</v>
      </c>
      <c r="D6670" s="3" t="str">
        <f>IFERROR(__xludf.DUMMYFUNCTION("""COMPUTED_VALUE"""),"K0K 1H0")</f>
        <v>K0K 1H0</v>
      </c>
      <c r="E6670" s="3" t="str">
        <f>IFERROR(__xludf.DUMMYFUNCTION("""COMPUTED_VALUE"""),"dan harris ")</f>
        <v>dan harris </v>
      </c>
      <c r="F6670" s="3" t="str">
        <f>IFERROR(__xludf.DUMMYFUNCTION("""COMPUTED_VALUE"""),"metalcarpenter@gmail.com")</f>
        <v>metalcarpenter@gmail.com</v>
      </c>
      <c r="G6670" s="3">
        <f>IFERROR(__xludf.DUMMYFUNCTION("""COMPUTED_VALUE"""),6.475231819E9)</f>
        <v>6475231819</v>
      </c>
      <c r="H6670" s="3"/>
    </row>
    <row r="6671">
      <c r="A6671" s="2">
        <f>IFERROR(__xludf.DUMMYFUNCTION("""COMPUTED_VALUE"""),80593.0)</f>
        <v>80593</v>
      </c>
      <c r="B6671" s="3" t="str">
        <f>IFERROR(__xludf.DUMMYFUNCTION("""COMPUTED_VALUE"""),"118 GUERTIN RD ")</f>
        <v>118 GUERTIN RD </v>
      </c>
      <c r="C6671" s="3" t="str">
        <f>IFERROR(__xludf.DUMMYFUNCTION("""COMPUTED_VALUE"""),"BRIGHTON")</f>
        <v>BRIGHTON</v>
      </c>
      <c r="D6671" s="3" t="str">
        <f>IFERROR(__xludf.DUMMYFUNCTION("""COMPUTED_VALUE"""),"K0K 1H0")</f>
        <v>K0K 1H0</v>
      </c>
      <c r="E6671" s="3" t="str">
        <f>IFERROR(__xludf.DUMMYFUNCTION("""COMPUTED_VALUE"""),"Lisa Echeverria")</f>
        <v>Lisa Echeverria</v>
      </c>
      <c r="F6671" s="3" t="str">
        <f>IFERROR(__xludf.DUMMYFUNCTION("""COMPUTED_VALUE"""),"chisaone@gmail.com")</f>
        <v>chisaone@gmail.com</v>
      </c>
      <c r="G6671" s="3">
        <f>IFERROR(__xludf.DUMMYFUNCTION("""COMPUTED_VALUE"""),9.052698758E9)</f>
        <v>9052698758</v>
      </c>
      <c r="H6671" s="3"/>
    </row>
    <row r="6672">
      <c r="A6672" s="2">
        <f>IFERROR(__xludf.DUMMYFUNCTION("""COMPUTED_VALUE"""),80594.0)</f>
        <v>80594</v>
      </c>
      <c r="B6672" s="3" t="str">
        <f>IFERROR(__xludf.DUMMYFUNCTION("""COMPUTED_VALUE"""),"126 GUERTIN RD ")</f>
        <v>126 GUERTIN RD </v>
      </c>
      <c r="C6672" s="3" t="str">
        <f>IFERROR(__xludf.DUMMYFUNCTION("""COMPUTED_VALUE"""),"BRIGHTON")</f>
        <v>BRIGHTON</v>
      </c>
      <c r="D6672" s="3" t="str">
        <f>IFERROR(__xludf.DUMMYFUNCTION("""COMPUTED_VALUE"""),"K0K 1H0")</f>
        <v>K0K 1H0</v>
      </c>
      <c r="E6672" s="3" t="str">
        <f>IFERROR(__xludf.DUMMYFUNCTION("""COMPUTED_VALUE"""),"brendan ")</f>
        <v>brendan </v>
      </c>
      <c r="F6672" s="3"/>
      <c r="G6672" s="3"/>
      <c r="H6672" s="3"/>
    </row>
    <row r="6673">
      <c r="A6673" s="2">
        <f>IFERROR(__xludf.DUMMYFUNCTION("""COMPUTED_VALUE"""),80595.0)</f>
        <v>80595</v>
      </c>
      <c r="B6673" s="3" t="str">
        <f>IFERROR(__xludf.DUMMYFUNCTION("""COMPUTED_VALUE"""),"144 GUERTIN RD ")</f>
        <v>144 GUERTIN RD </v>
      </c>
      <c r="C6673" s="3" t="str">
        <f>IFERROR(__xludf.DUMMYFUNCTION("""COMPUTED_VALUE"""),"BRIGHTON")</f>
        <v>BRIGHTON</v>
      </c>
      <c r="D6673" s="3" t="str">
        <f>IFERROR(__xludf.DUMMYFUNCTION("""COMPUTED_VALUE"""),"K0K 1H0")</f>
        <v>K0K 1H0</v>
      </c>
      <c r="E6673" s="3"/>
      <c r="F6673" s="3"/>
      <c r="G6673" s="3"/>
      <c r="H6673" s="3"/>
    </row>
    <row r="6674">
      <c r="A6674" s="2">
        <f>IFERROR(__xludf.DUMMYFUNCTION("""COMPUTED_VALUE"""),80596.0)</f>
        <v>80596</v>
      </c>
      <c r="B6674" s="3" t="str">
        <f>IFERROR(__xludf.DUMMYFUNCTION("""COMPUTED_VALUE"""),"192 GUERTIN RD ")</f>
        <v>192 GUERTIN RD </v>
      </c>
      <c r="C6674" s="3" t="str">
        <f>IFERROR(__xludf.DUMMYFUNCTION("""COMPUTED_VALUE"""),"BRIGHTON")</f>
        <v>BRIGHTON</v>
      </c>
      <c r="D6674" s="3" t="str">
        <f>IFERROR(__xludf.DUMMYFUNCTION("""COMPUTED_VALUE"""),"K0K 1H0")</f>
        <v>K0K 1H0</v>
      </c>
      <c r="E6674" s="3" t="str">
        <f>IFERROR(__xludf.DUMMYFUNCTION("""COMPUTED_VALUE"""),"Liana Palmer")</f>
        <v>Liana Palmer</v>
      </c>
      <c r="F6674" s="3" t="str">
        <f>IFERROR(__xludf.DUMMYFUNCTION("""COMPUTED_VALUE"""),"lianapalmer@xplornet.com")</f>
        <v>lianapalmer@xplornet.com</v>
      </c>
      <c r="G6674" s="3"/>
      <c r="H6674" s="3"/>
    </row>
    <row r="6675">
      <c r="A6675" s="2">
        <f>IFERROR(__xludf.DUMMYFUNCTION("""COMPUTED_VALUE"""),80597.0)</f>
        <v>80597</v>
      </c>
      <c r="B6675" s="3" t="str">
        <f>IFERROR(__xludf.DUMMYFUNCTION("""COMPUTED_VALUE"""),"193 GUERTIN RD ")</f>
        <v>193 GUERTIN RD </v>
      </c>
      <c r="C6675" s="3" t="str">
        <f>IFERROR(__xludf.DUMMYFUNCTION("""COMPUTED_VALUE"""),"BRIGHTON")</f>
        <v>BRIGHTON</v>
      </c>
      <c r="D6675" s="3" t="str">
        <f>IFERROR(__xludf.DUMMYFUNCTION("""COMPUTED_VALUE"""),"K0K 1H0")</f>
        <v>K0K 1H0</v>
      </c>
      <c r="E6675" s="3" t="str">
        <f>IFERROR(__xludf.DUMMYFUNCTION("""COMPUTED_VALUE"""),"Robert Guertin")</f>
        <v>Robert Guertin</v>
      </c>
      <c r="F6675" s="3" t="str">
        <f>IFERROR(__xludf.DUMMYFUNCTION("""COMPUTED_VALUE"""),"robert.guertin@gmail.com")</f>
        <v>robert.guertin@gmail.com</v>
      </c>
      <c r="G6675" s="3"/>
      <c r="H6675" s="3"/>
    </row>
    <row r="6676">
      <c r="A6676" s="2">
        <f>IFERROR(__xludf.DUMMYFUNCTION("""COMPUTED_VALUE"""),80598.0)</f>
        <v>80598</v>
      </c>
      <c r="B6676" s="3" t="str">
        <f>IFERROR(__xludf.DUMMYFUNCTION("""COMPUTED_VALUE"""),"28 HANSEN RD ")</f>
        <v>28 HANSEN RD </v>
      </c>
      <c r="C6676" s="3" t="str">
        <f>IFERROR(__xludf.DUMMYFUNCTION("""COMPUTED_VALUE"""),"BRIGHTON")</f>
        <v>BRIGHTON</v>
      </c>
      <c r="D6676" s="3" t="str">
        <f>IFERROR(__xludf.DUMMYFUNCTION("""COMPUTED_VALUE"""),"K0K 1H0")</f>
        <v>K0K 1H0</v>
      </c>
      <c r="E6676" s="3" t="str">
        <f>IFERROR(__xludf.DUMMYFUNCTION("""COMPUTED_VALUE"""),"martin oppsteen")</f>
        <v>martin oppsteen</v>
      </c>
      <c r="F6676" s="3" t="str">
        <f>IFERROR(__xludf.DUMMYFUNCTION("""COMPUTED_VALUE"""),"martinopsteen@gmail.com")</f>
        <v>martinopsteen@gmail.com</v>
      </c>
      <c r="G6676" s="3">
        <f>IFERROR(__xludf.DUMMYFUNCTION("""COMPUTED_VALUE"""),6.13920117E9)</f>
        <v>6139201170</v>
      </c>
      <c r="H6676" s="3">
        <f>IFERROR(__xludf.DUMMYFUNCTION("""COMPUTED_VALUE"""),6.138484855E9)</f>
        <v>6138484855</v>
      </c>
    </row>
    <row r="6677">
      <c r="A6677" s="2">
        <f>IFERROR(__xludf.DUMMYFUNCTION("""COMPUTED_VALUE"""),81045.0)</f>
        <v>81045</v>
      </c>
      <c r="B6677" s="3" t="str">
        <f>IFERROR(__xludf.DUMMYFUNCTION("""COMPUTED_VALUE"""),"32 HANSEN RD ")</f>
        <v>32 HANSEN RD </v>
      </c>
      <c r="C6677" s="3" t="str">
        <f>IFERROR(__xludf.DUMMYFUNCTION("""COMPUTED_VALUE"""),"BRIGHTON")</f>
        <v>BRIGHTON</v>
      </c>
      <c r="D6677" s="3" t="str">
        <f>IFERROR(__xludf.DUMMYFUNCTION("""COMPUTED_VALUE"""),"K0K 1H0")</f>
        <v>K0K 1H0</v>
      </c>
      <c r="E6677" s="3" t="str">
        <f>IFERROR(__xludf.DUMMYFUNCTION("""COMPUTED_VALUE"""),"Deanna Opsteen")</f>
        <v>Deanna Opsteen</v>
      </c>
      <c r="F6677" s="3" t="str">
        <f>IFERROR(__xludf.DUMMYFUNCTION("""COMPUTED_VALUE"""),"deanna_opsteen@hotmail.com")</f>
        <v>deanna_opsteen@hotmail.com</v>
      </c>
      <c r="G6677" s="3">
        <f>IFERROR(__xludf.DUMMYFUNCTION("""COMPUTED_VALUE"""),6.138484855E9)</f>
        <v>6138484855</v>
      </c>
      <c r="H6677" s="3">
        <f>IFERROR(__xludf.DUMMYFUNCTION("""COMPUTED_VALUE"""),6.13920117E9)</f>
        <v>6139201170</v>
      </c>
    </row>
    <row r="6678">
      <c r="A6678" s="2">
        <f>IFERROR(__xludf.DUMMYFUNCTION("""COMPUTED_VALUE"""),80599.0)</f>
        <v>80599</v>
      </c>
      <c r="B6678" s="3" t="str">
        <f>IFERROR(__xludf.DUMMYFUNCTION("""COMPUTED_VALUE"""),"37 HANSEN RD ")</f>
        <v>37 HANSEN RD </v>
      </c>
      <c r="C6678" s="3" t="str">
        <f>IFERROR(__xludf.DUMMYFUNCTION("""COMPUTED_VALUE"""),"BRIGHTON")</f>
        <v>BRIGHTON</v>
      </c>
      <c r="D6678" s="3" t="str">
        <f>IFERROR(__xludf.DUMMYFUNCTION("""COMPUTED_VALUE"""),"K0K 1H0")</f>
        <v>K0K 1H0</v>
      </c>
      <c r="E6678" s="3" t="str">
        <f>IFERROR(__xludf.DUMMYFUNCTION("""COMPUTED_VALUE"""),"nadine vanegmond")</f>
        <v>nadine vanegmond</v>
      </c>
      <c r="F6678" s="3" t="str">
        <f>IFERROR(__xludf.DUMMYFUNCTION("""COMPUTED_VALUE"""),"vanegmond.nadine@gmail.com")</f>
        <v>vanegmond.nadine@gmail.com</v>
      </c>
      <c r="G6678" s="3">
        <f>IFERROR(__xludf.DUMMYFUNCTION("""COMPUTED_VALUE"""),6.13403227E9)</f>
        <v>6134032270</v>
      </c>
      <c r="H6678" s="3">
        <f>IFERROR(__xludf.DUMMYFUNCTION("""COMPUTED_VALUE"""),6.134387337E9)</f>
        <v>6134387337</v>
      </c>
    </row>
    <row r="6679">
      <c r="A6679" s="2">
        <f>IFERROR(__xludf.DUMMYFUNCTION("""COMPUTED_VALUE"""),80601.0)</f>
        <v>80601</v>
      </c>
      <c r="B6679" s="3" t="str">
        <f>IFERROR(__xludf.DUMMYFUNCTION("""COMPUTED_VALUE"""),"370 HANSEN RD ")</f>
        <v>370 HANSEN RD </v>
      </c>
      <c r="C6679" s="3" t="str">
        <f>IFERROR(__xludf.DUMMYFUNCTION("""COMPUTED_VALUE"""),"BRIGHTON")</f>
        <v>BRIGHTON</v>
      </c>
      <c r="D6679" s="3" t="str">
        <f>IFERROR(__xludf.DUMMYFUNCTION("""COMPUTED_VALUE"""),"K0K 1H0")</f>
        <v>K0K 1H0</v>
      </c>
      <c r="E6679" s="3" t="str">
        <f>IFERROR(__xludf.DUMMYFUNCTION("""COMPUTED_VALUE"""),"lesley hollick")</f>
        <v>lesley hollick</v>
      </c>
      <c r="F6679" s="3" t="str">
        <f>IFERROR(__xludf.DUMMYFUNCTION("""COMPUTED_VALUE"""),"lesleyhollick@gmail.com")</f>
        <v>lesleyhollick@gmail.com</v>
      </c>
      <c r="G6679" s="3"/>
      <c r="H6679" s="3"/>
    </row>
    <row r="6680">
      <c r="A6680" s="2">
        <f>IFERROR(__xludf.DUMMYFUNCTION("""COMPUTED_VALUE"""),80602.0)</f>
        <v>80602</v>
      </c>
      <c r="B6680" s="3" t="str">
        <f>IFERROR(__xludf.DUMMYFUNCTION("""COMPUTED_VALUE"""),"383 HANSEN RD ")</f>
        <v>383 HANSEN RD </v>
      </c>
      <c r="C6680" s="3" t="str">
        <f>IFERROR(__xludf.DUMMYFUNCTION("""COMPUTED_VALUE"""),"BRIGHTON")</f>
        <v>BRIGHTON</v>
      </c>
      <c r="D6680" s="3" t="str">
        <f>IFERROR(__xludf.DUMMYFUNCTION("""COMPUTED_VALUE"""),"K0K 1H0")</f>
        <v>K0K 1H0</v>
      </c>
      <c r="E6680" s="3" t="str">
        <f>IFERROR(__xludf.DUMMYFUNCTION("""COMPUTED_VALUE"""),"nancy smith ")</f>
        <v>nancy smith </v>
      </c>
      <c r="F6680" s="3" t="str">
        <f>IFERROR(__xludf.DUMMYFUNCTION("""COMPUTED_VALUE"""),"kandnsmith@bell.net")</f>
        <v>kandnsmith@bell.net</v>
      </c>
      <c r="G6680" s="3">
        <f>IFERROR(__xludf.DUMMYFUNCTION("""COMPUTED_VALUE"""),6.136615462E9)</f>
        <v>6136615462</v>
      </c>
      <c r="H6680" s="3"/>
    </row>
    <row r="6681">
      <c r="A6681" s="2">
        <f>IFERROR(__xludf.DUMMYFUNCTION("""COMPUTED_VALUE"""),80603.0)</f>
        <v>80603</v>
      </c>
      <c r="B6681" s="3" t="str">
        <f>IFERROR(__xludf.DUMMYFUNCTION("""COMPUTED_VALUE"""),"402 HANSEN RD ")</f>
        <v>402 HANSEN RD </v>
      </c>
      <c r="C6681" s="3" t="str">
        <f>IFERROR(__xludf.DUMMYFUNCTION("""COMPUTED_VALUE"""),"BRIGHTON")</f>
        <v>BRIGHTON</v>
      </c>
      <c r="D6681" s="3" t="str">
        <f>IFERROR(__xludf.DUMMYFUNCTION("""COMPUTED_VALUE"""),"K0K 1H0")</f>
        <v>K0K 1H0</v>
      </c>
      <c r="E6681" s="3" t="str">
        <f>IFERROR(__xludf.DUMMYFUNCTION("""COMPUTED_VALUE"""),"Edith Trussler")</f>
        <v>Edith Trussler</v>
      </c>
      <c r="F6681" s="3" t="str">
        <f>IFERROR(__xludf.DUMMYFUNCTION("""COMPUTED_VALUE"""),"trusslerinvoices@gmail.com")</f>
        <v>trusslerinvoices@gmail.com</v>
      </c>
      <c r="G6681" s="3"/>
      <c r="H6681" s="3"/>
    </row>
    <row r="6682">
      <c r="A6682" s="2">
        <f>IFERROR(__xludf.DUMMYFUNCTION("""COMPUTED_VALUE"""),80604.0)</f>
        <v>80604</v>
      </c>
      <c r="B6682" s="3" t="str">
        <f>IFERROR(__xludf.DUMMYFUNCTION("""COMPUTED_VALUE"""),"417 HANSEN RD ")</f>
        <v>417 HANSEN RD </v>
      </c>
      <c r="C6682" s="3" t="str">
        <f>IFERROR(__xludf.DUMMYFUNCTION("""COMPUTED_VALUE"""),"BRIGHTON")</f>
        <v>BRIGHTON</v>
      </c>
      <c r="D6682" s="3" t="str">
        <f>IFERROR(__xludf.DUMMYFUNCTION("""COMPUTED_VALUE"""),"K0K 1H0")</f>
        <v>K0K 1H0</v>
      </c>
      <c r="E6682" s="3" t="str">
        <f>IFERROR(__xludf.DUMMYFUNCTION("""COMPUTED_VALUE"""),"preben and barbara hansen ")</f>
        <v>preben and barbara hansen </v>
      </c>
      <c r="F6682" s="3"/>
      <c r="G6682" s="3">
        <f>IFERROR(__xludf.DUMMYFUNCTION("""COMPUTED_VALUE"""),6.134750436E9)</f>
        <v>6134750436</v>
      </c>
      <c r="H6682" s="3"/>
    </row>
    <row r="6683">
      <c r="A6683" s="2">
        <f>IFERROR(__xludf.DUMMYFUNCTION("""COMPUTED_VALUE"""),80605.0)</f>
        <v>80605</v>
      </c>
      <c r="B6683" s="3" t="str">
        <f>IFERROR(__xludf.DUMMYFUNCTION("""COMPUTED_VALUE"""),"431 HANSEN RD ")</f>
        <v>431 HANSEN RD </v>
      </c>
      <c r="C6683" s="3" t="str">
        <f>IFERROR(__xludf.DUMMYFUNCTION("""COMPUTED_VALUE"""),"BRIGHTON")</f>
        <v>BRIGHTON</v>
      </c>
      <c r="D6683" s="3" t="str">
        <f>IFERROR(__xludf.DUMMYFUNCTION("""COMPUTED_VALUE"""),"K0K 1H0")</f>
        <v>K0K 1H0</v>
      </c>
      <c r="E6683" s="3" t="str">
        <f>IFERROR(__xludf.DUMMYFUNCTION("""COMPUTED_VALUE"""),"judith snider")</f>
        <v>judith snider</v>
      </c>
      <c r="F6683" s="3" t="str">
        <f>IFERROR(__xludf.DUMMYFUNCTION("""COMPUTED_VALUE"""),"judith_snider@hotmail.com")</f>
        <v>judith_snider@hotmail.com</v>
      </c>
      <c r="G6683" s="3">
        <f>IFERROR(__xludf.DUMMYFUNCTION("""COMPUTED_VALUE"""),3.432634784E9)</f>
        <v>3432634784</v>
      </c>
      <c r="H6683" s="3"/>
    </row>
    <row r="6684">
      <c r="A6684" s="2">
        <f>IFERROR(__xludf.DUMMYFUNCTION("""COMPUTED_VALUE"""),80606.0)</f>
        <v>80606</v>
      </c>
      <c r="B6684" s="3" t="str">
        <f>IFERROR(__xludf.DUMMYFUNCTION("""COMPUTED_VALUE"""),"446 HANSEN RD ")</f>
        <v>446 HANSEN RD </v>
      </c>
      <c r="C6684" s="3" t="str">
        <f>IFERROR(__xludf.DUMMYFUNCTION("""COMPUTED_VALUE"""),"BRIGHTON")</f>
        <v>BRIGHTON</v>
      </c>
      <c r="D6684" s="3" t="str">
        <f>IFERROR(__xludf.DUMMYFUNCTION("""COMPUTED_VALUE"""),"K0K 1H0")</f>
        <v>K0K 1H0</v>
      </c>
      <c r="E6684" s="3" t="str">
        <f>IFERROR(__xludf.DUMMYFUNCTION("""COMPUTED_VALUE"""),"Jeffrey Schack &amp; Miguel Rosales ")</f>
        <v>Jeffrey Schack &amp; Miguel Rosales </v>
      </c>
      <c r="F6684" s="3" t="str">
        <f>IFERROR(__xludf.DUMMYFUNCTION("""COMPUTED_VALUE"""),"jschack@yahoo.com")</f>
        <v>jschack@yahoo.com</v>
      </c>
      <c r="G6684" s="3">
        <f>IFERROR(__xludf.DUMMYFUNCTION("""COMPUTED_VALUE"""),6.478024887E9)</f>
        <v>6478024887</v>
      </c>
      <c r="H6684" s="3"/>
    </row>
    <row r="6685">
      <c r="A6685" s="2">
        <f>IFERROR(__xludf.DUMMYFUNCTION("""COMPUTED_VALUE"""),80607.0)</f>
        <v>80607</v>
      </c>
      <c r="B6685" s="3" t="str">
        <f>IFERROR(__xludf.DUMMYFUNCTION("""COMPUTED_VALUE"""),"458 HANSEN RD ")</f>
        <v>458 HANSEN RD </v>
      </c>
      <c r="C6685" s="3" t="str">
        <f>IFERROR(__xludf.DUMMYFUNCTION("""COMPUTED_VALUE"""),"BRIGHTON")</f>
        <v>BRIGHTON</v>
      </c>
      <c r="D6685" s="3" t="str">
        <f>IFERROR(__xludf.DUMMYFUNCTION("""COMPUTED_VALUE"""),"K0K 1H0")</f>
        <v>K0K 1H0</v>
      </c>
      <c r="E6685" s="3" t="str">
        <f>IFERROR(__xludf.DUMMYFUNCTION("""COMPUTED_VALUE"""),"robin horne ")</f>
        <v>robin horne </v>
      </c>
      <c r="F6685" s="3" t="str">
        <f>IFERROR(__xludf.DUMMYFUNCTION("""COMPUTED_VALUE"""),"7hornerobin@gmail.com")</f>
        <v>7hornerobin@gmail.com</v>
      </c>
      <c r="G6685" s="3">
        <f>IFERROR(__xludf.DUMMYFUNCTION("""COMPUTED_VALUE"""),6.132425857E9)</f>
        <v>6132425857</v>
      </c>
      <c r="H6685" s="3">
        <f>IFERROR(__xludf.DUMMYFUNCTION("""COMPUTED_VALUE"""),6.132430437E9)</f>
        <v>6132430437</v>
      </c>
    </row>
    <row r="6686">
      <c r="A6686" s="2">
        <f>IFERROR(__xludf.DUMMYFUNCTION("""COMPUTED_VALUE"""),80608.0)</f>
        <v>80608</v>
      </c>
      <c r="B6686" s="3" t="str">
        <f>IFERROR(__xludf.DUMMYFUNCTION("""COMPUTED_VALUE"""),"463 HANSEN RD ")</f>
        <v>463 HANSEN RD </v>
      </c>
      <c r="C6686" s="3" t="str">
        <f>IFERROR(__xludf.DUMMYFUNCTION("""COMPUTED_VALUE"""),"BRIGHTON")</f>
        <v>BRIGHTON</v>
      </c>
      <c r="D6686" s="3" t="str">
        <f>IFERROR(__xludf.DUMMYFUNCTION("""COMPUTED_VALUE"""),"K0K 1H0")</f>
        <v>K0K 1H0</v>
      </c>
      <c r="E6686" s="3" t="str">
        <f>IFERROR(__xludf.DUMMYFUNCTION("""COMPUTED_VALUE"""),"lee sandercock")</f>
        <v>lee sandercock</v>
      </c>
      <c r="F6686" s="3" t="str">
        <f>IFERROR(__xludf.DUMMYFUNCTION("""COMPUTED_VALUE"""),"sandercock57@gmail.com")</f>
        <v>sandercock57@gmail.com</v>
      </c>
      <c r="G6686" s="3">
        <f>IFERROR(__xludf.DUMMYFUNCTION("""COMPUTED_VALUE"""),6.137435701E9)</f>
        <v>6137435701</v>
      </c>
      <c r="H6686" s="3"/>
    </row>
    <row r="6687">
      <c r="A6687" s="2">
        <f>IFERROR(__xludf.DUMMYFUNCTION("""COMPUTED_VALUE"""),80609.0)</f>
        <v>80609</v>
      </c>
      <c r="B6687" s="3" t="str">
        <f>IFERROR(__xludf.DUMMYFUNCTION("""COMPUTED_VALUE"""),"471 HANSEN RD ")</f>
        <v>471 HANSEN RD </v>
      </c>
      <c r="C6687" s="3" t="str">
        <f>IFERROR(__xludf.DUMMYFUNCTION("""COMPUTED_VALUE"""),"BRIGHTON")</f>
        <v>BRIGHTON</v>
      </c>
      <c r="D6687" s="3" t="str">
        <f>IFERROR(__xludf.DUMMYFUNCTION("""COMPUTED_VALUE"""),"K0K 1H0")</f>
        <v>K0K 1H0</v>
      </c>
      <c r="E6687" s="3" t="str">
        <f>IFERROR(__xludf.DUMMYFUNCTION("""COMPUTED_VALUE"""),"howard penney")</f>
        <v>howard penney</v>
      </c>
      <c r="F6687" s="3"/>
      <c r="G6687" s="3">
        <f>IFERROR(__xludf.DUMMYFUNCTION("""COMPUTED_VALUE"""),9.052598505E9)</f>
        <v>9052598505</v>
      </c>
      <c r="H6687" s="3"/>
    </row>
    <row r="6688">
      <c r="A6688" s="2">
        <f>IFERROR(__xludf.DUMMYFUNCTION("""COMPUTED_VALUE"""),80610.0)</f>
        <v>80610</v>
      </c>
      <c r="B6688" s="3" t="str">
        <f>IFERROR(__xludf.DUMMYFUNCTION("""COMPUTED_VALUE"""),"500 HANSEN RD ")</f>
        <v>500 HANSEN RD </v>
      </c>
      <c r="C6688" s="3" t="str">
        <f>IFERROR(__xludf.DUMMYFUNCTION("""COMPUTED_VALUE"""),"BRIGHTON")</f>
        <v>BRIGHTON</v>
      </c>
      <c r="D6688" s="3" t="str">
        <f>IFERROR(__xludf.DUMMYFUNCTION("""COMPUTED_VALUE"""),"K0K 1H0")</f>
        <v>K0K 1H0</v>
      </c>
      <c r="E6688" s="3" t="str">
        <f>IFERROR(__xludf.DUMMYFUNCTION("""COMPUTED_VALUE"""),"r, ibbotson")</f>
        <v>r, ibbotson</v>
      </c>
      <c r="F6688" s="3"/>
      <c r="G6688" s="3">
        <f>IFERROR(__xludf.DUMMYFUNCTION("""COMPUTED_VALUE"""),6.138486625E9)</f>
        <v>6138486625</v>
      </c>
      <c r="H6688" s="3"/>
    </row>
    <row r="6689">
      <c r="A6689" s="2">
        <f>IFERROR(__xludf.DUMMYFUNCTION("""COMPUTED_VALUE"""),80611.0)</f>
        <v>80611</v>
      </c>
      <c r="B6689" s="3" t="str">
        <f>IFERROR(__xludf.DUMMYFUNCTION("""COMPUTED_VALUE"""),"542 HANSEN RD ")</f>
        <v>542 HANSEN RD </v>
      </c>
      <c r="C6689" s="3" t="str">
        <f>IFERROR(__xludf.DUMMYFUNCTION("""COMPUTED_VALUE"""),"BRIGHTON")</f>
        <v>BRIGHTON</v>
      </c>
      <c r="D6689" s="3" t="str">
        <f>IFERROR(__xludf.DUMMYFUNCTION("""COMPUTED_VALUE"""),"K0K 1H0")</f>
        <v>K0K 1H0</v>
      </c>
      <c r="E6689" s="3" t="str">
        <f>IFERROR(__xludf.DUMMYFUNCTION("""COMPUTED_VALUE"""),"mallory kirkland")</f>
        <v>mallory kirkland</v>
      </c>
      <c r="F6689" s="3" t="str">
        <f>IFERROR(__xludf.DUMMYFUNCTION("""COMPUTED_VALUE"""),"mallorykirklandd@gmail.com")</f>
        <v>mallorykirklandd@gmail.com</v>
      </c>
      <c r="G6689" s="3">
        <f>IFERROR(__xludf.DUMMYFUNCTION("""COMPUTED_VALUE"""),3.43889145E9)</f>
        <v>3438891450</v>
      </c>
      <c r="H6689" s="3"/>
    </row>
    <row r="6690">
      <c r="A6690" s="2">
        <f>IFERROR(__xludf.DUMMYFUNCTION("""COMPUTED_VALUE"""),80612.0)</f>
        <v>80612</v>
      </c>
      <c r="B6690" s="3" t="str">
        <f>IFERROR(__xludf.DUMMYFUNCTION("""COMPUTED_VALUE"""),"567 HANSEN RD ")</f>
        <v>567 HANSEN RD </v>
      </c>
      <c r="C6690" s="3" t="str">
        <f>IFERROR(__xludf.DUMMYFUNCTION("""COMPUTED_VALUE"""),"BRIGHTON")</f>
        <v>BRIGHTON</v>
      </c>
      <c r="D6690" s="3" t="str">
        <f>IFERROR(__xludf.DUMMYFUNCTION("""COMPUTED_VALUE"""),"K0K 1H0")</f>
        <v>K0K 1H0</v>
      </c>
      <c r="E6690" s="3"/>
      <c r="F6690" s="3"/>
      <c r="G6690" s="3"/>
      <c r="H6690" s="3"/>
    </row>
    <row r="6691">
      <c r="A6691" s="2">
        <f>IFERROR(__xludf.DUMMYFUNCTION("""COMPUTED_VALUE"""),80613.0)</f>
        <v>80613</v>
      </c>
      <c r="B6691" s="3" t="str">
        <f>IFERROR(__xludf.DUMMYFUNCTION("""COMPUTED_VALUE"""),"584 HANSEN RD ")</f>
        <v>584 HANSEN RD </v>
      </c>
      <c r="C6691" s="3" t="str">
        <f>IFERROR(__xludf.DUMMYFUNCTION("""COMPUTED_VALUE"""),"BRIGHTON")</f>
        <v>BRIGHTON</v>
      </c>
      <c r="D6691" s="3" t="str">
        <f>IFERROR(__xludf.DUMMYFUNCTION("""COMPUTED_VALUE"""),"K0K 1H0")</f>
        <v>K0K 1H0</v>
      </c>
      <c r="E6691" s="3" t="str">
        <f>IFERROR(__xludf.DUMMYFUNCTION("""COMPUTED_VALUE"""),"brad wilson")</f>
        <v>brad wilson</v>
      </c>
      <c r="F6691" s="3" t="str">
        <f>IFERROR(__xludf.DUMMYFUNCTION("""COMPUTED_VALUE"""),"mrbwilson@gmail.com")</f>
        <v>mrbwilson@gmail.com</v>
      </c>
      <c r="G6691" s="3">
        <f>IFERROR(__xludf.DUMMYFUNCTION("""COMPUTED_VALUE"""),6.139220396E9)</f>
        <v>6139220396</v>
      </c>
      <c r="H6691" s="3"/>
    </row>
    <row r="6692">
      <c r="A6692" s="2">
        <f>IFERROR(__xludf.DUMMYFUNCTION("""COMPUTED_VALUE"""),80600.0)</f>
        <v>80600</v>
      </c>
      <c r="B6692" s="3" t="str">
        <f>IFERROR(__xludf.DUMMYFUNCTION("""COMPUTED_VALUE"""),"63 HANSEN RD ")</f>
        <v>63 HANSEN RD </v>
      </c>
      <c r="C6692" s="3" t="str">
        <f>IFERROR(__xludf.DUMMYFUNCTION("""COMPUTED_VALUE"""),"BRIGHTON")</f>
        <v>BRIGHTON</v>
      </c>
      <c r="D6692" s="3" t="str">
        <f>IFERROR(__xludf.DUMMYFUNCTION("""COMPUTED_VALUE"""),"K0K 1H0")</f>
        <v>K0K 1H0</v>
      </c>
      <c r="E6692" s="3" t="str">
        <f>IFERROR(__xludf.DUMMYFUNCTION("""COMPUTED_VALUE"""),"emily batchelor")</f>
        <v>emily batchelor</v>
      </c>
      <c r="F6692" s="3" t="str">
        <f>IFERROR(__xludf.DUMMYFUNCTION("""COMPUTED_VALUE"""),"em.ve.3@hotmail.com")</f>
        <v>em.ve.3@hotmail.com</v>
      </c>
      <c r="G6692" s="3">
        <f>IFERROR(__xludf.DUMMYFUNCTION("""COMPUTED_VALUE"""),6.138857141E9)</f>
        <v>6138857141</v>
      </c>
      <c r="H6692" s="3"/>
    </row>
    <row r="6693">
      <c r="A6693" s="2">
        <f>IFERROR(__xludf.DUMMYFUNCTION("""COMPUTED_VALUE"""),80614.0)</f>
        <v>80614</v>
      </c>
      <c r="B6693" s="3" t="str">
        <f>IFERROR(__xludf.DUMMYFUNCTION("""COMPUTED_VALUE"""),"632 HANSEN RD ")</f>
        <v>632 HANSEN RD </v>
      </c>
      <c r="C6693" s="3" t="str">
        <f>IFERROR(__xludf.DUMMYFUNCTION("""COMPUTED_VALUE"""),"BRIGHTON")</f>
        <v>BRIGHTON</v>
      </c>
      <c r="D6693" s="3" t="str">
        <f>IFERROR(__xludf.DUMMYFUNCTION("""COMPUTED_VALUE"""),"K0K 1H0")</f>
        <v>K0K 1H0</v>
      </c>
      <c r="E6693" s="3"/>
      <c r="F6693" s="3"/>
      <c r="G6693" s="3"/>
      <c r="H6693" s="3"/>
    </row>
    <row r="6694">
      <c r="A6694" s="2">
        <f>IFERROR(__xludf.DUMMYFUNCTION("""COMPUTED_VALUE"""),80615.0)</f>
        <v>80615</v>
      </c>
      <c r="B6694" s="3" t="str">
        <f>IFERROR(__xludf.DUMMYFUNCTION("""COMPUTED_VALUE"""),"639 HANSEN RD ")</f>
        <v>639 HANSEN RD </v>
      </c>
      <c r="C6694" s="3" t="str">
        <f>IFERROR(__xludf.DUMMYFUNCTION("""COMPUTED_VALUE"""),"BRIGHTON")</f>
        <v>BRIGHTON</v>
      </c>
      <c r="D6694" s="3" t="str">
        <f>IFERROR(__xludf.DUMMYFUNCTION("""COMPUTED_VALUE"""),"K0K 1H0")</f>
        <v>K0K 1H0</v>
      </c>
      <c r="E6694" s="3" t="str">
        <f>IFERROR(__xludf.DUMMYFUNCTION("""COMPUTED_VALUE"""),"erica slager")</f>
        <v>erica slager</v>
      </c>
      <c r="F6694" s="3" t="str">
        <f>IFERROR(__xludf.DUMMYFUNCTION("""COMPUTED_VALUE"""),"erica.576@hotmail.com")</f>
        <v>erica.576@hotmail.com</v>
      </c>
      <c r="G6694" s="3">
        <f>IFERROR(__xludf.DUMMYFUNCTION("""COMPUTED_VALUE"""),6.138859348E9)</f>
        <v>6138859348</v>
      </c>
      <c r="H6694" s="3"/>
    </row>
    <row r="6695">
      <c r="A6695" s="2">
        <f>IFERROR(__xludf.DUMMYFUNCTION("""COMPUTED_VALUE"""),80616.0)</f>
        <v>80616</v>
      </c>
      <c r="B6695" s="3" t="str">
        <f>IFERROR(__xludf.DUMMYFUNCTION("""COMPUTED_VALUE"""),"668 HANSEN RD ")</f>
        <v>668 HANSEN RD </v>
      </c>
      <c r="C6695" s="3" t="str">
        <f>IFERROR(__xludf.DUMMYFUNCTION("""COMPUTED_VALUE"""),"BRIGHTON")</f>
        <v>BRIGHTON</v>
      </c>
      <c r="D6695" s="3" t="str">
        <f>IFERROR(__xludf.DUMMYFUNCTION("""COMPUTED_VALUE"""),"K0K 1H0")</f>
        <v>K0K 1H0</v>
      </c>
      <c r="E6695" s="3"/>
      <c r="F6695" s="3"/>
      <c r="G6695" s="3"/>
      <c r="H6695" s="3"/>
    </row>
    <row r="6696">
      <c r="A6696" s="2">
        <f>IFERROR(__xludf.DUMMYFUNCTION("""COMPUTED_VALUE"""),80617.0)</f>
        <v>80617</v>
      </c>
      <c r="B6696" s="3" t="str">
        <f>IFERROR(__xludf.DUMMYFUNCTION("""COMPUTED_VALUE"""),"677 HANSEN RD ")</f>
        <v>677 HANSEN RD </v>
      </c>
      <c r="C6696" s="3" t="str">
        <f>IFERROR(__xludf.DUMMYFUNCTION("""COMPUTED_VALUE"""),"BRIGHTON")</f>
        <v>BRIGHTON</v>
      </c>
      <c r="D6696" s="3" t="str">
        <f>IFERROR(__xludf.DUMMYFUNCTION("""COMPUTED_VALUE"""),"K0K 1H0")</f>
        <v>K0K 1H0</v>
      </c>
      <c r="E6696" s="3" t="str">
        <f>IFERROR(__xludf.DUMMYFUNCTION("""COMPUTED_VALUE"""),"Lucille Banks")</f>
        <v>Lucille Banks</v>
      </c>
      <c r="F6696" s="3" t="str">
        <f>IFERROR(__xludf.DUMMYFUNCTION("""COMPUTED_VALUE"""),"lucille.banks.crystals@gmail.com")</f>
        <v>lucille.banks.crystals@gmail.com</v>
      </c>
      <c r="G6696" s="3"/>
      <c r="H6696" s="3"/>
    </row>
    <row r="6697">
      <c r="A6697" s="2">
        <f>IFERROR(__xludf.DUMMYFUNCTION("""COMPUTED_VALUE"""),80618.0)</f>
        <v>80618</v>
      </c>
      <c r="B6697" s="3" t="str">
        <f>IFERROR(__xludf.DUMMYFUNCTION("""COMPUTED_VALUE"""),"691 HANSEN RD ")</f>
        <v>691 HANSEN RD </v>
      </c>
      <c r="C6697" s="3" t="str">
        <f>IFERROR(__xludf.DUMMYFUNCTION("""COMPUTED_VALUE"""),"BRIGHTON")</f>
        <v>BRIGHTON</v>
      </c>
      <c r="D6697" s="3" t="str">
        <f>IFERROR(__xludf.DUMMYFUNCTION("""COMPUTED_VALUE"""),"K0K 1H0")</f>
        <v>K0K 1H0</v>
      </c>
      <c r="E6697" s="3" t="str">
        <f>IFERROR(__xludf.DUMMYFUNCTION("""COMPUTED_VALUE"""),"ruel skyers")</f>
        <v>ruel skyers</v>
      </c>
      <c r="F6697" s="3" t="str">
        <f>IFERROR(__xludf.DUMMYFUNCTION("""COMPUTED_VALUE"""),"rjshyers@gmail.com")</f>
        <v>rjshyers@gmail.com</v>
      </c>
      <c r="G6697" s="3">
        <f>IFERROR(__xludf.DUMMYFUNCTION("""COMPUTED_VALUE"""),7.802645497E9)</f>
        <v>7802645497</v>
      </c>
      <c r="H6697" s="3"/>
    </row>
    <row r="6698">
      <c r="A6698" s="2">
        <f>IFERROR(__xludf.DUMMYFUNCTION("""COMPUTED_VALUE"""),80619.0)</f>
        <v>80619</v>
      </c>
      <c r="B6698" s="3" t="str">
        <f>IFERROR(__xludf.DUMMYFUNCTION("""COMPUTED_VALUE"""),"1 HAZLE ST ")</f>
        <v>1 HAZLE ST </v>
      </c>
      <c r="C6698" s="3" t="str">
        <f>IFERROR(__xludf.DUMMYFUNCTION("""COMPUTED_VALUE"""),"CODRINGTON")</f>
        <v>CODRINGTON</v>
      </c>
      <c r="D6698" s="3" t="str">
        <f>IFERROR(__xludf.DUMMYFUNCTION("""COMPUTED_VALUE"""),"K0K 1R0")</f>
        <v>K0K 1R0</v>
      </c>
      <c r="E6698" s="3" t="str">
        <f>IFERROR(__xludf.DUMMYFUNCTION("""COMPUTED_VALUE"""),"Ingrid Baldini")</f>
        <v>Ingrid Baldini</v>
      </c>
      <c r="F6698" s="3" t="str">
        <f>IFERROR(__xludf.DUMMYFUNCTION("""COMPUTED_VALUE"""),"ingrid.ba60@gmail.com")</f>
        <v>ingrid.ba60@gmail.com</v>
      </c>
      <c r="G6698" s="3">
        <f>IFERROR(__xludf.DUMMYFUNCTION("""COMPUTED_VALUE"""),6.132423103E9)</f>
        <v>6132423103</v>
      </c>
      <c r="H6698" s="3"/>
    </row>
    <row r="6699">
      <c r="A6699" s="2">
        <f>IFERROR(__xludf.DUMMYFUNCTION("""COMPUTED_VALUE"""),80620.0)</f>
        <v>80620</v>
      </c>
      <c r="B6699" s="3" t="str">
        <f>IFERROR(__xludf.DUMMYFUNCTION("""COMPUTED_VALUE"""),"2 HAZLE ST ")</f>
        <v>2 HAZLE ST </v>
      </c>
      <c r="C6699" s="3" t="str">
        <f>IFERROR(__xludf.DUMMYFUNCTION("""COMPUTED_VALUE"""),"CODRINGTON")</f>
        <v>CODRINGTON</v>
      </c>
      <c r="D6699" s="3" t="str">
        <f>IFERROR(__xludf.DUMMYFUNCTION("""COMPUTED_VALUE"""),"K0K 1R0")</f>
        <v>K0K 1R0</v>
      </c>
      <c r="E6699" s="3" t="str">
        <f>IFERROR(__xludf.DUMMYFUNCTION("""COMPUTED_VALUE"""),"gord and mary brethour")</f>
        <v>gord and mary brethour</v>
      </c>
      <c r="F6699" s="3"/>
      <c r="G6699" s="3">
        <f>IFERROR(__xludf.DUMMYFUNCTION("""COMPUTED_VALUE"""),6.134733622E9)</f>
        <v>6134733622</v>
      </c>
      <c r="H6699" s="3"/>
    </row>
    <row r="6700">
      <c r="A6700" s="2">
        <f>IFERROR(__xludf.DUMMYFUNCTION("""COMPUTED_VALUE"""),80621.0)</f>
        <v>80621</v>
      </c>
      <c r="B6700" s="3" t="str">
        <f>IFERROR(__xludf.DUMMYFUNCTION("""COMPUTED_VALUE"""),"3 HAZLE ST ")</f>
        <v>3 HAZLE ST </v>
      </c>
      <c r="C6700" s="3" t="str">
        <f>IFERROR(__xludf.DUMMYFUNCTION("""COMPUTED_VALUE"""),"CODRINGTON")</f>
        <v>CODRINGTON</v>
      </c>
      <c r="D6700" s="3" t="str">
        <f>IFERROR(__xludf.DUMMYFUNCTION("""COMPUTED_VALUE"""),"K0K 1R0")</f>
        <v>K0K 1R0</v>
      </c>
      <c r="E6700" s="3" t="str">
        <f>IFERROR(__xludf.DUMMYFUNCTION("""COMPUTED_VALUE"""),"Fred Chard")</f>
        <v>Fred Chard</v>
      </c>
      <c r="F6700" s="3" t="str">
        <f>IFERROR(__xludf.DUMMYFUNCTION("""COMPUTED_VALUE"""),"fchard@xplornet.ca")</f>
        <v>fchard@xplornet.ca</v>
      </c>
      <c r="G6700" s="3"/>
      <c r="H6700" s="3"/>
    </row>
    <row r="6701">
      <c r="A6701" s="2">
        <f>IFERROR(__xludf.DUMMYFUNCTION("""COMPUTED_VALUE"""),80622.0)</f>
        <v>80622</v>
      </c>
      <c r="B6701" s="3" t="str">
        <f>IFERROR(__xludf.DUMMYFUNCTION("""COMPUTED_VALUE"""),"4 HAZLE ST ")</f>
        <v>4 HAZLE ST </v>
      </c>
      <c r="C6701" s="3" t="str">
        <f>IFERROR(__xludf.DUMMYFUNCTION("""COMPUTED_VALUE"""),"CODRINGTON")</f>
        <v>CODRINGTON</v>
      </c>
      <c r="D6701" s="3" t="str">
        <f>IFERROR(__xludf.DUMMYFUNCTION("""COMPUTED_VALUE"""),"K0K 1R0")</f>
        <v>K0K 1R0</v>
      </c>
      <c r="E6701" s="3" t="str">
        <f>IFERROR(__xludf.DUMMYFUNCTION("""COMPUTED_VALUE"""),"floyd lennox")</f>
        <v>floyd lennox</v>
      </c>
      <c r="F6701" s="3"/>
      <c r="G6701" s="3">
        <f>IFERROR(__xludf.DUMMYFUNCTION("""COMPUTED_VALUE"""),6.134751832E9)</f>
        <v>6134751832</v>
      </c>
      <c r="H6701" s="3"/>
    </row>
    <row r="6702">
      <c r="A6702" s="2">
        <f>IFERROR(__xludf.DUMMYFUNCTION("""COMPUTED_VALUE"""),80623.0)</f>
        <v>80623</v>
      </c>
      <c r="B6702" s="3" t="str">
        <f>IFERROR(__xludf.DUMMYFUNCTION("""COMPUTED_VALUE"""),"5 HAZLE ST ")</f>
        <v>5 HAZLE ST </v>
      </c>
      <c r="C6702" s="3" t="str">
        <f>IFERROR(__xludf.DUMMYFUNCTION("""COMPUTED_VALUE"""),"CODRINGTON")</f>
        <v>CODRINGTON</v>
      </c>
      <c r="D6702" s="3" t="str">
        <f>IFERROR(__xludf.DUMMYFUNCTION("""COMPUTED_VALUE"""),"K0K 1R0")</f>
        <v>K0K 1R0</v>
      </c>
      <c r="E6702" s="3" t="str">
        <f>IFERROR(__xludf.DUMMYFUNCTION("""COMPUTED_VALUE"""),"Justin Bridger")</f>
        <v>Justin Bridger</v>
      </c>
      <c r="F6702" s="3" t="str">
        <f>IFERROR(__xludf.DUMMYFUNCTION("""COMPUTED_VALUE"""),"justin.bridger@jebcomfg.ca")</f>
        <v>justin.bridger@jebcomfg.ca</v>
      </c>
      <c r="G6702" s="3">
        <f>IFERROR(__xludf.DUMMYFUNCTION("""COMPUTED_VALUE"""),6.139203518E9)</f>
        <v>6139203518</v>
      </c>
      <c r="H6702" s="3"/>
    </row>
    <row r="6703">
      <c r="A6703" s="2">
        <f>IFERROR(__xludf.DUMMYFUNCTION("""COMPUTED_VALUE"""),80624.0)</f>
        <v>80624</v>
      </c>
      <c r="B6703" s="3" t="str">
        <f>IFERROR(__xludf.DUMMYFUNCTION("""COMPUTED_VALUE"""),"6 HAZLE ST ")</f>
        <v>6 HAZLE ST </v>
      </c>
      <c r="C6703" s="3" t="str">
        <f>IFERROR(__xludf.DUMMYFUNCTION("""COMPUTED_VALUE"""),"CODRINGTON")</f>
        <v>CODRINGTON</v>
      </c>
      <c r="D6703" s="3" t="str">
        <f>IFERROR(__xludf.DUMMYFUNCTION("""COMPUTED_VALUE"""),"K0K 1R0")</f>
        <v>K0K 1R0</v>
      </c>
      <c r="E6703" s="3" t="str">
        <f>IFERROR(__xludf.DUMMYFUNCTION("""COMPUTED_VALUE"""),"Michael J. Fleury")</f>
        <v>Michael J. Fleury</v>
      </c>
      <c r="F6703" s="3" t="str">
        <f>IFERROR(__xludf.DUMMYFUNCTION("""COMPUTED_VALUE"""),"mikefleury65@gmail.com")</f>
        <v>mikefleury65@gmail.com</v>
      </c>
      <c r="G6703" s="3">
        <f>IFERROR(__xludf.DUMMYFUNCTION("""COMPUTED_VALUE"""),7.057162036E9)</f>
        <v>7057162036</v>
      </c>
      <c r="H6703" s="3"/>
    </row>
    <row r="6704">
      <c r="A6704" s="2">
        <f>IFERROR(__xludf.DUMMYFUNCTION("""COMPUTED_VALUE"""),80625.0)</f>
        <v>80625</v>
      </c>
      <c r="B6704" s="3" t="str">
        <f>IFERROR(__xludf.DUMMYFUNCTION("""COMPUTED_VALUE"""),"7 HAZLE ST ")</f>
        <v>7 HAZLE ST </v>
      </c>
      <c r="C6704" s="3" t="str">
        <f>IFERROR(__xludf.DUMMYFUNCTION("""COMPUTED_VALUE"""),"CODRINGTON")</f>
        <v>CODRINGTON</v>
      </c>
      <c r="D6704" s="3" t="str">
        <f>IFERROR(__xludf.DUMMYFUNCTION("""COMPUTED_VALUE"""),"K0K 1R0")</f>
        <v>K0K 1R0</v>
      </c>
      <c r="E6704" s="3" t="str">
        <f>IFERROR(__xludf.DUMMYFUNCTION("""COMPUTED_VALUE"""),"Tom Seguire")</f>
        <v>Tom Seguire</v>
      </c>
      <c r="F6704" s="3" t="str">
        <f>IFERROR(__xludf.DUMMYFUNCTION("""COMPUTED_VALUE"""),"tomseg53@gmail.com")</f>
        <v>tomseg53@gmail.com</v>
      </c>
      <c r="G6704" s="3">
        <f>IFERROR(__xludf.DUMMYFUNCTION("""COMPUTED_VALUE"""),6.134750699E9)</f>
        <v>6134750699</v>
      </c>
      <c r="H6704" s="3">
        <f>IFERROR(__xludf.DUMMYFUNCTION("""COMPUTED_VALUE"""),6.134751148E9)</f>
        <v>6134751148</v>
      </c>
    </row>
    <row r="6705">
      <c r="A6705" s="2">
        <f>IFERROR(__xludf.DUMMYFUNCTION("""COMPUTED_VALUE"""),80663.0)</f>
        <v>80663</v>
      </c>
      <c r="B6705" s="3" t="str">
        <f>IFERROR(__xludf.DUMMYFUNCTION("""COMPUTED_VALUE"""),"149 IBBOTSON RD ")</f>
        <v>149 IBBOTSON RD </v>
      </c>
      <c r="C6705" s="3" t="str">
        <f>IFERROR(__xludf.DUMMYFUNCTION("""COMPUTED_VALUE"""),"COLBORNE")</f>
        <v>COLBORNE</v>
      </c>
      <c r="D6705" s="3" t="str">
        <f>IFERROR(__xludf.DUMMYFUNCTION("""COMPUTED_VALUE"""),"K0K 1S0")</f>
        <v>K0K 1S0</v>
      </c>
      <c r="E6705" s="3" t="str">
        <f>IFERROR(__xludf.DUMMYFUNCTION("""COMPUTED_VALUE"""),"carol johnston and ken kergus")</f>
        <v>carol johnston and ken kergus</v>
      </c>
      <c r="F6705" s="3" t="str">
        <f>IFERROR(__xludf.DUMMYFUNCTION("""COMPUTED_VALUE"""),"lorac700@yahoo.ca")</f>
        <v>lorac700@yahoo.ca</v>
      </c>
      <c r="G6705" s="3">
        <f>IFERROR(__xludf.DUMMYFUNCTION("""COMPUTED_VALUE"""),9.052692072E9)</f>
        <v>9052692072</v>
      </c>
      <c r="H6705" s="3"/>
    </row>
    <row r="6706">
      <c r="A6706" s="2">
        <f>IFERROR(__xludf.DUMMYFUNCTION("""COMPUTED_VALUE"""),80666.0)</f>
        <v>80666</v>
      </c>
      <c r="B6706" s="3" t="str">
        <f>IFERROR(__xludf.DUMMYFUNCTION("""COMPUTED_VALUE"""),"242 JAMIESON RD ")</f>
        <v>242 JAMIESON RD </v>
      </c>
      <c r="C6706" s="3" t="str">
        <f>IFERROR(__xludf.DUMMYFUNCTION("""COMPUTED_VALUE"""),"COLBORNE")</f>
        <v>COLBORNE</v>
      </c>
      <c r="D6706" s="3" t="str">
        <f>IFERROR(__xludf.DUMMYFUNCTION("""COMPUTED_VALUE"""),"K0K 1S0")</f>
        <v>K0K 1S0</v>
      </c>
      <c r="E6706" s="3"/>
      <c r="F6706" s="3"/>
      <c r="G6706" s="3"/>
      <c r="H6706" s="3"/>
    </row>
    <row r="6707">
      <c r="A6707" s="2">
        <f>IFERROR(__xludf.DUMMYFUNCTION("""COMPUTED_VALUE"""),80667.0)</f>
        <v>80667</v>
      </c>
      <c r="B6707" s="3" t="str">
        <f>IFERROR(__xludf.DUMMYFUNCTION("""COMPUTED_VALUE"""),"276 JAMIESON RD ")</f>
        <v>276 JAMIESON RD </v>
      </c>
      <c r="C6707" s="3" t="str">
        <f>IFERROR(__xludf.DUMMYFUNCTION("""COMPUTED_VALUE"""),"COLBORNE")</f>
        <v>COLBORNE</v>
      </c>
      <c r="D6707" s="3" t="str">
        <f>IFERROR(__xludf.DUMMYFUNCTION("""COMPUTED_VALUE"""),"K0K 1S0")</f>
        <v>K0K 1S0</v>
      </c>
      <c r="E6707" s="3" t="str">
        <f>IFERROR(__xludf.DUMMYFUNCTION("""COMPUTED_VALUE"""),"ANDREW LEE")</f>
        <v>ANDREW LEE</v>
      </c>
      <c r="F6707" s="3" t="str">
        <f>IFERROR(__xludf.DUMMYFUNCTION("""COMPUTED_VALUE"""),"andrewleeni@gmail.com")</f>
        <v>andrewleeni@gmail.com</v>
      </c>
      <c r="G6707" s="3"/>
      <c r="H6707" s="3"/>
    </row>
    <row r="6708">
      <c r="A6708" s="2">
        <f>IFERROR(__xludf.DUMMYFUNCTION("""COMPUTED_VALUE"""),80668.0)</f>
        <v>80668</v>
      </c>
      <c r="B6708" s="3" t="str">
        <f>IFERROR(__xludf.DUMMYFUNCTION("""COMPUTED_VALUE"""),"286 JAMIESON RD ")</f>
        <v>286 JAMIESON RD </v>
      </c>
      <c r="C6708" s="3" t="str">
        <f>IFERROR(__xludf.DUMMYFUNCTION("""COMPUTED_VALUE"""),"COLBORNE")</f>
        <v>COLBORNE</v>
      </c>
      <c r="D6708" s="3" t="str">
        <f>IFERROR(__xludf.DUMMYFUNCTION("""COMPUTED_VALUE"""),"K0K 1S0")</f>
        <v>K0K 1S0</v>
      </c>
      <c r="E6708" s="3" t="str">
        <f>IFERROR(__xludf.DUMMYFUNCTION("""COMPUTED_VALUE"""),"robert nelson")</f>
        <v>robert nelson</v>
      </c>
      <c r="F6708" s="3"/>
      <c r="G6708" s="3">
        <f>IFERROR(__xludf.DUMMYFUNCTION("""COMPUTED_VALUE"""),6.138858259E9)</f>
        <v>6138858259</v>
      </c>
      <c r="H6708" s="3"/>
    </row>
    <row r="6709">
      <c r="A6709" s="2">
        <f>IFERROR(__xludf.DUMMYFUNCTION("""COMPUTED_VALUE"""),80669.0)</f>
        <v>80669</v>
      </c>
      <c r="B6709" s="3" t="str">
        <f>IFERROR(__xludf.DUMMYFUNCTION("""COMPUTED_VALUE"""),"359 JAMIESON RD ")</f>
        <v>359 JAMIESON RD </v>
      </c>
      <c r="C6709" s="3" t="str">
        <f>IFERROR(__xludf.DUMMYFUNCTION("""COMPUTED_VALUE"""),"COLBORNE")</f>
        <v>COLBORNE</v>
      </c>
      <c r="D6709" s="3" t="str">
        <f>IFERROR(__xludf.DUMMYFUNCTION("""COMPUTED_VALUE"""),"K0K 1S0")</f>
        <v>K0K 1S0</v>
      </c>
      <c r="E6709" s="3" t="str">
        <f>IFERROR(__xludf.DUMMYFUNCTION("""COMPUTED_VALUE"""),"andrea nelson")</f>
        <v>andrea nelson</v>
      </c>
      <c r="F6709" s="3" t="str">
        <f>IFERROR(__xludf.DUMMYFUNCTION("""COMPUTED_VALUE"""),"ajenelson@gmail.com")</f>
        <v>ajenelson@gmail.com</v>
      </c>
      <c r="G6709" s="3">
        <f>IFERROR(__xludf.DUMMYFUNCTION("""COMPUTED_VALUE"""),6.138271565E9)</f>
        <v>6138271565</v>
      </c>
      <c r="H6709" s="3"/>
    </row>
    <row r="6710">
      <c r="A6710" s="2">
        <f>IFERROR(__xludf.DUMMYFUNCTION("""COMPUTED_VALUE"""),80670.0)</f>
        <v>80670</v>
      </c>
      <c r="B6710" s="3" t="str">
        <f>IFERROR(__xludf.DUMMYFUNCTION("""COMPUTED_VALUE"""),"366 JAMIESON RD ")</f>
        <v>366 JAMIESON RD </v>
      </c>
      <c r="C6710" s="3" t="str">
        <f>IFERROR(__xludf.DUMMYFUNCTION("""COMPUTED_VALUE"""),"COLBORNE")</f>
        <v>COLBORNE</v>
      </c>
      <c r="D6710" s="3" t="str">
        <f>IFERROR(__xludf.DUMMYFUNCTION("""COMPUTED_VALUE"""),"K0K 1S0")</f>
        <v>K0K 1S0</v>
      </c>
      <c r="E6710" s="3"/>
      <c r="F6710" s="3"/>
      <c r="G6710" s="3"/>
      <c r="H6710" s="3"/>
    </row>
    <row r="6711">
      <c r="A6711" s="2">
        <f>IFERROR(__xludf.DUMMYFUNCTION("""COMPUTED_VALUE"""),80671.0)</f>
        <v>80671</v>
      </c>
      <c r="B6711" s="3" t="str">
        <f>IFERROR(__xludf.DUMMYFUNCTION("""COMPUTED_VALUE"""),"396 JAMIESON RD ")</f>
        <v>396 JAMIESON RD </v>
      </c>
      <c r="C6711" s="3" t="str">
        <f>IFERROR(__xludf.DUMMYFUNCTION("""COMPUTED_VALUE"""),"COLBORNE")</f>
        <v>COLBORNE</v>
      </c>
      <c r="D6711" s="3" t="str">
        <f>IFERROR(__xludf.DUMMYFUNCTION("""COMPUTED_VALUE"""),"K0K 1S0")</f>
        <v>K0K 1S0</v>
      </c>
      <c r="E6711" s="3"/>
      <c r="F6711" s="3"/>
      <c r="G6711" s="3"/>
      <c r="H6711" s="3"/>
    </row>
    <row r="6712">
      <c r="A6712" s="2">
        <f>IFERROR(__xludf.DUMMYFUNCTION("""COMPUTED_VALUE"""),80672.0)</f>
        <v>80672</v>
      </c>
      <c r="B6712" s="3" t="str">
        <f>IFERROR(__xludf.DUMMYFUNCTION("""COMPUTED_VALUE"""),"413 JAMIESON RD ")</f>
        <v>413 JAMIESON RD </v>
      </c>
      <c r="C6712" s="3" t="str">
        <f>IFERROR(__xludf.DUMMYFUNCTION("""COMPUTED_VALUE"""),"COLBORNE")</f>
        <v>COLBORNE</v>
      </c>
      <c r="D6712" s="3" t="str">
        <f>IFERROR(__xludf.DUMMYFUNCTION("""COMPUTED_VALUE"""),"K0K 1S0")</f>
        <v>K0K 1S0</v>
      </c>
      <c r="E6712" s="3" t="str">
        <f>IFERROR(__xludf.DUMMYFUNCTION("""COMPUTED_VALUE"""),"birds machine and welding")</f>
        <v>birds machine and welding</v>
      </c>
      <c r="F6712" s="3" t="str">
        <f>IFERROR(__xludf.DUMMYFUNCTION("""COMPUTED_VALUE"""),"clamps@reach.net")</f>
        <v>clamps@reach.net</v>
      </c>
      <c r="G6712" s="3">
        <f>IFERROR(__xludf.DUMMYFUNCTION("""COMPUTED_VALUE"""),6.134751666E9)</f>
        <v>6134751666</v>
      </c>
      <c r="H6712" s="3"/>
    </row>
    <row r="6713">
      <c r="A6713" s="2">
        <f>IFERROR(__xludf.DUMMYFUNCTION("""COMPUTED_VALUE"""),80673.0)</f>
        <v>80673</v>
      </c>
      <c r="B6713" s="3" t="str">
        <f>IFERROR(__xludf.DUMMYFUNCTION("""COMPUTED_VALUE"""),"437 JAMIESON RD ")</f>
        <v>437 JAMIESON RD </v>
      </c>
      <c r="C6713" s="3" t="str">
        <f>IFERROR(__xludf.DUMMYFUNCTION("""COMPUTED_VALUE"""),"COLBORNE")</f>
        <v>COLBORNE</v>
      </c>
      <c r="D6713" s="3" t="str">
        <f>IFERROR(__xludf.DUMMYFUNCTION("""COMPUTED_VALUE"""),"K0K 1S0")</f>
        <v>K0K 1S0</v>
      </c>
      <c r="E6713" s="3" t="str">
        <f>IFERROR(__xludf.DUMMYFUNCTION("""COMPUTED_VALUE"""),"jamie warren")</f>
        <v>jamie warren</v>
      </c>
      <c r="F6713" s="3" t="str">
        <f>IFERROR(__xludf.DUMMYFUNCTION("""COMPUTED_VALUE"""),"6132430317")</f>
        <v>6132430317</v>
      </c>
      <c r="G6713" s="3"/>
      <c r="H6713" s="3"/>
    </row>
    <row r="6714">
      <c r="A6714" s="2">
        <f>IFERROR(__xludf.DUMMYFUNCTION("""COMPUTED_VALUE"""),80677.0)</f>
        <v>80677</v>
      </c>
      <c r="B6714" s="3" t="str">
        <f>IFERROR(__xludf.DUMMYFUNCTION("""COMPUTED_VALUE"""),"16 KING ST ")</f>
        <v>16 KING ST </v>
      </c>
      <c r="C6714" s="3" t="str">
        <f>IFERROR(__xludf.DUMMYFUNCTION("""COMPUTED_VALUE"""),"CODRINGTON")</f>
        <v>CODRINGTON</v>
      </c>
      <c r="D6714" s="3" t="str">
        <f>IFERROR(__xludf.DUMMYFUNCTION("""COMPUTED_VALUE"""),"K0K 1R0")</f>
        <v>K0K 1R0</v>
      </c>
      <c r="E6714" s="3"/>
      <c r="F6714" s="3"/>
      <c r="G6714" s="3"/>
      <c r="H6714" s="3"/>
    </row>
    <row r="6715">
      <c r="A6715" s="2">
        <f>IFERROR(__xludf.DUMMYFUNCTION("""COMPUTED_VALUE"""),80678.0)</f>
        <v>80678</v>
      </c>
      <c r="B6715" s="3" t="str">
        <f>IFERROR(__xludf.DUMMYFUNCTION("""COMPUTED_VALUE"""),"27 KING ST ")</f>
        <v>27 KING ST </v>
      </c>
      <c r="C6715" s="3" t="str">
        <f>IFERROR(__xludf.DUMMYFUNCTION("""COMPUTED_VALUE"""),"CODRINGTON")</f>
        <v>CODRINGTON</v>
      </c>
      <c r="D6715" s="3" t="str">
        <f>IFERROR(__xludf.DUMMYFUNCTION("""COMPUTED_VALUE"""),"K0K 1R0")</f>
        <v>K0K 1R0</v>
      </c>
      <c r="E6715" s="3" t="str">
        <f>IFERROR(__xludf.DUMMYFUNCTION("""COMPUTED_VALUE"""),"Tiffany Gillis")</f>
        <v>Tiffany Gillis</v>
      </c>
      <c r="F6715" s="3" t="str">
        <f>IFERROR(__xludf.DUMMYFUNCTION("""COMPUTED_VALUE"""),"tiffanygillis@hotmail.com")</f>
        <v>tiffanygillis@hotmail.com</v>
      </c>
      <c r="G6715" s="3">
        <f>IFERROR(__xludf.DUMMYFUNCTION("""COMPUTED_VALUE"""),7.058756416E9)</f>
        <v>7058756416</v>
      </c>
      <c r="H6715" s="3"/>
    </row>
    <row r="6716">
      <c r="A6716" s="2">
        <f>IFERROR(__xludf.DUMMYFUNCTION("""COMPUTED_VALUE"""),80679.0)</f>
        <v>80679</v>
      </c>
      <c r="B6716" s="3" t="str">
        <f>IFERROR(__xludf.DUMMYFUNCTION("""COMPUTED_VALUE"""),"34 KING ST ")</f>
        <v>34 KING ST </v>
      </c>
      <c r="C6716" s="3" t="str">
        <f>IFERROR(__xludf.DUMMYFUNCTION("""COMPUTED_VALUE"""),"CODRINGTON")</f>
        <v>CODRINGTON</v>
      </c>
      <c r="D6716" s="3" t="str">
        <f>IFERROR(__xludf.DUMMYFUNCTION("""COMPUTED_VALUE"""),"K0K 1R0")</f>
        <v>K0K 1R0</v>
      </c>
      <c r="E6716" s="3"/>
      <c r="F6716" s="3"/>
      <c r="G6716" s="3"/>
      <c r="H6716" s="3"/>
    </row>
    <row r="6717">
      <c r="A6717" s="2">
        <f>IFERROR(__xludf.DUMMYFUNCTION("""COMPUTED_VALUE"""),80680.0)</f>
        <v>80680</v>
      </c>
      <c r="B6717" s="3" t="str">
        <f>IFERROR(__xludf.DUMMYFUNCTION("""COMPUTED_VALUE"""),"37 KING ST ")</f>
        <v>37 KING ST </v>
      </c>
      <c r="C6717" s="3" t="str">
        <f>IFERROR(__xludf.DUMMYFUNCTION("""COMPUTED_VALUE"""),"CODRINGTON")</f>
        <v>CODRINGTON</v>
      </c>
      <c r="D6717" s="3" t="str">
        <f>IFERROR(__xludf.DUMMYFUNCTION("""COMPUTED_VALUE"""),"K0K 1R0")</f>
        <v>K0K 1R0</v>
      </c>
      <c r="E6717" s="3"/>
      <c r="F6717" s="3"/>
      <c r="G6717" s="3"/>
      <c r="H6717" s="3"/>
    </row>
    <row r="6718">
      <c r="A6718" s="2">
        <f>IFERROR(__xludf.DUMMYFUNCTION("""COMPUTED_VALUE"""),80681.0)</f>
        <v>80681</v>
      </c>
      <c r="B6718" s="3" t="str">
        <f>IFERROR(__xludf.DUMMYFUNCTION("""COMPUTED_VALUE"""),"51 KING ST ")</f>
        <v>51 KING ST </v>
      </c>
      <c r="C6718" s="3" t="str">
        <f>IFERROR(__xludf.DUMMYFUNCTION("""COMPUTED_VALUE"""),"CODRINGTON")</f>
        <v>CODRINGTON</v>
      </c>
      <c r="D6718" s="3" t="str">
        <f>IFERROR(__xludf.DUMMYFUNCTION("""COMPUTED_VALUE"""),"K0K 1R0")</f>
        <v>K0K 1R0</v>
      </c>
      <c r="E6718" s="3"/>
      <c r="F6718" s="3"/>
      <c r="G6718" s="3"/>
      <c r="H6718" s="3"/>
    </row>
    <row r="6719">
      <c r="A6719" s="2">
        <f>IFERROR(__xludf.DUMMYFUNCTION("""COMPUTED_VALUE"""),80682.0)</f>
        <v>80682</v>
      </c>
      <c r="B6719" s="3" t="str">
        <f>IFERROR(__xludf.DUMMYFUNCTION("""COMPUTED_VALUE"""),"75 KING ST ")</f>
        <v>75 KING ST </v>
      </c>
      <c r="C6719" s="3" t="str">
        <f>IFERROR(__xludf.DUMMYFUNCTION("""COMPUTED_VALUE"""),"CODRINGTON")</f>
        <v>CODRINGTON</v>
      </c>
      <c r="D6719" s="3" t="str">
        <f>IFERROR(__xludf.DUMMYFUNCTION("""COMPUTED_VALUE"""),"K0K 1R0")</f>
        <v>K0K 1R0</v>
      </c>
      <c r="E6719" s="3"/>
      <c r="F6719" s="3"/>
      <c r="G6719" s="3"/>
      <c r="H6719" s="3"/>
    </row>
    <row r="6720">
      <c r="A6720" s="2">
        <f>IFERROR(__xludf.DUMMYFUNCTION("""COMPUTED_VALUE"""),80686.0)</f>
        <v>80686</v>
      </c>
      <c r="B6720" s="3" t="str">
        <f>IFERROR(__xludf.DUMMYFUNCTION("""COMPUTED_VALUE"""),"431 LAKE RD ")</f>
        <v>431 LAKE RD </v>
      </c>
      <c r="C6720" s="3" t="str">
        <f>IFERROR(__xludf.DUMMYFUNCTION("""COMPUTED_VALUE"""),"COLBORNE")</f>
        <v>COLBORNE</v>
      </c>
      <c r="D6720" s="3" t="str">
        <f>IFERROR(__xludf.DUMMYFUNCTION("""COMPUTED_VALUE"""),"K0K 1S0")</f>
        <v>K0K 1S0</v>
      </c>
      <c r="E6720" s="3"/>
      <c r="F6720" s="3"/>
      <c r="G6720" s="3"/>
      <c r="H6720" s="3"/>
    </row>
    <row r="6721">
      <c r="A6721" s="2">
        <f>IFERROR(__xludf.DUMMYFUNCTION("""COMPUTED_VALUE"""),80687.0)</f>
        <v>80687</v>
      </c>
      <c r="B6721" s="3" t="str">
        <f>IFERROR(__xludf.DUMMYFUNCTION("""COMPUTED_VALUE"""),"468 LAKE RD ")</f>
        <v>468 LAKE RD </v>
      </c>
      <c r="C6721" s="3" t="str">
        <f>IFERROR(__xludf.DUMMYFUNCTION("""COMPUTED_VALUE"""),"COLBORNE")</f>
        <v>COLBORNE</v>
      </c>
      <c r="D6721" s="3" t="str">
        <f>IFERROR(__xludf.DUMMYFUNCTION("""COMPUTED_VALUE"""),"K0K 1S0")</f>
        <v>K0K 1S0</v>
      </c>
      <c r="E6721" s="3" t="str">
        <f>IFERROR(__xludf.DUMMYFUNCTION("""COMPUTED_VALUE"""),"Dan Smith ")</f>
        <v>Dan Smith </v>
      </c>
      <c r="F6721" s="3" t="str">
        <f>IFERROR(__xludf.DUMMYFUNCTION("""COMPUTED_VALUE"""),"smithdan19563@outlook.com ")</f>
        <v>smithdan19563@outlook.com </v>
      </c>
      <c r="G6721" s="3"/>
      <c r="H6721" s="3"/>
    </row>
    <row r="6722">
      <c r="A6722" s="2">
        <f>IFERROR(__xludf.DUMMYFUNCTION("""COMPUTED_VALUE"""),80693.0)</f>
        <v>80693</v>
      </c>
      <c r="B6722" s="3" t="str">
        <f>IFERROR(__xludf.DUMMYFUNCTION("""COMPUTED_VALUE"""),"143 LONG REACH RD ")</f>
        <v>143 LONG REACH RD </v>
      </c>
      <c r="C6722" s="3" t="str">
        <f>IFERROR(__xludf.DUMMYFUNCTION("""COMPUTED_VALUE"""),"BRIGHTON")</f>
        <v>BRIGHTON</v>
      </c>
      <c r="D6722" s="3" t="str">
        <f>IFERROR(__xludf.DUMMYFUNCTION("""COMPUTED_VALUE"""),"K0K 1H0")</f>
        <v>K0K 1H0</v>
      </c>
      <c r="E6722" s="3" t="str">
        <f>IFERROR(__xludf.DUMMYFUNCTION("""COMPUTED_VALUE"""),"Cindy Huycke")</f>
        <v>Cindy Huycke</v>
      </c>
      <c r="F6722" s="3" t="str">
        <f>IFERROR(__xludf.DUMMYFUNCTION("""COMPUTED_VALUE"""),"jenmcdonald2992@gmail.com")</f>
        <v>jenmcdonald2992@gmail.com</v>
      </c>
      <c r="G6722" s="3">
        <f>IFERROR(__xludf.DUMMYFUNCTION("""COMPUTED_VALUE"""),3.436453343E9)</f>
        <v>3436453343</v>
      </c>
      <c r="H6722" s="3"/>
    </row>
    <row r="6723">
      <c r="A6723" s="2">
        <f>IFERROR(__xludf.DUMMYFUNCTION("""COMPUTED_VALUE"""),80694.0)</f>
        <v>80694</v>
      </c>
      <c r="B6723" s="3" t="str">
        <f>IFERROR(__xludf.DUMMYFUNCTION("""COMPUTED_VALUE"""),"150 LONG REACH RD ")</f>
        <v>150 LONG REACH RD </v>
      </c>
      <c r="C6723" s="3" t="str">
        <f>IFERROR(__xludf.DUMMYFUNCTION("""COMPUTED_VALUE"""),"BRIGHTON")</f>
        <v>BRIGHTON</v>
      </c>
      <c r="D6723" s="3" t="str">
        <f>IFERROR(__xludf.DUMMYFUNCTION("""COMPUTED_VALUE"""),"K0K 1H0")</f>
        <v>K0K 1H0</v>
      </c>
      <c r="E6723" s="3" t="str">
        <f>IFERROR(__xludf.DUMMYFUNCTION("""COMPUTED_VALUE"""),"laura mclean")</f>
        <v>laura mclean</v>
      </c>
      <c r="F6723" s="3" t="str">
        <f>IFERROR(__xludf.DUMMYFUNCTION("""COMPUTED_VALUE"""),"iamlauraleedd@icloud.com")</f>
        <v>iamlauraleedd@icloud.com</v>
      </c>
      <c r="G6723" s="3">
        <f>IFERROR(__xludf.DUMMYFUNCTION("""COMPUTED_VALUE"""),6.139698676E9)</f>
        <v>6139698676</v>
      </c>
      <c r="H6723" s="3"/>
    </row>
    <row r="6724">
      <c r="A6724" s="2">
        <f>IFERROR(__xludf.DUMMYFUNCTION("""COMPUTED_VALUE"""),80695.0)</f>
        <v>80695</v>
      </c>
      <c r="B6724" s="3" t="str">
        <f>IFERROR(__xludf.DUMMYFUNCTION("""COMPUTED_VALUE"""),"184 LONG REACH RD ")</f>
        <v>184 LONG REACH RD </v>
      </c>
      <c r="C6724" s="3" t="str">
        <f>IFERROR(__xludf.DUMMYFUNCTION("""COMPUTED_VALUE"""),"BRIGHTON")</f>
        <v>BRIGHTON</v>
      </c>
      <c r="D6724" s="3" t="str">
        <f>IFERROR(__xludf.DUMMYFUNCTION("""COMPUTED_VALUE"""),"K0K 1H0")</f>
        <v>K0K 1H0</v>
      </c>
      <c r="E6724" s="3" t="str">
        <f>IFERROR(__xludf.DUMMYFUNCTION("""COMPUTED_VALUE"""),"claire davedar")</f>
        <v>claire davedar</v>
      </c>
      <c r="F6724" s="3" t="str">
        <f>IFERROR(__xludf.DUMMYFUNCTION("""COMPUTED_VALUE"""),"sensei@fksa.ca")</f>
        <v>sensei@fksa.ca</v>
      </c>
      <c r="G6724" s="3">
        <f>IFERROR(__xludf.DUMMYFUNCTION("""COMPUTED_VALUE"""),9.057186955E9)</f>
        <v>9057186955</v>
      </c>
      <c r="H6724" s="3"/>
    </row>
    <row r="6725">
      <c r="A6725" s="2">
        <f>IFERROR(__xludf.DUMMYFUNCTION("""COMPUTED_VALUE"""),81039.0)</f>
        <v>81039</v>
      </c>
      <c r="B6725" s="3" t="str">
        <f>IFERROR(__xludf.DUMMYFUNCTION("""COMPUTED_VALUE"""),"190 LONG REACH RD")</f>
        <v>190 LONG REACH RD</v>
      </c>
      <c r="C6725" s="3" t="str">
        <f>IFERROR(__xludf.DUMMYFUNCTION("""COMPUTED_VALUE""")," ")</f>
        <v> </v>
      </c>
      <c r="D6725" s="3" t="str">
        <f>IFERROR(__xludf.DUMMYFUNCTION("""COMPUTED_VALUE""")," ")</f>
        <v> </v>
      </c>
      <c r="E6725" s="3"/>
      <c r="F6725" s="3"/>
      <c r="G6725" s="3"/>
      <c r="H6725" s="3"/>
    </row>
    <row r="6726">
      <c r="A6726" s="2">
        <f>IFERROR(__xludf.DUMMYFUNCTION("""COMPUTED_VALUE"""),80689.0)</f>
        <v>80689</v>
      </c>
      <c r="B6726" s="3" t="str">
        <f>IFERROR(__xludf.DUMMYFUNCTION("""COMPUTED_VALUE"""),"22 LONG REACH RD")</f>
        <v>22 LONG REACH RD</v>
      </c>
      <c r="C6726" s="3" t="str">
        <f>IFERROR(__xludf.DUMMYFUNCTION("""COMPUTED_VALUE"""),"BRIGHTON")</f>
        <v>BRIGHTON</v>
      </c>
      <c r="D6726" s="3" t="str">
        <f>IFERROR(__xludf.DUMMYFUNCTION("""COMPUTED_VALUE"""),"K0K 1H0")</f>
        <v>K0K 1H0</v>
      </c>
      <c r="E6726" s="3"/>
      <c r="F6726" s="3"/>
      <c r="G6726" s="3"/>
      <c r="H6726" s="3"/>
    </row>
    <row r="6727">
      <c r="A6727" s="2">
        <f>IFERROR(__xludf.DUMMYFUNCTION("""COMPUTED_VALUE"""),80692.0)</f>
        <v>80692</v>
      </c>
      <c r="B6727" s="3" t="str">
        <f>IFERROR(__xludf.DUMMYFUNCTION("""COMPUTED_VALUE"""),"22 LONG REACH RD ")</f>
        <v>22 LONG REACH RD </v>
      </c>
      <c r="C6727" s="3" t="str">
        <f>IFERROR(__xludf.DUMMYFUNCTION("""COMPUTED_VALUE"""),"BRIGHTON")</f>
        <v>BRIGHTON</v>
      </c>
      <c r="D6727" s="3" t="str">
        <f>IFERROR(__xludf.DUMMYFUNCTION("""COMPUTED_VALUE"""),"K0K 1H0")</f>
        <v>K0K 1H0</v>
      </c>
      <c r="E6727" s="3" t="str">
        <f>IFERROR(__xludf.DUMMYFUNCTION("""COMPUTED_VALUE"""),"roxanne taylor")</f>
        <v>roxanne taylor</v>
      </c>
      <c r="F6727" s="3"/>
      <c r="G6727" s="3">
        <f>IFERROR(__xludf.DUMMYFUNCTION("""COMPUTED_VALUE"""),6.138853764E9)</f>
        <v>6138853764</v>
      </c>
      <c r="H6727" s="3"/>
    </row>
    <row r="6728">
      <c r="A6728" s="2">
        <f>IFERROR(__xludf.DUMMYFUNCTION("""COMPUTED_VALUE"""),80698.0)</f>
        <v>80698</v>
      </c>
      <c r="B6728" s="3" t="str">
        <f>IFERROR(__xludf.DUMMYFUNCTION("""COMPUTED_VALUE"""),"225 LONG REACH RD ")</f>
        <v>225 LONG REACH RD </v>
      </c>
      <c r="C6728" s="3" t="str">
        <f>IFERROR(__xludf.DUMMYFUNCTION("""COMPUTED_VALUE"""),"BRIGHTON")</f>
        <v>BRIGHTON</v>
      </c>
      <c r="D6728" s="3" t="str">
        <f>IFERROR(__xludf.DUMMYFUNCTION("""COMPUTED_VALUE"""),"K0K 1H0")</f>
        <v>K0K 1H0</v>
      </c>
      <c r="E6728" s="3"/>
      <c r="F6728" s="3"/>
      <c r="G6728" s="3"/>
      <c r="H6728" s="3"/>
    </row>
    <row r="6729">
      <c r="A6729" s="2">
        <f>IFERROR(__xludf.DUMMYFUNCTION("""COMPUTED_VALUE"""),80696.0)</f>
        <v>80696</v>
      </c>
      <c r="B6729" s="3" t="str">
        <f>IFERROR(__xludf.DUMMYFUNCTION("""COMPUTED_VALUE"""),"238 LONG REACH RD ")</f>
        <v>238 LONG REACH RD </v>
      </c>
      <c r="C6729" s="3" t="str">
        <f>IFERROR(__xludf.DUMMYFUNCTION("""COMPUTED_VALUE"""),"BRIGHTON")</f>
        <v>BRIGHTON</v>
      </c>
      <c r="D6729" s="3" t="str">
        <f>IFERROR(__xludf.DUMMYFUNCTION("""COMPUTED_VALUE"""),"K0K 1H0")</f>
        <v>K0K 1H0</v>
      </c>
      <c r="E6729" s="3"/>
      <c r="F6729" s="3"/>
      <c r="G6729" s="3"/>
      <c r="H6729" s="3"/>
    </row>
    <row r="6730">
      <c r="A6730" s="2">
        <f>IFERROR(__xludf.DUMMYFUNCTION("""COMPUTED_VALUE"""),80697.0)</f>
        <v>80697</v>
      </c>
      <c r="B6730" s="3" t="str">
        <f>IFERROR(__xludf.DUMMYFUNCTION("""COMPUTED_VALUE"""),"251 LONG REACH RD ")</f>
        <v>251 LONG REACH RD </v>
      </c>
      <c r="C6730" s="3" t="str">
        <f>IFERROR(__xludf.DUMMYFUNCTION("""COMPUTED_VALUE"""),"BRIGHTON")</f>
        <v>BRIGHTON</v>
      </c>
      <c r="D6730" s="3" t="str">
        <f>IFERROR(__xludf.DUMMYFUNCTION("""COMPUTED_VALUE"""),"K0K 1H0")</f>
        <v>K0K 1H0</v>
      </c>
      <c r="E6730" s="3" t="str">
        <f>IFERROR(__xludf.DUMMYFUNCTION("""COMPUTED_VALUE"""),"david thompson")</f>
        <v>david thompson</v>
      </c>
      <c r="F6730" s="3"/>
      <c r="G6730" s="3">
        <f>IFERROR(__xludf.DUMMYFUNCTION("""COMPUTED_VALUE"""),6.134035385E9)</f>
        <v>6134035385</v>
      </c>
      <c r="H6730" s="3"/>
    </row>
    <row r="6731">
      <c r="A6731" s="2">
        <f>IFERROR(__xludf.DUMMYFUNCTION("""COMPUTED_VALUE"""),80690.0)</f>
        <v>80690</v>
      </c>
      <c r="B6731" s="3" t="str">
        <f>IFERROR(__xludf.DUMMYFUNCTION("""COMPUTED_VALUE"""),"26 LONG REACH RD ")</f>
        <v>26 LONG REACH RD </v>
      </c>
      <c r="C6731" s="3" t="str">
        <f>IFERROR(__xludf.DUMMYFUNCTION("""COMPUTED_VALUE"""),"BRIGHTON")</f>
        <v>BRIGHTON</v>
      </c>
      <c r="D6731" s="3" t="str">
        <f>IFERROR(__xludf.DUMMYFUNCTION("""COMPUTED_VALUE"""),"K0K 1H0")</f>
        <v>K0K 1H0</v>
      </c>
      <c r="E6731" s="3" t="str">
        <f>IFERROR(__xludf.DUMMYFUNCTION("""COMPUTED_VALUE"""),"Mackenzie Hamlin")</f>
        <v>Mackenzie Hamlin</v>
      </c>
      <c r="F6731" s="3" t="str">
        <f>IFERROR(__xludf.DUMMYFUNCTION("""COMPUTED_VALUE"""),"mackenziejhamlin@gmail.com")</f>
        <v>mackenziejhamlin@gmail.com</v>
      </c>
      <c r="G6731" s="3">
        <f>IFERROR(__xludf.DUMMYFUNCTION("""COMPUTED_VALUE"""),9.053964942E9)</f>
        <v>9053964942</v>
      </c>
      <c r="H6731" s="3">
        <f>IFERROR(__xludf.DUMMYFUNCTION("""COMPUTED_VALUE"""),9.05396493E9)</f>
        <v>9053964930</v>
      </c>
    </row>
    <row r="6732">
      <c r="A6732" s="2">
        <f>IFERROR(__xludf.DUMMYFUNCTION("""COMPUTED_VALUE"""),80691.0)</f>
        <v>80691</v>
      </c>
      <c r="B6732" s="3" t="str">
        <f>IFERROR(__xludf.DUMMYFUNCTION("""COMPUTED_VALUE"""),"27 LONG REACH RD ")</f>
        <v>27 LONG REACH RD </v>
      </c>
      <c r="C6732" s="3" t="str">
        <f>IFERROR(__xludf.DUMMYFUNCTION("""COMPUTED_VALUE"""),"BRIGHTON")</f>
        <v>BRIGHTON</v>
      </c>
      <c r="D6732" s="3" t="str">
        <f>IFERROR(__xludf.DUMMYFUNCTION("""COMPUTED_VALUE"""),"K0K 1H0")</f>
        <v>K0K 1H0</v>
      </c>
      <c r="E6732" s="3" t="str">
        <f>IFERROR(__xludf.DUMMYFUNCTION("""COMPUTED_VALUE"""),"lisa huycke")</f>
        <v>lisa huycke</v>
      </c>
      <c r="F6732" s="3" t="str">
        <f>IFERROR(__xludf.DUMMYFUNCTION("""COMPUTED_VALUE"""),"lovey6669999@hotmail.com")</f>
        <v>lovey6669999@hotmail.com</v>
      </c>
      <c r="G6732" s="3">
        <f>IFERROR(__xludf.DUMMYFUNCTION("""COMPUTED_VALUE"""),6.139217452E9)</f>
        <v>6139217452</v>
      </c>
      <c r="H6732" s="3"/>
    </row>
    <row r="6733">
      <c r="A6733" s="2">
        <f>IFERROR(__xludf.DUMMYFUNCTION("""COMPUTED_VALUE"""),80692.0)</f>
        <v>80692</v>
      </c>
      <c r="B6733" s="3" t="str">
        <f>IFERROR(__xludf.DUMMYFUNCTION("""COMPUTED_VALUE"""),"58 LONG REACH RD ")</f>
        <v>58 LONG REACH RD </v>
      </c>
      <c r="C6733" s="3" t="str">
        <f>IFERROR(__xludf.DUMMYFUNCTION("""COMPUTED_VALUE"""),"BRIGHTON")</f>
        <v>BRIGHTON</v>
      </c>
      <c r="D6733" s="3" t="str">
        <f>IFERROR(__xludf.DUMMYFUNCTION("""COMPUTED_VALUE"""),"K0K 1H0")</f>
        <v>K0K 1H0</v>
      </c>
      <c r="E6733" s="3"/>
      <c r="F6733" s="3"/>
      <c r="G6733" s="3"/>
      <c r="H6733" s="3"/>
    </row>
    <row r="6734">
      <c r="A6734" s="2">
        <f>IFERROR(__xludf.DUMMYFUNCTION("""COMPUTED_VALUE"""),80703.0)</f>
        <v>80703</v>
      </c>
      <c r="B6734" s="3" t="str">
        <f>IFERROR(__xludf.DUMMYFUNCTION("""COMPUTED_VALUE"""),"376 LOOMIS RD ")</f>
        <v>376 LOOMIS RD </v>
      </c>
      <c r="C6734" s="3" t="str">
        <f>IFERROR(__xludf.DUMMYFUNCTION("""COMPUTED_VALUE"""),"CODRINGTON")</f>
        <v>CODRINGTON</v>
      </c>
      <c r="D6734" s="3" t="str">
        <f>IFERROR(__xludf.DUMMYFUNCTION("""COMPUTED_VALUE"""),"K0K 1R0")</f>
        <v>K0K 1R0</v>
      </c>
      <c r="E6734" s="3"/>
      <c r="F6734" s="3"/>
      <c r="G6734" s="3"/>
      <c r="H6734" s="3"/>
    </row>
    <row r="6735">
      <c r="A6735" s="2">
        <f>IFERROR(__xludf.DUMMYFUNCTION("""COMPUTED_VALUE"""),80704.0)</f>
        <v>80704</v>
      </c>
      <c r="B6735" s="3" t="str">
        <f>IFERROR(__xludf.DUMMYFUNCTION("""COMPUTED_VALUE"""),"396 LOOMIS RD ")</f>
        <v>396 LOOMIS RD </v>
      </c>
      <c r="C6735" s="3" t="str">
        <f>IFERROR(__xludf.DUMMYFUNCTION("""COMPUTED_VALUE"""),"CODRINGTON")</f>
        <v>CODRINGTON</v>
      </c>
      <c r="D6735" s="3" t="str">
        <f>IFERROR(__xludf.DUMMYFUNCTION("""COMPUTED_VALUE"""),"K0K 1R0")</f>
        <v>K0K 1R0</v>
      </c>
      <c r="E6735" s="3"/>
      <c r="F6735" s="3"/>
      <c r="G6735" s="3"/>
      <c r="H6735" s="3"/>
    </row>
    <row r="6736">
      <c r="A6736" s="2">
        <f>IFERROR(__xludf.DUMMYFUNCTION("""COMPUTED_VALUE"""),80705.0)</f>
        <v>80705</v>
      </c>
      <c r="B6736" s="3" t="str">
        <f>IFERROR(__xludf.DUMMYFUNCTION("""COMPUTED_VALUE"""),"455 LOOMIS RD ")</f>
        <v>455 LOOMIS RD </v>
      </c>
      <c r="C6736" s="3" t="str">
        <f>IFERROR(__xludf.DUMMYFUNCTION("""COMPUTED_VALUE"""),"CODRINGTON")</f>
        <v>CODRINGTON</v>
      </c>
      <c r="D6736" s="3" t="str">
        <f>IFERROR(__xludf.DUMMYFUNCTION("""COMPUTED_VALUE"""),"K0K 1R0")</f>
        <v>K0K 1R0</v>
      </c>
      <c r="E6736" s="3"/>
      <c r="F6736" s="3"/>
      <c r="G6736" s="3"/>
      <c r="H6736" s="3"/>
    </row>
    <row r="6737">
      <c r="A6737" s="2">
        <f>IFERROR(__xludf.DUMMYFUNCTION("""COMPUTED_VALUE"""),80706.0)</f>
        <v>80706</v>
      </c>
      <c r="B6737" s="3" t="str">
        <f>IFERROR(__xludf.DUMMYFUNCTION("""COMPUTED_VALUE"""),"525 LOOMIS RD ")</f>
        <v>525 LOOMIS RD </v>
      </c>
      <c r="C6737" s="3" t="str">
        <f>IFERROR(__xludf.DUMMYFUNCTION("""COMPUTED_VALUE"""),"CODRINGTON")</f>
        <v>CODRINGTON</v>
      </c>
      <c r="D6737" s="3" t="str">
        <f>IFERROR(__xludf.DUMMYFUNCTION("""COMPUTED_VALUE"""),"K0K 1R0")</f>
        <v>K0K 1R0</v>
      </c>
      <c r="E6737" s="3" t="str">
        <f>IFERROR(__xludf.DUMMYFUNCTION("""COMPUTED_VALUE"""),"jason whyte")</f>
        <v>jason whyte</v>
      </c>
      <c r="F6737" s="3" t="str">
        <f>IFERROR(__xludf.DUMMYFUNCTION("""COMPUTED_VALUE"""),"njbreadco@outlook.com")</f>
        <v>njbreadco@outlook.com</v>
      </c>
      <c r="G6737" s="3">
        <f>IFERROR(__xludf.DUMMYFUNCTION("""COMPUTED_VALUE"""),2.892517862E9)</f>
        <v>2892517862</v>
      </c>
      <c r="H6737" s="3">
        <f>IFERROR(__xludf.DUMMYFUNCTION("""COMPUTED_VALUE"""),2.89251215E9)</f>
        <v>2892512150</v>
      </c>
    </row>
    <row r="6738">
      <c r="A6738" s="2">
        <f>IFERROR(__xludf.DUMMYFUNCTION("""COMPUTED_VALUE"""),81040.0)</f>
        <v>81040</v>
      </c>
      <c r="B6738" s="3" t="str">
        <f>IFERROR(__xludf.DUMMYFUNCTION("""COMPUTED_VALUE"""),"169 LORD RD ")</f>
        <v>169 LORD RD </v>
      </c>
      <c r="C6738" s="3" t="str">
        <f>IFERROR(__xludf.DUMMYFUNCTION("""COMPUTED_VALUE"""),"CODRINGTON")</f>
        <v>CODRINGTON</v>
      </c>
      <c r="D6738" s="3" t="str">
        <f>IFERROR(__xludf.DUMMYFUNCTION("""COMPUTED_VALUE"""),"K0K 1R0")</f>
        <v>K0K 1R0</v>
      </c>
      <c r="E6738" s="3"/>
      <c r="F6738" s="3"/>
      <c r="G6738" s="3"/>
      <c r="H6738" s="3"/>
    </row>
    <row r="6739">
      <c r="A6739" s="2">
        <f>IFERROR(__xludf.DUMMYFUNCTION("""COMPUTED_VALUE"""),80709.0)</f>
        <v>80709</v>
      </c>
      <c r="B6739" s="3" t="str">
        <f>IFERROR(__xludf.DUMMYFUNCTION("""COMPUTED_VALUE"""),"182 LORD RD ")</f>
        <v>182 LORD RD </v>
      </c>
      <c r="C6739" s="3" t="str">
        <f>IFERROR(__xludf.DUMMYFUNCTION("""COMPUTED_VALUE"""),"CODRINGTON")</f>
        <v>CODRINGTON</v>
      </c>
      <c r="D6739" s="3" t="str">
        <f>IFERROR(__xludf.DUMMYFUNCTION("""COMPUTED_VALUE"""),"K0K 1R0")</f>
        <v>K0K 1R0</v>
      </c>
      <c r="E6739" s="3" t="str">
        <f>IFERROR(__xludf.DUMMYFUNCTION("""COMPUTED_VALUE"""),"Linda Polmateer")</f>
        <v>Linda Polmateer</v>
      </c>
      <c r="F6739" s="3" t="str">
        <f>IFERROR(__xludf.DUMMYFUNCTION("""COMPUTED_VALUE"""),"linda_polmateer@hotmail.com")</f>
        <v>linda_polmateer@hotmail.com</v>
      </c>
      <c r="G6739" s="3"/>
      <c r="H6739" s="3"/>
    </row>
    <row r="6740">
      <c r="A6740" s="2">
        <f>IFERROR(__xludf.DUMMYFUNCTION("""COMPUTED_VALUE"""),80710.0)</f>
        <v>80710</v>
      </c>
      <c r="B6740" s="3" t="str">
        <f>IFERROR(__xludf.DUMMYFUNCTION("""COMPUTED_VALUE"""),"183 LORD RD ")</f>
        <v>183 LORD RD </v>
      </c>
      <c r="C6740" s="3" t="str">
        <f>IFERROR(__xludf.DUMMYFUNCTION("""COMPUTED_VALUE"""),"CODRINGTON")</f>
        <v>CODRINGTON</v>
      </c>
      <c r="D6740" s="3" t="str">
        <f>IFERROR(__xludf.DUMMYFUNCTION("""COMPUTED_VALUE"""),"K0K 1R0")</f>
        <v>K0K 1R0</v>
      </c>
      <c r="E6740" s="3" t="str">
        <f>IFERROR(__xludf.DUMMYFUNCTION("""COMPUTED_VALUE"""),"Mary &amp; Alan Lord")</f>
        <v>Mary &amp; Alan Lord</v>
      </c>
      <c r="F6740" s="3" t="str">
        <f>IFERROR(__xludf.DUMMYFUNCTION("""COMPUTED_VALUE"""),"mclord55@hotmail.com")</f>
        <v>mclord55@hotmail.com</v>
      </c>
      <c r="G6740" s="3"/>
      <c r="H6740" s="3"/>
    </row>
    <row r="6741">
      <c r="A6741" s="2">
        <f>IFERROR(__xludf.DUMMYFUNCTION("""COMPUTED_VALUE"""),80707.0)</f>
        <v>80707</v>
      </c>
      <c r="B6741" s="3" t="str">
        <f>IFERROR(__xludf.DUMMYFUNCTION("""COMPUTED_VALUE"""),"82 LORD RD ")</f>
        <v>82 LORD RD </v>
      </c>
      <c r="C6741" s="3" t="str">
        <f>IFERROR(__xludf.DUMMYFUNCTION("""COMPUTED_VALUE"""),"CODRINGTON")</f>
        <v>CODRINGTON</v>
      </c>
      <c r="D6741" s="3" t="str">
        <f>IFERROR(__xludf.DUMMYFUNCTION("""COMPUTED_VALUE"""),"K0K 1R0")</f>
        <v>K0K 1R0</v>
      </c>
      <c r="E6741" s="3" t="str">
        <f>IFERROR(__xludf.DUMMYFUNCTION("""COMPUTED_VALUE"""),"Linda Dickson")</f>
        <v>Linda Dickson</v>
      </c>
      <c r="F6741" s="3" t="str">
        <f>IFERROR(__xludf.DUMMYFUNCTION("""COMPUTED_VALUE"""),"lindabill1951@gmail.com")</f>
        <v>lindabill1951@gmail.com</v>
      </c>
      <c r="G6741" s="3">
        <f>IFERROR(__xludf.DUMMYFUNCTION("""COMPUTED_VALUE"""),6.139619873E9)</f>
        <v>6139619873</v>
      </c>
      <c r="H6741" s="3">
        <f>IFERROR(__xludf.DUMMYFUNCTION("""COMPUTED_VALUE"""),6.1381305E9)</f>
        <v>6138130500</v>
      </c>
    </row>
    <row r="6742">
      <c r="A6742" s="2">
        <f>IFERROR(__xludf.DUMMYFUNCTION("""COMPUTED_VALUE"""),80708.0)</f>
        <v>80708</v>
      </c>
      <c r="B6742" s="3" t="str">
        <f>IFERROR(__xludf.DUMMYFUNCTION("""COMPUTED_VALUE"""),"98 LORD RD ")</f>
        <v>98 LORD RD </v>
      </c>
      <c r="C6742" s="3" t="str">
        <f>IFERROR(__xludf.DUMMYFUNCTION("""COMPUTED_VALUE"""),"CODRINGTON")</f>
        <v>CODRINGTON</v>
      </c>
      <c r="D6742" s="3" t="str">
        <f>IFERROR(__xludf.DUMMYFUNCTION("""COMPUTED_VALUE"""),"K0K 1R0")</f>
        <v>K0K 1R0</v>
      </c>
      <c r="E6742" s="3" t="str">
        <f>IFERROR(__xludf.DUMMYFUNCTION("""COMPUTED_VALUE"""),"Joanne Brant")</f>
        <v>Joanne Brant</v>
      </c>
      <c r="F6742" s="3" t="str">
        <f>IFERROR(__xludf.DUMMYFUNCTION("""COMPUTED_VALUE"""),"jjbrant@outlook.com")</f>
        <v>jjbrant@outlook.com</v>
      </c>
      <c r="G6742" s="3">
        <f>IFERROR(__xludf.DUMMYFUNCTION("""COMPUTED_VALUE"""),6.138133505E9)</f>
        <v>6138133505</v>
      </c>
      <c r="H6742" s="3"/>
    </row>
    <row r="6743">
      <c r="A6743" s="2">
        <f>IFERROR(__xludf.DUMMYFUNCTION("""COMPUTED_VALUE"""),80711.0)</f>
        <v>80711</v>
      </c>
      <c r="B6743" s="3" t="str">
        <f>IFERROR(__xludf.DUMMYFUNCTION("""COMPUTED_VALUE"""),"156 MAPLE GROVE RD ")</f>
        <v>156 MAPLE GROVE RD </v>
      </c>
      <c r="C6743" s="3" t="str">
        <f>IFERROR(__xludf.DUMMYFUNCTION("""COMPUTED_VALUE"""),"COLBORNE")</f>
        <v>COLBORNE</v>
      </c>
      <c r="D6743" s="3" t="str">
        <f>IFERROR(__xludf.DUMMYFUNCTION("""COMPUTED_VALUE"""),"K0K 1S0")</f>
        <v>K0K 1S0</v>
      </c>
      <c r="E6743" s="3" t="str">
        <f>IFERROR(__xludf.DUMMYFUNCTION("""COMPUTED_VALUE"""),"Thomas kearns")</f>
        <v>Thomas kearns</v>
      </c>
      <c r="F6743" s="3" t="str">
        <f>IFERROR(__xludf.DUMMYFUNCTION("""COMPUTED_VALUE"""),"finisherforyou@gmail.com")</f>
        <v>finisherforyou@gmail.com</v>
      </c>
      <c r="G6743" s="3">
        <f>IFERROR(__xludf.DUMMYFUNCTION("""COMPUTED_VALUE"""),9.059263265E9)</f>
        <v>9059263265</v>
      </c>
      <c r="H6743" s="3">
        <f>IFERROR(__xludf.DUMMYFUNCTION("""COMPUTED_VALUE"""),9.05269083E9)</f>
        <v>9052690830</v>
      </c>
    </row>
    <row r="6744">
      <c r="A6744" s="2">
        <f>IFERROR(__xludf.DUMMYFUNCTION("""COMPUTED_VALUE"""),80712.0)</f>
        <v>80712</v>
      </c>
      <c r="B6744" s="3" t="str">
        <f>IFERROR(__xludf.DUMMYFUNCTION("""COMPUTED_VALUE"""),"178 MAPLE GROVE RD ")</f>
        <v>178 MAPLE GROVE RD </v>
      </c>
      <c r="C6744" s="3" t="str">
        <f>IFERROR(__xludf.DUMMYFUNCTION("""COMPUTED_VALUE"""),"COLBORNE")</f>
        <v>COLBORNE</v>
      </c>
      <c r="D6744" s="3" t="str">
        <f>IFERROR(__xludf.DUMMYFUNCTION("""COMPUTED_VALUE"""),"K0K 1S0")</f>
        <v>K0K 1S0</v>
      </c>
      <c r="E6744" s="3"/>
      <c r="F6744" s="3"/>
      <c r="G6744" s="3"/>
      <c r="H6744" s="3"/>
    </row>
    <row r="6745">
      <c r="A6745" s="2">
        <f>IFERROR(__xludf.DUMMYFUNCTION("""COMPUTED_VALUE"""),81053.0)</f>
        <v>81053</v>
      </c>
      <c r="B6745" s="3" t="str">
        <f>IFERROR(__xludf.DUMMYFUNCTION("""COMPUTED_VALUE"""),"261 MAPLE GROVE RD ")</f>
        <v>261 MAPLE GROVE RD </v>
      </c>
      <c r="C6745" s="3" t="str">
        <f>IFERROR(__xludf.DUMMYFUNCTION("""COMPUTED_VALUE"""),"COLBORNE")</f>
        <v>COLBORNE</v>
      </c>
      <c r="D6745" s="3" t="str">
        <f>IFERROR(__xludf.DUMMYFUNCTION("""COMPUTED_VALUE"""),"K0K 1S0")</f>
        <v>K0K 1S0</v>
      </c>
      <c r="E6745" s="3" t="str">
        <f>IFERROR(__xludf.DUMMYFUNCTION("""COMPUTED_VALUE"""),"danny henzie")</f>
        <v>danny henzie</v>
      </c>
      <c r="F6745" s="3" t="str">
        <f>IFERROR(__xludf.DUMMYFUNCTION("""COMPUTED_VALUE"""),"dmh450@hotmail.com")</f>
        <v>dmh450@hotmail.com</v>
      </c>
      <c r="G6745" s="3">
        <f>IFERROR(__xludf.DUMMYFUNCTION("""COMPUTED_VALUE"""),4.5061205995E10)</f>
        <v>45061205995</v>
      </c>
      <c r="H6745" s="3"/>
    </row>
    <row r="6746">
      <c r="A6746" s="2">
        <f>IFERROR(__xludf.DUMMYFUNCTION("""COMPUTED_VALUE"""),80713.0)</f>
        <v>80713</v>
      </c>
      <c r="B6746" s="3" t="str">
        <f>IFERROR(__xludf.DUMMYFUNCTION("""COMPUTED_VALUE"""),"269 MAPLE GROVE RD ")</f>
        <v>269 MAPLE GROVE RD </v>
      </c>
      <c r="C6746" s="3" t="str">
        <f>IFERROR(__xludf.DUMMYFUNCTION("""COMPUTED_VALUE"""),"COLBORNE")</f>
        <v>COLBORNE</v>
      </c>
      <c r="D6746" s="3" t="str">
        <f>IFERROR(__xludf.DUMMYFUNCTION("""COMPUTED_VALUE"""),"K0K 1S0")</f>
        <v>K0K 1S0</v>
      </c>
      <c r="E6746" s="3" t="str">
        <f>IFERROR(__xludf.DUMMYFUNCTION("""COMPUTED_VALUE"""),"Rob Cassidy")</f>
        <v>Rob Cassidy</v>
      </c>
      <c r="F6746" s="3" t="str">
        <f>IFERROR(__xludf.DUMMYFUNCTION("""COMPUTED_VALUE"""),"rionart@yahoo.ca")</f>
        <v>rionart@yahoo.ca</v>
      </c>
      <c r="G6746" s="3">
        <f>IFERROR(__xludf.DUMMYFUNCTION("""COMPUTED_VALUE"""),4.168937414E9)</f>
        <v>4168937414</v>
      </c>
      <c r="H6746" s="3"/>
    </row>
    <row r="6747">
      <c r="A6747" s="2">
        <f>IFERROR(__xludf.DUMMYFUNCTION("""COMPUTED_VALUE"""),80714.0)</f>
        <v>80714</v>
      </c>
      <c r="B6747" s="3" t="str">
        <f>IFERROR(__xludf.DUMMYFUNCTION("""COMPUTED_VALUE"""),"275 MAPLE GROVE RD ")</f>
        <v>275 MAPLE GROVE RD </v>
      </c>
      <c r="C6747" s="3" t="str">
        <f>IFERROR(__xludf.DUMMYFUNCTION("""COMPUTED_VALUE"""),"COLBORNE")</f>
        <v>COLBORNE</v>
      </c>
      <c r="D6747" s="3" t="str">
        <f>IFERROR(__xludf.DUMMYFUNCTION("""COMPUTED_VALUE"""),"K0K 1S0")</f>
        <v>K0K 1S0</v>
      </c>
      <c r="E6747" s="3" t="str">
        <f>IFERROR(__xludf.DUMMYFUNCTION("""COMPUTED_VALUE"""),"emmanuel ")</f>
        <v>emmanuel </v>
      </c>
      <c r="F6747" s="3"/>
      <c r="G6747" s="3">
        <f>IFERROR(__xludf.DUMMYFUNCTION("""COMPUTED_VALUE"""),6.4788687E9)</f>
        <v>6478868700</v>
      </c>
      <c r="H6747" s="3"/>
    </row>
    <row r="6748">
      <c r="A6748" s="2">
        <f>IFERROR(__xludf.DUMMYFUNCTION("""COMPUTED_VALUE"""),80715.0)</f>
        <v>80715</v>
      </c>
      <c r="B6748" s="3" t="str">
        <f>IFERROR(__xludf.DUMMYFUNCTION("""COMPUTED_VALUE"""),"288 MAPLE GROVE RD ")</f>
        <v>288 MAPLE GROVE RD </v>
      </c>
      <c r="C6748" s="3" t="str">
        <f>IFERROR(__xludf.DUMMYFUNCTION("""COMPUTED_VALUE"""),"COLBORNE")</f>
        <v>COLBORNE</v>
      </c>
      <c r="D6748" s="3" t="str">
        <f>IFERROR(__xludf.DUMMYFUNCTION("""COMPUTED_VALUE"""),"K0K 1S0")</f>
        <v>K0K 1S0</v>
      </c>
      <c r="E6748" s="3"/>
      <c r="F6748" s="3"/>
      <c r="G6748" s="3"/>
      <c r="H6748" s="3"/>
    </row>
    <row r="6749">
      <c r="A6749" s="2">
        <f>IFERROR(__xludf.DUMMYFUNCTION("""COMPUTED_VALUE"""),80716.0)</f>
        <v>80716</v>
      </c>
      <c r="B6749" s="3" t="str">
        <f>IFERROR(__xludf.DUMMYFUNCTION("""COMPUTED_VALUE"""),"289 MAPLE GROVE RD ")</f>
        <v>289 MAPLE GROVE RD </v>
      </c>
      <c r="C6749" s="3" t="str">
        <f>IFERROR(__xludf.DUMMYFUNCTION("""COMPUTED_VALUE"""),"COLBORNE")</f>
        <v>COLBORNE</v>
      </c>
      <c r="D6749" s="3" t="str">
        <f>IFERROR(__xludf.DUMMYFUNCTION("""COMPUTED_VALUE"""),"K0K 1S0")</f>
        <v>K0K 1S0</v>
      </c>
      <c r="E6749" s="3" t="str">
        <f>IFERROR(__xludf.DUMMYFUNCTION("""COMPUTED_VALUE"""),"Asif Ali")</f>
        <v>Asif Ali</v>
      </c>
      <c r="F6749" s="3" t="str">
        <f>IFERROR(__xludf.DUMMYFUNCTION("""COMPUTED_VALUE"""),"asifali3870@gmail.com")</f>
        <v>asifali3870@gmail.com</v>
      </c>
      <c r="G6749" s="3">
        <f>IFERROR(__xludf.DUMMYFUNCTION("""COMPUTED_VALUE"""),9.054400671E9)</f>
        <v>9054400671</v>
      </c>
      <c r="H6749" s="3"/>
    </row>
    <row r="6750">
      <c r="A6750" s="2">
        <f>IFERROR(__xludf.DUMMYFUNCTION("""COMPUTED_VALUE"""),80717.0)</f>
        <v>80717</v>
      </c>
      <c r="B6750" s="3" t="str">
        <f>IFERROR(__xludf.DUMMYFUNCTION("""COMPUTED_VALUE"""),"303 MAPLE GROVE RD ")</f>
        <v>303 MAPLE GROVE RD </v>
      </c>
      <c r="C6750" s="3" t="str">
        <f>IFERROR(__xludf.DUMMYFUNCTION("""COMPUTED_VALUE"""),"COLBORNE")</f>
        <v>COLBORNE</v>
      </c>
      <c r="D6750" s="3" t="str">
        <f>IFERROR(__xludf.DUMMYFUNCTION("""COMPUTED_VALUE"""),"K0K 1S0")</f>
        <v>K0K 1S0</v>
      </c>
      <c r="E6750" s="3" t="str">
        <f>IFERROR(__xludf.DUMMYFUNCTION("""COMPUTED_VALUE"""),"david shepard ")</f>
        <v>david shepard </v>
      </c>
      <c r="F6750" s="3" t="str">
        <f>IFERROR(__xludf.DUMMYFUNCTION("""COMPUTED_VALUE"""),"dshep74@outlook.com")</f>
        <v>dshep74@outlook.com</v>
      </c>
      <c r="G6750" s="3">
        <f>IFERROR(__xludf.DUMMYFUNCTION("""COMPUTED_VALUE"""),9.052600918E9)</f>
        <v>9052600918</v>
      </c>
      <c r="H6750" s="3"/>
    </row>
    <row r="6751">
      <c r="A6751" s="2">
        <f>IFERROR(__xludf.DUMMYFUNCTION("""COMPUTED_VALUE"""),80718.0)</f>
        <v>80718</v>
      </c>
      <c r="B6751" s="3" t="str">
        <f>IFERROR(__xludf.DUMMYFUNCTION("""COMPUTED_VALUE"""),"320 MAPLE GROVE RD ")</f>
        <v>320 MAPLE GROVE RD </v>
      </c>
      <c r="C6751" s="3" t="str">
        <f>IFERROR(__xludf.DUMMYFUNCTION("""COMPUTED_VALUE"""),"COLBORNE")</f>
        <v>COLBORNE</v>
      </c>
      <c r="D6751" s="3" t="str">
        <f>IFERROR(__xludf.DUMMYFUNCTION("""COMPUTED_VALUE"""),"K0K 1S0")</f>
        <v>K0K 1S0</v>
      </c>
      <c r="E6751" s="3" t="str">
        <f>IFERROR(__xludf.DUMMYFUNCTION("""COMPUTED_VALUE"""),"tim white ")</f>
        <v>tim white </v>
      </c>
      <c r="F6751" s="3" t="str">
        <f>IFERROR(__xludf.DUMMYFUNCTION("""COMPUTED_VALUE"""),"twhite3760@gmail.com")</f>
        <v>twhite3760@gmail.com</v>
      </c>
      <c r="G6751" s="3">
        <f>IFERROR(__xludf.DUMMYFUNCTION("""COMPUTED_VALUE"""),9.053739656E9)</f>
        <v>9053739656</v>
      </c>
      <c r="H6751" s="3">
        <f>IFERROR(__xludf.DUMMYFUNCTION("""COMPUTED_VALUE"""),9.053761909E9)</f>
        <v>9053761909</v>
      </c>
    </row>
    <row r="6752">
      <c r="A6752" s="2">
        <f>IFERROR(__xludf.DUMMYFUNCTION("""COMPUTED_VALUE"""),80720.0)</f>
        <v>80720</v>
      </c>
      <c r="B6752" s="3" t="str">
        <f>IFERROR(__xludf.DUMMYFUNCTION("""COMPUTED_VALUE"""),"32 MC CANN RD ")</f>
        <v>32 MC CANN RD </v>
      </c>
      <c r="C6752" s="3" t="str">
        <f>IFERROR(__xludf.DUMMYFUNCTION("""COMPUTED_VALUE"""),"CODRINGTON")</f>
        <v>CODRINGTON</v>
      </c>
      <c r="D6752" s="3" t="str">
        <f>IFERROR(__xludf.DUMMYFUNCTION("""COMPUTED_VALUE"""),"K0K 1R0")</f>
        <v>K0K 1R0</v>
      </c>
      <c r="E6752" s="3"/>
      <c r="F6752" s="3"/>
      <c r="G6752" s="3"/>
      <c r="H6752" s="3"/>
    </row>
    <row r="6753">
      <c r="A6753" s="2">
        <f>IFERROR(__xludf.DUMMYFUNCTION("""COMPUTED_VALUE"""),80723.0)</f>
        <v>80723</v>
      </c>
      <c r="B6753" s="3" t="str">
        <f>IFERROR(__xludf.DUMMYFUNCTION("""COMPUTED_VALUE"""),"1 MORAN DR ")</f>
        <v>1 MORAN DR </v>
      </c>
      <c r="C6753" s="3" t="str">
        <f>IFERROR(__xludf.DUMMYFUNCTION("""COMPUTED_VALUE"""),"BRIGHTON")</f>
        <v>BRIGHTON</v>
      </c>
      <c r="D6753" s="3" t="str">
        <f>IFERROR(__xludf.DUMMYFUNCTION("""COMPUTED_VALUE"""),"K0K 1H0")</f>
        <v>K0K 1H0</v>
      </c>
      <c r="E6753" s="3" t="str">
        <f>IFERROR(__xludf.DUMMYFUNCTION("""COMPUTED_VALUE"""),"Catherine Stutt")</f>
        <v>Catherine Stutt</v>
      </c>
      <c r="F6753" s="3" t="str">
        <f>IFERROR(__xludf.DUMMYFUNCTION("""COMPUTED_VALUE"""),"catherine.stutt@gmail.com")</f>
        <v>catherine.stutt@gmail.com</v>
      </c>
      <c r="G6753" s="3">
        <f>IFERROR(__xludf.DUMMYFUNCTION("""COMPUTED_VALUE"""),6.138482923E9)</f>
        <v>6138482923</v>
      </c>
      <c r="H6753" s="3"/>
    </row>
    <row r="6754">
      <c r="A6754" s="2">
        <f>IFERROR(__xludf.DUMMYFUNCTION("""COMPUTED_VALUE"""),80731.0)</f>
        <v>80731</v>
      </c>
      <c r="B6754" s="3" t="str">
        <f>IFERROR(__xludf.DUMMYFUNCTION("""COMPUTED_VALUE"""),"10 MORAN DR ")</f>
        <v>10 MORAN DR </v>
      </c>
      <c r="C6754" s="3" t="str">
        <f>IFERROR(__xludf.DUMMYFUNCTION("""COMPUTED_VALUE"""),"BRIGHTON")</f>
        <v>BRIGHTON</v>
      </c>
      <c r="D6754" s="3" t="str">
        <f>IFERROR(__xludf.DUMMYFUNCTION("""COMPUTED_VALUE"""),"K0K 1H0")</f>
        <v>K0K 1H0</v>
      </c>
      <c r="E6754" s="3" t="str">
        <f>IFERROR(__xludf.DUMMYFUNCTION("""COMPUTED_VALUE"""),"murray and bonnie kerr")</f>
        <v>murray and bonnie kerr</v>
      </c>
      <c r="F6754" s="3" t="str">
        <f>IFERROR(__xludf.DUMMYFUNCTION("""COMPUTED_VALUE"""),"bmuu2804@gmail.com")</f>
        <v>bmuu2804@gmail.com</v>
      </c>
      <c r="G6754" s="3">
        <f>IFERROR(__xludf.DUMMYFUNCTION("""COMPUTED_VALUE"""),7.053946614E9)</f>
        <v>7053946614</v>
      </c>
      <c r="H6754" s="3"/>
    </row>
    <row r="6755">
      <c r="A6755" s="2">
        <f>IFERROR(__xludf.DUMMYFUNCTION("""COMPUTED_VALUE"""),80732.0)</f>
        <v>80732</v>
      </c>
      <c r="B6755" s="3" t="str">
        <f>IFERROR(__xludf.DUMMYFUNCTION("""COMPUTED_VALUE"""),"11 MORAN DR ")</f>
        <v>11 MORAN DR </v>
      </c>
      <c r="C6755" s="3" t="str">
        <f>IFERROR(__xludf.DUMMYFUNCTION("""COMPUTED_VALUE"""),"BRIGHTON")</f>
        <v>BRIGHTON</v>
      </c>
      <c r="D6755" s="3" t="str">
        <f>IFERROR(__xludf.DUMMYFUNCTION("""COMPUTED_VALUE"""),"K0K 1H0")</f>
        <v>K0K 1H0</v>
      </c>
      <c r="E6755" s="3" t="str">
        <f>IFERROR(__xludf.DUMMYFUNCTION("""COMPUTED_VALUE"""),"christy and darren burke")</f>
        <v>christy and darren burke</v>
      </c>
      <c r="F6755" s="3" t="str">
        <f>IFERROR(__xludf.DUMMYFUNCTION("""COMPUTED_VALUE"""),"canddb99@gmail.com")</f>
        <v>canddb99@gmail.com</v>
      </c>
      <c r="G6755" s="3">
        <f>IFERROR(__xludf.DUMMYFUNCTION("""COMPUTED_VALUE"""),6.134756562E9)</f>
        <v>6134756562</v>
      </c>
      <c r="H6755" s="3">
        <f>IFERROR(__xludf.DUMMYFUNCTION("""COMPUTED_VALUE"""),9.052079697E9)</f>
        <v>9052079697</v>
      </c>
    </row>
    <row r="6756">
      <c r="A6756" s="2">
        <f>IFERROR(__xludf.DUMMYFUNCTION("""COMPUTED_VALUE"""),80733.0)</f>
        <v>80733</v>
      </c>
      <c r="B6756" s="3" t="str">
        <f>IFERROR(__xludf.DUMMYFUNCTION("""COMPUTED_VALUE"""),"12 MORAN DR ")</f>
        <v>12 MORAN DR </v>
      </c>
      <c r="C6756" s="3" t="str">
        <f>IFERROR(__xludf.DUMMYFUNCTION("""COMPUTED_VALUE"""),"BRIGHTON")</f>
        <v>BRIGHTON</v>
      </c>
      <c r="D6756" s="3" t="str">
        <f>IFERROR(__xludf.DUMMYFUNCTION("""COMPUTED_VALUE"""),"K0K 1H0")</f>
        <v>K0K 1H0</v>
      </c>
      <c r="E6756" s="3" t="str">
        <f>IFERROR(__xludf.DUMMYFUNCTION("""COMPUTED_VALUE"""),"Michael Evans")</f>
        <v>Michael Evans</v>
      </c>
      <c r="F6756" s="3" t="str">
        <f>IFERROR(__xludf.DUMMYFUNCTION("""COMPUTED_VALUE"""),"mikelevans212@gmail.com")</f>
        <v>mikelevans212@gmail.com</v>
      </c>
      <c r="G6756" s="3">
        <f>IFERROR(__xludf.DUMMYFUNCTION("""COMPUTED_VALUE"""),9.052618011E9)</f>
        <v>9052618011</v>
      </c>
      <c r="H6756" s="3"/>
    </row>
    <row r="6757">
      <c r="A6757" s="2">
        <f>IFERROR(__xludf.DUMMYFUNCTION("""COMPUTED_VALUE"""),80734.0)</f>
        <v>80734</v>
      </c>
      <c r="B6757" s="3" t="str">
        <f>IFERROR(__xludf.DUMMYFUNCTION("""COMPUTED_VALUE"""),"13 MORAN DR ")</f>
        <v>13 MORAN DR </v>
      </c>
      <c r="C6757" s="3" t="str">
        <f>IFERROR(__xludf.DUMMYFUNCTION("""COMPUTED_VALUE"""),"BRIGHTON")</f>
        <v>BRIGHTON</v>
      </c>
      <c r="D6757" s="3" t="str">
        <f>IFERROR(__xludf.DUMMYFUNCTION("""COMPUTED_VALUE"""),"K0K 1H0")</f>
        <v>K0K 1H0</v>
      </c>
      <c r="E6757" s="3" t="str">
        <f>IFERROR(__xludf.DUMMYFUNCTION("""COMPUTED_VALUE"""),"Lillian Chater")</f>
        <v>Lillian Chater</v>
      </c>
      <c r="F6757" s="3" t="str">
        <f>IFERROR(__xludf.DUMMYFUNCTION("""COMPUTED_VALUE"""),"lillian.chater@gmail.com")</f>
        <v>lillian.chater@gmail.com</v>
      </c>
      <c r="G6757" s="3"/>
      <c r="H6757" s="3"/>
    </row>
    <row r="6758">
      <c r="A6758" s="2">
        <f>IFERROR(__xludf.DUMMYFUNCTION("""COMPUTED_VALUE"""),80735.0)</f>
        <v>80735</v>
      </c>
      <c r="B6758" s="3" t="str">
        <f>IFERROR(__xludf.DUMMYFUNCTION("""COMPUTED_VALUE"""),"15 MORAN DR ")</f>
        <v>15 MORAN DR </v>
      </c>
      <c r="C6758" s="3" t="str">
        <f>IFERROR(__xludf.DUMMYFUNCTION("""COMPUTED_VALUE"""),"BRIGHTON")</f>
        <v>BRIGHTON</v>
      </c>
      <c r="D6758" s="3" t="str">
        <f>IFERROR(__xludf.DUMMYFUNCTION("""COMPUTED_VALUE"""),"K0K 1H0")</f>
        <v>K0K 1H0</v>
      </c>
      <c r="E6758" s="3" t="str">
        <f>IFERROR(__xludf.DUMMYFUNCTION("""COMPUTED_VALUE"""),"troy loader")</f>
        <v>troy loader</v>
      </c>
      <c r="F6758" s="3" t="str">
        <f>IFERROR(__xludf.DUMMYFUNCTION("""COMPUTED_VALUE"""),"troy_15_hockey@hotmail.com")</f>
        <v>troy_15_hockey@hotmail.com</v>
      </c>
      <c r="G6758" s="3">
        <f>IFERROR(__xludf.DUMMYFUNCTION("""COMPUTED_VALUE"""),6.139225104E9)</f>
        <v>6139225104</v>
      </c>
      <c r="H6758" s="3"/>
    </row>
    <row r="6759">
      <c r="A6759" s="2">
        <f>IFERROR(__xludf.DUMMYFUNCTION("""COMPUTED_VALUE"""),80736.0)</f>
        <v>80736</v>
      </c>
      <c r="B6759" s="3" t="str">
        <f>IFERROR(__xludf.DUMMYFUNCTION("""COMPUTED_VALUE"""),"16 MORAN DR ")</f>
        <v>16 MORAN DR </v>
      </c>
      <c r="C6759" s="3" t="str">
        <f>IFERROR(__xludf.DUMMYFUNCTION("""COMPUTED_VALUE"""),"BRIGHTON")</f>
        <v>BRIGHTON</v>
      </c>
      <c r="D6759" s="3" t="str">
        <f>IFERROR(__xludf.DUMMYFUNCTION("""COMPUTED_VALUE"""),"K0K 1H0")</f>
        <v>K0K 1H0</v>
      </c>
      <c r="E6759" s="3" t="str">
        <f>IFERROR(__xludf.DUMMYFUNCTION("""COMPUTED_VALUE"""),"Tyler Steane")</f>
        <v>Tyler Steane</v>
      </c>
      <c r="F6759" s="3" t="str">
        <f>IFERROR(__xludf.DUMMYFUNCTION("""COMPUTED_VALUE"""),"tyler_045@hotmail.com")</f>
        <v>tyler_045@hotmail.com</v>
      </c>
      <c r="G6759" s="3"/>
      <c r="H6759" s="3"/>
    </row>
    <row r="6760">
      <c r="A6760" s="2">
        <f>IFERROR(__xludf.DUMMYFUNCTION("""COMPUTED_VALUE"""),80737.0)</f>
        <v>80737</v>
      </c>
      <c r="B6760" s="3" t="str">
        <f>IFERROR(__xludf.DUMMYFUNCTION("""COMPUTED_VALUE"""),"17 MORAN DR ")</f>
        <v>17 MORAN DR </v>
      </c>
      <c r="C6760" s="3" t="str">
        <f>IFERROR(__xludf.DUMMYFUNCTION("""COMPUTED_VALUE"""),"BRIGHTON")</f>
        <v>BRIGHTON</v>
      </c>
      <c r="D6760" s="3" t="str">
        <f>IFERROR(__xludf.DUMMYFUNCTION("""COMPUTED_VALUE"""),"K0K 1H0")</f>
        <v>K0K 1H0</v>
      </c>
      <c r="E6760" s="3" t="str">
        <f>IFERROR(__xludf.DUMMYFUNCTION("""COMPUTED_VALUE"""),"Richard Caddick")</f>
        <v>Richard Caddick</v>
      </c>
      <c r="F6760" s="3" t="str">
        <f>IFERROR(__xludf.DUMMYFUNCTION("""COMPUTED_VALUE"""),"rcaddick202@gmail.com")</f>
        <v>rcaddick202@gmail.com</v>
      </c>
      <c r="G6760" s="3">
        <f>IFERROR(__xludf.DUMMYFUNCTION("""COMPUTED_VALUE"""),6.133914192E9)</f>
        <v>6133914192</v>
      </c>
      <c r="H6760" s="3">
        <f>IFERROR(__xludf.DUMMYFUNCTION("""COMPUTED_VALUE"""),7.055593514E9)</f>
        <v>7055593514</v>
      </c>
    </row>
    <row r="6761">
      <c r="A6761" s="2">
        <f>IFERROR(__xludf.DUMMYFUNCTION("""COMPUTED_VALUE"""),80738.0)</f>
        <v>80738</v>
      </c>
      <c r="B6761" s="3" t="str">
        <f>IFERROR(__xludf.DUMMYFUNCTION("""COMPUTED_VALUE"""),"18 MORAN DR ")</f>
        <v>18 MORAN DR </v>
      </c>
      <c r="C6761" s="3" t="str">
        <f>IFERROR(__xludf.DUMMYFUNCTION("""COMPUTED_VALUE"""),"BRIGHTON")</f>
        <v>BRIGHTON</v>
      </c>
      <c r="D6761" s="3" t="str">
        <f>IFERROR(__xludf.DUMMYFUNCTION("""COMPUTED_VALUE"""),"K0K 1H0")</f>
        <v>K0K 1H0</v>
      </c>
      <c r="E6761" s="3" t="str">
        <f>IFERROR(__xludf.DUMMYFUNCTION("""COMPUTED_VALUE"""),"Helen Kingston")</f>
        <v>Helen Kingston</v>
      </c>
      <c r="F6761" s="3" t="str">
        <f>IFERROR(__xludf.DUMMYFUNCTION("""COMPUTED_VALUE"""),"helenkingston52@gmail.com")</f>
        <v>helenkingston52@gmail.com</v>
      </c>
      <c r="G6761" s="3">
        <f>IFERROR(__xludf.DUMMYFUNCTION("""COMPUTED_VALUE"""),6.139211887E9)</f>
        <v>6139211887</v>
      </c>
      <c r="H6761" s="3"/>
    </row>
    <row r="6762">
      <c r="A6762" s="2">
        <f>IFERROR(__xludf.DUMMYFUNCTION("""COMPUTED_VALUE"""),80739.0)</f>
        <v>80739</v>
      </c>
      <c r="B6762" s="3" t="str">
        <f>IFERROR(__xludf.DUMMYFUNCTION("""COMPUTED_VALUE"""),"19 MORAN DR ")</f>
        <v>19 MORAN DR </v>
      </c>
      <c r="C6762" s="3" t="str">
        <f>IFERROR(__xludf.DUMMYFUNCTION("""COMPUTED_VALUE"""),"BRIGHTON")</f>
        <v>BRIGHTON</v>
      </c>
      <c r="D6762" s="3" t="str">
        <f>IFERROR(__xludf.DUMMYFUNCTION("""COMPUTED_VALUE"""),"K0K 1H0")</f>
        <v>K0K 1H0</v>
      </c>
      <c r="E6762" s="3" t="str">
        <f>IFERROR(__xludf.DUMMYFUNCTION("""COMPUTED_VALUE"""),"christi beauchamp")</f>
        <v>christi beauchamp</v>
      </c>
      <c r="F6762" s="3" t="str">
        <f>IFERROR(__xludf.DUMMYFUNCTION("""COMPUTED_VALUE"""),"djbeauchamp4@hotmail.com")</f>
        <v>djbeauchamp4@hotmail.com</v>
      </c>
      <c r="G6762" s="3">
        <f>IFERROR(__xludf.DUMMYFUNCTION("""COMPUTED_VALUE"""),9.052693804E9)</f>
        <v>9052693804</v>
      </c>
      <c r="H6762" s="3">
        <f>IFERROR(__xludf.DUMMYFUNCTION("""COMPUTED_VALUE"""),9.052608924E9)</f>
        <v>9052608924</v>
      </c>
    </row>
    <row r="6763">
      <c r="A6763" s="2">
        <f>IFERROR(__xludf.DUMMYFUNCTION("""COMPUTED_VALUE"""),80724.0)</f>
        <v>80724</v>
      </c>
      <c r="B6763" s="3" t="str">
        <f>IFERROR(__xludf.DUMMYFUNCTION("""COMPUTED_VALUE"""),"2 MORAN DR ")</f>
        <v>2 MORAN DR </v>
      </c>
      <c r="C6763" s="3" t="str">
        <f>IFERROR(__xludf.DUMMYFUNCTION("""COMPUTED_VALUE"""),"BRIGHTON")</f>
        <v>BRIGHTON</v>
      </c>
      <c r="D6763" s="3" t="str">
        <f>IFERROR(__xludf.DUMMYFUNCTION("""COMPUTED_VALUE"""),"K0K 1H0")</f>
        <v>K0K 1H0</v>
      </c>
      <c r="E6763" s="3" t="str">
        <f>IFERROR(__xludf.DUMMYFUNCTION("""COMPUTED_VALUE"""),"Kristin Carpenter")</f>
        <v>Kristin Carpenter</v>
      </c>
      <c r="F6763" s="3" t="str">
        <f>IFERROR(__xludf.DUMMYFUNCTION("""COMPUTED_VALUE"""),"kris_carpenter@outlook.com")</f>
        <v>kris_carpenter@outlook.com</v>
      </c>
      <c r="G6763" s="3">
        <f>IFERROR(__xludf.DUMMYFUNCTION("""COMPUTED_VALUE"""),9.054314301E9)</f>
        <v>9054314301</v>
      </c>
      <c r="H6763" s="3">
        <f>IFERROR(__xludf.DUMMYFUNCTION("""COMPUTED_VALUE"""),6.138486292E9)</f>
        <v>6138486292</v>
      </c>
    </row>
    <row r="6764">
      <c r="A6764" s="2">
        <f>IFERROR(__xludf.DUMMYFUNCTION("""COMPUTED_VALUE"""),80740.0)</f>
        <v>80740</v>
      </c>
      <c r="B6764" s="3" t="str">
        <f>IFERROR(__xludf.DUMMYFUNCTION("""COMPUTED_VALUE"""),"20 MORAN DR ")</f>
        <v>20 MORAN DR </v>
      </c>
      <c r="C6764" s="3" t="str">
        <f>IFERROR(__xludf.DUMMYFUNCTION("""COMPUTED_VALUE"""),"BRIGHTON")</f>
        <v>BRIGHTON</v>
      </c>
      <c r="D6764" s="3" t="str">
        <f>IFERROR(__xludf.DUMMYFUNCTION("""COMPUTED_VALUE"""),"K0K 1H0")</f>
        <v>K0K 1H0</v>
      </c>
      <c r="E6764" s="3" t="str">
        <f>IFERROR(__xludf.DUMMYFUNCTION("""COMPUTED_VALUE"""),"Ron Hachez")</f>
        <v>Ron Hachez</v>
      </c>
      <c r="F6764" s="3" t="str">
        <f>IFERROR(__xludf.DUMMYFUNCTION("""COMPUTED_VALUE"""),"ronhachez@gmail.com")</f>
        <v>ronhachez@gmail.com</v>
      </c>
      <c r="G6764" s="3">
        <f>IFERROR(__xludf.DUMMYFUNCTION("""COMPUTED_VALUE"""),6.133917824E9)</f>
        <v>6133917824</v>
      </c>
      <c r="H6764" s="3"/>
    </row>
    <row r="6765">
      <c r="A6765" s="2">
        <f>IFERROR(__xludf.DUMMYFUNCTION("""COMPUTED_VALUE"""),80741.0)</f>
        <v>80741</v>
      </c>
      <c r="B6765" s="3" t="str">
        <f>IFERROR(__xludf.DUMMYFUNCTION("""COMPUTED_VALUE"""),"21 MORAN DR ")</f>
        <v>21 MORAN DR </v>
      </c>
      <c r="C6765" s="3" t="str">
        <f>IFERROR(__xludf.DUMMYFUNCTION("""COMPUTED_VALUE"""),"BRIGHTON")</f>
        <v>BRIGHTON</v>
      </c>
      <c r="D6765" s="3" t="str">
        <f>IFERROR(__xludf.DUMMYFUNCTION("""COMPUTED_VALUE"""),"K0K 1H0")</f>
        <v>K0K 1H0</v>
      </c>
      <c r="E6765" s="3" t="str">
        <f>IFERROR(__xludf.DUMMYFUNCTION("""COMPUTED_VALUE"""),"Dan &amp; Judy Cottom ")</f>
        <v>Dan &amp; Judy Cottom </v>
      </c>
      <c r="F6765" s="3" t="str">
        <f>IFERROR(__xludf.DUMMYFUNCTION("""COMPUTED_VALUE"""),"dancottom@gmail.com;
judy.a.cottom@gmail.com")</f>
        <v>dancottom@gmail.com;
judy.a.cottom@gmail.com</v>
      </c>
      <c r="G6765" s="3"/>
      <c r="H6765" s="3"/>
    </row>
    <row r="6766">
      <c r="A6766" s="2">
        <f>IFERROR(__xludf.DUMMYFUNCTION("""COMPUTED_VALUE"""),80725.0)</f>
        <v>80725</v>
      </c>
      <c r="B6766" s="3" t="str">
        <f>IFERROR(__xludf.DUMMYFUNCTION("""COMPUTED_VALUE"""),"3 MORAN DR ")</f>
        <v>3 MORAN DR </v>
      </c>
      <c r="C6766" s="3" t="str">
        <f>IFERROR(__xludf.DUMMYFUNCTION("""COMPUTED_VALUE"""),"BRIGHTON")</f>
        <v>BRIGHTON</v>
      </c>
      <c r="D6766" s="3" t="str">
        <f>IFERROR(__xludf.DUMMYFUNCTION("""COMPUTED_VALUE"""),"K0K 1H0")</f>
        <v>K0K 1H0</v>
      </c>
      <c r="E6766" s="3" t="str">
        <f>IFERROR(__xludf.DUMMYFUNCTION("""COMPUTED_VALUE"""),"Douglas Gee")</f>
        <v>Douglas Gee</v>
      </c>
      <c r="F6766" s="3" t="str">
        <f>IFERROR(__xludf.DUMMYFUNCTION("""COMPUTED_VALUE"""),"gorbidmg@gmail.com")</f>
        <v>gorbidmg@gmail.com</v>
      </c>
      <c r="G6766" s="3"/>
      <c r="H6766" s="3"/>
    </row>
    <row r="6767">
      <c r="A6767" s="2">
        <f>IFERROR(__xludf.DUMMYFUNCTION("""COMPUTED_VALUE"""),80726.0)</f>
        <v>80726</v>
      </c>
      <c r="B6767" s="3" t="str">
        <f>IFERROR(__xludf.DUMMYFUNCTION("""COMPUTED_VALUE"""),"4 MORAN DR ")</f>
        <v>4 MORAN DR </v>
      </c>
      <c r="C6767" s="3" t="str">
        <f>IFERROR(__xludf.DUMMYFUNCTION("""COMPUTED_VALUE"""),"BRIGHTON")</f>
        <v>BRIGHTON</v>
      </c>
      <c r="D6767" s="3" t="str">
        <f>IFERROR(__xludf.DUMMYFUNCTION("""COMPUTED_VALUE"""),"K0K 1H0")</f>
        <v>K0K 1H0</v>
      </c>
      <c r="E6767" s="3" t="str">
        <f>IFERROR(__xludf.DUMMYFUNCTION("""COMPUTED_VALUE"""),"marilyn j phasey")</f>
        <v>marilyn j phasey</v>
      </c>
      <c r="F6767" s="3"/>
      <c r="G6767" s="3">
        <f>IFERROR(__xludf.DUMMYFUNCTION("""COMPUTED_VALUE"""),6.134750464E9)</f>
        <v>6134750464</v>
      </c>
      <c r="H6767" s="3"/>
    </row>
    <row r="6768">
      <c r="A6768" s="2">
        <f>IFERROR(__xludf.DUMMYFUNCTION("""COMPUTED_VALUE"""),80727.0)</f>
        <v>80727</v>
      </c>
      <c r="B6768" s="3" t="str">
        <f>IFERROR(__xludf.DUMMYFUNCTION("""COMPUTED_VALUE"""),"5 MORAN DR ")</f>
        <v>5 MORAN DR </v>
      </c>
      <c r="C6768" s="3" t="str">
        <f>IFERROR(__xludf.DUMMYFUNCTION("""COMPUTED_VALUE"""),"BRIGHTON")</f>
        <v>BRIGHTON</v>
      </c>
      <c r="D6768" s="3" t="str">
        <f>IFERROR(__xludf.DUMMYFUNCTION("""COMPUTED_VALUE"""),"K0K 1H0")</f>
        <v>K0K 1H0</v>
      </c>
      <c r="E6768" s="3" t="str">
        <f>IFERROR(__xludf.DUMMYFUNCTION("""COMPUTED_VALUE"""),"John DeGroot")</f>
        <v>John DeGroot</v>
      </c>
      <c r="F6768" s="3" t="str">
        <f>IFERROR(__xludf.DUMMYFUNCTION("""COMPUTED_VALUE"""),"johndingus@gmail.com")</f>
        <v>johndingus@gmail.com</v>
      </c>
      <c r="G6768" s="3">
        <f>IFERROR(__xludf.DUMMYFUNCTION("""COMPUTED_VALUE"""),6.137433475E9)</f>
        <v>6137433475</v>
      </c>
      <c r="H6768" s="3">
        <f>IFERROR(__xludf.DUMMYFUNCTION("""COMPUTED_VALUE"""),6.1347512622E10)</f>
        <v>61347512622</v>
      </c>
    </row>
    <row r="6769">
      <c r="A6769" s="2">
        <f>IFERROR(__xludf.DUMMYFUNCTION("""COMPUTED_VALUE"""),80728.0)</f>
        <v>80728</v>
      </c>
      <c r="B6769" s="3" t="str">
        <f>IFERROR(__xludf.DUMMYFUNCTION("""COMPUTED_VALUE"""),"6 MORAN DR ")</f>
        <v>6 MORAN DR </v>
      </c>
      <c r="C6769" s="3" t="str">
        <f>IFERROR(__xludf.DUMMYFUNCTION("""COMPUTED_VALUE"""),"BRIGHTON")</f>
        <v>BRIGHTON</v>
      </c>
      <c r="D6769" s="3" t="str">
        <f>IFERROR(__xludf.DUMMYFUNCTION("""COMPUTED_VALUE"""),"K0K 1H0")</f>
        <v>K0K 1H0</v>
      </c>
      <c r="E6769" s="3" t="str">
        <f>IFERROR(__xludf.DUMMYFUNCTION("""COMPUTED_VALUE"""),"Michael Worsfold")</f>
        <v>Michael Worsfold</v>
      </c>
      <c r="F6769" s="3" t="str">
        <f>IFERROR(__xludf.DUMMYFUNCTION("""COMPUTED_VALUE"""),"mworsfold28@gmail.com")</f>
        <v>mworsfold28@gmail.com</v>
      </c>
      <c r="G6769" s="3">
        <f>IFERROR(__xludf.DUMMYFUNCTION("""COMPUTED_VALUE"""),2.892007883E9)</f>
        <v>2892007883</v>
      </c>
      <c r="H6769" s="3">
        <f>IFERROR(__xludf.DUMMYFUNCTION("""COMPUTED_VALUE"""),9.053767571E9)</f>
        <v>9053767571</v>
      </c>
    </row>
    <row r="6770">
      <c r="A6770" s="2">
        <f>IFERROR(__xludf.DUMMYFUNCTION("""COMPUTED_VALUE"""),80729.0)</f>
        <v>80729</v>
      </c>
      <c r="B6770" s="3" t="str">
        <f>IFERROR(__xludf.DUMMYFUNCTION("""COMPUTED_VALUE"""),"7 MORAN DR ")</f>
        <v>7 MORAN DR </v>
      </c>
      <c r="C6770" s="3" t="str">
        <f>IFERROR(__xludf.DUMMYFUNCTION("""COMPUTED_VALUE"""),"BRIGHTON")</f>
        <v>BRIGHTON</v>
      </c>
      <c r="D6770" s="3" t="str">
        <f>IFERROR(__xludf.DUMMYFUNCTION("""COMPUTED_VALUE"""),"K0K 1H0")</f>
        <v>K0K 1H0</v>
      </c>
      <c r="E6770" s="3" t="str">
        <f>IFERROR(__xludf.DUMMYFUNCTION("""COMPUTED_VALUE"""),"Myranda Van Egmond")</f>
        <v>Myranda Van Egmond</v>
      </c>
      <c r="F6770" s="3" t="str">
        <f>IFERROR(__xludf.DUMMYFUNCTION("""COMPUTED_VALUE"""),"myr_vanfrance@hotmail.com")</f>
        <v>myr_vanfrance@hotmail.com</v>
      </c>
      <c r="G6770" s="3">
        <f>IFERROR(__xludf.DUMMYFUNCTION("""COMPUTED_VALUE"""),6.132438943E9)</f>
        <v>6132438943</v>
      </c>
      <c r="H6770" s="3"/>
    </row>
    <row r="6771">
      <c r="A6771" s="2">
        <f>IFERROR(__xludf.DUMMYFUNCTION("""COMPUTED_VALUE"""),80730.0)</f>
        <v>80730</v>
      </c>
      <c r="B6771" s="3" t="str">
        <f>IFERROR(__xludf.DUMMYFUNCTION("""COMPUTED_VALUE"""),"9 MORAN DR ")</f>
        <v>9 MORAN DR </v>
      </c>
      <c r="C6771" s="3" t="str">
        <f>IFERROR(__xludf.DUMMYFUNCTION("""COMPUTED_VALUE"""),"BRIGHTON")</f>
        <v>BRIGHTON</v>
      </c>
      <c r="D6771" s="3" t="str">
        <f>IFERROR(__xludf.DUMMYFUNCTION("""COMPUTED_VALUE"""),"K0K 1H0")</f>
        <v>K0K 1H0</v>
      </c>
      <c r="E6771" s="3" t="str">
        <f>IFERROR(__xludf.DUMMYFUNCTION("""COMPUTED_VALUE"""),"Shawn Lucas")</f>
        <v>Shawn Lucas</v>
      </c>
      <c r="F6771" s="3" t="str">
        <f>IFERROR(__xludf.DUMMYFUNCTION("""COMPUTED_VALUE"""),"caged.tortuga@gmail.com")</f>
        <v>caged.tortuga@gmail.com</v>
      </c>
      <c r="G6771" s="3">
        <f>IFERROR(__xludf.DUMMYFUNCTION("""COMPUTED_VALUE"""),6.136610588E9)</f>
        <v>6136610588</v>
      </c>
      <c r="H6771" s="3"/>
    </row>
    <row r="6772">
      <c r="A6772" s="2">
        <f>IFERROR(__xludf.DUMMYFUNCTION("""COMPUTED_VALUE"""),80742.0)</f>
        <v>80742</v>
      </c>
      <c r="B6772" s="3" t="str">
        <f>IFERROR(__xludf.DUMMYFUNCTION("""COMPUTED_VALUE"""),"185 MUTTON RD ")</f>
        <v>185 MUTTON RD </v>
      </c>
      <c r="C6772" s="3" t="str">
        <f>IFERROR(__xludf.DUMMYFUNCTION("""COMPUTED_VALUE"""),"COLBORNE")</f>
        <v>COLBORNE</v>
      </c>
      <c r="D6772" s="3" t="str">
        <f>IFERROR(__xludf.DUMMYFUNCTION("""COMPUTED_VALUE"""),"K0K 1S0")</f>
        <v>K0K 1S0</v>
      </c>
      <c r="E6772" s="3"/>
      <c r="F6772" s="3"/>
      <c r="G6772" s="3"/>
      <c r="H6772" s="3"/>
    </row>
    <row r="6773">
      <c r="A6773" s="2">
        <f>IFERROR(__xludf.DUMMYFUNCTION("""COMPUTED_VALUE"""),80743.0)</f>
        <v>80743</v>
      </c>
      <c r="B6773" s="3" t="str">
        <f>IFERROR(__xludf.DUMMYFUNCTION("""COMPUTED_VALUE"""),"448 MUTTON RD ")</f>
        <v>448 MUTTON RD </v>
      </c>
      <c r="C6773" s="3" t="str">
        <f>IFERROR(__xludf.DUMMYFUNCTION("""COMPUTED_VALUE"""),"COLBORNE")</f>
        <v>COLBORNE</v>
      </c>
      <c r="D6773" s="3" t="str">
        <f>IFERROR(__xludf.DUMMYFUNCTION("""COMPUTED_VALUE"""),"K0K 1S0")</f>
        <v>K0K 1S0</v>
      </c>
      <c r="E6773" s="3"/>
      <c r="F6773" s="3"/>
      <c r="G6773" s="3"/>
      <c r="H6773" s="3"/>
    </row>
    <row r="6774">
      <c r="A6774" s="2">
        <f>IFERROR(__xludf.DUMMYFUNCTION("""COMPUTED_VALUE"""),80744.0)</f>
        <v>80744</v>
      </c>
      <c r="B6774" s="3" t="str">
        <f>IFERROR(__xludf.DUMMYFUNCTION("""COMPUTED_VALUE"""),"449 MUTTON RD ")</f>
        <v>449 MUTTON RD </v>
      </c>
      <c r="C6774" s="3" t="str">
        <f>IFERROR(__xludf.DUMMYFUNCTION("""COMPUTED_VALUE"""),"COLBORNE")</f>
        <v>COLBORNE</v>
      </c>
      <c r="D6774" s="3" t="str">
        <f>IFERROR(__xludf.DUMMYFUNCTION("""COMPUTED_VALUE"""),"K0K 1S0")</f>
        <v>K0K 1S0</v>
      </c>
      <c r="E6774" s="3"/>
      <c r="F6774" s="3"/>
      <c r="G6774" s="3"/>
      <c r="H6774" s="3"/>
    </row>
    <row r="6775">
      <c r="A6775" s="2">
        <f>IFERROR(__xludf.DUMMYFUNCTION("""COMPUTED_VALUE"""),80782.0)</f>
        <v>80782</v>
      </c>
      <c r="B6775" s="3" t="str">
        <f>IFERROR(__xludf.DUMMYFUNCTION("""COMPUTED_VALUE"""),"1033 OLD WOOLER RD ")</f>
        <v>1033 OLD WOOLER RD </v>
      </c>
      <c r="C6775" s="3" t="str">
        <f>IFERROR(__xludf.DUMMYFUNCTION("""COMPUTED_VALUE"""),"CODRINGTON")</f>
        <v>CODRINGTON</v>
      </c>
      <c r="D6775" s="3" t="str">
        <f>IFERROR(__xludf.DUMMYFUNCTION("""COMPUTED_VALUE"""),"K0K 1R0")</f>
        <v>K0K 1R0</v>
      </c>
      <c r="E6775" s="3" t="str">
        <f>IFERROR(__xludf.DUMMYFUNCTION("""COMPUTED_VALUE"""),"Daniel Nelson")</f>
        <v>Daniel Nelson</v>
      </c>
      <c r="F6775" s="3" t="str">
        <f>IFERROR(__xludf.DUMMYFUNCTION("""COMPUTED_VALUE"""),"info@danielnelson.ca")</f>
        <v>info@danielnelson.ca</v>
      </c>
      <c r="G6775" s="3">
        <f>IFERROR(__xludf.DUMMYFUNCTION("""COMPUTED_VALUE"""),4.163885936E9)</f>
        <v>4163885936</v>
      </c>
      <c r="H6775" s="3"/>
    </row>
    <row r="6776">
      <c r="A6776" s="2">
        <f>IFERROR(__xludf.DUMMYFUNCTION("""COMPUTED_VALUE"""),80745.0)</f>
        <v>80745</v>
      </c>
      <c r="B6776" s="3" t="str">
        <f>IFERROR(__xludf.DUMMYFUNCTION("""COMPUTED_VALUE"""),"108 OLD WOOLER RD ")</f>
        <v>108 OLD WOOLER RD </v>
      </c>
      <c r="C6776" s="3" t="str">
        <f>IFERROR(__xludf.DUMMYFUNCTION("""COMPUTED_VALUE"""),"CODRINGTON")</f>
        <v>CODRINGTON</v>
      </c>
      <c r="D6776" s="3" t="str">
        <f>IFERROR(__xludf.DUMMYFUNCTION("""COMPUTED_VALUE"""),"K0K 1R0")</f>
        <v>K0K 1R0</v>
      </c>
      <c r="E6776" s="3" t="str">
        <f>IFERROR(__xludf.DUMMYFUNCTION("""COMPUTED_VALUE"""),"joseph scannali")</f>
        <v>joseph scannali</v>
      </c>
      <c r="F6776" s="3" t="str">
        <f>IFERROR(__xludf.DUMMYFUNCTION("""COMPUTED_VALUE"""),"jscannali@gmail.com")</f>
        <v>jscannali@gmail.com</v>
      </c>
      <c r="G6776" s="3">
        <f>IFERROR(__xludf.DUMMYFUNCTION("""COMPUTED_VALUE"""),6.138855308E9)</f>
        <v>6138855308</v>
      </c>
      <c r="H6776" s="3"/>
    </row>
    <row r="6777">
      <c r="A6777" s="2">
        <f>IFERROR(__xludf.DUMMYFUNCTION("""COMPUTED_VALUE"""),80746.0)</f>
        <v>80746</v>
      </c>
      <c r="B6777" s="3" t="str">
        <f>IFERROR(__xludf.DUMMYFUNCTION("""COMPUTED_VALUE"""),"222 OLD WOOLER RD ")</f>
        <v>222 OLD WOOLER RD </v>
      </c>
      <c r="C6777" s="3" t="str">
        <f>IFERROR(__xludf.DUMMYFUNCTION("""COMPUTED_VALUE"""),"CODRINGTON")</f>
        <v>CODRINGTON</v>
      </c>
      <c r="D6777" s="3" t="str">
        <f>IFERROR(__xludf.DUMMYFUNCTION("""COMPUTED_VALUE"""),"K0K 1R0")</f>
        <v>K0K 1R0</v>
      </c>
      <c r="E6777" s="3"/>
      <c r="F6777" s="3"/>
      <c r="G6777" s="3"/>
      <c r="H6777" s="3"/>
    </row>
    <row r="6778">
      <c r="A6778" s="2">
        <f>IFERROR(__xludf.DUMMYFUNCTION("""COMPUTED_VALUE"""),80747.0)</f>
        <v>80747</v>
      </c>
      <c r="B6778" s="3" t="str">
        <f>IFERROR(__xludf.DUMMYFUNCTION("""COMPUTED_VALUE"""),"230 OLD WOOLER RD ")</f>
        <v>230 OLD WOOLER RD </v>
      </c>
      <c r="C6778" s="3" t="str">
        <f>IFERROR(__xludf.DUMMYFUNCTION("""COMPUTED_VALUE"""),"CODRINGTON")</f>
        <v>CODRINGTON</v>
      </c>
      <c r="D6778" s="3" t="str">
        <f>IFERROR(__xludf.DUMMYFUNCTION("""COMPUTED_VALUE"""),"K0K 1R0")</f>
        <v>K0K 1R0</v>
      </c>
      <c r="E6778" s="3" t="str">
        <f>IFERROR(__xludf.DUMMYFUNCTION("""COMPUTED_VALUE"""),"Lynn McNichol")</f>
        <v>Lynn McNichol</v>
      </c>
      <c r="F6778" s="3" t="str">
        <f>IFERROR(__xludf.DUMMYFUNCTION("""COMPUTED_VALUE"""),"lynnymcnic@gmail.com")</f>
        <v>lynnymcnic@gmail.com</v>
      </c>
      <c r="G6778" s="3">
        <f>IFERROR(__xludf.DUMMYFUNCTION("""COMPUTED_VALUE"""),6.138485668E9)</f>
        <v>6138485668</v>
      </c>
      <c r="H6778" s="3">
        <f>IFERROR(__xludf.DUMMYFUNCTION("""COMPUTED_VALUE"""),6.134750635E9)</f>
        <v>6134750635</v>
      </c>
    </row>
    <row r="6779">
      <c r="A6779" s="2">
        <f>IFERROR(__xludf.DUMMYFUNCTION("""COMPUTED_VALUE"""),80748.0)</f>
        <v>80748</v>
      </c>
      <c r="B6779" s="3" t="str">
        <f>IFERROR(__xludf.DUMMYFUNCTION("""COMPUTED_VALUE"""),"240 OLD WOOLER RD ")</f>
        <v>240 OLD WOOLER RD </v>
      </c>
      <c r="C6779" s="3" t="str">
        <f>IFERROR(__xludf.DUMMYFUNCTION("""COMPUTED_VALUE"""),"CODRINGTON")</f>
        <v>CODRINGTON</v>
      </c>
      <c r="D6779" s="3" t="str">
        <f>IFERROR(__xludf.DUMMYFUNCTION("""COMPUTED_VALUE"""),"K0K 1R0")</f>
        <v>K0K 1R0</v>
      </c>
      <c r="E6779" s="3" t="str">
        <f>IFERROR(__xludf.DUMMYFUNCTION("""COMPUTED_VALUE"""),"Jeffery Edwards")</f>
        <v>Jeffery Edwards</v>
      </c>
      <c r="F6779" s="3" t="str">
        <f>IFERROR(__xludf.DUMMYFUNCTION("""COMPUTED_VALUE"""),"jkedwards287@gmail.com")</f>
        <v>jkedwards287@gmail.com</v>
      </c>
      <c r="G6779" s="3">
        <f>IFERROR(__xludf.DUMMYFUNCTION("""COMPUTED_VALUE"""),2.049553287E9)</f>
        <v>2049553287</v>
      </c>
      <c r="H6779" s="3"/>
    </row>
    <row r="6780">
      <c r="A6780" s="2">
        <f>IFERROR(__xludf.DUMMYFUNCTION("""COMPUTED_VALUE"""),80749.0)</f>
        <v>80749</v>
      </c>
      <c r="B6780" s="3" t="str">
        <f>IFERROR(__xludf.DUMMYFUNCTION("""COMPUTED_VALUE"""),"254 OLD WOOLER RD ")</f>
        <v>254 OLD WOOLER RD </v>
      </c>
      <c r="C6780" s="3" t="str">
        <f>IFERROR(__xludf.DUMMYFUNCTION("""COMPUTED_VALUE"""),"CODRINGTON")</f>
        <v>CODRINGTON</v>
      </c>
      <c r="D6780" s="3" t="str">
        <f>IFERROR(__xludf.DUMMYFUNCTION("""COMPUTED_VALUE"""),"K0K 1R0")</f>
        <v>K0K 1R0</v>
      </c>
      <c r="E6780" s="3" t="str">
        <f>IFERROR(__xludf.DUMMYFUNCTION("""COMPUTED_VALUE"""),"Jeff Boomhouwer &amp; Tania Light ")</f>
        <v>Jeff Boomhouwer &amp; Tania Light </v>
      </c>
      <c r="F6780" s="3" t="str">
        <f>IFERROR(__xludf.DUMMYFUNCTION("""COMPUTED_VALUE"""),"tanialight@gmail.com")</f>
        <v>tanialight@gmail.com</v>
      </c>
      <c r="G6780" s="3"/>
      <c r="H6780" s="3"/>
    </row>
    <row r="6781">
      <c r="A6781" s="2">
        <f>IFERROR(__xludf.DUMMYFUNCTION("""COMPUTED_VALUE"""),80750.0)</f>
        <v>80750</v>
      </c>
      <c r="B6781" s="3" t="str">
        <f>IFERROR(__xludf.DUMMYFUNCTION("""COMPUTED_VALUE"""),"268 OLD WOOLER RD ")</f>
        <v>268 OLD WOOLER RD </v>
      </c>
      <c r="C6781" s="3" t="str">
        <f>IFERROR(__xludf.DUMMYFUNCTION("""COMPUTED_VALUE"""),"CODRINGTON")</f>
        <v>CODRINGTON</v>
      </c>
      <c r="D6781" s="3" t="str">
        <f>IFERROR(__xludf.DUMMYFUNCTION("""COMPUTED_VALUE"""),"K0K 1R0")</f>
        <v>K0K 1R0</v>
      </c>
      <c r="E6781" s="3"/>
      <c r="F6781" s="3"/>
      <c r="G6781" s="3"/>
      <c r="H6781" s="3"/>
    </row>
    <row r="6782">
      <c r="A6782" s="2">
        <f>IFERROR(__xludf.DUMMYFUNCTION("""COMPUTED_VALUE"""),80751.0)</f>
        <v>80751</v>
      </c>
      <c r="B6782" s="3" t="str">
        <f>IFERROR(__xludf.DUMMYFUNCTION("""COMPUTED_VALUE"""),"292 OLD WOOLER RD ")</f>
        <v>292 OLD WOOLER RD </v>
      </c>
      <c r="C6782" s="3" t="str">
        <f>IFERROR(__xludf.DUMMYFUNCTION("""COMPUTED_VALUE"""),"CODRINGTON")</f>
        <v>CODRINGTON</v>
      </c>
      <c r="D6782" s="3" t="str">
        <f>IFERROR(__xludf.DUMMYFUNCTION("""COMPUTED_VALUE"""),"K0K 1R0")</f>
        <v>K0K 1R0</v>
      </c>
      <c r="E6782" s="3"/>
      <c r="F6782" s="3"/>
      <c r="G6782" s="3"/>
      <c r="H6782" s="3"/>
    </row>
    <row r="6783">
      <c r="A6783" s="2">
        <f>IFERROR(__xludf.DUMMYFUNCTION("""COMPUTED_VALUE"""),80752.0)</f>
        <v>80752</v>
      </c>
      <c r="B6783" s="3" t="str">
        <f>IFERROR(__xludf.DUMMYFUNCTION("""COMPUTED_VALUE"""),"331 OLD WOOLER RD ")</f>
        <v>331 OLD WOOLER RD </v>
      </c>
      <c r="C6783" s="3" t="str">
        <f>IFERROR(__xludf.DUMMYFUNCTION("""COMPUTED_VALUE"""),"CODRINGTON")</f>
        <v>CODRINGTON</v>
      </c>
      <c r="D6783" s="3" t="str">
        <f>IFERROR(__xludf.DUMMYFUNCTION("""COMPUTED_VALUE"""),"K0K 1R0")</f>
        <v>K0K 1R0</v>
      </c>
      <c r="E6783" s="3" t="str">
        <f>IFERROR(__xludf.DUMMYFUNCTION("""COMPUTED_VALUE"""),"yan skoba ")</f>
        <v>yan skoba </v>
      </c>
      <c r="F6783" s="3" t="str">
        <f>IFERROR(__xludf.DUMMYFUNCTION("""COMPUTED_VALUE"""),"yrskoba@gmail.com")</f>
        <v>yrskoba@gmail.com</v>
      </c>
      <c r="G6783" s="3">
        <f>IFERROR(__xludf.DUMMYFUNCTION("""COMPUTED_VALUE"""),6.134755559E9)</f>
        <v>6134755559</v>
      </c>
      <c r="H6783" s="3">
        <f>IFERROR(__xludf.DUMMYFUNCTION("""COMPUTED_VALUE"""),6.472706979E9)</f>
        <v>6472706979</v>
      </c>
    </row>
    <row r="6784">
      <c r="A6784" s="2">
        <f>IFERROR(__xludf.DUMMYFUNCTION("""COMPUTED_VALUE"""),80753.0)</f>
        <v>80753</v>
      </c>
      <c r="B6784" s="3" t="str">
        <f>IFERROR(__xludf.DUMMYFUNCTION("""COMPUTED_VALUE"""),"340 OLD WOOLER RD ")</f>
        <v>340 OLD WOOLER RD </v>
      </c>
      <c r="C6784" s="3" t="str">
        <f>IFERROR(__xludf.DUMMYFUNCTION("""COMPUTED_VALUE"""),"CODRINGTON")</f>
        <v>CODRINGTON</v>
      </c>
      <c r="D6784" s="3" t="str">
        <f>IFERROR(__xludf.DUMMYFUNCTION("""COMPUTED_VALUE"""),"K0K 1R0")</f>
        <v>K0K 1R0</v>
      </c>
      <c r="E6784" s="3" t="str">
        <f>IFERROR(__xludf.DUMMYFUNCTION("""COMPUTED_VALUE"""),"catherine firth")</f>
        <v>catherine firth</v>
      </c>
      <c r="F6784" s="3" t="str">
        <f>IFERROR(__xludf.DUMMYFUNCTION("""COMPUTED_VALUE"""),"pricklypaws@yahoo.com")</f>
        <v>pricklypaws@yahoo.com</v>
      </c>
      <c r="G6784" s="3">
        <f>IFERROR(__xludf.DUMMYFUNCTION("""COMPUTED_VALUE"""),6.134750517E9)</f>
        <v>6134750517</v>
      </c>
      <c r="H6784" s="3">
        <f>IFERROR(__xludf.DUMMYFUNCTION("""COMPUTED_VALUE"""),6.1139227395E10)</f>
        <v>61139227395</v>
      </c>
    </row>
    <row r="6785">
      <c r="A6785" s="2">
        <f>IFERROR(__xludf.DUMMYFUNCTION("""COMPUTED_VALUE"""),80754.0)</f>
        <v>80754</v>
      </c>
      <c r="B6785" s="3" t="str">
        <f>IFERROR(__xludf.DUMMYFUNCTION("""COMPUTED_VALUE"""),"370 OLD WOOLER RD ")</f>
        <v>370 OLD WOOLER RD </v>
      </c>
      <c r="C6785" s="3" t="str">
        <f>IFERROR(__xludf.DUMMYFUNCTION("""COMPUTED_VALUE"""),"CODRINGTON")</f>
        <v>CODRINGTON</v>
      </c>
      <c r="D6785" s="3" t="str">
        <f>IFERROR(__xludf.DUMMYFUNCTION("""COMPUTED_VALUE"""),"K0K 1R0")</f>
        <v>K0K 1R0</v>
      </c>
      <c r="E6785" s="3" t="str">
        <f>IFERROR(__xludf.DUMMYFUNCTION("""COMPUTED_VALUE"""),"Ray Davies")</f>
        <v>Ray Davies</v>
      </c>
      <c r="F6785" s="3" t="str">
        <f>IFERROR(__xludf.DUMMYFUNCTION("""COMPUTED_VALUE"""),"ray_d@outlook.com")</f>
        <v>ray_d@outlook.com</v>
      </c>
      <c r="G6785" s="3">
        <f>IFERROR(__xludf.DUMMYFUNCTION("""COMPUTED_VALUE"""),6.472217233E9)</f>
        <v>6472217233</v>
      </c>
      <c r="H6785" s="3"/>
    </row>
    <row r="6786">
      <c r="A6786" s="2">
        <f>IFERROR(__xludf.DUMMYFUNCTION("""COMPUTED_VALUE"""),80797.0)</f>
        <v>80797</v>
      </c>
      <c r="B6786" s="3" t="str">
        <f>IFERROR(__xludf.DUMMYFUNCTION("""COMPUTED_VALUE"""),"373A OLD WOOLER RD ")</f>
        <v>373A OLD WOOLER RD </v>
      </c>
      <c r="C6786" s="3" t="str">
        <f>IFERROR(__xludf.DUMMYFUNCTION("""COMPUTED_VALUE"""),"CODRINGTON")</f>
        <v>CODRINGTON</v>
      </c>
      <c r="D6786" s="3" t="str">
        <f>IFERROR(__xludf.DUMMYFUNCTION("""COMPUTED_VALUE"""),"K0K 1R0")</f>
        <v>K0K 1R0</v>
      </c>
      <c r="E6786" s="3" t="str">
        <f>IFERROR(__xludf.DUMMYFUNCTION("""COMPUTED_VALUE"""),"mike samuels ")</f>
        <v>mike samuels </v>
      </c>
      <c r="F6786" s="3"/>
      <c r="G6786" s="3">
        <f>IFERROR(__xludf.DUMMYFUNCTION("""COMPUTED_VALUE"""),4.163032239E9)</f>
        <v>4163032239</v>
      </c>
      <c r="H6786" s="3"/>
    </row>
    <row r="6787">
      <c r="A6787" s="2">
        <f>IFERROR(__xludf.DUMMYFUNCTION("""COMPUTED_VALUE"""),80798.0)</f>
        <v>80798</v>
      </c>
      <c r="B6787" s="3" t="str">
        <f>IFERROR(__xludf.DUMMYFUNCTION("""COMPUTED_VALUE"""),"373B OLD WOOLER RD ")</f>
        <v>373B OLD WOOLER RD </v>
      </c>
      <c r="C6787" s="3" t="str">
        <f>IFERROR(__xludf.DUMMYFUNCTION("""COMPUTED_VALUE"""),"CODRINGTON")</f>
        <v>CODRINGTON</v>
      </c>
      <c r="D6787" s="3" t="str">
        <f>IFERROR(__xludf.DUMMYFUNCTION("""COMPUTED_VALUE"""),"K0K 1R0")</f>
        <v>K0K 1R0</v>
      </c>
      <c r="E6787" s="3" t="str">
        <f>IFERROR(__xludf.DUMMYFUNCTION("""COMPUTED_VALUE"""),"Tracey Carriere and Ian Lok")</f>
        <v>Tracey Carriere and Ian Lok</v>
      </c>
      <c r="F6787" s="3" t="str">
        <f>IFERROR(__xludf.DUMMYFUNCTION("""COMPUTED_VALUE"""),"traceyandian@sympatioc.ca")</f>
        <v>traceyandian@sympatioc.ca</v>
      </c>
      <c r="G6787" s="3">
        <f>IFERROR(__xludf.DUMMYFUNCTION("""COMPUTED_VALUE"""),6.134751351E9)</f>
        <v>6134751351</v>
      </c>
      <c r="H6787" s="3"/>
    </row>
    <row r="6788">
      <c r="A6788" s="2">
        <f>IFERROR(__xludf.DUMMYFUNCTION("""COMPUTED_VALUE"""),80755.0)</f>
        <v>80755</v>
      </c>
      <c r="B6788" s="3" t="str">
        <f>IFERROR(__xludf.DUMMYFUNCTION("""COMPUTED_VALUE"""),"398 OLD WOOLER RD ")</f>
        <v>398 OLD WOOLER RD </v>
      </c>
      <c r="C6788" s="3" t="str">
        <f>IFERROR(__xludf.DUMMYFUNCTION("""COMPUTED_VALUE"""),"CODRINGTON")</f>
        <v>CODRINGTON</v>
      </c>
      <c r="D6788" s="3" t="str">
        <f>IFERROR(__xludf.DUMMYFUNCTION("""COMPUTED_VALUE"""),"K0K 1R0")</f>
        <v>K0K 1R0</v>
      </c>
      <c r="E6788" s="3" t="str">
        <f>IFERROR(__xludf.DUMMYFUNCTION("""COMPUTED_VALUE"""),"madison almond")</f>
        <v>madison almond</v>
      </c>
      <c r="F6788" s="3" t="str">
        <f>IFERROR(__xludf.DUMMYFUNCTION("""COMPUTED_VALUE"""),"madisonalmond55@gmail.com")</f>
        <v>madisonalmond55@gmail.com</v>
      </c>
      <c r="G6788" s="3">
        <f>IFERROR(__xludf.DUMMYFUNCTION("""COMPUTED_VALUE"""),9.059256544E9)</f>
        <v>9059256544</v>
      </c>
      <c r="H6788" s="3"/>
    </row>
    <row r="6789">
      <c r="A6789" s="2">
        <f>IFERROR(__xludf.DUMMYFUNCTION("""COMPUTED_VALUE"""),80756.0)</f>
        <v>80756</v>
      </c>
      <c r="B6789" s="3" t="str">
        <f>IFERROR(__xludf.DUMMYFUNCTION("""COMPUTED_VALUE"""),"400 OLD WOOLER RD ")</f>
        <v>400 OLD WOOLER RD </v>
      </c>
      <c r="C6789" s="3" t="str">
        <f>IFERROR(__xludf.DUMMYFUNCTION("""COMPUTED_VALUE"""),"CODRINGTON")</f>
        <v>CODRINGTON</v>
      </c>
      <c r="D6789" s="3" t="str">
        <f>IFERROR(__xludf.DUMMYFUNCTION("""COMPUTED_VALUE"""),"K0K 1R0")</f>
        <v>K0K 1R0</v>
      </c>
      <c r="E6789" s="3" t="str">
        <f>IFERROR(__xludf.DUMMYFUNCTION("""COMPUTED_VALUE"""),"Kaj Johansen")</f>
        <v>Kaj Johansen</v>
      </c>
      <c r="F6789" s="3" t="str">
        <f>IFERROR(__xludf.DUMMYFUNCTION("""COMPUTED_VALUE"""),"loisaggerholm@gmail.com")</f>
        <v>loisaggerholm@gmail.com</v>
      </c>
      <c r="G6789" s="3"/>
      <c r="H6789" s="3"/>
    </row>
    <row r="6790">
      <c r="A6790" s="2">
        <f>IFERROR(__xludf.DUMMYFUNCTION("""COMPUTED_VALUE"""),80757.0)</f>
        <v>80757</v>
      </c>
      <c r="B6790" s="3" t="str">
        <f>IFERROR(__xludf.DUMMYFUNCTION("""COMPUTED_VALUE"""),"416 OLD WOOLER RD ")</f>
        <v>416 OLD WOOLER RD </v>
      </c>
      <c r="C6790" s="3" t="str">
        <f>IFERROR(__xludf.DUMMYFUNCTION("""COMPUTED_VALUE"""),"CODRINGTON")</f>
        <v>CODRINGTON</v>
      </c>
      <c r="D6790" s="3" t="str">
        <f>IFERROR(__xludf.DUMMYFUNCTION("""COMPUTED_VALUE"""),"K0K 1R0")</f>
        <v>K0K 1R0</v>
      </c>
      <c r="E6790" s="3" t="str">
        <f>IFERROR(__xludf.DUMMYFUNCTION("""COMPUTED_VALUE"""),"Curtis")</f>
        <v>Curtis</v>
      </c>
      <c r="F6790" s="3" t="str">
        <f>IFERROR(__xludf.DUMMYFUNCTION("""COMPUTED_VALUE"""),"curtgalindo@gmail.com")</f>
        <v>curtgalindo@gmail.com</v>
      </c>
      <c r="G6790" s="3">
        <f>IFERROR(__xludf.DUMMYFUNCTION("""COMPUTED_VALUE"""),6.47202258E9)</f>
        <v>6472022580</v>
      </c>
      <c r="H6790" s="3">
        <f>IFERROR(__xludf.DUMMYFUNCTION("""COMPUTED_VALUE"""),6.47588416E9)</f>
        <v>6475884160</v>
      </c>
    </row>
    <row r="6791">
      <c r="A6791" s="2">
        <f>IFERROR(__xludf.DUMMYFUNCTION("""COMPUTED_VALUE"""),80758.0)</f>
        <v>80758</v>
      </c>
      <c r="B6791" s="3" t="str">
        <f>IFERROR(__xludf.DUMMYFUNCTION("""COMPUTED_VALUE"""),"435 OLD WOOLER RD ")</f>
        <v>435 OLD WOOLER RD </v>
      </c>
      <c r="C6791" s="3" t="str">
        <f>IFERROR(__xludf.DUMMYFUNCTION("""COMPUTED_VALUE"""),"CODRINGTON")</f>
        <v>CODRINGTON</v>
      </c>
      <c r="D6791" s="3" t="str">
        <f>IFERROR(__xludf.DUMMYFUNCTION("""COMPUTED_VALUE"""),"K0K 1R0")</f>
        <v>K0K 1R0</v>
      </c>
      <c r="E6791" s="3" t="str">
        <f>IFERROR(__xludf.DUMMYFUNCTION("""COMPUTED_VALUE"""),"Christopher Colmer")</f>
        <v>Christopher Colmer</v>
      </c>
      <c r="F6791" s="3" t="str">
        <f>IFERROR(__xludf.DUMMYFUNCTION("""COMPUTED_VALUE"""),"ctcolmer@gmail.com")</f>
        <v>ctcolmer@gmail.com</v>
      </c>
      <c r="G6791" s="3">
        <f>IFERROR(__xludf.DUMMYFUNCTION("""COMPUTED_VALUE"""),6.472393065E9)</f>
        <v>6472393065</v>
      </c>
      <c r="H6791" s="3"/>
    </row>
    <row r="6792">
      <c r="A6792" s="2">
        <f>IFERROR(__xludf.DUMMYFUNCTION("""COMPUTED_VALUE"""),80759.0)</f>
        <v>80759</v>
      </c>
      <c r="B6792" s="3" t="str">
        <f>IFERROR(__xludf.DUMMYFUNCTION("""COMPUTED_VALUE"""),"448 OLD WOOLER RD ")</f>
        <v>448 OLD WOOLER RD </v>
      </c>
      <c r="C6792" s="3" t="str">
        <f>IFERROR(__xludf.DUMMYFUNCTION("""COMPUTED_VALUE"""),"CODRINGTON")</f>
        <v>CODRINGTON</v>
      </c>
      <c r="D6792" s="3" t="str">
        <f>IFERROR(__xludf.DUMMYFUNCTION("""COMPUTED_VALUE"""),"K0K 1R0")</f>
        <v>K0K 1R0</v>
      </c>
      <c r="E6792" s="3" t="str">
        <f>IFERROR(__xludf.DUMMYFUNCTION("""COMPUTED_VALUE"""),"andre lopine")</f>
        <v>andre lopine</v>
      </c>
      <c r="F6792" s="3" t="str">
        <f>IFERROR(__xludf.DUMMYFUNCTION("""COMPUTED_VALUE"""),"info@lotushealthcenter.ca")</f>
        <v>info@lotushealthcenter.ca</v>
      </c>
      <c r="G6792" s="3">
        <f>IFERROR(__xludf.DUMMYFUNCTION("""COMPUTED_VALUE"""),4.162710796E9)</f>
        <v>4162710796</v>
      </c>
      <c r="H6792" s="3"/>
    </row>
    <row r="6793">
      <c r="A6793" s="2">
        <f>IFERROR(__xludf.DUMMYFUNCTION("""COMPUTED_VALUE"""),80760.0)</f>
        <v>80760</v>
      </c>
      <c r="B6793" s="3" t="str">
        <f>IFERROR(__xludf.DUMMYFUNCTION("""COMPUTED_VALUE"""),"458 OLD WOOLER RD ")</f>
        <v>458 OLD WOOLER RD </v>
      </c>
      <c r="C6793" s="3" t="str">
        <f>IFERROR(__xludf.DUMMYFUNCTION("""COMPUTED_VALUE"""),"CODRINGTON")</f>
        <v>CODRINGTON</v>
      </c>
      <c r="D6793" s="3" t="str">
        <f>IFERROR(__xludf.DUMMYFUNCTION("""COMPUTED_VALUE"""),"K0K 1R0")</f>
        <v>K0K 1R0</v>
      </c>
      <c r="E6793" s="3" t="str">
        <f>IFERROR(__xludf.DUMMYFUNCTION("""COMPUTED_VALUE"""),"k.wayne bird")</f>
        <v>k.wayne bird</v>
      </c>
      <c r="F6793" s="3" t="str">
        <f>IFERROR(__xludf.DUMMYFUNCTION("""COMPUTED_VALUE"""),"kwaynebird@gmail.com")</f>
        <v>kwaynebird@gmail.com</v>
      </c>
      <c r="G6793" s="3">
        <f>IFERROR(__xludf.DUMMYFUNCTION("""COMPUTED_VALUE"""),6.134752525E9)</f>
        <v>6134752525</v>
      </c>
      <c r="H6793" s="3"/>
    </row>
    <row r="6794">
      <c r="A6794" s="2">
        <f>IFERROR(__xludf.DUMMYFUNCTION("""COMPUTED_VALUE"""),80761.0)</f>
        <v>80761</v>
      </c>
      <c r="B6794" s="3" t="str">
        <f>IFERROR(__xludf.DUMMYFUNCTION("""COMPUTED_VALUE"""),"461 OLD WOOLER RD ")</f>
        <v>461 OLD WOOLER RD </v>
      </c>
      <c r="C6794" s="3" t="str">
        <f>IFERROR(__xludf.DUMMYFUNCTION("""COMPUTED_VALUE"""),"CODRINGTON")</f>
        <v>CODRINGTON</v>
      </c>
      <c r="D6794" s="3" t="str">
        <f>IFERROR(__xludf.DUMMYFUNCTION("""COMPUTED_VALUE"""),"K0K 1R0")</f>
        <v>K0K 1R0</v>
      </c>
      <c r="E6794" s="3" t="str">
        <f>IFERROR(__xludf.DUMMYFUNCTION("""COMPUTED_VALUE"""),"Richard MacCarl")</f>
        <v>Richard MacCarl</v>
      </c>
      <c r="F6794" s="3" t="str">
        <f>IFERROR(__xludf.DUMMYFUNCTION("""COMPUTED_VALUE"""),"rkmaccarl@gmail.com")</f>
        <v>rkmaccarl@gmail.com</v>
      </c>
      <c r="G6794" s="3">
        <f>IFERROR(__xludf.DUMMYFUNCTION("""COMPUTED_VALUE"""),6.139703464E9)</f>
        <v>6139703464</v>
      </c>
      <c r="H6794" s="3"/>
    </row>
    <row r="6795">
      <c r="A6795" s="2">
        <f>IFERROR(__xludf.DUMMYFUNCTION("""COMPUTED_VALUE"""),80762.0)</f>
        <v>80762</v>
      </c>
      <c r="B6795" s="3" t="str">
        <f>IFERROR(__xludf.DUMMYFUNCTION("""COMPUTED_VALUE"""),"473 OLD WOOLER RD ")</f>
        <v>473 OLD WOOLER RD </v>
      </c>
      <c r="C6795" s="3" t="str">
        <f>IFERROR(__xludf.DUMMYFUNCTION("""COMPUTED_VALUE"""),"CODRINGTON")</f>
        <v>CODRINGTON</v>
      </c>
      <c r="D6795" s="3" t="str">
        <f>IFERROR(__xludf.DUMMYFUNCTION("""COMPUTED_VALUE"""),"K0K 1R0")</f>
        <v>K0K 1R0</v>
      </c>
      <c r="E6795" s="3" t="str">
        <f>IFERROR(__xludf.DUMMYFUNCTION("""COMPUTED_VALUE"""),"Cassandra Walsh")</f>
        <v>Cassandra Walsh</v>
      </c>
      <c r="F6795" s="3" t="str">
        <f>IFERROR(__xludf.DUMMYFUNCTION("""COMPUTED_VALUE"""),"cassandra.walsh15@gmail.com")</f>
        <v>cassandra.walsh15@gmail.com</v>
      </c>
      <c r="G6795" s="3">
        <f>IFERROR(__xludf.DUMMYFUNCTION("""COMPUTED_VALUE"""),6.13243929E9)</f>
        <v>6132439290</v>
      </c>
      <c r="H6795" s="3"/>
    </row>
    <row r="6796">
      <c r="A6796" s="2">
        <f>IFERROR(__xludf.DUMMYFUNCTION("""COMPUTED_VALUE"""),80763.0)</f>
        <v>80763</v>
      </c>
      <c r="B6796" s="3" t="str">
        <f>IFERROR(__xludf.DUMMYFUNCTION("""COMPUTED_VALUE"""),"483 OLD WOOLER RD ")</f>
        <v>483 OLD WOOLER RD </v>
      </c>
      <c r="C6796" s="3" t="str">
        <f>IFERROR(__xludf.DUMMYFUNCTION("""COMPUTED_VALUE"""),"CODRINGTON")</f>
        <v>CODRINGTON</v>
      </c>
      <c r="D6796" s="3" t="str">
        <f>IFERROR(__xludf.DUMMYFUNCTION("""COMPUTED_VALUE"""),"K0K 1R0")</f>
        <v>K0K 1R0</v>
      </c>
      <c r="E6796" s="3" t="str">
        <f>IFERROR(__xludf.DUMMYFUNCTION("""COMPUTED_VALUE"""),"Shannon Southwell")</f>
        <v>Shannon Southwell</v>
      </c>
      <c r="F6796" s="3" t="str">
        <f>IFERROR(__xludf.DUMMYFUNCTION("""COMPUTED_VALUE"""),"southgal72@gmail.com")</f>
        <v>southgal72@gmail.com</v>
      </c>
      <c r="G6796" s="3">
        <f>IFERROR(__xludf.DUMMYFUNCTION("""COMPUTED_VALUE"""),6.138476669E9)</f>
        <v>6138476669</v>
      </c>
      <c r="H6796" s="3"/>
    </row>
    <row r="6797">
      <c r="A6797" s="2">
        <f>IFERROR(__xludf.DUMMYFUNCTION("""COMPUTED_VALUE"""),80764.0)</f>
        <v>80764</v>
      </c>
      <c r="B6797" s="3" t="str">
        <f>IFERROR(__xludf.DUMMYFUNCTION("""COMPUTED_VALUE"""),"484 OLD WOOLER RD ")</f>
        <v>484 OLD WOOLER RD </v>
      </c>
      <c r="C6797" s="3" t="str">
        <f>IFERROR(__xludf.DUMMYFUNCTION("""COMPUTED_VALUE"""),"CODRINGTON")</f>
        <v>CODRINGTON</v>
      </c>
      <c r="D6797" s="3" t="str">
        <f>IFERROR(__xludf.DUMMYFUNCTION("""COMPUTED_VALUE"""),"K0K 1R0")</f>
        <v>K0K 1R0</v>
      </c>
      <c r="E6797" s="3" t="str">
        <f>IFERROR(__xludf.DUMMYFUNCTION("""COMPUTED_VALUE"""),"Ken Bird")</f>
        <v>Ken Bird</v>
      </c>
      <c r="F6797" s="3" t="str">
        <f>IFERROR(__xludf.DUMMYFUNCTION("""COMPUTED_VALUE"""),"birdsrus5@gmail.com")</f>
        <v>birdsrus5@gmail.com</v>
      </c>
      <c r="G6797" s="3">
        <f>IFERROR(__xludf.DUMMYFUNCTION("""COMPUTED_VALUE"""),6.133911587E9)</f>
        <v>6133911587</v>
      </c>
      <c r="H6797" s="3"/>
    </row>
    <row r="6798">
      <c r="A6798" s="2">
        <f>IFERROR(__xludf.DUMMYFUNCTION("""COMPUTED_VALUE"""),80765.0)</f>
        <v>80765</v>
      </c>
      <c r="B6798" s="3" t="str">
        <f>IFERROR(__xludf.DUMMYFUNCTION("""COMPUTED_VALUE"""),"488 OLD WOOLER RD ")</f>
        <v>488 OLD WOOLER RD </v>
      </c>
      <c r="C6798" s="3" t="str">
        <f>IFERROR(__xludf.DUMMYFUNCTION("""COMPUTED_VALUE"""),"CODRINGTON")</f>
        <v>CODRINGTON</v>
      </c>
      <c r="D6798" s="3" t="str">
        <f>IFERROR(__xludf.DUMMYFUNCTION("""COMPUTED_VALUE"""),"K0K 1R0")</f>
        <v>K0K 1R0</v>
      </c>
      <c r="E6798" s="3" t="str">
        <f>IFERROR(__xludf.DUMMYFUNCTION("""COMPUTED_VALUE"""),"Hailey Bird")</f>
        <v>Hailey Bird</v>
      </c>
      <c r="F6798" s="3" t="str">
        <f>IFERROR(__xludf.DUMMYFUNCTION("""COMPUTED_VALUE"""),"hailey_ferguson@hotmail.com")</f>
        <v>hailey_ferguson@hotmail.com</v>
      </c>
      <c r="G6798" s="3">
        <f>IFERROR(__xludf.DUMMYFUNCTION("""COMPUTED_VALUE"""),6.139210466E9)</f>
        <v>6139210466</v>
      </c>
      <c r="H6798" s="3"/>
    </row>
    <row r="6799">
      <c r="A6799" s="2">
        <f>IFERROR(__xludf.DUMMYFUNCTION("""COMPUTED_VALUE"""),80766.0)</f>
        <v>80766</v>
      </c>
      <c r="B6799" s="3" t="str">
        <f>IFERROR(__xludf.DUMMYFUNCTION("""COMPUTED_VALUE"""),"504 OLD WOOLER RD ")</f>
        <v>504 OLD WOOLER RD </v>
      </c>
      <c r="C6799" s="3" t="str">
        <f>IFERROR(__xludf.DUMMYFUNCTION("""COMPUTED_VALUE"""),"CODRINGTON")</f>
        <v>CODRINGTON</v>
      </c>
      <c r="D6799" s="3" t="str">
        <f>IFERROR(__xludf.DUMMYFUNCTION("""COMPUTED_VALUE"""),"K0K 1R0")</f>
        <v>K0K 1R0</v>
      </c>
      <c r="E6799" s="3" t="str">
        <f>IFERROR(__xludf.DUMMYFUNCTION("""COMPUTED_VALUE"""),"Brenda Robichaud")</f>
        <v>Brenda Robichaud</v>
      </c>
      <c r="F6799" s="3" t="str">
        <f>IFERROR(__xludf.DUMMYFUNCTION("""COMPUTED_VALUE"""),"robituck59@gmail.comm")</f>
        <v>robituck59@gmail.comm</v>
      </c>
      <c r="G6799" s="3">
        <f>IFERROR(__xludf.DUMMYFUNCTION("""COMPUTED_VALUE"""),6.13438786E9)</f>
        <v>6134387860</v>
      </c>
      <c r="H6799" s="3"/>
    </row>
    <row r="6800">
      <c r="A6800" s="2">
        <f>IFERROR(__xludf.DUMMYFUNCTION("""COMPUTED_VALUE"""),80767.0)</f>
        <v>80767</v>
      </c>
      <c r="B6800" s="3" t="str">
        <f>IFERROR(__xludf.DUMMYFUNCTION("""COMPUTED_VALUE"""),"507 OLD WOOLER RD ")</f>
        <v>507 OLD WOOLER RD </v>
      </c>
      <c r="C6800" s="3" t="str">
        <f>IFERROR(__xludf.DUMMYFUNCTION("""COMPUTED_VALUE"""),"CODRINGTON")</f>
        <v>CODRINGTON</v>
      </c>
      <c r="D6800" s="3" t="str">
        <f>IFERROR(__xludf.DUMMYFUNCTION("""COMPUTED_VALUE"""),"K0K 1R0")</f>
        <v>K0K 1R0</v>
      </c>
      <c r="E6800" s="3" t="str">
        <f>IFERROR(__xludf.DUMMYFUNCTION("""COMPUTED_VALUE"""),"brad simcock")</f>
        <v>brad simcock</v>
      </c>
      <c r="F6800" s="3" t="str">
        <f>IFERROR(__xludf.DUMMYFUNCTION("""COMPUTED_VALUE"""),"nukepig72@gmail.com")</f>
        <v>nukepig72@gmail.com</v>
      </c>
      <c r="G6800" s="3">
        <f>IFERROR(__xludf.DUMMYFUNCTION("""COMPUTED_VALUE"""),9.059265257E9)</f>
        <v>9059265257</v>
      </c>
      <c r="H6800" s="3"/>
    </row>
    <row r="6801">
      <c r="A6801" s="2">
        <f>IFERROR(__xludf.DUMMYFUNCTION("""COMPUTED_VALUE"""),80768.0)</f>
        <v>80768</v>
      </c>
      <c r="B6801" s="3" t="str">
        <f>IFERROR(__xludf.DUMMYFUNCTION("""COMPUTED_VALUE"""),"514 OLD WOOLER RD ")</f>
        <v>514 OLD WOOLER RD </v>
      </c>
      <c r="C6801" s="3" t="str">
        <f>IFERROR(__xludf.DUMMYFUNCTION("""COMPUTED_VALUE"""),"CODRINGTON")</f>
        <v>CODRINGTON</v>
      </c>
      <c r="D6801" s="3" t="str">
        <f>IFERROR(__xludf.DUMMYFUNCTION("""COMPUTED_VALUE"""),"K0K 1R0")</f>
        <v>K0K 1R0</v>
      </c>
      <c r="E6801" s="3" t="str">
        <f>IFERROR(__xludf.DUMMYFUNCTION("""COMPUTED_VALUE"""),"Steve Wood")</f>
        <v>Steve Wood</v>
      </c>
      <c r="F6801" s="3" t="str">
        <f>IFERROR(__xludf.DUMMYFUNCTION("""COMPUTED_VALUE"""),"wood.steve20@yahoo.com")</f>
        <v>wood.steve20@yahoo.com</v>
      </c>
      <c r="G6801" s="3">
        <f>IFERROR(__xludf.DUMMYFUNCTION("""COMPUTED_VALUE"""),9.054314797E9)</f>
        <v>9054314797</v>
      </c>
      <c r="H6801" s="3"/>
    </row>
    <row r="6802">
      <c r="A6802" s="2">
        <f>IFERROR(__xludf.DUMMYFUNCTION("""COMPUTED_VALUE"""),80769.0)</f>
        <v>80769</v>
      </c>
      <c r="B6802" s="3" t="str">
        <f>IFERROR(__xludf.DUMMYFUNCTION("""COMPUTED_VALUE"""),"526 OLD WOOLER RD ")</f>
        <v>526 OLD WOOLER RD </v>
      </c>
      <c r="C6802" s="3" t="str">
        <f>IFERROR(__xludf.DUMMYFUNCTION("""COMPUTED_VALUE"""),"CODRINGTON")</f>
        <v>CODRINGTON</v>
      </c>
      <c r="D6802" s="3" t="str">
        <f>IFERROR(__xludf.DUMMYFUNCTION("""COMPUTED_VALUE"""),"K0K 1R0")</f>
        <v>K0K 1R0</v>
      </c>
      <c r="E6802" s="3" t="str">
        <f>IFERROR(__xludf.DUMMYFUNCTION("""COMPUTED_VALUE"""),"Kevin gorman")</f>
        <v>Kevin gorman</v>
      </c>
      <c r="F6802" s="3" t="str">
        <f>IFERROR(__xludf.DUMMYFUNCTION("""COMPUTED_VALUE"""),"kevintgorman@gmail.com")</f>
        <v>kevintgorman@gmail.com</v>
      </c>
      <c r="G6802" s="3">
        <f>IFERROR(__xludf.DUMMYFUNCTION("""COMPUTED_VALUE"""),6.134036333E9)</f>
        <v>6134036333</v>
      </c>
      <c r="H6802" s="3">
        <f>IFERROR(__xludf.DUMMYFUNCTION("""COMPUTED_VALUE"""),6.134836321E9)</f>
        <v>6134836321</v>
      </c>
    </row>
    <row r="6803">
      <c r="A6803" s="2">
        <f>IFERROR(__xludf.DUMMYFUNCTION("""COMPUTED_VALUE"""),80770.0)</f>
        <v>80770</v>
      </c>
      <c r="B6803" s="3" t="str">
        <f>IFERROR(__xludf.DUMMYFUNCTION("""COMPUTED_VALUE"""),"540 OLD WOOLER RD ")</f>
        <v>540 OLD WOOLER RD </v>
      </c>
      <c r="C6803" s="3" t="str">
        <f>IFERROR(__xludf.DUMMYFUNCTION("""COMPUTED_VALUE"""),"CODRINGTON")</f>
        <v>CODRINGTON</v>
      </c>
      <c r="D6803" s="3" t="str">
        <f>IFERROR(__xludf.DUMMYFUNCTION("""COMPUTED_VALUE"""),"K0K 1R0")</f>
        <v>K0K 1R0</v>
      </c>
      <c r="E6803" s="3" t="str">
        <f>IFERROR(__xludf.DUMMYFUNCTION("""COMPUTED_VALUE"""),"gord and carole williamson")</f>
        <v>gord and carole williamson</v>
      </c>
      <c r="F6803" s="3" t="str">
        <f>IFERROR(__xludf.DUMMYFUNCTION("""COMPUTED_VALUE"""),"ghw201569@outlook.com")</f>
        <v>ghw201569@outlook.com</v>
      </c>
      <c r="G6803" s="3">
        <f>IFERROR(__xludf.DUMMYFUNCTION("""COMPUTED_VALUE"""),6.473948852E9)</f>
        <v>6473948852</v>
      </c>
      <c r="H6803" s="3"/>
    </row>
    <row r="6804">
      <c r="A6804" s="2">
        <f>IFERROR(__xludf.DUMMYFUNCTION("""COMPUTED_VALUE"""),80771.0)</f>
        <v>80771</v>
      </c>
      <c r="B6804" s="3" t="str">
        <f>IFERROR(__xludf.DUMMYFUNCTION("""COMPUTED_VALUE"""),"550 OLD WOOLER RD ")</f>
        <v>550 OLD WOOLER RD </v>
      </c>
      <c r="C6804" s="3" t="str">
        <f>IFERROR(__xludf.DUMMYFUNCTION("""COMPUTED_VALUE"""),"CODRINGTON")</f>
        <v>CODRINGTON</v>
      </c>
      <c r="D6804" s="3" t="str">
        <f>IFERROR(__xludf.DUMMYFUNCTION("""COMPUTED_VALUE"""),"K0K 1R0")</f>
        <v>K0K 1R0</v>
      </c>
      <c r="E6804" s="3" t="str">
        <f>IFERROR(__xludf.DUMMYFUNCTION("""COMPUTED_VALUE"""),"Jeremy Crawford")</f>
        <v>Jeremy Crawford</v>
      </c>
      <c r="F6804" s="3" t="str">
        <f>IFERROR(__xludf.DUMMYFUNCTION("""COMPUTED_VALUE"""),"jeremy.crawford90@hotmail.com")</f>
        <v>jeremy.crawford90@hotmail.com</v>
      </c>
      <c r="G6804" s="3">
        <f>IFERROR(__xludf.DUMMYFUNCTION("""COMPUTED_VALUE"""),9.053967797E9)</f>
        <v>9053967797</v>
      </c>
      <c r="H6804" s="3">
        <f>IFERROR(__xludf.DUMMYFUNCTION("""COMPUTED_VALUE"""),6.138853854E9)</f>
        <v>6138853854</v>
      </c>
    </row>
    <row r="6805">
      <c r="A6805" s="2">
        <f>IFERROR(__xludf.DUMMYFUNCTION("""COMPUTED_VALUE"""),80772.0)</f>
        <v>80772</v>
      </c>
      <c r="B6805" s="3" t="str">
        <f>IFERROR(__xludf.DUMMYFUNCTION("""COMPUTED_VALUE"""),"551 OLD WOOLER RD ")</f>
        <v>551 OLD WOOLER RD </v>
      </c>
      <c r="C6805" s="3" t="str">
        <f>IFERROR(__xludf.DUMMYFUNCTION("""COMPUTED_VALUE"""),"CODRINGTON")</f>
        <v>CODRINGTON</v>
      </c>
      <c r="D6805" s="3" t="str">
        <f>IFERROR(__xludf.DUMMYFUNCTION("""COMPUTED_VALUE"""),"K0K 1R0")</f>
        <v>K0K 1R0</v>
      </c>
      <c r="E6805" s="3" t="str">
        <f>IFERROR(__xludf.DUMMYFUNCTION("""COMPUTED_VALUE"""),"JONATHAN PICKLYK")</f>
        <v>JONATHAN PICKLYK</v>
      </c>
      <c r="F6805" s="3" t="str">
        <f>IFERROR(__xludf.DUMMYFUNCTION("""COMPUTED_VALUE"""),"jonathanpicklyk@gmail.com")</f>
        <v>jonathanpicklyk@gmail.com</v>
      </c>
      <c r="G6805" s="3"/>
      <c r="H6805" s="3"/>
    </row>
    <row r="6806">
      <c r="A6806" s="2">
        <f>IFERROR(__xludf.DUMMYFUNCTION("""COMPUTED_VALUE"""),80773.0)</f>
        <v>80773</v>
      </c>
      <c r="B6806" s="3" t="str">
        <f>IFERROR(__xludf.DUMMYFUNCTION("""COMPUTED_VALUE"""),"601 OLD WOOLER RD ")</f>
        <v>601 OLD WOOLER RD </v>
      </c>
      <c r="C6806" s="3" t="str">
        <f>IFERROR(__xludf.DUMMYFUNCTION("""COMPUTED_VALUE"""),"CODRINGTON")</f>
        <v>CODRINGTON</v>
      </c>
      <c r="D6806" s="3" t="str">
        <f>IFERROR(__xludf.DUMMYFUNCTION("""COMPUTED_VALUE"""),"K0K 1R0")</f>
        <v>K0K 1R0</v>
      </c>
      <c r="E6806" s="3" t="str">
        <f>IFERROR(__xludf.DUMMYFUNCTION("""COMPUTED_VALUE"""),"hans huitema")</f>
        <v>hans huitema</v>
      </c>
      <c r="F6806" s="3" t="str">
        <f>IFERROR(__xludf.DUMMYFUNCTION("""COMPUTED_VALUE"""),"huitema@xplornet.com")</f>
        <v>huitema@xplornet.com</v>
      </c>
      <c r="G6806" s="3"/>
      <c r="H6806" s="3"/>
    </row>
    <row r="6807">
      <c r="A6807" s="2">
        <f>IFERROR(__xludf.DUMMYFUNCTION("""COMPUTED_VALUE"""),80774.0)</f>
        <v>80774</v>
      </c>
      <c r="B6807" s="3" t="str">
        <f>IFERROR(__xludf.DUMMYFUNCTION("""COMPUTED_VALUE"""),"667 OLD WOOLER RD ")</f>
        <v>667 OLD WOOLER RD </v>
      </c>
      <c r="C6807" s="3" t="str">
        <f>IFERROR(__xludf.DUMMYFUNCTION("""COMPUTED_VALUE"""),"CODRINGTON")</f>
        <v>CODRINGTON</v>
      </c>
      <c r="D6807" s="3" t="str">
        <f>IFERROR(__xludf.DUMMYFUNCTION("""COMPUTED_VALUE"""),"K0K 1R0")</f>
        <v>K0K 1R0</v>
      </c>
      <c r="E6807" s="3" t="str">
        <f>IFERROR(__xludf.DUMMYFUNCTION("""COMPUTED_VALUE"""),"rick cameron ")</f>
        <v>rick cameron </v>
      </c>
      <c r="F6807" s="3"/>
      <c r="G6807" s="3">
        <f>IFERROR(__xludf.DUMMYFUNCTION("""COMPUTED_VALUE"""),6.138497151E9)</f>
        <v>6138497151</v>
      </c>
      <c r="H6807" s="3">
        <f>IFERROR(__xludf.DUMMYFUNCTION("""COMPUTED_VALUE"""),6.138470128E9)</f>
        <v>6138470128</v>
      </c>
    </row>
    <row r="6808">
      <c r="A6808" s="2">
        <f>IFERROR(__xludf.DUMMYFUNCTION("""COMPUTED_VALUE"""),80775.0)</f>
        <v>80775</v>
      </c>
      <c r="B6808" s="3" t="str">
        <f>IFERROR(__xludf.DUMMYFUNCTION("""COMPUTED_VALUE"""),"732 OLD WOOLER RD Unit A")</f>
        <v>732 OLD WOOLER RD Unit A</v>
      </c>
      <c r="C6808" s="3" t="str">
        <f>IFERROR(__xludf.DUMMYFUNCTION("""COMPUTED_VALUE"""),"CODRINGTON")</f>
        <v>CODRINGTON</v>
      </c>
      <c r="D6808" s="3" t="str">
        <f>IFERROR(__xludf.DUMMYFUNCTION("""COMPUTED_VALUE"""),"K0K 1R0")</f>
        <v>K0K 1R0</v>
      </c>
      <c r="E6808" s="3" t="str">
        <f>IFERROR(__xludf.DUMMYFUNCTION("""COMPUTED_VALUE"""),"Patrcia Schuetze &amp; Joerg Fechner")</f>
        <v>Patrcia Schuetze &amp; Joerg Fechner</v>
      </c>
      <c r="F6808" s="3" t="str">
        <f>IFERROR(__xludf.DUMMYFUNCTION("""COMPUTED_VALUE"""),"tompatjess@gmail.com")</f>
        <v>tompatjess@gmail.com</v>
      </c>
      <c r="G6808" s="3"/>
      <c r="H6808" s="3"/>
    </row>
    <row r="6809">
      <c r="A6809" s="2">
        <f>IFERROR(__xludf.DUMMYFUNCTION("""COMPUTED_VALUE"""),81066.0)</f>
        <v>81066</v>
      </c>
      <c r="B6809" s="3" t="str">
        <f>IFERROR(__xludf.DUMMYFUNCTION("""COMPUTED_VALUE"""),"732 OLD WOOLER RD Unit B")</f>
        <v>732 OLD WOOLER RD Unit B</v>
      </c>
      <c r="C6809" s="3" t="str">
        <f>IFERROR(__xludf.DUMMYFUNCTION("""COMPUTED_VALUE"""),"CODRINGTON")</f>
        <v>CODRINGTON</v>
      </c>
      <c r="D6809" s="3" t="str">
        <f>IFERROR(__xludf.DUMMYFUNCTION("""COMPUTED_VALUE"""),"K0K 1R0")</f>
        <v>K0K 1R0</v>
      </c>
      <c r="E6809" s="3" t="str">
        <f>IFERROR(__xludf.DUMMYFUNCTION("""COMPUTED_VALUE"""),"Patrcia Schuetze &amp; Joerg Fechner")</f>
        <v>Patrcia Schuetze &amp; Joerg Fechner</v>
      </c>
      <c r="F6809" s="3" t="str">
        <f>IFERROR(__xludf.DUMMYFUNCTION("""COMPUTED_VALUE"""),"tompatjess@gmail.com")</f>
        <v>tompatjess@gmail.com</v>
      </c>
      <c r="G6809" s="3"/>
      <c r="H6809" s="3"/>
    </row>
    <row r="6810">
      <c r="A6810" s="2">
        <f>IFERROR(__xludf.DUMMYFUNCTION("""COMPUTED_VALUE"""),80776.0)</f>
        <v>80776</v>
      </c>
      <c r="B6810" s="3" t="str">
        <f>IFERROR(__xludf.DUMMYFUNCTION("""COMPUTED_VALUE"""),"768 OLD WOOLER RD A &amp; B")</f>
        <v>768 OLD WOOLER RD A &amp; B</v>
      </c>
      <c r="C6810" s="3" t="str">
        <f>IFERROR(__xludf.DUMMYFUNCTION("""COMPUTED_VALUE"""),"CODRINGTON")</f>
        <v>CODRINGTON</v>
      </c>
      <c r="D6810" s="3" t="str">
        <f>IFERROR(__xludf.DUMMYFUNCTION("""COMPUTED_VALUE"""),"K0K 1R0")</f>
        <v>K0K 1R0</v>
      </c>
      <c r="E6810" s="3" t="str">
        <f>IFERROR(__xludf.DUMMYFUNCTION("""COMPUTED_VALUE"""),"faye dickson")</f>
        <v>faye dickson</v>
      </c>
      <c r="F6810" s="3"/>
      <c r="G6810" s="3">
        <f>IFERROR(__xludf.DUMMYFUNCTION("""COMPUTED_VALUE"""),6.134750392E9)</f>
        <v>6134750392</v>
      </c>
      <c r="H6810" s="3">
        <f>IFERROR(__xludf.DUMMYFUNCTION("""COMPUTED_VALUE"""),6.138495357E9)</f>
        <v>6138495357</v>
      </c>
    </row>
    <row r="6811">
      <c r="A6811" s="2">
        <f>IFERROR(__xludf.DUMMYFUNCTION("""COMPUTED_VALUE"""),80777.0)</f>
        <v>80777</v>
      </c>
      <c r="B6811" s="3" t="str">
        <f>IFERROR(__xludf.DUMMYFUNCTION("""COMPUTED_VALUE"""),"777 OLD WOOLER RD ")</f>
        <v>777 OLD WOOLER RD </v>
      </c>
      <c r="C6811" s="3" t="str">
        <f>IFERROR(__xludf.DUMMYFUNCTION("""COMPUTED_VALUE"""),"CODRINGTON")</f>
        <v>CODRINGTON</v>
      </c>
      <c r="D6811" s="3" t="str">
        <f>IFERROR(__xludf.DUMMYFUNCTION("""COMPUTED_VALUE"""),"K0K 1R0")</f>
        <v>K0K 1R0</v>
      </c>
      <c r="E6811" s="3" t="str">
        <f>IFERROR(__xludf.DUMMYFUNCTION("""COMPUTED_VALUE"""),"Jacob Dickson")</f>
        <v>Jacob Dickson</v>
      </c>
      <c r="F6811" s="3" t="str">
        <f>IFERROR(__xludf.DUMMYFUNCTION("""COMPUTED_VALUE"""),"dialupconnect@gmail.com")</f>
        <v>dialupconnect@gmail.com</v>
      </c>
      <c r="G6811" s="3">
        <f>IFERROR(__xludf.DUMMYFUNCTION("""COMPUTED_VALUE"""),6.138852325E9)</f>
        <v>6138852325</v>
      </c>
      <c r="H6811" s="3">
        <f>IFERROR(__xludf.DUMMYFUNCTION("""COMPUTED_VALUE"""),6.134754222E9)</f>
        <v>6134754222</v>
      </c>
    </row>
    <row r="6812">
      <c r="A6812" s="2">
        <f>IFERROR(__xludf.DUMMYFUNCTION("""COMPUTED_VALUE"""),80778.0)</f>
        <v>80778</v>
      </c>
      <c r="B6812" s="3" t="str">
        <f>IFERROR(__xludf.DUMMYFUNCTION("""COMPUTED_VALUE"""),"821 OLD WOOLER RD ")</f>
        <v>821 OLD WOOLER RD </v>
      </c>
      <c r="C6812" s="3" t="str">
        <f>IFERROR(__xludf.DUMMYFUNCTION("""COMPUTED_VALUE"""),"CODRINGTON")</f>
        <v>CODRINGTON</v>
      </c>
      <c r="D6812" s="3" t="str">
        <f>IFERROR(__xludf.DUMMYFUNCTION("""COMPUTED_VALUE"""),"K0K 1R0")</f>
        <v>K0K 1R0</v>
      </c>
      <c r="E6812" s="3"/>
      <c r="F6812" s="3"/>
      <c r="G6812" s="3"/>
      <c r="H6812" s="3"/>
    </row>
    <row r="6813">
      <c r="A6813" s="2">
        <f>IFERROR(__xludf.DUMMYFUNCTION("""COMPUTED_VALUE"""),80779.0)</f>
        <v>80779</v>
      </c>
      <c r="B6813" s="3" t="str">
        <f>IFERROR(__xludf.DUMMYFUNCTION("""COMPUTED_VALUE"""),"876 OLD WOOLER RD ")</f>
        <v>876 OLD WOOLER RD </v>
      </c>
      <c r="C6813" s="3" t="str">
        <f>IFERROR(__xludf.DUMMYFUNCTION("""COMPUTED_VALUE"""),"CODRINGTON")</f>
        <v>CODRINGTON</v>
      </c>
      <c r="D6813" s="3" t="str">
        <f>IFERROR(__xludf.DUMMYFUNCTION("""COMPUTED_VALUE"""),"K0K 1R0")</f>
        <v>K0K 1R0</v>
      </c>
      <c r="E6813" s="3"/>
      <c r="F6813" s="3"/>
      <c r="G6813" s="3"/>
      <c r="H6813" s="3"/>
    </row>
    <row r="6814">
      <c r="A6814" s="2">
        <f>IFERROR(__xludf.DUMMYFUNCTION("""COMPUTED_VALUE"""),80780.0)</f>
        <v>80780</v>
      </c>
      <c r="B6814" s="3" t="str">
        <f>IFERROR(__xludf.DUMMYFUNCTION("""COMPUTED_VALUE"""),"928 OLD WOOLER RD ")</f>
        <v>928 OLD WOOLER RD </v>
      </c>
      <c r="C6814" s="3" t="str">
        <f>IFERROR(__xludf.DUMMYFUNCTION("""COMPUTED_VALUE"""),"CODRINGTON")</f>
        <v>CODRINGTON</v>
      </c>
      <c r="D6814" s="3" t="str">
        <f>IFERROR(__xludf.DUMMYFUNCTION("""COMPUTED_VALUE"""),"K0K 1R0")</f>
        <v>K0K 1R0</v>
      </c>
      <c r="E6814" s="3" t="str">
        <f>IFERROR(__xludf.DUMMYFUNCTION("""COMPUTED_VALUE"""),"PAULUS TJIANG")</f>
        <v>PAULUS TJIANG</v>
      </c>
      <c r="F6814" s="3" t="str">
        <f>IFERROR(__xludf.DUMMYFUNCTION("""COMPUTED_VALUE"""),"paulus@franticfarms.com")</f>
        <v>paulus@franticfarms.com</v>
      </c>
      <c r="G6814" s="3"/>
      <c r="H6814" s="3"/>
    </row>
    <row r="6815">
      <c r="A6815" s="2">
        <f>IFERROR(__xludf.DUMMYFUNCTION("""COMPUTED_VALUE"""),80781.0)</f>
        <v>80781</v>
      </c>
      <c r="B6815" s="3" t="str">
        <f>IFERROR(__xludf.DUMMYFUNCTION("""COMPUTED_VALUE"""),"937 OLD WOOLER RD ")</f>
        <v>937 OLD WOOLER RD </v>
      </c>
      <c r="C6815" s="3" t="str">
        <f>IFERROR(__xludf.DUMMYFUNCTION("""COMPUTED_VALUE"""),"CODRINGTON")</f>
        <v>CODRINGTON</v>
      </c>
      <c r="D6815" s="3" t="str">
        <f>IFERROR(__xludf.DUMMYFUNCTION("""COMPUTED_VALUE"""),"K0K 1R0")</f>
        <v>K0K 1R0</v>
      </c>
      <c r="E6815" s="3" t="str">
        <f>IFERROR(__xludf.DUMMYFUNCTION("""COMPUTED_VALUE"""),"William J VanDrie")</f>
        <v>William J VanDrie</v>
      </c>
      <c r="F6815" s="3" t="str">
        <f>IFERROR(__xludf.DUMMYFUNCTION("""COMPUTED_VALUE"""),"will.vandrie@gmail.com")</f>
        <v>will.vandrie@gmail.com</v>
      </c>
      <c r="G6815" s="3">
        <f>IFERROR(__xludf.DUMMYFUNCTION("""COMPUTED_VALUE"""),6.138487808E9)</f>
        <v>6138487808</v>
      </c>
      <c r="H6815" s="3"/>
    </row>
    <row r="6816">
      <c r="A6816" s="2">
        <f>IFERROR(__xludf.DUMMYFUNCTION("""COMPUTED_VALUE"""),80854.0)</f>
        <v>80854</v>
      </c>
      <c r="B6816" s="3" t="str">
        <f>IFERROR(__xludf.DUMMYFUNCTION("""COMPUTED_VALUE"""),"133 POGUE RD ")</f>
        <v>133 POGUE RD </v>
      </c>
      <c r="C6816" s="3" t="str">
        <f>IFERROR(__xludf.DUMMYFUNCTION("""COMPUTED_VALUE"""),"COLBORNE")</f>
        <v>COLBORNE</v>
      </c>
      <c r="D6816" s="3" t="str">
        <f>IFERROR(__xludf.DUMMYFUNCTION("""COMPUTED_VALUE"""),"K0K 1S0")</f>
        <v>K0K 1S0</v>
      </c>
      <c r="E6816" s="3" t="str">
        <f>IFERROR(__xludf.DUMMYFUNCTION("""COMPUTED_VALUE"""),"carmen leach ")</f>
        <v>carmen leach </v>
      </c>
      <c r="F6816" s="3" t="str">
        <f>IFERROR(__xludf.DUMMYFUNCTION("""COMPUTED_VALUE"""),"carmsplace71@gmail.com")</f>
        <v>carmsplace71@gmail.com</v>
      </c>
      <c r="G6816" s="3">
        <f>IFERROR(__xludf.DUMMYFUNCTION("""COMPUTED_VALUE"""),2.892517612E9)</f>
        <v>2892517612</v>
      </c>
      <c r="H6816" s="3">
        <f>IFERROR(__xludf.DUMMYFUNCTION("""COMPUTED_VALUE"""),6.138857705E9)</f>
        <v>6138857705</v>
      </c>
    </row>
    <row r="6817">
      <c r="A6817" s="2">
        <f>IFERROR(__xludf.DUMMYFUNCTION("""COMPUTED_VALUE"""),80859.0)</f>
        <v>80859</v>
      </c>
      <c r="B6817" s="3" t="str">
        <f>IFERROR(__xludf.DUMMYFUNCTION("""COMPUTED_VALUE"""),"101 RICHMOND ST ")</f>
        <v>101 RICHMOND ST </v>
      </c>
      <c r="C6817" s="3" t="str">
        <f>IFERROR(__xludf.DUMMYFUNCTION("""COMPUTED_VALUE"""),"BRIGHTON")</f>
        <v>BRIGHTON</v>
      </c>
      <c r="D6817" s="3" t="str">
        <f>IFERROR(__xludf.DUMMYFUNCTION("""COMPUTED_VALUE"""),"K0K 1H0")</f>
        <v>K0K 1H0</v>
      </c>
      <c r="E6817" s="3" t="str">
        <f>IFERROR(__xludf.DUMMYFUNCTION("""COMPUTED_VALUE"""),"Allan and Linda Colgan")</f>
        <v>Allan and Linda Colgan</v>
      </c>
      <c r="F6817" s="3" t="str">
        <f>IFERROR(__xludf.DUMMYFUNCTION("""COMPUTED_VALUE"""),"thelindalee@gmail.com")</f>
        <v>thelindalee@gmail.com</v>
      </c>
      <c r="G6817" s="3">
        <f>IFERROR(__xludf.DUMMYFUNCTION("""COMPUTED_VALUE"""),4.168093103E9)</f>
        <v>4168093103</v>
      </c>
      <c r="H6817" s="3"/>
    </row>
    <row r="6818">
      <c r="A6818" s="2">
        <f>IFERROR(__xludf.DUMMYFUNCTION("""COMPUTED_VALUE"""),80860.0)</f>
        <v>80860</v>
      </c>
      <c r="B6818" s="3" t="str">
        <f>IFERROR(__xludf.DUMMYFUNCTION("""COMPUTED_VALUE"""),"109 RICHMOND ST ")</f>
        <v>109 RICHMOND ST </v>
      </c>
      <c r="C6818" s="3" t="str">
        <f>IFERROR(__xludf.DUMMYFUNCTION("""COMPUTED_VALUE"""),"BRIGHTON")</f>
        <v>BRIGHTON</v>
      </c>
      <c r="D6818" s="3" t="str">
        <f>IFERROR(__xludf.DUMMYFUNCTION("""COMPUTED_VALUE"""),"K0K 1H0")</f>
        <v>K0K 1H0</v>
      </c>
      <c r="E6818" s="3" t="str">
        <f>IFERROR(__xludf.DUMMYFUNCTION("""COMPUTED_VALUE"""),"amanda melvin")</f>
        <v>amanda melvin</v>
      </c>
      <c r="F6818" s="3" t="str">
        <f>IFERROR(__xludf.DUMMYFUNCTION("""COMPUTED_VALUE"""),"melbatoast81@gmail.com")</f>
        <v>melbatoast81@gmail.com</v>
      </c>
      <c r="G6818" s="3">
        <f>IFERROR(__xludf.DUMMYFUNCTION("""COMPUTED_VALUE"""),6.139193916E9)</f>
        <v>6139193916</v>
      </c>
      <c r="H6818" s="3"/>
    </row>
    <row r="6819">
      <c r="A6819" s="2">
        <f>IFERROR(__xludf.DUMMYFUNCTION("""COMPUTED_VALUE"""),80861.0)</f>
        <v>80861</v>
      </c>
      <c r="B6819" s="3" t="str">
        <f>IFERROR(__xludf.DUMMYFUNCTION("""COMPUTED_VALUE"""),"110 RICHMOND ST ")</f>
        <v>110 RICHMOND ST </v>
      </c>
      <c r="C6819" s="3" t="str">
        <f>IFERROR(__xludf.DUMMYFUNCTION("""COMPUTED_VALUE"""),"BRIGHTON")</f>
        <v>BRIGHTON</v>
      </c>
      <c r="D6819" s="3" t="str">
        <f>IFERROR(__xludf.DUMMYFUNCTION("""COMPUTED_VALUE"""),"K0K 1H0")</f>
        <v>K0K 1H0</v>
      </c>
      <c r="E6819" s="3" t="str">
        <f>IFERROR(__xludf.DUMMYFUNCTION("""COMPUTED_VALUE"""),"Amanda Ingram")</f>
        <v>Amanda Ingram</v>
      </c>
      <c r="F6819" s="3" t="str">
        <f>IFERROR(__xludf.DUMMYFUNCTION("""COMPUTED_VALUE"""),"aingram1728@gmail.com")</f>
        <v>aingram1728@gmail.com</v>
      </c>
      <c r="G6819" s="3">
        <f>IFERROR(__xludf.DUMMYFUNCTION("""COMPUTED_VALUE"""),7.057508806E9)</f>
        <v>7057508806</v>
      </c>
      <c r="H6819" s="3"/>
    </row>
    <row r="6820">
      <c r="A6820" s="2">
        <f>IFERROR(__xludf.DUMMYFUNCTION("""COMPUTED_VALUE"""),80862.0)</f>
        <v>80862</v>
      </c>
      <c r="B6820" s="3" t="str">
        <f>IFERROR(__xludf.DUMMYFUNCTION("""COMPUTED_VALUE"""),"117 RICHMOND ST ")</f>
        <v>117 RICHMOND ST </v>
      </c>
      <c r="C6820" s="3" t="str">
        <f>IFERROR(__xludf.DUMMYFUNCTION("""COMPUTED_VALUE"""),"BRIGHTON")</f>
        <v>BRIGHTON</v>
      </c>
      <c r="D6820" s="3" t="str">
        <f>IFERROR(__xludf.DUMMYFUNCTION("""COMPUTED_VALUE"""),"K0K 1H0")</f>
        <v>K0K 1H0</v>
      </c>
      <c r="E6820" s="3"/>
      <c r="F6820" s="3"/>
      <c r="G6820" s="3"/>
      <c r="H6820" s="3"/>
    </row>
    <row r="6821">
      <c r="A6821" s="2">
        <f>IFERROR(__xludf.DUMMYFUNCTION("""COMPUTED_VALUE"""),80863.0)</f>
        <v>80863</v>
      </c>
      <c r="B6821" s="3" t="str">
        <f>IFERROR(__xludf.DUMMYFUNCTION("""COMPUTED_VALUE"""),"130 RICHMOND ST ")</f>
        <v>130 RICHMOND ST </v>
      </c>
      <c r="C6821" s="3" t="str">
        <f>IFERROR(__xludf.DUMMYFUNCTION("""COMPUTED_VALUE"""),"BRIGHTON")</f>
        <v>BRIGHTON</v>
      </c>
      <c r="D6821" s="3" t="str">
        <f>IFERROR(__xludf.DUMMYFUNCTION("""COMPUTED_VALUE"""),"K0K 1H0")</f>
        <v>K0K 1H0</v>
      </c>
      <c r="E6821" s="3" t="str">
        <f>IFERROR(__xludf.DUMMYFUNCTION("""COMPUTED_VALUE"""),"William Johnstone")</f>
        <v>William Johnstone</v>
      </c>
      <c r="F6821" s="3" t="str">
        <f>IFERROR(__xludf.DUMMYFUNCTION("""COMPUTED_VALUE"""),"bdjohnstone130@gmail.com")</f>
        <v>bdjohnstone130@gmail.com</v>
      </c>
      <c r="G6821" s="3">
        <f>IFERROR(__xludf.DUMMYFUNCTION("""COMPUTED_VALUE"""),6.134751994E9)</f>
        <v>6134751994</v>
      </c>
      <c r="H6821" s="3">
        <f>IFERROR(__xludf.DUMMYFUNCTION("""COMPUTED_VALUE"""),6.132427982E9)</f>
        <v>6132427982</v>
      </c>
    </row>
    <row r="6822">
      <c r="A6822" s="2">
        <f>IFERROR(__xludf.DUMMYFUNCTION("""COMPUTED_VALUE"""),80864.0)</f>
        <v>80864</v>
      </c>
      <c r="B6822" s="3" t="str">
        <f>IFERROR(__xludf.DUMMYFUNCTION("""COMPUTED_VALUE"""),"133 RICHMOND ST ")</f>
        <v>133 RICHMOND ST </v>
      </c>
      <c r="C6822" s="3" t="str">
        <f>IFERROR(__xludf.DUMMYFUNCTION("""COMPUTED_VALUE"""),"BRIGHTON")</f>
        <v>BRIGHTON</v>
      </c>
      <c r="D6822" s="3" t="str">
        <f>IFERROR(__xludf.DUMMYFUNCTION("""COMPUTED_VALUE"""),"K0K 1H0")</f>
        <v>K0K 1H0</v>
      </c>
      <c r="E6822" s="3" t="str">
        <f>IFERROR(__xludf.DUMMYFUNCTION("""COMPUTED_VALUE"""),"craig bell ")</f>
        <v>craig bell </v>
      </c>
      <c r="F6822" s="3" t="str">
        <f>IFERROR(__xludf.DUMMYFUNCTION("""COMPUTED_VALUE"""),"craigmack669@gmail.com")</f>
        <v>craigmack669@gmail.com</v>
      </c>
      <c r="G6822" s="3">
        <f>IFERROR(__xludf.DUMMYFUNCTION("""COMPUTED_VALUE"""),9.054414482E9)</f>
        <v>9054414482</v>
      </c>
      <c r="H6822" s="3"/>
    </row>
    <row r="6823">
      <c r="A6823" s="2">
        <f>IFERROR(__xludf.DUMMYFUNCTION("""COMPUTED_VALUE"""),80865.0)</f>
        <v>80865</v>
      </c>
      <c r="B6823" s="3" t="str">
        <f>IFERROR(__xludf.DUMMYFUNCTION("""COMPUTED_VALUE"""),"138 RICHMOND ST ")</f>
        <v>138 RICHMOND ST </v>
      </c>
      <c r="C6823" s="3" t="str">
        <f>IFERROR(__xludf.DUMMYFUNCTION("""COMPUTED_VALUE"""),"BRIGHTON")</f>
        <v>BRIGHTON</v>
      </c>
      <c r="D6823" s="3" t="str">
        <f>IFERROR(__xludf.DUMMYFUNCTION("""COMPUTED_VALUE"""),"K0K 1H0")</f>
        <v>K0K 1H0</v>
      </c>
      <c r="E6823" s="3" t="str">
        <f>IFERROR(__xludf.DUMMYFUNCTION("""COMPUTED_VALUE"""),"linda de jonge ")</f>
        <v>linda de jonge </v>
      </c>
      <c r="F6823" s="3" t="str">
        <f>IFERROR(__xludf.DUMMYFUNCTION("""COMPUTED_VALUE"""),"6134759409")</f>
        <v>6134759409</v>
      </c>
      <c r="G6823" s="3"/>
      <c r="H6823" s="3"/>
    </row>
    <row r="6824">
      <c r="A6824" s="2">
        <f>IFERROR(__xludf.DUMMYFUNCTION("""COMPUTED_VALUE"""),80866.0)</f>
        <v>80866</v>
      </c>
      <c r="B6824" s="3" t="str">
        <f>IFERROR(__xludf.DUMMYFUNCTION("""COMPUTED_VALUE"""),"144 RICHMOND ST ")</f>
        <v>144 RICHMOND ST </v>
      </c>
      <c r="C6824" s="3" t="str">
        <f>IFERROR(__xludf.DUMMYFUNCTION("""COMPUTED_VALUE"""),"BRIGHTON")</f>
        <v>BRIGHTON</v>
      </c>
      <c r="D6824" s="3" t="str">
        <f>IFERROR(__xludf.DUMMYFUNCTION("""COMPUTED_VALUE"""),"K0K 1H0")</f>
        <v>K0K 1H0</v>
      </c>
      <c r="E6824" s="3" t="str">
        <f>IFERROR(__xludf.DUMMYFUNCTION("""COMPUTED_VALUE"""),"ron thurston")</f>
        <v>ron thurston</v>
      </c>
      <c r="F6824" s="3" t="str">
        <f>IFERROR(__xludf.DUMMYFUNCTION("""COMPUTED_VALUE"""),"thurstonron73@gmail.com")</f>
        <v>thurstonron73@gmail.com</v>
      </c>
      <c r="G6824" s="3">
        <f>IFERROR(__xludf.DUMMYFUNCTION("""COMPUTED_VALUE"""),7.78773952E9)</f>
        <v>7787739520</v>
      </c>
      <c r="H6824" s="3"/>
    </row>
    <row r="6825">
      <c r="A6825" s="2">
        <f>IFERROR(__xludf.DUMMYFUNCTION("""COMPUTED_VALUE"""),80867.0)</f>
        <v>80867</v>
      </c>
      <c r="B6825" s="3" t="str">
        <f>IFERROR(__xludf.DUMMYFUNCTION("""COMPUTED_VALUE"""),"154 RICHMOND ST ")</f>
        <v>154 RICHMOND ST </v>
      </c>
      <c r="C6825" s="3" t="str">
        <f>IFERROR(__xludf.DUMMYFUNCTION("""COMPUTED_VALUE"""),"BRIGHTON")</f>
        <v>BRIGHTON</v>
      </c>
      <c r="D6825" s="3" t="str">
        <f>IFERROR(__xludf.DUMMYFUNCTION("""COMPUTED_VALUE"""),"K0K 1H0")</f>
        <v>K0K 1H0</v>
      </c>
      <c r="E6825" s="3" t="str">
        <f>IFERROR(__xludf.DUMMYFUNCTION("""COMPUTED_VALUE"""),"Jason Cooney")</f>
        <v>Jason Cooney</v>
      </c>
      <c r="F6825" s="3" t="str">
        <f>IFERROR(__xludf.DUMMYFUNCTION("""COMPUTED_VALUE"""),"teddymakermobile@outlook.com")</f>
        <v>teddymakermobile@outlook.com</v>
      </c>
      <c r="G6825" s="3">
        <f>IFERROR(__xludf.DUMMYFUNCTION("""COMPUTED_VALUE"""),6.139221725E9)</f>
        <v>6139221725</v>
      </c>
      <c r="H6825" s="3"/>
    </row>
    <row r="6826">
      <c r="A6826" s="2">
        <f>IFERROR(__xludf.DUMMYFUNCTION("""COMPUTED_VALUE"""),80868.0)</f>
        <v>80868</v>
      </c>
      <c r="B6826" s="3" t="str">
        <f>IFERROR(__xludf.DUMMYFUNCTION("""COMPUTED_VALUE"""),"170 RICHMOND ST ")</f>
        <v>170 RICHMOND ST </v>
      </c>
      <c r="C6826" s="3" t="str">
        <f>IFERROR(__xludf.DUMMYFUNCTION("""COMPUTED_VALUE"""),"BRIGHTON")</f>
        <v>BRIGHTON</v>
      </c>
      <c r="D6826" s="3" t="str">
        <f>IFERROR(__xludf.DUMMYFUNCTION("""COMPUTED_VALUE"""),"K0K 1H0")</f>
        <v>K0K 1H0</v>
      </c>
      <c r="E6826" s="3" t="str">
        <f>IFERROR(__xludf.DUMMYFUNCTION("""COMPUTED_VALUE"""),"Derek Cunningham")</f>
        <v>Derek Cunningham</v>
      </c>
      <c r="F6826" s="3" t="str">
        <f>IFERROR(__xludf.DUMMYFUNCTION("""COMPUTED_VALUE"""),"cunninghamd@nosleep.ca")</f>
        <v>cunninghamd@nosleep.ca</v>
      </c>
      <c r="G6826" s="3">
        <f>IFERROR(__xludf.DUMMYFUNCTION("""COMPUTED_VALUE"""),7.059771854E9)</f>
        <v>7059771854</v>
      </c>
      <c r="H6826" s="3"/>
    </row>
    <row r="6827">
      <c r="A6827" s="2">
        <f>IFERROR(__xludf.DUMMYFUNCTION("""COMPUTED_VALUE"""),80869.0)</f>
        <v>80869</v>
      </c>
      <c r="B6827" s="3" t="str">
        <f>IFERROR(__xludf.DUMMYFUNCTION("""COMPUTED_VALUE"""),"205 RICHMOND ST ")</f>
        <v>205 RICHMOND ST </v>
      </c>
      <c r="C6827" s="3" t="str">
        <f>IFERROR(__xludf.DUMMYFUNCTION("""COMPUTED_VALUE"""),"BRIGHTON")</f>
        <v>BRIGHTON</v>
      </c>
      <c r="D6827" s="3" t="str">
        <f>IFERROR(__xludf.DUMMYFUNCTION("""COMPUTED_VALUE"""),"K0K 1H0")</f>
        <v>K0K 1H0</v>
      </c>
      <c r="E6827" s="3" t="str">
        <f>IFERROR(__xludf.DUMMYFUNCTION("""COMPUTED_VALUE"""),"paul chatten")</f>
        <v>paul chatten</v>
      </c>
      <c r="F6827" s="3" t="str">
        <f>IFERROR(__xludf.DUMMYFUNCTION("""COMPUTED_VALUE"""),"pchatten@gmail.com")</f>
        <v>pchatten@gmail.com</v>
      </c>
      <c r="G6827" s="3">
        <f>IFERROR(__xludf.DUMMYFUNCTION("""COMPUTED_VALUE"""),4.164764169E9)</f>
        <v>4164764169</v>
      </c>
      <c r="H6827" s="3"/>
    </row>
    <row r="6828">
      <c r="A6828" s="2">
        <f>IFERROR(__xludf.DUMMYFUNCTION("""COMPUTED_VALUE"""),80870.0)</f>
        <v>80870</v>
      </c>
      <c r="B6828" s="3" t="str">
        <f>IFERROR(__xludf.DUMMYFUNCTION("""COMPUTED_VALUE"""),"217 RICHMOND ST ")</f>
        <v>217 RICHMOND ST </v>
      </c>
      <c r="C6828" s="3" t="str">
        <f>IFERROR(__xludf.DUMMYFUNCTION("""COMPUTED_VALUE"""),"BRIGHTON")</f>
        <v>BRIGHTON</v>
      </c>
      <c r="D6828" s="3" t="str">
        <f>IFERROR(__xludf.DUMMYFUNCTION("""COMPUTED_VALUE"""),"K0K 1H0")</f>
        <v>K0K 1H0</v>
      </c>
      <c r="E6828" s="3" t="str">
        <f>IFERROR(__xludf.DUMMYFUNCTION("""COMPUTED_VALUE"""),"dan harvey ")</f>
        <v>dan harvey </v>
      </c>
      <c r="F6828" s="3" t="str">
        <f>IFERROR(__xludf.DUMMYFUNCTION("""COMPUTED_VALUE"""),"intimad8r333@hotmail.com")</f>
        <v>intimad8r333@hotmail.com</v>
      </c>
      <c r="G6828" s="3">
        <f>IFERROR(__xludf.DUMMYFUNCTION("""COMPUTED_VALUE"""),9.052446323E9)</f>
        <v>9052446323</v>
      </c>
      <c r="H6828" s="3">
        <f>IFERROR(__xludf.DUMMYFUNCTION("""COMPUTED_VALUE"""),9.05396565E9)</f>
        <v>9053965650</v>
      </c>
    </row>
    <row r="6829">
      <c r="A6829" s="2">
        <f>IFERROR(__xludf.DUMMYFUNCTION("""COMPUTED_VALUE"""),80871.0)</f>
        <v>80871</v>
      </c>
      <c r="B6829" s="3" t="str">
        <f>IFERROR(__xludf.DUMMYFUNCTION("""COMPUTED_VALUE"""),"237 RICHMOND ST ")</f>
        <v>237 RICHMOND ST </v>
      </c>
      <c r="C6829" s="3" t="str">
        <f>IFERROR(__xludf.DUMMYFUNCTION("""COMPUTED_VALUE"""),"BRIGHTON")</f>
        <v>BRIGHTON</v>
      </c>
      <c r="D6829" s="3" t="str">
        <f>IFERROR(__xludf.DUMMYFUNCTION("""COMPUTED_VALUE"""),"K0K 1H0")</f>
        <v>K0K 1H0</v>
      </c>
      <c r="E6829" s="3" t="str">
        <f>IFERROR(__xludf.DUMMYFUNCTION("""COMPUTED_VALUE"""),"eric caron")</f>
        <v>eric caron</v>
      </c>
      <c r="F6829" s="3" t="str">
        <f>IFERROR(__xludf.DUMMYFUNCTION("""COMPUTED_VALUE"""),"pennyoverhear@hotmail.com")</f>
        <v>pennyoverhear@hotmail.com</v>
      </c>
      <c r="G6829" s="3">
        <f>IFERROR(__xludf.DUMMYFUNCTION("""COMPUTED_VALUE"""),2.896752593E9)</f>
        <v>2896752593</v>
      </c>
      <c r="H6829" s="3"/>
    </row>
    <row r="6830">
      <c r="A6830" s="2">
        <f>IFERROR(__xludf.DUMMYFUNCTION("""COMPUTED_VALUE"""),80872.0)</f>
        <v>80872</v>
      </c>
      <c r="B6830" s="3" t="str">
        <f>IFERROR(__xludf.DUMMYFUNCTION("""COMPUTED_VALUE"""),"247 RICHMOND ST ")</f>
        <v>247 RICHMOND ST </v>
      </c>
      <c r="C6830" s="3" t="str">
        <f>IFERROR(__xludf.DUMMYFUNCTION("""COMPUTED_VALUE"""),"BRIGHTON")</f>
        <v>BRIGHTON</v>
      </c>
      <c r="D6830" s="3" t="str">
        <f>IFERROR(__xludf.DUMMYFUNCTION("""COMPUTED_VALUE"""),"K0K 1H0")</f>
        <v>K0K 1H0</v>
      </c>
      <c r="E6830" s="3" t="str">
        <f>IFERROR(__xludf.DUMMYFUNCTION("""COMPUTED_VALUE"""),"robert mcvean")</f>
        <v>robert mcvean</v>
      </c>
      <c r="F6830" s="3" t="str">
        <f>IFERROR(__xludf.DUMMYFUNCTION("""COMPUTED_VALUE"""),"1krazycanuck@gmail.com")</f>
        <v>1krazycanuck@gmail.com</v>
      </c>
      <c r="G6830" s="3">
        <f>IFERROR(__xludf.DUMMYFUNCTION("""COMPUTED_VALUE"""),4.164023933E9)</f>
        <v>4164023933</v>
      </c>
      <c r="H6830" s="3"/>
    </row>
    <row r="6831">
      <c r="A6831" s="2">
        <f>IFERROR(__xludf.DUMMYFUNCTION("""COMPUTED_VALUE"""),80873.0)</f>
        <v>80873</v>
      </c>
      <c r="B6831" s="3" t="str">
        <f>IFERROR(__xludf.DUMMYFUNCTION("""COMPUTED_VALUE"""),"255 RICHMOND ST ")</f>
        <v>255 RICHMOND ST </v>
      </c>
      <c r="C6831" s="3" t="str">
        <f>IFERROR(__xludf.DUMMYFUNCTION("""COMPUTED_VALUE"""),"BRIGHTON")</f>
        <v>BRIGHTON</v>
      </c>
      <c r="D6831" s="3" t="str">
        <f>IFERROR(__xludf.DUMMYFUNCTION("""COMPUTED_VALUE"""),"K0K 1H0")</f>
        <v>K0K 1H0</v>
      </c>
      <c r="E6831" s="3" t="str">
        <f>IFERROR(__xludf.DUMMYFUNCTION("""COMPUTED_VALUE"""),"ernst jansen")</f>
        <v>ernst jansen</v>
      </c>
      <c r="F6831" s="3"/>
      <c r="G6831" s="3">
        <f>IFERROR(__xludf.DUMMYFUNCTION("""COMPUTED_VALUE"""),6.134753534E9)</f>
        <v>6134753534</v>
      </c>
      <c r="H6831" s="3"/>
    </row>
    <row r="6832">
      <c r="A6832" s="2">
        <f>IFERROR(__xludf.DUMMYFUNCTION("""COMPUTED_VALUE"""),80874.0)</f>
        <v>80874</v>
      </c>
      <c r="B6832" s="3" t="str">
        <f>IFERROR(__xludf.DUMMYFUNCTION("""COMPUTED_VALUE"""),"300 RICHMOND ST ")</f>
        <v>300 RICHMOND ST </v>
      </c>
      <c r="C6832" s="3" t="str">
        <f>IFERROR(__xludf.DUMMYFUNCTION("""COMPUTED_VALUE"""),"BRIGHTON")</f>
        <v>BRIGHTON</v>
      </c>
      <c r="D6832" s="3" t="str">
        <f>IFERROR(__xludf.DUMMYFUNCTION("""COMPUTED_VALUE"""),"K0K 1H0")</f>
        <v>K0K 1H0</v>
      </c>
      <c r="E6832" s="3" t="str">
        <f>IFERROR(__xludf.DUMMYFUNCTION("""COMPUTED_VALUE"""),"brittany ollershaw")</f>
        <v>brittany ollershaw</v>
      </c>
      <c r="F6832" s="3"/>
      <c r="G6832" s="3">
        <f>IFERROR(__xludf.DUMMYFUNCTION("""COMPUTED_VALUE"""),6.13661668E9)</f>
        <v>6136616680</v>
      </c>
      <c r="H6832" s="3"/>
    </row>
    <row r="6833">
      <c r="A6833" s="2">
        <f>IFERROR(__xludf.DUMMYFUNCTION("""COMPUTED_VALUE"""),80875.0)</f>
        <v>80875</v>
      </c>
      <c r="B6833" s="3" t="str">
        <f>IFERROR(__xludf.DUMMYFUNCTION("""COMPUTED_VALUE"""),"303 RICHMOND ST ")</f>
        <v>303 RICHMOND ST </v>
      </c>
      <c r="C6833" s="3" t="str">
        <f>IFERROR(__xludf.DUMMYFUNCTION("""COMPUTED_VALUE"""),"BRIGHTON")</f>
        <v>BRIGHTON</v>
      </c>
      <c r="D6833" s="3" t="str">
        <f>IFERROR(__xludf.DUMMYFUNCTION("""COMPUTED_VALUE"""),"K0K 1H0")</f>
        <v>K0K 1H0</v>
      </c>
      <c r="E6833" s="3" t="str">
        <f>IFERROR(__xludf.DUMMYFUNCTION("""COMPUTED_VALUE"""),"lori harwood ")</f>
        <v>lori harwood </v>
      </c>
      <c r="F6833" s="3"/>
      <c r="G6833" s="3">
        <f>IFERROR(__xludf.DUMMYFUNCTION("""COMPUTED_VALUE"""),6.134752805E9)</f>
        <v>6134752805</v>
      </c>
      <c r="H6833" s="3"/>
    </row>
    <row r="6834">
      <c r="A6834" s="2">
        <f>IFERROR(__xludf.DUMMYFUNCTION("""COMPUTED_VALUE"""),80876.0)</f>
        <v>80876</v>
      </c>
      <c r="B6834" s="3" t="str">
        <f>IFERROR(__xludf.DUMMYFUNCTION("""COMPUTED_VALUE"""),"326 RICHMOND ST ")</f>
        <v>326 RICHMOND ST </v>
      </c>
      <c r="C6834" s="3" t="str">
        <f>IFERROR(__xludf.DUMMYFUNCTION("""COMPUTED_VALUE"""),"BRIGHTON")</f>
        <v>BRIGHTON</v>
      </c>
      <c r="D6834" s="3" t="str">
        <f>IFERROR(__xludf.DUMMYFUNCTION("""COMPUTED_VALUE"""),"K0K 1H0")</f>
        <v>K0K 1H0</v>
      </c>
      <c r="E6834" s="3" t="str">
        <f>IFERROR(__xludf.DUMMYFUNCTION("""COMPUTED_VALUE"""),"sharon cote ")</f>
        <v>sharon cote </v>
      </c>
      <c r="F6834" s="3" t="str">
        <f>IFERROR(__xludf.DUMMYFUNCTION("""COMPUTED_VALUE"""),"sharrongh@gmail.com")</f>
        <v>sharrongh@gmail.com</v>
      </c>
      <c r="G6834" s="3">
        <f>IFERROR(__xludf.DUMMYFUNCTION("""COMPUTED_VALUE"""),6.134750654E9)</f>
        <v>6134750654</v>
      </c>
      <c r="H6834" s="3">
        <f>IFERROR(__xludf.DUMMYFUNCTION("""COMPUTED_VALUE"""),6.13922044E9)</f>
        <v>6139220440</v>
      </c>
    </row>
    <row r="6835">
      <c r="A6835" s="2">
        <f>IFERROR(__xludf.DUMMYFUNCTION("""COMPUTED_VALUE"""),80877.0)</f>
        <v>80877</v>
      </c>
      <c r="B6835" s="3" t="str">
        <f>IFERROR(__xludf.DUMMYFUNCTION("""COMPUTED_VALUE"""),"336 RICHMOND ST ")</f>
        <v>336 RICHMOND ST </v>
      </c>
      <c r="C6835" s="3" t="str">
        <f>IFERROR(__xludf.DUMMYFUNCTION("""COMPUTED_VALUE"""),"BRIGHTON")</f>
        <v>BRIGHTON</v>
      </c>
      <c r="D6835" s="3" t="str">
        <f>IFERROR(__xludf.DUMMYFUNCTION("""COMPUTED_VALUE"""),"K0K 1H0")</f>
        <v>K0K 1H0</v>
      </c>
      <c r="E6835" s="3" t="str">
        <f>IFERROR(__xludf.DUMMYFUNCTION("""COMPUTED_VALUE"""),"Matthew Ficara")</f>
        <v>Matthew Ficara</v>
      </c>
      <c r="F6835" s="3" t="str">
        <f>IFERROR(__xludf.DUMMYFUNCTION("""COMPUTED_VALUE"""),"mficara@rogers.com")</f>
        <v>mficara@rogers.com</v>
      </c>
      <c r="G6835" s="3">
        <f>IFERROR(__xludf.DUMMYFUNCTION("""COMPUTED_VALUE"""),6.47200437E9)</f>
        <v>6472004370</v>
      </c>
      <c r="H6835" s="3"/>
    </row>
    <row r="6836">
      <c r="A6836" s="2">
        <f>IFERROR(__xludf.DUMMYFUNCTION("""COMPUTED_VALUE"""),80878.0)</f>
        <v>80878</v>
      </c>
      <c r="B6836" s="3" t="str">
        <f>IFERROR(__xludf.DUMMYFUNCTION("""COMPUTED_VALUE"""),"344 RICHMOND ST ")</f>
        <v>344 RICHMOND ST </v>
      </c>
      <c r="C6836" s="3" t="str">
        <f>IFERROR(__xludf.DUMMYFUNCTION("""COMPUTED_VALUE"""),"BRIGHTON")</f>
        <v>BRIGHTON</v>
      </c>
      <c r="D6836" s="3" t="str">
        <f>IFERROR(__xludf.DUMMYFUNCTION("""COMPUTED_VALUE"""),"K0K 1H0")</f>
        <v>K0K 1H0</v>
      </c>
      <c r="E6836" s="3" t="str">
        <f>IFERROR(__xludf.DUMMYFUNCTION("""COMPUTED_VALUE"""),"kalli hoang ")</f>
        <v>kalli hoang </v>
      </c>
      <c r="F6836" s="3" t="str">
        <f>IFERROR(__xludf.DUMMYFUNCTION("""COMPUTED_VALUE"""),"kalli1@hotmail.com")</f>
        <v>kalli1@hotmail.com</v>
      </c>
      <c r="G6836" s="3">
        <f>IFERROR(__xludf.DUMMYFUNCTION("""COMPUTED_VALUE"""),4.165232156E9)</f>
        <v>4165232156</v>
      </c>
      <c r="H6836" s="3"/>
    </row>
    <row r="6837">
      <c r="A6837" s="2">
        <f>IFERROR(__xludf.DUMMYFUNCTION("""COMPUTED_VALUE"""),80879.0)</f>
        <v>80879</v>
      </c>
      <c r="B6837" s="3" t="str">
        <f>IFERROR(__xludf.DUMMYFUNCTION("""COMPUTED_VALUE"""),"352 RICHMOND ST ")</f>
        <v>352 RICHMOND ST </v>
      </c>
      <c r="C6837" s="3" t="str">
        <f>IFERROR(__xludf.DUMMYFUNCTION("""COMPUTED_VALUE"""),"BRIGHTON")</f>
        <v>BRIGHTON</v>
      </c>
      <c r="D6837" s="3" t="str">
        <f>IFERROR(__xludf.DUMMYFUNCTION("""COMPUTED_VALUE"""),"K0K 1H0")</f>
        <v>K0K 1H0</v>
      </c>
      <c r="E6837" s="3" t="str">
        <f>IFERROR(__xludf.DUMMYFUNCTION("""COMPUTED_VALUE"""),"john oulette ")</f>
        <v>john oulette </v>
      </c>
      <c r="F6837" s="3" t="str">
        <f>IFERROR(__xludf.DUMMYFUNCTION("""COMPUTED_VALUE"""),"john-oulette@hotmail.com")</f>
        <v>john-oulette@hotmail.com</v>
      </c>
      <c r="G6837" s="3">
        <f>IFERROR(__xludf.DUMMYFUNCTION("""COMPUTED_VALUE"""),6.139222982E9)</f>
        <v>6139222982</v>
      </c>
      <c r="H6837" s="3"/>
    </row>
    <row r="6838">
      <c r="A6838" s="2">
        <f>IFERROR(__xludf.DUMMYFUNCTION("""COMPUTED_VALUE"""),80880.0)</f>
        <v>80880</v>
      </c>
      <c r="B6838" s="3" t="str">
        <f>IFERROR(__xludf.DUMMYFUNCTION("""COMPUTED_VALUE"""),"372 RICHMOND ST ")</f>
        <v>372 RICHMOND ST </v>
      </c>
      <c r="C6838" s="3" t="str">
        <f>IFERROR(__xludf.DUMMYFUNCTION("""COMPUTED_VALUE"""),"BRIGHTON")</f>
        <v>BRIGHTON</v>
      </c>
      <c r="D6838" s="3" t="str">
        <f>IFERROR(__xludf.DUMMYFUNCTION("""COMPUTED_VALUE"""),"K0K 1H0")</f>
        <v>K0K 1H0</v>
      </c>
      <c r="E6838" s="3" t="str">
        <f>IFERROR(__xludf.DUMMYFUNCTION("""COMPUTED_VALUE"""),"barry stagg ")</f>
        <v>barry stagg </v>
      </c>
      <c r="F6838" s="3" t="str">
        <f>IFERROR(__xludf.DUMMYFUNCTION("""COMPUTED_VALUE"""),"bstagg@barrystag.com")</f>
        <v>bstagg@barrystag.com</v>
      </c>
      <c r="G6838" s="3">
        <f>IFERROR(__xludf.DUMMYFUNCTION("""COMPUTED_VALUE"""),4.169917414E9)</f>
        <v>4169917414</v>
      </c>
      <c r="H6838" s="3"/>
    </row>
    <row r="6839">
      <c r="A6839" s="2">
        <f>IFERROR(__xludf.DUMMYFUNCTION("""COMPUTED_VALUE"""),80881.0)</f>
        <v>80881</v>
      </c>
      <c r="B6839" s="3" t="str">
        <f>IFERROR(__xludf.DUMMYFUNCTION("""COMPUTED_VALUE"""),"395 RICHMOND ST ")</f>
        <v>395 RICHMOND ST </v>
      </c>
      <c r="C6839" s="3" t="str">
        <f>IFERROR(__xludf.DUMMYFUNCTION("""COMPUTED_VALUE"""),"BRIGHTON")</f>
        <v>BRIGHTON</v>
      </c>
      <c r="D6839" s="3" t="str">
        <f>IFERROR(__xludf.DUMMYFUNCTION("""COMPUTED_VALUE"""),"K0K 1H0")</f>
        <v>K0K 1H0</v>
      </c>
      <c r="E6839" s="3" t="str">
        <f>IFERROR(__xludf.DUMMYFUNCTION("""COMPUTED_VALUE"""),"Justin Herrington")</f>
        <v>Justin Herrington</v>
      </c>
      <c r="F6839" s="3" t="str">
        <f>IFERROR(__xludf.DUMMYFUNCTION("""COMPUTED_VALUE"""),"herringtonjustin387@gmail.com")</f>
        <v>herringtonjustin387@gmail.com</v>
      </c>
      <c r="G6839" s="3">
        <f>IFERROR(__xludf.DUMMYFUNCTION("""COMPUTED_VALUE"""),6.134030814E9)</f>
        <v>6134030814</v>
      </c>
      <c r="H6839" s="3"/>
    </row>
    <row r="6840">
      <c r="A6840" s="2">
        <f>IFERROR(__xludf.DUMMYFUNCTION("""COMPUTED_VALUE"""),81061.0)</f>
        <v>81061</v>
      </c>
      <c r="B6840" s="3" t="str">
        <f>IFERROR(__xludf.DUMMYFUNCTION("""COMPUTED_VALUE"""),"401 RICHMOND ST")</f>
        <v>401 RICHMOND ST</v>
      </c>
      <c r="C6840" s="3" t="str">
        <f>IFERROR(__xludf.DUMMYFUNCTION("""COMPUTED_VALUE"""),"BRIGHTON")</f>
        <v>BRIGHTON</v>
      </c>
      <c r="D6840" s="3" t="str">
        <f>IFERROR(__xludf.DUMMYFUNCTION("""COMPUTED_VALUE"""),"K0K 1H0")</f>
        <v>K0K 1H0</v>
      </c>
      <c r="E6840" s="3"/>
      <c r="F6840" s="3"/>
      <c r="G6840" s="3"/>
      <c r="H6840" s="3"/>
    </row>
    <row r="6841">
      <c r="A6841" s="2">
        <f>IFERROR(__xludf.DUMMYFUNCTION("""COMPUTED_VALUE"""),80882.0)</f>
        <v>80882</v>
      </c>
      <c r="B6841" s="3" t="str">
        <f>IFERROR(__xludf.DUMMYFUNCTION("""COMPUTED_VALUE"""),"422 RICHMOND ST ")</f>
        <v>422 RICHMOND ST </v>
      </c>
      <c r="C6841" s="3" t="str">
        <f>IFERROR(__xludf.DUMMYFUNCTION("""COMPUTED_VALUE"""),"BRIGHTON")</f>
        <v>BRIGHTON</v>
      </c>
      <c r="D6841" s="3" t="str">
        <f>IFERROR(__xludf.DUMMYFUNCTION("""COMPUTED_VALUE"""),"K0K 1H0")</f>
        <v>K0K 1H0</v>
      </c>
      <c r="E6841" s="3" t="str">
        <f>IFERROR(__xludf.DUMMYFUNCTION("""COMPUTED_VALUE"""),"phil clark ")</f>
        <v>phil clark </v>
      </c>
      <c r="F6841" s="3" t="str">
        <f>IFERROR(__xludf.DUMMYFUNCTION("""COMPUTED_VALUE"""),"boomer_pclark@yahoo.ca")</f>
        <v>boomer_pclark@yahoo.ca</v>
      </c>
      <c r="G6841" s="3">
        <f>IFERROR(__xludf.DUMMYFUNCTION("""COMPUTED_VALUE"""),6.472125363E9)</f>
        <v>6472125363</v>
      </c>
      <c r="H6841" s="3"/>
    </row>
    <row r="6842">
      <c r="A6842" s="2">
        <f>IFERROR(__xludf.DUMMYFUNCTION("""COMPUTED_VALUE"""),80883.0)</f>
        <v>80883</v>
      </c>
      <c r="B6842" s="3" t="str">
        <f>IFERROR(__xludf.DUMMYFUNCTION("""COMPUTED_VALUE"""),"481 RICHMOND ST ")</f>
        <v>481 RICHMOND ST </v>
      </c>
      <c r="C6842" s="3" t="str">
        <f>IFERROR(__xludf.DUMMYFUNCTION("""COMPUTED_VALUE"""),"BRIGHTON")</f>
        <v>BRIGHTON</v>
      </c>
      <c r="D6842" s="3" t="str">
        <f>IFERROR(__xludf.DUMMYFUNCTION("""COMPUTED_VALUE"""),"K0K 1H0")</f>
        <v>K0K 1H0</v>
      </c>
      <c r="E6842" s="3" t="str">
        <f>IFERROR(__xludf.DUMMYFUNCTION("""COMPUTED_VALUE"""),"paula herrington &amp; Reece Herrington")</f>
        <v>paula herrington &amp; Reece Herrington</v>
      </c>
      <c r="F6842" s="3" t="str">
        <f>IFERROR(__xludf.DUMMYFUNCTION("""COMPUTED_VALUE"""),"polprincess85@gmail.com")</f>
        <v>polprincess85@gmail.com</v>
      </c>
      <c r="G6842" s="3">
        <f>IFERROR(__xludf.DUMMYFUNCTION("""COMPUTED_VALUE"""),6.134030817E9)</f>
        <v>6134030817</v>
      </c>
      <c r="H6842" s="3"/>
    </row>
    <row r="6843">
      <c r="A6843" s="2">
        <f>IFERROR(__xludf.DUMMYFUNCTION("""COMPUTED_VALUE"""),80858.0)</f>
        <v>80858</v>
      </c>
      <c r="B6843" s="3" t="str">
        <f>IFERROR(__xludf.DUMMYFUNCTION("""COMPUTED_VALUE"""),"98 RICHMOND ST ")</f>
        <v>98 RICHMOND ST </v>
      </c>
      <c r="C6843" s="3" t="str">
        <f>IFERROR(__xludf.DUMMYFUNCTION("""COMPUTED_VALUE"""),"BRIGHTON")</f>
        <v>BRIGHTON</v>
      </c>
      <c r="D6843" s="3" t="str">
        <f>IFERROR(__xludf.DUMMYFUNCTION("""COMPUTED_VALUE"""),"K0K 1H0")</f>
        <v>K0K 1H0</v>
      </c>
      <c r="E6843" s="3"/>
      <c r="F6843" s="3"/>
      <c r="G6843" s="3"/>
      <c r="H6843" s="3"/>
    </row>
    <row r="6844">
      <c r="A6844" s="2">
        <f>IFERROR(__xludf.DUMMYFUNCTION("""COMPUTED_VALUE"""),80898.0)</f>
        <v>80898</v>
      </c>
      <c r="B6844" s="3" t="str">
        <f>IFERROR(__xludf.DUMMYFUNCTION("""COMPUTED_VALUE"""),"14 ROBINSON ST ")</f>
        <v>14 ROBINSON ST </v>
      </c>
      <c r="C6844" s="3" t="str">
        <f>IFERROR(__xludf.DUMMYFUNCTION("""COMPUTED_VALUE"""),"CODRINGTON")</f>
        <v>CODRINGTON</v>
      </c>
      <c r="D6844" s="3" t="str">
        <f>IFERROR(__xludf.DUMMYFUNCTION("""COMPUTED_VALUE"""),"K0K 1R0")</f>
        <v>K0K 1R0</v>
      </c>
      <c r="E6844" s="3" t="str">
        <f>IFERROR(__xludf.DUMMYFUNCTION("""COMPUTED_VALUE"""),"joshua prange ")</f>
        <v>joshua prange </v>
      </c>
      <c r="F6844" s="3" t="str">
        <f>IFERROR(__xludf.DUMMYFUNCTION("""COMPUTED_VALUE"""),"j.prang101@gmail.com")</f>
        <v>j.prang101@gmail.com</v>
      </c>
      <c r="G6844" s="3">
        <f>IFERROR(__xludf.DUMMYFUNCTION("""COMPUTED_VALUE"""),2.896759094E9)</f>
        <v>2896759094</v>
      </c>
      <c r="H6844" s="3">
        <f>IFERROR(__xludf.DUMMYFUNCTION("""COMPUTED_VALUE"""),2.899283722E9)</f>
        <v>2899283722</v>
      </c>
    </row>
    <row r="6845">
      <c r="A6845" s="2">
        <f>IFERROR(__xludf.DUMMYFUNCTION("""COMPUTED_VALUE"""),80899.0)</f>
        <v>80899</v>
      </c>
      <c r="B6845" s="3" t="str">
        <f>IFERROR(__xludf.DUMMYFUNCTION("""COMPUTED_VALUE"""),"17 ROBINSON ST ")</f>
        <v>17 ROBINSON ST </v>
      </c>
      <c r="C6845" s="3" t="str">
        <f>IFERROR(__xludf.DUMMYFUNCTION("""COMPUTED_VALUE"""),"CODRINGTON")</f>
        <v>CODRINGTON</v>
      </c>
      <c r="D6845" s="3" t="str">
        <f>IFERROR(__xludf.DUMMYFUNCTION("""COMPUTED_VALUE"""),"K0K 1R0")</f>
        <v>K0K 1R0</v>
      </c>
      <c r="E6845" s="3"/>
      <c r="F6845" s="3"/>
      <c r="G6845" s="3"/>
      <c r="H6845" s="3"/>
    </row>
    <row r="6846">
      <c r="A6846" s="2">
        <f>IFERROR(__xludf.DUMMYFUNCTION("""COMPUTED_VALUE"""),80900.0)</f>
        <v>80900</v>
      </c>
      <c r="B6846" s="3" t="str">
        <f>IFERROR(__xludf.DUMMYFUNCTION("""COMPUTED_VALUE"""),"24 ROBINSON ST ")</f>
        <v>24 ROBINSON ST </v>
      </c>
      <c r="C6846" s="3" t="str">
        <f>IFERROR(__xludf.DUMMYFUNCTION("""COMPUTED_VALUE"""),"CODRINGTON")</f>
        <v>CODRINGTON</v>
      </c>
      <c r="D6846" s="3" t="str">
        <f>IFERROR(__xludf.DUMMYFUNCTION("""COMPUTED_VALUE"""),"K0K 1R0")</f>
        <v>K0K 1R0</v>
      </c>
      <c r="E6846" s="3" t="str">
        <f>IFERROR(__xludf.DUMMYFUNCTION("""COMPUTED_VALUE"""),"valerie mackenzie")</f>
        <v>valerie mackenzie</v>
      </c>
      <c r="F6846" s="3" t="str">
        <f>IFERROR(__xludf.DUMMYFUNCTION("""COMPUTED_VALUE"""),"valeriemackenzie@gmail.com")</f>
        <v>valeriemackenzie@gmail.com</v>
      </c>
      <c r="G6846" s="3">
        <f>IFERROR(__xludf.DUMMYFUNCTION("""COMPUTED_VALUE"""),6.134753051E9)</f>
        <v>6134753051</v>
      </c>
      <c r="H6846" s="3"/>
    </row>
    <row r="6847">
      <c r="A6847" s="2">
        <f>IFERROR(__xludf.DUMMYFUNCTION("""COMPUTED_VALUE"""),80901.0)</f>
        <v>80901</v>
      </c>
      <c r="B6847" s="3" t="str">
        <f>IFERROR(__xludf.DUMMYFUNCTION("""COMPUTED_VALUE"""),"25 ROBINSON ST ")</f>
        <v>25 ROBINSON ST </v>
      </c>
      <c r="C6847" s="3" t="str">
        <f>IFERROR(__xludf.DUMMYFUNCTION("""COMPUTED_VALUE"""),"CODRINGTON")</f>
        <v>CODRINGTON</v>
      </c>
      <c r="D6847" s="3" t="str">
        <f>IFERROR(__xludf.DUMMYFUNCTION("""COMPUTED_VALUE"""),"K0K 1R0")</f>
        <v>K0K 1R0</v>
      </c>
      <c r="E6847" s="3"/>
      <c r="F6847" s="3"/>
      <c r="G6847" s="3"/>
      <c r="H6847" s="3"/>
    </row>
    <row r="6848">
      <c r="A6848" s="2">
        <f>IFERROR(__xludf.DUMMYFUNCTION("""COMPUTED_VALUE"""),80909.0)</f>
        <v>80909</v>
      </c>
      <c r="B6848" s="3" t="str">
        <f>IFERROR(__xludf.DUMMYFUNCTION("""COMPUTED_VALUE"""),"170 RUSH RD ")</f>
        <v>170 RUSH RD </v>
      </c>
      <c r="C6848" s="3" t="str">
        <f>IFERROR(__xludf.DUMMYFUNCTION("""COMPUTED_VALUE"""),"BRIGHTON")</f>
        <v>BRIGHTON</v>
      </c>
      <c r="D6848" s="3" t="str">
        <f>IFERROR(__xludf.DUMMYFUNCTION("""COMPUTED_VALUE"""),"K0K 1H0")</f>
        <v>K0K 1H0</v>
      </c>
      <c r="E6848" s="3" t="str">
        <f>IFERROR(__xludf.DUMMYFUNCTION("""COMPUTED_VALUE"""),"nola parkinson")</f>
        <v>nola parkinson</v>
      </c>
      <c r="F6848" s="3" t="str">
        <f>IFERROR(__xludf.DUMMYFUNCTION("""COMPUTED_VALUE"""),"pat.parkinson@hotmail.ca")</f>
        <v>pat.parkinson@hotmail.ca</v>
      </c>
      <c r="G6848" s="3">
        <f>IFERROR(__xludf.DUMMYFUNCTION("""COMPUTED_VALUE"""),6.13847316E9)</f>
        <v>6138473160</v>
      </c>
      <c r="H6848" s="3"/>
    </row>
    <row r="6849">
      <c r="A6849" s="2">
        <f>IFERROR(__xludf.DUMMYFUNCTION("""COMPUTED_VALUE"""),80910.0)</f>
        <v>80910</v>
      </c>
      <c r="B6849" s="3" t="str">
        <f>IFERROR(__xludf.DUMMYFUNCTION("""COMPUTED_VALUE"""),"211 RUSH RD ")</f>
        <v>211 RUSH RD </v>
      </c>
      <c r="C6849" s="3" t="str">
        <f>IFERROR(__xludf.DUMMYFUNCTION("""COMPUTED_VALUE"""),"BRIGHTON")</f>
        <v>BRIGHTON</v>
      </c>
      <c r="D6849" s="3" t="str">
        <f>IFERROR(__xludf.DUMMYFUNCTION("""COMPUTED_VALUE"""),"K0K 1H0")</f>
        <v>K0K 1H0</v>
      </c>
      <c r="E6849" s="3" t="str">
        <f>IFERROR(__xludf.DUMMYFUNCTION("""COMPUTED_VALUE"""),"karen nichols")</f>
        <v>karen nichols</v>
      </c>
      <c r="F6849" s="3" t="str">
        <f>IFERROR(__xludf.DUMMYFUNCTION("""COMPUTED_VALUE"""),"serenity7nichols@gmail.com")</f>
        <v>serenity7nichols@gmail.com</v>
      </c>
      <c r="G6849" s="3">
        <f>IFERROR(__xludf.DUMMYFUNCTION("""COMPUTED_VALUE"""),6.133917804E9)</f>
        <v>6133917804</v>
      </c>
      <c r="H6849" s="3"/>
    </row>
    <row r="6850">
      <c r="A6850" s="2">
        <f>IFERROR(__xludf.DUMMYFUNCTION("""COMPUTED_VALUE"""),80911.0)</f>
        <v>80911</v>
      </c>
      <c r="B6850" s="3" t="str">
        <f>IFERROR(__xludf.DUMMYFUNCTION("""COMPUTED_VALUE"""),"221 RUSH RD ")</f>
        <v>221 RUSH RD </v>
      </c>
      <c r="C6850" s="3" t="str">
        <f>IFERROR(__xludf.DUMMYFUNCTION("""COMPUTED_VALUE"""),"BRIGHTON")</f>
        <v>BRIGHTON</v>
      </c>
      <c r="D6850" s="3" t="str">
        <f>IFERROR(__xludf.DUMMYFUNCTION("""COMPUTED_VALUE"""),"K0K 1H0")</f>
        <v>K0K 1H0</v>
      </c>
      <c r="E6850" s="3" t="str">
        <f>IFERROR(__xludf.DUMMYFUNCTION("""COMPUTED_VALUE"""),"Jaime Runions")</f>
        <v>Jaime Runions</v>
      </c>
      <c r="F6850" s="3" t="str">
        <f>IFERROR(__xludf.DUMMYFUNCTION("""COMPUTED_VALUE"""),"j_howse@hotmail.com")</f>
        <v>j_howse@hotmail.com</v>
      </c>
      <c r="G6850" s="3"/>
      <c r="H6850" s="3"/>
    </row>
    <row r="6851">
      <c r="A6851" s="2">
        <f>IFERROR(__xludf.DUMMYFUNCTION("""COMPUTED_VALUE"""),80912.0)</f>
        <v>80912</v>
      </c>
      <c r="B6851" s="3" t="str">
        <f>IFERROR(__xludf.DUMMYFUNCTION("""COMPUTED_VALUE"""),"227 RUSH RD ")</f>
        <v>227 RUSH RD </v>
      </c>
      <c r="C6851" s="3" t="str">
        <f>IFERROR(__xludf.DUMMYFUNCTION("""COMPUTED_VALUE"""),"BRIGHTON")</f>
        <v>BRIGHTON</v>
      </c>
      <c r="D6851" s="3" t="str">
        <f>IFERROR(__xludf.DUMMYFUNCTION("""COMPUTED_VALUE"""),"K0K 1H0")</f>
        <v>K0K 1H0</v>
      </c>
      <c r="E6851" s="3" t="str">
        <f>IFERROR(__xludf.DUMMYFUNCTION("""COMPUTED_VALUE"""),"brian bertrim")</f>
        <v>brian bertrim</v>
      </c>
      <c r="F6851" s="3" t="str">
        <f>IFERROR(__xludf.DUMMYFUNCTION("""COMPUTED_VALUE"""),"bertim@gmail.com")</f>
        <v>bertim@gmail.com</v>
      </c>
      <c r="G6851" s="3">
        <f>IFERROR(__xludf.DUMMYFUNCTION("""COMPUTED_VALUE"""),6.472900126E9)</f>
        <v>6472900126</v>
      </c>
      <c r="H6851" s="3"/>
    </row>
    <row r="6852">
      <c r="A6852" s="2">
        <f>IFERROR(__xludf.DUMMYFUNCTION("""COMPUTED_VALUE"""),80913.0)</f>
        <v>80913</v>
      </c>
      <c r="B6852" s="3" t="str">
        <f>IFERROR(__xludf.DUMMYFUNCTION("""COMPUTED_VALUE"""),"234 RUSH RD ")</f>
        <v>234 RUSH RD </v>
      </c>
      <c r="C6852" s="3" t="str">
        <f>IFERROR(__xludf.DUMMYFUNCTION("""COMPUTED_VALUE"""),"BRIGHTON")</f>
        <v>BRIGHTON</v>
      </c>
      <c r="D6852" s="3" t="str">
        <f>IFERROR(__xludf.DUMMYFUNCTION("""COMPUTED_VALUE"""),"K0K 1H0")</f>
        <v>K0K 1H0</v>
      </c>
      <c r="E6852" s="3"/>
      <c r="F6852" s="3"/>
      <c r="G6852" s="3"/>
      <c r="H6852" s="3"/>
    </row>
    <row r="6853">
      <c r="A6853" s="2">
        <f>IFERROR(__xludf.DUMMYFUNCTION("""COMPUTED_VALUE"""),80906.0)</f>
        <v>80906</v>
      </c>
      <c r="B6853" s="3" t="str">
        <f>IFERROR(__xludf.DUMMYFUNCTION("""COMPUTED_VALUE"""),"60 RUSH RD ")</f>
        <v>60 RUSH RD </v>
      </c>
      <c r="C6853" s="3" t="str">
        <f>IFERROR(__xludf.DUMMYFUNCTION("""COMPUTED_VALUE"""),"BRIGHTON")</f>
        <v>BRIGHTON</v>
      </c>
      <c r="D6853" s="3" t="str">
        <f>IFERROR(__xludf.DUMMYFUNCTION("""COMPUTED_VALUE"""),"K0K 1H0")</f>
        <v>K0K 1H0</v>
      </c>
      <c r="E6853" s="3" t="str">
        <f>IFERROR(__xludf.DUMMYFUNCTION("""COMPUTED_VALUE"""),"Sheila Ainsworth")</f>
        <v>Sheila Ainsworth</v>
      </c>
      <c r="F6853" s="3" t="str">
        <f>IFERROR(__xludf.DUMMYFUNCTION("""COMPUTED_VALUE"""),"sheilaainsworth@hotmail.ca")</f>
        <v>sheilaainsworth@hotmail.ca</v>
      </c>
      <c r="G6853" s="3"/>
      <c r="H6853" s="3"/>
    </row>
    <row r="6854">
      <c r="A6854" s="2">
        <f>IFERROR(__xludf.DUMMYFUNCTION("""COMPUTED_VALUE"""),80907.0)</f>
        <v>80907</v>
      </c>
      <c r="B6854" s="3" t="str">
        <f>IFERROR(__xludf.DUMMYFUNCTION("""COMPUTED_VALUE"""),"80 RUSH RD ")</f>
        <v>80 RUSH RD </v>
      </c>
      <c r="C6854" s="3" t="str">
        <f>IFERROR(__xludf.DUMMYFUNCTION("""COMPUTED_VALUE"""),"BRIGHTON")</f>
        <v>BRIGHTON</v>
      </c>
      <c r="D6854" s="3" t="str">
        <f>IFERROR(__xludf.DUMMYFUNCTION("""COMPUTED_VALUE"""),"K0K 1H0")</f>
        <v>K0K 1H0</v>
      </c>
      <c r="E6854" s="3" t="str">
        <f>IFERROR(__xludf.DUMMYFUNCTION("""COMPUTED_VALUE"""),"Sharon &amp; Chris Skyers")</f>
        <v>Sharon &amp; Chris Skyers</v>
      </c>
      <c r="F6854" s="3"/>
      <c r="G6854" s="3"/>
      <c r="H6854" s="3"/>
    </row>
    <row r="6855">
      <c r="A6855" s="2">
        <f>IFERROR(__xludf.DUMMYFUNCTION("""COMPUTED_VALUE"""),80908.0)</f>
        <v>80908</v>
      </c>
      <c r="B6855" s="3" t="str">
        <f>IFERROR(__xludf.DUMMYFUNCTION("""COMPUTED_VALUE"""),"89 RUSH RD ")</f>
        <v>89 RUSH RD </v>
      </c>
      <c r="C6855" s="3" t="str">
        <f>IFERROR(__xludf.DUMMYFUNCTION("""COMPUTED_VALUE"""),"BRIGHTON")</f>
        <v>BRIGHTON</v>
      </c>
      <c r="D6855" s="3" t="str">
        <f>IFERROR(__xludf.DUMMYFUNCTION("""COMPUTED_VALUE"""),"K0K 1H0")</f>
        <v>K0K 1H0</v>
      </c>
      <c r="E6855" s="3" t="str">
        <f>IFERROR(__xludf.DUMMYFUNCTION("""COMPUTED_VALUE"""),"William &amp; Nicole Green")</f>
        <v>William &amp; Nicole Green</v>
      </c>
      <c r="F6855" s="3" t="str">
        <f>IFERROR(__xludf.DUMMYFUNCTION("""COMPUTED_VALUE"""),"nicoleagreen86@hotmail.com")</f>
        <v>nicoleagreen86@hotmail.com</v>
      </c>
      <c r="G6855" s="3"/>
      <c r="H6855" s="3"/>
    </row>
    <row r="6856">
      <c r="A6856" s="2">
        <f>IFERROR(__xludf.DUMMYFUNCTION("""COMPUTED_VALUE"""),80915.0)</f>
        <v>80915</v>
      </c>
      <c r="B6856" s="3" t="str">
        <f>IFERROR(__xludf.DUMMYFUNCTION("""COMPUTED_VALUE"""),"353 SAMIS RD ")</f>
        <v>353 SAMIS RD </v>
      </c>
      <c r="C6856" s="3" t="str">
        <f>IFERROR(__xludf.DUMMYFUNCTION("""COMPUTED_VALUE"""),"COLBORNE")</f>
        <v>COLBORNE</v>
      </c>
      <c r="D6856" s="3" t="str">
        <f>IFERROR(__xludf.DUMMYFUNCTION("""COMPUTED_VALUE"""),"K0K 1S0")</f>
        <v>K0K 1S0</v>
      </c>
      <c r="E6856" s="3"/>
      <c r="F6856" s="3"/>
      <c r="G6856" s="3"/>
      <c r="H6856" s="3"/>
    </row>
    <row r="6857">
      <c r="A6857" s="2">
        <f>IFERROR(__xludf.DUMMYFUNCTION("""COMPUTED_VALUE"""),80917.0)</f>
        <v>80917</v>
      </c>
      <c r="B6857" s="3" t="str">
        <f>IFERROR(__xludf.DUMMYFUNCTION("""COMPUTED_VALUE"""),"111 SHILOH RD ")</f>
        <v>111 SHILOH RD </v>
      </c>
      <c r="C6857" s="3" t="str">
        <f>IFERROR(__xludf.DUMMYFUNCTION("""COMPUTED_VALUE"""),"COLBORNE")</f>
        <v>COLBORNE</v>
      </c>
      <c r="D6857" s="3" t="str">
        <f>IFERROR(__xludf.DUMMYFUNCTION("""COMPUTED_VALUE"""),"K0K 1S0")</f>
        <v>K0K 1S0</v>
      </c>
      <c r="E6857" s="3" t="str">
        <f>IFERROR(__xludf.DUMMYFUNCTION("""COMPUTED_VALUE"""),"Ann Lordanic")</f>
        <v>Ann Lordanic</v>
      </c>
      <c r="F6857" s="3" t="str">
        <f>IFERROR(__xludf.DUMMYFUNCTION("""COMPUTED_VALUE"""),"ann_lordanic@yahoo.com")</f>
        <v>ann_lordanic@yahoo.com</v>
      </c>
      <c r="G6857" s="3">
        <f>IFERROR(__xludf.DUMMYFUNCTION("""COMPUTED_VALUE"""),6.47981395E9)</f>
        <v>6479813950</v>
      </c>
      <c r="H6857" s="3"/>
    </row>
    <row r="6858">
      <c r="A6858" s="2">
        <f>IFERROR(__xludf.DUMMYFUNCTION("""COMPUTED_VALUE"""),80921.0)</f>
        <v>80921</v>
      </c>
      <c r="B6858" s="3" t="str">
        <f>IFERROR(__xludf.DUMMYFUNCTION("""COMPUTED_VALUE"""),"11 STONE LANE ")</f>
        <v>11 STONE LANE </v>
      </c>
      <c r="C6858" s="3" t="str">
        <f>IFERROR(__xludf.DUMMYFUNCTION("""COMPUTED_VALUE"""),"BRIGHTON")</f>
        <v>BRIGHTON</v>
      </c>
      <c r="D6858" s="3" t="str">
        <f>IFERROR(__xludf.DUMMYFUNCTION("""COMPUTED_VALUE"""),"K0K 1H0")</f>
        <v>K0K 1H0</v>
      </c>
      <c r="E6858" s="3" t="str">
        <f>IFERROR(__xludf.DUMMYFUNCTION("""COMPUTED_VALUE"""),"Geoffrey Massey")</f>
        <v>Geoffrey Massey</v>
      </c>
      <c r="F6858" s="3" t="str">
        <f>IFERROR(__xludf.DUMMYFUNCTION("""COMPUTED_VALUE"""),"thorntonlad@hotmail.com ")</f>
        <v>thorntonlad@hotmail.com </v>
      </c>
      <c r="G6858" s="3"/>
      <c r="H6858" s="3"/>
    </row>
    <row r="6859">
      <c r="A6859" s="2">
        <f>IFERROR(__xludf.DUMMYFUNCTION("""COMPUTED_VALUE"""),80922.0)</f>
        <v>80922</v>
      </c>
      <c r="B6859" s="3" t="str">
        <f>IFERROR(__xludf.DUMMYFUNCTION("""COMPUTED_VALUE"""),"28 STONE LANE ")</f>
        <v>28 STONE LANE </v>
      </c>
      <c r="C6859" s="3" t="str">
        <f>IFERROR(__xludf.DUMMYFUNCTION("""COMPUTED_VALUE"""),"BRIGHTON")</f>
        <v>BRIGHTON</v>
      </c>
      <c r="D6859" s="3" t="str">
        <f>IFERROR(__xludf.DUMMYFUNCTION("""COMPUTED_VALUE"""),"K0K 1H0")</f>
        <v>K0K 1H0</v>
      </c>
      <c r="E6859" s="3"/>
      <c r="F6859" s="3"/>
      <c r="G6859" s="3"/>
      <c r="H6859" s="3"/>
    </row>
    <row r="6860">
      <c r="A6860" s="2">
        <f>IFERROR(__xludf.DUMMYFUNCTION("""COMPUTED_VALUE"""),80923.0)</f>
        <v>80923</v>
      </c>
      <c r="B6860" s="3" t="str">
        <f>IFERROR(__xludf.DUMMYFUNCTION("""COMPUTED_VALUE"""),"35 STONE LANE ")</f>
        <v>35 STONE LANE </v>
      </c>
      <c r="C6860" s="3" t="str">
        <f>IFERROR(__xludf.DUMMYFUNCTION("""COMPUTED_VALUE"""),"BRIGHTON")</f>
        <v>BRIGHTON</v>
      </c>
      <c r="D6860" s="3" t="str">
        <f>IFERROR(__xludf.DUMMYFUNCTION("""COMPUTED_VALUE"""),"K0K 1H0")</f>
        <v>K0K 1H0</v>
      </c>
      <c r="E6860" s="3" t="str">
        <f>IFERROR(__xludf.DUMMYFUNCTION("""COMPUTED_VALUE"""),"Maxine Clark")</f>
        <v>Maxine Clark</v>
      </c>
      <c r="F6860" s="3" t="str">
        <f>IFERROR(__xludf.DUMMYFUNCTION("""COMPUTED_VALUE"""),"maxineclark655@gmail.com")</f>
        <v>maxineclark655@gmail.com</v>
      </c>
      <c r="G6860" s="3">
        <f>IFERROR(__xludf.DUMMYFUNCTION("""COMPUTED_VALUE"""),4.167210679E9)</f>
        <v>4167210679</v>
      </c>
      <c r="H6860" s="3"/>
    </row>
    <row r="6861">
      <c r="A6861" s="2">
        <f>IFERROR(__xludf.DUMMYFUNCTION("""COMPUTED_VALUE"""),80999.0)</f>
        <v>80999</v>
      </c>
      <c r="B6861" s="3" t="str">
        <f>IFERROR(__xludf.DUMMYFUNCTION("""COMPUTED_VALUE""")," TELEPHONE RD ")</f>
        <v> TELEPHONE RD </v>
      </c>
      <c r="C6861" s="3" t="str">
        <f>IFERROR(__xludf.DUMMYFUNCTION("""COMPUTED_VALUE"""),"COLBORNE")</f>
        <v>COLBORNE</v>
      </c>
      <c r="D6861" s="3" t="str">
        <f>IFERROR(__xludf.DUMMYFUNCTION("""COMPUTED_VALUE"""),"K0K 1S0")</f>
        <v>K0K 1S0</v>
      </c>
      <c r="E6861" s="3"/>
      <c r="F6861" s="3"/>
      <c r="G6861" s="3"/>
      <c r="H6861" s="3"/>
    </row>
    <row r="6862">
      <c r="A6862" s="2">
        <f>IFERROR(__xludf.DUMMYFUNCTION("""COMPUTED_VALUE"""),80933.0)</f>
        <v>80933</v>
      </c>
      <c r="B6862" s="3" t="str">
        <f>IFERROR(__xludf.DUMMYFUNCTION("""COMPUTED_VALUE"""),"13378 TELEPHONE RD ")</f>
        <v>13378 TELEPHONE RD </v>
      </c>
      <c r="C6862" s="3" t="str">
        <f>IFERROR(__xludf.DUMMYFUNCTION("""COMPUTED_VALUE"""),"COLBORNE")</f>
        <v>COLBORNE</v>
      </c>
      <c r="D6862" s="3" t="str">
        <f>IFERROR(__xludf.DUMMYFUNCTION("""COMPUTED_VALUE"""),"K0K 1S0")</f>
        <v>K0K 1S0</v>
      </c>
      <c r="E6862" s="3" t="str">
        <f>IFERROR(__xludf.DUMMYFUNCTION("""COMPUTED_VALUE"""),"al budjell ")</f>
        <v>al budjell </v>
      </c>
      <c r="F6862" s="3"/>
      <c r="G6862" s="3">
        <f>IFERROR(__xludf.DUMMYFUNCTION("""COMPUTED_VALUE"""),9.053555074E9)</f>
        <v>9053555074</v>
      </c>
      <c r="H6862" s="3"/>
    </row>
    <row r="6863">
      <c r="A6863" s="2">
        <f>IFERROR(__xludf.DUMMYFUNCTION("""COMPUTED_VALUE"""),80934.0)</f>
        <v>80934</v>
      </c>
      <c r="B6863" s="3" t="str">
        <f>IFERROR(__xludf.DUMMYFUNCTION("""COMPUTED_VALUE"""),"13386 TELEPHONE RD ")</f>
        <v>13386 TELEPHONE RD </v>
      </c>
      <c r="C6863" s="3" t="str">
        <f>IFERROR(__xludf.DUMMYFUNCTION("""COMPUTED_VALUE"""),"COLBORNE")</f>
        <v>COLBORNE</v>
      </c>
      <c r="D6863" s="3" t="str">
        <f>IFERROR(__xludf.DUMMYFUNCTION("""COMPUTED_VALUE"""),"K0K 1S0")</f>
        <v>K0K 1S0</v>
      </c>
      <c r="E6863" s="3"/>
      <c r="F6863" s="3"/>
      <c r="G6863" s="3"/>
      <c r="H6863" s="3"/>
    </row>
    <row r="6864">
      <c r="A6864" s="2">
        <f>IFERROR(__xludf.DUMMYFUNCTION("""COMPUTED_VALUE"""),80935.0)</f>
        <v>80935</v>
      </c>
      <c r="B6864" s="3" t="str">
        <f>IFERROR(__xludf.DUMMYFUNCTION("""COMPUTED_VALUE"""),"13397 TELEPHONE RD ")</f>
        <v>13397 TELEPHONE RD </v>
      </c>
      <c r="C6864" s="3" t="str">
        <f>IFERROR(__xludf.DUMMYFUNCTION("""COMPUTED_VALUE"""),"COLBORNE")</f>
        <v>COLBORNE</v>
      </c>
      <c r="D6864" s="3" t="str">
        <f>IFERROR(__xludf.DUMMYFUNCTION("""COMPUTED_VALUE"""),"K0K 1S0")</f>
        <v>K0K 1S0</v>
      </c>
      <c r="E6864" s="3" t="str">
        <f>IFERROR(__xludf.DUMMYFUNCTION("""COMPUTED_VALUE"""),"Carolien Dannrath")</f>
        <v>Carolien Dannrath</v>
      </c>
      <c r="F6864" s="3" t="str">
        <f>IFERROR(__xludf.DUMMYFUNCTION("""COMPUTED_VALUE"""),"cdannrath8@gmail.com")</f>
        <v>cdannrath8@gmail.com</v>
      </c>
      <c r="G6864" s="3"/>
      <c r="H6864" s="3"/>
    </row>
    <row r="6865">
      <c r="A6865" s="2">
        <f>IFERROR(__xludf.DUMMYFUNCTION("""COMPUTED_VALUE"""),80936.0)</f>
        <v>80936</v>
      </c>
      <c r="B6865" s="3" t="str">
        <f>IFERROR(__xludf.DUMMYFUNCTION("""COMPUTED_VALUE"""),"13426 TELEPHONE RD ")</f>
        <v>13426 TELEPHONE RD </v>
      </c>
      <c r="C6865" s="3" t="str">
        <f>IFERROR(__xludf.DUMMYFUNCTION("""COMPUTED_VALUE"""),"COLBORNE")</f>
        <v>COLBORNE</v>
      </c>
      <c r="D6865" s="3" t="str">
        <f>IFERROR(__xludf.DUMMYFUNCTION("""COMPUTED_VALUE"""),"K0K 1S0")</f>
        <v>K0K 1S0</v>
      </c>
      <c r="E6865" s="3" t="str">
        <f>IFERROR(__xludf.DUMMYFUNCTION("""COMPUTED_VALUE"""),"tammy knox ")</f>
        <v>tammy knox </v>
      </c>
      <c r="F6865" s="3" t="str">
        <f>IFERROR(__xludf.DUMMYFUNCTION("""COMPUTED_VALUE"""),"know.tammy@icloud.com")</f>
        <v>know.tammy@icloud.com</v>
      </c>
      <c r="G6865" s="3">
        <f>IFERROR(__xludf.DUMMYFUNCTION("""COMPUTED_VALUE"""),9.053758142E9)</f>
        <v>9053758142</v>
      </c>
      <c r="H6865" s="3">
        <f>IFERROR(__xludf.DUMMYFUNCTION("""COMPUTED_VALUE"""),9.05375847E9)</f>
        <v>9053758470</v>
      </c>
    </row>
    <row r="6866">
      <c r="A6866" s="2">
        <f>IFERROR(__xludf.DUMMYFUNCTION("""COMPUTED_VALUE"""),80937.0)</f>
        <v>80937</v>
      </c>
      <c r="B6866" s="3" t="str">
        <f>IFERROR(__xludf.DUMMYFUNCTION("""COMPUTED_VALUE"""),"13576 TELEPHONE RD ")</f>
        <v>13576 TELEPHONE RD </v>
      </c>
      <c r="C6866" s="3" t="str">
        <f>IFERROR(__xludf.DUMMYFUNCTION("""COMPUTED_VALUE"""),"COLBORNE")</f>
        <v>COLBORNE</v>
      </c>
      <c r="D6866" s="3" t="str">
        <f>IFERROR(__xludf.DUMMYFUNCTION("""COMPUTED_VALUE"""),"K0K 1S0")</f>
        <v>K0K 1S0</v>
      </c>
      <c r="E6866" s="3" t="str">
        <f>IFERROR(__xludf.DUMMYFUNCTION("""COMPUTED_VALUE"""),"ryan thulien")</f>
        <v>ryan thulien</v>
      </c>
      <c r="F6866" s="3" t="str">
        <f>IFERROR(__xludf.DUMMYFUNCTION("""COMPUTED_VALUE"""),"rthulien@gmail.com")</f>
        <v>rthulien@gmail.com</v>
      </c>
      <c r="G6866" s="3">
        <f>IFERROR(__xludf.DUMMYFUNCTION("""COMPUTED_VALUE"""),6.472968021E9)</f>
        <v>6472968021</v>
      </c>
      <c r="H6866" s="3"/>
    </row>
    <row r="6867">
      <c r="A6867" s="2">
        <f>IFERROR(__xludf.DUMMYFUNCTION("""COMPUTED_VALUE"""),80938.0)</f>
        <v>80938</v>
      </c>
      <c r="B6867" s="3" t="str">
        <f>IFERROR(__xludf.DUMMYFUNCTION("""COMPUTED_VALUE"""),"13630 TELEPHONE RD ")</f>
        <v>13630 TELEPHONE RD </v>
      </c>
      <c r="C6867" s="3" t="str">
        <f>IFERROR(__xludf.DUMMYFUNCTION("""COMPUTED_VALUE"""),"COLBORNE")</f>
        <v>COLBORNE</v>
      </c>
      <c r="D6867" s="3" t="str">
        <f>IFERROR(__xludf.DUMMYFUNCTION("""COMPUTED_VALUE"""),"K0K 1S0")</f>
        <v>K0K 1S0</v>
      </c>
      <c r="E6867" s="3" t="str">
        <f>IFERROR(__xludf.DUMMYFUNCTION("""COMPUTED_VALUE"""),"Kurt Yaskow")</f>
        <v>Kurt Yaskow</v>
      </c>
      <c r="F6867" s="3" t="str">
        <f>IFERROR(__xludf.DUMMYFUNCTION("""COMPUTED_VALUE"""),"rsnova78@hotmail.com")</f>
        <v>rsnova78@hotmail.com</v>
      </c>
      <c r="G6867" s="3">
        <f>IFERROR(__xludf.DUMMYFUNCTION("""COMPUTED_VALUE"""),9.052139437E9)</f>
        <v>9052139437</v>
      </c>
      <c r="H6867" s="3">
        <f>IFERROR(__xludf.DUMMYFUNCTION("""COMPUTED_VALUE"""),9.053553358E9)</f>
        <v>9053553358</v>
      </c>
    </row>
    <row r="6868">
      <c r="A6868" s="2">
        <f>IFERROR(__xludf.DUMMYFUNCTION("""COMPUTED_VALUE"""),80939.0)</f>
        <v>80939</v>
      </c>
      <c r="B6868" s="3" t="str">
        <f>IFERROR(__xludf.DUMMYFUNCTION("""COMPUTED_VALUE"""),"13642 TELEPHONE RD ")</f>
        <v>13642 TELEPHONE RD </v>
      </c>
      <c r="C6868" s="3" t="str">
        <f>IFERROR(__xludf.DUMMYFUNCTION("""COMPUTED_VALUE"""),"COLBORNE")</f>
        <v>COLBORNE</v>
      </c>
      <c r="D6868" s="3" t="str">
        <f>IFERROR(__xludf.DUMMYFUNCTION("""COMPUTED_VALUE"""),"K0K 1S0")</f>
        <v>K0K 1S0</v>
      </c>
      <c r="E6868" s="3" t="str">
        <f>IFERROR(__xludf.DUMMYFUNCTION("""COMPUTED_VALUE"""),"Anthony Turney")</f>
        <v>Anthony Turney</v>
      </c>
      <c r="F6868" s="3" t="str">
        <f>IFERROR(__xludf.DUMMYFUNCTION("""COMPUTED_VALUE"""),"turneyeh@outlook.com")</f>
        <v>turneyeh@outlook.com</v>
      </c>
      <c r="G6868" s="3">
        <f>IFERROR(__xludf.DUMMYFUNCTION("""COMPUTED_VALUE"""),5.879872191E9)</f>
        <v>5879872191</v>
      </c>
      <c r="H6868" s="3">
        <f>IFERROR(__xludf.DUMMYFUNCTION("""COMPUTED_VALUE"""),6.479734801E9)</f>
        <v>6479734801</v>
      </c>
    </row>
    <row r="6869">
      <c r="A6869" s="2">
        <f>IFERROR(__xludf.DUMMYFUNCTION("""COMPUTED_VALUE"""),80940.0)</f>
        <v>80940</v>
      </c>
      <c r="B6869" s="3" t="str">
        <f>IFERROR(__xludf.DUMMYFUNCTION("""COMPUTED_VALUE"""),"13643 TELEPHONE RD ")</f>
        <v>13643 TELEPHONE RD </v>
      </c>
      <c r="C6869" s="3" t="str">
        <f>IFERROR(__xludf.DUMMYFUNCTION("""COMPUTED_VALUE"""),"COLBORNE")</f>
        <v>COLBORNE</v>
      </c>
      <c r="D6869" s="3" t="str">
        <f>IFERROR(__xludf.DUMMYFUNCTION("""COMPUTED_VALUE"""),"K0K 1S0")</f>
        <v>K0K 1S0</v>
      </c>
      <c r="E6869" s="3"/>
      <c r="F6869" s="3"/>
      <c r="G6869" s="3"/>
      <c r="H6869" s="3"/>
    </row>
    <row r="6870">
      <c r="A6870" s="2">
        <f>IFERROR(__xludf.DUMMYFUNCTION("""COMPUTED_VALUE"""),80941.0)</f>
        <v>80941</v>
      </c>
      <c r="B6870" s="3" t="str">
        <f>IFERROR(__xludf.DUMMYFUNCTION("""COMPUTED_VALUE"""),"13656 TELEPHONE RD ")</f>
        <v>13656 TELEPHONE RD </v>
      </c>
      <c r="C6870" s="3" t="str">
        <f>IFERROR(__xludf.DUMMYFUNCTION("""COMPUTED_VALUE"""),"COLBORNE")</f>
        <v>COLBORNE</v>
      </c>
      <c r="D6870" s="3" t="str">
        <f>IFERROR(__xludf.DUMMYFUNCTION("""COMPUTED_VALUE"""),"K0K 1S0")</f>
        <v>K0K 1S0</v>
      </c>
      <c r="E6870" s="3" t="str">
        <f>IFERROR(__xludf.DUMMYFUNCTION("""COMPUTED_VALUE"""),"diana vengroff")</f>
        <v>diana vengroff</v>
      </c>
      <c r="F6870" s="3" t="str">
        <f>IFERROR(__xludf.DUMMYFUNCTION("""COMPUTED_VALUE"""),"glenndiana18@hotmail.com")</f>
        <v>glenndiana18@hotmail.com</v>
      </c>
      <c r="G6870" s="3">
        <f>IFERROR(__xludf.DUMMYFUNCTION("""COMPUTED_VALUE"""),6.479192755E9)</f>
        <v>6479192755</v>
      </c>
      <c r="H6870" s="3"/>
    </row>
    <row r="6871">
      <c r="A6871" s="2">
        <f>IFERROR(__xludf.DUMMYFUNCTION("""COMPUTED_VALUE"""),81054.0)</f>
        <v>81054</v>
      </c>
      <c r="B6871" s="3" t="str">
        <f>IFERROR(__xludf.DUMMYFUNCTION("""COMPUTED_VALUE"""),"13711 TELEPHONE RD ")</f>
        <v>13711 TELEPHONE RD </v>
      </c>
      <c r="C6871" s="3" t="str">
        <f>IFERROR(__xludf.DUMMYFUNCTION("""COMPUTED_VALUE"""),"COLBORNE")</f>
        <v>COLBORNE</v>
      </c>
      <c r="D6871" s="3" t="str">
        <f>IFERROR(__xludf.DUMMYFUNCTION("""COMPUTED_VALUE"""),"K0K 1S0")</f>
        <v>K0K 1S0</v>
      </c>
      <c r="E6871" s="3" t="str">
        <f>IFERROR(__xludf.DUMMYFUNCTION("""COMPUTED_VALUE"""),"neil chapman")</f>
        <v>neil chapman</v>
      </c>
      <c r="F6871" s="3"/>
      <c r="G6871" s="3">
        <f>IFERROR(__xludf.DUMMYFUNCTION("""COMPUTED_VALUE"""),9.053555926E9)</f>
        <v>9053555926</v>
      </c>
      <c r="H6871" s="3"/>
    </row>
    <row r="6872">
      <c r="A6872" s="2">
        <f>IFERROR(__xludf.DUMMYFUNCTION("""COMPUTED_VALUE"""),80942.0)</f>
        <v>80942</v>
      </c>
      <c r="B6872" s="3" t="str">
        <f>IFERROR(__xludf.DUMMYFUNCTION("""COMPUTED_VALUE"""),"13713 TELEPHONE RD ")</f>
        <v>13713 TELEPHONE RD </v>
      </c>
      <c r="C6872" s="3" t="str">
        <f>IFERROR(__xludf.DUMMYFUNCTION("""COMPUTED_VALUE"""),"COLBORNE")</f>
        <v>COLBORNE</v>
      </c>
      <c r="D6872" s="3" t="str">
        <f>IFERROR(__xludf.DUMMYFUNCTION("""COMPUTED_VALUE"""),"K0K 1S0")</f>
        <v>K0K 1S0</v>
      </c>
      <c r="E6872" s="3" t="str">
        <f>IFERROR(__xludf.DUMMYFUNCTION("""COMPUTED_VALUE"""),"neil chapman")</f>
        <v>neil chapman</v>
      </c>
      <c r="F6872" s="3"/>
      <c r="G6872" s="3">
        <f>IFERROR(__xludf.DUMMYFUNCTION("""COMPUTED_VALUE"""),9.053555926E9)</f>
        <v>9053555926</v>
      </c>
      <c r="H6872" s="3"/>
    </row>
    <row r="6873">
      <c r="A6873" s="2">
        <f>IFERROR(__xludf.DUMMYFUNCTION("""COMPUTED_VALUE"""),80943.0)</f>
        <v>80943</v>
      </c>
      <c r="B6873" s="3" t="str">
        <f>IFERROR(__xludf.DUMMYFUNCTION("""COMPUTED_VALUE"""),"13735 TELEPHONE RD ")</f>
        <v>13735 TELEPHONE RD </v>
      </c>
      <c r="C6873" s="3" t="str">
        <f>IFERROR(__xludf.DUMMYFUNCTION("""COMPUTED_VALUE"""),"COLBORNE")</f>
        <v>COLBORNE</v>
      </c>
      <c r="D6873" s="3" t="str">
        <f>IFERROR(__xludf.DUMMYFUNCTION("""COMPUTED_VALUE"""),"K0K 1S0")</f>
        <v>K0K 1S0</v>
      </c>
      <c r="E6873" s="3" t="str">
        <f>IFERROR(__xludf.DUMMYFUNCTION("""COMPUTED_VALUE"""),"neil chapman")</f>
        <v>neil chapman</v>
      </c>
      <c r="F6873" s="3"/>
      <c r="G6873" s="3">
        <f>IFERROR(__xludf.DUMMYFUNCTION("""COMPUTED_VALUE"""),9.053555926E9)</f>
        <v>9053555926</v>
      </c>
      <c r="H6873" s="3"/>
    </row>
    <row r="6874">
      <c r="A6874" s="2">
        <f>IFERROR(__xludf.DUMMYFUNCTION("""COMPUTED_VALUE"""),80944.0)</f>
        <v>80944</v>
      </c>
      <c r="B6874" s="3" t="str">
        <f>IFERROR(__xludf.DUMMYFUNCTION("""COMPUTED_VALUE"""),"13744 TELEPHONE RD ")</f>
        <v>13744 TELEPHONE RD </v>
      </c>
      <c r="C6874" s="3" t="str">
        <f>IFERROR(__xludf.DUMMYFUNCTION("""COMPUTED_VALUE"""),"COLBORNE")</f>
        <v>COLBORNE</v>
      </c>
      <c r="D6874" s="3" t="str">
        <f>IFERROR(__xludf.DUMMYFUNCTION("""COMPUTED_VALUE"""),"K0K 1S0")</f>
        <v>K0K 1S0</v>
      </c>
      <c r="E6874" s="3" t="str">
        <f>IFERROR(__xludf.DUMMYFUNCTION("""COMPUTED_VALUE"""),"Renee Mintz")</f>
        <v>Renee Mintz</v>
      </c>
      <c r="F6874" s="3" t="str">
        <f>IFERROR(__xludf.DUMMYFUNCTION("""COMPUTED_VALUE"""),"reneemintz@gmail.com")</f>
        <v>reneemintz@gmail.com</v>
      </c>
      <c r="G6874" s="3"/>
      <c r="H6874" s="3"/>
    </row>
    <row r="6875">
      <c r="A6875" s="2">
        <f>IFERROR(__xludf.DUMMYFUNCTION("""COMPUTED_VALUE"""),80945.0)</f>
        <v>80945</v>
      </c>
      <c r="B6875" s="3" t="str">
        <f>IFERROR(__xludf.DUMMYFUNCTION("""COMPUTED_VALUE"""),"13778 TELEPHONE RD ")</f>
        <v>13778 TELEPHONE RD </v>
      </c>
      <c r="C6875" s="3" t="str">
        <f>IFERROR(__xludf.DUMMYFUNCTION("""COMPUTED_VALUE"""),"COLBORNE")</f>
        <v>COLBORNE</v>
      </c>
      <c r="D6875" s="3" t="str">
        <f>IFERROR(__xludf.DUMMYFUNCTION("""COMPUTED_VALUE"""),"K0K 1S0")</f>
        <v>K0K 1S0</v>
      </c>
      <c r="E6875" s="3" t="str">
        <f>IFERROR(__xludf.DUMMYFUNCTION("""COMPUTED_VALUE"""),"MATTHEW SHARP")</f>
        <v>MATTHEW SHARP</v>
      </c>
      <c r="F6875" s="3" t="str">
        <f>IFERROR(__xludf.DUMMYFUNCTION("""COMPUTED_VALUE"""),"necro.sharp@gmail.com")</f>
        <v>necro.sharp@gmail.com</v>
      </c>
      <c r="G6875" s="3">
        <f>IFERROR(__xludf.DUMMYFUNCTION("""COMPUTED_VALUE"""),9.052697881E9)</f>
        <v>9052697881</v>
      </c>
      <c r="H6875" s="3"/>
    </row>
    <row r="6876">
      <c r="A6876" s="2">
        <f>IFERROR(__xludf.DUMMYFUNCTION("""COMPUTED_VALUE"""),80946.0)</f>
        <v>80946</v>
      </c>
      <c r="B6876" s="3" t="str">
        <f>IFERROR(__xludf.DUMMYFUNCTION("""COMPUTED_VALUE"""),"13809 TELEPHONE RD ")</f>
        <v>13809 TELEPHONE RD </v>
      </c>
      <c r="C6876" s="3" t="str">
        <f>IFERROR(__xludf.DUMMYFUNCTION("""COMPUTED_VALUE"""),"COLBORNE")</f>
        <v>COLBORNE</v>
      </c>
      <c r="D6876" s="3" t="str">
        <f>IFERROR(__xludf.DUMMYFUNCTION("""COMPUTED_VALUE"""),"K0K 1S0")</f>
        <v>K0K 1S0</v>
      </c>
      <c r="E6876" s="3" t="str">
        <f>IFERROR(__xludf.DUMMYFUNCTION("""COMPUTED_VALUE"""),"Michelle Carroll")</f>
        <v>Michelle Carroll</v>
      </c>
      <c r="F6876" s="3" t="str">
        <f>IFERROR(__xludf.DUMMYFUNCTION("""COMPUTED_VALUE"""),"carroll5793@hotmail.com")</f>
        <v>carroll5793@hotmail.com</v>
      </c>
      <c r="G6876" s="3">
        <f>IFERROR(__xludf.DUMMYFUNCTION("""COMPUTED_VALUE"""),9.057674752E9)</f>
        <v>9057674752</v>
      </c>
      <c r="H6876" s="3"/>
    </row>
    <row r="6877">
      <c r="A6877" s="2">
        <f>IFERROR(__xludf.DUMMYFUNCTION("""COMPUTED_VALUE"""),80947.0)</f>
        <v>80947</v>
      </c>
      <c r="B6877" s="3" t="str">
        <f>IFERROR(__xludf.DUMMYFUNCTION("""COMPUTED_VALUE"""),"13821 TELEPHONE RD ")</f>
        <v>13821 TELEPHONE RD </v>
      </c>
      <c r="C6877" s="3" t="str">
        <f>IFERROR(__xludf.DUMMYFUNCTION("""COMPUTED_VALUE"""),"COLBORNE")</f>
        <v>COLBORNE</v>
      </c>
      <c r="D6877" s="3" t="str">
        <f>IFERROR(__xludf.DUMMYFUNCTION("""COMPUTED_VALUE"""),"K0K 1S0")</f>
        <v>K0K 1S0</v>
      </c>
      <c r="E6877" s="3" t="str">
        <f>IFERROR(__xludf.DUMMYFUNCTION("""COMPUTED_VALUE"""),"Jeanne Mounsteven ")</f>
        <v>Jeanne Mounsteven </v>
      </c>
      <c r="F6877" s="3" t="str">
        <f>IFERROR(__xludf.DUMMYFUNCTION("""COMPUTED_VALUE"""),"n/a")</f>
        <v>n/a</v>
      </c>
      <c r="G6877" s="3"/>
      <c r="H6877" s="3"/>
    </row>
    <row r="6878">
      <c r="A6878" s="2">
        <f>IFERROR(__xludf.DUMMYFUNCTION("""COMPUTED_VALUE"""),80948.0)</f>
        <v>80948</v>
      </c>
      <c r="B6878" s="3" t="str">
        <f>IFERROR(__xludf.DUMMYFUNCTION("""COMPUTED_VALUE"""),"13844 TELEPHONE RD ")</f>
        <v>13844 TELEPHONE RD </v>
      </c>
      <c r="C6878" s="3" t="str">
        <f>IFERROR(__xludf.DUMMYFUNCTION("""COMPUTED_VALUE"""),"COLBORNE")</f>
        <v>COLBORNE</v>
      </c>
      <c r="D6878" s="3" t="str">
        <f>IFERROR(__xludf.DUMMYFUNCTION("""COMPUTED_VALUE"""),"K0K 1S0")</f>
        <v>K0K 1S0</v>
      </c>
      <c r="E6878" s="3" t="str">
        <f>IFERROR(__xludf.DUMMYFUNCTION("""COMPUTED_VALUE"""),"danielle and ryan vrana")</f>
        <v>danielle and ryan vrana</v>
      </c>
      <c r="F6878" s="3" t="str">
        <f>IFERROR(__xludf.DUMMYFUNCTION("""COMPUTED_VALUE"""),"danielle.vrana@gmail.com")</f>
        <v>danielle.vrana@gmail.com</v>
      </c>
      <c r="G6878" s="3">
        <f>IFERROR(__xludf.DUMMYFUNCTION("""COMPUTED_VALUE"""),2.898931279E9)</f>
        <v>2898931279</v>
      </c>
      <c r="H6878" s="3"/>
    </row>
    <row r="6879">
      <c r="A6879" s="2">
        <f>IFERROR(__xludf.DUMMYFUNCTION("""COMPUTED_VALUE"""),80949.0)</f>
        <v>80949</v>
      </c>
      <c r="B6879" s="3" t="str">
        <f>IFERROR(__xludf.DUMMYFUNCTION("""COMPUTED_VALUE"""),"13882 TELEPHONE RD ")</f>
        <v>13882 TELEPHONE RD </v>
      </c>
      <c r="C6879" s="3" t="str">
        <f>IFERROR(__xludf.DUMMYFUNCTION("""COMPUTED_VALUE"""),"COLBORNE")</f>
        <v>COLBORNE</v>
      </c>
      <c r="D6879" s="3" t="str">
        <f>IFERROR(__xludf.DUMMYFUNCTION("""COMPUTED_VALUE"""),"K0K 1S0")</f>
        <v>K0K 1S0</v>
      </c>
      <c r="E6879" s="3" t="str">
        <f>IFERROR(__xludf.DUMMYFUNCTION("""COMPUTED_VALUE"""),"Jonathon locke")</f>
        <v>Jonathon locke</v>
      </c>
      <c r="F6879" s="3" t="str">
        <f>IFERROR(__xludf.DUMMYFUNCTION("""COMPUTED_VALUE"""),"jon_locke@live.com")</f>
        <v>jon_locke@live.com</v>
      </c>
      <c r="G6879" s="3">
        <f>IFERROR(__xludf.DUMMYFUNCTION("""COMPUTED_VALUE"""),9.05441816E9)</f>
        <v>9054418160</v>
      </c>
      <c r="H6879" s="3">
        <f>IFERROR(__xludf.DUMMYFUNCTION("""COMPUTED_VALUE"""),9.054474105E9)</f>
        <v>9054474105</v>
      </c>
    </row>
    <row r="6880">
      <c r="A6880" s="2">
        <f>IFERROR(__xludf.DUMMYFUNCTION("""COMPUTED_VALUE"""),80950.0)</f>
        <v>80950</v>
      </c>
      <c r="B6880" s="3" t="str">
        <f>IFERROR(__xludf.DUMMYFUNCTION("""COMPUTED_VALUE"""),"13915 TELEPHONE RD ")</f>
        <v>13915 TELEPHONE RD </v>
      </c>
      <c r="C6880" s="3" t="str">
        <f>IFERROR(__xludf.DUMMYFUNCTION("""COMPUTED_VALUE"""),"COLBORNE")</f>
        <v>COLBORNE</v>
      </c>
      <c r="D6880" s="3" t="str">
        <f>IFERROR(__xludf.DUMMYFUNCTION("""COMPUTED_VALUE"""),"K0K 1S0")</f>
        <v>K0K 1S0</v>
      </c>
      <c r="E6880" s="3"/>
      <c r="F6880" s="3"/>
      <c r="G6880" s="3"/>
      <c r="H6880" s="3"/>
    </row>
    <row r="6881">
      <c r="A6881" s="2">
        <f>IFERROR(__xludf.DUMMYFUNCTION("""COMPUTED_VALUE"""),80951.0)</f>
        <v>80951</v>
      </c>
      <c r="B6881" s="3" t="str">
        <f>IFERROR(__xludf.DUMMYFUNCTION("""COMPUTED_VALUE"""),"14040 TELEPHONE RD ")</f>
        <v>14040 TELEPHONE RD </v>
      </c>
      <c r="C6881" s="3" t="str">
        <f>IFERROR(__xludf.DUMMYFUNCTION("""COMPUTED_VALUE"""),"COLBORNE")</f>
        <v>COLBORNE</v>
      </c>
      <c r="D6881" s="3" t="str">
        <f>IFERROR(__xludf.DUMMYFUNCTION("""COMPUTED_VALUE"""),"K0K 1S0")</f>
        <v>K0K 1S0</v>
      </c>
      <c r="E6881" s="3" t="str">
        <f>IFERROR(__xludf.DUMMYFUNCTION("""COMPUTED_VALUE"""),"gerald barret ")</f>
        <v>gerald barret </v>
      </c>
      <c r="F6881" s="3" t="str">
        <f>IFERROR(__xludf.DUMMYFUNCTION("""COMPUTED_VALUE"""),"ssjohns@eagle.ca")</f>
        <v>ssjohns@eagle.ca</v>
      </c>
      <c r="G6881" s="3">
        <f>IFERROR(__xludf.DUMMYFUNCTION("""COMPUTED_VALUE"""),9.05355582E9)</f>
        <v>9053555820</v>
      </c>
      <c r="H6881" s="3">
        <f>IFERROR(__xludf.DUMMYFUNCTION("""COMPUTED_VALUE"""),5.193897518E9)</f>
        <v>5193897518</v>
      </c>
    </row>
    <row r="6882">
      <c r="A6882" s="2">
        <f>IFERROR(__xludf.DUMMYFUNCTION("""COMPUTED_VALUE"""),80952.0)</f>
        <v>80952</v>
      </c>
      <c r="B6882" s="3" t="str">
        <f>IFERROR(__xludf.DUMMYFUNCTION("""COMPUTED_VALUE"""),"14045 TELEPHONE RD ")</f>
        <v>14045 TELEPHONE RD </v>
      </c>
      <c r="C6882" s="3" t="str">
        <f>IFERROR(__xludf.DUMMYFUNCTION("""COMPUTED_VALUE"""),"COLBORNE")</f>
        <v>COLBORNE</v>
      </c>
      <c r="D6882" s="3" t="str">
        <f>IFERROR(__xludf.DUMMYFUNCTION("""COMPUTED_VALUE"""),"K0K 1S0")</f>
        <v>K0K 1S0</v>
      </c>
      <c r="E6882" s="3" t="str">
        <f>IFERROR(__xludf.DUMMYFUNCTION("""COMPUTED_VALUE"""),"Lindsey Gale")</f>
        <v>Lindsey Gale</v>
      </c>
      <c r="F6882" s="3" t="str">
        <f>IFERROR(__xludf.DUMMYFUNCTION("""COMPUTED_VALUE"""),"lindsayvgale@gmail.com")</f>
        <v>lindsayvgale@gmail.com</v>
      </c>
      <c r="G6882" s="3"/>
      <c r="H6882" s="3"/>
    </row>
    <row r="6883">
      <c r="A6883" s="2">
        <f>IFERROR(__xludf.DUMMYFUNCTION("""COMPUTED_VALUE"""),80953.0)</f>
        <v>80953</v>
      </c>
      <c r="B6883" s="3" t="str">
        <f>IFERROR(__xludf.DUMMYFUNCTION("""COMPUTED_VALUE"""),"14073 TELEPHONE RD ")</f>
        <v>14073 TELEPHONE RD </v>
      </c>
      <c r="C6883" s="3" t="str">
        <f>IFERROR(__xludf.DUMMYFUNCTION("""COMPUTED_VALUE"""),"COLBORNE")</f>
        <v>COLBORNE</v>
      </c>
      <c r="D6883" s="3" t="str">
        <f>IFERROR(__xludf.DUMMYFUNCTION("""COMPUTED_VALUE"""),"K0K 1S0")</f>
        <v>K0K 1S0</v>
      </c>
      <c r="E6883" s="3" t="str">
        <f>IFERROR(__xludf.DUMMYFUNCTION("""COMPUTED_VALUE"""),"Cheryl &amp; Paul Bird")</f>
        <v>Cheryl &amp; Paul Bird</v>
      </c>
      <c r="F6883" s="3" t="str">
        <f>IFERROR(__xludf.DUMMYFUNCTION("""COMPUTED_VALUE"""),"cbird@xplornet.com")</f>
        <v>cbird@xplornet.com</v>
      </c>
      <c r="G6883" s="3"/>
      <c r="H6883" s="3"/>
    </row>
    <row r="6884">
      <c r="A6884" s="2">
        <f>IFERROR(__xludf.DUMMYFUNCTION("""COMPUTED_VALUE"""),80954.0)</f>
        <v>80954</v>
      </c>
      <c r="B6884" s="3" t="str">
        <f>IFERROR(__xludf.DUMMYFUNCTION("""COMPUTED_VALUE"""),"14076 TELEPHONE RD ")</f>
        <v>14076 TELEPHONE RD </v>
      </c>
      <c r="C6884" s="3" t="str">
        <f>IFERROR(__xludf.DUMMYFUNCTION("""COMPUTED_VALUE"""),"COLBORNE")</f>
        <v>COLBORNE</v>
      </c>
      <c r="D6884" s="3" t="str">
        <f>IFERROR(__xludf.DUMMYFUNCTION("""COMPUTED_VALUE"""),"K0K 1S0")</f>
        <v>K0K 1S0</v>
      </c>
      <c r="E6884" s="3" t="str">
        <f>IFERROR(__xludf.DUMMYFUNCTION("""COMPUTED_VALUE"""),"Ian Conboy")</f>
        <v>Ian Conboy</v>
      </c>
      <c r="F6884" s="3" t="str">
        <f>IFERROR(__xludf.DUMMYFUNCTION("""COMPUTED_VALUE"""),"ianconboy@hotmail.com")</f>
        <v>ianconboy@hotmail.com</v>
      </c>
      <c r="G6884" s="3">
        <f>IFERROR(__xludf.DUMMYFUNCTION("""COMPUTED_VALUE"""),9.0592202E9)</f>
        <v>9059220200</v>
      </c>
      <c r="H6884" s="3">
        <f>IFERROR(__xludf.DUMMYFUNCTION("""COMPUTED_VALUE"""),9.05626197E9)</f>
        <v>9056261970</v>
      </c>
    </row>
    <row r="6885">
      <c r="A6885" s="2">
        <f>IFERROR(__xludf.DUMMYFUNCTION("""COMPUTED_VALUE"""),80955.0)</f>
        <v>80955</v>
      </c>
      <c r="B6885" s="3" t="str">
        <f>IFERROR(__xludf.DUMMYFUNCTION("""COMPUTED_VALUE"""),"14104 TELEPHONE RD ")</f>
        <v>14104 TELEPHONE RD </v>
      </c>
      <c r="C6885" s="3" t="str">
        <f>IFERROR(__xludf.DUMMYFUNCTION("""COMPUTED_VALUE"""),"COLBORNE")</f>
        <v>COLBORNE</v>
      </c>
      <c r="D6885" s="3" t="str">
        <f>IFERROR(__xludf.DUMMYFUNCTION("""COMPUTED_VALUE"""),"K0K 1S0")</f>
        <v>K0K 1S0</v>
      </c>
      <c r="E6885" s="3" t="str">
        <f>IFERROR(__xludf.DUMMYFUNCTION("""COMPUTED_VALUE"""),"richard deuries")</f>
        <v>richard deuries</v>
      </c>
      <c r="F6885" s="3" t="str">
        <f>IFERROR(__xludf.DUMMYFUNCTION("""COMPUTED_VALUE"""),"kickrickx2@gmail.com")</f>
        <v>kickrickx2@gmail.com</v>
      </c>
      <c r="G6885" s="3">
        <f>IFERROR(__xludf.DUMMYFUNCTION("""COMPUTED_VALUE"""),6.134033353E9)</f>
        <v>6134033353</v>
      </c>
      <c r="H6885" s="3"/>
    </row>
    <row r="6886">
      <c r="A6886" s="2">
        <f>IFERROR(__xludf.DUMMYFUNCTION("""COMPUTED_VALUE"""),80956.0)</f>
        <v>80956</v>
      </c>
      <c r="B6886" s="3" t="str">
        <f>IFERROR(__xludf.DUMMYFUNCTION("""COMPUTED_VALUE"""),"14118 TELEPHONE RD ")</f>
        <v>14118 TELEPHONE RD </v>
      </c>
      <c r="C6886" s="3" t="str">
        <f>IFERROR(__xludf.DUMMYFUNCTION("""COMPUTED_VALUE"""),"COLBORNE")</f>
        <v>COLBORNE</v>
      </c>
      <c r="D6886" s="3" t="str">
        <f>IFERROR(__xludf.DUMMYFUNCTION("""COMPUTED_VALUE"""),"K0K 1S0")</f>
        <v>K0K 1S0</v>
      </c>
      <c r="E6886" s="3" t="str">
        <f>IFERROR(__xludf.DUMMYFUNCTION("""COMPUTED_VALUE"""),"Kira &amp; Matt Alexander")</f>
        <v>Kira &amp; Matt Alexander</v>
      </c>
      <c r="F6886" s="3" t="str">
        <f>IFERROR(__xludf.DUMMYFUNCTION("""COMPUTED_VALUE"""),"kira.alexander07@gmail.com")</f>
        <v>kira.alexander07@gmail.com</v>
      </c>
      <c r="G6886" s="3"/>
      <c r="H6886" s="3"/>
    </row>
    <row r="6887">
      <c r="A6887" s="2">
        <f>IFERROR(__xludf.DUMMYFUNCTION("""COMPUTED_VALUE"""),80957.0)</f>
        <v>80957</v>
      </c>
      <c r="B6887" s="3" t="str">
        <f>IFERROR(__xludf.DUMMYFUNCTION("""COMPUTED_VALUE"""),"14170 TELEPHONE RD ")</f>
        <v>14170 TELEPHONE RD </v>
      </c>
      <c r="C6887" s="3" t="str">
        <f>IFERROR(__xludf.DUMMYFUNCTION("""COMPUTED_VALUE"""),"COLBORNE")</f>
        <v>COLBORNE</v>
      </c>
      <c r="D6887" s="3" t="str">
        <f>IFERROR(__xludf.DUMMYFUNCTION("""COMPUTED_VALUE"""),"K0K 1S0")</f>
        <v>K0K 1S0</v>
      </c>
      <c r="E6887" s="3" t="str">
        <f>IFERROR(__xludf.DUMMYFUNCTION("""COMPUTED_VALUE"""),"lesley taylor")</f>
        <v>lesley taylor</v>
      </c>
      <c r="F6887" s="3"/>
      <c r="G6887" s="3">
        <f>IFERROR(__xludf.DUMMYFUNCTION("""COMPUTED_VALUE"""),9.05376443E9)</f>
        <v>9053764430</v>
      </c>
      <c r="H6887" s="3">
        <f>IFERROR(__xludf.DUMMYFUNCTION("""COMPUTED_VALUE"""),9.053764411E9)</f>
        <v>9053764411</v>
      </c>
    </row>
    <row r="6888">
      <c r="A6888" s="2">
        <f>IFERROR(__xludf.DUMMYFUNCTION("""COMPUTED_VALUE"""),80958.0)</f>
        <v>80958</v>
      </c>
      <c r="B6888" s="3" t="str">
        <f>IFERROR(__xludf.DUMMYFUNCTION("""COMPUTED_VALUE"""),"14238 TELEPHONE RD ")</f>
        <v>14238 TELEPHONE RD </v>
      </c>
      <c r="C6888" s="3" t="str">
        <f>IFERROR(__xludf.DUMMYFUNCTION("""COMPUTED_VALUE"""),"COLBORNE")</f>
        <v>COLBORNE</v>
      </c>
      <c r="D6888" s="3" t="str">
        <f>IFERROR(__xludf.DUMMYFUNCTION("""COMPUTED_VALUE"""),"K0K 1S0")</f>
        <v>K0K 1S0</v>
      </c>
      <c r="E6888" s="3" t="str">
        <f>IFERROR(__xludf.DUMMYFUNCTION("""COMPUTED_VALUE"""),"Steven Tedford")</f>
        <v>Steven Tedford</v>
      </c>
      <c r="F6888" s="3" t="str">
        <f>IFERROR(__xludf.DUMMYFUNCTION("""COMPUTED_VALUE"""),"firebornswords@yahoo.com")</f>
        <v>firebornswords@yahoo.com</v>
      </c>
      <c r="G6888" s="3">
        <f>IFERROR(__xludf.DUMMYFUNCTION("""COMPUTED_VALUE"""),6.136897569E9)</f>
        <v>6136897569</v>
      </c>
      <c r="H6888" s="3"/>
    </row>
    <row r="6889">
      <c r="A6889" s="2">
        <f>IFERROR(__xludf.DUMMYFUNCTION("""COMPUTED_VALUE"""),80959.0)</f>
        <v>80959</v>
      </c>
      <c r="B6889" s="3" t="str">
        <f>IFERROR(__xludf.DUMMYFUNCTION("""COMPUTED_VALUE"""),"14239 TELEPHONE RD ")</f>
        <v>14239 TELEPHONE RD </v>
      </c>
      <c r="C6889" s="3" t="str">
        <f>IFERROR(__xludf.DUMMYFUNCTION("""COMPUTED_VALUE"""),"COLBORNE")</f>
        <v>COLBORNE</v>
      </c>
      <c r="D6889" s="3" t="str">
        <f>IFERROR(__xludf.DUMMYFUNCTION("""COMPUTED_VALUE"""),"K0K 1S0")</f>
        <v>K0K 1S0</v>
      </c>
      <c r="E6889" s="3" t="str">
        <f>IFERROR(__xludf.DUMMYFUNCTION("""COMPUTED_VALUE"""),"Andrew Murdock")</f>
        <v>Andrew Murdock</v>
      </c>
      <c r="F6889" s="3" t="str">
        <f>IFERROR(__xludf.DUMMYFUNCTION("""COMPUTED_VALUE"""),"paulandtammym@gmail.com")</f>
        <v>paulandtammym@gmail.com</v>
      </c>
      <c r="G6889" s="3"/>
      <c r="H6889" s="3"/>
    </row>
    <row r="6890">
      <c r="A6890" s="2">
        <f>IFERROR(__xludf.DUMMYFUNCTION("""COMPUTED_VALUE"""),80960.0)</f>
        <v>80960</v>
      </c>
      <c r="B6890" s="3" t="str">
        <f>IFERROR(__xludf.DUMMYFUNCTION("""COMPUTED_VALUE"""),"14260 TELEPHONE RD ")</f>
        <v>14260 TELEPHONE RD </v>
      </c>
      <c r="C6890" s="3" t="str">
        <f>IFERROR(__xludf.DUMMYFUNCTION("""COMPUTED_VALUE"""),"COLBORNE")</f>
        <v>COLBORNE</v>
      </c>
      <c r="D6890" s="3" t="str">
        <f>IFERROR(__xludf.DUMMYFUNCTION("""COMPUTED_VALUE"""),"K0K 1S0")</f>
        <v>K0K 1S0</v>
      </c>
      <c r="E6890" s="3" t="str">
        <f>IFERROR(__xludf.DUMMYFUNCTION("""COMPUTED_VALUE"""),"Steve &amp; Pat Buxton ")</f>
        <v>Steve &amp; Pat Buxton </v>
      </c>
      <c r="F6890" s="3" t="str">
        <f>IFERROR(__xludf.DUMMYFUNCTION("""COMPUTED_VALUE"""),"buxton_260@hotmail.com")</f>
        <v>buxton_260@hotmail.com</v>
      </c>
      <c r="G6890" s="3"/>
      <c r="H6890" s="3"/>
    </row>
    <row r="6891">
      <c r="A6891" s="2">
        <f>IFERROR(__xludf.DUMMYFUNCTION("""COMPUTED_VALUE"""),80961.0)</f>
        <v>80961</v>
      </c>
      <c r="B6891" s="3" t="str">
        <f>IFERROR(__xludf.DUMMYFUNCTION("""COMPUTED_VALUE"""),"14281 TELEPHONE RD ")</f>
        <v>14281 TELEPHONE RD </v>
      </c>
      <c r="C6891" s="3" t="str">
        <f>IFERROR(__xludf.DUMMYFUNCTION("""COMPUTED_VALUE"""),"COLBORNE")</f>
        <v>COLBORNE</v>
      </c>
      <c r="D6891" s="3" t="str">
        <f>IFERROR(__xludf.DUMMYFUNCTION("""COMPUTED_VALUE"""),"K0K 1S0")</f>
        <v>K0K 1S0</v>
      </c>
      <c r="E6891" s="3" t="str">
        <f>IFERROR(__xludf.DUMMYFUNCTION("""COMPUTED_VALUE"""),"Steven Tedford")</f>
        <v>Steven Tedford</v>
      </c>
      <c r="F6891" s="3" t="str">
        <f>IFERROR(__xludf.DUMMYFUNCTION("""COMPUTED_VALUE"""),"firebornswords@yahoo.com")</f>
        <v>firebornswords@yahoo.com</v>
      </c>
      <c r="G6891" s="3">
        <f>IFERROR(__xludf.DUMMYFUNCTION("""COMPUTED_VALUE"""),6.136897569E9)</f>
        <v>6136897569</v>
      </c>
      <c r="H6891" s="3"/>
    </row>
    <row r="6892">
      <c r="A6892" s="2">
        <f>IFERROR(__xludf.DUMMYFUNCTION("""COMPUTED_VALUE"""),80962.0)</f>
        <v>80962</v>
      </c>
      <c r="B6892" s="3" t="str">
        <f>IFERROR(__xludf.DUMMYFUNCTION("""COMPUTED_VALUE"""),"14287 TELEPHONE RD ")</f>
        <v>14287 TELEPHONE RD </v>
      </c>
      <c r="C6892" s="3" t="str">
        <f>IFERROR(__xludf.DUMMYFUNCTION("""COMPUTED_VALUE"""),"COLBORNE")</f>
        <v>COLBORNE</v>
      </c>
      <c r="D6892" s="3" t="str">
        <f>IFERROR(__xludf.DUMMYFUNCTION("""COMPUTED_VALUE"""),"K0K 1S0")</f>
        <v>K0K 1S0</v>
      </c>
      <c r="E6892" s="3" t="str">
        <f>IFERROR(__xludf.DUMMYFUNCTION("""COMPUTED_VALUE"""),"Brenda and Dave Chapman")</f>
        <v>Brenda and Dave Chapman</v>
      </c>
      <c r="F6892" s="3" t="str">
        <f>IFERROR(__xludf.DUMMYFUNCTION("""COMPUTED_VALUE"""),"davebrendac@gmail.com")</f>
        <v>davebrendac@gmail.com</v>
      </c>
      <c r="G6892" s="3">
        <f>IFERROR(__xludf.DUMMYFUNCTION("""COMPUTED_VALUE"""),9.053735662E9)</f>
        <v>9053735662</v>
      </c>
      <c r="H6892" s="3">
        <f>IFERROR(__xludf.DUMMYFUNCTION("""COMPUTED_VALUE"""),2.892511148E9)</f>
        <v>2892511148</v>
      </c>
    </row>
    <row r="6893">
      <c r="A6893" s="2">
        <f>IFERROR(__xludf.DUMMYFUNCTION("""COMPUTED_VALUE"""),80963.0)</f>
        <v>80963</v>
      </c>
      <c r="B6893" s="3" t="str">
        <f>IFERROR(__xludf.DUMMYFUNCTION("""COMPUTED_VALUE"""),"14304 TELEPHONE RD ")</f>
        <v>14304 TELEPHONE RD </v>
      </c>
      <c r="C6893" s="3" t="str">
        <f>IFERROR(__xludf.DUMMYFUNCTION("""COMPUTED_VALUE"""),"COLBORNE")</f>
        <v>COLBORNE</v>
      </c>
      <c r="D6893" s="3" t="str">
        <f>IFERROR(__xludf.DUMMYFUNCTION("""COMPUTED_VALUE"""),"K0K 1S0")</f>
        <v>K0K 1S0</v>
      </c>
      <c r="E6893" s="3" t="str">
        <f>IFERROR(__xludf.DUMMYFUNCTION("""COMPUTED_VALUE"""),"Jeremy Kelly")</f>
        <v>Jeremy Kelly</v>
      </c>
      <c r="F6893" s="3" t="str">
        <f>IFERROR(__xludf.DUMMYFUNCTION("""COMPUTED_VALUE"""),"jeremy_kirby10@hotmail.com")</f>
        <v>jeremy_kirby10@hotmail.com</v>
      </c>
      <c r="G6893" s="3">
        <f>IFERROR(__xludf.DUMMYFUNCTION("""COMPUTED_VALUE"""),9.053757738E9)</f>
        <v>9053757738</v>
      </c>
      <c r="H6893" s="3"/>
    </row>
    <row r="6894">
      <c r="A6894" s="2">
        <f>IFERROR(__xludf.DUMMYFUNCTION("""COMPUTED_VALUE"""),80964.0)</f>
        <v>80964</v>
      </c>
      <c r="B6894" s="3" t="str">
        <f>IFERROR(__xludf.DUMMYFUNCTION("""COMPUTED_VALUE"""),"14343 TELEPHONE RD ")</f>
        <v>14343 TELEPHONE RD </v>
      </c>
      <c r="C6894" s="3" t="str">
        <f>IFERROR(__xludf.DUMMYFUNCTION("""COMPUTED_VALUE"""),"COLBORNE")</f>
        <v>COLBORNE</v>
      </c>
      <c r="D6894" s="3" t="str">
        <f>IFERROR(__xludf.DUMMYFUNCTION("""COMPUTED_VALUE"""),"K0K 1S0")</f>
        <v>K0K 1S0</v>
      </c>
      <c r="E6894" s="3" t="str">
        <f>IFERROR(__xludf.DUMMYFUNCTION("""COMPUTED_VALUE"""),"faith beek")</f>
        <v>faith beek</v>
      </c>
      <c r="F6894" s="3"/>
      <c r="G6894" s="3">
        <f>IFERROR(__xludf.DUMMYFUNCTION("""COMPUTED_VALUE"""),9.052432219E9)</f>
        <v>9052432219</v>
      </c>
      <c r="H6894" s="3"/>
    </row>
    <row r="6895">
      <c r="A6895" s="2">
        <f>IFERROR(__xludf.DUMMYFUNCTION("""COMPUTED_VALUE"""),80965.0)</f>
        <v>80965</v>
      </c>
      <c r="B6895" s="3" t="str">
        <f>IFERROR(__xludf.DUMMYFUNCTION("""COMPUTED_VALUE"""),"14351 TELEPHONE RD ")</f>
        <v>14351 TELEPHONE RD </v>
      </c>
      <c r="C6895" s="3" t="str">
        <f>IFERROR(__xludf.DUMMYFUNCTION("""COMPUTED_VALUE"""),"COLBORNE")</f>
        <v>COLBORNE</v>
      </c>
      <c r="D6895" s="3" t="str">
        <f>IFERROR(__xludf.DUMMYFUNCTION("""COMPUTED_VALUE"""),"K0K 1S0")</f>
        <v>K0K 1S0</v>
      </c>
      <c r="E6895" s="3" t="str">
        <f>IFERROR(__xludf.DUMMYFUNCTION("""COMPUTED_VALUE"""),"Christine L Button")</f>
        <v>Christine L Button</v>
      </c>
      <c r="F6895" s="3" t="str">
        <f>IFERROR(__xludf.DUMMYFUNCTION("""COMPUTED_VALUE"""),"bourquecl@hotmail.ca")</f>
        <v>bourquecl@hotmail.ca</v>
      </c>
      <c r="G6895" s="3">
        <f>IFERROR(__xludf.DUMMYFUNCTION("""COMPUTED_VALUE"""),6.132421847E9)</f>
        <v>6132421847</v>
      </c>
      <c r="H6895" s="3"/>
    </row>
    <row r="6896">
      <c r="A6896" s="2">
        <f>IFERROR(__xludf.DUMMYFUNCTION("""COMPUTED_VALUE"""),80966.0)</f>
        <v>80966</v>
      </c>
      <c r="B6896" s="3" t="str">
        <f>IFERROR(__xludf.DUMMYFUNCTION("""COMPUTED_VALUE"""),"14353 TELEPHONE RD ")</f>
        <v>14353 TELEPHONE RD </v>
      </c>
      <c r="C6896" s="3" t="str">
        <f>IFERROR(__xludf.DUMMYFUNCTION("""COMPUTED_VALUE"""),"COLBORNE")</f>
        <v>COLBORNE</v>
      </c>
      <c r="D6896" s="3" t="str">
        <f>IFERROR(__xludf.DUMMYFUNCTION("""COMPUTED_VALUE"""),"K0K 1S0")</f>
        <v>K0K 1S0</v>
      </c>
      <c r="E6896" s="3" t="str">
        <f>IFERROR(__xludf.DUMMYFUNCTION("""COMPUTED_VALUE"""),"Evea Yarrow")</f>
        <v>Evea Yarrow</v>
      </c>
      <c r="F6896" s="3" t="str">
        <f>IFERROR(__xludf.DUMMYFUNCTION("""COMPUTED_VALUE"""),"evea_yarrow@hotmail.com")</f>
        <v>evea_yarrow@hotmail.com</v>
      </c>
      <c r="G6896" s="3"/>
      <c r="H6896" s="3"/>
    </row>
    <row r="6897">
      <c r="A6897" s="2">
        <f>IFERROR(__xludf.DUMMYFUNCTION("""COMPUTED_VALUE"""),80967.0)</f>
        <v>80967</v>
      </c>
      <c r="B6897" s="3" t="str">
        <f>IFERROR(__xludf.DUMMYFUNCTION("""COMPUTED_VALUE"""),"14379 TELEPHONE RD ")</f>
        <v>14379 TELEPHONE RD </v>
      </c>
      <c r="C6897" s="3" t="str">
        <f>IFERROR(__xludf.DUMMYFUNCTION("""COMPUTED_VALUE"""),"COLBORNE")</f>
        <v>COLBORNE</v>
      </c>
      <c r="D6897" s="3" t="str">
        <f>IFERROR(__xludf.DUMMYFUNCTION("""COMPUTED_VALUE"""),"K0K 1S0")</f>
        <v>K0K 1S0</v>
      </c>
      <c r="E6897" s="3" t="str">
        <f>IFERROR(__xludf.DUMMYFUNCTION("""COMPUTED_VALUE"""),"Courtney Martin")</f>
        <v>Courtney Martin</v>
      </c>
      <c r="F6897" s="3" t="str">
        <f>IFERROR(__xludf.DUMMYFUNCTION("""COMPUTED_VALUE"""),"courtney.bichener@hotmail.com")</f>
        <v>courtney.bichener@hotmail.com</v>
      </c>
      <c r="G6897" s="3"/>
      <c r="H6897" s="3"/>
    </row>
    <row r="6898">
      <c r="A6898" s="2">
        <f>IFERROR(__xludf.DUMMYFUNCTION("""COMPUTED_VALUE"""),80968.0)</f>
        <v>80968</v>
      </c>
      <c r="B6898" s="3" t="str">
        <f>IFERROR(__xludf.DUMMYFUNCTION("""COMPUTED_VALUE"""),"14384 TELEPHONE RD ")</f>
        <v>14384 TELEPHONE RD </v>
      </c>
      <c r="C6898" s="3" t="str">
        <f>IFERROR(__xludf.DUMMYFUNCTION("""COMPUTED_VALUE"""),"COLBORNE")</f>
        <v>COLBORNE</v>
      </c>
      <c r="D6898" s="3" t="str">
        <f>IFERROR(__xludf.DUMMYFUNCTION("""COMPUTED_VALUE"""),"K0K 1S0")</f>
        <v>K0K 1S0</v>
      </c>
      <c r="E6898" s="3" t="str">
        <f>IFERROR(__xludf.DUMMYFUNCTION("""COMPUTED_VALUE"""),"Vanessa Hubers")</f>
        <v>Vanessa Hubers</v>
      </c>
      <c r="F6898" s="3" t="str">
        <f>IFERROR(__xludf.DUMMYFUNCTION("""COMPUTED_VALUE"""),"vanhubers@gmail.com")</f>
        <v>vanhubers@gmail.com</v>
      </c>
      <c r="G6898" s="3"/>
      <c r="H6898" s="3"/>
    </row>
    <row r="6899">
      <c r="A6899" s="2">
        <f>IFERROR(__xludf.DUMMYFUNCTION("""COMPUTED_VALUE"""),80969.0)</f>
        <v>80969</v>
      </c>
      <c r="B6899" s="3" t="str">
        <f>IFERROR(__xludf.DUMMYFUNCTION("""COMPUTED_VALUE"""),"14393 TELEPHONE RD ")</f>
        <v>14393 TELEPHONE RD </v>
      </c>
      <c r="C6899" s="3" t="str">
        <f>IFERROR(__xludf.DUMMYFUNCTION("""COMPUTED_VALUE"""),"COLBORNE")</f>
        <v>COLBORNE</v>
      </c>
      <c r="D6899" s="3" t="str">
        <f>IFERROR(__xludf.DUMMYFUNCTION("""COMPUTED_VALUE"""),"K0K 1S0")</f>
        <v>K0K 1S0</v>
      </c>
      <c r="E6899" s="3" t="str">
        <f>IFERROR(__xludf.DUMMYFUNCTION("""COMPUTED_VALUE"""),"Lori Davis")</f>
        <v>Lori Davis</v>
      </c>
      <c r="F6899" s="3" t="str">
        <f>IFERROR(__xludf.DUMMYFUNCTION("""COMPUTED_VALUE"""),"loridavis504@hotmail.com")</f>
        <v>loridavis504@hotmail.com</v>
      </c>
      <c r="G6899" s="3">
        <f>IFERROR(__xludf.DUMMYFUNCTION("""COMPUTED_VALUE"""),9.022771468E9)</f>
        <v>9022771468</v>
      </c>
      <c r="H6899" s="3">
        <f>IFERROR(__xludf.DUMMYFUNCTION("""COMPUTED_VALUE"""),6.132439135E9)</f>
        <v>6132439135</v>
      </c>
    </row>
    <row r="6900">
      <c r="A6900" s="2">
        <f>IFERROR(__xludf.DUMMYFUNCTION("""COMPUTED_VALUE"""),80970.0)</f>
        <v>80970</v>
      </c>
      <c r="B6900" s="3" t="str">
        <f>IFERROR(__xludf.DUMMYFUNCTION("""COMPUTED_VALUE"""),"14445 TELEPHONE RD ")</f>
        <v>14445 TELEPHONE RD </v>
      </c>
      <c r="C6900" s="3" t="str">
        <f>IFERROR(__xludf.DUMMYFUNCTION("""COMPUTED_VALUE"""),"COLBORNE")</f>
        <v>COLBORNE</v>
      </c>
      <c r="D6900" s="3" t="str">
        <f>IFERROR(__xludf.DUMMYFUNCTION("""COMPUTED_VALUE"""),"K0K 1S0")</f>
        <v>K0K 1S0</v>
      </c>
      <c r="E6900" s="3" t="str">
        <f>IFERROR(__xludf.DUMMYFUNCTION("""COMPUTED_VALUE"""),"Joe Dempsey")</f>
        <v>Joe Dempsey</v>
      </c>
      <c r="F6900" s="3" t="str">
        <f>IFERROR(__xludf.DUMMYFUNCTION("""COMPUTED_VALUE"""),"josephdempsey1962@gmail.com")</f>
        <v>josephdempsey1962@gmail.com</v>
      </c>
      <c r="G6900" s="3"/>
      <c r="H6900" s="3"/>
    </row>
    <row r="6901">
      <c r="A6901" s="2">
        <f>IFERROR(__xludf.DUMMYFUNCTION("""COMPUTED_VALUE"""),80971.0)</f>
        <v>80971</v>
      </c>
      <c r="B6901" s="3" t="str">
        <f>IFERROR(__xludf.DUMMYFUNCTION("""COMPUTED_VALUE"""),"14447 TELEPHONE RD ")</f>
        <v>14447 TELEPHONE RD </v>
      </c>
      <c r="C6901" s="3" t="str">
        <f>IFERROR(__xludf.DUMMYFUNCTION("""COMPUTED_VALUE"""),"COLBORNE")</f>
        <v>COLBORNE</v>
      </c>
      <c r="D6901" s="3" t="str">
        <f>IFERROR(__xludf.DUMMYFUNCTION("""COMPUTED_VALUE"""),"K0K 1S0")</f>
        <v>K0K 1S0</v>
      </c>
      <c r="E6901" s="3" t="str">
        <f>IFERROR(__xludf.DUMMYFUNCTION("""COMPUTED_VALUE"""),"logan and laurie moher")</f>
        <v>logan and laurie moher</v>
      </c>
      <c r="F6901" s="3" t="str">
        <f>IFERROR(__xludf.DUMMYFUNCTION("""COMPUTED_VALUE"""),"logan moher@gmail.com")</f>
        <v>logan moher@gmail.com</v>
      </c>
      <c r="G6901" s="3">
        <f>IFERROR(__xludf.DUMMYFUNCTION("""COMPUTED_VALUE"""),9.053551691E9)</f>
        <v>9053551691</v>
      </c>
      <c r="H6901" s="3"/>
    </row>
    <row r="6902">
      <c r="A6902" s="2">
        <f>IFERROR(__xludf.DUMMYFUNCTION("""COMPUTED_VALUE"""),80972.0)</f>
        <v>80972</v>
      </c>
      <c r="B6902" s="3" t="str">
        <f>IFERROR(__xludf.DUMMYFUNCTION("""COMPUTED_VALUE"""),"14461 TELEPHONE RD ")</f>
        <v>14461 TELEPHONE RD </v>
      </c>
      <c r="C6902" s="3" t="str">
        <f>IFERROR(__xludf.DUMMYFUNCTION("""COMPUTED_VALUE"""),"COLBORNE")</f>
        <v>COLBORNE</v>
      </c>
      <c r="D6902" s="3" t="str">
        <f>IFERROR(__xludf.DUMMYFUNCTION("""COMPUTED_VALUE"""),"K0K 1S0")</f>
        <v>K0K 1S0</v>
      </c>
      <c r="E6902" s="3" t="str">
        <f>IFERROR(__xludf.DUMMYFUNCTION("""COMPUTED_VALUE"""),"Raeanne Bugden")</f>
        <v>Raeanne Bugden</v>
      </c>
      <c r="F6902" s="3" t="str">
        <f>IFERROR(__xludf.DUMMYFUNCTION("""COMPUTED_VALUE"""),"raeannelyttle1@hotmail.com")</f>
        <v>raeannelyttle1@hotmail.com</v>
      </c>
      <c r="G6902" s="3">
        <f>IFERROR(__xludf.DUMMYFUNCTION("""COMPUTED_VALUE"""),9.052440096E9)</f>
        <v>9052440096</v>
      </c>
      <c r="H6902" s="3">
        <f>IFERROR(__xludf.DUMMYFUNCTION("""COMPUTED_VALUE"""),9.052591108E9)</f>
        <v>9052591108</v>
      </c>
    </row>
    <row r="6903">
      <c r="A6903" s="2">
        <f>IFERROR(__xludf.DUMMYFUNCTION("""COMPUTED_VALUE"""),80973.0)</f>
        <v>80973</v>
      </c>
      <c r="B6903" s="3" t="str">
        <f>IFERROR(__xludf.DUMMYFUNCTION("""COMPUTED_VALUE"""),"14473 TELEPHONE RD ")</f>
        <v>14473 TELEPHONE RD </v>
      </c>
      <c r="C6903" s="3" t="str">
        <f>IFERROR(__xludf.DUMMYFUNCTION("""COMPUTED_VALUE"""),"COLBORNE")</f>
        <v>COLBORNE</v>
      </c>
      <c r="D6903" s="3" t="str">
        <f>IFERROR(__xludf.DUMMYFUNCTION("""COMPUTED_VALUE"""),"K0K 1S0")</f>
        <v>K0K 1S0</v>
      </c>
      <c r="E6903" s="3" t="str">
        <f>IFERROR(__xludf.DUMMYFUNCTION("""COMPUTED_VALUE"""),"Lloyd Wyley Veinot")</f>
        <v>Lloyd Wyley Veinot</v>
      </c>
      <c r="F6903" s="3" t="str">
        <f>IFERROR(__xludf.DUMMYFUNCTION("""COMPUTED_VALUE"""),"wyley.veinot93@gmail.com")</f>
        <v>wyley.veinot93@gmail.com</v>
      </c>
      <c r="G6903" s="3">
        <f>IFERROR(__xludf.DUMMYFUNCTION("""COMPUTED_VALUE"""),9.053960413E9)</f>
        <v>9053960413</v>
      </c>
      <c r="H6903" s="3"/>
    </row>
    <row r="6904">
      <c r="A6904" s="2">
        <f>IFERROR(__xludf.DUMMYFUNCTION("""COMPUTED_VALUE"""),80974.0)</f>
        <v>80974</v>
      </c>
      <c r="B6904" s="3" t="str">
        <f>IFERROR(__xludf.DUMMYFUNCTION("""COMPUTED_VALUE"""),"14484 TELEPHONE RD ")</f>
        <v>14484 TELEPHONE RD </v>
      </c>
      <c r="C6904" s="3" t="str">
        <f>IFERROR(__xludf.DUMMYFUNCTION("""COMPUTED_VALUE"""),"COLBORNE")</f>
        <v>COLBORNE</v>
      </c>
      <c r="D6904" s="3" t="str">
        <f>IFERROR(__xludf.DUMMYFUNCTION("""COMPUTED_VALUE"""),"K0K 1S0")</f>
        <v>K0K 1S0</v>
      </c>
      <c r="E6904" s="3"/>
      <c r="F6904" s="3"/>
      <c r="G6904" s="3"/>
      <c r="H6904" s="3"/>
    </row>
    <row r="6905">
      <c r="A6905" s="2">
        <f>IFERROR(__xludf.DUMMYFUNCTION("""COMPUTED_VALUE"""),80975.0)</f>
        <v>80975</v>
      </c>
      <c r="B6905" s="3" t="str">
        <f>IFERROR(__xludf.DUMMYFUNCTION("""COMPUTED_VALUE"""),"14487 TELEPHONE RD ")</f>
        <v>14487 TELEPHONE RD </v>
      </c>
      <c r="C6905" s="3" t="str">
        <f>IFERROR(__xludf.DUMMYFUNCTION("""COMPUTED_VALUE"""),"COLBORNE")</f>
        <v>COLBORNE</v>
      </c>
      <c r="D6905" s="3" t="str">
        <f>IFERROR(__xludf.DUMMYFUNCTION("""COMPUTED_VALUE"""),"K0K 1S0")</f>
        <v>K0K 1S0</v>
      </c>
      <c r="E6905" s="3" t="str">
        <f>IFERROR(__xludf.DUMMYFUNCTION("""COMPUTED_VALUE"""),"norbert and susan black")</f>
        <v>norbert and susan black</v>
      </c>
      <c r="F6905" s="3" t="str">
        <f>IFERROR(__xludf.DUMMYFUNCTION("""COMPUTED_VALUE"""),"normsueblack@nexicom.net")</f>
        <v>normsueblack@nexicom.net</v>
      </c>
      <c r="G6905" s="3">
        <f>IFERROR(__xludf.DUMMYFUNCTION("""COMPUTED_VALUE"""),9.053551319E9)</f>
        <v>9053551319</v>
      </c>
      <c r="H6905" s="3">
        <f>IFERROR(__xludf.DUMMYFUNCTION("""COMPUTED_VALUE"""),6.13920242E9)</f>
        <v>6139202420</v>
      </c>
    </row>
    <row r="6906">
      <c r="A6906" s="2">
        <f>IFERROR(__xludf.DUMMYFUNCTION("""COMPUTED_VALUE"""),80976.0)</f>
        <v>80976</v>
      </c>
      <c r="B6906" s="3" t="str">
        <f>IFERROR(__xludf.DUMMYFUNCTION("""COMPUTED_VALUE"""),"14496 TELEPHONE RD ")</f>
        <v>14496 TELEPHONE RD </v>
      </c>
      <c r="C6906" s="3" t="str">
        <f>IFERROR(__xludf.DUMMYFUNCTION("""COMPUTED_VALUE"""),"COLBORNE")</f>
        <v>COLBORNE</v>
      </c>
      <c r="D6906" s="3" t="str">
        <f>IFERROR(__xludf.DUMMYFUNCTION("""COMPUTED_VALUE"""),"K0K 1S0")</f>
        <v>K0K 1S0</v>
      </c>
      <c r="E6906" s="3" t="str">
        <f>IFERROR(__xludf.DUMMYFUNCTION("""COMPUTED_VALUE"""),"mark fiume")</f>
        <v>mark fiume</v>
      </c>
      <c r="F6906" s="3" t="str">
        <f>IFERROR(__xludf.DUMMYFUNCTION("""COMPUTED_VALUE"""),"mark_fiume99@hotmail.com")</f>
        <v>mark_fiume99@hotmail.com</v>
      </c>
      <c r="G6906" s="3">
        <f>IFERROR(__xludf.DUMMYFUNCTION("""COMPUTED_VALUE"""),9.059258077E9)</f>
        <v>9059258077</v>
      </c>
      <c r="H6906" s="3"/>
    </row>
    <row r="6907">
      <c r="A6907" s="2">
        <f>IFERROR(__xludf.DUMMYFUNCTION("""COMPUTED_VALUE"""),80977.0)</f>
        <v>80977</v>
      </c>
      <c r="B6907" s="3" t="str">
        <f>IFERROR(__xludf.DUMMYFUNCTION("""COMPUTED_VALUE"""),"14506 TELEPHONE RD ")</f>
        <v>14506 TELEPHONE RD </v>
      </c>
      <c r="C6907" s="3" t="str">
        <f>IFERROR(__xludf.DUMMYFUNCTION("""COMPUTED_VALUE"""),"COLBORNE")</f>
        <v>COLBORNE</v>
      </c>
      <c r="D6907" s="3" t="str">
        <f>IFERROR(__xludf.DUMMYFUNCTION("""COMPUTED_VALUE"""),"K0K 1S0")</f>
        <v>K0K 1S0</v>
      </c>
      <c r="E6907" s="3"/>
      <c r="F6907" s="3"/>
      <c r="G6907" s="3"/>
      <c r="H6907" s="3"/>
    </row>
    <row r="6908">
      <c r="A6908" s="2">
        <f>IFERROR(__xludf.DUMMYFUNCTION("""COMPUTED_VALUE"""),80978.0)</f>
        <v>80978</v>
      </c>
      <c r="B6908" s="3" t="str">
        <f>IFERROR(__xludf.DUMMYFUNCTION("""COMPUTED_VALUE"""),"14511 TELEPHONE RD ")</f>
        <v>14511 TELEPHONE RD </v>
      </c>
      <c r="C6908" s="3" t="str">
        <f>IFERROR(__xludf.DUMMYFUNCTION("""COMPUTED_VALUE"""),"COLBORNE")</f>
        <v>COLBORNE</v>
      </c>
      <c r="D6908" s="3" t="str">
        <f>IFERROR(__xludf.DUMMYFUNCTION("""COMPUTED_VALUE"""),"K0K 1S0")</f>
        <v>K0K 1S0</v>
      </c>
      <c r="E6908" s="3" t="str">
        <f>IFERROR(__xludf.DUMMYFUNCTION("""COMPUTED_VALUE"""),"peter waskowec ")</f>
        <v>peter waskowec </v>
      </c>
      <c r="F6908" s="3"/>
      <c r="G6908" s="3">
        <f>IFERROR(__xludf.DUMMYFUNCTION("""COMPUTED_VALUE"""),7.059202716E9)</f>
        <v>7059202716</v>
      </c>
      <c r="H6908" s="3"/>
    </row>
    <row r="6909">
      <c r="A6909" s="2">
        <f>IFERROR(__xludf.DUMMYFUNCTION("""COMPUTED_VALUE"""),80979.0)</f>
        <v>80979</v>
      </c>
      <c r="B6909" s="3" t="str">
        <f>IFERROR(__xludf.DUMMYFUNCTION("""COMPUTED_VALUE"""),"14516 TELEPHONE RD ")</f>
        <v>14516 TELEPHONE RD </v>
      </c>
      <c r="C6909" s="3" t="str">
        <f>IFERROR(__xludf.DUMMYFUNCTION("""COMPUTED_VALUE"""),"COLBORNE")</f>
        <v>COLBORNE</v>
      </c>
      <c r="D6909" s="3" t="str">
        <f>IFERROR(__xludf.DUMMYFUNCTION("""COMPUTED_VALUE"""),"K0K 1S0")</f>
        <v>K0K 1S0</v>
      </c>
      <c r="E6909" s="3" t="str">
        <f>IFERROR(__xludf.DUMMYFUNCTION("""COMPUTED_VALUE"""),"John Baxter")</f>
        <v>John Baxter</v>
      </c>
      <c r="F6909" s="3" t="str">
        <f>IFERROR(__xludf.DUMMYFUNCTION("""COMPUTED_VALUE"""),"johnbaxterajax@hotmail.com")</f>
        <v>johnbaxterajax@hotmail.com</v>
      </c>
      <c r="G6909" s="3">
        <f>IFERROR(__xludf.DUMMYFUNCTION("""COMPUTED_VALUE"""),9.059951785E9)</f>
        <v>9059951785</v>
      </c>
      <c r="H6909" s="3">
        <f>IFERROR(__xludf.DUMMYFUNCTION("""COMPUTED_VALUE"""),9.052605637E9)</f>
        <v>9052605637</v>
      </c>
    </row>
    <row r="6910">
      <c r="A6910" s="2">
        <f>IFERROR(__xludf.DUMMYFUNCTION("""COMPUTED_VALUE"""),80980.0)</f>
        <v>80980</v>
      </c>
      <c r="B6910" s="3" t="str">
        <f>IFERROR(__xludf.DUMMYFUNCTION("""COMPUTED_VALUE"""),"14524 TELEPHONE RD ")</f>
        <v>14524 TELEPHONE RD </v>
      </c>
      <c r="C6910" s="3" t="str">
        <f>IFERROR(__xludf.DUMMYFUNCTION("""COMPUTED_VALUE"""),"COLBORNE")</f>
        <v>COLBORNE</v>
      </c>
      <c r="D6910" s="3" t="str">
        <f>IFERROR(__xludf.DUMMYFUNCTION("""COMPUTED_VALUE"""),"K0K 1S0")</f>
        <v>K0K 1S0</v>
      </c>
      <c r="E6910" s="3" t="str">
        <f>IFERROR(__xludf.DUMMYFUNCTION("""COMPUTED_VALUE"""),"Kelly A Zuvic")</f>
        <v>Kelly A Zuvic</v>
      </c>
      <c r="F6910" s="3" t="str">
        <f>IFERROR(__xludf.DUMMYFUNCTION("""COMPUTED_VALUE"""),"kzuvic22@gmail.com")</f>
        <v>kzuvic22@gmail.com</v>
      </c>
      <c r="G6910" s="3">
        <f>IFERROR(__xludf.DUMMYFUNCTION("""COMPUTED_VALUE"""),9.054106421E9)</f>
        <v>9054106421</v>
      </c>
      <c r="H6910" s="3"/>
    </row>
    <row r="6911">
      <c r="A6911" s="2">
        <f>IFERROR(__xludf.DUMMYFUNCTION("""COMPUTED_VALUE"""),80981.0)</f>
        <v>80981</v>
      </c>
      <c r="B6911" s="3" t="str">
        <f>IFERROR(__xludf.DUMMYFUNCTION("""COMPUTED_VALUE"""),"14556 TELEPHONE RD ")</f>
        <v>14556 TELEPHONE RD </v>
      </c>
      <c r="C6911" s="3" t="str">
        <f>IFERROR(__xludf.DUMMYFUNCTION("""COMPUTED_VALUE"""),"COLBORNE")</f>
        <v>COLBORNE</v>
      </c>
      <c r="D6911" s="3" t="str">
        <f>IFERROR(__xludf.DUMMYFUNCTION("""COMPUTED_VALUE"""),"K0K 1S0")</f>
        <v>K0K 1S0</v>
      </c>
      <c r="E6911" s="3" t="str">
        <f>IFERROR(__xludf.DUMMYFUNCTION("""COMPUTED_VALUE"""),"Janice Zerafa")</f>
        <v>Janice Zerafa</v>
      </c>
      <c r="F6911" s="3" t="str">
        <f>IFERROR(__xludf.DUMMYFUNCTION("""COMPUTED_VALUE"""),"janzip@outlook.com")</f>
        <v>janzip@outlook.com</v>
      </c>
      <c r="G6911" s="3"/>
      <c r="H6911" s="3"/>
    </row>
    <row r="6912">
      <c r="A6912" s="2">
        <f>IFERROR(__xludf.DUMMYFUNCTION("""COMPUTED_VALUE"""),80982.0)</f>
        <v>80982</v>
      </c>
      <c r="B6912" s="3" t="str">
        <f>IFERROR(__xludf.DUMMYFUNCTION("""COMPUTED_VALUE"""),"14578 TELEPHONE RD ")</f>
        <v>14578 TELEPHONE RD </v>
      </c>
      <c r="C6912" s="3" t="str">
        <f>IFERROR(__xludf.DUMMYFUNCTION("""COMPUTED_VALUE"""),"COLBORNE")</f>
        <v>COLBORNE</v>
      </c>
      <c r="D6912" s="3" t="str">
        <f>IFERROR(__xludf.DUMMYFUNCTION("""COMPUTED_VALUE"""),"K0K 1S0")</f>
        <v>K0K 1S0</v>
      </c>
      <c r="E6912" s="3" t="str">
        <f>IFERROR(__xludf.DUMMYFUNCTION("""COMPUTED_VALUE"""),"Adam Newman ")</f>
        <v>Adam Newman </v>
      </c>
      <c r="F6912" s="3" t="str">
        <f>IFERROR(__xludf.DUMMYFUNCTION("""COMPUTED_VALUE"""),"2wheelsadam@xplornet.com")</f>
        <v>2wheelsadam@xplornet.com</v>
      </c>
      <c r="G6912" s="3"/>
      <c r="H6912" s="3"/>
    </row>
    <row r="6913">
      <c r="A6913" s="2">
        <f>IFERROR(__xludf.DUMMYFUNCTION("""COMPUTED_VALUE"""),81046.0)</f>
        <v>81046</v>
      </c>
      <c r="B6913" s="3" t="str">
        <f>IFERROR(__xludf.DUMMYFUNCTION("""COMPUTED_VALUE"""),"14619 TELEPHONE RD ")</f>
        <v>14619 TELEPHONE RD </v>
      </c>
      <c r="C6913" s="3" t="str">
        <f>IFERROR(__xludf.DUMMYFUNCTION("""COMPUTED_VALUE"""),"COLBORNE")</f>
        <v>COLBORNE</v>
      </c>
      <c r="D6913" s="3" t="str">
        <f>IFERROR(__xludf.DUMMYFUNCTION("""COMPUTED_VALUE"""),"K0K 1S0")</f>
        <v>K0K 1S0</v>
      </c>
      <c r="E6913" s="3"/>
      <c r="F6913" s="3"/>
      <c r="G6913" s="3"/>
      <c r="H6913" s="3"/>
    </row>
    <row r="6914">
      <c r="A6914" s="2">
        <f>IFERROR(__xludf.DUMMYFUNCTION("""COMPUTED_VALUE"""),80983.0)</f>
        <v>80983</v>
      </c>
      <c r="B6914" s="3" t="str">
        <f>IFERROR(__xludf.DUMMYFUNCTION("""COMPUTED_VALUE"""),"14621 TELEPHONE RD ")</f>
        <v>14621 TELEPHONE RD </v>
      </c>
      <c r="C6914" s="3" t="str">
        <f>IFERROR(__xludf.DUMMYFUNCTION("""COMPUTED_VALUE"""),"COLBORNE")</f>
        <v>COLBORNE</v>
      </c>
      <c r="D6914" s="3" t="str">
        <f>IFERROR(__xludf.DUMMYFUNCTION("""COMPUTED_VALUE"""),"K0K 1S0")</f>
        <v>K0K 1S0</v>
      </c>
      <c r="E6914" s="3"/>
      <c r="F6914" s="3"/>
      <c r="G6914" s="3"/>
      <c r="H6914" s="3"/>
    </row>
    <row r="6915">
      <c r="A6915" s="2">
        <f>IFERROR(__xludf.DUMMYFUNCTION("""COMPUTED_VALUE"""),80984.0)</f>
        <v>80984</v>
      </c>
      <c r="B6915" s="3" t="str">
        <f>IFERROR(__xludf.DUMMYFUNCTION("""COMPUTED_VALUE"""),"14741 TELEPHONE RD ")</f>
        <v>14741 TELEPHONE RD </v>
      </c>
      <c r="C6915" s="3" t="str">
        <f>IFERROR(__xludf.DUMMYFUNCTION("""COMPUTED_VALUE"""),"COLBORNE")</f>
        <v>COLBORNE</v>
      </c>
      <c r="D6915" s="3" t="str">
        <f>IFERROR(__xludf.DUMMYFUNCTION("""COMPUTED_VALUE"""),"K0K 1S0")</f>
        <v>K0K 1S0</v>
      </c>
      <c r="E6915" s="3"/>
      <c r="F6915" s="3"/>
      <c r="G6915" s="3"/>
      <c r="H6915" s="3"/>
    </row>
    <row r="6916">
      <c r="A6916" s="2">
        <f>IFERROR(__xludf.DUMMYFUNCTION("""COMPUTED_VALUE"""),80985.0)</f>
        <v>80985</v>
      </c>
      <c r="B6916" s="3" t="str">
        <f>IFERROR(__xludf.DUMMYFUNCTION("""COMPUTED_VALUE"""),"14747 TELEPHONE RD ")</f>
        <v>14747 TELEPHONE RD </v>
      </c>
      <c r="C6916" s="3" t="str">
        <f>IFERROR(__xludf.DUMMYFUNCTION("""COMPUTED_VALUE"""),"COLBORNE")</f>
        <v>COLBORNE</v>
      </c>
      <c r="D6916" s="3" t="str">
        <f>IFERROR(__xludf.DUMMYFUNCTION("""COMPUTED_VALUE"""),"K0K 1S0")</f>
        <v>K0K 1S0</v>
      </c>
      <c r="E6916" s="3" t="str">
        <f>IFERROR(__xludf.DUMMYFUNCTION("""COMPUTED_VALUE"""),"dave forsyth")</f>
        <v>dave forsyth</v>
      </c>
      <c r="F6916" s="3" t="str">
        <f>IFERROR(__xludf.DUMMYFUNCTION("""COMPUTED_VALUE"""),"mustangdave@gmaill.com")</f>
        <v>mustangdave@gmaill.com</v>
      </c>
      <c r="G6916" s="3">
        <f>IFERROR(__xludf.DUMMYFUNCTION("""COMPUTED_VALUE"""),9.053739978E9)</f>
        <v>9053739978</v>
      </c>
      <c r="H6916" s="3"/>
    </row>
    <row r="6917">
      <c r="A6917" s="2">
        <f>IFERROR(__xludf.DUMMYFUNCTION("""COMPUTED_VALUE"""),80986.0)</f>
        <v>80986</v>
      </c>
      <c r="B6917" s="3" t="str">
        <f>IFERROR(__xludf.DUMMYFUNCTION("""COMPUTED_VALUE"""),"14751 TELEPHONE RD ")</f>
        <v>14751 TELEPHONE RD </v>
      </c>
      <c r="C6917" s="3" t="str">
        <f>IFERROR(__xludf.DUMMYFUNCTION("""COMPUTED_VALUE"""),"COLBORNE")</f>
        <v>COLBORNE</v>
      </c>
      <c r="D6917" s="3" t="str">
        <f>IFERROR(__xludf.DUMMYFUNCTION("""COMPUTED_VALUE"""),"K0K 1S0")</f>
        <v>K0K 1S0</v>
      </c>
      <c r="E6917" s="3"/>
      <c r="F6917" s="3"/>
      <c r="G6917" s="3"/>
      <c r="H6917" s="3"/>
    </row>
    <row r="6918">
      <c r="A6918" s="2">
        <f>IFERROR(__xludf.DUMMYFUNCTION("""COMPUTED_VALUE"""),80987.0)</f>
        <v>80987</v>
      </c>
      <c r="B6918" s="3" t="str">
        <f>IFERROR(__xludf.DUMMYFUNCTION("""COMPUTED_VALUE"""),"14835 TELEPHONE RD ")</f>
        <v>14835 TELEPHONE RD </v>
      </c>
      <c r="C6918" s="3" t="str">
        <f>IFERROR(__xludf.DUMMYFUNCTION("""COMPUTED_VALUE"""),"BRIGHTON")</f>
        <v>BRIGHTON</v>
      </c>
      <c r="D6918" s="3" t="str">
        <f>IFERROR(__xludf.DUMMYFUNCTION("""COMPUTED_VALUE"""),"K0K 1H0")</f>
        <v>K0K 1H0</v>
      </c>
      <c r="E6918" s="3" t="str">
        <f>IFERROR(__xludf.DUMMYFUNCTION("""COMPUTED_VALUE"""),"ken herrington")</f>
        <v>ken herrington</v>
      </c>
      <c r="F6918" s="3" t="str">
        <f>IFERROR(__xludf.DUMMYFUNCTION("""COMPUTED_VALUE"""),"gedargrove66@hotmail.com")</f>
        <v>gedargrove66@hotmail.com</v>
      </c>
      <c r="G6918" s="3">
        <f>IFERROR(__xludf.DUMMYFUNCTION("""COMPUTED_VALUE"""),6.134035768E9)</f>
        <v>6134035768</v>
      </c>
      <c r="H6918" s="3"/>
    </row>
    <row r="6919">
      <c r="A6919" s="2">
        <f>IFERROR(__xludf.DUMMYFUNCTION("""COMPUTED_VALUE"""),80988.0)</f>
        <v>80988</v>
      </c>
      <c r="B6919" s="3" t="str">
        <f>IFERROR(__xludf.DUMMYFUNCTION("""COMPUTED_VALUE"""),"14876 TELEPHONE RD ")</f>
        <v>14876 TELEPHONE RD </v>
      </c>
      <c r="C6919" s="3" t="str">
        <f>IFERROR(__xludf.DUMMYFUNCTION("""COMPUTED_VALUE"""),"BRIGHTON")</f>
        <v>BRIGHTON</v>
      </c>
      <c r="D6919" s="3" t="str">
        <f>IFERROR(__xludf.DUMMYFUNCTION("""COMPUTED_VALUE"""),"K0K 1H0")</f>
        <v>K0K 1H0</v>
      </c>
      <c r="E6919" s="3" t="str">
        <f>IFERROR(__xludf.DUMMYFUNCTION("""COMPUTED_VALUE"""),"ryan mcdonald")</f>
        <v>ryan mcdonald</v>
      </c>
      <c r="F6919" s="3"/>
      <c r="G6919" s="3">
        <f>IFERROR(__xludf.DUMMYFUNCTION("""COMPUTED_VALUE"""),6.134383939E9)</f>
        <v>6134383939</v>
      </c>
      <c r="H6919" s="3"/>
    </row>
    <row r="6920">
      <c r="A6920" s="2">
        <f>IFERROR(__xludf.DUMMYFUNCTION("""COMPUTED_VALUE"""),80989.0)</f>
        <v>80989</v>
      </c>
      <c r="B6920" s="3" t="str">
        <f>IFERROR(__xludf.DUMMYFUNCTION("""COMPUTED_VALUE"""),"14977 TELEPHONE RD ")</f>
        <v>14977 TELEPHONE RD </v>
      </c>
      <c r="C6920" s="3" t="str">
        <f>IFERROR(__xludf.DUMMYFUNCTION("""COMPUTED_VALUE"""),"BRIGHTON")</f>
        <v>BRIGHTON</v>
      </c>
      <c r="D6920" s="3" t="str">
        <f>IFERROR(__xludf.DUMMYFUNCTION("""COMPUTED_VALUE"""),"K0K 1H0")</f>
        <v>K0K 1H0</v>
      </c>
      <c r="E6920" s="3"/>
      <c r="F6920" s="3"/>
      <c r="G6920" s="3"/>
      <c r="H6920" s="3"/>
    </row>
    <row r="6921">
      <c r="A6921" s="2">
        <f>IFERROR(__xludf.DUMMYFUNCTION("""COMPUTED_VALUE"""),80990.0)</f>
        <v>80990</v>
      </c>
      <c r="B6921" s="3" t="str">
        <f>IFERROR(__xludf.DUMMYFUNCTION("""COMPUTED_VALUE"""),"15032 TELEPHONE RD ")</f>
        <v>15032 TELEPHONE RD </v>
      </c>
      <c r="C6921" s="3" t="str">
        <f>IFERROR(__xludf.DUMMYFUNCTION("""COMPUTED_VALUE"""),"BRIGHTON")</f>
        <v>BRIGHTON</v>
      </c>
      <c r="D6921" s="3" t="str">
        <f>IFERROR(__xludf.DUMMYFUNCTION("""COMPUTED_VALUE"""),"K0K 1H0")</f>
        <v>K0K 1H0</v>
      </c>
      <c r="E6921" s="3"/>
      <c r="F6921" s="3"/>
      <c r="G6921" s="3"/>
      <c r="H6921" s="3"/>
    </row>
    <row r="6922">
      <c r="A6922" s="2">
        <f>IFERROR(__xludf.DUMMYFUNCTION("""COMPUTED_VALUE"""),80991.0)</f>
        <v>80991</v>
      </c>
      <c r="B6922" s="3" t="str">
        <f>IFERROR(__xludf.DUMMYFUNCTION("""COMPUTED_VALUE"""),"15051 TELEPHONE RD ")</f>
        <v>15051 TELEPHONE RD </v>
      </c>
      <c r="C6922" s="3" t="str">
        <f>IFERROR(__xludf.DUMMYFUNCTION("""COMPUTED_VALUE"""),"BRIGHTON")</f>
        <v>BRIGHTON</v>
      </c>
      <c r="D6922" s="3" t="str">
        <f>IFERROR(__xludf.DUMMYFUNCTION("""COMPUTED_VALUE"""),"K0K 1H0")</f>
        <v>K0K 1H0</v>
      </c>
      <c r="E6922" s="3" t="str">
        <f>IFERROR(__xludf.DUMMYFUNCTION("""COMPUTED_VALUE"""),"jaquline banas")</f>
        <v>jaquline banas</v>
      </c>
      <c r="F6922" s="3" t="str">
        <f>IFERROR(__xludf.DUMMYFUNCTION("""COMPUTED_VALUE"""),"jackie@cvvleadership.com")</f>
        <v>jackie@cvvleadership.com</v>
      </c>
      <c r="G6922" s="3">
        <f>IFERROR(__xludf.DUMMYFUNCTION("""COMPUTED_VALUE"""),9.057172866E9)</f>
        <v>9057172866</v>
      </c>
      <c r="H6922" s="3"/>
    </row>
    <row r="6923">
      <c r="A6923" s="2">
        <f>IFERROR(__xludf.DUMMYFUNCTION("""COMPUTED_VALUE"""),80992.0)</f>
        <v>80992</v>
      </c>
      <c r="B6923" s="3" t="str">
        <f>IFERROR(__xludf.DUMMYFUNCTION("""COMPUTED_VALUE"""),"15053 TELEPHONE RD ")</f>
        <v>15053 TELEPHONE RD </v>
      </c>
      <c r="C6923" s="3" t="str">
        <f>IFERROR(__xludf.DUMMYFUNCTION("""COMPUTED_VALUE"""),"BRIGHTON")</f>
        <v>BRIGHTON</v>
      </c>
      <c r="D6923" s="3" t="str">
        <f>IFERROR(__xludf.DUMMYFUNCTION("""COMPUTED_VALUE"""),"K0K 1H0")</f>
        <v>K0K 1H0</v>
      </c>
      <c r="E6923" s="3" t="str">
        <f>IFERROR(__xludf.DUMMYFUNCTION("""COMPUTED_VALUE"""),"jaquline banas")</f>
        <v>jaquline banas</v>
      </c>
      <c r="F6923" s="3" t="str">
        <f>IFERROR(__xludf.DUMMYFUNCTION("""COMPUTED_VALUE"""),"jackie@cvvleadership.com")</f>
        <v>jackie@cvvleadership.com</v>
      </c>
      <c r="G6923" s="3">
        <f>IFERROR(__xludf.DUMMYFUNCTION("""COMPUTED_VALUE"""),9.057172866E9)</f>
        <v>9057172866</v>
      </c>
      <c r="H6923" s="3"/>
    </row>
    <row r="6924">
      <c r="A6924" s="2">
        <f>IFERROR(__xludf.DUMMYFUNCTION("""COMPUTED_VALUE"""),80993.0)</f>
        <v>80993</v>
      </c>
      <c r="B6924" s="3" t="str">
        <f>IFERROR(__xludf.DUMMYFUNCTION("""COMPUTED_VALUE"""),"15064 TELEPHONE RD ")</f>
        <v>15064 TELEPHONE RD </v>
      </c>
      <c r="C6924" s="3" t="str">
        <f>IFERROR(__xludf.DUMMYFUNCTION("""COMPUTED_VALUE"""),"BRIGHTON")</f>
        <v>BRIGHTON</v>
      </c>
      <c r="D6924" s="3" t="str">
        <f>IFERROR(__xludf.DUMMYFUNCTION("""COMPUTED_VALUE"""),"K0K 1H0")</f>
        <v>K0K 1H0</v>
      </c>
      <c r="E6924" s="3"/>
      <c r="F6924" s="3"/>
      <c r="G6924" s="3"/>
      <c r="H6924" s="3"/>
    </row>
    <row r="6925">
      <c r="A6925" s="2">
        <f>IFERROR(__xludf.DUMMYFUNCTION("""COMPUTED_VALUE"""),80994.0)</f>
        <v>80994</v>
      </c>
      <c r="B6925" s="3" t="str">
        <f>IFERROR(__xludf.DUMMYFUNCTION("""COMPUTED_VALUE"""),"15089 TELEPHONE RD ")</f>
        <v>15089 TELEPHONE RD </v>
      </c>
      <c r="C6925" s="3" t="str">
        <f>IFERROR(__xludf.DUMMYFUNCTION("""COMPUTED_VALUE"""),"BRIGHTON")</f>
        <v>BRIGHTON</v>
      </c>
      <c r="D6925" s="3" t="str">
        <f>IFERROR(__xludf.DUMMYFUNCTION("""COMPUTED_VALUE"""),"K0K 1H0")</f>
        <v>K0K 1H0</v>
      </c>
      <c r="E6925" s="3" t="str">
        <f>IFERROR(__xludf.DUMMYFUNCTION("""COMPUTED_VALUE"""),"Caroline Richardson")</f>
        <v>Caroline Richardson</v>
      </c>
      <c r="F6925" s="3" t="str">
        <f>IFERROR(__xludf.DUMMYFUNCTION("""COMPUTED_VALUE"""),"caroline.mathieu@gmail.com")</f>
        <v>caroline.mathieu@gmail.com</v>
      </c>
      <c r="G6925" s="3">
        <f>IFERROR(__xludf.DUMMYFUNCTION("""COMPUTED_VALUE"""),6.134754518E9)</f>
        <v>6134754518</v>
      </c>
      <c r="H6925" s="3">
        <f>IFERROR(__xludf.DUMMYFUNCTION("""COMPUTED_VALUE"""),6.139216862E9)</f>
        <v>6139216862</v>
      </c>
    </row>
    <row r="6926">
      <c r="A6926" s="2">
        <f>IFERROR(__xludf.DUMMYFUNCTION("""COMPUTED_VALUE"""),80995.0)</f>
        <v>80995</v>
      </c>
      <c r="B6926" s="3" t="str">
        <f>IFERROR(__xludf.DUMMYFUNCTION("""COMPUTED_VALUE"""),"15097 TELEPHONE RD ")</f>
        <v>15097 TELEPHONE RD </v>
      </c>
      <c r="C6926" s="3" t="str">
        <f>IFERROR(__xludf.DUMMYFUNCTION("""COMPUTED_VALUE"""),"BRIGHTON")</f>
        <v>BRIGHTON</v>
      </c>
      <c r="D6926" s="3" t="str">
        <f>IFERROR(__xludf.DUMMYFUNCTION("""COMPUTED_VALUE"""),"K0K 1H0")</f>
        <v>K0K 1H0</v>
      </c>
      <c r="E6926" s="3" t="str">
        <f>IFERROR(__xludf.DUMMYFUNCTION("""COMPUTED_VALUE"""),"Marie Whaley")</f>
        <v>Marie Whaley</v>
      </c>
      <c r="F6926" s="3" t="str">
        <f>IFERROR(__xludf.DUMMYFUNCTION("""COMPUTED_VALUE"""),"robertwhaley@hotmail.com")</f>
        <v>robertwhaley@hotmail.com</v>
      </c>
      <c r="G6926" s="3"/>
      <c r="H6926" s="3"/>
    </row>
    <row r="6927">
      <c r="A6927" s="2">
        <f>IFERROR(__xludf.DUMMYFUNCTION("""COMPUTED_VALUE"""),80929.0)</f>
        <v>80929</v>
      </c>
      <c r="B6927" s="3" t="str">
        <f>IFERROR(__xludf.DUMMYFUNCTION("""COMPUTED_VALUE"""),"15099 TELEPHONE RD E")</f>
        <v>15099 TELEPHONE RD E</v>
      </c>
      <c r="C6927" s="3" t="str">
        <f>IFERROR(__xludf.DUMMYFUNCTION("""COMPUTED_VALUE"""),"BRIGHTON")</f>
        <v>BRIGHTON</v>
      </c>
      <c r="D6927" s="3" t="str">
        <f>IFERROR(__xludf.DUMMYFUNCTION("""COMPUTED_VALUE"""),"K0K 1H0")</f>
        <v>K0K 1H0</v>
      </c>
      <c r="E6927" s="3"/>
      <c r="F6927" s="3"/>
      <c r="G6927" s="3"/>
      <c r="H6927" s="3"/>
    </row>
    <row r="6928">
      <c r="A6928" s="2">
        <f>IFERROR(__xludf.DUMMYFUNCTION("""COMPUTED_VALUE"""),80996.0)</f>
        <v>80996</v>
      </c>
      <c r="B6928" s="3" t="str">
        <f>IFERROR(__xludf.DUMMYFUNCTION("""COMPUTED_VALUE"""),"15120 TELEPHONE RD ")</f>
        <v>15120 TELEPHONE RD </v>
      </c>
      <c r="C6928" s="3" t="str">
        <f>IFERROR(__xludf.DUMMYFUNCTION("""COMPUTED_VALUE"""),"BRIGHTON")</f>
        <v>BRIGHTON</v>
      </c>
      <c r="D6928" s="3" t="str">
        <f>IFERROR(__xludf.DUMMYFUNCTION("""COMPUTED_VALUE"""),"K0K 1H0")</f>
        <v>K0K 1H0</v>
      </c>
      <c r="E6928" s="3"/>
      <c r="F6928" s="3"/>
      <c r="G6928" s="3"/>
      <c r="H6928" s="3"/>
    </row>
    <row r="6929">
      <c r="A6929" s="2">
        <f>IFERROR(__xludf.DUMMYFUNCTION("""COMPUTED_VALUE"""),80997.0)</f>
        <v>80997</v>
      </c>
      <c r="B6929" s="3" t="str">
        <f>IFERROR(__xludf.DUMMYFUNCTION("""COMPUTED_VALUE"""),"15154 TELEPHONE RD ")</f>
        <v>15154 TELEPHONE RD </v>
      </c>
      <c r="C6929" s="3" t="str">
        <f>IFERROR(__xludf.DUMMYFUNCTION("""COMPUTED_VALUE"""),"BRIGHTON")</f>
        <v>BRIGHTON</v>
      </c>
      <c r="D6929" s="3" t="str">
        <f>IFERROR(__xludf.DUMMYFUNCTION("""COMPUTED_VALUE"""),"K0K 1H0")</f>
        <v>K0K 1H0</v>
      </c>
      <c r="E6929" s="3"/>
      <c r="F6929" s="3"/>
      <c r="G6929" s="3"/>
      <c r="H6929" s="3"/>
    </row>
    <row r="6930">
      <c r="A6930" s="2">
        <f>IFERROR(__xludf.DUMMYFUNCTION("""COMPUTED_VALUE"""),80998.0)</f>
        <v>80998</v>
      </c>
      <c r="B6930" s="3" t="str">
        <f>IFERROR(__xludf.DUMMYFUNCTION("""COMPUTED_VALUE"""),"15165 TELEPHONE RD ")</f>
        <v>15165 TELEPHONE RD </v>
      </c>
      <c r="C6930" s="3" t="str">
        <f>IFERROR(__xludf.DUMMYFUNCTION("""COMPUTED_VALUE"""),"BRIGHTON")</f>
        <v>BRIGHTON</v>
      </c>
      <c r="D6930" s="3" t="str">
        <f>IFERROR(__xludf.DUMMYFUNCTION("""COMPUTED_VALUE"""),"K0K 1H0")</f>
        <v>K0K 1H0</v>
      </c>
      <c r="E6930" s="3"/>
      <c r="F6930" s="3"/>
      <c r="G6930" s="3"/>
      <c r="H6930" s="3"/>
    </row>
    <row r="6931">
      <c r="A6931" s="2">
        <f>IFERROR(__xludf.DUMMYFUNCTION("""COMPUTED_VALUE"""),81003.0)</f>
        <v>81003</v>
      </c>
      <c r="B6931" s="3" t="str">
        <f>IFERROR(__xludf.DUMMYFUNCTION("""COMPUTED_VALUE"""),"110 TOWERLINE RD ")</f>
        <v>110 TOWERLINE RD </v>
      </c>
      <c r="C6931" s="3" t="str">
        <f>IFERROR(__xludf.DUMMYFUNCTION("""COMPUTED_VALUE"""),"CODRINGTON")</f>
        <v>CODRINGTON</v>
      </c>
      <c r="D6931" s="3" t="str">
        <f>IFERROR(__xludf.DUMMYFUNCTION("""COMPUTED_VALUE"""),"K0K 1R0")</f>
        <v>K0K 1R0</v>
      </c>
      <c r="E6931" s="3"/>
      <c r="F6931" s="3"/>
      <c r="G6931" s="3"/>
      <c r="H6931" s="3"/>
    </row>
    <row r="6932">
      <c r="A6932" s="2">
        <f>IFERROR(__xludf.DUMMYFUNCTION("""COMPUTED_VALUE"""),81001.0)</f>
        <v>81001</v>
      </c>
      <c r="B6932" s="3" t="str">
        <f>IFERROR(__xludf.DUMMYFUNCTION("""COMPUTED_VALUE"""),"38 TOWERLINE RD ")</f>
        <v>38 TOWERLINE RD </v>
      </c>
      <c r="C6932" s="3" t="str">
        <f>IFERROR(__xludf.DUMMYFUNCTION("""COMPUTED_VALUE"""),"CODRINGTON")</f>
        <v>CODRINGTON</v>
      </c>
      <c r="D6932" s="3" t="str">
        <f>IFERROR(__xludf.DUMMYFUNCTION("""COMPUTED_VALUE"""),"K0K 1R0")</f>
        <v>K0K 1R0</v>
      </c>
      <c r="E6932" s="3"/>
      <c r="F6932" s="3"/>
      <c r="G6932" s="3"/>
      <c r="H6932" s="3"/>
    </row>
    <row r="6933">
      <c r="A6933" s="2">
        <f>IFERROR(__xludf.DUMMYFUNCTION("""COMPUTED_VALUE"""),81002.0)</f>
        <v>81002</v>
      </c>
      <c r="B6933" s="3" t="str">
        <f>IFERROR(__xludf.DUMMYFUNCTION("""COMPUTED_VALUE"""),"71 TOWERLINE RD ")</f>
        <v>71 TOWERLINE RD </v>
      </c>
      <c r="C6933" s="3" t="str">
        <f>IFERROR(__xludf.DUMMYFUNCTION("""COMPUTED_VALUE"""),"CODRINGTON")</f>
        <v>CODRINGTON</v>
      </c>
      <c r="D6933" s="3" t="str">
        <f>IFERROR(__xludf.DUMMYFUNCTION("""COMPUTED_VALUE"""),"K0K 1R0")</f>
        <v>K0K 1R0</v>
      </c>
      <c r="E6933" s="3"/>
      <c r="F6933" s="3"/>
      <c r="G6933" s="3"/>
      <c r="H6933" s="3"/>
    </row>
    <row r="6934">
      <c r="A6934" s="2">
        <f>IFERROR(__xludf.DUMMYFUNCTION("""COMPUTED_VALUE"""),81004.0)</f>
        <v>81004</v>
      </c>
      <c r="B6934" s="3" t="str">
        <f>IFERROR(__xludf.DUMMYFUNCTION("""COMPUTED_VALUE"""),"37 TOWNSHIP HALL RD ")</f>
        <v>37 TOWNSHIP HALL RD </v>
      </c>
      <c r="C6934" s="3" t="str">
        <f>IFERROR(__xludf.DUMMYFUNCTION("""COMPUTED_VALUE"""),"BRIGHTON")</f>
        <v>BRIGHTON</v>
      </c>
      <c r="D6934" s="3" t="str">
        <f>IFERROR(__xludf.DUMMYFUNCTION("""COMPUTED_VALUE"""),"K0K 1H0")</f>
        <v>K0K 1H0</v>
      </c>
      <c r="E6934" s="3" t="str">
        <f>IFERROR(__xludf.DUMMYFUNCTION("""COMPUTED_VALUE"""),"Robert J. Bird")</f>
        <v>Robert J. Bird</v>
      </c>
      <c r="F6934" s="3" t="str">
        <f>IFERROR(__xludf.DUMMYFUNCTION("""COMPUTED_VALUE"""),"zeekf1@gmail.com")</f>
        <v>zeekf1@gmail.com</v>
      </c>
      <c r="G6934" s="3"/>
      <c r="H6934" s="3"/>
    </row>
    <row r="6935">
      <c r="A6935" s="2">
        <f>IFERROR(__xludf.DUMMYFUNCTION("""COMPUTED_VALUE"""),81014.0)</f>
        <v>81014</v>
      </c>
      <c r="B6935" s="3" t="str">
        <f>IFERROR(__xludf.DUMMYFUNCTION("""COMPUTED_VALUE"""),"145-151 TROTTMAN RD ")</f>
        <v>145-151 TROTTMAN RD </v>
      </c>
      <c r="C6935" s="3" t="str">
        <f>IFERROR(__xludf.DUMMYFUNCTION("""COMPUTED_VALUE"""),"COLBORNE")</f>
        <v>COLBORNE</v>
      </c>
      <c r="D6935" s="3" t="str">
        <f>IFERROR(__xludf.DUMMYFUNCTION("""COMPUTED_VALUE"""),"K0K 1S0")</f>
        <v>K0K 1S0</v>
      </c>
      <c r="E6935" s="3" t="str">
        <f>IFERROR(__xludf.DUMMYFUNCTION("""COMPUTED_VALUE"""),"j and t hudson")</f>
        <v>j and t hudson</v>
      </c>
      <c r="F6935" s="3"/>
      <c r="G6935" s="3">
        <f>IFERROR(__xludf.DUMMYFUNCTION("""COMPUTED_VALUE"""),9.0535514E9)</f>
        <v>9053551400</v>
      </c>
      <c r="H6935" s="3"/>
    </row>
    <row r="6936">
      <c r="A6936" s="2">
        <f>IFERROR(__xludf.DUMMYFUNCTION("""COMPUTED_VALUE"""),81005.0)</f>
        <v>81005</v>
      </c>
      <c r="B6936" s="3" t="str">
        <f>IFERROR(__xludf.DUMMYFUNCTION("""COMPUTED_VALUE"""),"9 TROTTMAN RD ")</f>
        <v>9 TROTTMAN RD </v>
      </c>
      <c r="C6936" s="3" t="str">
        <f>IFERROR(__xludf.DUMMYFUNCTION("""COMPUTED_VALUE"""),"COLBORNE")</f>
        <v>COLBORNE</v>
      </c>
      <c r="D6936" s="3" t="str">
        <f>IFERROR(__xludf.DUMMYFUNCTION("""COMPUTED_VALUE"""),"K0K 1S0")</f>
        <v>K0K 1S0</v>
      </c>
      <c r="E6936" s="3" t="str">
        <f>IFERROR(__xludf.DUMMYFUNCTION("""COMPUTED_VALUE"""),"David Fisher")</f>
        <v>David Fisher</v>
      </c>
      <c r="F6936" s="3" t="str">
        <f>IFERROR(__xludf.DUMMYFUNCTION("""COMPUTED_VALUE"""),"d3fisher@gmail.com")</f>
        <v>d3fisher@gmail.com</v>
      </c>
      <c r="G6936" s="3">
        <f>IFERROR(__xludf.DUMMYFUNCTION("""COMPUTED_VALUE"""),6.477723474E9)</f>
        <v>6477723474</v>
      </c>
      <c r="H6936" s="3"/>
    </row>
    <row r="6937">
      <c r="A6937" s="2">
        <f>IFERROR(__xludf.DUMMYFUNCTION("""COMPUTED_VALUE"""),81015.0)</f>
        <v>81015</v>
      </c>
      <c r="B6937" s="3" t="str">
        <f>IFERROR(__xludf.DUMMYFUNCTION("""COMPUTED_VALUE"""),"20 TWIN LANE ")</f>
        <v>20 TWIN LANE </v>
      </c>
      <c r="C6937" s="3" t="str">
        <f>IFERROR(__xludf.DUMMYFUNCTION("""COMPUTED_VALUE"""),"BRIGHTON")</f>
        <v>BRIGHTON</v>
      </c>
      <c r="D6937" s="3" t="str">
        <f>IFERROR(__xludf.DUMMYFUNCTION("""COMPUTED_VALUE"""),"K0K 1H0")</f>
        <v>K0K 1H0</v>
      </c>
      <c r="E6937" s="3" t="str">
        <f>IFERROR(__xludf.DUMMYFUNCTION("""COMPUTED_VALUE"""),"Janice Highstead")</f>
        <v>Janice Highstead</v>
      </c>
      <c r="F6937" s="3" t="str">
        <f>IFERROR(__xludf.DUMMYFUNCTION("""COMPUTED_VALUE"""),"janice_summit@xplornet.ca")</f>
        <v>janice_summit@xplornet.ca</v>
      </c>
      <c r="G6937" s="3"/>
      <c r="H6937" s="3"/>
    </row>
    <row r="6938">
      <c r="A6938" s="2">
        <f>IFERROR(__xludf.DUMMYFUNCTION("""COMPUTED_VALUE"""),81016.0)</f>
        <v>81016</v>
      </c>
      <c r="B6938" s="3" t="str">
        <f>IFERROR(__xludf.DUMMYFUNCTION("""COMPUTED_VALUE"""),"23 TWIN LANE ")</f>
        <v>23 TWIN LANE </v>
      </c>
      <c r="C6938" s="3" t="str">
        <f>IFERROR(__xludf.DUMMYFUNCTION("""COMPUTED_VALUE"""),"BRIGHTON")</f>
        <v>BRIGHTON</v>
      </c>
      <c r="D6938" s="3" t="str">
        <f>IFERROR(__xludf.DUMMYFUNCTION("""COMPUTED_VALUE"""),"K0K 1H0")</f>
        <v>K0K 1H0</v>
      </c>
      <c r="E6938" s="3"/>
      <c r="F6938" s="3"/>
      <c r="G6938" s="3"/>
      <c r="H6938" s="3"/>
    </row>
    <row r="6939">
      <c r="A6939" s="2">
        <f>IFERROR(__xludf.DUMMYFUNCTION("""COMPUTED_VALUE"""),81020.0)</f>
        <v>81020</v>
      </c>
      <c r="B6939" s="3" t="str">
        <f>IFERROR(__xludf.DUMMYFUNCTION("""COMPUTED_VALUE"""),"129 WAITES RD ")</f>
        <v>129 WAITES RD </v>
      </c>
      <c r="C6939" s="3" t="str">
        <f>IFERROR(__xludf.DUMMYFUNCTION("""COMPUTED_VALUE"""),"BRIGHTON")</f>
        <v>BRIGHTON</v>
      </c>
      <c r="D6939" s="3" t="str">
        <f>IFERROR(__xludf.DUMMYFUNCTION("""COMPUTED_VALUE"""),"K0K 1H0")</f>
        <v>K0K 1H0</v>
      </c>
      <c r="E6939" s="3" t="str">
        <f>IFERROR(__xludf.DUMMYFUNCTION("""COMPUTED_VALUE"""),"Brad MacCarl")</f>
        <v>Brad MacCarl</v>
      </c>
      <c r="F6939" s="3" t="str">
        <f>IFERROR(__xludf.DUMMYFUNCTION("""COMPUTED_VALUE"""),"bmaccarl@xplornet.com")</f>
        <v>bmaccarl@xplornet.com</v>
      </c>
      <c r="G6939" s="3">
        <f>IFERROR(__xludf.DUMMYFUNCTION("""COMPUTED_VALUE"""),2.893561007E9)</f>
        <v>2893561007</v>
      </c>
      <c r="H6939" s="3"/>
    </row>
    <row r="6940">
      <c r="A6940" s="2">
        <f>IFERROR(__xludf.DUMMYFUNCTION("""COMPUTED_VALUE"""),81021.0)</f>
        <v>81021</v>
      </c>
      <c r="B6940" s="3" t="str">
        <f>IFERROR(__xludf.DUMMYFUNCTION("""COMPUTED_VALUE"""),"141 WAITES RD ")</f>
        <v>141 WAITES RD </v>
      </c>
      <c r="C6940" s="3" t="str">
        <f>IFERROR(__xludf.DUMMYFUNCTION("""COMPUTED_VALUE"""),"BRIGHTON")</f>
        <v>BRIGHTON</v>
      </c>
      <c r="D6940" s="3" t="str">
        <f>IFERROR(__xludf.DUMMYFUNCTION("""COMPUTED_VALUE"""),"K0K 1H0")</f>
        <v>K0K 1H0</v>
      </c>
      <c r="E6940" s="3"/>
      <c r="F6940" s="3"/>
      <c r="G6940" s="3"/>
      <c r="H6940" s="3"/>
    </row>
    <row r="6941">
      <c r="A6941" s="2">
        <f>IFERROR(__xludf.DUMMYFUNCTION("""COMPUTED_VALUE"""),81022.0)</f>
        <v>81022</v>
      </c>
      <c r="B6941" s="3" t="str">
        <f>IFERROR(__xludf.DUMMYFUNCTION("""COMPUTED_VALUE"""),"251 WAITES RD ")</f>
        <v>251 WAITES RD </v>
      </c>
      <c r="C6941" s="3" t="str">
        <f>IFERROR(__xludf.DUMMYFUNCTION("""COMPUTED_VALUE"""),"BRIGHTON")</f>
        <v>BRIGHTON</v>
      </c>
      <c r="D6941" s="3" t="str">
        <f>IFERROR(__xludf.DUMMYFUNCTION("""COMPUTED_VALUE"""),"K0K 1H0")</f>
        <v>K0K 1H0</v>
      </c>
      <c r="E6941" s="3" t="str">
        <f>IFERROR(__xludf.DUMMYFUNCTION("""COMPUTED_VALUE"""),"mary powell ")</f>
        <v>mary powell </v>
      </c>
      <c r="F6941" s="3" t="str">
        <f>IFERROR(__xludf.DUMMYFUNCTION("""COMPUTED_VALUE"""),"maryepowell16@yahoo.ca")</f>
        <v>maryepowell16@yahoo.ca</v>
      </c>
      <c r="G6941" s="3">
        <f>IFERROR(__xludf.DUMMYFUNCTION("""COMPUTED_VALUE"""),9.052995145E9)</f>
        <v>9052995145</v>
      </c>
      <c r="H6941" s="3"/>
    </row>
    <row r="6942">
      <c r="A6942" s="2">
        <f>IFERROR(__xludf.DUMMYFUNCTION("""COMPUTED_VALUE"""),81017.0)</f>
        <v>81017</v>
      </c>
      <c r="B6942" s="3" t="str">
        <f>IFERROR(__xludf.DUMMYFUNCTION("""COMPUTED_VALUE"""),"256 WAITE RD ")</f>
        <v>256 WAITE RD </v>
      </c>
      <c r="C6942" s="3" t="str">
        <f>IFERROR(__xludf.DUMMYFUNCTION("""COMPUTED_VALUE"""),"COLBORNE")</f>
        <v>COLBORNE</v>
      </c>
      <c r="D6942" s="3" t="str">
        <f>IFERROR(__xludf.DUMMYFUNCTION("""COMPUTED_VALUE"""),"K0K 1S0")</f>
        <v>K0K 1S0</v>
      </c>
      <c r="E6942" s="3" t="str">
        <f>IFERROR(__xludf.DUMMYFUNCTION("""COMPUTED_VALUE"""),"dave anderson")</f>
        <v>dave anderson</v>
      </c>
      <c r="F6942" s="3" t="str">
        <f>IFERROR(__xludf.DUMMYFUNCTION("""COMPUTED_VALUE"""),"daveanderson@hotmail.com")</f>
        <v>daveanderson@hotmail.com</v>
      </c>
      <c r="G6942" s="3">
        <f>IFERROR(__xludf.DUMMYFUNCTION("""COMPUTED_VALUE"""),5.872973857E9)</f>
        <v>5872973857</v>
      </c>
      <c r="H6942" s="3"/>
    </row>
    <row r="6943">
      <c r="A6943" s="2">
        <f>IFERROR(__xludf.DUMMYFUNCTION("""COMPUTED_VALUE"""),81023.0)</f>
        <v>81023</v>
      </c>
      <c r="B6943" s="3" t="str">
        <f>IFERROR(__xludf.DUMMYFUNCTION("""COMPUTED_VALUE"""),"263 WAITES RD ")</f>
        <v>263 WAITES RD </v>
      </c>
      <c r="C6943" s="3" t="str">
        <f>IFERROR(__xludf.DUMMYFUNCTION("""COMPUTED_VALUE"""),"BRIGHTON")</f>
        <v>BRIGHTON</v>
      </c>
      <c r="D6943" s="3" t="str">
        <f>IFERROR(__xludf.DUMMYFUNCTION("""COMPUTED_VALUE"""),"K0K 1H0")</f>
        <v>K0K 1H0</v>
      </c>
      <c r="E6943" s="3" t="str">
        <f>IFERROR(__xludf.DUMMYFUNCTION("""COMPUTED_VALUE"""),"art devries ")</f>
        <v>art devries </v>
      </c>
      <c r="F6943" s="3" t="str">
        <f>IFERROR(__xludf.DUMMYFUNCTION("""COMPUTED_VALUE"""),"6134753162")</f>
        <v>6134753162</v>
      </c>
      <c r="G6943" s="3"/>
      <c r="H6943" s="3"/>
    </row>
    <row r="6944">
      <c r="A6944" s="2">
        <f>IFERROR(__xludf.DUMMYFUNCTION("""COMPUTED_VALUE"""),81024.0)</f>
        <v>81024</v>
      </c>
      <c r="B6944" s="3" t="str">
        <f>IFERROR(__xludf.DUMMYFUNCTION("""COMPUTED_VALUE"""),"281 WAITES RD ")</f>
        <v>281 WAITES RD </v>
      </c>
      <c r="C6944" s="3" t="str">
        <f>IFERROR(__xludf.DUMMYFUNCTION("""COMPUTED_VALUE"""),"BRIGHTON")</f>
        <v>BRIGHTON</v>
      </c>
      <c r="D6944" s="3" t="str">
        <f>IFERROR(__xludf.DUMMYFUNCTION("""COMPUTED_VALUE"""),"K0K 1H0")</f>
        <v>K0K 1H0</v>
      </c>
      <c r="E6944" s="3" t="str">
        <f>IFERROR(__xludf.DUMMYFUNCTION("""COMPUTED_VALUE"""),"Lisa Clark-Sampson")</f>
        <v>Lisa Clark-Sampson</v>
      </c>
      <c r="F6944" s="3" t="str">
        <f>IFERROR(__xludf.DUMMYFUNCTION("""COMPUTED_VALUE"""),"Lisee34@hotmail.com")</f>
        <v>Lisee34@hotmail.com</v>
      </c>
      <c r="G6944" s="3">
        <f>IFERROR(__xludf.DUMMYFUNCTION("""COMPUTED_VALUE"""),2.896911598E9)</f>
        <v>2896911598</v>
      </c>
      <c r="H6944" s="3">
        <f>IFERROR(__xludf.DUMMYFUNCTION("""COMPUTED_VALUE"""),6.134380349E9)</f>
        <v>6134380349</v>
      </c>
    </row>
    <row r="6945">
      <c r="A6945" s="2">
        <f>IFERROR(__xludf.DUMMYFUNCTION("""COMPUTED_VALUE"""),81055.0)</f>
        <v>81055</v>
      </c>
      <c r="B6945" s="3" t="str">
        <f>IFERROR(__xludf.DUMMYFUNCTION("""COMPUTED_VALUE"""),"405 WAITES RD")</f>
        <v>405 WAITES RD</v>
      </c>
      <c r="C6945" s="3" t="str">
        <f>IFERROR(__xludf.DUMMYFUNCTION("""COMPUTED_VALUE""")," BRIGHTON")</f>
        <v> BRIGHTON</v>
      </c>
      <c r="D6945" s="3" t="str">
        <f>IFERROR(__xludf.DUMMYFUNCTION("""COMPUTED_VALUE""")," K0K 1H0")</f>
        <v> K0K 1H0</v>
      </c>
      <c r="E6945" s="3" t="str">
        <f>IFERROR(__xludf.DUMMYFUNCTION("""COMPUTED_VALUE"""),"JEFFREY WAITE")</f>
        <v>JEFFREY WAITE</v>
      </c>
      <c r="F6945" s="3" t="str">
        <f>IFERROR(__xludf.DUMMYFUNCTION("""COMPUTED_VALUE"""),"daphnec.rayner@gmail.com")</f>
        <v>daphnec.rayner@gmail.com</v>
      </c>
      <c r="G6945" s="3"/>
      <c r="H6945" s="3"/>
    </row>
    <row r="6946">
      <c r="A6946" s="2">
        <f>IFERROR(__xludf.DUMMYFUNCTION("""COMPUTED_VALUE"""),81018.0)</f>
        <v>81018</v>
      </c>
      <c r="B6946" s="3" t="str">
        <f>IFERROR(__xludf.DUMMYFUNCTION("""COMPUTED_VALUE"""),"420 WAITE RD ")</f>
        <v>420 WAITE RD </v>
      </c>
      <c r="C6946" s="3" t="str">
        <f>IFERROR(__xludf.DUMMYFUNCTION("""COMPUTED_VALUE"""),"COLBORNE")</f>
        <v>COLBORNE</v>
      </c>
      <c r="D6946" s="3" t="str">
        <f>IFERROR(__xludf.DUMMYFUNCTION("""COMPUTED_VALUE"""),"K0K 1S0")</f>
        <v>K0K 1S0</v>
      </c>
      <c r="E6946" s="3" t="str">
        <f>IFERROR(__xludf.DUMMYFUNCTION("""COMPUTED_VALUE"""),"francine rawn and jennifer neil")</f>
        <v>francine rawn and jennifer neil</v>
      </c>
      <c r="F6946" s="3" t="str">
        <f>IFERROR(__xludf.DUMMYFUNCTION("""COMPUTED_VALUE"""),"6136616889")</f>
        <v>6136616889</v>
      </c>
      <c r="G6946" s="3">
        <f>IFERROR(__xludf.DUMMYFUNCTION("""COMPUTED_VALUE"""),9.053761716E9)</f>
        <v>9053761716</v>
      </c>
      <c r="H6946" s="3"/>
    </row>
    <row r="6947">
      <c r="A6947" s="2">
        <f>IFERROR(__xludf.DUMMYFUNCTION("""COMPUTED_VALUE"""),81025.0)</f>
        <v>81025</v>
      </c>
      <c r="B6947" s="3" t="str">
        <f>IFERROR(__xludf.DUMMYFUNCTION("""COMPUTED_VALUE"""),"428 WAITES RD ")</f>
        <v>428 WAITES RD </v>
      </c>
      <c r="C6947" s="3" t="str">
        <f>IFERROR(__xludf.DUMMYFUNCTION("""COMPUTED_VALUE"""),"COLBORNE")</f>
        <v>COLBORNE</v>
      </c>
      <c r="D6947" s="3" t="str">
        <f>IFERROR(__xludf.DUMMYFUNCTION("""COMPUTED_VALUE"""),"K0K 1S0")</f>
        <v>K0K 1S0</v>
      </c>
      <c r="E6947" s="3" t="str">
        <f>IFERROR(__xludf.DUMMYFUNCTION("""COMPUTED_VALUE"""),"krista mccrory")</f>
        <v>krista mccrory</v>
      </c>
      <c r="F6947" s="3" t="str">
        <f>IFERROR(__xludf.DUMMYFUNCTION("""COMPUTED_VALUE"""),"mccrory@xplorenet.ca")</f>
        <v>mccrory@xplorenet.ca</v>
      </c>
      <c r="G6947" s="3">
        <f>IFERROR(__xludf.DUMMYFUNCTION("""COMPUTED_VALUE"""),9.053736379E9)</f>
        <v>9053736379</v>
      </c>
      <c r="H6947" s="3">
        <f>IFERROR(__xludf.DUMMYFUNCTION("""COMPUTED_VALUE"""),9.053766379E9)</f>
        <v>9053766379</v>
      </c>
    </row>
    <row r="6948">
      <c r="A6948" s="2">
        <f>IFERROR(__xludf.DUMMYFUNCTION("""COMPUTED_VALUE"""),81026.0)</f>
        <v>81026</v>
      </c>
      <c r="B6948" s="3" t="str">
        <f>IFERROR(__xludf.DUMMYFUNCTION("""COMPUTED_VALUE"""),"431 WAITS RD ")</f>
        <v>431 WAITS RD </v>
      </c>
      <c r="C6948" s="3" t="str">
        <f>IFERROR(__xludf.DUMMYFUNCTION("""COMPUTED_VALUE"""),"BRIGHTON")</f>
        <v>BRIGHTON</v>
      </c>
      <c r="D6948" s="3" t="str">
        <f>IFERROR(__xludf.DUMMYFUNCTION("""COMPUTED_VALUE"""),"K0K 1H0")</f>
        <v>K0K 1H0</v>
      </c>
      <c r="E6948" s="3"/>
      <c r="F6948" s="3"/>
      <c r="G6948" s="3"/>
      <c r="H6948" s="3"/>
    </row>
    <row r="6949">
      <c r="A6949" s="2">
        <f>IFERROR(__xludf.DUMMYFUNCTION("""COMPUTED_VALUE"""),81019.0)</f>
        <v>81019</v>
      </c>
      <c r="B6949" s="3" t="str">
        <f>IFERROR(__xludf.DUMMYFUNCTION("""COMPUTED_VALUE"""),"486 WAITE RD ")</f>
        <v>486 WAITE RD </v>
      </c>
      <c r="C6949" s="3" t="str">
        <f>IFERROR(__xludf.DUMMYFUNCTION("""COMPUTED_VALUE"""),"COLBORNE")</f>
        <v>COLBORNE</v>
      </c>
      <c r="D6949" s="3" t="str">
        <f>IFERROR(__xludf.DUMMYFUNCTION("""COMPUTED_VALUE"""),"K0K 1S0")</f>
        <v>K0K 1S0</v>
      </c>
      <c r="E6949" s="3" t="str">
        <f>IFERROR(__xludf.DUMMYFUNCTION("""COMPUTED_VALUE"""),"Garnet Irving")</f>
        <v>Garnet Irving</v>
      </c>
      <c r="F6949" s="3" t="str">
        <f>IFERROR(__xludf.DUMMYFUNCTION("""COMPUTED_VALUE"""),"garnet.irving@gmail.com")</f>
        <v>garnet.irving@gmail.com</v>
      </c>
      <c r="G6949" s="3">
        <f>IFERROR(__xludf.DUMMYFUNCTION("""COMPUTED_VALUE"""),6.138485509E9)</f>
        <v>6138485509</v>
      </c>
      <c r="H6949" s="3"/>
    </row>
    <row r="6950">
      <c r="A6950" s="2">
        <f>IFERROR(__xludf.DUMMYFUNCTION("""COMPUTED_VALUE"""),81027.0)</f>
        <v>81027</v>
      </c>
      <c r="B6950" s="3" t="str">
        <f>IFERROR(__xludf.DUMMYFUNCTION("""COMPUTED_VALUE"""),"191 WALKER RD ")</f>
        <v>191 WALKER RD </v>
      </c>
      <c r="C6950" s="3" t="str">
        <f>IFERROR(__xludf.DUMMYFUNCTION("""COMPUTED_VALUE"""),"COLBORNE")</f>
        <v>COLBORNE</v>
      </c>
      <c r="D6950" s="3" t="str">
        <f>IFERROR(__xludf.DUMMYFUNCTION("""COMPUTED_VALUE"""),"K0K 1S0")</f>
        <v>K0K 1S0</v>
      </c>
      <c r="E6950" s="3" t="str">
        <f>IFERROR(__xludf.DUMMYFUNCTION("""COMPUTED_VALUE"""),"Dianne Turk")</f>
        <v>Dianne Turk</v>
      </c>
      <c r="F6950" s="3" t="str">
        <f>IFERROR(__xludf.DUMMYFUNCTION("""COMPUTED_VALUE"""),"ldianneturk@yahoo.ca")</f>
        <v>ldianneturk@yahoo.ca</v>
      </c>
      <c r="G6950" s="3">
        <f>IFERROR(__xludf.DUMMYFUNCTION("""COMPUTED_VALUE"""),9.053735308E9)</f>
        <v>9053735308</v>
      </c>
      <c r="H6950" s="3"/>
    </row>
    <row r="6951">
      <c r="A6951" s="2">
        <f>IFERROR(__xludf.DUMMYFUNCTION("""COMPUTED_VALUE"""),81028.0)</f>
        <v>81028</v>
      </c>
      <c r="B6951" s="3" t="str">
        <f>IFERROR(__xludf.DUMMYFUNCTION("""COMPUTED_VALUE"""),"264 WALKER RD ")</f>
        <v>264 WALKER RD </v>
      </c>
      <c r="C6951" s="3" t="str">
        <f>IFERROR(__xludf.DUMMYFUNCTION("""COMPUTED_VALUE"""),"COLBORNE")</f>
        <v>COLBORNE</v>
      </c>
      <c r="D6951" s="3" t="str">
        <f>IFERROR(__xludf.DUMMYFUNCTION("""COMPUTED_VALUE"""),"K0K 1S0")</f>
        <v>K0K 1S0</v>
      </c>
      <c r="E6951" s="3" t="str">
        <f>IFERROR(__xludf.DUMMYFUNCTION("""COMPUTED_VALUE"""),"patrick meekes")</f>
        <v>patrick meekes</v>
      </c>
      <c r="F6951" s="3" t="str">
        <f>IFERROR(__xludf.DUMMYFUNCTION("""COMPUTED_VALUE"""),"christopherpatrick462@gmail.com")</f>
        <v>christopherpatrick462@gmail.com</v>
      </c>
      <c r="G6951" s="3">
        <f>IFERROR(__xludf.DUMMYFUNCTION("""COMPUTED_VALUE"""),6.138486604E9)</f>
        <v>6138486604</v>
      </c>
      <c r="H6951" s="3"/>
    </row>
    <row r="6952">
      <c r="A6952" s="2">
        <f>IFERROR(__xludf.DUMMYFUNCTION("""COMPUTED_VALUE"""),81029.0)</f>
        <v>81029</v>
      </c>
      <c r="B6952" s="3" t="str">
        <f>IFERROR(__xludf.DUMMYFUNCTION("""COMPUTED_VALUE"""),"277 WALKER RD ")</f>
        <v>277 WALKER RD </v>
      </c>
      <c r="C6952" s="3" t="str">
        <f>IFERROR(__xludf.DUMMYFUNCTION("""COMPUTED_VALUE"""),"COLBORNE")</f>
        <v>COLBORNE</v>
      </c>
      <c r="D6952" s="3" t="str">
        <f>IFERROR(__xludf.DUMMYFUNCTION("""COMPUTED_VALUE"""),"K0K 1S0")</f>
        <v>K0K 1S0</v>
      </c>
      <c r="E6952" s="3" t="str">
        <f>IFERROR(__xludf.DUMMYFUNCTION("""COMPUTED_VALUE"""),"johnathan and tracy morewood")</f>
        <v>johnathan and tracy morewood</v>
      </c>
      <c r="F6952" s="3" t="str">
        <f>IFERROR(__xludf.DUMMYFUNCTION("""COMPUTED_VALUE"""),"jonmorewood@hotmail.com")</f>
        <v>jonmorewood@hotmail.com</v>
      </c>
      <c r="G6952" s="3">
        <f>IFERROR(__xludf.DUMMYFUNCTION("""COMPUTED_VALUE"""),9.053441104E9)</f>
        <v>9053441104</v>
      </c>
      <c r="H6952" s="3"/>
    </row>
    <row r="6953">
      <c r="A6953" s="2">
        <f>IFERROR(__xludf.DUMMYFUNCTION("""COMPUTED_VALUE"""),81030.0)</f>
        <v>81030</v>
      </c>
      <c r="B6953" s="3" t="str">
        <f>IFERROR(__xludf.DUMMYFUNCTION("""COMPUTED_VALUE"""),"311 WALKER RD ")</f>
        <v>311 WALKER RD </v>
      </c>
      <c r="C6953" s="3" t="str">
        <f>IFERROR(__xludf.DUMMYFUNCTION("""COMPUTED_VALUE"""),"COLBORNE")</f>
        <v>COLBORNE</v>
      </c>
      <c r="D6953" s="3" t="str">
        <f>IFERROR(__xludf.DUMMYFUNCTION("""COMPUTED_VALUE"""),"K0K 1S0")</f>
        <v>K0K 1S0</v>
      </c>
      <c r="E6953" s="3" t="str">
        <f>IFERROR(__xludf.DUMMYFUNCTION("""COMPUTED_VALUE"""),"Bill and Teresa Cowie")</f>
        <v>Bill and Teresa Cowie</v>
      </c>
      <c r="F6953" s="3" t="str">
        <f>IFERROR(__xludf.DUMMYFUNCTION("""COMPUTED_VALUE"""),"cowie.william@gmail.com")</f>
        <v>cowie.william@gmail.com</v>
      </c>
      <c r="G6953" s="3">
        <f>IFERROR(__xludf.DUMMYFUNCTION("""COMPUTED_VALUE"""),9.053447894E9)</f>
        <v>9053447894</v>
      </c>
      <c r="H6953" s="3"/>
    </row>
    <row r="6954">
      <c r="A6954" s="2">
        <f>IFERROR(__xludf.DUMMYFUNCTION("""COMPUTED_VALUE"""),81031.0)</f>
        <v>81031</v>
      </c>
      <c r="B6954" s="3" t="str">
        <f>IFERROR(__xludf.DUMMYFUNCTION("""COMPUTED_VALUE"""),"427 WALKER RD ")</f>
        <v>427 WALKER RD </v>
      </c>
      <c r="C6954" s="3" t="str">
        <f>IFERROR(__xludf.DUMMYFUNCTION("""COMPUTED_VALUE"""),"COLBORNE")</f>
        <v>COLBORNE</v>
      </c>
      <c r="D6954" s="3" t="str">
        <f>IFERROR(__xludf.DUMMYFUNCTION("""COMPUTED_VALUE"""),"K0K 1S0")</f>
        <v>K0K 1S0</v>
      </c>
      <c r="E6954" s="3" t="str">
        <f>IFERROR(__xludf.DUMMYFUNCTION("""COMPUTED_VALUE"""),"Sol Meones")</f>
        <v>Sol Meones</v>
      </c>
      <c r="F6954" s="3" t="str">
        <f>IFERROR(__xludf.DUMMYFUNCTION("""COMPUTED_VALUE"""),"sm427@msn.com")</f>
        <v>sm427@msn.com</v>
      </c>
      <c r="G6954" s="3">
        <f>IFERROR(__xludf.DUMMYFUNCTION("""COMPUTED_VALUE"""),9.053447666E9)</f>
        <v>9053447666</v>
      </c>
      <c r="H6954" s="3"/>
    </row>
    <row r="6955">
      <c r="A6955" s="2">
        <f>IFERROR(__xludf.DUMMYFUNCTION("""COMPUTED_VALUE"""),81034.0)</f>
        <v>81034</v>
      </c>
      <c r="B6955" s="3" t="str">
        <f>IFERROR(__xludf.DUMMYFUNCTION("""COMPUTED_VALUE"""),"10 WOOD ST ")</f>
        <v>10 WOOD ST </v>
      </c>
      <c r="C6955" s="3" t="str">
        <f>IFERROR(__xludf.DUMMYFUNCTION("""COMPUTED_VALUE"""),"CODRINGTON")</f>
        <v>CODRINGTON</v>
      </c>
      <c r="D6955" s="3" t="str">
        <f>IFERROR(__xludf.DUMMYFUNCTION("""COMPUTED_VALUE"""),"K0K 1R0")</f>
        <v>K0K 1R0</v>
      </c>
      <c r="E6955" s="3"/>
      <c r="F6955" s="3"/>
      <c r="G6955" s="3"/>
      <c r="H6955" s="3"/>
    </row>
    <row r="6956">
      <c r="A6956" s="2">
        <f>IFERROR(__xludf.DUMMYFUNCTION("""COMPUTED_VALUE"""),81035.0)</f>
        <v>81035</v>
      </c>
      <c r="B6956" s="3" t="str">
        <f>IFERROR(__xludf.DUMMYFUNCTION("""COMPUTED_VALUE"""),"11 WOOD ST ")</f>
        <v>11 WOOD ST </v>
      </c>
      <c r="C6956" s="3" t="str">
        <f>IFERROR(__xludf.DUMMYFUNCTION("""COMPUTED_VALUE"""),"CODRINGTON")</f>
        <v>CODRINGTON</v>
      </c>
      <c r="D6956" s="3" t="str">
        <f>IFERROR(__xludf.DUMMYFUNCTION("""COMPUTED_VALUE"""),"K0K 1R0")</f>
        <v>K0K 1R0</v>
      </c>
      <c r="E6956" s="3"/>
      <c r="F6956" s="3"/>
      <c r="G6956" s="3"/>
      <c r="H6956" s="3"/>
    </row>
    <row r="6957">
      <c r="A6957" s="2">
        <f>IFERROR(__xludf.DUMMYFUNCTION("""COMPUTED_VALUE"""),81036.0)</f>
        <v>81036</v>
      </c>
      <c r="B6957" s="3" t="str">
        <f>IFERROR(__xludf.DUMMYFUNCTION("""COMPUTED_VALUE"""),"12 WOOD ST ")</f>
        <v>12 WOOD ST </v>
      </c>
      <c r="C6957" s="3" t="str">
        <f>IFERROR(__xludf.DUMMYFUNCTION("""COMPUTED_VALUE"""),"CODRINGTON")</f>
        <v>CODRINGTON</v>
      </c>
      <c r="D6957" s="3" t="str">
        <f>IFERROR(__xludf.DUMMYFUNCTION("""COMPUTED_VALUE"""),"K0K 1R0")</f>
        <v>K0K 1R0</v>
      </c>
      <c r="E6957" s="3" t="str">
        <f>IFERROR(__xludf.DUMMYFUNCTION("""COMPUTED_VALUE"""),"Daniel Pickering")</f>
        <v>Daniel Pickering</v>
      </c>
      <c r="F6957" s="3" t="str">
        <f>IFERROR(__xludf.DUMMYFUNCTION("""COMPUTED_VALUE"""),"danpickering9@hotmail.com")</f>
        <v>danpickering9@hotmail.com</v>
      </c>
      <c r="G6957" s="3">
        <f>IFERROR(__xludf.DUMMYFUNCTION("""COMPUTED_VALUE"""),6.132810382E9)</f>
        <v>6132810382</v>
      </c>
      <c r="H6957" s="3"/>
    </row>
    <row r="6958">
      <c r="A6958" s="2">
        <f>IFERROR(__xludf.DUMMYFUNCTION("""COMPUTED_VALUE"""),81037.0)</f>
        <v>81037</v>
      </c>
      <c r="B6958" s="3" t="str">
        <f>IFERROR(__xludf.DUMMYFUNCTION("""COMPUTED_VALUE"""),"13 WOOD ST ")</f>
        <v>13 WOOD ST </v>
      </c>
      <c r="C6958" s="3" t="str">
        <f>IFERROR(__xludf.DUMMYFUNCTION("""COMPUTED_VALUE"""),"CODRINGTON")</f>
        <v>CODRINGTON</v>
      </c>
      <c r="D6958" s="3" t="str">
        <f>IFERROR(__xludf.DUMMYFUNCTION("""COMPUTED_VALUE"""),"K0K 1R0")</f>
        <v>K0K 1R0</v>
      </c>
      <c r="E6958" s="3" t="str">
        <f>IFERROR(__xludf.DUMMYFUNCTION("""COMPUTED_VALUE"""),"Pat Convey")</f>
        <v>Pat Convey</v>
      </c>
      <c r="F6958" s="3" t="str">
        <f>IFERROR(__xludf.DUMMYFUNCTION("""COMPUTED_VALUE"""),"patconvey@sympatico.ca")</f>
        <v>patconvey@sympatico.ca</v>
      </c>
      <c r="G6958" s="3"/>
      <c r="H6958" s="3"/>
    </row>
    <row r="6959">
      <c r="A6959" s="2">
        <f>IFERROR(__xludf.DUMMYFUNCTION("""COMPUTED_VALUE"""),81038.0)</f>
        <v>81038</v>
      </c>
      <c r="B6959" s="3" t="str">
        <f>IFERROR(__xludf.DUMMYFUNCTION("""COMPUTED_VALUE"""),"14 WOOD ST ")</f>
        <v>14 WOOD ST </v>
      </c>
      <c r="C6959" s="3" t="str">
        <f>IFERROR(__xludf.DUMMYFUNCTION("""COMPUTED_VALUE"""),"CODRINGTON")</f>
        <v>CODRINGTON</v>
      </c>
      <c r="D6959" s="3" t="str">
        <f>IFERROR(__xludf.DUMMYFUNCTION("""COMPUTED_VALUE"""),"K0K 1R0")</f>
        <v>K0K 1R0</v>
      </c>
      <c r="E6959" s="3" t="str">
        <f>IFERROR(__xludf.DUMMYFUNCTION("""COMPUTED_VALUE"""),"Steve Judson")</f>
        <v>Steve Judson</v>
      </c>
      <c r="F6959" s="3"/>
      <c r="G6959" s="3">
        <f>IFERROR(__xludf.DUMMYFUNCTION("""COMPUTED_VALUE"""),6.138851096E9)</f>
        <v>6138851096</v>
      </c>
      <c r="H6959" s="3"/>
    </row>
    <row r="6960">
      <c r="A6960" s="2">
        <f>IFERROR(__xludf.DUMMYFUNCTION("""COMPUTED_VALUE"""),81033.0)</f>
        <v>81033</v>
      </c>
      <c r="B6960" s="3" t="str">
        <f>IFERROR(__xludf.DUMMYFUNCTION("""COMPUTED_VALUE"""),"9 WOOD ST ")</f>
        <v>9 WOOD ST </v>
      </c>
      <c r="C6960" s="3" t="str">
        <f>IFERROR(__xludf.DUMMYFUNCTION("""COMPUTED_VALUE"""),"CODRINGTON")</f>
        <v>CODRINGTON</v>
      </c>
      <c r="D6960" s="3" t="str">
        <f>IFERROR(__xludf.DUMMYFUNCTION("""COMPUTED_VALUE"""),"K0K 1R0")</f>
        <v>K0K 1R0</v>
      </c>
      <c r="E6960" s="3" t="str">
        <f>IFERROR(__xludf.DUMMYFUNCTION("""COMPUTED_VALUE"""),"LUCAS KELLY ")</f>
        <v>LUCAS KELLY </v>
      </c>
      <c r="F6960" s="3" t="str">
        <f>IFERROR(__xludf.DUMMYFUNCTION("""COMPUTED_VALUE"""),"lucas_kelly_24@hotmail.com")</f>
        <v>lucas_kelly_24@hotmail.com</v>
      </c>
      <c r="G6960" s="3"/>
      <c r="H6960" s="3"/>
    </row>
    <row r="6961">
      <c r="A6961" s="2">
        <f>IFERROR(__xludf.DUMMYFUNCTION("""COMPUTED_VALUE"""),90018.0)</f>
        <v>90018</v>
      </c>
      <c r="B6961" s="3" t="str">
        <f>IFERROR(__xludf.DUMMYFUNCTION("""COMPUTED_VALUE"""),"302 ALEXANDER RD")</f>
        <v>302 ALEXANDER RD</v>
      </c>
      <c r="C6961" s="3"/>
      <c r="D6961" s="3"/>
      <c r="E6961" s="3"/>
      <c r="F6961" s="3"/>
      <c r="G6961" s="3"/>
      <c r="H6961" s="3"/>
    </row>
    <row r="6962">
      <c r="A6962" s="2">
        <f>IFERROR(__xludf.DUMMYFUNCTION("""COMPUTED_VALUE"""),90000.0)</f>
        <v>90000</v>
      </c>
      <c r="B6962" s="3" t="str">
        <f>IFERROR(__xludf.DUMMYFUNCTION("""COMPUTED_VALUE"""),"103 ALEXANDER RD  ")</f>
        <v>103 ALEXANDER RD  </v>
      </c>
      <c r="C6962" s="3" t="str">
        <f>IFERROR(__xludf.DUMMYFUNCTION("""COMPUTED_VALUE"""),"BRIGHTON")</f>
        <v>BRIGHTON</v>
      </c>
      <c r="D6962" s="3" t="str">
        <f>IFERROR(__xludf.DUMMYFUNCTION("""COMPUTED_VALUE"""),"K0K 1H0")</f>
        <v>K0K 1H0</v>
      </c>
      <c r="E6962" s="3"/>
      <c r="F6962" s="3"/>
      <c r="G6962" s="3"/>
      <c r="H6962" s="3"/>
    </row>
    <row r="6963">
      <c r="A6963" s="2">
        <f>IFERROR(__xludf.DUMMYFUNCTION("""COMPUTED_VALUE"""),90001.0)</f>
        <v>90001</v>
      </c>
      <c r="B6963" s="3" t="str">
        <f>IFERROR(__xludf.DUMMYFUNCTION("""COMPUTED_VALUE"""),"105 ALEXANDER RD  ")</f>
        <v>105 ALEXANDER RD  </v>
      </c>
      <c r="C6963" s="3" t="str">
        <f>IFERROR(__xludf.DUMMYFUNCTION("""COMPUTED_VALUE"""),"BRIGHTON")</f>
        <v>BRIGHTON</v>
      </c>
      <c r="D6963" s="3" t="str">
        <f>IFERROR(__xludf.DUMMYFUNCTION("""COMPUTED_VALUE"""),"K0K 1H0")</f>
        <v>K0K 1H0</v>
      </c>
      <c r="E6963" s="3"/>
      <c r="F6963" s="3"/>
      <c r="G6963" s="3"/>
      <c r="H6963" s="3"/>
    </row>
    <row r="6964">
      <c r="A6964" s="2">
        <f>IFERROR(__xludf.DUMMYFUNCTION("""COMPUTED_VALUE"""),90002.0)</f>
        <v>90002</v>
      </c>
      <c r="B6964" s="3" t="str">
        <f>IFERROR(__xludf.DUMMYFUNCTION("""COMPUTED_VALUE"""),"155 ALEXANDER RD  ")</f>
        <v>155 ALEXANDER RD  </v>
      </c>
      <c r="C6964" s="3" t="str">
        <f>IFERROR(__xludf.DUMMYFUNCTION("""COMPUTED_VALUE"""),"BRIGHTON")</f>
        <v>BRIGHTON</v>
      </c>
      <c r="D6964" s="3" t="str">
        <f>IFERROR(__xludf.DUMMYFUNCTION("""COMPUTED_VALUE"""),"K0K 1H0")</f>
        <v>K0K 1H0</v>
      </c>
      <c r="E6964" s="3"/>
      <c r="F6964" s="3"/>
      <c r="G6964" s="3"/>
      <c r="H6964" s="3"/>
    </row>
    <row r="6965">
      <c r="A6965" s="2">
        <f>IFERROR(__xludf.DUMMYFUNCTION("""COMPUTED_VALUE"""),90003.0)</f>
        <v>90003</v>
      </c>
      <c r="B6965" s="3" t="str">
        <f>IFERROR(__xludf.DUMMYFUNCTION("""COMPUTED_VALUE"""),"163 ALEXANDER RD  ")</f>
        <v>163 ALEXANDER RD  </v>
      </c>
      <c r="C6965" s="3" t="str">
        <f>IFERROR(__xludf.DUMMYFUNCTION("""COMPUTED_VALUE"""),"BRIGHTON")</f>
        <v>BRIGHTON</v>
      </c>
      <c r="D6965" s="3" t="str">
        <f>IFERROR(__xludf.DUMMYFUNCTION("""COMPUTED_VALUE"""),"K0K 1H0")</f>
        <v>K0K 1H0</v>
      </c>
      <c r="E6965" s="3"/>
      <c r="F6965" s="3"/>
      <c r="G6965" s="3"/>
      <c r="H6965" s="3"/>
    </row>
    <row r="6966">
      <c r="A6966" s="2">
        <f>IFERROR(__xludf.DUMMYFUNCTION("""COMPUTED_VALUE"""),90004.0)</f>
        <v>90004</v>
      </c>
      <c r="B6966" s="3" t="str">
        <f>IFERROR(__xludf.DUMMYFUNCTION("""COMPUTED_VALUE"""),"173 ALEXANDER RD  ")</f>
        <v>173 ALEXANDER RD  </v>
      </c>
      <c r="C6966" s="3" t="str">
        <f>IFERROR(__xludf.DUMMYFUNCTION("""COMPUTED_VALUE"""),"BRIGHTON")</f>
        <v>BRIGHTON</v>
      </c>
      <c r="D6966" s="3" t="str">
        <f>IFERROR(__xludf.DUMMYFUNCTION("""COMPUTED_VALUE"""),"K0K 1H0")</f>
        <v>K0K 1H0</v>
      </c>
      <c r="E6966" s="3" t="str">
        <f>IFERROR(__xludf.DUMMYFUNCTION("""COMPUTED_VALUE"""),"Marilyn Pickell")</f>
        <v>Marilyn Pickell</v>
      </c>
      <c r="F6966" s="3" t="str">
        <f>IFERROR(__xludf.DUMMYFUNCTION("""COMPUTED_VALUE"""),"gracedom12@gmail.com")</f>
        <v>gracedom12@gmail.com</v>
      </c>
      <c r="G6966" s="3"/>
      <c r="H6966" s="3"/>
    </row>
    <row r="6967">
      <c r="A6967" s="2">
        <f>IFERROR(__xludf.DUMMYFUNCTION("""COMPUTED_VALUE"""),90005.0)</f>
        <v>90005</v>
      </c>
      <c r="B6967" s="3" t="str">
        <f>IFERROR(__xludf.DUMMYFUNCTION("""COMPUTED_VALUE"""),"179 ALEXANDER RD  ")</f>
        <v>179 ALEXANDER RD  </v>
      </c>
      <c r="C6967" s="3" t="str">
        <f>IFERROR(__xludf.DUMMYFUNCTION("""COMPUTED_VALUE"""),"BRIGHTON")</f>
        <v>BRIGHTON</v>
      </c>
      <c r="D6967" s="3" t="str">
        <f>IFERROR(__xludf.DUMMYFUNCTION("""COMPUTED_VALUE"""),"K0K 1H0")</f>
        <v>K0K 1H0</v>
      </c>
      <c r="E6967" s="3" t="str">
        <f>IFERROR(__xludf.DUMMYFUNCTION("""COMPUTED_VALUE"""),"JOSH LOVELESS")</f>
        <v>JOSH LOVELESS</v>
      </c>
      <c r="F6967" s="3" t="str">
        <f>IFERROR(__xludf.DUMMYFUNCTION("""COMPUTED_VALUE"""),"Josh_loveless@hotmail.com")</f>
        <v>Josh_loveless@hotmail.com</v>
      </c>
      <c r="G6967" s="3"/>
      <c r="H6967" s="3"/>
    </row>
    <row r="6968">
      <c r="A6968" s="2">
        <f>IFERROR(__xludf.DUMMYFUNCTION("""COMPUTED_VALUE"""),90006.0)</f>
        <v>90006</v>
      </c>
      <c r="B6968" s="3" t="str">
        <f>IFERROR(__xludf.DUMMYFUNCTION("""COMPUTED_VALUE"""),"199 ALEXANDER RD  ")</f>
        <v>199 ALEXANDER RD  </v>
      </c>
      <c r="C6968" s="3" t="str">
        <f>IFERROR(__xludf.DUMMYFUNCTION("""COMPUTED_VALUE"""),"BRIGHTON")</f>
        <v>BRIGHTON</v>
      </c>
      <c r="D6968" s="3" t="str">
        <f>IFERROR(__xludf.DUMMYFUNCTION("""COMPUTED_VALUE"""),"K0K 1H0")</f>
        <v>K0K 1H0</v>
      </c>
      <c r="E6968" s="3"/>
      <c r="F6968" s="3"/>
      <c r="G6968" s="3"/>
      <c r="H6968" s="3"/>
    </row>
    <row r="6969">
      <c r="A6969" s="2">
        <f>IFERROR(__xludf.DUMMYFUNCTION("""COMPUTED_VALUE"""),90008.0)</f>
        <v>90008</v>
      </c>
      <c r="B6969" s="3" t="str">
        <f>IFERROR(__xludf.DUMMYFUNCTION("""COMPUTED_VALUE"""),"208 ALEXANDER RD  ")</f>
        <v>208 ALEXANDER RD  </v>
      </c>
      <c r="C6969" s="3" t="str">
        <f>IFERROR(__xludf.DUMMYFUNCTION("""COMPUTED_VALUE"""),"BRIGHTON")</f>
        <v>BRIGHTON</v>
      </c>
      <c r="D6969" s="3" t="str">
        <f>IFERROR(__xludf.DUMMYFUNCTION("""COMPUTED_VALUE"""),"K0K 1H0")</f>
        <v>K0K 1H0</v>
      </c>
      <c r="E6969" s="3"/>
      <c r="F6969" s="3"/>
      <c r="G6969" s="3"/>
      <c r="H6969" s="3"/>
    </row>
    <row r="6970">
      <c r="A6970" s="2">
        <f>IFERROR(__xludf.DUMMYFUNCTION("""COMPUTED_VALUE"""),90009.0)</f>
        <v>90009</v>
      </c>
      <c r="B6970" s="3" t="str">
        <f>IFERROR(__xludf.DUMMYFUNCTION("""COMPUTED_VALUE"""),"209 ALEXANDER RD  ")</f>
        <v>209 ALEXANDER RD  </v>
      </c>
      <c r="C6970" s="3" t="str">
        <f>IFERROR(__xludf.DUMMYFUNCTION("""COMPUTED_VALUE"""),"BRIGHTON")</f>
        <v>BRIGHTON</v>
      </c>
      <c r="D6970" s="3" t="str">
        <f>IFERROR(__xludf.DUMMYFUNCTION("""COMPUTED_VALUE"""),"K0K 1H0")</f>
        <v>K0K 1H0</v>
      </c>
      <c r="E6970" s="3" t="str">
        <f>IFERROR(__xludf.DUMMYFUNCTION("""COMPUTED_VALUE"""),"linda bradbury")</f>
        <v>linda bradbury</v>
      </c>
      <c r="F6970" s="3" t="str">
        <f>IFERROR(__xludf.DUMMYFUNCTION("""COMPUTED_VALUE"""),"lbradbury04@hotmail.com")</f>
        <v>lbradbury04@hotmail.com</v>
      </c>
      <c r="G6970" s="3">
        <f>IFERROR(__xludf.DUMMYFUNCTION("""COMPUTED_VALUE"""),6.476326639E9)</f>
        <v>6476326639</v>
      </c>
      <c r="H6970" s="3"/>
    </row>
    <row r="6971">
      <c r="A6971" s="2">
        <f>IFERROR(__xludf.DUMMYFUNCTION("""COMPUTED_VALUE"""),90010.0)</f>
        <v>90010</v>
      </c>
      <c r="B6971" s="3" t="str">
        <f>IFERROR(__xludf.DUMMYFUNCTION("""COMPUTED_VALUE"""),"211 ALEXANDER RD  ")</f>
        <v>211 ALEXANDER RD  </v>
      </c>
      <c r="C6971" s="3" t="str">
        <f>IFERROR(__xludf.DUMMYFUNCTION("""COMPUTED_VALUE"""),"BRIGHTON")</f>
        <v>BRIGHTON</v>
      </c>
      <c r="D6971" s="3" t="str">
        <f>IFERROR(__xludf.DUMMYFUNCTION("""COMPUTED_VALUE"""),"K0K 1H0")</f>
        <v>K0K 1H0</v>
      </c>
      <c r="E6971" s="3"/>
      <c r="F6971" s="3"/>
      <c r="G6971" s="3"/>
      <c r="H6971" s="3"/>
    </row>
    <row r="6972">
      <c r="A6972" s="2">
        <f>IFERROR(__xludf.DUMMYFUNCTION("""COMPUTED_VALUE"""),90011.0)</f>
        <v>90011</v>
      </c>
      <c r="B6972" s="3" t="str">
        <f>IFERROR(__xludf.DUMMYFUNCTION("""COMPUTED_VALUE"""),"241 ALEXANDER RD  ")</f>
        <v>241 ALEXANDER RD  </v>
      </c>
      <c r="C6972" s="3" t="str">
        <f>IFERROR(__xludf.DUMMYFUNCTION("""COMPUTED_VALUE"""),"BRIGHTON")</f>
        <v>BRIGHTON</v>
      </c>
      <c r="D6972" s="3" t="str">
        <f>IFERROR(__xludf.DUMMYFUNCTION("""COMPUTED_VALUE"""),"K0K 1H0")</f>
        <v>K0K 1H0</v>
      </c>
      <c r="E6972" s="3"/>
      <c r="F6972" s="3"/>
      <c r="G6972" s="3"/>
      <c r="H6972" s="3"/>
    </row>
    <row r="6973">
      <c r="A6973" s="2">
        <f>IFERROR(__xludf.DUMMYFUNCTION("""COMPUTED_VALUE"""),90012.0)</f>
        <v>90012</v>
      </c>
      <c r="B6973" s="3" t="str">
        <f>IFERROR(__xludf.DUMMYFUNCTION("""COMPUTED_VALUE"""),"252 ALEXANDER RD  ")</f>
        <v>252 ALEXANDER RD  </v>
      </c>
      <c r="C6973" s="3" t="str">
        <f>IFERROR(__xludf.DUMMYFUNCTION("""COMPUTED_VALUE"""),"BRIGHTON")</f>
        <v>BRIGHTON</v>
      </c>
      <c r="D6973" s="3" t="str">
        <f>IFERROR(__xludf.DUMMYFUNCTION("""COMPUTED_VALUE"""),"K0K 1H0")</f>
        <v>K0K 1H0</v>
      </c>
      <c r="E6973" s="3" t="str">
        <f>IFERROR(__xludf.DUMMYFUNCTION("""COMPUTED_VALUE"""),"jeramy sparks`")</f>
        <v>jeramy sparks`</v>
      </c>
      <c r="F6973" s="3" t="str">
        <f>IFERROR(__xludf.DUMMYFUNCTION("""COMPUTED_VALUE"""),"yosparks@hotmail.com")</f>
        <v>yosparks@hotmail.com</v>
      </c>
      <c r="G6973" s="3">
        <f>IFERROR(__xludf.DUMMYFUNCTION("""COMPUTED_VALUE"""),6.4743928547E10)</f>
        <v>64743928547</v>
      </c>
      <c r="H6973" s="3"/>
    </row>
    <row r="6974">
      <c r="A6974" s="2">
        <f>IFERROR(__xludf.DUMMYFUNCTION("""COMPUTED_VALUE"""),90013.0)</f>
        <v>90013</v>
      </c>
      <c r="B6974" s="3" t="str">
        <f>IFERROR(__xludf.DUMMYFUNCTION("""COMPUTED_VALUE"""),"258 ALEXANDER RD  ")</f>
        <v>258 ALEXANDER RD  </v>
      </c>
      <c r="C6974" s="3" t="str">
        <f>IFERROR(__xludf.DUMMYFUNCTION("""COMPUTED_VALUE"""),"BRIGHTON")</f>
        <v>BRIGHTON</v>
      </c>
      <c r="D6974" s="3" t="str">
        <f>IFERROR(__xludf.DUMMYFUNCTION("""COMPUTED_VALUE"""),"K0K 1H0")</f>
        <v>K0K 1H0</v>
      </c>
      <c r="E6974" s="3"/>
      <c r="F6974" s="3"/>
      <c r="G6974" s="3"/>
      <c r="H6974" s="3"/>
    </row>
    <row r="6975">
      <c r="A6975" s="2">
        <f>IFERROR(__xludf.DUMMYFUNCTION("""COMPUTED_VALUE"""),90016.0)</f>
        <v>90016</v>
      </c>
      <c r="B6975" s="3" t="str">
        <f>IFERROR(__xludf.DUMMYFUNCTION("""COMPUTED_VALUE"""),"280 ALEXANDER RD  ")</f>
        <v>280 ALEXANDER RD  </v>
      </c>
      <c r="C6975" s="3" t="str">
        <f>IFERROR(__xludf.DUMMYFUNCTION("""COMPUTED_VALUE"""),"BRIGHTON")</f>
        <v>BRIGHTON</v>
      </c>
      <c r="D6975" s="3" t="str">
        <f>IFERROR(__xludf.DUMMYFUNCTION("""COMPUTED_VALUE"""),"K0K 1H0")</f>
        <v>K0K 1H0</v>
      </c>
      <c r="E6975" s="3" t="str">
        <f>IFERROR(__xludf.DUMMYFUNCTION("""COMPUTED_VALUE"""),"donna steele")</f>
        <v>donna steele</v>
      </c>
      <c r="F6975" s="3"/>
      <c r="G6975" s="3">
        <f>IFERROR(__xludf.DUMMYFUNCTION("""COMPUTED_VALUE"""),6.132438263E9)</f>
        <v>6132438263</v>
      </c>
      <c r="H6975" s="3"/>
    </row>
    <row r="6976">
      <c r="A6976" s="2">
        <f>IFERROR(__xludf.DUMMYFUNCTION("""COMPUTED_VALUE"""),90017.0)</f>
        <v>90017</v>
      </c>
      <c r="B6976" s="3" t="str">
        <f>IFERROR(__xludf.DUMMYFUNCTION("""COMPUTED_VALUE"""),"300 ALEXANDER RD  ")</f>
        <v>300 ALEXANDER RD  </v>
      </c>
      <c r="C6976" s="3" t="str">
        <f>IFERROR(__xludf.DUMMYFUNCTION("""COMPUTED_VALUE"""),"BRIGHTON")</f>
        <v>BRIGHTON</v>
      </c>
      <c r="D6976" s="3" t="str">
        <f>IFERROR(__xludf.DUMMYFUNCTION("""COMPUTED_VALUE"""),"K0K 1H0")</f>
        <v>K0K 1H0</v>
      </c>
      <c r="E6976" s="3"/>
      <c r="F6976" s="3"/>
      <c r="G6976" s="3"/>
      <c r="H6976" s="3"/>
    </row>
    <row r="6977">
      <c r="A6977" s="2">
        <f>IFERROR(__xludf.DUMMYFUNCTION("""COMPUTED_VALUE"""),90007.0)</f>
        <v>90007</v>
      </c>
      <c r="B6977" s="3" t="str">
        <f>IFERROR(__xludf.DUMMYFUNCTION("""COMPUTED_VALUE"""),"202 ALEXANDER RD  ")</f>
        <v>202 ALEXANDER RD  </v>
      </c>
      <c r="C6977" s="3" t="str">
        <f>IFERROR(__xludf.DUMMYFUNCTION("""COMPUTED_VALUE"""),"BRIGHTON")</f>
        <v>BRIGHTON</v>
      </c>
      <c r="D6977" s="3" t="str">
        <f>IFERROR(__xludf.DUMMYFUNCTION("""COMPUTED_VALUE"""),"K0K 1H0")</f>
        <v>K0K 1H0</v>
      </c>
      <c r="E6977" s="3" t="str">
        <f>IFERROR(__xludf.DUMMYFUNCTION("""COMPUTED_VALUE"""),"peter konatowski")</f>
        <v>peter konatowski</v>
      </c>
      <c r="F6977" s="3" t="str">
        <f>IFERROR(__xludf.DUMMYFUNCTION("""COMPUTED_VALUE"""),"peterjanet72@gmail.com")</f>
        <v>peterjanet72@gmail.com</v>
      </c>
      <c r="G6977" s="3"/>
      <c r="H6977" s="3"/>
    </row>
    <row r="6978">
      <c r="A6978" s="2">
        <f>IFERROR(__xludf.DUMMYFUNCTION("""COMPUTED_VALUE"""),90014.0)</f>
        <v>90014</v>
      </c>
      <c r="B6978" s="3" t="str">
        <f>IFERROR(__xludf.DUMMYFUNCTION("""COMPUTED_VALUE"""),"259 ALEXANDER RD  ")</f>
        <v>259 ALEXANDER RD  </v>
      </c>
      <c r="C6978" s="3" t="str">
        <f>IFERROR(__xludf.DUMMYFUNCTION("""COMPUTED_VALUE"""),"BRIGHTON")</f>
        <v>BRIGHTON</v>
      </c>
      <c r="D6978" s="3" t="str">
        <f>IFERROR(__xludf.DUMMYFUNCTION("""COMPUTED_VALUE"""),"K0K 1H0")</f>
        <v>K0K 1H0</v>
      </c>
      <c r="E6978" s="3" t="str">
        <f>IFERROR(__xludf.DUMMYFUNCTION("""COMPUTED_VALUE"""),"Nick Hogarth")</f>
        <v>Nick Hogarth</v>
      </c>
      <c r="F6978" s="3" t="str">
        <f>IFERROR(__xludf.DUMMYFUNCTION("""COMPUTED_VALUE"""),"nick.hogarth30@gmail.com")</f>
        <v>nick.hogarth30@gmail.com</v>
      </c>
      <c r="G6978" s="3">
        <f>IFERROR(__xludf.DUMMYFUNCTION("""COMPUTED_VALUE"""),9.058095987E9)</f>
        <v>9058095987</v>
      </c>
      <c r="H6978" s="3"/>
    </row>
    <row r="6979">
      <c r="A6979" s="2">
        <f>IFERROR(__xludf.DUMMYFUNCTION("""COMPUTED_VALUE"""),90015.0)</f>
        <v>90015</v>
      </c>
      <c r="B6979" s="3" t="str">
        <f>IFERROR(__xludf.DUMMYFUNCTION("""COMPUTED_VALUE"""),"262 ALEXANDER RD  ")</f>
        <v>262 ALEXANDER RD  </v>
      </c>
      <c r="C6979" s="3" t="str">
        <f>IFERROR(__xludf.DUMMYFUNCTION("""COMPUTED_VALUE"""),"BRIGHTON")</f>
        <v>BRIGHTON</v>
      </c>
      <c r="D6979" s="3" t="str">
        <f>IFERROR(__xludf.DUMMYFUNCTION("""COMPUTED_VALUE"""),"K0K 1H0")</f>
        <v>K0K 1H0</v>
      </c>
      <c r="E6979" s="3" t="str">
        <f>IFERROR(__xludf.DUMMYFUNCTION("""COMPUTED_VALUE"""),"Stephen Bruneau")</f>
        <v>Stephen Bruneau</v>
      </c>
      <c r="F6979" s="3" t="str">
        <f>IFERROR(__xludf.DUMMYFUNCTION("""COMPUTED_VALUE"""),"bruneau_s@hotmail.com")</f>
        <v>bruneau_s@hotmail.com</v>
      </c>
      <c r="G6979" s="3">
        <f>IFERROR(__xludf.DUMMYFUNCTION("""COMPUTED_VALUE"""),6.139227855E9)</f>
        <v>6139227855</v>
      </c>
      <c r="H6979" s="3"/>
    </row>
    <row r="6980">
      <c r="A6980" s="2">
        <f>IFERROR(__xludf.DUMMYFUNCTION("""COMPUTED_VALUE"""),93217.0)</f>
        <v>93217</v>
      </c>
      <c r="B6980" s="3" t="str">
        <f>IFERROR(__xludf.DUMMYFUNCTION("""COMPUTED_VALUE"""),"85 APPLEWOOD DR (BRIGHTON)")</f>
        <v>85 APPLEWOOD DR (BRIGHTON)</v>
      </c>
      <c r="C6980" s="3"/>
      <c r="D6980" s="3"/>
      <c r="E6980" s="3"/>
      <c r="F6980" s="3"/>
      <c r="G6980" s="3"/>
      <c r="H6980" s="3"/>
    </row>
    <row r="6981">
      <c r="A6981" s="2">
        <f>IFERROR(__xludf.DUMMYFUNCTION("""COMPUTED_VALUE"""),90027.0)</f>
        <v>90027</v>
      </c>
      <c r="B6981" s="3" t="str">
        <f>IFERROR(__xludf.DUMMYFUNCTION("""COMPUTED_VALUE"""),"253 ARTHUR LANE  ")</f>
        <v>253 ARTHUR LANE  </v>
      </c>
      <c r="C6981" s="3" t="str">
        <f>IFERROR(__xludf.DUMMYFUNCTION("""COMPUTED_VALUE"""),"COLBORNE")</f>
        <v>COLBORNE</v>
      </c>
      <c r="D6981" s="3" t="str">
        <f>IFERROR(__xludf.DUMMYFUNCTION("""COMPUTED_VALUE"""),"K0K 1S0")</f>
        <v>K0K 1S0</v>
      </c>
      <c r="E6981" s="3" t="str">
        <f>IFERROR(__xludf.DUMMYFUNCTION("""COMPUTED_VALUE"""),"Bret + Harie Outram")</f>
        <v>Bret + Harie Outram</v>
      </c>
      <c r="F6981" s="3" t="str">
        <f>IFERROR(__xludf.DUMMYFUNCTION("""COMPUTED_VALUE"""),"bmoutram@hotmail.com")</f>
        <v>bmoutram@hotmail.com</v>
      </c>
      <c r="G6981" s="3"/>
      <c r="H6981" s="3"/>
    </row>
    <row r="6982">
      <c r="A6982" s="2">
        <f>IFERROR(__xludf.DUMMYFUNCTION("""COMPUTED_VALUE"""),90062.0)</f>
        <v>90062</v>
      </c>
      <c r="B6982" s="3" t="str">
        <f>IFERROR(__xludf.DUMMYFUNCTION("""COMPUTED_VALUE"""),"303 ARTHURS LANE  ")</f>
        <v>303 ARTHURS LANE  </v>
      </c>
      <c r="C6982" s="3" t="str">
        <f>IFERROR(__xludf.DUMMYFUNCTION("""COMPUTED_VALUE"""),"COLBORNE")</f>
        <v>COLBORNE</v>
      </c>
      <c r="D6982" s="3" t="str">
        <f>IFERROR(__xludf.DUMMYFUNCTION("""COMPUTED_VALUE"""),"K0K 1S0")</f>
        <v>K0K 1S0</v>
      </c>
      <c r="E6982" s="3" t="str">
        <f>IFERROR(__xludf.DUMMYFUNCTION("""COMPUTED_VALUE"""),"Lee Ann Mcbride")</f>
        <v>Lee Ann Mcbride</v>
      </c>
      <c r="F6982" s="3" t="str">
        <f>IFERROR(__xludf.DUMMYFUNCTION("""COMPUTED_VALUE"""),"leeannmcbride1@gmail.com")</f>
        <v>leeannmcbride1@gmail.com</v>
      </c>
      <c r="G6982" s="3"/>
      <c r="H6982" s="3"/>
    </row>
    <row r="6983">
      <c r="A6983" s="2">
        <f>IFERROR(__xludf.DUMMYFUNCTION("""COMPUTED_VALUE"""),90063.0)</f>
        <v>90063</v>
      </c>
      <c r="B6983" s="3" t="str">
        <f>IFERROR(__xludf.DUMMYFUNCTION("""COMPUTED_VALUE"""),"319 ARTHURS LANE  ")</f>
        <v>319 ARTHURS LANE  </v>
      </c>
      <c r="C6983" s="3" t="str">
        <f>IFERROR(__xludf.DUMMYFUNCTION("""COMPUTED_VALUE"""),"COLBORNE")</f>
        <v>COLBORNE</v>
      </c>
      <c r="D6983" s="3" t="str">
        <f>IFERROR(__xludf.DUMMYFUNCTION("""COMPUTED_VALUE"""),"K0K 1S0")</f>
        <v>K0K 1S0</v>
      </c>
      <c r="E6983" s="3"/>
      <c r="F6983" s="3"/>
      <c r="G6983" s="3"/>
      <c r="H6983" s="3"/>
    </row>
    <row r="6984">
      <c r="A6984" s="2">
        <f>IFERROR(__xludf.DUMMYFUNCTION("""COMPUTED_VALUE"""),90064.0)</f>
        <v>90064</v>
      </c>
      <c r="B6984" s="3" t="str">
        <f>IFERROR(__xludf.DUMMYFUNCTION("""COMPUTED_VALUE"""),"333 ARTHURS LANE  ")</f>
        <v>333 ARTHURS LANE  </v>
      </c>
      <c r="C6984" s="3" t="str">
        <f>IFERROR(__xludf.DUMMYFUNCTION("""COMPUTED_VALUE"""),"COLBORNE")</f>
        <v>COLBORNE</v>
      </c>
      <c r="D6984" s="3" t="str">
        <f>IFERROR(__xludf.DUMMYFUNCTION("""COMPUTED_VALUE"""),"K0K 1S0")</f>
        <v>K0K 1S0</v>
      </c>
      <c r="E6984" s="3"/>
      <c r="F6984" s="3"/>
      <c r="G6984" s="3"/>
      <c r="H6984" s="3"/>
    </row>
    <row r="6985">
      <c r="A6985" s="2">
        <f>IFERROR(__xludf.DUMMYFUNCTION("""COMPUTED_VALUE"""),90066.0)</f>
        <v>90066</v>
      </c>
      <c r="B6985" s="3" t="str">
        <f>IFERROR(__xludf.DUMMYFUNCTION("""COMPUTED_VALUE"""),"347 ARTHURS LANE  ")</f>
        <v>347 ARTHURS LANE  </v>
      </c>
      <c r="C6985" s="3" t="str">
        <f>IFERROR(__xludf.DUMMYFUNCTION("""COMPUTED_VALUE"""),"COLBORNE")</f>
        <v>COLBORNE</v>
      </c>
      <c r="D6985" s="3" t="str">
        <f>IFERROR(__xludf.DUMMYFUNCTION("""COMPUTED_VALUE"""),"K0K 1S0")</f>
        <v>K0K 1S0</v>
      </c>
      <c r="E6985" s="3" t="str">
        <f>IFERROR(__xludf.DUMMYFUNCTION("""COMPUTED_VALUE"""),"Ron &amp; Erica French")</f>
        <v>Ron &amp; Erica French</v>
      </c>
      <c r="F6985" s="3" t="str">
        <f>IFERROR(__xludf.DUMMYFUNCTION("""COMPUTED_VALUE"""),"ronfrench@live.com")</f>
        <v>ronfrench@live.com</v>
      </c>
      <c r="G6985" s="3"/>
      <c r="H6985" s="3"/>
    </row>
    <row r="6986">
      <c r="A6986" s="2">
        <f>IFERROR(__xludf.DUMMYFUNCTION("""COMPUTED_VALUE"""),90067.0)</f>
        <v>90067</v>
      </c>
      <c r="B6986" s="3" t="str">
        <f>IFERROR(__xludf.DUMMYFUNCTION("""COMPUTED_VALUE"""),"350 ARTHURS LANE  ")</f>
        <v>350 ARTHURS LANE  </v>
      </c>
      <c r="C6986" s="3" t="str">
        <f>IFERROR(__xludf.DUMMYFUNCTION("""COMPUTED_VALUE"""),"COLBORNE")</f>
        <v>COLBORNE</v>
      </c>
      <c r="D6986" s="3" t="str">
        <f>IFERROR(__xludf.DUMMYFUNCTION("""COMPUTED_VALUE"""),"K0K 1S0")</f>
        <v>K0K 1S0</v>
      </c>
      <c r="E6986" s="3" t="str">
        <f>IFERROR(__xludf.DUMMYFUNCTION("""COMPUTED_VALUE"""),"Kelly Simpson")</f>
        <v>Kelly Simpson</v>
      </c>
      <c r="F6986" s="3" t="str">
        <f>IFERROR(__xludf.DUMMYFUNCTION("""COMPUTED_VALUE"""),"yamatv660@yahoo.ca")</f>
        <v>yamatv660@yahoo.ca</v>
      </c>
      <c r="G6986" s="3"/>
      <c r="H6986" s="3"/>
    </row>
    <row r="6987">
      <c r="A6987" s="2">
        <f>IFERROR(__xludf.DUMMYFUNCTION("""COMPUTED_VALUE"""),90068.0)</f>
        <v>90068</v>
      </c>
      <c r="B6987" s="3" t="str">
        <f>IFERROR(__xludf.DUMMYFUNCTION("""COMPUTED_VALUE"""),"371 ARTHURS LANE  ")</f>
        <v>371 ARTHURS LANE  </v>
      </c>
      <c r="C6987" s="3" t="str">
        <f>IFERROR(__xludf.DUMMYFUNCTION("""COMPUTED_VALUE"""),"COLBORNE")</f>
        <v>COLBORNE</v>
      </c>
      <c r="D6987" s="3" t="str">
        <f>IFERROR(__xludf.DUMMYFUNCTION("""COMPUTED_VALUE"""),"K0K 1S0")</f>
        <v>K0K 1S0</v>
      </c>
      <c r="E6987" s="3" t="str">
        <f>IFERROR(__xludf.DUMMYFUNCTION("""COMPUTED_VALUE"""),"Melissa Stevenson")</f>
        <v>Melissa Stevenson</v>
      </c>
      <c r="F6987" s="3" t="str">
        <f>IFERROR(__xludf.DUMMYFUNCTION("""COMPUTED_VALUE"""),"mellysam2424@gmail.com")</f>
        <v>mellysam2424@gmail.com</v>
      </c>
      <c r="G6987" s="3">
        <f>IFERROR(__xludf.DUMMYFUNCTION("""COMPUTED_VALUE"""),9.053732674E9)</f>
        <v>9053732674</v>
      </c>
      <c r="H6987" s="3"/>
    </row>
    <row r="6988">
      <c r="A6988" s="2">
        <f>IFERROR(__xludf.DUMMYFUNCTION("""COMPUTED_VALUE"""),90061.0)</f>
        <v>90061</v>
      </c>
      <c r="B6988" s="3" t="str">
        <f>IFERROR(__xludf.DUMMYFUNCTION("""COMPUTED_VALUE"""),"261 ARTHURS LANE  ")</f>
        <v>261 ARTHURS LANE  </v>
      </c>
      <c r="C6988" s="3" t="str">
        <f>IFERROR(__xludf.DUMMYFUNCTION("""COMPUTED_VALUE"""),"COLBORNE")</f>
        <v>COLBORNE</v>
      </c>
      <c r="D6988" s="3" t="str">
        <f>IFERROR(__xludf.DUMMYFUNCTION("""COMPUTED_VALUE"""),"K0K 1S0")</f>
        <v>K0K 1S0</v>
      </c>
      <c r="E6988" s="3" t="str">
        <f>IFERROR(__xludf.DUMMYFUNCTION("""COMPUTED_VALUE"""),"Heather Jakab")</f>
        <v>Heather Jakab</v>
      </c>
      <c r="F6988" s="3" t="str">
        <f>IFERROR(__xludf.DUMMYFUNCTION("""COMPUTED_VALUE"""),"heatherron@xplornet.com")</f>
        <v>heatherron@xplornet.com</v>
      </c>
      <c r="G6988" s="3"/>
      <c r="H6988" s="3"/>
    </row>
    <row r="6989">
      <c r="A6989" s="2">
        <f>IFERROR(__xludf.DUMMYFUNCTION("""COMPUTED_VALUE"""),90065.0)</f>
        <v>90065</v>
      </c>
      <c r="B6989" s="3" t="str">
        <f>IFERROR(__xludf.DUMMYFUNCTION("""COMPUTED_VALUE"""),"343 ARTHURS LANE  ")</f>
        <v>343 ARTHURS LANE  </v>
      </c>
      <c r="C6989" s="3" t="str">
        <f>IFERROR(__xludf.DUMMYFUNCTION("""COMPUTED_VALUE"""),"COLBORNE")</f>
        <v>COLBORNE</v>
      </c>
      <c r="D6989" s="3" t="str">
        <f>IFERROR(__xludf.DUMMYFUNCTION("""COMPUTED_VALUE"""),"K0K 1S0")</f>
        <v>K0K 1S0</v>
      </c>
      <c r="E6989" s="3" t="str">
        <f>IFERROR(__xludf.DUMMYFUNCTION("""COMPUTED_VALUE"""),"Hugh Outram")</f>
        <v>Hugh Outram</v>
      </c>
      <c r="F6989" s="3" t="str">
        <f>IFERROR(__xludf.DUMMYFUNCTION("""COMPUTED_VALUE"""),"hughoutram@hotmail.com")</f>
        <v>hughoutram@hotmail.com</v>
      </c>
      <c r="G6989" s="3"/>
      <c r="H6989" s="3"/>
    </row>
    <row r="6990">
      <c r="A6990" s="2">
        <f>IFERROR(__xludf.DUMMYFUNCTION("""COMPUTED_VALUE"""),90100.0)</f>
        <v>90100</v>
      </c>
      <c r="B6990" s="3" t="str">
        <f>IFERROR(__xludf.DUMMYFUNCTION("""COMPUTED_VALUE"""),"101 BAUER RD  ")</f>
        <v>101 BAUER RD  </v>
      </c>
      <c r="C6990" s="3" t="str">
        <f>IFERROR(__xludf.DUMMYFUNCTION("""COMPUTED_VALUE"""),"BRIGHTON")</f>
        <v>BRIGHTON</v>
      </c>
      <c r="D6990" s="3" t="str">
        <f>IFERROR(__xludf.DUMMYFUNCTION("""COMPUTED_VALUE"""),"K0K 1H0")</f>
        <v>K0K 1H0</v>
      </c>
      <c r="E6990" s="3" t="str">
        <f>IFERROR(__xludf.DUMMYFUNCTION("""COMPUTED_VALUE"""),"jessie semlitch")</f>
        <v>jessie semlitch</v>
      </c>
      <c r="F6990" s="3" t="str">
        <f>IFERROR(__xludf.DUMMYFUNCTION("""COMPUTED_VALUE"""),"jessiesemlitch9@hotmail.com")</f>
        <v>jessiesemlitch9@hotmail.com</v>
      </c>
      <c r="G6990" s="3">
        <f>IFERROR(__xludf.DUMMYFUNCTION("""COMPUTED_VALUE"""),6.138855197E9)</f>
        <v>6138855197</v>
      </c>
      <c r="H6990" s="3"/>
    </row>
    <row r="6991">
      <c r="A6991" s="2">
        <f>IFERROR(__xludf.DUMMYFUNCTION("""COMPUTED_VALUE"""),90101.0)</f>
        <v>90101</v>
      </c>
      <c r="B6991" s="3" t="str">
        <f>IFERROR(__xludf.DUMMYFUNCTION("""COMPUTED_VALUE"""),"116 BAUER RD  ")</f>
        <v>116 BAUER RD  </v>
      </c>
      <c r="C6991" s="3" t="str">
        <f>IFERROR(__xludf.DUMMYFUNCTION("""COMPUTED_VALUE"""),"BRIGHTON")</f>
        <v>BRIGHTON</v>
      </c>
      <c r="D6991" s="3" t="str">
        <f>IFERROR(__xludf.DUMMYFUNCTION("""COMPUTED_VALUE"""),"K0K 1H0")</f>
        <v>K0K 1H0</v>
      </c>
      <c r="E6991" s="3"/>
      <c r="F6991" s="3"/>
      <c r="G6991" s="3"/>
      <c r="H6991" s="3"/>
    </row>
    <row r="6992">
      <c r="A6992" s="2">
        <f>IFERROR(__xludf.DUMMYFUNCTION("""COMPUTED_VALUE"""),90102.0)</f>
        <v>90102</v>
      </c>
      <c r="B6992" s="3" t="str">
        <f>IFERROR(__xludf.DUMMYFUNCTION("""COMPUTED_VALUE"""),"122 BAUER RD  ")</f>
        <v>122 BAUER RD  </v>
      </c>
      <c r="C6992" s="3" t="str">
        <f>IFERROR(__xludf.DUMMYFUNCTION("""COMPUTED_VALUE"""),"BRIGHTON")</f>
        <v>BRIGHTON</v>
      </c>
      <c r="D6992" s="3" t="str">
        <f>IFERROR(__xludf.DUMMYFUNCTION("""COMPUTED_VALUE"""),"K0K 1H0")</f>
        <v>K0K 1H0</v>
      </c>
      <c r="E6992" s="3"/>
      <c r="F6992" s="3"/>
      <c r="G6992" s="3"/>
      <c r="H6992" s="3"/>
    </row>
    <row r="6993">
      <c r="A6993" s="2">
        <f>IFERROR(__xludf.DUMMYFUNCTION("""COMPUTED_VALUE"""),90104.0)</f>
        <v>90104</v>
      </c>
      <c r="B6993" s="3" t="str">
        <f>IFERROR(__xludf.DUMMYFUNCTION("""COMPUTED_VALUE"""),"134 BAUER RD  ")</f>
        <v>134 BAUER RD  </v>
      </c>
      <c r="C6993" s="3" t="str">
        <f>IFERROR(__xludf.DUMMYFUNCTION("""COMPUTED_VALUE"""),"BRIGHTON")</f>
        <v>BRIGHTON</v>
      </c>
      <c r="D6993" s="3" t="str">
        <f>IFERROR(__xludf.DUMMYFUNCTION("""COMPUTED_VALUE"""),"K0K 1H0")</f>
        <v>K0K 1H0</v>
      </c>
      <c r="E6993" s="3" t="str">
        <f>IFERROR(__xludf.DUMMYFUNCTION("""COMPUTED_VALUE"""),"Paul Vrana")</f>
        <v>Paul Vrana</v>
      </c>
      <c r="F6993" s="3" t="str">
        <f>IFERROR(__xludf.DUMMYFUNCTION("""COMPUTED_VALUE"""),"vranaone@aol.com")</f>
        <v>vranaone@aol.com</v>
      </c>
      <c r="G6993" s="3">
        <f>IFERROR(__xludf.DUMMYFUNCTION("""COMPUTED_VALUE"""),9.052605009E9)</f>
        <v>9052605009</v>
      </c>
      <c r="H6993" s="3"/>
    </row>
    <row r="6994">
      <c r="A6994" s="2">
        <f>IFERROR(__xludf.DUMMYFUNCTION("""COMPUTED_VALUE"""),90105.0)</f>
        <v>90105</v>
      </c>
      <c r="B6994" s="3" t="str">
        <f>IFERROR(__xludf.DUMMYFUNCTION("""COMPUTED_VALUE"""),"135 BAUER RD  ")</f>
        <v>135 BAUER RD  </v>
      </c>
      <c r="C6994" s="3" t="str">
        <f>IFERROR(__xludf.DUMMYFUNCTION("""COMPUTED_VALUE"""),"BRIGHTON")</f>
        <v>BRIGHTON</v>
      </c>
      <c r="D6994" s="3" t="str">
        <f>IFERROR(__xludf.DUMMYFUNCTION("""COMPUTED_VALUE"""),"K0K 1H0")</f>
        <v>K0K 1H0</v>
      </c>
      <c r="E6994" s="3" t="str">
        <f>IFERROR(__xludf.DUMMYFUNCTION("""COMPUTED_VALUE"""),"Monika Marczuk")</f>
        <v>Monika Marczuk</v>
      </c>
      <c r="F6994" s="3" t="str">
        <f>IFERROR(__xludf.DUMMYFUNCTION("""COMPUTED_VALUE"""),"monikabmarczuk@gmail.com")</f>
        <v>monikabmarczuk@gmail.com</v>
      </c>
      <c r="G6994" s="3">
        <f>IFERROR(__xludf.DUMMYFUNCTION("""COMPUTED_VALUE"""),6.4729083E7)</f>
        <v>64729083</v>
      </c>
      <c r="H6994" s="3"/>
    </row>
    <row r="6995">
      <c r="A6995" s="2">
        <f>IFERROR(__xludf.DUMMYFUNCTION("""COMPUTED_VALUE"""),90103.0)</f>
        <v>90103</v>
      </c>
      <c r="B6995" s="3" t="str">
        <f>IFERROR(__xludf.DUMMYFUNCTION("""COMPUTED_VALUE"""),"123 BAUER RD  ")</f>
        <v>123 BAUER RD  </v>
      </c>
      <c r="C6995" s="3" t="str">
        <f>IFERROR(__xludf.DUMMYFUNCTION("""COMPUTED_VALUE"""),"BRIGHTON")</f>
        <v>BRIGHTON</v>
      </c>
      <c r="D6995" s="3" t="str">
        <f>IFERROR(__xludf.DUMMYFUNCTION("""COMPUTED_VALUE"""),"K0K 1H0")</f>
        <v>K0K 1H0</v>
      </c>
      <c r="E6995" s="3" t="str">
        <f>IFERROR(__xludf.DUMMYFUNCTION("""COMPUTED_VALUE"""),"Amanda Potter")</f>
        <v>Amanda Potter</v>
      </c>
      <c r="F6995" s="3" t="str">
        <f>IFERROR(__xludf.DUMMYFUNCTION("""COMPUTED_VALUE"""),"apotter82@gmail.com")</f>
        <v>apotter82@gmail.com</v>
      </c>
      <c r="G6995" s="3">
        <f>IFERROR(__xludf.DUMMYFUNCTION("""COMPUTED_VALUE"""),9.059990108E9)</f>
        <v>9059990108</v>
      </c>
      <c r="H6995" s="3">
        <f>IFERROR(__xludf.DUMMYFUNCTION("""COMPUTED_VALUE"""),9.052130383E9)</f>
        <v>9052130383</v>
      </c>
    </row>
    <row r="6996">
      <c r="A6996" s="2">
        <f>IFERROR(__xludf.DUMMYFUNCTION("""COMPUTED_VALUE"""),90106.0)</f>
        <v>90106</v>
      </c>
      <c r="B6996" s="3" t="str">
        <f>IFERROR(__xludf.DUMMYFUNCTION("""COMPUTED_VALUE"""),"151 BAUER RD  ")</f>
        <v>151 BAUER RD  </v>
      </c>
      <c r="C6996" s="3" t="str">
        <f>IFERROR(__xludf.DUMMYFUNCTION("""COMPUTED_VALUE"""),"BRIGHTON")</f>
        <v>BRIGHTON</v>
      </c>
      <c r="D6996" s="3" t="str">
        <f>IFERROR(__xludf.DUMMYFUNCTION("""COMPUTED_VALUE"""),"K0K 1H0")</f>
        <v>K0K 1H0</v>
      </c>
      <c r="E6996" s="3" t="str">
        <f>IFERROR(__xludf.DUMMYFUNCTION("""COMPUTED_VALUE"""),"Dave Bosch")</f>
        <v>Dave Bosch</v>
      </c>
      <c r="F6996" s="3" t="str">
        <f>IFERROR(__xludf.DUMMYFUNCTION("""COMPUTED_VALUE"""),"davebosch1@yahoo.com")</f>
        <v>davebosch1@yahoo.com</v>
      </c>
      <c r="G6996" s="3"/>
      <c r="H6996" s="3"/>
    </row>
    <row r="6997">
      <c r="A6997" s="2">
        <f>IFERROR(__xludf.DUMMYFUNCTION("""COMPUTED_VALUE"""),90211.0)</f>
        <v>90211</v>
      </c>
      <c r="B6997" s="3" t="str">
        <f>IFERROR(__xludf.DUMMYFUNCTION("""COMPUTED_VALUE"""),"165 BAYSHORE RD")</f>
        <v>165 BAYSHORE RD</v>
      </c>
      <c r="C6997" s="3"/>
      <c r="D6997" s="3"/>
      <c r="E6997" s="3"/>
      <c r="F6997" s="3"/>
      <c r="G6997" s="3"/>
      <c r="H6997" s="3"/>
    </row>
    <row r="6998">
      <c r="A6998" s="2">
        <f>IFERROR(__xludf.DUMMYFUNCTION("""COMPUTED_VALUE"""),90212.0)</f>
        <v>90212</v>
      </c>
      <c r="B6998" s="3" t="str">
        <f>IFERROR(__xludf.DUMMYFUNCTION("""COMPUTED_VALUE"""),"166 BAYSHORE RD")</f>
        <v>166 BAYSHORE RD</v>
      </c>
      <c r="C6998" s="3"/>
      <c r="D6998" s="3"/>
      <c r="E6998" s="3"/>
      <c r="F6998" s="3"/>
      <c r="G6998" s="3"/>
      <c r="H6998" s="3"/>
    </row>
    <row r="6999">
      <c r="A6999" s="2">
        <f>IFERROR(__xludf.DUMMYFUNCTION("""COMPUTED_VALUE"""),90213.0)</f>
        <v>90213</v>
      </c>
      <c r="B6999" s="3" t="str">
        <f>IFERROR(__xludf.DUMMYFUNCTION("""COMPUTED_VALUE"""),"167 BAYSHORE RD")</f>
        <v>167 BAYSHORE RD</v>
      </c>
      <c r="C6999" s="3"/>
      <c r="D6999" s="3"/>
      <c r="E6999" s="3" t="str">
        <f>IFERROR(__xludf.DUMMYFUNCTION("""COMPUTED_VALUE"""),"Robert Lindsay")</f>
        <v>Robert Lindsay</v>
      </c>
      <c r="F6999" s="3" t="str">
        <f>IFERROR(__xludf.DUMMYFUNCTION("""COMPUTED_VALUE"""),"lindaandpeterlindsay@bell.net")</f>
        <v>lindaandpeterlindsay@bell.net</v>
      </c>
      <c r="G6999" s="3"/>
      <c r="H6999" s="3"/>
    </row>
    <row r="7000">
      <c r="A7000" s="2">
        <f>IFERROR(__xludf.DUMMYFUNCTION("""COMPUTED_VALUE"""),90214.0)</f>
        <v>90214</v>
      </c>
      <c r="B7000" s="3" t="str">
        <f>IFERROR(__xludf.DUMMYFUNCTION("""COMPUTED_VALUE"""),"168 BAYSHORE RD")</f>
        <v>168 BAYSHORE RD</v>
      </c>
      <c r="C7000" s="3"/>
      <c r="D7000" s="3"/>
      <c r="E7000" s="3"/>
      <c r="F7000" s="3"/>
      <c r="G7000" s="3"/>
      <c r="H7000" s="3"/>
    </row>
    <row r="7001">
      <c r="A7001" s="2">
        <f>IFERROR(__xludf.DUMMYFUNCTION("""COMPUTED_VALUE"""),90215.0)</f>
        <v>90215</v>
      </c>
      <c r="B7001" s="3" t="str">
        <f>IFERROR(__xludf.DUMMYFUNCTION("""COMPUTED_VALUE"""),"170 BAYSHORE RD")</f>
        <v>170 BAYSHORE RD</v>
      </c>
      <c r="C7001" s="3"/>
      <c r="D7001" s="3"/>
      <c r="E7001" s="3"/>
      <c r="F7001" s="3"/>
      <c r="G7001" s="3"/>
      <c r="H7001" s="3"/>
    </row>
    <row r="7002">
      <c r="A7002" s="2">
        <f>IFERROR(__xludf.DUMMYFUNCTION("""COMPUTED_VALUE"""),90216.0)</f>
        <v>90216</v>
      </c>
      <c r="B7002" s="3" t="str">
        <f>IFERROR(__xludf.DUMMYFUNCTION("""COMPUTED_VALUE"""),"171 BAYSHORE RD")</f>
        <v>171 BAYSHORE RD</v>
      </c>
      <c r="C7002" s="3"/>
      <c r="D7002" s="3"/>
      <c r="E7002" s="3"/>
      <c r="F7002" s="3"/>
      <c r="G7002" s="3"/>
      <c r="H7002" s="3"/>
    </row>
    <row r="7003">
      <c r="A7003" s="2">
        <f>IFERROR(__xludf.DUMMYFUNCTION("""COMPUTED_VALUE"""),90217.0)</f>
        <v>90217</v>
      </c>
      <c r="B7003" s="3" t="str">
        <f>IFERROR(__xludf.DUMMYFUNCTION("""COMPUTED_VALUE"""),"172 BAYSHORE RD")</f>
        <v>172 BAYSHORE RD</v>
      </c>
      <c r="C7003" s="3"/>
      <c r="D7003" s="3"/>
      <c r="E7003" s="3"/>
      <c r="F7003" s="3"/>
      <c r="G7003" s="3"/>
      <c r="H7003" s="3"/>
    </row>
    <row r="7004">
      <c r="A7004" s="2">
        <f>IFERROR(__xludf.DUMMYFUNCTION("""COMPUTED_VALUE"""),90218.0)</f>
        <v>90218</v>
      </c>
      <c r="B7004" s="3" t="str">
        <f>IFERROR(__xludf.DUMMYFUNCTION("""COMPUTED_VALUE"""),"173 BAYSHORE RD")</f>
        <v>173 BAYSHORE RD</v>
      </c>
      <c r="C7004" s="3"/>
      <c r="D7004" s="3"/>
      <c r="E7004" s="3"/>
      <c r="F7004" s="3"/>
      <c r="G7004" s="3"/>
      <c r="H7004" s="3"/>
    </row>
    <row r="7005">
      <c r="A7005" s="2">
        <f>IFERROR(__xludf.DUMMYFUNCTION("""COMPUTED_VALUE"""),90219.0)</f>
        <v>90219</v>
      </c>
      <c r="B7005" s="3" t="str">
        <f>IFERROR(__xludf.DUMMYFUNCTION("""COMPUTED_VALUE"""),"174 BAYSHORE RD")</f>
        <v>174 BAYSHORE RD</v>
      </c>
      <c r="C7005" s="3"/>
      <c r="D7005" s="3"/>
      <c r="E7005" s="3"/>
      <c r="F7005" s="3"/>
      <c r="G7005" s="3"/>
      <c r="H7005" s="3"/>
    </row>
    <row r="7006">
      <c r="A7006" s="2">
        <f>IFERROR(__xludf.DUMMYFUNCTION("""COMPUTED_VALUE"""),90220.0)</f>
        <v>90220</v>
      </c>
      <c r="B7006" s="3" t="str">
        <f>IFERROR(__xludf.DUMMYFUNCTION("""COMPUTED_VALUE"""),"175 BAYSHORE RD")</f>
        <v>175 BAYSHORE RD</v>
      </c>
      <c r="C7006" s="3"/>
      <c r="D7006" s="3"/>
      <c r="E7006" s="3"/>
      <c r="F7006" s="3"/>
      <c r="G7006" s="3"/>
      <c r="H7006" s="3"/>
    </row>
    <row r="7007">
      <c r="A7007" s="2">
        <f>IFERROR(__xludf.DUMMYFUNCTION("""COMPUTED_VALUE"""),90221.0)</f>
        <v>90221</v>
      </c>
      <c r="B7007" s="3" t="str">
        <f>IFERROR(__xludf.DUMMYFUNCTION("""COMPUTED_VALUE"""),"176 BAYSHORE RD")</f>
        <v>176 BAYSHORE RD</v>
      </c>
      <c r="C7007" s="3"/>
      <c r="D7007" s="3"/>
      <c r="E7007" s="3"/>
      <c r="F7007" s="3"/>
      <c r="G7007" s="3"/>
      <c r="H7007" s="3"/>
    </row>
    <row r="7008">
      <c r="A7008" s="2">
        <f>IFERROR(__xludf.DUMMYFUNCTION("""COMPUTED_VALUE"""),90222.0)</f>
        <v>90222</v>
      </c>
      <c r="B7008" s="3" t="str">
        <f>IFERROR(__xludf.DUMMYFUNCTION("""COMPUTED_VALUE"""),"178 BAYSHORE RD")</f>
        <v>178 BAYSHORE RD</v>
      </c>
      <c r="C7008" s="3"/>
      <c r="D7008" s="3"/>
      <c r="E7008" s="3"/>
      <c r="F7008" s="3"/>
      <c r="G7008" s="3"/>
      <c r="H7008" s="3"/>
    </row>
    <row r="7009">
      <c r="A7009" s="2">
        <f>IFERROR(__xludf.DUMMYFUNCTION("""COMPUTED_VALUE"""),90223.0)</f>
        <v>90223</v>
      </c>
      <c r="B7009" s="3" t="str">
        <f>IFERROR(__xludf.DUMMYFUNCTION("""COMPUTED_VALUE"""),"179 BAYSHORE RD")</f>
        <v>179 BAYSHORE RD</v>
      </c>
      <c r="C7009" s="3"/>
      <c r="D7009" s="3"/>
      <c r="E7009" s="3"/>
      <c r="F7009" s="3"/>
      <c r="G7009" s="3"/>
      <c r="H7009" s="3"/>
    </row>
    <row r="7010">
      <c r="A7010" s="2">
        <f>IFERROR(__xludf.DUMMYFUNCTION("""COMPUTED_VALUE"""),90224.0)</f>
        <v>90224</v>
      </c>
      <c r="B7010" s="3" t="str">
        <f>IFERROR(__xludf.DUMMYFUNCTION("""COMPUTED_VALUE"""),"180 BAYSHORE RD")</f>
        <v>180 BAYSHORE RD</v>
      </c>
      <c r="C7010" s="3"/>
      <c r="D7010" s="3"/>
      <c r="E7010" s="3"/>
      <c r="F7010" s="3"/>
      <c r="G7010" s="3"/>
      <c r="H7010" s="3"/>
    </row>
    <row r="7011">
      <c r="A7011" s="2">
        <f>IFERROR(__xludf.DUMMYFUNCTION("""COMPUTED_VALUE"""),90225.0)</f>
        <v>90225</v>
      </c>
      <c r="B7011" s="3" t="str">
        <f>IFERROR(__xludf.DUMMYFUNCTION("""COMPUTED_VALUE"""),"181 BAYSHORE RD")</f>
        <v>181 BAYSHORE RD</v>
      </c>
      <c r="C7011" s="3"/>
      <c r="D7011" s="3"/>
      <c r="E7011" s="3" t="str">
        <f>IFERROR(__xludf.DUMMYFUNCTION("""COMPUTED_VALUE"""),"peter dottedill")</f>
        <v>peter dottedill</v>
      </c>
      <c r="F7011" s="3" t="str">
        <f>IFERROR(__xludf.DUMMYFUNCTION("""COMPUTED_VALUE"""),"peter.dottedill@hotmail.com")</f>
        <v>peter.dottedill@hotmail.com</v>
      </c>
      <c r="G7011" s="3">
        <f>IFERROR(__xludf.DUMMYFUNCTION("""COMPUTED_VALUE"""),6.134753191E9)</f>
        <v>6134753191</v>
      </c>
      <c r="H7011" s="3"/>
    </row>
    <row r="7012">
      <c r="A7012" s="2">
        <f>IFERROR(__xludf.DUMMYFUNCTION("""COMPUTED_VALUE"""),90226.0)</f>
        <v>90226</v>
      </c>
      <c r="B7012" s="3" t="str">
        <f>IFERROR(__xludf.DUMMYFUNCTION("""COMPUTED_VALUE"""),"182 BAYSHORE RD")</f>
        <v>182 BAYSHORE RD</v>
      </c>
      <c r="C7012" s="3"/>
      <c r="D7012" s="3"/>
      <c r="E7012" s="3" t="str">
        <f>IFERROR(__xludf.DUMMYFUNCTION("""COMPUTED_VALUE"""),"andy trotter ")</f>
        <v>andy trotter </v>
      </c>
      <c r="F7012" s="3" t="str">
        <f>IFERROR(__xludf.DUMMYFUNCTION("""COMPUTED_VALUE"""),"abcpermits@gmail.com")</f>
        <v>abcpermits@gmail.com</v>
      </c>
      <c r="G7012" s="3">
        <f>IFERROR(__xludf.DUMMYFUNCTION("""COMPUTED_VALUE"""),4.165737625E9)</f>
        <v>4165737625</v>
      </c>
      <c r="H7012" s="3"/>
    </row>
    <row r="7013">
      <c r="A7013" s="2">
        <f>IFERROR(__xludf.DUMMYFUNCTION("""COMPUTED_VALUE"""),90227.0)</f>
        <v>90227</v>
      </c>
      <c r="B7013" s="3" t="str">
        <f>IFERROR(__xludf.DUMMYFUNCTION("""COMPUTED_VALUE"""),"184 BAYSHORE RD")</f>
        <v>184 BAYSHORE RD</v>
      </c>
      <c r="C7013" s="3"/>
      <c r="D7013" s="3"/>
      <c r="E7013" s="3"/>
      <c r="F7013" s="3"/>
      <c r="G7013" s="3"/>
      <c r="H7013" s="3"/>
    </row>
    <row r="7014">
      <c r="A7014" s="2">
        <f>IFERROR(__xludf.DUMMYFUNCTION("""COMPUTED_VALUE"""),90228.0)</f>
        <v>90228</v>
      </c>
      <c r="B7014" s="3" t="str">
        <f>IFERROR(__xludf.DUMMYFUNCTION("""COMPUTED_VALUE"""),"186 BAYSHORE RD")</f>
        <v>186 BAYSHORE RD</v>
      </c>
      <c r="C7014" s="3"/>
      <c r="D7014" s="3"/>
      <c r="E7014" s="3"/>
      <c r="F7014" s="3"/>
      <c r="G7014" s="3"/>
      <c r="H7014" s="3"/>
    </row>
    <row r="7015">
      <c r="A7015" s="2">
        <f>IFERROR(__xludf.DUMMYFUNCTION("""COMPUTED_VALUE"""),90229.0)</f>
        <v>90229</v>
      </c>
      <c r="B7015" s="3" t="str">
        <f>IFERROR(__xludf.DUMMYFUNCTION("""COMPUTED_VALUE"""),"187 BAYSHORE RD")</f>
        <v>187 BAYSHORE RD</v>
      </c>
      <c r="C7015" s="3"/>
      <c r="D7015" s="3"/>
      <c r="E7015" s="3"/>
      <c r="F7015" s="3"/>
      <c r="G7015" s="3"/>
      <c r="H7015" s="3"/>
    </row>
    <row r="7016">
      <c r="A7016" s="2">
        <f>IFERROR(__xludf.DUMMYFUNCTION("""COMPUTED_VALUE"""),90230.0)</f>
        <v>90230</v>
      </c>
      <c r="B7016" s="3" t="str">
        <f>IFERROR(__xludf.DUMMYFUNCTION("""COMPUTED_VALUE"""),"188 BAYSHORE RD")</f>
        <v>188 BAYSHORE RD</v>
      </c>
      <c r="C7016" s="3"/>
      <c r="D7016" s="3"/>
      <c r="E7016" s="3"/>
      <c r="F7016" s="3"/>
      <c r="G7016" s="3"/>
      <c r="H7016" s="3"/>
    </row>
    <row r="7017">
      <c r="A7017" s="2">
        <f>IFERROR(__xludf.DUMMYFUNCTION("""COMPUTED_VALUE"""),90231.0)</f>
        <v>90231</v>
      </c>
      <c r="B7017" s="3" t="str">
        <f>IFERROR(__xludf.DUMMYFUNCTION("""COMPUTED_VALUE"""),"189 BAYSHORE RD")</f>
        <v>189 BAYSHORE RD</v>
      </c>
      <c r="C7017" s="3"/>
      <c r="D7017" s="3"/>
      <c r="E7017" s="3"/>
      <c r="F7017" s="3"/>
      <c r="G7017" s="3"/>
      <c r="H7017" s="3"/>
    </row>
    <row r="7018">
      <c r="A7018" s="2">
        <f>IFERROR(__xludf.DUMMYFUNCTION("""COMPUTED_VALUE"""),90232.0)</f>
        <v>90232</v>
      </c>
      <c r="B7018" s="3" t="str">
        <f>IFERROR(__xludf.DUMMYFUNCTION("""COMPUTED_VALUE"""),"190 BAYSHORE RD")</f>
        <v>190 BAYSHORE RD</v>
      </c>
      <c r="C7018" s="3"/>
      <c r="D7018" s="3"/>
      <c r="E7018" s="3" t="str">
        <f>IFERROR(__xludf.DUMMYFUNCTION("""COMPUTED_VALUE"""),"kosta romanidis")</f>
        <v>kosta romanidis</v>
      </c>
      <c r="F7018" s="3" t="str">
        <f>IFERROR(__xludf.DUMMYFUNCTION("""COMPUTED_VALUE"""),"klromanidis@gmail.com")</f>
        <v>klromanidis@gmail.com</v>
      </c>
      <c r="G7018" s="3">
        <f>IFERROR(__xludf.DUMMYFUNCTION("""COMPUTED_VALUE"""),6.138475525E9)</f>
        <v>6138475525</v>
      </c>
      <c r="H7018" s="3">
        <f>IFERROR(__xludf.DUMMYFUNCTION("""COMPUTED_VALUE"""),6.138490755E9)</f>
        <v>6138490755</v>
      </c>
    </row>
    <row r="7019">
      <c r="A7019" s="2">
        <f>IFERROR(__xludf.DUMMYFUNCTION("""COMPUTED_VALUE"""),90233.0)</f>
        <v>90233</v>
      </c>
      <c r="B7019" s="3" t="str">
        <f>IFERROR(__xludf.DUMMYFUNCTION("""COMPUTED_VALUE"""),"191 BAYSHORE RD")</f>
        <v>191 BAYSHORE RD</v>
      </c>
      <c r="C7019" s="3"/>
      <c r="D7019" s="3"/>
      <c r="E7019" s="3"/>
      <c r="F7019" s="3"/>
      <c r="G7019" s="3"/>
      <c r="H7019" s="3"/>
    </row>
    <row r="7020">
      <c r="A7020" s="2">
        <f>IFERROR(__xludf.DUMMYFUNCTION("""COMPUTED_VALUE"""),90234.0)</f>
        <v>90234</v>
      </c>
      <c r="B7020" s="3" t="str">
        <f>IFERROR(__xludf.DUMMYFUNCTION("""COMPUTED_VALUE"""),"192 BAYSHORE RD")</f>
        <v>192 BAYSHORE RD</v>
      </c>
      <c r="C7020" s="3"/>
      <c r="D7020" s="3"/>
      <c r="E7020" s="3"/>
      <c r="F7020" s="3"/>
      <c r="G7020" s="3"/>
      <c r="H7020" s="3"/>
    </row>
    <row r="7021">
      <c r="A7021" s="2">
        <f>IFERROR(__xludf.DUMMYFUNCTION("""COMPUTED_VALUE"""),90235.0)</f>
        <v>90235</v>
      </c>
      <c r="B7021" s="3" t="str">
        <f>IFERROR(__xludf.DUMMYFUNCTION("""COMPUTED_VALUE"""),"4A BAYSHORE RD")</f>
        <v>4A BAYSHORE RD</v>
      </c>
      <c r="C7021" s="3"/>
      <c r="D7021" s="3"/>
      <c r="E7021" s="3"/>
      <c r="F7021" s="3"/>
      <c r="G7021" s="3"/>
      <c r="H7021" s="3"/>
    </row>
    <row r="7022">
      <c r="A7022" s="2">
        <f>IFERROR(__xludf.DUMMYFUNCTION("""COMPUTED_VALUE"""),93288.0)</f>
        <v>93288</v>
      </c>
      <c r="B7022" s="3" t="str">
        <f>IFERROR(__xludf.DUMMYFUNCTION("""COMPUTED_VALUE"""),"44 BAYSHORE RD")</f>
        <v>44 BAYSHORE RD</v>
      </c>
      <c r="C7022" s="3"/>
      <c r="D7022" s="3"/>
      <c r="E7022" s="3"/>
      <c r="F7022" s="3"/>
      <c r="G7022" s="3"/>
      <c r="H7022" s="3"/>
    </row>
    <row r="7023">
      <c r="A7023" s="2">
        <f>IFERROR(__xludf.DUMMYFUNCTION("""COMPUTED_VALUE"""),90128.0)</f>
        <v>90128</v>
      </c>
      <c r="B7023" s="3" t="str">
        <f>IFERROR(__xludf.DUMMYFUNCTION("""COMPUTED_VALUE"""),"46 BAYSHORE RD")</f>
        <v>46 BAYSHORE RD</v>
      </c>
      <c r="C7023" s="3"/>
      <c r="D7023" s="3"/>
      <c r="E7023" s="3"/>
      <c r="F7023" s="3"/>
      <c r="G7023" s="3"/>
      <c r="H7023" s="3"/>
    </row>
    <row r="7024">
      <c r="A7024" s="2">
        <f>IFERROR(__xludf.DUMMYFUNCTION("""COMPUTED_VALUE"""),90129.0)</f>
        <v>90129</v>
      </c>
      <c r="B7024" s="3" t="str">
        <f>IFERROR(__xludf.DUMMYFUNCTION("""COMPUTED_VALUE"""),"48 BAYSHORE RD")</f>
        <v>48 BAYSHORE RD</v>
      </c>
      <c r="C7024" s="3"/>
      <c r="D7024" s="3"/>
      <c r="E7024" s="3"/>
      <c r="F7024" s="3"/>
      <c r="G7024" s="3"/>
      <c r="H7024" s="3"/>
    </row>
    <row r="7025">
      <c r="A7025" s="2">
        <f>IFERROR(__xludf.DUMMYFUNCTION("""COMPUTED_VALUE"""),90130.0)</f>
        <v>90130</v>
      </c>
      <c r="B7025" s="3" t="str">
        <f>IFERROR(__xludf.DUMMYFUNCTION("""COMPUTED_VALUE"""),"50 BAYSHORE RD")</f>
        <v>50 BAYSHORE RD</v>
      </c>
      <c r="C7025" s="3"/>
      <c r="D7025" s="3"/>
      <c r="E7025" s="3" t="str">
        <f>IFERROR(__xludf.DUMMYFUNCTION("""COMPUTED_VALUE"""),"ken bruden ")</f>
        <v>ken bruden </v>
      </c>
      <c r="F7025" s="3"/>
      <c r="G7025" s="3">
        <f>IFERROR(__xludf.DUMMYFUNCTION("""COMPUTED_VALUE"""),6.134751793E9)</f>
        <v>6134751793</v>
      </c>
      <c r="H7025" s="3"/>
    </row>
    <row r="7026">
      <c r="A7026" s="2">
        <f>IFERROR(__xludf.DUMMYFUNCTION("""COMPUTED_VALUE"""),90131.0)</f>
        <v>90131</v>
      </c>
      <c r="B7026" s="3" t="str">
        <f>IFERROR(__xludf.DUMMYFUNCTION("""COMPUTED_VALUE"""),"52 BAYSHORE RD")</f>
        <v>52 BAYSHORE RD</v>
      </c>
      <c r="C7026" s="3"/>
      <c r="D7026" s="3"/>
      <c r="E7026" s="3" t="str">
        <f>IFERROR(__xludf.DUMMYFUNCTION("""COMPUTED_VALUE"""),"joanne cooper ")</f>
        <v>joanne cooper </v>
      </c>
      <c r="F7026" s="3" t="str">
        <f>IFERROR(__xludf.DUMMYFUNCTION("""COMPUTED_VALUE"""),"joannecooper2110@gmail.com")</f>
        <v>joannecooper2110@gmail.com</v>
      </c>
      <c r="G7026" s="3">
        <f>IFERROR(__xludf.DUMMYFUNCTION("""COMPUTED_VALUE"""),4.167262836E9)</f>
        <v>4167262836</v>
      </c>
      <c r="H7026" s="3"/>
    </row>
    <row r="7027">
      <c r="A7027" s="2">
        <f>IFERROR(__xludf.DUMMYFUNCTION("""COMPUTED_VALUE"""),90132.0)</f>
        <v>90132</v>
      </c>
      <c r="B7027" s="3" t="str">
        <f>IFERROR(__xludf.DUMMYFUNCTION("""COMPUTED_VALUE"""),"54 BAYSHORE RD")</f>
        <v>54 BAYSHORE RD</v>
      </c>
      <c r="C7027" s="3" t="str">
        <f>IFERROR(__xludf.DUMMYFUNCTION("""COMPUTED_VALUE"""),"BRIGHTON ")</f>
        <v>BRIGHTON </v>
      </c>
      <c r="D7027" s="3" t="str">
        <f>IFERROR(__xludf.DUMMYFUNCTION("""COMPUTED_VALUE"""),"K0K 1H0")</f>
        <v>K0K 1H0</v>
      </c>
      <c r="E7027" s="3" t="str">
        <f>IFERROR(__xludf.DUMMYFUNCTION("""COMPUTED_VALUE"""),"Karen Chaiton")</f>
        <v>Karen Chaiton</v>
      </c>
      <c r="F7027" s="3" t="str">
        <f>IFERROR(__xludf.DUMMYFUNCTION("""COMPUTED_VALUE"""),"thechaitons@me.com")</f>
        <v>thechaitons@me.com</v>
      </c>
      <c r="G7027" s="3">
        <f>IFERROR(__xludf.DUMMYFUNCTION("""COMPUTED_VALUE"""),4.163995726E9)</f>
        <v>4163995726</v>
      </c>
      <c r="H7027" s="3"/>
    </row>
    <row r="7028">
      <c r="A7028" s="2">
        <f>IFERROR(__xludf.DUMMYFUNCTION("""COMPUTED_VALUE"""),90133.0)</f>
        <v>90133</v>
      </c>
      <c r="B7028" s="3" t="str">
        <f>IFERROR(__xludf.DUMMYFUNCTION("""COMPUTED_VALUE"""),"56 BAYSHORE RD")</f>
        <v>56 BAYSHORE RD</v>
      </c>
      <c r="C7028" s="3"/>
      <c r="D7028" s="3"/>
      <c r="E7028" s="3"/>
      <c r="F7028" s="3"/>
      <c r="G7028" s="3"/>
      <c r="H7028" s="3"/>
    </row>
    <row r="7029">
      <c r="A7029" s="2">
        <f>IFERROR(__xludf.DUMMYFUNCTION("""COMPUTED_VALUE"""),90134.0)</f>
        <v>90134</v>
      </c>
      <c r="B7029" s="3" t="str">
        <f>IFERROR(__xludf.DUMMYFUNCTION("""COMPUTED_VALUE"""),"58 BAYSHORE RD")</f>
        <v>58 BAYSHORE RD</v>
      </c>
      <c r="C7029" s="3"/>
      <c r="D7029" s="3"/>
      <c r="E7029" s="3"/>
      <c r="F7029" s="3"/>
      <c r="G7029" s="3"/>
      <c r="H7029" s="3"/>
    </row>
    <row r="7030">
      <c r="A7030" s="2">
        <f>IFERROR(__xludf.DUMMYFUNCTION("""COMPUTED_VALUE"""),90135.0)</f>
        <v>90135</v>
      </c>
      <c r="B7030" s="3" t="str">
        <f>IFERROR(__xludf.DUMMYFUNCTION("""COMPUTED_VALUE"""),"60 BAYSHORE RD")</f>
        <v>60 BAYSHORE RD</v>
      </c>
      <c r="C7030" s="3"/>
      <c r="D7030" s="3"/>
      <c r="E7030" s="3"/>
      <c r="F7030" s="3"/>
      <c r="G7030" s="3"/>
      <c r="H7030" s="3"/>
    </row>
    <row r="7031">
      <c r="A7031" s="2">
        <f>IFERROR(__xludf.DUMMYFUNCTION("""COMPUTED_VALUE"""),90136.0)</f>
        <v>90136</v>
      </c>
      <c r="B7031" s="3" t="str">
        <f>IFERROR(__xludf.DUMMYFUNCTION("""COMPUTED_VALUE"""),"62 BAYSHORE RD")</f>
        <v>62 BAYSHORE RD</v>
      </c>
      <c r="C7031" s="3"/>
      <c r="D7031" s="3"/>
      <c r="E7031" s="3"/>
      <c r="F7031" s="3"/>
      <c r="G7031" s="3"/>
      <c r="H7031" s="3"/>
    </row>
    <row r="7032">
      <c r="A7032" s="2">
        <f>IFERROR(__xludf.DUMMYFUNCTION("""COMPUTED_VALUE"""),90137.0)</f>
        <v>90137</v>
      </c>
      <c r="B7032" s="3" t="str">
        <f>IFERROR(__xludf.DUMMYFUNCTION("""COMPUTED_VALUE"""),"64 BAYSHORE RD")</f>
        <v>64 BAYSHORE RD</v>
      </c>
      <c r="C7032" s="3"/>
      <c r="D7032" s="3"/>
      <c r="E7032" s="3"/>
      <c r="F7032" s="3"/>
      <c r="G7032" s="3"/>
      <c r="H7032" s="3"/>
    </row>
    <row r="7033">
      <c r="A7033" s="2">
        <f>IFERROR(__xludf.DUMMYFUNCTION("""COMPUTED_VALUE"""),90138.0)</f>
        <v>90138</v>
      </c>
      <c r="B7033" s="3" t="str">
        <f>IFERROR(__xludf.DUMMYFUNCTION("""COMPUTED_VALUE"""),"66 BAYSHORE RD")</f>
        <v>66 BAYSHORE RD</v>
      </c>
      <c r="C7033" s="3"/>
      <c r="D7033" s="3"/>
      <c r="E7033" s="3"/>
      <c r="F7033" s="3"/>
      <c r="G7033" s="3"/>
      <c r="H7033" s="3"/>
    </row>
    <row r="7034">
      <c r="A7034" s="2">
        <f>IFERROR(__xludf.DUMMYFUNCTION("""COMPUTED_VALUE"""),90139.0)</f>
        <v>90139</v>
      </c>
      <c r="B7034" s="3" t="str">
        <f>IFERROR(__xludf.DUMMYFUNCTION("""COMPUTED_VALUE"""),"68 BAYSHORE RD")</f>
        <v>68 BAYSHORE RD</v>
      </c>
      <c r="C7034" s="3"/>
      <c r="D7034" s="3"/>
      <c r="E7034" s="3"/>
      <c r="F7034" s="3"/>
      <c r="G7034" s="3"/>
      <c r="H7034" s="3"/>
    </row>
    <row r="7035">
      <c r="A7035" s="2">
        <f>IFERROR(__xludf.DUMMYFUNCTION("""COMPUTED_VALUE"""),90140.0)</f>
        <v>90140</v>
      </c>
      <c r="B7035" s="3" t="str">
        <f>IFERROR(__xludf.DUMMYFUNCTION("""COMPUTED_VALUE"""),"71 BAYSHORE RD")</f>
        <v>71 BAYSHORE RD</v>
      </c>
      <c r="C7035" s="3"/>
      <c r="D7035" s="3"/>
      <c r="E7035" s="3"/>
      <c r="F7035" s="3"/>
      <c r="G7035" s="3"/>
      <c r="H7035" s="3"/>
    </row>
    <row r="7036">
      <c r="A7036" s="2">
        <f>IFERROR(__xludf.DUMMYFUNCTION("""COMPUTED_VALUE"""),90141.0)</f>
        <v>90141</v>
      </c>
      <c r="B7036" s="3" t="str">
        <f>IFERROR(__xludf.DUMMYFUNCTION("""COMPUTED_VALUE"""),"72 BAYSHORE RD")</f>
        <v>72 BAYSHORE RD</v>
      </c>
      <c r="C7036" s="3"/>
      <c r="D7036" s="3"/>
      <c r="E7036" s="3"/>
      <c r="F7036" s="3"/>
      <c r="G7036" s="3"/>
      <c r="H7036" s="3"/>
    </row>
    <row r="7037">
      <c r="A7037" s="2">
        <f>IFERROR(__xludf.DUMMYFUNCTION("""COMPUTED_VALUE"""),90142.0)</f>
        <v>90142</v>
      </c>
      <c r="B7037" s="3" t="str">
        <f>IFERROR(__xludf.DUMMYFUNCTION("""COMPUTED_VALUE"""),"73 BAYSHORE RD")</f>
        <v>73 BAYSHORE RD</v>
      </c>
      <c r="C7037" s="3"/>
      <c r="D7037" s="3"/>
      <c r="E7037" s="3"/>
      <c r="F7037" s="3"/>
      <c r="G7037" s="3"/>
      <c r="H7037" s="3"/>
    </row>
    <row r="7038">
      <c r="A7038" s="2">
        <f>IFERROR(__xludf.DUMMYFUNCTION("""COMPUTED_VALUE"""),90143.0)</f>
        <v>90143</v>
      </c>
      <c r="B7038" s="3" t="str">
        <f>IFERROR(__xludf.DUMMYFUNCTION("""COMPUTED_VALUE"""),"74 BAYSHORE RD")</f>
        <v>74 BAYSHORE RD</v>
      </c>
      <c r="C7038" s="3"/>
      <c r="D7038" s="3"/>
      <c r="E7038" s="3"/>
      <c r="F7038" s="3"/>
      <c r="G7038" s="3"/>
      <c r="H7038" s="3"/>
    </row>
    <row r="7039">
      <c r="A7039" s="2">
        <f>IFERROR(__xludf.DUMMYFUNCTION("""COMPUTED_VALUE"""),90144.0)</f>
        <v>90144</v>
      </c>
      <c r="B7039" s="3" t="str">
        <f>IFERROR(__xludf.DUMMYFUNCTION("""COMPUTED_VALUE"""),"75 BAYSHORE RD")</f>
        <v>75 BAYSHORE RD</v>
      </c>
      <c r="C7039" s="3"/>
      <c r="D7039" s="3"/>
      <c r="E7039" s="3" t="str">
        <f>IFERROR(__xludf.DUMMYFUNCTION("""COMPUTED_VALUE"""),"donna atkin")</f>
        <v>donna atkin</v>
      </c>
      <c r="F7039" s="3"/>
      <c r="G7039" s="3">
        <f>IFERROR(__xludf.DUMMYFUNCTION("""COMPUTED_VALUE"""),9.054754928E9)</f>
        <v>9054754928</v>
      </c>
      <c r="H7039" s="3"/>
    </row>
    <row r="7040">
      <c r="A7040" s="2">
        <f>IFERROR(__xludf.DUMMYFUNCTION("""COMPUTED_VALUE"""),90145.0)</f>
        <v>90145</v>
      </c>
      <c r="B7040" s="3" t="str">
        <f>IFERROR(__xludf.DUMMYFUNCTION("""COMPUTED_VALUE"""),"76 BAYSHORE RD")</f>
        <v>76 BAYSHORE RD</v>
      </c>
      <c r="C7040" s="3"/>
      <c r="D7040" s="3"/>
      <c r="E7040" s="3"/>
      <c r="F7040" s="3"/>
      <c r="G7040" s="3"/>
      <c r="H7040" s="3"/>
    </row>
    <row r="7041">
      <c r="A7041" s="2">
        <f>IFERROR(__xludf.DUMMYFUNCTION("""COMPUTED_VALUE"""),90146.0)</f>
        <v>90146</v>
      </c>
      <c r="B7041" s="3" t="str">
        <f>IFERROR(__xludf.DUMMYFUNCTION("""COMPUTED_VALUE"""),"77 BAYSHORE RD")</f>
        <v>77 BAYSHORE RD</v>
      </c>
      <c r="C7041" s="3"/>
      <c r="D7041" s="3"/>
      <c r="E7041" s="3"/>
      <c r="F7041" s="3"/>
      <c r="G7041" s="3"/>
      <c r="H7041" s="3"/>
    </row>
    <row r="7042">
      <c r="A7042" s="2">
        <f>IFERROR(__xludf.DUMMYFUNCTION("""COMPUTED_VALUE"""),90147.0)</f>
        <v>90147</v>
      </c>
      <c r="B7042" s="3" t="str">
        <f>IFERROR(__xludf.DUMMYFUNCTION("""COMPUTED_VALUE"""),"78 BAYSHORE RD")</f>
        <v>78 BAYSHORE RD</v>
      </c>
      <c r="C7042" s="3"/>
      <c r="D7042" s="3"/>
      <c r="E7042" s="3"/>
      <c r="F7042" s="3"/>
      <c r="G7042" s="3"/>
      <c r="H7042" s="3"/>
    </row>
    <row r="7043">
      <c r="A7043" s="2">
        <f>IFERROR(__xludf.DUMMYFUNCTION("""COMPUTED_VALUE"""),90148.0)</f>
        <v>90148</v>
      </c>
      <c r="B7043" s="3" t="str">
        <f>IFERROR(__xludf.DUMMYFUNCTION("""COMPUTED_VALUE"""),"80 BAYSHORE RD")</f>
        <v>80 BAYSHORE RD</v>
      </c>
      <c r="C7043" s="3"/>
      <c r="D7043" s="3"/>
      <c r="E7043" s="3"/>
      <c r="F7043" s="3"/>
      <c r="G7043" s="3"/>
      <c r="H7043" s="3"/>
    </row>
    <row r="7044">
      <c r="A7044" s="2">
        <f>IFERROR(__xludf.DUMMYFUNCTION("""COMPUTED_VALUE"""),90149.0)</f>
        <v>90149</v>
      </c>
      <c r="B7044" s="3" t="str">
        <f>IFERROR(__xludf.DUMMYFUNCTION("""COMPUTED_VALUE"""),"81 BAYSHORE RD")</f>
        <v>81 BAYSHORE RD</v>
      </c>
      <c r="C7044" s="3"/>
      <c r="D7044" s="3"/>
      <c r="E7044" s="3"/>
      <c r="F7044" s="3"/>
      <c r="G7044" s="3"/>
      <c r="H7044" s="3"/>
    </row>
    <row r="7045">
      <c r="A7045" s="2">
        <f>IFERROR(__xludf.DUMMYFUNCTION("""COMPUTED_VALUE"""),90150.0)</f>
        <v>90150</v>
      </c>
      <c r="B7045" s="3" t="str">
        <f>IFERROR(__xludf.DUMMYFUNCTION("""COMPUTED_VALUE"""),"83 BAYSHORE RD")</f>
        <v>83 BAYSHORE RD</v>
      </c>
      <c r="C7045" s="3" t="str">
        <f>IFERROR(__xludf.DUMMYFUNCTION("""COMPUTED_VALUE"""),"BRIGHTON ")</f>
        <v>BRIGHTON </v>
      </c>
      <c r="D7045" s="3" t="str">
        <f>IFERROR(__xludf.DUMMYFUNCTION("""COMPUTED_VALUE"""),"K0K 1H0")</f>
        <v>K0K 1H0</v>
      </c>
      <c r="E7045" s="3" t="str">
        <f>IFERROR(__xludf.DUMMYFUNCTION("""COMPUTED_VALUE"""),"William Gilmour")</f>
        <v>William Gilmour</v>
      </c>
      <c r="F7045" s="3" t="str">
        <f>IFERROR(__xludf.DUMMYFUNCTION("""COMPUTED_VALUE"""),"tbki2012@gmail.com")</f>
        <v>tbki2012@gmail.com</v>
      </c>
      <c r="G7045" s="3">
        <f>IFERROR(__xludf.DUMMYFUNCTION("""COMPUTED_VALUE"""),6.134754219E9)</f>
        <v>6134754219</v>
      </c>
      <c r="H7045" s="3">
        <f>IFERROR(__xludf.DUMMYFUNCTION("""COMPUTED_VALUE"""),4.16751356E9)</f>
        <v>4167513560</v>
      </c>
    </row>
    <row r="7046">
      <c r="A7046" s="2">
        <f>IFERROR(__xludf.DUMMYFUNCTION("""COMPUTED_VALUE"""),90151.0)</f>
        <v>90151</v>
      </c>
      <c r="B7046" s="3" t="str">
        <f>IFERROR(__xludf.DUMMYFUNCTION("""COMPUTED_VALUE"""),"84 BAYSHORE RD")</f>
        <v>84 BAYSHORE RD</v>
      </c>
      <c r="C7046" s="3"/>
      <c r="D7046" s="3"/>
      <c r="E7046" s="3"/>
      <c r="F7046" s="3"/>
      <c r="G7046" s="3"/>
      <c r="H7046" s="3"/>
    </row>
    <row r="7047">
      <c r="A7047" s="2">
        <f>IFERROR(__xludf.DUMMYFUNCTION("""COMPUTED_VALUE"""),90152.0)</f>
        <v>90152</v>
      </c>
      <c r="B7047" s="3" t="str">
        <f>IFERROR(__xludf.DUMMYFUNCTION("""COMPUTED_VALUE"""),"85 BAYSHORE RD")</f>
        <v>85 BAYSHORE RD</v>
      </c>
      <c r="C7047" s="3"/>
      <c r="D7047" s="3"/>
      <c r="E7047" s="3"/>
      <c r="F7047" s="3"/>
      <c r="G7047" s="3"/>
      <c r="H7047" s="3"/>
    </row>
    <row r="7048">
      <c r="A7048" s="2">
        <f>IFERROR(__xludf.DUMMYFUNCTION("""COMPUTED_VALUE"""),90153.0)</f>
        <v>90153</v>
      </c>
      <c r="B7048" s="3" t="str">
        <f>IFERROR(__xludf.DUMMYFUNCTION("""COMPUTED_VALUE"""),"87 BAYSHORE RD")</f>
        <v>87 BAYSHORE RD</v>
      </c>
      <c r="C7048" s="3"/>
      <c r="D7048" s="3"/>
      <c r="E7048" s="3"/>
      <c r="F7048" s="3"/>
      <c r="G7048" s="3"/>
      <c r="H7048" s="3"/>
    </row>
    <row r="7049">
      <c r="A7049" s="2">
        <f>IFERROR(__xludf.DUMMYFUNCTION("""COMPUTED_VALUE"""),90154.0)</f>
        <v>90154</v>
      </c>
      <c r="B7049" s="3" t="str">
        <f>IFERROR(__xludf.DUMMYFUNCTION("""COMPUTED_VALUE"""),"88 BAYSHORE RD")</f>
        <v>88 BAYSHORE RD</v>
      </c>
      <c r="C7049" s="3"/>
      <c r="D7049" s="3"/>
      <c r="E7049" s="3"/>
      <c r="F7049" s="3"/>
      <c r="G7049" s="3"/>
      <c r="H7049" s="3"/>
    </row>
    <row r="7050">
      <c r="A7050" s="2">
        <f>IFERROR(__xludf.DUMMYFUNCTION("""COMPUTED_VALUE"""),90155.0)</f>
        <v>90155</v>
      </c>
      <c r="B7050" s="3" t="str">
        <f>IFERROR(__xludf.DUMMYFUNCTION("""COMPUTED_VALUE"""),"89 BAYSHORE RD")</f>
        <v>89 BAYSHORE RD</v>
      </c>
      <c r="C7050" s="3"/>
      <c r="D7050" s="3"/>
      <c r="E7050" s="3"/>
      <c r="F7050" s="3"/>
      <c r="G7050" s="3"/>
      <c r="H7050" s="3"/>
    </row>
    <row r="7051">
      <c r="A7051" s="2">
        <f>IFERROR(__xludf.DUMMYFUNCTION("""COMPUTED_VALUE"""),90156.0)</f>
        <v>90156</v>
      </c>
      <c r="B7051" s="3" t="str">
        <f>IFERROR(__xludf.DUMMYFUNCTION("""COMPUTED_VALUE"""),"90 BAYSHORE RD")</f>
        <v>90 BAYSHORE RD</v>
      </c>
      <c r="C7051" s="3"/>
      <c r="D7051" s="3"/>
      <c r="E7051" s="3" t="str">
        <f>IFERROR(__xludf.DUMMYFUNCTION("""COMPUTED_VALUE"""),"christine macadam")</f>
        <v>christine macadam</v>
      </c>
      <c r="F7051" s="3" t="str">
        <f>IFERROR(__xludf.DUMMYFUNCTION("""COMPUTED_VALUE"""),"macadam922@gmail.com")</f>
        <v>macadam922@gmail.com</v>
      </c>
      <c r="G7051" s="3">
        <f>IFERROR(__xludf.DUMMYFUNCTION("""COMPUTED_VALUE"""),4.169046695E9)</f>
        <v>4169046695</v>
      </c>
      <c r="H7051" s="3"/>
    </row>
    <row r="7052">
      <c r="A7052" s="2">
        <f>IFERROR(__xludf.DUMMYFUNCTION("""COMPUTED_VALUE"""),90157.0)</f>
        <v>90157</v>
      </c>
      <c r="B7052" s="3" t="str">
        <f>IFERROR(__xludf.DUMMYFUNCTION("""COMPUTED_VALUE"""),"91 BAYSHORE RD")</f>
        <v>91 BAYSHORE RD</v>
      </c>
      <c r="C7052" s="3"/>
      <c r="D7052" s="3"/>
      <c r="E7052" s="3"/>
      <c r="F7052" s="3"/>
      <c r="G7052" s="3"/>
      <c r="H7052" s="3"/>
    </row>
    <row r="7053">
      <c r="A7053" s="2">
        <f>IFERROR(__xludf.DUMMYFUNCTION("""COMPUTED_VALUE"""),90158.0)</f>
        <v>90158</v>
      </c>
      <c r="B7053" s="3" t="str">
        <f>IFERROR(__xludf.DUMMYFUNCTION("""COMPUTED_VALUE"""),"92 BAYSHORE RD")</f>
        <v>92 BAYSHORE RD</v>
      </c>
      <c r="C7053" s="3"/>
      <c r="D7053" s="3"/>
      <c r="E7053" s="3" t="str">
        <f>IFERROR(__xludf.DUMMYFUNCTION("""COMPUTED_VALUE"""),"kim burns")</f>
        <v>kim burns</v>
      </c>
      <c r="F7053" s="3"/>
      <c r="G7053" s="3">
        <f>IFERROR(__xludf.DUMMYFUNCTION("""COMPUTED_VALUE"""),6.134754129E9)</f>
        <v>6134754129</v>
      </c>
      <c r="H7053" s="3"/>
    </row>
    <row r="7054">
      <c r="A7054" s="2">
        <f>IFERROR(__xludf.DUMMYFUNCTION("""COMPUTED_VALUE"""),90159.0)</f>
        <v>90159</v>
      </c>
      <c r="B7054" s="3" t="str">
        <f>IFERROR(__xludf.DUMMYFUNCTION("""COMPUTED_VALUE"""),"93 BAYSHORE RD")</f>
        <v>93 BAYSHORE RD</v>
      </c>
      <c r="C7054" s="3"/>
      <c r="D7054" s="3"/>
      <c r="E7054" s="3"/>
      <c r="F7054" s="3"/>
      <c r="G7054" s="3"/>
      <c r="H7054" s="3"/>
    </row>
    <row r="7055">
      <c r="A7055" s="2">
        <f>IFERROR(__xludf.DUMMYFUNCTION("""COMPUTED_VALUE"""),90160.0)</f>
        <v>90160</v>
      </c>
      <c r="B7055" s="3" t="str">
        <f>IFERROR(__xludf.DUMMYFUNCTION("""COMPUTED_VALUE"""),"94 BAYSHORE RD")</f>
        <v>94 BAYSHORE RD</v>
      </c>
      <c r="C7055" s="3"/>
      <c r="D7055" s="3"/>
      <c r="E7055" s="3"/>
      <c r="F7055" s="3"/>
      <c r="G7055" s="3"/>
      <c r="H7055" s="3"/>
    </row>
    <row r="7056">
      <c r="A7056" s="2">
        <f>IFERROR(__xludf.DUMMYFUNCTION("""COMPUTED_VALUE"""),90161.0)</f>
        <v>90161</v>
      </c>
      <c r="B7056" s="3" t="str">
        <f>IFERROR(__xludf.DUMMYFUNCTION("""COMPUTED_VALUE"""),"96 BAYSHORE RD")</f>
        <v>96 BAYSHORE RD</v>
      </c>
      <c r="C7056" s="3"/>
      <c r="D7056" s="3"/>
      <c r="E7056" s="3"/>
      <c r="F7056" s="3"/>
      <c r="G7056" s="3"/>
      <c r="H7056" s="3"/>
    </row>
    <row r="7057">
      <c r="A7057" s="2">
        <f>IFERROR(__xludf.DUMMYFUNCTION("""COMPUTED_VALUE"""),90162.0)</f>
        <v>90162</v>
      </c>
      <c r="B7057" s="3" t="str">
        <f>IFERROR(__xludf.DUMMYFUNCTION("""COMPUTED_VALUE"""),"97 BAYSHORE RD")</f>
        <v>97 BAYSHORE RD</v>
      </c>
      <c r="C7057" s="3"/>
      <c r="D7057" s="3"/>
      <c r="E7057" s="3" t="str">
        <f>IFERROR(__xludf.DUMMYFUNCTION("""COMPUTED_VALUE"""),"bob burke")</f>
        <v>bob burke</v>
      </c>
      <c r="F7057" s="3" t="str">
        <f>IFERROR(__xludf.DUMMYFUNCTION("""COMPUTED_VALUE"""),"rburke5500@gmail.com")</f>
        <v>rburke5500@gmail.com</v>
      </c>
      <c r="G7057" s="3">
        <f>IFERROR(__xludf.DUMMYFUNCTION("""COMPUTED_VALUE"""),6.134382222E9)</f>
        <v>6134382222</v>
      </c>
      <c r="H7057" s="3">
        <f>IFERROR(__xludf.DUMMYFUNCTION("""COMPUTED_VALUE"""),2.893144164E9)</f>
        <v>2893144164</v>
      </c>
    </row>
    <row r="7058">
      <c r="A7058" s="2">
        <f>IFERROR(__xludf.DUMMYFUNCTION("""COMPUTED_VALUE"""),90163.0)</f>
        <v>90163</v>
      </c>
      <c r="B7058" s="3" t="str">
        <f>IFERROR(__xludf.DUMMYFUNCTION("""COMPUTED_VALUE"""),"98 BAYSHORE RD")</f>
        <v>98 BAYSHORE RD</v>
      </c>
      <c r="C7058" s="3"/>
      <c r="D7058" s="3"/>
      <c r="E7058" s="3"/>
      <c r="F7058" s="3"/>
      <c r="G7058" s="3"/>
      <c r="H7058" s="3"/>
    </row>
    <row r="7059">
      <c r="A7059" s="2">
        <f>IFERROR(__xludf.DUMMYFUNCTION("""COMPUTED_VALUE"""),90164.0)</f>
        <v>90164</v>
      </c>
      <c r="B7059" s="3" t="str">
        <f>IFERROR(__xludf.DUMMYFUNCTION("""COMPUTED_VALUE"""),"99 BAYSHORE RD")</f>
        <v>99 BAYSHORE RD</v>
      </c>
      <c r="C7059" s="3"/>
      <c r="D7059" s="3"/>
      <c r="E7059" s="3"/>
      <c r="F7059" s="3"/>
      <c r="G7059" s="3"/>
      <c r="H7059" s="3"/>
    </row>
    <row r="7060">
      <c r="A7060" s="2">
        <f>IFERROR(__xludf.DUMMYFUNCTION("""COMPUTED_VALUE"""),90165.0)</f>
        <v>90165</v>
      </c>
      <c r="B7060" s="3" t="str">
        <f>IFERROR(__xludf.DUMMYFUNCTION("""COMPUTED_VALUE"""),"100 BAYSHORE RD")</f>
        <v>100 BAYSHORE RD</v>
      </c>
      <c r="C7060" s="3"/>
      <c r="D7060" s="3"/>
      <c r="E7060" s="3"/>
      <c r="F7060" s="3"/>
      <c r="G7060" s="3"/>
      <c r="H7060" s="3"/>
    </row>
    <row r="7061">
      <c r="A7061" s="2">
        <f>IFERROR(__xludf.DUMMYFUNCTION("""COMPUTED_VALUE"""),90166.0)</f>
        <v>90166</v>
      </c>
      <c r="B7061" s="3" t="str">
        <f>IFERROR(__xludf.DUMMYFUNCTION("""COMPUTED_VALUE"""),"101 BAYSHORE RD")</f>
        <v>101 BAYSHORE RD</v>
      </c>
      <c r="C7061" s="3"/>
      <c r="D7061" s="3"/>
      <c r="E7061" s="3"/>
      <c r="F7061" s="3"/>
      <c r="G7061" s="3"/>
      <c r="H7061" s="3"/>
    </row>
    <row r="7062">
      <c r="A7062" s="2">
        <f>IFERROR(__xludf.DUMMYFUNCTION("""COMPUTED_VALUE"""),90167.0)</f>
        <v>90167</v>
      </c>
      <c r="B7062" s="3" t="str">
        <f>IFERROR(__xludf.DUMMYFUNCTION("""COMPUTED_VALUE"""),"102 BAYSHORE RD")</f>
        <v>102 BAYSHORE RD</v>
      </c>
      <c r="C7062" s="3"/>
      <c r="D7062" s="3"/>
      <c r="E7062" s="3"/>
      <c r="F7062" s="3"/>
      <c r="G7062" s="3"/>
      <c r="H7062" s="3"/>
    </row>
    <row r="7063">
      <c r="A7063" s="2">
        <f>IFERROR(__xludf.DUMMYFUNCTION("""COMPUTED_VALUE"""),90168.0)</f>
        <v>90168</v>
      </c>
      <c r="B7063" s="3" t="str">
        <f>IFERROR(__xludf.DUMMYFUNCTION("""COMPUTED_VALUE"""),"104 BAYSHORE RD")</f>
        <v>104 BAYSHORE RD</v>
      </c>
      <c r="C7063" s="3"/>
      <c r="D7063" s="3"/>
      <c r="E7063" s="3" t="str">
        <f>IFERROR(__xludf.DUMMYFUNCTION("""COMPUTED_VALUE"""),"frederick wardle")</f>
        <v>frederick wardle</v>
      </c>
      <c r="F7063" s="3" t="str">
        <f>IFERROR(__xludf.DUMMYFUNCTION("""COMPUTED_VALUE"""),"fawardle@gmail.com")</f>
        <v>fawardle@gmail.com</v>
      </c>
      <c r="G7063" s="3">
        <f>IFERROR(__xludf.DUMMYFUNCTION("""COMPUTED_VALUE"""),4.165739594E9)</f>
        <v>4165739594</v>
      </c>
      <c r="H7063" s="3"/>
    </row>
    <row r="7064">
      <c r="A7064" s="2">
        <f>IFERROR(__xludf.DUMMYFUNCTION("""COMPUTED_VALUE"""),90169.0)</f>
        <v>90169</v>
      </c>
      <c r="B7064" s="3" t="str">
        <f>IFERROR(__xludf.DUMMYFUNCTION("""COMPUTED_VALUE"""),"105 BAYSHORE RD")</f>
        <v>105 BAYSHORE RD</v>
      </c>
      <c r="C7064" s="3"/>
      <c r="D7064" s="3"/>
      <c r="E7064" s="3"/>
      <c r="F7064" s="3"/>
      <c r="G7064" s="3"/>
      <c r="H7064" s="3"/>
    </row>
    <row r="7065">
      <c r="A7065" s="2">
        <f>IFERROR(__xludf.DUMMYFUNCTION("""COMPUTED_VALUE"""),90170.0)</f>
        <v>90170</v>
      </c>
      <c r="B7065" s="3" t="str">
        <f>IFERROR(__xludf.DUMMYFUNCTION("""COMPUTED_VALUE"""),"106 BAYSHORE RD")</f>
        <v>106 BAYSHORE RD</v>
      </c>
      <c r="C7065" s="3" t="str">
        <f>IFERROR(__xludf.DUMMYFUNCTION("""COMPUTED_VALUE"""),"BRIGHTON")</f>
        <v>BRIGHTON</v>
      </c>
      <c r="D7065" s="3" t="str">
        <f>IFERROR(__xludf.DUMMYFUNCTION("""COMPUTED_VALUE"""),"K0K 1H0")</f>
        <v>K0K 1H0</v>
      </c>
      <c r="E7065" s="3" t="str">
        <f>IFERROR(__xludf.DUMMYFUNCTION("""COMPUTED_VALUE"""),"Mary Eileen Paulsen")</f>
        <v>Mary Eileen Paulsen</v>
      </c>
      <c r="F7065" s="3" t="str">
        <f>IFERROR(__xludf.DUMMYFUNCTION("""COMPUTED_VALUE"""),"eileen.paulsen@gmail.com")</f>
        <v>eileen.paulsen@gmail.com</v>
      </c>
      <c r="G7065" s="3"/>
      <c r="H7065" s="3"/>
    </row>
    <row r="7066">
      <c r="A7066" s="2">
        <f>IFERROR(__xludf.DUMMYFUNCTION("""COMPUTED_VALUE"""),90171.0)</f>
        <v>90171</v>
      </c>
      <c r="B7066" s="3" t="str">
        <f>IFERROR(__xludf.DUMMYFUNCTION("""COMPUTED_VALUE"""),"108 BAYSHORE RD")</f>
        <v>108 BAYSHORE RD</v>
      </c>
      <c r="C7066" s="3"/>
      <c r="D7066" s="3"/>
      <c r="E7066" s="3"/>
      <c r="F7066" s="3"/>
      <c r="G7066" s="3"/>
      <c r="H7066" s="3"/>
    </row>
    <row r="7067">
      <c r="A7067" s="2">
        <f>IFERROR(__xludf.DUMMYFUNCTION("""COMPUTED_VALUE"""),90172.0)</f>
        <v>90172</v>
      </c>
      <c r="B7067" s="3" t="str">
        <f>IFERROR(__xludf.DUMMYFUNCTION("""COMPUTED_VALUE"""),"109 BAYSHORE RD")</f>
        <v>109 BAYSHORE RD</v>
      </c>
      <c r="C7067" s="3"/>
      <c r="D7067" s="3"/>
      <c r="E7067" s="3"/>
      <c r="F7067" s="3"/>
      <c r="G7067" s="3"/>
      <c r="H7067" s="3"/>
    </row>
    <row r="7068">
      <c r="A7068" s="2">
        <f>IFERROR(__xludf.DUMMYFUNCTION("""COMPUTED_VALUE"""),90173.0)</f>
        <v>90173</v>
      </c>
      <c r="B7068" s="3" t="str">
        <f>IFERROR(__xludf.DUMMYFUNCTION("""COMPUTED_VALUE"""),"110 BAYSHORE RD")</f>
        <v>110 BAYSHORE RD</v>
      </c>
      <c r="C7068" s="3"/>
      <c r="D7068" s="3"/>
      <c r="E7068" s="3" t="str">
        <f>IFERROR(__xludf.DUMMYFUNCTION("""COMPUTED_VALUE"""),"greg taylor ")</f>
        <v>greg taylor </v>
      </c>
      <c r="F7068" s="3" t="str">
        <f>IFERROR(__xludf.DUMMYFUNCTION("""COMPUTED_VALUE"""),"guamite2@gmail.com")</f>
        <v>guamite2@gmail.com</v>
      </c>
      <c r="G7068" s="3">
        <f>IFERROR(__xludf.DUMMYFUNCTION("""COMPUTED_VALUE"""),6.134751517E9)</f>
        <v>6134751517</v>
      </c>
      <c r="H7068" s="3"/>
    </row>
    <row r="7069">
      <c r="A7069" s="2">
        <f>IFERROR(__xludf.DUMMYFUNCTION("""COMPUTED_VALUE"""),90174.0)</f>
        <v>90174</v>
      </c>
      <c r="B7069" s="3" t="str">
        <f>IFERROR(__xludf.DUMMYFUNCTION("""COMPUTED_VALUE"""),"111 BAYSHORE RD")</f>
        <v>111 BAYSHORE RD</v>
      </c>
      <c r="C7069" s="3"/>
      <c r="D7069" s="3"/>
      <c r="E7069" s="3"/>
      <c r="F7069" s="3"/>
      <c r="G7069" s="3"/>
      <c r="H7069" s="3"/>
    </row>
    <row r="7070">
      <c r="A7070" s="2">
        <f>IFERROR(__xludf.DUMMYFUNCTION("""COMPUTED_VALUE"""),90175.0)</f>
        <v>90175</v>
      </c>
      <c r="B7070" s="3" t="str">
        <f>IFERROR(__xludf.DUMMYFUNCTION("""COMPUTED_VALUE"""),"112 BAYSHORE RD")</f>
        <v>112 BAYSHORE RD</v>
      </c>
      <c r="C7070" s="3"/>
      <c r="D7070" s="3"/>
      <c r="E7070" s="3"/>
      <c r="F7070" s="3"/>
      <c r="G7070" s="3"/>
      <c r="H7070" s="3"/>
    </row>
    <row r="7071">
      <c r="A7071" s="2">
        <f>IFERROR(__xludf.DUMMYFUNCTION("""COMPUTED_VALUE"""),90176.0)</f>
        <v>90176</v>
      </c>
      <c r="B7071" s="3" t="str">
        <f>IFERROR(__xludf.DUMMYFUNCTION("""COMPUTED_VALUE"""),"114 BAYSHORE RD")</f>
        <v>114 BAYSHORE RD</v>
      </c>
      <c r="C7071" s="3"/>
      <c r="D7071" s="3"/>
      <c r="E7071" s="3"/>
      <c r="F7071" s="3"/>
      <c r="G7071" s="3"/>
      <c r="H7071" s="3"/>
    </row>
    <row r="7072">
      <c r="A7072" s="2">
        <f>IFERROR(__xludf.DUMMYFUNCTION("""COMPUTED_VALUE"""),90177.0)</f>
        <v>90177</v>
      </c>
      <c r="B7072" s="3" t="str">
        <f>IFERROR(__xludf.DUMMYFUNCTION("""COMPUTED_VALUE"""),"115 BAYSHORE RD")</f>
        <v>115 BAYSHORE RD</v>
      </c>
      <c r="C7072" s="3" t="str">
        <f>IFERROR(__xludf.DUMMYFUNCTION("""COMPUTED_VALUE"""),"BRIGHTON")</f>
        <v>BRIGHTON</v>
      </c>
      <c r="D7072" s="3" t="str">
        <f>IFERROR(__xludf.DUMMYFUNCTION("""COMPUTED_VALUE"""),"K0K 1H0")</f>
        <v>K0K 1H0</v>
      </c>
      <c r="E7072" s="3" t="str">
        <f>IFERROR(__xludf.DUMMYFUNCTION("""COMPUTED_VALUE"""),"David and Brenda Cutler")</f>
        <v>David and Brenda Cutler</v>
      </c>
      <c r="F7072" s="3" t="str">
        <f>IFERROR(__xludf.DUMMYFUNCTION("""COMPUTED_VALUE"""),"bcutler67@outlook.com")</f>
        <v>bcutler67@outlook.com</v>
      </c>
      <c r="G7072" s="3">
        <f>IFERROR(__xludf.DUMMYFUNCTION("""COMPUTED_VALUE"""),6.134755154E9)</f>
        <v>6134755154</v>
      </c>
      <c r="H7072" s="3"/>
    </row>
    <row r="7073">
      <c r="A7073" s="2">
        <f>IFERROR(__xludf.DUMMYFUNCTION("""COMPUTED_VALUE"""),90178.0)</f>
        <v>90178</v>
      </c>
      <c r="B7073" s="3" t="str">
        <f>IFERROR(__xludf.DUMMYFUNCTION("""COMPUTED_VALUE"""),"116 BAYSHORE RD")</f>
        <v>116 BAYSHORE RD</v>
      </c>
      <c r="C7073" s="3"/>
      <c r="D7073" s="3"/>
      <c r="E7073" s="3"/>
      <c r="F7073" s="3"/>
      <c r="G7073" s="3"/>
      <c r="H7073" s="3"/>
    </row>
    <row r="7074">
      <c r="A7074" s="2">
        <f>IFERROR(__xludf.DUMMYFUNCTION("""COMPUTED_VALUE"""),90179.0)</f>
        <v>90179</v>
      </c>
      <c r="B7074" s="3" t="str">
        <f>IFERROR(__xludf.DUMMYFUNCTION("""COMPUTED_VALUE"""),"117 BAYSHORE RD")</f>
        <v>117 BAYSHORE RD</v>
      </c>
      <c r="C7074" s="3"/>
      <c r="D7074" s="3"/>
      <c r="E7074" s="3" t="str">
        <f>IFERROR(__xludf.DUMMYFUNCTION("""COMPUTED_VALUE"""),"lynda burke ")</f>
        <v>lynda burke </v>
      </c>
      <c r="F7074" s="3" t="str">
        <f>IFERROR(__xludf.DUMMYFUNCTION("""COMPUTED_VALUE"""),"terlynburke@hotmail.com")</f>
        <v>terlynburke@hotmail.com</v>
      </c>
      <c r="G7074" s="3">
        <f>IFERROR(__xludf.DUMMYFUNCTION("""COMPUTED_VALUE"""),5.619064414E9)</f>
        <v>5619064414</v>
      </c>
      <c r="H7074" s="3"/>
    </row>
    <row r="7075">
      <c r="A7075" s="2">
        <f>IFERROR(__xludf.DUMMYFUNCTION("""COMPUTED_VALUE"""),90180.0)</f>
        <v>90180</v>
      </c>
      <c r="B7075" s="3" t="str">
        <f>IFERROR(__xludf.DUMMYFUNCTION("""COMPUTED_VALUE"""),"119 BAYSHORE RD")</f>
        <v>119 BAYSHORE RD</v>
      </c>
      <c r="C7075" s="3"/>
      <c r="D7075" s="3"/>
      <c r="E7075" s="3"/>
      <c r="F7075" s="3"/>
      <c r="G7075" s="3"/>
      <c r="H7075" s="3"/>
    </row>
    <row r="7076">
      <c r="A7076" s="2">
        <f>IFERROR(__xludf.DUMMYFUNCTION("""COMPUTED_VALUE"""),90181.0)</f>
        <v>90181</v>
      </c>
      <c r="B7076" s="3" t="str">
        <f>IFERROR(__xludf.DUMMYFUNCTION("""COMPUTED_VALUE"""),"121 BAYSHORE RD")</f>
        <v>121 BAYSHORE RD</v>
      </c>
      <c r="C7076" s="3"/>
      <c r="D7076" s="3"/>
      <c r="E7076" s="3"/>
      <c r="F7076" s="3"/>
      <c r="G7076" s="3"/>
      <c r="H7076" s="3"/>
    </row>
    <row r="7077">
      <c r="A7077" s="2">
        <f>IFERROR(__xludf.DUMMYFUNCTION("""COMPUTED_VALUE"""),90182.0)</f>
        <v>90182</v>
      </c>
      <c r="B7077" s="3" t="str">
        <f>IFERROR(__xludf.DUMMYFUNCTION("""COMPUTED_VALUE"""),"123 BAYSHORE RD")</f>
        <v>123 BAYSHORE RD</v>
      </c>
      <c r="C7077" s="3"/>
      <c r="D7077" s="3"/>
      <c r="E7077" s="3" t="str">
        <f>IFERROR(__xludf.DUMMYFUNCTION("""COMPUTED_VALUE"""),"bob burke ")</f>
        <v>bob burke </v>
      </c>
      <c r="F7077" s="3" t="str">
        <f>IFERROR(__xludf.DUMMYFUNCTION("""COMPUTED_VALUE"""),"rburke5500@gmail.com")</f>
        <v>rburke5500@gmail.com</v>
      </c>
      <c r="G7077" s="3">
        <f>IFERROR(__xludf.DUMMYFUNCTION("""COMPUTED_VALUE"""),6.134382222E9)</f>
        <v>6134382222</v>
      </c>
      <c r="H7077" s="3">
        <f>IFERROR(__xludf.DUMMYFUNCTION("""COMPUTED_VALUE"""),2.893144164E9)</f>
        <v>2893144164</v>
      </c>
    </row>
    <row r="7078">
      <c r="A7078" s="2">
        <f>IFERROR(__xludf.DUMMYFUNCTION("""COMPUTED_VALUE"""),90183.0)</f>
        <v>90183</v>
      </c>
      <c r="B7078" s="3" t="str">
        <f>IFERROR(__xludf.DUMMYFUNCTION("""COMPUTED_VALUE"""),"125 BAYSHORE RD")</f>
        <v>125 BAYSHORE RD</v>
      </c>
      <c r="C7078" s="3"/>
      <c r="D7078" s="3"/>
      <c r="E7078" s="3" t="str">
        <f>IFERROR(__xludf.DUMMYFUNCTION("""COMPUTED_VALUE"""),"michael comhin ")</f>
        <v>michael comhin </v>
      </c>
      <c r="F7078" s="3" t="str">
        <f>IFERROR(__xludf.DUMMYFUNCTION("""COMPUTED_VALUE"""),"borganiclawn@gmaill.com")</f>
        <v>borganiclawn@gmaill.com</v>
      </c>
      <c r="G7078" s="3">
        <f>IFERROR(__xludf.DUMMYFUNCTION("""COMPUTED_VALUE"""),6.139205886E9)</f>
        <v>6139205886</v>
      </c>
      <c r="H7078" s="3">
        <f>IFERROR(__xludf.DUMMYFUNCTION("""COMPUTED_VALUE"""),6.137751896E9)</f>
        <v>6137751896</v>
      </c>
    </row>
    <row r="7079">
      <c r="A7079" s="2">
        <f>IFERROR(__xludf.DUMMYFUNCTION("""COMPUTED_VALUE"""),90184.0)</f>
        <v>90184</v>
      </c>
      <c r="B7079" s="3" t="str">
        <f>IFERROR(__xludf.DUMMYFUNCTION("""COMPUTED_VALUE"""),"126 BAYSHORE RD")</f>
        <v>126 BAYSHORE RD</v>
      </c>
      <c r="C7079" s="3"/>
      <c r="D7079" s="3"/>
      <c r="E7079" s="3"/>
      <c r="F7079" s="3"/>
      <c r="G7079" s="3"/>
      <c r="H7079" s="3"/>
    </row>
    <row r="7080">
      <c r="A7080" s="2">
        <f>IFERROR(__xludf.DUMMYFUNCTION("""COMPUTED_VALUE"""),90185.0)</f>
        <v>90185</v>
      </c>
      <c r="B7080" s="3" t="str">
        <f>IFERROR(__xludf.DUMMYFUNCTION("""COMPUTED_VALUE"""),"127 BAYSHORE RD")</f>
        <v>127 BAYSHORE RD</v>
      </c>
      <c r="C7080" s="3"/>
      <c r="D7080" s="3"/>
      <c r="E7080" s="3"/>
      <c r="F7080" s="3"/>
      <c r="G7080" s="3"/>
      <c r="H7080" s="3"/>
    </row>
    <row r="7081">
      <c r="A7081" s="2">
        <f>IFERROR(__xludf.DUMMYFUNCTION("""COMPUTED_VALUE"""),90186.0)</f>
        <v>90186</v>
      </c>
      <c r="B7081" s="3" t="str">
        <f>IFERROR(__xludf.DUMMYFUNCTION("""COMPUTED_VALUE"""),"131 BAYSHORE RD")</f>
        <v>131 BAYSHORE RD</v>
      </c>
      <c r="C7081" s="3"/>
      <c r="D7081" s="3"/>
      <c r="E7081" s="3"/>
      <c r="F7081" s="3"/>
      <c r="G7081" s="3"/>
      <c r="H7081" s="3"/>
    </row>
    <row r="7082">
      <c r="A7082" s="2">
        <f>IFERROR(__xludf.DUMMYFUNCTION("""COMPUTED_VALUE"""),90187.0)</f>
        <v>90187</v>
      </c>
      <c r="B7082" s="3" t="str">
        <f>IFERROR(__xludf.DUMMYFUNCTION("""COMPUTED_VALUE"""),"132 BAYSHORE RD")</f>
        <v>132 BAYSHORE RD</v>
      </c>
      <c r="C7082" s="3"/>
      <c r="D7082" s="3"/>
      <c r="E7082" s="3"/>
      <c r="F7082" s="3"/>
      <c r="G7082" s="3"/>
      <c r="H7082" s="3"/>
    </row>
    <row r="7083">
      <c r="A7083" s="2">
        <f>IFERROR(__xludf.DUMMYFUNCTION("""COMPUTED_VALUE"""),90188.0)</f>
        <v>90188</v>
      </c>
      <c r="B7083" s="3" t="str">
        <f>IFERROR(__xludf.DUMMYFUNCTION("""COMPUTED_VALUE"""),"134 BAYSHORE RD")</f>
        <v>134 BAYSHORE RD</v>
      </c>
      <c r="C7083" s="3"/>
      <c r="D7083" s="3"/>
      <c r="E7083" s="3"/>
      <c r="F7083" s="3"/>
      <c r="G7083" s="3"/>
      <c r="H7083" s="3"/>
    </row>
    <row r="7084">
      <c r="A7084" s="2">
        <f>IFERROR(__xludf.DUMMYFUNCTION("""COMPUTED_VALUE"""),90189.0)</f>
        <v>90189</v>
      </c>
      <c r="B7084" s="3" t="str">
        <f>IFERROR(__xludf.DUMMYFUNCTION("""COMPUTED_VALUE"""),"135 BAYSHORE RD")</f>
        <v>135 BAYSHORE RD</v>
      </c>
      <c r="C7084" s="3" t="str">
        <f>IFERROR(__xludf.DUMMYFUNCTION("""COMPUTED_VALUE"""),"BRIGHTON")</f>
        <v>BRIGHTON</v>
      </c>
      <c r="D7084" s="3" t="str">
        <f>IFERROR(__xludf.DUMMYFUNCTION("""COMPUTED_VALUE"""),"K0K 1H0")</f>
        <v>K0K 1H0</v>
      </c>
      <c r="E7084" s="3" t="str">
        <f>IFERROR(__xludf.DUMMYFUNCTION("""COMPUTED_VALUE"""),"Shane Bray / Joyce Cassin")</f>
        <v>Shane Bray / Joyce Cassin</v>
      </c>
      <c r="F7084" s="3" t="str">
        <f>IFERROR(__xludf.DUMMYFUNCTION("""COMPUTED_VALUE"""),"shanelbray@yahoo.com / joyce.cassin61@gmail.com")</f>
        <v>shanelbray@yahoo.com / joyce.cassin61@gmail.com</v>
      </c>
      <c r="G7084" s="3"/>
      <c r="H7084" s="3"/>
    </row>
    <row r="7085">
      <c r="A7085" s="2">
        <f>IFERROR(__xludf.DUMMYFUNCTION("""COMPUTED_VALUE"""),90190.0)</f>
        <v>90190</v>
      </c>
      <c r="B7085" s="3" t="str">
        <f>IFERROR(__xludf.DUMMYFUNCTION("""COMPUTED_VALUE"""),"136 BAYSHORE RD")</f>
        <v>136 BAYSHORE RD</v>
      </c>
      <c r="C7085" s="3"/>
      <c r="D7085" s="3"/>
      <c r="E7085" s="3"/>
      <c r="F7085" s="3"/>
      <c r="G7085" s="3"/>
      <c r="H7085" s="3"/>
    </row>
    <row r="7086">
      <c r="A7086" s="2">
        <f>IFERROR(__xludf.DUMMYFUNCTION("""COMPUTED_VALUE"""),90191.0)</f>
        <v>90191</v>
      </c>
      <c r="B7086" s="3" t="str">
        <f>IFERROR(__xludf.DUMMYFUNCTION("""COMPUTED_VALUE"""),"137 BAYSHORE RD")</f>
        <v>137 BAYSHORE RD</v>
      </c>
      <c r="C7086" s="3"/>
      <c r="D7086" s="3"/>
      <c r="E7086" s="3"/>
      <c r="F7086" s="3"/>
      <c r="G7086" s="3"/>
      <c r="H7086" s="3"/>
    </row>
    <row r="7087">
      <c r="A7087" s="2">
        <f>IFERROR(__xludf.DUMMYFUNCTION("""COMPUTED_VALUE"""),90192.0)</f>
        <v>90192</v>
      </c>
      <c r="B7087" s="3" t="str">
        <f>IFERROR(__xludf.DUMMYFUNCTION("""COMPUTED_VALUE"""),"138 BAYSHORE RD")</f>
        <v>138 BAYSHORE RD</v>
      </c>
      <c r="C7087" s="3"/>
      <c r="D7087" s="3"/>
      <c r="E7087" s="3"/>
      <c r="F7087" s="3"/>
      <c r="G7087" s="3"/>
      <c r="H7087" s="3"/>
    </row>
    <row r="7088">
      <c r="A7088" s="2">
        <f>IFERROR(__xludf.DUMMYFUNCTION("""COMPUTED_VALUE"""),90193.0)</f>
        <v>90193</v>
      </c>
      <c r="B7088" s="3" t="str">
        <f>IFERROR(__xludf.DUMMYFUNCTION("""COMPUTED_VALUE"""),"140 BAYSHORE RD")</f>
        <v>140 BAYSHORE RD</v>
      </c>
      <c r="C7088" s="3"/>
      <c r="D7088" s="3"/>
      <c r="E7088" s="3"/>
      <c r="F7088" s="3"/>
      <c r="G7088" s="3"/>
      <c r="H7088" s="3"/>
    </row>
    <row r="7089">
      <c r="A7089" s="2">
        <f>IFERROR(__xludf.DUMMYFUNCTION("""COMPUTED_VALUE"""),90194.0)</f>
        <v>90194</v>
      </c>
      <c r="B7089" s="3" t="str">
        <f>IFERROR(__xludf.DUMMYFUNCTION("""COMPUTED_VALUE"""),"142 BAYSHORE RD")</f>
        <v>142 BAYSHORE RD</v>
      </c>
      <c r="C7089" s="3"/>
      <c r="D7089" s="3"/>
      <c r="E7089" s="3"/>
      <c r="F7089" s="3"/>
      <c r="G7089" s="3"/>
      <c r="H7089" s="3"/>
    </row>
    <row r="7090">
      <c r="A7090" s="2">
        <f>IFERROR(__xludf.DUMMYFUNCTION("""COMPUTED_VALUE"""),90195.0)</f>
        <v>90195</v>
      </c>
      <c r="B7090" s="3" t="str">
        <f>IFERROR(__xludf.DUMMYFUNCTION("""COMPUTED_VALUE"""),"143 BAYSHORE RD")</f>
        <v>143 BAYSHORE RD</v>
      </c>
      <c r="C7090" s="3"/>
      <c r="D7090" s="3"/>
      <c r="E7090" s="3" t="str">
        <f>IFERROR(__xludf.DUMMYFUNCTION("""COMPUTED_VALUE"""),"jeff venton ")</f>
        <v>jeff venton </v>
      </c>
      <c r="F7090" s="3" t="str">
        <f>IFERROR(__xludf.DUMMYFUNCTION("""COMPUTED_VALUE"""),"daveventon@outlook.com")</f>
        <v>daveventon@outlook.com</v>
      </c>
      <c r="G7090" s="3">
        <f>IFERROR(__xludf.DUMMYFUNCTION("""COMPUTED_VALUE"""),6.477394315E9)</f>
        <v>6477394315</v>
      </c>
      <c r="H7090" s="3"/>
    </row>
    <row r="7091">
      <c r="A7091" s="2">
        <f>IFERROR(__xludf.DUMMYFUNCTION("""COMPUTED_VALUE"""),90196.0)</f>
        <v>90196</v>
      </c>
      <c r="B7091" s="3" t="str">
        <f>IFERROR(__xludf.DUMMYFUNCTION("""COMPUTED_VALUE"""),"144 BAYSHORE RD")</f>
        <v>144 BAYSHORE RD</v>
      </c>
      <c r="C7091" s="3"/>
      <c r="D7091" s="3"/>
      <c r="E7091" s="3"/>
      <c r="F7091" s="3"/>
      <c r="G7091" s="3"/>
      <c r="H7091" s="3"/>
    </row>
    <row r="7092">
      <c r="A7092" s="2">
        <f>IFERROR(__xludf.DUMMYFUNCTION("""COMPUTED_VALUE"""),90197.0)</f>
        <v>90197</v>
      </c>
      <c r="B7092" s="3" t="str">
        <f>IFERROR(__xludf.DUMMYFUNCTION("""COMPUTED_VALUE"""),"145 BAYSHORE RD")</f>
        <v>145 BAYSHORE RD</v>
      </c>
      <c r="C7092" s="3"/>
      <c r="D7092" s="3"/>
      <c r="E7092" s="3" t="str">
        <f>IFERROR(__xludf.DUMMYFUNCTION("""COMPUTED_VALUE"""),"david venton ")</f>
        <v>david venton </v>
      </c>
      <c r="F7092" s="3" t="str">
        <f>IFERROR(__xludf.DUMMYFUNCTION("""COMPUTED_VALUE"""),"daveventon@outlook.com")</f>
        <v>daveventon@outlook.com</v>
      </c>
      <c r="G7092" s="3">
        <f>IFERROR(__xludf.DUMMYFUNCTION("""COMPUTED_VALUE"""),6.134750731E9)</f>
        <v>6134750731</v>
      </c>
      <c r="H7092" s="3"/>
    </row>
    <row r="7093">
      <c r="A7093" s="2">
        <f>IFERROR(__xludf.DUMMYFUNCTION("""COMPUTED_VALUE"""),90198.0)</f>
        <v>90198</v>
      </c>
      <c r="B7093" s="3" t="str">
        <f>IFERROR(__xludf.DUMMYFUNCTION("""COMPUTED_VALUE"""),"146 BAYSHORE RD")</f>
        <v>146 BAYSHORE RD</v>
      </c>
      <c r="C7093" s="3"/>
      <c r="D7093" s="3"/>
      <c r="E7093" s="3"/>
      <c r="F7093" s="3"/>
      <c r="G7093" s="3"/>
      <c r="H7093" s="3"/>
    </row>
    <row r="7094">
      <c r="A7094" s="2">
        <f>IFERROR(__xludf.DUMMYFUNCTION("""COMPUTED_VALUE"""),90199.0)</f>
        <v>90199</v>
      </c>
      <c r="B7094" s="3" t="str">
        <f>IFERROR(__xludf.DUMMYFUNCTION("""COMPUTED_VALUE"""),"148 BAYSHORE RD")</f>
        <v>148 BAYSHORE RD</v>
      </c>
      <c r="C7094" s="3"/>
      <c r="D7094" s="3"/>
      <c r="E7094" s="3" t="str">
        <f>IFERROR(__xludf.DUMMYFUNCTION("""COMPUTED_VALUE"""),"peter m horton ")</f>
        <v>peter m horton </v>
      </c>
      <c r="F7094" s="3"/>
      <c r="G7094" s="3">
        <f>IFERROR(__xludf.DUMMYFUNCTION("""COMPUTED_VALUE"""),6.134751485E9)</f>
        <v>6134751485</v>
      </c>
      <c r="H7094" s="3"/>
    </row>
    <row r="7095">
      <c r="A7095" s="2">
        <f>IFERROR(__xludf.DUMMYFUNCTION("""COMPUTED_VALUE"""),90200.0)</f>
        <v>90200</v>
      </c>
      <c r="B7095" s="3" t="str">
        <f>IFERROR(__xludf.DUMMYFUNCTION("""COMPUTED_VALUE"""),"149 BAYSHORE RD")</f>
        <v>149 BAYSHORE RD</v>
      </c>
      <c r="C7095" s="3"/>
      <c r="D7095" s="3"/>
      <c r="E7095" s="3"/>
      <c r="F7095" s="3"/>
      <c r="G7095" s="3"/>
      <c r="H7095" s="3"/>
    </row>
    <row r="7096">
      <c r="A7096" s="2">
        <f>IFERROR(__xludf.DUMMYFUNCTION("""COMPUTED_VALUE"""),90201.0)</f>
        <v>90201</v>
      </c>
      <c r="B7096" s="3" t="str">
        <f>IFERROR(__xludf.DUMMYFUNCTION("""COMPUTED_VALUE"""),"150 BAYSHORE RD")</f>
        <v>150 BAYSHORE RD</v>
      </c>
      <c r="C7096" s="3"/>
      <c r="D7096" s="3"/>
      <c r="E7096" s="3" t="str">
        <f>IFERROR(__xludf.DUMMYFUNCTION("""COMPUTED_VALUE"""),"michael horton ")</f>
        <v>michael horton </v>
      </c>
      <c r="F7096" s="3"/>
      <c r="G7096" s="3"/>
      <c r="H7096" s="3"/>
    </row>
    <row r="7097">
      <c r="A7097" s="2">
        <f>IFERROR(__xludf.DUMMYFUNCTION("""COMPUTED_VALUE"""),90202.0)</f>
        <v>90202</v>
      </c>
      <c r="B7097" s="3" t="str">
        <f>IFERROR(__xludf.DUMMYFUNCTION("""COMPUTED_VALUE"""),"152 BAYSHORE RD")</f>
        <v>152 BAYSHORE RD</v>
      </c>
      <c r="C7097" s="3"/>
      <c r="D7097" s="3"/>
      <c r="E7097" s="3" t="str">
        <f>IFERROR(__xludf.DUMMYFUNCTION("""COMPUTED_VALUE"""),"angela and bob ferguson")</f>
        <v>angela and bob ferguson</v>
      </c>
      <c r="F7097" s="3" t="str">
        <f>IFERROR(__xludf.DUMMYFUNCTION("""COMPUTED_VALUE"""),"camlady-fergie@hotmail.com")</f>
        <v>camlady-fergie@hotmail.com</v>
      </c>
      <c r="G7097" s="3">
        <f>IFERROR(__xludf.DUMMYFUNCTION("""COMPUTED_VALUE"""),9.059034575E9)</f>
        <v>9059034575</v>
      </c>
      <c r="H7097" s="3"/>
    </row>
    <row r="7098">
      <c r="A7098" s="2">
        <f>IFERROR(__xludf.DUMMYFUNCTION("""COMPUTED_VALUE"""),90203.0)</f>
        <v>90203</v>
      </c>
      <c r="B7098" s="3" t="str">
        <f>IFERROR(__xludf.DUMMYFUNCTION("""COMPUTED_VALUE"""),"154 BAYSHORE RD")</f>
        <v>154 BAYSHORE RD</v>
      </c>
      <c r="C7098" s="3"/>
      <c r="D7098" s="3"/>
      <c r="E7098" s="3"/>
      <c r="F7098" s="3"/>
      <c r="G7098" s="3"/>
      <c r="H7098" s="3"/>
    </row>
    <row r="7099">
      <c r="A7099" s="2">
        <f>IFERROR(__xludf.DUMMYFUNCTION("""COMPUTED_VALUE"""),90204.0)</f>
        <v>90204</v>
      </c>
      <c r="B7099" s="3" t="str">
        <f>IFERROR(__xludf.DUMMYFUNCTION("""COMPUTED_VALUE"""),"156 BAYSHORE RD")</f>
        <v>156 BAYSHORE RD</v>
      </c>
      <c r="C7099" s="3"/>
      <c r="D7099" s="3"/>
      <c r="E7099" s="3"/>
      <c r="F7099" s="3"/>
      <c r="G7099" s="3"/>
      <c r="H7099" s="3"/>
    </row>
    <row r="7100">
      <c r="A7100" s="2">
        <f>IFERROR(__xludf.DUMMYFUNCTION("""COMPUTED_VALUE"""),90205.0)</f>
        <v>90205</v>
      </c>
      <c r="B7100" s="3" t="str">
        <f>IFERROR(__xludf.DUMMYFUNCTION("""COMPUTED_VALUE"""),"157 BAYSHORE RD")</f>
        <v>157 BAYSHORE RD</v>
      </c>
      <c r="C7100" s="3"/>
      <c r="D7100" s="3"/>
      <c r="E7100" s="3"/>
      <c r="F7100" s="3"/>
      <c r="G7100" s="3"/>
      <c r="H7100" s="3"/>
    </row>
    <row r="7101">
      <c r="A7101" s="2">
        <f>IFERROR(__xludf.DUMMYFUNCTION("""COMPUTED_VALUE"""),90206.0)</f>
        <v>90206</v>
      </c>
      <c r="B7101" s="3" t="str">
        <f>IFERROR(__xludf.DUMMYFUNCTION("""COMPUTED_VALUE"""),"158 BAYSHORE RD")</f>
        <v>158 BAYSHORE RD</v>
      </c>
      <c r="C7101" s="3"/>
      <c r="D7101" s="3"/>
      <c r="E7101" s="3"/>
      <c r="F7101" s="3"/>
      <c r="G7101" s="3"/>
      <c r="H7101" s="3"/>
    </row>
    <row r="7102">
      <c r="A7102" s="2">
        <f>IFERROR(__xludf.DUMMYFUNCTION("""COMPUTED_VALUE"""),90207.0)</f>
        <v>90207</v>
      </c>
      <c r="B7102" s="3" t="str">
        <f>IFERROR(__xludf.DUMMYFUNCTION("""COMPUTED_VALUE"""),"160 BAYSHORE RD")</f>
        <v>160 BAYSHORE RD</v>
      </c>
      <c r="C7102" s="3"/>
      <c r="D7102" s="3"/>
      <c r="E7102" s="3"/>
      <c r="F7102" s="3"/>
      <c r="G7102" s="3"/>
      <c r="H7102" s="3"/>
    </row>
    <row r="7103">
      <c r="A7103" s="2">
        <f>IFERROR(__xludf.DUMMYFUNCTION("""COMPUTED_VALUE"""),90208.0)</f>
        <v>90208</v>
      </c>
      <c r="B7103" s="3" t="str">
        <f>IFERROR(__xludf.DUMMYFUNCTION("""COMPUTED_VALUE"""),"162 BAYSHORE RD")</f>
        <v>162 BAYSHORE RD</v>
      </c>
      <c r="C7103" s="3"/>
      <c r="D7103" s="3"/>
      <c r="E7103" s="3"/>
      <c r="F7103" s="3"/>
      <c r="G7103" s="3"/>
      <c r="H7103" s="3"/>
    </row>
    <row r="7104">
      <c r="A7104" s="2">
        <f>IFERROR(__xludf.DUMMYFUNCTION("""COMPUTED_VALUE"""),90209.0)</f>
        <v>90209</v>
      </c>
      <c r="B7104" s="3" t="str">
        <f>IFERROR(__xludf.DUMMYFUNCTION("""COMPUTED_VALUE"""),"163 BAYSHORE RD")</f>
        <v>163 BAYSHORE RD</v>
      </c>
      <c r="C7104" s="3"/>
      <c r="D7104" s="3"/>
      <c r="E7104" s="3"/>
      <c r="F7104" s="3"/>
      <c r="G7104" s="3"/>
      <c r="H7104" s="3"/>
    </row>
    <row r="7105">
      <c r="A7105" s="2">
        <f>IFERROR(__xludf.DUMMYFUNCTION("""COMPUTED_VALUE"""),90210.0)</f>
        <v>90210</v>
      </c>
      <c r="B7105" s="3" t="str">
        <f>IFERROR(__xludf.DUMMYFUNCTION("""COMPUTED_VALUE"""),"164 BAYSHORE RD")</f>
        <v>164 BAYSHORE RD</v>
      </c>
      <c r="C7105" s="3"/>
      <c r="D7105" s="3"/>
      <c r="E7105" s="3" t="str">
        <f>IFERROR(__xludf.DUMMYFUNCTION("""COMPUTED_VALUE"""),"dave brummel ")</f>
        <v>dave brummel </v>
      </c>
      <c r="F7105" s="3" t="str">
        <f>IFERROR(__xludf.DUMMYFUNCTION("""COMPUTED_VALUE"""),"david.brummel047@gmail.com")</f>
        <v>david.brummel047@gmail.com</v>
      </c>
      <c r="G7105" s="3">
        <f>IFERROR(__xludf.DUMMYFUNCTION("""COMPUTED_VALUE"""),6.134751659E9)</f>
        <v>6134751659</v>
      </c>
      <c r="H7105" s="3">
        <f>IFERROR(__xludf.DUMMYFUNCTION("""COMPUTED_VALUE"""),6.136617728E9)</f>
        <v>6136617728</v>
      </c>
    </row>
    <row r="7106">
      <c r="A7106" s="2">
        <f>IFERROR(__xludf.DUMMYFUNCTION("""COMPUTED_VALUE"""),90107.0)</f>
        <v>90107</v>
      </c>
      <c r="B7106" s="3" t="str">
        <f>IFERROR(__xludf.DUMMYFUNCTION("""COMPUTED_VALUE"""),"2 BAYSHORE RD")</f>
        <v>2 BAYSHORE RD</v>
      </c>
      <c r="C7106" s="3"/>
      <c r="D7106" s="3"/>
      <c r="E7106" s="3"/>
      <c r="F7106" s="3"/>
      <c r="G7106" s="3"/>
      <c r="H7106" s="3"/>
    </row>
    <row r="7107">
      <c r="A7107" s="2">
        <f>IFERROR(__xludf.DUMMYFUNCTION("""COMPUTED_VALUE"""),90108.0)</f>
        <v>90108</v>
      </c>
      <c r="B7107" s="3" t="str">
        <f>IFERROR(__xludf.DUMMYFUNCTION("""COMPUTED_VALUE"""),"4 BAYSHORE RD")</f>
        <v>4 BAYSHORE RD</v>
      </c>
      <c r="C7107" s="3"/>
      <c r="D7107" s="3"/>
      <c r="E7107" s="3"/>
      <c r="F7107" s="3"/>
      <c r="G7107" s="3"/>
      <c r="H7107" s="3"/>
    </row>
    <row r="7108">
      <c r="A7108" s="2">
        <f>IFERROR(__xludf.DUMMYFUNCTION("""COMPUTED_VALUE"""),90109.0)</f>
        <v>90109</v>
      </c>
      <c r="B7108" s="3" t="str">
        <f>IFERROR(__xludf.DUMMYFUNCTION("""COMPUTED_VALUE"""),"6 BAYSHORE RD")</f>
        <v>6 BAYSHORE RD</v>
      </c>
      <c r="C7108" s="3"/>
      <c r="D7108" s="3"/>
      <c r="E7108" s="3" t="str">
        <f>IFERROR(__xludf.DUMMYFUNCTION("""COMPUTED_VALUE"""),"larry panadis")</f>
        <v>larry panadis</v>
      </c>
      <c r="F7108" s="3" t="str">
        <f>IFERROR(__xludf.DUMMYFUNCTION("""COMPUTED_VALUE"""),"larryepanadis@gmail.com")</f>
        <v>larryepanadis@gmail.com</v>
      </c>
      <c r="G7108" s="3">
        <f>IFERROR(__xludf.DUMMYFUNCTION("""COMPUTED_VALUE"""),4.165435448E9)</f>
        <v>4165435448</v>
      </c>
      <c r="H7108" s="3"/>
    </row>
    <row r="7109">
      <c r="A7109" s="2">
        <f>IFERROR(__xludf.DUMMYFUNCTION("""COMPUTED_VALUE"""),90110.0)</f>
        <v>90110</v>
      </c>
      <c r="B7109" s="3" t="str">
        <f>IFERROR(__xludf.DUMMYFUNCTION("""COMPUTED_VALUE"""),"8 BAYSHORE RD")</f>
        <v>8 BAYSHORE RD</v>
      </c>
      <c r="C7109" s="3" t="str">
        <f>IFERROR(__xludf.DUMMYFUNCTION("""COMPUTED_VALUE"""),"BRIGHTON")</f>
        <v>BRIGHTON</v>
      </c>
      <c r="D7109" s="3" t="str">
        <f>IFERROR(__xludf.DUMMYFUNCTION("""COMPUTED_VALUE"""),"K0K 1H0")</f>
        <v>K0K 1H0</v>
      </c>
      <c r="E7109" s="3" t="str">
        <f>IFERROR(__xludf.DUMMYFUNCTION("""COMPUTED_VALUE"""),"STEVE CHOKLY")</f>
        <v>STEVE CHOKLY</v>
      </c>
      <c r="F7109" s="3" t="str">
        <f>IFERROR(__xludf.DUMMYFUNCTION("""COMPUTED_VALUE"""),"steve.chokly@icloud.com")</f>
        <v>steve.chokly@icloud.com</v>
      </c>
      <c r="G7109" s="3"/>
      <c r="H7109" s="3"/>
    </row>
    <row r="7110">
      <c r="A7110" s="2">
        <f>IFERROR(__xludf.DUMMYFUNCTION("""COMPUTED_VALUE"""),90111.0)</f>
        <v>90111</v>
      </c>
      <c r="B7110" s="3" t="str">
        <f>IFERROR(__xludf.DUMMYFUNCTION("""COMPUTED_VALUE"""),"10 BAYSHORE RD")</f>
        <v>10 BAYSHORE RD</v>
      </c>
      <c r="C7110" s="3"/>
      <c r="D7110" s="3"/>
      <c r="E7110" s="3"/>
      <c r="F7110" s="3"/>
      <c r="G7110" s="3"/>
      <c r="H7110" s="3"/>
    </row>
    <row r="7111">
      <c r="A7111" s="2">
        <f>IFERROR(__xludf.DUMMYFUNCTION("""COMPUTED_VALUE"""),90112.0)</f>
        <v>90112</v>
      </c>
      <c r="B7111" s="3" t="str">
        <f>IFERROR(__xludf.DUMMYFUNCTION("""COMPUTED_VALUE"""),"12 BAYSHORE RD")</f>
        <v>12 BAYSHORE RD</v>
      </c>
      <c r="C7111" s="3"/>
      <c r="D7111" s="3"/>
      <c r="E7111" s="3" t="str">
        <f>IFERROR(__xludf.DUMMYFUNCTION("""COMPUTED_VALUE"""),"michael shaw ")</f>
        <v>michael shaw </v>
      </c>
      <c r="F7111" s="3" t="str">
        <f>IFERROR(__xludf.DUMMYFUNCTION("""COMPUTED_VALUE"""),"mike.ja.shaw@gmail.com")</f>
        <v>mike.ja.shaw@gmail.com</v>
      </c>
      <c r="G7111" s="3">
        <f>IFERROR(__xludf.DUMMYFUNCTION("""COMPUTED_VALUE"""),9.05409287E9)</f>
        <v>9054092870</v>
      </c>
      <c r="H7111" s="3"/>
    </row>
    <row r="7112">
      <c r="A7112" s="2">
        <f>IFERROR(__xludf.DUMMYFUNCTION("""COMPUTED_VALUE"""),90113.0)</f>
        <v>90113</v>
      </c>
      <c r="B7112" s="3" t="str">
        <f>IFERROR(__xludf.DUMMYFUNCTION("""COMPUTED_VALUE"""),"14 BAYSHORE RD")</f>
        <v>14 BAYSHORE RD</v>
      </c>
      <c r="C7112" s="3"/>
      <c r="D7112" s="3"/>
      <c r="E7112" s="3"/>
      <c r="F7112" s="3"/>
      <c r="G7112" s="3"/>
      <c r="H7112" s="3"/>
    </row>
    <row r="7113">
      <c r="A7113" s="2">
        <f>IFERROR(__xludf.DUMMYFUNCTION("""COMPUTED_VALUE"""),90114.0)</f>
        <v>90114</v>
      </c>
      <c r="B7113" s="3" t="str">
        <f>IFERROR(__xludf.DUMMYFUNCTION("""COMPUTED_VALUE"""),"16 BAYSHORE RD")</f>
        <v>16 BAYSHORE RD</v>
      </c>
      <c r="C7113" s="3"/>
      <c r="D7113" s="3"/>
      <c r="E7113" s="3"/>
      <c r="F7113" s="3"/>
      <c r="G7113" s="3"/>
      <c r="H7113" s="3"/>
    </row>
    <row r="7114">
      <c r="A7114" s="2">
        <f>IFERROR(__xludf.DUMMYFUNCTION("""COMPUTED_VALUE"""),90115.0)</f>
        <v>90115</v>
      </c>
      <c r="B7114" s="3" t="str">
        <f>IFERROR(__xludf.DUMMYFUNCTION("""COMPUTED_VALUE"""),"18 BAYSHORE RD")</f>
        <v>18 BAYSHORE RD</v>
      </c>
      <c r="C7114" s="3"/>
      <c r="D7114" s="3"/>
      <c r="E7114" s="3" t="str">
        <f>IFERROR(__xludf.DUMMYFUNCTION("""COMPUTED_VALUE"""),"rit green")</f>
        <v>rit green</v>
      </c>
      <c r="F7114" s="3" t="str">
        <f>IFERROR(__xludf.DUMMYFUNCTION("""COMPUTED_VALUE"""),"rgreen@uwo.ca")</f>
        <v>rgreen@uwo.ca</v>
      </c>
      <c r="G7114" s="3">
        <f>IFERROR(__xludf.DUMMYFUNCTION("""COMPUTED_VALUE"""),6.132430942E9)</f>
        <v>6132430942</v>
      </c>
      <c r="H7114" s="3">
        <f>IFERROR(__xludf.DUMMYFUNCTION("""COMPUTED_VALUE"""),6.139705543E9)</f>
        <v>6139705543</v>
      </c>
    </row>
    <row r="7115">
      <c r="A7115" s="2">
        <f>IFERROR(__xludf.DUMMYFUNCTION("""COMPUTED_VALUE"""),90116.0)</f>
        <v>90116</v>
      </c>
      <c r="B7115" s="3" t="str">
        <f>IFERROR(__xludf.DUMMYFUNCTION("""COMPUTED_VALUE"""),"20 BAYSHORE RD")</f>
        <v>20 BAYSHORE RD</v>
      </c>
      <c r="C7115" s="3"/>
      <c r="D7115" s="3"/>
      <c r="E7115" s="3"/>
      <c r="F7115" s="3"/>
      <c r="G7115" s="3"/>
      <c r="H7115" s="3"/>
    </row>
    <row r="7116">
      <c r="A7116" s="2">
        <f>IFERROR(__xludf.DUMMYFUNCTION("""COMPUTED_VALUE"""),90117.0)</f>
        <v>90117</v>
      </c>
      <c r="B7116" s="3" t="str">
        <f>IFERROR(__xludf.DUMMYFUNCTION("""COMPUTED_VALUE"""),"22 BAYSHORE RD")</f>
        <v>22 BAYSHORE RD</v>
      </c>
      <c r="C7116" s="3"/>
      <c r="D7116" s="3"/>
      <c r="E7116" s="3" t="str">
        <f>IFERROR(__xludf.DUMMYFUNCTION("""COMPUTED_VALUE"""),"richard clark ")</f>
        <v>richard clark </v>
      </c>
      <c r="F7116" s="3" t="str">
        <f>IFERROR(__xludf.DUMMYFUNCTION("""COMPUTED_VALUE"""),"fj_bushwacker@yahoo.com")</f>
        <v>fj_bushwacker@yahoo.com</v>
      </c>
      <c r="G7116" s="3">
        <f>IFERROR(__xludf.DUMMYFUNCTION("""COMPUTED_VALUE"""),6.139222683E9)</f>
        <v>6139222683</v>
      </c>
      <c r="H7116" s="3"/>
    </row>
    <row r="7117">
      <c r="A7117" s="2">
        <f>IFERROR(__xludf.DUMMYFUNCTION("""COMPUTED_VALUE"""),90118.0)</f>
        <v>90118</v>
      </c>
      <c r="B7117" s="3" t="str">
        <f>IFERROR(__xludf.DUMMYFUNCTION("""COMPUTED_VALUE"""),"24 BAYSHORE RD")</f>
        <v>24 BAYSHORE RD</v>
      </c>
      <c r="C7117" s="3"/>
      <c r="D7117" s="3"/>
      <c r="E7117" s="3"/>
      <c r="F7117" s="3"/>
      <c r="G7117" s="3"/>
      <c r="H7117" s="3"/>
    </row>
    <row r="7118">
      <c r="A7118" s="2">
        <f>IFERROR(__xludf.DUMMYFUNCTION("""COMPUTED_VALUE"""),90119.0)</f>
        <v>90119</v>
      </c>
      <c r="B7118" s="3" t="str">
        <f>IFERROR(__xludf.DUMMYFUNCTION("""COMPUTED_VALUE"""),"26 BAYSHORE RD")</f>
        <v>26 BAYSHORE RD</v>
      </c>
      <c r="C7118" s="3"/>
      <c r="D7118" s="3"/>
      <c r="E7118" s="3"/>
      <c r="F7118" s="3"/>
      <c r="G7118" s="3"/>
      <c r="H7118" s="3"/>
    </row>
    <row r="7119">
      <c r="A7119" s="2">
        <f>IFERROR(__xludf.DUMMYFUNCTION("""COMPUTED_VALUE"""),90120.0)</f>
        <v>90120</v>
      </c>
      <c r="B7119" s="3" t="str">
        <f>IFERROR(__xludf.DUMMYFUNCTION("""COMPUTED_VALUE"""),"28 BAYSHORE RD")</f>
        <v>28 BAYSHORE RD</v>
      </c>
      <c r="C7119" s="3"/>
      <c r="D7119" s="3"/>
      <c r="E7119" s="3" t="str">
        <f>IFERROR(__xludf.DUMMYFUNCTION("""COMPUTED_VALUE"""),"john mullin")</f>
        <v>john mullin</v>
      </c>
      <c r="F7119" s="3"/>
      <c r="G7119" s="3">
        <f>IFERROR(__xludf.DUMMYFUNCTION("""COMPUTED_VALUE"""),9.054290657E9)</f>
        <v>9054290657</v>
      </c>
      <c r="H7119" s="3"/>
    </row>
    <row r="7120">
      <c r="A7120" s="2">
        <f>IFERROR(__xludf.DUMMYFUNCTION("""COMPUTED_VALUE"""),90121.0)</f>
        <v>90121</v>
      </c>
      <c r="B7120" s="3" t="str">
        <f>IFERROR(__xludf.DUMMYFUNCTION("""COMPUTED_VALUE"""),"30 BAYSHORE RD")</f>
        <v>30 BAYSHORE RD</v>
      </c>
      <c r="C7120" s="3"/>
      <c r="D7120" s="3"/>
      <c r="E7120" s="3" t="str">
        <f>IFERROR(__xludf.DUMMYFUNCTION("""COMPUTED_VALUE"""),"d.bunn")</f>
        <v>d.bunn</v>
      </c>
      <c r="F7120" s="3" t="str">
        <f>IFERROR(__xludf.DUMMYFUNCTION("""COMPUTED_VALUE"""),"darlene.bunn162@gmail.com")</f>
        <v>darlene.bunn162@gmail.com</v>
      </c>
      <c r="G7120" s="3">
        <f>IFERROR(__xludf.DUMMYFUNCTION("""COMPUTED_VALUE"""),6.476429121E9)</f>
        <v>6476429121</v>
      </c>
      <c r="H7120" s="3"/>
    </row>
    <row r="7121">
      <c r="A7121" s="2">
        <f>IFERROR(__xludf.DUMMYFUNCTION("""COMPUTED_VALUE"""),90122.0)</f>
        <v>90122</v>
      </c>
      <c r="B7121" s="3" t="str">
        <f>IFERROR(__xludf.DUMMYFUNCTION("""COMPUTED_VALUE"""),"32 BAYSHORE RD")</f>
        <v>32 BAYSHORE RD</v>
      </c>
      <c r="C7121" s="3"/>
      <c r="D7121" s="3"/>
      <c r="E7121" s="3"/>
      <c r="F7121" s="3"/>
      <c r="G7121" s="3"/>
      <c r="H7121" s="3"/>
    </row>
    <row r="7122">
      <c r="A7122" s="2">
        <f>IFERROR(__xludf.DUMMYFUNCTION("""COMPUTED_VALUE"""),90123.0)</f>
        <v>90123</v>
      </c>
      <c r="B7122" s="3" t="str">
        <f>IFERROR(__xludf.DUMMYFUNCTION("""COMPUTED_VALUE"""),"34 BAYSHORE RD")</f>
        <v>34 BAYSHORE RD</v>
      </c>
      <c r="C7122" s="3"/>
      <c r="D7122" s="3"/>
      <c r="E7122" s="3" t="str">
        <f>IFERROR(__xludf.DUMMYFUNCTION("""COMPUTED_VALUE"""),"doug shrigley")</f>
        <v>doug shrigley</v>
      </c>
      <c r="F7122" s="3" t="str">
        <f>IFERROR(__xludf.DUMMYFUNCTION("""COMPUTED_VALUE"""),"doug@drshrigley.com")</f>
        <v>doug@drshrigley.com</v>
      </c>
      <c r="G7122" s="3">
        <f>IFERROR(__xludf.DUMMYFUNCTION("""COMPUTED_VALUE"""),4.16458139E9)</f>
        <v>4164581390</v>
      </c>
      <c r="H7122" s="3"/>
    </row>
    <row r="7123">
      <c r="A7123" s="2">
        <f>IFERROR(__xludf.DUMMYFUNCTION("""COMPUTED_VALUE"""),90124.0)</f>
        <v>90124</v>
      </c>
      <c r="B7123" s="3" t="str">
        <f>IFERROR(__xludf.DUMMYFUNCTION("""COMPUTED_VALUE"""),"36 BAYSHORE RD")</f>
        <v>36 BAYSHORE RD</v>
      </c>
      <c r="C7123" s="3"/>
      <c r="D7123" s="3"/>
      <c r="E7123" s="3"/>
      <c r="F7123" s="3"/>
      <c r="G7123" s="3"/>
      <c r="H7123" s="3"/>
    </row>
    <row r="7124">
      <c r="A7124" s="2">
        <f>IFERROR(__xludf.DUMMYFUNCTION("""COMPUTED_VALUE"""),90125.0)</f>
        <v>90125</v>
      </c>
      <c r="B7124" s="3" t="str">
        <f>IFERROR(__xludf.DUMMYFUNCTION("""COMPUTED_VALUE"""),"38 BAYSHORE RD")</f>
        <v>38 BAYSHORE RD</v>
      </c>
      <c r="C7124" s="3"/>
      <c r="D7124" s="3"/>
      <c r="E7124" s="3" t="str">
        <f>IFERROR(__xludf.DUMMYFUNCTION("""COMPUTED_VALUE"""),"ron rupke")</f>
        <v>ron rupke</v>
      </c>
      <c r="F7124" s="3" t="str">
        <f>IFERROR(__xludf.DUMMYFUNCTION("""COMPUTED_VALUE"""),"rupke@outlook.com")</f>
        <v>rupke@outlook.com</v>
      </c>
      <c r="G7124" s="3">
        <f>IFERROR(__xludf.DUMMYFUNCTION("""COMPUTED_VALUE"""),9.053492336E9)</f>
        <v>9053492336</v>
      </c>
      <c r="H7124" s="3">
        <f>IFERROR(__xludf.DUMMYFUNCTION("""COMPUTED_VALUE"""),6.137439386E9)</f>
        <v>6137439386</v>
      </c>
    </row>
    <row r="7125">
      <c r="A7125" s="2">
        <f>IFERROR(__xludf.DUMMYFUNCTION("""COMPUTED_VALUE"""),90126.0)</f>
        <v>90126</v>
      </c>
      <c r="B7125" s="3" t="str">
        <f>IFERROR(__xludf.DUMMYFUNCTION("""COMPUTED_VALUE"""),"40 BAYSHORE RD")</f>
        <v>40 BAYSHORE RD</v>
      </c>
      <c r="C7125" s="3"/>
      <c r="D7125" s="3"/>
      <c r="E7125" s="3"/>
      <c r="F7125" s="3"/>
      <c r="G7125" s="3"/>
      <c r="H7125" s="3"/>
    </row>
    <row r="7126">
      <c r="A7126" s="2">
        <f>IFERROR(__xludf.DUMMYFUNCTION("""COMPUTED_VALUE"""),90127.0)</f>
        <v>90127</v>
      </c>
      <c r="B7126" s="3" t="str">
        <f>IFERROR(__xludf.DUMMYFUNCTION("""COMPUTED_VALUE"""),"42 BAYSHORE RD")</f>
        <v>42 BAYSHORE RD</v>
      </c>
      <c r="C7126" s="3"/>
      <c r="D7126" s="3"/>
      <c r="E7126" s="3"/>
      <c r="F7126" s="3"/>
      <c r="G7126" s="3"/>
      <c r="H7126" s="3"/>
    </row>
    <row r="7127">
      <c r="A7127" s="2">
        <f>IFERROR(__xludf.DUMMYFUNCTION("""COMPUTED_VALUE"""),90236.0)</f>
        <v>90236</v>
      </c>
      <c r="B7127" s="3" t="str">
        <f>IFERROR(__xludf.DUMMYFUNCTION("""COMPUTED_VALUE"""),"101 BEACH DR  ")</f>
        <v>101 BEACH DR  </v>
      </c>
      <c r="C7127" s="3" t="str">
        <f>IFERROR(__xludf.DUMMYFUNCTION("""COMPUTED_VALUE"""),"BRIGHTON")</f>
        <v>BRIGHTON</v>
      </c>
      <c r="D7127" s="3" t="str">
        <f>IFERROR(__xludf.DUMMYFUNCTION("""COMPUTED_VALUE"""),"K0K 1H0")</f>
        <v>K0K 1H0</v>
      </c>
      <c r="E7127" s="3"/>
      <c r="F7127" s="3"/>
      <c r="G7127" s="3"/>
      <c r="H7127" s="3"/>
    </row>
    <row r="7128">
      <c r="A7128" s="2">
        <f>IFERROR(__xludf.DUMMYFUNCTION("""COMPUTED_VALUE"""),90238.0)</f>
        <v>90238</v>
      </c>
      <c r="B7128" s="3" t="str">
        <f>IFERROR(__xludf.DUMMYFUNCTION("""COMPUTED_VALUE"""),"113 BEACH DR  ")</f>
        <v>113 BEACH DR  </v>
      </c>
      <c r="C7128" s="3" t="str">
        <f>IFERROR(__xludf.DUMMYFUNCTION("""COMPUTED_VALUE"""),"BRIGHTON")</f>
        <v>BRIGHTON</v>
      </c>
      <c r="D7128" s="3" t="str">
        <f>IFERROR(__xludf.DUMMYFUNCTION("""COMPUTED_VALUE"""),"K0K 1H0")</f>
        <v>K0K 1H0</v>
      </c>
      <c r="E7128" s="3"/>
      <c r="F7128" s="3"/>
      <c r="G7128" s="3"/>
      <c r="H7128" s="3"/>
    </row>
    <row r="7129">
      <c r="A7129" s="2">
        <f>IFERROR(__xludf.DUMMYFUNCTION("""COMPUTED_VALUE"""),90239.0)</f>
        <v>90239</v>
      </c>
      <c r="B7129" s="3" t="str">
        <f>IFERROR(__xludf.DUMMYFUNCTION("""COMPUTED_VALUE"""),"117 BEACH DR  ")</f>
        <v>117 BEACH DR  </v>
      </c>
      <c r="C7129" s="3" t="str">
        <f>IFERROR(__xludf.DUMMYFUNCTION("""COMPUTED_VALUE"""),"BRIGHTON")</f>
        <v>BRIGHTON</v>
      </c>
      <c r="D7129" s="3" t="str">
        <f>IFERROR(__xludf.DUMMYFUNCTION("""COMPUTED_VALUE"""),"K0K 1H0")</f>
        <v>K0K 1H0</v>
      </c>
      <c r="E7129" s="3"/>
      <c r="F7129" s="3"/>
      <c r="G7129" s="3"/>
      <c r="H7129" s="3"/>
    </row>
    <row r="7130">
      <c r="A7130" s="2">
        <f>IFERROR(__xludf.DUMMYFUNCTION("""COMPUTED_VALUE"""),90242.0)</f>
        <v>90242</v>
      </c>
      <c r="B7130" s="3" t="str">
        <f>IFERROR(__xludf.DUMMYFUNCTION("""COMPUTED_VALUE"""),"135 BEACH DR  ")</f>
        <v>135 BEACH DR  </v>
      </c>
      <c r="C7130" s="3" t="str">
        <f>IFERROR(__xludf.DUMMYFUNCTION("""COMPUTED_VALUE"""),"BRIGHTON")</f>
        <v>BRIGHTON</v>
      </c>
      <c r="D7130" s="3" t="str">
        <f>IFERROR(__xludf.DUMMYFUNCTION("""COMPUTED_VALUE"""),"K0K 1H0")</f>
        <v>K0K 1H0</v>
      </c>
      <c r="E7130" s="3" t="str">
        <f>IFERROR(__xludf.DUMMYFUNCTION("""COMPUTED_VALUE"""),"Albert and Diane Cleary")</f>
        <v>Albert and Diane Cleary</v>
      </c>
      <c r="F7130" s="3" t="str">
        <f>IFERROR(__xludf.DUMMYFUNCTION("""COMPUTED_VALUE"""),"4162707878")</f>
        <v>4162707878</v>
      </c>
      <c r="G7130" s="3">
        <f>IFERROR(__xludf.DUMMYFUNCTION("""COMPUTED_VALUE"""),4.162515776E9)</f>
        <v>4162515776</v>
      </c>
      <c r="H7130" s="3"/>
    </row>
    <row r="7131">
      <c r="A7131" s="2">
        <f>IFERROR(__xludf.DUMMYFUNCTION("""COMPUTED_VALUE"""),90243.0)</f>
        <v>90243</v>
      </c>
      <c r="B7131" s="3" t="str">
        <f>IFERROR(__xludf.DUMMYFUNCTION("""COMPUTED_VALUE"""),"141 BEACH DR  ")</f>
        <v>141 BEACH DR  </v>
      </c>
      <c r="C7131" s="3" t="str">
        <f>IFERROR(__xludf.DUMMYFUNCTION("""COMPUTED_VALUE"""),"BRIGHTON")</f>
        <v>BRIGHTON</v>
      </c>
      <c r="D7131" s="3" t="str">
        <f>IFERROR(__xludf.DUMMYFUNCTION("""COMPUTED_VALUE"""),"K0K 1H0")</f>
        <v>K0K 1H0</v>
      </c>
      <c r="E7131" s="3" t="str">
        <f>IFERROR(__xludf.DUMMYFUNCTION("""COMPUTED_VALUE"""),"KIN MAN KWAN, YIN SHEN KWAN")</f>
        <v>KIN MAN KWAN, YIN SHEN KWAN</v>
      </c>
      <c r="F7131" s="3" t="str">
        <f>IFERROR(__xludf.DUMMYFUNCTION("""COMPUTED_VALUE"""),"kent2882003@yahoo.ca")</f>
        <v>kent2882003@yahoo.ca</v>
      </c>
      <c r="G7131" s="3"/>
      <c r="H7131" s="3"/>
    </row>
    <row r="7132">
      <c r="A7132" s="2">
        <f>IFERROR(__xludf.DUMMYFUNCTION("""COMPUTED_VALUE"""),90244.0)</f>
        <v>90244</v>
      </c>
      <c r="B7132" s="3" t="str">
        <f>IFERROR(__xludf.DUMMYFUNCTION("""COMPUTED_VALUE"""),"143 BEACH DR  ")</f>
        <v>143 BEACH DR  </v>
      </c>
      <c r="C7132" s="3" t="str">
        <f>IFERROR(__xludf.DUMMYFUNCTION("""COMPUTED_VALUE"""),"BRIGHTON")</f>
        <v>BRIGHTON</v>
      </c>
      <c r="D7132" s="3" t="str">
        <f>IFERROR(__xludf.DUMMYFUNCTION("""COMPUTED_VALUE"""),"K0K 1H0")</f>
        <v>K0K 1H0</v>
      </c>
      <c r="E7132" s="3" t="str">
        <f>IFERROR(__xludf.DUMMYFUNCTION("""COMPUTED_VALUE"""),"LU ZHANG")</f>
        <v>LU ZHANG</v>
      </c>
      <c r="F7132" s="3" t="str">
        <f>IFERROR(__xludf.DUMMYFUNCTION("""COMPUTED_VALUE"""),"luart143@gmail.com")</f>
        <v>luart143@gmail.com</v>
      </c>
      <c r="G7132" s="3"/>
      <c r="H7132" s="3"/>
    </row>
    <row r="7133">
      <c r="A7133" s="2">
        <f>IFERROR(__xludf.DUMMYFUNCTION("""COMPUTED_VALUE"""),90245.0)</f>
        <v>90245</v>
      </c>
      <c r="B7133" s="3" t="str">
        <f>IFERROR(__xludf.DUMMYFUNCTION("""COMPUTED_VALUE"""),"153 BEACH DR  UNIT 1")</f>
        <v>153 BEACH DR  UNIT 1</v>
      </c>
      <c r="C7133" s="3" t="str">
        <f>IFERROR(__xludf.DUMMYFUNCTION("""COMPUTED_VALUE"""),"BRIGHTON")</f>
        <v>BRIGHTON</v>
      </c>
      <c r="D7133" s="3" t="str">
        <f>IFERROR(__xludf.DUMMYFUNCTION("""COMPUTED_VALUE"""),"K0K 1H0")</f>
        <v>K0K 1H0</v>
      </c>
      <c r="E7133" s="3" t="str">
        <f>IFERROR(__xludf.DUMMYFUNCTION("""COMPUTED_VALUE"""),"sandra knautz")</f>
        <v>sandra knautz</v>
      </c>
      <c r="F7133" s="3" t="str">
        <f>IFERROR(__xludf.DUMMYFUNCTION("""COMPUTED_VALUE"""),"sandra.knautz@cae.com")</f>
        <v>sandra.knautz@cae.com</v>
      </c>
      <c r="G7133" s="3">
        <f>IFERROR(__xludf.DUMMYFUNCTION("""COMPUTED_VALUE"""),6.132429535E9)</f>
        <v>6132429535</v>
      </c>
      <c r="H7133" s="3"/>
    </row>
    <row r="7134">
      <c r="A7134" s="2">
        <f>IFERROR(__xludf.DUMMYFUNCTION("""COMPUTED_VALUE"""),90246.0)</f>
        <v>90246</v>
      </c>
      <c r="B7134" s="3" t="str">
        <f>IFERROR(__xludf.DUMMYFUNCTION("""COMPUTED_VALUE"""),"153 BEACH DR  ")</f>
        <v>153 BEACH DR  </v>
      </c>
      <c r="C7134" s="3" t="str">
        <f>IFERROR(__xludf.DUMMYFUNCTION("""COMPUTED_VALUE"""),"BRIGHTON")</f>
        <v>BRIGHTON</v>
      </c>
      <c r="D7134" s="3" t="str">
        <f>IFERROR(__xludf.DUMMYFUNCTION("""COMPUTED_VALUE"""),"K0K 1H0")</f>
        <v>K0K 1H0</v>
      </c>
      <c r="E7134" s="3" t="str">
        <f>IFERROR(__xludf.DUMMYFUNCTION("""COMPUTED_VALUE"""),"SANDRA KNAUTZ")</f>
        <v>SANDRA KNAUTZ</v>
      </c>
      <c r="F7134" s="3" t="str">
        <f>IFERROR(__xludf.DUMMYFUNCTION("""COMPUTED_VALUE"""),"sandra.knautz@cae.com")</f>
        <v>sandra.knautz@cae.com</v>
      </c>
      <c r="G7134" s="3"/>
      <c r="H7134" s="3"/>
    </row>
    <row r="7135">
      <c r="A7135" s="2">
        <f>IFERROR(__xludf.DUMMYFUNCTION("""COMPUTED_VALUE"""),90247.0)</f>
        <v>90247</v>
      </c>
      <c r="B7135" s="3" t="str">
        <f>IFERROR(__xludf.DUMMYFUNCTION("""COMPUTED_VALUE"""),"172 BEACH DR  ")</f>
        <v>172 BEACH DR  </v>
      </c>
      <c r="C7135" s="3" t="str">
        <f>IFERROR(__xludf.DUMMYFUNCTION("""COMPUTED_VALUE"""),"BRIGHTON")</f>
        <v>BRIGHTON</v>
      </c>
      <c r="D7135" s="3" t="str">
        <f>IFERROR(__xludf.DUMMYFUNCTION("""COMPUTED_VALUE"""),"K0K 1H0")</f>
        <v>K0K 1H0</v>
      </c>
      <c r="E7135" s="3" t="str">
        <f>IFERROR(__xludf.DUMMYFUNCTION("""COMPUTED_VALUE"""),"Allan Fraser")</f>
        <v>Allan Fraser</v>
      </c>
      <c r="F7135" s="3" t="str">
        <f>IFERROR(__xludf.DUMMYFUNCTION("""COMPUTED_VALUE"""),"allan.fraser44@gmail.com")</f>
        <v>allan.fraser44@gmail.com</v>
      </c>
      <c r="G7135" s="3">
        <f>IFERROR(__xludf.DUMMYFUNCTION("""COMPUTED_VALUE"""),6.134032158E9)</f>
        <v>6134032158</v>
      </c>
      <c r="H7135" s="3"/>
    </row>
    <row r="7136">
      <c r="A7136" s="2">
        <f>IFERROR(__xludf.DUMMYFUNCTION("""COMPUTED_VALUE"""),90248.0)</f>
        <v>90248</v>
      </c>
      <c r="B7136" s="3" t="str">
        <f>IFERROR(__xludf.DUMMYFUNCTION("""COMPUTED_VALUE"""),"191 BEACH DR  ")</f>
        <v>191 BEACH DR  </v>
      </c>
      <c r="C7136" s="3" t="str">
        <f>IFERROR(__xludf.DUMMYFUNCTION("""COMPUTED_VALUE"""),"BRIGHTON")</f>
        <v>BRIGHTON</v>
      </c>
      <c r="D7136" s="3" t="str">
        <f>IFERROR(__xludf.DUMMYFUNCTION("""COMPUTED_VALUE"""),"K0K 1H0")</f>
        <v>K0K 1H0</v>
      </c>
      <c r="E7136" s="3" t="str">
        <f>IFERROR(__xludf.DUMMYFUNCTION("""COMPUTED_VALUE"""),"john scott ")</f>
        <v>john scott </v>
      </c>
      <c r="F7136" s="3" t="str">
        <f>IFERROR(__xludf.DUMMYFUNCTION("""COMPUTED_VALUE"""),"canadianstonemason@gmail.com")</f>
        <v>canadianstonemason@gmail.com</v>
      </c>
      <c r="G7136" s="3">
        <f>IFERROR(__xludf.DUMMYFUNCTION("""COMPUTED_VALUE"""),6.134642315E9)</f>
        <v>6134642315</v>
      </c>
      <c r="H7136" s="3"/>
    </row>
    <row r="7137">
      <c r="A7137" s="2">
        <f>IFERROR(__xludf.DUMMYFUNCTION("""COMPUTED_VALUE"""),90250.0)</f>
        <v>90250</v>
      </c>
      <c r="B7137" s="3" t="str">
        <f>IFERROR(__xludf.DUMMYFUNCTION("""COMPUTED_VALUE"""),"322 BEACH DR  ")</f>
        <v>322 BEACH DR  </v>
      </c>
      <c r="C7137" s="3" t="str">
        <f>IFERROR(__xludf.DUMMYFUNCTION("""COMPUTED_VALUE"""),"BRIGHTON")</f>
        <v>BRIGHTON</v>
      </c>
      <c r="D7137" s="3" t="str">
        <f>IFERROR(__xludf.DUMMYFUNCTION("""COMPUTED_VALUE"""),"K0K 1H0")</f>
        <v>K0K 1H0</v>
      </c>
      <c r="E7137" s="3" t="str">
        <f>IFERROR(__xludf.DUMMYFUNCTION("""COMPUTED_VALUE"""),"m. richard turner")</f>
        <v>m. richard turner</v>
      </c>
      <c r="F7137" s="3" t="str">
        <f>IFERROR(__xludf.DUMMYFUNCTION("""COMPUTED_VALUE"""),"bettsbird@yahoo.com")</f>
        <v>bettsbird@yahoo.com</v>
      </c>
      <c r="G7137" s="3">
        <f>IFERROR(__xludf.DUMMYFUNCTION("""COMPUTED_VALUE"""),6.13847226E8)</f>
        <v>613847226</v>
      </c>
      <c r="H7137" s="3">
        <f>IFERROR(__xludf.DUMMYFUNCTION("""COMPUTED_VALUE"""),6.138470865E9)</f>
        <v>6138470865</v>
      </c>
    </row>
    <row r="7138">
      <c r="A7138" s="2">
        <f>IFERROR(__xludf.DUMMYFUNCTION("""COMPUTED_VALUE"""),90258.0)</f>
        <v>90258</v>
      </c>
      <c r="B7138" s="3" t="str">
        <f>IFERROR(__xludf.DUMMYFUNCTION("""COMPUTED_VALUE"""),"330 BEACH RD  ")</f>
        <v>330 BEACH RD  </v>
      </c>
      <c r="C7138" s="3" t="str">
        <f>IFERROR(__xludf.DUMMYFUNCTION("""COMPUTED_VALUE"""),"BRIGHTON")</f>
        <v>BRIGHTON</v>
      </c>
      <c r="D7138" s="3" t="str">
        <f>IFERROR(__xludf.DUMMYFUNCTION("""COMPUTED_VALUE"""),"K0K 1H0")</f>
        <v>K0K 1H0</v>
      </c>
      <c r="E7138" s="3" t="str">
        <f>IFERROR(__xludf.DUMMYFUNCTION("""COMPUTED_VALUE"""),"Jason Nanner")</f>
        <v>Jason Nanner</v>
      </c>
      <c r="F7138" s="3" t="str">
        <f>IFERROR(__xludf.DUMMYFUNCTION("""COMPUTED_VALUE"""),"nanner.jason@gmail.com")</f>
        <v>nanner.jason@gmail.com</v>
      </c>
      <c r="G7138" s="3">
        <f>IFERROR(__xludf.DUMMYFUNCTION("""COMPUTED_VALUE"""),4.169883439E9)</f>
        <v>4169883439</v>
      </c>
      <c r="H7138" s="3"/>
    </row>
    <row r="7139">
      <c r="A7139" s="2">
        <f>IFERROR(__xludf.DUMMYFUNCTION("""COMPUTED_VALUE"""),90251.0)</f>
        <v>90251</v>
      </c>
      <c r="B7139" s="3" t="str">
        <f>IFERROR(__xludf.DUMMYFUNCTION("""COMPUTED_VALUE"""),"390 BEACH DR  ")</f>
        <v>390 BEACH DR  </v>
      </c>
      <c r="C7139" s="3" t="str">
        <f>IFERROR(__xludf.DUMMYFUNCTION("""COMPUTED_VALUE"""),"BRIGHTON")</f>
        <v>BRIGHTON</v>
      </c>
      <c r="D7139" s="3" t="str">
        <f>IFERROR(__xludf.DUMMYFUNCTION("""COMPUTED_VALUE"""),"K0K 1H0")</f>
        <v>K0K 1H0</v>
      </c>
      <c r="E7139" s="3" t="str">
        <f>IFERROR(__xludf.DUMMYFUNCTION("""COMPUTED_VALUE"""),"Cynthia Anthony")</f>
        <v>Cynthia Anthony</v>
      </c>
      <c r="F7139" s="3" t="str">
        <f>IFERROR(__xludf.DUMMYFUNCTION("""COMPUTED_VALUE"""),"4anthony@rogers.com")</f>
        <v>4anthony@rogers.com</v>
      </c>
      <c r="G7139" s="3">
        <f>IFERROR(__xludf.DUMMYFUNCTION("""COMPUTED_VALUE"""),6.474443533E9)</f>
        <v>6474443533</v>
      </c>
      <c r="H7139" s="3">
        <f>IFERROR(__xludf.DUMMYFUNCTION("""COMPUTED_VALUE"""),4.164640014E9)</f>
        <v>4164640014</v>
      </c>
    </row>
    <row r="7140">
      <c r="A7140" s="2">
        <f>IFERROR(__xludf.DUMMYFUNCTION("""COMPUTED_VALUE"""),90252.0)</f>
        <v>90252</v>
      </c>
      <c r="B7140" s="3" t="str">
        <f>IFERROR(__xludf.DUMMYFUNCTION("""COMPUTED_VALUE"""),"466 BEACH DR  ")</f>
        <v>466 BEACH DR  </v>
      </c>
      <c r="C7140" s="3" t="str">
        <f>IFERROR(__xludf.DUMMYFUNCTION("""COMPUTED_VALUE"""),"BRIGHTON")</f>
        <v>BRIGHTON</v>
      </c>
      <c r="D7140" s="3" t="str">
        <f>IFERROR(__xludf.DUMMYFUNCTION("""COMPUTED_VALUE"""),"K0K 1H0")</f>
        <v>K0K 1H0</v>
      </c>
      <c r="E7140" s="3" t="str">
        <f>IFERROR(__xludf.DUMMYFUNCTION("""COMPUTED_VALUE"""),"michelle hopkins")</f>
        <v>michelle hopkins</v>
      </c>
      <c r="F7140" s="3" t="str">
        <f>IFERROR(__xludf.DUMMYFUNCTION("""COMPUTED_VALUE"""),"michelle.hopgood@hotmail.com")</f>
        <v>michelle.hopgood@hotmail.com</v>
      </c>
      <c r="G7140" s="3">
        <f>IFERROR(__xludf.DUMMYFUNCTION("""COMPUTED_VALUE"""),9.05439771E9)</f>
        <v>9054397710</v>
      </c>
      <c r="H7140" s="3"/>
    </row>
    <row r="7141">
      <c r="A7141" s="2">
        <f>IFERROR(__xludf.DUMMYFUNCTION("""COMPUTED_VALUE"""),90253.0)</f>
        <v>90253</v>
      </c>
      <c r="B7141" s="3" t="str">
        <f>IFERROR(__xludf.DUMMYFUNCTION("""COMPUTED_VALUE"""),"480 BEACH DR  ")</f>
        <v>480 BEACH DR  </v>
      </c>
      <c r="C7141" s="3" t="str">
        <f>IFERROR(__xludf.DUMMYFUNCTION("""COMPUTED_VALUE"""),"BRIGHTON")</f>
        <v>BRIGHTON</v>
      </c>
      <c r="D7141" s="3" t="str">
        <f>IFERROR(__xludf.DUMMYFUNCTION("""COMPUTED_VALUE"""),"K0K 1H0")</f>
        <v>K0K 1H0</v>
      </c>
      <c r="E7141" s="3" t="str">
        <f>IFERROR(__xludf.DUMMYFUNCTION("""COMPUTED_VALUE"""),"gerald reid")</f>
        <v>gerald reid</v>
      </c>
      <c r="F7141" s="3"/>
      <c r="G7141" s="3">
        <f>IFERROR(__xludf.DUMMYFUNCTION("""COMPUTED_VALUE"""),4.374736588E9)</f>
        <v>4374736588</v>
      </c>
      <c r="H7141" s="3"/>
    </row>
    <row r="7142">
      <c r="A7142" s="2">
        <f>IFERROR(__xludf.DUMMYFUNCTION("""COMPUTED_VALUE"""),90254.0)</f>
        <v>90254</v>
      </c>
      <c r="B7142" s="3" t="str">
        <f>IFERROR(__xludf.DUMMYFUNCTION("""COMPUTED_VALUE"""),"486 BEACH DR  ")</f>
        <v>486 BEACH DR  </v>
      </c>
      <c r="C7142" s="3" t="str">
        <f>IFERROR(__xludf.DUMMYFUNCTION("""COMPUTED_VALUE"""),"BRIGHTON")</f>
        <v>BRIGHTON</v>
      </c>
      <c r="D7142" s="3" t="str">
        <f>IFERROR(__xludf.DUMMYFUNCTION("""COMPUTED_VALUE"""),"K0K 1H0")</f>
        <v>K0K 1H0</v>
      </c>
      <c r="E7142" s="3" t="str">
        <f>IFERROR(__xludf.DUMMYFUNCTION("""COMPUTED_VALUE"""),"ryan drazilor")</f>
        <v>ryan drazilor</v>
      </c>
      <c r="F7142" s="3" t="str">
        <f>IFERROR(__xludf.DUMMYFUNCTION("""COMPUTED_VALUE"""),"drazvw@gmail.com")</f>
        <v>drazvw@gmail.com</v>
      </c>
      <c r="G7142" s="3">
        <f>IFERROR(__xludf.DUMMYFUNCTION("""COMPUTED_VALUE"""),9.054472991E9)</f>
        <v>9054472991</v>
      </c>
      <c r="H7142" s="3">
        <f>IFERROR(__xludf.DUMMYFUNCTION("""COMPUTED_VALUE"""),2.893562991E9)</f>
        <v>2893562991</v>
      </c>
    </row>
    <row r="7143">
      <c r="A7143" s="2">
        <f>IFERROR(__xludf.DUMMYFUNCTION("""COMPUTED_VALUE"""),90256.0)</f>
        <v>90256</v>
      </c>
      <c r="B7143" s="3" t="str">
        <f>IFERROR(__xludf.DUMMYFUNCTION("""COMPUTED_VALUE"""),"519 BEACH DR  ")</f>
        <v>519 BEACH DR  </v>
      </c>
      <c r="C7143" s="3" t="str">
        <f>IFERROR(__xludf.DUMMYFUNCTION("""COMPUTED_VALUE"""),"BRIGHTON")</f>
        <v>BRIGHTON</v>
      </c>
      <c r="D7143" s="3" t="str">
        <f>IFERROR(__xludf.DUMMYFUNCTION("""COMPUTED_VALUE"""),"K0K 1H0")</f>
        <v>K0K 1H0</v>
      </c>
      <c r="E7143" s="3"/>
      <c r="F7143" s="3"/>
      <c r="G7143" s="3"/>
      <c r="H7143" s="3"/>
    </row>
    <row r="7144">
      <c r="A7144" s="2">
        <f>IFERROR(__xludf.DUMMYFUNCTION("""COMPUTED_VALUE"""),90257.0)</f>
        <v>90257</v>
      </c>
      <c r="B7144" s="3" t="str">
        <f>IFERROR(__xludf.DUMMYFUNCTION("""COMPUTED_VALUE"""),"520 BEACH DR  ")</f>
        <v>520 BEACH DR  </v>
      </c>
      <c r="C7144" s="3" t="str">
        <f>IFERROR(__xludf.DUMMYFUNCTION("""COMPUTED_VALUE"""),"BRIGHTON")</f>
        <v>BRIGHTON</v>
      </c>
      <c r="D7144" s="3" t="str">
        <f>IFERROR(__xludf.DUMMYFUNCTION("""COMPUTED_VALUE"""),"K0K 1H0")</f>
        <v>K0K 1H0</v>
      </c>
      <c r="E7144" s="3" t="str">
        <f>IFERROR(__xludf.DUMMYFUNCTION("""COMPUTED_VALUE"""),"Fiona Wilson ")</f>
        <v>Fiona Wilson </v>
      </c>
      <c r="F7144" s="3" t="str">
        <f>IFERROR(__xludf.DUMMYFUNCTION("""COMPUTED_VALUE"""),"fiona.wilson0305@gmail.com")</f>
        <v>fiona.wilson0305@gmail.com</v>
      </c>
      <c r="G7144" s="3"/>
      <c r="H7144" s="3"/>
    </row>
    <row r="7145">
      <c r="A7145" s="2">
        <f>IFERROR(__xludf.DUMMYFUNCTION("""COMPUTED_VALUE"""),90237.0)</f>
        <v>90237</v>
      </c>
      <c r="B7145" s="3" t="str">
        <f>IFERROR(__xludf.DUMMYFUNCTION("""COMPUTED_VALUE"""),"107 BEACH DR  ")</f>
        <v>107 BEACH DR  </v>
      </c>
      <c r="C7145" s="3" t="str">
        <f>IFERROR(__xludf.DUMMYFUNCTION("""COMPUTED_VALUE"""),"BRIGHTON")</f>
        <v>BRIGHTON</v>
      </c>
      <c r="D7145" s="3" t="str">
        <f>IFERROR(__xludf.DUMMYFUNCTION("""COMPUTED_VALUE"""),"K0K 1H0")</f>
        <v>K0K 1H0</v>
      </c>
      <c r="E7145" s="3" t="str">
        <f>IFERROR(__xludf.DUMMYFUNCTION("""COMPUTED_VALUE"""),"Meghan Young")</f>
        <v>Meghan Young</v>
      </c>
      <c r="F7145" s="3" t="str">
        <f>IFERROR(__xludf.DUMMYFUNCTION("""COMPUTED_VALUE"""),"meghanyuriyoung@gmail.com")</f>
        <v>meghanyuriyoung@gmail.com</v>
      </c>
      <c r="G7145" s="3">
        <f>IFERROR(__xludf.DUMMYFUNCTION("""COMPUTED_VALUE"""),4.168466997E9)</f>
        <v>4168466997</v>
      </c>
      <c r="H7145" s="3">
        <f>IFERROR(__xludf.DUMMYFUNCTION("""COMPUTED_VALUE"""),6.474731085E9)</f>
        <v>6474731085</v>
      </c>
    </row>
    <row r="7146">
      <c r="A7146" s="2">
        <f>IFERROR(__xludf.DUMMYFUNCTION("""COMPUTED_VALUE"""),90240.0)</f>
        <v>90240</v>
      </c>
      <c r="B7146" s="3" t="str">
        <f>IFERROR(__xludf.DUMMYFUNCTION("""COMPUTED_VALUE"""),"121 BEACH DR  ")</f>
        <v>121 BEACH DR  </v>
      </c>
      <c r="C7146" s="3" t="str">
        <f>IFERROR(__xludf.DUMMYFUNCTION("""COMPUTED_VALUE"""),"BRIGHTON")</f>
        <v>BRIGHTON</v>
      </c>
      <c r="D7146" s="3" t="str">
        <f>IFERROR(__xludf.DUMMYFUNCTION("""COMPUTED_VALUE"""),"K0K 1H0")</f>
        <v>K0K 1H0</v>
      </c>
      <c r="E7146" s="3" t="str">
        <f>IFERROR(__xludf.DUMMYFUNCTION("""COMPUTED_VALUE"""),"Eric Heidendahl")</f>
        <v>Eric Heidendahl</v>
      </c>
      <c r="F7146" s="3" t="str">
        <f>IFERROR(__xludf.DUMMYFUNCTION("""COMPUTED_VALUE"""),"eheidendahl@gmail.com")</f>
        <v>eheidendahl@gmail.com</v>
      </c>
      <c r="G7146" s="3">
        <f>IFERROR(__xludf.DUMMYFUNCTION("""COMPUTED_VALUE"""),6.134750045E9)</f>
        <v>6134750045</v>
      </c>
      <c r="H7146" s="3"/>
    </row>
    <row r="7147">
      <c r="A7147" s="2">
        <f>IFERROR(__xludf.DUMMYFUNCTION("""COMPUTED_VALUE"""),90241.0)</f>
        <v>90241</v>
      </c>
      <c r="B7147" s="3" t="str">
        <f>IFERROR(__xludf.DUMMYFUNCTION("""COMPUTED_VALUE"""),"129 BEACH DR  ")</f>
        <v>129 BEACH DR  </v>
      </c>
      <c r="C7147" s="3" t="str">
        <f>IFERROR(__xludf.DUMMYFUNCTION("""COMPUTED_VALUE"""),"BRIGHTON")</f>
        <v>BRIGHTON</v>
      </c>
      <c r="D7147" s="3" t="str">
        <f>IFERROR(__xludf.DUMMYFUNCTION("""COMPUTED_VALUE"""),"K0K 1H0")</f>
        <v>K0K 1H0</v>
      </c>
      <c r="E7147" s="3" t="str">
        <f>IFERROR(__xludf.DUMMYFUNCTION("""COMPUTED_VALUE"""),"Brad Manning")</f>
        <v>Brad Manning</v>
      </c>
      <c r="F7147" s="3" t="str">
        <f>IFERROR(__xludf.DUMMYFUNCTION("""COMPUTED_VALUE"""),"brad90manning@hotmail.ca")</f>
        <v>brad90manning@hotmail.ca</v>
      </c>
      <c r="G7147" s="3">
        <f>IFERROR(__xludf.DUMMYFUNCTION("""COMPUTED_VALUE"""),4.168062602E9)</f>
        <v>4168062602</v>
      </c>
      <c r="H7147" s="3"/>
    </row>
    <row r="7148">
      <c r="A7148" s="2">
        <f>IFERROR(__xludf.DUMMYFUNCTION("""COMPUTED_VALUE"""),90249.0)</f>
        <v>90249</v>
      </c>
      <c r="B7148" s="3" t="str">
        <f>IFERROR(__xludf.DUMMYFUNCTION("""COMPUTED_VALUE"""),"273 BEACH DR  ")</f>
        <v>273 BEACH DR  </v>
      </c>
      <c r="C7148" s="3" t="str">
        <f>IFERROR(__xludf.DUMMYFUNCTION("""COMPUTED_VALUE"""),"BRIGHTON")</f>
        <v>BRIGHTON</v>
      </c>
      <c r="D7148" s="3" t="str">
        <f>IFERROR(__xludf.DUMMYFUNCTION("""COMPUTED_VALUE"""),"K0K 1H0")</f>
        <v>K0K 1H0</v>
      </c>
      <c r="E7148" s="3" t="str">
        <f>IFERROR(__xludf.DUMMYFUNCTION("""COMPUTED_VALUE"""),"Mark Goddard &amp; Beth McEwen")</f>
        <v>Mark Goddard &amp; Beth McEwen</v>
      </c>
      <c r="F7148" s="3" t="str">
        <f>IFERROR(__xludf.DUMMYFUNCTION("""COMPUTED_VALUE"""),"Mbgoddard@bell.net ")</f>
        <v>Mbgoddard@bell.net </v>
      </c>
      <c r="G7148" s="3"/>
      <c r="H7148" s="3"/>
    </row>
    <row r="7149">
      <c r="A7149" s="2">
        <f>IFERROR(__xludf.DUMMYFUNCTION("""COMPUTED_VALUE"""),90255.0)</f>
        <v>90255</v>
      </c>
      <c r="B7149" s="3" t="str">
        <f>IFERROR(__xludf.DUMMYFUNCTION("""COMPUTED_VALUE"""),"510 BEACH DR  ")</f>
        <v>510 BEACH DR  </v>
      </c>
      <c r="C7149" s="3" t="str">
        <f>IFERROR(__xludf.DUMMYFUNCTION("""COMPUTED_VALUE"""),"BRIGHTON")</f>
        <v>BRIGHTON</v>
      </c>
      <c r="D7149" s="3" t="str">
        <f>IFERROR(__xludf.DUMMYFUNCTION("""COMPUTED_VALUE"""),"K0K 1H0")</f>
        <v>K0K 1H0</v>
      </c>
      <c r="E7149" s="3" t="str">
        <f>IFERROR(__xludf.DUMMYFUNCTION("""COMPUTED_VALUE"""),"Braden Gardner")</f>
        <v>Braden Gardner</v>
      </c>
      <c r="F7149" s="3" t="str">
        <f>IFERROR(__xludf.DUMMYFUNCTION("""COMPUTED_VALUE"""),"gardnerbraden@hotmail.com")</f>
        <v>gardnerbraden@hotmail.com</v>
      </c>
      <c r="G7149" s="3">
        <f>IFERROR(__xludf.DUMMYFUNCTION("""COMPUTED_VALUE"""),2.893550822E9)</f>
        <v>2893550822</v>
      </c>
      <c r="H7149" s="3">
        <f>IFERROR(__xludf.DUMMYFUNCTION("""COMPUTED_VALUE"""),9.057064056E9)</f>
        <v>9057064056</v>
      </c>
    </row>
    <row r="7150">
      <c r="A7150" s="2">
        <f>IFERROR(__xludf.DUMMYFUNCTION("""COMPUTED_VALUE"""),90280.0)</f>
        <v>90280</v>
      </c>
      <c r="B7150" s="3" t="str">
        <f>IFERROR(__xludf.DUMMYFUNCTION("""COMPUTED_VALUE"""),"301 BIG APPLE DR  ")</f>
        <v>301 BIG APPLE DR  </v>
      </c>
      <c r="C7150" s="3" t="str">
        <f>IFERROR(__xludf.DUMMYFUNCTION("""COMPUTED_VALUE"""),"COLBORNE")</f>
        <v>COLBORNE</v>
      </c>
      <c r="D7150" s="3" t="str">
        <f>IFERROR(__xludf.DUMMYFUNCTION("""COMPUTED_VALUE"""),"K0K 1S0")</f>
        <v>K0K 1S0</v>
      </c>
      <c r="E7150" s="3"/>
      <c r="F7150" s="3"/>
      <c r="G7150" s="3"/>
      <c r="H7150" s="3"/>
    </row>
    <row r="7151">
      <c r="A7151" s="2">
        <f>IFERROR(__xludf.DUMMYFUNCTION("""COMPUTED_VALUE"""),90273.0)</f>
        <v>90273</v>
      </c>
      <c r="B7151" s="3" t="str">
        <f>IFERROR(__xludf.DUMMYFUNCTION("""COMPUTED_VALUE"""),"264 BIG APPLE DR  ")</f>
        <v>264 BIG APPLE DR  </v>
      </c>
      <c r="C7151" s="3" t="str">
        <f>IFERROR(__xludf.DUMMYFUNCTION("""COMPUTED_VALUE"""),"COLBORNE")</f>
        <v>COLBORNE</v>
      </c>
      <c r="D7151" s="3" t="str">
        <f>IFERROR(__xludf.DUMMYFUNCTION("""COMPUTED_VALUE"""),"K0K 1S0")</f>
        <v>K0K 1S0</v>
      </c>
      <c r="E7151" s="3" t="str">
        <f>IFERROR(__xludf.DUMMYFUNCTION("""COMPUTED_VALUE"""),"Doris Evans")</f>
        <v>Doris Evans</v>
      </c>
      <c r="F7151" s="3" t="str">
        <f>IFERROR(__xludf.DUMMYFUNCTION("""COMPUTED_VALUE"""),"dorisevans@sympatico.ca")</f>
        <v>dorisevans@sympatico.ca</v>
      </c>
      <c r="G7151" s="3"/>
      <c r="H7151" s="3"/>
    </row>
    <row r="7152">
      <c r="A7152" s="2">
        <f>IFERROR(__xludf.DUMMYFUNCTION("""COMPUTED_VALUE"""),90274.0)</f>
        <v>90274</v>
      </c>
      <c r="B7152" s="3" t="str">
        <f>IFERROR(__xludf.DUMMYFUNCTION("""COMPUTED_VALUE"""),"272 BIG APPLE DR  ")</f>
        <v>272 BIG APPLE DR  </v>
      </c>
      <c r="C7152" s="3" t="str">
        <f>IFERROR(__xludf.DUMMYFUNCTION("""COMPUTED_VALUE"""),"COLBORNE")</f>
        <v>COLBORNE</v>
      </c>
      <c r="D7152" s="3" t="str">
        <f>IFERROR(__xludf.DUMMYFUNCTION("""COMPUTED_VALUE"""),"K0K 1S0")</f>
        <v>K0K 1S0</v>
      </c>
      <c r="E7152" s="3" t="str">
        <f>IFERROR(__xludf.DUMMYFUNCTION("""COMPUTED_VALUE"""),"Ben Goodyear")</f>
        <v>Ben Goodyear</v>
      </c>
      <c r="F7152" s="3"/>
      <c r="G7152" s="3"/>
      <c r="H7152" s="3"/>
    </row>
    <row r="7153">
      <c r="A7153" s="2">
        <f>IFERROR(__xludf.DUMMYFUNCTION("""COMPUTED_VALUE"""),90275.0)</f>
        <v>90275</v>
      </c>
      <c r="B7153" s="3" t="str">
        <f>IFERROR(__xludf.DUMMYFUNCTION("""COMPUTED_VALUE"""),"276 BIG APPLE DR  ")</f>
        <v>276 BIG APPLE DR  </v>
      </c>
      <c r="C7153" s="3" t="str">
        <f>IFERROR(__xludf.DUMMYFUNCTION("""COMPUTED_VALUE"""),"COLBORNE")</f>
        <v>COLBORNE</v>
      </c>
      <c r="D7153" s="3" t="str">
        <f>IFERROR(__xludf.DUMMYFUNCTION("""COMPUTED_VALUE"""),"K0K 1S0")</f>
        <v>K0K 1S0</v>
      </c>
      <c r="E7153" s="3" t="str">
        <f>IFERROR(__xludf.DUMMYFUNCTION("""COMPUTED_VALUE"""),"Sandra Boland")</f>
        <v>Sandra Boland</v>
      </c>
      <c r="F7153" s="3" t="str">
        <f>IFERROR(__xludf.DUMMYFUNCTION("""COMPUTED_VALUE"""),"sandraboland47@gmail.com")</f>
        <v>sandraboland47@gmail.com</v>
      </c>
      <c r="G7153" s="3">
        <f>IFERROR(__xludf.DUMMYFUNCTION("""COMPUTED_VALUE"""),9.053762817E9)</f>
        <v>9053762817</v>
      </c>
      <c r="H7153" s="3"/>
    </row>
    <row r="7154">
      <c r="A7154" s="2">
        <f>IFERROR(__xludf.DUMMYFUNCTION("""COMPUTED_VALUE"""),90276.0)</f>
        <v>90276</v>
      </c>
      <c r="B7154" s="3" t="str">
        <f>IFERROR(__xludf.DUMMYFUNCTION("""COMPUTED_VALUE"""),"279 BIG APPLE DR  ")</f>
        <v>279 BIG APPLE DR  </v>
      </c>
      <c r="C7154" s="3" t="str">
        <f>IFERROR(__xludf.DUMMYFUNCTION("""COMPUTED_VALUE"""),"COLBORNE")</f>
        <v>COLBORNE</v>
      </c>
      <c r="D7154" s="3" t="str">
        <f>IFERROR(__xludf.DUMMYFUNCTION("""COMPUTED_VALUE"""),"K0K 1S0")</f>
        <v>K0K 1S0</v>
      </c>
      <c r="E7154" s="3" t="str">
        <f>IFERROR(__xludf.DUMMYFUNCTION("""COMPUTED_VALUE"""),"steven carr ")</f>
        <v>steven carr </v>
      </c>
      <c r="F7154" s="3" t="str">
        <f>IFERROR(__xludf.DUMMYFUNCTION("""COMPUTED_VALUE"""),"dwaynes1970@hotmail.com")</f>
        <v>dwaynes1970@hotmail.com</v>
      </c>
      <c r="G7154" s="3">
        <f>IFERROR(__xludf.DUMMYFUNCTION("""COMPUTED_VALUE"""),9.053753727E9)</f>
        <v>9053753727</v>
      </c>
      <c r="H7154" s="3"/>
    </row>
    <row r="7155">
      <c r="A7155" s="2">
        <f>IFERROR(__xludf.DUMMYFUNCTION("""COMPUTED_VALUE"""),90277.0)</f>
        <v>90277</v>
      </c>
      <c r="B7155" s="3" t="str">
        <f>IFERROR(__xludf.DUMMYFUNCTION("""COMPUTED_VALUE"""),"286 BIG APPLE DR  ")</f>
        <v>286 BIG APPLE DR  </v>
      </c>
      <c r="C7155" s="3" t="str">
        <f>IFERROR(__xludf.DUMMYFUNCTION("""COMPUTED_VALUE"""),"COLBORNE")</f>
        <v>COLBORNE</v>
      </c>
      <c r="D7155" s="3" t="str">
        <f>IFERROR(__xludf.DUMMYFUNCTION("""COMPUTED_VALUE"""),"K0K 1S0")</f>
        <v>K0K 1S0</v>
      </c>
      <c r="E7155" s="3"/>
      <c r="F7155" s="3"/>
      <c r="G7155" s="3"/>
      <c r="H7155" s="3"/>
    </row>
    <row r="7156">
      <c r="A7156" s="2">
        <f>IFERROR(__xludf.DUMMYFUNCTION("""COMPUTED_VALUE"""),90278.0)</f>
        <v>90278</v>
      </c>
      <c r="B7156" s="3" t="str">
        <f>IFERROR(__xludf.DUMMYFUNCTION("""COMPUTED_VALUE"""),"289 BIG APPLE DR  ")</f>
        <v>289 BIG APPLE DR  </v>
      </c>
      <c r="C7156" s="3" t="str">
        <f>IFERROR(__xludf.DUMMYFUNCTION("""COMPUTED_VALUE"""),"COLBORNE")</f>
        <v>COLBORNE</v>
      </c>
      <c r="D7156" s="3" t="str">
        <f>IFERROR(__xludf.DUMMYFUNCTION("""COMPUTED_VALUE"""),"K0K 1S0")</f>
        <v>K0K 1S0</v>
      </c>
      <c r="E7156" s="3"/>
      <c r="F7156" s="3"/>
      <c r="G7156" s="3"/>
      <c r="H7156" s="3"/>
    </row>
    <row r="7157">
      <c r="A7157" s="2">
        <f>IFERROR(__xludf.DUMMYFUNCTION("""COMPUTED_VALUE"""),90279.0)</f>
        <v>90279</v>
      </c>
      <c r="B7157" s="3" t="str">
        <f>IFERROR(__xludf.DUMMYFUNCTION("""COMPUTED_VALUE"""),"292 BIG APPLE DR  ")</f>
        <v>292 BIG APPLE DR  </v>
      </c>
      <c r="C7157" s="3" t="str">
        <f>IFERROR(__xludf.DUMMYFUNCTION("""COMPUTED_VALUE"""),"COLBORNE")</f>
        <v>COLBORNE</v>
      </c>
      <c r="D7157" s="3" t="str">
        <f>IFERROR(__xludf.DUMMYFUNCTION("""COMPUTED_VALUE"""),"K0K 1S0")</f>
        <v>K0K 1S0</v>
      </c>
      <c r="E7157" s="3"/>
      <c r="F7157" s="3"/>
      <c r="G7157" s="3"/>
      <c r="H7157" s="3"/>
    </row>
    <row r="7158">
      <c r="A7158" s="2">
        <f>IFERROR(__xludf.DUMMYFUNCTION("""COMPUTED_VALUE"""),90272.0)</f>
        <v>90272</v>
      </c>
      <c r="B7158" s="3" t="str">
        <f>IFERROR(__xludf.DUMMYFUNCTION("""COMPUTED_VALUE"""),"252 BIG APPLE DR  ")</f>
        <v>252 BIG APPLE DR  </v>
      </c>
      <c r="C7158" s="3" t="str">
        <f>IFERROR(__xludf.DUMMYFUNCTION("""COMPUTED_VALUE"""),"COLBORNE")</f>
        <v>COLBORNE</v>
      </c>
      <c r="D7158" s="3" t="str">
        <f>IFERROR(__xludf.DUMMYFUNCTION("""COMPUTED_VALUE"""),"K0K 1S0")</f>
        <v>K0K 1S0</v>
      </c>
      <c r="E7158" s="3" t="str">
        <f>IFERROR(__xludf.DUMMYFUNCTION("""COMPUTED_VALUE"""),"Gord Barrett")</f>
        <v>Gord Barrett</v>
      </c>
      <c r="F7158" s="3" t="str">
        <f>IFERROR(__xludf.DUMMYFUNCTION("""COMPUTED_VALUE"""),"gordon.barrett.097@gmail.com")</f>
        <v>gordon.barrett.097@gmail.com</v>
      </c>
      <c r="G7158" s="3">
        <f>IFERROR(__xludf.DUMMYFUNCTION("""COMPUTED_VALUE"""),9.05375385E9)</f>
        <v>9053753850</v>
      </c>
      <c r="H7158" s="3"/>
    </row>
    <row r="7159">
      <c r="A7159" s="2">
        <f>IFERROR(__xludf.DUMMYFUNCTION("""COMPUTED_VALUE"""),90339.0)</f>
        <v>90339</v>
      </c>
      <c r="B7159" s="3" t="str">
        <f>IFERROR(__xludf.DUMMYFUNCTION("""COMPUTED_VALUE"""),"346 BOUNDARY RD  ")</f>
        <v>346 BOUNDARY RD  </v>
      </c>
      <c r="C7159" s="3" t="str">
        <f>IFERROR(__xludf.DUMMYFUNCTION("""COMPUTED_VALUE"""),"BRIGHTON")</f>
        <v>BRIGHTON</v>
      </c>
      <c r="D7159" s="3" t="str">
        <f>IFERROR(__xludf.DUMMYFUNCTION("""COMPUTED_VALUE"""),"K0K 1H0")</f>
        <v>K0K 1H0</v>
      </c>
      <c r="E7159" s="3"/>
      <c r="F7159" s="3"/>
      <c r="G7159" s="3"/>
      <c r="H7159" s="3"/>
    </row>
    <row r="7160">
      <c r="A7160" s="2">
        <f>IFERROR(__xludf.DUMMYFUNCTION("""COMPUTED_VALUE"""),90340.0)</f>
        <v>90340</v>
      </c>
      <c r="B7160" s="3" t="str">
        <f>IFERROR(__xludf.DUMMYFUNCTION("""COMPUTED_VALUE"""),"390 BOUNDARY RD  ")</f>
        <v>390 BOUNDARY RD  </v>
      </c>
      <c r="C7160" s="3" t="str">
        <f>IFERROR(__xludf.DUMMYFUNCTION("""COMPUTED_VALUE"""),"BRIGHTON")</f>
        <v>BRIGHTON</v>
      </c>
      <c r="D7160" s="3" t="str">
        <f>IFERROR(__xludf.DUMMYFUNCTION("""COMPUTED_VALUE"""),"K0K 1H0")</f>
        <v>K0K 1H0</v>
      </c>
      <c r="E7160" s="3" t="str">
        <f>IFERROR(__xludf.DUMMYFUNCTION("""COMPUTED_VALUE"""),"clark masterson")</f>
        <v>clark masterson</v>
      </c>
      <c r="F7160" s="3" t="str">
        <f>IFERROR(__xludf.DUMMYFUNCTION("""COMPUTED_VALUE"""),"clark.masterson@hotmail.com")</f>
        <v>clark.masterson@hotmail.com</v>
      </c>
      <c r="G7160" s="3">
        <f>IFERROR(__xludf.DUMMYFUNCTION("""COMPUTED_VALUE"""),6.13403105E9)</f>
        <v>6134031050</v>
      </c>
      <c r="H7160" s="3"/>
    </row>
    <row r="7161">
      <c r="A7161" s="2">
        <f>IFERROR(__xludf.DUMMYFUNCTION("""COMPUTED_VALUE"""),90341.0)</f>
        <v>90341</v>
      </c>
      <c r="B7161" s="3" t="str">
        <f>IFERROR(__xludf.DUMMYFUNCTION("""COMPUTED_VALUE"""),"392 BOUNDARY RD  ")</f>
        <v>392 BOUNDARY RD  </v>
      </c>
      <c r="C7161" s="3" t="str">
        <f>IFERROR(__xludf.DUMMYFUNCTION("""COMPUTED_VALUE"""),"BRIGHTON")</f>
        <v>BRIGHTON</v>
      </c>
      <c r="D7161" s="3" t="str">
        <f>IFERROR(__xludf.DUMMYFUNCTION("""COMPUTED_VALUE"""),"K0K 1H0")</f>
        <v>K0K 1H0</v>
      </c>
      <c r="E7161" s="3" t="str">
        <f>IFERROR(__xludf.DUMMYFUNCTION("""COMPUTED_VALUE"""),"carol brown")</f>
        <v>carol brown</v>
      </c>
      <c r="F7161" s="3"/>
      <c r="G7161" s="3">
        <f>IFERROR(__xludf.DUMMYFUNCTION("""COMPUTED_VALUE"""),6.134751075E9)</f>
        <v>6134751075</v>
      </c>
      <c r="H7161" s="3"/>
    </row>
    <row r="7162">
      <c r="A7162" s="2">
        <f>IFERROR(__xludf.DUMMYFUNCTION("""COMPUTED_VALUE"""),90342.0)</f>
        <v>90342</v>
      </c>
      <c r="B7162" s="3" t="str">
        <f>IFERROR(__xludf.DUMMYFUNCTION("""COMPUTED_VALUE"""),"571 BRIGHTON CRAMAHE BOUNDARY RD  ")</f>
        <v>571 BRIGHTON CRAMAHE BOUNDARY RD  </v>
      </c>
      <c r="C7162" s="3" t="str">
        <f>IFERROR(__xludf.DUMMYFUNCTION("""COMPUTED_VALUE"""),"BRIGHTON")</f>
        <v>BRIGHTON</v>
      </c>
      <c r="D7162" s="3" t="str">
        <f>IFERROR(__xludf.DUMMYFUNCTION("""COMPUTED_VALUE"""),"K0K 1H0")</f>
        <v>K0K 1H0</v>
      </c>
      <c r="E7162" s="3"/>
      <c r="F7162" s="3"/>
      <c r="G7162" s="3"/>
      <c r="H7162" s="3"/>
    </row>
    <row r="7163">
      <c r="A7163" s="2">
        <f>IFERROR(__xludf.DUMMYFUNCTION("""COMPUTED_VALUE"""),90343.0)</f>
        <v>90343</v>
      </c>
      <c r="B7163" s="3" t="str">
        <f>IFERROR(__xludf.DUMMYFUNCTION("""COMPUTED_VALUE"""),"577 BRIGHTON CRAMAHE BOUNDARY RD  ")</f>
        <v>577 BRIGHTON CRAMAHE BOUNDARY RD  </v>
      </c>
      <c r="C7163" s="3" t="str">
        <f>IFERROR(__xludf.DUMMYFUNCTION("""COMPUTED_VALUE"""),"BRIGHTON")</f>
        <v>BRIGHTON</v>
      </c>
      <c r="D7163" s="3" t="str">
        <f>IFERROR(__xludf.DUMMYFUNCTION("""COMPUTED_VALUE"""),"K0K 1H0")</f>
        <v>K0K 1H0</v>
      </c>
      <c r="E7163" s="3"/>
      <c r="F7163" s="3"/>
      <c r="G7163" s="3"/>
      <c r="H7163" s="3"/>
    </row>
    <row r="7164">
      <c r="A7164" s="2">
        <f>IFERROR(__xludf.DUMMYFUNCTION("""COMPUTED_VALUE"""),90381.0)</f>
        <v>90381</v>
      </c>
      <c r="B7164" s="3" t="str">
        <f>IFERROR(__xludf.DUMMYFUNCTION("""COMPUTED_VALUE"""),"433 BULLIS RD  ")</f>
        <v>433 BULLIS RD  </v>
      </c>
      <c r="C7164" s="3" t="str">
        <f>IFERROR(__xludf.DUMMYFUNCTION("""COMPUTED_VALUE"""),"BRIGHTON")</f>
        <v>BRIGHTON</v>
      </c>
      <c r="D7164" s="3" t="str">
        <f>IFERROR(__xludf.DUMMYFUNCTION("""COMPUTED_VALUE"""),"K0K 1H0")</f>
        <v>K0K 1H0</v>
      </c>
      <c r="E7164" s="3"/>
      <c r="F7164" s="3"/>
      <c r="G7164" s="3"/>
      <c r="H7164" s="3"/>
    </row>
    <row r="7165">
      <c r="A7165" s="2">
        <f>IFERROR(__xludf.DUMMYFUNCTION("""COMPUTED_VALUE"""),90382.0)</f>
        <v>90382</v>
      </c>
      <c r="B7165" s="3" t="str">
        <f>IFERROR(__xludf.DUMMYFUNCTION("""COMPUTED_VALUE"""),"443 BULLIS RD  ")</f>
        <v>443 BULLIS RD  </v>
      </c>
      <c r="C7165" s="3" t="str">
        <f>IFERROR(__xludf.DUMMYFUNCTION("""COMPUTED_VALUE"""),"BRIGHTON")</f>
        <v>BRIGHTON</v>
      </c>
      <c r="D7165" s="3" t="str">
        <f>IFERROR(__xludf.DUMMYFUNCTION("""COMPUTED_VALUE"""),"K0K 1H0")</f>
        <v>K0K 1H0</v>
      </c>
      <c r="E7165" s="3"/>
      <c r="F7165" s="3"/>
      <c r="G7165" s="3"/>
      <c r="H7165" s="3"/>
    </row>
    <row r="7166">
      <c r="A7166" s="2">
        <f>IFERROR(__xludf.DUMMYFUNCTION("""COMPUTED_VALUE"""),90383.0)</f>
        <v>90383</v>
      </c>
      <c r="B7166" s="3" t="str">
        <f>IFERROR(__xludf.DUMMYFUNCTION("""COMPUTED_VALUE"""),"444 BULLIS RD  ")</f>
        <v>444 BULLIS RD  </v>
      </c>
      <c r="C7166" s="3" t="str">
        <f>IFERROR(__xludf.DUMMYFUNCTION("""COMPUTED_VALUE"""),"BRIGHTON")</f>
        <v>BRIGHTON</v>
      </c>
      <c r="D7166" s="3" t="str">
        <f>IFERROR(__xludf.DUMMYFUNCTION("""COMPUTED_VALUE"""),"K0K 1H0")</f>
        <v>K0K 1H0</v>
      </c>
      <c r="E7166" s="3"/>
      <c r="F7166" s="3"/>
      <c r="G7166" s="3"/>
      <c r="H7166" s="3"/>
    </row>
    <row r="7167">
      <c r="A7167" s="2">
        <f>IFERROR(__xludf.DUMMYFUNCTION("""COMPUTED_VALUE"""),90384.0)</f>
        <v>90384</v>
      </c>
      <c r="B7167" s="3" t="str">
        <f>IFERROR(__xludf.DUMMYFUNCTION("""COMPUTED_VALUE"""),"448 BULLIS RD  ")</f>
        <v>448 BULLIS RD  </v>
      </c>
      <c r="C7167" s="3" t="str">
        <f>IFERROR(__xludf.DUMMYFUNCTION("""COMPUTED_VALUE"""),"BRIGHTON")</f>
        <v>BRIGHTON</v>
      </c>
      <c r="D7167" s="3" t="str">
        <f>IFERROR(__xludf.DUMMYFUNCTION("""COMPUTED_VALUE"""),"K0K 1H0")</f>
        <v>K0K 1H0</v>
      </c>
      <c r="E7167" s="3" t="str">
        <f>IFERROR(__xludf.DUMMYFUNCTION("""COMPUTED_VALUE"""),"Robert Muir")</f>
        <v>Robert Muir</v>
      </c>
      <c r="F7167" s="3" t="str">
        <f>IFERROR(__xludf.DUMMYFUNCTION("""COMPUTED_VALUE"""),"rmuir1@mac.com")</f>
        <v>rmuir1@mac.com</v>
      </c>
      <c r="G7167" s="3"/>
      <c r="H7167" s="3"/>
    </row>
    <row r="7168">
      <c r="A7168" s="2">
        <f>IFERROR(__xludf.DUMMYFUNCTION("""COMPUTED_VALUE"""),90385.0)</f>
        <v>90385</v>
      </c>
      <c r="B7168" s="3" t="str">
        <f>IFERROR(__xludf.DUMMYFUNCTION("""COMPUTED_VALUE"""),"457 BULLIS RD  ")</f>
        <v>457 BULLIS RD  </v>
      </c>
      <c r="C7168" s="3" t="str">
        <f>IFERROR(__xludf.DUMMYFUNCTION("""COMPUTED_VALUE"""),"BRIGHTON")</f>
        <v>BRIGHTON</v>
      </c>
      <c r="D7168" s="3" t="str">
        <f>IFERROR(__xludf.DUMMYFUNCTION("""COMPUTED_VALUE"""),"K0K 1H0")</f>
        <v>K0K 1H0</v>
      </c>
      <c r="E7168" s="3"/>
      <c r="F7168" s="3"/>
      <c r="G7168" s="3"/>
      <c r="H7168" s="3"/>
    </row>
    <row r="7169">
      <c r="A7169" s="2">
        <f>IFERROR(__xludf.DUMMYFUNCTION("""COMPUTED_VALUE"""),90386.0)</f>
        <v>90386</v>
      </c>
      <c r="B7169" s="3" t="str">
        <f>IFERROR(__xludf.DUMMYFUNCTION("""COMPUTED_VALUE"""),"460 BULLIS RD  ")</f>
        <v>460 BULLIS RD  </v>
      </c>
      <c r="C7169" s="3" t="str">
        <f>IFERROR(__xludf.DUMMYFUNCTION("""COMPUTED_VALUE"""),"BRIGHTON")</f>
        <v>BRIGHTON</v>
      </c>
      <c r="D7169" s="3" t="str">
        <f>IFERROR(__xludf.DUMMYFUNCTION("""COMPUTED_VALUE"""),"K0K 1H0")</f>
        <v>K0K 1H0</v>
      </c>
      <c r="E7169" s="3" t="str">
        <f>IFERROR(__xludf.DUMMYFUNCTION("""COMPUTED_VALUE"""),"scott byrnes")</f>
        <v>scott byrnes</v>
      </c>
      <c r="F7169" s="3" t="str">
        <f>IFERROR(__xludf.DUMMYFUNCTION("""COMPUTED_VALUE"""),"scott.byrnes@sympatico.com")</f>
        <v>scott.byrnes@sympatico.com</v>
      </c>
      <c r="G7169" s="3">
        <f>IFERROR(__xludf.DUMMYFUNCTION("""COMPUTED_VALUE"""),9.05396425E9)</f>
        <v>9053964250</v>
      </c>
      <c r="H7169" s="3">
        <f>IFERROR(__xludf.DUMMYFUNCTION("""COMPUTED_VALUE"""),4.165436922E9)</f>
        <v>4165436922</v>
      </c>
    </row>
    <row r="7170">
      <c r="A7170" s="2">
        <f>IFERROR(__xludf.DUMMYFUNCTION("""COMPUTED_VALUE"""),90387.0)</f>
        <v>90387</v>
      </c>
      <c r="B7170" s="3" t="str">
        <f>IFERROR(__xludf.DUMMYFUNCTION("""COMPUTED_VALUE"""),"468 BULLIS RD  ")</f>
        <v>468 BULLIS RD  </v>
      </c>
      <c r="C7170" s="3" t="str">
        <f>IFERROR(__xludf.DUMMYFUNCTION("""COMPUTED_VALUE"""),"BRIGHTON")</f>
        <v>BRIGHTON</v>
      </c>
      <c r="D7170" s="3" t="str">
        <f>IFERROR(__xludf.DUMMYFUNCTION("""COMPUTED_VALUE"""),"K0K 1H0")</f>
        <v>K0K 1H0</v>
      </c>
      <c r="E7170" s="3" t="str">
        <f>IFERROR(__xludf.DUMMYFUNCTION("""COMPUTED_VALUE"""),"Jason Dove")</f>
        <v>Jason Dove</v>
      </c>
      <c r="F7170" s="3" t="str">
        <f>IFERROR(__xludf.DUMMYFUNCTION("""COMPUTED_VALUE"""),"anthonydove@myyahoo.com")</f>
        <v>anthonydove@myyahoo.com</v>
      </c>
      <c r="G7170" s="3">
        <f>IFERROR(__xludf.DUMMYFUNCTION("""COMPUTED_VALUE"""),6.478343683E9)</f>
        <v>6478343683</v>
      </c>
      <c r="H7170" s="3"/>
    </row>
    <row r="7171">
      <c r="A7171" s="2">
        <f>IFERROR(__xludf.DUMMYFUNCTION("""COMPUTED_VALUE"""),90388.0)</f>
        <v>90388</v>
      </c>
      <c r="B7171" s="3" t="str">
        <f>IFERROR(__xludf.DUMMYFUNCTION("""COMPUTED_VALUE"""),"471 BULLIS RD  ")</f>
        <v>471 BULLIS RD  </v>
      </c>
      <c r="C7171" s="3" t="str">
        <f>IFERROR(__xludf.DUMMYFUNCTION("""COMPUTED_VALUE"""),"BRIGHTON")</f>
        <v>BRIGHTON</v>
      </c>
      <c r="D7171" s="3" t="str">
        <f>IFERROR(__xludf.DUMMYFUNCTION("""COMPUTED_VALUE"""),"K0K 1H0")</f>
        <v>K0K 1H0</v>
      </c>
      <c r="E7171" s="3" t="str">
        <f>IFERROR(__xludf.DUMMYFUNCTION("""COMPUTED_VALUE"""),"susan stokes ")</f>
        <v>susan stokes </v>
      </c>
      <c r="F7171" s="3" t="str">
        <f>IFERROR(__xludf.DUMMYFUNCTION("""COMPUTED_VALUE"""),"susstokes@gmail.com")</f>
        <v>susstokes@gmail.com</v>
      </c>
      <c r="G7171" s="3">
        <f>IFERROR(__xludf.DUMMYFUNCTION("""COMPUTED_VALUE"""),6.134753883E9)</f>
        <v>6134753883</v>
      </c>
      <c r="H7171" s="3">
        <f>IFERROR(__xludf.DUMMYFUNCTION("""COMPUTED_VALUE"""),6.139703268E9)</f>
        <v>6139703268</v>
      </c>
    </row>
    <row r="7172">
      <c r="A7172" s="2">
        <f>IFERROR(__xludf.DUMMYFUNCTION("""COMPUTED_VALUE"""),90389.0)</f>
        <v>90389</v>
      </c>
      <c r="B7172" s="3" t="str">
        <f>IFERROR(__xludf.DUMMYFUNCTION("""COMPUTED_VALUE"""),"480 BULLIS RD  ")</f>
        <v>480 BULLIS RD  </v>
      </c>
      <c r="C7172" s="3" t="str">
        <f>IFERROR(__xludf.DUMMYFUNCTION("""COMPUTED_VALUE"""),"BRIGHTON")</f>
        <v>BRIGHTON</v>
      </c>
      <c r="D7172" s="3" t="str">
        <f>IFERROR(__xludf.DUMMYFUNCTION("""COMPUTED_VALUE"""),"K0K 1H0")</f>
        <v>K0K 1H0</v>
      </c>
      <c r="E7172" s="3"/>
      <c r="F7172" s="3"/>
      <c r="G7172" s="3"/>
      <c r="H7172" s="3"/>
    </row>
    <row r="7173">
      <c r="A7173" s="2">
        <f>IFERROR(__xludf.DUMMYFUNCTION("""COMPUTED_VALUE"""),90502.0)</f>
        <v>90502</v>
      </c>
      <c r="B7173" s="3" t="str">
        <f>IFERROR(__xludf.DUMMYFUNCTION("""COMPUTED_VALUE"""),"103 COLTON ST SUITE 10")</f>
        <v>103 COLTON ST SUITE 10</v>
      </c>
      <c r="C7173" s="3" t="str">
        <f>IFERROR(__xludf.DUMMYFUNCTION("""COMPUTED_VALUE"""),"COLBORNE")</f>
        <v>COLBORNE</v>
      </c>
      <c r="D7173" s="3" t="str">
        <f>IFERROR(__xludf.DUMMYFUNCTION("""COMPUTED_VALUE"""),"K0K 1S0")</f>
        <v>K0K 1S0</v>
      </c>
      <c r="E7173" s="3"/>
      <c r="F7173" s="3"/>
      <c r="G7173" s="3"/>
      <c r="H7173" s="3"/>
    </row>
    <row r="7174">
      <c r="A7174" s="2">
        <f>IFERROR(__xludf.DUMMYFUNCTION("""COMPUTED_VALUE"""),90504.0)</f>
        <v>90504</v>
      </c>
      <c r="B7174" s="3" t="str">
        <f>IFERROR(__xludf.DUMMYFUNCTION("""COMPUTED_VALUE"""),"103 COLTON ST SUITE 12")</f>
        <v>103 COLTON ST SUITE 12</v>
      </c>
      <c r="C7174" s="3" t="str">
        <f>IFERROR(__xludf.DUMMYFUNCTION("""COMPUTED_VALUE"""),"COLBORNE")</f>
        <v>COLBORNE</v>
      </c>
      <c r="D7174" s="3" t="str">
        <f>IFERROR(__xludf.DUMMYFUNCTION("""COMPUTED_VALUE"""),"K0K 1S0")</f>
        <v>K0K 1S0</v>
      </c>
      <c r="E7174" s="3"/>
      <c r="F7174" s="3"/>
      <c r="G7174" s="3"/>
      <c r="H7174" s="3"/>
    </row>
    <row r="7175">
      <c r="A7175" s="2">
        <f>IFERROR(__xludf.DUMMYFUNCTION("""COMPUTED_VALUE"""),90505.0)</f>
        <v>90505</v>
      </c>
      <c r="B7175" s="3" t="str">
        <f>IFERROR(__xludf.DUMMYFUNCTION("""COMPUTED_VALUE"""),"103 COLTON ST UNIT 2")</f>
        <v>103 COLTON ST UNIT 2</v>
      </c>
      <c r="C7175" s="3" t="str">
        <f>IFERROR(__xludf.DUMMYFUNCTION("""COMPUTED_VALUE"""),"COLBORNE")</f>
        <v>COLBORNE</v>
      </c>
      <c r="D7175" s="3" t="str">
        <f>IFERROR(__xludf.DUMMYFUNCTION("""COMPUTED_VALUE"""),"K0K 1S0")</f>
        <v>K0K 1S0</v>
      </c>
      <c r="E7175" s="3" t="str">
        <f>IFERROR(__xludf.DUMMYFUNCTION("""COMPUTED_VALUE"""),"LEE LYONS")</f>
        <v>LEE LYONS</v>
      </c>
      <c r="F7175" s="3" t="str">
        <f>IFERROR(__xludf.DUMMYFUNCTION("""COMPUTED_VALUE"""),"orkneydig@gmail.com")</f>
        <v>orkneydig@gmail.com</v>
      </c>
      <c r="G7175" s="3"/>
      <c r="H7175" s="3"/>
    </row>
    <row r="7176">
      <c r="A7176" s="2">
        <f>IFERROR(__xludf.DUMMYFUNCTION("""COMPUTED_VALUE"""),90506.0)</f>
        <v>90506</v>
      </c>
      <c r="B7176" s="3" t="str">
        <f>IFERROR(__xludf.DUMMYFUNCTION("""COMPUTED_VALUE"""),"103 COLTON ST UNIT 3")</f>
        <v>103 COLTON ST UNIT 3</v>
      </c>
      <c r="C7176" s="3" t="str">
        <f>IFERROR(__xludf.DUMMYFUNCTION("""COMPUTED_VALUE"""),"COLBORNE")</f>
        <v>COLBORNE</v>
      </c>
      <c r="D7176" s="3" t="str">
        <f>IFERROR(__xludf.DUMMYFUNCTION("""COMPUTED_VALUE"""),"K0K 1S0")</f>
        <v>K0K 1S0</v>
      </c>
      <c r="E7176" s="3"/>
      <c r="F7176" s="3"/>
      <c r="G7176" s="3"/>
      <c r="H7176" s="3"/>
    </row>
    <row r="7177">
      <c r="A7177" s="2">
        <f>IFERROR(__xludf.DUMMYFUNCTION("""COMPUTED_VALUE"""),90507.0)</f>
        <v>90507</v>
      </c>
      <c r="B7177" s="3" t="str">
        <f>IFERROR(__xludf.DUMMYFUNCTION("""COMPUTED_VALUE"""),"103 COLTON ST SUITE 4")</f>
        <v>103 COLTON ST SUITE 4</v>
      </c>
      <c r="C7177" s="3" t="str">
        <f>IFERROR(__xludf.DUMMYFUNCTION("""COMPUTED_VALUE"""),"COLBORNE")</f>
        <v>COLBORNE</v>
      </c>
      <c r="D7177" s="3" t="str">
        <f>IFERROR(__xludf.DUMMYFUNCTION("""COMPUTED_VALUE"""),"K0K 1S0")</f>
        <v>K0K 1S0</v>
      </c>
      <c r="E7177" s="3"/>
      <c r="F7177" s="3"/>
      <c r="G7177" s="3"/>
      <c r="H7177" s="3"/>
    </row>
    <row r="7178">
      <c r="A7178" s="2">
        <f>IFERROR(__xludf.DUMMYFUNCTION("""COMPUTED_VALUE"""),90508.0)</f>
        <v>90508</v>
      </c>
      <c r="B7178" s="3" t="str">
        <f>IFERROR(__xludf.DUMMYFUNCTION("""COMPUTED_VALUE"""),"103 COLTON ST SUITE 5")</f>
        <v>103 COLTON ST SUITE 5</v>
      </c>
      <c r="C7178" s="3" t="str">
        <f>IFERROR(__xludf.DUMMYFUNCTION("""COMPUTED_VALUE"""),"COLBORNE")</f>
        <v>COLBORNE</v>
      </c>
      <c r="D7178" s="3" t="str">
        <f>IFERROR(__xludf.DUMMYFUNCTION("""COMPUTED_VALUE"""),"K0K 1S0")</f>
        <v>K0K 1S0</v>
      </c>
      <c r="E7178" s="3"/>
      <c r="F7178" s="3"/>
      <c r="G7178" s="3"/>
      <c r="H7178" s="3"/>
    </row>
    <row r="7179">
      <c r="A7179" s="2">
        <f>IFERROR(__xludf.DUMMYFUNCTION("""COMPUTED_VALUE"""),90509.0)</f>
        <v>90509</v>
      </c>
      <c r="B7179" s="3" t="str">
        <f>IFERROR(__xludf.DUMMYFUNCTION("""COMPUTED_VALUE"""),"103 COLTON ST UNIT 7")</f>
        <v>103 COLTON ST UNIT 7</v>
      </c>
      <c r="C7179" s="3" t="str">
        <f>IFERROR(__xludf.DUMMYFUNCTION("""COMPUTED_VALUE"""),"COLBORNE")</f>
        <v>COLBORNE</v>
      </c>
      <c r="D7179" s="3" t="str">
        <f>IFERROR(__xludf.DUMMYFUNCTION("""COMPUTED_VALUE"""),"K0K 1S0")</f>
        <v>K0K 1S0</v>
      </c>
      <c r="E7179" s="3" t="str">
        <f>IFERROR(__xludf.DUMMYFUNCTION("""COMPUTED_VALUE"""),"eleanor gill ")</f>
        <v>eleanor gill </v>
      </c>
      <c r="F7179" s="3" t="str">
        <f>IFERROR(__xludf.DUMMYFUNCTION("""COMPUTED_VALUE"""),"eleanorgill@icloud.com")</f>
        <v>eleanorgill@icloud.com</v>
      </c>
      <c r="G7179" s="3">
        <f>IFERROR(__xludf.DUMMYFUNCTION("""COMPUTED_VALUE"""),9.058073651E9)</f>
        <v>9058073651</v>
      </c>
      <c r="H7179" s="3"/>
    </row>
    <row r="7180">
      <c r="A7180" s="2">
        <f>IFERROR(__xludf.DUMMYFUNCTION("""COMPUTED_VALUE"""),90511.0)</f>
        <v>90511</v>
      </c>
      <c r="B7180" s="3" t="str">
        <f>IFERROR(__xludf.DUMMYFUNCTION("""COMPUTED_VALUE"""),"103 COLTON ST")</f>
        <v>103 COLTON ST</v>
      </c>
      <c r="C7180" s="3" t="str">
        <f>IFERROR(__xludf.DUMMYFUNCTION("""COMPUTED_VALUE"""),"COLBORNE")</f>
        <v>COLBORNE</v>
      </c>
      <c r="D7180" s="3" t="str">
        <f>IFERROR(__xludf.DUMMYFUNCTION("""COMPUTED_VALUE"""),"K0K 1S0")</f>
        <v>K0K 1S0</v>
      </c>
      <c r="E7180" s="3" t="str">
        <f>IFERROR(__xludf.DUMMYFUNCTION("""COMPUTED_VALUE"""),"MEHRAD RAD")</f>
        <v>MEHRAD RAD</v>
      </c>
      <c r="F7180" s="3" t="str">
        <f>IFERROR(__xludf.DUMMYFUNCTION("""COMPUTED_VALUE"""),"abiradhomes@gmail.com")</f>
        <v>abiradhomes@gmail.com</v>
      </c>
      <c r="G7180" s="3"/>
      <c r="H7180" s="3"/>
    </row>
    <row r="7181">
      <c r="A7181" s="2">
        <f>IFERROR(__xludf.DUMMYFUNCTION("""COMPUTED_VALUE"""),90501.0)</f>
        <v>90501</v>
      </c>
      <c r="B7181" s="3" t="str">
        <f>IFERROR(__xludf.DUMMYFUNCTION("""COMPUTED_VALUE"""),"103 COLTON ST UNIT 1")</f>
        <v>103 COLTON ST UNIT 1</v>
      </c>
      <c r="C7181" s="3" t="str">
        <f>IFERROR(__xludf.DUMMYFUNCTION("""COMPUTED_VALUE"""),"COLBORNE")</f>
        <v>COLBORNE</v>
      </c>
      <c r="D7181" s="3" t="str">
        <f>IFERROR(__xludf.DUMMYFUNCTION("""COMPUTED_VALUE"""),"K0K 1S0")</f>
        <v>K0K 1S0</v>
      </c>
      <c r="E7181" s="3" t="str">
        <f>IFERROR(__xludf.DUMMYFUNCTION("""COMPUTED_VALUE"""),"Katherine C Grant")</f>
        <v>Katherine C Grant</v>
      </c>
      <c r="F7181" s="3" t="str">
        <f>IFERROR(__xludf.DUMMYFUNCTION("""COMPUTED_VALUE"""),"katherinegrant1@gmail.com")</f>
        <v>katherinegrant1@gmail.com</v>
      </c>
      <c r="G7181" s="3">
        <f>IFERROR(__xludf.DUMMYFUNCTION("""COMPUTED_VALUE"""),9.054716066E9)</f>
        <v>9054716066</v>
      </c>
      <c r="H7181" s="3"/>
    </row>
    <row r="7182">
      <c r="A7182" s="2">
        <f>IFERROR(__xludf.DUMMYFUNCTION("""COMPUTED_VALUE"""),90503.0)</f>
        <v>90503</v>
      </c>
      <c r="B7182" s="3" t="str">
        <f>IFERROR(__xludf.DUMMYFUNCTION("""COMPUTED_VALUE"""),"103 COLTON ST UNIT 11")</f>
        <v>103 COLTON ST UNIT 11</v>
      </c>
      <c r="C7182" s="3" t="str">
        <f>IFERROR(__xludf.DUMMYFUNCTION("""COMPUTED_VALUE"""),"COLBORNE")</f>
        <v>COLBORNE</v>
      </c>
      <c r="D7182" s="3" t="str">
        <f>IFERROR(__xludf.DUMMYFUNCTION("""COMPUTED_VALUE"""),"K0K 1S0")</f>
        <v>K0K 1S0</v>
      </c>
      <c r="E7182" s="3" t="str">
        <f>IFERROR(__xludf.DUMMYFUNCTION("""COMPUTED_VALUE"""),"cindy Gunn")</f>
        <v>cindy Gunn</v>
      </c>
      <c r="F7182" s="3" t="str">
        <f>IFERROR(__xludf.DUMMYFUNCTION("""COMPUTED_VALUE"""),"cindygunn@northmail.ca")</f>
        <v>cindygunn@northmail.ca</v>
      </c>
      <c r="G7182" s="3">
        <f>IFERROR(__xludf.DUMMYFUNCTION("""COMPUTED_VALUE"""),9.053754214E9)</f>
        <v>9053754214</v>
      </c>
      <c r="H7182" s="3"/>
    </row>
    <row r="7183">
      <c r="A7183" s="2">
        <f>IFERROR(__xludf.DUMMYFUNCTION("""COMPUTED_VALUE"""),90510.0)</f>
        <v>90510</v>
      </c>
      <c r="B7183" s="3" t="str">
        <f>IFERROR(__xludf.DUMMYFUNCTION("""COMPUTED_VALUE"""),"103 COLTON ST UNIT 9")</f>
        <v>103 COLTON ST UNIT 9</v>
      </c>
      <c r="C7183" s="3" t="str">
        <f>IFERROR(__xludf.DUMMYFUNCTION("""COMPUTED_VALUE"""),"COLBORNE")</f>
        <v>COLBORNE</v>
      </c>
      <c r="D7183" s="3" t="str">
        <f>IFERROR(__xludf.DUMMYFUNCTION("""COMPUTED_VALUE"""),"K0K 1S0")</f>
        <v>K0K 1S0</v>
      </c>
      <c r="E7183" s="3" t="str">
        <f>IFERROR(__xludf.DUMMYFUNCTION("""COMPUTED_VALUE"""),"Jayson Deslauriers")</f>
        <v>Jayson Deslauriers</v>
      </c>
      <c r="F7183" s="3" t="str">
        <f>IFERROR(__xludf.DUMMYFUNCTION("""COMPUTED_VALUE"""),"jaysonjpd@pm.me")</f>
        <v>jaysonjpd@pm.me</v>
      </c>
      <c r="G7183" s="3">
        <f>IFERROR(__xludf.DUMMYFUNCTION("""COMPUTED_VALUE"""),4.167106039E9)</f>
        <v>4167106039</v>
      </c>
      <c r="H7183" s="3">
        <f>IFERROR(__xludf.DUMMYFUNCTION("""COMPUTED_VALUE"""),4.167230309E9)</f>
        <v>4167230309</v>
      </c>
    </row>
    <row r="7184">
      <c r="A7184" s="2">
        <f>IFERROR(__xludf.DUMMYFUNCTION("""COMPUTED_VALUE"""),90517.0)</f>
        <v>90517</v>
      </c>
      <c r="B7184" s="3" t="str">
        <f>IFERROR(__xludf.DUMMYFUNCTION("""COMPUTED_VALUE"""),"483 COLTON ST  ")</f>
        <v>483 COLTON ST  </v>
      </c>
      <c r="C7184" s="3" t="str">
        <f>IFERROR(__xludf.DUMMYFUNCTION("""COMPUTED_VALUE"""),"COLBORNE")</f>
        <v>COLBORNE</v>
      </c>
      <c r="D7184" s="3" t="str">
        <f>IFERROR(__xludf.DUMMYFUNCTION("""COMPUTED_VALUE"""),"K0K 1S0")</f>
        <v>K0K 1S0</v>
      </c>
      <c r="E7184" s="3"/>
      <c r="F7184" s="3"/>
      <c r="G7184" s="3"/>
      <c r="H7184" s="3"/>
    </row>
    <row r="7185">
      <c r="A7185" s="2">
        <f>IFERROR(__xludf.DUMMYFUNCTION("""COMPUTED_VALUE"""),90519.0)</f>
        <v>90519</v>
      </c>
      <c r="B7185" s="3" t="str">
        <f>IFERROR(__xludf.DUMMYFUNCTION("""COMPUTED_VALUE"""),"495 COLTON ST  ")</f>
        <v>495 COLTON ST  </v>
      </c>
      <c r="C7185" s="3" t="str">
        <f>IFERROR(__xludf.DUMMYFUNCTION("""COMPUTED_VALUE"""),"COLBORNE")</f>
        <v>COLBORNE</v>
      </c>
      <c r="D7185" s="3" t="str">
        <f>IFERROR(__xludf.DUMMYFUNCTION("""COMPUTED_VALUE"""),"K0K 1S0")</f>
        <v>K0K 1S0</v>
      </c>
      <c r="E7185" s="3" t="str">
        <f>IFERROR(__xludf.DUMMYFUNCTION("""COMPUTED_VALUE"""),"Michael Smith")</f>
        <v>Michael Smith</v>
      </c>
      <c r="F7185" s="3" t="str">
        <f>IFERROR(__xludf.DUMMYFUNCTION("""COMPUTED_VALUE"""),"mike.smith2730@yahoo.ca")</f>
        <v>mike.smith2730@yahoo.ca</v>
      </c>
      <c r="G7185" s="3">
        <f>IFERROR(__xludf.DUMMYFUNCTION("""COMPUTED_VALUE"""),9.053555685E9)</f>
        <v>9053555685</v>
      </c>
      <c r="H7185" s="3">
        <f>IFERROR(__xludf.DUMMYFUNCTION("""COMPUTED_VALUE"""),2.893870283E9)</f>
        <v>2893870283</v>
      </c>
    </row>
    <row r="7186">
      <c r="A7186" s="2">
        <f>IFERROR(__xludf.DUMMYFUNCTION("""COMPUTED_VALUE"""),90520.0)</f>
        <v>90520</v>
      </c>
      <c r="B7186" s="3" t="str">
        <f>IFERROR(__xludf.DUMMYFUNCTION("""COMPUTED_VALUE"""),"501 COLTON ST  ")</f>
        <v>501 COLTON ST  </v>
      </c>
      <c r="C7186" s="3" t="str">
        <f>IFERROR(__xludf.DUMMYFUNCTION("""COMPUTED_VALUE"""),"COLBORNE")</f>
        <v>COLBORNE</v>
      </c>
      <c r="D7186" s="3" t="str">
        <f>IFERROR(__xludf.DUMMYFUNCTION("""COMPUTED_VALUE"""),"K0K 1S0")</f>
        <v>K0K 1S0</v>
      </c>
      <c r="E7186" s="3" t="str">
        <f>IFERROR(__xludf.DUMMYFUNCTION("""COMPUTED_VALUE"""),"Al Boreifazi")</f>
        <v>Al Boreifazi</v>
      </c>
      <c r="F7186" s="3"/>
      <c r="G7186" s="3"/>
      <c r="H7186" s="3"/>
    </row>
    <row r="7187">
      <c r="A7187" s="2">
        <f>IFERROR(__xludf.DUMMYFUNCTION("""COMPUTED_VALUE"""),90512.0)</f>
        <v>90512</v>
      </c>
      <c r="B7187" s="3" t="str">
        <f>IFERROR(__xludf.DUMMYFUNCTION("""COMPUTED_VALUE"""),"104 COLTON ST")</f>
        <v>104 COLTON ST</v>
      </c>
      <c r="C7187" s="3" t="str">
        <f>IFERROR(__xludf.DUMMYFUNCTION("""COMPUTED_VALUE"""),"COLBORNE")</f>
        <v>COLBORNE</v>
      </c>
      <c r="D7187" s="3" t="str">
        <f>IFERROR(__xludf.DUMMYFUNCTION("""COMPUTED_VALUE"""),"K0K 1S0")</f>
        <v>K0K 1S0</v>
      </c>
      <c r="E7187" s="3"/>
      <c r="F7187" s="3"/>
      <c r="G7187" s="3"/>
      <c r="H7187" s="3"/>
    </row>
    <row r="7188">
      <c r="A7188" s="2">
        <f>IFERROR(__xludf.DUMMYFUNCTION("""COMPUTED_VALUE"""),93282.0)</f>
        <v>93282</v>
      </c>
      <c r="B7188" s="3" t="str">
        <f>IFERROR(__xludf.DUMMYFUNCTION("""COMPUTED_VALUE"""),"162 COLTON ST")</f>
        <v>162 COLTON ST</v>
      </c>
      <c r="C7188" s="3" t="str">
        <f>IFERROR(__xludf.DUMMYFUNCTION("""COMPUTED_VALUE"""),"COLBORNE")</f>
        <v>COLBORNE</v>
      </c>
      <c r="D7188" s="3" t="str">
        <f>IFERROR(__xludf.DUMMYFUNCTION("""COMPUTED_VALUE"""),"K0K 1S0")</f>
        <v>K0K 1S0</v>
      </c>
      <c r="E7188" s="3"/>
      <c r="F7188" s="3"/>
      <c r="G7188" s="3"/>
      <c r="H7188" s="3"/>
    </row>
    <row r="7189">
      <c r="A7189" s="2">
        <f>IFERROR(__xludf.DUMMYFUNCTION("""COMPUTED_VALUE"""),90514.0)</f>
        <v>90514</v>
      </c>
      <c r="B7189" s="3" t="str">
        <f>IFERROR(__xludf.DUMMYFUNCTION("""COMPUTED_VALUE"""),"178 COLTON ST")</f>
        <v>178 COLTON ST</v>
      </c>
      <c r="C7189" s="3" t="str">
        <f>IFERROR(__xludf.DUMMYFUNCTION("""COMPUTED_VALUE"""),"COLBORNE")</f>
        <v>COLBORNE</v>
      </c>
      <c r="D7189" s="3" t="str">
        <f>IFERROR(__xludf.DUMMYFUNCTION("""COMPUTED_VALUE"""),"K0K 1S0")</f>
        <v>K0K 1S0</v>
      </c>
      <c r="E7189" s="3" t="str">
        <f>IFERROR(__xludf.DUMMYFUNCTION("""COMPUTED_VALUE"""),"alysia mcmillan rosen `")</f>
        <v>alysia mcmillan rosen `</v>
      </c>
      <c r="F7189" s="3" t="str">
        <f>IFERROR(__xludf.DUMMYFUNCTION("""COMPUTED_VALUE"""),"alysiamcm@gmail.com")</f>
        <v>alysiamcm@gmail.com</v>
      </c>
      <c r="G7189" s="3">
        <f>IFERROR(__xludf.DUMMYFUNCTION("""COMPUTED_VALUE"""),2.898871964E9)</f>
        <v>2898871964</v>
      </c>
      <c r="H7189" s="3"/>
    </row>
    <row r="7190">
      <c r="A7190" s="2">
        <f>IFERROR(__xludf.DUMMYFUNCTION("""COMPUTED_VALUE"""),93283.0)</f>
        <v>93283</v>
      </c>
      <c r="B7190" s="3" t="str">
        <f>IFERROR(__xludf.DUMMYFUNCTION("""COMPUTED_VALUE"""),"281 COLTON ST")</f>
        <v>281 COLTON ST</v>
      </c>
      <c r="C7190" s="3" t="str">
        <f>IFERROR(__xludf.DUMMYFUNCTION("""COMPUTED_VALUE"""),"COLBORNE")</f>
        <v>COLBORNE</v>
      </c>
      <c r="D7190" s="3" t="str">
        <f>IFERROR(__xludf.DUMMYFUNCTION("""COMPUTED_VALUE"""),"K0K 1S0")</f>
        <v>K0K 1S0</v>
      </c>
      <c r="E7190" s="3"/>
      <c r="F7190" s="3"/>
      <c r="G7190" s="3"/>
      <c r="H7190" s="3"/>
    </row>
    <row r="7191">
      <c r="A7191" s="2">
        <f>IFERROR(__xludf.DUMMYFUNCTION("""COMPUTED_VALUE"""),90513.0)</f>
        <v>90513</v>
      </c>
      <c r="B7191" s="3" t="str">
        <f>IFERROR(__xludf.DUMMYFUNCTION("""COMPUTED_VALUE"""),"139 COLTON ST")</f>
        <v>139 COLTON ST</v>
      </c>
      <c r="C7191" s="3" t="str">
        <f>IFERROR(__xludf.DUMMYFUNCTION("""COMPUTED_VALUE"""),"COLBORNE")</f>
        <v>COLBORNE</v>
      </c>
      <c r="D7191" s="3" t="str">
        <f>IFERROR(__xludf.DUMMYFUNCTION("""COMPUTED_VALUE"""),"K0K 1S0")</f>
        <v>K0K 1S0</v>
      </c>
      <c r="E7191" s="3" t="str">
        <f>IFERROR(__xludf.DUMMYFUNCTION("""COMPUTED_VALUE"""),"Joel Schriver")</f>
        <v>Joel Schriver</v>
      </c>
      <c r="F7191" s="3" t="str">
        <f>IFERROR(__xludf.DUMMYFUNCTION("""COMPUTED_VALUE"""),"joel.schriver@gmail.com")</f>
        <v>joel.schriver@gmail.com</v>
      </c>
      <c r="G7191" s="3"/>
      <c r="H7191" s="3"/>
    </row>
    <row r="7192">
      <c r="A7192" s="2">
        <f>IFERROR(__xludf.DUMMYFUNCTION("""COMPUTED_VALUE"""),90712.0)</f>
        <v>90712</v>
      </c>
      <c r="B7192" s="3" t="str">
        <f>IFERROR(__xludf.DUMMYFUNCTION("""COMPUTED_VALUE"""),"15190 COUNTY RD 2")</f>
        <v>15190 COUNTY RD 2</v>
      </c>
      <c r="C7192" s="3"/>
      <c r="D7192" s="3"/>
      <c r="E7192" s="3"/>
      <c r="F7192" s="3"/>
      <c r="G7192" s="3"/>
      <c r="H7192" s="3"/>
    </row>
    <row r="7193">
      <c r="A7193" s="2">
        <f>IFERROR(__xludf.DUMMYFUNCTION("""COMPUTED_VALUE"""),90702.0)</f>
        <v>90702</v>
      </c>
      <c r="B7193" s="3" t="str">
        <f>IFERROR(__xludf.DUMMYFUNCTION("""COMPUTED_VALUE"""),"15098 COUNTY 2 RD  ")</f>
        <v>15098 COUNTY 2 RD  </v>
      </c>
      <c r="C7193" s="3" t="str">
        <f>IFERROR(__xludf.DUMMYFUNCTION("""COMPUTED_VALUE"""),"BRIGHTON")</f>
        <v>BRIGHTON</v>
      </c>
      <c r="D7193" s="3" t="str">
        <f>IFERROR(__xludf.DUMMYFUNCTION("""COMPUTED_VALUE"""),"K0K 1H0")</f>
        <v>K0K 1H0</v>
      </c>
      <c r="E7193" s="3"/>
      <c r="F7193" s="3"/>
      <c r="G7193" s="3"/>
      <c r="H7193" s="3"/>
    </row>
    <row r="7194">
      <c r="A7194" s="2">
        <f>IFERROR(__xludf.DUMMYFUNCTION("""COMPUTED_VALUE"""),93247.0)</f>
        <v>93247</v>
      </c>
      <c r="B7194" s="3" t="str">
        <f>IFERROR(__xludf.DUMMYFUNCTION("""COMPUTED_VALUE"""),"15132 COUNTY 2 RD  ")</f>
        <v>15132 COUNTY 2 RD  </v>
      </c>
      <c r="C7194" s="3" t="str">
        <f>IFERROR(__xludf.DUMMYFUNCTION("""COMPUTED_VALUE"""),"BRIGHTON")</f>
        <v>BRIGHTON</v>
      </c>
      <c r="D7194" s="3" t="str">
        <f>IFERROR(__xludf.DUMMYFUNCTION("""COMPUTED_VALUE"""),"K0K 1H0")</f>
        <v>K0K 1H0</v>
      </c>
      <c r="E7194" s="3"/>
      <c r="F7194" s="3"/>
      <c r="G7194" s="3"/>
      <c r="H7194" s="3"/>
    </row>
    <row r="7195">
      <c r="A7195" s="2">
        <f>IFERROR(__xludf.DUMMYFUNCTION("""COMPUTED_VALUE"""),90704.0)</f>
        <v>90704</v>
      </c>
      <c r="B7195" s="3" t="str">
        <f>IFERROR(__xludf.DUMMYFUNCTION("""COMPUTED_VALUE"""),"15144 COUNTY 2 RD  ")</f>
        <v>15144 COUNTY 2 RD  </v>
      </c>
      <c r="C7195" s="3" t="str">
        <f>IFERROR(__xludf.DUMMYFUNCTION("""COMPUTED_VALUE"""),"BRIGHTON")</f>
        <v>BRIGHTON</v>
      </c>
      <c r="D7195" s="3" t="str">
        <f>IFERROR(__xludf.DUMMYFUNCTION("""COMPUTED_VALUE"""),"K0K 1H0")</f>
        <v>K0K 1H0</v>
      </c>
      <c r="E7195" s="3"/>
      <c r="F7195" s="3"/>
      <c r="G7195" s="3"/>
      <c r="H7195" s="3"/>
    </row>
    <row r="7196">
      <c r="A7196" s="2">
        <f>IFERROR(__xludf.DUMMYFUNCTION("""COMPUTED_VALUE"""),90705.0)</f>
        <v>90705</v>
      </c>
      <c r="B7196" s="3" t="str">
        <f>IFERROR(__xludf.DUMMYFUNCTION("""COMPUTED_VALUE"""),"15150 COUNTY 2 RD  ")</f>
        <v>15150 COUNTY 2 RD  </v>
      </c>
      <c r="C7196" s="3" t="str">
        <f>IFERROR(__xludf.DUMMYFUNCTION("""COMPUTED_VALUE"""),"BRIGHTON")</f>
        <v>BRIGHTON</v>
      </c>
      <c r="D7196" s="3" t="str">
        <f>IFERROR(__xludf.DUMMYFUNCTION("""COMPUTED_VALUE"""),"K0K 1H0")</f>
        <v>K0K 1H0</v>
      </c>
      <c r="E7196" s="3"/>
      <c r="F7196" s="3"/>
      <c r="G7196" s="3"/>
      <c r="H7196" s="3"/>
    </row>
    <row r="7197">
      <c r="A7197" s="2">
        <f>IFERROR(__xludf.DUMMYFUNCTION("""COMPUTED_VALUE"""),90707.0)</f>
        <v>90707</v>
      </c>
      <c r="B7197" s="3" t="str">
        <f>IFERROR(__xludf.DUMMYFUNCTION("""COMPUTED_VALUE"""),"15160 COUNTY 2 RD  ")</f>
        <v>15160 COUNTY 2 RD  </v>
      </c>
      <c r="C7197" s="3" t="str">
        <f>IFERROR(__xludf.DUMMYFUNCTION("""COMPUTED_VALUE"""),"BRIGHTON")</f>
        <v>BRIGHTON</v>
      </c>
      <c r="D7197" s="3" t="str">
        <f>IFERROR(__xludf.DUMMYFUNCTION("""COMPUTED_VALUE"""),"K0K 1H0")</f>
        <v>K0K 1H0</v>
      </c>
      <c r="E7197" s="3"/>
      <c r="F7197" s="3"/>
      <c r="G7197" s="3"/>
      <c r="H7197" s="3"/>
    </row>
    <row r="7198">
      <c r="A7198" s="2">
        <f>IFERROR(__xludf.DUMMYFUNCTION("""COMPUTED_VALUE"""),90708.0)</f>
        <v>90708</v>
      </c>
      <c r="B7198" s="3" t="str">
        <f>IFERROR(__xludf.DUMMYFUNCTION("""COMPUTED_VALUE"""),"15162 COUNTY 2 RD  ")</f>
        <v>15162 COUNTY 2 RD  </v>
      </c>
      <c r="C7198" s="3" t="str">
        <f>IFERROR(__xludf.DUMMYFUNCTION("""COMPUTED_VALUE"""),"BRIGHTON")</f>
        <v>BRIGHTON</v>
      </c>
      <c r="D7198" s="3" t="str">
        <f>IFERROR(__xludf.DUMMYFUNCTION("""COMPUTED_VALUE"""),"K0K 1H0")</f>
        <v>K0K 1H0</v>
      </c>
      <c r="E7198" s="3" t="str">
        <f>IFERROR(__xludf.DUMMYFUNCTION("""COMPUTED_VALUE"""),"courtney barnes and dean weinstein")</f>
        <v>courtney barnes and dean weinstein</v>
      </c>
      <c r="F7198" s="3" t="str">
        <f>IFERROR(__xludf.DUMMYFUNCTION("""COMPUTED_VALUE"""),"courtney.k.barnes86@gmail.com")</f>
        <v>courtney.k.barnes86@gmail.com</v>
      </c>
      <c r="G7198" s="3">
        <f>IFERROR(__xludf.DUMMYFUNCTION("""COMPUTED_VALUE"""),6.472681864E9)</f>
        <v>6472681864</v>
      </c>
      <c r="H7198" s="3"/>
    </row>
    <row r="7199">
      <c r="A7199" s="2">
        <f>IFERROR(__xludf.DUMMYFUNCTION("""COMPUTED_VALUE"""),90709.0)</f>
        <v>90709</v>
      </c>
      <c r="B7199" s="3" t="str">
        <f>IFERROR(__xludf.DUMMYFUNCTION("""COMPUTED_VALUE"""),"15170 COUNTY 2 RD  ")</f>
        <v>15170 COUNTY 2 RD  </v>
      </c>
      <c r="C7199" s="3" t="str">
        <f>IFERROR(__xludf.DUMMYFUNCTION("""COMPUTED_VALUE"""),"BRIGHTON")</f>
        <v>BRIGHTON</v>
      </c>
      <c r="D7199" s="3" t="str">
        <f>IFERROR(__xludf.DUMMYFUNCTION("""COMPUTED_VALUE"""),"K0K 1H0")</f>
        <v>K0K 1H0</v>
      </c>
      <c r="E7199" s="3" t="str">
        <f>IFERROR(__xludf.DUMMYFUNCTION("""COMPUTED_VALUE"""),"eric poulton")</f>
        <v>eric poulton</v>
      </c>
      <c r="F7199" s="3" t="str">
        <f>IFERROR(__xludf.DUMMYFUNCTION("""COMPUTED_VALUE"""),"poulton1@hotmail.com")</f>
        <v>poulton1@hotmail.com</v>
      </c>
      <c r="G7199" s="3">
        <f>IFERROR(__xludf.DUMMYFUNCTION("""COMPUTED_VALUE"""),9.052697515E9)</f>
        <v>9052697515</v>
      </c>
      <c r="H7199" s="3">
        <f>IFERROR(__xludf.DUMMYFUNCTION("""COMPUTED_VALUE"""),9.053739735E9)</f>
        <v>9053739735</v>
      </c>
    </row>
    <row r="7200">
      <c r="A7200" s="2">
        <f>IFERROR(__xludf.DUMMYFUNCTION("""COMPUTED_VALUE"""),90710.0)</f>
        <v>90710</v>
      </c>
      <c r="B7200" s="3" t="str">
        <f>IFERROR(__xludf.DUMMYFUNCTION("""COMPUTED_VALUE"""),"15182 COUNTY 2 RD  ")</f>
        <v>15182 COUNTY 2 RD  </v>
      </c>
      <c r="C7200" s="3" t="str">
        <f>IFERROR(__xludf.DUMMYFUNCTION("""COMPUTED_VALUE"""),"BRIGHTON")</f>
        <v>BRIGHTON</v>
      </c>
      <c r="D7200" s="3" t="str">
        <f>IFERROR(__xludf.DUMMYFUNCTION("""COMPUTED_VALUE"""),"K0K 1H0")</f>
        <v>K0K 1H0</v>
      </c>
      <c r="E7200" s="3" t="str">
        <f>IFERROR(__xludf.DUMMYFUNCTION("""COMPUTED_VALUE"""),"greg taylor ")</f>
        <v>greg taylor </v>
      </c>
      <c r="F7200" s="3" t="str">
        <f>IFERROR(__xludf.DUMMYFUNCTION("""COMPUTED_VALUE"""),"guamite2@gmail.com")</f>
        <v>guamite2@gmail.com</v>
      </c>
      <c r="G7200" s="3">
        <f>IFERROR(__xludf.DUMMYFUNCTION("""COMPUTED_VALUE"""),6.134751517E9)</f>
        <v>6134751517</v>
      </c>
      <c r="H7200" s="3"/>
    </row>
    <row r="7201">
      <c r="A7201" s="2">
        <f>IFERROR(__xludf.DUMMYFUNCTION("""COMPUTED_VALUE"""),90711.0)</f>
        <v>90711</v>
      </c>
      <c r="B7201" s="3" t="str">
        <f>IFERROR(__xludf.DUMMYFUNCTION("""COMPUTED_VALUE"""),"15188 COUNTY 2 RD  ")</f>
        <v>15188 COUNTY 2 RD  </v>
      </c>
      <c r="C7201" s="3" t="str">
        <f>IFERROR(__xludf.DUMMYFUNCTION("""COMPUTED_VALUE"""),"BRIGHTON")</f>
        <v>BRIGHTON</v>
      </c>
      <c r="D7201" s="3" t="str">
        <f>IFERROR(__xludf.DUMMYFUNCTION("""COMPUTED_VALUE"""),"K0K 1H0")</f>
        <v>K0K 1H0</v>
      </c>
      <c r="E7201" s="3"/>
      <c r="F7201" s="3"/>
      <c r="G7201" s="3"/>
      <c r="H7201" s="3"/>
    </row>
    <row r="7202">
      <c r="A7202" s="2">
        <f>IFERROR(__xludf.DUMMYFUNCTION("""COMPUTED_VALUE"""),90706.0)</f>
        <v>90706</v>
      </c>
      <c r="B7202" s="3" t="str">
        <f>IFERROR(__xludf.DUMMYFUNCTION("""COMPUTED_VALUE"""),"15158 COUNTY 2 RD  ")</f>
        <v>15158 COUNTY 2 RD  </v>
      </c>
      <c r="C7202" s="3" t="str">
        <f>IFERROR(__xludf.DUMMYFUNCTION("""COMPUTED_VALUE"""),"BRIGHTON")</f>
        <v>BRIGHTON</v>
      </c>
      <c r="D7202" s="3" t="str">
        <f>IFERROR(__xludf.DUMMYFUNCTION("""COMPUTED_VALUE"""),"K0K 1H0")</f>
        <v>K0K 1H0</v>
      </c>
      <c r="E7202" s="3" t="str">
        <f>IFERROR(__xludf.DUMMYFUNCTION("""COMPUTED_VALUE"""),"Raymond Caouette")</f>
        <v>Raymond Caouette</v>
      </c>
      <c r="F7202" s="3" t="str">
        <f>IFERROR(__xludf.DUMMYFUNCTION("""COMPUTED_VALUE"""),"grizou365@hotmail.com")</f>
        <v>grizou365@hotmail.com</v>
      </c>
      <c r="G7202" s="3">
        <f>IFERROR(__xludf.DUMMYFUNCTION("""COMPUTED_VALUE"""),4.189334278E9)</f>
        <v>4189334278</v>
      </c>
      <c r="H7202" s="3">
        <f>IFERROR(__xludf.DUMMYFUNCTION("""COMPUTED_VALUE"""),6.139211443E9)</f>
        <v>6139211443</v>
      </c>
    </row>
    <row r="7203">
      <c r="A7203" s="2">
        <f>IFERROR(__xludf.DUMMYFUNCTION("""COMPUTED_VALUE"""),90585.0)</f>
        <v>90585</v>
      </c>
      <c r="B7203" s="3" t="str">
        <f>IFERROR(__xludf.DUMMYFUNCTION("""COMPUTED_VALUE"""),"13715 COUNTY RD 2")</f>
        <v>13715 COUNTY RD 2</v>
      </c>
      <c r="C7203" s="3" t="str">
        <f>IFERROR(__xludf.DUMMYFUNCTION("""COMPUTED_VALUE"""),"COLBORNE")</f>
        <v>COLBORNE</v>
      </c>
      <c r="D7203" s="3" t="str">
        <f>IFERROR(__xludf.DUMMYFUNCTION("""COMPUTED_VALUE"""),"K0K 1S0")</f>
        <v>K0K 1S0</v>
      </c>
      <c r="E7203" s="3"/>
      <c r="F7203" s="3"/>
      <c r="G7203" s="3"/>
      <c r="H7203" s="3"/>
    </row>
    <row r="7204">
      <c r="A7204" s="2">
        <f>IFERROR(__xludf.DUMMYFUNCTION("""COMPUTED_VALUE"""),90567.0)</f>
        <v>90567</v>
      </c>
      <c r="B7204" s="3" t="str">
        <f>IFERROR(__xludf.DUMMYFUNCTION("""COMPUTED_VALUE"""),"13519 COUNTY 2 RD  ")</f>
        <v>13519 COUNTY 2 RD  </v>
      </c>
      <c r="C7204" s="3" t="str">
        <f>IFERROR(__xludf.DUMMYFUNCTION("""COMPUTED_VALUE"""),"COLBORNE")</f>
        <v>COLBORNE</v>
      </c>
      <c r="D7204" s="3" t="str">
        <f>IFERROR(__xludf.DUMMYFUNCTION("""COMPUTED_VALUE"""),"K0K 1S0")</f>
        <v>K0K 1S0</v>
      </c>
      <c r="E7204" s="3"/>
      <c r="F7204" s="3"/>
      <c r="G7204" s="3"/>
      <c r="H7204" s="3"/>
    </row>
    <row r="7205">
      <c r="A7205" s="2">
        <f>IFERROR(__xludf.DUMMYFUNCTION("""COMPUTED_VALUE"""),90568.0)</f>
        <v>90568</v>
      </c>
      <c r="B7205" s="3" t="str">
        <f>IFERROR(__xludf.DUMMYFUNCTION("""COMPUTED_VALUE"""),"13533 COUNTY 2 RD  ")</f>
        <v>13533 COUNTY 2 RD  </v>
      </c>
      <c r="C7205" s="3" t="str">
        <f>IFERROR(__xludf.DUMMYFUNCTION("""COMPUTED_VALUE"""),"COLBORNE")</f>
        <v>COLBORNE</v>
      </c>
      <c r="D7205" s="3" t="str">
        <f>IFERROR(__xludf.DUMMYFUNCTION("""COMPUTED_VALUE"""),"K0K 1S0")</f>
        <v>K0K 1S0</v>
      </c>
      <c r="E7205" s="3"/>
      <c r="F7205" s="3"/>
      <c r="G7205" s="3"/>
      <c r="H7205" s="3"/>
    </row>
    <row r="7206">
      <c r="A7206" s="2">
        <f>IFERROR(__xludf.DUMMYFUNCTION("""COMPUTED_VALUE"""),90571.0)</f>
        <v>90571</v>
      </c>
      <c r="B7206" s="3" t="str">
        <f>IFERROR(__xludf.DUMMYFUNCTION("""COMPUTED_VALUE"""),"13551 COUNTY 2 RD  ")</f>
        <v>13551 COUNTY 2 RD  </v>
      </c>
      <c r="C7206" s="3" t="str">
        <f>IFERROR(__xludf.DUMMYFUNCTION("""COMPUTED_VALUE"""),"COLBORNE")</f>
        <v>COLBORNE</v>
      </c>
      <c r="D7206" s="3" t="str">
        <f>IFERROR(__xludf.DUMMYFUNCTION("""COMPUTED_VALUE"""),"K0K 1S0")</f>
        <v>K0K 1S0</v>
      </c>
      <c r="E7206" s="3"/>
      <c r="F7206" s="3"/>
      <c r="G7206" s="3"/>
      <c r="H7206" s="3"/>
    </row>
    <row r="7207">
      <c r="A7207" s="2">
        <f>IFERROR(__xludf.DUMMYFUNCTION("""COMPUTED_VALUE"""),90575.0)</f>
        <v>90575</v>
      </c>
      <c r="B7207" s="3" t="str">
        <f>IFERROR(__xludf.DUMMYFUNCTION("""COMPUTED_VALUE"""),"13589 COUNTY 2 RD  ")</f>
        <v>13589 COUNTY 2 RD  </v>
      </c>
      <c r="C7207" s="3" t="str">
        <f>IFERROR(__xludf.DUMMYFUNCTION("""COMPUTED_VALUE"""),"COLBORNE")</f>
        <v>COLBORNE</v>
      </c>
      <c r="D7207" s="3" t="str">
        <f>IFERROR(__xludf.DUMMYFUNCTION("""COMPUTED_VALUE"""),"K0K 1S0")</f>
        <v>K0K 1S0</v>
      </c>
      <c r="E7207" s="3"/>
      <c r="F7207" s="3"/>
      <c r="G7207" s="3"/>
      <c r="H7207" s="3"/>
    </row>
    <row r="7208">
      <c r="A7208" s="2">
        <f>IFERROR(__xludf.DUMMYFUNCTION("""COMPUTED_VALUE"""),90578.0)</f>
        <v>90578</v>
      </c>
      <c r="B7208" s="3" t="str">
        <f>IFERROR(__xludf.DUMMYFUNCTION("""COMPUTED_VALUE"""),"13655 COUNTY 2 RD  ")</f>
        <v>13655 COUNTY 2 RD  </v>
      </c>
      <c r="C7208" s="3" t="str">
        <f>IFERROR(__xludf.DUMMYFUNCTION("""COMPUTED_VALUE"""),"COLBORNE")</f>
        <v>COLBORNE</v>
      </c>
      <c r="D7208" s="3" t="str">
        <f>IFERROR(__xludf.DUMMYFUNCTION("""COMPUTED_VALUE"""),"K0K 1S0")</f>
        <v>K0K 1S0</v>
      </c>
      <c r="E7208" s="3"/>
      <c r="F7208" s="3"/>
      <c r="G7208" s="3"/>
      <c r="H7208" s="3"/>
    </row>
    <row r="7209">
      <c r="A7209" s="2">
        <f>IFERROR(__xludf.DUMMYFUNCTION("""COMPUTED_VALUE"""),90579.0)</f>
        <v>90579</v>
      </c>
      <c r="B7209" s="3" t="str">
        <f>IFERROR(__xludf.DUMMYFUNCTION("""COMPUTED_VALUE"""),"13663 COUNTY 2 RD  ")</f>
        <v>13663 COUNTY 2 RD  </v>
      </c>
      <c r="C7209" s="3" t="str">
        <f>IFERROR(__xludf.DUMMYFUNCTION("""COMPUTED_VALUE"""),"COLBORNE")</f>
        <v>COLBORNE</v>
      </c>
      <c r="D7209" s="3" t="str">
        <f>IFERROR(__xludf.DUMMYFUNCTION("""COMPUTED_VALUE"""),"K0K 1S0")</f>
        <v>K0K 1S0</v>
      </c>
      <c r="E7209" s="3"/>
      <c r="F7209" s="3"/>
      <c r="G7209" s="3"/>
      <c r="H7209" s="3"/>
    </row>
    <row r="7210">
      <c r="A7210" s="2">
        <f>IFERROR(__xludf.DUMMYFUNCTION("""COMPUTED_VALUE"""),90581.0)</f>
        <v>90581</v>
      </c>
      <c r="B7210" s="3" t="str">
        <f>IFERROR(__xludf.DUMMYFUNCTION("""COMPUTED_VALUE"""),"13679 COUNTY 2 RD  ")</f>
        <v>13679 COUNTY 2 RD  </v>
      </c>
      <c r="C7210" s="3" t="str">
        <f>IFERROR(__xludf.DUMMYFUNCTION("""COMPUTED_VALUE"""),"COLBORNE")</f>
        <v>COLBORNE</v>
      </c>
      <c r="D7210" s="3" t="str">
        <f>IFERROR(__xludf.DUMMYFUNCTION("""COMPUTED_VALUE"""),"K0K 1S0")</f>
        <v>K0K 1S0</v>
      </c>
      <c r="E7210" s="3"/>
      <c r="F7210" s="3"/>
      <c r="G7210" s="3"/>
      <c r="H7210" s="3"/>
    </row>
    <row r="7211">
      <c r="A7211" s="2">
        <f>IFERROR(__xludf.DUMMYFUNCTION("""COMPUTED_VALUE"""),90582.0)</f>
        <v>90582</v>
      </c>
      <c r="B7211" s="3" t="str">
        <f>IFERROR(__xludf.DUMMYFUNCTION("""COMPUTED_VALUE"""),"13685 COUNTY 2 RD  ")</f>
        <v>13685 COUNTY 2 RD  </v>
      </c>
      <c r="C7211" s="3" t="str">
        <f>IFERROR(__xludf.DUMMYFUNCTION("""COMPUTED_VALUE"""),"COLBORNE")</f>
        <v>COLBORNE</v>
      </c>
      <c r="D7211" s="3" t="str">
        <f>IFERROR(__xludf.DUMMYFUNCTION("""COMPUTED_VALUE"""),"K0K 1S0")</f>
        <v>K0K 1S0</v>
      </c>
      <c r="E7211" s="3"/>
      <c r="F7211" s="3"/>
      <c r="G7211" s="3"/>
      <c r="H7211" s="3"/>
    </row>
    <row r="7212">
      <c r="A7212" s="2">
        <f>IFERROR(__xludf.DUMMYFUNCTION("""COMPUTED_VALUE"""),90584.0)</f>
        <v>90584</v>
      </c>
      <c r="B7212" s="3" t="str">
        <f>IFERROR(__xludf.DUMMYFUNCTION("""COMPUTED_VALUE"""),"13707 COUNTY 2 RD  ")</f>
        <v>13707 COUNTY 2 RD  </v>
      </c>
      <c r="C7212" s="3" t="str">
        <f>IFERROR(__xludf.DUMMYFUNCTION("""COMPUTED_VALUE"""),"COLBORNE")</f>
        <v>COLBORNE</v>
      </c>
      <c r="D7212" s="3" t="str">
        <f>IFERROR(__xludf.DUMMYFUNCTION("""COMPUTED_VALUE"""),"K0K 1S0")</f>
        <v>K0K 1S0</v>
      </c>
      <c r="E7212" s="3"/>
      <c r="F7212" s="3"/>
      <c r="G7212" s="3"/>
      <c r="H7212" s="3"/>
    </row>
    <row r="7213">
      <c r="A7213" s="2">
        <f>IFERROR(__xludf.DUMMYFUNCTION("""COMPUTED_VALUE"""),90587.0)</f>
        <v>90587</v>
      </c>
      <c r="B7213" s="3" t="str">
        <f>IFERROR(__xludf.DUMMYFUNCTION("""COMPUTED_VALUE"""),"13729 COUNTY 2 RD  ")</f>
        <v>13729 COUNTY 2 RD  </v>
      </c>
      <c r="C7213" s="3" t="str">
        <f>IFERROR(__xludf.DUMMYFUNCTION("""COMPUTED_VALUE"""),"COLBORNE")</f>
        <v>COLBORNE</v>
      </c>
      <c r="D7213" s="3" t="str">
        <f>IFERROR(__xludf.DUMMYFUNCTION("""COMPUTED_VALUE"""),"K0K 1S0")</f>
        <v>K0K 1S0</v>
      </c>
      <c r="E7213" s="3"/>
      <c r="F7213" s="3"/>
      <c r="G7213" s="3"/>
      <c r="H7213" s="3"/>
    </row>
    <row r="7214">
      <c r="A7214" s="2">
        <f>IFERROR(__xludf.DUMMYFUNCTION("""COMPUTED_VALUE"""),90588.0)</f>
        <v>90588</v>
      </c>
      <c r="B7214" s="3" t="str">
        <f>IFERROR(__xludf.DUMMYFUNCTION("""COMPUTED_VALUE"""),"13749 COUNTY 2 RD  ")</f>
        <v>13749 COUNTY 2 RD  </v>
      </c>
      <c r="C7214" s="3" t="str">
        <f>IFERROR(__xludf.DUMMYFUNCTION("""COMPUTED_VALUE"""),"COLBORNE")</f>
        <v>COLBORNE</v>
      </c>
      <c r="D7214" s="3" t="str">
        <f>IFERROR(__xludf.DUMMYFUNCTION("""COMPUTED_VALUE"""),"K0K 1S0")</f>
        <v>K0K 1S0</v>
      </c>
      <c r="E7214" s="3"/>
      <c r="F7214" s="3"/>
      <c r="G7214" s="3"/>
      <c r="H7214" s="3"/>
    </row>
    <row r="7215">
      <c r="A7215" s="2">
        <f>IFERROR(__xludf.DUMMYFUNCTION("""COMPUTED_VALUE"""),90589.0)</f>
        <v>90589</v>
      </c>
      <c r="B7215" s="3" t="str">
        <f>IFERROR(__xludf.DUMMYFUNCTION("""COMPUTED_VALUE"""),"13785 COUNTY 2 RD  ")</f>
        <v>13785 COUNTY 2 RD  </v>
      </c>
      <c r="C7215" s="3" t="str">
        <f>IFERROR(__xludf.DUMMYFUNCTION("""COMPUTED_VALUE"""),"COLBORNE")</f>
        <v>COLBORNE</v>
      </c>
      <c r="D7215" s="3" t="str">
        <f>IFERROR(__xludf.DUMMYFUNCTION("""COMPUTED_VALUE"""),"K0K 1S0")</f>
        <v>K0K 1S0</v>
      </c>
      <c r="E7215" s="3"/>
      <c r="F7215" s="3"/>
      <c r="G7215" s="3"/>
      <c r="H7215" s="3"/>
    </row>
    <row r="7216">
      <c r="A7216" s="2">
        <f>IFERROR(__xludf.DUMMYFUNCTION("""COMPUTED_VALUE"""),90591.0)</f>
        <v>90591</v>
      </c>
      <c r="B7216" s="3" t="str">
        <f>IFERROR(__xludf.DUMMYFUNCTION("""COMPUTED_VALUE"""),"13795 COUNTY 2 RD  ")</f>
        <v>13795 COUNTY 2 RD  </v>
      </c>
      <c r="C7216" s="3" t="str">
        <f>IFERROR(__xludf.DUMMYFUNCTION("""COMPUTED_VALUE"""),"COLBORNE")</f>
        <v>COLBORNE</v>
      </c>
      <c r="D7216" s="3" t="str">
        <f>IFERROR(__xludf.DUMMYFUNCTION("""COMPUTED_VALUE"""),"K0K 1S0")</f>
        <v>K0K 1S0</v>
      </c>
      <c r="E7216" s="3"/>
      <c r="F7216" s="3"/>
      <c r="G7216" s="3"/>
      <c r="H7216" s="3"/>
    </row>
    <row r="7217">
      <c r="A7217" s="2">
        <f>IFERROR(__xludf.DUMMYFUNCTION("""COMPUTED_VALUE"""),93290.0)</f>
        <v>93290</v>
      </c>
      <c r="B7217" s="3" t="str">
        <f>IFERROR(__xludf.DUMMYFUNCTION("""COMPUTED_VALUE"""),"159 COUNTY 26 RD  ")</f>
        <v>159 COUNTY 26 RD  </v>
      </c>
      <c r="C7217" s="3"/>
      <c r="D7217" s="3"/>
      <c r="E7217" s="3"/>
      <c r="F7217" s="3"/>
      <c r="G7217" s="3"/>
      <c r="H7217" s="3"/>
    </row>
    <row r="7218">
      <c r="A7218" s="2">
        <f>IFERROR(__xludf.DUMMYFUNCTION("""COMPUTED_VALUE"""),90784.0)</f>
        <v>90784</v>
      </c>
      <c r="B7218" s="3" t="str">
        <f>IFERROR(__xludf.DUMMYFUNCTION("""COMPUTED_VALUE"""),"150 COUNTY 26 RD  ")</f>
        <v>150 COUNTY 26 RD  </v>
      </c>
      <c r="C7218" s="3" t="str">
        <f>IFERROR(__xludf.DUMMYFUNCTION("""COMPUTED_VALUE"""),"BRIGHTON")</f>
        <v>BRIGHTON</v>
      </c>
      <c r="D7218" s="3" t="str">
        <f>IFERROR(__xludf.DUMMYFUNCTION("""COMPUTED_VALUE"""),"K0K 1H0")</f>
        <v>K0K 1H0</v>
      </c>
      <c r="E7218" s="3" t="str">
        <f>IFERROR(__xludf.DUMMYFUNCTION("""COMPUTED_VALUE"""),"Elaine Poot")</f>
        <v>Elaine Poot</v>
      </c>
      <c r="F7218" s="3" t="str">
        <f>IFERROR(__xludf.DUMMYFUNCTION("""COMPUTED_VALUE"""),"therobbinsnest53@gmail.com")</f>
        <v>therobbinsnest53@gmail.com</v>
      </c>
      <c r="G7218" s="3">
        <f>IFERROR(__xludf.DUMMYFUNCTION("""COMPUTED_VALUE"""),6.134750578E9)</f>
        <v>6134750578</v>
      </c>
      <c r="H7218" s="3"/>
    </row>
    <row r="7219">
      <c r="A7219" s="2">
        <f>IFERROR(__xludf.DUMMYFUNCTION("""COMPUTED_VALUE"""),90786.0)</f>
        <v>90786</v>
      </c>
      <c r="B7219" s="3" t="str">
        <f>IFERROR(__xludf.DUMMYFUNCTION("""COMPUTED_VALUE"""),"205 COUNTY 26 RD  ")</f>
        <v>205 COUNTY 26 RD  </v>
      </c>
      <c r="C7219" s="3" t="str">
        <f>IFERROR(__xludf.DUMMYFUNCTION("""COMPUTED_VALUE"""),"BRIGHTON")</f>
        <v>BRIGHTON</v>
      </c>
      <c r="D7219" s="3" t="str">
        <f>IFERROR(__xludf.DUMMYFUNCTION("""COMPUTED_VALUE"""),"K0K 1H0")</f>
        <v>K0K 1H0</v>
      </c>
      <c r="E7219" s="3" t="str">
        <f>IFERROR(__xludf.DUMMYFUNCTION("""COMPUTED_VALUE"""),"jake maynard ")</f>
        <v>jake maynard </v>
      </c>
      <c r="F7219" s="3" t="str">
        <f>IFERROR(__xludf.DUMMYFUNCTION("""COMPUTED_VALUE"""),"contracting.jase@gmail.com")</f>
        <v>contracting.jase@gmail.com</v>
      </c>
      <c r="G7219" s="3">
        <f>IFERROR(__xludf.DUMMYFUNCTION("""COMPUTED_VALUE"""),6.138488536E9)</f>
        <v>6138488536</v>
      </c>
      <c r="H7219" s="3"/>
    </row>
    <row r="7220">
      <c r="A7220" s="2">
        <f>IFERROR(__xludf.DUMMYFUNCTION("""COMPUTED_VALUE"""),90788.0)</f>
        <v>90788</v>
      </c>
      <c r="B7220" s="3" t="str">
        <f>IFERROR(__xludf.DUMMYFUNCTION("""COMPUTED_VALUE"""),"212 COUNTY 26 RD  ")</f>
        <v>212 COUNTY 26 RD  </v>
      </c>
      <c r="C7220" s="3" t="str">
        <f>IFERROR(__xludf.DUMMYFUNCTION("""COMPUTED_VALUE"""),"BRIGHTON")</f>
        <v>BRIGHTON</v>
      </c>
      <c r="D7220" s="3" t="str">
        <f>IFERROR(__xludf.DUMMYFUNCTION("""COMPUTED_VALUE"""),"K0K 1H0")</f>
        <v>K0K 1H0</v>
      </c>
      <c r="E7220" s="3"/>
      <c r="F7220" s="3"/>
      <c r="G7220" s="3"/>
      <c r="H7220" s="3"/>
    </row>
    <row r="7221">
      <c r="A7221" s="2">
        <f>IFERROR(__xludf.DUMMYFUNCTION("""COMPUTED_VALUE"""),90789.0)</f>
        <v>90789</v>
      </c>
      <c r="B7221" s="3" t="str">
        <f>IFERROR(__xludf.DUMMYFUNCTION("""COMPUTED_VALUE"""),"268 COUNTY 26 RD  ")</f>
        <v>268 COUNTY 26 RD  </v>
      </c>
      <c r="C7221" s="3" t="str">
        <f>IFERROR(__xludf.DUMMYFUNCTION("""COMPUTED_VALUE"""),"BRIGHTON")</f>
        <v>BRIGHTON</v>
      </c>
      <c r="D7221" s="3" t="str">
        <f>IFERROR(__xludf.DUMMYFUNCTION("""COMPUTED_VALUE"""),"K0K 1H0")</f>
        <v>K0K 1H0</v>
      </c>
      <c r="E7221" s="3" t="str">
        <f>IFERROR(__xludf.DUMMYFUNCTION("""COMPUTED_VALUE"""),"Paul Hains")</f>
        <v>Paul Hains</v>
      </c>
      <c r="F7221" s="3" t="str">
        <f>IFERROR(__xludf.DUMMYFUNCTION("""COMPUTED_VALUE"""),"hains21pas@gmail.com")</f>
        <v>hains21pas@gmail.com</v>
      </c>
      <c r="G7221" s="3">
        <f>IFERROR(__xludf.DUMMYFUNCTION("""COMPUTED_VALUE"""),6.479681925E9)</f>
        <v>6479681925</v>
      </c>
      <c r="H7221" s="3">
        <f>IFERROR(__xludf.DUMMYFUNCTION("""COMPUTED_VALUE"""),6.478671202E9)</f>
        <v>6478671202</v>
      </c>
    </row>
    <row r="7222">
      <c r="A7222" s="2">
        <f>IFERROR(__xludf.DUMMYFUNCTION("""COMPUTED_VALUE"""),90790.0)</f>
        <v>90790</v>
      </c>
      <c r="B7222" s="3" t="str">
        <f>IFERROR(__xludf.DUMMYFUNCTION("""COMPUTED_VALUE"""),"306 COUNTY 26 RD  ")</f>
        <v>306 COUNTY 26 RD  </v>
      </c>
      <c r="C7222" s="3" t="str">
        <f>IFERROR(__xludf.DUMMYFUNCTION("""COMPUTED_VALUE"""),"BRIGHTON")</f>
        <v>BRIGHTON</v>
      </c>
      <c r="D7222" s="3" t="str">
        <f>IFERROR(__xludf.DUMMYFUNCTION("""COMPUTED_VALUE"""),"K0K 1H0")</f>
        <v>K0K 1H0</v>
      </c>
      <c r="E7222" s="3"/>
      <c r="F7222" s="3"/>
      <c r="G7222" s="3"/>
      <c r="H7222" s="3"/>
    </row>
    <row r="7223">
      <c r="A7223" s="2">
        <f>IFERROR(__xludf.DUMMYFUNCTION("""COMPUTED_VALUE"""),90792.0)</f>
        <v>90792</v>
      </c>
      <c r="B7223" s="3" t="str">
        <f>IFERROR(__xludf.DUMMYFUNCTION("""COMPUTED_VALUE"""),"385 COUNTY 26 RD  ")</f>
        <v>385 COUNTY 26 RD  </v>
      </c>
      <c r="C7223" s="3" t="str">
        <f>IFERROR(__xludf.DUMMYFUNCTION("""COMPUTED_VALUE"""),"BRIGHTON")</f>
        <v>BRIGHTON</v>
      </c>
      <c r="D7223" s="3" t="str">
        <f>IFERROR(__xludf.DUMMYFUNCTION("""COMPUTED_VALUE"""),"K0K 1H0")</f>
        <v>K0K 1H0</v>
      </c>
      <c r="E7223" s="3"/>
      <c r="F7223" s="3"/>
      <c r="G7223" s="3"/>
      <c r="H7223" s="3"/>
    </row>
    <row r="7224">
      <c r="A7224" s="2">
        <f>IFERROR(__xludf.DUMMYFUNCTION("""COMPUTED_VALUE"""),90793.0)</f>
        <v>90793</v>
      </c>
      <c r="B7224" s="3" t="str">
        <f>IFERROR(__xludf.DUMMYFUNCTION("""COMPUTED_VALUE"""),"407 COUNTY 26 RD  ")</f>
        <v>407 COUNTY 26 RD  </v>
      </c>
      <c r="C7224" s="3" t="str">
        <f>IFERROR(__xludf.DUMMYFUNCTION("""COMPUTED_VALUE"""),"BRIGHTON")</f>
        <v>BRIGHTON</v>
      </c>
      <c r="D7224" s="3" t="str">
        <f>IFERROR(__xludf.DUMMYFUNCTION("""COMPUTED_VALUE"""),"K0K 1H0")</f>
        <v>K0K 1H0</v>
      </c>
      <c r="E7224" s="3" t="str">
        <f>IFERROR(__xludf.DUMMYFUNCTION("""COMPUTED_VALUE"""),"john johnstone ")</f>
        <v>john johnstone </v>
      </c>
      <c r="F7224" s="3"/>
      <c r="G7224" s="3">
        <f>IFERROR(__xludf.DUMMYFUNCTION("""COMPUTED_VALUE"""),7.057612808E9)</f>
        <v>7057612808</v>
      </c>
      <c r="H7224" s="3"/>
    </row>
    <row r="7225">
      <c r="A7225" s="2">
        <f>IFERROR(__xludf.DUMMYFUNCTION("""COMPUTED_VALUE"""),90794.0)</f>
        <v>90794</v>
      </c>
      <c r="B7225" s="3" t="str">
        <f>IFERROR(__xludf.DUMMYFUNCTION("""COMPUTED_VALUE"""),"451 COUNTY 26 RD  ")</f>
        <v>451 COUNTY 26 RD  </v>
      </c>
      <c r="C7225" s="3" t="str">
        <f>IFERROR(__xludf.DUMMYFUNCTION("""COMPUTED_VALUE"""),"BRIGHTON")</f>
        <v>BRIGHTON</v>
      </c>
      <c r="D7225" s="3" t="str">
        <f>IFERROR(__xludf.DUMMYFUNCTION("""COMPUTED_VALUE"""),"K0K 1H0")</f>
        <v>K0K 1H0</v>
      </c>
      <c r="E7225" s="3" t="str">
        <f>IFERROR(__xludf.DUMMYFUNCTION("""COMPUTED_VALUE"""),"Scott Kinnear ")</f>
        <v>Scott Kinnear </v>
      </c>
      <c r="F7225" s="3" t="str">
        <f>IFERROR(__xludf.DUMMYFUNCTION("""COMPUTED_VALUE"""),"scott@timbrcanada.ca")</f>
        <v>scott@timbrcanada.ca</v>
      </c>
      <c r="G7225" s="3"/>
      <c r="H7225" s="3"/>
    </row>
    <row r="7226">
      <c r="A7226" s="2">
        <f>IFERROR(__xludf.DUMMYFUNCTION("""COMPUTED_VALUE"""),90795.0)</f>
        <v>90795</v>
      </c>
      <c r="B7226" s="3" t="str">
        <f>IFERROR(__xludf.DUMMYFUNCTION("""COMPUTED_VALUE"""),"455 COUNTY 26 RD  ")</f>
        <v>455 COUNTY 26 RD  </v>
      </c>
      <c r="C7226" s="3" t="str">
        <f>IFERROR(__xludf.DUMMYFUNCTION("""COMPUTED_VALUE"""),"BRIGHTON")</f>
        <v>BRIGHTON</v>
      </c>
      <c r="D7226" s="3" t="str">
        <f>IFERROR(__xludf.DUMMYFUNCTION("""COMPUTED_VALUE"""),"K0K 1H0")</f>
        <v>K0K 1H0</v>
      </c>
      <c r="E7226" s="3"/>
      <c r="F7226" s="3"/>
      <c r="G7226" s="3"/>
      <c r="H7226" s="3"/>
    </row>
    <row r="7227">
      <c r="A7227" s="2">
        <f>IFERROR(__xludf.DUMMYFUNCTION("""COMPUTED_VALUE"""),93215.0)</f>
        <v>93215</v>
      </c>
      <c r="B7227" s="3" t="str">
        <f>IFERROR(__xludf.DUMMYFUNCTION("""COMPUTED_VALUE"""),"406 COUNTY 26 RD  ")</f>
        <v>406 COUNTY 26 RD  </v>
      </c>
      <c r="C7227" s="3" t="str">
        <f>IFERROR(__xludf.DUMMYFUNCTION("""COMPUTED_VALUE"""),"BRIGHTON")</f>
        <v>BRIGHTON</v>
      </c>
      <c r="D7227" s="3" t="str">
        <f>IFERROR(__xludf.DUMMYFUNCTION("""COMPUTED_VALUE"""),"K0K 1H0")</f>
        <v>K0K 1H0</v>
      </c>
      <c r="E7227" s="3"/>
      <c r="F7227" s="3"/>
      <c r="G7227" s="3"/>
      <c r="H7227" s="3"/>
    </row>
    <row r="7228">
      <c r="A7228" s="2">
        <f>IFERROR(__xludf.DUMMYFUNCTION("""COMPUTED_VALUE"""),90783.0)</f>
        <v>90783</v>
      </c>
      <c r="B7228" s="3" t="str">
        <f>IFERROR(__xludf.DUMMYFUNCTION("""COMPUTED_VALUE"""),"126 COUNTY 26 RD  ")</f>
        <v>126 COUNTY 26 RD  </v>
      </c>
      <c r="C7228" s="3" t="str">
        <f>IFERROR(__xludf.DUMMYFUNCTION("""COMPUTED_VALUE"""),"BRIGHTON")</f>
        <v>BRIGHTON</v>
      </c>
      <c r="D7228" s="3" t="str">
        <f>IFERROR(__xludf.DUMMYFUNCTION("""COMPUTED_VALUE"""),"K0K 1H0")</f>
        <v>K0K 1H0</v>
      </c>
      <c r="E7228" s="3" t="str">
        <f>IFERROR(__xludf.DUMMYFUNCTION("""COMPUTED_VALUE"""),"Valerie Palda")</f>
        <v>Valerie Palda</v>
      </c>
      <c r="F7228" s="3" t="str">
        <f>IFERROR(__xludf.DUMMYFUNCTION("""COMPUTED_VALUE"""),"threebagsfullfarms@gmail.com")</f>
        <v>threebagsfullfarms@gmail.com</v>
      </c>
      <c r="G7228" s="3"/>
      <c r="H7228" s="3"/>
    </row>
    <row r="7229">
      <c r="A7229" s="2">
        <f>IFERROR(__xludf.DUMMYFUNCTION("""COMPUTED_VALUE"""),90787.0)</f>
        <v>90787</v>
      </c>
      <c r="B7229" s="3" t="str">
        <f>IFERROR(__xludf.DUMMYFUNCTION("""COMPUTED_VALUE"""),"207 COUNTY 26 RD  ")</f>
        <v>207 COUNTY 26 RD  </v>
      </c>
      <c r="C7229" s="3" t="str">
        <f>IFERROR(__xludf.DUMMYFUNCTION("""COMPUTED_VALUE"""),"BRIGHTON")</f>
        <v>BRIGHTON</v>
      </c>
      <c r="D7229" s="3" t="str">
        <f>IFERROR(__xludf.DUMMYFUNCTION("""COMPUTED_VALUE"""),"K0K 1H0")</f>
        <v>K0K 1H0</v>
      </c>
      <c r="E7229" s="3" t="str">
        <f>IFERROR(__xludf.DUMMYFUNCTION("""COMPUTED_VALUE"""),"George &amp; Penny Typhair")</f>
        <v>George &amp; Penny Typhair</v>
      </c>
      <c r="F7229" s="3" t="str">
        <f>IFERROR(__xludf.DUMMYFUNCTION("""COMPUTED_VALUE"""),"pennytyphair@gmail.com")</f>
        <v>pennytyphair@gmail.com</v>
      </c>
      <c r="G7229" s="3"/>
      <c r="H7229" s="3"/>
    </row>
    <row r="7230">
      <c r="A7230" s="2">
        <f>IFERROR(__xludf.DUMMYFUNCTION("""COMPUTED_VALUE"""),90791.0)</f>
        <v>90791</v>
      </c>
      <c r="B7230" s="3" t="str">
        <f>IFERROR(__xludf.DUMMYFUNCTION("""COMPUTED_VALUE"""),"375 COUNTY 26 RD  ")</f>
        <v>375 COUNTY 26 RD  </v>
      </c>
      <c r="C7230" s="3" t="str">
        <f>IFERROR(__xludf.DUMMYFUNCTION("""COMPUTED_VALUE"""),"BRIGHTON")</f>
        <v>BRIGHTON</v>
      </c>
      <c r="D7230" s="3" t="str">
        <f>IFERROR(__xludf.DUMMYFUNCTION("""COMPUTED_VALUE"""),"K0K 1H0")</f>
        <v>K0K 1H0</v>
      </c>
      <c r="E7230" s="3" t="str">
        <f>IFERROR(__xludf.DUMMYFUNCTION("""COMPUTED_VALUE"""),"John bos")</f>
        <v>John bos</v>
      </c>
      <c r="F7230" s="3" t="str">
        <f>IFERROR(__xludf.DUMMYFUNCTION("""COMPUTED_VALUE"""),"jpbos001@gmail.com")</f>
        <v>jpbos001@gmail.com</v>
      </c>
      <c r="G7230" s="3"/>
      <c r="H7230" s="3"/>
    </row>
    <row r="7231">
      <c r="A7231" s="2">
        <f>IFERROR(__xludf.DUMMYFUNCTION("""COMPUTED_VALUE"""),90796.0)</f>
        <v>90796</v>
      </c>
      <c r="B7231" s="3" t="str">
        <f>IFERROR(__xludf.DUMMYFUNCTION("""COMPUTED_VALUE"""),"523 COUNTY 26 RD  ")</f>
        <v>523 COUNTY 26 RD  </v>
      </c>
      <c r="C7231" s="3" t="str">
        <f>IFERROR(__xludf.DUMMYFUNCTION("""COMPUTED_VALUE"""),"BRIGHTON")</f>
        <v>BRIGHTON</v>
      </c>
      <c r="D7231" s="3" t="str">
        <f>IFERROR(__xludf.DUMMYFUNCTION("""COMPUTED_VALUE"""),"K0K 1H0")</f>
        <v>K0K 1H0</v>
      </c>
      <c r="E7231" s="3" t="str">
        <f>IFERROR(__xludf.DUMMYFUNCTION("""COMPUTED_VALUE"""),"Sid Vander Wilp")</f>
        <v>Sid Vander Wilp</v>
      </c>
      <c r="F7231" s="3" t="str">
        <f>IFERROR(__xludf.DUMMYFUNCTION("""COMPUTED_VALUE"""),"svanderwilp@hotmail.ca")</f>
        <v>svanderwilp@hotmail.ca</v>
      </c>
      <c r="G7231" s="3"/>
      <c r="H7231" s="3"/>
    </row>
    <row r="7232">
      <c r="A7232" s="2">
        <f>IFERROR(__xludf.DUMMYFUNCTION("""COMPUTED_VALUE"""),90785.0)</f>
        <v>90785</v>
      </c>
      <c r="B7232" s="3" t="str">
        <f>IFERROR(__xludf.DUMMYFUNCTION("""COMPUTED_VALUE"""),"165 COUNTY 26 RD  ")</f>
        <v>165 COUNTY 26 RD  </v>
      </c>
      <c r="C7232" s="3" t="str">
        <f>IFERROR(__xludf.DUMMYFUNCTION("""COMPUTED_VALUE"""),"BRIGHTON")</f>
        <v>BRIGHTON</v>
      </c>
      <c r="D7232" s="3" t="str">
        <f>IFERROR(__xludf.DUMMYFUNCTION("""COMPUTED_VALUE"""),"K0K 1H0")</f>
        <v>K0K 1H0</v>
      </c>
      <c r="E7232" s="3" t="str">
        <f>IFERROR(__xludf.DUMMYFUNCTION("""COMPUTED_VALUE"""),"Sizanne Tweedy")</f>
        <v>Sizanne Tweedy</v>
      </c>
      <c r="F7232" s="3" t="str">
        <f>IFERROR(__xludf.DUMMYFUNCTION("""COMPUTED_VALUE"""),"suzannetweedy1944@gmail.com")</f>
        <v>suzannetweedy1944@gmail.com</v>
      </c>
      <c r="G7232" s="3"/>
      <c r="H7232" s="3"/>
    </row>
    <row r="7233">
      <c r="A7233" s="2">
        <f>IFERROR(__xludf.DUMMYFUNCTION("""COMPUTED_VALUE"""),90835.0)</f>
        <v>90835</v>
      </c>
      <c r="B7233" s="3" t="str">
        <f>IFERROR(__xludf.DUMMYFUNCTION("""COMPUTED_VALUE"""),"639 COUNTY 30 RD  ")</f>
        <v>639 COUNTY 30 RD  </v>
      </c>
      <c r="C7233" s="3" t="str">
        <f>IFERROR(__xludf.DUMMYFUNCTION("""COMPUTED_VALUE"""),"BRIGHTON")</f>
        <v>BRIGHTON</v>
      </c>
      <c r="D7233" s="3" t="str">
        <f>IFERROR(__xludf.DUMMYFUNCTION("""COMPUTED_VALUE"""),"K0K 1H0")</f>
        <v>K0K 1H0</v>
      </c>
      <c r="E7233" s="3"/>
      <c r="F7233" s="3"/>
      <c r="G7233" s="3"/>
      <c r="H7233" s="3"/>
    </row>
    <row r="7234">
      <c r="A7234" s="2">
        <f>IFERROR(__xludf.DUMMYFUNCTION("""COMPUTED_VALUE"""),90797.0)</f>
        <v>90797</v>
      </c>
      <c r="B7234" s="3" t="str">
        <f>IFERROR(__xludf.DUMMYFUNCTION("""COMPUTED_VALUE"""),"178 COUNTY 30 RD  ")</f>
        <v>178 COUNTY 30 RD  </v>
      </c>
      <c r="C7234" s="3" t="str">
        <f>IFERROR(__xludf.DUMMYFUNCTION("""COMPUTED_VALUE"""),"BRIGHTON")</f>
        <v>BRIGHTON</v>
      </c>
      <c r="D7234" s="3" t="str">
        <f>IFERROR(__xludf.DUMMYFUNCTION("""COMPUTED_VALUE"""),"K0K 1H0")</f>
        <v>K0K 1H0</v>
      </c>
      <c r="E7234" s="3"/>
      <c r="F7234" s="3"/>
      <c r="G7234" s="3"/>
      <c r="H7234" s="3"/>
    </row>
    <row r="7235">
      <c r="A7235" s="2">
        <f>IFERROR(__xludf.DUMMYFUNCTION("""COMPUTED_VALUE"""),90803.0)</f>
        <v>90803</v>
      </c>
      <c r="B7235" s="3" t="str">
        <f>IFERROR(__xludf.DUMMYFUNCTION("""COMPUTED_VALUE"""),"253 COUNTY 30 RD  ")</f>
        <v>253 COUNTY 30 RD  </v>
      </c>
      <c r="C7235" s="3" t="str">
        <f>IFERROR(__xludf.DUMMYFUNCTION("""COMPUTED_VALUE"""),"BRIGHTON")</f>
        <v>BRIGHTON</v>
      </c>
      <c r="D7235" s="3" t="str">
        <f>IFERROR(__xludf.DUMMYFUNCTION("""COMPUTED_VALUE"""),"K0K 1H0")</f>
        <v>K0K 1H0</v>
      </c>
      <c r="E7235" s="3"/>
      <c r="F7235" s="3"/>
      <c r="G7235" s="3"/>
      <c r="H7235" s="3"/>
    </row>
    <row r="7236">
      <c r="A7236" s="2">
        <f>IFERROR(__xludf.DUMMYFUNCTION("""COMPUTED_VALUE"""),90805.0)</f>
        <v>90805</v>
      </c>
      <c r="B7236" s="3" t="str">
        <f>IFERROR(__xludf.DUMMYFUNCTION("""COMPUTED_VALUE"""),"264 COUNTY 30 RD  ")</f>
        <v>264 COUNTY 30 RD  </v>
      </c>
      <c r="C7236" s="3" t="str">
        <f>IFERROR(__xludf.DUMMYFUNCTION("""COMPUTED_VALUE"""),"BRIGHTON")</f>
        <v>BRIGHTON</v>
      </c>
      <c r="D7236" s="3" t="str">
        <f>IFERROR(__xludf.DUMMYFUNCTION("""COMPUTED_VALUE"""),"K0K 1H0")</f>
        <v>K0K 1H0</v>
      </c>
      <c r="E7236" s="3"/>
      <c r="F7236" s="3"/>
      <c r="G7236" s="3"/>
      <c r="H7236" s="3"/>
    </row>
    <row r="7237">
      <c r="A7237" s="2">
        <f>IFERROR(__xludf.DUMMYFUNCTION("""COMPUTED_VALUE"""),90806.0)</f>
        <v>90806</v>
      </c>
      <c r="B7237" s="3" t="str">
        <f>IFERROR(__xludf.DUMMYFUNCTION("""COMPUTED_VALUE"""),"267 COUNTY 30 RD  ")</f>
        <v>267 COUNTY 30 RD  </v>
      </c>
      <c r="C7237" s="3" t="str">
        <f>IFERROR(__xludf.DUMMYFUNCTION("""COMPUTED_VALUE"""),"BRIGHTON")</f>
        <v>BRIGHTON</v>
      </c>
      <c r="D7237" s="3" t="str">
        <f>IFERROR(__xludf.DUMMYFUNCTION("""COMPUTED_VALUE"""),"K0K 1H0")</f>
        <v>K0K 1H0</v>
      </c>
      <c r="E7237" s="3"/>
      <c r="F7237" s="3"/>
      <c r="G7237" s="3"/>
      <c r="H7237" s="3"/>
    </row>
    <row r="7238">
      <c r="A7238" s="2">
        <f>IFERROR(__xludf.DUMMYFUNCTION("""COMPUTED_VALUE"""),90808.0)</f>
        <v>90808</v>
      </c>
      <c r="B7238" s="3" t="str">
        <f>IFERROR(__xludf.DUMMYFUNCTION("""COMPUTED_VALUE"""),"302 COUNTY 30 RD  ")</f>
        <v>302 COUNTY 30 RD  </v>
      </c>
      <c r="C7238" s="3" t="str">
        <f>IFERROR(__xludf.DUMMYFUNCTION("""COMPUTED_VALUE"""),"BRIGHTON")</f>
        <v>BRIGHTON</v>
      </c>
      <c r="D7238" s="3" t="str">
        <f>IFERROR(__xludf.DUMMYFUNCTION("""COMPUTED_VALUE"""),"K0K 1H0")</f>
        <v>K0K 1H0</v>
      </c>
      <c r="E7238" s="3" t="str">
        <f>IFERROR(__xludf.DUMMYFUNCTION("""COMPUTED_VALUE"""),"helena collins")</f>
        <v>helena collins</v>
      </c>
      <c r="F7238" s="3" t="str">
        <f>IFERROR(__xludf.DUMMYFUNCTION("""COMPUTED_VALUE"""),"helena60@hotmail.com")</f>
        <v>helena60@hotmail.com</v>
      </c>
      <c r="G7238" s="3">
        <f>IFERROR(__xludf.DUMMYFUNCTION("""COMPUTED_VALUE"""),6.138486105E9)</f>
        <v>6138486105</v>
      </c>
      <c r="H7238" s="3">
        <f>IFERROR(__xludf.DUMMYFUNCTION("""COMPUTED_VALUE"""),6.134753961E9)</f>
        <v>6134753961</v>
      </c>
    </row>
    <row r="7239">
      <c r="A7239" s="2">
        <f>IFERROR(__xludf.DUMMYFUNCTION("""COMPUTED_VALUE"""),90809.0)</f>
        <v>90809</v>
      </c>
      <c r="B7239" s="3" t="str">
        <f>IFERROR(__xludf.DUMMYFUNCTION("""COMPUTED_VALUE"""),"308 COUNTY 30 RD  ")</f>
        <v>308 COUNTY 30 RD  </v>
      </c>
      <c r="C7239" s="3" t="str">
        <f>IFERROR(__xludf.DUMMYFUNCTION("""COMPUTED_VALUE"""),"BRIGHTON")</f>
        <v>BRIGHTON</v>
      </c>
      <c r="D7239" s="3" t="str">
        <f>IFERROR(__xludf.DUMMYFUNCTION("""COMPUTED_VALUE"""),"K0K 1H0")</f>
        <v>K0K 1H0</v>
      </c>
      <c r="E7239" s="3"/>
      <c r="F7239" s="3"/>
      <c r="G7239" s="3"/>
      <c r="H7239" s="3"/>
    </row>
    <row r="7240">
      <c r="A7240" s="2">
        <f>IFERROR(__xludf.DUMMYFUNCTION("""COMPUTED_VALUE"""),90810.0)</f>
        <v>90810</v>
      </c>
      <c r="B7240" s="3" t="str">
        <f>IFERROR(__xludf.DUMMYFUNCTION("""COMPUTED_VALUE"""),"314 COUNTY RD 30")</f>
        <v>314 COUNTY RD 30</v>
      </c>
      <c r="C7240" s="3" t="str">
        <f>IFERROR(__xludf.DUMMYFUNCTION("""COMPUTED_VALUE"""),"BRIGHTON")</f>
        <v>BRIGHTON</v>
      </c>
      <c r="D7240" s="3" t="str">
        <f>IFERROR(__xludf.DUMMYFUNCTION("""COMPUTED_VALUE"""),"K0K 1H0")</f>
        <v>K0K 1H0</v>
      </c>
      <c r="E7240" s="3" t="str">
        <f>IFERROR(__xludf.DUMMYFUNCTION("""COMPUTED_VALUE"""),"John Fazekas")</f>
        <v>John Fazekas</v>
      </c>
      <c r="F7240" s="3" t="str">
        <f>IFERROR(__xludf.DUMMYFUNCTION("""COMPUTED_VALUE"""),"jofaz38@live.ca")</f>
        <v>jofaz38@live.ca</v>
      </c>
      <c r="G7240" s="3">
        <f>IFERROR(__xludf.DUMMYFUNCTION("""COMPUTED_VALUE"""),6.132430234E9)</f>
        <v>6132430234</v>
      </c>
      <c r="H7240" s="3">
        <f>IFERROR(__xludf.DUMMYFUNCTION("""COMPUTED_VALUE"""),6.134754603E9)</f>
        <v>6134754603</v>
      </c>
    </row>
    <row r="7241">
      <c r="A7241" s="2">
        <f>IFERROR(__xludf.DUMMYFUNCTION("""COMPUTED_VALUE"""),90811.0)</f>
        <v>90811</v>
      </c>
      <c r="B7241" s="3" t="str">
        <f>IFERROR(__xludf.DUMMYFUNCTION("""COMPUTED_VALUE"""),"323 COUNTY 30 RD  ")</f>
        <v>323 COUNTY 30 RD  </v>
      </c>
      <c r="C7241" s="3" t="str">
        <f>IFERROR(__xludf.DUMMYFUNCTION("""COMPUTED_VALUE"""),"BRIGHTON")</f>
        <v>BRIGHTON</v>
      </c>
      <c r="D7241" s="3" t="str">
        <f>IFERROR(__xludf.DUMMYFUNCTION("""COMPUTED_VALUE"""),"K0K 1H0")</f>
        <v>K0K 1H0</v>
      </c>
      <c r="E7241" s="3" t="str">
        <f>IFERROR(__xludf.DUMMYFUNCTION("""COMPUTED_VALUE"""),"joshua and sierra  hill ")</f>
        <v>joshua and sierra  hill </v>
      </c>
      <c r="F7241" s="3" t="str">
        <f>IFERROR(__xludf.DUMMYFUNCTION("""COMPUTED_VALUE"""),"sierralynn482@gmail.com")</f>
        <v>sierralynn482@gmail.com</v>
      </c>
      <c r="G7241" s="3">
        <f>IFERROR(__xludf.DUMMYFUNCTION("""COMPUTED_VALUE"""),6.134036258E9)</f>
        <v>6134036258</v>
      </c>
      <c r="H7241" s="3"/>
    </row>
    <row r="7242">
      <c r="A7242" s="2">
        <f>IFERROR(__xludf.DUMMYFUNCTION("""COMPUTED_VALUE"""),90812.0)</f>
        <v>90812</v>
      </c>
      <c r="B7242" s="3" t="str">
        <f>IFERROR(__xludf.DUMMYFUNCTION("""COMPUTED_VALUE"""),"329 COUNTY 30 RD  ")</f>
        <v>329 COUNTY 30 RD  </v>
      </c>
      <c r="C7242" s="3" t="str">
        <f>IFERROR(__xludf.DUMMYFUNCTION("""COMPUTED_VALUE"""),"BRIGHTON")</f>
        <v>BRIGHTON</v>
      </c>
      <c r="D7242" s="3" t="str">
        <f>IFERROR(__xludf.DUMMYFUNCTION("""COMPUTED_VALUE"""),"K0K 1H0")</f>
        <v>K0K 1H0</v>
      </c>
      <c r="E7242" s="3"/>
      <c r="F7242" s="3"/>
      <c r="G7242" s="3"/>
      <c r="H7242" s="3"/>
    </row>
    <row r="7243">
      <c r="A7243" s="2">
        <f>IFERROR(__xludf.DUMMYFUNCTION("""COMPUTED_VALUE"""),90813.0)</f>
        <v>90813</v>
      </c>
      <c r="B7243" s="3" t="str">
        <f>IFERROR(__xludf.DUMMYFUNCTION("""COMPUTED_VALUE"""),"342 COUNTY 30 RD  ")</f>
        <v>342 COUNTY 30 RD  </v>
      </c>
      <c r="C7243" s="3" t="str">
        <f>IFERROR(__xludf.DUMMYFUNCTION("""COMPUTED_VALUE"""),"BRIGHTON")</f>
        <v>BRIGHTON</v>
      </c>
      <c r="D7243" s="3" t="str">
        <f>IFERROR(__xludf.DUMMYFUNCTION("""COMPUTED_VALUE"""),"K0K 1H0")</f>
        <v>K0K 1H0</v>
      </c>
      <c r="E7243" s="3"/>
      <c r="F7243" s="3"/>
      <c r="G7243" s="3"/>
      <c r="H7243" s="3"/>
    </row>
    <row r="7244">
      <c r="A7244" s="2">
        <f>IFERROR(__xludf.DUMMYFUNCTION("""COMPUTED_VALUE"""),90814.0)</f>
        <v>90814</v>
      </c>
      <c r="B7244" s="3" t="str">
        <f>IFERROR(__xludf.DUMMYFUNCTION("""COMPUTED_VALUE"""),"343 COUNTY 30 RD  ")</f>
        <v>343 COUNTY 30 RD  </v>
      </c>
      <c r="C7244" s="3" t="str">
        <f>IFERROR(__xludf.DUMMYFUNCTION("""COMPUTED_VALUE"""),"BRIGHTON")</f>
        <v>BRIGHTON</v>
      </c>
      <c r="D7244" s="3" t="str">
        <f>IFERROR(__xludf.DUMMYFUNCTION("""COMPUTED_VALUE"""),"K0K 1H0")</f>
        <v>K0K 1H0</v>
      </c>
      <c r="E7244" s="3" t="str">
        <f>IFERROR(__xludf.DUMMYFUNCTION("""COMPUTED_VALUE"""),"JOHN FLINDALL")</f>
        <v>JOHN FLINDALL</v>
      </c>
      <c r="F7244" s="3" t="str">
        <f>IFERROR(__xludf.DUMMYFUNCTION("""COMPUTED_VALUE"""),"johnflindall@gmail.com")</f>
        <v>johnflindall@gmail.com</v>
      </c>
      <c r="G7244" s="3"/>
      <c r="H7244" s="3"/>
    </row>
    <row r="7245">
      <c r="A7245" s="2">
        <f>IFERROR(__xludf.DUMMYFUNCTION("""COMPUTED_VALUE"""),90815.0)</f>
        <v>90815</v>
      </c>
      <c r="B7245" s="3" t="str">
        <f>IFERROR(__xludf.DUMMYFUNCTION("""COMPUTED_VALUE"""),"347 COUNTY 30 RD  ")</f>
        <v>347 COUNTY 30 RD  </v>
      </c>
      <c r="C7245" s="3" t="str">
        <f>IFERROR(__xludf.DUMMYFUNCTION("""COMPUTED_VALUE"""),"BRIGHTON")</f>
        <v>BRIGHTON</v>
      </c>
      <c r="D7245" s="3" t="str">
        <f>IFERROR(__xludf.DUMMYFUNCTION("""COMPUTED_VALUE"""),"K0K 1H0")</f>
        <v>K0K 1H0</v>
      </c>
      <c r="E7245" s="3"/>
      <c r="F7245" s="3"/>
      <c r="G7245" s="3"/>
      <c r="H7245" s="3"/>
    </row>
    <row r="7246">
      <c r="A7246" s="2">
        <f>IFERROR(__xludf.DUMMYFUNCTION("""COMPUTED_VALUE"""),90816.0)</f>
        <v>90816</v>
      </c>
      <c r="B7246" s="3" t="str">
        <f>IFERROR(__xludf.DUMMYFUNCTION("""COMPUTED_VALUE"""),"359 COUNTY 30 RD  ")</f>
        <v>359 COUNTY 30 RD  </v>
      </c>
      <c r="C7246" s="3" t="str">
        <f>IFERROR(__xludf.DUMMYFUNCTION("""COMPUTED_VALUE"""),"BRIGHTON")</f>
        <v>BRIGHTON</v>
      </c>
      <c r="D7246" s="3" t="str">
        <f>IFERROR(__xludf.DUMMYFUNCTION("""COMPUTED_VALUE"""),"K0K 1H0")</f>
        <v>K0K 1H0</v>
      </c>
      <c r="E7246" s="3"/>
      <c r="F7246" s="3"/>
      <c r="G7246" s="3"/>
      <c r="H7246" s="3"/>
    </row>
    <row r="7247">
      <c r="A7247" s="2">
        <f>IFERROR(__xludf.DUMMYFUNCTION("""COMPUTED_VALUE"""),90818.0)</f>
        <v>90818</v>
      </c>
      <c r="B7247" s="3" t="str">
        <f>IFERROR(__xludf.DUMMYFUNCTION("""COMPUTED_VALUE"""),"390 COUNTY 30 RD  ")</f>
        <v>390 COUNTY 30 RD  </v>
      </c>
      <c r="C7247" s="3" t="str">
        <f>IFERROR(__xludf.DUMMYFUNCTION("""COMPUTED_VALUE"""),"BRIGHTON")</f>
        <v>BRIGHTON</v>
      </c>
      <c r="D7247" s="3" t="str">
        <f>IFERROR(__xludf.DUMMYFUNCTION("""COMPUTED_VALUE"""),"K0K 1H0")</f>
        <v>K0K 1H0</v>
      </c>
      <c r="E7247" s="3"/>
      <c r="F7247" s="3"/>
      <c r="G7247" s="3"/>
      <c r="H7247" s="3"/>
    </row>
    <row r="7248">
      <c r="A7248" s="2">
        <f>IFERROR(__xludf.DUMMYFUNCTION("""COMPUTED_VALUE"""),90819.0)</f>
        <v>90819</v>
      </c>
      <c r="B7248" s="3" t="str">
        <f>IFERROR(__xludf.DUMMYFUNCTION("""COMPUTED_VALUE"""),"399 COUNTY 30 RD  ")</f>
        <v>399 COUNTY 30 RD  </v>
      </c>
      <c r="C7248" s="3" t="str">
        <f>IFERROR(__xludf.DUMMYFUNCTION("""COMPUTED_VALUE"""),"BRIGHTON")</f>
        <v>BRIGHTON</v>
      </c>
      <c r="D7248" s="3" t="str">
        <f>IFERROR(__xludf.DUMMYFUNCTION("""COMPUTED_VALUE"""),"K0K 1H0")</f>
        <v>K0K 1H0</v>
      </c>
      <c r="E7248" s="3" t="str">
        <f>IFERROR(__xludf.DUMMYFUNCTION("""COMPUTED_VALUE"""),"art champagne")</f>
        <v>art champagne</v>
      </c>
      <c r="F7248" s="3" t="str">
        <f>IFERROR(__xludf.DUMMYFUNCTION("""COMPUTED_VALUE"""),"artchampagne@bell.net")</f>
        <v>artchampagne@bell.net</v>
      </c>
      <c r="G7248" s="3">
        <f>IFERROR(__xludf.DUMMYFUNCTION("""COMPUTED_VALUE"""),6.13475032E9)</f>
        <v>6134750320</v>
      </c>
      <c r="H7248" s="3"/>
    </row>
    <row r="7249">
      <c r="A7249" s="2">
        <f>IFERROR(__xludf.DUMMYFUNCTION("""COMPUTED_VALUE"""),90821.0)</f>
        <v>90821</v>
      </c>
      <c r="B7249" s="3" t="str">
        <f>IFERROR(__xludf.DUMMYFUNCTION("""COMPUTED_VALUE"""),"412 COUNTY 30 RD  ")</f>
        <v>412 COUNTY 30 RD  </v>
      </c>
      <c r="C7249" s="3" t="str">
        <f>IFERROR(__xludf.DUMMYFUNCTION("""COMPUTED_VALUE"""),"BRIGHTON")</f>
        <v>BRIGHTON</v>
      </c>
      <c r="D7249" s="3" t="str">
        <f>IFERROR(__xludf.DUMMYFUNCTION("""COMPUTED_VALUE"""),"K0K 1H0")</f>
        <v>K0K 1H0</v>
      </c>
      <c r="E7249" s="3" t="str">
        <f>IFERROR(__xludf.DUMMYFUNCTION("""COMPUTED_VALUE"""),"grant brown ")</f>
        <v>grant brown </v>
      </c>
      <c r="F7249" s="3"/>
      <c r="G7249" s="3">
        <f>IFERROR(__xludf.DUMMYFUNCTION("""COMPUTED_VALUE"""),2.898290718E9)</f>
        <v>2898290718</v>
      </c>
      <c r="H7249" s="3"/>
    </row>
    <row r="7250">
      <c r="A7250" s="2">
        <f>IFERROR(__xludf.DUMMYFUNCTION("""COMPUTED_VALUE"""),90823.0)</f>
        <v>90823</v>
      </c>
      <c r="B7250" s="3" t="str">
        <f>IFERROR(__xludf.DUMMYFUNCTION("""COMPUTED_VALUE"""),"424 COUNTY 30 RD  ")</f>
        <v>424 COUNTY 30 RD  </v>
      </c>
      <c r="C7250" s="3" t="str">
        <f>IFERROR(__xludf.DUMMYFUNCTION("""COMPUTED_VALUE"""),"BRIGHTON")</f>
        <v>BRIGHTON</v>
      </c>
      <c r="D7250" s="3" t="str">
        <f>IFERROR(__xludf.DUMMYFUNCTION("""COMPUTED_VALUE"""),"K0K 1H0")</f>
        <v>K0K 1H0</v>
      </c>
      <c r="E7250" s="3" t="str">
        <f>IFERROR(__xludf.DUMMYFUNCTION("""COMPUTED_VALUE"""),"jim parnell and lorraine coulas")</f>
        <v>jim parnell and lorraine coulas</v>
      </c>
      <c r="F7250" s="3"/>
      <c r="G7250" s="3">
        <f>IFERROR(__xludf.DUMMYFUNCTION("""COMPUTED_VALUE"""),6.134754313E9)</f>
        <v>6134754313</v>
      </c>
      <c r="H7250" s="3"/>
    </row>
    <row r="7251">
      <c r="A7251" s="2">
        <f>IFERROR(__xludf.DUMMYFUNCTION("""COMPUTED_VALUE"""),90824.0)</f>
        <v>90824</v>
      </c>
      <c r="B7251" s="3" t="str">
        <f>IFERROR(__xludf.DUMMYFUNCTION("""COMPUTED_VALUE"""),"430 COUNTY RD 30")</f>
        <v>430 COUNTY RD 30</v>
      </c>
      <c r="C7251" s="3" t="str">
        <f>IFERROR(__xludf.DUMMYFUNCTION("""COMPUTED_VALUE"""),"BRIGHTON")</f>
        <v>BRIGHTON</v>
      </c>
      <c r="D7251" s="3" t="str">
        <f>IFERROR(__xludf.DUMMYFUNCTION("""COMPUTED_VALUE"""),"K0K 1H0")</f>
        <v>K0K 1H0</v>
      </c>
      <c r="E7251" s="3" t="str">
        <f>IFERROR(__xludf.DUMMYFUNCTION("""COMPUTED_VALUE"""),"ALAN W. ROY")</f>
        <v>ALAN W. ROY</v>
      </c>
      <c r="F7251" s="3" t="str">
        <f>IFERROR(__xludf.DUMMYFUNCTION("""COMPUTED_VALUE"""),"gibson_gc@hotmail.com")</f>
        <v>gibson_gc@hotmail.com</v>
      </c>
      <c r="G7251" s="3"/>
      <c r="H7251" s="3"/>
    </row>
    <row r="7252">
      <c r="A7252" s="2">
        <f>IFERROR(__xludf.DUMMYFUNCTION("""COMPUTED_VALUE"""),90826.0)</f>
        <v>90826</v>
      </c>
      <c r="B7252" s="3" t="str">
        <f>IFERROR(__xludf.DUMMYFUNCTION("""COMPUTED_VALUE"""),"440 COUNTY 30 RD  ")</f>
        <v>440 COUNTY 30 RD  </v>
      </c>
      <c r="C7252" s="3" t="str">
        <f>IFERROR(__xludf.DUMMYFUNCTION("""COMPUTED_VALUE"""),"BRIGHTON")</f>
        <v>BRIGHTON</v>
      </c>
      <c r="D7252" s="3" t="str">
        <f>IFERROR(__xludf.DUMMYFUNCTION("""COMPUTED_VALUE"""),"K0K 1H0")</f>
        <v>K0K 1H0</v>
      </c>
      <c r="E7252" s="3"/>
      <c r="F7252" s="3"/>
      <c r="G7252" s="3"/>
      <c r="H7252" s="3"/>
    </row>
    <row r="7253">
      <c r="A7253" s="2">
        <f>IFERROR(__xludf.DUMMYFUNCTION("""COMPUTED_VALUE"""),90828.0)</f>
        <v>90828</v>
      </c>
      <c r="B7253" s="3" t="str">
        <f>IFERROR(__xludf.DUMMYFUNCTION("""COMPUTED_VALUE"""),"506 COUNTY 30 RD  ")</f>
        <v>506 COUNTY 30 RD  </v>
      </c>
      <c r="C7253" s="3" t="str">
        <f>IFERROR(__xludf.DUMMYFUNCTION("""COMPUTED_VALUE"""),"BRIGHTON")</f>
        <v>BRIGHTON</v>
      </c>
      <c r="D7253" s="3" t="str">
        <f>IFERROR(__xludf.DUMMYFUNCTION("""COMPUTED_VALUE"""),"K0K 1H0")</f>
        <v>K0K 1H0</v>
      </c>
      <c r="E7253" s="3" t="str">
        <f>IFERROR(__xludf.DUMMYFUNCTION("""COMPUTED_VALUE"""),"sheila and ron hoogland")</f>
        <v>sheila and ron hoogland</v>
      </c>
      <c r="F7253" s="3" t="str">
        <f>IFERROR(__xludf.DUMMYFUNCTION("""COMPUTED_VALUE"""),"hooglans@gmail.com")</f>
        <v>hooglans@gmail.com</v>
      </c>
      <c r="G7253" s="3">
        <f>IFERROR(__xludf.DUMMYFUNCTION("""COMPUTED_VALUE"""),9.054679864E9)</f>
        <v>9054679864</v>
      </c>
      <c r="H7253" s="3"/>
    </row>
    <row r="7254">
      <c r="A7254" s="2">
        <f>IFERROR(__xludf.DUMMYFUNCTION("""COMPUTED_VALUE"""),90829.0)</f>
        <v>90829</v>
      </c>
      <c r="B7254" s="3" t="str">
        <f>IFERROR(__xludf.DUMMYFUNCTION("""COMPUTED_VALUE"""),"526 COUNTY 30 RD  ")</f>
        <v>526 COUNTY 30 RD  </v>
      </c>
      <c r="C7254" s="3" t="str">
        <f>IFERROR(__xludf.DUMMYFUNCTION("""COMPUTED_VALUE"""),"BRIGHTON")</f>
        <v>BRIGHTON</v>
      </c>
      <c r="D7254" s="3" t="str">
        <f>IFERROR(__xludf.DUMMYFUNCTION("""COMPUTED_VALUE"""),"K0K 1H0")</f>
        <v>K0K 1H0</v>
      </c>
      <c r="E7254" s="3" t="str">
        <f>IFERROR(__xludf.DUMMYFUNCTION("""COMPUTED_VALUE"""),"robert hunt ")</f>
        <v>robert hunt </v>
      </c>
      <c r="F7254" s="3" t="str">
        <f>IFERROR(__xludf.DUMMYFUNCTION("""COMPUTED_VALUE"""),"robvits@hotmail.com")</f>
        <v>robvits@hotmail.com</v>
      </c>
      <c r="G7254" s="3">
        <f>IFERROR(__xludf.DUMMYFUNCTION("""COMPUTED_VALUE"""),6.139224298E9)</f>
        <v>6139224298</v>
      </c>
      <c r="H7254" s="3"/>
    </row>
    <row r="7255">
      <c r="A7255" s="2">
        <f>IFERROR(__xludf.DUMMYFUNCTION("""COMPUTED_VALUE"""),90832.0)</f>
        <v>90832</v>
      </c>
      <c r="B7255" s="3" t="str">
        <f>IFERROR(__xludf.DUMMYFUNCTION("""COMPUTED_VALUE"""),"609 COUNTY 30 RD  ")</f>
        <v>609 COUNTY 30 RD  </v>
      </c>
      <c r="C7255" s="3" t="str">
        <f>IFERROR(__xludf.DUMMYFUNCTION("""COMPUTED_VALUE"""),"BRIGHTON")</f>
        <v>BRIGHTON</v>
      </c>
      <c r="D7255" s="3" t="str">
        <f>IFERROR(__xludf.DUMMYFUNCTION("""COMPUTED_VALUE"""),"K0K 1H0")</f>
        <v>K0K 1H0</v>
      </c>
      <c r="E7255" s="3"/>
      <c r="F7255" s="3"/>
      <c r="G7255" s="3"/>
      <c r="H7255" s="3"/>
    </row>
    <row r="7256">
      <c r="A7256" s="2">
        <f>IFERROR(__xludf.DUMMYFUNCTION("""COMPUTED_VALUE"""),90833.0)</f>
        <v>90833</v>
      </c>
      <c r="B7256" s="3" t="str">
        <f>IFERROR(__xludf.DUMMYFUNCTION("""COMPUTED_VALUE"""),"633 COUNTY 30 RD  ")</f>
        <v>633 COUNTY 30 RD  </v>
      </c>
      <c r="C7256" s="3" t="str">
        <f>IFERROR(__xludf.DUMMYFUNCTION("""COMPUTED_VALUE"""),"BRIGHTON")</f>
        <v>BRIGHTON</v>
      </c>
      <c r="D7256" s="3" t="str">
        <f>IFERROR(__xludf.DUMMYFUNCTION("""COMPUTED_VALUE"""),"K0K 1H0")</f>
        <v>K0K 1H0</v>
      </c>
      <c r="E7256" s="3"/>
      <c r="F7256" s="3"/>
      <c r="G7256" s="3"/>
      <c r="H7256" s="3"/>
    </row>
    <row r="7257">
      <c r="A7257" s="2">
        <f>IFERROR(__xludf.DUMMYFUNCTION("""COMPUTED_VALUE"""),90834.0)</f>
        <v>90834</v>
      </c>
      <c r="B7257" s="3" t="str">
        <f>IFERROR(__xludf.DUMMYFUNCTION("""COMPUTED_VALUE"""),"634 COUNTY 30 RD  ")</f>
        <v>634 COUNTY 30 RD  </v>
      </c>
      <c r="C7257" s="3" t="str">
        <f>IFERROR(__xludf.DUMMYFUNCTION("""COMPUTED_VALUE"""),"BRIGHTON")</f>
        <v>BRIGHTON</v>
      </c>
      <c r="D7257" s="3" t="str">
        <f>IFERROR(__xludf.DUMMYFUNCTION("""COMPUTED_VALUE"""),"K0K 1H0")</f>
        <v>K0K 1H0</v>
      </c>
      <c r="E7257" s="3"/>
      <c r="F7257" s="3"/>
      <c r="G7257" s="3"/>
      <c r="H7257" s="3"/>
    </row>
    <row r="7258">
      <c r="A7258" s="2">
        <f>IFERROR(__xludf.DUMMYFUNCTION("""COMPUTED_VALUE"""),90836.0)</f>
        <v>90836</v>
      </c>
      <c r="B7258" s="3" t="str">
        <f>IFERROR(__xludf.DUMMYFUNCTION("""COMPUTED_VALUE"""),"642 COUNTY 30 RD  ")</f>
        <v>642 COUNTY 30 RD  </v>
      </c>
      <c r="C7258" s="3" t="str">
        <f>IFERROR(__xludf.DUMMYFUNCTION("""COMPUTED_VALUE"""),"BRIGHTON")</f>
        <v>BRIGHTON</v>
      </c>
      <c r="D7258" s="3" t="str">
        <f>IFERROR(__xludf.DUMMYFUNCTION("""COMPUTED_VALUE"""),"K0K 1H0")</f>
        <v>K0K 1H0</v>
      </c>
      <c r="E7258" s="3" t="str">
        <f>IFERROR(__xludf.DUMMYFUNCTION("""COMPUTED_VALUE"""),"Kevin matthews")</f>
        <v>Kevin matthews</v>
      </c>
      <c r="F7258" s="3" t="str">
        <f>IFERROR(__xludf.DUMMYFUNCTION("""COMPUTED_VALUE"""),"matthewsrenovations@gmail.com")</f>
        <v>matthewsrenovations@gmail.com</v>
      </c>
      <c r="G7258" s="3">
        <f>IFERROR(__xludf.DUMMYFUNCTION("""COMPUTED_VALUE"""),6.138138802E9)</f>
        <v>6138138802</v>
      </c>
      <c r="H7258" s="3">
        <f>IFERROR(__xludf.DUMMYFUNCTION("""COMPUTED_VALUE"""),9.05269413E9)</f>
        <v>9052694130</v>
      </c>
    </row>
    <row r="7259">
      <c r="A7259" s="2">
        <f>IFERROR(__xludf.DUMMYFUNCTION("""COMPUTED_VALUE"""),90838.0)</f>
        <v>90838</v>
      </c>
      <c r="B7259" s="3" t="str">
        <f>IFERROR(__xludf.DUMMYFUNCTION("""COMPUTED_VALUE"""),"673 COUNTY 30 RD  ")</f>
        <v>673 COUNTY 30 RD  </v>
      </c>
      <c r="C7259" s="3" t="str">
        <f>IFERROR(__xludf.DUMMYFUNCTION("""COMPUTED_VALUE"""),"BRIGHTON")</f>
        <v>BRIGHTON</v>
      </c>
      <c r="D7259" s="3" t="str">
        <f>IFERROR(__xludf.DUMMYFUNCTION("""COMPUTED_VALUE"""),"K0K 1H0")</f>
        <v>K0K 1H0</v>
      </c>
      <c r="E7259" s="3" t="str">
        <f>IFERROR(__xludf.DUMMYFUNCTION("""COMPUTED_VALUE"""),"pete rowby")</f>
        <v>pete rowby</v>
      </c>
      <c r="F7259" s="3"/>
      <c r="G7259" s="3">
        <f>IFERROR(__xludf.DUMMYFUNCTION("""COMPUTED_VALUE"""),6.139677E9)</f>
        <v>6139677000</v>
      </c>
      <c r="H7259" s="3"/>
    </row>
    <row r="7260">
      <c r="A7260" s="2">
        <f>IFERROR(__xludf.DUMMYFUNCTION("""COMPUTED_VALUE"""),90839.0)</f>
        <v>90839</v>
      </c>
      <c r="B7260" s="3" t="str">
        <f>IFERROR(__xludf.DUMMYFUNCTION("""COMPUTED_VALUE"""),"694 COUNTY 30 RD  ")</f>
        <v>694 COUNTY 30 RD  </v>
      </c>
      <c r="C7260" s="3" t="str">
        <f>IFERROR(__xludf.DUMMYFUNCTION("""COMPUTED_VALUE"""),"BRIGHTON")</f>
        <v>BRIGHTON</v>
      </c>
      <c r="D7260" s="3" t="str">
        <f>IFERROR(__xludf.DUMMYFUNCTION("""COMPUTED_VALUE"""),"K0K 1H0")</f>
        <v>K0K 1H0</v>
      </c>
      <c r="E7260" s="3"/>
      <c r="F7260" s="3"/>
      <c r="G7260" s="3"/>
      <c r="H7260" s="3"/>
    </row>
    <row r="7261">
      <c r="A7261" s="2">
        <f>IFERROR(__xludf.DUMMYFUNCTION("""COMPUTED_VALUE"""),90840.0)</f>
        <v>90840</v>
      </c>
      <c r="B7261" s="3" t="str">
        <f>IFERROR(__xludf.DUMMYFUNCTION("""COMPUTED_VALUE"""),"737 COUNTY 30 RD  ")</f>
        <v>737 COUNTY 30 RD  </v>
      </c>
      <c r="C7261" s="3" t="str">
        <f>IFERROR(__xludf.DUMMYFUNCTION("""COMPUTED_VALUE"""),"BRIGHTON")</f>
        <v>BRIGHTON</v>
      </c>
      <c r="D7261" s="3" t="str">
        <f>IFERROR(__xludf.DUMMYFUNCTION("""COMPUTED_VALUE"""),"K0K 1H0")</f>
        <v>K0K 1H0</v>
      </c>
      <c r="E7261" s="3"/>
      <c r="F7261" s="3"/>
      <c r="G7261" s="3"/>
      <c r="H7261" s="3"/>
    </row>
    <row r="7262">
      <c r="A7262" s="2">
        <f>IFERROR(__xludf.DUMMYFUNCTION("""COMPUTED_VALUE"""),90842.0)</f>
        <v>90842</v>
      </c>
      <c r="B7262" s="3" t="str">
        <f>IFERROR(__xludf.DUMMYFUNCTION("""COMPUTED_VALUE"""),"759 COUNTY 30 RD  ")</f>
        <v>759 COUNTY 30 RD  </v>
      </c>
      <c r="C7262" s="3" t="str">
        <f>IFERROR(__xludf.DUMMYFUNCTION("""COMPUTED_VALUE"""),"BRIGHTON")</f>
        <v>BRIGHTON</v>
      </c>
      <c r="D7262" s="3" t="str">
        <f>IFERROR(__xludf.DUMMYFUNCTION("""COMPUTED_VALUE"""),"K0K 1H0")</f>
        <v>K0K 1H0</v>
      </c>
      <c r="E7262" s="3"/>
      <c r="F7262" s="3"/>
      <c r="G7262" s="3"/>
      <c r="H7262" s="3"/>
    </row>
    <row r="7263">
      <c r="A7263" s="2">
        <f>IFERROR(__xludf.DUMMYFUNCTION("""COMPUTED_VALUE"""),90843.0)</f>
        <v>90843</v>
      </c>
      <c r="B7263" s="3" t="str">
        <f>IFERROR(__xludf.DUMMYFUNCTION("""COMPUTED_VALUE"""),"793 COUNTY 30 RD  ")</f>
        <v>793 COUNTY 30 RD  </v>
      </c>
      <c r="C7263" s="3" t="str">
        <f>IFERROR(__xludf.DUMMYFUNCTION("""COMPUTED_VALUE"""),"BRIGHTON")</f>
        <v>BRIGHTON</v>
      </c>
      <c r="D7263" s="3" t="str">
        <f>IFERROR(__xludf.DUMMYFUNCTION("""COMPUTED_VALUE"""),"K0K 1H0")</f>
        <v>K0K 1H0</v>
      </c>
      <c r="E7263" s="3" t="str">
        <f>IFERROR(__xludf.DUMMYFUNCTION("""COMPUTED_VALUE"""),"MICHEL")</f>
        <v>MICHEL</v>
      </c>
      <c r="F7263" s="3" t="str">
        <f>IFERROR(__xludf.DUMMYFUNCTION("""COMPUTED_VALUE"""),"mustangthefrog@gmail.com")</f>
        <v>mustangthefrog@gmail.com</v>
      </c>
      <c r="G7263" s="3"/>
      <c r="H7263" s="3"/>
    </row>
    <row r="7264">
      <c r="A7264" s="2">
        <f>IFERROR(__xludf.DUMMYFUNCTION("""COMPUTED_VALUE"""),93233.0)</f>
        <v>93233</v>
      </c>
      <c r="B7264" s="3" t="str">
        <f>IFERROR(__xludf.DUMMYFUNCTION("""COMPUTED_VALUE"""),"617 COUNTY 30 RD  ")</f>
        <v>617 COUNTY 30 RD  </v>
      </c>
      <c r="C7264" s="3" t="str">
        <f>IFERROR(__xludf.DUMMYFUNCTION("""COMPUTED_VALUE"""),"BRIGHTON")</f>
        <v>BRIGHTON</v>
      </c>
      <c r="D7264" s="3" t="str">
        <f>IFERROR(__xludf.DUMMYFUNCTION("""COMPUTED_VALUE"""),"K0K 1H0")</f>
        <v>K0K 1H0</v>
      </c>
      <c r="E7264" s="3"/>
      <c r="F7264" s="3"/>
      <c r="G7264" s="3"/>
      <c r="H7264" s="3"/>
    </row>
    <row r="7265">
      <c r="A7265" s="2">
        <f>IFERROR(__xludf.DUMMYFUNCTION("""COMPUTED_VALUE"""),93234.0)</f>
        <v>93234</v>
      </c>
      <c r="B7265" s="3" t="str">
        <f>IFERROR(__xludf.DUMMYFUNCTION("""COMPUTED_VALUE"""),"700 COUNTY 30 RD  ")</f>
        <v>700 COUNTY 30 RD  </v>
      </c>
      <c r="C7265" s="3" t="str">
        <f>IFERROR(__xludf.DUMMYFUNCTION("""COMPUTED_VALUE"""),"BRIGHTON")</f>
        <v>BRIGHTON</v>
      </c>
      <c r="D7265" s="3" t="str">
        <f>IFERROR(__xludf.DUMMYFUNCTION("""COMPUTED_VALUE"""),"K0K 1H0")</f>
        <v>K0K 1H0</v>
      </c>
      <c r="E7265" s="3"/>
      <c r="F7265" s="3"/>
      <c r="G7265" s="3"/>
      <c r="H7265" s="3"/>
    </row>
    <row r="7266">
      <c r="A7266" s="2">
        <f>IFERROR(__xludf.DUMMYFUNCTION("""COMPUTED_VALUE"""),90798.0)</f>
        <v>90798</v>
      </c>
      <c r="B7266" s="3" t="str">
        <f>IFERROR(__xludf.DUMMYFUNCTION("""COMPUTED_VALUE"""),"179 COUNTY 30 RD  ")</f>
        <v>179 COUNTY 30 RD  </v>
      </c>
      <c r="C7266" s="3" t="str">
        <f>IFERROR(__xludf.DUMMYFUNCTION("""COMPUTED_VALUE"""),"BRIGHTON")</f>
        <v>BRIGHTON</v>
      </c>
      <c r="D7266" s="3" t="str">
        <f>IFERROR(__xludf.DUMMYFUNCTION("""COMPUTED_VALUE"""),"K0K 1H0")</f>
        <v>K0K 1H0</v>
      </c>
      <c r="E7266" s="3" t="str">
        <f>IFERROR(__xludf.DUMMYFUNCTION("""COMPUTED_VALUE"""),"Dan Hook")</f>
        <v>Dan Hook</v>
      </c>
      <c r="F7266" s="3" t="str">
        <f>IFERROR(__xludf.DUMMYFUNCTION("""COMPUTED_VALUE"""),"dan.hook@mail.com")</f>
        <v>dan.hook@mail.com</v>
      </c>
      <c r="G7266" s="3">
        <f>IFERROR(__xludf.DUMMYFUNCTION("""COMPUTED_VALUE"""),6.132432574E9)</f>
        <v>6132432574</v>
      </c>
      <c r="H7266" s="3">
        <f>IFERROR(__xludf.DUMMYFUNCTION("""COMPUTED_VALUE"""),6.13242662E9)</f>
        <v>6132426620</v>
      </c>
    </row>
    <row r="7267">
      <c r="A7267" s="2">
        <f>IFERROR(__xludf.DUMMYFUNCTION("""COMPUTED_VALUE"""),90799.0)</f>
        <v>90799</v>
      </c>
      <c r="B7267" s="3" t="str">
        <f>IFERROR(__xludf.DUMMYFUNCTION("""COMPUTED_VALUE"""),"202 COUNTY 30 RD  ")</f>
        <v>202 COUNTY 30 RD  </v>
      </c>
      <c r="C7267" s="3" t="str">
        <f>IFERROR(__xludf.DUMMYFUNCTION("""COMPUTED_VALUE"""),"BRIGHTON")</f>
        <v>BRIGHTON</v>
      </c>
      <c r="D7267" s="3" t="str">
        <f>IFERROR(__xludf.DUMMYFUNCTION("""COMPUTED_VALUE"""),"K0K 1H0")</f>
        <v>K0K 1H0</v>
      </c>
      <c r="E7267" s="3" t="str">
        <f>IFERROR(__xludf.DUMMYFUNCTION("""COMPUTED_VALUE"""),"Fred Piller ")</f>
        <v>Fred Piller </v>
      </c>
      <c r="F7267" s="3" t="str">
        <f>IFERROR(__xludf.DUMMYFUNCTION("""COMPUTED_VALUE"""),"ffiller@gmail.com")</f>
        <v>ffiller@gmail.com</v>
      </c>
      <c r="G7267" s="3"/>
      <c r="H7267" s="3"/>
    </row>
    <row r="7268">
      <c r="A7268" s="2">
        <f>IFERROR(__xludf.DUMMYFUNCTION("""COMPUTED_VALUE"""),90800.0)</f>
        <v>90800</v>
      </c>
      <c r="B7268" s="3" t="str">
        <f>IFERROR(__xludf.DUMMYFUNCTION("""COMPUTED_VALUE"""),"249 COUNTY RD 30")</f>
        <v>249 COUNTY RD 30</v>
      </c>
      <c r="C7268" s="3" t="str">
        <f>IFERROR(__xludf.DUMMYFUNCTION("""COMPUTED_VALUE"""),"BRIGHTON")</f>
        <v>BRIGHTON</v>
      </c>
      <c r="D7268" s="3" t="str">
        <f>IFERROR(__xludf.DUMMYFUNCTION("""COMPUTED_VALUE"""),"K0K 1H0")</f>
        <v>K0K 1H0</v>
      </c>
      <c r="E7268" s="3" t="str">
        <f>IFERROR(__xludf.DUMMYFUNCTION("""COMPUTED_VALUE"""),"COURTNEY SCHOUWERWOU")</f>
        <v>COURTNEY SCHOUWERWOU</v>
      </c>
      <c r="F7268" s="3" t="str">
        <f>IFERROR(__xludf.DUMMYFUNCTION("""COMPUTED_VALUE"""),"courtneyschouw@gmail.com")</f>
        <v>courtneyschouw@gmail.com</v>
      </c>
      <c r="G7268" s="3"/>
      <c r="H7268" s="3"/>
    </row>
    <row r="7269">
      <c r="A7269" s="2">
        <f>IFERROR(__xludf.DUMMYFUNCTION("""COMPUTED_VALUE"""),90801.0)</f>
        <v>90801</v>
      </c>
      <c r="B7269" s="3" t="str">
        <f>IFERROR(__xludf.DUMMYFUNCTION("""COMPUTED_VALUE"""),"225 COUNTY 30 RD")</f>
        <v>225 COUNTY 30 RD</v>
      </c>
      <c r="C7269" s="3" t="str">
        <f>IFERROR(__xludf.DUMMYFUNCTION("""COMPUTED_VALUE"""),"BRIGHTON")</f>
        <v>BRIGHTON</v>
      </c>
      <c r="D7269" s="3" t="str">
        <f>IFERROR(__xludf.DUMMYFUNCTION("""COMPUTED_VALUE"""),"K0K 1H0")</f>
        <v>K0K 1H0</v>
      </c>
      <c r="E7269" s="3" t="str">
        <f>IFERROR(__xludf.DUMMYFUNCTION("""COMPUTED_VALUE"""),"Courtney Schouwerwou")</f>
        <v>Courtney Schouwerwou</v>
      </c>
      <c r="F7269" s="3" t="str">
        <f>IFERROR(__xludf.DUMMYFUNCTION("""COMPUTED_VALUE"""),"courtneyschouw@gmail.com")</f>
        <v>courtneyschouw@gmail.com</v>
      </c>
      <c r="G7269" s="3">
        <f>IFERROR(__xludf.DUMMYFUNCTION("""COMPUTED_VALUE"""),9.058682885E9)</f>
        <v>9058682885</v>
      </c>
      <c r="H7269" s="3"/>
    </row>
    <row r="7270">
      <c r="A7270" s="2">
        <f>IFERROR(__xludf.DUMMYFUNCTION("""COMPUTED_VALUE"""),90802.0)</f>
        <v>90802</v>
      </c>
      <c r="B7270" s="3" t="str">
        <f>IFERROR(__xludf.DUMMYFUNCTION("""COMPUTED_VALUE"""),"250 COUNTY 30 RD  ")</f>
        <v>250 COUNTY 30 RD  </v>
      </c>
      <c r="C7270" s="3" t="str">
        <f>IFERROR(__xludf.DUMMYFUNCTION("""COMPUTED_VALUE"""),"BRIGHTON")</f>
        <v>BRIGHTON</v>
      </c>
      <c r="D7270" s="3" t="str">
        <f>IFERROR(__xludf.DUMMYFUNCTION("""COMPUTED_VALUE"""),"K0K 1H0")</f>
        <v>K0K 1H0</v>
      </c>
      <c r="E7270" s="3"/>
      <c r="F7270" s="3"/>
      <c r="G7270" s="3"/>
      <c r="H7270" s="3"/>
    </row>
    <row r="7271">
      <c r="A7271" s="2">
        <f>IFERROR(__xludf.DUMMYFUNCTION("""COMPUTED_VALUE"""),90804.0)</f>
        <v>90804</v>
      </c>
      <c r="B7271" s="3" t="str">
        <f>IFERROR(__xludf.DUMMYFUNCTION("""COMPUTED_VALUE"""),"261 COUNTY 30 RD  ")</f>
        <v>261 COUNTY 30 RD  </v>
      </c>
      <c r="C7271" s="3" t="str">
        <f>IFERROR(__xludf.DUMMYFUNCTION("""COMPUTED_VALUE"""),"BRIGHTON")</f>
        <v>BRIGHTON</v>
      </c>
      <c r="D7271" s="3" t="str">
        <f>IFERROR(__xludf.DUMMYFUNCTION("""COMPUTED_VALUE"""),"K0K 1H0")</f>
        <v>K0K 1H0</v>
      </c>
      <c r="E7271" s="3" t="str">
        <f>IFERROR(__xludf.DUMMYFUNCTION("""COMPUTED_VALUE"""),"Germain Gagné-Sylvie Lessard")</f>
        <v>Germain Gagné-Sylvie Lessard</v>
      </c>
      <c r="F7271" s="3" t="str">
        <f>IFERROR(__xludf.DUMMYFUNCTION("""COMPUTED_VALUE"""),"sylvielessard50@hotmail.com")</f>
        <v>sylvielessard50@hotmail.com</v>
      </c>
      <c r="G7271" s="3">
        <f>IFERROR(__xludf.DUMMYFUNCTION("""COMPUTED_VALUE"""),6.134753906E9)</f>
        <v>6134753906</v>
      </c>
      <c r="H7271" s="3">
        <f>IFERROR(__xludf.DUMMYFUNCTION("""COMPUTED_VALUE"""),6.139200233E9)</f>
        <v>6139200233</v>
      </c>
    </row>
    <row r="7272">
      <c r="A7272" s="2">
        <f>IFERROR(__xludf.DUMMYFUNCTION("""COMPUTED_VALUE"""),90807.0)</f>
        <v>90807</v>
      </c>
      <c r="B7272" s="3" t="str">
        <f>IFERROR(__xludf.DUMMYFUNCTION("""COMPUTED_VALUE"""),"298 COUNTY 30 RD  ")</f>
        <v>298 COUNTY 30 RD  </v>
      </c>
      <c r="C7272" s="3" t="str">
        <f>IFERROR(__xludf.DUMMYFUNCTION("""COMPUTED_VALUE"""),"BRIGHTON")</f>
        <v>BRIGHTON</v>
      </c>
      <c r="D7272" s="3" t="str">
        <f>IFERROR(__xludf.DUMMYFUNCTION("""COMPUTED_VALUE"""),"K0K 1H0")</f>
        <v>K0K 1H0</v>
      </c>
      <c r="E7272" s="3" t="str">
        <f>IFERROR(__xludf.DUMMYFUNCTION("""COMPUTED_VALUE"""),"Serena Hall")</f>
        <v>Serena Hall</v>
      </c>
      <c r="F7272" s="3" t="str">
        <f>IFERROR(__xludf.DUMMYFUNCTION("""COMPUTED_VALUE"""),"hott_m_2@hotmail.com")</f>
        <v>hott_m_2@hotmail.com</v>
      </c>
      <c r="G7272" s="3">
        <f>IFERROR(__xludf.DUMMYFUNCTION("""COMPUTED_VALUE"""),6.139221933E9)</f>
        <v>6139221933</v>
      </c>
      <c r="H7272" s="3">
        <f>IFERROR(__xludf.DUMMYFUNCTION("""COMPUTED_VALUE"""),6.134033356E9)</f>
        <v>6134033356</v>
      </c>
    </row>
    <row r="7273">
      <c r="A7273" s="2">
        <f>IFERROR(__xludf.DUMMYFUNCTION("""COMPUTED_VALUE"""),90817.0)</f>
        <v>90817</v>
      </c>
      <c r="B7273" s="3" t="str">
        <f>IFERROR(__xludf.DUMMYFUNCTION("""COMPUTED_VALUE"""),"369 COUNTY 30 RD  ")</f>
        <v>369 COUNTY 30 RD  </v>
      </c>
      <c r="C7273" s="3" t="str">
        <f>IFERROR(__xludf.DUMMYFUNCTION("""COMPUTED_VALUE"""),"BRIGHTON")</f>
        <v>BRIGHTON</v>
      </c>
      <c r="D7273" s="3" t="str">
        <f>IFERROR(__xludf.DUMMYFUNCTION("""COMPUTED_VALUE"""),"K0K 1H0")</f>
        <v>K0K 1H0</v>
      </c>
      <c r="E7273" s="3" t="str">
        <f>IFERROR(__xludf.DUMMYFUNCTION("""COMPUTED_VALUE"""),"Michael B, Dwyer")</f>
        <v>Michael B, Dwyer</v>
      </c>
      <c r="F7273" s="3" t="str">
        <f>IFERROR(__xludf.DUMMYFUNCTION("""COMPUTED_VALUE"""),"mikedwyer369@gmail.com")</f>
        <v>mikedwyer369@gmail.com</v>
      </c>
      <c r="G7273" s="3"/>
      <c r="H7273" s="3"/>
    </row>
    <row r="7274">
      <c r="A7274" s="2">
        <f>IFERROR(__xludf.DUMMYFUNCTION("""COMPUTED_VALUE"""),90820.0)</f>
        <v>90820</v>
      </c>
      <c r="B7274" s="3" t="str">
        <f>IFERROR(__xludf.DUMMYFUNCTION("""COMPUTED_VALUE"""),"400 COUNTY 30 RD  ")</f>
        <v>400 COUNTY 30 RD  </v>
      </c>
      <c r="C7274" s="3" t="str">
        <f>IFERROR(__xludf.DUMMYFUNCTION("""COMPUTED_VALUE"""),"BRIGHTON")</f>
        <v>BRIGHTON</v>
      </c>
      <c r="D7274" s="3" t="str">
        <f>IFERROR(__xludf.DUMMYFUNCTION("""COMPUTED_VALUE"""),"K0K 1H0")</f>
        <v>K0K 1H0</v>
      </c>
      <c r="E7274" s="3" t="str">
        <f>IFERROR(__xludf.DUMMYFUNCTION("""COMPUTED_VALUE"""),"Kasi Gaudet")</f>
        <v>Kasi Gaudet</v>
      </c>
      <c r="F7274" s="3" t="str">
        <f>IFERROR(__xludf.DUMMYFUNCTION("""COMPUTED_VALUE"""),"kasigaudet0414@gmail.com")</f>
        <v>kasigaudet0414@gmail.com</v>
      </c>
      <c r="G7274" s="3">
        <f>IFERROR(__xludf.DUMMYFUNCTION("""COMPUTED_VALUE"""),5.199401446E9)</f>
        <v>5199401446</v>
      </c>
      <c r="H7274" s="3"/>
    </row>
    <row r="7275">
      <c r="A7275" s="2">
        <f>IFERROR(__xludf.DUMMYFUNCTION("""COMPUTED_VALUE"""),90822.0)</f>
        <v>90822</v>
      </c>
      <c r="B7275" s="3" t="str">
        <f>IFERROR(__xludf.DUMMYFUNCTION("""COMPUTED_VALUE"""),"417 COUNTY 30 RD  ")</f>
        <v>417 COUNTY 30 RD  </v>
      </c>
      <c r="C7275" s="3" t="str">
        <f>IFERROR(__xludf.DUMMYFUNCTION("""COMPUTED_VALUE"""),"BRIGHTON")</f>
        <v>BRIGHTON</v>
      </c>
      <c r="D7275" s="3" t="str">
        <f>IFERROR(__xludf.DUMMYFUNCTION("""COMPUTED_VALUE"""),"K0K 1H0")</f>
        <v>K0K 1H0</v>
      </c>
      <c r="E7275" s="3" t="str">
        <f>IFERROR(__xludf.DUMMYFUNCTION("""COMPUTED_VALUE"""),"bill cummings")</f>
        <v>bill cummings</v>
      </c>
      <c r="F7275" s="3" t="str">
        <f>IFERROR(__xludf.DUMMYFUNCTION("""COMPUTED_VALUE"""),"billy0776@hotmail.com")</f>
        <v>billy0776@hotmail.com</v>
      </c>
      <c r="G7275" s="3">
        <f>IFERROR(__xludf.DUMMYFUNCTION("""COMPUTED_VALUE"""),6.138853077E9)</f>
        <v>6138853077</v>
      </c>
      <c r="H7275" s="3"/>
    </row>
    <row r="7276">
      <c r="A7276" s="2">
        <f>IFERROR(__xludf.DUMMYFUNCTION("""COMPUTED_VALUE"""),90825.0)</f>
        <v>90825</v>
      </c>
      <c r="B7276" s="3" t="str">
        <f>IFERROR(__xludf.DUMMYFUNCTION("""COMPUTED_VALUE"""),"431 COUNTY 30 RD  ")</f>
        <v>431 COUNTY 30 RD  </v>
      </c>
      <c r="C7276" s="3" t="str">
        <f>IFERROR(__xludf.DUMMYFUNCTION("""COMPUTED_VALUE"""),"BRIGHTON")</f>
        <v>BRIGHTON</v>
      </c>
      <c r="D7276" s="3" t="str">
        <f>IFERROR(__xludf.DUMMYFUNCTION("""COMPUTED_VALUE"""),"K0K 1H0")</f>
        <v>K0K 1H0</v>
      </c>
      <c r="E7276" s="3" t="str">
        <f>IFERROR(__xludf.DUMMYFUNCTION("""COMPUTED_VALUE"""),"Douglas Adams")</f>
        <v>Douglas Adams</v>
      </c>
      <c r="F7276" s="3" t="str">
        <f>IFERROR(__xludf.DUMMYFUNCTION("""COMPUTED_VALUE"""),"jigggerdoug@hotmail.ca")</f>
        <v>jigggerdoug@hotmail.ca</v>
      </c>
      <c r="G7276" s="3"/>
      <c r="H7276" s="3"/>
    </row>
    <row r="7277">
      <c r="A7277" s="2">
        <f>IFERROR(__xludf.DUMMYFUNCTION("""COMPUTED_VALUE"""),90827.0)</f>
        <v>90827</v>
      </c>
      <c r="B7277" s="3" t="str">
        <f>IFERROR(__xludf.DUMMYFUNCTION("""COMPUTED_VALUE"""),"451 COUNTY 30 RD  ")</f>
        <v>451 COUNTY 30 RD  </v>
      </c>
      <c r="C7277" s="3" t="str">
        <f>IFERROR(__xludf.DUMMYFUNCTION("""COMPUTED_VALUE"""),"BRIGHTON")</f>
        <v>BRIGHTON</v>
      </c>
      <c r="D7277" s="3" t="str">
        <f>IFERROR(__xludf.DUMMYFUNCTION("""COMPUTED_VALUE"""),"K0K 1H0")</f>
        <v>K0K 1H0</v>
      </c>
      <c r="E7277" s="3" t="str">
        <f>IFERROR(__xludf.DUMMYFUNCTION("""COMPUTED_VALUE"""),"arnim krause")</f>
        <v>arnim krause</v>
      </c>
      <c r="F7277" s="3" t="str">
        <f>IFERROR(__xludf.DUMMYFUNCTION("""COMPUTED_VALUE"""),"arnimkrause@gmail.com")</f>
        <v>arnimkrause@gmail.com</v>
      </c>
      <c r="G7277" s="3">
        <f>IFERROR(__xludf.DUMMYFUNCTION("""COMPUTED_VALUE"""),3.432636365E9)</f>
        <v>3432636365</v>
      </c>
      <c r="H7277" s="3"/>
    </row>
    <row r="7278">
      <c r="A7278" s="2">
        <f>IFERROR(__xludf.DUMMYFUNCTION("""COMPUTED_VALUE"""),90830.0)</f>
        <v>90830</v>
      </c>
      <c r="B7278" s="3" t="str">
        <f>IFERROR(__xludf.DUMMYFUNCTION("""COMPUTED_VALUE"""),"544 COUNTY RD 30")</f>
        <v>544 COUNTY RD 30</v>
      </c>
      <c r="C7278" s="3" t="str">
        <f>IFERROR(__xludf.DUMMYFUNCTION("""COMPUTED_VALUE"""),"BRIGHTON")</f>
        <v>BRIGHTON</v>
      </c>
      <c r="D7278" s="3" t="str">
        <f>IFERROR(__xludf.DUMMYFUNCTION("""COMPUTED_VALUE"""),"K0K 1H0")</f>
        <v>K0K 1H0</v>
      </c>
      <c r="E7278" s="3" t="str">
        <f>IFERROR(__xludf.DUMMYFUNCTION("""COMPUTED_VALUE"""),"Chris Grosdanoff")</f>
        <v>Chris Grosdanoff</v>
      </c>
      <c r="F7278" s="3" t="str">
        <f>IFERROR(__xludf.DUMMYFUNCTION("""COMPUTED_VALUE"""),"544countyroad30@gmail.com")</f>
        <v>544countyroad30@gmail.com</v>
      </c>
      <c r="G7278" s="3">
        <f>IFERROR(__xludf.DUMMYFUNCTION("""COMPUTED_VALUE"""),2.896858106E9)</f>
        <v>2896858106</v>
      </c>
      <c r="H7278" s="3"/>
    </row>
    <row r="7279">
      <c r="A7279" s="2">
        <f>IFERROR(__xludf.DUMMYFUNCTION("""COMPUTED_VALUE"""),90831.0)</f>
        <v>90831</v>
      </c>
      <c r="B7279" s="3" t="str">
        <f>IFERROR(__xludf.DUMMYFUNCTION("""COMPUTED_VALUE"""),"555 COUNTY 30 RD  ")</f>
        <v>555 COUNTY 30 RD  </v>
      </c>
      <c r="C7279" s="3" t="str">
        <f>IFERROR(__xludf.DUMMYFUNCTION("""COMPUTED_VALUE"""),"BRIGHTON")</f>
        <v>BRIGHTON</v>
      </c>
      <c r="D7279" s="3" t="str">
        <f>IFERROR(__xludf.DUMMYFUNCTION("""COMPUTED_VALUE"""),"K0K 1H0")</f>
        <v>K0K 1H0</v>
      </c>
      <c r="E7279" s="3" t="str">
        <f>IFERROR(__xludf.DUMMYFUNCTION("""COMPUTED_VALUE"""),"Craig Hill")</f>
        <v>Craig Hill</v>
      </c>
      <c r="F7279" s="3" t="str">
        <f>IFERROR(__xludf.DUMMYFUNCTION("""COMPUTED_VALUE"""),"555 County Road 30")</f>
        <v>555 County Road 30</v>
      </c>
      <c r="G7279" s="3">
        <f>IFERROR(__xludf.DUMMYFUNCTION("""COMPUTED_VALUE"""),6.475545297E9)</f>
        <v>6475545297</v>
      </c>
      <c r="H7279" s="3"/>
    </row>
    <row r="7280">
      <c r="A7280" s="2">
        <f>IFERROR(__xludf.DUMMYFUNCTION("""COMPUTED_VALUE"""),90837.0)</f>
        <v>90837</v>
      </c>
      <c r="B7280" s="3" t="str">
        <f>IFERROR(__xludf.DUMMYFUNCTION("""COMPUTED_VALUE"""),"661 COUNTY 30 RD  ")</f>
        <v>661 COUNTY 30 RD  </v>
      </c>
      <c r="C7280" s="3" t="str">
        <f>IFERROR(__xludf.DUMMYFUNCTION("""COMPUTED_VALUE"""),"BRIGHTON")</f>
        <v>BRIGHTON</v>
      </c>
      <c r="D7280" s="3" t="str">
        <f>IFERROR(__xludf.DUMMYFUNCTION("""COMPUTED_VALUE"""),"K0K 1H0")</f>
        <v>K0K 1H0</v>
      </c>
      <c r="E7280" s="3" t="str">
        <f>IFERROR(__xludf.DUMMYFUNCTION("""COMPUTED_VALUE"""),"Jeannette Pomerleau")</f>
        <v>Jeannette Pomerleau</v>
      </c>
      <c r="F7280" s="3" t="str">
        <f>IFERROR(__xludf.DUMMYFUNCTION("""COMPUTED_VALUE"""),"jpomerleau56@gmail.com")</f>
        <v>jpomerleau56@gmail.com</v>
      </c>
      <c r="G7280" s="3">
        <f>IFERROR(__xludf.DUMMYFUNCTION("""COMPUTED_VALUE"""),6.139228132E9)</f>
        <v>6139228132</v>
      </c>
      <c r="H7280" s="3"/>
    </row>
    <row r="7281">
      <c r="A7281" s="2">
        <f>IFERROR(__xludf.DUMMYFUNCTION("""COMPUTED_VALUE"""),90841.0)</f>
        <v>90841</v>
      </c>
      <c r="B7281" s="3" t="str">
        <f>IFERROR(__xludf.DUMMYFUNCTION("""COMPUTED_VALUE"""),"749 COUNTY 30 RD  ")</f>
        <v>749 COUNTY 30 RD  </v>
      </c>
      <c r="C7281" s="3" t="str">
        <f>IFERROR(__xludf.DUMMYFUNCTION("""COMPUTED_VALUE"""),"BRIGHTON")</f>
        <v>BRIGHTON</v>
      </c>
      <c r="D7281" s="3" t="str">
        <f>IFERROR(__xludf.DUMMYFUNCTION("""COMPUTED_VALUE"""),"K0K 1H0")</f>
        <v>K0K 1H0</v>
      </c>
      <c r="E7281" s="3" t="str">
        <f>IFERROR(__xludf.DUMMYFUNCTION("""COMPUTED_VALUE"""),"Jennifer Allen")</f>
        <v>Jennifer Allen</v>
      </c>
      <c r="F7281" s="3" t="str">
        <f>IFERROR(__xludf.DUMMYFUNCTION("""COMPUTED_VALUE"""),"jendown05@gmail.com")</f>
        <v>jendown05@gmail.com</v>
      </c>
      <c r="G7281" s="3">
        <f>IFERROR(__xludf.DUMMYFUNCTION("""COMPUTED_VALUE"""),4.165406042E9)</f>
        <v>4165406042</v>
      </c>
      <c r="H7281" s="3"/>
    </row>
    <row r="7282">
      <c r="A7282" s="2">
        <f>IFERROR(__xludf.DUMMYFUNCTION("""COMPUTED_VALUE"""),93295.0)</f>
        <v>93295</v>
      </c>
      <c r="B7282" s="3" t="str">
        <f>IFERROR(__xludf.DUMMYFUNCTION("""COMPUTED_VALUE"""),"227 COUNTY 30 RD")</f>
        <v>227 COUNTY 30 RD</v>
      </c>
      <c r="C7282" s="3" t="str">
        <f>IFERROR(__xludf.DUMMYFUNCTION("""COMPUTED_VALUE"""),"BRIGHTON")</f>
        <v>BRIGHTON</v>
      </c>
      <c r="D7282" s="3" t="str">
        <f>IFERROR(__xludf.DUMMYFUNCTION("""COMPUTED_VALUE"""),"K0K 1H0")</f>
        <v>K0K 1H0</v>
      </c>
      <c r="E7282" s="3" t="str">
        <f>IFERROR(__xludf.DUMMYFUNCTION("""COMPUTED_VALUE"""),"RAJESH PUDOTA")</f>
        <v>RAJESH PUDOTA</v>
      </c>
      <c r="F7282" s="3" t="str">
        <f>IFERROR(__xludf.DUMMYFUNCTION("""COMPUTED_VALUE"""),"rajeshbabupudota@gmail.com")</f>
        <v>rajeshbabupudota@gmail.com</v>
      </c>
      <c r="G7282" s="3"/>
      <c r="H7282" s="3"/>
    </row>
    <row r="7283">
      <c r="A7283" s="2">
        <f>IFERROR(__xludf.DUMMYFUNCTION("""COMPUTED_VALUE"""),93148.0)</f>
        <v>93148</v>
      </c>
      <c r="B7283" s="3" t="str">
        <f>IFERROR(__xludf.DUMMYFUNCTION("""COMPUTED_VALUE"""),"2 CRAIG BLVD")</f>
        <v>2 CRAIG BLVD</v>
      </c>
      <c r="C7283" s="3"/>
      <c r="D7283" s="3"/>
      <c r="E7283" s="3"/>
      <c r="F7283" s="3"/>
      <c r="G7283" s="3"/>
      <c r="H7283" s="3"/>
    </row>
    <row r="7284">
      <c r="A7284" s="2">
        <f>IFERROR(__xludf.DUMMYFUNCTION("""COMPUTED_VALUE"""),93150.0)</f>
        <v>93150</v>
      </c>
      <c r="B7284" s="3" t="str">
        <f>IFERROR(__xludf.DUMMYFUNCTION("""COMPUTED_VALUE"""),"5 CRAIG BLVD")</f>
        <v>5 CRAIG BLVD</v>
      </c>
      <c r="C7284" s="3"/>
      <c r="D7284" s="3"/>
      <c r="E7284" s="3"/>
      <c r="F7284" s="3"/>
      <c r="G7284" s="3"/>
      <c r="H7284" s="3"/>
    </row>
    <row r="7285">
      <c r="A7285" s="2">
        <f>IFERROR(__xludf.DUMMYFUNCTION("""COMPUTED_VALUE"""),93149.0)</f>
        <v>93149</v>
      </c>
      <c r="B7285" s="3" t="str">
        <f>IFERROR(__xludf.DUMMYFUNCTION("""COMPUTED_VALUE"""),"6 CRAIG BLVD")</f>
        <v>6 CRAIG BLVD</v>
      </c>
      <c r="C7285" s="3"/>
      <c r="D7285" s="3"/>
      <c r="E7285" s="3"/>
      <c r="F7285" s="3"/>
      <c r="G7285" s="3"/>
      <c r="H7285" s="3"/>
    </row>
    <row r="7286">
      <c r="A7286" s="2">
        <f>IFERROR(__xludf.DUMMYFUNCTION("""COMPUTED_VALUE"""),93253.0)</f>
        <v>93253</v>
      </c>
      <c r="B7286" s="3" t="str">
        <f>IFERROR(__xludf.DUMMYFUNCTION("""COMPUTED_VALUE"""),"14 DUNDAS ST")</f>
        <v>14 DUNDAS ST</v>
      </c>
      <c r="C7286" s="3"/>
      <c r="D7286" s="3"/>
      <c r="E7286" s="3"/>
      <c r="F7286" s="3"/>
      <c r="G7286" s="3"/>
      <c r="H7286" s="3"/>
    </row>
    <row r="7287">
      <c r="A7287" s="2">
        <f>IFERROR(__xludf.DUMMYFUNCTION("""COMPUTED_VALUE"""),93254.0)</f>
        <v>93254</v>
      </c>
      <c r="B7287" s="3" t="str">
        <f>IFERROR(__xludf.DUMMYFUNCTION("""COMPUTED_VALUE"""),"16 DUNDAS ST")</f>
        <v>16 DUNDAS ST</v>
      </c>
      <c r="C7287" s="3"/>
      <c r="D7287" s="3"/>
      <c r="E7287" s="3"/>
      <c r="F7287" s="3"/>
      <c r="G7287" s="3"/>
      <c r="H7287" s="3"/>
    </row>
    <row r="7288">
      <c r="A7288" s="2">
        <f>IFERROR(__xludf.DUMMYFUNCTION("""COMPUTED_VALUE"""),93255.0)</f>
        <v>93255</v>
      </c>
      <c r="B7288" s="3" t="str">
        <f>IFERROR(__xludf.DUMMYFUNCTION("""COMPUTED_VALUE"""),"18 DUNDAS ST")</f>
        <v>18 DUNDAS ST</v>
      </c>
      <c r="C7288" s="3"/>
      <c r="D7288" s="3"/>
      <c r="E7288" s="3"/>
      <c r="F7288" s="3"/>
      <c r="G7288" s="3"/>
      <c r="H7288" s="3"/>
    </row>
    <row r="7289">
      <c r="A7289" s="2">
        <f>IFERROR(__xludf.DUMMYFUNCTION("""COMPUTED_VALUE"""),93256.0)</f>
        <v>93256</v>
      </c>
      <c r="B7289" s="3" t="str">
        <f>IFERROR(__xludf.DUMMYFUNCTION("""COMPUTED_VALUE"""),"22 DUNDAS ST")</f>
        <v>22 DUNDAS ST</v>
      </c>
      <c r="C7289" s="3"/>
      <c r="D7289" s="3"/>
      <c r="E7289" s="3"/>
      <c r="F7289" s="3"/>
      <c r="G7289" s="3"/>
      <c r="H7289" s="3"/>
    </row>
    <row r="7290">
      <c r="A7290" s="2">
        <f>IFERROR(__xludf.DUMMYFUNCTION("""COMPUTED_VALUE"""),93257.0)</f>
        <v>93257</v>
      </c>
      <c r="B7290" s="3" t="str">
        <f>IFERROR(__xludf.DUMMYFUNCTION("""COMPUTED_VALUE"""),"28 DUNDAS ST")</f>
        <v>28 DUNDAS ST</v>
      </c>
      <c r="C7290" s="3"/>
      <c r="D7290" s="3"/>
      <c r="E7290" s="3" t="str">
        <f>IFERROR(__xludf.DUMMYFUNCTION("""COMPUTED_VALUE"""),"wastle")</f>
        <v>wastle</v>
      </c>
      <c r="F7290" s="3" t="str">
        <f>IFERROR(__xludf.DUMMYFUNCTION("""COMPUTED_VALUE"""),"weenall00@outlook.com")</f>
        <v>weenall00@outlook.com</v>
      </c>
      <c r="G7290" s="3">
        <f>IFERROR(__xludf.DUMMYFUNCTION("""COMPUTED_VALUE"""),3.432617783E9)</f>
        <v>3432617783</v>
      </c>
      <c r="H7290" s="3"/>
    </row>
    <row r="7291">
      <c r="A7291" s="2">
        <f>IFERROR(__xludf.DUMMYFUNCTION("""COMPUTED_VALUE"""),93258.0)</f>
        <v>93258</v>
      </c>
      <c r="B7291" s="3" t="str">
        <f>IFERROR(__xludf.DUMMYFUNCTION("""COMPUTED_VALUE"""),"30 DUNDAS ST")</f>
        <v>30 DUNDAS ST</v>
      </c>
      <c r="C7291" s="3"/>
      <c r="D7291" s="3"/>
      <c r="E7291" s="3"/>
      <c r="F7291" s="3"/>
      <c r="G7291" s="3"/>
      <c r="H7291" s="3"/>
    </row>
    <row r="7292">
      <c r="A7292" s="2">
        <f>IFERROR(__xludf.DUMMYFUNCTION("""COMPUTED_VALUE"""),93259.0)</f>
        <v>93259</v>
      </c>
      <c r="B7292" s="3" t="str">
        <f>IFERROR(__xludf.DUMMYFUNCTION("""COMPUTED_VALUE"""),"32 DUNDAS ST")</f>
        <v>32 DUNDAS ST</v>
      </c>
      <c r="C7292" s="3"/>
      <c r="D7292" s="3"/>
      <c r="E7292" s="3"/>
      <c r="F7292" s="3"/>
      <c r="G7292" s="3"/>
      <c r="H7292" s="3"/>
    </row>
    <row r="7293">
      <c r="A7293" s="2">
        <f>IFERROR(__xludf.DUMMYFUNCTION("""COMPUTED_VALUE"""),93260.0)</f>
        <v>93260</v>
      </c>
      <c r="B7293" s="3" t="str">
        <f>IFERROR(__xludf.DUMMYFUNCTION("""COMPUTED_VALUE"""),"34 DUNDAS ST")</f>
        <v>34 DUNDAS ST</v>
      </c>
      <c r="C7293" s="3"/>
      <c r="D7293" s="3"/>
      <c r="E7293" s="3"/>
      <c r="F7293" s="3"/>
      <c r="G7293" s="3"/>
      <c r="H7293" s="3"/>
    </row>
    <row r="7294">
      <c r="A7294" s="2">
        <f>IFERROR(__xludf.DUMMYFUNCTION("""COMPUTED_VALUE"""),93261.0)</f>
        <v>93261</v>
      </c>
      <c r="B7294" s="3" t="str">
        <f>IFERROR(__xludf.DUMMYFUNCTION("""COMPUTED_VALUE"""),"36  DUNDAS ST")</f>
        <v>36  DUNDAS ST</v>
      </c>
      <c r="C7294" s="3"/>
      <c r="D7294" s="3"/>
      <c r="E7294" s="3"/>
      <c r="F7294" s="3"/>
      <c r="G7294" s="3"/>
      <c r="H7294" s="3"/>
    </row>
    <row r="7295">
      <c r="A7295" s="2">
        <f>IFERROR(__xludf.DUMMYFUNCTION("""COMPUTED_VALUE"""),93262.0)</f>
        <v>93262</v>
      </c>
      <c r="B7295" s="3" t="str">
        <f>IFERROR(__xludf.DUMMYFUNCTION("""COMPUTED_VALUE"""),"38  DUNDAS ST")</f>
        <v>38  DUNDAS ST</v>
      </c>
      <c r="C7295" s="3"/>
      <c r="D7295" s="3"/>
      <c r="E7295" s="3"/>
      <c r="F7295" s="3"/>
      <c r="G7295" s="3"/>
      <c r="H7295" s="3"/>
    </row>
    <row r="7296">
      <c r="A7296" s="2">
        <f>IFERROR(__xludf.DUMMYFUNCTION("""COMPUTED_VALUE"""),93263.0)</f>
        <v>93263</v>
      </c>
      <c r="B7296" s="3" t="str">
        <f>IFERROR(__xludf.DUMMYFUNCTION("""COMPUTED_VALUE"""),"40 DUNDAS ST")</f>
        <v>40 DUNDAS ST</v>
      </c>
      <c r="C7296" s="3"/>
      <c r="D7296" s="3"/>
      <c r="E7296" s="3"/>
      <c r="F7296" s="3"/>
      <c r="G7296" s="3"/>
      <c r="H7296" s="3"/>
    </row>
    <row r="7297">
      <c r="A7297" s="2">
        <f>IFERROR(__xludf.DUMMYFUNCTION("""COMPUTED_VALUE"""),93264.0)</f>
        <v>93264</v>
      </c>
      <c r="B7297" s="3" t="str">
        <f>IFERROR(__xludf.DUMMYFUNCTION("""COMPUTED_VALUE"""),"44 DUNDAS ST")</f>
        <v>44 DUNDAS ST</v>
      </c>
      <c r="C7297" s="3"/>
      <c r="D7297" s="3"/>
      <c r="E7297" s="3" t="str">
        <f>IFERROR(__xludf.DUMMYFUNCTION("""COMPUTED_VALUE"""),"pat blagda")</f>
        <v>pat blagda</v>
      </c>
      <c r="F7297" s="3"/>
      <c r="G7297" s="3">
        <f>IFERROR(__xludf.DUMMYFUNCTION("""COMPUTED_VALUE"""),6.134754811E9)</f>
        <v>6134754811</v>
      </c>
      <c r="H7297" s="3"/>
    </row>
    <row r="7298">
      <c r="A7298" s="2">
        <f>IFERROR(__xludf.DUMMYFUNCTION("""COMPUTED_VALUE"""),93265.0)</f>
        <v>93265</v>
      </c>
      <c r="B7298" s="3" t="str">
        <f>IFERROR(__xludf.DUMMYFUNCTION("""COMPUTED_VALUE"""),"50 DUNDAS ST")</f>
        <v>50 DUNDAS ST</v>
      </c>
      <c r="C7298" s="3"/>
      <c r="D7298" s="3"/>
      <c r="E7298" s="3" t="str">
        <f>IFERROR(__xludf.DUMMYFUNCTION("""COMPUTED_VALUE"""),"james muir")</f>
        <v>james muir</v>
      </c>
      <c r="F7298" s="3" t="str">
        <f>IFERROR(__xludf.DUMMYFUNCTION("""COMPUTED_VALUE"""),"jimmuir59@hotmail.com")</f>
        <v>jimmuir59@hotmail.com</v>
      </c>
      <c r="G7298" s="3">
        <f>IFERROR(__xludf.DUMMYFUNCTION("""COMPUTED_VALUE"""),3.433333252E9)</f>
        <v>3433333252</v>
      </c>
      <c r="H7298" s="3">
        <f>IFERROR(__xludf.DUMMYFUNCTION("""COMPUTED_VALUE"""),3.433331303E9)</f>
        <v>3433331303</v>
      </c>
    </row>
    <row r="7299">
      <c r="A7299" s="2">
        <f>IFERROR(__xludf.DUMMYFUNCTION("""COMPUTED_VALUE"""),93267.0)</f>
        <v>93267</v>
      </c>
      <c r="B7299" s="3" t="str">
        <f>IFERROR(__xludf.DUMMYFUNCTION("""COMPUTED_VALUE"""),"52 DUNDAS ST")</f>
        <v>52 DUNDAS ST</v>
      </c>
      <c r="C7299" s="3"/>
      <c r="D7299" s="3"/>
      <c r="E7299" s="3"/>
      <c r="F7299" s="3"/>
      <c r="G7299" s="3"/>
      <c r="H7299" s="3"/>
    </row>
    <row r="7300">
      <c r="A7300" s="2">
        <f>IFERROR(__xludf.DUMMYFUNCTION("""COMPUTED_VALUE"""),93268.0)</f>
        <v>93268</v>
      </c>
      <c r="B7300" s="3" t="str">
        <f>IFERROR(__xludf.DUMMYFUNCTION("""COMPUTED_VALUE"""),"54 DUNDAS ST")</f>
        <v>54 DUNDAS ST</v>
      </c>
      <c r="C7300" s="3"/>
      <c r="D7300" s="3"/>
      <c r="E7300" s="3"/>
      <c r="F7300" s="3"/>
      <c r="G7300" s="3"/>
      <c r="H7300" s="3"/>
    </row>
    <row r="7301">
      <c r="A7301" s="2">
        <f>IFERROR(__xludf.DUMMYFUNCTION("""COMPUTED_VALUE"""),93269.0)</f>
        <v>93269</v>
      </c>
      <c r="B7301" s="3" t="str">
        <f>IFERROR(__xludf.DUMMYFUNCTION("""COMPUTED_VALUE"""),"56  DUNDAS ST")</f>
        <v>56  DUNDAS ST</v>
      </c>
      <c r="C7301" s="3"/>
      <c r="D7301" s="3"/>
      <c r="E7301" s="3" t="str">
        <f>IFERROR(__xludf.DUMMYFUNCTION("""COMPUTED_VALUE"""),"irena filipic")</f>
        <v>irena filipic</v>
      </c>
      <c r="F7301" s="3" t="str">
        <f>IFERROR(__xludf.DUMMYFUNCTION("""COMPUTED_VALUE"""),"wooddick7@yahoo.ca")</f>
        <v>wooddick7@yahoo.ca</v>
      </c>
      <c r="G7301" s="3">
        <f>IFERROR(__xludf.DUMMYFUNCTION("""COMPUTED_VALUE"""),6.138484984E9)</f>
        <v>6138484984</v>
      </c>
      <c r="H7301" s="3"/>
    </row>
    <row r="7302">
      <c r="A7302" s="2">
        <f>IFERROR(__xludf.DUMMYFUNCTION("""COMPUTED_VALUE"""),93270.0)</f>
        <v>93270</v>
      </c>
      <c r="B7302" s="3" t="str">
        <f>IFERROR(__xludf.DUMMYFUNCTION("""COMPUTED_VALUE"""),"58 DUNDAS ST")</f>
        <v>58 DUNDAS ST</v>
      </c>
      <c r="C7302" s="3"/>
      <c r="D7302" s="3"/>
      <c r="E7302" s="3"/>
      <c r="F7302" s="3"/>
      <c r="G7302" s="3"/>
      <c r="H7302" s="3"/>
    </row>
    <row r="7303">
      <c r="A7303" s="2">
        <f>IFERROR(__xludf.DUMMYFUNCTION("""COMPUTED_VALUE"""),93271.0)</f>
        <v>93271</v>
      </c>
      <c r="B7303" s="3" t="str">
        <f>IFERROR(__xludf.DUMMYFUNCTION("""COMPUTED_VALUE"""),"60 DUNDAS ST")</f>
        <v>60 DUNDAS ST</v>
      </c>
      <c r="C7303" s="3"/>
      <c r="D7303" s="3"/>
      <c r="E7303" s="3"/>
      <c r="F7303" s="3"/>
      <c r="G7303" s="3"/>
      <c r="H7303" s="3"/>
    </row>
    <row r="7304">
      <c r="A7304" s="2">
        <f>IFERROR(__xludf.DUMMYFUNCTION("""COMPUTED_VALUE"""),93272.0)</f>
        <v>93272</v>
      </c>
      <c r="B7304" s="3" t="str">
        <f>IFERROR(__xludf.DUMMYFUNCTION("""COMPUTED_VALUE"""),"62 DUNDAS ST")</f>
        <v>62 DUNDAS ST</v>
      </c>
      <c r="C7304" s="3"/>
      <c r="D7304" s="3"/>
      <c r="E7304" s="3"/>
      <c r="F7304" s="3"/>
      <c r="G7304" s="3"/>
      <c r="H7304" s="3"/>
    </row>
    <row r="7305">
      <c r="A7305" s="2">
        <f>IFERROR(__xludf.DUMMYFUNCTION("""COMPUTED_VALUE"""),93273.0)</f>
        <v>93273</v>
      </c>
      <c r="B7305" s="3" t="str">
        <f>IFERROR(__xludf.DUMMYFUNCTION("""COMPUTED_VALUE"""),"64 DUNDAS ST")</f>
        <v>64 DUNDAS ST</v>
      </c>
      <c r="C7305" s="3"/>
      <c r="D7305" s="3"/>
      <c r="E7305" s="3"/>
      <c r="F7305" s="3"/>
      <c r="G7305" s="3"/>
      <c r="H7305" s="3"/>
    </row>
    <row r="7306">
      <c r="A7306" s="2">
        <f>IFERROR(__xludf.DUMMYFUNCTION("""COMPUTED_VALUE"""),93274.0)</f>
        <v>93274</v>
      </c>
      <c r="B7306" s="3" t="str">
        <f>IFERROR(__xludf.DUMMYFUNCTION("""COMPUTED_VALUE"""),"66 DUNDAS ST")</f>
        <v>66 DUNDAS ST</v>
      </c>
      <c r="C7306" s="3"/>
      <c r="D7306" s="3"/>
      <c r="E7306" s="3"/>
      <c r="F7306" s="3"/>
      <c r="G7306" s="3"/>
      <c r="H7306" s="3"/>
    </row>
    <row r="7307">
      <c r="A7307" s="2">
        <f>IFERROR(__xludf.DUMMYFUNCTION("""COMPUTED_VALUE"""),93275.0)</f>
        <v>93275</v>
      </c>
      <c r="B7307" s="3" t="str">
        <f>IFERROR(__xludf.DUMMYFUNCTION("""COMPUTED_VALUE"""),"80 DUNDAS ST")</f>
        <v>80 DUNDAS ST</v>
      </c>
      <c r="C7307" s="3"/>
      <c r="D7307" s="3"/>
      <c r="E7307" s="3"/>
      <c r="F7307" s="3"/>
      <c r="G7307" s="3"/>
      <c r="H7307" s="3"/>
    </row>
    <row r="7308">
      <c r="A7308" s="2">
        <f>IFERROR(__xludf.DUMMYFUNCTION("""COMPUTED_VALUE"""),93276.0)</f>
        <v>93276</v>
      </c>
      <c r="B7308" s="3" t="str">
        <f>IFERROR(__xludf.DUMMYFUNCTION("""COMPUTED_VALUE"""),"82 DUNDAS ST")</f>
        <v>82 DUNDAS ST</v>
      </c>
      <c r="C7308" s="3"/>
      <c r="D7308" s="3"/>
      <c r="E7308" s="3"/>
      <c r="F7308" s="3"/>
      <c r="G7308" s="3"/>
      <c r="H7308" s="3"/>
    </row>
    <row r="7309">
      <c r="A7309" s="2">
        <f>IFERROR(__xludf.DUMMYFUNCTION("""COMPUTED_VALUE"""),93277.0)</f>
        <v>93277</v>
      </c>
      <c r="B7309" s="3" t="str">
        <f>IFERROR(__xludf.DUMMYFUNCTION("""COMPUTED_VALUE"""),"84 DUNDAS ST")</f>
        <v>84 DUNDAS ST</v>
      </c>
      <c r="C7309" s="3"/>
      <c r="D7309" s="3"/>
      <c r="E7309" s="3"/>
      <c r="F7309" s="3"/>
      <c r="G7309" s="3"/>
      <c r="H7309" s="3"/>
    </row>
    <row r="7310">
      <c r="A7310" s="2">
        <f>IFERROR(__xludf.DUMMYFUNCTION("""COMPUTED_VALUE"""),93278.0)</f>
        <v>93278</v>
      </c>
      <c r="B7310" s="3" t="str">
        <f>IFERROR(__xludf.DUMMYFUNCTION("""COMPUTED_VALUE"""),"86 DUNDAS ST")</f>
        <v>86 DUNDAS ST</v>
      </c>
      <c r="C7310" s="3"/>
      <c r="D7310" s="3"/>
      <c r="E7310" s="3"/>
      <c r="F7310" s="3"/>
      <c r="G7310" s="3"/>
      <c r="H7310" s="3"/>
    </row>
    <row r="7311">
      <c r="A7311" s="2">
        <f>IFERROR(__xludf.DUMMYFUNCTION("""COMPUTED_VALUE"""),93279.0)</f>
        <v>93279</v>
      </c>
      <c r="B7311" s="3" t="str">
        <f>IFERROR(__xludf.DUMMYFUNCTION("""COMPUTED_VALUE"""),"88 DUNDAS ST")</f>
        <v>88 DUNDAS ST</v>
      </c>
      <c r="C7311" s="3"/>
      <c r="D7311" s="3"/>
      <c r="E7311" s="3"/>
      <c r="F7311" s="3"/>
      <c r="G7311" s="3"/>
      <c r="H7311" s="3"/>
    </row>
    <row r="7312">
      <c r="A7312" s="2">
        <f>IFERROR(__xludf.DUMMYFUNCTION("""COMPUTED_VALUE"""),93280.0)</f>
        <v>93280</v>
      </c>
      <c r="B7312" s="3" t="str">
        <f>IFERROR(__xludf.DUMMYFUNCTION("""COMPUTED_VALUE"""),"92 DUNDAS ST")</f>
        <v>92 DUNDAS ST</v>
      </c>
      <c r="C7312" s="3"/>
      <c r="D7312" s="3"/>
      <c r="E7312" s="3"/>
      <c r="F7312" s="3"/>
      <c r="G7312" s="3"/>
      <c r="H7312" s="3"/>
    </row>
    <row r="7313">
      <c r="A7313" s="2">
        <f>IFERROR(__xludf.DUMMYFUNCTION("""COMPUTED_VALUE"""),93281.0)</f>
        <v>93281</v>
      </c>
      <c r="B7313" s="3" t="str">
        <f>IFERROR(__xludf.DUMMYFUNCTION("""COMPUTED_VALUE"""),"94 DUNDAS ST")</f>
        <v>94 DUNDAS ST</v>
      </c>
      <c r="C7313" s="3"/>
      <c r="D7313" s="3"/>
      <c r="E7313" s="3"/>
      <c r="F7313" s="3"/>
      <c r="G7313" s="3"/>
      <c r="H7313" s="3"/>
    </row>
    <row r="7314">
      <c r="A7314" s="2">
        <f>IFERROR(__xludf.DUMMYFUNCTION("""COMPUTED_VALUE"""),91071.0)</f>
        <v>91071</v>
      </c>
      <c r="B7314" s="3" t="str">
        <f>IFERROR(__xludf.DUMMYFUNCTION("""COMPUTED_VALUE"""),"11 DURHAM ST")</f>
        <v>11 DURHAM ST</v>
      </c>
      <c r="C7314" s="3"/>
      <c r="D7314" s="3"/>
      <c r="E7314" s="3"/>
      <c r="F7314" s="3"/>
      <c r="G7314" s="3"/>
      <c r="H7314" s="3"/>
    </row>
    <row r="7315">
      <c r="A7315" s="2">
        <f>IFERROR(__xludf.DUMMYFUNCTION("""COMPUTED_VALUE"""),91072.0)</f>
        <v>91072</v>
      </c>
      <c r="B7315" s="3" t="str">
        <f>IFERROR(__xludf.DUMMYFUNCTION("""COMPUTED_VALUE"""),"12 DURHAM ST")</f>
        <v>12 DURHAM ST</v>
      </c>
      <c r="C7315" s="3"/>
      <c r="D7315" s="3"/>
      <c r="E7315" s="3"/>
      <c r="F7315" s="3"/>
      <c r="G7315" s="3"/>
      <c r="H7315" s="3"/>
    </row>
    <row r="7316">
      <c r="A7316" s="2">
        <f>IFERROR(__xludf.DUMMYFUNCTION("""COMPUTED_VALUE"""),91073.0)</f>
        <v>91073</v>
      </c>
      <c r="B7316" s="3" t="str">
        <f>IFERROR(__xludf.DUMMYFUNCTION("""COMPUTED_VALUE"""),"13 DURHAM ST")</f>
        <v>13 DURHAM ST</v>
      </c>
      <c r="C7316" s="3"/>
      <c r="D7316" s="3"/>
      <c r="E7316" s="3"/>
      <c r="F7316" s="3"/>
      <c r="G7316" s="3"/>
      <c r="H7316" s="3"/>
    </row>
    <row r="7317">
      <c r="A7317" s="2">
        <f>IFERROR(__xludf.DUMMYFUNCTION("""COMPUTED_VALUE"""),91051.0)</f>
        <v>91051</v>
      </c>
      <c r="B7317" s="3" t="str">
        <f>IFERROR(__xludf.DUMMYFUNCTION("""COMPUTED_VALUE"""),"14 DURHAM ST S")</f>
        <v>14 DURHAM ST S</v>
      </c>
      <c r="C7317" s="3"/>
      <c r="D7317" s="3"/>
      <c r="E7317" s="3"/>
      <c r="F7317" s="3"/>
      <c r="G7317" s="3"/>
      <c r="H7317" s="3"/>
    </row>
    <row r="7318">
      <c r="A7318" s="2">
        <f>IFERROR(__xludf.DUMMYFUNCTION("""COMPUTED_VALUE"""),91074.0)</f>
        <v>91074</v>
      </c>
      <c r="B7318" s="3" t="str">
        <f>IFERROR(__xludf.DUMMYFUNCTION("""COMPUTED_VALUE"""),"15 DURHAM ST")</f>
        <v>15 DURHAM ST</v>
      </c>
      <c r="C7318" s="3"/>
      <c r="D7318" s="3"/>
      <c r="E7318" s="3"/>
      <c r="F7318" s="3"/>
      <c r="G7318" s="3"/>
      <c r="H7318" s="3"/>
    </row>
    <row r="7319">
      <c r="A7319" s="2">
        <f>IFERROR(__xludf.DUMMYFUNCTION("""COMPUTED_VALUE"""),91075.0)</f>
        <v>91075</v>
      </c>
      <c r="B7319" s="3" t="str">
        <f>IFERROR(__xludf.DUMMYFUNCTION("""COMPUTED_VALUE"""),"16 DURHAM ST")</f>
        <v>16 DURHAM ST</v>
      </c>
      <c r="C7319" s="3"/>
      <c r="D7319" s="3"/>
      <c r="E7319" s="3"/>
      <c r="F7319" s="3"/>
      <c r="G7319" s="3"/>
      <c r="H7319" s="3"/>
    </row>
    <row r="7320">
      <c r="A7320" s="2">
        <f>IFERROR(__xludf.DUMMYFUNCTION("""COMPUTED_VALUE"""),91076.0)</f>
        <v>91076</v>
      </c>
      <c r="B7320" s="3" t="str">
        <f>IFERROR(__xludf.DUMMYFUNCTION("""COMPUTED_VALUE"""),"18 DURHAM ST")</f>
        <v>18 DURHAM ST</v>
      </c>
      <c r="C7320" s="3"/>
      <c r="D7320" s="3"/>
      <c r="E7320" s="3"/>
      <c r="F7320" s="3"/>
      <c r="G7320" s="3"/>
      <c r="H7320" s="3"/>
    </row>
    <row r="7321">
      <c r="A7321" s="2">
        <f>IFERROR(__xludf.DUMMYFUNCTION("""COMPUTED_VALUE"""),91077.0)</f>
        <v>91077</v>
      </c>
      <c r="B7321" s="3" t="str">
        <f>IFERROR(__xludf.DUMMYFUNCTION("""COMPUTED_VALUE"""),"20 DURHAM ST")</f>
        <v>20 DURHAM ST</v>
      </c>
      <c r="C7321" s="3"/>
      <c r="D7321" s="3"/>
      <c r="E7321" s="3"/>
      <c r="F7321" s="3"/>
      <c r="G7321" s="3"/>
      <c r="H7321" s="3"/>
    </row>
    <row r="7322">
      <c r="A7322" s="2">
        <f>IFERROR(__xludf.DUMMYFUNCTION("""COMPUTED_VALUE"""),91052.0)</f>
        <v>91052</v>
      </c>
      <c r="B7322" s="3" t="str">
        <f>IFERROR(__xludf.DUMMYFUNCTION("""COMPUTED_VALUE"""),"21 DURHAM ST S")</f>
        <v>21 DURHAM ST S</v>
      </c>
      <c r="C7322" s="3"/>
      <c r="D7322" s="3"/>
      <c r="E7322" s="3" t="str">
        <f>IFERROR(__xludf.DUMMYFUNCTION("""COMPUTED_VALUE"""),"pauline graham")</f>
        <v>pauline graham</v>
      </c>
      <c r="F7322" s="3" t="str">
        <f>IFERROR(__xludf.DUMMYFUNCTION("""COMPUTED_VALUE"""),"p-graham@live.ca")</f>
        <v>p-graham@live.ca</v>
      </c>
      <c r="G7322" s="3">
        <f>IFERROR(__xludf.DUMMYFUNCTION("""COMPUTED_VALUE"""),9.052181236E9)</f>
        <v>9052181236</v>
      </c>
      <c r="H7322" s="3">
        <f>IFERROR(__xludf.DUMMYFUNCTION("""COMPUTED_VALUE"""),4.163464575E9)</f>
        <v>4163464575</v>
      </c>
    </row>
    <row r="7323">
      <c r="A7323" s="2">
        <f>IFERROR(__xludf.DUMMYFUNCTION("""COMPUTED_VALUE"""),91053.0)</f>
        <v>91053</v>
      </c>
      <c r="B7323" s="3" t="str">
        <f>IFERROR(__xludf.DUMMYFUNCTION("""COMPUTED_VALUE"""),"22 DURHAM ST S")</f>
        <v>22 DURHAM ST S</v>
      </c>
      <c r="C7323" s="3"/>
      <c r="D7323" s="3"/>
      <c r="E7323" s="3"/>
      <c r="F7323" s="3"/>
      <c r="G7323" s="3"/>
      <c r="H7323" s="3"/>
    </row>
    <row r="7324">
      <c r="A7324" s="2">
        <f>IFERROR(__xludf.DUMMYFUNCTION("""COMPUTED_VALUE"""),91078.0)</f>
        <v>91078</v>
      </c>
      <c r="B7324" s="3" t="str">
        <f>IFERROR(__xludf.DUMMYFUNCTION("""COMPUTED_VALUE"""),"23 DURHAM ST")</f>
        <v>23 DURHAM ST</v>
      </c>
      <c r="C7324" s="3"/>
      <c r="D7324" s="3"/>
      <c r="E7324" s="3"/>
      <c r="F7324" s="3"/>
      <c r="G7324" s="3"/>
      <c r="H7324" s="3"/>
    </row>
    <row r="7325">
      <c r="A7325" s="2">
        <f>IFERROR(__xludf.DUMMYFUNCTION("""COMPUTED_VALUE"""),91054.0)</f>
        <v>91054</v>
      </c>
      <c r="B7325" s="3" t="str">
        <f>IFERROR(__xludf.DUMMYFUNCTION("""COMPUTED_VALUE"""),"24 DURHAM ST S")</f>
        <v>24 DURHAM ST S</v>
      </c>
      <c r="C7325" s="3"/>
      <c r="D7325" s="3"/>
      <c r="E7325" s="3" t="str">
        <f>IFERROR(__xludf.DUMMYFUNCTION("""COMPUTED_VALUE"""),"william young ")</f>
        <v>william young </v>
      </c>
      <c r="F7325" s="3" t="str">
        <f>IFERROR(__xludf.DUMMYFUNCTION("""COMPUTED_VALUE"""),"billdebyoung@outlook.com")</f>
        <v>billdebyoung@outlook.com</v>
      </c>
      <c r="G7325" s="3">
        <f>IFERROR(__xludf.DUMMYFUNCTION("""COMPUTED_VALUE"""),9.053732858E9)</f>
        <v>9053732858</v>
      </c>
      <c r="H7325" s="3"/>
    </row>
    <row r="7326">
      <c r="A7326" s="2">
        <f>IFERROR(__xludf.DUMMYFUNCTION("""COMPUTED_VALUE"""),91055.0)</f>
        <v>91055</v>
      </c>
      <c r="B7326" s="3" t="str">
        <f>IFERROR(__xludf.DUMMYFUNCTION("""COMPUTED_VALUE"""),"26 DURHAM ST S")</f>
        <v>26 DURHAM ST S</v>
      </c>
      <c r="C7326" s="3"/>
      <c r="D7326" s="3"/>
      <c r="E7326" s="3"/>
      <c r="F7326" s="3"/>
      <c r="G7326" s="3"/>
      <c r="H7326" s="3"/>
    </row>
    <row r="7327">
      <c r="A7327" s="2">
        <f>IFERROR(__xludf.DUMMYFUNCTION("""COMPUTED_VALUE"""),91079.0)</f>
        <v>91079</v>
      </c>
      <c r="B7327" s="3" t="str">
        <f>IFERROR(__xludf.DUMMYFUNCTION("""COMPUTED_VALUE"""),"30 DURHAM ST")</f>
        <v>30 DURHAM ST</v>
      </c>
      <c r="C7327" s="3"/>
      <c r="D7327" s="3"/>
      <c r="E7327" s="3"/>
      <c r="F7327" s="3"/>
      <c r="G7327" s="3"/>
      <c r="H7327" s="3"/>
    </row>
    <row r="7328">
      <c r="A7328" s="2">
        <f>IFERROR(__xludf.DUMMYFUNCTION("""COMPUTED_VALUE"""),93241.0)</f>
        <v>93241</v>
      </c>
      <c r="B7328" s="3" t="str">
        <f>IFERROR(__xludf.DUMMYFUNCTION("""COMPUTED_VALUE"""),"341 DURHAM ST N")</f>
        <v>341 DURHAM ST N</v>
      </c>
      <c r="C7328" s="3"/>
      <c r="D7328" s="3"/>
      <c r="E7328" s="3"/>
      <c r="F7328" s="3"/>
      <c r="G7328" s="3"/>
      <c r="H7328" s="3"/>
    </row>
    <row r="7329">
      <c r="A7329" s="2">
        <f>IFERROR(__xludf.DUMMYFUNCTION("""COMPUTED_VALUE"""),93240.0)</f>
        <v>93240</v>
      </c>
      <c r="B7329" s="3" t="str">
        <f>IFERROR(__xludf.DUMMYFUNCTION("""COMPUTED_VALUE"""),"345 DURHAM ST N")</f>
        <v>345 DURHAM ST N</v>
      </c>
      <c r="C7329" s="3"/>
      <c r="D7329" s="3"/>
      <c r="E7329" s="3"/>
      <c r="F7329" s="3"/>
      <c r="G7329" s="3"/>
      <c r="H7329" s="3"/>
    </row>
    <row r="7330">
      <c r="A7330" s="2">
        <f>IFERROR(__xludf.DUMMYFUNCTION("""COMPUTED_VALUE"""),93239.0)</f>
        <v>93239</v>
      </c>
      <c r="B7330" s="3" t="str">
        <f>IFERROR(__xludf.DUMMYFUNCTION("""COMPUTED_VALUE"""),"351 DURHAM ST N")</f>
        <v>351 DURHAM ST N</v>
      </c>
      <c r="C7330" s="3"/>
      <c r="D7330" s="3"/>
      <c r="E7330" s="3"/>
      <c r="F7330" s="3"/>
      <c r="G7330" s="3"/>
      <c r="H7330" s="3"/>
    </row>
    <row r="7331">
      <c r="A7331" s="2">
        <f>IFERROR(__xludf.DUMMYFUNCTION("""COMPUTED_VALUE"""),93242.0)</f>
        <v>93242</v>
      </c>
      <c r="B7331" s="3" t="str">
        <f>IFERROR(__xludf.DUMMYFUNCTION("""COMPUTED_VALUE"""),"321 DURHAM ST  N")</f>
        <v>321 DURHAM ST  N</v>
      </c>
      <c r="C7331" s="3" t="str">
        <f>IFERROR(__xludf.DUMMYFUNCTION("""COMPUTED_VALUE"""),"COLBORNE")</f>
        <v>COLBORNE</v>
      </c>
      <c r="D7331" s="3" t="str">
        <f>IFERROR(__xludf.DUMMYFUNCTION("""COMPUTED_VALUE"""),"K0K 1S0")</f>
        <v>K0K 1S0</v>
      </c>
      <c r="E7331" s="3"/>
      <c r="F7331" s="3"/>
      <c r="G7331" s="3"/>
      <c r="H7331" s="3"/>
    </row>
    <row r="7332">
      <c r="A7332" s="2">
        <f>IFERROR(__xludf.DUMMYFUNCTION("""COMPUTED_VALUE"""),91041.0)</f>
        <v>91041</v>
      </c>
      <c r="B7332" s="3" t="str">
        <f>IFERROR(__xludf.DUMMYFUNCTION("""COMPUTED_VALUE"""),"346 DURHAM ST N ")</f>
        <v>346 DURHAM ST N </v>
      </c>
      <c r="C7332" s="3" t="str">
        <f>IFERROR(__xludf.DUMMYFUNCTION("""COMPUTED_VALUE"""),"COLBORNE")</f>
        <v>COLBORNE</v>
      </c>
      <c r="D7332" s="3" t="str">
        <f>IFERROR(__xludf.DUMMYFUNCTION("""COMPUTED_VALUE"""),"K0K 1S0")</f>
        <v>K0K 1S0</v>
      </c>
      <c r="E7332" s="3"/>
      <c r="F7332" s="3"/>
      <c r="G7332" s="3"/>
      <c r="H7332" s="3"/>
    </row>
    <row r="7333">
      <c r="A7333" s="2">
        <f>IFERROR(__xludf.DUMMYFUNCTION("""COMPUTED_VALUE"""),91088.0)</f>
        <v>91088</v>
      </c>
      <c r="B7333" s="3" t="str">
        <f>IFERROR(__xludf.DUMMYFUNCTION("""COMPUTED_VALUE"""),"363 DURHAM ST  ")</f>
        <v>363 DURHAM ST  </v>
      </c>
      <c r="C7333" s="3" t="str">
        <f>IFERROR(__xludf.DUMMYFUNCTION("""COMPUTED_VALUE"""),"COLBORNE")</f>
        <v>COLBORNE</v>
      </c>
      <c r="D7333" s="3" t="str">
        <f>IFERROR(__xludf.DUMMYFUNCTION("""COMPUTED_VALUE"""),"K0K 1S0")</f>
        <v>K0K 1S0</v>
      </c>
      <c r="E7333" s="3"/>
      <c r="F7333" s="3"/>
      <c r="G7333" s="3"/>
      <c r="H7333" s="3"/>
    </row>
    <row r="7334">
      <c r="A7334" s="2">
        <f>IFERROR(__xludf.DUMMYFUNCTION("""COMPUTED_VALUE"""),91089.0)</f>
        <v>91089</v>
      </c>
      <c r="B7334" s="3" t="str">
        <f>IFERROR(__xludf.DUMMYFUNCTION("""COMPUTED_VALUE"""),"375 DURHAM ST  ")</f>
        <v>375 DURHAM ST  </v>
      </c>
      <c r="C7334" s="3" t="str">
        <f>IFERROR(__xludf.DUMMYFUNCTION("""COMPUTED_VALUE"""),"COLBORNE")</f>
        <v>COLBORNE</v>
      </c>
      <c r="D7334" s="3" t="str">
        <f>IFERROR(__xludf.DUMMYFUNCTION("""COMPUTED_VALUE"""),"K0K 1S0")</f>
        <v>K0K 1S0</v>
      </c>
      <c r="E7334" s="3"/>
      <c r="F7334" s="3"/>
      <c r="G7334" s="3"/>
      <c r="H7334" s="3"/>
    </row>
    <row r="7335">
      <c r="A7335" s="2">
        <f>IFERROR(__xludf.DUMMYFUNCTION("""COMPUTED_VALUE"""),91042.0)</f>
        <v>91042</v>
      </c>
      <c r="B7335" s="3" t="str">
        <f>IFERROR(__xludf.DUMMYFUNCTION("""COMPUTED_VALUE"""),"385 DURHAM ST N ")</f>
        <v>385 DURHAM ST N </v>
      </c>
      <c r="C7335" s="3" t="str">
        <f>IFERROR(__xludf.DUMMYFUNCTION("""COMPUTED_VALUE"""),"COLBORNE")</f>
        <v>COLBORNE</v>
      </c>
      <c r="D7335" s="3" t="str">
        <f>IFERROR(__xludf.DUMMYFUNCTION("""COMPUTED_VALUE"""),"K0K 1S0")</f>
        <v>K0K 1S0</v>
      </c>
      <c r="E7335" s="3"/>
      <c r="F7335" s="3"/>
      <c r="G7335" s="3"/>
      <c r="H7335" s="3"/>
    </row>
    <row r="7336">
      <c r="A7336" s="2">
        <f>IFERROR(__xludf.DUMMYFUNCTION("""COMPUTED_VALUE"""),91091.0)</f>
        <v>91091</v>
      </c>
      <c r="B7336" s="3" t="str">
        <f>IFERROR(__xludf.DUMMYFUNCTION("""COMPUTED_VALUE"""),"453 DURHAM ST  ")</f>
        <v>453 DURHAM ST  </v>
      </c>
      <c r="C7336" s="3" t="str">
        <f>IFERROR(__xludf.DUMMYFUNCTION("""COMPUTED_VALUE"""),"COLBORNE")</f>
        <v>COLBORNE</v>
      </c>
      <c r="D7336" s="3" t="str">
        <f>IFERROR(__xludf.DUMMYFUNCTION("""COMPUTED_VALUE"""),"K0K 1S0")</f>
        <v>K0K 1S0</v>
      </c>
      <c r="E7336" s="3"/>
      <c r="F7336" s="3"/>
      <c r="G7336" s="3"/>
      <c r="H7336" s="3"/>
    </row>
    <row r="7337">
      <c r="A7337" s="2">
        <f>IFERROR(__xludf.DUMMYFUNCTION("""COMPUTED_VALUE"""),91092.0)</f>
        <v>91092</v>
      </c>
      <c r="B7337" s="3" t="str">
        <f>IFERROR(__xludf.DUMMYFUNCTION("""COMPUTED_VALUE"""),"468 DURHAM ST  ")</f>
        <v>468 DURHAM ST  </v>
      </c>
      <c r="C7337" s="3" t="str">
        <f>IFERROR(__xludf.DUMMYFUNCTION("""COMPUTED_VALUE"""),"COLBORNE")</f>
        <v>COLBORNE</v>
      </c>
      <c r="D7337" s="3" t="str">
        <f>IFERROR(__xludf.DUMMYFUNCTION("""COMPUTED_VALUE"""),"K0K 1S0")</f>
        <v>K0K 1S0</v>
      </c>
      <c r="E7337" s="3"/>
      <c r="F7337" s="3"/>
      <c r="G7337" s="3"/>
      <c r="H7337" s="3"/>
    </row>
    <row r="7338">
      <c r="A7338" s="2">
        <f>IFERROR(__xludf.DUMMYFUNCTION("""COMPUTED_VALUE"""),91093.0)</f>
        <v>91093</v>
      </c>
      <c r="B7338" s="3" t="str">
        <f>IFERROR(__xludf.DUMMYFUNCTION("""COMPUTED_VALUE"""),"469 DURHAM ST  ")</f>
        <v>469 DURHAM ST  </v>
      </c>
      <c r="C7338" s="3" t="str">
        <f>IFERROR(__xludf.DUMMYFUNCTION("""COMPUTED_VALUE"""),"COLBORNE")</f>
        <v>COLBORNE</v>
      </c>
      <c r="D7338" s="3" t="str">
        <f>IFERROR(__xludf.DUMMYFUNCTION("""COMPUTED_VALUE"""),"K0K 1S0")</f>
        <v>K0K 1S0</v>
      </c>
      <c r="E7338" s="3"/>
      <c r="F7338" s="3"/>
      <c r="G7338" s="3"/>
      <c r="H7338" s="3"/>
    </row>
    <row r="7339">
      <c r="A7339" s="2">
        <f>IFERROR(__xludf.DUMMYFUNCTION("""COMPUTED_VALUE"""),91094.0)</f>
        <v>91094</v>
      </c>
      <c r="B7339" s="3" t="str">
        <f>IFERROR(__xludf.DUMMYFUNCTION("""COMPUTED_VALUE"""),"486 DURHAM ST  ")</f>
        <v>486 DURHAM ST  </v>
      </c>
      <c r="C7339" s="3" t="str">
        <f>IFERROR(__xludf.DUMMYFUNCTION("""COMPUTED_VALUE"""),"COLBORNE")</f>
        <v>COLBORNE</v>
      </c>
      <c r="D7339" s="3" t="str">
        <f>IFERROR(__xludf.DUMMYFUNCTION("""COMPUTED_VALUE"""),"K0K 1S0")</f>
        <v>K0K 1S0</v>
      </c>
      <c r="E7339" s="3"/>
      <c r="F7339" s="3"/>
      <c r="G7339" s="3"/>
      <c r="H7339" s="3"/>
    </row>
    <row r="7340">
      <c r="A7340" s="2">
        <f>IFERROR(__xludf.DUMMYFUNCTION("""COMPUTED_VALUE"""),91090.0)</f>
        <v>91090</v>
      </c>
      <c r="B7340" s="3" t="str">
        <f>IFERROR(__xludf.DUMMYFUNCTION("""COMPUTED_VALUE"""),"404 DURHAM ST  ")</f>
        <v>404 DURHAM ST  </v>
      </c>
      <c r="C7340" s="3" t="str">
        <f>IFERROR(__xludf.DUMMYFUNCTION("""COMPUTED_VALUE"""),"COLBORNE")</f>
        <v>COLBORNE</v>
      </c>
      <c r="D7340" s="3" t="str">
        <f>IFERROR(__xludf.DUMMYFUNCTION("""COMPUTED_VALUE"""),"K0K 1S0")</f>
        <v>K0K 1S0</v>
      </c>
      <c r="E7340" s="3" t="str">
        <f>IFERROR(__xludf.DUMMYFUNCTION("""COMPUTED_VALUE"""),"paul scherbak")</f>
        <v>paul scherbak</v>
      </c>
      <c r="F7340" s="3" t="str">
        <f>IFERROR(__xludf.DUMMYFUNCTION("""COMPUTED_VALUE"""),"pscherbaks@gmail.com")</f>
        <v>pscherbaks@gmail.com</v>
      </c>
      <c r="G7340" s="3">
        <f>IFERROR(__xludf.DUMMYFUNCTION("""COMPUTED_VALUE"""),9.052133202E9)</f>
        <v>9052133202</v>
      </c>
      <c r="H7340" s="3"/>
    </row>
    <row r="7341">
      <c r="A7341" s="2">
        <f>IFERROR(__xludf.DUMMYFUNCTION("""COMPUTED_VALUE"""),91043.0)</f>
        <v>91043</v>
      </c>
      <c r="B7341" s="3" t="str">
        <f>IFERROR(__xludf.DUMMYFUNCTION("""COMPUTED_VALUE"""),"481 DURHAM ST N ")</f>
        <v>481 DURHAM ST N </v>
      </c>
      <c r="C7341" s="3" t="str">
        <f>IFERROR(__xludf.DUMMYFUNCTION("""COMPUTED_VALUE"""),"COLBORNE")</f>
        <v>COLBORNE</v>
      </c>
      <c r="D7341" s="3" t="str">
        <f>IFERROR(__xludf.DUMMYFUNCTION("""COMPUTED_VALUE"""),"K0K 1S0")</f>
        <v>K0K 1S0</v>
      </c>
      <c r="E7341" s="3" t="str">
        <f>IFERROR(__xludf.DUMMYFUNCTION("""COMPUTED_VALUE"""),"Mike Fuller")</f>
        <v>Mike Fuller</v>
      </c>
      <c r="F7341" s="3" t="str">
        <f>IFERROR(__xludf.DUMMYFUNCTION("""COMPUTED_VALUE"""),"mike@hitechsolutions.ca")</f>
        <v>mike@hitechsolutions.ca</v>
      </c>
      <c r="G7341" s="3"/>
      <c r="H7341" s="3"/>
    </row>
    <row r="7342">
      <c r="A7342" s="2">
        <f>IFERROR(__xludf.DUMMYFUNCTION("""COMPUTED_VALUE"""),91047.0)</f>
        <v>91047</v>
      </c>
      <c r="B7342" s="3" t="str">
        <f>IFERROR(__xludf.DUMMYFUNCTION("""COMPUTED_VALUE"""),"2 DURHAM ST S")</f>
        <v>2 DURHAM ST S</v>
      </c>
      <c r="C7342" s="3"/>
      <c r="D7342" s="3"/>
      <c r="E7342" s="3"/>
      <c r="F7342" s="3"/>
      <c r="G7342" s="3"/>
      <c r="H7342" s="3"/>
    </row>
    <row r="7343">
      <c r="A7343" s="2">
        <f>IFERROR(__xludf.DUMMYFUNCTION("""COMPUTED_VALUE"""),91067.0)</f>
        <v>91067</v>
      </c>
      <c r="B7343" s="3" t="str">
        <f>IFERROR(__xludf.DUMMYFUNCTION("""COMPUTED_VALUE"""),"3 DURHAM ST")</f>
        <v>3 DURHAM ST</v>
      </c>
      <c r="C7343" s="3"/>
      <c r="D7343" s="3"/>
      <c r="E7343" s="3"/>
      <c r="F7343" s="3"/>
      <c r="G7343" s="3"/>
      <c r="H7343" s="3"/>
    </row>
    <row r="7344">
      <c r="A7344" s="2">
        <f>IFERROR(__xludf.DUMMYFUNCTION("""COMPUTED_VALUE"""),91048.0)</f>
        <v>91048</v>
      </c>
      <c r="B7344" s="3" t="str">
        <f>IFERROR(__xludf.DUMMYFUNCTION("""COMPUTED_VALUE"""),"4 DURHAM ST S")</f>
        <v>4 DURHAM ST S</v>
      </c>
      <c r="C7344" s="3"/>
      <c r="D7344" s="3"/>
      <c r="E7344" s="3"/>
      <c r="F7344" s="3"/>
      <c r="G7344" s="3"/>
      <c r="H7344" s="3"/>
    </row>
    <row r="7345">
      <c r="A7345" s="2">
        <f>IFERROR(__xludf.DUMMYFUNCTION("""COMPUTED_VALUE"""),91068.0)</f>
        <v>91068</v>
      </c>
      <c r="B7345" s="3" t="str">
        <f>IFERROR(__xludf.DUMMYFUNCTION("""COMPUTED_VALUE"""),"5 DURHAM ST")</f>
        <v>5 DURHAM ST</v>
      </c>
      <c r="C7345" s="3"/>
      <c r="D7345" s="3"/>
      <c r="E7345" s="3"/>
      <c r="F7345" s="3"/>
      <c r="G7345" s="3"/>
      <c r="H7345" s="3"/>
    </row>
    <row r="7346">
      <c r="A7346" s="2">
        <f>IFERROR(__xludf.DUMMYFUNCTION("""COMPUTED_VALUE"""),91069.0)</f>
        <v>91069</v>
      </c>
      <c r="B7346" s="3" t="str">
        <f>IFERROR(__xludf.DUMMYFUNCTION("""COMPUTED_VALUE"""),"6 DURHAM ST")</f>
        <v>6 DURHAM ST</v>
      </c>
      <c r="C7346" s="3"/>
      <c r="D7346" s="3"/>
      <c r="E7346" s="3"/>
      <c r="F7346" s="3"/>
      <c r="G7346" s="3"/>
      <c r="H7346" s="3"/>
    </row>
    <row r="7347">
      <c r="A7347" s="2">
        <f>IFERROR(__xludf.DUMMYFUNCTION("""COMPUTED_VALUE"""),91049.0)</f>
        <v>91049</v>
      </c>
      <c r="B7347" s="3" t="str">
        <f>IFERROR(__xludf.DUMMYFUNCTION("""COMPUTED_VALUE"""),"7 DURHAM ST S")</f>
        <v>7 DURHAM ST S</v>
      </c>
      <c r="C7347" s="3"/>
      <c r="D7347" s="3"/>
      <c r="E7347" s="3"/>
      <c r="F7347" s="3"/>
      <c r="G7347" s="3"/>
      <c r="H7347" s="3"/>
    </row>
    <row r="7348">
      <c r="A7348" s="2">
        <f>IFERROR(__xludf.DUMMYFUNCTION("""COMPUTED_VALUE"""),91050.0)</f>
        <v>91050</v>
      </c>
      <c r="B7348" s="3" t="str">
        <f>IFERROR(__xludf.DUMMYFUNCTION("""COMPUTED_VALUE"""),"8 DURHAM ST S")</f>
        <v>8 DURHAM ST S</v>
      </c>
      <c r="C7348" s="3"/>
      <c r="D7348" s="3"/>
      <c r="E7348" s="3"/>
      <c r="F7348" s="3"/>
      <c r="G7348" s="3"/>
      <c r="H7348" s="3"/>
    </row>
    <row r="7349">
      <c r="A7349" s="2">
        <f>IFERROR(__xludf.DUMMYFUNCTION("""COMPUTED_VALUE"""),91070.0)</f>
        <v>91070</v>
      </c>
      <c r="B7349" s="3" t="str">
        <f>IFERROR(__xludf.DUMMYFUNCTION("""COMPUTED_VALUE"""),"10 DURHAM ST")</f>
        <v>10 DURHAM ST</v>
      </c>
      <c r="C7349" s="3"/>
      <c r="D7349" s="3"/>
      <c r="E7349" s="3"/>
      <c r="F7349" s="3"/>
      <c r="G7349" s="3"/>
      <c r="H7349" s="3"/>
    </row>
    <row r="7350">
      <c r="A7350" s="2">
        <f>IFERROR(__xludf.DUMMYFUNCTION("""COMPUTED_VALUE"""),91080.0)</f>
        <v>91080</v>
      </c>
      <c r="B7350" s="3" t="str">
        <f>IFERROR(__xludf.DUMMYFUNCTION("""COMPUTED_VALUE"""),"32 DURHAM ST")</f>
        <v>32 DURHAM ST</v>
      </c>
      <c r="C7350" s="3"/>
      <c r="D7350" s="3"/>
      <c r="E7350" s="3"/>
      <c r="F7350" s="3"/>
      <c r="G7350" s="3"/>
      <c r="H7350" s="3"/>
    </row>
    <row r="7351">
      <c r="A7351" s="2">
        <f>IFERROR(__xludf.DUMMYFUNCTION("""COMPUTED_VALUE"""),91120.0)</f>
        <v>91120</v>
      </c>
      <c r="B7351" s="3" t="str">
        <f>IFERROR(__xludf.DUMMYFUNCTION("""COMPUTED_VALUE"""),"165 ELGIN ST N ")</f>
        <v>165 ELGIN ST N </v>
      </c>
      <c r="C7351" s="3" t="str">
        <f>IFERROR(__xludf.DUMMYFUNCTION("""COMPUTED_VALUE"""),"COLBORNE")</f>
        <v>COLBORNE</v>
      </c>
      <c r="D7351" s="3" t="str">
        <f>IFERROR(__xludf.DUMMYFUNCTION("""COMPUTED_VALUE"""),"K0K 1S0")</f>
        <v>K0K 1S0</v>
      </c>
      <c r="E7351" s="3"/>
      <c r="F7351" s="3"/>
      <c r="G7351" s="3"/>
      <c r="H7351" s="3"/>
    </row>
    <row r="7352">
      <c r="A7352" s="2">
        <f>IFERROR(__xludf.DUMMYFUNCTION("""COMPUTED_VALUE"""),91121.0)</f>
        <v>91121</v>
      </c>
      <c r="B7352" s="3" t="str">
        <f>IFERROR(__xludf.DUMMYFUNCTION("""COMPUTED_VALUE"""),"174 ELGIN ST N ")</f>
        <v>174 ELGIN ST N </v>
      </c>
      <c r="C7352" s="3" t="str">
        <f>IFERROR(__xludf.DUMMYFUNCTION("""COMPUTED_VALUE"""),"COLBORNE")</f>
        <v>COLBORNE</v>
      </c>
      <c r="D7352" s="3" t="str">
        <f>IFERROR(__xludf.DUMMYFUNCTION("""COMPUTED_VALUE"""),"K0K 1S0")</f>
        <v>K0K 1S0</v>
      </c>
      <c r="E7352" s="3"/>
      <c r="F7352" s="3"/>
      <c r="G7352" s="3"/>
      <c r="H7352" s="3"/>
    </row>
    <row r="7353">
      <c r="A7353" s="2">
        <f>IFERROR(__xludf.DUMMYFUNCTION("""COMPUTED_VALUE"""),91123.0)</f>
        <v>91123</v>
      </c>
      <c r="B7353" s="3" t="str">
        <f>IFERROR(__xludf.DUMMYFUNCTION("""COMPUTED_VALUE"""),"183-195 ELGIN ST N ")</f>
        <v>183-195 ELGIN ST N </v>
      </c>
      <c r="C7353" s="3" t="str">
        <f>IFERROR(__xludf.DUMMYFUNCTION("""COMPUTED_VALUE"""),"COLBORNE")</f>
        <v>COLBORNE</v>
      </c>
      <c r="D7353" s="3" t="str">
        <f>IFERROR(__xludf.DUMMYFUNCTION("""COMPUTED_VALUE"""),"K0K 1S0")</f>
        <v>K0K 1S0</v>
      </c>
      <c r="E7353" s="3"/>
      <c r="F7353" s="3"/>
      <c r="G7353" s="3"/>
      <c r="H7353" s="3"/>
    </row>
    <row r="7354">
      <c r="A7354" s="2">
        <f>IFERROR(__xludf.DUMMYFUNCTION("""COMPUTED_VALUE"""),93134.0)</f>
        <v>93134</v>
      </c>
      <c r="B7354" s="3" t="str">
        <f>IFERROR(__xludf.DUMMYFUNCTION("""COMPUTED_VALUE"""),"3 ELIZABETH ST")</f>
        <v>3 ELIZABETH ST</v>
      </c>
      <c r="C7354" s="3"/>
      <c r="D7354" s="3"/>
      <c r="E7354" s="3"/>
      <c r="F7354" s="3"/>
      <c r="G7354" s="3"/>
      <c r="H7354" s="3"/>
    </row>
    <row r="7355">
      <c r="A7355" s="2">
        <f>IFERROR(__xludf.DUMMYFUNCTION("""COMPUTED_VALUE"""),93135.0)</f>
        <v>93135</v>
      </c>
      <c r="B7355" s="3" t="str">
        <f>IFERROR(__xludf.DUMMYFUNCTION("""COMPUTED_VALUE"""),"11 ELIZABETH ST")</f>
        <v>11 ELIZABETH ST</v>
      </c>
      <c r="C7355" s="3"/>
      <c r="D7355" s="3"/>
      <c r="E7355" s="3"/>
      <c r="F7355" s="3"/>
      <c r="G7355" s="3"/>
      <c r="H7355" s="3"/>
    </row>
    <row r="7356">
      <c r="A7356" s="2">
        <f>IFERROR(__xludf.DUMMYFUNCTION("""COMPUTED_VALUE"""),93182.0)</f>
        <v>93182</v>
      </c>
      <c r="B7356" s="3" t="str">
        <f>IFERROR(__xludf.DUMMYFUNCTION("""COMPUTED_VALUE"""),"13 ELIZABETH ST")</f>
        <v>13 ELIZABETH ST</v>
      </c>
      <c r="C7356" s="3"/>
      <c r="D7356" s="3"/>
      <c r="E7356" s="3"/>
      <c r="F7356" s="3"/>
      <c r="G7356" s="3"/>
      <c r="H7356" s="3"/>
    </row>
    <row r="7357">
      <c r="A7357" s="2">
        <f>IFERROR(__xludf.DUMMYFUNCTION("""COMPUTED_VALUE"""),93183.0)</f>
        <v>93183</v>
      </c>
      <c r="B7357" s="3" t="str">
        <f>IFERROR(__xludf.DUMMYFUNCTION("""COMPUTED_VALUE"""),"19 ELIZABETH ST")</f>
        <v>19 ELIZABETH ST</v>
      </c>
      <c r="C7357" s="3"/>
      <c r="D7357" s="3"/>
      <c r="E7357" s="3"/>
      <c r="F7357" s="3"/>
      <c r="G7357" s="3"/>
      <c r="H7357" s="3"/>
    </row>
    <row r="7358">
      <c r="A7358" s="2">
        <f>IFERROR(__xludf.DUMMYFUNCTION("""COMPUTED_VALUE"""),93184.0)</f>
        <v>93184</v>
      </c>
      <c r="B7358" s="3" t="str">
        <f>IFERROR(__xludf.DUMMYFUNCTION("""COMPUTED_VALUE"""),"23 ELIZABETH ST")</f>
        <v>23 ELIZABETH ST</v>
      </c>
      <c r="C7358" s="3"/>
      <c r="D7358" s="3"/>
      <c r="E7358" s="3"/>
      <c r="F7358" s="3"/>
      <c r="G7358" s="3"/>
      <c r="H7358" s="3"/>
    </row>
    <row r="7359">
      <c r="A7359" s="2">
        <f>IFERROR(__xludf.DUMMYFUNCTION("""COMPUTED_VALUE"""),93185.0)</f>
        <v>93185</v>
      </c>
      <c r="B7359" s="3" t="str">
        <f>IFERROR(__xludf.DUMMYFUNCTION("""COMPUTED_VALUE"""),"25 ELIZABETH ST")</f>
        <v>25 ELIZABETH ST</v>
      </c>
      <c r="C7359" s="3"/>
      <c r="D7359" s="3"/>
      <c r="E7359" s="3"/>
      <c r="F7359" s="3"/>
      <c r="G7359" s="3"/>
      <c r="H7359" s="3"/>
    </row>
    <row r="7360">
      <c r="A7360" s="2">
        <f>IFERROR(__xludf.DUMMYFUNCTION("""COMPUTED_VALUE"""),93186.0)</f>
        <v>93186</v>
      </c>
      <c r="B7360" s="3" t="str">
        <f>IFERROR(__xludf.DUMMYFUNCTION("""COMPUTED_VALUE"""),"29 ELIZABETH ST")</f>
        <v>29 ELIZABETH ST</v>
      </c>
      <c r="C7360" s="3"/>
      <c r="D7360" s="3"/>
      <c r="E7360" s="3"/>
      <c r="F7360" s="3"/>
      <c r="G7360" s="3"/>
      <c r="H7360" s="3"/>
    </row>
    <row r="7361">
      <c r="A7361" s="2">
        <f>IFERROR(__xludf.DUMMYFUNCTION("""COMPUTED_VALUE"""),93187.0)</f>
        <v>93187</v>
      </c>
      <c r="B7361" s="3" t="str">
        <f>IFERROR(__xludf.DUMMYFUNCTION("""COMPUTED_VALUE"""),"31 ELIZABETH ST")</f>
        <v>31 ELIZABETH ST</v>
      </c>
      <c r="C7361" s="3"/>
      <c r="D7361" s="3"/>
      <c r="E7361" s="3"/>
      <c r="F7361" s="3"/>
      <c r="G7361" s="3"/>
      <c r="H7361" s="3"/>
    </row>
    <row r="7362">
      <c r="A7362" s="2">
        <f>IFERROR(__xludf.DUMMYFUNCTION("""COMPUTED_VALUE"""),93188.0)</f>
        <v>93188</v>
      </c>
      <c r="B7362" s="3" t="str">
        <f>IFERROR(__xludf.DUMMYFUNCTION("""COMPUTED_VALUE"""),"35 ELIZABETH ST")</f>
        <v>35 ELIZABETH ST</v>
      </c>
      <c r="C7362" s="3"/>
      <c r="D7362" s="3"/>
      <c r="E7362" s="3"/>
      <c r="F7362" s="3"/>
      <c r="G7362" s="3"/>
      <c r="H7362" s="3"/>
    </row>
    <row r="7363">
      <c r="A7363" s="2">
        <f>IFERROR(__xludf.DUMMYFUNCTION("""COMPUTED_VALUE"""),93189.0)</f>
        <v>93189</v>
      </c>
      <c r="B7363" s="3" t="str">
        <f>IFERROR(__xludf.DUMMYFUNCTION("""COMPUTED_VALUE"""),"37 ELIZABETH ST")</f>
        <v>37 ELIZABETH ST</v>
      </c>
      <c r="C7363" s="3"/>
      <c r="D7363" s="3"/>
      <c r="E7363" s="3"/>
      <c r="F7363" s="3"/>
      <c r="G7363" s="3"/>
      <c r="H7363" s="3"/>
    </row>
    <row r="7364">
      <c r="A7364" s="2">
        <f>IFERROR(__xludf.DUMMYFUNCTION("""COMPUTED_VALUE"""),93190.0)</f>
        <v>93190</v>
      </c>
      <c r="B7364" s="3" t="str">
        <f>IFERROR(__xludf.DUMMYFUNCTION("""COMPUTED_VALUE"""),"39 ELIZABETH ST")</f>
        <v>39 ELIZABETH ST</v>
      </c>
      <c r="C7364" s="3"/>
      <c r="D7364" s="3"/>
      <c r="E7364" s="3"/>
      <c r="F7364" s="3"/>
      <c r="G7364" s="3"/>
      <c r="H7364" s="3"/>
    </row>
    <row r="7365">
      <c r="A7365" s="2">
        <f>IFERROR(__xludf.DUMMYFUNCTION("""COMPUTED_VALUE"""),93191.0)</f>
        <v>93191</v>
      </c>
      <c r="B7365" s="3" t="str">
        <f>IFERROR(__xludf.DUMMYFUNCTION("""COMPUTED_VALUE"""),"41 ELIZABETH ST")</f>
        <v>41 ELIZABETH ST</v>
      </c>
      <c r="C7365" s="3"/>
      <c r="D7365" s="3"/>
      <c r="E7365" s="3"/>
      <c r="F7365" s="3"/>
      <c r="G7365" s="3"/>
      <c r="H7365" s="3"/>
    </row>
    <row r="7366">
      <c r="A7366" s="2">
        <f>IFERROR(__xludf.DUMMYFUNCTION("""COMPUTED_VALUE"""),93192.0)</f>
        <v>93192</v>
      </c>
      <c r="B7366" s="3" t="str">
        <f>IFERROR(__xludf.DUMMYFUNCTION("""COMPUTED_VALUE"""),"49 ELIZABETH ST")</f>
        <v>49 ELIZABETH ST</v>
      </c>
      <c r="C7366" s="3"/>
      <c r="D7366" s="3"/>
      <c r="E7366" s="3"/>
      <c r="F7366" s="3"/>
      <c r="G7366" s="3"/>
      <c r="H7366" s="3"/>
    </row>
    <row r="7367">
      <c r="A7367" s="2">
        <f>IFERROR(__xludf.DUMMYFUNCTION("""COMPUTED_VALUE"""),91189.0)</f>
        <v>91189</v>
      </c>
      <c r="B7367" s="3" t="str">
        <f>IFERROR(__xludf.DUMMYFUNCTION("""COMPUTED_VALUE"""),"365 FIDDICK RD  ")</f>
        <v>365 FIDDICK RD  </v>
      </c>
      <c r="C7367" s="3" t="str">
        <f>IFERROR(__xludf.DUMMYFUNCTION("""COMPUTED_VALUE"""),"BRIGHTON")</f>
        <v>BRIGHTON</v>
      </c>
      <c r="D7367" s="3" t="str">
        <f>IFERROR(__xludf.DUMMYFUNCTION("""COMPUTED_VALUE"""),"K0K 1H0")</f>
        <v>K0K 1H0</v>
      </c>
      <c r="E7367" s="3"/>
      <c r="F7367" s="3"/>
      <c r="G7367" s="3"/>
      <c r="H7367" s="3"/>
    </row>
    <row r="7368">
      <c r="A7368" s="2">
        <f>IFERROR(__xludf.DUMMYFUNCTION("""COMPUTED_VALUE"""),91190.0)</f>
        <v>91190</v>
      </c>
      <c r="B7368" s="3" t="str">
        <f>IFERROR(__xludf.DUMMYFUNCTION("""COMPUTED_VALUE"""),"376 FIDDICK RD  ")</f>
        <v>376 FIDDICK RD  </v>
      </c>
      <c r="C7368" s="3" t="str">
        <f>IFERROR(__xludf.DUMMYFUNCTION("""COMPUTED_VALUE"""),"BRIGHTON")</f>
        <v>BRIGHTON</v>
      </c>
      <c r="D7368" s="3" t="str">
        <f>IFERROR(__xludf.DUMMYFUNCTION("""COMPUTED_VALUE"""),"K0K 1H0")</f>
        <v>K0K 1H0</v>
      </c>
      <c r="E7368" s="3" t="str">
        <f>IFERROR(__xludf.DUMMYFUNCTION("""COMPUTED_VALUE"""),"Steven Krywokulsky")</f>
        <v>Steven Krywokulsky</v>
      </c>
      <c r="F7368" s="3" t="str">
        <f>IFERROR(__xludf.DUMMYFUNCTION("""COMPUTED_VALUE"""),"stevenk709@gmail.com")</f>
        <v>stevenk709@gmail.com</v>
      </c>
      <c r="G7368" s="3"/>
      <c r="H7368" s="3"/>
    </row>
    <row r="7369">
      <c r="A7369" s="2">
        <f>IFERROR(__xludf.DUMMYFUNCTION("""COMPUTED_VALUE"""),91191.0)</f>
        <v>91191</v>
      </c>
      <c r="B7369" s="3" t="str">
        <f>IFERROR(__xludf.DUMMYFUNCTION("""COMPUTED_VALUE"""),"388 FIDDICK RD  ")</f>
        <v>388 FIDDICK RD  </v>
      </c>
      <c r="C7369" s="3" t="str">
        <f>IFERROR(__xludf.DUMMYFUNCTION("""COMPUTED_VALUE"""),"BRIGHTON")</f>
        <v>BRIGHTON</v>
      </c>
      <c r="D7369" s="3" t="str">
        <f>IFERROR(__xludf.DUMMYFUNCTION("""COMPUTED_VALUE"""),"K0K 1H0")</f>
        <v>K0K 1H0</v>
      </c>
      <c r="E7369" s="3"/>
      <c r="F7369" s="3"/>
      <c r="G7369" s="3"/>
      <c r="H7369" s="3"/>
    </row>
    <row r="7370">
      <c r="A7370" s="2">
        <f>IFERROR(__xludf.DUMMYFUNCTION("""COMPUTED_VALUE"""),91192.0)</f>
        <v>91192</v>
      </c>
      <c r="B7370" s="3" t="str">
        <f>IFERROR(__xludf.DUMMYFUNCTION("""COMPUTED_VALUE"""),"395 FIDDICK RD  ")</f>
        <v>395 FIDDICK RD  </v>
      </c>
      <c r="C7370" s="3" t="str">
        <f>IFERROR(__xludf.DUMMYFUNCTION("""COMPUTED_VALUE"""),"BRIGHTON")</f>
        <v>BRIGHTON</v>
      </c>
      <c r="D7370" s="3" t="str">
        <f>IFERROR(__xludf.DUMMYFUNCTION("""COMPUTED_VALUE"""),"K0K 1H0")</f>
        <v>K0K 1H0</v>
      </c>
      <c r="E7370" s="3"/>
      <c r="F7370" s="3"/>
      <c r="G7370" s="3"/>
      <c r="H7370" s="3"/>
    </row>
    <row r="7371">
      <c r="A7371" s="2">
        <f>IFERROR(__xludf.DUMMYFUNCTION("""COMPUTED_VALUE"""),91193.0)</f>
        <v>91193</v>
      </c>
      <c r="B7371" s="3" t="str">
        <f>IFERROR(__xludf.DUMMYFUNCTION("""COMPUTED_VALUE"""),"402 FIDDICK RD  ")</f>
        <v>402 FIDDICK RD  </v>
      </c>
      <c r="C7371" s="3" t="str">
        <f>IFERROR(__xludf.DUMMYFUNCTION("""COMPUTED_VALUE"""),"BRIGHTON")</f>
        <v>BRIGHTON</v>
      </c>
      <c r="D7371" s="3" t="str">
        <f>IFERROR(__xludf.DUMMYFUNCTION("""COMPUTED_VALUE"""),"K0K 1H0")</f>
        <v>K0K 1H0</v>
      </c>
      <c r="E7371" s="3" t="str">
        <f>IFERROR(__xludf.DUMMYFUNCTION("""COMPUTED_VALUE"""),"Trisha+Jim Hess")</f>
        <v>Trisha+Jim Hess</v>
      </c>
      <c r="F7371" s="3" t="str">
        <f>IFERROR(__xludf.DUMMYFUNCTION("""COMPUTED_VALUE"""),"trisha.hess@gmail.com")</f>
        <v>trisha.hess@gmail.com</v>
      </c>
      <c r="G7371" s="3"/>
      <c r="H7371" s="3"/>
    </row>
    <row r="7372">
      <c r="A7372" s="2">
        <f>IFERROR(__xludf.DUMMYFUNCTION("""COMPUTED_VALUE"""),91194.0)</f>
        <v>91194</v>
      </c>
      <c r="B7372" s="3" t="str">
        <f>IFERROR(__xludf.DUMMYFUNCTION("""COMPUTED_VALUE"""),"405 FIDDICK RD  ")</f>
        <v>405 FIDDICK RD  </v>
      </c>
      <c r="C7372" s="3" t="str">
        <f>IFERROR(__xludf.DUMMYFUNCTION("""COMPUTED_VALUE"""),"BRIGHTON")</f>
        <v>BRIGHTON</v>
      </c>
      <c r="D7372" s="3" t="str">
        <f>IFERROR(__xludf.DUMMYFUNCTION("""COMPUTED_VALUE"""),"K0K 1H0")</f>
        <v>K0K 1H0</v>
      </c>
      <c r="E7372" s="3" t="str">
        <f>IFERROR(__xludf.DUMMYFUNCTION("""COMPUTED_VALUE"""),"George Ennis")</f>
        <v>George Ennis</v>
      </c>
      <c r="F7372" s="3" t="str">
        <f>IFERROR(__xludf.DUMMYFUNCTION("""COMPUTED_VALUE"""),"georgeennis3@gmail.com")</f>
        <v>georgeennis3@gmail.com</v>
      </c>
      <c r="G7372" s="3"/>
      <c r="H7372" s="3"/>
    </row>
    <row r="7373">
      <c r="A7373" s="2">
        <f>IFERROR(__xludf.DUMMYFUNCTION("""COMPUTED_VALUE"""),91195.0)</f>
        <v>91195</v>
      </c>
      <c r="B7373" s="3" t="str">
        <f>IFERROR(__xludf.DUMMYFUNCTION("""COMPUTED_VALUE"""),"421 FIDDICK RD  ")</f>
        <v>421 FIDDICK RD  </v>
      </c>
      <c r="C7373" s="3" t="str">
        <f>IFERROR(__xludf.DUMMYFUNCTION("""COMPUTED_VALUE"""),"BRIGHTON")</f>
        <v>BRIGHTON</v>
      </c>
      <c r="D7373" s="3" t="str">
        <f>IFERROR(__xludf.DUMMYFUNCTION("""COMPUTED_VALUE"""),"K0K 1H0")</f>
        <v>K0K 1H0</v>
      </c>
      <c r="E7373" s="3" t="str">
        <f>IFERROR(__xludf.DUMMYFUNCTION("""COMPUTED_VALUE"""),"Helve Bowden")</f>
        <v>Helve Bowden</v>
      </c>
      <c r="F7373" s="3" t="str">
        <f>IFERROR(__xludf.DUMMYFUNCTION("""COMPUTED_VALUE"""),"hb.bowden@hotmail.ca")</f>
        <v>hb.bowden@hotmail.ca</v>
      </c>
      <c r="G7373" s="3"/>
      <c r="H7373" s="3"/>
    </row>
    <row r="7374">
      <c r="A7374" s="2">
        <f>IFERROR(__xludf.DUMMYFUNCTION("""COMPUTED_VALUE"""),91196.0)</f>
        <v>91196</v>
      </c>
      <c r="B7374" s="3" t="str">
        <f>IFERROR(__xludf.DUMMYFUNCTION("""COMPUTED_VALUE"""),"426 FIDDICK RD  ")</f>
        <v>426 FIDDICK RD  </v>
      </c>
      <c r="C7374" s="3" t="str">
        <f>IFERROR(__xludf.DUMMYFUNCTION("""COMPUTED_VALUE"""),"BRIGHTON")</f>
        <v>BRIGHTON</v>
      </c>
      <c r="D7374" s="3" t="str">
        <f>IFERROR(__xludf.DUMMYFUNCTION("""COMPUTED_VALUE"""),"K0K 1H0")</f>
        <v>K0K 1H0</v>
      </c>
      <c r="E7374" s="3" t="str">
        <f>IFERROR(__xludf.DUMMYFUNCTION("""COMPUTED_VALUE"""),"Frank Puyliere")</f>
        <v>Frank Puyliere</v>
      </c>
      <c r="F7374" s="3" t="str">
        <f>IFERROR(__xludf.DUMMYFUNCTION("""COMPUTED_VALUE"""),"franco_a_puyliere@hotmail.com")</f>
        <v>franco_a_puyliere@hotmail.com</v>
      </c>
      <c r="G7374" s="3"/>
      <c r="H7374" s="3"/>
    </row>
    <row r="7375">
      <c r="A7375" s="2">
        <f>IFERROR(__xludf.DUMMYFUNCTION("""COMPUTED_VALUE"""),91197.0)</f>
        <v>91197</v>
      </c>
      <c r="B7375" s="3" t="str">
        <f>IFERROR(__xludf.DUMMYFUNCTION("""COMPUTED_VALUE"""),"471 FIDDICK RD  ")</f>
        <v>471 FIDDICK RD  </v>
      </c>
      <c r="C7375" s="3" t="str">
        <f>IFERROR(__xludf.DUMMYFUNCTION("""COMPUTED_VALUE"""),"BRIGHTON")</f>
        <v>BRIGHTON</v>
      </c>
      <c r="D7375" s="3" t="str">
        <f>IFERROR(__xludf.DUMMYFUNCTION("""COMPUTED_VALUE"""),"K0K 1H0")</f>
        <v>K0K 1H0</v>
      </c>
      <c r="E7375" s="3"/>
      <c r="F7375" s="3"/>
      <c r="G7375" s="3"/>
      <c r="H7375" s="3"/>
    </row>
    <row r="7376">
      <c r="A7376" s="2">
        <f>IFERROR(__xludf.DUMMYFUNCTION("""COMPUTED_VALUE"""),91198.0)</f>
        <v>91198</v>
      </c>
      <c r="B7376" s="3" t="str">
        <f>IFERROR(__xludf.DUMMYFUNCTION("""COMPUTED_VALUE"""),"485 FIDDICK RD  ")</f>
        <v>485 FIDDICK RD  </v>
      </c>
      <c r="C7376" s="3" t="str">
        <f>IFERROR(__xludf.DUMMYFUNCTION("""COMPUTED_VALUE"""),"BRIGHTON")</f>
        <v>BRIGHTON</v>
      </c>
      <c r="D7376" s="3" t="str">
        <f>IFERROR(__xludf.DUMMYFUNCTION("""COMPUTED_VALUE"""),"K0K 1H0")</f>
        <v>K0K 1H0</v>
      </c>
      <c r="E7376" s="3" t="str">
        <f>IFERROR(__xludf.DUMMYFUNCTION("""COMPUTED_VALUE"""),"Alana McGilly")</f>
        <v>Alana McGilly</v>
      </c>
      <c r="F7376" s="3" t="str">
        <f>IFERROR(__xludf.DUMMYFUNCTION("""COMPUTED_VALUE"""),"alanamcgilly@gmail.com")</f>
        <v>alanamcgilly@gmail.com</v>
      </c>
      <c r="G7376" s="3">
        <f>IFERROR(__xludf.DUMMYFUNCTION("""COMPUTED_VALUE"""),6.132438756E9)</f>
        <v>6132438756</v>
      </c>
      <c r="H7376" s="3">
        <f>IFERROR(__xludf.DUMMYFUNCTION("""COMPUTED_VALUE"""),6.134753762E9)</f>
        <v>6134753762</v>
      </c>
    </row>
    <row r="7377">
      <c r="A7377" s="2">
        <f>IFERROR(__xludf.DUMMYFUNCTION("""COMPUTED_VALUE"""),91199.0)</f>
        <v>91199</v>
      </c>
      <c r="B7377" s="3" t="str">
        <f>IFERROR(__xludf.DUMMYFUNCTION("""COMPUTED_VALUE"""),"493 FIDDICK RD  ")</f>
        <v>493 FIDDICK RD  </v>
      </c>
      <c r="C7377" s="3" t="str">
        <f>IFERROR(__xludf.DUMMYFUNCTION("""COMPUTED_VALUE"""),"BRIGHTON")</f>
        <v>BRIGHTON</v>
      </c>
      <c r="D7377" s="3" t="str">
        <f>IFERROR(__xludf.DUMMYFUNCTION("""COMPUTED_VALUE"""),"K0K 1H0")</f>
        <v>K0K 1H0</v>
      </c>
      <c r="E7377" s="3" t="str">
        <f>IFERROR(__xludf.DUMMYFUNCTION("""COMPUTED_VALUE"""),"Philip Coupland")</f>
        <v>Philip Coupland</v>
      </c>
      <c r="F7377" s="3" t="str">
        <f>IFERROR(__xludf.DUMMYFUNCTION("""COMPUTED_VALUE"""),"nightcrusader2@gmail.com")</f>
        <v>nightcrusader2@gmail.com</v>
      </c>
      <c r="G7377" s="3">
        <f>IFERROR(__xludf.DUMMYFUNCTION("""COMPUTED_VALUE"""),3.432619809E9)</f>
        <v>3432619809</v>
      </c>
      <c r="H7377" s="3">
        <f>IFERROR(__xludf.DUMMYFUNCTION("""COMPUTED_VALUE"""),6.138489204E9)</f>
        <v>6138489204</v>
      </c>
    </row>
    <row r="7378">
      <c r="A7378" s="2">
        <f>IFERROR(__xludf.DUMMYFUNCTION("""COMPUTED_VALUE"""),91201.0)</f>
        <v>91201</v>
      </c>
      <c r="B7378" s="3" t="str">
        <f>IFERROR(__xludf.DUMMYFUNCTION("""COMPUTED_VALUE"""),"597 FIDDICK RD  ")</f>
        <v>597 FIDDICK RD  </v>
      </c>
      <c r="C7378" s="3" t="str">
        <f>IFERROR(__xludf.DUMMYFUNCTION("""COMPUTED_VALUE"""),"BRIGHTON")</f>
        <v>BRIGHTON</v>
      </c>
      <c r="D7378" s="3" t="str">
        <f>IFERROR(__xludf.DUMMYFUNCTION("""COMPUTED_VALUE"""),"K0K 1H0")</f>
        <v>K0K 1H0</v>
      </c>
      <c r="E7378" s="3"/>
      <c r="F7378" s="3"/>
      <c r="G7378" s="3"/>
      <c r="H7378" s="3"/>
    </row>
    <row r="7379">
      <c r="A7379" s="2">
        <f>IFERROR(__xludf.DUMMYFUNCTION("""COMPUTED_VALUE"""),91202.0)</f>
        <v>91202</v>
      </c>
      <c r="B7379" s="3" t="str">
        <f>IFERROR(__xludf.DUMMYFUNCTION("""COMPUTED_VALUE"""),"676 FIDDICK RD  ")</f>
        <v>676 FIDDICK RD  </v>
      </c>
      <c r="C7379" s="3" t="str">
        <f>IFERROR(__xludf.DUMMYFUNCTION("""COMPUTED_VALUE"""),"BRIGHTON")</f>
        <v>BRIGHTON</v>
      </c>
      <c r="D7379" s="3" t="str">
        <f>IFERROR(__xludf.DUMMYFUNCTION("""COMPUTED_VALUE"""),"K0K 1H0")</f>
        <v>K0K 1H0</v>
      </c>
      <c r="E7379" s="3" t="str">
        <f>IFERROR(__xludf.DUMMYFUNCTION("""COMPUTED_VALUE"""),"Daryl Stogryn")</f>
        <v>Daryl Stogryn</v>
      </c>
      <c r="F7379" s="3" t="str">
        <f>IFERROR(__xludf.DUMMYFUNCTION("""COMPUTED_VALUE"""),"daryl.stogryn@gmail.com")</f>
        <v>daryl.stogryn@gmail.com</v>
      </c>
      <c r="G7379" s="3"/>
      <c r="H7379" s="3"/>
    </row>
    <row r="7380">
      <c r="A7380" s="2">
        <f>IFERROR(__xludf.DUMMYFUNCTION("""COMPUTED_VALUE"""),91188.0)</f>
        <v>91188</v>
      </c>
      <c r="B7380" s="3" t="str">
        <f>IFERROR(__xludf.DUMMYFUNCTION("""COMPUTED_VALUE"""),"364 FIDDICK RD  ")</f>
        <v>364 FIDDICK RD  </v>
      </c>
      <c r="C7380" s="3" t="str">
        <f>IFERROR(__xludf.DUMMYFUNCTION("""COMPUTED_VALUE"""),"BRIGHTON")</f>
        <v>BRIGHTON</v>
      </c>
      <c r="D7380" s="3" t="str">
        <f>IFERROR(__xludf.DUMMYFUNCTION("""COMPUTED_VALUE"""),"K0K 1H0")</f>
        <v>K0K 1H0</v>
      </c>
      <c r="E7380" s="3" t="str">
        <f>IFERROR(__xludf.DUMMYFUNCTION("""COMPUTED_VALUE"""),"Michelle Dougherty")</f>
        <v>Michelle Dougherty</v>
      </c>
      <c r="F7380" s="3" t="str">
        <f>IFERROR(__xludf.DUMMYFUNCTION("""COMPUTED_VALUE"""),"Michelle.Dougherty@telus.com")</f>
        <v>Michelle.Dougherty@telus.com</v>
      </c>
      <c r="G7380" s="3">
        <f>IFERROR(__xludf.DUMMYFUNCTION("""COMPUTED_VALUE"""),6.472185108E9)</f>
        <v>6472185108</v>
      </c>
      <c r="H7380" s="3">
        <f>IFERROR(__xludf.DUMMYFUNCTION("""COMPUTED_VALUE"""),9.052591431E9)</f>
        <v>9052591431</v>
      </c>
    </row>
    <row r="7381">
      <c r="A7381" s="2">
        <f>IFERROR(__xludf.DUMMYFUNCTION("""COMPUTED_VALUE"""),91200.0)</f>
        <v>91200</v>
      </c>
      <c r="B7381" s="3" t="str">
        <f>IFERROR(__xludf.DUMMYFUNCTION("""COMPUTED_VALUE"""),"499 FIDDICK RD  ")</f>
        <v>499 FIDDICK RD  </v>
      </c>
      <c r="C7381" s="3" t="str">
        <f>IFERROR(__xludf.DUMMYFUNCTION("""COMPUTED_VALUE"""),"BRIGHTON")</f>
        <v>BRIGHTON</v>
      </c>
      <c r="D7381" s="3" t="str">
        <f>IFERROR(__xludf.DUMMYFUNCTION("""COMPUTED_VALUE"""),"K0K 1H0")</f>
        <v>K0K 1H0</v>
      </c>
      <c r="E7381" s="3" t="str">
        <f>IFERROR(__xludf.DUMMYFUNCTION("""COMPUTED_VALUE"""),"Karen Duncan")</f>
        <v>Karen Duncan</v>
      </c>
      <c r="F7381" s="3" t="str">
        <f>IFERROR(__xludf.DUMMYFUNCTION("""COMPUTED_VALUE"""),"kfcracers@gmail.com")</f>
        <v>kfcracers@gmail.com</v>
      </c>
      <c r="G7381" s="3"/>
      <c r="H7381" s="3"/>
    </row>
    <row r="7382">
      <c r="A7382" s="2">
        <f>IFERROR(__xludf.DUMMYFUNCTION("""COMPUTED_VALUE"""),93130.0)</f>
        <v>93130</v>
      </c>
      <c r="B7382" s="3" t="str">
        <f>IFERROR(__xludf.DUMMYFUNCTION("""COMPUTED_VALUE"""),"1 GEORGE ST")</f>
        <v>1 GEORGE ST</v>
      </c>
      <c r="C7382" s="3"/>
      <c r="D7382" s="3"/>
      <c r="E7382" s="3"/>
      <c r="F7382" s="3"/>
      <c r="G7382" s="3"/>
      <c r="H7382" s="3"/>
    </row>
    <row r="7383">
      <c r="A7383" s="2">
        <f>IFERROR(__xludf.DUMMYFUNCTION("""COMPUTED_VALUE"""),93131.0)</f>
        <v>93131</v>
      </c>
      <c r="B7383" s="3" t="str">
        <f>IFERROR(__xludf.DUMMYFUNCTION("""COMPUTED_VALUE"""),"3 GEORGE ST")</f>
        <v>3 GEORGE ST</v>
      </c>
      <c r="C7383" s="3"/>
      <c r="D7383" s="3"/>
      <c r="E7383" s="3"/>
      <c r="F7383" s="3"/>
      <c r="G7383" s="3"/>
      <c r="H7383" s="3"/>
    </row>
    <row r="7384">
      <c r="A7384" s="2">
        <f>IFERROR(__xludf.DUMMYFUNCTION("""COMPUTED_VALUE"""),93219.0)</f>
        <v>93219</v>
      </c>
      <c r="B7384" s="3" t="str">
        <f>IFERROR(__xludf.DUMMYFUNCTION("""COMPUTED_VALUE"""),"17 GEORGE ST")</f>
        <v>17 GEORGE ST</v>
      </c>
      <c r="C7384" s="3"/>
      <c r="D7384" s="3"/>
      <c r="E7384" s="3"/>
      <c r="F7384" s="3"/>
      <c r="G7384" s="3"/>
      <c r="H7384" s="3"/>
    </row>
    <row r="7385">
      <c r="A7385" s="2">
        <f>IFERROR(__xludf.DUMMYFUNCTION("""COMPUTED_VALUE"""),93220.0)</f>
        <v>93220</v>
      </c>
      <c r="B7385" s="3" t="str">
        <f>IFERROR(__xludf.DUMMYFUNCTION("""COMPUTED_VALUE"""),"19 GEORGE ST")</f>
        <v>19 GEORGE ST</v>
      </c>
      <c r="C7385" s="3"/>
      <c r="D7385" s="3"/>
      <c r="E7385" s="3"/>
      <c r="F7385" s="3"/>
      <c r="G7385" s="3"/>
      <c r="H7385" s="3"/>
    </row>
    <row r="7386">
      <c r="A7386" s="2">
        <f>IFERROR(__xludf.DUMMYFUNCTION("""COMPUTED_VALUE"""),93221.0)</f>
        <v>93221</v>
      </c>
      <c r="B7386" s="3" t="str">
        <f>IFERROR(__xludf.DUMMYFUNCTION("""COMPUTED_VALUE"""),"23 GEORGE ST")</f>
        <v>23 GEORGE ST</v>
      </c>
      <c r="C7386" s="3"/>
      <c r="D7386" s="3"/>
      <c r="E7386" s="3" t="str">
        <f>IFERROR(__xludf.DUMMYFUNCTION("""COMPUTED_VALUE"""),"cindy lewis")</f>
        <v>cindy lewis</v>
      </c>
      <c r="F7386" s="3" t="str">
        <f>IFERROR(__xludf.DUMMYFUNCTION("""COMPUTED_VALUE"""),"cindy.lewis475@gmail.com")</f>
        <v>cindy.lewis475@gmail.com</v>
      </c>
      <c r="G7386" s="3">
        <f>IFERROR(__xludf.DUMMYFUNCTION("""COMPUTED_VALUE"""),6.134752764E9)</f>
        <v>6134752764</v>
      </c>
      <c r="H7386" s="3"/>
    </row>
    <row r="7387">
      <c r="A7387" s="2">
        <f>IFERROR(__xludf.DUMMYFUNCTION("""COMPUTED_VALUE"""),93223.0)</f>
        <v>93223</v>
      </c>
      <c r="B7387" s="3" t="str">
        <f>IFERROR(__xludf.DUMMYFUNCTION("""COMPUTED_VALUE"""),"29 GEORGE ST")</f>
        <v>29 GEORGE ST</v>
      </c>
      <c r="C7387" s="3"/>
      <c r="D7387" s="3"/>
      <c r="E7387" s="3"/>
      <c r="F7387" s="3"/>
      <c r="G7387" s="3"/>
      <c r="H7387" s="3"/>
    </row>
    <row r="7388">
      <c r="A7388" s="2">
        <f>IFERROR(__xludf.DUMMYFUNCTION("""COMPUTED_VALUE"""),93224.0)</f>
        <v>93224</v>
      </c>
      <c r="B7388" s="3" t="str">
        <f>IFERROR(__xludf.DUMMYFUNCTION("""COMPUTED_VALUE"""),"31 GEORGE ST (BRIGHTON)")</f>
        <v>31 GEORGE ST (BRIGHTON)</v>
      </c>
      <c r="C7388" s="3"/>
      <c r="D7388" s="3"/>
      <c r="E7388" s="3"/>
      <c r="F7388" s="3"/>
      <c r="G7388" s="3"/>
      <c r="H7388" s="3"/>
    </row>
    <row r="7389">
      <c r="A7389" s="2">
        <f>IFERROR(__xludf.DUMMYFUNCTION("""COMPUTED_VALUE"""),93225.0)</f>
        <v>93225</v>
      </c>
      <c r="B7389" s="3" t="str">
        <f>IFERROR(__xludf.DUMMYFUNCTION("""COMPUTED_VALUE"""),"33 GEORGE ST")</f>
        <v>33 GEORGE ST</v>
      </c>
      <c r="C7389" s="3"/>
      <c r="D7389" s="3"/>
      <c r="E7389" s="3"/>
      <c r="F7389" s="3"/>
      <c r="G7389" s="3"/>
      <c r="H7389" s="3"/>
    </row>
    <row r="7390">
      <c r="A7390" s="2">
        <f>IFERROR(__xludf.DUMMYFUNCTION("""COMPUTED_VALUE"""),93226.0)</f>
        <v>93226</v>
      </c>
      <c r="B7390" s="3" t="str">
        <f>IFERROR(__xludf.DUMMYFUNCTION("""COMPUTED_VALUE"""),"35 GEORGE ST")</f>
        <v>35 GEORGE ST</v>
      </c>
      <c r="C7390" s="3"/>
      <c r="D7390" s="3"/>
      <c r="E7390" s="3"/>
      <c r="F7390" s="3"/>
      <c r="G7390" s="3"/>
      <c r="H7390" s="3"/>
    </row>
    <row r="7391">
      <c r="A7391" s="2">
        <f>IFERROR(__xludf.DUMMYFUNCTION("""COMPUTED_VALUE"""),93227.0)</f>
        <v>93227</v>
      </c>
      <c r="B7391" s="3" t="str">
        <f>IFERROR(__xludf.DUMMYFUNCTION("""COMPUTED_VALUE"""),"37 GEORGE ST (BRIGHTON)")</f>
        <v>37 GEORGE ST (BRIGHTON)</v>
      </c>
      <c r="C7391" s="3"/>
      <c r="D7391" s="3"/>
      <c r="E7391" s="3"/>
      <c r="F7391" s="3"/>
      <c r="G7391" s="3"/>
      <c r="H7391" s="3"/>
    </row>
    <row r="7392">
      <c r="A7392" s="2">
        <f>IFERROR(__xludf.DUMMYFUNCTION("""COMPUTED_VALUE"""),93228.0)</f>
        <v>93228</v>
      </c>
      <c r="B7392" s="3" t="str">
        <f>IFERROR(__xludf.DUMMYFUNCTION("""COMPUTED_VALUE"""),"41 GEORGE ST")</f>
        <v>41 GEORGE ST</v>
      </c>
      <c r="C7392" s="3"/>
      <c r="D7392" s="3"/>
      <c r="E7392" s="3" t="str">
        <f>IFERROR(__xludf.DUMMYFUNCTION("""COMPUTED_VALUE"""),"bruce gallinger")</f>
        <v>bruce gallinger</v>
      </c>
      <c r="F7392" s="3" t="str">
        <f>IFERROR(__xludf.DUMMYFUNCTION("""COMPUTED_VALUE"""),"brucegallinger@gmail.com")</f>
        <v>brucegallinger@gmail.com</v>
      </c>
      <c r="G7392" s="3">
        <f>IFERROR(__xludf.DUMMYFUNCTION("""COMPUTED_VALUE"""),6.134755678E9)</f>
        <v>6134755678</v>
      </c>
      <c r="H7392" s="3"/>
    </row>
    <row r="7393">
      <c r="A7393" s="2">
        <f>IFERROR(__xludf.DUMMYFUNCTION("""COMPUTED_VALUE"""),93229.0)</f>
        <v>93229</v>
      </c>
      <c r="B7393" s="3" t="str">
        <f>IFERROR(__xludf.DUMMYFUNCTION("""COMPUTED_VALUE"""),"45 GEORGE ST")</f>
        <v>45 GEORGE ST</v>
      </c>
      <c r="C7393" s="3"/>
      <c r="D7393" s="3"/>
      <c r="E7393" s="3"/>
      <c r="F7393" s="3"/>
      <c r="G7393" s="3"/>
      <c r="H7393" s="3"/>
    </row>
    <row r="7394">
      <c r="A7394" s="2">
        <f>IFERROR(__xludf.DUMMYFUNCTION("""COMPUTED_VALUE"""),93222.0)</f>
        <v>93222</v>
      </c>
      <c r="B7394" s="3" t="str">
        <f>IFERROR(__xludf.DUMMYFUNCTION("""COMPUTED_VALUE"""),"27A GEORGE ST")</f>
        <v>27A GEORGE ST</v>
      </c>
      <c r="C7394" s="3"/>
      <c r="D7394" s="3"/>
      <c r="E7394" s="3"/>
      <c r="F7394" s="3"/>
      <c r="G7394" s="3"/>
      <c r="H7394" s="3"/>
    </row>
    <row r="7395">
      <c r="A7395" s="2">
        <f>IFERROR(__xludf.DUMMYFUNCTION("""COMPUTED_VALUE"""),91228.0)</f>
        <v>91228</v>
      </c>
      <c r="B7395" s="3" t="str">
        <f>IFERROR(__xludf.DUMMYFUNCTION("""COMPUTED_VALUE"""),"255 GEORGINA ST  ")</f>
        <v>255 GEORGINA ST  </v>
      </c>
      <c r="C7395" s="3" t="str">
        <f>IFERROR(__xludf.DUMMYFUNCTION("""COMPUTED_VALUE"""),"BRIGHTON")</f>
        <v>BRIGHTON</v>
      </c>
      <c r="D7395" s="3" t="str">
        <f>IFERROR(__xludf.DUMMYFUNCTION("""COMPUTED_VALUE"""),"K0K 1H0")</f>
        <v>K0K 1H0</v>
      </c>
      <c r="E7395" s="3"/>
      <c r="F7395" s="3"/>
      <c r="G7395" s="3"/>
      <c r="H7395" s="3"/>
    </row>
    <row r="7396">
      <c r="A7396" s="2">
        <f>IFERROR(__xludf.DUMMYFUNCTION("""COMPUTED_VALUE"""),91227.0)</f>
        <v>91227</v>
      </c>
      <c r="B7396" s="3" t="str">
        <f>IFERROR(__xludf.DUMMYFUNCTION("""COMPUTED_VALUE"""),"205 GEORGINA ST  ")</f>
        <v>205 GEORGINA ST  </v>
      </c>
      <c r="C7396" s="3" t="str">
        <f>IFERROR(__xludf.DUMMYFUNCTION("""COMPUTED_VALUE"""),"BRIGHTON")</f>
        <v>BRIGHTON</v>
      </c>
      <c r="D7396" s="3" t="str">
        <f>IFERROR(__xludf.DUMMYFUNCTION("""COMPUTED_VALUE"""),"K0K 1H0")</f>
        <v>K0K 1H0</v>
      </c>
      <c r="E7396" s="3" t="str">
        <f>IFERROR(__xludf.DUMMYFUNCTION("""COMPUTED_VALUE"""),"Sylvain Duchaine")</f>
        <v>Sylvain Duchaine</v>
      </c>
      <c r="F7396" s="3" t="str">
        <f>IFERROR(__xludf.DUMMYFUNCTION("""COMPUTED_VALUE"""),"dr.sduchaine@gmail.com")</f>
        <v>dr.sduchaine@gmail.com</v>
      </c>
      <c r="G7396" s="3">
        <f>IFERROR(__xludf.DUMMYFUNCTION("""COMPUTED_VALUE"""),6.138497285E9)</f>
        <v>6138497285</v>
      </c>
      <c r="H7396" s="3">
        <f>IFERROR(__xludf.DUMMYFUNCTION("""COMPUTED_VALUE"""),6.139221966E9)</f>
        <v>6139221966</v>
      </c>
    </row>
    <row r="7397">
      <c r="A7397" s="2">
        <f>IFERROR(__xludf.DUMMYFUNCTION("""COMPUTED_VALUE"""),91229.0)</f>
        <v>91229</v>
      </c>
      <c r="B7397" s="3" t="str">
        <f>IFERROR(__xludf.DUMMYFUNCTION("""COMPUTED_VALUE"""),"289 GEORGINA ST  ")</f>
        <v>289 GEORGINA ST  </v>
      </c>
      <c r="C7397" s="3" t="str">
        <f>IFERROR(__xludf.DUMMYFUNCTION("""COMPUTED_VALUE"""),"BRIGHTON")</f>
        <v>BRIGHTON</v>
      </c>
      <c r="D7397" s="3" t="str">
        <f>IFERROR(__xludf.DUMMYFUNCTION("""COMPUTED_VALUE"""),"K0K 1H0")</f>
        <v>K0K 1H0</v>
      </c>
      <c r="E7397" s="3" t="str">
        <f>IFERROR(__xludf.DUMMYFUNCTION("""COMPUTED_VALUE"""),"Bill vandenhof")</f>
        <v>Bill vandenhof</v>
      </c>
      <c r="F7397" s="3" t="str">
        <f>IFERROR(__xludf.DUMMYFUNCTION("""COMPUTED_VALUE"""),"billvandenhof@gmail.com")</f>
        <v>billvandenhof@gmail.com</v>
      </c>
      <c r="G7397" s="3">
        <f>IFERROR(__xludf.DUMMYFUNCTION("""COMPUTED_VALUE"""),6.139221819E9)</f>
        <v>6139221819</v>
      </c>
      <c r="H7397" s="3">
        <f>IFERROR(__xludf.DUMMYFUNCTION("""COMPUTED_VALUE"""),4.167287561E9)</f>
        <v>4167287561</v>
      </c>
    </row>
    <row r="7398">
      <c r="A7398" s="2">
        <f>IFERROR(__xludf.DUMMYFUNCTION("""COMPUTED_VALUE"""),91230.0)</f>
        <v>91230</v>
      </c>
      <c r="B7398" s="3" t="str">
        <f>IFERROR(__xludf.DUMMYFUNCTION("""COMPUTED_VALUE"""),"309 GEORGINA ST  ")</f>
        <v>309 GEORGINA ST  </v>
      </c>
      <c r="C7398" s="3" t="str">
        <f>IFERROR(__xludf.DUMMYFUNCTION("""COMPUTED_VALUE"""),"BRIGHTON")</f>
        <v>BRIGHTON</v>
      </c>
      <c r="D7398" s="3" t="str">
        <f>IFERROR(__xludf.DUMMYFUNCTION("""COMPUTED_VALUE"""),"K0K 1H0")</f>
        <v>K0K 1H0</v>
      </c>
      <c r="E7398" s="3" t="str">
        <f>IFERROR(__xludf.DUMMYFUNCTION("""COMPUTED_VALUE"""),"Oskar Rutishauser")</f>
        <v>Oskar Rutishauser</v>
      </c>
      <c r="F7398" s="3" t="str">
        <f>IFERROR(__xludf.DUMMYFUNCTION("""COMPUTED_VALUE"""),"orutishauser@gmail.com")</f>
        <v>orutishauser@gmail.com</v>
      </c>
      <c r="G7398" s="3"/>
      <c r="H7398" s="3"/>
    </row>
    <row r="7399">
      <c r="A7399" s="2">
        <f>IFERROR(__xludf.DUMMYFUNCTION("""COMPUTED_VALUE"""),91235.0)</f>
        <v>91235</v>
      </c>
      <c r="B7399" s="3" t="str">
        <f>IFERROR(__xludf.DUMMYFUNCTION("""COMPUTED_VALUE"""),"27 GREENWAY CIR  ")</f>
        <v>27 GREENWAY CIR  </v>
      </c>
      <c r="C7399" s="3" t="str">
        <f>IFERROR(__xludf.DUMMYFUNCTION("""COMPUTED_VALUE"""),"BRIGHTON")</f>
        <v>BRIGHTON</v>
      </c>
      <c r="D7399" s="3" t="str">
        <f>IFERROR(__xludf.DUMMYFUNCTION("""COMPUTED_VALUE"""),"K0K 1H0")</f>
        <v>K0K 1H0</v>
      </c>
      <c r="E7399" s="3" t="str">
        <f>IFERROR(__xludf.DUMMYFUNCTION("""COMPUTED_VALUE"""),"Wes Reed")</f>
        <v>Wes Reed</v>
      </c>
      <c r="F7399" s="3" t="str">
        <f>IFERROR(__xludf.DUMMYFUNCTION("""COMPUTED_VALUE"""),"hfr.wesreed@gmail.com")</f>
        <v>hfr.wesreed@gmail.com</v>
      </c>
      <c r="G7399" s="3">
        <f>IFERROR(__xludf.DUMMYFUNCTION("""COMPUTED_VALUE"""),9.05449256E9)</f>
        <v>9054492560</v>
      </c>
      <c r="H7399" s="3"/>
    </row>
    <row r="7400">
      <c r="A7400" s="2">
        <f>IFERROR(__xludf.DUMMYFUNCTION("""COMPUTED_VALUE"""),91236.0)</f>
        <v>91236</v>
      </c>
      <c r="B7400" s="3" t="str">
        <f>IFERROR(__xludf.DUMMYFUNCTION("""COMPUTED_VALUE"""),"30 GREENWAY CIR  ")</f>
        <v>30 GREENWAY CIR  </v>
      </c>
      <c r="C7400" s="3" t="str">
        <f>IFERROR(__xludf.DUMMYFUNCTION("""COMPUTED_VALUE"""),"BRIGHTON")</f>
        <v>BRIGHTON</v>
      </c>
      <c r="D7400" s="3" t="str">
        <f>IFERROR(__xludf.DUMMYFUNCTION("""COMPUTED_VALUE"""),"K0K 1H0")</f>
        <v>K0K 1H0</v>
      </c>
      <c r="E7400" s="3" t="str">
        <f>IFERROR(__xludf.DUMMYFUNCTION("""COMPUTED_VALUE"""),"john beno ")</f>
        <v>john beno </v>
      </c>
      <c r="F7400" s="3" t="str">
        <f>IFERROR(__xludf.DUMMYFUNCTION("""COMPUTED_VALUE"""),"jbeno@explorer.com")</f>
        <v>jbeno@explorer.com</v>
      </c>
      <c r="G7400" s="3">
        <f>IFERROR(__xludf.DUMMYFUNCTION("""COMPUTED_VALUE"""),6.138132774E9)</f>
        <v>6138132774</v>
      </c>
      <c r="H7400" s="3"/>
    </row>
    <row r="7401">
      <c r="A7401" s="2">
        <f>IFERROR(__xludf.DUMMYFUNCTION("""COMPUTED_VALUE"""),91237.0)</f>
        <v>91237</v>
      </c>
      <c r="B7401" s="3" t="str">
        <f>IFERROR(__xludf.DUMMYFUNCTION("""COMPUTED_VALUE"""),"31 GREENWAY CIR  ")</f>
        <v>31 GREENWAY CIR  </v>
      </c>
      <c r="C7401" s="3" t="str">
        <f>IFERROR(__xludf.DUMMYFUNCTION("""COMPUTED_VALUE"""),"BRIGHTON")</f>
        <v>BRIGHTON</v>
      </c>
      <c r="D7401" s="3" t="str">
        <f>IFERROR(__xludf.DUMMYFUNCTION("""COMPUTED_VALUE"""),"K0K 1H0")</f>
        <v>K0K 1H0</v>
      </c>
      <c r="E7401" s="3"/>
      <c r="F7401" s="3"/>
      <c r="G7401" s="3"/>
      <c r="H7401" s="3"/>
    </row>
    <row r="7402">
      <c r="A7402" s="2">
        <f>IFERROR(__xludf.DUMMYFUNCTION("""COMPUTED_VALUE"""),91239.0)</f>
        <v>91239</v>
      </c>
      <c r="B7402" s="3" t="str">
        <f>IFERROR(__xludf.DUMMYFUNCTION("""COMPUTED_VALUE"""),"37 GREENWAY CIR  ")</f>
        <v>37 GREENWAY CIR  </v>
      </c>
      <c r="C7402" s="3" t="str">
        <f>IFERROR(__xludf.DUMMYFUNCTION("""COMPUTED_VALUE"""),"BRIGHTON")</f>
        <v>BRIGHTON</v>
      </c>
      <c r="D7402" s="3" t="str">
        <f>IFERROR(__xludf.DUMMYFUNCTION("""COMPUTED_VALUE"""),"K0K 1H0")</f>
        <v>K0K 1H0</v>
      </c>
      <c r="E7402" s="3"/>
      <c r="F7402" s="3"/>
      <c r="G7402" s="3"/>
      <c r="H7402" s="3"/>
    </row>
    <row r="7403">
      <c r="A7403" s="2">
        <f>IFERROR(__xludf.DUMMYFUNCTION("""COMPUTED_VALUE"""),91241.0)</f>
        <v>91241</v>
      </c>
      <c r="B7403" s="3" t="str">
        <f>IFERROR(__xludf.DUMMYFUNCTION("""COMPUTED_VALUE"""),"41 GREENWAY CIR  ")</f>
        <v>41 GREENWAY CIR  </v>
      </c>
      <c r="C7403" s="3" t="str">
        <f>IFERROR(__xludf.DUMMYFUNCTION("""COMPUTED_VALUE"""),"BRIGHTON")</f>
        <v>BRIGHTON</v>
      </c>
      <c r="D7403" s="3" t="str">
        <f>IFERROR(__xludf.DUMMYFUNCTION("""COMPUTED_VALUE"""),"K0K 1H0")</f>
        <v>K0K 1H0</v>
      </c>
      <c r="E7403" s="3" t="str">
        <f>IFERROR(__xludf.DUMMYFUNCTION("""COMPUTED_VALUE"""),"Claire Prest")</f>
        <v>Claire Prest</v>
      </c>
      <c r="F7403" s="3" t="str">
        <f>IFERROR(__xludf.DUMMYFUNCTION("""COMPUTED_VALUE"""),"claireprest@primus.ca")</f>
        <v>claireprest@primus.ca</v>
      </c>
      <c r="G7403" s="3"/>
      <c r="H7403" s="3"/>
    </row>
    <row r="7404">
      <c r="A7404" s="2">
        <f>IFERROR(__xludf.DUMMYFUNCTION("""COMPUTED_VALUE"""),91242.0)</f>
        <v>91242</v>
      </c>
      <c r="B7404" s="3" t="str">
        <f>IFERROR(__xludf.DUMMYFUNCTION("""COMPUTED_VALUE"""),"43 GREENWAY CIR  ")</f>
        <v>43 GREENWAY CIR  </v>
      </c>
      <c r="C7404" s="3" t="str">
        <f>IFERROR(__xludf.DUMMYFUNCTION("""COMPUTED_VALUE"""),"BRIGHTON")</f>
        <v>BRIGHTON</v>
      </c>
      <c r="D7404" s="3" t="str">
        <f>IFERROR(__xludf.DUMMYFUNCTION("""COMPUTED_VALUE"""),"K0K 1H0")</f>
        <v>K0K 1H0</v>
      </c>
      <c r="E7404" s="3" t="str">
        <f>IFERROR(__xludf.DUMMYFUNCTION("""COMPUTED_VALUE"""),"Tom Werner")</f>
        <v>Tom Werner</v>
      </c>
      <c r="F7404" s="3" t="str">
        <f>IFERROR(__xludf.DUMMYFUNCTION("""COMPUTED_VALUE"""),"IW3551@gmail.com")</f>
        <v>IW3551@gmail.com</v>
      </c>
      <c r="G7404" s="3"/>
      <c r="H7404" s="3"/>
    </row>
    <row r="7405">
      <c r="A7405" s="2">
        <f>IFERROR(__xludf.DUMMYFUNCTION("""COMPUTED_VALUE"""),91243.0)</f>
        <v>91243</v>
      </c>
      <c r="B7405" s="3" t="str">
        <f>IFERROR(__xludf.DUMMYFUNCTION("""COMPUTED_VALUE"""),"44 GREENWAY CIR  ")</f>
        <v>44 GREENWAY CIR  </v>
      </c>
      <c r="C7405" s="3" t="str">
        <f>IFERROR(__xludf.DUMMYFUNCTION("""COMPUTED_VALUE"""),"BRIGHTON")</f>
        <v>BRIGHTON</v>
      </c>
      <c r="D7405" s="3" t="str">
        <f>IFERROR(__xludf.DUMMYFUNCTION("""COMPUTED_VALUE"""),"K0K 1H0")</f>
        <v>K0K 1H0</v>
      </c>
      <c r="E7405" s="3" t="str">
        <f>IFERROR(__xludf.DUMMYFUNCTION("""COMPUTED_VALUE"""),"Angela Rusaw")</f>
        <v>Angela Rusaw</v>
      </c>
      <c r="F7405" s="3" t="str">
        <f>IFERROR(__xludf.DUMMYFUNCTION("""COMPUTED_VALUE"""),"mortgagegirl1@hotmail.com")</f>
        <v>mortgagegirl1@hotmail.com</v>
      </c>
      <c r="G7405" s="3"/>
      <c r="H7405" s="3"/>
    </row>
    <row r="7406">
      <c r="A7406" s="2">
        <f>IFERROR(__xludf.DUMMYFUNCTION("""COMPUTED_VALUE"""),91244.0)</f>
        <v>91244</v>
      </c>
      <c r="B7406" s="3" t="str">
        <f>IFERROR(__xludf.DUMMYFUNCTION("""COMPUTED_VALUE"""),"45 GREENWAY CIR  ")</f>
        <v>45 GREENWAY CIR  </v>
      </c>
      <c r="C7406" s="3" t="str">
        <f>IFERROR(__xludf.DUMMYFUNCTION("""COMPUTED_VALUE"""),"BRIGHTON")</f>
        <v>BRIGHTON</v>
      </c>
      <c r="D7406" s="3" t="str">
        <f>IFERROR(__xludf.DUMMYFUNCTION("""COMPUTED_VALUE"""),"K0K 1H0")</f>
        <v>K0K 1H0</v>
      </c>
      <c r="E7406" s="3"/>
      <c r="F7406" s="3"/>
      <c r="G7406" s="3"/>
      <c r="H7406" s="3"/>
    </row>
    <row r="7407">
      <c r="A7407" s="2">
        <f>IFERROR(__xludf.DUMMYFUNCTION("""COMPUTED_VALUE"""),91245.0)</f>
        <v>91245</v>
      </c>
      <c r="B7407" s="3" t="str">
        <f>IFERROR(__xludf.DUMMYFUNCTION("""COMPUTED_VALUE"""),"46 GREENWAY CIR  ")</f>
        <v>46 GREENWAY CIR  </v>
      </c>
      <c r="C7407" s="3" t="str">
        <f>IFERROR(__xludf.DUMMYFUNCTION("""COMPUTED_VALUE"""),"BRIGHTON")</f>
        <v>BRIGHTON</v>
      </c>
      <c r="D7407" s="3" t="str">
        <f>IFERROR(__xludf.DUMMYFUNCTION("""COMPUTED_VALUE"""),"K0K 1H0")</f>
        <v>K0K 1H0</v>
      </c>
      <c r="E7407" s="3"/>
      <c r="F7407" s="3"/>
      <c r="G7407" s="3"/>
      <c r="H7407" s="3"/>
    </row>
    <row r="7408">
      <c r="A7408" s="2">
        <f>IFERROR(__xludf.DUMMYFUNCTION("""COMPUTED_VALUE"""),91246.0)</f>
        <v>91246</v>
      </c>
      <c r="B7408" s="3" t="str">
        <f>IFERROR(__xludf.DUMMYFUNCTION("""COMPUTED_VALUE"""),"47 GREENWAY CIR  ")</f>
        <v>47 GREENWAY CIR  </v>
      </c>
      <c r="C7408" s="3" t="str">
        <f>IFERROR(__xludf.DUMMYFUNCTION("""COMPUTED_VALUE"""),"BRIGHTON")</f>
        <v>BRIGHTON</v>
      </c>
      <c r="D7408" s="3" t="str">
        <f>IFERROR(__xludf.DUMMYFUNCTION("""COMPUTED_VALUE"""),"K0K 1H0")</f>
        <v>K0K 1H0</v>
      </c>
      <c r="E7408" s="3" t="str">
        <f>IFERROR(__xludf.DUMMYFUNCTION("""COMPUTED_VALUE"""),"Helen Graham")</f>
        <v>Helen Graham</v>
      </c>
      <c r="F7408" s="3" t="str">
        <f>IFERROR(__xludf.DUMMYFUNCTION("""COMPUTED_VALUE"""),"lgraham995@gmail.com")</f>
        <v>lgraham995@gmail.com</v>
      </c>
      <c r="G7408" s="3">
        <f>IFERROR(__xludf.DUMMYFUNCTION("""COMPUTED_VALUE"""),4.16230874E9)</f>
        <v>4162308740</v>
      </c>
      <c r="H7408" s="3"/>
    </row>
    <row r="7409">
      <c r="A7409" s="2">
        <f>IFERROR(__xludf.DUMMYFUNCTION("""COMPUTED_VALUE"""),91247.0)</f>
        <v>91247</v>
      </c>
      <c r="B7409" s="3" t="str">
        <f>IFERROR(__xludf.DUMMYFUNCTION("""COMPUTED_VALUE"""),"48 GREENWAY CIR  ")</f>
        <v>48 GREENWAY CIR  </v>
      </c>
      <c r="C7409" s="3" t="str">
        <f>IFERROR(__xludf.DUMMYFUNCTION("""COMPUTED_VALUE"""),"BRIGHTON")</f>
        <v>BRIGHTON</v>
      </c>
      <c r="D7409" s="3" t="str">
        <f>IFERROR(__xludf.DUMMYFUNCTION("""COMPUTED_VALUE"""),"K0K 1H0")</f>
        <v>K0K 1H0</v>
      </c>
      <c r="E7409" s="3" t="str">
        <f>IFERROR(__xludf.DUMMYFUNCTION("""COMPUTED_VALUE"""),"Andrew Coxhead")</f>
        <v>Andrew Coxhead</v>
      </c>
      <c r="F7409" s="3" t="str">
        <f>IFERROR(__xludf.DUMMYFUNCTION("""COMPUTED_VALUE"""),"acoxhead@me.com")</f>
        <v>acoxhead@me.com</v>
      </c>
      <c r="G7409" s="3">
        <f>IFERROR(__xludf.DUMMYFUNCTION("""COMPUTED_VALUE"""),6.137931822E9)</f>
        <v>6137931822</v>
      </c>
      <c r="H7409" s="3"/>
    </row>
    <row r="7410">
      <c r="A7410" s="2">
        <f>IFERROR(__xludf.DUMMYFUNCTION("""COMPUTED_VALUE"""),91248.0)</f>
        <v>91248</v>
      </c>
      <c r="B7410" s="3" t="str">
        <f>IFERROR(__xludf.DUMMYFUNCTION("""COMPUTED_VALUE"""),"49 GREENWAY CIR  ")</f>
        <v>49 GREENWAY CIR  </v>
      </c>
      <c r="C7410" s="3" t="str">
        <f>IFERROR(__xludf.DUMMYFUNCTION("""COMPUTED_VALUE"""),"BRIGHTON")</f>
        <v>BRIGHTON</v>
      </c>
      <c r="D7410" s="3" t="str">
        <f>IFERROR(__xludf.DUMMYFUNCTION("""COMPUTED_VALUE"""),"K0K 1H0")</f>
        <v>K0K 1H0</v>
      </c>
      <c r="E7410" s="3" t="str">
        <f>IFERROR(__xludf.DUMMYFUNCTION("""COMPUTED_VALUE"""),"catherine hamilton")</f>
        <v>catherine hamilton</v>
      </c>
      <c r="F7410" s="3" t="str">
        <f>IFERROR(__xludf.DUMMYFUNCTION("""COMPUTED_VALUE"""),"hamilton007@gmail.com")</f>
        <v>hamilton007@gmail.com</v>
      </c>
      <c r="G7410" s="3">
        <f>IFERROR(__xludf.DUMMYFUNCTION("""COMPUTED_VALUE"""),6.134753245E9)</f>
        <v>6134753245</v>
      </c>
      <c r="H7410" s="3"/>
    </row>
    <row r="7411">
      <c r="A7411" s="2">
        <f>IFERROR(__xludf.DUMMYFUNCTION("""COMPUTED_VALUE"""),91251.0)</f>
        <v>91251</v>
      </c>
      <c r="B7411" s="3" t="str">
        <f>IFERROR(__xludf.DUMMYFUNCTION("""COMPUTED_VALUE"""),"52 GREENWAY CIR  ")</f>
        <v>52 GREENWAY CIR  </v>
      </c>
      <c r="C7411" s="3" t="str">
        <f>IFERROR(__xludf.DUMMYFUNCTION("""COMPUTED_VALUE"""),"BRIGHTON")</f>
        <v>BRIGHTON</v>
      </c>
      <c r="D7411" s="3" t="str">
        <f>IFERROR(__xludf.DUMMYFUNCTION("""COMPUTED_VALUE"""),"K0K 1H0")</f>
        <v>K0K 1H0</v>
      </c>
      <c r="E7411" s="3"/>
      <c r="F7411" s="3"/>
      <c r="G7411" s="3"/>
      <c r="H7411" s="3"/>
    </row>
    <row r="7412">
      <c r="A7412" s="2">
        <f>IFERROR(__xludf.DUMMYFUNCTION("""COMPUTED_VALUE"""),91252.0)</f>
        <v>91252</v>
      </c>
      <c r="B7412" s="3" t="str">
        <f>IFERROR(__xludf.DUMMYFUNCTION("""COMPUTED_VALUE"""),"53 GREENWAY CIR  ")</f>
        <v>53 GREENWAY CIR  </v>
      </c>
      <c r="C7412" s="3" t="str">
        <f>IFERROR(__xludf.DUMMYFUNCTION("""COMPUTED_VALUE"""),"BRIGHTON")</f>
        <v>BRIGHTON</v>
      </c>
      <c r="D7412" s="3" t="str">
        <f>IFERROR(__xludf.DUMMYFUNCTION("""COMPUTED_VALUE"""),"K0K 1H0")</f>
        <v>K0K 1H0</v>
      </c>
      <c r="E7412" s="3" t="str">
        <f>IFERROR(__xludf.DUMMYFUNCTION("""COMPUTED_VALUE"""),"ROSE SCIORTINO LAMBE")</f>
        <v>ROSE SCIORTINO LAMBE</v>
      </c>
      <c r="F7412" s="3" t="str">
        <f>IFERROR(__xludf.DUMMYFUNCTION("""COMPUTED_VALUE"""),"xroselambe@gmail.com")</f>
        <v>xroselambe@gmail.com</v>
      </c>
      <c r="G7412" s="3"/>
      <c r="H7412" s="3"/>
    </row>
    <row r="7413">
      <c r="A7413" s="2">
        <f>IFERROR(__xludf.DUMMYFUNCTION("""COMPUTED_VALUE"""),91253.0)</f>
        <v>91253</v>
      </c>
      <c r="B7413" s="3" t="str">
        <f>IFERROR(__xludf.DUMMYFUNCTION("""COMPUTED_VALUE"""),"54 GREENWAY CIR  ")</f>
        <v>54 GREENWAY CIR  </v>
      </c>
      <c r="C7413" s="3" t="str">
        <f>IFERROR(__xludf.DUMMYFUNCTION("""COMPUTED_VALUE"""),"BRIGHTON")</f>
        <v>BRIGHTON</v>
      </c>
      <c r="D7413" s="3" t="str">
        <f>IFERROR(__xludf.DUMMYFUNCTION("""COMPUTED_VALUE"""),"K0K 1H0")</f>
        <v>K0K 1H0</v>
      </c>
      <c r="E7413" s="3" t="str">
        <f>IFERROR(__xludf.DUMMYFUNCTION("""COMPUTED_VALUE"""),"robert dacho")</f>
        <v>robert dacho</v>
      </c>
      <c r="F7413" s="3" t="str">
        <f>IFERROR(__xludf.DUMMYFUNCTION("""COMPUTED_VALUE"""),"robdacho@gmail.com")</f>
        <v>robdacho@gmail.com</v>
      </c>
      <c r="G7413" s="3">
        <f>IFERROR(__xludf.DUMMYFUNCTION("""COMPUTED_VALUE"""),6.138853565E9)</f>
        <v>6138853565</v>
      </c>
      <c r="H7413" s="3"/>
    </row>
    <row r="7414">
      <c r="A7414" s="2">
        <f>IFERROR(__xludf.DUMMYFUNCTION("""COMPUTED_VALUE"""),91255.0)</f>
        <v>91255</v>
      </c>
      <c r="B7414" s="3" t="str">
        <f>IFERROR(__xludf.DUMMYFUNCTION("""COMPUTED_VALUE"""),"56 GREENWAY CIR  ")</f>
        <v>56 GREENWAY CIR  </v>
      </c>
      <c r="C7414" s="3" t="str">
        <f>IFERROR(__xludf.DUMMYFUNCTION("""COMPUTED_VALUE"""),"BRIGHTON")</f>
        <v>BRIGHTON</v>
      </c>
      <c r="D7414" s="3" t="str">
        <f>IFERROR(__xludf.DUMMYFUNCTION("""COMPUTED_VALUE"""),"K0K 1H0")</f>
        <v>K0K 1H0</v>
      </c>
      <c r="E7414" s="3" t="str">
        <f>IFERROR(__xludf.DUMMYFUNCTION("""COMPUTED_VALUE"""),"Malcolm Rawlings")</f>
        <v>Malcolm Rawlings</v>
      </c>
      <c r="F7414" s="3" t="str">
        <f>IFERROR(__xludf.DUMMYFUNCTION("""COMPUTED_VALUE"""),"mrawling@rogers.com")</f>
        <v>mrawling@rogers.com</v>
      </c>
      <c r="G7414" s="3"/>
      <c r="H7414" s="3"/>
    </row>
    <row r="7415">
      <c r="A7415" s="2">
        <f>IFERROR(__xludf.DUMMYFUNCTION("""COMPUTED_VALUE"""),91256.0)</f>
        <v>91256</v>
      </c>
      <c r="B7415" s="3" t="str">
        <f>IFERROR(__xludf.DUMMYFUNCTION("""COMPUTED_VALUE"""),"57 GREENWAY CIR  ")</f>
        <v>57 GREENWAY CIR  </v>
      </c>
      <c r="C7415" s="3" t="str">
        <f>IFERROR(__xludf.DUMMYFUNCTION("""COMPUTED_VALUE"""),"BRIGHTON")</f>
        <v>BRIGHTON</v>
      </c>
      <c r="D7415" s="3" t="str">
        <f>IFERROR(__xludf.DUMMYFUNCTION("""COMPUTED_VALUE"""),"K0K 1H0")</f>
        <v>K0K 1H0</v>
      </c>
      <c r="E7415" s="3" t="str">
        <f>IFERROR(__xludf.DUMMYFUNCTION("""COMPUTED_VALUE"""),"Michael Hilsheimer")</f>
        <v>Michael Hilsheimer</v>
      </c>
      <c r="F7415" s="3"/>
      <c r="G7415" s="3"/>
      <c r="H7415" s="3"/>
    </row>
    <row r="7416">
      <c r="A7416" s="2">
        <f>IFERROR(__xludf.DUMMYFUNCTION("""COMPUTED_VALUE"""),91257.0)</f>
        <v>91257</v>
      </c>
      <c r="B7416" s="3" t="str">
        <f>IFERROR(__xludf.DUMMYFUNCTION("""COMPUTED_VALUE"""),"59 GREENWAY CIR  ")</f>
        <v>59 GREENWAY CIR  </v>
      </c>
      <c r="C7416" s="3" t="str">
        <f>IFERROR(__xludf.DUMMYFUNCTION("""COMPUTED_VALUE"""),"BRIGHTON")</f>
        <v>BRIGHTON</v>
      </c>
      <c r="D7416" s="3" t="str">
        <f>IFERROR(__xludf.DUMMYFUNCTION("""COMPUTED_VALUE"""),"K0K 1H0")</f>
        <v>K0K 1H0</v>
      </c>
      <c r="E7416" s="3"/>
      <c r="F7416" s="3"/>
      <c r="G7416" s="3"/>
      <c r="H7416" s="3"/>
    </row>
    <row r="7417">
      <c r="A7417" s="2">
        <f>IFERROR(__xludf.DUMMYFUNCTION("""COMPUTED_VALUE"""),91258.0)</f>
        <v>91258</v>
      </c>
      <c r="B7417" s="3" t="str">
        <f>IFERROR(__xludf.DUMMYFUNCTION("""COMPUTED_VALUE"""),"60 GREENWAY CIR  ")</f>
        <v>60 GREENWAY CIR  </v>
      </c>
      <c r="C7417" s="3" t="str">
        <f>IFERROR(__xludf.DUMMYFUNCTION("""COMPUTED_VALUE"""),"BRIGHTON")</f>
        <v>BRIGHTON</v>
      </c>
      <c r="D7417" s="3" t="str">
        <f>IFERROR(__xludf.DUMMYFUNCTION("""COMPUTED_VALUE"""),"K0K 1H0")</f>
        <v>K0K 1H0</v>
      </c>
      <c r="E7417" s="3" t="str">
        <f>IFERROR(__xludf.DUMMYFUNCTION("""COMPUTED_VALUE"""),"dora ariosa")</f>
        <v>dora ariosa</v>
      </c>
      <c r="F7417" s="3" t="str">
        <f>IFERROR(__xludf.DUMMYFUNCTION("""COMPUTED_VALUE"""),"ariosarie@gmail.com")</f>
        <v>ariosarie@gmail.com</v>
      </c>
      <c r="G7417" s="3">
        <f>IFERROR(__xludf.DUMMYFUNCTION("""COMPUTED_VALUE"""),4.169065355E9)</f>
        <v>4169065355</v>
      </c>
      <c r="H7417" s="3"/>
    </row>
    <row r="7418">
      <c r="A7418" s="2">
        <f>IFERROR(__xludf.DUMMYFUNCTION("""COMPUTED_VALUE"""),91259.0)</f>
        <v>91259</v>
      </c>
      <c r="B7418" s="3" t="str">
        <f>IFERROR(__xludf.DUMMYFUNCTION("""COMPUTED_VALUE"""),"61 GREENWAY CIR  ")</f>
        <v>61 GREENWAY CIR  </v>
      </c>
      <c r="C7418" s="3" t="str">
        <f>IFERROR(__xludf.DUMMYFUNCTION("""COMPUTED_VALUE"""),"BRIGHTON")</f>
        <v>BRIGHTON</v>
      </c>
      <c r="D7418" s="3" t="str">
        <f>IFERROR(__xludf.DUMMYFUNCTION("""COMPUTED_VALUE"""),"K0K 1H0")</f>
        <v>K0K 1H0</v>
      </c>
      <c r="E7418" s="3"/>
      <c r="F7418" s="3"/>
      <c r="G7418" s="3"/>
      <c r="H7418" s="3"/>
    </row>
    <row r="7419">
      <c r="A7419" s="2">
        <f>IFERROR(__xludf.DUMMYFUNCTION("""COMPUTED_VALUE"""),91260.0)</f>
        <v>91260</v>
      </c>
      <c r="B7419" s="3" t="str">
        <f>IFERROR(__xludf.DUMMYFUNCTION("""COMPUTED_VALUE"""),"62 GREENWAY CIR  ")</f>
        <v>62 GREENWAY CIR  </v>
      </c>
      <c r="C7419" s="3" t="str">
        <f>IFERROR(__xludf.DUMMYFUNCTION("""COMPUTED_VALUE"""),"BRIGHTON")</f>
        <v>BRIGHTON</v>
      </c>
      <c r="D7419" s="3" t="str">
        <f>IFERROR(__xludf.DUMMYFUNCTION("""COMPUTED_VALUE"""),"K0K 1H0")</f>
        <v>K0K 1H0</v>
      </c>
      <c r="E7419" s="3"/>
      <c r="F7419" s="3"/>
      <c r="G7419" s="3"/>
      <c r="H7419" s="3"/>
    </row>
    <row r="7420">
      <c r="A7420" s="2">
        <f>IFERROR(__xludf.DUMMYFUNCTION("""COMPUTED_VALUE"""),91261.0)</f>
        <v>91261</v>
      </c>
      <c r="B7420" s="3" t="str">
        <f>IFERROR(__xludf.DUMMYFUNCTION("""COMPUTED_VALUE"""),"63 GREENWAY CIR  ")</f>
        <v>63 GREENWAY CIR  </v>
      </c>
      <c r="C7420" s="3" t="str">
        <f>IFERROR(__xludf.DUMMYFUNCTION("""COMPUTED_VALUE"""),"BRIGHTON")</f>
        <v>BRIGHTON</v>
      </c>
      <c r="D7420" s="3" t="str">
        <f>IFERROR(__xludf.DUMMYFUNCTION("""COMPUTED_VALUE"""),"K0K 1H0")</f>
        <v>K0K 1H0</v>
      </c>
      <c r="E7420" s="3"/>
      <c r="F7420" s="3"/>
      <c r="G7420" s="3"/>
      <c r="H7420" s="3"/>
    </row>
    <row r="7421">
      <c r="A7421" s="2">
        <f>IFERROR(__xludf.DUMMYFUNCTION("""COMPUTED_VALUE"""),91262.0)</f>
        <v>91262</v>
      </c>
      <c r="B7421" s="3" t="str">
        <f>IFERROR(__xludf.DUMMYFUNCTION("""COMPUTED_VALUE"""),"66 GREENWAY CIR  ")</f>
        <v>66 GREENWAY CIR  </v>
      </c>
      <c r="C7421" s="3" t="str">
        <f>IFERROR(__xludf.DUMMYFUNCTION("""COMPUTED_VALUE"""),"BRIGHTON")</f>
        <v>BRIGHTON</v>
      </c>
      <c r="D7421" s="3" t="str">
        <f>IFERROR(__xludf.DUMMYFUNCTION("""COMPUTED_VALUE"""),"K0K 1H0")</f>
        <v>K0K 1H0</v>
      </c>
      <c r="E7421" s="3"/>
      <c r="F7421" s="3"/>
      <c r="G7421" s="3"/>
      <c r="H7421" s="3"/>
    </row>
    <row r="7422">
      <c r="A7422" s="2">
        <f>IFERROR(__xludf.DUMMYFUNCTION("""COMPUTED_VALUE"""),91238.0)</f>
        <v>91238</v>
      </c>
      <c r="B7422" s="3" t="str">
        <f>IFERROR(__xludf.DUMMYFUNCTION("""COMPUTED_VALUE"""),"34 GREENWAY CIR  ")</f>
        <v>34 GREENWAY CIR  </v>
      </c>
      <c r="C7422" s="3" t="str">
        <f>IFERROR(__xludf.DUMMYFUNCTION("""COMPUTED_VALUE"""),"BRIGHTON")</f>
        <v>BRIGHTON</v>
      </c>
      <c r="D7422" s="3" t="str">
        <f>IFERROR(__xludf.DUMMYFUNCTION("""COMPUTED_VALUE"""),"K0K 1H0")</f>
        <v>K0K 1H0</v>
      </c>
      <c r="E7422" s="3" t="str">
        <f>IFERROR(__xludf.DUMMYFUNCTION("""COMPUTED_VALUE"""),"Jesse and Joanna Milko")</f>
        <v>Jesse and Joanna Milko</v>
      </c>
      <c r="F7422" s="3" t="str">
        <f>IFERROR(__xludf.DUMMYFUNCTION("""COMPUTED_VALUE"""),"joannamilko@hotmail.com")</f>
        <v>joannamilko@hotmail.com</v>
      </c>
      <c r="G7422" s="3">
        <f>IFERROR(__xludf.DUMMYFUNCTION("""COMPUTED_VALUE"""),2.8935676E9)</f>
        <v>2893567600</v>
      </c>
      <c r="H7422" s="3">
        <f>IFERROR(__xludf.DUMMYFUNCTION("""COMPUTED_VALUE"""),9.058699989E9)</f>
        <v>9058699989</v>
      </c>
    </row>
    <row r="7423">
      <c r="A7423" s="2">
        <f>IFERROR(__xludf.DUMMYFUNCTION("""COMPUTED_VALUE"""),93248.0)</f>
        <v>93248</v>
      </c>
      <c r="B7423" s="3" t="str">
        <f>IFERROR(__xludf.DUMMYFUNCTION("""COMPUTED_VALUE"""),"38 GREENWAY CIR  ")</f>
        <v>38 GREENWAY CIR  </v>
      </c>
      <c r="C7423" s="3" t="str">
        <f>IFERROR(__xludf.DUMMYFUNCTION("""COMPUTED_VALUE"""),"BRIGHTON")</f>
        <v>BRIGHTON</v>
      </c>
      <c r="D7423" s="3" t="str">
        <f>IFERROR(__xludf.DUMMYFUNCTION("""COMPUTED_VALUE"""),"K0K 1H0")</f>
        <v>K0K 1H0</v>
      </c>
      <c r="E7423" s="3" t="str">
        <f>IFERROR(__xludf.DUMMYFUNCTION("""COMPUTED_VALUE"""),"Sophia De Francesca")</f>
        <v>Sophia De Francesca</v>
      </c>
      <c r="F7423" s="3" t="str">
        <f>IFERROR(__xludf.DUMMYFUNCTION("""COMPUTED_VALUE"""),"sophie@sophie-d.ca")</f>
        <v>sophie@sophie-d.ca</v>
      </c>
      <c r="G7423" s="3"/>
      <c r="H7423" s="3"/>
    </row>
    <row r="7424">
      <c r="A7424" s="2">
        <f>IFERROR(__xludf.DUMMYFUNCTION("""COMPUTED_VALUE"""),91240.0)</f>
        <v>91240</v>
      </c>
      <c r="B7424" s="3" t="str">
        <f>IFERROR(__xludf.DUMMYFUNCTION("""COMPUTED_VALUE"""),"39 GREENWAY CIR  ")</f>
        <v>39 GREENWAY CIR  </v>
      </c>
      <c r="C7424" s="3" t="str">
        <f>IFERROR(__xludf.DUMMYFUNCTION("""COMPUTED_VALUE"""),"BRIGHTON")</f>
        <v>BRIGHTON</v>
      </c>
      <c r="D7424" s="3" t="str">
        <f>IFERROR(__xludf.DUMMYFUNCTION("""COMPUTED_VALUE"""),"K0K 1H0")</f>
        <v>K0K 1H0</v>
      </c>
      <c r="E7424" s="3" t="str">
        <f>IFERROR(__xludf.DUMMYFUNCTION("""COMPUTED_VALUE"""),"Melanie Anderson")</f>
        <v>Melanie Anderson</v>
      </c>
      <c r="F7424" s="3" t="str">
        <f>IFERROR(__xludf.DUMMYFUNCTION("""COMPUTED_VALUE"""),"clubmel2000@gmail.com")</f>
        <v>clubmel2000@gmail.com</v>
      </c>
      <c r="G7424" s="3">
        <f>IFERROR(__xludf.DUMMYFUNCTION("""COMPUTED_VALUE"""),9.054290194E9)</f>
        <v>9054290194</v>
      </c>
      <c r="H7424" s="3">
        <f>IFERROR(__xludf.DUMMYFUNCTION("""COMPUTED_VALUE"""),9.054291758E9)</f>
        <v>9054291758</v>
      </c>
    </row>
    <row r="7425">
      <c r="A7425" s="2">
        <f>IFERROR(__xludf.DUMMYFUNCTION("""COMPUTED_VALUE"""),91249.0)</f>
        <v>91249</v>
      </c>
      <c r="B7425" s="3" t="str">
        <f>IFERROR(__xludf.DUMMYFUNCTION("""COMPUTED_VALUE"""),"50 GREENWAY CIR  ")</f>
        <v>50 GREENWAY CIR  </v>
      </c>
      <c r="C7425" s="3" t="str">
        <f>IFERROR(__xludf.DUMMYFUNCTION("""COMPUTED_VALUE"""),"BRIGHTON")</f>
        <v>BRIGHTON</v>
      </c>
      <c r="D7425" s="3" t="str">
        <f>IFERROR(__xludf.DUMMYFUNCTION("""COMPUTED_VALUE"""),"K0K 1H0")</f>
        <v>K0K 1H0</v>
      </c>
      <c r="E7425" s="3" t="str">
        <f>IFERROR(__xludf.DUMMYFUNCTION("""COMPUTED_VALUE"""),"Patricia Skerlan")</f>
        <v>Patricia Skerlan</v>
      </c>
      <c r="F7425" s="3" t="str">
        <f>IFERROR(__xludf.DUMMYFUNCTION("""COMPUTED_VALUE"""),"patriciaskerlan@outlook.com")</f>
        <v>patriciaskerlan@outlook.com</v>
      </c>
      <c r="G7425" s="3">
        <f>IFERROR(__xludf.DUMMYFUNCTION("""COMPUTED_VALUE"""),6.47390424E9)</f>
        <v>6473904240</v>
      </c>
      <c r="H7425" s="3"/>
    </row>
    <row r="7426">
      <c r="A7426" s="2">
        <f>IFERROR(__xludf.DUMMYFUNCTION("""COMPUTED_VALUE"""),91250.0)</f>
        <v>91250</v>
      </c>
      <c r="B7426" s="3" t="str">
        <f>IFERROR(__xludf.DUMMYFUNCTION("""COMPUTED_VALUE"""),"51 GREENWAY CIR  ")</f>
        <v>51 GREENWAY CIR  </v>
      </c>
      <c r="C7426" s="3" t="str">
        <f>IFERROR(__xludf.DUMMYFUNCTION("""COMPUTED_VALUE"""),"BRIGHTON")</f>
        <v>BRIGHTON</v>
      </c>
      <c r="D7426" s="3" t="str">
        <f>IFERROR(__xludf.DUMMYFUNCTION("""COMPUTED_VALUE"""),"K0K 1H0")</f>
        <v>K0K 1H0</v>
      </c>
      <c r="E7426" s="3" t="str">
        <f>IFERROR(__xludf.DUMMYFUNCTION("""COMPUTED_VALUE"""),"Patricia Skerlan")</f>
        <v>Patricia Skerlan</v>
      </c>
      <c r="F7426" s="3" t="str">
        <f>IFERROR(__xludf.DUMMYFUNCTION("""COMPUTED_VALUE"""),"patriciaskerlan@outlook.com")</f>
        <v>patriciaskerlan@outlook.com</v>
      </c>
      <c r="G7426" s="3">
        <f>IFERROR(__xludf.DUMMYFUNCTION("""COMPUTED_VALUE"""),6.47390424E9)</f>
        <v>6473904240</v>
      </c>
      <c r="H7426" s="3"/>
    </row>
    <row r="7427">
      <c r="A7427" s="2">
        <f>IFERROR(__xludf.DUMMYFUNCTION("""COMPUTED_VALUE"""),91254.0)</f>
        <v>91254</v>
      </c>
      <c r="B7427" s="3" t="str">
        <f>IFERROR(__xludf.DUMMYFUNCTION("""COMPUTED_VALUE"""),"55 GREENWAY CIR  ")</f>
        <v>55 GREENWAY CIR  </v>
      </c>
      <c r="C7427" s="3" t="str">
        <f>IFERROR(__xludf.DUMMYFUNCTION("""COMPUTED_VALUE"""),"BRIGHTON")</f>
        <v>BRIGHTON</v>
      </c>
      <c r="D7427" s="3" t="str">
        <f>IFERROR(__xludf.DUMMYFUNCTION("""COMPUTED_VALUE"""),"K0K 1H0")</f>
        <v>K0K 1H0</v>
      </c>
      <c r="E7427" s="3" t="str">
        <f>IFERROR(__xludf.DUMMYFUNCTION("""COMPUTED_VALUE"""),"Neil horner")</f>
        <v>Neil horner</v>
      </c>
      <c r="F7427" s="3" t="str">
        <f>IFERROR(__xludf.DUMMYFUNCTION("""COMPUTED_VALUE"""),"neil.mel.horner@gmail.com")</f>
        <v>neil.mel.horner@gmail.com</v>
      </c>
      <c r="G7427" s="3">
        <f>IFERROR(__xludf.DUMMYFUNCTION("""COMPUTED_VALUE"""),9.053733028E9)</f>
        <v>9053733028</v>
      </c>
      <c r="H7427" s="3"/>
    </row>
    <row r="7428">
      <c r="A7428" s="2">
        <f>IFERROR(__xludf.DUMMYFUNCTION("""COMPUTED_VALUE"""),91263.0)</f>
        <v>91263</v>
      </c>
      <c r="B7428" s="3" t="str">
        <f>IFERROR(__xludf.DUMMYFUNCTION("""COMPUTED_VALUE"""),"110 HERLEY RD  ")</f>
        <v>110 HERLEY RD  </v>
      </c>
      <c r="C7428" s="3" t="str">
        <f>IFERROR(__xludf.DUMMYFUNCTION("""COMPUTED_VALUE"""),"COLBORNE")</f>
        <v>COLBORNE</v>
      </c>
      <c r="D7428" s="3" t="str">
        <f>IFERROR(__xludf.DUMMYFUNCTION("""COMPUTED_VALUE"""),"K0K 1S0")</f>
        <v>K0K 1S0</v>
      </c>
      <c r="E7428" s="3"/>
      <c r="F7428" s="3"/>
      <c r="G7428" s="3"/>
      <c r="H7428" s="3"/>
    </row>
    <row r="7429">
      <c r="A7429" s="2">
        <f>IFERROR(__xludf.DUMMYFUNCTION("""COMPUTED_VALUE"""),91284.0)</f>
        <v>91284</v>
      </c>
      <c r="B7429" s="3" t="str">
        <f>IFERROR(__xludf.DUMMYFUNCTION("""COMPUTED_VALUE"""),"566 HUFF RD  ")</f>
        <v>566 HUFF RD  </v>
      </c>
      <c r="C7429" s="3" t="str">
        <f>IFERROR(__xludf.DUMMYFUNCTION("""COMPUTED_VALUE"""),"BRIGHTON")</f>
        <v>BRIGHTON</v>
      </c>
      <c r="D7429" s="3" t="str">
        <f>IFERROR(__xludf.DUMMYFUNCTION("""COMPUTED_VALUE"""),"K0K 1H0")</f>
        <v>K0K 1H0</v>
      </c>
      <c r="E7429" s="3" t="str">
        <f>IFERROR(__xludf.DUMMYFUNCTION("""COMPUTED_VALUE"""),"ron and bridget burns ")</f>
        <v>ron and bridget burns </v>
      </c>
      <c r="F7429" s="3" t="str">
        <f>IFERROR(__xludf.DUMMYFUNCTION("""COMPUTED_VALUE"""),"nridgetburns777@gmail.com")</f>
        <v>nridgetburns777@gmail.com</v>
      </c>
      <c r="G7429" s="3">
        <f>IFERROR(__xludf.DUMMYFUNCTION("""COMPUTED_VALUE"""),7.059316433E9)</f>
        <v>7059316433</v>
      </c>
      <c r="H7429" s="3">
        <f>IFERROR(__xludf.DUMMYFUNCTION("""COMPUTED_VALUE"""),7.059319362E9)</f>
        <v>7059319362</v>
      </c>
    </row>
    <row r="7430">
      <c r="A7430" s="2">
        <f>IFERROR(__xludf.DUMMYFUNCTION("""COMPUTED_VALUE"""),91286.0)</f>
        <v>91286</v>
      </c>
      <c r="B7430" s="3" t="str">
        <f>IFERROR(__xludf.DUMMYFUNCTION("""COMPUTED_VALUE"""),"602 HUFF RD  ")</f>
        <v>602 HUFF RD  </v>
      </c>
      <c r="C7430" s="3" t="str">
        <f>IFERROR(__xludf.DUMMYFUNCTION("""COMPUTED_VALUE"""),"BRIGHTON")</f>
        <v>BRIGHTON</v>
      </c>
      <c r="D7430" s="3" t="str">
        <f>IFERROR(__xludf.DUMMYFUNCTION("""COMPUTED_VALUE"""),"K0K 1H0")</f>
        <v>K0K 1H0</v>
      </c>
      <c r="E7430" s="3"/>
      <c r="F7430" s="3"/>
      <c r="G7430" s="3"/>
      <c r="H7430" s="3"/>
    </row>
    <row r="7431">
      <c r="A7431" s="2">
        <f>IFERROR(__xludf.DUMMYFUNCTION("""COMPUTED_VALUE"""),91287.0)</f>
        <v>91287</v>
      </c>
      <c r="B7431" s="3" t="str">
        <f>IFERROR(__xludf.DUMMYFUNCTION("""COMPUTED_VALUE"""),"625 HUFF RD  ")</f>
        <v>625 HUFF RD  </v>
      </c>
      <c r="C7431" s="3" t="str">
        <f>IFERROR(__xludf.DUMMYFUNCTION("""COMPUTED_VALUE"""),"BRIGHTON")</f>
        <v>BRIGHTON</v>
      </c>
      <c r="D7431" s="3" t="str">
        <f>IFERROR(__xludf.DUMMYFUNCTION("""COMPUTED_VALUE"""),"K0K 1H0")</f>
        <v>K0K 1H0</v>
      </c>
      <c r="E7431" s="3"/>
      <c r="F7431" s="3"/>
      <c r="G7431" s="3"/>
      <c r="H7431" s="3"/>
    </row>
    <row r="7432">
      <c r="A7432" s="2">
        <f>IFERROR(__xludf.DUMMYFUNCTION("""COMPUTED_VALUE"""),91288.0)</f>
        <v>91288</v>
      </c>
      <c r="B7432" s="3" t="str">
        <f>IFERROR(__xludf.DUMMYFUNCTION("""COMPUTED_VALUE"""),"626 HUFF RD  ")</f>
        <v>626 HUFF RD  </v>
      </c>
      <c r="C7432" s="3" t="str">
        <f>IFERROR(__xludf.DUMMYFUNCTION("""COMPUTED_VALUE"""),"BRIGHTON")</f>
        <v>BRIGHTON</v>
      </c>
      <c r="D7432" s="3" t="str">
        <f>IFERROR(__xludf.DUMMYFUNCTION("""COMPUTED_VALUE"""),"K0K 1H0")</f>
        <v>K0K 1H0</v>
      </c>
      <c r="E7432" s="3"/>
      <c r="F7432" s="3"/>
      <c r="G7432" s="3"/>
      <c r="H7432" s="3"/>
    </row>
    <row r="7433">
      <c r="A7433" s="2">
        <f>IFERROR(__xludf.DUMMYFUNCTION("""COMPUTED_VALUE"""),91289.0)</f>
        <v>91289</v>
      </c>
      <c r="B7433" s="3" t="str">
        <f>IFERROR(__xludf.DUMMYFUNCTION("""COMPUTED_VALUE"""),"636 HUFF RD  ")</f>
        <v>636 HUFF RD  </v>
      </c>
      <c r="C7433" s="3" t="str">
        <f>IFERROR(__xludf.DUMMYFUNCTION("""COMPUTED_VALUE"""),"BRIGHTON")</f>
        <v>BRIGHTON</v>
      </c>
      <c r="D7433" s="3" t="str">
        <f>IFERROR(__xludf.DUMMYFUNCTION("""COMPUTED_VALUE"""),"K0K 1H0")</f>
        <v>K0K 1H0</v>
      </c>
      <c r="E7433" s="3"/>
      <c r="F7433" s="3"/>
      <c r="G7433" s="3"/>
      <c r="H7433" s="3"/>
    </row>
    <row r="7434">
      <c r="A7434" s="2">
        <f>IFERROR(__xludf.DUMMYFUNCTION("""COMPUTED_VALUE"""),91290.0)</f>
        <v>91290</v>
      </c>
      <c r="B7434" s="3" t="str">
        <f>IFERROR(__xludf.DUMMYFUNCTION("""COMPUTED_VALUE"""),"642 HUFF RD  ")</f>
        <v>642 HUFF RD  </v>
      </c>
      <c r="C7434" s="3" t="str">
        <f>IFERROR(__xludf.DUMMYFUNCTION("""COMPUTED_VALUE"""),"BRIGHTON")</f>
        <v>BRIGHTON</v>
      </c>
      <c r="D7434" s="3" t="str">
        <f>IFERROR(__xludf.DUMMYFUNCTION("""COMPUTED_VALUE"""),"K0K 1H0")</f>
        <v>K0K 1H0</v>
      </c>
      <c r="E7434" s="3"/>
      <c r="F7434" s="3"/>
      <c r="G7434" s="3"/>
      <c r="H7434" s="3"/>
    </row>
    <row r="7435">
      <c r="A7435" s="2">
        <f>IFERROR(__xludf.DUMMYFUNCTION("""COMPUTED_VALUE"""),91291.0)</f>
        <v>91291</v>
      </c>
      <c r="B7435" s="3" t="str">
        <f>IFERROR(__xludf.DUMMYFUNCTION("""COMPUTED_VALUE"""),"643 HUFF RD  ")</f>
        <v>643 HUFF RD  </v>
      </c>
      <c r="C7435" s="3" t="str">
        <f>IFERROR(__xludf.DUMMYFUNCTION("""COMPUTED_VALUE"""),"BRIGHTON")</f>
        <v>BRIGHTON</v>
      </c>
      <c r="D7435" s="3" t="str">
        <f>IFERROR(__xludf.DUMMYFUNCTION("""COMPUTED_VALUE"""),"K0K 1H0")</f>
        <v>K0K 1H0</v>
      </c>
      <c r="E7435" s="3" t="str">
        <f>IFERROR(__xludf.DUMMYFUNCTION("""COMPUTED_VALUE"""),"Jay Niazi")</f>
        <v>Jay Niazi</v>
      </c>
      <c r="F7435" s="3" t="str">
        <f>IFERROR(__xludf.DUMMYFUNCTION("""COMPUTED_VALUE"""),"ijalilniazi@gmail.com")</f>
        <v>ijalilniazi@gmail.com</v>
      </c>
      <c r="G7435" s="3"/>
      <c r="H7435" s="3"/>
    </row>
    <row r="7436">
      <c r="A7436" s="2">
        <f>IFERROR(__xludf.DUMMYFUNCTION("""COMPUTED_VALUE"""),91292.0)</f>
        <v>91292</v>
      </c>
      <c r="B7436" s="3" t="str">
        <f>IFERROR(__xludf.DUMMYFUNCTION("""COMPUTED_VALUE"""),"655 HUFF RD  ")</f>
        <v>655 HUFF RD  </v>
      </c>
      <c r="C7436" s="3" t="str">
        <f>IFERROR(__xludf.DUMMYFUNCTION("""COMPUTED_VALUE"""),"BRIGHTON")</f>
        <v>BRIGHTON</v>
      </c>
      <c r="D7436" s="3" t="str">
        <f>IFERROR(__xludf.DUMMYFUNCTION("""COMPUTED_VALUE"""),"K0K 1H0")</f>
        <v>K0K 1H0</v>
      </c>
      <c r="E7436" s="3" t="str">
        <f>IFERROR(__xludf.DUMMYFUNCTION("""COMPUTED_VALUE"""),"tom papadoulos")</f>
        <v>tom papadoulos</v>
      </c>
      <c r="F7436" s="3" t="str">
        <f>IFERROR(__xludf.DUMMYFUNCTION("""COMPUTED_VALUE"""),"tompopadoulos777@gmail.com")</f>
        <v>tompopadoulos777@gmail.com</v>
      </c>
      <c r="G7436" s="3">
        <f>IFERROR(__xludf.DUMMYFUNCTION("""COMPUTED_VALUE"""),4.168771475E9)</f>
        <v>4168771475</v>
      </c>
      <c r="H7436" s="3">
        <f>IFERROR(__xludf.DUMMYFUNCTION("""COMPUTED_VALUE"""),4.168771475E9)</f>
        <v>4168771475</v>
      </c>
    </row>
    <row r="7437">
      <c r="A7437" s="2">
        <f>IFERROR(__xludf.DUMMYFUNCTION("""COMPUTED_VALUE"""),91294.0)</f>
        <v>91294</v>
      </c>
      <c r="B7437" s="3" t="str">
        <f>IFERROR(__xludf.DUMMYFUNCTION("""COMPUTED_VALUE"""),"670 HUFF RD  ")</f>
        <v>670 HUFF RD  </v>
      </c>
      <c r="C7437" s="3" t="str">
        <f>IFERROR(__xludf.DUMMYFUNCTION("""COMPUTED_VALUE"""),"BRIGHTON")</f>
        <v>BRIGHTON</v>
      </c>
      <c r="D7437" s="3" t="str">
        <f>IFERROR(__xludf.DUMMYFUNCTION("""COMPUTED_VALUE"""),"K0K 1H0")</f>
        <v>K0K 1H0</v>
      </c>
      <c r="E7437" s="3"/>
      <c r="F7437" s="3"/>
      <c r="G7437" s="3"/>
      <c r="H7437" s="3"/>
    </row>
    <row r="7438">
      <c r="A7438" s="2">
        <f>IFERROR(__xludf.DUMMYFUNCTION("""COMPUTED_VALUE"""),91295.0)</f>
        <v>91295</v>
      </c>
      <c r="B7438" s="3" t="str">
        <f>IFERROR(__xludf.DUMMYFUNCTION("""COMPUTED_VALUE"""),"675 HUFF RD  ")</f>
        <v>675 HUFF RD  </v>
      </c>
      <c r="C7438" s="3" t="str">
        <f>IFERROR(__xludf.DUMMYFUNCTION("""COMPUTED_VALUE"""),"BRIGHTON")</f>
        <v>BRIGHTON</v>
      </c>
      <c r="D7438" s="3" t="str">
        <f>IFERROR(__xludf.DUMMYFUNCTION("""COMPUTED_VALUE"""),"K0K 1H0")</f>
        <v>K0K 1H0</v>
      </c>
      <c r="E7438" s="3" t="str">
        <f>IFERROR(__xludf.DUMMYFUNCTION("""COMPUTED_VALUE"""),"Mike Richards")</f>
        <v>Mike Richards</v>
      </c>
      <c r="F7438" s="3" t="str">
        <f>IFERROR(__xludf.DUMMYFUNCTION("""COMPUTED_VALUE"""),"mikerichards@durhamt.ca")</f>
        <v>mikerichards@durhamt.ca</v>
      </c>
      <c r="G7438" s="3"/>
      <c r="H7438" s="3"/>
    </row>
    <row r="7439">
      <c r="A7439" s="2">
        <f>IFERROR(__xludf.DUMMYFUNCTION("""COMPUTED_VALUE"""),91296.0)</f>
        <v>91296</v>
      </c>
      <c r="B7439" s="3" t="str">
        <f>IFERROR(__xludf.DUMMYFUNCTION("""COMPUTED_VALUE"""),"688 HUFF RD  ")</f>
        <v>688 HUFF RD  </v>
      </c>
      <c r="C7439" s="3" t="str">
        <f>IFERROR(__xludf.DUMMYFUNCTION("""COMPUTED_VALUE"""),"BRIGHTON")</f>
        <v>BRIGHTON</v>
      </c>
      <c r="D7439" s="3" t="str">
        <f>IFERROR(__xludf.DUMMYFUNCTION("""COMPUTED_VALUE"""),"K0K 1H0")</f>
        <v>K0K 1H0</v>
      </c>
      <c r="E7439" s="3"/>
      <c r="F7439" s="3"/>
      <c r="G7439" s="3"/>
      <c r="H7439" s="3"/>
    </row>
    <row r="7440">
      <c r="A7440" s="2">
        <f>IFERROR(__xludf.DUMMYFUNCTION("""COMPUTED_VALUE"""),91297.0)</f>
        <v>91297</v>
      </c>
      <c r="B7440" s="3" t="str">
        <f>IFERROR(__xludf.DUMMYFUNCTION("""COMPUTED_VALUE"""),"695 HUFF RD  ")</f>
        <v>695 HUFF RD  </v>
      </c>
      <c r="C7440" s="3" t="str">
        <f>IFERROR(__xludf.DUMMYFUNCTION("""COMPUTED_VALUE"""),"BRIGHTON")</f>
        <v>BRIGHTON</v>
      </c>
      <c r="D7440" s="3" t="str">
        <f>IFERROR(__xludf.DUMMYFUNCTION("""COMPUTED_VALUE"""),"K0K 1H0")</f>
        <v>K0K 1H0</v>
      </c>
      <c r="E7440" s="3" t="str">
        <f>IFERROR(__xludf.DUMMYFUNCTION("""COMPUTED_VALUE"""),"Chris Mycyk &amp; Amber Duckworth")</f>
        <v>Chris Mycyk &amp; Amber Duckworth</v>
      </c>
      <c r="F7440" s="3" t="str">
        <f>IFERROR(__xludf.DUMMYFUNCTION("""COMPUTED_VALUE"""),"offgridwanderer1969@gmail.com")</f>
        <v>offgridwanderer1969@gmail.com</v>
      </c>
      <c r="G7440" s="3"/>
      <c r="H7440" s="3"/>
    </row>
    <row r="7441">
      <c r="A7441" s="2">
        <f>IFERROR(__xludf.DUMMYFUNCTION("""COMPUTED_VALUE"""),91293.0)</f>
        <v>91293</v>
      </c>
      <c r="B7441" s="3" t="str">
        <f>IFERROR(__xludf.DUMMYFUNCTION("""COMPUTED_VALUE"""),"667 HUFF RD  ")</f>
        <v>667 HUFF RD  </v>
      </c>
      <c r="C7441" s="3" t="str">
        <f>IFERROR(__xludf.DUMMYFUNCTION("""COMPUTED_VALUE"""),"BRIGHTON")</f>
        <v>BRIGHTON</v>
      </c>
      <c r="D7441" s="3" t="str">
        <f>IFERROR(__xludf.DUMMYFUNCTION("""COMPUTED_VALUE"""),"K0K 1H0")</f>
        <v>K0K 1H0</v>
      </c>
      <c r="E7441" s="3" t="str">
        <f>IFERROR(__xludf.DUMMYFUNCTION("""COMPUTED_VALUE"""),"George Strilchuk")</f>
        <v>George Strilchuk</v>
      </c>
      <c r="F7441" s="3" t="str">
        <f>IFERROR(__xludf.DUMMYFUNCTION("""COMPUTED_VALUE"""),"strilchukgeorge@gmail.com")</f>
        <v>strilchukgeorge@gmail.com</v>
      </c>
      <c r="G7441" s="3">
        <f>IFERROR(__xludf.DUMMYFUNCTION("""COMPUTED_VALUE"""),4.168235624E9)</f>
        <v>4168235624</v>
      </c>
      <c r="H7441" s="3">
        <f>IFERROR(__xludf.DUMMYFUNCTION("""COMPUTED_VALUE"""),6.134755585E9)</f>
        <v>6134755585</v>
      </c>
    </row>
    <row r="7442">
      <c r="A7442" s="2">
        <f>IFERROR(__xludf.DUMMYFUNCTION("""COMPUTED_VALUE"""),91285.0)</f>
        <v>91285</v>
      </c>
      <c r="B7442" s="3" t="str">
        <f>IFERROR(__xludf.DUMMYFUNCTION("""COMPUTED_VALUE"""),"580 HUFF RD  ")</f>
        <v>580 HUFF RD  </v>
      </c>
      <c r="C7442" s="3" t="str">
        <f>IFERROR(__xludf.DUMMYFUNCTION("""COMPUTED_VALUE"""),"BRIGHTON")</f>
        <v>BRIGHTON</v>
      </c>
      <c r="D7442" s="3" t="str">
        <f>IFERROR(__xludf.DUMMYFUNCTION("""COMPUTED_VALUE"""),"K0K 1H0")</f>
        <v>K0K 1H0</v>
      </c>
      <c r="E7442" s="3"/>
      <c r="F7442" s="3"/>
      <c r="G7442" s="3"/>
      <c r="H7442" s="3"/>
    </row>
    <row r="7443">
      <c r="A7443" s="2">
        <f>IFERROR(__xludf.DUMMYFUNCTION("""COMPUTED_VALUE"""),91279.0)</f>
        <v>91279</v>
      </c>
      <c r="B7443" s="3" t="str">
        <f>IFERROR(__xludf.DUMMYFUNCTION("""COMPUTED_VALUE"""),"53 HUFF RD  ")</f>
        <v>53 HUFF RD  </v>
      </c>
      <c r="C7443" s="3" t="str">
        <f>IFERROR(__xludf.DUMMYFUNCTION("""COMPUTED_VALUE"""),"BRIGHTON")</f>
        <v>BRIGHTON</v>
      </c>
      <c r="D7443" s="3" t="str">
        <f>IFERROR(__xludf.DUMMYFUNCTION("""COMPUTED_VALUE"""),"K0K 1H0")</f>
        <v>K0K 1H0</v>
      </c>
      <c r="E7443" s="3" t="str">
        <f>IFERROR(__xludf.DUMMYFUNCTION("""COMPUTED_VALUE"""),"Bob Blair")</f>
        <v>Bob Blair</v>
      </c>
      <c r="F7443" s="3" t="str">
        <f>IFERROR(__xludf.DUMMYFUNCTION("""COMPUTED_VALUE"""),"raoeb111@gmail.com")</f>
        <v>raoeb111@gmail.com</v>
      </c>
      <c r="G7443" s="3"/>
      <c r="H7443" s="3"/>
    </row>
    <row r="7444">
      <c r="A7444" s="2">
        <f>IFERROR(__xludf.DUMMYFUNCTION("""COMPUTED_VALUE"""),91272.0)</f>
        <v>91272</v>
      </c>
      <c r="B7444" s="3" t="str">
        <f>IFERROR(__xludf.DUMMYFUNCTION("""COMPUTED_VALUE"""),"23 HUFF RD  ")</f>
        <v>23 HUFF RD  </v>
      </c>
      <c r="C7444" s="3" t="str">
        <f>IFERROR(__xludf.DUMMYFUNCTION("""COMPUTED_VALUE"""),"BRIGHTON")</f>
        <v>BRIGHTON</v>
      </c>
      <c r="D7444" s="3" t="str">
        <f>IFERROR(__xludf.DUMMYFUNCTION("""COMPUTED_VALUE"""),"K0K 1H0")</f>
        <v>K0K 1H0</v>
      </c>
      <c r="E7444" s="3" t="str">
        <f>IFERROR(__xludf.DUMMYFUNCTION("""COMPUTED_VALUE"""),"ian scriven")</f>
        <v>ian scriven</v>
      </c>
      <c r="F7444" s="3" t="str">
        <f>IFERROR(__xludf.DUMMYFUNCTION("""COMPUTED_VALUE"""),"ian@hultroad.ca")</f>
        <v>ian@hultroad.ca</v>
      </c>
      <c r="G7444" s="3">
        <f>IFERROR(__xludf.DUMMYFUNCTION("""COMPUTED_VALUE"""),6.1366111E9)</f>
        <v>6136611100</v>
      </c>
      <c r="H7444" s="3"/>
    </row>
    <row r="7445">
      <c r="A7445" s="2">
        <f>IFERROR(__xludf.DUMMYFUNCTION("""COMPUTED_VALUE"""),91273.0)</f>
        <v>91273</v>
      </c>
      <c r="B7445" s="3" t="str">
        <f>IFERROR(__xludf.DUMMYFUNCTION("""COMPUTED_VALUE"""),"31 HUFF RD  ")</f>
        <v>31 HUFF RD  </v>
      </c>
      <c r="C7445" s="3" t="str">
        <f>IFERROR(__xludf.DUMMYFUNCTION("""COMPUTED_VALUE"""),"BRIGHTON")</f>
        <v>BRIGHTON</v>
      </c>
      <c r="D7445" s="3" t="str">
        <f>IFERROR(__xludf.DUMMYFUNCTION("""COMPUTED_VALUE"""),"K0K 1H0")</f>
        <v>K0K 1H0</v>
      </c>
      <c r="E7445" s="3" t="str">
        <f>IFERROR(__xludf.DUMMYFUNCTION("""COMPUTED_VALUE"""),"lisa strachan")</f>
        <v>lisa strachan</v>
      </c>
      <c r="F7445" s="3" t="str">
        <f>IFERROR(__xludf.DUMMYFUNCTION("""COMPUTED_VALUE"""),"ducaticramequeen@gmail.com")</f>
        <v>ducaticramequeen@gmail.com</v>
      </c>
      <c r="G7445" s="3">
        <f>IFERROR(__xludf.DUMMYFUNCTION("""COMPUTED_VALUE"""),4.167045001E9)</f>
        <v>4167045001</v>
      </c>
      <c r="H7445" s="3"/>
    </row>
    <row r="7446">
      <c r="A7446" s="2">
        <f>IFERROR(__xludf.DUMMYFUNCTION("""COMPUTED_VALUE"""),91275.0)</f>
        <v>91275</v>
      </c>
      <c r="B7446" s="3" t="str">
        <f>IFERROR(__xludf.DUMMYFUNCTION("""COMPUTED_VALUE"""),"36 HUFF RD  ")</f>
        <v>36 HUFF RD  </v>
      </c>
      <c r="C7446" s="3" t="str">
        <f>IFERROR(__xludf.DUMMYFUNCTION("""COMPUTED_VALUE"""),"BRIGHTON")</f>
        <v>BRIGHTON</v>
      </c>
      <c r="D7446" s="3" t="str">
        <f>IFERROR(__xludf.DUMMYFUNCTION("""COMPUTED_VALUE"""),"K0K 1H0")</f>
        <v>K0K 1H0</v>
      </c>
      <c r="E7446" s="3" t="str">
        <f>IFERROR(__xludf.DUMMYFUNCTION("""COMPUTED_VALUE"""),"Eric Ross ")</f>
        <v>Eric Ross </v>
      </c>
      <c r="F7446" s="3" t="str">
        <f>IFERROR(__xludf.DUMMYFUNCTION("""COMPUTED_VALUE"""),"mnightrodeo@gmail.com")</f>
        <v>mnightrodeo@gmail.com</v>
      </c>
      <c r="G7446" s="3"/>
      <c r="H7446" s="3"/>
    </row>
    <row r="7447">
      <c r="A7447" s="2">
        <f>IFERROR(__xludf.DUMMYFUNCTION("""COMPUTED_VALUE"""),91276.0)</f>
        <v>91276</v>
      </c>
      <c r="B7447" s="3" t="str">
        <f>IFERROR(__xludf.DUMMYFUNCTION("""COMPUTED_VALUE"""),"41 HUFF RD  ")</f>
        <v>41 HUFF RD  </v>
      </c>
      <c r="C7447" s="3" t="str">
        <f>IFERROR(__xludf.DUMMYFUNCTION("""COMPUTED_VALUE"""),"BRIGHTON")</f>
        <v>BRIGHTON</v>
      </c>
      <c r="D7447" s="3" t="str">
        <f>IFERROR(__xludf.DUMMYFUNCTION("""COMPUTED_VALUE"""),"K0K 1H0")</f>
        <v>K0K 1H0</v>
      </c>
      <c r="E7447" s="3"/>
      <c r="F7447" s="3"/>
      <c r="G7447" s="3"/>
      <c r="H7447" s="3"/>
    </row>
    <row r="7448">
      <c r="A7448" s="2">
        <f>IFERROR(__xludf.DUMMYFUNCTION("""COMPUTED_VALUE"""),91277.0)</f>
        <v>91277</v>
      </c>
      <c r="B7448" s="3" t="str">
        <f>IFERROR(__xludf.DUMMYFUNCTION("""COMPUTED_VALUE"""),"42 HUFF RD  ")</f>
        <v>42 HUFF RD  </v>
      </c>
      <c r="C7448" s="3" t="str">
        <f>IFERROR(__xludf.DUMMYFUNCTION("""COMPUTED_VALUE"""),"BRIGHTON")</f>
        <v>BRIGHTON</v>
      </c>
      <c r="D7448" s="3" t="str">
        <f>IFERROR(__xludf.DUMMYFUNCTION("""COMPUTED_VALUE"""),"K0K 1H0")</f>
        <v>K0K 1H0</v>
      </c>
      <c r="E7448" s="3" t="str">
        <f>IFERROR(__xludf.DUMMYFUNCTION("""COMPUTED_VALUE"""),"rose jones ")</f>
        <v>rose jones </v>
      </c>
      <c r="F7448" s="3"/>
      <c r="G7448" s="3">
        <f>IFERROR(__xludf.DUMMYFUNCTION("""COMPUTED_VALUE"""),6.134750149E9)</f>
        <v>6134750149</v>
      </c>
      <c r="H7448" s="3"/>
    </row>
    <row r="7449">
      <c r="A7449" s="2">
        <f>IFERROR(__xludf.DUMMYFUNCTION("""COMPUTED_VALUE"""),91278.0)</f>
        <v>91278</v>
      </c>
      <c r="B7449" s="3" t="str">
        <f>IFERROR(__xludf.DUMMYFUNCTION("""COMPUTED_VALUE"""),"52 HUFF RD  ")</f>
        <v>52 HUFF RD  </v>
      </c>
      <c r="C7449" s="3" t="str">
        <f>IFERROR(__xludf.DUMMYFUNCTION("""COMPUTED_VALUE"""),"BRIGHTON")</f>
        <v>BRIGHTON</v>
      </c>
      <c r="D7449" s="3" t="str">
        <f>IFERROR(__xludf.DUMMYFUNCTION("""COMPUTED_VALUE"""),"K0K 1H0")</f>
        <v>K0K 1H0</v>
      </c>
      <c r="E7449" s="3"/>
      <c r="F7449" s="3"/>
      <c r="G7449" s="3"/>
      <c r="H7449" s="3"/>
    </row>
    <row r="7450">
      <c r="A7450" s="2">
        <f>IFERROR(__xludf.DUMMYFUNCTION("""COMPUTED_VALUE"""),91271.0)</f>
        <v>91271</v>
      </c>
      <c r="B7450" s="3" t="str">
        <f>IFERROR(__xludf.DUMMYFUNCTION("""COMPUTED_VALUE"""),"16 HUFF RD  ")</f>
        <v>16 HUFF RD  </v>
      </c>
      <c r="C7450" s="3" t="str">
        <f>IFERROR(__xludf.DUMMYFUNCTION("""COMPUTED_VALUE"""),"BRIGHTON")</f>
        <v>BRIGHTON</v>
      </c>
      <c r="D7450" s="3" t="str">
        <f>IFERROR(__xludf.DUMMYFUNCTION("""COMPUTED_VALUE"""),"K0K 1H0")</f>
        <v>K0K 1H0</v>
      </c>
      <c r="E7450" s="3" t="str">
        <f>IFERROR(__xludf.DUMMYFUNCTION("""COMPUTED_VALUE"""),"
Douglas &amp; Heather MacKeen
")</f>
        <v>
Douglas &amp; Heather MacKeen
</v>
      </c>
      <c r="F7450" s="3" t="str">
        <f>IFERROR(__xludf.DUMMYFUNCTION("""COMPUTED_VALUE"""),"dhmackeen@hotmail.com")</f>
        <v>dhmackeen@hotmail.com</v>
      </c>
      <c r="G7450" s="3"/>
      <c r="H7450" s="3"/>
    </row>
    <row r="7451">
      <c r="A7451" s="2">
        <f>IFERROR(__xludf.DUMMYFUNCTION("""COMPUTED_VALUE"""),91280.0)</f>
        <v>91280</v>
      </c>
      <c r="B7451" s="3" t="str">
        <f>IFERROR(__xludf.DUMMYFUNCTION("""COMPUTED_VALUE"""),"85 HUFF RD  ")</f>
        <v>85 HUFF RD  </v>
      </c>
      <c r="C7451" s="3" t="str">
        <f>IFERROR(__xludf.DUMMYFUNCTION("""COMPUTED_VALUE"""),"BRIGHTON")</f>
        <v>BRIGHTON</v>
      </c>
      <c r="D7451" s="3" t="str">
        <f>IFERROR(__xludf.DUMMYFUNCTION("""COMPUTED_VALUE"""),"K0K 1H0")</f>
        <v>K0K 1H0</v>
      </c>
      <c r="E7451" s="3" t="str">
        <f>IFERROR(__xludf.DUMMYFUNCTION("""COMPUTED_VALUE"""),"Pam Pettigrew")</f>
        <v>Pam Pettigrew</v>
      </c>
      <c r="F7451" s="3" t="str">
        <f>IFERROR(__xludf.DUMMYFUNCTION("""COMPUTED_VALUE"""),"pamster42@live.ca")</f>
        <v>pamster42@live.ca</v>
      </c>
      <c r="G7451" s="3"/>
      <c r="H7451" s="3"/>
    </row>
    <row r="7452">
      <c r="A7452" s="2">
        <f>IFERROR(__xludf.DUMMYFUNCTION("""COMPUTED_VALUE"""),91274.0)</f>
        <v>91274</v>
      </c>
      <c r="B7452" s="3" t="str">
        <f>IFERROR(__xludf.DUMMYFUNCTION("""COMPUTED_VALUE"""),"33 HUFF RD  ")</f>
        <v>33 HUFF RD  </v>
      </c>
      <c r="C7452" s="3" t="str">
        <f>IFERROR(__xludf.DUMMYFUNCTION("""COMPUTED_VALUE"""),"BRIGHTON")</f>
        <v>BRIGHTON</v>
      </c>
      <c r="D7452" s="3" t="str">
        <f>IFERROR(__xludf.DUMMYFUNCTION("""COMPUTED_VALUE"""),"K0K 1H0")</f>
        <v>K0K 1H0</v>
      </c>
      <c r="E7452" s="3" t="str">
        <f>IFERROR(__xludf.DUMMYFUNCTION("""COMPUTED_VALUE"""),"Matthew Cole")</f>
        <v>Matthew Cole</v>
      </c>
      <c r="F7452" s="3" t="str">
        <f>IFERROR(__xludf.DUMMYFUNCTION("""COMPUTED_VALUE"""),"matthewtylercole@hotmail.com")</f>
        <v>matthewtylercole@hotmail.com</v>
      </c>
      <c r="G7452" s="3">
        <f>IFERROR(__xludf.DUMMYFUNCTION("""COMPUTED_VALUE"""),6.132430678E9)</f>
        <v>6132430678</v>
      </c>
      <c r="H7452" s="3"/>
    </row>
    <row r="7453">
      <c r="A7453" s="2">
        <f>IFERROR(__xludf.DUMMYFUNCTION("""COMPUTED_VALUE"""),91281.0)</f>
        <v>91281</v>
      </c>
      <c r="B7453" s="3" t="str">
        <f>IFERROR(__xludf.DUMMYFUNCTION("""COMPUTED_VALUE"""),"263 HUFF RD  ")</f>
        <v>263 HUFF RD  </v>
      </c>
      <c r="C7453" s="3" t="str">
        <f>IFERROR(__xludf.DUMMYFUNCTION("""COMPUTED_VALUE"""),"BRIGHTON")</f>
        <v>BRIGHTON</v>
      </c>
      <c r="D7453" s="3" t="str">
        <f>IFERROR(__xludf.DUMMYFUNCTION("""COMPUTED_VALUE"""),"K0K 1H0")</f>
        <v>K0K 1H0</v>
      </c>
      <c r="E7453" s="3"/>
      <c r="F7453" s="3"/>
      <c r="G7453" s="3"/>
      <c r="H7453" s="3"/>
    </row>
    <row r="7454">
      <c r="A7454" s="2">
        <f>IFERROR(__xludf.DUMMYFUNCTION("""COMPUTED_VALUE"""),91283.0)</f>
        <v>91283</v>
      </c>
      <c r="B7454" s="3" t="str">
        <f>IFERROR(__xludf.DUMMYFUNCTION("""COMPUTED_VALUE"""),"357 HUFF RD")</f>
        <v>357 HUFF RD</v>
      </c>
      <c r="C7454" s="3" t="str">
        <f>IFERROR(__xludf.DUMMYFUNCTION("""COMPUTED_VALUE"""),"BRIGHTON")</f>
        <v>BRIGHTON</v>
      </c>
      <c r="D7454" s="3" t="str">
        <f>IFERROR(__xludf.DUMMYFUNCTION("""COMPUTED_VALUE"""),"K0K 1H0")</f>
        <v>K0K 1H0</v>
      </c>
      <c r="E7454" s="3"/>
      <c r="F7454" s="3"/>
      <c r="G7454" s="3"/>
      <c r="H7454" s="3"/>
    </row>
    <row r="7455">
      <c r="A7455" s="2">
        <f>IFERROR(__xludf.DUMMYFUNCTION("""COMPUTED_VALUE"""),91282.0)</f>
        <v>91282</v>
      </c>
      <c r="B7455" s="3" t="str">
        <f>IFERROR(__xludf.DUMMYFUNCTION("""COMPUTED_VALUE"""),"315 HUFF RD  ")</f>
        <v>315 HUFF RD  </v>
      </c>
      <c r="C7455" s="3" t="str">
        <f>IFERROR(__xludf.DUMMYFUNCTION("""COMPUTED_VALUE"""),"BRIGHTON")</f>
        <v>BRIGHTON</v>
      </c>
      <c r="D7455" s="3" t="str">
        <f>IFERROR(__xludf.DUMMYFUNCTION("""COMPUTED_VALUE"""),"K0K 1H0")</f>
        <v>K0K 1H0</v>
      </c>
      <c r="E7455" s="3"/>
      <c r="F7455" s="3"/>
      <c r="G7455" s="3"/>
      <c r="H7455" s="3"/>
    </row>
    <row r="7456">
      <c r="A7456" s="2">
        <f>IFERROR(__xludf.DUMMYFUNCTION("""COMPUTED_VALUE"""),91305.0)</f>
        <v>91305</v>
      </c>
      <c r="B7456" s="3" t="str">
        <f>IFERROR(__xludf.DUMMYFUNCTION("""COMPUTED_VALUE"""),"184 HUNT RD  ")</f>
        <v>184 HUNT RD  </v>
      </c>
      <c r="C7456" s="3" t="str">
        <f>IFERROR(__xludf.DUMMYFUNCTION("""COMPUTED_VALUE"""),"BRIGHTON")</f>
        <v>BRIGHTON</v>
      </c>
      <c r="D7456" s="3" t="str">
        <f>IFERROR(__xludf.DUMMYFUNCTION("""COMPUTED_VALUE"""),"K0K 1H0")</f>
        <v>K0K 1H0</v>
      </c>
      <c r="E7456" s="3"/>
      <c r="F7456" s="3"/>
      <c r="G7456" s="3"/>
      <c r="H7456" s="3"/>
    </row>
    <row r="7457">
      <c r="A7457" s="2">
        <f>IFERROR(__xludf.DUMMYFUNCTION("""COMPUTED_VALUE"""),91306.0)</f>
        <v>91306</v>
      </c>
      <c r="B7457" s="3" t="str">
        <f>IFERROR(__xludf.DUMMYFUNCTION("""COMPUTED_VALUE"""),"185 HUNT RD  ")</f>
        <v>185 HUNT RD  </v>
      </c>
      <c r="C7457" s="3" t="str">
        <f>IFERROR(__xludf.DUMMYFUNCTION("""COMPUTED_VALUE"""),"BRIGHTON")</f>
        <v>BRIGHTON</v>
      </c>
      <c r="D7457" s="3" t="str">
        <f>IFERROR(__xludf.DUMMYFUNCTION("""COMPUTED_VALUE"""),"K0K 1H0")</f>
        <v>K0K 1H0</v>
      </c>
      <c r="E7457" s="3"/>
      <c r="F7457" s="3"/>
      <c r="G7457" s="3"/>
      <c r="H7457" s="3"/>
    </row>
    <row r="7458">
      <c r="A7458" s="2">
        <f>IFERROR(__xludf.DUMMYFUNCTION("""COMPUTED_VALUE"""),91310.0)</f>
        <v>91310</v>
      </c>
      <c r="B7458" s="3" t="str">
        <f>IFERROR(__xludf.DUMMYFUNCTION("""COMPUTED_VALUE"""),"119 INDUSTRIAL PARK RD  ")</f>
        <v>119 INDUSTRIAL PARK RD  </v>
      </c>
      <c r="C7458" s="3" t="str">
        <f>IFERROR(__xludf.DUMMYFUNCTION("""COMPUTED_VALUE"""),"COLBORNE")</f>
        <v>COLBORNE</v>
      </c>
      <c r="D7458" s="3" t="str">
        <f>IFERROR(__xludf.DUMMYFUNCTION("""COMPUTED_VALUE"""),"K0K 1S0")</f>
        <v>K0K 1S0</v>
      </c>
      <c r="E7458" s="3" t="str">
        <f>IFERROR(__xludf.DUMMYFUNCTION("""COMPUTED_VALUE"""),"larrys custon trailer mfg inc ")</f>
        <v>larrys custon trailer mfg inc </v>
      </c>
      <c r="F7458" s="3" t="str">
        <f>IFERROR(__xludf.DUMMYFUNCTION("""COMPUTED_VALUE"""),"david@customtrailers.ca")</f>
        <v>david@customtrailers.ca</v>
      </c>
      <c r="G7458" s="3">
        <f>IFERROR(__xludf.DUMMYFUNCTION("""COMPUTED_VALUE"""),9.053555154E9)</f>
        <v>9053555154</v>
      </c>
      <c r="H7458" s="3"/>
    </row>
    <row r="7459">
      <c r="A7459" s="2">
        <f>IFERROR(__xludf.DUMMYFUNCTION("""COMPUTED_VALUE"""),91311.0)</f>
        <v>91311</v>
      </c>
      <c r="B7459" s="3" t="str">
        <f>IFERROR(__xludf.DUMMYFUNCTION("""COMPUTED_VALUE"""),"133 INDUSTRIAL PARK RD")</f>
        <v>133 INDUSTRIAL PARK RD</v>
      </c>
      <c r="C7459" s="3" t="str">
        <f>IFERROR(__xludf.DUMMYFUNCTION("""COMPUTED_VALUE"""),"COLBORNE")</f>
        <v>COLBORNE</v>
      </c>
      <c r="D7459" s="3" t="str">
        <f>IFERROR(__xludf.DUMMYFUNCTION("""COMPUTED_VALUE"""),"K0K 1S0")</f>
        <v>K0K 1S0</v>
      </c>
      <c r="E7459" s="3" t="str">
        <f>IFERROR(__xludf.DUMMYFUNCTION("""COMPUTED_VALUE"""),"larrys custon trailer mfg inc ")</f>
        <v>larrys custon trailer mfg inc </v>
      </c>
      <c r="F7459" s="3" t="str">
        <f>IFERROR(__xludf.DUMMYFUNCTION("""COMPUTED_VALUE"""),"david@customtrailers.ca")</f>
        <v>david@customtrailers.ca</v>
      </c>
      <c r="G7459" s="3">
        <f>IFERROR(__xludf.DUMMYFUNCTION("""COMPUTED_VALUE"""),9.053555154E9)</f>
        <v>9053555154</v>
      </c>
      <c r="H7459" s="3"/>
    </row>
    <row r="7460">
      <c r="A7460" s="2">
        <f>IFERROR(__xludf.DUMMYFUNCTION("""COMPUTED_VALUE"""),91312.0)</f>
        <v>91312</v>
      </c>
      <c r="B7460" s="3" t="str">
        <f>IFERROR(__xludf.DUMMYFUNCTION("""COMPUTED_VALUE"""),"151 INDUSTRIAL PARK RD  ")</f>
        <v>151 INDUSTRIAL PARK RD  </v>
      </c>
      <c r="C7460" s="3" t="str">
        <f>IFERROR(__xludf.DUMMYFUNCTION("""COMPUTED_VALUE"""),"COLBORNE")</f>
        <v>COLBORNE</v>
      </c>
      <c r="D7460" s="3" t="str">
        <f>IFERROR(__xludf.DUMMYFUNCTION("""COMPUTED_VALUE"""),"K0K 1S0")</f>
        <v>K0K 1S0</v>
      </c>
      <c r="E7460" s="3" t="str">
        <f>IFERROR(__xludf.DUMMYFUNCTION("""COMPUTED_VALUE"""),"nick hunter ")</f>
        <v>nick hunter </v>
      </c>
      <c r="F7460" s="3" t="str">
        <f>IFERROR(__xludf.DUMMYFUNCTION("""COMPUTED_VALUE"""),"nhunter@lakeportpower.com")</f>
        <v>nhunter@lakeportpower.com</v>
      </c>
      <c r="G7460" s="3">
        <f>IFERROR(__xludf.DUMMYFUNCTION("""COMPUTED_VALUE"""),9.052699784E9)</f>
        <v>9052699784</v>
      </c>
      <c r="H7460" s="3">
        <f>IFERROR(__xludf.DUMMYFUNCTION("""COMPUTED_VALUE"""),9.053553281E9)</f>
        <v>9053553281</v>
      </c>
    </row>
    <row r="7461">
      <c r="A7461" s="2">
        <f>IFERROR(__xludf.DUMMYFUNCTION("""COMPUTED_VALUE"""),91313.0)</f>
        <v>91313</v>
      </c>
      <c r="B7461" s="3" t="str">
        <f>IFERROR(__xludf.DUMMYFUNCTION("""COMPUTED_VALUE"""),"169 INDUSTRIAL PARK RD  ")</f>
        <v>169 INDUSTRIAL PARK RD  </v>
      </c>
      <c r="C7461" s="3" t="str">
        <f>IFERROR(__xludf.DUMMYFUNCTION("""COMPUTED_VALUE"""),"COLBORNE")</f>
        <v>COLBORNE</v>
      </c>
      <c r="D7461" s="3" t="str">
        <f>IFERROR(__xludf.DUMMYFUNCTION("""COMPUTED_VALUE"""),"K0K 1S0")</f>
        <v>K0K 1S0</v>
      </c>
      <c r="E7461" s="3" t="str">
        <f>IFERROR(__xludf.DUMMYFUNCTION("""COMPUTED_VALUE"""),"lake port power ltd")</f>
        <v>lake port power ltd</v>
      </c>
      <c r="F7461" s="3" t="str">
        <f>IFERROR(__xludf.DUMMYFUNCTION("""COMPUTED_VALUE"""),"nhunter@lakeportpower.com")</f>
        <v>nhunter@lakeportpower.com</v>
      </c>
      <c r="G7461" s="3"/>
      <c r="H7461" s="3">
        <f>IFERROR(__xludf.DUMMYFUNCTION("""COMPUTED_VALUE"""),9.0522699784E10)</f>
        <v>90522699784</v>
      </c>
    </row>
    <row r="7462">
      <c r="A7462" s="2">
        <f>IFERROR(__xludf.DUMMYFUNCTION("""COMPUTED_VALUE"""),91314.0)</f>
        <v>91314</v>
      </c>
      <c r="B7462" s="3" t="str">
        <f>IFERROR(__xludf.DUMMYFUNCTION("""COMPUTED_VALUE"""),"172 INDUSTRIAL PARK RD  ")</f>
        <v>172 INDUSTRIAL PARK RD  </v>
      </c>
      <c r="C7462" s="3" t="str">
        <f>IFERROR(__xludf.DUMMYFUNCTION("""COMPUTED_VALUE"""),"COLBORNE")</f>
        <v>COLBORNE</v>
      </c>
      <c r="D7462" s="3" t="str">
        <f>IFERROR(__xludf.DUMMYFUNCTION("""COMPUTED_VALUE"""),"K0K 1S0")</f>
        <v>K0K 1S0</v>
      </c>
      <c r="E7462" s="3"/>
      <c r="F7462" s="3"/>
      <c r="G7462" s="3"/>
      <c r="H7462" s="3"/>
    </row>
    <row r="7463">
      <c r="A7463" s="2">
        <f>IFERROR(__xludf.DUMMYFUNCTION("""COMPUTED_VALUE"""),91315.0)</f>
        <v>91315</v>
      </c>
      <c r="B7463" s="3" t="str">
        <f>IFERROR(__xludf.DUMMYFUNCTION("""COMPUTED_VALUE"""),"203 INDUSTRIAL PARK RD  ")</f>
        <v>203 INDUSTRIAL PARK RD  </v>
      </c>
      <c r="C7463" s="3" t="str">
        <f>IFERROR(__xludf.DUMMYFUNCTION("""COMPUTED_VALUE"""),"COLBORNE")</f>
        <v>COLBORNE</v>
      </c>
      <c r="D7463" s="3" t="str">
        <f>IFERROR(__xludf.DUMMYFUNCTION("""COMPUTED_VALUE"""),"K0K 1S0")</f>
        <v>K0K 1S0</v>
      </c>
      <c r="E7463" s="3"/>
      <c r="F7463" s="3"/>
      <c r="G7463" s="3"/>
      <c r="H7463" s="3"/>
    </row>
    <row r="7464">
      <c r="A7464" s="2">
        <f>IFERROR(__xludf.DUMMYFUNCTION("""COMPUTED_VALUE"""),91316.0)</f>
        <v>91316</v>
      </c>
      <c r="B7464" s="3" t="str">
        <f>IFERROR(__xludf.DUMMYFUNCTION("""COMPUTED_VALUE"""),"221 INDUSTRIAL PARK RD  ")</f>
        <v>221 INDUSTRIAL PARK RD  </v>
      </c>
      <c r="C7464" s="3" t="str">
        <f>IFERROR(__xludf.DUMMYFUNCTION("""COMPUTED_VALUE"""),"COLBORNE")</f>
        <v>COLBORNE</v>
      </c>
      <c r="D7464" s="3" t="str">
        <f>IFERROR(__xludf.DUMMYFUNCTION("""COMPUTED_VALUE"""),"K0K 1S0")</f>
        <v>K0K 1S0</v>
      </c>
      <c r="E7464" s="3"/>
      <c r="F7464" s="3"/>
      <c r="G7464" s="3"/>
      <c r="H7464" s="3"/>
    </row>
    <row r="7465">
      <c r="A7465" s="2">
        <f>IFERROR(__xludf.DUMMYFUNCTION("""COMPUTED_VALUE"""),91317.0)</f>
        <v>91317</v>
      </c>
      <c r="B7465" s="3" t="str">
        <f>IFERROR(__xludf.DUMMYFUNCTION("""COMPUTED_VALUE"""),"236 INDUSTRIAL PARK RD  ")</f>
        <v>236 INDUSTRIAL PARK RD  </v>
      </c>
      <c r="C7465" s="3" t="str">
        <f>IFERROR(__xludf.DUMMYFUNCTION("""COMPUTED_VALUE"""),"COLBORNE")</f>
        <v>COLBORNE</v>
      </c>
      <c r="D7465" s="3" t="str">
        <f>IFERROR(__xludf.DUMMYFUNCTION("""COMPUTED_VALUE"""),"K0K 1S0")</f>
        <v>K0K 1S0</v>
      </c>
      <c r="E7465" s="3" t="str">
        <f>IFERROR(__xludf.DUMMYFUNCTION("""COMPUTED_VALUE"""),"CHRIS")</f>
        <v>CHRIS</v>
      </c>
      <c r="F7465" s="3" t="str">
        <f>IFERROR(__xludf.DUMMYFUNCTION("""COMPUTED_VALUE"""),"Chris@superiorflex.com")</f>
        <v>Chris@superiorflex.com</v>
      </c>
      <c r="G7465" s="3">
        <f>IFERROR(__xludf.DUMMYFUNCTION("""COMPUTED_VALUE"""),8.005614216E9)</f>
        <v>8005614216</v>
      </c>
      <c r="H7465" s="3">
        <f>IFERROR(__xludf.DUMMYFUNCTION("""COMPUTED_VALUE"""),9.053552959E9)</f>
        <v>9053552959</v>
      </c>
    </row>
    <row r="7466">
      <c r="A7466" s="2">
        <f>IFERROR(__xludf.DUMMYFUNCTION("""COMPUTED_VALUE"""),91318.0)</f>
        <v>91318</v>
      </c>
      <c r="B7466" s="3" t="str">
        <f>IFERROR(__xludf.DUMMYFUNCTION("""COMPUTED_VALUE"""),"237 INDUSTRIAL PARK RD  ")</f>
        <v>237 INDUSTRIAL PARK RD  </v>
      </c>
      <c r="C7466" s="3" t="str">
        <f>IFERROR(__xludf.DUMMYFUNCTION("""COMPUTED_VALUE"""),"COLBORNE")</f>
        <v>COLBORNE</v>
      </c>
      <c r="D7466" s="3" t="str">
        <f>IFERROR(__xludf.DUMMYFUNCTION("""COMPUTED_VALUE"""),"K0K 1S0")</f>
        <v>K0K 1S0</v>
      </c>
      <c r="E7466" s="3" t="str">
        <f>IFERROR(__xludf.DUMMYFUNCTION("""COMPUTED_VALUE"""),"tim loader ")</f>
        <v>tim loader </v>
      </c>
      <c r="F7466" s="3" t="str">
        <f>IFERROR(__xludf.DUMMYFUNCTION("""COMPUTED_VALUE"""),"timsauto71@gmail.com")</f>
        <v>timsauto71@gmail.com</v>
      </c>
      <c r="G7466" s="3">
        <f>IFERROR(__xludf.DUMMYFUNCTION("""COMPUTED_VALUE"""),9.053553388E9)</f>
        <v>9053553388</v>
      </c>
      <c r="H7466" s="3">
        <f>IFERROR(__xludf.DUMMYFUNCTION("""COMPUTED_VALUE"""),9.053768398E9)</f>
        <v>9053768398</v>
      </c>
    </row>
    <row r="7467">
      <c r="A7467" s="2">
        <f>IFERROR(__xludf.DUMMYFUNCTION("""COMPUTED_VALUE"""),91319.0)</f>
        <v>91319</v>
      </c>
      <c r="B7467" s="3" t="str">
        <f>IFERROR(__xludf.DUMMYFUNCTION("""COMPUTED_VALUE"""),"243 INDUSTRIAL PARK RD  ")</f>
        <v>243 INDUSTRIAL PARK RD  </v>
      </c>
      <c r="C7467" s="3" t="str">
        <f>IFERROR(__xludf.DUMMYFUNCTION("""COMPUTED_VALUE"""),"COLBORNE")</f>
        <v>COLBORNE</v>
      </c>
      <c r="D7467" s="3" t="str">
        <f>IFERROR(__xludf.DUMMYFUNCTION("""COMPUTED_VALUE"""),"K0K 1S0")</f>
        <v>K0K 1S0</v>
      </c>
      <c r="E7467" s="3"/>
      <c r="F7467" s="3"/>
      <c r="G7467" s="3"/>
      <c r="H7467" s="3"/>
    </row>
    <row r="7468">
      <c r="A7468" s="2">
        <f>IFERROR(__xludf.DUMMYFUNCTION("""COMPUTED_VALUE"""),91320.0)</f>
        <v>91320</v>
      </c>
      <c r="B7468" s="3" t="str">
        <f>IFERROR(__xludf.DUMMYFUNCTION("""COMPUTED_VALUE"""),"253 INDUSTRIAL PARK RD  ")</f>
        <v>253 INDUSTRIAL PARK RD  </v>
      </c>
      <c r="C7468" s="3" t="str">
        <f>IFERROR(__xludf.DUMMYFUNCTION("""COMPUTED_VALUE"""),"COLBORNE")</f>
        <v>COLBORNE</v>
      </c>
      <c r="D7468" s="3" t="str">
        <f>IFERROR(__xludf.DUMMYFUNCTION("""COMPUTED_VALUE"""),"K0K 1S0")</f>
        <v>K0K 1S0</v>
      </c>
      <c r="E7468" s="3" t="str">
        <f>IFERROR(__xludf.DUMMYFUNCTION("""COMPUTED_VALUE"""),"kurt mayland")</f>
        <v>kurt mayland</v>
      </c>
      <c r="F7468" s="3" t="str">
        <f>IFERROR(__xludf.DUMMYFUNCTION("""COMPUTED_VALUE"""),"uppercanadasteel@gmail.com")</f>
        <v>uppercanadasteel@gmail.com</v>
      </c>
      <c r="G7468" s="3">
        <f>IFERROR(__xludf.DUMMYFUNCTION("""COMPUTED_VALUE"""),9.053551494E9)</f>
        <v>9053551494</v>
      </c>
      <c r="H7468" s="3"/>
    </row>
    <row r="7469">
      <c r="A7469" s="2">
        <f>IFERROR(__xludf.DUMMYFUNCTION("""COMPUTED_VALUE"""),91328.0)</f>
        <v>91328</v>
      </c>
      <c r="B7469" s="3" t="str">
        <f>IFERROR(__xludf.DUMMYFUNCTION("""COMPUTED_VALUE"""),"127 JACKSON DR  ")</f>
        <v>127 JACKSON DR  </v>
      </c>
      <c r="C7469" s="3" t="str">
        <f>IFERROR(__xludf.DUMMYFUNCTION("""COMPUTED_VALUE"""),"COLBORNE")</f>
        <v>COLBORNE</v>
      </c>
      <c r="D7469" s="3" t="str">
        <f>IFERROR(__xludf.DUMMYFUNCTION("""COMPUTED_VALUE"""),"K0K 1S0")</f>
        <v>K0K 1S0</v>
      </c>
      <c r="E7469" s="3" t="str">
        <f>IFERROR(__xludf.DUMMYFUNCTION("""COMPUTED_VALUE"""),"rob pasternak")</f>
        <v>rob pasternak</v>
      </c>
      <c r="F7469" s="3" t="str">
        <f>IFERROR(__xludf.DUMMYFUNCTION("""COMPUTED_VALUE"""),"robpasternak87@gmail.com")</f>
        <v>robpasternak87@gmail.com</v>
      </c>
      <c r="G7469" s="3">
        <f>IFERROR(__xludf.DUMMYFUNCTION("""COMPUTED_VALUE"""),9.054498118E9)</f>
        <v>9054498118</v>
      </c>
      <c r="H7469" s="3"/>
    </row>
    <row r="7470">
      <c r="A7470" s="2">
        <f>IFERROR(__xludf.DUMMYFUNCTION("""COMPUTED_VALUE"""),91329.0)</f>
        <v>91329</v>
      </c>
      <c r="B7470" s="3" t="str">
        <f>IFERROR(__xludf.DUMMYFUNCTION("""COMPUTED_VALUE"""),"135 JACKSON DR  ")</f>
        <v>135 JACKSON DR  </v>
      </c>
      <c r="C7470" s="3" t="str">
        <f>IFERROR(__xludf.DUMMYFUNCTION("""COMPUTED_VALUE"""),"COLBORNE")</f>
        <v>COLBORNE</v>
      </c>
      <c r="D7470" s="3" t="str">
        <f>IFERROR(__xludf.DUMMYFUNCTION("""COMPUTED_VALUE"""),"K0K 1S0")</f>
        <v>K0K 1S0</v>
      </c>
      <c r="E7470" s="3"/>
      <c r="F7470" s="3"/>
      <c r="G7470" s="3"/>
      <c r="H7470" s="3"/>
    </row>
    <row r="7471">
      <c r="A7471" s="2">
        <f>IFERROR(__xludf.DUMMYFUNCTION("""COMPUTED_VALUE"""),91330.0)</f>
        <v>91330</v>
      </c>
      <c r="B7471" s="3" t="str">
        <f>IFERROR(__xludf.DUMMYFUNCTION("""COMPUTED_VALUE"""),"139 JACKSON DR  ")</f>
        <v>139 JACKSON DR  </v>
      </c>
      <c r="C7471" s="3" t="str">
        <f>IFERROR(__xludf.DUMMYFUNCTION("""COMPUTED_VALUE"""),"COLBORNE")</f>
        <v>COLBORNE</v>
      </c>
      <c r="D7471" s="3" t="str">
        <f>IFERROR(__xludf.DUMMYFUNCTION("""COMPUTED_VALUE"""),"K0K 1S0")</f>
        <v>K0K 1S0</v>
      </c>
      <c r="E7471" s="3" t="str">
        <f>IFERROR(__xludf.DUMMYFUNCTION("""COMPUTED_VALUE"""),"fiona carroll")</f>
        <v>fiona carroll</v>
      </c>
      <c r="F7471" s="3" t="str">
        <f>IFERROR(__xludf.DUMMYFUNCTION("""COMPUTED_VALUE"""),"carroll.fiona@gmail.com")</f>
        <v>carroll.fiona@gmail.com</v>
      </c>
      <c r="G7471" s="3">
        <f>IFERROR(__xludf.DUMMYFUNCTION("""COMPUTED_VALUE"""),2.896852574E9)</f>
        <v>2896852574</v>
      </c>
      <c r="H7471" s="3">
        <f>IFERROR(__xludf.DUMMYFUNCTION("""COMPUTED_VALUE"""),9.052695419E9)</f>
        <v>9052695419</v>
      </c>
    </row>
    <row r="7472">
      <c r="A7472" s="2">
        <f>IFERROR(__xludf.DUMMYFUNCTION("""COMPUTED_VALUE"""),91331.0)</f>
        <v>91331</v>
      </c>
      <c r="B7472" s="3" t="str">
        <f>IFERROR(__xludf.DUMMYFUNCTION("""COMPUTED_VALUE"""),"143 JACKSON DR  ")</f>
        <v>143 JACKSON DR  </v>
      </c>
      <c r="C7472" s="3" t="str">
        <f>IFERROR(__xludf.DUMMYFUNCTION("""COMPUTED_VALUE"""),"COLBORNE")</f>
        <v>COLBORNE</v>
      </c>
      <c r="D7472" s="3" t="str">
        <f>IFERROR(__xludf.DUMMYFUNCTION("""COMPUTED_VALUE"""),"K0K 1S0")</f>
        <v>K0K 1S0</v>
      </c>
      <c r="E7472" s="3" t="str">
        <f>IFERROR(__xludf.DUMMYFUNCTION("""COMPUTED_VALUE"""),"tammy turney ")</f>
        <v>tammy turney </v>
      </c>
      <c r="F7472" s="3" t="str">
        <f>IFERROR(__xludf.DUMMYFUNCTION("""COMPUTED_VALUE"""),"dispatch@mini-crete.ca")</f>
        <v>dispatch@mini-crete.ca</v>
      </c>
      <c r="G7472" s="3">
        <f>IFERROR(__xludf.DUMMYFUNCTION("""COMPUTED_VALUE"""),9.053551473E9)</f>
        <v>9053551473</v>
      </c>
      <c r="H7472" s="3"/>
    </row>
    <row r="7473">
      <c r="A7473" s="2">
        <f>IFERROR(__xludf.DUMMYFUNCTION("""COMPUTED_VALUE"""),91332.0)</f>
        <v>91332</v>
      </c>
      <c r="B7473" s="3" t="str">
        <f>IFERROR(__xludf.DUMMYFUNCTION("""COMPUTED_VALUE"""),"179 JACKSON DR  ")</f>
        <v>179 JACKSON DR  </v>
      </c>
      <c r="C7473" s="3" t="str">
        <f>IFERROR(__xludf.DUMMYFUNCTION("""COMPUTED_VALUE"""),"COLBORNE")</f>
        <v>COLBORNE</v>
      </c>
      <c r="D7473" s="3" t="str">
        <f>IFERROR(__xludf.DUMMYFUNCTION("""COMPUTED_VALUE"""),"K0K 1S0")</f>
        <v>K0K 1S0</v>
      </c>
      <c r="E7473" s="3" t="str">
        <f>IFERROR(__xludf.DUMMYFUNCTION("""COMPUTED_VALUE"""),"RYAN GRONKE")</f>
        <v>RYAN GRONKE</v>
      </c>
      <c r="F7473" s="3" t="str">
        <f>IFERROR(__xludf.DUMMYFUNCTION("""COMPUTED_VALUE"""),"ryangron@gmail.com")</f>
        <v>ryangron@gmail.com</v>
      </c>
      <c r="G7473" s="3"/>
      <c r="H7473" s="3"/>
    </row>
    <row r="7474">
      <c r="A7474" s="2">
        <f>IFERROR(__xludf.DUMMYFUNCTION("""COMPUTED_VALUE"""),91333.0)</f>
        <v>91333</v>
      </c>
      <c r="B7474" s="3" t="str">
        <f>IFERROR(__xludf.DUMMYFUNCTION("""COMPUTED_VALUE"""),"187 JACKSON DR  ")</f>
        <v>187 JACKSON DR  </v>
      </c>
      <c r="C7474" s="3" t="str">
        <f>IFERROR(__xludf.DUMMYFUNCTION("""COMPUTED_VALUE"""),"COLBORNE")</f>
        <v>COLBORNE</v>
      </c>
      <c r="D7474" s="3" t="str">
        <f>IFERROR(__xludf.DUMMYFUNCTION("""COMPUTED_VALUE"""),"K0K 1S0")</f>
        <v>K0K 1S0</v>
      </c>
      <c r="E7474" s="3" t="str">
        <f>IFERROR(__xludf.DUMMYFUNCTION("""COMPUTED_VALUE"""),"john paul clost ")</f>
        <v>john paul clost </v>
      </c>
      <c r="F7474" s="3" t="str">
        <f>IFERROR(__xludf.DUMMYFUNCTION("""COMPUTED_VALUE"""),"jpclost25@hotmail.com")</f>
        <v>jpclost25@hotmail.com</v>
      </c>
      <c r="G7474" s="3">
        <f>IFERROR(__xludf.DUMMYFUNCTION("""COMPUTED_VALUE"""),6.137432721E9)</f>
        <v>6137432721</v>
      </c>
      <c r="H7474" s="3"/>
    </row>
    <row r="7475">
      <c r="A7475" s="2">
        <f>IFERROR(__xludf.DUMMYFUNCTION("""COMPUTED_VALUE"""),91334.0)</f>
        <v>91334</v>
      </c>
      <c r="B7475" s="3" t="str">
        <f>IFERROR(__xludf.DUMMYFUNCTION("""COMPUTED_VALUE"""),"209 JACKSON DR  ")</f>
        <v>209 JACKSON DR  </v>
      </c>
      <c r="C7475" s="3" t="str">
        <f>IFERROR(__xludf.DUMMYFUNCTION("""COMPUTED_VALUE"""),"COLBORNE")</f>
        <v>COLBORNE</v>
      </c>
      <c r="D7475" s="3" t="str">
        <f>IFERROR(__xludf.DUMMYFUNCTION("""COMPUTED_VALUE"""),"K0K 1S0")</f>
        <v>K0K 1S0</v>
      </c>
      <c r="E7475" s="3" t="str">
        <f>IFERROR(__xludf.DUMMYFUNCTION("""COMPUTED_VALUE"""),"j.r. warren")</f>
        <v>j.r. warren</v>
      </c>
      <c r="F7475" s="3" t="str">
        <f>IFERROR(__xludf.DUMMYFUNCTION("""COMPUTED_VALUE"""),"regwarren@hotmail.com")</f>
        <v>regwarren@hotmail.com</v>
      </c>
      <c r="G7475" s="3">
        <f>IFERROR(__xludf.DUMMYFUNCTION("""COMPUTED_VALUE"""),9.053551927E9)</f>
        <v>9053551927</v>
      </c>
      <c r="H7475" s="3"/>
    </row>
    <row r="7476">
      <c r="A7476" s="2">
        <f>IFERROR(__xludf.DUMMYFUNCTION("""COMPUTED_VALUE"""),91336.0)</f>
        <v>91336</v>
      </c>
      <c r="B7476" s="3" t="str">
        <f>IFERROR(__xludf.DUMMYFUNCTION("""COMPUTED_VALUE"""),"247 JACKSON DR  ")</f>
        <v>247 JACKSON DR  </v>
      </c>
      <c r="C7476" s="3" t="str">
        <f>IFERROR(__xludf.DUMMYFUNCTION("""COMPUTED_VALUE"""),"COLBORNE")</f>
        <v>COLBORNE</v>
      </c>
      <c r="D7476" s="3" t="str">
        <f>IFERROR(__xludf.DUMMYFUNCTION("""COMPUTED_VALUE"""),"K0K 1S0")</f>
        <v>K0K 1S0</v>
      </c>
      <c r="E7476" s="3" t="str">
        <f>IFERROR(__xludf.DUMMYFUNCTION("""COMPUTED_VALUE"""),"lorne barker ")</f>
        <v>lorne barker </v>
      </c>
      <c r="F7476" s="3" t="str">
        <f>IFERROR(__xludf.DUMMYFUNCTION("""COMPUTED_VALUE"""),"lornebarker@gmail.com")</f>
        <v>lornebarker@gmail.com</v>
      </c>
      <c r="G7476" s="3">
        <f>IFERROR(__xludf.DUMMYFUNCTION("""COMPUTED_VALUE"""),9.05355599E9)</f>
        <v>9053555990</v>
      </c>
      <c r="H7476" s="3"/>
    </row>
    <row r="7477">
      <c r="A7477" s="2">
        <f>IFERROR(__xludf.DUMMYFUNCTION("""COMPUTED_VALUE"""),91337.0)</f>
        <v>91337</v>
      </c>
      <c r="B7477" s="3" t="str">
        <f>IFERROR(__xludf.DUMMYFUNCTION("""COMPUTED_VALUE"""),"257 JACKSON DR  ")</f>
        <v>257 JACKSON DR  </v>
      </c>
      <c r="C7477" s="3" t="str">
        <f>IFERROR(__xludf.DUMMYFUNCTION("""COMPUTED_VALUE"""),"COLBORNE")</f>
        <v>COLBORNE</v>
      </c>
      <c r="D7477" s="3" t="str">
        <f>IFERROR(__xludf.DUMMYFUNCTION("""COMPUTED_VALUE"""),"K0K 1S0")</f>
        <v>K0K 1S0</v>
      </c>
      <c r="E7477" s="3" t="str">
        <f>IFERROR(__xludf.DUMMYFUNCTION("""COMPUTED_VALUE"""),"bibi carlsen")</f>
        <v>bibi carlsen</v>
      </c>
      <c r="F7477" s="3" t="str">
        <f>IFERROR(__xludf.DUMMYFUNCTION("""COMPUTED_VALUE"""),"bibicarlsen1@gmail.com")</f>
        <v>bibicarlsen1@gmail.com</v>
      </c>
      <c r="G7477" s="3">
        <f>IFERROR(__xludf.DUMMYFUNCTION("""COMPUTED_VALUE"""),2.897711894E9)</f>
        <v>2897711894</v>
      </c>
      <c r="H7477" s="3">
        <f>IFERROR(__xludf.DUMMYFUNCTION("""COMPUTED_VALUE"""),9.053553278E9)</f>
        <v>9053553278</v>
      </c>
    </row>
    <row r="7478">
      <c r="A7478" s="2">
        <f>IFERROR(__xludf.DUMMYFUNCTION("""COMPUTED_VALUE"""),91338.0)</f>
        <v>91338</v>
      </c>
      <c r="B7478" s="3" t="str">
        <f>IFERROR(__xludf.DUMMYFUNCTION("""COMPUTED_VALUE"""),"291 JACKSON DR  ")</f>
        <v>291 JACKSON DR  </v>
      </c>
      <c r="C7478" s="3" t="str">
        <f>IFERROR(__xludf.DUMMYFUNCTION("""COMPUTED_VALUE"""),"COLBORNE")</f>
        <v>COLBORNE</v>
      </c>
      <c r="D7478" s="3" t="str">
        <f>IFERROR(__xludf.DUMMYFUNCTION("""COMPUTED_VALUE"""),"K0K 1S0")</f>
        <v>K0K 1S0</v>
      </c>
      <c r="E7478" s="3"/>
      <c r="F7478" s="3"/>
      <c r="G7478" s="3"/>
      <c r="H7478" s="3"/>
    </row>
    <row r="7479">
      <c r="A7479" s="2">
        <f>IFERROR(__xludf.DUMMYFUNCTION("""COMPUTED_VALUE"""),91339.0)</f>
        <v>91339</v>
      </c>
      <c r="B7479" s="3" t="str">
        <f>IFERROR(__xludf.DUMMYFUNCTION("""COMPUTED_VALUE"""),"302 JACKSON DR  ")</f>
        <v>302 JACKSON DR  </v>
      </c>
      <c r="C7479" s="3" t="str">
        <f>IFERROR(__xludf.DUMMYFUNCTION("""COMPUTED_VALUE"""),"COLBORNE")</f>
        <v>COLBORNE</v>
      </c>
      <c r="D7479" s="3" t="str">
        <f>IFERROR(__xludf.DUMMYFUNCTION("""COMPUTED_VALUE"""),"K0K 1S0")</f>
        <v>K0K 1S0</v>
      </c>
      <c r="E7479" s="3"/>
      <c r="F7479" s="3"/>
      <c r="G7479" s="3"/>
      <c r="H7479" s="3"/>
    </row>
    <row r="7480">
      <c r="A7480" s="2">
        <f>IFERROR(__xludf.DUMMYFUNCTION("""COMPUTED_VALUE"""),91327.0)</f>
        <v>91327</v>
      </c>
      <c r="B7480" s="3" t="str">
        <f>IFERROR(__xludf.DUMMYFUNCTION("""COMPUTED_VALUE"""),"119 JACKSON DR  ")</f>
        <v>119 JACKSON DR  </v>
      </c>
      <c r="C7480" s="3" t="str">
        <f>IFERROR(__xludf.DUMMYFUNCTION("""COMPUTED_VALUE"""),"COLBORNE")</f>
        <v>COLBORNE</v>
      </c>
      <c r="D7480" s="3" t="str">
        <f>IFERROR(__xludf.DUMMYFUNCTION("""COMPUTED_VALUE"""),"K0K 1S0")</f>
        <v>K0K 1S0</v>
      </c>
      <c r="E7480" s="3" t="str">
        <f>IFERROR(__xludf.DUMMYFUNCTION("""COMPUTED_VALUE"""),"Peter Keizer")</f>
        <v>Peter Keizer</v>
      </c>
      <c r="F7480" s="3" t="str">
        <f>IFERROR(__xludf.DUMMYFUNCTION("""COMPUTED_VALUE"""),"peterkeizer1@gmail.com")</f>
        <v>peterkeizer1@gmail.com</v>
      </c>
      <c r="G7480" s="3">
        <f>IFERROR(__xludf.DUMMYFUNCTION("""COMPUTED_VALUE"""),6.138489886E9)</f>
        <v>6138489886</v>
      </c>
      <c r="H7480" s="3"/>
    </row>
    <row r="7481">
      <c r="A7481" s="2">
        <f>IFERROR(__xludf.DUMMYFUNCTION("""COMPUTED_VALUE"""),91335.0)</f>
        <v>91335</v>
      </c>
      <c r="B7481" s="3" t="str">
        <f>IFERROR(__xludf.DUMMYFUNCTION("""COMPUTED_VALUE"""),"241 JACKSON DR  ")</f>
        <v>241 JACKSON DR  </v>
      </c>
      <c r="C7481" s="3" t="str">
        <f>IFERROR(__xludf.DUMMYFUNCTION("""COMPUTED_VALUE"""),"COLBORNE")</f>
        <v>COLBORNE</v>
      </c>
      <c r="D7481" s="3" t="str">
        <f>IFERROR(__xludf.DUMMYFUNCTION("""COMPUTED_VALUE"""),"K0K 1S0")</f>
        <v>K0K 1S0</v>
      </c>
      <c r="E7481" s="3" t="str">
        <f>IFERROR(__xludf.DUMMYFUNCTION("""COMPUTED_VALUE"""),"Darhl MacGarvey")</f>
        <v>Darhl MacGarvey</v>
      </c>
      <c r="F7481" s="3" t="str">
        <f>IFERROR(__xludf.DUMMYFUNCTION("""COMPUTED_VALUE"""),"dgmacg26@gmail.com")</f>
        <v>dgmacg26@gmail.com</v>
      </c>
      <c r="G7481" s="3"/>
      <c r="H7481" s="3"/>
    </row>
    <row r="7482">
      <c r="A7482" s="2">
        <f>IFERROR(__xludf.DUMMYFUNCTION("""COMPUTED_VALUE"""),91369.0)</f>
        <v>91369</v>
      </c>
      <c r="B7482" s="3" t="str">
        <f>IFERROR(__xludf.DUMMYFUNCTION("""COMPUTED_VALUE"""),"25 KELLY LANE  ")</f>
        <v>25 KELLY LANE  </v>
      </c>
      <c r="C7482" s="3" t="str">
        <f>IFERROR(__xludf.DUMMYFUNCTION("""COMPUTED_VALUE"""),"BRIGHTON")</f>
        <v>BRIGHTON</v>
      </c>
      <c r="D7482" s="3" t="str">
        <f>IFERROR(__xludf.DUMMYFUNCTION("""COMPUTED_VALUE"""),"K0K 1H0")</f>
        <v>K0K 1H0</v>
      </c>
      <c r="E7482" s="3" t="str">
        <f>IFERROR(__xludf.DUMMYFUNCTION("""COMPUTED_VALUE"""),"Pamela Bryson-Weaver")</f>
        <v>Pamela Bryson-Weaver</v>
      </c>
      <c r="F7482" s="3" t="str">
        <f>IFERROR(__xludf.DUMMYFUNCTION("""COMPUTED_VALUE"""),"p.brysonweaver@gmail.com")</f>
        <v>p.brysonweaver@gmail.com</v>
      </c>
      <c r="G7482" s="3">
        <f>IFERROR(__xludf.DUMMYFUNCTION("""COMPUTED_VALUE"""),6.134387273E9)</f>
        <v>6134387273</v>
      </c>
      <c r="H7482" s="3"/>
    </row>
    <row r="7483">
      <c r="A7483" s="2">
        <f>IFERROR(__xludf.DUMMYFUNCTION("""COMPUTED_VALUE"""),91370.0)</f>
        <v>91370</v>
      </c>
      <c r="B7483" s="3" t="str">
        <f>IFERROR(__xludf.DUMMYFUNCTION("""COMPUTED_VALUE"""),"35 KELLY LANE  ")</f>
        <v>35 KELLY LANE  </v>
      </c>
      <c r="C7483" s="3" t="str">
        <f>IFERROR(__xludf.DUMMYFUNCTION("""COMPUTED_VALUE"""),"BRIGHTON")</f>
        <v>BRIGHTON</v>
      </c>
      <c r="D7483" s="3" t="str">
        <f>IFERROR(__xludf.DUMMYFUNCTION("""COMPUTED_VALUE"""),"K0K 1H0")</f>
        <v>K0K 1H0</v>
      </c>
      <c r="E7483" s="3"/>
      <c r="F7483" s="3"/>
      <c r="G7483" s="3"/>
      <c r="H7483" s="3"/>
    </row>
    <row r="7484">
      <c r="A7484" s="2">
        <f>IFERROR(__xludf.DUMMYFUNCTION("""COMPUTED_VALUE"""),91366.0)</f>
        <v>91366</v>
      </c>
      <c r="B7484" s="3" t="str">
        <f>IFERROR(__xludf.DUMMYFUNCTION("""COMPUTED_VALUE"""),"10 KELLY LANE  ")</f>
        <v>10 KELLY LANE  </v>
      </c>
      <c r="C7484" s="3" t="str">
        <f>IFERROR(__xludf.DUMMYFUNCTION("""COMPUTED_VALUE"""),"BRIGHTON")</f>
        <v>BRIGHTON</v>
      </c>
      <c r="D7484" s="3" t="str">
        <f>IFERROR(__xludf.DUMMYFUNCTION("""COMPUTED_VALUE"""),"K0K 1H0")</f>
        <v>K0K 1H0</v>
      </c>
      <c r="E7484" s="3"/>
      <c r="F7484" s="3"/>
      <c r="G7484" s="3"/>
      <c r="H7484" s="3"/>
    </row>
    <row r="7485">
      <c r="A7485" s="2">
        <f>IFERROR(__xludf.DUMMYFUNCTION("""COMPUTED_VALUE"""),91368.0)</f>
        <v>91368</v>
      </c>
      <c r="B7485" s="3" t="str">
        <f>IFERROR(__xludf.DUMMYFUNCTION("""COMPUTED_VALUE"""),"15 KELLY LANE  ")</f>
        <v>15 KELLY LANE  </v>
      </c>
      <c r="C7485" s="3" t="str">
        <f>IFERROR(__xludf.DUMMYFUNCTION("""COMPUTED_VALUE"""),"BRIGHTON")</f>
        <v>BRIGHTON</v>
      </c>
      <c r="D7485" s="3" t="str">
        <f>IFERROR(__xludf.DUMMYFUNCTION("""COMPUTED_VALUE"""),"K0K 1H0")</f>
        <v>K0K 1H0</v>
      </c>
      <c r="E7485" s="3"/>
      <c r="F7485" s="3"/>
      <c r="G7485" s="3"/>
      <c r="H7485" s="3"/>
    </row>
    <row r="7486">
      <c r="A7486" s="2">
        <f>IFERROR(__xludf.DUMMYFUNCTION("""COMPUTED_VALUE"""),91367.0)</f>
        <v>91367</v>
      </c>
      <c r="B7486" s="3" t="str">
        <f>IFERROR(__xludf.DUMMYFUNCTION("""COMPUTED_VALUE"""),"12 KELLY LANE  UNIT 1")</f>
        <v>12 KELLY LANE  UNIT 1</v>
      </c>
      <c r="C7486" s="3" t="str">
        <f>IFERROR(__xludf.DUMMYFUNCTION("""COMPUTED_VALUE"""),"BRIGHTON")</f>
        <v>BRIGHTON</v>
      </c>
      <c r="D7486" s="3" t="str">
        <f>IFERROR(__xludf.DUMMYFUNCTION("""COMPUTED_VALUE"""),"K0K 1H0")</f>
        <v>K0K 1H0</v>
      </c>
      <c r="E7486" s="3" t="str">
        <f>IFERROR(__xludf.DUMMYFUNCTION("""COMPUTED_VALUE"""),"susan bell")</f>
        <v>susan bell</v>
      </c>
      <c r="F7486" s="3" t="str">
        <f>IFERROR(__xludf.DUMMYFUNCTION("""COMPUTED_VALUE"""),"susbell@icloud.com")</f>
        <v>susbell@icloud.com</v>
      </c>
      <c r="G7486" s="3">
        <f>IFERROR(__xludf.DUMMYFUNCTION("""COMPUTED_VALUE"""),6.138495997E9)</f>
        <v>6138495997</v>
      </c>
      <c r="H7486" s="3">
        <f>IFERROR(__xludf.DUMMYFUNCTION("""COMPUTED_VALUE"""),6.138477493E9)</f>
        <v>6138477493</v>
      </c>
    </row>
    <row r="7487">
      <c r="A7487" s="2">
        <f>IFERROR(__xludf.DUMMYFUNCTION("""COMPUTED_VALUE"""),91566.0)</f>
        <v>91566</v>
      </c>
      <c r="B7487" s="3" t="str">
        <f>IFERROR(__xludf.DUMMYFUNCTION("""COMPUTED_VALUE"""),"2 LAKECREST CIR  ")</f>
        <v>2 LAKECREST CIR  </v>
      </c>
      <c r="C7487" s="3" t="str">
        <f>IFERROR(__xludf.DUMMYFUNCTION("""COMPUTED_VALUE"""),"BRIGHTON")</f>
        <v>BRIGHTON</v>
      </c>
      <c r="D7487" s="3" t="str">
        <f>IFERROR(__xludf.DUMMYFUNCTION("""COMPUTED_VALUE"""),"K0K 1H0")</f>
        <v>K0K 1H0</v>
      </c>
      <c r="E7487" s="3" t="str">
        <f>IFERROR(__xludf.DUMMYFUNCTION("""COMPUTED_VALUE"""),"mike dorham")</f>
        <v>mike dorham</v>
      </c>
      <c r="F7487" s="3" t="str">
        <f>IFERROR(__xludf.DUMMYFUNCTION("""COMPUTED_VALUE"""),"brotherr@live.ca")</f>
        <v>brotherr@live.ca</v>
      </c>
      <c r="G7487" s="3">
        <f>IFERROR(__xludf.DUMMYFUNCTION("""COMPUTED_VALUE"""),7.05768495E9)</f>
        <v>7057684950</v>
      </c>
      <c r="H7487" s="3"/>
    </row>
    <row r="7488">
      <c r="A7488" s="2">
        <f>IFERROR(__xludf.DUMMYFUNCTION("""COMPUTED_VALUE"""),91567.0)</f>
        <v>91567</v>
      </c>
      <c r="B7488" s="3" t="str">
        <f>IFERROR(__xludf.DUMMYFUNCTION("""COMPUTED_VALUE"""),"5 LAKECREST CIR  ")</f>
        <v>5 LAKECREST CIR  </v>
      </c>
      <c r="C7488" s="3" t="str">
        <f>IFERROR(__xludf.DUMMYFUNCTION("""COMPUTED_VALUE"""),"BRIGHTON")</f>
        <v>BRIGHTON</v>
      </c>
      <c r="D7488" s="3" t="str">
        <f>IFERROR(__xludf.DUMMYFUNCTION("""COMPUTED_VALUE"""),"K0K 1H0")</f>
        <v>K0K 1H0</v>
      </c>
      <c r="E7488" s="3" t="str">
        <f>IFERROR(__xludf.DUMMYFUNCTION("""COMPUTED_VALUE"""),"jim martin ")</f>
        <v>jim martin </v>
      </c>
      <c r="F7488" s="3"/>
      <c r="G7488" s="3">
        <f>IFERROR(__xludf.DUMMYFUNCTION("""COMPUTED_VALUE"""),4.1699902355E10)</f>
        <v>41699902355</v>
      </c>
      <c r="H7488" s="3"/>
    </row>
    <row r="7489">
      <c r="A7489" s="2">
        <f>IFERROR(__xludf.DUMMYFUNCTION("""COMPUTED_VALUE"""),91568.0)</f>
        <v>91568</v>
      </c>
      <c r="B7489" s="3" t="str">
        <f>IFERROR(__xludf.DUMMYFUNCTION("""COMPUTED_VALUE"""),"6 LAKECREST CIR  ")</f>
        <v>6 LAKECREST CIR  </v>
      </c>
      <c r="C7489" s="3" t="str">
        <f>IFERROR(__xludf.DUMMYFUNCTION("""COMPUTED_VALUE"""),"BRIGHTON")</f>
        <v>BRIGHTON</v>
      </c>
      <c r="D7489" s="3" t="str">
        <f>IFERROR(__xludf.DUMMYFUNCTION("""COMPUTED_VALUE"""),"K0K 1H0")</f>
        <v>K0K 1H0</v>
      </c>
      <c r="E7489" s="3" t="str">
        <f>IFERROR(__xludf.DUMMYFUNCTION("""COMPUTED_VALUE"""),"daniel samis")</f>
        <v>daniel samis</v>
      </c>
      <c r="F7489" s="3"/>
      <c r="G7489" s="3">
        <f>IFERROR(__xludf.DUMMYFUNCTION("""COMPUTED_VALUE"""),6.134386592E9)</f>
        <v>6134386592</v>
      </c>
      <c r="H7489" s="3"/>
    </row>
    <row r="7490">
      <c r="A7490" s="2">
        <f>IFERROR(__xludf.DUMMYFUNCTION("""COMPUTED_VALUE"""),91569.0)</f>
        <v>91569</v>
      </c>
      <c r="B7490" s="3" t="str">
        <f>IFERROR(__xludf.DUMMYFUNCTION("""COMPUTED_VALUE"""),"8 LAKECREST CIR  ")</f>
        <v>8 LAKECREST CIR  </v>
      </c>
      <c r="C7490" s="3" t="str">
        <f>IFERROR(__xludf.DUMMYFUNCTION("""COMPUTED_VALUE"""),"BRIGHTON")</f>
        <v>BRIGHTON</v>
      </c>
      <c r="D7490" s="3" t="str">
        <f>IFERROR(__xludf.DUMMYFUNCTION("""COMPUTED_VALUE"""),"K0K 1H0")</f>
        <v>K0K 1H0</v>
      </c>
      <c r="E7490" s="3" t="str">
        <f>IFERROR(__xludf.DUMMYFUNCTION("""COMPUTED_VALUE"""),"David wilson")</f>
        <v>David wilson</v>
      </c>
      <c r="F7490" s="3" t="str">
        <f>IFERROR(__xludf.DUMMYFUNCTION("""COMPUTED_VALUE"""),"darthurwilson@yahoo.com")</f>
        <v>darthurwilson@yahoo.com</v>
      </c>
      <c r="G7490" s="3">
        <f>IFERROR(__xludf.DUMMYFUNCTION("""COMPUTED_VALUE"""),6.132427492E9)</f>
        <v>6132427492</v>
      </c>
      <c r="H7490" s="3"/>
    </row>
    <row r="7491">
      <c r="A7491" s="2">
        <f>IFERROR(__xludf.DUMMYFUNCTION("""COMPUTED_VALUE"""),91570.0)</f>
        <v>91570</v>
      </c>
      <c r="B7491" s="3" t="str">
        <f>IFERROR(__xludf.DUMMYFUNCTION("""COMPUTED_VALUE"""),"9 LAKECREST CIR  ")</f>
        <v>9 LAKECREST CIR  </v>
      </c>
      <c r="C7491" s="3" t="str">
        <f>IFERROR(__xludf.DUMMYFUNCTION("""COMPUTED_VALUE"""),"BRIGHTON")</f>
        <v>BRIGHTON</v>
      </c>
      <c r="D7491" s="3" t="str">
        <f>IFERROR(__xludf.DUMMYFUNCTION("""COMPUTED_VALUE"""),"K0K 1H0")</f>
        <v>K0K 1H0</v>
      </c>
      <c r="E7491" s="3"/>
      <c r="F7491" s="3"/>
      <c r="G7491" s="3"/>
      <c r="H7491" s="3"/>
    </row>
    <row r="7492">
      <c r="A7492" s="2">
        <f>IFERROR(__xludf.DUMMYFUNCTION("""COMPUTED_VALUE"""),91572.0)</f>
        <v>91572</v>
      </c>
      <c r="B7492" s="3" t="str">
        <f>IFERROR(__xludf.DUMMYFUNCTION("""COMPUTED_VALUE"""),"11 LAKECREST CIR  ")</f>
        <v>11 LAKECREST CIR  </v>
      </c>
      <c r="C7492" s="3" t="str">
        <f>IFERROR(__xludf.DUMMYFUNCTION("""COMPUTED_VALUE"""),"BRIGHTON")</f>
        <v>BRIGHTON</v>
      </c>
      <c r="D7492" s="3" t="str">
        <f>IFERROR(__xludf.DUMMYFUNCTION("""COMPUTED_VALUE"""),"K0K 1H0")</f>
        <v>K0K 1H0</v>
      </c>
      <c r="E7492" s="3" t="str">
        <f>IFERROR(__xludf.DUMMYFUNCTION("""COMPUTED_VALUE"""),"Esterina Lorelli")</f>
        <v>Esterina Lorelli</v>
      </c>
      <c r="F7492" s="3" t="str">
        <f>IFERROR(__xludf.DUMMYFUNCTION("""COMPUTED_VALUE"""),"elorelli11@gmail.com")</f>
        <v>elorelli11@gmail.com</v>
      </c>
      <c r="G7492" s="3">
        <f>IFERROR(__xludf.DUMMYFUNCTION("""COMPUTED_VALUE"""),6.139229155E9)</f>
        <v>6139229155</v>
      </c>
      <c r="H7492" s="3"/>
    </row>
    <row r="7493">
      <c r="A7493" s="2">
        <f>IFERROR(__xludf.DUMMYFUNCTION("""COMPUTED_VALUE"""),91574.0)</f>
        <v>91574</v>
      </c>
      <c r="B7493" s="3" t="str">
        <f>IFERROR(__xludf.DUMMYFUNCTION("""COMPUTED_VALUE"""),"13 LAKECREST CIR  ")</f>
        <v>13 LAKECREST CIR  </v>
      </c>
      <c r="C7493" s="3" t="str">
        <f>IFERROR(__xludf.DUMMYFUNCTION("""COMPUTED_VALUE"""),"BRIGHTON")</f>
        <v>BRIGHTON</v>
      </c>
      <c r="D7493" s="3" t="str">
        <f>IFERROR(__xludf.DUMMYFUNCTION("""COMPUTED_VALUE"""),"K0K 1H0")</f>
        <v>K0K 1H0</v>
      </c>
      <c r="E7493" s="3"/>
      <c r="F7493" s="3"/>
      <c r="G7493" s="3"/>
      <c r="H7493" s="3"/>
    </row>
    <row r="7494">
      <c r="A7494" s="2">
        <f>IFERROR(__xludf.DUMMYFUNCTION("""COMPUTED_VALUE"""),91576.0)</f>
        <v>91576</v>
      </c>
      <c r="B7494" s="3" t="str">
        <f>IFERROR(__xludf.DUMMYFUNCTION("""COMPUTED_VALUE"""),"15 LAKECREST CIR  ")</f>
        <v>15 LAKECREST CIR  </v>
      </c>
      <c r="C7494" s="3" t="str">
        <f>IFERROR(__xludf.DUMMYFUNCTION("""COMPUTED_VALUE"""),"BRIGHTON")</f>
        <v>BRIGHTON</v>
      </c>
      <c r="D7494" s="3" t="str">
        <f>IFERROR(__xludf.DUMMYFUNCTION("""COMPUTED_VALUE"""),"K0K 1H0")</f>
        <v>K0K 1H0</v>
      </c>
      <c r="E7494" s="3" t="str">
        <f>IFERROR(__xludf.DUMMYFUNCTION("""COMPUTED_VALUE"""),"eric van der steeg")</f>
        <v>eric van der steeg</v>
      </c>
      <c r="F7494" s="3" t="str">
        <f>IFERROR(__xludf.DUMMYFUNCTION("""COMPUTED_VALUE"""),"eveandersteeg@me.com")</f>
        <v>eveandersteeg@me.com</v>
      </c>
      <c r="G7494" s="3">
        <f>IFERROR(__xludf.DUMMYFUNCTION("""COMPUTED_VALUE"""),9.057176746E9)</f>
        <v>9057176746</v>
      </c>
      <c r="H7494" s="3"/>
    </row>
    <row r="7495">
      <c r="A7495" s="2">
        <f>IFERROR(__xludf.DUMMYFUNCTION("""COMPUTED_VALUE"""),91578.0)</f>
        <v>91578</v>
      </c>
      <c r="B7495" s="3" t="str">
        <f>IFERROR(__xludf.DUMMYFUNCTION("""COMPUTED_VALUE"""),"19 LAKECREST CIR  ")</f>
        <v>19 LAKECREST CIR  </v>
      </c>
      <c r="C7495" s="3" t="str">
        <f>IFERROR(__xludf.DUMMYFUNCTION("""COMPUTED_VALUE"""),"BRIGHTON")</f>
        <v>BRIGHTON</v>
      </c>
      <c r="D7495" s="3" t="str">
        <f>IFERROR(__xludf.DUMMYFUNCTION("""COMPUTED_VALUE"""),"K0K 1H0")</f>
        <v>K0K 1H0</v>
      </c>
      <c r="E7495" s="3"/>
      <c r="F7495" s="3"/>
      <c r="G7495" s="3"/>
      <c r="H7495" s="3"/>
    </row>
    <row r="7496">
      <c r="A7496" s="2">
        <f>IFERROR(__xludf.DUMMYFUNCTION("""COMPUTED_VALUE"""),91580.0)</f>
        <v>91580</v>
      </c>
      <c r="B7496" s="3" t="str">
        <f>IFERROR(__xludf.DUMMYFUNCTION("""COMPUTED_VALUE"""),"26 LAKECREST CIR  ")</f>
        <v>26 LAKECREST CIR  </v>
      </c>
      <c r="C7496" s="3" t="str">
        <f>IFERROR(__xludf.DUMMYFUNCTION("""COMPUTED_VALUE"""),"BRIGHTON")</f>
        <v>BRIGHTON</v>
      </c>
      <c r="D7496" s="3" t="str">
        <f>IFERROR(__xludf.DUMMYFUNCTION("""COMPUTED_VALUE"""),"K0K 1H0")</f>
        <v>K0K 1H0</v>
      </c>
      <c r="E7496" s="3" t="str">
        <f>IFERROR(__xludf.DUMMYFUNCTION("""COMPUTED_VALUE"""),"todd venton")</f>
        <v>todd venton</v>
      </c>
      <c r="F7496" s="3"/>
      <c r="G7496" s="3">
        <f>IFERROR(__xludf.DUMMYFUNCTION("""COMPUTED_VALUE"""),6.134382578E9)</f>
        <v>6134382578</v>
      </c>
      <c r="H7496" s="3"/>
    </row>
    <row r="7497">
      <c r="A7497" s="2">
        <f>IFERROR(__xludf.DUMMYFUNCTION("""COMPUTED_VALUE"""),91565.0)</f>
        <v>91565</v>
      </c>
      <c r="B7497" s="3" t="str">
        <f>IFERROR(__xludf.DUMMYFUNCTION("""COMPUTED_VALUE"""),"1 LAKECREST CIR  ")</f>
        <v>1 LAKECREST CIR  </v>
      </c>
      <c r="C7497" s="3" t="str">
        <f>IFERROR(__xludf.DUMMYFUNCTION("""COMPUTED_VALUE"""),"BRIGHTON")</f>
        <v>BRIGHTON</v>
      </c>
      <c r="D7497" s="3" t="str">
        <f>IFERROR(__xludf.DUMMYFUNCTION("""COMPUTED_VALUE"""),"K0K 1H0")</f>
        <v>K0K 1H0</v>
      </c>
      <c r="E7497" s="3" t="str">
        <f>IFERROR(__xludf.DUMMYFUNCTION("""COMPUTED_VALUE"""),"Alex Judson")</f>
        <v>Alex Judson</v>
      </c>
      <c r="F7497" s="3" t="str">
        <f>IFERROR(__xludf.DUMMYFUNCTION("""COMPUTED_VALUE"""),"judson396@gmail.com")</f>
        <v>judson396@gmail.com</v>
      </c>
      <c r="G7497" s="3">
        <f>IFERROR(__xludf.DUMMYFUNCTION("""COMPUTED_VALUE"""),6.479822112E9)</f>
        <v>6479822112</v>
      </c>
      <c r="H7497" s="3">
        <f>IFERROR(__xludf.DUMMYFUNCTION("""COMPUTED_VALUE"""),6.134759252E9)</f>
        <v>6134759252</v>
      </c>
    </row>
    <row r="7498">
      <c r="A7498" s="2">
        <f>IFERROR(__xludf.DUMMYFUNCTION("""COMPUTED_VALUE"""),91571.0)</f>
        <v>91571</v>
      </c>
      <c r="B7498" s="3" t="str">
        <f>IFERROR(__xludf.DUMMYFUNCTION("""COMPUTED_VALUE"""),"10 LAKECREST CIR  ")</f>
        <v>10 LAKECREST CIR  </v>
      </c>
      <c r="C7498" s="3" t="str">
        <f>IFERROR(__xludf.DUMMYFUNCTION("""COMPUTED_VALUE"""),"BRIGHTON")</f>
        <v>BRIGHTON</v>
      </c>
      <c r="D7498" s="3" t="str">
        <f>IFERROR(__xludf.DUMMYFUNCTION("""COMPUTED_VALUE"""),"K0K 1H0")</f>
        <v>K0K 1H0</v>
      </c>
      <c r="E7498" s="3" t="str">
        <f>IFERROR(__xludf.DUMMYFUNCTION("""COMPUTED_VALUE"""),"Oren Beeri")</f>
        <v>Oren Beeri</v>
      </c>
      <c r="F7498" s="3" t="str">
        <f>IFERROR(__xludf.DUMMYFUNCTION("""COMPUTED_VALUE"""),"micoren@gmail.com")</f>
        <v>micoren@gmail.com</v>
      </c>
      <c r="G7498" s="3">
        <f>IFERROR(__xludf.DUMMYFUNCTION("""COMPUTED_VALUE"""),4.16347755E9)</f>
        <v>4163477550</v>
      </c>
      <c r="H7498" s="3"/>
    </row>
    <row r="7499">
      <c r="A7499" s="2">
        <f>IFERROR(__xludf.DUMMYFUNCTION("""COMPUTED_VALUE"""),91573.0)</f>
        <v>91573</v>
      </c>
      <c r="B7499" s="3" t="str">
        <f>IFERROR(__xludf.DUMMYFUNCTION("""COMPUTED_VALUE"""),"12 LAKECREST CIR  ")</f>
        <v>12 LAKECREST CIR  </v>
      </c>
      <c r="C7499" s="3" t="str">
        <f>IFERROR(__xludf.DUMMYFUNCTION("""COMPUTED_VALUE"""),"BRIGHTON")</f>
        <v>BRIGHTON</v>
      </c>
      <c r="D7499" s="3" t="str">
        <f>IFERROR(__xludf.DUMMYFUNCTION("""COMPUTED_VALUE"""),"K0K 1H0")</f>
        <v>K0K 1H0</v>
      </c>
      <c r="E7499" s="3" t="str">
        <f>IFERROR(__xludf.DUMMYFUNCTION("""COMPUTED_VALUE"""),"Peter Korikov")</f>
        <v>Peter Korikov</v>
      </c>
      <c r="F7499" s="3" t="str">
        <f>IFERROR(__xludf.DUMMYFUNCTION("""COMPUTED_VALUE"""),"peter.korikov@gmail.com")</f>
        <v>peter.korikov@gmail.com</v>
      </c>
      <c r="G7499" s="3">
        <f>IFERROR(__xludf.DUMMYFUNCTION("""COMPUTED_VALUE"""),6.478334231E9)</f>
        <v>6478334231</v>
      </c>
      <c r="H7499" s="3"/>
    </row>
    <row r="7500">
      <c r="A7500" s="2">
        <f>IFERROR(__xludf.DUMMYFUNCTION("""COMPUTED_VALUE"""),91575.0)</f>
        <v>91575</v>
      </c>
      <c r="B7500" s="3" t="str">
        <f>IFERROR(__xludf.DUMMYFUNCTION("""COMPUTED_VALUE"""),"14 LAKECREST CIR  ")</f>
        <v>14 LAKECREST CIR  </v>
      </c>
      <c r="C7500" s="3" t="str">
        <f>IFERROR(__xludf.DUMMYFUNCTION("""COMPUTED_VALUE"""),"BRIGHTON")</f>
        <v>BRIGHTON</v>
      </c>
      <c r="D7500" s="3" t="str">
        <f>IFERROR(__xludf.DUMMYFUNCTION("""COMPUTED_VALUE"""),"K0K 1H0")</f>
        <v>K0K 1H0</v>
      </c>
      <c r="E7500" s="3" t="str">
        <f>IFERROR(__xludf.DUMMYFUNCTION("""COMPUTED_VALUE"""),"Jim Hart")</f>
        <v>Jim Hart</v>
      </c>
      <c r="F7500" s="3" t="str">
        <f>IFERROR(__xludf.DUMMYFUNCTION("""COMPUTED_VALUE"""),"jim.hart18@yahoo.ca")</f>
        <v>jim.hart18@yahoo.ca</v>
      </c>
      <c r="G7500" s="3">
        <f>IFERROR(__xludf.DUMMYFUNCTION("""COMPUTED_VALUE"""),4.168351957E9)</f>
        <v>4168351957</v>
      </c>
      <c r="H7500" s="3"/>
    </row>
    <row r="7501">
      <c r="A7501" s="2">
        <f>IFERROR(__xludf.DUMMYFUNCTION("""COMPUTED_VALUE"""),91577.0)</f>
        <v>91577</v>
      </c>
      <c r="B7501" s="3" t="str">
        <f>IFERROR(__xludf.DUMMYFUNCTION("""COMPUTED_VALUE"""),"17 LAKECREST CIR  ")</f>
        <v>17 LAKECREST CIR  </v>
      </c>
      <c r="C7501" s="3" t="str">
        <f>IFERROR(__xludf.DUMMYFUNCTION("""COMPUTED_VALUE"""),"BRIGHTON")</f>
        <v>BRIGHTON</v>
      </c>
      <c r="D7501" s="3" t="str">
        <f>IFERROR(__xludf.DUMMYFUNCTION("""COMPUTED_VALUE"""),"K0K 1H0")</f>
        <v>K0K 1H0</v>
      </c>
      <c r="E7501" s="3" t="str">
        <f>IFERROR(__xludf.DUMMYFUNCTION("""COMPUTED_VALUE"""),"Alexander Dobrinski")</f>
        <v>Alexander Dobrinski</v>
      </c>
      <c r="F7501" s="3" t="str">
        <f>IFERROR(__xludf.DUMMYFUNCTION("""COMPUTED_VALUE"""),"dsn@rogers.com")</f>
        <v>dsn@rogers.com</v>
      </c>
      <c r="G7501" s="3">
        <f>IFERROR(__xludf.DUMMYFUNCTION("""COMPUTED_VALUE"""),4.168752371E9)</f>
        <v>4168752371</v>
      </c>
      <c r="H7501" s="3"/>
    </row>
    <row r="7502">
      <c r="A7502" s="2">
        <f>IFERROR(__xludf.DUMMYFUNCTION("""COMPUTED_VALUE"""),91579.0)</f>
        <v>91579</v>
      </c>
      <c r="B7502" s="3" t="str">
        <f>IFERROR(__xludf.DUMMYFUNCTION("""COMPUTED_VALUE"""),"21 LAKECREST CIR  ")</f>
        <v>21 LAKECREST CIR  </v>
      </c>
      <c r="C7502" s="3" t="str">
        <f>IFERROR(__xludf.DUMMYFUNCTION("""COMPUTED_VALUE"""),"BRIGHTON")</f>
        <v>BRIGHTON</v>
      </c>
      <c r="D7502" s="3" t="str">
        <f>IFERROR(__xludf.DUMMYFUNCTION("""COMPUTED_VALUE"""),"K0K 1H0")</f>
        <v>K0K 1H0</v>
      </c>
      <c r="E7502" s="3" t="str">
        <f>IFERROR(__xludf.DUMMYFUNCTION("""COMPUTED_VALUE"""),"Teresa Bourque")</f>
        <v>Teresa Bourque</v>
      </c>
      <c r="F7502" s="3" t="str">
        <f>IFERROR(__xludf.DUMMYFUNCTION("""COMPUTED_VALUE"""),"tessburke55@gmail.com")</f>
        <v>tessburke55@gmail.com</v>
      </c>
      <c r="G7502" s="3"/>
      <c r="H7502" s="3"/>
    </row>
    <row r="7503">
      <c r="A7503" s="2">
        <f>IFERROR(__xludf.DUMMYFUNCTION("""COMPUTED_VALUE"""),91626.0)</f>
        <v>91626</v>
      </c>
      <c r="B7503" s="3" t="str">
        <f>IFERROR(__xludf.DUMMYFUNCTION("""COMPUTED_VALUE"""),"364 LAKESHORE RD")</f>
        <v>364 LAKESHORE RD</v>
      </c>
      <c r="C7503" s="3" t="str">
        <f>IFERROR(__xludf.DUMMYFUNCTION("""COMPUTED_VALUE"""),"BRIGHTON")</f>
        <v>BRIGHTON</v>
      </c>
      <c r="D7503" s="3" t="str">
        <f>IFERROR(__xludf.DUMMYFUNCTION("""COMPUTED_VALUE"""),"K0K 1H0")</f>
        <v>K0K 1H0</v>
      </c>
      <c r="E7503" s="3"/>
      <c r="F7503" s="3"/>
      <c r="G7503" s="3"/>
      <c r="H7503" s="3"/>
    </row>
    <row r="7504">
      <c r="A7504" s="2">
        <f>IFERROR(__xludf.DUMMYFUNCTION("""COMPUTED_VALUE"""),91603.0)</f>
        <v>91603</v>
      </c>
      <c r="B7504" s="3" t="str">
        <f>IFERROR(__xludf.DUMMYFUNCTION("""COMPUTED_VALUE"""),"190 LAKESHORE RD  ")</f>
        <v>190 LAKESHORE RD  </v>
      </c>
      <c r="C7504" s="3" t="str">
        <f>IFERROR(__xludf.DUMMYFUNCTION("""COMPUTED_VALUE"""),"BRIGHTON")</f>
        <v>BRIGHTON</v>
      </c>
      <c r="D7504" s="3" t="str">
        <f>IFERROR(__xludf.DUMMYFUNCTION("""COMPUTED_VALUE"""),"K0K 1H0")</f>
        <v>K0K 1H0</v>
      </c>
      <c r="E7504" s="3"/>
      <c r="F7504" s="3"/>
      <c r="G7504" s="3"/>
      <c r="H7504" s="3"/>
    </row>
    <row r="7505">
      <c r="A7505" s="2">
        <f>IFERROR(__xludf.DUMMYFUNCTION("""COMPUTED_VALUE"""),91604.0)</f>
        <v>91604</v>
      </c>
      <c r="B7505" s="3" t="str">
        <f>IFERROR(__xludf.DUMMYFUNCTION("""COMPUTED_VALUE"""),"191 LAKESHORE RD  ")</f>
        <v>191 LAKESHORE RD  </v>
      </c>
      <c r="C7505" s="3" t="str">
        <f>IFERROR(__xludf.DUMMYFUNCTION("""COMPUTED_VALUE"""),"BRIGHTON")</f>
        <v>BRIGHTON</v>
      </c>
      <c r="D7505" s="3" t="str">
        <f>IFERROR(__xludf.DUMMYFUNCTION("""COMPUTED_VALUE"""),"K0K 1H0")</f>
        <v>K0K 1H0</v>
      </c>
      <c r="E7505" s="3"/>
      <c r="F7505" s="3"/>
      <c r="G7505" s="3"/>
      <c r="H7505" s="3"/>
    </row>
    <row r="7506">
      <c r="A7506" s="2">
        <f>IFERROR(__xludf.DUMMYFUNCTION("""COMPUTED_VALUE"""),91607.0)</f>
        <v>91607</v>
      </c>
      <c r="B7506" s="3" t="str">
        <f>IFERROR(__xludf.DUMMYFUNCTION("""COMPUTED_VALUE"""),"219 LAKESHORE RD  ")</f>
        <v>219 LAKESHORE RD  </v>
      </c>
      <c r="C7506" s="3" t="str">
        <f>IFERROR(__xludf.DUMMYFUNCTION("""COMPUTED_VALUE"""),"BRIGHTON")</f>
        <v>BRIGHTON</v>
      </c>
      <c r="D7506" s="3" t="str">
        <f>IFERROR(__xludf.DUMMYFUNCTION("""COMPUTED_VALUE"""),"K0K 1H0")</f>
        <v>K0K 1H0</v>
      </c>
      <c r="E7506" s="3"/>
      <c r="F7506" s="3"/>
      <c r="G7506" s="3"/>
      <c r="H7506" s="3"/>
    </row>
    <row r="7507">
      <c r="A7507" s="2">
        <f>IFERROR(__xludf.DUMMYFUNCTION("""COMPUTED_VALUE"""),91608.0)</f>
        <v>91608</v>
      </c>
      <c r="B7507" s="3" t="str">
        <f>IFERROR(__xludf.DUMMYFUNCTION("""COMPUTED_VALUE"""),"222 LAKESHORE RD  ")</f>
        <v>222 LAKESHORE RD  </v>
      </c>
      <c r="C7507" s="3" t="str">
        <f>IFERROR(__xludf.DUMMYFUNCTION("""COMPUTED_VALUE"""),"BRIGHTON")</f>
        <v>BRIGHTON</v>
      </c>
      <c r="D7507" s="3" t="str">
        <f>IFERROR(__xludf.DUMMYFUNCTION("""COMPUTED_VALUE"""),"K0K 1H0")</f>
        <v>K0K 1H0</v>
      </c>
      <c r="E7507" s="3"/>
      <c r="F7507" s="3"/>
      <c r="G7507" s="3"/>
      <c r="H7507" s="3"/>
    </row>
    <row r="7508">
      <c r="A7508" s="2">
        <f>IFERROR(__xludf.DUMMYFUNCTION("""COMPUTED_VALUE"""),91609.0)</f>
        <v>91609</v>
      </c>
      <c r="B7508" s="3" t="str">
        <f>IFERROR(__xludf.DUMMYFUNCTION("""COMPUTED_VALUE"""),"223 LAKESHORE RD  ")</f>
        <v>223 LAKESHORE RD  </v>
      </c>
      <c r="C7508" s="3" t="str">
        <f>IFERROR(__xludf.DUMMYFUNCTION("""COMPUTED_VALUE"""),"BRIGHTON")</f>
        <v>BRIGHTON</v>
      </c>
      <c r="D7508" s="3" t="str">
        <f>IFERROR(__xludf.DUMMYFUNCTION("""COMPUTED_VALUE"""),"K0K 1H0")</f>
        <v>K0K 1H0</v>
      </c>
      <c r="E7508" s="3"/>
      <c r="F7508" s="3"/>
      <c r="G7508" s="3"/>
      <c r="H7508" s="3"/>
    </row>
    <row r="7509">
      <c r="A7509" s="2">
        <f>IFERROR(__xludf.DUMMYFUNCTION("""COMPUTED_VALUE"""),91610.0)</f>
        <v>91610</v>
      </c>
      <c r="B7509" s="3" t="str">
        <f>IFERROR(__xludf.DUMMYFUNCTION("""COMPUTED_VALUE"""),"234 LAKESHORE RD  ")</f>
        <v>234 LAKESHORE RD  </v>
      </c>
      <c r="C7509" s="3" t="str">
        <f>IFERROR(__xludf.DUMMYFUNCTION("""COMPUTED_VALUE"""),"BRIGHTON")</f>
        <v>BRIGHTON</v>
      </c>
      <c r="D7509" s="3" t="str">
        <f>IFERROR(__xludf.DUMMYFUNCTION("""COMPUTED_VALUE"""),"K0K 1H0")</f>
        <v>K0K 1H0</v>
      </c>
      <c r="E7509" s="3"/>
      <c r="F7509" s="3"/>
      <c r="G7509" s="3"/>
      <c r="H7509" s="3"/>
    </row>
    <row r="7510">
      <c r="A7510" s="2">
        <f>IFERROR(__xludf.DUMMYFUNCTION("""COMPUTED_VALUE"""),91612.0)</f>
        <v>91612</v>
      </c>
      <c r="B7510" s="3" t="str">
        <f>IFERROR(__xludf.DUMMYFUNCTION("""COMPUTED_VALUE"""),"245 LAKESHORE RD  ")</f>
        <v>245 LAKESHORE RD  </v>
      </c>
      <c r="C7510" s="3" t="str">
        <f>IFERROR(__xludf.DUMMYFUNCTION("""COMPUTED_VALUE"""),"BRIGHTON")</f>
        <v>BRIGHTON</v>
      </c>
      <c r="D7510" s="3" t="str">
        <f>IFERROR(__xludf.DUMMYFUNCTION("""COMPUTED_VALUE"""),"K0K 1H0")</f>
        <v>K0K 1H0</v>
      </c>
      <c r="E7510" s="3" t="str">
        <f>IFERROR(__xludf.DUMMYFUNCTION("""COMPUTED_VALUE"""),"Jody Dunn")</f>
        <v>Jody Dunn</v>
      </c>
      <c r="F7510" s="3" t="str">
        <f>IFERROR(__xludf.DUMMYFUNCTION("""COMPUTED_VALUE"""),"jrdunn94@hotmail.com")</f>
        <v>jrdunn94@hotmail.com</v>
      </c>
      <c r="G7510" s="3">
        <f>IFERROR(__xludf.DUMMYFUNCTION("""COMPUTED_VALUE"""),6.132437264E9)</f>
        <v>6132437264</v>
      </c>
      <c r="H7510" s="3">
        <f>IFERROR(__xludf.DUMMYFUNCTION("""COMPUTED_VALUE"""),6.13651951E9)</f>
        <v>6136519510</v>
      </c>
    </row>
    <row r="7511">
      <c r="A7511" s="2">
        <f>IFERROR(__xludf.DUMMYFUNCTION("""COMPUTED_VALUE"""),91613.0)</f>
        <v>91613</v>
      </c>
      <c r="B7511" s="3" t="str">
        <f>IFERROR(__xludf.DUMMYFUNCTION("""COMPUTED_VALUE"""),"254 LAKESHORE RD  ")</f>
        <v>254 LAKESHORE RD  </v>
      </c>
      <c r="C7511" s="3" t="str">
        <f>IFERROR(__xludf.DUMMYFUNCTION("""COMPUTED_VALUE"""),"BRIGHTON")</f>
        <v>BRIGHTON</v>
      </c>
      <c r="D7511" s="3" t="str">
        <f>IFERROR(__xludf.DUMMYFUNCTION("""COMPUTED_VALUE"""),"K0K 1H0")</f>
        <v>K0K 1H0</v>
      </c>
      <c r="E7511" s="3" t="str">
        <f>IFERROR(__xludf.DUMMYFUNCTION("""COMPUTED_VALUE"""),"Joshua Hill")</f>
        <v>Joshua Hill</v>
      </c>
      <c r="F7511" s="3" t="str">
        <f>IFERROR(__xludf.DUMMYFUNCTION("""COMPUTED_VALUE"""),"joshhill123123@gmail.com")</f>
        <v>joshhill123123@gmail.com</v>
      </c>
      <c r="G7511" s="3">
        <f>IFERROR(__xludf.DUMMYFUNCTION("""COMPUTED_VALUE"""),6.138275589E9)</f>
        <v>6138275589</v>
      </c>
      <c r="H7511" s="3"/>
    </row>
    <row r="7512">
      <c r="A7512" s="2">
        <f>IFERROR(__xludf.DUMMYFUNCTION("""COMPUTED_VALUE"""),91614.0)</f>
        <v>91614</v>
      </c>
      <c r="B7512" s="3" t="str">
        <f>IFERROR(__xludf.DUMMYFUNCTION("""COMPUTED_VALUE"""),"255 LAKESHORE RD  ")</f>
        <v>255 LAKESHORE RD  </v>
      </c>
      <c r="C7512" s="3" t="str">
        <f>IFERROR(__xludf.DUMMYFUNCTION("""COMPUTED_VALUE"""),"BRIGHTON")</f>
        <v>BRIGHTON</v>
      </c>
      <c r="D7512" s="3" t="str">
        <f>IFERROR(__xludf.DUMMYFUNCTION("""COMPUTED_VALUE"""),"K0K 1H0")</f>
        <v>K0K 1H0</v>
      </c>
      <c r="E7512" s="3"/>
      <c r="F7512" s="3"/>
      <c r="G7512" s="3"/>
      <c r="H7512" s="3"/>
    </row>
    <row r="7513">
      <c r="A7513" s="2">
        <f>IFERROR(__xludf.DUMMYFUNCTION("""COMPUTED_VALUE"""),91615.0)</f>
        <v>91615</v>
      </c>
      <c r="B7513" s="3" t="str">
        <f>IFERROR(__xludf.DUMMYFUNCTION("""COMPUTED_VALUE"""),"263 LAKESHORE RD  ")</f>
        <v>263 LAKESHORE RD  </v>
      </c>
      <c r="C7513" s="3" t="str">
        <f>IFERROR(__xludf.DUMMYFUNCTION("""COMPUTED_VALUE"""),"BRIGHTON")</f>
        <v>BRIGHTON</v>
      </c>
      <c r="D7513" s="3" t="str">
        <f>IFERROR(__xludf.DUMMYFUNCTION("""COMPUTED_VALUE"""),"K0K 1H0")</f>
        <v>K0K 1H0</v>
      </c>
      <c r="E7513" s="3" t="str">
        <f>IFERROR(__xludf.DUMMYFUNCTION("""COMPUTED_VALUE"""),"David Randall Boddam")</f>
        <v>David Randall Boddam</v>
      </c>
      <c r="F7513" s="3" t="str">
        <f>IFERROR(__xludf.DUMMYFUNCTION("""COMPUTED_VALUE"""),"rboddam@hotmail.ca")</f>
        <v>rboddam@hotmail.ca</v>
      </c>
      <c r="G7513" s="3">
        <f>IFERROR(__xludf.DUMMYFUNCTION("""COMPUTED_VALUE"""),7.053213205E9)</f>
        <v>7053213205</v>
      </c>
      <c r="H7513" s="3"/>
    </row>
    <row r="7514">
      <c r="A7514" s="2">
        <f>IFERROR(__xludf.DUMMYFUNCTION("""COMPUTED_VALUE"""),91616.0)</f>
        <v>91616</v>
      </c>
      <c r="B7514" s="3" t="str">
        <f>IFERROR(__xludf.DUMMYFUNCTION("""COMPUTED_VALUE"""),"270 LAKESHORE RD  ")</f>
        <v>270 LAKESHORE RD  </v>
      </c>
      <c r="C7514" s="3" t="str">
        <f>IFERROR(__xludf.DUMMYFUNCTION("""COMPUTED_VALUE"""),"BRIGHTON")</f>
        <v>BRIGHTON</v>
      </c>
      <c r="D7514" s="3" t="str">
        <f>IFERROR(__xludf.DUMMYFUNCTION("""COMPUTED_VALUE"""),"K0K 1H0")</f>
        <v>K0K 1H0</v>
      </c>
      <c r="E7514" s="3"/>
      <c r="F7514" s="3"/>
      <c r="G7514" s="3"/>
      <c r="H7514" s="3"/>
    </row>
    <row r="7515">
      <c r="A7515" s="2">
        <f>IFERROR(__xludf.DUMMYFUNCTION("""COMPUTED_VALUE"""),91617.0)</f>
        <v>91617</v>
      </c>
      <c r="B7515" s="3" t="str">
        <f>IFERROR(__xludf.DUMMYFUNCTION("""COMPUTED_VALUE"""),"279 LAKESHORE RD  ")</f>
        <v>279 LAKESHORE RD  </v>
      </c>
      <c r="C7515" s="3" t="str">
        <f>IFERROR(__xludf.DUMMYFUNCTION("""COMPUTED_VALUE"""),"BRIGHTON")</f>
        <v>BRIGHTON</v>
      </c>
      <c r="D7515" s="3" t="str">
        <f>IFERROR(__xludf.DUMMYFUNCTION("""COMPUTED_VALUE"""),"K0K 1H0")</f>
        <v>K0K 1H0</v>
      </c>
      <c r="E7515" s="3"/>
      <c r="F7515" s="3"/>
      <c r="G7515" s="3"/>
      <c r="H7515" s="3"/>
    </row>
    <row r="7516">
      <c r="A7516" s="2">
        <f>IFERROR(__xludf.DUMMYFUNCTION("""COMPUTED_VALUE"""),91618.0)</f>
        <v>91618</v>
      </c>
      <c r="B7516" s="3" t="str">
        <f>IFERROR(__xludf.DUMMYFUNCTION("""COMPUTED_VALUE"""),"300 LAKESHORE RD  ")</f>
        <v>300 LAKESHORE RD  </v>
      </c>
      <c r="C7516" s="3" t="str">
        <f>IFERROR(__xludf.DUMMYFUNCTION("""COMPUTED_VALUE"""),"BRIGHTON")</f>
        <v>BRIGHTON</v>
      </c>
      <c r="D7516" s="3" t="str">
        <f>IFERROR(__xludf.DUMMYFUNCTION("""COMPUTED_VALUE"""),"K0K 1H0")</f>
        <v>K0K 1H0</v>
      </c>
      <c r="E7516" s="3"/>
      <c r="F7516" s="3"/>
      <c r="G7516" s="3"/>
      <c r="H7516" s="3"/>
    </row>
    <row r="7517">
      <c r="A7517" s="2">
        <f>IFERROR(__xludf.DUMMYFUNCTION("""COMPUTED_VALUE"""),91619.0)</f>
        <v>91619</v>
      </c>
      <c r="B7517" s="3" t="str">
        <f>IFERROR(__xludf.DUMMYFUNCTION("""COMPUTED_VALUE"""),"305 LAKESHORE RD  ")</f>
        <v>305 LAKESHORE RD  </v>
      </c>
      <c r="C7517" s="3" t="str">
        <f>IFERROR(__xludf.DUMMYFUNCTION("""COMPUTED_VALUE"""),"BRIGHTON")</f>
        <v>BRIGHTON</v>
      </c>
      <c r="D7517" s="3" t="str">
        <f>IFERROR(__xludf.DUMMYFUNCTION("""COMPUTED_VALUE"""),"K0K 1H0")</f>
        <v>K0K 1H0</v>
      </c>
      <c r="E7517" s="3" t="str">
        <f>IFERROR(__xludf.DUMMYFUNCTION("""COMPUTED_VALUE"""),"carol h ")</f>
        <v>carol h </v>
      </c>
      <c r="F7517" s="3"/>
      <c r="G7517" s="3">
        <f>IFERROR(__xludf.DUMMYFUNCTION("""COMPUTED_VALUE"""),3.432634467E9)</f>
        <v>3432634467</v>
      </c>
      <c r="H7517" s="3"/>
    </row>
    <row r="7518">
      <c r="A7518" s="2">
        <f>IFERROR(__xludf.DUMMYFUNCTION("""COMPUTED_VALUE"""),91620.0)</f>
        <v>91620</v>
      </c>
      <c r="B7518" s="3" t="str">
        <f>IFERROR(__xludf.DUMMYFUNCTION("""COMPUTED_VALUE"""),"316 LAKESHORE RD  ")</f>
        <v>316 LAKESHORE RD  </v>
      </c>
      <c r="C7518" s="3" t="str">
        <f>IFERROR(__xludf.DUMMYFUNCTION("""COMPUTED_VALUE"""),"BRIGHTON")</f>
        <v>BRIGHTON</v>
      </c>
      <c r="D7518" s="3" t="str">
        <f>IFERROR(__xludf.DUMMYFUNCTION("""COMPUTED_VALUE"""),"K0K 1H0")</f>
        <v>K0K 1H0</v>
      </c>
      <c r="E7518" s="3"/>
      <c r="F7518" s="3"/>
      <c r="G7518" s="3"/>
      <c r="H7518" s="3"/>
    </row>
    <row r="7519">
      <c r="A7519" s="2">
        <f>IFERROR(__xludf.DUMMYFUNCTION("""COMPUTED_VALUE"""),91621.0)</f>
        <v>91621</v>
      </c>
      <c r="B7519" s="3" t="str">
        <f>IFERROR(__xludf.DUMMYFUNCTION("""COMPUTED_VALUE"""),"319 LAKESHORE RD  ")</f>
        <v>319 LAKESHORE RD  </v>
      </c>
      <c r="C7519" s="3" t="str">
        <f>IFERROR(__xludf.DUMMYFUNCTION("""COMPUTED_VALUE"""),"BRIGHTON")</f>
        <v>BRIGHTON</v>
      </c>
      <c r="D7519" s="3" t="str">
        <f>IFERROR(__xludf.DUMMYFUNCTION("""COMPUTED_VALUE"""),"K0K 1H0")</f>
        <v>K0K 1H0</v>
      </c>
      <c r="E7519" s="3"/>
      <c r="F7519" s="3"/>
      <c r="G7519" s="3"/>
      <c r="H7519" s="3"/>
    </row>
    <row r="7520">
      <c r="A7520" s="2">
        <f>IFERROR(__xludf.DUMMYFUNCTION("""COMPUTED_VALUE"""),91622.0)</f>
        <v>91622</v>
      </c>
      <c r="B7520" s="3" t="str">
        <f>IFERROR(__xludf.DUMMYFUNCTION("""COMPUTED_VALUE"""),"324 LAKESHORE RD  ")</f>
        <v>324 LAKESHORE RD  </v>
      </c>
      <c r="C7520" s="3" t="str">
        <f>IFERROR(__xludf.DUMMYFUNCTION("""COMPUTED_VALUE"""),"BRIGHTON")</f>
        <v>BRIGHTON</v>
      </c>
      <c r="D7520" s="3" t="str">
        <f>IFERROR(__xludf.DUMMYFUNCTION("""COMPUTED_VALUE"""),"K0K 1H0")</f>
        <v>K0K 1H0</v>
      </c>
      <c r="E7520" s="3" t="str">
        <f>IFERROR(__xludf.DUMMYFUNCTION("""COMPUTED_VALUE"""),"angela beckwith")</f>
        <v>angela beckwith</v>
      </c>
      <c r="F7520" s="3" t="str">
        <f>IFERROR(__xludf.DUMMYFUNCTION("""COMPUTED_VALUE"""),"abeckwith12@icloud.com")</f>
        <v>abeckwith12@icloud.com</v>
      </c>
      <c r="G7520" s="3">
        <f>IFERROR(__xludf.DUMMYFUNCTION("""COMPUTED_VALUE"""),3.436456E9)</f>
        <v>3436456000</v>
      </c>
      <c r="H7520" s="3"/>
    </row>
    <row r="7521">
      <c r="A7521" s="2">
        <f>IFERROR(__xludf.DUMMYFUNCTION("""COMPUTED_VALUE"""),91624.0)</f>
        <v>91624</v>
      </c>
      <c r="B7521" s="3" t="str">
        <f>IFERROR(__xludf.DUMMYFUNCTION("""COMPUTED_VALUE"""),"353 LAKESHORE RD  ")</f>
        <v>353 LAKESHORE RD  </v>
      </c>
      <c r="C7521" s="3" t="str">
        <f>IFERROR(__xludf.DUMMYFUNCTION("""COMPUTED_VALUE"""),"BRIGHTON")</f>
        <v>BRIGHTON</v>
      </c>
      <c r="D7521" s="3" t="str">
        <f>IFERROR(__xludf.DUMMYFUNCTION("""COMPUTED_VALUE"""),"K0K 1H0")</f>
        <v>K0K 1H0</v>
      </c>
      <c r="E7521" s="3"/>
      <c r="F7521" s="3"/>
      <c r="G7521" s="3"/>
      <c r="H7521" s="3"/>
    </row>
    <row r="7522">
      <c r="A7522" s="2">
        <f>IFERROR(__xludf.DUMMYFUNCTION("""COMPUTED_VALUE"""),91625.0)</f>
        <v>91625</v>
      </c>
      <c r="B7522" s="3" t="str">
        <f>IFERROR(__xludf.DUMMYFUNCTION("""COMPUTED_VALUE"""),"357 LAKESHORE RD  ")</f>
        <v>357 LAKESHORE RD  </v>
      </c>
      <c r="C7522" s="3" t="str">
        <f>IFERROR(__xludf.DUMMYFUNCTION("""COMPUTED_VALUE"""),"BRIGHTON")</f>
        <v>BRIGHTON</v>
      </c>
      <c r="D7522" s="3" t="str">
        <f>IFERROR(__xludf.DUMMYFUNCTION("""COMPUTED_VALUE"""),"K0K 1H0")</f>
        <v>K0K 1H0</v>
      </c>
      <c r="E7522" s="3" t="str">
        <f>IFERROR(__xludf.DUMMYFUNCTION("""COMPUTED_VALUE"""),"bibbi-lynn stewart")</f>
        <v>bibbi-lynn stewart</v>
      </c>
      <c r="F7522" s="3" t="str">
        <f>IFERROR(__xludf.DUMMYFUNCTION("""COMPUTED_VALUE"""),"bobbilynnstewart@gmail.com")</f>
        <v>bobbilynnstewart@gmail.com</v>
      </c>
      <c r="G7522" s="3">
        <f>IFERROR(__xludf.DUMMYFUNCTION("""COMPUTED_VALUE"""),9.053763537E9)</f>
        <v>9053763537</v>
      </c>
      <c r="H7522" s="3"/>
    </row>
    <row r="7523">
      <c r="A7523" s="2">
        <f>IFERROR(__xludf.DUMMYFUNCTION("""COMPUTED_VALUE"""),91627.0)</f>
        <v>91627</v>
      </c>
      <c r="B7523" s="3" t="str">
        <f>IFERROR(__xludf.DUMMYFUNCTION("""COMPUTED_VALUE"""),"365 LAKESHORE RD  ")</f>
        <v>365 LAKESHORE RD  </v>
      </c>
      <c r="C7523" s="3" t="str">
        <f>IFERROR(__xludf.DUMMYFUNCTION("""COMPUTED_VALUE"""),"BRIGHTON")</f>
        <v>BRIGHTON</v>
      </c>
      <c r="D7523" s="3" t="str">
        <f>IFERROR(__xludf.DUMMYFUNCTION("""COMPUTED_VALUE"""),"K0K 1H0")</f>
        <v>K0K 1H0</v>
      </c>
      <c r="E7523" s="3" t="str">
        <f>IFERROR(__xludf.DUMMYFUNCTION("""COMPUTED_VALUE"""),"NICOLE WATERS")</f>
        <v>NICOLE WATERS</v>
      </c>
      <c r="F7523" s="3" t="str">
        <f>IFERROR(__xludf.DUMMYFUNCTION("""COMPUTED_VALUE"""),"nicole.w@trentonmfrc.ca")</f>
        <v>nicole.w@trentonmfrc.ca</v>
      </c>
      <c r="G7523" s="3"/>
      <c r="H7523" s="3"/>
    </row>
    <row r="7524">
      <c r="A7524" s="2">
        <f>IFERROR(__xludf.DUMMYFUNCTION("""COMPUTED_VALUE"""),91605.0)</f>
        <v>91605</v>
      </c>
      <c r="B7524" s="3" t="str">
        <f>IFERROR(__xludf.DUMMYFUNCTION("""COMPUTED_VALUE"""),"204 LAKESHORE RD  ")</f>
        <v>204 LAKESHORE RD  </v>
      </c>
      <c r="C7524" s="3" t="str">
        <f>IFERROR(__xludf.DUMMYFUNCTION("""COMPUTED_VALUE"""),"BRIGHTON")</f>
        <v>BRIGHTON</v>
      </c>
      <c r="D7524" s="3" t="str">
        <f>IFERROR(__xludf.DUMMYFUNCTION("""COMPUTED_VALUE"""),"K0K 1H0")</f>
        <v>K0K 1H0</v>
      </c>
      <c r="E7524" s="3" t="str">
        <f>IFERROR(__xludf.DUMMYFUNCTION("""COMPUTED_VALUE"""),"Shawn Turgeon")</f>
        <v>Shawn Turgeon</v>
      </c>
      <c r="F7524" s="3" t="str">
        <f>IFERROR(__xludf.DUMMYFUNCTION("""COMPUTED_VALUE"""),"shawncturgeon@live.ca")</f>
        <v>shawncturgeon@live.ca</v>
      </c>
      <c r="G7524" s="3">
        <f>IFERROR(__xludf.DUMMYFUNCTION("""COMPUTED_VALUE"""),9.054101665E9)</f>
        <v>9054101665</v>
      </c>
      <c r="H7524" s="3"/>
    </row>
    <row r="7525">
      <c r="A7525" s="2">
        <f>IFERROR(__xludf.DUMMYFUNCTION("""COMPUTED_VALUE"""),91606.0)</f>
        <v>91606</v>
      </c>
      <c r="B7525" s="3" t="str">
        <f>IFERROR(__xludf.DUMMYFUNCTION("""COMPUTED_VALUE"""),"212 LAKESHORE RD  ")</f>
        <v>212 LAKESHORE RD  </v>
      </c>
      <c r="C7525" s="3" t="str">
        <f>IFERROR(__xludf.DUMMYFUNCTION("""COMPUTED_VALUE"""),"BRIGHTON")</f>
        <v>BRIGHTON</v>
      </c>
      <c r="D7525" s="3" t="str">
        <f>IFERROR(__xludf.DUMMYFUNCTION("""COMPUTED_VALUE"""),"K0K 1H0")</f>
        <v>K0K 1H0</v>
      </c>
      <c r="E7525" s="3" t="str">
        <f>IFERROR(__xludf.DUMMYFUNCTION("""COMPUTED_VALUE"""),"Lance Tennier")</f>
        <v>Lance Tennier</v>
      </c>
      <c r="F7525" s="3" t="str">
        <f>IFERROR(__xludf.DUMMYFUNCTION("""COMPUTED_VALUE"""),"lancetennier@gmail.com")</f>
        <v>lancetennier@gmail.com</v>
      </c>
      <c r="G7525" s="3">
        <f>IFERROR(__xludf.DUMMYFUNCTION("""COMPUTED_VALUE"""),6.138479039E9)</f>
        <v>6138479039</v>
      </c>
      <c r="H7525" s="3"/>
    </row>
    <row r="7526">
      <c r="A7526" s="2">
        <f>IFERROR(__xludf.DUMMYFUNCTION("""COMPUTED_VALUE"""),91611.0)</f>
        <v>91611</v>
      </c>
      <c r="B7526" s="3" t="str">
        <f>IFERROR(__xludf.DUMMYFUNCTION("""COMPUTED_VALUE"""),"235 LAKESHORE RD  ")</f>
        <v>235 LAKESHORE RD  </v>
      </c>
      <c r="C7526" s="3" t="str">
        <f>IFERROR(__xludf.DUMMYFUNCTION("""COMPUTED_VALUE"""),"BRIGHTON")</f>
        <v>BRIGHTON</v>
      </c>
      <c r="D7526" s="3" t="str">
        <f>IFERROR(__xludf.DUMMYFUNCTION("""COMPUTED_VALUE"""),"K0K 1H0")</f>
        <v>K0K 1H0</v>
      </c>
      <c r="E7526" s="3" t="str">
        <f>IFERROR(__xludf.DUMMYFUNCTION("""COMPUTED_VALUE"""),"Gary and Ann McPherson")</f>
        <v>Gary and Ann McPherson</v>
      </c>
      <c r="F7526" s="3" t="str">
        <f>IFERROR(__xludf.DUMMYFUNCTION("""COMPUTED_VALUE"""),"gary.ann.mcpherson@gmail.com")</f>
        <v>gary.ann.mcpherson@gmail.com</v>
      </c>
      <c r="G7526" s="3"/>
      <c r="H7526" s="3"/>
    </row>
    <row r="7527">
      <c r="A7527" s="2">
        <f>IFERROR(__xludf.DUMMYFUNCTION("""COMPUTED_VALUE"""),91623.0)</f>
        <v>91623</v>
      </c>
      <c r="B7527" s="3" t="str">
        <f>IFERROR(__xludf.DUMMYFUNCTION("""COMPUTED_VALUE"""),"329 LAKESHORE RD  ")</f>
        <v>329 LAKESHORE RD  </v>
      </c>
      <c r="C7527" s="3" t="str">
        <f>IFERROR(__xludf.DUMMYFUNCTION("""COMPUTED_VALUE"""),"BRIGHTON")</f>
        <v>BRIGHTON</v>
      </c>
      <c r="D7527" s="3" t="str">
        <f>IFERROR(__xludf.DUMMYFUNCTION("""COMPUTED_VALUE"""),"K0K 1H0")</f>
        <v>K0K 1H0</v>
      </c>
      <c r="E7527" s="3" t="str">
        <f>IFERROR(__xludf.DUMMYFUNCTION("""COMPUTED_VALUE"""),"Peter Korikov")</f>
        <v>Peter Korikov</v>
      </c>
      <c r="F7527" s="3" t="str">
        <f>IFERROR(__xludf.DUMMYFUNCTION("""COMPUTED_VALUE"""),"peter.korikov@gmail.com")</f>
        <v>peter.korikov@gmail.com</v>
      </c>
      <c r="G7527" s="3">
        <f>IFERROR(__xludf.DUMMYFUNCTION("""COMPUTED_VALUE"""),6.478334231E9)</f>
        <v>6478334231</v>
      </c>
      <c r="H7527" s="3"/>
    </row>
    <row r="7528">
      <c r="A7528" s="2">
        <f>IFERROR(__xludf.DUMMYFUNCTION("""COMPUTED_VALUE"""),93285.0)</f>
        <v>93285</v>
      </c>
      <c r="B7528" s="3" t="str">
        <f>IFERROR(__xludf.DUMMYFUNCTION("""COMPUTED_VALUE"""),"605 LAKESHORE RD  ")</f>
        <v>605 LAKESHORE RD  </v>
      </c>
      <c r="C7528" s="3" t="str">
        <f>IFERROR(__xludf.DUMMYFUNCTION("""COMPUTED_VALUE"""),"BRIGHTON")</f>
        <v>BRIGHTON</v>
      </c>
      <c r="D7528" s="3" t="str">
        <f>IFERROR(__xludf.DUMMYFUNCTION("""COMPUTED_VALUE"""),"K0K 1H0")</f>
        <v>K0K 1H0</v>
      </c>
      <c r="E7528" s="3" t="str">
        <f>IFERROR(__xludf.DUMMYFUNCTION("""COMPUTED_VALUE"""),"omer dzehverovic")</f>
        <v>omer dzehverovic</v>
      </c>
      <c r="F7528" s="3" t="str">
        <f>IFERROR(__xludf.DUMMYFUNCTION("""COMPUTED_VALUE"""),"bluewing@sympatico.ca")</f>
        <v>bluewing@sympatico.ca</v>
      </c>
      <c r="G7528" s="3">
        <f>IFERROR(__xludf.DUMMYFUNCTION("""COMPUTED_VALUE"""),4.165763144E9)</f>
        <v>4165763144</v>
      </c>
      <c r="H7528" s="3"/>
    </row>
    <row r="7529">
      <c r="A7529" s="2">
        <f>IFERROR(__xludf.DUMMYFUNCTION("""COMPUTED_VALUE"""),91639.0)</f>
        <v>91639</v>
      </c>
      <c r="B7529" s="3" t="str">
        <f>IFERROR(__xludf.DUMMYFUNCTION("""COMPUTED_VALUE"""),"553 LAKESHORE RD  ")</f>
        <v>553 LAKESHORE RD  </v>
      </c>
      <c r="C7529" s="3" t="str">
        <f>IFERROR(__xludf.DUMMYFUNCTION("""COMPUTED_VALUE"""),"BRIGHTON")</f>
        <v>BRIGHTON</v>
      </c>
      <c r="D7529" s="3" t="str">
        <f>IFERROR(__xludf.DUMMYFUNCTION("""COMPUTED_VALUE"""),"K0K 1H0")</f>
        <v>K0K 1H0</v>
      </c>
      <c r="E7529" s="3" t="str">
        <f>IFERROR(__xludf.DUMMYFUNCTION("""COMPUTED_VALUE"""),"STEPHEN GILMORE")</f>
        <v>STEPHEN GILMORE</v>
      </c>
      <c r="F7529" s="3" t="str">
        <f>IFERROR(__xludf.DUMMYFUNCTION("""COMPUTED_VALUE"""),"s.gilmore@xplornet.com")</f>
        <v>s.gilmore@xplornet.com</v>
      </c>
      <c r="G7529" s="3"/>
      <c r="H7529" s="3"/>
    </row>
    <row r="7530">
      <c r="A7530" s="2">
        <f>IFERROR(__xludf.DUMMYFUNCTION("""COMPUTED_VALUE"""),91640.0)</f>
        <v>91640</v>
      </c>
      <c r="B7530" s="3" t="str">
        <f>IFERROR(__xludf.DUMMYFUNCTION("""COMPUTED_VALUE"""),"565 LAKESHORE RD  ")</f>
        <v>565 LAKESHORE RD  </v>
      </c>
      <c r="C7530" s="3" t="str">
        <f>IFERROR(__xludf.DUMMYFUNCTION("""COMPUTED_VALUE"""),"BRIGHTON")</f>
        <v>BRIGHTON</v>
      </c>
      <c r="D7530" s="3" t="str">
        <f>IFERROR(__xludf.DUMMYFUNCTION("""COMPUTED_VALUE"""),"K0K 1H0")</f>
        <v>K0K 1H0</v>
      </c>
      <c r="E7530" s="3" t="str">
        <f>IFERROR(__xludf.DUMMYFUNCTION("""COMPUTED_VALUE"""),"Deborah Bernardo")</f>
        <v>Deborah Bernardo</v>
      </c>
      <c r="F7530" s="3" t="str">
        <f>IFERROR(__xludf.DUMMYFUNCTION("""COMPUTED_VALUE"""),"deborahbernardo@hotmail.com")</f>
        <v>deborahbernardo@hotmail.com</v>
      </c>
      <c r="G7530" s="3">
        <f>IFERROR(__xludf.DUMMYFUNCTION("""COMPUTED_VALUE"""),6.138470426E9)</f>
        <v>6138470426</v>
      </c>
      <c r="H7530" s="3">
        <f>IFERROR(__xludf.DUMMYFUNCTION("""COMPUTED_VALUE"""),6.134750357E9)</f>
        <v>6134750357</v>
      </c>
    </row>
    <row r="7531">
      <c r="A7531" s="2">
        <f>IFERROR(__xludf.DUMMYFUNCTION("""COMPUTED_VALUE"""),91644.0)</f>
        <v>91644</v>
      </c>
      <c r="B7531" s="3" t="str">
        <f>IFERROR(__xludf.DUMMYFUNCTION("""COMPUTED_VALUE"""),"589 LAKESHORE RD  ")</f>
        <v>589 LAKESHORE RD  </v>
      </c>
      <c r="C7531" s="3" t="str">
        <f>IFERROR(__xludf.DUMMYFUNCTION("""COMPUTED_VALUE"""),"BRIGHTON")</f>
        <v>BRIGHTON</v>
      </c>
      <c r="D7531" s="3" t="str">
        <f>IFERROR(__xludf.DUMMYFUNCTION("""COMPUTED_VALUE"""),"K0K 1H0")</f>
        <v>K0K 1H0</v>
      </c>
      <c r="E7531" s="3"/>
      <c r="F7531" s="3"/>
      <c r="G7531" s="3"/>
      <c r="H7531" s="3"/>
    </row>
    <row r="7532">
      <c r="A7532" s="2">
        <f>IFERROR(__xludf.DUMMYFUNCTION("""COMPUTED_VALUE"""),91645.0)</f>
        <v>91645</v>
      </c>
      <c r="B7532" s="3" t="str">
        <f>IFERROR(__xludf.DUMMYFUNCTION("""COMPUTED_VALUE"""),"591 LAKESHORE RD  ")</f>
        <v>591 LAKESHORE RD  </v>
      </c>
      <c r="C7532" s="3" t="str">
        <f>IFERROR(__xludf.DUMMYFUNCTION("""COMPUTED_VALUE"""),"BRIGHTON")</f>
        <v>BRIGHTON</v>
      </c>
      <c r="D7532" s="3" t="str">
        <f>IFERROR(__xludf.DUMMYFUNCTION("""COMPUTED_VALUE"""),"K0K 1H0")</f>
        <v>K0K 1H0</v>
      </c>
      <c r="E7532" s="3" t="str">
        <f>IFERROR(__xludf.DUMMYFUNCTION("""COMPUTED_VALUE"""),"Audrey Koerber")</f>
        <v>Audrey Koerber</v>
      </c>
      <c r="F7532" s="3" t="str">
        <f>IFERROR(__xludf.DUMMYFUNCTION("""COMPUTED_VALUE"""),"audrey.koerber@live.com")</f>
        <v>audrey.koerber@live.com</v>
      </c>
      <c r="G7532" s="3">
        <f>IFERROR(__xludf.DUMMYFUNCTION("""COMPUTED_VALUE"""),6.13600953E9)</f>
        <v>6136009530</v>
      </c>
      <c r="H7532" s="3"/>
    </row>
    <row r="7533">
      <c r="A7533" s="2">
        <f>IFERROR(__xludf.DUMMYFUNCTION("""COMPUTED_VALUE"""),91646.0)</f>
        <v>91646</v>
      </c>
      <c r="B7533" s="3" t="str">
        <f>IFERROR(__xludf.DUMMYFUNCTION("""COMPUTED_VALUE"""),"599 LAKESHORE RD  ")</f>
        <v>599 LAKESHORE RD  </v>
      </c>
      <c r="C7533" s="3" t="str">
        <f>IFERROR(__xludf.DUMMYFUNCTION("""COMPUTED_VALUE"""),"BRIGHTON")</f>
        <v>BRIGHTON</v>
      </c>
      <c r="D7533" s="3" t="str">
        <f>IFERROR(__xludf.DUMMYFUNCTION("""COMPUTED_VALUE"""),"K0K 1H0")</f>
        <v>K0K 1H0</v>
      </c>
      <c r="E7533" s="3"/>
      <c r="F7533" s="3"/>
      <c r="G7533" s="3"/>
      <c r="H7533" s="3"/>
    </row>
    <row r="7534">
      <c r="A7534" s="2">
        <f>IFERROR(__xludf.DUMMYFUNCTION("""COMPUTED_VALUE"""),91648.0)</f>
        <v>91648</v>
      </c>
      <c r="B7534" s="3" t="str">
        <f>IFERROR(__xludf.DUMMYFUNCTION("""COMPUTED_VALUE"""),"616 LAKESHORE RD  ")</f>
        <v>616 LAKESHORE RD  </v>
      </c>
      <c r="C7534" s="3" t="str">
        <f>IFERROR(__xludf.DUMMYFUNCTION("""COMPUTED_VALUE"""),"BRIGHTON")</f>
        <v>BRIGHTON</v>
      </c>
      <c r="D7534" s="3" t="str">
        <f>IFERROR(__xludf.DUMMYFUNCTION("""COMPUTED_VALUE"""),"K0K 1H0")</f>
        <v>K0K 1H0</v>
      </c>
      <c r="E7534" s="3"/>
      <c r="F7534" s="3"/>
      <c r="G7534" s="3"/>
      <c r="H7534" s="3"/>
    </row>
    <row r="7535">
      <c r="A7535" s="2">
        <f>IFERROR(__xludf.DUMMYFUNCTION("""COMPUTED_VALUE"""),91641.0)</f>
        <v>91641</v>
      </c>
      <c r="B7535" s="3" t="str">
        <f>IFERROR(__xludf.DUMMYFUNCTION("""COMPUTED_VALUE"""),"575 LAKESHORE RD  ")</f>
        <v>575 LAKESHORE RD  </v>
      </c>
      <c r="C7535" s="3" t="str">
        <f>IFERROR(__xludf.DUMMYFUNCTION("""COMPUTED_VALUE"""),"BRIGHTON")</f>
        <v>BRIGHTON</v>
      </c>
      <c r="D7535" s="3" t="str">
        <f>IFERROR(__xludf.DUMMYFUNCTION("""COMPUTED_VALUE"""),"K0K 1H0")</f>
        <v>K0K 1H0</v>
      </c>
      <c r="E7535" s="3" t="str">
        <f>IFERROR(__xludf.DUMMYFUNCTION("""COMPUTED_VALUE"""),"Tim Deterling")</f>
        <v>Tim Deterling</v>
      </c>
      <c r="F7535" s="3" t="str">
        <f>IFERROR(__xludf.DUMMYFUNCTION("""COMPUTED_VALUE"""),"tim@bigtim.ca")</f>
        <v>tim@bigtim.ca</v>
      </c>
      <c r="G7535" s="3"/>
      <c r="H7535" s="3"/>
    </row>
    <row r="7536">
      <c r="A7536" s="2">
        <f>IFERROR(__xludf.DUMMYFUNCTION("""COMPUTED_VALUE"""),91642.0)</f>
        <v>91642</v>
      </c>
      <c r="B7536" s="3" t="str">
        <f>IFERROR(__xludf.DUMMYFUNCTION("""COMPUTED_VALUE"""),"579 LAKESHORE RD  ")</f>
        <v>579 LAKESHORE RD  </v>
      </c>
      <c r="C7536" s="3" t="str">
        <f>IFERROR(__xludf.DUMMYFUNCTION("""COMPUTED_VALUE"""),"BRIGHTON")</f>
        <v>BRIGHTON</v>
      </c>
      <c r="D7536" s="3" t="str">
        <f>IFERROR(__xludf.DUMMYFUNCTION("""COMPUTED_VALUE"""),"K0K 1H0")</f>
        <v>K0K 1H0</v>
      </c>
      <c r="E7536" s="3" t="str">
        <f>IFERROR(__xludf.DUMMYFUNCTION("""COMPUTED_VALUE"""),"John Ostaff")</f>
        <v>John Ostaff</v>
      </c>
      <c r="F7536" s="3" t="str">
        <f>IFERROR(__xludf.DUMMYFUNCTION("""COMPUTED_VALUE"""),"jostaff@gmail.com")</f>
        <v>jostaff@gmail.com</v>
      </c>
      <c r="G7536" s="3">
        <f>IFERROR(__xludf.DUMMYFUNCTION("""COMPUTED_VALUE"""),4.03971458E9)</f>
        <v>4039714580</v>
      </c>
      <c r="H7536" s="3">
        <f>IFERROR(__xludf.DUMMYFUNCTION("""COMPUTED_VALUE"""),9.052432739E9)</f>
        <v>9052432739</v>
      </c>
    </row>
    <row r="7537">
      <c r="A7537" s="2">
        <f>IFERROR(__xludf.DUMMYFUNCTION("""COMPUTED_VALUE"""),91643.0)</f>
        <v>91643</v>
      </c>
      <c r="B7537" s="3" t="str">
        <f>IFERROR(__xludf.DUMMYFUNCTION("""COMPUTED_VALUE"""),"580 LAKESHORE RD  ")</f>
        <v>580 LAKESHORE RD  </v>
      </c>
      <c r="C7537" s="3" t="str">
        <f>IFERROR(__xludf.DUMMYFUNCTION("""COMPUTED_VALUE"""),"BRIGHTON")</f>
        <v>BRIGHTON</v>
      </c>
      <c r="D7537" s="3" t="str">
        <f>IFERROR(__xludf.DUMMYFUNCTION("""COMPUTED_VALUE"""),"K0K 1H0")</f>
        <v>K0K 1H0</v>
      </c>
      <c r="E7537" s="3" t="str">
        <f>IFERROR(__xludf.DUMMYFUNCTION("""COMPUTED_VALUE"""),"Doris Smith ")</f>
        <v>Doris Smith </v>
      </c>
      <c r="F7537" s="3" t="str">
        <f>IFERROR(__xludf.DUMMYFUNCTION("""COMPUTED_VALUE"""),"Cnaal")</f>
        <v>Cnaal</v>
      </c>
      <c r="G7537" s="3"/>
      <c r="H7537" s="3"/>
    </row>
    <row r="7538">
      <c r="A7538" s="2">
        <f>IFERROR(__xludf.DUMMYFUNCTION("""COMPUTED_VALUE"""),91647.0)</f>
        <v>91647</v>
      </c>
      <c r="B7538" s="3" t="str">
        <f>IFERROR(__xludf.DUMMYFUNCTION("""COMPUTED_VALUE"""),"608 LAKESHORE RD  ")</f>
        <v>608 LAKESHORE RD  </v>
      </c>
      <c r="C7538" s="3" t="str">
        <f>IFERROR(__xludf.DUMMYFUNCTION("""COMPUTED_VALUE"""),"BRIGHTON")</f>
        <v>BRIGHTON</v>
      </c>
      <c r="D7538" s="3" t="str">
        <f>IFERROR(__xludf.DUMMYFUNCTION("""COMPUTED_VALUE"""),"K0K 1H0")</f>
        <v>K0K 1H0</v>
      </c>
      <c r="E7538" s="3" t="str">
        <f>IFERROR(__xludf.DUMMYFUNCTION("""COMPUTED_VALUE"""),"Victor Carrozzino")</f>
        <v>Victor Carrozzino</v>
      </c>
      <c r="F7538" s="3" t="str">
        <f>IFERROR(__xludf.DUMMYFUNCTION("""COMPUTED_VALUE"""),"victor.carrozzino53@gmail.com")</f>
        <v>victor.carrozzino53@gmail.com</v>
      </c>
      <c r="G7538" s="3">
        <f>IFERROR(__xludf.DUMMYFUNCTION("""COMPUTED_VALUE"""),4.165221174E9)</f>
        <v>4165221174</v>
      </c>
      <c r="H7538" s="3"/>
    </row>
    <row r="7539">
      <c r="A7539" s="2">
        <f>IFERROR(__xludf.DUMMYFUNCTION("""COMPUTED_VALUE"""),91628.0)</f>
        <v>91628</v>
      </c>
      <c r="B7539" s="3" t="str">
        <f>IFERROR(__xludf.DUMMYFUNCTION("""COMPUTED_VALUE"""),"399 LAKESHORE RD  ")</f>
        <v>399 LAKESHORE RD  </v>
      </c>
      <c r="C7539" s="3" t="str">
        <f>IFERROR(__xludf.DUMMYFUNCTION("""COMPUTED_VALUE"""),"BRIGHTON")</f>
        <v>BRIGHTON</v>
      </c>
      <c r="D7539" s="3" t="str">
        <f>IFERROR(__xludf.DUMMYFUNCTION("""COMPUTED_VALUE"""),"K0K 1H0")</f>
        <v>K0K 1H0</v>
      </c>
      <c r="E7539" s="3" t="str">
        <f>IFERROR(__xludf.DUMMYFUNCTION("""COMPUTED_VALUE"""),"angeka maguire ")</f>
        <v>angeka maguire </v>
      </c>
      <c r="F7539" s="3" t="str">
        <f>IFERROR(__xludf.DUMMYFUNCTION("""COMPUTED_VALUE"""),"angbrentmaguire@gmail.com")</f>
        <v>angbrentmaguire@gmail.com</v>
      </c>
      <c r="G7539" s="3">
        <f>IFERROR(__xludf.DUMMYFUNCTION("""COMPUTED_VALUE"""),9.052694598E9)</f>
        <v>9052694598</v>
      </c>
      <c r="H7539" s="3"/>
    </row>
    <row r="7540">
      <c r="A7540" s="2">
        <f>IFERROR(__xludf.DUMMYFUNCTION("""COMPUTED_VALUE"""),91629.0)</f>
        <v>91629</v>
      </c>
      <c r="B7540" s="3" t="str">
        <f>IFERROR(__xludf.DUMMYFUNCTION("""COMPUTED_VALUE"""),"420 LAKESHORE RD  ")</f>
        <v>420 LAKESHORE RD  </v>
      </c>
      <c r="C7540" s="3" t="str">
        <f>IFERROR(__xludf.DUMMYFUNCTION("""COMPUTED_VALUE"""),"BRIGHTON")</f>
        <v>BRIGHTON</v>
      </c>
      <c r="D7540" s="3" t="str">
        <f>IFERROR(__xludf.DUMMYFUNCTION("""COMPUTED_VALUE"""),"K0K 1H0")</f>
        <v>K0K 1H0</v>
      </c>
      <c r="E7540" s="3"/>
      <c r="F7540" s="3"/>
      <c r="G7540" s="3"/>
      <c r="H7540" s="3"/>
    </row>
    <row r="7541">
      <c r="A7541" s="2">
        <f>IFERROR(__xludf.DUMMYFUNCTION("""COMPUTED_VALUE"""),91630.0)</f>
        <v>91630</v>
      </c>
      <c r="B7541" s="3" t="str">
        <f>IFERROR(__xludf.DUMMYFUNCTION("""COMPUTED_VALUE"""),"423 LAKESHORE RD  ")</f>
        <v>423 LAKESHORE RD  </v>
      </c>
      <c r="C7541" s="3" t="str">
        <f>IFERROR(__xludf.DUMMYFUNCTION("""COMPUTED_VALUE"""),"BRIGHTON")</f>
        <v>BRIGHTON</v>
      </c>
      <c r="D7541" s="3" t="str">
        <f>IFERROR(__xludf.DUMMYFUNCTION("""COMPUTED_VALUE"""),"K0K 1H0")</f>
        <v>K0K 1H0</v>
      </c>
      <c r="E7541" s="3"/>
      <c r="F7541" s="3"/>
      <c r="G7541" s="3"/>
      <c r="H7541" s="3"/>
    </row>
    <row r="7542">
      <c r="A7542" s="2">
        <f>IFERROR(__xludf.DUMMYFUNCTION("""COMPUTED_VALUE"""),91631.0)</f>
        <v>91631</v>
      </c>
      <c r="B7542" s="3" t="str">
        <f>IFERROR(__xludf.DUMMYFUNCTION("""COMPUTED_VALUE"""),"427 LAKESHORE RD  ")</f>
        <v>427 LAKESHORE RD  </v>
      </c>
      <c r="C7542" s="3" t="str">
        <f>IFERROR(__xludf.DUMMYFUNCTION("""COMPUTED_VALUE"""),"BRIGHTON")</f>
        <v>BRIGHTON</v>
      </c>
      <c r="D7542" s="3" t="str">
        <f>IFERROR(__xludf.DUMMYFUNCTION("""COMPUTED_VALUE"""),"K0K 1H0")</f>
        <v>K0K 1H0</v>
      </c>
      <c r="E7542" s="3"/>
      <c r="F7542" s="3"/>
      <c r="G7542" s="3"/>
      <c r="H7542" s="3"/>
    </row>
    <row r="7543">
      <c r="A7543" s="2">
        <f>IFERROR(__xludf.DUMMYFUNCTION("""COMPUTED_VALUE"""),91633.0)</f>
        <v>91633</v>
      </c>
      <c r="B7543" s="3" t="str">
        <f>IFERROR(__xludf.DUMMYFUNCTION("""COMPUTED_VALUE"""),"455 LAKESHORE RD  ")</f>
        <v>455 LAKESHORE RD  </v>
      </c>
      <c r="C7543" s="3" t="str">
        <f>IFERROR(__xludf.DUMMYFUNCTION("""COMPUTED_VALUE"""),"BRIGHTON")</f>
        <v>BRIGHTON</v>
      </c>
      <c r="D7543" s="3" t="str">
        <f>IFERROR(__xludf.DUMMYFUNCTION("""COMPUTED_VALUE"""),"K0K 1H0")</f>
        <v>K0K 1H0</v>
      </c>
      <c r="E7543" s="3" t="str">
        <f>IFERROR(__xludf.DUMMYFUNCTION("""COMPUTED_VALUE"""),"jeremy nokes")</f>
        <v>jeremy nokes</v>
      </c>
      <c r="F7543" s="3" t="str">
        <f>IFERROR(__xludf.DUMMYFUNCTION("""COMPUTED_VALUE"""),"jeremy.nokes@gmail.com")</f>
        <v>jeremy.nokes@gmail.com</v>
      </c>
      <c r="G7543" s="3">
        <f>IFERROR(__xludf.DUMMYFUNCTION("""COMPUTED_VALUE"""),6.472276933E9)</f>
        <v>6472276933</v>
      </c>
      <c r="H7543" s="3"/>
    </row>
    <row r="7544">
      <c r="A7544" s="2">
        <f>IFERROR(__xludf.DUMMYFUNCTION("""COMPUTED_VALUE"""),91634.0)</f>
        <v>91634</v>
      </c>
      <c r="B7544" s="3" t="str">
        <f>IFERROR(__xludf.DUMMYFUNCTION("""COMPUTED_VALUE"""),"463 LAKESHORE RD  ")</f>
        <v>463 LAKESHORE RD  </v>
      </c>
      <c r="C7544" s="3" t="str">
        <f>IFERROR(__xludf.DUMMYFUNCTION("""COMPUTED_VALUE"""),"BRIGHTON")</f>
        <v>BRIGHTON</v>
      </c>
      <c r="D7544" s="3" t="str">
        <f>IFERROR(__xludf.DUMMYFUNCTION("""COMPUTED_VALUE"""),"K0K 1H0")</f>
        <v>K0K 1H0</v>
      </c>
      <c r="E7544" s="3"/>
      <c r="F7544" s="3"/>
      <c r="G7544" s="3"/>
      <c r="H7544" s="3"/>
    </row>
    <row r="7545">
      <c r="A7545" s="2">
        <f>IFERROR(__xludf.DUMMYFUNCTION("""COMPUTED_VALUE"""),91635.0)</f>
        <v>91635</v>
      </c>
      <c r="B7545" s="3" t="str">
        <f>IFERROR(__xludf.DUMMYFUNCTION("""COMPUTED_VALUE"""),"478 LAKESHORE RD  ")</f>
        <v>478 LAKESHORE RD  </v>
      </c>
      <c r="C7545" s="3" t="str">
        <f>IFERROR(__xludf.DUMMYFUNCTION("""COMPUTED_VALUE"""),"BRIGHTON")</f>
        <v>BRIGHTON</v>
      </c>
      <c r="D7545" s="3" t="str">
        <f>IFERROR(__xludf.DUMMYFUNCTION("""COMPUTED_VALUE"""),"K0K 1H0")</f>
        <v>K0K 1H0</v>
      </c>
      <c r="E7545" s="3" t="str">
        <f>IFERROR(__xludf.DUMMYFUNCTION("""COMPUTED_VALUE"""),"Josh Armstrong")</f>
        <v>Josh Armstrong</v>
      </c>
      <c r="F7545" s="3" t="str">
        <f>IFERROR(__xludf.DUMMYFUNCTION("""COMPUTED_VALUE"""),"joshuaarmstrong@live.ca")</f>
        <v>joshuaarmstrong@live.ca</v>
      </c>
      <c r="G7545" s="3">
        <f>IFERROR(__xludf.DUMMYFUNCTION("""COMPUTED_VALUE"""),7.808819357E9)</f>
        <v>7808819357</v>
      </c>
      <c r="H7545" s="3"/>
    </row>
    <row r="7546">
      <c r="A7546" s="2">
        <f>IFERROR(__xludf.DUMMYFUNCTION("""COMPUTED_VALUE"""),91636.0)</f>
        <v>91636</v>
      </c>
      <c r="B7546" s="3" t="str">
        <f>IFERROR(__xludf.DUMMYFUNCTION("""COMPUTED_VALUE"""),"494 LAKESHORE RD  ")</f>
        <v>494 LAKESHORE RD  </v>
      </c>
      <c r="C7546" s="3" t="str">
        <f>IFERROR(__xludf.DUMMYFUNCTION("""COMPUTED_VALUE"""),"BRIGHTON")</f>
        <v>BRIGHTON</v>
      </c>
      <c r="D7546" s="3" t="str">
        <f>IFERROR(__xludf.DUMMYFUNCTION("""COMPUTED_VALUE"""),"K0K 1H0")</f>
        <v>K0K 1H0</v>
      </c>
      <c r="E7546" s="3" t="str">
        <f>IFERROR(__xludf.DUMMYFUNCTION("""COMPUTED_VALUE"""),"nancy maynard")</f>
        <v>nancy maynard</v>
      </c>
      <c r="F7546" s="3" t="str">
        <f>IFERROR(__xludf.DUMMYFUNCTION("""COMPUTED_VALUE"""),"nphhm@outlook.com")</f>
        <v>nphhm@outlook.com</v>
      </c>
      <c r="G7546" s="3">
        <f>IFERROR(__xludf.DUMMYFUNCTION("""COMPUTED_VALUE"""),6.138495644E9)</f>
        <v>6138495644</v>
      </c>
      <c r="H7546" s="3"/>
    </row>
    <row r="7547">
      <c r="A7547" s="2">
        <f>IFERROR(__xludf.DUMMYFUNCTION("""COMPUTED_VALUE"""),91637.0)</f>
        <v>91637</v>
      </c>
      <c r="B7547" s="3" t="str">
        <f>IFERROR(__xludf.DUMMYFUNCTION("""COMPUTED_VALUE"""),"503 LAKESHORE RD  ")</f>
        <v>503 LAKESHORE RD  </v>
      </c>
      <c r="C7547" s="3" t="str">
        <f>IFERROR(__xludf.DUMMYFUNCTION("""COMPUTED_VALUE"""),"BRIGHTON")</f>
        <v>BRIGHTON</v>
      </c>
      <c r="D7547" s="3" t="str">
        <f>IFERROR(__xludf.DUMMYFUNCTION("""COMPUTED_VALUE"""),"K0K 1H0")</f>
        <v>K0K 1H0</v>
      </c>
      <c r="E7547" s="3" t="str">
        <f>IFERROR(__xludf.DUMMYFUNCTION("""COMPUTED_VALUE"""),"Joe Hayes")</f>
        <v>Joe Hayes</v>
      </c>
      <c r="F7547" s="3" t="str">
        <f>IFERROR(__xludf.DUMMYFUNCTION("""COMPUTED_VALUE"""),"joehayes65@gmail.com")</f>
        <v>joehayes65@gmail.com</v>
      </c>
      <c r="G7547" s="3"/>
      <c r="H7547" s="3"/>
    </row>
    <row r="7548">
      <c r="A7548" s="2">
        <f>IFERROR(__xludf.DUMMYFUNCTION("""COMPUTED_VALUE"""),91638.0)</f>
        <v>91638</v>
      </c>
      <c r="B7548" s="3" t="str">
        <f>IFERROR(__xludf.DUMMYFUNCTION("""COMPUTED_VALUE"""),"510 LAKESHORE RD  ")</f>
        <v>510 LAKESHORE RD  </v>
      </c>
      <c r="C7548" s="3" t="str">
        <f>IFERROR(__xludf.DUMMYFUNCTION("""COMPUTED_VALUE"""),"BRIGHTON")</f>
        <v>BRIGHTON</v>
      </c>
      <c r="D7548" s="3" t="str">
        <f>IFERROR(__xludf.DUMMYFUNCTION("""COMPUTED_VALUE"""),"K0K 1H0")</f>
        <v>K0K 1H0</v>
      </c>
      <c r="E7548" s="3" t="str">
        <f>IFERROR(__xludf.DUMMYFUNCTION("""COMPUTED_VALUE"""),"susan catney")</f>
        <v>susan catney</v>
      </c>
      <c r="F7548" s="3"/>
      <c r="G7548" s="3">
        <f>IFERROR(__xludf.DUMMYFUNCTION("""COMPUTED_VALUE"""),6.134750485E9)</f>
        <v>6134750485</v>
      </c>
      <c r="H7548" s="3"/>
    </row>
    <row r="7549">
      <c r="A7549" s="2">
        <f>IFERROR(__xludf.DUMMYFUNCTION("""COMPUTED_VALUE"""),91632.0)</f>
        <v>91632</v>
      </c>
      <c r="B7549" s="3" t="str">
        <f>IFERROR(__xludf.DUMMYFUNCTION("""COMPUTED_VALUE"""),"441 LAKESHORE RD  ")</f>
        <v>441 LAKESHORE RD  </v>
      </c>
      <c r="C7549" s="3" t="str">
        <f>IFERROR(__xludf.DUMMYFUNCTION("""COMPUTED_VALUE"""),"BRIGHTON")</f>
        <v>BRIGHTON</v>
      </c>
      <c r="D7549" s="3" t="str">
        <f>IFERROR(__xludf.DUMMYFUNCTION("""COMPUTED_VALUE"""),"K0K 1H0")</f>
        <v>K0K 1H0</v>
      </c>
      <c r="E7549" s="3" t="str">
        <f>IFERROR(__xludf.DUMMYFUNCTION("""COMPUTED_VALUE"""),"Nancy Griffith")</f>
        <v>Nancy Griffith</v>
      </c>
      <c r="F7549" s="3" t="str">
        <f>IFERROR(__xludf.DUMMYFUNCTION("""COMPUTED_VALUE"""),"n.douse@rogers.com")</f>
        <v>n.douse@rogers.com</v>
      </c>
      <c r="G7549" s="3">
        <f>IFERROR(__xludf.DUMMYFUNCTION("""COMPUTED_VALUE"""),6.479655598E9)</f>
        <v>6479655598</v>
      </c>
      <c r="H7549" s="3">
        <f>IFERROR(__xludf.DUMMYFUNCTION("""COMPUTED_VALUE"""),2.892000559E9)</f>
        <v>2892000559</v>
      </c>
    </row>
    <row r="7550">
      <c r="A7550" s="2">
        <f>IFERROR(__xludf.DUMMYFUNCTION("""COMPUTED_VALUE"""),91653.0)</f>
        <v>91653</v>
      </c>
      <c r="B7550" s="3" t="str">
        <f>IFERROR(__xludf.DUMMYFUNCTION("""COMPUTED_VALUE"""),"628 LAKESHORE RD (BRIGHTON)")</f>
        <v>628 LAKESHORE RD (BRIGHTON)</v>
      </c>
      <c r="C7550" s="3" t="str">
        <f>IFERROR(__xludf.DUMMYFUNCTION("""COMPUTED_VALUE"""),"BRIGHTON")</f>
        <v>BRIGHTON</v>
      </c>
      <c r="D7550" s="3" t="str">
        <f>IFERROR(__xludf.DUMMYFUNCTION("""COMPUTED_VALUE"""),"K0K 1H0")</f>
        <v>K0K 1H0</v>
      </c>
      <c r="E7550" s="3"/>
      <c r="F7550" s="3"/>
      <c r="G7550" s="3"/>
      <c r="H7550" s="3"/>
    </row>
    <row r="7551">
      <c r="A7551" s="2">
        <f>IFERROR(__xludf.DUMMYFUNCTION("""COMPUTED_VALUE"""),91654.0)</f>
        <v>91654</v>
      </c>
      <c r="B7551" s="3" t="str">
        <f>IFERROR(__xludf.DUMMYFUNCTION("""COMPUTED_VALUE"""),"629 LAKESHORE RD  ")</f>
        <v>629 LAKESHORE RD  </v>
      </c>
      <c r="C7551" s="3" t="str">
        <f>IFERROR(__xludf.DUMMYFUNCTION("""COMPUTED_VALUE"""),"BRIGHTON")</f>
        <v>BRIGHTON</v>
      </c>
      <c r="D7551" s="3" t="str">
        <f>IFERROR(__xludf.DUMMYFUNCTION("""COMPUTED_VALUE"""),"K0K 1H0")</f>
        <v>K0K 1H0</v>
      </c>
      <c r="E7551" s="3" t="str">
        <f>IFERROR(__xludf.DUMMYFUNCTION("""COMPUTED_VALUE"""),"Eileen Storey")</f>
        <v>Eileen Storey</v>
      </c>
      <c r="F7551" s="3" t="str">
        <f>IFERROR(__xludf.DUMMYFUNCTION("""COMPUTED_VALUE"""),"eileen.storey@xplornet.ca")</f>
        <v>eileen.storey@xplornet.ca</v>
      </c>
      <c r="G7551" s="3"/>
      <c r="H7551" s="3"/>
    </row>
    <row r="7552">
      <c r="A7552" s="2">
        <f>IFERROR(__xludf.DUMMYFUNCTION("""COMPUTED_VALUE"""),91656.0)</f>
        <v>91656</v>
      </c>
      <c r="B7552" s="3" t="str">
        <f>IFERROR(__xludf.DUMMYFUNCTION("""COMPUTED_VALUE"""),"639 LAKESHORE RD  ")</f>
        <v>639 LAKESHORE RD  </v>
      </c>
      <c r="C7552" s="3" t="str">
        <f>IFERROR(__xludf.DUMMYFUNCTION("""COMPUTED_VALUE"""),"BRIGHTON")</f>
        <v>BRIGHTON</v>
      </c>
      <c r="D7552" s="3" t="str">
        <f>IFERROR(__xludf.DUMMYFUNCTION("""COMPUTED_VALUE"""),"K0K 1H0")</f>
        <v>K0K 1H0</v>
      </c>
      <c r="E7552" s="3"/>
      <c r="F7552" s="3"/>
      <c r="G7552" s="3"/>
      <c r="H7552" s="3"/>
    </row>
    <row r="7553">
      <c r="A7553" s="2">
        <f>IFERROR(__xludf.DUMMYFUNCTION("""COMPUTED_VALUE"""),91657.0)</f>
        <v>91657</v>
      </c>
      <c r="B7553" s="3" t="str">
        <f>IFERROR(__xludf.DUMMYFUNCTION("""COMPUTED_VALUE"""),"645 LAKESHORE RD  ")</f>
        <v>645 LAKESHORE RD  </v>
      </c>
      <c r="C7553" s="3" t="str">
        <f>IFERROR(__xludf.DUMMYFUNCTION("""COMPUTED_VALUE"""),"BRIGHTON")</f>
        <v>BRIGHTON</v>
      </c>
      <c r="D7553" s="3" t="str">
        <f>IFERROR(__xludf.DUMMYFUNCTION("""COMPUTED_VALUE"""),"K0K 1H0")</f>
        <v>K0K 1H0</v>
      </c>
      <c r="E7553" s="3" t="str">
        <f>IFERROR(__xludf.DUMMYFUNCTION("""COMPUTED_VALUE"""),"Nick Cormier")</f>
        <v>Nick Cormier</v>
      </c>
      <c r="F7553" s="3" t="str">
        <f>IFERROR(__xludf.DUMMYFUNCTION("""COMPUTED_VALUE"""),"nick_cormier@ymail.com")</f>
        <v>nick_cormier@ymail.com</v>
      </c>
      <c r="G7553" s="3"/>
      <c r="H7553" s="3"/>
    </row>
    <row r="7554">
      <c r="A7554" s="2">
        <f>IFERROR(__xludf.DUMMYFUNCTION("""COMPUTED_VALUE"""),91658.0)</f>
        <v>91658</v>
      </c>
      <c r="B7554" s="3" t="str">
        <f>IFERROR(__xludf.DUMMYFUNCTION("""COMPUTED_VALUE"""),"646 LAKESHORE RD  ")</f>
        <v>646 LAKESHORE RD  </v>
      </c>
      <c r="C7554" s="3" t="str">
        <f>IFERROR(__xludf.DUMMYFUNCTION("""COMPUTED_VALUE"""),"BRIGHTON")</f>
        <v>BRIGHTON</v>
      </c>
      <c r="D7554" s="3" t="str">
        <f>IFERROR(__xludf.DUMMYFUNCTION("""COMPUTED_VALUE"""),"K0K 1H0")</f>
        <v>K0K 1H0</v>
      </c>
      <c r="E7554" s="3" t="str">
        <f>IFERROR(__xludf.DUMMYFUNCTION("""COMPUTED_VALUE"""),"Christine Avery")</f>
        <v>Christine Avery</v>
      </c>
      <c r="F7554" s="3" t="str">
        <f>IFERROR(__xludf.DUMMYFUNCTION("""COMPUTED_VALUE"""),"averyc2112@yahoo.caa")</f>
        <v>averyc2112@yahoo.caa</v>
      </c>
      <c r="G7554" s="3">
        <f>IFERROR(__xludf.DUMMYFUNCTION("""COMPUTED_VALUE"""),6.132423755E9)</f>
        <v>6132423755</v>
      </c>
      <c r="H7554" s="3"/>
    </row>
    <row r="7555">
      <c r="A7555" s="2">
        <f>IFERROR(__xludf.DUMMYFUNCTION("""COMPUTED_VALUE"""),91660.0)</f>
        <v>91660</v>
      </c>
      <c r="B7555" s="3" t="str">
        <f>IFERROR(__xludf.DUMMYFUNCTION("""COMPUTED_VALUE"""),"653 LAKESHORE RD  ")</f>
        <v>653 LAKESHORE RD  </v>
      </c>
      <c r="C7555" s="3" t="str">
        <f>IFERROR(__xludf.DUMMYFUNCTION("""COMPUTED_VALUE"""),"BRIGHTON")</f>
        <v>BRIGHTON</v>
      </c>
      <c r="D7555" s="3" t="str">
        <f>IFERROR(__xludf.DUMMYFUNCTION("""COMPUTED_VALUE"""),"K0K 1H0")</f>
        <v>K0K 1H0</v>
      </c>
      <c r="E7555" s="3" t="str">
        <f>IFERROR(__xludf.DUMMYFUNCTION("""COMPUTED_VALUE"""),"Jeff Semple/Amanda Everett")</f>
        <v>Jeff Semple/Amanda Everett</v>
      </c>
      <c r="F7555" s="3" t="str">
        <f>IFERROR(__xludf.DUMMYFUNCTION("""COMPUTED_VALUE"""),"jsemple7369@gmail.com")</f>
        <v>jsemple7369@gmail.com</v>
      </c>
      <c r="G7555" s="3"/>
      <c r="H7555" s="3"/>
    </row>
    <row r="7556">
      <c r="A7556" s="2">
        <f>IFERROR(__xludf.DUMMYFUNCTION("""COMPUTED_VALUE"""),91662.0)</f>
        <v>91662</v>
      </c>
      <c r="B7556" s="3" t="str">
        <f>IFERROR(__xludf.DUMMYFUNCTION("""COMPUTED_VALUE"""),"676 LAKESHORE RD  ")</f>
        <v>676 LAKESHORE RD  </v>
      </c>
      <c r="C7556" s="3" t="str">
        <f>IFERROR(__xludf.DUMMYFUNCTION("""COMPUTED_VALUE"""),"BRIGHTON")</f>
        <v>BRIGHTON</v>
      </c>
      <c r="D7556" s="3" t="str">
        <f>IFERROR(__xludf.DUMMYFUNCTION("""COMPUTED_VALUE"""),"K0K 1H0")</f>
        <v>K0K 1H0</v>
      </c>
      <c r="E7556" s="3" t="str">
        <f>IFERROR(__xludf.DUMMYFUNCTION("""COMPUTED_VALUE"""),"kathryn kloosterman")</f>
        <v>kathryn kloosterman</v>
      </c>
      <c r="F7556" s="3" t="str">
        <f>IFERROR(__xludf.DUMMYFUNCTION("""COMPUTED_VALUE"""),"kathrynmac12@gmail.com")</f>
        <v>kathrynmac12@gmail.com</v>
      </c>
      <c r="G7556" s="3">
        <f>IFERROR(__xludf.DUMMYFUNCTION("""COMPUTED_VALUE"""),9.054245744E9)</f>
        <v>9054245744</v>
      </c>
      <c r="H7556" s="3"/>
    </row>
    <row r="7557">
      <c r="A7557" s="2">
        <f>IFERROR(__xludf.DUMMYFUNCTION("""COMPUTED_VALUE"""),91663.0)</f>
        <v>91663</v>
      </c>
      <c r="B7557" s="3" t="str">
        <f>IFERROR(__xludf.DUMMYFUNCTION("""COMPUTED_VALUE"""),"680 LAKESHORE RD  ")</f>
        <v>680 LAKESHORE RD  </v>
      </c>
      <c r="C7557" s="3" t="str">
        <f>IFERROR(__xludf.DUMMYFUNCTION("""COMPUTED_VALUE"""),"BRIGHTON")</f>
        <v>BRIGHTON</v>
      </c>
      <c r="D7557" s="3" t="str">
        <f>IFERROR(__xludf.DUMMYFUNCTION("""COMPUTED_VALUE"""),"K0K 1H0")</f>
        <v>K0K 1H0</v>
      </c>
      <c r="E7557" s="3" t="str">
        <f>IFERROR(__xludf.DUMMYFUNCTION("""COMPUTED_VALUE"""),"victoria griosjean")</f>
        <v>victoria griosjean</v>
      </c>
      <c r="F7557" s="3"/>
      <c r="G7557" s="3">
        <f>IFERROR(__xludf.DUMMYFUNCTION("""COMPUTED_VALUE"""),6.134751394E9)</f>
        <v>6134751394</v>
      </c>
      <c r="H7557" s="3"/>
    </row>
    <row r="7558">
      <c r="A7558" s="2">
        <f>IFERROR(__xludf.DUMMYFUNCTION("""COMPUTED_VALUE"""),91664.0)</f>
        <v>91664</v>
      </c>
      <c r="B7558" s="3" t="str">
        <f>IFERROR(__xludf.DUMMYFUNCTION("""COMPUTED_VALUE"""),"688 LAKESHORE RD  ")</f>
        <v>688 LAKESHORE RD  </v>
      </c>
      <c r="C7558" s="3" t="str">
        <f>IFERROR(__xludf.DUMMYFUNCTION("""COMPUTED_VALUE"""),"BRIGHTON")</f>
        <v>BRIGHTON</v>
      </c>
      <c r="D7558" s="3" t="str">
        <f>IFERROR(__xludf.DUMMYFUNCTION("""COMPUTED_VALUE"""),"K0K 1H0")</f>
        <v>K0K 1H0</v>
      </c>
      <c r="E7558" s="3" t="str">
        <f>IFERROR(__xludf.DUMMYFUNCTION("""COMPUTED_VALUE"""),"Craig Wilson")</f>
        <v>Craig Wilson</v>
      </c>
      <c r="F7558" s="3" t="str">
        <f>IFERROR(__xludf.DUMMYFUNCTION("""COMPUTED_VALUE"""),"cwilson1979@yahoo.ca")</f>
        <v>cwilson1979@yahoo.ca</v>
      </c>
      <c r="G7558" s="3">
        <f>IFERROR(__xludf.DUMMYFUNCTION("""COMPUTED_VALUE"""),6.138471556E9)</f>
        <v>6138471556</v>
      </c>
      <c r="H7558" s="3"/>
    </row>
    <row r="7559">
      <c r="A7559" s="2">
        <f>IFERROR(__xludf.DUMMYFUNCTION("""COMPUTED_VALUE"""),91665.0)</f>
        <v>91665</v>
      </c>
      <c r="B7559" s="3" t="str">
        <f>IFERROR(__xludf.DUMMYFUNCTION("""COMPUTED_VALUE"""),"694 LAKESHORE RD  ")</f>
        <v>694 LAKESHORE RD  </v>
      </c>
      <c r="C7559" s="3" t="str">
        <f>IFERROR(__xludf.DUMMYFUNCTION("""COMPUTED_VALUE"""),"BRIGHTON")</f>
        <v>BRIGHTON</v>
      </c>
      <c r="D7559" s="3" t="str">
        <f>IFERROR(__xludf.DUMMYFUNCTION("""COMPUTED_VALUE"""),"K0K 1H0")</f>
        <v>K0K 1H0</v>
      </c>
      <c r="E7559" s="3" t="str">
        <f>IFERROR(__xludf.DUMMYFUNCTION("""COMPUTED_VALUE"""),"john post ")</f>
        <v>john post </v>
      </c>
      <c r="F7559" s="3" t="str">
        <f>IFERROR(__xludf.DUMMYFUNCTION("""COMPUTED_VALUE"""),"postie56@msn.com")</f>
        <v>postie56@msn.com</v>
      </c>
      <c r="G7559" s="3">
        <f>IFERROR(__xludf.DUMMYFUNCTION("""COMPUTED_VALUE"""),6.134753743E9)</f>
        <v>6134753743</v>
      </c>
      <c r="H7559" s="3"/>
    </row>
    <row r="7560">
      <c r="A7560" s="2">
        <f>IFERROR(__xludf.DUMMYFUNCTION("""COMPUTED_VALUE"""),91655.0)</f>
        <v>91655</v>
      </c>
      <c r="B7560" s="3" t="str">
        <f>IFERROR(__xludf.DUMMYFUNCTION("""COMPUTED_VALUE"""),"638 LAKESHORE RD  ")</f>
        <v>638 LAKESHORE RD  </v>
      </c>
      <c r="C7560" s="3" t="str">
        <f>IFERROR(__xludf.DUMMYFUNCTION("""COMPUTED_VALUE"""),"BRIGHTON")</f>
        <v>BRIGHTON</v>
      </c>
      <c r="D7560" s="3" t="str">
        <f>IFERROR(__xludf.DUMMYFUNCTION("""COMPUTED_VALUE"""),"K0K 1H0")</f>
        <v>K0K 1H0</v>
      </c>
      <c r="E7560" s="3" t="str">
        <f>IFERROR(__xludf.DUMMYFUNCTION("""COMPUTED_VALUE"""),"Cindy Phillips")</f>
        <v>Cindy Phillips</v>
      </c>
      <c r="F7560" s="3" t="str">
        <f>IFERROR(__xludf.DUMMYFUNCTION("""COMPUTED_VALUE"""),"cindyphillips82@hotmail.com")</f>
        <v>cindyphillips82@hotmail.com</v>
      </c>
      <c r="G7560" s="3">
        <f>IFERROR(__xludf.DUMMYFUNCTION("""COMPUTED_VALUE"""),6.132433383E9)</f>
        <v>6132433383</v>
      </c>
      <c r="H7560" s="3"/>
    </row>
    <row r="7561">
      <c r="A7561" s="2">
        <f>IFERROR(__xludf.DUMMYFUNCTION("""COMPUTED_VALUE"""),91659.0)</f>
        <v>91659</v>
      </c>
      <c r="B7561" s="3" t="str">
        <f>IFERROR(__xludf.DUMMYFUNCTION("""COMPUTED_VALUE"""),"650 LAKESHORE RD  ")</f>
        <v>650 LAKESHORE RD  </v>
      </c>
      <c r="C7561" s="3" t="str">
        <f>IFERROR(__xludf.DUMMYFUNCTION("""COMPUTED_VALUE"""),"BRIGHTON")</f>
        <v>BRIGHTON</v>
      </c>
      <c r="D7561" s="3" t="str">
        <f>IFERROR(__xludf.DUMMYFUNCTION("""COMPUTED_VALUE"""),"K0K 1H0")</f>
        <v>K0K 1H0</v>
      </c>
      <c r="E7561" s="3" t="str">
        <f>IFERROR(__xludf.DUMMYFUNCTION("""COMPUTED_VALUE"""),"Carl H. Looby")</f>
        <v>Carl H. Looby</v>
      </c>
      <c r="F7561" s="3" t="str">
        <f>IFERROR(__xludf.DUMMYFUNCTION("""COMPUTED_VALUE"""),"carllooby@hotmail.com")</f>
        <v>carllooby@hotmail.com</v>
      </c>
      <c r="G7561" s="3"/>
      <c r="H7561" s="3"/>
    </row>
    <row r="7562">
      <c r="A7562" s="2">
        <f>IFERROR(__xludf.DUMMYFUNCTION("""COMPUTED_VALUE"""),91661.0)</f>
        <v>91661</v>
      </c>
      <c r="B7562" s="3" t="str">
        <f>IFERROR(__xludf.DUMMYFUNCTION("""COMPUTED_VALUE"""),"659 LAKESHORE RD  ")</f>
        <v>659 LAKESHORE RD  </v>
      </c>
      <c r="C7562" s="3" t="str">
        <f>IFERROR(__xludf.DUMMYFUNCTION("""COMPUTED_VALUE"""),"BRIGHTON")</f>
        <v>BRIGHTON</v>
      </c>
      <c r="D7562" s="3" t="str">
        <f>IFERROR(__xludf.DUMMYFUNCTION("""COMPUTED_VALUE"""),"K0K 1H0")</f>
        <v>K0K 1H0</v>
      </c>
      <c r="E7562" s="3" t="str">
        <f>IFERROR(__xludf.DUMMYFUNCTION("""COMPUTED_VALUE"""),"Dale Scherr")</f>
        <v>Dale Scherr</v>
      </c>
      <c r="F7562" s="3" t="str">
        <f>IFERROR(__xludf.DUMMYFUNCTION("""COMPUTED_VALUE"""),"dajps111@gmail.com")</f>
        <v>dajps111@gmail.com</v>
      </c>
      <c r="G7562" s="3">
        <f>IFERROR(__xludf.DUMMYFUNCTION("""COMPUTED_VALUE"""),6.139219564E9)</f>
        <v>6139219564</v>
      </c>
      <c r="H7562" s="3">
        <f>IFERROR(__xludf.DUMMYFUNCTION("""COMPUTED_VALUE"""),6.13475558E9)</f>
        <v>6134755580</v>
      </c>
    </row>
    <row r="7563">
      <c r="A7563" s="2">
        <f>IFERROR(__xludf.DUMMYFUNCTION("""COMPUTED_VALUE"""),91564.0)</f>
        <v>91564</v>
      </c>
      <c r="B7563" s="3" t="str">
        <f>IFERROR(__xludf.DUMMYFUNCTION("""COMPUTED_VALUE"""),"111 LAKESHORE DR 1")</f>
        <v>111 LAKESHORE DR 1</v>
      </c>
      <c r="C7563" s="3" t="str">
        <f>IFERROR(__xludf.DUMMYFUNCTION("""COMPUTED_VALUE"""),"BRIGHTON")</f>
        <v>BRIGHTON</v>
      </c>
      <c r="D7563" s="3" t="str">
        <f>IFERROR(__xludf.DUMMYFUNCTION("""COMPUTED_VALUE"""),"K0K 1H0")</f>
        <v>K0K 1H0</v>
      </c>
      <c r="E7563" s="3" t="str">
        <f>IFERROR(__xludf.DUMMYFUNCTION("""COMPUTED_VALUE"""),"Jeff Wallang")</f>
        <v>Jeff Wallang</v>
      </c>
      <c r="F7563" s="3"/>
      <c r="G7563" s="3"/>
      <c r="H7563" s="3"/>
    </row>
    <row r="7564">
      <c r="A7564" s="2">
        <f>IFERROR(__xludf.DUMMYFUNCTION("""COMPUTED_VALUE"""),93294.0)</f>
        <v>93294</v>
      </c>
      <c r="B7564" s="3" t="str">
        <f>IFERROR(__xludf.DUMMYFUNCTION("""COMPUTED_VALUE"""),"111 LAKESHORE DR 2")</f>
        <v>111 LAKESHORE DR 2</v>
      </c>
      <c r="C7564" s="3" t="str">
        <f>IFERROR(__xludf.DUMMYFUNCTION("""COMPUTED_VALUE"""),"BRIGHTON")</f>
        <v>BRIGHTON</v>
      </c>
      <c r="D7564" s="3" t="str">
        <f>IFERROR(__xludf.DUMMYFUNCTION("""COMPUTED_VALUE"""),"K0K 1H0")</f>
        <v>K0K 1H0</v>
      </c>
      <c r="E7564" s="3" t="str">
        <f>IFERROR(__xludf.DUMMYFUNCTION("""COMPUTED_VALUE"""),"Jeff Wallang")</f>
        <v>Jeff Wallang</v>
      </c>
      <c r="F7564" s="3"/>
      <c r="G7564" s="3"/>
      <c r="H7564" s="3"/>
    </row>
    <row r="7565">
      <c r="A7565" s="2">
        <f>IFERROR(__xludf.DUMMYFUNCTION("""COMPUTED_VALUE"""),91601.0)</f>
        <v>91601</v>
      </c>
      <c r="B7565" s="3" t="str">
        <f>IFERROR(__xludf.DUMMYFUNCTION("""COMPUTED_VALUE"""),"100 LAKESHORE RD  ")</f>
        <v>100 LAKESHORE RD  </v>
      </c>
      <c r="C7565" s="3" t="str">
        <f>IFERROR(__xludf.DUMMYFUNCTION("""COMPUTED_VALUE"""),"BRIGHTON")</f>
        <v>BRIGHTON</v>
      </c>
      <c r="D7565" s="3" t="str">
        <f>IFERROR(__xludf.DUMMYFUNCTION("""COMPUTED_VALUE"""),"K0K 1H0")</f>
        <v>K0K 1H0</v>
      </c>
      <c r="E7565" s="3"/>
      <c r="F7565" s="3"/>
      <c r="G7565" s="3"/>
      <c r="H7565" s="3"/>
    </row>
    <row r="7566">
      <c r="A7566" s="2">
        <f>IFERROR(__xludf.DUMMYFUNCTION("""COMPUTED_VALUE"""),91602.0)</f>
        <v>91602</v>
      </c>
      <c r="B7566" s="3" t="str">
        <f>IFERROR(__xludf.DUMMYFUNCTION("""COMPUTED_VALUE"""),"114 LAKESHORE RD  ")</f>
        <v>114 LAKESHORE RD  </v>
      </c>
      <c r="C7566" s="3" t="str">
        <f>IFERROR(__xludf.DUMMYFUNCTION("""COMPUTED_VALUE"""),"BRIGHTON")</f>
        <v>BRIGHTON</v>
      </c>
      <c r="D7566" s="3" t="str">
        <f>IFERROR(__xludf.DUMMYFUNCTION("""COMPUTED_VALUE"""),"K0K 1H0")</f>
        <v>K0K 1H0</v>
      </c>
      <c r="E7566" s="3" t="str">
        <f>IFERROR(__xludf.DUMMYFUNCTION("""COMPUTED_VALUE"""),"Gregory Boundy")</f>
        <v>Gregory Boundy</v>
      </c>
      <c r="F7566" s="3" t="str">
        <f>IFERROR(__xludf.DUMMYFUNCTION("""COMPUTED_VALUE"""),"gkboundy@xplornet.com")</f>
        <v>gkboundy@xplornet.com</v>
      </c>
      <c r="G7566" s="3">
        <f>IFERROR(__xludf.DUMMYFUNCTION("""COMPUTED_VALUE"""),6.134380847E9)</f>
        <v>6134380847</v>
      </c>
      <c r="H7566" s="3">
        <f>IFERROR(__xludf.DUMMYFUNCTION("""COMPUTED_VALUE"""),6.132425035E9)</f>
        <v>6132425035</v>
      </c>
    </row>
    <row r="7567">
      <c r="A7567" s="2">
        <f>IFERROR(__xludf.DUMMYFUNCTION("""COMPUTED_VALUE"""),91666.0)</f>
        <v>91666</v>
      </c>
      <c r="B7567" s="3" t="str">
        <f>IFERROR(__xludf.DUMMYFUNCTION("""COMPUTED_VALUE"""),"18 LAKEVIEW LANE  ")</f>
        <v>18 LAKEVIEW LANE  </v>
      </c>
      <c r="C7567" s="3" t="str">
        <f>IFERROR(__xludf.DUMMYFUNCTION("""COMPUTED_VALUE"""),"BRIGHTON")</f>
        <v>BRIGHTON</v>
      </c>
      <c r="D7567" s="3" t="str">
        <f>IFERROR(__xludf.DUMMYFUNCTION("""COMPUTED_VALUE"""),"K0K 1H0")</f>
        <v>K0K 1H0</v>
      </c>
      <c r="E7567" s="3"/>
      <c r="F7567" s="3"/>
      <c r="G7567" s="3"/>
      <c r="H7567" s="3"/>
    </row>
    <row r="7568">
      <c r="A7568" s="2">
        <f>IFERROR(__xludf.DUMMYFUNCTION("""COMPUTED_VALUE"""),91667.0)</f>
        <v>91667</v>
      </c>
      <c r="B7568" s="3" t="str">
        <f>IFERROR(__xludf.DUMMYFUNCTION("""COMPUTED_VALUE"""),"26 LAKEVIEW LANE  ")</f>
        <v>26 LAKEVIEW LANE  </v>
      </c>
      <c r="C7568" s="3" t="str">
        <f>IFERROR(__xludf.DUMMYFUNCTION("""COMPUTED_VALUE"""),"BRIGHTON")</f>
        <v>BRIGHTON</v>
      </c>
      <c r="D7568" s="3" t="str">
        <f>IFERROR(__xludf.DUMMYFUNCTION("""COMPUTED_VALUE"""),"K0K 1H0")</f>
        <v>K0K 1H0</v>
      </c>
      <c r="E7568" s="3"/>
      <c r="F7568" s="3"/>
      <c r="G7568" s="3"/>
      <c r="H7568" s="3"/>
    </row>
    <row r="7569">
      <c r="A7569" s="2">
        <f>IFERROR(__xludf.DUMMYFUNCTION("""COMPUTED_VALUE"""),91668.0)</f>
        <v>91668</v>
      </c>
      <c r="B7569" s="3" t="str">
        <f>IFERROR(__xludf.DUMMYFUNCTION("""COMPUTED_VALUE"""),"30 LAKEVIEW LANE  ")</f>
        <v>30 LAKEVIEW LANE  </v>
      </c>
      <c r="C7569" s="3" t="str">
        <f>IFERROR(__xludf.DUMMYFUNCTION("""COMPUTED_VALUE"""),"BRIGHTON")</f>
        <v>BRIGHTON</v>
      </c>
      <c r="D7569" s="3" t="str">
        <f>IFERROR(__xludf.DUMMYFUNCTION("""COMPUTED_VALUE"""),"K0K 1H0")</f>
        <v>K0K 1H0</v>
      </c>
      <c r="E7569" s="3" t="str">
        <f>IFERROR(__xludf.DUMMYFUNCTION("""COMPUTED_VALUE"""),"Stacey Dekleck")</f>
        <v>Stacey Dekleck</v>
      </c>
      <c r="F7569" s="3" t="str">
        <f>IFERROR(__xludf.DUMMYFUNCTION("""COMPUTED_VALUE"""),"dunkstacey@gmail.com")</f>
        <v>dunkstacey@gmail.com</v>
      </c>
      <c r="G7569" s="3"/>
      <c r="H7569" s="3"/>
    </row>
    <row r="7570">
      <c r="A7570" s="2">
        <f>IFERROR(__xludf.DUMMYFUNCTION("""COMPUTED_VALUE"""),91669.0)</f>
        <v>91669</v>
      </c>
      <c r="B7570" s="3" t="str">
        <f>IFERROR(__xludf.DUMMYFUNCTION("""COMPUTED_VALUE"""),"40 LAKEVIEW LANE  ")</f>
        <v>40 LAKEVIEW LANE  </v>
      </c>
      <c r="C7570" s="3" t="str">
        <f>IFERROR(__xludf.DUMMYFUNCTION("""COMPUTED_VALUE"""),"BRIGHTON")</f>
        <v>BRIGHTON</v>
      </c>
      <c r="D7570" s="3" t="str">
        <f>IFERROR(__xludf.DUMMYFUNCTION("""COMPUTED_VALUE"""),"K0K 1H0")</f>
        <v>K0K 1H0</v>
      </c>
      <c r="E7570" s="3" t="str">
        <f>IFERROR(__xludf.DUMMYFUNCTION("""COMPUTED_VALUE"""),"Sarah macdonald")</f>
        <v>Sarah macdonald</v>
      </c>
      <c r="F7570" s="3" t="str">
        <f>IFERROR(__xludf.DUMMYFUNCTION("""COMPUTED_VALUE"""),"sarahmacdonald0810@gmail.com")</f>
        <v>sarahmacdonald0810@gmail.com</v>
      </c>
      <c r="G7570" s="3">
        <f>IFERROR(__xludf.DUMMYFUNCTION("""COMPUTED_VALUE"""),6.132951139E9)</f>
        <v>6132951139</v>
      </c>
      <c r="H7570" s="3">
        <f>IFERROR(__xludf.DUMMYFUNCTION("""COMPUTED_VALUE"""),3.439968827E9)</f>
        <v>3439968827</v>
      </c>
    </row>
    <row r="7571">
      <c r="A7571" s="2">
        <f>IFERROR(__xludf.DUMMYFUNCTION("""COMPUTED_VALUE"""),91670.0)</f>
        <v>91670</v>
      </c>
      <c r="B7571" s="3" t="str">
        <f>IFERROR(__xludf.DUMMYFUNCTION("""COMPUTED_VALUE"""),"2 LANGDON ST")</f>
        <v>2 LANGDON ST</v>
      </c>
      <c r="C7571" s="3" t="str">
        <f>IFERROR(__xludf.DUMMYFUNCTION("""COMPUTED_VALUE"""),"BRIGHTON")</f>
        <v>BRIGHTON</v>
      </c>
      <c r="D7571" s="3" t="str">
        <f>IFERROR(__xludf.DUMMYFUNCTION("""COMPUTED_VALUE"""),"K0K 1H0")</f>
        <v>K0K 1H0</v>
      </c>
      <c r="E7571" s="3"/>
      <c r="F7571" s="3"/>
      <c r="G7571" s="3"/>
      <c r="H7571" s="3"/>
    </row>
    <row r="7572">
      <c r="A7572" s="2">
        <f>IFERROR(__xludf.DUMMYFUNCTION("""COMPUTED_VALUE"""),91671.0)</f>
        <v>91671</v>
      </c>
      <c r="B7572" s="3" t="str">
        <f>IFERROR(__xludf.DUMMYFUNCTION("""COMPUTED_VALUE"""),"3 LANGDON ST")</f>
        <v>3 LANGDON ST</v>
      </c>
      <c r="C7572" s="3" t="str">
        <f>IFERROR(__xludf.DUMMYFUNCTION("""COMPUTED_VALUE"""),"BRIGHTON")</f>
        <v>BRIGHTON</v>
      </c>
      <c r="D7572" s="3" t="str">
        <f>IFERROR(__xludf.DUMMYFUNCTION("""COMPUTED_VALUE"""),"K0K 1H0")</f>
        <v>K0K 1H0</v>
      </c>
      <c r="E7572" s="3"/>
      <c r="F7572" s="3"/>
      <c r="G7572" s="3"/>
      <c r="H7572" s="3"/>
    </row>
    <row r="7573">
      <c r="A7573" s="2">
        <f>IFERROR(__xludf.DUMMYFUNCTION("""COMPUTED_VALUE"""),91672.0)</f>
        <v>91672</v>
      </c>
      <c r="B7573" s="3" t="str">
        <f>IFERROR(__xludf.DUMMYFUNCTION("""COMPUTED_VALUE"""),"4 LANGDON ST")</f>
        <v>4 LANGDON ST</v>
      </c>
      <c r="C7573" s="3" t="str">
        <f>IFERROR(__xludf.DUMMYFUNCTION("""COMPUTED_VALUE"""),"BRIGHTON")</f>
        <v>BRIGHTON</v>
      </c>
      <c r="D7573" s="3" t="str">
        <f>IFERROR(__xludf.DUMMYFUNCTION("""COMPUTED_VALUE"""),"K0K 1H0")</f>
        <v>K0K 1H0</v>
      </c>
      <c r="E7573" s="3"/>
      <c r="F7573" s="3"/>
      <c r="G7573" s="3"/>
      <c r="H7573" s="3"/>
    </row>
    <row r="7574">
      <c r="A7574" s="2">
        <f>IFERROR(__xludf.DUMMYFUNCTION("""COMPUTED_VALUE"""),91673.0)</f>
        <v>91673</v>
      </c>
      <c r="B7574" s="3" t="str">
        <f>IFERROR(__xludf.DUMMYFUNCTION("""COMPUTED_VALUE"""),"6 LANGDON ST")</f>
        <v>6 LANGDON ST</v>
      </c>
      <c r="C7574" s="3"/>
      <c r="D7574" s="3"/>
      <c r="E7574" s="3"/>
      <c r="F7574" s="3"/>
      <c r="G7574" s="3"/>
      <c r="H7574" s="3"/>
    </row>
    <row r="7575">
      <c r="A7575" s="2">
        <f>IFERROR(__xludf.DUMMYFUNCTION("""COMPUTED_VALUE"""),91674.0)</f>
        <v>91674</v>
      </c>
      <c r="B7575" s="3" t="str">
        <f>IFERROR(__xludf.DUMMYFUNCTION("""COMPUTED_VALUE"""),"8 LANGDON ST")</f>
        <v>8 LANGDON ST</v>
      </c>
      <c r="C7575" s="3"/>
      <c r="D7575" s="3"/>
      <c r="E7575" s="3"/>
      <c r="F7575" s="3"/>
      <c r="G7575" s="3"/>
      <c r="H7575" s="3"/>
    </row>
    <row r="7576">
      <c r="A7576" s="2">
        <f>IFERROR(__xludf.DUMMYFUNCTION("""COMPUTED_VALUE"""),91675.0)</f>
        <v>91675</v>
      </c>
      <c r="B7576" s="3" t="str">
        <f>IFERROR(__xludf.DUMMYFUNCTION("""COMPUTED_VALUE"""),"10 LANGDON ST")</f>
        <v>10 LANGDON ST</v>
      </c>
      <c r="C7576" s="3"/>
      <c r="D7576" s="3"/>
      <c r="E7576" s="3"/>
      <c r="F7576" s="3"/>
      <c r="G7576" s="3"/>
      <c r="H7576" s="3"/>
    </row>
    <row r="7577">
      <c r="A7577" s="2">
        <f>IFERROR(__xludf.DUMMYFUNCTION("""COMPUTED_VALUE"""),91676.0)</f>
        <v>91676</v>
      </c>
      <c r="B7577" s="3" t="str">
        <f>IFERROR(__xludf.DUMMYFUNCTION("""COMPUTED_VALUE"""),"11 LANGDON ST")</f>
        <v>11 LANGDON ST</v>
      </c>
      <c r="C7577" s="3"/>
      <c r="D7577" s="3"/>
      <c r="E7577" s="3"/>
      <c r="F7577" s="3"/>
      <c r="G7577" s="3"/>
      <c r="H7577" s="3"/>
    </row>
    <row r="7578">
      <c r="A7578" s="2">
        <f>IFERROR(__xludf.DUMMYFUNCTION("""COMPUTED_VALUE"""),91677.0)</f>
        <v>91677</v>
      </c>
      <c r="B7578" s="3" t="str">
        <f>IFERROR(__xludf.DUMMYFUNCTION("""COMPUTED_VALUE"""),"12 LANGDON ST")</f>
        <v>12 LANGDON ST</v>
      </c>
      <c r="C7578" s="3"/>
      <c r="D7578" s="3"/>
      <c r="E7578" s="3"/>
      <c r="F7578" s="3"/>
      <c r="G7578" s="3"/>
      <c r="H7578" s="3"/>
    </row>
    <row r="7579">
      <c r="A7579" s="2">
        <f>IFERROR(__xludf.DUMMYFUNCTION("""COMPUTED_VALUE"""),91717.0)</f>
        <v>91717</v>
      </c>
      <c r="B7579" s="3" t="str">
        <f>IFERROR(__xludf.DUMMYFUNCTION("""COMPUTED_VALUE"""),"2 LILAC LANE")</f>
        <v>2 LILAC LANE</v>
      </c>
      <c r="C7579" s="3"/>
      <c r="D7579" s="3"/>
      <c r="E7579" s="3"/>
      <c r="F7579" s="3"/>
      <c r="G7579" s="3"/>
      <c r="H7579" s="3"/>
    </row>
    <row r="7580">
      <c r="A7580" s="2">
        <f>IFERROR(__xludf.DUMMYFUNCTION("""COMPUTED_VALUE"""),91718.0)</f>
        <v>91718</v>
      </c>
      <c r="B7580" s="3" t="str">
        <f>IFERROR(__xludf.DUMMYFUNCTION("""COMPUTED_VALUE"""),"4 LILAC LANE")</f>
        <v>4 LILAC LANE</v>
      </c>
      <c r="C7580" s="3"/>
      <c r="D7580" s="3"/>
      <c r="E7580" s="3"/>
      <c r="F7580" s="3"/>
      <c r="G7580" s="3"/>
      <c r="H7580" s="3"/>
    </row>
    <row r="7581">
      <c r="A7581" s="2">
        <f>IFERROR(__xludf.DUMMYFUNCTION("""COMPUTED_VALUE"""),91719.0)</f>
        <v>91719</v>
      </c>
      <c r="B7581" s="3" t="str">
        <f>IFERROR(__xludf.DUMMYFUNCTION("""COMPUTED_VALUE"""),"8 LILAC LANE")</f>
        <v>8 LILAC LANE</v>
      </c>
      <c r="C7581" s="3"/>
      <c r="D7581" s="3"/>
      <c r="E7581" s="3"/>
      <c r="F7581" s="3"/>
      <c r="G7581" s="3"/>
      <c r="H7581" s="3"/>
    </row>
    <row r="7582">
      <c r="A7582" s="2">
        <f>IFERROR(__xludf.DUMMYFUNCTION("""COMPUTED_VALUE"""),91720.0)</f>
        <v>91720</v>
      </c>
      <c r="B7582" s="3" t="str">
        <f>IFERROR(__xludf.DUMMYFUNCTION("""COMPUTED_VALUE"""),"10 LILAC LANE")</f>
        <v>10 LILAC LANE</v>
      </c>
      <c r="C7582" s="3"/>
      <c r="D7582" s="3"/>
      <c r="E7582" s="3"/>
      <c r="F7582" s="3"/>
      <c r="G7582" s="3"/>
      <c r="H7582" s="3"/>
    </row>
    <row r="7583">
      <c r="A7583" s="2">
        <f>IFERROR(__xludf.DUMMYFUNCTION("""COMPUTED_VALUE"""),91721.0)</f>
        <v>91721</v>
      </c>
      <c r="B7583" s="3" t="str">
        <f>IFERROR(__xludf.DUMMYFUNCTION("""COMPUTED_VALUE"""),"12 LILAC LANE")</f>
        <v>12 LILAC LANE</v>
      </c>
      <c r="C7583" s="3"/>
      <c r="D7583" s="3"/>
      <c r="E7583" s="3"/>
      <c r="F7583" s="3"/>
      <c r="G7583" s="3"/>
      <c r="H7583" s="3"/>
    </row>
    <row r="7584">
      <c r="A7584" s="2">
        <f>IFERROR(__xludf.DUMMYFUNCTION("""COMPUTED_VALUE"""),91722.0)</f>
        <v>91722</v>
      </c>
      <c r="B7584" s="3" t="str">
        <f>IFERROR(__xludf.DUMMYFUNCTION("""COMPUTED_VALUE"""),"14 LILAC LANE")</f>
        <v>14 LILAC LANE</v>
      </c>
      <c r="C7584" s="3"/>
      <c r="D7584" s="3"/>
      <c r="E7584" s="3"/>
      <c r="F7584" s="3"/>
      <c r="G7584" s="3"/>
      <c r="H7584" s="3"/>
    </row>
    <row r="7585">
      <c r="A7585" s="2">
        <f>IFERROR(__xludf.DUMMYFUNCTION("""COMPUTED_VALUE"""),91855.0)</f>
        <v>91855</v>
      </c>
      <c r="B7585" s="3" t="str">
        <f>IFERROR(__xludf.DUMMYFUNCTION("""COMPUTED_VALUE"""),"15421 LITTLE LAKE RD  ")</f>
        <v>15421 LITTLE LAKE RD  </v>
      </c>
      <c r="C7585" s="3" t="str">
        <f>IFERROR(__xludf.DUMMYFUNCTION("""COMPUTED_VALUE"""),"BRIGHTON")</f>
        <v>BRIGHTON</v>
      </c>
      <c r="D7585" s="3" t="str">
        <f>IFERROR(__xludf.DUMMYFUNCTION("""COMPUTED_VALUE"""),"K0K 1H0")</f>
        <v>K0K 1H0</v>
      </c>
      <c r="E7585" s="3" t="str">
        <f>IFERROR(__xludf.DUMMYFUNCTION("""COMPUTED_VALUE"""),"Gerald Kirby")</f>
        <v>Gerald Kirby</v>
      </c>
      <c r="F7585" s="3" t="str">
        <f>IFERROR(__xludf.DUMMYFUNCTION("""COMPUTED_VALUE"""),"yjminefan@protonmail.com")</f>
        <v>yjminefan@protonmail.com</v>
      </c>
      <c r="G7585" s="3"/>
      <c r="H7585" s="3"/>
    </row>
    <row r="7586">
      <c r="A7586" s="2">
        <f>IFERROR(__xludf.DUMMYFUNCTION("""COMPUTED_VALUE"""),91856.0)</f>
        <v>91856</v>
      </c>
      <c r="B7586" s="3" t="str">
        <f>IFERROR(__xludf.DUMMYFUNCTION("""COMPUTED_VALUE"""),"15437 LITTLE LAKE RD  ")</f>
        <v>15437 LITTLE LAKE RD  </v>
      </c>
      <c r="C7586" s="3" t="str">
        <f>IFERROR(__xludf.DUMMYFUNCTION("""COMPUTED_VALUE"""),"BRIGHTON")</f>
        <v>BRIGHTON</v>
      </c>
      <c r="D7586" s="3" t="str">
        <f>IFERROR(__xludf.DUMMYFUNCTION("""COMPUTED_VALUE"""),"K0K 1H0")</f>
        <v>K0K 1H0</v>
      </c>
      <c r="E7586" s="3"/>
      <c r="F7586" s="3" t="str">
        <f>IFERROR(__xludf.DUMMYFUNCTION("""COMPUTED_VALUE"""),"ctech.junkpile@gmail.com")</f>
        <v>ctech.junkpile@gmail.com</v>
      </c>
      <c r="G7586" s="3">
        <f>IFERROR(__xludf.DUMMYFUNCTION("""COMPUTED_VALUE"""),4.167121031E9)</f>
        <v>4167121031</v>
      </c>
      <c r="H7586" s="3"/>
    </row>
    <row r="7587">
      <c r="A7587" s="2">
        <f>IFERROR(__xludf.DUMMYFUNCTION("""COMPUTED_VALUE"""),91857.0)</f>
        <v>91857</v>
      </c>
      <c r="B7587" s="3" t="str">
        <f>IFERROR(__xludf.DUMMYFUNCTION("""COMPUTED_VALUE"""),"15449 LITTLE LAKE RD  ")</f>
        <v>15449 LITTLE LAKE RD  </v>
      </c>
      <c r="C7587" s="3" t="str">
        <f>IFERROR(__xludf.DUMMYFUNCTION("""COMPUTED_VALUE"""),"BRIGHTON")</f>
        <v>BRIGHTON</v>
      </c>
      <c r="D7587" s="3" t="str">
        <f>IFERROR(__xludf.DUMMYFUNCTION("""COMPUTED_VALUE"""),"K0K 1H0")</f>
        <v>K0K 1H0</v>
      </c>
      <c r="E7587" s="3"/>
      <c r="F7587" s="3"/>
      <c r="G7587" s="3"/>
      <c r="H7587" s="3"/>
    </row>
    <row r="7588">
      <c r="A7588" s="2">
        <f>IFERROR(__xludf.DUMMYFUNCTION("""COMPUTED_VALUE"""),91858.0)</f>
        <v>91858</v>
      </c>
      <c r="B7588" s="3" t="str">
        <f>IFERROR(__xludf.DUMMYFUNCTION("""COMPUTED_VALUE"""),"15454 LITTLE LAKE RD  ")</f>
        <v>15454 LITTLE LAKE RD  </v>
      </c>
      <c r="C7588" s="3" t="str">
        <f>IFERROR(__xludf.DUMMYFUNCTION("""COMPUTED_VALUE"""),"BRIGHTON")</f>
        <v>BRIGHTON</v>
      </c>
      <c r="D7588" s="3" t="str">
        <f>IFERROR(__xludf.DUMMYFUNCTION("""COMPUTED_VALUE"""),"K0K 1H0")</f>
        <v>K0K 1H0</v>
      </c>
      <c r="E7588" s="3" t="str">
        <f>IFERROR(__xludf.DUMMYFUNCTION("""COMPUTED_VALUE"""),"waide beech")</f>
        <v>waide beech</v>
      </c>
      <c r="F7588" s="3" t="str">
        <f>IFERROR(__xludf.DUMMYFUNCTION("""COMPUTED_VALUE"""),"innovateracerepeat@gmail.com")</f>
        <v>innovateracerepeat@gmail.com</v>
      </c>
      <c r="G7588" s="3">
        <f>IFERROR(__xludf.DUMMYFUNCTION("""COMPUTED_VALUE"""),9.052590722E9)</f>
        <v>9052590722</v>
      </c>
      <c r="H7588" s="3"/>
    </row>
    <row r="7589">
      <c r="A7589" s="2">
        <f>IFERROR(__xludf.DUMMYFUNCTION("""COMPUTED_VALUE"""),91778.0)</f>
        <v>91778</v>
      </c>
      <c r="B7589" s="3" t="str">
        <f>IFERROR(__xludf.DUMMYFUNCTION("""COMPUTED_VALUE"""),"13962 LITTLE LAKE RD  ")</f>
        <v>13962 LITTLE LAKE RD  </v>
      </c>
      <c r="C7589" s="3" t="str">
        <f>IFERROR(__xludf.DUMMYFUNCTION("""COMPUTED_VALUE"""),"COLBORNE")</f>
        <v>COLBORNE</v>
      </c>
      <c r="D7589" s="3" t="str">
        <f>IFERROR(__xludf.DUMMYFUNCTION("""COMPUTED_VALUE"""),"K0K 1S0")</f>
        <v>K0K 1S0</v>
      </c>
      <c r="E7589" s="3"/>
      <c r="F7589" s="3"/>
      <c r="G7589" s="3"/>
      <c r="H7589" s="3"/>
    </row>
    <row r="7590">
      <c r="A7590" s="2">
        <f>IFERROR(__xludf.DUMMYFUNCTION("""COMPUTED_VALUE"""),91779.0)</f>
        <v>91779</v>
      </c>
      <c r="B7590" s="3" t="str">
        <f>IFERROR(__xludf.DUMMYFUNCTION("""COMPUTED_VALUE"""),"13964 LITTLE LAKE RD  ")</f>
        <v>13964 LITTLE LAKE RD  </v>
      </c>
      <c r="C7590" s="3" t="str">
        <f>IFERROR(__xludf.DUMMYFUNCTION("""COMPUTED_VALUE"""),"COLBORNE")</f>
        <v>COLBORNE</v>
      </c>
      <c r="D7590" s="3" t="str">
        <f>IFERROR(__xludf.DUMMYFUNCTION("""COMPUTED_VALUE"""),"K0K 1S0")</f>
        <v>K0K 1S0</v>
      </c>
      <c r="E7590" s="3" t="str">
        <f>IFERROR(__xludf.DUMMYFUNCTION("""COMPUTED_VALUE"""),"erika garner ")</f>
        <v>erika garner </v>
      </c>
      <c r="F7590" s="4" t="str">
        <f>IFERROR(__xludf.DUMMYFUNCTION("""COMPUTED_VALUE"""),"erikatgarner2gmail.com")</f>
        <v>erikatgarner2gmail.com</v>
      </c>
      <c r="G7590" s="3">
        <f>IFERROR(__xludf.DUMMYFUNCTION("""COMPUTED_VALUE"""),6.138274866E9)</f>
        <v>6138274866</v>
      </c>
      <c r="H7590" s="3"/>
    </row>
    <row r="7591">
      <c r="A7591" s="2">
        <f>IFERROR(__xludf.DUMMYFUNCTION("""COMPUTED_VALUE"""),91781.0)</f>
        <v>91781</v>
      </c>
      <c r="B7591" s="3" t="str">
        <f>IFERROR(__xludf.DUMMYFUNCTION("""COMPUTED_VALUE"""),"13975 LITTLE LAKE RD  ")</f>
        <v>13975 LITTLE LAKE RD  </v>
      </c>
      <c r="C7591" s="3" t="str">
        <f>IFERROR(__xludf.DUMMYFUNCTION("""COMPUTED_VALUE"""),"COLBORNE")</f>
        <v>COLBORNE</v>
      </c>
      <c r="D7591" s="3" t="str">
        <f>IFERROR(__xludf.DUMMYFUNCTION("""COMPUTED_VALUE"""),"K0K 1S0")</f>
        <v>K0K 1S0</v>
      </c>
      <c r="E7591" s="3" t="str">
        <f>IFERROR(__xludf.DUMMYFUNCTION("""COMPUTED_VALUE"""),"amber collins ")</f>
        <v>amber collins </v>
      </c>
      <c r="F7591" s="3" t="str">
        <f>IFERROR(__xludf.DUMMYFUNCTION("""COMPUTED_VALUE"""),"ber90@hotmail.com")</f>
        <v>ber90@hotmail.com</v>
      </c>
      <c r="G7591" s="3">
        <f>IFERROR(__xludf.DUMMYFUNCTION("""COMPUTED_VALUE"""),2.89928494E9)</f>
        <v>2899284940</v>
      </c>
      <c r="H7591" s="3">
        <f>IFERROR(__xludf.DUMMYFUNCTION("""COMPUTED_VALUE"""),2.896888676E9)</f>
        <v>2896888676</v>
      </c>
    </row>
    <row r="7592">
      <c r="A7592" s="2">
        <f>IFERROR(__xludf.DUMMYFUNCTION("""COMPUTED_VALUE"""),91782.0)</f>
        <v>91782</v>
      </c>
      <c r="B7592" s="3" t="str">
        <f>IFERROR(__xludf.DUMMYFUNCTION("""COMPUTED_VALUE"""),"14037 LITTLE LAKE RD  ")</f>
        <v>14037 LITTLE LAKE RD  </v>
      </c>
      <c r="C7592" s="3" t="str">
        <f>IFERROR(__xludf.DUMMYFUNCTION("""COMPUTED_VALUE"""),"COLBORNE")</f>
        <v>COLBORNE</v>
      </c>
      <c r="D7592" s="3" t="str">
        <f>IFERROR(__xludf.DUMMYFUNCTION("""COMPUTED_VALUE"""),"K0K 1S0")</f>
        <v>K0K 1S0</v>
      </c>
      <c r="E7592" s="3" t="str">
        <f>IFERROR(__xludf.DUMMYFUNCTION("""COMPUTED_VALUE"""),"sarah freeburn")</f>
        <v>sarah freeburn</v>
      </c>
      <c r="F7592" s="3" t="str">
        <f>IFERROR(__xludf.DUMMYFUNCTION("""COMPUTED_VALUE"""),"sarahfreeburn@gmail.com")</f>
        <v>sarahfreeburn@gmail.com</v>
      </c>
      <c r="G7592" s="3">
        <f>IFERROR(__xludf.DUMMYFUNCTION("""COMPUTED_VALUE"""),2.892513893E9)</f>
        <v>2892513893</v>
      </c>
      <c r="H7592" s="3">
        <f>IFERROR(__xludf.DUMMYFUNCTION("""COMPUTED_VALUE"""),2.892513894E9)</f>
        <v>2892513894</v>
      </c>
    </row>
    <row r="7593">
      <c r="A7593" s="2">
        <f>IFERROR(__xludf.DUMMYFUNCTION("""COMPUTED_VALUE"""),91783.0)</f>
        <v>91783</v>
      </c>
      <c r="B7593" s="3" t="str">
        <f>IFERROR(__xludf.DUMMYFUNCTION("""COMPUTED_VALUE"""),"14053 LITTLE LAKE RD  ")</f>
        <v>14053 LITTLE LAKE RD  </v>
      </c>
      <c r="C7593" s="3" t="str">
        <f>IFERROR(__xludf.DUMMYFUNCTION("""COMPUTED_VALUE"""),"COLBORNE")</f>
        <v>COLBORNE</v>
      </c>
      <c r="D7593" s="3" t="str">
        <f>IFERROR(__xludf.DUMMYFUNCTION("""COMPUTED_VALUE"""),"K0K 1S0")</f>
        <v>K0K 1S0</v>
      </c>
      <c r="E7593" s="3" t="str">
        <f>IFERROR(__xludf.DUMMYFUNCTION("""COMPUTED_VALUE"""),"mike hamilton")</f>
        <v>mike hamilton</v>
      </c>
      <c r="F7593" s="3" t="str">
        <f>IFERROR(__xludf.DUMMYFUNCTION("""COMPUTED_VALUE"""),"mike1377hammy23@gmail.com")</f>
        <v>mike1377hammy23@gmail.com</v>
      </c>
      <c r="G7593" s="3">
        <f>IFERROR(__xludf.DUMMYFUNCTION("""COMPUTED_VALUE"""),2.896913336E9)</f>
        <v>2896913336</v>
      </c>
      <c r="H7593" s="3"/>
    </row>
    <row r="7594">
      <c r="A7594" s="2">
        <f>IFERROR(__xludf.DUMMYFUNCTION("""COMPUTED_VALUE"""),91784.0)</f>
        <v>91784</v>
      </c>
      <c r="B7594" s="3" t="str">
        <f>IFERROR(__xludf.DUMMYFUNCTION("""COMPUTED_VALUE"""),"14055 LITTLE LAKE RD  ")</f>
        <v>14055 LITTLE LAKE RD  </v>
      </c>
      <c r="C7594" s="3" t="str">
        <f>IFERROR(__xludf.DUMMYFUNCTION("""COMPUTED_VALUE"""),"COLBORNE")</f>
        <v>COLBORNE</v>
      </c>
      <c r="D7594" s="3" t="str">
        <f>IFERROR(__xludf.DUMMYFUNCTION("""COMPUTED_VALUE"""),"K0K 1S0")</f>
        <v>K0K 1S0</v>
      </c>
      <c r="E7594" s="3" t="str">
        <f>IFERROR(__xludf.DUMMYFUNCTION("""COMPUTED_VALUE"""),"Jason Marshall")</f>
        <v>Jason Marshall</v>
      </c>
      <c r="F7594" s="3" t="str">
        <f>IFERROR(__xludf.DUMMYFUNCTION("""COMPUTED_VALUE"""),"jasonmarshall29@icloud.com")</f>
        <v>jasonmarshall29@icloud.com</v>
      </c>
      <c r="G7594" s="3">
        <f>IFERROR(__xludf.DUMMYFUNCTION("""COMPUTED_VALUE"""),9.05376252E9)</f>
        <v>9053762520</v>
      </c>
      <c r="H7594" s="3"/>
    </row>
    <row r="7595">
      <c r="A7595" s="2">
        <f>IFERROR(__xludf.DUMMYFUNCTION("""COMPUTED_VALUE"""),91785.0)</f>
        <v>91785</v>
      </c>
      <c r="B7595" s="3" t="str">
        <f>IFERROR(__xludf.DUMMYFUNCTION("""COMPUTED_VALUE"""),"14067 LITTLE LAKE RD  ")</f>
        <v>14067 LITTLE LAKE RD  </v>
      </c>
      <c r="C7595" s="3" t="str">
        <f>IFERROR(__xludf.DUMMYFUNCTION("""COMPUTED_VALUE"""),"COLBORNE")</f>
        <v>COLBORNE</v>
      </c>
      <c r="D7595" s="3" t="str">
        <f>IFERROR(__xludf.DUMMYFUNCTION("""COMPUTED_VALUE"""),"K0K 1S0")</f>
        <v>K0K 1S0</v>
      </c>
      <c r="E7595" s="3"/>
      <c r="F7595" s="3"/>
      <c r="G7595" s="3"/>
      <c r="H7595" s="3"/>
    </row>
    <row r="7596">
      <c r="A7596" s="2">
        <f>IFERROR(__xludf.DUMMYFUNCTION("""COMPUTED_VALUE"""),91786.0)</f>
        <v>91786</v>
      </c>
      <c r="B7596" s="3" t="str">
        <f>IFERROR(__xludf.DUMMYFUNCTION("""COMPUTED_VALUE"""),"14174 LITTLE LAKE RD  ")</f>
        <v>14174 LITTLE LAKE RD  </v>
      </c>
      <c r="C7596" s="3" t="str">
        <f>IFERROR(__xludf.DUMMYFUNCTION("""COMPUTED_VALUE"""),"BRIGHTON")</f>
        <v>BRIGHTON</v>
      </c>
      <c r="D7596" s="3" t="str">
        <f>IFERROR(__xludf.DUMMYFUNCTION("""COMPUTED_VALUE"""),"K0K 1H0")</f>
        <v>K0K 1H0</v>
      </c>
      <c r="E7596" s="3" t="str">
        <f>IFERROR(__xludf.DUMMYFUNCTION("""COMPUTED_VALUE"""),"oswald henry")</f>
        <v>oswald henry</v>
      </c>
      <c r="F7596" s="3"/>
      <c r="G7596" s="3">
        <f>IFERROR(__xludf.DUMMYFUNCTION("""COMPUTED_VALUE"""),6.134759323E9)</f>
        <v>6134759323</v>
      </c>
      <c r="H7596" s="3"/>
    </row>
    <row r="7597">
      <c r="A7597" s="2">
        <f>IFERROR(__xludf.DUMMYFUNCTION("""COMPUTED_VALUE"""),91787.0)</f>
        <v>91787</v>
      </c>
      <c r="B7597" s="3" t="str">
        <f>IFERROR(__xludf.DUMMYFUNCTION("""COMPUTED_VALUE"""),"14177 LITTLE LAKE RD  ")</f>
        <v>14177 LITTLE LAKE RD  </v>
      </c>
      <c r="C7597" s="3" t="str">
        <f>IFERROR(__xludf.DUMMYFUNCTION("""COMPUTED_VALUE"""),"BRIGHTON")</f>
        <v>BRIGHTON</v>
      </c>
      <c r="D7597" s="3" t="str">
        <f>IFERROR(__xludf.DUMMYFUNCTION("""COMPUTED_VALUE"""),"K0K 1H0")</f>
        <v>K0K 1H0</v>
      </c>
      <c r="E7597" s="3" t="str">
        <f>IFERROR(__xludf.DUMMYFUNCTION("""COMPUTED_VALUE"""),"matthew hill")</f>
        <v>matthew hill</v>
      </c>
      <c r="F7597" s="3" t="str">
        <f>IFERROR(__xludf.DUMMYFUNCTION("""COMPUTED_VALUE"""),"mattowthill@gmail.com")</f>
        <v>mattowthill@gmail.com</v>
      </c>
      <c r="G7597" s="3">
        <f>IFERROR(__xludf.DUMMYFUNCTION("""COMPUTED_VALUE"""),6.134759096E9)</f>
        <v>6134759096</v>
      </c>
      <c r="H7597" s="3"/>
    </row>
    <row r="7598">
      <c r="A7598" s="2">
        <f>IFERROR(__xludf.DUMMYFUNCTION("""COMPUTED_VALUE"""),91788.0)</f>
        <v>91788</v>
      </c>
      <c r="B7598" s="3" t="str">
        <f>IFERROR(__xludf.DUMMYFUNCTION("""COMPUTED_VALUE"""),"14178 LITTLE LAKE RD  ")</f>
        <v>14178 LITTLE LAKE RD  </v>
      </c>
      <c r="C7598" s="3" t="str">
        <f>IFERROR(__xludf.DUMMYFUNCTION("""COMPUTED_VALUE"""),"BRIGHTON")</f>
        <v>BRIGHTON</v>
      </c>
      <c r="D7598" s="3" t="str">
        <f>IFERROR(__xludf.DUMMYFUNCTION("""COMPUTED_VALUE"""),"K0K 1H0")</f>
        <v>K0K 1H0</v>
      </c>
      <c r="E7598" s="3"/>
      <c r="F7598" s="3"/>
      <c r="G7598" s="3"/>
      <c r="H7598" s="3"/>
    </row>
    <row r="7599">
      <c r="A7599" s="2">
        <f>IFERROR(__xludf.DUMMYFUNCTION("""COMPUTED_VALUE"""),91789.0)</f>
        <v>91789</v>
      </c>
      <c r="B7599" s="3" t="str">
        <f>IFERROR(__xludf.DUMMYFUNCTION("""COMPUTED_VALUE"""),"14181 LITTLE LAKE RD  ")</f>
        <v>14181 LITTLE LAKE RD  </v>
      </c>
      <c r="C7599" s="3" t="str">
        <f>IFERROR(__xludf.DUMMYFUNCTION("""COMPUTED_VALUE"""),"BRIGHTON")</f>
        <v>BRIGHTON</v>
      </c>
      <c r="D7599" s="3" t="str">
        <f>IFERROR(__xludf.DUMMYFUNCTION("""COMPUTED_VALUE"""),"K0K 1H0")</f>
        <v>K0K 1H0</v>
      </c>
      <c r="E7599" s="3"/>
      <c r="F7599" s="3"/>
      <c r="G7599" s="3"/>
      <c r="H7599" s="3"/>
    </row>
    <row r="7600">
      <c r="A7600" s="2">
        <f>IFERROR(__xludf.DUMMYFUNCTION("""COMPUTED_VALUE"""),91794.0)</f>
        <v>91794</v>
      </c>
      <c r="B7600" s="3" t="str">
        <f>IFERROR(__xludf.DUMMYFUNCTION("""COMPUTED_VALUE"""),"14197 LITTLE LAKE RD  ")</f>
        <v>14197 LITTLE LAKE RD  </v>
      </c>
      <c r="C7600" s="3" t="str">
        <f>IFERROR(__xludf.DUMMYFUNCTION("""COMPUTED_VALUE"""),"BRIGHTON")</f>
        <v>BRIGHTON</v>
      </c>
      <c r="D7600" s="3" t="str">
        <f>IFERROR(__xludf.DUMMYFUNCTION("""COMPUTED_VALUE"""),"K0K 1H0")</f>
        <v>K0K 1H0</v>
      </c>
      <c r="E7600" s="3" t="str">
        <f>IFERROR(__xludf.DUMMYFUNCTION("""COMPUTED_VALUE"""),"ken roberts")</f>
        <v>ken roberts</v>
      </c>
      <c r="F7600" s="3" t="str">
        <f>IFERROR(__xludf.DUMMYFUNCTION("""COMPUTED_VALUE"""),"kenroberts63@gmail.com")</f>
        <v>kenroberts63@gmail.com</v>
      </c>
      <c r="G7600" s="3">
        <f>IFERROR(__xludf.DUMMYFUNCTION("""COMPUTED_VALUE"""),6.139226996E9)</f>
        <v>6139226996</v>
      </c>
      <c r="H7600" s="3"/>
    </row>
    <row r="7601">
      <c r="A7601" s="2">
        <f>IFERROR(__xludf.DUMMYFUNCTION("""COMPUTED_VALUE"""),91795.0)</f>
        <v>91795</v>
      </c>
      <c r="B7601" s="3" t="str">
        <f>IFERROR(__xludf.DUMMYFUNCTION("""COMPUTED_VALUE"""),"14199 LITTLE LAKE RD  ")</f>
        <v>14199 LITTLE LAKE RD  </v>
      </c>
      <c r="C7601" s="3" t="str">
        <f>IFERROR(__xludf.DUMMYFUNCTION("""COMPUTED_VALUE"""),"BRIGHTON")</f>
        <v>BRIGHTON</v>
      </c>
      <c r="D7601" s="3" t="str">
        <f>IFERROR(__xludf.DUMMYFUNCTION("""COMPUTED_VALUE"""),"K0K 1H0")</f>
        <v>K0K 1H0</v>
      </c>
      <c r="E7601" s="3" t="str">
        <f>IFERROR(__xludf.DUMMYFUNCTION("""COMPUTED_VALUE"""),"nacy gelette")</f>
        <v>nacy gelette</v>
      </c>
      <c r="F7601" s="3" t="str">
        <f>IFERROR(__xludf.DUMMYFUNCTION("""COMPUTED_VALUE"""),"ngelette@divcom.com")</f>
        <v>ngelette@divcom.com</v>
      </c>
      <c r="G7601" s="3">
        <f>IFERROR(__xludf.DUMMYFUNCTION("""COMPUTED_VALUE"""),4.169858357E9)</f>
        <v>4169858357</v>
      </c>
      <c r="H7601" s="3"/>
    </row>
    <row r="7602">
      <c r="A7602" s="2">
        <f>IFERROR(__xludf.DUMMYFUNCTION("""COMPUTED_VALUE"""),91796.0)</f>
        <v>91796</v>
      </c>
      <c r="B7602" s="3" t="str">
        <f>IFERROR(__xludf.DUMMYFUNCTION("""COMPUTED_VALUE"""),"14209 LITTLE LAKE RD  ")</f>
        <v>14209 LITTLE LAKE RD  </v>
      </c>
      <c r="C7602" s="3" t="str">
        <f>IFERROR(__xludf.DUMMYFUNCTION("""COMPUTED_VALUE"""),"BRIGHTON")</f>
        <v>BRIGHTON</v>
      </c>
      <c r="D7602" s="3" t="str">
        <f>IFERROR(__xludf.DUMMYFUNCTION("""COMPUTED_VALUE"""),"K0K 1H0")</f>
        <v>K0K 1H0</v>
      </c>
      <c r="E7602" s="3" t="str">
        <f>IFERROR(__xludf.DUMMYFUNCTION("""COMPUTED_VALUE"""),"lonnie n ")</f>
        <v>lonnie n </v>
      </c>
      <c r="F7602" s="3"/>
      <c r="G7602" s="3">
        <f>IFERROR(__xludf.DUMMYFUNCTION("""COMPUTED_VALUE"""),2.897711709E9)</f>
        <v>2897711709</v>
      </c>
      <c r="H7602" s="3"/>
    </row>
    <row r="7603">
      <c r="A7603" s="2">
        <f>IFERROR(__xludf.DUMMYFUNCTION("""COMPUTED_VALUE"""),91797.0)</f>
        <v>91797</v>
      </c>
      <c r="B7603" s="3" t="str">
        <f>IFERROR(__xludf.DUMMYFUNCTION("""COMPUTED_VALUE"""),"14217 LITTLE LAKE RD  ")</f>
        <v>14217 LITTLE LAKE RD  </v>
      </c>
      <c r="C7603" s="3" t="str">
        <f>IFERROR(__xludf.DUMMYFUNCTION("""COMPUTED_VALUE"""),"BRIGHTON")</f>
        <v>BRIGHTON</v>
      </c>
      <c r="D7603" s="3" t="str">
        <f>IFERROR(__xludf.DUMMYFUNCTION("""COMPUTED_VALUE"""),"K0K 1H0")</f>
        <v>K0K 1H0</v>
      </c>
      <c r="E7603" s="3" t="str">
        <f>IFERROR(__xludf.DUMMYFUNCTION("""COMPUTED_VALUE"""),"stephan fagan")</f>
        <v>stephan fagan</v>
      </c>
      <c r="F7603" s="3"/>
      <c r="G7603" s="3">
        <f>IFERROR(__xludf.DUMMYFUNCTION("""COMPUTED_VALUE"""),9.054497355E9)</f>
        <v>9054497355</v>
      </c>
      <c r="H7603" s="3"/>
    </row>
    <row r="7604">
      <c r="A7604" s="2">
        <f>IFERROR(__xludf.DUMMYFUNCTION("""COMPUTED_VALUE"""),91798.0)</f>
        <v>91798</v>
      </c>
      <c r="B7604" s="3" t="str">
        <f>IFERROR(__xludf.DUMMYFUNCTION("""COMPUTED_VALUE"""),"14218 LITTLE LAKE RD  ")</f>
        <v>14218 LITTLE LAKE RD  </v>
      </c>
      <c r="C7604" s="3" t="str">
        <f>IFERROR(__xludf.DUMMYFUNCTION("""COMPUTED_VALUE"""),"BRIGHTON")</f>
        <v>BRIGHTON</v>
      </c>
      <c r="D7604" s="3" t="str">
        <f>IFERROR(__xludf.DUMMYFUNCTION("""COMPUTED_VALUE"""),"K0K 1H0")</f>
        <v>K0K 1H0</v>
      </c>
      <c r="E7604" s="3"/>
      <c r="F7604" s="3"/>
      <c r="G7604" s="3"/>
      <c r="H7604" s="3"/>
    </row>
    <row r="7605">
      <c r="A7605" s="2">
        <f>IFERROR(__xludf.DUMMYFUNCTION("""COMPUTED_VALUE"""),91799.0)</f>
        <v>91799</v>
      </c>
      <c r="B7605" s="3" t="str">
        <f>IFERROR(__xludf.DUMMYFUNCTION("""COMPUTED_VALUE"""),"14226 LITTLE LAKE RD  ")</f>
        <v>14226 LITTLE LAKE RD  </v>
      </c>
      <c r="C7605" s="3" t="str">
        <f>IFERROR(__xludf.DUMMYFUNCTION("""COMPUTED_VALUE"""),"BRIGHTON")</f>
        <v>BRIGHTON</v>
      </c>
      <c r="D7605" s="3" t="str">
        <f>IFERROR(__xludf.DUMMYFUNCTION("""COMPUTED_VALUE"""),"K0K 1H0")</f>
        <v>K0K 1H0</v>
      </c>
      <c r="E7605" s="3"/>
      <c r="F7605" s="3"/>
      <c r="G7605" s="3"/>
      <c r="H7605" s="3"/>
    </row>
    <row r="7606">
      <c r="A7606" s="2">
        <f>IFERROR(__xludf.DUMMYFUNCTION("""COMPUTED_VALUE"""),91800.0)</f>
        <v>91800</v>
      </c>
      <c r="B7606" s="3" t="str">
        <f>IFERROR(__xludf.DUMMYFUNCTION("""COMPUTED_VALUE"""),"14231 LITTLE LAKE RD  ")</f>
        <v>14231 LITTLE LAKE RD  </v>
      </c>
      <c r="C7606" s="3" t="str">
        <f>IFERROR(__xludf.DUMMYFUNCTION("""COMPUTED_VALUE"""),"BRIGHTON")</f>
        <v>BRIGHTON</v>
      </c>
      <c r="D7606" s="3" t="str">
        <f>IFERROR(__xludf.DUMMYFUNCTION("""COMPUTED_VALUE"""),"K0K 1H0")</f>
        <v>K0K 1H0</v>
      </c>
      <c r="E7606" s="3"/>
      <c r="F7606" s="3"/>
      <c r="G7606" s="3"/>
      <c r="H7606" s="3"/>
    </row>
    <row r="7607">
      <c r="A7607" s="2">
        <f>IFERROR(__xludf.DUMMYFUNCTION("""COMPUTED_VALUE"""),91801.0)</f>
        <v>91801</v>
      </c>
      <c r="B7607" s="3" t="str">
        <f>IFERROR(__xludf.DUMMYFUNCTION("""COMPUTED_VALUE"""),"14232 LITTLE LAKE RD  ")</f>
        <v>14232 LITTLE LAKE RD  </v>
      </c>
      <c r="C7607" s="3" t="str">
        <f>IFERROR(__xludf.DUMMYFUNCTION("""COMPUTED_VALUE"""),"BRIGHTON")</f>
        <v>BRIGHTON</v>
      </c>
      <c r="D7607" s="3" t="str">
        <f>IFERROR(__xludf.DUMMYFUNCTION("""COMPUTED_VALUE"""),"K0K 1H0")</f>
        <v>K0K 1H0</v>
      </c>
      <c r="E7607" s="3"/>
      <c r="F7607" s="3"/>
      <c r="G7607" s="3"/>
      <c r="H7607" s="3"/>
    </row>
    <row r="7608">
      <c r="A7608" s="2">
        <f>IFERROR(__xludf.DUMMYFUNCTION("""COMPUTED_VALUE"""),91802.0)</f>
        <v>91802</v>
      </c>
      <c r="B7608" s="3" t="str">
        <f>IFERROR(__xludf.DUMMYFUNCTION("""COMPUTED_VALUE"""),"14233 LITTLE LAKE RD  ")</f>
        <v>14233 LITTLE LAKE RD  </v>
      </c>
      <c r="C7608" s="3" t="str">
        <f>IFERROR(__xludf.DUMMYFUNCTION("""COMPUTED_VALUE"""),"BRIGHTON")</f>
        <v>BRIGHTON</v>
      </c>
      <c r="D7608" s="3" t="str">
        <f>IFERROR(__xludf.DUMMYFUNCTION("""COMPUTED_VALUE"""),"K0K 1H0")</f>
        <v>K0K 1H0</v>
      </c>
      <c r="E7608" s="3"/>
      <c r="F7608" s="3"/>
      <c r="G7608" s="3"/>
      <c r="H7608" s="3"/>
    </row>
    <row r="7609">
      <c r="A7609" s="2">
        <f>IFERROR(__xludf.DUMMYFUNCTION("""COMPUTED_VALUE"""),91803.0)</f>
        <v>91803</v>
      </c>
      <c r="B7609" s="3" t="str">
        <f>IFERROR(__xludf.DUMMYFUNCTION("""COMPUTED_VALUE"""),"14234 LITTLE LAKE RD  ")</f>
        <v>14234 LITTLE LAKE RD  </v>
      </c>
      <c r="C7609" s="3" t="str">
        <f>IFERROR(__xludf.DUMMYFUNCTION("""COMPUTED_VALUE"""),"BRIGHTON")</f>
        <v>BRIGHTON</v>
      </c>
      <c r="D7609" s="3" t="str">
        <f>IFERROR(__xludf.DUMMYFUNCTION("""COMPUTED_VALUE"""),"K0K 1H0")</f>
        <v>K0K 1H0</v>
      </c>
      <c r="E7609" s="3"/>
      <c r="F7609" s="3"/>
      <c r="G7609" s="3"/>
      <c r="H7609" s="3"/>
    </row>
    <row r="7610">
      <c r="A7610" s="2">
        <f>IFERROR(__xludf.DUMMYFUNCTION("""COMPUTED_VALUE"""),91804.0)</f>
        <v>91804</v>
      </c>
      <c r="B7610" s="3" t="str">
        <f>IFERROR(__xludf.DUMMYFUNCTION("""COMPUTED_VALUE"""),"14238 LITTLE LAKE RD  ")</f>
        <v>14238 LITTLE LAKE RD  </v>
      </c>
      <c r="C7610" s="3" t="str">
        <f>IFERROR(__xludf.DUMMYFUNCTION("""COMPUTED_VALUE"""),"BRIGHTON")</f>
        <v>BRIGHTON</v>
      </c>
      <c r="D7610" s="3" t="str">
        <f>IFERROR(__xludf.DUMMYFUNCTION("""COMPUTED_VALUE"""),"K0K 1H0")</f>
        <v>K0K 1H0</v>
      </c>
      <c r="E7610" s="3"/>
      <c r="F7610" s="3"/>
      <c r="G7610" s="3"/>
      <c r="H7610" s="3"/>
    </row>
    <row r="7611">
      <c r="A7611" s="2">
        <f>IFERROR(__xludf.DUMMYFUNCTION("""COMPUTED_VALUE"""),91806.0)</f>
        <v>91806</v>
      </c>
      <c r="B7611" s="3" t="str">
        <f>IFERROR(__xludf.DUMMYFUNCTION("""COMPUTED_VALUE"""),"14247 LITTLE LAKE RD  ")</f>
        <v>14247 LITTLE LAKE RD  </v>
      </c>
      <c r="C7611" s="3" t="str">
        <f>IFERROR(__xludf.DUMMYFUNCTION("""COMPUTED_VALUE"""),"BRIGHTON")</f>
        <v>BRIGHTON</v>
      </c>
      <c r="D7611" s="3" t="str">
        <f>IFERROR(__xludf.DUMMYFUNCTION("""COMPUTED_VALUE"""),"K0K 1H0")</f>
        <v>K0K 1H0</v>
      </c>
      <c r="E7611" s="3"/>
      <c r="F7611" s="3"/>
      <c r="G7611" s="3"/>
      <c r="H7611" s="3"/>
    </row>
    <row r="7612">
      <c r="A7612" s="2">
        <f>IFERROR(__xludf.DUMMYFUNCTION("""COMPUTED_VALUE"""),91805.0)</f>
        <v>91805</v>
      </c>
      <c r="B7612" s="3" t="str">
        <f>IFERROR(__xludf.DUMMYFUNCTION("""COMPUTED_VALUE"""),"14246 LITTLE LAKE RD  ")</f>
        <v>14246 LITTLE LAKE RD  </v>
      </c>
      <c r="C7612" s="3" t="str">
        <f>IFERROR(__xludf.DUMMYFUNCTION("""COMPUTED_VALUE"""),"BRIGHTON")</f>
        <v>BRIGHTON</v>
      </c>
      <c r="D7612" s="3" t="str">
        <f>IFERROR(__xludf.DUMMYFUNCTION("""COMPUTED_VALUE"""),"K0K 1H0")</f>
        <v>K0K 1H0</v>
      </c>
      <c r="E7612" s="3"/>
      <c r="F7612" s="3"/>
      <c r="G7612" s="3"/>
      <c r="H7612" s="3"/>
    </row>
    <row r="7613">
      <c r="A7613" s="2">
        <f>IFERROR(__xludf.DUMMYFUNCTION("""COMPUTED_VALUE"""),91807.0)</f>
        <v>91807</v>
      </c>
      <c r="B7613" s="3" t="str">
        <f>IFERROR(__xludf.DUMMYFUNCTION("""COMPUTED_VALUE"""),"14252 LITTLE LAKE RD  ")</f>
        <v>14252 LITTLE LAKE RD  </v>
      </c>
      <c r="C7613" s="3" t="str">
        <f>IFERROR(__xludf.DUMMYFUNCTION("""COMPUTED_VALUE"""),"BRIGHTON")</f>
        <v>BRIGHTON</v>
      </c>
      <c r="D7613" s="3" t="str">
        <f>IFERROR(__xludf.DUMMYFUNCTION("""COMPUTED_VALUE"""),"K0K 1H0")</f>
        <v>K0K 1H0</v>
      </c>
      <c r="E7613" s="3"/>
      <c r="F7613" s="3"/>
      <c r="G7613" s="3"/>
      <c r="H7613" s="3"/>
    </row>
    <row r="7614">
      <c r="A7614" s="2">
        <f>IFERROR(__xludf.DUMMYFUNCTION("""COMPUTED_VALUE"""),91808.0)</f>
        <v>91808</v>
      </c>
      <c r="B7614" s="3" t="str">
        <f>IFERROR(__xludf.DUMMYFUNCTION("""COMPUTED_VALUE"""),"14253 LITTLE LAKE RD  ")</f>
        <v>14253 LITTLE LAKE RD  </v>
      </c>
      <c r="C7614" s="3" t="str">
        <f>IFERROR(__xludf.DUMMYFUNCTION("""COMPUTED_VALUE"""),"BRIGHTON")</f>
        <v>BRIGHTON</v>
      </c>
      <c r="D7614" s="3" t="str">
        <f>IFERROR(__xludf.DUMMYFUNCTION("""COMPUTED_VALUE"""),"K0K 1H0")</f>
        <v>K0K 1H0</v>
      </c>
      <c r="E7614" s="3"/>
      <c r="F7614" s="3"/>
      <c r="G7614" s="3"/>
      <c r="H7614" s="3"/>
    </row>
    <row r="7615">
      <c r="A7615" s="2">
        <f>IFERROR(__xludf.DUMMYFUNCTION("""COMPUTED_VALUE"""),91809.0)</f>
        <v>91809</v>
      </c>
      <c r="B7615" s="3" t="str">
        <f>IFERROR(__xludf.DUMMYFUNCTION("""COMPUTED_VALUE"""),"14258 LITTLE LAKE RD  ")</f>
        <v>14258 LITTLE LAKE RD  </v>
      </c>
      <c r="C7615" s="3" t="str">
        <f>IFERROR(__xludf.DUMMYFUNCTION("""COMPUTED_VALUE"""),"BRIGHTON")</f>
        <v>BRIGHTON</v>
      </c>
      <c r="D7615" s="3" t="str">
        <f>IFERROR(__xludf.DUMMYFUNCTION("""COMPUTED_VALUE"""),"K0K 1H0")</f>
        <v>K0K 1H0</v>
      </c>
      <c r="E7615" s="3"/>
      <c r="F7615" s="3"/>
      <c r="G7615" s="3"/>
      <c r="H7615" s="3"/>
    </row>
    <row r="7616">
      <c r="A7616" s="2">
        <f>IFERROR(__xludf.DUMMYFUNCTION("""COMPUTED_VALUE"""),91810.0)</f>
        <v>91810</v>
      </c>
      <c r="B7616" s="3" t="str">
        <f>IFERROR(__xludf.DUMMYFUNCTION("""COMPUTED_VALUE"""),"14263 LITTLE LAKE RD  ")</f>
        <v>14263 LITTLE LAKE RD  </v>
      </c>
      <c r="C7616" s="3" t="str">
        <f>IFERROR(__xludf.DUMMYFUNCTION("""COMPUTED_VALUE"""),"BRIGHTON")</f>
        <v>BRIGHTON</v>
      </c>
      <c r="D7616" s="3" t="str">
        <f>IFERROR(__xludf.DUMMYFUNCTION("""COMPUTED_VALUE"""),"K0K 1H0")</f>
        <v>K0K 1H0</v>
      </c>
      <c r="E7616" s="3"/>
      <c r="F7616" s="3"/>
      <c r="G7616" s="3"/>
      <c r="H7616" s="3"/>
    </row>
    <row r="7617">
      <c r="A7617" s="2">
        <f>IFERROR(__xludf.DUMMYFUNCTION("""COMPUTED_VALUE"""),91811.0)</f>
        <v>91811</v>
      </c>
      <c r="B7617" s="3" t="str">
        <f>IFERROR(__xludf.DUMMYFUNCTION("""COMPUTED_VALUE"""),"14273 LITTLE LAKE RD  ")</f>
        <v>14273 LITTLE LAKE RD  </v>
      </c>
      <c r="C7617" s="3" t="str">
        <f>IFERROR(__xludf.DUMMYFUNCTION("""COMPUTED_VALUE"""),"BRIGHTON")</f>
        <v>BRIGHTON</v>
      </c>
      <c r="D7617" s="3" t="str">
        <f>IFERROR(__xludf.DUMMYFUNCTION("""COMPUTED_VALUE"""),"K0K 1H0")</f>
        <v>K0K 1H0</v>
      </c>
      <c r="E7617" s="3" t="str">
        <f>IFERROR(__xludf.DUMMYFUNCTION("""COMPUTED_VALUE"""),"susanne pattison")</f>
        <v>susanne pattison</v>
      </c>
      <c r="F7617" s="3" t="str">
        <f>IFERROR(__xludf.DUMMYFUNCTION("""COMPUTED_VALUE"""),"pattisonsusanne@outlook.com")</f>
        <v>pattisonsusanne@outlook.com</v>
      </c>
      <c r="G7617" s="3">
        <f>IFERROR(__xludf.DUMMYFUNCTION("""COMPUTED_VALUE"""),9.054088391E9)</f>
        <v>9054088391</v>
      </c>
      <c r="H7617" s="3"/>
    </row>
    <row r="7618">
      <c r="A7618" s="2">
        <f>IFERROR(__xludf.DUMMYFUNCTION("""COMPUTED_VALUE"""),91812.0)</f>
        <v>91812</v>
      </c>
      <c r="B7618" s="3" t="str">
        <f>IFERROR(__xludf.DUMMYFUNCTION("""COMPUTED_VALUE"""),"14281 LITTLE LAKE RD  ")</f>
        <v>14281 LITTLE LAKE RD  </v>
      </c>
      <c r="C7618" s="3" t="str">
        <f>IFERROR(__xludf.DUMMYFUNCTION("""COMPUTED_VALUE"""),"BRIGHTON")</f>
        <v>BRIGHTON</v>
      </c>
      <c r="D7618" s="3" t="str">
        <f>IFERROR(__xludf.DUMMYFUNCTION("""COMPUTED_VALUE"""),"K0K 1H0")</f>
        <v>K0K 1H0</v>
      </c>
      <c r="E7618" s="3" t="str">
        <f>IFERROR(__xludf.DUMMYFUNCTION("""COMPUTED_VALUE"""),"caitlain matteer")</f>
        <v>caitlain matteer</v>
      </c>
      <c r="F7618" s="3"/>
      <c r="G7618" s="3">
        <f>IFERROR(__xludf.DUMMYFUNCTION("""COMPUTED_VALUE"""),9.053733656E9)</f>
        <v>9053733656</v>
      </c>
      <c r="H7618" s="3"/>
    </row>
    <row r="7619">
      <c r="A7619" s="2">
        <f>IFERROR(__xludf.DUMMYFUNCTION("""COMPUTED_VALUE"""),91813.0)</f>
        <v>91813</v>
      </c>
      <c r="B7619" s="3" t="str">
        <f>IFERROR(__xludf.DUMMYFUNCTION("""COMPUTED_VALUE"""),"14293 LITTLE LAKE RD  ")</f>
        <v>14293 LITTLE LAKE RD  </v>
      </c>
      <c r="C7619" s="3" t="str">
        <f>IFERROR(__xludf.DUMMYFUNCTION("""COMPUTED_VALUE"""),"BRIGHTON")</f>
        <v>BRIGHTON</v>
      </c>
      <c r="D7619" s="3" t="str">
        <f>IFERROR(__xludf.DUMMYFUNCTION("""COMPUTED_VALUE"""),"K0K 1H0")</f>
        <v>K0K 1H0</v>
      </c>
      <c r="E7619" s="3"/>
      <c r="F7619" s="3"/>
      <c r="G7619" s="3"/>
      <c r="H7619" s="3"/>
    </row>
    <row r="7620">
      <c r="A7620" s="2">
        <f>IFERROR(__xludf.DUMMYFUNCTION("""COMPUTED_VALUE"""),91814.0)</f>
        <v>91814</v>
      </c>
      <c r="B7620" s="3" t="str">
        <f>IFERROR(__xludf.DUMMYFUNCTION("""COMPUTED_VALUE"""),"14300 LITTLE LAKE RD  ")</f>
        <v>14300 LITTLE LAKE RD  </v>
      </c>
      <c r="C7620" s="3" t="str">
        <f>IFERROR(__xludf.DUMMYFUNCTION("""COMPUTED_VALUE"""),"BRIGHTON")</f>
        <v>BRIGHTON</v>
      </c>
      <c r="D7620" s="3" t="str">
        <f>IFERROR(__xludf.DUMMYFUNCTION("""COMPUTED_VALUE"""),"K0K 1H0")</f>
        <v>K0K 1H0</v>
      </c>
      <c r="E7620" s="3" t="str">
        <f>IFERROR(__xludf.DUMMYFUNCTION("""COMPUTED_VALUE"""),"ben verbrussen")</f>
        <v>ben verbrussen</v>
      </c>
      <c r="F7620" s="3" t="str">
        <f>IFERROR(__xludf.DUMMYFUNCTION("""COMPUTED_VALUE"""),"benverbrussen@hotmail.com")</f>
        <v>benverbrussen@hotmail.com</v>
      </c>
      <c r="G7620" s="3">
        <f>IFERROR(__xludf.DUMMYFUNCTION("""COMPUTED_VALUE"""),9.059143166E9)</f>
        <v>9059143166</v>
      </c>
      <c r="H7620" s="3"/>
    </row>
    <row r="7621">
      <c r="A7621" s="2">
        <f>IFERROR(__xludf.DUMMYFUNCTION("""COMPUTED_VALUE"""),91815.0)</f>
        <v>91815</v>
      </c>
      <c r="B7621" s="3" t="str">
        <f>IFERROR(__xludf.DUMMYFUNCTION("""COMPUTED_VALUE"""),"14324 LITTLE LAKE RD  ")</f>
        <v>14324 LITTLE LAKE RD  </v>
      </c>
      <c r="C7621" s="3" t="str">
        <f>IFERROR(__xludf.DUMMYFUNCTION("""COMPUTED_VALUE"""),"BRIGHTON")</f>
        <v>BRIGHTON</v>
      </c>
      <c r="D7621" s="3" t="str">
        <f>IFERROR(__xludf.DUMMYFUNCTION("""COMPUTED_VALUE"""),"K0K 1H0")</f>
        <v>K0K 1H0</v>
      </c>
      <c r="E7621" s="3"/>
      <c r="F7621" s="3"/>
      <c r="G7621" s="3"/>
      <c r="H7621" s="3"/>
    </row>
    <row r="7622">
      <c r="A7622" s="2">
        <f>IFERROR(__xludf.DUMMYFUNCTION("""COMPUTED_VALUE"""),91816.0)</f>
        <v>91816</v>
      </c>
      <c r="B7622" s="3" t="str">
        <f>IFERROR(__xludf.DUMMYFUNCTION("""COMPUTED_VALUE"""),"14335 LITTLE LAKE RD  ")</f>
        <v>14335 LITTLE LAKE RD  </v>
      </c>
      <c r="C7622" s="3" t="str">
        <f>IFERROR(__xludf.DUMMYFUNCTION("""COMPUTED_VALUE"""),"BRIGHTON")</f>
        <v>BRIGHTON</v>
      </c>
      <c r="D7622" s="3" t="str">
        <f>IFERROR(__xludf.DUMMYFUNCTION("""COMPUTED_VALUE"""),"K0K 1H0")</f>
        <v>K0K 1H0</v>
      </c>
      <c r="E7622" s="3" t="str">
        <f>IFERROR(__xludf.DUMMYFUNCTION("""COMPUTED_VALUE"""),"theresa robinson")</f>
        <v>theresa robinson</v>
      </c>
      <c r="F7622" s="3" t="str">
        <f>IFERROR(__xludf.DUMMYFUNCTION("""COMPUTED_VALUE"""),"thomas.nakoda@gmail.com")</f>
        <v>thomas.nakoda@gmail.com</v>
      </c>
      <c r="G7622" s="3">
        <f>IFERROR(__xludf.DUMMYFUNCTION("""COMPUTED_VALUE"""),9.057492224E9)</f>
        <v>9057492224</v>
      </c>
      <c r="H7622" s="3"/>
    </row>
    <row r="7623">
      <c r="A7623" s="2">
        <f>IFERROR(__xludf.DUMMYFUNCTION("""COMPUTED_VALUE"""),91817.0)</f>
        <v>91817</v>
      </c>
      <c r="B7623" s="3" t="str">
        <f>IFERROR(__xludf.DUMMYFUNCTION("""COMPUTED_VALUE"""),"14336 LITTLE LAKE RD  ")</f>
        <v>14336 LITTLE LAKE RD  </v>
      </c>
      <c r="C7623" s="3" t="str">
        <f>IFERROR(__xludf.DUMMYFUNCTION("""COMPUTED_VALUE"""),"BRIGHTON")</f>
        <v>BRIGHTON</v>
      </c>
      <c r="D7623" s="3" t="str">
        <f>IFERROR(__xludf.DUMMYFUNCTION("""COMPUTED_VALUE"""),"K0K 1H0")</f>
        <v>K0K 1H0</v>
      </c>
      <c r="E7623" s="3"/>
      <c r="F7623" s="3"/>
      <c r="G7623" s="3"/>
      <c r="H7623" s="3"/>
    </row>
    <row r="7624">
      <c r="A7624" s="2">
        <f>IFERROR(__xludf.DUMMYFUNCTION("""COMPUTED_VALUE"""),91818.0)</f>
        <v>91818</v>
      </c>
      <c r="B7624" s="3" t="str">
        <f>IFERROR(__xludf.DUMMYFUNCTION("""COMPUTED_VALUE"""),"14344 LITTLE LAKE RD  ")</f>
        <v>14344 LITTLE LAKE RD  </v>
      </c>
      <c r="C7624" s="3" t="str">
        <f>IFERROR(__xludf.DUMMYFUNCTION("""COMPUTED_VALUE"""),"BRIGHTON")</f>
        <v>BRIGHTON</v>
      </c>
      <c r="D7624" s="3" t="str">
        <f>IFERROR(__xludf.DUMMYFUNCTION("""COMPUTED_VALUE"""),"K0K 1H0")</f>
        <v>K0K 1H0</v>
      </c>
      <c r="E7624" s="3" t="str">
        <f>IFERROR(__xludf.DUMMYFUNCTION("""COMPUTED_VALUE"""),"luanne young")</f>
        <v>luanne young</v>
      </c>
      <c r="F7624" s="3" t="str">
        <f>IFERROR(__xludf.DUMMYFUNCTION("""COMPUTED_VALUE"""),"luannenadine@gmaiul.com")</f>
        <v>luannenadine@gmaiul.com</v>
      </c>
      <c r="G7624" s="3">
        <f>IFERROR(__xludf.DUMMYFUNCTION("""COMPUTED_VALUE"""),6.139214079E9)</f>
        <v>6139214079</v>
      </c>
      <c r="H7624" s="3"/>
    </row>
    <row r="7625">
      <c r="A7625" s="2">
        <f>IFERROR(__xludf.DUMMYFUNCTION("""COMPUTED_VALUE"""),91819.0)</f>
        <v>91819</v>
      </c>
      <c r="B7625" s="3" t="str">
        <f>IFERROR(__xludf.DUMMYFUNCTION("""COMPUTED_VALUE"""),"14356 LITTLE LAKE RD  ")</f>
        <v>14356 LITTLE LAKE RD  </v>
      </c>
      <c r="C7625" s="3" t="str">
        <f>IFERROR(__xludf.DUMMYFUNCTION("""COMPUTED_VALUE"""),"BRIGHTON")</f>
        <v>BRIGHTON</v>
      </c>
      <c r="D7625" s="3" t="str">
        <f>IFERROR(__xludf.DUMMYFUNCTION("""COMPUTED_VALUE"""),"K0K 1H0")</f>
        <v>K0K 1H0</v>
      </c>
      <c r="E7625" s="3" t="str">
        <f>IFERROR(__xludf.DUMMYFUNCTION("""COMPUTED_VALUE"""),"Brittney Meeussen")</f>
        <v>Brittney Meeussen</v>
      </c>
      <c r="F7625" s="3" t="str">
        <f>IFERROR(__xludf.DUMMYFUNCTION("""COMPUTED_VALUE"""),"brittney.liz.b@gmail.comm")</f>
        <v>brittney.liz.b@gmail.comm</v>
      </c>
      <c r="G7625" s="3">
        <f>IFERROR(__xludf.DUMMYFUNCTION("""COMPUTED_VALUE"""),9.053966644E9)</f>
        <v>9053966644</v>
      </c>
      <c r="H7625" s="3"/>
    </row>
    <row r="7626">
      <c r="A7626" s="2">
        <f>IFERROR(__xludf.DUMMYFUNCTION("""COMPUTED_VALUE"""),91820.0)</f>
        <v>91820</v>
      </c>
      <c r="B7626" s="3" t="str">
        <f>IFERROR(__xludf.DUMMYFUNCTION("""COMPUTED_VALUE"""),"14359 LITTLE LAKE RD  ")</f>
        <v>14359 LITTLE LAKE RD  </v>
      </c>
      <c r="C7626" s="3" t="str">
        <f>IFERROR(__xludf.DUMMYFUNCTION("""COMPUTED_VALUE"""),"BRIGHTON")</f>
        <v>BRIGHTON</v>
      </c>
      <c r="D7626" s="3" t="str">
        <f>IFERROR(__xludf.DUMMYFUNCTION("""COMPUTED_VALUE"""),"K0K 1H0")</f>
        <v>K0K 1H0</v>
      </c>
      <c r="E7626" s="3"/>
      <c r="F7626" s="3"/>
      <c r="G7626" s="3"/>
      <c r="H7626" s="3"/>
    </row>
    <row r="7627">
      <c r="A7627" s="2">
        <f>IFERROR(__xludf.DUMMYFUNCTION("""COMPUTED_VALUE"""),91821.0)</f>
        <v>91821</v>
      </c>
      <c r="B7627" s="3" t="str">
        <f>IFERROR(__xludf.DUMMYFUNCTION("""COMPUTED_VALUE"""),"14372 LITTLE LAKE RD  ")</f>
        <v>14372 LITTLE LAKE RD  </v>
      </c>
      <c r="C7627" s="3" t="str">
        <f>IFERROR(__xludf.DUMMYFUNCTION("""COMPUTED_VALUE"""),"BRIGHTON")</f>
        <v>BRIGHTON</v>
      </c>
      <c r="D7627" s="3" t="str">
        <f>IFERROR(__xludf.DUMMYFUNCTION("""COMPUTED_VALUE"""),"K0K 1H0")</f>
        <v>K0K 1H0</v>
      </c>
      <c r="E7627" s="3"/>
      <c r="F7627" s="3"/>
      <c r="G7627" s="3"/>
      <c r="H7627" s="3"/>
    </row>
    <row r="7628">
      <c r="A7628" s="2">
        <f>IFERROR(__xludf.DUMMYFUNCTION("""COMPUTED_VALUE"""),91822.0)</f>
        <v>91822</v>
      </c>
      <c r="B7628" s="3" t="str">
        <f>IFERROR(__xludf.DUMMYFUNCTION("""COMPUTED_VALUE"""),"14391 LITTLE LAKE RD  ")</f>
        <v>14391 LITTLE LAKE RD  </v>
      </c>
      <c r="C7628" s="3" t="str">
        <f>IFERROR(__xludf.DUMMYFUNCTION("""COMPUTED_VALUE"""),"BRIGHTON")</f>
        <v>BRIGHTON</v>
      </c>
      <c r="D7628" s="3" t="str">
        <f>IFERROR(__xludf.DUMMYFUNCTION("""COMPUTED_VALUE"""),"K0K 1H0")</f>
        <v>K0K 1H0</v>
      </c>
      <c r="E7628" s="3" t="str">
        <f>IFERROR(__xludf.DUMMYFUNCTION("""COMPUTED_VALUE"""),"connie and david chisholm")</f>
        <v>connie and david chisholm</v>
      </c>
      <c r="F7628" s="3" t="str">
        <f>IFERROR(__xludf.DUMMYFUNCTION("""COMPUTED_VALUE"""),"conniechisholm@live.ca")</f>
        <v>conniechisholm@live.ca</v>
      </c>
      <c r="G7628" s="3">
        <f>IFERROR(__xludf.DUMMYFUNCTION("""COMPUTED_VALUE"""),6.134754941E9)</f>
        <v>6134754941</v>
      </c>
      <c r="H7628" s="3"/>
    </row>
    <row r="7629">
      <c r="A7629" s="2">
        <f>IFERROR(__xludf.DUMMYFUNCTION("""COMPUTED_VALUE"""),91823.0)</f>
        <v>91823</v>
      </c>
      <c r="B7629" s="3" t="str">
        <f>IFERROR(__xludf.DUMMYFUNCTION("""COMPUTED_VALUE"""),"14468 LITTLE LAKE RD  ")</f>
        <v>14468 LITTLE LAKE RD  </v>
      </c>
      <c r="C7629" s="3" t="str">
        <f>IFERROR(__xludf.DUMMYFUNCTION("""COMPUTED_VALUE"""),"BRIGHTON")</f>
        <v>BRIGHTON</v>
      </c>
      <c r="D7629" s="3" t="str">
        <f>IFERROR(__xludf.DUMMYFUNCTION("""COMPUTED_VALUE"""),"K0K 1H0")</f>
        <v>K0K 1H0</v>
      </c>
      <c r="E7629" s="3" t="str">
        <f>IFERROR(__xludf.DUMMYFUNCTION("""COMPUTED_VALUE"""),"john and amy patton")</f>
        <v>john and amy patton</v>
      </c>
      <c r="F7629" s="3"/>
      <c r="G7629" s="3">
        <f>IFERROR(__xludf.DUMMYFUNCTION("""COMPUTED_VALUE"""),6.139201434E9)</f>
        <v>6139201434</v>
      </c>
      <c r="H7629" s="3"/>
    </row>
    <row r="7630">
      <c r="A7630" s="2">
        <f>IFERROR(__xludf.DUMMYFUNCTION("""COMPUTED_VALUE"""),91824.0)</f>
        <v>91824</v>
      </c>
      <c r="B7630" s="3" t="str">
        <f>IFERROR(__xludf.DUMMYFUNCTION("""COMPUTED_VALUE"""),"14764 LITTLE LAKE RD  ")</f>
        <v>14764 LITTLE LAKE RD  </v>
      </c>
      <c r="C7630" s="3" t="str">
        <f>IFERROR(__xludf.DUMMYFUNCTION("""COMPUTED_VALUE"""),"BRIGHTON")</f>
        <v>BRIGHTON</v>
      </c>
      <c r="D7630" s="3" t="str">
        <f>IFERROR(__xludf.DUMMYFUNCTION("""COMPUTED_VALUE"""),"K0K 1H0")</f>
        <v>K0K 1H0</v>
      </c>
      <c r="E7630" s="3" t="str">
        <f>IFERROR(__xludf.DUMMYFUNCTION("""COMPUTED_VALUE"""),"donna banbury ")</f>
        <v>donna banbury </v>
      </c>
      <c r="F7630" s="3" t="str">
        <f>IFERROR(__xludf.DUMMYFUNCTION("""COMPUTED_VALUE"""),"dmbanbury@hotmail.com")</f>
        <v>dmbanbury@hotmail.com</v>
      </c>
      <c r="G7630" s="3">
        <f>IFERROR(__xludf.DUMMYFUNCTION("""COMPUTED_VALUE"""),4.167165524E9)</f>
        <v>4167165524</v>
      </c>
      <c r="H7630" s="3"/>
    </row>
    <row r="7631">
      <c r="A7631" s="2">
        <f>IFERROR(__xludf.DUMMYFUNCTION("""COMPUTED_VALUE"""),91825.0)</f>
        <v>91825</v>
      </c>
      <c r="B7631" s="3" t="str">
        <f>IFERROR(__xludf.DUMMYFUNCTION("""COMPUTED_VALUE"""),"14815 LITTLE LAKE RD  ")</f>
        <v>14815 LITTLE LAKE RD  </v>
      </c>
      <c r="C7631" s="3" t="str">
        <f>IFERROR(__xludf.DUMMYFUNCTION("""COMPUTED_VALUE"""),"BRIGHTON")</f>
        <v>BRIGHTON</v>
      </c>
      <c r="D7631" s="3" t="str">
        <f>IFERROR(__xludf.DUMMYFUNCTION("""COMPUTED_VALUE"""),"K0K 1H0")</f>
        <v>K0K 1H0</v>
      </c>
      <c r="E7631" s="3"/>
      <c r="F7631" s="3"/>
      <c r="G7631" s="3"/>
      <c r="H7631" s="3"/>
    </row>
    <row r="7632">
      <c r="A7632" s="2">
        <f>IFERROR(__xludf.DUMMYFUNCTION("""COMPUTED_VALUE"""),91826.0)</f>
        <v>91826</v>
      </c>
      <c r="B7632" s="3" t="str">
        <f>IFERROR(__xludf.DUMMYFUNCTION("""COMPUTED_VALUE"""),"14819 LITTLE LAKE RD  ")</f>
        <v>14819 LITTLE LAKE RD  </v>
      </c>
      <c r="C7632" s="3" t="str">
        <f>IFERROR(__xludf.DUMMYFUNCTION("""COMPUTED_VALUE"""),"BRIGHTON")</f>
        <v>BRIGHTON</v>
      </c>
      <c r="D7632" s="3" t="str">
        <f>IFERROR(__xludf.DUMMYFUNCTION("""COMPUTED_VALUE"""),"K0K 1H0")</f>
        <v>K0K 1H0</v>
      </c>
      <c r="E7632" s="3"/>
      <c r="F7632" s="3"/>
      <c r="G7632" s="3"/>
      <c r="H7632" s="3"/>
    </row>
    <row r="7633">
      <c r="A7633" s="2">
        <f>IFERROR(__xludf.DUMMYFUNCTION("""COMPUTED_VALUE"""),91827.0)</f>
        <v>91827</v>
      </c>
      <c r="B7633" s="3" t="str">
        <f>IFERROR(__xludf.DUMMYFUNCTION("""COMPUTED_VALUE"""),"14837 LITTLE LAKE RD  ")</f>
        <v>14837 LITTLE LAKE RD  </v>
      </c>
      <c r="C7633" s="3" t="str">
        <f>IFERROR(__xludf.DUMMYFUNCTION("""COMPUTED_VALUE"""),"BRIGHTON")</f>
        <v>BRIGHTON</v>
      </c>
      <c r="D7633" s="3" t="str">
        <f>IFERROR(__xludf.DUMMYFUNCTION("""COMPUTED_VALUE"""),"K0K 1H0")</f>
        <v>K0K 1H0</v>
      </c>
      <c r="E7633" s="3" t="str">
        <f>IFERROR(__xludf.DUMMYFUNCTION("""COMPUTED_VALUE"""),"brian ostrander")</f>
        <v>brian ostrander</v>
      </c>
      <c r="F7633" s="3" t="str">
        <f>IFERROR(__xludf.DUMMYFUNCTION("""COMPUTED_VALUE"""),"brian.s.ostrander@gmail.com")</f>
        <v>brian.s.ostrander@gmail.com</v>
      </c>
      <c r="G7633" s="3">
        <f>IFERROR(__xludf.DUMMYFUNCTION("""COMPUTED_VALUE"""),6.13242719E9)</f>
        <v>6132427190</v>
      </c>
      <c r="H7633" s="3"/>
    </row>
    <row r="7634">
      <c r="A7634" s="2">
        <f>IFERROR(__xludf.DUMMYFUNCTION("""COMPUTED_VALUE"""),91828.0)</f>
        <v>91828</v>
      </c>
      <c r="B7634" s="3" t="str">
        <f>IFERROR(__xludf.DUMMYFUNCTION("""COMPUTED_VALUE"""),"14861 LITTLE LAKE RD  ")</f>
        <v>14861 LITTLE LAKE RD  </v>
      </c>
      <c r="C7634" s="3" t="str">
        <f>IFERROR(__xludf.DUMMYFUNCTION("""COMPUTED_VALUE"""),"BRIGHTON")</f>
        <v>BRIGHTON</v>
      </c>
      <c r="D7634" s="3" t="str">
        <f>IFERROR(__xludf.DUMMYFUNCTION("""COMPUTED_VALUE"""),"K0K 1H0")</f>
        <v>K0K 1H0</v>
      </c>
      <c r="E7634" s="3"/>
      <c r="F7634" s="3"/>
      <c r="G7634" s="3"/>
      <c r="H7634" s="3"/>
    </row>
    <row r="7635">
      <c r="A7635" s="2">
        <f>IFERROR(__xludf.DUMMYFUNCTION("""COMPUTED_VALUE"""),91829.0)</f>
        <v>91829</v>
      </c>
      <c r="B7635" s="3" t="str">
        <f>IFERROR(__xludf.DUMMYFUNCTION("""COMPUTED_VALUE"""),"14917 LITTLE LAKE RD  ")</f>
        <v>14917 LITTLE LAKE RD  </v>
      </c>
      <c r="C7635" s="3" t="str">
        <f>IFERROR(__xludf.DUMMYFUNCTION("""COMPUTED_VALUE"""),"BRIGHTON")</f>
        <v>BRIGHTON</v>
      </c>
      <c r="D7635" s="3" t="str">
        <f>IFERROR(__xludf.DUMMYFUNCTION("""COMPUTED_VALUE"""),"K0K 1H0")</f>
        <v>K0K 1H0</v>
      </c>
      <c r="E7635" s="3" t="str">
        <f>IFERROR(__xludf.DUMMYFUNCTION("""COMPUTED_VALUE"""),"Dwayne Guay")</f>
        <v>Dwayne Guay</v>
      </c>
      <c r="F7635" s="3" t="str">
        <f>IFERROR(__xludf.DUMMYFUNCTION("""COMPUTED_VALUE"""),"dwayne.rescue@gmail.com")</f>
        <v>dwayne.rescue@gmail.com</v>
      </c>
      <c r="G7635" s="3">
        <f>IFERROR(__xludf.DUMMYFUNCTION("""COMPUTED_VALUE"""),2.048982448E9)</f>
        <v>2048982448</v>
      </c>
      <c r="H7635" s="3">
        <f>IFERROR(__xludf.DUMMYFUNCTION("""COMPUTED_VALUE"""),4.317887006E9)</f>
        <v>4317887006</v>
      </c>
    </row>
    <row r="7636">
      <c r="A7636" s="2">
        <f>IFERROR(__xludf.DUMMYFUNCTION("""COMPUTED_VALUE"""),91830.0)</f>
        <v>91830</v>
      </c>
      <c r="B7636" s="3" t="str">
        <f>IFERROR(__xludf.DUMMYFUNCTION("""COMPUTED_VALUE"""),"14967 LITTLE LAKE RD  ")</f>
        <v>14967 LITTLE LAKE RD  </v>
      </c>
      <c r="C7636" s="3" t="str">
        <f>IFERROR(__xludf.DUMMYFUNCTION("""COMPUTED_VALUE"""),"BRIGHTON")</f>
        <v>BRIGHTON</v>
      </c>
      <c r="D7636" s="3" t="str">
        <f>IFERROR(__xludf.DUMMYFUNCTION("""COMPUTED_VALUE"""),"K0K 1H0")</f>
        <v>K0K 1H0</v>
      </c>
      <c r="E7636" s="3" t="str">
        <f>IFERROR(__xludf.DUMMYFUNCTION("""COMPUTED_VALUE"""),"Kyle martin")</f>
        <v>Kyle martin</v>
      </c>
      <c r="F7636" s="3" t="str">
        <f>IFERROR(__xludf.DUMMYFUNCTION("""COMPUTED_VALUE"""),"kylecolinmartin@gmail.com")</f>
        <v>kylecolinmartin@gmail.com</v>
      </c>
      <c r="G7636" s="3">
        <f>IFERROR(__xludf.DUMMYFUNCTION("""COMPUTED_VALUE"""),9.05207555E9)</f>
        <v>9052075550</v>
      </c>
      <c r="H7636" s="3"/>
    </row>
    <row r="7637">
      <c r="A7637" s="2">
        <f>IFERROR(__xludf.DUMMYFUNCTION("""COMPUTED_VALUE"""),91831.0)</f>
        <v>91831</v>
      </c>
      <c r="B7637" s="3" t="str">
        <f>IFERROR(__xludf.DUMMYFUNCTION("""COMPUTED_VALUE"""),"15002 LITTLE LAKE RD")</f>
        <v>15002 LITTLE LAKE RD</v>
      </c>
      <c r="C7637" s="3"/>
      <c r="D7637" s="3"/>
      <c r="E7637" s="3"/>
      <c r="F7637" s="3"/>
      <c r="G7637" s="3"/>
      <c r="H7637" s="3"/>
    </row>
    <row r="7638">
      <c r="A7638" s="2">
        <f>IFERROR(__xludf.DUMMYFUNCTION("""COMPUTED_VALUE"""),91832.0)</f>
        <v>91832</v>
      </c>
      <c r="B7638" s="3" t="str">
        <f>IFERROR(__xludf.DUMMYFUNCTION("""COMPUTED_VALUE"""),"15035 LITTLE LAKE RD  ")</f>
        <v>15035 LITTLE LAKE RD  </v>
      </c>
      <c r="C7638" s="3" t="str">
        <f>IFERROR(__xludf.DUMMYFUNCTION("""COMPUTED_VALUE"""),"BRIGHTON")</f>
        <v>BRIGHTON</v>
      </c>
      <c r="D7638" s="3" t="str">
        <f>IFERROR(__xludf.DUMMYFUNCTION("""COMPUTED_VALUE"""),"K0K 1H0")</f>
        <v>K0K 1H0</v>
      </c>
      <c r="E7638" s="3"/>
      <c r="F7638" s="3"/>
      <c r="G7638" s="3"/>
      <c r="H7638" s="3"/>
    </row>
    <row r="7639">
      <c r="A7639" s="2">
        <f>IFERROR(__xludf.DUMMYFUNCTION("""COMPUTED_VALUE"""),91833.0)</f>
        <v>91833</v>
      </c>
      <c r="B7639" s="3" t="str">
        <f>IFERROR(__xludf.DUMMYFUNCTION("""COMPUTED_VALUE"""),"15084 LITTLE LAKE RD  ")</f>
        <v>15084 LITTLE LAKE RD  </v>
      </c>
      <c r="C7639" s="3" t="str">
        <f>IFERROR(__xludf.DUMMYFUNCTION("""COMPUTED_VALUE"""),"BRIGHTON")</f>
        <v>BRIGHTON</v>
      </c>
      <c r="D7639" s="3" t="str">
        <f>IFERROR(__xludf.DUMMYFUNCTION("""COMPUTED_VALUE"""),"K0K 1H0")</f>
        <v>K0K 1H0</v>
      </c>
      <c r="E7639" s="3"/>
      <c r="F7639" s="3"/>
      <c r="G7639" s="3"/>
      <c r="H7639" s="3"/>
    </row>
    <row r="7640">
      <c r="A7640" s="2">
        <f>IFERROR(__xludf.DUMMYFUNCTION("""COMPUTED_VALUE"""),91834.0)</f>
        <v>91834</v>
      </c>
      <c r="B7640" s="3" t="str">
        <f>IFERROR(__xludf.DUMMYFUNCTION("""COMPUTED_VALUE"""),"15140 LITTLE LAKE RD  ")</f>
        <v>15140 LITTLE LAKE RD  </v>
      </c>
      <c r="C7640" s="3" t="str">
        <f>IFERROR(__xludf.DUMMYFUNCTION("""COMPUTED_VALUE"""),"BRIGHTON")</f>
        <v>BRIGHTON</v>
      </c>
      <c r="D7640" s="3" t="str">
        <f>IFERROR(__xludf.DUMMYFUNCTION("""COMPUTED_VALUE"""),"K0K 1H0")</f>
        <v>K0K 1H0</v>
      </c>
      <c r="E7640" s="3" t="str">
        <f>IFERROR(__xludf.DUMMYFUNCTION("""COMPUTED_VALUE"""),"Allan Hodgins")</f>
        <v>Allan Hodgins</v>
      </c>
      <c r="F7640" s="3" t="str">
        <f>IFERROR(__xludf.DUMMYFUNCTION("""COMPUTED_VALUE"""),"fisher_man_111@hotmail.com")</f>
        <v>fisher_man_111@hotmail.com</v>
      </c>
      <c r="G7640" s="3">
        <f>IFERROR(__xludf.DUMMYFUNCTION("""COMPUTED_VALUE"""),6.134037567E9)</f>
        <v>6134037567</v>
      </c>
      <c r="H7640" s="3">
        <f>IFERROR(__xludf.DUMMYFUNCTION("""COMPUTED_VALUE"""),6.133918709E9)</f>
        <v>6133918709</v>
      </c>
    </row>
    <row r="7641">
      <c r="A7641" s="2">
        <f>IFERROR(__xludf.DUMMYFUNCTION("""COMPUTED_VALUE"""),91835.0)</f>
        <v>91835</v>
      </c>
      <c r="B7641" s="3" t="str">
        <f>IFERROR(__xludf.DUMMYFUNCTION("""COMPUTED_VALUE"""),"15180 LITTLE LAKE RD  ")</f>
        <v>15180 LITTLE LAKE RD  </v>
      </c>
      <c r="C7641" s="3" t="str">
        <f>IFERROR(__xludf.DUMMYFUNCTION("""COMPUTED_VALUE"""),"BRIGHTON")</f>
        <v>BRIGHTON</v>
      </c>
      <c r="D7641" s="3" t="str">
        <f>IFERROR(__xludf.DUMMYFUNCTION("""COMPUTED_VALUE"""),"K0K 1H0")</f>
        <v>K0K 1H0</v>
      </c>
      <c r="E7641" s="3" t="str">
        <f>IFERROR(__xludf.DUMMYFUNCTION("""COMPUTED_VALUE"""),"roderick flindall")</f>
        <v>roderick flindall</v>
      </c>
      <c r="F7641" s="3" t="str">
        <f>IFERROR(__xludf.DUMMYFUNCTION("""COMPUTED_VALUE"""),"rodelindall@live.ca")</f>
        <v>rodelindall@live.ca</v>
      </c>
      <c r="G7641" s="3">
        <f>IFERROR(__xludf.DUMMYFUNCTION("""COMPUTED_VALUE"""),6.138486036E9)</f>
        <v>6138486036</v>
      </c>
      <c r="H7641" s="3"/>
    </row>
    <row r="7642">
      <c r="A7642" s="2">
        <f>IFERROR(__xludf.DUMMYFUNCTION("""COMPUTED_VALUE"""),91836.0)</f>
        <v>91836</v>
      </c>
      <c r="B7642" s="3" t="str">
        <f>IFERROR(__xludf.DUMMYFUNCTION("""COMPUTED_VALUE"""),"15185 LITTLE LAKE RD  ")</f>
        <v>15185 LITTLE LAKE RD  </v>
      </c>
      <c r="C7642" s="3" t="str">
        <f>IFERROR(__xludf.DUMMYFUNCTION("""COMPUTED_VALUE"""),"BRIGHTON")</f>
        <v>BRIGHTON</v>
      </c>
      <c r="D7642" s="3" t="str">
        <f>IFERROR(__xludf.DUMMYFUNCTION("""COMPUTED_VALUE"""),"K0K 1H0")</f>
        <v>K0K 1H0</v>
      </c>
      <c r="E7642" s="3"/>
      <c r="F7642" s="3"/>
      <c r="G7642" s="3"/>
      <c r="H7642" s="3"/>
    </row>
    <row r="7643">
      <c r="A7643" s="2">
        <f>IFERROR(__xludf.DUMMYFUNCTION("""COMPUTED_VALUE"""),91837.0)</f>
        <v>91837</v>
      </c>
      <c r="B7643" s="3" t="str">
        <f>IFERROR(__xludf.DUMMYFUNCTION("""COMPUTED_VALUE"""),"15191 LITTLE LAKE RD  ")</f>
        <v>15191 LITTLE LAKE RD  </v>
      </c>
      <c r="C7643" s="3" t="str">
        <f>IFERROR(__xludf.DUMMYFUNCTION("""COMPUTED_VALUE"""),"BRIGHTON")</f>
        <v>BRIGHTON</v>
      </c>
      <c r="D7643" s="3" t="str">
        <f>IFERROR(__xludf.DUMMYFUNCTION("""COMPUTED_VALUE"""),"K0K 1H0")</f>
        <v>K0K 1H0</v>
      </c>
      <c r="E7643" s="3" t="str">
        <f>IFERROR(__xludf.DUMMYFUNCTION("""COMPUTED_VALUE"""),"linda currie")</f>
        <v>linda currie</v>
      </c>
      <c r="F7643" s="3"/>
      <c r="G7643" s="3">
        <f>IFERROR(__xludf.DUMMYFUNCTION("""COMPUTED_VALUE"""),6.134754638E9)</f>
        <v>6134754638</v>
      </c>
      <c r="H7643" s="3"/>
    </row>
    <row r="7644">
      <c r="A7644" s="2">
        <f>IFERROR(__xludf.DUMMYFUNCTION("""COMPUTED_VALUE"""),91838.0)</f>
        <v>91838</v>
      </c>
      <c r="B7644" s="3" t="str">
        <f>IFERROR(__xludf.DUMMYFUNCTION("""COMPUTED_VALUE"""),"15203 LITTLE LAKE RD  ")</f>
        <v>15203 LITTLE LAKE RD  </v>
      </c>
      <c r="C7644" s="3" t="str">
        <f>IFERROR(__xludf.DUMMYFUNCTION("""COMPUTED_VALUE"""),"BRIGHTON")</f>
        <v>BRIGHTON</v>
      </c>
      <c r="D7644" s="3" t="str">
        <f>IFERROR(__xludf.DUMMYFUNCTION("""COMPUTED_VALUE"""),"K0K 1H0")</f>
        <v>K0K 1H0</v>
      </c>
      <c r="E7644" s="3" t="str">
        <f>IFERROR(__xludf.DUMMYFUNCTION("""COMPUTED_VALUE"""),"STEVEN R WELCH")</f>
        <v>STEVEN R WELCH</v>
      </c>
      <c r="F7644" s="3" t="str">
        <f>IFERROR(__xludf.DUMMYFUNCTION("""COMPUTED_VALUE"""),"welchsteve@hotmail.com")</f>
        <v>welchsteve@hotmail.com</v>
      </c>
      <c r="G7644" s="3">
        <f>IFERROR(__xludf.DUMMYFUNCTION("""COMPUTED_VALUE"""),9.059141019E9)</f>
        <v>9059141019</v>
      </c>
      <c r="H7644" s="3"/>
    </row>
    <row r="7645">
      <c r="A7645" s="2">
        <f>IFERROR(__xludf.DUMMYFUNCTION("""COMPUTED_VALUE"""),91839.0)</f>
        <v>91839</v>
      </c>
      <c r="B7645" s="3" t="str">
        <f>IFERROR(__xludf.DUMMYFUNCTION("""COMPUTED_VALUE"""),"15207 LITTLE LAKE RD  ")</f>
        <v>15207 LITTLE LAKE RD  </v>
      </c>
      <c r="C7645" s="3" t="str">
        <f>IFERROR(__xludf.DUMMYFUNCTION("""COMPUTED_VALUE"""),"BRIGHTON")</f>
        <v>BRIGHTON</v>
      </c>
      <c r="D7645" s="3" t="str">
        <f>IFERROR(__xludf.DUMMYFUNCTION("""COMPUTED_VALUE"""),"K0K 1H0")</f>
        <v>K0K 1H0</v>
      </c>
      <c r="E7645" s="3" t="str">
        <f>IFERROR(__xludf.DUMMYFUNCTION("""COMPUTED_VALUE"""),"Terry Gardiner")</f>
        <v>Terry Gardiner</v>
      </c>
      <c r="F7645" s="3" t="str">
        <f>IFERROR(__xludf.DUMMYFUNCTION("""COMPUTED_VALUE"""),"t_gardiner14@hotmail.com")</f>
        <v>t_gardiner14@hotmail.com</v>
      </c>
      <c r="G7645" s="3">
        <f>IFERROR(__xludf.DUMMYFUNCTION("""COMPUTED_VALUE"""),9.059145027E9)</f>
        <v>9059145027</v>
      </c>
      <c r="H7645" s="3"/>
    </row>
    <row r="7646">
      <c r="A7646" s="2">
        <f>IFERROR(__xludf.DUMMYFUNCTION("""COMPUTED_VALUE"""),91840.0)</f>
        <v>91840</v>
      </c>
      <c r="B7646" s="3" t="str">
        <f>IFERROR(__xludf.DUMMYFUNCTION("""COMPUTED_VALUE"""),"15223 LITTLE LAKE RD  ")</f>
        <v>15223 LITTLE LAKE RD  </v>
      </c>
      <c r="C7646" s="3" t="str">
        <f>IFERROR(__xludf.DUMMYFUNCTION("""COMPUTED_VALUE"""),"BRIGHTON")</f>
        <v>BRIGHTON</v>
      </c>
      <c r="D7646" s="3" t="str">
        <f>IFERROR(__xludf.DUMMYFUNCTION("""COMPUTED_VALUE"""),"K0K 1H0")</f>
        <v>K0K 1H0</v>
      </c>
      <c r="E7646" s="3" t="str">
        <f>IFERROR(__xludf.DUMMYFUNCTION("""COMPUTED_VALUE"""),"ashley blair")</f>
        <v>ashley blair</v>
      </c>
      <c r="F7646" s="3" t="str">
        <f>IFERROR(__xludf.DUMMYFUNCTION("""COMPUTED_VALUE"""),"ashley_denisha@hotmail.com")</f>
        <v>ashley_denisha@hotmail.com</v>
      </c>
      <c r="G7646" s="3">
        <f>IFERROR(__xludf.DUMMYFUNCTION("""COMPUTED_VALUE"""),9.052437622E9)</f>
        <v>9052437622</v>
      </c>
      <c r="H7646" s="3"/>
    </row>
    <row r="7647">
      <c r="A7647" s="2">
        <f>IFERROR(__xludf.DUMMYFUNCTION("""COMPUTED_VALUE"""),91841.0)</f>
        <v>91841</v>
      </c>
      <c r="B7647" s="3" t="str">
        <f>IFERROR(__xludf.DUMMYFUNCTION("""COMPUTED_VALUE"""),"15231 LITTLE LAKE RD  ")</f>
        <v>15231 LITTLE LAKE RD  </v>
      </c>
      <c r="C7647" s="3" t="str">
        <f>IFERROR(__xludf.DUMMYFUNCTION("""COMPUTED_VALUE"""),"BRIGHTON")</f>
        <v>BRIGHTON</v>
      </c>
      <c r="D7647" s="3" t="str">
        <f>IFERROR(__xludf.DUMMYFUNCTION("""COMPUTED_VALUE"""),"K0K 1H0")</f>
        <v>K0K 1H0</v>
      </c>
      <c r="E7647" s="3" t="str">
        <f>IFERROR(__xludf.DUMMYFUNCTION("""COMPUTED_VALUE"""),"ben wielenga")</f>
        <v>ben wielenga</v>
      </c>
      <c r="F7647" s="3" t="str">
        <f>IFERROR(__xludf.DUMMYFUNCTION("""COMPUTED_VALUE"""),"benwielenga@outlook.com")</f>
        <v>benwielenga@outlook.com</v>
      </c>
      <c r="G7647" s="3">
        <f>IFERROR(__xludf.DUMMYFUNCTION("""COMPUTED_VALUE"""),3.435519928E9)</f>
        <v>3435519928</v>
      </c>
      <c r="H7647" s="3"/>
    </row>
    <row r="7648">
      <c r="A7648" s="2">
        <f>IFERROR(__xludf.DUMMYFUNCTION("""COMPUTED_VALUE"""),91842.0)</f>
        <v>91842</v>
      </c>
      <c r="B7648" s="3" t="str">
        <f>IFERROR(__xludf.DUMMYFUNCTION("""COMPUTED_VALUE"""),"15249 LITTLE LAKE RD  ")</f>
        <v>15249 LITTLE LAKE RD  </v>
      </c>
      <c r="C7648" s="3" t="str">
        <f>IFERROR(__xludf.DUMMYFUNCTION("""COMPUTED_VALUE"""),"BRIGHTON")</f>
        <v>BRIGHTON</v>
      </c>
      <c r="D7648" s="3" t="str">
        <f>IFERROR(__xludf.DUMMYFUNCTION("""COMPUTED_VALUE"""),"K0K 1H0")</f>
        <v>K0K 1H0</v>
      </c>
      <c r="E7648" s="3" t="str">
        <f>IFERROR(__xludf.DUMMYFUNCTION("""COMPUTED_VALUE"""),"fred brickman ")</f>
        <v>fred brickman </v>
      </c>
      <c r="F7648" s="3"/>
      <c r="G7648" s="3">
        <f>IFERROR(__xludf.DUMMYFUNCTION("""COMPUTED_VALUE"""),6.134034856E9)</f>
        <v>6134034856</v>
      </c>
      <c r="H7648" s="3">
        <f>IFERROR(__xludf.DUMMYFUNCTION("""COMPUTED_VALUE"""),6.138290321E9)</f>
        <v>6138290321</v>
      </c>
    </row>
    <row r="7649">
      <c r="A7649" s="2">
        <f>IFERROR(__xludf.DUMMYFUNCTION("""COMPUTED_VALUE"""),91843.0)</f>
        <v>91843</v>
      </c>
      <c r="B7649" s="3" t="str">
        <f>IFERROR(__xludf.DUMMYFUNCTION("""COMPUTED_VALUE"""),"15343 LITTLE LAKE RD  ")</f>
        <v>15343 LITTLE LAKE RD  </v>
      </c>
      <c r="C7649" s="3" t="str">
        <f>IFERROR(__xludf.DUMMYFUNCTION("""COMPUTED_VALUE"""),"BRIGHTON")</f>
        <v>BRIGHTON</v>
      </c>
      <c r="D7649" s="3" t="str">
        <f>IFERROR(__xludf.DUMMYFUNCTION("""COMPUTED_VALUE"""),"K0K 1H0")</f>
        <v>K0K 1H0</v>
      </c>
      <c r="E7649" s="3" t="str">
        <f>IFERROR(__xludf.DUMMYFUNCTION("""COMPUTED_VALUE"""),"robert rodway ")</f>
        <v>robert rodway </v>
      </c>
      <c r="F7649" s="3" t="str">
        <f>IFERROR(__xludf.DUMMYFUNCTION("""COMPUTED_VALUE"""),"robbierodway@gmail.com")</f>
        <v>robbierodway@gmail.com</v>
      </c>
      <c r="G7649" s="3">
        <f>IFERROR(__xludf.DUMMYFUNCTION("""COMPUTED_VALUE"""),9.05259467E9)</f>
        <v>9052594670</v>
      </c>
      <c r="H7649" s="3"/>
    </row>
    <row r="7650">
      <c r="A7650" s="2">
        <f>IFERROR(__xludf.DUMMYFUNCTION("""COMPUTED_VALUE"""),91844.0)</f>
        <v>91844</v>
      </c>
      <c r="B7650" s="3" t="str">
        <f>IFERROR(__xludf.DUMMYFUNCTION("""COMPUTED_VALUE"""),"15352 LITTLE LAKE RD  ")</f>
        <v>15352 LITTLE LAKE RD  </v>
      </c>
      <c r="C7650" s="3" t="str">
        <f>IFERROR(__xludf.DUMMYFUNCTION("""COMPUTED_VALUE"""),"BRIGHTON")</f>
        <v>BRIGHTON</v>
      </c>
      <c r="D7650" s="3" t="str">
        <f>IFERROR(__xludf.DUMMYFUNCTION("""COMPUTED_VALUE"""),"K0K 1H0")</f>
        <v>K0K 1H0</v>
      </c>
      <c r="E7650" s="3" t="str">
        <f>IFERROR(__xludf.DUMMYFUNCTION("""COMPUTED_VALUE"""),"adam lloyd ")</f>
        <v>adam lloyd </v>
      </c>
      <c r="F7650" s="3" t="str">
        <f>IFERROR(__xludf.DUMMYFUNCTION("""COMPUTED_VALUE"""),"adamjlloyd1@gmail.com")</f>
        <v>adamjlloyd1@gmail.com</v>
      </c>
      <c r="G7650" s="3">
        <f>IFERROR(__xludf.DUMMYFUNCTION("""COMPUTED_VALUE"""),6.132427828E9)</f>
        <v>6132427828</v>
      </c>
      <c r="H7650" s="3"/>
    </row>
    <row r="7651">
      <c r="A7651" s="2">
        <f>IFERROR(__xludf.DUMMYFUNCTION("""COMPUTED_VALUE"""),91845.0)</f>
        <v>91845</v>
      </c>
      <c r="B7651" s="3" t="str">
        <f>IFERROR(__xludf.DUMMYFUNCTION("""COMPUTED_VALUE"""),"15355 LITTLE LAKE RD  ")</f>
        <v>15355 LITTLE LAKE RD  </v>
      </c>
      <c r="C7651" s="3" t="str">
        <f>IFERROR(__xludf.DUMMYFUNCTION("""COMPUTED_VALUE"""),"BRIGHTON")</f>
        <v>BRIGHTON</v>
      </c>
      <c r="D7651" s="3" t="str">
        <f>IFERROR(__xludf.DUMMYFUNCTION("""COMPUTED_VALUE"""),"K0K 1H0")</f>
        <v>K0K 1H0</v>
      </c>
      <c r="E7651" s="3" t="str">
        <f>IFERROR(__xludf.DUMMYFUNCTION("""COMPUTED_VALUE"""),"sonya bremner ")</f>
        <v>sonya bremner </v>
      </c>
      <c r="F7651" s="4" t="str">
        <f>IFERROR(__xludf.DUMMYFUNCTION("""COMPUTED_VALUE"""),"pixsea2hotmail.com")</f>
        <v>pixsea2hotmail.com</v>
      </c>
      <c r="G7651" s="3">
        <f>IFERROR(__xludf.DUMMYFUNCTION("""COMPUTED_VALUE"""),6.13403445E9)</f>
        <v>6134034450</v>
      </c>
      <c r="H7651" s="3"/>
    </row>
    <row r="7652">
      <c r="A7652" s="2">
        <f>IFERROR(__xludf.DUMMYFUNCTION("""COMPUTED_VALUE"""),91846.0)</f>
        <v>91846</v>
      </c>
      <c r="B7652" s="3" t="str">
        <f>IFERROR(__xludf.DUMMYFUNCTION("""COMPUTED_VALUE"""),"15359 LITTLE LAKE RD  ")</f>
        <v>15359 LITTLE LAKE RD  </v>
      </c>
      <c r="C7652" s="3" t="str">
        <f>IFERROR(__xludf.DUMMYFUNCTION("""COMPUTED_VALUE"""),"BRIGHTON")</f>
        <v>BRIGHTON</v>
      </c>
      <c r="D7652" s="3" t="str">
        <f>IFERROR(__xludf.DUMMYFUNCTION("""COMPUTED_VALUE"""),"K0K 1H0")</f>
        <v>K0K 1H0</v>
      </c>
      <c r="E7652" s="3"/>
      <c r="F7652" s="3"/>
      <c r="G7652" s="3"/>
      <c r="H7652" s="3"/>
    </row>
    <row r="7653">
      <c r="A7653" s="2">
        <f>IFERROR(__xludf.DUMMYFUNCTION("""COMPUTED_VALUE"""),91847.0)</f>
        <v>91847</v>
      </c>
      <c r="B7653" s="3" t="str">
        <f>IFERROR(__xludf.DUMMYFUNCTION("""COMPUTED_VALUE"""),"15369 LITTLE LAKE RD  ")</f>
        <v>15369 LITTLE LAKE RD  </v>
      </c>
      <c r="C7653" s="3" t="str">
        <f>IFERROR(__xludf.DUMMYFUNCTION("""COMPUTED_VALUE"""),"BRIGHTON")</f>
        <v>BRIGHTON</v>
      </c>
      <c r="D7653" s="3" t="str">
        <f>IFERROR(__xludf.DUMMYFUNCTION("""COMPUTED_VALUE"""),"K0K 1H0")</f>
        <v>K0K 1H0</v>
      </c>
      <c r="E7653" s="3"/>
      <c r="F7653" s="3"/>
      <c r="G7653" s="3"/>
      <c r="H7653" s="3"/>
    </row>
    <row r="7654">
      <c r="A7654" s="2">
        <f>IFERROR(__xludf.DUMMYFUNCTION("""COMPUTED_VALUE"""),91848.0)</f>
        <v>91848</v>
      </c>
      <c r="B7654" s="3" t="str">
        <f>IFERROR(__xludf.DUMMYFUNCTION("""COMPUTED_VALUE"""),"15376 LITTLE LAKE RD  ")</f>
        <v>15376 LITTLE LAKE RD  </v>
      </c>
      <c r="C7654" s="3" t="str">
        <f>IFERROR(__xludf.DUMMYFUNCTION("""COMPUTED_VALUE"""),"BRIGHTON")</f>
        <v>BRIGHTON</v>
      </c>
      <c r="D7654" s="3" t="str">
        <f>IFERROR(__xludf.DUMMYFUNCTION("""COMPUTED_VALUE"""),"K0K 1H0")</f>
        <v>K0K 1H0</v>
      </c>
      <c r="E7654" s="3"/>
      <c r="F7654" s="3"/>
      <c r="G7654" s="3"/>
      <c r="H7654" s="3"/>
    </row>
    <row r="7655">
      <c r="A7655" s="2">
        <f>IFERROR(__xludf.DUMMYFUNCTION("""COMPUTED_VALUE"""),91849.0)</f>
        <v>91849</v>
      </c>
      <c r="B7655" s="3" t="str">
        <f>IFERROR(__xludf.DUMMYFUNCTION("""COMPUTED_VALUE"""),"15377 LITTLE LAKE RD  ")</f>
        <v>15377 LITTLE LAKE RD  </v>
      </c>
      <c r="C7655" s="3" t="str">
        <f>IFERROR(__xludf.DUMMYFUNCTION("""COMPUTED_VALUE"""),"BRIGHTON")</f>
        <v>BRIGHTON</v>
      </c>
      <c r="D7655" s="3" t="str">
        <f>IFERROR(__xludf.DUMMYFUNCTION("""COMPUTED_VALUE"""),"K0K 1H0")</f>
        <v>K0K 1H0</v>
      </c>
      <c r="E7655" s="3" t="str">
        <f>IFERROR(__xludf.DUMMYFUNCTION("""COMPUTED_VALUE"""),"dan holden")</f>
        <v>dan holden</v>
      </c>
      <c r="F7655" s="3" t="str">
        <f>IFERROR(__xludf.DUMMYFUNCTION("""COMPUTED_VALUE"""),"theholdens@yahoo.com")</f>
        <v>theholdens@yahoo.com</v>
      </c>
      <c r="G7655" s="3"/>
      <c r="H7655" s="3"/>
    </row>
    <row r="7656">
      <c r="A7656" s="2">
        <f>IFERROR(__xludf.DUMMYFUNCTION("""COMPUTED_VALUE"""),91850.0)</f>
        <v>91850</v>
      </c>
      <c r="B7656" s="3" t="str">
        <f>IFERROR(__xludf.DUMMYFUNCTION("""COMPUTED_VALUE"""),"15388 LITTLE LAKE RD  ")</f>
        <v>15388 LITTLE LAKE RD  </v>
      </c>
      <c r="C7656" s="3" t="str">
        <f>IFERROR(__xludf.DUMMYFUNCTION("""COMPUTED_VALUE"""),"BRIGHTON")</f>
        <v>BRIGHTON</v>
      </c>
      <c r="D7656" s="3" t="str">
        <f>IFERROR(__xludf.DUMMYFUNCTION("""COMPUTED_VALUE"""),"K0K 1H0")</f>
        <v>K0K 1H0</v>
      </c>
      <c r="E7656" s="3"/>
      <c r="F7656" s="3"/>
      <c r="G7656" s="3"/>
      <c r="H7656" s="3"/>
    </row>
    <row r="7657">
      <c r="A7657" s="2">
        <f>IFERROR(__xludf.DUMMYFUNCTION("""COMPUTED_VALUE"""),93235.0)</f>
        <v>93235</v>
      </c>
      <c r="B7657" s="3" t="str">
        <f>IFERROR(__xludf.DUMMYFUNCTION("""COMPUTED_VALUE"""),"15391 LITTLE LAKE RD")</f>
        <v>15391 LITTLE LAKE RD</v>
      </c>
      <c r="C7657" s="3"/>
      <c r="D7657" s="3"/>
      <c r="E7657" s="3"/>
      <c r="F7657" s="3"/>
      <c r="G7657" s="3"/>
      <c r="H7657" s="3"/>
    </row>
    <row r="7658">
      <c r="A7658" s="2">
        <f>IFERROR(__xludf.DUMMYFUNCTION("""COMPUTED_VALUE"""),91851.0)</f>
        <v>91851</v>
      </c>
      <c r="B7658" s="3" t="str">
        <f>IFERROR(__xludf.DUMMYFUNCTION("""COMPUTED_VALUE"""),"15394 LITTLE LAKE RD  ")</f>
        <v>15394 LITTLE LAKE RD  </v>
      </c>
      <c r="C7658" s="3" t="str">
        <f>IFERROR(__xludf.DUMMYFUNCTION("""COMPUTED_VALUE"""),"BRIGHTON")</f>
        <v>BRIGHTON</v>
      </c>
      <c r="D7658" s="3" t="str">
        <f>IFERROR(__xludf.DUMMYFUNCTION("""COMPUTED_VALUE"""),"K0K 1H0")</f>
        <v>K0K 1H0</v>
      </c>
      <c r="E7658" s="3"/>
      <c r="F7658" s="3"/>
      <c r="G7658" s="3"/>
      <c r="H7658" s="3"/>
    </row>
    <row r="7659">
      <c r="A7659" s="2">
        <f>IFERROR(__xludf.DUMMYFUNCTION("""COMPUTED_VALUE"""),91852.0)</f>
        <v>91852</v>
      </c>
      <c r="B7659" s="3" t="str">
        <f>IFERROR(__xludf.DUMMYFUNCTION("""COMPUTED_VALUE"""),"15399 LITTLE LAKE RD  ")</f>
        <v>15399 LITTLE LAKE RD  </v>
      </c>
      <c r="C7659" s="3" t="str">
        <f>IFERROR(__xludf.DUMMYFUNCTION("""COMPUTED_VALUE"""),"BRIGHTON")</f>
        <v>BRIGHTON</v>
      </c>
      <c r="D7659" s="3" t="str">
        <f>IFERROR(__xludf.DUMMYFUNCTION("""COMPUTED_VALUE"""),"K0K 1H0")</f>
        <v>K0K 1H0</v>
      </c>
      <c r="E7659" s="3"/>
      <c r="F7659" s="3"/>
      <c r="G7659" s="3"/>
      <c r="H7659" s="3"/>
    </row>
    <row r="7660">
      <c r="A7660" s="2">
        <f>IFERROR(__xludf.DUMMYFUNCTION("""COMPUTED_VALUE"""),91853.0)</f>
        <v>91853</v>
      </c>
      <c r="B7660" s="3" t="str">
        <f>IFERROR(__xludf.DUMMYFUNCTION("""COMPUTED_VALUE"""),"15400 LITTLE LAKE RD  ")</f>
        <v>15400 LITTLE LAKE RD  </v>
      </c>
      <c r="C7660" s="3" t="str">
        <f>IFERROR(__xludf.DUMMYFUNCTION("""COMPUTED_VALUE"""),"BRIGHTON")</f>
        <v>BRIGHTON</v>
      </c>
      <c r="D7660" s="3" t="str">
        <f>IFERROR(__xludf.DUMMYFUNCTION("""COMPUTED_VALUE"""),"K0K 1H0")</f>
        <v>K0K 1H0</v>
      </c>
      <c r="E7660" s="3" t="str">
        <f>IFERROR(__xludf.DUMMYFUNCTION("""COMPUTED_VALUE"""),"edward ibbotson")</f>
        <v>edward ibbotson</v>
      </c>
      <c r="F7660" s="3"/>
      <c r="G7660" s="3">
        <f>IFERROR(__xludf.DUMMYFUNCTION("""COMPUTED_VALUE"""),6.13475106E9)</f>
        <v>6134751060</v>
      </c>
      <c r="H7660" s="3"/>
    </row>
    <row r="7661">
      <c r="A7661" s="2">
        <f>IFERROR(__xludf.DUMMYFUNCTION("""COMPUTED_VALUE"""),91854.0)</f>
        <v>91854</v>
      </c>
      <c r="B7661" s="3" t="str">
        <f>IFERROR(__xludf.DUMMYFUNCTION("""COMPUTED_VALUE"""),"15416 LITTLE LAKE RD  ")</f>
        <v>15416 LITTLE LAKE RD  </v>
      </c>
      <c r="C7661" s="3" t="str">
        <f>IFERROR(__xludf.DUMMYFUNCTION("""COMPUTED_VALUE"""),"BRIGHTON")</f>
        <v>BRIGHTON</v>
      </c>
      <c r="D7661" s="3" t="str">
        <f>IFERROR(__xludf.DUMMYFUNCTION("""COMPUTED_VALUE"""),"K0K 1H0")</f>
        <v>K0K 1H0</v>
      </c>
      <c r="E7661" s="3" t="str">
        <f>IFERROR(__xludf.DUMMYFUNCTION("""COMPUTED_VALUE"""),"Harold Waters")</f>
        <v>Harold Waters</v>
      </c>
      <c r="F7661" s="3" t="str">
        <f>IFERROR(__xludf.DUMMYFUNCTION("""COMPUTED_VALUE"""),"haroldwaters32@gmail.com")</f>
        <v>haroldwaters32@gmail.com</v>
      </c>
      <c r="G7661" s="3"/>
      <c r="H7661" s="3"/>
    </row>
    <row r="7662">
      <c r="A7662" s="2">
        <f>IFERROR(__xludf.DUMMYFUNCTION("""COMPUTED_VALUE"""),93218.0)</f>
        <v>93218</v>
      </c>
      <c r="B7662" s="3" t="str">
        <f>IFERROR(__xludf.DUMMYFUNCTION("""COMPUTED_VALUE"""),"14 LOYALIST DR")</f>
        <v>14 LOYALIST DR</v>
      </c>
      <c r="C7662" s="3"/>
      <c r="D7662" s="3"/>
      <c r="E7662" s="3"/>
      <c r="F7662" s="3"/>
      <c r="G7662" s="3"/>
      <c r="H7662" s="3"/>
    </row>
    <row r="7663">
      <c r="A7663" s="2">
        <f>IFERROR(__xludf.DUMMYFUNCTION("""COMPUTED_VALUE"""),93209.0)</f>
        <v>93209</v>
      </c>
      <c r="B7663" s="3" t="str">
        <f>IFERROR(__xludf.DUMMYFUNCTION("""COMPUTED_VALUE"""),"1 LOYALIST DR")</f>
        <v>1 LOYALIST DR</v>
      </c>
      <c r="C7663" s="3"/>
      <c r="D7663" s="3"/>
      <c r="E7663" s="3"/>
      <c r="F7663" s="3"/>
      <c r="G7663" s="3"/>
      <c r="H7663" s="3"/>
    </row>
    <row r="7664">
      <c r="A7664" s="2">
        <f>IFERROR(__xludf.DUMMYFUNCTION("""COMPUTED_VALUE"""),93210.0)</f>
        <v>93210</v>
      </c>
      <c r="B7664" s="3" t="str">
        <f>IFERROR(__xludf.DUMMYFUNCTION("""COMPUTED_VALUE"""),"2 LOYALIST DR")</f>
        <v>2 LOYALIST DR</v>
      </c>
      <c r="C7664" s="3"/>
      <c r="D7664" s="3"/>
      <c r="E7664" s="3"/>
      <c r="F7664" s="3"/>
      <c r="G7664" s="3"/>
      <c r="H7664" s="3"/>
    </row>
    <row r="7665">
      <c r="A7665" s="2">
        <f>IFERROR(__xludf.DUMMYFUNCTION("""COMPUTED_VALUE"""),93211.0)</f>
        <v>93211</v>
      </c>
      <c r="B7665" s="3" t="str">
        <f>IFERROR(__xludf.DUMMYFUNCTION("""COMPUTED_VALUE"""),"3 LOYALIST DR")</f>
        <v>3 LOYALIST DR</v>
      </c>
      <c r="C7665" s="3"/>
      <c r="D7665" s="3"/>
      <c r="E7665" s="3"/>
      <c r="F7665" s="3"/>
      <c r="G7665" s="3"/>
      <c r="H7665" s="3"/>
    </row>
    <row r="7666">
      <c r="A7666" s="2">
        <f>IFERROR(__xludf.DUMMYFUNCTION("""COMPUTED_VALUE"""),93212.0)</f>
        <v>93212</v>
      </c>
      <c r="B7666" s="3" t="str">
        <f>IFERROR(__xludf.DUMMYFUNCTION("""COMPUTED_VALUE"""),"4 LOYALIST DR")</f>
        <v>4 LOYALIST DR</v>
      </c>
      <c r="C7666" s="3"/>
      <c r="D7666" s="3"/>
      <c r="E7666" s="3"/>
      <c r="F7666" s="3"/>
      <c r="G7666" s="3"/>
      <c r="H7666" s="3"/>
    </row>
    <row r="7667">
      <c r="A7667" s="2">
        <f>IFERROR(__xludf.DUMMYFUNCTION("""COMPUTED_VALUE"""),93213.0)</f>
        <v>93213</v>
      </c>
      <c r="B7667" s="3" t="str">
        <f>IFERROR(__xludf.DUMMYFUNCTION("""COMPUTED_VALUE"""),"5 LOYALIST DR")</f>
        <v>5 LOYALIST DR</v>
      </c>
      <c r="C7667" s="3"/>
      <c r="D7667" s="3"/>
      <c r="E7667" s="3"/>
      <c r="F7667" s="3"/>
      <c r="G7667" s="3"/>
      <c r="H7667" s="3"/>
    </row>
    <row r="7668">
      <c r="A7668" s="2">
        <f>IFERROR(__xludf.DUMMYFUNCTION("""COMPUTED_VALUE"""),93214.0)</f>
        <v>93214</v>
      </c>
      <c r="B7668" s="3" t="str">
        <f>IFERROR(__xludf.DUMMYFUNCTION("""COMPUTED_VALUE"""),"6 LOYALIST DR")</f>
        <v>6 LOYALIST DR</v>
      </c>
      <c r="C7668" s="3"/>
      <c r="D7668" s="3"/>
      <c r="E7668" s="3"/>
      <c r="F7668" s="3"/>
      <c r="G7668" s="3"/>
      <c r="H7668" s="3"/>
    </row>
    <row r="7669">
      <c r="A7669" s="2">
        <f>IFERROR(__xludf.DUMMYFUNCTION("""COMPUTED_VALUE"""),93141.0)</f>
        <v>93141</v>
      </c>
      <c r="B7669" s="3" t="str">
        <f>IFERROR(__xludf.DUMMYFUNCTION("""COMPUTED_VALUE"""),"7 LOYALIST DR")</f>
        <v>7 LOYALIST DR</v>
      </c>
      <c r="C7669" s="3"/>
      <c r="D7669" s="3"/>
      <c r="E7669" s="3"/>
      <c r="F7669" s="3"/>
      <c r="G7669" s="3"/>
      <c r="H7669" s="3"/>
    </row>
    <row r="7670">
      <c r="A7670" s="2">
        <f>IFERROR(__xludf.DUMMYFUNCTION("""COMPUTED_VALUE"""),93140.0)</f>
        <v>93140</v>
      </c>
      <c r="B7670" s="3" t="str">
        <f>IFERROR(__xludf.DUMMYFUNCTION("""COMPUTED_VALUE"""),"8 LOYALIST DR")</f>
        <v>8 LOYALIST DR</v>
      </c>
      <c r="C7670" s="3"/>
      <c r="D7670" s="3"/>
      <c r="E7670" s="3"/>
      <c r="F7670" s="3"/>
      <c r="G7670" s="3"/>
      <c r="H7670" s="3"/>
    </row>
    <row r="7671">
      <c r="A7671" s="2">
        <f>IFERROR(__xludf.DUMMYFUNCTION("""COMPUTED_VALUE"""),93144.0)</f>
        <v>93144</v>
      </c>
      <c r="B7671" s="3" t="str">
        <f>IFERROR(__xludf.DUMMYFUNCTION("""COMPUTED_VALUE"""),"10 LOYALIST DR")</f>
        <v>10 LOYALIST DR</v>
      </c>
      <c r="C7671" s="3"/>
      <c r="D7671" s="3"/>
      <c r="E7671" s="3"/>
      <c r="F7671" s="3"/>
      <c r="G7671" s="3"/>
      <c r="H7671" s="3"/>
    </row>
    <row r="7672">
      <c r="A7672" s="2">
        <f>IFERROR(__xludf.DUMMYFUNCTION("""COMPUTED_VALUE"""),93142.0)</f>
        <v>93142</v>
      </c>
      <c r="B7672" s="3" t="str">
        <f>IFERROR(__xludf.DUMMYFUNCTION("""COMPUTED_VALUE"""),"11 LOYALIST DR")</f>
        <v>11 LOYALIST DR</v>
      </c>
      <c r="C7672" s="3"/>
      <c r="D7672" s="3"/>
      <c r="E7672" s="3"/>
      <c r="F7672" s="3"/>
      <c r="G7672" s="3"/>
      <c r="H7672" s="3"/>
    </row>
    <row r="7673">
      <c r="A7673" s="2">
        <f>IFERROR(__xludf.DUMMYFUNCTION("""COMPUTED_VALUE"""),93145.0)</f>
        <v>93145</v>
      </c>
      <c r="B7673" s="3" t="str">
        <f>IFERROR(__xludf.DUMMYFUNCTION("""COMPUTED_VALUE"""),"12 LOYALIST DR")</f>
        <v>12 LOYALIST DR</v>
      </c>
      <c r="C7673" s="3"/>
      <c r="D7673" s="3"/>
      <c r="E7673" s="3"/>
      <c r="F7673" s="3"/>
      <c r="G7673" s="3"/>
      <c r="H7673" s="3"/>
    </row>
    <row r="7674">
      <c r="A7674" s="2">
        <f>IFERROR(__xludf.DUMMYFUNCTION("""COMPUTED_VALUE"""),93143.0)</f>
        <v>93143</v>
      </c>
      <c r="B7674" s="3" t="str">
        <f>IFERROR(__xludf.DUMMYFUNCTION("""COMPUTED_VALUE"""),"13 LOYALIST DR")</f>
        <v>13 LOYALIST DR</v>
      </c>
      <c r="C7674" s="3"/>
      <c r="D7674" s="3"/>
      <c r="E7674" s="3"/>
      <c r="F7674" s="3"/>
      <c r="G7674" s="3"/>
      <c r="H7674" s="3"/>
    </row>
    <row r="7675">
      <c r="A7675" s="2">
        <f>IFERROR(__xludf.DUMMYFUNCTION("""COMPUTED_VALUE"""),93146.0)</f>
        <v>93146</v>
      </c>
      <c r="B7675" s="3" t="str">
        <f>IFERROR(__xludf.DUMMYFUNCTION("""COMPUTED_VALUE"""),"15 LOYALIST DR")</f>
        <v>15 LOYALIST DR</v>
      </c>
      <c r="C7675" s="3"/>
      <c r="D7675" s="3"/>
      <c r="E7675" s="3"/>
      <c r="F7675" s="3"/>
      <c r="G7675" s="3"/>
      <c r="H7675" s="3"/>
    </row>
    <row r="7676">
      <c r="A7676" s="2">
        <f>IFERROR(__xludf.DUMMYFUNCTION("""COMPUTED_VALUE"""),93147.0)</f>
        <v>93147</v>
      </c>
      <c r="B7676" s="3" t="str">
        <f>IFERROR(__xludf.DUMMYFUNCTION("""COMPUTED_VALUE"""),"17 LOYALIST DR")</f>
        <v>17 LOYALIST DR</v>
      </c>
      <c r="C7676" s="3"/>
      <c r="D7676" s="3"/>
      <c r="E7676" s="3"/>
      <c r="F7676" s="3"/>
      <c r="G7676" s="3"/>
      <c r="H7676" s="3"/>
    </row>
    <row r="7677">
      <c r="A7677" s="2">
        <f>IFERROR(__xludf.DUMMYFUNCTION("""COMPUTED_VALUE"""),91859.0)</f>
        <v>91859</v>
      </c>
      <c r="B7677" s="3" t="str">
        <f>IFERROR(__xludf.DUMMYFUNCTION("""COMPUTED_VALUE"""),"200 MAIN ST  ")</f>
        <v>200 MAIN ST  </v>
      </c>
      <c r="C7677" s="3" t="str">
        <f>IFERROR(__xludf.DUMMYFUNCTION("""COMPUTED_VALUE"""),"BRIGHTON")</f>
        <v>BRIGHTON</v>
      </c>
      <c r="D7677" s="3" t="str">
        <f>IFERROR(__xludf.DUMMYFUNCTION("""COMPUTED_VALUE"""),"K0K 1H0")</f>
        <v>K0K 1H0</v>
      </c>
      <c r="E7677" s="3"/>
      <c r="F7677" s="3"/>
      <c r="G7677" s="3"/>
      <c r="H7677" s="3"/>
    </row>
    <row r="7678">
      <c r="A7678" s="2">
        <f>IFERROR(__xludf.DUMMYFUNCTION("""COMPUTED_VALUE"""),91860.0)</f>
        <v>91860</v>
      </c>
      <c r="B7678" s="3" t="str">
        <f>IFERROR(__xludf.DUMMYFUNCTION("""COMPUTED_VALUE"""),"202 MAIN ST  ")</f>
        <v>202 MAIN ST  </v>
      </c>
      <c r="C7678" s="3" t="str">
        <f>IFERROR(__xludf.DUMMYFUNCTION("""COMPUTED_VALUE"""),"BRIGHTON")</f>
        <v>BRIGHTON</v>
      </c>
      <c r="D7678" s="3" t="str">
        <f>IFERROR(__xludf.DUMMYFUNCTION("""COMPUTED_VALUE"""),"K0K 1H0")</f>
        <v>K0K 1H0</v>
      </c>
      <c r="E7678" s="3"/>
      <c r="F7678" s="3"/>
      <c r="G7678" s="3"/>
      <c r="H7678" s="3"/>
    </row>
    <row r="7679">
      <c r="A7679" s="2">
        <f>IFERROR(__xludf.DUMMYFUNCTION("""COMPUTED_VALUE"""),91864.0)</f>
        <v>91864</v>
      </c>
      <c r="B7679" s="3" t="str">
        <f>IFERROR(__xludf.DUMMYFUNCTION("""COMPUTED_VALUE"""),"350 MAIN ST")</f>
        <v>350 MAIN ST</v>
      </c>
      <c r="C7679" s="3"/>
      <c r="D7679" s="3"/>
      <c r="E7679" s="3"/>
      <c r="F7679" s="3"/>
      <c r="G7679" s="3"/>
      <c r="H7679" s="3"/>
    </row>
    <row r="7680">
      <c r="A7680" s="2">
        <f>IFERROR(__xludf.DUMMYFUNCTION("""COMPUTED_VALUE"""),93245.0)</f>
        <v>93245</v>
      </c>
      <c r="B7680" s="3" t="str">
        <f>IFERROR(__xludf.DUMMYFUNCTION("""COMPUTED_VALUE"""),"305 MAIN ST  ")</f>
        <v>305 MAIN ST  </v>
      </c>
      <c r="C7680" s="3" t="str">
        <f>IFERROR(__xludf.DUMMYFUNCTION("""COMPUTED_VALUE"""),"BRIGHTON")</f>
        <v>BRIGHTON</v>
      </c>
      <c r="D7680" s="3" t="str">
        <f>IFERROR(__xludf.DUMMYFUNCTION("""COMPUTED_VALUE"""),"K0K 1H0")</f>
        <v>K0K 1H0</v>
      </c>
      <c r="E7680" s="3" t="str">
        <f>IFERROR(__xludf.DUMMYFUNCTION("""COMPUTED_VALUE"""),"Rick Lockett")</f>
        <v>Rick Lockett</v>
      </c>
      <c r="F7680" s="3"/>
      <c r="G7680" s="3"/>
      <c r="H7680" s="3"/>
    </row>
    <row r="7681">
      <c r="A7681" s="2">
        <f>IFERROR(__xludf.DUMMYFUNCTION("""COMPUTED_VALUE"""),91862.0)</f>
        <v>91862</v>
      </c>
      <c r="B7681" s="3" t="str">
        <f>IFERROR(__xludf.DUMMYFUNCTION("""COMPUTED_VALUE"""),"306 MAIN ST  ")</f>
        <v>306 MAIN ST  </v>
      </c>
      <c r="C7681" s="3" t="str">
        <f>IFERROR(__xludf.DUMMYFUNCTION("""COMPUTED_VALUE"""),"BRIGHTON")</f>
        <v>BRIGHTON</v>
      </c>
      <c r="D7681" s="3" t="str">
        <f>IFERROR(__xludf.DUMMYFUNCTION("""COMPUTED_VALUE"""),"K0K 1H0")</f>
        <v>K0K 1H0</v>
      </c>
      <c r="E7681" s="3"/>
      <c r="F7681" s="3"/>
      <c r="G7681" s="3"/>
      <c r="H7681" s="3"/>
    </row>
    <row r="7682">
      <c r="A7682" s="2">
        <f>IFERROR(__xludf.DUMMYFUNCTION("""COMPUTED_VALUE"""),91863.0)</f>
        <v>91863</v>
      </c>
      <c r="B7682" s="3" t="str">
        <f>IFERROR(__xludf.DUMMYFUNCTION("""COMPUTED_VALUE"""),"312 MAIN ST  ")</f>
        <v>312 MAIN ST  </v>
      </c>
      <c r="C7682" s="3" t="str">
        <f>IFERROR(__xludf.DUMMYFUNCTION("""COMPUTED_VALUE"""),"BRIGHTON")</f>
        <v>BRIGHTON</v>
      </c>
      <c r="D7682" s="3" t="str">
        <f>IFERROR(__xludf.DUMMYFUNCTION("""COMPUTED_VALUE"""),"K0K 1H0")</f>
        <v>K0K 1H0</v>
      </c>
      <c r="E7682" s="3"/>
      <c r="F7682" s="3"/>
      <c r="G7682" s="3"/>
      <c r="H7682" s="3"/>
    </row>
    <row r="7683">
      <c r="A7683" s="2">
        <f>IFERROR(__xludf.DUMMYFUNCTION("""COMPUTED_VALUE"""),91865.0)</f>
        <v>91865</v>
      </c>
      <c r="B7683" s="3" t="str">
        <f>IFERROR(__xludf.DUMMYFUNCTION("""COMPUTED_VALUE"""),"360 MAIN ST  ")</f>
        <v>360 MAIN ST  </v>
      </c>
      <c r="C7683" s="3" t="str">
        <f>IFERROR(__xludf.DUMMYFUNCTION("""COMPUTED_VALUE"""),"BRIGHTON")</f>
        <v>BRIGHTON</v>
      </c>
      <c r="D7683" s="3" t="str">
        <f>IFERROR(__xludf.DUMMYFUNCTION("""COMPUTED_VALUE"""),"K0K 1H0")</f>
        <v>K0K 1H0</v>
      </c>
      <c r="E7683" s="3" t="str">
        <f>IFERROR(__xludf.DUMMYFUNCTION("""COMPUTED_VALUE"""),"Jack Mcfadden ")</f>
        <v>Jack Mcfadden </v>
      </c>
      <c r="F7683" s="3" t="str">
        <f>IFERROR(__xludf.DUMMYFUNCTION("""COMPUTED_VALUE"""),"jackmcfadden@hotmail.com")</f>
        <v>jackmcfadden@hotmail.com</v>
      </c>
      <c r="G7683" s="3"/>
      <c r="H7683" s="3"/>
    </row>
    <row r="7684">
      <c r="A7684" s="2">
        <f>IFERROR(__xludf.DUMMYFUNCTION("""COMPUTED_VALUE"""),91866.0)</f>
        <v>91866</v>
      </c>
      <c r="B7684" s="3" t="str">
        <f>IFERROR(__xludf.DUMMYFUNCTION("""COMPUTED_VALUE"""),"364 MAIN ST  ")</f>
        <v>364 MAIN ST  </v>
      </c>
      <c r="C7684" s="3" t="str">
        <f>IFERROR(__xludf.DUMMYFUNCTION("""COMPUTED_VALUE"""),"BRIGHTON")</f>
        <v>BRIGHTON</v>
      </c>
      <c r="D7684" s="3" t="str">
        <f>IFERROR(__xludf.DUMMYFUNCTION("""COMPUTED_VALUE"""),"K0K 1H0")</f>
        <v>K0K 1H0</v>
      </c>
      <c r="E7684" s="3"/>
      <c r="F7684" s="3"/>
      <c r="G7684" s="3"/>
      <c r="H7684" s="3"/>
    </row>
    <row r="7685">
      <c r="A7685" s="2">
        <f>IFERROR(__xludf.DUMMYFUNCTION("""COMPUTED_VALUE"""),91868.0)</f>
        <v>91868</v>
      </c>
      <c r="B7685" s="3" t="str">
        <f>IFERROR(__xludf.DUMMYFUNCTION("""COMPUTED_VALUE"""),"366 MAIN ST  ")</f>
        <v>366 MAIN ST  </v>
      </c>
      <c r="C7685" s="3" t="str">
        <f>IFERROR(__xludf.DUMMYFUNCTION("""COMPUTED_VALUE"""),"BRIGHTON")</f>
        <v>BRIGHTON</v>
      </c>
      <c r="D7685" s="3" t="str">
        <f>IFERROR(__xludf.DUMMYFUNCTION("""COMPUTED_VALUE"""),"K0K 1H0")</f>
        <v>K0K 1H0</v>
      </c>
      <c r="E7685" s="3"/>
      <c r="F7685" s="3"/>
      <c r="G7685" s="3"/>
      <c r="H7685" s="3"/>
    </row>
    <row r="7686">
      <c r="A7686" s="2">
        <f>IFERROR(__xludf.DUMMYFUNCTION("""COMPUTED_VALUE"""),91926.0)</f>
        <v>91926</v>
      </c>
      <c r="B7686" s="3" t="str">
        <f>IFERROR(__xludf.DUMMYFUNCTION("""COMPUTED_VALUE"""),"67 MCLEAN RD")</f>
        <v>67 MCLEAN RD</v>
      </c>
      <c r="C7686" s="3" t="str">
        <f>IFERROR(__xludf.DUMMYFUNCTION("""COMPUTED_VALUE"""),"BRIGHTON")</f>
        <v>BRIGHTON</v>
      </c>
      <c r="D7686" s="3" t="str">
        <f>IFERROR(__xludf.DUMMYFUNCTION("""COMPUTED_VALUE"""),"K0K 1H0")</f>
        <v>K0K 1H0</v>
      </c>
      <c r="E7686" s="3"/>
      <c r="F7686" s="3"/>
      <c r="G7686" s="3"/>
      <c r="H7686" s="3"/>
    </row>
    <row r="7687">
      <c r="A7687" s="2">
        <f>IFERROR(__xludf.DUMMYFUNCTION("""COMPUTED_VALUE"""),91927.0)</f>
        <v>91927</v>
      </c>
      <c r="B7687" s="3" t="str">
        <f>IFERROR(__xludf.DUMMYFUNCTION("""COMPUTED_VALUE""")," MCLEAN RD  ")</f>
        <v> MCLEAN RD  </v>
      </c>
      <c r="C7687" s="3" t="str">
        <f>IFERROR(__xludf.DUMMYFUNCTION("""COMPUTED_VALUE"""),"BRIGHTON")</f>
        <v>BRIGHTON</v>
      </c>
      <c r="D7687" s="3" t="str">
        <f>IFERROR(__xludf.DUMMYFUNCTION("""COMPUTED_VALUE"""),"K0K 1H0")</f>
        <v>K0K 1H0</v>
      </c>
      <c r="E7687" s="3"/>
      <c r="F7687" s="3"/>
      <c r="G7687" s="3"/>
      <c r="H7687" s="3"/>
    </row>
    <row r="7688">
      <c r="A7688" s="2">
        <f>IFERROR(__xludf.DUMMYFUNCTION("""COMPUTED_VALUE"""),91925.0)</f>
        <v>91925</v>
      </c>
      <c r="B7688" s="3" t="str">
        <f>IFERROR(__xludf.DUMMYFUNCTION("""COMPUTED_VALUE"""),"22 MCLEAN RD  ")</f>
        <v>22 MCLEAN RD  </v>
      </c>
      <c r="C7688" s="3" t="str">
        <f>IFERROR(__xludf.DUMMYFUNCTION("""COMPUTED_VALUE"""),"BRIGHTON")</f>
        <v>BRIGHTON</v>
      </c>
      <c r="D7688" s="3" t="str">
        <f>IFERROR(__xludf.DUMMYFUNCTION("""COMPUTED_VALUE"""),"K0K 1H0")</f>
        <v>K0K 1H0</v>
      </c>
      <c r="E7688" s="3" t="str">
        <f>IFERROR(__xludf.DUMMYFUNCTION("""COMPUTED_VALUE"""),"dusitn borrs")</f>
        <v>dusitn borrs</v>
      </c>
      <c r="F7688" s="3" t="str">
        <f>IFERROR(__xludf.DUMMYFUNCTION("""COMPUTED_VALUE"""),"dustinelectrics@gmail.com")</f>
        <v>dustinelectrics@gmail.com</v>
      </c>
      <c r="G7688" s="3">
        <f>IFERROR(__xludf.DUMMYFUNCTION("""COMPUTED_VALUE"""),6.136614055E9)</f>
        <v>6136614055</v>
      </c>
      <c r="H7688" s="3"/>
    </row>
    <row r="7689">
      <c r="A7689" s="2">
        <f>IFERROR(__xludf.DUMMYFUNCTION("""COMPUTED_VALUE"""),91929.0)</f>
        <v>91929</v>
      </c>
      <c r="B7689" s="3" t="str">
        <f>IFERROR(__xludf.DUMMYFUNCTION("""COMPUTED_VALUE"""),"116 MIDDLE RIDGE RD  ")</f>
        <v>116 MIDDLE RIDGE RD  </v>
      </c>
      <c r="C7689" s="3" t="str">
        <f>IFERROR(__xludf.DUMMYFUNCTION("""COMPUTED_VALUE"""),"BRIGHTON")</f>
        <v>BRIGHTON</v>
      </c>
      <c r="D7689" s="3" t="str">
        <f>IFERROR(__xludf.DUMMYFUNCTION("""COMPUTED_VALUE"""),"K0K 1H0")</f>
        <v>K0K 1H0</v>
      </c>
      <c r="E7689" s="3"/>
      <c r="F7689" s="3"/>
      <c r="G7689" s="3"/>
      <c r="H7689" s="3"/>
    </row>
    <row r="7690">
      <c r="A7690" s="2">
        <f>IFERROR(__xludf.DUMMYFUNCTION("""COMPUTED_VALUE"""),91930.0)</f>
        <v>91930</v>
      </c>
      <c r="B7690" s="3" t="str">
        <f>IFERROR(__xludf.DUMMYFUNCTION("""COMPUTED_VALUE"""),"162 MIDDLE RIDGE RD  ")</f>
        <v>162 MIDDLE RIDGE RD  </v>
      </c>
      <c r="C7690" s="3" t="str">
        <f>IFERROR(__xludf.DUMMYFUNCTION("""COMPUTED_VALUE"""),"BRIGHTON")</f>
        <v>BRIGHTON</v>
      </c>
      <c r="D7690" s="3" t="str">
        <f>IFERROR(__xludf.DUMMYFUNCTION("""COMPUTED_VALUE"""),"K0K 1H0")</f>
        <v>K0K 1H0</v>
      </c>
      <c r="E7690" s="3"/>
      <c r="F7690" s="3"/>
      <c r="G7690" s="3"/>
      <c r="H7690" s="3"/>
    </row>
    <row r="7691">
      <c r="A7691" s="2">
        <f>IFERROR(__xludf.DUMMYFUNCTION("""COMPUTED_VALUE"""),91931.0)</f>
        <v>91931</v>
      </c>
      <c r="B7691" s="3" t="str">
        <f>IFERROR(__xludf.DUMMYFUNCTION("""COMPUTED_VALUE"""),"198 MIDDLE RIDGE RD  ")</f>
        <v>198 MIDDLE RIDGE RD  </v>
      </c>
      <c r="C7691" s="3" t="str">
        <f>IFERROR(__xludf.DUMMYFUNCTION("""COMPUTED_VALUE"""),"BRIGHTON")</f>
        <v>BRIGHTON</v>
      </c>
      <c r="D7691" s="3" t="str">
        <f>IFERROR(__xludf.DUMMYFUNCTION("""COMPUTED_VALUE"""),"K0K 1H0")</f>
        <v>K0K 1H0</v>
      </c>
      <c r="E7691" s="3"/>
      <c r="F7691" s="3"/>
      <c r="G7691" s="3"/>
      <c r="H7691" s="3"/>
    </row>
    <row r="7692">
      <c r="A7692" s="2">
        <f>IFERROR(__xludf.DUMMYFUNCTION("""COMPUTED_VALUE"""),93232.0)</f>
        <v>93232</v>
      </c>
      <c r="B7692" s="3" t="str">
        <f>IFERROR(__xludf.DUMMYFUNCTION("""COMPUTED_VALUE"""),"207 MIDDLE RIDGE RD  ")</f>
        <v>207 MIDDLE RIDGE RD  </v>
      </c>
      <c r="C7692" s="3" t="str">
        <f>IFERROR(__xludf.DUMMYFUNCTION("""COMPUTED_VALUE"""),"BRIGHTON")</f>
        <v>BRIGHTON</v>
      </c>
      <c r="D7692" s="3" t="str">
        <f>IFERROR(__xludf.DUMMYFUNCTION("""COMPUTED_VALUE"""),"K0K 1H0")</f>
        <v>K0K 1H0</v>
      </c>
      <c r="E7692" s="3"/>
      <c r="F7692" s="3"/>
      <c r="G7692" s="3"/>
      <c r="H7692" s="3"/>
    </row>
    <row r="7693">
      <c r="A7693" s="2">
        <f>IFERROR(__xludf.DUMMYFUNCTION("""COMPUTED_VALUE"""),91932.0)</f>
        <v>91932</v>
      </c>
      <c r="B7693" s="3" t="str">
        <f>IFERROR(__xludf.DUMMYFUNCTION("""COMPUTED_VALUE"""),"222 MIDDLE RIDGE RD  ")</f>
        <v>222 MIDDLE RIDGE RD  </v>
      </c>
      <c r="C7693" s="3" t="str">
        <f>IFERROR(__xludf.DUMMYFUNCTION("""COMPUTED_VALUE"""),"BRIGHTON")</f>
        <v>BRIGHTON</v>
      </c>
      <c r="D7693" s="3" t="str">
        <f>IFERROR(__xludf.DUMMYFUNCTION("""COMPUTED_VALUE"""),"K0K 1H0")</f>
        <v>K0K 1H0</v>
      </c>
      <c r="E7693" s="3"/>
      <c r="F7693" s="3"/>
      <c r="G7693" s="3"/>
      <c r="H7693" s="3"/>
    </row>
    <row r="7694">
      <c r="A7694" s="2">
        <f>IFERROR(__xludf.DUMMYFUNCTION("""COMPUTED_VALUE"""),91933.0)</f>
        <v>91933</v>
      </c>
      <c r="B7694" s="3" t="str">
        <f>IFERROR(__xludf.DUMMYFUNCTION("""COMPUTED_VALUE"""),"228 MIDDLE RIDGE RD  ")</f>
        <v>228 MIDDLE RIDGE RD  </v>
      </c>
      <c r="C7694" s="3" t="str">
        <f>IFERROR(__xludf.DUMMYFUNCTION("""COMPUTED_VALUE"""),"BRIGHTON")</f>
        <v>BRIGHTON</v>
      </c>
      <c r="D7694" s="3" t="str">
        <f>IFERROR(__xludf.DUMMYFUNCTION("""COMPUTED_VALUE"""),"K0K 1H0")</f>
        <v>K0K 1H0</v>
      </c>
      <c r="E7694" s="3" t="str">
        <f>IFERROR(__xludf.DUMMYFUNCTION("""COMPUTED_VALUE"""),"beanie sirois")</f>
        <v>beanie sirois</v>
      </c>
      <c r="F7694" s="3" t="str">
        <f>IFERROR(__xludf.DUMMYFUNCTION("""COMPUTED_VALUE"""),"siroisbeanie2@gmail.com")</f>
        <v>siroisbeanie2@gmail.com</v>
      </c>
      <c r="G7694" s="3">
        <f>IFERROR(__xludf.DUMMYFUNCTION("""COMPUTED_VALUE"""),6.139223508E9)</f>
        <v>6139223508</v>
      </c>
      <c r="H7694" s="3"/>
    </row>
    <row r="7695">
      <c r="A7695" s="2">
        <f>IFERROR(__xludf.DUMMYFUNCTION("""COMPUTED_VALUE"""),91935.0)</f>
        <v>91935</v>
      </c>
      <c r="B7695" s="3" t="str">
        <f>IFERROR(__xludf.DUMMYFUNCTION("""COMPUTED_VALUE"""),"242 MIDDLE RIDGE RD  ")</f>
        <v>242 MIDDLE RIDGE RD  </v>
      </c>
      <c r="C7695" s="3" t="str">
        <f>IFERROR(__xludf.DUMMYFUNCTION("""COMPUTED_VALUE"""),"BRIGHTON")</f>
        <v>BRIGHTON</v>
      </c>
      <c r="D7695" s="3" t="str">
        <f>IFERROR(__xludf.DUMMYFUNCTION("""COMPUTED_VALUE"""),"K0K 1H0")</f>
        <v>K0K 1H0</v>
      </c>
      <c r="E7695" s="3" t="str">
        <f>IFERROR(__xludf.DUMMYFUNCTION("""COMPUTED_VALUE"""),"john griffiths ")</f>
        <v>john griffiths </v>
      </c>
      <c r="F7695" s="3" t="str">
        <f>IFERROR(__xludf.DUMMYFUNCTION("""COMPUTED_VALUE"""),"danny2moons@hotmail.com")</f>
        <v>danny2moons@hotmail.com</v>
      </c>
      <c r="G7695" s="3">
        <f>IFERROR(__xludf.DUMMYFUNCTION("""COMPUTED_VALUE"""),6.138477038E9)</f>
        <v>6138477038</v>
      </c>
      <c r="H7695" s="3">
        <f>IFERROR(__xludf.DUMMYFUNCTION("""COMPUTED_VALUE"""),6.139221923E9)</f>
        <v>6139221923</v>
      </c>
    </row>
    <row r="7696">
      <c r="A7696" s="2">
        <f>IFERROR(__xludf.DUMMYFUNCTION("""COMPUTED_VALUE"""),91936.0)</f>
        <v>91936</v>
      </c>
      <c r="B7696" s="3" t="str">
        <f>IFERROR(__xludf.DUMMYFUNCTION("""COMPUTED_VALUE"""),"252 MIDDLE RIDGE RD  ")</f>
        <v>252 MIDDLE RIDGE RD  </v>
      </c>
      <c r="C7696" s="3" t="str">
        <f>IFERROR(__xludf.DUMMYFUNCTION("""COMPUTED_VALUE"""),"BRIGHTON")</f>
        <v>BRIGHTON</v>
      </c>
      <c r="D7696" s="3" t="str">
        <f>IFERROR(__xludf.DUMMYFUNCTION("""COMPUTED_VALUE"""),"K0K 1H0")</f>
        <v>K0K 1H0</v>
      </c>
      <c r="E7696" s="3" t="str">
        <f>IFERROR(__xludf.DUMMYFUNCTION("""COMPUTED_VALUE"""),"Lisa Rittwage")</f>
        <v>Lisa Rittwage</v>
      </c>
      <c r="F7696" s="3" t="str">
        <f>IFERROR(__xludf.DUMMYFUNCTION("""COMPUTED_VALUE"""),"lisarittwage_8@hotmail.com")</f>
        <v>lisarittwage_8@hotmail.com</v>
      </c>
      <c r="G7696" s="3">
        <f>IFERROR(__xludf.DUMMYFUNCTION("""COMPUTED_VALUE"""),6.139213915E9)</f>
        <v>6139213915</v>
      </c>
      <c r="H7696" s="3"/>
    </row>
    <row r="7697">
      <c r="A7697" s="2">
        <f>IFERROR(__xludf.DUMMYFUNCTION("""COMPUTED_VALUE"""),91939.0)</f>
        <v>91939</v>
      </c>
      <c r="B7697" s="3" t="str">
        <f>IFERROR(__xludf.DUMMYFUNCTION("""COMPUTED_VALUE"""),"278 MIDDLE RIDGE RD  ")</f>
        <v>278 MIDDLE RIDGE RD  </v>
      </c>
      <c r="C7697" s="3" t="str">
        <f>IFERROR(__xludf.DUMMYFUNCTION("""COMPUTED_VALUE"""),"BRIGHTON")</f>
        <v>BRIGHTON</v>
      </c>
      <c r="D7697" s="3" t="str">
        <f>IFERROR(__xludf.DUMMYFUNCTION("""COMPUTED_VALUE"""),"K0K 1H0")</f>
        <v>K0K 1H0</v>
      </c>
      <c r="E7697" s="3"/>
      <c r="F7697" s="3"/>
      <c r="G7697" s="3"/>
      <c r="H7697" s="3"/>
    </row>
    <row r="7698">
      <c r="A7698" s="2">
        <f>IFERROR(__xludf.DUMMYFUNCTION("""COMPUTED_VALUE"""),91940.0)</f>
        <v>91940</v>
      </c>
      <c r="B7698" s="3" t="str">
        <f>IFERROR(__xludf.DUMMYFUNCTION("""COMPUTED_VALUE"""),"279 MIDDLE RIDGE RD  ")</f>
        <v>279 MIDDLE RIDGE RD  </v>
      </c>
      <c r="C7698" s="3" t="str">
        <f>IFERROR(__xludf.DUMMYFUNCTION("""COMPUTED_VALUE"""),"BRIGHTON")</f>
        <v>BRIGHTON</v>
      </c>
      <c r="D7698" s="3" t="str">
        <f>IFERROR(__xludf.DUMMYFUNCTION("""COMPUTED_VALUE"""),"K0K 1H0")</f>
        <v>K0K 1H0</v>
      </c>
      <c r="E7698" s="3"/>
      <c r="F7698" s="3"/>
      <c r="G7698" s="3"/>
      <c r="H7698" s="3"/>
    </row>
    <row r="7699">
      <c r="A7699" s="2">
        <f>IFERROR(__xludf.DUMMYFUNCTION("""COMPUTED_VALUE"""),91942.0)</f>
        <v>91942</v>
      </c>
      <c r="B7699" s="3" t="str">
        <f>IFERROR(__xludf.DUMMYFUNCTION("""COMPUTED_VALUE"""),"305 MIDDLE RIDGE RD  ")</f>
        <v>305 MIDDLE RIDGE RD  </v>
      </c>
      <c r="C7699" s="3" t="str">
        <f>IFERROR(__xludf.DUMMYFUNCTION("""COMPUTED_VALUE"""),"BRIGHTON")</f>
        <v>BRIGHTON</v>
      </c>
      <c r="D7699" s="3" t="str">
        <f>IFERROR(__xludf.DUMMYFUNCTION("""COMPUTED_VALUE"""),"K0K 1H0")</f>
        <v>K0K 1H0</v>
      </c>
      <c r="E7699" s="3"/>
      <c r="F7699" s="3"/>
      <c r="G7699" s="3"/>
      <c r="H7699" s="3"/>
    </row>
    <row r="7700">
      <c r="A7700" s="2">
        <f>IFERROR(__xludf.DUMMYFUNCTION("""COMPUTED_VALUE"""),91943.0)</f>
        <v>91943</v>
      </c>
      <c r="B7700" s="3" t="str">
        <f>IFERROR(__xludf.DUMMYFUNCTION("""COMPUTED_VALUE"""),"308 MIDDLE RIDGE RD  ")</f>
        <v>308 MIDDLE RIDGE RD  </v>
      </c>
      <c r="C7700" s="3" t="str">
        <f>IFERROR(__xludf.DUMMYFUNCTION("""COMPUTED_VALUE"""),"BRIGHTON")</f>
        <v>BRIGHTON</v>
      </c>
      <c r="D7700" s="3" t="str">
        <f>IFERROR(__xludf.DUMMYFUNCTION("""COMPUTED_VALUE"""),"K0K 1H0")</f>
        <v>K0K 1H0</v>
      </c>
      <c r="E7700" s="3"/>
      <c r="F7700" s="3"/>
      <c r="G7700" s="3"/>
      <c r="H7700" s="3"/>
    </row>
    <row r="7701">
      <c r="A7701" s="2">
        <f>IFERROR(__xludf.DUMMYFUNCTION("""COMPUTED_VALUE"""),91928.0)</f>
        <v>91928</v>
      </c>
      <c r="B7701" s="3" t="str">
        <f>IFERROR(__xludf.DUMMYFUNCTION("""COMPUTED_VALUE"""),"103 MIDDLE RIDGE RD  ")</f>
        <v>103 MIDDLE RIDGE RD  </v>
      </c>
      <c r="C7701" s="3" t="str">
        <f>IFERROR(__xludf.DUMMYFUNCTION("""COMPUTED_VALUE"""),"BRIGHTON")</f>
        <v>BRIGHTON</v>
      </c>
      <c r="D7701" s="3" t="str">
        <f>IFERROR(__xludf.DUMMYFUNCTION("""COMPUTED_VALUE"""),"K0K 1H0")</f>
        <v>K0K 1H0</v>
      </c>
      <c r="E7701" s="3" t="str">
        <f>IFERROR(__xludf.DUMMYFUNCTION("""COMPUTED_VALUE"""),"Fran Armstrong")</f>
        <v>Fran Armstrong</v>
      </c>
      <c r="F7701" s="3" t="str">
        <f>IFERROR(__xludf.DUMMYFUNCTION("""COMPUTED_VALUE"""),"paranovelgirl@live.ca")</f>
        <v>paranovelgirl@live.ca</v>
      </c>
      <c r="G7701" s="3">
        <f>IFERROR(__xludf.DUMMYFUNCTION("""COMPUTED_VALUE"""),6.139216315E9)</f>
        <v>6139216315</v>
      </c>
      <c r="H7701" s="3">
        <f>IFERROR(__xludf.DUMMYFUNCTION("""COMPUTED_VALUE"""),6.13475239E9)</f>
        <v>6134752390</v>
      </c>
    </row>
    <row r="7702">
      <c r="A7702" s="2">
        <f>IFERROR(__xludf.DUMMYFUNCTION("""COMPUTED_VALUE"""),93291.0)</f>
        <v>93291</v>
      </c>
      <c r="B7702" s="3" t="str">
        <f>IFERROR(__xludf.DUMMYFUNCTION("""COMPUTED_VALUE"""),"131 MIDDLE RIDGE RD")</f>
        <v>131 MIDDLE RIDGE RD</v>
      </c>
      <c r="C7702" s="3" t="str">
        <f>IFERROR(__xludf.DUMMYFUNCTION("""COMPUTED_VALUE"""),"BRIGHTON")</f>
        <v>BRIGHTON</v>
      </c>
      <c r="D7702" s="3" t="str">
        <f>IFERROR(__xludf.DUMMYFUNCTION("""COMPUTED_VALUE"""),"K0K 1H0")</f>
        <v>K0K 1H0</v>
      </c>
      <c r="E7702" s="3" t="str">
        <f>IFERROR(__xludf.DUMMYFUNCTION("""COMPUTED_VALUE"""),"RYAN SENIUK")</f>
        <v>RYAN SENIUK</v>
      </c>
      <c r="F7702" s="3" t="str">
        <f>IFERROR(__xludf.DUMMYFUNCTION("""COMPUTED_VALUE"""),"ryanseniuk@hotmail.com")</f>
        <v>ryanseniuk@hotmail.com</v>
      </c>
      <c r="G7702" s="3"/>
      <c r="H7702" s="3"/>
    </row>
    <row r="7703">
      <c r="A7703" s="2">
        <f>IFERROR(__xludf.DUMMYFUNCTION("""COMPUTED_VALUE"""),91934.0)</f>
        <v>91934</v>
      </c>
      <c r="B7703" s="3" t="str">
        <f>IFERROR(__xludf.DUMMYFUNCTION("""COMPUTED_VALUE"""),"233 MIDDLE RIDGE RD  ")</f>
        <v>233 MIDDLE RIDGE RD  </v>
      </c>
      <c r="C7703" s="3" t="str">
        <f>IFERROR(__xludf.DUMMYFUNCTION("""COMPUTED_VALUE"""),"BRIGHTON")</f>
        <v>BRIGHTON</v>
      </c>
      <c r="D7703" s="3" t="str">
        <f>IFERROR(__xludf.DUMMYFUNCTION("""COMPUTED_VALUE"""),"K0K 1H0")</f>
        <v>K0K 1H0</v>
      </c>
      <c r="E7703" s="3" t="str">
        <f>IFERROR(__xludf.DUMMYFUNCTION("""COMPUTED_VALUE"""),"Patricia Gibson")</f>
        <v>Patricia Gibson</v>
      </c>
      <c r="F7703" s="3" t="str">
        <f>IFERROR(__xludf.DUMMYFUNCTION("""COMPUTED_VALUE"""),"patriciaagibson13@gmail.com")</f>
        <v>patriciaagibson13@gmail.com</v>
      </c>
      <c r="G7703" s="3">
        <f>IFERROR(__xludf.DUMMYFUNCTION("""COMPUTED_VALUE"""),6.134751592E9)</f>
        <v>6134751592</v>
      </c>
      <c r="H7703" s="3"/>
    </row>
    <row r="7704">
      <c r="A7704" s="2">
        <f>IFERROR(__xludf.DUMMYFUNCTION("""COMPUTED_VALUE"""),91937.0)</f>
        <v>91937</v>
      </c>
      <c r="B7704" s="3" t="str">
        <f>IFERROR(__xludf.DUMMYFUNCTION("""COMPUTED_VALUE"""),"260 MIDDLE RIDGE RD  ")</f>
        <v>260 MIDDLE RIDGE RD  </v>
      </c>
      <c r="C7704" s="3" t="str">
        <f>IFERROR(__xludf.DUMMYFUNCTION("""COMPUTED_VALUE"""),"BRIGHTON")</f>
        <v>BRIGHTON</v>
      </c>
      <c r="D7704" s="3" t="str">
        <f>IFERROR(__xludf.DUMMYFUNCTION("""COMPUTED_VALUE"""),"K0K 1H0")</f>
        <v>K0K 1H0</v>
      </c>
      <c r="E7704" s="3" t="str">
        <f>IFERROR(__xludf.DUMMYFUNCTION("""COMPUTED_VALUE"""),"Christopher-luke Brunet")</f>
        <v>Christopher-luke Brunet</v>
      </c>
      <c r="F7704" s="3" t="str">
        <f>IFERROR(__xludf.DUMMYFUNCTION("""COMPUTED_VALUE"""),"thebrunets.2008@gmail.com")</f>
        <v>thebrunets.2008@gmail.com</v>
      </c>
      <c r="G7704" s="3">
        <f>IFERROR(__xludf.DUMMYFUNCTION("""COMPUTED_VALUE"""),6.13847304E9)</f>
        <v>6138473040</v>
      </c>
      <c r="H7704" s="3"/>
    </row>
    <row r="7705">
      <c r="A7705" s="2">
        <f>IFERROR(__xludf.DUMMYFUNCTION("""COMPUTED_VALUE"""),91938.0)</f>
        <v>91938</v>
      </c>
      <c r="B7705" s="3" t="str">
        <f>IFERROR(__xludf.DUMMYFUNCTION("""COMPUTED_VALUE"""),"265 MIDDLE RIDGE RD  ")</f>
        <v>265 MIDDLE RIDGE RD  </v>
      </c>
      <c r="C7705" s="3" t="str">
        <f>IFERROR(__xludf.DUMMYFUNCTION("""COMPUTED_VALUE"""),"BRIGHTON")</f>
        <v>BRIGHTON</v>
      </c>
      <c r="D7705" s="3" t="str">
        <f>IFERROR(__xludf.DUMMYFUNCTION("""COMPUTED_VALUE"""),"K0K 1H0")</f>
        <v>K0K 1H0</v>
      </c>
      <c r="E7705" s="3" t="str">
        <f>IFERROR(__xludf.DUMMYFUNCTION("""COMPUTED_VALUE"""),"Nicole &amp; Hans Zipperer")</f>
        <v>Nicole &amp; Hans Zipperer</v>
      </c>
      <c r="F7705" s="3" t="str">
        <f>IFERROR(__xludf.DUMMYFUNCTION("""COMPUTED_VALUE"""),"nzipperer@xplornet.ca")</f>
        <v>nzipperer@xplornet.ca</v>
      </c>
      <c r="G7705" s="3"/>
      <c r="H7705" s="3"/>
    </row>
    <row r="7706">
      <c r="A7706" s="2">
        <f>IFERROR(__xludf.DUMMYFUNCTION("""COMPUTED_VALUE"""),91941.0)</f>
        <v>91941</v>
      </c>
      <c r="B7706" s="3" t="str">
        <f>IFERROR(__xludf.DUMMYFUNCTION("""COMPUTED_VALUE"""),"293 MIDDLE RIDGE RD  ")</f>
        <v>293 MIDDLE RIDGE RD  </v>
      </c>
      <c r="C7706" s="3" t="str">
        <f>IFERROR(__xludf.DUMMYFUNCTION("""COMPUTED_VALUE"""),"BRIGHTON")</f>
        <v>BRIGHTON</v>
      </c>
      <c r="D7706" s="3" t="str">
        <f>IFERROR(__xludf.DUMMYFUNCTION("""COMPUTED_VALUE"""),"K0K 1H0")</f>
        <v>K0K 1H0</v>
      </c>
      <c r="E7706" s="3" t="str">
        <f>IFERROR(__xludf.DUMMYFUNCTION("""COMPUTED_VALUE"""),"Chris Haddow")</f>
        <v>Chris Haddow</v>
      </c>
      <c r="F7706" s="3" t="str">
        <f>IFERROR(__xludf.DUMMYFUNCTION("""COMPUTED_VALUE"""),"earthandfire2017@gmail.com")</f>
        <v>earthandfire2017@gmail.com</v>
      </c>
      <c r="G7706" s="3">
        <f>IFERROR(__xludf.DUMMYFUNCTION("""COMPUTED_VALUE"""),6.138271526E9)</f>
        <v>6138271526</v>
      </c>
      <c r="H7706" s="3"/>
    </row>
    <row r="7707">
      <c r="A7707" s="2">
        <f>IFERROR(__xludf.DUMMYFUNCTION("""COMPUTED_VALUE"""),91945.0)</f>
        <v>91945</v>
      </c>
      <c r="B7707" s="3" t="str">
        <f>IFERROR(__xludf.DUMMYFUNCTION("""COMPUTED_VALUE"""),"69 NEWTON LANE  ")</f>
        <v>69 NEWTON LANE  </v>
      </c>
      <c r="C7707" s="3" t="str">
        <f>IFERROR(__xludf.DUMMYFUNCTION("""COMPUTED_VALUE"""),"BRIGHTON")</f>
        <v>BRIGHTON</v>
      </c>
      <c r="D7707" s="3" t="str">
        <f>IFERROR(__xludf.DUMMYFUNCTION("""COMPUTED_VALUE"""),"K0K 1H0")</f>
        <v>K0K 1H0</v>
      </c>
      <c r="E7707" s="3" t="str">
        <f>IFERROR(__xludf.DUMMYFUNCTION("""COMPUTED_VALUE"""),"Steven Auger")</f>
        <v>Steven Auger</v>
      </c>
      <c r="F7707" s="3" t="str">
        <f>IFERROR(__xludf.DUMMYFUNCTION("""COMPUTED_VALUE"""),"newts58@yahoo.ca")</f>
        <v>newts58@yahoo.ca</v>
      </c>
      <c r="G7707" s="3"/>
      <c r="H7707" s="3"/>
    </row>
    <row r="7708">
      <c r="A7708" s="2">
        <f>IFERROR(__xludf.DUMMYFUNCTION("""COMPUTED_VALUE"""),91946.0)</f>
        <v>91946</v>
      </c>
      <c r="B7708" s="3" t="str">
        <f>IFERROR(__xludf.DUMMYFUNCTION("""COMPUTED_VALUE"""),"98 NEWTON LANE  ")</f>
        <v>98 NEWTON LANE  </v>
      </c>
      <c r="C7708" s="3" t="str">
        <f>IFERROR(__xludf.DUMMYFUNCTION("""COMPUTED_VALUE"""),"BRIGHTON")</f>
        <v>BRIGHTON</v>
      </c>
      <c r="D7708" s="3" t="str">
        <f>IFERROR(__xludf.DUMMYFUNCTION("""COMPUTED_VALUE"""),"K0K 1H0")</f>
        <v>K0K 1H0</v>
      </c>
      <c r="E7708" s="3" t="str">
        <f>IFERROR(__xludf.DUMMYFUNCTION("""COMPUTED_VALUE"""),"Douglas Newton")</f>
        <v>Douglas Newton</v>
      </c>
      <c r="F7708" s="3" t="str">
        <f>IFERROR(__xludf.DUMMYFUNCTION("""COMPUTED_VALUE"""),"dandbranch@xplornet.com")</f>
        <v>dandbranch@xplornet.com</v>
      </c>
      <c r="G7708" s="3"/>
      <c r="H7708" s="3"/>
    </row>
    <row r="7709">
      <c r="A7709" s="2">
        <f>IFERROR(__xludf.DUMMYFUNCTION("""COMPUTED_VALUE"""),91944.0)</f>
        <v>91944</v>
      </c>
      <c r="B7709" s="3" t="str">
        <f>IFERROR(__xludf.DUMMYFUNCTION("""COMPUTED_VALUE"""),"41 NEWTON LANE  ")</f>
        <v>41 NEWTON LANE  </v>
      </c>
      <c r="C7709" s="3" t="str">
        <f>IFERROR(__xludf.DUMMYFUNCTION("""COMPUTED_VALUE"""),"BRIGHTON")</f>
        <v>BRIGHTON</v>
      </c>
      <c r="D7709" s="3" t="str">
        <f>IFERROR(__xludf.DUMMYFUNCTION("""COMPUTED_VALUE"""),"K0K 1H0")</f>
        <v>K0K 1H0</v>
      </c>
      <c r="E7709" s="3" t="str">
        <f>IFERROR(__xludf.DUMMYFUNCTION("""COMPUTED_VALUE"""),"Steven Auger")</f>
        <v>Steven Auger</v>
      </c>
      <c r="F7709" s="3" t="str">
        <f>IFERROR(__xludf.DUMMYFUNCTION("""COMPUTED_VALUE"""),"steveauger30@gmail.com")</f>
        <v>steveauger30@gmail.com</v>
      </c>
      <c r="G7709" s="3"/>
      <c r="H7709" s="3"/>
    </row>
    <row r="7710">
      <c r="A7710" s="2">
        <f>IFERROR(__xludf.DUMMYFUNCTION("""COMPUTED_VALUE"""),92007.0)</f>
        <v>92007</v>
      </c>
      <c r="B7710" s="3" t="str">
        <f>IFERROR(__xludf.DUMMYFUNCTION("""COMPUTED_VALUE"""),"262 ORCHARD RD  ")</f>
        <v>262 ORCHARD RD  </v>
      </c>
      <c r="C7710" s="3" t="str">
        <f>IFERROR(__xludf.DUMMYFUNCTION("""COMPUTED_VALUE"""),"COLBORNE")</f>
        <v>COLBORNE</v>
      </c>
      <c r="D7710" s="3" t="str">
        <f>IFERROR(__xludf.DUMMYFUNCTION("""COMPUTED_VALUE"""),"K0K 1S0")</f>
        <v>K0K 1S0</v>
      </c>
      <c r="E7710" s="3"/>
      <c r="F7710" s="3"/>
      <c r="G7710" s="3"/>
      <c r="H7710" s="3"/>
    </row>
    <row r="7711">
      <c r="A7711" s="2">
        <f>IFERROR(__xludf.DUMMYFUNCTION("""COMPUTED_VALUE"""),92008.0)</f>
        <v>92008</v>
      </c>
      <c r="B7711" s="3" t="str">
        <f>IFERROR(__xludf.DUMMYFUNCTION("""COMPUTED_VALUE"""),"309 ORCHARD RD  ")</f>
        <v>309 ORCHARD RD  </v>
      </c>
      <c r="C7711" s="3" t="str">
        <f>IFERROR(__xludf.DUMMYFUNCTION("""COMPUTED_VALUE"""),"COLBORNE")</f>
        <v>COLBORNE</v>
      </c>
      <c r="D7711" s="3" t="str">
        <f>IFERROR(__xludf.DUMMYFUNCTION("""COMPUTED_VALUE"""),"K0K 1S0")</f>
        <v>K0K 1S0</v>
      </c>
      <c r="E7711" s="3"/>
      <c r="F7711" s="3"/>
      <c r="G7711" s="3"/>
      <c r="H7711" s="3"/>
    </row>
    <row r="7712">
      <c r="A7712" s="2">
        <f>IFERROR(__xludf.DUMMYFUNCTION("""COMPUTED_VALUE"""),93166.0)</f>
        <v>93166</v>
      </c>
      <c r="B7712" s="3" t="str">
        <f>IFERROR(__xludf.DUMMYFUNCTION("""COMPUTED_VALUE"""),"9 PARK ST")</f>
        <v>9 PARK ST</v>
      </c>
      <c r="C7712" s="3"/>
      <c r="D7712" s="3"/>
      <c r="E7712" s="3"/>
      <c r="F7712" s="3"/>
      <c r="G7712" s="3"/>
      <c r="H7712" s="3"/>
    </row>
    <row r="7713">
      <c r="A7713" s="2">
        <f>IFERROR(__xludf.DUMMYFUNCTION("""COMPUTED_VALUE"""),93167.0)</f>
        <v>93167</v>
      </c>
      <c r="B7713" s="3" t="str">
        <f>IFERROR(__xludf.DUMMYFUNCTION("""COMPUTED_VALUE"""),"11 PARK ST (BRIGHTON)")</f>
        <v>11 PARK ST (BRIGHTON)</v>
      </c>
      <c r="C7713" s="3"/>
      <c r="D7713" s="3"/>
      <c r="E7713" s="3"/>
      <c r="F7713" s="3"/>
      <c r="G7713" s="3"/>
      <c r="H7713" s="3"/>
    </row>
    <row r="7714">
      <c r="A7714" s="2">
        <f>IFERROR(__xludf.DUMMYFUNCTION("""COMPUTED_VALUE"""),93168.0)</f>
        <v>93168</v>
      </c>
      <c r="B7714" s="3" t="str">
        <f>IFERROR(__xludf.DUMMYFUNCTION("""COMPUTED_VALUE"""),"19 PARK ST (BRIGHTON)")</f>
        <v>19 PARK ST (BRIGHTON)</v>
      </c>
      <c r="C7714" s="3"/>
      <c r="D7714" s="3"/>
      <c r="E7714" s="3"/>
      <c r="F7714" s="3"/>
      <c r="G7714" s="3"/>
      <c r="H7714" s="3"/>
    </row>
    <row r="7715">
      <c r="A7715" s="2">
        <f>IFERROR(__xludf.DUMMYFUNCTION("""COMPUTED_VALUE"""),93169.0)</f>
        <v>93169</v>
      </c>
      <c r="B7715" s="3" t="str">
        <f>IFERROR(__xludf.DUMMYFUNCTION("""COMPUTED_VALUE"""),"25 PARK ST")</f>
        <v>25 PARK ST</v>
      </c>
      <c r="C7715" s="3"/>
      <c r="D7715" s="3"/>
      <c r="E7715" s="3"/>
      <c r="F7715" s="3"/>
      <c r="G7715" s="3"/>
      <c r="H7715" s="3"/>
    </row>
    <row r="7716">
      <c r="A7716" s="2">
        <f>IFERROR(__xludf.DUMMYFUNCTION("""COMPUTED_VALUE"""),92094.0)</f>
        <v>92094</v>
      </c>
      <c r="B7716" s="3" t="str">
        <f>IFERROR(__xludf.DUMMYFUNCTION("""COMPUTED_VALUE"""),"194 PARLIAMENT ST  ")</f>
        <v>194 PARLIAMENT ST  </v>
      </c>
      <c r="C7716" s="3" t="str">
        <f>IFERROR(__xludf.DUMMYFUNCTION("""COMPUTED_VALUE"""),"COLBORNE")</f>
        <v>COLBORNE</v>
      </c>
      <c r="D7716" s="3" t="str">
        <f>IFERROR(__xludf.DUMMYFUNCTION("""COMPUTED_VALUE"""),"K0K 1S0")</f>
        <v>K0K 1S0</v>
      </c>
      <c r="E7716" s="3" t="str">
        <f>IFERROR(__xludf.DUMMYFUNCTION("""COMPUTED_VALUE"""),"mark k")</f>
        <v>mark k</v>
      </c>
      <c r="F7716" s="3"/>
      <c r="G7716" s="3">
        <f>IFERROR(__xludf.DUMMYFUNCTION("""COMPUTED_VALUE"""),2.893149339E9)</f>
        <v>2893149339</v>
      </c>
      <c r="H7716" s="3"/>
    </row>
    <row r="7717">
      <c r="A7717" s="2">
        <f>IFERROR(__xludf.DUMMYFUNCTION("""COMPUTED_VALUE"""),92044.0)</f>
        <v>92044</v>
      </c>
      <c r="B7717" s="3" t="str">
        <f>IFERROR(__xludf.DUMMYFUNCTION("""COMPUTED_VALUE"""),"204 PARLIAMENT RD  ")</f>
        <v>204 PARLIAMENT RD  </v>
      </c>
      <c r="C7717" s="3" t="str">
        <f>IFERROR(__xludf.DUMMYFUNCTION("""COMPUTED_VALUE"""),"COLBORNE")</f>
        <v>COLBORNE</v>
      </c>
      <c r="D7717" s="3" t="str">
        <f>IFERROR(__xludf.DUMMYFUNCTION("""COMPUTED_VALUE"""),"K0K 1S0")</f>
        <v>K0K 1S0</v>
      </c>
      <c r="E7717" s="3" t="str">
        <f>IFERROR(__xludf.DUMMYFUNCTION("""COMPUTED_VALUE"""),"Allison Greer")</f>
        <v>Allison Greer</v>
      </c>
      <c r="F7717" s="3" t="str">
        <f>IFERROR(__xludf.DUMMYFUNCTION("""COMPUTED_VALUE"""),"kagreer2011@gmail.com")</f>
        <v>kagreer2011@gmail.com</v>
      </c>
      <c r="G7717" s="3">
        <f>IFERROR(__xludf.DUMMYFUNCTION("""COMPUTED_VALUE"""),2.892517065E9)</f>
        <v>2892517065</v>
      </c>
      <c r="H7717" s="3">
        <f>IFERROR(__xludf.DUMMYFUNCTION("""COMPUTED_VALUE"""),7.057606925E9)</f>
        <v>7057606925</v>
      </c>
    </row>
    <row r="7718">
      <c r="A7718" s="2">
        <f>IFERROR(__xludf.DUMMYFUNCTION("""COMPUTED_VALUE"""),92095.0)</f>
        <v>92095</v>
      </c>
      <c r="B7718" s="3" t="str">
        <f>IFERROR(__xludf.DUMMYFUNCTION("""COMPUTED_VALUE"""),"209 PARLIAMENT ST  ")</f>
        <v>209 PARLIAMENT ST  </v>
      </c>
      <c r="C7718" s="3" t="str">
        <f>IFERROR(__xludf.DUMMYFUNCTION("""COMPUTED_VALUE"""),"COLBORNE")</f>
        <v>COLBORNE</v>
      </c>
      <c r="D7718" s="3" t="str">
        <f>IFERROR(__xludf.DUMMYFUNCTION("""COMPUTED_VALUE"""),"K0K 1S0")</f>
        <v>K0K 1S0</v>
      </c>
      <c r="E7718" s="3" t="str">
        <f>IFERROR(__xludf.DUMMYFUNCTION("""COMPUTED_VALUE"""),"j, peter williams")</f>
        <v>j, peter williams</v>
      </c>
      <c r="F7718" s="3"/>
      <c r="G7718" s="3">
        <f>IFERROR(__xludf.DUMMYFUNCTION("""COMPUTED_VALUE"""),9.053552936E9)</f>
        <v>9053552936</v>
      </c>
      <c r="H7718" s="3"/>
    </row>
    <row r="7719">
      <c r="A7719" s="2">
        <f>IFERROR(__xludf.DUMMYFUNCTION("""COMPUTED_VALUE"""),92045.0)</f>
        <v>92045</v>
      </c>
      <c r="B7719" s="3" t="str">
        <f>IFERROR(__xludf.DUMMYFUNCTION("""COMPUTED_VALUE"""),"236 PARLIAMENT RD  ")</f>
        <v>236 PARLIAMENT RD  </v>
      </c>
      <c r="C7719" s="3" t="str">
        <f>IFERROR(__xludf.DUMMYFUNCTION("""COMPUTED_VALUE"""),"COLBORNE")</f>
        <v>COLBORNE</v>
      </c>
      <c r="D7719" s="3" t="str">
        <f>IFERROR(__xludf.DUMMYFUNCTION("""COMPUTED_VALUE"""),"K0K 1S0")</f>
        <v>K0K 1S0</v>
      </c>
      <c r="E7719" s="3"/>
      <c r="F7719" s="3"/>
      <c r="G7719" s="3"/>
      <c r="H7719" s="3"/>
    </row>
    <row r="7720">
      <c r="A7720" s="2">
        <f>IFERROR(__xludf.DUMMYFUNCTION("""COMPUTED_VALUE"""),92093.0)</f>
        <v>92093</v>
      </c>
      <c r="B7720" s="3" t="str">
        <f>IFERROR(__xludf.DUMMYFUNCTION("""COMPUTED_VALUE"""),"186 PARLIAMENT ST  ")</f>
        <v>186 PARLIAMENT ST  </v>
      </c>
      <c r="C7720" s="3" t="str">
        <f>IFERROR(__xludf.DUMMYFUNCTION("""COMPUTED_VALUE"""),"COLBORNE")</f>
        <v>COLBORNE</v>
      </c>
      <c r="D7720" s="3" t="str">
        <f>IFERROR(__xludf.DUMMYFUNCTION("""COMPUTED_VALUE"""),"K0K 1S0")</f>
        <v>K0K 1S0</v>
      </c>
      <c r="E7720" s="3" t="str">
        <f>IFERROR(__xludf.DUMMYFUNCTION("""COMPUTED_VALUE"""),"Cindy &amp; Doug Benn")</f>
        <v>Cindy &amp; Doug Benn</v>
      </c>
      <c r="F7720" s="3" t="str">
        <f>IFERROR(__xludf.DUMMYFUNCTION("""COMPUTED_VALUE"""),"cindy.benn123@gmail.com")</f>
        <v>cindy.benn123@gmail.com</v>
      </c>
      <c r="G7720" s="3">
        <f>IFERROR(__xludf.DUMMYFUNCTION("""COMPUTED_VALUE"""),9.05355148E9)</f>
        <v>9053551480</v>
      </c>
      <c r="H7720" s="3">
        <f>IFERROR(__xludf.DUMMYFUNCTION("""COMPUTED_VALUE"""),6.138486002E9)</f>
        <v>6138486002</v>
      </c>
    </row>
    <row r="7721">
      <c r="A7721" s="2">
        <f>IFERROR(__xludf.DUMMYFUNCTION("""COMPUTED_VALUE"""),93266.0)</f>
        <v>93266</v>
      </c>
      <c r="B7721" s="3" t="str">
        <f>IFERROR(__xludf.DUMMYFUNCTION("""COMPUTED_VALUE"""),"71 PINNACLE ST N")</f>
        <v>71 PINNACLE ST N</v>
      </c>
      <c r="C7721" s="3"/>
      <c r="D7721" s="3"/>
      <c r="E7721" s="3"/>
      <c r="F7721" s="3"/>
      <c r="G7721" s="3"/>
      <c r="H7721" s="3"/>
    </row>
    <row r="7722">
      <c r="A7722" s="2">
        <f>IFERROR(__xludf.DUMMYFUNCTION("""COMPUTED_VALUE"""),92201.0)</f>
        <v>92201</v>
      </c>
      <c r="B7722" s="3" t="str">
        <f>IFERROR(__xludf.DUMMYFUNCTION("""COMPUTED_VALUE"""),"113 POPHAM LANE")</f>
        <v>113 POPHAM LANE</v>
      </c>
      <c r="C7722" s="3" t="str">
        <f>IFERROR(__xludf.DUMMYFUNCTION("""COMPUTED_VALUE"""),"BRIGHTON")</f>
        <v>BRIGHTON</v>
      </c>
      <c r="D7722" s="3" t="str">
        <f>IFERROR(__xludf.DUMMYFUNCTION("""COMPUTED_VALUE"""),"K0K 1H0")</f>
        <v>K0K 1H0</v>
      </c>
      <c r="E7722" s="3"/>
      <c r="F7722" s="3"/>
      <c r="G7722" s="3"/>
      <c r="H7722" s="3"/>
    </row>
    <row r="7723">
      <c r="A7723" s="2">
        <f>IFERROR(__xludf.DUMMYFUNCTION("""COMPUTED_VALUE"""),92189.0)</f>
        <v>92189</v>
      </c>
      <c r="B7723" s="3" t="str">
        <f>IFERROR(__xludf.DUMMYFUNCTION("""COMPUTED_VALUE"""),"27 POPHAM LANE  ")</f>
        <v>27 POPHAM LANE  </v>
      </c>
      <c r="C7723" s="3" t="str">
        <f>IFERROR(__xludf.DUMMYFUNCTION("""COMPUTED_VALUE"""),"BRIGHTON")</f>
        <v>BRIGHTON</v>
      </c>
      <c r="D7723" s="3" t="str">
        <f>IFERROR(__xludf.DUMMYFUNCTION("""COMPUTED_VALUE"""),"K0K 1H0")</f>
        <v>K0K 1H0</v>
      </c>
      <c r="E7723" s="3"/>
      <c r="F7723" s="3"/>
      <c r="G7723" s="3"/>
      <c r="H7723" s="3"/>
    </row>
    <row r="7724">
      <c r="A7724" s="2">
        <f>IFERROR(__xludf.DUMMYFUNCTION("""COMPUTED_VALUE"""),92190.0)</f>
        <v>92190</v>
      </c>
      <c r="B7724" s="3" t="str">
        <f>IFERROR(__xludf.DUMMYFUNCTION("""COMPUTED_VALUE"""),"33 POPHAM LANE  ")</f>
        <v>33 POPHAM LANE  </v>
      </c>
      <c r="C7724" s="3" t="str">
        <f>IFERROR(__xludf.DUMMYFUNCTION("""COMPUTED_VALUE"""),"BRIGHTON")</f>
        <v>BRIGHTON</v>
      </c>
      <c r="D7724" s="3" t="str">
        <f>IFERROR(__xludf.DUMMYFUNCTION("""COMPUTED_VALUE"""),"K0K 1H0")</f>
        <v>K0K 1H0</v>
      </c>
      <c r="E7724" s="3" t="str">
        <f>IFERROR(__xludf.DUMMYFUNCTION("""COMPUTED_VALUE"""),"Vishal valsadia")</f>
        <v>Vishal valsadia</v>
      </c>
      <c r="F7724" s="3" t="str">
        <f>IFERROR(__xludf.DUMMYFUNCTION("""COMPUTED_VALUE"""),"valsadialucy@gmail.com")</f>
        <v>valsadialucy@gmail.com</v>
      </c>
      <c r="G7724" s="3">
        <f>IFERROR(__xludf.DUMMYFUNCTION("""COMPUTED_VALUE"""),6.479212071E9)</f>
        <v>6479212071</v>
      </c>
      <c r="H7724" s="3"/>
    </row>
    <row r="7725">
      <c r="A7725" s="2">
        <f>IFERROR(__xludf.DUMMYFUNCTION("""COMPUTED_VALUE"""),92191.0)</f>
        <v>92191</v>
      </c>
      <c r="B7725" s="3" t="str">
        <f>IFERROR(__xludf.DUMMYFUNCTION("""COMPUTED_VALUE"""),"39 POPHAM LANE  ")</f>
        <v>39 POPHAM LANE  </v>
      </c>
      <c r="C7725" s="3" t="str">
        <f>IFERROR(__xludf.DUMMYFUNCTION("""COMPUTED_VALUE"""),"BRIGHTON")</f>
        <v>BRIGHTON</v>
      </c>
      <c r="D7725" s="3" t="str">
        <f>IFERROR(__xludf.DUMMYFUNCTION("""COMPUTED_VALUE"""),"K0K 1H0")</f>
        <v>K0K 1H0</v>
      </c>
      <c r="E7725" s="3" t="str">
        <f>IFERROR(__xludf.DUMMYFUNCTION("""COMPUTED_VALUE"""),"kevin wilson ")</f>
        <v>kevin wilson </v>
      </c>
      <c r="F7725" s="3" t="str">
        <f>IFERROR(__xludf.DUMMYFUNCTION("""COMPUTED_VALUE"""),"jeronimocevedo027@gmail.com")</f>
        <v>jeronimocevedo027@gmail.com</v>
      </c>
      <c r="G7725" s="3">
        <f>IFERROR(__xludf.DUMMYFUNCTION("""COMPUTED_VALUE"""),2.899436765E9)</f>
        <v>2899436765</v>
      </c>
      <c r="H7725" s="3">
        <f>IFERROR(__xludf.DUMMYFUNCTION("""COMPUTED_VALUE"""),6.474104727E9)</f>
        <v>6474104727</v>
      </c>
    </row>
    <row r="7726">
      <c r="A7726" s="2">
        <f>IFERROR(__xludf.DUMMYFUNCTION("""COMPUTED_VALUE"""),92192.0)</f>
        <v>92192</v>
      </c>
      <c r="B7726" s="3" t="str">
        <f>IFERROR(__xludf.DUMMYFUNCTION("""COMPUTED_VALUE"""),"45 POPHAM LANE  ")</f>
        <v>45 POPHAM LANE  </v>
      </c>
      <c r="C7726" s="3" t="str">
        <f>IFERROR(__xludf.DUMMYFUNCTION("""COMPUTED_VALUE"""),"BRIGHTON")</f>
        <v>BRIGHTON</v>
      </c>
      <c r="D7726" s="3" t="str">
        <f>IFERROR(__xludf.DUMMYFUNCTION("""COMPUTED_VALUE"""),"K0K 1H0")</f>
        <v>K0K 1H0</v>
      </c>
      <c r="E7726" s="3" t="str">
        <f>IFERROR(__xludf.DUMMYFUNCTION("""COMPUTED_VALUE"""),"rick brough")</f>
        <v>rick brough</v>
      </c>
      <c r="F7726" s="3" t="str">
        <f>IFERROR(__xludf.DUMMYFUNCTION("""COMPUTED_VALUE"""),"rick.brough@gmail.com")</f>
        <v>rick.brough@gmail.com</v>
      </c>
      <c r="G7726" s="3">
        <f>IFERROR(__xludf.DUMMYFUNCTION("""COMPUTED_VALUE"""),4.164593549E9)</f>
        <v>4164593549</v>
      </c>
      <c r="H7726" s="3"/>
    </row>
    <row r="7727">
      <c r="A7727" s="2">
        <f>IFERROR(__xludf.DUMMYFUNCTION("""COMPUTED_VALUE"""),92193.0)</f>
        <v>92193</v>
      </c>
      <c r="B7727" s="3" t="str">
        <f>IFERROR(__xludf.DUMMYFUNCTION("""COMPUTED_VALUE"""),"55 POPHAM LANE  ")</f>
        <v>55 POPHAM LANE  </v>
      </c>
      <c r="C7727" s="3" t="str">
        <f>IFERROR(__xludf.DUMMYFUNCTION("""COMPUTED_VALUE"""),"BRIGHTON")</f>
        <v>BRIGHTON</v>
      </c>
      <c r="D7727" s="3" t="str">
        <f>IFERROR(__xludf.DUMMYFUNCTION("""COMPUTED_VALUE"""),"K0K 1H0")</f>
        <v>K0K 1H0</v>
      </c>
      <c r="E7727" s="3" t="str">
        <f>IFERROR(__xludf.DUMMYFUNCTION("""COMPUTED_VALUE"""),"kerri coffey ")</f>
        <v>kerri coffey </v>
      </c>
      <c r="F7727" s="3" t="str">
        <f>IFERROR(__xludf.DUMMYFUNCTION("""COMPUTED_VALUE"""),"kerrilcoffey@gmail.com")</f>
        <v>kerrilcoffey@gmail.com</v>
      </c>
      <c r="G7727" s="3">
        <f>IFERROR(__xludf.DUMMYFUNCTION("""COMPUTED_VALUE"""),7.092800498E9)</f>
        <v>7092800498</v>
      </c>
      <c r="H7727" s="3"/>
    </row>
    <row r="7728">
      <c r="A7728" s="2">
        <f>IFERROR(__xludf.DUMMYFUNCTION("""COMPUTED_VALUE"""),92195.0)</f>
        <v>92195</v>
      </c>
      <c r="B7728" s="3" t="str">
        <f>IFERROR(__xludf.DUMMYFUNCTION("""COMPUTED_VALUE"""),"67 POPHAM LANE  ")</f>
        <v>67 POPHAM LANE  </v>
      </c>
      <c r="C7728" s="3" t="str">
        <f>IFERROR(__xludf.DUMMYFUNCTION("""COMPUTED_VALUE"""),"BRIGHTON")</f>
        <v>BRIGHTON</v>
      </c>
      <c r="D7728" s="3" t="str">
        <f>IFERROR(__xludf.DUMMYFUNCTION("""COMPUTED_VALUE"""),"K0K 1H0")</f>
        <v>K0K 1H0</v>
      </c>
      <c r="E7728" s="3"/>
      <c r="F7728" s="3"/>
      <c r="G7728" s="3"/>
      <c r="H7728" s="3"/>
    </row>
    <row r="7729">
      <c r="A7729" s="2">
        <f>IFERROR(__xludf.DUMMYFUNCTION("""COMPUTED_VALUE"""),92196.0)</f>
        <v>92196</v>
      </c>
      <c r="B7729" s="3" t="str">
        <f>IFERROR(__xludf.DUMMYFUNCTION("""COMPUTED_VALUE"""),"73 POPHAM LANE  ")</f>
        <v>73 POPHAM LANE  </v>
      </c>
      <c r="C7729" s="3" t="str">
        <f>IFERROR(__xludf.DUMMYFUNCTION("""COMPUTED_VALUE"""),"BRIGHTON")</f>
        <v>BRIGHTON</v>
      </c>
      <c r="D7729" s="3" t="str">
        <f>IFERROR(__xludf.DUMMYFUNCTION("""COMPUTED_VALUE"""),"K0K 1H0")</f>
        <v>K0K 1H0</v>
      </c>
      <c r="E7729" s="3" t="str">
        <f>IFERROR(__xludf.DUMMYFUNCTION("""COMPUTED_VALUE"""),"Eric Morris")</f>
        <v>Eric Morris</v>
      </c>
      <c r="F7729" s="3" t="str">
        <f>IFERROR(__xludf.DUMMYFUNCTION("""COMPUTED_VALUE"""),"eric.morris@gmail.com")</f>
        <v>eric.morris@gmail.com</v>
      </c>
      <c r="G7729" s="3">
        <f>IFERROR(__xludf.DUMMYFUNCTION("""COMPUTED_VALUE"""),4.162942677E9)</f>
        <v>4162942677</v>
      </c>
      <c r="H7729" s="3"/>
    </row>
    <row r="7730">
      <c r="A7730" s="2">
        <f>IFERROR(__xludf.DUMMYFUNCTION("""COMPUTED_VALUE"""),92197.0)</f>
        <v>92197</v>
      </c>
      <c r="B7730" s="3" t="str">
        <f>IFERROR(__xludf.DUMMYFUNCTION("""COMPUTED_VALUE"""),"79 POPHAM LANE  ")</f>
        <v>79 POPHAM LANE  </v>
      </c>
      <c r="C7730" s="3" t="str">
        <f>IFERROR(__xludf.DUMMYFUNCTION("""COMPUTED_VALUE"""),"BRIGHTON")</f>
        <v>BRIGHTON</v>
      </c>
      <c r="D7730" s="3" t="str">
        <f>IFERROR(__xludf.DUMMYFUNCTION("""COMPUTED_VALUE"""),"K0K 1H0")</f>
        <v>K0K 1H0</v>
      </c>
      <c r="E7730" s="3" t="str">
        <f>IFERROR(__xludf.DUMMYFUNCTION("""COMPUTED_VALUE"""),"john stainton")</f>
        <v>john stainton</v>
      </c>
      <c r="F7730" s="3"/>
      <c r="G7730" s="3">
        <f>IFERROR(__xludf.DUMMYFUNCTION("""COMPUTED_VALUE"""),6.134750496E9)</f>
        <v>6134750496</v>
      </c>
      <c r="H7730" s="3"/>
    </row>
    <row r="7731">
      <c r="A7731" s="2">
        <f>IFERROR(__xludf.DUMMYFUNCTION("""COMPUTED_VALUE"""),92199.0)</f>
        <v>92199</v>
      </c>
      <c r="B7731" s="3" t="str">
        <f>IFERROR(__xludf.DUMMYFUNCTION("""COMPUTED_VALUE"""),"97 POPHAM LANE  ")</f>
        <v>97 POPHAM LANE  </v>
      </c>
      <c r="C7731" s="3" t="str">
        <f>IFERROR(__xludf.DUMMYFUNCTION("""COMPUTED_VALUE"""),"BRIGHTON")</f>
        <v>BRIGHTON</v>
      </c>
      <c r="D7731" s="3" t="str">
        <f>IFERROR(__xludf.DUMMYFUNCTION("""COMPUTED_VALUE"""),"K0K 1H0")</f>
        <v>K0K 1H0</v>
      </c>
      <c r="E7731" s="3"/>
      <c r="F7731" s="3"/>
      <c r="G7731" s="3"/>
      <c r="H7731" s="3"/>
    </row>
    <row r="7732">
      <c r="A7732" s="2">
        <f>IFERROR(__xludf.DUMMYFUNCTION("""COMPUTED_VALUE"""),92200.0)</f>
        <v>92200</v>
      </c>
      <c r="B7732" s="3" t="str">
        <f>IFERROR(__xludf.DUMMYFUNCTION("""COMPUTED_VALUE"""),"101 POPHAM LANE  ")</f>
        <v>101 POPHAM LANE  </v>
      </c>
      <c r="C7732" s="3" t="str">
        <f>IFERROR(__xludf.DUMMYFUNCTION("""COMPUTED_VALUE"""),"BRIGHTON")</f>
        <v>BRIGHTON</v>
      </c>
      <c r="D7732" s="3" t="str">
        <f>IFERROR(__xludf.DUMMYFUNCTION("""COMPUTED_VALUE"""),"K0K 1H0")</f>
        <v>K0K 1H0</v>
      </c>
      <c r="E7732" s="3" t="str">
        <f>IFERROR(__xludf.DUMMYFUNCTION("""COMPUTED_VALUE"""),"patricia pereira")</f>
        <v>patricia pereira</v>
      </c>
      <c r="F7732" s="3" t="str">
        <f>IFERROR(__xludf.DUMMYFUNCTION("""COMPUTED_VALUE"""),"paty70pereira@gmail.com")</f>
        <v>paty70pereira@gmail.com</v>
      </c>
      <c r="G7732" s="3">
        <f>IFERROR(__xludf.DUMMYFUNCTION("""COMPUTED_VALUE"""),7.059287257E9)</f>
        <v>7059287257</v>
      </c>
      <c r="H7732" s="3"/>
    </row>
    <row r="7733">
      <c r="A7733" s="2">
        <f>IFERROR(__xludf.DUMMYFUNCTION("""COMPUTED_VALUE"""),92202.0)</f>
        <v>92202</v>
      </c>
      <c r="B7733" s="3" t="str">
        <f>IFERROR(__xludf.DUMMYFUNCTION("""COMPUTED_VALUE"""),"177 POPHAM LANE  ")</f>
        <v>177 POPHAM LANE  </v>
      </c>
      <c r="C7733" s="3" t="str">
        <f>IFERROR(__xludf.DUMMYFUNCTION("""COMPUTED_VALUE"""),"BRIGHTON")</f>
        <v>BRIGHTON</v>
      </c>
      <c r="D7733" s="3" t="str">
        <f>IFERROR(__xludf.DUMMYFUNCTION("""COMPUTED_VALUE"""),"K0K 1H0")</f>
        <v>K0K 1H0</v>
      </c>
      <c r="E7733" s="3"/>
      <c r="F7733" s="3"/>
      <c r="G7733" s="3"/>
      <c r="H7733" s="3"/>
    </row>
    <row r="7734">
      <c r="A7734" s="2">
        <f>IFERROR(__xludf.DUMMYFUNCTION("""COMPUTED_VALUE"""),92198.0)</f>
        <v>92198</v>
      </c>
      <c r="B7734" s="3" t="str">
        <f>IFERROR(__xludf.DUMMYFUNCTION("""COMPUTED_VALUE"""),"85 POPHAM LANE  ")</f>
        <v>85 POPHAM LANE  </v>
      </c>
      <c r="C7734" s="3" t="str">
        <f>IFERROR(__xludf.DUMMYFUNCTION("""COMPUTED_VALUE"""),"BRIGHTON")</f>
        <v>BRIGHTON</v>
      </c>
      <c r="D7734" s="3" t="str">
        <f>IFERROR(__xludf.DUMMYFUNCTION("""COMPUTED_VALUE"""),"K0K 1H0")</f>
        <v>K0K 1H0</v>
      </c>
      <c r="E7734" s="3" t="str">
        <f>IFERROR(__xludf.DUMMYFUNCTION("""COMPUTED_VALUE"""),"shelley pound-stevenson")</f>
        <v>shelley pound-stevenson</v>
      </c>
      <c r="F7734" s="3" t="str">
        <f>IFERROR(__xludf.DUMMYFUNCTION("""COMPUTED_VALUE"""),"shelleypound@yahoo.com")</f>
        <v>shelleypound@yahoo.com</v>
      </c>
      <c r="G7734" s="3">
        <f>IFERROR(__xludf.DUMMYFUNCTION("""COMPUTED_VALUE"""),6.134755807E9)</f>
        <v>6134755807</v>
      </c>
      <c r="H7734" s="3">
        <f>IFERROR(__xludf.DUMMYFUNCTION("""COMPUTED_VALUE"""),6.139701736E9)</f>
        <v>6139701736</v>
      </c>
    </row>
    <row r="7735">
      <c r="A7735" s="2">
        <f>IFERROR(__xludf.DUMMYFUNCTION("""COMPUTED_VALUE"""),92188.0)</f>
        <v>92188</v>
      </c>
      <c r="B7735" s="3" t="str">
        <f>IFERROR(__xludf.DUMMYFUNCTION("""COMPUTED_VALUE"""),"13 POPHAM LANE  ")</f>
        <v>13 POPHAM LANE  </v>
      </c>
      <c r="C7735" s="3" t="str">
        <f>IFERROR(__xludf.DUMMYFUNCTION("""COMPUTED_VALUE"""),"BRIGHTON")</f>
        <v>BRIGHTON</v>
      </c>
      <c r="D7735" s="3" t="str">
        <f>IFERROR(__xludf.DUMMYFUNCTION("""COMPUTED_VALUE"""),"K0K 1H0")</f>
        <v>K0K 1H0</v>
      </c>
      <c r="E7735" s="3" t="str">
        <f>IFERROR(__xludf.DUMMYFUNCTION("""COMPUTED_VALUE"""),"Annie Boulanger")</f>
        <v>Annie Boulanger</v>
      </c>
      <c r="F7735" s="3" t="str">
        <f>IFERROR(__xludf.DUMMYFUNCTION("""COMPUTED_VALUE"""),"boulanger.annie@gmail.com")</f>
        <v>boulanger.annie@gmail.com</v>
      </c>
      <c r="G7735" s="3">
        <f>IFERROR(__xludf.DUMMYFUNCTION("""COMPUTED_VALUE"""),6.132431118E9)</f>
        <v>6132431118</v>
      </c>
      <c r="H7735" s="3"/>
    </row>
    <row r="7736">
      <c r="A7736" s="2">
        <f>IFERROR(__xludf.DUMMYFUNCTION("""COMPUTED_VALUE"""),92194.0)</f>
        <v>92194</v>
      </c>
      <c r="B7736" s="3" t="str">
        <f>IFERROR(__xludf.DUMMYFUNCTION("""COMPUTED_VALUE"""),"61 POPHAM LANE  ")</f>
        <v>61 POPHAM LANE  </v>
      </c>
      <c r="C7736" s="3" t="str">
        <f>IFERROR(__xludf.DUMMYFUNCTION("""COMPUTED_VALUE"""),"BRIGHTON")</f>
        <v>BRIGHTON</v>
      </c>
      <c r="D7736" s="3" t="str">
        <f>IFERROR(__xludf.DUMMYFUNCTION("""COMPUTED_VALUE"""),"K0K 1H0")</f>
        <v>K0K 1H0</v>
      </c>
      <c r="E7736" s="3" t="str">
        <f>IFERROR(__xludf.DUMMYFUNCTION("""COMPUTED_VALUE"""),"Frank Lim ")</f>
        <v>Frank Lim </v>
      </c>
      <c r="F7736" s="3" t="str">
        <f>IFERROR(__xludf.DUMMYFUNCTION("""COMPUTED_VALUE"""),"video3661@yahoo.com")</f>
        <v>video3661@yahoo.com</v>
      </c>
      <c r="G7736" s="3"/>
      <c r="H7736" s="3"/>
    </row>
    <row r="7737">
      <c r="A7737" s="2">
        <f>IFERROR(__xludf.DUMMYFUNCTION("""COMPUTED_VALUE"""),92203.0)</f>
        <v>92203</v>
      </c>
      <c r="B7737" s="3" t="str">
        <f>IFERROR(__xludf.DUMMYFUNCTION("""COMPUTED_VALUE"""),"205 POPHAM LANE  ")</f>
        <v>205 POPHAM LANE  </v>
      </c>
      <c r="C7737" s="3" t="str">
        <f>IFERROR(__xludf.DUMMYFUNCTION("""COMPUTED_VALUE"""),"BRIGHTON")</f>
        <v>BRIGHTON</v>
      </c>
      <c r="D7737" s="3" t="str">
        <f>IFERROR(__xludf.DUMMYFUNCTION("""COMPUTED_VALUE"""),"K0K 1H0")</f>
        <v>K0K 1H0</v>
      </c>
      <c r="E7737" s="3" t="str">
        <f>IFERROR(__xludf.DUMMYFUNCTION("""COMPUTED_VALUE"""),"Darren Plumbe")</f>
        <v>Darren Plumbe</v>
      </c>
      <c r="F7737" s="3" t="str">
        <f>IFERROR(__xludf.DUMMYFUNCTION("""COMPUTED_VALUE"""),"plumbe.app@gmail.com")</f>
        <v>plumbe.app@gmail.com</v>
      </c>
      <c r="G7737" s="3">
        <f>IFERROR(__xludf.DUMMYFUNCTION("""COMPUTED_VALUE"""),6.479650113E9)</f>
        <v>6479650113</v>
      </c>
      <c r="H7737" s="3"/>
    </row>
    <row r="7738">
      <c r="A7738" s="2">
        <f>IFERROR(__xludf.DUMMYFUNCTION("""COMPUTED_VALUE"""),92231.0)</f>
        <v>92231</v>
      </c>
      <c r="B7738" s="3" t="str">
        <f>IFERROR(__xludf.DUMMYFUNCTION("""COMPUTED_VALUE"""),"284 PRESQUILE PKY")</f>
        <v>284 PRESQUILE PKY</v>
      </c>
      <c r="C7738" s="3"/>
      <c r="D7738" s="3"/>
      <c r="E7738" s="3"/>
      <c r="F7738" s="3"/>
      <c r="G7738" s="3"/>
      <c r="H7738" s="3"/>
    </row>
    <row r="7739">
      <c r="A7739" s="2">
        <f>IFERROR(__xludf.DUMMYFUNCTION("""COMPUTED_VALUE"""),93252.0)</f>
        <v>93252</v>
      </c>
      <c r="B7739" s="3" t="str">
        <f>IFERROR(__xludf.DUMMYFUNCTION("""COMPUTED_VALUE"""),"294 PRESQU'LLE PKWY")</f>
        <v>294 PRESQU'LLE PKWY</v>
      </c>
      <c r="C7739" s="3"/>
      <c r="D7739" s="3"/>
      <c r="E7739" s="3"/>
      <c r="F7739" s="3"/>
      <c r="G7739" s="3"/>
      <c r="H7739" s="3"/>
    </row>
    <row r="7740">
      <c r="A7740" s="2">
        <f>IFERROR(__xludf.DUMMYFUNCTION("""COMPUTED_VALUE"""),93286.0)</f>
        <v>93286</v>
      </c>
      <c r="B7740" s="3" t="str">
        <f>IFERROR(__xludf.DUMMYFUNCTION("""COMPUTED_VALUE"""),"328 PRESQU'LLE PKWY")</f>
        <v>328 PRESQU'LLE PKWY</v>
      </c>
      <c r="C7740" s="3" t="str">
        <f>IFERROR(__xludf.DUMMYFUNCTION("""COMPUTED_VALUE"""),"BRIGHTON")</f>
        <v>BRIGHTON</v>
      </c>
      <c r="D7740" s="3" t="str">
        <f>IFERROR(__xludf.DUMMYFUNCTION("""COMPUTED_VALUE"""),"K0K 1H0")</f>
        <v>K0K 1H0</v>
      </c>
      <c r="E7740" s="3"/>
      <c r="F7740" s="3"/>
      <c r="G7740" s="3"/>
      <c r="H7740" s="3"/>
    </row>
    <row r="7741">
      <c r="A7741" s="2">
        <f>IFERROR(__xludf.DUMMYFUNCTION("""COMPUTED_VALUE"""),93287.0)</f>
        <v>93287</v>
      </c>
      <c r="B7741" s="3" t="str">
        <f>IFERROR(__xludf.DUMMYFUNCTION("""COMPUTED_VALUE"""),"328-A PRESQU'LLE PKWY")</f>
        <v>328-A PRESQU'LLE PKWY</v>
      </c>
      <c r="C7741" s="3" t="str">
        <f>IFERROR(__xludf.DUMMYFUNCTION("""COMPUTED_VALUE"""),"BRIGHTON")</f>
        <v>BRIGHTON</v>
      </c>
      <c r="D7741" s="3" t="str">
        <f>IFERROR(__xludf.DUMMYFUNCTION("""COMPUTED_VALUE"""),"K0K 1H0")</f>
        <v>K0K 1H0</v>
      </c>
      <c r="E7741" s="3"/>
      <c r="F7741" s="3"/>
      <c r="G7741" s="3"/>
      <c r="H7741" s="3"/>
    </row>
    <row r="7742">
      <c r="A7742" s="2">
        <f>IFERROR(__xludf.DUMMYFUNCTION("""COMPUTED_VALUE"""),93250.0)</f>
        <v>93250</v>
      </c>
      <c r="B7742" s="3" t="str">
        <f>IFERROR(__xludf.DUMMYFUNCTION("""COMPUTED_VALUE"""),"240 PRESQUILE PKY  ")</f>
        <v>240 PRESQUILE PKY  </v>
      </c>
      <c r="C7742" s="3" t="str">
        <f>IFERROR(__xludf.DUMMYFUNCTION("""COMPUTED_VALUE"""),"BRIGHTON")</f>
        <v>BRIGHTON</v>
      </c>
      <c r="D7742" s="3" t="str">
        <f>IFERROR(__xludf.DUMMYFUNCTION("""COMPUTED_VALUE"""),"K0K 1H0")</f>
        <v>K0K 1H0</v>
      </c>
      <c r="E7742" s="3"/>
      <c r="F7742" s="3"/>
      <c r="G7742" s="3"/>
      <c r="H7742" s="3"/>
    </row>
    <row r="7743">
      <c r="A7743" s="2">
        <f>IFERROR(__xludf.DUMMYFUNCTION("""COMPUTED_VALUE"""),93249.0)</f>
        <v>93249</v>
      </c>
      <c r="B7743" s="3" t="str">
        <f>IFERROR(__xludf.DUMMYFUNCTION("""COMPUTED_VALUE"""),"250 PRESQUILE PKY  ")</f>
        <v>250 PRESQUILE PKY  </v>
      </c>
      <c r="C7743" s="3" t="str">
        <f>IFERROR(__xludf.DUMMYFUNCTION("""COMPUTED_VALUE"""),"BRIGHTON")</f>
        <v>BRIGHTON</v>
      </c>
      <c r="D7743" s="3" t="str">
        <f>IFERROR(__xludf.DUMMYFUNCTION("""COMPUTED_VALUE"""),"K0K 1H0")</f>
        <v>K0K 1H0</v>
      </c>
      <c r="E7743" s="3"/>
      <c r="F7743" s="3"/>
      <c r="G7743" s="3"/>
      <c r="H7743" s="3"/>
    </row>
    <row r="7744">
      <c r="A7744" s="2">
        <f>IFERROR(__xludf.DUMMYFUNCTION("""COMPUTED_VALUE"""),93251.0)</f>
        <v>93251</v>
      </c>
      <c r="B7744" s="3" t="str">
        <f>IFERROR(__xludf.DUMMYFUNCTION("""COMPUTED_VALUE"""),"280 PRESQUILE PKY  ")</f>
        <v>280 PRESQUILE PKY  </v>
      </c>
      <c r="C7744" s="3" t="str">
        <f>IFERROR(__xludf.DUMMYFUNCTION("""COMPUTED_VALUE"""),"BRIGHTON")</f>
        <v>BRIGHTON</v>
      </c>
      <c r="D7744" s="3" t="str">
        <f>IFERROR(__xludf.DUMMYFUNCTION("""COMPUTED_VALUE"""),"K0K 1H0")</f>
        <v>K0K 1H0</v>
      </c>
      <c r="E7744" s="3" t="str">
        <f>IFERROR(__xludf.DUMMYFUNCTION("""COMPUTED_VALUE"""),"Martin Sommer")</f>
        <v>Martin Sommer</v>
      </c>
      <c r="F7744" s="3" t="str">
        <f>IFERROR(__xludf.DUMMYFUNCTION("""COMPUTED_VALUE"""),"martinxsommer@gmail.com")</f>
        <v>martinxsommer@gmail.com</v>
      </c>
      <c r="G7744" s="3">
        <f>IFERROR(__xludf.DUMMYFUNCTION("""COMPUTED_VALUE"""),4.168807414E9)</f>
        <v>4168807414</v>
      </c>
      <c r="H7744" s="3"/>
    </row>
    <row r="7745">
      <c r="A7745" s="2">
        <f>IFERROR(__xludf.DUMMYFUNCTION("""COMPUTED_VALUE"""),93165.0)</f>
        <v>93165</v>
      </c>
      <c r="B7745" s="3" t="str">
        <f>IFERROR(__xludf.DUMMYFUNCTION("""COMPUTED_VALUE"""),"36 PRINCE EDWARD ST")</f>
        <v>36 PRINCE EDWARD ST</v>
      </c>
      <c r="C7745" s="3"/>
      <c r="D7745" s="3"/>
      <c r="E7745" s="3"/>
      <c r="F7745" s="3"/>
      <c r="G7745" s="3"/>
      <c r="H7745" s="3"/>
    </row>
    <row r="7746">
      <c r="A7746" s="2">
        <f>IFERROR(__xludf.DUMMYFUNCTION("""COMPUTED_VALUE"""),93170.0)</f>
        <v>93170</v>
      </c>
      <c r="B7746" s="3" t="str">
        <f>IFERROR(__xludf.DUMMYFUNCTION("""COMPUTED_VALUE"""),"41 PRINCE EDWARD ST")</f>
        <v>41 PRINCE EDWARD ST</v>
      </c>
      <c r="C7746" s="3"/>
      <c r="D7746" s="3"/>
      <c r="E7746" s="3"/>
      <c r="F7746" s="3"/>
      <c r="G7746" s="3"/>
      <c r="H7746" s="3"/>
    </row>
    <row r="7747">
      <c r="A7747" s="2">
        <f>IFERROR(__xludf.DUMMYFUNCTION("""COMPUTED_VALUE"""),93171.0)</f>
        <v>93171</v>
      </c>
      <c r="B7747" s="3" t="str">
        <f>IFERROR(__xludf.DUMMYFUNCTION("""COMPUTED_VALUE"""),"45 PRINCE EDWARD ST")</f>
        <v>45 PRINCE EDWARD ST</v>
      </c>
      <c r="C7747" s="3"/>
      <c r="D7747" s="3"/>
      <c r="E7747" s="3"/>
      <c r="F7747" s="3"/>
      <c r="G7747" s="3"/>
      <c r="H7747" s="3"/>
    </row>
    <row r="7748">
      <c r="A7748" s="2">
        <f>IFERROR(__xludf.DUMMYFUNCTION("""COMPUTED_VALUE"""),93172.0)</f>
        <v>93172</v>
      </c>
      <c r="B7748" s="3" t="str">
        <f>IFERROR(__xludf.DUMMYFUNCTION("""COMPUTED_VALUE"""),"51 PRINCE EDWARD ST")</f>
        <v>51 PRINCE EDWARD ST</v>
      </c>
      <c r="C7748" s="3"/>
      <c r="D7748" s="3"/>
      <c r="E7748" s="3"/>
      <c r="F7748" s="3"/>
      <c r="G7748" s="3"/>
      <c r="H7748" s="3"/>
    </row>
    <row r="7749">
      <c r="A7749" s="2">
        <f>IFERROR(__xludf.DUMMYFUNCTION("""COMPUTED_VALUE"""),93173.0)</f>
        <v>93173</v>
      </c>
      <c r="B7749" s="3" t="str">
        <f>IFERROR(__xludf.DUMMYFUNCTION("""COMPUTED_VALUE"""),"53 PRINCE EDWARD ST")</f>
        <v>53 PRINCE EDWARD ST</v>
      </c>
      <c r="C7749" s="3" t="str">
        <f>IFERROR(__xludf.DUMMYFUNCTION("""COMPUTED_VALUE"""),"BRIGHTON")</f>
        <v>BRIGHTON</v>
      </c>
      <c r="D7749" s="3" t="str">
        <f>IFERROR(__xludf.DUMMYFUNCTION("""COMPUTED_VALUE"""),"K0K 1H0")</f>
        <v>K0K 1H0</v>
      </c>
      <c r="E7749" s="3" t="str">
        <f>IFERROR(__xludf.DUMMYFUNCTION("""COMPUTED_VALUE"""),"Tania and Stephen O'Reilly")</f>
        <v>Tania and Stephen O'Reilly</v>
      </c>
      <c r="F7749" s="3" t="str">
        <f>IFERROR(__xludf.DUMMYFUNCTION("""COMPUTED_VALUE"""),"taniaoreilly1@gmail.com")</f>
        <v>taniaoreilly1@gmail.com</v>
      </c>
      <c r="G7749" s="3">
        <f>IFERROR(__xludf.DUMMYFUNCTION("""COMPUTED_VALUE"""),6.138473211E9)</f>
        <v>6138473211</v>
      </c>
      <c r="H7749" s="3">
        <f>IFERROR(__xludf.DUMMYFUNCTION("""COMPUTED_VALUE"""),6.138473047E9)</f>
        <v>6138473047</v>
      </c>
    </row>
    <row r="7750">
      <c r="A7750" s="2">
        <f>IFERROR(__xludf.DUMMYFUNCTION("""COMPUTED_VALUE"""),93174.0)</f>
        <v>93174</v>
      </c>
      <c r="B7750" s="3" t="str">
        <f>IFERROR(__xludf.DUMMYFUNCTION("""COMPUTED_VALUE"""),"55 PRINCE EDWARD ST")</f>
        <v>55 PRINCE EDWARD ST</v>
      </c>
      <c r="C7750" s="3"/>
      <c r="D7750" s="3"/>
      <c r="E7750" s="3"/>
      <c r="F7750" s="3"/>
      <c r="G7750" s="3"/>
      <c r="H7750" s="3"/>
    </row>
    <row r="7751">
      <c r="A7751" s="2">
        <f>IFERROR(__xludf.DUMMYFUNCTION("""COMPUTED_VALUE"""),93175.0)</f>
        <v>93175</v>
      </c>
      <c r="B7751" s="3" t="str">
        <f>IFERROR(__xludf.DUMMYFUNCTION("""COMPUTED_VALUE"""),"59 PRINCE EDWARD ST")</f>
        <v>59 PRINCE EDWARD ST</v>
      </c>
      <c r="C7751" s="3"/>
      <c r="D7751" s="3"/>
      <c r="E7751" s="3"/>
      <c r="F7751" s="3"/>
      <c r="G7751" s="3"/>
      <c r="H7751" s="3"/>
    </row>
    <row r="7752">
      <c r="A7752" s="2">
        <f>IFERROR(__xludf.DUMMYFUNCTION("""COMPUTED_VALUE"""),93176.0)</f>
        <v>93176</v>
      </c>
      <c r="B7752" s="3" t="str">
        <f>IFERROR(__xludf.DUMMYFUNCTION("""COMPUTED_VALUE"""),"65 PRINCE EDWARD ST")</f>
        <v>65 PRINCE EDWARD ST</v>
      </c>
      <c r="C7752" s="3"/>
      <c r="D7752" s="3"/>
      <c r="E7752" s="3"/>
      <c r="F7752" s="3"/>
      <c r="G7752" s="3"/>
      <c r="H7752" s="3"/>
    </row>
    <row r="7753">
      <c r="A7753" s="2">
        <f>IFERROR(__xludf.DUMMYFUNCTION("""COMPUTED_VALUE"""),93177.0)</f>
        <v>93177</v>
      </c>
      <c r="B7753" s="3" t="str">
        <f>IFERROR(__xludf.DUMMYFUNCTION("""COMPUTED_VALUE"""),"69 PRINCE EDWARD ST")</f>
        <v>69 PRINCE EDWARD ST</v>
      </c>
      <c r="C7753" s="3" t="str">
        <f>IFERROR(__xludf.DUMMYFUNCTION("""COMPUTED_VALUE"""),"BRIGHTON")</f>
        <v>BRIGHTON</v>
      </c>
      <c r="D7753" s="3" t="str">
        <f>IFERROR(__xludf.DUMMYFUNCTION("""COMPUTED_VALUE"""),"K0K 1H0")</f>
        <v>K0K 1H0</v>
      </c>
      <c r="E7753" s="3" t="str">
        <f>IFERROR(__xludf.DUMMYFUNCTION("""COMPUTED_VALUE"""),"Alexander Conrad Samelko")</f>
        <v>Alexander Conrad Samelko</v>
      </c>
      <c r="F7753" s="3" t="str">
        <f>IFERROR(__xludf.DUMMYFUNCTION("""COMPUTED_VALUE"""),"alexander.samelko@gmail.com")</f>
        <v>alexander.samelko@gmail.com</v>
      </c>
      <c r="G7753" s="3">
        <f>IFERROR(__xludf.DUMMYFUNCTION("""COMPUTED_VALUE"""),9.059033323E9)</f>
        <v>9059033323</v>
      </c>
      <c r="H7753" s="3"/>
    </row>
    <row r="7754">
      <c r="A7754" s="2">
        <f>IFERROR(__xludf.DUMMYFUNCTION("""COMPUTED_VALUE"""),93178.0)</f>
        <v>93178</v>
      </c>
      <c r="B7754" s="3" t="str">
        <f>IFERROR(__xludf.DUMMYFUNCTION("""COMPUTED_VALUE"""),"71 PRINCE EDWARD ST")</f>
        <v>71 PRINCE EDWARD ST</v>
      </c>
      <c r="C7754" s="3"/>
      <c r="D7754" s="3"/>
      <c r="E7754" s="3"/>
      <c r="F7754" s="3"/>
      <c r="G7754" s="3"/>
      <c r="H7754" s="3"/>
    </row>
    <row r="7755">
      <c r="A7755" s="2">
        <f>IFERROR(__xludf.DUMMYFUNCTION("""COMPUTED_VALUE"""),93179.0)</f>
        <v>93179</v>
      </c>
      <c r="B7755" s="3" t="str">
        <f>IFERROR(__xludf.DUMMYFUNCTION("""COMPUTED_VALUE"""),"73 PRINCE EDWARD ST")</f>
        <v>73 PRINCE EDWARD ST</v>
      </c>
      <c r="C7755" s="3"/>
      <c r="D7755" s="3"/>
      <c r="E7755" s="3"/>
      <c r="F7755" s="3"/>
      <c r="G7755" s="3"/>
      <c r="H7755" s="3"/>
    </row>
    <row r="7756">
      <c r="A7756" s="2">
        <f>IFERROR(__xludf.DUMMYFUNCTION("""COMPUTED_VALUE"""),93180.0)</f>
        <v>93180</v>
      </c>
      <c r="B7756" s="3" t="str">
        <f>IFERROR(__xludf.DUMMYFUNCTION("""COMPUTED_VALUE"""),"75 PRINCE EDWARD ST")</f>
        <v>75 PRINCE EDWARD ST</v>
      </c>
      <c r="C7756" s="3"/>
      <c r="D7756" s="3"/>
      <c r="E7756" s="3" t="str">
        <f>IFERROR(__xludf.DUMMYFUNCTION("""COMPUTED_VALUE"""),"barbara voigt")</f>
        <v>barbara voigt</v>
      </c>
      <c r="F7756" s="3"/>
      <c r="G7756" s="3">
        <f>IFERROR(__xludf.DUMMYFUNCTION("""COMPUTED_VALUE"""),6.134753991E9)</f>
        <v>6134753991</v>
      </c>
      <c r="H7756" s="3"/>
    </row>
    <row r="7757">
      <c r="A7757" s="2">
        <f>IFERROR(__xludf.DUMMYFUNCTION("""COMPUTED_VALUE"""),93181.0)</f>
        <v>93181</v>
      </c>
      <c r="B7757" s="3" t="str">
        <f>IFERROR(__xludf.DUMMYFUNCTION("""COMPUTED_VALUE"""),"77 PRINCE EDWARD ST")</f>
        <v>77 PRINCE EDWARD ST</v>
      </c>
      <c r="C7757" s="3"/>
      <c r="D7757" s="3"/>
      <c r="E7757" s="3"/>
      <c r="F7757" s="3"/>
      <c r="G7757" s="3"/>
      <c r="H7757" s="3"/>
    </row>
    <row r="7758">
      <c r="A7758" s="2">
        <f>IFERROR(__xludf.DUMMYFUNCTION("""COMPUTED_VALUE"""),93136.0)</f>
        <v>93136</v>
      </c>
      <c r="B7758" s="3" t="str">
        <f>IFERROR(__xludf.DUMMYFUNCTION("""COMPUTED_VALUE"""),"104 PRINCE EDWARD ST")</f>
        <v>104 PRINCE EDWARD ST</v>
      </c>
      <c r="C7758" s="3"/>
      <c r="D7758" s="3"/>
      <c r="E7758" s="3"/>
      <c r="F7758" s="3"/>
      <c r="G7758" s="3"/>
      <c r="H7758" s="3"/>
    </row>
    <row r="7759">
      <c r="A7759" s="2">
        <f>IFERROR(__xludf.DUMMYFUNCTION("""COMPUTED_VALUE"""),93137.0)</f>
        <v>93137</v>
      </c>
      <c r="B7759" s="3" t="str">
        <f>IFERROR(__xludf.DUMMYFUNCTION("""COMPUTED_VALUE"""),"106 PRINCE EDWARD ST")</f>
        <v>106 PRINCE EDWARD ST</v>
      </c>
      <c r="C7759" s="3"/>
      <c r="D7759" s="3"/>
      <c r="E7759" s="3"/>
      <c r="F7759" s="3"/>
      <c r="G7759" s="3"/>
      <c r="H7759" s="3"/>
    </row>
    <row r="7760">
      <c r="A7760" s="2">
        <f>IFERROR(__xludf.DUMMYFUNCTION("""COMPUTED_VALUE"""),93138.0)</f>
        <v>93138</v>
      </c>
      <c r="B7760" s="3" t="str">
        <f>IFERROR(__xludf.DUMMYFUNCTION("""COMPUTED_VALUE"""),"109 PRINCE EDWARD ST")</f>
        <v>109 PRINCE EDWARD ST</v>
      </c>
      <c r="C7760" s="3"/>
      <c r="D7760" s="3"/>
      <c r="E7760" s="3"/>
      <c r="F7760" s="3"/>
      <c r="G7760" s="3"/>
      <c r="H7760" s="3"/>
    </row>
    <row r="7761">
      <c r="A7761" s="2">
        <f>IFERROR(__xludf.DUMMYFUNCTION("""COMPUTED_VALUE"""),93139.0)</f>
        <v>93139</v>
      </c>
      <c r="B7761" s="3" t="str">
        <f>IFERROR(__xludf.DUMMYFUNCTION("""COMPUTED_VALUE"""),"113 PRINCE EDWARD ST")</f>
        <v>113 PRINCE EDWARD ST</v>
      </c>
      <c r="C7761" s="3"/>
      <c r="D7761" s="3"/>
      <c r="E7761" s="3"/>
      <c r="F7761" s="3"/>
      <c r="G7761" s="3"/>
      <c r="H7761" s="3"/>
    </row>
    <row r="7762">
      <c r="A7762" s="2">
        <f>IFERROR(__xludf.DUMMYFUNCTION("""COMPUTED_VALUE"""),93193.0)</f>
        <v>93193</v>
      </c>
      <c r="B7762" s="3" t="str">
        <f>IFERROR(__xludf.DUMMYFUNCTION("""COMPUTED_VALUE"""),"115 PRINCE EDWARD ST")</f>
        <v>115 PRINCE EDWARD ST</v>
      </c>
      <c r="C7762" s="3"/>
      <c r="D7762" s="3"/>
      <c r="E7762" s="3"/>
      <c r="F7762" s="3"/>
      <c r="G7762" s="3"/>
      <c r="H7762" s="3"/>
    </row>
    <row r="7763">
      <c r="A7763" s="2">
        <f>IFERROR(__xludf.DUMMYFUNCTION("""COMPUTED_VALUE"""),93194.0)</f>
        <v>93194</v>
      </c>
      <c r="B7763" s="3" t="str">
        <f>IFERROR(__xludf.DUMMYFUNCTION("""COMPUTED_VALUE"""),"116 PRINCE EDWARD ST")</f>
        <v>116 PRINCE EDWARD ST</v>
      </c>
      <c r="C7763" s="3"/>
      <c r="D7763" s="3"/>
      <c r="E7763" s="3" t="str">
        <f>IFERROR(__xludf.DUMMYFUNCTION("""COMPUTED_VALUE"""),"bonnie mcholm")</f>
        <v>bonnie mcholm</v>
      </c>
      <c r="F7763" s="3" t="str">
        <f>IFERROR(__xludf.DUMMYFUNCTION("""COMPUTED_VALUE"""),"b.mcholm45@gmaill.com")</f>
        <v>b.mcholm45@gmaill.com</v>
      </c>
      <c r="G7763" s="3">
        <f>IFERROR(__xludf.DUMMYFUNCTION("""COMPUTED_VALUE"""),6.13391038E9)</f>
        <v>6133910380</v>
      </c>
      <c r="H7763" s="3"/>
    </row>
    <row r="7764">
      <c r="A7764" s="2">
        <f>IFERROR(__xludf.DUMMYFUNCTION("""COMPUTED_VALUE"""),93289.0)</f>
        <v>93289</v>
      </c>
      <c r="B7764" s="3" t="str">
        <f>IFERROR(__xludf.DUMMYFUNCTION("""COMPUTED_VALUE"""),"117 PRINCE EDWARD ST")</f>
        <v>117 PRINCE EDWARD ST</v>
      </c>
      <c r="C7764" s="3"/>
      <c r="D7764" s="3"/>
      <c r="E7764" s="3"/>
      <c r="F7764" s="3"/>
      <c r="G7764" s="3"/>
      <c r="H7764" s="3"/>
    </row>
    <row r="7765">
      <c r="A7765" s="2">
        <f>IFERROR(__xludf.DUMMYFUNCTION("""COMPUTED_VALUE"""),93195.0)</f>
        <v>93195</v>
      </c>
      <c r="B7765" s="3" t="str">
        <f>IFERROR(__xludf.DUMMYFUNCTION("""COMPUTED_VALUE"""),"118 PRINCE EDWARD ST")</f>
        <v>118 PRINCE EDWARD ST</v>
      </c>
      <c r="C7765" s="3"/>
      <c r="D7765" s="3"/>
      <c r="E7765" s="3"/>
      <c r="F7765" s="3"/>
      <c r="G7765" s="3"/>
      <c r="H7765" s="3"/>
    </row>
    <row r="7766">
      <c r="A7766" s="2">
        <f>IFERROR(__xludf.DUMMYFUNCTION("""COMPUTED_VALUE"""),93196.0)</f>
        <v>93196</v>
      </c>
      <c r="B7766" s="3" t="str">
        <f>IFERROR(__xludf.DUMMYFUNCTION("""COMPUTED_VALUE"""),"119 PRINCE EDWARD ST")</f>
        <v>119 PRINCE EDWARD ST</v>
      </c>
      <c r="C7766" s="3"/>
      <c r="D7766" s="3"/>
      <c r="E7766" s="3"/>
      <c r="F7766" s="3"/>
      <c r="G7766" s="3"/>
      <c r="H7766" s="3"/>
    </row>
    <row r="7767">
      <c r="A7767" s="2">
        <f>IFERROR(__xludf.DUMMYFUNCTION("""COMPUTED_VALUE"""),93197.0)</f>
        <v>93197</v>
      </c>
      <c r="B7767" s="3" t="str">
        <f>IFERROR(__xludf.DUMMYFUNCTION("""COMPUTED_VALUE"""),"122 PRINCE EDWARD ST")</f>
        <v>122 PRINCE EDWARD ST</v>
      </c>
      <c r="C7767" s="3"/>
      <c r="D7767" s="3"/>
      <c r="E7767" s="3" t="str">
        <f>IFERROR(__xludf.DUMMYFUNCTION("""COMPUTED_VALUE"""),"mary anne nelson")</f>
        <v>mary anne nelson</v>
      </c>
      <c r="F7767" s="3"/>
      <c r="G7767" s="3">
        <f>IFERROR(__xludf.DUMMYFUNCTION("""COMPUTED_VALUE"""),6.134750636E9)</f>
        <v>6134750636</v>
      </c>
      <c r="H7767" s="3"/>
    </row>
    <row r="7768">
      <c r="A7768" s="2">
        <f>IFERROR(__xludf.DUMMYFUNCTION("""COMPUTED_VALUE"""),93198.0)</f>
        <v>93198</v>
      </c>
      <c r="B7768" s="3" t="str">
        <f>IFERROR(__xludf.DUMMYFUNCTION("""COMPUTED_VALUE"""),"123 PRINCE EDWARD ST")</f>
        <v>123 PRINCE EDWARD ST</v>
      </c>
      <c r="C7768" s="3"/>
      <c r="D7768" s="3"/>
      <c r="E7768" s="3"/>
      <c r="F7768" s="3"/>
      <c r="G7768" s="3"/>
      <c r="H7768" s="3"/>
    </row>
    <row r="7769">
      <c r="A7769" s="2">
        <f>IFERROR(__xludf.DUMMYFUNCTION("""COMPUTED_VALUE"""),93200.0)</f>
        <v>93200</v>
      </c>
      <c r="B7769" s="3" t="str">
        <f>IFERROR(__xludf.DUMMYFUNCTION("""COMPUTED_VALUE"""),"124 PRINCE EDWARD ST")</f>
        <v>124 PRINCE EDWARD ST</v>
      </c>
      <c r="C7769" s="3"/>
      <c r="D7769" s="3"/>
      <c r="E7769" s="3"/>
      <c r="F7769" s="3"/>
      <c r="G7769" s="3"/>
      <c r="H7769" s="3"/>
    </row>
    <row r="7770">
      <c r="A7770" s="2">
        <f>IFERROR(__xludf.DUMMYFUNCTION("""COMPUTED_VALUE"""),93199.0)</f>
        <v>93199</v>
      </c>
      <c r="B7770" s="3" t="str">
        <f>IFERROR(__xludf.DUMMYFUNCTION("""COMPUTED_VALUE"""),"125 PRINCE EDWARD ST")</f>
        <v>125 PRINCE EDWARD ST</v>
      </c>
      <c r="C7770" s="3"/>
      <c r="D7770" s="3"/>
      <c r="E7770" s="3"/>
      <c r="F7770" s="3"/>
      <c r="G7770" s="3"/>
      <c r="H7770" s="3"/>
    </row>
    <row r="7771">
      <c r="A7771" s="2">
        <f>IFERROR(__xludf.DUMMYFUNCTION("""COMPUTED_VALUE"""),93201.0)</f>
        <v>93201</v>
      </c>
      <c r="B7771" s="3" t="str">
        <f>IFERROR(__xludf.DUMMYFUNCTION("""COMPUTED_VALUE"""),"128 PRINCE EDWARD ST")</f>
        <v>128 PRINCE EDWARD ST</v>
      </c>
      <c r="C7771" s="3"/>
      <c r="D7771" s="3"/>
      <c r="E7771" s="3"/>
      <c r="F7771" s="3"/>
      <c r="G7771" s="3"/>
      <c r="H7771" s="3"/>
    </row>
    <row r="7772">
      <c r="A7772" s="2">
        <f>IFERROR(__xludf.DUMMYFUNCTION("""COMPUTED_VALUE"""),93202.0)</f>
        <v>93202</v>
      </c>
      <c r="B7772" s="3" t="str">
        <f>IFERROR(__xludf.DUMMYFUNCTION("""COMPUTED_VALUE"""),"129 PRINCE EDWARD ST")</f>
        <v>129 PRINCE EDWARD ST</v>
      </c>
      <c r="C7772" s="3"/>
      <c r="D7772" s="3"/>
      <c r="E7772" s="3" t="str">
        <f>IFERROR(__xludf.DUMMYFUNCTION("""COMPUTED_VALUE"""),"jeff l")</f>
        <v>jeff l</v>
      </c>
      <c r="F7772" s="3"/>
      <c r="G7772" s="3"/>
      <c r="H7772" s="3"/>
    </row>
    <row r="7773">
      <c r="A7773" s="2">
        <f>IFERROR(__xludf.DUMMYFUNCTION("""COMPUTED_VALUE"""),93203.0)</f>
        <v>93203</v>
      </c>
      <c r="B7773" s="3" t="str">
        <f>IFERROR(__xludf.DUMMYFUNCTION("""COMPUTED_VALUE"""),"131 PRINCE EDWARD ST")</f>
        <v>131 PRINCE EDWARD ST</v>
      </c>
      <c r="C7773" s="3"/>
      <c r="D7773" s="3"/>
      <c r="E7773" s="3"/>
      <c r="F7773" s="3"/>
      <c r="G7773" s="3"/>
      <c r="H7773" s="3"/>
    </row>
    <row r="7774">
      <c r="A7774" s="2">
        <f>IFERROR(__xludf.DUMMYFUNCTION("""COMPUTED_VALUE"""),93204.0)</f>
        <v>93204</v>
      </c>
      <c r="B7774" s="3" t="str">
        <f>IFERROR(__xludf.DUMMYFUNCTION("""COMPUTED_VALUE"""),"133 PRINCE EDWARD ST")</f>
        <v>133 PRINCE EDWARD ST</v>
      </c>
      <c r="C7774" s="3"/>
      <c r="D7774" s="3"/>
      <c r="E7774" s="3"/>
      <c r="F7774" s="3"/>
      <c r="G7774" s="3"/>
      <c r="H7774" s="3"/>
    </row>
    <row r="7775">
      <c r="A7775" s="2">
        <f>IFERROR(__xludf.DUMMYFUNCTION("""COMPUTED_VALUE"""),93205.0)</f>
        <v>93205</v>
      </c>
      <c r="B7775" s="3" t="str">
        <f>IFERROR(__xludf.DUMMYFUNCTION("""COMPUTED_VALUE"""),"135 PRINCE EDWARD ST")</f>
        <v>135 PRINCE EDWARD ST</v>
      </c>
      <c r="C7775" s="3"/>
      <c r="D7775" s="3"/>
      <c r="E7775" s="3"/>
      <c r="F7775" s="3"/>
      <c r="G7775" s="3"/>
      <c r="H7775" s="3"/>
    </row>
    <row r="7776">
      <c r="A7776" s="2">
        <f>IFERROR(__xludf.DUMMYFUNCTION("""COMPUTED_VALUE"""),93206.0)</f>
        <v>93206</v>
      </c>
      <c r="B7776" s="3" t="str">
        <f>IFERROR(__xludf.DUMMYFUNCTION("""COMPUTED_VALUE"""),"137 PRINCE EDWARD ST")</f>
        <v>137 PRINCE EDWARD ST</v>
      </c>
      <c r="C7776" s="3"/>
      <c r="D7776" s="3"/>
      <c r="E7776" s="3"/>
      <c r="F7776" s="3"/>
      <c r="G7776" s="3"/>
      <c r="H7776" s="3"/>
    </row>
    <row r="7777">
      <c r="A7777" s="2">
        <f>IFERROR(__xludf.DUMMYFUNCTION("""COMPUTED_VALUE"""),93207.0)</f>
        <v>93207</v>
      </c>
      <c r="B7777" s="3" t="str">
        <f>IFERROR(__xludf.DUMMYFUNCTION("""COMPUTED_VALUE"""),"140 PRINCE EDWARD ST")</f>
        <v>140 PRINCE EDWARD ST</v>
      </c>
      <c r="C7777" s="3"/>
      <c r="D7777" s="3"/>
      <c r="E7777" s="3"/>
      <c r="F7777" s="3"/>
      <c r="G7777" s="3"/>
      <c r="H7777" s="3"/>
    </row>
    <row r="7778">
      <c r="A7778" s="2">
        <f>IFERROR(__xludf.DUMMYFUNCTION("""COMPUTED_VALUE"""),93208.0)</f>
        <v>93208</v>
      </c>
      <c r="B7778" s="3" t="str">
        <f>IFERROR(__xludf.DUMMYFUNCTION("""COMPUTED_VALUE"""),"147 PRINCE EDWARD ST")</f>
        <v>147 PRINCE EDWARD ST</v>
      </c>
      <c r="C7778" s="3"/>
      <c r="D7778" s="3"/>
      <c r="E7778" s="3" t="str">
        <f>IFERROR(__xludf.DUMMYFUNCTION("""COMPUTED_VALUE"""),"nora earl ")</f>
        <v>nora earl </v>
      </c>
      <c r="F7778" s="3"/>
      <c r="G7778" s="3">
        <f>IFERROR(__xludf.DUMMYFUNCTION("""COMPUTED_VALUE"""),4.32441155E9)</f>
        <v>4324411550</v>
      </c>
      <c r="H7778" s="3"/>
    </row>
    <row r="7779">
      <c r="A7779" s="2">
        <f>IFERROR(__xludf.DUMMYFUNCTION("""COMPUTED_VALUE"""),93244.0)</f>
        <v>93244</v>
      </c>
      <c r="B7779" s="3" t="str">
        <f>IFERROR(__xludf.DUMMYFUNCTION("""COMPUTED_VALUE"""),"203 PURDY RD")</f>
        <v>203 PURDY RD</v>
      </c>
      <c r="C7779" s="3"/>
      <c r="D7779" s="3"/>
      <c r="E7779" s="3"/>
      <c r="F7779" s="3"/>
      <c r="G7779" s="3"/>
      <c r="H7779" s="3"/>
    </row>
    <row r="7780">
      <c r="A7780" s="2">
        <f>IFERROR(__xludf.DUMMYFUNCTION("""COMPUTED_VALUE"""),93243.0)</f>
        <v>93243</v>
      </c>
      <c r="B7780" s="3" t="str">
        <f>IFERROR(__xludf.DUMMYFUNCTION("""COMPUTED_VALUE"""),"216 PURDY RD")</f>
        <v>216 PURDY RD</v>
      </c>
      <c r="C7780" s="3"/>
      <c r="D7780" s="3"/>
      <c r="E7780" s="3"/>
      <c r="F7780" s="3"/>
      <c r="G7780" s="3"/>
      <c r="H7780" s="3"/>
    </row>
    <row r="7781">
      <c r="A7781" s="2">
        <f>IFERROR(__xludf.DUMMYFUNCTION("""COMPUTED_VALUE"""),92238.0)</f>
        <v>92238</v>
      </c>
      <c r="B7781" s="3" t="str">
        <f>IFERROR(__xludf.DUMMYFUNCTION("""COMPUTED_VALUE"""),"177 PURDY RD  ")</f>
        <v>177 PURDY RD  </v>
      </c>
      <c r="C7781" s="3" t="str">
        <f>IFERROR(__xludf.DUMMYFUNCTION("""COMPUTED_VALUE"""),"COLBORNE")</f>
        <v>COLBORNE</v>
      </c>
      <c r="D7781" s="3" t="str">
        <f>IFERROR(__xludf.DUMMYFUNCTION("""COMPUTED_VALUE"""),"K0K 1S0")</f>
        <v>K0K 1S0</v>
      </c>
      <c r="E7781" s="3"/>
      <c r="F7781" s="3"/>
      <c r="G7781" s="3"/>
      <c r="H7781" s="3"/>
    </row>
    <row r="7782">
      <c r="A7782" s="2">
        <f>IFERROR(__xludf.DUMMYFUNCTION("""COMPUTED_VALUE"""),92285.0)</f>
        <v>92285</v>
      </c>
      <c r="B7782" s="3" t="str">
        <f>IFERROR(__xludf.DUMMYFUNCTION("""COMPUTED_VALUE"""),"188 PURDY RD  ")</f>
        <v>188 PURDY RD  </v>
      </c>
      <c r="C7782" s="3" t="str">
        <f>IFERROR(__xludf.DUMMYFUNCTION("""COMPUTED_VALUE"""),"COLBORNE")</f>
        <v>COLBORNE</v>
      </c>
      <c r="D7782" s="3" t="str">
        <f>IFERROR(__xludf.DUMMYFUNCTION("""COMPUTED_VALUE"""),"K0K 1S0")</f>
        <v>K0K 1S0</v>
      </c>
      <c r="E7782" s="3"/>
      <c r="F7782" s="3"/>
      <c r="G7782" s="3"/>
      <c r="H7782" s="3"/>
    </row>
    <row r="7783">
      <c r="A7783" s="2">
        <f>IFERROR(__xludf.DUMMYFUNCTION("""COMPUTED_VALUE"""),92247.0)</f>
        <v>92247</v>
      </c>
      <c r="B7783" s="3" t="str">
        <f>IFERROR(__xludf.DUMMYFUNCTION("""COMPUTED_VALUE"""),"367 PURDY RD  ")</f>
        <v>367 PURDY RD  </v>
      </c>
      <c r="C7783" s="3" t="str">
        <f>IFERROR(__xludf.DUMMYFUNCTION("""COMPUTED_VALUE"""),"COLBORNE")</f>
        <v>COLBORNE</v>
      </c>
      <c r="D7783" s="3" t="str">
        <f>IFERROR(__xludf.DUMMYFUNCTION("""COMPUTED_VALUE"""),"K0K 1S0")</f>
        <v>K0K 1S0</v>
      </c>
      <c r="E7783" s="3" t="str">
        <f>IFERROR(__xludf.DUMMYFUNCTION("""COMPUTED_VALUE"""),"ken mahoney ")</f>
        <v>ken mahoney </v>
      </c>
      <c r="F7783" s="3" t="str">
        <f>IFERROR(__xludf.DUMMYFUNCTION("""COMPUTED_VALUE"""),"tazlover63@hotmail.com")</f>
        <v>tazlover63@hotmail.com</v>
      </c>
      <c r="G7783" s="3">
        <f>IFERROR(__xludf.DUMMYFUNCTION("""COMPUTED_VALUE"""),9.053968001E9)</f>
        <v>9053968001</v>
      </c>
      <c r="H7783" s="3"/>
    </row>
    <row r="7784">
      <c r="A7784" s="2">
        <f>IFERROR(__xludf.DUMMYFUNCTION("""COMPUTED_VALUE"""),92248.0)</f>
        <v>92248</v>
      </c>
      <c r="B7784" s="3" t="str">
        <f>IFERROR(__xludf.DUMMYFUNCTION("""COMPUTED_VALUE"""),"377 PURDY RD  ")</f>
        <v>377 PURDY RD  </v>
      </c>
      <c r="C7784" s="3" t="str">
        <f>IFERROR(__xludf.DUMMYFUNCTION("""COMPUTED_VALUE"""),"COLBORNE")</f>
        <v>COLBORNE</v>
      </c>
      <c r="D7784" s="3" t="str">
        <f>IFERROR(__xludf.DUMMYFUNCTION("""COMPUTED_VALUE"""),"K0K 1S0")</f>
        <v>K0K 1S0</v>
      </c>
      <c r="E7784" s="3" t="str">
        <f>IFERROR(__xludf.DUMMYFUNCTION("""COMPUTED_VALUE"""),"cheresse ste croix")</f>
        <v>cheresse ste croix</v>
      </c>
      <c r="F7784" s="3" t="str">
        <f>IFERROR(__xludf.DUMMYFUNCTION("""COMPUTED_VALUE"""),"cheresseljames@gmail.com")</f>
        <v>cheresseljames@gmail.com</v>
      </c>
      <c r="G7784" s="3">
        <f>IFERROR(__xludf.DUMMYFUNCTION("""COMPUTED_VALUE"""),9.052130247E9)</f>
        <v>9052130247</v>
      </c>
      <c r="H7784" s="3"/>
    </row>
    <row r="7785">
      <c r="A7785" s="2">
        <f>IFERROR(__xludf.DUMMYFUNCTION("""COMPUTED_VALUE"""),92249.0)</f>
        <v>92249</v>
      </c>
      <c r="B7785" s="3" t="str">
        <f>IFERROR(__xludf.DUMMYFUNCTION("""COMPUTED_VALUE"""),"387 PURDY RD  ")</f>
        <v>387 PURDY RD  </v>
      </c>
      <c r="C7785" s="3" t="str">
        <f>IFERROR(__xludf.DUMMYFUNCTION("""COMPUTED_VALUE"""),"COLBORNE")</f>
        <v>COLBORNE</v>
      </c>
      <c r="D7785" s="3" t="str">
        <f>IFERROR(__xludf.DUMMYFUNCTION("""COMPUTED_VALUE"""),"K0K 1S0")</f>
        <v>K0K 1S0</v>
      </c>
      <c r="E7785" s="3" t="str">
        <f>IFERROR(__xludf.DUMMYFUNCTION("""COMPUTED_VALUE"""),"brian turk ")</f>
        <v>brian turk </v>
      </c>
      <c r="F7785" s="3" t="str">
        <f>IFERROR(__xludf.DUMMYFUNCTION("""COMPUTED_VALUE"""),"brianturk@hotmail.com")</f>
        <v>brianturk@hotmail.com</v>
      </c>
      <c r="G7785" s="3">
        <f>IFERROR(__xludf.DUMMYFUNCTION("""COMPUTED_VALUE"""),9.053766202E9)</f>
        <v>9053766202</v>
      </c>
      <c r="H7785" s="3"/>
    </row>
    <row r="7786">
      <c r="A7786" s="2">
        <f>IFERROR(__xludf.DUMMYFUNCTION("""COMPUTED_VALUE"""),92281.0)</f>
        <v>92281</v>
      </c>
      <c r="B7786" s="3" t="str">
        <f>IFERROR(__xludf.DUMMYFUNCTION("""COMPUTED_VALUE"""),"967 PURDY RD  ")</f>
        <v>967 PURDY RD  </v>
      </c>
      <c r="C7786" s="3" t="str">
        <f>IFERROR(__xludf.DUMMYFUNCTION("""COMPUTED_VALUE"""),"COLBORNE")</f>
        <v>COLBORNE</v>
      </c>
      <c r="D7786" s="3" t="str">
        <f>IFERROR(__xludf.DUMMYFUNCTION("""COMPUTED_VALUE"""),"K0K 1S0")</f>
        <v>K0K 1S0</v>
      </c>
      <c r="E7786" s="3" t="str">
        <f>IFERROR(__xludf.DUMMYFUNCTION("""COMPUTED_VALUE"""),"christoper robbins")</f>
        <v>christoper robbins</v>
      </c>
      <c r="F7786" s="3" t="str">
        <f>IFERROR(__xludf.DUMMYFUNCTION("""COMPUTED_VALUE"""),"forge.in.the.forest@gmail.com")</f>
        <v>forge.in.the.forest@gmail.com</v>
      </c>
      <c r="G7786" s="3">
        <f>IFERROR(__xludf.DUMMYFUNCTION("""COMPUTED_VALUE"""),9.053553166E9)</f>
        <v>9053553166</v>
      </c>
      <c r="H7786" s="3">
        <f>IFERROR(__xludf.DUMMYFUNCTION("""COMPUTED_VALUE"""),9.053969677E9)</f>
        <v>9053969677</v>
      </c>
    </row>
    <row r="7787">
      <c r="A7787" s="2">
        <f>IFERROR(__xludf.DUMMYFUNCTION("""COMPUTED_VALUE"""),92282.0)</f>
        <v>92282</v>
      </c>
      <c r="B7787" s="3" t="str">
        <f>IFERROR(__xludf.DUMMYFUNCTION("""COMPUTED_VALUE"""),"1043 PURDY RD  ")</f>
        <v>1043 PURDY RD  </v>
      </c>
      <c r="C7787" s="3" t="str">
        <f>IFERROR(__xludf.DUMMYFUNCTION("""COMPUTED_VALUE"""),"COLBORNE")</f>
        <v>COLBORNE</v>
      </c>
      <c r="D7787" s="3" t="str">
        <f>IFERROR(__xludf.DUMMYFUNCTION("""COMPUTED_VALUE"""),"K0K 1S0")</f>
        <v>K0K 1S0</v>
      </c>
      <c r="E7787" s="3" t="str">
        <f>IFERROR(__xludf.DUMMYFUNCTION("""COMPUTED_VALUE"""),"paul chapman")</f>
        <v>paul chapman</v>
      </c>
      <c r="F7787" s="3" t="str">
        <f>IFERROR(__xludf.DUMMYFUNCTION("""COMPUTED_VALUE"""),"p.squared@live.ca")</f>
        <v>p.squared@live.ca</v>
      </c>
      <c r="G7787" s="3">
        <f>IFERROR(__xludf.DUMMYFUNCTION("""COMPUTED_VALUE"""),6.138270757E9)</f>
        <v>6138270757</v>
      </c>
      <c r="H7787" s="3">
        <f>IFERROR(__xludf.DUMMYFUNCTION("""COMPUTED_VALUE"""),9.052697264E9)</f>
        <v>9052697264</v>
      </c>
    </row>
    <row r="7788">
      <c r="A7788" s="2">
        <f>IFERROR(__xludf.DUMMYFUNCTION("""COMPUTED_VALUE"""),92283.0)</f>
        <v>92283</v>
      </c>
      <c r="B7788" s="3" t="str">
        <f>IFERROR(__xludf.DUMMYFUNCTION("""COMPUTED_VALUE"""),"1075 PURDY RD  ")</f>
        <v>1075 PURDY RD  </v>
      </c>
      <c r="C7788" s="3" t="str">
        <f>IFERROR(__xludf.DUMMYFUNCTION("""COMPUTED_VALUE"""),"COLBORNE")</f>
        <v>COLBORNE</v>
      </c>
      <c r="D7788" s="3" t="str">
        <f>IFERROR(__xludf.DUMMYFUNCTION("""COMPUTED_VALUE"""),"K0K 1S0")</f>
        <v>K0K 1S0</v>
      </c>
      <c r="E7788" s="3"/>
      <c r="F7788" s="3"/>
      <c r="G7788" s="3"/>
      <c r="H7788" s="3"/>
    </row>
    <row r="7789">
      <c r="A7789" s="2">
        <f>IFERROR(__xludf.DUMMYFUNCTION("""COMPUTED_VALUE"""),92284.0)</f>
        <v>92284</v>
      </c>
      <c r="B7789" s="3" t="str">
        <f>IFERROR(__xludf.DUMMYFUNCTION("""COMPUTED_VALUE"""),"1136 PURDY RD  ")</f>
        <v>1136 PURDY RD  </v>
      </c>
      <c r="C7789" s="3" t="str">
        <f>IFERROR(__xludf.DUMMYFUNCTION("""COMPUTED_VALUE"""),"COLBORNE")</f>
        <v>COLBORNE</v>
      </c>
      <c r="D7789" s="3" t="str">
        <f>IFERROR(__xludf.DUMMYFUNCTION("""COMPUTED_VALUE"""),"K0K 1S0")</f>
        <v>K0K 1S0</v>
      </c>
      <c r="E7789" s="3"/>
      <c r="F7789" s="3"/>
      <c r="G7789" s="3"/>
      <c r="H7789" s="3"/>
    </row>
    <row r="7790">
      <c r="A7790" s="2">
        <f>IFERROR(__xludf.DUMMYFUNCTION("""COMPUTED_VALUE"""),92259.0)</f>
        <v>92259</v>
      </c>
      <c r="B7790" s="3" t="str">
        <f>IFERROR(__xludf.DUMMYFUNCTION("""COMPUTED_VALUE"""),"552 PURDY RD  ")</f>
        <v>552 PURDY RD  </v>
      </c>
      <c r="C7790" s="3" t="str">
        <f>IFERROR(__xludf.DUMMYFUNCTION("""COMPUTED_VALUE"""),"COLBORNE")</f>
        <v>COLBORNE</v>
      </c>
      <c r="D7790" s="3" t="str">
        <f>IFERROR(__xludf.DUMMYFUNCTION("""COMPUTED_VALUE"""),"K0K 1S0")</f>
        <v>K0K 1S0</v>
      </c>
      <c r="E7790" s="3"/>
      <c r="F7790" s="3"/>
      <c r="G7790" s="3"/>
      <c r="H7790" s="3"/>
    </row>
    <row r="7791">
      <c r="A7791" s="2">
        <f>IFERROR(__xludf.DUMMYFUNCTION("""COMPUTED_VALUE"""),92260.0)</f>
        <v>92260</v>
      </c>
      <c r="B7791" s="3" t="str">
        <f>IFERROR(__xludf.DUMMYFUNCTION("""COMPUTED_VALUE"""),"560 PURDY RD  ")</f>
        <v>560 PURDY RD  </v>
      </c>
      <c r="C7791" s="3" t="str">
        <f>IFERROR(__xludf.DUMMYFUNCTION("""COMPUTED_VALUE"""),"COLBORNE")</f>
        <v>COLBORNE</v>
      </c>
      <c r="D7791" s="3" t="str">
        <f>IFERROR(__xludf.DUMMYFUNCTION("""COMPUTED_VALUE"""),"K0K 1S0")</f>
        <v>K0K 1S0</v>
      </c>
      <c r="E7791" s="3" t="str">
        <f>IFERROR(__xludf.DUMMYFUNCTION("""COMPUTED_VALUE"""),"mandy martin")</f>
        <v>mandy martin</v>
      </c>
      <c r="F7791" s="3" t="str">
        <f>IFERROR(__xludf.DUMMYFUNCTION("""COMPUTED_VALUE"""),"mandymartin271@gmail.com")</f>
        <v>mandymartin271@gmail.com</v>
      </c>
      <c r="G7791" s="3">
        <f>IFERROR(__xludf.DUMMYFUNCTION("""COMPUTED_VALUE"""),9.053739765E9)</f>
        <v>9053739765</v>
      </c>
      <c r="H7791" s="3"/>
    </row>
    <row r="7792">
      <c r="A7792" s="2">
        <f>IFERROR(__xludf.DUMMYFUNCTION("""COMPUTED_VALUE"""),92262.0)</f>
        <v>92262</v>
      </c>
      <c r="B7792" s="3" t="str">
        <f>IFERROR(__xludf.DUMMYFUNCTION("""COMPUTED_VALUE"""),"572 PURDY RD  ")</f>
        <v>572 PURDY RD  </v>
      </c>
      <c r="C7792" s="3" t="str">
        <f>IFERROR(__xludf.DUMMYFUNCTION("""COMPUTED_VALUE"""),"COLBORNE")</f>
        <v>COLBORNE</v>
      </c>
      <c r="D7792" s="3" t="str">
        <f>IFERROR(__xludf.DUMMYFUNCTION("""COMPUTED_VALUE"""),"K0K 1S0")</f>
        <v>K0K 1S0</v>
      </c>
      <c r="E7792" s="3" t="str">
        <f>IFERROR(__xludf.DUMMYFUNCTION("""COMPUTED_VALUE"""),"colleen vandevauk")</f>
        <v>colleen vandevauk</v>
      </c>
      <c r="F7792" s="3" t="str">
        <f>IFERROR(__xludf.DUMMYFUNCTION("""COMPUTED_VALUE"""),"colleenvandevauk@gmail.com")</f>
        <v>colleenvandevauk@gmail.com</v>
      </c>
      <c r="G7792" s="3">
        <f>IFERROR(__xludf.DUMMYFUNCTION("""COMPUTED_VALUE"""),2.892512254E9)</f>
        <v>2892512254</v>
      </c>
      <c r="H7792" s="3">
        <f>IFERROR(__xludf.DUMMYFUNCTION("""COMPUTED_VALUE"""),4.165871041E9)</f>
        <v>4165871041</v>
      </c>
    </row>
    <row r="7793">
      <c r="A7793" s="2">
        <f>IFERROR(__xludf.DUMMYFUNCTION("""COMPUTED_VALUE"""),92263.0)</f>
        <v>92263</v>
      </c>
      <c r="B7793" s="3" t="str">
        <f>IFERROR(__xludf.DUMMYFUNCTION("""COMPUTED_VALUE"""),"579 PURDY RD  ")</f>
        <v>579 PURDY RD  </v>
      </c>
      <c r="C7793" s="3" t="str">
        <f>IFERROR(__xludf.DUMMYFUNCTION("""COMPUTED_VALUE"""),"COLBORNE")</f>
        <v>COLBORNE</v>
      </c>
      <c r="D7793" s="3" t="str">
        <f>IFERROR(__xludf.DUMMYFUNCTION("""COMPUTED_VALUE"""),"K0K 1S0")</f>
        <v>K0K 1S0</v>
      </c>
      <c r="E7793" s="3" t="str">
        <f>IFERROR(__xludf.DUMMYFUNCTION("""COMPUTED_VALUE"""),"susan sanders ")</f>
        <v>susan sanders </v>
      </c>
      <c r="F7793" s="3" t="str">
        <f>IFERROR(__xludf.DUMMYFUNCTION("""COMPUTED_VALUE"""),"fsusansanders@hotmail.com")</f>
        <v>fsusansanders@hotmail.com</v>
      </c>
      <c r="G7793" s="3">
        <f>IFERROR(__xludf.DUMMYFUNCTION("""COMPUTED_VALUE"""),9.053754989E9)</f>
        <v>9053754989</v>
      </c>
      <c r="H7793" s="3"/>
    </row>
    <row r="7794">
      <c r="A7794" s="2">
        <f>IFERROR(__xludf.DUMMYFUNCTION("""COMPUTED_VALUE"""),92265.0)</f>
        <v>92265</v>
      </c>
      <c r="B7794" s="3" t="str">
        <f>IFERROR(__xludf.DUMMYFUNCTION("""COMPUTED_VALUE"""),"592 PURDY RD  ")</f>
        <v>592 PURDY RD  </v>
      </c>
      <c r="C7794" s="3" t="str">
        <f>IFERROR(__xludf.DUMMYFUNCTION("""COMPUTED_VALUE"""),"COLBORNE")</f>
        <v>COLBORNE</v>
      </c>
      <c r="D7794" s="3" t="str">
        <f>IFERROR(__xludf.DUMMYFUNCTION("""COMPUTED_VALUE"""),"K0K 1S0")</f>
        <v>K0K 1S0</v>
      </c>
      <c r="E7794" s="3" t="str">
        <f>IFERROR(__xludf.DUMMYFUNCTION("""COMPUTED_VALUE"""),"joan evely")</f>
        <v>joan evely</v>
      </c>
      <c r="F7794" s="3"/>
      <c r="G7794" s="3">
        <f>IFERROR(__xludf.DUMMYFUNCTION("""COMPUTED_VALUE"""),9.05269985E9)</f>
        <v>9052699850</v>
      </c>
      <c r="H7794" s="3"/>
    </row>
    <row r="7795">
      <c r="A7795" s="2">
        <f>IFERROR(__xludf.DUMMYFUNCTION("""COMPUTED_VALUE"""),92267.0)</f>
        <v>92267</v>
      </c>
      <c r="B7795" s="3" t="str">
        <f>IFERROR(__xludf.DUMMYFUNCTION("""COMPUTED_VALUE"""),"609 PURDY RD  ")</f>
        <v>609 PURDY RD  </v>
      </c>
      <c r="C7795" s="3" t="str">
        <f>IFERROR(__xludf.DUMMYFUNCTION("""COMPUTED_VALUE"""),"COLBORNE")</f>
        <v>COLBORNE</v>
      </c>
      <c r="D7795" s="3" t="str">
        <f>IFERROR(__xludf.DUMMYFUNCTION("""COMPUTED_VALUE"""),"K0K 1S0")</f>
        <v>K0K 1S0</v>
      </c>
      <c r="E7795" s="3" t="str">
        <f>IFERROR(__xludf.DUMMYFUNCTION("""COMPUTED_VALUE"""),"eirin oneil")</f>
        <v>eirin oneil</v>
      </c>
      <c r="F7795" s="3" t="str">
        <f>IFERROR(__xludf.DUMMYFUNCTION("""COMPUTED_VALUE"""),"eirinon5@yahoo.ca")</f>
        <v>eirinon5@yahoo.ca</v>
      </c>
      <c r="G7795" s="3">
        <f>IFERROR(__xludf.DUMMYFUNCTION("""COMPUTED_VALUE"""),7.058751186E9)</f>
        <v>7058751186</v>
      </c>
      <c r="H7795" s="3"/>
    </row>
    <row r="7796">
      <c r="A7796" s="2">
        <f>IFERROR(__xludf.DUMMYFUNCTION("""COMPUTED_VALUE"""),92268.0)</f>
        <v>92268</v>
      </c>
      <c r="B7796" s="3" t="str">
        <f>IFERROR(__xludf.DUMMYFUNCTION("""COMPUTED_VALUE"""),"616 PURDY RD  ")</f>
        <v>616 PURDY RD  </v>
      </c>
      <c r="C7796" s="3" t="str">
        <f>IFERROR(__xludf.DUMMYFUNCTION("""COMPUTED_VALUE"""),"COLBORNE")</f>
        <v>COLBORNE</v>
      </c>
      <c r="D7796" s="3" t="str">
        <f>IFERROR(__xludf.DUMMYFUNCTION("""COMPUTED_VALUE"""),"K0K 1S0")</f>
        <v>K0K 1S0</v>
      </c>
      <c r="E7796" s="3" t="str">
        <f>IFERROR(__xludf.DUMMYFUNCTION("""COMPUTED_VALUE"""),"angela white ")</f>
        <v>angela white </v>
      </c>
      <c r="F7796" s="3"/>
      <c r="G7796" s="3">
        <f>IFERROR(__xludf.DUMMYFUNCTION("""COMPUTED_VALUE"""),6.138854774E9)</f>
        <v>6138854774</v>
      </c>
      <c r="H7796" s="3"/>
    </row>
    <row r="7797">
      <c r="A7797" s="2">
        <f>IFERROR(__xludf.DUMMYFUNCTION("""COMPUTED_VALUE"""),92269.0)</f>
        <v>92269</v>
      </c>
      <c r="B7797" s="3" t="str">
        <f>IFERROR(__xludf.DUMMYFUNCTION("""COMPUTED_VALUE"""),"632 PURDY RD  ")</f>
        <v>632 PURDY RD  </v>
      </c>
      <c r="C7797" s="3" t="str">
        <f>IFERROR(__xludf.DUMMYFUNCTION("""COMPUTED_VALUE"""),"COLBORNE")</f>
        <v>COLBORNE</v>
      </c>
      <c r="D7797" s="3" t="str">
        <f>IFERROR(__xludf.DUMMYFUNCTION("""COMPUTED_VALUE"""),"K0K 1S0")</f>
        <v>K0K 1S0</v>
      </c>
      <c r="E7797" s="3" t="str">
        <f>IFERROR(__xludf.DUMMYFUNCTION("""COMPUTED_VALUE"""),"Dennis Grills")</f>
        <v>Dennis Grills</v>
      </c>
      <c r="F7797" s="3" t="str">
        <f>IFERROR(__xludf.DUMMYFUNCTION("""COMPUTED_VALUE"""),"stuart5thwheel@hotmail.com")</f>
        <v>stuart5thwheel@hotmail.com</v>
      </c>
      <c r="G7797" s="3">
        <f>IFERROR(__xludf.DUMMYFUNCTION("""COMPUTED_VALUE"""),9.059241395E9)</f>
        <v>9059241395</v>
      </c>
      <c r="H7797" s="3"/>
    </row>
    <row r="7798">
      <c r="A7798" s="2">
        <f>IFERROR(__xludf.DUMMYFUNCTION("""COMPUTED_VALUE"""),92271.0)</f>
        <v>92271</v>
      </c>
      <c r="B7798" s="3" t="str">
        <f>IFERROR(__xludf.DUMMYFUNCTION("""COMPUTED_VALUE"""),"660 PURDY RD  ")</f>
        <v>660 PURDY RD  </v>
      </c>
      <c r="C7798" s="3" t="str">
        <f>IFERROR(__xludf.DUMMYFUNCTION("""COMPUTED_VALUE"""),"COLBORNE")</f>
        <v>COLBORNE</v>
      </c>
      <c r="D7798" s="3" t="str">
        <f>IFERROR(__xludf.DUMMYFUNCTION("""COMPUTED_VALUE"""),"K0K 1S0")</f>
        <v>K0K 1S0</v>
      </c>
      <c r="E7798" s="3"/>
      <c r="F7798" s="3"/>
      <c r="G7798" s="3"/>
      <c r="H7798" s="3"/>
    </row>
    <row r="7799">
      <c r="A7799" s="2">
        <f>IFERROR(__xludf.DUMMYFUNCTION("""COMPUTED_VALUE"""),92273.0)</f>
        <v>92273</v>
      </c>
      <c r="B7799" s="3" t="str">
        <f>IFERROR(__xludf.DUMMYFUNCTION("""COMPUTED_VALUE"""),"726 PURDY RD  ")</f>
        <v>726 PURDY RD  </v>
      </c>
      <c r="C7799" s="3" t="str">
        <f>IFERROR(__xludf.DUMMYFUNCTION("""COMPUTED_VALUE"""),"COLBORNE")</f>
        <v>COLBORNE</v>
      </c>
      <c r="D7799" s="3" t="str">
        <f>IFERROR(__xludf.DUMMYFUNCTION("""COMPUTED_VALUE"""),"K0K 1S0")</f>
        <v>K0K 1S0</v>
      </c>
      <c r="E7799" s="3" t="str">
        <f>IFERROR(__xludf.DUMMYFUNCTION("""COMPUTED_VALUE"""),"linda sheppard")</f>
        <v>linda sheppard</v>
      </c>
      <c r="F7799" s="3"/>
      <c r="G7799" s="3">
        <f>IFERROR(__xludf.DUMMYFUNCTION("""COMPUTED_VALUE"""),9.053555321E9)</f>
        <v>9053555321</v>
      </c>
      <c r="H7799" s="3"/>
    </row>
    <row r="7800">
      <c r="A7800" s="2">
        <f>IFERROR(__xludf.DUMMYFUNCTION("""COMPUTED_VALUE"""),92274.0)</f>
        <v>92274</v>
      </c>
      <c r="B7800" s="3" t="str">
        <f>IFERROR(__xludf.DUMMYFUNCTION("""COMPUTED_VALUE"""),"740 PURDY RD  ")</f>
        <v>740 PURDY RD  </v>
      </c>
      <c r="C7800" s="3" t="str">
        <f>IFERROR(__xludf.DUMMYFUNCTION("""COMPUTED_VALUE"""),"COLBORNE")</f>
        <v>COLBORNE</v>
      </c>
      <c r="D7800" s="3" t="str">
        <f>IFERROR(__xludf.DUMMYFUNCTION("""COMPUTED_VALUE"""),"K0K 1S0")</f>
        <v>K0K 1S0</v>
      </c>
      <c r="E7800" s="3"/>
      <c r="F7800" s="3"/>
      <c r="G7800" s="3"/>
      <c r="H7800" s="3"/>
    </row>
    <row r="7801">
      <c r="A7801" s="2">
        <f>IFERROR(__xludf.DUMMYFUNCTION("""COMPUTED_VALUE"""),92275.0)</f>
        <v>92275</v>
      </c>
      <c r="B7801" s="3" t="str">
        <f>IFERROR(__xludf.DUMMYFUNCTION("""COMPUTED_VALUE"""),"756 PURDY RD  ")</f>
        <v>756 PURDY RD  </v>
      </c>
      <c r="C7801" s="3" t="str">
        <f>IFERROR(__xludf.DUMMYFUNCTION("""COMPUTED_VALUE"""),"COLBORNE")</f>
        <v>COLBORNE</v>
      </c>
      <c r="D7801" s="3" t="str">
        <f>IFERROR(__xludf.DUMMYFUNCTION("""COMPUTED_VALUE"""),"K0K 1S0")</f>
        <v>K0K 1S0</v>
      </c>
      <c r="E7801" s="3"/>
      <c r="F7801" s="3"/>
      <c r="G7801" s="3"/>
      <c r="H7801" s="3"/>
    </row>
    <row r="7802">
      <c r="A7802" s="2">
        <f>IFERROR(__xludf.DUMMYFUNCTION("""COMPUTED_VALUE"""),92276.0)</f>
        <v>92276</v>
      </c>
      <c r="B7802" s="3" t="str">
        <f>IFERROR(__xludf.DUMMYFUNCTION("""COMPUTED_VALUE"""),"784 PURDY RD  ")</f>
        <v>784 PURDY RD  </v>
      </c>
      <c r="C7802" s="3" t="str">
        <f>IFERROR(__xludf.DUMMYFUNCTION("""COMPUTED_VALUE"""),"COLBORNE")</f>
        <v>COLBORNE</v>
      </c>
      <c r="D7802" s="3" t="str">
        <f>IFERROR(__xludf.DUMMYFUNCTION("""COMPUTED_VALUE"""),"K0K 1S0")</f>
        <v>K0K 1S0</v>
      </c>
      <c r="E7802" s="3"/>
      <c r="F7802" s="3"/>
      <c r="G7802" s="3"/>
      <c r="H7802" s="3"/>
    </row>
    <row r="7803">
      <c r="A7803" s="2">
        <f>IFERROR(__xludf.DUMMYFUNCTION("""COMPUTED_VALUE"""),92277.0)</f>
        <v>92277</v>
      </c>
      <c r="B7803" s="3" t="str">
        <f>IFERROR(__xludf.DUMMYFUNCTION("""COMPUTED_VALUE"""),"856 PURDY RD  ")</f>
        <v>856 PURDY RD  </v>
      </c>
      <c r="C7803" s="3" t="str">
        <f>IFERROR(__xludf.DUMMYFUNCTION("""COMPUTED_VALUE"""),"COLBORNE")</f>
        <v>COLBORNE</v>
      </c>
      <c r="D7803" s="3" t="str">
        <f>IFERROR(__xludf.DUMMYFUNCTION("""COMPUTED_VALUE"""),"K0K 1S0")</f>
        <v>K0K 1S0</v>
      </c>
      <c r="E7803" s="3"/>
      <c r="F7803" s="3"/>
      <c r="G7803" s="3"/>
      <c r="H7803" s="3"/>
    </row>
    <row r="7804">
      <c r="A7804" s="2">
        <f>IFERROR(__xludf.DUMMYFUNCTION("""COMPUTED_VALUE"""),92278.0)</f>
        <v>92278</v>
      </c>
      <c r="B7804" s="3" t="str">
        <f>IFERROR(__xludf.DUMMYFUNCTION("""COMPUTED_VALUE"""),"887 PURDY RD  ")</f>
        <v>887 PURDY RD  </v>
      </c>
      <c r="C7804" s="3" t="str">
        <f>IFERROR(__xludf.DUMMYFUNCTION("""COMPUTED_VALUE"""),"COLBORNE")</f>
        <v>COLBORNE</v>
      </c>
      <c r="D7804" s="3" t="str">
        <f>IFERROR(__xludf.DUMMYFUNCTION("""COMPUTED_VALUE"""),"K0K 1S0")</f>
        <v>K0K 1S0</v>
      </c>
      <c r="E7804" s="3" t="str">
        <f>IFERROR(__xludf.DUMMYFUNCTION("""COMPUTED_VALUE"""),"anita jackson")</f>
        <v>anita jackson</v>
      </c>
      <c r="F7804" s="3"/>
      <c r="G7804" s="3">
        <f>IFERROR(__xludf.DUMMYFUNCTION("""COMPUTED_VALUE"""),9.053552689E9)</f>
        <v>9053552689</v>
      </c>
      <c r="H7804" s="3"/>
    </row>
    <row r="7805">
      <c r="A7805" s="2">
        <f>IFERROR(__xludf.DUMMYFUNCTION("""COMPUTED_VALUE"""),92280.0)</f>
        <v>92280</v>
      </c>
      <c r="B7805" s="3" t="str">
        <f>IFERROR(__xludf.DUMMYFUNCTION("""COMPUTED_VALUE"""),"910 PURDY RD  ")</f>
        <v>910 PURDY RD  </v>
      </c>
      <c r="C7805" s="3" t="str">
        <f>IFERROR(__xludf.DUMMYFUNCTION("""COMPUTED_VALUE"""),"COLBORNE")</f>
        <v>COLBORNE</v>
      </c>
      <c r="D7805" s="3" t="str">
        <f>IFERROR(__xludf.DUMMYFUNCTION("""COMPUTED_VALUE"""),"K0K 1S0")</f>
        <v>K0K 1S0</v>
      </c>
      <c r="E7805" s="3" t="str">
        <f>IFERROR(__xludf.DUMMYFUNCTION("""COMPUTED_VALUE"""),"murray tucker ")</f>
        <v>murray tucker </v>
      </c>
      <c r="F7805" s="3" t="str">
        <f>IFERROR(__xludf.DUMMYFUNCTION("""COMPUTED_VALUE"""),"1976murray@gmail.com")</f>
        <v>1976murray@gmail.com</v>
      </c>
      <c r="G7805" s="3">
        <f>IFERROR(__xludf.DUMMYFUNCTION("""COMPUTED_VALUE"""),9.054470599E9)</f>
        <v>9054470599</v>
      </c>
      <c r="H7805" s="3"/>
    </row>
    <row r="7806">
      <c r="A7806" s="2">
        <f>IFERROR(__xludf.DUMMYFUNCTION("""COMPUTED_VALUE"""),92261.0)</f>
        <v>92261</v>
      </c>
      <c r="B7806" s="3" t="str">
        <f>IFERROR(__xludf.DUMMYFUNCTION("""COMPUTED_VALUE"""),"571 PURDY RD  ")</f>
        <v>571 PURDY RD  </v>
      </c>
      <c r="C7806" s="3" t="str">
        <f>IFERROR(__xludf.DUMMYFUNCTION("""COMPUTED_VALUE"""),"COLBORNE")</f>
        <v>COLBORNE</v>
      </c>
      <c r="D7806" s="3" t="str">
        <f>IFERROR(__xludf.DUMMYFUNCTION("""COMPUTED_VALUE"""),"K0K 1S0")</f>
        <v>K0K 1S0</v>
      </c>
      <c r="E7806" s="3" t="str">
        <f>IFERROR(__xludf.DUMMYFUNCTION("""COMPUTED_VALUE"""),"Charly Wellings-Gray")</f>
        <v>Charly Wellings-Gray</v>
      </c>
      <c r="F7806" s="3" t="str">
        <f>IFERROR(__xludf.DUMMYFUNCTION("""COMPUTED_VALUE"""),"charly.wellingsgray@gmail.com")</f>
        <v>charly.wellingsgray@gmail.com</v>
      </c>
      <c r="G7806" s="3">
        <f>IFERROR(__xludf.DUMMYFUNCTION("""COMPUTED_VALUE"""),9.052600602E9)</f>
        <v>9052600602</v>
      </c>
      <c r="H7806" s="3"/>
    </row>
    <row r="7807">
      <c r="A7807" s="2">
        <f>IFERROR(__xludf.DUMMYFUNCTION("""COMPUTED_VALUE"""),92264.0)</f>
        <v>92264</v>
      </c>
      <c r="B7807" s="3" t="str">
        <f>IFERROR(__xludf.DUMMYFUNCTION("""COMPUTED_VALUE"""),"586 PURDY RD  ")</f>
        <v>586 PURDY RD  </v>
      </c>
      <c r="C7807" s="3" t="str">
        <f>IFERROR(__xludf.DUMMYFUNCTION("""COMPUTED_VALUE"""),"COLBORNE")</f>
        <v>COLBORNE</v>
      </c>
      <c r="D7807" s="3" t="str">
        <f>IFERROR(__xludf.DUMMYFUNCTION("""COMPUTED_VALUE"""),"K0K 1S0")</f>
        <v>K0K 1S0</v>
      </c>
      <c r="E7807" s="3" t="str">
        <f>IFERROR(__xludf.DUMMYFUNCTION("""COMPUTED_VALUE"""),"James Adams")</f>
        <v>James Adams</v>
      </c>
      <c r="F7807" s="3" t="str">
        <f>IFERROR(__xludf.DUMMYFUNCTION("""COMPUTED_VALUE"""),"whatrusinkingabout@gmail.com")</f>
        <v>whatrusinkingabout@gmail.com</v>
      </c>
      <c r="G7807" s="3">
        <f>IFERROR(__xludf.DUMMYFUNCTION("""COMPUTED_VALUE"""),9.054315885E9)</f>
        <v>9054315885</v>
      </c>
      <c r="H7807" s="3"/>
    </row>
    <row r="7808">
      <c r="A7808" s="2">
        <f>IFERROR(__xludf.DUMMYFUNCTION("""COMPUTED_VALUE"""),92266.0)</f>
        <v>92266</v>
      </c>
      <c r="B7808" s="3" t="str">
        <f>IFERROR(__xludf.DUMMYFUNCTION("""COMPUTED_VALUE"""),"595 PURDY RD  ")</f>
        <v>595 PURDY RD  </v>
      </c>
      <c r="C7808" s="3" t="str">
        <f>IFERROR(__xludf.DUMMYFUNCTION("""COMPUTED_VALUE"""),"COLBORNE")</f>
        <v>COLBORNE</v>
      </c>
      <c r="D7808" s="3" t="str">
        <f>IFERROR(__xludf.DUMMYFUNCTION("""COMPUTED_VALUE"""),"K0K 1S0")</f>
        <v>K0K 1S0</v>
      </c>
      <c r="E7808" s="3" t="str">
        <f>IFERROR(__xludf.DUMMYFUNCTION("""COMPUTED_VALUE"""),"YVONNE DULMAGE")</f>
        <v>YVONNE DULMAGE</v>
      </c>
      <c r="F7808" s="3" t="str">
        <f>IFERROR(__xludf.DUMMYFUNCTION("""COMPUTED_VALUE"""),"yddulmage@gmail.com")</f>
        <v>yddulmage@gmail.com</v>
      </c>
      <c r="G7808" s="3">
        <f>IFERROR(__xludf.DUMMYFUNCTION("""COMPUTED_VALUE"""),9.053962439E9)</f>
        <v>9053962439</v>
      </c>
      <c r="H7808" s="3"/>
    </row>
    <row r="7809">
      <c r="A7809" s="2">
        <f>IFERROR(__xludf.DUMMYFUNCTION("""COMPUTED_VALUE"""),92270.0)</f>
        <v>92270</v>
      </c>
      <c r="B7809" s="3" t="str">
        <f>IFERROR(__xludf.DUMMYFUNCTION("""COMPUTED_VALUE"""),"655 PURDY RD  ")</f>
        <v>655 PURDY RD  </v>
      </c>
      <c r="C7809" s="3" t="str">
        <f>IFERROR(__xludf.DUMMYFUNCTION("""COMPUTED_VALUE"""),"COLBORNE")</f>
        <v>COLBORNE</v>
      </c>
      <c r="D7809" s="3" t="str">
        <f>IFERROR(__xludf.DUMMYFUNCTION("""COMPUTED_VALUE"""),"K0K 1S0")</f>
        <v>K0K 1S0</v>
      </c>
      <c r="E7809" s="3" t="str">
        <f>IFERROR(__xludf.DUMMYFUNCTION("""COMPUTED_VALUE"""),"Henri Berube")</f>
        <v>Henri Berube</v>
      </c>
      <c r="F7809" s="3" t="str">
        <f>IFERROR(__xludf.DUMMYFUNCTION("""COMPUTED_VALUE"""),"henri.berube@humber.ca")</f>
        <v>henri.berube@humber.ca</v>
      </c>
      <c r="G7809" s="3">
        <f>IFERROR(__xludf.DUMMYFUNCTION("""COMPUTED_VALUE"""),6.475183139E9)</f>
        <v>6475183139</v>
      </c>
      <c r="H7809" s="3"/>
    </row>
    <row r="7810">
      <c r="A7810" s="2">
        <f>IFERROR(__xludf.DUMMYFUNCTION("""COMPUTED_VALUE"""),92272.0)</f>
        <v>92272</v>
      </c>
      <c r="B7810" s="3" t="str">
        <f>IFERROR(__xludf.DUMMYFUNCTION("""COMPUTED_VALUE"""),"685 PURDY RD  ")</f>
        <v>685 PURDY RD  </v>
      </c>
      <c r="C7810" s="3" t="str">
        <f>IFERROR(__xludf.DUMMYFUNCTION("""COMPUTED_VALUE"""),"COLBORNE")</f>
        <v>COLBORNE</v>
      </c>
      <c r="D7810" s="3" t="str">
        <f>IFERROR(__xludf.DUMMYFUNCTION("""COMPUTED_VALUE"""),"K0K 1S0")</f>
        <v>K0K 1S0</v>
      </c>
      <c r="E7810" s="3" t="str">
        <f>IFERROR(__xludf.DUMMYFUNCTION("""COMPUTED_VALUE"""),"Christopher Jackson")</f>
        <v>Christopher Jackson</v>
      </c>
      <c r="F7810" s="3" t="str">
        <f>IFERROR(__xludf.DUMMYFUNCTION("""COMPUTED_VALUE"""),"jacksoncr88@gmail.com")</f>
        <v>jacksoncr88@gmail.com</v>
      </c>
      <c r="G7810" s="3">
        <f>IFERROR(__xludf.DUMMYFUNCTION("""COMPUTED_VALUE"""),9.054098357E9)</f>
        <v>9054098357</v>
      </c>
      <c r="H7810" s="3"/>
    </row>
    <row r="7811">
      <c r="A7811" s="2">
        <f>IFERROR(__xludf.DUMMYFUNCTION("""COMPUTED_VALUE"""),92279.0)</f>
        <v>92279</v>
      </c>
      <c r="B7811" s="3" t="str">
        <f>IFERROR(__xludf.DUMMYFUNCTION("""COMPUTED_VALUE"""),"896 PURDY RD  ")</f>
        <v>896 PURDY RD  </v>
      </c>
      <c r="C7811" s="3" t="str">
        <f>IFERROR(__xludf.DUMMYFUNCTION("""COMPUTED_VALUE"""),"COLBORNE")</f>
        <v>COLBORNE</v>
      </c>
      <c r="D7811" s="3" t="str">
        <f>IFERROR(__xludf.DUMMYFUNCTION("""COMPUTED_VALUE"""),"K0K 1S0")</f>
        <v>K0K 1S0</v>
      </c>
      <c r="E7811" s="3" t="str">
        <f>IFERROR(__xludf.DUMMYFUNCTION("""COMPUTED_VALUE"""),"Gayle Brayton")</f>
        <v>Gayle Brayton</v>
      </c>
      <c r="F7811" s="3" t="str">
        <f>IFERROR(__xludf.DUMMYFUNCTION("""COMPUTED_VALUE"""),"gspennycook@gmail.com")</f>
        <v>gspennycook@gmail.com</v>
      </c>
      <c r="G7811" s="3"/>
      <c r="H7811" s="3"/>
    </row>
    <row r="7812">
      <c r="A7812" s="2">
        <f>IFERROR(__xludf.DUMMYFUNCTION("""COMPUTED_VALUE"""),92240.0)</f>
        <v>92240</v>
      </c>
      <c r="B7812" s="3" t="str">
        <f>IFERROR(__xludf.DUMMYFUNCTION("""COMPUTED_VALUE"""),"232 PURDY RD")</f>
        <v>232 PURDY RD</v>
      </c>
      <c r="C7812" s="3"/>
      <c r="D7812" s="3"/>
      <c r="E7812" s="3"/>
      <c r="F7812" s="3"/>
      <c r="G7812" s="3"/>
      <c r="H7812" s="3"/>
    </row>
    <row r="7813">
      <c r="A7813" s="2">
        <f>IFERROR(__xludf.DUMMYFUNCTION("""COMPUTED_VALUE"""),92242.0)</f>
        <v>92242</v>
      </c>
      <c r="B7813" s="3" t="str">
        <f>IFERROR(__xludf.DUMMYFUNCTION("""COMPUTED_VALUE"""),"263 PURDY RD")</f>
        <v>263 PURDY RD</v>
      </c>
      <c r="C7813" s="3"/>
      <c r="D7813" s="3"/>
      <c r="E7813" s="3"/>
      <c r="F7813" s="3"/>
      <c r="G7813" s="3"/>
      <c r="H7813" s="3"/>
    </row>
    <row r="7814">
      <c r="A7814" s="2">
        <f>IFERROR(__xludf.DUMMYFUNCTION("""COMPUTED_VALUE"""),92234.0)</f>
        <v>92234</v>
      </c>
      <c r="B7814" s="3" t="str">
        <f>IFERROR(__xludf.DUMMYFUNCTION("""COMPUTED_VALUE"""),"114 PURDY RD  ")</f>
        <v>114 PURDY RD  </v>
      </c>
      <c r="C7814" s="3" t="str">
        <f>IFERROR(__xludf.DUMMYFUNCTION("""COMPUTED_VALUE"""),"COLBORNE")</f>
        <v>COLBORNE</v>
      </c>
      <c r="D7814" s="3" t="str">
        <f>IFERROR(__xludf.DUMMYFUNCTION("""COMPUTED_VALUE"""),"K0K 1S0")</f>
        <v>K0K 1S0</v>
      </c>
      <c r="E7814" s="3"/>
      <c r="F7814" s="3"/>
      <c r="G7814" s="3"/>
      <c r="H7814" s="3"/>
    </row>
    <row r="7815">
      <c r="A7815" s="2">
        <f>IFERROR(__xludf.DUMMYFUNCTION("""COMPUTED_VALUE"""),92235.0)</f>
        <v>92235</v>
      </c>
      <c r="B7815" s="3" t="str">
        <f>IFERROR(__xludf.DUMMYFUNCTION("""COMPUTED_VALUE"""),"128 PURDY RD  ")</f>
        <v>128 PURDY RD  </v>
      </c>
      <c r="C7815" s="3" t="str">
        <f>IFERROR(__xludf.DUMMYFUNCTION("""COMPUTED_VALUE"""),"COLBORNE")</f>
        <v>COLBORNE</v>
      </c>
      <c r="D7815" s="3" t="str">
        <f>IFERROR(__xludf.DUMMYFUNCTION("""COMPUTED_VALUE"""),"K0K 1S0")</f>
        <v>K0K 1S0</v>
      </c>
      <c r="E7815" s="3"/>
      <c r="F7815" s="3"/>
      <c r="G7815" s="3"/>
      <c r="H7815" s="3"/>
    </row>
    <row r="7816">
      <c r="A7816" s="2">
        <f>IFERROR(__xludf.DUMMYFUNCTION("""COMPUTED_VALUE"""),92236.0)</f>
        <v>92236</v>
      </c>
      <c r="B7816" s="3" t="str">
        <f>IFERROR(__xludf.DUMMYFUNCTION("""COMPUTED_VALUE"""),"136 PURDY RD  ")</f>
        <v>136 PURDY RD  </v>
      </c>
      <c r="C7816" s="3" t="str">
        <f>IFERROR(__xludf.DUMMYFUNCTION("""COMPUTED_VALUE"""),"COLBORNE")</f>
        <v>COLBORNE</v>
      </c>
      <c r="D7816" s="3" t="str">
        <f>IFERROR(__xludf.DUMMYFUNCTION("""COMPUTED_VALUE"""),"K0K 1S0")</f>
        <v>K0K 1S0</v>
      </c>
      <c r="E7816" s="3"/>
      <c r="F7816" s="3"/>
      <c r="G7816" s="3"/>
      <c r="H7816" s="3"/>
    </row>
    <row r="7817">
      <c r="A7817" s="2">
        <f>IFERROR(__xludf.DUMMYFUNCTION("""COMPUTED_VALUE"""),92237.0)</f>
        <v>92237</v>
      </c>
      <c r="B7817" s="3" t="str">
        <f>IFERROR(__xludf.DUMMYFUNCTION("""COMPUTED_VALUE"""),"165 PURDY RD  ")</f>
        <v>165 PURDY RD  </v>
      </c>
      <c r="C7817" s="3" t="str">
        <f>IFERROR(__xludf.DUMMYFUNCTION("""COMPUTED_VALUE"""),"COLBORNE")</f>
        <v>COLBORNE</v>
      </c>
      <c r="D7817" s="3" t="str">
        <f>IFERROR(__xludf.DUMMYFUNCTION("""COMPUTED_VALUE"""),"K0K 1S0")</f>
        <v>K0K 1S0</v>
      </c>
      <c r="E7817" s="3"/>
      <c r="F7817" s="3"/>
      <c r="G7817" s="3"/>
      <c r="H7817" s="3"/>
    </row>
    <row r="7818">
      <c r="A7818" s="2">
        <f>IFERROR(__xludf.DUMMYFUNCTION("""COMPUTED_VALUE"""),92241.0)</f>
        <v>92241</v>
      </c>
      <c r="B7818" s="3" t="str">
        <f>IFERROR(__xludf.DUMMYFUNCTION("""COMPUTED_VALUE"""),"256 PURDY RD  ")</f>
        <v>256 PURDY RD  </v>
      </c>
      <c r="C7818" s="3" t="str">
        <f>IFERROR(__xludf.DUMMYFUNCTION("""COMPUTED_VALUE"""),"COLBORNE")</f>
        <v>COLBORNE</v>
      </c>
      <c r="D7818" s="3" t="str">
        <f>IFERROR(__xludf.DUMMYFUNCTION("""COMPUTED_VALUE"""),"K0K 1S0")</f>
        <v>K0K 1S0</v>
      </c>
      <c r="E7818" s="3" t="str">
        <f>IFERROR(__xludf.DUMMYFUNCTION("""COMPUTED_VALUE"""),"james mcnally")</f>
        <v>james mcnally</v>
      </c>
      <c r="F7818" s="3" t="str">
        <f>IFERROR(__xludf.DUMMYFUNCTION("""COMPUTED_VALUE"""),"james.mcnally14@outlook.com")</f>
        <v>james.mcnally14@outlook.com</v>
      </c>
      <c r="G7818" s="3">
        <f>IFERROR(__xludf.DUMMYFUNCTION("""COMPUTED_VALUE"""),9.052430677E9)</f>
        <v>9052430677</v>
      </c>
      <c r="H7818" s="3"/>
    </row>
    <row r="7819">
      <c r="A7819" s="2">
        <f>IFERROR(__xludf.DUMMYFUNCTION("""COMPUTED_VALUE"""),92243.0)</f>
        <v>92243</v>
      </c>
      <c r="B7819" s="3" t="str">
        <f>IFERROR(__xludf.DUMMYFUNCTION("""COMPUTED_VALUE"""),"281 PURDY RD  ")</f>
        <v>281 PURDY RD  </v>
      </c>
      <c r="C7819" s="3" t="str">
        <f>IFERROR(__xludf.DUMMYFUNCTION("""COMPUTED_VALUE"""),"COLBORNE")</f>
        <v>COLBORNE</v>
      </c>
      <c r="D7819" s="3" t="str">
        <f>IFERROR(__xludf.DUMMYFUNCTION("""COMPUTED_VALUE"""),"K0K 1S0")</f>
        <v>K0K 1S0</v>
      </c>
      <c r="E7819" s="3"/>
      <c r="F7819" s="3"/>
      <c r="G7819" s="3"/>
      <c r="H7819" s="3"/>
    </row>
    <row r="7820">
      <c r="A7820" s="2">
        <f>IFERROR(__xludf.DUMMYFUNCTION("""COMPUTED_VALUE"""),92244.0)</f>
        <v>92244</v>
      </c>
      <c r="B7820" s="3" t="str">
        <f>IFERROR(__xludf.DUMMYFUNCTION("""COMPUTED_VALUE"""),"290 PURDY RD  ")</f>
        <v>290 PURDY RD  </v>
      </c>
      <c r="C7820" s="3" t="str">
        <f>IFERROR(__xludf.DUMMYFUNCTION("""COMPUTED_VALUE"""),"COLBORNE")</f>
        <v>COLBORNE</v>
      </c>
      <c r="D7820" s="3" t="str">
        <f>IFERROR(__xludf.DUMMYFUNCTION("""COMPUTED_VALUE"""),"K0K 1S0")</f>
        <v>K0K 1S0</v>
      </c>
      <c r="E7820" s="3"/>
      <c r="F7820" s="3"/>
      <c r="G7820" s="3"/>
      <c r="H7820" s="3"/>
    </row>
    <row r="7821">
      <c r="A7821" s="2">
        <f>IFERROR(__xludf.DUMMYFUNCTION("""COMPUTED_VALUE"""),92245.0)</f>
        <v>92245</v>
      </c>
      <c r="B7821" s="3" t="str">
        <f>IFERROR(__xludf.DUMMYFUNCTION("""COMPUTED_VALUE"""),"296 PURDY RD  ")</f>
        <v>296 PURDY RD  </v>
      </c>
      <c r="C7821" s="3" t="str">
        <f>IFERROR(__xludf.DUMMYFUNCTION("""COMPUTED_VALUE"""),"COLBORNE")</f>
        <v>COLBORNE</v>
      </c>
      <c r="D7821" s="3" t="str">
        <f>IFERROR(__xludf.DUMMYFUNCTION("""COMPUTED_VALUE"""),"K0K 1S0")</f>
        <v>K0K 1S0</v>
      </c>
      <c r="E7821" s="3"/>
      <c r="F7821" s="3"/>
      <c r="G7821" s="3"/>
      <c r="H7821" s="3"/>
    </row>
    <row r="7822">
      <c r="A7822" s="2">
        <f>IFERROR(__xludf.DUMMYFUNCTION("""COMPUTED_VALUE"""),92246.0)</f>
        <v>92246</v>
      </c>
      <c r="B7822" s="3" t="str">
        <f>IFERROR(__xludf.DUMMYFUNCTION("""COMPUTED_VALUE"""),"323 PURDY RD  ")</f>
        <v>323 PURDY RD  </v>
      </c>
      <c r="C7822" s="3" t="str">
        <f>IFERROR(__xludf.DUMMYFUNCTION("""COMPUTED_VALUE"""),"COLBORNE")</f>
        <v>COLBORNE</v>
      </c>
      <c r="D7822" s="3" t="str">
        <f>IFERROR(__xludf.DUMMYFUNCTION("""COMPUTED_VALUE"""),"K0K 1S0")</f>
        <v>K0K 1S0</v>
      </c>
      <c r="E7822" s="3"/>
      <c r="F7822" s="3"/>
      <c r="G7822" s="3"/>
      <c r="H7822" s="3"/>
    </row>
    <row r="7823">
      <c r="A7823" s="2">
        <f>IFERROR(__xludf.DUMMYFUNCTION("""COMPUTED_VALUE"""),92250.0)</f>
        <v>92250</v>
      </c>
      <c r="B7823" s="3" t="str">
        <f>IFERROR(__xludf.DUMMYFUNCTION("""COMPUTED_VALUE"""),"421 PURDY RD  ")</f>
        <v>421 PURDY RD  </v>
      </c>
      <c r="C7823" s="3" t="str">
        <f>IFERROR(__xludf.DUMMYFUNCTION("""COMPUTED_VALUE"""),"COLBORNE")</f>
        <v>COLBORNE</v>
      </c>
      <c r="D7823" s="3" t="str">
        <f>IFERROR(__xludf.DUMMYFUNCTION("""COMPUTED_VALUE"""),"K0K 1S0")</f>
        <v>K0K 1S0</v>
      </c>
      <c r="E7823" s="3" t="str">
        <f>IFERROR(__xludf.DUMMYFUNCTION("""COMPUTED_VALUE"""),"thomas crichton")</f>
        <v>thomas crichton</v>
      </c>
      <c r="F7823" s="3" t="str">
        <f>IFERROR(__xludf.DUMMYFUNCTION("""COMPUTED_VALUE"""),"t.critchton@hotmail.com")</f>
        <v>t.critchton@hotmail.com</v>
      </c>
      <c r="G7823" s="3">
        <f>IFERROR(__xludf.DUMMYFUNCTION("""COMPUTED_VALUE"""),9.054315848E9)</f>
        <v>9054315848</v>
      </c>
      <c r="H7823" s="3"/>
    </row>
    <row r="7824">
      <c r="A7824" s="2">
        <f>IFERROR(__xludf.DUMMYFUNCTION("""COMPUTED_VALUE"""),92251.0)</f>
        <v>92251</v>
      </c>
      <c r="B7824" s="3" t="str">
        <f>IFERROR(__xludf.DUMMYFUNCTION("""COMPUTED_VALUE"""),"448 PURDY RD  ")</f>
        <v>448 PURDY RD  </v>
      </c>
      <c r="C7824" s="3" t="str">
        <f>IFERROR(__xludf.DUMMYFUNCTION("""COMPUTED_VALUE"""),"COLBORNE")</f>
        <v>COLBORNE</v>
      </c>
      <c r="D7824" s="3" t="str">
        <f>IFERROR(__xludf.DUMMYFUNCTION("""COMPUTED_VALUE"""),"K0K 1S0")</f>
        <v>K0K 1S0</v>
      </c>
      <c r="E7824" s="3" t="str">
        <f>IFERROR(__xludf.DUMMYFUNCTION("""COMPUTED_VALUE"""),"joanne meikle ")</f>
        <v>joanne meikle </v>
      </c>
      <c r="F7824" s="3" t="str">
        <f>IFERROR(__xludf.DUMMYFUNCTION("""COMPUTED_VALUE"""),"jojomeikle16@gmail.com")</f>
        <v>jojomeikle16@gmail.com</v>
      </c>
      <c r="G7824" s="3">
        <f>IFERROR(__xludf.DUMMYFUNCTION("""COMPUTED_VALUE"""),3.657242308E9)</f>
        <v>3657242308</v>
      </c>
      <c r="H7824" s="3"/>
    </row>
    <row r="7825">
      <c r="A7825" s="2">
        <f>IFERROR(__xludf.DUMMYFUNCTION("""COMPUTED_VALUE"""),92252.0)</f>
        <v>92252</v>
      </c>
      <c r="B7825" s="3" t="str">
        <f>IFERROR(__xludf.DUMMYFUNCTION("""COMPUTED_VALUE"""),"449 PURDY RD  ")</f>
        <v>449 PURDY RD  </v>
      </c>
      <c r="C7825" s="3" t="str">
        <f>IFERROR(__xludf.DUMMYFUNCTION("""COMPUTED_VALUE"""),"COLBORNE")</f>
        <v>COLBORNE</v>
      </c>
      <c r="D7825" s="3" t="str">
        <f>IFERROR(__xludf.DUMMYFUNCTION("""COMPUTED_VALUE"""),"K0K 1S0")</f>
        <v>K0K 1S0</v>
      </c>
      <c r="E7825" s="3"/>
      <c r="F7825" s="3"/>
      <c r="G7825" s="3"/>
      <c r="H7825" s="3"/>
    </row>
    <row r="7826">
      <c r="A7826" s="2">
        <f>IFERROR(__xludf.DUMMYFUNCTION("""COMPUTED_VALUE"""),92254.0)</f>
        <v>92254</v>
      </c>
      <c r="B7826" s="3" t="str">
        <f>IFERROR(__xludf.DUMMYFUNCTION("""COMPUTED_VALUE"""),"478 PURDY RD  ")</f>
        <v>478 PURDY RD  </v>
      </c>
      <c r="C7826" s="3" t="str">
        <f>IFERROR(__xludf.DUMMYFUNCTION("""COMPUTED_VALUE"""),"COLBORNE")</f>
        <v>COLBORNE</v>
      </c>
      <c r="D7826" s="3" t="str">
        <f>IFERROR(__xludf.DUMMYFUNCTION("""COMPUTED_VALUE"""),"K0K 1S0")</f>
        <v>K0K 1S0</v>
      </c>
      <c r="E7826" s="3" t="str">
        <f>IFERROR(__xludf.DUMMYFUNCTION("""COMPUTED_VALUE"""),"george ainsworth ")</f>
        <v>george ainsworth </v>
      </c>
      <c r="F7826" s="3" t="str">
        <f>IFERROR(__xludf.DUMMYFUNCTION("""COMPUTED_VALUE"""),"ageo51342@yahoo.ca")</f>
        <v>ageo51342@yahoo.ca</v>
      </c>
      <c r="G7826" s="3">
        <f>IFERROR(__xludf.DUMMYFUNCTION("""COMPUTED_VALUE"""),9.053553696E9)</f>
        <v>9053553696</v>
      </c>
      <c r="H7826" s="3">
        <f>IFERROR(__xludf.DUMMYFUNCTION("""COMPUTED_VALUE"""),9.052694291E9)</f>
        <v>9052694291</v>
      </c>
    </row>
    <row r="7827">
      <c r="A7827" s="2">
        <f>IFERROR(__xludf.DUMMYFUNCTION("""COMPUTED_VALUE"""),92255.0)</f>
        <v>92255</v>
      </c>
      <c r="B7827" s="3" t="str">
        <f>IFERROR(__xludf.DUMMYFUNCTION("""COMPUTED_VALUE"""),"481 PURDY RD  ")</f>
        <v>481 PURDY RD  </v>
      </c>
      <c r="C7827" s="3" t="str">
        <f>IFERROR(__xludf.DUMMYFUNCTION("""COMPUTED_VALUE"""),"COLBORNE")</f>
        <v>COLBORNE</v>
      </c>
      <c r="D7827" s="3" t="str">
        <f>IFERROR(__xludf.DUMMYFUNCTION("""COMPUTED_VALUE"""),"K0K 1S0")</f>
        <v>K0K 1S0</v>
      </c>
      <c r="E7827" s="3" t="str">
        <f>IFERROR(__xludf.DUMMYFUNCTION("""COMPUTED_VALUE"""),"duane eddy")</f>
        <v>duane eddy</v>
      </c>
      <c r="F7827" s="3" t="str">
        <f>IFERROR(__xludf.DUMMYFUNCTION("""COMPUTED_VALUE"""),"freddyeddy12@ymail.com")</f>
        <v>freddyeddy12@ymail.com</v>
      </c>
      <c r="G7827" s="3">
        <f>IFERROR(__xludf.DUMMYFUNCTION("""COMPUTED_VALUE"""),2.892511342E9)</f>
        <v>2892511342</v>
      </c>
      <c r="H7827" s="3"/>
    </row>
    <row r="7828">
      <c r="A7828" s="2">
        <f>IFERROR(__xludf.DUMMYFUNCTION("""COMPUTED_VALUE"""),92257.0)</f>
        <v>92257</v>
      </c>
      <c r="B7828" s="3" t="str">
        <f>IFERROR(__xludf.DUMMYFUNCTION("""COMPUTED_VALUE"""),"530 PURDY RD  ")</f>
        <v>530 PURDY RD  </v>
      </c>
      <c r="C7828" s="3" t="str">
        <f>IFERROR(__xludf.DUMMYFUNCTION("""COMPUTED_VALUE"""),"COLBORNE")</f>
        <v>COLBORNE</v>
      </c>
      <c r="D7828" s="3" t="str">
        <f>IFERROR(__xludf.DUMMYFUNCTION("""COMPUTED_VALUE"""),"K0K 1S0")</f>
        <v>K0K 1S0</v>
      </c>
      <c r="E7828" s="3" t="str">
        <f>IFERROR(__xludf.DUMMYFUNCTION("""COMPUTED_VALUE"""),"pargat gill")</f>
        <v>pargat gill</v>
      </c>
      <c r="F7828" s="3" t="str">
        <f>IFERROR(__xludf.DUMMYFUNCTION("""COMPUTED_VALUE"""),"psgill004@gmail.com")</f>
        <v>psgill004@gmail.com</v>
      </c>
      <c r="G7828" s="3">
        <f>IFERROR(__xludf.DUMMYFUNCTION("""COMPUTED_VALUE"""),6.478303284E9)</f>
        <v>6478303284</v>
      </c>
      <c r="H7828" s="3"/>
    </row>
    <row r="7829">
      <c r="A7829" s="2">
        <f>IFERROR(__xludf.DUMMYFUNCTION("""COMPUTED_VALUE"""),92258.0)</f>
        <v>92258</v>
      </c>
      <c r="B7829" s="3" t="str">
        <f>IFERROR(__xludf.DUMMYFUNCTION("""COMPUTED_VALUE"""),"538 PURDY RD  ")</f>
        <v>538 PURDY RD  </v>
      </c>
      <c r="C7829" s="3" t="str">
        <f>IFERROR(__xludf.DUMMYFUNCTION("""COMPUTED_VALUE"""),"COLBORNE")</f>
        <v>COLBORNE</v>
      </c>
      <c r="D7829" s="3" t="str">
        <f>IFERROR(__xludf.DUMMYFUNCTION("""COMPUTED_VALUE"""),"K0K 1S0")</f>
        <v>K0K 1S0</v>
      </c>
      <c r="E7829" s="3"/>
      <c r="F7829" s="3"/>
      <c r="G7829" s="3"/>
      <c r="H7829" s="3"/>
    </row>
    <row r="7830">
      <c r="A7830" s="2">
        <f>IFERROR(__xludf.DUMMYFUNCTION("""COMPUTED_VALUE"""),92253.0)</f>
        <v>92253</v>
      </c>
      <c r="B7830" s="3" t="str">
        <f>IFERROR(__xludf.DUMMYFUNCTION("""COMPUTED_VALUE"""),"457 PURDY RD  ")</f>
        <v>457 PURDY RD  </v>
      </c>
      <c r="C7830" s="3" t="str">
        <f>IFERROR(__xludf.DUMMYFUNCTION("""COMPUTED_VALUE"""),"COLBORNE")</f>
        <v>COLBORNE</v>
      </c>
      <c r="D7830" s="3" t="str">
        <f>IFERROR(__xludf.DUMMYFUNCTION("""COMPUTED_VALUE"""),"K0K 1S0")</f>
        <v>K0K 1S0</v>
      </c>
      <c r="E7830" s="3" t="str">
        <f>IFERROR(__xludf.DUMMYFUNCTION("""COMPUTED_VALUE"""),"Shane Armstrong")</f>
        <v>Shane Armstrong</v>
      </c>
      <c r="F7830" s="3" t="str">
        <f>IFERROR(__xludf.DUMMYFUNCTION("""COMPUTED_VALUE"""),"armytrades@gmail.com")</f>
        <v>armytrades@gmail.com</v>
      </c>
      <c r="G7830" s="3">
        <f>IFERROR(__xludf.DUMMYFUNCTION("""COMPUTED_VALUE"""),9.054471977E9)</f>
        <v>9054471977</v>
      </c>
      <c r="H7830" s="3">
        <f>IFERROR(__xludf.DUMMYFUNCTION("""COMPUTED_VALUE"""),9.059259672E9)</f>
        <v>9059259672</v>
      </c>
    </row>
    <row r="7831">
      <c r="A7831" s="2">
        <f>IFERROR(__xludf.DUMMYFUNCTION("""COMPUTED_VALUE"""),92256.0)</f>
        <v>92256</v>
      </c>
      <c r="B7831" s="3" t="str">
        <f>IFERROR(__xludf.DUMMYFUNCTION("""COMPUTED_VALUE"""),"512 PURDY RD  ")</f>
        <v>512 PURDY RD  </v>
      </c>
      <c r="C7831" s="3" t="str">
        <f>IFERROR(__xludf.DUMMYFUNCTION("""COMPUTED_VALUE"""),"COLBORNE")</f>
        <v>COLBORNE</v>
      </c>
      <c r="D7831" s="3" t="str">
        <f>IFERROR(__xludf.DUMMYFUNCTION("""COMPUTED_VALUE"""),"K0K 1S0")</f>
        <v>K0K 1S0</v>
      </c>
      <c r="E7831" s="3" t="str">
        <f>IFERROR(__xludf.DUMMYFUNCTION("""COMPUTED_VALUE"""),"Gary Kerr")</f>
        <v>Gary Kerr</v>
      </c>
      <c r="F7831" s="3" t="str">
        <f>IFERROR(__xludf.DUMMYFUNCTION("""COMPUTED_VALUE"""),"gkerr@fidelitygroup.ca")</f>
        <v>gkerr@fidelitygroup.ca</v>
      </c>
      <c r="G7831" s="3"/>
      <c r="H7831" s="3"/>
    </row>
    <row r="7832">
      <c r="A7832" s="2">
        <f>IFERROR(__xludf.DUMMYFUNCTION("""COMPUTED_VALUE"""),93284.0)</f>
        <v>93284</v>
      </c>
      <c r="B7832" s="3" t="str">
        <f>IFERROR(__xludf.DUMMYFUNCTION("""COMPUTED_VALUE"""),"515 SCRIVER RD  ")</f>
        <v>515 SCRIVER RD  </v>
      </c>
      <c r="C7832" s="3"/>
      <c r="D7832" s="3"/>
      <c r="E7832" s="3"/>
      <c r="F7832" s="3"/>
      <c r="G7832" s="3"/>
      <c r="H7832" s="3"/>
    </row>
    <row r="7833">
      <c r="A7833" s="2">
        <f>IFERROR(__xludf.DUMMYFUNCTION("""COMPUTED_VALUE"""),93230.0)</f>
        <v>93230</v>
      </c>
      <c r="B7833" s="3" t="str">
        <f>IFERROR(__xludf.DUMMYFUNCTION("""COMPUTED_VALUE"""),"555 SCRIVER RD")</f>
        <v>555 SCRIVER RD</v>
      </c>
      <c r="C7833" s="3"/>
      <c r="D7833" s="3"/>
      <c r="E7833" s="3"/>
      <c r="F7833" s="3"/>
      <c r="G7833" s="3"/>
      <c r="H7833" s="3"/>
    </row>
    <row r="7834">
      <c r="A7834" s="2">
        <f>IFERROR(__xludf.DUMMYFUNCTION("""COMPUTED_VALUE"""),92392.0)</f>
        <v>92392</v>
      </c>
      <c r="B7834" s="3" t="str">
        <f>IFERROR(__xludf.DUMMYFUNCTION("""COMPUTED_VALUE"""),"561 SCRIVER RD  ")</f>
        <v>561 SCRIVER RD  </v>
      </c>
      <c r="C7834" s="3" t="str">
        <f>IFERROR(__xludf.DUMMYFUNCTION("""COMPUTED_VALUE"""),"BRIGHTON")</f>
        <v>BRIGHTON</v>
      </c>
      <c r="D7834" s="3" t="str">
        <f>IFERROR(__xludf.DUMMYFUNCTION("""COMPUTED_VALUE"""),"K0K 1H0")</f>
        <v>K0K 1H0</v>
      </c>
      <c r="E7834" s="3" t="str">
        <f>IFERROR(__xludf.DUMMYFUNCTION("""COMPUTED_VALUE"""),"dan smith ")</f>
        <v>dan smith </v>
      </c>
      <c r="F7834" s="3" t="str">
        <f>IFERROR(__xludf.DUMMYFUNCTION("""COMPUTED_VALUE"""),"smith.drfire@gmaill.com")</f>
        <v>smith.drfire@gmaill.com</v>
      </c>
      <c r="G7834" s="3">
        <f>IFERROR(__xludf.DUMMYFUNCTION("""COMPUTED_VALUE"""),6.1384846E9)</f>
        <v>6138484600</v>
      </c>
      <c r="H7834" s="3">
        <f>IFERROR(__xludf.DUMMYFUNCTION("""COMPUTED_VALUE"""),6.134037303E9)</f>
        <v>6134037303</v>
      </c>
    </row>
    <row r="7835">
      <c r="A7835" s="2">
        <f>IFERROR(__xludf.DUMMYFUNCTION("""COMPUTED_VALUE"""),92393.0)</f>
        <v>92393</v>
      </c>
      <c r="B7835" s="3" t="str">
        <f>IFERROR(__xludf.DUMMYFUNCTION("""COMPUTED_VALUE"""),"607 SCRIVER RD  ")</f>
        <v>607 SCRIVER RD  </v>
      </c>
      <c r="C7835" s="3" t="str">
        <f>IFERROR(__xludf.DUMMYFUNCTION("""COMPUTED_VALUE"""),"BRIGHTON")</f>
        <v>BRIGHTON</v>
      </c>
      <c r="D7835" s="3" t="str">
        <f>IFERROR(__xludf.DUMMYFUNCTION("""COMPUTED_VALUE"""),"K0K 1H0")</f>
        <v>K0K 1H0</v>
      </c>
      <c r="E7835" s="3" t="str">
        <f>IFERROR(__xludf.DUMMYFUNCTION("""COMPUTED_VALUE"""),"vithushan ariyarash")</f>
        <v>vithushan ariyarash</v>
      </c>
      <c r="F7835" s="3" t="str">
        <f>IFERROR(__xludf.DUMMYFUNCTION("""COMPUTED_VALUE"""),"vithushan08@hotmail.com")</f>
        <v>vithushan08@hotmail.com</v>
      </c>
      <c r="G7835" s="3">
        <f>IFERROR(__xludf.DUMMYFUNCTION("""COMPUTED_VALUE"""),4.168768701E9)</f>
        <v>4168768701</v>
      </c>
      <c r="H7835" s="3"/>
    </row>
    <row r="7836">
      <c r="A7836" s="2">
        <f>IFERROR(__xludf.DUMMYFUNCTION("""COMPUTED_VALUE"""),92394.0)</f>
        <v>92394</v>
      </c>
      <c r="B7836" s="3" t="str">
        <f>IFERROR(__xludf.DUMMYFUNCTION("""COMPUTED_VALUE"""),"638 SCRIVER RD  ")</f>
        <v>638 SCRIVER RD  </v>
      </c>
      <c r="C7836" s="3" t="str">
        <f>IFERROR(__xludf.DUMMYFUNCTION("""COMPUTED_VALUE"""),"BRIGHTON")</f>
        <v>BRIGHTON</v>
      </c>
      <c r="D7836" s="3" t="str">
        <f>IFERROR(__xludf.DUMMYFUNCTION("""COMPUTED_VALUE"""),"K0K 1H0")</f>
        <v>K0K 1H0</v>
      </c>
      <c r="E7836" s="3" t="str">
        <f>IFERROR(__xludf.DUMMYFUNCTION("""COMPUTED_VALUE"""),"michelle poot ")</f>
        <v>michelle poot </v>
      </c>
      <c r="F7836" s="3" t="str">
        <f>IFERROR(__xludf.DUMMYFUNCTION("""COMPUTED_VALUE"""),"michellemastro@hotmaill.com")</f>
        <v>michellemastro@hotmaill.com</v>
      </c>
      <c r="G7836" s="3">
        <f>IFERROR(__xludf.DUMMYFUNCTION("""COMPUTED_VALUE"""),6.139677175E9)</f>
        <v>6139677175</v>
      </c>
      <c r="H7836" s="3"/>
    </row>
    <row r="7837">
      <c r="A7837" s="2">
        <f>IFERROR(__xludf.DUMMYFUNCTION("""COMPUTED_VALUE"""),92395.0)</f>
        <v>92395</v>
      </c>
      <c r="B7837" s="3" t="str">
        <f>IFERROR(__xludf.DUMMYFUNCTION("""COMPUTED_VALUE"""),"652 SCRIVER RD  ")</f>
        <v>652 SCRIVER RD  </v>
      </c>
      <c r="C7837" s="3" t="str">
        <f>IFERROR(__xludf.DUMMYFUNCTION("""COMPUTED_VALUE"""),"BRIGHTON")</f>
        <v>BRIGHTON</v>
      </c>
      <c r="D7837" s="3" t="str">
        <f>IFERROR(__xludf.DUMMYFUNCTION("""COMPUTED_VALUE"""),"K0K 1H0")</f>
        <v>K0K 1H0</v>
      </c>
      <c r="E7837" s="3" t="str">
        <f>IFERROR(__xludf.DUMMYFUNCTION("""COMPUTED_VALUE"""),"darren ayre ")</f>
        <v>darren ayre </v>
      </c>
      <c r="F7837" s="3" t="str">
        <f>IFERROR(__xludf.DUMMYFUNCTION("""COMPUTED_VALUE"""),"darren.ayre@gmail.com")</f>
        <v>darren.ayre@gmail.com</v>
      </c>
      <c r="G7837" s="3">
        <f>IFERROR(__xludf.DUMMYFUNCTION("""COMPUTED_VALUE"""),7.057613961E9)</f>
        <v>7057613961</v>
      </c>
      <c r="H7837" s="3"/>
    </row>
    <row r="7838">
      <c r="A7838" s="2">
        <f>IFERROR(__xludf.DUMMYFUNCTION("""COMPUTED_VALUE"""),92371.0)</f>
        <v>92371</v>
      </c>
      <c r="B7838" s="3" t="str">
        <f>IFERROR(__xludf.DUMMYFUNCTION("""COMPUTED_VALUE"""),"135 SCRIVER RD  ")</f>
        <v>135 SCRIVER RD  </v>
      </c>
      <c r="C7838" s="3" t="str">
        <f>IFERROR(__xludf.DUMMYFUNCTION("""COMPUTED_VALUE"""),"BRIGHTON")</f>
        <v>BRIGHTON</v>
      </c>
      <c r="D7838" s="3" t="str">
        <f>IFERROR(__xludf.DUMMYFUNCTION("""COMPUTED_VALUE"""),"K0K 1H0")</f>
        <v>K0K 1H0</v>
      </c>
      <c r="E7838" s="3" t="str">
        <f>IFERROR(__xludf.DUMMYFUNCTION("""COMPUTED_VALUE"""),"darryl marshall ")</f>
        <v>darryl marshall </v>
      </c>
      <c r="F7838" s="3" t="str">
        <f>IFERROR(__xludf.DUMMYFUNCTION("""COMPUTED_VALUE"""),"darryl4curtis@hotmail.com")</f>
        <v>darryl4curtis@hotmail.com</v>
      </c>
      <c r="G7838" s="3">
        <f>IFERROR(__xludf.DUMMYFUNCTION("""COMPUTED_VALUE"""),4.312056304E9)</f>
        <v>4312056304</v>
      </c>
      <c r="H7838" s="3">
        <f>IFERROR(__xludf.DUMMYFUNCTION("""COMPUTED_VALUE"""),4.312056445E9)</f>
        <v>4312056445</v>
      </c>
    </row>
    <row r="7839">
      <c r="A7839" s="2">
        <f>IFERROR(__xludf.DUMMYFUNCTION("""COMPUTED_VALUE"""),92372.0)</f>
        <v>92372</v>
      </c>
      <c r="B7839" s="3" t="str">
        <f>IFERROR(__xludf.DUMMYFUNCTION("""COMPUTED_VALUE"""),"156 SCRIVER RD  ")</f>
        <v>156 SCRIVER RD  </v>
      </c>
      <c r="C7839" s="3" t="str">
        <f>IFERROR(__xludf.DUMMYFUNCTION("""COMPUTED_VALUE"""),"BRIGHTON")</f>
        <v>BRIGHTON</v>
      </c>
      <c r="D7839" s="3" t="str">
        <f>IFERROR(__xludf.DUMMYFUNCTION("""COMPUTED_VALUE"""),"K0K 1H0")</f>
        <v>K0K 1H0</v>
      </c>
      <c r="E7839" s="3" t="str">
        <f>IFERROR(__xludf.DUMMYFUNCTION("""COMPUTED_VALUE"""),"barb and stew hoekstra")</f>
        <v>barb and stew hoekstra</v>
      </c>
      <c r="F7839" s="3"/>
      <c r="G7839" s="3">
        <f>IFERROR(__xludf.DUMMYFUNCTION("""COMPUTED_VALUE"""),6.138487583E9)</f>
        <v>6138487583</v>
      </c>
      <c r="H7839" s="3">
        <f>IFERROR(__xludf.DUMMYFUNCTION("""COMPUTED_VALUE"""),6.13922213E9)</f>
        <v>6139222130</v>
      </c>
    </row>
    <row r="7840">
      <c r="A7840" s="2">
        <f>IFERROR(__xludf.DUMMYFUNCTION("""COMPUTED_VALUE"""),92375.0)</f>
        <v>92375</v>
      </c>
      <c r="B7840" s="3" t="str">
        <f>IFERROR(__xludf.DUMMYFUNCTION("""COMPUTED_VALUE"""),"177 SCRIVER RD  ")</f>
        <v>177 SCRIVER RD  </v>
      </c>
      <c r="C7840" s="3" t="str">
        <f>IFERROR(__xludf.DUMMYFUNCTION("""COMPUTED_VALUE"""),"BRIGHTON")</f>
        <v>BRIGHTON</v>
      </c>
      <c r="D7840" s="3" t="str">
        <f>IFERROR(__xludf.DUMMYFUNCTION("""COMPUTED_VALUE"""),"K0K 1H0")</f>
        <v>K0K 1H0</v>
      </c>
      <c r="E7840" s="3" t="str">
        <f>IFERROR(__xludf.DUMMYFUNCTION("""COMPUTED_VALUE"""),"CRAIG MURDOCH")</f>
        <v>CRAIG MURDOCH</v>
      </c>
      <c r="F7840" s="3" t="str">
        <f>IFERROR(__xludf.DUMMYFUNCTION("""COMPUTED_VALUE"""),"craigwasmurdoch@gmail.com")</f>
        <v>craigwasmurdoch@gmail.com</v>
      </c>
      <c r="G7840" s="3"/>
      <c r="H7840" s="3"/>
    </row>
    <row r="7841">
      <c r="A7841" s="2">
        <f>IFERROR(__xludf.DUMMYFUNCTION("""COMPUTED_VALUE"""),92379.0)</f>
        <v>92379</v>
      </c>
      <c r="B7841" s="3" t="str">
        <f>IFERROR(__xludf.DUMMYFUNCTION("""COMPUTED_VALUE"""),"205 SCRIVER RD  ")</f>
        <v>205 SCRIVER RD  </v>
      </c>
      <c r="C7841" s="3" t="str">
        <f>IFERROR(__xludf.DUMMYFUNCTION("""COMPUTED_VALUE"""),"BRIGHTON")</f>
        <v>BRIGHTON</v>
      </c>
      <c r="D7841" s="3" t="str">
        <f>IFERROR(__xludf.DUMMYFUNCTION("""COMPUTED_VALUE"""),"K0K 1H0")</f>
        <v>K0K 1H0</v>
      </c>
      <c r="E7841" s="3" t="str">
        <f>IFERROR(__xludf.DUMMYFUNCTION("""COMPUTED_VALUE"""),"chris booth ")</f>
        <v>chris booth </v>
      </c>
      <c r="F7841" s="3"/>
      <c r="G7841" s="3">
        <f>IFERROR(__xludf.DUMMYFUNCTION("""COMPUTED_VALUE"""),6.138278126E9)</f>
        <v>6138278126</v>
      </c>
      <c r="H7841" s="3"/>
    </row>
    <row r="7842">
      <c r="A7842" s="2">
        <f>IFERROR(__xludf.DUMMYFUNCTION("""COMPUTED_VALUE"""),92388.0)</f>
        <v>92388</v>
      </c>
      <c r="B7842" s="3" t="str">
        <f>IFERROR(__xludf.DUMMYFUNCTION("""COMPUTED_VALUE"""),"433 SCRIVER RD  ")</f>
        <v>433 SCRIVER RD  </v>
      </c>
      <c r="C7842" s="3" t="str">
        <f>IFERROR(__xludf.DUMMYFUNCTION("""COMPUTED_VALUE"""),"BRIGHTON")</f>
        <v>BRIGHTON</v>
      </c>
      <c r="D7842" s="3" t="str">
        <f>IFERROR(__xludf.DUMMYFUNCTION("""COMPUTED_VALUE"""),"K0K 1H0")</f>
        <v>K0K 1H0</v>
      </c>
      <c r="E7842" s="3" t="str">
        <f>IFERROR(__xludf.DUMMYFUNCTION("""COMPUTED_VALUE"""),"dan merrill ")</f>
        <v>dan merrill </v>
      </c>
      <c r="F7842" s="3" t="str">
        <f>IFERROR(__xludf.DUMMYFUNCTION("""COMPUTED_VALUE"""),"danomerrill@gmail.com")</f>
        <v>danomerrill@gmail.com</v>
      </c>
      <c r="G7842" s="3">
        <f>IFERROR(__xludf.DUMMYFUNCTION("""COMPUTED_VALUE"""),6.137434881E9)</f>
        <v>6137434881</v>
      </c>
      <c r="H7842" s="3"/>
    </row>
    <row r="7843">
      <c r="A7843" s="2">
        <f>IFERROR(__xludf.DUMMYFUNCTION("""COMPUTED_VALUE"""),92380.0)</f>
        <v>92380</v>
      </c>
      <c r="B7843" s="3" t="str">
        <f>IFERROR(__xludf.DUMMYFUNCTION("""COMPUTED_VALUE"""),"217 SCRIVER RD  ")</f>
        <v>217 SCRIVER RD  </v>
      </c>
      <c r="C7843" s="3" t="str">
        <f>IFERROR(__xludf.DUMMYFUNCTION("""COMPUTED_VALUE"""),"BRIGHTON")</f>
        <v>BRIGHTON</v>
      </c>
      <c r="D7843" s="3" t="str">
        <f>IFERROR(__xludf.DUMMYFUNCTION("""COMPUTED_VALUE"""),"K0K 1H0")</f>
        <v>K0K 1H0</v>
      </c>
      <c r="E7843" s="3"/>
      <c r="F7843" s="3"/>
      <c r="G7843" s="3"/>
      <c r="H7843" s="3"/>
    </row>
    <row r="7844">
      <c r="A7844" s="2">
        <f>IFERROR(__xludf.DUMMYFUNCTION("""COMPUTED_VALUE"""),92382.0)</f>
        <v>92382</v>
      </c>
      <c r="B7844" s="3" t="str">
        <f>IFERROR(__xludf.DUMMYFUNCTION("""COMPUTED_VALUE"""),"255 SCRIVER RD  ")</f>
        <v>255 SCRIVER RD  </v>
      </c>
      <c r="C7844" s="3" t="str">
        <f>IFERROR(__xludf.DUMMYFUNCTION("""COMPUTED_VALUE"""),"BRIGHTON")</f>
        <v>BRIGHTON</v>
      </c>
      <c r="D7844" s="3" t="str">
        <f>IFERROR(__xludf.DUMMYFUNCTION("""COMPUTED_VALUE"""),"K0K 1H0")</f>
        <v>K0K 1H0</v>
      </c>
      <c r="E7844" s="3" t="str">
        <f>IFERROR(__xludf.DUMMYFUNCTION("""COMPUTED_VALUE"""),"erin h ")</f>
        <v>erin h </v>
      </c>
      <c r="F7844" s="3"/>
      <c r="G7844" s="3">
        <f>IFERROR(__xludf.DUMMYFUNCTION("""COMPUTED_VALUE"""),6.138487205E9)</f>
        <v>6138487205</v>
      </c>
      <c r="H7844" s="3"/>
    </row>
    <row r="7845">
      <c r="A7845" s="2">
        <f>IFERROR(__xludf.DUMMYFUNCTION("""COMPUTED_VALUE"""),92373.0)</f>
        <v>92373</v>
      </c>
      <c r="B7845" s="3" t="str">
        <f>IFERROR(__xludf.DUMMYFUNCTION("""COMPUTED_VALUE"""),"165 SCRIVER RD  ")</f>
        <v>165 SCRIVER RD  </v>
      </c>
      <c r="C7845" s="3" t="str">
        <f>IFERROR(__xludf.DUMMYFUNCTION("""COMPUTED_VALUE"""),"BRIGHTON")</f>
        <v>BRIGHTON</v>
      </c>
      <c r="D7845" s="3" t="str">
        <f>IFERROR(__xludf.DUMMYFUNCTION("""COMPUTED_VALUE"""),"K0K 1H0")</f>
        <v>K0K 1H0</v>
      </c>
      <c r="E7845" s="3" t="str">
        <f>IFERROR(__xludf.DUMMYFUNCTION("""COMPUTED_VALUE"""),"kevin towers ")</f>
        <v>kevin towers </v>
      </c>
      <c r="F7845" s="3" t="str">
        <f>IFERROR(__xludf.DUMMYFUNCTION("""COMPUTED_VALUE"""),"kevin@mcdonaldhomes.ca")</f>
        <v>kevin@mcdonaldhomes.ca</v>
      </c>
      <c r="G7845" s="3">
        <f>IFERROR(__xludf.DUMMYFUNCTION("""COMPUTED_VALUE"""),6.138487244E9)</f>
        <v>6138487244</v>
      </c>
      <c r="H7845" s="3">
        <f>IFERROR(__xludf.DUMMYFUNCTION("""COMPUTED_VALUE"""),6.134750729E9)</f>
        <v>6134750729</v>
      </c>
    </row>
    <row r="7846">
      <c r="A7846" s="2">
        <f>IFERROR(__xludf.DUMMYFUNCTION("""COMPUTED_VALUE"""),92381.0)</f>
        <v>92381</v>
      </c>
      <c r="B7846" s="3" t="str">
        <f>IFERROR(__xludf.DUMMYFUNCTION("""COMPUTED_VALUE"""),"250 SCRIVER RD  ")</f>
        <v>250 SCRIVER RD  </v>
      </c>
      <c r="C7846" s="3" t="str">
        <f>IFERROR(__xludf.DUMMYFUNCTION("""COMPUTED_VALUE"""),"BRIGHTON")</f>
        <v>BRIGHTON</v>
      </c>
      <c r="D7846" s="3" t="str">
        <f>IFERROR(__xludf.DUMMYFUNCTION("""COMPUTED_VALUE"""),"K0K 1H0")</f>
        <v>K0K 1H0</v>
      </c>
      <c r="E7846" s="3" t="str">
        <f>IFERROR(__xludf.DUMMYFUNCTION("""COMPUTED_VALUE"""),"James")</f>
        <v>James</v>
      </c>
      <c r="F7846" s="3"/>
      <c r="G7846" s="3">
        <f>IFERROR(__xludf.DUMMYFUNCTION("""COMPUTED_VALUE"""),6.134750302E9)</f>
        <v>6134750302</v>
      </c>
      <c r="H7846" s="3"/>
    </row>
    <row r="7847">
      <c r="A7847" s="2">
        <f>IFERROR(__xludf.DUMMYFUNCTION("""COMPUTED_VALUE"""),92384.0)</f>
        <v>92384</v>
      </c>
      <c r="B7847" s="3" t="str">
        <f>IFERROR(__xludf.DUMMYFUNCTION("""COMPUTED_VALUE"""),"312 SCRIVER RD  ")</f>
        <v>312 SCRIVER RD  </v>
      </c>
      <c r="C7847" s="3" t="str">
        <f>IFERROR(__xludf.DUMMYFUNCTION("""COMPUTED_VALUE"""),"BRIGHTON")</f>
        <v>BRIGHTON</v>
      </c>
      <c r="D7847" s="3" t="str">
        <f>IFERROR(__xludf.DUMMYFUNCTION("""COMPUTED_VALUE"""),"K0K 1H0")</f>
        <v>K0K 1H0</v>
      </c>
      <c r="E7847" s="3" t="str">
        <f>IFERROR(__xludf.DUMMYFUNCTION("""COMPUTED_VALUE"""),"linda hunter ")</f>
        <v>linda hunter </v>
      </c>
      <c r="F7847" s="3" t="str">
        <f>IFERROR(__xludf.DUMMYFUNCTION("""COMPUTED_VALUE"""),"linda.stratenergy@gmail.com")</f>
        <v>linda.stratenergy@gmail.com</v>
      </c>
      <c r="G7847" s="3">
        <f>IFERROR(__xludf.DUMMYFUNCTION("""COMPUTED_VALUE"""),9.058850503E9)</f>
        <v>9058850503</v>
      </c>
      <c r="H7847" s="3"/>
    </row>
    <row r="7848">
      <c r="A7848" s="2">
        <f>IFERROR(__xludf.DUMMYFUNCTION("""COMPUTED_VALUE"""),92385.0)</f>
        <v>92385</v>
      </c>
      <c r="B7848" s="3" t="str">
        <f>IFERROR(__xludf.DUMMYFUNCTION("""COMPUTED_VALUE"""),"332 SCRIVER RD  ")</f>
        <v>332 SCRIVER RD  </v>
      </c>
      <c r="C7848" s="3" t="str">
        <f>IFERROR(__xludf.DUMMYFUNCTION("""COMPUTED_VALUE"""),"BRIGHTON")</f>
        <v>BRIGHTON</v>
      </c>
      <c r="D7848" s="3" t="str">
        <f>IFERROR(__xludf.DUMMYFUNCTION("""COMPUTED_VALUE"""),"K0K 1H0")</f>
        <v>K0K 1H0</v>
      </c>
      <c r="E7848" s="3" t="str">
        <f>IFERROR(__xludf.DUMMYFUNCTION("""COMPUTED_VALUE"""),"mark crane ")</f>
        <v>mark crane </v>
      </c>
      <c r="F7848" s="3" t="str">
        <f>IFERROR(__xludf.DUMMYFUNCTION("""COMPUTED_VALUE"""),"markcrane1204@gmail.com")</f>
        <v>markcrane1204@gmail.com</v>
      </c>
      <c r="G7848" s="3">
        <f>IFERROR(__xludf.DUMMYFUNCTION("""COMPUTED_VALUE"""),6.138852844E9)</f>
        <v>6138852844</v>
      </c>
      <c r="H7848" s="3"/>
    </row>
    <row r="7849">
      <c r="A7849" s="2">
        <f>IFERROR(__xludf.DUMMYFUNCTION("""COMPUTED_VALUE"""),92386.0)</f>
        <v>92386</v>
      </c>
      <c r="B7849" s="3" t="str">
        <f>IFERROR(__xludf.DUMMYFUNCTION("""COMPUTED_VALUE"""),"337 SCRIVER RD  ")</f>
        <v>337 SCRIVER RD  </v>
      </c>
      <c r="C7849" s="3" t="str">
        <f>IFERROR(__xludf.DUMMYFUNCTION("""COMPUTED_VALUE"""),"BRIGHTON")</f>
        <v>BRIGHTON</v>
      </c>
      <c r="D7849" s="3" t="str">
        <f>IFERROR(__xludf.DUMMYFUNCTION("""COMPUTED_VALUE"""),"K0K 1H0")</f>
        <v>K0K 1H0</v>
      </c>
      <c r="E7849" s="3" t="str">
        <f>IFERROR(__xludf.DUMMYFUNCTION("""COMPUTED_VALUE"""),"b, willect ")</f>
        <v>b, willect </v>
      </c>
      <c r="F7849" s="3"/>
      <c r="G7849" s="3">
        <f>IFERROR(__xludf.DUMMYFUNCTION("""COMPUTED_VALUE"""),6.134752681E9)</f>
        <v>6134752681</v>
      </c>
      <c r="H7849" s="3"/>
    </row>
    <row r="7850">
      <c r="A7850" s="2">
        <f>IFERROR(__xludf.DUMMYFUNCTION("""COMPUTED_VALUE"""),92387.0)</f>
        <v>92387</v>
      </c>
      <c r="B7850" s="3" t="str">
        <f>IFERROR(__xludf.DUMMYFUNCTION("""COMPUTED_VALUE"""),"338 SCRIVER RD  ")</f>
        <v>338 SCRIVER RD  </v>
      </c>
      <c r="C7850" s="3" t="str">
        <f>IFERROR(__xludf.DUMMYFUNCTION("""COMPUTED_VALUE"""),"BRIGHTON")</f>
        <v>BRIGHTON</v>
      </c>
      <c r="D7850" s="3" t="str">
        <f>IFERROR(__xludf.DUMMYFUNCTION("""COMPUTED_VALUE"""),"K0K 1H0")</f>
        <v>K0K 1H0</v>
      </c>
      <c r="E7850" s="3" t="str">
        <f>IFERROR(__xludf.DUMMYFUNCTION("""COMPUTED_VALUE"""),"Maggie Cassella")</f>
        <v>Maggie Cassella</v>
      </c>
      <c r="F7850" s="3" t="str">
        <f>IFERROR(__xludf.DUMMYFUNCTION("""COMPUTED_VALUE"""),"maggie@maggiecassella.com")</f>
        <v>maggie@maggiecassella.com</v>
      </c>
      <c r="G7850" s="3">
        <f>IFERROR(__xludf.DUMMYFUNCTION("""COMPUTED_VALUE"""),6.476082412E9)</f>
        <v>6476082412</v>
      </c>
      <c r="H7850" s="3"/>
    </row>
    <row r="7851">
      <c r="A7851" s="2">
        <f>IFERROR(__xludf.DUMMYFUNCTION("""COMPUTED_VALUE"""),92376.0)</f>
        <v>92376</v>
      </c>
      <c r="B7851" s="3" t="str">
        <f>IFERROR(__xludf.DUMMYFUNCTION("""COMPUTED_VALUE"""),"182 SCRIVER RD  ")</f>
        <v>182 SCRIVER RD  </v>
      </c>
      <c r="C7851" s="3" t="str">
        <f>IFERROR(__xludf.DUMMYFUNCTION("""COMPUTED_VALUE"""),"BRIGHTON")</f>
        <v>BRIGHTON</v>
      </c>
      <c r="D7851" s="3" t="str">
        <f>IFERROR(__xludf.DUMMYFUNCTION("""COMPUTED_VALUE"""),"K0K 1H0")</f>
        <v>K0K 1H0</v>
      </c>
      <c r="E7851" s="3" t="str">
        <f>IFERROR(__xludf.DUMMYFUNCTION("""COMPUTED_VALUE"""),"Bhargav Patel")</f>
        <v>Bhargav Patel</v>
      </c>
      <c r="F7851" s="3" t="str">
        <f>IFERROR(__xludf.DUMMYFUNCTION("""COMPUTED_VALUE"""),"vim2779@gmail.com")</f>
        <v>vim2779@gmail.com</v>
      </c>
      <c r="G7851" s="3">
        <f>IFERROR(__xludf.DUMMYFUNCTION("""COMPUTED_VALUE"""),7.808714904E9)</f>
        <v>7808714904</v>
      </c>
      <c r="H7851" s="3"/>
    </row>
    <row r="7852">
      <c r="A7852" s="2">
        <f>IFERROR(__xludf.DUMMYFUNCTION("""COMPUTED_VALUE"""),93231.0)</f>
        <v>93231</v>
      </c>
      <c r="B7852" s="3" t="str">
        <f>IFERROR(__xludf.DUMMYFUNCTION("""COMPUTED_VALUE"""),"111 SCRIVER RD  ")</f>
        <v>111 SCRIVER RD  </v>
      </c>
      <c r="C7852" s="3" t="str">
        <f>IFERROR(__xludf.DUMMYFUNCTION("""COMPUTED_VALUE"""),"BRIGHTON")</f>
        <v>BRIGHTON</v>
      </c>
      <c r="D7852" s="3" t="str">
        <f>IFERROR(__xludf.DUMMYFUNCTION("""COMPUTED_VALUE"""),"K0K 1H0")</f>
        <v>K0K 1H0</v>
      </c>
      <c r="E7852" s="3" t="str">
        <f>IFERROR(__xludf.DUMMYFUNCTION("""COMPUTED_VALUE"""),"krista vanegmand")</f>
        <v>krista vanegmand</v>
      </c>
      <c r="F7852" s="3" t="str">
        <f>IFERROR(__xludf.DUMMYFUNCTION("""COMPUTED_VALUE"""),"ktista.vanegmand@gmail.com")</f>
        <v>ktista.vanegmand@gmail.com</v>
      </c>
      <c r="G7852" s="3">
        <f>IFERROR(__xludf.DUMMYFUNCTION("""COMPUTED_VALUE"""),6.138134193E9)</f>
        <v>6138134193</v>
      </c>
      <c r="H7852" s="3"/>
    </row>
    <row r="7853">
      <c r="A7853" s="2">
        <f>IFERROR(__xludf.DUMMYFUNCTION("""COMPUTED_VALUE"""),92377.0)</f>
        <v>92377</v>
      </c>
      <c r="B7853" s="3" t="str">
        <f>IFERROR(__xludf.DUMMYFUNCTION("""COMPUTED_VALUE"""),"196 SCRIVER RD  ")</f>
        <v>196 SCRIVER RD  </v>
      </c>
      <c r="C7853" s="3" t="str">
        <f>IFERROR(__xludf.DUMMYFUNCTION("""COMPUTED_VALUE"""),"BRIGHTON")</f>
        <v>BRIGHTON</v>
      </c>
      <c r="D7853" s="3" t="str">
        <f>IFERROR(__xludf.DUMMYFUNCTION("""COMPUTED_VALUE"""),"K0K 1H0")</f>
        <v>K0K 1H0</v>
      </c>
      <c r="E7853" s="3" t="str">
        <f>IFERROR(__xludf.DUMMYFUNCTION("""COMPUTED_VALUE"""),"Jeff Cassidy")</f>
        <v>Jeff Cassidy</v>
      </c>
      <c r="F7853" s="3" t="str">
        <f>IFERROR(__xludf.DUMMYFUNCTION("""COMPUTED_VALUE"""),"jjcassidy@live.ca")</f>
        <v>jjcassidy@live.ca</v>
      </c>
      <c r="G7853" s="3"/>
      <c r="H7853" s="3"/>
    </row>
    <row r="7854">
      <c r="A7854" s="2">
        <f>IFERROR(__xludf.DUMMYFUNCTION("""COMPUTED_VALUE"""),92378.0)</f>
        <v>92378</v>
      </c>
      <c r="B7854" s="3" t="str">
        <f>IFERROR(__xludf.DUMMYFUNCTION("""COMPUTED_VALUE"""),"202 SCRIVER RD  ")</f>
        <v>202 SCRIVER RD  </v>
      </c>
      <c r="C7854" s="3" t="str">
        <f>IFERROR(__xludf.DUMMYFUNCTION("""COMPUTED_VALUE"""),"BRIGHTON")</f>
        <v>BRIGHTON</v>
      </c>
      <c r="D7854" s="3" t="str">
        <f>IFERROR(__xludf.DUMMYFUNCTION("""COMPUTED_VALUE"""),"K0K 1H0")</f>
        <v>K0K 1H0</v>
      </c>
      <c r="E7854" s="3" t="str">
        <f>IFERROR(__xludf.DUMMYFUNCTION("""COMPUTED_VALUE"""),"Dane St. Pierre")</f>
        <v>Dane St. Pierre</v>
      </c>
      <c r="F7854" s="3" t="str">
        <f>IFERROR(__xludf.DUMMYFUNCTION("""COMPUTED_VALUE"""),"oasis3416@gmail.com")</f>
        <v>oasis3416@gmail.com</v>
      </c>
      <c r="G7854" s="3">
        <f>IFERROR(__xludf.DUMMYFUNCTION("""COMPUTED_VALUE"""),9.053733233E9)</f>
        <v>9053733233</v>
      </c>
      <c r="H7854" s="3"/>
    </row>
    <row r="7855">
      <c r="A7855" s="2">
        <f>IFERROR(__xludf.DUMMYFUNCTION("""COMPUTED_VALUE"""),92374.0)</f>
        <v>92374</v>
      </c>
      <c r="B7855" s="3" t="str">
        <f>IFERROR(__xludf.DUMMYFUNCTION("""COMPUTED_VALUE"""),"168 SCRIVER RD  ")</f>
        <v>168 SCRIVER RD  </v>
      </c>
      <c r="C7855" s="3" t="str">
        <f>IFERROR(__xludf.DUMMYFUNCTION("""COMPUTED_VALUE"""),"BRIGHTON")</f>
        <v>BRIGHTON</v>
      </c>
      <c r="D7855" s="3" t="str">
        <f>IFERROR(__xludf.DUMMYFUNCTION("""COMPUTED_VALUE"""),"K0K 1H0")</f>
        <v>K0K 1H0</v>
      </c>
      <c r="E7855" s="3" t="str">
        <f>IFERROR(__xludf.DUMMYFUNCTION("""COMPUTED_VALUE"""),"Brian Harrietha")</f>
        <v>Brian Harrietha</v>
      </c>
      <c r="F7855" s="3" t="str">
        <f>IFERROR(__xludf.DUMMYFUNCTION("""COMPUTED_VALUE"""),"bhfreebird@gmail.com")</f>
        <v>bhfreebird@gmail.com</v>
      </c>
      <c r="G7855" s="3">
        <f>IFERROR(__xludf.DUMMYFUNCTION("""COMPUTED_VALUE"""),6.138470166E9)</f>
        <v>6138470166</v>
      </c>
      <c r="H7855" s="3">
        <f>IFERROR(__xludf.DUMMYFUNCTION("""COMPUTED_VALUE"""),6.134756584E9)</f>
        <v>6134756584</v>
      </c>
    </row>
    <row r="7856">
      <c r="A7856" s="2">
        <f>IFERROR(__xludf.DUMMYFUNCTION("""COMPUTED_VALUE"""),92389.0)</f>
        <v>92389</v>
      </c>
      <c r="B7856" s="3" t="str">
        <f>IFERROR(__xludf.DUMMYFUNCTION("""COMPUTED_VALUE"""),"494 SCRIVER RD  ")</f>
        <v>494 SCRIVER RD  </v>
      </c>
      <c r="C7856" s="3" t="str">
        <f>IFERROR(__xludf.DUMMYFUNCTION("""COMPUTED_VALUE"""),"BRIGHTON")</f>
        <v>BRIGHTON</v>
      </c>
      <c r="D7856" s="3" t="str">
        <f>IFERROR(__xludf.DUMMYFUNCTION("""COMPUTED_VALUE"""),"K0K 1H0")</f>
        <v>K0K 1H0</v>
      </c>
      <c r="E7856" s="3"/>
      <c r="F7856" s="3"/>
      <c r="G7856" s="3"/>
      <c r="H7856" s="3"/>
    </row>
    <row r="7857">
      <c r="A7857" s="2">
        <f>IFERROR(__xludf.DUMMYFUNCTION("""COMPUTED_VALUE"""),92390.0)</f>
        <v>92390</v>
      </c>
      <c r="B7857" s="3" t="str">
        <f>IFERROR(__xludf.DUMMYFUNCTION("""COMPUTED_VALUE"""),"539 SCRIVER RD  ")</f>
        <v>539 SCRIVER RD  </v>
      </c>
      <c r="C7857" s="3" t="str">
        <f>IFERROR(__xludf.DUMMYFUNCTION("""COMPUTED_VALUE"""),"BRIGHTON")</f>
        <v>BRIGHTON</v>
      </c>
      <c r="D7857" s="3" t="str">
        <f>IFERROR(__xludf.DUMMYFUNCTION("""COMPUTED_VALUE"""),"K0K 1H0")</f>
        <v>K0K 1H0</v>
      </c>
      <c r="E7857" s="3"/>
      <c r="F7857" s="3"/>
      <c r="G7857" s="3"/>
      <c r="H7857" s="3"/>
    </row>
    <row r="7858">
      <c r="A7858" s="2">
        <f>IFERROR(__xludf.DUMMYFUNCTION("""COMPUTED_VALUE"""),92391.0)</f>
        <v>92391</v>
      </c>
      <c r="B7858" s="3" t="str">
        <f>IFERROR(__xludf.DUMMYFUNCTION("""COMPUTED_VALUE"""),"544 SCRIVER RD  ")</f>
        <v>544 SCRIVER RD  </v>
      </c>
      <c r="C7858" s="3" t="str">
        <f>IFERROR(__xludf.DUMMYFUNCTION("""COMPUTED_VALUE"""),"BRIGHTON")</f>
        <v>BRIGHTON</v>
      </c>
      <c r="D7858" s="3" t="str">
        <f>IFERROR(__xludf.DUMMYFUNCTION("""COMPUTED_VALUE"""),"K0K 1H0")</f>
        <v>K0K 1H0</v>
      </c>
      <c r="E7858" s="3" t="str">
        <f>IFERROR(__xludf.DUMMYFUNCTION("""COMPUTED_VALUE"""),"THEO GEORGATOS")</f>
        <v>THEO GEORGATOS</v>
      </c>
      <c r="F7858" s="3" t="str">
        <f>IFERROR(__xludf.DUMMYFUNCTION("""COMPUTED_VALUE"""),"theogeorgatos@gmail.com")</f>
        <v>theogeorgatos@gmail.com</v>
      </c>
      <c r="G7858" s="3"/>
      <c r="H7858" s="3"/>
    </row>
    <row r="7859">
      <c r="A7859" s="2">
        <f>IFERROR(__xludf.DUMMYFUNCTION("""COMPUTED_VALUE"""),92396.0)</f>
        <v>92396</v>
      </c>
      <c r="B7859" s="3" t="str">
        <f>IFERROR(__xludf.DUMMYFUNCTION("""COMPUTED_VALUE"""),"766 SCRIVER RD  ")</f>
        <v>766 SCRIVER RD  </v>
      </c>
      <c r="C7859" s="3" t="str">
        <f>IFERROR(__xludf.DUMMYFUNCTION("""COMPUTED_VALUE"""),"BRIGHTON")</f>
        <v>BRIGHTON</v>
      </c>
      <c r="D7859" s="3" t="str">
        <f>IFERROR(__xludf.DUMMYFUNCTION("""COMPUTED_VALUE"""),"K0K 1H0")</f>
        <v>K0K 1H0</v>
      </c>
      <c r="E7859" s="3" t="str">
        <f>IFERROR(__xludf.DUMMYFUNCTION("""COMPUTED_VALUE"""),"Melissa Baker")</f>
        <v>Melissa Baker</v>
      </c>
      <c r="F7859" s="3" t="str">
        <f>IFERROR(__xludf.DUMMYFUNCTION("""COMPUTED_VALUE"""),"mbake17@hotmail.com")</f>
        <v>mbake17@hotmail.com</v>
      </c>
      <c r="G7859" s="3"/>
      <c r="H7859" s="3"/>
    </row>
    <row r="7860">
      <c r="A7860" s="2">
        <f>IFERROR(__xludf.DUMMYFUNCTION("""COMPUTED_VALUE"""),93151.0)</f>
        <v>93151</v>
      </c>
      <c r="B7860" s="3" t="str">
        <f>IFERROR(__xludf.DUMMYFUNCTION("""COMPUTED_VALUE"""),"40 SHARP RD")</f>
        <v>40 SHARP RD</v>
      </c>
      <c r="C7860" s="3"/>
      <c r="D7860" s="3"/>
      <c r="E7860" s="3"/>
      <c r="F7860" s="3"/>
      <c r="G7860" s="3"/>
      <c r="H7860" s="3"/>
    </row>
    <row r="7861">
      <c r="A7861" s="2">
        <f>IFERROR(__xludf.DUMMYFUNCTION("""COMPUTED_VALUE"""),93152.0)</f>
        <v>93152</v>
      </c>
      <c r="B7861" s="3" t="str">
        <f>IFERROR(__xludf.DUMMYFUNCTION("""COMPUTED_VALUE"""),"50 SHARP RD")</f>
        <v>50 SHARP RD</v>
      </c>
      <c r="C7861" s="3"/>
      <c r="D7861" s="3"/>
      <c r="E7861" s="3"/>
      <c r="F7861" s="3"/>
      <c r="G7861" s="3"/>
      <c r="H7861" s="3"/>
    </row>
    <row r="7862">
      <c r="A7862" s="2">
        <f>IFERROR(__xludf.DUMMYFUNCTION("""COMPUTED_VALUE"""),92397.0)</f>
        <v>92397</v>
      </c>
      <c r="B7862" s="3" t="str">
        <f>IFERROR(__xludf.DUMMYFUNCTION("""COMPUTED_VALUE"""),"14 SHELTER LANE  ")</f>
        <v>14 SHELTER LANE  </v>
      </c>
      <c r="C7862" s="3" t="str">
        <f>IFERROR(__xludf.DUMMYFUNCTION("""COMPUTED_VALUE"""),"BRIGHTON")</f>
        <v>BRIGHTON</v>
      </c>
      <c r="D7862" s="3" t="str">
        <f>IFERROR(__xludf.DUMMYFUNCTION("""COMPUTED_VALUE"""),"K0K 1H0")</f>
        <v>K0K 1H0</v>
      </c>
      <c r="E7862" s="3" t="str">
        <f>IFERROR(__xludf.DUMMYFUNCTION("""COMPUTED_VALUE"""),"Benjamin Wielenga")</f>
        <v>Benjamin Wielenga</v>
      </c>
      <c r="F7862" s="3" t="str">
        <f>IFERROR(__xludf.DUMMYFUNCTION("""COMPUTED_VALUE"""),"benwielenga@outlook.com")</f>
        <v>benwielenga@outlook.com</v>
      </c>
      <c r="G7862" s="3">
        <f>IFERROR(__xludf.DUMMYFUNCTION("""COMPUTED_VALUE"""),3.435519928E9)</f>
        <v>3435519928</v>
      </c>
      <c r="H7862" s="3"/>
    </row>
    <row r="7863">
      <c r="A7863" s="2">
        <f>IFERROR(__xludf.DUMMYFUNCTION("""COMPUTED_VALUE"""),92398.0)</f>
        <v>92398</v>
      </c>
      <c r="B7863" s="3" t="str">
        <f>IFERROR(__xludf.DUMMYFUNCTION("""COMPUTED_VALUE"""),"29 SHELTER LANE  ")</f>
        <v>29 SHELTER LANE  </v>
      </c>
      <c r="C7863" s="3" t="str">
        <f>IFERROR(__xludf.DUMMYFUNCTION("""COMPUTED_VALUE"""),"BRIGHTON")</f>
        <v>BRIGHTON</v>
      </c>
      <c r="D7863" s="3" t="str">
        <f>IFERROR(__xludf.DUMMYFUNCTION("""COMPUTED_VALUE"""),"K0K 1H0")</f>
        <v>K0K 1H0</v>
      </c>
      <c r="E7863" s="3"/>
      <c r="F7863" s="3"/>
      <c r="G7863" s="3"/>
      <c r="H7863" s="3"/>
    </row>
    <row r="7864">
      <c r="A7864" s="2">
        <f>IFERROR(__xludf.DUMMYFUNCTION("""COMPUTED_VALUE"""),92418.0)</f>
        <v>92418</v>
      </c>
      <c r="B7864" s="3" t="str">
        <f>IFERROR(__xludf.DUMMYFUNCTION("""COMPUTED_VALUE"""),"227 SIMPSON RD UNIT 1")</f>
        <v>227 SIMPSON RD UNIT 1</v>
      </c>
      <c r="C7864" s="3"/>
      <c r="D7864" s="3"/>
      <c r="E7864" s="3"/>
      <c r="F7864" s="3"/>
      <c r="G7864" s="3"/>
      <c r="H7864" s="3"/>
    </row>
    <row r="7865">
      <c r="A7865" s="2">
        <f>IFERROR(__xludf.DUMMYFUNCTION("""COMPUTED_VALUE"""),92419.0)</f>
        <v>92419</v>
      </c>
      <c r="B7865" s="3" t="str">
        <f>IFERROR(__xludf.DUMMYFUNCTION("""COMPUTED_VALUE"""),"227 SIMPSON RD UNIT 2")</f>
        <v>227 SIMPSON RD UNIT 2</v>
      </c>
      <c r="C7865" s="3"/>
      <c r="D7865" s="3"/>
      <c r="E7865" s="3"/>
      <c r="F7865" s="3"/>
      <c r="G7865" s="3"/>
      <c r="H7865" s="3"/>
    </row>
    <row r="7866">
      <c r="A7866" s="2">
        <f>IFERROR(__xludf.DUMMYFUNCTION("""COMPUTED_VALUE"""),92420.0)</f>
        <v>92420</v>
      </c>
      <c r="B7866" s="3" t="str">
        <f>IFERROR(__xludf.DUMMYFUNCTION("""COMPUTED_VALUE"""),"227 SIMPSON RD UNIT 3")</f>
        <v>227 SIMPSON RD UNIT 3</v>
      </c>
      <c r="C7866" s="3"/>
      <c r="D7866" s="3"/>
      <c r="E7866" s="3"/>
      <c r="F7866" s="3"/>
      <c r="G7866" s="3"/>
      <c r="H7866" s="3"/>
    </row>
    <row r="7867">
      <c r="A7867" s="2">
        <f>IFERROR(__xludf.DUMMYFUNCTION("""COMPUTED_VALUE"""),92421.0)</f>
        <v>92421</v>
      </c>
      <c r="B7867" s="3" t="str">
        <f>IFERROR(__xludf.DUMMYFUNCTION("""COMPUTED_VALUE"""),"227 SIMPSON RD SUITE 4")</f>
        <v>227 SIMPSON RD SUITE 4</v>
      </c>
      <c r="C7867" s="3"/>
      <c r="D7867" s="3"/>
      <c r="E7867" s="3"/>
      <c r="F7867" s="3"/>
      <c r="G7867" s="3"/>
      <c r="H7867" s="3"/>
    </row>
    <row r="7868">
      <c r="A7868" s="2">
        <f>IFERROR(__xludf.DUMMYFUNCTION("""COMPUTED_VALUE"""),92422.0)</f>
        <v>92422</v>
      </c>
      <c r="B7868" s="3" t="str">
        <f>IFERROR(__xludf.DUMMYFUNCTION("""COMPUTED_VALUE"""),"227 SIMPSON RD SUITE 5")</f>
        <v>227 SIMPSON RD SUITE 5</v>
      </c>
      <c r="C7868" s="3"/>
      <c r="D7868" s="3"/>
      <c r="E7868" s="3"/>
      <c r="F7868" s="3"/>
      <c r="G7868" s="3"/>
      <c r="H7868" s="3"/>
    </row>
    <row r="7869">
      <c r="A7869" s="2">
        <f>IFERROR(__xludf.DUMMYFUNCTION("""COMPUTED_VALUE"""),92423.0)</f>
        <v>92423</v>
      </c>
      <c r="B7869" s="3" t="str">
        <f>IFERROR(__xludf.DUMMYFUNCTION("""COMPUTED_VALUE"""),"227 SIMPSON RD SUITE 6")</f>
        <v>227 SIMPSON RD SUITE 6</v>
      </c>
      <c r="C7869" s="3"/>
      <c r="D7869" s="3"/>
      <c r="E7869" s="3"/>
      <c r="F7869" s="3"/>
      <c r="G7869" s="3"/>
      <c r="H7869" s="3"/>
    </row>
    <row r="7870">
      <c r="A7870" s="2">
        <f>IFERROR(__xludf.DUMMYFUNCTION("""COMPUTED_VALUE"""),92424.0)</f>
        <v>92424</v>
      </c>
      <c r="B7870" s="3" t="str">
        <f>IFERROR(__xludf.DUMMYFUNCTION("""COMPUTED_VALUE"""),"227 SIMPSON RD UNIT 7")</f>
        <v>227 SIMPSON RD UNIT 7</v>
      </c>
      <c r="C7870" s="3"/>
      <c r="D7870" s="3"/>
      <c r="E7870" s="3"/>
      <c r="F7870" s="3"/>
      <c r="G7870" s="3"/>
      <c r="H7870" s="3"/>
    </row>
    <row r="7871">
      <c r="A7871" s="2">
        <f>IFERROR(__xludf.DUMMYFUNCTION("""COMPUTED_VALUE"""),92436.0)</f>
        <v>92436</v>
      </c>
      <c r="B7871" s="3" t="str">
        <f>IFERROR(__xludf.DUMMYFUNCTION("""COMPUTED_VALUE"""),"4 SIMPSON ST  ")</f>
        <v>4 SIMPSON ST  </v>
      </c>
      <c r="C7871" s="3" t="str">
        <f>IFERROR(__xludf.DUMMYFUNCTION("""COMPUTED_VALUE"""),"BRIGHTON")</f>
        <v>BRIGHTON</v>
      </c>
      <c r="D7871" s="3" t="str">
        <f>IFERROR(__xludf.DUMMYFUNCTION("""COMPUTED_VALUE"""),"K0K 1H0")</f>
        <v>K0K 1H0</v>
      </c>
      <c r="E7871" s="3" t="str">
        <f>IFERROR(__xludf.DUMMYFUNCTION("""COMPUTED_VALUE"""),"shawn fitzpatrick")</f>
        <v>shawn fitzpatrick</v>
      </c>
      <c r="F7871" s="3" t="str">
        <f>IFERROR(__xludf.DUMMYFUNCTION("""COMPUTED_VALUE"""),"shawnfitzpatrick65@hotmail.com")</f>
        <v>shawnfitzpatrick65@hotmail.com</v>
      </c>
      <c r="G7871" s="3">
        <f>IFERROR(__xludf.DUMMYFUNCTION("""COMPUTED_VALUE"""),2.893140238E9)</f>
        <v>2893140238</v>
      </c>
      <c r="H7871" s="3"/>
    </row>
    <row r="7872">
      <c r="A7872" s="2">
        <f>IFERROR(__xludf.DUMMYFUNCTION("""COMPUTED_VALUE"""),92437.0)</f>
        <v>92437</v>
      </c>
      <c r="B7872" s="3" t="str">
        <f>IFERROR(__xludf.DUMMYFUNCTION("""COMPUTED_VALUE"""),"55 SIMPSON ST  ")</f>
        <v>55 SIMPSON ST  </v>
      </c>
      <c r="C7872" s="3" t="str">
        <f>IFERROR(__xludf.DUMMYFUNCTION("""COMPUTED_VALUE"""),"BRIGHTON")</f>
        <v>BRIGHTON</v>
      </c>
      <c r="D7872" s="3" t="str">
        <f>IFERROR(__xludf.DUMMYFUNCTION("""COMPUTED_VALUE"""),"K0K 1H0")</f>
        <v>K0K 1H0</v>
      </c>
      <c r="E7872" s="3"/>
      <c r="F7872" s="3"/>
      <c r="G7872" s="3"/>
      <c r="H7872" s="3"/>
    </row>
    <row r="7873">
      <c r="A7873" s="2">
        <f>IFERROR(__xludf.DUMMYFUNCTION("""COMPUTED_VALUE"""),92438.0)</f>
        <v>92438</v>
      </c>
      <c r="B7873" s="3" t="str">
        <f>IFERROR(__xludf.DUMMYFUNCTION("""COMPUTED_VALUE"""),"61 SIMPSON ST  ")</f>
        <v>61 SIMPSON ST  </v>
      </c>
      <c r="C7873" s="3" t="str">
        <f>IFERROR(__xludf.DUMMYFUNCTION("""COMPUTED_VALUE"""),"BRIGHTON")</f>
        <v>BRIGHTON</v>
      </c>
      <c r="D7873" s="3" t="str">
        <f>IFERROR(__xludf.DUMMYFUNCTION("""COMPUTED_VALUE"""),"K0K 1H0")</f>
        <v>K0K 1H0</v>
      </c>
      <c r="E7873" s="3" t="str">
        <f>IFERROR(__xludf.DUMMYFUNCTION("""COMPUTED_VALUE"""),"darryl cailes")</f>
        <v>darryl cailes</v>
      </c>
      <c r="F7873" s="3" t="str">
        <f>IFERROR(__xludf.DUMMYFUNCTION("""COMPUTED_VALUE"""),"schagbarc@yahoo.ca")</f>
        <v>schagbarc@yahoo.ca</v>
      </c>
      <c r="G7873" s="3">
        <f>IFERROR(__xludf.DUMMYFUNCTION("""COMPUTED_VALUE"""),2.892651411E9)</f>
        <v>2892651411</v>
      </c>
      <c r="H7873" s="3"/>
    </row>
    <row r="7874">
      <c r="A7874" s="2">
        <f>IFERROR(__xludf.DUMMYFUNCTION("""COMPUTED_VALUE"""),92439.0)</f>
        <v>92439</v>
      </c>
      <c r="B7874" s="3" t="str">
        <f>IFERROR(__xludf.DUMMYFUNCTION("""COMPUTED_VALUE"""),"68 SIMPSON ST  ")</f>
        <v>68 SIMPSON ST  </v>
      </c>
      <c r="C7874" s="3" t="str">
        <f>IFERROR(__xludf.DUMMYFUNCTION("""COMPUTED_VALUE"""),"BRIGHTON")</f>
        <v>BRIGHTON</v>
      </c>
      <c r="D7874" s="3" t="str">
        <f>IFERROR(__xludf.DUMMYFUNCTION("""COMPUTED_VALUE"""),"K0K 1H0")</f>
        <v>K0K 1H0</v>
      </c>
      <c r="E7874" s="3"/>
      <c r="F7874" s="3"/>
      <c r="G7874" s="3"/>
      <c r="H7874" s="3"/>
    </row>
    <row r="7875">
      <c r="A7875" s="2">
        <f>IFERROR(__xludf.DUMMYFUNCTION("""COMPUTED_VALUE"""),92440.0)</f>
        <v>92440</v>
      </c>
      <c r="B7875" s="3" t="str">
        <f>IFERROR(__xludf.DUMMYFUNCTION("""COMPUTED_VALUE"""),"70 SIMPSON ST  ")</f>
        <v>70 SIMPSON ST  </v>
      </c>
      <c r="C7875" s="3" t="str">
        <f>IFERROR(__xludf.DUMMYFUNCTION("""COMPUTED_VALUE"""),"BRIGHTON")</f>
        <v>BRIGHTON</v>
      </c>
      <c r="D7875" s="3" t="str">
        <f>IFERROR(__xludf.DUMMYFUNCTION("""COMPUTED_VALUE"""),"K0K 1H0")</f>
        <v>K0K 1H0</v>
      </c>
      <c r="E7875" s="3"/>
      <c r="F7875" s="3"/>
      <c r="G7875" s="3"/>
      <c r="H7875" s="3"/>
    </row>
    <row r="7876">
      <c r="A7876" s="2">
        <f>IFERROR(__xludf.DUMMYFUNCTION("""COMPUTED_VALUE"""),92442.0)</f>
        <v>92442</v>
      </c>
      <c r="B7876" s="3" t="str">
        <f>IFERROR(__xludf.DUMMYFUNCTION("""COMPUTED_VALUE"""),"80 SIMPSON ST  ")</f>
        <v>80 SIMPSON ST  </v>
      </c>
      <c r="C7876" s="3" t="str">
        <f>IFERROR(__xludf.DUMMYFUNCTION("""COMPUTED_VALUE"""),"BRIGHTON")</f>
        <v>BRIGHTON</v>
      </c>
      <c r="D7876" s="3" t="str">
        <f>IFERROR(__xludf.DUMMYFUNCTION("""COMPUTED_VALUE"""),"K0K 1H0")</f>
        <v>K0K 1H0</v>
      </c>
      <c r="E7876" s="3" t="str">
        <f>IFERROR(__xludf.DUMMYFUNCTION("""COMPUTED_VALUE"""),"ian simpson")</f>
        <v>ian simpson</v>
      </c>
      <c r="F7876" s="3" t="str">
        <f>IFERROR(__xludf.DUMMYFUNCTION("""COMPUTED_VALUE"""),"iansimpson1@hotmail,com")</f>
        <v>iansimpson1@hotmail,com</v>
      </c>
      <c r="G7876" s="3">
        <f>IFERROR(__xludf.DUMMYFUNCTION("""COMPUTED_VALUE"""),6.477464971E9)</f>
        <v>6477464971</v>
      </c>
      <c r="H7876" s="3"/>
    </row>
    <row r="7877">
      <c r="A7877" s="2">
        <f>IFERROR(__xludf.DUMMYFUNCTION("""COMPUTED_VALUE"""),92443.0)</f>
        <v>92443</v>
      </c>
      <c r="B7877" s="3" t="str">
        <f>IFERROR(__xludf.DUMMYFUNCTION("""COMPUTED_VALUE"""),"82 SIMPSON ST  ")</f>
        <v>82 SIMPSON ST  </v>
      </c>
      <c r="C7877" s="3" t="str">
        <f>IFERROR(__xludf.DUMMYFUNCTION("""COMPUTED_VALUE"""),"BRIGHTON")</f>
        <v>BRIGHTON</v>
      </c>
      <c r="D7877" s="3" t="str">
        <f>IFERROR(__xludf.DUMMYFUNCTION("""COMPUTED_VALUE"""),"K0K 1H0")</f>
        <v>K0K 1H0</v>
      </c>
      <c r="E7877" s="3" t="str">
        <f>IFERROR(__xludf.DUMMYFUNCTION("""COMPUTED_VALUE"""),"Paul Armstrong")</f>
        <v>Paul Armstrong</v>
      </c>
      <c r="F7877" s="3" t="str">
        <f>IFERROR(__xludf.DUMMYFUNCTION("""COMPUTED_VALUE"""),"larmstrong@execulink.com")</f>
        <v>larmstrong@execulink.com</v>
      </c>
      <c r="G7877" s="3"/>
      <c r="H7877" s="3"/>
    </row>
    <row r="7878">
      <c r="A7878" s="2">
        <f>IFERROR(__xludf.DUMMYFUNCTION("""COMPUTED_VALUE"""),92444.0)</f>
        <v>92444</v>
      </c>
      <c r="B7878" s="3" t="str">
        <f>IFERROR(__xludf.DUMMYFUNCTION("""COMPUTED_VALUE"""),"83 SIMPSON ST  ")</f>
        <v>83 SIMPSON ST  </v>
      </c>
      <c r="C7878" s="3" t="str">
        <f>IFERROR(__xludf.DUMMYFUNCTION("""COMPUTED_VALUE"""),"BRIGHTON")</f>
        <v>BRIGHTON</v>
      </c>
      <c r="D7878" s="3" t="str">
        <f>IFERROR(__xludf.DUMMYFUNCTION("""COMPUTED_VALUE"""),"K0K 1H0")</f>
        <v>K0K 1H0</v>
      </c>
      <c r="E7878" s="3" t="str">
        <f>IFERROR(__xludf.DUMMYFUNCTION("""COMPUTED_VALUE"""),"jamie andrews")</f>
        <v>jamie andrews</v>
      </c>
      <c r="F7878" s="3" t="str">
        <f>IFERROR(__xludf.DUMMYFUNCTION("""COMPUTED_VALUE"""),"jamieandrews16@hotmail.com")</f>
        <v>jamieandrews16@hotmail.com</v>
      </c>
      <c r="G7878" s="3">
        <f>IFERROR(__xludf.DUMMYFUNCTION("""COMPUTED_VALUE"""),6.134752534E9)</f>
        <v>6134752534</v>
      </c>
      <c r="H7878" s="3"/>
    </row>
    <row r="7879">
      <c r="A7879" s="2">
        <f>IFERROR(__xludf.DUMMYFUNCTION("""COMPUTED_VALUE"""),92445.0)</f>
        <v>92445</v>
      </c>
      <c r="B7879" s="3" t="str">
        <f>IFERROR(__xludf.DUMMYFUNCTION("""COMPUTED_VALUE"""),"85 SIMPSON ST  ")</f>
        <v>85 SIMPSON ST  </v>
      </c>
      <c r="C7879" s="3" t="str">
        <f>IFERROR(__xludf.DUMMYFUNCTION("""COMPUTED_VALUE"""),"BRIGHTON")</f>
        <v>BRIGHTON</v>
      </c>
      <c r="D7879" s="3" t="str">
        <f>IFERROR(__xludf.DUMMYFUNCTION("""COMPUTED_VALUE"""),"K0K 1H0")</f>
        <v>K0K 1H0</v>
      </c>
      <c r="E7879" s="3"/>
      <c r="F7879" s="3"/>
      <c r="G7879" s="3"/>
      <c r="H7879" s="3"/>
    </row>
    <row r="7880">
      <c r="A7880" s="2">
        <f>IFERROR(__xludf.DUMMYFUNCTION("""COMPUTED_VALUE"""),92446.0)</f>
        <v>92446</v>
      </c>
      <c r="B7880" s="3" t="str">
        <f>IFERROR(__xludf.DUMMYFUNCTION("""COMPUTED_VALUE"""),"86 SIMPSON ST  ")</f>
        <v>86 SIMPSON ST  </v>
      </c>
      <c r="C7880" s="3" t="str">
        <f>IFERROR(__xludf.DUMMYFUNCTION("""COMPUTED_VALUE"""),"BRIGHTON")</f>
        <v>BRIGHTON</v>
      </c>
      <c r="D7880" s="3" t="str">
        <f>IFERROR(__xludf.DUMMYFUNCTION("""COMPUTED_VALUE"""),"K0K 1H0")</f>
        <v>K0K 1H0</v>
      </c>
      <c r="E7880" s="3"/>
      <c r="F7880" s="3"/>
      <c r="G7880" s="3"/>
      <c r="H7880" s="3"/>
    </row>
    <row r="7881">
      <c r="A7881" s="2">
        <f>IFERROR(__xludf.DUMMYFUNCTION("""COMPUTED_VALUE"""),92447.0)</f>
        <v>92447</v>
      </c>
      <c r="B7881" s="3" t="str">
        <f>IFERROR(__xludf.DUMMYFUNCTION("""COMPUTED_VALUE"""),"89 SIMPSON ST  ")</f>
        <v>89 SIMPSON ST  </v>
      </c>
      <c r="C7881" s="3" t="str">
        <f>IFERROR(__xludf.DUMMYFUNCTION("""COMPUTED_VALUE"""),"BRIGHTON")</f>
        <v>BRIGHTON</v>
      </c>
      <c r="D7881" s="3" t="str">
        <f>IFERROR(__xludf.DUMMYFUNCTION("""COMPUTED_VALUE"""),"K0K 1H0")</f>
        <v>K0K 1H0</v>
      </c>
      <c r="E7881" s="3" t="str">
        <f>IFERROR(__xludf.DUMMYFUNCTION("""COMPUTED_VALUE"""),"debbie lennox ")</f>
        <v>debbie lennox </v>
      </c>
      <c r="F7881" s="3" t="str">
        <f>IFERROR(__xludf.DUMMYFUNCTION("""COMPUTED_VALUE"""),"lennoxdebbie@hotmail.com")</f>
        <v>lennoxdebbie@hotmail.com</v>
      </c>
      <c r="G7881" s="3">
        <f>IFERROR(__xludf.DUMMYFUNCTION("""COMPUTED_VALUE"""),9.054476894E9)</f>
        <v>9054476894</v>
      </c>
      <c r="H7881" s="3">
        <f>IFERROR(__xludf.DUMMYFUNCTION("""COMPUTED_VALUE"""),4.165573887E9)</f>
        <v>4165573887</v>
      </c>
    </row>
    <row r="7882">
      <c r="A7882" s="2">
        <f>IFERROR(__xludf.DUMMYFUNCTION("""COMPUTED_VALUE"""),93292.0)</f>
        <v>93292</v>
      </c>
      <c r="B7882" s="3" t="str">
        <f>IFERROR(__xludf.DUMMYFUNCTION("""COMPUTED_VALUE"""),"89 SIMPSON ST Unit 2")</f>
        <v>89 SIMPSON ST Unit 2</v>
      </c>
      <c r="C7882" s="3" t="str">
        <f>IFERROR(__xludf.DUMMYFUNCTION("""COMPUTED_VALUE"""),"BRIGHTON")</f>
        <v>BRIGHTON</v>
      </c>
      <c r="D7882" s="3" t="str">
        <f>IFERROR(__xludf.DUMMYFUNCTION("""COMPUTED_VALUE"""),"K0K 1H0")</f>
        <v>K0K 1H0</v>
      </c>
      <c r="E7882" s="3" t="str">
        <f>IFERROR(__xludf.DUMMYFUNCTION("""COMPUTED_VALUE"""),"Jennifer Lennox ")</f>
        <v>Jennifer Lennox </v>
      </c>
      <c r="F7882" s="3" t="str">
        <f>IFERROR(__xludf.DUMMYFUNCTION("""COMPUTED_VALUE"""),"lennoxjcl0@gmail.com")</f>
        <v>lennoxjcl0@gmail.com</v>
      </c>
      <c r="G7882" s="3"/>
      <c r="H7882" s="3"/>
    </row>
    <row r="7883">
      <c r="A7883" s="2">
        <f>IFERROR(__xludf.DUMMYFUNCTION("""COMPUTED_VALUE"""),92453.0)</f>
        <v>92453</v>
      </c>
      <c r="B7883" s="3" t="str">
        <f>IFERROR(__xludf.DUMMYFUNCTION("""COMPUTED_VALUE"""),"140 SIMPSON ST  ")</f>
        <v>140 SIMPSON ST  </v>
      </c>
      <c r="C7883" s="3" t="str">
        <f>IFERROR(__xludf.DUMMYFUNCTION("""COMPUTED_VALUE"""),"BRIGHTON")</f>
        <v>BRIGHTON</v>
      </c>
      <c r="D7883" s="3" t="str">
        <f>IFERROR(__xludf.DUMMYFUNCTION("""COMPUTED_VALUE"""),"K0K 1H0")</f>
        <v>K0K 1H0</v>
      </c>
      <c r="E7883" s="3"/>
      <c r="F7883" s="3"/>
      <c r="G7883" s="3"/>
      <c r="H7883" s="3"/>
    </row>
    <row r="7884">
      <c r="A7884" s="2">
        <f>IFERROR(__xludf.DUMMYFUNCTION("""COMPUTED_VALUE"""),92454.0)</f>
        <v>92454</v>
      </c>
      <c r="B7884" s="3" t="str">
        <f>IFERROR(__xludf.DUMMYFUNCTION("""COMPUTED_VALUE"""),"141 SIMPSON ST  ")</f>
        <v>141 SIMPSON ST  </v>
      </c>
      <c r="C7884" s="3" t="str">
        <f>IFERROR(__xludf.DUMMYFUNCTION("""COMPUTED_VALUE"""),"BRIGHTON")</f>
        <v>BRIGHTON</v>
      </c>
      <c r="D7884" s="3" t="str">
        <f>IFERROR(__xludf.DUMMYFUNCTION("""COMPUTED_VALUE"""),"K0K 1H0")</f>
        <v>K0K 1H0</v>
      </c>
      <c r="E7884" s="3"/>
      <c r="F7884" s="3"/>
      <c r="G7884" s="3"/>
      <c r="H7884" s="3"/>
    </row>
    <row r="7885">
      <c r="A7885" s="2">
        <f>IFERROR(__xludf.DUMMYFUNCTION("""COMPUTED_VALUE"""),92441.0)</f>
        <v>92441</v>
      </c>
      <c r="B7885" s="3" t="str">
        <f>IFERROR(__xludf.DUMMYFUNCTION("""COMPUTED_VALUE"""),"75 SIMPSON ST  ")</f>
        <v>75 SIMPSON ST  </v>
      </c>
      <c r="C7885" s="3" t="str">
        <f>IFERROR(__xludf.DUMMYFUNCTION("""COMPUTED_VALUE"""),"BRIGHTON")</f>
        <v>BRIGHTON</v>
      </c>
      <c r="D7885" s="3" t="str">
        <f>IFERROR(__xludf.DUMMYFUNCTION("""COMPUTED_VALUE"""),"K0K 1H0")</f>
        <v>K0K 1H0</v>
      </c>
      <c r="E7885" s="3" t="str">
        <f>IFERROR(__xludf.DUMMYFUNCTION("""COMPUTED_VALUE"""),"Suan E. McGuire ")</f>
        <v>Suan E. McGuire </v>
      </c>
      <c r="F7885" s="3" t="str">
        <f>IFERROR(__xludf.DUMMYFUNCTION("""COMPUTED_VALUE"""),"susan6805@protonmail.com")</f>
        <v>susan6805@protonmail.com</v>
      </c>
      <c r="G7885" s="3"/>
      <c r="H7885" s="3"/>
    </row>
    <row r="7886">
      <c r="A7886" s="2">
        <f>IFERROR(__xludf.DUMMYFUNCTION("""COMPUTED_VALUE"""),92448.0)</f>
        <v>92448</v>
      </c>
      <c r="B7886" s="3" t="str">
        <f>IFERROR(__xludf.DUMMYFUNCTION("""COMPUTED_VALUE"""),"93 SIMPSON ST  ")</f>
        <v>93 SIMPSON ST  </v>
      </c>
      <c r="C7886" s="3" t="str">
        <f>IFERROR(__xludf.DUMMYFUNCTION("""COMPUTED_VALUE"""),"BRIGHTON")</f>
        <v>BRIGHTON</v>
      </c>
      <c r="D7886" s="3" t="str">
        <f>IFERROR(__xludf.DUMMYFUNCTION("""COMPUTED_VALUE"""),"K0K 1H0")</f>
        <v>K0K 1H0</v>
      </c>
      <c r="E7886" s="3" t="str">
        <f>IFERROR(__xludf.DUMMYFUNCTION("""COMPUTED_VALUE"""),"tombs/psrdlow")</f>
        <v>tombs/psrdlow</v>
      </c>
      <c r="F7886" s="3" t="str">
        <f>IFERROR(__xludf.DUMMYFUNCTION("""COMPUTED_VALUE"""),"nparslow@rogers.com")</f>
        <v>nparslow@rogers.com</v>
      </c>
      <c r="G7886" s="3">
        <f>IFERROR(__xludf.DUMMYFUNCTION("""COMPUTED_VALUE"""),4.162742766E9)</f>
        <v>4162742766</v>
      </c>
      <c r="H7886" s="3">
        <f>IFERROR(__xludf.DUMMYFUNCTION("""COMPUTED_VALUE"""),4.167236924E9)</f>
        <v>4167236924</v>
      </c>
    </row>
    <row r="7887">
      <c r="A7887" s="2">
        <f>IFERROR(__xludf.DUMMYFUNCTION("""COMPUTED_VALUE"""),92449.0)</f>
        <v>92449</v>
      </c>
      <c r="B7887" s="3" t="str">
        <f>IFERROR(__xludf.DUMMYFUNCTION("""COMPUTED_VALUE"""),"94 SIMPSON ST  ")</f>
        <v>94 SIMPSON ST  </v>
      </c>
      <c r="C7887" s="3" t="str">
        <f>IFERROR(__xludf.DUMMYFUNCTION("""COMPUTED_VALUE"""),"BRIGHTON")</f>
        <v>BRIGHTON</v>
      </c>
      <c r="D7887" s="3" t="str">
        <f>IFERROR(__xludf.DUMMYFUNCTION("""COMPUTED_VALUE"""),"K0K 1H0")</f>
        <v>K0K 1H0</v>
      </c>
      <c r="E7887" s="3" t="str">
        <f>IFERROR(__xludf.DUMMYFUNCTION("""COMPUTED_VALUE"""),"MARK PETER WILLIAMS")</f>
        <v>MARK PETER WILLIAMS</v>
      </c>
      <c r="F7887" s="3" t="str">
        <f>IFERROR(__xludf.DUMMYFUNCTION("""COMPUTED_VALUE"""),"markwilliams_14@hotmail.com")</f>
        <v>markwilliams_14@hotmail.com</v>
      </c>
      <c r="G7887" s="3">
        <f>IFERROR(__xludf.DUMMYFUNCTION("""COMPUTED_VALUE"""),9.053966275E9)</f>
        <v>9053966275</v>
      </c>
      <c r="H7887" s="3">
        <f>IFERROR(__xludf.DUMMYFUNCTION("""COMPUTED_VALUE"""),9.053757282E9)</f>
        <v>9053757282</v>
      </c>
    </row>
    <row r="7888">
      <c r="A7888" s="2">
        <f>IFERROR(__xludf.DUMMYFUNCTION("""COMPUTED_VALUE"""),92450.0)</f>
        <v>92450</v>
      </c>
      <c r="B7888" s="3" t="str">
        <f>IFERROR(__xludf.DUMMYFUNCTION("""COMPUTED_VALUE"""),"100 SIMPSON ST  ")</f>
        <v>100 SIMPSON ST  </v>
      </c>
      <c r="C7888" s="3" t="str">
        <f>IFERROR(__xludf.DUMMYFUNCTION("""COMPUTED_VALUE"""),"BRIGHTON")</f>
        <v>BRIGHTON</v>
      </c>
      <c r="D7888" s="3" t="str">
        <f>IFERROR(__xludf.DUMMYFUNCTION("""COMPUTED_VALUE"""),"K0K 1H0")</f>
        <v>K0K 1H0</v>
      </c>
      <c r="E7888" s="3" t="str">
        <f>IFERROR(__xludf.DUMMYFUNCTION("""COMPUTED_VALUE"""),"Khatereh Almeida")</f>
        <v>Khatereh Almeida</v>
      </c>
      <c r="F7888" s="3" t="str">
        <f>IFERROR(__xludf.DUMMYFUNCTION("""COMPUTED_VALUE"""),"mikegordo@hotmail.com")</f>
        <v>mikegordo@hotmail.com</v>
      </c>
      <c r="G7888" s="3"/>
      <c r="H7888" s="3"/>
    </row>
    <row r="7889">
      <c r="A7889" s="2">
        <f>IFERROR(__xludf.DUMMYFUNCTION("""COMPUTED_VALUE"""),92451.0)</f>
        <v>92451</v>
      </c>
      <c r="B7889" s="3" t="str">
        <f>IFERROR(__xludf.DUMMYFUNCTION("""COMPUTED_VALUE"""),"101 SIMPSON ST  ")</f>
        <v>101 SIMPSON ST  </v>
      </c>
      <c r="C7889" s="3" t="str">
        <f>IFERROR(__xludf.DUMMYFUNCTION("""COMPUTED_VALUE"""),"BRIGHTON")</f>
        <v>BRIGHTON</v>
      </c>
      <c r="D7889" s="3" t="str">
        <f>IFERROR(__xludf.DUMMYFUNCTION("""COMPUTED_VALUE"""),"K0K 1H0")</f>
        <v>K0K 1H0</v>
      </c>
      <c r="E7889" s="3" t="str">
        <f>IFERROR(__xludf.DUMMYFUNCTION("""COMPUTED_VALUE"""),"Peter Greenwood")</f>
        <v>Peter Greenwood</v>
      </c>
      <c r="F7889" s="3" t="str">
        <f>IFERROR(__xludf.DUMMYFUNCTION("""COMPUTED_VALUE"""),"peteswater@gmail.com")</f>
        <v>peteswater@gmail.com</v>
      </c>
      <c r="G7889" s="3"/>
      <c r="H7889" s="3"/>
    </row>
    <row r="7890">
      <c r="A7890" s="2">
        <f>IFERROR(__xludf.DUMMYFUNCTION("""COMPUTED_VALUE"""),92452.0)</f>
        <v>92452</v>
      </c>
      <c r="B7890" s="3" t="str">
        <f>IFERROR(__xludf.DUMMYFUNCTION("""COMPUTED_VALUE"""),"129 SIMPSON ST  ")</f>
        <v>129 SIMPSON ST  </v>
      </c>
      <c r="C7890" s="3" t="str">
        <f>IFERROR(__xludf.DUMMYFUNCTION("""COMPUTED_VALUE"""),"BRIGHTON")</f>
        <v>BRIGHTON</v>
      </c>
      <c r="D7890" s="3" t="str">
        <f>IFERROR(__xludf.DUMMYFUNCTION("""COMPUTED_VALUE"""),"K0K 1H0")</f>
        <v>K0K 1H0</v>
      </c>
      <c r="E7890" s="3" t="str">
        <f>IFERROR(__xludf.DUMMYFUNCTION("""COMPUTED_VALUE"""),"Sharon Marks/ Marcel Mckinley")</f>
        <v>Sharon Marks/ Marcel Mckinley</v>
      </c>
      <c r="F7890" s="3" t="str">
        <f>IFERROR(__xludf.DUMMYFUNCTION("""COMPUTED_VALUE"""),"smarks@cassels.com")</f>
        <v>smarks@cassels.com</v>
      </c>
      <c r="G7890" s="3">
        <f>IFERROR(__xludf.DUMMYFUNCTION("""COMPUTED_VALUE"""),9.053910332E9)</f>
        <v>9053910332</v>
      </c>
      <c r="H7890" s="3"/>
    </row>
    <row r="7891">
      <c r="A7891" s="2">
        <f>IFERROR(__xludf.DUMMYFUNCTION("""COMPUTED_VALUE"""),92455.0)</f>
        <v>92455</v>
      </c>
      <c r="B7891" s="3" t="str">
        <f>IFERROR(__xludf.DUMMYFUNCTION("""COMPUTED_VALUE"""),"151 SIMPSON ST  ")</f>
        <v>151 SIMPSON ST  </v>
      </c>
      <c r="C7891" s="3" t="str">
        <f>IFERROR(__xludf.DUMMYFUNCTION("""COMPUTED_VALUE"""),"BRIGHTON")</f>
        <v>BRIGHTON</v>
      </c>
      <c r="D7891" s="3" t="str">
        <f>IFERROR(__xludf.DUMMYFUNCTION("""COMPUTED_VALUE"""),"K0K 1H0")</f>
        <v>K0K 1H0</v>
      </c>
      <c r="E7891" s="3" t="str">
        <f>IFERROR(__xludf.DUMMYFUNCTION("""COMPUTED_VALUE"""),"Colin Jagoe")</f>
        <v>Colin Jagoe</v>
      </c>
      <c r="F7891" s="3" t="str">
        <f>IFERROR(__xludf.DUMMYFUNCTION("""COMPUTED_VALUE"""),"cjagoe@sympatico.ca")</f>
        <v>cjagoe@sympatico.ca</v>
      </c>
      <c r="G7891" s="3"/>
      <c r="H7891" s="3"/>
    </row>
    <row r="7892">
      <c r="A7892" s="2">
        <f>IFERROR(__xludf.DUMMYFUNCTION("""COMPUTED_VALUE"""),92456.0)</f>
        <v>92456</v>
      </c>
      <c r="B7892" s="3" t="str">
        <f>IFERROR(__xludf.DUMMYFUNCTION("""COMPUTED_VALUE"""),"154 SIMPSON ST  ")</f>
        <v>154 SIMPSON ST  </v>
      </c>
      <c r="C7892" s="3" t="str">
        <f>IFERROR(__xludf.DUMMYFUNCTION("""COMPUTED_VALUE"""),"BRIGHTON")</f>
        <v>BRIGHTON</v>
      </c>
      <c r="D7892" s="3" t="str">
        <f>IFERROR(__xludf.DUMMYFUNCTION("""COMPUTED_VALUE"""),"K0K 1H0")</f>
        <v>K0K 1H0</v>
      </c>
      <c r="E7892" s="3" t="str">
        <f>IFERROR(__xludf.DUMMYFUNCTION("""COMPUTED_VALUE"""),"Aleksander &amp; Malgovzata Piernicki")</f>
        <v>Aleksander &amp; Malgovzata Piernicki</v>
      </c>
      <c r="F7892" s="3" t="str">
        <f>IFERROR(__xludf.DUMMYFUNCTION("""COMPUTED_VALUE"""),"dekpiernicki@yahoo.com")</f>
        <v>dekpiernicki@yahoo.com</v>
      </c>
      <c r="G7892" s="3"/>
      <c r="H7892" s="3"/>
    </row>
    <row r="7893">
      <c r="A7893" s="2">
        <f>IFERROR(__xludf.DUMMYFUNCTION("""COMPUTED_VALUE"""),92411.0)</f>
        <v>92411</v>
      </c>
      <c r="B7893" s="3" t="str">
        <f>IFERROR(__xludf.DUMMYFUNCTION("""COMPUTED_VALUE"""),"124 SIMPSON RD")</f>
        <v>124 SIMPSON RD</v>
      </c>
      <c r="C7893" s="3"/>
      <c r="D7893" s="3"/>
      <c r="E7893" s="3"/>
      <c r="F7893" s="3"/>
      <c r="G7893" s="3"/>
      <c r="H7893" s="3"/>
    </row>
    <row r="7894">
      <c r="A7894" s="2">
        <f>IFERROR(__xludf.DUMMYFUNCTION("""COMPUTED_VALUE"""),92412.0)</f>
        <v>92412</v>
      </c>
      <c r="B7894" s="3" t="str">
        <f>IFERROR(__xludf.DUMMYFUNCTION("""COMPUTED_VALUE"""),"152 SIMPSON RD")</f>
        <v>152 SIMPSON RD</v>
      </c>
      <c r="C7894" s="3"/>
      <c r="D7894" s="3"/>
      <c r="E7894" s="3"/>
      <c r="F7894" s="3"/>
      <c r="G7894" s="3"/>
      <c r="H7894" s="3"/>
    </row>
    <row r="7895">
      <c r="A7895" s="2">
        <f>IFERROR(__xludf.DUMMYFUNCTION("""COMPUTED_VALUE"""),92413.0)</f>
        <v>92413</v>
      </c>
      <c r="B7895" s="3" t="str">
        <f>IFERROR(__xludf.DUMMYFUNCTION("""COMPUTED_VALUE"""),"155 SIMPSON RD")</f>
        <v>155 SIMPSON RD</v>
      </c>
      <c r="C7895" s="3"/>
      <c r="D7895" s="3"/>
      <c r="E7895" s="3"/>
      <c r="F7895" s="3"/>
      <c r="G7895" s="3"/>
      <c r="H7895" s="3"/>
    </row>
    <row r="7896">
      <c r="A7896" s="2">
        <f>IFERROR(__xludf.DUMMYFUNCTION("""COMPUTED_VALUE"""),92414.0)</f>
        <v>92414</v>
      </c>
      <c r="B7896" s="3" t="str">
        <f>IFERROR(__xludf.DUMMYFUNCTION("""COMPUTED_VALUE"""),"161 SIMPSON RD")</f>
        <v>161 SIMPSON RD</v>
      </c>
      <c r="C7896" s="3"/>
      <c r="D7896" s="3"/>
      <c r="E7896" s="3"/>
      <c r="F7896" s="3"/>
      <c r="G7896" s="3"/>
      <c r="H7896" s="3"/>
    </row>
    <row r="7897">
      <c r="A7897" s="2">
        <f>IFERROR(__xludf.DUMMYFUNCTION("""COMPUTED_VALUE"""),92415.0)</f>
        <v>92415</v>
      </c>
      <c r="B7897" s="3" t="str">
        <f>IFERROR(__xludf.DUMMYFUNCTION("""COMPUTED_VALUE"""),"162 SIMPSON RD")</f>
        <v>162 SIMPSON RD</v>
      </c>
      <c r="C7897" s="3"/>
      <c r="D7897" s="3"/>
      <c r="E7897" s="3"/>
      <c r="F7897" s="3"/>
      <c r="G7897" s="3"/>
      <c r="H7897" s="3"/>
    </row>
    <row r="7898">
      <c r="A7898" s="2">
        <f>IFERROR(__xludf.DUMMYFUNCTION("""COMPUTED_VALUE"""),92416.0)</f>
        <v>92416</v>
      </c>
      <c r="B7898" s="3" t="str">
        <f>IFERROR(__xludf.DUMMYFUNCTION("""COMPUTED_VALUE"""),"172 SIMPSON RD")</f>
        <v>172 SIMPSON RD</v>
      </c>
      <c r="C7898" s="3"/>
      <c r="D7898" s="3"/>
      <c r="E7898" s="3"/>
      <c r="F7898" s="3"/>
      <c r="G7898" s="3"/>
      <c r="H7898" s="3"/>
    </row>
    <row r="7899">
      <c r="A7899" s="2">
        <f>IFERROR(__xludf.DUMMYFUNCTION("""COMPUTED_VALUE"""),92417.0)</f>
        <v>92417</v>
      </c>
      <c r="B7899" s="3" t="str">
        <f>IFERROR(__xludf.DUMMYFUNCTION("""COMPUTED_VALUE"""),"187 SIMPSON RD")</f>
        <v>187 SIMPSON RD</v>
      </c>
      <c r="C7899" s="3"/>
      <c r="D7899" s="3"/>
      <c r="E7899" s="3"/>
      <c r="F7899" s="3"/>
      <c r="G7899" s="3"/>
      <c r="H7899" s="3"/>
    </row>
    <row r="7900">
      <c r="A7900" s="2">
        <f>IFERROR(__xludf.DUMMYFUNCTION("""COMPUTED_VALUE"""),92425.0)</f>
        <v>92425</v>
      </c>
      <c r="B7900" s="3" t="str">
        <f>IFERROR(__xludf.DUMMYFUNCTION("""COMPUTED_VALUE"""),"237 SIMPSON RD")</f>
        <v>237 SIMPSON RD</v>
      </c>
      <c r="C7900" s="3"/>
      <c r="D7900" s="3"/>
      <c r="E7900" s="3"/>
      <c r="F7900" s="3"/>
      <c r="G7900" s="3"/>
      <c r="H7900" s="3"/>
    </row>
    <row r="7901">
      <c r="A7901" s="2">
        <f>IFERROR(__xludf.DUMMYFUNCTION("""COMPUTED_VALUE"""),92426.0)</f>
        <v>92426</v>
      </c>
      <c r="B7901" s="3" t="str">
        <f>IFERROR(__xludf.DUMMYFUNCTION("""COMPUTED_VALUE"""),"247 SIMPSON RD")</f>
        <v>247 SIMPSON RD</v>
      </c>
      <c r="C7901" s="3"/>
      <c r="D7901" s="3"/>
      <c r="E7901" s="3"/>
      <c r="F7901" s="3"/>
      <c r="G7901" s="3"/>
      <c r="H7901" s="3"/>
    </row>
    <row r="7902">
      <c r="A7902" s="2">
        <f>IFERROR(__xludf.DUMMYFUNCTION("""COMPUTED_VALUE"""),92427.0)</f>
        <v>92427</v>
      </c>
      <c r="B7902" s="3" t="str">
        <f>IFERROR(__xludf.DUMMYFUNCTION("""COMPUTED_VALUE"""),"251 SIMPSON RD")</f>
        <v>251 SIMPSON RD</v>
      </c>
      <c r="C7902" s="3"/>
      <c r="D7902" s="3"/>
      <c r="E7902" s="3"/>
      <c r="F7902" s="3"/>
      <c r="G7902" s="3"/>
      <c r="H7902" s="3"/>
    </row>
    <row r="7903">
      <c r="A7903" s="2">
        <f>IFERROR(__xludf.DUMMYFUNCTION("""COMPUTED_VALUE"""),92428.0)</f>
        <v>92428</v>
      </c>
      <c r="B7903" s="3" t="str">
        <f>IFERROR(__xludf.DUMMYFUNCTION("""COMPUTED_VALUE"""),"263 SIMPSON RD")</f>
        <v>263 SIMPSON RD</v>
      </c>
      <c r="C7903" s="3"/>
      <c r="D7903" s="3"/>
      <c r="E7903" s="3"/>
      <c r="F7903" s="3"/>
      <c r="G7903" s="3"/>
      <c r="H7903" s="3"/>
    </row>
    <row r="7904">
      <c r="A7904" s="2">
        <f>IFERROR(__xludf.DUMMYFUNCTION("""COMPUTED_VALUE"""),93133.0)</f>
        <v>93133</v>
      </c>
      <c r="B7904" s="3" t="str">
        <f>IFERROR(__xludf.DUMMYFUNCTION("""COMPUTED_VALUE"""),"2 SINGLETON ST")</f>
        <v>2 SINGLETON ST</v>
      </c>
      <c r="C7904" s="3"/>
      <c r="D7904" s="3"/>
      <c r="E7904" s="3"/>
      <c r="F7904" s="3"/>
      <c r="G7904" s="3"/>
      <c r="H7904" s="3"/>
    </row>
    <row r="7905">
      <c r="A7905" s="2">
        <f>IFERROR(__xludf.DUMMYFUNCTION("""COMPUTED_VALUE"""),92474.0)</f>
        <v>92474</v>
      </c>
      <c r="B7905" s="3" t="str">
        <f>IFERROR(__xludf.DUMMYFUNCTION("""COMPUTED_VALUE"""),"338 SMITH ST")</f>
        <v>338 SMITH ST</v>
      </c>
      <c r="C7905" s="3"/>
      <c r="D7905" s="3"/>
      <c r="E7905" s="3"/>
      <c r="F7905" s="3"/>
      <c r="G7905" s="3"/>
      <c r="H7905" s="3"/>
    </row>
    <row r="7906">
      <c r="A7906" s="2">
        <f>IFERROR(__xludf.DUMMYFUNCTION("""COMPUTED_VALUE"""),92477.0)</f>
        <v>92477</v>
      </c>
      <c r="B7906" s="3" t="str">
        <f>IFERROR(__xludf.DUMMYFUNCTION("""COMPUTED_VALUE"""),"352 SMITH ST")</f>
        <v>352 SMITH ST</v>
      </c>
      <c r="C7906" s="3"/>
      <c r="D7906" s="3"/>
      <c r="E7906" s="3"/>
      <c r="F7906" s="3"/>
      <c r="G7906" s="3"/>
      <c r="H7906" s="3"/>
    </row>
    <row r="7907">
      <c r="A7907" s="2">
        <f>IFERROR(__xludf.DUMMYFUNCTION("""COMPUTED_VALUE"""),93296.0)</f>
        <v>93296</v>
      </c>
      <c r="B7907" s="3" t="str">
        <f>IFERROR(__xludf.DUMMYFUNCTION("""COMPUTED_VALUE"""),"675 SMITH ST")</f>
        <v>675 SMITH ST</v>
      </c>
      <c r="C7907" s="3"/>
      <c r="D7907" s="3"/>
      <c r="E7907" s="3"/>
      <c r="F7907" s="3"/>
      <c r="G7907" s="3"/>
      <c r="H7907" s="3"/>
    </row>
    <row r="7908">
      <c r="A7908" s="2">
        <f>IFERROR(__xludf.DUMMYFUNCTION("""COMPUTED_VALUE"""),92470.0)</f>
        <v>92470</v>
      </c>
      <c r="B7908" s="3" t="str">
        <f>IFERROR(__xludf.DUMMYFUNCTION("""COMPUTED_VALUE"""),"320 SMITH ST  ")</f>
        <v>320 SMITH ST  </v>
      </c>
      <c r="C7908" s="3" t="str">
        <f>IFERROR(__xludf.DUMMYFUNCTION("""COMPUTED_VALUE"""),"BRIGHTON")</f>
        <v>BRIGHTON</v>
      </c>
      <c r="D7908" s="3" t="str">
        <f>IFERROR(__xludf.DUMMYFUNCTION("""COMPUTED_VALUE"""),"K0K 1H0")</f>
        <v>K0K 1H0</v>
      </c>
      <c r="E7908" s="3"/>
      <c r="F7908" s="3"/>
      <c r="G7908" s="3"/>
      <c r="H7908" s="3"/>
    </row>
    <row r="7909">
      <c r="A7909" s="2">
        <f>IFERROR(__xludf.DUMMYFUNCTION("""COMPUTED_VALUE"""),92471.0)</f>
        <v>92471</v>
      </c>
      <c r="B7909" s="3" t="str">
        <f>IFERROR(__xludf.DUMMYFUNCTION("""COMPUTED_VALUE"""),"323 SMITH ST  ")</f>
        <v>323 SMITH ST  </v>
      </c>
      <c r="C7909" s="3" t="str">
        <f>IFERROR(__xludf.DUMMYFUNCTION("""COMPUTED_VALUE"""),"BRIGHTON")</f>
        <v>BRIGHTON</v>
      </c>
      <c r="D7909" s="3" t="str">
        <f>IFERROR(__xludf.DUMMYFUNCTION("""COMPUTED_VALUE"""),"K0K 1H0")</f>
        <v>K0K 1H0</v>
      </c>
      <c r="E7909" s="3" t="str">
        <f>IFERROR(__xludf.DUMMYFUNCTION("""COMPUTED_VALUE"""),"lymn v, ")</f>
        <v>lymn v, </v>
      </c>
      <c r="F7909" s="3" t="str">
        <f>IFERROR(__xludf.DUMMYFUNCTION("""COMPUTED_VALUE"""),"tynnerv@hotmail.com")</f>
        <v>tynnerv@hotmail.com</v>
      </c>
      <c r="G7909" s="3">
        <f>IFERROR(__xludf.DUMMYFUNCTION("""COMPUTED_VALUE"""),6.138477405E9)</f>
        <v>6138477405</v>
      </c>
      <c r="H7909" s="3"/>
    </row>
    <row r="7910">
      <c r="A7910" s="2">
        <f>IFERROR(__xludf.DUMMYFUNCTION("""COMPUTED_VALUE"""),92472.0)</f>
        <v>92472</v>
      </c>
      <c r="B7910" s="3" t="str">
        <f>IFERROR(__xludf.DUMMYFUNCTION("""COMPUTED_VALUE"""),"334 SMITH ST  ")</f>
        <v>334 SMITH ST  </v>
      </c>
      <c r="C7910" s="3" t="str">
        <f>IFERROR(__xludf.DUMMYFUNCTION("""COMPUTED_VALUE"""),"BRIGHTON")</f>
        <v>BRIGHTON</v>
      </c>
      <c r="D7910" s="3" t="str">
        <f>IFERROR(__xludf.DUMMYFUNCTION("""COMPUTED_VALUE"""),"K0K 1H0")</f>
        <v>K0K 1H0</v>
      </c>
      <c r="E7910" s="3" t="str">
        <f>IFERROR(__xludf.DUMMYFUNCTION("""COMPUTED_VALUE"""),"vince ricciardi")</f>
        <v>vince ricciardi</v>
      </c>
      <c r="F7910" s="3" t="str">
        <f>IFERROR(__xludf.DUMMYFUNCTION("""COMPUTED_VALUE"""),"vricciardi826@gmail.com")</f>
        <v>vricciardi826@gmail.com</v>
      </c>
      <c r="G7910" s="3">
        <f>IFERROR(__xludf.DUMMYFUNCTION("""COMPUTED_VALUE"""),6.473311689E9)</f>
        <v>6473311689</v>
      </c>
      <c r="H7910" s="3"/>
    </row>
    <row r="7911">
      <c r="A7911" s="2">
        <f>IFERROR(__xludf.DUMMYFUNCTION("""COMPUTED_VALUE"""),92473.0)</f>
        <v>92473</v>
      </c>
      <c r="B7911" s="3" t="str">
        <f>IFERROR(__xludf.DUMMYFUNCTION("""COMPUTED_VALUE"""),"335 SMITH ST  ")</f>
        <v>335 SMITH ST  </v>
      </c>
      <c r="C7911" s="3" t="str">
        <f>IFERROR(__xludf.DUMMYFUNCTION("""COMPUTED_VALUE"""),"BRIGHTON")</f>
        <v>BRIGHTON</v>
      </c>
      <c r="D7911" s="3" t="str">
        <f>IFERROR(__xludf.DUMMYFUNCTION("""COMPUTED_VALUE"""),"K0K 1H0")</f>
        <v>K0K 1H0</v>
      </c>
      <c r="E7911" s="3"/>
      <c r="F7911" s="3"/>
      <c r="G7911" s="3"/>
      <c r="H7911" s="3"/>
    </row>
    <row r="7912">
      <c r="A7912" s="2">
        <f>IFERROR(__xludf.DUMMYFUNCTION("""COMPUTED_VALUE"""),92475.0)</f>
        <v>92475</v>
      </c>
      <c r="B7912" s="3" t="str">
        <f>IFERROR(__xludf.DUMMYFUNCTION("""COMPUTED_VALUE"""),"339 SMITH ST  ")</f>
        <v>339 SMITH ST  </v>
      </c>
      <c r="C7912" s="3" t="str">
        <f>IFERROR(__xludf.DUMMYFUNCTION("""COMPUTED_VALUE"""),"BRIGHTON")</f>
        <v>BRIGHTON</v>
      </c>
      <c r="D7912" s="3" t="str">
        <f>IFERROR(__xludf.DUMMYFUNCTION("""COMPUTED_VALUE"""),"K0K 1H0")</f>
        <v>K0K 1H0</v>
      </c>
      <c r="E7912" s="3"/>
      <c r="F7912" s="3"/>
      <c r="G7912" s="3"/>
      <c r="H7912" s="3"/>
    </row>
    <row r="7913">
      <c r="A7913" s="2">
        <f>IFERROR(__xludf.DUMMYFUNCTION("""COMPUTED_VALUE"""),92478.0)</f>
        <v>92478</v>
      </c>
      <c r="B7913" s="3" t="str">
        <f>IFERROR(__xludf.DUMMYFUNCTION("""COMPUTED_VALUE"""),"357 SMITH ST  ")</f>
        <v>357 SMITH ST  </v>
      </c>
      <c r="C7913" s="3" t="str">
        <f>IFERROR(__xludf.DUMMYFUNCTION("""COMPUTED_VALUE"""),"BRIGHTON")</f>
        <v>BRIGHTON</v>
      </c>
      <c r="D7913" s="3" t="str">
        <f>IFERROR(__xludf.DUMMYFUNCTION("""COMPUTED_VALUE"""),"K0K 1H0")</f>
        <v>K0K 1H0</v>
      </c>
      <c r="E7913" s="3" t="str">
        <f>IFERROR(__xludf.DUMMYFUNCTION("""COMPUTED_VALUE"""),"jack biseau")</f>
        <v>jack biseau</v>
      </c>
      <c r="F7913" s="3" t="str">
        <f>IFERROR(__xludf.DUMMYFUNCTION("""COMPUTED_VALUE"""),"biseaujack@gmail.com")</f>
        <v>biseaujack@gmail.com</v>
      </c>
      <c r="G7913" s="3">
        <f>IFERROR(__xludf.DUMMYFUNCTION("""COMPUTED_VALUE"""),6.1137191946E10)</f>
        <v>61137191946</v>
      </c>
      <c r="H7913" s="3"/>
    </row>
    <row r="7914">
      <c r="A7914" s="2">
        <f>IFERROR(__xludf.DUMMYFUNCTION("""COMPUTED_VALUE"""),92479.0)</f>
        <v>92479</v>
      </c>
      <c r="B7914" s="3" t="str">
        <f>IFERROR(__xludf.DUMMYFUNCTION("""COMPUTED_VALUE"""),"363 SMITH ST  ")</f>
        <v>363 SMITH ST  </v>
      </c>
      <c r="C7914" s="3" t="str">
        <f>IFERROR(__xludf.DUMMYFUNCTION("""COMPUTED_VALUE"""),"BRIGHTON")</f>
        <v>BRIGHTON</v>
      </c>
      <c r="D7914" s="3" t="str">
        <f>IFERROR(__xludf.DUMMYFUNCTION("""COMPUTED_VALUE"""),"K0K 1H0")</f>
        <v>K0K 1H0</v>
      </c>
      <c r="E7914" s="3"/>
      <c r="F7914" s="3"/>
      <c r="G7914" s="3"/>
      <c r="H7914" s="3"/>
    </row>
    <row r="7915">
      <c r="A7915" s="2">
        <f>IFERROR(__xludf.DUMMYFUNCTION("""COMPUTED_VALUE"""),92481.0)</f>
        <v>92481</v>
      </c>
      <c r="B7915" s="3" t="str">
        <f>IFERROR(__xludf.DUMMYFUNCTION("""COMPUTED_VALUE"""),"377 SMITH ST  ")</f>
        <v>377 SMITH ST  </v>
      </c>
      <c r="C7915" s="3" t="str">
        <f>IFERROR(__xludf.DUMMYFUNCTION("""COMPUTED_VALUE"""),"BRIGHTON")</f>
        <v>BRIGHTON</v>
      </c>
      <c r="D7915" s="3" t="str">
        <f>IFERROR(__xludf.DUMMYFUNCTION("""COMPUTED_VALUE"""),"K0K 1H0")</f>
        <v>K0K 1H0</v>
      </c>
      <c r="E7915" s="3"/>
      <c r="F7915" s="3"/>
      <c r="G7915" s="3"/>
      <c r="H7915" s="3"/>
    </row>
    <row r="7916">
      <c r="A7916" s="2">
        <f>IFERROR(__xludf.DUMMYFUNCTION("""COMPUTED_VALUE"""),92482.0)</f>
        <v>92482</v>
      </c>
      <c r="B7916" s="3" t="str">
        <f>IFERROR(__xludf.DUMMYFUNCTION("""COMPUTED_VALUE"""),"380 SMITH ST  ")</f>
        <v>380 SMITH ST  </v>
      </c>
      <c r="C7916" s="3" t="str">
        <f>IFERROR(__xludf.DUMMYFUNCTION("""COMPUTED_VALUE"""),"BRIGHTON")</f>
        <v>BRIGHTON</v>
      </c>
      <c r="D7916" s="3" t="str">
        <f>IFERROR(__xludf.DUMMYFUNCTION("""COMPUTED_VALUE"""),"K0K 1H0")</f>
        <v>K0K 1H0</v>
      </c>
      <c r="E7916" s="3"/>
      <c r="F7916" s="3"/>
      <c r="G7916" s="3"/>
      <c r="H7916" s="3"/>
    </row>
    <row r="7917">
      <c r="A7917" s="2">
        <f>IFERROR(__xludf.DUMMYFUNCTION("""COMPUTED_VALUE"""),92483.0)</f>
        <v>92483</v>
      </c>
      <c r="B7917" s="3" t="str">
        <f>IFERROR(__xludf.DUMMYFUNCTION("""COMPUTED_VALUE"""),"384 SMITH ST  ")</f>
        <v>384 SMITH ST  </v>
      </c>
      <c r="C7917" s="3" t="str">
        <f>IFERROR(__xludf.DUMMYFUNCTION("""COMPUTED_VALUE"""),"BRIGHTON")</f>
        <v>BRIGHTON</v>
      </c>
      <c r="D7917" s="3" t="str">
        <f>IFERROR(__xludf.DUMMYFUNCTION("""COMPUTED_VALUE"""),"K0K 1H0")</f>
        <v>K0K 1H0</v>
      </c>
      <c r="E7917" s="3" t="str">
        <f>IFERROR(__xludf.DUMMYFUNCTION("""COMPUTED_VALUE"""),"alan fledderus ")</f>
        <v>alan fledderus </v>
      </c>
      <c r="F7917" s="3" t="str">
        <f>IFERROR(__xludf.DUMMYFUNCTION("""COMPUTED_VALUE"""),"fledderus@bellnet.ca")</f>
        <v>fledderus@bellnet.ca</v>
      </c>
      <c r="G7917" s="3">
        <f>IFERROR(__xludf.DUMMYFUNCTION("""COMPUTED_VALUE"""),6.132430359E9)</f>
        <v>6132430359</v>
      </c>
      <c r="H7917" s="3"/>
    </row>
    <row r="7918">
      <c r="A7918" s="2">
        <f>IFERROR(__xludf.DUMMYFUNCTION("""COMPUTED_VALUE"""),92486.0)</f>
        <v>92486</v>
      </c>
      <c r="B7918" s="3" t="str">
        <f>IFERROR(__xludf.DUMMYFUNCTION("""COMPUTED_VALUE"""),"400 SMITH ST  ")</f>
        <v>400 SMITH ST  </v>
      </c>
      <c r="C7918" s="3" t="str">
        <f>IFERROR(__xludf.DUMMYFUNCTION("""COMPUTED_VALUE"""),"BRIGHTON")</f>
        <v>BRIGHTON</v>
      </c>
      <c r="D7918" s="3" t="str">
        <f>IFERROR(__xludf.DUMMYFUNCTION("""COMPUTED_VALUE"""),"K0K 1H0")</f>
        <v>K0K 1H0</v>
      </c>
      <c r="E7918" s="3" t="str">
        <f>IFERROR(__xludf.DUMMYFUNCTION("""COMPUTED_VALUE"""),"chris- anne hansen ")</f>
        <v>chris- anne hansen </v>
      </c>
      <c r="F7918" s="3" t="str">
        <f>IFERROR(__xludf.DUMMYFUNCTION("""COMPUTED_VALUE"""),"chrisannehansen@gmail.com`")</f>
        <v>chrisannehansen@gmail.com`</v>
      </c>
      <c r="G7918" s="3">
        <f>IFERROR(__xludf.DUMMYFUNCTION("""COMPUTED_VALUE"""),6.139225467E9)</f>
        <v>6139225467</v>
      </c>
      <c r="H7918" s="3"/>
    </row>
    <row r="7919">
      <c r="A7919" s="2">
        <f>IFERROR(__xludf.DUMMYFUNCTION("""COMPUTED_VALUE"""),92487.0)</f>
        <v>92487</v>
      </c>
      <c r="B7919" s="3" t="str">
        <f>IFERROR(__xludf.DUMMYFUNCTION("""COMPUTED_VALUE"""),"411 SMITH ST  ")</f>
        <v>411 SMITH ST  </v>
      </c>
      <c r="C7919" s="3" t="str">
        <f>IFERROR(__xludf.DUMMYFUNCTION("""COMPUTED_VALUE"""),"BRIGHTON")</f>
        <v>BRIGHTON</v>
      </c>
      <c r="D7919" s="3" t="str">
        <f>IFERROR(__xludf.DUMMYFUNCTION("""COMPUTED_VALUE"""),"K0K 1H0")</f>
        <v>K0K 1H0</v>
      </c>
      <c r="E7919" s="3" t="str">
        <f>IFERROR(__xludf.DUMMYFUNCTION("""COMPUTED_VALUE"""),"gifford ")</f>
        <v>gifford </v>
      </c>
      <c r="F7919" s="3" t="str">
        <f>IFERROR(__xludf.DUMMYFUNCTION("""COMPUTED_VALUE"""),"larysa@kos.net")</f>
        <v>larysa@kos.net</v>
      </c>
      <c r="G7919" s="3">
        <f>IFERROR(__xludf.DUMMYFUNCTION("""COMPUTED_VALUE"""),6.139209476E9)</f>
        <v>6139209476</v>
      </c>
      <c r="H7919" s="3">
        <f>IFERROR(__xludf.DUMMYFUNCTION("""COMPUTED_VALUE"""),6.139209619E9)</f>
        <v>6139209619</v>
      </c>
    </row>
    <row r="7920">
      <c r="A7920" s="2">
        <f>IFERROR(__xludf.DUMMYFUNCTION("""COMPUTED_VALUE"""),92488.0)</f>
        <v>92488</v>
      </c>
      <c r="B7920" s="3" t="str">
        <f>IFERROR(__xludf.DUMMYFUNCTION("""COMPUTED_VALUE"""),"417 SMITH ST  ")</f>
        <v>417 SMITH ST  </v>
      </c>
      <c r="C7920" s="3" t="str">
        <f>IFERROR(__xludf.DUMMYFUNCTION("""COMPUTED_VALUE"""),"BRIGHTON")</f>
        <v>BRIGHTON</v>
      </c>
      <c r="D7920" s="3" t="str">
        <f>IFERROR(__xludf.DUMMYFUNCTION("""COMPUTED_VALUE"""),"K0K 1H0")</f>
        <v>K0K 1H0</v>
      </c>
      <c r="E7920" s="3" t="str">
        <f>IFERROR(__xludf.DUMMYFUNCTION("""COMPUTED_VALUE"""),"rob arbuckle")</f>
        <v>rob arbuckle</v>
      </c>
      <c r="F7920" s="3" t="str">
        <f>IFERROR(__xludf.DUMMYFUNCTION("""COMPUTED_VALUE"""),"robarbuckle51@gmail.com")</f>
        <v>robarbuckle51@gmail.com</v>
      </c>
      <c r="G7920" s="3">
        <f>IFERROR(__xludf.DUMMYFUNCTION("""COMPUTED_VALUE"""),6.138131772E9)</f>
        <v>6138131772</v>
      </c>
      <c r="H7920" s="3">
        <f>IFERROR(__xludf.DUMMYFUNCTION("""COMPUTED_VALUE"""),6.138491078E9)</f>
        <v>6138491078</v>
      </c>
    </row>
    <row r="7921">
      <c r="A7921" s="2">
        <f>IFERROR(__xludf.DUMMYFUNCTION("""COMPUTED_VALUE"""),92490.0)</f>
        <v>92490</v>
      </c>
      <c r="B7921" s="3" t="str">
        <f>IFERROR(__xludf.DUMMYFUNCTION("""COMPUTED_VALUE"""),"443 SMITH ST  ")</f>
        <v>443 SMITH ST  </v>
      </c>
      <c r="C7921" s="3" t="str">
        <f>IFERROR(__xludf.DUMMYFUNCTION("""COMPUTED_VALUE"""),"BRIGHTON")</f>
        <v>BRIGHTON</v>
      </c>
      <c r="D7921" s="3" t="str">
        <f>IFERROR(__xludf.DUMMYFUNCTION("""COMPUTED_VALUE"""),"K0K 1H0")</f>
        <v>K0K 1H0</v>
      </c>
      <c r="E7921" s="3"/>
      <c r="F7921" s="3"/>
      <c r="G7921" s="3"/>
      <c r="H7921" s="3"/>
    </row>
    <row r="7922">
      <c r="A7922" s="2">
        <f>IFERROR(__xludf.DUMMYFUNCTION("""COMPUTED_VALUE"""),92492.0)</f>
        <v>92492</v>
      </c>
      <c r="B7922" s="3" t="str">
        <f>IFERROR(__xludf.DUMMYFUNCTION("""COMPUTED_VALUE"""),"476 SMITH ST  ")</f>
        <v>476 SMITH ST  </v>
      </c>
      <c r="C7922" s="3" t="str">
        <f>IFERROR(__xludf.DUMMYFUNCTION("""COMPUTED_VALUE"""),"BRIGHTON")</f>
        <v>BRIGHTON</v>
      </c>
      <c r="D7922" s="3" t="str">
        <f>IFERROR(__xludf.DUMMYFUNCTION("""COMPUTED_VALUE"""),"K0K 1H0")</f>
        <v>K0K 1H0</v>
      </c>
      <c r="E7922" s="3" t="str">
        <f>IFERROR(__xludf.DUMMYFUNCTION("""COMPUTED_VALUE"""),"robert snow ")</f>
        <v>robert snow </v>
      </c>
      <c r="F7922" s="3" t="str">
        <f>IFERROR(__xludf.DUMMYFUNCTION("""COMPUTED_VALUE"""),"thesnowfives@gmail.com")</f>
        <v>thesnowfives@gmail.com</v>
      </c>
      <c r="G7922" s="3">
        <f>IFERROR(__xludf.DUMMYFUNCTION("""COMPUTED_VALUE"""),9.058603481E9)</f>
        <v>9058603481</v>
      </c>
      <c r="H7922" s="3"/>
    </row>
    <row r="7923">
      <c r="A7923" s="2">
        <f>IFERROR(__xludf.DUMMYFUNCTION("""COMPUTED_VALUE"""),92493.0)</f>
        <v>92493</v>
      </c>
      <c r="B7923" s="3" t="str">
        <f>IFERROR(__xludf.DUMMYFUNCTION("""COMPUTED_VALUE"""),"490 SMITH ST  ")</f>
        <v>490 SMITH ST  </v>
      </c>
      <c r="C7923" s="3" t="str">
        <f>IFERROR(__xludf.DUMMYFUNCTION("""COMPUTED_VALUE"""),"BRIGHTON")</f>
        <v>BRIGHTON</v>
      </c>
      <c r="D7923" s="3" t="str">
        <f>IFERROR(__xludf.DUMMYFUNCTION("""COMPUTED_VALUE"""),"K0K 1H0")</f>
        <v>K0K 1H0</v>
      </c>
      <c r="E7923" s="3"/>
      <c r="F7923" s="3"/>
      <c r="G7923" s="3"/>
      <c r="H7923" s="3"/>
    </row>
    <row r="7924">
      <c r="A7924" s="2">
        <f>IFERROR(__xludf.DUMMYFUNCTION("""COMPUTED_VALUE"""),92494.0)</f>
        <v>92494</v>
      </c>
      <c r="B7924" s="3" t="str">
        <f>IFERROR(__xludf.DUMMYFUNCTION("""COMPUTED_VALUE"""),"493 SMITH ST  ")</f>
        <v>493 SMITH ST  </v>
      </c>
      <c r="C7924" s="3" t="str">
        <f>IFERROR(__xludf.DUMMYFUNCTION("""COMPUTED_VALUE"""),"BRIGHTON")</f>
        <v>BRIGHTON</v>
      </c>
      <c r="D7924" s="3" t="str">
        <f>IFERROR(__xludf.DUMMYFUNCTION("""COMPUTED_VALUE"""),"K0K 1H0")</f>
        <v>K0K 1H0</v>
      </c>
      <c r="E7924" s="3" t="str">
        <f>IFERROR(__xludf.DUMMYFUNCTION("""COMPUTED_VALUE"""),"jon vanvark")</f>
        <v>jon vanvark</v>
      </c>
      <c r="F7924" s="3"/>
      <c r="G7924" s="3">
        <f>IFERROR(__xludf.DUMMYFUNCTION("""COMPUTED_VALUE"""),6.134753451E9)</f>
        <v>6134753451</v>
      </c>
      <c r="H7924" s="3">
        <f>IFERROR(__xludf.DUMMYFUNCTION("""COMPUTED_VALUE"""),6.139220969E9)</f>
        <v>6139220969</v>
      </c>
    </row>
    <row r="7925">
      <c r="A7925" s="2">
        <f>IFERROR(__xludf.DUMMYFUNCTION("""COMPUTED_VALUE"""),92495.0)</f>
        <v>92495</v>
      </c>
      <c r="B7925" s="3" t="str">
        <f>IFERROR(__xludf.DUMMYFUNCTION("""COMPUTED_VALUE"""),"496 SMITH ST  ")</f>
        <v>496 SMITH ST  </v>
      </c>
      <c r="C7925" s="3" t="str">
        <f>IFERROR(__xludf.DUMMYFUNCTION("""COMPUTED_VALUE"""),"BRIGHTON")</f>
        <v>BRIGHTON</v>
      </c>
      <c r="D7925" s="3" t="str">
        <f>IFERROR(__xludf.DUMMYFUNCTION("""COMPUTED_VALUE"""),"K0K 1H0")</f>
        <v>K0K 1H0</v>
      </c>
      <c r="E7925" s="3"/>
      <c r="F7925" s="3"/>
      <c r="G7925" s="3"/>
      <c r="H7925" s="3"/>
    </row>
    <row r="7926">
      <c r="A7926" s="2">
        <f>IFERROR(__xludf.DUMMYFUNCTION("""COMPUTED_VALUE"""),92498.0)</f>
        <v>92498</v>
      </c>
      <c r="B7926" s="3" t="str">
        <f>IFERROR(__xludf.DUMMYFUNCTION("""COMPUTED_VALUE"""),"511 SMITH ST  ")</f>
        <v>511 SMITH ST  </v>
      </c>
      <c r="C7926" s="3" t="str">
        <f>IFERROR(__xludf.DUMMYFUNCTION("""COMPUTED_VALUE"""),"BRIGHTON")</f>
        <v>BRIGHTON</v>
      </c>
      <c r="D7926" s="3" t="str">
        <f>IFERROR(__xludf.DUMMYFUNCTION("""COMPUTED_VALUE"""),"K0K 1H0")</f>
        <v>K0K 1H0</v>
      </c>
      <c r="E7926" s="3" t="str">
        <f>IFERROR(__xludf.DUMMYFUNCTION("""COMPUTED_VALUE"""),"John mcilwaine")</f>
        <v>John mcilwaine</v>
      </c>
      <c r="F7926" s="3" t="str">
        <f>IFERROR(__xludf.DUMMYFUNCTION("""COMPUTED_VALUE"""),"jdmcilwaine@gmail.com")</f>
        <v>jdmcilwaine@gmail.com</v>
      </c>
      <c r="G7926" s="3">
        <f>IFERROR(__xludf.DUMMYFUNCTION("""COMPUTED_VALUE"""),9.054428341E9)</f>
        <v>9054428341</v>
      </c>
      <c r="H7926" s="3">
        <f>IFERROR(__xludf.DUMMYFUNCTION("""COMPUTED_VALUE"""),9.057238341E9)</f>
        <v>9057238341</v>
      </c>
    </row>
    <row r="7927">
      <c r="A7927" s="2">
        <f>IFERROR(__xludf.DUMMYFUNCTION("""COMPUTED_VALUE"""),92503.0)</f>
        <v>92503</v>
      </c>
      <c r="B7927" s="3" t="str">
        <f>IFERROR(__xludf.DUMMYFUNCTION("""COMPUTED_VALUE"""),"577 SMITH ST  ")</f>
        <v>577 SMITH ST  </v>
      </c>
      <c r="C7927" s="3" t="str">
        <f>IFERROR(__xludf.DUMMYFUNCTION("""COMPUTED_VALUE"""),"BRIGHTON")</f>
        <v>BRIGHTON</v>
      </c>
      <c r="D7927" s="3" t="str">
        <f>IFERROR(__xludf.DUMMYFUNCTION("""COMPUTED_VALUE"""),"K0K 1H0")</f>
        <v>K0K 1H0</v>
      </c>
      <c r="E7927" s="3" t="str">
        <f>IFERROR(__xludf.DUMMYFUNCTION("""COMPUTED_VALUE"""),"Ron Grinham")</f>
        <v>Ron Grinham</v>
      </c>
      <c r="F7927" s="3" t="str">
        <f>IFERROR(__xludf.DUMMYFUNCTION("""COMPUTED_VALUE"""),"ron.grinham@sympatico.ca")</f>
        <v>ron.grinham@sympatico.ca</v>
      </c>
      <c r="G7927" s="3"/>
      <c r="H7927" s="3"/>
    </row>
    <row r="7928">
      <c r="A7928" s="2">
        <f>IFERROR(__xludf.DUMMYFUNCTION("""COMPUTED_VALUE"""),92505.0)</f>
        <v>92505</v>
      </c>
      <c r="B7928" s="3" t="str">
        <f>IFERROR(__xludf.DUMMYFUNCTION("""COMPUTED_VALUE"""),"596 SMITH ST  ")</f>
        <v>596 SMITH ST  </v>
      </c>
      <c r="C7928" s="3" t="str">
        <f>IFERROR(__xludf.DUMMYFUNCTION("""COMPUTED_VALUE"""),"BRIGHTON")</f>
        <v>BRIGHTON</v>
      </c>
      <c r="D7928" s="3" t="str">
        <f>IFERROR(__xludf.DUMMYFUNCTION("""COMPUTED_VALUE"""),"K0K 1H0")</f>
        <v>K0K 1H0</v>
      </c>
      <c r="E7928" s="3" t="str">
        <f>IFERROR(__xludf.DUMMYFUNCTION("""COMPUTED_VALUE"""),"robert cleave ")</f>
        <v>robert cleave </v>
      </c>
      <c r="F7928" s="3" t="str">
        <f>IFERROR(__xludf.DUMMYFUNCTION("""COMPUTED_VALUE"""),"fam.cleave@sympatico.ca")</f>
        <v>fam.cleave@sympatico.ca</v>
      </c>
      <c r="G7928" s="3">
        <f>IFERROR(__xludf.DUMMYFUNCTION("""COMPUTED_VALUE"""),6.134030107E9)</f>
        <v>6134030107</v>
      </c>
      <c r="H7928" s="3"/>
    </row>
    <row r="7929">
      <c r="A7929" s="2">
        <f>IFERROR(__xludf.DUMMYFUNCTION("""COMPUTED_VALUE"""),92506.0)</f>
        <v>92506</v>
      </c>
      <c r="B7929" s="3" t="str">
        <f>IFERROR(__xludf.DUMMYFUNCTION("""COMPUTED_VALUE"""),"599 SMITH ST  ")</f>
        <v>599 SMITH ST  </v>
      </c>
      <c r="C7929" s="3" t="str">
        <f>IFERROR(__xludf.DUMMYFUNCTION("""COMPUTED_VALUE"""),"BRIGHTON")</f>
        <v>BRIGHTON</v>
      </c>
      <c r="D7929" s="3" t="str">
        <f>IFERROR(__xludf.DUMMYFUNCTION("""COMPUTED_VALUE"""),"K0K 1H0")</f>
        <v>K0K 1H0</v>
      </c>
      <c r="E7929" s="3" t="str">
        <f>IFERROR(__xludf.DUMMYFUNCTION("""COMPUTED_VALUE"""),"andy richard ")</f>
        <v>andy richard </v>
      </c>
      <c r="F7929" s="3" t="str">
        <f>IFERROR(__xludf.DUMMYFUNCTION("""COMPUTED_VALUE"""),"acrmilling@gmail.com")</f>
        <v>acrmilling@gmail.com</v>
      </c>
      <c r="G7929" s="3">
        <f>IFERROR(__xludf.DUMMYFUNCTION("""COMPUTED_VALUE"""),6.13403751E9)</f>
        <v>6134037510</v>
      </c>
      <c r="H7929" s="3"/>
    </row>
    <row r="7930">
      <c r="A7930" s="2">
        <f>IFERROR(__xludf.DUMMYFUNCTION("""COMPUTED_VALUE"""),92509.0)</f>
        <v>92509</v>
      </c>
      <c r="B7930" s="3" t="str">
        <f>IFERROR(__xludf.DUMMYFUNCTION("""COMPUTED_VALUE"""),"699 SMITH ST  ")</f>
        <v>699 SMITH ST  </v>
      </c>
      <c r="C7930" s="3" t="str">
        <f>IFERROR(__xludf.DUMMYFUNCTION("""COMPUTED_VALUE"""),"BRIGHTON")</f>
        <v>BRIGHTON</v>
      </c>
      <c r="D7930" s="3" t="str">
        <f>IFERROR(__xludf.DUMMYFUNCTION("""COMPUTED_VALUE"""),"K0K 1H0")</f>
        <v>K0K 1H0</v>
      </c>
      <c r="E7930" s="3" t="str">
        <f>IFERROR(__xludf.DUMMYFUNCTION("""COMPUTED_VALUE"""),"david bond ")</f>
        <v>david bond </v>
      </c>
      <c r="F7930" s="3" t="str">
        <f>IFERROR(__xludf.DUMMYFUNCTION("""COMPUTED_VALUE"""),"bandoooo7@sympatico.ca1")</f>
        <v>bandoooo7@sympatico.ca1</v>
      </c>
      <c r="G7930" s="3">
        <f>IFERROR(__xludf.DUMMYFUNCTION("""COMPUTED_VALUE"""),6.13920223E9)</f>
        <v>6139202230</v>
      </c>
      <c r="H7930" s="3"/>
    </row>
    <row r="7931">
      <c r="A7931" s="2">
        <f>IFERROR(__xludf.DUMMYFUNCTION("""COMPUTED_VALUE"""),92510.0)</f>
        <v>92510</v>
      </c>
      <c r="B7931" s="3" t="str">
        <f>IFERROR(__xludf.DUMMYFUNCTION("""COMPUTED_VALUE"""),"708 SMITH ST  ")</f>
        <v>708 SMITH ST  </v>
      </c>
      <c r="C7931" s="3" t="str">
        <f>IFERROR(__xludf.DUMMYFUNCTION("""COMPUTED_VALUE"""),"BRIGHTON")</f>
        <v>BRIGHTON</v>
      </c>
      <c r="D7931" s="3" t="str">
        <f>IFERROR(__xludf.DUMMYFUNCTION("""COMPUTED_VALUE"""),"K0K 1H0")</f>
        <v>K0K 1H0</v>
      </c>
      <c r="E7931" s="3" t="str">
        <f>IFERROR(__xludf.DUMMYFUNCTION("""COMPUTED_VALUE"""),"alan tasse")</f>
        <v>alan tasse</v>
      </c>
      <c r="F7931" s="3" t="str">
        <f>IFERROR(__xludf.DUMMYFUNCTION("""COMPUTED_VALUE"""),"atasse@me.com")</f>
        <v>atasse@me.com</v>
      </c>
      <c r="G7931" s="3">
        <f>IFERROR(__xludf.DUMMYFUNCTION("""COMPUTED_VALUE"""),6.138852069E9)</f>
        <v>6138852069</v>
      </c>
      <c r="H7931" s="3"/>
    </row>
    <row r="7932">
      <c r="A7932" s="2">
        <f>IFERROR(__xludf.DUMMYFUNCTION("""COMPUTED_VALUE"""),92511.0)</f>
        <v>92511</v>
      </c>
      <c r="B7932" s="3" t="str">
        <f>IFERROR(__xludf.DUMMYFUNCTION("""COMPUTED_VALUE"""),"709 SMITH ST  ")</f>
        <v>709 SMITH ST  </v>
      </c>
      <c r="C7932" s="3" t="str">
        <f>IFERROR(__xludf.DUMMYFUNCTION("""COMPUTED_VALUE"""),"BRIGHTON")</f>
        <v>BRIGHTON</v>
      </c>
      <c r="D7932" s="3" t="str">
        <f>IFERROR(__xludf.DUMMYFUNCTION("""COMPUTED_VALUE"""),"K0K 1H0")</f>
        <v>K0K 1H0</v>
      </c>
      <c r="E7932" s="3"/>
      <c r="F7932" s="3"/>
      <c r="G7932" s="3"/>
      <c r="H7932" s="3"/>
    </row>
    <row r="7933">
      <c r="A7933" s="2">
        <f>IFERROR(__xludf.DUMMYFUNCTION("""COMPUTED_VALUE"""),92512.0)</f>
        <v>92512</v>
      </c>
      <c r="B7933" s="3" t="str">
        <f>IFERROR(__xludf.DUMMYFUNCTION("""COMPUTED_VALUE"""),"733 SMITH ST  ")</f>
        <v>733 SMITH ST  </v>
      </c>
      <c r="C7933" s="3" t="str">
        <f>IFERROR(__xludf.DUMMYFUNCTION("""COMPUTED_VALUE"""),"BRIGHTON")</f>
        <v>BRIGHTON</v>
      </c>
      <c r="D7933" s="3" t="str">
        <f>IFERROR(__xludf.DUMMYFUNCTION("""COMPUTED_VALUE"""),"K0K 1H0")</f>
        <v>K0K 1H0</v>
      </c>
      <c r="E7933" s="3" t="str">
        <f>IFERROR(__xludf.DUMMYFUNCTION("""COMPUTED_VALUE"""),"CURTIS THOMPSON")</f>
        <v>CURTIS THOMPSON</v>
      </c>
      <c r="F7933" s="3" t="str">
        <f>IFERROR(__xludf.DUMMYFUNCTION("""COMPUTED_VALUE"""),"double_c_10@hotmail.com")</f>
        <v>double_c_10@hotmail.com</v>
      </c>
      <c r="G7933" s="3"/>
      <c r="H7933" s="3"/>
    </row>
    <row r="7934">
      <c r="A7934" s="2">
        <f>IFERROR(__xludf.DUMMYFUNCTION("""COMPUTED_VALUE"""),92513.0)</f>
        <v>92513</v>
      </c>
      <c r="B7934" s="3" t="str">
        <f>IFERROR(__xludf.DUMMYFUNCTION("""COMPUTED_VALUE"""),"739 SMITH ST  ")</f>
        <v>739 SMITH ST  </v>
      </c>
      <c r="C7934" s="3" t="str">
        <f>IFERROR(__xludf.DUMMYFUNCTION("""COMPUTED_VALUE"""),"BRIGHTON")</f>
        <v>BRIGHTON</v>
      </c>
      <c r="D7934" s="3" t="str">
        <f>IFERROR(__xludf.DUMMYFUNCTION("""COMPUTED_VALUE"""),"K0K 1H0")</f>
        <v>K0K 1H0</v>
      </c>
      <c r="E7934" s="3"/>
      <c r="F7934" s="3"/>
      <c r="G7934" s="3"/>
      <c r="H7934" s="3"/>
    </row>
    <row r="7935">
      <c r="A7935" s="2">
        <f>IFERROR(__xludf.DUMMYFUNCTION("""COMPUTED_VALUE"""),92558.0)</f>
        <v>92558</v>
      </c>
      <c r="B7935" s="3" t="str">
        <f>IFERROR(__xludf.DUMMYFUNCTION("""COMPUTED_VALUE"""),"664 SMITH ST  ")</f>
        <v>664 SMITH ST  </v>
      </c>
      <c r="C7935" s="3" t="str">
        <f>IFERROR(__xludf.DUMMYFUNCTION("""COMPUTED_VALUE"""),"BRIGHTON")</f>
        <v>BRIGHTON</v>
      </c>
      <c r="D7935" s="3" t="str">
        <f>IFERROR(__xludf.DUMMYFUNCTION("""COMPUTED_VALUE"""),"K0K 1H0")</f>
        <v>K0K 1H0</v>
      </c>
      <c r="E7935" s="3" t="str">
        <f>IFERROR(__xludf.DUMMYFUNCTION("""COMPUTED_VALUE"""),"Pam Miller")</f>
        <v>Pam Miller</v>
      </c>
      <c r="F7935" s="3" t="str">
        <f>IFERROR(__xludf.DUMMYFUNCTION("""COMPUTED_VALUE"""),"redmercury63@gmail.com")</f>
        <v>redmercury63@gmail.com</v>
      </c>
      <c r="G7935" s="3">
        <f>IFERROR(__xludf.DUMMYFUNCTION("""COMPUTED_VALUE"""),6.138857686E9)</f>
        <v>6138857686</v>
      </c>
      <c r="H7935" s="3"/>
    </row>
    <row r="7936">
      <c r="A7936" s="2">
        <f>IFERROR(__xludf.DUMMYFUNCTION("""COMPUTED_VALUE"""),92476.0)</f>
        <v>92476</v>
      </c>
      <c r="B7936" s="3" t="str">
        <f>IFERROR(__xludf.DUMMYFUNCTION("""COMPUTED_VALUE"""),"347 SMITH ST  ")</f>
        <v>347 SMITH ST  </v>
      </c>
      <c r="C7936" s="3" t="str">
        <f>IFERROR(__xludf.DUMMYFUNCTION("""COMPUTED_VALUE"""),"BRIGHTON")</f>
        <v>BRIGHTON</v>
      </c>
      <c r="D7936" s="3" t="str">
        <f>IFERROR(__xludf.DUMMYFUNCTION("""COMPUTED_VALUE"""),"K0K 1H0")</f>
        <v>K0K 1H0</v>
      </c>
      <c r="E7936" s="3" t="str">
        <f>IFERROR(__xludf.DUMMYFUNCTION("""COMPUTED_VALUE"""),"chris koopman")</f>
        <v>chris koopman</v>
      </c>
      <c r="F7936" s="3" t="str">
        <f>IFERROR(__xludf.DUMMYFUNCTION("""COMPUTED_VALUE"""),"cjkoopman@sympatico.ca")</f>
        <v>cjkoopman@sympatico.ca</v>
      </c>
      <c r="G7936" s="3">
        <f>IFERROR(__xludf.DUMMYFUNCTION("""COMPUTED_VALUE"""),6.139214294E9)</f>
        <v>6139214294</v>
      </c>
      <c r="H7936" s="3"/>
    </row>
    <row r="7937">
      <c r="A7937" s="2">
        <f>IFERROR(__xludf.DUMMYFUNCTION("""COMPUTED_VALUE"""),92480.0)</f>
        <v>92480</v>
      </c>
      <c r="B7937" s="3" t="str">
        <f>IFERROR(__xludf.DUMMYFUNCTION("""COMPUTED_VALUE"""),"365 SMITH ST  ")</f>
        <v>365 SMITH ST  </v>
      </c>
      <c r="C7937" s="3" t="str">
        <f>IFERROR(__xludf.DUMMYFUNCTION("""COMPUTED_VALUE"""),"BRIGHTON")</f>
        <v>BRIGHTON</v>
      </c>
      <c r="D7937" s="3" t="str">
        <f>IFERROR(__xludf.DUMMYFUNCTION("""COMPUTED_VALUE"""),"K0K 1H0")</f>
        <v>K0K 1H0</v>
      </c>
      <c r="E7937" s="3" t="str">
        <f>IFERROR(__xludf.DUMMYFUNCTION("""COMPUTED_VALUE"""),"peter czulo")</f>
        <v>peter czulo</v>
      </c>
      <c r="F7937" s="3" t="str">
        <f>IFERROR(__xludf.DUMMYFUNCTION("""COMPUTED_VALUE"""),"czuloville@gmail.com")</f>
        <v>czuloville@gmail.com</v>
      </c>
      <c r="G7937" s="3">
        <f>IFERROR(__xludf.DUMMYFUNCTION("""COMPUTED_VALUE"""),9.053769587E9)</f>
        <v>9053769587</v>
      </c>
      <c r="H7937" s="3">
        <f>IFERROR(__xludf.DUMMYFUNCTION("""COMPUTED_VALUE"""),6.138276801E9)</f>
        <v>6138276801</v>
      </c>
    </row>
    <row r="7938">
      <c r="A7938" s="2">
        <f>IFERROR(__xludf.DUMMYFUNCTION("""COMPUTED_VALUE"""),92484.0)</f>
        <v>92484</v>
      </c>
      <c r="B7938" s="3" t="str">
        <f>IFERROR(__xludf.DUMMYFUNCTION("""COMPUTED_VALUE"""),"387 SMITH ST  ")</f>
        <v>387 SMITH ST  </v>
      </c>
      <c r="C7938" s="3" t="str">
        <f>IFERROR(__xludf.DUMMYFUNCTION("""COMPUTED_VALUE"""),"BRIGHTON")</f>
        <v>BRIGHTON</v>
      </c>
      <c r="D7938" s="3" t="str">
        <f>IFERROR(__xludf.DUMMYFUNCTION("""COMPUTED_VALUE"""),"K0K 1H0")</f>
        <v>K0K 1H0</v>
      </c>
      <c r="E7938" s="3" t="str">
        <f>IFERROR(__xludf.DUMMYFUNCTION("""COMPUTED_VALUE"""),"Teresa Czulo")</f>
        <v>Teresa Czulo</v>
      </c>
      <c r="F7938" s="3" t="str">
        <f>IFERROR(__xludf.DUMMYFUNCTION("""COMPUTED_VALUE"""),"tnkpmom@yahoo.ca")</f>
        <v>tnkpmom@yahoo.ca</v>
      </c>
      <c r="G7938" s="3">
        <f>IFERROR(__xludf.DUMMYFUNCTION("""COMPUTED_VALUE"""),6.138853348E9)</f>
        <v>6138853348</v>
      </c>
      <c r="H7938" s="3"/>
    </row>
    <row r="7939">
      <c r="A7939" s="2">
        <f>IFERROR(__xludf.DUMMYFUNCTION("""COMPUTED_VALUE"""),92485.0)</f>
        <v>92485</v>
      </c>
      <c r="B7939" s="3" t="str">
        <f>IFERROR(__xludf.DUMMYFUNCTION("""COMPUTED_VALUE"""),"395 SMITH ST  ")</f>
        <v>395 SMITH ST  </v>
      </c>
      <c r="C7939" s="3" t="str">
        <f>IFERROR(__xludf.DUMMYFUNCTION("""COMPUTED_VALUE"""),"BRIGHTON")</f>
        <v>BRIGHTON</v>
      </c>
      <c r="D7939" s="3" t="str">
        <f>IFERROR(__xludf.DUMMYFUNCTION("""COMPUTED_VALUE"""),"K0K 1H0")</f>
        <v>K0K 1H0</v>
      </c>
      <c r="E7939" s="3" t="str">
        <f>IFERROR(__xludf.DUMMYFUNCTION("""COMPUTED_VALUE"""),"Betty Czulo")</f>
        <v>Betty Czulo</v>
      </c>
      <c r="F7939" s="3" t="str">
        <f>IFERROR(__xludf.DUMMYFUNCTION("""COMPUTED_VALUE"""),"czuloville@gmail.com")</f>
        <v>czuloville@gmail.com</v>
      </c>
      <c r="G7939" s="3">
        <f>IFERROR(__xludf.DUMMYFUNCTION("""COMPUTED_VALUE"""),6.134751694E9)</f>
        <v>6134751694</v>
      </c>
      <c r="H7939" s="3">
        <f>IFERROR(__xludf.DUMMYFUNCTION("""COMPUTED_VALUE"""),9.053769587E9)</f>
        <v>9053769587</v>
      </c>
    </row>
    <row r="7940">
      <c r="A7940" s="2">
        <f>IFERROR(__xludf.DUMMYFUNCTION("""COMPUTED_VALUE"""),93298.0)</f>
        <v>93298</v>
      </c>
      <c r="B7940" s="3" t="str">
        <f>IFERROR(__xludf.DUMMYFUNCTION("""COMPUTED_VALUE"""),"426 SMITH ST  ")</f>
        <v>426 SMITH ST  </v>
      </c>
      <c r="C7940" s="3" t="str">
        <f>IFERROR(__xludf.DUMMYFUNCTION("""COMPUTED_VALUE"""),"BRIGHTON")</f>
        <v>BRIGHTON</v>
      </c>
      <c r="D7940" s="3" t="str">
        <f>IFERROR(__xludf.DUMMYFUNCTION("""COMPUTED_VALUE"""),"K0K 1H0")</f>
        <v>K0K 1H0</v>
      </c>
      <c r="E7940" s="3"/>
      <c r="F7940" s="3"/>
      <c r="G7940" s="3"/>
      <c r="H7940" s="3"/>
    </row>
    <row r="7941">
      <c r="A7941" s="2">
        <f>IFERROR(__xludf.DUMMYFUNCTION("""COMPUTED_VALUE"""),92489.0)</f>
        <v>92489</v>
      </c>
      <c r="B7941" s="3" t="str">
        <f>IFERROR(__xludf.DUMMYFUNCTION("""COMPUTED_VALUE"""),"435 SMITH ST  ")</f>
        <v>435 SMITH ST  </v>
      </c>
      <c r="C7941" s="3" t="str">
        <f>IFERROR(__xludf.DUMMYFUNCTION("""COMPUTED_VALUE"""),"BRIGHTON")</f>
        <v>BRIGHTON</v>
      </c>
      <c r="D7941" s="3" t="str">
        <f>IFERROR(__xludf.DUMMYFUNCTION("""COMPUTED_VALUE"""),"K0K 1H0")</f>
        <v>K0K 1H0</v>
      </c>
      <c r="E7941" s="3" t="str">
        <f>IFERROR(__xludf.DUMMYFUNCTION("""COMPUTED_VALUE"""),"Ron Sloan")</f>
        <v>Ron Sloan</v>
      </c>
      <c r="F7941" s="3" t="str">
        <f>IFERROR(__xludf.DUMMYFUNCTION("""COMPUTED_VALUE"""),"ron.sloan46@gmail.com")</f>
        <v>ron.sloan46@gmail.com</v>
      </c>
      <c r="G7941" s="3">
        <f>IFERROR(__xludf.DUMMYFUNCTION("""COMPUTED_VALUE"""),6.139700568E9)</f>
        <v>6139700568</v>
      </c>
      <c r="H7941" s="3"/>
    </row>
    <row r="7942">
      <c r="A7942" s="2">
        <f>IFERROR(__xludf.DUMMYFUNCTION("""COMPUTED_VALUE"""),92491.0)</f>
        <v>92491</v>
      </c>
      <c r="B7942" s="3" t="str">
        <f>IFERROR(__xludf.DUMMYFUNCTION("""COMPUTED_VALUE"""),"464 SMITH ST  ")</f>
        <v>464 SMITH ST  </v>
      </c>
      <c r="C7942" s="3" t="str">
        <f>IFERROR(__xludf.DUMMYFUNCTION("""COMPUTED_VALUE"""),"BRIGHTON")</f>
        <v>BRIGHTON</v>
      </c>
      <c r="D7942" s="3" t="str">
        <f>IFERROR(__xludf.DUMMYFUNCTION("""COMPUTED_VALUE"""),"K0K 1H0")</f>
        <v>K0K 1H0</v>
      </c>
      <c r="E7942" s="3" t="str">
        <f>IFERROR(__xludf.DUMMYFUNCTION("""COMPUTED_VALUE"""),"Ray Van Egmond")</f>
        <v>Ray Van Egmond</v>
      </c>
      <c r="F7942" s="3" t="str">
        <f>IFERROR(__xludf.DUMMYFUNCTION("""COMPUTED_VALUE"""),"rdvaneg@gmail.com")</f>
        <v>rdvaneg@gmail.com</v>
      </c>
      <c r="G7942" s="3">
        <f>IFERROR(__xludf.DUMMYFUNCTION("""COMPUTED_VALUE"""),6.1339142E9)</f>
        <v>6133914200</v>
      </c>
      <c r="H7942" s="3">
        <f>IFERROR(__xludf.DUMMYFUNCTION("""COMPUTED_VALUE"""),6.134037364E9)</f>
        <v>6134037364</v>
      </c>
    </row>
    <row r="7943">
      <c r="A7943" s="2">
        <f>IFERROR(__xludf.DUMMYFUNCTION("""COMPUTED_VALUE"""),92496.0)</f>
        <v>92496</v>
      </c>
      <c r="B7943" s="3" t="str">
        <f>IFERROR(__xludf.DUMMYFUNCTION("""COMPUTED_VALUE"""),"497 SMITH ST  ")</f>
        <v>497 SMITH ST  </v>
      </c>
      <c r="C7943" s="3" t="str">
        <f>IFERROR(__xludf.DUMMYFUNCTION("""COMPUTED_VALUE"""),"BRIGHTON")</f>
        <v>BRIGHTON</v>
      </c>
      <c r="D7943" s="3" t="str">
        <f>IFERROR(__xludf.DUMMYFUNCTION("""COMPUTED_VALUE"""),"K0K 1H0")</f>
        <v>K0K 1H0</v>
      </c>
      <c r="E7943" s="3" t="str">
        <f>IFERROR(__xludf.DUMMYFUNCTION("""COMPUTED_VALUE"""),"Darlene Murphy")</f>
        <v>Darlene Murphy</v>
      </c>
      <c r="F7943" s="3" t="str">
        <f>IFERROR(__xludf.DUMMYFUNCTION("""COMPUTED_VALUE"""),"darandmax@outlook.com")</f>
        <v>darandmax@outlook.com</v>
      </c>
      <c r="G7943" s="3"/>
      <c r="H7943" s="3"/>
    </row>
    <row r="7944">
      <c r="A7944" s="2">
        <f>IFERROR(__xludf.DUMMYFUNCTION("""COMPUTED_VALUE"""),92497.0)</f>
        <v>92497</v>
      </c>
      <c r="B7944" s="3" t="str">
        <f>IFERROR(__xludf.DUMMYFUNCTION("""COMPUTED_VALUE"""),"508 SMITH ST  ")</f>
        <v>508 SMITH ST  </v>
      </c>
      <c r="C7944" s="3" t="str">
        <f>IFERROR(__xludf.DUMMYFUNCTION("""COMPUTED_VALUE"""),"BRIGHTON")</f>
        <v>BRIGHTON</v>
      </c>
      <c r="D7944" s="3" t="str">
        <f>IFERROR(__xludf.DUMMYFUNCTION("""COMPUTED_VALUE"""),"K0K 1H0")</f>
        <v>K0K 1H0</v>
      </c>
      <c r="E7944" s="3" t="str">
        <f>IFERROR(__xludf.DUMMYFUNCTION("""COMPUTED_VALUE"""),"Melissa Sopko")</f>
        <v>Melissa Sopko</v>
      </c>
      <c r="F7944" s="3" t="str">
        <f>IFERROR(__xludf.DUMMYFUNCTION("""COMPUTED_VALUE"""),"melissa_sopko@hotmail.com")</f>
        <v>melissa_sopko@hotmail.com</v>
      </c>
      <c r="G7944" s="3">
        <f>IFERROR(__xludf.DUMMYFUNCTION("""COMPUTED_VALUE"""),7.058795038E9)</f>
        <v>7058795038</v>
      </c>
      <c r="H7944" s="3"/>
    </row>
    <row r="7945">
      <c r="A7945" s="2">
        <f>IFERROR(__xludf.DUMMYFUNCTION("""COMPUTED_VALUE"""),92499.0)</f>
        <v>92499</v>
      </c>
      <c r="B7945" s="3" t="str">
        <f>IFERROR(__xludf.DUMMYFUNCTION("""COMPUTED_VALUE"""),"532 SMITH ST  ")</f>
        <v>532 SMITH ST  </v>
      </c>
      <c r="C7945" s="3" t="str">
        <f>IFERROR(__xludf.DUMMYFUNCTION("""COMPUTED_VALUE"""),"BRIGHTON")</f>
        <v>BRIGHTON</v>
      </c>
      <c r="D7945" s="3" t="str">
        <f>IFERROR(__xludf.DUMMYFUNCTION("""COMPUTED_VALUE"""),"K0K 1H0")</f>
        <v>K0K 1H0</v>
      </c>
      <c r="E7945" s="3" t="str">
        <f>IFERROR(__xludf.DUMMYFUNCTION("""COMPUTED_VALUE"""),"Tom Sopko ")</f>
        <v>Tom Sopko </v>
      </c>
      <c r="F7945" s="3" t="str">
        <f>IFERROR(__xludf.DUMMYFUNCTION("""COMPUTED_VALUE"""),"timsopko@gmail.com")</f>
        <v>timsopko@gmail.com</v>
      </c>
      <c r="G7945" s="3"/>
      <c r="H7945" s="3"/>
    </row>
    <row r="7946">
      <c r="A7946" s="2">
        <f>IFERROR(__xludf.DUMMYFUNCTION("""COMPUTED_VALUE"""),92500.0)</f>
        <v>92500</v>
      </c>
      <c r="B7946" s="3" t="str">
        <f>IFERROR(__xludf.DUMMYFUNCTION("""COMPUTED_VALUE"""),"539 SMITH ST  ")</f>
        <v>539 SMITH ST  </v>
      </c>
      <c r="C7946" s="3" t="str">
        <f>IFERROR(__xludf.DUMMYFUNCTION("""COMPUTED_VALUE"""),"BRIGHTON")</f>
        <v>BRIGHTON</v>
      </c>
      <c r="D7946" s="3" t="str">
        <f>IFERROR(__xludf.DUMMYFUNCTION("""COMPUTED_VALUE"""),"K0K 1H0")</f>
        <v>K0K 1H0</v>
      </c>
      <c r="E7946" s="3" t="str">
        <f>IFERROR(__xludf.DUMMYFUNCTION("""COMPUTED_VALUE"""),"gerard magne")</f>
        <v>gerard magne</v>
      </c>
      <c r="F7946" s="3" t="str">
        <f>IFERROR(__xludf.DUMMYFUNCTION("""COMPUTED_VALUE"""),"gerardmagne57@gmail.com")</f>
        <v>gerardmagne57@gmail.com</v>
      </c>
      <c r="G7946" s="3">
        <f>IFERROR(__xludf.DUMMYFUNCTION("""COMPUTED_VALUE"""),6.1384851E9)</f>
        <v>6138485100</v>
      </c>
      <c r="H7946" s="3">
        <f>IFERROR(__xludf.DUMMYFUNCTION("""COMPUTED_VALUE"""),6.1384849E9)</f>
        <v>6138484900</v>
      </c>
    </row>
    <row r="7947">
      <c r="A7947" s="2">
        <f>IFERROR(__xludf.DUMMYFUNCTION("""COMPUTED_VALUE"""),92501.0)</f>
        <v>92501</v>
      </c>
      <c r="B7947" s="3" t="str">
        <f>IFERROR(__xludf.DUMMYFUNCTION("""COMPUTED_VALUE"""),"544 SMITH ST  ")</f>
        <v>544 SMITH ST  </v>
      </c>
      <c r="C7947" s="3" t="str">
        <f>IFERROR(__xludf.DUMMYFUNCTION("""COMPUTED_VALUE"""),"BRIGHTON")</f>
        <v>BRIGHTON</v>
      </c>
      <c r="D7947" s="3" t="str">
        <f>IFERROR(__xludf.DUMMYFUNCTION("""COMPUTED_VALUE"""),"K0K 1H0")</f>
        <v>K0K 1H0</v>
      </c>
      <c r="E7947" s="3" t="str">
        <f>IFERROR(__xludf.DUMMYFUNCTION("""COMPUTED_VALUE"""),"James Qualtrough or Cindy Harkin")</f>
        <v>James Qualtrough or Cindy Harkin</v>
      </c>
      <c r="F7947" s="3" t="str">
        <f>IFERROR(__xludf.DUMMYFUNCTION("""COMPUTED_VALUE"""),"charkin1@sympatico.ca")</f>
        <v>charkin1@sympatico.ca</v>
      </c>
      <c r="G7947" s="3"/>
      <c r="H7947" s="3">
        <f>IFERROR(__xludf.DUMMYFUNCTION("""COMPUTED_VALUE"""),4.165430873E9)</f>
        <v>4165430873</v>
      </c>
    </row>
    <row r="7948">
      <c r="A7948" s="2">
        <f>IFERROR(__xludf.DUMMYFUNCTION("""COMPUTED_VALUE"""),92502.0)</f>
        <v>92502</v>
      </c>
      <c r="B7948" s="3" t="str">
        <f>IFERROR(__xludf.DUMMYFUNCTION("""COMPUTED_VALUE"""),"553 SMITH ST  ")</f>
        <v>553 SMITH ST  </v>
      </c>
      <c r="C7948" s="3" t="str">
        <f>IFERROR(__xludf.DUMMYFUNCTION("""COMPUTED_VALUE"""),"BRIGHTON")</f>
        <v>BRIGHTON</v>
      </c>
      <c r="D7948" s="3" t="str">
        <f>IFERROR(__xludf.DUMMYFUNCTION("""COMPUTED_VALUE"""),"K0K 1H0")</f>
        <v>K0K 1H0</v>
      </c>
      <c r="E7948" s="3" t="str">
        <f>IFERROR(__xludf.DUMMYFUNCTION("""COMPUTED_VALUE"""),"Glenn Phinnemore")</f>
        <v>Glenn Phinnemore</v>
      </c>
      <c r="F7948" s="3" t="str">
        <f>IFERROR(__xludf.DUMMYFUNCTION("""COMPUTED_VALUE"""),"phinnemore@sympatico.ca")</f>
        <v>phinnemore@sympatico.ca</v>
      </c>
      <c r="G7948" s="3">
        <f>IFERROR(__xludf.DUMMYFUNCTION("""COMPUTED_VALUE"""),4.168764023E9)</f>
        <v>4168764023</v>
      </c>
      <c r="H7948" s="3">
        <f>IFERROR(__xludf.DUMMYFUNCTION("""COMPUTED_VALUE"""),6.139680621E9)</f>
        <v>6139680621</v>
      </c>
    </row>
    <row r="7949">
      <c r="A7949" s="2">
        <f>IFERROR(__xludf.DUMMYFUNCTION("""COMPUTED_VALUE"""),92504.0)</f>
        <v>92504</v>
      </c>
      <c r="B7949" s="3" t="str">
        <f>IFERROR(__xludf.DUMMYFUNCTION("""COMPUTED_VALUE"""),"588 SMITH ST  ")</f>
        <v>588 SMITH ST  </v>
      </c>
      <c r="C7949" s="3" t="str">
        <f>IFERROR(__xludf.DUMMYFUNCTION("""COMPUTED_VALUE"""),"BRIGHTON")</f>
        <v>BRIGHTON</v>
      </c>
      <c r="D7949" s="3" t="str">
        <f>IFERROR(__xludf.DUMMYFUNCTION("""COMPUTED_VALUE"""),"K0K 1H0")</f>
        <v>K0K 1H0</v>
      </c>
      <c r="E7949" s="3" t="str">
        <f>IFERROR(__xludf.DUMMYFUNCTION("""COMPUTED_VALUE"""),"Terry Demill")</f>
        <v>Terry Demill</v>
      </c>
      <c r="F7949" s="3" t="str">
        <f>IFERROR(__xludf.DUMMYFUNCTION("""COMPUTED_VALUE"""),"tw.demill@gmail.com")</f>
        <v>tw.demill@gmail.com</v>
      </c>
      <c r="G7949" s="3">
        <f>IFERROR(__xludf.DUMMYFUNCTION("""COMPUTED_VALUE"""),2.892511184E9)</f>
        <v>2892511184</v>
      </c>
      <c r="H7949" s="3"/>
    </row>
    <row r="7950">
      <c r="A7950" s="2">
        <f>IFERROR(__xludf.DUMMYFUNCTION("""COMPUTED_VALUE"""),92507.0)</f>
        <v>92507</v>
      </c>
      <c r="B7950" s="3" t="str">
        <f>IFERROR(__xludf.DUMMYFUNCTION("""COMPUTED_VALUE"""),"609 SMITH ST  ")</f>
        <v>609 SMITH ST  </v>
      </c>
      <c r="C7950" s="3" t="str">
        <f>IFERROR(__xludf.DUMMYFUNCTION("""COMPUTED_VALUE"""),"BRIGHTON")</f>
        <v>BRIGHTON</v>
      </c>
      <c r="D7950" s="3" t="str">
        <f>IFERROR(__xludf.DUMMYFUNCTION("""COMPUTED_VALUE"""),"K0K 1H0")</f>
        <v>K0K 1H0</v>
      </c>
      <c r="E7950" s="3" t="str">
        <f>IFERROR(__xludf.DUMMYFUNCTION("""COMPUTED_VALUE"""),"Tim Gunter")</f>
        <v>Tim Gunter</v>
      </c>
      <c r="F7950" s="3" t="str">
        <f>IFERROR(__xludf.DUMMYFUNCTION("""COMPUTED_VALUE"""),"guntertim5@gmail.com")</f>
        <v>guntertim5@gmail.com</v>
      </c>
      <c r="G7950" s="3">
        <f>IFERROR(__xludf.DUMMYFUNCTION("""COMPUTED_VALUE"""),6.132438436E9)</f>
        <v>6132438436</v>
      </c>
      <c r="H7950" s="3"/>
    </row>
    <row r="7951">
      <c r="A7951" s="2">
        <f>IFERROR(__xludf.DUMMYFUNCTION("""COMPUTED_VALUE"""),92508.0)</f>
        <v>92508</v>
      </c>
      <c r="B7951" s="3" t="str">
        <f>IFERROR(__xludf.DUMMYFUNCTION("""COMPUTED_VALUE"""),"617 SMITH ST  ")</f>
        <v>617 SMITH ST  </v>
      </c>
      <c r="C7951" s="3" t="str">
        <f>IFERROR(__xludf.DUMMYFUNCTION("""COMPUTED_VALUE"""),"BRIGHTON")</f>
        <v>BRIGHTON</v>
      </c>
      <c r="D7951" s="3" t="str">
        <f>IFERROR(__xludf.DUMMYFUNCTION("""COMPUTED_VALUE"""),"K0K 1H0")</f>
        <v>K0K 1H0</v>
      </c>
      <c r="E7951" s="3" t="str">
        <f>IFERROR(__xludf.DUMMYFUNCTION("""COMPUTED_VALUE"""),"Sheila Kinmond")</f>
        <v>Sheila Kinmond</v>
      </c>
      <c r="F7951" s="3" t="str">
        <f>IFERROR(__xludf.DUMMYFUNCTION("""COMPUTED_VALUE"""),"sdsheeb2@hotmail.com")</f>
        <v>sdsheeb2@hotmail.com</v>
      </c>
      <c r="G7951" s="3">
        <f>IFERROR(__xludf.DUMMYFUNCTION("""COMPUTED_VALUE"""),6.134032655E9)</f>
        <v>6134032655</v>
      </c>
      <c r="H7951" s="3"/>
    </row>
    <row r="7952">
      <c r="A7952" s="2">
        <f>IFERROR(__xludf.DUMMYFUNCTION("""COMPUTED_VALUE"""),93297.0)</f>
        <v>93297</v>
      </c>
      <c r="B7952" s="3" t="str">
        <f>IFERROR(__xludf.DUMMYFUNCTION("""COMPUTED_VALUE"""),"758 SMITH ST  ")</f>
        <v>758 SMITH ST  </v>
      </c>
      <c r="C7952" s="3" t="str">
        <f>IFERROR(__xludf.DUMMYFUNCTION("""COMPUTED_VALUE"""),"BRIGHTON")</f>
        <v>BRIGHTON</v>
      </c>
      <c r="D7952" s="3" t="str">
        <f>IFERROR(__xludf.DUMMYFUNCTION("""COMPUTED_VALUE"""),"K0K 1H0")</f>
        <v>K0K 1H0</v>
      </c>
      <c r="E7952" s="3" t="str">
        <f>IFERROR(__xludf.DUMMYFUNCTION("""COMPUTED_VALUE"""),"Martin G Zimmer")</f>
        <v>Martin G Zimmer</v>
      </c>
      <c r="F7952" s="3" t="str">
        <f>IFERROR(__xludf.DUMMYFUNCTION("""COMPUTED_VALUE"""),"mzimmer62@gmail.com")</f>
        <v>mzimmer62@gmail.com</v>
      </c>
      <c r="G7952" s="3">
        <f>IFERROR(__xludf.DUMMYFUNCTION("""COMPUTED_VALUE"""),6.13920165E9)</f>
        <v>6139201650</v>
      </c>
      <c r="H7952" s="3"/>
    </row>
    <row r="7953">
      <c r="A7953" s="2">
        <f>IFERROR(__xludf.DUMMYFUNCTION("""COMPUTED_VALUE"""),92654.0)</f>
        <v>92654</v>
      </c>
      <c r="B7953" s="3" t="str">
        <f>IFERROR(__xludf.DUMMYFUNCTION("""COMPUTED_VALUE"""),"22 TEE'S LANE")</f>
        <v>22 TEE'S LANE</v>
      </c>
      <c r="C7953" s="3" t="str">
        <f>IFERROR(__xludf.DUMMYFUNCTION("""COMPUTED_VALUE"""),"BRIGHTON")</f>
        <v>BRIGHTON</v>
      </c>
      <c r="D7953" s="3" t="str">
        <f>IFERROR(__xludf.DUMMYFUNCTION("""COMPUTED_VALUE"""),"K0K 1H0")</f>
        <v>K0K 1H0</v>
      </c>
      <c r="E7953" s="3" t="str">
        <f>IFERROR(__xludf.DUMMYFUNCTION("""COMPUTED_VALUE"""),"shelie douglas ")</f>
        <v>shelie douglas </v>
      </c>
      <c r="F7953" s="3" t="str">
        <f>IFERROR(__xludf.DUMMYFUNCTION("""COMPUTED_VALUE"""),"sheliedouglas9@gmail.com")</f>
        <v>sheliedouglas9@gmail.com</v>
      </c>
      <c r="G7953" s="3">
        <f>IFERROR(__xludf.DUMMYFUNCTION("""COMPUTED_VALUE"""),6.139677406E9)</f>
        <v>6139677406</v>
      </c>
      <c r="H7953" s="3"/>
    </row>
    <row r="7954">
      <c r="A7954" s="2">
        <f>IFERROR(__xludf.DUMMYFUNCTION("""COMPUTED_VALUE"""),92655.0)</f>
        <v>92655</v>
      </c>
      <c r="B7954" s="3" t="str">
        <f>IFERROR(__xludf.DUMMYFUNCTION("""COMPUTED_VALUE"""),"29 TEE'S LANE  ")</f>
        <v>29 TEE'S LANE  </v>
      </c>
      <c r="C7954" s="3" t="str">
        <f>IFERROR(__xludf.DUMMYFUNCTION("""COMPUTED_VALUE"""),"BRIGHTON")</f>
        <v>BRIGHTON</v>
      </c>
      <c r="D7954" s="3" t="str">
        <f>IFERROR(__xludf.DUMMYFUNCTION("""COMPUTED_VALUE"""),"K0K 1H0")</f>
        <v>K0K 1H0</v>
      </c>
      <c r="E7954" s="3" t="str">
        <f>IFERROR(__xludf.DUMMYFUNCTION("""COMPUTED_VALUE"""),"karl hennek ")</f>
        <v>karl hennek </v>
      </c>
      <c r="F7954" s="3" t="str">
        <f>IFERROR(__xludf.DUMMYFUNCTION("""COMPUTED_VALUE"""),"karl.hennek@gmail.com")</f>
        <v>karl.hennek@gmail.com</v>
      </c>
      <c r="G7954" s="3">
        <f>IFERROR(__xludf.DUMMYFUNCTION("""COMPUTED_VALUE"""),6.136618003E9)</f>
        <v>6136618003</v>
      </c>
      <c r="H7954" s="3">
        <f>IFERROR(__xludf.DUMMYFUNCTION("""COMPUTED_VALUE"""),6.132427543E9)</f>
        <v>6132427543</v>
      </c>
    </row>
    <row r="7955">
      <c r="A7955" s="2">
        <f>IFERROR(__xludf.DUMMYFUNCTION("""COMPUTED_VALUE"""),92656.0)</f>
        <v>92656</v>
      </c>
      <c r="B7955" s="3" t="str">
        <f>IFERROR(__xludf.DUMMYFUNCTION("""COMPUTED_VALUE"""),"38 TEE'S LANE  ")</f>
        <v>38 TEE'S LANE  </v>
      </c>
      <c r="C7955" s="3" t="str">
        <f>IFERROR(__xludf.DUMMYFUNCTION("""COMPUTED_VALUE"""),"BRIGHTON")</f>
        <v>BRIGHTON</v>
      </c>
      <c r="D7955" s="3" t="str">
        <f>IFERROR(__xludf.DUMMYFUNCTION("""COMPUTED_VALUE"""),"K0K 1H0")</f>
        <v>K0K 1H0</v>
      </c>
      <c r="E7955" s="3"/>
      <c r="F7955" s="3"/>
      <c r="G7955" s="3"/>
      <c r="H7955" s="3"/>
    </row>
    <row r="7956">
      <c r="A7956" s="2">
        <f>IFERROR(__xludf.DUMMYFUNCTION("""COMPUTED_VALUE"""),92657.0)</f>
        <v>92657</v>
      </c>
      <c r="B7956" s="3" t="str">
        <f>IFERROR(__xludf.DUMMYFUNCTION("""COMPUTED_VALUE"""),"42 TEE'S LANE  ")</f>
        <v>42 TEE'S LANE  </v>
      </c>
      <c r="C7956" s="3" t="str">
        <f>IFERROR(__xludf.DUMMYFUNCTION("""COMPUTED_VALUE"""),"BRIGHTON")</f>
        <v>BRIGHTON</v>
      </c>
      <c r="D7956" s="3" t="str">
        <f>IFERROR(__xludf.DUMMYFUNCTION("""COMPUTED_VALUE"""),"K0K 1H0")</f>
        <v>K0K 1H0</v>
      </c>
      <c r="E7956" s="3"/>
      <c r="F7956" s="3"/>
      <c r="G7956" s="3"/>
      <c r="H7956" s="3"/>
    </row>
    <row r="7957">
      <c r="A7957" s="2">
        <f>IFERROR(__xludf.DUMMYFUNCTION("""COMPUTED_VALUE"""),92658.0)</f>
        <v>92658</v>
      </c>
      <c r="B7957" s="3" t="str">
        <f>IFERROR(__xludf.DUMMYFUNCTION("""COMPUTED_VALUE"""),"43 TEE'S LANE  ")</f>
        <v>43 TEE'S LANE  </v>
      </c>
      <c r="C7957" s="3" t="str">
        <f>IFERROR(__xludf.DUMMYFUNCTION("""COMPUTED_VALUE"""),"BRIGHTON")</f>
        <v>BRIGHTON</v>
      </c>
      <c r="D7957" s="3" t="str">
        <f>IFERROR(__xludf.DUMMYFUNCTION("""COMPUTED_VALUE"""),"K0K 1H0")</f>
        <v>K0K 1H0</v>
      </c>
      <c r="E7957" s="3"/>
      <c r="F7957" s="3"/>
      <c r="G7957" s="3"/>
      <c r="H7957" s="3"/>
    </row>
    <row r="7958">
      <c r="A7958" s="2">
        <f>IFERROR(__xludf.DUMMYFUNCTION("""COMPUTED_VALUE"""),92659.0)</f>
        <v>92659</v>
      </c>
      <c r="B7958" s="3" t="str">
        <f>IFERROR(__xludf.DUMMYFUNCTION("""COMPUTED_VALUE"""),"50 TEE'S LANE  ")</f>
        <v>50 TEE'S LANE  </v>
      </c>
      <c r="C7958" s="3" t="str">
        <f>IFERROR(__xludf.DUMMYFUNCTION("""COMPUTED_VALUE"""),"BRIGHTON")</f>
        <v>BRIGHTON</v>
      </c>
      <c r="D7958" s="3" t="str">
        <f>IFERROR(__xludf.DUMMYFUNCTION("""COMPUTED_VALUE"""),"K0K 1H0")</f>
        <v>K0K 1H0</v>
      </c>
      <c r="E7958" s="3" t="str">
        <f>IFERROR(__xludf.DUMMYFUNCTION("""COMPUTED_VALUE"""),"Christine Koszler")</f>
        <v>Christine Koszler</v>
      </c>
      <c r="F7958" s="3" t="str">
        <f>IFERROR(__xludf.DUMMYFUNCTION("""COMPUTED_VALUE"""),"ckoszler@sympatico.ca")</f>
        <v>ckoszler@sympatico.ca</v>
      </c>
      <c r="G7958" s="3">
        <f>IFERROR(__xludf.DUMMYFUNCTION("""COMPUTED_VALUE"""),6.477096709E9)</f>
        <v>6477096709</v>
      </c>
      <c r="H7958" s="3"/>
    </row>
    <row r="7959">
      <c r="A7959" s="2">
        <f>IFERROR(__xludf.DUMMYFUNCTION("""COMPUTED_VALUE"""),92653.0)</f>
        <v>92653</v>
      </c>
      <c r="B7959" s="3" t="str">
        <f>IFERROR(__xludf.DUMMYFUNCTION("""COMPUTED_VALUE"""),"35 TEES LANE  ")</f>
        <v>35 TEES LANE  </v>
      </c>
      <c r="C7959" s="3" t="str">
        <f>IFERROR(__xludf.DUMMYFUNCTION("""COMPUTED_VALUE"""),"BRIGHTON")</f>
        <v>BRIGHTON</v>
      </c>
      <c r="D7959" s="3" t="str">
        <f>IFERROR(__xludf.DUMMYFUNCTION("""COMPUTED_VALUE"""),"K0K 1H0")</f>
        <v>K0K 1H0</v>
      </c>
      <c r="E7959" s="3" t="str">
        <f>IFERROR(__xludf.DUMMYFUNCTION("""COMPUTED_VALUE"""),"nancy macgregor")</f>
        <v>nancy macgregor</v>
      </c>
      <c r="F7959" s="3" t="str">
        <f>IFERROR(__xludf.DUMMYFUNCTION("""COMPUTED_VALUE"""),"nancyagrant@hotmail.com")</f>
        <v>nancyagrant@hotmail.com</v>
      </c>
      <c r="G7959" s="3">
        <f>IFERROR(__xludf.DUMMYFUNCTION("""COMPUTED_VALUE"""),6.139222549E9)</f>
        <v>6139222549</v>
      </c>
      <c r="H7959" s="3"/>
    </row>
    <row r="7960">
      <c r="A7960" s="2">
        <f>IFERROR(__xludf.DUMMYFUNCTION("""COMPUTED_VALUE"""),92720.0)</f>
        <v>92720</v>
      </c>
      <c r="B7960" s="3" t="str">
        <f>IFERROR(__xludf.DUMMYFUNCTION("""COMPUTED_VALUE"""),"16322 TELEPHONE RD  ")</f>
        <v>16322 TELEPHONE RD  </v>
      </c>
      <c r="C7960" s="3" t="str">
        <f>IFERROR(__xludf.DUMMYFUNCTION("""COMPUTED_VALUE"""),"BRIGHTON")</f>
        <v>BRIGHTON</v>
      </c>
      <c r="D7960" s="3" t="str">
        <f>IFERROR(__xludf.DUMMYFUNCTION("""COMPUTED_VALUE"""),"K0K 1H0")</f>
        <v>K0K 1H0</v>
      </c>
      <c r="E7960" s="3" t="str">
        <f>IFERROR(__xludf.DUMMYFUNCTION("""COMPUTED_VALUE"""),"Frederick John Hayward")</f>
        <v>Frederick John Hayward</v>
      </c>
      <c r="F7960" s="3" t="str">
        <f>IFERROR(__xludf.DUMMYFUNCTION("""COMPUTED_VALUE"""),"fhayward65@yahoo.ca")</f>
        <v>fhayward65@yahoo.ca</v>
      </c>
      <c r="G7960" s="3">
        <f>IFERROR(__xludf.DUMMYFUNCTION("""COMPUTED_VALUE"""),6.139217108E9)</f>
        <v>6139217108</v>
      </c>
      <c r="H7960" s="3">
        <f>IFERROR(__xludf.DUMMYFUNCTION("""COMPUTED_VALUE"""),6.132430343E9)</f>
        <v>6132430343</v>
      </c>
    </row>
    <row r="7961">
      <c r="A7961" s="2">
        <f>IFERROR(__xludf.DUMMYFUNCTION("""COMPUTED_VALUE"""),92721.0)</f>
        <v>92721</v>
      </c>
      <c r="B7961" s="3" t="str">
        <f>IFERROR(__xludf.DUMMYFUNCTION("""COMPUTED_VALUE"""),"16326 TELEPHONE RD  ")</f>
        <v>16326 TELEPHONE RD  </v>
      </c>
      <c r="C7961" s="3" t="str">
        <f>IFERROR(__xludf.DUMMYFUNCTION("""COMPUTED_VALUE"""),"BRIGHTON")</f>
        <v>BRIGHTON</v>
      </c>
      <c r="D7961" s="3" t="str">
        <f>IFERROR(__xludf.DUMMYFUNCTION("""COMPUTED_VALUE"""),"K0K 1H0")</f>
        <v>K0K 1H0</v>
      </c>
      <c r="E7961" s="3"/>
      <c r="F7961" s="3"/>
      <c r="G7961" s="3"/>
      <c r="H7961" s="3"/>
    </row>
    <row r="7962">
      <c r="A7962" s="2">
        <f>IFERROR(__xludf.DUMMYFUNCTION("""COMPUTED_VALUE"""),92722.0)</f>
        <v>92722</v>
      </c>
      <c r="B7962" s="3" t="str">
        <f>IFERROR(__xludf.DUMMYFUNCTION("""COMPUTED_VALUE"""),"16373 TELEPHONE RD  ")</f>
        <v>16373 TELEPHONE RD  </v>
      </c>
      <c r="C7962" s="3" t="str">
        <f>IFERROR(__xludf.DUMMYFUNCTION("""COMPUTED_VALUE"""),"BRIGHTON")</f>
        <v>BRIGHTON</v>
      </c>
      <c r="D7962" s="3" t="str">
        <f>IFERROR(__xludf.DUMMYFUNCTION("""COMPUTED_VALUE"""),"K0K 1H0")</f>
        <v>K0K 1H0</v>
      </c>
      <c r="E7962" s="3" t="str">
        <f>IFERROR(__xludf.DUMMYFUNCTION("""COMPUTED_VALUE"""),"vicki vanmeeuwen")</f>
        <v>vicki vanmeeuwen</v>
      </c>
      <c r="F7962" s="3" t="str">
        <f>IFERROR(__xludf.DUMMYFUNCTION("""COMPUTED_VALUE"""),"vilaminis@yahoo.ca")</f>
        <v>vilaminis@yahoo.ca</v>
      </c>
      <c r="G7962" s="3">
        <f>IFERROR(__xludf.DUMMYFUNCTION("""COMPUTED_VALUE"""),6.132425464E9)</f>
        <v>6132425464</v>
      </c>
      <c r="H7962" s="3"/>
    </row>
    <row r="7963">
      <c r="A7963" s="2">
        <f>IFERROR(__xludf.DUMMYFUNCTION("""COMPUTED_VALUE"""),92723.0)</f>
        <v>92723</v>
      </c>
      <c r="B7963" s="3" t="str">
        <f>IFERROR(__xludf.DUMMYFUNCTION("""COMPUTED_VALUE"""),"16385 TELEPHONE RD  ")</f>
        <v>16385 TELEPHONE RD  </v>
      </c>
      <c r="C7963" s="3" t="str">
        <f>IFERROR(__xludf.DUMMYFUNCTION("""COMPUTED_VALUE"""),"BRIGHTON")</f>
        <v>BRIGHTON</v>
      </c>
      <c r="D7963" s="3" t="str">
        <f>IFERROR(__xludf.DUMMYFUNCTION("""COMPUTED_VALUE"""),"K0K 1H0")</f>
        <v>K0K 1H0</v>
      </c>
      <c r="E7963" s="3" t="str">
        <f>IFERROR(__xludf.DUMMYFUNCTION("""COMPUTED_VALUE"""),"shawn vanmeeuwen")</f>
        <v>shawn vanmeeuwen</v>
      </c>
      <c r="F7963" s="3" t="str">
        <f>IFERROR(__xludf.DUMMYFUNCTION("""COMPUTED_VALUE"""),"info@diamondfarm.com")</f>
        <v>info@diamondfarm.com</v>
      </c>
      <c r="G7963" s="3">
        <f>IFERROR(__xludf.DUMMYFUNCTION("""COMPUTED_VALUE"""),6.134751771E9)</f>
        <v>6134751771</v>
      </c>
      <c r="H7963" s="3">
        <f>IFERROR(__xludf.DUMMYFUNCTION("""COMPUTED_VALUE"""),1.8004811353E10)</f>
        <v>18004811353</v>
      </c>
    </row>
    <row r="7964">
      <c r="A7964" s="2">
        <f>IFERROR(__xludf.DUMMYFUNCTION("""COMPUTED_VALUE"""),92725.0)</f>
        <v>92725</v>
      </c>
      <c r="B7964" s="3" t="str">
        <f>IFERROR(__xludf.DUMMYFUNCTION("""COMPUTED_VALUE"""),"16398 TELEPHONE RD  ")</f>
        <v>16398 TELEPHONE RD  </v>
      </c>
      <c r="C7964" s="3" t="str">
        <f>IFERROR(__xludf.DUMMYFUNCTION("""COMPUTED_VALUE"""),"BRIGHTON")</f>
        <v>BRIGHTON</v>
      </c>
      <c r="D7964" s="3" t="str">
        <f>IFERROR(__xludf.DUMMYFUNCTION("""COMPUTED_VALUE"""),"K0K 1H0")</f>
        <v>K0K 1H0</v>
      </c>
      <c r="E7964" s="3"/>
      <c r="F7964" s="3"/>
      <c r="G7964" s="3"/>
      <c r="H7964" s="3"/>
    </row>
    <row r="7965">
      <c r="A7965" s="2">
        <f>IFERROR(__xludf.DUMMYFUNCTION("""COMPUTED_VALUE"""),92726.0)</f>
        <v>92726</v>
      </c>
      <c r="B7965" s="3" t="str">
        <f>IFERROR(__xludf.DUMMYFUNCTION("""COMPUTED_VALUE"""),"16409 TELEPHONE RD  ")</f>
        <v>16409 TELEPHONE RD  </v>
      </c>
      <c r="C7965" s="3" t="str">
        <f>IFERROR(__xludf.DUMMYFUNCTION("""COMPUTED_VALUE"""),"BRIGHTON")</f>
        <v>BRIGHTON</v>
      </c>
      <c r="D7965" s="3" t="str">
        <f>IFERROR(__xludf.DUMMYFUNCTION("""COMPUTED_VALUE"""),"K0K 1H0")</f>
        <v>K0K 1H0</v>
      </c>
      <c r="E7965" s="3" t="str">
        <f>IFERROR(__xludf.DUMMYFUNCTION("""COMPUTED_VALUE"""),"shawn v")</f>
        <v>shawn v</v>
      </c>
      <c r="F7965" s="3" t="str">
        <f>IFERROR(__xludf.DUMMYFUNCTION("""COMPUTED_VALUE"""),"info@diamondfarm.com")</f>
        <v>info@diamondfarm.com</v>
      </c>
      <c r="G7965" s="3">
        <f>IFERROR(__xludf.DUMMYFUNCTION("""COMPUTED_VALUE"""),6.134251771E9)</f>
        <v>6134251771</v>
      </c>
      <c r="H7965" s="3"/>
    </row>
    <row r="7966">
      <c r="A7966" s="2">
        <f>IFERROR(__xludf.DUMMYFUNCTION("""COMPUTED_VALUE"""),92729.0)</f>
        <v>92729</v>
      </c>
      <c r="B7966" s="3" t="str">
        <f>IFERROR(__xludf.DUMMYFUNCTION("""COMPUTED_VALUE"""),"16441 TELEPHONE RD  ")</f>
        <v>16441 TELEPHONE RD  </v>
      </c>
      <c r="C7966" s="3" t="str">
        <f>IFERROR(__xludf.DUMMYFUNCTION("""COMPUTED_VALUE"""),"BRIGHTON")</f>
        <v>BRIGHTON</v>
      </c>
      <c r="D7966" s="3" t="str">
        <f>IFERROR(__xludf.DUMMYFUNCTION("""COMPUTED_VALUE"""),"K0K 1H0")</f>
        <v>K0K 1H0</v>
      </c>
      <c r="E7966" s="3"/>
      <c r="F7966" s="3"/>
      <c r="G7966" s="3"/>
      <c r="H7966" s="3"/>
    </row>
    <row r="7967">
      <c r="A7967" s="2">
        <f>IFERROR(__xludf.DUMMYFUNCTION("""COMPUTED_VALUE"""),92730.0)</f>
        <v>92730</v>
      </c>
      <c r="B7967" s="3" t="str">
        <f>IFERROR(__xludf.DUMMYFUNCTION("""COMPUTED_VALUE"""),"16453 TELEPHONE RD  ")</f>
        <v>16453 TELEPHONE RD  </v>
      </c>
      <c r="C7967" s="3" t="str">
        <f>IFERROR(__xludf.DUMMYFUNCTION("""COMPUTED_VALUE"""),"BRIGHTON")</f>
        <v>BRIGHTON</v>
      </c>
      <c r="D7967" s="3" t="str">
        <f>IFERROR(__xludf.DUMMYFUNCTION("""COMPUTED_VALUE"""),"K0K 1H0")</f>
        <v>K0K 1H0</v>
      </c>
      <c r="E7967" s="3"/>
      <c r="F7967" s="3"/>
      <c r="G7967" s="3"/>
      <c r="H7967" s="3"/>
    </row>
    <row r="7968">
      <c r="A7968" s="2">
        <f>IFERROR(__xludf.DUMMYFUNCTION("""COMPUTED_VALUE"""),92731.0)</f>
        <v>92731</v>
      </c>
      <c r="B7968" s="3" t="str">
        <f>IFERROR(__xludf.DUMMYFUNCTION("""COMPUTED_VALUE"""),"16465 TELEPHONE RD  ")</f>
        <v>16465 TELEPHONE RD  </v>
      </c>
      <c r="C7968" s="3" t="str">
        <f>IFERROR(__xludf.DUMMYFUNCTION("""COMPUTED_VALUE"""),"BRIGHTON")</f>
        <v>BRIGHTON</v>
      </c>
      <c r="D7968" s="3" t="str">
        <f>IFERROR(__xludf.DUMMYFUNCTION("""COMPUTED_VALUE"""),"K0K 1H0")</f>
        <v>K0K 1H0</v>
      </c>
      <c r="E7968" s="3"/>
      <c r="F7968" s="3"/>
      <c r="G7968" s="3"/>
      <c r="H7968" s="3"/>
    </row>
    <row r="7969">
      <c r="A7969" s="2">
        <f>IFERROR(__xludf.DUMMYFUNCTION("""COMPUTED_VALUE"""),92733.0)</f>
        <v>92733</v>
      </c>
      <c r="B7969" s="3" t="str">
        <f>IFERROR(__xludf.DUMMYFUNCTION("""COMPUTED_VALUE"""),"16485 TELEPHONE RD  ")</f>
        <v>16485 TELEPHONE RD  </v>
      </c>
      <c r="C7969" s="3" t="str">
        <f>IFERROR(__xludf.DUMMYFUNCTION("""COMPUTED_VALUE"""),"BRIGHTON")</f>
        <v>BRIGHTON</v>
      </c>
      <c r="D7969" s="3" t="str">
        <f>IFERROR(__xludf.DUMMYFUNCTION("""COMPUTED_VALUE"""),"K0K 1H0")</f>
        <v>K0K 1H0</v>
      </c>
      <c r="E7969" s="3"/>
      <c r="F7969" s="3"/>
      <c r="G7969" s="3"/>
      <c r="H7969" s="3"/>
    </row>
    <row r="7970">
      <c r="A7970" s="2">
        <f>IFERROR(__xludf.DUMMYFUNCTION("""COMPUTED_VALUE"""),92754.0)</f>
        <v>92754</v>
      </c>
      <c r="B7970" s="3" t="str">
        <f>IFERROR(__xludf.DUMMYFUNCTION("""COMPUTED_VALUE"""),"16298A TELEPHONE RD  ")</f>
        <v>16298A TELEPHONE RD  </v>
      </c>
      <c r="C7970" s="3" t="str">
        <f>IFERROR(__xludf.DUMMYFUNCTION("""COMPUTED_VALUE"""),"BRIGHTON")</f>
        <v>BRIGHTON</v>
      </c>
      <c r="D7970" s="3" t="str">
        <f>IFERROR(__xludf.DUMMYFUNCTION("""COMPUTED_VALUE"""),"K0K 1H0")</f>
        <v>K0K 1H0</v>
      </c>
      <c r="E7970" s="3"/>
      <c r="F7970" s="3"/>
      <c r="G7970" s="3"/>
      <c r="H7970" s="3"/>
    </row>
    <row r="7971">
      <c r="A7971" s="2">
        <f>IFERROR(__xludf.DUMMYFUNCTION("""COMPUTED_VALUE"""),92755.0)</f>
        <v>92755</v>
      </c>
      <c r="B7971" s="3" t="str">
        <f>IFERROR(__xludf.DUMMYFUNCTION("""COMPUTED_VALUE"""),"16298B TELEPHONE RD  ")</f>
        <v>16298B TELEPHONE RD  </v>
      </c>
      <c r="C7971" s="3" t="str">
        <f>IFERROR(__xludf.DUMMYFUNCTION("""COMPUTED_VALUE"""),"BRIGHTON")</f>
        <v>BRIGHTON</v>
      </c>
      <c r="D7971" s="3" t="str">
        <f>IFERROR(__xludf.DUMMYFUNCTION("""COMPUTED_VALUE"""),"K0K 1H0")</f>
        <v>K0K 1H0</v>
      </c>
      <c r="E7971" s="3"/>
      <c r="F7971" s="3"/>
      <c r="G7971" s="3"/>
      <c r="H7971" s="3"/>
    </row>
    <row r="7972">
      <c r="A7972" s="2">
        <f>IFERROR(__xludf.DUMMYFUNCTION("""COMPUTED_VALUE"""),92724.0)</f>
        <v>92724</v>
      </c>
      <c r="B7972" s="3" t="str">
        <f>IFERROR(__xludf.DUMMYFUNCTION("""COMPUTED_VALUE"""),"16390 TELEPHONE RD  ")</f>
        <v>16390 TELEPHONE RD  </v>
      </c>
      <c r="C7972" s="3" t="str">
        <f>IFERROR(__xludf.DUMMYFUNCTION("""COMPUTED_VALUE"""),"BRIGHTON")</f>
        <v>BRIGHTON</v>
      </c>
      <c r="D7972" s="3" t="str">
        <f>IFERROR(__xludf.DUMMYFUNCTION("""COMPUTED_VALUE"""),"K0K 1H0")</f>
        <v>K0K 1H0</v>
      </c>
      <c r="E7972" s="3" t="str">
        <f>IFERROR(__xludf.DUMMYFUNCTION("""COMPUTED_VALUE"""),"Matthew Koornneef")</f>
        <v>Matthew Koornneef</v>
      </c>
      <c r="F7972" s="3" t="str">
        <f>IFERROR(__xludf.DUMMYFUNCTION("""COMPUTED_VALUE"""),"mkoornneef89@gmail.com")</f>
        <v>mkoornneef89@gmail.com</v>
      </c>
      <c r="G7972" s="3">
        <f>IFERROR(__xludf.DUMMYFUNCTION("""COMPUTED_VALUE"""),9.059783158E9)</f>
        <v>9059783158</v>
      </c>
      <c r="H7972" s="3">
        <f>IFERROR(__xludf.DUMMYFUNCTION("""COMPUTED_VALUE"""),6.138091925E9)</f>
        <v>6138091925</v>
      </c>
    </row>
    <row r="7973">
      <c r="A7973" s="2">
        <f>IFERROR(__xludf.DUMMYFUNCTION("""COMPUTED_VALUE"""),92727.0)</f>
        <v>92727</v>
      </c>
      <c r="B7973" s="3" t="str">
        <f>IFERROR(__xludf.DUMMYFUNCTION("""COMPUTED_VALUE"""),"16411 TELEPHONE RD  ")</f>
        <v>16411 TELEPHONE RD  </v>
      </c>
      <c r="C7973" s="3" t="str">
        <f>IFERROR(__xludf.DUMMYFUNCTION("""COMPUTED_VALUE"""),"BRIGHTON")</f>
        <v>BRIGHTON</v>
      </c>
      <c r="D7973" s="3" t="str">
        <f>IFERROR(__xludf.DUMMYFUNCTION("""COMPUTED_VALUE"""),"K0K 1H0")</f>
        <v>K0K 1H0</v>
      </c>
      <c r="E7973" s="3" t="str">
        <f>IFERROR(__xludf.DUMMYFUNCTION("""COMPUTED_VALUE"""),"Trudy Chilvers")</f>
        <v>Trudy Chilvers</v>
      </c>
      <c r="F7973" s="3" t="str">
        <f>IFERROR(__xludf.DUMMYFUNCTION("""COMPUTED_VALUE"""),"metalhedzx4@hotmail.comm")</f>
        <v>metalhedzx4@hotmail.comm</v>
      </c>
      <c r="G7973" s="3"/>
      <c r="H7973" s="3"/>
    </row>
    <row r="7974">
      <c r="A7974" s="2">
        <f>IFERROR(__xludf.DUMMYFUNCTION("""COMPUTED_VALUE"""),92728.0)</f>
        <v>92728</v>
      </c>
      <c r="B7974" s="3" t="str">
        <f>IFERROR(__xludf.DUMMYFUNCTION("""COMPUTED_VALUE"""),"16433 TELEPHONE RD  ")</f>
        <v>16433 TELEPHONE RD  </v>
      </c>
      <c r="C7974" s="3" t="str">
        <f>IFERROR(__xludf.DUMMYFUNCTION("""COMPUTED_VALUE"""),"BRIGHTON")</f>
        <v>BRIGHTON</v>
      </c>
      <c r="D7974" s="3" t="str">
        <f>IFERROR(__xludf.DUMMYFUNCTION("""COMPUTED_VALUE"""),"K0K 1H0")</f>
        <v>K0K 1H0</v>
      </c>
      <c r="E7974" s="3" t="str">
        <f>IFERROR(__xludf.DUMMYFUNCTION("""COMPUTED_VALUE"""),"David McLaren")</f>
        <v>David McLaren</v>
      </c>
      <c r="F7974" s="3" t="str">
        <f>IFERROR(__xludf.DUMMYFUNCTION("""COMPUTED_VALUE"""),"dmclaren36@gmail.com")</f>
        <v>dmclaren36@gmail.com</v>
      </c>
      <c r="G7974" s="3">
        <f>IFERROR(__xludf.DUMMYFUNCTION("""COMPUTED_VALUE"""),9.052134988E9)</f>
        <v>9052134988</v>
      </c>
      <c r="H7974" s="3"/>
    </row>
    <row r="7975">
      <c r="A7975" s="2">
        <f>IFERROR(__xludf.DUMMYFUNCTION("""COMPUTED_VALUE"""),92732.0)</f>
        <v>92732</v>
      </c>
      <c r="B7975" s="3" t="str">
        <f>IFERROR(__xludf.DUMMYFUNCTION("""COMPUTED_VALUE"""),"16471 TELEPHONE RD  ")</f>
        <v>16471 TELEPHONE RD  </v>
      </c>
      <c r="C7975" s="3" t="str">
        <f>IFERROR(__xludf.DUMMYFUNCTION("""COMPUTED_VALUE"""),"BRIGHTON")</f>
        <v>BRIGHTON</v>
      </c>
      <c r="D7975" s="3" t="str">
        <f>IFERROR(__xludf.DUMMYFUNCTION("""COMPUTED_VALUE"""),"K0K 1H0")</f>
        <v>K0K 1H0</v>
      </c>
      <c r="E7975" s="3" t="str">
        <f>IFERROR(__xludf.DUMMYFUNCTION("""COMPUTED_VALUE"""),"Debby Coe")</f>
        <v>Debby Coe</v>
      </c>
      <c r="F7975" s="3" t="str">
        <f>IFERROR(__xludf.DUMMYFUNCTION("""COMPUTED_VALUE"""),"debbycoe@yahoo.ca")</f>
        <v>debbycoe@yahoo.ca</v>
      </c>
      <c r="G7975" s="3">
        <f>IFERROR(__xludf.DUMMYFUNCTION("""COMPUTED_VALUE"""),6.138471779E9)</f>
        <v>6138471779</v>
      </c>
      <c r="H7975" s="3"/>
    </row>
    <row r="7976">
      <c r="A7976" s="2">
        <f>IFERROR(__xludf.DUMMYFUNCTION("""COMPUTED_VALUE"""),92660.0)</f>
        <v>92660</v>
      </c>
      <c r="B7976" s="3" t="str">
        <f>IFERROR(__xludf.DUMMYFUNCTION("""COMPUTED_VALUE"""),"15355 TELEPHONE RD  ")</f>
        <v>15355 TELEPHONE RD  </v>
      </c>
      <c r="C7976" s="3" t="str">
        <f>IFERROR(__xludf.DUMMYFUNCTION("""COMPUTED_VALUE"""),"BRIGHTON")</f>
        <v>BRIGHTON</v>
      </c>
      <c r="D7976" s="3" t="str">
        <f>IFERROR(__xludf.DUMMYFUNCTION("""COMPUTED_VALUE"""),"K0K 1H0")</f>
        <v>K0K 1H0</v>
      </c>
      <c r="E7976" s="3"/>
      <c r="F7976" s="3"/>
      <c r="G7976" s="3"/>
      <c r="H7976" s="3"/>
    </row>
    <row r="7977">
      <c r="A7977" s="2">
        <f>IFERROR(__xludf.DUMMYFUNCTION("""COMPUTED_VALUE"""),92661.0)</f>
        <v>92661</v>
      </c>
      <c r="B7977" s="3" t="str">
        <f>IFERROR(__xludf.DUMMYFUNCTION("""COMPUTED_VALUE"""),"15379 TELEPHONE RD  ")</f>
        <v>15379 TELEPHONE RD  </v>
      </c>
      <c r="C7977" s="3" t="str">
        <f>IFERROR(__xludf.DUMMYFUNCTION("""COMPUTED_VALUE"""),"BRIGHTON")</f>
        <v>BRIGHTON</v>
      </c>
      <c r="D7977" s="3" t="str">
        <f>IFERROR(__xludf.DUMMYFUNCTION("""COMPUTED_VALUE"""),"K0K 1H0")</f>
        <v>K0K 1H0</v>
      </c>
      <c r="E7977" s="3"/>
      <c r="F7977" s="3"/>
      <c r="G7977" s="3"/>
      <c r="H7977" s="3"/>
    </row>
    <row r="7978">
      <c r="A7978" s="2">
        <f>IFERROR(__xludf.DUMMYFUNCTION("""COMPUTED_VALUE"""),92662.0)</f>
        <v>92662</v>
      </c>
      <c r="B7978" s="3" t="str">
        <f>IFERROR(__xludf.DUMMYFUNCTION("""COMPUTED_VALUE"""),"15438 TELEPHONE RD  ")</f>
        <v>15438 TELEPHONE RD  </v>
      </c>
      <c r="C7978" s="3" t="str">
        <f>IFERROR(__xludf.DUMMYFUNCTION("""COMPUTED_VALUE"""),"BRIGHTON")</f>
        <v>BRIGHTON</v>
      </c>
      <c r="D7978" s="3" t="str">
        <f>IFERROR(__xludf.DUMMYFUNCTION("""COMPUTED_VALUE"""),"K0K 1H0")</f>
        <v>K0K 1H0</v>
      </c>
      <c r="E7978" s="3"/>
      <c r="F7978" s="3"/>
      <c r="G7978" s="3"/>
      <c r="H7978" s="3"/>
    </row>
    <row r="7979">
      <c r="A7979" s="2">
        <f>IFERROR(__xludf.DUMMYFUNCTION("""COMPUTED_VALUE"""),92663.0)</f>
        <v>92663</v>
      </c>
      <c r="B7979" s="3" t="str">
        <f>IFERROR(__xludf.DUMMYFUNCTION("""COMPUTED_VALUE"""),"15441 TELEPHONE RD  ")</f>
        <v>15441 TELEPHONE RD  </v>
      </c>
      <c r="C7979" s="3" t="str">
        <f>IFERROR(__xludf.DUMMYFUNCTION("""COMPUTED_VALUE"""),"BRIGHTON")</f>
        <v>BRIGHTON</v>
      </c>
      <c r="D7979" s="3" t="str">
        <f>IFERROR(__xludf.DUMMYFUNCTION("""COMPUTED_VALUE"""),"K0K 1H0")</f>
        <v>K0K 1H0</v>
      </c>
      <c r="E7979" s="3"/>
      <c r="F7979" s="3"/>
      <c r="G7979" s="3"/>
      <c r="H7979" s="3"/>
    </row>
    <row r="7980">
      <c r="A7980" s="2">
        <f>IFERROR(__xludf.DUMMYFUNCTION("""COMPUTED_VALUE"""),92664.0)</f>
        <v>92664</v>
      </c>
      <c r="B7980" s="3" t="str">
        <f>IFERROR(__xludf.DUMMYFUNCTION("""COMPUTED_VALUE"""),"15448 TELEPHONE RD  ")</f>
        <v>15448 TELEPHONE RD  </v>
      </c>
      <c r="C7980" s="3" t="str">
        <f>IFERROR(__xludf.DUMMYFUNCTION("""COMPUTED_VALUE"""),"BRIGHTON")</f>
        <v>BRIGHTON</v>
      </c>
      <c r="D7980" s="3" t="str">
        <f>IFERROR(__xludf.DUMMYFUNCTION("""COMPUTED_VALUE"""),"K0K 1H0")</f>
        <v>K0K 1H0</v>
      </c>
      <c r="E7980" s="3"/>
      <c r="F7980" s="3"/>
      <c r="G7980" s="3"/>
      <c r="H7980" s="3"/>
    </row>
    <row r="7981">
      <c r="A7981" s="2">
        <f>IFERROR(__xludf.DUMMYFUNCTION("""COMPUTED_VALUE"""),92665.0)</f>
        <v>92665</v>
      </c>
      <c r="B7981" s="3" t="str">
        <f>IFERROR(__xludf.DUMMYFUNCTION("""COMPUTED_VALUE"""),"15453 TELEPHONE RD E ")</f>
        <v>15453 TELEPHONE RD E </v>
      </c>
      <c r="C7981" s="3" t="str">
        <f>IFERROR(__xludf.DUMMYFUNCTION("""COMPUTED_VALUE"""),"BRIGHTON")</f>
        <v>BRIGHTON</v>
      </c>
      <c r="D7981" s="3" t="str">
        <f>IFERROR(__xludf.DUMMYFUNCTION("""COMPUTED_VALUE"""),"K0K 1H0")</f>
        <v>K0K 1H0</v>
      </c>
      <c r="E7981" s="3" t="str">
        <f>IFERROR(__xludf.DUMMYFUNCTION("""COMPUTED_VALUE"""),"KATRINA HARWOOD")</f>
        <v>KATRINA HARWOOD</v>
      </c>
      <c r="F7981" s="3" t="str">
        <f>IFERROR(__xludf.DUMMYFUNCTION("""COMPUTED_VALUE"""),"thumper_2469@hotmail.com")</f>
        <v>thumper_2469@hotmail.com</v>
      </c>
      <c r="G7981" s="3"/>
      <c r="H7981" s="3"/>
    </row>
    <row r="7982">
      <c r="A7982" s="2">
        <f>IFERROR(__xludf.DUMMYFUNCTION("""COMPUTED_VALUE"""),92666.0)</f>
        <v>92666</v>
      </c>
      <c r="B7982" s="3" t="str">
        <f>IFERROR(__xludf.DUMMYFUNCTION("""COMPUTED_VALUE"""),"15459 TELEPHONE RD  ")</f>
        <v>15459 TELEPHONE RD  </v>
      </c>
      <c r="C7982" s="3" t="str">
        <f>IFERROR(__xludf.DUMMYFUNCTION("""COMPUTED_VALUE"""),"BRIGHTON")</f>
        <v>BRIGHTON</v>
      </c>
      <c r="D7982" s="3" t="str">
        <f>IFERROR(__xludf.DUMMYFUNCTION("""COMPUTED_VALUE"""),"K0K 1H0")</f>
        <v>K0K 1H0</v>
      </c>
      <c r="E7982" s="3"/>
      <c r="F7982" s="3"/>
      <c r="G7982" s="3"/>
      <c r="H7982" s="3"/>
    </row>
    <row r="7983">
      <c r="A7983" s="2">
        <f>IFERROR(__xludf.DUMMYFUNCTION("""COMPUTED_VALUE"""),92667.0)</f>
        <v>92667</v>
      </c>
      <c r="B7983" s="3" t="str">
        <f>IFERROR(__xludf.DUMMYFUNCTION("""COMPUTED_VALUE"""),"15462 TELEPHONE RD  ")</f>
        <v>15462 TELEPHONE RD  </v>
      </c>
      <c r="C7983" s="3" t="str">
        <f>IFERROR(__xludf.DUMMYFUNCTION("""COMPUTED_VALUE"""),"BRIGHTON")</f>
        <v>BRIGHTON</v>
      </c>
      <c r="D7983" s="3" t="str">
        <f>IFERROR(__xludf.DUMMYFUNCTION("""COMPUTED_VALUE"""),"K0K 1H0")</f>
        <v>K0K 1H0</v>
      </c>
      <c r="E7983" s="3"/>
      <c r="F7983" s="3"/>
      <c r="G7983" s="3"/>
      <c r="H7983" s="3"/>
    </row>
    <row r="7984">
      <c r="A7984" s="2">
        <f>IFERROR(__xludf.DUMMYFUNCTION("""COMPUTED_VALUE"""),92668.0)</f>
        <v>92668</v>
      </c>
      <c r="B7984" s="3" t="str">
        <f>IFERROR(__xludf.DUMMYFUNCTION("""COMPUTED_VALUE"""),"15469 TELEPHONE RD  ")</f>
        <v>15469 TELEPHONE RD  </v>
      </c>
      <c r="C7984" s="3" t="str">
        <f>IFERROR(__xludf.DUMMYFUNCTION("""COMPUTED_VALUE"""),"BRIGHTON")</f>
        <v>BRIGHTON</v>
      </c>
      <c r="D7984" s="3" t="str">
        <f>IFERROR(__xludf.DUMMYFUNCTION("""COMPUTED_VALUE"""),"K0K 1H0")</f>
        <v>K0K 1H0</v>
      </c>
      <c r="E7984" s="3" t="str">
        <f>IFERROR(__xludf.DUMMYFUNCTION("""COMPUTED_VALUE"""),"steve ibbotson")</f>
        <v>steve ibbotson</v>
      </c>
      <c r="F7984" s="3"/>
      <c r="G7984" s="3">
        <f>IFERROR(__xludf.DUMMYFUNCTION("""COMPUTED_VALUE"""),6.134752725E9)</f>
        <v>6134752725</v>
      </c>
      <c r="H7984" s="3"/>
    </row>
    <row r="7985">
      <c r="A7985" s="2">
        <f>IFERROR(__xludf.DUMMYFUNCTION("""COMPUTED_VALUE"""),92669.0)</f>
        <v>92669</v>
      </c>
      <c r="B7985" s="3" t="str">
        <f>IFERROR(__xludf.DUMMYFUNCTION("""COMPUTED_VALUE"""),"15629 TELEPHONE RD  ")</f>
        <v>15629 TELEPHONE RD  </v>
      </c>
      <c r="C7985" s="3" t="str">
        <f>IFERROR(__xludf.DUMMYFUNCTION("""COMPUTED_VALUE"""),"BRIGHTON")</f>
        <v>BRIGHTON</v>
      </c>
      <c r="D7985" s="3" t="str">
        <f>IFERROR(__xludf.DUMMYFUNCTION("""COMPUTED_VALUE"""),"K0K 1H0")</f>
        <v>K0K 1H0</v>
      </c>
      <c r="E7985" s="3" t="str">
        <f>IFERROR(__xludf.DUMMYFUNCTION("""COMPUTED_VALUE"""),"Carson Joseph Pederson")</f>
        <v>Carson Joseph Pederson</v>
      </c>
      <c r="F7985" s="3" t="str">
        <f>IFERROR(__xludf.DUMMYFUNCTION("""COMPUTED_VALUE"""),"cp.kcconstruction@live.ca")</f>
        <v>cp.kcconstruction@live.ca</v>
      </c>
      <c r="G7985" s="3">
        <f>IFERROR(__xludf.DUMMYFUNCTION("""COMPUTED_VALUE"""),3.432635199E9)</f>
        <v>3432635199</v>
      </c>
      <c r="H7985" s="3"/>
    </row>
    <row r="7986">
      <c r="A7986" s="2">
        <f>IFERROR(__xludf.DUMMYFUNCTION("""COMPUTED_VALUE"""),92670.0)</f>
        <v>92670</v>
      </c>
      <c r="B7986" s="3" t="str">
        <f>IFERROR(__xludf.DUMMYFUNCTION("""COMPUTED_VALUE"""),"15631 TELEPHONE RD  ")</f>
        <v>15631 TELEPHONE RD  </v>
      </c>
      <c r="C7986" s="3" t="str">
        <f>IFERROR(__xludf.DUMMYFUNCTION("""COMPUTED_VALUE"""),"BRIGHTON")</f>
        <v>BRIGHTON</v>
      </c>
      <c r="D7986" s="3" t="str">
        <f>IFERROR(__xludf.DUMMYFUNCTION("""COMPUTED_VALUE"""),"K0K 1H0")</f>
        <v>K0K 1H0</v>
      </c>
      <c r="E7986" s="3" t="str">
        <f>IFERROR(__xludf.DUMMYFUNCTION("""COMPUTED_VALUE"""),"cheryl teresi")</f>
        <v>cheryl teresi</v>
      </c>
      <c r="F7986" s="3" t="str">
        <f>IFERROR(__xludf.DUMMYFUNCTION("""COMPUTED_VALUE"""),"sheriteresi@hotmail.com")</f>
        <v>sheriteresi@hotmail.com</v>
      </c>
      <c r="G7986" s="3">
        <f>IFERROR(__xludf.DUMMYFUNCTION("""COMPUTED_VALUE"""),6.13970636E9)</f>
        <v>6139706360</v>
      </c>
      <c r="H7986" s="3"/>
    </row>
    <row r="7987">
      <c r="A7987" s="2">
        <f>IFERROR(__xludf.DUMMYFUNCTION("""COMPUTED_VALUE"""),92672.0)</f>
        <v>92672</v>
      </c>
      <c r="B7987" s="3" t="str">
        <f>IFERROR(__xludf.DUMMYFUNCTION("""COMPUTED_VALUE"""),"15791 TELEPHONE RD  ")</f>
        <v>15791 TELEPHONE RD  </v>
      </c>
      <c r="C7987" s="3" t="str">
        <f>IFERROR(__xludf.DUMMYFUNCTION("""COMPUTED_VALUE"""),"BRIGHTON")</f>
        <v>BRIGHTON</v>
      </c>
      <c r="D7987" s="3" t="str">
        <f>IFERROR(__xludf.DUMMYFUNCTION("""COMPUTED_VALUE"""),"K0K 1H0")</f>
        <v>K0K 1H0</v>
      </c>
      <c r="E7987" s="3" t="str">
        <f>IFERROR(__xludf.DUMMYFUNCTION("""COMPUTED_VALUE"""),"christine cameron (Juraic)")</f>
        <v>christine cameron (Juraic)</v>
      </c>
      <c r="F7987" s="3" t="str">
        <f>IFERROR(__xludf.DUMMYFUNCTION("""COMPUTED_VALUE"""),"christinegcameron@hotmail.com")</f>
        <v>christinegcameron@hotmail.com</v>
      </c>
      <c r="G7987" s="3">
        <f>IFERROR(__xludf.DUMMYFUNCTION("""COMPUTED_VALUE"""),9.054426242E9)</f>
        <v>9054426242</v>
      </c>
      <c r="H7987" s="3">
        <f>IFERROR(__xludf.DUMMYFUNCTION("""COMPUTED_VALUE"""),9.05376708E9)</f>
        <v>9053767080</v>
      </c>
    </row>
    <row r="7988">
      <c r="A7988" s="2">
        <f>IFERROR(__xludf.DUMMYFUNCTION("""COMPUTED_VALUE"""),92681.0)</f>
        <v>92681</v>
      </c>
      <c r="B7988" s="3" t="str">
        <f>IFERROR(__xludf.DUMMYFUNCTION("""COMPUTED_VALUE"""),"16029 TELEPHONE RD  ")</f>
        <v>16029 TELEPHONE RD  </v>
      </c>
      <c r="C7988" s="3" t="str">
        <f>IFERROR(__xludf.DUMMYFUNCTION("""COMPUTED_VALUE"""),"BRIGHTON")</f>
        <v>BRIGHTON</v>
      </c>
      <c r="D7988" s="3" t="str">
        <f>IFERROR(__xludf.DUMMYFUNCTION("""COMPUTED_VALUE"""),"K0K 1H0")</f>
        <v>K0K 1H0</v>
      </c>
      <c r="E7988" s="3" t="str">
        <f>IFERROR(__xludf.DUMMYFUNCTION("""COMPUTED_VALUE"""),"blair mcpherson")</f>
        <v>blair mcpherson</v>
      </c>
      <c r="F7988" s="3" t="str">
        <f>IFERROR(__xludf.DUMMYFUNCTION("""COMPUTED_VALUE"""),"blairmcpherson205@gmail.com")</f>
        <v>blairmcpherson205@gmail.com</v>
      </c>
      <c r="G7988" s="3">
        <f>IFERROR(__xludf.DUMMYFUNCTION("""COMPUTED_VALUE"""),6.139221763E9)</f>
        <v>6139221763</v>
      </c>
      <c r="H7988" s="3"/>
    </row>
    <row r="7989">
      <c r="A7989" s="2">
        <f>IFERROR(__xludf.DUMMYFUNCTION("""COMPUTED_VALUE"""),92753.0)</f>
        <v>92753</v>
      </c>
      <c r="B7989" s="3" t="str">
        <f>IFERROR(__xludf.DUMMYFUNCTION("""COMPUTED_VALUE"""),"15483-15515 TELEPHONE RD  ")</f>
        <v>15483-15515 TELEPHONE RD  </v>
      </c>
      <c r="C7989" s="3" t="str">
        <f>IFERROR(__xludf.DUMMYFUNCTION("""COMPUTED_VALUE"""),"BRIGHTON")</f>
        <v>BRIGHTON</v>
      </c>
      <c r="D7989" s="3" t="str">
        <f>IFERROR(__xludf.DUMMYFUNCTION("""COMPUTED_VALUE"""),"K0K 1H0")</f>
        <v>K0K 1H0</v>
      </c>
      <c r="E7989" s="3" t="str">
        <f>IFERROR(__xludf.DUMMYFUNCTION("""COMPUTED_VALUE"""),"robert potter")</f>
        <v>robert potter</v>
      </c>
      <c r="F7989" s="3"/>
      <c r="G7989" s="3">
        <f>IFERROR(__xludf.DUMMYFUNCTION("""COMPUTED_VALUE"""),3.432638693E9)</f>
        <v>3432638693</v>
      </c>
      <c r="H7989" s="3"/>
    </row>
    <row r="7990">
      <c r="A7990" s="2">
        <f>IFERROR(__xludf.DUMMYFUNCTION("""COMPUTED_VALUE"""),92671.0)</f>
        <v>92671</v>
      </c>
      <c r="B7990" s="3" t="str">
        <f>IFERROR(__xludf.DUMMYFUNCTION("""COMPUTED_VALUE"""),"15773 TELEPHONE RD  ")</f>
        <v>15773 TELEPHONE RD  </v>
      </c>
      <c r="C7990" s="3" t="str">
        <f>IFERROR(__xludf.DUMMYFUNCTION("""COMPUTED_VALUE"""),"BRIGHTON")</f>
        <v>BRIGHTON</v>
      </c>
      <c r="D7990" s="3" t="str">
        <f>IFERROR(__xludf.DUMMYFUNCTION("""COMPUTED_VALUE"""),"K0K 1H0")</f>
        <v>K0K 1H0</v>
      </c>
      <c r="E7990" s="3" t="str">
        <f>IFERROR(__xludf.DUMMYFUNCTION("""COMPUTED_VALUE"""),"Don Vanes &amp; Elizabeth Vanes ")</f>
        <v>Don Vanes &amp; Elizabeth Vanes </v>
      </c>
      <c r="F7990" s="3" t="str">
        <f>IFERROR(__xludf.DUMMYFUNCTION("""COMPUTED_VALUE"""),"donvanes@gmail.com")</f>
        <v>donvanes@gmail.com</v>
      </c>
      <c r="G7990" s="3"/>
      <c r="H7990" s="3"/>
    </row>
    <row r="7991">
      <c r="A7991" s="2">
        <f>IFERROR(__xludf.DUMMYFUNCTION("""COMPUTED_VALUE"""),92674.0)</f>
        <v>92674</v>
      </c>
      <c r="B7991" s="3" t="str">
        <f>IFERROR(__xludf.DUMMYFUNCTION("""COMPUTED_VALUE"""),"15947 TELEPHONE RD  ")</f>
        <v>15947 TELEPHONE RD  </v>
      </c>
      <c r="C7991" s="3" t="str">
        <f>IFERROR(__xludf.DUMMYFUNCTION("""COMPUTED_VALUE"""),"BRIGHTON")</f>
        <v>BRIGHTON</v>
      </c>
      <c r="D7991" s="3" t="str">
        <f>IFERROR(__xludf.DUMMYFUNCTION("""COMPUTED_VALUE"""),"K0K 1H0")</f>
        <v>K0K 1H0</v>
      </c>
      <c r="E7991" s="3" t="str">
        <f>IFERROR(__xludf.DUMMYFUNCTION("""COMPUTED_VALUE"""),"phyllis ash")</f>
        <v>phyllis ash</v>
      </c>
      <c r="F7991" s="3" t="str">
        <f>IFERROR(__xludf.DUMMYFUNCTION("""COMPUTED_VALUE"""),"bpash67@gmail.com")</f>
        <v>bpash67@gmail.com</v>
      </c>
      <c r="G7991" s="3">
        <f>IFERROR(__xludf.DUMMYFUNCTION("""COMPUTED_VALUE"""),6.477056052E9)</f>
        <v>6477056052</v>
      </c>
      <c r="H7991" s="3">
        <f>IFERROR(__xludf.DUMMYFUNCTION("""COMPUTED_VALUE"""),6.473448258E9)</f>
        <v>6473448258</v>
      </c>
    </row>
    <row r="7992">
      <c r="A7992" s="2">
        <f>IFERROR(__xludf.DUMMYFUNCTION("""COMPUTED_VALUE"""),92676.0)</f>
        <v>92676</v>
      </c>
      <c r="B7992" s="3" t="str">
        <f>IFERROR(__xludf.DUMMYFUNCTION("""COMPUTED_VALUE"""),"15969 TELEPHONE RD  ")</f>
        <v>15969 TELEPHONE RD  </v>
      </c>
      <c r="C7992" s="3" t="str">
        <f>IFERROR(__xludf.DUMMYFUNCTION("""COMPUTED_VALUE"""),"BRIGHTON")</f>
        <v>BRIGHTON</v>
      </c>
      <c r="D7992" s="3" t="str">
        <f>IFERROR(__xludf.DUMMYFUNCTION("""COMPUTED_VALUE"""),"K0K 1H0")</f>
        <v>K0K 1H0</v>
      </c>
      <c r="E7992" s="3" t="str">
        <f>IFERROR(__xludf.DUMMYFUNCTION("""COMPUTED_VALUE"""),"claude ")</f>
        <v>claude </v>
      </c>
      <c r="F7992" s="3"/>
      <c r="G7992" s="3">
        <f>IFERROR(__xludf.DUMMYFUNCTION("""COMPUTED_VALUE"""),9.058099869E9)</f>
        <v>9058099869</v>
      </c>
      <c r="H7992" s="3"/>
    </row>
    <row r="7993">
      <c r="A7993" s="2">
        <f>IFERROR(__xludf.DUMMYFUNCTION("""COMPUTED_VALUE"""),92678.0)</f>
        <v>92678</v>
      </c>
      <c r="B7993" s="3" t="str">
        <f>IFERROR(__xludf.DUMMYFUNCTION("""COMPUTED_VALUE"""),"15989 TELEPHONE RD  ")</f>
        <v>15989 TELEPHONE RD  </v>
      </c>
      <c r="C7993" s="3" t="str">
        <f>IFERROR(__xludf.DUMMYFUNCTION("""COMPUTED_VALUE"""),"BRIGHTON")</f>
        <v>BRIGHTON</v>
      </c>
      <c r="D7993" s="3" t="str">
        <f>IFERROR(__xludf.DUMMYFUNCTION("""COMPUTED_VALUE"""),"K0K 1H0")</f>
        <v>K0K 1H0</v>
      </c>
      <c r="E7993" s="3"/>
      <c r="F7993" s="3"/>
      <c r="G7993" s="3"/>
      <c r="H7993" s="3"/>
    </row>
    <row r="7994">
      <c r="A7994" s="2">
        <f>IFERROR(__xludf.DUMMYFUNCTION("""COMPUTED_VALUE"""),92679.0)</f>
        <v>92679</v>
      </c>
      <c r="B7994" s="3" t="str">
        <f>IFERROR(__xludf.DUMMYFUNCTION("""COMPUTED_VALUE"""),"16001 TELEPHONE RD  ")</f>
        <v>16001 TELEPHONE RD  </v>
      </c>
      <c r="C7994" s="3" t="str">
        <f>IFERROR(__xludf.DUMMYFUNCTION("""COMPUTED_VALUE"""),"BRIGHTON")</f>
        <v>BRIGHTON</v>
      </c>
      <c r="D7994" s="3" t="str">
        <f>IFERROR(__xludf.DUMMYFUNCTION("""COMPUTED_VALUE"""),"K0K 1H0")</f>
        <v>K0K 1H0</v>
      </c>
      <c r="E7994" s="3" t="str">
        <f>IFERROR(__xludf.DUMMYFUNCTION("""COMPUTED_VALUE"""),"nryce longhurst")</f>
        <v>nryce longhurst</v>
      </c>
      <c r="F7994" s="3"/>
      <c r="G7994" s="3">
        <f>IFERROR(__xludf.DUMMYFUNCTION("""COMPUTED_VALUE"""),6.138481724E9)</f>
        <v>6138481724</v>
      </c>
      <c r="H7994" s="3"/>
    </row>
    <row r="7995">
      <c r="A7995" s="2">
        <f>IFERROR(__xludf.DUMMYFUNCTION("""COMPUTED_VALUE"""),92680.0)</f>
        <v>92680</v>
      </c>
      <c r="B7995" s="3" t="str">
        <f>IFERROR(__xludf.DUMMYFUNCTION("""COMPUTED_VALUE"""),"16015 TELEPHONE RD  ")</f>
        <v>16015 TELEPHONE RD  </v>
      </c>
      <c r="C7995" s="3" t="str">
        <f>IFERROR(__xludf.DUMMYFUNCTION("""COMPUTED_VALUE"""),"BRIGHTON")</f>
        <v>BRIGHTON</v>
      </c>
      <c r="D7995" s="3" t="str">
        <f>IFERROR(__xludf.DUMMYFUNCTION("""COMPUTED_VALUE"""),"K0K 1H0")</f>
        <v>K0K 1H0</v>
      </c>
      <c r="E7995" s="3" t="str">
        <f>IFERROR(__xludf.DUMMYFUNCTION("""COMPUTED_VALUE"""),"jamie covell")</f>
        <v>jamie covell</v>
      </c>
      <c r="F7995" s="3" t="str">
        <f>IFERROR(__xludf.DUMMYFUNCTION("""COMPUTED_VALUE"""),"jamiecovell79@gmail.com")</f>
        <v>jamiecovell79@gmail.com</v>
      </c>
      <c r="G7995" s="3">
        <f>IFERROR(__xludf.DUMMYFUNCTION("""COMPUTED_VALUE"""),6.139209201E9)</f>
        <v>6139209201</v>
      </c>
      <c r="H7995" s="3"/>
    </row>
    <row r="7996">
      <c r="A7996" s="2">
        <f>IFERROR(__xludf.DUMMYFUNCTION("""COMPUTED_VALUE"""),92682.0)</f>
        <v>92682</v>
      </c>
      <c r="B7996" s="3" t="str">
        <f>IFERROR(__xludf.DUMMYFUNCTION("""COMPUTED_VALUE"""),"16035 TELEPHONE RD  ")</f>
        <v>16035 TELEPHONE RD  </v>
      </c>
      <c r="C7996" s="3" t="str">
        <f>IFERROR(__xludf.DUMMYFUNCTION("""COMPUTED_VALUE"""),"BRIGHTON")</f>
        <v>BRIGHTON</v>
      </c>
      <c r="D7996" s="3" t="str">
        <f>IFERROR(__xludf.DUMMYFUNCTION("""COMPUTED_VALUE"""),"K0K 1H0")</f>
        <v>K0K 1H0</v>
      </c>
      <c r="E7996" s="3" t="str">
        <f>IFERROR(__xludf.DUMMYFUNCTION("""COMPUTED_VALUE"""),"dianne richey")</f>
        <v>dianne richey</v>
      </c>
      <c r="F7996" s="3" t="str">
        <f>IFERROR(__xludf.DUMMYFUNCTION("""COMPUTED_VALUE"""),"diannerichey9@gmail.com")</f>
        <v>diannerichey9@gmail.com</v>
      </c>
      <c r="G7996" s="3">
        <f>IFERROR(__xludf.DUMMYFUNCTION("""COMPUTED_VALUE"""),7.059170355E9)</f>
        <v>7059170355</v>
      </c>
      <c r="H7996" s="3"/>
    </row>
    <row r="7997">
      <c r="A7997" s="2">
        <f>IFERROR(__xludf.DUMMYFUNCTION("""COMPUTED_VALUE"""),92683.0)</f>
        <v>92683</v>
      </c>
      <c r="B7997" s="3" t="str">
        <f>IFERROR(__xludf.DUMMYFUNCTION("""COMPUTED_VALUE"""),"16038 TELEPHONE RD  ")</f>
        <v>16038 TELEPHONE RD  </v>
      </c>
      <c r="C7997" s="3" t="str">
        <f>IFERROR(__xludf.DUMMYFUNCTION("""COMPUTED_VALUE"""),"BRIGHTON")</f>
        <v>BRIGHTON</v>
      </c>
      <c r="D7997" s="3" t="str">
        <f>IFERROR(__xludf.DUMMYFUNCTION("""COMPUTED_VALUE"""),"K0K 1H0")</f>
        <v>K0K 1H0</v>
      </c>
      <c r="E7997" s="3" t="str">
        <f>IFERROR(__xludf.DUMMYFUNCTION("""COMPUTED_VALUE"""),"Sharon Kelly")</f>
        <v>Sharon Kelly</v>
      </c>
      <c r="F7997" s="3" t="str">
        <f>IFERROR(__xludf.DUMMYFUNCTION("""COMPUTED_VALUE"""),"skmissen@hotmail.com")</f>
        <v>skmissen@hotmail.com</v>
      </c>
      <c r="G7997" s="3">
        <f>IFERROR(__xludf.DUMMYFUNCTION("""COMPUTED_VALUE"""),4.167320355E9)</f>
        <v>4167320355</v>
      </c>
      <c r="H7997" s="3">
        <f>IFERROR(__xludf.DUMMYFUNCTION("""COMPUTED_VALUE"""),4.168382655E9)</f>
        <v>4168382655</v>
      </c>
    </row>
    <row r="7998">
      <c r="A7998" s="2">
        <f>IFERROR(__xludf.DUMMYFUNCTION("""COMPUTED_VALUE"""),92685.0)</f>
        <v>92685</v>
      </c>
      <c r="B7998" s="3" t="str">
        <f>IFERROR(__xludf.DUMMYFUNCTION("""COMPUTED_VALUE"""),"16048 TELEPHONE RD  ")</f>
        <v>16048 TELEPHONE RD  </v>
      </c>
      <c r="C7998" s="3" t="str">
        <f>IFERROR(__xludf.DUMMYFUNCTION("""COMPUTED_VALUE"""),"BRIGHTON")</f>
        <v>BRIGHTON</v>
      </c>
      <c r="D7998" s="3" t="str">
        <f>IFERROR(__xludf.DUMMYFUNCTION("""COMPUTED_VALUE"""),"K0K 1H0")</f>
        <v>K0K 1H0</v>
      </c>
      <c r="E7998" s="3"/>
      <c r="F7998" s="3"/>
      <c r="G7998" s="3"/>
      <c r="H7998" s="3"/>
    </row>
    <row r="7999">
      <c r="A7999" s="2">
        <f>IFERROR(__xludf.DUMMYFUNCTION("""COMPUTED_VALUE"""),92686.0)</f>
        <v>92686</v>
      </c>
      <c r="B7999" s="3" t="str">
        <f>IFERROR(__xludf.DUMMYFUNCTION("""COMPUTED_VALUE"""),"16055 TELEPHONE RD  ")</f>
        <v>16055 TELEPHONE RD  </v>
      </c>
      <c r="C7999" s="3" t="str">
        <f>IFERROR(__xludf.DUMMYFUNCTION("""COMPUTED_VALUE"""),"BRIGHTON")</f>
        <v>BRIGHTON</v>
      </c>
      <c r="D7999" s="3" t="str">
        <f>IFERROR(__xludf.DUMMYFUNCTION("""COMPUTED_VALUE"""),"K0K 1H0")</f>
        <v>K0K 1H0</v>
      </c>
      <c r="E7999" s="3" t="str">
        <f>IFERROR(__xludf.DUMMYFUNCTION("""COMPUTED_VALUE"""),"m. caissir")</f>
        <v>m. caissir</v>
      </c>
      <c r="F7999" s="3" t="str">
        <f>IFERROR(__xludf.DUMMYFUNCTION("""COMPUTED_VALUE"""),"comsarge76@gmail.com")</f>
        <v>comsarge76@gmail.com</v>
      </c>
      <c r="G7999" s="3">
        <f>IFERROR(__xludf.DUMMYFUNCTION("""COMPUTED_VALUE"""),7.059553164E9)</f>
        <v>7059553164</v>
      </c>
      <c r="H7999" s="3"/>
    </row>
    <row r="8000">
      <c r="A8000" s="2">
        <f>IFERROR(__xludf.DUMMYFUNCTION("""COMPUTED_VALUE"""),92687.0)</f>
        <v>92687</v>
      </c>
      <c r="B8000" s="3" t="str">
        <f>IFERROR(__xludf.DUMMYFUNCTION("""COMPUTED_VALUE"""),"16058 TELEPHONE RD  ")</f>
        <v>16058 TELEPHONE RD  </v>
      </c>
      <c r="C8000" s="3" t="str">
        <f>IFERROR(__xludf.DUMMYFUNCTION("""COMPUTED_VALUE"""),"BRIGHTON")</f>
        <v>BRIGHTON</v>
      </c>
      <c r="D8000" s="3" t="str">
        <f>IFERROR(__xludf.DUMMYFUNCTION("""COMPUTED_VALUE"""),"K0K 1H0")</f>
        <v>K0K 1H0</v>
      </c>
      <c r="E8000" s="3" t="str">
        <f>IFERROR(__xludf.DUMMYFUNCTION("""COMPUTED_VALUE"""),"doug o'blenes")</f>
        <v>doug o'blenes</v>
      </c>
      <c r="F8000" s="3"/>
      <c r="G8000" s="3">
        <f>IFERROR(__xludf.DUMMYFUNCTION("""COMPUTED_VALUE"""),9.054405398E9)</f>
        <v>9054405398</v>
      </c>
      <c r="H8000" s="3"/>
    </row>
    <row r="8001">
      <c r="A8001" s="2">
        <f>IFERROR(__xludf.DUMMYFUNCTION("""COMPUTED_VALUE"""),92689.0)</f>
        <v>92689</v>
      </c>
      <c r="B8001" s="3" t="str">
        <f>IFERROR(__xludf.DUMMYFUNCTION("""COMPUTED_VALUE"""),"16071 TELEPHONE RD  ")</f>
        <v>16071 TELEPHONE RD  </v>
      </c>
      <c r="C8001" s="3" t="str">
        <f>IFERROR(__xludf.DUMMYFUNCTION("""COMPUTED_VALUE"""),"BRIGHTON")</f>
        <v>BRIGHTON</v>
      </c>
      <c r="D8001" s="3" t="str">
        <f>IFERROR(__xludf.DUMMYFUNCTION("""COMPUTED_VALUE"""),"K0K 1H0")</f>
        <v>K0K 1H0</v>
      </c>
      <c r="E8001" s="3"/>
      <c r="F8001" s="3"/>
      <c r="G8001" s="3"/>
      <c r="H8001" s="3"/>
    </row>
    <row r="8002">
      <c r="A8002" s="2">
        <f>IFERROR(__xludf.DUMMYFUNCTION("""COMPUTED_VALUE"""),92691.0)</f>
        <v>92691</v>
      </c>
      <c r="B8002" s="3" t="str">
        <f>IFERROR(__xludf.DUMMYFUNCTION("""COMPUTED_VALUE"""),"16078 TELEPHONE RD  ")</f>
        <v>16078 TELEPHONE RD  </v>
      </c>
      <c r="C8002" s="3" t="str">
        <f>IFERROR(__xludf.DUMMYFUNCTION("""COMPUTED_VALUE"""),"BRIGHTON")</f>
        <v>BRIGHTON</v>
      </c>
      <c r="D8002" s="3" t="str">
        <f>IFERROR(__xludf.DUMMYFUNCTION("""COMPUTED_VALUE"""),"K0K 1H0")</f>
        <v>K0K 1H0</v>
      </c>
      <c r="E8002" s="3"/>
      <c r="F8002" s="3"/>
      <c r="G8002" s="3"/>
      <c r="H8002" s="3"/>
    </row>
    <row r="8003">
      <c r="A8003" s="2">
        <f>IFERROR(__xludf.DUMMYFUNCTION("""COMPUTED_VALUE"""),92694.0)</f>
        <v>92694</v>
      </c>
      <c r="B8003" s="3" t="str">
        <f>IFERROR(__xludf.DUMMYFUNCTION("""COMPUTED_VALUE"""),"16104 TELEPHONE RD  ")</f>
        <v>16104 TELEPHONE RD  </v>
      </c>
      <c r="C8003" s="3" t="str">
        <f>IFERROR(__xludf.DUMMYFUNCTION("""COMPUTED_VALUE"""),"BRIGHTON")</f>
        <v>BRIGHTON</v>
      </c>
      <c r="D8003" s="3" t="str">
        <f>IFERROR(__xludf.DUMMYFUNCTION("""COMPUTED_VALUE"""),"K0K 1H0")</f>
        <v>K0K 1H0</v>
      </c>
      <c r="E8003" s="3"/>
      <c r="F8003" s="3"/>
      <c r="G8003" s="3"/>
      <c r="H8003" s="3"/>
    </row>
    <row r="8004">
      <c r="A8004" s="2">
        <f>IFERROR(__xludf.DUMMYFUNCTION("""COMPUTED_VALUE"""),92695.0)</f>
        <v>92695</v>
      </c>
      <c r="B8004" s="3" t="str">
        <f>IFERROR(__xludf.DUMMYFUNCTION("""COMPUTED_VALUE"""),"16107 TELEPHONE RD  ")</f>
        <v>16107 TELEPHONE RD  </v>
      </c>
      <c r="C8004" s="3" t="str">
        <f>IFERROR(__xludf.DUMMYFUNCTION("""COMPUTED_VALUE"""),"BRIGHTON")</f>
        <v>BRIGHTON</v>
      </c>
      <c r="D8004" s="3" t="str">
        <f>IFERROR(__xludf.DUMMYFUNCTION("""COMPUTED_VALUE"""),"K0K 1H0")</f>
        <v>K0K 1H0</v>
      </c>
      <c r="E8004" s="3"/>
      <c r="F8004" s="3"/>
      <c r="G8004" s="3"/>
      <c r="H8004" s="3"/>
    </row>
    <row r="8005">
      <c r="A8005" s="2">
        <f>IFERROR(__xludf.DUMMYFUNCTION("""COMPUTED_VALUE"""),92696.0)</f>
        <v>92696</v>
      </c>
      <c r="B8005" s="3" t="str">
        <f>IFERROR(__xludf.DUMMYFUNCTION("""COMPUTED_VALUE"""),"16120 TELEPHONE RD  ")</f>
        <v>16120 TELEPHONE RD  </v>
      </c>
      <c r="C8005" s="3" t="str">
        <f>IFERROR(__xludf.DUMMYFUNCTION("""COMPUTED_VALUE"""),"BRIGHTON")</f>
        <v>BRIGHTON</v>
      </c>
      <c r="D8005" s="3" t="str">
        <f>IFERROR(__xludf.DUMMYFUNCTION("""COMPUTED_VALUE"""),"K0K 1H0")</f>
        <v>K0K 1H0</v>
      </c>
      <c r="E8005" s="3" t="str">
        <f>IFERROR(__xludf.DUMMYFUNCTION("""COMPUTED_VALUE"""),"jennifer daniels ")</f>
        <v>jennifer daniels </v>
      </c>
      <c r="F8005" s="3"/>
      <c r="G8005" s="3">
        <f>IFERROR(__xludf.DUMMYFUNCTION("""COMPUTED_VALUE"""),6.132427031E9)</f>
        <v>6132427031</v>
      </c>
      <c r="H8005" s="3"/>
    </row>
    <row r="8006">
      <c r="A8006" s="2">
        <f>IFERROR(__xludf.DUMMYFUNCTION("""COMPUTED_VALUE"""),92699.0)</f>
        <v>92699</v>
      </c>
      <c r="B8006" s="3" t="str">
        <f>IFERROR(__xludf.DUMMYFUNCTION("""COMPUTED_VALUE"""),"16131 TELEPHONE RD  ")</f>
        <v>16131 TELEPHONE RD  </v>
      </c>
      <c r="C8006" s="3" t="str">
        <f>IFERROR(__xludf.DUMMYFUNCTION("""COMPUTED_VALUE"""),"BRIGHTON")</f>
        <v>BRIGHTON</v>
      </c>
      <c r="D8006" s="3" t="str">
        <f>IFERROR(__xludf.DUMMYFUNCTION("""COMPUTED_VALUE"""),"K0K 1H0")</f>
        <v>K0K 1H0</v>
      </c>
      <c r="E8006" s="3"/>
      <c r="F8006" s="3"/>
      <c r="G8006" s="3"/>
      <c r="H8006" s="3"/>
    </row>
    <row r="8007">
      <c r="A8007" s="2">
        <f>IFERROR(__xludf.DUMMYFUNCTION("""COMPUTED_VALUE"""),92701.0)</f>
        <v>92701</v>
      </c>
      <c r="B8007" s="3" t="str">
        <f>IFERROR(__xludf.DUMMYFUNCTION("""COMPUTED_VALUE"""),"16146 TELEPHONE RD  ")</f>
        <v>16146 TELEPHONE RD  </v>
      </c>
      <c r="C8007" s="3" t="str">
        <f>IFERROR(__xludf.DUMMYFUNCTION("""COMPUTED_VALUE"""),"BRIGHTON")</f>
        <v>BRIGHTON</v>
      </c>
      <c r="D8007" s="3" t="str">
        <f>IFERROR(__xludf.DUMMYFUNCTION("""COMPUTED_VALUE"""),"K0K 1H0")</f>
        <v>K0K 1H0</v>
      </c>
      <c r="E8007" s="3"/>
      <c r="F8007" s="3"/>
      <c r="G8007" s="3"/>
      <c r="H8007" s="3"/>
    </row>
    <row r="8008">
      <c r="A8008" s="2">
        <f>IFERROR(__xludf.DUMMYFUNCTION("""COMPUTED_VALUE"""),92703.0)</f>
        <v>92703</v>
      </c>
      <c r="B8008" s="3" t="str">
        <f>IFERROR(__xludf.DUMMYFUNCTION("""COMPUTED_VALUE"""),"16156 TELEPHONE RD  ")</f>
        <v>16156 TELEPHONE RD  </v>
      </c>
      <c r="C8008" s="3" t="str">
        <f>IFERROR(__xludf.DUMMYFUNCTION("""COMPUTED_VALUE"""),"BRIGHTON")</f>
        <v>BRIGHTON</v>
      </c>
      <c r="D8008" s="3" t="str">
        <f>IFERROR(__xludf.DUMMYFUNCTION("""COMPUTED_VALUE"""),"K0K 1H0")</f>
        <v>K0K 1H0</v>
      </c>
      <c r="E8008" s="3" t="str">
        <f>IFERROR(__xludf.DUMMYFUNCTION("""COMPUTED_VALUE"""),"Joe Breznik")</f>
        <v>Joe Breznik</v>
      </c>
      <c r="F8008" s="3" t="str">
        <f>IFERROR(__xludf.DUMMYFUNCTION("""COMPUTED_VALUE"""),"joetravellerca@yahoo.ca")</f>
        <v>joetravellerca@yahoo.ca</v>
      </c>
      <c r="G8008" s="3">
        <f>IFERROR(__xludf.DUMMYFUNCTION("""COMPUTED_VALUE"""),6.138474814E9)</f>
        <v>6138474814</v>
      </c>
      <c r="H8008" s="3"/>
    </row>
    <row r="8009">
      <c r="A8009" s="2">
        <f>IFERROR(__xludf.DUMMYFUNCTION("""COMPUTED_VALUE"""),92705.0)</f>
        <v>92705</v>
      </c>
      <c r="B8009" s="3" t="str">
        <f>IFERROR(__xludf.DUMMYFUNCTION("""COMPUTED_VALUE"""),"16180 TELEPHONE RD  ")</f>
        <v>16180 TELEPHONE RD  </v>
      </c>
      <c r="C8009" s="3" t="str">
        <f>IFERROR(__xludf.DUMMYFUNCTION("""COMPUTED_VALUE"""),"BRIGHTON")</f>
        <v>BRIGHTON</v>
      </c>
      <c r="D8009" s="3" t="str">
        <f>IFERROR(__xludf.DUMMYFUNCTION("""COMPUTED_VALUE"""),"K0K 1H0")</f>
        <v>K0K 1H0</v>
      </c>
      <c r="E8009" s="3" t="str">
        <f>IFERROR(__xludf.DUMMYFUNCTION("""COMPUTED_VALUE"""),"william dougherty")</f>
        <v>william dougherty</v>
      </c>
      <c r="F8009" s="3" t="str">
        <f>IFERROR(__xludf.DUMMYFUNCTION("""COMPUTED_VALUE"""),"kraken16180@gmail.com")</f>
        <v>kraken16180@gmail.com</v>
      </c>
      <c r="G8009" s="3">
        <f>IFERROR(__xludf.DUMMYFUNCTION("""COMPUTED_VALUE"""),6.478587663E9)</f>
        <v>6478587663</v>
      </c>
      <c r="H8009" s="3"/>
    </row>
    <row r="8010">
      <c r="A8010" s="2">
        <f>IFERROR(__xludf.DUMMYFUNCTION("""COMPUTED_VALUE"""),92707.0)</f>
        <v>92707</v>
      </c>
      <c r="B8010" s="3" t="str">
        <f>IFERROR(__xludf.DUMMYFUNCTION("""COMPUTED_VALUE"""),"16232 TELEPHONE RD  ")</f>
        <v>16232 TELEPHONE RD  </v>
      </c>
      <c r="C8010" s="3" t="str">
        <f>IFERROR(__xludf.DUMMYFUNCTION("""COMPUTED_VALUE"""),"BRIGHTON")</f>
        <v>BRIGHTON</v>
      </c>
      <c r="D8010" s="3" t="str">
        <f>IFERROR(__xludf.DUMMYFUNCTION("""COMPUTED_VALUE"""),"K0K 1H0")</f>
        <v>K0K 1H0</v>
      </c>
      <c r="E8010" s="3"/>
      <c r="F8010" s="3"/>
      <c r="G8010" s="3"/>
      <c r="H8010" s="3"/>
    </row>
    <row r="8011">
      <c r="A8011" s="2">
        <f>IFERROR(__xludf.DUMMYFUNCTION("""COMPUTED_VALUE"""),92710.0)</f>
        <v>92710</v>
      </c>
      <c r="B8011" s="3" t="str">
        <f>IFERROR(__xludf.DUMMYFUNCTION("""COMPUTED_VALUE"""),"16252 TELEPHONE RD  ")</f>
        <v>16252 TELEPHONE RD  </v>
      </c>
      <c r="C8011" s="3" t="str">
        <f>IFERROR(__xludf.DUMMYFUNCTION("""COMPUTED_VALUE"""),"BRIGHTON")</f>
        <v>BRIGHTON</v>
      </c>
      <c r="D8011" s="3" t="str">
        <f>IFERROR(__xludf.DUMMYFUNCTION("""COMPUTED_VALUE"""),"K0K 1H0")</f>
        <v>K0K 1H0</v>
      </c>
      <c r="E8011" s="3"/>
      <c r="F8011" s="3"/>
      <c r="G8011" s="3"/>
      <c r="H8011" s="3"/>
    </row>
    <row r="8012">
      <c r="A8012" s="2">
        <f>IFERROR(__xludf.DUMMYFUNCTION("""COMPUTED_VALUE"""),92711.0)</f>
        <v>92711</v>
      </c>
      <c r="B8012" s="3" t="str">
        <f>IFERROR(__xludf.DUMMYFUNCTION("""COMPUTED_VALUE"""),"16255 TELEPHONE RD  ")</f>
        <v>16255 TELEPHONE RD  </v>
      </c>
      <c r="C8012" s="3" t="str">
        <f>IFERROR(__xludf.DUMMYFUNCTION("""COMPUTED_VALUE"""),"BRIGHTON")</f>
        <v>BRIGHTON</v>
      </c>
      <c r="D8012" s="3" t="str">
        <f>IFERROR(__xludf.DUMMYFUNCTION("""COMPUTED_VALUE"""),"K0K 1H0")</f>
        <v>K0K 1H0</v>
      </c>
      <c r="E8012" s="3" t="str">
        <f>IFERROR(__xludf.DUMMYFUNCTION("""COMPUTED_VALUE"""),"dinis neves ")</f>
        <v>dinis neves </v>
      </c>
      <c r="F8012" s="3" t="str">
        <f>IFERROR(__xludf.DUMMYFUNCTION("""COMPUTED_VALUE"""),"dinisneves@msn.com")</f>
        <v>dinisneves@msn.com</v>
      </c>
      <c r="G8012" s="3">
        <f>IFERROR(__xludf.DUMMYFUNCTION("""COMPUTED_VALUE"""),6.138473628E9)</f>
        <v>6138473628</v>
      </c>
      <c r="H8012" s="3"/>
    </row>
    <row r="8013">
      <c r="A8013" s="2">
        <f>IFERROR(__xludf.DUMMYFUNCTION("""COMPUTED_VALUE"""),92712.0)</f>
        <v>92712</v>
      </c>
      <c r="B8013" s="3" t="str">
        <f>IFERROR(__xludf.DUMMYFUNCTION("""COMPUTED_VALUE"""),"16263 TELEPHONE RD  ")</f>
        <v>16263 TELEPHONE RD  </v>
      </c>
      <c r="C8013" s="3" t="str">
        <f>IFERROR(__xludf.DUMMYFUNCTION("""COMPUTED_VALUE"""),"BRIGHTON")</f>
        <v>BRIGHTON</v>
      </c>
      <c r="D8013" s="3" t="str">
        <f>IFERROR(__xludf.DUMMYFUNCTION("""COMPUTED_VALUE"""),"K0K 1H0")</f>
        <v>K0K 1H0</v>
      </c>
      <c r="E8013" s="3" t="str">
        <f>IFERROR(__xludf.DUMMYFUNCTION("""COMPUTED_VALUE"""),"david argue ")</f>
        <v>david argue </v>
      </c>
      <c r="F8013" s="3" t="str">
        <f>IFERROR(__xludf.DUMMYFUNCTION("""COMPUTED_VALUE"""),"davidargue2@gmail.com")</f>
        <v>davidargue2@gmail.com</v>
      </c>
      <c r="G8013" s="3">
        <f>IFERROR(__xludf.DUMMYFUNCTION("""COMPUTED_VALUE"""),6.134752018E9)</f>
        <v>6134752018</v>
      </c>
      <c r="H8013" s="3"/>
    </row>
    <row r="8014">
      <c r="A8014" s="2">
        <f>IFERROR(__xludf.DUMMYFUNCTION("""COMPUTED_VALUE"""),92714.0)</f>
        <v>92714</v>
      </c>
      <c r="B8014" s="3" t="str">
        <f>IFERROR(__xludf.DUMMYFUNCTION("""COMPUTED_VALUE"""),"16273 TELEPHONE RD  ")</f>
        <v>16273 TELEPHONE RD  </v>
      </c>
      <c r="C8014" s="3" t="str">
        <f>IFERROR(__xludf.DUMMYFUNCTION("""COMPUTED_VALUE"""),"BRIGHTON")</f>
        <v>BRIGHTON</v>
      </c>
      <c r="D8014" s="3" t="str">
        <f>IFERROR(__xludf.DUMMYFUNCTION("""COMPUTED_VALUE"""),"K0K 1H0")</f>
        <v>K0K 1H0</v>
      </c>
      <c r="E8014" s="3" t="str">
        <f>IFERROR(__xludf.DUMMYFUNCTION("""COMPUTED_VALUE"""),"ron hayward ")</f>
        <v>ron hayward </v>
      </c>
      <c r="F8014" s="3" t="str">
        <f>IFERROR(__xludf.DUMMYFUNCTION("""COMPUTED_VALUE"""),"last_exiled@yahoo.ca")</f>
        <v>last_exiled@yahoo.ca</v>
      </c>
      <c r="G8014" s="3"/>
      <c r="H8014" s="3"/>
    </row>
    <row r="8015">
      <c r="A8015" s="2">
        <f>IFERROR(__xludf.DUMMYFUNCTION("""COMPUTED_VALUE"""),92716.0)</f>
        <v>92716</v>
      </c>
      <c r="B8015" s="3" t="str">
        <f>IFERROR(__xludf.DUMMYFUNCTION("""COMPUTED_VALUE"""),"16279 TELEPHONE RD  ")</f>
        <v>16279 TELEPHONE RD  </v>
      </c>
      <c r="C8015" s="3" t="str">
        <f>IFERROR(__xludf.DUMMYFUNCTION("""COMPUTED_VALUE"""),"BRIGHTON")</f>
        <v>BRIGHTON</v>
      </c>
      <c r="D8015" s="3" t="str">
        <f>IFERROR(__xludf.DUMMYFUNCTION("""COMPUTED_VALUE"""),"K0K 1H0")</f>
        <v>K0K 1H0</v>
      </c>
      <c r="E8015" s="3" t="str">
        <f>IFERROR(__xludf.DUMMYFUNCTION("""COMPUTED_VALUE"""),"brenda piere ")</f>
        <v>brenda piere </v>
      </c>
      <c r="F8015" s="3" t="str">
        <f>IFERROR(__xludf.DUMMYFUNCTION("""COMPUTED_VALUE"""),"bpiere@bell.net")</f>
        <v>bpiere@bell.net</v>
      </c>
      <c r="G8015" s="3">
        <f>IFERROR(__xludf.DUMMYFUNCTION("""COMPUTED_VALUE"""),6.13403069E9)</f>
        <v>6134030690</v>
      </c>
      <c r="H8015" s="3"/>
    </row>
    <row r="8016">
      <c r="A8016" s="2">
        <f>IFERROR(__xludf.DUMMYFUNCTION("""COMPUTED_VALUE"""),92717.0)</f>
        <v>92717</v>
      </c>
      <c r="B8016" s="3" t="str">
        <f>IFERROR(__xludf.DUMMYFUNCTION("""COMPUTED_VALUE"""),"16286 TELEPHONE RD  ")</f>
        <v>16286 TELEPHONE RD  </v>
      </c>
      <c r="C8016" s="3" t="str">
        <f>IFERROR(__xludf.DUMMYFUNCTION("""COMPUTED_VALUE"""),"BRIGHTON")</f>
        <v>BRIGHTON</v>
      </c>
      <c r="D8016" s="3" t="str">
        <f>IFERROR(__xludf.DUMMYFUNCTION("""COMPUTED_VALUE"""),"K0K 1H0")</f>
        <v>K0K 1H0</v>
      </c>
      <c r="E8016" s="3" t="str">
        <f>IFERROR(__xludf.DUMMYFUNCTION("""COMPUTED_VALUE"""),"Patrick Dionne")</f>
        <v>Patrick Dionne</v>
      </c>
      <c r="F8016" s="3" t="str">
        <f>IFERROR(__xludf.DUMMYFUNCTION("""COMPUTED_VALUE"""),"gwenclo@gmail.com")</f>
        <v>gwenclo@gmail.com</v>
      </c>
      <c r="G8016" s="3"/>
      <c r="H8016" s="3"/>
    </row>
    <row r="8017">
      <c r="A8017" s="2">
        <f>IFERROR(__xludf.DUMMYFUNCTION("""COMPUTED_VALUE"""),92718.0)</f>
        <v>92718</v>
      </c>
      <c r="B8017" s="3" t="str">
        <f>IFERROR(__xludf.DUMMYFUNCTION("""COMPUTED_VALUE"""),"16295 TELEPHONE RD  ")</f>
        <v>16295 TELEPHONE RD  </v>
      </c>
      <c r="C8017" s="3" t="str">
        <f>IFERROR(__xludf.DUMMYFUNCTION("""COMPUTED_VALUE"""),"BRIGHTON")</f>
        <v>BRIGHTON</v>
      </c>
      <c r="D8017" s="3" t="str">
        <f>IFERROR(__xludf.DUMMYFUNCTION("""COMPUTED_VALUE"""),"K0K 1H0")</f>
        <v>K0K 1H0</v>
      </c>
      <c r="E8017" s="3"/>
      <c r="F8017" s="3"/>
      <c r="G8017" s="3"/>
      <c r="H8017" s="3"/>
    </row>
    <row r="8018">
      <c r="A8018" s="2">
        <f>IFERROR(__xludf.DUMMYFUNCTION("""COMPUTED_VALUE"""),92673.0)</f>
        <v>92673</v>
      </c>
      <c r="B8018" s="3" t="str">
        <f>IFERROR(__xludf.DUMMYFUNCTION("""COMPUTED_VALUE"""),"15937 TELEPHONE RD  ")</f>
        <v>15937 TELEPHONE RD  </v>
      </c>
      <c r="C8018" s="3" t="str">
        <f>IFERROR(__xludf.DUMMYFUNCTION("""COMPUTED_VALUE"""),"BRIGHTON")</f>
        <v>BRIGHTON</v>
      </c>
      <c r="D8018" s="3" t="str">
        <f>IFERROR(__xludf.DUMMYFUNCTION("""COMPUTED_VALUE"""),"K0K 1H0")</f>
        <v>K0K 1H0</v>
      </c>
      <c r="E8018" s="3" t="str">
        <f>IFERROR(__xludf.DUMMYFUNCTION("""COMPUTED_VALUE"""),"Terry Petronio")</f>
        <v>Terry Petronio</v>
      </c>
      <c r="F8018" s="3" t="str">
        <f>IFERROR(__xludf.DUMMYFUNCTION("""COMPUTED_VALUE"""),"terry_701@msn.com")</f>
        <v>terry_701@msn.com</v>
      </c>
      <c r="G8018" s="3">
        <f>IFERROR(__xludf.DUMMYFUNCTION("""COMPUTED_VALUE"""),9.058090757E9)</f>
        <v>9058090757</v>
      </c>
      <c r="H8018" s="3"/>
    </row>
    <row r="8019">
      <c r="A8019" s="2">
        <f>IFERROR(__xludf.DUMMYFUNCTION("""COMPUTED_VALUE"""),92675.0)</f>
        <v>92675</v>
      </c>
      <c r="B8019" s="3" t="str">
        <f>IFERROR(__xludf.DUMMYFUNCTION("""COMPUTED_VALUE"""),"15955 TELEPHONE RD  ")</f>
        <v>15955 TELEPHONE RD  </v>
      </c>
      <c r="C8019" s="3" t="str">
        <f>IFERROR(__xludf.DUMMYFUNCTION("""COMPUTED_VALUE"""),"BRIGHTON")</f>
        <v>BRIGHTON</v>
      </c>
      <c r="D8019" s="3" t="str">
        <f>IFERROR(__xludf.DUMMYFUNCTION("""COMPUTED_VALUE"""),"K0K 1H0")</f>
        <v>K0K 1H0</v>
      </c>
      <c r="E8019" s="3" t="str">
        <f>IFERROR(__xludf.DUMMYFUNCTION("""COMPUTED_VALUE"""),"Chris Sills")</f>
        <v>Chris Sills</v>
      </c>
      <c r="F8019" s="3" t="str">
        <f>IFERROR(__xludf.DUMMYFUNCTION("""COMPUTED_VALUE"""),"Tweeder_0082@hotmail.com")</f>
        <v>Tweeder_0082@hotmail.com</v>
      </c>
      <c r="G8019" s="3">
        <f>IFERROR(__xludf.DUMMYFUNCTION("""COMPUTED_VALUE"""),6.138480069E9)</f>
        <v>6138480069</v>
      </c>
      <c r="H8019" s="3"/>
    </row>
    <row r="8020">
      <c r="A8020" s="2">
        <f>IFERROR(__xludf.DUMMYFUNCTION("""COMPUTED_VALUE"""),92677.0)</f>
        <v>92677</v>
      </c>
      <c r="B8020" s="3" t="str">
        <f>IFERROR(__xludf.DUMMYFUNCTION("""COMPUTED_VALUE"""),"15977 TELEPHONE RD  ")</f>
        <v>15977 TELEPHONE RD  </v>
      </c>
      <c r="C8020" s="3" t="str">
        <f>IFERROR(__xludf.DUMMYFUNCTION("""COMPUTED_VALUE"""),"BRIGHTON")</f>
        <v>BRIGHTON</v>
      </c>
      <c r="D8020" s="3" t="str">
        <f>IFERROR(__xludf.DUMMYFUNCTION("""COMPUTED_VALUE"""),"K0K 1H0")</f>
        <v>K0K 1H0</v>
      </c>
      <c r="E8020" s="3" t="str">
        <f>IFERROR(__xludf.DUMMYFUNCTION("""COMPUTED_VALUE"""),"Lynne Ingram")</f>
        <v>Lynne Ingram</v>
      </c>
      <c r="F8020" s="3" t="str">
        <f>IFERROR(__xludf.DUMMYFUNCTION("""COMPUTED_VALUE"""),"lynneingram67@gmail.com")</f>
        <v>lynneingram67@gmail.com</v>
      </c>
      <c r="G8020" s="3">
        <f>IFERROR(__xludf.DUMMYFUNCTION("""COMPUTED_VALUE"""),6.134755614E9)</f>
        <v>6134755614</v>
      </c>
      <c r="H8020" s="3">
        <f>IFERROR(__xludf.DUMMYFUNCTION("""COMPUTED_VALUE"""),6.13848004E9)</f>
        <v>6138480040</v>
      </c>
    </row>
    <row r="8021">
      <c r="A8021" s="2">
        <f>IFERROR(__xludf.DUMMYFUNCTION("""COMPUTED_VALUE"""),92684.0)</f>
        <v>92684</v>
      </c>
      <c r="B8021" s="3" t="str">
        <f>IFERROR(__xludf.DUMMYFUNCTION("""COMPUTED_VALUE"""),"16047 TELEPHONE RD  ")</f>
        <v>16047 TELEPHONE RD  </v>
      </c>
      <c r="C8021" s="3" t="str">
        <f>IFERROR(__xludf.DUMMYFUNCTION("""COMPUTED_VALUE"""),"BRIGHTON")</f>
        <v>BRIGHTON</v>
      </c>
      <c r="D8021" s="3" t="str">
        <f>IFERROR(__xludf.DUMMYFUNCTION("""COMPUTED_VALUE"""),"K0K 1H0")</f>
        <v>K0K 1H0</v>
      </c>
      <c r="E8021" s="3" t="str">
        <f>IFERROR(__xludf.DUMMYFUNCTION("""COMPUTED_VALUE"""),"Carolyn Globe")</f>
        <v>Carolyn Globe</v>
      </c>
      <c r="F8021" s="3" t="str">
        <f>IFERROR(__xludf.DUMMYFUNCTION("""COMPUTED_VALUE"""),"cjglobe@hotmail.com")</f>
        <v>cjglobe@hotmail.com</v>
      </c>
      <c r="G8021" s="3"/>
      <c r="H8021" s="3"/>
    </row>
    <row r="8022">
      <c r="A8022" s="2">
        <f>IFERROR(__xludf.DUMMYFUNCTION("""COMPUTED_VALUE"""),92688.0)</f>
        <v>92688</v>
      </c>
      <c r="B8022" s="3" t="str">
        <f>IFERROR(__xludf.DUMMYFUNCTION("""COMPUTED_VALUE"""),"16068 TELEPHONE RD  ")</f>
        <v>16068 TELEPHONE RD  </v>
      </c>
      <c r="C8022" s="3" t="str">
        <f>IFERROR(__xludf.DUMMYFUNCTION("""COMPUTED_VALUE"""),"BRIGHTON")</f>
        <v>BRIGHTON</v>
      </c>
      <c r="D8022" s="3" t="str">
        <f>IFERROR(__xludf.DUMMYFUNCTION("""COMPUTED_VALUE"""),"K0K 1H0")</f>
        <v>K0K 1H0</v>
      </c>
      <c r="E8022" s="3" t="str">
        <f>IFERROR(__xludf.DUMMYFUNCTION("""COMPUTED_VALUE"""),"NESKENS DORCELUS")</f>
        <v>NESKENS DORCELUS</v>
      </c>
      <c r="F8022" s="3" t="str">
        <f>IFERROR(__xludf.DUMMYFUNCTION("""COMPUTED_VALUE"""),"DNESKENS@YAHOO.COM")</f>
        <v>DNESKENS@YAHOO.COM</v>
      </c>
      <c r="G8022" s="3">
        <f>IFERROR(__xludf.DUMMYFUNCTION("""COMPUTED_VALUE"""),2.894045366E9)</f>
        <v>2894045366</v>
      </c>
      <c r="H8022" s="3">
        <f>IFERROR(__xludf.DUMMYFUNCTION("""COMPUTED_VALUE"""),6.4774593E9)</f>
        <v>6477459300</v>
      </c>
    </row>
    <row r="8023">
      <c r="A8023" s="2">
        <f>IFERROR(__xludf.DUMMYFUNCTION("""COMPUTED_VALUE"""),92690.0)</f>
        <v>92690</v>
      </c>
      <c r="B8023" s="3" t="str">
        <f>IFERROR(__xludf.DUMMYFUNCTION("""COMPUTED_VALUE"""),"16073 TELEPHONE RD  ")</f>
        <v>16073 TELEPHONE RD  </v>
      </c>
      <c r="C8023" s="3" t="str">
        <f>IFERROR(__xludf.DUMMYFUNCTION("""COMPUTED_VALUE"""),"BRIGHTON")</f>
        <v>BRIGHTON</v>
      </c>
      <c r="D8023" s="3" t="str">
        <f>IFERROR(__xludf.DUMMYFUNCTION("""COMPUTED_VALUE"""),"K0K 1H0")</f>
        <v>K0K 1H0</v>
      </c>
      <c r="E8023" s="3" t="str">
        <f>IFERROR(__xludf.DUMMYFUNCTION("""COMPUTED_VALUE"""),"Tom Coombs ")</f>
        <v>Tom Coombs </v>
      </c>
      <c r="F8023" s="3" t="str">
        <f>IFERROR(__xludf.DUMMYFUNCTION("""COMPUTED_VALUE"""),"tcoombs724@gmail.com")</f>
        <v>tcoombs724@gmail.com</v>
      </c>
      <c r="G8023" s="3"/>
      <c r="H8023" s="3"/>
    </row>
    <row r="8024">
      <c r="A8024" s="2">
        <f>IFERROR(__xludf.DUMMYFUNCTION("""COMPUTED_VALUE"""),92692.0)</f>
        <v>92692</v>
      </c>
      <c r="B8024" s="3" t="str">
        <f>IFERROR(__xludf.DUMMYFUNCTION("""COMPUTED_VALUE"""),"16085 TELEPHONE RD  ")</f>
        <v>16085 TELEPHONE RD  </v>
      </c>
      <c r="C8024" s="3" t="str">
        <f>IFERROR(__xludf.DUMMYFUNCTION("""COMPUTED_VALUE"""),"BRIGHTON")</f>
        <v>BRIGHTON</v>
      </c>
      <c r="D8024" s="3" t="str">
        <f>IFERROR(__xludf.DUMMYFUNCTION("""COMPUTED_VALUE"""),"K0K 1H0")</f>
        <v>K0K 1H0</v>
      </c>
      <c r="E8024" s="3" t="str">
        <f>IFERROR(__xludf.DUMMYFUNCTION("""COMPUTED_VALUE"""),"Paul Hodgins")</f>
        <v>Paul Hodgins</v>
      </c>
      <c r="F8024" s="3" t="str">
        <f>IFERROR(__xludf.DUMMYFUNCTION("""COMPUTED_VALUE"""),"paulhodgins.hei@gmail.com")</f>
        <v>paulhodgins.hei@gmail.com</v>
      </c>
      <c r="G8024" s="3"/>
      <c r="H8024" s="3"/>
    </row>
    <row r="8025">
      <c r="A8025" s="2">
        <f>IFERROR(__xludf.DUMMYFUNCTION("""COMPUTED_VALUE"""),92693.0)</f>
        <v>92693</v>
      </c>
      <c r="B8025" s="3" t="str">
        <f>IFERROR(__xludf.DUMMYFUNCTION("""COMPUTED_VALUE"""),"16092 TELEPHONE RD  ")</f>
        <v>16092 TELEPHONE RD  </v>
      </c>
      <c r="C8025" s="3" t="str">
        <f>IFERROR(__xludf.DUMMYFUNCTION("""COMPUTED_VALUE"""),"BRIGHTON")</f>
        <v>BRIGHTON</v>
      </c>
      <c r="D8025" s="3" t="str">
        <f>IFERROR(__xludf.DUMMYFUNCTION("""COMPUTED_VALUE"""),"K0K 1H0")</f>
        <v>K0K 1H0</v>
      </c>
      <c r="E8025" s="3" t="str">
        <f>IFERROR(__xludf.DUMMYFUNCTION("""COMPUTED_VALUE"""),"Jesse hoeg")</f>
        <v>Jesse hoeg</v>
      </c>
      <c r="F8025" s="3" t="str">
        <f>IFERROR(__xludf.DUMMYFUNCTION("""COMPUTED_VALUE"""),"jessehoeg@hotmail.com")</f>
        <v>jessehoeg@hotmail.com</v>
      </c>
      <c r="G8025" s="3">
        <f>IFERROR(__xludf.DUMMYFUNCTION("""COMPUTED_VALUE"""),2.892515651E9)</f>
        <v>2892515651</v>
      </c>
      <c r="H8025" s="3"/>
    </row>
    <row r="8026">
      <c r="A8026" s="2">
        <f>IFERROR(__xludf.DUMMYFUNCTION("""COMPUTED_VALUE"""),92697.0)</f>
        <v>92697</v>
      </c>
      <c r="B8026" s="3" t="str">
        <f>IFERROR(__xludf.DUMMYFUNCTION("""COMPUTED_VALUE"""),"16121 TELEPHONE RD  ")</f>
        <v>16121 TELEPHONE RD  </v>
      </c>
      <c r="C8026" s="3" t="str">
        <f>IFERROR(__xludf.DUMMYFUNCTION("""COMPUTED_VALUE"""),"BRIGHTON")</f>
        <v>BRIGHTON</v>
      </c>
      <c r="D8026" s="3" t="str">
        <f>IFERROR(__xludf.DUMMYFUNCTION("""COMPUTED_VALUE"""),"K0K 1H0")</f>
        <v>K0K 1H0</v>
      </c>
      <c r="E8026" s="3" t="str">
        <f>IFERROR(__xludf.DUMMYFUNCTION("""COMPUTED_VALUE"""),"Joe Karasz")</f>
        <v>Joe Karasz</v>
      </c>
      <c r="F8026" s="3" t="str">
        <f>IFERROR(__xludf.DUMMYFUNCTION("""COMPUTED_VALUE"""),"ottilia.joseph@gmail.com")</f>
        <v>ottilia.joseph@gmail.com</v>
      </c>
      <c r="G8026" s="3">
        <f>IFERROR(__xludf.DUMMYFUNCTION("""COMPUTED_VALUE"""),6.134751834E9)</f>
        <v>6134751834</v>
      </c>
      <c r="H8026" s="3"/>
    </row>
    <row r="8027">
      <c r="A8027" s="2">
        <f>IFERROR(__xludf.DUMMYFUNCTION("""COMPUTED_VALUE"""),92698.0)</f>
        <v>92698</v>
      </c>
      <c r="B8027" s="3" t="str">
        <f>IFERROR(__xludf.DUMMYFUNCTION("""COMPUTED_VALUE"""),"16124 TELEPHONE RD  ")</f>
        <v>16124 TELEPHONE RD  </v>
      </c>
      <c r="C8027" s="3" t="str">
        <f>IFERROR(__xludf.DUMMYFUNCTION("""COMPUTED_VALUE"""),"BRIGHTON")</f>
        <v>BRIGHTON</v>
      </c>
      <c r="D8027" s="3" t="str">
        <f>IFERROR(__xludf.DUMMYFUNCTION("""COMPUTED_VALUE"""),"K0K 1H0")</f>
        <v>K0K 1H0</v>
      </c>
      <c r="E8027" s="3" t="str">
        <f>IFERROR(__xludf.DUMMYFUNCTION("""COMPUTED_VALUE"""),"Bianca Gray ")</f>
        <v>Bianca Gray </v>
      </c>
      <c r="F8027" s="3" t="str">
        <f>IFERROR(__xludf.DUMMYFUNCTION("""COMPUTED_VALUE"""),"biancaandgirls@gmail.com")</f>
        <v>biancaandgirls@gmail.com</v>
      </c>
      <c r="G8027" s="3"/>
      <c r="H8027" s="3"/>
    </row>
    <row r="8028">
      <c r="A8028" s="2">
        <f>IFERROR(__xludf.DUMMYFUNCTION("""COMPUTED_VALUE"""),92700.0)</f>
        <v>92700</v>
      </c>
      <c r="B8028" s="3" t="str">
        <f>IFERROR(__xludf.DUMMYFUNCTION("""COMPUTED_VALUE"""),"16144 TELEPHONE RD  ")</f>
        <v>16144 TELEPHONE RD  </v>
      </c>
      <c r="C8028" s="3" t="str">
        <f>IFERROR(__xludf.DUMMYFUNCTION("""COMPUTED_VALUE"""),"BRIGHTON")</f>
        <v>BRIGHTON</v>
      </c>
      <c r="D8028" s="3" t="str">
        <f>IFERROR(__xludf.DUMMYFUNCTION("""COMPUTED_VALUE"""),"K0K 1H0")</f>
        <v>K0K 1H0</v>
      </c>
      <c r="E8028" s="3" t="str">
        <f>IFERROR(__xludf.DUMMYFUNCTION("""COMPUTED_VALUE"""),"MICHAEL SCHUILENBERG")</f>
        <v>MICHAEL SCHUILENBERG</v>
      </c>
      <c r="F8028" s="3" t="str">
        <f>IFERROR(__xludf.DUMMYFUNCTION("""COMPUTED_VALUE"""),"mschuilenberg@gmail.comM")</f>
        <v>mschuilenberg@gmail.comM</v>
      </c>
      <c r="G8028" s="3"/>
      <c r="H8028" s="3"/>
    </row>
    <row r="8029">
      <c r="A8029" s="2">
        <f>IFERROR(__xludf.DUMMYFUNCTION("""COMPUTED_VALUE"""),92702.0)</f>
        <v>92702</v>
      </c>
      <c r="B8029" s="3" t="str">
        <f>IFERROR(__xludf.DUMMYFUNCTION("""COMPUTED_VALUE"""),"16149 TELEPHONE RD  ")</f>
        <v>16149 TELEPHONE RD  </v>
      </c>
      <c r="C8029" s="3" t="str">
        <f>IFERROR(__xludf.DUMMYFUNCTION("""COMPUTED_VALUE"""),"BRIGHTON")</f>
        <v>BRIGHTON</v>
      </c>
      <c r="D8029" s="3" t="str">
        <f>IFERROR(__xludf.DUMMYFUNCTION("""COMPUTED_VALUE"""),"K0K 1H0")</f>
        <v>K0K 1H0</v>
      </c>
      <c r="E8029" s="3" t="str">
        <f>IFERROR(__xludf.DUMMYFUNCTION("""COMPUTED_VALUE"""),"Rick Shaw")</f>
        <v>Rick Shaw</v>
      </c>
      <c r="F8029" s="3" t="str">
        <f>IFERROR(__xludf.DUMMYFUNCTION("""COMPUTED_VALUE"""),"lrshaw@live.ca")</f>
        <v>lrshaw@live.ca</v>
      </c>
      <c r="G8029" s="3"/>
      <c r="H8029" s="3"/>
    </row>
    <row r="8030">
      <c r="A8030" s="2">
        <f>IFERROR(__xludf.DUMMYFUNCTION("""COMPUTED_VALUE"""),92704.0)</f>
        <v>92704</v>
      </c>
      <c r="B8030" s="3" t="str">
        <f>IFERROR(__xludf.DUMMYFUNCTION("""COMPUTED_VALUE"""),"16174 TELEPHONE RD  ")</f>
        <v>16174 TELEPHONE RD  </v>
      </c>
      <c r="C8030" s="3" t="str">
        <f>IFERROR(__xludf.DUMMYFUNCTION("""COMPUTED_VALUE"""),"BRIGHTON")</f>
        <v>BRIGHTON</v>
      </c>
      <c r="D8030" s="3" t="str">
        <f>IFERROR(__xludf.DUMMYFUNCTION("""COMPUTED_VALUE"""),"K0K 1H0")</f>
        <v>K0K 1H0</v>
      </c>
      <c r="E8030" s="3" t="str">
        <f>IFERROR(__xludf.DUMMYFUNCTION("""COMPUTED_VALUE"""),"Katherine Christian")</f>
        <v>Katherine Christian</v>
      </c>
      <c r="F8030" s="3" t="str">
        <f>IFERROR(__xludf.DUMMYFUNCTION("""COMPUTED_VALUE"""),"dana.kathy.c@gmail.com")</f>
        <v>dana.kathy.c@gmail.com</v>
      </c>
      <c r="G8030" s="3">
        <f>IFERROR(__xludf.DUMMYFUNCTION("""COMPUTED_VALUE"""),6.137432819E9)</f>
        <v>6137432819</v>
      </c>
      <c r="H8030" s="3"/>
    </row>
    <row r="8031">
      <c r="A8031" s="2">
        <f>IFERROR(__xludf.DUMMYFUNCTION("""COMPUTED_VALUE"""),92706.0)</f>
        <v>92706</v>
      </c>
      <c r="B8031" s="3" t="str">
        <f>IFERROR(__xludf.DUMMYFUNCTION("""COMPUTED_VALUE"""),"16228 TELEPHONE RD  ")</f>
        <v>16228 TELEPHONE RD  </v>
      </c>
      <c r="C8031" s="3" t="str">
        <f>IFERROR(__xludf.DUMMYFUNCTION("""COMPUTED_VALUE"""),"BRIGHTON")</f>
        <v>BRIGHTON</v>
      </c>
      <c r="D8031" s="3" t="str">
        <f>IFERROR(__xludf.DUMMYFUNCTION("""COMPUTED_VALUE"""),"K0K 1H0")</f>
        <v>K0K 1H0</v>
      </c>
      <c r="E8031" s="3" t="str">
        <f>IFERROR(__xludf.DUMMYFUNCTION("""COMPUTED_VALUE"""),"JN &amp; Pat Leblanc")</f>
        <v>JN &amp; Pat Leblanc</v>
      </c>
      <c r="F8031" s="3" t="str">
        <f>IFERROR(__xludf.DUMMYFUNCTION("""COMPUTED_VALUE"""),"pat.d.leblanc@gmail.com")</f>
        <v>pat.d.leblanc@gmail.com</v>
      </c>
      <c r="G8031" s="3"/>
      <c r="H8031" s="3"/>
    </row>
    <row r="8032">
      <c r="A8032" s="2">
        <f>IFERROR(__xludf.DUMMYFUNCTION("""COMPUTED_VALUE"""),92708.0)</f>
        <v>92708</v>
      </c>
      <c r="B8032" s="3" t="str">
        <f>IFERROR(__xludf.DUMMYFUNCTION("""COMPUTED_VALUE"""),"16235 TELEPHONE RD  ")</f>
        <v>16235 TELEPHONE RD  </v>
      </c>
      <c r="C8032" s="3" t="str">
        <f>IFERROR(__xludf.DUMMYFUNCTION("""COMPUTED_VALUE"""),"BRIGHTON")</f>
        <v>BRIGHTON</v>
      </c>
      <c r="D8032" s="3" t="str">
        <f>IFERROR(__xludf.DUMMYFUNCTION("""COMPUTED_VALUE"""),"K0K 1H0")</f>
        <v>K0K 1H0</v>
      </c>
      <c r="E8032" s="3" t="str">
        <f>IFERROR(__xludf.DUMMYFUNCTION("""COMPUTED_VALUE"""),"George Boyko")</f>
        <v>George Boyko</v>
      </c>
      <c r="F8032" s="3" t="str">
        <f>IFERROR(__xludf.DUMMYFUNCTION("""COMPUTED_VALUE"""),"gboyko245@gmail.com")</f>
        <v>gboyko245@gmail.com</v>
      </c>
      <c r="G8032" s="3"/>
      <c r="H8032" s="3"/>
    </row>
    <row r="8033">
      <c r="A8033" s="2">
        <f>IFERROR(__xludf.DUMMYFUNCTION("""COMPUTED_VALUE"""),92709.0)</f>
        <v>92709</v>
      </c>
      <c r="B8033" s="3" t="str">
        <f>IFERROR(__xludf.DUMMYFUNCTION("""COMPUTED_VALUE"""),"16249 TELEPHONE RD  ")</f>
        <v>16249 TELEPHONE RD  </v>
      </c>
      <c r="C8033" s="3" t="str">
        <f>IFERROR(__xludf.DUMMYFUNCTION("""COMPUTED_VALUE"""),"BRIGHTON")</f>
        <v>BRIGHTON</v>
      </c>
      <c r="D8033" s="3" t="str">
        <f>IFERROR(__xludf.DUMMYFUNCTION("""COMPUTED_VALUE"""),"K0K 1H0")</f>
        <v>K0K 1H0</v>
      </c>
      <c r="E8033" s="3" t="str">
        <f>IFERROR(__xludf.DUMMYFUNCTION("""COMPUTED_VALUE"""),"JEFFREY S WHALLEY")</f>
        <v>JEFFREY S WHALLEY</v>
      </c>
      <c r="F8033" s="3" t="str">
        <f>IFERROR(__xludf.DUMMYFUNCTION("""COMPUTED_VALUE"""),"jsvjw@hotmail.com")</f>
        <v>jsvjw@hotmail.com</v>
      </c>
      <c r="G8033" s="3">
        <f>IFERROR(__xludf.DUMMYFUNCTION("""COMPUTED_VALUE"""),9.054355831E9)</f>
        <v>9054355831</v>
      </c>
      <c r="H8033" s="3">
        <f>IFERROR(__xludf.DUMMYFUNCTION("""COMPUTED_VALUE"""),9.059250168E9)</f>
        <v>9059250168</v>
      </c>
    </row>
    <row r="8034">
      <c r="A8034" s="2">
        <f>IFERROR(__xludf.DUMMYFUNCTION("""COMPUTED_VALUE"""),92713.0)</f>
        <v>92713</v>
      </c>
      <c r="B8034" s="3" t="str">
        <f>IFERROR(__xludf.DUMMYFUNCTION("""COMPUTED_VALUE"""),"16264 TELEPHONE RD  ")</f>
        <v>16264 TELEPHONE RD  </v>
      </c>
      <c r="C8034" s="3" t="str">
        <f>IFERROR(__xludf.DUMMYFUNCTION("""COMPUTED_VALUE"""),"BRIGHTON")</f>
        <v>BRIGHTON</v>
      </c>
      <c r="D8034" s="3" t="str">
        <f>IFERROR(__xludf.DUMMYFUNCTION("""COMPUTED_VALUE"""),"K0K 1H0")</f>
        <v>K0K 1H0</v>
      </c>
      <c r="E8034" s="3" t="str">
        <f>IFERROR(__xludf.DUMMYFUNCTION("""COMPUTED_VALUE"""),"Paul Stevens")</f>
        <v>Paul Stevens</v>
      </c>
      <c r="F8034" s="3" t="str">
        <f>IFERROR(__xludf.DUMMYFUNCTION("""COMPUTED_VALUE"""),"pstevens000@lice.con")</f>
        <v>pstevens000@lice.con</v>
      </c>
      <c r="G8034" s="3">
        <f>IFERROR(__xludf.DUMMYFUNCTION("""COMPUTED_VALUE"""),6.139204812E9)</f>
        <v>6139204812</v>
      </c>
      <c r="H8034" s="3"/>
    </row>
    <row r="8035">
      <c r="A8035" s="2">
        <f>IFERROR(__xludf.DUMMYFUNCTION("""COMPUTED_VALUE"""),92715.0)</f>
        <v>92715</v>
      </c>
      <c r="B8035" s="3" t="str">
        <f>IFERROR(__xludf.DUMMYFUNCTION("""COMPUTED_VALUE"""),"16276 TELEPHONE RD  ")</f>
        <v>16276 TELEPHONE RD  </v>
      </c>
      <c r="C8035" s="3" t="str">
        <f>IFERROR(__xludf.DUMMYFUNCTION("""COMPUTED_VALUE"""),"BRIGHTON")</f>
        <v>BRIGHTON</v>
      </c>
      <c r="D8035" s="3" t="str">
        <f>IFERROR(__xludf.DUMMYFUNCTION("""COMPUTED_VALUE"""),"K0K 1H0")</f>
        <v>K0K 1H0</v>
      </c>
      <c r="E8035" s="3" t="str">
        <f>IFERROR(__xludf.DUMMYFUNCTION("""COMPUTED_VALUE"""),"Barry Fenton")</f>
        <v>Barry Fenton</v>
      </c>
      <c r="F8035" s="3" t="str">
        <f>IFERROR(__xludf.DUMMYFUNCTION("""COMPUTED_VALUE"""),"b.fenton@outlook.com")</f>
        <v>b.fenton@outlook.com</v>
      </c>
      <c r="G8035" s="3"/>
      <c r="H8035" s="3"/>
    </row>
    <row r="8036">
      <c r="A8036" s="2">
        <f>IFERROR(__xludf.DUMMYFUNCTION("""COMPUTED_VALUE"""),92719.0)</f>
        <v>92719</v>
      </c>
      <c r="B8036" s="3" t="str">
        <f>IFERROR(__xludf.DUMMYFUNCTION("""COMPUTED_VALUE"""),"16299 TELEPHONE RD  ")</f>
        <v>16299 TELEPHONE RD  </v>
      </c>
      <c r="C8036" s="3" t="str">
        <f>IFERROR(__xludf.DUMMYFUNCTION("""COMPUTED_VALUE"""),"BRIGHTON")</f>
        <v>BRIGHTON</v>
      </c>
      <c r="D8036" s="3" t="str">
        <f>IFERROR(__xludf.DUMMYFUNCTION("""COMPUTED_VALUE"""),"K0K 1H0")</f>
        <v>K0K 1H0</v>
      </c>
      <c r="E8036" s="3" t="str">
        <f>IFERROR(__xludf.DUMMYFUNCTION("""COMPUTED_VALUE"""),"Johnathan O'Brien")</f>
        <v>Johnathan O'Brien</v>
      </c>
      <c r="F8036" s="3" t="str">
        <f>IFERROR(__xludf.DUMMYFUNCTION("""COMPUTED_VALUE"""),"johnathanobrien101@gmail.com")</f>
        <v>johnathanobrien101@gmail.com</v>
      </c>
      <c r="G8036" s="3"/>
      <c r="H8036" s="3"/>
    </row>
    <row r="8037">
      <c r="A8037" s="2">
        <f>IFERROR(__xludf.DUMMYFUNCTION("""COMPUTED_VALUE"""),93293.0)</f>
        <v>93293</v>
      </c>
      <c r="B8037" s="3" t="str">
        <f>IFERROR(__xludf.DUMMYFUNCTION("""COMPUTED_VALUE"""),"101 TILLINGS RD")</f>
        <v>101 TILLINGS RD</v>
      </c>
      <c r="C8037" s="3" t="str">
        <f>IFERROR(__xludf.DUMMYFUNCTION("""COMPUTED_VALUE"""),"BRIGHTON")</f>
        <v>BRIGHTON</v>
      </c>
      <c r="D8037" s="3" t="str">
        <f>IFERROR(__xludf.DUMMYFUNCTION("""COMPUTED_VALUE"""),"K0K 1H0")</f>
        <v>K0K 1H0</v>
      </c>
      <c r="E8037" s="3"/>
      <c r="F8037" s="3"/>
      <c r="G8037" s="3"/>
      <c r="H8037" s="3"/>
    </row>
    <row r="8038">
      <c r="A8038" s="2">
        <f>IFERROR(__xludf.DUMMYFUNCTION("""COMPUTED_VALUE"""),92784.0)</f>
        <v>92784</v>
      </c>
      <c r="B8038" s="3" t="str">
        <f>IFERROR(__xludf.DUMMYFUNCTION("""COMPUTED_VALUE"""),"106 TILLINGS RD  ")</f>
        <v>106 TILLINGS RD  </v>
      </c>
      <c r="C8038" s="3" t="str">
        <f>IFERROR(__xludf.DUMMYFUNCTION("""COMPUTED_VALUE"""),"BRIGHTON")</f>
        <v>BRIGHTON</v>
      </c>
      <c r="D8038" s="3" t="str">
        <f>IFERROR(__xludf.DUMMYFUNCTION("""COMPUTED_VALUE"""),"K0K 1H0")</f>
        <v>K0K 1H0</v>
      </c>
      <c r="E8038" s="3" t="str">
        <f>IFERROR(__xludf.DUMMYFUNCTION("""COMPUTED_VALUE"""),"Aaron Gaudon")</f>
        <v>Aaron Gaudon</v>
      </c>
      <c r="F8038" s="3" t="str">
        <f>IFERROR(__xludf.DUMMYFUNCTION("""COMPUTED_VALUE"""),"asbb1962@gmail.com")</f>
        <v>asbb1962@gmail.com</v>
      </c>
      <c r="G8038" s="3">
        <f>IFERROR(__xludf.DUMMYFUNCTION("""COMPUTED_VALUE"""),2.893558893E9)</f>
        <v>2893558893</v>
      </c>
      <c r="H8038" s="3"/>
    </row>
    <row r="8039">
      <c r="A8039" s="2">
        <f>IFERROR(__xludf.DUMMYFUNCTION("""COMPUTED_VALUE"""),92782.0)</f>
        <v>92782</v>
      </c>
      <c r="B8039" s="3" t="str">
        <f>IFERROR(__xludf.DUMMYFUNCTION("""COMPUTED_VALUE"""),"91 TILLINGS RD  ")</f>
        <v>91 TILLINGS RD  </v>
      </c>
      <c r="C8039" s="3" t="str">
        <f>IFERROR(__xludf.DUMMYFUNCTION("""COMPUTED_VALUE"""),"BRIGHTON")</f>
        <v>BRIGHTON</v>
      </c>
      <c r="D8039" s="3" t="str">
        <f>IFERROR(__xludf.DUMMYFUNCTION("""COMPUTED_VALUE"""),"K0K 1H0")</f>
        <v>K0K 1H0</v>
      </c>
      <c r="E8039" s="3" t="str">
        <f>IFERROR(__xludf.DUMMYFUNCTION("""COMPUTED_VALUE"""),"robert richard ")</f>
        <v>robert richard </v>
      </c>
      <c r="F8039" s="3" t="str">
        <f>IFERROR(__xludf.DUMMYFUNCTION("""COMPUTED_VALUE"""),"meg193@hotmail.com")</f>
        <v>meg193@hotmail.com</v>
      </c>
      <c r="G8039" s="3">
        <f>IFERROR(__xludf.DUMMYFUNCTION("""COMPUTED_VALUE"""),6.136619563E9)</f>
        <v>6136619563</v>
      </c>
      <c r="H8039" s="3"/>
    </row>
    <row r="8040">
      <c r="A8040" s="2">
        <f>IFERROR(__xludf.DUMMYFUNCTION("""COMPUTED_VALUE"""),92783.0)</f>
        <v>92783</v>
      </c>
      <c r="B8040" s="3" t="str">
        <f>IFERROR(__xludf.DUMMYFUNCTION("""COMPUTED_VALUE"""),"98 TILLINGS RD  ")</f>
        <v>98 TILLINGS RD  </v>
      </c>
      <c r="C8040" s="3" t="str">
        <f>IFERROR(__xludf.DUMMYFUNCTION("""COMPUTED_VALUE"""),"BRIGHTON")</f>
        <v>BRIGHTON</v>
      </c>
      <c r="D8040" s="3" t="str">
        <f>IFERROR(__xludf.DUMMYFUNCTION("""COMPUTED_VALUE"""),"K0K 1H0")</f>
        <v>K0K 1H0</v>
      </c>
      <c r="E8040" s="3" t="str">
        <f>IFERROR(__xludf.DUMMYFUNCTION("""COMPUTED_VALUE"""),"Selena Azugy / Michael Azugy")</f>
        <v>Selena Azugy / Michael Azugy</v>
      </c>
      <c r="F8040" s="3" t="str">
        <f>IFERROR(__xludf.DUMMYFUNCTION("""COMPUTED_VALUE"""),"azugyselena@gmail.comm")</f>
        <v>azugyselena@gmail.comm</v>
      </c>
      <c r="G8040" s="3">
        <f>IFERROR(__xludf.DUMMYFUNCTION("""COMPUTED_VALUE"""),9.052697948E9)</f>
        <v>9052697948</v>
      </c>
      <c r="H8040" s="3">
        <f>IFERROR(__xludf.DUMMYFUNCTION("""COMPUTED_VALUE"""),2.892512764E9)</f>
        <v>2892512764</v>
      </c>
    </row>
    <row r="8041">
      <c r="A8041" s="2">
        <f>IFERROR(__xludf.DUMMYFUNCTION("""COMPUTED_VALUE"""),92777.0)</f>
        <v>92777</v>
      </c>
      <c r="B8041" s="3" t="str">
        <f>IFERROR(__xludf.DUMMYFUNCTION("""COMPUTED_VALUE"""),"36 TILLINGS RD  ")</f>
        <v>36 TILLINGS RD  </v>
      </c>
      <c r="C8041" s="3" t="str">
        <f>IFERROR(__xludf.DUMMYFUNCTION("""COMPUTED_VALUE"""),"BRIGHTON")</f>
        <v>BRIGHTON</v>
      </c>
      <c r="D8041" s="3" t="str">
        <f>IFERROR(__xludf.DUMMYFUNCTION("""COMPUTED_VALUE"""),"K0K 1H0")</f>
        <v>K0K 1H0</v>
      </c>
      <c r="E8041" s="3"/>
      <c r="F8041" s="3"/>
      <c r="G8041" s="3"/>
      <c r="H8041" s="3"/>
    </row>
    <row r="8042">
      <c r="A8042" s="2">
        <f>IFERROR(__xludf.DUMMYFUNCTION("""COMPUTED_VALUE"""),92778.0)</f>
        <v>92778</v>
      </c>
      <c r="B8042" s="3" t="str">
        <f>IFERROR(__xludf.DUMMYFUNCTION("""COMPUTED_VALUE"""),"58 TILLINGS RD  ")</f>
        <v>58 TILLINGS RD  </v>
      </c>
      <c r="C8042" s="3" t="str">
        <f>IFERROR(__xludf.DUMMYFUNCTION("""COMPUTED_VALUE"""),"BRIGHTON")</f>
        <v>BRIGHTON</v>
      </c>
      <c r="D8042" s="3" t="str">
        <f>IFERROR(__xludf.DUMMYFUNCTION("""COMPUTED_VALUE"""),"K0K 1H0")</f>
        <v>K0K 1H0</v>
      </c>
      <c r="E8042" s="3"/>
      <c r="F8042" s="3"/>
      <c r="G8042" s="3"/>
      <c r="H8042" s="3"/>
    </row>
    <row r="8043">
      <c r="A8043" s="2">
        <f>IFERROR(__xludf.DUMMYFUNCTION("""COMPUTED_VALUE"""),92779.0)</f>
        <v>92779</v>
      </c>
      <c r="B8043" s="3" t="str">
        <f>IFERROR(__xludf.DUMMYFUNCTION("""COMPUTED_VALUE"""),"84 TILLINGS RD  ")</f>
        <v>84 TILLINGS RD  </v>
      </c>
      <c r="C8043" s="3" t="str">
        <f>IFERROR(__xludf.DUMMYFUNCTION("""COMPUTED_VALUE"""),"BRIGHTON")</f>
        <v>BRIGHTON</v>
      </c>
      <c r="D8043" s="3" t="str">
        <f>IFERROR(__xludf.DUMMYFUNCTION("""COMPUTED_VALUE"""),"K0K 1H0")</f>
        <v>K0K 1H0</v>
      </c>
      <c r="E8043" s="3"/>
      <c r="F8043" s="3"/>
      <c r="G8043" s="3"/>
      <c r="H8043" s="3"/>
    </row>
    <row r="8044">
      <c r="A8044" s="2">
        <f>IFERROR(__xludf.DUMMYFUNCTION("""COMPUTED_VALUE"""),92780.0)</f>
        <v>92780</v>
      </c>
      <c r="B8044" s="3" t="str">
        <f>IFERROR(__xludf.DUMMYFUNCTION("""COMPUTED_VALUE"""),"85 TILLINGS RD  ")</f>
        <v>85 TILLINGS RD  </v>
      </c>
      <c r="C8044" s="3" t="str">
        <f>IFERROR(__xludf.DUMMYFUNCTION("""COMPUTED_VALUE"""),"BRIGHTON")</f>
        <v>BRIGHTON</v>
      </c>
      <c r="D8044" s="3" t="str">
        <f>IFERROR(__xludf.DUMMYFUNCTION("""COMPUTED_VALUE"""),"K0K 1H0")</f>
        <v>K0K 1H0</v>
      </c>
      <c r="E8044" s="3"/>
      <c r="F8044" s="3"/>
      <c r="G8044" s="3"/>
      <c r="H8044" s="3"/>
    </row>
    <row r="8045">
      <c r="A8045" s="2">
        <f>IFERROR(__xludf.DUMMYFUNCTION("""COMPUTED_VALUE"""),92781.0)</f>
        <v>92781</v>
      </c>
      <c r="B8045" s="3" t="str">
        <f>IFERROR(__xludf.DUMMYFUNCTION("""COMPUTED_VALUE"""),"90 TILLINGS RD  ")</f>
        <v>90 TILLINGS RD  </v>
      </c>
      <c r="C8045" s="3" t="str">
        <f>IFERROR(__xludf.DUMMYFUNCTION("""COMPUTED_VALUE"""),"BRIGHTON")</f>
        <v>BRIGHTON</v>
      </c>
      <c r="D8045" s="3" t="str">
        <f>IFERROR(__xludf.DUMMYFUNCTION("""COMPUTED_VALUE"""),"K0K 1H0")</f>
        <v>K0K 1H0</v>
      </c>
      <c r="E8045" s="3"/>
      <c r="F8045" s="3"/>
      <c r="G8045" s="3"/>
      <c r="H8045" s="3"/>
    </row>
    <row r="8046">
      <c r="A8046" s="2">
        <f>IFERROR(__xludf.DUMMYFUNCTION("""COMPUTED_VALUE"""),92785.0)</f>
        <v>92785</v>
      </c>
      <c r="B8046" s="3" t="str">
        <f>IFERROR(__xludf.DUMMYFUNCTION("""COMPUTED_VALUE"""),"107 TILLINGS RD  ")</f>
        <v>107 TILLINGS RD  </v>
      </c>
      <c r="C8046" s="3" t="str">
        <f>IFERROR(__xludf.DUMMYFUNCTION("""COMPUTED_VALUE"""),"BRIGHTON")</f>
        <v>BRIGHTON</v>
      </c>
      <c r="D8046" s="3" t="str">
        <f>IFERROR(__xludf.DUMMYFUNCTION("""COMPUTED_VALUE"""),"K0K 1H0")</f>
        <v>K0K 1H0</v>
      </c>
      <c r="E8046" s="3"/>
      <c r="F8046" s="3"/>
      <c r="G8046" s="3"/>
      <c r="H8046" s="3"/>
    </row>
    <row r="8047">
      <c r="A8047" s="2">
        <f>IFERROR(__xludf.DUMMYFUNCTION("""COMPUTED_VALUE"""),92786.0)</f>
        <v>92786</v>
      </c>
      <c r="B8047" s="3" t="str">
        <f>IFERROR(__xludf.DUMMYFUNCTION("""COMPUTED_VALUE"""),"115 TILLINGS RD  ")</f>
        <v>115 TILLINGS RD  </v>
      </c>
      <c r="C8047" s="3" t="str">
        <f>IFERROR(__xludf.DUMMYFUNCTION("""COMPUTED_VALUE"""),"BRIGHTON")</f>
        <v>BRIGHTON</v>
      </c>
      <c r="D8047" s="3" t="str">
        <f>IFERROR(__xludf.DUMMYFUNCTION("""COMPUTED_VALUE"""),"K0K 1H0")</f>
        <v>K0K 1H0</v>
      </c>
      <c r="E8047" s="3"/>
      <c r="F8047" s="3"/>
      <c r="G8047" s="3"/>
      <c r="H8047" s="3"/>
    </row>
    <row r="8048">
      <c r="A8048" s="2">
        <f>IFERROR(__xludf.DUMMYFUNCTION("""COMPUTED_VALUE"""),92776.0)</f>
        <v>92776</v>
      </c>
      <c r="B8048" s="3" t="str">
        <f>IFERROR(__xludf.DUMMYFUNCTION("""COMPUTED_VALUE"""),"23 TILLINGS RD  ")</f>
        <v>23 TILLINGS RD  </v>
      </c>
      <c r="C8048" s="3" t="str">
        <f>IFERROR(__xludf.DUMMYFUNCTION("""COMPUTED_VALUE"""),"BRIGHTON")</f>
        <v>BRIGHTON</v>
      </c>
      <c r="D8048" s="3" t="str">
        <f>IFERROR(__xludf.DUMMYFUNCTION("""COMPUTED_VALUE"""),"K0K 1H0")</f>
        <v>K0K 1H0</v>
      </c>
      <c r="E8048" s="3"/>
      <c r="F8048" s="3"/>
      <c r="G8048" s="3"/>
      <c r="H8048" s="3"/>
    </row>
    <row r="8049">
      <c r="A8049" s="2">
        <f>IFERROR(__xludf.DUMMYFUNCTION("""COMPUTED_VALUE"""),92841.0)</f>
        <v>92841</v>
      </c>
      <c r="B8049" s="3" t="str">
        <f>IFERROR(__xludf.DUMMYFUNCTION("""COMPUTED_VALUE"""),"463 TRENEAR RD  ")</f>
        <v>463 TRENEAR RD  </v>
      </c>
      <c r="C8049" s="3" t="str">
        <f>IFERROR(__xludf.DUMMYFUNCTION("""COMPUTED_VALUE"""),"BRIGHTON")</f>
        <v>BRIGHTON</v>
      </c>
      <c r="D8049" s="3" t="str">
        <f>IFERROR(__xludf.DUMMYFUNCTION("""COMPUTED_VALUE"""),"K0K 1H0")</f>
        <v>K0K 1H0</v>
      </c>
      <c r="E8049" s="3"/>
      <c r="F8049" s="3"/>
      <c r="G8049" s="3"/>
      <c r="H8049" s="3"/>
    </row>
    <row r="8050">
      <c r="A8050" s="2">
        <f>IFERROR(__xludf.DUMMYFUNCTION("""COMPUTED_VALUE"""),92842.0)</f>
        <v>92842</v>
      </c>
      <c r="B8050" s="3" t="str">
        <f>IFERROR(__xludf.DUMMYFUNCTION("""COMPUTED_VALUE"""),"464 TRENEAR RD  ")</f>
        <v>464 TRENEAR RD  </v>
      </c>
      <c r="C8050" s="3" t="str">
        <f>IFERROR(__xludf.DUMMYFUNCTION("""COMPUTED_VALUE"""),"BRIGHTON")</f>
        <v>BRIGHTON</v>
      </c>
      <c r="D8050" s="3" t="str">
        <f>IFERROR(__xludf.DUMMYFUNCTION("""COMPUTED_VALUE"""),"K0K 1H0")</f>
        <v>K0K 1H0</v>
      </c>
      <c r="E8050" s="3"/>
      <c r="F8050" s="3"/>
      <c r="G8050" s="3"/>
      <c r="H8050" s="3"/>
    </row>
    <row r="8051">
      <c r="A8051" s="2">
        <f>IFERROR(__xludf.DUMMYFUNCTION("""COMPUTED_VALUE"""),92843.0)</f>
        <v>92843</v>
      </c>
      <c r="B8051" s="3" t="str">
        <f>IFERROR(__xludf.DUMMYFUNCTION("""COMPUTED_VALUE"""),"508 TRENEAR RD  ")</f>
        <v>508 TRENEAR RD  </v>
      </c>
      <c r="C8051" s="3" t="str">
        <f>IFERROR(__xludf.DUMMYFUNCTION("""COMPUTED_VALUE"""),"BRIGHTON")</f>
        <v>BRIGHTON</v>
      </c>
      <c r="D8051" s="3" t="str">
        <f>IFERROR(__xludf.DUMMYFUNCTION("""COMPUTED_VALUE"""),"K0K 1H0")</f>
        <v>K0K 1H0</v>
      </c>
      <c r="E8051" s="3"/>
      <c r="F8051" s="3"/>
      <c r="G8051" s="3"/>
      <c r="H8051" s="3"/>
    </row>
    <row r="8052">
      <c r="A8052" s="2">
        <f>IFERROR(__xludf.DUMMYFUNCTION("""COMPUTED_VALUE"""),92844.0)</f>
        <v>92844</v>
      </c>
      <c r="B8052" s="3" t="str">
        <f>IFERROR(__xludf.DUMMYFUNCTION("""COMPUTED_VALUE"""),"524 TRENEAR RD  ")</f>
        <v>524 TRENEAR RD  </v>
      </c>
      <c r="C8052" s="3" t="str">
        <f>IFERROR(__xludf.DUMMYFUNCTION("""COMPUTED_VALUE"""),"BRIGHTON")</f>
        <v>BRIGHTON</v>
      </c>
      <c r="D8052" s="3" t="str">
        <f>IFERROR(__xludf.DUMMYFUNCTION("""COMPUTED_VALUE"""),"K0K 1H0")</f>
        <v>K0K 1H0</v>
      </c>
      <c r="E8052" s="3" t="str">
        <f>IFERROR(__xludf.DUMMYFUNCTION("""COMPUTED_VALUE"""),"Christine MacIsaac")</f>
        <v>Christine MacIsaac</v>
      </c>
      <c r="F8052" s="3" t="str">
        <f>IFERROR(__xludf.DUMMYFUNCTION("""COMPUTED_VALUE"""),"christineandashes@msn.com")</f>
        <v>christineandashes@msn.com</v>
      </c>
      <c r="G8052" s="3">
        <f>IFERROR(__xludf.DUMMYFUNCTION("""COMPUTED_VALUE"""),9.059262007E9)</f>
        <v>9059262007</v>
      </c>
      <c r="H8052" s="3"/>
    </row>
    <row r="8053">
      <c r="A8053" s="2">
        <f>IFERROR(__xludf.DUMMYFUNCTION("""COMPUTED_VALUE"""),92840.0)</f>
        <v>92840</v>
      </c>
      <c r="B8053" s="3" t="str">
        <f>IFERROR(__xludf.DUMMYFUNCTION("""COMPUTED_VALUE"""),"441 TRENEAR RD  ")</f>
        <v>441 TRENEAR RD  </v>
      </c>
      <c r="C8053" s="3" t="str">
        <f>IFERROR(__xludf.DUMMYFUNCTION("""COMPUTED_VALUE"""),"BRIGHTON")</f>
        <v>BRIGHTON</v>
      </c>
      <c r="D8053" s="3" t="str">
        <f>IFERROR(__xludf.DUMMYFUNCTION("""COMPUTED_VALUE"""),"K0K 1H0")</f>
        <v>K0K 1H0</v>
      </c>
      <c r="E8053" s="3" t="str">
        <f>IFERROR(__xludf.DUMMYFUNCTION("""COMPUTED_VALUE"""),"Ed Christopher ")</f>
        <v>Ed Christopher </v>
      </c>
      <c r="F8053" s="3" t="str">
        <f>IFERROR(__xludf.DUMMYFUNCTION("""COMPUTED_VALUE"""),"cdchristoper@hotmail.com")</f>
        <v>cdchristoper@hotmail.com</v>
      </c>
      <c r="G8053" s="3"/>
      <c r="H8053" s="3"/>
    </row>
    <row r="8054">
      <c r="A8054" s="2">
        <f>IFERROR(__xludf.DUMMYFUNCTION("""COMPUTED_VALUE"""),92873.0)</f>
        <v>92873</v>
      </c>
      <c r="B8054" s="3" t="str">
        <f>IFERROR(__xludf.DUMMYFUNCTION("""COMPUTED_VALUE"""),"427 TRENT VALLEY RD  ")</f>
        <v>427 TRENT VALLEY RD  </v>
      </c>
      <c r="C8054" s="3" t="str">
        <f>IFERROR(__xludf.DUMMYFUNCTION("""COMPUTED_VALUE"""),"BRIGHTON")</f>
        <v>BRIGHTON</v>
      </c>
      <c r="D8054" s="3" t="str">
        <f>IFERROR(__xludf.DUMMYFUNCTION("""COMPUTED_VALUE"""),"K0K 1H0")</f>
        <v>K0K 1H0</v>
      </c>
      <c r="E8054" s="3"/>
      <c r="F8054" s="3"/>
      <c r="G8054" s="3"/>
      <c r="H8054" s="3"/>
    </row>
    <row r="8055">
      <c r="A8055" s="2">
        <f>IFERROR(__xludf.DUMMYFUNCTION("""COMPUTED_VALUE"""),92874.0)</f>
        <v>92874</v>
      </c>
      <c r="B8055" s="3" t="str">
        <f>IFERROR(__xludf.DUMMYFUNCTION("""COMPUTED_VALUE"""),"439 TRENT VALLEY RD  ")</f>
        <v>439 TRENT VALLEY RD  </v>
      </c>
      <c r="C8055" s="3" t="str">
        <f>IFERROR(__xludf.DUMMYFUNCTION("""COMPUTED_VALUE"""),"BRIGHTON")</f>
        <v>BRIGHTON</v>
      </c>
      <c r="D8055" s="3" t="str">
        <f>IFERROR(__xludf.DUMMYFUNCTION("""COMPUTED_VALUE"""),"K0K 1H0")</f>
        <v>K0K 1H0</v>
      </c>
      <c r="E8055" s="3"/>
      <c r="F8055" s="3"/>
      <c r="G8055" s="3"/>
      <c r="H8055" s="3"/>
    </row>
    <row r="8056">
      <c r="A8056" s="2">
        <f>IFERROR(__xludf.DUMMYFUNCTION("""COMPUTED_VALUE"""),92875.0)</f>
        <v>92875</v>
      </c>
      <c r="B8056" s="3" t="str">
        <f>IFERROR(__xludf.DUMMYFUNCTION("""COMPUTED_VALUE"""),"508 TRENT VALLEY RD  ")</f>
        <v>508 TRENT VALLEY RD  </v>
      </c>
      <c r="C8056" s="3" t="str">
        <f>IFERROR(__xludf.DUMMYFUNCTION("""COMPUTED_VALUE"""),"BRIGHTON")</f>
        <v>BRIGHTON</v>
      </c>
      <c r="D8056" s="3" t="str">
        <f>IFERROR(__xludf.DUMMYFUNCTION("""COMPUTED_VALUE"""),"K0K 1H0")</f>
        <v>K0K 1H0</v>
      </c>
      <c r="E8056" s="3" t="str">
        <f>IFERROR(__xludf.DUMMYFUNCTION("""COMPUTED_VALUE"""),"floyd and marilyn bellamy")</f>
        <v>floyd and marilyn bellamy</v>
      </c>
      <c r="F8056" s="3" t="str">
        <f>IFERROR(__xludf.DUMMYFUNCTION("""COMPUTED_VALUE"""),"bellamyhaulage@gmail.com")</f>
        <v>bellamyhaulage@gmail.com</v>
      </c>
      <c r="G8056" s="3">
        <f>IFERROR(__xludf.DUMMYFUNCTION("""COMPUTED_VALUE"""),6.13848419E9)</f>
        <v>6138484190</v>
      </c>
      <c r="H8056" s="3"/>
    </row>
    <row r="8057">
      <c r="A8057" s="2">
        <f>IFERROR(__xludf.DUMMYFUNCTION("""COMPUTED_VALUE"""),92879.0)</f>
        <v>92879</v>
      </c>
      <c r="B8057" s="3" t="str">
        <f>IFERROR(__xludf.DUMMYFUNCTION("""COMPUTED_VALUE"""),"698 TRENT VALLEY RD  ")</f>
        <v>698 TRENT VALLEY RD  </v>
      </c>
      <c r="C8057" s="3" t="str">
        <f>IFERROR(__xludf.DUMMYFUNCTION("""COMPUTED_VALUE"""),"BRIGHTON")</f>
        <v>BRIGHTON</v>
      </c>
      <c r="D8057" s="3" t="str">
        <f>IFERROR(__xludf.DUMMYFUNCTION("""COMPUTED_VALUE"""),"K0K 1H0")</f>
        <v>K0K 1H0</v>
      </c>
      <c r="E8057" s="3"/>
      <c r="F8057" s="3"/>
      <c r="G8057" s="3"/>
      <c r="H8057" s="3"/>
    </row>
    <row r="8058">
      <c r="A8058" s="2">
        <f>IFERROR(__xludf.DUMMYFUNCTION("""COMPUTED_VALUE"""),92869.0)</f>
        <v>92869</v>
      </c>
      <c r="B8058" s="3" t="str">
        <f>IFERROR(__xludf.DUMMYFUNCTION("""COMPUTED_VALUE"""),"346 TRENT VALLEY RD  ")</f>
        <v>346 TRENT VALLEY RD  </v>
      </c>
      <c r="C8058" s="3" t="str">
        <f>IFERROR(__xludf.DUMMYFUNCTION("""COMPUTED_VALUE"""),"BRIGHTON")</f>
        <v>BRIGHTON</v>
      </c>
      <c r="D8058" s="3" t="str">
        <f>IFERROR(__xludf.DUMMYFUNCTION("""COMPUTED_VALUE"""),"K0K 1H0")</f>
        <v>K0K 1H0</v>
      </c>
      <c r="E8058" s="3" t="str">
        <f>IFERROR(__xludf.DUMMYFUNCTION("""COMPUTED_VALUE"""),"David Jones")</f>
        <v>David Jones</v>
      </c>
      <c r="F8058" s="3" t="str">
        <f>IFERROR(__xludf.DUMMYFUNCTION("""COMPUTED_VALUE"""),"dave.tara.jones@outlook.com")</f>
        <v>dave.tara.jones@outlook.com</v>
      </c>
      <c r="G8058" s="3">
        <f>IFERROR(__xludf.DUMMYFUNCTION("""COMPUTED_VALUE"""),9.053738717E9)</f>
        <v>9053738717</v>
      </c>
      <c r="H8058" s="3"/>
    </row>
    <row r="8059">
      <c r="A8059" s="2">
        <f>IFERROR(__xludf.DUMMYFUNCTION("""COMPUTED_VALUE"""),92871.0)</f>
        <v>92871</v>
      </c>
      <c r="B8059" s="3" t="str">
        <f>IFERROR(__xludf.DUMMYFUNCTION("""COMPUTED_VALUE"""),"407 TRENT VALLEY RD  ")</f>
        <v>407 TRENT VALLEY RD  </v>
      </c>
      <c r="C8059" s="3" t="str">
        <f>IFERROR(__xludf.DUMMYFUNCTION("""COMPUTED_VALUE"""),"BRIGHTON")</f>
        <v>BRIGHTON</v>
      </c>
      <c r="D8059" s="3" t="str">
        <f>IFERROR(__xludf.DUMMYFUNCTION("""COMPUTED_VALUE"""),"K0K 1H0")</f>
        <v>K0K 1H0</v>
      </c>
      <c r="E8059" s="3" t="str">
        <f>IFERROR(__xludf.DUMMYFUNCTION("""COMPUTED_VALUE"""),"Sean Walpole")</f>
        <v>Sean Walpole</v>
      </c>
      <c r="F8059" s="3" t="str">
        <f>IFERROR(__xludf.DUMMYFUNCTION("""COMPUTED_VALUE"""),"seanw53@gmail.com")</f>
        <v>seanw53@gmail.com</v>
      </c>
      <c r="G8059" s="3">
        <f>IFERROR(__xludf.DUMMYFUNCTION("""COMPUTED_VALUE"""),9.053738416E9)</f>
        <v>9053738416</v>
      </c>
      <c r="H8059" s="3"/>
    </row>
    <row r="8060">
      <c r="A8060" s="2">
        <f>IFERROR(__xludf.DUMMYFUNCTION("""COMPUTED_VALUE"""),92872.0)</f>
        <v>92872</v>
      </c>
      <c r="B8060" s="3" t="str">
        <f>IFERROR(__xludf.DUMMYFUNCTION("""COMPUTED_VALUE"""),"413 TRENT VALLEY RD  ")</f>
        <v>413 TRENT VALLEY RD  </v>
      </c>
      <c r="C8060" s="3" t="str">
        <f>IFERROR(__xludf.DUMMYFUNCTION("""COMPUTED_VALUE"""),"BRIGHTON")</f>
        <v>BRIGHTON</v>
      </c>
      <c r="D8060" s="3" t="str">
        <f>IFERROR(__xludf.DUMMYFUNCTION("""COMPUTED_VALUE"""),"K0K 1H0")</f>
        <v>K0K 1H0</v>
      </c>
      <c r="E8060" s="3" t="str">
        <f>IFERROR(__xludf.DUMMYFUNCTION("""COMPUTED_VALUE"""),"Cindy J Hickman")</f>
        <v>Cindy J Hickman</v>
      </c>
      <c r="F8060" s="3" t="str">
        <f>IFERROR(__xludf.DUMMYFUNCTION("""COMPUTED_VALUE"""),"cindy.hickman@live.com")</f>
        <v>cindy.hickman@live.com</v>
      </c>
      <c r="G8060" s="3">
        <f>IFERROR(__xludf.DUMMYFUNCTION("""COMPUTED_VALUE"""),9.052690174E9)</f>
        <v>9052690174</v>
      </c>
      <c r="H8060" s="3">
        <f>IFERROR(__xludf.DUMMYFUNCTION("""COMPUTED_VALUE"""),9.053553876E9)</f>
        <v>9053553876</v>
      </c>
    </row>
    <row r="8061">
      <c r="A8061" s="2">
        <f>IFERROR(__xludf.DUMMYFUNCTION("""COMPUTED_VALUE"""),92876.0)</f>
        <v>92876</v>
      </c>
      <c r="B8061" s="3" t="str">
        <f>IFERROR(__xludf.DUMMYFUNCTION("""COMPUTED_VALUE"""),"525 TRENT VALLEY RD  ")</f>
        <v>525 TRENT VALLEY RD  </v>
      </c>
      <c r="C8061" s="3" t="str">
        <f>IFERROR(__xludf.DUMMYFUNCTION("""COMPUTED_VALUE"""),"BRIGHTON")</f>
        <v>BRIGHTON</v>
      </c>
      <c r="D8061" s="3" t="str">
        <f>IFERROR(__xludf.DUMMYFUNCTION("""COMPUTED_VALUE"""),"K0K 1H0")</f>
        <v>K0K 1H0</v>
      </c>
      <c r="E8061" s="3" t="str">
        <f>IFERROR(__xludf.DUMMYFUNCTION("""COMPUTED_VALUE"""),"Paul and Diane Ibbotson")</f>
        <v>Paul and Diane Ibbotson</v>
      </c>
      <c r="F8061" s="3" t="str">
        <f>IFERROR(__xludf.DUMMYFUNCTION("""COMPUTED_VALUE"""),"ibbotsons@hotmail.com")</f>
        <v>ibbotsons@hotmail.com</v>
      </c>
      <c r="G8061" s="3">
        <f>IFERROR(__xludf.DUMMYFUNCTION("""COMPUTED_VALUE"""),6.13848766E9)</f>
        <v>6138487660</v>
      </c>
      <c r="H8061" s="3">
        <f>IFERROR(__xludf.DUMMYFUNCTION("""COMPUTED_VALUE"""),6.138475378E9)</f>
        <v>6138475378</v>
      </c>
    </row>
    <row r="8062">
      <c r="A8062" s="2">
        <f>IFERROR(__xludf.DUMMYFUNCTION("""COMPUTED_VALUE"""),92884.0)</f>
        <v>92884</v>
      </c>
      <c r="B8062" s="3" t="str">
        <f>IFERROR(__xludf.DUMMYFUNCTION("""COMPUTED_VALUE"""),"101 UNION RD  SUITE 2")</f>
        <v>101 UNION RD  SUITE 2</v>
      </c>
      <c r="C8062" s="3" t="str">
        <f>IFERROR(__xludf.DUMMYFUNCTION("""COMPUTED_VALUE"""),"BRIGHTON")</f>
        <v>BRIGHTON</v>
      </c>
      <c r="D8062" s="3" t="str">
        <f>IFERROR(__xludf.DUMMYFUNCTION("""COMPUTED_VALUE"""),"K0K 1H0")</f>
        <v>K0K 1H0</v>
      </c>
      <c r="E8062" s="3" t="str">
        <f>IFERROR(__xludf.DUMMYFUNCTION("""COMPUTED_VALUE"""),"william gonzalez")</f>
        <v>william gonzalez</v>
      </c>
      <c r="F8062" s="3" t="str">
        <f>IFERROR(__xludf.DUMMYFUNCTION("""COMPUTED_VALUE"""),"billg1960@outlook.com")</f>
        <v>billg1960@outlook.com</v>
      </c>
      <c r="G8062" s="3">
        <f>IFERROR(__xludf.DUMMYFUNCTION("""COMPUTED_VALUE"""),7.059772913E9)</f>
        <v>7059772913</v>
      </c>
      <c r="H8062" s="3">
        <f>IFERROR(__xludf.DUMMYFUNCTION("""COMPUTED_VALUE"""),7.059242509E9)</f>
        <v>7059242509</v>
      </c>
    </row>
    <row r="8063">
      <c r="A8063" s="2">
        <f>IFERROR(__xludf.DUMMYFUNCTION("""COMPUTED_VALUE"""),92885.0)</f>
        <v>92885</v>
      </c>
      <c r="B8063" s="3" t="str">
        <f>IFERROR(__xludf.DUMMYFUNCTION("""COMPUTED_VALUE"""),"101 UNION RD  UNIT 3")</f>
        <v>101 UNION RD  UNIT 3</v>
      </c>
      <c r="C8063" s="3" t="str">
        <f>IFERROR(__xludf.DUMMYFUNCTION("""COMPUTED_VALUE"""),"BRIGHTON")</f>
        <v>BRIGHTON</v>
      </c>
      <c r="D8063" s="3" t="str">
        <f>IFERROR(__xludf.DUMMYFUNCTION("""COMPUTED_VALUE"""),"K0K 1H0")</f>
        <v>K0K 1H0</v>
      </c>
      <c r="E8063" s="3" t="str">
        <f>IFERROR(__xludf.DUMMYFUNCTION("""COMPUTED_VALUE"""),"Briana Nielsen")</f>
        <v>Briana Nielsen</v>
      </c>
      <c r="F8063" s="3" t="str">
        <f>IFERROR(__xludf.DUMMYFUNCTION("""COMPUTED_VALUE"""),"briana.nielsen@live.com")</f>
        <v>briana.nielsen@live.com</v>
      </c>
      <c r="G8063" s="3">
        <f>IFERROR(__xludf.DUMMYFUNCTION("""COMPUTED_VALUE"""),4.162306369E9)</f>
        <v>4162306369</v>
      </c>
      <c r="H8063" s="3"/>
    </row>
    <row r="8064">
      <c r="A8064" s="2">
        <f>IFERROR(__xludf.DUMMYFUNCTION("""COMPUTED_VALUE"""),92886.0)</f>
        <v>92886</v>
      </c>
      <c r="B8064" s="3" t="str">
        <f>IFERROR(__xludf.DUMMYFUNCTION("""COMPUTED_VALUE"""),"101 UNION RD  UNIT 4")</f>
        <v>101 UNION RD  UNIT 4</v>
      </c>
      <c r="C8064" s="3" t="str">
        <f>IFERROR(__xludf.DUMMYFUNCTION("""COMPUTED_VALUE"""),"BRIGHTON")</f>
        <v>BRIGHTON</v>
      </c>
      <c r="D8064" s="3" t="str">
        <f>IFERROR(__xludf.DUMMYFUNCTION("""COMPUTED_VALUE"""),"K0K 1H0")</f>
        <v>K0K 1H0</v>
      </c>
      <c r="E8064" s="3" t="str">
        <f>IFERROR(__xludf.DUMMYFUNCTION("""COMPUTED_VALUE"""),"Patricia Harper")</f>
        <v>Patricia Harper</v>
      </c>
      <c r="F8064" s="3" t="str">
        <f>IFERROR(__xludf.DUMMYFUNCTION("""COMPUTED_VALUE"""),"patharper@gmail.com")</f>
        <v>patharper@gmail.com</v>
      </c>
      <c r="G8064" s="3">
        <f>IFERROR(__xludf.DUMMYFUNCTION("""COMPUTED_VALUE"""),6.475252045E9)</f>
        <v>6475252045</v>
      </c>
      <c r="H8064" s="3"/>
    </row>
    <row r="8065">
      <c r="A8065" s="2">
        <f>IFERROR(__xludf.DUMMYFUNCTION("""COMPUTED_VALUE"""),92887.0)</f>
        <v>92887</v>
      </c>
      <c r="B8065" s="3" t="str">
        <f>IFERROR(__xludf.DUMMYFUNCTION("""COMPUTED_VALUE"""),"101 UNION RD  UNIT 5")</f>
        <v>101 UNION RD  UNIT 5</v>
      </c>
      <c r="C8065" s="3" t="str">
        <f>IFERROR(__xludf.DUMMYFUNCTION("""COMPUTED_VALUE"""),"BRIGHTON")</f>
        <v>BRIGHTON</v>
      </c>
      <c r="D8065" s="3" t="str">
        <f>IFERROR(__xludf.DUMMYFUNCTION("""COMPUTED_VALUE"""),"K0K 1H0")</f>
        <v>K0K 1H0</v>
      </c>
      <c r="E8065" s="3" t="str">
        <f>IFERROR(__xludf.DUMMYFUNCTION("""COMPUTED_VALUE"""),"Alicia Emilia Rzezniczak")</f>
        <v>Alicia Emilia Rzezniczak</v>
      </c>
      <c r="F8065" s="3" t="str">
        <f>IFERROR(__xludf.DUMMYFUNCTION("""COMPUTED_VALUE"""),"aliciajeep@gmail.com")</f>
        <v>aliciajeep@gmail.com</v>
      </c>
      <c r="G8065" s="3">
        <f>IFERROR(__xludf.DUMMYFUNCTION("""COMPUTED_VALUE"""),6.13475283E9)</f>
        <v>6134752830</v>
      </c>
      <c r="H8065" s="3"/>
    </row>
    <row r="8066">
      <c r="A8066" s="2">
        <f>IFERROR(__xludf.DUMMYFUNCTION("""COMPUTED_VALUE"""),92889.0)</f>
        <v>92889</v>
      </c>
      <c r="B8066" s="3" t="str">
        <f>IFERROR(__xludf.DUMMYFUNCTION("""COMPUTED_VALUE"""),"170 UNION RD  ")</f>
        <v>170 UNION RD  </v>
      </c>
      <c r="C8066" s="3" t="str">
        <f>IFERROR(__xludf.DUMMYFUNCTION("""COMPUTED_VALUE"""),"BRIGHTON")</f>
        <v>BRIGHTON</v>
      </c>
      <c r="D8066" s="3" t="str">
        <f>IFERROR(__xludf.DUMMYFUNCTION("""COMPUTED_VALUE"""),"K0K 1H0")</f>
        <v>K0K 1H0</v>
      </c>
      <c r="E8066" s="3" t="str">
        <f>IFERROR(__xludf.DUMMYFUNCTION("""COMPUTED_VALUE"""),"jason taylor")</f>
        <v>jason taylor</v>
      </c>
      <c r="F8066" s="3"/>
      <c r="G8066" s="3">
        <f>IFERROR(__xludf.DUMMYFUNCTION("""COMPUTED_VALUE"""),4.16725639E9)</f>
        <v>4167256390</v>
      </c>
      <c r="H8066" s="3"/>
    </row>
    <row r="8067">
      <c r="A8067" s="2">
        <f>IFERROR(__xludf.DUMMYFUNCTION("""COMPUTED_VALUE"""),92890.0)</f>
        <v>92890</v>
      </c>
      <c r="B8067" s="3" t="str">
        <f>IFERROR(__xludf.DUMMYFUNCTION("""COMPUTED_VALUE"""),"173 UNION RD  ")</f>
        <v>173 UNION RD  </v>
      </c>
      <c r="C8067" s="3" t="str">
        <f>IFERROR(__xludf.DUMMYFUNCTION("""COMPUTED_VALUE"""),"BRIGHTON")</f>
        <v>BRIGHTON</v>
      </c>
      <c r="D8067" s="3" t="str">
        <f>IFERROR(__xludf.DUMMYFUNCTION("""COMPUTED_VALUE"""),"K0K 1H0")</f>
        <v>K0K 1H0</v>
      </c>
      <c r="E8067" s="3" t="str">
        <f>IFERROR(__xludf.DUMMYFUNCTION("""COMPUTED_VALUE"""),"jason taylor")</f>
        <v>jason taylor</v>
      </c>
      <c r="F8067" s="3"/>
      <c r="G8067" s="3">
        <f>IFERROR(__xludf.DUMMYFUNCTION("""COMPUTED_VALUE"""),4.16725639E9)</f>
        <v>4167256390</v>
      </c>
      <c r="H8067" s="3"/>
    </row>
    <row r="8068">
      <c r="A8068" s="2">
        <f>IFERROR(__xludf.DUMMYFUNCTION("""COMPUTED_VALUE"""),92892.0)</f>
        <v>92892</v>
      </c>
      <c r="B8068" s="3" t="str">
        <f>IFERROR(__xludf.DUMMYFUNCTION("""COMPUTED_VALUE"""),"184 UNION RD  ")</f>
        <v>184 UNION RD  </v>
      </c>
      <c r="C8068" s="3" t="str">
        <f>IFERROR(__xludf.DUMMYFUNCTION("""COMPUTED_VALUE"""),"BRIGHTON")</f>
        <v>BRIGHTON</v>
      </c>
      <c r="D8068" s="3" t="str">
        <f>IFERROR(__xludf.DUMMYFUNCTION("""COMPUTED_VALUE"""),"K0K 1H0")</f>
        <v>K0K 1H0</v>
      </c>
      <c r="E8068" s="3"/>
      <c r="F8068" s="3"/>
      <c r="G8068" s="3"/>
      <c r="H8068" s="3"/>
    </row>
    <row r="8069">
      <c r="A8069" s="2">
        <f>IFERROR(__xludf.DUMMYFUNCTION("""COMPUTED_VALUE"""),92893.0)</f>
        <v>92893</v>
      </c>
      <c r="B8069" s="3" t="str">
        <f>IFERROR(__xludf.DUMMYFUNCTION("""COMPUTED_VALUE"""),"196 UNION RD  ")</f>
        <v>196 UNION RD  </v>
      </c>
      <c r="C8069" s="3" t="str">
        <f>IFERROR(__xludf.DUMMYFUNCTION("""COMPUTED_VALUE"""),"BRIGHTON")</f>
        <v>BRIGHTON</v>
      </c>
      <c r="D8069" s="3" t="str">
        <f>IFERROR(__xludf.DUMMYFUNCTION("""COMPUTED_VALUE"""),"K0K 1H0")</f>
        <v>K0K 1H0</v>
      </c>
      <c r="E8069" s="3"/>
      <c r="F8069" s="3"/>
      <c r="G8069" s="3"/>
      <c r="H8069" s="3"/>
    </row>
    <row r="8070">
      <c r="A8070" s="2">
        <f>IFERROR(__xludf.DUMMYFUNCTION("""COMPUTED_VALUE"""),92894.0)</f>
        <v>92894</v>
      </c>
      <c r="B8070" s="3" t="str">
        <f>IFERROR(__xludf.DUMMYFUNCTION("""COMPUTED_VALUE"""),"268 UNION RD  ")</f>
        <v>268 UNION RD  </v>
      </c>
      <c r="C8070" s="3" t="str">
        <f>IFERROR(__xludf.DUMMYFUNCTION("""COMPUTED_VALUE"""),"BRIGHTON")</f>
        <v>BRIGHTON</v>
      </c>
      <c r="D8070" s="3" t="str">
        <f>IFERROR(__xludf.DUMMYFUNCTION("""COMPUTED_VALUE"""),"K0K 1H0")</f>
        <v>K0K 1H0</v>
      </c>
      <c r="E8070" s="3" t="str">
        <f>IFERROR(__xludf.DUMMYFUNCTION("""COMPUTED_VALUE"""),"penny reid ")</f>
        <v>penny reid </v>
      </c>
      <c r="F8070" s="3"/>
      <c r="G8070" s="3">
        <f>IFERROR(__xludf.DUMMYFUNCTION("""COMPUTED_VALUE"""),6.13475932E9)</f>
        <v>6134759320</v>
      </c>
      <c r="H8070" s="3"/>
    </row>
    <row r="8071">
      <c r="A8071" s="2">
        <f>IFERROR(__xludf.DUMMYFUNCTION("""COMPUTED_VALUE"""),92896.0)</f>
        <v>92896</v>
      </c>
      <c r="B8071" s="3" t="str">
        <f>IFERROR(__xludf.DUMMYFUNCTION("""COMPUTED_VALUE"""),"287 UNION RD  ")</f>
        <v>287 UNION RD  </v>
      </c>
      <c r="C8071" s="3" t="str">
        <f>IFERROR(__xludf.DUMMYFUNCTION("""COMPUTED_VALUE"""),"BRIGHTON")</f>
        <v>BRIGHTON</v>
      </c>
      <c r="D8071" s="3" t="str">
        <f>IFERROR(__xludf.DUMMYFUNCTION("""COMPUTED_VALUE"""),"K0K 1H0")</f>
        <v>K0K 1H0</v>
      </c>
      <c r="E8071" s="3"/>
      <c r="F8071" s="3"/>
      <c r="G8071" s="3"/>
      <c r="H8071" s="3"/>
    </row>
    <row r="8072">
      <c r="A8072" s="2">
        <f>IFERROR(__xludf.DUMMYFUNCTION("""COMPUTED_VALUE"""),92897.0)</f>
        <v>92897</v>
      </c>
      <c r="B8072" s="3" t="str">
        <f>IFERROR(__xludf.DUMMYFUNCTION("""COMPUTED_VALUE"""),"368 UNION RD  ")</f>
        <v>368 UNION RD  </v>
      </c>
      <c r="C8072" s="3" t="str">
        <f>IFERROR(__xludf.DUMMYFUNCTION("""COMPUTED_VALUE"""),"BRIGHTON")</f>
        <v>BRIGHTON</v>
      </c>
      <c r="D8072" s="3" t="str">
        <f>IFERROR(__xludf.DUMMYFUNCTION("""COMPUTED_VALUE"""),"K0K 1H0")</f>
        <v>K0K 1H0</v>
      </c>
      <c r="E8072" s="3"/>
      <c r="F8072" s="3"/>
      <c r="G8072" s="3"/>
      <c r="H8072" s="3"/>
    </row>
    <row r="8073">
      <c r="A8073" s="2">
        <f>IFERROR(__xludf.DUMMYFUNCTION("""COMPUTED_VALUE"""),92898.0)</f>
        <v>92898</v>
      </c>
      <c r="B8073" s="3" t="str">
        <f>IFERROR(__xludf.DUMMYFUNCTION("""COMPUTED_VALUE"""),"369 UNION RD  ")</f>
        <v>369 UNION RD  </v>
      </c>
      <c r="C8073" s="3" t="str">
        <f>IFERROR(__xludf.DUMMYFUNCTION("""COMPUTED_VALUE"""),"BRIGHTON")</f>
        <v>BRIGHTON</v>
      </c>
      <c r="D8073" s="3" t="str">
        <f>IFERROR(__xludf.DUMMYFUNCTION("""COMPUTED_VALUE"""),"K0K 1H0")</f>
        <v>K0K 1H0</v>
      </c>
      <c r="E8073" s="3"/>
      <c r="F8073" s="3"/>
      <c r="G8073" s="3"/>
      <c r="H8073" s="3"/>
    </row>
    <row r="8074">
      <c r="A8074" s="2">
        <f>IFERROR(__xludf.DUMMYFUNCTION("""COMPUTED_VALUE"""),92883.0)</f>
        <v>92883</v>
      </c>
      <c r="B8074" s="3" t="str">
        <f>IFERROR(__xludf.DUMMYFUNCTION("""COMPUTED_VALUE"""),"101 UNION RD  SUITE 1")</f>
        <v>101 UNION RD  SUITE 1</v>
      </c>
      <c r="C8074" s="3" t="str">
        <f>IFERROR(__xludf.DUMMYFUNCTION("""COMPUTED_VALUE"""),"BRIGHTON")</f>
        <v>BRIGHTON</v>
      </c>
      <c r="D8074" s="3" t="str">
        <f>IFERROR(__xludf.DUMMYFUNCTION("""COMPUTED_VALUE"""),"K0K 1H0")</f>
        <v>K0K 1H0</v>
      </c>
      <c r="E8074" s="3" t="str">
        <f>IFERROR(__xludf.DUMMYFUNCTION("""COMPUTED_VALUE"""),"Jackie and James MacDougall")</f>
        <v>Jackie and James MacDougall</v>
      </c>
      <c r="F8074" s="3" t="str">
        <f>IFERROR(__xludf.DUMMYFUNCTION("""COMPUTED_VALUE"""),"jackiemacdougall56@gmail.com")</f>
        <v>jackiemacdougall56@gmail.com</v>
      </c>
      <c r="G8074" s="3">
        <f>IFERROR(__xludf.DUMMYFUNCTION("""COMPUTED_VALUE"""),6.132427047E9)</f>
        <v>6132427047</v>
      </c>
      <c r="H8074" s="3">
        <f>IFERROR(__xludf.DUMMYFUNCTION("""COMPUTED_VALUE"""),6.133913881E9)</f>
        <v>6133913881</v>
      </c>
    </row>
    <row r="8075">
      <c r="A8075" s="2">
        <f>IFERROR(__xludf.DUMMYFUNCTION("""COMPUTED_VALUE"""),92888.0)</f>
        <v>92888</v>
      </c>
      <c r="B8075" s="3" t="str">
        <f>IFERROR(__xludf.DUMMYFUNCTION("""COMPUTED_VALUE"""),"101 UNION RD  UNIT 6")</f>
        <v>101 UNION RD  UNIT 6</v>
      </c>
      <c r="C8075" s="3" t="str">
        <f>IFERROR(__xludf.DUMMYFUNCTION("""COMPUTED_VALUE"""),"BRIGHTON")</f>
        <v>BRIGHTON</v>
      </c>
      <c r="D8075" s="3" t="str">
        <f>IFERROR(__xludf.DUMMYFUNCTION("""COMPUTED_VALUE"""),"K0K 1H0")</f>
        <v>K0K 1H0</v>
      </c>
      <c r="E8075" s="3" t="str">
        <f>IFERROR(__xludf.DUMMYFUNCTION("""COMPUTED_VALUE"""),"Valerie Green")</f>
        <v>Valerie Green</v>
      </c>
      <c r="F8075" s="3" t="str">
        <f>IFERROR(__xludf.DUMMYFUNCTION("""COMPUTED_VALUE"""),"casarenard111@gmail.com")</f>
        <v>casarenard111@gmail.com</v>
      </c>
      <c r="G8075" s="3">
        <f>IFERROR(__xludf.DUMMYFUNCTION("""COMPUTED_VALUE"""),6.472050561E9)</f>
        <v>6472050561</v>
      </c>
      <c r="H8075" s="3">
        <f>IFERROR(__xludf.DUMMYFUNCTION("""COMPUTED_VALUE"""),4.168430136E9)</f>
        <v>4168430136</v>
      </c>
    </row>
    <row r="8076">
      <c r="A8076" s="2">
        <f>IFERROR(__xludf.DUMMYFUNCTION("""COMPUTED_VALUE"""),92891.0)</f>
        <v>92891</v>
      </c>
      <c r="B8076" s="3" t="str">
        <f>IFERROR(__xludf.DUMMYFUNCTION("""COMPUTED_VALUE"""),"178 UNION RD  ")</f>
        <v>178 UNION RD  </v>
      </c>
      <c r="C8076" s="3" t="str">
        <f>IFERROR(__xludf.DUMMYFUNCTION("""COMPUTED_VALUE"""),"BRIGHTON")</f>
        <v>BRIGHTON</v>
      </c>
      <c r="D8076" s="3" t="str">
        <f>IFERROR(__xludf.DUMMYFUNCTION("""COMPUTED_VALUE"""),"K0K 1H0")</f>
        <v>K0K 1H0</v>
      </c>
      <c r="E8076" s="3" t="str">
        <f>IFERROR(__xludf.DUMMYFUNCTION("""COMPUTED_VALUE"""),"Sylvia Sonneveld")</f>
        <v>Sylvia Sonneveld</v>
      </c>
      <c r="F8076" s="3" t="str">
        <f>IFERROR(__xludf.DUMMYFUNCTION("""COMPUTED_VALUE"""),"Sylvia_dollz@hotmail.com")</f>
        <v>Sylvia_dollz@hotmail.com</v>
      </c>
      <c r="G8076" s="3">
        <f>IFERROR(__xludf.DUMMYFUNCTION("""COMPUTED_VALUE"""),6.139224081E9)</f>
        <v>6139224081</v>
      </c>
      <c r="H8076" s="3"/>
    </row>
    <row r="8077">
      <c r="A8077" s="2">
        <f>IFERROR(__xludf.DUMMYFUNCTION("""COMPUTED_VALUE"""),92895.0)</f>
        <v>92895</v>
      </c>
      <c r="B8077" s="3" t="str">
        <f>IFERROR(__xludf.DUMMYFUNCTION("""COMPUTED_VALUE"""),"278 UNION RD  ")</f>
        <v>278 UNION RD  </v>
      </c>
      <c r="C8077" s="3" t="str">
        <f>IFERROR(__xludf.DUMMYFUNCTION("""COMPUTED_VALUE"""),"BRIGHTON")</f>
        <v>BRIGHTON</v>
      </c>
      <c r="D8077" s="3" t="str">
        <f>IFERROR(__xludf.DUMMYFUNCTION("""COMPUTED_VALUE"""),"K0K 1H0")</f>
        <v>K0K 1H0</v>
      </c>
      <c r="E8077" s="3" t="str">
        <f>IFERROR(__xludf.DUMMYFUNCTION("""COMPUTED_VALUE"""),"Darby Flindall")</f>
        <v>Darby Flindall</v>
      </c>
      <c r="F8077" s="3" t="str">
        <f>IFERROR(__xludf.DUMMYFUNCTION("""COMPUTED_VALUE"""),"darbyflindall@gmail.com")</f>
        <v>darbyflindall@gmail.com</v>
      </c>
      <c r="G8077" s="3"/>
      <c r="H8077" s="3"/>
    </row>
    <row r="8078">
      <c r="A8078" s="2">
        <f>IFERROR(__xludf.DUMMYFUNCTION("""COMPUTED_VALUE"""),92910.0)</f>
        <v>92910</v>
      </c>
      <c r="B8078" s="3" t="str">
        <f>IFERROR(__xludf.DUMMYFUNCTION("""COMPUTED_VALUE"""),"331 VENTRESS RD  ")</f>
        <v>331 VENTRESS RD  </v>
      </c>
      <c r="C8078" s="3" t="str">
        <f>IFERROR(__xludf.DUMMYFUNCTION("""COMPUTED_VALUE"""),"BRIGHTON")</f>
        <v>BRIGHTON</v>
      </c>
      <c r="D8078" s="3" t="str">
        <f>IFERROR(__xludf.DUMMYFUNCTION("""COMPUTED_VALUE"""),"K0K 1H0")</f>
        <v>K0K 1H0</v>
      </c>
      <c r="E8078" s="3" t="str">
        <f>IFERROR(__xludf.DUMMYFUNCTION("""COMPUTED_VALUE"""),"ed jowwstra")</f>
        <v>ed jowwstra</v>
      </c>
      <c r="F8078" s="3" t="str">
        <f>IFERROR(__xludf.DUMMYFUNCTION("""COMPUTED_VALUE"""),"e.jowwstra@gmail.com")</f>
        <v>e.jowwstra@gmail.com</v>
      </c>
      <c r="G8078" s="3">
        <f>IFERROR(__xludf.DUMMYFUNCTION("""COMPUTED_VALUE"""),6.138495234E9)</f>
        <v>6138495234</v>
      </c>
      <c r="H8078" s="3"/>
    </row>
    <row r="8079">
      <c r="A8079" s="2">
        <f>IFERROR(__xludf.DUMMYFUNCTION("""COMPUTED_VALUE"""),92912.0)</f>
        <v>92912</v>
      </c>
      <c r="B8079" s="3" t="str">
        <f>IFERROR(__xludf.DUMMYFUNCTION("""COMPUTED_VALUE"""),"435 VENTRESS RD  ")</f>
        <v>435 VENTRESS RD  </v>
      </c>
      <c r="C8079" s="3" t="str">
        <f>IFERROR(__xludf.DUMMYFUNCTION("""COMPUTED_VALUE"""),"BRIGHTON")</f>
        <v>BRIGHTON</v>
      </c>
      <c r="D8079" s="3" t="str">
        <f>IFERROR(__xludf.DUMMYFUNCTION("""COMPUTED_VALUE"""),"K0K 1H0")</f>
        <v>K0K 1H0</v>
      </c>
      <c r="E8079" s="3" t="str">
        <f>IFERROR(__xludf.DUMMYFUNCTION("""COMPUTED_VALUE"""),"alex ranta ")</f>
        <v>alex ranta </v>
      </c>
      <c r="F8079" s="3" t="str">
        <f>IFERROR(__xludf.DUMMYFUNCTION("""COMPUTED_VALUE"""),"info@lemon.ca")</f>
        <v>info@lemon.ca</v>
      </c>
      <c r="G8079" s="3">
        <f>IFERROR(__xludf.DUMMYFUNCTION("""COMPUTED_VALUE"""),6.139209283E9)</f>
        <v>6139209283</v>
      </c>
      <c r="H8079" s="3">
        <f>IFERROR(__xludf.DUMMYFUNCTION("""COMPUTED_VALUE"""),6.138852722E9)</f>
        <v>6138852722</v>
      </c>
    </row>
    <row r="8080">
      <c r="A8080" s="2">
        <f>IFERROR(__xludf.DUMMYFUNCTION("""COMPUTED_VALUE"""),92913.0)</f>
        <v>92913</v>
      </c>
      <c r="B8080" s="3" t="str">
        <f>IFERROR(__xludf.DUMMYFUNCTION("""COMPUTED_VALUE"""),"498 VENTRESS RD  ")</f>
        <v>498 VENTRESS RD  </v>
      </c>
      <c r="C8080" s="3" t="str">
        <f>IFERROR(__xludf.DUMMYFUNCTION("""COMPUTED_VALUE"""),"BRIGHTON")</f>
        <v>BRIGHTON</v>
      </c>
      <c r="D8080" s="3" t="str">
        <f>IFERROR(__xludf.DUMMYFUNCTION("""COMPUTED_VALUE"""),"K0K 1H0")</f>
        <v>K0K 1H0</v>
      </c>
      <c r="E8080" s="3" t="str">
        <f>IFERROR(__xludf.DUMMYFUNCTION("""COMPUTED_VALUE"""),"mark collins ")</f>
        <v>mark collins </v>
      </c>
      <c r="F8080" s="3"/>
      <c r="G8080" s="3">
        <f>IFERROR(__xludf.DUMMYFUNCTION("""COMPUTED_VALUE"""),6.138498217E9)</f>
        <v>6138498217</v>
      </c>
      <c r="H8080" s="3"/>
    </row>
    <row r="8081">
      <c r="A8081" s="2">
        <f>IFERROR(__xludf.DUMMYFUNCTION("""COMPUTED_VALUE"""),93216.0)</f>
        <v>93216</v>
      </c>
      <c r="B8081" s="3" t="str">
        <f>IFERROR(__xludf.DUMMYFUNCTION("""COMPUTED_VALUE"""),"511 VENTRESS RD  ")</f>
        <v>511 VENTRESS RD  </v>
      </c>
      <c r="C8081" s="3" t="str">
        <f>IFERROR(__xludf.DUMMYFUNCTION("""COMPUTED_VALUE"""),"BRIGHTON")</f>
        <v>BRIGHTON</v>
      </c>
      <c r="D8081" s="3" t="str">
        <f>IFERROR(__xludf.DUMMYFUNCTION("""COMPUTED_VALUE"""),"K0K 1H0")</f>
        <v>K0K 1H0</v>
      </c>
      <c r="E8081" s="3"/>
      <c r="F8081" s="3"/>
      <c r="G8081" s="3"/>
      <c r="H8081" s="3"/>
    </row>
    <row r="8082">
      <c r="A8082" s="2">
        <f>IFERROR(__xludf.DUMMYFUNCTION("""COMPUTED_VALUE"""),92914.0)</f>
        <v>92914</v>
      </c>
      <c r="B8082" s="3" t="str">
        <f>IFERROR(__xludf.DUMMYFUNCTION("""COMPUTED_VALUE"""),"574 VENTRESS RD  ")</f>
        <v>574 VENTRESS RD  </v>
      </c>
      <c r="C8082" s="3" t="str">
        <f>IFERROR(__xludf.DUMMYFUNCTION("""COMPUTED_VALUE"""),"BRIGHTON")</f>
        <v>BRIGHTON</v>
      </c>
      <c r="D8082" s="3" t="str">
        <f>IFERROR(__xludf.DUMMYFUNCTION("""COMPUTED_VALUE"""),"K0K 1H0")</f>
        <v>K0K 1H0</v>
      </c>
      <c r="E8082" s="3" t="str">
        <f>IFERROR(__xludf.DUMMYFUNCTION("""COMPUTED_VALUE"""),"cathie ainsworth")</f>
        <v>cathie ainsworth</v>
      </c>
      <c r="F8082" s="3" t="str">
        <f>IFERROR(__xludf.DUMMYFUNCTION("""COMPUTED_VALUE"""),"cathie15892@gmail.com")</f>
        <v>cathie15892@gmail.com</v>
      </c>
      <c r="G8082" s="3">
        <f>IFERROR(__xludf.DUMMYFUNCTION("""COMPUTED_VALUE"""),6.138270735E9)</f>
        <v>6138270735</v>
      </c>
      <c r="H8082" s="3"/>
    </row>
    <row r="8083">
      <c r="A8083" s="2">
        <f>IFERROR(__xludf.DUMMYFUNCTION("""COMPUTED_VALUE"""),92915.0)</f>
        <v>92915</v>
      </c>
      <c r="B8083" s="3" t="str">
        <f>IFERROR(__xludf.DUMMYFUNCTION("""COMPUTED_VALUE"""),"584 VENTRESS RD  ")</f>
        <v>584 VENTRESS RD  </v>
      </c>
      <c r="C8083" s="3" t="str">
        <f>IFERROR(__xludf.DUMMYFUNCTION("""COMPUTED_VALUE"""),"BRIGHTON")</f>
        <v>BRIGHTON</v>
      </c>
      <c r="D8083" s="3" t="str">
        <f>IFERROR(__xludf.DUMMYFUNCTION("""COMPUTED_VALUE"""),"K0K 1H0")</f>
        <v>K0K 1H0</v>
      </c>
      <c r="E8083" s="3" t="str">
        <f>IFERROR(__xludf.DUMMYFUNCTION("""COMPUTED_VALUE"""),"alandra emerson")</f>
        <v>alandra emerson</v>
      </c>
      <c r="F8083" s="3" t="str">
        <f>IFERROR(__xludf.DUMMYFUNCTION("""COMPUTED_VALUE"""),"alandra.godfrey@gmail.com")</f>
        <v>alandra.godfrey@gmail.com</v>
      </c>
      <c r="G8083" s="3">
        <f>IFERROR(__xludf.DUMMYFUNCTION("""COMPUTED_VALUE"""),7.053442017E9)</f>
        <v>7053442017</v>
      </c>
      <c r="H8083" s="3">
        <f>IFERROR(__xludf.DUMMYFUNCTION("""COMPUTED_VALUE"""),7.053444865E9)</f>
        <v>7053444865</v>
      </c>
    </row>
    <row r="8084">
      <c r="A8084" s="2">
        <f>IFERROR(__xludf.DUMMYFUNCTION("""COMPUTED_VALUE"""),92916.0)</f>
        <v>92916</v>
      </c>
      <c r="B8084" s="3" t="str">
        <f>IFERROR(__xludf.DUMMYFUNCTION("""COMPUTED_VALUE"""),"590 VENTRESS RD  ")</f>
        <v>590 VENTRESS RD  </v>
      </c>
      <c r="C8084" s="3" t="str">
        <f>IFERROR(__xludf.DUMMYFUNCTION("""COMPUTED_VALUE"""),"BRIGHTON")</f>
        <v>BRIGHTON</v>
      </c>
      <c r="D8084" s="3" t="str">
        <f>IFERROR(__xludf.DUMMYFUNCTION("""COMPUTED_VALUE"""),"K0K 1H0")</f>
        <v>K0K 1H0</v>
      </c>
      <c r="E8084" s="3"/>
      <c r="F8084" s="3"/>
      <c r="G8084" s="3"/>
      <c r="H8084" s="3"/>
    </row>
    <row r="8085">
      <c r="A8085" s="2">
        <f>IFERROR(__xludf.DUMMYFUNCTION("""COMPUTED_VALUE"""),92917.0)</f>
        <v>92917</v>
      </c>
      <c r="B8085" s="3" t="str">
        <f>IFERROR(__xludf.DUMMYFUNCTION("""COMPUTED_VALUE"""),"602 VENTRESS RD  ")</f>
        <v>602 VENTRESS RD  </v>
      </c>
      <c r="C8085" s="3" t="str">
        <f>IFERROR(__xludf.DUMMYFUNCTION("""COMPUTED_VALUE"""),"BRIGHTON")</f>
        <v>BRIGHTON</v>
      </c>
      <c r="D8085" s="3" t="str">
        <f>IFERROR(__xludf.DUMMYFUNCTION("""COMPUTED_VALUE"""),"K0K 1H0")</f>
        <v>K0K 1H0</v>
      </c>
      <c r="E8085" s="3" t="str">
        <f>IFERROR(__xludf.DUMMYFUNCTION("""COMPUTED_VALUE"""),"Ananda Minnie")</f>
        <v>Ananda Minnie</v>
      </c>
      <c r="F8085" s="3" t="str">
        <f>IFERROR(__xludf.DUMMYFUNCTION("""COMPUTED_VALUE"""),"turtle_tiff@hotmail.com")</f>
        <v>turtle_tiff@hotmail.com</v>
      </c>
      <c r="G8085" s="3">
        <f>IFERROR(__xludf.DUMMYFUNCTION("""COMPUTED_VALUE"""),9.053962517E9)</f>
        <v>9053962517</v>
      </c>
      <c r="H8085" s="3">
        <f>IFERROR(__xludf.DUMMYFUNCTION("""COMPUTED_VALUE"""),9.054417979E9)</f>
        <v>9054417979</v>
      </c>
    </row>
    <row r="8086">
      <c r="A8086" s="2">
        <f>IFERROR(__xludf.DUMMYFUNCTION("""COMPUTED_VALUE"""),92918.0)</f>
        <v>92918</v>
      </c>
      <c r="B8086" s="3" t="str">
        <f>IFERROR(__xludf.DUMMYFUNCTION("""COMPUTED_VALUE"""),"606 VENTRESS RD  ")</f>
        <v>606 VENTRESS RD  </v>
      </c>
      <c r="C8086" s="3" t="str">
        <f>IFERROR(__xludf.DUMMYFUNCTION("""COMPUTED_VALUE"""),"BRIGHTON")</f>
        <v>BRIGHTON</v>
      </c>
      <c r="D8086" s="3" t="str">
        <f>IFERROR(__xludf.DUMMYFUNCTION("""COMPUTED_VALUE"""),"K0K 1H0")</f>
        <v>K0K 1H0</v>
      </c>
      <c r="E8086" s="3"/>
      <c r="F8086" s="3"/>
      <c r="G8086" s="3"/>
      <c r="H8086" s="3"/>
    </row>
    <row r="8087">
      <c r="A8087" s="2">
        <f>IFERROR(__xludf.DUMMYFUNCTION("""COMPUTED_VALUE"""),92919.0)</f>
        <v>92919</v>
      </c>
      <c r="B8087" s="3" t="str">
        <f>IFERROR(__xludf.DUMMYFUNCTION("""COMPUTED_VALUE"""),"610 VENTRESS RD  ")</f>
        <v>610 VENTRESS RD  </v>
      </c>
      <c r="C8087" s="3" t="str">
        <f>IFERROR(__xludf.DUMMYFUNCTION("""COMPUTED_VALUE"""),"BRIGHTON")</f>
        <v>BRIGHTON</v>
      </c>
      <c r="D8087" s="3" t="str">
        <f>IFERROR(__xludf.DUMMYFUNCTION("""COMPUTED_VALUE"""),"K0K 1H0")</f>
        <v>K0K 1H0</v>
      </c>
      <c r="E8087" s="3"/>
      <c r="F8087" s="3"/>
      <c r="G8087" s="3"/>
      <c r="H8087" s="3"/>
    </row>
    <row r="8088">
      <c r="A8088" s="2">
        <f>IFERROR(__xludf.DUMMYFUNCTION("""COMPUTED_VALUE"""),92920.0)</f>
        <v>92920</v>
      </c>
      <c r="B8088" s="3" t="str">
        <f>IFERROR(__xludf.DUMMYFUNCTION("""COMPUTED_VALUE"""),"618 VENTRESS RD  ")</f>
        <v>618 VENTRESS RD  </v>
      </c>
      <c r="C8088" s="3" t="str">
        <f>IFERROR(__xludf.DUMMYFUNCTION("""COMPUTED_VALUE"""),"BRIGHTON")</f>
        <v>BRIGHTON</v>
      </c>
      <c r="D8088" s="3" t="str">
        <f>IFERROR(__xludf.DUMMYFUNCTION("""COMPUTED_VALUE"""),"K0K 1H0")</f>
        <v>K0K 1H0</v>
      </c>
      <c r="E8088" s="3"/>
      <c r="F8088" s="3"/>
      <c r="G8088" s="3"/>
      <c r="H8088" s="3"/>
    </row>
    <row r="8089">
      <c r="A8089" s="2">
        <f>IFERROR(__xludf.DUMMYFUNCTION("""COMPUTED_VALUE"""),92909.0)</f>
        <v>92909</v>
      </c>
      <c r="B8089" s="3" t="str">
        <f>IFERROR(__xludf.DUMMYFUNCTION("""COMPUTED_VALUE"""),"304 VENTRESS RD  ")</f>
        <v>304 VENTRESS RD  </v>
      </c>
      <c r="C8089" s="3" t="str">
        <f>IFERROR(__xludf.DUMMYFUNCTION("""COMPUTED_VALUE"""),"BRIGHTON")</f>
        <v>BRIGHTON</v>
      </c>
      <c r="D8089" s="3" t="str">
        <f>IFERROR(__xludf.DUMMYFUNCTION("""COMPUTED_VALUE"""),"K0K 1H0")</f>
        <v>K0K 1H0</v>
      </c>
      <c r="E8089" s="3" t="str">
        <f>IFERROR(__xludf.DUMMYFUNCTION("""COMPUTED_VALUE"""),"Andre Jolicoeur")</f>
        <v>Andre Jolicoeur</v>
      </c>
      <c r="F8089" s="3" t="str">
        <f>IFERROR(__xludf.DUMMYFUNCTION("""COMPUTED_VALUE"""),"andrejolicoeur@gmail.com")</f>
        <v>andrejolicoeur@gmail.com</v>
      </c>
      <c r="G8089" s="3">
        <f>IFERROR(__xludf.DUMMYFUNCTION("""COMPUTED_VALUE"""),6.13920001E9)</f>
        <v>6139200010</v>
      </c>
      <c r="H8089" s="3"/>
    </row>
    <row r="8090">
      <c r="A8090" s="2">
        <f>IFERROR(__xludf.DUMMYFUNCTION("""COMPUTED_VALUE"""),92911.0)</f>
        <v>92911</v>
      </c>
      <c r="B8090" s="3" t="str">
        <f>IFERROR(__xludf.DUMMYFUNCTION("""COMPUTED_VALUE"""),"361 VENTRESS RD  ")</f>
        <v>361 VENTRESS RD  </v>
      </c>
      <c r="C8090" s="3" t="str">
        <f>IFERROR(__xludf.DUMMYFUNCTION("""COMPUTED_VALUE"""),"BRIGHTON")</f>
        <v>BRIGHTON</v>
      </c>
      <c r="D8090" s="3" t="str">
        <f>IFERROR(__xludf.DUMMYFUNCTION("""COMPUTED_VALUE"""),"K0K 1H0")</f>
        <v>K0K 1H0</v>
      </c>
      <c r="E8090" s="3" t="str">
        <f>IFERROR(__xludf.DUMMYFUNCTION("""COMPUTED_VALUE"""),"Ken Fowler")</f>
        <v>Ken Fowler</v>
      </c>
      <c r="F8090" s="3" t="str">
        <f>IFERROR(__xludf.DUMMYFUNCTION("""COMPUTED_VALUE"""),"wiffletree07@hotmail.com")</f>
        <v>wiffletree07@hotmail.com</v>
      </c>
      <c r="G8090" s="3">
        <f>IFERROR(__xludf.DUMMYFUNCTION("""COMPUTED_VALUE"""),4.167163457E9)</f>
        <v>4167163457</v>
      </c>
      <c r="H8090" s="3"/>
    </row>
    <row r="8091">
      <c r="A8091" s="2">
        <f>IFERROR(__xludf.DUMMYFUNCTION("""COMPUTED_VALUE"""),92982.0)</f>
        <v>92982</v>
      </c>
      <c r="B8091" s="3" t="str">
        <f>IFERROR(__xludf.DUMMYFUNCTION("""COMPUTED_VALUE"""),"106 VICTORIA BEACH RD 1")</f>
        <v>106 VICTORIA BEACH RD 1</v>
      </c>
      <c r="C8091" s="3"/>
      <c r="D8091" s="3"/>
      <c r="E8091" s="3"/>
      <c r="F8091" s="3"/>
      <c r="G8091" s="3"/>
      <c r="H8091" s="3"/>
    </row>
    <row r="8092">
      <c r="A8092" s="2">
        <f>IFERROR(__xludf.DUMMYFUNCTION("""COMPUTED_VALUE"""),92983.0)</f>
        <v>92983</v>
      </c>
      <c r="B8092" s="3" t="str">
        <f>IFERROR(__xludf.DUMMYFUNCTION("""COMPUTED_VALUE"""),"106 VICTORIA BEACH RD UNIT 2")</f>
        <v>106 VICTORIA BEACH RD UNIT 2</v>
      </c>
      <c r="C8092" s="3"/>
      <c r="D8092" s="3"/>
      <c r="E8092" s="3"/>
      <c r="F8092" s="3"/>
      <c r="G8092" s="3"/>
      <c r="H8092" s="3"/>
    </row>
    <row r="8093">
      <c r="A8093" s="2">
        <f>IFERROR(__xludf.DUMMYFUNCTION("""COMPUTED_VALUE"""),92984.0)</f>
        <v>92984</v>
      </c>
      <c r="B8093" s="3" t="str">
        <f>IFERROR(__xludf.DUMMYFUNCTION("""COMPUTED_VALUE"""),"106 VICTORIA BEACH RD SUITE 3")</f>
        <v>106 VICTORIA BEACH RD SUITE 3</v>
      </c>
      <c r="C8093" s="3"/>
      <c r="D8093" s="3"/>
      <c r="E8093" s="3"/>
      <c r="F8093" s="3"/>
      <c r="G8093" s="3"/>
      <c r="H8093" s="3"/>
    </row>
    <row r="8094">
      <c r="A8094" s="2">
        <f>IFERROR(__xludf.DUMMYFUNCTION("""COMPUTED_VALUE"""),92985.0)</f>
        <v>92985</v>
      </c>
      <c r="B8094" s="3" t="str">
        <f>IFERROR(__xludf.DUMMYFUNCTION("""COMPUTED_VALUE"""),"106 VICTORIA BEACH RD SUITE 4")</f>
        <v>106 VICTORIA BEACH RD SUITE 4</v>
      </c>
      <c r="C8094" s="3"/>
      <c r="D8094" s="3"/>
      <c r="E8094" s="3"/>
      <c r="F8094" s="3"/>
      <c r="G8094" s="3"/>
      <c r="H8094" s="3"/>
    </row>
    <row r="8095">
      <c r="A8095" s="2">
        <f>IFERROR(__xludf.DUMMYFUNCTION("""COMPUTED_VALUE"""),92986.0)</f>
        <v>92986</v>
      </c>
      <c r="B8095" s="3" t="str">
        <f>IFERROR(__xludf.DUMMYFUNCTION("""COMPUTED_VALUE"""),"106 VICTORIA BEACH RD UNIT 6")</f>
        <v>106 VICTORIA BEACH RD UNIT 6</v>
      </c>
      <c r="C8095" s="3"/>
      <c r="D8095" s="3"/>
      <c r="E8095" s="3"/>
      <c r="F8095" s="3"/>
      <c r="G8095" s="3"/>
      <c r="H8095" s="3"/>
    </row>
    <row r="8096">
      <c r="A8096" s="2">
        <f>IFERROR(__xludf.DUMMYFUNCTION("""COMPUTED_VALUE"""),92987.0)</f>
        <v>92987</v>
      </c>
      <c r="B8096" s="3" t="str">
        <f>IFERROR(__xludf.DUMMYFUNCTION("""COMPUTED_VALUE"""),"106 VICTORIA BEACH RD SUITE 7")</f>
        <v>106 VICTORIA BEACH RD SUITE 7</v>
      </c>
      <c r="C8096" s="3"/>
      <c r="D8096" s="3"/>
      <c r="E8096" s="3"/>
      <c r="F8096" s="3"/>
      <c r="G8096" s="3"/>
      <c r="H8096" s="3"/>
    </row>
    <row r="8097">
      <c r="A8097" s="2">
        <f>IFERROR(__xludf.DUMMYFUNCTION("""COMPUTED_VALUE"""),92979.0)</f>
        <v>92979</v>
      </c>
      <c r="B8097" s="3" t="str">
        <f>IFERROR(__xludf.DUMMYFUNCTION("""COMPUTED_VALUE"""),"102 VICTORIA BEACH RD")</f>
        <v>102 VICTORIA BEACH RD</v>
      </c>
      <c r="C8097" s="3"/>
      <c r="D8097" s="3"/>
      <c r="E8097" s="3"/>
      <c r="F8097" s="3"/>
      <c r="G8097" s="3"/>
      <c r="H8097" s="3"/>
    </row>
    <row r="8098">
      <c r="A8098" s="2">
        <f>IFERROR(__xludf.DUMMYFUNCTION("""COMPUTED_VALUE"""),92980.0)</f>
        <v>92980</v>
      </c>
      <c r="B8098" s="3" t="str">
        <f>IFERROR(__xludf.DUMMYFUNCTION("""COMPUTED_VALUE"""),"103 VICTORIA BEACH RD")</f>
        <v>103 VICTORIA BEACH RD</v>
      </c>
      <c r="C8098" s="3"/>
      <c r="D8098" s="3"/>
      <c r="E8098" s="3"/>
      <c r="F8098" s="3"/>
      <c r="G8098" s="3"/>
      <c r="H8098" s="3"/>
    </row>
    <row r="8099">
      <c r="A8099" s="2">
        <f>IFERROR(__xludf.DUMMYFUNCTION("""COMPUTED_VALUE"""),92981.0)</f>
        <v>92981</v>
      </c>
      <c r="B8099" s="3" t="str">
        <f>IFERROR(__xludf.DUMMYFUNCTION("""COMPUTED_VALUE"""),"105 VICTORIA BEACH RD")</f>
        <v>105 VICTORIA BEACH RD</v>
      </c>
      <c r="C8099" s="3"/>
      <c r="D8099" s="3"/>
      <c r="E8099" s="3"/>
      <c r="F8099" s="3"/>
      <c r="G8099" s="3"/>
      <c r="H8099" s="3"/>
    </row>
    <row r="8100">
      <c r="A8100" s="2">
        <f>IFERROR(__xludf.DUMMYFUNCTION("""COMPUTED_VALUE"""),92988.0)</f>
        <v>92988</v>
      </c>
      <c r="B8100" s="3" t="str">
        <f>IFERROR(__xludf.DUMMYFUNCTION("""COMPUTED_VALUE"""),"113 VICTORIA BEACH RD")</f>
        <v>113 VICTORIA BEACH RD</v>
      </c>
      <c r="C8100" s="3"/>
      <c r="D8100" s="3"/>
      <c r="E8100" s="3"/>
      <c r="F8100" s="3"/>
      <c r="G8100" s="3"/>
      <c r="H8100" s="3"/>
    </row>
    <row r="8101">
      <c r="A8101" s="2">
        <f>IFERROR(__xludf.DUMMYFUNCTION("""COMPUTED_VALUE"""),92989.0)</f>
        <v>92989</v>
      </c>
      <c r="B8101" s="3" t="str">
        <f>IFERROR(__xludf.DUMMYFUNCTION("""COMPUTED_VALUE"""),"141 VICTORIA BEACH RD")</f>
        <v>141 VICTORIA BEACH RD</v>
      </c>
      <c r="C8101" s="3"/>
      <c r="D8101" s="3"/>
      <c r="E8101" s="3" t="str">
        <f>IFERROR(__xludf.DUMMYFUNCTION("""COMPUTED_VALUE"""),"christin wilson")</f>
        <v>christin wilson</v>
      </c>
      <c r="F8101" s="3" t="str">
        <f>IFERROR(__xludf.DUMMYFUNCTION("""COMPUTED_VALUE"""),"cegw@yahoo.com")</f>
        <v>cegw@yahoo.com</v>
      </c>
      <c r="G8101" s="3">
        <f>IFERROR(__xludf.DUMMYFUNCTION("""COMPUTED_VALUE"""),4.167868109E9)</f>
        <v>4167868109</v>
      </c>
      <c r="H8101" s="3"/>
    </row>
    <row r="8102">
      <c r="A8102" s="2">
        <f>IFERROR(__xludf.DUMMYFUNCTION("""COMPUTED_VALUE"""),92990.0)</f>
        <v>92990</v>
      </c>
      <c r="B8102" s="3" t="str">
        <f>IFERROR(__xludf.DUMMYFUNCTION("""COMPUTED_VALUE"""),"295 VICTORIA BEACH RD")</f>
        <v>295 VICTORIA BEACH RD</v>
      </c>
      <c r="C8102" s="3"/>
      <c r="D8102" s="3"/>
      <c r="E8102" s="3" t="str">
        <f>IFERROR(__xludf.DUMMYFUNCTION("""COMPUTED_VALUE"""),"ricka and cathie edison")</f>
        <v>ricka and cathie edison</v>
      </c>
      <c r="F8102" s="3" t="str">
        <f>IFERROR(__xludf.DUMMYFUNCTION("""COMPUTED_VALUE"""),"grandmae2@outlook.com")</f>
        <v>grandmae2@outlook.com</v>
      </c>
      <c r="G8102" s="3">
        <f>IFERROR(__xludf.DUMMYFUNCTION("""COMPUTED_VALUE"""),9.053555854E9)</f>
        <v>9053555854</v>
      </c>
      <c r="H8102" s="3"/>
    </row>
    <row r="8103">
      <c r="A8103" s="2">
        <f>IFERROR(__xludf.DUMMYFUNCTION("""COMPUTED_VALUE"""),92991.0)</f>
        <v>92991</v>
      </c>
      <c r="B8103" s="3" t="str">
        <f>IFERROR(__xludf.DUMMYFUNCTION("""COMPUTED_VALUE"""),"343 VICTORIA BEACH RD")</f>
        <v>343 VICTORIA BEACH RD</v>
      </c>
      <c r="C8103" s="3"/>
      <c r="D8103" s="3"/>
      <c r="E8103" s="3"/>
      <c r="F8103" s="3"/>
      <c r="G8103" s="3"/>
      <c r="H8103" s="3"/>
    </row>
    <row r="8104">
      <c r="A8104" s="2">
        <f>IFERROR(__xludf.DUMMYFUNCTION("""COMPUTED_VALUE"""),92992.0)</f>
        <v>92992</v>
      </c>
      <c r="B8104" s="3" t="str">
        <f>IFERROR(__xludf.DUMMYFUNCTION("""COMPUTED_VALUE"""),"361 VICTORIA BEACH RD")</f>
        <v>361 VICTORIA BEACH RD</v>
      </c>
      <c r="C8104" s="3"/>
      <c r="D8104" s="3"/>
      <c r="E8104" s="3"/>
      <c r="F8104" s="3"/>
      <c r="G8104" s="3"/>
      <c r="H8104" s="3"/>
    </row>
    <row r="8105">
      <c r="A8105" s="2">
        <f>IFERROR(__xludf.DUMMYFUNCTION("""COMPUTED_VALUE"""),92993.0)</f>
        <v>92993</v>
      </c>
      <c r="B8105" s="3" t="str">
        <f>IFERROR(__xludf.DUMMYFUNCTION("""COMPUTED_VALUE"""),"373 VICTORIA BEACH RD")</f>
        <v>373 VICTORIA BEACH RD</v>
      </c>
      <c r="C8105" s="3"/>
      <c r="D8105" s="3"/>
      <c r="E8105" s="3" t="str">
        <f>IFERROR(__xludf.DUMMYFUNCTION("""COMPUTED_VALUE"""),"jackie giffin")</f>
        <v>jackie giffin</v>
      </c>
      <c r="F8105" s="3" t="str">
        <f>IFERROR(__xludf.DUMMYFUNCTION("""COMPUTED_VALUE"""),"jackiegiffin1981@hotmail.com")</f>
        <v>jackiegiffin1981@hotmail.com</v>
      </c>
      <c r="G8105" s="3">
        <f>IFERROR(__xludf.DUMMYFUNCTION("""COMPUTED_VALUE"""),4.166290475E9)</f>
        <v>4166290475</v>
      </c>
      <c r="H8105" s="3"/>
    </row>
    <row r="8106">
      <c r="A8106" s="2">
        <f>IFERROR(__xludf.DUMMYFUNCTION("""COMPUTED_VALUE"""),92994.0)</f>
        <v>92994</v>
      </c>
      <c r="B8106" s="3" t="str">
        <f>IFERROR(__xludf.DUMMYFUNCTION("""COMPUTED_VALUE"""),"383 VICTORIA BEACH RD")</f>
        <v>383 VICTORIA BEACH RD</v>
      </c>
      <c r="C8106" s="3"/>
      <c r="D8106" s="3"/>
      <c r="E8106" s="3"/>
      <c r="F8106" s="3"/>
      <c r="G8106" s="3"/>
      <c r="H8106" s="3"/>
    </row>
    <row r="8107">
      <c r="A8107" s="2">
        <f>IFERROR(__xludf.DUMMYFUNCTION("""COMPUTED_VALUE"""),92995.0)</f>
        <v>92995</v>
      </c>
      <c r="B8107" s="3" t="str">
        <f>IFERROR(__xludf.DUMMYFUNCTION("""COMPUTED_VALUE"""),"386 VICTORIA BEACH RD")</f>
        <v>386 VICTORIA BEACH RD</v>
      </c>
      <c r="C8107" s="3"/>
      <c r="D8107" s="3"/>
      <c r="E8107" s="3"/>
      <c r="F8107" s="3"/>
      <c r="G8107" s="3"/>
      <c r="H8107" s="3"/>
    </row>
    <row r="8108">
      <c r="A8108" s="2">
        <f>IFERROR(__xludf.DUMMYFUNCTION("""COMPUTED_VALUE"""),92996.0)</f>
        <v>92996</v>
      </c>
      <c r="B8108" s="3" t="str">
        <f>IFERROR(__xludf.DUMMYFUNCTION("""COMPUTED_VALUE"""),"409 VICTORIA BEACH RD")</f>
        <v>409 VICTORIA BEACH RD</v>
      </c>
      <c r="C8108" s="3"/>
      <c r="D8108" s="3"/>
      <c r="E8108" s="3"/>
      <c r="F8108" s="3"/>
      <c r="G8108" s="3"/>
      <c r="H8108" s="3"/>
    </row>
    <row r="8109">
      <c r="A8109" s="2">
        <f>IFERROR(__xludf.DUMMYFUNCTION("""COMPUTED_VALUE"""),92997.0)</f>
        <v>92997</v>
      </c>
      <c r="B8109" s="3" t="str">
        <f>IFERROR(__xludf.DUMMYFUNCTION("""COMPUTED_VALUE"""),"425 VICTORIA BEACH RD")</f>
        <v>425 VICTORIA BEACH RD</v>
      </c>
      <c r="C8109" s="3"/>
      <c r="D8109" s="3"/>
      <c r="E8109" s="3"/>
      <c r="F8109" s="3"/>
      <c r="G8109" s="3"/>
      <c r="H8109" s="3"/>
    </row>
    <row r="8110">
      <c r="A8110" s="2">
        <f>IFERROR(__xludf.DUMMYFUNCTION("""COMPUTED_VALUE"""),92998.0)</f>
        <v>92998</v>
      </c>
      <c r="B8110" s="3" t="str">
        <f>IFERROR(__xludf.DUMMYFUNCTION("""COMPUTED_VALUE"""),"431 VICTORIA BEACH RD")</f>
        <v>431 VICTORIA BEACH RD</v>
      </c>
      <c r="C8110" s="3"/>
      <c r="D8110" s="3"/>
      <c r="E8110" s="3"/>
      <c r="F8110" s="3"/>
      <c r="G8110" s="3"/>
      <c r="H8110" s="3"/>
    </row>
    <row r="8111">
      <c r="A8111" s="2">
        <f>IFERROR(__xludf.DUMMYFUNCTION("""COMPUTED_VALUE"""),93062.0)</f>
        <v>93062</v>
      </c>
      <c r="B8111" s="3" t="str">
        <f>IFERROR(__xludf.DUMMYFUNCTION("""COMPUTED_VALUE"""),"827 WHITES RD  ")</f>
        <v>827 WHITES RD  </v>
      </c>
      <c r="C8111" s="3" t="str">
        <f>IFERROR(__xludf.DUMMYFUNCTION("""COMPUTED_VALUE"""),"BRIGHTON")</f>
        <v>BRIGHTON</v>
      </c>
      <c r="D8111" s="3" t="str">
        <f>IFERROR(__xludf.DUMMYFUNCTION("""COMPUTED_VALUE"""),"K0K 1H0")</f>
        <v>K0K 1H0</v>
      </c>
      <c r="E8111" s="3"/>
      <c r="F8111" s="3"/>
      <c r="G8111" s="3"/>
      <c r="H8111" s="3"/>
    </row>
    <row r="8112">
      <c r="A8112" s="2">
        <f>IFERROR(__xludf.DUMMYFUNCTION("""COMPUTED_VALUE"""),93069.0)</f>
        <v>93069</v>
      </c>
      <c r="B8112" s="3" t="str">
        <f>IFERROR(__xludf.DUMMYFUNCTION("""COMPUTED_VALUE"""),"914 WHITES RD  ")</f>
        <v>914 WHITES RD  </v>
      </c>
      <c r="C8112" s="3" t="str">
        <f>IFERROR(__xludf.DUMMYFUNCTION("""COMPUTED_VALUE"""),"BRIGHTON")</f>
        <v>BRIGHTON</v>
      </c>
      <c r="D8112" s="3" t="str">
        <f>IFERROR(__xludf.DUMMYFUNCTION("""COMPUTED_VALUE"""),"K0K 1H0")</f>
        <v>K0K 1H0</v>
      </c>
      <c r="E8112" s="3"/>
      <c r="F8112" s="3"/>
      <c r="G8112" s="3"/>
      <c r="H8112" s="3"/>
    </row>
    <row r="8113">
      <c r="A8113" s="2">
        <f>IFERROR(__xludf.DUMMYFUNCTION("""COMPUTED_VALUE"""),93046.0)</f>
        <v>93046</v>
      </c>
      <c r="B8113" s="3" t="str">
        <f>IFERROR(__xludf.DUMMYFUNCTION("""COMPUTED_VALUE"""),"633 WHITES RD  ")</f>
        <v>633 WHITES RD  </v>
      </c>
      <c r="C8113" s="3" t="str">
        <f>IFERROR(__xludf.DUMMYFUNCTION("""COMPUTED_VALUE"""),"BRIGHTON")</f>
        <v>BRIGHTON</v>
      </c>
      <c r="D8113" s="3" t="str">
        <f>IFERROR(__xludf.DUMMYFUNCTION("""COMPUTED_VALUE"""),"K0K 1H0")</f>
        <v>K0K 1H0</v>
      </c>
      <c r="E8113" s="3" t="str">
        <f>IFERROR(__xludf.DUMMYFUNCTION("""COMPUTED_VALUE"""),"warren smith ")</f>
        <v>warren smith </v>
      </c>
      <c r="F8113" s="3" t="str">
        <f>IFERROR(__xludf.DUMMYFUNCTION("""COMPUTED_VALUE"""),"warren1975@bellnet.com")</f>
        <v>warren1975@bellnet.com</v>
      </c>
      <c r="G8113" s="3">
        <f>IFERROR(__xludf.DUMMYFUNCTION("""COMPUTED_VALUE"""),2.893884057E9)</f>
        <v>2893884057</v>
      </c>
      <c r="H8113" s="3"/>
    </row>
    <row r="8114">
      <c r="A8114" s="2">
        <f>IFERROR(__xludf.DUMMYFUNCTION("""COMPUTED_VALUE"""),93047.0)</f>
        <v>93047</v>
      </c>
      <c r="B8114" s="3" t="str">
        <f>IFERROR(__xludf.DUMMYFUNCTION("""COMPUTED_VALUE"""),"645 WHITES RD  ")</f>
        <v>645 WHITES RD  </v>
      </c>
      <c r="C8114" s="3" t="str">
        <f>IFERROR(__xludf.DUMMYFUNCTION("""COMPUTED_VALUE"""),"BRIGHTON")</f>
        <v>BRIGHTON</v>
      </c>
      <c r="D8114" s="3" t="str">
        <f>IFERROR(__xludf.DUMMYFUNCTION("""COMPUTED_VALUE"""),"K0K 1H0")</f>
        <v>K0K 1H0</v>
      </c>
      <c r="E8114" s="3" t="str">
        <f>IFERROR(__xludf.DUMMYFUNCTION("""COMPUTED_VALUE"""),"david bodzasy")</f>
        <v>david bodzasy</v>
      </c>
      <c r="F8114" s="3" t="str">
        <f>IFERROR(__xludf.DUMMYFUNCTION("""COMPUTED_VALUE"""),"northernexposurerv@mycando.ca")</f>
        <v>northernexposurerv@mycando.ca</v>
      </c>
      <c r="G8114" s="3">
        <f>IFERROR(__xludf.DUMMYFUNCTION("""COMPUTED_VALUE"""),6.133285451E9)</f>
        <v>6133285451</v>
      </c>
      <c r="H8114" s="3">
        <f>IFERROR(__xludf.DUMMYFUNCTION("""COMPUTED_VALUE"""),6.133795354E9)</f>
        <v>6133795354</v>
      </c>
    </row>
    <row r="8115">
      <c r="A8115" s="2">
        <f>IFERROR(__xludf.DUMMYFUNCTION("""COMPUTED_VALUE"""),93050.0)</f>
        <v>93050</v>
      </c>
      <c r="B8115" s="3" t="str">
        <f>IFERROR(__xludf.DUMMYFUNCTION("""COMPUTED_VALUE"""),"670 WHITES RD  ")</f>
        <v>670 WHITES RD  </v>
      </c>
      <c r="C8115" s="3" t="str">
        <f>IFERROR(__xludf.DUMMYFUNCTION("""COMPUTED_VALUE"""),"BRIGHTON")</f>
        <v>BRIGHTON</v>
      </c>
      <c r="D8115" s="3" t="str">
        <f>IFERROR(__xludf.DUMMYFUNCTION("""COMPUTED_VALUE"""),"K0K 1H0")</f>
        <v>K0K 1H0</v>
      </c>
      <c r="E8115" s="3" t="str">
        <f>IFERROR(__xludf.DUMMYFUNCTION("""COMPUTED_VALUE"""),"George Hamilton")</f>
        <v>George Hamilton</v>
      </c>
      <c r="F8115" s="3" t="str">
        <f>IFERROR(__xludf.DUMMYFUNCTION("""COMPUTED_VALUE"""),"lizzy2950")</f>
        <v>lizzy2950</v>
      </c>
      <c r="G8115" s="3"/>
      <c r="H8115" s="3"/>
    </row>
    <row r="8116">
      <c r="A8116" s="2">
        <f>IFERROR(__xludf.DUMMYFUNCTION("""COMPUTED_VALUE"""),93051.0)</f>
        <v>93051</v>
      </c>
      <c r="B8116" s="3" t="str">
        <f>IFERROR(__xludf.DUMMYFUNCTION("""COMPUTED_VALUE"""),"703 WHITES RD  ")</f>
        <v>703 WHITES RD  </v>
      </c>
      <c r="C8116" s="3" t="str">
        <f>IFERROR(__xludf.DUMMYFUNCTION("""COMPUTED_VALUE"""),"BRIGHTON")</f>
        <v>BRIGHTON</v>
      </c>
      <c r="D8116" s="3" t="str">
        <f>IFERROR(__xludf.DUMMYFUNCTION("""COMPUTED_VALUE"""),"K0K 1H0")</f>
        <v>K0K 1H0</v>
      </c>
      <c r="E8116" s="3" t="str">
        <f>IFERROR(__xludf.DUMMYFUNCTION("""COMPUTED_VALUE"""),"Brodie Wadsworth")</f>
        <v>Brodie Wadsworth</v>
      </c>
      <c r="F8116" s="3" t="str">
        <f>IFERROR(__xludf.DUMMYFUNCTION("""COMPUTED_VALUE"""),"brodiewadsworth@gmail.com")</f>
        <v>brodiewadsworth@gmail.com</v>
      </c>
      <c r="G8116" s="3"/>
      <c r="H8116" s="3"/>
    </row>
    <row r="8117">
      <c r="A8117" s="2">
        <f>IFERROR(__xludf.DUMMYFUNCTION("""COMPUTED_VALUE"""),93052.0)</f>
        <v>93052</v>
      </c>
      <c r="B8117" s="3" t="str">
        <f>IFERROR(__xludf.DUMMYFUNCTION("""COMPUTED_VALUE"""),"704 WHITES RD  ")</f>
        <v>704 WHITES RD  </v>
      </c>
      <c r="C8117" s="3" t="str">
        <f>IFERROR(__xludf.DUMMYFUNCTION("""COMPUTED_VALUE"""),"BRIGHTON")</f>
        <v>BRIGHTON</v>
      </c>
      <c r="D8117" s="3" t="str">
        <f>IFERROR(__xludf.DUMMYFUNCTION("""COMPUTED_VALUE"""),"K0K 1H0")</f>
        <v>K0K 1H0</v>
      </c>
      <c r="E8117" s="3" t="str">
        <f>IFERROR(__xludf.DUMMYFUNCTION("""COMPUTED_VALUE"""),"Matt &amp; Terry Duga")</f>
        <v>Matt &amp; Terry Duga</v>
      </c>
      <c r="F8117" s="3" t="str">
        <f>IFERROR(__xludf.DUMMYFUNCTION("""COMPUTED_VALUE"""),"mattandterry@live.ca")</f>
        <v>mattandterry@live.ca</v>
      </c>
      <c r="G8117" s="3"/>
      <c r="H8117" s="3"/>
    </row>
    <row r="8118">
      <c r="A8118" s="2">
        <f>IFERROR(__xludf.DUMMYFUNCTION("""COMPUTED_VALUE"""),93053.0)</f>
        <v>93053</v>
      </c>
      <c r="B8118" s="3" t="str">
        <f>IFERROR(__xludf.DUMMYFUNCTION("""COMPUTED_VALUE"""),"710 WHITES RD  ")</f>
        <v>710 WHITES RD  </v>
      </c>
      <c r="C8118" s="3" t="str">
        <f>IFERROR(__xludf.DUMMYFUNCTION("""COMPUTED_VALUE"""),"BRIGHTON")</f>
        <v>BRIGHTON</v>
      </c>
      <c r="D8118" s="3" t="str">
        <f>IFERROR(__xludf.DUMMYFUNCTION("""COMPUTED_VALUE"""),"K0K 1H0")</f>
        <v>K0K 1H0</v>
      </c>
      <c r="E8118" s="3" t="str">
        <f>IFERROR(__xludf.DUMMYFUNCTION("""COMPUTED_VALUE"""),"Angela Jinks")</f>
        <v>Angela Jinks</v>
      </c>
      <c r="F8118" s="3" t="str">
        <f>IFERROR(__xludf.DUMMYFUNCTION("""COMPUTED_VALUE"""),"ajinks18@hotmail.com")</f>
        <v>ajinks18@hotmail.com</v>
      </c>
      <c r="G8118" s="3">
        <f>IFERROR(__xludf.DUMMYFUNCTION("""COMPUTED_VALUE"""),6.139194243E9)</f>
        <v>6139194243</v>
      </c>
      <c r="H8118" s="3">
        <f>IFERROR(__xludf.DUMMYFUNCTION("""COMPUTED_VALUE"""),6.132430981E9)</f>
        <v>6132430981</v>
      </c>
    </row>
    <row r="8119">
      <c r="A8119" s="2">
        <f>IFERROR(__xludf.DUMMYFUNCTION("""COMPUTED_VALUE"""),93054.0)</f>
        <v>93054</v>
      </c>
      <c r="B8119" s="3" t="str">
        <f>IFERROR(__xludf.DUMMYFUNCTION("""COMPUTED_VALUE"""),"718 WHITES RD  ")</f>
        <v>718 WHITES RD  </v>
      </c>
      <c r="C8119" s="3" t="str">
        <f>IFERROR(__xludf.DUMMYFUNCTION("""COMPUTED_VALUE"""),"BRIGHTON")</f>
        <v>BRIGHTON</v>
      </c>
      <c r="D8119" s="3" t="str">
        <f>IFERROR(__xludf.DUMMYFUNCTION("""COMPUTED_VALUE"""),"K0K 1H0")</f>
        <v>K0K 1H0</v>
      </c>
      <c r="E8119" s="3" t="str">
        <f>IFERROR(__xludf.DUMMYFUNCTION("""COMPUTED_VALUE"""),"tanya hodgson")</f>
        <v>tanya hodgson</v>
      </c>
      <c r="F8119" s="3"/>
      <c r="G8119" s="3">
        <f>IFERROR(__xludf.DUMMYFUNCTION("""COMPUTED_VALUE"""),2.898290953E9)</f>
        <v>2898290953</v>
      </c>
      <c r="H8119" s="3"/>
    </row>
    <row r="8120">
      <c r="A8120" s="2">
        <f>IFERROR(__xludf.DUMMYFUNCTION("""COMPUTED_VALUE"""),93056.0)</f>
        <v>93056</v>
      </c>
      <c r="B8120" s="3" t="str">
        <f>IFERROR(__xludf.DUMMYFUNCTION("""COMPUTED_VALUE"""),"732 WHITES RD  ")</f>
        <v>732 WHITES RD  </v>
      </c>
      <c r="C8120" s="3" t="str">
        <f>IFERROR(__xludf.DUMMYFUNCTION("""COMPUTED_VALUE"""),"BRIGHTON")</f>
        <v>BRIGHTON</v>
      </c>
      <c r="D8120" s="3" t="str">
        <f>IFERROR(__xludf.DUMMYFUNCTION("""COMPUTED_VALUE"""),"K0K 1H0")</f>
        <v>K0K 1H0</v>
      </c>
      <c r="E8120" s="3" t="str">
        <f>IFERROR(__xludf.DUMMYFUNCTION("""COMPUTED_VALUE"""),"Milton B. Heish")</f>
        <v>Milton B. Heish</v>
      </c>
      <c r="F8120" s="3" t="str">
        <f>IFERROR(__xludf.DUMMYFUNCTION("""COMPUTED_VALUE"""),"takefive4@xplornet.com")</f>
        <v>takefive4@xplornet.com</v>
      </c>
      <c r="G8120" s="3"/>
      <c r="H8120" s="3"/>
    </row>
    <row r="8121">
      <c r="A8121" s="2">
        <f>IFERROR(__xludf.DUMMYFUNCTION("""COMPUTED_VALUE"""),93059.0)</f>
        <v>93059</v>
      </c>
      <c r="B8121" s="3" t="str">
        <f>IFERROR(__xludf.DUMMYFUNCTION("""COMPUTED_VALUE"""),"756 WHITES RD  ")</f>
        <v>756 WHITES RD  </v>
      </c>
      <c r="C8121" s="3" t="str">
        <f>IFERROR(__xludf.DUMMYFUNCTION("""COMPUTED_VALUE"""),"BRIGHTON")</f>
        <v>BRIGHTON</v>
      </c>
      <c r="D8121" s="3" t="str">
        <f>IFERROR(__xludf.DUMMYFUNCTION("""COMPUTED_VALUE"""),"K0K 1H0")</f>
        <v>K0K 1H0</v>
      </c>
      <c r="E8121" s="3"/>
      <c r="F8121" s="3"/>
      <c r="G8121" s="3"/>
      <c r="H8121" s="3"/>
    </row>
    <row r="8122">
      <c r="A8122" s="2">
        <f>IFERROR(__xludf.DUMMYFUNCTION("""COMPUTED_VALUE"""),93061.0)</f>
        <v>93061</v>
      </c>
      <c r="B8122" s="3" t="str">
        <f>IFERROR(__xludf.DUMMYFUNCTION("""COMPUTED_VALUE"""),"820 WHITES RD  ")</f>
        <v>820 WHITES RD  </v>
      </c>
      <c r="C8122" s="3" t="str">
        <f>IFERROR(__xludf.DUMMYFUNCTION("""COMPUTED_VALUE"""),"BRIGHTON")</f>
        <v>BRIGHTON</v>
      </c>
      <c r="D8122" s="3" t="str">
        <f>IFERROR(__xludf.DUMMYFUNCTION("""COMPUTED_VALUE"""),"K0K 1H0")</f>
        <v>K0K 1H0</v>
      </c>
      <c r="E8122" s="3" t="str">
        <f>IFERROR(__xludf.DUMMYFUNCTION("""COMPUTED_VALUE"""),"Pierre Perron")</f>
        <v>Pierre Perron</v>
      </c>
      <c r="F8122" s="3" t="str">
        <f>IFERROR(__xludf.DUMMYFUNCTION("""COMPUTED_VALUE"""),"pierre_perron092@hotmail.ca")</f>
        <v>pierre_perron092@hotmail.ca</v>
      </c>
      <c r="G8122" s="3">
        <f>IFERROR(__xludf.DUMMYFUNCTION("""COMPUTED_VALUE"""),6.138782385E9)</f>
        <v>6138782385</v>
      </c>
      <c r="H8122" s="3"/>
    </row>
    <row r="8123">
      <c r="A8123" s="2">
        <f>IFERROR(__xludf.DUMMYFUNCTION("""COMPUTED_VALUE"""),93021.0)</f>
        <v>93021</v>
      </c>
      <c r="B8123" s="3" t="str">
        <f>IFERROR(__xludf.DUMMYFUNCTION("""COMPUTED_VALUE"""),"356 WHITES RD N/S")</f>
        <v>356 WHITES RD N/S</v>
      </c>
      <c r="C8123" s="3" t="str">
        <f>IFERROR(__xludf.DUMMYFUNCTION("""COMPUTED_VALUE"""),"BRIGHTON")</f>
        <v>BRIGHTON</v>
      </c>
      <c r="D8123" s="3" t="str">
        <f>IFERROR(__xludf.DUMMYFUNCTION("""COMPUTED_VALUE"""),"K0K 1H0")</f>
        <v>K0K 1H0</v>
      </c>
      <c r="E8123" s="3"/>
      <c r="F8123" s="3"/>
      <c r="G8123" s="3"/>
      <c r="H8123" s="3"/>
    </row>
    <row r="8124">
      <c r="A8124" s="2">
        <f>IFERROR(__xludf.DUMMYFUNCTION("""COMPUTED_VALUE"""),93065.0)</f>
        <v>93065</v>
      </c>
      <c r="B8124" s="3" t="str">
        <f>IFERROR(__xludf.DUMMYFUNCTION("""COMPUTED_VALUE"""),"872 WHITES RD  ")</f>
        <v>872 WHITES RD  </v>
      </c>
      <c r="C8124" s="3" t="str">
        <f>IFERROR(__xludf.DUMMYFUNCTION("""COMPUTED_VALUE"""),"BRIGHTON")</f>
        <v>BRIGHTON</v>
      </c>
      <c r="D8124" s="3" t="str">
        <f>IFERROR(__xludf.DUMMYFUNCTION("""COMPUTED_VALUE"""),"K0K 1H0")</f>
        <v>K0K 1H0</v>
      </c>
      <c r="E8124" s="3" t="str">
        <f>IFERROR(__xludf.DUMMYFUNCTION("""COMPUTED_VALUE"""),"Amy Hrncir")</f>
        <v>Amy Hrncir</v>
      </c>
      <c r="F8124" s="3" t="str">
        <f>IFERROR(__xludf.DUMMYFUNCTION("""COMPUTED_VALUE"""),"amyhaynes30@msn.com")</f>
        <v>amyhaynes30@msn.com</v>
      </c>
      <c r="G8124" s="3">
        <f>IFERROR(__xludf.DUMMYFUNCTION("""COMPUTED_VALUE"""),6.138853656E9)</f>
        <v>6138853656</v>
      </c>
      <c r="H8124" s="3">
        <f>IFERROR(__xludf.DUMMYFUNCTION("""COMPUTED_VALUE"""),9.052691238E9)</f>
        <v>9052691238</v>
      </c>
    </row>
    <row r="8125">
      <c r="A8125" s="2">
        <f>IFERROR(__xludf.DUMMYFUNCTION("""COMPUTED_VALUE"""),93070.0)</f>
        <v>93070</v>
      </c>
      <c r="B8125" s="3" t="str">
        <f>IFERROR(__xludf.DUMMYFUNCTION("""COMPUTED_VALUE"""),"920 WHITES RD  ")</f>
        <v>920 WHITES RD  </v>
      </c>
      <c r="C8125" s="3" t="str">
        <f>IFERROR(__xludf.DUMMYFUNCTION("""COMPUTED_VALUE"""),"BRIGHTON")</f>
        <v>BRIGHTON</v>
      </c>
      <c r="D8125" s="3" t="str">
        <f>IFERROR(__xludf.DUMMYFUNCTION("""COMPUTED_VALUE"""),"K0K 1H0")</f>
        <v>K0K 1H0</v>
      </c>
      <c r="E8125" s="3" t="str">
        <f>IFERROR(__xludf.DUMMYFUNCTION("""COMPUTED_VALUE"""),"Marko Nahtigal")</f>
        <v>Marko Nahtigal</v>
      </c>
      <c r="F8125" s="3" t="str">
        <f>IFERROR(__xludf.DUMMYFUNCTION("""COMPUTED_VALUE"""),"nahtigal448@hotmail.com")</f>
        <v>nahtigal448@hotmail.com</v>
      </c>
      <c r="G8125" s="3">
        <f>IFERROR(__xludf.DUMMYFUNCTION("""COMPUTED_VALUE"""),6.13827304E9)</f>
        <v>6138273040</v>
      </c>
      <c r="H8125" s="3"/>
    </row>
    <row r="8126">
      <c r="A8126" s="2">
        <f>IFERROR(__xludf.DUMMYFUNCTION("""COMPUTED_VALUE"""),93071.0)</f>
        <v>93071</v>
      </c>
      <c r="B8126" s="3" t="str">
        <f>IFERROR(__xludf.DUMMYFUNCTION("""COMPUTED_VALUE"""),"931 WHITES RD  ")</f>
        <v>931 WHITES RD  </v>
      </c>
      <c r="C8126" s="3" t="str">
        <f>IFERROR(__xludf.DUMMYFUNCTION("""COMPUTED_VALUE"""),"BRIGHTON")</f>
        <v>BRIGHTON</v>
      </c>
      <c r="D8126" s="3" t="str">
        <f>IFERROR(__xludf.DUMMYFUNCTION("""COMPUTED_VALUE"""),"K0K 1H0")</f>
        <v>K0K 1H0</v>
      </c>
      <c r="E8126" s="3" t="str">
        <f>IFERROR(__xludf.DUMMYFUNCTION("""COMPUTED_VALUE"""),"Kim Hart")</f>
        <v>Kim Hart</v>
      </c>
      <c r="F8126" s="3" t="str">
        <f>IFERROR(__xludf.DUMMYFUNCTION("""COMPUTED_VALUE"""),"kimhart64@icloud.com")</f>
        <v>kimhart64@icloud.com</v>
      </c>
      <c r="G8126" s="3"/>
      <c r="H8126" s="3"/>
    </row>
    <row r="8127">
      <c r="A8127" s="2">
        <f>IFERROR(__xludf.DUMMYFUNCTION("""COMPUTED_VALUE"""),93048.0)</f>
        <v>93048</v>
      </c>
      <c r="B8127" s="3" t="str">
        <f>IFERROR(__xludf.DUMMYFUNCTION("""COMPUTED_VALUE"""),"651 WHITES RD  ")</f>
        <v>651 WHITES RD  </v>
      </c>
      <c r="C8127" s="3" t="str">
        <f>IFERROR(__xludf.DUMMYFUNCTION("""COMPUTED_VALUE"""),"BRIGHTON")</f>
        <v>BRIGHTON</v>
      </c>
      <c r="D8127" s="3" t="str">
        <f>IFERROR(__xludf.DUMMYFUNCTION("""COMPUTED_VALUE"""),"K0K 1H0")</f>
        <v>K0K 1H0</v>
      </c>
      <c r="E8127" s="3" t="str">
        <f>IFERROR(__xludf.DUMMYFUNCTION("""COMPUTED_VALUE"""),"Paul Stephen")</f>
        <v>Paul Stephen</v>
      </c>
      <c r="F8127" s="3" t="str">
        <f>IFERROR(__xludf.DUMMYFUNCTION("""COMPUTED_VALUE"""),"snugthejoiner@protonmail.com")</f>
        <v>snugthejoiner@protonmail.com</v>
      </c>
      <c r="G8127" s="3"/>
      <c r="H8127" s="3"/>
    </row>
    <row r="8128">
      <c r="A8128" s="2">
        <f>IFERROR(__xludf.DUMMYFUNCTION("""COMPUTED_VALUE"""),93049.0)</f>
        <v>93049</v>
      </c>
      <c r="B8128" s="3" t="str">
        <f>IFERROR(__xludf.DUMMYFUNCTION("""COMPUTED_VALUE"""),"665 WHITES RD  ")</f>
        <v>665 WHITES RD  </v>
      </c>
      <c r="C8128" s="3" t="str">
        <f>IFERROR(__xludf.DUMMYFUNCTION("""COMPUTED_VALUE"""),"BRIGHTON")</f>
        <v>BRIGHTON</v>
      </c>
      <c r="D8128" s="3" t="str">
        <f>IFERROR(__xludf.DUMMYFUNCTION("""COMPUTED_VALUE"""),"K0K 1H0")</f>
        <v>K0K 1H0</v>
      </c>
      <c r="E8128" s="3" t="str">
        <f>IFERROR(__xludf.DUMMYFUNCTION("""COMPUTED_VALUE"""),"Debbie Bennett")</f>
        <v>Debbie Bennett</v>
      </c>
      <c r="F8128" s="3" t="str">
        <f>IFERROR(__xludf.DUMMYFUNCTION("""COMPUTED_VALUE"""),"d.bennett@iname.com")</f>
        <v>d.bennett@iname.com</v>
      </c>
      <c r="G8128" s="3">
        <f>IFERROR(__xludf.DUMMYFUNCTION("""COMPUTED_VALUE"""),4.162667285E9)</f>
        <v>4162667285</v>
      </c>
      <c r="H8128" s="3">
        <f>IFERROR(__xludf.DUMMYFUNCTION("""COMPUTED_VALUE"""),9.058416046E9)</f>
        <v>9058416046</v>
      </c>
    </row>
    <row r="8129">
      <c r="A8129" s="2">
        <f>IFERROR(__xludf.DUMMYFUNCTION("""COMPUTED_VALUE"""),93055.0)</f>
        <v>93055</v>
      </c>
      <c r="B8129" s="3" t="str">
        <f>IFERROR(__xludf.DUMMYFUNCTION("""COMPUTED_VALUE"""),"724 WHITES RD  ")</f>
        <v>724 WHITES RD  </v>
      </c>
      <c r="C8129" s="3" t="str">
        <f>IFERROR(__xludf.DUMMYFUNCTION("""COMPUTED_VALUE"""),"BRIGHTON")</f>
        <v>BRIGHTON</v>
      </c>
      <c r="D8129" s="3" t="str">
        <f>IFERROR(__xludf.DUMMYFUNCTION("""COMPUTED_VALUE"""),"K0K 1H0")</f>
        <v>K0K 1H0</v>
      </c>
      <c r="E8129" s="3" t="str">
        <f>IFERROR(__xludf.DUMMYFUNCTION("""COMPUTED_VALUE"""),"John &amp; Trudie Aandewiel")</f>
        <v>John &amp; Trudie Aandewiel</v>
      </c>
      <c r="F8129" s="3" t="str">
        <f>IFERROR(__xludf.DUMMYFUNCTION("""COMPUTED_VALUE"""),"janaandewiel@hotmail.com")</f>
        <v>janaandewiel@hotmail.com</v>
      </c>
      <c r="G8129" s="3"/>
      <c r="H8129" s="3"/>
    </row>
    <row r="8130">
      <c r="A8130" s="2">
        <f>IFERROR(__xludf.DUMMYFUNCTION("""COMPUTED_VALUE"""),93057.0)</f>
        <v>93057</v>
      </c>
      <c r="B8130" s="3" t="str">
        <f>IFERROR(__xludf.DUMMYFUNCTION("""COMPUTED_VALUE"""),"750 WHITES RD  ")</f>
        <v>750 WHITES RD  </v>
      </c>
      <c r="C8130" s="3" t="str">
        <f>IFERROR(__xludf.DUMMYFUNCTION("""COMPUTED_VALUE"""),"BRIGHTON")</f>
        <v>BRIGHTON</v>
      </c>
      <c r="D8130" s="3" t="str">
        <f>IFERROR(__xludf.DUMMYFUNCTION("""COMPUTED_VALUE"""),"K0K 1H0")</f>
        <v>K0K 1H0</v>
      </c>
      <c r="E8130" s="3" t="str">
        <f>IFERROR(__xludf.DUMMYFUNCTION("""COMPUTED_VALUE"""),"Rebecca Baptista")</f>
        <v>Rebecca Baptista</v>
      </c>
      <c r="F8130" s="3" t="str">
        <f>IFERROR(__xludf.DUMMYFUNCTION("""COMPUTED_VALUE"""),"rebecca.baptista@hotmail.com")</f>
        <v>rebecca.baptista@hotmail.com</v>
      </c>
      <c r="G8130" s="3">
        <f>IFERROR(__xludf.DUMMYFUNCTION("""COMPUTED_VALUE"""),2.897711519E9)</f>
        <v>2897711519</v>
      </c>
      <c r="H8130" s="3">
        <f>IFERROR(__xludf.DUMMYFUNCTION("""COMPUTED_VALUE"""),9.053960242E9)</f>
        <v>9053960242</v>
      </c>
    </row>
    <row r="8131">
      <c r="A8131" s="2">
        <f>IFERROR(__xludf.DUMMYFUNCTION("""COMPUTED_VALUE"""),93058.0)</f>
        <v>93058</v>
      </c>
      <c r="B8131" s="3" t="str">
        <f>IFERROR(__xludf.DUMMYFUNCTION("""COMPUTED_VALUE"""),"755 WHITES RD  ")</f>
        <v>755 WHITES RD  </v>
      </c>
      <c r="C8131" s="3" t="str">
        <f>IFERROR(__xludf.DUMMYFUNCTION("""COMPUTED_VALUE"""),"BRIGHTON")</f>
        <v>BRIGHTON</v>
      </c>
      <c r="D8131" s="3" t="str">
        <f>IFERROR(__xludf.DUMMYFUNCTION("""COMPUTED_VALUE"""),"K0K 1H0")</f>
        <v>K0K 1H0</v>
      </c>
      <c r="E8131" s="3" t="str">
        <f>IFERROR(__xludf.DUMMYFUNCTION("""COMPUTED_VALUE"""),"JOHN WARD")</f>
        <v>JOHN WARD</v>
      </c>
      <c r="F8131" s="3" t="str">
        <f>IFERROR(__xludf.DUMMYFUNCTION("""COMPUTED_VALUE"""),"shipwreckw@gmail.com")</f>
        <v>shipwreckw@gmail.com</v>
      </c>
      <c r="G8131" s="3">
        <f>IFERROR(__xludf.DUMMYFUNCTION("""COMPUTED_VALUE"""),6.13438367E9)</f>
        <v>6134383670</v>
      </c>
      <c r="H8131" s="3"/>
    </row>
    <row r="8132">
      <c r="A8132" s="2">
        <f>IFERROR(__xludf.DUMMYFUNCTION("""COMPUTED_VALUE"""),93060.0)</f>
        <v>93060</v>
      </c>
      <c r="B8132" s="3" t="str">
        <f>IFERROR(__xludf.DUMMYFUNCTION("""COMPUTED_VALUE"""),"768 WHITES RD  ")</f>
        <v>768 WHITES RD  </v>
      </c>
      <c r="C8132" s="3" t="str">
        <f>IFERROR(__xludf.DUMMYFUNCTION("""COMPUTED_VALUE"""),"BRIGHTON")</f>
        <v>BRIGHTON</v>
      </c>
      <c r="D8132" s="3" t="str">
        <f>IFERROR(__xludf.DUMMYFUNCTION("""COMPUTED_VALUE"""),"K0K 1H0")</f>
        <v>K0K 1H0</v>
      </c>
      <c r="E8132" s="3" t="str">
        <f>IFERROR(__xludf.DUMMYFUNCTION("""COMPUTED_VALUE"""),"Olga Quick ")</f>
        <v>Olga Quick </v>
      </c>
      <c r="F8132" s="3" t="str">
        <f>IFERROR(__xludf.DUMMYFUNCTION("""COMPUTED_VALUE"""),"olga.quick@yahoo.com / cedevries@yahoo.ca")</f>
        <v>olga.quick@yahoo.com / cedevries@yahoo.ca</v>
      </c>
      <c r="G8132" s="3"/>
      <c r="H8132" s="3"/>
    </row>
    <row r="8133">
      <c r="A8133" s="2">
        <f>IFERROR(__xludf.DUMMYFUNCTION("""COMPUTED_VALUE"""),93066.0)</f>
        <v>93066</v>
      </c>
      <c r="B8133" s="3" t="str">
        <f>IFERROR(__xludf.DUMMYFUNCTION("""COMPUTED_VALUE"""),"883 WHITES RD")</f>
        <v>883 WHITES RD</v>
      </c>
      <c r="C8133" s="3"/>
      <c r="D8133" s="3"/>
      <c r="E8133" s="3"/>
      <c r="F8133" s="3"/>
      <c r="G8133" s="3"/>
      <c r="H8133" s="3"/>
    </row>
    <row r="8134">
      <c r="A8134" s="2">
        <f>IFERROR(__xludf.DUMMYFUNCTION("""COMPUTED_VALUE"""),93068.0)</f>
        <v>93068</v>
      </c>
      <c r="B8134" s="3" t="str">
        <f>IFERROR(__xludf.DUMMYFUNCTION("""COMPUTED_VALUE"""),"909 WHITES RD  ")</f>
        <v>909 WHITES RD  </v>
      </c>
      <c r="C8134" s="3" t="str">
        <f>IFERROR(__xludf.DUMMYFUNCTION("""COMPUTED_VALUE"""),"BRIGHTON")</f>
        <v>BRIGHTON</v>
      </c>
      <c r="D8134" s="3" t="str">
        <f>IFERROR(__xludf.DUMMYFUNCTION("""COMPUTED_VALUE"""),"K0K 1H0")</f>
        <v>K0K 1H0</v>
      </c>
      <c r="E8134" s="3" t="str">
        <f>IFERROR(__xludf.DUMMYFUNCTION("""COMPUTED_VALUE"""),"Robert James Miller")</f>
        <v>Robert James Miller</v>
      </c>
      <c r="F8134" s="3" t="str">
        <f>IFERROR(__xludf.DUMMYFUNCTION("""COMPUTED_VALUE"""),"asgard909@yahoo.ca")</f>
        <v>asgard909@yahoo.ca</v>
      </c>
      <c r="G8134" s="3">
        <f>IFERROR(__xludf.DUMMYFUNCTION("""COMPUTED_VALUE"""),6.13475071E9)</f>
        <v>6134750710</v>
      </c>
      <c r="H8134" s="3"/>
    </row>
    <row r="8135">
      <c r="A8135" s="2">
        <f>IFERROR(__xludf.DUMMYFUNCTION("""COMPUTED_VALUE"""),93035.0)</f>
        <v>93035</v>
      </c>
      <c r="B8135" s="3" t="str">
        <f>IFERROR(__xludf.DUMMYFUNCTION("""COMPUTED_VALUE"""),"398 WHITES RD  ")</f>
        <v>398 WHITES RD  </v>
      </c>
      <c r="C8135" s="3" t="str">
        <f>IFERROR(__xludf.DUMMYFUNCTION("""COMPUTED_VALUE"""),"BRIGHTON")</f>
        <v>BRIGHTON</v>
      </c>
      <c r="D8135" s="3" t="str">
        <f>IFERROR(__xludf.DUMMYFUNCTION("""COMPUTED_VALUE"""),"K0K 1H0")</f>
        <v>K0K 1H0</v>
      </c>
      <c r="E8135" s="3"/>
      <c r="F8135" s="3"/>
      <c r="G8135" s="3"/>
      <c r="H8135" s="3"/>
    </row>
    <row r="8136">
      <c r="A8136" s="2">
        <f>IFERROR(__xludf.DUMMYFUNCTION("""COMPUTED_VALUE"""),93063.0)</f>
        <v>93063</v>
      </c>
      <c r="B8136" s="3" t="str">
        <f>IFERROR(__xludf.DUMMYFUNCTION("""COMPUTED_VALUE"""),"828 WHITES RD  ")</f>
        <v>828 WHITES RD  </v>
      </c>
      <c r="C8136" s="3" t="str">
        <f>IFERROR(__xludf.DUMMYFUNCTION("""COMPUTED_VALUE"""),"BRIGHTON")</f>
        <v>BRIGHTON</v>
      </c>
      <c r="D8136" s="3" t="str">
        <f>IFERROR(__xludf.DUMMYFUNCTION("""COMPUTED_VALUE"""),"K0K 1H0")</f>
        <v>K0K 1H0</v>
      </c>
      <c r="E8136" s="3" t="str">
        <f>IFERROR(__xludf.DUMMYFUNCTION("""COMPUTED_VALUE"""),"Dwight Hargrove ")</f>
        <v>Dwight Hargrove </v>
      </c>
      <c r="F8136" s="3" t="str">
        <f>IFERROR(__xludf.DUMMYFUNCTION("""COMPUTED_VALUE"""),"64laurentian@gmail.com")</f>
        <v>64laurentian@gmail.com</v>
      </c>
      <c r="G8136" s="3"/>
      <c r="H8136" s="3"/>
    </row>
    <row r="8137">
      <c r="A8137" s="2">
        <f>IFERROR(__xludf.DUMMYFUNCTION("""COMPUTED_VALUE"""),93064.0)</f>
        <v>93064</v>
      </c>
      <c r="B8137" s="3" t="str">
        <f>IFERROR(__xludf.DUMMYFUNCTION("""COMPUTED_VALUE"""),"840 WHITES RD  ")</f>
        <v>840 WHITES RD  </v>
      </c>
      <c r="C8137" s="3" t="str">
        <f>IFERROR(__xludf.DUMMYFUNCTION("""COMPUTED_VALUE"""),"BRIGHTON")</f>
        <v>BRIGHTON</v>
      </c>
      <c r="D8137" s="3" t="str">
        <f>IFERROR(__xludf.DUMMYFUNCTION("""COMPUTED_VALUE"""),"K0K 1H0")</f>
        <v>K0K 1H0</v>
      </c>
      <c r="E8137" s="3" t="str">
        <f>IFERROR(__xludf.DUMMYFUNCTION("""COMPUTED_VALUE"""),"Kevin Trueman")</f>
        <v>Kevin Trueman</v>
      </c>
      <c r="F8137" s="3" t="str">
        <f>IFERROR(__xludf.DUMMYFUNCTION("""COMPUTED_VALUE"""),"ktruemanz@gmail.com")</f>
        <v>ktruemanz@gmail.com</v>
      </c>
      <c r="G8137" s="3"/>
      <c r="H8137" s="3"/>
    </row>
    <row r="8138">
      <c r="A8138" s="2">
        <f>IFERROR(__xludf.DUMMYFUNCTION("""COMPUTED_VALUE"""),93067.0)</f>
        <v>93067</v>
      </c>
      <c r="B8138" s="3" t="str">
        <f>IFERROR(__xludf.DUMMYFUNCTION("""COMPUTED_VALUE"""),"894 WHITES RD  ")</f>
        <v>894 WHITES RD  </v>
      </c>
      <c r="C8138" s="3" t="str">
        <f>IFERROR(__xludf.DUMMYFUNCTION("""COMPUTED_VALUE"""),"BRIGHTON")</f>
        <v>BRIGHTON</v>
      </c>
      <c r="D8138" s="3" t="str">
        <f>IFERROR(__xludf.DUMMYFUNCTION("""COMPUTED_VALUE"""),"K0K 1H0")</f>
        <v>K0K 1H0</v>
      </c>
      <c r="E8138" s="3" t="str">
        <f>IFERROR(__xludf.DUMMYFUNCTION("""COMPUTED_VALUE"""),"Claude Sevigny")</f>
        <v>Claude Sevigny</v>
      </c>
      <c r="F8138" s="3" t="str">
        <f>IFERROR(__xludf.DUMMYFUNCTION("""COMPUTED_VALUE"""),"cpsevigny@gmail.com")</f>
        <v>cpsevigny@gmail.com</v>
      </c>
      <c r="G8138" s="3">
        <f>IFERROR(__xludf.DUMMYFUNCTION("""COMPUTED_VALUE"""),6.138486531E9)</f>
        <v>6138486531</v>
      </c>
      <c r="H8138" s="3"/>
    </row>
    <row r="8139">
      <c r="A8139" s="2">
        <f>IFERROR(__xludf.DUMMYFUNCTION("""COMPUTED_VALUE"""),93072.0)</f>
        <v>93072</v>
      </c>
      <c r="B8139" s="3" t="str">
        <f>IFERROR(__xludf.DUMMYFUNCTION("""COMPUTED_VALUE"""),"934 WHITES RD  ")</f>
        <v>934 WHITES RD  </v>
      </c>
      <c r="C8139" s="3" t="str">
        <f>IFERROR(__xludf.DUMMYFUNCTION("""COMPUTED_VALUE"""),"BRIGHTON")</f>
        <v>BRIGHTON</v>
      </c>
      <c r="D8139" s="3" t="str">
        <f>IFERROR(__xludf.DUMMYFUNCTION("""COMPUTED_VALUE"""),"K0K 1H0")</f>
        <v>K0K 1H0</v>
      </c>
      <c r="E8139" s="3" t="str">
        <f>IFERROR(__xludf.DUMMYFUNCTION("""COMPUTED_VALUE"""),"STEVE HILDEBRAND")</f>
        <v>STEVE HILDEBRAND</v>
      </c>
      <c r="F8139" s="3" t="str">
        <f>IFERROR(__xludf.DUMMYFUNCTION("""COMPUTED_VALUE"""),"skateparkguy@gmail.com")</f>
        <v>skateparkguy@gmail.com</v>
      </c>
      <c r="G8139" s="3">
        <f>IFERROR(__xludf.DUMMYFUNCTION("""COMPUTED_VALUE"""),2.048563774E9)</f>
        <v>2048563774</v>
      </c>
      <c r="H8139" s="3"/>
    </row>
    <row r="8140">
      <c r="A8140" s="2">
        <f>IFERROR(__xludf.DUMMYFUNCTION("""COMPUTED_VALUE"""),93025.0)</f>
        <v>93025</v>
      </c>
      <c r="B8140" s="3" t="str">
        <f>IFERROR(__xludf.DUMMYFUNCTION("""COMPUTED_VALUE"""),"137 WHITES RD  ")</f>
        <v>137 WHITES RD  </v>
      </c>
      <c r="C8140" s="3" t="str">
        <f>IFERROR(__xludf.DUMMYFUNCTION("""COMPUTED_VALUE"""),"BRIGHTON")</f>
        <v>BRIGHTON</v>
      </c>
      <c r="D8140" s="3" t="str">
        <f>IFERROR(__xludf.DUMMYFUNCTION("""COMPUTED_VALUE"""),"K0K 1H0")</f>
        <v>K0K 1H0</v>
      </c>
      <c r="E8140" s="3"/>
      <c r="F8140" s="3"/>
      <c r="G8140" s="3"/>
      <c r="H8140" s="3"/>
    </row>
    <row r="8141">
      <c r="A8141" s="2">
        <f>IFERROR(__xludf.DUMMYFUNCTION("""COMPUTED_VALUE"""),93027.0)</f>
        <v>93027</v>
      </c>
      <c r="B8141" s="3" t="str">
        <f>IFERROR(__xludf.DUMMYFUNCTION("""COMPUTED_VALUE"""),"149 WHITES RD  ")</f>
        <v>149 WHITES RD  </v>
      </c>
      <c r="C8141" s="3" t="str">
        <f>IFERROR(__xludf.DUMMYFUNCTION("""COMPUTED_VALUE"""),"BRIGHTON")</f>
        <v>BRIGHTON</v>
      </c>
      <c r="D8141" s="3" t="str">
        <f>IFERROR(__xludf.DUMMYFUNCTION("""COMPUTED_VALUE"""),"K0K 1H0")</f>
        <v>K0K 1H0</v>
      </c>
      <c r="E8141" s="3"/>
      <c r="F8141" s="3"/>
      <c r="G8141" s="3"/>
      <c r="H8141" s="3"/>
    </row>
    <row r="8142">
      <c r="A8142" s="2">
        <f>IFERROR(__xludf.DUMMYFUNCTION("""COMPUTED_VALUE"""),93022.0)</f>
        <v>93022</v>
      </c>
      <c r="B8142" s="3" t="str">
        <f>IFERROR(__xludf.DUMMYFUNCTION("""COMPUTED_VALUE"""),"113 WHITES RD  ")</f>
        <v>113 WHITES RD  </v>
      </c>
      <c r="C8142" s="3" t="str">
        <f>IFERROR(__xludf.DUMMYFUNCTION("""COMPUTED_VALUE"""),"BRIGHTON")</f>
        <v>BRIGHTON</v>
      </c>
      <c r="D8142" s="3" t="str">
        <f>IFERROR(__xludf.DUMMYFUNCTION("""COMPUTED_VALUE"""),"K0K 1H0")</f>
        <v>K0K 1H0</v>
      </c>
      <c r="E8142" s="3" t="str">
        <f>IFERROR(__xludf.DUMMYFUNCTION("""COMPUTED_VALUE"""),"yvonne searle")</f>
        <v>yvonne searle</v>
      </c>
      <c r="F8142" s="3"/>
      <c r="G8142" s="3">
        <f>IFERROR(__xludf.DUMMYFUNCTION("""COMPUTED_VALUE"""),6.134254359E9)</f>
        <v>6134254359</v>
      </c>
      <c r="H8142" s="3"/>
    </row>
    <row r="8143">
      <c r="A8143" s="2">
        <f>IFERROR(__xludf.DUMMYFUNCTION("""COMPUTED_VALUE"""),93024.0)</f>
        <v>93024</v>
      </c>
      <c r="B8143" s="3" t="str">
        <f>IFERROR(__xludf.DUMMYFUNCTION("""COMPUTED_VALUE"""),"125 WHITES RD  ")</f>
        <v>125 WHITES RD  </v>
      </c>
      <c r="C8143" s="3" t="str">
        <f>IFERROR(__xludf.DUMMYFUNCTION("""COMPUTED_VALUE"""),"BRIGHTON")</f>
        <v>BRIGHTON</v>
      </c>
      <c r="D8143" s="3" t="str">
        <f>IFERROR(__xludf.DUMMYFUNCTION("""COMPUTED_VALUE"""),"K0K 1H0")</f>
        <v>K0K 1H0</v>
      </c>
      <c r="E8143" s="3"/>
      <c r="F8143" s="3"/>
      <c r="G8143" s="3"/>
      <c r="H8143" s="3"/>
    </row>
    <row r="8144">
      <c r="A8144" s="2">
        <f>IFERROR(__xludf.DUMMYFUNCTION("""COMPUTED_VALUE"""),93026.0)</f>
        <v>93026</v>
      </c>
      <c r="B8144" s="3" t="str">
        <f>IFERROR(__xludf.DUMMYFUNCTION("""COMPUTED_VALUE"""),"141 WHITES RD  ")</f>
        <v>141 WHITES RD  </v>
      </c>
      <c r="C8144" s="3" t="str">
        <f>IFERROR(__xludf.DUMMYFUNCTION("""COMPUTED_VALUE"""),"BRIGHTON")</f>
        <v>BRIGHTON</v>
      </c>
      <c r="D8144" s="3" t="str">
        <f>IFERROR(__xludf.DUMMYFUNCTION("""COMPUTED_VALUE"""),"K0K 1H0")</f>
        <v>K0K 1H0</v>
      </c>
      <c r="E8144" s="3" t="str">
        <f>IFERROR(__xludf.DUMMYFUNCTION("""COMPUTED_VALUE"""),"shirley young ")</f>
        <v>shirley young </v>
      </c>
      <c r="F8144" s="3" t="str">
        <f>IFERROR(__xludf.DUMMYFUNCTION("""COMPUTED_VALUE"""),"young.shirley@yahoo.com")</f>
        <v>young.shirley@yahoo.com</v>
      </c>
      <c r="G8144" s="3">
        <f>IFERROR(__xludf.DUMMYFUNCTION("""COMPUTED_VALUE"""),6.134751757E9)</f>
        <v>6134751757</v>
      </c>
      <c r="H8144" s="3"/>
    </row>
    <row r="8145">
      <c r="A8145" s="2">
        <f>IFERROR(__xludf.DUMMYFUNCTION("""COMPUTED_VALUE"""),93028.0)</f>
        <v>93028</v>
      </c>
      <c r="B8145" s="3" t="str">
        <f>IFERROR(__xludf.DUMMYFUNCTION("""COMPUTED_VALUE"""),"181 WHITES RD  ")</f>
        <v>181 WHITES RD  </v>
      </c>
      <c r="C8145" s="3" t="str">
        <f>IFERROR(__xludf.DUMMYFUNCTION("""COMPUTED_VALUE"""),"BRIGHTON")</f>
        <v>BRIGHTON</v>
      </c>
      <c r="D8145" s="3" t="str">
        <f>IFERROR(__xludf.DUMMYFUNCTION("""COMPUTED_VALUE"""),"K0K 1H0")</f>
        <v>K0K 1H0</v>
      </c>
      <c r="E8145" s="3" t="str">
        <f>IFERROR(__xludf.DUMMYFUNCTION("""COMPUTED_VALUE"""),"c, d")</f>
        <v>c, d</v>
      </c>
      <c r="F8145" s="3"/>
      <c r="G8145" s="3">
        <f>IFERROR(__xludf.DUMMYFUNCTION("""COMPUTED_VALUE"""),6.034751534E9)</f>
        <v>6034751534</v>
      </c>
      <c r="H8145" s="3"/>
    </row>
    <row r="8146">
      <c r="A8146" s="2">
        <f>IFERROR(__xludf.DUMMYFUNCTION("""COMPUTED_VALUE"""),93029.0)</f>
        <v>93029</v>
      </c>
      <c r="B8146" s="3" t="str">
        <f>IFERROR(__xludf.DUMMYFUNCTION("""COMPUTED_VALUE"""),"200 WHITES RD  ")</f>
        <v>200 WHITES RD  </v>
      </c>
      <c r="C8146" s="3" t="str">
        <f>IFERROR(__xludf.DUMMYFUNCTION("""COMPUTED_VALUE"""),"BRIGHTON")</f>
        <v>BRIGHTON</v>
      </c>
      <c r="D8146" s="3" t="str">
        <f>IFERROR(__xludf.DUMMYFUNCTION("""COMPUTED_VALUE"""),"K0K 1H0")</f>
        <v>K0K 1H0</v>
      </c>
      <c r="E8146" s="3"/>
      <c r="F8146" s="3"/>
      <c r="G8146" s="3"/>
      <c r="H8146" s="3"/>
    </row>
    <row r="8147">
      <c r="A8147" s="2">
        <f>IFERROR(__xludf.DUMMYFUNCTION("""COMPUTED_VALUE"""),93023.0)</f>
        <v>93023</v>
      </c>
      <c r="B8147" s="3" t="str">
        <f>IFERROR(__xludf.DUMMYFUNCTION("""COMPUTED_VALUE"""),"115 WHITES RD  ")</f>
        <v>115 WHITES RD  </v>
      </c>
      <c r="C8147" s="3" t="str">
        <f>IFERROR(__xludf.DUMMYFUNCTION("""COMPUTED_VALUE"""),"BRIGHTON")</f>
        <v>BRIGHTON</v>
      </c>
      <c r="D8147" s="3" t="str">
        <f>IFERROR(__xludf.DUMMYFUNCTION("""COMPUTED_VALUE"""),"K0K 1H0")</f>
        <v>K0K 1H0</v>
      </c>
      <c r="E8147" s="3" t="str">
        <f>IFERROR(__xludf.DUMMYFUNCTION("""COMPUTED_VALUE"""),"Jane Gallow ")</f>
        <v>Jane Gallow </v>
      </c>
      <c r="F8147" s="3" t="str">
        <f>IFERROR(__xludf.DUMMYFUNCTION("""COMPUTED_VALUE"""),"janetgallow24@gmail.com")</f>
        <v>janetgallow24@gmail.com</v>
      </c>
      <c r="G8147" s="3"/>
      <c r="H8147" s="3"/>
    </row>
    <row r="8148">
      <c r="A8148" s="2">
        <f>IFERROR(__xludf.DUMMYFUNCTION("""COMPUTED_VALUE"""),93030.0)</f>
        <v>93030</v>
      </c>
      <c r="B8148" s="3" t="str">
        <f>IFERROR(__xludf.DUMMYFUNCTION("""COMPUTED_VALUE"""),"214 WHITES RD  ")</f>
        <v>214 WHITES RD  </v>
      </c>
      <c r="C8148" s="3" t="str">
        <f>IFERROR(__xludf.DUMMYFUNCTION("""COMPUTED_VALUE"""),"BRIGHTON")</f>
        <v>BRIGHTON</v>
      </c>
      <c r="D8148" s="3" t="str">
        <f>IFERROR(__xludf.DUMMYFUNCTION("""COMPUTED_VALUE"""),"K0K 1H0")</f>
        <v>K0K 1H0</v>
      </c>
      <c r="E8148" s="3" t="str">
        <f>IFERROR(__xludf.DUMMYFUNCTION("""COMPUTED_VALUE"""),"James Scott")</f>
        <v>James Scott</v>
      </c>
      <c r="F8148" s="3" t="str">
        <f>IFERROR(__xludf.DUMMYFUNCTION("""COMPUTED_VALUE"""),"hometownjamie@yahoo.ca")</f>
        <v>hometownjamie@yahoo.ca</v>
      </c>
      <c r="G8148" s="3"/>
      <c r="H8148" s="3"/>
    </row>
    <row r="8149">
      <c r="A8149" s="2">
        <f>IFERROR(__xludf.DUMMYFUNCTION("""COMPUTED_VALUE"""),93031.0)</f>
        <v>93031</v>
      </c>
      <c r="B8149" s="3" t="str">
        <f>IFERROR(__xludf.DUMMYFUNCTION("""COMPUTED_VALUE"""),"222 WHITES RD  ")</f>
        <v>222 WHITES RD  </v>
      </c>
      <c r="C8149" s="3" t="str">
        <f>IFERROR(__xludf.DUMMYFUNCTION("""COMPUTED_VALUE"""),"BRIGHTON")</f>
        <v>BRIGHTON</v>
      </c>
      <c r="D8149" s="3" t="str">
        <f>IFERROR(__xludf.DUMMYFUNCTION("""COMPUTED_VALUE"""),"K0K 1H0")</f>
        <v>K0K 1H0</v>
      </c>
      <c r="E8149" s="3" t="str">
        <f>IFERROR(__xludf.DUMMYFUNCTION("""COMPUTED_VALUE"""),"William H. Craven")</f>
        <v>William H. Craven</v>
      </c>
      <c r="F8149" s="3" t="str">
        <f>IFERROR(__xludf.DUMMYFUNCTION("""COMPUTED_VALUE"""),"sandhcraven@hotmail.com")</f>
        <v>sandhcraven@hotmail.com</v>
      </c>
      <c r="G8149" s="3">
        <f>IFERROR(__xludf.DUMMYFUNCTION("""COMPUTED_VALUE"""),6.13475138E9)</f>
        <v>6134751380</v>
      </c>
      <c r="H8149" s="3">
        <f>IFERROR(__xludf.DUMMYFUNCTION("""COMPUTED_VALUE"""),6.139702375E9)</f>
        <v>6139702375</v>
      </c>
    </row>
    <row r="8150">
      <c r="A8150" s="2">
        <f>IFERROR(__xludf.DUMMYFUNCTION("""COMPUTED_VALUE"""),93045.0)</f>
        <v>93045</v>
      </c>
      <c r="B8150" s="3" t="str">
        <f>IFERROR(__xludf.DUMMYFUNCTION("""COMPUTED_VALUE"""),"556 WHITES RD  ")</f>
        <v>556 WHITES RD  </v>
      </c>
      <c r="C8150" s="3" t="str">
        <f>IFERROR(__xludf.DUMMYFUNCTION("""COMPUTED_VALUE"""),"BRIGHTON")</f>
        <v>BRIGHTON</v>
      </c>
      <c r="D8150" s="3" t="str">
        <f>IFERROR(__xludf.DUMMYFUNCTION("""COMPUTED_VALUE"""),"K0K 1H0")</f>
        <v>K0K 1H0</v>
      </c>
      <c r="E8150" s="3"/>
      <c r="F8150" s="3"/>
      <c r="G8150" s="3"/>
      <c r="H8150" s="3"/>
    </row>
    <row r="8151">
      <c r="A8151" s="2">
        <f>IFERROR(__xludf.DUMMYFUNCTION("""COMPUTED_VALUE"""),93044.0)</f>
        <v>93044</v>
      </c>
      <c r="B8151" s="3" t="str">
        <f>IFERROR(__xludf.DUMMYFUNCTION("""COMPUTED_VALUE"""),"552 WHITES RD  ")</f>
        <v>552 WHITES RD  </v>
      </c>
      <c r="C8151" s="3" t="str">
        <f>IFERROR(__xludf.DUMMYFUNCTION("""COMPUTED_VALUE"""),"BRIGHTON")</f>
        <v>BRIGHTON</v>
      </c>
      <c r="D8151" s="3" t="str">
        <f>IFERROR(__xludf.DUMMYFUNCTION("""COMPUTED_VALUE"""),"K0K 1H0")</f>
        <v>K0K 1H0</v>
      </c>
      <c r="E8151" s="3" t="str">
        <f>IFERROR(__xludf.DUMMYFUNCTION("""COMPUTED_VALUE"""),"Roberto Barbieri")</f>
        <v>Roberto Barbieri</v>
      </c>
      <c r="F8151" s="3" t="str">
        <f>IFERROR(__xludf.DUMMYFUNCTION("""COMPUTED_VALUE"""),"isotope9@gmail.com")</f>
        <v>isotope9@gmail.com</v>
      </c>
      <c r="G8151" s="3">
        <f>IFERROR(__xludf.DUMMYFUNCTION("""COMPUTED_VALUE"""),4.166480399E9)</f>
        <v>4166480399</v>
      </c>
      <c r="H8151" s="3">
        <f>IFERROR(__xludf.DUMMYFUNCTION("""COMPUTED_VALUE"""),6.139224429E9)</f>
        <v>6139224429</v>
      </c>
    </row>
    <row r="8152">
      <c r="A8152" s="2">
        <f>IFERROR(__xludf.DUMMYFUNCTION("""COMPUTED_VALUE"""),93040.0)</f>
        <v>93040</v>
      </c>
      <c r="B8152" s="3" t="str">
        <f>IFERROR(__xludf.DUMMYFUNCTION("""COMPUTED_VALUE"""),"487 WHITES RD  ")</f>
        <v>487 WHITES RD  </v>
      </c>
      <c r="C8152" s="3" t="str">
        <f>IFERROR(__xludf.DUMMYFUNCTION("""COMPUTED_VALUE"""),"BRIGHTON")</f>
        <v>BRIGHTON</v>
      </c>
      <c r="D8152" s="3" t="str">
        <f>IFERROR(__xludf.DUMMYFUNCTION("""COMPUTED_VALUE"""),"K0K 1H0")</f>
        <v>K0K 1H0</v>
      </c>
      <c r="E8152" s="3" t="str">
        <f>IFERROR(__xludf.DUMMYFUNCTION("""COMPUTED_VALUE"""),"Peter Lind")</f>
        <v>Peter Lind</v>
      </c>
      <c r="F8152" s="3" t="str">
        <f>IFERROR(__xludf.DUMMYFUNCTION("""COMPUTED_VALUE"""),"drpclind@gmail.com")</f>
        <v>drpclind@gmail.com</v>
      </c>
      <c r="G8152" s="3"/>
      <c r="H8152" s="3"/>
    </row>
    <row r="8153">
      <c r="A8153" s="2">
        <f>IFERROR(__xludf.DUMMYFUNCTION("""COMPUTED_VALUE"""),93033.0)</f>
        <v>93033</v>
      </c>
      <c r="B8153" s="3" t="str">
        <f>IFERROR(__xludf.DUMMYFUNCTION("""COMPUTED_VALUE"""),"381 WHITES RD  ")</f>
        <v>381 WHITES RD  </v>
      </c>
      <c r="C8153" s="3" t="str">
        <f>IFERROR(__xludf.DUMMYFUNCTION("""COMPUTED_VALUE"""),"BRIGHTON")</f>
        <v>BRIGHTON</v>
      </c>
      <c r="D8153" s="3" t="str">
        <f>IFERROR(__xludf.DUMMYFUNCTION("""COMPUTED_VALUE"""),"K0K 1H0")</f>
        <v>K0K 1H0</v>
      </c>
      <c r="E8153" s="3" t="str">
        <f>IFERROR(__xludf.DUMMYFUNCTION("""COMPUTED_VALUE"""),"Kevin McAllister")</f>
        <v>Kevin McAllister</v>
      </c>
      <c r="F8153" s="3" t="str">
        <f>IFERROR(__xludf.DUMMYFUNCTION("""COMPUTED_VALUE"""),"kevy10617@hotmail.com")</f>
        <v>kevy10617@hotmail.com</v>
      </c>
      <c r="G8153" s="3">
        <f>IFERROR(__xludf.DUMMYFUNCTION("""COMPUTED_VALUE"""),6.13849902E9)</f>
        <v>6138499020</v>
      </c>
      <c r="H8153" s="3"/>
    </row>
    <row r="8154">
      <c r="A8154" s="2">
        <f>IFERROR(__xludf.DUMMYFUNCTION("""COMPUTED_VALUE"""),93034.0)</f>
        <v>93034</v>
      </c>
      <c r="B8154" s="3" t="str">
        <f>IFERROR(__xludf.DUMMYFUNCTION("""COMPUTED_VALUE"""),"393 WHITES RD  ")</f>
        <v>393 WHITES RD  </v>
      </c>
      <c r="C8154" s="3" t="str">
        <f>IFERROR(__xludf.DUMMYFUNCTION("""COMPUTED_VALUE"""),"BRIGHTON")</f>
        <v>BRIGHTON</v>
      </c>
      <c r="D8154" s="3" t="str">
        <f>IFERROR(__xludf.DUMMYFUNCTION("""COMPUTED_VALUE"""),"K0K 1H0")</f>
        <v>K0K 1H0</v>
      </c>
      <c r="E8154" s="3" t="str">
        <f>IFERROR(__xludf.DUMMYFUNCTION("""COMPUTED_VALUE"""),"chris worley")</f>
        <v>chris worley</v>
      </c>
      <c r="F8154" s="3" t="str">
        <f>IFERROR(__xludf.DUMMYFUNCTION("""COMPUTED_VALUE"""),"chris_worley@hotmail.com")</f>
        <v>chris_worley@hotmail.com</v>
      </c>
      <c r="G8154" s="3">
        <f>IFERROR(__xludf.DUMMYFUNCTION("""COMPUTED_VALUE"""),6.138278102E9)</f>
        <v>6138278102</v>
      </c>
      <c r="H8154" s="3"/>
    </row>
    <row r="8155">
      <c r="A8155" s="2">
        <f>IFERROR(__xludf.DUMMYFUNCTION("""COMPUTED_VALUE"""),93036.0)</f>
        <v>93036</v>
      </c>
      <c r="B8155" s="3" t="str">
        <f>IFERROR(__xludf.DUMMYFUNCTION("""COMPUTED_VALUE"""),"419 WHITES RD  ")</f>
        <v>419 WHITES RD  </v>
      </c>
      <c r="C8155" s="3" t="str">
        <f>IFERROR(__xludf.DUMMYFUNCTION("""COMPUTED_VALUE"""),"BRIGHTON")</f>
        <v>BRIGHTON</v>
      </c>
      <c r="D8155" s="3" t="str">
        <f>IFERROR(__xludf.DUMMYFUNCTION("""COMPUTED_VALUE"""),"K0K 1H0")</f>
        <v>K0K 1H0</v>
      </c>
      <c r="E8155" s="3" t="str">
        <f>IFERROR(__xludf.DUMMYFUNCTION("""COMPUTED_VALUE"""),"patricia vanbuskirk")</f>
        <v>patricia vanbuskirk</v>
      </c>
      <c r="F8155" s="3" t="str">
        <f>IFERROR(__xludf.DUMMYFUNCTION("""COMPUTED_VALUE"""),"pvb0105@gmail.com")</f>
        <v>pvb0105@gmail.com</v>
      </c>
      <c r="G8155" s="3">
        <f>IFERROR(__xludf.DUMMYFUNCTION("""COMPUTED_VALUE"""),9.059950637E9)</f>
        <v>9059950637</v>
      </c>
      <c r="H8155" s="3"/>
    </row>
    <row r="8156">
      <c r="A8156" s="2">
        <f>IFERROR(__xludf.DUMMYFUNCTION("""COMPUTED_VALUE"""),93038.0)</f>
        <v>93038</v>
      </c>
      <c r="B8156" s="3" t="str">
        <f>IFERROR(__xludf.DUMMYFUNCTION("""COMPUTED_VALUE"""),"455 WHITES RD  ")</f>
        <v>455 WHITES RD  </v>
      </c>
      <c r="C8156" s="3" t="str">
        <f>IFERROR(__xludf.DUMMYFUNCTION("""COMPUTED_VALUE"""),"BRIGHTON")</f>
        <v>BRIGHTON</v>
      </c>
      <c r="D8156" s="3" t="str">
        <f>IFERROR(__xludf.DUMMYFUNCTION("""COMPUTED_VALUE"""),"K0K 1H0")</f>
        <v>K0K 1H0</v>
      </c>
      <c r="E8156" s="3" t="str">
        <f>IFERROR(__xludf.DUMMYFUNCTION("""COMPUTED_VALUE"""),"susan craig")</f>
        <v>susan craig</v>
      </c>
      <c r="F8156" s="3" t="str">
        <f>IFERROR(__xludf.DUMMYFUNCTION("""COMPUTED_VALUE"""),"susan@susancraig.com")</f>
        <v>susan@susancraig.com</v>
      </c>
      <c r="G8156" s="3">
        <f>IFERROR(__xludf.DUMMYFUNCTION("""COMPUTED_VALUE"""),4.167047805E9)</f>
        <v>4167047805</v>
      </c>
      <c r="H8156" s="3"/>
    </row>
    <row r="8157">
      <c r="A8157" s="2">
        <f>IFERROR(__xludf.DUMMYFUNCTION("""COMPUTED_VALUE"""),93041.0)</f>
        <v>93041</v>
      </c>
      <c r="B8157" s="3" t="str">
        <f>IFERROR(__xludf.DUMMYFUNCTION("""COMPUTED_VALUE"""),"497 WHITES RD  ")</f>
        <v>497 WHITES RD  </v>
      </c>
      <c r="C8157" s="3" t="str">
        <f>IFERROR(__xludf.DUMMYFUNCTION("""COMPUTED_VALUE"""),"BRIGHTON")</f>
        <v>BRIGHTON</v>
      </c>
      <c r="D8157" s="3" t="str">
        <f>IFERROR(__xludf.DUMMYFUNCTION("""COMPUTED_VALUE"""),"K0K 1H0")</f>
        <v>K0K 1H0</v>
      </c>
      <c r="E8157" s="3" t="str">
        <f>IFERROR(__xludf.DUMMYFUNCTION("""COMPUTED_VALUE"""),"rob mcmaster ")</f>
        <v>rob mcmaster </v>
      </c>
      <c r="F8157" s="3"/>
      <c r="G8157" s="3">
        <f>IFERROR(__xludf.DUMMYFUNCTION("""COMPUTED_VALUE"""),9.054421471E9)</f>
        <v>9054421471</v>
      </c>
      <c r="H8157" s="3"/>
    </row>
    <row r="8158">
      <c r="A8158" s="2">
        <f>IFERROR(__xludf.DUMMYFUNCTION("""COMPUTED_VALUE"""),93042.0)</f>
        <v>93042</v>
      </c>
      <c r="B8158" s="3" t="str">
        <f>IFERROR(__xludf.DUMMYFUNCTION("""COMPUTED_VALUE"""),"498 WHITES RD  ")</f>
        <v>498 WHITES RD  </v>
      </c>
      <c r="C8158" s="3" t="str">
        <f>IFERROR(__xludf.DUMMYFUNCTION("""COMPUTED_VALUE"""),"BRIGHTON")</f>
        <v>BRIGHTON</v>
      </c>
      <c r="D8158" s="3" t="str">
        <f>IFERROR(__xludf.DUMMYFUNCTION("""COMPUTED_VALUE"""),"K0K 1H0")</f>
        <v>K0K 1H0</v>
      </c>
      <c r="E8158" s="3" t="str">
        <f>IFERROR(__xludf.DUMMYFUNCTION("""COMPUTED_VALUE"""),"peter schmoll")</f>
        <v>peter schmoll</v>
      </c>
      <c r="F8158" s="3" t="str">
        <f>IFERROR(__xludf.DUMMYFUNCTION("""COMPUTED_VALUE"""),"schmoltown@hotmail.com")</f>
        <v>schmoltown@hotmail.com</v>
      </c>
      <c r="G8158" s="3">
        <f>IFERROR(__xludf.DUMMYFUNCTION("""COMPUTED_VALUE"""),4.166702964E9)</f>
        <v>4166702964</v>
      </c>
      <c r="H8158" s="3"/>
    </row>
    <row r="8159">
      <c r="A8159" s="2">
        <f>IFERROR(__xludf.DUMMYFUNCTION("""COMPUTED_VALUE"""),93032.0)</f>
        <v>93032</v>
      </c>
      <c r="B8159" s="3" t="str">
        <f>IFERROR(__xludf.DUMMYFUNCTION("""COMPUTED_VALUE"""),"371 WHITES RD  ")</f>
        <v>371 WHITES RD  </v>
      </c>
      <c r="C8159" s="3" t="str">
        <f>IFERROR(__xludf.DUMMYFUNCTION("""COMPUTED_VALUE"""),"BRIGHTON")</f>
        <v>BRIGHTON</v>
      </c>
      <c r="D8159" s="3" t="str">
        <f>IFERROR(__xludf.DUMMYFUNCTION("""COMPUTED_VALUE"""),"K0K 1H0")</f>
        <v>K0K 1H0</v>
      </c>
      <c r="E8159" s="3" t="str">
        <f>IFERROR(__xludf.DUMMYFUNCTION("""COMPUTED_VALUE"""),"Derek Treffry")</f>
        <v>Derek Treffry</v>
      </c>
      <c r="F8159" s="3" t="str">
        <f>IFERROR(__xludf.DUMMYFUNCTION("""COMPUTED_VALUE"""),"derektreffry@gmail.com")</f>
        <v>derektreffry@gmail.com</v>
      </c>
      <c r="G8159" s="3">
        <f>IFERROR(__xludf.DUMMYFUNCTION("""COMPUTED_VALUE"""),4.169481E9)</f>
        <v>4169481000</v>
      </c>
      <c r="H8159" s="3">
        <f>IFERROR(__xludf.DUMMYFUNCTION("""COMPUTED_VALUE"""),4.168198081E9)</f>
        <v>4168198081</v>
      </c>
    </row>
    <row r="8160">
      <c r="A8160" s="2">
        <f>IFERROR(__xludf.DUMMYFUNCTION("""COMPUTED_VALUE"""),93037.0)</f>
        <v>93037</v>
      </c>
      <c r="B8160" s="3" t="str">
        <f>IFERROR(__xludf.DUMMYFUNCTION("""COMPUTED_VALUE"""),"425 WHITES RD  ")</f>
        <v>425 WHITES RD  </v>
      </c>
      <c r="C8160" s="3" t="str">
        <f>IFERROR(__xludf.DUMMYFUNCTION("""COMPUTED_VALUE"""),"BRIGHTON")</f>
        <v>BRIGHTON</v>
      </c>
      <c r="D8160" s="3" t="str">
        <f>IFERROR(__xludf.DUMMYFUNCTION("""COMPUTED_VALUE"""),"K0K 1H0")</f>
        <v>K0K 1H0</v>
      </c>
      <c r="E8160" s="3" t="str">
        <f>IFERROR(__xludf.DUMMYFUNCTION("""COMPUTED_VALUE"""),"Niall Stockham")</f>
        <v>Niall Stockham</v>
      </c>
      <c r="F8160" s="3" t="str">
        <f>IFERROR(__xludf.DUMMYFUNCTION("""COMPUTED_VALUE"""),"niallstockham@gmail.com")</f>
        <v>niallstockham@gmail.com</v>
      </c>
      <c r="G8160" s="3">
        <f>IFERROR(__xludf.DUMMYFUNCTION("""COMPUTED_VALUE"""),4.164331782E9)</f>
        <v>4164331782</v>
      </c>
      <c r="H8160" s="3"/>
    </row>
    <row r="8161">
      <c r="A8161" s="2">
        <f>IFERROR(__xludf.DUMMYFUNCTION("""COMPUTED_VALUE"""),93039.0)</f>
        <v>93039</v>
      </c>
      <c r="B8161" s="3" t="str">
        <f>IFERROR(__xludf.DUMMYFUNCTION("""COMPUTED_VALUE"""),"475 WHITES RD  ")</f>
        <v>475 WHITES RD  </v>
      </c>
      <c r="C8161" s="3" t="str">
        <f>IFERROR(__xludf.DUMMYFUNCTION("""COMPUTED_VALUE"""),"BRIGHTON")</f>
        <v>BRIGHTON</v>
      </c>
      <c r="D8161" s="3" t="str">
        <f>IFERROR(__xludf.DUMMYFUNCTION("""COMPUTED_VALUE"""),"K0K 1H0")</f>
        <v>K0K 1H0</v>
      </c>
      <c r="E8161" s="3" t="str">
        <f>IFERROR(__xludf.DUMMYFUNCTION("""COMPUTED_VALUE"""),"Charles Major")</f>
        <v>Charles Major</v>
      </c>
      <c r="F8161" s="3" t="str">
        <f>IFERROR(__xludf.DUMMYFUNCTION("""COMPUTED_VALUE"""),"charlesc.major@gmail.com")</f>
        <v>charlesc.major@gmail.com</v>
      </c>
      <c r="G8161" s="3"/>
      <c r="H8161" s="3"/>
    </row>
    <row r="8162">
      <c r="A8162" s="2">
        <f>IFERROR(__xludf.DUMMYFUNCTION("""COMPUTED_VALUE"""),93043.0)</f>
        <v>93043</v>
      </c>
      <c r="B8162" s="3" t="str">
        <f>IFERROR(__xludf.DUMMYFUNCTION("""COMPUTED_VALUE"""),"503 WHITES RD  ")</f>
        <v>503 WHITES RD  </v>
      </c>
      <c r="C8162" s="3" t="str">
        <f>IFERROR(__xludf.DUMMYFUNCTION("""COMPUTED_VALUE"""),"BRIGHTON")</f>
        <v>BRIGHTON</v>
      </c>
      <c r="D8162" s="3" t="str">
        <f>IFERROR(__xludf.DUMMYFUNCTION("""COMPUTED_VALUE"""),"K0K 1H0")</f>
        <v>K0K 1H0</v>
      </c>
      <c r="E8162" s="3"/>
      <c r="F8162" s="3"/>
      <c r="G8162" s="3"/>
      <c r="H8162" s="3"/>
    </row>
    <row r="8163">
      <c r="A8163" s="2">
        <f>IFERROR(__xludf.DUMMYFUNCTION("""COMPUTED_VALUE"""),93164.0)</f>
        <v>93164</v>
      </c>
      <c r="B8163" s="3" t="str">
        <f>IFERROR(__xludf.DUMMYFUNCTION("""COMPUTED_VALUE"""),"28 YOUNG ST")</f>
        <v>28 YOUNG ST</v>
      </c>
      <c r="C8163" s="3"/>
      <c r="D8163" s="3"/>
      <c r="E8163" s="3"/>
      <c r="F8163" s="3"/>
      <c r="G8163" s="3"/>
      <c r="H8163" s="3"/>
    </row>
    <row r="8164">
      <c r="A8164" s="2">
        <f>IFERROR(__xludf.DUMMYFUNCTION("""COMPUTED_VALUE"""),93163.0)</f>
        <v>93163</v>
      </c>
      <c r="B8164" s="3" t="str">
        <f>IFERROR(__xludf.DUMMYFUNCTION("""COMPUTED_VALUE"""),"30 YOUNG ST")</f>
        <v>30 YOUNG ST</v>
      </c>
      <c r="C8164" s="3"/>
      <c r="D8164" s="3"/>
      <c r="E8164" s="3"/>
      <c r="F8164" s="3"/>
      <c r="G8164" s="3"/>
      <c r="H8164" s="3"/>
    </row>
    <row r="8165">
      <c r="A8165" s="2">
        <f>IFERROR(__xludf.DUMMYFUNCTION("""COMPUTED_VALUE"""),93162.0)</f>
        <v>93162</v>
      </c>
      <c r="B8165" s="3" t="str">
        <f>IFERROR(__xludf.DUMMYFUNCTION("""COMPUTED_VALUE"""),"36 YOUNG ST")</f>
        <v>36 YOUNG ST</v>
      </c>
      <c r="C8165" s="3"/>
      <c r="D8165" s="3"/>
      <c r="E8165" s="3"/>
      <c r="F8165" s="3"/>
      <c r="G8165" s="3"/>
      <c r="H8165" s="3"/>
    </row>
    <row r="8166">
      <c r="A8166" s="2">
        <f>IFERROR(__xludf.DUMMYFUNCTION("""COMPUTED_VALUE"""),93161.0)</f>
        <v>93161</v>
      </c>
      <c r="B8166" s="3" t="str">
        <f>IFERROR(__xludf.DUMMYFUNCTION("""COMPUTED_VALUE"""),"40 YOUNG ST")</f>
        <v>40 YOUNG ST</v>
      </c>
      <c r="C8166" s="3"/>
      <c r="D8166" s="3"/>
      <c r="E8166" s="3"/>
      <c r="F8166" s="3"/>
      <c r="G8166" s="3"/>
      <c r="H8166" s="3"/>
    </row>
    <row r="8167">
      <c r="A8167" s="2">
        <f>IFERROR(__xludf.DUMMYFUNCTION("""COMPUTED_VALUE"""),93160.0)</f>
        <v>93160</v>
      </c>
      <c r="B8167" s="3" t="str">
        <f>IFERROR(__xludf.DUMMYFUNCTION("""COMPUTED_VALUE"""),"42 YOUNG ST")</f>
        <v>42 YOUNG ST</v>
      </c>
      <c r="C8167" s="3"/>
      <c r="D8167" s="3"/>
      <c r="E8167" s="3"/>
      <c r="F8167" s="3"/>
      <c r="G8167" s="3"/>
      <c r="H8167" s="3"/>
    </row>
    <row r="8168">
      <c r="A8168" s="2">
        <f>IFERROR(__xludf.DUMMYFUNCTION("""COMPUTED_VALUE"""),93159.0)</f>
        <v>93159</v>
      </c>
      <c r="B8168" s="3" t="str">
        <f>IFERROR(__xludf.DUMMYFUNCTION("""COMPUTED_VALUE"""),"46 YOUNG ST")</f>
        <v>46 YOUNG ST</v>
      </c>
      <c r="C8168" s="3"/>
      <c r="D8168" s="3"/>
      <c r="E8168" s="3"/>
      <c r="F8168" s="3"/>
      <c r="G8168" s="3"/>
      <c r="H8168" s="3"/>
    </row>
    <row r="8169">
      <c r="A8169" s="2">
        <f>IFERROR(__xludf.DUMMYFUNCTION("""COMPUTED_VALUE"""),93158.0)</f>
        <v>93158</v>
      </c>
      <c r="B8169" s="3" t="str">
        <f>IFERROR(__xludf.DUMMYFUNCTION("""COMPUTED_VALUE"""),"48 YOUNG ST")</f>
        <v>48 YOUNG ST</v>
      </c>
      <c r="C8169" s="3"/>
      <c r="D8169" s="3"/>
      <c r="E8169" s="3" t="str">
        <f>IFERROR(__xludf.DUMMYFUNCTION("""COMPUTED_VALUE"""),"keith ")</f>
        <v>keith </v>
      </c>
      <c r="F8169" s="3" t="str">
        <f>IFERROR(__xludf.DUMMYFUNCTION("""COMPUTED_VALUE"""),"whitelaw.family@outlook.com")</f>
        <v>whitelaw.family@outlook.com</v>
      </c>
      <c r="G8169" s="3">
        <f>IFERROR(__xludf.DUMMYFUNCTION("""COMPUTED_VALUE"""),4.168461193E9)</f>
        <v>4168461193</v>
      </c>
      <c r="H8169" s="3"/>
    </row>
    <row r="8170">
      <c r="A8170" s="2">
        <f>IFERROR(__xludf.DUMMYFUNCTION("""COMPUTED_VALUE"""),93157.0)</f>
        <v>93157</v>
      </c>
      <c r="B8170" s="3" t="str">
        <f>IFERROR(__xludf.DUMMYFUNCTION("""COMPUTED_VALUE"""),"53 YOUNG ST")</f>
        <v>53 YOUNG ST</v>
      </c>
      <c r="C8170" s="3"/>
      <c r="D8170" s="3"/>
      <c r="E8170" s="3"/>
      <c r="F8170" s="3"/>
      <c r="G8170" s="3"/>
      <c r="H8170" s="3"/>
    </row>
    <row r="8171">
      <c r="A8171" s="2">
        <f>IFERROR(__xludf.DUMMYFUNCTION("""COMPUTED_VALUE"""),93156.0)</f>
        <v>93156</v>
      </c>
      <c r="B8171" s="3" t="str">
        <f>IFERROR(__xludf.DUMMYFUNCTION("""COMPUTED_VALUE"""),"55 YOUNG ST")</f>
        <v>55 YOUNG ST</v>
      </c>
      <c r="C8171" s="3"/>
      <c r="D8171" s="3"/>
      <c r="E8171" s="3"/>
      <c r="F8171" s="3"/>
      <c r="G8171" s="3"/>
      <c r="H8171" s="3"/>
    </row>
    <row r="8172">
      <c r="A8172" s="2">
        <f>IFERROR(__xludf.DUMMYFUNCTION("""COMPUTED_VALUE"""),93155.0)</f>
        <v>93155</v>
      </c>
      <c r="B8172" s="3" t="str">
        <f>IFERROR(__xludf.DUMMYFUNCTION("""COMPUTED_VALUE"""),"57 YOUNG ST")</f>
        <v>57 YOUNG ST</v>
      </c>
      <c r="C8172" s="3"/>
      <c r="D8172" s="3"/>
      <c r="E8172" s="3" t="str">
        <f>IFERROR(__xludf.DUMMYFUNCTION("""COMPUTED_VALUE"""),"mike tumbin ")</f>
        <v>mike tumbin </v>
      </c>
      <c r="F8172" s="3" t="str">
        <f>IFERROR(__xludf.DUMMYFUNCTION("""COMPUTED_VALUE"""),"mgtrp@outlook.com")</f>
        <v>mgtrp@outlook.com</v>
      </c>
      <c r="G8172" s="3">
        <f>IFERROR(__xludf.DUMMYFUNCTION("""COMPUTED_VALUE"""),2.894003663E9)</f>
        <v>2894003663</v>
      </c>
      <c r="H8172" s="3">
        <f>IFERROR(__xludf.DUMMYFUNCTION("""COMPUTED_VALUE"""),6.475675587E9)</f>
        <v>6475675587</v>
      </c>
    </row>
    <row r="8173">
      <c r="A8173" s="2">
        <f>IFERROR(__xludf.DUMMYFUNCTION("""COMPUTED_VALUE"""),93154.0)</f>
        <v>93154</v>
      </c>
      <c r="B8173" s="3" t="str">
        <f>IFERROR(__xludf.DUMMYFUNCTION("""COMPUTED_VALUE"""),"61 YOUNG ST")</f>
        <v>61 YOUNG ST</v>
      </c>
      <c r="C8173" s="3"/>
      <c r="D8173" s="3"/>
      <c r="E8173" s="3"/>
      <c r="F8173" s="3"/>
      <c r="G8173" s="3"/>
      <c r="H8173" s="3"/>
    </row>
    <row r="8174">
      <c r="A8174" s="2">
        <f>IFERROR(__xludf.DUMMYFUNCTION("""COMPUTED_VALUE"""),93153.0)</f>
        <v>93153</v>
      </c>
      <c r="B8174" s="3" t="str">
        <f>IFERROR(__xludf.DUMMYFUNCTION("""COMPUTED_VALUE"""),"65 YOUNG ST")</f>
        <v>65 YOUNG ST</v>
      </c>
      <c r="C8174" s="3"/>
      <c r="D8174" s="3"/>
      <c r="E8174" s="3"/>
      <c r="F8174" s="3"/>
      <c r="G8174" s="3"/>
      <c r="H8174" s="3"/>
    </row>
    <row r="8175">
      <c r="A8175" s="2">
        <f>IFERROR(__xludf.DUMMYFUNCTION("""COMPUTED_VALUE"""),93132.0)</f>
        <v>93132</v>
      </c>
      <c r="B8175" s="3" t="str">
        <f>IFERROR(__xludf.DUMMYFUNCTION("""COMPUTED_VALUE"""),"73 YOUNG ST")</f>
        <v>73 YOUNG ST</v>
      </c>
      <c r="C8175" s="3"/>
      <c r="D8175" s="3"/>
      <c r="E8175" s="3"/>
      <c r="F8175" s="3"/>
      <c r="G8175" s="3"/>
      <c r="H8175" s="3"/>
    </row>
    <row r="8176">
      <c r="A8176" s="2">
        <f>IFERROR(__xludf.DUMMYFUNCTION("""COMPUTED_VALUE"""),30000.0)</f>
        <v>30000</v>
      </c>
      <c r="B8176" s="3" t="str">
        <f>IFERROR(__xludf.DUMMYFUNCTION("""COMPUTED_VALUE"""),"137 ABBEY LANE ")</f>
        <v>137 ABBEY LANE </v>
      </c>
      <c r="C8176" s="3" t="str">
        <f>IFERROR(__xludf.DUMMYFUNCTION("""COMPUTED_VALUE"""),"GRAFTON")</f>
        <v>GRAFTON</v>
      </c>
      <c r="D8176" s="3" t="str">
        <f>IFERROR(__xludf.DUMMYFUNCTION("""COMPUTED_VALUE"""),"K0K 2G0")</f>
        <v>K0K 2G0</v>
      </c>
      <c r="E8176" s="3" t="str">
        <f>IFERROR(__xludf.DUMMYFUNCTION("""COMPUTED_VALUE"""),"Jamie Carr")</f>
        <v>Jamie Carr</v>
      </c>
      <c r="F8176" s="3" t="str">
        <f>IFERROR(__xludf.DUMMYFUNCTION("""COMPUTED_VALUE"""),"jamie.carr@electricalsafety.on.ca")</f>
        <v>jamie.carr@electricalsafety.on.ca</v>
      </c>
      <c r="G8176" s="3"/>
      <c r="H8176" s="3"/>
    </row>
    <row r="8177">
      <c r="A8177" s="2">
        <f>IFERROR(__xludf.DUMMYFUNCTION("""COMPUTED_VALUE"""),30001.0)</f>
        <v>30001</v>
      </c>
      <c r="B8177" s="3" t="str">
        <f>IFERROR(__xludf.DUMMYFUNCTION("""COMPUTED_VALUE"""),"144 ABBEY LANE ")</f>
        <v>144 ABBEY LANE </v>
      </c>
      <c r="C8177" s="3" t="str">
        <f>IFERROR(__xludf.DUMMYFUNCTION("""COMPUTED_VALUE"""),"GRAFTON")</f>
        <v>GRAFTON</v>
      </c>
      <c r="D8177" s="3" t="str">
        <f>IFERROR(__xludf.DUMMYFUNCTION("""COMPUTED_VALUE"""),"K0K 2G0")</f>
        <v>K0K 2G0</v>
      </c>
      <c r="E8177" s="3" t="str">
        <f>IFERROR(__xludf.DUMMYFUNCTION("""COMPUTED_VALUE"""),"George Pichl")</f>
        <v>George Pichl</v>
      </c>
      <c r="F8177" s="3" t="str">
        <f>IFERROR(__xludf.DUMMYFUNCTION("""COMPUTED_VALUE"""),"pichl@live.com")</f>
        <v>pichl@live.com</v>
      </c>
      <c r="G8177" s="3"/>
      <c r="H8177" s="3"/>
    </row>
    <row r="8178">
      <c r="A8178" s="2">
        <f>IFERROR(__xludf.DUMMYFUNCTION("""COMPUTED_VALUE"""),30002.0)</f>
        <v>30002</v>
      </c>
      <c r="B8178" s="3" t="str">
        <f>IFERROR(__xludf.DUMMYFUNCTION("""COMPUTED_VALUE"""),"154 ACADEMY HILL RD ")</f>
        <v>154 ACADEMY HILL RD </v>
      </c>
      <c r="C8178" s="3" t="str">
        <f>IFERROR(__xludf.DUMMYFUNCTION("""COMPUTED_VALUE"""),"GRAFTON")</f>
        <v>GRAFTON</v>
      </c>
      <c r="D8178" s="3" t="str">
        <f>IFERROR(__xludf.DUMMYFUNCTION("""COMPUTED_VALUE"""),"K0K 2G0")</f>
        <v>K0K 2G0</v>
      </c>
      <c r="E8178" s="3"/>
      <c r="F8178" s="3"/>
      <c r="G8178" s="3"/>
      <c r="H8178" s="3"/>
    </row>
    <row r="8179">
      <c r="A8179" s="2">
        <f>IFERROR(__xludf.DUMMYFUNCTION("""COMPUTED_VALUE"""),30003.0)</f>
        <v>30003</v>
      </c>
      <c r="B8179" s="3" t="str">
        <f>IFERROR(__xludf.DUMMYFUNCTION("""COMPUTED_VALUE"""),"163 ACADEMY HILL RD ")</f>
        <v>163 ACADEMY HILL RD </v>
      </c>
      <c r="C8179" s="3" t="str">
        <f>IFERROR(__xludf.DUMMYFUNCTION("""COMPUTED_VALUE"""),"GRAFTON")</f>
        <v>GRAFTON</v>
      </c>
      <c r="D8179" s="3" t="str">
        <f>IFERROR(__xludf.DUMMYFUNCTION("""COMPUTED_VALUE"""),"K0K 2G0")</f>
        <v>K0K 2G0</v>
      </c>
      <c r="E8179" s="3" t="str">
        <f>IFERROR(__xludf.DUMMYFUNCTION("""COMPUTED_VALUE"""),"Katie Rutherford")</f>
        <v>Katie Rutherford</v>
      </c>
      <c r="F8179" s="3" t="str">
        <f>IFERROR(__xludf.DUMMYFUNCTION("""COMPUTED_VALUE"""),"katie@capitalconcretefinishing.ca")</f>
        <v>katie@capitalconcretefinishing.ca</v>
      </c>
      <c r="G8179" s="3"/>
      <c r="H8179" s="3"/>
    </row>
    <row r="8180">
      <c r="A8180" s="2">
        <f>IFERROR(__xludf.DUMMYFUNCTION("""COMPUTED_VALUE"""),30004.0)</f>
        <v>30004</v>
      </c>
      <c r="B8180" s="3" t="str">
        <f>IFERROR(__xludf.DUMMYFUNCTION("""COMPUTED_VALUE"""),"252 ACADEMY HILL RD ")</f>
        <v>252 ACADEMY HILL RD </v>
      </c>
      <c r="C8180" s="3" t="str">
        <f>IFERROR(__xludf.DUMMYFUNCTION("""COMPUTED_VALUE"""),"GRAFTON")</f>
        <v>GRAFTON</v>
      </c>
      <c r="D8180" s="3" t="str">
        <f>IFERROR(__xludf.DUMMYFUNCTION("""COMPUTED_VALUE"""),"K0K 2G0")</f>
        <v>K0K 2G0</v>
      </c>
      <c r="E8180" s="3" t="str">
        <f>IFERROR(__xludf.DUMMYFUNCTION("""COMPUTED_VALUE"""),"926715 Ontario Inc")</f>
        <v>926715 Ontario Inc</v>
      </c>
      <c r="F8180" s="3" t="str">
        <f>IFERROR(__xludf.DUMMYFUNCTION("""COMPUTED_VALUE"""),"it.department@steannes.com")</f>
        <v>it.department@steannes.com</v>
      </c>
      <c r="G8180" s="3"/>
      <c r="H8180" s="3"/>
    </row>
    <row r="8181">
      <c r="A8181" s="2">
        <f>IFERROR(__xludf.DUMMYFUNCTION("""COMPUTED_VALUE"""),30005.0)</f>
        <v>30005</v>
      </c>
      <c r="B8181" s="3" t="str">
        <f>IFERROR(__xludf.DUMMYFUNCTION("""COMPUTED_VALUE"""),"308 ACADEMY HILL RD ")</f>
        <v>308 ACADEMY HILL RD </v>
      </c>
      <c r="C8181" s="3" t="str">
        <f>IFERROR(__xludf.DUMMYFUNCTION("""COMPUTED_VALUE"""),"GRAFTON")</f>
        <v>GRAFTON</v>
      </c>
      <c r="D8181" s="3" t="str">
        <f>IFERROR(__xludf.DUMMYFUNCTION("""COMPUTED_VALUE"""),"K0K 2G0")</f>
        <v>K0K 2G0</v>
      </c>
      <c r="E8181" s="3"/>
      <c r="F8181" s="3"/>
      <c r="G8181" s="3"/>
      <c r="H8181" s="3"/>
    </row>
    <row r="8182">
      <c r="A8182" s="2">
        <f>IFERROR(__xludf.DUMMYFUNCTION("""COMPUTED_VALUE"""),30006.0)</f>
        <v>30006</v>
      </c>
      <c r="B8182" s="3" t="str">
        <f>IFERROR(__xludf.DUMMYFUNCTION("""COMPUTED_VALUE"""),"317 ACADEMY HILL RD ")</f>
        <v>317 ACADEMY HILL RD </v>
      </c>
      <c r="C8182" s="3" t="str">
        <f>IFERROR(__xludf.DUMMYFUNCTION("""COMPUTED_VALUE"""),"GRAFTON")</f>
        <v>GRAFTON</v>
      </c>
      <c r="D8182" s="3" t="str">
        <f>IFERROR(__xludf.DUMMYFUNCTION("""COMPUTED_VALUE"""),"K0K 2G0")</f>
        <v>K0K 2G0</v>
      </c>
      <c r="E8182" s="3"/>
      <c r="F8182" s="3"/>
      <c r="G8182" s="3"/>
      <c r="H8182" s="3"/>
    </row>
    <row r="8183">
      <c r="A8183" s="2">
        <f>IFERROR(__xludf.DUMMYFUNCTION("""COMPUTED_VALUE"""),30007.0)</f>
        <v>30007</v>
      </c>
      <c r="B8183" s="3" t="str">
        <f>IFERROR(__xludf.DUMMYFUNCTION("""COMPUTED_VALUE"""),"384 ACADEMY HILL RD ")</f>
        <v>384 ACADEMY HILL RD </v>
      </c>
      <c r="C8183" s="3" t="str">
        <f>IFERROR(__xludf.DUMMYFUNCTION("""COMPUTED_VALUE"""),"GRAFTON")</f>
        <v>GRAFTON</v>
      </c>
      <c r="D8183" s="3" t="str">
        <f>IFERROR(__xludf.DUMMYFUNCTION("""COMPUTED_VALUE"""),"K0K 2G0")</f>
        <v>K0K 2G0</v>
      </c>
      <c r="E8183" s="3" t="str">
        <f>IFERROR(__xludf.DUMMYFUNCTION("""COMPUTED_VALUE"""),"926715 Ontario Inc")</f>
        <v>926715 Ontario Inc</v>
      </c>
      <c r="F8183" s="3" t="str">
        <f>IFERROR(__xludf.DUMMYFUNCTION("""COMPUTED_VALUE"""),"it.department@steannes.com")</f>
        <v>it.department@steannes.com</v>
      </c>
      <c r="G8183" s="3"/>
      <c r="H8183" s="3"/>
    </row>
    <row r="8184">
      <c r="A8184" s="2">
        <f>IFERROR(__xludf.DUMMYFUNCTION("""COMPUTED_VALUE"""),30015.0)</f>
        <v>30015</v>
      </c>
      <c r="B8184" s="3" t="str">
        <f>IFERROR(__xludf.DUMMYFUNCTION("""COMPUTED_VALUE"""),"91 BARLOW RD ")</f>
        <v>91 BARLOW RD </v>
      </c>
      <c r="C8184" s="3" t="str">
        <f>IFERROR(__xludf.DUMMYFUNCTION("""COMPUTED_VALUE"""),"CASTLETON")</f>
        <v>CASTLETON</v>
      </c>
      <c r="D8184" s="3" t="str">
        <f>IFERROR(__xludf.DUMMYFUNCTION("""COMPUTED_VALUE"""),"K0K 1M0")</f>
        <v>K0K 1M0</v>
      </c>
      <c r="E8184" s="3"/>
      <c r="F8184" s="3"/>
      <c r="G8184" s="3"/>
      <c r="H8184" s="3"/>
    </row>
    <row r="8185">
      <c r="A8185" s="2">
        <f>IFERROR(__xludf.DUMMYFUNCTION("""COMPUTED_VALUE"""),30016.0)</f>
        <v>30016</v>
      </c>
      <c r="B8185" s="3" t="str">
        <f>IFERROR(__xludf.DUMMYFUNCTION("""COMPUTED_VALUE"""),"168 BARLOW RD ")</f>
        <v>168 BARLOW RD </v>
      </c>
      <c r="C8185" s="3" t="str">
        <f>IFERROR(__xludf.DUMMYFUNCTION("""COMPUTED_VALUE"""),"CASTLETON")</f>
        <v>CASTLETON</v>
      </c>
      <c r="D8185" s="3" t="str">
        <f>IFERROR(__xludf.DUMMYFUNCTION("""COMPUTED_VALUE"""),"K0K 1M0")</f>
        <v>K0K 1M0</v>
      </c>
      <c r="E8185" s="3" t="str">
        <f>IFERROR(__xludf.DUMMYFUNCTION("""COMPUTED_VALUE"""),"ADRIAN QUINN")</f>
        <v>ADRIAN QUINN</v>
      </c>
      <c r="F8185" s="3" t="str">
        <f>IFERROR(__xludf.DUMMYFUNCTION("""COMPUTED_VALUE"""),"aquinn@solarrawfood.com")</f>
        <v>aquinn@solarrawfood.com</v>
      </c>
      <c r="G8185" s="3">
        <f>IFERROR(__xludf.DUMMYFUNCTION("""COMPUTED_VALUE"""),9.053761473E9)</f>
        <v>9053761473</v>
      </c>
      <c r="H8185" s="3">
        <f>IFERROR(__xludf.DUMMYFUNCTION("""COMPUTED_VALUE"""),9.053761473E9)</f>
        <v>9053761473</v>
      </c>
    </row>
    <row r="8186">
      <c r="A8186" s="2">
        <f>IFERROR(__xludf.DUMMYFUNCTION("""COMPUTED_VALUE"""),30017.0)</f>
        <v>30017</v>
      </c>
      <c r="B8186" s="3" t="str">
        <f>IFERROR(__xludf.DUMMYFUNCTION("""COMPUTED_VALUE"""),"211 BARLOW RD ")</f>
        <v>211 BARLOW RD </v>
      </c>
      <c r="C8186" s="3" t="str">
        <f>IFERROR(__xludf.DUMMYFUNCTION("""COMPUTED_VALUE"""),"CASTLETON")</f>
        <v>CASTLETON</v>
      </c>
      <c r="D8186" s="3" t="str">
        <f>IFERROR(__xludf.DUMMYFUNCTION("""COMPUTED_VALUE"""),"K0K 1M0")</f>
        <v>K0K 1M0</v>
      </c>
      <c r="E8186" s="3" t="str">
        <f>IFERROR(__xludf.DUMMYFUNCTION("""COMPUTED_VALUE"""),"Cameron MacDougall")</f>
        <v>Cameron MacDougall</v>
      </c>
      <c r="F8186" s="3" t="str">
        <f>IFERROR(__xludf.DUMMYFUNCTION("""COMPUTED_VALUE"""),"cameronmacdougall211@gmail.com")</f>
        <v>cameronmacdougall211@gmail.com</v>
      </c>
      <c r="G8186" s="3"/>
      <c r="H8186" s="3"/>
    </row>
    <row r="8187">
      <c r="A8187" s="2">
        <f>IFERROR(__xludf.DUMMYFUNCTION("""COMPUTED_VALUE"""),30018.0)</f>
        <v>30018</v>
      </c>
      <c r="B8187" s="3" t="str">
        <f>IFERROR(__xludf.DUMMYFUNCTION("""COMPUTED_VALUE"""),"251 BARLOW RD ")</f>
        <v>251 BARLOW RD </v>
      </c>
      <c r="C8187" s="3" t="str">
        <f>IFERROR(__xludf.DUMMYFUNCTION("""COMPUTED_VALUE"""),"CASTLETON")</f>
        <v>CASTLETON</v>
      </c>
      <c r="D8187" s="3" t="str">
        <f>IFERROR(__xludf.DUMMYFUNCTION("""COMPUTED_VALUE"""),"K0K 1M0")</f>
        <v>K0K 1M0</v>
      </c>
      <c r="E8187" s="3" t="str">
        <f>IFERROR(__xludf.DUMMYFUNCTION("""COMPUTED_VALUE"""),"Christine Horner")</f>
        <v>Christine Horner</v>
      </c>
      <c r="F8187" s="3" t="str">
        <f>IFERROR(__xludf.DUMMYFUNCTION("""COMPUTED_VALUE"""),"cgs@eagle.ca")</f>
        <v>cgs@eagle.ca</v>
      </c>
      <c r="G8187" s="3"/>
      <c r="H8187" s="3"/>
    </row>
    <row r="8188">
      <c r="A8188" s="2">
        <f>IFERROR(__xludf.DUMMYFUNCTION("""COMPUTED_VALUE"""),30019.0)</f>
        <v>30019</v>
      </c>
      <c r="B8188" s="3" t="str">
        <f>IFERROR(__xludf.DUMMYFUNCTION("""COMPUTED_VALUE"""),"261 BARLOW RD ")</f>
        <v>261 BARLOW RD </v>
      </c>
      <c r="C8188" s="3" t="str">
        <f>IFERROR(__xludf.DUMMYFUNCTION("""COMPUTED_VALUE"""),"CASTLETON")</f>
        <v>CASTLETON</v>
      </c>
      <c r="D8188" s="3" t="str">
        <f>IFERROR(__xludf.DUMMYFUNCTION("""COMPUTED_VALUE"""),"K0K 1M0")</f>
        <v>K0K 1M0</v>
      </c>
      <c r="E8188" s="3"/>
      <c r="F8188" s="3"/>
      <c r="G8188" s="3"/>
      <c r="H8188" s="3"/>
    </row>
    <row r="8189">
      <c r="A8189" s="2">
        <f>IFERROR(__xludf.DUMMYFUNCTION("""COMPUTED_VALUE"""),30022.0)</f>
        <v>30022</v>
      </c>
      <c r="B8189" s="3" t="str">
        <f>IFERROR(__xludf.DUMMYFUNCTION("""COMPUTED_VALUE"""),"111 BOEVE LANE ")</f>
        <v>111 BOEVE LANE </v>
      </c>
      <c r="C8189" s="3" t="str">
        <f>IFERROR(__xludf.DUMMYFUNCTION("""COMPUTED_VALUE"""),"GRAFTON")</f>
        <v>GRAFTON</v>
      </c>
      <c r="D8189" s="3" t="str">
        <f>IFERROR(__xludf.DUMMYFUNCTION("""COMPUTED_VALUE"""),"K0K 2G0")</f>
        <v>K0K 2G0</v>
      </c>
      <c r="E8189" s="3" t="str">
        <f>IFERROR(__xludf.DUMMYFUNCTION("""COMPUTED_VALUE"""),"Ryan Quinn")</f>
        <v>Ryan Quinn</v>
      </c>
      <c r="F8189" s="3" t="str">
        <f>IFERROR(__xludf.DUMMYFUNCTION("""COMPUTED_VALUE"""),"ryan_quinn37@hotmail.com")</f>
        <v>ryan_quinn37@hotmail.com</v>
      </c>
      <c r="G8189" s="3"/>
      <c r="H8189" s="3"/>
    </row>
    <row r="8190">
      <c r="A8190" s="2">
        <f>IFERROR(__xludf.DUMMYFUNCTION("""COMPUTED_VALUE"""),30023.0)</f>
        <v>30023</v>
      </c>
      <c r="B8190" s="3" t="str">
        <f>IFERROR(__xludf.DUMMYFUNCTION("""COMPUTED_VALUE"""),"116 BOEVE LANE ")</f>
        <v>116 BOEVE LANE </v>
      </c>
      <c r="C8190" s="3" t="str">
        <f>IFERROR(__xludf.DUMMYFUNCTION("""COMPUTED_VALUE"""),"GRAFTON")</f>
        <v>GRAFTON</v>
      </c>
      <c r="D8190" s="3" t="str">
        <f>IFERROR(__xludf.DUMMYFUNCTION("""COMPUTED_VALUE"""),"K0K 2G0")</f>
        <v>K0K 2G0</v>
      </c>
      <c r="E8190" s="3" t="str">
        <f>IFERROR(__xludf.DUMMYFUNCTION("""COMPUTED_VALUE"""),"Darlene Manns")</f>
        <v>Darlene Manns</v>
      </c>
      <c r="F8190" s="3" t="str">
        <f>IFERROR(__xludf.DUMMYFUNCTION("""COMPUTED_VALUE"""),"darlenemanns1957@gmail.com")</f>
        <v>darlenemanns1957@gmail.com</v>
      </c>
      <c r="G8190" s="3">
        <f>IFERROR(__xludf.DUMMYFUNCTION("""COMPUTED_VALUE"""),9.053492889E9)</f>
        <v>9053492889</v>
      </c>
      <c r="H8190" s="3"/>
    </row>
    <row r="8191">
      <c r="A8191" s="2">
        <f>IFERROR(__xludf.DUMMYFUNCTION("""COMPUTED_VALUE"""),30024.0)</f>
        <v>30024</v>
      </c>
      <c r="B8191" s="3" t="str">
        <f>IFERROR(__xludf.DUMMYFUNCTION("""COMPUTED_VALUE"""),"153 BOEVE LANE ")</f>
        <v>153 BOEVE LANE </v>
      </c>
      <c r="C8191" s="3" t="str">
        <f>IFERROR(__xludf.DUMMYFUNCTION("""COMPUTED_VALUE"""),"GRAFTON")</f>
        <v>GRAFTON</v>
      </c>
      <c r="D8191" s="3" t="str">
        <f>IFERROR(__xludf.DUMMYFUNCTION("""COMPUTED_VALUE"""),"K0K 2G0")</f>
        <v>K0K 2G0</v>
      </c>
      <c r="E8191" s="3" t="str">
        <f>IFERROR(__xludf.DUMMYFUNCTION("""COMPUTED_VALUE"""),"Mitch Mieczyslaw MARSZAL")</f>
        <v>Mitch Mieczyslaw MARSZAL</v>
      </c>
      <c r="F8191" s="3" t="str">
        <f>IFERROR(__xludf.DUMMYFUNCTION("""COMPUTED_VALUE"""),"marszalmitch@gmail.comm")</f>
        <v>marszalmitch@gmail.comm</v>
      </c>
      <c r="G8191" s="3"/>
      <c r="H8191" s="3"/>
    </row>
    <row r="8192">
      <c r="A8192" s="2">
        <f>IFERROR(__xludf.DUMMYFUNCTION("""COMPUTED_VALUE"""),30025.0)</f>
        <v>30025</v>
      </c>
      <c r="B8192" s="3" t="str">
        <f>IFERROR(__xludf.DUMMYFUNCTION("""COMPUTED_VALUE"""),"160 BOEVE LANE ")</f>
        <v>160 BOEVE LANE </v>
      </c>
      <c r="C8192" s="3" t="str">
        <f>IFERROR(__xludf.DUMMYFUNCTION("""COMPUTED_VALUE"""),"GRAFTON")</f>
        <v>GRAFTON</v>
      </c>
      <c r="D8192" s="3" t="str">
        <f>IFERROR(__xludf.DUMMYFUNCTION("""COMPUTED_VALUE"""),"K0K 2G0")</f>
        <v>K0K 2G0</v>
      </c>
      <c r="E8192" s="3" t="str">
        <f>IFERROR(__xludf.DUMMYFUNCTION("""COMPUTED_VALUE"""),"Paul Mulvannon")</f>
        <v>Paul Mulvannon</v>
      </c>
      <c r="F8192" s="3" t="str">
        <f>IFERROR(__xludf.DUMMYFUNCTION("""COMPUTED_VALUE"""),"N/A")</f>
        <v>N/A</v>
      </c>
      <c r="G8192" s="3"/>
      <c r="H8192" s="3"/>
    </row>
    <row r="8193">
      <c r="A8193" s="2">
        <f>IFERROR(__xludf.DUMMYFUNCTION("""COMPUTED_VALUE"""),31568.0)</f>
        <v>31568</v>
      </c>
      <c r="B8193" s="3" t="str">
        <f>IFERROR(__xludf.DUMMYFUNCTION("""COMPUTED_VALUE"""),"182 BOEVE LANE")</f>
        <v>182 BOEVE LANE</v>
      </c>
      <c r="C8193" s="3"/>
      <c r="D8193" s="3"/>
      <c r="E8193" s="3" t="str">
        <f>IFERROR(__xludf.DUMMYFUNCTION("""COMPUTED_VALUE"""),"Hillary Carp")</f>
        <v>Hillary Carp</v>
      </c>
      <c r="F8193" s="3" t="str">
        <f>IFERROR(__xludf.DUMMYFUNCTION("""COMPUTED_VALUE"""),"4169538199")</f>
        <v>4169538199</v>
      </c>
      <c r="G8193" s="3"/>
      <c r="H8193" s="3"/>
    </row>
    <row r="8194">
      <c r="A8194" s="2">
        <f>IFERROR(__xludf.DUMMYFUNCTION("""COMPUTED_VALUE"""),30026.0)</f>
        <v>30026</v>
      </c>
      <c r="B8194" s="3" t="str">
        <f>IFERROR(__xludf.DUMMYFUNCTION("""COMPUTED_VALUE"""),"192 BOEVE LANE ")</f>
        <v>192 BOEVE LANE </v>
      </c>
      <c r="C8194" s="3" t="str">
        <f>IFERROR(__xludf.DUMMYFUNCTION("""COMPUTED_VALUE"""),"GRAFTON")</f>
        <v>GRAFTON</v>
      </c>
      <c r="D8194" s="3" t="str">
        <f>IFERROR(__xludf.DUMMYFUNCTION("""COMPUTED_VALUE"""),"K0K 2G0")</f>
        <v>K0K 2G0</v>
      </c>
      <c r="E8194" s="3"/>
      <c r="F8194" s="3"/>
      <c r="G8194" s="3"/>
      <c r="H8194" s="3"/>
    </row>
    <row r="8195">
      <c r="A8195" s="2">
        <f>IFERROR(__xludf.DUMMYFUNCTION("""COMPUTED_VALUE"""),30027.0)</f>
        <v>30027</v>
      </c>
      <c r="B8195" s="3" t="str">
        <f>IFERROR(__xludf.DUMMYFUNCTION("""COMPUTED_VALUE"""),"223 BOEVE LANE ")</f>
        <v>223 BOEVE LANE </v>
      </c>
      <c r="C8195" s="3" t="str">
        <f>IFERROR(__xludf.DUMMYFUNCTION("""COMPUTED_VALUE"""),"GRAFTON")</f>
        <v>GRAFTON</v>
      </c>
      <c r="D8195" s="3" t="str">
        <f>IFERROR(__xludf.DUMMYFUNCTION("""COMPUTED_VALUE"""),"K0K 2G0")</f>
        <v>K0K 2G0</v>
      </c>
      <c r="E8195" s="3" t="str">
        <f>IFERROR(__xludf.DUMMYFUNCTION("""COMPUTED_VALUE"""),"Brandon Pasternak")</f>
        <v>Brandon Pasternak</v>
      </c>
      <c r="F8195" s="3" t="str">
        <f>IFERROR(__xludf.DUMMYFUNCTION("""COMPUTED_VALUE"""),"brandon_pasternak@hotmail.com")</f>
        <v>brandon_pasternak@hotmail.com</v>
      </c>
      <c r="G8195" s="3">
        <f>IFERROR(__xludf.DUMMYFUNCTION("""COMPUTED_VALUE"""),3.433674213E9)</f>
        <v>3433674213</v>
      </c>
      <c r="H8195" s="3">
        <f>IFERROR(__xludf.DUMMYFUNCTION("""COMPUTED_VALUE"""),3.433674212E9)</f>
        <v>3433674212</v>
      </c>
    </row>
    <row r="8196">
      <c r="A8196" s="2">
        <f>IFERROR(__xludf.DUMMYFUNCTION("""COMPUTED_VALUE"""),30028.0)</f>
        <v>30028</v>
      </c>
      <c r="B8196" s="3" t="str">
        <f>IFERROR(__xludf.DUMMYFUNCTION("""COMPUTED_VALUE"""),"234 BOEVE LANE ")</f>
        <v>234 BOEVE LANE </v>
      </c>
      <c r="C8196" s="3" t="str">
        <f>IFERROR(__xludf.DUMMYFUNCTION("""COMPUTED_VALUE"""),"GRAFTON")</f>
        <v>GRAFTON</v>
      </c>
      <c r="D8196" s="3" t="str">
        <f>IFERROR(__xludf.DUMMYFUNCTION("""COMPUTED_VALUE"""),"K0K 2G0")</f>
        <v>K0K 2G0</v>
      </c>
      <c r="E8196" s="3" t="str">
        <f>IFERROR(__xludf.DUMMYFUNCTION("""COMPUTED_VALUE"""),"Sue Lane")</f>
        <v>Sue Lane</v>
      </c>
      <c r="F8196" s="3" t="str">
        <f>IFERROR(__xludf.DUMMYFUNCTION("""COMPUTED_VALUE"""),"N/A")</f>
        <v>N/A</v>
      </c>
      <c r="G8196" s="3"/>
      <c r="H8196" s="3"/>
    </row>
    <row r="8197">
      <c r="A8197" s="2">
        <f>IFERROR(__xludf.DUMMYFUNCTION("""COMPUTED_VALUE"""),30029.0)</f>
        <v>30029</v>
      </c>
      <c r="B8197" s="3" t="str">
        <f>IFERROR(__xludf.DUMMYFUNCTION("""COMPUTED_VALUE"""),"296 BOEVE LANE ")</f>
        <v>296 BOEVE LANE </v>
      </c>
      <c r="C8197" s="3" t="str">
        <f>IFERROR(__xludf.DUMMYFUNCTION("""COMPUTED_VALUE"""),"GRAFTON")</f>
        <v>GRAFTON</v>
      </c>
      <c r="D8197" s="3" t="str">
        <f>IFERROR(__xludf.DUMMYFUNCTION("""COMPUTED_VALUE"""),"K0K 2G0")</f>
        <v>K0K 2G0</v>
      </c>
      <c r="E8197" s="3" t="str">
        <f>IFERROR(__xludf.DUMMYFUNCTION("""COMPUTED_VALUE"""),"Dennis Hockhley")</f>
        <v>Dennis Hockhley</v>
      </c>
      <c r="F8197" s="3"/>
      <c r="G8197" s="3">
        <f>IFERROR(__xludf.DUMMYFUNCTION("""COMPUTED_VALUE"""),9.053966658E9)</f>
        <v>9053966658</v>
      </c>
      <c r="H8197" s="3"/>
    </row>
    <row r="8198">
      <c r="A8198" s="2">
        <f>IFERROR(__xludf.DUMMYFUNCTION("""COMPUTED_VALUE"""),30030.0)</f>
        <v>30030</v>
      </c>
      <c r="B8198" s="3" t="str">
        <f>IFERROR(__xludf.DUMMYFUNCTION("""COMPUTED_VALUE"""),"338 BOEVE LANE ")</f>
        <v>338 BOEVE LANE </v>
      </c>
      <c r="C8198" s="3" t="str">
        <f>IFERROR(__xludf.DUMMYFUNCTION("""COMPUTED_VALUE"""),"GRAFTON")</f>
        <v>GRAFTON</v>
      </c>
      <c r="D8198" s="3" t="str">
        <f>IFERROR(__xludf.DUMMYFUNCTION("""COMPUTED_VALUE"""),"K0K 2G0")</f>
        <v>K0K 2G0</v>
      </c>
      <c r="E8198" s="3" t="str">
        <f>IFERROR(__xludf.DUMMYFUNCTION("""COMPUTED_VALUE"""),"Georgina Noblett")</f>
        <v>Georgina Noblett</v>
      </c>
      <c r="F8198" s="3" t="str">
        <f>IFERROR(__xludf.DUMMYFUNCTION("""COMPUTED_VALUE"""),"glnoblett@gmail.com")</f>
        <v>glnoblett@gmail.com</v>
      </c>
      <c r="G8198" s="3">
        <f>IFERROR(__xludf.DUMMYFUNCTION("""COMPUTED_VALUE"""),2.898290256E9)</f>
        <v>2898290256</v>
      </c>
      <c r="H8198" s="3"/>
    </row>
    <row r="8199">
      <c r="A8199" s="2">
        <f>IFERROR(__xludf.DUMMYFUNCTION("""COMPUTED_VALUE"""),30032.0)</f>
        <v>30032</v>
      </c>
      <c r="B8199" s="3" t="str">
        <f>IFERROR(__xludf.DUMMYFUNCTION("""COMPUTED_VALUE"""),"155 BONNETT RD ")</f>
        <v>155 BONNETT RD </v>
      </c>
      <c r="C8199" s="3" t="str">
        <f>IFERROR(__xludf.DUMMYFUNCTION("""COMPUTED_VALUE"""),"CASTLETON")</f>
        <v>CASTLETON</v>
      </c>
      <c r="D8199" s="3" t="str">
        <f>IFERROR(__xludf.DUMMYFUNCTION("""COMPUTED_VALUE"""),"K0K 1M0")</f>
        <v>K0K 1M0</v>
      </c>
      <c r="E8199" s="3" t="str">
        <f>IFERROR(__xludf.DUMMYFUNCTION("""COMPUTED_VALUE"""),"Joseph Godwin")</f>
        <v>Joseph Godwin</v>
      </c>
      <c r="F8199" s="3" t="str">
        <f>IFERROR(__xludf.DUMMYFUNCTION("""COMPUTED_VALUE"""),"jjgodwin2020@hotmail.com")</f>
        <v>jjgodwin2020@hotmail.com</v>
      </c>
      <c r="G8199" s="3">
        <f>IFERROR(__xludf.DUMMYFUNCTION("""COMPUTED_VALUE"""),4.163894605E9)</f>
        <v>4163894605</v>
      </c>
      <c r="H8199" s="3"/>
    </row>
    <row r="8200">
      <c r="A8200" s="2">
        <f>IFERROR(__xludf.DUMMYFUNCTION("""COMPUTED_VALUE"""),30033.0)</f>
        <v>30033</v>
      </c>
      <c r="B8200" s="3" t="str">
        <f>IFERROR(__xludf.DUMMYFUNCTION("""COMPUTED_VALUE"""),"181 BONNETT RD ")</f>
        <v>181 BONNETT RD </v>
      </c>
      <c r="C8200" s="3" t="str">
        <f>IFERROR(__xludf.DUMMYFUNCTION("""COMPUTED_VALUE"""),"CASTLETON")</f>
        <v>CASTLETON</v>
      </c>
      <c r="D8200" s="3" t="str">
        <f>IFERROR(__xludf.DUMMYFUNCTION("""COMPUTED_VALUE"""),"K0K 1M0")</f>
        <v>K0K 1M0</v>
      </c>
      <c r="E8200" s="3" t="str">
        <f>IFERROR(__xludf.DUMMYFUNCTION("""COMPUTED_VALUE"""),"Lorraine E Coombs")</f>
        <v>Lorraine E Coombs</v>
      </c>
      <c r="F8200" s="3" t="str">
        <f>IFERROR(__xludf.DUMMYFUNCTION("""COMPUTED_VALUE"""),"mclec2011@xplornet.ca")</f>
        <v>mclec2011@xplornet.ca</v>
      </c>
      <c r="G8200" s="3"/>
      <c r="H8200" s="3"/>
    </row>
    <row r="8201">
      <c r="A8201" s="2">
        <f>IFERROR(__xludf.DUMMYFUNCTION("""COMPUTED_VALUE"""),30034.0)</f>
        <v>30034</v>
      </c>
      <c r="B8201" s="3" t="str">
        <f>IFERROR(__xludf.DUMMYFUNCTION("""COMPUTED_VALUE"""),"207 BONNETT RD ")</f>
        <v>207 BONNETT RD </v>
      </c>
      <c r="C8201" s="3" t="str">
        <f>IFERROR(__xludf.DUMMYFUNCTION("""COMPUTED_VALUE"""),"CASTLETON")</f>
        <v>CASTLETON</v>
      </c>
      <c r="D8201" s="3" t="str">
        <f>IFERROR(__xludf.DUMMYFUNCTION("""COMPUTED_VALUE"""),"K0K 1M0")</f>
        <v>K0K 1M0</v>
      </c>
      <c r="E8201" s="3" t="str">
        <f>IFERROR(__xludf.DUMMYFUNCTION("""COMPUTED_VALUE"""),"Janet Kircoff")</f>
        <v>Janet Kircoff</v>
      </c>
      <c r="F8201" s="3" t="str">
        <f>IFERROR(__xludf.DUMMYFUNCTION("""COMPUTED_VALUE"""),"rickfocus@icloud.ca")</f>
        <v>rickfocus@icloud.ca</v>
      </c>
      <c r="G8201" s="3">
        <f>IFERROR(__xludf.DUMMYFUNCTION("""COMPUTED_VALUE"""),9.053763697E9)</f>
        <v>9053763697</v>
      </c>
      <c r="H8201" s="3">
        <f>IFERROR(__xludf.DUMMYFUNCTION("""COMPUTED_VALUE"""),9.053445967E9)</f>
        <v>9053445967</v>
      </c>
    </row>
    <row r="8202">
      <c r="A8202" s="2">
        <f>IFERROR(__xludf.DUMMYFUNCTION("""COMPUTED_VALUE"""),30031.0)</f>
        <v>30031</v>
      </c>
      <c r="B8202" s="3" t="str">
        <f>IFERROR(__xludf.DUMMYFUNCTION("""COMPUTED_VALUE"""),"213 BONNETT RD ")</f>
        <v>213 BONNETT RD </v>
      </c>
      <c r="C8202" s="3" t="str">
        <f>IFERROR(__xludf.DUMMYFUNCTION("""COMPUTED_VALUE"""),"CASTLETON")</f>
        <v>CASTLETON</v>
      </c>
      <c r="D8202" s="3" t="str">
        <f>IFERROR(__xludf.DUMMYFUNCTION("""COMPUTED_VALUE"""),"K0K 1M0")</f>
        <v>K0K 1M0</v>
      </c>
      <c r="E8202" s="3" t="str">
        <f>IFERROR(__xludf.DUMMYFUNCTION("""COMPUTED_VALUE"""),"HEATHER MILLS")</f>
        <v>HEATHER MILLS</v>
      </c>
      <c r="F8202" s="3" t="str">
        <f>IFERROR(__xludf.DUMMYFUNCTION("""COMPUTED_VALUE"""),"heathermills@live.com")</f>
        <v>heathermills@live.com</v>
      </c>
      <c r="G8202" s="3"/>
      <c r="H8202" s="3"/>
    </row>
    <row r="8203">
      <c r="A8203" s="2">
        <f>IFERROR(__xludf.DUMMYFUNCTION("""COMPUTED_VALUE"""),30035.0)</f>
        <v>30035</v>
      </c>
      <c r="B8203" s="3" t="str">
        <f>IFERROR(__xludf.DUMMYFUNCTION("""COMPUTED_VALUE"""),"227 BONNETT RD ")</f>
        <v>227 BONNETT RD </v>
      </c>
      <c r="C8203" s="3" t="str">
        <f>IFERROR(__xludf.DUMMYFUNCTION("""COMPUTED_VALUE"""),"CASTLETON")</f>
        <v>CASTLETON</v>
      </c>
      <c r="D8203" s="3" t="str">
        <f>IFERROR(__xludf.DUMMYFUNCTION("""COMPUTED_VALUE"""),"K0K 1M0")</f>
        <v>K0K 1M0</v>
      </c>
      <c r="E8203" s="3" t="str">
        <f>IFERROR(__xludf.DUMMYFUNCTION("""COMPUTED_VALUE"""),"Carolyn &amp; Dwayne Martin ")</f>
        <v>Carolyn &amp; Dwayne Martin </v>
      </c>
      <c r="F8203" s="3" t="str">
        <f>IFERROR(__xludf.DUMMYFUNCTION("""COMPUTED_VALUE"""),"c.l.martin65@hotmail.com")</f>
        <v>c.l.martin65@hotmail.com</v>
      </c>
      <c r="G8203" s="3"/>
      <c r="H8203" s="3"/>
    </row>
    <row r="8204">
      <c r="A8204" s="2">
        <f>IFERROR(__xludf.DUMMYFUNCTION("""COMPUTED_VALUE"""),30036.0)</f>
        <v>30036</v>
      </c>
      <c r="B8204" s="3" t="str">
        <f>IFERROR(__xludf.DUMMYFUNCTION("""COMPUTED_VALUE"""),"133 BOOMERANG RD ")</f>
        <v>133 BOOMERANG RD </v>
      </c>
      <c r="C8204" s="3" t="str">
        <f>IFERROR(__xludf.DUMMYFUNCTION("""COMPUTED_VALUE"""),"GRAFTON")</f>
        <v>GRAFTON</v>
      </c>
      <c r="D8204" s="3" t="str">
        <f>IFERROR(__xludf.DUMMYFUNCTION("""COMPUTED_VALUE"""),"K0K 2G0")</f>
        <v>K0K 2G0</v>
      </c>
      <c r="E8204" s="3" t="str">
        <f>IFERROR(__xludf.DUMMYFUNCTION("""COMPUTED_VALUE"""),"Darryl Murray")</f>
        <v>Darryl Murray</v>
      </c>
      <c r="F8204" s="3" t="str">
        <f>IFERROR(__xludf.DUMMYFUNCTION("""COMPUTED_VALUE"""),"darryl_5252@hotmail.com")</f>
        <v>darryl_5252@hotmail.com</v>
      </c>
      <c r="G8204" s="3">
        <f>IFERROR(__xludf.DUMMYFUNCTION("""COMPUTED_VALUE"""),9.853754894E9)</f>
        <v>9853754894</v>
      </c>
      <c r="H8204" s="3"/>
    </row>
    <row r="8205">
      <c r="A8205" s="2">
        <f>IFERROR(__xludf.DUMMYFUNCTION("""COMPUTED_VALUE"""),30037.0)</f>
        <v>30037</v>
      </c>
      <c r="B8205" s="3" t="str">
        <f>IFERROR(__xludf.DUMMYFUNCTION("""COMPUTED_VALUE"""),"161 BOOMERANG RD ")</f>
        <v>161 BOOMERANG RD </v>
      </c>
      <c r="C8205" s="3" t="str">
        <f>IFERROR(__xludf.DUMMYFUNCTION("""COMPUTED_VALUE"""),"GRAFTON")</f>
        <v>GRAFTON</v>
      </c>
      <c r="D8205" s="3" t="str">
        <f>IFERROR(__xludf.DUMMYFUNCTION("""COMPUTED_VALUE"""),"K0K 2G0")</f>
        <v>K0K 2G0</v>
      </c>
      <c r="E8205" s="3"/>
      <c r="F8205" s="3"/>
      <c r="G8205" s="3"/>
      <c r="H8205" s="3"/>
    </row>
    <row r="8206">
      <c r="A8206" s="2">
        <f>IFERROR(__xludf.DUMMYFUNCTION("""COMPUTED_VALUE"""),30038.0)</f>
        <v>30038</v>
      </c>
      <c r="B8206" s="3" t="str">
        <f>IFERROR(__xludf.DUMMYFUNCTION("""COMPUTED_VALUE"""),"172 BOOMERANG RD ")</f>
        <v>172 BOOMERANG RD </v>
      </c>
      <c r="C8206" s="3" t="str">
        <f>IFERROR(__xludf.DUMMYFUNCTION("""COMPUTED_VALUE"""),"GRAFTON")</f>
        <v>GRAFTON</v>
      </c>
      <c r="D8206" s="3" t="str">
        <f>IFERROR(__xludf.DUMMYFUNCTION("""COMPUTED_VALUE"""),"K0K 2G0")</f>
        <v>K0K 2G0</v>
      </c>
      <c r="E8206" s="3"/>
      <c r="F8206" s="3"/>
      <c r="G8206" s="3"/>
      <c r="H8206" s="3"/>
    </row>
    <row r="8207">
      <c r="A8207" s="2">
        <f>IFERROR(__xludf.DUMMYFUNCTION("""COMPUTED_VALUE"""),30039.0)</f>
        <v>30039</v>
      </c>
      <c r="B8207" s="3" t="str">
        <f>IFERROR(__xludf.DUMMYFUNCTION("""COMPUTED_VALUE"""),"181 BOOMERANG RD ")</f>
        <v>181 BOOMERANG RD </v>
      </c>
      <c r="C8207" s="3" t="str">
        <f>IFERROR(__xludf.DUMMYFUNCTION("""COMPUTED_VALUE"""),"GRAFTON")</f>
        <v>GRAFTON</v>
      </c>
      <c r="D8207" s="3" t="str">
        <f>IFERROR(__xludf.DUMMYFUNCTION("""COMPUTED_VALUE"""),"K0K 2G0")</f>
        <v>K0K 2G0</v>
      </c>
      <c r="E8207" s="3" t="str">
        <f>IFERROR(__xludf.DUMMYFUNCTION("""COMPUTED_VALUE"""),"Joe Cleary")</f>
        <v>Joe Cleary</v>
      </c>
      <c r="F8207" s="3" t="str">
        <f>IFERROR(__xludf.DUMMYFUNCTION("""COMPUTED_VALUE"""),"joecleary@hotmail.ca")</f>
        <v>joecleary@hotmail.ca</v>
      </c>
      <c r="G8207" s="3"/>
      <c r="H8207" s="3"/>
    </row>
    <row r="8208">
      <c r="A8208" s="2">
        <f>IFERROR(__xludf.DUMMYFUNCTION("""COMPUTED_VALUE"""),30040.0)</f>
        <v>30040</v>
      </c>
      <c r="B8208" s="3" t="str">
        <f>IFERROR(__xludf.DUMMYFUNCTION("""COMPUTED_VALUE"""),"188 BOOMERANG RD ")</f>
        <v>188 BOOMERANG RD </v>
      </c>
      <c r="C8208" s="3" t="str">
        <f>IFERROR(__xludf.DUMMYFUNCTION("""COMPUTED_VALUE"""),"GRAFTON")</f>
        <v>GRAFTON</v>
      </c>
      <c r="D8208" s="3" t="str">
        <f>IFERROR(__xludf.DUMMYFUNCTION("""COMPUTED_VALUE"""),"K0K 2G0")</f>
        <v>K0K 2G0</v>
      </c>
      <c r="E8208" s="3" t="str">
        <f>IFERROR(__xludf.DUMMYFUNCTION("""COMPUTED_VALUE"""),"George Mullin")</f>
        <v>George Mullin</v>
      </c>
      <c r="F8208" s="3"/>
      <c r="G8208" s="3">
        <f>IFERROR(__xludf.DUMMYFUNCTION("""COMPUTED_VALUE"""),9.052436732E9)</f>
        <v>9052436732</v>
      </c>
      <c r="H8208" s="3"/>
    </row>
    <row r="8209">
      <c r="A8209" s="2">
        <f>IFERROR(__xludf.DUMMYFUNCTION("""COMPUTED_VALUE"""),30041.0)</f>
        <v>30041</v>
      </c>
      <c r="B8209" s="3" t="str">
        <f>IFERROR(__xludf.DUMMYFUNCTION("""COMPUTED_VALUE"""),"206 BOOMERANG RD ")</f>
        <v>206 BOOMERANG RD </v>
      </c>
      <c r="C8209" s="3" t="str">
        <f>IFERROR(__xludf.DUMMYFUNCTION("""COMPUTED_VALUE"""),"GRAFTON")</f>
        <v>GRAFTON</v>
      </c>
      <c r="D8209" s="3" t="str">
        <f>IFERROR(__xludf.DUMMYFUNCTION("""COMPUTED_VALUE"""),"K0K 2G0")</f>
        <v>K0K 2G0</v>
      </c>
      <c r="E8209" s="3"/>
      <c r="F8209" s="3"/>
      <c r="G8209" s="3"/>
      <c r="H8209" s="3"/>
    </row>
    <row r="8210">
      <c r="A8210" s="2">
        <f>IFERROR(__xludf.DUMMYFUNCTION("""COMPUTED_VALUE"""),30042.0)</f>
        <v>30042</v>
      </c>
      <c r="B8210" s="3" t="str">
        <f>IFERROR(__xludf.DUMMYFUNCTION("""COMPUTED_VALUE"""),"281 BOOMERANG RD ")</f>
        <v>281 BOOMERANG RD </v>
      </c>
      <c r="C8210" s="3" t="str">
        <f>IFERROR(__xludf.DUMMYFUNCTION("""COMPUTED_VALUE"""),"GRAFTON")</f>
        <v>GRAFTON</v>
      </c>
      <c r="D8210" s="3" t="str">
        <f>IFERROR(__xludf.DUMMYFUNCTION("""COMPUTED_VALUE"""),"K0K 2G0")</f>
        <v>K0K 2G0</v>
      </c>
      <c r="E8210" s="3" t="str">
        <f>IFERROR(__xludf.DUMMYFUNCTION("""COMPUTED_VALUE"""),"Kevin Lansley")</f>
        <v>Kevin Lansley</v>
      </c>
      <c r="F8210" s="3" t="str">
        <f>IFERROR(__xludf.DUMMYFUNCTION("""COMPUTED_VALUE"""),"wanda_lansley@hotmail.ca")</f>
        <v>wanda_lansley@hotmail.ca</v>
      </c>
      <c r="G8210" s="3"/>
      <c r="H8210" s="3"/>
    </row>
    <row r="8211">
      <c r="A8211" s="2">
        <f>IFERROR(__xludf.DUMMYFUNCTION("""COMPUTED_VALUE"""),30043.0)</f>
        <v>30043</v>
      </c>
      <c r="B8211" s="3" t="str">
        <f>IFERROR(__xludf.DUMMYFUNCTION("""COMPUTED_VALUE"""),"293 BOOMERANG RD ")</f>
        <v>293 BOOMERANG RD </v>
      </c>
      <c r="C8211" s="3" t="str">
        <f>IFERROR(__xludf.DUMMYFUNCTION("""COMPUTED_VALUE"""),"GRAFTON")</f>
        <v>GRAFTON</v>
      </c>
      <c r="D8211" s="3" t="str">
        <f>IFERROR(__xludf.DUMMYFUNCTION("""COMPUTED_VALUE"""),"K0K 2G0")</f>
        <v>K0K 2G0</v>
      </c>
      <c r="E8211" s="3"/>
      <c r="F8211" s="3"/>
      <c r="G8211" s="3"/>
      <c r="H8211" s="3"/>
    </row>
    <row r="8212">
      <c r="A8212" s="2">
        <f>IFERROR(__xludf.DUMMYFUNCTION("""COMPUTED_VALUE"""),30044.0)</f>
        <v>30044</v>
      </c>
      <c r="B8212" s="3" t="str">
        <f>IFERROR(__xludf.DUMMYFUNCTION("""COMPUTED_VALUE"""),"236 BOYCE RD ")</f>
        <v>236 BOYCE RD </v>
      </c>
      <c r="C8212" s="3" t="str">
        <f>IFERROR(__xludf.DUMMYFUNCTION("""COMPUTED_VALUE"""),"COLBORNE")</f>
        <v>COLBORNE</v>
      </c>
      <c r="D8212" s="3" t="str">
        <f>IFERROR(__xludf.DUMMYFUNCTION("""COMPUTED_VALUE"""),"K0K 1S0")</f>
        <v>K0K 1S0</v>
      </c>
      <c r="E8212" s="3" t="str">
        <f>IFERROR(__xludf.DUMMYFUNCTION("""COMPUTED_VALUE"""),"SCOTT &amp; DAWN CHAPELL")</f>
        <v>SCOTT &amp; DAWN CHAPELL</v>
      </c>
      <c r="F8212" s="3" t="str">
        <f>IFERROR(__xludf.DUMMYFUNCTION("""COMPUTED_VALUE"""),"scottchapell@gmail.com")</f>
        <v>scottchapell@gmail.com</v>
      </c>
      <c r="G8212" s="3">
        <f>IFERROR(__xludf.DUMMYFUNCTION("""COMPUTED_VALUE"""),9.057188576E9)</f>
        <v>9057188576</v>
      </c>
      <c r="H8212" s="3"/>
    </row>
    <row r="8213">
      <c r="A8213" s="2">
        <f>IFERROR(__xludf.DUMMYFUNCTION("""COMPUTED_VALUE"""),30045.0)</f>
        <v>30045</v>
      </c>
      <c r="B8213" s="3" t="str">
        <f>IFERROR(__xludf.DUMMYFUNCTION("""COMPUTED_VALUE"""),"239 BOYCE RD ")</f>
        <v>239 BOYCE RD </v>
      </c>
      <c r="C8213" s="3" t="str">
        <f>IFERROR(__xludf.DUMMYFUNCTION("""COMPUTED_VALUE"""),"COLBORNE")</f>
        <v>COLBORNE</v>
      </c>
      <c r="D8213" s="3" t="str">
        <f>IFERROR(__xludf.DUMMYFUNCTION("""COMPUTED_VALUE"""),"K0K 1S0")</f>
        <v>K0K 1S0</v>
      </c>
      <c r="E8213" s="3"/>
      <c r="F8213" s="3"/>
      <c r="G8213" s="3"/>
      <c r="H8213" s="3"/>
    </row>
    <row r="8214">
      <c r="A8214" s="2">
        <f>IFERROR(__xludf.DUMMYFUNCTION("""COMPUTED_VALUE"""),30046.0)</f>
        <v>30046</v>
      </c>
      <c r="B8214" s="3" t="str">
        <f>IFERROR(__xludf.DUMMYFUNCTION("""COMPUTED_VALUE"""),"277 BOYCE RD ")</f>
        <v>277 BOYCE RD </v>
      </c>
      <c r="C8214" s="3" t="str">
        <f>IFERROR(__xludf.DUMMYFUNCTION("""COMPUTED_VALUE"""),"COLBORNE")</f>
        <v>COLBORNE</v>
      </c>
      <c r="D8214" s="3" t="str">
        <f>IFERROR(__xludf.DUMMYFUNCTION("""COMPUTED_VALUE"""),"K0K 1S0")</f>
        <v>K0K 1S0</v>
      </c>
      <c r="E8214" s="3"/>
      <c r="F8214" s="3"/>
      <c r="G8214" s="3"/>
      <c r="H8214" s="3"/>
    </row>
    <row r="8215">
      <c r="A8215" s="2">
        <f>IFERROR(__xludf.DUMMYFUNCTION("""COMPUTED_VALUE"""),30047.0)</f>
        <v>30047</v>
      </c>
      <c r="B8215" s="3" t="str">
        <f>IFERROR(__xludf.DUMMYFUNCTION("""COMPUTED_VALUE"""),"280 BOYCE RD ")</f>
        <v>280 BOYCE RD </v>
      </c>
      <c r="C8215" s="3" t="str">
        <f>IFERROR(__xludf.DUMMYFUNCTION("""COMPUTED_VALUE"""),"COLBORNE")</f>
        <v>COLBORNE</v>
      </c>
      <c r="D8215" s="3" t="str">
        <f>IFERROR(__xludf.DUMMYFUNCTION("""COMPUTED_VALUE"""),"K0K 1S0")</f>
        <v>K0K 1S0</v>
      </c>
      <c r="E8215" s="3"/>
      <c r="F8215" s="3"/>
      <c r="G8215" s="3"/>
      <c r="H8215" s="3"/>
    </row>
    <row r="8216">
      <c r="A8216" s="2">
        <f>IFERROR(__xludf.DUMMYFUNCTION("""COMPUTED_VALUE"""),30048.0)</f>
        <v>30048</v>
      </c>
      <c r="B8216" s="3" t="str">
        <f>IFERROR(__xludf.DUMMYFUNCTION("""COMPUTED_VALUE"""),"386 BOYCE RD ")</f>
        <v>386 BOYCE RD </v>
      </c>
      <c r="C8216" s="3" t="str">
        <f>IFERROR(__xludf.DUMMYFUNCTION("""COMPUTED_VALUE"""),"COLBORNE")</f>
        <v>COLBORNE</v>
      </c>
      <c r="D8216" s="3" t="str">
        <f>IFERROR(__xludf.DUMMYFUNCTION("""COMPUTED_VALUE"""),"K0K 1S0")</f>
        <v>K0K 1S0</v>
      </c>
      <c r="E8216" s="3" t="str">
        <f>IFERROR(__xludf.DUMMYFUNCTION("""COMPUTED_VALUE"""),"Norm Watts")</f>
        <v>Norm Watts</v>
      </c>
      <c r="F8216" s="3" t="str">
        <f>IFERROR(__xludf.DUMMYFUNCTION("""COMPUTED_VALUE"""),"N/A")</f>
        <v>N/A</v>
      </c>
      <c r="G8216" s="3">
        <f>IFERROR(__xludf.DUMMYFUNCTION("""COMPUTED_VALUE"""),9.053553574E9)</f>
        <v>9053553574</v>
      </c>
      <c r="H8216" s="3"/>
    </row>
    <row r="8217">
      <c r="A8217" s="2">
        <f>IFERROR(__xludf.DUMMYFUNCTION("""COMPUTED_VALUE"""),30049.0)</f>
        <v>30049</v>
      </c>
      <c r="B8217" s="3" t="str">
        <f>IFERROR(__xludf.DUMMYFUNCTION("""COMPUTED_VALUE"""),"400 BOYCE RD ")</f>
        <v>400 BOYCE RD </v>
      </c>
      <c r="C8217" s="3" t="str">
        <f>IFERROR(__xludf.DUMMYFUNCTION("""COMPUTED_VALUE"""),"COLBORNE")</f>
        <v>COLBORNE</v>
      </c>
      <c r="D8217" s="3" t="str">
        <f>IFERROR(__xludf.DUMMYFUNCTION("""COMPUTED_VALUE"""),"K0K 1S0")</f>
        <v>K0K 1S0</v>
      </c>
      <c r="E8217" s="3" t="str">
        <f>IFERROR(__xludf.DUMMYFUNCTION("""COMPUTED_VALUE"""),"John hurley")</f>
        <v>John hurley</v>
      </c>
      <c r="F8217" s="3" t="str">
        <f>IFERROR(__xludf.DUMMYFUNCTION("""COMPUTED_VALUE"""),"boofoo11@hotmail.com")</f>
        <v>boofoo11@hotmail.com</v>
      </c>
      <c r="G8217" s="3">
        <f>IFERROR(__xludf.DUMMYFUNCTION("""COMPUTED_VALUE"""),9.053756388E9)</f>
        <v>9053756388</v>
      </c>
      <c r="H8217" s="3">
        <f>IFERROR(__xludf.DUMMYFUNCTION("""COMPUTED_VALUE"""),9.052690686E9)</f>
        <v>9052690686</v>
      </c>
    </row>
    <row r="8218">
      <c r="A8218" s="2">
        <f>IFERROR(__xludf.DUMMYFUNCTION("""COMPUTED_VALUE"""),30050.0)</f>
        <v>30050</v>
      </c>
      <c r="B8218" s="3" t="str">
        <f>IFERROR(__xludf.DUMMYFUNCTION("""COMPUTED_VALUE"""),"429 BOYCE RD ")</f>
        <v>429 BOYCE RD </v>
      </c>
      <c r="C8218" s="3" t="str">
        <f>IFERROR(__xludf.DUMMYFUNCTION("""COMPUTED_VALUE"""),"COLBORNE")</f>
        <v>COLBORNE</v>
      </c>
      <c r="D8218" s="3" t="str">
        <f>IFERROR(__xludf.DUMMYFUNCTION("""COMPUTED_VALUE"""),"K0K 1S0")</f>
        <v>K0K 1S0</v>
      </c>
      <c r="E8218" s="3"/>
      <c r="F8218" s="3"/>
      <c r="G8218" s="3"/>
      <c r="H8218" s="3"/>
    </row>
    <row r="8219">
      <c r="A8219" s="2">
        <f>IFERROR(__xludf.DUMMYFUNCTION("""COMPUTED_VALUE"""),30051.0)</f>
        <v>30051</v>
      </c>
      <c r="B8219" s="3" t="str">
        <f>IFERROR(__xludf.DUMMYFUNCTION("""COMPUTED_VALUE"""),"464 BOYCE RD ")</f>
        <v>464 BOYCE RD </v>
      </c>
      <c r="C8219" s="3" t="str">
        <f>IFERROR(__xludf.DUMMYFUNCTION("""COMPUTED_VALUE"""),"COLBORNE")</f>
        <v>COLBORNE</v>
      </c>
      <c r="D8219" s="3" t="str">
        <f>IFERROR(__xludf.DUMMYFUNCTION("""COMPUTED_VALUE"""),"K0K 1S0")</f>
        <v>K0K 1S0</v>
      </c>
      <c r="E8219" s="3"/>
      <c r="F8219" s="3"/>
      <c r="G8219" s="3"/>
      <c r="H8219" s="3"/>
    </row>
    <row r="8220">
      <c r="A8220" s="2">
        <f>IFERROR(__xludf.DUMMYFUNCTION("""COMPUTED_VALUE"""),30052.0)</f>
        <v>30052</v>
      </c>
      <c r="B8220" s="3" t="str">
        <f>IFERROR(__xludf.DUMMYFUNCTION("""COMPUTED_VALUE"""),"135 BOYLE RD ")</f>
        <v>135 BOYLE RD </v>
      </c>
      <c r="C8220" s="3" t="str">
        <f>IFERROR(__xludf.DUMMYFUNCTION("""COMPUTED_VALUE"""),"GRAFTON")</f>
        <v>GRAFTON</v>
      </c>
      <c r="D8220" s="3" t="str">
        <f>IFERROR(__xludf.DUMMYFUNCTION("""COMPUTED_VALUE"""),"K0K 2G0")</f>
        <v>K0K 2G0</v>
      </c>
      <c r="E8220" s="3" t="str">
        <f>IFERROR(__xludf.DUMMYFUNCTION("""COMPUTED_VALUE"""),"June Jdruis")</f>
        <v>June Jdruis</v>
      </c>
      <c r="F8220" s="3"/>
      <c r="G8220" s="3">
        <f>IFERROR(__xludf.DUMMYFUNCTION("""COMPUTED_VALUE"""),4.168344005E9)</f>
        <v>4168344005</v>
      </c>
      <c r="H8220" s="3"/>
    </row>
    <row r="8221">
      <c r="A8221" s="2">
        <f>IFERROR(__xludf.DUMMYFUNCTION("""COMPUTED_VALUE"""),30053.0)</f>
        <v>30053</v>
      </c>
      <c r="B8221" s="3" t="str">
        <f>IFERROR(__xludf.DUMMYFUNCTION("""COMPUTED_VALUE"""),"142 BOYLE RD ")</f>
        <v>142 BOYLE RD </v>
      </c>
      <c r="C8221" s="3" t="str">
        <f>IFERROR(__xludf.DUMMYFUNCTION("""COMPUTED_VALUE"""),"GRAFTON")</f>
        <v>GRAFTON</v>
      </c>
      <c r="D8221" s="3" t="str">
        <f>IFERROR(__xludf.DUMMYFUNCTION("""COMPUTED_VALUE"""),"K0K 2G0")</f>
        <v>K0K 2G0</v>
      </c>
      <c r="E8221" s="3" t="str">
        <f>IFERROR(__xludf.DUMMYFUNCTION("""COMPUTED_VALUE"""),"Robert Nichols")</f>
        <v>Robert Nichols</v>
      </c>
      <c r="F8221" s="3" t="str">
        <f>IFERROR(__xludf.DUMMYFUNCTION("""COMPUTED_VALUE"""),"rob.nichols1@hotmail.com")</f>
        <v>rob.nichols1@hotmail.com</v>
      </c>
      <c r="G8221" s="3">
        <f>IFERROR(__xludf.DUMMYFUNCTION("""COMPUTED_VALUE"""),6.139203887E9)</f>
        <v>6139203887</v>
      </c>
      <c r="H8221" s="3">
        <f>IFERROR(__xludf.DUMMYFUNCTION("""COMPUTED_VALUE"""),2.893562496E9)</f>
        <v>2893562496</v>
      </c>
    </row>
    <row r="8222">
      <c r="A8222" s="2">
        <f>IFERROR(__xludf.DUMMYFUNCTION("""COMPUTED_VALUE"""),30054.0)</f>
        <v>30054</v>
      </c>
      <c r="B8222" s="3" t="str">
        <f>IFERROR(__xludf.DUMMYFUNCTION("""COMPUTED_VALUE"""),"150 BOYLE RD ")</f>
        <v>150 BOYLE RD </v>
      </c>
      <c r="C8222" s="3" t="str">
        <f>IFERROR(__xludf.DUMMYFUNCTION("""COMPUTED_VALUE"""),"GRAFTON")</f>
        <v>GRAFTON</v>
      </c>
      <c r="D8222" s="3" t="str">
        <f>IFERROR(__xludf.DUMMYFUNCTION("""COMPUTED_VALUE"""),"K0K 2G0")</f>
        <v>K0K 2G0</v>
      </c>
      <c r="E8222" s="3" t="str">
        <f>IFERROR(__xludf.DUMMYFUNCTION("""COMPUTED_VALUE"""),"Heather Babut")</f>
        <v>Heather Babut</v>
      </c>
      <c r="F8222" s="3" t="str">
        <f>IFERROR(__xludf.DUMMYFUNCTION("""COMPUTED_VALUE"""),"heatherbabut@gamil.com")</f>
        <v>heatherbabut@gamil.com</v>
      </c>
      <c r="G8222" s="3"/>
      <c r="H8222" s="3"/>
    </row>
    <row r="8223">
      <c r="A8223" s="2">
        <f>IFERROR(__xludf.DUMMYFUNCTION("""COMPUTED_VALUE"""),30055.0)</f>
        <v>30055</v>
      </c>
      <c r="B8223" s="3" t="str">
        <f>IFERROR(__xludf.DUMMYFUNCTION("""COMPUTED_VALUE"""),"151 BOYLE RD ")</f>
        <v>151 BOYLE RD </v>
      </c>
      <c r="C8223" s="3" t="str">
        <f>IFERROR(__xludf.DUMMYFUNCTION("""COMPUTED_VALUE"""),"GRAFTON")</f>
        <v>GRAFTON</v>
      </c>
      <c r="D8223" s="3" t="str">
        <f>IFERROR(__xludf.DUMMYFUNCTION("""COMPUTED_VALUE"""),"K0K 2G0")</f>
        <v>K0K 2G0</v>
      </c>
      <c r="E8223" s="3"/>
      <c r="F8223" s="3"/>
      <c r="G8223" s="3"/>
      <c r="H8223" s="3"/>
    </row>
    <row r="8224">
      <c r="A8224" s="2">
        <f>IFERROR(__xludf.DUMMYFUNCTION("""COMPUTED_VALUE"""),30056.0)</f>
        <v>30056</v>
      </c>
      <c r="B8224" s="3" t="str">
        <f>IFERROR(__xludf.DUMMYFUNCTION("""COMPUTED_VALUE"""),"169 BOYLE RD ")</f>
        <v>169 BOYLE RD </v>
      </c>
      <c r="C8224" s="3" t="str">
        <f>IFERROR(__xludf.DUMMYFUNCTION("""COMPUTED_VALUE"""),"GRAFTON")</f>
        <v>GRAFTON</v>
      </c>
      <c r="D8224" s="3" t="str">
        <f>IFERROR(__xludf.DUMMYFUNCTION("""COMPUTED_VALUE"""),"K0K 2G0")</f>
        <v>K0K 2G0</v>
      </c>
      <c r="E8224" s="3" t="str">
        <f>IFERROR(__xludf.DUMMYFUNCTION("""COMPUTED_VALUE"""),"David Stewart")</f>
        <v>David Stewart</v>
      </c>
      <c r="F8224" s="3" t="str">
        <f>IFERROR(__xludf.DUMMYFUNCTION("""COMPUTED_VALUE"""),"davestewart9@gmail.com")</f>
        <v>davestewart9@gmail.com</v>
      </c>
      <c r="G8224" s="3">
        <f>IFERROR(__xludf.DUMMYFUNCTION("""COMPUTED_VALUE"""),9.053493109E9)</f>
        <v>9053493109</v>
      </c>
      <c r="H8224" s="3"/>
    </row>
    <row r="8225">
      <c r="A8225" s="2">
        <f>IFERROR(__xludf.DUMMYFUNCTION("""COMPUTED_VALUE"""),30057.0)</f>
        <v>30057</v>
      </c>
      <c r="B8225" s="3" t="str">
        <f>IFERROR(__xludf.DUMMYFUNCTION("""COMPUTED_VALUE"""),"174 BOYLE RD ")</f>
        <v>174 BOYLE RD </v>
      </c>
      <c r="C8225" s="3" t="str">
        <f>IFERROR(__xludf.DUMMYFUNCTION("""COMPUTED_VALUE"""),"GRAFTON")</f>
        <v>GRAFTON</v>
      </c>
      <c r="D8225" s="3" t="str">
        <f>IFERROR(__xludf.DUMMYFUNCTION("""COMPUTED_VALUE"""),"K0K 2G0")</f>
        <v>K0K 2G0</v>
      </c>
      <c r="E8225" s="3"/>
      <c r="F8225" s="3"/>
      <c r="G8225" s="3"/>
      <c r="H8225" s="3"/>
    </row>
    <row r="8226">
      <c r="A8226" s="2">
        <f>IFERROR(__xludf.DUMMYFUNCTION("""COMPUTED_VALUE"""),30058.0)</f>
        <v>30058</v>
      </c>
      <c r="B8226" s="3" t="str">
        <f>IFERROR(__xludf.DUMMYFUNCTION("""COMPUTED_VALUE"""),"194 BOYLE RD ")</f>
        <v>194 BOYLE RD </v>
      </c>
      <c r="C8226" s="3" t="str">
        <f>IFERROR(__xludf.DUMMYFUNCTION("""COMPUTED_VALUE"""),"GRAFTON")</f>
        <v>GRAFTON</v>
      </c>
      <c r="D8226" s="3" t="str">
        <f>IFERROR(__xludf.DUMMYFUNCTION("""COMPUTED_VALUE"""),"K0K 2G0")</f>
        <v>K0K 2G0</v>
      </c>
      <c r="E8226" s="3" t="str">
        <f>IFERROR(__xludf.DUMMYFUNCTION("""COMPUTED_VALUE"""),"Jason Helps")</f>
        <v>Jason Helps</v>
      </c>
      <c r="F8226" s="3" t="str">
        <f>IFERROR(__xludf.DUMMYFUNCTION("""COMPUTED_VALUE"""),"gwenpjelectric@live.ca")</f>
        <v>gwenpjelectric@live.ca</v>
      </c>
      <c r="G8226" s="3">
        <f>IFERROR(__xludf.DUMMYFUNCTION("""COMPUTED_VALUE"""),9.053768911E9)</f>
        <v>9053768911</v>
      </c>
      <c r="H8226" s="3">
        <f>IFERROR(__xludf.DUMMYFUNCTION("""COMPUTED_VALUE"""),9.053492997E9)</f>
        <v>9053492997</v>
      </c>
    </row>
    <row r="8227">
      <c r="A8227" s="2">
        <f>IFERROR(__xludf.DUMMYFUNCTION("""COMPUTED_VALUE"""),30059.0)</f>
        <v>30059</v>
      </c>
      <c r="B8227" s="3" t="str">
        <f>IFERROR(__xludf.DUMMYFUNCTION("""COMPUTED_VALUE"""),"221 BOYLE RD ")</f>
        <v>221 BOYLE RD </v>
      </c>
      <c r="C8227" s="3" t="str">
        <f>IFERROR(__xludf.DUMMYFUNCTION("""COMPUTED_VALUE"""),"GRAFTON")</f>
        <v>GRAFTON</v>
      </c>
      <c r="D8227" s="3" t="str">
        <f>IFERROR(__xludf.DUMMYFUNCTION("""COMPUTED_VALUE"""),"K0K 2G0")</f>
        <v>K0K 2G0</v>
      </c>
      <c r="E8227" s="3" t="str">
        <f>IFERROR(__xludf.DUMMYFUNCTION("""COMPUTED_VALUE"""),"Jordan CARR")</f>
        <v>Jordan CARR</v>
      </c>
      <c r="F8227" s="3" t="str">
        <f>IFERROR(__xludf.DUMMYFUNCTION("""COMPUTED_VALUE"""),"jbcarr30@gmail.com")</f>
        <v>jbcarr30@gmail.com</v>
      </c>
      <c r="G8227" s="3"/>
      <c r="H8227" s="3"/>
    </row>
    <row r="8228">
      <c r="A8228" s="2">
        <f>IFERROR(__xludf.DUMMYFUNCTION("""COMPUTED_VALUE"""),30060.0)</f>
        <v>30060</v>
      </c>
      <c r="B8228" s="3" t="str">
        <f>IFERROR(__xludf.DUMMYFUNCTION("""COMPUTED_VALUE"""),"225 BOYLE RD ")</f>
        <v>225 BOYLE RD </v>
      </c>
      <c r="C8228" s="3" t="str">
        <f>IFERROR(__xludf.DUMMYFUNCTION("""COMPUTED_VALUE"""),"GRAFTON")</f>
        <v>GRAFTON</v>
      </c>
      <c r="D8228" s="3" t="str">
        <f>IFERROR(__xludf.DUMMYFUNCTION("""COMPUTED_VALUE"""),"K0K 2G0")</f>
        <v>K0K 2G0</v>
      </c>
      <c r="E8228" s="3" t="str">
        <f>IFERROR(__xludf.DUMMYFUNCTION("""COMPUTED_VALUE"""),"Jennifer Atkinson")</f>
        <v>Jennifer Atkinson</v>
      </c>
      <c r="F8228" s="3" t="str">
        <f>IFERROR(__xludf.DUMMYFUNCTION("""COMPUTED_VALUE"""),"jatkinson747@icloud.com")</f>
        <v>jatkinson747@icloud.com</v>
      </c>
      <c r="G8228" s="3"/>
      <c r="H8228" s="3"/>
    </row>
    <row r="8229">
      <c r="A8229" s="2">
        <f>IFERROR(__xludf.DUMMYFUNCTION("""COMPUTED_VALUE"""),30061.0)</f>
        <v>30061</v>
      </c>
      <c r="B8229" s="3" t="str">
        <f>IFERROR(__xludf.DUMMYFUNCTION("""COMPUTED_VALUE"""),"281 BOYLE RD ")</f>
        <v>281 BOYLE RD </v>
      </c>
      <c r="C8229" s="3" t="str">
        <f>IFERROR(__xludf.DUMMYFUNCTION("""COMPUTED_VALUE"""),"GRAFTON")</f>
        <v>GRAFTON</v>
      </c>
      <c r="D8229" s="3" t="str">
        <f>IFERROR(__xludf.DUMMYFUNCTION("""COMPUTED_VALUE"""),"K0K 2G0")</f>
        <v>K0K 2G0</v>
      </c>
      <c r="E8229" s="3" t="str">
        <f>IFERROR(__xludf.DUMMYFUNCTION("""COMPUTED_VALUE"""),"Jason Orchard")</f>
        <v>Jason Orchard</v>
      </c>
      <c r="F8229" s="3" t="str">
        <f>IFERROR(__xludf.DUMMYFUNCTION("""COMPUTED_VALUE"""),"jorchardster@gmail.com")</f>
        <v>jorchardster@gmail.com</v>
      </c>
      <c r="G8229" s="3">
        <f>IFERROR(__xludf.DUMMYFUNCTION("""COMPUTED_VALUE"""),6.478761157E9)</f>
        <v>6478761157</v>
      </c>
      <c r="H8229" s="3"/>
    </row>
    <row r="8230">
      <c r="A8230" s="2">
        <f>IFERROR(__xludf.DUMMYFUNCTION("""COMPUTED_VALUE"""),30062.0)</f>
        <v>30062</v>
      </c>
      <c r="B8230" s="3" t="str">
        <f>IFERROR(__xludf.DUMMYFUNCTION("""COMPUTED_VALUE"""),"292 BOYLE RD ")</f>
        <v>292 BOYLE RD </v>
      </c>
      <c r="C8230" s="3" t="str">
        <f>IFERROR(__xludf.DUMMYFUNCTION("""COMPUTED_VALUE"""),"GRAFTON")</f>
        <v>GRAFTON</v>
      </c>
      <c r="D8230" s="3" t="str">
        <f>IFERROR(__xludf.DUMMYFUNCTION("""COMPUTED_VALUE"""),"K0K 2G0")</f>
        <v>K0K 2G0</v>
      </c>
      <c r="E8230" s="3" t="str">
        <f>IFERROR(__xludf.DUMMYFUNCTION("""COMPUTED_VALUE"""),"Lieah Crust")</f>
        <v>Lieah Crust</v>
      </c>
      <c r="F8230" s="3" t="str">
        <f>IFERROR(__xludf.DUMMYFUNCTION("""COMPUTED_VALUE"""),"lieah.c@gmail.com")</f>
        <v>lieah.c@gmail.com</v>
      </c>
      <c r="G8230" s="3"/>
      <c r="H8230" s="3"/>
    </row>
    <row r="8231">
      <c r="A8231" s="2">
        <f>IFERROR(__xludf.DUMMYFUNCTION("""COMPUTED_VALUE"""),30063.0)</f>
        <v>30063</v>
      </c>
      <c r="B8231" s="3" t="str">
        <f>IFERROR(__xludf.DUMMYFUNCTION("""COMPUTED_VALUE"""),"314 BOYLE RD ")</f>
        <v>314 BOYLE RD </v>
      </c>
      <c r="C8231" s="3" t="str">
        <f>IFERROR(__xludf.DUMMYFUNCTION("""COMPUTED_VALUE"""),"GRAFTON")</f>
        <v>GRAFTON</v>
      </c>
      <c r="D8231" s="3" t="str">
        <f>IFERROR(__xludf.DUMMYFUNCTION("""COMPUTED_VALUE"""),"K0K 2G0")</f>
        <v>K0K 2G0</v>
      </c>
      <c r="E8231" s="3"/>
      <c r="F8231" s="3"/>
      <c r="G8231" s="3"/>
      <c r="H8231" s="3"/>
    </row>
    <row r="8232">
      <c r="A8232" s="2">
        <f>IFERROR(__xludf.DUMMYFUNCTION("""COMPUTED_VALUE"""),30064.0)</f>
        <v>30064</v>
      </c>
      <c r="B8232" s="3" t="str">
        <f>IFERROR(__xludf.DUMMYFUNCTION("""COMPUTED_VALUE"""),"350 BOYLE RD ")</f>
        <v>350 BOYLE RD </v>
      </c>
      <c r="C8232" s="3" t="str">
        <f>IFERROR(__xludf.DUMMYFUNCTION("""COMPUTED_VALUE"""),"GRAFTON")</f>
        <v>GRAFTON</v>
      </c>
      <c r="D8232" s="3" t="str">
        <f>IFERROR(__xludf.DUMMYFUNCTION("""COMPUTED_VALUE"""),"K0K 2G0")</f>
        <v>K0K 2G0</v>
      </c>
      <c r="E8232" s="3"/>
      <c r="F8232" s="3"/>
      <c r="G8232" s="3"/>
      <c r="H8232" s="3"/>
    </row>
    <row r="8233">
      <c r="A8233" s="2">
        <f>IFERROR(__xludf.DUMMYFUNCTION("""COMPUTED_VALUE"""),30065.0)</f>
        <v>30065</v>
      </c>
      <c r="B8233" s="3" t="str">
        <f>IFERROR(__xludf.DUMMYFUNCTION("""COMPUTED_VALUE"""),"226 BRADLEY HOLLOW RD ")</f>
        <v>226 BRADLEY HOLLOW RD </v>
      </c>
      <c r="C8233" s="3" t="str">
        <f>IFERROR(__xludf.DUMMYFUNCTION("""COMPUTED_VALUE"""),"GRAFTON")</f>
        <v>GRAFTON</v>
      </c>
      <c r="D8233" s="3" t="str">
        <f>IFERROR(__xludf.DUMMYFUNCTION("""COMPUTED_VALUE"""),"K0K 2G0")</f>
        <v>K0K 2G0</v>
      </c>
      <c r="E8233" s="3"/>
      <c r="F8233" s="3"/>
      <c r="G8233" s="3"/>
      <c r="H8233" s="3"/>
    </row>
    <row r="8234">
      <c r="A8234" s="2">
        <f>IFERROR(__xludf.DUMMYFUNCTION("""COMPUTED_VALUE"""),30069.0)</f>
        <v>30069</v>
      </c>
      <c r="B8234" s="3" t="str">
        <f>IFERROR(__xludf.DUMMYFUNCTION("""COMPUTED_VALUE"""),"197 BROOMFIELD RD ")</f>
        <v>197 BROOMFIELD RD </v>
      </c>
      <c r="C8234" s="3" t="str">
        <f>IFERROR(__xludf.DUMMYFUNCTION("""COMPUTED_VALUE"""),"GRAFTON")</f>
        <v>GRAFTON</v>
      </c>
      <c r="D8234" s="3" t="str">
        <f>IFERROR(__xludf.DUMMYFUNCTION("""COMPUTED_VALUE"""),"K0K 2G0")</f>
        <v>K0K 2G0</v>
      </c>
      <c r="E8234" s="3"/>
      <c r="F8234" s="3"/>
      <c r="G8234" s="3"/>
      <c r="H8234" s="3"/>
    </row>
    <row r="8235">
      <c r="A8235" s="2">
        <f>IFERROR(__xludf.DUMMYFUNCTION("""COMPUTED_VALUE"""),30070.0)</f>
        <v>30070</v>
      </c>
      <c r="B8235" s="3" t="str">
        <f>IFERROR(__xludf.DUMMYFUNCTION("""COMPUTED_VALUE"""),"248 BROOMFIELD RD ")</f>
        <v>248 BROOMFIELD RD </v>
      </c>
      <c r="C8235" s="3" t="str">
        <f>IFERROR(__xludf.DUMMYFUNCTION("""COMPUTED_VALUE"""),"GRAFTON")</f>
        <v>GRAFTON</v>
      </c>
      <c r="D8235" s="3" t="str">
        <f>IFERROR(__xludf.DUMMYFUNCTION("""COMPUTED_VALUE"""),"K0K 2G0")</f>
        <v>K0K 2G0</v>
      </c>
      <c r="E8235" s="3" t="str">
        <f>IFERROR(__xludf.DUMMYFUNCTION("""COMPUTED_VALUE"""),"Heather Pals")</f>
        <v>Heather Pals</v>
      </c>
      <c r="F8235" s="3" t="str">
        <f>IFERROR(__xludf.DUMMYFUNCTION("""COMPUTED_VALUE"""),"heatherpals@gmail.com")</f>
        <v>heatherpals@gmail.com</v>
      </c>
      <c r="G8235" s="3">
        <f>IFERROR(__xludf.DUMMYFUNCTION("""COMPUTED_VALUE"""),4.165675437E9)</f>
        <v>4165675437</v>
      </c>
      <c r="H8235" s="3">
        <f>IFERROR(__xludf.DUMMYFUNCTION("""COMPUTED_VALUE"""),9.054266389E9)</f>
        <v>9054266389</v>
      </c>
    </row>
    <row r="8236">
      <c r="A8236" s="2">
        <f>IFERROR(__xludf.DUMMYFUNCTION("""COMPUTED_VALUE"""),30071.0)</f>
        <v>30071</v>
      </c>
      <c r="B8236" s="3" t="str">
        <f>IFERROR(__xludf.DUMMYFUNCTION("""COMPUTED_VALUE"""),"344 BROOMFIELD RD ")</f>
        <v>344 BROOMFIELD RD </v>
      </c>
      <c r="C8236" s="3" t="str">
        <f>IFERROR(__xludf.DUMMYFUNCTION("""COMPUTED_VALUE"""),"GRAFTON")</f>
        <v>GRAFTON</v>
      </c>
      <c r="D8236" s="3" t="str">
        <f>IFERROR(__xludf.DUMMYFUNCTION("""COMPUTED_VALUE"""),"K0K 2G0")</f>
        <v>K0K 2G0</v>
      </c>
      <c r="E8236" s="3" t="str">
        <f>IFERROR(__xludf.DUMMYFUNCTION("""COMPUTED_VALUE"""),"Ryan White")</f>
        <v>Ryan White</v>
      </c>
      <c r="F8236" s="3" t="str">
        <f>IFERROR(__xludf.DUMMYFUNCTION("""COMPUTED_VALUE"""),"ryan@eastsidefoodie.com")</f>
        <v>ryan@eastsidefoodie.com</v>
      </c>
      <c r="G8236" s="3">
        <f>IFERROR(__xludf.DUMMYFUNCTION("""COMPUTED_VALUE"""),6.47294984E9)</f>
        <v>6472949840</v>
      </c>
      <c r="H8236" s="3"/>
    </row>
    <row r="8237">
      <c r="A8237" s="2">
        <f>IFERROR(__xludf.DUMMYFUNCTION("""COMPUTED_VALUE"""),30072.0)</f>
        <v>30072</v>
      </c>
      <c r="B8237" s="3" t="str">
        <f>IFERROR(__xludf.DUMMYFUNCTION("""COMPUTED_VALUE"""),"360 BROOMFIELD RD ")</f>
        <v>360 BROOMFIELD RD </v>
      </c>
      <c r="C8237" s="3" t="str">
        <f>IFERROR(__xludf.DUMMYFUNCTION("""COMPUTED_VALUE"""),"GRAFTON")</f>
        <v>GRAFTON</v>
      </c>
      <c r="D8237" s="3" t="str">
        <f>IFERROR(__xludf.DUMMYFUNCTION("""COMPUTED_VALUE"""),"K0K 2G0")</f>
        <v>K0K 2G0</v>
      </c>
      <c r="E8237" s="3" t="str">
        <f>IFERROR(__xludf.DUMMYFUNCTION("""COMPUTED_VALUE"""),"Brian Broomfield")</f>
        <v>Brian Broomfield</v>
      </c>
      <c r="F8237" s="3" t="str">
        <f>IFERROR(__xludf.DUMMYFUNCTION("""COMPUTED_VALUE"""),"brianbroomfield70@gmail.com")</f>
        <v>brianbroomfield70@gmail.com</v>
      </c>
      <c r="G8237" s="3">
        <f>IFERROR(__xludf.DUMMYFUNCTION("""COMPUTED_VALUE"""),9.052697014E9)</f>
        <v>9052697014</v>
      </c>
      <c r="H8237" s="3"/>
    </row>
    <row r="8238">
      <c r="A8238" s="2">
        <f>IFERROR(__xludf.DUMMYFUNCTION("""COMPUTED_VALUE"""),30073.0)</f>
        <v>30073</v>
      </c>
      <c r="B8238" s="3" t="str">
        <f>IFERROR(__xludf.DUMMYFUNCTION("""COMPUTED_VALUE"""),"372 BROOMFIELD RD ")</f>
        <v>372 BROOMFIELD RD </v>
      </c>
      <c r="C8238" s="3" t="str">
        <f>IFERROR(__xludf.DUMMYFUNCTION("""COMPUTED_VALUE"""),"GRAFTON")</f>
        <v>GRAFTON</v>
      </c>
      <c r="D8238" s="3" t="str">
        <f>IFERROR(__xludf.DUMMYFUNCTION("""COMPUTED_VALUE"""),"K0K 2G0")</f>
        <v>K0K 2G0</v>
      </c>
      <c r="E8238" s="3" t="str">
        <f>IFERROR(__xludf.DUMMYFUNCTION("""COMPUTED_VALUE"""),"Flloyd McCoy")</f>
        <v>Flloyd McCoy</v>
      </c>
      <c r="F8238" s="3" t="str">
        <f>IFERROR(__xludf.DUMMYFUNCTION("""COMPUTED_VALUE"""),"flloyd@arrowfuels.ca")</f>
        <v>flloyd@arrowfuels.ca</v>
      </c>
      <c r="G8238" s="3"/>
      <c r="H8238" s="3"/>
    </row>
    <row r="8239">
      <c r="A8239" s="2">
        <f>IFERROR(__xludf.DUMMYFUNCTION("""COMPUTED_VALUE"""),30074.0)</f>
        <v>30074</v>
      </c>
      <c r="B8239" s="3" t="str">
        <f>IFERROR(__xludf.DUMMYFUNCTION("""COMPUTED_VALUE"""),"466 BROOMFIELD RD ")</f>
        <v>466 BROOMFIELD RD </v>
      </c>
      <c r="C8239" s="3" t="str">
        <f>IFERROR(__xludf.DUMMYFUNCTION("""COMPUTED_VALUE"""),"GRAFTON")</f>
        <v>GRAFTON</v>
      </c>
      <c r="D8239" s="3" t="str">
        <f>IFERROR(__xludf.DUMMYFUNCTION("""COMPUTED_VALUE"""),"K0K 2G0")</f>
        <v>K0K 2G0</v>
      </c>
      <c r="E8239" s="3"/>
      <c r="F8239" s="3"/>
      <c r="G8239" s="3"/>
      <c r="H8239" s="3"/>
    </row>
    <row r="8240">
      <c r="A8240" s="2">
        <f>IFERROR(__xludf.DUMMYFUNCTION("""COMPUTED_VALUE"""),30075.0)</f>
        <v>30075</v>
      </c>
      <c r="B8240" s="3" t="str">
        <f>IFERROR(__xludf.DUMMYFUNCTION("""COMPUTED_VALUE"""),"467 BROOMFIELD RD ")</f>
        <v>467 BROOMFIELD RD </v>
      </c>
      <c r="C8240" s="3" t="str">
        <f>IFERROR(__xludf.DUMMYFUNCTION("""COMPUTED_VALUE"""),"GRAFTON")</f>
        <v>GRAFTON</v>
      </c>
      <c r="D8240" s="3" t="str">
        <f>IFERROR(__xludf.DUMMYFUNCTION("""COMPUTED_VALUE"""),"K0K 2G0")</f>
        <v>K0K 2G0</v>
      </c>
      <c r="E8240" s="3" t="str">
        <f>IFERROR(__xludf.DUMMYFUNCTION("""COMPUTED_VALUE"""),"Suzan Williams")</f>
        <v>Suzan Williams</v>
      </c>
      <c r="F8240" s="3" t="str">
        <f>IFERROR(__xludf.DUMMYFUNCTION("""COMPUTED_VALUE"""),"wilsou@rogers.com")</f>
        <v>wilsou@rogers.com</v>
      </c>
      <c r="G8240" s="3">
        <f>IFERROR(__xludf.DUMMYFUNCTION("""COMPUTED_VALUE"""),4.167975398E9)</f>
        <v>4167975398</v>
      </c>
      <c r="H8240" s="3"/>
    </row>
    <row r="8241">
      <c r="A8241" s="2">
        <f>IFERROR(__xludf.DUMMYFUNCTION("""COMPUTED_VALUE"""),30076.0)</f>
        <v>30076</v>
      </c>
      <c r="B8241" s="3" t="str">
        <f>IFERROR(__xludf.DUMMYFUNCTION("""COMPUTED_VALUE"""),"504 BROOMFIELD RD ")</f>
        <v>504 BROOMFIELD RD </v>
      </c>
      <c r="C8241" s="3" t="str">
        <f>IFERROR(__xludf.DUMMYFUNCTION("""COMPUTED_VALUE"""),"GRAFTON")</f>
        <v>GRAFTON</v>
      </c>
      <c r="D8241" s="3" t="str">
        <f>IFERROR(__xludf.DUMMYFUNCTION("""COMPUTED_VALUE"""),"K0K 2G0")</f>
        <v>K0K 2G0</v>
      </c>
      <c r="E8241" s="3" t="str">
        <f>IFERROR(__xludf.DUMMYFUNCTION("""COMPUTED_VALUE"""),"MATT CHUTE")</f>
        <v>MATT CHUTE</v>
      </c>
      <c r="F8241" s="3" t="str">
        <f>IFERROR(__xludf.DUMMYFUNCTION("""COMPUTED_VALUE"""),"matt.chute@hotmail.com")</f>
        <v>matt.chute@hotmail.com</v>
      </c>
      <c r="G8241" s="3"/>
      <c r="H8241" s="3"/>
    </row>
    <row r="8242">
      <c r="A8242" s="2">
        <f>IFERROR(__xludf.DUMMYFUNCTION("""COMPUTED_VALUE"""),30077.0)</f>
        <v>30077</v>
      </c>
      <c r="B8242" s="3" t="str">
        <f>IFERROR(__xludf.DUMMYFUNCTION("""COMPUTED_VALUE"""),"538 BROOMFIELD RD ")</f>
        <v>538 BROOMFIELD RD </v>
      </c>
      <c r="C8242" s="3" t="str">
        <f>IFERROR(__xludf.DUMMYFUNCTION("""COMPUTED_VALUE"""),"GRAFTON")</f>
        <v>GRAFTON</v>
      </c>
      <c r="D8242" s="3" t="str">
        <f>IFERROR(__xludf.DUMMYFUNCTION("""COMPUTED_VALUE"""),"K0K 2G0")</f>
        <v>K0K 2G0</v>
      </c>
      <c r="E8242" s="3" t="str">
        <f>IFERROR(__xludf.DUMMYFUNCTION("""COMPUTED_VALUE"""),"Paul A Lorimer")</f>
        <v>Paul A Lorimer</v>
      </c>
      <c r="F8242" s="3" t="str">
        <f>IFERROR(__xludf.DUMMYFUNCTION("""COMPUTED_VALUE"""),"remirol@duck.com")</f>
        <v>remirol@duck.com</v>
      </c>
      <c r="G8242" s="3">
        <f>IFERROR(__xludf.DUMMYFUNCTION("""COMPUTED_VALUE"""),9.053732728E9)</f>
        <v>9053732728</v>
      </c>
      <c r="H8242" s="3"/>
    </row>
    <row r="8243">
      <c r="A8243" s="2">
        <f>IFERROR(__xludf.DUMMYFUNCTION("""COMPUTED_VALUE"""),30078.0)</f>
        <v>30078</v>
      </c>
      <c r="B8243" s="3" t="str">
        <f>IFERROR(__xludf.DUMMYFUNCTION("""COMPUTED_VALUE"""),"589 BROOMFIELD RD ")</f>
        <v>589 BROOMFIELD RD </v>
      </c>
      <c r="C8243" s="3" t="str">
        <f>IFERROR(__xludf.DUMMYFUNCTION("""COMPUTED_VALUE"""),"GRAFTON")</f>
        <v>GRAFTON</v>
      </c>
      <c r="D8243" s="3" t="str">
        <f>IFERROR(__xludf.DUMMYFUNCTION("""COMPUTED_VALUE"""),"K0K 2G0")</f>
        <v>K0K 2G0</v>
      </c>
      <c r="E8243" s="3" t="str">
        <f>IFERROR(__xludf.DUMMYFUNCTION("""COMPUTED_VALUE"""),"Justin Norris")</f>
        <v>Justin Norris</v>
      </c>
      <c r="F8243" s="3" t="str">
        <f>IFERROR(__xludf.DUMMYFUNCTION("""COMPUTED_VALUE"""),"justinmnorris@gmail.com")</f>
        <v>justinmnorris@gmail.com</v>
      </c>
      <c r="G8243" s="3">
        <f>IFERROR(__xludf.DUMMYFUNCTION("""COMPUTED_VALUE"""),6.47530688E9)</f>
        <v>6475306880</v>
      </c>
      <c r="H8243" s="3"/>
    </row>
    <row r="8244">
      <c r="A8244" s="2">
        <f>IFERROR(__xludf.DUMMYFUNCTION("""COMPUTED_VALUE"""),30079.0)</f>
        <v>30079</v>
      </c>
      <c r="B8244" s="3" t="str">
        <f>IFERROR(__xludf.DUMMYFUNCTION("""COMPUTED_VALUE"""),"622 BROOMFIELD RD ")</f>
        <v>622 BROOMFIELD RD </v>
      </c>
      <c r="C8244" s="3" t="str">
        <f>IFERROR(__xludf.DUMMYFUNCTION("""COMPUTED_VALUE"""),"GRAFTON")</f>
        <v>GRAFTON</v>
      </c>
      <c r="D8244" s="3" t="str">
        <f>IFERROR(__xludf.DUMMYFUNCTION("""COMPUTED_VALUE"""),"K0K 2G0")</f>
        <v>K0K 2G0</v>
      </c>
      <c r="E8244" s="3" t="str">
        <f>IFERROR(__xludf.DUMMYFUNCTION("""COMPUTED_VALUE"""),"Ian &amp; Linda Watkins")</f>
        <v>Ian &amp; Linda Watkins</v>
      </c>
      <c r="F8244" s="3" t="str">
        <f>IFERROR(__xludf.DUMMYFUNCTION("""COMPUTED_VALUE"""),"ilw@live.ca")</f>
        <v>ilw@live.ca</v>
      </c>
      <c r="G8244" s="3">
        <f>IFERROR(__xludf.DUMMYFUNCTION("""COMPUTED_VALUE"""),9.053493045E9)</f>
        <v>9053493045</v>
      </c>
      <c r="H8244" s="3"/>
    </row>
    <row r="8245">
      <c r="A8245" s="2">
        <f>IFERROR(__xludf.DUMMYFUNCTION("""COMPUTED_VALUE"""),30080.0)</f>
        <v>30080</v>
      </c>
      <c r="B8245" s="3" t="str">
        <f>IFERROR(__xludf.DUMMYFUNCTION("""COMPUTED_VALUE"""),"639 BROOMFIELD RD ")</f>
        <v>639 BROOMFIELD RD </v>
      </c>
      <c r="C8245" s="3" t="str">
        <f>IFERROR(__xludf.DUMMYFUNCTION("""COMPUTED_VALUE"""),"GRAFTON")</f>
        <v>GRAFTON</v>
      </c>
      <c r="D8245" s="3" t="str">
        <f>IFERROR(__xludf.DUMMYFUNCTION("""COMPUTED_VALUE"""),"K0K 2G0")</f>
        <v>K0K 2G0</v>
      </c>
      <c r="E8245" s="3" t="str">
        <f>IFERROR(__xludf.DUMMYFUNCTION("""COMPUTED_VALUE"""),"JASON CELSIE")</f>
        <v>JASON CELSIE</v>
      </c>
      <c r="F8245" s="3" t="str">
        <f>IFERROR(__xludf.DUMMYFUNCTION("""COMPUTED_VALUE"""),"jcelsie@lakeland-multitrade.com")</f>
        <v>jcelsie@lakeland-multitrade.com</v>
      </c>
      <c r="G8245" s="3"/>
      <c r="H8245" s="3"/>
    </row>
    <row r="8246">
      <c r="A8246" s="2">
        <f>IFERROR(__xludf.DUMMYFUNCTION("""COMPUTED_VALUE"""),30081.0)</f>
        <v>30081</v>
      </c>
      <c r="B8246" s="3" t="str">
        <f>IFERROR(__xludf.DUMMYFUNCTION("""COMPUTED_VALUE"""),"655 BROOMFIELD RD ")</f>
        <v>655 BROOMFIELD RD </v>
      </c>
      <c r="C8246" s="3" t="str">
        <f>IFERROR(__xludf.DUMMYFUNCTION("""COMPUTED_VALUE"""),"GRAFTON")</f>
        <v>GRAFTON</v>
      </c>
      <c r="D8246" s="3" t="str">
        <f>IFERROR(__xludf.DUMMYFUNCTION("""COMPUTED_VALUE"""),"K0K 2G0")</f>
        <v>K0K 2G0</v>
      </c>
      <c r="E8246" s="3"/>
      <c r="F8246" s="3"/>
      <c r="G8246" s="3"/>
      <c r="H8246" s="3"/>
    </row>
    <row r="8247">
      <c r="A8247" s="2">
        <f>IFERROR(__xludf.DUMMYFUNCTION("""COMPUTED_VALUE"""),30082.0)</f>
        <v>30082</v>
      </c>
      <c r="B8247" s="3" t="str">
        <f>IFERROR(__xludf.DUMMYFUNCTION("""COMPUTED_VALUE"""),"662 BROOMFIELD RD ")</f>
        <v>662 BROOMFIELD RD </v>
      </c>
      <c r="C8247" s="3" t="str">
        <f>IFERROR(__xludf.DUMMYFUNCTION("""COMPUTED_VALUE"""),"GRAFTON")</f>
        <v>GRAFTON</v>
      </c>
      <c r="D8247" s="3" t="str">
        <f>IFERROR(__xludf.DUMMYFUNCTION("""COMPUTED_VALUE"""),"K0K 2G0")</f>
        <v>K0K 2G0</v>
      </c>
      <c r="E8247" s="3" t="str">
        <f>IFERROR(__xludf.DUMMYFUNCTION("""COMPUTED_VALUE"""),"Virginia Maclean/Roger Nainby")</f>
        <v>Virginia Maclean/Roger Nainby</v>
      </c>
      <c r="F8247" s="3" t="str">
        <f>IFERROR(__xludf.DUMMYFUNCTION("""COMPUTED_VALUE"""),"danb16@sympatico.ca")</f>
        <v>danb16@sympatico.ca</v>
      </c>
      <c r="G8247" s="3">
        <f>IFERROR(__xludf.DUMMYFUNCTION("""COMPUTED_VALUE"""),4.165709975E9)</f>
        <v>4165709975</v>
      </c>
      <c r="H8247" s="3"/>
    </row>
    <row r="8248">
      <c r="A8248" s="2">
        <f>IFERROR(__xludf.DUMMYFUNCTION("""COMPUTED_VALUE"""),30083.0)</f>
        <v>30083</v>
      </c>
      <c r="B8248" s="3" t="str">
        <f>IFERROR(__xludf.DUMMYFUNCTION("""COMPUTED_VALUE"""),"666 BROOMFIELD RD ")</f>
        <v>666 BROOMFIELD RD </v>
      </c>
      <c r="C8248" s="3" t="str">
        <f>IFERROR(__xludf.DUMMYFUNCTION("""COMPUTED_VALUE"""),"GRAFTON")</f>
        <v>GRAFTON</v>
      </c>
      <c r="D8248" s="3" t="str">
        <f>IFERROR(__xludf.DUMMYFUNCTION("""COMPUTED_VALUE"""),"K0K 2G0")</f>
        <v>K0K 2G0</v>
      </c>
      <c r="E8248" s="3" t="str">
        <f>IFERROR(__xludf.DUMMYFUNCTION("""COMPUTED_VALUE"""),"Harry Visser")</f>
        <v>Harry Visser</v>
      </c>
      <c r="F8248" s="3" t="str">
        <f>IFERROR(__xludf.DUMMYFUNCTION("""COMPUTED_VALUE"""),"harry@eagle.ca ")</f>
        <v>harry@eagle.ca </v>
      </c>
      <c r="G8248" s="3"/>
      <c r="H8248" s="3"/>
    </row>
    <row r="8249">
      <c r="A8249" s="2">
        <f>IFERROR(__xludf.DUMMYFUNCTION("""COMPUTED_VALUE"""),30084.0)</f>
        <v>30084</v>
      </c>
      <c r="B8249" s="3" t="str">
        <f>IFERROR(__xludf.DUMMYFUNCTION("""COMPUTED_VALUE"""),"667 BROOMFIELD RD ")</f>
        <v>667 BROOMFIELD RD </v>
      </c>
      <c r="C8249" s="3" t="str">
        <f>IFERROR(__xludf.DUMMYFUNCTION("""COMPUTED_VALUE"""),"GRAFTON")</f>
        <v>GRAFTON</v>
      </c>
      <c r="D8249" s="3" t="str">
        <f>IFERROR(__xludf.DUMMYFUNCTION("""COMPUTED_VALUE"""),"K0K 2G0")</f>
        <v>K0K 2G0</v>
      </c>
      <c r="E8249" s="3" t="str">
        <f>IFERROR(__xludf.DUMMYFUNCTION("""COMPUTED_VALUE"""),"Peter Vickery")</f>
        <v>Peter Vickery</v>
      </c>
      <c r="F8249" s="3" t="str">
        <f>IFERROR(__xludf.DUMMYFUNCTION("""COMPUTED_VALUE"""),"peter1@pwvickeryltd.com")</f>
        <v>peter1@pwvickeryltd.com</v>
      </c>
      <c r="G8249" s="3"/>
      <c r="H8249" s="3"/>
    </row>
    <row r="8250">
      <c r="A8250" s="2">
        <f>IFERROR(__xludf.DUMMYFUNCTION("""COMPUTED_VALUE"""),30085.0)</f>
        <v>30085</v>
      </c>
      <c r="B8250" s="3" t="str">
        <f>IFERROR(__xludf.DUMMYFUNCTION("""COMPUTED_VALUE"""),"689 BROOMFIELD RD ")</f>
        <v>689 BROOMFIELD RD </v>
      </c>
      <c r="C8250" s="3" t="str">
        <f>IFERROR(__xludf.DUMMYFUNCTION("""COMPUTED_VALUE"""),"GRAFTON")</f>
        <v>GRAFTON</v>
      </c>
      <c r="D8250" s="3" t="str">
        <f>IFERROR(__xludf.DUMMYFUNCTION("""COMPUTED_VALUE"""),"K0K 2G0")</f>
        <v>K0K 2G0</v>
      </c>
      <c r="E8250" s="3" t="str">
        <f>IFERROR(__xludf.DUMMYFUNCTION("""COMPUTED_VALUE"""),"David Vicory")</f>
        <v>David Vicory</v>
      </c>
      <c r="F8250" s="3" t="str">
        <f>IFERROR(__xludf.DUMMYFUNCTION("""COMPUTED_VALUE"""),"dpm.vickery@gmail.com")</f>
        <v>dpm.vickery@gmail.com</v>
      </c>
      <c r="G8250" s="3"/>
      <c r="H8250" s="3"/>
    </row>
    <row r="8251">
      <c r="A8251" s="2">
        <f>IFERROR(__xludf.DUMMYFUNCTION("""COMPUTED_VALUE"""),30086.0)</f>
        <v>30086</v>
      </c>
      <c r="B8251" s="3" t="str">
        <f>IFERROR(__xludf.DUMMYFUNCTION("""COMPUTED_VALUE"""),"690 BROOMFIELD RD ")</f>
        <v>690 BROOMFIELD RD </v>
      </c>
      <c r="C8251" s="3" t="str">
        <f>IFERROR(__xludf.DUMMYFUNCTION("""COMPUTED_VALUE"""),"GRAFTON")</f>
        <v>GRAFTON</v>
      </c>
      <c r="D8251" s="3" t="str">
        <f>IFERROR(__xludf.DUMMYFUNCTION("""COMPUTED_VALUE"""),"K0K 2G0")</f>
        <v>K0K 2G0</v>
      </c>
      <c r="E8251" s="3" t="str">
        <f>IFERROR(__xludf.DUMMYFUNCTION("""COMPUTED_VALUE"""),"Kyle Tobin")</f>
        <v>Kyle Tobin</v>
      </c>
      <c r="F8251" s="3" t="str">
        <f>IFERROR(__xludf.DUMMYFUNCTION("""COMPUTED_VALUE"""),"kylewtobin@gmail.com")</f>
        <v>kylewtobin@gmail.com</v>
      </c>
      <c r="G8251" s="3">
        <f>IFERROR(__xludf.DUMMYFUNCTION("""COMPUTED_VALUE"""),6.138856849E9)</f>
        <v>6138856849</v>
      </c>
      <c r="H8251" s="3"/>
    </row>
    <row r="8252">
      <c r="A8252" s="2">
        <f>IFERROR(__xludf.DUMMYFUNCTION("""COMPUTED_VALUE"""),30087.0)</f>
        <v>30087</v>
      </c>
      <c r="B8252" s="3" t="str">
        <f>IFERROR(__xludf.DUMMYFUNCTION("""COMPUTED_VALUE"""),"707 BROOMFIELD RD ")</f>
        <v>707 BROOMFIELD RD </v>
      </c>
      <c r="C8252" s="3" t="str">
        <f>IFERROR(__xludf.DUMMYFUNCTION("""COMPUTED_VALUE"""),"GRAFTON")</f>
        <v>GRAFTON</v>
      </c>
      <c r="D8252" s="3" t="str">
        <f>IFERROR(__xludf.DUMMYFUNCTION("""COMPUTED_VALUE"""),"K0K 2G0")</f>
        <v>K0K 2G0</v>
      </c>
      <c r="E8252" s="3" t="str">
        <f>IFERROR(__xludf.DUMMYFUNCTION("""COMPUTED_VALUE"""),"Debbie and Joel Hoselton")</f>
        <v>Debbie and Joel Hoselton</v>
      </c>
      <c r="F8252" s="3" t="str">
        <f>IFERROR(__xludf.DUMMYFUNCTION("""COMPUTED_VALUE"""),"djhoselton@hotmail.com")</f>
        <v>djhoselton@hotmail.com</v>
      </c>
      <c r="G8252" s="3">
        <f>IFERROR(__xludf.DUMMYFUNCTION("""COMPUTED_VALUE"""),9.053492584E9)</f>
        <v>9053492584</v>
      </c>
      <c r="H8252" s="3">
        <f>IFERROR(__xludf.DUMMYFUNCTION("""COMPUTED_VALUE"""),9.053964809E9)</f>
        <v>9053964809</v>
      </c>
    </row>
    <row r="8253">
      <c r="A8253" s="2">
        <f>IFERROR(__xludf.DUMMYFUNCTION("""COMPUTED_VALUE"""),30088.0)</f>
        <v>30088</v>
      </c>
      <c r="B8253" s="3" t="str">
        <f>IFERROR(__xludf.DUMMYFUNCTION("""COMPUTED_VALUE"""),"812 BROOMFIELD RD ")</f>
        <v>812 BROOMFIELD RD </v>
      </c>
      <c r="C8253" s="3" t="str">
        <f>IFERROR(__xludf.DUMMYFUNCTION("""COMPUTED_VALUE"""),"CASTLETON")</f>
        <v>CASTLETON</v>
      </c>
      <c r="D8253" s="3" t="str">
        <f>IFERROR(__xludf.DUMMYFUNCTION("""COMPUTED_VALUE"""),"K0K 1M0")</f>
        <v>K0K 1M0</v>
      </c>
      <c r="E8253" s="3"/>
      <c r="F8253" s="3"/>
      <c r="G8253" s="3"/>
      <c r="H8253" s="3"/>
    </row>
    <row r="8254">
      <c r="A8254" s="2">
        <f>IFERROR(__xludf.DUMMYFUNCTION("""COMPUTED_VALUE"""),30090.0)</f>
        <v>30090</v>
      </c>
      <c r="B8254" s="3" t="str">
        <f>IFERROR(__xludf.DUMMYFUNCTION("""COMPUTED_VALUE"""),"873 BROOMFIELD RD ")</f>
        <v>873 BROOMFIELD RD </v>
      </c>
      <c r="C8254" s="3" t="str">
        <f>IFERROR(__xludf.DUMMYFUNCTION("""COMPUTED_VALUE"""),"CASTLETON")</f>
        <v>CASTLETON</v>
      </c>
      <c r="D8254" s="3" t="str">
        <f>IFERROR(__xludf.DUMMYFUNCTION("""COMPUTED_VALUE"""),"K0K 1M0")</f>
        <v>K0K 1M0</v>
      </c>
      <c r="E8254" s="3" t="str">
        <f>IFERROR(__xludf.DUMMYFUNCTION("""COMPUTED_VALUE"""),"Bill Ferguson")</f>
        <v>Bill Ferguson</v>
      </c>
      <c r="F8254" s="3" t="str">
        <f>IFERROR(__xludf.DUMMYFUNCTION("""COMPUTED_VALUE"""),"billferguson1a@gmail.com")</f>
        <v>billferguson1a@gmail.com</v>
      </c>
      <c r="G8254" s="3">
        <f>IFERROR(__xludf.DUMMYFUNCTION("""COMPUTED_VALUE"""),9.05243367E9)</f>
        <v>9052433670</v>
      </c>
      <c r="H8254" s="3"/>
    </row>
    <row r="8255">
      <c r="A8255" s="2">
        <f>IFERROR(__xludf.DUMMYFUNCTION("""COMPUTED_VALUE"""),30091.0)</f>
        <v>30091</v>
      </c>
      <c r="B8255" s="3" t="str">
        <f>IFERROR(__xludf.DUMMYFUNCTION("""COMPUTED_VALUE"""),"946 BROOMFIELD RD ")</f>
        <v>946 BROOMFIELD RD </v>
      </c>
      <c r="C8255" s="3" t="str">
        <f>IFERROR(__xludf.DUMMYFUNCTION("""COMPUTED_VALUE"""),"CASTLETON")</f>
        <v>CASTLETON</v>
      </c>
      <c r="D8255" s="3" t="str">
        <f>IFERROR(__xludf.DUMMYFUNCTION("""COMPUTED_VALUE"""),"K0K 1M0")</f>
        <v>K0K 1M0</v>
      </c>
      <c r="E8255" s="3" t="str">
        <f>IFERROR(__xludf.DUMMYFUNCTION("""COMPUTED_VALUE"""),"John Whittern")</f>
        <v>John Whittern</v>
      </c>
      <c r="F8255" s="3" t="str">
        <f>IFERROR(__xludf.DUMMYFUNCTION("""COMPUTED_VALUE"""),"johnsaw946@hotmail.com")</f>
        <v>johnsaw946@hotmail.com</v>
      </c>
      <c r="G8255" s="3"/>
      <c r="H8255" s="3"/>
    </row>
    <row r="8256">
      <c r="A8256" s="2">
        <f>IFERROR(__xludf.DUMMYFUNCTION("""COMPUTED_VALUE"""),30092.0)</f>
        <v>30092</v>
      </c>
      <c r="B8256" s="3" t="str">
        <f>IFERROR(__xludf.DUMMYFUNCTION("""COMPUTED_VALUE"""),"1004 BROOMFIELD RD ")</f>
        <v>1004 BROOMFIELD RD </v>
      </c>
      <c r="C8256" s="3" t="str">
        <f>IFERROR(__xludf.DUMMYFUNCTION("""COMPUTED_VALUE"""),"CASTLETON")</f>
        <v>CASTLETON</v>
      </c>
      <c r="D8256" s="3" t="str">
        <f>IFERROR(__xludf.DUMMYFUNCTION("""COMPUTED_VALUE"""),"K0K 1M0")</f>
        <v>K0K 1M0</v>
      </c>
      <c r="E8256" s="3" t="str">
        <f>IFERROR(__xludf.DUMMYFUNCTION("""COMPUTED_VALUE"""),"Kerri Macfarlane")</f>
        <v>Kerri Macfarlane</v>
      </c>
      <c r="F8256" s="3"/>
      <c r="G8256" s="3"/>
      <c r="H8256" s="3"/>
    </row>
    <row r="8257">
      <c r="A8257" s="2">
        <f>IFERROR(__xludf.DUMMYFUNCTION("""COMPUTED_VALUE"""),30093.0)</f>
        <v>30093</v>
      </c>
      <c r="B8257" s="3" t="str">
        <f>IFERROR(__xludf.DUMMYFUNCTION("""COMPUTED_VALUE"""),"1007 BROOMFIELD RD ")</f>
        <v>1007 BROOMFIELD RD </v>
      </c>
      <c r="C8257" s="3" t="str">
        <f>IFERROR(__xludf.DUMMYFUNCTION("""COMPUTED_VALUE"""),"CASTLETON")</f>
        <v>CASTLETON</v>
      </c>
      <c r="D8257" s="3" t="str">
        <f>IFERROR(__xludf.DUMMYFUNCTION("""COMPUTED_VALUE"""),"K0K 1M0")</f>
        <v>K0K 1M0</v>
      </c>
      <c r="E8257" s="3" t="str">
        <f>IFERROR(__xludf.DUMMYFUNCTION("""COMPUTED_VALUE"""),"Sandra Kowalchuk")</f>
        <v>Sandra Kowalchuk</v>
      </c>
      <c r="F8257" s="3" t="str">
        <f>IFERROR(__xludf.DUMMYFUNCTION("""COMPUTED_VALUE"""),"sandra.kowalchukl@gmail.com")</f>
        <v>sandra.kowalchukl@gmail.com</v>
      </c>
      <c r="G8257" s="3"/>
      <c r="H8257" s="3"/>
    </row>
    <row r="8258">
      <c r="A8258" s="2">
        <f>IFERROR(__xludf.DUMMYFUNCTION("""COMPUTED_VALUE"""),30094.0)</f>
        <v>30094</v>
      </c>
      <c r="B8258" s="3" t="str">
        <f>IFERROR(__xludf.DUMMYFUNCTION("""COMPUTED_VALUE"""),"1027 BROOMFIELD RD ")</f>
        <v>1027 BROOMFIELD RD </v>
      </c>
      <c r="C8258" s="3" t="str">
        <f>IFERROR(__xludf.DUMMYFUNCTION("""COMPUTED_VALUE"""),"CASTLETON")</f>
        <v>CASTLETON</v>
      </c>
      <c r="D8258" s="3" t="str">
        <f>IFERROR(__xludf.DUMMYFUNCTION("""COMPUTED_VALUE"""),"K0K 1M0")</f>
        <v>K0K 1M0</v>
      </c>
      <c r="E8258" s="3" t="str">
        <f>IFERROR(__xludf.DUMMYFUNCTION("""COMPUTED_VALUE"""),"Chantelle McNeil")</f>
        <v>Chantelle McNeil</v>
      </c>
      <c r="F8258" s="3" t="str">
        <f>IFERROR(__xludf.DUMMYFUNCTION("""COMPUTED_VALUE"""),"chantellegaudette@rogers.com")</f>
        <v>chantellegaudette@rogers.com</v>
      </c>
      <c r="G8258" s="3"/>
      <c r="H8258" s="3"/>
    </row>
    <row r="8259">
      <c r="A8259" s="2">
        <f>IFERROR(__xludf.DUMMYFUNCTION("""COMPUTED_VALUE"""),30095.0)</f>
        <v>30095</v>
      </c>
      <c r="B8259" s="3" t="str">
        <f>IFERROR(__xludf.DUMMYFUNCTION("""COMPUTED_VALUE"""),"1036 BROOMFIELD RD ")</f>
        <v>1036 BROOMFIELD RD </v>
      </c>
      <c r="C8259" s="3" t="str">
        <f>IFERROR(__xludf.DUMMYFUNCTION("""COMPUTED_VALUE"""),"CASTLETON")</f>
        <v>CASTLETON</v>
      </c>
      <c r="D8259" s="3" t="str">
        <f>IFERROR(__xludf.DUMMYFUNCTION("""COMPUTED_VALUE"""),"K0K 1M0")</f>
        <v>K0K 1M0</v>
      </c>
      <c r="E8259" s="3" t="str">
        <f>IFERROR(__xludf.DUMMYFUNCTION("""COMPUTED_VALUE"""),"Elizabeth Hanson")</f>
        <v>Elizabeth Hanson</v>
      </c>
      <c r="F8259" s="3" t="str">
        <f>IFERROR(__xludf.DUMMYFUNCTION("""COMPUTED_VALUE"""),"N/A")</f>
        <v>N/A</v>
      </c>
      <c r="G8259" s="3">
        <f>IFERROR(__xludf.DUMMYFUNCTION("""COMPUTED_VALUE"""),9.052697442E9)</f>
        <v>9052697442</v>
      </c>
      <c r="H8259" s="3"/>
    </row>
    <row r="8260">
      <c r="A8260" s="2">
        <f>IFERROR(__xludf.DUMMYFUNCTION("""COMPUTED_VALUE"""),30096.0)</f>
        <v>30096</v>
      </c>
      <c r="B8260" s="3" t="str">
        <f>IFERROR(__xludf.DUMMYFUNCTION("""COMPUTED_VALUE"""),"1066 BROOMFIELD RD ")</f>
        <v>1066 BROOMFIELD RD </v>
      </c>
      <c r="C8260" s="3" t="str">
        <f>IFERROR(__xludf.DUMMYFUNCTION("""COMPUTED_VALUE"""),"CASTLETON")</f>
        <v>CASTLETON</v>
      </c>
      <c r="D8260" s="3" t="str">
        <f>IFERROR(__xludf.DUMMYFUNCTION("""COMPUTED_VALUE"""),"K0K 1M0")</f>
        <v>K0K 1M0</v>
      </c>
      <c r="E8260" s="3" t="str">
        <f>IFERROR(__xludf.DUMMYFUNCTION("""COMPUTED_VALUE"""),"Ernest Walcount")</f>
        <v>Ernest Walcount</v>
      </c>
      <c r="F8260" s="3" t="str">
        <f>IFERROR(__xludf.DUMMYFUNCTION("""COMPUTED_VALUE"""),"N/A")</f>
        <v>N/A</v>
      </c>
      <c r="G8260" s="3">
        <f>IFERROR(__xludf.DUMMYFUNCTION("""COMPUTED_VALUE"""),9.053492839E9)</f>
        <v>9053492839</v>
      </c>
      <c r="H8260" s="3"/>
    </row>
    <row r="8261">
      <c r="A8261" s="2">
        <f>IFERROR(__xludf.DUMMYFUNCTION("""COMPUTED_VALUE"""),30097.0)</f>
        <v>30097</v>
      </c>
      <c r="B8261" s="3" t="str">
        <f>IFERROR(__xludf.DUMMYFUNCTION("""COMPUTED_VALUE"""),"1082 BROOMFIELD RD ")</f>
        <v>1082 BROOMFIELD RD </v>
      </c>
      <c r="C8261" s="3" t="str">
        <f>IFERROR(__xludf.DUMMYFUNCTION("""COMPUTED_VALUE"""),"CASTLETON")</f>
        <v>CASTLETON</v>
      </c>
      <c r="D8261" s="3" t="str">
        <f>IFERROR(__xludf.DUMMYFUNCTION("""COMPUTED_VALUE"""),"K0K 1M0")</f>
        <v>K0K 1M0</v>
      </c>
      <c r="E8261" s="3" t="str">
        <f>IFERROR(__xludf.DUMMYFUNCTION("""COMPUTED_VALUE"""),"Sabrina Carscadden")</f>
        <v>Sabrina Carscadden</v>
      </c>
      <c r="F8261" s="3" t="str">
        <f>IFERROR(__xludf.DUMMYFUNCTION("""COMPUTED_VALUE"""),"sabrina_carscadden@hotmail.com")</f>
        <v>sabrina_carscadden@hotmail.com</v>
      </c>
      <c r="G8261" s="3"/>
      <c r="H8261" s="3"/>
    </row>
    <row r="8262">
      <c r="A8262" s="2">
        <f>IFERROR(__xludf.DUMMYFUNCTION("""COMPUTED_VALUE"""),30098.0)</f>
        <v>30098</v>
      </c>
      <c r="B8262" s="3" t="str">
        <f>IFERROR(__xludf.DUMMYFUNCTION("""COMPUTED_VALUE"""),"1090 BROOMFIELD RD ")</f>
        <v>1090 BROOMFIELD RD </v>
      </c>
      <c r="C8262" s="3" t="str">
        <f>IFERROR(__xludf.DUMMYFUNCTION("""COMPUTED_VALUE"""),"CASTLETON")</f>
        <v>CASTLETON</v>
      </c>
      <c r="D8262" s="3" t="str">
        <f>IFERROR(__xludf.DUMMYFUNCTION("""COMPUTED_VALUE"""),"K0K 1M0")</f>
        <v>K0K 1M0</v>
      </c>
      <c r="E8262" s="3" t="str">
        <f>IFERROR(__xludf.DUMMYFUNCTION("""COMPUTED_VALUE"""),"Karen McNutty")</f>
        <v>Karen McNutty</v>
      </c>
      <c r="F8262" s="3" t="str">
        <f>IFERROR(__xludf.DUMMYFUNCTION("""COMPUTED_VALUE"""),"N/A")</f>
        <v>N/A</v>
      </c>
      <c r="G8262" s="3">
        <f>IFERROR(__xludf.DUMMYFUNCTION("""COMPUTED_VALUE"""),9.053762953E9)</f>
        <v>9053762953</v>
      </c>
      <c r="H8262" s="3"/>
    </row>
    <row r="8263">
      <c r="A8263" s="2">
        <f>IFERROR(__xludf.DUMMYFUNCTION("""COMPUTED_VALUE"""),30099.0)</f>
        <v>30099</v>
      </c>
      <c r="B8263" s="3" t="str">
        <f>IFERROR(__xludf.DUMMYFUNCTION("""COMPUTED_VALUE"""),"140 CAMPBELL RD")</f>
        <v>140 CAMPBELL RD</v>
      </c>
      <c r="C8263" s="3"/>
      <c r="D8263" s="3"/>
      <c r="E8263" s="3" t="str">
        <f>IFERROR(__xludf.DUMMYFUNCTION("""COMPUTED_VALUE"""),"Liz Carr")</f>
        <v>Liz Carr</v>
      </c>
      <c r="F8263" s="3"/>
      <c r="G8263" s="3"/>
      <c r="H8263" s="3"/>
    </row>
    <row r="8264">
      <c r="A8264" s="2">
        <f>IFERROR(__xludf.DUMMYFUNCTION("""COMPUTED_VALUE"""),30100.0)</f>
        <v>30100</v>
      </c>
      <c r="B8264" s="3" t="str">
        <f>IFERROR(__xludf.DUMMYFUNCTION("""COMPUTED_VALUE"""),"158 CAMPBELL RD")</f>
        <v>158 CAMPBELL RD</v>
      </c>
      <c r="C8264" s="3"/>
      <c r="D8264" s="3"/>
      <c r="E8264" s="3" t="str">
        <f>IFERROR(__xludf.DUMMYFUNCTION("""COMPUTED_VALUE"""),"Arlene Carr")</f>
        <v>Arlene Carr</v>
      </c>
      <c r="F8264" s="3" t="str">
        <f>IFERROR(__xludf.DUMMYFUNCTION("""COMPUTED_VALUE"""),"arcarfie@gmail.com")</f>
        <v>arcarfie@gmail.com</v>
      </c>
      <c r="G8264" s="3"/>
      <c r="H8264" s="3"/>
    </row>
    <row r="8265">
      <c r="A8265" s="2">
        <f>IFERROR(__xludf.DUMMYFUNCTION("""COMPUTED_VALUE"""),30101.0)</f>
        <v>30101</v>
      </c>
      <c r="B8265" s="3" t="str">
        <f>IFERROR(__xludf.DUMMYFUNCTION("""COMPUTED_VALUE"""),"297 CAMPBELL RD")</f>
        <v>297 CAMPBELL RD</v>
      </c>
      <c r="C8265" s="3"/>
      <c r="D8265" s="3"/>
      <c r="E8265" s="3" t="str">
        <f>IFERROR(__xludf.DUMMYFUNCTION("""COMPUTED_VALUE"""),"Mike Kostiuk")</f>
        <v>Mike Kostiuk</v>
      </c>
      <c r="F8265" s="3"/>
      <c r="G8265" s="3"/>
      <c r="H8265" s="3"/>
    </row>
    <row r="8266">
      <c r="A8266" s="2">
        <f>IFERROR(__xludf.DUMMYFUNCTION("""COMPUTED_VALUE"""),30102.0)</f>
        <v>30102</v>
      </c>
      <c r="B8266" s="3" t="str">
        <f>IFERROR(__xludf.DUMMYFUNCTION("""COMPUTED_VALUE"""),"324 CAMPBELL RD")</f>
        <v>324 CAMPBELL RD</v>
      </c>
      <c r="C8266" s="3"/>
      <c r="D8266" s="3"/>
      <c r="E8266" s="3"/>
      <c r="F8266" s="3"/>
      <c r="G8266" s="3"/>
      <c r="H8266" s="3"/>
    </row>
    <row r="8267">
      <c r="A8267" s="2">
        <f>IFERROR(__xludf.DUMMYFUNCTION("""COMPUTED_VALUE"""),30103.0)</f>
        <v>30103</v>
      </c>
      <c r="B8267" s="3" t="str">
        <f>IFERROR(__xludf.DUMMYFUNCTION("""COMPUTED_VALUE"""),"336 CAMPBELL RD")</f>
        <v>336 CAMPBELL RD</v>
      </c>
      <c r="C8267" s="3"/>
      <c r="D8267" s="3"/>
      <c r="E8267" s="3" t="str">
        <f>IFERROR(__xludf.DUMMYFUNCTION("""COMPUTED_VALUE"""),"Carol Hatcher")</f>
        <v>Carol Hatcher</v>
      </c>
      <c r="F8267" s="3"/>
      <c r="G8267" s="3"/>
      <c r="H8267" s="3"/>
    </row>
    <row r="8268">
      <c r="A8268" s="2">
        <f>IFERROR(__xludf.DUMMYFUNCTION("""COMPUTED_VALUE"""),30104.0)</f>
        <v>30104</v>
      </c>
      <c r="B8268" s="3" t="str">
        <f>IFERROR(__xludf.DUMMYFUNCTION("""COMPUTED_VALUE"""),"507 CAMPBELL RD")</f>
        <v>507 CAMPBELL RD</v>
      </c>
      <c r="C8268" s="3"/>
      <c r="D8268" s="3"/>
      <c r="E8268" s="3" t="str">
        <f>IFERROR(__xludf.DUMMYFUNCTION("""COMPUTED_VALUE"""),"Sara Forsey")</f>
        <v>Sara Forsey</v>
      </c>
      <c r="F8268" s="3" t="str">
        <f>IFERROR(__xludf.DUMMYFUNCTION("""COMPUTED_VALUE"""),"sara_o24@hotmail.com")</f>
        <v>sara_o24@hotmail.com</v>
      </c>
      <c r="G8268" s="3"/>
      <c r="H8268" s="3"/>
    </row>
    <row r="8269">
      <c r="A8269" s="2">
        <f>IFERROR(__xludf.DUMMYFUNCTION("""COMPUTED_VALUE"""),30105.0)</f>
        <v>30105</v>
      </c>
      <c r="B8269" s="3" t="str">
        <f>IFERROR(__xludf.DUMMYFUNCTION("""COMPUTED_VALUE"""),"529 CAMPBELL RD")</f>
        <v>529 CAMPBELL RD</v>
      </c>
      <c r="C8269" s="3"/>
      <c r="D8269" s="3"/>
      <c r="E8269" s="3"/>
      <c r="F8269" s="3"/>
      <c r="G8269" s="3"/>
      <c r="H8269" s="3"/>
    </row>
    <row r="8270">
      <c r="A8270" s="2">
        <f>IFERROR(__xludf.DUMMYFUNCTION("""COMPUTED_VALUE"""),30106.0)</f>
        <v>30106</v>
      </c>
      <c r="B8270" s="3" t="str">
        <f>IFERROR(__xludf.DUMMYFUNCTION("""COMPUTED_VALUE"""),"592 CAMPBELL RD")</f>
        <v>592 CAMPBELL RD</v>
      </c>
      <c r="C8270" s="3"/>
      <c r="D8270" s="3"/>
      <c r="E8270" s="3"/>
      <c r="F8270" s="3"/>
      <c r="G8270" s="3"/>
      <c r="H8270" s="3"/>
    </row>
    <row r="8271">
      <c r="A8271" s="2">
        <f>IFERROR(__xludf.DUMMYFUNCTION("""COMPUTED_VALUE"""),30107.0)</f>
        <v>30107</v>
      </c>
      <c r="B8271" s="3" t="str">
        <f>IFERROR(__xludf.DUMMYFUNCTION("""COMPUTED_VALUE"""),"680 CAMPBELL RD")</f>
        <v>680 CAMPBELL RD</v>
      </c>
      <c r="C8271" s="3"/>
      <c r="D8271" s="3"/>
      <c r="E8271" s="3" t="str">
        <f>IFERROR(__xludf.DUMMYFUNCTION("""COMPUTED_VALUE"""),"Ashley Greenly")</f>
        <v>Ashley Greenly</v>
      </c>
      <c r="F8271" s="3" t="str">
        <f>IFERROR(__xludf.DUMMYFUNCTION("""COMPUTED_VALUE"""),"ashley.ireland@live.com")</f>
        <v>ashley.ireland@live.com</v>
      </c>
      <c r="G8271" s="3">
        <f>IFERROR(__xludf.DUMMYFUNCTION("""COMPUTED_VALUE"""),9.053753214E9)</f>
        <v>9053753214</v>
      </c>
      <c r="H8271" s="3"/>
    </row>
    <row r="8272">
      <c r="A8272" s="2">
        <f>IFERROR(__xludf.DUMMYFUNCTION("""COMPUTED_VALUE"""),30113.0)</f>
        <v>30113</v>
      </c>
      <c r="B8272" s="3" t="str">
        <f>IFERROR(__xludf.DUMMYFUNCTION("""COMPUTED_VALUE"""),"112 CARMEL RD ")</f>
        <v>112 CARMEL RD </v>
      </c>
      <c r="C8272" s="3" t="str">
        <f>IFERROR(__xludf.DUMMYFUNCTION("""COMPUTED_VALUE"""),"CASTLETON")</f>
        <v>CASTLETON</v>
      </c>
      <c r="D8272" s="3" t="str">
        <f>IFERROR(__xludf.DUMMYFUNCTION("""COMPUTED_VALUE"""),"K0K 1M0")</f>
        <v>K0K 1M0</v>
      </c>
      <c r="E8272" s="3" t="str">
        <f>IFERROR(__xludf.DUMMYFUNCTION("""COMPUTED_VALUE"""),"Sarah Harvey")</f>
        <v>Sarah Harvey</v>
      </c>
      <c r="F8272" s="3" t="str">
        <f>IFERROR(__xludf.DUMMYFUNCTION("""COMPUTED_VALUE"""),"sarahharvey_@hotmail.com")</f>
        <v>sarahharvey_@hotmail.com</v>
      </c>
      <c r="G8272" s="3"/>
      <c r="H8272" s="3"/>
    </row>
    <row r="8273">
      <c r="A8273" s="2">
        <f>IFERROR(__xludf.DUMMYFUNCTION("""COMPUTED_VALUE"""),30114.0)</f>
        <v>30114</v>
      </c>
      <c r="B8273" s="3" t="str">
        <f>IFERROR(__xludf.DUMMYFUNCTION("""COMPUTED_VALUE"""),"123 CARMEL RD ")</f>
        <v>123 CARMEL RD </v>
      </c>
      <c r="C8273" s="3" t="str">
        <f>IFERROR(__xludf.DUMMYFUNCTION("""COMPUTED_VALUE"""),"CASTLETON")</f>
        <v>CASTLETON</v>
      </c>
      <c r="D8273" s="3" t="str">
        <f>IFERROR(__xludf.DUMMYFUNCTION("""COMPUTED_VALUE"""),"K0K 1M0")</f>
        <v>K0K 1M0</v>
      </c>
      <c r="E8273" s="3" t="str">
        <f>IFERROR(__xludf.DUMMYFUNCTION("""COMPUTED_VALUE"""),"Alexander Graves")</f>
        <v>Alexander Graves</v>
      </c>
      <c r="F8273" s="3" t="str">
        <f>IFERROR(__xludf.DUMMYFUNCTION("""COMPUTED_VALUE"""),"gabby_wingerter@hotmail.com")</f>
        <v>gabby_wingerter@hotmail.com</v>
      </c>
      <c r="G8273" s="3">
        <f>IFERROR(__xludf.DUMMYFUNCTION("""COMPUTED_VALUE"""),4.169866208E9)</f>
        <v>4169866208</v>
      </c>
      <c r="H8273" s="3"/>
    </row>
    <row r="8274">
      <c r="A8274" s="2">
        <f>IFERROR(__xludf.DUMMYFUNCTION("""COMPUTED_VALUE"""),30115.0)</f>
        <v>30115</v>
      </c>
      <c r="B8274" s="3" t="str">
        <f>IFERROR(__xludf.DUMMYFUNCTION("""COMPUTED_VALUE"""),"166 CARMEL RD ")</f>
        <v>166 CARMEL RD </v>
      </c>
      <c r="C8274" s="3" t="str">
        <f>IFERROR(__xludf.DUMMYFUNCTION("""COMPUTED_VALUE"""),"CASTLETON")</f>
        <v>CASTLETON</v>
      </c>
      <c r="D8274" s="3" t="str">
        <f>IFERROR(__xludf.DUMMYFUNCTION("""COMPUTED_VALUE"""),"K0K 1M0")</f>
        <v>K0K 1M0</v>
      </c>
      <c r="E8274" s="3" t="str">
        <f>IFERROR(__xludf.DUMMYFUNCTION("""COMPUTED_VALUE"""),"Christine Vowles")</f>
        <v>Christine Vowles</v>
      </c>
      <c r="F8274" s="3" t="str">
        <f>IFERROR(__xludf.DUMMYFUNCTION("""COMPUTED_VALUE"""),"christinevowles@outlook.com")</f>
        <v>christinevowles@outlook.com</v>
      </c>
      <c r="G8274" s="3"/>
      <c r="H8274" s="3"/>
    </row>
    <row r="8275">
      <c r="A8275" s="2">
        <f>IFERROR(__xludf.DUMMYFUNCTION("""COMPUTED_VALUE"""),30116.0)</f>
        <v>30116</v>
      </c>
      <c r="B8275" s="3" t="str">
        <f>IFERROR(__xludf.DUMMYFUNCTION("""COMPUTED_VALUE"""),"211 CARMEL RD ")</f>
        <v>211 CARMEL RD </v>
      </c>
      <c r="C8275" s="3" t="str">
        <f>IFERROR(__xludf.DUMMYFUNCTION("""COMPUTED_VALUE"""),"CASTLETON")</f>
        <v>CASTLETON</v>
      </c>
      <c r="D8275" s="3" t="str">
        <f>IFERROR(__xludf.DUMMYFUNCTION("""COMPUTED_VALUE"""),"K0K 1M0")</f>
        <v>K0K 1M0</v>
      </c>
      <c r="E8275" s="3" t="str">
        <f>IFERROR(__xludf.DUMMYFUNCTION("""COMPUTED_VALUE"""),"Bob Steffler")</f>
        <v>Bob Steffler</v>
      </c>
      <c r="F8275" s="3" t="str">
        <f>IFERROR(__xludf.DUMMYFUNCTION("""COMPUTED_VALUE"""),"robertsteffler.rmt@gmail.com")</f>
        <v>robertsteffler.rmt@gmail.com</v>
      </c>
      <c r="G8275" s="3">
        <f>IFERROR(__xludf.DUMMYFUNCTION("""COMPUTED_VALUE"""),9.053493245E9)</f>
        <v>9053493245</v>
      </c>
      <c r="H8275" s="3"/>
    </row>
    <row r="8276">
      <c r="A8276" s="2">
        <f>IFERROR(__xludf.DUMMYFUNCTION("""COMPUTED_VALUE"""),30117.0)</f>
        <v>30117</v>
      </c>
      <c r="B8276" s="3" t="str">
        <f>IFERROR(__xludf.DUMMYFUNCTION("""COMPUTED_VALUE"""),"212 CARMEL RD ")</f>
        <v>212 CARMEL RD </v>
      </c>
      <c r="C8276" s="3" t="str">
        <f>IFERROR(__xludf.DUMMYFUNCTION("""COMPUTED_VALUE"""),"CASTLETON")</f>
        <v>CASTLETON</v>
      </c>
      <c r="D8276" s="3" t="str">
        <f>IFERROR(__xludf.DUMMYFUNCTION("""COMPUTED_VALUE"""),"K0K 1M0")</f>
        <v>K0K 1M0</v>
      </c>
      <c r="E8276" s="3" t="str">
        <f>IFERROR(__xludf.DUMMYFUNCTION("""COMPUTED_VALUE"""),"Jennifer Jackman")</f>
        <v>Jennifer Jackman</v>
      </c>
      <c r="F8276" s="3" t="str">
        <f>IFERROR(__xludf.DUMMYFUNCTION("""COMPUTED_VALUE"""),"jackmanj222@gmail.com")</f>
        <v>jackmanj222@gmail.com</v>
      </c>
      <c r="G8276" s="3">
        <f>IFERROR(__xludf.DUMMYFUNCTION("""COMPUTED_VALUE"""),9.05373653E9)</f>
        <v>9053736530</v>
      </c>
      <c r="H8276" s="3">
        <f>IFERROR(__xludf.DUMMYFUNCTION("""COMPUTED_VALUE"""),9.053493067E9)</f>
        <v>9053493067</v>
      </c>
    </row>
    <row r="8277">
      <c r="A8277" s="2">
        <f>IFERROR(__xludf.DUMMYFUNCTION("""COMPUTED_VALUE"""),30118.0)</f>
        <v>30118</v>
      </c>
      <c r="B8277" s="3" t="str">
        <f>IFERROR(__xludf.DUMMYFUNCTION("""COMPUTED_VALUE"""),"230 CARMEL RD ")</f>
        <v>230 CARMEL RD </v>
      </c>
      <c r="C8277" s="3" t="str">
        <f>IFERROR(__xludf.DUMMYFUNCTION("""COMPUTED_VALUE"""),"CASTLETON")</f>
        <v>CASTLETON</v>
      </c>
      <c r="D8277" s="3" t="str">
        <f>IFERROR(__xludf.DUMMYFUNCTION("""COMPUTED_VALUE"""),"K0K 1M0")</f>
        <v>K0K 1M0</v>
      </c>
      <c r="E8277" s="3" t="str">
        <f>IFERROR(__xludf.DUMMYFUNCTION("""COMPUTED_VALUE"""),"Glen Foskett")</f>
        <v>Glen Foskett</v>
      </c>
      <c r="F8277" s="3"/>
      <c r="G8277" s="3">
        <f>IFERROR(__xludf.DUMMYFUNCTION("""COMPUTED_VALUE"""),9.053492586E9)</f>
        <v>9053492586</v>
      </c>
      <c r="H8277" s="3"/>
    </row>
    <row r="8278">
      <c r="A8278" s="2">
        <f>IFERROR(__xludf.DUMMYFUNCTION("""COMPUTED_VALUE"""),30119.0)</f>
        <v>30119</v>
      </c>
      <c r="B8278" s="3" t="str">
        <f>IFERROR(__xludf.DUMMYFUNCTION("""COMPUTED_VALUE"""),"237 CARMEL RD ")</f>
        <v>237 CARMEL RD </v>
      </c>
      <c r="C8278" s="3" t="str">
        <f>IFERROR(__xludf.DUMMYFUNCTION("""COMPUTED_VALUE"""),"CASTLETON")</f>
        <v>CASTLETON</v>
      </c>
      <c r="D8278" s="3" t="str">
        <f>IFERROR(__xludf.DUMMYFUNCTION("""COMPUTED_VALUE"""),"K0K 1M0")</f>
        <v>K0K 1M0</v>
      </c>
      <c r="E8278" s="3" t="str">
        <f>IFERROR(__xludf.DUMMYFUNCTION("""COMPUTED_VALUE"""),"Gary Eisenhammer")</f>
        <v>Gary Eisenhammer</v>
      </c>
      <c r="F8278" s="3" t="str">
        <f>IFERROR(__xludf.DUMMYFUNCTION("""COMPUTED_VALUE"""),"pending@eagle.ca")</f>
        <v>pending@eagle.ca</v>
      </c>
      <c r="G8278" s="3">
        <f>IFERROR(__xludf.DUMMYFUNCTION("""COMPUTED_VALUE"""),9.053493951E9)</f>
        <v>9053493951</v>
      </c>
      <c r="H8278" s="3"/>
    </row>
    <row r="8279">
      <c r="A8279" s="2">
        <f>IFERROR(__xludf.DUMMYFUNCTION("""COMPUTED_VALUE"""),30120.0)</f>
        <v>30120</v>
      </c>
      <c r="B8279" s="3" t="str">
        <f>IFERROR(__xludf.DUMMYFUNCTION("""COMPUTED_VALUE"""),"262 CARMEL RD ")</f>
        <v>262 CARMEL RD </v>
      </c>
      <c r="C8279" s="3" t="str">
        <f>IFERROR(__xludf.DUMMYFUNCTION("""COMPUTED_VALUE"""),"CASTLETON")</f>
        <v>CASTLETON</v>
      </c>
      <c r="D8279" s="3" t="str">
        <f>IFERROR(__xludf.DUMMYFUNCTION("""COMPUTED_VALUE"""),"K0K 1M0")</f>
        <v>K0K 1M0</v>
      </c>
      <c r="E8279" s="3" t="str">
        <f>IFERROR(__xludf.DUMMYFUNCTION("""COMPUTED_VALUE"""),"Mike Lamers")</f>
        <v>Mike Lamers</v>
      </c>
      <c r="F8279" s="3" t="str">
        <f>IFERROR(__xludf.DUMMYFUNCTION("""COMPUTED_VALUE"""),"N/A")</f>
        <v>N/A</v>
      </c>
      <c r="G8279" s="3"/>
      <c r="H8279" s="3"/>
    </row>
    <row r="8280">
      <c r="A8280" s="2">
        <f>IFERROR(__xludf.DUMMYFUNCTION("""COMPUTED_VALUE"""),30124.0)</f>
        <v>30124</v>
      </c>
      <c r="B8280" s="3" t="str">
        <f>IFERROR(__xludf.DUMMYFUNCTION("""COMPUTED_VALUE"""),"413 CARR RD ")</f>
        <v>413 CARR RD </v>
      </c>
      <c r="C8280" s="3" t="str">
        <f>IFERROR(__xludf.DUMMYFUNCTION("""COMPUTED_VALUE"""),"CASTLETON")</f>
        <v>CASTLETON</v>
      </c>
      <c r="D8280" s="3" t="str">
        <f>IFERROR(__xludf.DUMMYFUNCTION("""COMPUTED_VALUE"""),"K0K 1M0")</f>
        <v>K0K 1M0</v>
      </c>
      <c r="E8280" s="3" t="str">
        <f>IFERROR(__xludf.DUMMYFUNCTION("""COMPUTED_VALUE"""),"John McAdam")</f>
        <v>John McAdam</v>
      </c>
      <c r="F8280" s="3" t="str">
        <f>IFERROR(__xludf.DUMMYFUNCTION("""COMPUTED_VALUE"""),"N/A")</f>
        <v>N/A</v>
      </c>
      <c r="G8280" s="3">
        <f>IFERROR(__xludf.DUMMYFUNCTION("""COMPUTED_VALUE"""),9.059256716E9)</f>
        <v>9059256716</v>
      </c>
      <c r="H8280" s="3"/>
    </row>
    <row r="8281">
      <c r="A8281" s="2">
        <f>IFERROR(__xludf.DUMMYFUNCTION("""COMPUTED_VALUE"""),30126.0)</f>
        <v>30126</v>
      </c>
      <c r="B8281" s="3" t="str">
        <f>IFERROR(__xludf.DUMMYFUNCTION("""COMPUTED_VALUE"""),"335 CASTEELS RD ")</f>
        <v>335 CASTEELS RD </v>
      </c>
      <c r="C8281" s="3" t="str">
        <f>IFERROR(__xludf.DUMMYFUNCTION("""COMPUTED_VALUE"""),"GRAFTON")</f>
        <v>GRAFTON</v>
      </c>
      <c r="D8281" s="3" t="str">
        <f>IFERROR(__xludf.DUMMYFUNCTION("""COMPUTED_VALUE"""),"K0K 2G0")</f>
        <v>K0K 2G0</v>
      </c>
      <c r="E8281" s="3" t="str">
        <f>IFERROR(__xludf.DUMMYFUNCTION("""COMPUTED_VALUE"""),"Gary Clarke")</f>
        <v>Gary Clarke</v>
      </c>
      <c r="F8281" s="3" t="str">
        <f>IFERROR(__xludf.DUMMYFUNCTION("""COMPUTED_VALUE"""),"gwclarke56@gmail.com")</f>
        <v>gwclarke56@gmail.com</v>
      </c>
      <c r="G8281" s="3">
        <f>IFERROR(__xludf.DUMMYFUNCTION("""COMPUTED_VALUE"""),9.053755668E9)</f>
        <v>9053755668</v>
      </c>
      <c r="H8281" s="3"/>
    </row>
    <row r="8282">
      <c r="A8282" s="2">
        <f>IFERROR(__xludf.DUMMYFUNCTION("""COMPUTED_VALUE"""),30130.0)</f>
        <v>30130</v>
      </c>
      <c r="B8282" s="3" t="str">
        <f>IFERROR(__xludf.DUMMYFUNCTION("""COMPUTED_VALUE"""),"132 CEDAR ST ")</f>
        <v>132 CEDAR ST </v>
      </c>
      <c r="C8282" s="3" t="str">
        <f>IFERROR(__xludf.DUMMYFUNCTION("""COMPUTED_VALUE"""),"CASTLETON")</f>
        <v>CASTLETON</v>
      </c>
      <c r="D8282" s="3" t="str">
        <f>IFERROR(__xludf.DUMMYFUNCTION("""COMPUTED_VALUE"""),"K0K 1M0")</f>
        <v>K0K 1M0</v>
      </c>
      <c r="E8282" s="3" t="str">
        <f>IFERROR(__xludf.DUMMYFUNCTION("""COMPUTED_VALUE"""),"Katie MacKinnon")</f>
        <v>Katie MacKinnon</v>
      </c>
      <c r="F8282" s="3" t="str">
        <f>IFERROR(__xludf.DUMMYFUNCTION("""COMPUTED_VALUE"""),"N/A")</f>
        <v>N/A</v>
      </c>
      <c r="G8282" s="3"/>
      <c r="H8282" s="3"/>
    </row>
    <row r="8283">
      <c r="A8283" s="2">
        <f>IFERROR(__xludf.DUMMYFUNCTION("""COMPUTED_VALUE"""),30131.0)</f>
        <v>30131</v>
      </c>
      <c r="B8283" s="3" t="str">
        <f>IFERROR(__xludf.DUMMYFUNCTION("""COMPUTED_VALUE"""),"909 CENTRETON RD ")</f>
        <v>909 CENTRETON RD </v>
      </c>
      <c r="C8283" s="3" t="str">
        <f>IFERROR(__xludf.DUMMYFUNCTION("""COMPUTED_VALUE"""),"BALTIMORE")</f>
        <v>BALTIMORE</v>
      </c>
      <c r="D8283" s="3" t="str">
        <f>IFERROR(__xludf.DUMMYFUNCTION("""COMPUTED_VALUE"""),"K0K 1C0")</f>
        <v>K0K 1C0</v>
      </c>
      <c r="E8283" s="3" t="str">
        <f>IFERROR(__xludf.DUMMYFUNCTION("""COMPUTED_VALUE"""),"Thomas Casteels")</f>
        <v>Thomas Casteels</v>
      </c>
      <c r="F8283" s="3" t="str">
        <f>IFERROR(__xludf.DUMMYFUNCTION("""COMPUTED_VALUE"""),"tacasteels@gmail.com")</f>
        <v>tacasteels@gmail.com</v>
      </c>
      <c r="G8283" s="3"/>
      <c r="H8283" s="3"/>
    </row>
    <row r="8284">
      <c r="A8284" s="2">
        <f>IFERROR(__xludf.DUMMYFUNCTION("""COMPUTED_VALUE"""),30132.0)</f>
        <v>30132</v>
      </c>
      <c r="B8284" s="3" t="str">
        <f>IFERROR(__xludf.DUMMYFUNCTION("""COMPUTED_VALUE"""),"165 CLARKE RD")</f>
        <v>165 CLARKE RD</v>
      </c>
      <c r="C8284" s="3"/>
      <c r="D8284" s="3"/>
      <c r="E8284" s="3" t="str">
        <f>IFERROR(__xludf.DUMMYFUNCTION("""COMPUTED_VALUE"""),"Shawn Young")</f>
        <v>Shawn Young</v>
      </c>
      <c r="F8284" s="3" t="str">
        <f>IFERROR(__xludf.DUMMYFUNCTION("""COMPUTED_VALUE"""),"farm.supply@hotmail.com")</f>
        <v>farm.supply@hotmail.com</v>
      </c>
      <c r="G8284" s="3">
        <f>IFERROR(__xludf.DUMMYFUNCTION("""COMPUTED_VALUE"""),9.054316147E9)</f>
        <v>9054316147</v>
      </c>
      <c r="H8284" s="3"/>
    </row>
    <row r="8285">
      <c r="A8285" s="2">
        <f>IFERROR(__xludf.DUMMYFUNCTION("""COMPUTED_VALUE"""),30133.0)</f>
        <v>30133</v>
      </c>
      <c r="B8285" s="3" t="str">
        <f>IFERROR(__xludf.DUMMYFUNCTION("""COMPUTED_VALUE"""),"168 CLARKE RD")</f>
        <v>168 CLARKE RD</v>
      </c>
      <c r="C8285" s="3" t="str">
        <f>IFERROR(__xludf.DUMMYFUNCTION("""COMPUTED_VALUE"""),"Castleton")</f>
        <v>Castleton</v>
      </c>
      <c r="D8285" s="3" t="str">
        <f>IFERROR(__xludf.DUMMYFUNCTION("""COMPUTED_VALUE"""),"K0K 1M0")</f>
        <v>K0K 1M0</v>
      </c>
      <c r="E8285" s="3" t="str">
        <f>IFERROR(__xludf.DUMMYFUNCTION("""COMPUTED_VALUE"""),"Dianne Dorsey")</f>
        <v>Dianne Dorsey</v>
      </c>
      <c r="F8285" s="3" t="str">
        <f>IFERROR(__xludf.DUMMYFUNCTION("""COMPUTED_VALUE"""),"3d.1027@gmail.com")</f>
        <v>3d.1027@gmail.com</v>
      </c>
      <c r="G8285" s="3">
        <f>IFERROR(__xludf.DUMMYFUNCTION("""COMPUTED_VALUE"""),4.169936948E9)</f>
        <v>4169936948</v>
      </c>
      <c r="H8285" s="3"/>
    </row>
    <row r="8286">
      <c r="A8286" s="2">
        <f>IFERROR(__xludf.DUMMYFUNCTION("""COMPUTED_VALUE"""),30134.0)</f>
        <v>30134</v>
      </c>
      <c r="B8286" s="3" t="str">
        <f>IFERROR(__xludf.DUMMYFUNCTION("""COMPUTED_VALUE"""),"179 CLARKE RD")</f>
        <v>179 CLARKE RD</v>
      </c>
      <c r="C8286" s="3"/>
      <c r="D8286" s="3"/>
      <c r="E8286" s="3"/>
      <c r="F8286" s="3"/>
      <c r="G8286" s="3"/>
      <c r="H8286" s="3"/>
    </row>
    <row r="8287">
      <c r="A8287" s="2">
        <f>IFERROR(__xludf.DUMMYFUNCTION("""COMPUTED_VALUE"""),30135.0)</f>
        <v>30135</v>
      </c>
      <c r="B8287" s="3" t="str">
        <f>IFERROR(__xludf.DUMMYFUNCTION("""COMPUTED_VALUE"""),"200 CLARKE RD")</f>
        <v>200 CLARKE RD</v>
      </c>
      <c r="C8287" s="3"/>
      <c r="D8287" s="3"/>
      <c r="E8287" s="3"/>
      <c r="F8287" s="3"/>
      <c r="G8287" s="3"/>
      <c r="H8287" s="3"/>
    </row>
    <row r="8288">
      <c r="A8288" s="2">
        <f>IFERROR(__xludf.DUMMYFUNCTION("""COMPUTED_VALUE"""),30136.0)</f>
        <v>30136</v>
      </c>
      <c r="B8288" s="3" t="str">
        <f>IFERROR(__xludf.DUMMYFUNCTION("""COMPUTED_VALUE"""),"280 CLARKE RD")</f>
        <v>280 CLARKE RD</v>
      </c>
      <c r="C8288" s="3"/>
      <c r="D8288" s="3"/>
      <c r="E8288" s="3" t="str">
        <f>IFERROR(__xludf.DUMMYFUNCTION("""COMPUTED_VALUE"""),"Lisa Kaid-Soolepp")</f>
        <v>Lisa Kaid-Soolepp</v>
      </c>
      <c r="F8288" s="3"/>
      <c r="G8288" s="3"/>
      <c r="H8288" s="3"/>
    </row>
    <row r="8289">
      <c r="A8289" s="2">
        <f>IFERROR(__xludf.DUMMYFUNCTION("""COMPUTED_VALUE"""),30137.0)</f>
        <v>30137</v>
      </c>
      <c r="B8289" s="3" t="str">
        <f>IFERROR(__xludf.DUMMYFUNCTION("""COMPUTED_VALUE"""),"247 CLARKSON RD ")</f>
        <v>247 CLARKSON RD </v>
      </c>
      <c r="C8289" s="3" t="str">
        <f>IFERROR(__xludf.DUMMYFUNCTION("""COMPUTED_VALUE"""),"CASTLETON")</f>
        <v>CASTLETON</v>
      </c>
      <c r="D8289" s="3" t="str">
        <f>IFERROR(__xludf.DUMMYFUNCTION("""COMPUTED_VALUE"""),"K0K 1M0")</f>
        <v>K0K 1M0</v>
      </c>
      <c r="E8289" s="3" t="str">
        <f>IFERROR(__xludf.DUMMYFUNCTION("""COMPUTED_VALUE"""),"Gordon McLeod")</f>
        <v>Gordon McLeod</v>
      </c>
      <c r="F8289" s="3" t="str">
        <f>IFERROR(__xludf.DUMMYFUNCTION("""COMPUTED_VALUE"""),"gordonmcleod9@hotmail.com")</f>
        <v>gordonmcleod9@hotmail.com</v>
      </c>
      <c r="G8289" s="3">
        <f>IFERROR(__xludf.DUMMYFUNCTION("""COMPUTED_VALUE"""),2.8982935E9)</f>
        <v>2898293500</v>
      </c>
      <c r="H8289" s="3"/>
    </row>
    <row r="8290">
      <c r="A8290" s="2">
        <f>IFERROR(__xludf.DUMMYFUNCTION("""COMPUTED_VALUE"""),30138.0)</f>
        <v>30138</v>
      </c>
      <c r="B8290" s="3" t="str">
        <f>IFERROR(__xludf.DUMMYFUNCTION("""COMPUTED_VALUE"""),"289 CLARKSON RD ")</f>
        <v>289 CLARKSON RD </v>
      </c>
      <c r="C8290" s="3" t="str">
        <f>IFERROR(__xludf.DUMMYFUNCTION("""COMPUTED_VALUE"""),"CASTLETON")</f>
        <v>CASTLETON</v>
      </c>
      <c r="D8290" s="3" t="str">
        <f>IFERROR(__xludf.DUMMYFUNCTION("""COMPUTED_VALUE"""),"K0K 1M0")</f>
        <v>K0K 1M0</v>
      </c>
      <c r="E8290" s="3" t="str">
        <f>IFERROR(__xludf.DUMMYFUNCTION("""COMPUTED_VALUE"""),"Paulette Hebert ")</f>
        <v>Paulette Hebert </v>
      </c>
      <c r="F8290" s="3" t="str">
        <f>IFERROR(__xludf.DUMMYFUNCTION("""COMPUTED_VALUE"""),"janman_001@hotmail.com")</f>
        <v>janman_001@hotmail.com</v>
      </c>
      <c r="G8290" s="3">
        <f>IFERROR(__xludf.DUMMYFUNCTION("""COMPUTED_VALUE"""),9.052693817E9)</f>
        <v>9052693817</v>
      </c>
      <c r="H8290" s="3">
        <f>IFERROR(__xludf.DUMMYFUNCTION("""COMPUTED_VALUE"""),9.055500129E9)</f>
        <v>9055500129</v>
      </c>
    </row>
    <row r="8291">
      <c r="A8291" s="2">
        <f>IFERROR(__xludf.DUMMYFUNCTION("""COMPUTED_VALUE"""),30139.0)</f>
        <v>30139</v>
      </c>
      <c r="B8291" s="3" t="str">
        <f>IFERROR(__xludf.DUMMYFUNCTION("""COMPUTED_VALUE"""),"295 CLARKSON RD ")</f>
        <v>295 CLARKSON RD </v>
      </c>
      <c r="C8291" s="3" t="str">
        <f>IFERROR(__xludf.DUMMYFUNCTION("""COMPUTED_VALUE"""),"CASTLETON")</f>
        <v>CASTLETON</v>
      </c>
      <c r="D8291" s="3" t="str">
        <f>IFERROR(__xludf.DUMMYFUNCTION("""COMPUTED_VALUE"""),"K0K 1M0")</f>
        <v>K0K 1M0</v>
      </c>
      <c r="E8291" s="3" t="str">
        <f>IFERROR(__xludf.DUMMYFUNCTION("""COMPUTED_VALUE"""),"Alex Bilenduke")</f>
        <v>Alex Bilenduke</v>
      </c>
      <c r="F8291" s="3" t="str">
        <f>IFERROR(__xludf.DUMMYFUNCTION("""COMPUTED_VALUE"""),"abilenduke@gmail.com")</f>
        <v>abilenduke@gmail.com</v>
      </c>
      <c r="G8291" s="3">
        <f>IFERROR(__xludf.DUMMYFUNCTION("""COMPUTED_VALUE"""),9.052439205E9)</f>
        <v>9052439205</v>
      </c>
      <c r="H8291" s="3"/>
    </row>
    <row r="8292">
      <c r="A8292" s="2">
        <f>IFERROR(__xludf.DUMMYFUNCTION("""COMPUTED_VALUE"""),30140.0)</f>
        <v>30140</v>
      </c>
      <c r="B8292" s="3" t="str">
        <f>IFERROR(__xludf.DUMMYFUNCTION("""COMPUTED_VALUE"""),"304 CLARKSON RD ")</f>
        <v>304 CLARKSON RD </v>
      </c>
      <c r="C8292" s="3" t="str">
        <f>IFERROR(__xludf.DUMMYFUNCTION("""COMPUTED_VALUE"""),"CASTLETON")</f>
        <v>CASTLETON</v>
      </c>
      <c r="D8292" s="3" t="str">
        <f>IFERROR(__xludf.DUMMYFUNCTION("""COMPUTED_VALUE"""),"K0K 1M0")</f>
        <v>K0K 1M0</v>
      </c>
      <c r="E8292" s="3" t="str">
        <f>IFERROR(__xludf.DUMMYFUNCTION("""COMPUTED_VALUE"""),"Megan Walker")</f>
        <v>Megan Walker</v>
      </c>
      <c r="F8292" s="3" t="str">
        <f>IFERROR(__xludf.DUMMYFUNCTION("""COMPUTED_VALUE"""),"megan.walker87@gmail.com")</f>
        <v>megan.walker87@gmail.com</v>
      </c>
      <c r="G8292" s="3">
        <f>IFERROR(__xludf.DUMMYFUNCTION("""COMPUTED_VALUE"""),2.896001566E9)</f>
        <v>2896001566</v>
      </c>
      <c r="H8292" s="3"/>
    </row>
    <row r="8293">
      <c r="A8293" s="2">
        <f>IFERROR(__xludf.DUMMYFUNCTION("""COMPUTED_VALUE"""),30141.0)</f>
        <v>30141</v>
      </c>
      <c r="B8293" s="3" t="str">
        <f>IFERROR(__xludf.DUMMYFUNCTION("""COMPUTED_VALUE"""),"307 CLARKSON RD ")</f>
        <v>307 CLARKSON RD </v>
      </c>
      <c r="C8293" s="3" t="str">
        <f>IFERROR(__xludf.DUMMYFUNCTION("""COMPUTED_VALUE"""),"CASTLETON")</f>
        <v>CASTLETON</v>
      </c>
      <c r="D8293" s="3" t="str">
        <f>IFERROR(__xludf.DUMMYFUNCTION("""COMPUTED_VALUE"""),"K0K 1M0")</f>
        <v>K0K 1M0</v>
      </c>
      <c r="E8293" s="3" t="str">
        <f>IFERROR(__xludf.DUMMYFUNCTION("""COMPUTED_VALUE"""),"Bob LINDT")</f>
        <v>Bob LINDT</v>
      </c>
      <c r="F8293" s="3" t="str">
        <f>IFERROR(__xludf.DUMMYFUNCTION("""COMPUTED_VALUE"""),"oakwood269@gmail.com")</f>
        <v>oakwood269@gmail.com</v>
      </c>
      <c r="G8293" s="3"/>
      <c r="H8293" s="3"/>
    </row>
    <row r="8294">
      <c r="A8294" s="2">
        <f>IFERROR(__xludf.DUMMYFUNCTION("""COMPUTED_VALUE"""),30142.0)</f>
        <v>30142</v>
      </c>
      <c r="B8294" s="3" t="str">
        <f>IFERROR(__xludf.DUMMYFUNCTION("""COMPUTED_VALUE"""),"314 CLARKSON RD ")</f>
        <v>314 CLARKSON RD </v>
      </c>
      <c r="C8294" s="3" t="str">
        <f>IFERROR(__xludf.DUMMYFUNCTION("""COMPUTED_VALUE"""),"CASTLETON")</f>
        <v>CASTLETON</v>
      </c>
      <c r="D8294" s="3" t="str">
        <f>IFERROR(__xludf.DUMMYFUNCTION("""COMPUTED_VALUE"""),"K0K 1M0")</f>
        <v>K0K 1M0</v>
      </c>
      <c r="E8294" s="3" t="str">
        <f>IFERROR(__xludf.DUMMYFUNCTION("""COMPUTED_VALUE"""),"Dan Ford")</f>
        <v>Dan Ford</v>
      </c>
      <c r="F8294" s="3" t="str">
        <f>IFERROR(__xludf.DUMMYFUNCTION("""COMPUTED_VALUE"""),"castlerockcraneandhoist@gmail.com")</f>
        <v>castlerockcraneandhoist@gmail.com</v>
      </c>
      <c r="G8294" s="3">
        <f>IFERROR(__xludf.DUMMYFUNCTION("""COMPUTED_VALUE"""),2.892513188E9)</f>
        <v>2892513188</v>
      </c>
      <c r="H8294" s="3"/>
    </row>
    <row r="8295">
      <c r="A8295" s="2">
        <f>IFERROR(__xludf.DUMMYFUNCTION("""COMPUTED_VALUE"""),30143.0)</f>
        <v>30143</v>
      </c>
      <c r="B8295" s="3" t="str">
        <f>IFERROR(__xludf.DUMMYFUNCTION("""COMPUTED_VALUE"""),"324 CLARKSON RD ")</f>
        <v>324 CLARKSON RD </v>
      </c>
      <c r="C8295" s="3" t="str">
        <f>IFERROR(__xludf.DUMMYFUNCTION("""COMPUTED_VALUE"""),"CASTLETON")</f>
        <v>CASTLETON</v>
      </c>
      <c r="D8295" s="3" t="str">
        <f>IFERROR(__xludf.DUMMYFUNCTION("""COMPUTED_VALUE"""),"K0K 1M0")</f>
        <v>K0K 1M0</v>
      </c>
      <c r="E8295" s="3" t="str">
        <f>IFERROR(__xludf.DUMMYFUNCTION("""COMPUTED_VALUE"""),"Todd Sullivan")</f>
        <v>Todd Sullivan</v>
      </c>
      <c r="F8295" s="3" t="str">
        <f>IFERROR(__xludf.DUMMYFUNCTION("""COMPUTED_VALUE"""),"sullivantees@gmail.com")</f>
        <v>sullivantees@gmail.com</v>
      </c>
      <c r="G8295" s="3">
        <f>IFERROR(__xludf.DUMMYFUNCTION("""COMPUTED_VALUE"""),9.059038707E9)</f>
        <v>9059038707</v>
      </c>
      <c r="H8295" s="3"/>
    </row>
    <row r="8296">
      <c r="A8296" s="2">
        <f>IFERROR(__xludf.DUMMYFUNCTION("""COMPUTED_VALUE"""),30144.0)</f>
        <v>30144</v>
      </c>
      <c r="B8296" s="3" t="str">
        <f>IFERROR(__xludf.DUMMYFUNCTION("""COMPUTED_VALUE"""),"331 CLARKSON RD ")</f>
        <v>331 CLARKSON RD </v>
      </c>
      <c r="C8296" s="3" t="str">
        <f>IFERROR(__xludf.DUMMYFUNCTION("""COMPUTED_VALUE"""),"CASTLETON")</f>
        <v>CASTLETON</v>
      </c>
      <c r="D8296" s="3" t="str">
        <f>IFERROR(__xludf.DUMMYFUNCTION("""COMPUTED_VALUE"""),"K0K 1M0")</f>
        <v>K0K 1M0</v>
      </c>
      <c r="E8296" s="3" t="str">
        <f>IFERROR(__xludf.DUMMYFUNCTION("""COMPUTED_VALUE"""),"Grieta Lindt")</f>
        <v>Grieta Lindt</v>
      </c>
      <c r="F8296" s="3" t="str">
        <f>IFERROR(__xludf.DUMMYFUNCTION("""COMPUTED_VALUE"""),"wilgri7218@gmail.com")</f>
        <v>wilgri7218@gmail.com</v>
      </c>
      <c r="G8296" s="3">
        <f>IFERROR(__xludf.DUMMYFUNCTION("""COMPUTED_VALUE"""),9.053447218E9)</f>
        <v>9053447218</v>
      </c>
      <c r="H8296" s="3"/>
    </row>
    <row r="8297">
      <c r="A8297" s="2">
        <f>IFERROR(__xludf.DUMMYFUNCTION("""COMPUTED_VALUE"""),30145.0)</f>
        <v>30145</v>
      </c>
      <c r="B8297" s="3" t="str">
        <f>IFERROR(__xludf.DUMMYFUNCTION("""COMPUTED_VALUE"""),"334 CLARKSON RD ")</f>
        <v>334 CLARKSON RD </v>
      </c>
      <c r="C8297" s="3" t="str">
        <f>IFERROR(__xludf.DUMMYFUNCTION("""COMPUTED_VALUE"""),"CASTLETON")</f>
        <v>CASTLETON</v>
      </c>
      <c r="D8297" s="3" t="str">
        <f>IFERROR(__xludf.DUMMYFUNCTION("""COMPUTED_VALUE"""),"K0K 1M0")</f>
        <v>K0K 1M0</v>
      </c>
      <c r="E8297" s="3" t="str">
        <f>IFERROR(__xludf.DUMMYFUNCTION("""COMPUTED_VALUE"""),"Ian Cloves")</f>
        <v>Ian Cloves</v>
      </c>
      <c r="F8297" s="3" t="str">
        <f>IFERROR(__xludf.DUMMYFUNCTION("""COMPUTED_VALUE"""),"iancloves@hotmail.com")</f>
        <v>iancloves@hotmail.com</v>
      </c>
      <c r="G8297" s="3">
        <f>IFERROR(__xludf.DUMMYFUNCTION("""COMPUTED_VALUE"""),4.163012027E9)</f>
        <v>4163012027</v>
      </c>
      <c r="H8297" s="3"/>
    </row>
    <row r="8298">
      <c r="A8298" s="2">
        <f>IFERROR(__xludf.DUMMYFUNCTION("""COMPUTED_VALUE"""),30146.0)</f>
        <v>30146</v>
      </c>
      <c r="B8298" s="3" t="str">
        <f>IFERROR(__xludf.DUMMYFUNCTION("""COMPUTED_VALUE"""),"341 CLARKSON RD SUITE 1")</f>
        <v>341 CLARKSON RD SUITE 1</v>
      </c>
      <c r="C8298" s="3" t="str">
        <f>IFERROR(__xludf.DUMMYFUNCTION("""COMPUTED_VALUE"""),"CASTLETON")</f>
        <v>CASTLETON</v>
      </c>
      <c r="D8298" s="3" t="str">
        <f>IFERROR(__xludf.DUMMYFUNCTION("""COMPUTED_VALUE"""),"K0K 1M0")</f>
        <v>K0K 1M0</v>
      </c>
      <c r="E8298" s="3"/>
      <c r="F8298" s="3"/>
      <c r="G8298" s="3"/>
      <c r="H8298" s="3"/>
    </row>
    <row r="8299">
      <c r="A8299" s="2">
        <f>IFERROR(__xludf.DUMMYFUNCTION("""COMPUTED_VALUE"""),30147.0)</f>
        <v>30147</v>
      </c>
      <c r="B8299" s="3" t="str">
        <f>IFERROR(__xludf.DUMMYFUNCTION("""COMPUTED_VALUE"""),"341 CLARKSON RD SUITE 2")</f>
        <v>341 CLARKSON RD SUITE 2</v>
      </c>
      <c r="C8299" s="3" t="str">
        <f>IFERROR(__xludf.DUMMYFUNCTION("""COMPUTED_VALUE"""),"CASTLETON")</f>
        <v>CASTLETON</v>
      </c>
      <c r="D8299" s="3" t="str">
        <f>IFERROR(__xludf.DUMMYFUNCTION("""COMPUTED_VALUE"""),"K0K 1M0")</f>
        <v>K0K 1M0</v>
      </c>
      <c r="E8299" s="3"/>
      <c r="F8299" s="3"/>
      <c r="G8299" s="3"/>
      <c r="H8299" s="3"/>
    </row>
    <row r="8300">
      <c r="A8300" s="2">
        <f>IFERROR(__xludf.DUMMYFUNCTION("""COMPUTED_VALUE"""),30148.0)</f>
        <v>30148</v>
      </c>
      <c r="B8300" s="3" t="str">
        <f>IFERROR(__xludf.DUMMYFUNCTION("""COMPUTED_VALUE"""),"341 CLARKSON RD SUITE 3")</f>
        <v>341 CLARKSON RD SUITE 3</v>
      </c>
      <c r="C8300" s="3" t="str">
        <f>IFERROR(__xludf.DUMMYFUNCTION("""COMPUTED_VALUE"""),"CASTLETON")</f>
        <v>CASTLETON</v>
      </c>
      <c r="D8300" s="3" t="str">
        <f>IFERROR(__xludf.DUMMYFUNCTION("""COMPUTED_VALUE"""),"K0K 1M0")</f>
        <v>K0K 1M0</v>
      </c>
      <c r="E8300" s="3"/>
      <c r="F8300" s="3"/>
      <c r="G8300" s="3"/>
      <c r="H8300" s="3"/>
    </row>
    <row r="8301">
      <c r="A8301" s="2">
        <f>IFERROR(__xludf.DUMMYFUNCTION("""COMPUTED_VALUE"""),30149.0)</f>
        <v>30149</v>
      </c>
      <c r="B8301" s="3" t="str">
        <f>IFERROR(__xludf.DUMMYFUNCTION("""COMPUTED_VALUE"""),"377 CLARKSON RD ")</f>
        <v>377 CLARKSON RD </v>
      </c>
      <c r="C8301" s="3" t="str">
        <f>IFERROR(__xludf.DUMMYFUNCTION("""COMPUTED_VALUE"""),"CASTLETON")</f>
        <v>CASTLETON</v>
      </c>
      <c r="D8301" s="3" t="str">
        <f>IFERROR(__xludf.DUMMYFUNCTION("""COMPUTED_VALUE"""),"K0K 1M0")</f>
        <v>K0K 1M0</v>
      </c>
      <c r="E8301" s="3"/>
      <c r="F8301" s="3"/>
      <c r="G8301" s="3"/>
      <c r="H8301" s="3"/>
    </row>
    <row r="8302">
      <c r="A8302" s="2">
        <f>IFERROR(__xludf.DUMMYFUNCTION("""COMPUTED_VALUE"""),30150.0)</f>
        <v>30150</v>
      </c>
      <c r="B8302" s="3" t="str">
        <f>IFERROR(__xludf.DUMMYFUNCTION("""COMPUTED_VALUE"""),"381 CLARKSON RD ")</f>
        <v>381 CLARKSON RD </v>
      </c>
      <c r="C8302" s="3" t="str">
        <f>IFERROR(__xludf.DUMMYFUNCTION("""COMPUTED_VALUE"""),"CASTLETON")</f>
        <v>CASTLETON</v>
      </c>
      <c r="D8302" s="3" t="str">
        <f>IFERROR(__xludf.DUMMYFUNCTION("""COMPUTED_VALUE"""),"K0K 1M0")</f>
        <v>K0K 1M0</v>
      </c>
      <c r="E8302" s="3" t="str">
        <f>IFERROR(__xludf.DUMMYFUNCTION("""COMPUTED_VALUE"""),"Josh Crawford")</f>
        <v>Josh Crawford</v>
      </c>
      <c r="F8302" s="3" t="str">
        <f>IFERROR(__xludf.DUMMYFUNCTION("""COMPUTED_VALUE"""),"joshcrawford87@gmail.com")</f>
        <v>joshcrawford87@gmail.com</v>
      </c>
      <c r="G8302" s="3">
        <f>IFERROR(__xludf.DUMMYFUNCTION("""COMPUTED_VALUE"""),7.05717002E9)</f>
        <v>7057170020</v>
      </c>
      <c r="H8302" s="3">
        <f>IFERROR(__xludf.DUMMYFUNCTION("""COMPUTED_VALUE"""),7.053456702E9)</f>
        <v>7053456702</v>
      </c>
    </row>
    <row r="8303">
      <c r="A8303" s="2">
        <f>IFERROR(__xludf.DUMMYFUNCTION("""COMPUTED_VALUE"""),30155.0)</f>
        <v>30155</v>
      </c>
      <c r="B8303" s="3" t="str">
        <f>IFERROR(__xludf.DUMMYFUNCTION("""COMPUTED_VALUE"""),"116 CLOUSTON RD ")</f>
        <v>116 CLOUSTON RD </v>
      </c>
      <c r="C8303" s="3" t="str">
        <f>IFERROR(__xludf.DUMMYFUNCTION("""COMPUTED_VALUE"""),"GRAFTON")</f>
        <v>GRAFTON</v>
      </c>
      <c r="D8303" s="3" t="str">
        <f>IFERROR(__xludf.DUMMYFUNCTION("""COMPUTED_VALUE"""),"K0K 2G0")</f>
        <v>K0K 2G0</v>
      </c>
      <c r="E8303" s="3"/>
      <c r="F8303" s="3"/>
      <c r="G8303" s="3"/>
      <c r="H8303" s="3"/>
    </row>
    <row r="8304">
      <c r="A8304" s="2">
        <f>IFERROR(__xludf.DUMMYFUNCTION("""COMPUTED_VALUE"""),30156.0)</f>
        <v>30156</v>
      </c>
      <c r="B8304" s="3" t="str">
        <f>IFERROR(__xludf.DUMMYFUNCTION("""COMPUTED_VALUE"""),"180 CLOUSTON RD ")</f>
        <v>180 CLOUSTON RD </v>
      </c>
      <c r="C8304" s="3" t="str">
        <f>IFERROR(__xludf.DUMMYFUNCTION("""COMPUTED_VALUE"""),"GRAFTON")</f>
        <v>GRAFTON</v>
      </c>
      <c r="D8304" s="3" t="str">
        <f>IFERROR(__xludf.DUMMYFUNCTION("""COMPUTED_VALUE"""),"K0K 2G0")</f>
        <v>K0K 2G0</v>
      </c>
      <c r="E8304" s="3" t="str">
        <f>IFERROR(__xludf.DUMMYFUNCTION("""COMPUTED_VALUE"""),"Kelly Sainthill")</f>
        <v>Kelly Sainthill</v>
      </c>
      <c r="F8304" s="3" t="str">
        <f>IFERROR(__xludf.DUMMYFUNCTION("""COMPUTED_VALUE"""),"sainthillelectric@live.com")</f>
        <v>sainthillelectric@live.com</v>
      </c>
      <c r="G8304" s="3"/>
      <c r="H8304" s="3"/>
    </row>
    <row r="8305">
      <c r="A8305" s="2">
        <f>IFERROR(__xludf.DUMMYFUNCTION("""COMPUTED_VALUE"""),30157.0)</f>
        <v>30157</v>
      </c>
      <c r="B8305" s="3" t="str">
        <f>IFERROR(__xludf.DUMMYFUNCTION("""COMPUTED_VALUE"""),"212 CLOUSTON RD ")</f>
        <v>212 CLOUSTON RD </v>
      </c>
      <c r="C8305" s="3" t="str">
        <f>IFERROR(__xludf.DUMMYFUNCTION("""COMPUTED_VALUE"""),"GRAFTON")</f>
        <v>GRAFTON</v>
      </c>
      <c r="D8305" s="3" t="str">
        <f>IFERROR(__xludf.DUMMYFUNCTION("""COMPUTED_VALUE"""),"K0K 2G0")</f>
        <v>K0K 2G0</v>
      </c>
      <c r="E8305" s="3" t="str">
        <f>IFERROR(__xludf.DUMMYFUNCTION("""COMPUTED_VALUE"""),"David Rudd")</f>
        <v>David Rudd</v>
      </c>
      <c r="F8305" s="3" t="str">
        <f>IFERROR(__xludf.DUMMYFUNCTION("""COMPUTED_VALUE"""),"N/A")</f>
        <v>N/A</v>
      </c>
      <c r="G8305" s="3">
        <f>IFERROR(__xludf.DUMMYFUNCTION("""COMPUTED_VALUE"""),4.198796204E9)</f>
        <v>4198796204</v>
      </c>
      <c r="H8305" s="3"/>
    </row>
    <row r="8306">
      <c r="A8306" s="2">
        <f>IFERROR(__xludf.DUMMYFUNCTION("""COMPUTED_VALUE"""),30158.0)</f>
        <v>30158</v>
      </c>
      <c r="B8306" s="3" t="str">
        <f>IFERROR(__xludf.DUMMYFUNCTION("""COMPUTED_VALUE"""),"306 CLOUSTON RD ")</f>
        <v>306 CLOUSTON RD </v>
      </c>
      <c r="C8306" s="3" t="str">
        <f>IFERROR(__xludf.DUMMYFUNCTION("""COMPUTED_VALUE"""),"GRAFTON")</f>
        <v>GRAFTON</v>
      </c>
      <c r="D8306" s="3" t="str">
        <f>IFERROR(__xludf.DUMMYFUNCTION("""COMPUTED_VALUE"""),"K0K 2G0")</f>
        <v>K0K 2G0</v>
      </c>
      <c r="E8306" s="3" t="str">
        <f>IFERROR(__xludf.DUMMYFUNCTION("""COMPUTED_VALUE"""),"Jay Greavette")</f>
        <v>Jay Greavette</v>
      </c>
      <c r="F8306" s="3" t="str">
        <f>IFERROR(__xludf.DUMMYFUNCTION("""COMPUTED_VALUE"""),"N/A")</f>
        <v>N/A</v>
      </c>
      <c r="G8306" s="3">
        <f>IFERROR(__xludf.DUMMYFUNCTION("""COMPUTED_VALUE"""),1.642256649E9)</f>
        <v>1642256649</v>
      </c>
      <c r="H8306" s="3"/>
    </row>
    <row r="8307">
      <c r="A8307" s="2">
        <f>IFERROR(__xludf.DUMMYFUNCTION("""COMPUTED_VALUE"""),30159.0)</f>
        <v>30159</v>
      </c>
      <c r="B8307" s="3" t="str">
        <f>IFERROR(__xludf.DUMMYFUNCTION("""COMPUTED_VALUE"""),"328 CLOUSTON RD ")</f>
        <v>328 CLOUSTON RD </v>
      </c>
      <c r="C8307" s="3" t="str">
        <f>IFERROR(__xludf.DUMMYFUNCTION("""COMPUTED_VALUE"""),"GRAFTON")</f>
        <v>GRAFTON</v>
      </c>
      <c r="D8307" s="3" t="str">
        <f>IFERROR(__xludf.DUMMYFUNCTION("""COMPUTED_VALUE"""),"K0K 2G0")</f>
        <v>K0K 2G0</v>
      </c>
      <c r="E8307" s="3"/>
      <c r="F8307" s="3"/>
      <c r="G8307" s="3"/>
      <c r="H8307" s="3"/>
    </row>
    <row r="8308">
      <c r="A8308" s="2">
        <f>IFERROR(__xludf.DUMMYFUNCTION("""COMPUTED_VALUE"""),30160.0)</f>
        <v>30160</v>
      </c>
      <c r="B8308" s="3" t="str">
        <f>IFERROR(__xludf.DUMMYFUNCTION("""COMPUTED_VALUE"""),"367 CLOUSTON RD ")</f>
        <v>367 CLOUSTON RD </v>
      </c>
      <c r="C8308" s="3" t="str">
        <f>IFERROR(__xludf.DUMMYFUNCTION("""COMPUTED_VALUE"""),"GRAFTON")</f>
        <v>GRAFTON</v>
      </c>
      <c r="D8308" s="3" t="str">
        <f>IFERROR(__xludf.DUMMYFUNCTION("""COMPUTED_VALUE"""),"K0K 2G0")</f>
        <v>K0K 2G0</v>
      </c>
      <c r="E8308" s="3" t="str">
        <f>IFERROR(__xludf.DUMMYFUNCTION("""COMPUTED_VALUE"""),"Lou D'Onofrio")</f>
        <v>Lou D'Onofrio</v>
      </c>
      <c r="F8308" s="3" t="str">
        <f>IFERROR(__xludf.DUMMYFUNCTION("""COMPUTED_VALUE"""),"N/A")</f>
        <v>N/A</v>
      </c>
      <c r="G8308" s="3">
        <f>IFERROR(__xludf.DUMMYFUNCTION("""COMPUTED_VALUE"""),9.05349344E9)</f>
        <v>9053493440</v>
      </c>
      <c r="H8308" s="3"/>
    </row>
    <row r="8309">
      <c r="A8309" s="2">
        <f>IFERROR(__xludf.DUMMYFUNCTION("""COMPUTED_VALUE"""),30161.0)</f>
        <v>30161</v>
      </c>
      <c r="B8309" s="3" t="str">
        <f>IFERROR(__xludf.DUMMYFUNCTION("""COMPUTED_VALUE"""),"370 CLOUSTON RD ")</f>
        <v>370 CLOUSTON RD </v>
      </c>
      <c r="C8309" s="3" t="str">
        <f>IFERROR(__xludf.DUMMYFUNCTION("""COMPUTED_VALUE"""),"GRAFTON")</f>
        <v>GRAFTON</v>
      </c>
      <c r="D8309" s="3" t="str">
        <f>IFERROR(__xludf.DUMMYFUNCTION("""COMPUTED_VALUE"""),"K0K 2G0")</f>
        <v>K0K 2G0</v>
      </c>
      <c r="E8309" s="3"/>
      <c r="F8309" s="3"/>
      <c r="G8309" s="3"/>
      <c r="H8309" s="3"/>
    </row>
    <row r="8310">
      <c r="A8310" s="2">
        <f>IFERROR(__xludf.DUMMYFUNCTION("""COMPUTED_VALUE"""),30162.0)</f>
        <v>30162</v>
      </c>
      <c r="B8310" s="3" t="str">
        <f>IFERROR(__xludf.DUMMYFUNCTION("""COMPUTED_VALUE"""),"374 CLOUSTON RD ")</f>
        <v>374 CLOUSTON RD </v>
      </c>
      <c r="C8310" s="3" t="str">
        <f>IFERROR(__xludf.DUMMYFUNCTION("""COMPUTED_VALUE"""),"GRAFTON")</f>
        <v>GRAFTON</v>
      </c>
      <c r="D8310" s="3" t="str">
        <f>IFERROR(__xludf.DUMMYFUNCTION("""COMPUTED_VALUE"""),"K0K 2G0")</f>
        <v>K0K 2G0</v>
      </c>
      <c r="E8310" s="3" t="str">
        <f>IFERROR(__xludf.DUMMYFUNCTION("""COMPUTED_VALUE"""),"David Goldstein ")</f>
        <v>David Goldstein </v>
      </c>
      <c r="F8310" s="3" t="str">
        <f>IFERROR(__xludf.DUMMYFUNCTION("""COMPUTED_VALUE"""),"countryfriendly@outlook.com")</f>
        <v>countryfriendly@outlook.com</v>
      </c>
      <c r="G8310" s="3"/>
      <c r="H8310" s="3"/>
    </row>
    <row r="8311">
      <c r="A8311" s="2">
        <f>IFERROR(__xludf.DUMMYFUNCTION("""COMPUTED_VALUE"""),30163.0)</f>
        <v>30163</v>
      </c>
      <c r="B8311" s="3" t="str">
        <f>IFERROR(__xludf.DUMMYFUNCTION("""COMPUTED_VALUE"""),"398 CLOUSTON RD ")</f>
        <v>398 CLOUSTON RD </v>
      </c>
      <c r="C8311" s="3" t="str">
        <f>IFERROR(__xludf.DUMMYFUNCTION("""COMPUTED_VALUE"""),"GRAFTON")</f>
        <v>GRAFTON</v>
      </c>
      <c r="D8311" s="3" t="str">
        <f>IFERROR(__xludf.DUMMYFUNCTION("""COMPUTED_VALUE"""),"K0K 2G0")</f>
        <v>K0K 2G0</v>
      </c>
      <c r="E8311" s="3" t="str">
        <f>IFERROR(__xludf.DUMMYFUNCTION("""COMPUTED_VALUE"""),"Etienne Larochelle")</f>
        <v>Etienne Larochelle</v>
      </c>
      <c r="F8311" s="3" t="str">
        <f>IFERROR(__xludf.DUMMYFUNCTION("""COMPUTED_VALUE"""),"larocheti@yahoo.ca")</f>
        <v>larocheti@yahoo.ca</v>
      </c>
      <c r="G8311" s="3">
        <f>IFERROR(__xludf.DUMMYFUNCTION("""COMPUTED_VALUE"""),8.198066087E9)</f>
        <v>8198066087</v>
      </c>
      <c r="H8311" s="3">
        <f>IFERROR(__xludf.DUMMYFUNCTION("""COMPUTED_VALUE"""),9.058781496E9)</f>
        <v>9058781496</v>
      </c>
    </row>
    <row r="8312">
      <c r="A8312" s="2">
        <f>IFERROR(__xludf.DUMMYFUNCTION("""COMPUTED_VALUE"""),30164.0)</f>
        <v>30164</v>
      </c>
      <c r="B8312" s="3" t="str">
        <f>IFERROR(__xludf.DUMMYFUNCTION("""COMPUTED_VALUE"""),"451 CLOUSTON RD ")</f>
        <v>451 CLOUSTON RD </v>
      </c>
      <c r="C8312" s="3" t="str">
        <f>IFERROR(__xludf.DUMMYFUNCTION("""COMPUTED_VALUE"""),"GRAFTON")</f>
        <v>GRAFTON</v>
      </c>
      <c r="D8312" s="3" t="str">
        <f>IFERROR(__xludf.DUMMYFUNCTION("""COMPUTED_VALUE"""),"K0K 2G0")</f>
        <v>K0K 2G0</v>
      </c>
      <c r="E8312" s="3" t="str">
        <f>IFERROR(__xludf.DUMMYFUNCTION("""COMPUTED_VALUE"""),"Annette Snoek")</f>
        <v>Annette Snoek</v>
      </c>
      <c r="F8312" s="3" t="str">
        <f>IFERROR(__xludf.DUMMYFUNCTION("""COMPUTED_VALUE"""),"asnoek@xplornet.ca")</f>
        <v>asnoek@xplornet.ca</v>
      </c>
      <c r="G8312" s="3">
        <f>IFERROR(__xludf.DUMMYFUNCTION("""COMPUTED_VALUE"""),9.053492895E9)</f>
        <v>9053492895</v>
      </c>
      <c r="H8312" s="3">
        <f>IFERROR(__xludf.DUMMYFUNCTION("""COMPUTED_VALUE"""),9.053732134E9)</f>
        <v>9053732134</v>
      </c>
    </row>
    <row r="8313">
      <c r="A8313" s="2">
        <f>IFERROR(__xludf.DUMMYFUNCTION("""COMPUTED_VALUE"""),30165.0)</f>
        <v>30165</v>
      </c>
      <c r="B8313" s="3" t="str">
        <f>IFERROR(__xludf.DUMMYFUNCTION("""COMPUTED_VALUE"""),"452 CLOUSTON RD ")</f>
        <v>452 CLOUSTON RD </v>
      </c>
      <c r="C8313" s="3" t="str">
        <f>IFERROR(__xludf.DUMMYFUNCTION("""COMPUTED_VALUE"""),"GRAFTON")</f>
        <v>GRAFTON</v>
      </c>
      <c r="D8313" s="3" t="str">
        <f>IFERROR(__xludf.DUMMYFUNCTION("""COMPUTED_VALUE"""),"K0K 2G0")</f>
        <v>K0K 2G0</v>
      </c>
      <c r="E8313" s="3"/>
      <c r="F8313" s="3"/>
      <c r="G8313" s="3"/>
      <c r="H8313" s="3"/>
    </row>
    <row r="8314">
      <c r="A8314" s="2">
        <f>IFERROR(__xludf.DUMMYFUNCTION("""COMPUTED_VALUE"""),30166.0)</f>
        <v>30166</v>
      </c>
      <c r="B8314" s="3" t="str">
        <f>IFERROR(__xludf.DUMMYFUNCTION("""COMPUTED_VALUE"""),"481 CLOUSTON RD ")</f>
        <v>481 CLOUSTON RD </v>
      </c>
      <c r="C8314" s="3" t="str">
        <f>IFERROR(__xludf.DUMMYFUNCTION("""COMPUTED_VALUE"""),"GRAFTON")</f>
        <v>GRAFTON</v>
      </c>
      <c r="D8314" s="3" t="str">
        <f>IFERROR(__xludf.DUMMYFUNCTION("""COMPUTED_VALUE"""),"K0K 2G0")</f>
        <v>K0K 2G0</v>
      </c>
      <c r="E8314" s="3"/>
      <c r="F8314" s="3"/>
      <c r="G8314" s="3"/>
      <c r="H8314" s="3"/>
    </row>
    <row r="8315">
      <c r="A8315" s="2">
        <f>IFERROR(__xludf.DUMMYFUNCTION("""COMPUTED_VALUE"""),30167.0)</f>
        <v>30167</v>
      </c>
      <c r="B8315" s="3" t="str">
        <f>IFERROR(__xludf.DUMMYFUNCTION("""COMPUTED_VALUE"""),"500 CLOUSTON RD ")</f>
        <v>500 CLOUSTON RD </v>
      </c>
      <c r="C8315" s="3" t="str">
        <f>IFERROR(__xludf.DUMMYFUNCTION("""COMPUTED_VALUE"""),"GRAFTON")</f>
        <v>GRAFTON</v>
      </c>
      <c r="D8315" s="3" t="str">
        <f>IFERROR(__xludf.DUMMYFUNCTION("""COMPUTED_VALUE"""),"K0K 2G0")</f>
        <v>K0K 2G0</v>
      </c>
      <c r="E8315" s="3" t="str">
        <f>IFERROR(__xludf.DUMMYFUNCTION("""COMPUTED_VALUE"""),"Ann Baelow")</f>
        <v>Ann Baelow</v>
      </c>
      <c r="F8315" s="3" t="str">
        <f>IFERROR(__xludf.DUMMYFUNCTION("""COMPUTED_VALUE"""),"N/A")</f>
        <v>N/A</v>
      </c>
      <c r="G8315" s="3">
        <f>IFERROR(__xludf.DUMMYFUNCTION("""COMPUTED_VALUE"""),9.053732938E9)</f>
        <v>9053732938</v>
      </c>
      <c r="H8315" s="3"/>
    </row>
    <row r="8316">
      <c r="A8316" s="2">
        <f>IFERROR(__xludf.DUMMYFUNCTION("""COMPUTED_VALUE"""),30168.0)</f>
        <v>30168</v>
      </c>
      <c r="B8316" s="3" t="str">
        <f>IFERROR(__xludf.DUMMYFUNCTION("""COMPUTED_VALUE"""),"521 CLOUSTON RD ")</f>
        <v>521 CLOUSTON RD </v>
      </c>
      <c r="C8316" s="3" t="str">
        <f>IFERROR(__xludf.DUMMYFUNCTION("""COMPUTED_VALUE"""),"GRAFTON")</f>
        <v>GRAFTON</v>
      </c>
      <c r="D8316" s="3" t="str">
        <f>IFERROR(__xludf.DUMMYFUNCTION("""COMPUTED_VALUE"""),"K0K 2G0")</f>
        <v>K0K 2G0</v>
      </c>
      <c r="E8316" s="3"/>
      <c r="F8316" s="3"/>
      <c r="G8316" s="3"/>
      <c r="H8316" s="3"/>
    </row>
    <row r="8317">
      <c r="A8317" s="2">
        <f>IFERROR(__xludf.DUMMYFUNCTION("""COMPUTED_VALUE"""),30169.0)</f>
        <v>30169</v>
      </c>
      <c r="B8317" s="3" t="str">
        <f>IFERROR(__xludf.DUMMYFUNCTION("""COMPUTED_VALUE"""),"554 CLOUSTON RD ")</f>
        <v>554 CLOUSTON RD </v>
      </c>
      <c r="C8317" s="3" t="str">
        <f>IFERROR(__xludf.DUMMYFUNCTION("""COMPUTED_VALUE"""),"GRAFTON")</f>
        <v>GRAFTON</v>
      </c>
      <c r="D8317" s="3" t="str">
        <f>IFERROR(__xludf.DUMMYFUNCTION("""COMPUTED_VALUE"""),"K0K 2G0")</f>
        <v>K0K 2G0</v>
      </c>
      <c r="E8317" s="3" t="str">
        <f>IFERROR(__xludf.DUMMYFUNCTION("""COMPUTED_VALUE"""),"Alex Brown")</f>
        <v>Alex Brown</v>
      </c>
      <c r="F8317" s="3" t="str">
        <f>IFERROR(__xludf.DUMMYFUNCTION("""COMPUTED_VALUE"""),"N/A")</f>
        <v>N/A</v>
      </c>
      <c r="G8317" s="3"/>
      <c r="H8317" s="3"/>
    </row>
    <row r="8318">
      <c r="A8318" s="2">
        <f>IFERROR(__xludf.DUMMYFUNCTION("""COMPUTED_VALUE"""),30170.0)</f>
        <v>30170</v>
      </c>
      <c r="B8318" s="3" t="str">
        <f>IFERROR(__xludf.DUMMYFUNCTION("""COMPUTED_VALUE"""),"557 CLOUSTON RD ")</f>
        <v>557 CLOUSTON RD </v>
      </c>
      <c r="C8318" s="3" t="str">
        <f>IFERROR(__xludf.DUMMYFUNCTION("""COMPUTED_VALUE"""),"GRAFTON")</f>
        <v>GRAFTON</v>
      </c>
      <c r="D8318" s="3" t="str">
        <f>IFERROR(__xludf.DUMMYFUNCTION("""COMPUTED_VALUE"""),"K0K 2G0")</f>
        <v>K0K 2G0</v>
      </c>
      <c r="E8318" s="3" t="str">
        <f>IFERROR(__xludf.DUMMYFUNCTION("""COMPUTED_VALUE"""),"Drew Kodituwikku")</f>
        <v>Drew Kodituwikku</v>
      </c>
      <c r="F8318" s="3" t="str">
        <f>IFERROR(__xludf.DUMMYFUNCTION("""COMPUTED_VALUE"""),"N/A")</f>
        <v>N/A</v>
      </c>
      <c r="G8318" s="3">
        <f>IFERROR(__xludf.DUMMYFUNCTION("""COMPUTED_VALUE"""),4.164573491E9)</f>
        <v>4164573491</v>
      </c>
      <c r="H8318" s="3"/>
    </row>
    <row r="8319">
      <c r="A8319" s="2">
        <f>IFERROR(__xludf.DUMMYFUNCTION("""COMPUTED_VALUE"""),30171.0)</f>
        <v>30171</v>
      </c>
      <c r="B8319" s="3" t="str">
        <f>IFERROR(__xludf.DUMMYFUNCTION("""COMPUTED_VALUE"""),"601 CLOUSTON RD ")</f>
        <v>601 CLOUSTON RD </v>
      </c>
      <c r="C8319" s="3" t="str">
        <f>IFERROR(__xludf.DUMMYFUNCTION("""COMPUTED_VALUE"""),"BALTIMORE")</f>
        <v>BALTIMORE</v>
      </c>
      <c r="D8319" s="3" t="str">
        <f>IFERROR(__xludf.DUMMYFUNCTION("""COMPUTED_VALUE"""),"K0K 1C0")</f>
        <v>K0K 1C0</v>
      </c>
      <c r="E8319" s="3" t="str">
        <f>IFERROR(__xludf.DUMMYFUNCTION("""COMPUTED_VALUE"""),"Jim Thomas")</f>
        <v>Jim Thomas</v>
      </c>
      <c r="F8319" s="3" t="str">
        <f>IFERROR(__xludf.DUMMYFUNCTION("""COMPUTED_VALUE"""),"N/A")</f>
        <v>N/A</v>
      </c>
      <c r="G8319" s="3">
        <f>IFERROR(__xludf.DUMMYFUNCTION("""COMPUTED_VALUE"""),9.056231038E9)</f>
        <v>9056231038</v>
      </c>
      <c r="H8319" s="3"/>
    </row>
    <row r="8320">
      <c r="A8320" s="2">
        <f>IFERROR(__xludf.DUMMYFUNCTION("""COMPUTED_VALUE"""),30172.0)</f>
        <v>30172</v>
      </c>
      <c r="B8320" s="3" t="str">
        <f>IFERROR(__xludf.DUMMYFUNCTION("""COMPUTED_VALUE"""),"622 CLOUSTON RD ")</f>
        <v>622 CLOUSTON RD </v>
      </c>
      <c r="C8320" s="3" t="str">
        <f>IFERROR(__xludf.DUMMYFUNCTION("""COMPUTED_VALUE"""),"BALTIMORE")</f>
        <v>BALTIMORE</v>
      </c>
      <c r="D8320" s="3" t="str">
        <f>IFERROR(__xludf.DUMMYFUNCTION("""COMPUTED_VALUE"""),"K0K 1C0")</f>
        <v>K0K 1C0</v>
      </c>
      <c r="E8320" s="3" t="str">
        <f>IFERROR(__xludf.DUMMYFUNCTION("""COMPUTED_VALUE"""),"Graeme Reid")</f>
        <v>Graeme Reid</v>
      </c>
      <c r="F8320" s="3" t="str">
        <f>IFERROR(__xludf.DUMMYFUNCTION("""COMPUTED_VALUE"""),"graemereid00@yahoo.ca")</f>
        <v>graemereid00@yahoo.ca</v>
      </c>
      <c r="G8320" s="3">
        <f>IFERROR(__xludf.DUMMYFUNCTION("""COMPUTED_VALUE"""),6.478221913E9)</f>
        <v>6478221913</v>
      </c>
      <c r="H8320" s="3"/>
    </row>
    <row r="8321">
      <c r="A8321" s="2">
        <f>IFERROR(__xludf.DUMMYFUNCTION("""COMPUTED_VALUE"""),30173.0)</f>
        <v>30173</v>
      </c>
      <c r="B8321" s="3" t="str">
        <f>IFERROR(__xludf.DUMMYFUNCTION("""COMPUTED_VALUE"""),"628 CLOUSTON RD ")</f>
        <v>628 CLOUSTON RD </v>
      </c>
      <c r="C8321" s="3" t="str">
        <f>IFERROR(__xludf.DUMMYFUNCTION("""COMPUTED_VALUE"""),"BALTIMORE")</f>
        <v>BALTIMORE</v>
      </c>
      <c r="D8321" s="3" t="str">
        <f>IFERROR(__xludf.DUMMYFUNCTION("""COMPUTED_VALUE"""),"K0K 1C0")</f>
        <v>K0K 1C0</v>
      </c>
      <c r="E8321" s="3" t="str">
        <f>IFERROR(__xludf.DUMMYFUNCTION("""COMPUTED_VALUE"""),"Ray Mosher")</f>
        <v>Ray Mosher</v>
      </c>
      <c r="F8321" s="3" t="str">
        <f>IFERROR(__xludf.DUMMYFUNCTION("""COMPUTED_VALUE"""),"N/A")</f>
        <v>N/A</v>
      </c>
      <c r="G8321" s="3"/>
      <c r="H8321" s="3"/>
    </row>
    <row r="8322">
      <c r="A8322" s="2">
        <f>IFERROR(__xludf.DUMMYFUNCTION("""COMPUTED_VALUE"""),30174.0)</f>
        <v>30174</v>
      </c>
      <c r="B8322" s="3" t="str">
        <f>IFERROR(__xludf.DUMMYFUNCTION("""COMPUTED_VALUE"""),"650 CLOUSTON RD ")</f>
        <v>650 CLOUSTON RD </v>
      </c>
      <c r="C8322" s="3" t="str">
        <f>IFERROR(__xludf.DUMMYFUNCTION("""COMPUTED_VALUE"""),"BALTIMORE")</f>
        <v>BALTIMORE</v>
      </c>
      <c r="D8322" s="3" t="str">
        <f>IFERROR(__xludf.DUMMYFUNCTION("""COMPUTED_VALUE"""),"K0K 1C0")</f>
        <v>K0K 1C0</v>
      </c>
      <c r="E8322" s="3" t="str">
        <f>IFERROR(__xludf.DUMMYFUNCTION("""COMPUTED_VALUE"""),"Rhonda Findlay")</f>
        <v>Rhonda Findlay</v>
      </c>
      <c r="F8322" s="3" t="str">
        <f>IFERROR(__xludf.DUMMYFUNCTION("""COMPUTED_VALUE"""),"donronjj@hotmail.com")</f>
        <v>donronjj@hotmail.com</v>
      </c>
      <c r="G8322" s="3">
        <f>IFERROR(__xludf.DUMMYFUNCTION("""COMPUTED_VALUE"""),9.057064096E9)</f>
        <v>9057064096</v>
      </c>
      <c r="H8322" s="3"/>
    </row>
    <row r="8323">
      <c r="A8323" s="2">
        <f>IFERROR(__xludf.DUMMYFUNCTION("""COMPUTED_VALUE"""),30175.0)</f>
        <v>30175</v>
      </c>
      <c r="B8323" s="3" t="str">
        <f>IFERROR(__xludf.DUMMYFUNCTION("""COMPUTED_VALUE"""),"709 CLOUSTON RD ")</f>
        <v>709 CLOUSTON RD </v>
      </c>
      <c r="C8323" s="3" t="str">
        <f>IFERROR(__xludf.DUMMYFUNCTION("""COMPUTED_VALUE"""),"BALTIMORE")</f>
        <v>BALTIMORE</v>
      </c>
      <c r="D8323" s="3" t="str">
        <f>IFERROR(__xludf.DUMMYFUNCTION("""COMPUTED_VALUE"""),"K0K 1C0")</f>
        <v>K0K 1C0</v>
      </c>
      <c r="E8323" s="3" t="str">
        <f>IFERROR(__xludf.DUMMYFUNCTION("""COMPUTED_VALUE"""),"Linda Dejang")</f>
        <v>Linda Dejang</v>
      </c>
      <c r="F8323" s="3" t="str">
        <f>IFERROR(__xludf.DUMMYFUNCTION("""COMPUTED_VALUE"""),"N/A")</f>
        <v>N/A</v>
      </c>
      <c r="G8323" s="3">
        <f>IFERROR(__xludf.DUMMYFUNCTION("""COMPUTED_VALUE"""),9.053696989E9)</f>
        <v>9053696989</v>
      </c>
      <c r="H8323" s="3"/>
    </row>
    <row r="8324">
      <c r="A8324" s="2">
        <f>IFERROR(__xludf.DUMMYFUNCTION("""COMPUTED_VALUE"""),30176.0)</f>
        <v>30176</v>
      </c>
      <c r="B8324" s="3" t="str">
        <f>IFERROR(__xludf.DUMMYFUNCTION("""COMPUTED_VALUE"""),"104 COLLIN RD ")</f>
        <v>104 COLLIN RD </v>
      </c>
      <c r="C8324" s="3" t="str">
        <f>IFERROR(__xludf.DUMMYFUNCTION("""COMPUTED_VALUE"""),"GRAFTON")</f>
        <v>GRAFTON</v>
      </c>
      <c r="D8324" s="3" t="str">
        <f>IFERROR(__xludf.DUMMYFUNCTION("""COMPUTED_VALUE"""),"K0K 2G0")</f>
        <v>K0K 2G0</v>
      </c>
      <c r="E8324" s="3" t="str">
        <f>IFERROR(__xludf.DUMMYFUNCTION("""COMPUTED_VALUE"""),"Andrew Sloggett")</f>
        <v>Andrew Sloggett</v>
      </c>
      <c r="F8324" s="3" t="str">
        <f>IFERROR(__xludf.DUMMYFUNCTION("""COMPUTED_VALUE"""),"andrew@younique.build")</f>
        <v>andrew@younique.build</v>
      </c>
      <c r="G8324" s="3">
        <f>IFERROR(__xludf.DUMMYFUNCTION("""COMPUTED_VALUE"""),2.892517368E9)</f>
        <v>2892517368</v>
      </c>
      <c r="H8324" s="3"/>
    </row>
    <row r="8325">
      <c r="A8325" s="2">
        <f>IFERROR(__xludf.DUMMYFUNCTION("""COMPUTED_VALUE"""),30177.0)</f>
        <v>30177</v>
      </c>
      <c r="B8325" s="3" t="str">
        <f>IFERROR(__xludf.DUMMYFUNCTION("""COMPUTED_VALUE"""),"147 COLLIN RD ")</f>
        <v>147 COLLIN RD </v>
      </c>
      <c r="C8325" s="3" t="str">
        <f>IFERROR(__xludf.DUMMYFUNCTION("""COMPUTED_VALUE"""),"GRAFTON")</f>
        <v>GRAFTON</v>
      </c>
      <c r="D8325" s="3" t="str">
        <f>IFERROR(__xludf.DUMMYFUNCTION("""COMPUTED_VALUE"""),"K0K 2G0")</f>
        <v>K0K 2G0</v>
      </c>
      <c r="E8325" s="3"/>
      <c r="F8325" s="3"/>
      <c r="G8325" s="3"/>
      <c r="H8325" s="3"/>
    </row>
    <row r="8326">
      <c r="A8326" s="2">
        <f>IFERROR(__xludf.DUMMYFUNCTION("""COMPUTED_VALUE"""),30178.0)</f>
        <v>30178</v>
      </c>
      <c r="B8326" s="3" t="str">
        <f>IFERROR(__xludf.DUMMYFUNCTION("""COMPUTED_VALUE"""),"154 COLLIN RD ")</f>
        <v>154 COLLIN RD </v>
      </c>
      <c r="C8326" s="3" t="str">
        <f>IFERROR(__xludf.DUMMYFUNCTION("""COMPUTED_VALUE"""),"GRAFTON")</f>
        <v>GRAFTON</v>
      </c>
      <c r="D8326" s="3" t="str">
        <f>IFERROR(__xludf.DUMMYFUNCTION("""COMPUTED_VALUE"""),"K0K 2G0")</f>
        <v>K0K 2G0</v>
      </c>
      <c r="E8326" s="3" t="str">
        <f>IFERROR(__xludf.DUMMYFUNCTION("""COMPUTED_VALUE"""),"Patrick bonneville")</f>
        <v>Patrick bonneville</v>
      </c>
      <c r="F8326" s="3" t="str">
        <f>IFERROR(__xludf.DUMMYFUNCTION("""COMPUTED_VALUE"""),"patrickbonneville15@gmail.com")</f>
        <v>patrickbonneville15@gmail.com</v>
      </c>
      <c r="G8326" s="3">
        <f>IFERROR(__xludf.DUMMYFUNCTION("""COMPUTED_VALUE"""),9.053773291E9)</f>
        <v>9053773291</v>
      </c>
      <c r="H8326" s="3"/>
    </row>
    <row r="8327">
      <c r="A8327" s="2">
        <f>IFERROR(__xludf.DUMMYFUNCTION("""COMPUTED_VALUE"""),30182.0)</f>
        <v>30182</v>
      </c>
      <c r="B8327" s="3" t="str">
        <f>IFERROR(__xludf.DUMMYFUNCTION("""COMPUTED_VALUE""")," CON 5 PT LOT 2 RP 39  ")</f>
        <v> CON 5 PT LOT 2 RP 39  </v>
      </c>
      <c r="C8327" s="3" t="str">
        <f>IFERROR(__xludf.DUMMYFUNCTION("""COMPUTED_VALUE"""),"CASTLETON")</f>
        <v>CASTLETON</v>
      </c>
      <c r="D8327" s="3" t="str">
        <f>IFERROR(__xludf.DUMMYFUNCTION("""COMPUTED_VALUE"""),"K0K 1M0")</f>
        <v>K0K 1M0</v>
      </c>
      <c r="E8327" s="3"/>
      <c r="F8327" s="3"/>
      <c r="G8327" s="3"/>
      <c r="H8327" s="3"/>
    </row>
    <row r="8328">
      <c r="A8328" s="2">
        <f>IFERROR(__xludf.DUMMYFUNCTION("""COMPUTED_VALUE"""),30190.0)</f>
        <v>30190</v>
      </c>
      <c r="B8328" s="3" t="str">
        <f>IFERROR(__xludf.DUMMYFUNCTION("""COMPUTED_VALUE"""),"155 CONCESSION RD 1 W")</f>
        <v>155 CONCESSION RD 1 W</v>
      </c>
      <c r="C8328" s="3"/>
      <c r="D8328" s="3"/>
      <c r="E8328" s="3"/>
      <c r="F8328" s="3"/>
      <c r="G8328" s="3"/>
      <c r="H8328" s="3"/>
    </row>
    <row r="8329">
      <c r="A8329" s="2">
        <f>IFERROR(__xludf.DUMMYFUNCTION("""COMPUTED_VALUE"""),30191.0)</f>
        <v>30191</v>
      </c>
      <c r="B8329" s="3" t="str">
        <f>IFERROR(__xludf.DUMMYFUNCTION("""COMPUTED_VALUE"""),"173 CONCESSION RD 1 W")</f>
        <v>173 CONCESSION RD 1 W</v>
      </c>
      <c r="C8329" s="3"/>
      <c r="D8329" s="3"/>
      <c r="E8329" s="3" t="str">
        <f>IFERROR(__xludf.DUMMYFUNCTION("""COMPUTED_VALUE"""),"Debra Parks")</f>
        <v>Debra Parks</v>
      </c>
      <c r="F8329" s="3" t="str">
        <f>IFERROR(__xludf.DUMMYFUNCTION("""COMPUTED_VALUE"""),"parkdebram@gmail.com")</f>
        <v>parkdebram@gmail.com</v>
      </c>
      <c r="G8329" s="3"/>
      <c r="H8329" s="3"/>
    </row>
    <row r="8330">
      <c r="A8330" s="2">
        <f>IFERROR(__xludf.DUMMYFUNCTION("""COMPUTED_VALUE"""),30192.0)</f>
        <v>30192</v>
      </c>
      <c r="B8330" s="3" t="str">
        <f>IFERROR(__xludf.DUMMYFUNCTION("""COMPUTED_VALUE"""),"178 CONCESSION RD 1 W")</f>
        <v>178 CONCESSION RD 1 W</v>
      </c>
      <c r="C8330" s="3" t="str">
        <f>IFERROR(__xludf.DUMMYFUNCTION("""COMPUTED_VALUE"""),"TRENT HILLS")</f>
        <v>TRENT HILLS</v>
      </c>
      <c r="D8330" s="3" t="str">
        <f>IFERROR(__xludf.DUMMYFUNCTION("""COMPUTED_VALUE"""),"K0K 3K0")</f>
        <v>K0K 3K0</v>
      </c>
      <c r="E8330" s="3"/>
      <c r="F8330" s="3"/>
      <c r="G8330" s="3"/>
      <c r="H8330" s="3"/>
    </row>
    <row r="8331">
      <c r="A8331" s="2">
        <f>IFERROR(__xludf.DUMMYFUNCTION("""COMPUTED_VALUE"""),30193.0)</f>
        <v>30193</v>
      </c>
      <c r="B8331" s="3" t="str">
        <f>IFERROR(__xludf.DUMMYFUNCTION("""COMPUTED_VALUE"""),"323 CONCESSION RD 1 W")</f>
        <v>323 CONCESSION RD 1 W</v>
      </c>
      <c r="C8331" s="3"/>
      <c r="D8331" s="3"/>
      <c r="E8331" s="3" t="str">
        <f>IFERROR(__xludf.DUMMYFUNCTION("""COMPUTED_VALUE"""),"Rob Black")</f>
        <v>Rob Black</v>
      </c>
      <c r="F8331" s="3" t="str">
        <f>IFERROR(__xludf.DUMMYFUNCTION("""COMPUTED_VALUE"""),"rjblack2123@gmail.com")</f>
        <v>rjblack2123@gmail.com</v>
      </c>
      <c r="G8331" s="3">
        <f>IFERROR(__xludf.DUMMYFUNCTION("""COMPUTED_VALUE"""),7.059770241E9)</f>
        <v>7059770241</v>
      </c>
      <c r="H8331" s="3"/>
    </row>
    <row r="8332">
      <c r="A8332" s="2">
        <f>IFERROR(__xludf.DUMMYFUNCTION("""COMPUTED_VALUE"""),30194.0)</f>
        <v>30194</v>
      </c>
      <c r="B8332" s="3" t="str">
        <f>IFERROR(__xludf.DUMMYFUNCTION("""COMPUTED_VALUE"""),"362 CONCESSION RD 1 W")</f>
        <v>362 CONCESSION RD 1 W</v>
      </c>
      <c r="C8332" s="3" t="str">
        <f>IFERROR(__xludf.DUMMYFUNCTION("""COMPUTED_VALUE"""),"WARKWORTH")</f>
        <v>WARKWORTH</v>
      </c>
      <c r="D8332" s="3" t="str">
        <f>IFERROR(__xludf.DUMMYFUNCTION("""COMPUTED_VALUE"""),"K0K 3K0")</f>
        <v>K0K 3K0</v>
      </c>
      <c r="E8332" s="3" t="str">
        <f>IFERROR(__xludf.DUMMYFUNCTION("""COMPUTED_VALUE"""),"JOHN CUMMINGS")</f>
        <v>JOHN CUMMINGS</v>
      </c>
      <c r="F8332" s="3" t="str">
        <f>IFERROR(__xludf.DUMMYFUNCTION("""COMPUTED_VALUE"""),"jcummings2427@gmail.com")</f>
        <v>jcummings2427@gmail.com</v>
      </c>
      <c r="G8332" s="3"/>
      <c r="H8332" s="3"/>
    </row>
    <row r="8333">
      <c r="A8333" s="2">
        <f>IFERROR(__xludf.DUMMYFUNCTION("""COMPUTED_VALUE"""),30195.0)</f>
        <v>30195</v>
      </c>
      <c r="B8333" s="3" t="str">
        <f>IFERROR(__xludf.DUMMYFUNCTION("""COMPUTED_VALUE"""),"367 CONCESSION RD 1 W")</f>
        <v>367 CONCESSION RD 1 W</v>
      </c>
      <c r="C8333" s="3"/>
      <c r="D8333" s="3"/>
      <c r="E8333" s="3"/>
      <c r="F8333" s="3"/>
      <c r="G8333" s="3"/>
      <c r="H8333" s="3"/>
    </row>
    <row r="8334">
      <c r="A8334" s="2">
        <f>IFERROR(__xludf.DUMMYFUNCTION("""COMPUTED_VALUE"""),30196.0)</f>
        <v>30196</v>
      </c>
      <c r="B8334" s="3" t="str">
        <f>IFERROR(__xludf.DUMMYFUNCTION("""COMPUTED_VALUE"""),"370 CONCESSION 1 W")</f>
        <v>370 CONCESSION 1 W</v>
      </c>
      <c r="C8334" s="3"/>
      <c r="D8334" s="3"/>
      <c r="E8334" s="3" t="str">
        <f>IFERROR(__xludf.DUMMYFUNCTION("""COMPUTED_VALUE"""),"James Walke")</f>
        <v>James Walke</v>
      </c>
      <c r="F8334" s="3" t="str">
        <f>IFERROR(__xludf.DUMMYFUNCTION("""COMPUTED_VALUE"""),"jwalke247@gmail.com")</f>
        <v>jwalke247@gmail.com</v>
      </c>
      <c r="G8334" s="3">
        <f>IFERROR(__xludf.DUMMYFUNCTION("""COMPUTED_VALUE"""),7.059243847E9)</f>
        <v>7059243847</v>
      </c>
      <c r="H8334" s="3"/>
    </row>
    <row r="8335">
      <c r="A8335" s="2">
        <f>IFERROR(__xludf.DUMMYFUNCTION("""COMPUTED_VALUE"""),30201.0)</f>
        <v>30201</v>
      </c>
      <c r="B8335" s="3" t="str">
        <f>IFERROR(__xludf.DUMMYFUNCTION("""COMPUTED_VALUE"""),"532 COUNTY 22 RD ")</f>
        <v>532 COUNTY 22 RD </v>
      </c>
      <c r="C8335" s="3" t="str">
        <f>IFERROR(__xludf.DUMMYFUNCTION("""COMPUTED_VALUE"""),"BALTIMORE")</f>
        <v>BALTIMORE</v>
      </c>
      <c r="D8335" s="3" t="str">
        <f>IFERROR(__xludf.DUMMYFUNCTION("""COMPUTED_VALUE"""),"K0K 1C0")</f>
        <v>K0K 1C0</v>
      </c>
      <c r="E8335" s="3" t="str">
        <f>IFERROR(__xludf.DUMMYFUNCTION("""COMPUTED_VALUE"""),"Paul Salanki")</f>
        <v>Paul Salanki</v>
      </c>
      <c r="F8335" s="3" t="str">
        <f>IFERROR(__xludf.DUMMYFUNCTION("""COMPUTED_VALUE"""),"sundog400@gmail.com")</f>
        <v>sundog400@gmail.com</v>
      </c>
      <c r="G8335" s="3"/>
      <c r="H8335" s="3"/>
    </row>
    <row r="8336">
      <c r="A8336" s="2">
        <f>IFERROR(__xludf.DUMMYFUNCTION("""COMPUTED_VALUE"""),30202.0)</f>
        <v>30202</v>
      </c>
      <c r="B8336" s="3" t="str">
        <f>IFERROR(__xludf.DUMMYFUNCTION("""COMPUTED_VALUE"""),"557 COUNTY 22 RD ")</f>
        <v>557 COUNTY 22 RD </v>
      </c>
      <c r="C8336" s="3" t="str">
        <f>IFERROR(__xludf.DUMMYFUNCTION("""COMPUTED_VALUE"""),"BALTIMORE")</f>
        <v>BALTIMORE</v>
      </c>
      <c r="D8336" s="3" t="str">
        <f>IFERROR(__xludf.DUMMYFUNCTION("""COMPUTED_VALUE"""),"K0K 1C0")</f>
        <v>K0K 1C0</v>
      </c>
      <c r="E8336" s="3" t="str">
        <f>IFERROR(__xludf.DUMMYFUNCTION("""COMPUTED_VALUE"""),"Kaitlyn Elliot")</f>
        <v>Kaitlyn Elliot</v>
      </c>
      <c r="F8336" s="3" t="str">
        <f>IFERROR(__xludf.DUMMYFUNCTION("""COMPUTED_VALUE"""),"kaitlynann98@hotmail.com")</f>
        <v>kaitlynann98@hotmail.com</v>
      </c>
      <c r="G8336" s="3">
        <f>IFERROR(__xludf.DUMMYFUNCTION("""COMPUTED_VALUE"""),6.136615488E9)</f>
        <v>6136615488</v>
      </c>
      <c r="H8336" s="3"/>
    </row>
    <row r="8337">
      <c r="A8337" s="2">
        <f>IFERROR(__xludf.DUMMYFUNCTION("""COMPUTED_VALUE"""),30203.0)</f>
        <v>30203</v>
      </c>
      <c r="B8337" s="3" t="str">
        <f>IFERROR(__xludf.DUMMYFUNCTION("""COMPUTED_VALUE"""),"569 COUNTY 22 RD ")</f>
        <v>569 COUNTY 22 RD </v>
      </c>
      <c r="C8337" s="3" t="str">
        <f>IFERROR(__xludf.DUMMYFUNCTION("""COMPUTED_VALUE"""),"BALTIMORE")</f>
        <v>BALTIMORE</v>
      </c>
      <c r="D8337" s="3" t="str">
        <f>IFERROR(__xludf.DUMMYFUNCTION("""COMPUTED_VALUE"""),"K0K 1C0")</f>
        <v>K0K 1C0</v>
      </c>
      <c r="E8337" s="3"/>
      <c r="F8337" s="3"/>
      <c r="G8337" s="3"/>
      <c r="H8337" s="3"/>
    </row>
    <row r="8338">
      <c r="A8338" s="2">
        <f>IFERROR(__xludf.DUMMYFUNCTION("""COMPUTED_VALUE"""),30204.0)</f>
        <v>30204</v>
      </c>
      <c r="B8338" s="3" t="str">
        <f>IFERROR(__xludf.DUMMYFUNCTION("""COMPUTED_VALUE"""),"626 COUNTY RD 22")</f>
        <v>626 COUNTY RD 22</v>
      </c>
      <c r="C8338" s="3" t="str">
        <f>IFERROR(__xludf.DUMMYFUNCTION("""COMPUTED_VALUE"""),"BALTIMORE")</f>
        <v>BALTIMORE</v>
      </c>
      <c r="D8338" s="3" t="str">
        <f>IFERROR(__xludf.DUMMYFUNCTION("""COMPUTED_VALUE"""),"K0K 1C0")</f>
        <v>K0K 1C0</v>
      </c>
      <c r="E8338" s="3" t="str">
        <f>IFERROR(__xludf.DUMMYFUNCTION("""COMPUTED_VALUE"""),"Angela and Randy Fardella")</f>
        <v>Angela and Randy Fardella</v>
      </c>
      <c r="F8338" s="3" t="str">
        <f>IFERROR(__xludf.DUMMYFUNCTION("""COMPUTED_VALUE"""),"randyfardella@hotmail.com")</f>
        <v>randyfardella@hotmail.com</v>
      </c>
      <c r="G8338" s="3"/>
      <c r="H8338" s="3"/>
    </row>
    <row r="8339">
      <c r="A8339" s="2">
        <f>IFERROR(__xludf.DUMMYFUNCTION("""COMPUTED_VALUE"""),30205.0)</f>
        <v>30205</v>
      </c>
      <c r="B8339" s="3" t="str">
        <f>IFERROR(__xludf.DUMMYFUNCTION("""COMPUTED_VALUE"""),"649 COUNTY 22 RD ")</f>
        <v>649 COUNTY 22 RD </v>
      </c>
      <c r="C8339" s="3" t="str">
        <f>IFERROR(__xludf.DUMMYFUNCTION("""COMPUTED_VALUE"""),"BALTIMORE")</f>
        <v>BALTIMORE</v>
      </c>
      <c r="D8339" s="3" t="str">
        <f>IFERROR(__xludf.DUMMYFUNCTION("""COMPUTED_VALUE"""),"K0K 1C0")</f>
        <v>K0K 1C0</v>
      </c>
      <c r="E8339" s="3" t="str">
        <f>IFERROR(__xludf.DUMMYFUNCTION("""COMPUTED_VALUE"""),"Darlene &amp; Murray Graham ")</f>
        <v>Darlene &amp; Murray Graham </v>
      </c>
      <c r="F8339" s="3" t="str">
        <f>IFERROR(__xludf.DUMMYFUNCTION("""COMPUTED_VALUE"""),"darmurgraham@gmail.com")</f>
        <v>darmurgraham@gmail.com</v>
      </c>
      <c r="G8339" s="3"/>
      <c r="H8339" s="3"/>
    </row>
    <row r="8340">
      <c r="A8340" s="2">
        <f>IFERROR(__xludf.DUMMYFUNCTION("""COMPUTED_VALUE"""),30206.0)</f>
        <v>30206</v>
      </c>
      <c r="B8340" s="3" t="str">
        <f>IFERROR(__xludf.DUMMYFUNCTION("""COMPUTED_VALUE"""),"652 COUNTY 22 RD ")</f>
        <v>652 COUNTY 22 RD </v>
      </c>
      <c r="C8340" s="3" t="str">
        <f>IFERROR(__xludf.DUMMYFUNCTION("""COMPUTED_VALUE"""),"BALTIMORE")</f>
        <v>BALTIMORE</v>
      </c>
      <c r="D8340" s="3" t="str">
        <f>IFERROR(__xludf.DUMMYFUNCTION("""COMPUTED_VALUE"""),"K0K 1C0")</f>
        <v>K0K 1C0</v>
      </c>
      <c r="E8340" s="3" t="str">
        <f>IFERROR(__xludf.DUMMYFUNCTION("""COMPUTED_VALUE"""),"Donald Leblond")</f>
        <v>Donald Leblond</v>
      </c>
      <c r="F8340" s="3" t="str">
        <f>IFERROR(__xludf.DUMMYFUNCTION("""COMPUTED_VALUE"""),"donleblond50@gmail.com")</f>
        <v>donleblond50@gmail.com</v>
      </c>
      <c r="G8340" s="3"/>
      <c r="H8340" s="3"/>
    </row>
    <row r="8341">
      <c r="A8341" s="2">
        <f>IFERROR(__xludf.DUMMYFUNCTION("""COMPUTED_VALUE"""),30207.0)</f>
        <v>30207</v>
      </c>
      <c r="B8341" s="3" t="str">
        <f>IFERROR(__xludf.DUMMYFUNCTION("""COMPUTED_VALUE"""),"677 COUNTY 22 RD ")</f>
        <v>677 COUNTY 22 RD </v>
      </c>
      <c r="C8341" s="3" t="str">
        <f>IFERROR(__xludf.DUMMYFUNCTION("""COMPUTED_VALUE"""),"BALTIMORE")</f>
        <v>BALTIMORE</v>
      </c>
      <c r="D8341" s="3" t="str">
        <f>IFERROR(__xludf.DUMMYFUNCTION("""COMPUTED_VALUE"""),"K0K 1C0")</f>
        <v>K0K 1C0</v>
      </c>
      <c r="E8341" s="3" t="str">
        <f>IFERROR(__xludf.DUMMYFUNCTION("""COMPUTED_VALUE"""),"Lois Stephen")</f>
        <v>Lois Stephen</v>
      </c>
      <c r="F8341" s="3" t="str">
        <f>IFERROR(__xludf.DUMMYFUNCTION("""COMPUTED_VALUE"""),"N/A")</f>
        <v>N/A</v>
      </c>
      <c r="G8341" s="3">
        <f>IFERROR(__xludf.DUMMYFUNCTION("""COMPUTED_VALUE"""),9.053492449E9)</f>
        <v>9053492449</v>
      </c>
      <c r="H8341" s="3"/>
    </row>
    <row r="8342">
      <c r="A8342" s="2">
        <f>IFERROR(__xludf.DUMMYFUNCTION("""COMPUTED_VALUE"""),30208.0)</f>
        <v>30208</v>
      </c>
      <c r="B8342" s="3" t="str">
        <f>IFERROR(__xludf.DUMMYFUNCTION("""COMPUTED_VALUE"""),"678 COUNTY 22 RD ")</f>
        <v>678 COUNTY 22 RD </v>
      </c>
      <c r="C8342" s="3" t="str">
        <f>IFERROR(__xludf.DUMMYFUNCTION("""COMPUTED_VALUE"""),"BALTIMORE")</f>
        <v>BALTIMORE</v>
      </c>
      <c r="D8342" s="3" t="str">
        <f>IFERROR(__xludf.DUMMYFUNCTION("""COMPUTED_VALUE"""),"K0K 1C0")</f>
        <v>K0K 1C0</v>
      </c>
      <c r="E8342" s="3" t="str">
        <f>IFERROR(__xludf.DUMMYFUNCTION("""COMPUTED_VALUE"""),"Linda Burley")</f>
        <v>Linda Burley</v>
      </c>
      <c r="F8342" s="3" t="str">
        <f>IFERROR(__xludf.DUMMYFUNCTION("""COMPUTED_VALUE"""),"lburley48@gmail.com")</f>
        <v>lburley48@gmail.com</v>
      </c>
      <c r="G8342" s="3"/>
      <c r="H8342" s="3"/>
    </row>
    <row r="8343">
      <c r="A8343" s="2">
        <f>IFERROR(__xludf.DUMMYFUNCTION("""COMPUTED_VALUE"""),30209.0)</f>
        <v>30209</v>
      </c>
      <c r="B8343" s="3" t="str">
        <f>IFERROR(__xludf.DUMMYFUNCTION("""COMPUTED_VALUE"""),"692 COUNTY 22 RD ")</f>
        <v>692 COUNTY 22 RD </v>
      </c>
      <c r="C8343" s="3" t="str">
        <f>IFERROR(__xludf.DUMMYFUNCTION("""COMPUTED_VALUE"""),"BALTIMORE")</f>
        <v>BALTIMORE</v>
      </c>
      <c r="D8343" s="3" t="str">
        <f>IFERROR(__xludf.DUMMYFUNCTION("""COMPUTED_VALUE"""),"K0K 1C0")</f>
        <v>K0K 1C0</v>
      </c>
      <c r="E8343" s="3"/>
      <c r="F8343" s="3"/>
      <c r="G8343" s="3"/>
      <c r="H8343" s="3"/>
    </row>
    <row r="8344">
      <c r="A8344" s="2">
        <f>IFERROR(__xludf.DUMMYFUNCTION("""COMPUTED_VALUE"""),30210.0)</f>
        <v>30210</v>
      </c>
      <c r="B8344" s="3" t="str">
        <f>IFERROR(__xludf.DUMMYFUNCTION("""COMPUTED_VALUE"""),"695 COUNTY 22 RD ")</f>
        <v>695 COUNTY 22 RD </v>
      </c>
      <c r="C8344" s="3" t="str">
        <f>IFERROR(__xludf.DUMMYFUNCTION("""COMPUTED_VALUE"""),"BALTIMORE")</f>
        <v>BALTIMORE</v>
      </c>
      <c r="D8344" s="3" t="str">
        <f>IFERROR(__xludf.DUMMYFUNCTION("""COMPUTED_VALUE"""),"K0K 1C0")</f>
        <v>K0K 1C0</v>
      </c>
      <c r="E8344" s="3" t="str">
        <f>IFERROR(__xludf.DUMMYFUNCTION("""COMPUTED_VALUE"""),"Paul MEADE")</f>
        <v>Paul MEADE</v>
      </c>
      <c r="F8344" s="3" t="str">
        <f>IFERROR(__xludf.DUMMYFUNCTION("""COMPUTED_VALUE"""),"paul.meade@nexicom.net")</f>
        <v>paul.meade@nexicom.net</v>
      </c>
      <c r="G8344" s="3"/>
      <c r="H8344" s="3"/>
    </row>
    <row r="8345">
      <c r="A8345" s="2">
        <f>IFERROR(__xludf.DUMMYFUNCTION("""COMPUTED_VALUE"""),30211.0)</f>
        <v>30211</v>
      </c>
      <c r="B8345" s="3" t="str">
        <f>IFERROR(__xludf.DUMMYFUNCTION("""COMPUTED_VALUE"""),"735 COUNTY 22 RD ")</f>
        <v>735 COUNTY 22 RD </v>
      </c>
      <c r="C8345" s="3" t="str">
        <f>IFERROR(__xludf.DUMMYFUNCTION("""COMPUTED_VALUE"""),"BALTIMORE")</f>
        <v>BALTIMORE</v>
      </c>
      <c r="D8345" s="3" t="str">
        <f>IFERROR(__xludf.DUMMYFUNCTION("""COMPUTED_VALUE"""),"K0K 1C0")</f>
        <v>K0K 1C0</v>
      </c>
      <c r="E8345" s="3" t="str">
        <f>IFERROR(__xludf.DUMMYFUNCTION("""COMPUTED_VALUE"""),"Paul Wakelin")</f>
        <v>Paul Wakelin</v>
      </c>
      <c r="F8345" s="3" t="str">
        <f>IFERROR(__xludf.DUMMYFUNCTION("""COMPUTED_VALUE"""),"paulwakelin@live.ca")</f>
        <v>paulwakelin@live.ca</v>
      </c>
      <c r="G8345" s="3"/>
      <c r="H8345" s="3"/>
    </row>
    <row r="8346">
      <c r="A8346" s="2">
        <f>IFERROR(__xludf.DUMMYFUNCTION("""COMPUTED_VALUE"""),30212.0)</f>
        <v>30212</v>
      </c>
      <c r="B8346" s="3" t="str">
        <f>IFERROR(__xludf.DUMMYFUNCTION("""COMPUTED_VALUE"""),"788 COUNTY 22 RD ")</f>
        <v>788 COUNTY 22 RD </v>
      </c>
      <c r="C8346" s="3" t="str">
        <f>IFERROR(__xludf.DUMMYFUNCTION("""COMPUTED_VALUE"""),"BALTIMORE")</f>
        <v>BALTIMORE</v>
      </c>
      <c r="D8346" s="3" t="str">
        <f>IFERROR(__xludf.DUMMYFUNCTION("""COMPUTED_VALUE"""),"K0K 1C0")</f>
        <v>K0K 1C0</v>
      </c>
      <c r="E8346" s="3" t="str">
        <f>IFERROR(__xludf.DUMMYFUNCTION("""COMPUTED_VALUE"""),"Alexis Ferguson")</f>
        <v>Alexis Ferguson</v>
      </c>
      <c r="F8346" s="3" t="str">
        <f>IFERROR(__xludf.DUMMYFUNCTION("""COMPUTED_VALUE"""),"alexisfergusonuniquegifts@outlook.com")</f>
        <v>alexisfergusonuniquegifts@outlook.com</v>
      </c>
      <c r="G8346" s="3">
        <f>IFERROR(__xludf.DUMMYFUNCTION("""COMPUTED_VALUE"""),2.892516367E9)</f>
        <v>2892516367</v>
      </c>
      <c r="H8346" s="3"/>
    </row>
    <row r="8347">
      <c r="A8347" s="2">
        <f>IFERROR(__xludf.DUMMYFUNCTION("""COMPUTED_VALUE"""),30213.0)</f>
        <v>30213</v>
      </c>
      <c r="B8347" s="3" t="str">
        <f>IFERROR(__xludf.DUMMYFUNCTION("""COMPUTED_VALUE"""),"790 COUNTY 22 RD ")</f>
        <v>790 COUNTY 22 RD </v>
      </c>
      <c r="C8347" s="3" t="str">
        <f>IFERROR(__xludf.DUMMYFUNCTION("""COMPUTED_VALUE"""),"BALTIMORE")</f>
        <v>BALTIMORE</v>
      </c>
      <c r="D8347" s="3" t="str">
        <f>IFERROR(__xludf.DUMMYFUNCTION("""COMPUTED_VALUE"""),"K0K 1C0")</f>
        <v>K0K 1C0</v>
      </c>
      <c r="E8347" s="3" t="str">
        <f>IFERROR(__xludf.DUMMYFUNCTION("""COMPUTED_VALUE"""),"Allan &amp; Elizabeth Smith")</f>
        <v>Allan &amp; Elizabeth Smith</v>
      </c>
      <c r="F8347" s="3" t="str">
        <f>IFERROR(__xludf.DUMMYFUNCTION("""COMPUTED_VALUE"""),"wbeebe@eagle.ca")</f>
        <v>wbeebe@eagle.ca</v>
      </c>
      <c r="G8347" s="3">
        <f>IFERROR(__xludf.DUMMYFUNCTION("""COMPUTED_VALUE"""),9.053492675E9)</f>
        <v>9053492675</v>
      </c>
      <c r="H8347" s="3">
        <f>IFERROR(__xludf.DUMMYFUNCTION("""COMPUTED_VALUE"""),9.053760277E9)</f>
        <v>9053760277</v>
      </c>
    </row>
    <row r="8348">
      <c r="A8348" s="2">
        <f>IFERROR(__xludf.DUMMYFUNCTION("""COMPUTED_VALUE"""),30214.0)</f>
        <v>30214</v>
      </c>
      <c r="B8348" s="3" t="str">
        <f>IFERROR(__xludf.DUMMYFUNCTION("""COMPUTED_VALUE"""),"800 COUNTY 22 RD ")</f>
        <v>800 COUNTY 22 RD </v>
      </c>
      <c r="C8348" s="3" t="str">
        <f>IFERROR(__xludf.DUMMYFUNCTION("""COMPUTED_VALUE"""),"BALTIMORE")</f>
        <v>BALTIMORE</v>
      </c>
      <c r="D8348" s="3" t="str">
        <f>IFERROR(__xludf.DUMMYFUNCTION("""COMPUTED_VALUE"""),"K0K 1C0")</f>
        <v>K0K 1C0</v>
      </c>
      <c r="E8348" s="3" t="str">
        <f>IFERROR(__xludf.DUMMYFUNCTION("""COMPUTED_VALUE"""),"Tanya Greenwood")</f>
        <v>Tanya Greenwood</v>
      </c>
      <c r="F8348" s="3" t="str">
        <f>IFERROR(__xludf.DUMMYFUNCTION("""COMPUTED_VALUE"""),"tanyagreenwood@hotmail.ca")</f>
        <v>tanyagreenwood@hotmail.ca</v>
      </c>
      <c r="G8348" s="3"/>
      <c r="H8348" s="3"/>
    </row>
    <row r="8349">
      <c r="A8349" s="2">
        <f>IFERROR(__xludf.DUMMYFUNCTION("""COMPUTED_VALUE"""),30215.0)</f>
        <v>30215</v>
      </c>
      <c r="B8349" s="3" t="str">
        <f>IFERROR(__xludf.DUMMYFUNCTION("""COMPUTED_VALUE"""),"812 COUNTY 22 RD ")</f>
        <v>812 COUNTY 22 RD </v>
      </c>
      <c r="C8349" s="3" t="str">
        <f>IFERROR(__xludf.DUMMYFUNCTION("""COMPUTED_VALUE"""),"BALTIMORE")</f>
        <v>BALTIMORE</v>
      </c>
      <c r="D8349" s="3" t="str">
        <f>IFERROR(__xludf.DUMMYFUNCTION("""COMPUTED_VALUE"""),"K0K 1C0")</f>
        <v>K0K 1C0</v>
      </c>
      <c r="E8349" s="3" t="str">
        <f>IFERROR(__xludf.DUMMYFUNCTION("""COMPUTED_VALUE"""),"Oladele Adebayo")</f>
        <v>Oladele Adebayo</v>
      </c>
      <c r="F8349" s="3" t="str">
        <f>IFERROR(__xludf.DUMMYFUNCTION("""COMPUTED_VALUE"""),"bayo_p@hotmail.com")</f>
        <v>bayo_p@hotmail.com</v>
      </c>
      <c r="G8349" s="3">
        <f>IFERROR(__xludf.DUMMYFUNCTION("""COMPUTED_VALUE"""),9.053492487E9)</f>
        <v>9053492487</v>
      </c>
      <c r="H8349" s="3">
        <f>IFERROR(__xludf.DUMMYFUNCTION("""COMPUTED_VALUE"""),2.892510609E9)</f>
        <v>2892510609</v>
      </c>
    </row>
    <row r="8350">
      <c r="A8350" s="2">
        <f>IFERROR(__xludf.DUMMYFUNCTION("""COMPUTED_VALUE"""),30216.0)</f>
        <v>30216</v>
      </c>
      <c r="B8350" s="3" t="str">
        <f>IFERROR(__xludf.DUMMYFUNCTION("""COMPUTED_VALUE"""),"835 COUNTY 22 RD ")</f>
        <v>835 COUNTY 22 RD </v>
      </c>
      <c r="C8350" s="3" t="str">
        <f>IFERROR(__xludf.DUMMYFUNCTION("""COMPUTED_VALUE"""),"BALTIMORE")</f>
        <v>BALTIMORE</v>
      </c>
      <c r="D8350" s="3" t="str">
        <f>IFERROR(__xludf.DUMMYFUNCTION("""COMPUTED_VALUE"""),"K0K 1C0")</f>
        <v>K0K 1C0</v>
      </c>
      <c r="E8350" s="3" t="str">
        <f>IFERROR(__xludf.DUMMYFUNCTION("""COMPUTED_VALUE"""),"Benjamin Snoek")</f>
        <v>Benjamin Snoek</v>
      </c>
      <c r="F8350" s="3" t="str">
        <f>IFERROR(__xludf.DUMMYFUNCTION("""COMPUTED_VALUE"""),"snoekben@gmail.com")</f>
        <v>snoekben@gmail.com</v>
      </c>
      <c r="G8350" s="3">
        <f>IFERROR(__xludf.DUMMYFUNCTION("""COMPUTED_VALUE"""),9.053762115E9)</f>
        <v>9053762115</v>
      </c>
      <c r="H8350" s="3">
        <f>IFERROR(__xludf.DUMMYFUNCTION("""COMPUTED_VALUE"""),9.052695845E9)</f>
        <v>9052695845</v>
      </c>
    </row>
    <row r="8351">
      <c r="A8351" s="2">
        <f>IFERROR(__xludf.DUMMYFUNCTION("""COMPUTED_VALUE"""),30217.0)</f>
        <v>30217</v>
      </c>
      <c r="B8351" s="3" t="str">
        <f>IFERROR(__xludf.DUMMYFUNCTION("""COMPUTED_VALUE"""),"845 COUNTY 22 RD ")</f>
        <v>845 COUNTY 22 RD </v>
      </c>
      <c r="C8351" s="3" t="str">
        <f>IFERROR(__xludf.DUMMYFUNCTION("""COMPUTED_VALUE"""),"BALTIMORE")</f>
        <v>BALTIMORE</v>
      </c>
      <c r="D8351" s="3" t="str">
        <f>IFERROR(__xludf.DUMMYFUNCTION("""COMPUTED_VALUE"""),"K0K 1C0")</f>
        <v>K0K 1C0</v>
      </c>
      <c r="E8351" s="3" t="str">
        <f>IFERROR(__xludf.DUMMYFUNCTION("""COMPUTED_VALUE"""),"Janice Houston")</f>
        <v>Janice Houston</v>
      </c>
      <c r="F8351" s="3" t="str">
        <f>IFERROR(__xludf.DUMMYFUNCTION("""COMPUTED_VALUE"""),"houstonjanice@hotmail.com")</f>
        <v>houstonjanice@hotmail.com</v>
      </c>
      <c r="G8351" s="3">
        <f>IFERROR(__xludf.DUMMYFUNCTION("""COMPUTED_VALUE"""),9.053493005E9)</f>
        <v>9053493005</v>
      </c>
      <c r="H8351" s="3">
        <f>IFERROR(__xludf.DUMMYFUNCTION("""COMPUTED_VALUE"""),9.052694593E9)</f>
        <v>9052694593</v>
      </c>
    </row>
    <row r="8352">
      <c r="A8352" s="2">
        <f>IFERROR(__xludf.DUMMYFUNCTION("""COMPUTED_VALUE"""),30218.0)</f>
        <v>30218</v>
      </c>
      <c r="B8352" s="3" t="str">
        <f>IFERROR(__xludf.DUMMYFUNCTION("""COMPUTED_VALUE"""),"859 COUNTY 22 RD ")</f>
        <v>859 COUNTY 22 RD </v>
      </c>
      <c r="C8352" s="3" t="str">
        <f>IFERROR(__xludf.DUMMYFUNCTION("""COMPUTED_VALUE"""),"BALTIMORE")</f>
        <v>BALTIMORE</v>
      </c>
      <c r="D8352" s="3" t="str">
        <f>IFERROR(__xludf.DUMMYFUNCTION("""COMPUTED_VALUE"""),"K0K 1C0")</f>
        <v>K0K 1C0</v>
      </c>
      <c r="E8352" s="3" t="str">
        <f>IFERROR(__xludf.DUMMYFUNCTION("""COMPUTED_VALUE"""),"Tracy Heideman")</f>
        <v>Tracy Heideman</v>
      </c>
      <c r="F8352" s="3" t="str">
        <f>IFERROR(__xludf.DUMMYFUNCTION("""COMPUTED_VALUE"""),"tlheideman@hotmail.com")</f>
        <v>tlheideman@hotmail.com</v>
      </c>
      <c r="G8352" s="3">
        <f>IFERROR(__xludf.DUMMYFUNCTION("""COMPUTED_VALUE"""),9.053492539E9)</f>
        <v>9053492539</v>
      </c>
      <c r="H8352" s="3">
        <f>IFERROR(__xludf.DUMMYFUNCTION("""COMPUTED_VALUE"""),9.05375731E9)</f>
        <v>9053757310</v>
      </c>
    </row>
    <row r="8353">
      <c r="A8353" s="2">
        <f>IFERROR(__xludf.DUMMYFUNCTION("""COMPUTED_VALUE"""),30219.0)</f>
        <v>30219</v>
      </c>
      <c r="B8353" s="3" t="str">
        <f>IFERROR(__xludf.DUMMYFUNCTION("""COMPUTED_VALUE"""),"910 COUNTY 22 RD ")</f>
        <v>910 COUNTY 22 RD </v>
      </c>
      <c r="C8353" s="3" t="str">
        <f>IFERROR(__xludf.DUMMYFUNCTION("""COMPUTED_VALUE"""),"BALTIMORE")</f>
        <v>BALTIMORE</v>
      </c>
      <c r="D8353" s="3" t="str">
        <f>IFERROR(__xludf.DUMMYFUNCTION("""COMPUTED_VALUE"""),"K0K 1C0")</f>
        <v>K0K 1C0</v>
      </c>
      <c r="E8353" s="3"/>
      <c r="F8353" s="3"/>
      <c r="G8353" s="3"/>
      <c r="H8353" s="3"/>
    </row>
    <row r="8354">
      <c r="A8354" s="2">
        <f>IFERROR(__xludf.DUMMYFUNCTION("""COMPUTED_VALUE"""),30220.0)</f>
        <v>30220</v>
      </c>
      <c r="B8354" s="3" t="str">
        <f>IFERROR(__xludf.DUMMYFUNCTION("""COMPUTED_VALUE"""),"944 COUNTY 22 RD ")</f>
        <v>944 COUNTY 22 RD </v>
      </c>
      <c r="C8354" s="3" t="str">
        <f>IFERROR(__xludf.DUMMYFUNCTION("""COMPUTED_VALUE"""),"GRAFTON")</f>
        <v>GRAFTON</v>
      </c>
      <c r="D8354" s="3" t="str">
        <f>IFERROR(__xludf.DUMMYFUNCTION("""COMPUTED_VALUE"""),"K0K 2G0")</f>
        <v>K0K 2G0</v>
      </c>
      <c r="E8354" s="3" t="str">
        <f>IFERROR(__xludf.DUMMYFUNCTION("""COMPUTED_VALUE"""),"Matthew Martin")</f>
        <v>Matthew Martin</v>
      </c>
      <c r="F8354" s="3" t="str">
        <f>IFERROR(__xludf.DUMMYFUNCTION("""COMPUTED_VALUE"""),"matthewmartin@gmail.com")</f>
        <v>matthewmartin@gmail.com</v>
      </c>
      <c r="G8354" s="3"/>
      <c r="H8354" s="3"/>
    </row>
    <row r="8355">
      <c r="A8355" s="2">
        <f>IFERROR(__xludf.DUMMYFUNCTION("""COMPUTED_VALUE"""),30221.0)</f>
        <v>30221</v>
      </c>
      <c r="B8355" s="3" t="str">
        <f>IFERROR(__xludf.DUMMYFUNCTION("""COMPUTED_VALUE"""),"946 COUNTY 22 RD ")</f>
        <v>946 COUNTY 22 RD </v>
      </c>
      <c r="C8355" s="3" t="str">
        <f>IFERROR(__xludf.DUMMYFUNCTION("""COMPUTED_VALUE"""),"GRAFTON")</f>
        <v>GRAFTON</v>
      </c>
      <c r="D8355" s="3" t="str">
        <f>IFERROR(__xludf.DUMMYFUNCTION("""COMPUTED_VALUE"""),"K0K 2G0")</f>
        <v>K0K 2G0</v>
      </c>
      <c r="E8355" s="3" t="str">
        <f>IFERROR(__xludf.DUMMYFUNCTION("""COMPUTED_VALUE"""),"Marcel Willoughby ")</f>
        <v>Marcel Willoughby </v>
      </c>
      <c r="F8355" s="3" t="str">
        <f>IFERROR(__xludf.DUMMYFUNCTION("""COMPUTED_VALUE"""),"marcel.w0922@gmail.com")</f>
        <v>marcel.w0922@gmail.com</v>
      </c>
      <c r="G8355" s="3">
        <f>IFERROR(__xludf.DUMMYFUNCTION("""COMPUTED_VALUE"""),2.892517082E9)</f>
        <v>2892517082</v>
      </c>
      <c r="H8355" s="3"/>
    </row>
    <row r="8356">
      <c r="A8356" s="2">
        <f>IFERROR(__xludf.DUMMYFUNCTION("""COMPUTED_VALUE"""),30222.0)</f>
        <v>30222</v>
      </c>
      <c r="B8356" s="3" t="str">
        <f>IFERROR(__xludf.DUMMYFUNCTION("""COMPUTED_VALUE"""),"947 COUNTY 22 RD ")</f>
        <v>947 COUNTY 22 RD </v>
      </c>
      <c r="C8356" s="3" t="str">
        <f>IFERROR(__xludf.DUMMYFUNCTION("""COMPUTED_VALUE"""),"BALTIMORE")</f>
        <v>BALTIMORE</v>
      </c>
      <c r="D8356" s="3" t="str">
        <f>IFERROR(__xludf.DUMMYFUNCTION("""COMPUTED_VALUE"""),"K0K 1C0")</f>
        <v>K0K 1C0</v>
      </c>
      <c r="E8356" s="3" t="str">
        <f>IFERROR(__xludf.DUMMYFUNCTION("""COMPUTED_VALUE"""),"Alfons Casteels")</f>
        <v>Alfons Casteels</v>
      </c>
      <c r="F8356" s="3" t="str">
        <f>IFERROR(__xludf.DUMMYFUNCTION("""COMPUTED_VALUE"""),"dialcas@eml.cc")</f>
        <v>dialcas@eml.cc</v>
      </c>
      <c r="G8356" s="3">
        <f>IFERROR(__xludf.DUMMYFUNCTION("""COMPUTED_VALUE"""),9.052692352E9)</f>
        <v>9052692352</v>
      </c>
      <c r="H8356" s="3"/>
    </row>
    <row r="8357">
      <c r="A8357" s="2">
        <f>IFERROR(__xludf.DUMMYFUNCTION("""COMPUTED_VALUE"""),30223.0)</f>
        <v>30223</v>
      </c>
      <c r="B8357" s="3" t="str">
        <f>IFERROR(__xludf.DUMMYFUNCTION("""COMPUTED_VALUE"""),"977 COUNTY 22 RD ")</f>
        <v>977 COUNTY 22 RD </v>
      </c>
      <c r="C8357" s="3" t="str">
        <f>IFERROR(__xludf.DUMMYFUNCTION("""COMPUTED_VALUE"""),"GRAFTON")</f>
        <v>GRAFTON</v>
      </c>
      <c r="D8357" s="3" t="str">
        <f>IFERROR(__xludf.DUMMYFUNCTION("""COMPUTED_VALUE"""),"K0K 2G0")</f>
        <v>K0K 2G0</v>
      </c>
      <c r="E8357" s="3" t="str">
        <f>IFERROR(__xludf.DUMMYFUNCTION("""COMPUTED_VALUE"""),"Ron Baggaley")</f>
        <v>Ron Baggaley</v>
      </c>
      <c r="F8357" s="3" t="str">
        <f>IFERROR(__xludf.DUMMYFUNCTION("""COMPUTED_VALUE"""),"rotten1ron51@gmail.com")</f>
        <v>rotten1ron51@gmail.com</v>
      </c>
      <c r="G8357" s="3"/>
      <c r="H8357" s="3"/>
    </row>
    <row r="8358">
      <c r="A8358" s="2">
        <f>IFERROR(__xludf.DUMMYFUNCTION("""COMPUTED_VALUE"""),30224.0)</f>
        <v>30224</v>
      </c>
      <c r="B8358" s="3" t="str">
        <f>IFERROR(__xludf.DUMMYFUNCTION("""COMPUTED_VALUE"""),"1080 COUNTY RD 22")</f>
        <v>1080 COUNTY RD 22</v>
      </c>
      <c r="C8358" s="3" t="str">
        <f>IFERROR(__xludf.DUMMYFUNCTION("""COMPUTED_VALUE"""),"GRAFTON")</f>
        <v>GRAFTON</v>
      </c>
      <c r="D8358" s="3" t="str">
        <f>IFERROR(__xludf.DUMMYFUNCTION("""COMPUTED_VALUE"""),"K0K 2G0")</f>
        <v>K0K 2G0</v>
      </c>
      <c r="E8358" s="3" t="str">
        <f>IFERROR(__xludf.DUMMYFUNCTION("""COMPUTED_VALUE"""),"James McEldon")</f>
        <v>James McEldon</v>
      </c>
      <c r="F8358" s="3" t="str">
        <f>IFERROR(__xludf.DUMMYFUNCTION("""COMPUTED_VALUE"""),"jmceldon@hotmail.com")</f>
        <v>jmceldon@hotmail.com</v>
      </c>
      <c r="G8358" s="3">
        <f>IFERROR(__xludf.DUMMYFUNCTION("""COMPUTED_VALUE"""),2.896755469E9)</f>
        <v>2896755469</v>
      </c>
      <c r="H8358" s="3"/>
    </row>
    <row r="8359">
      <c r="A8359" s="2">
        <f>IFERROR(__xludf.DUMMYFUNCTION("""COMPUTED_VALUE"""),30225.0)</f>
        <v>30225</v>
      </c>
      <c r="B8359" s="3" t="str">
        <f>IFERROR(__xludf.DUMMYFUNCTION("""COMPUTED_VALUE"""),"1092 COUNTY RD 22 ")</f>
        <v>1092 COUNTY RD 22 </v>
      </c>
      <c r="C8359" s="3" t="str">
        <f>IFERROR(__xludf.DUMMYFUNCTION("""COMPUTED_VALUE"""),"GRAFTON")</f>
        <v>GRAFTON</v>
      </c>
      <c r="D8359" s="3" t="str">
        <f>IFERROR(__xludf.DUMMYFUNCTION("""COMPUTED_VALUE"""),"K0K 2G0")</f>
        <v>K0K 2G0</v>
      </c>
      <c r="E8359" s="3" t="str">
        <f>IFERROR(__xludf.DUMMYFUNCTION("""COMPUTED_VALUE"""),"Chtistine Smith")</f>
        <v>Chtistine Smith</v>
      </c>
      <c r="F8359" s="3" t="str">
        <f>IFERROR(__xludf.DUMMYFUNCTION("""COMPUTED_VALUE"""),"countyroadcafe@gmail.com")</f>
        <v>countyroadcafe@gmail.com</v>
      </c>
      <c r="G8359" s="3">
        <f>IFERROR(__xludf.DUMMYFUNCTION("""COMPUTED_VALUE"""),9.059257297E9)</f>
        <v>9059257297</v>
      </c>
      <c r="H8359" s="3"/>
    </row>
    <row r="8360">
      <c r="A8360" s="2">
        <f>IFERROR(__xludf.DUMMYFUNCTION("""COMPUTED_VALUE"""),30226.0)</f>
        <v>30226</v>
      </c>
      <c r="B8360" s="3" t="str">
        <f>IFERROR(__xludf.DUMMYFUNCTION("""COMPUTED_VALUE"""),"1112 COUNTY 22 RD ")</f>
        <v>1112 COUNTY 22 RD </v>
      </c>
      <c r="C8360" s="3" t="str">
        <f>IFERROR(__xludf.DUMMYFUNCTION("""COMPUTED_VALUE"""),"GRAFTON")</f>
        <v>GRAFTON</v>
      </c>
      <c r="D8360" s="3" t="str">
        <f>IFERROR(__xludf.DUMMYFUNCTION("""COMPUTED_VALUE"""),"K0K 2G0")</f>
        <v>K0K 2G0</v>
      </c>
      <c r="E8360" s="3"/>
      <c r="F8360" s="3"/>
      <c r="G8360" s="3"/>
      <c r="H8360" s="3"/>
    </row>
    <row r="8361">
      <c r="A8361" s="2">
        <f>IFERROR(__xludf.DUMMYFUNCTION("""COMPUTED_VALUE"""),30227.0)</f>
        <v>30227</v>
      </c>
      <c r="B8361" s="3" t="str">
        <f>IFERROR(__xludf.DUMMYFUNCTION("""COMPUTED_VALUE"""),"1119 COUNTY 22 RD ")</f>
        <v>1119 COUNTY 22 RD </v>
      </c>
      <c r="C8361" s="3" t="str">
        <f>IFERROR(__xludf.DUMMYFUNCTION("""COMPUTED_VALUE"""),"GRAFTON")</f>
        <v>GRAFTON</v>
      </c>
      <c r="D8361" s="3" t="str">
        <f>IFERROR(__xludf.DUMMYFUNCTION("""COMPUTED_VALUE"""),"K0K 2G0")</f>
        <v>K0K 2G0</v>
      </c>
      <c r="E8361" s="3"/>
      <c r="F8361" s="3"/>
      <c r="G8361" s="3"/>
      <c r="H8361" s="3"/>
    </row>
    <row r="8362">
      <c r="A8362" s="2">
        <f>IFERROR(__xludf.DUMMYFUNCTION("""COMPUTED_VALUE"""),30228.0)</f>
        <v>30228</v>
      </c>
      <c r="B8362" s="3" t="str">
        <f>IFERROR(__xludf.DUMMYFUNCTION("""COMPUTED_VALUE"""),"1121 COUNTY 22 RD ")</f>
        <v>1121 COUNTY 22 RD </v>
      </c>
      <c r="C8362" s="3" t="str">
        <f>IFERROR(__xludf.DUMMYFUNCTION("""COMPUTED_VALUE"""),"GRAFTON")</f>
        <v>GRAFTON</v>
      </c>
      <c r="D8362" s="3" t="str">
        <f>IFERROR(__xludf.DUMMYFUNCTION("""COMPUTED_VALUE"""),"K0K 2G0")</f>
        <v>K0K 2G0</v>
      </c>
      <c r="E8362" s="3" t="str">
        <f>IFERROR(__xludf.DUMMYFUNCTION("""COMPUTED_VALUE"""),"Brittany Pillar")</f>
        <v>Brittany Pillar</v>
      </c>
      <c r="F8362" s="3" t="str">
        <f>IFERROR(__xludf.DUMMYFUNCTION("""COMPUTED_VALUE"""),"brit_pillar@sympatico.ca")</f>
        <v>brit_pillar@sympatico.ca</v>
      </c>
      <c r="G8362" s="3">
        <f>IFERROR(__xludf.DUMMYFUNCTION("""COMPUTED_VALUE"""),9.053960352E9)</f>
        <v>9053960352</v>
      </c>
      <c r="H8362" s="3"/>
    </row>
    <row r="8363">
      <c r="A8363" s="2">
        <f>IFERROR(__xludf.DUMMYFUNCTION("""COMPUTED_VALUE"""),30229.0)</f>
        <v>30229</v>
      </c>
      <c r="B8363" s="3" t="str">
        <f>IFERROR(__xludf.DUMMYFUNCTION("""COMPUTED_VALUE"""),"1122 COUNTY RD 22")</f>
        <v>1122 COUNTY RD 22</v>
      </c>
      <c r="C8363" s="3" t="str">
        <f>IFERROR(__xludf.DUMMYFUNCTION("""COMPUTED_VALUE"""),"GRAFTON")</f>
        <v>GRAFTON</v>
      </c>
      <c r="D8363" s="3" t="str">
        <f>IFERROR(__xludf.DUMMYFUNCTION("""COMPUTED_VALUE"""),"K0K 2G0")</f>
        <v>K0K 2G0</v>
      </c>
      <c r="E8363" s="3" t="str">
        <f>IFERROR(__xludf.DUMMYFUNCTION("""COMPUTED_VALUE"""),"Wendy Bick")</f>
        <v>Wendy Bick</v>
      </c>
      <c r="F8363" s="3" t="str">
        <f>IFERROR(__xludf.DUMMYFUNCTION("""COMPUTED_VALUE"""),"bickpw3@gmail.com")</f>
        <v>bickpw3@gmail.com</v>
      </c>
      <c r="G8363" s="3">
        <f>IFERROR(__xludf.DUMMYFUNCTION("""COMPUTED_VALUE"""),9.053492284E9)</f>
        <v>9053492284</v>
      </c>
      <c r="H8363" s="3"/>
    </row>
    <row r="8364">
      <c r="A8364" s="2">
        <f>IFERROR(__xludf.DUMMYFUNCTION("""COMPUTED_VALUE"""),30230.0)</f>
        <v>30230</v>
      </c>
      <c r="B8364" s="3" t="str">
        <f>IFERROR(__xludf.DUMMYFUNCTION("""COMPUTED_VALUE"""),"1125 COUNTY 22 RD ")</f>
        <v>1125 COUNTY 22 RD </v>
      </c>
      <c r="C8364" s="3" t="str">
        <f>IFERROR(__xludf.DUMMYFUNCTION("""COMPUTED_VALUE"""),"GRAFTON")</f>
        <v>GRAFTON</v>
      </c>
      <c r="D8364" s="3" t="str">
        <f>IFERROR(__xludf.DUMMYFUNCTION("""COMPUTED_VALUE"""),"K0K 2G0")</f>
        <v>K0K 2G0</v>
      </c>
      <c r="E8364" s="3" t="str">
        <f>IFERROR(__xludf.DUMMYFUNCTION("""COMPUTED_VALUE"""),"Michael and Kim Dolan")</f>
        <v>Michael and Kim Dolan</v>
      </c>
      <c r="F8364" s="3" t="str">
        <f>IFERROR(__xludf.DUMMYFUNCTION("""COMPUTED_VALUE"""),"kimdolan1125@gmail.com")</f>
        <v>kimdolan1125@gmail.com</v>
      </c>
      <c r="G8364" s="3">
        <f>IFERROR(__xludf.DUMMYFUNCTION("""COMPUTED_VALUE"""),9.053492842E9)</f>
        <v>9053492842</v>
      </c>
      <c r="H8364" s="3">
        <f>IFERROR(__xludf.DUMMYFUNCTION("""COMPUTED_VALUE"""),2.896910115E9)</f>
        <v>2896910115</v>
      </c>
    </row>
    <row r="8365">
      <c r="A8365" s="2">
        <f>IFERROR(__xludf.DUMMYFUNCTION("""COMPUTED_VALUE"""),30231.0)</f>
        <v>30231</v>
      </c>
      <c r="B8365" s="3" t="str">
        <f>IFERROR(__xludf.DUMMYFUNCTION("""COMPUTED_VALUE"""),"1133 COUNTY 22 RD ")</f>
        <v>1133 COUNTY 22 RD </v>
      </c>
      <c r="C8365" s="3" t="str">
        <f>IFERROR(__xludf.DUMMYFUNCTION("""COMPUTED_VALUE"""),"GRAFTON")</f>
        <v>GRAFTON</v>
      </c>
      <c r="D8365" s="3" t="str">
        <f>IFERROR(__xludf.DUMMYFUNCTION("""COMPUTED_VALUE"""),"K0K 2G0")</f>
        <v>K0K 2G0</v>
      </c>
      <c r="E8365" s="3" t="str">
        <f>IFERROR(__xludf.DUMMYFUNCTION("""COMPUTED_VALUE"""),"Christine &amp; Scott Broomfield")</f>
        <v>Christine &amp; Scott Broomfield</v>
      </c>
      <c r="F8365" s="3" t="str">
        <f>IFERROR(__xludf.DUMMYFUNCTION("""COMPUTED_VALUE"""),"cnsbroom@gmail.comm")</f>
        <v>cnsbroom@gmail.comm</v>
      </c>
      <c r="G8365" s="3"/>
      <c r="H8365" s="3"/>
    </row>
    <row r="8366">
      <c r="A8366" s="2">
        <f>IFERROR(__xludf.DUMMYFUNCTION("""COMPUTED_VALUE"""),30232.0)</f>
        <v>30232</v>
      </c>
      <c r="B8366" s="3" t="str">
        <f>IFERROR(__xludf.DUMMYFUNCTION("""COMPUTED_VALUE"""),"1136 COUNTY 22 RD ")</f>
        <v>1136 COUNTY 22 RD </v>
      </c>
      <c r="C8366" s="3" t="str">
        <f>IFERROR(__xludf.DUMMYFUNCTION("""COMPUTED_VALUE"""),"GRAFTON")</f>
        <v>GRAFTON</v>
      </c>
      <c r="D8366" s="3" t="str">
        <f>IFERROR(__xludf.DUMMYFUNCTION("""COMPUTED_VALUE"""),"K0K 2G0")</f>
        <v>K0K 2G0</v>
      </c>
      <c r="E8366" s="3" t="str">
        <f>IFERROR(__xludf.DUMMYFUNCTION("""COMPUTED_VALUE"""),"Ronald Giroux")</f>
        <v>Ronald Giroux</v>
      </c>
      <c r="F8366" s="3" t="str">
        <f>IFERROR(__xludf.DUMMYFUNCTION("""COMPUTED_VALUE"""),"ronaldjgiroux1@hotmail.com")</f>
        <v>ronaldjgiroux1@hotmail.com</v>
      </c>
      <c r="G8366" s="3">
        <f>IFERROR(__xludf.DUMMYFUNCTION("""COMPUTED_VALUE"""),9.05373874E9)</f>
        <v>9053738740</v>
      </c>
      <c r="H8366" s="3">
        <f>IFERROR(__xludf.DUMMYFUNCTION("""COMPUTED_VALUE"""),2.896911136E9)</f>
        <v>2896911136</v>
      </c>
    </row>
    <row r="8367">
      <c r="A8367" s="2">
        <f>IFERROR(__xludf.DUMMYFUNCTION("""COMPUTED_VALUE"""),30233.0)</f>
        <v>30233</v>
      </c>
      <c r="B8367" s="3" t="str">
        <f>IFERROR(__xludf.DUMMYFUNCTION("""COMPUTED_VALUE"""),"1144 COUNTY 22 RD ")</f>
        <v>1144 COUNTY 22 RD </v>
      </c>
      <c r="C8367" s="3" t="str">
        <f>IFERROR(__xludf.DUMMYFUNCTION("""COMPUTED_VALUE"""),"GRAFTON")</f>
        <v>GRAFTON</v>
      </c>
      <c r="D8367" s="3" t="str">
        <f>IFERROR(__xludf.DUMMYFUNCTION("""COMPUTED_VALUE"""),"K0K 2G0")</f>
        <v>K0K 2G0</v>
      </c>
      <c r="E8367" s="3" t="str">
        <f>IFERROR(__xludf.DUMMYFUNCTION("""COMPUTED_VALUE"""),"Denison Edwards")</f>
        <v>Denison Edwards</v>
      </c>
      <c r="F8367" s="3" t="str">
        <f>IFERROR(__xludf.DUMMYFUNCTION("""COMPUTED_VALUE"""),"denny@edwardsfamily.ca")</f>
        <v>denny@edwardsfamily.ca</v>
      </c>
      <c r="G8367" s="3"/>
      <c r="H8367" s="3"/>
    </row>
    <row r="8368">
      <c r="A8368" s="2">
        <f>IFERROR(__xludf.DUMMYFUNCTION("""COMPUTED_VALUE"""),30234.0)</f>
        <v>30234</v>
      </c>
      <c r="B8368" s="3" t="str">
        <f>IFERROR(__xludf.DUMMYFUNCTION("""COMPUTED_VALUE"""),"1145 COUNTY 22 RD ")</f>
        <v>1145 COUNTY 22 RD </v>
      </c>
      <c r="C8368" s="3" t="str">
        <f>IFERROR(__xludf.DUMMYFUNCTION("""COMPUTED_VALUE"""),"GRAFTON")</f>
        <v>GRAFTON</v>
      </c>
      <c r="D8368" s="3" t="str">
        <f>IFERROR(__xludf.DUMMYFUNCTION("""COMPUTED_VALUE"""),"K0K 2G0")</f>
        <v>K0K 2G0</v>
      </c>
      <c r="E8368" s="3" t="str">
        <f>IFERROR(__xludf.DUMMYFUNCTION("""COMPUTED_VALUE"""),"tracey taylor")</f>
        <v>tracey taylor</v>
      </c>
      <c r="F8368" s="3" t="str">
        <f>IFERROR(__xludf.DUMMYFUNCTION("""COMPUTED_VALUE"""),"traceyandevantaylor@gmail.com")</f>
        <v>traceyandevantaylor@gmail.com</v>
      </c>
      <c r="G8368" s="3">
        <f>IFERROR(__xludf.DUMMYFUNCTION("""COMPUTED_VALUE"""),2.892515438E9)</f>
        <v>2892515438</v>
      </c>
      <c r="H8368" s="3"/>
    </row>
    <row r="8369">
      <c r="A8369" s="2">
        <f>IFERROR(__xludf.DUMMYFUNCTION("""COMPUTED_VALUE"""),30235.0)</f>
        <v>30235</v>
      </c>
      <c r="B8369" s="3" t="str">
        <f>IFERROR(__xludf.DUMMYFUNCTION("""COMPUTED_VALUE"""),"1159 COUNTY 22 RD ")</f>
        <v>1159 COUNTY 22 RD </v>
      </c>
      <c r="C8369" s="3" t="str">
        <f>IFERROR(__xludf.DUMMYFUNCTION("""COMPUTED_VALUE"""),"GRAFTON")</f>
        <v>GRAFTON</v>
      </c>
      <c r="D8369" s="3" t="str">
        <f>IFERROR(__xludf.DUMMYFUNCTION("""COMPUTED_VALUE"""),"K0K 2G0")</f>
        <v>K0K 2G0</v>
      </c>
      <c r="E8369" s="3" t="str">
        <f>IFERROR(__xludf.DUMMYFUNCTION("""COMPUTED_VALUE"""),"Patricia Flynn-Press")</f>
        <v>Patricia Flynn-Press</v>
      </c>
      <c r="F8369" s="3" t="str">
        <f>IFERROR(__xludf.DUMMYFUNCTION("""COMPUTED_VALUE"""),"pflynnpress@yahoo.ca")</f>
        <v>pflynnpress@yahoo.ca</v>
      </c>
      <c r="G8369" s="3"/>
      <c r="H8369" s="3"/>
    </row>
    <row r="8370">
      <c r="A8370" s="2">
        <f>IFERROR(__xludf.DUMMYFUNCTION("""COMPUTED_VALUE"""),30236.0)</f>
        <v>30236</v>
      </c>
      <c r="B8370" s="3" t="str">
        <f>IFERROR(__xludf.DUMMYFUNCTION("""COMPUTED_VALUE"""),"1164 COUNTY 22 RD ")</f>
        <v>1164 COUNTY 22 RD </v>
      </c>
      <c r="C8370" s="3" t="str">
        <f>IFERROR(__xludf.DUMMYFUNCTION("""COMPUTED_VALUE"""),"GRAFTON")</f>
        <v>GRAFTON</v>
      </c>
      <c r="D8370" s="3" t="str">
        <f>IFERROR(__xludf.DUMMYFUNCTION("""COMPUTED_VALUE"""),"K0K 2G0")</f>
        <v>K0K 2G0</v>
      </c>
      <c r="E8370" s="3" t="str">
        <f>IFERROR(__xludf.DUMMYFUNCTION("""COMPUTED_VALUE"""),"Terri Clarkson")</f>
        <v>Terri Clarkson</v>
      </c>
      <c r="F8370" s="3" t="str">
        <f>IFERROR(__xludf.DUMMYFUNCTION("""COMPUTED_VALUE"""),"clarkie_17@hotmail.com")</f>
        <v>clarkie_17@hotmail.com</v>
      </c>
      <c r="G8370" s="3">
        <f>IFERROR(__xludf.DUMMYFUNCTION("""COMPUTED_VALUE"""),9.0534934E9)</f>
        <v>9053493400</v>
      </c>
      <c r="H8370" s="3"/>
    </row>
    <row r="8371">
      <c r="A8371" s="2">
        <f>IFERROR(__xludf.DUMMYFUNCTION("""COMPUTED_VALUE"""),30237.0)</f>
        <v>30237</v>
      </c>
      <c r="B8371" s="3" t="str">
        <f>IFERROR(__xludf.DUMMYFUNCTION("""COMPUTED_VALUE"""),"1165 COUNTY 22 RD ")</f>
        <v>1165 COUNTY 22 RD </v>
      </c>
      <c r="C8371" s="3" t="str">
        <f>IFERROR(__xludf.DUMMYFUNCTION("""COMPUTED_VALUE"""),"GRAFTON")</f>
        <v>GRAFTON</v>
      </c>
      <c r="D8371" s="3" t="str">
        <f>IFERROR(__xludf.DUMMYFUNCTION("""COMPUTED_VALUE"""),"K0K 2G0")</f>
        <v>K0K 2G0</v>
      </c>
      <c r="E8371" s="3" t="str">
        <f>IFERROR(__xludf.DUMMYFUNCTION("""COMPUTED_VALUE"""),"Edith Kift")</f>
        <v>Edith Kift</v>
      </c>
      <c r="F8371" s="3" t="str">
        <f>IFERROR(__xludf.DUMMYFUNCTION("""COMPUTED_VALUE"""),"ekift_garden@hotmail.com")</f>
        <v>ekift_garden@hotmail.com</v>
      </c>
      <c r="G8371" s="3">
        <f>IFERROR(__xludf.DUMMYFUNCTION("""COMPUTED_VALUE"""),9.053493256E9)</f>
        <v>9053493256</v>
      </c>
      <c r="H8371" s="3"/>
    </row>
    <row r="8372">
      <c r="A8372" s="2">
        <f>IFERROR(__xludf.DUMMYFUNCTION("""COMPUTED_VALUE"""),30238.0)</f>
        <v>30238</v>
      </c>
      <c r="B8372" s="3" t="str">
        <f>IFERROR(__xludf.DUMMYFUNCTION("""COMPUTED_VALUE"""),"1175 COUNTY 22 RD ")</f>
        <v>1175 COUNTY 22 RD </v>
      </c>
      <c r="C8372" s="3" t="str">
        <f>IFERROR(__xludf.DUMMYFUNCTION("""COMPUTED_VALUE"""),"GRAFTON")</f>
        <v>GRAFTON</v>
      </c>
      <c r="D8372" s="3" t="str">
        <f>IFERROR(__xludf.DUMMYFUNCTION("""COMPUTED_VALUE"""),"K0K 2G0")</f>
        <v>K0K 2G0</v>
      </c>
      <c r="E8372" s="3" t="str">
        <f>IFERROR(__xludf.DUMMYFUNCTION("""COMPUTED_VALUE"""),"Karen Adams")</f>
        <v>Karen Adams</v>
      </c>
      <c r="F8372" s="3" t="str">
        <f>IFERROR(__xludf.DUMMYFUNCTION("""COMPUTED_VALUE"""),"karenmlk.adams@outlook.com")</f>
        <v>karenmlk.adams@outlook.com</v>
      </c>
      <c r="G8372" s="3">
        <f>IFERROR(__xludf.DUMMYFUNCTION("""COMPUTED_VALUE"""),4.168185609E9)</f>
        <v>4168185609</v>
      </c>
      <c r="H8372" s="3">
        <f>IFERROR(__xludf.DUMMYFUNCTION("""COMPUTED_VALUE"""),4.164027625E9)</f>
        <v>4164027625</v>
      </c>
    </row>
    <row r="8373">
      <c r="A8373" s="2">
        <f>IFERROR(__xludf.DUMMYFUNCTION("""COMPUTED_VALUE"""),30239.0)</f>
        <v>30239</v>
      </c>
      <c r="B8373" s="3" t="str">
        <f>IFERROR(__xludf.DUMMYFUNCTION("""COMPUTED_VALUE"""),"1189 COUNTY 22 RD ")</f>
        <v>1189 COUNTY 22 RD </v>
      </c>
      <c r="C8373" s="3" t="str">
        <f>IFERROR(__xludf.DUMMYFUNCTION("""COMPUTED_VALUE"""),"GRAFTON")</f>
        <v>GRAFTON</v>
      </c>
      <c r="D8373" s="3" t="str">
        <f>IFERROR(__xludf.DUMMYFUNCTION("""COMPUTED_VALUE"""),"K0K 2G0")</f>
        <v>K0K 2G0</v>
      </c>
      <c r="E8373" s="3" t="str">
        <f>IFERROR(__xludf.DUMMYFUNCTION("""COMPUTED_VALUE"""),"doreen cranston")</f>
        <v>doreen cranston</v>
      </c>
      <c r="F8373" s="3" t="str">
        <f>IFERROR(__xludf.DUMMYFUNCTION("""COMPUTED_VALUE"""),"plegal.cranston@gmail.com")</f>
        <v>plegal.cranston@gmail.com</v>
      </c>
      <c r="G8373" s="3">
        <f>IFERROR(__xludf.DUMMYFUNCTION("""COMPUTED_VALUE"""),9.053961055E9)</f>
        <v>9053961055</v>
      </c>
      <c r="H8373" s="3"/>
    </row>
    <row r="8374">
      <c r="A8374" s="2">
        <f>IFERROR(__xludf.DUMMYFUNCTION("""COMPUTED_VALUE"""),30240.0)</f>
        <v>30240</v>
      </c>
      <c r="B8374" s="3" t="str">
        <f>IFERROR(__xludf.DUMMYFUNCTION("""COMPUTED_VALUE"""),"1195 COUNTY 22 RD ")</f>
        <v>1195 COUNTY 22 RD </v>
      </c>
      <c r="C8374" s="3" t="str">
        <f>IFERROR(__xludf.DUMMYFUNCTION("""COMPUTED_VALUE"""),"GRAFTON")</f>
        <v>GRAFTON</v>
      </c>
      <c r="D8374" s="3" t="str">
        <f>IFERROR(__xludf.DUMMYFUNCTION("""COMPUTED_VALUE"""),"K0K 2G0")</f>
        <v>K0K 2G0</v>
      </c>
      <c r="E8374" s="3" t="str">
        <f>IFERROR(__xludf.DUMMYFUNCTION("""COMPUTED_VALUE"""),"Mark Royle")</f>
        <v>Mark Royle</v>
      </c>
      <c r="F8374" s="3" t="str">
        <f>IFERROR(__xludf.DUMMYFUNCTION("""COMPUTED_VALUE"""),"withnumber1@gmail.com")</f>
        <v>withnumber1@gmail.com</v>
      </c>
      <c r="G8374" s="3">
        <f>IFERROR(__xludf.DUMMYFUNCTION("""COMPUTED_VALUE"""),6.133255249E9)</f>
        <v>6133255249</v>
      </c>
      <c r="H8374" s="3">
        <f>IFERROR(__xludf.DUMMYFUNCTION("""COMPUTED_VALUE"""),9.052592706E9)</f>
        <v>9052592706</v>
      </c>
    </row>
    <row r="8375">
      <c r="A8375" s="2">
        <f>IFERROR(__xludf.DUMMYFUNCTION("""COMPUTED_VALUE"""),30241.0)</f>
        <v>30241</v>
      </c>
      <c r="B8375" s="3" t="str">
        <f>IFERROR(__xludf.DUMMYFUNCTION("""COMPUTED_VALUE"""),"1200 COUNTY 22 RD ")</f>
        <v>1200 COUNTY 22 RD </v>
      </c>
      <c r="C8375" s="3" t="str">
        <f>IFERROR(__xludf.DUMMYFUNCTION("""COMPUTED_VALUE"""),"GRAFTON")</f>
        <v>GRAFTON</v>
      </c>
      <c r="D8375" s="3" t="str">
        <f>IFERROR(__xludf.DUMMYFUNCTION("""COMPUTED_VALUE"""),"K0K 2G0")</f>
        <v>K0K 2G0</v>
      </c>
      <c r="E8375" s="3" t="str">
        <f>IFERROR(__xludf.DUMMYFUNCTION("""COMPUTED_VALUE"""),"Carla Nanninga")</f>
        <v>Carla Nanninga</v>
      </c>
      <c r="F8375" s="3" t="str">
        <f>IFERROR(__xludf.DUMMYFUNCTION("""COMPUTED_VALUE"""),"redeyecarla@hotmail.com")</f>
        <v>redeyecarla@hotmail.com</v>
      </c>
      <c r="G8375" s="3">
        <f>IFERROR(__xludf.DUMMYFUNCTION("""COMPUTED_VALUE"""),9.052449067E9)</f>
        <v>9052449067</v>
      </c>
      <c r="H8375" s="3">
        <f>IFERROR(__xludf.DUMMYFUNCTION("""COMPUTED_VALUE"""),9.052596998E9)</f>
        <v>9052596998</v>
      </c>
    </row>
    <row r="8376">
      <c r="A8376" s="2">
        <f>IFERROR(__xludf.DUMMYFUNCTION("""COMPUTED_VALUE"""),30242.0)</f>
        <v>30242</v>
      </c>
      <c r="B8376" s="3" t="str">
        <f>IFERROR(__xludf.DUMMYFUNCTION("""COMPUTED_VALUE"""),"1213 COUNTY 22 RD ")</f>
        <v>1213 COUNTY 22 RD </v>
      </c>
      <c r="C8376" s="3" t="str">
        <f>IFERROR(__xludf.DUMMYFUNCTION("""COMPUTED_VALUE"""),"GRAFTON")</f>
        <v>GRAFTON</v>
      </c>
      <c r="D8376" s="3" t="str">
        <f>IFERROR(__xludf.DUMMYFUNCTION("""COMPUTED_VALUE"""),"K0K 2G0")</f>
        <v>K0K 2G0</v>
      </c>
      <c r="E8376" s="3" t="str">
        <f>IFERROR(__xludf.DUMMYFUNCTION("""COMPUTED_VALUE"""),"Brent Miller")</f>
        <v>Brent Miller</v>
      </c>
      <c r="F8376" s="3" t="str">
        <f>IFERROR(__xludf.DUMMYFUNCTION("""COMPUTED_VALUE"""),"brent.miller93@gmail.com")</f>
        <v>brent.miller93@gmail.com</v>
      </c>
      <c r="G8376" s="3">
        <f>IFERROR(__xludf.DUMMYFUNCTION("""COMPUTED_VALUE"""),6.477855022E9)</f>
        <v>6477855022</v>
      </c>
      <c r="H8376" s="3">
        <f>IFERROR(__xludf.DUMMYFUNCTION("""COMPUTED_VALUE"""),9.059339732E9)</f>
        <v>9059339732</v>
      </c>
    </row>
    <row r="8377">
      <c r="A8377" s="2">
        <f>IFERROR(__xludf.DUMMYFUNCTION("""COMPUTED_VALUE"""),30243.0)</f>
        <v>30243</v>
      </c>
      <c r="B8377" s="3" t="str">
        <f>IFERROR(__xludf.DUMMYFUNCTION("""COMPUTED_VALUE"""),"1217 COUNTY 22 RD ")</f>
        <v>1217 COUNTY 22 RD </v>
      </c>
      <c r="C8377" s="3" t="str">
        <f>IFERROR(__xludf.DUMMYFUNCTION("""COMPUTED_VALUE"""),"GRAFTON")</f>
        <v>GRAFTON</v>
      </c>
      <c r="D8377" s="3" t="str">
        <f>IFERROR(__xludf.DUMMYFUNCTION("""COMPUTED_VALUE"""),"K0K 2G0")</f>
        <v>K0K 2G0</v>
      </c>
      <c r="E8377" s="3"/>
      <c r="F8377" s="3"/>
      <c r="G8377" s="3"/>
      <c r="H8377" s="3"/>
    </row>
    <row r="8378">
      <c r="A8378" s="2">
        <f>IFERROR(__xludf.DUMMYFUNCTION("""COMPUTED_VALUE"""),30244.0)</f>
        <v>30244</v>
      </c>
      <c r="B8378" s="3" t="str">
        <f>IFERROR(__xludf.DUMMYFUNCTION("""COMPUTED_VALUE"""),"1224 COUNTY 22 RD ")</f>
        <v>1224 COUNTY 22 RD </v>
      </c>
      <c r="C8378" s="3" t="str">
        <f>IFERROR(__xludf.DUMMYFUNCTION("""COMPUTED_VALUE"""),"GRAFTON")</f>
        <v>GRAFTON</v>
      </c>
      <c r="D8378" s="3" t="str">
        <f>IFERROR(__xludf.DUMMYFUNCTION("""COMPUTED_VALUE"""),"K0K 2G0")</f>
        <v>K0K 2G0</v>
      </c>
      <c r="E8378" s="3" t="str">
        <f>IFERROR(__xludf.DUMMYFUNCTION("""COMPUTED_VALUE"""),"jean maguire")</f>
        <v>jean maguire</v>
      </c>
      <c r="F8378" s="3" t="str">
        <f>IFERROR(__xludf.DUMMYFUNCTION("""COMPUTED_VALUE"""),"muttco@icloud.com")</f>
        <v>muttco@icloud.com</v>
      </c>
      <c r="G8378" s="3">
        <f>IFERROR(__xludf.DUMMYFUNCTION("""COMPUTED_VALUE"""),9.053492711E9)</f>
        <v>9053492711</v>
      </c>
      <c r="H8378" s="3"/>
    </row>
    <row r="8379">
      <c r="A8379" s="2">
        <f>IFERROR(__xludf.DUMMYFUNCTION("""COMPUTED_VALUE"""),30245.0)</f>
        <v>30245</v>
      </c>
      <c r="B8379" s="3" t="str">
        <f>IFERROR(__xludf.DUMMYFUNCTION("""COMPUTED_VALUE"""),"1225 COUNTY RD 22")</f>
        <v>1225 COUNTY RD 22</v>
      </c>
      <c r="C8379" s="3" t="str">
        <f>IFERROR(__xludf.DUMMYFUNCTION("""COMPUTED_VALUE"""),"GRAFTON")</f>
        <v>GRAFTON</v>
      </c>
      <c r="D8379" s="3" t="str">
        <f>IFERROR(__xludf.DUMMYFUNCTION("""COMPUTED_VALUE"""),"K0K 2G0")</f>
        <v>K0K 2G0</v>
      </c>
      <c r="E8379" s="3" t="str">
        <f>IFERROR(__xludf.DUMMYFUNCTION("""COMPUTED_VALUE"""),"ALEXANDER MICHAEL THOMPSON")</f>
        <v>ALEXANDER MICHAEL THOMPSON</v>
      </c>
      <c r="F8379" s="3" t="str">
        <f>IFERROR(__xludf.DUMMYFUNCTION("""COMPUTED_VALUE"""),"alect18@gmail.com")</f>
        <v>alect18@gmail.com</v>
      </c>
      <c r="G8379" s="3"/>
      <c r="H8379" s="3"/>
    </row>
    <row r="8380">
      <c r="A8380" s="2">
        <f>IFERROR(__xludf.DUMMYFUNCTION("""COMPUTED_VALUE"""),30246.0)</f>
        <v>30246</v>
      </c>
      <c r="B8380" s="3" t="str">
        <f>IFERROR(__xludf.DUMMYFUNCTION("""COMPUTED_VALUE"""),"1233 COUNTY 22 RD ")</f>
        <v>1233 COUNTY 22 RD </v>
      </c>
      <c r="C8380" s="3" t="str">
        <f>IFERROR(__xludf.DUMMYFUNCTION("""COMPUTED_VALUE"""),"GRAFTON")</f>
        <v>GRAFTON</v>
      </c>
      <c r="D8380" s="3" t="str">
        <f>IFERROR(__xludf.DUMMYFUNCTION("""COMPUTED_VALUE"""),"K0K 2G0")</f>
        <v>K0K 2G0</v>
      </c>
      <c r="E8380" s="3" t="str">
        <f>IFERROR(__xludf.DUMMYFUNCTION("""COMPUTED_VALUE"""),"Colleen Chapple")</f>
        <v>Colleen Chapple</v>
      </c>
      <c r="F8380" s="3" t="str">
        <f>IFERROR(__xludf.DUMMYFUNCTION("""COMPUTED_VALUE"""),"chaps@eagle.ca")</f>
        <v>chaps@eagle.ca</v>
      </c>
      <c r="G8380" s="3">
        <f>IFERROR(__xludf.DUMMYFUNCTION("""COMPUTED_VALUE"""),9.053762301E9)</f>
        <v>9053762301</v>
      </c>
      <c r="H8380" s="3">
        <f>IFERROR(__xludf.DUMMYFUNCTION("""COMPUTED_VALUE"""),9.05376412E9)</f>
        <v>9053764120</v>
      </c>
    </row>
    <row r="8381">
      <c r="A8381" s="2">
        <f>IFERROR(__xludf.DUMMYFUNCTION("""COMPUTED_VALUE"""),30247.0)</f>
        <v>30247</v>
      </c>
      <c r="B8381" s="3" t="str">
        <f>IFERROR(__xludf.DUMMYFUNCTION("""COMPUTED_VALUE"""),"1307 COUNTY RD 22")</f>
        <v>1307 COUNTY RD 22</v>
      </c>
      <c r="C8381" s="3"/>
      <c r="D8381" s="3"/>
      <c r="E8381" s="3" t="str">
        <f>IFERROR(__xludf.DUMMYFUNCTION("""COMPUTED_VALUE"""),"Lucas Cole")</f>
        <v>Lucas Cole</v>
      </c>
      <c r="F8381" s="3"/>
      <c r="G8381" s="3"/>
      <c r="H8381" s="3"/>
    </row>
    <row r="8382">
      <c r="A8382" s="2">
        <f>IFERROR(__xludf.DUMMYFUNCTION("""COMPUTED_VALUE"""),30248.0)</f>
        <v>30248</v>
      </c>
      <c r="B8382" s="3" t="str">
        <f>IFERROR(__xludf.DUMMYFUNCTION("""COMPUTED_VALUE"""),"1311 COUNTY 22 RD ")</f>
        <v>1311 COUNTY 22 RD </v>
      </c>
      <c r="C8382" s="3" t="str">
        <f>IFERROR(__xludf.DUMMYFUNCTION("""COMPUTED_VALUE"""),"GRAFTON")</f>
        <v>GRAFTON</v>
      </c>
      <c r="D8382" s="3" t="str">
        <f>IFERROR(__xludf.DUMMYFUNCTION("""COMPUTED_VALUE"""),"K0K 2G0")</f>
        <v>K0K 2G0</v>
      </c>
      <c r="E8382" s="3" t="str">
        <f>IFERROR(__xludf.DUMMYFUNCTION("""COMPUTED_VALUE"""),"Lynne and Harry Macdougall")</f>
        <v>Lynne and Harry Macdougall</v>
      </c>
      <c r="F8382" s="3" t="str">
        <f>IFERROR(__xludf.DUMMYFUNCTION("""COMPUTED_VALUE"""),"sliderriderca@gmail.com")</f>
        <v>sliderriderca@gmail.com</v>
      </c>
      <c r="G8382" s="3"/>
      <c r="H8382" s="3"/>
    </row>
    <row r="8383">
      <c r="A8383" s="2">
        <f>IFERROR(__xludf.DUMMYFUNCTION("""COMPUTED_VALUE"""),30249.0)</f>
        <v>30249</v>
      </c>
      <c r="B8383" s="3" t="str">
        <f>IFERROR(__xludf.DUMMYFUNCTION("""COMPUTED_VALUE"""),"1313 COUNTY 22 RD ")</f>
        <v>1313 COUNTY 22 RD </v>
      </c>
      <c r="C8383" s="3" t="str">
        <f>IFERROR(__xludf.DUMMYFUNCTION("""COMPUTED_VALUE"""),"GRAFTON")</f>
        <v>GRAFTON</v>
      </c>
      <c r="D8383" s="3" t="str">
        <f>IFERROR(__xludf.DUMMYFUNCTION("""COMPUTED_VALUE"""),"K0K 2G0")</f>
        <v>K0K 2G0</v>
      </c>
      <c r="E8383" s="3" t="str">
        <f>IFERROR(__xludf.DUMMYFUNCTION("""COMPUTED_VALUE"""),"R. Guy Moore")</f>
        <v>R. Guy Moore</v>
      </c>
      <c r="F8383" s="3" t="str">
        <f>IFERROR(__xludf.DUMMYFUNCTION("""COMPUTED_VALUE"""),"mooreguy063@gmail.com")</f>
        <v>mooreguy063@gmail.com</v>
      </c>
      <c r="G8383" s="3"/>
      <c r="H8383" s="3"/>
    </row>
    <row r="8384">
      <c r="A8384" s="2">
        <f>IFERROR(__xludf.DUMMYFUNCTION("""COMPUTED_VALUE"""),30250.0)</f>
        <v>30250</v>
      </c>
      <c r="B8384" s="3" t="str">
        <f>IFERROR(__xludf.DUMMYFUNCTION("""COMPUTED_VALUE"""),"1322 COUNTY 22 RD ")</f>
        <v>1322 COUNTY 22 RD </v>
      </c>
      <c r="C8384" s="3" t="str">
        <f>IFERROR(__xludf.DUMMYFUNCTION("""COMPUTED_VALUE"""),"GRAFTON")</f>
        <v>GRAFTON</v>
      </c>
      <c r="D8384" s="3" t="str">
        <f>IFERROR(__xludf.DUMMYFUNCTION("""COMPUTED_VALUE"""),"K0K 2G0")</f>
        <v>K0K 2G0</v>
      </c>
      <c r="E8384" s="3" t="str">
        <f>IFERROR(__xludf.DUMMYFUNCTION("""COMPUTED_VALUE"""),"Zachary McBride")</f>
        <v>Zachary McBride</v>
      </c>
      <c r="F8384" s="3" t="str">
        <f>IFERROR(__xludf.DUMMYFUNCTION("""COMPUTED_VALUE"""),"kaylaamcbride@hotmail.com")</f>
        <v>kaylaamcbride@hotmail.com</v>
      </c>
      <c r="G8384" s="3">
        <f>IFERROR(__xludf.DUMMYFUNCTION("""COMPUTED_VALUE"""),9.052690833E9)</f>
        <v>9052690833</v>
      </c>
      <c r="H8384" s="3"/>
    </row>
    <row r="8385">
      <c r="A8385" s="2">
        <f>IFERROR(__xludf.DUMMYFUNCTION("""COMPUTED_VALUE"""),30251.0)</f>
        <v>30251</v>
      </c>
      <c r="B8385" s="3" t="str">
        <f>IFERROR(__xludf.DUMMYFUNCTION("""COMPUTED_VALUE"""),"1349 COUNTY 22 RD ")</f>
        <v>1349 COUNTY 22 RD </v>
      </c>
      <c r="C8385" s="3" t="str">
        <f>IFERROR(__xludf.DUMMYFUNCTION("""COMPUTED_VALUE"""),"GRAFTON")</f>
        <v>GRAFTON</v>
      </c>
      <c r="D8385" s="3" t="str">
        <f>IFERROR(__xludf.DUMMYFUNCTION("""COMPUTED_VALUE"""),"K0K 2G0")</f>
        <v>K0K 2G0</v>
      </c>
      <c r="E8385" s="3" t="str">
        <f>IFERROR(__xludf.DUMMYFUNCTION("""COMPUTED_VALUE"""),"Mark Bachman Elana Bachman")</f>
        <v>Mark Bachman Elana Bachman</v>
      </c>
      <c r="F8385" s="3" t="str">
        <f>IFERROR(__xludf.DUMMYFUNCTION("""COMPUTED_VALUE"""),"k5blazer72@hotmail.com")</f>
        <v>k5blazer72@hotmail.com</v>
      </c>
      <c r="G8385" s="3">
        <f>IFERROR(__xludf.DUMMYFUNCTION("""COMPUTED_VALUE"""),2.896915338E9)</f>
        <v>2896915338</v>
      </c>
      <c r="H8385" s="3"/>
    </row>
    <row r="8386">
      <c r="A8386" s="2">
        <f>IFERROR(__xludf.DUMMYFUNCTION("""COMPUTED_VALUE"""),30252.0)</f>
        <v>30252</v>
      </c>
      <c r="B8386" s="3" t="str">
        <f>IFERROR(__xludf.DUMMYFUNCTION("""COMPUTED_VALUE"""),"1387 COUNTY 22 RD ")</f>
        <v>1387 COUNTY 22 RD </v>
      </c>
      <c r="C8386" s="3" t="str">
        <f>IFERROR(__xludf.DUMMYFUNCTION("""COMPUTED_VALUE"""),"GRAFTON")</f>
        <v>GRAFTON</v>
      </c>
      <c r="D8386" s="3" t="str">
        <f>IFERROR(__xludf.DUMMYFUNCTION("""COMPUTED_VALUE"""),"K0K 2G0")</f>
        <v>K0K 2G0</v>
      </c>
      <c r="E8386" s="3" t="str">
        <f>IFERROR(__xludf.DUMMYFUNCTION("""COMPUTED_VALUE"""),"Dragos Curtean ")</f>
        <v>Dragos Curtean </v>
      </c>
      <c r="F8386" s="3" t="str">
        <f>IFERROR(__xludf.DUMMYFUNCTION("""COMPUTED_VALUE"""),"dragoscu@gmail.com")</f>
        <v>dragoscu@gmail.com</v>
      </c>
      <c r="G8386" s="3"/>
      <c r="H8386" s="3"/>
    </row>
    <row r="8387">
      <c r="A8387" s="2">
        <f>IFERROR(__xludf.DUMMYFUNCTION("""COMPUTED_VALUE"""),30253.0)</f>
        <v>30253</v>
      </c>
      <c r="B8387" s="3" t="str">
        <f>IFERROR(__xludf.DUMMYFUNCTION("""COMPUTED_VALUE"""),"1660 COUNTY 22 RD ")</f>
        <v>1660 COUNTY 22 RD </v>
      </c>
      <c r="C8387" s="3" t="str">
        <f>IFERROR(__xludf.DUMMYFUNCTION("""COMPUTED_VALUE"""),"CASTLETON")</f>
        <v>CASTLETON</v>
      </c>
      <c r="D8387" s="3" t="str">
        <f>IFERROR(__xludf.DUMMYFUNCTION("""COMPUTED_VALUE"""),"K0K 1M0")</f>
        <v>K0K 1M0</v>
      </c>
      <c r="E8387" s="3" t="str">
        <f>IFERROR(__xludf.DUMMYFUNCTION("""COMPUTED_VALUE"""),"James Broomfield")</f>
        <v>James Broomfield</v>
      </c>
      <c r="F8387" s="3" t="str">
        <f>IFERROR(__xludf.DUMMYFUNCTION("""COMPUTED_VALUE"""),"jbroomfield@sympatico.ca")</f>
        <v>jbroomfield@sympatico.ca</v>
      </c>
      <c r="G8387" s="3">
        <f>IFERROR(__xludf.DUMMYFUNCTION("""COMPUTED_VALUE"""),4.166482163E9)</f>
        <v>4166482163</v>
      </c>
      <c r="H8387" s="3">
        <f>IFERROR(__xludf.DUMMYFUNCTION("""COMPUTED_VALUE"""),9.05831515E9)</f>
        <v>9058315150</v>
      </c>
    </row>
    <row r="8388">
      <c r="A8388" s="2">
        <f>IFERROR(__xludf.DUMMYFUNCTION("""COMPUTED_VALUE"""),30254.0)</f>
        <v>30254</v>
      </c>
      <c r="B8388" s="3" t="str">
        <f>IFERROR(__xludf.DUMMYFUNCTION("""COMPUTED_VALUE"""),"1661 COUNTY 22 RD ")</f>
        <v>1661 COUNTY 22 RD </v>
      </c>
      <c r="C8388" s="3" t="str">
        <f>IFERROR(__xludf.DUMMYFUNCTION("""COMPUTED_VALUE"""),"CASTLETON")</f>
        <v>CASTLETON</v>
      </c>
      <c r="D8388" s="3" t="str">
        <f>IFERROR(__xludf.DUMMYFUNCTION("""COMPUTED_VALUE"""),"K0K 1M0")</f>
        <v>K0K 1M0</v>
      </c>
      <c r="E8388" s="3" t="str">
        <f>IFERROR(__xludf.DUMMYFUNCTION("""COMPUTED_VALUE"""),"Doug Broomfield")</f>
        <v>Doug Broomfield</v>
      </c>
      <c r="F8388" s="3" t="str">
        <f>IFERROR(__xludf.DUMMYFUNCTION("""COMPUTED_VALUE"""),"doug.sue.broomfield@gmail.com")</f>
        <v>doug.sue.broomfield@gmail.com</v>
      </c>
      <c r="G8388" s="3">
        <f>IFERROR(__xludf.DUMMYFUNCTION("""COMPUTED_VALUE"""),9.053492965E9)</f>
        <v>9053492965</v>
      </c>
      <c r="H8388" s="3">
        <f>IFERROR(__xludf.DUMMYFUNCTION("""COMPUTED_VALUE"""),9.05376174E9)</f>
        <v>9053761740</v>
      </c>
    </row>
    <row r="8389">
      <c r="A8389" s="2">
        <f>IFERROR(__xludf.DUMMYFUNCTION("""COMPUTED_VALUE"""),30255.0)</f>
        <v>30255</v>
      </c>
      <c r="B8389" s="3" t="str">
        <f>IFERROR(__xludf.DUMMYFUNCTION("""COMPUTED_VALUE"""),"1773 COUNTY 22 RD ")</f>
        <v>1773 COUNTY 22 RD </v>
      </c>
      <c r="C8389" s="3" t="str">
        <f>IFERROR(__xludf.DUMMYFUNCTION("""COMPUTED_VALUE"""),"CASTLETON")</f>
        <v>CASTLETON</v>
      </c>
      <c r="D8389" s="3" t="str">
        <f>IFERROR(__xludf.DUMMYFUNCTION("""COMPUTED_VALUE"""),"K0K 1M0")</f>
        <v>K0K 1M0</v>
      </c>
      <c r="E8389" s="3" t="str">
        <f>IFERROR(__xludf.DUMMYFUNCTION("""COMPUTED_VALUE"""),"James C. Benham")</f>
        <v>James C. Benham</v>
      </c>
      <c r="F8389" s="3" t="str">
        <f>IFERROR(__xludf.DUMMYFUNCTION("""COMPUTED_VALUE"""),"JimBenham@xplornet.ca")</f>
        <v>JimBenham@xplornet.ca</v>
      </c>
      <c r="G8389" s="3"/>
      <c r="H8389" s="3"/>
    </row>
    <row r="8390">
      <c r="A8390" s="2">
        <f>IFERROR(__xludf.DUMMYFUNCTION("""COMPUTED_VALUE"""),30256.0)</f>
        <v>30256</v>
      </c>
      <c r="B8390" s="3" t="str">
        <f>IFERROR(__xludf.DUMMYFUNCTION("""COMPUTED_VALUE"""),"1776 COUNTY 22 RD ")</f>
        <v>1776 COUNTY 22 RD </v>
      </c>
      <c r="C8390" s="3" t="str">
        <f>IFERROR(__xludf.DUMMYFUNCTION("""COMPUTED_VALUE"""),"CASTLETON")</f>
        <v>CASTLETON</v>
      </c>
      <c r="D8390" s="3" t="str">
        <f>IFERROR(__xludf.DUMMYFUNCTION("""COMPUTED_VALUE"""),"K0K 1M0")</f>
        <v>K0K 1M0</v>
      </c>
      <c r="E8390" s="3" t="str">
        <f>IFERROR(__xludf.DUMMYFUNCTION("""COMPUTED_VALUE"""),"Angela Nancy Ashcroft")</f>
        <v>Angela Nancy Ashcroft</v>
      </c>
      <c r="F8390" s="3" t="str">
        <f>IFERROR(__xludf.DUMMYFUNCTION("""COMPUTED_VALUE"""),"Angela.Ashcroft@akzonobel.com")</f>
        <v>Angela.Ashcroft@akzonobel.com</v>
      </c>
      <c r="G8390" s="3"/>
      <c r="H8390" s="3"/>
    </row>
    <row r="8391">
      <c r="A8391" s="2">
        <f>IFERROR(__xludf.DUMMYFUNCTION("""COMPUTED_VALUE"""),30257.0)</f>
        <v>30257</v>
      </c>
      <c r="B8391" s="3" t="str">
        <f>IFERROR(__xludf.DUMMYFUNCTION("""COMPUTED_VALUE"""),"1831 COUNTY 22 RD ")</f>
        <v>1831 COUNTY 22 RD </v>
      </c>
      <c r="C8391" s="3" t="str">
        <f>IFERROR(__xludf.DUMMYFUNCTION("""COMPUTED_VALUE"""),"CASTLETON")</f>
        <v>CASTLETON</v>
      </c>
      <c r="D8391" s="3" t="str">
        <f>IFERROR(__xludf.DUMMYFUNCTION("""COMPUTED_VALUE"""),"K0K 1M0")</f>
        <v>K0K 1M0</v>
      </c>
      <c r="E8391" s="3" t="str">
        <f>IFERROR(__xludf.DUMMYFUNCTION("""COMPUTED_VALUE"""),"Allan Delore")</f>
        <v>Allan Delore</v>
      </c>
      <c r="F8391" s="3" t="str">
        <f>IFERROR(__xludf.DUMMYFUNCTION("""COMPUTED_VALUE"""),"allandelore@gmail.com")</f>
        <v>allandelore@gmail.com</v>
      </c>
      <c r="G8391" s="3">
        <f>IFERROR(__xludf.DUMMYFUNCTION("""COMPUTED_VALUE"""),9.054493782E9)</f>
        <v>9054493782</v>
      </c>
      <c r="H8391" s="3"/>
    </row>
    <row r="8392">
      <c r="A8392" s="2">
        <f>IFERROR(__xludf.DUMMYFUNCTION("""COMPUTED_VALUE"""),30258.0)</f>
        <v>30258</v>
      </c>
      <c r="B8392" s="3" t="str">
        <f>IFERROR(__xludf.DUMMYFUNCTION("""COMPUTED_VALUE"""),"1871 COUNTY 22 RD ")</f>
        <v>1871 COUNTY 22 RD </v>
      </c>
      <c r="C8392" s="3" t="str">
        <f>IFERROR(__xludf.DUMMYFUNCTION("""COMPUTED_VALUE"""),"CASTLETON")</f>
        <v>CASTLETON</v>
      </c>
      <c r="D8392" s="3" t="str">
        <f>IFERROR(__xludf.DUMMYFUNCTION("""COMPUTED_VALUE"""),"K0K 1M0")</f>
        <v>K0K 1M0</v>
      </c>
      <c r="E8392" s="3" t="str">
        <f>IFERROR(__xludf.DUMMYFUNCTION("""COMPUTED_VALUE"""),"Albert Langenhoven")</f>
        <v>Albert Langenhoven</v>
      </c>
      <c r="F8392" s="3" t="str">
        <f>IFERROR(__xludf.DUMMYFUNCTION("""COMPUTED_VALUE"""),"albertzuretha@outlook.com")</f>
        <v>albertzuretha@outlook.com</v>
      </c>
      <c r="G8392" s="3">
        <f>IFERROR(__xludf.DUMMYFUNCTION("""COMPUTED_VALUE"""),9.059258601E9)</f>
        <v>9059258601</v>
      </c>
      <c r="H8392" s="3">
        <f>IFERROR(__xludf.DUMMYFUNCTION("""COMPUTED_VALUE"""),2.893146189E9)</f>
        <v>2893146189</v>
      </c>
    </row>
    <row r="8393">
      <c r="A8393" s="2">
        <f>IFERROR(__xludf.DUMMYFUNCTION("""COMPUTED_VALUE"""),30259.0)</f>
        <v>30259</v>
      </c>
      <c r="B8393" s="3" t="str">
        <f>IFERROR(__xludf.DUMMYFUNCTION("""COMPUTED_VALUE"""),"1883 COUNTY RD 22")</f>
        <v>1883 COUNTY RD 22</v>
      </c>
      <c r="C8393" s="3" t="str">
        <f>IFERROR(__xludf.DUMMYFUNCTION("""COMPUTED_VALUE"""),"CASTLETON")</f>
        <v>CASTLETON</v>
      </c>
      <c r="D8393" s="3" t="str">
        <f>IFERROR(__xludf.DUMMYFUNCTION("""COMPUTED_VALUE"""),"K0K 1M0")</f>
        <v>K0K 1M0</v>
      </c>
      <c r="E8393" s="3" t="str">
        <f>IFERROR(__xludf.DUMMYFUNCTION("""COMPUTED_VALUE"""),"WANDA LINKIE")</f>
        <v>WANDA LINKIE</v>
      </c>
      <c r="F8393" s="3" t="str">
        <f>IFERROR(__xludf.DUMMYFUNCTION("""COMPUTED_VALUE"""),"accounting@wllinkie.ca")</f>
        <v>accounting@wllinkie.ca</v>
      </c>
      <c r="G8393" s="3">
        <f>IFERROR(__xludf.DUMMYFUNCTION("""COMPUTED_VALUE"""),9.053961571E9)</f>
        <v>9053961571</v>
      </c>
      <c r="H8393" s="3"/>
    </row>
    <row r="8394">
      <c r="A8394" s="2">
        <f>IFERROR(__xludf.DUMMYFUNCTION("""COMPUTED_VALUE"""),30260.0)</f>
        <v>30260</v>
      </c>
      <c r="B8394" s="3" t="str">
        <f>IFERROR(__xludf.DUMMYFUNCTION("""COMPUTED_VALUE"""),"1895 COUNTY 22 RD ")</f>
        <v>1895 COUNTY 22 RD </v>
      </c>
      <c r="C8394" s="3" t="str">
        <f>IFERROR(__xludf.DUMMYFUNCTION("""COMPUTED_VALUE"""),"CASTLETON")</f>
        <v>CASTLETON</v>
      </c>
      <c r="D8394" s="3" t="str">
        <f>IFERROR(__xludf.DUMMYFUNCTION("""COMPUTED_VALUE"""),"K0K 1M0")</f>
        <v>K0K 1M0</v>
      </c>
      <c r="E8394" s="3" t="str">
        <f>IFERROR(__xludf.DUMMYFUNCTION("""COMPUTED_VALUE"""),"Trevor Holmes ")</f>
        <v>Trevor Holmes </v>
      </c>
      <c r="F8394" s="3" t="str">
        <f>IFERROR(__xludf.DUMMYFUNCTION("""COMPUTED_VALUE"""),"trevor.holmes@xplornet.ca")</f>
        <v>trevor.holmes@xplornet.ca</v>
      </c>
      <c r="G8394" s="3"/>
      <c r="H8394" s="3"/>
    </row>
    <row r="8395">
      <c r="A8395" s="2">
        <f>IFERROR(__xludf.DUMMYFUNCTION("""COMPUTED_VALUE"""),30261.0)</f>
        <v>30261</v>
      </c>
      <c r="B8395" s="3" t="str">
        <f>IFERROR(__xludf.DUMMYFUNCTION("""COMPUTED_VALUE"""),"1912 COUNTY 22 RD ")</f>
        <v>1912 COUNTY 22 RD </v>
      </c>
      <c r="C8395" s="3" t="str">
        <f>IFERROR(__xludf.DUMMYFUNCTION("""COMPUTED_VALUE"""),"CASTLETON")</f>
        <v>CASTLETON</v>
      </c>
      <c r="D8395" s="3" t="str">
        <f>IFERROR(__xludf.DUMMYFUNCTION("""COMPUTED_VALUE"""),"K0K 1M0")</f>
        <v>K0K 1M0</v>
      </c>
      <c r="E8395" s="3" t="str">
        <f>IFERROR(__xludf.DUMMYFUNCTION("""COMPUTED_VALUE"""),"Adam Moore")</f>
        <v>Adam Moore</v>
      </c>
      <c r="F8395" s="3" t="str">
        <f>IFERROR(__xludf.DUMMYFUNCTION("""COMPUTED_VALUE"""),"twink1973@hotmail.com")</f>
        <v>twink1973@hotmail.com</v>
      </c>
      <c r="G8395" s="3">
        <f>IFERROR(__xludf.DUMMYFUNCTION("""COMPUTED_VALUE"""),9.052691185E9)</f>
        <v>9052691185</v>
      </c>
      <c r="H8395" s="3"/>
    </row>
    <row r="8396">
      <c r="A8396" s="2">
        <f>IFERROR(__xludf.DUMMYFUNCTION("""COMPUTED_VALUE"""),30262.0)</f>
        <v>30262</v>
      </c>
      <c r="B8396" s="3" t="str">
        <f>IFERROR(__xludf.DUMMYFUNCTION("""COMPUTED_VALUE"""),"1913 COUNTY 22 RD ")</f>
        <v>1913 COUNTY 22 RD </v>
      </c>
      <c r="C8396" s="3" t="str">
        <f>IFERROR(__xludf.DUMMYFUNCTION("""COMPUTED_VALUE"""),"CASTLETON")</f>
        <v>CASTLETON</v>
      </c>
      <c r="D8396" s="3" t="str">
        <f>IFERROR(__xludf.DUMMYFUNCTION("""COMPUTED_VALUE"""),"K0K 1M0")</f>
        <v>K0K 1M0</v>
      </c>
      <c r="E8396" s="3" t="str">
        <f>IFERROR(__xludf.DUMMYFUNCTION("""COMPUTED_VALUE"""),"William Jarvis")</f>
        <v>William Jarvis</v>
      </c>
      <c r="F8396" s="3" t="str">
        <f>IFERROR(__xludf.DUMMYFUNCTION("""COMPUTED_VALUE"""),"N/A")</f>
        <v>N/A</v>
      </c>
      <c r="G8396" s="3">
        <f>IFERROR(__xludf.DUMMYFUNCTION("""COMPUTED_VALUE"""),9.059362628E9)</f>
        <v>9059362628</v>
      </c>
      <c r="H8396" s="3"/>
    </row>
    <row r="8397">
      <c r="A8397" s="2">
        <f>IFERROR(__xludf.DUMMYFUNCTION("""COMPUTED_VALUE"""),30263.0)</f>
        <v>30263</v>
      </c>
      <c r="B8397" s="3" t="str">
        <f>IFERROR(__xludf.DUMMYFUNCTION("""COMPUTED_VALUE"""),"1941 COUNTY 22 RD ")</f>
        <v>1941 COUNTY 22 RD </v>
      </c>
      <c r="C8397" s="3" t="str">
        <f>IFERROR(__xludf.DUMMYFUNCTION("""COMPUTED_VALUE"""),"CASTLETON")</f>
        <v>CASTLETON</v>
      </c>
      <c r="D8397" s="3" t="str">
        <f>IFERROR(__xludf.DUMMYFUNCTION("""COMPUTED_VALUE"""),"K0K 1M0")</f>
        <v>K0K 1M0</v>
      </c>
      <c r="E8397" s="3" t="str">
        <f>IFERROR(__xludf.DUMMYFUNCTION("""COMPUTED_VALUE"""),"Doug Stewart")</f>
        <v>Doug Stewart</v>
      </c>
      <c r="F8397" s="3" t="str">
        <f>IFERROR(__xludf.DUMMYFUNCTION("""COMPUTED_VALUE"""),"doug@dougsengines.com")</f>
        <v>doug@dougsengines.com</v>
      </c>
      <c r="G8397" s="3">
        <f>IFERROR(__xludf.DUMMYFUNCTION("""COMPUTED_VALUE"""),9.052070029E9)</f>
        <v>9052070029</v>
      </c>
      <c r="H8397" s="3"/>
    </row>
    <row r="8398">
      <c r="A8398" s="2">
        <f>IFERROR(__xludf.DUMMYFUNCTION("""COMPUTED_VALUE"""),30264.0)</f>
        <v>30264</v>
      </c>
      <c r="B8398" s="3" t="str">
        <f>IFERROR(__xludf.DUMMYFUNCTION("""COMPUTED_VALUE"""),"1972 COUNTY 22 RD ")</f>
        <v>1972 COUNTY 22 RD </v>
      </c>
      <c r="C8398" s="3" t="str">
        <f>IFERROR(__xludf.DUMMYFUNCTION("""COMPUTED_VALUE"""),"CASTLETON")</f>
        <v>CASTLETON</v>
      </c>
      <c r="D8398" s="3" t="str">
        <f>IFERROR(__xludf.DUMMYFUNCTION("""COMPUTED_VALUE"""),"K0K 1M0")</f>
        <v>K0K 1M0</v>
      </c>
      <c r="E8398" s="3" t="str">
        <f>IFERROR(__xludf.DUMMYFUNCTION("""COMPUTED_VALUE"""),"Robert &amp; Sheila Rusk")</f>
        <v>Robert &amp; Sheila Rusk</v>
      </c>
      <c r="F8398" s="3"/>
      <c r="G8398" s="3"/>
      <c r="H8398" s="3"/>
    </row>
    <row r="8399">
      <c r="A8399" s="2">
        <f>IFERROR(__xludf.DUMMYFUNCTION("""COMPUTED_VALUE"""),30265.0)</f>
        <v>30265</v>
      </c>
      <c r="B8399" s="3" t="str">
        <f>IFERROR(__xludf.DUMMYFUNCTION("""COMPUTED_VALUE"""),"1985 COUNTY 22 RD ")</f>
        <v>1985 COUNTY 22 RD </v>
      </c>
      <c r="C8399" s="3" t="str">
        <f>IFERROR(__xludf.DUMMYFUNCTION("""COMPUTED_VALUE"""),"CASTLETON")</f>
        <v>CASTLETON</v>
      </c>
      <c r="D8399" s="3" t="str">
        <f>IFERROR(__xludf.DUMMYFUNCTION("""COMPUTED_VALUE"""),"K0K 1M0")</f>
        <v>K0K 1M0</v>
      </c>
      <c r="E8399" s="3" t="str">
        <f>IFERROR(__xludf.DUMMYFUNCTION("""COMPUTED_VALUE"""),"Irene Clarke ")</f>
        <v>Irene Clarke </v>
      </c>
      <c r="F8399" s="3" t="str">
        <f>IFERROR(__xludf.DUMMYFUNCTION("""COMPUTED_VALUE"""),"diclarke1969@gmail.com")</f>
        <v>diclarke1969@gmail.com</v>
      </c>
      <c r="G8399" s="3"/>
      <c r="H8399" s="3"/>
    </row>
    <row r="8400">
      <c r="A8400" s="2">
        <f>IFERROR(__xludf.DUMMYFUNCTION("""COMPUTED_VALUE"""),30266.0)</f>
        <v>30266</v>
      </c>
      <c r="B8400" s="3" t="str">
        <f>IFERROR(__xludf.DUMMYFUNCTION("""COMPUTED_VALUE"""),"2032 COUNTY 22 RD ")</f>
        <v>2032 COUNTY 22 RD </v>
      </c>
      <c r="C8400" s="3" t="str">
        <f>IFERROR(__xludf.DUMMYFUNCTION("""COMPUTED_VALUE"""),"CASTLETON")</f>
        <v>CASTLETON</v>
      </c>
      <c r="D8400" s="3" t="str">
        <f>IFERROR(__xludf.DUMMYFUNCTION("""COMPUTED_VALUE"""),"K0K 1M0")</f>
        <v>K0K 1M0</v>
      </c>
      <c r="E8400" s="3"/>
      <c r="F8400" s="3"/>
      <c r="G8400" s="3"/>
      <c r="H8400" s="3"/>
    </row>
    <row r="8401">
      <c r="A8401" s="2">
        <f>IFERROR(__xludf.DUMMYFUNCTION("""COMPUTED_VALUE"""),30267.0)</f>
        <v>30267</v>
      </c>
      <c r="B8401" s="3" t="str">
        <f>IFERROR(__xludf.DUMMYFUNCTION("""COMPUTED_VALUE"""),"2087 COUNTY 22 RD ")</f>
        <v>2087 COUNTY 22 RD </v>
      </c>
      <c r="C8401" s="3" t="str">
        <f>IFERROR(__xludf.DUMMYFUNCTION("""COMPUTED_VALUE"""),"CASTLETON")</f>
        <v>CASTLETON</v>
      </c>
      <c r="D8401" s="3" t="str">
        <f>IFERROR(__xludf.DUMMYFUNCTION("""COMPUTED_VALUE"""),"K0K 1M0")</f>
        <v>K0K 1M0</v>
      </c>
      <c r="E8401" s="3"/>
      <c r="F8401" s="3"/>
      <c r="G8401" s="3"/>
      <c r="H8401" s="3"/>
    </row>
    <row r="8402">
      <c r="A8402" s="2">
        <f>IFERROR(__xludf.DUMMYFUNCTION("""COMPUTED_VALUE"""),30268.0)</f>
        <v>30268</v>
      </c>
      <c r="B8402" s="3" t="str">
        <f>IFERROR(__xludf.DUMMYFUNCTION("""COMPUTED_VALUE"""),"2106 COUNTY 22 RD ")</f>
        <v>2106 COUNTY 22 RD </v>
      </c>
      <c r="C8402" s="3" t="str">
        <f>IFERROR(__xludf.DUMMYFUNCTION("""COMPUTED_VALUE"""),"CASTLETON")</f>
        <v>CASTLETON</v>
      </c>
      <c r="D8402" s="3" t="str">
        <f>IFERROR(__xludf.DUMMYFUNCTION("""COMPUTED_VALUE"""),"K0K 1M0")</f>
        <v>K0K 1M0</v>
      </c>
      <c r="E8402" s="3" t="str">
        <f>IFERROR(__xludf.DUMMYFUNCTION("""COMPUTED_VALUE"""),"Sue adams")</f>
        <v>Sue adams</v>
      </c>
      <c r="F8402" s="3" t="str">
        <f>IFERROR(__xludf.DUMMYFUNCTION("""COMPUTED_VALUE"""),"sue7adams@hotmail.com")</f>
        <v>sue7adams@hotmail.com</v>
      </c>
      <c r="G8402" s="3">
        <f>IFERROR(__xludf.DUMMYFUNCTION("""COMPUTED_VALUE"""),2.892513025E9)</f>
        <v>2892513025</v>
      </c>
      <c r="H8402" s="3"/>
    </row>
    <row r="8403">
      <c r="A8403" s="2">
        <f>IFERROR(__xludf.DUMMYFUNCTION("""COMPUTED_VALUE"""),30269.0)</f>
        <v>30269</v>
      </c>
      <c r="B8403" s="3" t="str">
        <f>IFERROR(__xludf.DUMMYFUNCTION("""COMPUTED_VALUE"""),"2129 COUNTY 22 RD ")</f>
        <v>2129 COUNTY 22 RD </v>
      </c>
      <c r="C8403" s="3" t="str">
        <f>IFERROR(__xludf.DUMMYFUNCTION("""COMPUTED_VALUE"""),"CASTLETON")</f>
        <v>CASTLETON</v>
      </c>
      <c r="D8403" s="3" t="str">
        <f>IFERROR(__xludf.DUMMYFUNCTION("""COMPUTED_VALUE"""),"K0K 1M0")</f>
        <v>K0K 1M0</v>
      </c>
      <c r="E8403" s="3" t="str">
        <f>IFERROR(__xludf.DUMMYFUNCTION("""COMPUTED_VALUE"""),"julian spicer")</f>
        <v>julian spicer</v>
      </c>
      <c r="F8403" s="3" t="str">
        <f>IFERROR(__xludf.DUMMYFUNCTION("""COMPUTED_VALUE"""),"julian@julianspicer.com")</f>
        <v>julian@julianspicer.com</v>
      </c>
      <c r="G8403" s="3">
        <f>IFERROR(__xludf.DUMMYFUNCTION("""COMPUTED_VALUE"""),4.162623347E9)</f>
        <v>4162623347</v>
      </c>
      <c r="H8403" s="3"/>
    </row>
    <row r="8404">
      <c r="A8404" s="2">
        <f>IFERROR(__xludf.DUMMYFUNCTION("""COMPUTED_VALUE"""),30270.0)</f>
        <v>30270</v>
      </c>
      <c r="B8404" s="3" t="str">
        <f>IFERROR(__xludf.DUMMYFUNCTION("""COMPUTED_VALUE"""),"2192 COUNTY 22 RD ")</f>
        <v>2192 COUNTY 22 RD </v>
      </c>
      <c r="C8404" s="3" t="str">
        <f>IFERROR(__xludf.DUMMYFUNCTION("""COMPUTED_VALUE"""),"CASTLETON")</f>
        <v>CASTLETON</v>
      </c>
      <c r="D8404" s="3" t="str">
        <f>IFERROR(__xludf.DUMMYFUNCTION("""COMPUTED_VALUE"""),"K0K 1M0")</f>
        <v>K0K 1M0</v>
      </c>
      <c r="E8404" s="3" t="str">
        <f>IFERROR(__xludf.DUMMYFUNCTION("""COMPUTED_VALUE"""),"Dana Hiltz")</f>
        <v>Dana Hiltz</v>
      </c>
      <c r="F8404" s="3" t="str">
        <f>IFERROR(__xludf.DUMMYFUNCTION("""COMPUTED_VALUE"""),"dhiltz68@gmail.com")</f>
        <v>dhiltz68@gmail.com</v>
      </c>
      <c r="G8404" s="3"/>
      <c r="H8404" s="3"/>
    </row>
    <row r="8405">
      <c r="A8405" s="2">
        <f>IFERROR(__xludf.DUMMYFUNCTION("""COMPUTED_VALUE"""),30271.0)</f>
        <v>30271</v>
      </c>
      <c r="B8405" s="3" t="str">
        <f>IFERROR(__xludf.DUMMYFUNCTION("""COMPUTED_VALUE"""),"2199 COUNTY 22 RD ")</f>
        <v>2199 COUNTY 22 RD </v>
      </c>
      <c r="C8405" s="3" t="str">
        <f>IFERROR(__xludf.DUMMYFUNCTION("""COMPUTED_VALUE"""),"CASTLETON")</f>
        <v>CASTLETON</v>
      </c>
      <c r="D8405" s="3" t="str">
        <f>IFERROR(__xludf.DUMMYFUNCTION("""COMPUTED_VALUE"""),"K0K 1M0")</f>
        <v>K0K 1M0</v>
      </c>
      <c r="E8405" s="3"/>
      <c r="F8405" s="3"/>
      <c r="G8405" s="3"/>
      <c r="H8405" s="3"/>
    </row>
    <row r="8406">
      <c r="A8406" s="2">
        <f>IFERROR(__xludf.DUMMYFUNCTION("""COMPUTED_VALUE"""),30272.0)</f>
        <v>30272</v>
      </c>
      <c r="B8406" s="3" t="str">
        <f>IFERROR(__xludf.DUMMYFUNCTION("""COMPUTED_VALUE"""),"2209 COUNTY 22 RD ")</f>
        <v>2209 COUNTY 22 RD </v>
      </c>
      <c r="C8406" s="3" t="str">
        <f>IFERROR(__xludf.DUMMYFUNCTION("""COMPUTED_VALUE"""),"CASTLETON")</f>
        <v>CASTLETON</v>
      </c>
      <c r="D8406" s="3" t="str">
        <f>IFERROR(__xludf.DUMMYFUNCTION("""COMPUTED_VALUE"""),"K0K 1M0")</f>
        <v>K0K 1M0</v>
      </c>
      <c r="E8406" s="3"/>
      <c r="F8406" s="3"/>
      <c r="G8406" s="3"/>
      <c r="H8406" s="3"/>
    </row>
    <row r="8407">
      <c r="A8407" s="2">
        <f>IFERROR(__xludf.DUMMYFUNCTION("""COMPUTED_VALUE"""),30273.0)</f>
        <v>30273</v>
      </c>
      <c r="B8407" s="3" t="str">
        <f>IFERROR(__xludf.DUMMYFUNCTION("""COMPUTED_VALUE"""),"2219 COUNTY 22 RD ")</f>
        <v>2219 COUNTY 22 RD </v>
      </c>
      <c r="C8407" s="3" t="str">
        <f>IFERROR(__xludf.DUMMYFUNCTION("""COMPUTED_VALUE"""),"CASTLETON")</f>
        <v>CASTLETON</v>
      </c>
      <c r="D8407" s="3" t="str">
        <f>IFERROR(__xludf.DUMMYFUNCTION("""COMPUTED_VALUE"""),"K0K 1M0")</f>
        <v>K0K 1M0</v>
      </c>
      <c r="E8407" s="3"/>
      <c r="F8407" s="3"/>
      <c r="G8407" s="3"/>
      <c r="H8407" s="3"/>
    </row>
    <row r="8408">
      <c r="A8408" s="2">
        <f>IFERROR(__xludf.DUMMYFUNCTION("""COMPUTED_VALUE"""),30274.0)</f>
        <v>30274</v>
      </c>
      <c r="B8408" s="3" t="str">
        <f>IFERROR(__xludf.DUMMYFUNCTION("""COMPUTED_VALUE"""),"2242 COUNTY 22 RD ")</f>
        <v>2242 COUNTY 22 RD </v>
      </c>
      <c r="C8408" s="3" t="str">
        <f>IFERROR(__xludf.DUMMYFUNCTION("""COMPUTED_VALUE"""),"CASTLETON")</f>
        <v>CASTLETON</v>
      </c>
      <c r="D8408" s="3" t="str">
        <f>IFERROR(__xludf.DUMMYFUNCTION("""COMPUTED_VALUE"""),"K0K 1M0")</f>
        <v>K0K 1M0</v>
      </c>
      <c r="E8408" s="3" t="str">
        <f>IFERROR(__xludf.DUMMYFUNCTION("""COMPUTED_VALUE"""),"Regan and Wayne Wilson")</f>
        <v>Regan and Wayne Wilson</v>
      </c>
      <c r="F8408" s="3" t="str">
        <f>IFERROR(__xludf.DUMMYFUNCTION("""COMPUTED_VALUE"""),"rubewils@gmail.com")</f>
        <v>rubewils@gmail.com</v>
      </c>
      <c r="G8408" s="3">
        <f>IFERROR(__xludf.DUMMYFUNCTION("""COMPUTED_VALUE"""),9.053738249E9)</f>
        <v>9053738249</v>
      </c>
      <c r="H8408" s="3">
        <f>IFERROR(__xludf.DUMMYFUNCTION("""COMPUTED_VALUE"""),9.053736178E9)</f>
        <v>9053736178</v>
      </c>
    </row>
    <row r="8409">
      <c r="A8409" s="2">
        <f>IFERROR(__xludf.DUMMYFUNCTION("""COMPUTED_VALUE"""),30275.0)</f>
        <v>30275</v>
      </c>
      <c r="B8409" s="3" t="str">
        <f>IFERROR(__xludf.DUMMYFUNCTION("""COMPUTED_VALUE"""),"2371 COUNTY 22 RD ")</f>
        <v>2371 COUNTY 22 RD </v>
      </c>
      <c r="C8409" s="3" t="str">
        <f>IFERROR(__xludf.DUMMYFUNCTION("""COMPUTED_VALUE"""),"CASTLETON")</f>
        <v>CASTLETON</v>
      </c>
      <c r="D8409" s="3" t="str">
        <f>IFERROR(__xludf.DUMMYFUNCTION("""COMPUTED_VALUE"""),"K0K 1M0")</f>
        <v>K0K 1M0</v>
      </c>
      <c r="E8409" s="3" t="str">
        <f>IFERROR(__xludf.DUMMYFUNCTION("""COMPUTED_VALUE"""),"Jeremy Himelfarb")</f>
        <v>Jeremy Himelfarb</v>
      </c>
      <c r="F8409" s="3" t="str">
        <f>IFERROR(__xludf.DUMMYFUNCTION("""COMPUTED_VALUE"""),"tresbalas333@hotmail.com")</f>
        <v>tresbalas333@hotmail.com</v>
      </c>
      <c r="G8409" s="3">
        <f>IFERROR(__xludf.DUMMYFUNCTION("""COMPUTED_VALUE"""),9.05436839E9)</f>
        <v>9054368390</v>
      </c>
      <c r="H8409" s="3"/>
    </row>
    <row r="8410">
      <c r="A8410" s="2">
        <f>IFERROR(__xludf.DUMMYFUNCTION("""COMPUTED_VALUE"""),30276.0)</f>
        <v>30276</v>
      </c>
      <c r="B8410" s="3" t="str">
        <f>IFERROR(__xludf.DUMMYFUNCTION("""COMPUTED_VALUE"""),"2390 COUNTY RD 22 ")</f>
        <v>2390 COUNTY RD 22 </v>
      </c>
      <c r="C8410" s="3" t="str">
        <f>IFERROR(__xludf.DUMMYFUNCTION("""COMPUTED_VALUE"""),"CASTLETON")</f>
        <v>CASTLETON</v>
      </c>
      <c r="D8410" s="3" t="str">
        <f>IFERROR(__xludf.DUMMYFUNCTION("""COMPUTED_VALUE"""),"K0K 1M0")</f>
        <v>K0K 1M0</v>
      </c>
      <c r="E8410" s="3" t="str">
        <f>IFERROR(__xludf.DUMMYFUNCTION("""COMPUTED_VALUE"""),"Ryan Doidge")</f>
        <v>Ryan Doidge</v>
      </c>
      <c r="F8410" s="3" t="str">
        <f>IFERROR(__xludf.DUMMYFUNCTION("""COMPUTED_VALUE"""),"teanna.metcalf@gmail.com")</f>
        <v>teanna.metcalf@gmail.com</v>
      </c>
      <c r="G8410" s="3">
        <f>IFERROR(__xludf.DUMMYFUNCTION("""COMPUTED_VALUE"""),2.89251108E9)</f>
        <v>2892511080</v>
      </c>
      <c r="H8410" s="3">
        <f>IFERROR(__xludf.DUMMYFUNCTION("""COMPUTED_VALUE"""),9.058098168E9)</f>
        <v>9058098168</v>
      </c>
    </row>
    <row r="8411">
      <c r="A8411" s="2">
        <f>IFERROR(__xludf.DUMMYFUNCTION("""COMPUTED_VALUE"""),30277.0)</f>
        <v>30277</v>
      </c>
      <c r="B8411" s="3" t="str">
        <f>IFERROR(__xludf.DUMMYFUNCTION("""COMPUTED_VALUE"""),"2415 COUNTY RD 22")</f>
        <v>2415 COUNTY RD 22</v>
      </c>
      <c r="C8411" s="3" t="str">
        <f>IFERROR(__xludf.DUMMYFUNCTION("""COMPUTED_VALUE"""),"CASTLETON")</f>
        <v>CASTLETON</v>
      </c>
      <c r="D8411" s="3" t="str">
        <f>IFERROR(__xludf.DUMMYFUNCTION("""COMPUTED_VALUE"""),"K0K 1M0")</f>
        <v>K0K 1M0</v>
      </c>
      <c r="E8411" s="3" t="str">
        <f>IFERROR(__xludf.DUMMYFUNCTION("""COMPUTED_VALUE"""),"Kristie Jennifer Toman")</f>
        <v>Kristie Jennifer Toman</v>
      </c>
      <c r="F8411" s="3" t="str">
        <f>IFERROR(__xludf.DUMMYFUNCTION("""COMPUTED_VALUE"""),"kristie.toman@opg.com")</f>
        <v>kristie.toman@opg.com</v>
      </c>
      <c r="G8411" s="3">
        <f>IFERROR(__xludf.DUMMYFUNCTION("""COMPUTED_VALUE"""),2.893874197E9)</f>
        <v>2893874197</v>
      </c>
      <c r="H8411" s="3"/>
    </row>
    <row r="8412">
      <c r="A8412" s="2">
        <f>IFERROR(__xludf.DUMMYFUNCTION("""COMPUTED_VALUE"""),30278.0)</f>
        <v>30278</v>
      </c>
      <c r="B8412" s="3" t="str">
        <f>IFERROR(__xludf.DUMMYFUNCTION("""COMPUTED_VALUE"""),"2480 COUNTY RD 22")</f>
        <v>2480 COUNTY RD 22</v>
      </c>
      <c r="C8412" s="3" t="str">
        <f>IFERROR(__xludf.DUMMYFUNCTION("""COMPUTED_VALUE"""),"CASTLETON")</f>
        <v>CASTLETON</v>
      </c>
      <c r="D8412" s="3" t="str">
        <f>IFERROR(__xludf.DUMMYFUNCTION("""COMPUTED_VALUE"""),"K0K 1M0")</f>
        <v>K0K 1M0</v>
      </c>
      <c r="E8412" s="3" t="str">
        <f>IFERROR(__xludf.DUMMYFUNCTION("""COMPUTED_VALUE"""),"TRICIA CARR")</f>
        <v>TRICIA CARR</v>
      </c>
      <c r="F8412" s="3" t="str">
        <f>IFERROR(__xludf.DUMMYFUNCTION("""COMPUTED_VALUE"""),"onetriciaone@hotmail.com")</f>
        <v>onetriciaone@hotmail.com</v>
      </c>
      <c r="G8412" s="3"/>
      <c r="H8412" s="3"/>
    </row>
    <row r="8413">
      <c r="A8413" s="2">
        <f>IFERROR(__xludf.DUMMYFUNCTION("""COMPUTED_VALUE"""),30279.0)</f>
        <v>30279</v>
      </c>
      <c r="B8413" s="3" t="str">
        <f>IFERROR(__xludf.DUMMYFUNCTION("""COMPUTED_VALUE"""),"2489 COUNTY 22 RD ")</f>
        <v>2489 COUNTY 22 RD </v>
      </c>
      <c r="C8413" s="3" t="str">
        <f>IFERROR(__xludf.DUMMYFUNCTION("""COMPUTED_VALUE"""),"CASTLETON")</f>
        <v>CASTLETON</v>
      </c>
      <c r="D8413" s="3" t="str">
        <f>IFERROR(__xludf.DUMMYFUNCTION("""COMPUTED_VALUE"""),"K0K 1M0")</f>
        <v>K0K 1M0</v>
      </c>
      <c r="E8413" s="3" t="str">
        <f>IFERROR(__xludf.DUMMYFUNCTION("""COMPUTED_VALUE"""),"Dan Groeneveld + Valerie Smith")</f>
        <v>Dan Groeneveld + Valerie Smith</v>
      </c>
      <c r="F8413" s="3" t="str">
        <f>IFERROR(__xludf.DUMMYFUNCTION("""COMPUTED_VALUE"""),"booneandsam@gmail.com")</f>
        <v>booneandsam@gmail.com</v>
      </c>
      <c r="G8413" s="3"/>
      <c r="H8413" s="3"/>
    </row>
    <row r="8414">
      <c r="A8414" s="2">
        <f>IFERROR(__xludf.DUMMYFUNCTION("""COMPUTED_VALUE"""),30280.0)</f>
        <v>30280</v>
      </c>
      <c r="B8414" s="3" t="str">
        <f>IFERROR(__xludf.DUMMYFUNCTION("""COMPUTED_VALUE"""),"2568 COUNTY 22 RD ")</f>
        <v>2568 COUNTY 22 RD </v>
      </c>
      <c r="C8414" s="3" t="str">
        <f>IFERROR(__xludf.DUMMYFUNCTION("""COMPUTED_VALUE"""),"CASTLETON")</f>
        <v>CASTLETON</v>
      </c>
      <c r="D8414" s="3" t="str">
        <f>IFERROR(__xludf.DUMMYFUNCTION("""COMPUTED_VALUE"""),"K0K 1M0")</f>
        <v>K0K 1M0</v>
      </c>
      <c r="E8414" s="3" t="str">
        <f>IFERROR(__xludf.DUMMYFUNCTION("""COMPUTED_VALUE"""),"James Landon ")</f>
        <v>James Landon </v>
      </c>
      <c r="F8414" s="3" t="str">
        <f>IFERROR(__xludf.DUMMYFUNCTION("""COMPUTED_VALUE"""),"jml43@hotmail.com")</f>
        <v>jml43@hotmail.com</v>
      </c>
      <c r="G8414" s="3"/>
      <c r="H8414" s="3"/>
    </row>
    <row r="8415">
      <c r="A8415" s="2">
        <f>IFERROR(__xludf.DUMMYFUNCTION("""COMPUTED_VALUE"""),30281.0)</f>
        <v>30281</v>
      </c>
      <c r="B8415" s="3" t="str">
        <f>IFERROR(__xludf.DUMMYFUNCTION("""COMPUTED_VALUE"""),"2580 COUNTY 22 RD ")</f>
        <v>2580 COUNTY 22 RD </v>
      </c>
      <c r="C8415" s="3" t="str">
        <f>IFERROR(__xludf.DUMMYFUNCTION("""COMPUTED_VALUE"""),"CASTLETON")</f>
        <v>CASTLETON</v>
      </c>
      <c r="D8415" s="3" t="str">
        <f>IFERROR(__xludf.DUMMYFUNCTION("""COMPUTED_VALUE"""),"K0K 1M0")</f>
        <v>K0K 1M0</v>
      </c>
      <c r="E8415" s="3" t="str">
        <f>IFERROR(__xludf.DUMMYFUNCTION("""COMPUTED_VALUE"""),"Terry O'Leary")</f>
        <v>Terry O'Leary</v>
      </c>
      <c r="F8415" s="3" t="str">
        <f>IFERROR(__xludf.DUMMYFUNCTION("""COMPUTED_VALUE"""),"marilyn.oleary@hotmail.com")</f>
        <v>marilyn.oleary@hotmail.com</v>
      </c>
      <c r="G8415" s="3">
        <f>IFERROR(__xludf.DUMMYFUNCTION("""COMPUTED_VALUE"""),9.054357066E9)</f>
        <v>9054357066</v>
      </c>
      <c r="H8415" s="3">
        <f>IFERROR(__xludf.DUMMYFUNCTION("""COMPUTED_VALUE"""),9.05666954E9)</f>
        <v>9056669540</v>
      </c>
    </row>
    <row r="8416">
      <c r="A8416" s="2">
        <f>IFERROR(__xludf.DUMMYFUNCTION("""COMPUTED_VALUE"""),30282.0)</f>
        <v>30282</v>
      </c>
      <c r="B8416" s="3" t="str">
        <f>IFERROR(__xludf.DUMMYFUNCTION("""COMPUTED_VALUE"""),"2589 COUNTY 22 RD ")</f>
        <v>2589 COUNTY 22 RD </v>
      </c>
      <c r="C8416" s="3" t="str">
        <f>IFERROR(__xludf.DUMMYFUNCTION("""COMPUTED_VALUE"""),"CASTLETON")</f>
        <v>CASTLETON</v>
      </c>
      <c r="D8416" s="3" t="str">
        <f>IFERROR(__xludf.DUMMYFUNCTION("""COMPUTED_VALUE"""),"K0K 1M0")</f>
        <v>K0K 1M0</v>
      </c>
      <c r="E8416" s="3"/>
      <c r="F8416" s="3"/>
      <c r="G8416" s="3"/>
      <c r="H8416" s="3"/>
    </row>
    <row r="8417">
      <c r="A8417" s="2">
        <f>IFERROR(__xludf.DUMMYFUNCTION("""COMPUTED_VALUE"""),30283.0)</f>
        <v>30283</v>
      </c>
      <c r="B8417" s="3" t="str">
        <f>IFERROR(__xludf.DUMMYFUNCTION("""COMPUTED_VALUE"""),"2620 COUNTY 22 RD ")</f>
        <v>2620 COUNTY 22 RD </v>
      </c>
      <c r="C8417" s="3" t="str">
        <f>IFERROR(__xludf.DUMMYFUNCTION("""COMPUTED_VALUE"""),"CASTLETON")</f>
        <v>CASTLETON</v>
      </c>
      <c r="D8417" s="3" t="str">
        <f>IFERROR(__xludf.DUMMYFUNCTION("""COMPUTED_VALUE"""),"K0K 1M0")</f>
        <v>K0K 1M0</v>
      </c>
      <c r="E8417" s="3" t="str">
        <f>IFERROR(__xludf.DUMMYFUNCTION("""COMPUTED_VALUE"""),"Christine Ramballi")</f>
        <v>Christine Ramballi</v>
      </c>
      <c r="F8417" s="3" t="str">
        <f>IFERROR(__xludf.DUMMYFUNCTION("""COMPUTED_VALUE"""),"christine.ramballi@gmail.com")</f>
        <v>christine.ramballi@gmail.com</v>
      </c>
      <c r="G8417" s="3">
        <f>IFERROR(__xludf.DUMMYFUNCTION("""COMPUTED_VALUE"""),9.059994891E9)</f>
        <v>9059994891</v>
      </c>
      <c r="H8417" s="3"/>
    </row>
    <row r="8418">
      <c r="A8418" s="2">
        <f>IFERROR(__xludf.DUMMYFUNCTION("""COMPUTED_VALUE"""),30394.0)</f>
        <v>30394</v>
      </c>
      <c r="B8418" s="3" t="str">
        <f>IFERROR(__xludf.DUMMYFUNCTION("""COMPUTED_VALUE"""),"833 COUNTY 23 RD ")</f>
        <v>833 COUNTY 23 RD </v>
      </c>
      <c r="C8418" s="3" t="str">
        <f>IFERROR(__xludf.DUMMYFUNCTION("""COMPUTED_VALUE"""),"GRAFTON")</f>
        <v>GRAFTON</v>
      </c>
      <c r="D8418" s="3" t="str">
        <f>IFERROR(__xludf.DUMMYFUNCTION("""COMPUTED_VALUE"""),"K0K 2G0")</f>
        <v>K0K 2G0</v>
      </c>
      <c r="E8418" s="3" t="str">
        <f>IFERROR(__xludf.DUMMYFUNCTION("""COMPUTED_VALUE"""),"Colleen Gillet")</f>
        <v>Colleen Gillet</v>
      </c>
      <c r="F8418" s="3" t="str">
        <f>IFERROR(__xludf.DUMMYFUNCTION("""COMPUTED_VALUE"""),"N/A")</f>
        <v>N/A</v>
      </c>
      <c r="G8418" s="3"/>
      <c r="H8418" s="3"/>
    </row>
    <row r="8419">
      <c r="A8419" s="2">
        <f>IFERROR(__xludf.DUMMYFUNCTION("""COMPUTED_VALUE"""),30395.0)</f>
        <v>30395</v>
      </c>
      <c r="B8419" s="3" t="str">
        <f>IFERROR(__xludf.DUMMYFUNCTION("""COMPUTED_VALUE"""),"863 COUNTY 23 RD ")</f>
        <v>863 COUNTY 23 RD </v>
      </c>
      <c r="C8419" s="3" t="str">
        <f>IFERROR(__xludf.DUMMYFUNCTION("""COMPUTED_VALUE"""),"GRAFTON")</f>
        <v>GRAFTON</v>
      </c>
      <c r="D8419" s="3" t="str">
        <f>IFERROR(__xludf.DUMMYFUNCTION("""COMPUTED_VALUE"""),"K0K 2G0")</f>
        <v>K0K 2G0</v>
      </c>
      <c r="E8419" s="3"/>
      <c r="F8419" s="3"/>
      <c r="G8419" s="3"/>
      <c r="H8419" s="3"/>
    </row>
    <row r="8420">
      <c r="A8420" s="2">
        <f>IFERROR(__xludf.DUMMYFUNCTION("""COMPUTED_VALUE"""),30396.0)</f>
        <v>30396</v>
      </c>
      <c r="B8420" s="3" t="str">
        <f>IFERROR(__xludf.DUMMYFUNCTION("""COMPUTED_VALUE"""),"874 COUNTY 23 RD ")</f>
        <v>874 COUNTY 23 RD </v>
      </c>
      <c r="C8420" s="3" t="str">
        <f>IFERROR(__xludf.DUMMYFUNCTION("""COMPUTED_VALUE"""),"GRAFTON")</f>
        <v>GRAFTON</v>
      </c>
      <c r="D8420" s="3" t="str">
        <f>IFERROR(__xludf.DUMMYFUNCTION("""COMPUTED_VALUE"""),"K0K 2G0")</f>
        <v>K0K 2G0</v>
      </c>
      <c r="E8420" s="3" t="str">
        <f>IFERROR(__xludf.DUMMYFUNCTION("""COMPUTED_VALUE"""),"Kelly Mason")</f>
        <v>Kelly Mason</v>
      </c>
      <c r="F8420" s="3" t="str">
        <f>IFERROR(__xludf.DUMMYFUNCTION("""COMPUTED_VALUE"""),"kmason8769@gmail.com")</f>
        <v>kmason8769@gmail.com</v>
      </c>
      <c r="G8420" s="3">
        <f>IFERROR(__xludf.DUMMYFUNCTION("""COMPUTED_VALUE"""),2.89356523E9)</f>
        <v>2893565230</v>
      </c>
      <c r="H8420" s="3">
        <f>IFERROR(__xludf.DUMMYFUNCTION("""COMPUTED_VALUE"""),9.052429232E9)</f>
        <v>9052429232</v>
      </c>
    </row>
    <row r="8421">
      <c r="A8421" s="2">
        <f>IFERROR(__xludf.DUMMYFUNCTION("""COMPUTED_VALUE"""),30397.0)</f>
        <v>30397</v>
      </c>
      <c r="B8421" s="3" t="str">
        <f>IFERROR(__xludf.DUMMYFUNCTION("""COMPUTED_VALUE"""),"988 COUNTY 23 RD ")</f>
        <v>988 COUNTY 23 RD </v>
      </c>
      <c r="C8421" s="3" t="str">
        <f>IFERROR(__xludf.DUMMYFUNCTION("""COMPUTED_VALUE"""),"GRAFTON")</f>
        <v>GRAFTON</v>
      </c>
      <c r="D8421" s="3" t="str">
        <f>IFERROR(__xludf.DUMMYFUNCTION("""COMPUTED_VALUE"""),"K0K 2G0")</f>
        <v>K0K 2G0</v>
      </c>
      <c r="E8421" s="3" t="str">
        <f>IFERROR(__xludf.DUMMYFUNCTION("""COMPUTED_VALUE"""),"Elizabeth Perry")</f>
        <v>Elizabeth Perry</v>
      </c>
      <c r="F8421" s="3" t="str">
        <f>IFERROR(__xludf.DUMMYFUNCTION("""COMPUTED_VALUE"""),"elizabethperry493@gmail.com")</f>
        <v>elizabethperry493@gmail.com</v>
      </c>
      <c r="G8421" s="3"/>
      <c r="H8421" s="3"/>
    </row>
    <row r="8422">
      <c r="A8422" s="2">
        <f>IFERROR(__xludf.DUMMYFUNCTION("""COMPUTED_VALUE"""),30398.0)</f>
        <v>30398</v>
      </c>
      <c r="B8422" s="3" t="str">
        <f>IFERROR(__xludf.DUMMYFUNCTION("""COMPUTED_VALUE"""),"1065 COUNTY 23 RD ")</f>
        <v>1065 COUNTY 23 RD </v>
      </c>
      <c r="C8422" s="3" t="str">
        <f>IFERROR(__xludf.DUMMYFUNCTION("""COMPUTED_VALUE"""),"GRAFTON")</f>
        <v>GRAFTON</v>
      </c>
      <c r="D8422" s="3" t="str">
        <f>IFERROR(__xludf.DUMMYFUNCTION("""COMPUTED_VALUE"""),"K0K 2G0")</f>
        <v>K0K 2G0</v>
      </c>
      <c r="E8422" s="3"/>
      <c r="F8422" s="3"/>
      <c r="G8422" s="3"/>
      <c r="H8422" s="3"/>
    </row>
    <row r="8423">
      <c r="A8423" s="2">
        <f>IFERROR(__xludf.DUMMYFUNCTION("""COMPUTED_VALUE"""),30399.0)</f>
        <v>30399</v>
      </c>
      <c r="B8423" s="3" t="str">
        <f>IFERROR(__xludf.DUMMYFUNCTION("""COMPUTED_VALUE"""),"1075 COUNTY RD 23")</f>
        <v>1075 COUNTY RD 23</v>
      </c>
      <c r="C8423" s="3" t="str">
        <f>IFERROR(__xludf.DUMMYFUNCTION("""COMPUTED_VALUE"""),"GRAFTON")</f>
        <v>GRAFTON</v>
      </c>
      <c r="D8423" s="3" t="str">
        <f>IFERROR(__xludf.DUMMYFUNCTION("""COMPUTED_VALUE"""),"K0K 2G0")</f>
        <v>K0K 2G0</v>
      </c>
      <c r="E8423" s="3" t="str">
        <f>IFERROR(__xludf.DUMMYFUNCTION("""COMPUTED_VALUE"""),"Donald Muir")</f>
        <v>Donald Muir</v>
      </c>
      <c r="F8423" s="3" t="str">
        <f>IFERROR(__xludf.DUMMYFUNCTION("""COMPUTED_VALUE"""),"dfmuir@yahoo.com")</f>
        <v>dfmuir@yahoo.com</v>
      </c>
      <c r="G8423" s="3">
        <f>IFERROR(__xludf.DUMMYFUNCTION("""COMPUTED_VALUE"""),4.168595972E9)</f>
        <v>4168595972</v>
      </c>
      <c r="H8423" s="3"/>
    </row>
    <row r="8424">
      <c r="A8424" s="2">
        <f>IFERROR(__xludf.DUMMYFUNCTION("""COMPUTED_VALUE"""),30400.0)</f>
        <v>30400</v>
      </c>
      <c r="B8424" s="3" t="str">
        <f>IFERROR(__xludf.DUMMYFUNCTION("""COMPUTED_VALUE"""),"1179 COUNTY 23 RD ")</f>
        <v>1179 COUNTY 23 RD </v>
      </c>
      <c r="C8424" s="3" t="str">
        <f>IFERROR(__xludf.DUMMYFUNCTION("""COMPUTED_VALUE"""),"GRAFTON")</f>
        <v>GRAFTON</v>
      </c>
      <c r="D8424" s="3" t="str">
        <f>IFERROR(__xludf.DUMMYFUNCTION("""COMPUTED_VALUE"""),"K0K 2G0")</f>
        <v>K0K 2G0</v>
      </c>
      <c r="E8424" s="3"/>
      <c r="F8424" s="3"/>
      <c r="G8424" s="3"/>
      <c r="H8424" s="3"/>
    </row>
    <row r="8425">
      <c r="A8425" s="2">
        <f>IFERROR(__xludf.DUMMYFUNCTION("""COMPUTED_VALUE"""),30401.0)</f>
        <v>30401</v>
      </c>
      <c r="B8425" s="3" t="str">
        <f>IFERROR(__xludf.DUMMYFUNCTION("""COMPUTED_VALUE"""),"1207 COUNTY 23 RD ")</f>
        <v>1207 COUNTY 23 RD </v>
      </c>
      <c r="C8425" s="3" t="str">
        <f>IFERROR(__xludf.DUMMYFUNCTION("""COMPUTED_VALUE"""),"GRAFTON")</f>
        <v>GRAFTON</v>
      </c>
      <c r="D8425" s="3" t="str">
        <f>IFERROR(__xludf.DUMMYFUNCTION("""COMPUTED_VALUE"""),"K0K 2G0")</f>
        <v>K0K 2G0</v>
      </c>
      <c r="E8425" s="3" t="str">
        <f>IFERROR(__xludf.DUMMYFUNCTION("""COMPUTED_VALUE"""),"Ernest &amp; leslie Schroeder")</f>
        <v>Ernest &amp; leslie Schroeder</v>
      </c>
      <c r="F8425" s="3" t="str">
        <f>IFERROR(__xludf.DUMMYFUNCTION("""COMPUTED_VALUE"""),"lschrouder001@gmail.com")</f>
        <v>lschrouder001@gmail.com</v>
      </c>
      <c r="G8425" s="3"/>
      <c r="H8425" s="3"/>
    </row>
    <row r="8426">
      <c r="A8426" s="2">
        <f>IFERROR(__xludf.DUMMYFUNCTION("""COMPUTED_VALUE"""),30402.0)</f>
        <v>30402</v>
      </c>
      <c r="B8426" s="3" t="str">
        <f>IFERROR(__xludf.DUMMYFUNCTION("""COMPUTED_VALUE"""),"1223 COUNTY RD 23")</f>
        <v>1223 COUNTY RD 23</v>
      </c>
      <c r="C8426" s="3" t="str">
        <f>IFERROR(__xludf.DUMMYFUNCTION("""COMPUTED_VALUE"""),"GRAFTON")</f>
        <v>GRAFTON</v>
      </c>
      <c r="D8426" s="3" t="str">
        <f>IFERROR(__xludf.DUMMYFUNCTION("""COMPUTED_VALUE"""),"K0K 2G0")</f>
        <v>K0K 2G0</v>
      </c>
      <c r="E8426" s="3" t="str">
        <f>IFERROR(__xludf.DUMMYFUNCTION("""COMPUTED_VALUE"""),"James McKernan")</f>
        <v>James McKernan</v>
      </c>
      <c r="F8426" s="3" t="str">
        <f>IFERROR(__xludf.DUMMYFUNCTION("""COMPUTED_VALUE"""),"mckernan@yorku.ca")</f>
        <v>mckernan@yorku.ca</v>
      </c>
      <c r="G8426" s="3"/>
      <c r="H8426" s="3"/>
    </row>
    <row r="8427">
      <c r="A8427" s="2">
        <f>IFERROR(__xludf.DUMMYFUNCTION("""COMPUTED_VALUE"""),30403.0)</f>
        <v>30403</v>
      </c>
      <c r="B8427" s="3" t="str">
        <f>IFERROR(__xludf.DUMMYFUNCTION("""COMPUTED_VALUE"""),"1270 COUNTY 23 RD ")</f>
        <v>1270 COUNTY 23 RD </v>
      </c>
      <c r="C8427" s="3" t="str">
        <f>IFERROR(__xludf.DUMMYFUNCTION("""COMPUTED_VALUE"""),"GRAFTON")</f>
        <v>GRAFTON</v>
      </c>
      <c r="D8427" s="3" t="str">
        <f>IFERROR(__xludf.DUMMYFUNCTION("""COMPUTED_VALUE"""),"K0K 2G0")</f>
        <v>K0K 2G0</v>
      </c>
      <c r="E8427" s="3" t="str">
        <f>IFERROR(__xludf.DUMMYFUNCTION("""COMPUTED_VALUE"""),"Kathy Noblett")</f>
        <v>Kathy Noblett</v>
      </c>
      <c r="F8427" s="3" t="str">
        <f>IFERROR(__xludf.DUMMYFUNCTION("""COMPUTED_VALUE"""),"kathynoblett02@gmail.com")</f>
        <v>kathynoblett02@gmail.com</v>
      </c>
      <c r="G8427" s="3">
        <f>IFERROR(__xludf.DUMMYFUNCTION("""COMPUTED_VALUE"""),4.165229597E9)</f>
        <v>4165229597</v>
      </c>
      <c r="H8427" s="3">
        <f>IFERROR(__xludf.DUMMYFUNCTION("""COMPUTED_VALUE"""),9.053960852E9)</f>
        <v>9053960852</v>
      </c>
    </row>
    <row r="8428">
      <c r="A8428" s="2">
        <f>IFERROR(__xludf.DUMMYFUNCTION("""COMPUTED_VALUE"""),30404.0)</f>
        <v>30404</v>
      </c>
      <c r="B8428" s="3" t="str">
        <f>IFERROR(__xludf.DUMMYFUNCTION("""COMPUTED_VALUE"""),"1481 COUNTY 23 RD ")</f>
        <v>1481 COUNTY 23 RD </v>
      </c>
      <c r="C8428" s="3" t="str">
        <f>IFERROR(__xludf.DUMMYFUNCTION("""COMPUTED_VALUE"""),"GRAFTON")</f>
        <v>GRAFTON</v>
      </c>
      <c r="D8428" s="3" t="str">
        <f>IFERROR(__xludf.DUMMYFUNCTION("""COMPUTED_VALUE"""),"K0K 2G0")</f>
        <v>K0K 2G0</v>
      </c>
      <c r="E8428" s="3"/>
      <c r="F8428" s="3"/>
      <c r="G8428" s="3"/>
      <c r="H8428" s="3"/>
    </row>
    <row r="8429">
      <c r="A8429" s="2">
        <f>IFERROR(__xludf.DUMMYFUNCTION("""COMPUTED_VALUE"""),30405.0)</f>
        <v>30405</v>
      </c>
      <c r="B8429" s="3" t="str">
        <f>IFERROR(__xludf.DUMMYFUNCTION("""COMPUTED_VALUE"""),"1765 COUNTY 23 RD ")</f>
        <v>1765 COUNTY 23 RD </v>
      </c>
      <c r="C8429" s="3" t="str">
        <f>IFERROR(__xludf.DUMMYFUNCTION("""COMPUTED_VALUE"""),"GRAFTON")</f>
        <v>GRAFTON</v>
      </c>
      <c r="D8429" s="3" t="str">
        <f>IFERROR(__xludf.DUMMYFUNCTION("""COMPUTED_VALUE"""),"K0K 2G0")</f>
        <v>K0K 2G0</v>
      </c>
      <c r="E8429" s="3"/>
      <c r="F8429" s="3"/>
      <c r="G8429" s="3"/>
      <c r="H8429" s="3"/>
    </row>
    <row r="8430">
      <c r="A8430" s="2">
        <f>IFERROR(__xludf.DUMMYFUNCTION("""COMPUTED_VALUE"""),30406.0)</f>
        <v>30406</v>
      </c>
      <c r="B8430" s="3" t="str">
        <f>IFERROR(__xludf.DUMMYFUNCTION("""COMPUTED_VALUE"""),"1810 COUNTY 23 RD ")</f>
        <v>1810 COUNTY 23 RD </v>
      </c>
      <c r="C8430" s="3" t="str">
        <f>IFERROR(__xludf.DUMMYFUNCTION("""COMPUTED_VALUE"""),"GRAFTON")</f>
        <v>GRAFTON</v>
      </c>
      <c r="D8430" s="3" t="str">
        <f>IFERROR(__xludf.DUMMYFUNCTION("""COMPUTED_VALUE"""),"K0K 2G0")</f>
        <v>K0K 2G0</v>
      </c>
      <c r="E8430" s="3" t="str">
        <f>IFERROR(__xludf.DUMMYFUNCTION("""COMPUTED_VALUE"""),"Jamshed khan")</f>
        <v>Jamshed khan</v>
      </c>
      <c r="F8430" s="3" t="str">
        <f>IFERROR(__xludf.DUMMYFUNCTION("""COMPUTED_VALUE"""),"jimmykhan79@yahoo.ca")</f>
        <v>jimmykhan79@yahoo.ca</v>
      </c>
      <c r="G8430" s="3">
        <f>IFERROR(__xludf.DUMMYFUNCTION("""COMPUTED_VALUE"""),4.165691034E9)</f>
        <v>4165691034</v>
      </c>
      <c r="H8430" s="3"/>
    </row>
    <row r="8431">
      <c r="A8431" s="2">
        <f>IFERROR(__xludf.DUMMYFUNCTION("""COMPUTED_VALUE"""),30407.0)</f>
        <v>30407</v>
      </c>
      <c r="B8431" s="3" t="str">
        <f>IFERROR(__xludf.DUMMYFUNCTION("""COMPUTED_VALUE"""),"1868 COUNTY RD 23")</f>
        <v>1868 COUNTY RD 23</v>
      </c>
      <c r="C8431" s="3" t="str">
        <f>IFERROR(__xludf.DUMMYFUNCTION("""COMPUTED_VALUE"""),"GRAFTON")</f>
        <v>GRAFTON</v>
      </c>
      <c r="D8431" s="3" t="str">
        <f>IFERROR(__xludf.DUMMYFUNCTION("""COMPUTED_VALUE"""),"K0K 2G0")</f>
        <v>K0K 2G0</v>
      </c>
      <c r="E8431" s="3" t="str">
        <f>IFERROR(__xludf.DUMMYFUNCTION("""COMPUTED_VALUE"""),"Erik Luyendyk")</f>
        <v>Erik Luyendyk</v>
      </c>
      <c r="F8431" s="3" t="str">
        <f>IFERROR(__xludf.DUMMYFUNCTION("""COMPUTED_VALUE"""),"erikluyendyk@gmail.com")</f>
        <v>erikluyendyk@gmail.com</v>
      </c>
      <c r="G8431" s="3"/>
      <c r="H8431" s="3"/>
    </row>
    <row r="8432">
      <c r="A8432" s="2">
        <f>IFERROR(__xludf.DUMMYFUNCTION("""COMPUTED_VALUE"""),30408.0)</f>
        <v>30408</v>
      </c>
      <c r="B8432" s="3" t="str">
        <f>IFERROR(__xludf.DUMMYFUNCTION("""COMPUTED_VALUE"""),"1869 COUNTY 23 RD ")</f>
        <v>1869 COUNTY 23 RD </v>
      </c>
      <c r="C8432" s="3" t="str">
        <f>IFERROR(__xludf.DUMMYFUNCTION("""COMPUTED_VALUE"""),"GRAFTON")</f>
        <v>GRAFTON</v>
      </c>
      <c r="D8432" s="3" t="str">
        <f>IFERROR(__xludf.DUMMYFUNCTION("""COMPUTED_VALUE"""),"K0K 2G0")</f>
        <v>K0K 2G0</v>
      </c>
      <c r="E8432" s="3" t="str">
        <f>IFERROR(__xludf.DUMMYFUNCTION("""COMPUTED_VALUE"""),"Un-sin, Chung")</f>
        <v>Un-sin, Chung</v>
      </c>
      <c r="F8432" s="3" t="str">
        <f>IFERROR(__xludf.DUMMYFUNCTION("""COMPUTED_VALUE"""),"ginachung57@gmail.com")</f>
        <v>ginachung57@gmail.com</v>
      </c>
      <c r="G8432" s="3"/>
      <c r="H8432" s="3"/>
    </row>
    <row r="8433">
      <c r="A8433" s="2">
        <f>IFERROR(__xludf.DUMMYFUNCTION("""COMPUTED_VALUE"""),30409.0)</f>
        <v>30409</v>
      </c>
      <c r="B8433" s="3" t="str">
        <f>IFERROR(__xludf.DUMMYFUNCTION("""COMPUTED_VALUE"""),"1885 COUNTY RD 23")</f>
        <v>1885 COUNTY RD 23</v>
      </c>
      <c r="C8433" s="3" t="str">
        <f>IFERROR(__xludf.DUMMYFUNCTION("""COMPUTED_VALUE"""),"GRAFTON")</f>
        <v>GRAFTON</v>
      </c>
      <c r="D8433" s="3" t="str">
        <f>IFERROR(__xludf.DUMMYFUNCTION("""COMPUTED_VALUE"""),"K0K 2G0")</f>
        <v>K0K 2G0</v>
      </c>
      <c r="E8433" s="3" t="str">
        <f>IFERROR(__xludf.DUMMYFUNCTION("""COMPUTED_VALUE"""),"Ian Clark")</f>
        <v>Ian Clark</v>
      </c>
      <c r="F8433" s="3" t="str">
        <f>IFERROR(__xludf.DUMMYFUNCTION("""COMPUTED_VALUE"""),"ian.clark@activationproducts.com")</f>
        <v>ian.clark@activationproducts.com</v>
      </c>
      <c r="G8433" s="3">
        <f>IFERROR(__xludf.DUMMYFUNCTION("""COMPUTED_VALUE"""),2.892517753E9)</f>
        <v>2892517753</v>
      </c>
      <c r="H8433" s="3">
        <f>IFERROR(__xludf.DUMMYFUNCTION("""COMPUTED_VALUE"""),9.053492379E9)</f>
        <v>9053492379</v>
      </c>
    </row>
    <row r="8434">
      <c r="A8434" s="2">
        <f>IFERROR(__xludf.DUMMYFUNCTION("""COMPUTED_VALUE"""),30410.0)</f>
        <v>30410</v>
      </c>
      <c r="B8434" s="3" t="str">
        <f>IFERROR(__xludf.DUMMYFUNCTION("""COMPUTED_VALUE"""),"1923 COUNTY RD 23")</f>
        <v>1923 COUNTY RD 23</v>
      </c>
      <c r="C8434" s="3" t="str">
        <f>IFERROR(__xludf.DUMMYFUNCTION("""COMPUTED_VALUE"""),"GRAFTON")</f>
        <v>GRAFTON</v>
      </c>
      <c r="D8434" s="3" t="str">
        <f>IFERROR(__xludf.DUMMYFUNCTION("""COMPUTED_VALUE"""),"K0K 2G0")</f>
        <v>K0K 2G0</v>
      </c>
      <c r="E8434" s="3" t="str">
        <f>IFERROR(__xludf.DUMMYFUNCTION("""COMPUTED_VALUE"""),"Elaine Hope")</f>
        <v>Elaine Hope</v>
      </c>
      <c r="F8434" s="3" t="str">
        <f>IFERROR(__xludf.DUMMYFUNCTION("""COMPUTED_VALUE"""),"eyhope88@gmail.com")</f>
        <v>eyhope88@gmail.com</v>
      </c>
      <c r="G8434" s="3">
        <f>IFERROR(__xludf.DUMMYFUNCTION("""COMPUTED_VALUE"""),9.053499935E9)</f>
        <v>9053499935</v>
      </c>
      <c r="H8434" s="3"/>
    </row>
    <row r="8435">
      <c r="A8435" s="2">
        <f>IFERROR(__xludf.DUMMYFUNCTION("""COMPUTED_VALUE"""),30411.0)</f>
        <v>30411</v>
      </c>
      <c r="B8435" s="3" t="str">
        <f>IFERROR(__xludf.DUMMYFUNCTION("""COMPUTED_VALUE"""),"2045 COUNTY 23 RD ")</f>
        <v>2045 COUNTY 23 RD </v>
      </c>
      <c r="C8435" s="3" t="str">
        <f>IFERROR(__xludf.DUMMYFUNCTION("""COMPUTED_VALUE"""),"GRAFTON")</f>
        <v>GRAFTON</v>
      </c>
      <c r="D8435" s="3" t="str">
        <f>IFERROR(__xludf.DUMMYFUNCTION("""COMPUTED_VALUE"""),"K0K 2G0")</f>
        <v>K0K 2G0</v>
      </c>
      <c r="E8435" s="3"/>
      <c r="F8435" s="3"/>
      <c r="G8435" s="3"/>
      <c r="H8435" s="3"/>
    </row>
    <row r="8436">
      <c r="A8436" s="2">
        <f>IFERROR(__xludf.DUMMYFUNCTION("""COMPUTED_VALUE"""),30412.0)</f>
        <v>30412</v>
      </c>
      <c r="B8436" s="3" t="str">
        <f>IFERROR(__xludf.DUMMYFUNCTION("""COMPUTED_VALUE"""),"2137 COUNTY 23 RD ")</f>
        <v>2137 COUNTY 23 RD </v>
      </c>
      <c r="C8436" s="3" t="str">
        <f>IFERROR(__xludf.DUMMYFUNCTION("""COMPUTED_VALUE"""),"GRAFTON")</f>
        <v>GRAFTON</v>
      </c>
      <c r="D8436" s="3" t="str">
        <f>IFERROR(__xludf.DUMMYFUNCTION("""COMPUTED_VALUE"""),"K0K 2G0")</f>
        <v>K0K 2G0</v>
      </c>
      <c r="E8436" s="3"/>
      <c r="F8436" s="3"/>
      <c r="G8436" s="3"/>
      <c r="H8436" s="3"/>
    </row>
    <row r="8437">
      <c r="A8437" s="2">
        <f>IFERROR(__xludf.DUMMYFUNCTION("""COMPUTED_VALUE"""),30413.0)</f>
        <v>30413</v>
      </c>
      <c r="B8437" s="3" t="str">
        <f>IFERROR(__xludf.DUMMYFUNCTION("""COMPUTED_VALUE"""),"2154 COUNTY 23 RD ")</f>
        <v>2154 COUNTY 23 RD </v>
      </c>
      <c r="C8437" s="3" t="str">
        <f>IFERROR(__xludf.DUMMYFUNCTION("""COMPUTED_VALUE"""),"GRAFTON")</f>
        <v>GRAFTON</v>
      </c>
      <c r="D8437" s="3" t="str">
        <f>IFERROR(__xludf.DUMMYFUNCTION("""COMPUTED_VALUE"""),"K0K 2G0")</f>
        <v>K0K 2G0</v>
      </c>
      <c r="E8437" s="3" t="str">
        <f>IFERROR(__xludf.DUMMYFUNCTION("""COMPUTED_VALUE"""),"Brad Thomas")</f>
        <v>Brad Thomas</v>
      </c>
      <c r="F8437" s="3" t="str">
        <f>IFERROR(__xludf.DUMMYFUNCTION("""COMPUTED_VALUE"""),"bradjthomas2012@gmail.com")</f>
        <v>bradjthomas2012@gmail.com</v>
      </c>
      <c r="G8437" s="3">
        <f>IFERROR(__xludf.DUMMYFUNCTION("""COMPUTED_VALUE"""),9.053739501E9)</f>
        <v>9053739501</v>
      </c>
      <c r="H8437" s="3">
        <f>IFERROR(__xludf.DUMMYFUNCTION("""COMPUTED_VALUE"""),9.052699738E9)</f>
        <v>9052699738</v>
      </c>
    </row>
    <row r="8438">
      <c r="A8438" s="2">
        <f>IFERROR(__xludf.DUMMYFUNCTION("""COMPUTED_VALUE"""),30414.0)</f>
        <v>30414</v>
      </c>
      <c r="B8438" s="3" t="str">
        <f>IFERROR(__xludf.DUMMYFUNCTION("""COMPUTED_VALUE"""),"2182 COUNTY 23 RD ")</f>
        <v>2182 COUNTY 23 RD </v>
      </c>
      <c r="C8438" s="3" t="str">
        <f>IFERROR(__xludf.DUMMYFUNCTION("""COMPUTED_VALUE"""),"GRAFTON")</f>
        <v>GRAFTON</v>
      </c>
      <c r="D8438" s="3" t="str">
        <f>IFERROR(__xludf.DUMMYFUNCTION("""COMPUTED_VALUE"""),"K0K 2G0")</f>
        <v>K0K 2G0</v>
      </c>
      <c r="E8438" s="3" t="str">
        <f>IFERROR(__xludf.DUMMYFUNCTION("""COMPUTED_VALUE"""),"Rose Martin")</f>
        <v>Rose Martin</v>
      </c>
      <c r="F8438" s="3" t="str">
        <f>IFERROR(__xludf.DUMMYFUNCTION("""COMPUTED_VALUE"""),"N/A")</f>
        <v>N/A</v>
      </c>
      <c r="G8438" s="3">
        <f>IFERROR(__xludf.DUMMYFUNCTION("""COMPUTED_VALUE"""),4.169383717E9)</f>
        <v>4169383717</v>
      </c>
      <c r="H8438" s="3"/>
    </row>
    <row r="8439">
      <c r="A8439" s="2">
        <f>IFERROR(__xludf.DUMMYFUNCTION("""COMPUTED_VALUE"""),30415.0)</f>
        <v>30415</v>
      </c>
      <c r="B8439" s="3" t="str">
        <f>IFERROR(__xludf.DUMMYFUNCTION("""COMPUTED_VALUE"""),"2201 COUNTY RD 23")</f>
        <v>2201 COUNTY RD 23</v>
      </c>
      <c r="C8439" s="3" t="str">
        <f>IFERROR(__xludf.DUMMYFUNCTION("""COMPUTED_VALUE"""),"GRAFTON")</f>
        <v>GRAFTON</v>
      </c>
      <c r="D8439" s="3" t="str">
        <f>IFERROR(__xludf.DUMMYFUNCTION("""COMPUTED_VALUE"""),"K0K 1M0")</f>
        <v>K0K 1M0</v>
      </c>
      <c r="E8439" s="3" t="str">
        <f>IFERROR(__xludf.DUMMYFUNCTION("""COMPUTED_VALUE"""),"Harry Giddings")</f>
        <v>Harry Giddings</v>
      </c>
      <c r="F8439" s="3" t="str">
        <f>IFERROR(__xludf.DUMMYFUNCTION("""COMPUTED_VALUE"""),"frangiddings123@gmail.com")</f>
        <v>frangiddings123@gmail.com</v>
      </c>
      <c r="G8439" s="3">
        <f>IFERROR(__xludf.DUMMYFUNCTION("""COMPUTED_VALUE"""),9.053492508E9)</f>
        <v>9053492508</v>
      </c>
      <c r="H8439" s="3"/>
    </row>
    <row r="8440">
      <c r="A8440" s="2">
        <f>IFERROR(__xludf.DUMMYFUNCTION("""COMPUTED_VALUE"""),30416.0)</f>
        <v>30416</v>
      </c>
      <c r="B8440" s="3" t="str">
        <f>IFERROR(__xludf.DUMMYFUNCTION("""COMPUTED_VALUE"""),"2222 COUNTY RD 23")</f>
        <v>2222 COUNTY RD 23</v>
      </c>
      <c r="C8440" s="3" t="str">
        <f>IFERROR(__xludf.DUMMYFUNCTION("""COMPUTED_VALUE"""),"GRAFTON")</f>
        <v>GRAFTON</v>
      </c>
      <c r="D8440" s="3" t="str">
        <f>IFERROR(__xludf.DUMMYFUNCTION("""COMPUTED_VALUE"""),"K0K 2G0")</f>
        <v>K0K 2G0</v>
      </c>
      <c r="E8440" s="3" t="str">
        <f>IFERROR(__xludf.DUMMYFUNCTION("""COMPUTED_VALUE"""),"Richard Perucchi")</f>
        <v>Richard Perucchi</v>
      </c>
      <c r="F8440" s="3" t="str">
        <f>IFERROR(__xludf.DUMMYFUNCTION("""COMPUTED_VALUE"""),"richardperucchi@gmail.com")</f>
        <v>richardperucchi@gmail.com</v>
      </c>
      <c r="G8440" s="3">
        <f>IFERROR(__xludf.DUMMYFUNCTION("""COMPUTED_VALUE"""),2.892511062E9)</f>
        <v>2892511062</v>
      </c>
      <c r="H8440" s="3"/>
    </row>
    <row r="8441">
      <c r="A8441" s="2">
        <f>IFERROR(__xludf.DUMMYFUNCTION("""COMPUTED_VALUE"""),30417.0)</f>
        <v>30417</v>
      </c>
      <c r="B8441" s="3" t="str">
        <f>IFERROR(__xludf.DUMMYFUNCTION("""COMPUTED_VALUE"""),"2238 COUNTY 23 RD ")</f>
        <v>2238 COUNTY 23 RD </v>
      </c>
      <c r="C8441" s="3" t="str">
        <f>IFERROR(__xludf.DUMMYFUNCTION("""COMPUTED_VALUE"""),"GRAFTON")</f>
        <v>GRAFTON</v>
      </c>
      <c r="D8441" s="3" t="str">
        <f>IFERROR(__xludf.DUMMYFUNCTION("""COMPUTED_VALUE"""),"K0K 2G0")</f>
        <v>K0K 2G0</v>
      </c>
      <c r="E8441" s="3" t="str">
        <f>IFERROR(__xludf.DUMMYFUNCTION("""COMPUTED_VALUE"""),"Wayne &amp; Karyn Hillier")</f>
        <v>Wayne &amp; Karyn Hillier</v>
      </c>
      <c r="F8441" s="3" t="str">
        <f>IFERROR(__xludf.DUMMYFUNCTION("""COMPUTED_VALUE"""),"wchillier@hotmail.com")</f>
        <v>wchillier@hotmail.com</v>
      </c>
      <c r="G8441" s="3"/>
      <c r="H8441" s="3"/>
    </row>
    <row r="8442">
      <c r="A8442" s="2">
        <f>IFERROR(__xludf.DUMMYFUNCTION("""COMPUTED_VALUE"""),30418.0)</f>
        <v>30418</v>
      </c>
      <c r="B8442" s="3" t="str">
        <f>IFERROR(__xludf.DUMMYFUNCTION("""COMPUTED_VALUE"""),"2244 COUNTY 23 RD ")</f>
        <v>2244 COUNTY 23 RD </v>
      </c>
      <c r="C8442" s="3" t="str">
        <f>IFERROR(__xludf.DUMMYFUNCTION("""COMPUTED_VALUE"""),"GRAFTON")</f>
        <v>GRAFTON</v>
      </c>
      <c r="D8442" s="3" t="str">
        <f>IFERROR(__xludf.DUMMYFUNCTION("""COMPUTED_VALUE"""),"K0K 2G0")</f>
        <v>K0K 2G0</v>
      </c>
      <c r="E8442" s="3" t="str">
        <f>IFERROR(__xludf.DUMMYFUNCTION("""COMPUTED_VALUE"""),"Empress Sheppard")</f>
        <v>Empress Sheppard</v>
      </c>
      <c r="F8442" s="3" t="str">
        <f>IFERROR(__xludf.DUMMYFUNCTION("""COMPUTED_VALUE"""),"N/A")</f>
        <v>N/A</v>
      </c>
      <c r="G8442" s="3"/>
      <c r="H8442" s="3"/>
    </row>
    <row r="8443">
      <c r="A8443" s="2">
        <f>IFERROR(__xludf.DUMMYFUNCTION("""COMPUTED_VALUE"""),30419.0)</f>
        <v>30419</v>
      </c>
      <c r="B8443" s="3" t="str">
        <f>IFERROR(__xludf.DUMMYFUNCTION("""COMPUTED_VALUE"""),"2245 COUNTY 23 RD ")</f>
        <v>2245 COUNTY 23 RD </v>
      </c>
      <c r="C8443" s="3" t="str">
        <f>IFERROR(__xludf.DUMMYFUNCTION("""COMPUTED_VALUE"""),"GRAFTON")</f>
        <v>GRAFTON</v>
      </c>
      <c r="D8443" s="3" t="str">
        <f>IFERROR(__xludf.DUMMYFUNCTION("""COMPUTED_VALUE"""),"K0K 2G0")</f>
        <v>K0K 2G0</v>
      </c>
      <c r="E8443" s="3" t="str">
        <f>IFERROR(__xludf.DUMMYFUNCTION("""COMPUTED_VALUE"""),"Dave Giddings")</f>
        <v>Dave Giddings</v>
      </c>
      <c r="F8443" s="3" t="str">
        <f>IFERROR(__xludf.DUMMYFUNCTION("""COMPUTED_VALUE"""),"3giddings@gmail.com")</f>
        <v>3giddings@gmail.com</v>
      </c>
      <c r="G8443" s="3"/>
      <c r="H8443" s="3"/>
    </row>
    <row r="8444">
      <c r="A8444" s="2">
        <f>IFERROR(__xludf.DUMMYFUNCTION("""COMPUTED_VALUE"""),30420.0)</f>
        <v>30420</v>
      </c>
      <c r="B8444" s="3" t="str">
        <f>IFERROR(__xludf.DUMMYFUNCTION("""COMPUTED_VALUE"""),"2257 COUNTY 23 RD ")</f>
        <v>2257 COUNTY 23 RD </v>
      </c>
      <c r="C8444" s="3" t="str">
        <f>IFERROR(__xludf.DUMMYFUNCTION("""COMPUTED_VALUE"""),"GRAFTON")</f>
        <v>GRAFTON</v>
      </c>
      <c r="D8444" s="3" t="str">
        <f>IFERROR(__xludf.DUMMYFUNCTION("""COMPUTED_VALUE"""),"K0K 2G0")</f>
        <v>K0K 2G0</v>
      </c>
      <c r="E8444" s="3" t="str">
        <f>IFERROR(__xludf.DUMMYFUNCTION("""COMPUTED_VALUE"""),"Pandam Loyed")</f>
        <v>Pandam Loyed</v>
      </c>
      <c r="F8444" s="3" t="str">
        <f>IFERROR(__xludf.DUMMYFUNCTION("""COMPUTED_VALUE"""),"N/A")</f>
        <v>N/A</v>
      </c>
      <c r="G8444" s="3"/>
      <c r="H8444" s="3"/>
    </row>
    <row r="8445">
      <c r="A8445" s="2">
        <f>IFERROR(__xludf.DUMMYFUNCTION("""COMPUTED_VALUE"""),30421.0)</f>
        <v>30421</v>
      </c>
      <c r="B8445" s="3" t="str">
        <f>IFERROR(__xludf.DUMMYFUNCTION("""COMPUTED_VALUE"""),"2262 COUNTY 23 RD ")</f>
        <v>2262 COUNTY 23 RD </v>
      </c>
      <c r="C8445" s="3" t="str">
        <f>IFERROR(__xludf.DUMMYFUNCTION("""COMPUTED_VALUE"""),"GRAFTON")</f>
        <v>GRAFTON</v>
      </c>
      <c r="D8445" s="3" t="str">
        <f>IFERROR(__xludf.DUMMYFUNCTION("""COMPUTED_VALUE"""),"K0K 2G0")</f>
        <v>K0K 2G0</v>
      </c>
      <c r="E8445" s="3" t="str">
        <f>IFERROR(__xludf.DUMMYFUNCTION("""COMPUTED_VALUE"""),"Dev Schlattman")</f>
        <v>Dev Schlattman</v>
      </c>
      <c r="F8445" s="3"/>
      <c r="G8445" s="3">
        <f>IFERROR(__xludf.DUMMYFUNCTION("""COMPUTED_VALUE"""),4.169957576E9)</f>
        <v>4169957576</v>
      </c>
      <c r="H8445" s="3"/>
    </row>
    <row r="8446">
      <c r="A8446" s="2">
        <f>IFERROR(__xludf.DUMMYFUNCTION("""COMPUTED_VALUE"""),30422.0)</f>
        <v>30422</v>
      </c>
      <c r="B8446" s="3" t="str">
        <f>IFERROR(__xludf.DUMMYFUNCTION("""COMPUTED_VALUE"""),"2267 COUNTY 23 RD ")</f>
        <v>2267 COUNTY 23 RD </v>
      </c>
      <c r="C8446" s="3" t="str">
        <f>IFERROR(__xludf.DUMMYFUNCTION("""COMPUTED_VALUE"""),"GRAFTON")</f>
        <v>GRAFTON</v>
      </c>
      <c r="D8446" s="3" t="str">
        <f>IFERROR(__xludf.DUMMYFUNCTION("""COMPUTED_VALUE"""),"K0K 2G0")</f>
        <v>K0K 2G0</v>
      </c>
      <c r="E8446" s="3"/>
      <c r="F8446" s="3"/>
      <c r="G8446" s="3"/>
      <c r="H8446" s="3"/>
    </row>
    <row r="8447">
      <c r="A8447" s="2">
        <f>IFERROR(__xludf.DUMMYFUNCTION("""COMPUTED_VALUE"""),30391.0)</f>
        <v>30391</v>
      </c>
      <c r="B8447" s="3" t="str">
        <f>IFERROR(__xludf.DUMMYFUNCTION("""COMPUTED_VALUE"""),"2270 COUNTY 23 RD ")</f>
        <v>2270 COUNTY 23 RD </v>
      </c>
      <c r="C8447" s="3" t="str">
        <f>IFERROR(__xludf.DUMMYFUNCTION("""COMPUTED_VALUE"""),"GRAFTON")</f>
        <v>GRAFTON</v>
      </c>
      <c r="D8447" s="3" t="str">
        <f>IFERROR(__xludf.DUMMYFUNCTION("""COMPUTED_VALUE"""),"K0K 2G0")</f>
        <v>K0K 2G0</v>
      </c>
      <c r="E8447" s="3" t="str">
        <f>IFERROR(__xludf.DUMMYFUNCTION("""COMPUTED_VALUE"""),"Shawn Hcrrell")</f>
        <v>Shawn Hcrrell</v>
      </c>
      <c r="F8447" s="3"/>
      <c r="G8447" s="3">
        <f>IFERROR(__xludf.DUMMYFUNCTION("""COMPUTED_VALUE"""),9.053765294E9)</f>
        <v>9053765294</v>
      </c>
      <c r="H8447" s="3"/>
    </row>
    <row r="8448">
      <c r="A8448" s="2">
        <f>IFERROR(__xludf.DUMMYFUNCTION("""COMPUTED_VALUE"""),30423.0)</f>
        <v>30423</v>
      </c>
      <c r="B8448" s="3" t="str">
        <f>IFERROR(__xludf.DUMMYFUNCTION("""COMPUTED_VALUE"""),"2276 COUNTY 23 RD ")</f>
        <v>2276 COUNTY 23 RD </v>
      </c>
      <c r="C8448" s="3" t="str">
        <f>IFERROR(__xludf.DUMMYFUNCTION("""COMPUTED_VALUE"""),"GRAFTON")</f>
        <v>GRAFTON</v>
      </c>
      <c r="D8448" s="3" t="str">
        <f>IFERROR(__xludf.DUMMYFUNCTION("""COMPUTED_VALUE"""),"K0K 2G0")</f>
        <v>K0K 2G0</v>
      </c>
      <c r="E8448" s="3" t="str">
        <f>IFERROR(__xludf.DUMMYFUNCTION("""COMPUTED_VALUE"""),"Gary Dollery")</f>
        <v>Gary Dollery</v>
      </c>
      <c r="F8448" s="3"/>
      <c r="G8448" s="3">
        <f>IFERROR(__xludf.DUMMYFUNCTION("""COMPUTED_VALUE"""),2.893830564E9)</f>
        <v>2893830564</v>
      </c>
      <c r="H8448" s="3"/>
    </row>
    <row r="8449">
      <c r="A8449" s="2">
        <f>IFERROR(__xludf.DUMMYFUNCTION("""COMPUTED_VALUE"""),30424.0)</f>
        <v>30424</v>
      </c>
      <c r="B8449" s="3" t="str">
        <f>IFERROR(__xludf.DUMMYFUNCTION("""COMPUTED_VALUE"""),"2298 COUNTY 23 RD ")</f>
        <v>2298 COUNTY 23 RD </v>
      </c>
      <c r="C8449" s="3" t="str">
        <f>IFERROR(__xludf.DUMMYFUNCTION("""COMPUTED_VALUE"""),"GRAFTON")</f>
        <v>GRAFTON</v>
      </c>
      <c r="D8449" s="3" t="str">
        <f>IFERROR(__xludf.DUMMYFUNCTION("""COMPUTED_VALUE"""),"K0K 2G0")</f>
        <v>K0K 2G0</v>
      </c>
      <c r="E8449" s="3" t="str">
        <f>IFERROR(__xludf.DUMMYFUNCTION("""COMPUTED_VALUE"""),"David Geoff Quayle")</f>
        <v>David Geoff Quayle</v>
      </c>
      <c r="F8449" s="3" t="str">
        <f>IFERROR(__xludf.DUMMYFUNCTION("""COMPUTED_VALUE"""),"realgeoffquayle@gmail.com")</f>
        <v>realgeoffquayle@gmail.com</v>
      </c>
      <c r="G8449" s="3">
        <f>IFERROR(__xludf.DUMMYFUNCTION("""COMPUTED_VALUE"""),2.898301826E9)</f>
        <v>2898301826</v>
      </c>
      <c r="H8449" s="3">
        <f>IFERROR(__xludf.DUMMYFUNCTION("""COMPUTED_VALUE"""),9.054098833E9)</f>
        <v>9054098833</v>
      </c>
    </row>
    <row r="8450">
      <c r="A8450" s="2">
        <f>IFERROR(__xludf.DUMMYFUNCTION("""COMPUTED_VALUE"""),30425.0)</f>
        <v>30425</v>
      </c>
      <c r="B8450" s="3" t="str">
        <f>IFERROR(__xludf.DUMMYFUNCTION("""COMPUTED_VALUE"""),"2303 COUNTY 23 RD ")</f>
        <v>2303 COUNTY 23 RD </v>
      </c>
      <c r="C8450" s="3" t="str">
        <f>IFERROR(__xludf.DUMMYFUNCTION("""COMPUTED_VALUE"""),"GRAFTON")</f>
        <v>GRAFTON</v>
      </c>
      <c r="D8450" s="3" t="str">
        <f>IFERROR(__xludf.DUMMYFUNCTION("""COMPUTED_VALUE"""),"K0K 2G0")</f>
        <v>K0K 2G0</v>
      </c>
      <c r="E8450" s="3" t="str">
        <f>IFERROR(__xludf.DUMMYFUNCTION("""COMPUTED_VALUE"""),"SHAWN MCBRIDE")</f>
        <v>SHAWN MCBRIDE</v>
      </c>
      <c r="F8450" s="3" t="str">
        <f>IFERROR(__xludf.DUMMYFUNCTION("""COMPUTED_VALUE"""),"shawnamcbride88@gmail.com")</f>
        <v>shawnamcbride88@gmail.com</v>
      </c>
      <c r="G8450" s="3"/>
      <c r="H8450" s="3"/>
    </row>
    <row r="8451">
      <c r="A8451" s="2">
        <f>IFERROR(__xludf.DUMMYFUNCTION("""COMPUTED_VALUE"""),30426.0)</f>
        <v>30426</v>
      </c>
      <c r="B8451" s="3" t="str">
        <f>IFERROR(__xludf.DUMMYFUNCTION("""COMPUTED_VALUE"""),"2306 COUNTY 23 RD ")</f>
        <v>2306 COUNTY 23 RD </v>
      </c>
      <c r="C8451" s="3" t="str">
        <f>IFERROR(__xludf.DUMMYFUNCTION("""COMPUTED_VALUE"""),"GRAFTON")</f>
        <v>GRAFTON</v>
      </c>
      <c r="D8451" s="3" t="str">
        <f>IFERROR(__xludf.DUMMYFUNCTION("""COMPUTED_VALUE"""),"K0K 2G0")</f>
        <v>K0K 2G0</v>
      </c>
      <c r="E8451" s="3" t="str">
        <f>IFERROR(__xludf.DUMMYFUNCTION("""COMPUTED_VALUE"""),"Carl Madill")</f>
        <v>Carl Madill</v>
      </c>
      <c r="F8451" s="3"/>
      <c r="G8451" s="3">
        <f>IFERROR(__xludf.DUMMYFUNCTION("""COMPUTED_VALUE"""),9.053491018E9)</f>
        <v>9053491018</v>
      </c>
      <c r="H8451" s="3"/>
    </row>
    <row r="8452">
      <c r="A8452" s="2">
        <f>IFERROR(__xludf.DUMMYFUNCTION("""COMPUTED_VALUE"""),30427.0)</f>
        <v>30427</v>
      </c>
      <c r="B8452" s="3" t="str">
        <f>IFERROR(__xludf.DUMMYFUNCTION("""COMPUTED_VALUE"""),"2324 COUNTY 23 RD ")</f>
        <v>2324 COUNTY 23 RD </v>
      </c>
      <c r="C8452" s="3" t="str">
        <f>IFERROR(__xludf.DUMMYFUNCTION("""COMPUTED_VALUE"""),"GRAFTON")</f>
        <v>GRAFTON</v>
      </c>
      <c r="D8452" s="3" t="str">
        <f>IFERROR(__xludf.DUMMYFUNCTION("""COMPUTED_VALUE"""),"K0K 2G0")</f>
        <v>K0K 2G0</v>
      </c>
      <c r="E8452" s="3" t="str">
        <f>IFERROR(__xludf.DUMMYFUNCTION("""COMPUTED_VALUE"""),"Karen Toope")</f>
        <v>Karen Toope</v>
      </c>
      <c r="F8452" s="3" t="str">
        <f>IFERROR(__xludf.DUMMYFUNCTION("""COMPUTED_VALUE"""),"karentoope13@gmail.com")</f>
        <v>karentoope13@gmail.com</v>
      </c>
      <c r="G8452" s="3">
        <f>IFERROR(__xludf.DUMMYFUNCTION("""COMPUTED_VALUE"""),9.053964296E9)</f>
        <v>9053964296</v>
      </c>
      <c r="H8452" s="3"/>
    </row>
    <row r="8453">
      <c r="A8453" s="2">
        <f>IFERROR(__xludf.DUMMYFUNCTION("""COMPUTED_VALUE"""),30428.0)</f>
        <v>30428</v>
      </c>
      <c r="B8453" s="3" t="str">
        <f>IFERROR(__xludf.DUMMYFUNCTION("""COMPUTED_VALUE"""),"2335 COUNTY 23 RD ")</f>
        <v>2335 COUNTY 23 RD </v>
      </c>
      <c r="C8453" s="3" t="str">
        <f>IFERROR(__xludf.DUMMYFUNCTION("""COMPUTED_VALUE"""),"GRAFTON")</f>
        <v>GRAFTON</v>
      </c>
      <c r="D8453" s="3" t="str">
        <f>IFERROR(__xludf.DUMMYFUNCTION("""COMPUTED_VALUE"""),"K0K 2G0")</f>
        <v>K0K 2G0</v>
      </c>
      <c r="E8453" s="3" t="str">
        <f>IFERROR(__xludf.DUMMYFUNCTION("""COMPUTED_VALUE"""),"SHAWN MCBRIDE")</f>
        <v>SHAWN MCBRIDE</v>
      </c>
      <c r="F8453" s="3" t="str">
        <f>IFERROR(__xludf.DUMMYFUNCTION("""COMPUTED_VALUE"""),"shawnamcbride88@gmail.com")</f>
        <v>shawnamcbride88@gmail.com</v>
      </c>
      <c r="G8453" s="3"/>
      <c r="H8453" s="3"/>
    </row>
    <row r="8454">
      <c r="A8454" s="2">
        <f>IFERROR(__xludf.DUMMYFUNCTION("""COMPUTED_VALUE"""),30429.0)</f>
        <v>30429</v>
      </c>
      <c r="B8454" s="3" t="str">
        <f>IFERROR(__xludf.DUMMYFUNCTION("""COMPUTED_VALUE"""),"2342 COUNTY 23 RD ")</f>
        <v>2342 COUNTY 23 RD </v>
      </c>
      <c r="C8454" s="3" t="str">
        <f>IFERROR(__xludf.DUMMYFUNCTION("""COMPUTED_VALUE"""),"GRAFTON")</f>
        <v>GRAFTON</v>
      </c>
      <c r="D8454" s="3" t="str">
        <f>IFERROR(__xludf.DUMMYFUNCTION("""COMPUTED_VALUE"""),"K0K 2G0")</f>
        <v>K0K 2G0</v>
      </c>
      <c r="E8454" s="3" t="str">
        <f>IFERROR(__xludf.DUMMYFUNCTION("""COMPUTED_VALUE"""),"Craig Hoskin")</f>
        <v>Craig Hoskin</v>
      </c>
      <c r="F8454" s="3" t="str">
        <f>IFERROR(__xludf.DUMMYFUNCTION("""COMPUTED_VALUE"""),"cvhoskin25@gmail.com")</f>
        <v>cvhoskin25@gmail.com</v>
      </c>
      <c r="G8454" s="3"/>
      <c r="H8454" s="3"/>
    </row>
    <row r="8455">
      <c r="A8455" s="2">
        <f>IFERROR(__xludf.DUMMYFUNCTION("""COMPUTED_VALUE"""),30430.0)</f>
        <v>30430</v>
      </c>
      <c r="B8455" s="3" t="str">
        <f>IFERROR(__xludf.DUMMYFUNCTION("""COMPUTED_VALUE"""),"2343 COUNTY 23 RD ")</f>
        <v>2343 COUNTY 23 RD </v>
      </c>
      <c r="C8455" s="3" t="str">
        <f>IFERROR(__xludf.DUMMYFUNCTION("""COMPUTED_VALUE"""),"GRAFTON")</f>
        <v>GRAFTON</v>
      </c>
      <c r="D8455" s="3" t="str">
        <f>IFERROR(__xludf.DUMMYFUNCTION("""COMPUTED_VALUE"""),"K0K 2G0")</f>
        <v>K0K 2G0</v>
      </c>
      <c r="E8455" s="3" t="str">
        <f>IFERROR(__xludf.DUMMYFUNCTION("""COMPUTED_VALUE"""),"Ben Gadd")</f>
        <v>Ben Gadd</v>
      </c>
      <c r="F8455" s="3" t="str">
        <f>IFERROR(__xludf.DUMMYFUNCTION("""COMPUTED_VALUE"""),"bengadd70@gmail.com")</f>
        <v>bengadd70@gmail.com</v>
      </c>
      <c r="G8455" s="3"/>
      <c r="H8455" s="3"/>
    </row>
    <row r="8456">
      <c r="A8456" s="2">
        <f>IFERROR(__xludf.DUMMYFUNCTION("""COMPUTED_VALUE"""),30431.0)</f>
        <v>30431</v>
      </c>
      <c r="B8456" s="3" t="str">
        <f>IFERROR(__xludf.DUMMYFUNCTION("""COMPUTED_VALUE"""),"2351 COUNTY RD 23")</f>
        <v>2351 COUNTY RD 23</v>
      </c>
      <c r="C8456" s="3" t="str">
        <f>IFERROR(__xludf.DUMMYFUNCTION("""COMPUTED_VALUE"""),"GRAFTON")</f>
        <v>GRAFTON</v>
      </c>
      <c r="D8456" s="3" t="str">
        <f>IFERROR(__xludf.DUMMYFUNCTION("""COMPUTED_VALUE"""),"K0K 2G0")</f>
        <v>K0K 2G0</v>
      </c>
      <c r="E8456" s="3" t="str">
        <f>IFERROR(__xludf.DUMMYFUNCTION("""COMPUTED_VALUE"""),"Brad foley")</f>
        <v>Brad foley</v>
      </c>
      <c r="F8456" s="3" t="str">
        <f>IFERROR(__xludf.DUMMYFUNCTION("""COMPUTED_VALUE"""),"bfoley270@hotmail.com")</f>
        <v>bfoley270@hotmail.com</v>
      </c>
      <c r="G8456" s="3">
        <f>IFERROR(__xludf.DUMMYFUNCTION("""COMPUTED_VALUE"""),6.132422288E9)</f>
        <v>6132422288</v>
      </c>
      <c r="H8456" s="3">
        <f>IFERROR(__xludf.DUMMYFUNCTION("""COMPUTED_VALUE"""),2.893146853E9)</f>
        <v>2893146853</v>
      </c>
    </row>
    <row r="8457">
      <c r="A8457" s="2">
        <f>IFERROR(__xludf.DUMMYFUNCTION("""COMPUTED_VALUE"""),30432.0)</f>
        <v>30432</v>
      </c>
      <c r="B8457" s="3" t="str">
        <f>IFERROR(__xludf.DUMMYFUNCTION("""COMPUTED_VALUE"""),"2352 COUNTY 23 RD ")</f>
        <v>2352 COUNTY 23 RD </v>
      </c>
      <c r="C8457" s="3" t="str">
        <f>IFERROR(__xludf.DUMMYFUNCTION("""COMPUTED_VALUE"""),"GRAFTON")</f>
        <v>GRAFTON</v>
      </c>
      <c r="D8457" s="3" t="str">
        <f>IFERROR(__xludf.DUMMYFUNCTION("""COMPUTED_VALUE"""),"K0K 2G0")</f>
        <v>K0K 2G0</v>
      </c>
      <c r="E8457" s="3"/>
      <c r="F8457" s="3"/>
      <c r="G8457" s="3"/>
      <c r="H8457" s="3"/>
    </row>
    <row r="8458">
      <c r="A8458" s="2">
        <f>IFERROR(__xludf.DUMMYFUNCTION("""COMPUTED_VALUE"""),30433.0)</f>
        <v>30433</v>
      </c>
      <c r="B8458" s="3" t="str">
        <f>IFERROR(__xludf.DUMMYFUNCTION("""COMPUTED_VALUE"""),"2353 COUNTY 23 RD ")</f>
        <v>2353 COUNTY 23 RD </v>
      </c>
      <c r="C8458" s="3" t="str">
        <f>IFERROR(__xludf.DUMMYFUNCTION("""COMPUTED_VALUE"""),"GRAFTON")</f>
        <v>GRAFTON</v>
      </c>
      <c r="D8458" s="3" t="str">
        <f>IFERROR(__xludf.DUMMYFUNCTION("""COMPUTED_VALUE"""),"K0K 2G0")</f>
        <v>K0K 2G0</v>
      </c>
      <c r="E8458" s="3" t="str">
        <f>IFERROR(__xludf.DUMMYFUNCTION("""COMPUTED_VALUE"""),"Randy Boudreau")</f>
        <v>Randy Boudreau</v>
      </c>
      <c r="F8458" s="3" t="str">
        <f>IFERROR(__xludf.DUMMYFUNCTION("""COMPUTED_VALUE"""),"randyboudreauf150@gmail.com")</f>
        <v>randyboudreauf150@gmail.com</v>
      </c>
      <c r="G8458" s="3">
        <f>IFERROR(__xludf.DUMMYFUNCTION("""COMPUTED_VALUE"""),9.052432007E9)</f>
        <v>9052432007</v>
      </c>
      <c r="H8458" s="3"/>
    </row>
    <row r="8459">
      <c r="A8459" s="2">
        <f>IFERROR(__xludf.DUMMYFUNCTION("""COMPUTED_VALUE"""),30434.0)</f>
        <v>30434</v>
      </c>
      <c r="B8459" s="3" t="str">
        <f>IFERROR(__xludf.DUMMYFUNCTION("""COMPUTED_VALUE"""),"2356 COUNTY 23 RD ")</f>
        <v>2356 COUNTY 23 RD </v>
      </c>
      <c r="C8459" s="3" t="str">
        <f>IFERROR(__xludf.DUMMYFUNCTION("""COMPUTED_VALUE"""),"GRAFTON")</f>
        <v>GRAFTON</v>
      </c>
      <c r="D8459" s="3" t="str">
        <f>IFERROR(__xludf.DUMMYFUNCTION("""COMPUTED_VALUE"""),"K0K 2G0")</f>
        <v>K0K 2G0</v>
      </c>
      <c r="E8459" s="3" t="str">
        <f>IFERROR(__xludf.DUMMYFUNCTION("""COMPUTED_VALUE"""),"Glen Tackaberry ")</f>
        <v>Glen Tackaberry </v>
      </c>
      <c r="F8459" s="3" t="str">
        <f>IFERROR(__xludf.DUMMYFUNCTION("""COMPUTED_VALUE"""),"tack452@hotmail.com")</f>
        <v>tack452@hotmail.com</v>
      </c>
      <c r="G8459" s="3"/>
      <c r="H8459" s="3"/>
    </row>
    <row r="8460">
      <c r="A8460" s="2">
        <f>IFERROR(__xludf.DUMMYFUNCTION("""COMPUTED_VALUE"""),30435.0)</f>
        <v>30435</v>
      </c>
      <c r="B8460" s="3" t="str">
        <f>IFERROR(__xludf.DUMMYFUNCTION("""COMPUTED_VALUE"""),"2363 COUNTY 23 RD ")</f>
        <v>2363 COUNTY 23 RD </v>
      </c>
      <c r="C8460" s="3" t="str">
        <f>IFERROR(__xludf.DUMMYFUNCTION("""COMPUTED_VALUE"""),"GRAFTON")</f>
        <v>GRAFTON</v>
      </c>
      <c r="D8460" s="3" t="str">
        <f>IFERROR(__xludf.DUMMYFUNCTION("""COMPUTED_VALUE"""),"K0K 2G0")</f>
        <v>K0K 2G0</v>
      </c>
      <c r="E8460" s="3"/>
      <c r="F8460" s="3"/>
      <c r="G8460" s="3"/>
      <c r="H8460" s="3"/>
    </row>
    <row r="8461">
      <c r="A8461" s="2">
        <f>IFERROR(__xludf.DUMMYFUNCTION("""COMPUTED_VALUE"""),30436.0)</f>
        <v>30436</v>
      </c>
      <c r="B8461" s="3" t="str">
        <f>IFERROR(__xludf.DUMMYFUNCTION("""COMPUTED_VALUE"""),"2367 COUNTY RD 23")</f>
        <v>2367 COUNTY RD 23</v>
      </c>
      <c r="C8461" s="3" t="str">
        <f>IFERROR(__xludf.DUMMYFUNCTION("""COMPUTED_VALUE"""),"GRAFTON")</f>
        <v>GRAFTON</v>
      </c>
      <c r="D8461" s="3" t="str">
        <f>IFERROR(__xludf.DUMMYFUNCTION("""COMPUTED_VALUE"""),"K0K 2G0")</f>
        <v>K0K 2G0</v>
      </c>
      <c r="E8461" s="3" t="str">
        <f>IFERROR(__xludf.DUMMYFUNCTION("""COMPUTED_VALUE"""),"Meaghan Johnson")</f>
        <v>Meaghan Johnson</v>
      </c>
      <c r="F8461" s="3" t="str">
        <f>IFERROR(__xludf.DUMMYFUNCTION("""COMPUTED_VALUE"""),"meaghan@millsonmain.com")</f>
        <v>meaghan@millsonmain.com</v>
      </c>
      <c r="G8461" s="3">
        <f>IFERROR(__xludf.DUMMYFUNCTION("""COMPUTED_VALUE"""),4.039781792E9)</f>
        <v>4039781792</v>
      </c>
      <c r="H8461" s="3"/>
    </row>
    <row r="8462">
      <c r="A8462" s="2">
        <f>IFERROR(__xludf.DUMMYFUNCTION("""COMPUTED_VALUE"""),30285.0)</f>
        <v>30285</v>
      </c>
      <c r="B8462" s="3" t="str">
        <f>IFERROR(__xludf.DUMMYFUNCTION("""COMPUTED_VALUE"""),"170 COUNTY 25 RD ")</f>
        <v>170 COUNTY 25 RD </v>
      </c>
      <c r="C8462" s="3" t="str">
        <f>IFERROR(__xludf.DUMMYFUNCTION("""COMPUTED_VALUE"""),"COLBORNE")</f>
        <v>COLBORNE</v>
      </c>
      <c r="D8462" s="3" t="str">
        <f>IFERROR(__xludf.DUMMYFUNCTION("""COMPUTED_VALUE"""),"K0K 1S0")</f>
        <v>K0K 1S0</v>
      </c>
      <c r="E8462" s="3"/>
      <c r="F8462" s="3"/>
      <c r="G8462" s="3">
        <f>IFERROR(__xludf.DUMMYFUNCTION("""COMPUTED_VALUE"""),9.05355346E8)</f>
        <v>905355346</v>
      </c>
      <c r="H8462" s="3"/>
    </row>
    <row r="8463">
      <c r="A8463" s="2">
        <f>IFERROR(__xludf.DUMMYFUNCTION("""COMPUTED_VALUE"""),30286.0)</f>
        <v>30286</v>
      </c>
      <c r="B8463" s="3" t="str">
        <f>IFERROR(__xludf.DUMMYFUNCTION("""COMPUTED_VALUE"""),"176 COUNTY 25 RD ")</f>
        <v>176 COUNTY 25 RD </v>
      </c>
      <c r="C8463" s="3" t="str">
        <f>IFERROR(__xludf.DUMMYFUNCTION("""COMPUTED_VALUE"""),"COLBORNE")</f>
        <v>COLBORNE</v>
      </c>
      <c r="D8463" s="3" t="str">
        <f>IFERROR(__xludf.DUMMYFUNCTION("""COMPUTED_VALUE"""),"K0K 1S0")</f>
        <v>K0K 1S0</v>
      </c>
      <c r="E8463" s="3"/>
      <c r="F8463" s="3"/>
      <c r="G8463" s="3">
        <f>IFERROR(__xludf.DUMMYFUNCTION("""COMPUTED_VALUE"""),9.05355346E8)</f>
        <v>905355346</v>
      </c>
      <c r="H8463" s="3"/>
    </row>
    <row r="8464">
      <c r="A8464" s="2">
        <f>IFERROR(__xludf.DUMMYFUNCTION("""COMPUTED_VALUE"""),30287.0)</f>
        <v>30287</v>
      </c>
      <c r="B8464" s="3" t="str">
        <f>IFERROR(__xludf.DUMMYFUNCTION("""COMPUTED_VALUE"""),"180 COUNTY 25 RD ")</f>
        <v>180 COUNTY 25 RD </v>
      </c>
      <c r="C8464" s="3" t="str">
        <f>IFERROR(__xludf.DUMMYFUNCTION("""COMPUTED_VALUE"""),"COLBORNE")</f>
        <v>COLBORNE</v>
      </c>
      <c r="D8464" s="3" t="str">
        <f>IFERROR(__xludf.DUMMYFUNCTION("""COMPUTED_VALUE"""),"K0K 1S0")</f>
        <v>K0K 1S0</v>
      </c>
      <c r="E8464" s="3"/>
      <c r="F8464" s="3"/>
      <c r="G8464" s="3">
        <f>IFERROR(__xludf.DUMMYFUNCTION("""COMPUTED_VALUE"""),9.05355346E8)</f>
        <v>905355346</v>
      </c>
      <c r="H8464" s="3"/>
    </row>
    <row r="8465">
      <c r="A8465" s="2">
        <f>IFERROR(__xludf.DUMMYFUNCTION("""COMPUTED_VALUE"""),30288.0)</f>
        <v>30288</v>
      </c>
      <c r="B8465" s="3" t="str">
        <f>IFERROR(__xludf.DUMMYFUNCTION("""COMPUTED_VALUE"""),"218 COUNTY 25 RD ")</f>
        <v>218 COUNTY 25 RD </v>
      </c>
      <c r="C8465" s="3" t="str">
        <f>IFERROR(__xludf.DUMMYFUNCTION("""COMPUTED_VALUE"""),"COLBORNE")</f>
        <v>COLBORNE</v>
      </c>
      <c r="D8465" s="3" t="str">
        <f>IFERROR(__xludf.DUMMYFUNCTION("""COMPUTED_VALUE"""),"K0K 1S0")</f>
        <v>K0K 1S0</v>
      </c>
      <c r="E8465" s="3"/>
      <c r="F8465" s="3"/>
      <c r="G8465" s="3">
        <f>IFERROR(__xludf.DUMMYFUNCTION("""COMPUTED_VALUE"""),9.05355346E8)</f>
        <v>905355346</v>
      </c>
      <c r="H8465" s="3"/>
    </row>
    <row r="8466">
      <c r="A8466" s="2">
        <f>IFERROR(__xludf.DUMMYFUNCTION("""COMPUTED_VALUE"""),30289.0)</f>
        <v>30289</v>
      </c>
      <c r="B8466" s="3" t="str">
        <f>IFERROR(__xludf.DUMMYFUNCTION("""COMPUTED_VALUE"""),"235 COUNTY 25 RD ")</f>
        <v>235 COUNTY 25 RD </v>
      </c>
      <c r="C8466" s="3" t="str">
        <f>IFERROR(__xludf.DUMMYFUNCTION("""COMPUTED_VALUE"""),"COLBORNE")</f>
        <v>COLBORNE</v>
      </c>
      <c r="D8466" s="3" t="str">
        <f>IFERROR(__xludf.DUMMYFUNCTION("""COMPUTED_VALUE"""),"K0K 1S0")</f>
        <v>K0K 1S0</v>
      </c>
      <c r="E8466" s="3"/>
      <c r="F8466" s="3"/>
      <c r="G8466" s="3"/>
      <c r="H8466" s="3"/>
    </row>
    <row r="8467">
      <c r="A8467" s="2">
        <f>IFERROR(__xludf.DUMMYFUNCTION("""COMPUTED_VALUE"""),30290.0)</f>
        <v>30290</v>
      </c>
      <c r="B8467" s="3" t="str">
        <f>IFERROR(__xludf.DUMMYFUNCTION("""COMPUTED_VALUE"""),"247 COUNTY 25 RD ")</f>
        <v>247 COUNTY 25 RD </v>
      </c>
      <c r="C8467" s="3" t="str">
        <f>IFERROR(__xludf.DUMMYFUNCTION("""COMPUTED_VALUE"""),"COLBORNE")</f>
        <v>COLBORNE</v>
      </c>
      <c r="D8467" s="3" t="str">
        <f>IFERROR(__xludf.DUMMYFUNCTION("""COMPUTED_VALUE"""),"K0K 1S0")</f>
        <v>K0K 1S0</v>
      </c>
      <c r="E8467" s="3" t="str">
        <f>IFERROR(__xludf.DUMMYFUNCTION("""COMPUTED_VALUE"""),"Ina Zaparozan")</f>
        <v>Ina Zaparozan</v>
      </c>
      <c r="F8467" s="3"/>
      <c r="G8467" s="3"/>
      <c r="H8467" s="3"/>
    </row>
    <row r="8468">
      <c r="A8468" s="2">
        <f>IFERROR(__xludf.DUMMYFUNCTION("""COMPUTED_VALUE"""),30291.0)</f>
        <v>30291</v>
      </c>
      <c r="B8468" s="3" t="str">
        <f>IFERROR(__xludf.DUMMYFUNCTION("""COMPUTED_VALUE"""),"301 COUNTY 25 RD ")</f>
        <v>301 COUNTY 25 RD </v>
      </c>
      <c r="C8468" s="3" t="str">
        <f>IFERROR(__xludf.DUMMYFUNCTION("""COMPUTED_VALUE"""),"COLBORNE")</f>
        <v>COLBORNE</v>
      </c>
      <c r="D8468" s="3" t="str">
        <f>IFERROR(__xludf.DUMMYFUNCTION("""COMPUTED_VALUE"""),"K0K 1S0")</f>
        <v>K0K 1S0</v>
      </c>
      <c r="E8468" s="3" t="str">
        <f>IFERROR(__xludf.DUMMYFUNCTION("""COMPUTED_VALUE"""),"Lawrence Power")</f>
        <v>Lawrence Power</v>
      </c>
      <c r="F8468" s="3"/>
      <c r="G8468" s="3"/>
      <c r="H8468" s="3"/>
    </row>
    <row r="8469">
      <c r="A8469" s="2">
        <f>IFERROR(__xludf.DUMMYFUNCTION("""COMPUTED_VALUE"""),30292.0)</f>
        <v>30292</v>
      </c>
      <c r="B8469" s="3" t="str">
        <f>IFERROR(__xludf.DUMMYFUNCTION("""COMPUTED_VALUE"""),"304 COUNTY 25 RD ")</f>
        <v>304 COUNTY 25 RD </v>
      </c>
      <c r="C8469" s="3" t="str">
        <f>IFERROR(__xludf.DUMMYFUNCTION("""COMPUTED_VALUE"""),"COLBORNE")</f>
        <v>COLBORNE</v>
      </c>
      <c r="D8469" s="3" t="str">
        <f>IFERROR(__xludf.DUMMYFUNCTION("""COMPUTED_VALUE"""),"K0K 1S0")</f>
        <v>K0K 1S0</v>
      </c>
      <c r="E8469" s="3" t="str">
        <f>IFERROR(__xludf.DUMMYFUNCTION("""COMPUTED_VALUE"""),"Andrew Stuart")</f>
        <v>Andrew Stuart</v>
      </c>
      <c r="F8469" s="3" t="str">
        <f>IFERROR(__xludf.DUMMYFUNCTION("""COMPUTED_VALUE"""),"N/A")</f>
        <v>N/A</v>
      </c>
      <c r="G8469" s="3">
        <f>IFERROR(__xludf.DUMMYFUNCTION("""COMPUTED_VALUE"""),9.052599363E9)</f>
        <v>9052599363</v>
      </c>
      <c r="H8469" s="3"/>
    </row>
    <row r="8470">
      <c r="A8470" s="2">
        <f>IFERROR(__xludf.DUMMYFUNCTION("""COMPUTED_VALUE"""),30293.0)</f>
        <v>30293</v>
      </c>
      <c r="B8470" s="3" t="str">
        <f>IFERROR(__xludf.DUMMYFUNCTION("""COMPUTED_VALUE"""),"495 COUNTY 25 RD ")</f>
        <v>495 COUNTY 25 RD </v>
      </c>
      <c r="C8470" s="3" t="str">
        <f>IFERROR(__xludf.DUMMYFUNCTION("""COMPUTED_VALUE"""),"COLBORNE")</f>
        <v>COLBORNE</v>
      </c>
      <c r="D8470" s="3" t="str">
        <f>IFERROR(__xludf.DUMMYFUNCTION("""COMPUTED_VALUE"""),"K0K 1S0")</f>
        <v>K0K 1S0</v>
      </c>
      <c r="E8470" s="3" t="str">
        <f>IFERROR(__xludf.DUMMYFUNCTION("""COMPUTED_VALUE"""),"Misath Mavaddat")</f>
        <v>Misath Mavaddat</v>
      </c>
      <c r="F8470" s="3" t="str">
        <f>IFERROR(__xludf.DUMMYFUNCTION("""COMPUTED_VALUE"""),"mmavaddat@yahoo.ca")</f>
        <v>mmavaddat@yahoo.ca</v>
      </c>
      <c r="G8470" s="3">
        <f>IFERROR(__xludf.DUMMYFUNCTION("""COMPUTED_VALUE"""),9.139633083E9)</f>
        <v>9139633083</v>
      </c>
      <c r="H8470" s="3"/>
    </row>
    <row r="8471">
      <c r="A8471" s="2">
        <f>IFERROR(__xludf.DUMMYFUNCTION("""COMPUTED_VALUE"""),30294.0)</f>
        <v>30294</v>
      </c>
      <c r="B8471" s="3" t="str">
        <f>IFERROR(__xludf.DUMMYFUNCTION("""COMPUTED_VALUE"""),"580 COUNTY 25 RD ")</f>
        <v>580 COUNTY 25 RD </v>
      </c>
      <c r="C8471" s="3" t="str">
        <f>IFERROR(__xludf.DUMMYFUNCTION("""COMPUTED_VALUE"""),"COLBORNE")</f>
        <v>COLBORNE</v>
      </c>
      <c r="D8471" s="3" t="str">
        <f>IFERROR(__xludf.DUMMYFUNCTION("""COMPUTED_VALUE"""),"K0K 1S0")</f>
        <v>K0K 1S0</v>
      </c>
      <c r="E8471" s="3" t="str">
        <f>IFERROR(__xludf.DUMMYFUNCTION("""COMPUTED_VALUE"""),"Jim Byers")</f>
        <v>Jim Byers</v>
      </c>
      <c r="F8471" s="3"/>
      <c r="G8471" s="3"/>
      <c r="H8471" s="3"/>
    </row>
    <row r="8472">
      <c r="A8472" s="2">
        <f>IFERROR(__xludf.DUMMYFUNCTION("""COMPUTED_VALUE"""),30295.0)</f>
        <v>30295</v>
      </c>
      <c r="B8472" s="3" t="str">
        <f>IFERROR(__xludf.DUMMYFUNCTION("""COMPUTED_VALUE"""),"658 COUNTY RD 25")</f>
        <v>658 COUNTY RD 25</v>
      </c>
      <c r="C8472" s="3" t="str">
        <f>IFERROR(__xludf.DUMMYFUNCTION("""COMPUTED_VALUE"""),"COLBORNE")</f>
        <v>COLBORNE</v>
      </c>
      <c r="D8472" s="3" t="str">
        <f>IFERROR(__xludf.DUMMYFUNCTION("""COMPUTED_VALUE"""),"K0K 1S0")</f>
        <v>K0K 1S0</v>
      </c>
      <c r="E8472" s="3" t="str">
        <f>IFERROR(__xludf.DUMMYFUNCTION("""COMPUTED_VALUE"""),"Cody Oram")</f>
        <v>Cody Oram</v>
      </c>
      <c r="F8472" s="3" t="str">
        <f>IFERROR(__xludf.DUMMYFUNCTION("""COMPUTED_VALUE"""),"cody.oram@hotmail.com")</f>
        <v>cody.oram@hotmail.com</v>
      </c>
      <c r="G8472" s="3">
        <f>IFERROR(__xludf.DUMMYFUNCTION("""COMPUTED_VALUE"""),9.053768574E9)</f>
        <v>9053768574</v>
      </c>
      <c r="H8472" s="3"/>
    </row>
    <row r="8473">
      <c r="A8473" s="2">
        <f>IFERROR(__xludf.DUMMYFUNCTION("""COMPUTED_VALUE"""),30296.0)</f>
        <v>30296</v>
      </c>
      <c r="B8473" s="3" t="str">
        <f>IFERROR(__xludf.DUMMYFUNCTION("""COMPUTED_VALUE"""),"662 COUNTY 25 RD ")</f>
        <v>662 COUNTY 25 RD </v>
      </c>
      <c r="C8473" s="3" t="str">
        <f>IFERROR(__xludf.DUMMYFUNCTION("""COMPUTED_VALUE"""),"COLBORNE")</f>
        <v>COLBORNE</v>
      </c>
      <c r="D8473" s="3" t="str">
        <f>IFERROR(__xludf.DUMMYFUNCTION("""COMPUTED_VALUE"""),"K0K 1S0")</f>
        <v>K0K 1S0</v>
      </c>
      <c r="E8473" s="3" t="str">
        <f>IFERROR(__xludf.DUMMYFUNCTION("""COMPUTED_VALUE"""),"Helen Dekeyser")</f>
        <v>Helen Dekeyser</v>
      </c>
      <c r="F8473" s="3"/>
      <c r="G8473" s="3"/>
      <c r="H8473" s="3"/>
    </row>
    <row r="8474">
      <c r="A8474" s="2">
        <f>IFERROR(__xludf.DUMMYFUNCTION("""COMPUTED_VALUE"""),30297.0)</f>
        <v>30297</v>
      </c>
      <c r="B8474" s="3" t="str">
        <f>IFERROR(__xludf.DUMMYFUNCTION("""COMPUTED_VALUE"""),"676 COUNTY 25 RD ")</f>
        <v>676 COUNTY 25 RD </v>
      </c>
      <c r="C8474" s="3" t="str">
        <f>IFERROR(__xludf.DUMMYFUNCTION("""COMPUTED_VALUE"""),"COLBORNE")</f>
        <v>COLBORNE</v>
      </c>
      <c r="D8474" s="3" t="str">
        <f>IFERROR(__xludf.DUMMYFUNCTION("""COMPUTED_VALUE"""),"K0K 1S0")</f>
        <v>K0K 1S0</v>
      </c>
      <c r="E8474" s="3" t="str">
        <f>IFERROR(__xludf.DUMMYFUNCTION("""COMPUTED_VALUE"""),"Scott Arnold")</f>
        <v>Scott Arnold</v>
      </c>
      <c r="F8474" s="3" t="str">
        <f>IFERROR(__xludf.DUMMYFUNCTION("""COMPUTED_VALUE"""),"scott.30arnold@yahoo.com")</f>
        <v>scott.30arnold@yahoo.com</v>
      </c>
      <c r="G8474" s="3">
        <f>IFERROR(__xludf.DUMMYFUNCTION("""COMPUTED_VALUE"""),9.053555191E9)</f>
        <v>9053555191</v>
      </c>
      <c r="H8474" s="3"/>
    </row>
    <row r="8475">
      <c r="A8475" s="2">
        <f>IFERROR(__xludf.DUMMYFUNCTION("""COMPUTED_VALUE"""),30298.0)</f>
        <v>30298</v>
      </c>
      <c r="B8475" s="3" t="str">
        <f>IFERROR(__xludf.DUMMYFUNCTION("""COMPUTED_VALUE"""),"683 COUNTY 25 RD ")</f>
        <v>683 COUNTY 25 RD </v>
      </c>
      <c r="C8475" s="3" t="str">
        <f>IFERROR(__xludf.DUMMYFUNCTION("""COMPUTED_VALUE"""),"COLBORNE")</f>
        <v>COLBORNE</v>
      </c>
      <c r="D8475" s="3" t="str">
        <f>IFERROR(__xludf.DUMMYFUNCTION("""COMPUTED_VALUE"""),"K0K 1S0")</f>
        <v>K0K 1S0</v>
      </c>
      <c r="E8475" s="3"/>
      <c r="F8475" s="3"/>
      <c r="G8475" s="3"/>
      <c r="H8475" s="3"/>
    </row>
    <row r="8476">
      <c r="A8476" s="2">
        <f>IFERROR(__xludf.DUMMYFUNCTION("""COMPUTED_VALUE"""),30299.0)</f>
        <v>30299</v>
      </c>
      <c r="B8476" s="3" t="str">
        <f>IFERROR(__xludf.DUMMYFUNCTION("""COMPUTED_VALUE"""),"686 COUNTY RD 25")</f>
        <v>686 COUNTY RD 25</v>
      </c>
      <c r="C8476" s="3" t="str">
        <f>IFERROR(__xludf.DUMMYFUNCTION("""COMPUTED_VALUE"""),"COLBORNE")</f>
        <v>COLBORNE</v>
      </c>
      <c r="D8476" s="3" t="str">
        <f>IFERROR(__xludf.DUMMYFUNCTION("""COMPUTED_VALUE"""),"K0K 1S0")</f>
        <v>K0K 1S0</v>
      </c>
      <c r="E8476" s="3" t="str">
        <f>IFERROR(__xludf.DUMMYFUNCTION("""COMPUTED_VALUE"""),"Steve and Wanda Embury")</f>
        <v>Steve and Wanda Embury</v>
      </c>
      <c r="F8476" s="3" t="str">
        <f>IFERROR(__xludf.DUMMYFUNCTION("""COMPUTED_VALUE"""),"steveembury73@hotmail.com")</f>
        <v>steveembury73@hotmail.com</v>
      </c>
      <c r="G8476" s="3"/>
      <c r="H8476" s="3"/>
    </row>
    <row r="8477">
      <c r="A8477" s="2">
        <f>IFERROR(__xludf.DUMMYFUNCTION("""COMPUTED_VALUE"""),30300.0)</f>
        <v>30300</v>
      </c>
      <c r="B8477" s="3" t="str">
        <f>IFERROR(__xludf.DUMMYFUNCTION("""COMPUTED_VALUE"""),"687 COUNTY RD 25")</f>
        <v>687 COUNTY RD 25</v>
      </c>
      <c r="C8477" s="3" t="str">
        <f>IFERROR(__xludf.DUMMYFUNCTION("""COMPUTED_VALUE"""),"COLBORNE")</f>
        <v>COLBORNE</v>
      </c>
      <c r="D8477" s="3" t="str">
        <f>IFERROR(__xludf.DUMMYFUNCTION("""COMPUTED_VALUE"""),"K0K 1S0")</f>
        <v>K0K 1S0</v>
      </c>
      <c r="E8477" s="3" t="str">
        <f>IFERROR(__xludf.DUMMYFUNCTION("""COMPUTED_VALUE"""),"Theresa Dillon")</f>
        <v>Theresa Dillon</v>
      </c>
      <c r="F8477" s="3" t="str">
        <f>IFERROR(__xludf.DUMMYFUNCTION("""COMPUTED_VALUE"""),"theresa.fisher@hotmail.com")</f>
        <v>theresa.fisher@hotmail.com</v>
      </c>
      <c r="G8477" s="3">
        <f>IFERROR(__xludf.DUMMYFUNCTION("""COMPUTED_VALUE"""),2.893859309E9)</f>
        <v>2893859309</v>
      </c>
      <c r="H8477" s="3">
        <f>IFERROR(__xludf.DUMMYFUNCTION("""COMPUTED_VALUE"""),6.13243207E9)</f>
        <v>6132432070</v>
      </c>
    </row>
    <row r="8478">
      <c r="A8478" s="2">
        <f>IFERROR(__xludf.DUMMYFUNCTION("""COMPUTED_VALUE"""),30382.0)</f>
        <v>30382</v>
      </c>
      <c r="B8478" s="3" t="str">
        <f>IFERROR(__xludf.DUMMYFUNCTION("""COMPUTED_VALUE"""),"712 COUNTY RD 25")</f>
        <v>712 COUNTY RD 25</v>
      </c>
      <c r="C8478" s="3" t="str">
        <f>IFERROR(__xludf.DUMMYFUNCTION("""COMPUTED_VALUE"""),"COLBORNE")</f>
        <v>COLBORNE</v>
      </c>
      <c r="D8478" s="3" t="str">
        <f>IFERROR(__xludf.DUMMYFUNCTION("""COMPUTED_VALUE"""),"K0K 1S0")</f>
        <v>K0K 1S0</v>
      </c>
      <c r="E8478" s="3" t="str">
        <f>IFERROR(__xludf.DUMMYFUNCTION("""COMPUTED_VALUE"""),"HELEN DEKEYSER")</f>
        <v>HELEN DEKEYSER</v>
      </c>
      <c r="F8478" s="3" t="str">
        <f>IFERROR(__xludf.DUMMYFUNCTION("""COMPUTED_VALUE"""),"hdekeyshc@gmail.com")</f>
        <v>hdekeyshc@gmail.com</v>
      </c>
      <c r="G8478" s="3"/>
      <c r="H8478" s="3"/>
    </row>
    <row r="8479">
      <c r="A8479" s="2">
        <f>IFERROR(__xludf.DUMMYFUNCTION("""COMPUTED_VALUE"""),31574.0)</f>
        <v>31574</v>
      </c>
      <c r="B8479" s="3" t="str">
        <f>IFERROR(__xludf.DUMMYFUNCTION("""COMPUTED_VALUE"""),"714 COUNTY RD 25")</f>
        <v>714 COUNTY RD 25</v>
      </c>
      <c r="C8479" s="3" t="str">
        <f>IFERROR(__xludf.DUMMYFUNCTION("""COMPUTED_VALUE"""),"COLBORNE")</f>
        <v>COLBORNE</v>
      </c>
      <c r="D8479" s="3" t="str">
        <f>IFERROR(__xludf.DUMMYFUNCTION("""COMPUTED_VALUE"""),"K0K 1S0")</f>
        <v>K0K 1S0</v>
      </c>
      <c r="E8479" s="3" t="str">
        <f>IFERROR(__xludf.DUMMYFUNCTION("""COMPUTED_VALUE"""),"HELEN DEKEYSER")</f>
        <v>HELEN DEKEYSER</v>
      </c>
      <c r="F8479" s="3" t="str">
        <f>IFERROR(__xludf.DUMMYFUNCTION("""COMPUTED_VALUE"""),"hdekeyshc@gmail.com")</f>
        <v>hdekeyshc@gmail.com</v>
      </c>
      <c r="G8479" s="3"/>
      <c r="H8479" s="3"/>
    </row>
    <row r="8480">
      <c r="A8480" s="2">
        <f>IFERROR(__xludf.DUMMYFUNCTION("""COMPUTED_VALUE"""),30301.0)</f>
        <v>30301</v>
      </c>
      <c r="B8480" s="3" t="str">
        <f>IFERROR(__xludf.DUMMYFUNCTION("""COMPUTED_VALUE"""),"739 COUNTY 25 RD ")</f>
        <v>739 COUNTY 25 RD </v>
      </c>
      <c r="C8480" s="3" t="str">
        <f>IFERROR(__xludf.DUMMYFUNCTION("""COMPUTED_VALUE"""),"COLBORNE")</f>
        <v>COLBORNE</v>
      </c>
      <c r="D8480" s="3" t="str">
        <f>IFERROR(__xludf.DUMMYFUNCTION("""COMPUTED_VALUE"""),"K0K 1S0")</f>
        <v>K0K 1S0</v>
      </c>
      <c r="E8480" s="3" t="str">
        <f>IFERROR(__xludf.DUMMYFUNCTION("""COMPUTED_VALUE"""),"Fred Reed")</f>
        <v>Fred Reed</v>
      </c>
      <c r="F8480" s="3" t="str">
        <f>IFERROR(__xludf.DUMMYFUNCTION("""COMPUTED_VALUE"""),"b-reader@hotmail.com")</f>
        <v>b-reader@hotmail.com</v>
      </c>
      <c r="G8480" s="3">
        <f>IFERROR(__xludf.DUMMYFUNCTION("""COMPUTED_VALUE"""),9.053754252E9)</f>
        <v>9053754252</v>
      </c>
      <c r="H8480" s="3"/>
    </row>
    <row r="8481">
      <c r="A8481" s="2">
        <f>IFERROR(__xludf.DUMMYFUNCTION("""COMPUTED_VALUE"""),30302.0)</f>
        <v>30302</v>
      </c>
      <c r="B8481" s="3" t="str">
        <f>IFERROR(__xludf.DUMMYFUNCTION("""COMPUTED_VALUE"""),"750 COUNTY 25 RD ")</f>
        <v>750 COUNTY 25 RD </v>
      </c>
      <c r="C8481" s="3" t="str">
        <f>IFERROR(__xludf.DUMMYFUNCTION("""COMPUTED_VALUE"""),"COLBORNE")</f>
        <v>COLBORNE</v>
      </c>
      <c r="D8481" s="3" t="str">
        <f>IFERROR(__xludf.DUMMYFUNCTION("""COMPUTED_VALUE"""),"K0K 1S0")</f>
        <v>K0K 1S0</v>
      </c>
      <c r="E8481" s="3" t="str">
        <f>IFERROR(__xludf.DUMMYFUNCTION("""COMPUTED_VALUE"""),"Snayesta Puya")</f>
        <v>Snayesta Puya</v>
      </c>
      <c r="F8481" s="3"/>
      <c r="G8481" s="3"/>
      <c r="H8481" s="3"/>
    </row>
    <row r="8482">
      <c r="A8482" s="2">
        <f>IFERROR(__xludf.DUMMYFUNCTION("""COMPUTED_VALUE"""),30303.0)</f>
        <v>30303</v>
      </c>
      <c r="B8482" s="3" t="str">
        <f>IFERROR(__xludf.DUMMYFUNCTION("""COMPUTED_VALUE"""),"754 COUNTY 25 RD ")</f>
        <v>754 COUNTY 25 RD </v>
      </c>
      <c r="C8482" s="3" t="str">
        <f>IFERROR(__xludf.DUMMYFUNCTION("""COMPUTED_VALUE"""),"COLBORNE")</f>
        <v>COLBORNE</v>
      </c>
      <c r="D8482" s="3" t="str">
        <f>IFERROR(__xludf.DUMMYFUNCTION("""COMPUTED_VALUE"""),"K0K 1S0")</f>
        <v>K0K 1S0</v>
      </c>
      <c r="E8482" s="3" t="str">
        <f>IFERROR(__xludf.DUMMYFUNCTION("""COMPUTED_VALUE"""),"Logan Stewart")</f>
        <v>Logan Stewart</v>
      </c>
      <c r="F8482" s="3" t="str">
        <f>IFERROR(__xludf.DUMMYFUNCTION("""COMPUTED_VALUE"""),"logan.b.stewart@gmail.com")</f>
        <v>logan.b.stewart@gmail.com</v>
      </c>
      <c r="G8482" s="3">
        <f>IFERROR(__xludf.DUMMYFUNCTION("""COMPUTED_VALUE"""),7.059313402E9)</f>
        <v>7059313402</v>
      </c>
      <c r="H8482" s="3">
        <f>IFERROR(__xludf.DUMMYFUNCTION("""COMPUTED_VALUE"""),7.057725927E9)</f>
        <v>7057725927</v>
      </c>
    </row>
    <row r="8483">
      <c r="A8483" s="2">
        <f>IFERROR(__xludf.DUMMYFUNCTION("""COMPUTED_VALUE"""),30304.0)</f>
        <v>30304</v>
      </c>
      <c r="B8483" s="3" t="str">
        <f>IFERROR(__xludf.DUMMYFUNCTION("""COMPUTED_VALUE"""),"764 COUNTY 25 RD ")</f>
        <v>764 COUNTY 25 RD </v>
      </c>
      <c r="C8483" s="3" t="str">
        <f>IFERROR(__xludf.DUMMYFUNCTION("""COMPUTED_VALUE"""),"COLBORNE")</f>
        <v>COLBORNE</v>
      </c>
      <c r="D8483" s="3" t="str">
        <f>IFERROR(__xludf.DUMMYFUNCTION("""COMPUTED_VALUE"""),"K0K 1S0")</f>
        <v>K0K 1S0</v>
      </c>
      <c r="E8483" s="3" t="str">
        <f>IFERROR(__xludf.DUMMYFUNCTION("""COMPUTED_VALUE"""),"Kevin J Cardinal ")</f>
        <v>Kevin J Cardinal </v>
      </c>
      <c r="F8483" s="3" t="str">
        <f>IFERROR(__xludf.DUMMYFUNCTION("""COMPUTED_VALUE"""),"pickplumb@yahoo.ca")</f>
        <v>pickplumb@yahoo.ca</v>
      </c>
      <c r="G8483" s="3"/>
      <c r="H8483" s="3"/>
    </row>
    <row r="8484">
      <c r="A8484" s="2">
        <f>IFERROR(__xludf.DUMMYFUNCTION("""COMPUTED_VALUE"""),30305.0)</f>
        <v>30305</v>
      </c>
      <c r="B8484" s="3" t="str">
        <f>IFERROR(__xludf.DUMMYFUNCTION("""COMPUTED_VALUE"""),"776 COUNTY RD 25")</f>
        <v>776 COUNTY RD 25</v>
      </c>
      <c r="C8484" s="3" t="str">
        <f>IFERROR(__xludf.DUMMYFUNCTION("""COMPUTED_VALUE"""),"COLBORNE")</f>
        <v>COLBORNE</v>
      </c>
      <c r="D8484" s="3" t="str">
        <f>IFERROR(__xludf.DUMMYFUNCTION("""COMPUTED_VALUE"""),"K0K 1S0")</f>
        <v>K0K 1S0</v>
      </c>
      <c r="E8484" s="3" t="str">
        <f>IFERROR(__xludf.DUMMYFUNCTION("""COMPUTED_VALUE"""),"BRIDGET CAMERON")</f>
        <v>BRIDGET CAMERON</v>
      </c>
      <c r="F8484" s="3" t="str">
        <f>IFERROR(__xludf.DUMMYFUNCTION("""COMPUTED_VALUE"""),"bridget-cameron@hotmail.com")</f>
        <v>bridget-cameron@hotmail.com</v>
      </c>
      <c r="G8484" s="3"/>
      <c r="H8484" s="3"/>
    </row>
    <row r="8485">
      <c r="A8485" s="2">
        <f>IFERROR(__xludf.DUMMYFUNCTION("""COMPUTED_VALUE"""),30306.0)</f>
        <v>30306</v>
      </c>
      <c r="B8485" s="3" t="str">
        <f>IFERROR(__xludf.DUMMYFUNCTION("""COMPUTED_VALUE"""),"780 COUNTY 25 RD ")</f>
        <v>780 COUNTY 25 RD </v>
      </c>
      <c r="C8485" s="3" t="str">
        <f>IFERROR(__xludf.DUMMYFUNCTION("""COMPUTED_VALUE"""),"COLBORNE")</f>
        <v>COLBORNE</v>
      </c>
      <c r="D8485" s="3" t="str">
        <f>IFERROR(__xludf.DUMMYFUNCTION("""COMPUTED_VALUE"""),"K0K 1S0")</f>
        <v>K0K 1S0</v>
      </c>
      <c r="E8485" s="3" t="str">
        <f>IFERROR(__xludf.DUMMYFUNCTION("""COMPUTED_VALUE"""),"Robert Stenton")</f>
        <v>Robert Stenton</v>
      </c>
      <c r="F8485" s="3" t="str">
        <f>IFERROR(__xludf.DUMMYFUNCTION("""COMPUTED_VALUE"""),"rdstenton@hotmail.com")</f>
        <v>rdstenton@hotmail.com</v>
      </c>
      <c r="G8485" s="3">
        <f>IFERROR(__xludf.DUMMYFUNCTION("""COMPUTED_VALUE"""),6.137701899E9)</f>
        <v>6137701899</v>
      </c>
      <c r="H8485" s="3"/>
    </row>
    <row r="8486">
      <c r="A8486" s="2">
        <f>IFERROR(__xludf.DUMMYFUNCTION("""COMPUTED_VALUE"""),30336.0)</f>
        <v>30336</v>
      </c>
      <c r="B8486" s="3" t="str">
        <f>IFERROR(__xludf.DUMMYFUNCTION("""COMPUTED_VALUE"""),"2291 COUNTY 25 RD ")</f>
        <v>2291 COUNTY 25 RD </v>
      </c>
      <c r="C8486" s="3" t="str">
        <f>IFERROR(__xludf.DUMMYFUNCTION("""COMPUTED_VALUE"""),"CASTLETON")</f>
        <v>CASTLETON</v>
      </c>
      <c r="D8486" s="3" t="str">
        <f>IFERROR(__xludf.DUMMYFUNCTION("""COMPUTED_VALUE"""),"K0K 1M0")</f>
        <v>K0K 1M0</v>
      </c>
      <c r="E8486" s="3"/>
      <c r="F8486" s="3"/>
      <c r="G8486" s="3"/>
      <c r="H8486" s="3"/>
    </row>
    <row r="8487">
      <c r="A8487" s="2">
        <f>IFERROR(__xludf.DUMMYFUNCTION("""COMPUTED_VALUE"""),30337.0)</f>
        <v>30337</v>
      </c>
      <c r="B8487" s="3" t="str">
        <f>IFERROR(__xludf.DUMMYFUNCTION("""COMPUTED_VALUE"""),"2322 COUNTY 25 RD ")</f>
        <v>2322 COUNTY 25 RD </v>
      </c>
      <c r="C8487" s="3" t="str">
        <f>IFERROR(__xludf.DUMMYFUNCTION("""COMPUTED_VALUE"""),"CASTLETON")</f>
        <v>CASTLETON</v>
      </c>
      <c r="D8487" s="3" t="str">
        <f>IFERROR(__xludf.DUMMYFUNCTION("""COMPUTED_VALUE"""),"K0K 1M0")</f>
        <v>K0K 1M0</v>
      </c>
      <c r="E8487" s="3"/>
      <c r="F8487" s="3"/>
      <c r="G8487" s="3"/>
      <c r="H8487" s="3"/>
    </row>
    <row r="8488">
      <c r="A8488" s="2">
        <f>IFERROR(__xludf.DUMMYFUNCTION("""COMPUTED_VALUE"""),30338.0)</f>
        <v>30338</v>
      </c>
      <c r="B8488" s="3" t="str">
        <f>IFERROR(__xludf.DUMMYFUNCTION("""COMPUTED_VALUE"""),"2323 COUNTY 25 RD ")</f>
        <v>2323 COUNTY 25 RD </v>
      </c>
      <c r="C8488" s="3" t="str">
        <f>IFERROR(__xludf.DUMMYFUNCTION("""COMPUTED_VALUE"""),"CASTLETON")</f>
        <v>CASTLETON</v>
      </c>
      <c r="D8488" s="3" t="str">
        <f>IFERROR(__xludf.DUMMYFUNCTION("""COMPUTED_VALUE"""),"K0K 1M0")</f>
        <v>K0K 1M0</v>
      </c>
      <c r="E8488" s="3" t="str">
        <f>IFERROR(__xludf.DUMMYFUNCTION("""COMPUTED_VALUE"""),"Tom Starreveld")</f>
        <v>Tom Starreveld</v>
      </c>
      <c r="F8488" s="3" t="str">
        <f>IFERROR(__xludf.DUMMYFUNCTION("""COMPUTED_VALUE"""),"starreveldte@gmail.com")</f>
        <v>starreveldte@gmail.com</v>
      </c>
      <c r="G8488" s="3">
        <f>IFERROR(__xludf.DUMMYFUNCTION("""COMPUTED_VALUE"""),9.053965031E9)</f>
        <v>9053965031</v>
      </c>
      <c r="H8488" s="3"/>
    </row>
    <row r="8489">
      <c r="A8489" s="2">
        <f>IFERROR(__xludf.DUMMYFUNCTION("""COMPUTED_VALUE"""),30339.0)</f>
        <v>30339</v>
      </c>
      <c r="B8489" s="3" t="str">
        <f>IFERROR(__xludf.DUMMYFUNCTION("""COMPUTED_VALUE"""),"2369 COUNTY 25 RD ")</f>
        <v>2369 COUNTY 25 RD </v>
      </c>
      <c r="C8489" s="3" t="str">
        <f>IFERROR(__xludf.DUMMYFUNCTION("""COMPUTED_VALUE"""),"CASTLETON")</f>
        <v>CASTLETON</v>
      </c>
      <c r="D8489" s="3" t="str">
        <f>IFERROR(__xludf.DUMMYFUNCTION("""COMPUTED_VALUE"""),"K0K 1M0")</f>
        <v>K0K 1M0</v>
      </c>
      <c r="E8489" s="3" t="str">
        <f>IFERROR(__xludf.DUMMYFUNCTION("""COMPUTED_VALUE"""),"Keith Buchanan")</f>
        <v>Keith Buchanan</v>
      </c>
      <c r="F8489" s="3" t="str">
        <f>IFERROR(__xludf.DUMMYFUNCTION("""COMPUTED_VALUE"""),"N/A")</f>
        <v>N/A</v>
      </c>
      <c r="G8489" s="3"/>
      <c r="H8489" s="3"/>
    </row>
    <row r="8490">
      <c r="A8490" s="2">
        <f>IFERROR(__xludf.DUMMYFUNCTION("""COMPUTED_VALUE"""),30340.0)</f>
        <v>30340</v>
      </c>
      <c r="B8490" s="3" t="str">
        <f>IFERROR(__xludf.DUMMYFUNCTION("""COMPUTED_VALUE"""),"2396 COUNTY 25 RD ")</f>
        <v>2396 COUNTY 25 RD </v>
      </c>
      <c r="C8490" s="3" t="str">
        <f>IFERROR(__xludf.DUMMYFUNCTION("""COMPUTED_VALUE"""),"CASTLETON")</f>
        <v>CASTLETON</v>
      </c>
      <c r="D8490" s="3" t="str">
        <f>IFERROR(__xludf.DUMMYFUNCTION("""COMPUTED_VALUE"""),"K0K 1M0")</f>
        <v>K0K 1M0</v>
      </c>
      <c r="E8490" s="3" t="str">
        <f>IFERROR(__xludf.DUMMYFUNCTION("""COMPUTED_VALUE"""),"Craig Jones")</f>
        <v>Craig Jones</v>
      </c>
      <c r="F8490" s="3" t="str">
        <f>IFERROR(__xludf.DUMMYFUNCTION("""COMPUTED_VALUE"""),"cjones55@gmail.com")</f>
        <v>cjones55@gmail.com</v>
      </c>
      <c r="G8490" s="3">
        <f>IFERROR(__xludf.DUMMYFUNCTION("""COMPUTED_VALUE"""),2.892516968E9)</f>
        <v>2892516968</v>
      </c>
      <c r="H8490" s="3"/>
    </row>
    <row r="8491">
      <c r="A8491" s="2">
        <f>IFERROR(__xludf.DUMMYFUNCTION("""COMPUTED_VALUE"""),30341.0)</f>
        <v>30341</v>
      </c>
      <c r="B8491" s="3" t="str">
        <f>IFERROR(__xludf.DUMMYFUNCTION("""COMPUTED_VALUE"""),"2403 COUNTY 25 RD ")</f>
        <v>2403 COUNTY 25 RD </v>
      </c>
      <c r="C8491" s="3" t="str">
        <f>IFERROR(__xludf.DUMMYFUNCTION("""COMPUTED_VALUE"""),"CASTLETON")</f>
        <v>CASTLETON</v>
      </c>
      <c r="D8491" s="3" t="str">
        <f>IFERROR(__xludf.DUMMYFUNCTION("""COMPUTED_VALUE"""),"K0K 1M0")</f>
        <v>K0K 1M0</v>
      </c>
      <c r="E8491" s="3" t="str">
        <f>IFERROR(__xludf.DUMMYFUNCTION("""COMPUTED_VALUE"""),"Leslie Fell")</f>
        <v>Leslie Fell</v>
      </c>
      <c r="F8491" s="3" t="str">
        <f>IFERROR(__xludf.DUMMYFUNCTION("""COMPUTED_VALUE"""),"leslie.fell@gmail.com")</f>
        <v>leslie.fell@gmail.com</v>
      </c>
      <c r="G8491" s="3"/>
      <c r="H8491" s="3"/>
    </row>
    <row r="8492">
      <c r="A8492" s="2">
        <f>IFERROR(__xludf.DUMMYFUNCTION("""COMPUTED_VALUE"""),30342.0)</f>
        <v>30342</v>
      </c>
      <c r="B8492" s="3" t="str">
        <f>IFERROR(__xludf.DUMMYFUNCTION("""COMPUTED_VALUE"""),"2429 COUNTY 25 RD ")</f>
        <v>2429 COUNTY 25 RD </v>
      </c>
      <c r="C8492" s="3" t="str">
        <f>IFERROR(__xludf.DUMMYFUNCTION("""COMPUTED_VALUE"""),"CASTLETON")</f>
        <v>CASTLETON</v>
      </c>
      <c r="D8492" s="3" t="str">
        <f>IFERROR(__xludf.DUMMYFUNCTION("""COMPUTED_VALUE"""),"K0K 1M0")</f>
        <v>K0K 1M0</v>
      </c>
      <c r="E8492" s="3" t="str">
        <f>IFERROR(__xludf.DUMMYFUNCTION("""COMPUTED_VALUE"""),"Leslie Fell")</f>
        <v>Leslie Fell</v>
      </c>
      <c r="F8492" s="3" t="str">
        <f>IFERROR(__xludf.DUMMYFUNCTION("""COMPUTED_VALUE"""),"leslie.fell@gmail.com")</f>
        <v>leslie.fell@gmail.com</v>
      </c>
      <c r="G8492" s="3"/>
      <c r="H8492" s="3"/>
    </row>
    <row r="8493">
      <c r="A8493" s="2">
        <f>IFERROR(__xludf.DUMMYFUNCTION("""COMPUTED_VALUE"""),30343.0)</f>
        <v>30343</v>
      </c>
      <c r="B8493" s="3" t="str">
        <f>IFERROR(__xludf.DUMMYFUNCTION("""COMPUTED_VALUE"""),"2462 COUNTY RD 25")</f>
        <v>2462 COUNTY RD 25</v>
      </c>
      <c r="C8493" s="3" t="str">
        <f>IFERROR(__xludf.DUMMYFUNCTION("""COMPUTED_VALUE"""),"CASTLETON")</f>
        <v>CASTLETON</v>
      </c>
      <c r="D8493" s="3" t="str">
        <f>IFERROR(__xludf.DUMMYFUNCTION("""COMPUTED_VALUE"""),"K0K 1M0")</f>
        <v>K0K 1M0</v>
      </c>
      <c r="E8493" s="3" t="str">
        <f>IFERROR(__xludf.DUMMYFUNCTION("""COMPUTED_VALUE"""),"RICHARD WAYNE DUBEAU")</f>
        <v>RICHARD WAYNE DUBEAU</v>
      </c>
      <c r="F8493" s="3" t="str">
        <f>IFERROR(__xludf.DUMMYFUNCTION("""COMPUTED_VALUE"""),"inventionsunlimitedcorp@gmail.com")</f>
        <v>inventionsunlimitedcorp@gmail.com</v>
      </c>
      <c r="G8493" s="3"/>
      <c r="H8493" s="3"/>
    </row>
    <row r="8494">
      <c r="A8494" s="2">
        <f>IFERROR(__xludf.DUMMYFUNCTION("""COMPUTED_VALUE"""),30344.0)</f>
        <v>30344</v>
      </c>
      <c r="B8494" s="3" t="str">
        <f>IFERROR(__xludf.DUMMYFUNCTION("""COMPUTED_VALUE"""),"2486 COUNTY 25 RD ")</f>
        <v>2486 COUNTY 25 RD </v>
      </c>
      <c r="C8494" s="3" t="str">
        <f>IFERROR(__xludf.DUMMYFUNCTION("""COMPUTED_VALUE"""),"CASTLETON")</f>
        <v>CASTLETON</v>
      </c>
      <c r="D8494" s="3" t="str">
        <f>IFERROR(__xludf.DUMMYFUNCTION("""COMPUTED_VALUE"""),"K0K 1M0")</f>
        <v>K0K 1M0</v>
      </c>
      <c r="E8494" s="3"/>
      <c r="F8494" s="3"/>
      <c r="G8494" s="3"/>
      <c r="H8494" s="3"/>
    </row>
    <row r="8495">
      <c r="A8495" s="2">
        <f>IFERROR(__xludf.DUMMYFUNCTION("""COMPUTED_VALUE"""),30345.0)</f>
        <v>30345</v>
      </c>
      <c r="B8495" s="3" t="str">
        <f>IFERROR(__xludf.DUMMYFUNCTION("""COMPUTED_VALUE"""),"2509 COUNTY 25 RD ")</f>
        <v>2509 COUNTY 25 RD </v>
      </c>
      <c r="C8495" s="3" t="str">
        <f>IFERROR(__xludf.DUMMYFUNCTION("""COMPUTED_VALUE"""),"CASTLETON")</f>
        <v>CASTLETON</v>
      </c>
      <c r="D8495" s="3" t="str">
        <f>IFERROR(__xludf.DUMMYFUNCTION("""COMPUTED_VALUE"""),"K0K 1M0")</f>
        <v>K0K 1M0</v>
      </c>
      <c r="E8495" s="3" t="str">
        <f>IFERROR(__xludf.DUMMYFUNCTION("""COMPUTED_VALUE"""),"Bill Pratt")</f>
        <v>Bill Pratt</v>
      </c>
      <c r="F8495" s="3" t="str">
        <f>IFERROR(__xludf.DUMMYFUNCTION("""COMPUTED_VALUE"""),"N/A")</f>
        <v>N/A</v>
      </c>
      <c r="G8495" s="3"/>
      <c r="H8495" s="3"/>
    </row>
    <row r="8496">
      <c r="A8496" s="2">
        <f>IFERROR(__xludf.DUMMYFUNCTION("""COMPUTED_VALUE"""),30346.0)</f>
        <v>30346</v>
      </c>
      <c r="B8496" s="3" t="str">
        <f>IFERROR(__xludf.DUMMYFUNCTION("""COMPUTED_VALUE"""),"2527 COUNTY 25 RD ")</f>
        <v>2527 COUNTY 25 RD </v>
      </c>
      <c r="C8496" s="3" t="str">
        <f>IFERROR(__xludf.DUMMYFUNCTION("""COMPUTED_VALUE"""),"CASTLETON")</f>
        <v>CASTLETON</v>
      </c>
      <c r="D8496" s="3" t="str">
        <f>IFERROR(__xludf.DUMMYFUNCTION("""COMPUTED_VALUE"""),"K0K 1M0")</f>
        <v>K0K 1M0</v>
      </c>
      <c r="E8496" s="3" t="str">
        <f>IFERROR(__xludf.DUMMYFUNCTION("""COMPUTED_VALUE"""),"Crystal Newell")</f>
        <v>Crystal Newell</v>
      </c>
      <c r="F8496" s="3" t="str">
        <f>IFERROR(__xludf.DUMMYFUNCTION("""COMPUTED_VALUE"""),"crystalnewell30@gmail.com")</f>
        <v>crystalnewell30@gmail.com</v>
      </c>
      <c r="G8496" s="3">
        <f>IFERROR(__xludf.DUMMYFUNCTION("""COMPUTED_VALUE"""),2.896885425E9)</f>
        <v>2896885425</v>
      </c>
      <c r="H8496" s="3"/>
    </row>
    <row r="8497">
      <c r="A8497" s="2">
        <f>IFERROR(__xludf.DUMMYFUNCTION("""COMPUTED_VALUE"""),30347.0)</f>
        <v>30347</v>
      </c>
      <c r="B8497" s="3" t="str">
        <f>IFERROR(__xludf.DUMMYFUNCTION("""COMPUTED_VALUE"""),"2530 COUNTY 25 RD ")</f>
        <v>2530 COUNTY 25 RD </v>
      </c>
      <c r="C8497" s="3" t="str">
        <f>IFERROR(__xludf.DUMMYFUNCTION("""COMPUTED_VALUE"""),"CASTLETON")</f>
        <v>CASTLETON</v>
      </c>
      <c r="D8497" s="3" t="str">
        <f>IFERROR(__xludf.DUMMYFUNCTION("""COMPUTED_VALUE"""),"K0K 1M0")</f>
        <v>K0K 1M0</v>
      </c>
      <c r="E8497" s="3" t="str">
        <f>IFERROR(__xludf.DUMMYFUNCTION("""COMPUTED_VALUE"""),"June Johnson")</f>
        <v>June Johnson</v>
      </c>
      <c r="F8497" s="3" t="str">
        <f>IFERROR(__xludf.DUMMYFUNCTION("""COMPUTED_VALUE"""),"anitahannam@gmail.com")</f>
        <v>anitahannam@gmail.com</v>
      </c>
      <c r="G8497" s="3">
        <f>IFERROR(__xludf.DUMMYFUNCTION("""COMPUTED_VALUE"""),9.053447356E9)</f>
        <v>9053447356</v>
      </c>
      <c r="H8497" s="3">
        <f>IFERROR(__xludf.DUMMYFUNCTION("""COMPUTED_VALUE"""),6.13661654E9)</f>
        <v>6136616540</v>
      </c>
    </row>
    <row r="8498">
      <c r="A8498" s="2">
        <f>IFERROR(__xludf.DUMMYFUNCTION("""COMPUTED_VALUE"""),30348.0)</f>
        <v>30348</v>
      </c>
      <c r="B8498" s="3" t="str">
        <f>IFERROR(__xludf.DUMMYFUNCTION("""COMPUTED_VALUE"""),"2566 COUNTY 25 RD ")</f>
        <v>2566 COUNTY 25 RD </v>
      </c>
      <c r="C8498" s="3" t="str">
        <f>IFERROR(__xludf.DUMMYFUNCTION("""COMPUTED_VALUE"""),"CASTLETON")</f>
        <v>CASTLETON</v>
      </c>
      <c r="D8498" s="3" t="str">
        <f>IFERROR(__xludf.DUMMYFUNCTION("""COMPUTED_VALUE"""),"K0K 1M0")</f>
        <v>K0K 1M0</v>
      </c>
      <c r="E8498" s="3" t="str">
        <f>IFERROR(__xludf.DUMMYFUNCTION("""COMPUTED_VALUE"""),"Mike &amp; Julie  Rath")</f>
        <v>Mike &amp; Julie  Rath</v>
      </c>
      <c r="F8498" s="3" t="str">
        <f>IFERROR(__xludf.DUMMYFUNCTION("""COMPUTED_VALUE"""),"mikerath@hotmail.ca")</f>
        <v>mikerath@hotmail.ca</v>
      </c>
      <c r="G8498" s="3">
        <f>IFERROR(__xludf.DUMMYFUNCTION("""COMPUTED_VALUE"""),9.053755004E9)</f>
        <v>9053755004</v>
      </c>
      <c r="H8498" s="3"/>
    </row>
    <row r="8499">
      <c r="A8499" s="2">
        <f>IFERROR(__xludf.DUMMYFUNCTION("""COMPUTED_VALUE"""),30349.0)</f>
        <v>30349</v>
      </c>
      <c r="B8499" s="3" t="str">
        <f>IFERROR(__xludf.DUMMYFUNCTION("""COMPUTED_VALUE"""),"2644 COUNTY 25 RD ")</f>
        <v>2644 COUNTY 25 RD </v>
      </c>
      <c r="C8499" s="3" t="str">
        <f>IFERROR(__xludf.DUMMYFUNCTION("""COMPUTED_VALUE"""),"CASTLETON")</f>
        <v>CASTLETON</v>
      </c>
      <c r="D8499" s="3" t="str">
        <f>IFERROR(__xludf.DUMMYFUNCTION("""COMPUTED_VALUE"""),"K0K 1M0")</f>
        <v>K0K 1M0</v>
      </c>
      <c r="E8499" s="3"/>
      <c r="F8499" s="3"/>
      <c r="G8499" s="3"/>
      <c r="H8499" s="3"/>
    </row>
    <row r="8500">
      <c r="A8500" s="2">
        <f>IFERROR(__xludf.DUMMYFUNCTION("""COMPUTED_VALUE"""),30350.0)</f>
        <v>30350</v>
      </c>
      <c r="B8500" s="3" t="str">
        <f>IFERROR(__xludf.DUMMYFUNCTION("""COMPUTED_VALUE"""),"2648 COUNTY 25 RD ")</f>
        <v>2648 COUNTY 25 RD </v>
      </c>
      <c r="C8500" s="3" t="str">
        <f>IFERROR(__xludf.DUMMYFUNCTION("""COMPUTED_VALUE"""),"CASTLETON")</f>
        <v>CASTLETON</v>
      </c>
      <c r="D8500" s="3" t="str">
        <f>IFERROR(__xludf.DUMMYFUNCTION("""COMPUTED_VALUE"""),"K0K 1M0")</f>
        <v>K0K 1M0</v>
      </c>
      <c r="E8500" s="3" t="str">
        <f>IFERROR(__xludf.DUMMYFUNCTION("""COMPUTED_VALUE"""),"Kim Bugg")</f>
        <v>Kim Bugg</v>
      </c>
      <c r="F8500" s="3" t="str">
        <f>IFERROR(__xludf.DUMMYFUNCTION("""COMPUTED_VALUE"""),"kim.bugg644@gmail.com")</f>
        <v>kim.bugg644@gmail.com</v>
      </c>
      <c r="G8500" s="3">
        <f>IFERROR(__xludf.DUMMYFUNCTION("""COMPUTED_VALUE"""),2.892512805E9)</f>
        <v>2892512805</v>
      </c>
      <c r="H8500" s="3"/>
    </row>
    <row r="8501">
      <c r="A8501" s="2">
        <f>IFERROR(__xludf.DUMMYFUNCTION("""COMPUTED_VALUE"""),30351.0)</f>
        <v>30351</v>
      </c>
      <c r="B8501" s="3" t="str">
        <f>IFERROR(__xludf.DUMMYFUNCTION("""COMPUTED_VALUE"""),"2700 COUNTY 25 RD ")</f>
        <v>2700 COUNTY 25 RD </v>
      </c>
      <c r="C8501" s="3" t="str">
        <f>IFERROR(__xludf.DUMMYFUNCTION("""COMPUTED_VALUE"""),"CASTLETON")</f>
        <v>CASTLETON</v>
      </c>
      <c r="D8501" s="3" t="str">
        <f>IFERROR(__xludf.DUMMYFUNCTION("""COMPUTED_VALUE"""),"K0K 1M0")</f>
        <v>K0K 1M0</v>
      </c>
      <c r="E8501" s="3"/>
      <c r="F8501" s="3"/>
      <c r="G8501" s="3"/>
      <c r="H8501" s="3"/>
    </row>
    <row r="8502">
      <c r="A8502" s="2">
        <f>IFERROR(__xludf.DUMMYFUNCTION("""COMPUTED_VALUE"""),30352.0)</f>
        <v>30352</v>
      </c>
      <c r="B8502" s="3" t="str">
        <f>IFERROR(__xludf.DUMMYFUNCTION("""COMPUTED_VALUE"""),"2740 COUNTY RD 25")</f>
        <v>2740 COUNTY RD 25</v>
      </c>
      <c r="C8502" s="3" t="str">
        <f>IFERROR(__xludf.DUMMYFUNCTION("""COMPUTED_VALUE"""),"CASTLETON")</f>
        <v>CASTLETON</v>
      </c>
      <c r="D8502" s="3" t="str">
        <f>IFERROR(__xludf.DUMMYFUNCTION("""COMPUTED_VALUE"""),"K0K 1M0")</f>
        <v>K0K 1M0</v>
      </c>
      <c r="E8502" s="3" t="str">
        <f>IFERROR(__xludf.DUMMYFUNCTION("""COMPUTED_VALUE"""),"Diana Dingwall")</f>
        <v>Diana Dingwall</v>
      </c>
      <c r="F8502" s="3" t="str">
        <f>IFERROR(__xludf.DUMMYFUNCTION("""COMPUTED_VALUE"""),"dianabrough@hotmail.com")</f>
        <v>dianabrough@hotmail.com</v>
      </c>
      <c r="G8502" s="3">
        <f>IFERROR(__xludf.DUMMYFUNCTION("""COMPUTED_VALUE"""),9.053768374E9)</f>
        <v>9053768374</v>
      </c>
      <c r="H8502" s="3">
        <f>IFERROR(__xludf.DUMMYFUNCTION("""COMPUTED_VALUE"""),9.053758521E9)</f>
        <v>9053758521</v>
      </c>
    </row>
    <row r="8503">
      <c r="A8503" s="2">
        <f>IFERROR(__xludf.DUMMYFUNCTION("""COMPUTED_VALUE"""),30353.0)</f>
        <v>30353</v>
      </c>
      <c r="B8503" s="3" t="str">
        <f>IFERROR(__xludf.DUMMYFUNCTION("""COMPUTED_VALUE"""),"2771 COUNTY 25 RD ")</f>
        <v>2771 COUNTY 25 RD </v>
      </c>
      <c r="C8503" s="3" t="str">
        <f>IFERROR(__xludf.DUMMYFUNCTION("""COMPUTED_VALUE"""),"CASTLETON")</f>
        <v>CASTLETON</v>
      </c>
      <c r="D8503" s="3" t="str">
        <f>IFERROR(__xludf.DUMMYFUNCTION("""COMPUTED_VALUE"""),"K0K 1M0")</f>
        <v>K0K 1M0</v>
      </c>
      <c r="E8503" s="3"/>
      <c r="F8503" s="3"/>
      <c r="G8503" s="3"/>
      <c r="H8503" s="3"/>
    </row>
    <row r="8504">
      <c r="A8504" s="2">
        <f>IFERROR(__xludf.DUMMYFUNCTION("""COMPUTED_VALUE"""),30354.0)</f>
        <v>30354</v>
      </c>
      <c r="B8504" s="3" t="str">
        <f>IFERROR(__xludf.DUMMYFUNCTION("""COMPUTED_VALUE"""),"2797 COUNTY 25 RD ")</f>
        <v>2797 COUNTY 25 RD </v>
      </c>
      <c r="C8504" s="3" t="str">
        <f>IFERROR(__xludf.DUMMYFUNCTION("""COMPUTED_VALUE"""),"CASTLETON")</f>
        <v>CASTLETON</v>
      </c>
      <c r="D8504" s="3" t="str">
        <f>IFERROR(__xludf.DUMMYFUNCTION("""COMPUTED_VALUE"""),"K0K 1M0")</f>
        <v>K0K 1M0</v>
      </c>
      <c r="E8504" s="3" t="str">
        <f>IFERROR(__xludf.DUMMYFUNCTION("""COMPUTED_VALUE"""),"Barbara Ann Rogers")</f>
        <v>Barbara Ann Rogers</v>
      </c>
      <c r="F8504" s="3" t="str">
        <f>IFERROR(__xludf.DUMMYFUNCTION("""COMPUTED_VALUE"""),"angel_rose6ca@yahoo.com")</f>
        <v>angel_rose6ca@yahoo.com</v>
      </c>
      <c r="G8504" s="3">
        <f>IFERROR(__xludf.DUMMYFUNCTION("""COMPUTED_VALUE"""),9.053441039E9)</f>
        <v>9053441039</v>
      </c>
      <c r="H8504" s="3"/>
    </row>
    <row r="8505">
      <c r="A8505" s="2">
        <f>IFERROR(__xludf.DUMMYFUNCTION("""COMPUTED_VALUE"""),30355.0)</f>
        <v>30355</v>
      </c>
      <c r="B8505" s="3" t="str">
        <f>IFERROR(__xludf.DUMMYFUNCTION("""COMPUTED_VALUE"""),"2876 COUNTY 25 RD ")</f>
        <v>2876 COUNTY 25 RD </v>
      </c>
      <c r="C8505" s="3" t="str">
        <f>IFERROR(__xludf.DUMMYFUNCTION("""COMPUTED_VALUE"""),"CASTLETON")</f>
        <v>CASTLETON</v>
      </c>
      <c r="D8505" s="3" t="str">
        <f>IFERROR(__xludf.DUMMYFUNCTION("""COMPUTED_VALUE"""),"K0K 1M0")</f>
        <v>K0K 1M0</v>
      </c>
      <c r="E8505" s="3" t="str">
        <f>IFERROR(__xludf.DUMMYFUNCTION("""COMPUTED_VALUE"""),"Tara Olsson")</f>
        <v>Tara Olsson</v>
      </c>
      <c r="F8505" s="3" t="str">
        <f>IFERROR(__xludf.DUMMYFUNCTION("""COMPUTED_VALUE"""),"taralynn1972@hotmail.com")</f>
        <v>taralynn1972@hotmail.com</v>
      </c>
      <c r="G8505" s="3"/>
      <c r="H8505" s="3"/>
    </row>
    <row r="8506">
      <c r="A8506" s="2">
        <f>IFERROR(__xludf.DUMMYFUNCTION("""COMPUTED_VALUE"""),30356.0)</f>
        <v>30356</v>
      </c>
      <c r="B8506" s="3" t="str">
        <f>IFERROR(__xludf.DUMMYFUNCTION("""COMPUTED_VALUE"""),"2942 COUNTY 25 RD ")</f>
        <v>2942 COUNTY 25 RD </v>
      </c>
      <c r="C8506" s="3" t="str">
        <f>IFERROR(__xludf.DUMMYFUNCTION("""COMPUTED_VALUE"""),"CASTLETON")</f>
        <v>CASTLETON</v>
      </c>
      <c r="D8506" s="3" t="str">
        <f>IFERROR(__xludf.DUMMYFUNCTION("""COMPUTED_VALUE"""),"K0K 1M0")</f>
        <v>K0K 1M0</v>
      </c>
      <c r="E8506" s="3" t="str">
        <f>IFERROR(__xludf.DUMMYFUNCTION("""COMPUTED_VALUE"""),"Judy Smith")</f>
        <v>Judy Smith</v>
      </c>
      <c r="F8506" s="3" t="str">
        <f>IFERROR(__xludf.DUMMYFUNCTION("""COMPUTED_VALUE"""),"judy.warne123@gmail.com")</f>
        <v>judy.warne123@gmail.com</v>
      </c>
      <c r="G8506" s="3"/>
      <c r="H8506" s="3"/>
    </row>
    <row r="8507">
      <c r="A8507" s="2">
        <f>IFERROR(__xludf.DUMMYFUNCTION("""COMPUTED_VALUE"""),30357.0)</f>
        <v>30357</v>
      </c>
      <c r="B8507" s="3" t="str">
        <f>IFERROR(__xludf.DUMMYFUNCTION("""COMPUTED_VALUE"""),"2967 COUNTY 25 RD ")</f>
        <v>2967 COUNTY 25 RD </v>
      </c>
      <c r="C8507" s="3" t="str">
        <f>IFERROR(__xludf.DUMMYFUNCTION("""COMPUTED_VALUE"""),"CASTLETON")</f>
        <v>CASTLETON</v>
      </c>
      <c r="D8507" s="3" t="str">
        <f>IFERROR(__xludf.DUMMYFUNCTION("""COMPUTED_VALUE"""),"K0K 1M0")</f>
        <v>K0K 1M0</v>
      </c>
      <c r="E8507" s="3" t="str">
        <f>IFERROR(__xludf.DUMMYFUNCTION("""COMPUTED_VALUE"""),"Judy Smith")</f>
        <v>Judy Smith</v>
      </c>
      <c r="F8507" s="3" t="str">
        <f>IFERROR(__xludf.DUMMYFUNCTION("""COMPUTED_VALUE"""),"judy.warne123@gmail.com")</f>
        <v>judy.warne123@gmail.com</v>
      </c>
      <c r="G8507" s="3">
        <f>IFERROR(__xludf.DUMMYFUNCTION("""COMPUTED_VALUE"""),9.053754617E9)</f>
        <v>9053754617</v>
      </c>
      <c r="H8507" s="3"/>
    </row>
    <row r="8508">
      <c r="A8508" s="2">
        <f>IFERROR(__xludf.DUMMYFUNCTION("""COMPUTED_VALUE"""),30358.0)</f>
        <v>30358</v>
      </c>
      <c r="B8508" s="3" t="str">
        <f>IFERROR(__xludf.DUMMYFUNCTION("""COMPUTED_VALUE"""),"2985 COUNTY 25 RD ")</f>
        <v>2985 COUNTY 25 RD </v>
      </c>
      <c r="C8508" s="3" t="str">
        <f>IFERROR(__xludf.DUMMYFUNCTION("""COMPUTED_VALUE"""),"CASTLETON")</f>
        <v>CASTLETON</v>
      </c>
      <c r="D8508" s="3" t="str">
        <f>IFERROR(__xludf.DUMMYFUNCTION("""COMPUTED_VALUE"""),"K0K 1M0")</f>
        <v>K0K 1M0</v>
      </c>
      <c r="E8508" s="3"/>
      <c r="F8508" s="3"/>
      <c r="G8508" s="3"/>
      <c r="H8508" s="3"/>
    </row>
    <row r="8509">
      <c r="A8509" s="2">
        <f>IFERROR(__xludf.DUMMYFUNCTION("""COMPUTED_VALUE"""),30359.0)</f>
        <v>30359</v>
      </c>
      <c r="B8509" s="3" t="str">
        <f>IFERROR(__xludf.DUMMYFUNCTION("""COMPUTED_VALUE"""),"3007 COUNTY 25 RD ")</f>
        <v>3007 COUNTY 25 RD </v>
      </c>
      <c r="C8509" s="3" t="str">
        <f>IFERROR(__xludf.DUMMYFUNCTION("""COMPUTED_VALUE"""),"CASTLETON")</f>
        <v>CASTLETON</v>
      </c>
      <c r="D8509" s="3" t="str">
        <f>IFERROR(__xludf.DUMMYFUNCTION("""COMPUTED_VALUE"""),"K0K 1M0")</f>
        <v>K0K 1M0</v>
      </c>
      <c r="E8509" s="3"/>
      <c r="F8509" s="3"/>
      <c r="G8509" s="3"/>
      <c r="H8509" s="3"/>
    </row>
    <row r="8510">
      <c r="A8510" s="2">
        <f>IFERROR(__xludf.DUMMYFUNCTION("""COMPUTED_VALUE"""),30360.0)</f>
        <v>30360</v>
      </c>
      <c r="B8510" s="3" t="str">
        <f>IFERROR(__xludf.DUMMYFUNCTION("""COMPUTED_VALUE"""),"3040 COUNTY 25 RD ")</f>
        <v>3040 COUNTY 25 RD </v>
      </c>
      <c r="C8510" s="3" t="str">
        <f>IFERROR(__xludf.DUMMYFUNCTION("""COMPUTED_VALUE"""),"CASTLETON")</f>
        <v>CASTLETON</v>
      </c>
      <c r="D8510" s="3" t="str">
        <f>IFERROR(__xludf.DUMMYFUNCTION("""COMPUTED_VALUE"""),"K0K 1M0")</f>
        <v>K0K 1M0</v>
      </c>
      <c r="E8510" s="3" t="str">
        <f>IFERROR(__xludf.DUMMYFUNCTION("""COMPUTED_VALUE"""),"George B Boileau")</f>
        <v>George B Boileau</v>
      </c>
      <c r="F8510" s="3" t="str">
        <f>IFERROR(__xludf.DUMMYFUNCTION("""COMPUTED_VALUE"""),"boileau.geo@gmail.com")</f>
        <v>boileau.geo@gmail.com</v>
      </c>
      <c r="G8510" s="3"/>
      <c r="H8510" s="3"/>
    </row>
    <row r="8511">
      <c r="A8511" s="2">
        <f>IFERROR(__xludf.DUMMYFUNCTION("""COMPUTED_VALUE"""),30361.0)</f>
        <v>30361</v>
      </c>
      <c r="B8511" s="3" t="str">
        <f>IFERROR(__xludf.DUMMYFUNCTION("""COMPUTED_VALUE"""),"3079 COUNTY 25 RD ")</f>
        <v>3079 COUNTY 25 RD </v>
      </c>
      <c r="C8511" s="3" t="str">
        <f>IFERROR(__xludf.DUMMYFUNCTION("""COMPUTED_VALUE"""),"CASTLETON")</f>
        <v>CASTLETON</v>
      </c>
      <c r="D8511" s="3" t="str">
        <f>IFERROR(__xludf.DUMMYFUNCTION("""COMPUTED_VALUE"""),"K0K 1M0")</f>
        <v>K0K 1M0</v>
      </c>
      <c r="E8511" s="3" t="str">
        <f>IFERROR(__xludf.DUMMYFUNCTION("""COMPUTED_VALUE"""),"Glen Dunn")</f>
        <v>Glen Dunn</v>
      </c>
      <c r="F8511" s="3" t="str">
        <f>IFERROR(__xludf.DUMMYFUNCTION("""COMPUTED_VALUE"""),"glendunn9@gmail.com")</f>
        <v>glendunn9@gmail.com</v>
      </c>
      <c r="G8511" s="3">
        <f>IFERROR(__xludf.DUMMYFUNCTION("""COMPUTED_VALUE"""),9.053726206E9)</f>
        <v>9053726206</v>
      </c>
      <c r="H8511" s="3"/>
    </row>
    <row r="8512">
      <c r="A8512" s="2">
        <f>IFERROR(__xludf.DUMMYFUNCTION("""COMPUTED_VALUE"""),30362.0)</f>
        <v>30362</v>
      </c>
      <c r="B8512" s="3" t="str">
        <f>IFERROR(__xludf.DUMMYFUNCTION("""COMPUTED_VALUE"""),"3140 COUNTY 25 RD ")</f>
        <v>3140 COUNTY 25 RD </v>
      </c>
      <c r="C8512" s="3" t="str">
        <f>IFERROR(__xludf.DUMMYFUNCTION("""COMPUTED_VALUE"""),"CASTLETON")</f>
        <v>CASTLETON</v>
      </c>
      <c r="D8512" s="3" t="str">
        <f>IFERROR(__xludf.DUMMYFUNCTION("""COMPUTED_VALUE"""),"K0K 1M0")</f>
        <v>K0K 1M0</v>
      </c>
      <c r="E8512" s="3" t="str">
        <f>IFERROR(__xludf.DUMMYFUNCTION("""COMPUTED_VALUE"""),"Lorne Greig")</f>
        <v>Lorne Greig</v>
      </c>
      <c r="F8512" s="3" t="str">
        <f>IFERROR(__xludf.DUMMYFUNCTION("""COMPUTED_VALUE"""),"N/A")</f>
        <v>N/A</v>
      </c>
      <c r="G8512" s="3">
        <f>IFERROR(__xludf.DUMMYFUNCTION("""COMPUTED_VALUE"""),9.053445092E9)</f>
        <v>9053445092</v>
      </c>
      <c r="H8512" s="3"/>
    </row>
    <row r="8513">
      <c r="A8513" s="2">
        <f>IFERROR(__xludf.DUMMYFUNCTION("""COMPUTED_VALUE"""),30363.0)</f>
        <v>30363</v>
      </c>
      <c r="B8513" s="3" t="str">
        <f>IFERROR(__xludf.DUMMYFUNCTION("""COMPUTED_VALUE"""),"3215 COUNTY 25 RD ")</f>
        <v>3215 COUNTY 25 RD </v>
      </c>
      <c r="C8513" s="3" t="str">
        <f>IFERROR(__xludf.DUMMYFUNCTION("""COMPUTED_VALUE"""),"CASTLETON")</f>
        <v>CASTLETON</v>
      </c>
      <c r="D8513" s="3" t="str">
        <f>IFERROR(__xludf.DUMMYFUNCTION("""COMPUTED_VALUE"""),"K0K 1M0")</f>
        <v>K0K 1M0</v>
      </c>
      <c r="E8513" s="3"/>
      <c r="F8513" s="3"/>
      <c r="G8513" s="3"/>
      <c r="H8513" s="3"/>
    </row>
    <row r="8514">
      <c r="A8514" s="2">
        <f>IFERROR(__xludf.DUMMYFUNCTION("""COMPUTED_VALUE"""),30364.0)</f>
        <v>30364</v>
      </c>
      <c r="B8514" s="3" t="str">
        <f>IFERROR(__xludf.DUMMYFUNCTION("""COMPUTED_VALUE"""),"3339 COUNTY 25 RD ")</f>
        <v>3339 COUNTY 25 RD </v>
      </c>
      <c r="C8514" s="3" t="str">
        <f>IFERROR(__xludf.DUMMYFUNCTION("""COMPUTED_VALUE"""),"CASTLETON")</f>
        <v>CASTLETON</v>
      </c>
      <c r="D8514" s="3" t="str">
        <f>IFERROR(__xludf.DUMMYFUNCTION("""COMPUTED_VALUE"""),"K0K 1M0")</f>
        <v>K0K 1M0</v>
      </c>
      <c r="E8514" s="3" t="str">
        <f>IFERROR(__xludf.DUMMYFUNCTION("""COMPUTED_VALUE"""),"Bob &amp; Marion McComb")</f>
        <v>Bob &amp; Marion McComb</v>
      </c>
      <c r="F8514" s="3" t="str">
        <f>IFERROR(__xludf.DUMMYFUNCTION("""COMPUTED_VALUE"""),"mar.mccomb@gmail.com")</f>
        <v>mar.mccomb@gmail.com</v>
      </c>
      <c r="G8514" s="3"/>
      <c r="H8514" s="3"/>
    </row>
    <row r="8515">
      <c r="A8515" s="2">
        <f>IFERROR(__xludf.DUMMYFUNCTION("""COMPUTED_VALUE"""),30365.0)</f>
        <v>30365</v>
      </c>
      <c r="B8515" s="3" t="str">
        <f>IFERROR(__xludf.DUMMYFUNCTION("""COMPUTED_VALUE"""),"3348 COUNTY 25 RD ")</f>
        <v>3348 COUNTY 25 RD </v>
      </c>
      <c r="C8515" s="3" t="str">
        <f>IFERROR(__xludf.DUMMYFUNCTION("""COMPUTED_VALUE"""),"CASTLETON")</f>
        <v>CASTLETON</v>
      </c>
      <c r="D8515" s="3" t="str">
        <f>IFERROR(__xludf.DUMMYFUNCTION("""COMPUTED_VALUE"""),"K0K 1M0")</f>
        <v>K0K 1M0</v>
      </c>
      <c r="E8515" s="3" t="str">
        <f>IFERROR(__xludf.DUMMYFUNCTION("""COMPUTED_VALUE"""),"Brian Northcott")</f>
        <v>Brian Northcott</v>
      </c>
      <c r="F8515" s="3" t="str">
        <f>IFERROR(__xludf.DUMMYFUNCTION("""COMPUTED_VALUE"""),"badaxemediaexperts@gmail.com")</f>
        <v>badaxemediaexperts@gmail.com</v>
      </c>
      <c r="G8515" s="3">
        <f>IFERROR(__xludf.DUMMYFUNCTION("""COMPUTED_VALUE"""),2.899391318E9)</f>
        <v>2899391318</v>
      </c>
      <c r="H8515" s="3"/>
    </row>
    <row r="8516">
      <c r="A8516" s="2">
        <f>IFERROR(__xludf.DUMMYFUNCTION("""COMPUTED_VALUE"""),30366.0)</f>
        <v>30366</v>
      </c>
      <c r="B8516" s="3" t="str">
        <f>IFERROR(__xludf.DUMMYFUNCTION("""COMPUTED_VALUE"""),"3411 COUNTY 25 RD ")</f>
        <v>3411 COUNTY 25 RD </v>
      </c>
      <c r="C8516" s="3" t="str">
        <f>IFERROR(__xludf.DUMMYFUNCTION("""COMPUTED_VALUE"""),"CASTLETON")</f>
        <v>CASTLETON</v>
      </c>
      <c r="D8516" s="3" t="str">
        <f>IFERROR(__xludf.DUMMYFUNCTION("""COMPUTED_VALUE"""),"K0K 1M0")</f>
        <v>K0K 1M0</v>
      </c>
      <c r="E8516" s="3" t="str">
        <f>IFERROR(__xludf.DUMMYFUNCTION("""COMPUTED_VALUE"""),"John H Seniuk")</f>
        <v>John H Seniuk</v>
      </c>
      <c r="F8516" s="3" t="str">
        <f>IFERROR(__xludf.DUMMYFUNCTION("""COMPUTED_VALUE"""),"jhseniuk@gmail.com")</f>
        <v>jhseniuk@gmail.com</v>
      </c>
      <c r="G8516" s="3">
        <f>IFERROR(__xludf.DUMMYFUNCTION("""COMPUTED_VALUE"""),9.053440057E9)</f>
        <v>9053440057</v>
      </c>
      <c r="H8516" s="3">
        <f>IFERROR(__xludf.DUMMYFUNCTION("""COMPUTED_VALUE"""),6.138484444E9)</f>
        <v>6138484444</v>
      </c>
    </row>
    <row r="8517">
      <c r="A8517" s="2">
        <f>IFERROR(__xludf.DUMMYFUNCTION("""COMPUTED_VALUE"""),30367.0)</f>
        <v>30367</v>
      </c>
      <c r="B8517" s="3" t="str">
        <f>IFERROR(__xludf.DUMMYFUNCTION("""COMPUTED_VALUE"""),"3472 COUNTY 25 RD ")</f>
        <v>3472 COUNTY 25 RD </v>
      </c>
      <c r="C8517" s="3" t="str">
        <f>IFERROR(__xludf.DUMMYFUNCTION("""COMPUTED_VALUE"""),"CASTLETON")</f>
        <v>CASTLETON</v>
      </c>
      <c r="D8517" s="3" t="str">
        <f>IFERROR(__xludf.DUMMYFUNCTION("""COMPUTED_VALUE"""),"K0K 1M0")</f>
        <v>K0K 1M0</v>
      </c>
      <c r="E8517" s="3" t="str">
        <f>IFERROR(__xludf.DUMMYFUNCTION("""COMPUTED_VALUE"""),"Ross walkingshaw")</f>
        <v>Ross walkingshaw</v>
      </c>
      <c r="F8517" s="3" t="str">
        <f>IFERROR(__xludf.DUMMYFUNCTION("""COMPUTED_VALUE"""),"reachross@hotmail.com")</f>
        <v>reachross@hotmail.com</v>
      </c>
      <c r="G8517" s="3">
        <f>IFERROR(__xludf.DUMMYFUNCTION("""COMPUTED_VALUE"""),9.059224932E9)</f>
        <v>9059224932</v>
      </c>
      <c r="H8517" s="3"/>
    </row>
    <row r="8518">
      <c r="A8518" s="2">
        <f>IFERROR(__xludf.DUMMYFUNCTION("""COMPUTED_VALUE"""),30368.0)</f>
        <v>30368</v>
      </c>
      <c r="B8518" s="3" t="str">
        <f>IFERROR(__xludf.DUMMYFUNCTION("""COMPUTED_VALUE"""),"3780 COUNTY 25 RD ")</f>
        <v>3780 COUNTY 25 RD </v>
      </c>
      <c r="C8518" s="3" t="str">
        <f>IFERROR(__xludf.DUMMYFUNCTION("""COMPUTED_VALUE"""),"CASTLETON")</f>
        <v>CASTLETON</v>
      </c>
      <c r="D8518" s="3" t="str">
        <f>IFERROR(__xludf.DUMMYFUNCTION("""COMPUTED_VALUE"""),"K0K 1M0")</f>
        <v>K0K 1M0</v>
      </c>
      <c r="E8518" s="3" t="str">
        <f>IFERROR(__xludf.DUMMYFUNCTION("""COMPUTED_VALUE"""),"Ruby Charlene Orrell")</f>
        <v>Ruby Charlene Orrell</v>
      </c>
      <c r="F8518" s="3" t="str">
        <f>IFERROR(__xludf.DUMMYFUNCTION("""COMPUTED_VALUE"""),"rubyorrell@gmail.com")</f>
        <v>rubyorrell@gmail.com</v>
      </c>
      <c r="G8518" s="3">
        <f>IFERROR(__xludf.DUMMYFUNCTION("""COMPUTED_VALUE"""),7.057686992E9)</f>
        <v>7057686992</v>
      </c>
      <c r="H8518" s="3"/>
    </row>
    <row r="8519">
      <c r="A8519" s="2">
        <f>IFERROR(__xludf.DUMMYFUNCTION("""COMPUTED_VALUE"""),30369.0)</f>
        <v>30369</v>
      </c>
      <c r="B8519" s="3" t="str">
        <f>IFERROR(__xludf.DUMMYFUNCTION("""COMPUTED_VALUE"""),"3856 COUNTY 25 RD ")</f>
        <v>3856 COUNTY 25 RD </v>
      </c>
      <c r="C8519" s="3" t="str">
        <f>IFERROR(__xludf.DUMMYFUNCTION("""COMPUTED_VALUE"""),"CASTLETON")</f>
        <v>CASTLETON</v>
      </c>
      <c r="D8519" s="3" t="str">
        <f>IFERROR(__xludf.DUMMYFUNCTION("""COMPUTED_VALUE"""),"K0K 1M0")</f>
        <v>K0K 1M0</v>
      </c>
      <c r="E8519" s="3"/>
      <c r="F8519" s="3"/>
      <c r="G8519" s="3"/>
      <c r="H8519" s="3"/>
    </row>
    <row r="8520">
      <c r="A8520" s="2">
        <f>IFERROR(__xludf.DUMMYFUNCTION("""COMPUTED_VALUE"""),30370.0)</f>
        <v>30370</v>
      </c>
      <c r="B8520" s="3" t="str">
        <f>IFERROR(__xludf.DUMMYFUNCTION("""COMPUTED_VALUE"""),"3861 COUNTY RD 25")</f>
        <v>3861 COUNTY RD 25</v>
      </c>
      <c r="C8520" s="3" t="str">
        <f>IFERROR(__xludf.DUMMYFUNCTION("""COMPUTED_VALUE"""),"CASTLETON")</f>
        <v>CASTLETON</v>
      </c>
      <c r="D8520" s="3" t="str">
        <f>IFERROR(__xludf.DUMMYFUNCTION("""COMPUTED_VALUE"""),"K0K 1M0")</f>
        <v>K0K 1M0</v>
      </c>
      <c r="E8520" s="3" t="str">
        <f>IFERROR(__xludf.DUMMYFUNCTION("""COMPUTED_VALUE"""),"vincent lucifora")</f>
        <v>vincent lucifora</v>
      </c>
      <c r="F8520" s="3" t="str">
        <f>IFERROR(__xludf.DUMMYFUNCTION("""COMPUTED_VALUE"""),"lucifora.v@gmail.com")</f>
        <v>lucifora.v@gmail.com</v>
      </c>
      <c r="G8520" s="3">
        <f>IFERROR(__xludf.DUMMYFUNCTION("""COMPUTED_VALUE"""),6.473889172E9)</f>
        <v>6473889172</v>
      </c>
      <c r="H8520" s="3"/>
    </row>
    <row r="8521">
      <c r="A8521" s="2">
        <f>IFERROR(__xludf.DUMMYFUNCTION("""COMPUTED_VALUE"""),30371.0)</f>
        <v>30371</v>
      </c>
      <c r="B8521" s="3" t="str">
        <f>IFERROR(__xludf.DUMMYFUNCTION("""COMPUTED_VALUE"""),"3884 COUNTY RD 25")</f>
        <v>3884 COUNTY RD 25</v>
      </c>
      <c r="C8521" s="3" t="str">
        <f>IFERROR(__xludf.DUMMYFUNCTION("""COMPUTED_VALUE"""),"CASTLETON")</f>
        <v>CASTLETON</v>
      </c>
      <c r="D8521" s="3" t="str">
        <f>IFERROR(__xludf.DUMMYFUNCTION("""COMPUTED_VALUE"""),"K0K 1M0")</f>
        <v>K0K 1M0</v>
      </c>
      <c r="E8521" s="3" t="str">
        <f>IFERROR(__xludf.DUMMYFUNCTION("""COMPUTED_VALUE"""),"Jeremy Schirmer")</f>
        <v>Jeremy Schirmer</v>
      </c>
      <c r="F8521" s="3" t="str">
        <f>IFERROR(__xludf.DUMMYFUNCTION("""COMPUTED_VALUE"""),"shalaynajeremy@hotmail.com")</f>
        <v>shalaynajeremy@hotmail.com</v>
      </c>
      <c r="G8521" s="3">
        <f>IFERROR(__xludf.DUMMYFUNCTION("""COMPUTED_VALUE"""),2.892521748E9)</f>
        <v>2892521748</v>
      </c>
      <c r="H8521" s="3">
        <f>IFERROR(__xludf.DUMMYFUNCTION("""COMPUTED_VALUE"""),9.053758507E9)</f>
        <v>9053758507</v>
      </c>
    </row>
    <row r="8522">
      <c r="A8522" s="2">
        <f>IFERROR(__xludf.DUMMYFUNCTION("""COMPUTED_VALUE"""),30372.0)</f>
        <v>30372</v>
      </c>
      <c r="B8522" s="3" t="str">
        <f>IFERROR(__xludf.DUMMYFUNCTION("""COMPUTED_VALUE"""),"3890 COUNTY 25 RD ")</f>
        <v>3890 COUNTY 25 RD </v>
      </c>
      <c r="C8522" s="3" t="str">
        <f>IFERROR(__xludf.DUMMYFUNCTION("""COMPUTED_VALUE"""),"CASTLETON")</f>
        <v>CASTLETON</v>
      </c>
      <c r="D8522" s="3" t="str">
        <f>IFERROR(__xludf.DUMMYFUNCTION("""COMPUTED_VALUE"""),"K0K 1M0")</f>
        <v>K0K 1M0</v>
      </c>
      <c r="E8522" s="3" t="str">
        <f>IFERROR(__xludf.DUMMYFUNCTION("""COMPUTED_VALUE"""),"Tyler Causton")</f>
        <v>Tyler Causton</v>
      </c>
      <c r="F8522" s="3" t="str">
        <f>IFERROR(__xludf.DUMMYFUNCTION("""COMPUTED_VALUE"""),"abstract29@live.com")</f>
        <v>abstract29@live.com</v>
      </c>
      <c r="G8522" s="3">
        <f>IFERROR(__xludf.DUMMYFUNCTION("""COMPUTED_VALUE"""),7.057726406E9)</f>
        <v>7057726406</v>
      </c>
      <c r="H8522" s="3"/>
    </row>
    <row r="8523">
      <c r="A8523" s="2">
        <f>IFERROR(__xludf.DUMMYFUNCTION("""COMPUTED_VALUE"""),30373.0)</f>
        <v>30373</v>
      </c>
      <c r="B8523" s="3" t="str">
        <f>IFERROR(__xludf.DUMMYFUNCTION("""COMPUTED_VALUE"""),"3901 COUNTY 25 RD ")</f>
        <v>3901 COUNTY 25 RD </v>
      </c>
      <c r="C8523" s="3" t="str">
        <f>IFERROR(__xludf.DUMMYFUNCTION("""COMPUTED_VALUE"""),"CASTLETON")</f>
        <v>CASTLETON</v>
      </c>
      <c r="D8523" s="3" t="str">
        <f>IFERROR(__xludf.DUMMYFUNCTION("""COMPUTED_VALUE"""),"K0K 1M0")</f>
        <v>K0K 1M0</v>
      </c>
      <c r="E8523" s="3" t="str">
        <f>IFERROR(__xludf.DUMMYFUNCTION("""COMPUTED_VALUE"""),"Laurig Nazaretian")</f>
        <v>Laurig Nazaretian</v>
      </c>
      <c r="F8523" s="3" t="str">
        <f>IFERROR(__xludf.DUMMYFUNCTION("""COMPUTED_VALUE"""),"naiterazan@icloud.com")</f>
        <v>naiterazan@icloud.com</v>
      </c>
      <c r="G8523" s="3">
        <f>IFERROR(__xludf.DUMMYFUNCTION("""COMPUTED_VALUE"""),6.478675674E9)</f>
        <v>6478675674</v>
      </c>
      <c r="H8523" s="3"/>
    </row>
    <row r="8524">
      <c r="A8524" s="2">
        <f>IFERROR(__xludf.DUMMYFUNCTION("""COMPUTED_VALUE"""),30374.0)</f>
        <v>30374</v>
      </c>
      <c r="B8524" s="3" t="str">
        <f>IFERROR(__xludf.DUMMYFUNCTION("""COMPUTED_VALUE"""),"3912 COUNTY 25 RD ")</f>
        <v>3912 COUNTY 25 RD </v>
      </c>
      <c r="C8524" s="3" t="str">
        <f>IFERROR(__xludf.DUMMYFUNCTION("""COMPUTED_VALUE"""),"CASTLETON")</f>
        <v>CASTLETON</v>
      </c>
      <c r="D8524" s="3" t="str">
        <f>IFERROR(__xludf.DUMMYFUNCTION("""COMPUTED_VALUE"""),"K0K 1M0")</f>
        <v>K0K 1M0</v>
      </c>
      <c r="E8524" s="3" t="str">
        <f>IFERROR(__xludf.DUMMYFUNCTION("""COMPUTED_VALUE"""),"Van Darling")</f>
        <v>Van Darling</v>
      </c>
      <c r="F8524" s="3" t="str">
        <f>IFERROR(__xludf.DUMMYFUNCTION("""COMPUTED_VALUE"""),"vdarling2@gmail.com")</f>
        <v>vdarling2@gmail.com</v>
      </c>
      <c r="G8524" s="3">
        <f>IFERROR(__xludf.DUMMYFUNCTION("""COMPUTED_VALUE"""),9.05376436E9)</f>
        <v>9053764360</v>
      </c>
      <c r="H8524" s="3">
        <f>IFERROR(__xludf.DUMMYFUNCTION("""COMPUTED_VALUE"""),9.053447777E9)</f>
        <v>9053447777</v>
      </c>
    </row>
    <row r="8525">
      <c r="A8525" s="2">
        <f>IFERROR(__xludf.DUMMYFUNCTION("""COMPUTED_VALUE"""),30375.0)</f>
        <v>30375</v>
      </c>
      <c r="B8525" s="3" t="str">
        <f>IFERROR(__xludf.DUMMYFUNCTION("""COMPUTED_VALUE"""),"4161 COUNTY RD 25")</f>
        <v>4161 COUNTY RD 25</v>
      </c>
      <c r="C8525" s="3"/>
      <c r="D8525" s="3"/>
      <c r="E8525" s="3" t="str">
        <f>IFERROR(__xludf.DUMMYFUNCTION("""COMPUTED_VALUE"""),"Cindy Wilson")</f>
        <v>Cindy Wilson</v>
      </c>
      <c r="F8525" s="3" t="str">
        <f>IFERROR(__xludf.DUMMYFUNCTION("""COMPUTED_VALUE"""),"N/A")</f>
        <v>N/A</v>
      </c>
      <c r="G8525" s="3"/>
      <c r="H8525" s="3"/>
    </row>
    <row r="8526">
      <c r="A8526" s="2">
        <f>IFERROR(__xludf.DUMMYFUNCTION("""COMPUTED_VALUE"""),30376.0)</f>
        <v>30376</v>
      </c>
      <c r="B8526" s="3" t="str">
        <f>IFERROR(__xludf.DUMMYFUNCTION("""COMPUTED_VALUE"""),"4172 COUNTY RD 25")</f>
        <v>4172 COUNTY RD 25</v>
      </c>
      <c r="C8526" s="3"/>
      <c r="D8526" s="3"/>
      <c r="E8526" s="3" t="str">
        <f>IFERROR(__xludf.DUMMYFUNCTION("""COMPUTED_VALUE"""),"Mary Darling")</f>
        <v>Mary Darling</v>
      </c>
      <c r="F8526" s="3" t="str">
        <f>IFERROR(__xludf.DUMMYFUNCTION("""COMPUTED_VALUE"""),"mary.cd216@gmail.com")</f>
        <v>mary.cd216@gmail.com</v>
      </c>
      <c r="G8526" s="3"/>
      <c r="H8526" s="3"/>
    </row>
    <row r="8527">
      <c r="A8527" s="2">
        <f>IFERROR(__xludf.DUMMYFUNCTION("""COMPUTED_VALUE"""),30377.0)</f>
        <v>30377</v>
      </c>
      <c r="B8527" s="3" t="str">
        <f>IFERROR(__xludf.DUMMYFUNCTION("""COMPUTED_VALUE"""),"4218 COUNTY RD 25")</f>
        <v>4218 COUNTY RD 25</v>
      </c>
      <c r="C8527" s="3"/>
      <c r="D8527" s="3"/>
      <c r="E8527" s="3"/>
      <c r="F8527" s="3"/>
      <c r="G8527" s="3"/>
      <c r="H8527" s="3"/>
    </row>
    <row r="8528">
      <c r="A8528" s="2">
        <f>IFERROR(__xludf.DUMMYFUNCTION("""COMPUTED_VALUE"""),30378.0)</f>
        <v>30378</v>
      </c>
      <c r="B8528" s="3" t="str">
        <f>IFERROR(__xludf.DUMMYFUNCTION("""COMPUTED_VALUE"""),"4280 COUNTY RD 25")</f>
        <v>4280 COUNTY RD 25</v>
      </c>
      <c r="C8528" s="3"/>
      <c r="D8528" s="3"/>
      <c r="E8528" s="3" t="str">
        <f>IFERROR(__xludf.DUMMYFUNCTION("""COMPUTED_VALUE"""),"Kelly Summers")</f>
        <v>Kelly Summers</v>
      </c>
      <c r="F8528" s="3" t="str">
        <f>IFERROR(__xludf.DUMMYFUNCTION("""COMPUTED_VALUE"""),"ksummers342@gmail.com")</f>
        <v>ksummers342@gmail.com</v>
      </c>
      <c r="G8528" s="3">
        <f>IFERROR(__xludf.DUMMYFUNCTION("""COMPUTED_VALUE"""),9.053762046E9)</f>
        <v>9053762046</v>
      </c>
      <c r="H8528" s="3"/>
    </row>
    <row r="8529">
      <c r="A8529" s="2">
        <f>IFERROR(__xludf.DUMMYFUNCTION("""COMPUTED_VALUE"""),30379.0)</f>
        <v>30379</v>
      </c>
      <c r="B8529" s="3" t="str">
        <f>IFERROR(__xludf.DUMMYFUNCTION("""COMPUTED_VALUE"""),"4330 COUNTY RD 25")</f>
        <v>4330 COUNTY RD 25</v>
      </c>
      <c r="C8529" s="3"/>
      <c r="D8529" s="3"/>
      <c r="E8529" s="3" t="str">
        <f>IFERROR(__xludf.DUMMYFUNCTION("""COMPUTED_VALUE"""),"Sandy Shibley")</f>
        <v>Sandy Shibley</v>
      </c>
      <c r="F8529" s="3" t="str">
        <f>IFERROR(__xludf.DUMMYFUNCTION("""COMPUTED_VALUE"""),"alwayslooking04@gmail.com")</f>
        <v>alwayslooking04@gmail.com</v>
      </c>
      <c r="G8529" s="3">
        <f>IFERROR(__xludf.DUMMYFUNCTION("""COMPUTED_VALUE"""),4.165407253E9)</f>
        <v>4165407253</v>
      </c>
      <c r="H8529" s="3"/>
    </row>
    <row r="8530">
      <c r="A8530" s="2">
        <f>IFERROR(__xludf.DUMMYFUNCTION("""COMPUTED_VALUE"""),30380.0)</f>
        <v>30380</v>
      </c>
      <c r="B8530" s="3" t="str">
        <f>IFERROR(__xludf.DUMMYFUNCTION("""COMPUTED_VALUE"""),"161-181 COUNTY 25 RD ")</f>
        <v>161-181 COUNTY 25 RD </v>
      </c>
      <c r="C8530" s="3" t="str">
        <f>IFERROR(__xludf.DUMMYFUNCTION("""COMPUTED_VALUE"""),"COLBORNE")</f>
        <v>COLBORNE</v>
      </c>
      <c r="D8530" s="3" t="str">
        <f>IFERROR(__xludf.DUMMYFUNCTION("""COMPUTED_VALUE"""),"K0K 1S0")</f>
        <v>K0K 1S0</v>
      </c>
      <c r="E8530" s="3" t="str">
        <f>IFERROR(__xludf.DUMMYFUNCTION("""COMPUTED_VALUE"""),"Matthew Graydarus")</f>
        <v>Matthew Graydarus</v>
      </c>
      <c r="F8530" s="3"/>
      <c r="G8530" s="3"/>
      <c r="H8530" s="3"/>
    </row>
    <row r="8531">
      <c r="A8531" s="2">
        <f>IFERROR(__xludf.DUMMYFUNCTION("""COMPUTED_VALUE"""),30381.0)</f>
        <v>30381</v>
      </c>
      <c r="B8531" s="3" t="str">
        <f>IFERROR(__xludf.DUMMYFUNCTION("""COMPUTED_VALUE"""),"702 COUNTY 25 RD ")</f>
        <v>702 COUNTY 25 RD </v>
      </c>
      <c r="C8531" s="3" t="str">
        <f>IFERROR(__xludf.DUMMYFUNCTION("""COMPUTED_VALUE"""),"COLBORNE")</f>
        <v>COLBORNE</v>
      </c>
      <c r="D8531" s="3" t="str">
        <f>IFERROR(__xludf.DUMMYFUNCTION("""COMPUTED_VALUE"""),"K0K 1S0")</f>
        <v>K0K 1S0</v>
      </c>
      <c r="E8531" s="3" t="str">
        <f>IFERROR(__xludf.DUMMYFUNCTION("""COMPUTED_VALUE"""),"Dave Watt")</f>
        <v>Dave Watt</v>
      </c>
      <c r="F8531" s="3" t="str">
        <f>IFERROR(__xludf.DUMMYFUNCTION("""COMPUTED_VALUE"""),"N/A")</f>
        <v>N/A</v>
      </c>
      <c r="G8531" s="3">
        <f>IFERROR(__xludf.DUMMYFUNCTION("""COMPUTED_VALUE"""),9.053555678E9)</f>
        <v>9053555678</v>
      </c>
      <c r="H8531" s="3"/>
    </row>
    <row r="8532">
      <c r="A8532" s="2">
        <f>IFERROR(__xludf.DUMMYFUNCTION("""COMPUTED_VALUE"""),31575.0)</f>
        <v>31575</v>
      </c>
      <c r="B8532" s="3" t="str">
        <f>IFERROR(__xludf.DUMMYFUNCTION("""COMPUTED_VALUE"""),"704 COUNTY 25 RD")</f>
        <v>704 COUNTY 25 RD</v>
      </c>
      <c r="C8532" s="3" t="str">
        <f>IFERROR(__xludf.DUMMYFUNCTION("""COMPUTED_VALUE"""),"COLBORNE")</f>
        <v>COLBORNE</v>
      </c>
      <c r="D8532" s="3" t="str">
        <f>IFERROR(__xludf.DUMMYFUNCTION("""COMPUTED_VALUE"""),"K0K 1S0")</f>
        <v>K0K 1S0</v>
      </c>
      <c r="E8532" s="3"/>
      <c r="F8532" s="3"/>
      <c r="G8532" s="3"/>
      <c r="H8532" s="3"/>
    </row>
    <row r="8533">
      <c r="A8533" s="2">
        <f>IFERROR(__xludf.DUMMYFUNCTION("""COMPUTED_VALUE"""),30383.0)</f>
        <v>30383</v>
      </c>
      <c r="B8533" s="3" t="str">
        <f>IFERROR(__xludf.DUMMYFUNCTION("""COMPUTED_VALUE"""),"728 COUNTY 25 RD ")</f>
        <v>728 COUNTY 25 RD </v>
      </c>
      <c r="C8533" s="3" t="str">
        <f>IFERROR(__xludf.DUMMYFUNCTION("""COMPUTED_VALUE"""),"COLBORNE")</f>
        <v>COLBORNE</v>
      </c>
      <c r="D8533" s="3" t="str">
        <f>IFERROR(__xludf.DUMMYFUNCTION("""COMPUTED_VALUE"""),"K0K 1S0")</f>
        <v>K0K 1S0</v>
      </c>
      <c r="E8533" s="3" t="str">
        <f>IFERROR(__xludf.DUMMYFUNCTION("""COMPUTED_VALUE"""),"Bruce Munden")</f>
        <v>Bruce Munden</v>
      </c>
      <c r="F8533" s="3"/>
      <c r="G8533" s="3"/>
      <c r="H8533" s="3"/>
    </row>
    <row r="8534">
      <c r="A8534" s="2">
        <f>IFERROR(__xludf.DUMMYFUNCTION("""COMPUTED_VALUE"""),31576.0)</f>
        <v>31576</v>
      </c>
      <c r="B8534" s="3" t="str">
        <f>IFERROR(__xludf.DUMMYFUNCTION("""COMPUTED_VALUE"""),"730 COUNTY 25 RD")</f>
        <v>730 COUNTY 25 RD</v>
      </c>
      <c r="C8534" s="3" t="str">
        <f>IFERROR(__xludf.DUMMYFUNCTION("""COMPUTED_VALUE"""),"COLBORNE")</f>
        <v>COLBORNE</v>
      </c>
      <c r="D8534" s="3" t="str">
        <f>IFERROR(__xludf.DUMMYFUNCTION("""COMPUTED_VALUE"""),"K0K 1S0")</f>
        <v>K0K 1S0</v>
      </c>
      <c r="E8534" s="3"/>
      <c r="F8534" s="3"/>
      <c r="G8534" s="3"/>
      <c r="H8534" s="3"/>
    </row>
    <row r="8535">
      <c r="A8535" s="2">
        <f>IFERROR(__xludf.DUMMYFUNCTION("""COMPUTED_VALUE"""),30437.0)</f>
        <v>30437</v>
      </c>
      <c r="B8535" s="3" t="str">
        <f>IFERROR(__xludf.DUMMYFUNCTION("""COMPUTED_VALUE"""),"110 COUNTY RD 27")</f>
        <v>110 COUNTY RD 27</v>
      </c>
      <c r="C8535" s="3" t="str">
        <f>IFERROR(__xludf.DUMMYFUNCTION("""COMPUTED_VALUE"""),"CASTLETON")</f>
        <v>CASTLETON</v>
      </c>
      <c r="D8535" s="3" t="str">
        <f>IFERROR(__xludf.DUMMYFUNCTION("""COMPUTED_VALUE"""),"K0K 1M0")</f>
        <v>K0K 1M0</v>
      </c>
      <c r="E8535" s="3" t="str">
        <f>IFERROR(__xludf.DUMMYFUNCTION("""COMPUTED_VALUE"""),"Marsha Francis-Turney")</f>
        <v>Marsha Francis-Turney</v>
      </c>
      <c r="F8535" s="3" t="str">
        <f>IFERROR(__xludf.DUMMYFUNCTION("""COMPUTED_VALUE"""),"marshaturney@xplornet.com")</f>
        <v>marshaturney@xplornet.com</v>
      </c>
      <c r="G8535" s="3">
        <f>IFERROR(__xludf.DUMMYFUNCTION("""COMPUTED_VALUE"""),9.05376965E9)</f>
        <v>9053769650</v>
      </c>
      <c r="H8535" s="3">
        <f>IFERROR(__xludf.DUMMYFUNCTION("""COMPUTED_VALUE"""),9.053736144E9)</f>
        <v>9053736144</v>
      </c>
    </row>
    <row r="8536">
      <c r="A8536" s="2">
        <f>IFERROR(__xludf.DUMMYFUNCTION("""COMPUTED_VALUE"""),30438.0)</f>
        <v>30438</v>
      </c>
      <c r="B8536" s="3" t="str">
        <f>IFERROR(__xludf.DUMMYFUNCTION("""COMPUTED_VALUE"""),"149 COUNTY 27 RD ")</f>
        <v>149 COUNTY 27 RD </v>
      </c>
      <c r="C8536" s="3" t="str">
        <f>IFERROR(__xludf.DUMMYFUNCTION("""COMPUTED_VALUE"""),"CASTLETON")</f>
        <v>CASTLETON</v>
      </c>
      <c r="D8536" s="3" t="str">
        <f>IFERROR(__xludf.DUMMYFUNCTION("""COMPUTED_VALUE"""),"K0K 1M0")</f>
        <v>K0K 1M0</v>
      </c>
      <c r="E8536" s="3" t="str">
        <f>IFERROR(__xludf.DUMMYFUNCTION("""COMPUTED_VALUE"""),"Jennifer L. Cantwell")</f>
        <v>Jennifer L. Cantwell</v>
      </c>
      <c r="F8536" s="3" t="str">
        <f>IFERROR(__xludf.DUMMYFUNCTION("""COMPUTED_VALUE"""),"jennifer_cantwell@hotmail.com")</f>
        <v>jennifer_cantwell@hotmail.com</v>
      </c>
      <c r="G8536" s="3">
        <f>IFERROR(__xludf.DUMMYFUNCTION("""COMPUTED_VALUE"""),4.16420607E9)</f>
        <v>4164206070</v>
      </c>
      <c r="H8536" s="3"/>
    </row>
    <row r="8537">
      <c r="A8537" s="2">
        <f>IFERROR(__xludf.DUMMYFUNCTION("""COMPUTED_VALUE"""),30439.0)</f>
        <v>30439</v>
      </c>
      <c r="B8537" s="3" t="str">
        <f>IFERROR(__xludf.DUMMYFUNCTION("""COMPUTED_VALUE"""),"163 COUNTY 27 RD ")</f>
        <v>163 COUNTY 27 RD </v>
      </c>
      <c r="C8537" s="3" t="str">
        <f>IFERROR(__xludf.DUMMYFUNCTION("""COMPUTED_VALUE"""),"CASTLETON")</f>
        <v>CASTLETON</v>
      </c>
      <c r="D8537" s="3" t="str">
        <f>IFERROR(__xludf.DUMMYFUNCTION("""COMPUTED_VALUE"""),"K0K 1M0")</f>
        <v>K0K 1M0</v>
      </c>
      <c r="E8537" s="3" t="str">
        <f>IFERROR(__xludf.DUMMYFUNCTION("""COMPUTED_VALUE"""),"Kailyn Coupland")</f>
        <v>Kailyn Coupland</v>
      </c>
      <c r="F8537" s="3" t="str">
        <f>IFERROR(__xludf.DUMMYFUNCTION("""COMPUTED_VALUE"""),"kailyn.coupland@gmail.com")</f>
        <v>kailyn.coupland@gmail.com</v>
      </c>
      <c r="G8537" s="3">
        <f>IFERROR(__xludf.DUMMYFUNCTION("""COMPUTED_VALUE"""),9.053964636E9)</f>
        <v>9053964636</v>
      </c>
      <c r="H8537" s="3">
        <f>IFERROR(__xludf.DUMMYFUNCTION("""COMPUTED_VALUE"""),2.898290535E9)</f>
        <v>2898290535</v>
      </c>
    </row>
    <row r="8538">
      <c r="A8538" s="2">
        <f>IFERROR(__xludf.DUMMYFUNCTION("""COMPUTED_VALUE"""),30440.0)</f>
        <v>30440</v>
      </c>
      <c r="B8538" s="3" t="str">
        <f>IFERROR(__xludf.DUMMYFUNCTION("""COMPUTED_VALUE"""),"164 COUNTY RD 27")</f>
        <v>164 COUNTY RD 27</v>
      </c>
      <c r="C8538" s="3" t="str">
        <f>IFERROR(__xludf.DUMMYFUNCTION("""COMPUTED_VALUE"""),"CASTLETON")</f>
        <v>CASTLETON</v>
      </c>
      <c r="D8538" s="3" t="str">
        <f>IFERROR(__xludf.DUMMYFUNCTION("""COMPUTED_VALUE"""),"K0K 1M0")</f>
        <v>K0K 1M0</v>
      </c>
      <c r="E8538" s="3" t="str">
        <f>IFERROR(__xludf.DUMMYFUNCTION("""COMPUTED_VALUE"""),"David D. Turney")</f>
        <v>David D. Turney</v>
      </c>
      <c r="F8538" s="3" t="str">
        <f>IFERROR(__xludf.DUMMYFUNCTION("""COMPUTED_VALUE"""),"dlturney60@gmail.com")</f>
        <v>dlturney60@gmail.com</v>
      </c>
      <c r="G8538" s="3">
        <f>IFERROR(__xludf.DUMMYFUNCTION("""COMPUTED_VALUE"""),9.053447426E9)</f>
        <v>9053447426</v>
      </c>
      <c r="H8538" s="3"/>
    </row>
    <row r="8539">
      <c r="A8539" s="2">
        <f>IFERROR(__xludf.DUMMYFUNCTION("""COMPUTED_VALUE"""),30441.0)</f>
        <v>30441</v>
      </c>
      <c r="B8539" s="3" t="str">
        <f>IFERROR(__xludf.DUMMYFUNCTION("""COMPUTED_VALUE"""),"374 COUNTY 27 RD ")</f>
        <v>374 COUNTY 27 RD </v>
      </c>
      <c r="C8539" s="3" t="str">
        <f>IFERROR(__xludf.DUMMYFUNCTION("""COMPUTED_VALUE"""),"CASTLETON")</f>
        <v>CASTLETON</v>
      </c>
      <c r="D8539" s="3" t="str">
        <f>IFERROR(__xludf.DUMMYFUNCTION("""COMPUTED_VALUE"""),"K0K 1M0")</f>
        <v>K0K 1M0</v>
      </c>
      <c r="E8539" s="3" t="str">
        <f>IFERROR(__xludf.DUMMYFUNCTION("""COMPUTED_VALUE"""),"Ashley Miedema")</f>
        <v>Ashley Miedema</v>
      </c>
      <c r="F8539" s="3" t="str">
        <f>IFERROR(__xludf.DUMMYFUNCTION("""COMPUTED_VALUE"""),"jmiedemafarms@gmail.com")</f>
        <v>jmiedemafarms@gmail.com</v>
      </c>
      <c r="G8539" s="3">
        <f>IFERROR(__xludf.DUMMYFUNCTION("""COMPUTED_VALUE"""),7.059282181E9)</f>
        <v>7059282181</v>
      </c>
      <c r="H8539" s="3"/>
    </row>
    <row r="8540">
      <c r="A8540" s="2">
        <f>IFERROR(__xludf.DUMMYFUNCTION("""COMPUTED_VALUE"""),30442.0)</f>
        <v>30442</v>
      </c>
      <c r="B8540" s="3" t="str">
        <f>IFERROR(__xludf.DUMMYFUNCTION("""COMPUTED_VALUE"""),"399 COUNTY 27 RD ")</f>
        <v>399 COUNTY 27 RD </v>
      </c>
      <c r="C8540" s="3" t="str">
        <f>IFERROR(__xludf.DUMMYFUNCTION("""COMPUTED_VALUE"""),"CASTLETON")</f>
        <v>CASTLETON</v>
      </c>
      <c r="D8540" s="3" t="str">
        <f>IFERROR(__xludf.DUMMYFUNCTION("""COMPUTED_VALUE"""),"K0K 1M0")</f>
        <v>K0K 1M0</v>
      </c>
      <c r="E8540" s="3" t="str">
        <f>IFERROR(__xludf.DUMMYFUNCTION("""COMPUTED_VALUE"""),"Shari Spier")</f>
        <v>Shari Spier</v>
      </c>
      <c r="F8540" s="3" t="str">
        <f>IFERROR(__xludf.DUMMYFUNCTION("""COMPUTED_VALUE"""),"shari.spier@icloud.com")</f>
        <v>shari.spier@icloud.com</v>
      </c>
      <c r="G8540" s="3">
        <f>IFERROR(__xludf.DUMMYFUNCTION("""COMPUTED_VALUE"""),4.169943108E9)</f>
        <v>4169943108</v>
      </c>
      <c r="H8540" s="3"/>
    </row>
    <row r="8541">
      <c r="A8541" s="2">
        <f>IFERROR(__xludf.DUMMYFUNCTION("""COMPUTED_VALUE"""),30443.0)</f>
        <v>30443</v>
      </c>
      <c r="B8541" s="3" t="str">
        <f>IFERROR(__xludf.DUMMYFUNCTION("""COMPUTED_VALUE"""),"555 COUNTY 27 RD ")</f>
        <v>555 COUNTY 27 RD </v>
      </c>
      <c r="C8541" s="3" t="str">
        <f>IFERROR(__xludf.DUMMYFUNCTION("""COMPUTED_VALUE"""),"CASTLETON")</f>
        <v>CASTLETON</v>
      </c>
      <c r="D8541" s="3" t="str">
        <f>IFERROR(__xludf.DUMMYFUNCTION("""COMPUTED_VALUE"""),"K0K 1M0")</f>
        <v>K0K 1M0</v>
      </c>
      <c r="E8541" s="3"/>
      <c r="F8541" s="3"/>
      <c r="G8541" s="3"/>
      <c r="H8541" s="3"/>
    </row>
    <row r="8542">
      <c r="A8542" s="2">
        <f>IFERROR(__xludf.DUMMYFUNCTION("""COMPUTED_VALUE"""),30447.0)</f>
        <v>30447</v>
      </c>
      <c r="B8542" s="3" t="str">
        <f>IFERROR(__xludf.DUMMYFUNCTION("""COMPUTED_VALUE"""),"600 COWIE RD ")</f>
        <v>600 COWIE RD </v>
      </c>
      <c r="C8542" s="3" t="str">
        <f>IFERROR(__xludf.DUMMYFUNCTION("""COMPUTED_VALUE"""),"CASTLETON")</f>
        <v>CASTLETON</v>
      </c>
      <c r="D8542" s="3" t="str">
        <f>IFERROR(__xludf.DUMMYFUNCTION("""COMPUTED_VALUE"""),"K0K 1M0")</f>
        <v>K0K 1M0</v>
      </c>
      <c r="E8542" s="3" t="str">
        <f>IFERROR(__xludf.DUMMYFUNCTION("""COMPUTED_VALUE"""),"Mike Lazette")</f>
        <v>Mike Lazette</v>
      </c>
      <c r="F8542" s="3" t="str">
        <f>IFERROR(__xludf.DUMMYFUNCTION("""COMPUTED_VALUE"""),"milaze99@hotmail.com")</f>
        <v>milaze99@hotmail.com</v>
      </c>
      <c r="G8542" s="3"/>
      <c r="H8542" s="3"/>
    </row>
    <row r="8543">
      <c r="A8543" s="2">
        <f>IFERROR(__xludf.DUMMYFUNCTION("""COMPUTED_VALUE"""),30448.0)</f>
        <v>30448</v>
      </c>
      <c r="B8543" s="3" t="str">
        <f>IFERROR(__xludf.DUMMYFUNCTION("""COMPUTED_VALUE"""),"605 COWIE RD ")</f>
        <v>605 COWIE RD </v>
      </c>
      <c r="C8543" s="3" t="str">
        <f>IFERROR(__xludf.DUMMYFUNCTION("""COMPUTED_VALUE"""),"CASTLETON")</f>
        <v>CASTLETON</v>
      </c>
      <c r="D8543" s="3" t="str">
        <f>IFERROR(__xludf.DUMMYFUNCTION("""COMPUTED_VALUE"""),"K0K 1M0")</f>
        <v>K0K 1M0</v>
      </c>
      <c r="E8543" s="3" t="str">
        <f>IFERROR(__xludf.DUMMYFUNCTION("""COMPUTED_VALUE"""),"Joanne Titus")</f>
        <v>Joanne Titus</v>
      </c>
      <c r="F8543" s="3" t="str">
        <f>IFERROR(__xludf.DUMMYFUNCTION("""COMPUTED_VALUE"""),"garyandjoannetitus@gmail.com")</f>
        <v>garyandjoannetitus@gmail.com</v>
      </c>
      <c r="G8543" s="3">
        <f>IFERROR(__xludf.DUMMYFUNCTION("""COMPUTED_VALUE"""),9.053447484E9)</f>
        <v>9053447484</v>
      </c>
      <c r="H8543" s="3"/>
    </row>
    <row r="8544">
      <c r="A8544" s="2">
        <f>IFERROR(__xludf.DUMMYFUNCTION("""COMPUTED_VALUE"""),30449.0)</f>
        <v>30449</v>
      </c>
      <c r="B8544" s="3" t="str">
        <f>IFERROR(__xludf.DUMMYFUNCTION("""COMPUTED_VALUE"""),"626 COWIE RD ")</f>
        <v>626 COWIE RD </v>
      </c>
      <c r="C8544" s="3" t="str">
        <f>IFERROR(__xludf.DUMMYFUNCTION("""COMPUTED_VALUE"""),"CASTLETON")</f>
        <v>CASTLETON</v>
      </c>
      <c r="D8544" s="3" t="str">
        <f>IFERROR(__xludf.DUMMYFUNCTION("""COMPUTED_VALUE"""),"K0K 1M0")</f>
        <v>K0K 1M0</v>
      </c>
      <c r="E8544" s="3" t="str">
        <f>IFERROR(__xludf.DUMMYFUNCTION("""COMPUTED_VALUE"""),"Gladys Leclerc")</f>
        <v>Gladys Leclerc</v>
      </c>
      <c r="F8544" s="3" t="str">
        <f>IFERROR(__xludf.DUMMYFUNCTION("""COMPUTED_VALUE"""),"gladysleclerc052@gmail.com")</f>
        <v>gladysleclerc052@gmail.com</v>
      </c>
      <c r="G8544" s="3">
        <f>IFERROR(__xludf.DUMMYFUNCTION("""COMPUTED_VALUE"""),9.052697218E9)</f>
        <v>9052697218</v>
      </c>
      <c r="H8544" s="3"/>
    </row>
    <row r="8545">
      <c r="A8545" s="2">
        <f>IFERROR(__xludf.DUMMYFUNCTION("""COMPUTED_VALUE"""),30450.0)</f>
        <v>30450</v>
      </c>
      <c r="B8545" s="3" t="str">
        <f>IFERROR(__xludf.DUMMYFUNCTION("""COMPUTED_VALUE"""),"640 COWIE RD ")</f>
        <v>640 COWIE RD </v>
      </c>
      <c r="C8545" s="3" t="str">
        <f>IFERROR(__xludf.DUMMYFUNCTION("""COMPUTED_VALUE"""),"CASTLETON")</f>
        <v>CASTLETON</v>
      </c>
      <c r="D8545" s="3" t="str">
        <f>IFERROR(__xludf.DUMMYFUNCTION("""COMPUTED_VALUE"""),"K0K 1M0")</f>
        <v>K0K 1M0</v>
      </c>
      <c r="E8545" s="3" t="str">
        <f>IFERROR(__xludf.DUMMYFUNCTION("""COMPUTED_VALUE"""),"Alicia Woods")</f>
        <v>Alicia Woods</v>
      </c>
      <c r="F8545" s="3" t="str">
        <f>IFERROR(__xludf.DUMMYFUNCTION("""COMPUTED_VALUE"""),"woodsac19@gmail.com")</f>
        <v>woodsac19@gmail.com</v>
      </c>
      <c r="G8545" s="3">
        <f>IFERROR(__xludf.DUMMYFUNCTION("""COMPUTED_VALUE"""),9.05396122E9)</f>
        <v>9053961220</v>
      </c>
      <c r="H8545" s="3"/>
    </row>
    <row r="8546">
      <c r="A8546" s="2">
        <f>IFERROR(__xludf.DUMMYFUNCTION("""COMPUTED_VALUE"""),30451.0)</f>
        <v>30451</v>
      </c>
      <c r="B8546" s="3" t="str">
        <f>IFERROR(__xludf.DUMMYFUNCTION("""COMPUTED_VALUE"""),"652 COWIE RD ")</f>
        <v>652 COWIE RD </v>
      </c>
      <c r="C8546" s="3" t="str">
        <f>IFERROR(__xludf.DUMMYFUNCTION("""COMPUTED_VALUE"""),"CASTLETON")</f>
        <v>CASTLETON</v>
      </c>
      <c r="D8546" s="3" t="str">
        <f>IFERROR(__xludf.DUMMYFUNCTION("""COMPUTED_VALUE"""),"K0K 1M0")</f>
        <v>K0K 1M0</v>
      </c>
      <c r="E8546" s="3" t="str">
        <f>IFERROR(__xludf.DUMMYFUNCTION("""COMPUTED_VALUE"""),"Matthew Crisp")</f>
        <v>Matthew Crisp</v>
      </c>
      <c r="F8546" s="3" t="str">
        <f>IFERROR(__xludf.DUMMYFUNCTION("""COMPUTED_VALUE"""),"mathewcrisp@gmail.com")</f>
        <v>mathewcrisp@gmail.com</v>
      </c>
      <c r="G8546" s="3">
        <f>IFERROR(__xludf.DUMMYFUNCTION("""COMPUTED_VALUE"""),6.137913672E9)</f>
        <v>6137913672</v>
      </c>
      <c r="H8546" s="3"/>
    </row>
    <row r="8547">
      <c r="A8547" s="2">
        <f>IFERROR(__xludf.DUMMYFUNCTION("""COMPUTED_VALUE"""),30452.0)</f>
        <v>30452</v>
      </c>
      <c r="B8547" s="3" t="str">
        <f>IFERROR(__xludf.DUMMYFUNCTION("""COMPUTED_VALUE"""),"981 COWIE RD ")</f>
        <v>981 COWIE RD </v>
      </c>
      <c r="C8547" s="3" t="str">
        <f>IFERROR(__xludf.DUMMYFUNCTION("""COMPUTED_VALUE"""),"CASTLETON")</f>
        <v>CASTLETON</v>
      </c>
      <c r="D8547" s="3" t="str">
        <f>IFERROR(__xludf.DUMMYFUNCTION("""COMPUTED_VALUE"""),"K0K 1M0")</f>
        <v>K0K 1M0</v>
      </c>
      <c r="E8547" s="3"/>
      <c r="F8547" s="3"/>
      <c r="G8547" s="3"/>
      <c r="H8547" s="3"/>
    </row>
    <row r="8548">
      <c r="A8548" s="2">
        <f>IFERROR(__xludf.DUMMYFUNCTION("""COMPUTED_VALUE"""),30453.0)</f>
        <v>30453</v>
      </c>
      <c r="B8548" s="3" t="str">
        <f>IFERROR(__xludf.DUMMYFUNCTION("""COMPUTED_VALUE"""),"1090 COWIE RD ")</f>
        <v>1090 COWIE RD </v>
      </c>
      <c r="C8548" s="3" t="str">
        <f>IFERROR(__xludf.DUMMYFUNCTION("""COMPUTED_VALUE"""),"CASTLETON")</f>
        <v>CASTLETON</v>
      </c>
      <c r="D8548" s="3" t="str">
        <f>IFERROR(__xludf.DUMMYFUNCTION("""COMPUTED_VALUE"""),"K0K 1M0")</f>
        <v>K0K 1M0</v>
      </c>
      <c r="E8548" s="3" t="str">
        <f>IFERROR(__xludf.DUMMYFUNCTION("""COMPUTED_VALUE"""),"Lianne Blanchard")</f>
        <v>Lianne Blanchard</v>
      </c>
      <c r="F8548" s="3" t="str">
        <f>IFERROR(__xludf.DUMMYFUNCTION("""COMPUTED_VALUE"""),"lblanchard1963@gmail.com")</f>
        <v>lblanchard1963@gmail.com</v>
      </c>
      <c r="G8548" s="3">
        <f>IFERROR(__xludf.DUMMYFUNCTION("""COMPUTED_VALUE"""),2.89251493E9)</f>
        <v>2892514930</v>
      </c>
      <c r="H8548" s="3"/>
    </row>
    <row r="8549">
      <c r="A8549" s="2">
        <f>IFERROR(__xludf.DUMMYFUNCTION("""COMPUTED_VALUE"""),30454.0)</f>
        <v>30454</v>
      </c>
      <c r="B8549" s="3" t="str">
        <f>IFERROR(__xludf.DUMMYFUNCTION("""COMPUTED_VALUE"""),"1100 COWIE RD ")</f>
        <v>1100 COWIE RD </v>
      </c>
      <c r="C8549" s="3" t="str">
        <f>IFERROR(__xludf.DUMMYFUNCTION("""COMPUTED_VALUE"""),"CASTLETON")</f>
        <v>CASTLETON</v>
      </c>
      <c r="D8549" s="3" t="str">
        <f>IFERROR(__xludf.DUMMYFUNCTION("""COMPUTED_VALUE"""),"K0K 1M0")</f>
        <v>K0K 1M0</v>
      </c>
      <c r="E8549" s="3"/>
      <c r="F8549" s="3"/>
      <c r="G8549" s="3"/>
      <c r="H8549" s="3"/>
    </row>
    <row r="8550">
      <c r="A8550" s="2">
        <f>IFERROR(__xludf.DUMMYFUNCTION("""COMPUTED_VALUE"""),30455.0)</f>
        <v>30455</v>
      </c>
      <c r="B8550" s="3" t="str">
        <f>IFERROR(__xludf.DUMMYFUNCTION("""COMPUTED_VALUE"""),"1114 COWIE RD ")</f>
        <v>1114 COWIE RD </v>
      </c>
      <c r="C8550" s="3" t="str">
        <f>IFERROR(__xludf.DUMMYFUNCTION("""COMPUTED_VALUE"""),"CASTLETON")</f>
        <v>CASTLETON</v>
      </c>
      <c r="D8550" s="3" t="str">
        <f>IFERROR(__xludf.DUMMYFUNCTION("""COMPUTED_VALUE"""),"K0K 1M0")</f>
        <v>K0K 1M0</v>
      </c>
      <c r="E8550" s="3" t="str">
        <f>IFERROR(__xludf.DUMMYFUNCTION("""COMPUTED_VALUE"""),"Greg Parsons")</f>
        <v>Greg Parsons</v>
      </c>
      <c r="F8550" s="3" t="str">
        <f>IFERROR(__xludf.DUMMYFUNCTION("""COMPUTED_VALUE"""),"parsons.greg67@gmail.com")</f>
        <v>parsons.greg67@gmail.com</v>
      </c>
      <c r="G8550" s="3">
        <f>IFERROR(__xludf.DUMMYFUNCTION("""COMPUTED_VALUE"""),2.894047298E9)</f>
        <v>2894047298</v>
      </c>
      <c r="H8550" s="3"/>
    </row>
    <row r="8551">
      <c r="A8551" s="2">
        <f>IFERROR(__xludf.DUMMYFUNCTION("""COMPUTED_VALUE"""),30456.0)</f>
        <v>30456</v>
      </c>
      <c r="B8551" s="3" t="str">
        <f>IFERROR(__xludf.DUMMYFUNCTION("""COMPUTED_VALUE"""),"1130 COWIE RD ")</f>
        <v>1130 COWIE RD </v>
      </c>
      <c r="C8551" s="3" t="str">
        <f>IFERROR(__xludf.DUMMYFUNCTION("""COMPUTED_VALUE"""),"CASTLETON")</f>
        <v>CASTLETON</v>
      </c>
      <c r="D8551" s="3" t="str">
        <f>IFERROR(__xludf.DUMMYFUNCTION("""COMPUTED_VALUE"""),"K0K 1M0")</f>
        <v>K0K 1M0</v>
      </c>
      <c r="E8551" s="3" t="str">
        <f>IFERROR(__xludf.DUMMYFUNCTION("""COMPUTED_VALUE"""),"Ken Organ")</f>
        <v>Ken Organ</v>
      </c>
      <c r="F8551" s="3" t="str">
        <f>IFERROR(__xludf.DUMMYFUNCTION("""COMPUTED_VALUE"""),"ken.organ@hotmail.com")</f>
        <v>ken.organ@hotmail.com</v>
      </c>
      <c r="G8551" s="3">
        <f>IFERROR(__xludf.DUMMYFUNCTION("""COMPUTED_VALUE"""),9.053758933E9)</f>
        <v>9053758933</v>
      </c>
      <c r="H8551" s="3"/>
    </row>
    <row r="8552">
      <c r="A8552" s="2">
        <f>IFERROR(__xludf.DUMMYFUNCTION("""COMPUTED_VALUE"""),30457.0)</f>
        <v>30457</v>
      </c>
      <c r="B8552" s="3" t="str">
        <f>IFERROR(__xludf.DUMMYFUNCTION("""COMPUTED_VALUE"""),"107 CRAIG RD ")</f>
        <v>107 CRAIG RD </v>
      </c>
      <c r="C8552" s="3" t="str">
        <f>IFERROR(__xludf.DUMMYFUNCTION("""COMPUTED_VALUE"""),"COBOURG")</f>
        <v>COBOURG</v>
      </c>
      <c r="D8552" s="3" t="str">
        <f>IFERROR(__xludf.DUMMYFUNCTION("""COMPUTED_VALUE"""),"K9A 4J8")</f>
        <v>K9A 4J8</v>
      </c>
      <c r="E8552" s="3" t="str">
        <f>IFERROR(__xludf.DUMMYFUNCTION("""COMPUTED_VALUE"""),"Nichola Wojnicz")</f>
        <v>Nichola Wojnicz</v>
      </c>
      <c r="F8552" s="3" t="str">
        <f>IFERROR(__xludf.DUMMYFUNCTION("""COMPUTED_VALUE"""),"nichola.wojnicz@gmail.com")</f>
        <v>nichola.wojnicz@gmail.com</v>
      </c>
      <c r="G8552" s="3"/>
      <c r="H8552" s="3"/>
    </row>
    <row r="8553">
      <c r="A8553" s="2">
        <f>IFERROR(__xludf.DUMMYFUNCTION("""COMPUTED_VALUE"""),30458.0)</f>
        <v>30458</v>
      </c>
      <c r="B8553" s="3" t="str">
        <f>IFERROR(__xludf.DUMMYFUNCTION("""COMPUTED_VALUE"""),"116 CRAIG RD ")</f>
        <v>116 CRAIG RD </v>
      </c>
      <c r="C8553" s="3" t="str">
        <f>IFERROR(__xludf.DUMMYFUNCTION("""COMPUTED_VALUE"""),"COBOURG")</f>
        <v>COBOURG</v>
      </c>
      <c r="D8553" s="3" t="str">
        <f>IFERROR(__xludf.DUMMYFUNCTION("""COMPUTED_VALUE"""),"K9A 4J8")</f>
        <v>K9A 4J8</v>
      </c>
      <c r="E8553" s="3" t="str">
        <f>IFERROR(__xludf.DUMMYFUNCTION("""COMPUTED_VALUE"""),"Mike Crow")</f>
        <v>Mike Crow</v>
      </c>
      <c r="F8553" s="3"/>
      <c r="G8553" s="3">
        <f>IFERROR(__xludf.DUMMYFUNCTION("""COMPUTED_VALUE"""),2.892511592E9)</f>
        <v>2892511592</v>
      </c>
      <c r="H8553" s="3"/>
    </row>
    <row r="8554">
      <c r="A8554" s="2">
        <f>IFERROR(__xludf.DUMMYFUNCTION("""COMPUTED_VALUE"""),30459.0)</f>
        <v>30459</v>
      </c>
      <c r="B8554" s="3" t="str">
        <f>IFERROR(__xludf.DUMMYFUNCTION("""COMPUTED_VALUE"""),"167 CRAIG RD ")</f>
        <v>167 CRAIG RD </v>
      </c>
      <c r="C8554" s="3" t="str">
        <f>IFERROR(__xludf.DUMMYFUNCTION("""COMPUTED_VALUE"""),"COBOURG")</f>
        <v>COBOURG</v>
      </c>
      <c r="D8554" s="3" t="str">
        <f>IFERROR(__xludf.DUMMYFUNCTION("""COMPUTED_VALUE"""),"K9A 4J8")</f>
        <v>K9A 4J8</v>
      </c>
      <c r="E8554" s="3"/>
      <c r="F8554" s="3"/>
      <c r="G8554" s="3"/>
      <c r="H8554" s="3"/>
    </row>
    <row r="8555">
      <c r="A8555" s="2">
        <f>IFERROR(__xludf.DUMMYFUNCTION("""COMPUTED_VALUE"""),30460.0)</f>
        <v>30460</v>
      </c>
      <c r="B8555" s="3" t="str">
        <f>IFERROR(__xludf.DUMMYFUNCTION("""COMPUTED_VALUE"""),"173 CRAIG RD ")</f>
        <v>173 CRAIG RD </v>
      </c>
      <c r="C8555" s="3" t="str">
        <f>IFERROR(__xludf.DUMMYFUNCTION("""COMPUTED_VALUE"""),"COBOURG")</f>
        <v>COBOURG</v>
      </c>
      <c r="D8555" s="3" t="str">
        <f>IFERROR(__xludf.DUMMYFUNCTION("""COMPUTED_VALUE"""),"K9A 4J8")</f>
        <v>K9A 4J8</v>
      </c>
      <c r="E8555" s="3" t="str">
        <f>IFERROR(__xludf.DUMMYFUNCTION("""COMPUTED_VALUE"""),"Andrew Wright")</f>
        <v>Andrew Wright</v>
      </c>
      <c r="F8555" s="3" t="str">
        <f>IFERROR(__xludf.DUMMYFUNCTION("""COMPUTED_VALUE"""),"andyw724@gmail.com")</f>
        <v>andyw724@gmail.com</v>
      </c>
      <c r="G8555" s="3">
        <f>IFERROR(__xludf.DUMMYFUNCTION("""COMPUTED_VALUE"""),9.053726133E9)</f>
        <v>9053726133</v>
      </c>
      <c r="H8555" s="3">
        <f>IFERROR(__xludf.DUMMYFUNCTION("""COMPUTED_VALUE"""),4.169196433E9)</f>
        <v>4169196433</v>
      </c>
    </row>
    <row r="8556">
      <c r="A8556" s="2">
        <f>IFERROR(__xludf.DUMMYFUNCTION("""COMPUTED_VALUE"""),30461.0)</f>
        <v>30461</v>
      </c>
      <c r="B8556" s="3" t="str">
        <f>IFERROR(__xludf.DUMMYFUNCTION("""COMPUTED_VALUE"""),"255 CRAIG RD ")</f>
        <v>255 CRAIG RD </v>
      </c>
      <c r="C8556" s="3" t="str">
        <f>IFERROR(__xludf.DUMMYFUNCTION("""COMPUTED_VALUE"""),"COBOURG")</f>
        <v>COBOURG</v>
      </c>
      <c r="D8556" s="3" t="str">
        <f>IFERROR(__xludf.DUMMYFUNCTION("""COMPUTED_VALUE"""),"K9A 4J8")</f>
        <v>K9A 4J8</v>
      </c>
      <c r="E8556" s="3" t="str">
        <f>IFERROR(__xludf.DUMMYFUNCTION("""COMPUTED_VALUE"""),"CAROL SKILLEN")</f>
        <v>CAROL SKILLEN</v>
      </c>
      <c r="F8556" s="3" t="str">
        <f>IFERROR(__xludf.DUMMYFUNCTION("""COMPUTED_VALUE"""),"jskillen81@me.com")</f>
        <v>jskillen81@me.com</v>
      </c>
      <c r="G8556" s="3"/>
      <c r="H8556" s="3"/>
    </row>
    <row r="8557">
      <c r="A8557" s="2">
        <f>IFERROR(__xludf.DUMMYFUNCTION("""COMPUTED_VALUE"""),30462.0)</f>
        <v>30462</v>
      </c>
      <c r="B8557" s="3" t="str">
        <f>IFERROR(__xludf.DUMMYFUNCTION("""COMPUTED_VALUE"""),"256 CRAIG RD ")</f>
        <v>256 CRAIG RD </v>
      </c>
      <c r="C8557" s="3" t="str">
        <f>IFERROR(__xludf.DUMMYFUNCTION("""COMPUTED_VALUE"""),"COBOURG")</f>
        <v>COBOURG</v>
      </c>
      <c r="D8557" s="3" t="str">
        <f>IFERROR(__xludf.DUMMYFUNCTION("""COMPUTED_VALUE"""),"K9A 4J8")</f>
        <v>K9A 4J8</v>
      </c>
      <c r="E8557" s="3"/>
      <c r="F8557" s="3"/>
      <c r="G8557" s="3"/>
      <c r="H8557" s="3"/>
    </row>
    <row r="8558">
      <c r="A8558" s="2">
        <f>IFERROR(__xludf.DUMMYFUNCTION("""COMPUTED_VALUE"""),30470.0)</f>
        <v>30470</v>
      </c>
      <c r="B8558" s="3" t="str">
        <f>IFERROR(__xludf.DUMMYFUNCTION("""COMPUTED_VALUE"""),"158 CREIGHTON'S HILL RD ")</f>
        <v>158 CREIGHTON'S HILL RD </v>
      </c>
      <c r="C8558" s="3" t="str">
        <f>IFERROR(__xludf.DUMMYFUNCTION("""COMPUTED_VALUE"""),"GRAFTON")</f>
        <v>GRAFTON</v>
      </c>
      <c r="D8558" s="3" t="str">
        <f>IFERROR(__xludf.DUMMYFUNCTION("""COMPUTED_VALUE"""),"K0K 2G0")</f>
        <v>K0K 2G0</v>
      </c>
      <c r="E8558" s="3" t="str">
        <f>IFERROR(__xludf.DUMMYFUNCTION("""COMPUTED_VALUE"""),"Rosemary Broomfield")</f>
        <v>Rosemary Broomfield</v>
      </c>
      <c r="F8558" s="3"/>
      <c r="G8558" s="3">
        <f>IFERROR(__xludf.DUMMYFUNCTION("""COMPUTED_VALUE"""),9.053492657E9)</f>
        <v>9053492657</v>
      </c>
      <c r="H8558" s="3"/>
    </row>
    <row r="8559">
      <c r="A8559" s="2">
        <f>IFERROR(__xludf.DUMMYFUNCTION("""COMPUTED_VALUE"""),30471.0)</f>
        <v>30471</v>
      </c>
      <c r="B8559" s="3" t="str">
        <f>IFERROR(__xludf.DUMMYFUNCTION("""COMPUTED_VALUE"""),"10255 DANFORTH RD ")</f>
        <v>10255 DANFORTH RD </v>
      </c>
      <c r="C8559" s="3" t="str">
        <f>IFERROR(__xludf.DUMMYFUNCTION("""COMPUTED_VALUE"""),"COBOURG")</f>
        <v>COBOURG</v>
      </c>
      <c r="D8559" s="3" t="str">
        <f>IFERROR(__xludf.DUMMYFUNCTION("""COMPUTED_VALUE"""),"K9A 4J8")</f>
        <v>K9A 4J8</v>
      </c>
      <c r="E8559" s="3"/>
      <c r="F8559" s="3"/>
      <c r="G8559" s="3"/>
      <c r="H8559" s="3"/>
    </row>
    <row r="8560">
      <c r="A8560" s="2">
        <f>IFERROR(__xludf.DUMMYFUNCTION("""COMPUTED_VALUE"""),30472.0)</f>
        <v>30472</v>
      </c>
      <c r="B8560" s="3" t="str">
        <f>IFERROR(__xludf.DUMMYFUNCTION("""COMPUTED_VALUE"""),"10256 DANFORTH RD ")</f>
        <v>10256 DANFORTH RD </v>
      </c>
      <c r="C8560" s="3" t="str">
        <f>IFERROR(__xludf.DUMMYFUNCTION("""COMPUTED_VALUE"""),"COBOURG")</f>
        <v>COBOURG</v>
      </c>
      <c r="D8560" s="3" t="str">
        <f>IFERROR(__xludf.DUMMYFUNCTION("""COMPUTED_VALUE"""),"K9A 4J8")</f>
        <v>K9A 4J8</v>
      </c>
      <c r="E8560" s="3" t="str">
        <f>IFERROR(__xludf.DUMMYFUNCTION("""COMPUTED_VALUE"""),"Garry Simpson")</f>
        <v>Garry Simpson</v>
      </c>
      <c r="F8560" s="3"/>
      <c r="G8560" s="3">
        <f>IFERROR(__xludf.DUMMYFUNCTION("""COMPUTED_VALUE"""),9.05349349E9)</f>
        <v>9053493490</v>
      </c>
      <c r="H8560" s="3"/>
    </row>
    <row r="8561">
      <c r="A8561" s="2">
        <f>IFERROR(__xludf.DUMMYFUNCTION("""COMPUTED_VALUE"""),30473.0)</f>
        <v>30473</v>
      </c>
      <c r="B8561" s="3" t="str">
        <f>IFERROR(__xludf.DUMMYFUNCTION("""COMPUTED_VALUE"""),"10259 DANFORTH RD ")</f>
        <v>10259 DANFORTH RD </v>
      </c>
      <c r="C8561" s="3" t="str">
        <f>IFERROR(__xludf.DUMMYFUNCTION("""COMPUTED_VALUE"""),"COBOURG")</f>
        <v>COBOURG</v>
      </c>
      <c r="D8561" s="3" t="str">
        <f>IFERROR(__xludf.DUMMYFUNCTION("""COMPUTED_VALUE"""),"K9A 4J8")</f>
        <v>K9A 4J8</v>
      </c>
      <c r="E8561" s="3"/>
      <c r="F8561" s="3"/>
      <c r="G8561" s="3"/>
      <c r="H8561" s="3"/>
    </row>
    <row r="8562">
      <c r="A8562" s="2">
        <f>IFERROR(__xludf.DUMMYFUNCTION("""COMPUTED_VALUE"""),30474.0)</f>
        <v>30474</v>
      </c>
      <c r="B8562" s="3" t="str">
        <f>IFERROR(__xludf.DUMMYFUNCTION("""COMPUTED_VALUE"""),"10266 DANFORTH RD ")</f>
        <v>10266 DANFORTH RD </v>
      </c>
      <c r="C8562" s="3" t="str">
        <f>IFERROR(__xludf.DUMMYFUNCTION("""COMPUTED_VALUE"""),"COBOURG")</f>
        <v>COBOURG</v>
      </c>
      <c r="D8562" s="3" t="str">
        <f>IFERROR(__xludf.DUMMYFUNCTION("""COMPUTED_VALUE"""),"K9A 4J8")</f>
        <v>K9A 4J8</v>
      </c>
      <c r="E8562" s="3" t="str">
        <f>IFERROR(__xludf.DUMMYFUNCTION("""COMPUTED_VALUE"""),"Ritza Tammy")</f>
        <v>Ritza Tammy</v>
      </c>
      <c r="F8562" s="3"/>
      <c r="G8562" s="3">
        <f>IFERROR(__xludf.DUMMYFUNCTION("""COMPUTED_VALUE"""),9.053732384E9)</f>
        <v>9053732384</v>
      </c>
      <c r="H8562" s="3"/>
    </row>
    <row r="8563">
      <c r="A8563" s="2">
        <f>IFERROR(__xludf.DUMMYFUNCTION("""COMPUTED_VALUE"""),30475.0)</f>
        <v>30475</v>
      </c>
      <c r="B8563" s="3" t="str">
        <f>IFERROR(__xludf.DUMMYFUNCTION("""COMPUTED_VALUE"""),"10318 DANFORTH RD ")</f>
        <v>10318 DANFORTH RD </v>
      </c>
      <c r="C8563" s="3" t="str">
        <f>IFERROR(__xludf.DUMMYFUNCTION("""COMPUTED_VALUE"""),"COBOURG")</f>
        <v>COBOURG</v>
      </c>
      <c r="D8563" s="3" t="str">
        <f>IFERROR(__xludf.DUMMYFUNCTION("""COMPUTED_VALUE"""),"K9A 4J8")</f>
        <v>K9A 4J8</v>
      </c>
      <c r="E8563" s="3" t="str">
        <f>IFERROR(__xludf.DUMMYFUNCTION("""COMPUTED_VALUE"""),"HEATHER BOUDREAU")</f>
        <v>HEATHER BOUDREAU</v>
      </c>
      <c r="F8563" s="3" t="str">
        <f>IFERROR(__xludf.DUMMYFUNCTION("""COMPUTED_VALUE"""),"Heatherbboudreau@gmail.com")</f>
        <v>Heatherbboudreau@gmail.com</v>
      </c>
      <c r="G8563" s="3"/>
      <c r="H8563" s="3"/>
    </row>
    <row r="8564">
      <c r="A8564" s="2">
        <f>IFERROR(__xludf.DUMMYFUNCTION("""COMPUTED_VALUE"""),31555.0)</f>
        <v>31555</v>
      </c>
      <c r="B8564" s="3" t="str">
        <f>IFERROR(__xludf.DUMMYFUNCTION("""COMPUTED_VALUE"""),"675 DARLING RD")</f>
        <v>675 DARLING RD</v>
      </c>
      <c r="C8564" s="3" t="str">
        <f>IFERROR(__xludf.DUMMYFUNCTION("""COMPUTED_VALUE"""),"WARKWORTH")</f>
        <v>WARKWORTH</v>
      </c>
      <c r="D8564" s="3" t="str">
        <f>IFERROR(__xludf.DUMMYFUNCTION("""COMPUTED_VALUE"""),"K0K 3K0")</f>
        <v>K0K 3K0</v>
      </c>
      <c r="E8564" s="3" t="str">
        <f>IFERROR(__xludf.DUMMYFUNCTION("""COMPUTED_VALUE"""),"Bill and Kathy Jones")</f>
        <v>Bill and Kathy Jones</v>
      </c>
      <c r="F8564" s="3" t="str">
        <f>IFERROR(__xludf.DUMMYFUNCTION("""COMPUTED_VALUE"""),"billkathy.jones@gmail.com")</f>
        <v>billkathy.jones@gmail.com</v>
      </c>
      <c r="G8564" s="3"/>
      <c r="H8564" s="3"/>
    </row>
    <row r="8565">
      <c r="A8565" s="2">
        <f>IFERROR(__xludf.DUMMYFUNCTION("""COMPUTED_VALUE"""),31554.0)</f>
        <v>31554</v>
      </c>
      <c r="B8565" s="3" t="str">
        <f>IFERROR(__xludf.DUMMYFUNCTION("""COMPUTED_VALUE"""),"728 DARLING RD")</f>
        <v>728 DARLING RD</v>
      </c>
      <c r="C8565" s="3"/>
      <c r="D8565" s="3"/>
      <c r="E8565" s="3" t="str">
        <f>IFERROR(__xludf.DUMMYFUNCTION("""COMPUTED_VALUE"""),"Catherine Hudson")</f>
        <v>Catherine Hudson</v>
      </c>
      <c r="F8565" s="3"/>
      <c r="G8565" s="3">
        <f>IFERROR(__xludf.DUMMYFUNCTION("""COMPUTED_VALUE"""),2.896880681E9)</f>
        <v>2896880681</v>
      </c>
      <c r="H8565" s="3"/>
    </row>
    <row r="8566">
      <c r="A8566" s="2">
        <f>IFERROR(__xludf.DUMMYFUNCTION("""COMPUTED_VALUE"""),31556.0)</f>
        <v>31556</v>
      </c>
      <c r="B8566" s="3" t="str">
        <f>IFERROR(__xludf.DUMMYFUNCTION("""COMPUTED_VALUE"""),"758 DARLING RD")</f>
        <v>758 DARLING RD</v>
      </c>
      <c r="C8566" s="3"/>
      <c r="D8566" s="3"/>
      <c r="E8566" s="3" t="str">
        <f>IFERROR(__xludf.DUMMYFUNCTION("""COMPUTED_VALUE"""),"Marylean Hutchison")</f>
        <v>Marylean Hutchison</v>
      </c>
      <c r="F8566" s="3"/>
      <c r="G8566" s="3"/>
      <c r="H8566" s="3"/>
    </row>
    <row r="8567">
      <c r="A8567" s="2">
        <f>IFERROR(__xludf.DUMMYFUNCTION("""COMPUTED_VALUE"""),31558.0)</f>
        <v>31558</v>
      </c>
      <c r="B8567" s="3" t="str">
        <f>IFERROR(__xludf.DUMMYFUNCTION("""COMPUTED_VALUE"""),"785 DARLING RD")</f>
        <v>785 DARLING RD</v>
      </c>
      <c r="C8567" s="3"/>
      <c r="D8567" s="3"/>
      <c r="E8567" s="3"/>
      <c r="F8567" s="3"/>
      <c r="G8567" s="3"/>
      <c r="H8567" s="3"/>
    </row>
    <row r="8568">
      <c r="A8568" s="2">
        <f>IFERROR(__xludf.DUMMYFUNCTION("""COMPUTED_VALUE"""),30476.0)</f>
        <v>30476</v>
      </c>
      <c r="B8568" s="3" t="str">
        <f>IFERROR(__xludf.DUMMYFUNCTION("""COMPUTED_VALUE"""),"109 DAWSON RD ")</f>
        <v>109 DAWSON RD </v>
      </c>
      <c r="C8568" s="3" t="str">
        <f>IFERROR(__xludf.DUMMYFUNCTION("""COMPUTED_VALUE"""),"CASTLETON")</f>
        <v>CASTLETON</v>
      </c>
      <c r="D8568" s="3" t="str">
        <f>IFERROR(__xludf.DUMMYFUNCTION("""COMPUTED_VALUE"""),"K0K 1M0")</f>
        <v>K0K 1M0</v>
      </c>
      <c r="E8568" s="3" t="str">
        <f>IFERROR(__xludf.DUMMYFUNCTION("""COMPUTED_VALUE"""),"CAROL DONALDSON")</f>
        <v>CAROL DONALDSON</v>
      </c>
      <c r="F8568" s="3" t="str">
        <f>IFERROR(__xludf.DUMMYFUNCTION("""COMPUTED_VALUE"""),"cadonaldson2009@hotmail.com")</f>
        <v>cadonaldson2009@hotmail.com</v>
      </c>
      <c r="G8568" s="3"/>
      <c r="H8568" s="3"/>
    </row>
    <row r="8569">
      <c r="A8569" s="2">
        <f>IFERROR(__xludf.DUMMYFUNCTION("""COMPUTED_VALUE"""),30477.0)</f>
        <v>30477</v>
      </c>
      <c r="B8569" s="3" t="str">
        <f>IFERROR(__xludf.DUMMYFUNCTION("""COMPUTED_VALUE"""),"119 DAWSON RD ")</f>
        <v>119 DAWSON RD </v>
      </c>
      <c r="C8569" s="3" t="str">
        <f>IFERROR(__xludf.DUMMYFUNCTION("""COMPUTED_VALUE"""),"CASTLETON")</f>
        <v>CASTLETON</v>
      </c>
      <c r="D8569" s="3" t="str">
        <f>IFERROR(__xludf.DUMMYFUNCTION("""COMPUTED_VALUE"""),"K0K 1M0")</f>
        <v>K0K 1M0</v>
      </c>
      <c r="E8569" s="3"/>
      <c r="F8569" s="3"/>
      <c r="G8569" s="3"/>
      <c r="H8569" s="3"/>
    </row>
    <row r="8570">
      <c r="A8570" s="2">
        <f>IFERROR(__xludf.DUMMYFUNCTION("""COMPUTED_VALUE"""),30480.0)</f>
        <v>30480</v>
      </c>
      <c r="B8570" s="3" t="str">
        <f>IFERROR(__xludf.DUMMYFUNCTION("""COMPUTED_VALUE"""),"101 DAY RD ")</f>
        <v>101 DAY RD </v>
      </c>
      <c r="C8570" s="3" t="str">
        <f>IFERROR(__xludf.DUMMYFUNCTION("""COMPUTED_VALUE"""),"CASTLETON")</f>
        <v>CASTLETON</v>
      </c>
      <c r="D8570" s="3" t="str">
        <f>IFERROR(__xludf.DUMMYFUNCTION("""COMPUTED_VALUE"""),"K0K 1M0")</f>
        <v>K0K 1M0</v>
      </c>
      <c r="E8570" s="3" t="str">
        <f>IFERROR(__xludf.DUMMYFUNCTION("""COMPUTED_VALUE"""),"Maria Miller")</f>
        <v>Maria Miller</v>
      </c>
      <c r="F8570" s="3" t="str">
        <f>IFERROR(__xludf.DUMMYFUNCTION("""COMPUTED_VALUE"""),"maria_godfrey@hotmail.com")</f>
        <v>maria_godfrey@hotmail.com</v>
      </c>
      <c r="G8570" s="3">
        <f>IFERROR(__xludf.DUMMYFUNCTION("""COMPUTED_VALUE"""),9.052699976E9)</f>
        <v>9052699976</v>
      </c>
      <c r="H8570" s="3"/>
    </row>
    <row r="8571">
      <c r="A8571" s="2">
        <f>IFERROR(__xludf.DUMMYFUNCTION("""COMPUTED_VALUE"""),30481.0)</f>
        <v>30481</v>
      </c>
      <c r="B8571" s="3" t="str">
        <f>IFERROR(__xludf.DUMMYFUNCTION("""COMPUTED_VALUE"""),"102 DAY RD ")</f>
        <v>102 DAY RD </v>
      </c>
      <c r="C8571" s="3" t="str">
        <f>IFERROR(__xludf.DUMMYFUNCTION("""COMPUTED_VALUE"""),"CASTLETON")</f>
        <v>CASTLETON</v>
      </c>
      <c r="D8571" s="3" t="str">
        <f>IFERROR(__xludf.DUMMYFUNCTION("""COMPUTED_VALUE"""),"K0K 1M0")</f>
        <v>K0K 1M0</v>
      </c>
      <c r="E8571" s="3"/>
      <c r="F8571" s="3"/>
      <c r="G8571" s="3"/>
      <c r="H8571" s="3"/>
    </row>
    <row r="8572">
      <c r="A8572" s="2">
        <f>IFERROR(__xludf.DUMMYFUNCTION("""COMPUTED_VALUE"""),30482.0)</f>
        <v>30482</v>
      </c>
      <c r="B8572" s="3" t="str">
        <f>IFERROR(__xludf.DUMMYFUNCTION("""COMPUTED_VALUE"""),"103 DAY RD ")</f>
        <v>103 DAY RD </v>
      </c>
      <c r="C8572" s="3" t="str">
        <f>IFERROR(__xludf.DUMMYFUNCTION("""COMPUTED_VALUE"""),"CASTLETON")</f>
        <v>CASTLETON</v>
      </c>
      <c r="D8572" s="3" t="str">
        <f>IFERROR(__xludf.DUMMYFUNCTION("""COMPUTED_VALUE"""),"K0K 1M0")</f>
        <v>K0K 1M0</v>
      </c>
      <c r="E8572" s="3" t="str">
        <f>IFERROR(__xludf.DUMMYFUNCTION("""COMPUTED_VALUE"""),"Melissa Crosby")</f>
        <v>Melissa Crosby</v>
      </c>
      <c r="F8572" s="3" t="str">
        <f>IFERROR(__xludf.DUMMYFUNCTION("""COMPUTED_VALUE"""),"mel_procee@hotmail.com")</f>
        <v>mel_procee@hotmail.com</v>
      </c>
      <c r="G8572" s="3">
        <f>IFERROR(__xludf.DUMMYFUNCTION("""COMPUTED_VALUE"""),2.892511736E9)</f>
        <v>2892511736</v>
      </c>
      <c r="H8572" s="3">
        <f>IFERROR(__xludf.DUMMYFUNCTION("""COMPUTED_VALUE"""),7.058783084E9)</f>
        <v>7058783084</v>
      </c>
    </row>
    <row r="8573">
      <c r="A8573" s="2">
        <f>IFERROR(__xludf.DUMMYFUNCTION("""COMPUTED_VALUE"""),30483.0)</f>
        <v>30483</v>
      </c>
      <c r="B8573" s="3" t="str">
        <f>IFERROR(__xludf.DUMMYFUNCTION("""COMPUTED_VALUE"""),"117 DAY RD ")</f>
        <v>117 DAY RD </v>
      </c>
      <c r="C8573" s="3" t="str">
        <f>IFERROR(__xludf.DUMMYFUNCTION("""COMPUTED_VALUE"""),"CASTLETON")</f>
        <v>CASTLETON</v>
      </c>
      <c r="D8573" s="3" t="str">
        <f>IFERROR(__xludf.DUMMYFUNCTION("""COMPUTED_VALUE"""),"K0K 1M0")</f>
        <v>K0K 1M0</v>
      </c>
      <c r="E8573" s="3" t="str">
        <f>IFERROR(__xludf.DUMMYFUNCTION("""COMPUTED_VALUE"""),"Kristin Powell")</f>
        <v>Kristin Powell</v>
      </c>
      <c r="F8573" s="3"/>
      <c r="G8573" s="3">
        <f>IFERROR(__xludf.DUMMYFUNCTION("""COMPUTED_VALUE"""),9.059245747E9)</f>
        <v>9059245747</v>
      </c>
      <c r="H8573" s="3"/>
    </row>
    <row r="8574">
      <c r="A8574" s="2">
        <f>IFERROR(__xludf.DUMMYFUNCTION("""COMPUTED_VALUE"""),30484.0)</f>
        <v>30484</v>
      </c>
      <c r="B8574" s="3" t="str">
        <f>IFERROR(__xludf.DUMMYFUNCTION("""COMPUTED_VALUE"""),"120 DAY RD ")</f>
        <v>120 DAY RD </v>
      </c>
      <c r="C8574" s="3" t="str">
        <f>IFERROR(__xludf.DUMMYFUNCTION("""COMPUTED_VALUE"""),"CASTLETON")</f>
        <v>CASTLETON</v>
      </c>
      <c r="D8574" s="3" t="str">
        <f>IFERROR(__xludf.DUMMYFUNCTION("""COMPUTED_VALUE"""),"K0K 1M0")</f>
        <v>K0K 1M0</v>
      </c>
      <c r="E8574" s="3" t="str">
        <f>IFERROR(__xludf.DUMMYFUNCTION("""COMPUTED_VALUE"""),"Jodie Davey")</f>
        <v>Jodie Davey</v>
      </c>
      <c r="F8574" s="3"/>
      <c r="G8574" s="3">
        <f>IFERROR(__xludf.DUMMYFUNCTION("""COMPUTED_VALUE"""),9.052695546E9)</f>
        <v>9052695546</v>
      </c>
      <c r="H8574" s="3"/>
    </row>
    <row r="8575">
      <c r="A8575" s="2">
        <f>IFERROR(__xludf.DUMMYFUNCTION("""COMPUTED_VALUE"""),30485.0)</f>
        <v>30485</v>
      </c>
      <c r="B8575" s="3" t="str">
        <f>IFERROR(__xludf.DUMMYFUNCTION("""COMPUTED_VALUE"""),"121 DAY RD ")</f>
        <v>121 DAY RD </v>
      </c>
      <c r="C8575" s="3" t="str">
        <f>IFERROR(__xludf.DUMMYFUNCTION("""COMPUTED_VALUE"""),"CASTLETON")</f>
        <v>CASTLETON</v>
      </c>
      <c r="D8575" s="3" t="str">
        <f>IFERROR(__xludf.DUMMYFUNCTION("""COMPUTED_VALUE"""),"K0K 1M0")</f>
        <v>K0K 1M0</v>
      </c>
      <c r="E8575" s="3" t="str">
        <f>IFERROR(__xludf.DUMMYFUNCTION("""COMPUTED_VALUE"""),"Karen Huxter")</f>
        <v>Karen Huxter</v>
      </c>
      <c r="F8575" s="3" t="str">
        <f>IFERROR(__xludf.DUMMYFUNCTION("""COMPUTED_VALUE"""),"kargrieve@gmail.com")</f>
        <v>kargrieve@gmail.com</v>
      </c>
      <c r="G8575" s="3">
        <f>IFERROR(__xludf.DUMMYFUNCTION("""COMPUTED_VALUE"""),9.052130969E9)</f>
        <v>9052130969</v>
      </c>
      <c r="H8575" s="3"/>
    </row>
    <row r="8576">
      <c r="A8576" s="2">
        <f>IFERROR(__xludf.DUMMYFUNCTION("""COMPUTED_VALUE"""),30486.0)</f>
        <v>30486</v>
      </c>
      <c r="B8576" s="3" t="str">
        <f>IFERROR(__xludf.DUMMYFUNCTION("""COMPUTED_VALUE"""),"125 DAY RD ")</f>
        <v>125 DAY RD </v>
      </c>
      <c r="C8576" s="3" t="str">
        <f>IFERROR(__xludf.DUMMYFUNCTION("""COMPUTED_VALUE"""),"CASTLETON")</f>
        <v>CASTLETON</v>
      </c>
      <c r="D8576" s="3" t="str">
        <f>IFERROR(__xludf.DUMMYFUNCTION("""COMPUTED_VALUE"""),"K0K 1M0")</f>
        <v>K0K 1M0</v>
      </c>
      <c r="E8576" s="3" t="str">
        <f>IFERROR(__xludf.DUMMYFUNCTION("""COMPUTED_VALUE"""),"Lynn Taylor")</f>
        <v>Lynn Taylor</v>
      </c>
      <c r="F8576" s="3" t="str">
        <f>IFERROR(__xludf.DUMMYFUNCTION("""COMPUTED_VALUE"""),"cramkidz@yahoo.ca")</f>
        <v>cramkidz@yahoo.ca</v>
      </c>
      <c r="G8576" s="3"/>
      <c r="H8576" s="3"/>
    </row>
    <row r="8577">
      <c r="A8577" s="2">
        <f>IFERROR(__xludf.DUMMYFUNCTION("""COMPUTED_VALUE"""),30487.0)</f>
        <v>30487</v>
      </c>
      <c r="B8577" s="3" t="str">
        <f>IFERROR(__xludf.DUMMYFUNCTION("""COMPUTED_VALUE"""),"132 DAY RD ")</f>
        <v>132 DAY RD </v>
      </c>
      <c r="C8577" s="3" t="str">
        <f>IFERROR(__xludf.DUMMYFUNCTION("""COMPUTED_VALUE"""),"CASTLETON")</f>
        <v>CASTLETON</v>
      </c>
      <c r="D8577" s="3" t="str">
        <f>IFERROR(__xludf.DUMMYFUNCTION("""COMPUTED_VALUE"""),"K0K 1M0")</f>
        <v>K0K 1M0</v>
      </c>
      <c r="E8577" s="3" t="str">
        <f>IFERROR(__xludf.DUMMYFUNCTION("""COMPUTED_VALUE"""),"Sandra Lee")</f>
        <v>Sandra Lee</v>
      </c>
      <c r="F8577" s="3" t="str">
        <f>IFERROR(__xludf.DUMMYFUNCTION("""COMPUTED_VALUE"""),"sugarcandies60@hotmail.com")</f>
        <v>sugarcandies60@hotmail.com</v>
      </c>
      <c r="G8577" s="3">
        <f>IFERROR(__xludf.DUMMYFUNCTION("""COMPUTED_VALUE"""),9.053765868E9)</f>
        <v>9053765868</v>
      </c>
      <c r="H8577" s="3"/>
    </row>
    <row r="8578">
      <c r="A8578" s="2">
        <f>IFERROR(__xludf.DUMMYFUNCTION("""COMPUTED_VALUE"""),30488.0)</f>
        <v>30488</v>
      </c>
      <c r="B8578" s="3" t="str">
        <f>IFERROR(__xludf.DUMMYFUNCTION("""COMPUTED_VALUE"""),"136 DAY RD ")</f>
        <v>136 DAY RD </v>
      </c>
      <c r="C8578" s="3" t="str">
        <f>IFERROR(__xludf.DUMMYFUNCTION("""COMPUTED_VALUE"""),"CASTLETON")</f>
        <v>CASTLETON</v>
      </c>
      <c r="D8578" s="3" t="str">
        <f>IFERROR(__xludf.DUMMYFUNCTION("""COMPUTED_VALUE"""),"K0K 1M0")</f>
        <v>K0K 1M0</v>
      </c>
      <c r="E8578" s="3" t="str">
        <f>IFERROR(__xludf.DUMMYFUNCTION("""COMPUTED_VALUE"""),"Ron Kelly")</f>
        <v>Ron Kelly</v>
      </c>
      <c r="F8578" s="3"/>
      <c r="G8578" s="3">
        <f>IFERROR(__xludf.DUMMYFUNCTION("""COMPUTED_VALUE"""),4.162944302E9)</f>
        <v>4162944302</v>
      </c>
      <c r="H8578" s="3"/>
    </row>
    <row r="8579">
      <c r="A8579" s="2">
        <f>IFERROR(__xludf.DUMMYFUNCTION("""COMPUTED_VALUE"""),30489.0)</f>
        <v>30489</v>
      </c>
      <c r="B8579" s="3" t="str">
        <f>IFERROR(__xludf.DUMMYFUNCTION("""COMPUTED_VALUE"""),"141 DAY RD ")</f>
        <v>141 DAY RD </v>
      </c>
      <c r="C8579" s="3" t="str">
        <f>IFERROR(__xludf.DUMMYFUNCTION("""COMPUTED_VALUE"""),"CASTLETON")</f>
        <v>CASTLETON</v>
      </c>
      <c r="D8579" s="3" t="str">
        <f>IFERROR(__xludf.DUMMYFUNCTION("""COMPUTED_VALUE"""),"K0K 1M0")</f>
        <v>K0K 1M0</v>
      </c>
      <c r="E8579" s="3" t="str">
        <f>IFERROR(__xludf.DUMMYFUNCTION("""COMPUTED_VALUE"""),"Laurence Goddard")</f>
        <v>Laurence Goddard</v>
      </c>
      <c r="F8579" s="3" t="str">
        <f>IFERROR(__xludf.DUMMYFUNCTION("""COMPUTED_VALUE"""),"goddard.laurence@gmail.com")</f>
        <v>goddard.laurence@gmail.com</v>
      </c>
      <c r="G8579" s="3">
        <f>IFERROR(__xludf.DUMMYFUNCTION("""COMPUTED_VALUE"""),6.47544511E9)</f>
        <v>6475445110</v>
      </c>
      <c r="H8579" s="3">
        <f>IFERROR(__xludf.DUMMYFUNCTION("""COMPUTED_VALUE"""),9.05344501E9)</f>
        <v>9053445010</v>
      </c>
    </row>
    <row r="8580">
      <c r="A8580" s="2">
        <f>IFERROR(__xludf.DUMMYFUNCTION("""COMPUTED_VALUE"""),30490.0)</f>
        <v>30490</v>
      </c>
      <c r="B8580" s="3" t="str">
        <f>IFERROR(__xludf.DUMMYFUNCTION("""COMPUTED_VALUE"""),"145 DAY RD ")</f>
        <v>145 DAY RD </v>
      </c>
      <c r="C8580" s="3" t="str">
        <f>IFERROR(__xludf.DUMMYFUNCTION("""COMPUTED_VALUE"""),"CASTLETON")</f>
        <v>CASTLETON</v>
      </c>
      <c r="D8580" s="3" t="str">
        <f>IFERROR(__xludf.DUMMYFUNCTION("""COMPUTED_VALUE"""),"K0K 1M0")</f>
        <v>K0K 1M0</v>
      </c>
      <c r="E8580" s="3" t="str">
        <f>IFERROR(__xludf.DUMMYFUNCTION("""COMPUTED_VALUE"""),"Peter Perry")</f>
        <v>Peter Perry</v>
      </c>
      <c r="F8580" s="3"/>
      <c r="G8580" s="3">
        <f>IFERROR(__xludf.DUMMYFUNCTION("""COMPUTED_VALUE"""),9.053766638E9)</f>
        <v>9053766638</v>
      </c>
      <c r="H8580" s="3"/>
    </row>
    <row r="8581">
      <c r="A8581" s="2">
        <f>IFERROR(__xludf.DUMMYFUNCTION("""COMPUTED_VALUE"""),30491.0)</f>
        <v>30491</v>
      </c>
      <c r="B8581" s="3" t="str">
        <f>IFERROR(__xludf.DUMMYFUNCTION("""COMPUTED_VALUE"""),"150 DAY RD ")</f>
        <v>150 DAY RD </v>
      </c>
      <c r="C8581" s="3" t="str">
        <f>IFERROR(__xludf.DUMMYFUNCTION("""COMPUTED_VALUE"""),"CASTLETON")</f>
        <v>CASTLETON</v>
      </c>
      <c r="D8581" s="3" t="str">
        <f>IFERROR(__xludf.DUMMYFUNCTION("""COMPUTED_VALUE"""),"K0K 1M0")</f>
        <v>K0K 1M0</v>
      </c>
      <c r="E8581" s="3" t="str">
        <f>IFERROR(__xludf.DUMMYFUNCTION("""COMPUTED_VALUE"""),"Sera Whelpley")</f>
        <v>Sera Whelpley</v>
      </c>
      <c r="F8581" s="3"/>
      <c r="G8581" s="3">
        <f>IFERROR(__xludf.DUMMYFUNCTION("""COMPUTED_VALUE"""),2.898290572E9)</f>
        <v>2898290572</v>
      </c>
      <c r="H8581" s="3"/>
    </row>
    <row r="8582">
      <c r="A8582" s="2">
        <f>IFERROR(__xludf.DUMMYFUNCTION("""COMPUTED_VALUE"""),30492.0)</f>
        <v>30492</v>
      </c>
      <c r="B8582" s="3" t="str">
        <f>IFERROR(__xludf.DUMMYFUNCTION("""COMPUTED_VALUE"""),"155 DAY RD ")</f>
        <v>155 DAY RD </v>
      </c>
      <c r="C8582" s="3" t="str">
        <f>IFERROR(__xludf.DUMMYFUNCTION("""COMPUTED_VALUE"""),"CASTLETON")</f>
        <v>CASTLETON</v>
      </c>
      <c r="D8582" s="3" t="str">
        <f>IFERROR(__xludf.DUMMYFUNCTION("""COMPUTED_VALUE"""),"K0K 1M0")</f>
        <v>K0K 1M0</v>
      </c>
      <c r="E8582" s="3" t="str">
        <f>IFERROR(__xludf.DUMMYFUNCTION("""COMPUTED_VALUE"""),"E. Michael Plitz")</f>
        <v>E. Michael Plitz</v>
      </c>
      <c r="F8582" s="3" t="str">
        <f>IFERROR(__xludf.DUMMYFUNCTION("""COMPUTED_VALUE"""),"mdplitz@gmail.com")</f>
        <v>mdplitz@gmail.com</v>
      </c>
      <c r="G8582" s="3"/>
      <c r="H8582" s="3"/>
    </row>
    <row r="8583">
      <c r="A8583" s="2">
        <f>IFERROR(__xludf.DUMMYFUNCTION("""COMPUTED_VALUE"""),30493.0)</f>
        <v>30493</v>
      </c>
      <c r="B8583" s="3" t="str">
        <f>IFERROR(__xludf.DUMMYFUNCTION("""COMPUTED_VALUE"""),"158 DAY RD ")</f>
        <v>158 DAY RD </v>
      </c>
      <c r="C8583" s="3" t="str">
        <f>IFERROR(__xludf.DUMMYFUNCTION("""COMPUTED_VALUE"""),"CASTLETON")</f>
        <v>CASTLETON</v>
      </c>
      <c r="D8583" s="3" t="str">
        <f>IFERROR(__xludf.DUMMYFUNCTION("""COMPUTED_VALUE"""),"K0K 1M0")</f>
        <v>K0K 1M0</v>
      </c>
      <c r="E8583" s="3" t="str">
        <f>IFERROR(__xludf.DUMMYFUNCTION("""COMPUTED_VALUE"""),"Chris Caluori")</f>
        <v>Chris Caluori</v>
      </c>
      <c r="F8583" s="3" t="str">
        <f>IFERROR(__xludf.DUMMYFUNCTION("""COMPUTED_VALUE"""),"chris.calouri@gmail.com")</f>
        <v>chris.calouri@gmail.com</v>
      </c>
      <c r="G8583" s="3">
        <f>IFERROR(__xludf.DUMMYFUNCTION("""COMPUTED_VALUE"""),2.899289356E9)</f>
        <v>2899289356</v>
      </c>
      <c r="H8583" s="3"/>
    </row>
    <row r="8584">
      <c r="A8584" s="2">
        <f>IFERROR(__xludf.DUMMYFUNCTION("""COMPUTED_VALUE"""),30494.0)</f>
        <v>30494</v>
      </c>
      <c r="B8584" s="3" t="str">
        <f>IFERROR(__xludf.DUMMYFUNCTION("""COMPUTED_VALUE"""),"167 DAY RD ")</f>
        <v>167 DAY RD </v>
      </c>
      <c r="C8584" s="3" t="str">
        <f>IFERROR(__xludf.DUMMYFUNCTION("""COMPUTED_VALUE"""),"CASTLETON")</f>
        <v>CASTLETON</v>
      </c>
      <c r="D8584" s="3" t="str">
        <f>IFERROR(__xludf.DUMMYFUNCTION("""COMPUTED_VALUE"""),"K0K 1M0")</f>
        <v>K0K 1M0</v>
      </c>
      <c r="E8584" s="3" t="str">
        <f>IFERROR(__xludf.DUMMYFUNCTION("""COMPUTED_VALUE"""),"Mark G Mcgaughey")</f>
        <v>Mark G Mcgaughey</v>
      </c>
      <c r="F8584" s="3" t="str">
        <f>IFERROR(__xludf.DUMMYFUNCTION("""COMPUTED_VALUE"""),"madman7615@gmail.com")</f>
        <v>madman7615@gmail.com</v>
      </c>
      <c r="G8584" s="3">
        <f>IFERROR(__xludf.DUMMYFUNCTION("""COMPUTED_VALUE"""),9.052691067E9)</f>
        <v>9052691067</v>
      </c>
      <c r="H8584" s="3"/>
    </row>
    <row r="8585">
      <c r="A8585" s="2">
        <f>IFERROR(__xludf.DUMMYFUNCTION("""COMPUTED_VALUE"""),30495.0)</f>
        <v>30495</v>
      </c>
      <c r="B8585" s="3" t="str">
        <f>IFERROR(__xludf.DUMMYFUNCTION("""COMPUTED_VALUE"""),"170 DAY RD ")</f>
        <v>170 DAY RD </v>
      </c>
      <c r="C8585" s="3" t="str">
        <f>IFERROR(__xludf.DUMMYFUNCTION("""COMPUTED_VALUE"""),"CASTLETON")</f>
        <v>CASTLETON</v>
      </c>
      <c r="D8585" s="3" t="str">
        <f>IFERROR(__xludf.DUMMYFUNCTION("""COMPUTED_VALUE"""),"K0K 1M0")</f>
        <v>K0K 1M0</v>
      </c>
      <c r="E8585" s="3" t="str">
        <f>IFERROR(__xludf.DUMMYFUNCTION("""COMPUTED_VALUE"""),"Jeff Briggs")</f>
        <v>Jeff Briggs</v>
      </c>
      <c r="F8585" s="3" t="str">
        <f>IFERROR(__xludf.DUMMYFUNCTION("""COMPUTED_VALUE"""),"jpmbriggs@gmail.com")</f>
        <v>jpmbriggs@gmail.com</v>
      </c>
      <c r="G8585" s="3">
        <f>IFERROR(__xludf.DUMMYFUNCTION("""COMPUTED_VALUE"""),9.052699645E9)</f>
        <v>9052699645</v>
      </c>
      <c r="H8585" s="3">
        <f>IFERROR(__xludf.DUMMYFUNCTION("""COMPUTED_VALUE"""),9.052696725E9)</f>
        <v>9052696725</v>
      </c>
    </row>
    <row r="8586">
      <c r="A8586" s="2">
        <f>IFERROR(__xludf.DUMMYFUNCTION("""COMPUTED_VALUE"""),30496.0)</f>
        <v>30496</v>
      </c>
      <c r="B8586" s="3" t="str">
        <f>IFERROR(__xludf.DUMMYFUNCTION("""COMPUTED_VALUE"""),"77 DEKEYSER RD ")</f>
        <v>77 DEKEYSER RD </v>
      </c>
      <c r="C8586" s="3" t="str">
        <f>IFERROR(__xludf.DUMMYFUNCTION("""COMPUTED_VALUE"""),"COLBORNE")</f>
        <v>COLBORNE</v>
      </c>
      <c r="D8586" s="3" t="str">
        <f>IFERROR(__xludf.DUMMYFUNCTION("""COMPUTED_VALUE"""),"K0K 1S0")</f>
        <v>K0K 1S0</v>
      </c>
      <c r="E8586" s="3"/>
      <c r="F8586" s="3"/>
      <c r="G8586" s="3"/>
      <c r="H8586" s="3"/>
    </row>
    <row r="8587">
      <c r="A8587" s="2">
        <f>IFERROR(__xludf.DUMMYFUNCTION("""COMPUTED_VALUE"""),30501.0)</f>
        <v>30501</v>
      </c>
      <c r="B8587" s="3" t="str">
        <f>IFERROR(__xludf.DUMMYFUNCTION("""COMPUTED_VALUE"""),"152 DIEMO RD ")</f>
        <v>152 DIEMO RD </v>
      </c>
      <c r="C8587" s="3" t="str">
        <f>IFERROR(__xludf.DUMMYFUNCTION("""COMPUTED_VALUE"""),"BALTIMORE")</f>
        <v>BALTIMORE</v>
      </c>
      <c r="D8587" s="3" t="str">
        <f>IFERROR(__xludf.DUMMYFUNCTION("""COMPUTED_VALUE"""),"K0K 1C0")</f>
        <v>K0K 1C0</v>
      </c>
      <c r="E8587" s="3" t="str">
        <f>IFERROR(__xludf.DUMMYFUNCTION("""COMPUTED_VALUE"""),"Jay Stevenson")</f>
        <v>Jay Stevenson</v>
      </c>
      <c r="F8587" s="3" t="str">
        <f>IFERROR(__xludf.DUMMYFUNCTION("""COMPUTED_VALUE"""),"tmoore@diemoltd.ca")</f>
        <v>tmoore@diemoltd.ca</v>
      </c>
      <c r="G8587" s="3"/>
      <c r="H8587" s="3"/>
    </row>
    <row r="8588">
      <c r="A8588" s="2">
        <f>IFERROR(__xludf.DUMMYFUNCTION("""COMPUTED_VALUE"""),30502.0)</f>
        <v>30502</v>
      </c>
      <c r="B8588" s="3" t="str">
        <f>IFERROR(__xludf.DUMMYFUNCTION("""COMPUTED_VALUE"""),"169 DIEMO RD ")</f>
        <v>169 DIEMO RD </v>
      </c>
      <c r="C8588" s="3" t="str">
        <f>IFERROR(__xludf.DUMMYFUNCTION("""COMPUTED_VALUE"""),"BALTIMORE")</f>
        <v>BALTIMORE</v>
      </c>
      <c r="D8588" s="3" t="str">
        <f>IFERROR(__xludf.DUMMYFUNCTION("""COMPUTED_VALUE"""),"K0K 1C0")</f>
        <v>K0K 1C0</v>
      </c>
      <c r="E8588" s="3" t="str">
        <f>IFERROR(__xludf.DUMMYFUNCTION("""COMPUTED_VALUE"""),"Michael &amp; Debbie  O'Brien")</f>
        <v>Michael &amp; Debbie  O'Brien</v>
      </c>
      <c r="F8588" s="3" t="str">
        <f>IFERROR(__xludf.DUMMYFUNCTION("""COMPUTED_VALUE"""),"michaelobrien169@gmail.com")</f>
        <v>michaelobrien169@gmail.com</v>
      </c>
      <c r="G8588" s="3">
        <f>IFERROR(__xludf.DUMMYFUNCTION("""COMPUTED_VALUE"""),2.89829225E9)</f>
        <v>2898292250</v>
      </c>
      <c r="H8588" s="3">
        <f>IFERROR(__xludf.DUMMYFUNCTION("""COMPUTED_VALUE"""),2.892515003E9)</f>
        <v>2892515003</v>
      </c>
    </row>
    <row r="8589">
      <c r="A8589" s="2">
        <f>IFERROR(__xludf.DUMMYFUNCTION("""COMPUTED_VALUE"""),30510.0)</f>
        <v>30510</v>
      </c>
      <c r="B8589" s="3" t="str">
        <f>IFERROR(__xludf.DUMMYFUNCTION("""COMPUTED_VALUE"""),"274 DINGMAN RD ")</f>
        <v>274 DINGMAN RD </v>
      </c>
      <c r="C8589" s="3" t="str">
        <f>IFERROR(__xludf.DUMMYFUNCTION("""COMPUTED_VALUE"""),"CASTLETON")</f>
        <v>CASTLETON</v>
      </c>
      <c r="D8589" s="3" t="str">
        <f>IFERROR(__xludf.DUMMYFUNCTION("""COMPUTED_VALUE"""),"K0K 1M0")</f>
        <v>K0K 1M0</v>
      </c>
      <c r="E8589" s="3" t="str">
        <f>IFERROR(__xludf.DUMMYFUNCTION("""COMPUTED_VALUE"""),"Jeff Metcalfe")</f>
        <v>Jeff Metcalfe</v>
      </c>
      <c r="F8589" s="3" t="str">
        <f>IFERROR(__xludf.DUMMYFUNCTION("""COMPUTED_VALUE"""),"jeff.metcalfe@on-cite.com")</f>
        <v>jeff.metcalfe@on-cite.com</v>
      </c>
      <c r="G8589" s="3">
        <f>IFERROR(__xludf.DUMMYFUNCTION("""COMPUTED_VALUE"""),4.164205454E9)</f>
        <v>4164205454</v>
      </c>
      <c r="H8589" s="3"/>
    </row>
    <row r="8590">
      <c r="A8590" s="2">
        <f>IFERROR(__xludf.DUMMYFUNCTION("""COMPUTED_VALUE"""),30511.0)</f>
        <v>30511</v>
      </c>
      <c r="B8590" s="3" t="str">
        <f>IFERROR(__xludf.DUMMYFUNCTION("""COMPUTED_VALUE"""),"322 DINGMAN RD ")</f>
        <v>322 DINGMAN RD </v>
      </c>
      <c r="C8590" s="3" t="str">
        <f>IFERROR(__xludf.DUMMYFUNCTION("""COMPUTED_VALUE"""),"CASTLETON")</f>
        <v>CASTLETON</v>
      </c>
      <c r="D8590" s="3" t="str">
        <f>IFERROR(__xludf.DUMMYFUNCTION("""COMPUTED_VALUE"""),"K0K 1M0")</f>
        <v>K0K 1M0</v>
      </c>
      <c r="E8590" s="3" t="str">
        <f>IFERROR(__xludf.DUMMYFUNCTION("""COMPUTED_VALUE"""),"Eugene Davis")</f>
        <v>Eugene Davis</v>
      </c>
      <c r="F8590" s="3" t="str">
        <f>IFERROR(__xludf.DUMMYFUNCTION("""COMPUTED_VALUE"""),"ecwd1977@gmail.com")</f>
        <v>ecwd1977@gmail.com</v>
      </c>
      <c r="G8590" s="3"/>
      <c r="H8590" s="3"/>
    </row>
    <row r="8591">
      <c r="A8591" s="2">
        <f>IFERROR(__xludf.DUMMYFUNCTION("""COMPUTED_VALUE"""),30512.0)</f>
        <v>30512</v>
      </c>
      <c r="B8591" s="3" t="str">
        <f>IFERROR(__xludf.DUMMYFUNCTION("""COMPUTED_VALUE"""),"327 DINGMAN RD ")</f>
        <v>327 DINGMAN RD </v>
      </c>
      <c r="C8591" s="3" t="str">
        <f>IFERROR(__xludf.DUMMYFUNCTION("""COMPUTED_VALUE"""),"CASTLETON")</f>
        <v>CASTLETON</v>
      </c>
      <c r="D8591" s="3" t="str">
        <f>IFERROR(__xludf.DUMMYFUNCTION("""COMPUTED_VALUE"""),"K0K 1M0")</f>
        <v>K0K 1M0</v>
      </c>
      <c r="E8591" s="3"/>
      <c r="F8591" s="3"/>
      <c r="G8591" s="3"/>
      <c r="H8591" s="3"/>
    </row>
    <row r="8592">
      <c r="A8592" s="2">
        <f>IFERROR(__xludf.DUMMYFUNCTION("""COMPUTED_VALUE"""),30513.0)</f>
        <v>30513</v>
      </c>
      <c r="B8592" s="3" t="str">
        <f>IFERROR(__xludf.DUMMYFUNCTION("""COMPUTED_VALUE"""),"359 DINGMAN RD ")</f>
        <v>359 DINGMAN RD </v>
      </c>
      <c r="C8592" s="3" t="str">
        <f>IFERROR(__xludf.DUMMYFUNCTION("""COMPUTED_VALUE"""),"CASTLETON")</f>
        <v>CASTLETON</v>
      </c>
      <c r="D8592" s="3" t="str">
        <f>IFERROR(__xludf.DUMMYFUNCTION("""COMPUTED_VALUE"""),"K0K 1M0")</f>
        <v>K0K 1M0</v>
      </c>
      <c r="E8592" s="3" t="str">
        <f>IFERROR(__xludf.DUMMYFUNCTION("""COMPUTED_VALUE"""),"Mike Whitehouse")</f>
        <v>Mike Whitehouse</v>
      </c>
      <c r="F8592" s="3" t="str">
        <f>IFERROR(__xludf.DUMMYFUNCTION("""COMPUTED_VALUE"""),"mwhitehouse999@yahoo.ca")</f>
        <v>mwhitehouse999@yahoo.ca</v>
      </c>
      <c r="G8592" s="3">
        <f>IFERROR(__xludf.DUMMYFUNCTION("""COMPUTED_VALUE"""),9.056448305E9)</f>
        <v>9056448305</v>
      </c>
      <c r="H8592" s="3"/>
    </row>
    <row r="8593">
      <c r="A8593" s="2">
        <f>IFERROR(__xludf.DUMMYFUNCTION("""COMPUTED_VALUE"""),30514.0)</f>
        <v>30514</v>
      </c>
      <c r="B8593" s="3" t="str">
        <f>IFERROR(__xludf.DUMMYFUNCTION("""COMPUTED_VALUE"""),"364 DINGMAN RD ")</f>
        <v>364 DINGMAN RD </v>
      </c>
      <c r="C8593" s="3" t="str">
        <f>IFERROR(__xludf.DUMMYFUNCTION("""COMPUTED_VALUE"""),"CASTLETON")</f>
        <v>CASTLETON</v>
      </c>
      <c r="D8593" s="3" t="str">
        <f>IFERROR(__xludf.DUMMYFUNCTION("""COMPUTED_VALUE"""),"K0K 1M0")</f>
        <v>K0K 1M0</v>
      </c>
      <c r="E8593" s="3" t="str">
        <f>IFERROR(__xludf.DUMMYFUNCTION("""COMPUTED_VALUE"""),"Tanya Jones")</f>
        <v>Tanya Jones</v>
      </c>
      <c r="F8593" s="3" t="str">
        <f>IFERROR(__xludf.DUMMYFUNCTION("""COMPUTED_VALUE"""),"tanyaj468@gmail.com")</f>
        <v>tanyaj468@gmail.com</v>
      </c>
      <c r="G8593" s="3">
        <f>IFERROR(__xludf.DUMMYFUNCTION("""COMPUTED_VALUE"""),9.052698491E9)</f>
        <v>9052698491</v>
      </c>
      <c r="H8593" s="3"/>
    </row>
    <row r="8594">
      <c r="A8594" s="2">
        <f>IFERROR(__xludf.DUMMYFUNCTION("""COMPUTED_VALUE"""),30515.0)</f>
        <v>30515</v>
      </c>
      <c r="B8594" s="3" t="str">
        <f>IFERROR(__xludf.DUMMYFUNCTION("""COMPUTED_VALUE"""),"374 DINGMAN RD ")</f>
        <v>374 DINGMAN RD </v>
      </c>
      <c r="C8594" s="3" t="str">
        <f>IFERROR(__xludf.DUMMYFUNCTION("""COMPUTED_VALUE"""),"CASTLETON")</f>
        <v>CASTLETON</v>
      </c>
      <c r="D8594" s="3" t="str">
        <f>IFERROR(__xludf.DUMMYFUNCTION("""COMPUTED_VALUE"""),"K0K 1M0")</f>
        <v>K0K 1M0</v>
      </c>
      <c r="E8594" s="3"/>
      <c r="F8594" s="3"/>
      <c r="G8594" s="3"/>
      <c r="H8594" s="3"/>
    </row>
    <row r="8595">
      <c r="A8595" s="2">
        <f>IFERROR(__xludf.DUMMYFUNCTION("""COMPUTED_VALUE"""),30516.0)</f>
        <v>30516</v>
      </c>
      <c r="B8595" s="3" t="str">
        <f>IFERROR(__xludf.DUMMYFUNCTION("""COMPUTED_VALUE"""),"375 DINGMAN RD ")</f>
        <v>375 DINGMAN RD </v>
      </c>
      <c r="C8595" s="3" t="str">
        <f>IFERROR(__xludf.DUMMYFUNCTION("""COMPUTED_VALUE"""),"CASTLETON")</f>
        <v>CASTLETON</v>
      </c>
      <c r="D8595" s="3" t="str">
        <f>IFERROR(__xludf.DUMMYFUNCTION("""COMPUTED_VALUE"""),"K0K 1M0")</f>
        <v>K0K 1M0</v>
      </c>
      <c r="E8595" s="3"/>
      <c r="F8595" s="3"/>
      <c r="G8595" s="3"/>
      <c r="H8595" s="3"/>
    </row>
    <row r="8596">
      <c r="A8596" s="2">
        <f>IFERROR(__xludf.DUMMYFUNCTION("""COMPUTED_VALUE"""),30517.0)</f>
        <v>30517</v>
      </c>
      <c r="B8596" s="3" t="str">
        <f>IFERROR(__xludf.DUMMYFUNCTION("""COMPUTED_VALUE"""),"386 DINGMAN RD ")</f>
        <v>386 DINGMAN RD </v>
      </c>
      <c r="C8596" s="3" t="str">
        <f>IFERROR(__xludf.DUMMYFUNCTION("""COMPUTED_VALUE"""),"CASTLETON")</f>
        <v>CASTLETON</v>
      </c>
      <c r="D8596" s="3" t="str">
        <f>IFERROR(__xludf.DUMMYFUNCTION("""COMPUTED_VALUE"""),"K0K 1M0")</f>
        <v>K0K 1M0</v>
      </c>
      <c r="E8596" s="3" t="str">
        <f>IFERROR(__xludf.DUMMYFUNCTION("""COMPUTED_VALUE"""),"Linda Champagne")</f>
        <v>Linda Champagne</v>
      </c>
      <c r="F8596" s="3" t="str">
        <f>IFERROR(__xludf.DUMMYFUNCTION("""COMPUTED_VALUE"""),"linda_champagne@mac.com")</f>
        <v>linda_champagne@mac.com</v>
      </c>
      <c r="G8596" s="3"/>
      <c r="H8596" s="3"/>
    </row>
    <row r="8597">
      <c r="A8597" s="2">
        <f>IFERROR(__xludf.DUMMYFUNCTION("""COMPUTED_VALUE"""),30518.0)</f>
        <v>30518</v>
      </c>
      <c r="B8597" s="3" t="str">
        <f>IFERROR(__xludf.DUMMYFUNCTION("""COMPUTED_VALUE"""),"397 DINGMAN RD ")</f>
        <v>397 DINGMAN RD </v>
      </c>
      <c r="C8597" s="3" t="str">
        <f>IFERROR(__xludf.DUMMYFUNCTION("""COMPUTED_VALUE"""),"CASTLETON")</f>
        <v>CASTLETON</v>
      </c>
      <c r="D8597" s="3" t="str">
        <f>IFERROR(__xludf.DUMMYFUNCTION("""COMPUTED_VALUE"""),"K0K 1M0")</f>
        <v>K0K 1M0</v>
      </c>
      <c r="E8597" s="3" t="str">
        <f>IFERROR(__xludf.DUMMYFUNCTION("""COMPUTED_VALUE"""),"Ross Beattie")</f>
        <v>Ross Beattie</v>
      </c>
      <c r="F8597" s="3" t="str">
        <f>IFERROR(__xludf.DUMMYFUNCTION("""COMPUTED_VALUE"""),"rbeattie222@gmail.com")</f>
        <v>rbeattie222@gmail.com</v>
      </c>
      <c r="G8597" s="3"/>
      <c r="H8597" s="3"/>
    </row>
    <row r="8598">
      <c r="A8598" s="2">
        <f>IFERROR(__xludf.DUMMYFUNCTION("""COMPUTED_VALUE"""),30519.0)</f>
        <v>30519</v>
      </c>
      <c r="B8598" s="3" t="str">
        <f>IFERROR(__xludf.DUMMYFUNCTION("""COMPUTED_VALUE"""),"410 DINGMAN RD ")</f>
        <v>410 DINGMAN RD </v>
      </c>
      <c r="C8598" s="3" t="str">
        <f>IFERROR(__xludf.DUMMYFUNCTION("""COMPUTED_VALUE"""),"CASTLETON")</f>
        <v>CASTLETON</v>
      </c>
      <c r="D8598" s="3" t="str">
        <f>IFERROR(__xludf.DUMMYFUNCTION("""COMPUTED_VALUE"""),"K0K 1M0")</f>
        <v>K0K 1M0</v>
      </c>
      <c r="E8598" s="3" t="str">
        <f>IFERROR(__xludf.DUMMYFUNCTION("""COMPUTED_VALUE"""),"John E Boone")</f>
        <v>John E Boone</v>
      </c>
      <c r="F8598" s="3" t="str">
        <f>IFERROR(__xludf.DUMMYFUNCTION("""COMPUTED_VALUE"""),"johnboonearchitect@icloud.com")</f>
        <v>johnboonearchitect@icloud.com</v>
      </c>
      <c r="G8598" s="3">
        <f>IFERROR(__xludf.DUMMYFUNCTION("""COMPUTED_VALUE"""),4.164693264E9)</f>
        <v>4164693264</v>
      </c>
      <c r="H8598" s="3"/>
    </row>
    <row r="8599">
      <c r="A8599" s="2">
        <f>IFERROR(__xludf.DUMMYFUNCTION("""COMPUTED_VALUE"""),30520.0)</f>
        <v>30520</v>
      </c>
      <c r="B8599" s="3" t="str">
        <f>IFERROR(__xludf.DUMMYFUNCTION("""COMPUTED_VALUE"""),"433 DINGMAN RD ")</f>
        <v>433 DINGMAN RD </v>
      </c>
      <c r="C8599" s="3" t="str">
        <f>IFERROR(__xludf.DUMMYFUNCTION("""COMPUTED_VALUE"""),"CASTLETON")</f>
        <v>CASTLETON</v>
      </c>
      <c r="D8599" s="3" t="str">
        <f>IFERROR(__xludf.DUMMYFUNCTION("""COMPUTED_VALUE"""),"K0K 1M0")</f>
        <v>K0K 1M0</v>
      </c>
      <c r="E8599" s="3" t="str">
        <f>IFERROR(__xludf.DUMMYFUNCTION("""COMPUTED_VALUE"""),"Paul Gauvin ")</f>
        <v>Paul Gauvin </v>
      </c>
      <c r="F8599" s="3" t="str">
        <f>IFERROR(__xludf.DUMMYFUNCTION("""COMPUTED_VALUE"""),"gauvinsheating@gmail.com")</f>
        <v>gauvinsheating@gmail.com</v>
      </c>
      <c r="G8599" s="3"/>
      <c r="H8599" s="3"/>
    </row>
    <row r="8600">
      <c r="A8600" s="2">
        <f>IFERROR(__xludf.DUMMYFUNCTION("""COMPUTED_VALUE"""),30521.0)</f>
        <v>30521</v>
      </c>
      <c r="B8600" s="3" t="str">
        <f>IFERROR(__xludf.DUMMYFUNCTION("""COMPUTED_VALUE"""),"436 DINGMAN RD ")</f>
        <v>436 DINGMAN RD </v>
      </c>
      <c r="C8600" s="3" t="str">
        <f>IFERROR(__xludf.DUMMYFUNCTION("""COMPUTED_VALUE"""),"CASTLETON")</f>
        <v>CASTLETON</v>
      </c>
      <c r="D8600" s="3" t="str">
        <f>IFERROR(__xludf.DUMMYFUNCTION("""COMPUTED_VALUE"""),"K0K 1M0")</f>
        <v>K0K 1M0</v>
      </c>
      <c r="E8600" s="3" t="str">
        <f>IFERROR(__xludf.DUMMYFUNCTION("""COMPUTED_VALUE"""),"Rick Jackett")</f>
        <v>Rick Jackett</v>
      </c>
      <c r="F8600" s="3" t="str">
        <f>IFERROR(__xludf.DUMMYFUNCTION("""COMPUTED_VALUE"""),"ricksnews@hotmail.com")</f>
        <v>ricksnews@hotmail.com</v>
      </c>
      <c r="G8600" s="3">
        <f>IFERROR(__xludf.DUMMYFUNCTION("""COMPUTED_VALUE"""),4.164202453E9)</f>
        <v>4164202453</v>
      </c>
      <c r="H8600" s="3"/>
    </row>
    <row r="8601">
      <c r="A8601" s="2">
        <f>IFERROR(__xludf.DUMMYFUNCTION("""COMPUTED_VALUE"""),30522.0)</f>
        <v>30522</v>
      </c>
      <c r="B8601" s="3" t="str">
        <f>IFERROR(__xludf.DUMMYFUNCTION("""COMPUTED_VALUE"""),"468 DINGMAN RD ")</f>
        <v>468 DINGMAN RD </v>
      </c>
      <c r="C8601" s="3" t="str">
        <f>IFERROR(__xludf.DUMMYFUNCTION("""COMPUTED_VALUE"""),"CASTLETON")</f>
        <v>CASTLETON</v>
      </c>
      <c r="D8601" s="3" t="str">
        <f>IFERROR(__xludf.DUMMYFUNCTION("""COMPUTED_VALUE"""),"K0K 1M0")</f>
        <v>K0K 1M0</v>
      </c>
      <c r="E8601" s="3" t="str">
        <f>IFERROR(__xludf.DUMMYFUNCTION("""COMPUTED_VALUE""")," DANILA FRANCIS")</f>
        <v> DANILA FRANCIS</v>
      </c>
      <c r="F8601" s="3" t="str">
        <f>IFERROR(__xludf.DUMMYFUNCTION("""COMPUTED_VALUE"""),"danila.francis@icloud.com")</f>
        <v>danila.francis@icloud.com</v>
      </c>
      <c r="G8601" s="3"/>
      <c r="H8601" s="3"/>
    </row>
    <row r="8602">
      <c r="A8602" s="2">
        <f>IFERROR(__xludf.DUMMYFUNCTION("""COMPUTED_VALUE"""),30523.0)</f>
        <v>30523</v>
      </c>
      <c r="B8602" s="3" t="str">
        <f>IFERROR(__xludf.DUMMYFUNCTION("""COMPUTED_VALUE"""),"475 DINGMAN RD ")</f>
        <v>475 DINGMAN RD </v>
      </c>
      <c r="C8602" s="3" t="str">
        <f>IFERROR(__xludf.DUMMYFUNCTION("""COMPUTED_VALUE"""),"CASTLETON")</f>
        <v>CASTLETON</v>
      </c>
      <c r="D8602" s="3" t="str">
        <f>IFERROR(__xludf.DUMMYFUNCTION("""COMPUTED_VALUE"""),"K0K 1M0")</f>
        <v>K0K 1M0</v>
      </c>
      <c r="E8602" s="3" t="str">
        <f>IFERROR(__xludf.DUMMYFUNCTION("""COMPUTED_VALUE"""),"Eric Lawlor")</f>
        <v>Eric Lawlor</v>
      </c>
      <c r="F8602" s="3" t="str">
        <f>IFERROR(__xludf.DUMMYFUNCTION("""COMPUTED_VALUE"""),"foxfire@xplornet.com")</f>
        <v>foxfire@xplornet.com</v>
      </c>
      <c r="G8602" s="3">
        <f>IFERROR(__xludf.DUMMYFUNCTION("""COMPUTED_VALUE"""),9.052698555E9)</f>
        <v>9052698555</v>
      </c>
      <c r="H8602" s="3">
        <f>IFERROR(__xludf.DUMMYFUNCTION("""COMPUTED_VALUE"""),9.053047001E9)</f>
        <v>9053047001</v>
      </c>
    </row>
    <row r="8603">
      <c r="A8603" s="2">
        <f>IFERROR(__xludf.DUMMYFUNCTION("""COMPUTED_VALUE"""),30524.0)</f>
        <v>30524</v>
      </c>
      <c r="B8603" s="3" t="str">
        <f>IFERROR(__xludf.DUMMYFUNCTION("""COMPUTED_VALUE"""),"511 DINGMAN RD ")</f>
        <v>511 DINGMAN RD </v>
      </c>
      <c r="C8603" s="3" t="str">
        <f>IFERROR(__xludf.DUMMYFUNCTION("""COMPUTED_VALUE"""),"CASTLETON")</f>
        <v>CASTLETON</v>
      </c>
      <c r="D8603" s="3" t="str">
        <f>IFERROR(__xludf.DUMMYFUNCTION("""COMPUTED_VALUE"""),"K0K 1M0")</f>
        <v>K0K 1M0</v>
      </c>
      <c r="E8603" s="3" t="str">
        <f>IFERROR(__xludf.DUMMYFUNCTION("""COMPUTED_VALUE"""),"Randall Curr")</f>
        <v>Randall Curr</v>
      </c>
      <c r="F8603" s="3" t="str">
        <f>IFERROR(__xludf.DUMMYFUNCTION("""COMPUTED_VALUE"""),"randallcurr1@hotmail.com")</f>
        <v>randallcurr1@hotmail.com</v>
      </c>
      <c r="G8603" s="3">
        <f>IFERROR(__xludf.DUMMYFUNCTION("""COMPUTED_VALUE"""),9.053447577E9)</f>
        <v>9053447577</v>
      </c>
      <c r="H8603" s="3"/>
    </row>
    <row r="8604">
      <c r="A8604" s="2">
        <f>IFERROR(__xludf.DUMMYFUNCTION("""COMPUTED_VALUE"""),30525.0)</f>
        <v>30525</v>
      </c>
      <c r="B8604" s="3" t="str">
        <f>IFERROR(__xludf.DUMMYFUNCTION("""COMPUTED_VALUE"""),"516 DINGMAN RD ")</f>
        <v>516 DINGMAN RD </v>
      </c>
      <c r="C8604" s="3" t="str">
        <f>IFERROR(__xludf.DUMMYFUNCTION("""COMPUTED_VALUE"""),"CASTLETON")</f>
        <v>CASTLETON</v>
      </c>
      <c r="D8604" s="3" t="str">
        <f>IFERROR(__xludf.DUMMYFUNCTION("""COMPUTED_VALUE"""),"K0K 1M0")</f>
        <v>K0K 1M0</v>
      </c>
      <c r="E8604" s="3" t="str">
        <f>IFERROR(__xludf.DUMMYFUNCTION("""COMPUTED_VALUE"""),"Richard Koehler")</f>
        <v>Richard Koehler</v>
      </c>
      <c r="F8604" s="3" t="str">
        <f>IFERROR(__xludf.DUMMYFUNCTION("""COMPUTED_VALUE"""),"wrapstar@icloud.com")</f>
        <v>wrapstar@icloud.com</v>
      </c>
      <c r="G8604" s="3">
        <f>IFERROR(__xludf.DUMMYFUNCTION("""COMPUTED_VALUE"""),4.163170647E9)</f>
        <v>4163170647</v>
      </c>
      <c r="H8604" s="3"/>
    </row>
    <row r="8605">
      <c r="A8605" s="2">
        <f>IFERROR(__xludf.DUMMYFUNCTION("""COMPUTED_VALUE"""),30526.0)</f>
        <v>30526</v>
      </c>
      <c r="B8605" s="3" t="str">
        <f>IFERROR(__xludf.DUMMYFUNCTION("""COMPUTED_VALUE"""),"525 DINGMAN RD ")</f>
        <v>525 DINGMAN RD </v>
      </c>
      <c r="C8605" s="3" t="str">
        <f>IFERROR(__xludf.DUMMYFUNCTION("""COMPUTED_VALUE"""),"CASTLETON")</f>
        <v>CASTLETON</v>
      </c>
      <c r="D8605" s="3" t="str">
        <f>IFERROR(__xludf.DUMMYFUNCTION("""COMPUTED_VALUE"""),"K0K 1M0")</f>
        <v>K0K 1M0</v>
      </c>
      <c r="E8605" s="3" t="str">
        <f>IFERROR(__xludf.DUMMYFUNCTION("""COMPUTED_VALUE"""),"SHELLY ELLIOT")</f>
        <v>SHELLY ELLIOT</v>
      </c>
      <c r="F8605" s="3" t="str">
        <f>IFERROR(__xludf.DUMMYFUNCTION("""COMPUTED_VALUE"""),"mikenshelley2009@hotmail.com")</f>
        <v>mikenshelley2009@hotmail.com</v>
      </c>
      <c r="G8605" s="3"/>
      <c r="H8605" s="3"/>
    </row>
    <row r="8606">
      <c r="A8606" s="2">
        <f>IFERROR(__xludf.DUMMYFUNCTION("""COMPUTED_VALUE"""),30527.0)</f>
        <v>30527</v>
      </c>
      <c r="B8606" s="3" t="str">
        <f>IFERROR(__xludf.DUMMYFUNCTION("""COMPUTED_VALUE"""),"540 DINGMAN RD ")</f>
        <v>540 DINGMAN RD </v>
      </c>
      <c r="C8606" s="3" t="str">
        <f>IFERROR(__xludf.DUMMYFUNCTION("""COMPUTED_VALUE"""),"CASTLETON")</f>
        <v>CASTLETON</v>
      </c>
      <c r="D8606" s="3" t="str">
        <f>IFERROR(__xludf.DUMMYFUNCTION("""COMPUTED_VALUE"""),"K0K 1M0")</f>
        <v>K0K 1M0</v>
      </c>
      <c r="E8606" s="3" t="str">
        <f>IFERROR(__xludf.DUMMYFUNCTION("""COMPUTED_VALUE"""),"Vladimir Holopov")</f>
        <v>Vladimir Holopov</v>
      </c>
      <c r="F8606" s="3" t="str">
        <f>IFERROR(__xludf.DUMMYFUNCTION("""COMPUTED_VALUE"""),"N/A")</f>
        <v>N/A</v>
      </c>
      <c r="G8606" s="3">
        <f>IFERROR(__xludf.DUMMYFUNCTION("""COMPUTED_VALUE"""),4.163011433E9)</f>
        <v>4163011433</v>
      </c>
      <c r="H8606" s="3"/>
    </row>
    <row r="8607">
      <c r="A8607" s="2">
        <f>IFERROR(__xludf.DUMMYFUNCTION("""COMPUTED_VALUE"""),30528.0)</f>
        <v>30528</v>
      </c>
      <c r="B8607" s="3" t="str">
        <f>IFERROR(__xludf.DUMMYFUNCTION("""COMPUTED_VALUE"""),"544 DINGMAN RD ")</f>
        <v>544 DINGMAN RD </v>
      </c>
      <c r="C8607" s="3" t="str">
        <f>IFERROR(__xludf.DUMMYFUNCTION("""COMPUTED_VALUE"""),"CASTLETON")</f>
        <v>CASTLETON</v>
      </c>
      <c r="D8607" s="3" t="str">
        <f>IFERROR(__xludf.DUMMYFUNCTION("""COMPUTED_VALUE"""),"K0K 1M0")</f>
        <v>K0K 1M0</v>
      </c>
      <c r="E8607" s="3" t="str">
        <f>IFERROR(__xludf.DUMMYFUNCTION("""COMPUTED_VALUE"""),"rita rowell")</f>
        <v>rita rowell</v>
      </c>
      <c r="F8607" s="3" t="str">
        <f>IFERROR(__xludf.DUMMYFUNCTION("""COMPUTED_VALUE"""),"ritarowell1@hotmail.com")</f>
        <v>ritarowell1@hotmail.com</v>
      </c>
      <c r="G8607" s="3">
        <f>IFERROR(__xludf.DUMMYFUNCTION("""COMPUTED_VALUE"""),2.86251568E9)</f>
        <v>2862515680</v>
      </c>
      <c r="H8607" s="3"/>
    </row>
    <row r="8608">
      <c r="A8608" s="2">
        <f>IFERROR(__xludf.DUMMYFUNCTION("""COMPUTED_VALUE"""),30529.0)</f>
        <v>30529</v>
      </c>
      <c r="B8608" s="3" t="str">
        <f>IFERROR(__xludf.DUMMYFUNCTION("""COMPUTED_VALUE"""),"585 DINGMAN RD ")</f>
        <v>585 DINGMAN RD </v>
      </c>
      <c r="C8608" s="3" t="str">
        <f>IFERROR(__xludf.DUMMYFUNCTION("""COMPUTED_VALUE"""),"CASTLETON")</f>
        <v>CASTLETON</v>
      </c>
      <c r="D8608" s="3" t="str">
        <f>IFERROR(__xludf.DUMMYFUNCTION("""COMPUTED_VALUE"""),"K0K 1M0")</f>
        <v>K0K 1M0</v>
      </c>
      <c r="E8608" s="3" t="str">
        <f>IFERROR(__xludf.DUMMYFUNCTION("""COMPUTED_VALUE"""),"Bryan S Parish")</f>
        <v>Bryan S Parish</v>
      </c>
      <c r="F8608" s="3" t="str">
        <f>IFERROR(__xludf.DUMMYFUNCTION("""COMPUTED_VALUE"""),"bryan.s.parish@gmail.com")</f>
        <v>bryan.s.parish@gmail.com</v>
      </c>
      <c r="G8608" s="3">
        <f>IFERROR(__xludf.DUMMYFUNCTION("""COMPUTED_VALUE"""),9.05999624E9)</f>
        <v>9059996240</v>
      </c>
      <c r="H8608" s="3"/>
    </row>
    <row r="8609">
      <c r="A8609" s="2">
        <f>IFERROR(__xludf.DUMMYFUNCTION("""COMPUTED_VALUE"""),30530.0)</f>
        <v>30530</v>
      </c>
      <c r="B8609" s="3" t="str">
        <f>IFERROR(__xludf.DUMMYFUNCTION("""COMPUTED_VALUE"""),"594 DINGMAN RD ")</f>
        <v>594 DINGMAN RD </v>
      </c>
      <c r="C8609" s="3" t="str">
        <f>IFERROR(__xludf.DUMMYFUNCTION("""COMPUTED_VALUE"""),"CASTLETON")</f>
        <v>CASTLETON</v>
      </c>
      <c r="D8609" s="3" t="str">
        <f>IFERROR(__xludf.DUMMYFUNCTION("""COMPUTED_VALUE"""),"K0K 1M0")</f>
        <v>K0K 1M0</v>
      </c>
      <c r="E8609" s="3"/>
      <c r="F8609" s="3"/>
      <c r="G8609" s="3"/>
      <c r="H8609" s="3"/>
    </row>
    <row r="8610">
      <c r="A8610" s="2">
        <f>IFERROR(__xludf.DUMMYFUNCTION("""COMPUTED_VALUE"""),30531.0)</f>
        <v>30531</v>
      </c>
      <c r="B8610" s="3" t="str">
        <f>IFERROR(__xludf.DUMMYFUNCTION("""COMPUTED_VALUE"""),"621 DINGMAN RD ")</f>
        <v>621 DINGMAN RD </v>
      </c>
      <c r="C8610" s="3" t="str">
        <f>IFERROR(__xludf.DUMMYFUNCTION("""COMPUTED_VALUE"""),"CASTLETON")</f>
        <v>CASTLETON</v>
      </c>
      <c r="D8610" s="3" t="str">
        <f>IFERROR(__xludf.DUMMYFUNCTION("""COMPUTED_VALUE"""),"K0K 1M0")</f>
        <v>K0K 1M0</v>
      </c>
      <c r="E8610" s="3" t="str">
        <f>IFERROR(__xludf.DUMMYFUNCTION("""COMPUTED_VALUE"""),"Bajan Rekhi")</f>
        <v>Bajan Rekhi</v>
      </c>
      <c r="F8610" s="3" t="str">
        <f>IFERROR(__xludf.DUMMYFUNCTION("""COMPUTED_VALUE"""),"rrekhi@bellnet.ca")</f>
        <v>rrekhi@bellnet.ca</v>
      </c>
      <c r="G8610" s="3">
        <f>IFERROR(__xludf.DUMMYFUNCTION("""COMPUTED_VALUE"""),4.164072167E9)</f>
        <v>4164072167</v>
      </c>
      <c r="H8610" s="3"/>
    </row>
    <row r="8611">
      <c r="A8611" s="2">
        <f>IFERROR(__xludf.DUMMYFUNCTION("""COMPUTED_VALUE"""),30559.0)</f>
        <v>30559</v>
      </c>
      <c r="B8611" s="3" t="str">
        <f>IFERROR(__xludf.DUMMYFUNCTION("""COMPUTED_VALUE"""),"100 DRUMLIN LANE ")</f>
        <v>100 DRUMLIN LANE </v>
      </c>
      <c r="C8611" s="3" t="str">
        <f>IFERROR(__xludf.DUMMYFUNCTION("""COMPUTED_VALUE"""),"GRAFTON")</f>
        <v>GRAFTON</v>
      </c>
      <c r="D8611" s="3" t="str">
        <f>IFERROR(__xludf.DUMMYFUNCTION("""COMPUTED_VALUE"""),"K0K 2G0")</f>
        <v>K0K 2G0</v>
      </c>
      <c r="E8611" s="3" t="str">
        <f>IFERROR(__xludf.DUMMYFUNCTION("""COMPUTED_VALUE"""),"Mark Browning")</f>
        <v>Mark Browning</v>
      </c>
      <c r="F8611" s="3"/>
      <c r="G8611" s="3">
        <f>IFERROR(__xludf.DUMMYFUNCTION("""COMPUTED_VALUE"""),7.05745038E9)</f>
        <v>7057450380</v>
      </c>
      <c r="H8611" s="3"/>
    </row>
    <row r="8612">
      <c r="A8612" s="2">
        <f>IFERROR(__xludf.DUMMYFUNCTION("""COMPUTED_VALUE"""),30560.0)</f>
        <v>30560</v>
      </c>
      <c r="B8612" s="3" t="str">
        <f>IFERROR(__xludf.DUMMYFUNCTION("""COMPUTED_VALUE"""),"101 DRUMLIN LANE ")</f>
        <v>101 DRUMLIN LANE </v>
      </c>
      <c r="C8612" s="3" t="str">
        <f>IFERROR(__xludf.DUMMYFUNCTION("""COMPUTED_VALUE"""),"GRAFTON")</f>
        <v>GRAFTON</v>
      </c>
      <c r="D8612" s="3" t="str">
        <f>IFERROR(__xludf.DUMMYFUNCTION("""COMPUTED_VALUE"""),"K0K 2G0")</f>
        <v>K0K 2G0</v>
      </c>
      <c r="E8612" s="3" t="str">
        <f>IFERROR(__xludf.DUMMYFUNCTION("""COMPUTED_VALUE"""),"Gary D. Wagner")</f>
        <v>Gary D. Wagner</v>
      </c>
      <c r="F8612" s="3" t="str">
        <f>IFERROR(__xludf.DUMMYFUNCTION("""COMPUTED_VALUE"""),"wagnerg@queensu.ca")</f>
        <v>wagnerg@queensu.ca</v>
      </c>
      <c r="G8612" s="3">
        <f>IFERROR(__xludf.DUMMYFUNCTION("""COMPUTED_VALUE"""),9.053492123E9)</f>
        <v>9053492123</v>
      </c>
      <c r="H8612" s="3">
        <f>IFERROR(__xludf.DUMMYFUNCTION("""COMPUTED_VALUE"""),2.892512128E9)</f>
        <v>2892512128</v>
      </c>
    </row>
    <row r="8613">
      <c r="A8613" s="2">
        <f>IFERROR(__xludf.DUMMYFUNCTION("""COMPUTED_VALUE"""),30561.0)</f>
        <v>30561</v>
      </c>
      <c r="B8613" s="3" t="str">
        <f>IFERROR(__xludf.DUMMYFUNCTION("""COMPUTED_VALUE"""),"102 DRUMLIN LANE ")</f>
        <v>102 DRUMLIN LANE </v>
      </c>
      <c r="C8613" s="3" t="str">
        <f>IFERROR(__xludf.DUMMYFUNCTION("""COMPUTED_VALUE"""),"GRAFTON")</f>
        <v>GRAFTON</v>
      </c>
      <c r="D8613" s="3" t="str">
        <f>IFERROR(__xludf.DUMMYFUNCTION("""COMPUTED_VALUE"""),"K0K 2G0")</f>
        <v>K0K 2G0</v>
      </c>
      <c r="E8613" s="3" t="str">
        <f>IFERROR(__xludf.DUMMYFUNCTION("""COMPUTED_VALUE"""),"Bill heideman")</f>
        <v>Bill heideman</v>
      </c>
      <c r="F8613" s="3" t="str">
        <f>IFERROR(__xludf.DUMMYFUNCTION("""COMPUTED_VALUE"""),"bwheideman@outlook.com")</f>
        <v>bwheideman@outlook.com</v>
      </c>
      <c r="G8613" s="3">
        <f>IFERROR(__xludf.DUMMYFUNCTION("""COMPUTED_VALUE"""),9.053492404E9)</f>
        <v>9053492404</v>
      </c>
      <c r="H8613" s="3">
        <f>IFERROR(__xludf.DUMMYFUNCTION("""COMPUTED_VALUE"""),9.053739804E9)</f>
        <v>9053739804</v>
      </c>
    </row>
    <row r="8614">
      <c r="A8614" s="2">
        <f>IFERROR(__xludf.DUMMYFUNCTION("""COMPUTED_VALUE"""),30562.0)</f>
        <v>30562</v>
      </c>
      <c r="B8614" s="3" t="str">
        <f>IFERROR(__xludf.DUMMYFUNCTION("""COMPUTED_VALUE"""),"115 DRUMLIN LANE ")</f>
        <v>115 DRUMLIN LANE </v>
      </c>
      <c r="C8614" s="3" t="str">
        <f>IFERROR(__xludf.DUMMYFUNCTION("""COMPUTED_VALUE"""),"GRAFTON")</f>
        <v>GRAFTON</v>
      </c>
      <c r="D8614" s="3" t="str">
        <f>IFERROR(__xludf.DUMMYFUNCTION("""COMPUTED_VALUE"""),"K0K 2G0")</f>
        <v>K0K 2G0</v>
      </c>
      <c r="E8614" s="3" t="str">
        <f>IFERROR(__xludf.DUMMYFUNCTION("""COMPUTED_VALUE"""),"James Viaene")</f>
        <v>James Viaene</v>
      </c>
      <c r="F8614" s="3" t="str">
        <f>IFERROR(__xludf.DUMMYFUNCTION("""COMPUTED_VALUE"""),"N/A")</f>
        <v>N/A</v>
      </c>
      <c r="G8614" s="3"/>
      <c r="H8614" s="3"/>
    </row>
    <row r="8615">
      <c r="A8615" s="2">
        <f>IFERROR(__xludf.DUMMYFUNCTION("""COMPUTED_VALUE"""),30563.0)</f>
        <v>30563</v>
      </c>
      <c r="B8615" s="3" t="str">
        <f>IFERROR(__xludf.DUMMYFUNCTION("""COMPUTED_VALUE"""),"167 DRUMLIN LANE ")</f>
        <v>167 DRUMLIN LANE </v>
      </c>
      <c r="C8615" s="3" t="str">
        <f>IFERROR(__xludf.DUMMYFUNCTION("""COMPUTED_VALUE"""),"GRAFTON")</f>
        <v>GRAFTON</v>
      </c>
      <c r="D8615" s="3" t="str">
        <f>IFERROR(__xludf.DUMMYFUNCTION("""COMPUTED_VALUE"""),"K0K 2G0")</f>
        <v>K0K 2G0</v>
      </c>
      <c r="E8615" s="3" t="str">
        <f>IFERROR(__xludf.DUMMYFUNCTION("""COMPUTED_VALUE"""),"Tina Buchanan")</f>
        <v>Tina Buchanan</v>
      </c>
      <c r="F8615" s="3" t="str">
        <f>IFERROR(__xludf.DUMMYFUNCTION("""COMPUTED_VALUE"""),"9053492167")</f>
        <v>9053492167</v>
      </c>
      <c r="G8615" s="3"/>
      <c r="H8615" s="3"/>
    </row>
    <row r="8616">
      <c r="A8616" s="2">
        <f>IFERROR(__xludf.DUMMYFUNCTION("""COMPUTED_VALUE"""),30569.0)</f>
        <v>30569</v>
      </c>
      <c r="B8616" s="3" t="str">
        <f>IFERROR(__xludf.DUMMYFUNCTION("""COMPUTED_VALUE"""),"12590 DUNBAR RD ")</f>
        <v>12590 DUNBAR RD </v>
      </c>
      <c r="C8616" s="3" t="str">
        <f>IFERROR(__xludf.DUMMYFUNCTION("""COMPUTED_VALUE"""),"CASTLETON")</f>
        <v>CASTLETON</v>
      </c>
      <c r="D8616" s="3" t="str">
        <f>IFERROR(__xludf.DUMMYFUNCTION("""COMPUTED_VALUE"""),"K0K 1M0")</f>
        <v>K0K 1M0</v>
      </c>
      <c r="E8616" s="3"/>
      <c r="F8616" s="3"/>
      <c r="G8616" s="3"/>
      <c r="H8616" s="3"/>
    </row>
    <row r="8617">
      <c r="A8617" s="2">
        <f>IFERROR(__xludf.DUMMYFUNCTION("""COMPUTED_VALUE"""),30570.0)</f>
        <v>30570</v>
      </c>
      <c r="B8617" s="3" t="str">
        <f>IFERROR(__xludf.DUMMYFUNCTION("""COMPUTED_VALUE"""),"12593 DUNBAR RD ")</f>
        <v>12593 DUNBAR RD </v>
      </c>
      <c r="C8617" s="3" t="str">
        <f>IFERROR(__xludf.DUMMYFUNCTION("""COMPUTED_VALUE"""),"CASTLETON")</f>
        <v>CASTLETON</v>
      </c>
      <c r="D8617" s="3" t="str">
        <f>IFERROR(__xludf.DUMMYFUNCTION("""COMPUTED_VALUE"""),"K0K 1M0")</f>
        <v>K0K 1M0</v>
      </c>
      <c r="E8617" s="3" t="str">
        <f>IFERROR(__xludf.DUMMYFUNCTION("""COMPUTED_VALUE"""),"Bill Morton")</f>
        <v>Bill Morton</v>
      </c>
      <c r="F8617" s="3" t="str">
        <f>IFERROR(__xludf.DUMMYFUNCTION("""COMPUTED_VALUE"""),"billmorton@sympatico.ca")</f>
        <v>billmorton@sympatico.ca</v>
      </c>
      <c r="G8617" s="3">
        <f>IFERROR(__xludf.DUMMYFUNCTION("""COMPUTED_VALUE"""),9.054664836E9)</f>
        <v>9054664836</v>
      </c>
      <c r="H8617" s="3">
        <f>IFERROR(__xludf.DUMMYFUNCTION("""COMPUTED_VALUE"""),9.053447148E9)</f>
        <v>9053447148</v>
      </c>
    </row>
    <row r="8618">
      <c r="A8618" s="2">
        <f>IFERROR(__xludf.DUMMYFUNCTION("""COMPUTED_VALUE"""),30571.0)</f>
        <v>30571</v>
      </c>
      <c r="B8618" s="3" t="str">
        <f>IFERROR(__xludf.DUMMYFUNCTION("""COMPUTED_VALUE"""),"12597 DUNBAR RD ")</f>
        <v>12597 DUNBAR RD </v>
      </c>
      <c r="C8618" s="3" t="str">
        <f>IFERROR(__xludf.DUMMYFUNCTION("""COMPUTED_VALUE"""),"CASTLETON")</f>
        <v>CASTLETON</v>
      </c>
      <c r="D8618" s="3" t="str">
        <f>IFERROR(__xludf.DUMMYFUNCTION("""COMPUTED_VALUE"""),"K0K 1M0")</f>
        <v>K0K 1M0</v>
      </c>
      <c r="E8618" s="3" t="str">
        <f>IFERROR(__xludf.DUMMYFUNCTION("""COMPUTED_VALUE"""),"Ronald Jackson")</f>
        <v>Ronald Jackson</v>
      </c>
      <c r="F8618" s="3" t="str">
        <f>IFERROR(__xludf.DUMMYFUNCTION("""COMPUTED_VALUE"""),"plonket70@hotmail.com")</f>
        <v>plonket70@hotmail.com</v>
      </c>
      <c r="G8618" s="3">
        <f>IFERROR(__xludf.DUMMYFUNCTION("""COMPUTED_VALUE"""),6.47949563E9)</f>
        <v>6479495630</v>
      </c>
      <c r="H8618" s="3">
        <f>IFERROR(__xludf.DUMMYFUNCTION("""COMPUTED_VALUE"""),4.169007906E9)</f>
        <v>4169007906</v>
      </c>
    </row>
    <row r="8619">
      <c r="A8619" s="2">
        <f>IFERROR(__xludf.DUMMYFUNCTION("""COMPUTED_VALUE"""),30572.0)</f>
        <v>30572</v>
      </c>
      <c r="B8619" s="3" t="str">
        <f>IFERROR(__xludf.DUMMYFUNCTION("""COMPUTED_VALUE"""),"12601 DUNBAR RD ")</f>
        <v>12601 DUNBAR RD </v>
      </c>
      <c r="C8619" s="3" t="str">
        <f>IFERROR(__xludf.DUMMYFUNCTION("""COMPUTED_VALUE"""),"CASTLETON")</f>
        <v>CASTLETON</v>
      </c>
      <c r="D8619" s="3" t="str">
        <f>IFERROR(__xludf.DUMMYFUNCTION("""COMPUTED_VALUE"""),"K0K 1M0")</f>
        <v>K0K 1M0</v>
      </c>
      <c r="E8619" s="3" t="str">
        <f>IFERROR(__xludf.DUMMYFUNCTION("""COMPUTED_VALUE"""),"Stephen Hatherly")</f>
        <v>Stephen Hatherly</v>
      </c>
      <c r="F8619" s="3" t="str">
        <f>IFERROR(__xludf.DUMMYFUNCTION("""COMPUTED_VALUE"""),"hatherlystephen@hotmail.com")</f>
        <v>hatherlystephen@hotmail.com</v>
      </c>
      <c r="G8619" s="3">
        <f>IFERROR(__xludf.DUMMYFUNCTION("""COMPUTED_VALUE"""),9.053762874E9)</f>
        <v>9053762874</v>
      </c>
      <c r="H8619" s="3">
        <f>IFERROR(__xludf.DUMMYFUNCTION("""COMPUTED_VALUE"""),9.053962874E9)</f>
        <v>9053962874</v>
      </c>
    </row>
    <row r="8620">
      <c r="A8620" s="2">
        <f>IFERROR(__xludf.DUMMYFUNCTION("""COMPUTED_VALUE"""),30574.0)</f>
        <v>30574</v>
      </c>
      <c r="B8620" s="3" t="str">
        <f>IFERROR(__xludf.DUMMYFUNCTION("""COMPUTED_VALUE"""),"114 EDDYSTONE RD ")</f>
        <v>114 EDDYSTONE RD </v>
      </c>
      <c r="C8620" s="3" t="str">
        <f>IFERROR(__xludf.DUMMYFUNCTION("""COMPUTED_VALUE"""),"GRAFTON")</f>
        <v>GRAFTON</v>
      </c>
      <c r="D8620" s="3" t="str">
        <f>IFERROR(__xludf.DUMMYFUNCTION("""COMPUTED_VALUE"""),"K0K 2G0")</f>
        <v>K0K 2G0</v>
      </c>
      <c r="E8620" s="3" t="str">
        <f>IFERROR(__xludf.DUMMYFUNCTION("""COMPUTED_VALUE"""),"Marilyn SHEPHERD")</f>
        <v>Marilyn SHEPHERD</v>
      </c>
      <c r="F8620" s="3" t="str">
        <f>IFERROR(__xludf.DUMMYFUNCTION("""COMPUTED_VALUE"""),"shepherd_marilyn@yahoo.com")</f>
        <v>shepherd_marilyn@yahoo.com</v>
      </c>
      <c r="G8620" s="3"/>
      <c r="H8620" s="3"/>
    </row>
    <row r="8621">
      <c r="A8621" s="2">
        <f>IFERROR(__xludf.DUMMYFUNCTION("""COMPUTED_VALUE"""),30575.0)</f>
        <v>30575</v>
      </c>
      <c r="B8621" s="3" t="str">
        <f>IFERROR(__xludf.DUMMYFUNCTION("""COMPUTED_VALUE"""),"130 EDDYSTONE RD ")</f>
        <v>130 EDDYSTONE RD </v>
      </c>
      <c r="C8621" s="3" t="str">
        <f>IFERROR(__xludf.DUMMYFUNCTION("""COMPUTED_VALUE"""),"GRAFTON")</f>
        <v>GRAFTON</v>
      </c>
      <c r="D8621" s="3" t="str">
        <f>IFERROR(__xludf.DUMMYFUNCTION("""COMPUTED_VALUE"""),"K0K 2G0")</f>
        <v>K0K 2G0</v>
      </c>
      <c r="E8621" s="3" t="str">
        <f>IFERROR(__xludf.DUMMYFUNCTION("""COMPUTED_VALUE"""),"Thomas Clark")</f>
        <v>Thomas Clark</v>
      </c>
      <c r="F8621" s="3" t="str">
        <f>IFERROR(__xludf.DUMMYFUNCTION("""COMPUTED_VALUE"""),"tom.clark.60@hotmail.com")</f>
        <v>tom.clark.60@hotmail.com</v>
      </c>
      <c r="G8621" s="3"/>
      <c r="H8621" s="3"/>
    </row>
    <row r="8622">
      <c r="A8622" s="2">
        <f>IFERROR(__xludf.DUMMYFUNCTION("""COMPUTED_VALUE"""),30576.0)</f>
        <v>30576</v>
      </c>
      <c r="B8622" s="3" t="str">
        <f>IFERROR(__xludf.DUMMYFUNCTION("""COMPUTED_VALUE"""),"131 EDDYSTONE RD ")</f>
        <v>131 EDDYSTONE RD </v>
      </c>
      <c r="C8622" s="3" t="str">
        <f>IFERROR(__xludf.DUMMYFUNCTION("""COMPUTED_VALUE"""),"GRAFTON")</f>
        <v>GRAFTON</v>
      </c>
      <c r="D8622" s="3" t="str">
        <f>IFERROR(__xludf.DUMMYFUNCTION("""COMPUTED_VALUE"""),"K0K 2G0")</f>
        <v>K0K 2G0</v>
      </c>
      <c r="E8622" s="3" t="str">
        <f>IFERROR(__xludf.DUMMYFUNCTION("""COMPUTED_VALUE"""),"Michael Goosney")</f>
        <v>Michael Goosney</v>
      </c>
      <c r="F8622" s="3" t="str">
        <f>IFERROR(__xludf.DUMMYFUNCTION("""COMPUTED_VALUE"""),"krista.mike@yahoo.com")</f>
        <v>krista.mike@yahoo.com</v>
      </c>
      <c r="G8622" s="3">
        <f>IFERROR(__xludf.DUMMYFUNCTION("""COMPUTED_VALUE"""),9.059952153E9)</f>
        <v>9059952153</v>
      </c>
      <c r="H8622" s="3"/>
    </row>
    <row r="8623">
      <c r="A8623" s="2">
        <f>IFERROR(__xludf.DUMMYFUNCTION("""COMPUTED_VALUE"""),30577.0)</f>
        <v>30577</v>
      </c>
      <c r="B8623" s="3" t="str">
        <f>IFERROR(__xludf.DUMMYFUNCTION("""COMPUTED_VALUE"""),"156 EDDYSTONE RD ")</f>
        <v>156 EDDYSTONE RD </v>
      </c>
      <c r="C8623" s="3" t="str">
        <f>IFERROR(__xludf.DUMMYFUNCTION("""COMPUTED_VALUE"""),"GRAFTON")</f>
        <v>GRAFTON</v>
      </c>
      <c r="D8623" s="3" t="str">
        <f>IFERROR(__xludf.DUMMYFUNCTION("""COMPUTED_VALUE"""),"K0K 2G0")</f>
        <v>K0K 2G0</v>
      </c>
      <c r="E8623" s="3" t="str">
        <f>IFERROR(__xludf.DUMMYFUNCTION("""COMPUTED_VALUE"""),"Jamie Whitter")</f>
        <v>Jamie Whitter</v>
      </c>
      <c r="F8623" s="3" t="str">
        <f>IFERROR(__xludf.DUMMYFUNCTION("""COMPUTED_VALUE"""),"whitter.jamie@gmail.com")</f>
        <v>whitter.jamie@gmail.com</v>
      </c>
      <c r="G8623" s="3"/>
      <c r="H8623" s="3"/>
    </row>
    <row r="8624">
      <c r="A8624" s="2">
        <f>IFERROR(__xludf.DUMMYFUNCTION("""COMPUTED_VALUE"""),30578.0)</f>
        <v>30578</v>
      </c>
      <c r="B8624" s="3" t="str">
        <f>IFERROR(__xludf.DUMMYFUNCTION("""COMPUTED_VALUE"""),"334 EDDYSTONE RD ")</f>
        <v>334 EDDYSTONE RD </v>
      </c>
      <c r="C8624" s="3" t="str">
        <f>IFERROR(__xludf.DUMMYFUNCTION("""COMPUTED_VALUE"""),"GRAFTON")</f>
        <v>GRAFTON</v>
      </c>
      <c r="D8624" s="3" t="str">
        <f>IFERROR(__xludf.DUMMYFUNCTION("""COMPUTED_VALUE"""),"K0K 2G0")</f>
        <v>K0K 2G0</v>
      </c>
      <c r="E8624" s="3" t="str">
        <f>IFERROR(__xludf.DUMMYFUNCTION("""COMPUTED_VALUE"""),"Bruce Covert")</f>
        <v>Bruce Covert</v>
      </c>
      <c r="F8624" s="3"/>
      <c r="G8624" s="3"/>
      <c r="H8624" s="3"/>
    </row>
    <row r="8625">
      <c r="A8625" s="2">
        <f>IFERROR(__xludf.DUMMYFUNCTION("""COMPUTED_VALUE"""),30579.0)</f>
        <v>30579</v>
      </c>
      <c r="B8625" s="3" t="str">
        <f>IFERROR(__xludf.DUMMYFUNCTION("""COMPUTED_VALUE"""),"336 EDDYSTONE RD ")</f>
        <v>336 EDDYSTONE RD </v>
      </c>
      <c r="C8625" s="3" t="str">
        <f>IFERROR(__xludf.DUMMYFUNCTION("""COMPUTED_VALUE"""),"GRAFTON")</f>
        <v>GRAFTON</v>
      </c>
      <c r="D8625" s="3" t="str">
        <f>IFERROR(__xludf.DUMMYFUNCTION("""COMPUTED_VALUE"""),"K0K 2G0")</f>
        <v>K0K 2G0</v>
      </c>
      <c r="E8625" s="3" t="str">
        <f>IFERROR(__xludf.DUMMYFUNCTION("""COMPUTED_VALUE"""),"Patrick Cassano")</f>
        <v>Patrick Cassano</v>
      </c>
      <c r="F8625" s="3" t="str">
        <f>IFERROR(__xludf.DUMMYFUNCTION("""COMPUTED_VALUE"""),"patrickcassano@outlook.com")</f>
        <v>patrickcassano@outlook.com</v>
      </c>
      <c r="G8625" s="3">
        <f>IFERROR(__xludf.DUMMYFUNCTION("""COMPUTED_VALUE"""),9.059140255E9)</f>
        <v>9059140255</v>
      </c>
      <c r="H8625" s="3"/>
    </row>
    <row r="8626">
      <c r="A8626" s="2">
        <f>IFERROR(__xludf.DUMMYFUNCTION("""COMPUTED_VALUE"""),30580.0)</f>
        <v>30580</v>
      </c>
      <c r="B8626" s="3" t="str">
        <f>IFERROR(__xludf.DUMMYFUNCTION("""COMPUTED_VALUE"""),"346 EDDYSTONE RD ")</f>
        <v>346 EDDYSTONE RD </v>
      </c>
      <c r="C8626" s="3" t="str">
        <f>IFERROR(__xludf.DUMMYFUNCTION("""COMPUTED_VALUE"""),"GRAFTON")</f>
        <v>GRAFTON</v>
      </c>
      <c r="D8626" s="3" t="str">
        <f>IFERROR(__xludf.DUMMYFUNCTION("""COMPUTED_VALUE"""),"K0K 2G0")</f>
        <v>K0K 2G0</v>
      </c>
      <c r="E8626" s="3" t="str">
        <f>IFERROR(__xludf.DUMMYFUNCTION("""COMPUTED_VALUE"""),"Grant Aldridge")</f>
        <v>Grant Aldridge</v>
      </c>
      <c r="F8626" s="3" t="str">
        <f>IFERROR(__xludf.DUMMYFUNCTION("""COMPUTED_VALUE"""),"grantridge@hotmail.com")</f>
        <v>grantridge@hotmail.com</v>
      </c>
      <c r="G8626" s="3">
        <f>IFERROR(__xludf.DUMMYFUNCTION("""COMPUTED_VALUE"""),4.166248813E9)</f>
        <v>4166248813</v>
      </c>
      <c r="H8626" s="3"/>
    </row>
    <row r="8627">
      <c r="A8627" s="2">
        <f>IFERROR(__xludf.DUMMYFUNCTION("""COMPUTED_VALUE"""),30581.0)</f>
        <v>30581</v>
      </c>
      <c r="B8627" s="3" t="str">
        <f>IFERROR(__xludf.DUMMYFUNCTION("""COMPUTED_VALUE"""),"349 EDDYSTONE RD ")</f>
        <v>349 EDDYSTONE RD </v>
      </c>
      <c r="C8627" s="3" t="str">
        <f>IFERROR(__xludf.DUMMYFUNCTION("""COMPUTED_VALUE"""),"GRAFTON")</f>
        <v>GRAFTON</v>
      </c>
      <c r="D8627" s="3" t="str">
        <f>IFERROR(__xludf.DUMMYFUNCTION("""COMPUTED_VALUE"""),"K0K 2G0")</f>
        <v>K0K 2G0</v>
      </c>
      <c r="E8627" s="3" t="str">
        <f>IFERROR(__xludf.DUMMYFUNCTION("""COMPUTED_VALUE"""),"Art Lansley")</f>
        <v>Art Lansley</v>
      </c>
      <c r="F8627" s="3" t="str">
        <f>IFERROR(__xludf.DUMMYFUNCTION("""COMPUTED_VALUE"""),"alansley@hotmail.com")</f>
        <v>alansley@hotmail.com</v>
      </c>
      <c r="G8627" s="3">
        <f>IFERROR(__xludf.DUMMYFUNCTION("""COMPUTED_VALUE"""),9.053492527E9)</f>
        <v>9053492527</v>
      </c>
      <c r="H8627" s="3"/>
    </row>
    <row r="8628">
      <c r="A8628" s="2">
        <f>IFERROR(__xludf.DUMMYFUNCTION("""COMPUTED_VALUE"""),30573.0)</f>
        <v>30573</v>
      </c>
      <c r="B8628" s="3" t="str">
        <f>IFERROR(__xludf.DUMMYFUNCTION("""COMPUTED_VALUE"""),"358 EDDYSTONE RD ")</f>
        <v>358 EDDYSTONE RD </v>
      </c>
      <c r="C8628" s="3" t="str">
        <f>IFERROR(__xludf.DUMMYFUNCTION("""COMPUTED_VALUE"""),"GRAFTON")</f>
        <v>GRAFTON</v>
      </c>
      <c r="D8628" s="3" t="str">
        <f>IFERROR(__xludf.DUMMYFUNCTION("""COMPUTED_VALUE"""),"K0K 2G0")</f>
        <v>K0K 2G0</v>
      </c>
      <c r="E8628" s="3" t="str">
        <f>IFERROR(__xludf.DUMMYFUNCTION("""COMPUTED_VALUE"""),"Sandie Prentice")</f>
        <v>Sandie Prentice</v>
      </c>
      <c r="F8628" s="3"/>
      <c r="G8628" s="3"/>
      <c r="H8628" s="3"/>
    </row>
    <row r="8629">
      <c r="A8629" s="2">
        <f>IFERROR(__xludf.DUMMYFUNCTION("""COMPUTED_VALUE"""),30582.0)</f>
        <v>30582</v>
      </c>
      <c r="B8629" s="3" t="str">
        <f>IFERROR(__xludf.DUMMYFUNCTION("""COMPUTED_VALUE"""),"383 EDDYSTONE RD ")</f>
        <v>383 EDDYSTONE RD </v>
      </c>
      <c r="C8629" s="3" t="str">
        <f>IFERROR(__xludf.DUMMYFUNCTION("""COMPUTED_VALUE"""),"GRAFTON")</f>
        <v>GRAFTON</v>
      </c>
      <c r="D8629" s="3" t="str">
        <f>IFERROR(__xludf.DUMMYFUNCTION("""COMPUTED_VALUE"""),"K0K 2G0")</f>
        <v>K0K 2G0</v>
      </c>
      <c r="E8629" s="3" t="str">
        <f>IFERROR(__xludf.DUMMYFUNCTION("""COMPUTED_VALUE"""),"Sarah Webster")</f>
        <v>Sarah Webster</v>
      </c>
      <c r="F8629" s="3" t="str">
        <f>IFERROR(__xludf.DUMMYFUNCTION("""COMPUTED_VALUE"""),"sarahsweb22@gmail.com")</f>
        <v>sarahsweb22@gmail.com</v>
      </c>
      <c r="G8629" s="3">
        <f>IFERROR(__xludf.DUMMYFUNCTION("""COMPUTED_VALUE"""),4.163889131E9)</f>
        <v>4163889131</v>
      </c>
      <c r="H8629" s="3"/>
    </row>
    <row r="8630">
      <c r="A8630" s="2">
        <f>IFERROR(__xludf.DUMMYFUNCTION("""COMPUTED_VALUE"""),30583.0)</f>
        <v>30583</v>
      </c>
      <c r="B8630" s="3" t="str">
        <f>IFERROR(__xludf.DUMMYFUNCTION("""COMPUTED_VALUE"""),"436 EDDYSTONE RD ")</f>
        <v>436 EDDYSTONE RD </v>
      </c>
      <c r="C8630" s="3" t="str">
        <f>IFERROR(__xludf.DUMMYFUNCTION("""COMPUTED_VALUE"""),"GRAFTON")</f>
        <v>GRAFTON</v>
      </c>
      <c r="D8630" s="3" t="str">
        <f>IFERROR(__xludf.DUMMYFUNCTION("""COMPUTED_VALUE"""),"K0K 2G0")</f>
        <v>K0K 2G0</v>
      </c>
      <c r="E8630" s="3" t="str">
        <f>IFERROR(__xludf.DUMMYFUNCTION("""COMPUTED_VALUE"""),"Earl Robertson")</f>
        <v>Earl Robertson</v>
      </c>
      <c r="F8630" s="3" t="str">
        <f>IFERROR(__xludf.DUMMYFUNCTION("""COMPUTED_VALUE"""),"aito1@me.com")</f>
        <v>aito1@me.com</v>
      </c>
      <c r="G8630" s="3">
        <f>IFERROR(__xludf.DUMMYFUNCTION("""COMPUTED_VALUE"""),9.05601288E9)</f>
        <v>9056012880</v>
      </c>
      <c r="H8630" s="3"/>
    </row>
    <row r="8631">
      <c r="A8631" s="2">
        <f>IFERROR(__xludf.DUMMYFUNCTION("""COMPUTED_VALUE"""),30584.0)</f>
        <v>30584</v>
      </c>
      <c r="B8631" s="3" t="str">
        <f>IFERROR(__xludf.DUMMYFUNCTION("""COMPUTED_VALUE"""),"455 EDDYSTONE RD ")</f>
        <v>455 EDDYSTONE RD </v>
      </c>
      <c r="C8631" s="3" t="str">
        <f>IFERROR(__xludf.DUMMYFUNCTION("""COMPUTED_VALUE"""),"GRAFTON")</f>
        <v>GRAFTON</v>
      </c>
      <c r="D8631" s="3" t="str">
        <f>IFERROR(__xludf.DUMMYFUNCTION("""COMPUTED_VALUE"""),"K0K 2G0")</f>
        <v>K0K 2G0</v>
      </c>
      <c r="E8631" s="3"/>
      <c r="F8631" s="3"/>
      <c r="G8631" s="3"/>
      <c r="H8631" s="3"/>
    </row>
    <row r="8632">
      <c r="A8632" s="2">
        <f>IFERROR(__xludf.DUMMYFUNCTION("""COMPUTED_VALUE"""),30585.0)</f>
        <v>30585</v>
      </c>
      <c r="B8632" s="3" t="str">
        <f>IFERROR(__xludf.DUMMYFUNCTION("""COMPUTED_VALUE"""),"476 EDDYSTONE RD ")</f>
        <v>476 EDDYSTONE RD </v>
      </c>
      <c r="C8632" s="3" t="str">
        <f>IFERROR(__xludf.DUMMYFUNCTION("""COMPUTED_VALUE"""),"GRAFTON")</f>
        <v>GRAFTON</v>
      </c>
      <c r="D8632" s="3" t="str">
        <f>IFERROR(__xludf.DUMMYFUNCTION("""COMPUTED_VALUE"""),"K0K 2G0")</f>
        <v>K0K 2G0</v>
      </c>
      <c r="E8632" s="3" t="str">
        <f>IFERROR(__xludf.DUMMYFUNCTION("""COMPUTED_VALUE"""),"Steve Mann")</f>
        <v>Steve Mann</v>
      </c>
      <c r="F8632" s="3" t="str">
        <f>IFERROR(__xludf.DUMMYFUNCTION("""COMPUTED_VALUE"""),"stevescruizin@hotmail.com")</f>
        <v>stevescruizin@hotmail.com</v>
      </c>
      <c r="G8632" s="3"/>
      <c r="H8632" s="3"/>
    </row>
    <row r="8633">
      <c r="A8633" s="2">
        <f>IFERROR(__xludf.DUMMYFUNCTION("""COMPUTED_VALUE"""),30586.0)</f>
        <v>30586</v>
      </c>
      <c r="B8633" s="3" t="str">
        <f>IFERROR(__xludf.DUMMYFUNCTION("""COMPUTED_VALUE"""),"483 EDDYSTONE RD ")</f>
        <v>483 EDDYSTONE RD </v>
      </c>
      <c r="C8633" s="3" t="str">
        <f>IFERROR(__xludf.DUMMYFUNCTION("""COMPUTED_VALUE"""),"GRAFTON")</f>
        <v>GRAFTON</v>
      </c>
      <c r="D8633" s="3" t="str">
        <f>IFERROR(__xludf.DUMMYFUNCTION("""COMPUTED_VALUE"""),"K0K 2G0")</f>
        <v>K0K 2G0</v>
      </c>
      <c r="E8633" s="3" t="str">
        <f>IFERROR(__xludf.DUMMYFUNCTION("""COMPUTED_VALUE"""),"David Turnbull")</f>
        <v>David Turnbull</v>
      </c>
      <c r="F8633" s="3" t="str">
        <f>IFERROR(__xludf.DUMMYFUNCTION("""COMPUTED_VALUE"""),"N/A")</f>
        <v>N/A</v>
      </c>
      <c r="G8633" s="3">
        <f>IFERROR(__xludf.DUMMYFUNCTION("""COMPUTED_VALUE"""),9.052690749E9)</f>
        <v>9052690749</v>
      </c>
      <c r="H8633" s="3"/>
    </row>
    <row r="8634">
      <c r="A8634" s="2">
        <f>IFERROR(__xludf.DUMMYFUNCTION("""COMPUTED_VALUE"""),30587.0)</f>
        <v>30587</v>
      </c>
      <c r="B8634" s="3" t="str">
        <f>IFERROR(__xludf.DUMMYFUNCTION("""COMPUTED_VALUE"""),"493 EDDYSTONE RD ")</f>
        <v>493 EDDYSTONE RD </v>
      </c>
      <c r="C8634" s="3" t="str">
        <f>IFERROR(__xludf.DUMMYFUNCTION("""COMPUTED_VALUE"""),"GRAFTON")</f>
        <v>GRAFTON</v>
      </c>
      <c r="D8634" s="3" t="str">
        <f>IFERROR(__xludf.DUMMYFUNCTION("""COMPUTED_VALUE"""),"K0K 2G0")</f>
        <v>K0K 2G0</v>
      </c>
      <c r="E8634" s="3" t="str">
        <f>IFERROR(__xludf.DUMMYFUNCTION("""COMPUTED_VALUE"""),"John Rickey")</f>
        <v>John Rickey</v>
      </c>
      <c r="F8634" s="3" t="str">
        <f>IFERROR(__xludf.DUMMYFUNCTION("""COMPUTED_VALUE"""),"grace391@outlook.com")</f>
        <v>grace391@outlook.com</v>
      </c>
      <c r="G8634" s="3">
        <f>IFERROR(__xludf.DUMMYFUNCTION("""COMPUTED_VALUE"""),9.059836275E9)</f>
        <v>9059836275</v>
      </c>
      <c r="H8634" s="3"/>
    </row>
    <row r="8635">
      <c r="A8635" s="2">
        <f>IFERROR(__xludf.DUMMYFUNCTION("""COMPUTED_VALUE"""),30588.0)</f>
        <v>30588</v>
      </c>
      <c r="B8635" s="3" t="str">
        <f>IFERROR(__xludf.DUMMYFUNCTION("""COMPUTED_VALUE"""),"530 EDDYSTONE RD ")</f>
        <v>530 EDDYSTONE RD </v>
      </c>
      <c r="C8635" s="3" t="str">
        <f>IFERROR(__xludf.DUMMYFUNCTION("""COMPUTED_VALUE"""),"GRAFTON")</f>
        <v>GRAFTON</v>
      </c>
      <c r="D8635" s="3" t="str">
        <f>IFERROR(__xludf.DUMMYFUNCTION("""COMPUTED_VALUE"""),"K0K 2G0")</f>
        <v>K0K 2G0</v>
      </c>
      <c r="E8635" s="3" t="str">
        <f>IFERROR(__xludf.DUMMYFUNCTION("""COMPUTED_VALUE"""),"Paul Kawzenuk")</f>
        <v>Paul Kawzenuk</v>
      </c>
      <c r="F8635" s="3" t="str">
        <f>IFERROR(__xludf.DUMMYFUNCTION("""COMPUTED_VALUE"""),"kawzenuk1979@hotmail.com")</f>
        <v>kawzenuk1979@hotmail.com</v>
      </c>
      <c r="G8635" s="3"/>
      <c r="H8635" s="3"/>
    </row>
    <row r="8636">
      <c r="A8636" s="2">
        <f>IFERROR(__xludf.DUMMYFUNCTION("""COMPUTED_VALUE"""),30589.0)</f>
        <v>30589</v>
      </c>
      <c r="B8636" s="3" t="str">
        <f>IFERROR(__xludf.DUMMYFUNCTION("""COMPUTED_VALUE"""),"588 EDDYSTONE RD ")</f>
        <v>588 EDDYSTONE RD </v>
      </c>
      <c r="C8636" s="3" t="str">
        <f>IFERROR(__xludf.DUMMYFUNCTION("""COMPUTED_VALUE"""),"GRAFTON")</f>
        <v>GRAFTON</v>
      </c>
      <c r="D8636" s="3" t="str">
        <f>IFERROR(__xludf.DUMMYFUNCTION("""COMPUTED_VALUE"""),"K0K 2G0")</f>
        <v>K0K 2G0</v>
      </c>
      <c r="E8636" s="3" t="str">
        <f>IFERROR(__xludf.DUMMYFUNCTION("""COMPUTED_VALUE"""),"Walter Lewis")</f>
        <v>Walter Lewis</v>
      </c>
      <c r="F8636" s="3" t="str">
        <f>IFERROR(__xludf.DUMMYFUNCTION("""COMPUTED_VALUE"""),"wltrlewis@gmail.com")</f>
        <v>wltrlewis@gmail.com</v>
      </c>
      <c r="G8636" s="3">
        <f>IFERROR(__xludf.DUMMYFUNCTION("""COMPUTED_VALUE"""),9.058053578E9)</f>
        <v>9058053578</v>
      </c>
      <c r="H8636" s="3"/>
    </row>
    <row r="8637">
      <c r="A8637" s="2">
        <f>IFERROR(__xludf.DUMMYFUNCTION("""COMPUTED_VALUE"""),30590.0)</f>
        <v>30590</v>
      </c>
      <c r="B8637" s="3" t="str">
        <f>IFERROR(__xludf.DUMMYFUNCTION("""COMPUTED_VALUE"""),"616 EDDYSTONE RD ")</f>
        <v>616 EDDYSTONE RD </v>
      </c>
      <c r="C8637" s="3" t="str">
        <f>IFERROR(__xludf.DUMMYFUNCTION("""COMPUTED_VALUE"""),"GRAFTON")</f>
        <v>GRAFTON</v>
      </c>
      <c r="D8637" s="3" t="str">
        <f>IFERROR(__xludf.DUMMYFUNCTION("""COMPUTED_VALUE"""),"K0K 2G0")</f>
        <v>K0K 2G0</v>
      </c>
      <c r="E8637" s="3" t="str">
        <f>IFERROR(__xludf.DUMMYFUNCTION("""COMPUTED_VALUE"""),"Grant Edmonds")</f>
        <v>Grant Edmonds</v>
      </c>
      <c r="F8637" s="3" t="str">
        <f>IFERROR(__xludf.DUMMYFUNCTION("""COMPUTED_VALUE"""),"grant@thedarkstudio.com")</f>
        <v>grant@thedarkstudio.com</v>
      </c>
      <c r="G8637" s="3">
        <f>IFERROR(__xludf.DUMMYFUNCTION("""COMPUTED_VALUE"""),4.167384177E9)</f>
        <v>4167384177</v>
      </c>
      <c r="H8637" s="3"/>
    </row>
    <row r="8638">
      <c r="A8638" s="2">
        <f>IFERROR(__xludf.DUMMYFUNCTION("""COMPUTED_VALUE"""),30591.0)</f>
        <v>30591</v>
      </c>
      <c r="B8638" s="3" t="str">
        <f>IFERROR(__xludf.DUMMYFUNCTION("""COMPUTED_VALUE"""),"631 EDDYSTONE RD ")</f>
        <v>631 EDDYSTONE RD </v>
      </c>
      <c r="C8638" s="3" t="str">
        <f>IFERROR(__xludf.DUMMYFUNCTION("""COMPUTED_VALUE"""),"GRAFTON")</f>
        <v>GRAFTON</v>
      </c>
      <c r="D8638" s="3" t="str">
        <f>IFERROR(__xludf.DUMMYFUNCTION("""COMPUTED_VALUE"""),"K0K 2G0")</f>
        <v>K0K 2G0</v>
      </c>
      <c r="E8638" s="3" t="str">
        <f>IFERROR(__xludf.DUMMYFUNCTION("""COMPUTED_VALUE"""),"Bernadette Murray")</f>
        <v>Bernadette Murray</v>
      </c>
      <c r="F8638" s="3" t="str">
        <f>IFERROR(__xludf.DUMMYFUNCTION("""COMPUTED_VALUE"""),"bmurraybam@outlook.com")</f>
        <v>bmurraybam@outlook.com</v>
      </c>
      <c r="G8638" s="3"/>
      <c r="H8638" s="3"/>
    </row>
    <row r="8639">
      <c r="A8639" s="2">
        <f>IFERROR(__xludf.DUMMYFUNCTION("""COMPUTED_VALUE"""),30592.0)</f>
        <v>30592</v>
      </c>
      <c r="B8639" s="3" t="str">
        <f>IFERROR(__xludf.DUMMYFUNCTION("""COMPUTED_VALUE"""),"638 EDDYSTONE RD ")</f>
        <v>638 EDDYSTONE RD </v>
      </c>
      <c r="C8639" s="3" t="str">
        <f>IFERROR(__xludf.DUMMYFUNCTION("""COMPUTED_VALUE"""),"GRAFTON")</f>
        <v>GRAFTON</v>
      </c>
      <c r="D8639" s="3" t="str">
        <f>IFERROR(__xludf.DUMMYFUNCTION("""COMPUTED_VALUE"""),"K0K 2G0")</f>
        <v>K0K 2G0</v>
      </c>
      <c r="E8639" s="3" t="str">
        <f>IFERROR(__xludf.DUMMYFUNCTION("""COMPUTED_VALUE"""),"Kelsey Robertson")</f>
        <v>Kelsey Robertson</v>
      </c>
      <c r="F8639" s="3"/>
      <c r="G8639" s="3"/>
      <c r="H8639" s="3"/>
    </row>
    <row r="8640">
      <c r="A8640" s="2">
        <f>IFERROR(__xludf.DUMMYFUNCTION("""COMPUTED_VALUE"""),30593.0)</f>
        <v>30593</v>
      </c>
      <c r="B8640" s="3" t="str">
        <f>IFERROR(__xludf.DUMMYFUNCTION("""COMPUTED_VALUE"""),"658 EDDYSTONE RD ")</f>
        <v>658 EDDYSTONE RD </v>
      </c>
      <c r="C8640" s="3" t="str">
        <f>IFERROR(__xludf.DUMMYFUNCTION("""COMPUTED_VALUE"""),"GRAFTON")</f>
        <v>GRAFTON</v>
      </c>
      <c r="D8640" s="3" t="str">
        <f>IFERROR(__xludf.DUMMYFUNCTION("""COMPUTED_VALUE"""),"K0K 2G0")</f>
        <v>K0K 2G0</v>
      </c>
      <c r="E8640" s="3" t="str">
        <f>IFERROR(__xludf.DUMMYFUNCTION("""COMPUTED_VALUE"""),"Randy Smith")</f>
        <v>Randy Smith</v>
      </c>
      <c r="F8640" s="3" t="str">
        <f>IFERROR(__xludf.DUMMYFUNCTION("""COMPUTED_VALUE"""),"N/A")</f>
        <v>N/A</v>
      </c>
      <c r="G8640" s="3">
        <f>IFERROR(__xludf.DUMMYFUNCTION("""COMPUTED_VALUE"""),9.053493788E9)</f>
        <v>9053493788</v>
      </c>
      <c r="H8640" s="3"/>
    </row>
    <row r="8641">
      <c r="A8641" s="2">
        <f>IFERROR(__xludf.DUMMYFUNCTION("""COMPUTED_VALUE"""),30594.0)</f>
        <v>30594</v>
      </c>
      <c r="B8641" s="3" t="str">
        <f>IFERROR(__xludf.DUMMYFUNCTION("""COMPUTED_VALUE"""),"660 EDDYSTONE RD ")</f>
        <v>660 EDDYSTONE RD </v>
      </c>
      <c r="C8641" s="3" t="str">
        <f>IFERROR(__xludf.DUMMYFUNCTION("""COMPUTED_VALUE"""),"GRAFTON")</f>
        <v>GRAFTON</v>
      </c>
      <c r="D8641" s="3" t="str">
        <f>IFERROR(__xludf.DUMMYFUNCTION("""COMPUTED_VALUE"""),"K0K 2G0")</f>
        <v>K0K 2G0</v>
      </c>
      <c r="E8641" s="3"/>
      <c r="F8641" s="3"/>
      <c r="G8641" s="3"/>
      <c r="H8641" s="3"/>
    </row>
    <row r="8642">
      <c r="A8642" s="2">
        <f>IFERROR(__xludf.DUMMYFUNCTION("""COMPUTED_VALUE"""),30595.0)</f>
        <v>30595</v>
      </c>
      <c r="B8642" s="3" t="str">
        <f>IFERROR(__xludf.DUMMYFUNCTION("""COMPUTED_VALUE"""),"716 EDDYSTONE RD ")</f>
        <v>716 EDDYSTONE RD </v>
      </c>
      <c r="C8642" s="3" t="str">
        <f>IFERROR(__xludf.DUMMYFUNCTION("""COMPUTED_VALUE"""),"GRAFTON")</f>
        <v>GRAFTON</v>
      </c>
      <c r="D8642" s="3" t="str">
        <f>IFERROR(__xludf.DUMMYFUNCTION("""COMPUTED_VALUE"""),"K0K 2G0")</f>
        <v>K0K 2G0</v>
      </c>
      <c r="E8642" s="3" t="str">
        <f>IFERROR(__xludf.DUMMYFUNCTION("""COMPUTED_VALUE"""),"Daniel and Joyce Shear")</f>
        <v>Daniel and Joyce Shear</v>
      </c>
      <c r="F8642" s="3" t="str">
        <f>IFERROR(__xludf.DUMMYFUNCTION("""COMPUTED_VALUE"""),"shearjoy@outlook.com shearlaw@hotmail.com")</f>
        <v>shearjoy@outlook.com shearlaw@hotmail.com</v>
      </c>
      <c r="G8642" s="3">
        <f>IFERROR(__xludf.DUMMYFUNCTION("""COMPUTED_VALUE"""),6.139203798E9)</f>
        <v>6139203798</v>
      </c>
      <c r="H8642" s="3">
        <f>IFERROR(__xludf.DUMMYFUNCTION("""COMPUTED_VALUE"""),4.165803678E9)</f>
        <v>4165803678</v>
      </c>
    </row>
    <row r="8643">
      <c r="A8643" s="2">
        <f>IFERROR(__xludf.DUMMYFUNCTION("""COMPUTED_VALUE"""),30596.0)</f>
        <v>30596</v>
      </c>
      <c r="B8643" s="3" t="str">
        <f>IFERROR(__xludf.DUMMYFUNCTION("""COMPUTED_VALUE"""),"732 EDDYSTONE RD ")</f>
        <v>732 EDDYSTONE RD </v>
      </c>
      <c r="C8643" s="3" t="str">
        <f>IFERROR(__xludf.DUMMYFUNCTION("""COMPUTED_VALUE"""),"GRAFTON")</f>
        <v>GRAFTON</v>
      </c>
      <c r="D8643" s="3" t="str">
        <f>IFERROR(__xludf.DUMMYFUNCTION("""COMPUTED_VALUE"""),"K0K 2G0")</f>
        <v>K0K 2G0</v>
      </c>
      <c r="E8643" s="3" t="str">
        <f>IFERROR(__xludf.DUMMYFUNCTION("""COMPUTED_VALUE"""),"Paddy Ellison")</f>
        <v>Paddy Ellison</v>
      </c>
      <c r="F8643" s="3" t="str">
        <f>IFERROR(__xludf.DUMMYFUNCTION("""COMPUTED_VALUE"""),"paddy900@proton.com")</f>
        <v>paddy900@proton.com</v>
      </c>
      <c r="G8643" s="3">
        <f>IFERROR(__xludf.DUMMYFUNCTION("""COMPUTED_VALUE"""),2.896911714E9)</f>
        <v>2896911714</v>
      </c>
      <c r="H8643" s="3"/>
    </row>
    <row r="8644">
      <c r="A8644" s="2">
        <f>IFERROR(__xludf.DUMMYFUNCTION("""COMPUTED_VALUE"""),30597.0)</f>
        <v>30597</v>
      </c>
      <c r="B8644" s="3" t="str">
        <f>IFERROR(__xludf.DUMMYFUNCTION("""COMPUTED_VALUE"""),"751 EDDYSTONE RD ")</f>
        <v>751 EDDYSTONE RD </v>
      </c>
      <c r="C8644" s="3" t="str">
        <f>IFERROR(__xludf.DUMMYFUNCTION("""COMPUTED_VALUE"""),"GRAFTON")</f>
        <v>GRAFTON</v>
      </c>
      <c r="D8644" s="3" t="str">
        <f>IFERROR(__xludf.DUMMYFUNCTION("""COMPUTED_VALUE"""),"K0K 2G0")</f>
        <v>K0K 2G0</v>
      </c>
      <c r="E8644" s="3" t="str">
        <f>IFERROR(__xludf.DUMMYFUNCTION("""COMPUTED_VALUE"""),"Peter Medvick")</f>
        <v>Peter Medvick</v>
      </c>
      <c r="F8644" s="3" t="str">
        <f>IFERROR(__xludf.DUMMYFUNCTION("""COMPUTED_VALUE"""),"petmdevick@gmail.com")</f>
        <v>petmdevick@gmail.com</v>
      </c>
      <c r="G8644" s="3">
        <f>IFERROR(__xludf.DUMMYFUNCTION("""COMPUTED_VALUE"""),4.166915123E9)</f>
        <v>4166915123</v>
      </c>
      <c r="H8644" s="3"/>
    </row>
    <row r="8645">
      <c r="A8645" s="2">
        <f>IFERROR(__xludf.DUMMYFUNCTION("""COMPUTED_VALUE"""),30598.0)</f>
        <v>30598</v>
      </c>
      <c r="B8645" s="3" t="str">
        <f>IFERROR(__xludf.DUMMYFUNCTION("""COMPUTED_VALUE"""),"760 EDDYSTONE RD ")</f>
        <v>760 EDDYSTONE RD </v>
      </c>
      <c r="C8645" s="3" t="str">
        <f>IFERROR(__xludf.DUMMYFUNCTION("""COMPUTED_VALUE"""),"GRAFTON")</f>
        <v>GRAFTON</v>
      </c>
      <c r="D8645" s="3" t="str">
        <f>IFERROR(__xludf.DUMMYFUNCTION("""COMPUTED_VALUE"""),"K0K 2G0")</f>
        <v>K0K 2G0</v>
      </c>
      <c r="E8645" s="3"/>
      <c r="F8645" s="3"/>
      <c r="G8645" s="3"/>
      <c r="H8645" s="3"/>
    </row>
    <row r="8646">
      <c r="A8646" s="2">
        <f>IFERROR(__xludf.DUMMYFUNCTION("""COMPUTED_VALUE"""),30599.0)</f>
        <v>30599</v>
      </c>
      <c r="B8646" s="3" t="str">
        <f>IFERROR(__xludf.DUMMYFUNCTION("""COMPUTED_VALUE"""),"798 EDDYSTONE RD ")</f>
        <v>798 EDDYSTONE RD </v>
      </c>
      <c r="C8646" s="3" t="str">
        <f>IFERROR(__xludf.DUMMYFUNCTION("""COMPUTED_VALUE"""),"GRAFTON")</f>
        <v>GRAFTON</v>
      </c>
      <c r="D8646" s="3" t="str">
        <f>IFERROR(__xludf.DUMMYFUNCTION("""COMPUTED_VALUE"""),"K0K 2G0")</f>
        <v>K0K 2G0</v>
      </c>
      <c r="E8646" s="3" t="str">
        <f>IFERROR(__xludf.DUMMYFUNCTION("""COMPUTED_VALUE"""),"Owen James")</f>
        <v>Owen James</v>
      </c>
      <c r="F8646" s="3" t="str">
        <f>IFERROR(__xludf.DUMMYFUNCTION("""COMPUTED_VALUE"""),"owen@medicalintuitive.ca")</f>
        <v>owen@medicalintuitive.ca</v>
      </c>
      <c r="G8646" s="3"/>
      <c r="H8646" s="3"/>
    </row>
    <row r="8647">
      <c r="A8647" s="2">
        <f>IFERROR(__xludf.DUMMYFUNCTION("""COMPUTED_VALUE"""),30600.0)</f>
        <v>30600</v>
      </c>
      <c r="B8647" s="3" t="str">
        <f>IFERROR(__xludf.DUMMYFUNCTION("""COMPUTED_VALUE"""),"843 EDDYSTONE RD ")</f>
        <v>843 EDDYSTONE RD </v>
      </c>
      <c r="C8647" s="3" t="str">
        <f>IFERROR(__xludf.DUMMYFUNCTION("""COMPUTED_VALUE"""),"GRAFTON")</f>
        <v>GRAFTON</v>
      </c>
      <c r="D8647" s="3" t="str">
        <f>IFERROR(__xludf.DUMMYFUNCTION("""COMPUTED_VALUE"""),"K0K 2G0")</f>
        <v>K0K 2G0</v>
      </c>
      <c r="E8647" s="3"/>
      <c r="F8647" s="3"/>
      <c r="G8647" s="3"/>
      <c r="H8647" s="3"/>
    </row>
    <row r="8648">
      <c r="A8648" s="2">
        <f>IFERROR(__xludf.DUMMYFUNCTION("""COMPUTED_VALUE"""),30601.0)</f>
        <v>30601</v>
      </c>
      <c r="B8648" s="3" t="str">
        <f>IFERROR(__xludf.DUMMYFUNCTION("""COMPUTED_VALUE"""),"961 EDDYSTONE RD ")</f>
        <v>961 EDDYSTONE RD </v>
      </c>
      <c r="C8648" s="3" t="str">
        <f>IFERROR(__xludf.DUMMYFUNCTION("""COMPUTED_VALUE"""),"CASTLETON")</f>
        <v>CASTLETON</v>
      </c>
      <c r="D8648" s="3" t="str">
        <f>IFERROR(__xludf.DUMMYFUNCTION("""COMPUTED_VALUE"""),"K0K 1M0")</f>
        <v>K0K 1M0</v>
      </c>
      <c r="E8648" s="3" t="str">
        <f>IFERROR(__xludf.DUMMYFUNCTION("""COMPUTED_VALUE"""),"Robyn Boyd")</f>
        <v>Robyn Boyd</v>
      </c>
      <c r="F8648" s="3" t="str">
        <f>IFERROR(__xludf.DUMMYFUNCTION("""COMPUTED_VALUE"""),"robyn_boyd76@yahoo.ca")</f>
        <v>robyn_boyd76@yahoo.ca</v>
      </c>
      <c r="G8648" s="3"/>
      <c r="H8648" s="3"/>
    </row>
    <row r="8649">
      <c r="A8649" s="2">
        <f>IFERROR(__xludf.DUMMYFUNCTION("""COMPUTED_VALUE"""),30602.0)</f>
        <v>30602</v>
      </c>
      <c r="B8649" s="3" t="str">
        <f>IFERROR(__xludf.DUMMYFUNCTION("""COMPUTED_VALUE"""),"983 EDDYSTONE RD ")</f>
        <v>983 EDDYSTONE RD </v>
      </c>
      <c r="C8649" s="3" t="str">
        <f>IFERROR(__xludf.DUMMYFUNCTION("""COMPUTED_VALUE"""),"CASTLETON")</f>
        <v>CASTLETON</v>
      </c>
      <c r="D8649" s="3" t="str">
        <f>IFERROR(__xludf.DUMMYFUNCTION("""COMPUTED_VALUE"""),"K0K 1M0")</f>
        <v>K0K 1M0</v>
      </c>
      <c r="E8649" s="3" t="str">
        <f>IFERROR(__xludf.DUMMYFUNCTION("""COMPUTED_VALUE"""),"Darcy Campbell")</f>
        <v>Darcy Campbell</v>
      </c>
      <c r="F8649" s="3"/>
      <c r="G8649" s="3"/>
      <c r="H8649" s="3"/>
    </row>
    <row r="8650">
      <c r="A8650" s="2">
        <f>IFERROR(__xludf.DUMMYFUNCTION("""COMPUTED_VALUE"""),30603.0)</f>
        <v>30603</v>
      </c>
      <c r="B8650" s="3" t="str">
        <f>IFERROR(__xludf.DUMMYFUNCTION("""COMPUTED_VALUE"""),"997 EDDYSTONE RD ")</f>
        <v>997 EDDYSTONE RD </v>
      </c>
      <c r="C8650" s="3" t="str">
        <f>IFERROR(__xludf.DUMMYFUNCTION("""COMPUTED_VALUE"""),"CASTLETON")</f>
        <v>CASTLETON</v>
      </c>
      <c r="D8650" s="3" t="str">
        <f>IFERROR(__xludf.DUMMYFUNCTION("""COMPUTED_VALUE"""),"K0K 1M0")</f>
        <v>K0K 1M0</v>
      </c>
      <c r="E8650" s="3" t="str">
        <f>IFERROR(__xludf.DUMMYFUNCTION("""COMPUTED_VALUE"""),"Jody Robillard")</f>
        <v>Jody Robillard</v>
      </c>
      <c r="F8650" s="3" t="str">
        <f>IFERROR(__xludf.DUMMYFUNCTION("""COMPUTED_VALUE"""),"jodylrobillard@gmail.com")</f>
        <v>jodylrobillard@gmail.com</v>
      </c>
      <c r="G8650" s="3">
        <f>IFERROR(__xludf.DUMMYFUNCTION("""COMPUTED_VALUE"""),9.05349305E9)</f>
        <v>9053493050</v>
      </c>
      <c r="H8650" s="3">
        <f>IFERROR(__xludf.DUMMYFUNCTION("""COMPUTED_VALUE"""),9.053765136E9)</f>
        <v>9053765136</v>
      </c>
    </row>
    <row r="8651">
      <c r="A8651" s="2">
        <f>IFERROR(__xludf.DUMMYFUNCTION("""COMPUTED_VALUE"""),30604.0)</f>
        <v>30604</v>
      </c>
      <c r="B8651" s="3" t="str">
        <f>IFERROR(__xludf.DUMMYFUNCTION("""COMPUTED_VALUE"""),"1021 EDDYSTONE RD ")</f>
        <v>1021 EDDYSTONE RD </v>
      </c>
      <c r="C8651" s="3" t="str">
        <f>IFERROR(__xludf.DUMMYFUNCTION("""COMPUTED_VALUE"""),"CASTLETON")</f>
        <v>CASTLETON</v>
      </c>
      <c r="D8651" s="3" t="str">
        <f>IFERROR(__xludf.DUMMYFUNCTION("""COMPUTED_VALUE"""),"K0K 1M0")</f>
        <v>K0K 1M0</v>
      </c>
      <c r="E8651" s="3" t="str">
        <f>IFERROR(__xludf.DUMMYFUNCTION("""COMPUTED_VALUE"""),"Ian Hartford")</f>
        <v>Ian Hartford</v>
      </c>
      <c r="F8651" s="3" t="str">
        <f>IFERROR(__xludf.DUMMYFUNCTION("""COMPUTED_VALUE"""),"ian.hartford@gmail.com")</f>
        <v>ian.hartford@gmail.com</v>
      </c>
      <c r="G8651" s="3">
        <f>IFERROR(__xludf.DUMMYFUNCTION("""COMPUTED_VALUE"""),9.058096232E9)</f>
        <v>9058096232</v>
      </c>
      <c r="H8651" s="3"/>
    </row>
    <row r="8652">
      <c r="A8652" s="2">
        <f>IFERROR(__xludf.DUMMYFUNCTION("""COMPUTED_VALUE"""),30609.0)</f>
        <v>30609</v>
      </c>
      <c r="B8652" s="3" t="str">
        <f>IFERROR(__xludf.DUMMYFUNCTION("""COMPUTED_VALUE"""),"110 FINLEY RD ")</f>
        <v>110 FINLEY RD </v>
      </c>
      <c r="C8652" s="3" t="str">
        <f>IFERROR(__xludf.DUMMYFUNCTION("""COMPUTED_VALUE"""),"COBOURG")</f>
        <v>COBOURG</v>
      </c>
      <c r="D8652" s="3" t="str">
        <f>IFERROR(__xludf.DUMMYFUNCTION("""COMPUTED_VALUE"""),"K9A 4J8")</f>
        <v>K9A 4J8</v>
      </c>
      <c r="E8652" s="3"/>
      <c r="F8652" s="3"/>
      <c r="G8652" s="3"/>
      <c r="H8652" s="3"/>
    </row>
    <row r="8653">
      <c r="A8653" s="2">
        <f>IFERROR(__xludf.DUMMYFUNCTION("""COMPUTED_VALUE"""),30610.0)</f>
        <v>30610</v>
      </c>
      <c r="B8653" s="3" t="str">
        <f>IFERROR(__xludf.DUMMYFUNCTION("""COMPUTED_VALUE"""),"150 FINLEY RD ")</f>
        <v>150 FINLEY RD </v>
      </c>
      <c r="C8653" s="3" t="str">
        <f>IFERROR(__xludf.DUMMYFUNCTION("""COMPUTED_VALUE"""),"COBOURG")</f>
        <v>COBOURG</v>
      </c>
      <c r="D8653" s="3" t="str">
        <f>IFERROR(__xludf.DUMMYFUNCTION("""COMPUTED_VALUE"""),"K9A 4J8")</f>
        <v>K9A 4J8</v>
      </c>
      <c r="E8653" s="3" t="str">
        <f>IFERROR(__xludf.DUMMYFUNCTION("""COMPUTED_VALUE"""),"Chris Carey")</f>
        <v>Chris Carey</v>
      </c>
      <c r="F8653" s="3"/>
      <c r="G8653" s="3">
        <f>IFERROR(__xludf.DUMMYFUNCTION("""COMPUTED_VALUE"""),2.894046709E9)</f>
        <v>2894046709</v>
      </c>
      <c r="H8653" s="3"/>
    </row>
    <row r="8654">
      <c r="A8654" s="2">
        <f>IFERROR(__xludf.DUMMYFUNCTION("""COMPUTED_VALUE"""),30611.0)</f>
        <v>30611</v>
      </c>
      <c r="B8654" s="3" t="str">
        <f>IFERROR(__xludf.DUMMYFUNCTION("""COMPUTED_VALUE"""),"168 FINLEY RD ")</f>
        <v>168 FINLEY RD </v>
      </c>
      <c r="C8654" s="3" t="str">
        <f>IFERROR(__xludf.DUMMYFUNCTION("""COMPUTED_VALUE"""),"COBOURG")</f>
        <v>COBOURG</v>
      </c>
      <c r="D8654" s="3" t="str">
        <f>IFERROR(__xludf.DUMMYFUNCTION("""COMPUTED_VALUE"""),"K9A 4J8")</f>
        <v>K9A 4J8</v>
      </c>
      <c r="E8654" s="3"/>
      <c r="F8654" s="3"/>
      <c r="G8654" s="3"/>
      <c r="H8654" s="3"/>
    </row>
    <row r="8655">
      <c r="A8655" s="2">
        <f>IFERROR(__xludf.DUMMYFUNCTION("""COMPUTED_VALUE"""),30612.0)</f>
        <v>30612</v>
      </c>
      <c r="B8655" s="3" t="str">
        <f>IFERROR(__xludf.DUMMYFUNCTION("""COMPUTED_VALUE"""),"190 FINLEY RD ")</f>
        <v>190 FINLEY RD </v>
      </c>
      <c r="C8655" s="3" t="str">
        <f>IFERROR(__xludf.DUMMYFUNCTION("""COMPUTED_VALUE"""),"COBOURG")</f>
        <v>COBOURG</v>
      </c>
      <c r="D8655" s="3" t="str">
        <f>IFERROR(__xludf.DUMMYFUNCTION("""COMPUTED_VALUE"""),"K9A 4J8")</f>
        <v>K9A 4J8</v>
      </c>
      <c r="E8655" s="3" t="str">
        <f>IFERROR(__xludf.DUMMYFUNCTION("""COMPUTED_VALUE"""),"Rose-Mary Sweetman")</f>
        <v>Rose-Mary Sweetman</v>
      </c>
      <c r="F8655" s="3" t="str">
        <f>IFERROR(__xludf.DUMMYFUNCTION("""COMPUTED_VALUE"""),"shortreadcookies@outlook.com")</f>
        <v>shortreadcookies@outlook.com</v>
      </c>
      <c r="G8655" s="3"/>
      <c r="H8655" s="3"/>
    </row>
    <row r="8656">
      <c r="A8656" s="2">
        <f>IFERROR(__xludf.DUMMYFUNCTION("""COMPUTED_VALUE"""),30613.0)</f>
        <v>30613</v>
      </c>
      <c r="B8656" s="3" t="str">
        <f>IFERROR(__xludf.DUMMYFUNCTION("""COMPUTED_VALUE"""),"197 FINLEY RD ")</f>
        <v>197 FINLEY RD </v>
      </c>
      <c r="C8656" s="3" t="str">
        <f>IFERROR(__xludf.DUMMYFUNCTION("""COMPUTED_VALUE"""),"COBOURG")</f>
        <v>COBOURG</v>
      </c>
      <c r="D8656" s="3" t="str">
        <f>IFERROR(__xludf.DUMMYFUNCTION("""COMPUTED_VALUE"""),"K9A 4J8")</f>
        <v>K9A 4J8</v>
      </c>
      <c r="E8656" s="3" t="str">
        <f>IFERROR(__xludf.DUMMYFUNCTION("""COMPUTED_VALUE"""),"Richard Mihelcic")</f>
        <v>Richard Mihelcic</v>
      </c>
      <c r="F8656" s="3"/>
      <c r="G8656" s="3">
        <f>IFERROR(__xludf.DUMMYFUNCTION("""COMPUTED_VALUE"""),4.166719212E9)</f>
        <v>4166719212</v>
      </c>
      <c r="H8656" s="3"/>
    </row>
    <row r="8657">
      <c r="A8657" s="2">
        <f>IFERROR(__xludf.DUMMYFUNCTION("""COMPUTED_VALUE"""),30614.0)</f>
        <v>30614</v>
      </c>
      <c r="B8657" s="3" t="str">
        <f>IFERROR(__xludf.DUMMYFUNCTION("""COMPUTED_VALUE"""),"240 FINLEY RD ")</f>
        <v>240 FINLEY RD </v>
      </c>
      <c r="C8657" s="3" t="str">
        <f>IFERROR(__xludf.DUMMYFUNCTION("""COMPUTED_VALUE"""),"COBOURG")</f>
        <v>COBOURG</v>
      </c>
      <c r="D8657" s="3" t="str">
        <f>IFERROR(__xludf.DUMMYFUNCTION("""COMPUTED_VALUE"""),"K9A 4J8")</f>
        <v>K9A 4J8</v>
      </c>
      <c r="E8657" s="3" t="str">
        <f>IFERROR(__xludf.DUMMYFUNCTION("""COMPUTED_VALUE"""),"Colleen Corruthers ")</f>
        <v>Colleen Corruthers </v>
      </c>
      <c r="F8657" s="3" t="str">
        <f>IFERROR(__xludf.DUMMYFUNCTION("""COMPUTED_VALUE"""),"colleenabeckett@gmail.com")</f>
        <v>colleenabeckett@gmail.com</v>
      </c>
      <c r="G8657" s="3"/>
      <c r="H8657" s="3"/>
    </row>
    <row r="8658">
      <c r="A8658" s="2">
        <f>IFERROR(__xludf.DUMMYFUNCTION("""COMPUTED_VALUE"""),30615.0)</f>
        <v>30615</v>
      </c>
      <c r="B8658" s="3" t="str">
        <f>IFERROR(__xludf.DUMMYFUNCTION("""COMPUTED_VALUE"""),"250 FINLEY RD ")</f>
        <v>250 FINLEY RD </v>
      </c>
      <c r="C8658" s="3" t="str">
        <f>IFERROR(__xludf.DUMMYFUNCTION("""COMPUTED_VALUE"""),"COBOURG")</f>
        <v>COBOURG</v>
      </c>
      <c r="D8658" s="3" t="str">
        <f>IFERROR(__xludf.DUMMYFUNCTION("""COMPUTED_VALUE"""),"K9A 4J8")</f>
        <v>K9A 4J8</v>
      </c>
      <c r="E8658" s="3" t="str">
        <f>IFERROR(__xludf.DUMMYFUNCTION("""COMPUTED_VALUE"""),"Doug Booth")</f>
        <v>Doug Booth</v>
      </c>
      <c r="F8658" s="3" t="str">
        <f>IFERROR(__xludf.DUMMYFUNCTION("""COMPUTED_VALUE"""),"dbooth@eagle.ca")</f>
        <v>dbooth@eagle.ca</v>
      </c>
      <c r="G8658" s="3">
        <f>IFERROR(__xludf.DUMMYFUNCTION("""COMPUTED_VALUE"""),9.053492701E9)</f>
        <v>9053492701</v>
      </c>
      <c r="H8658" s="3">
        <f>IFERROR(__xludf.DUMMYFUNCTION("""COMPUTED_VALUE"""),9.05269072E9)</f>
        <v>9052690720</v>
      </c>
    </row>
    <row r="8659">
      <c r="A8659" s="2">
        <f>IFERROR(__xludf.DUMMYFUNCTION("""COMPUTED_VALUE"""),30616.0)</f>
        <v>30616</v>
      </c>
      <c r="B8659" s="3" t="str">
        <f>IFERROR(__xludf.DUMMYFUNCTION("""COMPUTED_VALUE"""),"268 FINLEY RD ")</f>
        <v>268 FINLEY RD </v>
      </c>
      <c r="C8659" s="3" t="str">
        <f>IFERROR(__xludf.DUMMYFUNCTION("""COMPUTED_VALUE"""),"COBOURG")</f>
        <v>COBOURG</v>
      </c>
      <c r="D8659" s="3" t="str">
        <f>IFERROR(__xludf.DUMMYFUNCTION("""COMPUTED_VALUE"""),"K9A 4J8")</f>
        <v>K9A 4J8</v>
      </c>
      <c r="E8659" s="3" t="str">
        <f>IFERROR(__xludf.DUMMYFUNCTION("""COMPUTED_VALUE"""),"Doug Hoskin")</f>
        <v>Doug Hoskin</v>
      </c>
      <c r="F8659" s="3" t="str">
        <f>IFERROR(__xludf.DUMMYFUNCTION("""COMPUTED_VALUE"""),"hoskindawn@yahoo.ca")</f>
        <v>hoskindawn@yahoo.ca</v>
      </c>
      <c r="G8659" s="3"/>
      <c r="H8659" s="3"/>
    </row>
    <row r="8660">
      <c r="A8660" s="2">
        <f>IFERROR(__xludf.DUMMYFUNCTION("""COMPUTED_VALUE"""),30617.0)</f>
        <v>30617</v>
      </c>
      <c r="B8660" s="3" t="str">
        <f>IFERROR(__xludf.DUMMYFUNCTION("""COMPUTED_VALUE"""),"313 FINLEY RD ")</f>
        <v>313 FINLEY RD </v>
      </c>
      <c r="C8660" s="3" t="str">
        <f>IFERROR(__xludf.DUMMYFUNCTION("""COMPUTED_VALUE"""),"COBOURG")</f>
        <v>COBOURG</v>
      </c>
      <c r="D8660" s="3" t="str">
        <f>IFERROR(__xludf.DUMMYFUNCTION("""COMPUTED_VALUE"""),"K9A 4J8")</f>
        <v>K9A 4J8</v>
      </c>
      <c r="E8660" s="3" t="str">
        <f>IFERROR(__xludf.DUMMYFUNCTION("""COMPUTED_VALUE"""),"Valerie Coatham")</f>
        <v>Valerie Coatham</v>
      </c>
      <c r="F8660" s="3" t="str">
        <f>IFERROR(__xludf.DUMMYFUNCTION("""COMPUTED_VALUE"""),"vcoatham@gmail.com")</f>
        <v>vcoatham@gmail.com</v>
      </c>
      <c r="G8660" s="3"/>
      <c r="H8660" s="3"/>
    </row>
    <row r="8661">
      <c r="A8661" s="2">
        <f>IFERROR(__xludf.DUMMYFUNCTION("""COMPUTED_VALUE"""),30618.0)</f>
        <v>30618</v>
      </c>
      <c r="B8661" s="3" t="str">
        <f>IFERROR(__xludf.DUMMYFUNCTION("""COMPUTED_VALUE"""),"100 FISHER RD ")</f>
        <v>100 FISHER RD </v>
      </c>
      <c r="C8661" s="3" t="str">
        <f>IFERROR(__xludf.DUMMYFUNCTION("""COMPUTED_VALUE"""),"CASTLETON")</f>
        <v>CASTLETON</v>
      </c>
      <c r="D8661" s="3" t="str">
        <f>IFERROR(__xludf.DUMMYFUNCTION("""COMPUTED_VALUE"""),"K0K 1M0")</f>
        <v>K0K 1M0</v>
      </c>
      <c r="E8661" s="3" t="str">
        <f>IFERROR(__xludf.DUMMYFUNCTION("""COMPUTED_VALUE"""),"John Moore ")</f>
        <v>John Moore </v>
      </c>
      <c r="F8661" s="3" t="str">
        <f>IFERROR(__xludf.DUMMYFUNCTION("""COMPUTED_VALUE"""),"john@baltimorevalley.ca")</f>
        <v>john@baltimorevalley.ca</v>
      </c>
      <c r="G8661" s="3"/>
      <c r="H8661" s="3"/>
    </row>
    <row r="8662">
      <c r="A8662" s="2">
        <f>IFERROR(__xludf.DUMMYFUNCTION("""COMPUTED_VALUE"""),30619.0)</f>
        <v>30619</v>
      </c>
      <c r="B8662" s="3" t="str">
        <f>IFERROR(__xludf.DUMMYFUNCTION("""COMPUTED_VALUE"""),"107 FISHER RD ")</f>
        <v>107 FISHER RD </v>
      </c>
      <c r="C8662" s="3" t="str">
        <f>IFERROR(__xludf.DUMMYFUNCTION("""COMPUTED_VALUE"""),"CASTLETON")</f>
        <v>CASTLETON</v>
      </c>
      <c r="D8662" s="3" t="str">
        <f>IFERROR(__xludf.DUMMYFUNCTION("""COMPUTED_VALUE"""),"K0K 1M0")</f>
        <v>K0K 1M0</v>
      </c>
      <c r="E8662" s="3" t="str">
        <f>IFERROR(__xludf.DUMMYFUNCTION("""COMPUTED_VALUE"""),"Brian Aubin")</f>
        <v>Brian Aubin</v>
      </c>
      <c r="F8662" s="3" t="str">
        <f>IFERROR(__xludf.DUMMYFUNCTION("""COMPUTED_VALUE"""),"brianaubin@yahoo.ca")</f>
        <v>brianaubin@yahoo.ca</v>
      </c>
      <c r="G8662" s="3">
        <f>IFERROR(__xludf.DUMMYFUNCTION("""COMPUTED_VALUE"""),9.053759853E9)</f>
        <v>9053759853</v>
      </c>
      <c r="H8662" s="3">
        <f>IFERROR(__xludf.DUMMYFUNCTION("""COMPUTED_VALUE"""),9.053960623E9)</f>
        <v>9053960623</v>
      </c>
    </row>
    <row r="8663">
      <c r="A8663" s="2">
        <f>IFERROR(__xludf.DUMMYFUNCTION("""COMPUTED_VALUE"""),30622.0)</f>
        <v>30622</v>
      </c>
      <c r="B8663" s="3" t="str">
        <f>IFERROR(__xludf.DUMMYFUNCTION("""COMPUTED_VALUE"""),"143 GLEASONS CORNERS")</f>
        <v>143 GLEASONS CORNERS</v>
      </c>
      <c r="C8663" s="3" t="str">
        <f>IFERROR(__xludf.DUMMYFUNCTION("""COMPUTED_VALUE"""),"CASTLETON")</f>
        <v>CASTLETON</v>
      </c>
      <c r="D8663" s="3" t="str">
        <f>IFERROR(__xludf.DUMMYFUNCTION("""COMPUTED_VALUE"""),"K0K 1M0")</f>
        <v>K0K 1M0</v>
      </c>
      <c r="E8663" s="3" t="str">
        <f>IFERROR(__xludf.DUMMYFUNCTION("""COMPUTED_VALUE"""),"Jim O'Neill")</f>
        <v>Jim O'Neill</v>
      </c>
      <c r="F8663" s="3" t="str">
        <f>IFERROR(__xludf.DUMMYFUNCTION("""COMPUTED_VALUE"""),"jtoneill143@gmail.com")</f>
        <v>jtoneill143@gmail.com</v>
      </c>
      <c r="G8663" s="3"/>
      <c r="H8663" s="3"/>
    </row>
    <row r="8664">
      <c r="A8664" s="2">
        <f>IFERROR(__xludf.DUMMYFUNCTION("""COMPUTED_VALUE"""),30623.0)</f>
        <v>30623</v>
      </c>
      <c r="B8664" s="3" t="str">
        <f>IFERROR(__xludf.DUMMYFUNCTION("""COMPUTED_VALUE"""),"166 GLEASON'S CORNER RD ")</f>
        <v>166 GLEASON'S CORNER RD </v>
      </c>
      <c r="C8664" s="3" t="str">
        <f>IFERROR(__xludf.DUMMYFUNCTION("""COMPUTED_VALUE"""),"CASTLETON")</f>
        <v>CASTLETON</v>
      </c>
      <c r="D8664" s="3" t="str">
        <f>IFERROR(__xludf.DUMMYFUNCTION("""COMPUTED_VALUE"""),"K0K 1M0")</f>
        <v>K0K 1M0</v>
      </c>
      <c r="E8664" s="3" t="str">
        <f>IFERROR(__xludf.DUMMYFUNCTION("""COMPUTED_VALUE"""),"Shari Irwin")</f>
        <v>Shari Irwin</v>
      </c>
      <c r="F8664" s="3"/>
      <c r="G8664" s="3">
        <f>IFERROR(__xludf.DUMMYFUNCTION("""COMPUTED_VALUE"""),9.054405941E9)</f>
        <v>9054405941</v>
      </c>
      <c r="H8664" s="3"/>
    </row>
    <row r="8665">
      <c r="A8665" s="2">
        <f>IFERROR(__xludf.DUMMYFUNCTION("""COMPUTED_VALUE"""),30624.0)</f>
        <v>30624</v>
      </c>
      <c r="B8665" s="3" t="str">
        <f>IFERROR(__xludf.DUMMYFUNCTION("""COMPUTED_VALUE"""),"192 GLEASON'S CORNER RD ")</f>
        <v>192 GLEASON'S CORNER RD </v>
      </c>
      <c r="C8665" s="3" t="str">
        <f>IFERROR(__xludf.DUMMYFUNCTION("""COMPUTED_VALUE"""),"CASTLETON")</f>
        <v>CASTLETON</v>
      </c>
      <c r="D8665" s="3" t="str">
        <f>IFERROR(__xludf.DUMMYFUNCTION("""COMPUTED_VALUE"""),"K0K 1M0")</f>
        <v>K0K 1M0</v>
      </c>
      <c r="E8665" s="3" t="str">
        <f>IFERROR(__xludf.DUMMYFUNCTION("""COMPUTED_VALUE"""),"Tom Pehrends")</f>
        <v>Tom Pehrends</v>
      </c>
      <c r="F8665" s="3"/>
      <c r="G8665" s="3">
        <f>IFERROR(__xludf.DUMMYFUNCTION("""COMPUTED_VALUE"""),6.478915172E9)</f>
        <v>6478915172</v>
      </c>
      <c r="H8665" s="3"/>
    </row>
    <row r="8666">
      <c r="A8666" s="2">
        <f>IFERROR(__xludf.DUMMYFUNCTION("""COMPUTED_VALUE"""),30625.0)</f>
        <v>30625</v>
      </c>
      <c r="B8666" s="3" t="str">
        <f>IFERROR(__xludf.DUMMYFUNCTION("""COMPUTED_VALUE"""),"257 GLEASON'S CORNER RD ")</f>
        <v>257 GLEASON'S CORNER RD </v>
      </c>
      <c r="C8666" s="3" t="str">
        <f>IFERROR(__xludf.DUMMYFUNCTION("""COMPUTED_VALUE"""),"CASTLETON")</f>
        <v>CASTLETON</v>
      </c>
      <c r="D8666" s="3" t="str">
        <f>IFERROR(__xludf.DUMMYFUNCTION("""COMPUTED_VALUE"""),"K0K 1M0")</f>
        <v>K0K 1M0</v>
      </c>
      <c r="E8666" s="3" t="str">
        <f>IFERROR(__xludf.DUMMYFUNCTION("""COMPUTED_VALUE"""),"Felicia Lang")</f>
        <v>Felicia Lang</v>
      </c>
      <c r="F8666" s="3"/>
      <c r="G8666" s="3">
        <f>IFERROR(__xludf.DUMMYFUNCTION("""COMPUTED_VALUE"""),9.053766226E9)</f>
        <v>9053766226</v>
      </c>
      <c r="H8666" s="3"/>
    </row>
    <row r="8667">
      <c r="A8667" s="2">
        <f>IFERROR(__xludf.DUMMYFUNCTION("""COMPUTED_VALUE"""),30633.0)</f>
        <v>30633</v>
      </c>
      <c r="B8667" s="3" t="str">
        <f>IFERROR(__xludf.DUMMYFUNCTION("""COMPUTED_VALUE"""),"182 GOULD RD ")</f>
        <v>182 GOULD RD </v>
      </c>
      <c r="C8667" s="3" t="str">
        <f>IFERROR(__xludf.DUMMYFUNCTION("""COMPUTED_VALUE"""),"CASTLETON")</f>
        <v>CASTLETON</v>
      </c>
      <c r="D8667" s="3" t="str">
        <f>IFERROR(__xludf.DUMMYFUNCTION("""COMPUTED_VALUE"""),"K0K 1M0")</f>
        <v>K0K 1M0</v>
      </c>
      <c r="E8667" s="3"/>
      <c r="F8667" s="3"/>
      <c r="G8667" s="3"/>
      <c r="H8667" s="3"/>
    </row>
    <row r="8668">
      <c r="A8668" s="2">
        <f>IFERROR(__xludf.DUMMYFUNCTION("""COMPUTED_VALUE"""),30639.0)</f>
        <v>30639</v>
      </c>
      <c r="B8668" s="3" t="str">
        <f>IFERROR(__xludf.DUMMYFUNCTION("""COMPUTED_VALUE"""),"374 GRILLS RD ")</f>
        <v>374 GRILLS RD </v>
      </c>
      <c r="C8668" s="3" t="str">
        <f>IFERROR(__xludf.DUMMYFUNCTION("""COMPUTED_VALUE"""),"BALTIMORE")</f>
        <v>BALTIMORE</v>
      </c>
      <c r="D8668" s="3" t="str">
        <f>IFERROR(__xludf.DUMMYFUNCTION("""COMPUTED_VALUE"""),"K0K 1C0")</f>
        <v>K0K 1C0</v>
      </c>
      <c r="E8668" s="3" t="str">
        <f>IFERROR(__xludf.DUMMYFUNCTION("""COMPUTED_VALUE"""),"Jessi Moedema")</f>
        <v>Jessi Moedema</v>
      </c>
      <c r="F8668" s="3"/>
      <c r="G8668" s="3"/>
      <c r="H8668" s="3"/>
    </row>
    <row r="8669">
      <c r="A8669" s="2">
        <f>IFERROR(__xludf.DUMMYFUNCTION("""COMPUTED_VALUE"""),30640.0)</f>
        <v>30640</v>
      </c>
      <c r="B8669" s="3" t="str">
        <f>IFERROR(__xludf.DUMMYFUNCTION("""COMPUTED_VALUE"""),"396 GRILLS RD ")</f>
        <v>396 GRILLS RD </v>
      </c>
      <c r="C8669" s="3" t="str">
        <f>IFERROR(__xludf.DUMMYFUNCTION("""COMPUTED_VALUE"""),"BALTIMORE")</f>
        <v>BALTIMORE</v>
      </c>
      <c r="D8669" s="3" t="str">
        <f>IFERROR(__xludf.DUMMYFUNCTION("""COMPUTED_VALUE"""),"K0K 1C0")</f>
        <v>K0K 1C0</v>
      </c>
      <c r="E8669" s="3" t="str">
        <f>IFERROR(__xludf.DUMMYFUNCTION("""COMPUTED_VALUE"""),"Simon Henchcliffe")</f>
        <v>Simon Henchcliffe</v>
      </c>
      <c r="F8669" s="3" t="str">
        <f>IFERROR(__xludf.DUMMYFUNCTION("""COMPUTED_VALUE"""),"simon.henchcliffe@yahoo.ca")</f>
        <v>simon.henchcliffe@yahoo.ca</v>
      </c>
      <c r="G8669" s="3"/>
      <c r="H8669" s="3"/>
    </row>
    <row r="8670">
      <c r="A8670" s="2">
        <f>IFERROR(__xludf.DUMMYFUNCTION("""COMPUTED_VALUE"""),30641.0)</f>
        <v>30641</v>
      </c>
      <c r="B8670" s="3" t="str">
        <f>IFERROR(__xludf.DUMMYFUNCTION("""COMPUTED_VALUE"""),"460 GRILLS RD ")</f>
        <v>460 GRILLS RD </v>
      </c>
      <c r="C8670" s="3" t="str">
        <f>IFERROR(__xludf.DUMMYFUNCTION("""COMPUTED_VALUE"""),"BALTIMORE")</f>
        <v>BALTIMORE</v>
      </c>
      <c r="D8670" s="3" t="str">
        <f>IFERROR(__xludf.DUMMYFUNCTION("""COMPUTED_VALUE"""),"K0K 1C0")</f>
        <v>K0K 1C0</v>
      </c>
      <c r="E8670" s="3" t="str">
        <f>IFERROR(__xludf.DUMMYFUNCTION("""COMPUTED_VALUE"""),"Fred Gwyer Moore")</f>
        <v>Fred Gwyer Moore</v>
      </c>
      <c r="F8670" s="3" t="str">
        <f>IFERROR(__xludf.DUMMYFUNCTION("""COMPUTED_VALUE"""),"gmoore.tricap@gmail.com")</f>
        <v>gmoore.tricap@gmail.com</v>
      </c>
      <c r="G8670" s="3">
        <f>IFERROR(__xludf.DUMMYFUNCTION("""COMPUTED_VALUE"""),2.892512074E9)</f>
        <v>2892512074</v>
      </c>
      <c r="H8670" s="3"/>
    </row>
    <row r="8671">
      <c r="A8671" s="2">
        <f>IFERROR(__xludf.DUMMYFUNCTION("""COMPUTED_VALUE"""),30642.0)</f>
        <v>30642</v>
      </c>
      <c r="B8671" s="3" t="str">
        <f>IFERROR(__xludf.DUMMYFUNCTION("""COMPUTED_VALUE"""),"500 GRILLS RD ")</f>
        <v>500 GRILLS RD </v>
      </c>
      <c r="C8671" s="3" t="str">
        <f>IFERROR(__xludf.DUMMYFUNCTION("""COMPUTED_VALUE"""),"BALTIMORE")</f>
        <v>BALTIMORE</v>
      </c>
      <c r="D8671" s="3" t="str">
        <f>IFERROR(__xludf.DUMMYFUNCTION("""COMPUTED_VALUE"""),"K0K 1C0")</f>
        <v>K0K 1C0</v>
      </c>
      <c r="E8671" s="3" t="str">
        <f>IFERROR(__xludf.DUMMYFUNCTION("""COMPUTED_VALUE"""),"Larry Grills")</f>
        <v>Larry Grills</v>
      </c>
      <c r="F8671" s="3" t="str">
        <f>IFERROR(__xludf.DUMMYFUNCTION("""COMPUTED_VALUE"""),"grillslarry@gmail.com")</f>
        <v>grillslarry@gmail.com</v>
      </c>
      <c r="G8671" s="3">
        <f>IFERROR(__xludf.DUMMYFUNCTION("""COMPUTED_VALUE"""),9.053760365E9)</f>
        <v>9053760365</v>
      </c>
      <c r="H8671" s="3"/>
    </row>
    <row r="8672">
      <c r="A8672" s="2">
        <f>IFERROR(__xludf.DUMMYFUNCTION("""COMPUTED_VALUE"""),30643.0)</f>
        <v>30643</v>
      </c>
      <c r="B8672" s="3" t="str">
        <f>IFERROR(__xludf.DUMMYFUNCTION("""COMPUTED_VALUE"""),"507 GRILLS RD ")</f>
        <v>507 GRILLS RD </v>
      </c>
      <c r="C8672" s="3" t="str">
        <f>IFERROR(__xludf.DUMMYFUNCTION("""COMPUTED_VALUE"""),"BALTIMORE")</f>
        <v>BALTIMORE</v>
      </c>
      <c r="D8672" s="3" t="str">
        <f>IFERROR(__xludf.DUMMYFUNCTION("""COMPUTED_VALUE"""),"K0K 1C0")</f>
        <v>K0K 1C0</v>
      </c>
      <c r="E8672" s="3" t="str">
        <f>IFERROR(__xludf.DUMMYFUNCTION("""COMPUTED_VALUE"""),"Kelly Maika")</f>
        <v>Kelly Maika</v>
      </c>
      <c r="F8672" s="3" t="str">
        <f>IFERROR(__xludf.DUMMYFUNCTION("""COMPUTED_VALUE"""),"kellysnature@gmail.com")</f>
        <v>kellysnature@gmail.com</v>
      </c>
      <c r="G8672" s="3"/>
      <c r="H8672" s="3"/>
    </row>
    <row r="8673">
      <c r="A8673" s="2">
        <f>IFERROR(__xludf.DUMMYFUNCTION("""COMPUTED_VALUE"""),30644.0)</f>
        <v>30644</v>
      </c>
      <c r="B8673" s="3" t="str">
        <f>IFERROR(__xludf.DUMMYFUNCTION("""COMPUTED_VALUE"""),"556 GRILLS RD ")</f>
        <v>556 GRILLS RD </v>
      </c>
      <c r="C8673" s="3" t="str">
        <f>IFERROR(__xludf.DUMMYFUNCTION("""COMPUTED_VALUE"""),"BALTIMORE")</f>
        <v>BALTIMORE</v>
      </c>
      <c r="D8673" s="3" t="str">
        <f>IFERROR(__xludf.DUMMYFUNCTION("""COMPUTED_VALUE"""),"K0K 1C0")</f>
        <v>K0K 1C0</v>
      </c>
      <c r="E8673" s="3" t="str">
        <f>IFERROR(__xludf.DUMMYFUNCTION("""COMPUTED_VALUE"""),"Evelyn &amp; Elmer Grills")</f>
        <v>Evelyn &amp; Elmer Grills</v>
      </c>
      <c r="F8673" s="3" t="str">
        <f>IFERROR(__xludf.DUMMYFUNCTION("""COMPUTED_VALUE"""),"courtney.g17@hotmail.com")</f>
        <v>courtney.g17@hotmail.com</v>
      </c>
      <c r="G8673" s="3">
        <f>IFERROR(__xludf.DUMMYFUNCTION("""COMPUTED_VALUE"""),9.053492519E9)</f>
        <v>9053492519</v>
      </c>
      <c r="H8673" s="3"/>
    </row>
    <row r="8674">
      <c r="A8674" s="2">
        <f>IFERROR(__xludf.DUMMYFUNCTION("""COMPUTED_VALUE"""),30645.0)</f>
        <v>30645</v>
      </c>
      <c r="B8674" s="3" t="str">
        <f>IFERROR(__xludf.DUMMYFUNCTION("""COMPUTED_VALUE"""),"414 GULLY RD ")</f>
        <v>414 GULLY RD </v>
      </c>
      <c r="C8674" s="3" t="str">
        <f>IFERROR(__xludf.DUMMYFUNCTION("""COMPUTED_VALUE"""),"COBOURG")</f>
        <v>COBOURG</v>
      </c>
      <c r="D8674" s="3" t="str">
        <f>IFERROR(__xludf.DUMMYFUNCTION("""COMPUTED_VALUE"""),"K9A 4J8")</f>
        <v>K9A 4J8</v>
      </c>
      <c r="E8674" s="3" t="str">
        <f>IFERROR(__xludf.DUMMYFUNCTION("""COMPUTED_VALUE"""),"R. Jeff Snyder")</f>
        <v>R. Jeff Snyder</v>
      </c>
      <c r="F8674" s="3" t="str">
        <f>IFERROR(__xludf.DUMMYFUNCTION("""COMPUTED_VALUE"""),"jeffbevsnyder@gmail.com")</f>
        <v>jeffbevsnyder@gmail.com</v>
      </c>
      <c r="G8674" s="3"/>
      <c r="H8674" s="3"/>
    </row>
    <row r="8675">
      <c r="A8675" s="2">
        <f>IFERROR(__xludf.DUMMYFUNCTION("""COMPUTED_VALUE"""),30646.0)</f>
        <v>30646</v>
      </c>
      <c r="B8675" s="3" t="str">
        <f>IFERROR(__xludf.DUMMYFUNCTION("""COMPUTED_VALUE"""),"437 GULLY RD ")</f>
        <v>437 GULLY RD </v>
      </c>
      <c r="C8675" s="3" t="str">
        <f>IFERROR(__xludf.DUMMYFUNCTION("""COMPUTED_VALUE"""),"COBOURG")</f>
        <v>COBOURG</v>
      </c>
      <c r="D8675" s="3" t="str">
        <f>IFERROR(__xludf.DUMMYFUNCTION("""COMPUTED_VALUE"""),"K9A 4J8")</f>
        <v>K9A 4J8</v>
      </c>
      <c r="E8675" s="3" t="str">
        <f>IFERROR(__xludf.DUMMYFUNCTION("""COMPUTED_VALUE"""),"William Lansley")</f>
        <v>William Lansley</v>
      </c>
      <c r="F8675" s="3" t="str">
        <f>IFERROR(__xludf.DUMMYFUNCTION("""COMPUTED_VALUE"""),"lansley@bell.net")</f>
        <v>lansley@bell.net</v>
      </c>
      <c r="G8675" s="3">
        <f>IFERROR(__xludf.DUMMYFUNCTION("""COMPUTED_VALUE"""),9.053756041E9)</f>
        <v>9053756041</v>
      </c>
      <c r="H8675" s="3"/>
    </row>
    <row r="8676">
      <c r="A8676" s="2">
        <f>IFERROR(__xludf.DUMMYFUNCTION("""COMPUTED_VALUE"""),30647.0)</f>
        <v>30647</v>
      </c>
      <c r="B8676" s="3" t="str">
        <f>IFERROR(__xludf.DUMMYFUNCTION("""COMPUTED_VALUE"""),"444 GULLY RD ")</f>
        <v>444 GULLY RD </v>
      </c>
      <c r="C8676" s="3" t="str">
        <f>IFERROR(__xludf.DUMMYFUNCTION("""COMPUTED_VALUE"""),"COBOURG")</f>
        <v>COBOURG</v>
      </c>
      <c r="D8676" s="3" t="str">
        <f>IFERROR(__xludf.DUMMYFUNCTION("""COMPUTED_VALUE"""),"K9A 4J8")</f>
        <v>K9A 4J8</v>
      </c>
      <c r="E8676" s="3" t="str">
        <f>IFERROR(__xludf.DUMMYFUNCTION("""COMPUTED_VALUE"""),"Keith Michael Mott &amp; Kathleen Martin-Mott")</f>
        <v>Keith Michael Mott &amp; Kathleen Martin-Mott</v>
      </c>
      <c r="F8676" s="3" t="str">
        <f>IFERROR(__xludf.DUMMYFUNCTION("""COMPUTED_VALUE"""),"keithmmott@gmail.com &amp; martinkathleen3@gmail.com")</f>
        <v>keithmmott@gmail.com &amp; martinkathleen3@gmail.com</v>
      </c>
      <c r="G8676" s="3">
        <f>IFERROR(__xludf.DUMMYFUNCTION("""COMPUTED_VALUE"""),9.053492528E9)</f>
        <v>9053492528</v>
      </c>
      <c r="H8676" s="3">
        <f>IFERROR(__xludf.DUMMYFUNCTION("""COMPUTED_VALUE"""),9.05260858E9)</f>
        <v>9052608580</v>
      </c>
    </row>
    <row r="8677">
      <c r="A8677" s="2">
        <f>IFERROR(__xludf.DUMMYFUNCTION("""COMPUTED_VALUE"""),30648.0)</f>
        <v>30648</v>
      </c>
      <c r="B8677" s="3" t="str">
        <f>IFERROR(__xludf.DUMMYFUNCTION("""COMPUTED_VALUE"""),"445 GULLY RD ")</f>
        <v>445 GULLY RD </v>
      </c>
      <c r="C8677" s="3" t="str">
        <f>IFERROR(__xludf.DUMMYFUNCTION("""COMPUTED_VALUE"""),"COBOURG")</f>
        <v>COBOURG</v>
      </c>
      <c r="D8677" s="3" t="str">
        <f>IFERROR(__xludf.DUMMYFUNCTION("""COMPUTED_VALUE"""),"K9A 4J8")</f>
        <v>K9A 4J8</v>
      </c>
      <c r="E8677" s="3" t="str">
        <f>IFERROR(__xludf.DUMMYFUNCTION("""COMPUTED_VALUE"""),"MELANIE DUCKWORTH (SCOTT ELDER)")</f>
        <v>MELANIE DUCKWORTH (SCOTT ELDER)</v>
      </c>
      <c r="F8677" s="3" t="str">
        <f>IFERROR(__xludf.DUMMYFUNCTION("""COMPUTED_VALUE"""),"infinitycakes13@gmail.com")</f>
        <v>infinitycakes13@gmail.com</v>
      </c>
      <c r="G8677" s="3"/>
      <c r="H8677" s="3"/>
    </row>
    <row r="8678">
      <c r="A8678" s="2">
        <f>IFERROR(__xludf.DUMMYFUNCTION("""COMPUTED_VALUE"""),30649.0)</f>
        <v>30649</v>
      </c>
      <c r="B8678" s="3" t="str">
        <f>IFERROR(__xludf.DUMMYFUNCTION("""COMPUTED_VALUE"""),"452 GULLY RD ")</f>
        <v>452 GULLY RD </v>
      </c>
      <c r="C8678" s="3" t="str">
        <f>IFERROR(__xludf.DUMMYFUNCTION("""COMPUTED_VALUE"""),"COBOURG")</f>
        <v>COBOURG</v>
      </c>
      <c r="D8678" s="3" t="str">
        <f>IFERROR(__xludf.DUMMYFUNCTION("""COMPUTED_VALUE"""),"K9A 4J8")</f>
        <v>K9A 4J8</v>
      </c>
      <c r="E8678" s="3" t="str">
        <f>IFERROR(__xludf.DUMMYFUNCTION("""COMPUTED_VALUE"""),"Albert Rempel")</f>
        <v>Albert Rempel</v>
      </c>
      <c r="F8678" s="3" t="str">
        <f>IFERROR(__xludf.DUMMYFUNCTION("""COMPUTED_VALUE"""),"earempel@gmail.com")</f>
        <v>earempel@gmail.com</v>
      </c>
      <c r="G8678" s="3"/>
      <c r="H8678" s="3"/>
    </row>
    <row r="8679">
      <c r="A8679" s="2">
        <f>IFERROR(__xludf.DUMMYFUNCTION("""COMPUTED_VALUE"""),30650.0)</f>
        <v>30650</v>
      </c>
      <c r="B8679" s="3" t="str">
        <f>IFERROR(__xludf.DUMMYFUNCTION("""COMPUTED_VALUE"""),"476 GULLY RD ")</f>
        <v>476 GULLY RD </v>
      </c>
      <c r="C8679" s="3" t="str">
        <f>IFERROR(__xludf.DUMMYFUNCTION("""COMPUTED_VALUE"""),"COBOURG")</f>
        <v>COBOURG</v>
      </c>
      <c r="D8679" s="3" t="str">
        <f>IFERROR(__xludf.DUMMYFUNCTION("""COMPUTED_VALUE"""),"K9A 4J8")</f>
        <v>K9A 4J8</v>
      </c>
      <c r="E8679" s="3" t="str">
        <f>IFERROR(__xludf.DUMMYFUNCTION("""COMPUTED_VALUE"""),"Megan Palonen")</f>
        <v>Megan Palonen</v>
      </c>
      <c r="F8679" s="3" t="str">
        <f>IFERROR(__xludf.DUMMYFUNCTION("""COMPUTED_VALUE"""),"megan.palonen@gmail.com")</f>
        <v>megan.palonen@gmail.com</v>
      </c>
      <c r="G8679" s="3">
        <f>IFERROR(__xludf.DUMMYFUNCTION("""COMPUTED_VALUE"""),9.054413164E9)</f>
        <v>9054413164</v>
      </c>
      <c r="H8679" s="3"/>
    </row>
    <row r="8680">
      <c r="A8680" s="2">
        <f>IFERROR(__xludf.DUMMYFUNCTION("""COMPUTED_VALUE"""),30651.0)</f>
        <v>30651</v>
      </c>
      <c r="B8680" s="3" t="str">
        <f>IFERROR(__xludf.DUMMYFUNCTION("""COMPUTED_VALUE"""),"500 GULLY RD ")</f>
        <v>500 GULLY RD </v>
      </c>
      <c r="C8680" s="3" t="str">
        <f>IFERROR(__xludf.DUMMYFUNCTION("""COMPUTED_VALUE"""),"COBOURG")</f>
        <v>COBOURG</v>
      </c>
      <c r="D8680" s="3" t="str">
        <f>IFERROR(__xludf.DUMMYFUNCTION("""COMPUTED_VALUE"""),"K9A 4J8")</f>
        <v>K9A 4J8</v>
      </c>
      <c r="E8680" s="3" t="str">
        <f>IFERROR(__xludf.DUMMYFUNCTION("""COMPUTED_VALUE"""),"James Hare ")</f>
        <v>James Hare </v>
      </c>
      <c r="F8680" s="3" t="str">
        <f>IFERROR(__xludf.DUMMYFUNCTION("""COMPUTED_VALUE"""),"jwhare40@yahoo.ca")</f>
        <v>jwhare40@yahoo.ca</v>
      </c>
      <c r="G8680" s="3">
        <f>IFERROR(__xludf.DUMMYFUNCTION("""COMPUTED_VALUE"""),9.053493315E9)</f>
        <v>9053493315</v>
      </c>
      <c r="H8680" s="3">
        <f>IFERROR(__xludf.DUMMYFUNCTION("""COMPUTED_VALUE"""),9.053737936E9)</f>
        <v>9053737936</v>
      </c>
    </row>
    <row r="8681">
      <c r="A8681" s="2">
        <f>IFERROR(__xludf.DUMMYFUNCTION("""COMPUTED_VALUE"""),30652.0)</f>
        <v>30652</v>
      </c>
      <c r="B8681" s="3" t="str">
        <f>IFERROR(__xludf.DUMMYFUNCTION("""COMPUTED_VALUE"""),"505 GULLY RD ")</f>
        <v>505 GULLY RD </v>
      </c>
      <c r="C8681" s="3" t="str">
        <f>IFERROR(__xludf.DUMMYFUNCTION("""COMPUTED_VALUE"""),"COBOURG")</f>
        <v>COBOURG</v>
      </c>
      <c r="D8681" s="3" t="str">
        <f>IFERROR(__xludf.DUMMYFUNCTION("""COMPUTED_VALUE"""),"K9A 4J8")</f>
        <v>K9A 4J8</v>
      </c>
      <c r="E8681" s="3" t="str">
        <f>IFERROR(__xludf.DUMMYFUNCTION("""COMPUTED_VALUE"""),"Gary Faulkner")</f>
        <v>Gary Faulkner</v>
      </c>
      <c r="F8681" s="3" t="str">
        <f>IFERROR(__xludf.DUMMYFUNCTION("""COMPUTED_VALUE"""),"gfcanada78@gmail.com")</f>
        <v>gfcanada78@gmail.com</v>
      </c>
      <c r="G8681" s="3">
        <f>IFERROR(__xludf.DUMMYFUNCTION("""COMPUTED_VALUE"""),9.052420454E9)</f>
        <v>9052420454</v>
      </c>
      <c r="H8681" s="3"/>
    </row>
    <row r="8682">
      <c r="A8682" s="2">
        <f>IFERROR(__xludf.DUMMYFUNCTION("""COMPUTED_VALUE"""),30669.0)</f>
        <v>30669</v>
      </c>
      <c r="B8682" s="3" t="str">
        <f>IFERROR(__xludf.DUMMYFUNCTION("""COMPUTED_VALUE"""),"290 HAYNES RD ")</f>
        <v>290 HAYNES RD </v>
      </c>
      <c r="C8682" s="3" t="str">
        <f>IFERROR(__xludf.DUMMYFUNCTION("""COMPUTED_VALUE"""),"CASTLETON")</f>
        <v>CASTLETON</v>
      </c>
      <c r="D8682" s="3" t="str">
        <f>IFERROR(__xludf.DUMMYFUNCTION("""COMPUTED_VALUE"""),"K0K 1M0")</f>
        <v>K0K 1M0</v>
      </c>
      <c r="E8682" s="3"/>
      <c r="F8682" s="3"/>
      <c r="G8682" s="3"/>
      <c r="H8682" s="3"/>
    </row>
    <row r="8683">
      <c r="A8683" s="2">
        <f>IFERROR(__xludf.DUMMYFUNCTION("""COMPUTED_VALUE"""),30670.0)</f>
        <v>30670</v>
      </c>
      <c r="B8683" s="3" t="str">
        <f>IFERROR(__xludf.DUMMYFUNCTION("""COMPUTED_VALUE"""),"350 HAYNES RD ")</f>
        <v>350 HAYNES RD </v>
      </c>
      <c r="C8683" s="3" t="str">
        <f>IFERROR(__xludf.DUMMYFUNCTION("""COMPUTED_VALUE"""),"CASTLETON")</f>
        <v>CASTLETON</v>
      </c>
      <c r="D8683" s="3" t="str">
        <f>IFERROR(__xludf.DUMMYFUNCTION("""COMPUTED_VALUE"""),"K0K 1M0")</f>
        <v>K0K 1M0</v>
      </c>
      <c r="E8683" s="3" t="str">
        <f>IFERROR(__xludf.DUMMYFUNCTION("""COMPUTED_VALUE"""),"Ron and Cathy Mercier")</f>
        <v>Ron and Cathy Mercier</v>
      </c>
      <c r="F8683" s="3" t="str">
        <f>IFERROR(__xludf.DUMMYFUNCTION("""COMPUTED_VALUE"""),"seamercy@outlook.com")</f>
        <v>seamercy@outlook.com</v>
      </c>
      <c r="G8683" s="3">
        <f>IFERROR(__xludf.DUMMYFUNCTION("""COMPUTED_VALUE"""),9.053447875E9)</f>
        <v>9053447875</v>
      </c>
      <c r="H8683" s="3">
        <f>IFERROR(__xludf.DUMMYFUNCTION("""COMPUTED_VALUE"""),9.052690493E9)</f>
        <v>9052690493</v>
      </c>
    </row>
    <row r="8684">
      <c r="A8684" s="2">
        <f>IFERROR(__xludf.DUMMYFUNCTION("""COMPUTED_VALUE"""),30671.0)</f>
        <v>30671</v>
      </c>
      <c r="B8684" s="3" t="str">
        <f>IFERROR(__xludf.DUMMYFUNCTION("""COMPUTED_VALUE"""),"357 HAYNES RD ")</f>
        <v>357 HAYNES RD </v>
      </c>
      <c r="C8684" s="3" t="str">
        <f>IFERROR(__xludf.DUMMYFUNCTION("""COMPUTED_VALUE"""),"CASTLETON")</f>
        <v>CASTLETON</v>
      </c>
      <c r="D8684" s="3" t="str">
        <f>IFERROR(__xludf.DUMMYFUNCTION("""COMPUTED_VALUE"""),"K0K 1M0")</f>
        <v>K0K 1M0</v>
      </c>
      <c r="E8684" s="3" t="str">
        <f>IFERROR(__xludf.DUMMYFUNCTION("""COMPUTED_VALUE"""),"Fred Walker")</f>
        <v>Fred Walker</v>
      </c>
      <c r="F8684" s="3" t="str">
        <f>IFERROR(__xludf.DUMMYFUNCTION("""COMPUTED_VALUE"""),"N/A")</f>
        <v>N/A</v>
      </c>
      <c r="G8684" s="3">
        <f>IFERROR(__xludf.DUMMYFUNCTION("""COMPUTED_VALUE"""),9.053445044E9)</f>
        <v>9053445044</v>
      </c>
      <c r="H8684" s="3"/>
    </row>
    <row r="8685">
      <c r="A8685" s="2">
        <f>IFERROR(__xludf.DUMMYFUNCTION("""COMPUTED_VALUE"""),30672.0)</f>
        <v>30672</v>
      </c>
      <c r="B8685" s="3" t="str">
        <f>IFERROR(__xludf.DUMMYFUNCTION("""COMPUTED_VALUE"""),"389 HAYNES RD ")</f>
        <v>389 HAYNES RD </v>
      </c>
      <c r="C8685" s="3" t="str">
        <f>IFERROR(__xludf.DUMMYFUNCTION("""COMPUTED_VALUE"""),"CASTLETON")</f>
        <v>CASTLETON</v>
      </c>
      <c r="D8685" s="3" t="str">
        <f>IFERROR(__xludf.DUMMYFUNCTION("""COMPUTED_VALUE"""),"K0K 1M0")</f>
        <v>K0K 1M0</v>
      </c>
      <c r="E8685" s="3" t="str">
        <f>IFERROR(__xludf.DUMMYFUNCTION("""COMPUTED_VALUE"""),"Michele Lye")</f>
        <v>Michele Lye</v>
      </c>
      <c r="F8685" s="3" t="str">
        <f>IFERROR(__xludf.DUMMYFUNCTION("""COMPUTED_VALUE"""),"N/A")</f>
        <v>N/A</v>
      </c>
      <c r="G8685" s="3">
        <f>IFERROR(__xludf.DUMMYFUNCTION("""COMPUTED_VALUE"""),2.892511151E9)</f>
        <v>2892511151</v>
      </c>
      <c r="H8685" s="3"/>
    </row>
    <row r="8686">
      <c r="A8686" s="2">
        <f>IFERROR(__xludf.DUMMYFUNCTION("""COMPUTED_VALUE"""),30673.0)</f>
        <v>30673</v>
      </c>
      <c r="B8686" s="3" t="str">
        <f>IFERROR(__xludf.DUMMYFUNCTION("""COMPUTED_VALUE"""),"458 HAYNES RD ")</f>
        <v>458 HAYNES RD </v>
      </c>
      <c r="C8686" s="3" t="str">
        <f>IFERROR(__xludf.DUMMYFUNCTION("""COMPUTED_VALUE"""),"CASTLETON")</f>
        <v>CASTLETON</v>
      </c>
      <c r="D8686" s="3" t="str">
        <f>IFERROR(__xludf.DUMMYFUNCTION("""COMPUTED_VALUE"""),"K0K 1M0")</f>
        <v>K0K 1M0</v>
      </c>
      <c r="E8686" s="3" t="str">
        <f>IFERROR(__xludf.DUMMYFUNCTION("""COMPUTED_VALUE"""),"Nick Dulal")</f>
        <v>Nick Dulal</v>
      </c>
      <c r="F8686" s="3" t="str">
        <f>IFERROR(__xludf.DUMMYFUNCTION("""COMPUTED_VALUE"""),"N/A")</f>
        <v>N/A</v>
      </c>
      <c r="G8686" s="3">
        <f>IFERROR(__xludf.DUMMYFUNCTION("""COMPUTED_VALUE"""),4.162200045E9)</f>
        <v>4162200045</v>
      </c>
      <c r="H8686" s="3"/>
    </row>
    <row r="8687">
      <c r="A8687" s="2">
        <f>IFERROR(__xludf.DUMMYFUNCTION("""COMPUTED_VALUE"""),30674.0)</f>
        <v>30674</v>
      </c>
      <c r="B8687" s="3" t="str">
        <f>IFERROR(__xludf.DUMMYFUNCTION("""COMPUTED_VALUE"""),"477 HAYNES RD ")</f>
        <v>477 HAYNES RD </v>
      </c>
      <c r="C8687" s="3" t="str">
        <f>IFERROR(__xludf.DUMMYFUNCTION("""COMPUTED_VALUE"""),"CASTLETON")</f>
        <v>CASTLETON</v>
      </c>
      <c r="D8687" s="3" t="str">
        <f>IFERROR(__xludf.DUMMYFUNCTION("""COMPUTED_VALUE"""),"K0K 1M0")</f>
        <v>K0K 1M0</v>
      </c>
      <c r="E8687" s="3" t="str">
        <f>IFERROR(__xludf.DUMMYFUNCTION("""COMPUTED_VALUE"""),"John Michael England")</f>
        <v>John Michael England</v>
      </c>
      <c r="F8687" s="3" t="str">
        <f>IFERROR(__xludf.DUMMYFUNCTION("""COMPUTED_VALUE"""),"jmichael.england@gmail.com")</f>
        <v>jmichael.england@gmail.com</v>
      </c>
      <c r="G8687" s="3">
        <f>IFERROR(__xludf.DUMMYFUNCTION("""COMPUTED_VALUE"""),6.478399849E9)</f>
        <v>6478399849</v>
      </c>
      <c r="H8687" s="3"/>
    </row>
    <row r="8688">
      <c r="A8688" s="2">
        <f>IFERROR(__xludf.DUMMYFUNCTION("""COMPUTED_VALUE"""),31571.0)</f>
        <v>31571</v>
      </c>
      <c r="B8688" s="3" t="str">
        <f>IFERROR(__xludf.DUMMYFUNCTION("""COMPUTED_VALUE"""),"480 HAYNES RD")</f>
        <v>480 HAYNES RD</v>
      </c>
      <c r="C8688" s="3" t="str">
        <f>IFERROR(__xludf.DUMMYFUNCTION("""COMPUTED_VALUE"""),"CASTLETON")</f>
        <v>CASTLETON</v>
      </c>
      <c r="D8688" s="3" t="str">
        <f>IFERROR(__xludf.DUMMYFUNCTION("""COMPUTED_VALUE"""),"K0K 1M0")</f>
        <v>K0K 1M0</v>
      </c>
      <c r="E8688" s="3" t="str">
        <f>IFERROR(__xludf.DUMMYFUNCTION("""COMPUTED_VALUE"""),"Wade Clifton")</f>
        <v>Wade Clifton</v>
      </c>
      <c r="F8688" s="3" t="str">
        <f>IFERROR(__xludf.DUMMYFUNCTION("""COMPUTED_VALUE"""),"wade.clifton@sympatico.ca")</f>
        <v>wade.clifton@sympatico.ca</v>
      </c>
      <c r="G8688" s="3"/>
      <c r="H8688" s="3"/>
    </row>
    <row r="8689">
      <c r="A8689" s="2">
        <f>IFERROR(__xludf.DUMMYFUNCTION("""COMPUTED_VALUE"""),31572.0)</f>
        <v>31572</v>
      </c>
      <c r="B8689" s="3" t="str">
        <f>IFERROR(__xludf.DUMMYFUNCTION("""COMPUTED_VALUE"""),"488 HAYNES RD")</f>
        <v>488 HAYNES RD</v>
      </c>
      <c r="C8689" s="3" t="str">
        <f>IFERROR(__xludf.DUMMYFUNCTION("""COMPUTED_VALUE"""),"CASTLETON")</f>
        <v>CASTLETON</v>
      </c>
      <c r="D8689" s="3" t="str">
        <f>IFERROR(__xludf.DUMMYFUNCTION("""COMPUTED_VALUE"""),"K0K 1M0")</f>
        <v>K0K 1M0</v>
      </c>
      <c r="E8689" s="3"/>
      <c r="F8689" s="3"/>
      <c r="G8689" s="3"/>
      <c r="H8689" s="3"/>
    </row>
    <row r="8690">
      <c r="A8690" s="2">
        <f>IFERROR(__xludf.DUMMYFUNCTION("""COMPUTED_VALUE"""),31573.0)</f>
        <v>31573</v>
      </c>
      <c r="B8690" s="3" t="str">
        <f>IFERROR(__xludf.DUMMYFUNCTION("""COMPUTED_VALUE"""),"498 HAYNES RD ")</f>
        <v>498 HAYNES RD </v>
      </c>
      <c r="C8690" s="3" t="str">
        <f>IFERROR(__xludf.DUMMYFUNCTION("""COMPUTED_VALUE"""),"CASTLETON")</f>
        <v>CASTLETON</v>
      </c>
      <c r="D8690" s="3" t="str">
        <f>IFERROR(__xludf.DUMMYFUNCTION("""COMPUTED_VALUE"""),"K0K 1M0")</f>
        <v>K0K 1M0</v>
      </c>
      <c r="E8690" s="3"/>
      <c r="F8690" s="3"/>
      <c r="G8690" s="3"/>
      <c r="H8690" s="3"/>
    </row>
    <row r="8691">
      <c r="A8691" s="2">
        <f>IFERROR(__xludf.DUMMYFUNCTION("""COMPUTED_VALUE"""),30675.0)</f>
        <v>30675</v>
      </c>
      <c r="B8691" s="3" t="str">
        <f>IFERROR(__xludf.DUMMYFUNCTION("""COMPUTED_VALUE"""),"501 HAYNES RD ")</f>
        <v>501 HAYNES RD </v>
      </c>
      <c r="C8691" s="3" t="str">
        <f>IFERROR(__xludf.DUMMYFUNCTION("""COMPUTED_VALUE"""),"CASTLETON")</f>
        <v>CASTLETON</v>
      </c>
      <c r="D8691" s="3" t="str">
        <f>IFERROR(__xludf.DUMMYFUNCTION("""COMPUTED_VALUE"""),"K0K 1M0")</f>
        <v>K0K 1M0</v>
      </c>
      <c r="E8691" s="3" t="str">
        <f>IFERROR(__xludf.DUMMYFUNCTION("""COMPUTED_VALUE"""),"Rob Rom")</f>
        <v>Rob Rom</v>
      </c>
      <c r="F8691" s="3" t="str">
        <f>IFERROR(__xludf.DUMMYFUNCTION("""COMPUTED_VALUE"""),"N/A")</f>
        <v>N/A</v>
      </c>
      <c r="G8691" s="3">
        <f>IFERROR(__xludf.DUMMYFUNCTION("""COMPUTED_VALUE"""),9.053762067E9)</f>
        <v>9053762067</v>
      </c>
      <c r="H8691" s="3"/>
    </row>
    <row r="8692">
      <c r="A8692" s="2">
        <f>IFERROR(__xludf.DUMMYFUNCTION("""COMPUTED_VALUE"""),30676.0)</f>
        <v>30676</v>
      </c>
      <c r="B8692" s="3" t="str">
        <f>IFERROR(__xludf.DUMMYFUNCTION("""COMPUTED_VALUE"""),"506 HAYNES RD ")</f>
        <v>506 HAYNES RD </v>
      </c>
      <c r="C8692" s="3" t="str">
        <f>IFERROR(__xludf.DUMMYFUNCTION("""COMPUTED_VALUE"""),"CASTLETON")</f>
        <v>CASTLETON</v>
      </c>
      <c r="D8692" s="3" t="str">
        <f>IFERROR(__xludf.DUMMYFUNCTION("""COMPUTED_VALUE"""),"K0K 1M0")</f>
        <v>K0K 1M0</v>
      </c>
      <c r="E8692" s="3"/>
      <c r="F8692" s="3"/>
      <c r="G8692" s="3"/>
      <c r="H8692" s="3"/>
    </row>
    <row r="8693">
      <c r="A8693" s="2">
        <f>IFERROR(__xludf.DUMMYFUNCTION("""COMPUTED_VALUE"""),30677.0)</f>
        <v>30677</v>
      </c>
      <c r="B8693" s="3" t="str">
        <f>IFERROR(__xludf.DUMMYFUNCTION("""COMPUTED_VALUE"""),"526 HAYNES RD ")</f>
        <v>526 HAYNES RD </v>
      </c>
      <c r="C8693" s="3" t="str">
        <f>IFERROR(__xludf.DUMMYFUNCTION("""COMPUTED_VALUE"""),"CASTLETON")</f>
        <v>CASTLETON</v>
      </c>
      <c r="D8693" s="3" t="str">
        <f>IFERROR(__xludf.DUMMYFUNCTION("""COMPUTED_VALUE"""),"K0K 1M0")</f>
        <v>K0K 1M0</v>
      </c>
      <c r="E8693" s="3" t="str">
        <f>IFERROR(__xludf.DUMMYFUNCTION("""COMPUTED_VALUE"""),"John ROM")</f>
        <v>John ROM</v>
      </c>
      <c r="F8693" s="3" t="str">
        <f>IFERROR(__xludf.DUMMYFUNCTION("""COMPUTED_VALUE"""),"jr007@rogers.com")</f>
        <v>jr007@rogers.com</v>
      </c>
      <c r="G8693" s="3"/>
      <c r="H8693" s="3"/>
    </row>
    <row r="8694">
      <c r="A8694" s="2">
        <f>IFERROR(__xludf.DUMMYFUNCTION("""COMPUTED_VALUE"""),30678.0)</f>
        <v>30678</v>
      </c>
      <c r="B8694" s="3" t="str">
        <f>IFERROR(__xludf.DUMMYFUNCTION("""COMPUTED_VALUE"""),"551 HAYNES RD ")</f>
        <v>551 HAYNES RD </v>
      </c>
      <c r="C8694" s="3" t="str">
        <f>IFERROR(__xludf.DUMMYFUNCTION("""COMPUTED_VALUE"""),"CASTLETON")</f>
        <v>CASTLETON</v>
      </c>
      <c r="D8694" s="3" t="str">
        <f>IFERROR(__xludf.DUMMYFUNCTION("""COMPUTED_VALUE"""),"K0K 1M0")</f>
        <v>K0K 1M0</v>
      </c>
      <c r="E8694" s="3" t="str">
        <f>IFERROR(__xludf.DUMMYFUNCTION("""COMPUTED_VALUE"""),"IAN CAMERON")</f>
        <v>IAN CAMERON</v>
      </c>
      <c r="F8694" s="3"/>
      <c r="G8694" s="3"/>
      <c r="H8694" s="3"/>
    </row>
    <row r="8695">
      <c r="A8695" s="2">
        <f>IFERROR(__xludf.DUMMYFUNCTION("""COMPUTED_VALUE"""),30679.0)</f>
        <v>30679</v>
      </c>
      <c r="B8695" s="3" t="str">
        <f>IFERROR(__xludf.DUMMYFUNCTION("""COMPUTED_VALUE"""),"573 HAYNES RD ")</f>
        <v>573 HAYNES RD </v>
      </c>
      <c r="C8695" s="3" t="str">
        <f>IFERROR(__xludf.DUMMYFUNCTION("""COMPUTED_VALUE"""),"CASTLETON")</f>
        <v>CASTLETON</v>
      </c>
      <c r="D8695" s="3" t="str">
        <f>IFERROR(__xludf.DUMMYFUNCTION("""COMPUTED_VALUE"""),"K0K 1M0")</f>
        <v>K0K 1M0</v>
      </c>
      <c r="E8695" s="3" t="str">
        <f>IFERROR(__xludf.DUMMYFUNCTION("""COMPUTED_VALUE"""),"Isabel Crumb")</f>
        <v>Isabel Crumb</v>
      </c>
      <c r="F8695" s="3" t="str">
        <f>IFERROR(__xludf.DUMMYFUNCTION("""COMPUTED_VALUE"""),"izzy90554@gmail.com")</f>
        <v>izzy90554@gmail.com</v>
      </c>
      <c r="G8695" s="3">
        <f>IFERROR(__xludf.DUMMYFUNCTION("""COMPUTED_VALUE"""),9.05269739E9)</f>
        <v>9052697390</v>
      </c>
      <c r="H8695" s="3">
        <f>IFERROR(__xludf.DUMMYFUNCTION("""COMPUTED_VALUE"""),9.052690111E9)</f>
        <v>9052690111</v>
      </c>
    </row>
    <row r="8696">
      <c r="A8696" s="2">
        <f>IFERROR(__xludf.DUMMYFUNCTION("""COMPUTED_VALUE"""),30680.0)</f>
        <v>30680</v>
      </c>
      <c r="B8696" s="3" t="str">
        <f>IFERROR(__xludf.DUMMYFUNCTION("""COMPUTED_VALUE"""),"574 HAYNES RD ")</f>
        <v>574 HAYNES RD </v>
      </c>
      <c r="C8696" s="3" t="str">
        <f>IFERROR(__xludf.DUMMYFUNCTION("""COMPUTED_VALUE"""),"CASTLETON")</f>
        <v>CASTLETON</v>
      </c>
      <c r="D8696" s="3" t="str">
        <f>IFERROR(__xludf.DUMMYFUNCTION("""COMPUTED_VALUE"""),"K0K 1M0")</f>
        <v>K0K 1M0</v>
      </c>
      <c r="E8696" s="3" t="str">
        <f>IFERROR(__xludf.DUMMYFUNCTION("""COMPUTED_VALUE"""),"Kevin Jones")</f>
        <v>Kevin Jones</v>
      </c>
      <c r="F8696" s="3" t="str">
        <f>IFERROR(__xludf.DUMMYFUNCTION("""COMPUTED_VALUE"""),"N/A")</f>
        <v>N/A</v>
      </c>
      <c r="G8696" s="3">
        <f>IFERROR(__xludf.DUMMYFUNCTION("""COMPUTED_VALUE"""),9.053447476E9)</f>
        <v>9053447476</v>
      </c>
      <c r="H8696" s="3"/>
    </row>
    <row r="8697">
      <c r="A8697" s="2">
        <f>IFERROR(__xludf.DUMMYFUNCTION("""COMPUTED_VALUE"""),30681.0)</f>
        <v>30681</v>
      </c>
      <c r="B8697" s="3" t="str">
        <f>IFERROR(__xludf.DUMMYFUNCTION("""COMPUTED_VALUE"""),"611 HAYNES RD ")</f>
        <v>611 HAYNES RD </v>
      </c>
      <c r="C8697" s="3" t="str">
        <f>IFERROR(__xludf.DUMMYFUNCTION("""COMPUTED_VALUE"""),"CASTLETON")</f>
        <v>CASTLETON</v>
      </c>
      <c r="D8697" s="3" t="str">
        <f>IFERROR(__xludf.DUMMYFUNCTION("""COMPUTED_VALUE"""),"K0K 1M0")</f>
        <v>K0K 1M0</v>
      </c>
      <c r="E8697" s="3" t="str">
        <f>IFERROR(__xludf.DUMMYFUNCTION("""COMPUTED_VALUE"""),"Daniel &amp; Linda Marshman")</f>
        <v>Daniel &amp; Linda Marshman</v>
      </c>
      <c r="F8697" s="3" t="str">
        <f>IFERROR(__xludf.DUMMYFUNCTION("""COMPUTED_VALUE"""),"lmarshman55@gmail.com")</f>
        <v>lmarshman55@gmail.com</v>
      </c>
      <c r="G8697" s="3">
        <f>IFERROR(__xludf.DUMMYFUNCTION("""COMPUTED_VALUE"""),9.05344762E9)</f>
        <v>9053447620</v>
      </c>
      <c r="H8697" s="3"/>
    </row>
    <row r="8698">
      <c r="A8698" s="2">
        <f>IFERROR(__xludf.DUMMYFUNCTION("""COMPUTED_VALUE"""),30682.0)</f>
        <v>30682</v>
      </c>
      <c r="B8698" s="3" t="str">
        <f>IFERROR(__xludf.DUMMYFUNCTION("""COMPUTED_VALUE"""),"100 HELEN'S LANE ")</f>
        <v>100 HELEN'S LANE </v>
      </c>
      <c r="C8698" s="3" t="str">
        <f>IFERROR(__xludf.DUMMYFUNCTION("""COMPUTED_VALUE"""),"BALTIMORE")</f>
        <v>BALTIMORE</v>
      </c>
      <c r="D8698" s="3" t="str">
        <f>IFERROR(__xludf.DUMMYFUNCTION("""COMPUTED_VALUE"""),"K0K 1C0")</f>
        <v>K0K 1C0</v>
      </c>
      <c r="E8698" s="3" t="str">
        <f>IFERROR(__xludf.DUMMYFUNCTION("""COMPUTED_VALUE"""),"Chris Brillinger")</f>
        <v>Chris Brillinger</v>
      </c>
      <c r="F8698" s="3" t="str">
        <f>IFERROR(__xludf.DUMMYFUNCTION("""COMPUTED_VALUE"""),"N/A")</f>
        <v>N/A</v>
      </c>
      <c r="G8698" s="3"/>
      <c r="H8698" s="3"/>
    </row>
    <row r="8699">
      <c r="A8699" s="2">
        <f>IFERROR(__xludf.DUMMYFUNCTION("""COMPUTED_VALUE"""),30683.0)</f>
        <v>30683</v>
      </c>
      <c r="B8699" s="3" t="str">
        <f>IFERROR(__xludf.DUMMYFUNCTION("""COMPUTED_VALUE"""),"163 HIGHLAND VIEW DR ")</f>
        <v>163 HIGHLAND VIEW DR </v>
      </c>
      <c r="C8699" s="3" t="str">
        <f>IFERROR(__xludf.DUMMYFUNCTION("""COMPUTED_VALUE"""),"COLBORNE")</f>
        <v>COLBORNE</v>
      </c>
      <c r="D8699" s="3" t="str">
        <f>IFERROR(__xludf.DUMMYFUNCTION("""COMPUTED_VALUE"""),"K0K 1S0")</f>
        <v>K0K 1S0</v>
      </c>
      <c r="E8699" s="3" t="str">
        <f>IFERROR(__xludf.DUMMYFUNCTION("""COMPUTED_VALUE"""),"Rob Todish")</f>
        <v>Rob Todish</v>
      </c>
      <c r="F8699" s="3" t="str">
        <f>IFERROR(__xludf.DUMMYFUNCTION("""COMPUTED_VALUE"""),"todish74@gmail.com")</f>
        <v>todish74@gmail.com</v>
      </c>
      <c r="G8699" s="3"/>
      <c r="H8699" s="3"/>
    </row>
    <row r="8700">
      <c r="A8700" s="2">
        <f>IFERROR(__xludf.DUMMYFUNCTION("""COMPUTED_VALUE"""),30684.0)</f>
        <v>30684</v>
      </c>
      <c r="B8700" s="3" t="str">
        <f>IFERROR(__xludf.DUMMYFUNCTION("""COMPUTED_VALUE"""),"177 HIGHLAND VIEW DR ")</f>
        <v>177 HIGHLAND VIEW DR </v>
      </c>
      <c r="C8700" s="3" t="str">
        <f>IFERROR(__xludf.DUMMYFUNCTION("""COMPUTED_VALUE"""),"COLBORNE")</f>
        <v>COLBORNE</v>
      </c>
      <c r="D8700" s="3" t="str">
        <f>IFERROR(__xludf.DUMMYFUNCTION("""COMPUTED_VALUE"""),"K0K 1S0")</f>
        <v>K0K 1S0</v>
      </c>
      <c r="E8700" s="3" t="str">
        <f>IFERROR(__xludf.DUMMYFUNCTION("""COMPUTED_VALUE"""),"Faithe Gadd")</f>
        <v>Faithe Gadd</v>
      </c>
      <c r="F8700" s="3" t="str">
        <f>IFERROR(__xludf.DUMMYFUNCTION("""COMPUTED_VALUE"""),"gadd.faithe39@xplornet.com")</f>
        <v>gadd.faithe39@xplornet.com</v>
      </c>
      <c r="G8700" s="3">
        <f>IFERROR(__xludf.DUMMYFUNCTION("""COMPUTED_VALUE"""),2.892528151E9)</f>
        <v>2892528151</v>
      </c>
      <c r="H8700" s="3"/>
    </row>
    <row r="8701">
      <c r="A8701" s="2">
        <f>IFERROR(__xludf.DUMMYFUNCTION("""COMPUTED_VALUE"""),30685.0)</f>
        <v>30685</v>
      </c>
      <c r="B8701" s="3" t="str">
        <f>IFERROR(__xludf.DUMMYFUNCTION("""COMPUTED_VALUE"""),"215 HIGHLAND VIEW DR ")</f>
        <v>215 HIGHLAND VIEW DR </v>
      </c>
      <c r="C8701" s="3" t="str">
        <f>IFERROR(__xludf.DUMMYFUNCTION("""COMPUTED_VALUE"""),"COLBORNE")</f>
        <v>COLBORNE</v>
      </c>
      <c r="D8701" s="3" t="str">
        <f>IFERROR(__xludf.DUMMYFUNCTION("""COMPUTED_VALUE"""),"K0K 1S0")</f>
        <v>K0K 1S0</v>
      </c>
      <c r="E8701" s="3" t="str">
        <f>IFERROR(__xludf.DUMMYFUNCTION("""COMPUTED_VALUE"""),"Steven Gadd")</f>
        <v>Steven Gadd</v>
      </c>
      <c r="F8701" s="3" t="str">
        <f>IFERROR(__xludf.DUMMYFUNCTION("""COMPUTED_VALUE"""),"gadd.faithe39@xplornet.com")</f>
        <v>gadd.faithe39@xplornet.com</v>
      </c>
      <c r="G8701" s="3">
        <f>IFERROR(__xludf.DUMMYFUNCTION("""COMPUTED_VALUE"""),2.892528151E9)</f>
        <v>2892528151</v>
      </c>
      <c r="H8701" s="3"/>
    </row>
    <row r="8702">
      <c r="A8702" s="2">
        <f>IFERROR(__xludf.DUMMYFUNCTION("""COMPUTED_VALUE"""),30686.0)</f>
        <v>30686</v>
      </c>
      <c r="B8702" s="3" t="str">
        <f>IFERROR(__xludf.DUMMYFUNCTION("""COMPUTED_VALUE"""),"252 HIGHLAND VIEW DR ")</f>
        <v>252 HIGHLAND VIEW DR </v>
      </c>
      <c r="C8702" s="3" t="str">
        <f>IFERROR(__xludf.DUMMYFUNCTION("""COMPUTED_VALUE"""),"COLBORNE")</f>
        <v>COLBORNE</v>
      </c>
      <c r="D8702" s="3" t="str">
        <f>IFERROR(__xludf.DUMMYFUNCTION("""COMPUTED_VALUE"""),"K0K 1S0")</f>
        <v>K0K 1S0</v>
      </c>
      <c r="E8702" s="3" t="str">
        <f>IFERROR(__xludf.DUMMYFUNCTION("""COMPUTED_VALUE"""),"Al Harnden")</f>
        <v>Al Harnden</v>
      </c>
      <c r="F8702" s="3" t="str">
        <f>IFERROR(__xludf.DUMMYFUNCTION("""COMPUTED_VALUE"""),"highlandview@xplornet.com")</f>
        <v>highlandview@xplornet.com</v>
      </c>
      <c r="G8702" s="3">
        <f>IFERROR(__xludf.DUMMYFUNCTION("""COMPUTED_VALUE"""),9.05375542E9)</f>
        <v>9053755420</v>
      </c>
      <c r="H8702" s="3">
        <f>IFERROR(__xludf.DUMMYFUNCTION("""COMPUTED_VALUE"""),9.053492845E9)</f>
        <v>9053492845</v>
      </c>
    </row>
    <row r="8703">
      <c r="A8703" s="2">
        <f>IFERROR(__xludf.DUMMYFUNCTION("""COMPUTED_VALUE"""),31563.0)</f>
        <v>31563</v>
      </c>
      <c r="B8703" s="3" t="str">
        <f>IFERROR(__xludf.DUMMYFUNCTION("""COMPUTED_VALUE"""),"10 HOBBS RD")</f>
        <v>10 HOBBS RD</v>
      </c>
      <c r="C8703" s="3"/>
      <c r="D8703" s="3"/>
      <c r="E8703" s="3" t="str">
        <f>IFERROR(__xludf.DUMMYFUNCTION("""COMPUTED_VALUE"""),"Chi Morrison")</f>
        <v>Chi Morrison</v>
      </c>
      <c r="F8703" s="3"/>
      <c r="G8703" s="3">
        <f>IFERROR(__xludf.DUMMYFUNCTION("""COMPUTED_VALUE"""),9.053775234E9)</f>
        <v>9053775234</v>
      </c>
      <c r="H8703" s="3"/>
    </row>
    <row r="8704">
      <c r="A8704" s="2">
        <f>IFERROR(__xludf.DUMMYFUNCTION("""COMPUTED_VALUE"""),30687.0)</f>
        <v>30687</v>
      </c>
      <c r="B8704" s="3" t="str">
        <f>IFERROR(__xludf.DUMMYFUNCTION("""COMPUTED_VALUE"""),"111 HOFER RD ")</f>
        <v>111 HOFER RD </v>
      </c>
      <c r="C8704" s="3" t="str">
        <f>IFERROR(__xludf.DUMMYFUNCTION("""COMPUTED_VALUE"""),"COLBORNE")</f>
        <v>COLBORNE</v>
      </c>
      <c r="D8704" s="3" t="str">
        <f>IFERROR(__xludf.DUMMYFUNCTION("""COMPUTED_VALUE"""),"K0K 1S0")</f>
        <v>K0K 1S0</v>
      </c>
      <c r="E8704" s="3" t="str">
        <f>IFERROR(__xludf.DUMMYFUNCTION("""COMPUTED_VALUE"""),"Michelle Leavy")</f>
        <v>Michelle Leavy</v>
      </c>
      <c r="F8704" s="3" t="str">
        <f>IFERROR(__xludf.DUMMYFUNCTION("""COMPUTED_VALUE"""),"michelleleavy@gmail.com")</f>
        <v>michelleleavy@gmail.com</v>
      </c>
      <c r="G8704" s="3">
        <f>IFERROR(__xludf.DUMMYFUNCTION("""COMPUTED_VALUE"""),9.053490011E9)</f>
        <v>9053490011</v>
      </c>
      <c r="H8704" s="3">
        <f>IFERROR(__xludf.DUMMYFUNCTION("""COMPUTED_VALUE"""),4.168796978E9)</f>
        <v>4168796978</v>
      </c>
    </row>
    <row r="8705">
      <c r="A8705" s="2">
        <f>IFERROR(__xludf.DUMMYFUNCTION("""COMPUTED_VALUE"""),30688.0)</f>
        <v>30688</v>
      </c>
      <c r="B8705" s="3" t="str">
        <f>IFERROR(__xludf.DUMMYFUNCTION("""COMPUTED_VALUE"""),"155 HOFER RD ")</f>
        <v>155 HOFER RD </v>
      </c>
      <c r="C8705" s="3" t="str">
        <f>IFERROR(__xludf.DUMMYFUNCTION("""COMPUTED_VALUE"""),"COLBORNE")</f>
        <v>COLBORNE</v>
      </c>
      <c r="D8705" s="3" t="str">
        <f>IFERROR(__xludf.DUMMYFUNCTION("""COMPUTED_VALUE"""),"K0K 1S0")</f>
        <v>K0K 1S0</v>
      </c>
      <c r="E8705" s="3" t="str">
        <f>IFERROR(__xludf.DUMMYFUNCTION("""COMPUTED_VALUE"""),"STEPHEN HACHEY")</f>
        <v>STEPHEN HACHEY</v>
      </c>
      <c r="F8705" s="3" t="str">
        <f>IFERROR(__xludf.DUMMYFUNCTION("""COMPUTED_VALUE"""),"stephenbrianhachey@gmail.com")</f>
        <v>stephenbrianhachey@gmail.com</v>
      </c>
      <c r="G8705" s="3">
        <f>IFERROR(__xludf.DUMMYFUNCTION("""COMPUTED_VALUE"""),6.134537077E9)</f>
        <v>6134537077</v>
      </c>
      <c r="H8705" s="3"/>
    </row>
    <row r="8706">
      <c r="A8706" s="2">
        <f>IFERROR(__xludf.DUMMYFUNCTION("""COMPUTED_VALUE"""),30689.0)</f>
        <v>30689</v>
      </c>
      <c r="B8706" s="3" t="str">
        <f>IFERROR(__xludf.DUMMYFUNCTION("""COMPUTED_VALUE"""),"183 HOFER RD ")</f>
        <v>183 HOFER RD </v>
      </c>
      <c r="C8706" s="3" t="str">
        <f>IFERROR(__xludf.DUMMYFUNCTION("""COMPUTED_VALUE"""),"COLBORNE")</f>
        <v>COLBORNE</v>
      </c>
      <c r="D8706" s="3" t="str">
        <f>IFERROR(__xludf.DUMMYFUNCTION("""COMPUTED_VALUE"""),"K0K 1S0")</f>
        <v>K0K 1S0</v>
      </c>
      <c r="E8706" s="3" t="str">
        <f>IFERROR(__xludf.DUMMYFUNCTION("""COMPUTED_VALUE"""),"Jeff Martin")</f>
        <v>Jeff Martin</v>
      </c>
      <c r="F8706" s="3" t="str">
        <f>IFERROR(__xludf.DUMMYFUNCTION("""COMPUTED_VALUE"""),"martin836000@gmail.com")</f>
        <v>martin836000@gmail.com</v>
      </c>
      <c r="G8706" s="3">
        <f>IFERROR(__xludf.DUMMYFUNCTION("""COMPUTED_VALUE"""),2.896911366E9)</f>
        <v>2896911366</v>
      </c>
      <c r="H8706" s="3"/>
    </row>
    <row r="8707">
      <c r="A8707" s="2">
        <f>IFERROR(__xludf.DUMMYFUNCTION("""COMPUTED_VALUE"""),30690.0)</f>
        <v>30690</v>
      </c>
      <c r="B8707" s="3" t="str">
        <f>IFERROR(__xludf.DUMMYFUNCTION("""COMPUTED_VALUE"""),"185 HOFER RD ")</f>
        <v>185 HOFER RD </v>
      </c>
      <c r="C8707" s="3" t="str">
        <f>IFERROR(__xludf.DUMMYFUNCTION("""COMPUTED_VALUE"""),"COLBORNE")</f>
        <v>COLBORNE</v>
      </c>
      <c r="D8707" s="3" t="str">
        <f>IFERROR(__xludf.DUMMYFUNCTION("""COMPUTED_VALUE"""),"K0K 1S0")</f>
        <v>K0K 1S0</v>
      </c>
      <c r="E8707" s="3" t="str">
        <f>IFERROR(__xludf.DUMMYFUNCTION("""COMPUTED_VALUE"""),"John Corcoran")</f>
        <v>John Corcoran</v>
      </c>
      <c r="F8707" s="3" t="str">
        <f>IFERROR(__xludf.DUMMYFUNCTION("""COMPUTED_VALUE"""),"jcorcoran1961@gmail.com")</f>
        <v>jcorcoran1961@gmail.com</v>
      </c>
      <c r="G8707" s="3">
        <f>IFERROR(__xludf.DUMMYFUNCTION("""COMPUTED_VALUE"""),2.892512739E9)</f>
        <v>2892512739</v>
      </c>
      <c r="H8707" s="3">
        <f>IFERROR(__xludf.DUMMYFUNCTION("""COMPUTED_VALUE"""),6.043639555E9)</f>
        <v>6043639555</v>
      </c>
    </row>
    <row r="8708">
      <c r="A8708" s="2">
        <f>IFERROR(__xludf.DUMMYFUNCTION("""COMPUTED_VALUE"""),30691.0)</f>
        <v>30691</v>
      </c>
      <c r="B8708" s="3" t="str">
        <f>IFERROR(__xludf.DUMMYFUNCTION("""COMPUTED_VALUE"""),"189 HOFER RD ")</f>
        <v>189 HOFER RD </v>
      </c>
      <c r="C8708" s="3" t="str">
        <f>IFERROR(__xludf.DUMMYFUNCTION("""COMPUTED_VALUE"""),"COLBORNE")</f>
        <v>COLBORNE</v>
      </c>
      <c r="D8708" s="3" t="str">
        <f>IFERROR(__xludf.DUMMYFUNCTION("""COMPUTED_VALUE"""),"K0K 1S0")</f>
        <v>K0K 1S0</v>
      </c>
      <c r="E8708" s="3" t="str">
        <f>IFERROR(__xludf.DUMMYFUNCTION("""COMPUTED_VALUE"""),"Richard Hunter")</f>
        <v>Richard Hunter</v>
      </c>
      <c r="F8708" s="3" t="str">
        <f>IFERROR(__xludf.DUMMYFUNCTION("""COMPUTED_VALUE"""),"hunter.rick.c@gmail.com")</f>
        <v>hunter.rick.c@gmail.com</v>
      </c>
      <c r="G8708" s="3"/>
      <c r="H8708" s="3"/>
    </row>
    <row r="8709">
      <c r="A8709" s="2">
        <f>IFERROR(__xludf.DUMMYFUNCTION("""COMPUTED_VALUE"""),30694.0)</f>
        <v>30694</v>
      </c>
      <c r="B8709" s="3" t="str">
        <f>IFERROR(__xludf.DUMMYFUNCTION("""COMPUTED_VALUE"""),"108 HOSKIN RD ")</f>
        <v>108 HOSKIN RD </v>
      </c>
      <c r="C8709" s="3" t="str">
        <f>IFERROR(__xludf.DUMMYFUNCTION("""COMPUTED_VALUE"""),"COLBORNE")</f>
        <v>COLBORNE</v>
      </c>
      <c r="D8709" s="3" t="str">
        <f>IFERROR(__xludf.DUMMYFUNCTION("""COMPUTED_VALUE"""),"K0K 1S0")</f>
        <v>K0K 1S0</v>
      </c>
      <c r="E8709" s="3" t="str">
        <f>IFERROR(__xludf.DUMMYFUNCTION("""COMPUTED_VALUE"""),"Daniel Harrison")</f>
        <v>Daniel Harrison</v>
      </c>
      <c r="F8709" s="3" t="str">
        <f>IFERROR(__xludf.DUMMYFUNCTION("""COMPUTED_VALUE"""),"deharrison1@hotmail.com")</f>
        <v>deharrison1@hotmail.com</v>
      </c>
      <c r="G8709" s="3">
        <f>IFERROR(__xludf.DUMMYFUNCTION("""COMPUTED_VALUE"""),9.054474041E9)</f>
        <v>9054474041</v>
      </c>
      <c r="H8709" s="3"/>
    </row>
    <row r="8710">
      <c r="A8710" s="2">
        <f>IFERROR(__xludf.DUMMYFUNCTION("""COMPUTED_VALUE"""),31557.0)</f>
        <v>31557</v>
      </c>
      <c r="B8710" s="3" t="str">
        <f>IFERROR(__xludf.DUMMYFUNCTION("""COMPUTED_VALUE"""),"59 HUTCHINSON RD")</f>
        <v>59 HUTCHINSON RD</v>
      </c>
      <c r="C8710" s="3"/>
      <c r="D8710" s="3"/>
      <c r="E8710" s="3" t="str">
        <f>IFERROR(__xludf.DUMMYFUNCTION("""COMPUTED_VALUE"""),"Tim Hobbs")</f>
        <v>Tim Hobbs</v>
      </c>
      <c r="F8710" s="3"/>
      <c r="G8710" s="3">
        <f>IFERROR(__xludf.DUMMYFUNCTION("""COMPUTED_VALUE"""),7.059241071E9)</f>
        <v>7059241071</v>
      </c>
      <c r="H8710" s="3"/>
    </row>
    <row r="8711">
      <c r="A8711" s="2">
        <f>IFERROR(__xludf.DUMMYFUNCTION("""COMPUTED_VALUE"""),30708.0)</f>
        <v>30708</v>
      </c>
      <c r="B8711" s="3" t="str">
        <f>IFERROR(__xludf.DUMMYFUNCTION("""COMPUTED_VALUE"""),"1110 INGLIS RD ")</f>
        <v>1110 INGLIS RD </v>
      </c>
      <c r="C8711" s="3" t="str">
        <f>IFERROR(__xludf.DUMMYFUNCTION("""COMPUTED_VALUE"""),"GRAFTON")</f>
        <v>GRAFTON</v>
      </c>
      <c r="D8711" s="3" t="str">
        <f>IFERROR(__xludf.DUMMYFUNCTION("""COMPUTED_VALUE"""),"K0K 2G0")</f>
        <v>K0K 2G0</v>
      </c>
      <c r="E8711" s="3" t="str">
        <f>IFERROR(__xludf.DUMMYFUNCTION("""COMPUTED_VALUE"""),"Kip Bachelier")</f>
        <v>Kip Bachelier</v>
      </c>
      <c r="F8711" s="3"/>
      <c r="G8711" s="3"/>
      <c r="H8711" s="3"/>
    </row>
    <row r="8712">
      <c r="A8712" s="2">
        <f>IFERROR(__xludf.DUMMYFUNCTION("""COMPUTED_VALUE"""),30709.0)</f>
        <v>30709</v>
      </c>
      <c r="B8712" s="3" t="str">
        <f>IFERROR(__xludf.DUMMYFUNCTION("""COMPUTED_VALUE"""),"1111 INGLIS RD ")</f>
        <v>1111 INGLIS RD </v>
      </c>
      <c r="C8712" s="3" t="str">
        <f>IFERROR(__xludf.DUMMYFUNCTION("""COMPUTED_VALUE"""),"GRAFTON")</f>
        <v>GRAFTON</v>
      </c>
      <c r="D8712" s="3" t="str">
        <f>IFERROR(__xludf.DUMMYFUNCTION("""COMPUTED_VALUE"""),"K0K 2G0")</f>
        <v>K0K 2G0</v>
      </c>
      <c r="E8712" s="3" t="str">
        <f>IFERROR(__xludf.DUMMYFUNCTION("""COMPUTED_VALUE"""),"Mike Longinov")</f>
        <v>Mike Longinov</v>
      </c>
      <c r="F8712" s="3" t="str">
        <f>IFERROR(__xludf.DUMMYFUNCTION("""COMPUTED_VALUE"""),"c5z06er@gmail.com")</f>
        <v>c5z06er@gmail.com</v>
      </c>
      <c r="G8712" s="3">
        <f>IFERROR(__xludf.DUMMYFUNCTION("""COMPUTED_VALUE"""),9.0537648E9)</f>
        <v>9053764800</v>
      </c>
      <c r="H8712" s="3"/>
    </row>
    <row r="8713">
      <c r="A8713" s="2">
        <f>IFERROR(__xludf.DUMMYFUNCTION("""COMPUTED_VALUE"""),30710.0)</f>
        <v>30710</v>
      </c>
      <c r="B8713" s="3" t="str">
        <f>IFERROR(__xludf.DUMMYFUNCTION("""COMPUTED_VALUE"""),"1138 INGLIS RD ")</f>
        <v>1138 INGLIS RD </v>
      </c>
      <c r="C8713" s="3" t="str">
        <f>IFERROR(__xludf.DUMMYFUNCTION("""COMPUTED_VALUE"""),"GRAFTON")</f>
        <v>GRAFTON</v>
      </c>
      <c r="D8713" s="3" t="str">
        <f>IFERROR(__xludf.DUMMYFUNCTION("""COMPUTED_VALUE"""),"K0K 2G0")</f>
        <v>K0K 2G0</v>
      </c>
      <c r="E8713" s="3"/>
      <c r="F8713" s="3"/>
      <c r="G8713" s="3"/>
      <c r="H8713" s="3"/>
    </row>
    <row r="8714">
      <c r="A8714" s="2">
        <f>IFERROR(__xludf.DUMMYFUNCTION("""COMPUTED_VALUE"""),30711.0)</f>
        <v>30711</v>
      </c>
      <c r="B8714" s="3" t="str">
        <f>IFERROR(__xludf.DUMMYFUNCTION("""COMPUTED_VALUE"""),"1143 INGLIS RD ")</f>
        <v>1143 INGLIS RD </v>
      </c>
      <c r="C8714" s="3" t="str">
        <f>IFERROR(__xludf.DUMMYFUNCTION("""COMPUTED_VALUE"""),"GRAFTON")</f>
        <v>GRAFTON</v>
      </c>
      <c r="D8714" s="3" t="str">
        <f>IFERROR(__xludf.DUMMYFUNCTION("""COMPUTED_VALUE"""),"K0K 2G0")</f>
        <v>K0K 2G0</v>
      </c>
      <c r="E8714" s="3"/>
      <c r="F8714" s="3"/>
      <c r="G8714" s="3"/>
      <c r="H8714" s="3"/>
    </row>
    <row r="8715">
      <c r="A8715" s="2">
        <f>IFERROR(__xludf.DUMMYFUNCTION("""COMPUTED_VALUE"""),30712.0)</f>
        <v>30712</v>
      </c>
      <c r="B8715" s="3" t="str">
        <f>IFERROR(__xludf.DUMMYFUNCTION("""COMPUTED_VALUE"""),"1169 INGLIS RD ")</f>
        <v>1169 INGLIS RD </v>
      </c>
      <c r="C8715" s="3" t="str">
        <f>IFERROR(__xludf.DUMMYFUNCTION("""COMPUTED_VALUE"""),"GRAFTON")</f>
        <v>GRAFTON</v>
      </c>
      <c r="D8715" s="3" t="str">
        <f>IFERROR(__xludf.DUMMYFUNCTION("""COMPUTED_VALUE"""),"K0K 2G0")</f>
        <v>K0K 2G0</v>
      </c>
      <c r="E8715" s="3" t="str">
        <f>IFERROR(__xludf.DUMMYFUNCTION("""COMPUTED_VALUE"""),"len fabiano")</f>
        <v>len fabiano</v>
      </c>
      <c r="F8715" s="3" t="str">
        <f>IFERROR(__xludf.DUMMYFUNCTION("""COMPUTED_VALUE"""),"len.fabiano@gmail.com")</f>
        <v>len.fabiano@gmail.com</v>
      </c>
      <c r="G8715" s="3">
        <f>IFERROR(__xludf.DUMMYFUNCTION("""COMPUTED_VALUE"""),9.053430008E9)</f>
        <v>9053430008</v>
      </c>
      <c r="H8715" s="3">
        <f>IFERROR(__xludf.DUMMYFUNCTION("""COMPUTED_VALUE"""),7.053120174E9)</f>
        <v>7053120174</v>
      </c>
    </row>
    <row r="8716">
      <c r="A8716" s="2">
        <f>IFERROR(__xludf.DUMMYFUNCTION("""COMPUTED_VALUE"""),30713.0)</f>
        <v>30713</v>
      </c>
      <c r="B8716" s="3" t="str">
        <f>IFERROR(__xludf.DUMMYFUNCTION("""COMPUTED_VALUE"""),"1213 INGLIS RD ")</f>
        <v>1213 INGLIS RD </v>
      </c>
      <c r="C8716" s="3" t="str">
        <f>IFERROR(__xludf.DUMMYFUNCTION("""COMPUTED_VALUE"""),"GRAFTON")</f>
        <v>GRAFTON</v>
      </c>
      <c r="D8716" s="3" t="str">
        <f>IFERROR(__xludf.DUMMYFUNCTION("""COMPUTED_VALUE"""),"K0K 2G0")</f>
        <v>K0K 2G0</v>
      </c>
      <c r="E8716" s="3" t="str">
        <f>IFERROR(__xludf.DUMMYFUNCTION("""COMPUTED_VALUE"""),"Elizabeth Persaud")</f>
        <v>Elizabeth Persaud</v>
      </c>
      <c r="F8716" s="3" t="str">
        <f>IFERROR(__xludf.DUMMYFUNCTION("""COMPUTED_VALUE"""),"elizabeth.g.persaud@gmail.com")</f>
        <v>elizabeth.g.persaud@gmail.com</v>
      </c>
      <c r="G8716" s="3">
        <f>IFERROR(__xludf.DUMMYFUNCTION("""COMPUTED_VALUE"""),2.893873905E9)</f>
        <v>2893873905</v>
      </c>
      <c r="H8716" s="3"/>
    </row>
    <row r="8717">
      <c r="A8717" s="2">
        <f>IFERROR(__xludf.DUMMYFUNCTION("""COMPUTED_VALUE"""),30714.0)</f>
        <v>30714</v>
      </c>
      <c r="B8717" s="3" t="str">
        <f>IFERROR(__xludf.DUMMYFUNCTION("""COMPUTED_VALUE"""),"1314 INGLIS RD ")</f>
        <v>1314 INGLIS RD </v>
      </c>
      <c r="C8717" s="3" t="str">
        <f>IFERROR(__xludf.DUMMYFUNCTION("""COMPUTED_VALUE"""),"GRAFTON")</f>
        <v>GRAFTON</v>
      </c>
      <c r="D8717" s="3" t="str">
        <f>IFERROR(__xludf.DUMMYFUNCTION("""COMPUTED_VALUE"""),"K0K 2G0")</f>
        <v>K0K 2G0</v>
      </c>
      <c r="E8717" s="3"/>
      <c r="F8717" s="3"/>
      <c r="G8717" s="3"/>
      <c r="H8717" s="3"/>
    </row>
    <row r="8718">
      <c r="A8718" s="2">
        <f>IFERROR(__xludf.DUMMYFUNCTION("""COMPUTED_VALUE"""),30715.0)</f>
        <v>30715</v>
      </c>
      <c r="B8718" s="3" t="str">
        <f>IFERROR(__xludf.DUMMYFUNCTION("""COMPUTED_VALUE"""),"1319 INGLIS RD ")</f>
        <v>1319 INGLIS RD </v>
      </c>
      <c r="C8718" s="3" t="str">
        <f>IFERROR(__xludf.DUMMYFUNCTION("""COMPUTED_VALUE"""),"GRAFTON")</f>
        <v>GRAFTON</v>
      </c>
      <c r="D8718" s="3" t="str">
        <f>IFERROR(__xludf.DUMMYFUNCTION("""COMPUTED_VALUE"""),"K0K 2G0")</f>
        <v>K0K 2G0</v>
      </c>
      <c r="E8718" s="3" t="str">
        <f>IFERROR(__xludf.DUMMYFUNCTION("""COMPUTED_VALUE"""),"Jeff West")</f>
        <v>Jeff West</v>
      </c>
      <c r="F8718" s="3" t="str">
        <f>IFERROR(__xludf.DUMMYFUNCTION("""COMPUTED_VALUE"""),"westjr00@gmail.com")</f>
        <v>westjr00@gmail.com</v>
      </c>
      <c r="G8718" s="3">
        <f>IFERROR(__xludf.DUMMYFUNCTION("""COMPUTED_VALUE"""),7.058400868E9)</f>
        <v>7058400868</v>
      </c>
      <c r="H8718" s="3"/>
    </row>
    <row r="8719">
      <c r="A8719" s="2">
        <f>IFERROR(__xludf.DUMMYFUNCTION("""COMPUTED_VALUE"""),30716.0)</f>
        <v>30716</v>
      </c>
      <c r="B8719" s="3" t="str">
        <f>IFERROR(__xludf.DUMMYFUNCTION("""COMPUTED_VALUE"""),"1349 INGLIS RD ")</f>
        <v>1349 INGLIS RD </v>
      </c>
      <c r="C8719" s="3" t="str">
        <f>IFERROR(__xludf.DUMMYFUNCTION("""COMPUTED_VALUE"""),"GRAFTON")</f>
        <v>GRAFTON</v>
      </c>
      <c r="D8719" s="3" t="str">
        <f>IFERROR(__xludf.DUMMYFUNCTION("""COMPUTED_VALUE"""),"K0K 2G0")</f>
        <v>K0K 2G0</v>
      </c>
      <c r="E8719" s="3" t="str">
        <f>IFERROR(__xludf.DUMMYFUNCTION("""COMPUTED_VALUE"""),"Edward Raposo")</f>
        <v>Edward Raposo</v>
      </c>
      <c r="F8719" s="3" t="str">
        <f>IFERROR(__xludf.DUMMYFUNCTION("""COMPUTED_VALUE"""),"Edwardraposo@yahoo.ca")</f>
        <v>Edwardraposo@yahoo.ca</v>
      </c>
      <c r="G8719" s="3">
        <f>IFERROR(__xludf.DUMMYFUNCTION("""COMPUTED_VALUE"""),4.163579664E9)</f>
        <v>4163579664</v>
      </c>
      <c r="H8719" s="3"/>
    </row>
    <row r="8720">
      <c r="A8720" s="2">
        <f>IFERROR(__xludf.DUMMYFUNCTION("""COMPUTED_VALUE"""),30717.0)</f>
        <v>30717</v>
      </c>
      <c r="B8720" s="3" t="str">
        <f>IFERROR(__xludf.DUMMYFUNCTION("""COMPUTED_VALUE"""),"1366 INGLIS RD ")</f>
        <v>1366 INGLIS RD </v>
      </c>
      <c r="C8720" s="3" t="str">
        <f>IFERROR(__xludf.DUMMYFUNCTION("""COMPUTED_VALUE"""),"GRAFTON")</f>
        <v>GRAFTON</v>
      </c>
      <c r="D8720" s="3" t="str">
        <f>IFERROR(__xludf.DUMMYFUNCTION("""COMPUTED_VALUE"""),"K0K 2G0")</f>
        <v>K0K 2G0</v>
      </c>
      <c r="E8720" s="3" t="str">
        <f>IFERROR(__xludf.DUMMYFUNCTION("""COMPUTED_VALUE"""),"Jannet Rowe")</f>
        <v>Jannet Rowe</v>
      </c>
      <c r="F8720" s="3"/>
      <c r="G8720" s="3"/>
      <c r="H8720" s="3"/>
    </row>
    <row r="8721">
      <c r="A8721" s="2">
        <f>IFERROR(__xludf.DUMMYFUNCTION("""COMPUTED_VALUE"""),30718.0)</f>
        <v>30718</v>
      </c>
      <c r="B8721" s="3" t="str">
        <f>IFERROR(__xludf.DUMMYFUNCTION("""COMPUTED_VALUE"""),"1376 INGLIS RD ")</f>
        <v>1376 INGLIS RD </v>
      </c>
      <c r="C8721" s="3" t="str">
        <f>IFERROR(__xludf.DUMMYFUNCTION("""COMPUTED_VALUE"""),"GRAFTON")</f>
        <v>GRAFTON</v>
      </c>
      <c r="D8721" s="3" t="str">
        <f>IFERROR(__xludf.DUMMYFUNCTION("""COMPUTED_VALUE"""),"K0K 2G0")</f>
        <v>K0K 2G0</v>
      </c>
      <c r="E8721" s="3" t="str">
        <f>IFERROR(__xludf.DUMMYFUNCTION("""COMPUTED_VALUE"""),"Jacqueline Boers")</f>
        <v>Jacqueline Boers</v>
      </c>
      <c r="F8721" s="3"/>
      <c r="G8721" s="3"/>
      <c r="H8721" s="3"/>
    </row>
    <row r="8722">
      <c r="A8722" s="2">
        <f>IFERROR(__xludf.DUMMYFUNCTION("""COMPUTED_VALUE"""),30719.0)</f>
        <v>30719</v>
      </c>
      <c r="B8722" s="3" t="str">
        <f>IFERROR(__xludf.DUMMYFUNCTION("""COMPUTED_VALUE"""),"1403 INGLIS RD ")</f>
        <v>1403 INGLIS RD </v>
      </c>
      <c r="C8722" s="3" t="str">
        <f>IFERROR(__xludf.DUMMYFUNCTION("""COMPUTED_VALUE"""),"GRAFTON")</f>
        <v>GRAFTON</v>
      </c>
      <c r="D8722" s="3" t="str">
        <f>IFERROR(__xludf.DUMMYFUNCTION("""COMPUTED_VALUE"""),"K0K 2G0")</f>
        <v>K0K 2G0</v>
      </c>
      <c r="E8722" s="3" t="str">
        <f>IFERROR(__xludf.DUMMYFUNCTION("""COMPUTED_VALUE"""),"Christian &amp; Donaldson Jefferson")</f>
        <v>Christian &amp; Donaldson Jefferson</v>
      </c>
      <c r="F8722" s="3" t="str">
        <f>IFERROR(__xludf.DUMMYFUNCTION("""COMPUTED_VALUE"""),"christian.noodle@gmail.com ; donj66792@gmail.com")</f>
        <v>christian.noodle@gmail.com ; donj66792@gmail.com</v>
      </c>
      <c r="G8722" s="3"/>
      <c r="H8722" s="3">
        <f>IFERROR(__xludf.DUMMYFUNCTION("""COMPUTED_VALUE"""),2.892510748E9)</f>
        <v>2892510748</v>
      </c>
    </row>
    <row r="8723">
      <c r="A8723" s="2">
        <f>IFERROR(__xludf.DUMMYFUNCTION("""COMPUTED_VALUE"""),30720.0)</f>
        <v>30720</v>
      </c>
      <c r="B8723" s="3" t="str">
        <f>IFERROR(__xludf.DUMMYFUNCTION("""COMPUTED_VALUE"""),"1412 INGLIS RD ")</f>
        <v>1412 INGLIS RD </v>
      </c>
      <c r="C8723" s="3" t="str">
        <f>IFERROR(__xludf.DUMMYFUNCTION("""COMPUTED_VALUE"""),"GRAFTON")</f>
        <v>GRAFTON</v>
      </c>
      <c r="D8723" s="3" t="str">
        <f>IFERROR(__xludf.DUMMYFUNCTION("""COMPUTED_VALUE"""),"K0K 2G0")</f>
        <v>K0K 2G0</v>
      </c>
      <c r="E8723" s="3" t="str">
        <f>IFERROR(__xludf.DUMMYFUNCTION("""COMPUTED_VALUE"""),"Mike Smith")</f>
        <v>Mike Smith</v>
      </c>
      <c r="F8723" s="3" t="str">
        <f>IFERROR(__xludf.DUMMYFUNCTION("""COMPUTED_VALUE"""),"mike2442@live.com")</f>
        <v>mike2442@live.com</v>
      </c>
      <c r="G8723" s="3">
        <f>IFERROR(__xludf.DUMMYFUNCTION("""COMPUTED_VALUE"""),6.133316942E9)</f>
        <v>6133316942</v>
      </c>
      <c r="H8723" s="3"/>
    </row>
    <row r="8724">
      <c r="A8724" s="2">
        <f>IFERROR(__xludf.DUMMYFUNCTION("""COMPUTED_VALUE"""),30721.0)</f>
        <v>30721</v>
      </c>
      <c r="B8724" s="3" t="str">
        <f>IFERROR(__xludf.DUMMYFUNCTION("""COMPUTED_VALUE"""),"1452 INGLIS RD ")</f>
        <v>1452 INGLIS RD </v>
      </c>
      <c r="C8724" s="3" t="str">
        <f>IFERROR(__xludf.DUMMYFUNCTION("""COMPUTED_VALUE"""),"GRAFTON")</f>
        <v>GRAFTON</v>
      </c>
      <c r="D8724" s="3" t="str">
        <f>IFERROR(__xludf.DUMMYFUNCTION("""COMPUTED_VALUE"""),"K0K 2G0")</f>
        <v>K0K 2G0</v>
      </c>
      <c r="E8724" s="3" t="str">
        <f>IFERROR(__xludf.DUMMYFUNCTION("""COMPUTED_VALUE"""),"Kathy Varcoe")</f>
        <v>Kathy Varcoe</v>
      </c>
      <c r="F8724" s="3"/>
      <c r="G8724" s="3"/>
      <c r="H8724" s="3"/>
    </row>
    <row r="8725">
      <c r="A8725" s="2">
        <f>IFERROR(__xludf.DUMMYFUNCTION("""COMPUTED_VALUE"""),30722.0)</f>
        <v>30722</v>
      </c>
      <c r="B8725" s="3" t="str">
        <f>IFERROR(__xludf.DUMMYFUNCTION("""COMPUTED_VALUE"""),"1485 INGLIS RD ")</f>
        <v>1485 INGLIS RD </v>
      </c>
      <c r="C8725" s="3" t="str">
        <f>IFERROR(__xludf.DUMMYFUNCTION("""COMPUTED_VALUE"""),"GRAFTON")</f>
        <v>GRAFTON</v>
      </c>
      <c r="D8725" s="3" t="str">
        <f>IFERROR(__xludf.DUMMYFUNCTION("""COMPUTED_VALUE"""),"K0K 2G0")</f>
        <v>K0K 2G0</v>
      </c>
      <c r="E8725" s="3" t="str">
        <f>IFERROR(__xludf.DUMMYFUNCTION("""COMPUTED_VALUE"""),"Jean Mary Lee")</f>
        <v>Jean Mary Lee</v>
      </c>
      <c r="F8725" s="3" t="str">
        <f>IFERROR(__xludf.DUMMYFUNCTION("""COMPUTED_VALUE"""),"mary.bob.lee@gmail.comm")</f>
        <v>mary.bob.lee@gmail.comm</v>
      </c>
      <c r="G8725" s="3">
        <f>IFERROR(__xludf.DUMMYFUNCTION("""COMPUTED_VALUE"""),9.053448319E9)</f>
        <v>9053448319</v>
      </c>
      <c r="H8725" s="3"/>
    </row>
    <row r="8726">
      <c r="A8726" s="2">
        <f>IFERROR(__xludf.DUMMYFUNCTION("""COMPUTED_VALUE"""),30723.0)</f>
        <v>30723</v>
      </c>
      <c r="B8726" s="3" t="str">
        <f>IFERROR(__xludf.DUMMYFUNCTION("""COMPUTED_VALUE"""),"1496 INGLIS RD ")</f>
        <v>1496 INGLIS RD </v>
      </c>
      <c r="C8726" s="3" t="str">
        <f>IFERROR(__xludf.DUMMYFUNCTION("""COMPUTED_VALUE"""),"GRAFTON")</f>
        <v>GRAFTON</v>
      </c>
      <c r="D8726" s="3" t="str">
        <f>IFERROR(__xludf.DUMMYFUNCTION("""COMPUTED_VALUE"""),"K0K 2G0")</f>
        <v>K0K 2G0</v>
      </c>
      <c r="E8726" s="3"/>
      <c r="F8726" s="3"/>
      <c r="G8726" s="3"/>
      <c r="H8726" s="3"/>
    </row>
    <row r="8727">
      <c r="A8727" s="2">
        <f>IFERROR(__xludf.DUMMYFUNCTION("""COMPUTED_VALUE"""),30724.0)</f>
        <v>30724</v>
      </c>
      <c r="B8727" s="3" t="str">
        <f>IFERROR(__xludf.DUMMYFUNCTION("""COMPUTED_VALUE"""),"1525 INGLIS RD ")</f>
        <v>1525 INGLIS RD </v>
      </c>
      <c r="C8727" s="3" t="str">
        <f>IFERROR(__xludf.DUMMYFUNCTION("""COMPUTED_VALUE"""),"GRAFTON")</f>
        <v>GRAFTON</v>
      </c>
      <c r="D8727" s="3" t="str">
        <f>IFERROR(__xludf.DUMMYFUNCTION("""COMPUTED_VALUE"""),"K0K 2G0")</f>
        <v>K0K 2G0</v>
      </c>
      <c r="E8727" s="3"/>
      <c r="F8727" s="3"/>
      <c r="G8727" s="3"/>
      <c r="H8727" s="3"/>
    </row>
    <row r="8728">
      <c r="A8728" s="2">
        <f>IFERROR(__xludf.DUMMYFUNCTION("""COMPUTED_VALUE"""),30725.0)</f>
        <v>30725</v>
      </c>
      <c r="B8728" s="3" t="str">
        <f>IFERROR(__xludf.DUMMYFUNCTION("""COMPUTED_VALUE"""),"1578 INGLIS RD ")</f>
        <v>1578 INGLIS RD </v>
      </c>
      <c r="C8728" s="3" t="str">
        <f>IFERROR(__xludf.DUMMYFUNCTION("""COMPUTED_VALUE"""),"GRAFTON")</f>
        <v>GRAFTON</v>
      </c>
      <c r="D8728" s="3" t="str">
        <f>IFERROR(__xludf.DUMMYFUNCTION("""COMPUTED_VALUE"""),"K0K 2G0")</f>
        <v>K0K 2G0</v>
      </c>
      <c r="E8728" s="3"/>
      <c r="F8728" s="3"/>
      <c r="G8728" s="3"/>
      <c r="H8728" s="3"/>
    </row>
    <row r="8729">
      <c r="A8729" s="2">
        <f>IFERROR(__xludf.DUMMYFUNCTION("""COMPUTED_VALUE"""),30726.0)</f>
        <v>30726</v>
      </c>
      <c r="B8729" s="3" t="str">
        <f>IFERROR(__xludf.DUMMYFUNCTION("""COMPUTED_VALUE"""),"105 JAKOBI RD ")</f>
        <v>105 JAKOBI RD </v>
      </c>
      <c r="C8729" s="3" t="str">
        <f>IFERROR(__xludf.DUMMYFUNCTION("""COMPUTED_VALUE"""),"CASTLETON")</f>
        <v>CASTLETON</v>
      </c>
      <c r="D8729" s="3" t="str">
        <f>IFERROR(__xludf.DUMMYFUNCTION("""COMPUTED_VALUE"""),"K0K 1M0")</f>
        <v>K0K 1M0</v>
      </c>
      <c r="E8729" s="3" t="str">
        <f>IFERROR(__xludf.DUMMYFUNCTION("""COMPUTED_VALUE"""),"Bill Kuyvenhoven")</f>
        <v>Bill Kuyvenhoven</v>
      </c>
      <c r="F8729" s="3" t="str">
        <f>IFERROR(__xludf.DUMMYFUNCTION("""COMPUTED_VALUE"""),"bkuyvenhoven@gmail.com")</f>
        <v>bkuyvenhoven@gmail.com</v>
      </c>
      <c r="G8729" s="3"/>
      <c r="H8729" s="3"/>
    </row>
    <row r="8730">
      <c r="A8730" s="2">
        <f>IFERROR(__xludf.DUMMYFUNCTION("""COMPUTED_VALUE"""),30727.0)</f>
        <v>30727</v>
      </c>
      <c r="B8730" s="3" t="str">
        <f>IFERROR(__xludf.DUMMYFUNCTION("""COMPUTED_VALUE"""),"282 JAKOBI RD ")</f>
        <v>282 JAKOBI RD </v>
      </c>
      <c r="C8730" s="3" t="str">
        <f>IFERROR(__xludf.DUMMYFUNCTION("""COMPUTED_VALUE"""),"CASTLETON")</f>
        <v>CASTLETON</v>
      </c>
      <c r="D8730" s="3" t="str">
        <f>IFERROR(__xludf.DUMMYFUNCTION("""COMPUTED_VALUE"""),"K0K 1M0")</f>
        <v>K0K 1M0</v>
      </c>
      <c r="E8730" s="3" t="str">
        <f>IFERROR(__xludf.DUMMYFUNCTION("""COMPUTED_VALUE"""),"Brianna Kristensen")</f>
        <v>Brianna Kristensen</v>
      </c>
      <c r="F8730" s="3" t="str">
        <f>IFERROR(__xludf.DUMMYFUNCTION("""COMPUTED_VALUE"""),"brie_and_kyle@hotmail.com")</f>
        <v>brie_and_kyle@hotmail.com</v>
      </c>
      <c r="G8730" s="3">
        <f>IFERROR(__xludf.DUMMYFUNCTION("""COMPUTED_VALUE"""),4.388869009E9)</f>
        <v>4388869009</v>
      </c>
      <c r="H8730" s="3"/>
    </row>
    <row r="8731">
      <c r="A8731" s="2">
        <f>IFERROR(__xludf.DUMMYFUNCTION("""COMPUTED_VALUE"""),30728.0)</f>
        <v>30728</v>
      </c>
      <c r="B8731" s="3" t="str">
        <f>IFERROR(__xludf.DUMMYFUNCTION("""COMPUTED_VALUE"""),"285 JAKOBI RD ")</f>
        <v>285 JAKOBI RD </v>
      </c>
      <c r="C8731" s="3" t="str">
        <f>IFERROR(__xludf.DUMMYFUNCTION("""COMPUTED_VALUE"""),"CASTLETON")</f>
        <v>CASTLETON</v>
      </c>
      <c r="D8731" s="3" t="str">
        <f>IFERROR(__xludf.DUMMYFUNCTION("""COMPUTED_VALUE"""),"K0K 1M0")</f>
        <v>K0K 1M0</v>
      </c>
      <c r="E8731" s="3" t="str">
        <f>IFERROR(__xludf.DUMMYFUNCTION("""COMPUTED_VALUE"""),"Douglas Gray")</f>
        <v>Douglas Gray</v>
      </c>
      <c r="F8731" s="3" t="str">
        <f>IFERROR(__xludf.DUMMYFUNCTION("""COMPUTED_VALUE"""),"doug.bonnie.gray@gmail.com")</f>
        <v>doug.bonnie.gray@gmail.com</v>
      </c>
      <c r="G8731" s="3"/>
      <c r="H8731" s="3"/>
    </row>
    <row r="8732">
      <c r="A8732" s="2">
        <f>IFERROR(__xludf.DUMMYFUNCTION("""COMPUTED_VALUE"""),30729.0)</f>
        <v>30729</v>
      </c>
      <c r="B8732" s="3" t="str">
        <f>IFERROR(__xludf.DUMMYFUNCTION("""COMPUTED_VALUE"""),"311 JAKOBI RD ")</f>
        <v>311 JAKOBI RD </v>
      </c>
      <c r="C8732" s="3" t="str">
        <f>IFERROR(__xludf.DUMMYFUNCTION("""COMPUTED_VALUE"""),"CASTLETON")</f>
        <v>CASTLETON</v>
      </c>
      <c r="D8732" s="3" t="str">
        <f>IFERROR(__xludf.DUMMYFUNCTION("""COMPUTED_VALUE"""),"K0K 1M0")</f>
        <v>K0K 1M0</v>
      </c>
      <c r="E8732" s="3" t="str">
        <f>IFERROR(__xludf.DUMMYFUNCTION("""COMPUTED_VALUE"""),"Julie Heenan")</f>
        <v>Julie Heenan</v>
      </c>
      <c r="F8732" s="3" t="str">
        <f>IFERROR(__xludf.DUMMYFUNCTION("""COMPUTED_VALUE"""),"N/A")</f>
        <v>N/A</v>
      </c>
      <c r="G8732" s="3">
        <f>IFERROR(__xludf.DUMMYFUNCTION("""COMPUTED_VALUE"""),9.053961683E9)</f>
        <v>9053961683</v>
      </c>
      <c r="H8732" s="3"/>
    </row>
    <row r="8733">
      <c r="A8733" s="2">
        <f>IFERROR(__xludf.DUMMYFUNCTION("""COMPUTED_VALUE"""),30730.0)</f>
        <v>30730</v>
      </c>
      <c r="B8733" s="3" t="str">
        <f>IFERROR(__xludf.DUMMYFUNCTION("""COMPUTED_VALUE"""),"316 JAKOBI RD ")</f>
        <v>316 JAKOBI RD </v>
      </c>
      <c r="C8733" s="3" t="str">
        <f>IFERROR(__xludf.DUMMYFUNCTION("""COMPUTED_VALUE"""),"CASTLETON")</f>
        <v>CASTLETON</v>
      </c>
      <c r="D8733" s="3" t="str">
        <f>IFERROR(__xludf.DUMMYFUNCTION("""COMPUTED_VALUE"""),"K0K 1M0")</f>
        <v>K0K 1M0</v>
      </c>
      <c r="E8733" s="3" t="str">
        <f>IFERROR(__xludf.DUMMYFUNCTION("""COMPUTED_VALUE"""),"Jason Churchill")</f>
        <v>Jason Churchill</v>
      </c>
      <c r="F8733" s="3" t="str">
        <f>IFERROR(__xludf.DUMMYFUNCTION("""COMPUTED_VALUE"""),"churchy13@live.ca")</f>
        <v>churchy13@live.ca</v>
      </c>
      <c r="G8733" s="3">
        <f>IFERROR(__xludf.DUMMYFUNCTION("""COMPUTED_VALUE"""),6.138480821E9)</f>
        <v>6138480821</v>
      </c>
      <c r="H8733" s="3"/>
    </row>
    <row r="8734">
      <c r="A8734" s="2">
        <f>IFERROR(__xludf.DUMMYFUNCTION("""COMPUTED_VALUE"""),30731.0)</f>
        <v>30731</v>
      </c>
      <c r="B8734" s="3" t="str">
        <f>IFERROR(__xludf.DUMMYFUNCTION("""COMPUTED_VALUE"""),"333 JAKOBI RD ")</f>
        <v>333 JAKOBI RD </v>
      </c>
      <c r="C8734" s="3" t="str">
        <f>IFERROR(__xludf.DUMMYFUNCTION("""COMPUTED_VALUE"""),"CASTLETON")</f>
        <v>CASTLETON</v>
      </c>
      <c r="D8734" s="3" t="str">
        <f>IFERROR(__xludf.DUMMYFUNCTION("""COMPUTED_VALUE"""),"K0K 1M0")</f>
        <v>K0K 1M0</v>
      </c>
      <c r="E8734" s="3"/>
      <c r="F8734" s="3"/>
      <c r="G8734" s="3"/>
      <c r="H8734" s="3"/>
    </row>
    <row r="8735">
      <c r="A8735" s="2">
        <f>IFERROR(__xludf.DUMMYFUNCTION("""COMPUTED_VALUE"""),30732.0)</f>
        <v>30732</v>
      </c>
      <c r="B8735" s="3" t="str">
        <f>IFERROR(__xludf.DUMMYFUNCTION("""COMPUTED_VALUE"""),"353 JAKOBI RD ")</f>
        <v>353 JAKOBI RD </v>
      </c>
      <c r="C8735" s="3" t="str">
        <f>IFERROR(__xludf.DUMMYFUNCTION("""COMPUTED_VALUE"""),"CASTLETON")</f>
        <v>CASTLETON</v>
      </c>
      <c r="D8735" s="3" t="str">
        <f>IFERROR(__xludf.DUMMYFUNCTION("""COMPUTED_VALUE"""),"K0K 1M0")</f>
        <v>K0K 1M0</v>
      </c>
      <c r="E8735" s="3"/>
      <c r="F8735" s="3"/>
      <c r="G8735" s="3"/>
      <c r="H8735" s="3"/>
    </row>
    <row r="8736">
      <c r="A8736" s="2">
        <f>IFERROR(__xludf.DUMMYFUNCTION("""COMPUTED_VALUE"""),30733.0)</f>
        <v>30733</v>
      </c>
      <c r="B8736" s="3" t="str">
        <f>IFERROR(__xludf.DUMMYFUNCTION("""COMPUTED_VALUE"""),"390 JAKOBI RD ")</f>
        <v>390 JAKOBI RD </v>
      </c>
      <c r="C8736" s="3" t="str">
        <f>IFERROR(__xludf.DUMMYFUNCTION("""COMPUTED_VALUE"""),"CASTLETON")</f>
        <v>CASTLETON</v>
      </c>
      <c r="D8736" s="3" t="str">
        <f>IFERROR(__xludf.DUMMYFUNCTION("""COMPUTED_VALUE"""),"K0K 1M0")</f>
        <v>K0K 1M0</v>
      </c>
      <c r="E8736" s="3" t="str">
        <f>IFERROR(__xludf.DUMMYFUNCTION("""COMPUTED_VALUE"""),"Efto Grozclaneski")</f>
        <v>Efto Grozclaneski</v>
      </c>
      <c r="F8736" s="3" t="str">
        <f>IFERROR(__xludf.DUMMYFUNCTION("""COMPUTED_VALUE"""),"N/A")</f>
        <v>N/A</v>
      </c>
      <c r="G8736" s="3">
        <f>IFERROR(__xludf.DUMMYFUNCTION("""COMPUTED_VALUE"""),9.053440053E9)</f>
        <v>9053440053</v>
      </c>
      <c r="H8736" s="3"/>
    </row>
    <row r="8737">
      <c r="A8737" s="2">
        <f>IFERROR(__xludf.DUMMYFUNCTION("""COMPUTED_VALUE"""),30734.0)</f>
        <v>30734</v>
      </c>
      <c r="B8737" s="3" t="str">
        <f>IFERROR(__xludf.DUMMYFUNCTION("""COMPUTED_VALUE"""),"395 JAKOBI RD ")</f>
        <v>395 JAKOBI RD </v>
      </c>
      <c r="C8737" s="3" t="str">
        <f>IFERROR(__xludf.DUMMYFUNCTION("""COMPUTED_VALUE"""),"CASTLETON")</f>
        <v>CASTLETON</v>
      </c>
      <c r="D8737" s="3" t="str">
        <f>IFERROR(__xludf.DUMMYFUNCTION("""COMPUTED_VALUE"""),"K0K 1M0")</f>
        <v>K0K 1M0</v>
      </c>
      <c r="E8737" s="3"/>
      <c r="F8737" s="3"/>
      <c r="G8737" s="3"/>
      <c r="H8737" s="3"/>
    </row>
    <row r="8738">
      <c r="A8738" s="2">
        <f>IFERROR(__xludf.DUMMYFUNCTION("""COMPUTED_VALUE"""),30735.0)</f>
        <v>30735</v>
      </c>
      <c r="B8738" s="3" t="str">
        <f>IFERROR(__xludf.DUMMYFUNCTION("""COMPUTED_VALUE"""),"398 JAKOBI RD ")</f>
        <v>398 JAKOBI RD </v>
      </c>
      <c r="C8738" s="3" t="str">
        <f>IFERROR(__xludf.DUMMYFUNCTION("""COMPUTED_VALUE"""),"CASTLETON")</f>
        <v>CASTLETON</v>
      </c>
      <c r="D8738" s="3" t="str">
        <f>IFERROR(__xludf.DUMMYFUNCTION("""COMPUTED_VALUE"""),"K0K 1M0")</f>
        <v>K0K 1M0</v>
      </c>
      <c r="E8738" s="3" t="str">
        <f>IFERROR(__xludf.DUMMYFUNCTION("""COMPUTED_VALUE"""),"Devon Bray")</f>
        <v>Devon Bray</v>
      </c>
      <c r="F8738" s="3" t="str">
        <f>IFERROR(__xludf.DUMMYFUNCTION("""COMPUTED_VALUE"""),"bray.devon@gmail.com")</f>
        <v>bray.devon@gmail.com</v>
      </c>
      <c r="G8738" s="3"/>
      <c r="H8738" s="3"/>
    </row>
    <row r="8739">
      <c r="A8739" s="2">
        <f>IFERROR(__xludf.DUMMYFUNCTION("""COMPUTED_VALUE"""),30736.0)</f>
        <v>30736</v>
      </c>
      <c r="B8739" s="3" t="str">
        <f>IFERROR(__xludf.DUMMYFUNCTION("""COMPUTED_VALUE"""),"437 JAKOBI RD ")</f>
        <v>437 JAKOBI RD </v>
      </c>
      <c r="C8739" s="3" t="str">
        <f>IFERROR(__xludf.DUMMYFUNCTION("""COMPUTED_VALUE"""),"CASTLETON")</f>
        <v>CASTLETON</v>
      </c>
      <c r="D8739" s="3" t="str">
        <f>IFERROR(__xludf.DUMMYFUNCTION("""COMPUTED_VALUE"""),"K0K 1M0")</f>
        <v>K0K 1M0</v>
      </c>
      <c r="E8739" s="3"/>
      <c r="F8739" s="3"/>
      <c r="G8739" s="3"/>
      <c r="H8739" s="3"/>
    </row>
    <row r="8740">
      <c r="A8740" s="2">
        <f>IFERROR(__xludf.DUMMYFUNCTION("""COMPUTED_VALUE"""),31569.0)</f>
        <v>31569</v>
      </c>
      <c r="B8740" s="3" t="str">
        <f>IFERROR(__xludf.DUMMYFUNCTION("""COMPUTED_VALUE"""),"445 JAKOBI RD")</f>
        <v>445 JAKOBI RD</v>
      </c>
      <c r="C8740" s="3" t="str">
        <f>IFERROR(__xludf.DUMMYFUNCTION("""COMPUTED_VALUE"""),"CASTLETON")</f>
        <v>CASTLETON</v>
      </c>
      <c r="D8740" s="3" t="str">
        <f>IFERROR(__xludf.DUMMYFUNCTION("""COMPUTED_VALUE"""),"K0K 1M0")</f>
        <v>K0K 1M0</v>
      </c>
      <c r="E8740" s="3" t="str">
        <f>IFERROR(__xludf.DUMMYFUNCTION("""COMPUTED_VALUE"""),"Tyler Skrimek")</f>
        <v>Tyler Skrimek</v>
      </c>
      <c r="F8740" s="3" t="str">
        <f>IFERROR(__xludf.DUMMYFUNCTION("""COMPUTED_VALUE"""),"Tyler.Skrimek@Vermeercanada.com")</f>
        <v>Tyler.Skrimek@Vermeercanada.com</v>
      </c>
      <c r="G8740" s="3"/>
      <c r="H8740" s="3"/>
    </row>
    <row r="8741">
      <c r="A8741" s="2">
        <f>IFERROR(__xludf.DUMMYFUNCTION("""COMPUTED_VALUE"""),30737.0)</f>
        <v>30737</v>
      </c>
      <c r="B8741" s="3" t="str">
        <f>IFERROR(__xludf.DUMMYFUNCTION("""COMPUTED_VALUE"""),"465 JAKOBI RD ")</f>
        <v>465 JAKOBI RD </v>
      </c>
      <c r="C8741" s="3" t="str">
        <f>IFERROR(__xludf.DUMMYFUNCTION("""COMPUTED_VALUE"""),"CASTLETON")</f>
        <v>CASTLETON</v>
      </c>
      <c r="D8741" s="3" t="str">
        <f>IFERROR(__xludf.DUMMYFUNCTION("""COMPUTED_VALUE"""),"K0K 1M0")</f>
        <v>K0K 1M0</v>
      </c>
      <c r="E8741" s="3" t="str">
        <f>IFERROR(__xludf.DUMMYFUNCTION("""COMPUTED_VALUE"""),"Gabirel Kovacs")</f>
        <v>Gabirel Kovacs</v>
      </c>
      <c r="F8741" s="3" t="str">
        <f>IFERROR(__xludf.DUMMYFUNCTION("""COMPUTED_VALUE"""),"gabekovacs@hotmail.com")</f>
        <v>gabekovacs@hotmail.com</v>
      </c>
      <c r="G8741" s="3"/>
      <c r="H8741" s="3"/>
    </row>
    <row r="8742">
      <c r="A8742" s="2">
        <f>IFERROR(__xludf.DUMMYFUNCTION("""COMPUTED_VALUE"""),30738.0)</f>
        <v>30738</v>
      </c>
      <c r="B8742" s="3" t="str">
        <f>IFERROR(__xludf.DUMMYFUNCTION("""COMPUTED_VALUE"""),"495 JAKOBI RD ")</f>
        <v>495 JAKOBI RD </v>
      </c>
      <c r="C8742" s="3" t="str">
        <f>IFERROR(__xludf.DUMMYFUNCTION("""COMPUTED_VALUE"""),"CASTLETON")</f>
        <v>CASTLETON</v>
      </c>
      <c r="D8742" s="3" t="str">
        <f>IFERROR(__xludf.DUMMYFUNCTION("""COMPUTED_VALUE"""),"K0K 1M0")</f>
        <v>K0K 1M0</v>
      </c>
      <c r="E8742" s="3"/>
      <c r="F8742" s="3"/>
      <c r="G8742" s="3"/>
      <c r="H8742" s="3"/>
    </row>
    <row r="8743">
      <c r="A8743" s="2">
        <f>IFERROR(__xludf.DUMMYFUNCTION("""COMPUTED_VALUE"""),30739.0)</f>
        <v>30739</v>
      </c>
      <c r="B8743" s="3" t="str">
        <f>IFERROR(__xludf.DUMMYFUNCTION("""COMPUTED_VALUE"""),"522 JAKOBI RD ")</f>
        <v>522 JAKOBI RD </v>
      </c>
      <c r="C8743" s="3" t="str">
        <f>IFERROR(__xludf.DUMMYFUNCTION("""COMPUTED_VALUE"""),"CASTLETON")</f>
        <v>CASTLETON</v>
      </c>
      <c r="D8743" s="3" t="str">
        <f>IFERROR(__xludf.DUMMYFUNCTION("""COMPUTED_VALUE"""),"K0K 1M0")</f>
        <v>K0K 1M0</v>
      </c>
      <c r="E8743" s="3" t="str">
        <f>IFERROR(__xludf.DUMMYFUNCTION("""COMPUTED_VALUE"""),"Elizabeth Mcnicoll")</f>
        <v>Elizabeth Mcnicoll</v>
      </c>
      <c r="F8743" s="3" t="str">
        <f>IFERROR(__xludf.DUMMYFUNCTION("""COMPUTED_VALUE"""),"brian.liz.mcnicoll@gmail.com")</f>
        <v>brian.liz.mcnicoll@gmail.com</v>
      </c>
      <c r="G8743" s="3"/>
      <c r="H8743" s="3"/>
    </row>
    <row r="8744">
      <c r="A8744" s="2">
        <f>IFERROR(__xludf.DUMMYFUNCTION("""COMPUTED_VALUE"""),30740.0)</f>
        <v>30740</v>
      </c>
      <c r="B8744" s="3" t="str">
        <f>IFERROR(__xludf.DUMMYFUNCTION("""COMPUTED_VALUE"""),"533 JAKOBI RD ")</f>
        <v>533 JAKOBI RD </v>
      </c>
      <c r="C8744" s="3" t="str">
        <f>IFERROR(__xludf.DUMMYFUNCTION("""COMPUTED_VALUE"""),"CASTLETON")</f>
        <v>CASTLETON</v>
      </c>
      <c r="D8744" s="3" t="str">
        <f>IFERROR(__xludf.DUMMYFUNCTION("""COMPUTED_VALUE"""),"K0K 1M0")</f>
        <v>K0K 1M0</v>
      </c>
      <c r="E8744" s="3" t="str">
        <f>IFERROR(__xludf.DUMMYFUNCTION("""COMPUTED_VALUE"""),"Alex Zoyechkowski")</f>
        <v>Alex Zoyechkowski</v>
      </c>
      <c r="F8744" s="3" t="str">
        <f>IFERROR(__xludf.DUMMYFUNCTION("""COMPUTED_VALUE"""),"N/A")</f>
        <v>N/A</v>
      </c>
      <c r="G8744" s="3">
        <f>IFERROR(__xludf.DUMMYFUNCTION("""COMPUTED_VALUE"""),9.053762626E9)</f>
        <v>9053762626</v>
      </c>
      <c r="H8744" s="3"/>
    </row>
    <row r="8745">
      <c r="A8745" s="2">
        <f>IFERROR(__xludf.DUMMYFUNCTION("""COMPUTED_VALUE"""),30741.0)</f>
        <v>30741</v>
      </c>
      <c r="B8745" s="3" t="str">
        <f>IFERROR(__xludf.DUMMYFUNCTION("""COMPUTED_VALUE"""),"558 JAKOBI RD ")</f>
        <v>558 JAKOBI RD </v>
      </c>
      <c r="C8745" s="3" t="str">
        <f>IFERROR(__xludf.DUMMYFUNCTION("""COMPUTED_VALUE"""),"CASTLETON")</f>
        <v>CASTLETON</v>
      </c>
      <c r="D8745" s="3" t="str">
        <f>IFERROR(__xludf.DUMMYFUNCTION("""COMPUTED_VALUE"""),"K0K 1M0")</f>
        <v>K0K 1M0</v>
      </c>
      <c r="E8745" s="3"/>
      <c r="F8745" s="3"/>
      <c r="G8745" s="3"/>
      <c r="H8745" s="3"/>
    </row>
    <row r="8746">
      <c r="A8746" s="2">
        <f>IFERROR(__xludf.DUMMYFUNCTION("""COMPUTED_VALUE"""),31570.0)</f>
        <v>31570</v>
      </c>
      <c r="B8746" s="3" t="str">
        <f>IFERROR(__xludf.DUMMYFUNCTION("""COMPUTED_VALUE"""),"559 JAKOBI RD")</f>
        <v>559 JAKOBI RD</v>
      </c>
      <c r="C8746" s="3" t="str">
        <f>IFERROR(__xludf.DUMMYFUNCTION("""COMPUTED_VALUE"""),"CASTLETON")</f>
        <v>CASTLETON</v>
      </c>
      <c r="D8746" s="3" t="str">
        <f>IFERROR(__xludf.DUMMYFUNCTION("""COMPUTED_VALUE"""),"K0K 1M0")</f>
        <v>K0K 1M0</v>
      </c>
      <c r="E8746" s="3" t="str">
        <f>IFERROR(__xludf.DUMMYFUNCTION("""COMPUTED_VALUE"""),"Mike Sullivan")</f>
        <v>Mike Sullivan</v>
      </c>
      <c r="F8746" s="3"/>
      <c r="G8746" s="3"/>
      <c r="H8746" s="3"/>
    </row>
    <row r="8747">
      <c r="A8747" s="2">
        <f>IFERROR(__xludf.DUMMYFUNCTION("""COMPUTED_VALUE"""),30742.0)</f>
        <v>30742</v>
      </c>
      <c r="B8747" s="3" t="str">
        <f>IFERROR(__xludf.DUMMYFUNCTION("""COMPUTED_VALUE"""),"670 JAKOBI RD ")</f>
        <v>670 JAKOBI RD </v>
      </c>
      <c r="C8747" s="3" t="str">
        <f>IFERROR(__xludf.DUMMYFUNCTION("""COMPUTED_VALUE"""),"CASTLETON")</f>
        <v>CASTLETON</v>
      </c>
      <c r="D8747" s="3" t="str">
        <f>IFERROR(__xludf.DUMMYFUNCTION("""COMPUTED_VALUE"""),"K0K 1M0")</f>
        <v>K0K 1M0</v>
      </c>
      <c r="E8747" s="3" t="str">
        <f>IFERROR(__xludf.DUMMYFUNCTION("""COMPUTED_VALUE"""),"Susan Campbell")</f>
        <v>Susan Campbell</v>
      </c>
      <c r="F8747" s="3" t="str">
        <f>IFERROR(__xludf.DUMMYFUNCTION("""COMPUTED_VALUE"""),"savhc21@icloud.com")</f>
        <v>savhc21@icloud.com</v>
      </c>
      <c r="G8747" s="3"/>
      <c r="H8747" s="3"/>
    </row>
    <row r="8748">
      <c r="A8748" s="2">
        <f>IFERROR(__xludf.DUMMYFUNCTION("""COMPUTED_VALUE"""),30743.0)</f>
        <v>30743</v>
      </c>
      <c r="B8748" s="3" t="str">
        <f>IFERROR(__xludf.DUMMYFUNCTION("""COMPUTED_VALUE"""),"690 JAKOBI RD ")</f>
        <v>690 JAKOBI RD </v>
      </c>
      <c r="C8748" s="3" t="str">
        <f>IFERROR(__xludf.DUMMYFUNCTION("""COMPUTED_VALUE"""),"CASTLETON")</f>
        <v>CASTLETON</v>
      </c>
      <c r="D8748" s="3" t="str">
        <f>IFERROR(__xludf.DUMMYFUNCTION("""COMPUTED_VALUE"""),"K0K 1M0")</f>
        <v>K0K 1M0</v>
      </c>
      <c r="E8748" s="3" t="str">
        <f>IFERROR(__xludf.DUMMYFUNCTION("""COMPUTED_VALUE"""),"Liane Whittaker")</f>
        <v>Liane Whittaker</v>
      </c>
      <c r="F8748" s="3" t="str">
        <f>IFERROR(__xludf.DUMMYFUNCTION("""COMPUTED_VALUE"""),"wickedliane@gmail.com")</f>
        <v>wickedliane@gmail.com</v>
      </c>
      <c r="G8748" s="3">
        <f>IFERROR(__xludf.DUMMYFUNCTION("""COMPUTED_VALUE"""),9.059269772E9)</f>
        <v>9059269772</v>
      </c>
      <c r="H8748" s="3">
        <f>IFERROR(__xludf.DUMMYFUNCTION("""COMPUTED_VALUE"""),9.0562337E9)</f>
        <v>9056233700</v>
      </c>
    </row>
    <row r="8749">
      <c r="A8749" s="2">
        <f>IFERROR(__xludf.DUMMYFUNCTION("""COMPUTED_VALUE"""),30744.0)</f>
        <v>30744</v>
      </c>
      <c r="B8749" s="3" t="str">
        <f>IFERROR(__xludf.DUMMYFUNCTION("""COMPUTED_VALUE"""),"730 JAKOBI RD ")</f>
        <v>730 JAKOBI RD </v>
      </c>
      <c r="C8749" s="3" t="str">
        <f>IFERROR(__xludf.DUMMYFUNCTION("""COMPUTED_VALUE"""),"CASTLETON")</f>
        <v>CASTLETON</v>
      </c>
      <c r="D8749" s="3" t="str">
        <f>IFERROR(__xludf.DUMMYFUNCTION("""COMPUTED_VALUE"""),"K0K 1M0")</f>
        <v>K0K 1M0</v>
      </c>
      <c r="E8749" s="3" t="str">
        <f>IFERROR(__xludf.DUMMYFUNCTION("""COMPUTED_VALUE"""),"Kim Hillier")</f>
        <v>Kim Hillier</v>
      </c>
      <c r="F8749" s="3" t="str">
        <f>IFERROR(__xludf.DUMMYFUNCTION("""COMPUTED_VALUE"""),"Kim Hillier")</f>
        <v>Kim Hillier</v>
      </c>
      <c r="G8749" s="3">
        <f>IFERROR(__xludf.DUMMYFUNCTION("""COMPUTED_VALUE"""),9.052597373E9)</f>
        <v>9052597373</v>
      </c>
      <c r="H8749" s="3"/>
    </row>
    <row r="8750">
      <c r="A8750" s="2">
        <f>IFERROR(__xludf.DUMMYFUNCTION("""COMPUTED_VALUE"""),30745.0)</f>
        <v>30745</v>
      </c>
      <c r="B8750" s="3" t="str">
        <f>IFERROR(__xludf.DUMMYFUNCTION("""COMPUTED_VALUE"""),"745 JAKOBI RD ")</f>
        <v>745 JAKOBI RD </v>
      </c>
      <c r="C8750" s="3" t="str">
        <f>IFERROR(__xludf.DUMMYFUNCTION("""COMPUTED_VALUE"""),"CASTLETON")</f>
        <v>CASTLETON</v>
      </c>
      <c r="D8750" s="3" t="str">
        <f>IFERROR(__xludf.DUMMYFUNCTION("""COMPUTED_VALUE"""),"K0K 1M0")</f>
        <v>K0K 1M0</v>
      </c>
      <c r="E8750" s="3" t="str">
        <f>IFERROR(__xludf.DUMMYFUNCTION("""COMPUTED_VALUE"""),"Brad Groenenberg")</f>
        <v>Brad Groenenberg</v>
      </c>
      <c r="F8750" s="3" t="str">
        <f>IFERROR(__xludf.DUMMYFUNCTION("""COMPUTED_VALUE"""),"brad.groenenberg@gmail.com")</f>
        <v>brad.groenenberg@gmail.com</v>
      </c>
      <c r="G8750" s="3">
        <f>IFERROR(__xludf.DUMMYFUNCTION("""COMPUTED_VALUE"""),4.167081382E9)</f>
        <v>4167081382</v>
      </c>
      <c r="H8750" s="3">
        <f>IFERROR(__xludf.DUMMYFUNCTION("""COMPUTED_VALUE"""),6.133978789E9)</f>
        <v>6133978789</v>
      </c>
    </row>
    <row r="8751">
      <c r="A8751" s="2">
        <f>IFERROR(__xludf.DUMMYFUNCTION("""COMPUTED_VALUE"""),30746.0)</f>
        <v>30746</v>
      </c>
      <c r="B8751" s="3" t="str">
        <f>IFERROR(__xludf.DUMMYFUNCTION("""COMPUTED_VALUE"""),"746 JAKOBI RD ")</f>
        <v>746 JAKOBI RD </v>
      </c>
      <c r="C8751" s="3" t="str">
        <f>IFERROR(__xludf.DUMMYFUNCTION("""COMPUTED_VALUE"""),"CASTLETON")</f>
        <v>CASTLETON</v>
      </c>
      <c r="D8751" s="3" t="str">
        <f>IFERROR(__xludf.DUMMYFUNCTION("""COMPUTED_VALUE"""),"K0K 1M0")</f>
        <v>K0K 1M0</v>
      </c>
      <c r="E8751" s="3" t="str">
        <f>IFERROR(__xludf.DUMMYFUNCTION("""COMPUTED_VALUE"""),"Lesley O'Donnell")</f>
        <v>Lesley O'Donnell</v>
      </c>
      <c r="F8751" s="3" t="str">
        <f>IFERROR(__xludf.DUMMYFUNCTION("""COMPUTED_VALUE"""),"lacrysdale@hotmail.com")</f>
        <v>lacrysdale@hotmail.com</v>
      </c>
      <c r="G8751" s="3"/>
      <c r="H8751" s="3"/>
    </row>
    <row r="8752">
      <c r="A8752" s="2">
        <f>IFERROR(__xludf.DUMMYFUNCTION("""COMPUTED_VALUE"""),30747.0)</f>
        <v>30747</v>
      </c>
      <c r="B8752" s="3" t="str">
        <f>IFERROR(__xludf.DUMMYFUNCTION("""COMPUTED_VALUE"""),"765 JAKOBI RD ")</f>
        <v>765 JAKOBI RD </v>
      </c>
      <c r="C8752" s="3" t="str">
        <f>IFERROR(__xludf.DUMMYFUNCTION("""COMPUTED_VALUE"""),"CASTLETON")</f>
        <v>CASTLETON</v>
      </c>
      <c r="D8752" s="3" t="str">
        <f>IFERROR(__xludf.DUMMYFUNCTION("""COMPUTED_VALUE"""),"K0K 1M0")</f>
        <v>K0K 1M0</v>
      </c>
      <c r="E8752" s="3" t="str">
        <f>IFERROR(__xludf.DUMMYFUNCTION("""COMPUTED_VALUE"""),"Jonathan Medina")</f>
        <v>Jonathan Medina</v>
      </c>
      <c r="F8752" s="3" t="str">
        <f>IFERROR(__xludf.DUMMYFUNCTION("""COMPUTED_VALUE"""),"jonathanmedina640@gmail.com")</f>
        <v>jonathanmedina640@gmail.com</v>
      </c>
      <c r="G8752" s="3"/>
      <c r="H8752" s="3"/>
    </row>
    <row r="8753">
      <c r="A8753" s="2">
        <f>IFERROR(__xludf.DUMMYFUNCTION("""COMPUTED_VALUE"""),30748.0)</f>
        <v>30748</v>
      </c>
      <c r="B8753" s="3" t="str">
        <f>IFERROR(__xludf.DUMMYFUNCTION("""COMPUTED_VALUE"""),"766 JAKOBI RD ")</f>
        <v>766 JAKOBI RD </v>
      </c>
      <c r="C8753" s="3" t="str">
        <f>IFERROR(__xludf.DUMMYFUNCTION("""COMPUTED_VALUE"""),"CASTLETON")</f>
        <v>CASTLETON</v>
      </c>
      <c r="D8753" s="3" t="str">
        <f>IFERROR(__xludf.DUMMYFUNCTION("""COMPUTED_VALUE"""),"K0K 1M0")</f>
        <v>K0K 1M0</v>
      </c>
      <c r="E8753" s="3" t="str">
        <f>IFERROR(__xludf.DUMMYFUNCTION("""COMPUTED_VALUE"""),"Dan Tymchuk")</f>
        <v>Dan Tymchuk</v>
      </c>
      <c r="F8753" s="3" t="str">
        <f>IFERROR(__xludf.DUMMYFUNCTION("""COMPUTED_VALUE"""),"dantymchuk402@gmail.com")</f>
        <v>dantymchuk402@gmail.com</v>
      </c>
      <c r="G8753" s="3"/>
      <c r="H8753" s="3"/>
    </row>
    <row r="8754">
      <c r="A8754" s="2">
        <f>IFERROR(__xludf.DUMMYFUNCTION("""COMPUTED_VALUE"""),30749.0)</f>
        <v>30749</v>
      </c>
      <c r="B8754" s="3" t="str">
        <f>IFERROR(__xludf.DUMMYFUNCTION("""COMPUTED_VALUE"""),"767 JAKOBI RD ")</f>
        <v>767 JAKOBI RD </v>
      </c>
      <c r="C8754" s="3" t="str">
        <f>IFERROR(__xludf.DUMMYFUNCTION("""COMPUTED_VALUE"""),"CASTLETON")</f>
        <v>CASTLETON</v>
      </c>
      <c r="D8754" s="3" t="str">
        <f>IFERROR(__xludf.DUMMYFUNCTION("""COMPUTED_VALUE"""),"K0K 1M0")</f>
        <v>K0K 1M0</v>
      </c>
      <c r="E8754" s="3" t="str">
        <f>IFERROR(__xludf.DUMMYFUNCTION("""COMPUTED_VALUE"""),"Glenn Cullen")</f>
        <v>Glenn Cullen</v>
      </c>
      <c r="F8754" s="3" t="str">
        <f>IFERROR(__xludf.DUMMYFUNCTION("""COMPUTED_VALUE"""),"glenn_2@sympatico.ca")</f>
        <v>glenn_2@sympatico.ca</v>
      </c>
      <c r="G8754" s="3">
        <f>IFERROR(__xludf.DUMMYFUNCTION("""COMPUTED_VALUE"""),6.479826187E9)</f>
        <v>6479826187</v>
      </c>
      <c r="H8754" s="3"/>
    </row>
    <row r="8755">
      <c r="A8755" s="2">
        <f>IFERROR(__xludf.DUMMYFUNCTION("""COMPUTED_VALUE"""),30750.0)</f>
        <v>30750</v>
      </c>
      <c r="B8755" s="3" t="str">
        <f>IFERROR(__xludf.DUMMYFUNCTION("""COMPUTED_VALUE"""),"770 JAKOBI RD ")</f>
        <v>770 JAKOBI RD </v>
      </c>
      <c r="C8755" s="3" t="str">
        <f>IFERROR(__xludf.DUMMYFUNCTION("""COMPUTED_VALUE"""),"CASTLETON")</f>
        <v>CASTLETON</v>
      </c>
      <c r="D8755" s="3" t="str">
        <f>IFERROR(__xludf.DUMMYFUNCTION("""COMPUTED_VALUE"""),"K0K 1M0")</f>
        <v>K0K 1M0</v>
      </c>
      <c r="E8755" s="3" t="str">
        <f>IFERROR(__xludf.DUMMYFUNCTION("""COMPUTED_VALUE"""),"Megan Johnson")</f>
        <v>Megan Johnson</v>
      </c>
      <c r="F8755" s="3" t="str">
        <f>IFERROR(__xludf.DUMMYFUNCTION("""COMPUTED_VALUE"""),"meganjohnson.co@gmail.com")</f>
        <v>meganjohnson.co@gmail.com</v>
      </c>
      <c r="G8755" s="3"/>
      <c r="H8755" s="3"/>
    </row>
    <row r="8756">
      <c r="A8756" s="2">
        <f>IFERROR(__xludf.DUMMYFUNCTION("""COMPUTED_VALUE"""),30751.0)</f>
        <v>30751</v>
      </c>
      <c r="B8756" s="3" t="str">
        <f>IFERROR(__xludf.DUMMYFUNCTION("""COMPUTED_VALUE"""),"160 JOICE RD ")</f>
        <v>160 JOICE RD </v>
      </c>
      <c r="C8756" s="3" t="str">
        <f>IFERROR(__xludf.DUMMYFUNCTION("""COMPUTED_VALUE"""),"GRAFTON")</f>
        <v>GRAFTON</v>
      </c>
      <c r="D8756" s="3" t="str">
        <f>IFERROR(__xludf.DUMMYFUNCTION("""COMPUTED_VALUE"""),"K0K 2G0")</f>
        <v>K0K 2G0</v>
      </c>
      <c r="E8756" s="3" t="str">
        <f>IFERROR(__xludf.DUMMYFUNCTION("""COMPUTED_VALUE"""),"John Kelly")</f>
        <v>John Kelly</v>
      </c>
      <c r="F8756" s="3" t="str">
        <f>IFERROR(__xludf.DUMMYFUNCTION("""COMPUTED_VALUE"""),"johngordonkelly@gmail.com")</f>
        <v>johngordonkelly@gmail.com</v>
      </c>
      <c r="G8756" s="3"/>
      <c r="H8756" s="3"/>
    </row>
    <row r="8757">
      <c r="A8757" s="2">
        <f>IFERROR(__xludf.DUMMYFUNCTION("""COMPUTED_VALUE"""),30752.0)</f>
        <v>30752</v>
      </c>
      <c r="B8757" s="3" t="str">
        <f>IFERROR(__xludf.DUMMYFUNCTION("""COMPUTED_VALUE"""),"230 JOICE RD ")</f>
        <v>230 JOICE RD </v>
      </c>
      <c r="C8757" s="3" t="str">
        <f>IFERROR(__xludf.DUMMYFUNCTION("""COMPUTED_VALUE"""),"GRAFTON")</f>
        <v>GRAFTON</v>
      </c>
      <c r="D8757" s="3" t="str">
        <f>IFERROR(__xludf.DUMMYFUNCTION("""COMPUTED_VALUE"""),"K0K 2G0")</f>
        <v>K0K 2G0</v>
      </c>
      <c r="E8757" s="3" t="str">
        <f>IFERROR(__xludf.DUMMYFUNCTION("""COMPUTED_VALUE"""),"Jennifer Lansley")</f>
        <v>Jennifer Lansley</v>
      </c>
      <c r="F8757" s="3" t="str">
        <f>IFERROR(__xludf.DUMMYFUNCTION("""COMPUTED_VALUE"""),"jenn.lansley@hotmail.com")</f>
        <v>jenn.lansley@hotmail.com</v>
      </c>
      <c r="G8757" s="3">
        <f>IFERROR(__xludf.DUMMYFUNCTION("""COMPUTED_VALUE"""),9.05396476E9)</f>
        <v>9053964760</v>
      </c>
      <c r="H8757" s="3"/>
    </row>
    <row r="8758">
      <c r="A8758" s="2">
        <f>IFERROR(__xludf.DUMMYFUNCTION("""COMPUTED_VALUE"""),30753.0)</f>
        <v>30753</v>
      </c>
      <c r="B8758" s="3" t="str">
        <f>IFERROR(__xludf.DUMMYFUNCTION("""COMPUTED_VALUE"""),"294 JOICE RD ")</f>
        <v>294 JOICE RD </v>
      </c>
      <c r="C8758" s="3" t="str">
        <f>IFERROR(__xludf.DUMMYFUNCTION("""COMPUTED_VALUE"""),"GRAFTON")</f>
        <v>GRAFTON</v>
      </c>
      <c r="D8758" s="3" t="str">
        <f>IFERROR(__xludf.DUMMYFUNCTION("""COMPUTED_VALUE"""),"K0K 2G0")</f>
        <v>K0K 2G0</v>
      </c>
      <c r="E8758" s="3" t="str">
        <f>IFERROR(__xludf.DUMMYFUNCTION("""COMPUTED_VALUE"""),"Jim Helps")</f>
        <v>Jim Helps</v>
      </c>
      <c r="F8758" s="3" t="str">
        <f>IFERROR(__xludf.DUMMYFUNCTION("""COMPUTED_VALUE"""),"helpsjim5@gmail.com")</f>
        <v>helpsjim5@gmail.com</v>
      </c>
      <c r="G8758" s="3">
        <f>IFERROR(__xludf.DUMMYFUNCTION("""COMPUTED_VALUE"""),9.053968776E9)</f>
        <v>9053968776</v>
      </c>
      <c r="H8758" s="3"/>
    </row>
    <row r="8759">
      <c r="A8759" s="2">
        <f>IFERROR(__xludf.DUMMYFUNCTION("""COMPUTED_VALUE"""),30754.0)</f>
        <v>30754</v>
      </c>
      <c r="B8759" s="3" t="str">
        <f>IFERROR(__xludf.DUMMYFUNCTION("""COMPUTED_VALUE"""),"299 JOICE RD ")</f>
        <v>299 JOICE RD </v>
      </c>
      <c r="C8759" s="3" t="str">
        <f>IFERROR(__xludf.DUMMYFUNCTION("""COMPUTED_VALUE"""),"GRAFTON")</f>
        <v>GRAFTON</v>
      </c>
      <c r="D8759" s="3" t="str">
        <f>IFERROR(__xludf.DUMMYFUNCTION("""COMPUTED_VALUE"""),"K0K 2G0")</f>
        <v>K0K 2G0</v>
      </c>
      <c r="E8759" s="3"/>
      <c r="F8759" s="3"/>
      <c r="G8759" s="3"/>
      <c r="H8759" s="3"/>
    </row>
    <row r="8760">
      <c r="A8760" s="2">
        <f>IFERROR(__xludf.DUMMYFUNCTION("""COMPUTED_VALUE"""),30755.0)</f>
        <v>30755</v>
      </c>
      <c r="B8760" s="3" t="str">
        <f>IFERROR(__xludf.DUMMYFUNCTION("""COMPUTED_VALUE"""),"310 JOICE RD ")</f>
        <v>310 JOICE RD </v>
      </c>
      <c r="C8760" s="3" t="str">
        <f>IFERROR(__xludf.DUMMYFUNCTION("""COMPUTED_VALUE"""),"GRAFTON")</f>
        <v>GRAFTON</v>
      </c>
      <c r="D8760" s="3" t="str">
        <f>IFERROR(__xludf.DUMMYFUNCTION("""COMPUTED_VALUE"""),"K0K 2G0")</f>
        <v>K0K 2G0</v>
      </c>
      <c r="E8760" s="3" t="str">
        <f>IFERROR(__xludf.DUMMYFUNCTION("""COMPUTED_VALUE"""),"Kathran Helps")</f>
        <v>Kathran Helps</v>
      </c>
      <c r="F8760" s="3" t="str">
        <f>IFERROR(__xludf.DUMMYFUNCTION("""COMPUTED_VALUE"""),"kjhelps@eagle.ca")</f>
        <v>kjhelps@eagle.ca</v>
      </c>
      <c r="G8760" s="3">
        <f>IFERROR(__xludf.DUMMYFUNCTION("""COMPUTED_VALUE"""),2.892513902E9)</f>
        <v>2892513902</v>
      </c>
      <c r="H8760" s="3">
        <f>IFERROR(__xludf.DUMMYFUNCTION("""COMPUTED_VALUE"""),9.053492095E9)</f>
        <v>9053492095</v>
      </c>
    </row>
    <row r="8761">
      <c r="A8761" s="2">
        <f>IFERROR(__xludf.DUMMYFUNCTION("""COMPUTED_VALUE"""),30756.0)</f>
        <v>30756</v>
      </c>
      <c r="B8761" s="3" t="str">
        <f>IFERROR(__xludf.DUMMYFUNCTION("""COMPUTED_VALUE"""),"313 JOICE RD ")</f>
        <v>313 JOICE RD </v>
      </c>
      <c r="C8761" s="3" t="str">
        <f>IFERROR(__xludf.DUMMYFUNCTION("""COMPUTED_VALUE"""),"GRAFTON")</f>
        <v>GRAFTON</v>
      </c>
      <c r="D8761" s="3" t="str">
        <f>IFERROR(__xludf.DUMMYFUNCTION("""COMPUTED_VALUE"""),"K0K 2G0")</f>
        <v>K0K 2G0</v>
      </c>
      <c r="E8761" s="3" t="str">
        <f>IFERROR(__xludf.DUMMYFUNCTION("""COMPUTED_VALUE"""),"Albert Jarvis")</f>
        <v>Albert Jarvis</v>
      </c>
      <c r="F8761" s="3"/>
      <c r="G8761" s="3">
        <f>IFERROR(__xludf.DUMMYFUNCTION("""COMPUTED_VALUE"""),9.053492629E9)</f>
        <v>9053492629</v>
      </c>
      <c r="H8761" s="3">
        <f>IFERROR(__xludf.DUMMYFUNCTION("""COMPUTED_VALUE"""),9.053493942E9)</f>
        <v>9053493942</v>
      </c>
    </row>
    <row r="8762">
      <c r="A8762" s="2">
        <f>IFERROR(__xludf.DUMMYFUNCTION("""COMPUTED_VALUE"""),30757.0)</f>
        <v>30757</v>
      </c>
      <c r="B8762" s="3" t="str">
        <f>IFERROR(__xludf.DUMMYFUNCTION("""COMPUTED_VALUE"""),"162 JONES RD ")</f>
        <v>162 JONES RD </v>
      </c>
      <c r="C8762" s="3" t="str">
        <f>IFERROR(__xludf.DUMMYFUNCTION("""COMPUTED_VALUE"""),"CASTLETON")</f>
        <v>CASTLETON</v>
      </c>
      <c r="D8762" s="3" t="str">
        <f>IFERROR(__xludf.DUMMYFUNCTION("""COMPUTED_VALUE"""),"K0K 1M0")</f>
        <v>K0K 1M0</v>
      </c>
      <c r="E8762" s="3" t="str">
        <f>IFERROR(__xludf.DUMMYFUNCTION("""COMPUTED_VALUE"""),"Brent Jones")</f>
        <v>Brent Jones</v>
      </c>
      <c r="F8762" s="3" t="str">
        <f>IFERROR(__xludf.DUMMYFUNCTION("""COMPUTED_VALUE"""),"scjjones466@gmail.com")</f>
        <v>scjjones466@gmail.com</v>
      </c>
      <c r="G8762" s="3">
        <f>IFERROR(__xludf.DUMMYFUNCTION("""COMPUTED_VALUE"""),9.053447643E9)</f>
        <v>9053447643</v>
      </c>
      <c r="H8762" s="3">
        <f>IFERROR(__xludf.DUMMYFUNCTION("""COMPUTED_VALUE"""),9.053763912E9)</f>
        <v>9053763912</v>
      </c>
    </row>
    <row r="8763">
      <c r="A8763" s="2">
        <f>IFERROR(__xludf.DUMMYFUNCTION("""COMPUTED_VALUE"""),30758.0)</f>
        <v>30758</v>
      </c>
      <c r="B8763" s="3" t="str">
        <f>IFERROR(__xludf.DUMMYFUNCTION("""COMPUTED_VALUE"""),"245 JONES RD ")</f>
        <v>245 JONES RD </v>
      </c>
      <c r="C8763" s="3" t="str">
        <f>IFERROR(__xludf.DUMMYFUNCTION("""COMPUTED_VALUE"""),"CASTLETON")</f>
        <v>CASTLETON</v>
      </c>
      <c r="D8763" s="3" t="str">
        <f>IFERROR(__xludf.DUMMYFUNCTION("""COMPUTED_VALUE"""),"K0K 1M0")</f>
        <v>K0K 1M0</v>
      </c>
      <c r="E8763" s="3" t="str">
        <f>IFERROR(__xludf.DUMMYFUNCTION("""COMPUTED_VALUE"""),"Clinton &amp; Tracy Jones")</f>
        <v>Clinton &amp; Tracy Jones</v>
      </c>
      <c r="F8763" s="3" t="str">
        <f>IFERROR(__xludf.DUMMYFUNCTION("""COMPUTED_VALUE"""),"clintontracyjones@gmail.com")</f>
        <v>clintontracyjones@gmail.com</v>
      </c>
      <c r="G8763" s="3">
        <f>IFERROR(__xludf.DUMMYFUNCTION("""COMPUTED_VALUE"""),9.053967891E9)</f>
        <v>9053967891</v>
      </c>
      <c r="H8763" s="3">
        <f>IFERROR(__xludf.DUMMYFUNCTION("""COMPUTED_VALUE"""),9.053753017E9)</f>
        <v>9053753017</v>
      </c>
    </row>
    <row r="8764">
      <c r="A8764" s="2">
        <f>IFERROR(__xludf.DUMMYFUNCTION("""COMPUTED_VALUE"""),30759.0)</f>
        <v>30759</v>
      </c>
      <c r="B8764" s="3" t="str">
        <f>IFERROR(__xludf.DUMMYFUNCTION("""COMPUTED_VALUE"""),"209-225 JONES RD ")</f>
        <v>209-225 JONES RD </v>
      </c>
      <c r="C8764" s="3" t="str">
        <f>IFERROR(__xludf.DUMMYFUNCTION("""COMPUTED_VALUE"""),"CASTLETON")</f>
        <v>CASTLETON</v>
      </c>
      <c r="D8764" s="3" t="str">
        <f>IFERROR(__xludf.DUMMYFUNCTION("""COMPUTED_VALUE"""),"K0K 1M0")</f>
        <v>K0K 1M0</v>
      </c>
      <c r="E8764" s="3"/>
      <c r="F8764" s="3"/>
      <c r="G8764" s="3"/>
      <c r="H8764" s="3"/>
    </row>
    <row r="8765">
      <c r="A8765" s="2">
        <f>IFERROR(__xludf.DUMMYFUNCTION("""COMPUTED_VALUE"""),30760.0)</f>
        <v>30760</v>
      </c>
      <c r="B8765" s="3" t="str">
        <f>IFERROR(__xludf.DUMMYFUNCTION("""COMPUTED_VALUE"""),"344 KELLY DR ")</f>
        <v>344 KELLY DR </v>
      </c>
      <c r="C8765" s="3" t="str">
        <f>IFERROR(__xludf.DUMMYFUNCTION("""COMPUTED_VALUE"""),"CASTLETON")</f>
        <v>CASTLETON</v>
      </c>
      <c r="D8765" s="3" t="str">
        <f>IFERROR(__xludf.DUMMYFUNCTION("""COMPUTED_VALUE"""),"K0K 1M0")</f>
        <v>K0K 1M0</v>
      </c>
      <c r="E8765" s="3" t="str">
        <f>IFERROR(__xludf.DUMMYFUNCTION("""COMPUTED_VALUE"""),"FRANK PREST")</f>
        <v>FRANK PREST</v>
      </c>
      <c r="F8765" s="3" t="str">
        <f>IFERROR(__xludf.DUMMYFUNCTION("""COMPUTED_VALUE"""),"prestdevine@gmail.com")</f>
        <v>prestdevine@gmail.com</v>
      </c>
      <c r="G8765" s="3">
        <f>IFERROR(__xludf.DUMMYFUNCTION("""COMPUTED_VALUE"""),4.162004534E9)</f>
        <v>4162004534</v>
      </c>
      <c r="H8765" s="3">
        <f>IFERROR(__xludf.DUMMYFUNCTION("""COMPUTED_VALUE"""),6.47999317E9)</f>
        <v>6479993170</v>
      </c>
    </row>
    <row r="8766">
      <c r="A8766" s="2">
        <f>IFERROR(__xludf.DUMMYFUNCTION("""COMPUTED_VALUE"""),30763.0)</f>
        <v>30763</v>
      </c>
      <c r="B8766" s="3" t="str">
        <f>IFERROR(__xludf.DUMMYFUNCTION("""COMPUTED_VALUE"""),"150 KING RD ")</f>
        <v>150 KING RD </v>
      </c>
      <c r="C8766" s="3" t="str">
        <f>IFERROR(__xludf.DUMMYFUNCTION("""COMPUTED_VALUE"""),"GRAFTON")</f>
        <v>GRAFTON</v>
      </c>
      <c r="D8766" s="3" t="str">
        <f>IFERROR(__xludf.DUMMYFUNCTION("""COMPUTED_VALUE"""),"K0K 2G0")</f>
        <v>K0K 2G0</v>
      </c>
      <c r="E8766" s="3" t="str">
        <f>IFERROR(__xludf.DUMMYFUNCTION("""COMPUTED_VALUE"""),"Cori Cave")</f>
        <v>Cori Cave</v>
      </c>
      <c r="F8766" s="3" t="str">
        <f>IFERROR(__xludf.DUMMYFUNCTION("""COMPUTED_VALUE"""),"cavepeople6@gmail.com")</f>
        <v>cavepeople6@gmail.com</v>
      </c>
      <c r="G8766" s="3">
        <f>IFERROR(__xludf.DUMMYFUNCTION("""COMPUTED_VALUE"""),9.059141999E9)</f>
        <v>9059141999</v>
      </c>
      <c r="H8766" s="3"/>
    </row>
    <row r="8767">
      <c r="A8767" s="2">
        <f>IFERROR(__xludf.DUMMYFUNCTION("""COMPUTED_VALUE"""),30764.0)</f>
        <v>30764</v>
      </c>
      <c r="B8767" s="3" t="str">
        <f>IFERROR(__xludf.DUMMYFUNCTION("""COMPUTED_VALUE"""),"159 KING RD ")</f>
        <v>159 KING RD </v>
      </c>
      <c r="C8767" s="3" t="str">
        <f>IFERROR(__xludf.DUMMYFUNCTION("""COMPUTED_VALUE"""),"GRAFTON")</f>
        <v>GRAFTON</v>
      </c>
      <c r="D8767" s="3" t="str">
        <f>IFERROR(__xludf.DUMMYFUNCTION("""COMPUTED_VALUE"""),"K0K 2G0")</f>
        <v>K0K 2G0</v>
      </c>
      <c r="E8767" s="3" t="str">
        <f>IFERROR(__xludf.DUMMYFUNCTION("""COMPUTED_VALUE"""),"Daniel Lethinen")</f>
        <v>Daniel Lethinen</v>
      </c>
      <c r="F8767" s="3"/>
      <c r="G8767" s="3">
        <f>IFERROR(__xludf.DUMMYFUNCTION("""COMPUTED_VALUE"""),2.8925147E9)</f>
        <v>2892514700</v>
      </c>
      <c r="H8767" s="3"/>
    </row>
    <row r="8768">
      <c r="A8768" s="2">
        <f>IFERROR(__xludf.DUMMYFUNCTION("""COMPUTED_VALUE"""),30765.0)</f>
        <v>30765</v>
      </c>
      <c r="B8768" s="3" t="str">
        <f>IFERROR(__xludf.DUMMYFUNCTION("""COMPUTED_VALUE"""),"163 KING RD ")</f>
        <v>163 KING RD </v>
      </c>
      <c r="C8768" s="3" t="str">
        <f>IFERROR(__xludf.DUMMYFUNCTION("""COMPUTED_VALUE"""),"GRAFTON")</f>
        <v>GRAFTON</v>
      </c>
      <c r="D8768" s="3" t="str">
        <f>IFERROR(__xludf.DUMMYFUNCTION("""COMPUTED_VALUE"""),"K0K 2G0")</f>
        <v>K0K 2G0</v>
      </c>
      <c r="E8768" s="3" t="str">
        <f>IFERROR(__xludf.DUMMYFUNCTION("""COMPUTED_VALUE"""),"Gene &amp; Diane Mclean")</f>
        <v>Gene &amp; Diane Mclean</v>
      </c>
      <c r="F8768" s="3" t="str">
        <f>IFERROR(__xludf.DUMMYFUNCTION("""COMPUTED_VALUE"""),"mcleansecurity@telus.net")</f>
        <v>mcleansecurity@telus.net</v>
      </c>
      <c r="G8768" s="3"/>
      <c r="H8768" s="3"/>
    </row>
    <row r="8769">
      <c r="A8769" s="2">
        <f>IFERROR(__xludf.DUMMYFUNCTION("""COMPUTED_VALUE"""),30766.0)</f>
        <v>30766</v>
      </c>
      <c r="B8769" s="3" t="str">
        <f>IFERROR(__xludf.DUMMYFUNCTION("""COMPUTED_VALUE"""),"177 KING RD ")</f>
        <v>177 KING RD </v>
      </c>
      <c r="C8769" s="3" t="str">
        <f>IFERROR(__xludf.DUMMYFUNCTION("""COMPUTED_VALUE"""),"GRAFTON")</f>
        <v>GRAFTON</v>
      </c>
      <c r="D8769" s="3" t="str">
        <f>IFERROR(__xludf.DUMMYFUNCTION("""COMPUTED_VALUE"""),"K0K 2G0")</f>
        <v>K0K 2G0</v>
      </c>
      <c r="E8769" s="3" t="str">
        <f>IFERROR(__xludf.DUMMYFUNCTION("""COMPUTED_VALUE"""),"JORDAN CHRISTENSEN")</f>
        <v>JORDAN CHRISTENSEN</v>
      </c>
      <c r="F8769" s="3" t="str">
        <f>IFERROR(__xludf.DUMMYFUNCTION("""COMPUTED_VALUE"""),"thebigjc@gmail.com")</f>
        <v>thebigjc@gmail.com</v>
      </c>
      <c r="G8769" s="3"/>
      <c r="H8769" s="3"/>
    </row>
    <row r="8770">
      <c r="A8770" s="2">
        <f>IFERROR(__xludf.DUMMYFUNCTION("""COMPUTED_VALUE"""),30767.0)</f>
        <v>30767</v>
      </c>
      <c r="B8770" s="3" t="str">
        <f>IFERROR(__xludf.DUMMYFUNCTION("""COMPUTED_VALUE"""),"195 KING RD ")</f>
        <v>195 KING RD </v>
      </c>
      <c r="C8770" s="3" t="str">
        <f>IFERROR(__xludf.DUMMYFUNCTION("""COMPUTED_VALUE"""),"GRAFTON")</f>
        <v>GRAFTON</v>
      </c>
      <c r="D8770" s="3" t="str">
        <f>IFERROR(__xludf.DUMMYFUNCTION("""COMPUTED_VALUE"""),"K0K 2G0")</f>
        <v>K0K 2G0</v>
      </c>
      <c r="E8770" s="3"/>
      <c r="F8770" s="3"/>
      <c r="G8770" s="3"/>
      <c r="H8770" s="3"/>
    </row>
    <row r="8771">
      <c r="A8771" s="2">
        <f>IFERROR(__xludf.DUMMYFUNCTION("""COMPUTED_VALUE"""),30768.0)</f>
        <v>30768</v>
      </c>
      <c r="B8771" s="3" t="str">
        <f>IFERROR(__xludf.DUMMYFUNCTION("""COMPUTED_VALUE"""),"213 KING RD ")</f>
        <v>213 KING RD </v>
      </c>
      <c r="C8771" s="3" t="str">
        <f>IFERROR(__xludf.DUMMYFUNCTION("""COMPUTED_VALUE"""),"GRAFTON")</f>
        <v>GRAFTON</v>
      </c>
      <c r="D8771" s="3" t="str">
        <f>IFERROR(__xludf.DUMMYFUNCTION("""COMPUTED_VALUE"""),"K0K 2G0")</f>
        <v>K0K 2G0</v>
      </c>
      <c r="E8771" s="3" t="str">
        <f>IFERROR(__xludf.DUMMYFUNCTION("""COMPUTED_VALUE"""),"James Merlin")</f>
        <v>James Merlin</v>
      </c>
      <c r="F8771" s="3" t="str">
        <f>IFERROR(__xludf.DUMMYFUNCTION("""COMPUTED_VALUE"""),"landofthefathead@hotmail.com")</f>
        <v>landofthefathead@hotmail.com</v>
      </c>
      <c r="G8771" s="3">
        <f>IFERROR(__xludf.DUMMYFUNCTION("""COMPUTED_VALUE"""),2.893561574E9)</f>
        <v>2893561574</v>
      </c>
      <c r="H8771" s="3">
        <f>IFERROR(__xludf.DUMMYFUNCTION("""COMPUTED_VALUE"""),9.053490498E9)</f>
        <v>9053490498</v>
      </c>
    </row>
    <row r="8772">
      <c r="A8772" s="2">
        <f>IFERROR(__xludf.DUMMYFUNCTION("""COMPUTED_VALUE"""),30769.0)</f>
        <v>30769</v>
      </c>
      <c r="B8772" s="3" t="str">
        <f>IFERROR(__xludf.DUMMYFUNCTION("""COMPUTED_VALUE"""),"247 KING RD ")</f>
        <v>247 KING RD </v>
      </c>
      <c r="C8772" s="3" t="str">
        <f>IFERROR(__xludf.DUMMYFUNCTION("""COMPUTED_VALUE"""),"GRAFTON")</f>
        <v>GRAFTON</v>
      </c>
      <c r="D8772" s="3" t="str">
        <f>IFERROR(__xludf.DUMMYFUNCTION("""COMPUTED_VALUE"""),"K0K 2G0")</f>
        <v>K0K 2G0</v>
      </c>
      <c r="E8772" s="3" t="str">
        <f>IFERROR(__xludf.DUMMYFUNCTION("""COMPUTED_VALUE"""),"Dan Jean")</f>
        <v>Dan Jean</v>
      </c>
      <c r="F8772" s="3"/>
      <c r="G8772" s="3">
        <f>IFERROR(__xludf.DUMMYFUNCTION("""COMPUTED_VALUE"""),2.897712433E9)</f>
        <v>2897712433</v>
      </c>
      <c r="H8772" s="3"/>
    </row>
    <row r="8773">
      <c r="A8773" s="2">
        <f>IFERROR(__xludf.DUMMYFUNCTION("""COMPUTED_VALUE"""),30770.0)</f>
        <v>30770</v>
      </c>
      <c r="B8773" s="3" t="str">
        <f>IFERROR(__xludf.DUMMYFUNCTION("""COMPUTED_VALUE"""),"255 KING RD ")</f>
        <v>255 KING RD </v>
      </c>
      <c r="C8773" s="3" t="str">
        <f>IFERROR(__xludf.DUMMYFUNCTION("""COMPUTED_VALUE"""),"GRAFTON")</f>
        <v>GRAFTON</v>
      </c>
      <c r="D8773" s="3" t="str">
        <f>IFERROR(__xludf.DUMMYFUNCTION("""COMPUTED_VALUE"""),"K0K 2G0")</f>
        <v>K0K 2G0</v>
      </c>
      <c r="E8773" s="3" t="str">
        <f>IFERROR(__xludf.DUMMYFUNCTION("""COMPUTED_VALUE"""),"Jeff Halligan")</f>
        <v>Jeff Halligan</v>
      </c>
      <c r="F8773" s="3" t="str">
        <f>IFERROR(__xludf.DUMMYFUNCTION("""COMPUTED_VALUE"""),"jeff@mediamonkey.ca")</f>
        <v>jeff@mediamonkey.ca</v>
      </c>
      <c r="G8773" s="3">
        <f>IFERROR(__xludf.DUMMYFUNCTION("""COMPUTED_VALUE"""),6.472843097E9)</f>
        <v>6472843097</v>
      </c>
      <c r="H8773" s="3"/>
    </row>
    <row r="8774">
      <c r="A8774" s="2">
        <f>IFERROR(__xludf.DUMMYFUNCTION("""COMPUTED_VALUE"""),30771.0)</f>
        <v>30771</v>
      </c>
      <c r="B8774" s="3" t="str">
        <f>IFERROR(__xludf.DUMMYFUNCTION("""COMPUTED_VALUE"""),"270 KING RD ")</f>
        <v>270 KING RD </v>
      </c>
      <c r="C8774" s="3" t="str">
        <f>IFERROR(__xludf.DUMMYFUNCTION("""COMPUTED_VALUE"""),"GRAFTON")</f>
        <v>GRAFTON</v>
      </c>
      <c r="D8774" s="3" t="str">
        <f>IFERROR(__xludf.DUMMYFUNCTION("""COMPUTED_VALUE"""),"K0K 2G0")</f>
        <v>K0K 2G0</v>
      </c>
      <c r="E8774" s="3" t="str">
        <f>IFERROR(__xludf.DUMMYFUNCTION("""COMPUTED_VALUE"""),"Linda Schuyler")</f>
        <v>Linda Schuyler</v>
      </c>
      <c r="F8774" s="3" t="str">
        <f>IFERROR(__xludf.DUMMYFUNCTION("""COMPUTED_VALUE"""),"linda.schuyler@skystune.media")</f>
        <v>linda.schuyler@skystune.media</v>
      </c>
      <c r="G8774" s="3"/>
      <c r="H8774" s="3"/>
    </row>
    <row r="8775">
      <c r="A8775" s="2">
        <f>IFERROR(__xludf.DUMMYFUNCTION("""COMPUTED_VALUE"""),30772.0)</f>
        <v>30772</v>
      </c>
      <c r="B8775" s="3" t="str">
        <f>IFERROR(__xludf.DUMMYFUNCTION("""COMPUTED_VALUE"""),"298 KING RD ")</f>
        <v>298 KING RD </v>
      </c>
      <c r="C8775" s="3" t="str">
        <f>IFERROR(__xludf.DUMMYFUNCTION("""COMPUTED_VALUE"""),"GRAFTON")</f>
        <v>GRAFTON</v>
      </c>
      <c r="D8775" s="3" t="str">
        <f>IFERROR(__xludf.DUMMYFUNCTION("""COMPUTED_VALUE"""),"K0K 2G0")</f>
        <v>K0K 2G0</v>
      </c>
      <c r="E8775" s="3" t="str">
        <f>IFERROR(__xludf.DUMMYFUNCTION("""COMPUTED_VALUE"""),"Garrett Graham")</f>
        <v>Garrett Graham</v>
      </c>
      <c r="F8775" s="3" t="str">
        <f>IFERROR(__xludf.DUMMYFUNCTION("""COMPUTED_VALUE"""),"garrettgraham87@gmail.com")</f>
        <v>garrettgraham87@gmail.com</v>
      </c>
      <c r="G8775" s="3"/>
      <c r="H8775" s="3"/>
    </row>
    <row r="8776">
      <c r="A8776" s="2">
        <f>IFERROR(__xludf.DUMMYFUNCTION("""COMPUTED_VALUE"""),30773.0)</f>
        <v>30773</v>
      </c>
      <c r="B8776" s="3" t="str">
        <f>IFERROR(__xludf.DUMMYFUNCTION("""COMPUTED_VALUE"""),"323 KING RD ")</f>
        <v>323 KING RD </v>
      </c>
      <c r="C8776" s="3" t="str">
        <f>IFERROR(__xludf.DUMMYFUNCTION("""COMPUTED_VALUE"""),"GRAFTON")</f>
        <v>GRAFTON</v>
      </c>
      <c r="D8776" s="3" t="str">
        <f>IFERROR(__xludf.DUMMYFUNCTION("""COMPUTED_VALUE"""),"K0K 2G0")</f>
        <v>K0K 2G0</v>
      </c>
      <c r="E8776" s="3" t="str">
        <f>IFERROR(__xludf.DUMMYFUNCTION("""COMPUTED_VALUE"""),"Garrett Graham")</f>
        <v>Garrett Graham</v>
      </c>
      <c r="F8776" s="3" t="str">
        <f>IFERROR(__xludf.DUMMYFUNCTION("""COMPUTED_VALUE"""),"garrettgraham87@gmail.com")</f>
        <v>garrettgraham87@gmail.com</v>
      </c>
      <c r="G8776" s="3"/>
      <c r="H8776" s="3"/>
    </row>
    <row r="8777">
      <c r="A8777" s="2">
        <f>IFERROR(__xludf.DUMMYFUNCTION("""COMPUTED_VALUE"""),30774.0)</f>
        <v>30774</v>
      </c>
      <c r="B8777" s="3" t="str">
        <f>IFERROR(__xludf.DUMMYFUNCTION("""COMPUTED_VALUE"""),"371 LANDON RD ")</f>
        <v>371 LANDON RD </v>
      </c>
      <c r="C8777" s="3" t="str">
        <f>IFERROR(__xludf.DUMMYFUNCTION("""COMPUTED_VALUE"""),"CASTLETON")</f>
        <v>CASTLETON</v>
      </c>
      <c r="D8777" s="3" t="str">
        <f>IFERROR(__xludf.DUMMYFUNCTION("""COMPUTED_VALUE"""),"K0K 1M0")</f>
        <v>K0K 1M0</v>
      </c>
      <c r="E8777" s="3"/>
      <c r="F8777" s="3"/>
      <c r="G8777" s="3"/>
      <c r="H8777" s="3"/>
    </row>
    <row r="8778">
      <c r="A8778" s="2">
        <f>IFERROR(__xludf.DUMMYFUNCTION("""COMPUTED_VALUE"""),30775.0)</f>
        <v>30775</v>
      </c>
      <c r="B8778" s="3" t="str">
        <f>IFERROR(__xludf.DUMMYFUNCTION("""COMPUTED_VALUE""")," 400 LANDON RD ")</f>
        <v> 400 LANDON RD </v>
      </c>
      <c r="C8778" s="3" t="str">
        <f>IFERROR(__xludf.DUMMYFUNCTION("""COMPUTED_VALUE"""),"CASTLETON")</f>
        <v>CASTLETON</v>
      </c>
      <c r="D8778" s="3" t="str">
        <f>IFERROR(__xludf.DUMMYFUNCTION("""COMPUTED_VALUE"""),"K0K 1M0")</f>
        <v>K0K 1M0</v>
      </c>
      <c r="E8778" s="3"/>
      <c r="F8778" s="3"/>
      <c r="G8778" s="3"/>
      <c r="H8778" s="3"/>
    </row>
    <row r="8779">
      <c r="A8779" s="2">
        <f>IFERROR(__xludf.DUMMYFUNCTION("""COMPUTED_VALUE"""),30783.0)</f>
        <v>30783</v>
      </c>
      <c r="B8779" s="3" t="str">
        <f>IFERROR(__xludf.DUMMYFUNCTION("""COMPUTED_VALUE"""),"108 MASSEY RD ")</f>
        <v>108 MASSEY RD </v>
      </c>
      <c r="C8779" s="3" t="str">
        <f>IFERROR(__xludf.DUMMYFUNCTION("""COMPUTED_VALUE"""),"COBOURG")</f>
        <v>COBOURG</v>
      </c>
      <c r="D8779" s="3" t="str">
        <f>IFERROR(__xludf.DUMMYFUNCTION("""COMPUTED_VALUE"""),"K9A 4J8")</f>
        <v>K9A 4J8</v>
      </c>
      <c r="E8779" s="3" t="str">
        <f>IFERROR(__xludf.DUMMYFUNCTION("""COMPUTED_VALUE"""),"WENDY MINIFIE")</f>
        <v>WENDY MINIFIE</v>
      </c>
      <c r="F8779" s="3" t="str">
        <f>IFERROR(__xludf.DUMMYFUNCTION("""COMPUTED_VALUE"""),"wendydombroskie1966@gmail.com")</f>
        <v>wendydombroskie1966@gmail.com</v>
      </c>
      <c r="G8779" s="3"/>
      <c r="H8779" s="3"/>
    </row>
    <row r="8780">
      <c r="A8780" s="2">
        <f>IFERROR(__xludf.DUMMYFUNCTION("""COMPUTED_VALUE"""),30780.0)</f>
        <v>30780</v>
      </c>
      <c r="B8780" s="3" t="str">
        <f>IFERROR(__xludf.DUMMYFUNCTION("""COMPUTED_VALUE"""),"112 MASSEY LANE ")</f>
        <v>112 MASSEY LANE </v>
      </c>
      <c r="C8780" s="3" t="str">
        <f>IFERROR(__xludf.DUMMYFUNCTION("""COMPUTED_VALUE"""),"CASTLETON")</f>
        <v>CASTLETON</v>
      </c>
      <c r="D8780" s="3" t="str">
        <f>IFERROR(__xludf.DUMMYFUNCTION("""COMPUTED_VALUE"""),"K0K 1M0")</f>
        <v>K0K 1M0</v>
      </c>
      <c r="E8780" s="3" t="str">
        <f>IFERROR(__xludf.DUMMYFUNCTION("""COMPUTED_VALUE"""),"John Marshman")</f>
        <v>John Marshman</v>
      </c>
      <c r="F8780" s="3" t="str">
        <f>IFERROR(__xludf.DUMMYFUNCTION("""COMPUTED_VALUE"""),"jmarshman000@gmail.com")</f>
        <v>jmarshman000@gmail.com</v>
      </c>
      <c r="G8780" s="3">
        <f>IFERROR(__xludf.DUMMYFUNCTION("""COMPUTED_VALUE"""),6.137434723E9)</f>
        <v>6137434723</v>
      </c>
      <c r="H8780" s="3"/>
    </row>
    <row r="8781">
      <c r="A8781" s="2">
        <f>IFERROR(__xludf.DUMMYFUNCTION("""COMPUTED_VALUE"""),30784.0)</f>
        <v>30784</v>
      </c>
      <c r="B8781" s="3" t="str">
        <f>IFERROR(__xludf.DUMMYFUNCTION("""COMPUTED_VALUE"""),"120 MASSEY RD ")</f>
        <v>120 MASSEY RD </v>
      </c>
      <c r="C8781" s="3" t="str">
        <f>IFERROR(__xludf.DUMMYFUNCTION("""COMPUTED_VALUE"""),"COBOURG")</f>
        <v>COBOURG</v>
      </c>
      <c r="D8781" s="3" t="str">
        <f>IFERROR(__xludf.DUMMYFUNCTION("""COMPUTED_VALUE"""),"K9A 4J8")</f>
        <v>K9A 4J8</v>
      </c>
      <c r="E8781" s="3"/>
      <c r="F8781" s="3"/>
      <c r="G8781" s="3"/>
      <c r="H8781" s="3"/>
    </row>
    <row r="8782">
      <c r="A8782" s="2">
        <f>IFERROR(__xludf.DUMMYFUNCTION("""COMPUTED_VALUE"""),30785.0)</f>
        <v>30785</v>
      </c>
      <c r="B8782" s="3" t="str">
        <f>IFERROR(__xludf.DUMMYFUNCTION("""COMPUTED_VALUE"""),"128 MASSEY RD ")</f>
        <v>128 MASSEY RD </v>
      </c>
      <c r="C8782" s="3" t="str">
        <f>IFERROR(__xludf.DUMMYFUNCTION("""COMPUTED_VALUE"""),"COBOURG")</f>
        <v>COBOURG</v>
      </c>
      <c r="D8782" s="3" t="str">
        <f>IFERROR(__xludf.DUMMYFUNCTION("""COMPUTED_VALUE"""),"K9A 4J8")</f>
        <v>K9A 4J8</v>
      </c>
      <c r="E8782" s="3" t="str">
        <f>IFERROR(__xludf.DUMMYFUNCTION("""COMPUTED_VALUE"""),"Richelle Hall")</f>
        <v>Richelle Hall</v>
      </c>
      <c r="F8782" s="3" t="str">
        <f>IFERROR(__xludf.DUMMYFUNCTION("""COMPUTED_VALUE"""),"richellehall19@gmail.com")</f>
        <v>richellehall19@gmail.com</v>
      </c>
      <c r="G8782" s="3"/>
      <c r="H8782" s="3"/>
    </row>
    <row r="8783">
      <c r="A8783" s="2">
        <f>IFERROR(__xludf.DUMMYFUNCTION("""COMPUTED_VALUE"""),30786.0)</f>
        <v>30786</v>
      </c>
      <c r="B8783" s="3" t="str">
        <f>IFERROR(__xludf.DUMMYFUNCTION("""COMPUTED_VALUE"""),"136 MASSEY RD ")</f>
        <v>136 MASSEY RD </v>
      </c>
      <c r="C8783" s="3" t="str">
        <f>IFERROR(__xludf.DUMMYFUNCTION("""COMPUTED_VALUE"""),"COBOURG")</f>
        <v>COBOURG</v>
      </c>
      <c r="D8783" s="3" t="str">
        <f>IFERROR(__xludf.DUMMYFUNCTION("""COMPUTED_VALUE"""),"K9A 4J8")</f>
        <v>K9A 4J8</v>
      </c>
      <c r="E8783" s="3" t="str">
        <f>IFERROR(__xludf.DUMMYFUNCTION("""COMPUTED_VALUE"""),"Sabrina Ebenreth")</f>
        <v>Sabrina Ebenreth</v>
      </c>
      <c r="F8783" s="3" t="str">
        <f>IFERROR(__xludf.DUMMYFUNCTION("""COMPUTED_VALUE"""),"sabrina.ebenreth@ontariotechu.net")</f>
        <v>sabrina.ebenreth@ontariotechu.net</v>
      </c>
      <c r="G8783" s="3">
        <f>IFERROR(__xludf.DUMMYFUNCTION("""COMPUTED_VALUE"""),2.896002816E9)</f>
        <v>2896002816</v>
      </c>
      <c r="H8783" s="3"/>
    </row>
    <row r="8784">
      <c r="A8784" s="2">
        <f>IFERROR(__xludf.DUMMYFUNCTION("""COMPUTED_VALUE"""),30787.0)</f>
        <v>30787</v>
      </c>
      <c r="B8784" s="3" t="str">
        <f>IFERROR(__xludf.DUMMYFUNCTION("""COMPUTED_VALUE"""),"152 MASSEY RD ")</f>
        <v>152 MASSEY RD </v>
      </c>
      <c r="C8784" s="3" t="str">
        <f>IFERROR(__xludf.DUMMYFUNCTION("""COMPUTED_VALUE"""),"COBOURG")</f>
        <v>COBOURG</v>
      </c>
      <c r="D8784" s="3" t="str">
        <f>IFERROR(__xludf.DUMMYFUNCTION("""COMPUTED_VALUE"""),"K9A 4J8")</f>
        <v>K9A 4J8</v>
      </c>
      <c r="E8784" s="3" t="str">
        <f>IFERROR(__xludf.DUMMYFUNCTION("""COMPUTED_VALUE"""),"Valerie Rumball")</f>
        <v>Valerie Rumball</v>
      </c>
      <c r="F8784" s="3" t="str">
        <f>IFERROR(__xludf.DUMMYFUNCTION("""COMPUTED_VALUE"""),"ldeschamps1@hotmail.com")</f>
        <v>ldeschamps1@hotmail.com</v>
      </c>
      <c r="G8784" s="3">
        <f>IFERROR(__xludf.DUMMYFUNCTION("""COMPUTED_VALUE"""),9.052695755E9)</f>
        <v>9052695755</v>
      </c>
      <c r="H8784" s="3"/>
    </row>
    <row r="8785">
      <c r="A8785" s="2">
        <f>IFERROR(__xludf.DUMMYFUNCTION("""COMPUTED_VALUE"""),30788.0)</f>
        <v>30788</v>
      </c>
      <c r="B8785" s="3" t="str">
        <f>IFERROR(__xludf.DUMMYFUNCTION("""COMPUTED_VALUE"""),"160 MASSEY RD ")</f>
        <v>160 MASSEY RD </v>
      </c>
      <c r="C8785" s="3" t="str">
        <f>IFERROR(__xludf.DUMMYFUNCTION("""COMPUTED_VALUE"""),"COBOURG")</f>
        <v>COBOURG</v>
      </c>
      <c r="D8785" s="3" t="str">
        <f>IFERROR(__xludf.DUMMYFUNCTION("""COMPUTED_VALUE"""),"K9A 4J8")</f>
        <v>K9A 4J8</v>
      </c>
      <c r="E8785" s="3" t="str">
        <f>IFERROR(__xludf.DUMMYFUNCTION("""COMPUTED_VALUE"""),"Melissa Thornton")</f>
        <v>Melissa Thornton</v>
      </c>
      <c r="F8785" s="3"/>
      <c r="G8785" s="3"/>
      <c r="H8785" s="3"/>
    </row>
    <row r="8786">
      <c r="A8786" s="2">
        <f>IFERROR(__xludf.DUMMYFUNCTION("""COMPUTED_VALUE"""),30789.0)</f>
        <v>30789</v>
      </c>
      <c r="B8786" s="3" t="str">
        <f>IFERROR(__xludf.DUMMYFUNCTION("""COMPUTED_VALUE"""),"168 MASSEY RD ")</f>
        <v>168 MASSEY RD </v>
      </c>
      <c r="C8786" s="3" t="str">
        <f>IFERROR(__xludf.DUMMYFUNCTION("""COMPUTED_VALUE"""),"COBOURG")</f>
        <v>COBOURG</v>
      </c>
      <c r="D8786" s="3" t="str">
        <f>IFERROR(__xludf.DUMMYFUNCTION("""COMPUTED_VALUE"""),"K9A 4J8")</f>
        <v>K9A 4J8</v>
      </c>
      <c r="E8786" s="3"/>
      <c r="F8786" s="3"/>
      <c r="G8786" s="3"/>
      <c r="H8786" s="3"/>
    </row>
    <row r="8787">
      <c r="A8787" s="2">
        <f>IFERROR(__xludf.DUMMYFUNCTION("""COMPUTED_VALUE"""),30790.0)</f>
        <v>30790</v>
      </c>
      <c r="B8787" s="3" t="str">
        <f>IFERROR(__xludf.DUMMYFUNCTION("""COMPUTED_VALUE"""),"176 MASSEY RD ")</f>
        <v>176 MASSEY RD </v>
      </c>
      <c r="C8787" s="3" t="str">
        <f>IFERROR(__xludf.DUMMYFUNCTION("""COMPUTED_VALUE"""),"COBOURG")</f>
        <v>COBOURG</v>
      </c>
      <c r="D8787" s="3" t="str">
        <f>IFERROR(__xludf.DUMMYFUNCTION("""COMPUTED_VALUE"""),"K9A 4J8")</f>
        <v>K9A 4J8</v>
      </c>
      <c r="E8787" s="3" t="str">
        <f>IFERROR(__xludf.DUMMYFUNCTION("""COMPUTED_VALUE"""),"Harry Piersma")</f>
        <v>Harry Piersma</v>
      </c>
      <c r="F8787" s="3" t="str">
        <f>IFERROR(__xludf.DUMMYFUNCTION("""COMPUTED_VALUE"""),"piersmah@gmail.com")</f>
        <v>piersmah@gmail.com</v>
      </c>
      <c r="G8787" s="3"/>
      <c r="H8787" s="3"/>
    </row>
    <row r="8788">
      <c r="A8788" s="2">
        <f>IFERROR(__xludf.DUMMYFUNCTION("""COMPUTED_VALUE"""),30781.0)</f>
        <v>30781</v>
      </c>
      <c r="B8788" s="3" t="str">
        <f>IFERROR(__xludf.DUMMYFUNCTION("""COMPUTED_VALUE"""),"189 MASSEY LANE")</f>
        <v>189 MASSEY LANE</v>
      </c>
      <c r="C8788" s="3"/>
      <c r="D8788" s="3"/>
      <c r="E8788" s="3"/>
      <c r="F8788" s="3"/>
      <c r="G8788" s="3"/>
      <c r="H8788" s="3"/>
    </row>
    <row r="8789">
      <c r="A8789" s="2">
        <f>IFERROR(__xludf.DUMMYFUNCTION("""COMPUTED_VALUE"""),30791.0)</f>
        <v>30791</v>
      </c>
      <c r="B8789" s="3" t="str">
        <f>IFERROR(__xludf.DUMMYFUNCTION("""COMPUTED_VALUE"""),"190 MASSEY RD ")</f>
        <v>190 MASSEY RD </v>
      </c>
      <c r="C8789" s="3" t="str">
        <f>IFERROR(__xludf.DUMMYFUNCTION("""COMPUTED_VALUE"""),"COBOURG")</f>
        <v>COBOURG</v>
      </c>
      <c r="D8789" s="3" t="str">
        <f>IFERROR(__xludf.DUMMYFUNCTION("""COMPUTED_VALUE"""),"K9A 4J8")</f>
        <v>K9A 4J8</v>
      </c>
      <c r="E8789" s="3" t="str">
        <f>IFERROR(__xludf.DUMMYFUNCTION("""COMPUTED_VALUE"""),"LEAH FISICO")</f>
        <v>LEAH FISICO</v>
      </c>
      <c r="F8789" s="3" t="str">
        <f>IFERROR(__xludf.DUMMYFUNCTION("""COMPUTED_VALUE"""),"leah.fisico@hotmail.com")</f>
        <v>leah.fisico@hotmail.com</v>
      </c>
      <c r="G8789" s="3"/>
      <c r="H8789" s="3"/>
    </row>
    <row r="8790">
      <c r="A8790" s="2">
        <f>IFERROR(__xludf.DUMMYFUNCTION("""COMPUTED_VALUE"""),30782.0)</f>
        <v>30782</v>
      </c>
      <c r="B8790" s="3" t="str">
        <f>IFERROR(__xludf.DUMMYFUNCTION("""COMPUTED_VALUE"""),"192 MASSEY LANE")</f>
        <v>192 MASSEY LANE</v>
      </c>
      <c r="C8790" s="3"/>
      <c r="D8790" s="3"/>
      <c r="E8790" s="3" t="str">
        <f>IFERROR(__xludf.DUMMYFUNCTION("""COMPUTED_VALUE"""),"Joanna Easby")</f>
        <v>Joanna Easby</v>
      </c>
      <c r="F8790" s="3" t="str">
        <f>IFERROR(__xludf.DUMMYFUNCTION("""COMPUTED_VALUE"""),"easby4cores@hotmail.com")</f>
        <v>easby4cores@hotmail.com</v>
      </c>
      <c r="G8790" s="3"/>
      <c r="H8790" s="3"/>
    </row>
    <row r="8791">
      <c r="A8791" s="2">
        <f>IFERROR(__xludf.DUMMYFUNCTION("""COMPUTED_VALUE"""),30792.0)</f>
        <v>30792</v>
      </c>
      <c r="B8791" s="3" t="str">
        <f>IFERROR(__xludf.DUMMYFUNCTION("""COMPUTED_VALUE"""),"193 MASSEY RD ")</f>
        <v>193 MASSEY RD </v>
      </c>
      <c r="C8791" s="3" t="str">
        <f>IFERROR(__xludf.DUMMYFUNCTION("""COMPUTED_VALUE"""),"COBOURG")</f>
        <v>COBOURG</v>
      </c>
      <c r="D8791" s="3" t="str">
        <f>IFERROR(__xludf.DUMMYFUNCTION("""COMPUTED_VALUE"""),"K9A 4J8")</f>
        <v>K9A 4J8</v>
      </c>
      <c r="E8791" s="3" t="str">
        <f>IFERROR(__xludf.DUMMYFUNCTION("""COMPUTED_VALUE"""),"Bev Arthur")</f>
        <v>Bev Arthur</v>
      </c>
      <c r="F8791" s="3" t="str">
        <f>IFERROR(__xludf.DUMMYFUNCTION("""COMPUTED_VALUE"""),"N/A")</f>
        <v>N/A</v>
      </c>
      <c r="G8791" s="3"/>
      <c r="H8791" s="3"/>
    </row>
    <row r="8792">
      <c r="A8792" s="2">
        <f>IFERROR(__xludf.DUMMYFUNCTION("""COMPUTED_VALUE"""),30793.0)</f>
        <v>30793</v>
      </c>
      <c r="B8792" s="3" t="str">
        <f>IFERROR(__xludf.DUMMYFUNCTION("""COMPUTED_VALUE"""),"197 MASSEY RD ")</f>
        <v>197 MASSEY RD </v>
      </c>
      <c r="C8792" s="3" t="str">
        <f>IFERROR(__xludf.DUMMYFUNCTION("""COMPUTED_VALUE"""),"COBOURG")</f>
        <v>COBOURG</v>
      </c>
      <c r="D8792" s="3" t="str">
        <f>IFERROR(__xludf.DUMMYFUNCTION("""COMPUTED_VALUE"""),"K9A 4J8")</f>
        <v>K9A 4J8</v>
      </c>
      <c r="E8792" s="3"/>
      <c r="F8792" s="3"/>
      <c r="G8792" s="3"/>
      <c r="H8792" s="3"/>
    </row>
    <row r="8793">
      <c r="A8793" s="2">
        <f>IFERROR(__xludf.DUMMYFUNCTION("""COMPUTED_VALUE"""),30794.0)</f>
        <v>30794</v>
      </c>
      <c r="B8793" s="3" t="str">
        <f>IFERROR(__xludf.DUMMYFUNCTION("""COMPUTED_VALUE"""),"230 MASSEY RD ")</f>
        <v>230 MASSEY RD </v>
      </c>
      <c r="C8793" s="3" t="str">
        <f>IFERROR(__xludf.DUMMYFUNCTION("""COMPUTED_VALUE"""),"COBOURG")</f>
        <v>COBOURG</v>
      </c>
      <c r="D8793" s="3" t="str">
        <f>IFERROR(__xludf.DUMMYFUNCTION("""COMPUTED_VALUE"""),"K9A 4J8")</f>
        <v>K9A 4J8</v>
      </c>
      <c r="E8793" s="3"/>
      <c r="F8793" s="3"/>
      <c r="G8793" s="3"/>
      <c r="H8793" s="3"/>
    </row>
    <row r="8794">
      <c r="A8794" s="2">
        <f>IFERROR(__xludf.DUMMYFUNCTION("""COMPUTED_VALUE"""),30797.0)</f>
        <v>30797</v>
      </c>
      <c r="B8794" s="3" t="str">
        <f>IFERROR(__xludf.DUMMYFUNCTION("""COMPUTED_VALUE"""),"480 MASSEY RD ")</f>
        <v>480 MASSEY RD </v>
      </c>
      <c r="C8794" s="3" t="str">
        <f>IFERROR(__xludf.DUMMYFUNCTION("""COMPUTED_VALUE"""),"GRAFTON")</f>
        <v>GRAFTON</v>
      </c>
      <c r="D8794" s="3" t="str">
        <f>IFERROR(__xludf.DUMMYFUNCTION("""COMPUTED_VALUE"""),"K0K 2G0")</f>
        <v>K0K 2G0</v>
      </c>
      <c r="E8794" s="3" t="str">
        <f>IFERROR(__xludf.DUMMYFUNCTION("""COMPUTED_VALUE"""),"Shelly Facey")</f>
        <v>Shelly Facey</v>
      </c>
      <c r="F8794" s="3" t="str">
        <f>IFERROR(__xludf.DUMMYFUNCTION("""COMPUTED_VALUE"""),"faceyshelly @gmail.com")</f>
        <v>faceyshelly @gmail.com</v>
      </c>
      <c r="G8794" s="3"/>
      <c r="H8794" s="3"/>
    </row>
    <row r="8795">
      <c r="A8795" s="2">
        <f>IFERROR(__xludf.DUMMYFUNCTION("""COMPUTED_VALUE"""),30798.0)</f>
        <v>30798</v>
      </c>
      <c r="B8795" s="3" t="str">
        <f>IFERROR(__xludf.DUMMYFUNCTION("""COMPUTED_VALUE"""),"582 MASSEY RD ")</f>
        <v>582 MASSEY RD </v>
      </c>
      <c r="C8795" s="3" t="str">
        <f>IFERROR(__xludf.DUMMYFUNCTION("""COMPUTED_VALUE"""),"GRAFTON")</f>
        <v>GRAFTON</v>
      </c>
      <c r="D8795" s="3" t="str">
        <f>IFERROR(__xludf.DUMMYFUNCTION("""COMPUTED_VALUE"""),"K0K 2G0")</f>
        <v>K0K 2G0</v>
      </c>
      <c r="E8795" s="3"/>
      <c r="F8795" s="3"/>
      <c r="G8795" s="3"/>
      <c r="H8795" s="3"/>
    </row>
    <row r="8796">
      <c r="A8796" s="2">
        <f>IFERROR(__xludf.DUMMYFUNCTION("""COMPUTED_VALUE"""),30799.0)</f>
        <v>30799</v>
      </c>
      <c r="B8796" s="3" t="str">
        <f>IFERROR(__xludf.DUMMYFUNCTION("""COMPUTED_VALUE"""),"593 MASSEY RD ")</f>
        <v>593 MASSEY RD </v>
      </c>
      <c r="C8796" s="3" t="str">
        <f>IFERROR(__xludf.DUMMYFUNCTION("""COMPUTED_VALUE"""),"GRAFTON")</f>
        <v>GRAFTON</v>
      </c>
      <c r="D8796" s="3" t="str">
        <f>IFERROR(__xludf.DUMMYFUNCTION("""COMPUTED_VALUE"""),"K0K 2G0")</f>
        <v>K0K 2G0</v>
      </c>
      <c r="E8796" s="3"/>
      <c r="F8796" s="3"/>
      <c r="G8796" s="3"/>
      <c r="H8796" s="3"/>
    </row>
    <row r="8797">
      <c r="A8797" s="2">
        <f>IFERROR(__xludf.DUMMYFUNCTION("""COMPUTED_VALUE"""),30800.0)</f>
        <v>30800</v>
      </c>
      <c r="B8797" s="3" t="str">
        <f>IFERROR(__xludf.DUMMYFUNCTION("""COMPUTED_VALUE"""),"642 MASSEY RD ")</f>
        <v>642 MASSEY RD </v>
      </c>
      <c r="C8797" s="3" t="str">
        <f>IFERROR(__xludf.DUMMYFUNCTION("""COMPUTED_VALUE"""),"GRAFTON")</f>
        <v>GRAFTON</v>
      </c>
      <c r="D8797" s="3" t="str">
        <f>IFERROR(__xludf.DUMMYFUNCTION("""COMPUTED_VALUE"""),"K0K 2G0")</f>
        <v>K0K 2G0</v>
      </c>
      <c r="E8797" s="3" t="str">
        <f>IFERROR(__xludf.DUMMYFUNCTION("""COMPUTED_VALUE"""),"Mark Kieffer")</f>
        <v>Mark Kieffer</v>
      </c>
      <c r="F8797" s="3" t="str">
        <f>IFERROR(__xludf.DUMMYFUNCTION("""COMPUTED_VALUE"""),"mark.kieffer1@gmail.com")</f>
        <v>mark.kieffer1@gmail.com</v>
      </c>
      <c r="G8797" s="3">
        <f>IFERROR(__xludf.DUMMYFUNCTION("""COMPUTED_VALUE"""),9.053765108E9)</f>
        <v>9053765108</v>
      </c>
      <c r="H8797" s="3"/>
    </row>
    <row r="8798">
      <c r="A8798" s="2">
        <f>IFERROR(__xludf.DUMMYFUNCTION("""COMPUTED_VALUE"""),30801.0)</f>
        <v>30801</v>
      </c>
      <c r="B8798" s="3" t="str">
        <f>IFERROR(__xludf.DUMMYFUNCTION("""COMPUTED_VALUE"""),"670 MASSEY RD ")</f>
        <v>670 MASSEY RD </v>
      </c>
      <c r="C8798" s="3" t="str">
        <f>IFERROR(__xludf.DUMMYFUNCTION("""COMPUTED_VALUE"""),"GRAFTON")</f>
        <v>GRAFTON</v>
      </c>
      <c r="D8798" s="3" t="str">
        <f>IFERROR(__xludf.DUMMYFUNCTION("""COMPUTED_VALUE"""),"K0K 2G0")</f>
        <v>K0K 2G0</v>
      </c>
      <c r="E8798" s="3" t="str">
        <f>IFERROR(__xludf.DUMMYFUNCTION("""COMPUTED_VALUE"""),"Mark Kieffer")</f>
        <v>Mark Kieffer</v>
      </c>
      <c r="F8798" s="3" t="str">
        <f>IFERROR(__xludf.DUMMYFUNCTION("""COMPUTED_VALUE"""),"mark.kieffer1@gmail.com")</f>
        <v>mark.kieffer1@gmail.com</v>
      </c>
      <c r="G8798" s="3">
        <f>IFERROR(__xludf.DUMMYFUNCTION("""COMPUTED_VALUE"""),9.053765108E9)</f>
        <v>9053765108</v>
      </c>
      <c r="H8798" s="3"/>
    </row>
    <row r="8799">
      <c r="A8799" s="2">
        <f>IFERROR(__xludf.DUMMYFUNCTION("""COMPUTED_VALUE"""),30802.0)</f>
        <v>30802</v>
      </c>
      <c r="B8799" s="3" t="str">
        <f>IFERROR(__xludf.DUMMYFUNCTION("""COMPUTED_VALUE"""),"725 MASSEY RD ")</f>
        <v>725 MASSEY RD </v>
      </c>
      <c r="C8799" s="3" t="str">
        <f>IFERROR(__xludf.DUMMYFUNCTION("""COMPUTED_VALUE"""),"GRAFTON")</f>
        <v>GRAFTON</v>
      </c>
      <c r="D8799" s="3" t="str">
        <f>IFERROR(__xludf.DUMMYFUNCTION("""COMPUTED_VALUE"""),"K0K 2G0")</f>
        <v>K0K 2G0</v>
      </c>
      <c r="E8799" s="3" t="str">
        <f>IFERROR(__xludf.DUMMYFUNCTION("""COMPUTED_VALUE"""),"Wendy Heins")</f>
        <v>Wendy Heins</v>
      </c>
      <c r="F8799" s="3" t="str">
        <f>IFERROR(__xludf.DUMMYFUNCTION("""COMPUTED_VALUE"""),"N/A")</f>
        <v>N/A</v>
      </c>
      <c r="G8799" s="3">
        <f>IFERROR(__xludf.DUMMYFUNCTION("""COMPUTED_VALUE"""),9.053492765E9)</f>
        <v>9053492765</v>
      </c>
      <c r="H8799" s="3"/>
    </row>
    <row r="8800">
      <c r="A8800" s="2">
        <f>IFERROR(__xludf.DUMMYFUNCTION("""COMPUTED_VALUE"""),30803.0)</f>
        <v>30803</v>
      </c>
      <c r="B8800" s="3" t="str">
        <f>IFERROR(__xludf.DUMMYFUNCTION("""COMPUTED_VALUE"""),"784 MASSEY RD ")</f>
        <v>784 MASSEY RD </v>
      </c>
      <c r="C8800" s="3" t="str">
        <f>IFERROR(__xludf.DUMMYFUNCTION("""COMPUTED_VALUE"""),"GRAFTON")</f>
        <v>GRAFTON</v>
      </c>
      <c r="D8800" s="3" t="str">
        <f>IFERROR(__xludf.DUMMYFUNCTION("""COMPUTED_VALUE"""),"K0K 2G0")</f>
        <v>K0K 2G0</v>
      </c>
      <c r="E8800" s="3"/>
      <c r="F8800" s="3"/>
      <c r="G8800" s="3"/>
      <c r="H8800" s="3"/>
    </row>
    <row r="8801">
      <c r="A8801" s="2">
        <f>IFERROR(__xludf.DUMMYFUNCTION("""COMPUTED_VALUE"""),30804.0)</f>
        <v>30804</v>
      </c>
      <c r="B8801" s="3" t="str">
        <f>IFERROR(__xludf.DUMMYFUNCTION("""COMPUTED_VALUE"""),"830 MASSEY RD ")</f>
        <v>830 MASSEY RD </v>
      </c>
      <c r="C8801" s="3" t="str">
        <f>IFERROR(__xludf.DUMMYFUNCTION("""COMPUTED_VALUE"""),"GRAFTON")</f>
        <v>GRAFTON</v>
      </c>
      <c r="D8801" s="3" t="str">
        <f>IFERROR(__xludf.DUMMYFUNCTION("""COMPUTED_VALUE"""),"K0K 2G0")</f>
        <v>K0K 2G0</v>
      </c>
      <c r="E8801" s="3" t="str">
        <f>IFERROR(__xludf.DUMMYFUNCTION("""COMPUTED_VALUE"""),"Wilmer P")</f>
        <v>Wilmer P</v>
      </c>
      <c r="F8801" s="3" t="str">
        <f>IFERROR(__xludf.DUMMYFUNCTION("""COMPUTED_VALUE"""),"N/A")</f>
        <v>N/A</v>
      </c>
      <c r="G8801" s="3">
        <f>IFERROR(__xludf.DUMMYFUNCTION("""COMPUTED_VALUE"""),9.053492818E9)</f>
        <v>9053492818</v>
      </c>
      <c r="H8801" s="3"/>
    </row>
    <row r="8802">
      <c r="A8802" s="2">
        <f>IFERROR(__xludf.DUMMYFUNCTION("""COMPUTED_VALUE"""),30805.0)</f>
        <v>30805</v>
      </c>
      <c r="B8802" s="3" t="str">
        <f>IFERROR(__xludf.DUMMYFUNCTION("""COMPUTED_VALUE"""),"864 MASSEY RD ")</f>
        <v>864 MASSEY RD </v>
      </c>
      <c r="C8802" s="3" t="str">
        <f>IFERROR(__xludf.DUMMYFUNCTION("""COMPUTED_VALUE"""),"GRAFTON")</f>
        <v>GRAFTON</v>
      </c>
      <c r="D8802" s="3" t="str">
        <f>IFERROR(__xludf.DUMMYFUNCTION("""COMPUTED_VALUE"""),"K0K 2G0")</f>
        <v>K0K 2G0</v>
      </c>
      <c r="E8802" s="3"/>
      <c r="F8802" s="3"/>
      <c r="G8802" s="3"/>
      <c r="H8802" s="3"/>
    </row>
    <row r="8803">
      <c r="A8803" s="2">
        <f>IFERROR(__xludf.DUMMYFUNCTION("""COMPUTED_VALUE"""),30806.0)</f>
        <v>30806</v>
      </c>
      <c r="B8803" s="3" t="str">
        <f>IFERROR(__xludf.DUMMYFUNCTION("""COMPUTED_VALUE"""),"949 MASSEY RD ")</f>
        <v>949 MASSEY RD </v>
      </c>
      <c r="C8803" s="3" t="str">
        <f>IFERROR(__xludf.DUMMYFUNCTION("""COMPUTED_VALUE"""),"GRAFTON")</f>
        <v>GRAFTON</v>
      </c>
      <c r="D8803" s="3" t="str">
        <f>IFERROR(__xludf.DUMMYFUNCTION("""COMPUTED_VALUE"""),"K0K 2G0")</f>
        <v>K0K 2G0</v>
      </c>
      <c r="E8803" s="3"/>
      <c r="F8803" s="3"/>
      <c r="G8803" s="3"/>
      <c r="H8803" s="3"/>
    </row>
    <row r="8804">
      <c r="A8804" s="2">
        <f>IFERROR(__xludf.DUMMYFUNCTION("""COMPUTED_VALUE"""),30807.0)</f>
        <v>30807</v>
      </c>
      <c r="B8804" s="3" t="str">
        <f>IFERROR(__xludf.DUMMYFUNCTION("""COMPUTED_VALUE"""),"1009 MASSEY RD ")</f>
        <v>1009 MASSEY RD </v>
      </c>
      <c r="C8804" s="3" t="str">
        <f>IFERROR(__xludf.DUMMYFUNCTION("""COMPUTED_VALUE"""),"GRAFTON")</f>
        <v>GRAFTON</v>
      </c>
      <c r="D8804" s="3" t="str">
        <f>IFERROR(__xludf.DUMMYFUNCTION("""COMPUTED_VALUE"""),"K0K 2G0")</f>
        <v>K0K 2G0</v>
      </c>
      <c r="E8804" s="3"/>
      <c r="F8804" s="3"/>
      <c r="G8804" s="3"/>
      <c r="H8804" s="3"/>
    </row>
    <row r="8805">
      <c r="A8805" s="2">
        <f>IFERROR(__xludf.DUMMYFUNCTION("""COMPUTED_VALUE"""),30808.0)</f>
        <v>30808</v>
      </c>
      <c r="B8805" s="3" t="str">
        <f>IFERROR(__xludf.DUMMYFUNCTION("""COMPUTED_VALUE"""),"1022 MASSEY RD ")</f>
        <v>1022 MASSEY RD </v>
      </c>
      <c r="C8805" s="3" t="str">
        <f>IFERROR(__xludf.DUMMYFUNCTION("""COMPUTED_VALUE"""),"GRAFTON")</f>
        <v>GRAFTON</v>
      </c>
      <c r="D8805" s="3" t="str">
        <f>IFERROR(__xludf.DUMMYFUNCTION("""COMPUTED_VALUE"""),"K0K 2G0")</f>
        <v>K0K 2G0</v>
      </c>
      <c r="E8805" s="3" t="str">
        <f>IFERROR(__xludf.DUMMYFUNCTION("""COMPUTED_VALUE"""),"John Brinkman (Mark Jackson, my son-in-law as contact person)")</f>
        <v>John Brinkman (Mark Jackson, my son-in-law as contact person)</v>
      </c>
      <c r="F8805" s="3" t="str">
        <f>IFERROR(__xludf.DUMMYFUNCTION("""COMPUTED_VALUE"""),"markj88b@hotmail.com")</f>
        <v>markj88b@hotmail.com</v>
      </c>
      <c r="G8805" s="3"/>
      <c r="H8805" s="3"/>
    </row>
    <row r="8806">
      <c r="A8806" s="2">
        <f>IFERROR(__xludf.DUMMYFUNCTION("""COMPUTED_VALUE"""),30809.0)</f>
        <v>30809</v>
      </c>
      <c r="B8806" s="3" t="str">
        <f>IFERROR(__xludf.DUMMYFUNCTION("""COMPUTED_VALUE"""),"1057 MASSEY RD ")</f>
        <v>1057 MASSEY RD </v>
      </c>
      <c r="C8806" s="3" t="str">
        <f>IFERROR(__xludf.DUMMYFUNCTION("""COMPUTED_VALUE"""),"GRAFTON")</f>
        <v>GRAFTON</v>
      </c>
      <c r="D8806" s="3" t="str">
        <f>IFERROR(__xludf.DUMMYFUNCTION("""COMPUTED_VALUE"""),"K0K 2G0")</f>
        <v>K0K 2G0</v>
      </c>
      <c r="E8806" s="3"/>
      <c r="F8806" s="3"/>
      <c r="G8806" s="3"/>
      <c r="H8806" s="3"/>
    </row>
    <row r="8807">
      <c r="A8807" s="2">
        <f>IFERROR(__xludf.DUMMYFUNCTION("""COMPUTED_VALUE"""),30810.0)</f>
        <v>30810</v>
      </c>
      <c r="B8807" s="3" t="str">
        <f>IFERROR(__xludf.DUMMYFUNCTION("""COMPUTED_VALUE"""),"1078 MASSEY RD ")</f>
        <v>1078 MASSEY RD </v>
      </c>
      <c r="C8807" s="3" t="str">
        <f>IFERROR(__xludf.DUMMYFUNCTION("""COMPUTED_VALUE"""),"GRAFTON")</f>
        <v>GRAFTON</v>
      </c>
      <c r="D8807" s="3" t="str">
        <f>IFERROR(__xludf.DUMMYFUNCTION("""COMPUTED_VALUE"""),"K0K 2G0")</f>
        <v>K0K 2G0</v>
      </c>
      <c r="E8807" s="3"/>
      <c r="F8807" s="3"/>
      <c r="G8807" s="3"/>
      <c r="H8807" s="3"/>
    </row>
    <row r="8808">
      <c r="A8808" s="2">
        <f>IFERROR(__xludf.DUMMYFUNCTION("""COMPUTED_VALUE"""),30811.0)</f>
        <v>30811</v>
      </c>
      <c r="B8808" s="3" t="str">
        <f>IFERROR(__xludf.DUMMYFUNCTION("""COMPUTED_VALUE"""),"1080 MASSEY RD ")</f>
        <v>1080 MASSEY RD </v>
      </c>
      <c r="C8808" s="3" t="str">
        <f>IFERROR(__xludf.DUMMYFUNCTION("""COMPUTED_VALUE"""),"GRAFTON")</f>
        <v>GRAFTON</v>
      </c>
      <c r="D8808" s="3" t="str">
        <f>IFERROR(__xludf.DUMMYFUNCTION("""COMPUTED_VALUE"""),"K0K 2G0")</f>
        <v>K0K 2G0</v>
      </c>
      <c r="E8808" s="3" t="str">
        <f>IFERROR(__xludf.DUMMYFUNCTION("""COMPUTED_VALUE"""),"Basil O'Connor")</f>
        <v>Basil O'Connor</v>
      </c>
      <c r="F8808" s="3" t="str">
        <f>IFERROR(__xludf.DUMMYFUNCTION("""COMPUTED_VALUE"""),"basoconnor1080@gmail.com")</f>
        <v>basoconnor1080@gmail.com</v>
      </c>
      <c r="G8808" s="3"/>
      <c r="H8808" s="3"/>
    </row>
    <row r="8809">
      <c r="A8809" s="2">
        <f>IFERROR(__xludf.DUMMYFUNCTION("""COMPUTED_VALUE"""),30812.0)</f>
        <v>30812</v>
      </c>
      <c r="B8809" s="3" t="str">
        <f>IFERROR(__xludf.DUMMYFUNCTION("""COMPUTED_VALUE"""),"1099 MASSEY RD ")</f>
        <v>1099 MASSEY RD </v>
      </c>
      <c r="C8809" s="3" t="str">
        <f>IFERROR(__xludf.DUMMYFUNCTION("""COMPUTED_VALUE"""),"GRAFTON")</f>
        <v>GRAFTON</v>
      </c>
      <c r="D8809" s="3" t="str">
        <f>IFERROR(__xludf.DUMMYFUNCTION("""COMPUTED_VALUE"""),"K0K 2G0")</f>
        <v>K0K 2G0</v>
      </c>
      <c r="E8809" s="3" t="str">
        <f>IFERROR(__xludf.DUMMYFUNCTION("""COMPUTED_VALUE"""),"Alison Landry")</f>
        <v>Alison Landry</v>
      </c>
      <c r="F8809" s="3"/>
      <c r="G8809" s="3"/>
      <c r="H8809" s="3"/>
    </row>
    <row r="8810">
      <c r="A8810" s="2">
        <f>IFERROR(__xludf.DUMMYFUNCTION("""COMPUTED_VALUE"""),30813.0)</f>
        <v>30813</v>
      </c>
      <c r="B8810" s="3" t="str">
        <f>IFERROR(__xludf.DUMMYFUNCTION("""COMPUTED_VALUE"""),"1100 MASSEY RD ")</f>
        <v>1100 MASSEY RD </v>
      </c>
      <c r="C8810" s="3" t="str">
        <f>IFERROR(__xludf.DUMMYFUNCTION("""COMPUTED_VALUE"""),"GRAFTON")</f>
        <v>GRAFTON</v>
      </c>
      <c r="D8810" s="3" t="str">
        <f>IFERROR(__xludf.DUMMYFUNCTION("""COMPUTED_VALUE"""),"K0K 2G0")</f>
        <v>K0K 2G0</v>
      </c>
      <c r="E8810" s="3" t="str">
        <f>IFERROR(__xludf.DUMMYFUNCTION("""COMPUTED_VALUE"""),"Daniel Wisnicki")</f>
        <v>Daniel Wisnicki</v>
      </c>
      <c r="F8810" s="3"/>
      <c r="G8810" s="3"/>
      <c r="H8810" s="3"/>
    </row>
    <row r="8811">
      <c r="A8811" s="2">
        <f>IFERROR(__xludf.DUMMYFUNCTION("""COMPUTED_VALUE"""),30816.0)</f>
        <v>30816</v>
      </c>
      <c r="B8811" s="3" t="str">
        <f>IFERROR(__xludf.DUMMYFUNCTION("""COMPUTED_VALUE"""),"1291 MASSEY RD ")</f>
        <v>1291 MASSEY RD </v>
      </c>
      <c r="C8811" s="3" t="str">
        <f>IFERROR(__xludf.DUMMYFUNCTION("""COMPUTED_VALUE"""),"GRAFTON")</f>
        <v>GRAFTON</v>
      </c>
      <c r="D8811" s="3" t="str">
        <f>IFERROR(__xludf.DUMMYFUNCTION("""COMPUTED_VALUE"""),"K0K 2G0")</f>
        <v>K0K 2G0</v>
      </c>
      <c r="E8811" s="3" t="str">
        <f>IFERROR(__xludf.DUMMYFUNCTION("""COMPUTED_VALUE"""),"Roderic HInton ")</f>
        <v>Roderic HInton </v>
      </c>
      <c r="F8811" s="3" t="str">
        <f>IFERROR(__xludf.DUMMYFUNCTION("""COMPUTED_VALUE"""),"rtjh@rodhinton.com")</f>
        <v>rtjh@rodhinton.com</v>
      </c>
      <c r="G8811" s="3"/>
      <c r="H8811" s="3"/>
    </row>
    <row r="8812">
      <c r="A8812" s="2">
        <f>IFERROR(__xludf.DUMMYFUNCTION("""COMPUTED_VALUE"""),30817.0)</f>
        <v>30817</v>
      </c>
      <c r="B8812" s="3" t="str">
        <f>IFERROR(__xludf.DUMMYFUNCTION("""COMPUTED_VALUE"""),"1292 MASSEY RD ")</f>
        <v>1292 MASSEY RD </v>
      </c>
      <c r="C8812" s="3" t="str">
        <f>IFERROR(__xludf.DUMMYFUNCTION("""COMPUTED_VALUE"""),"GRAFTON")</f>
        <v>GRAFTON</v>
      </c>
      <c r="D8812" s="3" t="str">
        <f>IFERROR(__xludf.DUMMYFUNCTION("""COMPUTED_VALUE"""),"K0K 2G0")</f>
        <v>K0K 2G0</v>
      </c>
      <c r="E8812" s="3" t="str">
        <f>IFERROR(__xludf.DUMMYFUNCTION("""COMPUTED_VALUE"""),"Nicholas Austin")</f>
        <v>Nicholas Austin</v>
      </c>
      <c r="F8812" s="3" t="str">
        <f>IFERROR(__xludf.DUMMYFUNCTION("""COMPUTED_VALUE"""),"nmjaustin@gmail.com")</f>
        <v>nmjaustin@gmail.com</v>
      </c>
      <c r="G8812" s="3">
        <f>IFERROR(__xludf.DUMMYFUNCTION("""COMPUTED_VALUE"""),4.167215085E9)</f>
        <v>4167215085</v>
      </c>
      <c r="H8812" s="3"/>
    </row>
    <row r="8813">
      <c r="A8813" s="2">
        <f>IFERROR(__xludf.DUMMYFUNCTION("""COMPUTED_VALUE"""),30818.0)</f>
        <v>30818</v>
      </c>
      <c r="B8813" s="3" t="str">
        <f>IFERROR(__xludf.DUMMYFUNCTION("""COMPUTED_VALUE"""),"103 MCBRIDE RD ")</f>
        <v>103 MCBRIDE RD </v>
      </c>
      <c r="C8813" s="3" t="str">
        <f>IFERROR(__xludf.DUMMYFUNCTION("""COMPUTED_VALUE"""),"BALTIMORE")</f>
        <v>BALTIMORE</v>
      </c>
      <c r="D8813" s="3" t="str">
        <f>IFERROR(__xludf.DUMMYFUNCTION("""COMPUTED_VALUE"""),"K0K 1C0")</f>
        <v>K0K 1C0</v>
      </c>
      <c r="E8813" s="3" t="str">
        <f>IFERROR(__xludf.DUMMYFUNCTION("""COMPUTED_VALUE"""),"Adam HENDERSON")</f>
        <v>Adam HENDERSON</v>
      </c>
      <c r="F8813" s="3" t="str">
        <f>IFERROR(__xludf.DUMMYFUNCTION("""COMPUTED_VALUE"""),"adamhenderson01@hotmail.ca")</f>
        <v>adamhenderson01@hotmail.ca</v>
      </c>
      <c r="G8813" s="3">
        <f>IFERROR(__xludf.DUMMYFUNCTION("""COMPUTED_VALUE"""),7.0588865E9)</f>
        <v>7058886500</v>
      </c>
      <c r="H8813" s="3"/>
    </row>
    <row r="8814">
      <c r="A8814" s="2">
        <f>IFERROR(__xludf.DUMMYFUNCTION("""COMPUTED_VALUE"""),30819.0)</f>
        <v>30819</v>
      </c>
      <c r="B8814" s="3" t="str">
        <f>IFERROR(__xludf.DUMMYFUNCTION("""COMPUTED_VALUE"""),"131 MCBRIDE RD ")</f>
        <v>131 MCBRIDE RD </v>
      </c>
      <c r="C8814" s="3" t="str">
        <f>IFERROR(__xludf.DUMMYFUNCTION("""COMPUTED_VALUE"""),"BALTIMORE")</f>
        <v>BALTIMORE</v>
      </c>
      <c r="D8814" s="3" t="str">
        <f>IFERROR(__xludf.DUMMYFUNCTION("""COMPUTED_VALUE"""),"K0K 1C0")</f>
        <v>K0K 1C0</v>
      </c>
      <c r="E8814" s="3" t="str">
        <f>IFERROR(__xludf.DUMMYFUNCTION("""COMPUTED_VALUE"""),"Bill Mason")</f>
        <v>Bill Mason</v>
      </c>
      <c r="F8814" s="3" t="str">
        <f>IFERROR(__xludf.DUMMYFUNCTION("""COMPUTED_VALUE"""),"masonbill28@gmail.com")</f>
        <v>masonbill28@gmail.com</v>
      </c>
      <c r="G8814" s="3">
        <f>IFERROR(__xludf.DUMMYFUNCTION("""COMPUTED_VALUE"""),9.053492696E9)</f>
        <v>9053492696</v>
      </c>
      <c r="H8814" s="3"/>
    </row>
    <row r="8815">
      <c r="A8815" s="2">
        <f>IFERROR(__xludf.DUMMYFUNCTION("""COMPUTED_VALUE"""),30820.0)</f>
        <v>30820</v>
      </c>
      <c r="B8815" s="3" t="str">
        <f>IFERROR(__xludf.DUMMYFUNCTION("""COMPUTED_VALUE"""),"180 MCBRIDE RD ")</f>
        <v>180 MCBRIDE RD </v>
      </c>
      <c r="C8815" s="3" t="str">
        <f>IFERROR(__xludf.DUMMYFUNCTION("""COMPUTED_VALUE"""),"BALTIMORE")</f>
        <v>BALTIMORE</v>
      </c>
      <c r="D8815" s="3" t="str">
        <f>IFERROR(__xludf.DUMMYFUNCTION("""COMPUTED_VALUE"""),"K0K 1C0")</f>
        <v>K0K 1C0</v>
      </c>
      <c r="E8815" s="3" t="str">
        <f>IFERROR(__xludf.DUMMYFUNCTION("""COMPUTED_VALUE"""),"Jeff and Donna Reeves")</f>
        <v>Jeff and Donna Reeves</v>
      </c>
      <c r="F8815" s="3" t="str">
        <f>IFERROR(__xludf.DUMMYFUNCTION("""COMPUTED_VALUE"""),"N/A")</f>
        <v>N/A</v>
      </c>
      <c r="G8815" s="3">
        <f>IFERROR(__xludf.DUMMYFUNCTION("""COMPUTED_VALUE"""),9.053492979E9)</f>
        <v>9053492979</v>
      </c>
      <c r="H8815" s="3"/>
    </row>
    <row r="8816">
      <c r="A8816" s="2">
        <f>IFERROR(__xludf.DUMMYFUNCTION("""COMPUTED_VALUE"""),30822.0)</f>
        <v>30822</v>
      </c>
      <c r="B8816" s="3" t="str">
        <f>IFERROR(__xludf.DUMMYFUNCTION("""COMPUTED_VALUE"""),"103 MCDONALD RD ")</f>
        <v>103 MCDONALD RD </v>
      </c>
      <c r="C8816" s="3" t="str">
        <f>IFERROR(__xludf.DUMMYFUNCTION("""COMPUTED_VALUE"""),"GRAFTON")</f>
        <v>GRAFTON</v>
      </c>
      <c r="D8816" s="3" t="str">
        <f>IFERROR(__xludf.DUMMYFUNCTION("""COMPUTED_VALUE"""),"K0K 2G0")</f>
        <v>K0K 2G0</v>
      </c>
      <c r="E8816" s="3" t="str">
        <f>IFERROR(__xludf.DUMMYFUNCTION("""COMPUTED_VALUE"""),"William Glenn")</f>
        <v>William Glenn</v>
      </c>
      <c r="F8816" s="3" t="str">
        <f>IFERROR(__xludf.DUMMYFUNCTION("""COMPUTED_VALUE"""),"wglenn12@gmail.com")</f>
        <v>wglenn12@gmail.com</v>
      </c>
      <c r="G8816" s="3">
        <f>IFERROR(__xludf.DUMMYFUNCTION("""COMPUTED_VALUE"""),9.053960522E9)</f>
        <v>9053960522</v>
      </c>
      <c r="H8816" s="3">
        <f>IFERROR(__xludf.DUMMYFUNCTION("""COMPUTED_VALUE"""),9.053962875E9)</f>
        <v>9053962875</v>
      </c>
    </row>
    <row r="8817">
      <c r="A8817" s="2">
        <f>IFERROR(__xludf.DUMMYFUNCTION("""COMPUTED_VALUE"""),30823.0)</f>
        <v>30823</v>
      </c>
      <c r="B8817" s="3" t="str">
        <f>IFERROR(__xludf.DUMMYFUNCTION("""COMPUTED_VALUE"""),"109 MCDONALD RD ")</f>
        <v>109 MCDONALD RD </v>
      </c>
      <c r="C8817" s="3" t="str">
        <f>IFERROR(__xludf.DUMMYFUNCTION("""COMPUTED_VALUE"""),"GRAFTON")</f>
        <v>GRAFTON</v>
      </c>
      <c r="D8817" s="3" t="str">
        <f>IFERROR(__xludf.DUMMYFUNCTION("""COMPUTED_VALUE"""),"K0K 2G0")</f>
        <v>K0K 2G0</v>
      </c>
      <c r="E8817" s="3" t="str">
        <f>IFERROR(__xludf.DUMMYFUNCTION("""COMPUTED_VALUE"""),"heather bereton")</f>
        <v>heather bereton</v>
      </c>
      <c r="F8817" s="3" t="str">
        <f>IFERROR(__xludf.DUMMYFUNCTION("""COMPUTED_VALUE"""),"heatherbereton835@hotmail.com")</f>
        <v>heatherbereton835@hotmail.com</v>
      </c>
      <c r="G8817" s="3">
        <f>IFERROR(__xludf.DUMMYFUNCTION("""COMPUTED_VALUE"""),9.05269308E9)</f>
        <v>9052693080</v>
      </c>
      <c r="H8817" s="3"/>
    </row>
    <row r="8818">
      <c r="A8818" s="2">
        <f>IFERROR(__xludf.DUMMYFUNCTION("""COMPUTED_VALUE"""),30824.0)</f>
        <v>30824</v>
      </c>
      <c r="B8818" s="3" t="str">
        <f>IFERROR(__xludf.DUMMYFUNCTION("""COMPUTED_VALUE"""),"113 MCDONALD RD ")</f>
        <v>113 MCDONALD RD </v>
      </c>
      <c r="C8818" s="3" t="str">
        <f>IFERROR(__xludf.DUMMYFUNCTION("""COMPUTED_VALUE"""),"GRAFTON")</f>
        <v>GRAFTON</v>
      </c>
      <c r="D8818" s="3" t="str">
        <f>IFERROR(__xludf.DUMMYFUNCTION("""COMPUTED_VALUE"""),"K0K 2G0")</f>
        <v>K0K 2G0</v>
      </c>
      <c r="E8818" s="3" t="str">
        <f>IFERROR(__xludf.DUMMYFUNCTION("""COMPUTED_VALUE"""),"Grant Wonnacott")</f>
        <v>Grant Wonnacott</v>
      </c>
      <c r="F8818" s="3" t="str">
        <f>IFERROR(__xludf.DUMMYFUNCTION("""COMPUTED_VALUE"""),"grantwonnacott@yahoo.ca")</f>
        <v>grantwonnacott@yahoo.ca</v>
      </c>
      <c r="G8818" s="3">
        <f>IFERROR(__xludf.DUMMYFUNCTION("""COMPUTED_VALUE"""),9.054310335E9)</f>
        <v>9054310335</v>
      </c>
      <c r="H8818" s="3"/>
    </row>
    <row r="8819">
      <c r="A8819" s="2">
        <f>IFERROR(__xludf.DUMMYFUNCTION("""COMPUTED_VALUE"""),30825.0)</f>
        <v>30825</v>
      </c>
      <c r="B8819" s="3" t="str">
        <f>IFERROR(__xludf.DUMMYFUNCTION("""COMPUTED_VALUE"""),"121 MCDONALD RD ")</f>
        <v>121 MCDONALD RD </v>
      </c>
      <c r="C8819" s="3" t="str">
        <f>IFERROR(__xludf.DUMMYFUNCTION("""COMPUTED_VALUE"""),"GRAFTON")</f>
        <v>GRAFTON</v>
      </c>
      <c r="D8819" s="3" t="str">
        <f>IFERROR(__xludf.DUMMYFUNCTION("""COMPUTED_VALUE"""),"K0K 2G0")</f>
        <v>K0K 2G0</v>
      </c>
      <c r="E8819" s="3" t="str">
        <f>IFERROR(__xludf.DUMMYFUNCTION("""COMPUTED_VALUE"""),"Mark Williams")</f>
        <v>Mark Williams</v>
      </c>
      <c r="F8819" s="3" t="str">
        <f>IFERROR(__xludf.DUMMYFUNCTION("""COMPUTED_VALUE"""),"markwilliams9626@icloud.com")</f>
        <v>markwilliams9626@icloud.com</v>
      </c>
      <c r="G8819" s="3"/>
      <c r="H8819" s="3"/>
    </row>
    <row r="8820">
      <c r="A8820" s="2">
        <f>IFERROR(__xludf.DUMMYFUNCTION("""COMPUTED_VALUE"""),30826.0)</f>
        <v>30826</v>
      </c>
      <c r="B8820" s="3" t="str">
        <f>IFERROR(__xludf.DUMMYFUNCTION("""COMPUTED_VALUE"""),"122 MCDONALD RD ")</f>
        <v>122 MCDONALD RD </v>
      </c>
      <c r="C8820" s="3" t="str">
        <f>IFERROR(__xludf.DUMMYFUNCTION("""COMPUTED_VALUE"""),"GRAFTON")</f>
        <v>GRAFTON</v>
      </c>
      <c r="D8820" s="3" t="str">
        <f>IFERROR(__xludf.DUMMYFUNCTION("""COMPUTED_VALUE"""),"K0K 2G0")</f>
        <v>K0K 2G0</v>
      </c>
      <c r="E8820" s="3" t="str">
        <f>IFERROR(__xludf.DUMMYFUNCTION("""COMPUTED_VALUE"""),"David Greydanus")</f>
        <v>David Greydanus</v>
      </c>
      <c r="F8820" s="3" t="str">
        <f>IFERROR(__xludf.DUMMYFUNCTION("""COMPUTED_VALUE"""),"greyelec@yahoo.ca")</f>
        <v>greyelec@yahoo.ca</v>
      </c>
      <c r="G8820" s="3">
        <f>IFERROR(__xludf.DUMMYFUNCTION("""COMPUTED_VALUE"""),9.053738021E9)</f>
        <v>9053738021</v>
      </c>
      <c r="H8820" s="3">
        <f>IFERROR(__xludf.DUMMYFUNCTION("""COMPUTED_VALUE"""),9.052074663E9)</f>
        <v>9052074663</v>
      </c>
    </row>
    <row r="8821">
      <c r="A8821" s="2">
        <f>IFERROR(__xludf.DUMMYFUNCTION("""COMPUTED_VALUE"""),30827.0)</f>
        <v>30827</v>
      </c>
      <c r="B8821" s="3" t="str">
        <f>IFERROR(__xludf.DUMMYFUNCTION("""COMPUTED_VALUE"""),"138 MCDONALD RD ")</f>
        <v>138 MCDONALD RD </v>
      </c>
      <c r="C8821" s="3" t="str">
        <f>IFERROR(__xludf.DUMMYFUNCTION("""COMPUTED_VALUE"""),"GRAFTON")</f>
        <v>GRAFTON</v>
      </c>
      <c r="D8821" s="3" t="str">
        <f>IFERROR(__xludf.DUMMYFUNCTION("""COMPUTED_VALUE"""),"K0K 2G0")</f>
        <v>K0K 2G0</v>
      </c>
      <c r="E8821" s="3" t="str">
        <f>IFERROR(__xludf.DUMMYFUNCTION("""COMPUTED_VALUE"""),"Darlene McBride")</f>
        <v>Darlene McBride</v>
      </c>
      <c r="F8821" s="3"/>
      <c r="G8821" s="3"/>
      <c r="H8821" s="3"/>
    </row>
    <row r="8822">
      <c r="A8822" s="2">
        <f>IFERROR(__xludf.DUMMYFUNCTION("""COMPUTED_VALUE"""),30828.0)</f>
        <v>30828</v>
      </c>
      <c r="B8822" s="3" t="str">
        <f>IFERROR(__xludf.DUMMYFUNCTION("""COMPUTED_VALUE"""),"158 MCDONALD RD ")</f>
        <v>158 MCDONALD RD </v>
      </c>
      <c r="C8822" s="3" t="str">
        <f>IFERROR(__xludf.DUMMYFUNCTION("""COMPUTED_VALUE"""),"GRAFTON")</f>
        <v>GRAFTON</v>
      </c>
      <c r="D8822" s="3" t="str">
        <f>IFERROR(__xludf.DUMMYFUNCTION("""COMPUTED_VALUE"""),"K0K 2G0")</f>
        <v>K0K 2G0</v>
      </c>
      <c r="E8822" s="3" t="str">
        <f>IFERROR(__xludf.DUMMYFUNCTION("""COMPUTED_VALUE"""),"Mark Taylor")</f>
        <v>Mark Taylor</v>
      </c>
      <c r="F8822" s="3" t="str">
        <f>IFERROR(__xludf.DUMMYFUNCTION("""COMPUTED_VALUE"""),"mtaylor096@outlook.com")</f>
        <v>mtaylor096@outlook.com</v>
      </c>
      <c r="G8822" s="3">
        <f>IFERROR(__xludf.DUMMYFUNCTION("""COMPUTED_VALUE"""),6.133919754E9)</f>
        <v>6133919754</v>
      </c>
      <c r="H8822" s="3"/>
    </row>
    <row r="8823">
      <c r="A8823" s="2">
        <f>IFERROR(__xludf.DUMMYFUNCTION("""COMPUTED_VALUE"""),30829.0)</f>
        <v>30829</v>
      </c>
      <c r="B8823" s="3" t="str">
        <f>IFERROR(__xludf.DUMMYFUNCTION("""COMPUTED_VALUE"""),"161 MCDONALD RD ")</f>
        <v>161 MCDONALD RD </v>
      </c>
      <c r="C8823" s="3" t="str">
        <f>IFERROR(__xludf.DUMMYFUNCTION("""COMPUTED_VALUE"""),"GRAFTON")</f>
        <v>GRAFTON</v>
      </c>
      <c r="D8823" s="3" t="str">
        <f>IFERROR(__xludf.DUMMYFUNCTION("""COMPUTED_VALUE"""),"K0K 2G0")</f>
        <v>K0K 2G0</v>
      </c>
      <c r="E8823" s="3" t="str">
        <f>IFERROR(__xludf.DUMMYFUNCTION("""COMPUTED_VALUE"""),"Shannon Munford")</f>
        <v>Shannon Munford</v>
      </c>
      <c r="F8823" s="3" t="str">
        <f>IFERROR(__xludf.DUMMYFUNCTION("""COMPUTED_VALUE"""),"shannonwwrightrealtor@gmail.com")</f>
        <v>shannonwwrightrealtor@gmail.com</v>
      </c>
      <c r="G8823" s="3">
        <f>IFERROR(__xludf.DUMMYFUNCTION("""COMPUTED_VALUE"""),9.054413003E9)</f>
        <v>9054413003</v>
      </c>
      <c r="H8823" s="3"/>
    </row>
    <row r="8824">
      <c r="A8824" s="2">
        <f>IFERROR(__xludf.DUMMYFUNCTION("""COMPUTED_VALUE"""),30830.0)</f>
        <v>30830</v>
      </c>
      <c r="B8824" s="3" t="str">
        <f>IFERROR(__xludf.DUMMYFUNCTION("""COMPUTED_VALUE"""),"194 MCDONALD RD ")</f>
        <v>194 MCDONALD RD </v>
      </c>
      <c r="C8824" s="3" t="str">
        <f>IFERROR(__xludf.DUMMYFUNCTION("""COMPUTED_VALUE"""),"GRAFTON")</f>
        <v>GRAFTON</v>
      </c>
      <c r="D8824" s="3" t="str">
        <f>IFERROR(__xludf.DUMMYFUNCTION("""COMPUTED_VALUE"""),"K0K 2G0")</f>
        <v>K0K 2G0</v>
      </c>
      <c r="E8824" s="3" t="str">
        <f>IFERROR(__xludf.DUMMYFUNCTION("""COMPUTED_VALUE"""),"Richard Button")</f>
        <v>Richard Button</v>
      </c>
      <c r="F8824" s="3" t="str">
        <f>IFERROR(__xludf.DUMMYFUNCTION("""COMPUTED_VALUE"""),"no1yammyracer@live.com")</f>
        <v>no1yammyracer@live.com</v>
      </c>
      <c r="G8824" s="3"/>
      <c r="H8824" s="3"/>
    </row>
    <row r="8825">
      <c r="A8825" s="2">
        <f>IFERROR(__xludf.DUMMYFUNCTION("""COMPUTED_VALUE"""),30831.0)</f>
        <v>30831</v>
      </c>
      <c r="B8825" s="3" t="str">
        <f>IFERROR(__xludf.DUMMYFUNCTION("""COMPUTED_VALUE"""),"215 MCDONALD RD ")</f>
        <v>215 MCDONALD RD </v>
      </c>
      <c r="C8825" s="3" t="str">
        <f>IFERROR(__xludf.DUMMYFUNCTION("""COMPUTED_VALUE"""),"GRAFTON")</f>
        <v>GRAFTON</v>
      </c>
      <c r="D8825" s="3" t="str">
        <f>IFERROR(__xludf.DUMMYFUNCTION("""COMPUTED_VALUE"""),"K0K 2G0")</f>
        <v>K0K 2G0</v>
      </c>
      <c r="E8825" s="3" t="str">
        <f>IFERROR(__xludf.DUMMYFUNCTION("""COMPUTED_VALUE"""),"Kyle Donald Ray Jermey")</f>
        <v>Kyle Donald Ray Jermey</v>
      </c>
      <c r="F8825" s="3" t="str">
        <f>IFERROR(__xludf.DUMMYFUNCTION("""COMPUTED_VALUE"""),"kyle11045@gmail.com")</f>
        <v>kyle11045@gmail.com</v>
      </c>
      <c r="G8825" s="3">
        <f>IFERROR(__xludf.DUMMYFUNCTION("""COMPUTED_VALUE"""),2.892513915E9)</f>
        <v>2892513915</v>
      </c>
      <c r="H8825" s="3">
        <f>IFERROR(__xludf.DUMMYFUNCTION("""COMPUTED_VALUE"""),2.892513467E9)</f>
        <v>2892513467</v>
      </c>
    </row>
    <row r="8826">
      <c r="A8826" s="2">
        <f>IFERROR(__xludf.DUMMYFUNCTION("""COMPUTED_VALUE"""),30832.0)</f>
        <v>30832</v>
      </c>
      <c r="B8826" s="3" t="str">
        <f>IFERROR(__xludf.DUMMYFUNCTION("""COMPUTED_VALUE"""),"227 MCDONALD RD ")</f>
        <v>227 MCDONALD RD </v>
      </c>
      <c r="C8826" s="3" t="str">
        <f>IFERROR(__xludf.DUMMYFUNCTION("""COMPUTED_VALUE"""),"GRAFTON")</f>
        <v>GRAFTON</v>
      </c>
      <c r="D8826" s="3" t="str">
        <f>IFERROR(__xludf.DUMMYFUNCTION("""COMPUTED_VALUE"""),"K0K 2G0")</f>
        <v>K0K 2G0</v>
      </c>
      <c r="E8826" s="3" t="str">
        <f>IFERROR(__xludf.DUMMYFUNCTION("""COMPUTED_VALUE"""),"Eric Andrews")</f>
        <v>Eric Andrews</v>
      </c>
      <c r="F8826" s="3" t="str">
        <f>IFERROR(__xludf.DUMMYFUNCTION("""COMPUTED_VALUE"""),"eric.andrews16@gmail.com")</f>
        <v>eric.andrews16@gmail.com</v>
      </c>
      <c r="G8826" s="3">
        <f>IFERROR(__xludf.DUMMYFUNCTION("""COMPUTED_VALUE"""),4.167996091E9)</f>
        <v>4167996091</v>
      </c>
      <c r="H8826" s="3"/>
    </row>
    <row r="8827">
      <c r="A8827" s="2">
        <f>IFERROR(__xludf.DUMMYFUNCTION("""COMPUTED_VALUE"""),30833.0)</f>
        <v>30833</v>
      </c>
      <c r="B8827" s="3" t="str">
        <f>IFERROR(__xludf.DUMMYFUNCTION("""COMPUTED_VALUE"""),"261 MCDONALD RD ")</f>
        <v>261 MCDONALD RD </v>
      </c>
      <c r="C8827" s="3" t="str">
        <f>IFERROR(__xludf.DUMMYFUNCTION("""COMPUTED_VALUE"""),"GRAFTON")</f>
        <v>GRAFTON</v>
      </c>
      <c r="D8827" s="3" t="str">
        <f>IFERROR(__xludf.DUMMYFUNCTION("""COMPUTED_VALUE"""),"K0K 2G0")</f>
        <v>K0K 2G0</v>
      </c>
      <c r="E8827" s="3" t="str">
        <f>IFERROR(__xludf.DUMMYFUNCTION("""COMPUTED_VALUE"""),"Warren McBride")</f>
        <v>Warren McBride</v>
      </c>
      <c r="F8827" s="3" t="str">
        <f>IFERROR(__xludf.DUMMYFUNCTION("""COMPUTED_VALUE"""),"warrenmcbridehomeimp@hotmail.com")</f>
        <v>warrenmcbridehomeimp@hotmail.com</v>
      </c>
      <c r="G8827" s="3"/>
      <c r="H8827" s="3"/>
    </row>
    <row r="8828">
      <c r="A8828" s="2">
        <f>IFERROR(__xludf.DUMMYFUNCTION("""COMPUTED_VALUE"""),30834.0)</f>
        <v>30834</v>
      </c>
      <c r="B8828" s="3" t="str">
        <f>IFERROR(__xludf.DUMMYFUNCTION("""COMPUTED_VALUE"""),"449 MCDONALD RD ")</f>
        <v>449 MCDONALD RD </v>
      </c>
      <c r="C8828" s="3" t="str">
        <f>IFERROR(__xludf.DUMMYFUNCTION("""COMPUTED_VALUE"""),"GRAFTON")</f>
        <v>GRAFTON</v>
      </c>
      <c r="D8828" s="3" t="str">
        <f>IFERROR(__xludf.DUMMYFUNCTION("""COMPUTED_VALUE"""),"K0K 2G0")</f>
        <v>K0K 2G0</v>
      </c>
      <c r="E8828" s="3"/>
      <c r="F8828" s="3"/>
      <c r="G8828" s="3"/>
      <c r="H8828" s="3"/>
    </row>
    <row r="8829">
      <c r="A8829" s="2">
        <f>IFERROR(__xludf.DUMMYFUNCTION("""COMPUTED_VALUE"""),30835.0)</f>
        <v>30835</v>
      </c>
      <c r="B8829" s="3" t="str">
        <f>IFERROR(__xludf.DUMMYFUNCTION("""COMPUTED_VALUE"""),"646 MCDONALD RD ")</f>
        <v>646 MCDONALD RD </v>
      </c>
      <c r="C8829" s="3" t="str">
        <f>IFERROR(__xludf.DUMMYFUNCTION("""COMPUTED_VALUE"""),"GRAFTON")</f>
        <v>GRAFTON</v>
      </c>
      <c r="D8829" s="3" t="str">
        <f>IFERROR(__xludf.DUMMYFUNCTION("""COMPUTED_VALUE"""),"K0K 2G0")</f>
        <v>K0K 2G0</v>
      </c>
      <c r="E8829" s="3" t="str">
        <f>IFERROR(__xludf.DUMMYFUNCTION("""COMPUTED_VALUE"""),"Jamie Watters")</f>
        <v>Jamie Watters</v>
      </c>
      <c r="F8829" s="3" t="str">
        <f>IFERROR(__xludf.DUMMYFUNCTION("""COMPUTED_VALUE"""),"puddles55@gmail.com")</f>
        <v>puddles55@gmail.com</v>
      </c>
      <c r="G8829" s="3"/>
      <c r="H8829" s="3"/>
    </row>
    <row r="8830">
      <c r="A8830" s="2">
        <f>IFERROR(__xludf.DUMMYFUNCTION("""COMPUTED_VALUE"""),30836.0)</f>
        <v>30836</v>
      </c>
      <c r="B8830" s="3" t="str">
        <f>IFERROR(__xludf.DUMMYFUNCTION("""COMPUTED_VALUE"""),"728 MCDONALD RD ")</f>
        <v>728 MCDONALD RD </v>
      </c>
      <c r="C8830" s="3" t="str">
        <f>IFERROR(__xludf.DUMMYFUNCTION("""COMPUTED_VALUE"""),"ROSENEATH")</f>
        <v>ROSENEATH</v>
      </c>
      <c r="D8830" s="3" t="str">
        <f>IFERROR(__xludf.DUMMYFUNCTION("""COMPUTED_VALUE"""),"K0K 2X0")</f>
        <v>K0K 2X0</v>
      </c>
      <c r="E8830" s="3" t="str">
        <f>IFERROR(__xludf.DUMMYFUNCTION("""COMPUTED_VALUE"""),"Barry Brunt ")</f>
        <v>Barry Brunt </v>
      </c>
      <c r="F8830" s="3" t="str">
        <f>IFERROR(__xludf.DUMMYFUNCTION("""COMPUTED_VALUE"""),"barryabrunt@gmail.com")</f>
        <v>barryabrunt@gmail.com</v>
      </c>
      <c r="G8830" s="3"/>
      <c r="H8830" s="3"/>
    </row>
    <row r="8831">
      <c r="A8831" s="2">
        <f>IFERROR(__xludf.DUMMYFUNCTION("""COMPUTED_VALUE"""),30837.0)</f>
        <v>30837</v>
      </c>
      <c r="B8831" s="3" t="str">
        <f>IFERROR(__xludf.DUMMYFUNCTION("""COMPUTED_VALUE"""),"731 MCDONALD RD ")</f>
        <v>731 MCDONALD RD </v>
      </c>
      <c r="C8831" s="3" t="str">
        <f>IFERROR(__xludf.DUMMYFUNCTION("""COMPUTED_VALUE"""),"ROSENEATH")</f>
        <v>ROSENEATH</v>
      </c>
      <c r="D8831" s="3" t="str">
        <f>IFERROR(__xludf.DUMMYFUNCTION("""COMPUTED_VALUE"""),"K0K 2X0")</f>
        <v>K0K 2X0</v>
      </c>
      <c r="E8831" s="3" t="str">
        <f>IFERROR(__xludf.DUMMYFUNCTION("""COMPUTED_VALUE"""),"Wm A Goggin")</f>
        <v>Wm A Goggin</v>
      </c>
      <c r="F8831" s="3" t="str">
        <f>IFERROR(__xludf.DUMMYFUNCTION("""COMPUTED_VALUE"""),"tgoggin26@gmail.com")</f>
        <v>tgoggin26@gmail.com</v>
      </c>
      <c r="G8831" s="3">
        <f>IFERROR(__xludf.DUMMYFUNCTION("""COMPUTED_VALUE"""),9.053754261E9)</f>
        <v>9053754261</v>
      </c>
      <c r="H8831" s="3"/>
    </row>
    <row r="8832">
      <c r="A8832" s="2">
        <f>IFERROR(__xludf.DUMMYFUNCTION("""COMPUTED_VALUE"""),30838.0)</f>
        <v>30838</v>
      </c>
      <c r="B8832" s="3" t="str">
        <f>IFERROR(__xludf.DUMMYFUNCTION("""COMPUTED_VALUE"""),"787 MCDONALD RD ")</f>
        <v>787 MCDONALD RD </v>
      </c>
      <c r="C8832" s="3" t="str">
        <f>IFERROR(__xludf.DUMMYFUNCTION("""COMPUTED_VALUE"""),"ROSENEATH")</f>
        <v>ROSENEATH</v>
      </c>
      <c r="D8832" s="3" t="str">
        <f>IFERROR(__xludf.DUMMYFUNCTION("""COMPUTED_VALUE"""),"K0K 2X0")</f>
        <v>K0K 2X0</v>
      </c>
      <c r="E8832" s="3" t="str">
        <f>IFERROR(__xludf.DUMMYFUNCTION("""COMPUTED_VALUE"""),"Scott F Bambridge")</f>
        <v>Scott F Bambridge</v>
      </c>
      <c r="F8832" s="3" t="str">
        <f>IFERROR(__xludf.DUMMYFUNCTION("""COMPUTED_VALUE"""),"thebammer25@hotmail.com")</f>
        <v>thebammer25@hotmail.com</v>
      </c>
      <c r="G8832" s="3">
        <f>IFERROR(__xludf.DUMMYFUNCTION("""COMPUTED_VALUE"""),9.052079343E9)</f>
        <v>9052079343</v>
      </c>
      <c r="H8832" s="3"/>
    </row>
    <row r="8833">
      <c r="A8833" s="2">
        <f>IFERROR(__xludf.DUMMYFUNCTION("""COMPUTED_VALUE"""),30839.0)</f>
        <v>30839</v>
      </c>
      <c r="B8833" s="3" t="str">
        <f>IFERROR(__xludf.DUMMYFUNCTION("""COMPUTED_VALUE"""),"809 MCDONALD RD ")</f>
        <v>809 MCDONALD RD </v>
      </c>
      <c r="C8833" s="3" t="str">
        <f>IFERROR(__xludf.DUMMYFUNCTION("""COMPUTED_VALUE"""),"ROSENEATH")</f>
        <v>ROSENEATH</v>
      </c>
      <c r="D8833" s="3" t="str">
        <f>IFERROR(__xludf.DUMMYFUNCTION("""COMPUTED_VALUE"""),"K0K 2X0")</f>
        <v>K0K 2X0</v>
      </c>
      <c r="E8833" s="3" t="str">
        <f>IFERROR(__xludf.DUMMYFUNCTION("""COMPUTED_VALUE"""),"Karen White")</f>
        <v>Karen White</v>
      </c>
      <c r="F8833" s="3" t="str">
        <f>IFERROR(__xludf.DUMMYFUNCTION("""COMPUTED_VALUE"""),"whitekaren809@gmail.com")</f>
        <v>whitekaren809@gmail.com</v>
      </c>
      <c r="G8833" s="3"/>
      <c r="H8833" s="3"/>
    </row>
    <row r="8834">
      <c r="A8834" s="2">
        <f>IFERROR(__xludf.DUMMYFUNCTION("""COMPUTED_VALUE"""),30840.0)</f>
        <v>30840</v>
      </c>
      <c r="B8834" s="3" t="str">
        <f>IFERROR(__xludf.DUMMYFUNCTION("""COMPUTED_VALUE"""),"835 MCDONALD RD ")</f>
        <v>835 MCDONALD RD </v>
      </c>
      <c r="C8834" s="3" t="str">
        <f>IFERROR(__xludf.DUMMYFUNCTION("""COMPUTED_VALUE"""),"ROSENEATH")</f>
        <v>ROSENEATH</v>
      </c>
      <c r="D8834" s="3" t="str">
        <f>IFERROR(__xludf.DUMMYFUNCTION("""COMPUTED_VALUE"""),"K0K 2X0")</f>
        <v>K0K 2X0</v>
      </c>
      <c r="E8834" s="3" t="str">
        <f>IFERROR(__xludf.DUMMYFUNCTION("""COMPUTED_VALUE"""),"Steven Schuur")</f>
        <v>Steven Schuur</v>
      </c>
      <c r="F8834" s="3" t="str">
        <f>IFERROR(__xludf.DUMMYFUNCTION("""COMPUTED_VALUE"""),"steveschuur@hotmail.com")</f>
        <v>steveschuur@hotmail.com</v>
      </c>
      <c r="G8834" s="3">
        <f>IFERROR(__xludf.DUMMYFUNCTION("""COMPUTED_VALUE"""),2.89251153E9)</f>
        <v>2892511530</v>
      </c>
      <c r="H8834" s="3"/>
    </row>
    <row r="8835">
      <c r="A8835" s="2">
        <f>IFERROR(__xludf.DUMMYFUNCTION("""COMPUTED_VALUE"""),30841.0)</f>
        <v>30841</v>
      </c>
      <c r="B8835" s="3" t="str">
        <f>IFERROR(__xludf.DUMMYFUNCTION("""COMPUTED_VALUE"""),"837 MCDONALD RD ")</f>
        <v>837 MCDONALD RD </v>
      </c>
      <c r="C8835" s="3" t="str">
        <f>IFERROR(__xludf.DUMMYFUNCTION("""COMPUTED_VALUE"""),"ROSENEATH")</f>
        <v>ROSENEATH</v>
      </c>
      <c r="D8835" s="3" t="str">
        <f>IFERROR(__xludf.DUMMYFUNCTION("""COMPUTED_VALUE"""),"K0K 2X0")</f>
        <v>K0K 2X0</v>
      </c>
      <c r="E8835" s="3" t="str">
        <f>IFERROR(__xludf.DUMMYFUNCTION("""COMPUTED_VALUE"""),"DUNCAN PLUE")</f>
        <v>DUNCAN PLUE</v>
      </c>
      <c r="F8835" s="3" t="str">
        <f>IFERROR(__xludf.DUMMYFUNCTION("""COMPUTED_VALUE"""),"duncan_plue@hotmail.com")</f>
        <v>duncan_plue@hotmail.com</v>
      </c>
      <c r="G8835" s="3"/>
      <c r="H8835" s="3"/>
    </row>
    <row r="8836">
      <c r="A8836" s="2">
        <f>IFERROR(__xludf.DUMMYFUNCTION("""COMPUTED_VALUE"""),30842.0)</f>
        <v>30842</v>
      </c>
      <c r="B8836" s="3" t="str">
        <f>IFERROR(__xludf.DUMMYFUNCTION("""COMPUTED_VALUE"""),"857 MCDONALD RD ")</f>
        <v>857 MCDONALD RD </v>
      </c>
      <c r="C8836" s="3" t="str">
        <f>IFERROR(__xludf.DUMMYFUNCTION("""COMPUTED_VALUE"""),"ROSENEATH")</f>
        <v>ROSENEATH</v>
      </c>
      <c r="D8836" s="3" t="str">
        <f>IFERROR(__xludf.DUMMYFUNCTION("""COMPUTED_VALUE"""),"K0K 2X0")</f>
        <v>K0K 2X0</v>
      </c>
      <c r="E8836" s="3" t="str">
        <f>IFERROR(__xludf.DUMMYFUNCTION("""COMPUTED_VALUE"""),"Norm Greer")</f>
        <v>Norm Greer</v>
      </c>
      <c r="F8836" s="3" t="str">
        <f>IFERROR(__xludf.DUMMYFUNCTION("""COMPUTED_VALUE"""),"normanggreer@gmail.com")</f>
        <v>normanggreer@gmail.com</v>
      </c>
      <c r="G8836" s="3">
        <f>IFERROR(__xludf.DUMMYFUNCTION("""COMPUTED_VALUE"""),4.165406272E9)</f>
        <v>4165406272</v>
      </c>
      <c r="H8836" s="3"/>
    </row>
    <row r="8837">
      <c r="A8837" s="2">
        <f>IFERROR(__xludf.DUMMYFUNCTION("""COMPUTED_VALUE"""),30843.0)</f>
        <v>30843</v>
      </c>
      <c r="B8837" s="3" t="str">
        <f>IFERROR(__xludf.DUMMYFUNCTION("""COMPUTED_VALUE"""),"858 MCDONALD RD ")</f>
        <v>858 MCDONALD RD </v>
      </c>
      <c r="C8837" s="3" t="str">
        <f>IFERROR(__xludf.DUMMYFUNCTION("""COMPUTED_VALUE"""),"ROSENEATH")</f>
        <v>ROSENEATH</v>
      </c>
      <c r="D8837" s="3" t="str">
        <f>IFERROR(__xludf.DUMMYFUNCTION("""COMPUTED_VALUE"""),"K0K 2X0")</f>
        <v>K0K 2X0</v>
      </c>
      <c r="E8837" s="3" t="str">
        <f>IFERROR(__xludf.DUMMYFUNCTION("""COMPUTED_VALUE"""),"Greg Hooper")</f>
        <v>Greg Hooper</v>
      </c>
      <c r="F8837" s="3" t="str">
        <f>IFERROR(__xludf.DUMMYFUNCTION("""COMPUTED_VALUE"""),"gregoryhooper@gmail.com")</f>
        <v>gregoryhooper@gmail.com</v>
      </c>
      <c r="G8837" s="3">
        <f>IFERROR(__xludf.DUMMYFUNCTION("""COMPUTED_VALUE"""),2.899912868E9)</f>
        <v>2899912868</v>
      </c>
      <c r="H8837" s="3"/>
    </row>
    <row r="8838">
      <c r="A8838" s="2">
        <f>IFERROR(__xludf.DUMMYFUNCTION("""COMPUTED_VALUE"""),30844.0)</f>
        <v>30844</v>
      </c>
      <c r="B8838" s="3" t="str">
        <f>IFERROR(__xludf.DUMMYFUNCTION("""COMPUTED_VALUE"""),"879 MCDONALD RD ")</f>
        <v>879 MCDONALD RD </v>
      </c>
      <c r="C8838" s="3" t="str">
        <f>IFERROR(__xludf.DUMMYFUNCTION("""COMPUTED_VALUE"""),"ROSENEATH")</f>
        <v>ROSENEATH</v>
      </c>
      <c r="D8838" s="3" t="str">
        <f>IFERROR(__xludf.DUMMYFUNCTION("""COMPUTED_VALUE"""),"K0K 2X0")</f>
        <v>K0K 2X0</v>
      </c>
      <c r="E8838" s="3" t="str">
        <f>IFERROR(__xludf.DUMMYFUNCTION("""COMPUTED_VALUE"""),"Ted Richardson")</f>
        <v>Ted Richardson</v>
      </c>
      <c r="F8838" s="3" t="str">
        <f>IFERROR(__xludf.DUMMYFUNCTION("""COMPUTED_VALUE"""),"theo10175@hotmail.com")</f>
        <v>theo10175@hotmail.com</v>
      </c>
      <c r="G8838" s="3"/>
      <c r="H8838" s="3"/>
    </row>
    <row r="8839">
      <c r="A8839" s="2">
        <f>IFERROR(__xludf.DUMMYFUNCTION("""COMPUTED_VALUE"""),30845.0)</f>
        <v>30845</v>
      </c>
      <c r="B8839" s="3" t="str">
        <f>IFERROR(__xludf.DUMMYFUNCTION("""COMPUTED_VALUE"""),"918 MCDONALD RD ")</f>
        <v>918 MCDONALD RD </v>
      </c>
      <c r="C8839" s="3" t="str">
        <f>IFERROR(__xludf.DUMMYFUNCTION("""COMPUTED_VALUE"""),"ROSENEATH")</f>
        <v>ROSENEATH</v>
      </c>
      <c r="D8839" s="3" t="str">
        <f>IFERROR(__xludf.DUMMYFUNCTION("""COMPUTED_VALUE"""),"K0K 2X0")</f>
        <v>K0K 2X0</v>
      </c>
      <c r="E8839" s="3" t="str">
        <f>IFERROR(__xludf.DUMMYFUNCTION("""COMPUTED_VALUE"""),"Jared George")</f>
        <v>Jared George</v>
      </c>
      <c r="F8839" s="3" t="str">
        <f>IFERROR(__xludf.DUMMYFUNCTION("""COMPUTED_VALUE"""),"jared.george@hotmail.com")</f>
        <v>jared.george@hotmail.com</v>
      </c>
      <c r="G8839" s="3">
        <f>IFERROR(__xludf.DUMMYFUNCTION("""COMPUTED_VALUE"""),9.053764514E9)</f>
        <v>9053764514</v>
      </c>
      <c r="H8839" s="3"/>
    </row>
    <row r="8840">
      <c r="A8840" s="2">
        <f>IFERROR(__xludf.DUMMYFUNCTION("""COMPUTED_VALUE"""),30858.0)</f>
        <v>30858</v>
      </c>
      <c r="B8840" s="3" t="str">
        <f>IFERROR(__xludf.DUMMYFUNCTION("""COMPUTED_VALUE"""),"141 MILGATE RD ")</f>
        <v>141 MILGATE RD </v>
      </c>
      <c r="C8840" s="3" t="str">
        <f>IFERROR(__xludf.DUMMYFUNCTION("""COMPUTED_VALUE"""),"GRAFTON")</f>
        <v>GRAFTON</v>
      </c>
      <c r="D8840" s="3" t="str">
        <f>IFERROR(__xludf.DUMMYFUNCTION("""COMPUTED_VALUE"""),"K0K 2G0")</f>
        <v>K0K 2G0</v>
      </c>
      <c r="E8840" s="3" t="str">
        <f>IFERROR(__xludf.DUMMYFUNCTION("""COMPUTED_VALUE"""),"Paul Legere")</f>
        <v>Paul Legere</v>
      </c>
      <c r="F8840" s="3" t="str">
        <f>IFERROR(__xludf.DUMMYFUNCTION("""COMPUTED_VALUE"""),"plegere2@gmail.com")</f>
        <v>plegere2@gmail.com</v>
      </c>
      <c r="G8840" s="3">
        <f>IFERROR(__xludf.DUMMYFUNCTION("""COMPUTED_VALUE"""),9.053732588E9)</f>
        <v>9053732588</v>
      </c>
      <c r="H8840" s="3"/>
    </row>
    <row r="8841">
      <c r="A8841" s="2">
        <f>IFERROR(__xludf.DUMMYFUNCTION("""COMPUTED_VALUE"""),30859.0)</f>
        <v>30859</v>
      </c>
      <c r="B8841" s="3" t="str">
        <f>IFERROR(__xludf.DUMMYFUNCTION("""COMPUTED_VALUE"""),"184 MILGATE RD ")</f>
        <v>184 MILGATE RD </v>
      </c>
      <c r="C8841" s="3" t="str">
        <f>IFERROR(__xludf.DUMMYFUNCTION("""COMPUTED_VALUE"""),"GRAFTON")</f>
        <v>GRAFTON</v>
      </c>
      <c r="D8841" s="3" t="str">
        <f>IFERROR(__xludf.DUMMYFUNCTION("""COMPUTED_VALUE"""),"K0K 2G0")</f>
        <v>K0K 2G0</v>
      </c>
      <c r="E8841" s="3" t="str">
        <f>IFERROR(__xludf.DUMMYFUNCTION("""COMPUTED_VALUE"""),"Cory Stevens")</f>
        <v>Cory Stevens</v>
      </c>
      <c r="F8841" s="3" t="str">
        <f>IFERROR(__xludf.DUMMYFUNCTION("""COMPUTED_VALUE"""),"corrobb@yahoo.com")</f>
        <v>corrobb@yahoo.com</v>
      </c>
      <c r="G8841" s="3"/>
      <c r="H8841" s="3"/>
    </row>
    <row r="8842">
      <c r="A8842" s="2">
        <f>IFERROR(__xludf.DUMMYFUNCTION("""COMPUTED_VALUE"""),30860.0)</f>
        <v>30860</v>
      </c>
      <c r="B8842" s="3" t="str">
        <f>IFERROR(__xludf.DUMMYFUNCTION("""COMPUTED_VALUE"""),"223 MILGATE RD ")</f>
        <v>223 MILGATE RD </v>
      </c>
      <c r="C8842" s="3" t="str">
        <f>IFERROR(__xludf.DUMMYFUNCTION("""COMPUTED_VALUE"""),"GRAFTON")</f>
        <v>GRAFTON</v>
      </c>
      <c r="D8842" s="3" t="str">
        <f>IFERROR(__xludf.DUMMYFUNCTION("""COMPUTED_VALUE"""),"K0K 2G0")</f>
        <v>K0K 2G0</v>
      </c>
      <c r="E8842" s="3" t="str">
        <f>IFERROR(__xludf.DUMMYFUNCTION("""COMPUTED_VALUE"""),"Graham Ellis")</f>
        <v>Graham Ellis</v>
      </c>
      <c r="F8842" s="3" t="str">
        <f>IFERROR(__xludf.DUMMYFUNCTION("""COMPUTED_VALUE"""),"graham.ellis@alumni.utoronto.ca")</f>
        <v>graham.ellis@alumni.utoronto.ca</v>
      </c>
      <c r="G8842" s="3"/>
      <c r="H8842" s="3">
        <f>IFERROR(__xludf.DUMMYFUNCTION("""COMPUTED_VALUE"""),9.057062209E9)</f>
        <v>9057062209</v>
      </c>
    </row>
    <row r="8843">
      <c r="A8843" s="2">
        <f>IFERROR(__xludf.DUMMYFUNCTION("""COMPUTED_VALUE"""),30869.0)</f>
        <v>30869</v>
      </c>
      <c r="B8843" s="3" t="str">
        <f>IFERROR(__xludf.DUMMYFUNCTION("""COMPUTED_VALUE"""),"187 MITCHELL RD")</f>
        <v>187 MITCHELL RD</v>
      </c>
      <c r="C8843" s="3"/>
      <c r="D8843" s="3"/>
      <c r="E8843" s="3" t="str">
        <f>IFERROR(__xludf.DUMMYFUNCTION("""COMPUTED_VALUE"""),"Jon Rushton")</f>
        <v>Jon Rushton</v>
      </c>
      <c r="F8843" s="3" t="str">
        <f>IFERROR(__xludf.DUMMYFUNCTION("""COMPUTED_VALUE"""),"jonnayr@gmail.com")</f>
        <v>jonnayr@gmail.com</v>
      </c>
      <c r="G8843" s="3">
        <f>IFERROR(__xludf.DUMMYFUNCTION("""COMPUTED_VALUE"""),2.896913851E9)</f>
        <v>2896913851</v>
      </c>
      <c r="H8843" s="3"/>
    </row>
    <row r="8844">
      <c r="A8844" s="2">
        <f>IFERROR(__xludf.DUMMYFUNCTION("""COMPUTED_VALUE"""),30870.0)</f>
        <v>30870</v>
      </c>
      <c r="B8844" s="3" t="str">
        <f>IFERROR(__xludf.DUMMYFUNCTION("""COMPUTED_VALUE"""),"259 MITCHELL RD")</f>
        <v>259 MITCHELL RD</v>
      </c>
      <c r="C8844" s="3"/>
      <c r="D8844" s="3"/>
      <c r="E8844" s="3"/>
      <c r="F8844" s="3"/>
      <c r="G8844" s="3"/>
      <c r="H8844" s="3"/>
    </row>
    <row r="8845">
      <c r="A8845" s="2">
        <f>IFERROR(__xludf.DUMMYFUNCTION("""COMPUTED_VALUE"""),30871.0)</f>
        <v>30871</v>
      </c>
      <c r="B8845" s="3" t="str">
        <f>IFERROR(__xludf.DUMMYFUNCTION("""COMPUTED_VALUE"""),"323 MITCHELL RD")</f>
        <v>323 MITCHELL RD</v>
      </c>
      <c r="C8845" s="3"/>
      <c r="D8845" s="3"/>
      <c r="E8845" s="3"/>
      <c r="F8845" s="3"/>
      <c r="G8845" s="3"/>
      <c r="H8845" s="3"/>
    </row>
    <row r="8846">
      <c r="A8846" s="2">
        <f>IFERROR(__xludf.DUMMYFUNCTION("""COMPUTED_VALUE"""),30872.0)</f>
        <v>30872</v>
      </c>
      <c r="B8846" s="3" t="str">
        <f>IFERROR(__xludf.DUMMYFUNCTION("""COMPUTED_VALUE"""),"395 MITCHELL RD")</f>
        <v>395 MITCHELL RD</v>
      </c>
      <c r="C8846" s="3"/>
      <c r="D8846" s="3"/>
      <c r="E8846" s="3"/>
      <c r="F8846" s="3"/>
      <c r="G8846" s="3"/>
      <c r="H8846" s="3"/>
    </row>
    <row r="8847">
      <c r="A8847" s="2">
        <f>IFERROR(__xludf.DUMMYFUNCTION("""COMPUTED_VALUE"""),30873.0)</f>
        <v>30873</v>
      </c>
      <c r="B8847" s="3" t="str">
        <f>IFERROR(__xludf.DUMMYFUNCTION("""COMPUTED_VALUE"""),"517 MITCHELL RD")</f>
        <v>517 MITCHELL RD</v>
      </c>
      <c r="C8847" s="3"/>
      <c r="D8847" s="3"/>
      <c r="E8847" s="3" t="str">
        <f>IFERROR(__xludf.DUMMYFUNCTION("""COMPUTED_VALUE"""),"Tatianna Gherrini")</f>
        <v>Tatianna Gherrini</v>
      </c>
      <c r="F8847" s="3" t="str">
        <f>IFERROR(__xludf.DUMMYFUNCTION("""COMPUTED_VALUE"""),"ghersini.666@gmail.com")</f>
        <v>ghersini.666@gmail.com</v>
      </c>
      <c r="G8847" s="3"/>
      <c r="H8847" s="3"/>
    </row>
    <row r="8848">
      <c r="A8848" s="2">
        <f>IFERROR(__xludf.DUMMYFUNCTION("""COMPUTED_VALUE"""),30874.0)</f>
        <v>30874</v>
      </c>
      <c r="B8848" s="3" t="str">
        <f>IFERROR(__xludf.DUMMYFUNCTION("""COMPUTED_VALUE"""),"532 MITCHELL RD")</f>
        <v>532 MITCHELL RD</v>
      </c>
      <c r="C8848" s="3"/>
      <c r="D8848" s="3"/>
      <c r="E8848" s="3"/>
      <c r="F8848" s="3"/>
      <c r="G8848" s="3"/>
      <c r="H8848" s="3"/>
    </row>
    <row r="8849">
      <c r="A8849" s="2">
        <f>IFERROR(__xludf.DUMMYFUNCTION("""COMPUTED_VALUE"""),30875.0)</f>
        <v>30875</v>
      </c>
      <c r="B8849" s="3" t="str">
        <f>IFERROR(__xludf.DUMMYFUNCTION("""COMPUTED_VALUE"""),"545 MITCHELL RD")</f>
        <v>545 MITCHELL RD</v>
      </c>
      <c r="C8849" s="3"/>
      <c r="D8849" s="3"/>
      <c r="E8849" s="3" t="str">
        <f>IFERROR(__xludf.DUMMYFUNCTION("""COMPUTED_VALUE"""),"Peter Barmuza")</f>
        <v>Peter Barmuza</v>
      </c>
      <c r="F8849" s="3" t="str">
        <f>IFERROR(__xludf.DUMMYFUNCTION("""COMPUTED_VALUE"""),"pbarmuza@gmail.com")</f>
        <v>pbarmuza@gmail.com</v>
      </c>
      <c r="G8849" s="3">
        <f>IFERROR(__xludf.DUMMYFUNCTION("""COMPUTED_VALUE"""),4.164603146E9)</f>
        <v>4164603146</v>
      </c>
      <c r="H8849" s="3"/>
    </row>
    <row r="8850">
      <c r="A8850" s="2">
        <f>IFERROR(__xludf.DUMMYFUNCTION("""COMPUTED_VALUE"""),31553.0)</f>
        <v>31553</v>
      </c>
      <c r="B8850" s="3" t="str">
        <f>IFERROR(__xludf.DUMMYFUNCTION("""COMPUTED_VALUE"""),"550 MITCHELL RD")</f>
        <v>550 MITCHELL RD</v>
      </c>
      <c r="C8850" s="3"/>
      <c r="D8850" s="3"/>
      <c r="E8850" s="3" t="str">
        <f>IFERROR(__xludf.DUMMYFUNCTION("""COMPUTED_VALUE"""),"Sera Hohol McKennon")</f>
        <v>Sera Hohol McKennon</v>
      </c>
      <c r="F8850" s="3"/>
      <c r="G8850" s="3"/>
      <c r="H8850" s="3"/>
    </row>
    <row r="8851">
      <c r="A8851" s="2">
        <f>IFERROR(__xludf.DUMMYFUNCTION("""COMPUTED_VALUE"""),30876.0)</f>
        <v>30876</v>
      </c>
      <c r="B8851" s="3" t="str">
        <f>IFERROR(__xludf.DUMMYFUNCTION("""COMPUTED_VALUE"""),"552 MITCHELL RD")</f>
        <v>552 MITCHELL RD</v>
      </c>
      <c r="C8851" s="3"/>
      <c r="D8851" s="3"/>
      <c r="E8851" s="3" t="str">
        <f>IFERROR(__xludf.DUMMYFUNCTION("""COMPUTED_VALUE"""),"Brooke Lynn Napier / Kristine Colwell")</f>
        <v>Brooke Lynn Napier / Kristine Colwell</v>
      </c>
      <c r="F8851" s="3" t="str">
        <f>IFERROR(__xludf.DUMMYFUNCTION("""COMPUTED_VALUE"""),"brookelynn@danplowman.com / kristine.colwell@hotmail.com")</f>
        <v>brookelynn@danplowman.com / kristine.colwell@hotmail.com</v>
      </c>
      <c r="G8851" s="3"/>
      <c r="H8851" s="3">
        <f>IFERROR(__xludf.DUMMYFUNCTION("""COMPUTED_VALUE"""),9.052430822E9)</f>
        <v>9052430822</v>
      </c>
    </row>
    <row r="8852">
      <c r="A8852" s="2">
        <f>IFERROR(__xludf.DUMMYFUNCTION("""COMPUTED_VALUE"""),31552.0)</f>
        <v>31552</v>
      </c>
      <c r="B8852" s="3" t="str">
        <f>IFERROR(__xludf.DUMMYFUNCTION("""COMPUTED_VALUE"""),"577 MITCHELL RD")</f>
        <v>577 MITCHELL RD</v>
      </c>
      <c r="C8852" s="3" t="str">
        <f>IFERROR(__xludf.DUMMYFUNCTION("""COMPUTED_VALUE"""),"WARKWORTH")</f>
        <v>WARKWORTH</v>
      </c>
      <c r="D8852" s="3" t="str">
        <f>IFERROR(__xludf.DUMMYFUNCTION("""COMPUTED_VALUE"""),"K0K 3K0")</f>
        <v>K0K 3K0</v>
      </c>
      <c r="E8852" s="3" t="str">
        <f>IFERROR(__xludf.DUMMYFUNCTION("""COMPUTED_VALUE"""),"Ian Fotheringham")</f>
        <v>Ian Fotheringham</v>
      </c>
      <c r="F8852" s="3" t="str">
        <f>IFERROR(__xludf.DUMMYFUNCTION("""COMPUTED_VALUE"""),"ianfotheringham@gmail.com")</f>
        <v>ianfotheringham@gmail.com</v>
      </c>
      <c r="G8852" s="3"/>
      <c r="H8852" s="3"/>
    </row>
    <row r="8853">
      <c r="A8853" s="2">
        <f>IFERROR(__xludf.DUMMYFUNCTION("""COMPUTED_VALUE"""),30877.0)</f>
        <v>30877</v>
      </c>
      <c r="B8853" s="3" t="str">
        <f>IFERROR(__xludf.DUMMYFUNCTION("""COMPUTED_VALUE"""),"618 MITCHELL RD")</f>
        <v>618 MITCHELL RD</v>
      </c>
      <c r="C8853" s="3"/>
      <c r="D8853" s="3"/>
      <c r="E8853" s="3" t="str">
        <f>IFERROR(__xludf.DUMMYFUNCTION("""COMPUTED_VALUE"""),"Joanne Colton")</f>
        <v>Joanne Colton</v>
      </c>
      <c r="F8853" s="3" t="str">
        <f>IFERROR(__xludf.DUMMYFUNCTION("""COMPUTED_VALUE"""),"colton.creations@gmail.com")</f>
        <v>colton.creations@gmail.com</v>
      </c>
      <c r="G8853" s="3">
        <f>IFERROR(__xludf.DUMMYFUNCTION("""COMPUTED_VALUE"""),6.472044149E9)</f>
        <v>6472044149</v>
      </c>
      <c r="H8853" s="3"/>
    </row>
    <row r="8854">
      <c r="A8854" s="2">
        <f>IFERROR(__xludf.DUMMYFUNCTION("""COMPUTED_VALUE"""),30878.0)</f>
        <v>30878</v>
      </c>
      <c r="B8854" s="3" t="str">
        <f>IFERROR(__xludf.DUMMYFUNCTION("""COMPUTED_VALUE"""),"640 MITCHELL RD")</f>
        <v>640 MITCHELL RD</v>
      </c>
      <c r="C8854" s="3"/>
      <c r="D8854" s="3"/>
      <c r="E8854" s="3" t="str">
        <f>IFERROR(__xludf.DUMMYFUNCTION("""COMPUTED_VALUE"""),"Sandy Jones")</f>
        <v>Sandy Jones</v>
      </c>
      <c r="F8854" s="3" t="str">
        <f>IFERROR(__xludf.DUMMYFUNCTION("""COMPUTED_VALUE"""),"N/A")</f>
        <v>N/A</v>
      </c>
      <c r="G8854" s="3">
        <f>IFERROR(__xludf.DUMMYFUNCTION("""COMPUTED_VALUE"""),9.053447604E9)</f>
        <v>9053447604</v>
      </c>
      <c r="H8854" s="3"/>
    </row>
    <row r="8855">
      <c r="A8855" s="2">
        <f>IFERROR(__xludf.DUMMYFUNCTION("""COMPUTED_VALUE"""),30879.0)</f>
        <v>30879</v>
      </c>
      <c r="B8855" s="3" t="str">
        <f>IFERROR(__xludf.DUMMYFUNCTION("""COMPUTED_VALUE"""),"704 MITCHELL RD")</f>
        <v>704 MITCHELL RD</v>
      </c>
      <c r="C8855" s="3"/>
      <c r="D8855" s="3"/>
      <c r="E8855" s="3"/>
      <c r="F8855" s="3"/>
      <c r="G8855" s="3"/>
      <c r="H8855" s="3"/>
    </row>
    <row r="8856">
      <c r="A8856" s="2">
        <f>IFERROR(__xludf.DUMMYFUNCTION("""COMPUTED_VALUE"""),30880.0)</f>
        <v>30880</v>
      </c>
      <c r="B8856" s="3" t="str">
        <f>IFERROR(__xludf.DUMMYFUNCTION("""COMPUTED_VALUE"""),"705 MITCHELL RD")</f>
        <v>705 MITCHELL RD</v>
      </c>
      <c r="C8856" s="3"/>
      <c r="D8856" s="3"/>
      <c r="E8856" s="3" t="str">
        <f>IFERROR(__xludf.DUMMYFUNCTION("""COMPUTED_VALUE"""),"Troy Davis")</f>
        <v>Troy Davis</v>
      </c>
      <c r="F8856" s="3" t="str">
        <f>IFERROR(__xludf.DUMMYFUNCTION("""COMPUTED_VALUE"""),"mdingwall10@hotmail.com")</f>
        <v>mdingwall10@hotmail.com</v>
      </c>
      <c r="G8856" s="3">
        <f>IFERROR(__xludf.DUMMYFUNCTION("""COMPUTED_VALUE"""),6.138277115E9)</f>
        <v>6138277115</v>
      </c>
      <c r="H8856" s="3"/>
    </row>
    <row r="8857">
      <c r="A8857" s="2">
        <f>IFERROR(__xludf.DUMMYFUNCTION("""COMPUTED_VALUE"""),30881.0)</f>
        <v>30881</v>
      </c>
      <c r="B8857" s="3" t="str">
        <f>IFERROR(__xludf.DUMMYFUNCTION("""COMPUTED_VALUE"""),"716 MITCHELL RD")</f>
        <v>716 MITCHELL RD</v>
      </c>
      <c r="C8857" s="3"/>
      <c r="D8857" s="3"/>
      <c r="E8857" s="3" t="str">
        <f>IFERROR(__xludf.DUMMYFUNCTION("""COMPUTED_VALUE"""),"Bambina Giannnitti")</f>
        <v>Bambina Giannnitti</v>
      </c>
      <c r="F8857" s="3" t="str">
        <f>IFERROR(__xludf.DUMMYFUNCTION("""COMPUTED_VALUE"""),"N/A")</f>
        <v>N/A</v>
      </c>
      <c r="G8857" s="3"/>
      <c r="H8857" s="3"/>
    </row>
    <row r="8858">
      <c r="A8858" s="2">
        <f>IFERROR(__xludf.DUMMYFUNCTION("""COMPUTED_VALUE"""),30882.0)</f>
        <v>30882</v>
      </c>
      <c r="B8858" s="3" t="str">
        <f>IFERROR(__xludf.DUMMYFUNCTION("""COMPUTED_VALUE"""),"765 MITCHELL RD")</f>
        <v>765 MITCHELL RD</v>
      </c>
      <c r="C8858" s="3"/>
      <c r="D8858" s="3"/>
      <c r="E8858" s="3" t="str">
        <f>IFERROR(__xludf.DUMMYFUNCTION("""COMPUTED_VALUE"""),"Tom Summers")</f>
        <v>Tom Summers</v>
      </c>
      <c r="F8858" s="3" t="str">
        <f>IFERROR(__xludf.DUMMYFUNCTION("""COMPUTED_VALUE"""),"leste@nexusisp.com")</f>
        <v>leste@nexusisp.com</v>
      </c>
      <c r="G8858" s="3">
        <f>IFERROR(__xludf.DUMMYFUNCTION("""COMPUTED_VALUE"""),7.059249535E9)</f>
        <v>7059249535</v>
      </c>
      <c r="H8858" s="3"/>
    </row>
    <row r="8859">
      <c r="A8859" s="2">
        <f>IFERROR(__xludf.DUMMYFUNCTION("""COMPUTED_VALUE"""),30884.0)</f>
        <v>30884</v>
      </c>
      <c r="B8859" s="3" t="str">
        <f>IFERROR(__xludf.DUMMYFUNCTION("""COMPUTED_VALUE"""),"33 MOORE RD ")</f>
        <v>33 MOORE RD </v>
      </c>
      <c r="C8859" s="3" t="str">
        <f>IFERROR(__xludf.DUMMYFUNCTION("""COMPUTED_VALUE"""),"CASTLETON")</f>
        <v>CASTLETON</v>
      </c>
      <c r="D8859" s="3" t="str">
        <f>IFERROR(__xludf.DUMMYFUNCTION("""COMPUTED_VALUE"""),"K0K 1M0")</f>
        <v>K0K 1M0</v>
      </c>
      <c r="E8859" s="3"/>
      <c r="F8859" s="3"/>
      <c r="G8859" s="3"/>
      <c r="H8859" s="3"/>
    </row>
    <row r="8860">
      <c r="A8860" s="2">
        <f>IFERROR(__xludf.DUMMYFUNCTION("""COMPUTED_VALUE"""),30885.0)</f>
        <v>30885</v>
      </c>
      <c r="B8860" s="3" t="str">
        <f>IFERROR(__xludf.DUMMYFUNCTION("""COMPUTED_VALUE"""),"58 MOORE RD ")</f>
        <v>58 MOORE RD </v>
      </c>
      <c r="C8860" s="3" t="str">
        <f>IFERROR(__xludf.DUMMYFUNCTION("""COMPUTED_VALUE"""),"CASTLETON")</f>
        <v>CASTLETON</v>
      </c>
      <c r="D8860" s="3" t="str">
        <f>IFERROR(__xludf.DUMMYFUNCTION("""COMPUTED_VALUE"""),"K0K 1M0")</f>
        <v>K0K 1M0</v>
      </c>
      <c r="E8860" s="3"/>
      <c r="F8860" s="3"/>
      <c r="G8860" s="3"/>
      <c r="H8860" s="3"/>
    </row>
    <row r="8861">
      <c r="A8861" s="2">
        <f>IFERROR(__xludf.DUMMYFUNCTION("""COMPUTED_VALUE"""),30886.0)</f>
        <v>30886</v>
      </c>
      <c r="B8861" s="3" t="str">
        <f>IFERROR(__xludf.DUMMYFUNCTION("""COMPUTED_VALUE"""),"106 MOORE RD ")</f>
        <v>106 MOORE RD </v>
      </c>
      <c r="C8861" s="3" t="str">
        <f>IFERROR(__xludf.DUMMYFUNCTION("""COMPUTED_VALUE"""),"CASTLETON")</f>
        <v>CASTLETON</v>
      </c>
      <c r="D8861" s="3" t="str">
        <f>IFERROR(__xludf.DUMMYFUNCTION("""COMPUTED_VALUE"""),"K0K 1M0")</f>
        <v>K0K 1M0</v>
      </c>
      <c r="E8861" s="3" t="str">
        <f>IFERROR(__xludf.DUMMYFUNCTION("""COMPUTED_VALUE"""),"Kenneth Finley")</f>
        <v>Kenneth Finley</v>
      </c>
      <c r="F8861" s="3" t="str">
        <f>IFERROR(__xludf.DUMMYFUNCTION("""COMPUTED_VALUE"""),"kfinley.home@outlook.com")</f>
        <v>kfinley.home@outlook.com</v>
      </c>
      <c r="G8861" s="3">
        <f>IFERROR(__xludf.DUMMYFUNCTION("""COMPUTED_VALUE"""),9.052604424E9)</f>
        <v>9052604424</v>
      </c>
      <c r="H8861" s="3"/>
    </row>
    <row r="8862">
      <c r="A8862" s="2">
        <f>IFERROR(__xludf.DUMMYFUNCTION("""COMPUTED_VALUE"""),30887.0)</f>
        <v>30887</v>
      </c>
      <c r="B8862" s="3" t="str">
        <f>IFERROR(__xludf.DUMMYFUNCTION("""COMPUTED_VALUE"""),"118 MOORE RD ")</f>
        <v>118 MOORE RD </v>
      </c>
      <c r="C8862" s="3" t="str">
        <f>IFERROR(__xludf.DUMMYFUNCTION("""COMPUTED_VALUE"""),"CASTLETON")</f>
        <v>CASTLETON</v>
      </c>
      <c r="D8862" s="3" t="str">
        <f>IFERROR(__xludf.DUMMYFUNCTION("""COMPUTED_VALUE"""),"K0K 1M0")</f>
        <v>K0K 1M0</v>
      </c>
      <c r="E8862" s="3" t="str">
        <f>IFERROR(__xludf.DUMMYFUNCTION("""COMPUTED_VALUE"""),"Jakub Andrasik")</f>
        <v>Jakub Andrasik</v>
      </c>
      <c r="F8862" s="3" t="str">
        <f>IFERROR(__xludf.DUMMYFUNCTION("""COMPUTED_VALUE"""),"jakub.andrasik@gmail.com")</f>
        <v>jakub.andrasik@gmail.com</v>
      </c>
      <c r="G8862" s="3">
        <f>IFERROR(__xludf.DUMMYFUNCTION("""COMPUTED_VALUE"""),9.05441108E9)</f>
        <v>9054411080</v>
      </c>
      <c r="H8862" s="3"/>
    </row>
    <row r="8863">
      <c r="A8863" s="2">
        <f>IFERROR(__xludf.DUMMYFUNCTION("""COMPUTED_VALUE"""),30888.0)</f>
        <v>30888</v>
      </c>
      <c r="B8863" s="3" t="str">
        <f>IFERROR(__xludf.DUMMYFUNCTION("""COMPUTED_VALUE"""),"129 MOORE RD ")</f>
        <v>129 MOORE RD </v>
      </c>
      <c r="C8863" s="3" t="str">
        <f>IFERROR(__xludf.DUMMYFUNCTION("""COMPUTED_VALUE"""),"CASTLETON")</f>
        <v>CASTLETON</v>
      </c>
      <c r="D8863" s="3" t="str">
        <f>IFERROR(__xludf.DUMMYFUNCTION("""COMPUTED_VALUE"""),"K0K 1M0")</f>
        <v>K0K 1M0</v>
      </c>
      <c r="E8863" s="3" t="str">
        <f>IFERROR(__xludf.DUMMYFUNCTION("""COMPUTED_VALUE"""),"PJ Martinez")</f>
        <v>PJ Martinez</v>
      </c>
      <c r="F8863" s="3" t="str">
        <f>IFERROR(__xludf.DUMMYFUNCTION("""COMPUTED_VALUE"""),"lpddesign@gmail.com")</f>
        <v>lpddesign@gmail.com</v>
      </c>
      <c r="G8863" s="3">
        <f>IFERROR(__xludf.DUMMYFUNCTION("""COMPUTED_VALUE"""),6.47938598E9)</f>
        <v>6479385980</v>
      </c>
      <c r="H8863" s="3"/>
    </row>
    <row r="8864">
      <c r="A8864" s="2">
        <f>IFERROR(__xludf.DUMMYFUNCTION("""COMPUTED_VALUE"""),30889.0)</f>
        <v>30889</v>
      </c>
      <c r="B8864" s="3" t="str">
        <f>IFERROR(__xludf.DUMMYFUNCTION("""COMPUTED_VALUE"""),"152 MOORE RD ")</f>
        <v>152 MOORE RD </v>
      </c>
      <c r="C8864" s="3" t="str">
        <f>IFERROR(__xludf.DUMMYFUNCTION("""COMPUTED_VALUE"""),"CASTLETON")</f>
        <v>CASTLETON</v>
      </c>
      <c r="D8864" s="3" t="str">
        <f>IFERROR(__xludf.DUMMYFUNCTION("""COMPUTED_VALUE"""),"K0K 1M0")</f>
        <v>K0K 1M0</v>
      </c>
      <c r="E8864" s="3" t="str">
        <f>IFERROR(__xludf.DUMMYFUNCTION("""COMPUTED_VALUE"""),"Rick Rayner")</f>
        <v>Rick Rayner</v>
      </c>
      <c r="F8864" s="3" t="str">
        <f>IFERROR(__xludf.DUMMYFUNCTION("""COMPUTED_VALUE"""),"N/A")</f>
        <v>N/A</v>
      </c>
      <c r="G8864" s="3"/>
      <c r="H8864" s="3"/>
    </row>
    <row r="8865">
      <c r="A8865" s="2">
        <f>IFERROR(__xludf.DUMMYFUNCTION("""COMPUTED_VALUE"""),30892.0)</f>
        <v>30892</v>
      </c>
      <c r="B8865" s="3" t="str">
        <f>IFERROR(__xludf.DUMMYFUNCTION("""COMPUTED_VALUE"""),"166 MORGANSTON DR ")</f>
        <v>166 MORGANSTON DR </v>
      </c>
      <c r="C8865" s="3" t="str">
        <f>IFERROR(__xludf.DUMMYFUNCTION("""COMPUTED_VALUE"""),"CASTLETON")</f>
        <v>CASTLETON</v>
      </c>
      <c r="D8865" s="3" t="str">
        <f>IFERROR(__xludf.DUMMYFUNCTION("""COMPUTED_VALUE"""),"K0K 1M0")</f>
        <v>K0K 1M0</v>
      </c>
      <c r="E8865" s="3" t="str">
        <f>IFERROR(__xludf.DUMMYFUNCTION("""COMPUTED_VALUE"""),"Jaimie Lynn Dack")</f>
        <v>Jaimie Lynn Dack</v>
      </c>
      <c r="F8865" s="3" t="str">
        <f>IFERROR(__xludf.DUMMYFUNCTION("""COMPUTED_VALUE"""),"jaimie.dack@outloook.com")</f>
        <v>jaimie.dack@outloook.com</v>
      </c>
      <c r="G8865" s="3">
        <f>IFERROR(__xludf.DUMMYFUNCTION("""COMPUTED_VALUE"""),7.054577842E9)</f>
        <v>7054577842</v>
      </c>
      <c r="H8865" s="3"/>
    </row>
    <row r="8866">
      <c r="A8866" s="2">
        <f>IFERROR(__xludf.DUMMYFUNCTION("""COMPUTED_VALUE"""),30893.0)</f>
        <v>30893</v>
      </c>
      <c r="B8866" s="3" t="str">
        <f>IFERROR(__xludf.DUMMYFUNCTION("""COMPUTED_VALUE"""),"217 MORGANSTON DR ")</f>
        <v>217 MORGANSTON DR </v>
      </c>
      <c r="C8866" s="3" t="str">
        <f>IFERROR(__xludf.DUMMYFUNCTION("""COMPUTED_VALUE"""),"CASTLETON")</f>
        <v>CASTLETON</v>
      </c>
      <c r="D8866" s="3" t="str">
        <f>IFERROR(__xludf.DUMMYFUNCTION("""COMPUTED_VALUE"""),"K0K 1M0")</f>
        <v>K0K 1M0</v>
      </c>
      <c r="E8866" s="3" t="str">
        <f>IFERROR(__xludf.DUMMYFUNCTION("""COMPUTED_VALUE"""),"George Ryken")</f>
        <v>George Ryken</v>
      </c>
      <c r="F8866" s="3" t="str">
        <f>IFERROR(__xludf.DUMMYFUNCTION("""COMPUTED_VALUE"""),"george.ryken@gmail.com")</f>
        <v>george.ryken@gmail.com</v>
      </c>
      <c r="G8866" s="3"/>
      <c r="H8866" s="3"/>
    </row>
    <row r="8867">
      <c r="A8867" s="2">
        <f>IFERROR(__xludf.DUMMYFUNCTION("""COMPUTED_VALUE"""),30894.0)</f>
        <v>30894</v>
      </c>
      <c r="B8867" s="3" t="str">
        <f>IFERROR(__xludf.DUMMYFUNCTION("""COMPUTED_VALUE"""),"310 MORGANSTON DR ")</f>
        <v>310 MORGANSTON DR </v>
      </c>
      <c r="C8867" s="3" t="str">
        <f>IFERROR(__xludf.DUMMYFUNCTION("""COMPUTED_VALUE"""),"CASTLETON")</f>
        <v>CASTLETON</v>
      </c>
      <c r="D8867" s="3" t="str">
        <f>IFERROR(__xludf.DUMMYFUNCTION("""COMPUTED_VALUE"""),"K0K 1M0")</f>
        <v>K0K 1M0</v>
      </c>
      <c r="E8867" s="3"/>
      <c r="F8867" s="3"/>
      <c r="G8867" s="3"/>
      <c r="H8867" s="3"/>
    </row>
    <row r="8868">
      <c r="A8868" s="2">
        <f>IFERROR(__xludf.DUMMYFUNCTION("""COMPUTED_VALUE"""),30895.0)</f>
        <v>30895</v>
      </c>
      <c r="B8868" s="3" t="str">
        <f>IFERROR(__xludf.DUMMYFUNCTION("""COMPUTED_VALUE"""),"350 MORGANSTON DR ")</f>
        <v>350 MORGANSTON DR </v>
      </c>
      <c r="C8868" s="3" t="str">
        <f>IFERROR(__xludf.DUMMYFUNCTION("""COMPUTED_VALUE"""),"CASTLETON")</f>
        <v>CASTLETON</v>
      </c>
      <c r="D8868" s="3" t="str">
        <f>IFERROR(__xludf.DUMMYFUNCTION("""COMPUTED_VALUE"""),"K0K 1M0")</f>
        <v>K0K 1M0</v>
      </c>
      <c r="E8868" s="3" t="str">
        <f>IFERROR(__xludf.DUMMYFUNCTION("""COMPUTED_VALUE"""),"Janet Blohm")</f>
        <v>Janet Blohm</v>
      </c>
      <c r="F8868" s="3" t="str">
        <f>IFERROR(__xludf.DUMMYFUNCTION("""COMPUTED_VALUE"""),"janet54@xplorenet.ca")</f>
        <v>janet54@xplorenet.ca</v>
      </c>
      <c r="G8868" s="3"/>
      <c r="H8868" s="3"/>
    </row>
    <row r="8869">
      <c r="A8869" s="2">
        <f>IFERROR(__xludf.DUMMYFUNCTION("""COMPUTED_VALUE"""),30896.0)</f>
        <v>30896</v>
      </c>
      <c r="B8869" s="3" t="str">
        <f>IFERROR(__xludf.DUMMYFUNCTION("""COMPUTED_VALUE"""),"370 MORGANSTON DR ")</f>
        <v>370 MORGANSTON DR </v>
      </c>
      <c r="C8869" s="3" t="str">
        <f>IFERROR(__xludf.DUMMYFUNCTION("""COMPUTED_VALUE"""),"CASTLETON")</f>
        <v>CASTLETON</v>
      </c>
      <c r="D8869" s="3" t="str">
        <f>IFERROR(__xludf.DUMMYFUNCTION("""COMPUTED_VALUE"""),"K0K 1M0")</f>
        <v>K0K 1M0</v>
      </c>
      <c r="E8869" s="3" t="str">
        <f>IFERROR(__xludf.DUMMYFUNCTION("""COMPUTED_VALUE"""),"Katrina Greenhorned ")</f>
        <v>Katrina Greenhorned </v>
      </c>
      <c r="F8869" s="3" t="str">
        <f>IFERROR(__xludf.DUMMYFUNCTION("""COMPUTED_VALUE"""),"hello.katt@hotmail.com")</f>
        <v>hello.katt@hotmail.com</v>
      </c>
      <c r="G8869" s="3"/>
      <c r="H8869" s="3"/>
    </row>
    <row r="8870">
      <c r="A8870" s="2">
        <f>IFERROR(__xludf.DUMMYFUNCTION("""COMPUTED_VALUE"""),30897.0)</f>
        <v>30897</v>
      </c>
      <c r="B8870" s="3" t="str">
        <f>IFERROR(__xludf.DUMMYFUNCTION("""COMPUTED_VALUE"""),"406 MORGANSTON DR ")</f>
        <v>406 MORGANSTON DR </v>
      </c>
      <c r="C8870" s="3" t="str">
        <f>IFERROR(__xludf.DUMMYFUNCTION("""COMPUTED_VALUE"""),"CASTLETON")</f>
        <v>CASTLETON</v>
      </c>
      <c r="D8870" s="3" t="str">
        <f>IFERROR(__xludf.DUMMYFUNCTION("""COMPUTED_VALUE"""),"K0K 1M0")</f>
        <v>K0K 1M0</v>
      </c>
      <c r="E8870" s="3" t="str">
        <f>IFERROR(__xludf.DUMMYFUNCTION("""COMPUTED_VALUE"""),"Gord Allchurch")</f>
        <v>Gord Allchurch</v>
      </c>
      <c r="F8870" s="3" t="str">
        <f>IFERROR(__xludf.DUMMYFUNCTION("""COMPUTED_VALUE"""),"gallchurch@xplornet.ca")</f>
        <v>gallchurch@xplornet.ca</v>
      </c>
      <c r="G8870" s="3"/>
      <c r="H8870" s="3"/>
    </row>
    <row r="8871">
      <c r="A8871" s="2">
        <f>IFERROR(__xludf.DUMMYFUNCTION("""COMPUTED_VALUE"""),30898.0)</f>
        <v>30898</v>
      </c>
      <c r="B8871" s="3" t="str">
        <f>IFERROR(__xludf.DUMMYFUNCTION("""COMPUTED_VALUE"""),"424 MORGANSTON DR ")</f>
        <v>424 MORGANSTON DR </v>
      </c>
      <c r="C8871" s="3" t="str">
        <f>IFERROR(__xludf.DUMMYFUNCTION("""COMPUTED_VALUE"""),"CASTLETON")</f>
        <v>CASTLETON</v>
      </c>
      <c r="D8871" s="3" t="str">
        <f>IFERROR(__xludf.DUMMYFUNCTION("""COMPUTED_VALUE"""),"K0K 1M0")</f>
        <v>K0K 1M0</v>
      </c>
      <c r="E8871" s="3"/>
      <c r="F8871" s="3"/>
      <c r="G8871" s="3"/>
      <c r="H8871" s="3"/>
    </row>
    <row r="8872">
      <c r="A8872" s="2">
        <f>IFERROR(__xludf.DUMMYFUNCTION("""COMPUTED_VALUE"""),30899.0)</f>
        <v>30899</v>
      </c>
      <c r="B8872" s="3" t="str">
        <f>IFERROR(__xludf.DUMMYFUNCTION("""COMPUTED_VALUE"""),"598 MORGANSTON DR ")</f>
        <v>598 MORGANSTON DR </v>
      </c>
      <c r="C8872" s="3" t="str">
        <f>IFERROR(__xludf.DUMMYFUNCTION("""COMPUTED_VALUE"""),"CASTLETON")</f>
        <v>CASTLETON</v>
      </c>
      <c r="D8872" s="3" t="str">
        <f>IFERROR(__xludf.DUMMYFUNCTION("""COMPUTED_VALUE"""),"K0K 1M0")</f>
        <v>K0K 1M0</v>
      </c>
      <c r="E8872" s="3" t="str">
        <f>IFERROR(__xludf.DUMMYFUNCTION("""COMPUTED_VALUE"""),"Erin Atkinson Benedetti")</f>
        <v>Erin Atkinson Benedetti</v>
      </c>
      <c r="F8872" s="3"/>
      <c r="G8872" s="3">
        <f>IFERROR(__xludf.DUMMYFUNCTION("""COMPUTED_VALUE"""),3.657773901E9)</f>
        <v>3657773901</v>
      </c>
      <c r="H8872" s="3"/>
    </row>
    <row r="8873">
      <c r="A8873" s="2">
        <f>IFERROR(__xludf.DUMMYFUNCTION("""COMPUTED_VALUE"""),30900.0)</f>
        <v>30900</v>
      </c>
      <c r="B8873" s="3" t="str">
        <f>IFERROR(__xludf.DUMMYFUNCTION("""COMPUTED_VALUE"""),"663 MORGANSTON DR ")</f>
        <v>663 MORGANSTON DR </v>
      </c>
      <c r="C8873" s="3" t="str">
        <f>IFERROR(__xludf.DUMMYFUNCTION("""COMPUTED_VALUE"""),"CASTLETON")</f>
        <v>CASTLETON</v>
      </c>
      <c r="D8873" s="3" t="str">
        <f>IFERROR(__xludf.DUMMYFUNCTION("""COMPUTED_VALUE"""),"K0K 1M0")</f>
        <v>K0K 1M0</v>
      </c>
      <c r="E8873" s="3" t="str">
        <f>IFERROR(__xludf.DUMMYFUNCTION("""COMPUTED_VALUE"""),"Marcus Lenahan")</f>
        <v>Marcus Lenahan</v>
      </c>
      <c r="F8873" s="3" t="str">
        <f>IFERROR(__xludf.DUMMYFUNCTION("""COMPUTED_VALUE"""),"marcuslenahan@gmail.com")</f>
        <v>marcuslenahan@gmail.com</v>
      </c>
      <c r="G8873" s="3"/>
      <c r="H8873" s="3"/>
    </row>
    <row r="8874">
      <c r="A8874" s="2">
        <f>IFERROR(__xludf.DUMMYFUNCTION("""COMPUTED_VALUE"""),30890.0)</f>
        <v>30890</v>
      </c>
      <c r="B8874" s="3" t="str">
        <f>IFERROR(__xludf.DUMMYFUNCTION("""COMPUTED_VALUE"""),"729 MORGANSTON RD ")</f>
        <v>729 MORGANSTON RD </v>
      </c>
      <c r="C8874" s="3" t="str">
        <f>IFERROR(__xludf.DUMMYFUNCTION("""COMPUTED_VALUE"""),"CASTLETON")</f>
        <v>CASTLETON</v>
      </c>
      <c r="D8874" s="3" t="str">
        <f>IFERROR(__xludf.DUMMYFUNCTION("""COMPUTED_VALUE"""),"K0K 1M0")</f>
        <v>K0K 1M0</v>
      </c>
      <c r="E8874" s="3" t="str">
        <f>IFERROR(__xludf.DUMMYFUNCTION("""COMPUTED_VALUE"""),"Ivan Reyes")</f>
        <v>Ivan Reyes</v>
      </c>
      <c r="F8874" s="3" t="str">
        <f>IFERROR(__xludf.DUMMYFUNCTION("""COMPUTED_VALUE"""),"ireyes.pine@yahoo.com")</f>
        <v>ireyes.pine@yahoo.com</v>
      </c>
      <c r="G8874" s="3">
        <f>IFERROR(__xludf.DUMMYFUNCTION("""COMPUTED_VALUE"""),4.168913704E9)</f>
        <v>4168913704</v>
      </c>
      <c r="H8874" s="3"/>
    </row>
    <row r="8875">
      <c r="A8875" s="2">
        <f>IFERROR(__xludf.DUMMYFUNCTION("""COMPUTED_VALUE"""),30901.0)</f>
        <v>30901</v>
      </c>
      <c r="B8875" s="3" t="str">
        <f>IFERROR(__xludf.DUMMYFUNCTION("""COMPUTED_VALUE"""),"739 MORGANSTON DR ")</f>
        <v>739 MORGANSTON DR </v>
      </c>
      <c r="C8875" s="3" t="str">
        <f>IFERROR(__xludf.DUMMYFUNCTION("""COMPUTED_VALUE"""),"CASTLETON")</f>
        <v>CASTLETON</v>
      </c>
      <c r="D8875" s="3" t="str">
        <f>IFERROR(__xludf.DUMMYFUNCTION("""COMPUTED_VALUE"""),"K0K 1M0")</f>
        <v>K0K 1M0</v>
      </c>
      <c r="E8875" s="3" t="str">
        <f>IFERROR(__xludf.DUMMYFUNCTION("""COMPUTED_VALUE"""),"Ralph McBride")</f>
        <v>Ralph McBride</v>
      </c>
      <c r="F8875" s="3" t="str">
        <f>IFERROR(__xludf.DUMMYFUNCTION("""COMPUTED_VALUE"""),"ralphmcbride@hotmail.com")</f>
        <v>ralphmcbride@hotmail.com</v>
      </c>
      <c r="G8875" s="3"/>
      <c r="H8875" s="3"/>
    </row>
    <row r="8876">
      <c r="A8876" s="2">
        <f>IFERROR(__xludf.DUMMYFUNCTION("""COMPUTED_VALUE"""),30902.0)</f>
        <v>30902</v>
      </c>
      <c r="B8876" s="3" t="str">
        <f>IFERROR(__xludf.DUMMYFUNCTION("""COMPUTED_VALUE"""),"778 MORGANSTON DR ")</f>
        <v>778 MORGANSTON DR </v>
      </c>
      <c r="C8876" s="3" t="str">
        <f>IFERROR(__xludf.DUMMYFUNCTION("""COMPUTED_VALUE"""),"CASTLETON")</f>
        <v>CASTLETON</v>
      </c>
      <c r="D8876" s="3" t="str">
        <f>IFERROR(__xludf.DUMMYFUNCTION("""COMPUTED_VALUE"""),"K0K 1M0")</f>
        <v>K0K 1M0</v>
      </c>
      <c r="E8876" s="3" t="str">
        <f>IFERROR(__xludf.DUMMYFUNCTION("""COMPUTED_VALUE"""),"Shelly Lynn Nelson")</f>
        <v>Shelly Lynn Nelson</v>
      </c>
      <c r="F8876" s="3" t="str">
        <f>IFERROR(__xludf.DUMMYFUNCTION("""COMPUTED_VALUE"""),"shellynelson43@gmail.com")</f>
        <v>shellynelson43@gmail.com</v>
      </c>
      <c r="G8876" s="3"/>
      <c r="H8876" s="3"/>
    </row>
    <row r="8877">
      <c r="A8877" s="2">
        <f>IFERROR(__xludf.DUMMYFUNCTION("""COMPUTED_VALUE"""),30891.0)</f>
        <v>30891</v>
      </c>
      <c r="B8877" s="3" t="str">
        <f>IFERROR(__xludf.DUMMYFUNCTION("""COMPUTED_VALUE"""),"868 MORGANSTON RD ")</f>
        <v>868 MORGANSTON RD </v>
      </c>
      <c r="C8877" s="3" t="str">
        <f>IFERROR(__xludf.DUMMYFUNCTION("""COMPUTED_VALUE"""),"CASTLETON")</f>
        <v>CASTLETON</v>
      </c>
      <c r="D8877" s="3" t="str">
        <f>IFERROR(__xludf.DUMMYFUNCTION("""COMPUTED_VALUE"""),"K0K 1M0")</f>
        <v>K0K 1M0</v>
      </c>
      <c r="E8877" s="3"/>
      <c r="F8877" s="3"/>
      <c r="G8877" s="3"/>
      <c r="H8877" s="3"/>
    </row>
    <row r="8878">
      <c r="A8878" s="2">
        <f>IFERROR(__xludf.DUMMYFUNCTION("""COMPUTED_VALUE"""),30903.0)</f>
        <v>30903</v>
      </c>
      <c r="B8878" s="3" t="str">
        <f>IFERROR(__xludf.DUMMYFUNCTION("""COMPUTED_VALUE"""),"923 MORGANSTON DR ")</f>
        <v>923 MORGANSTON DR </v>
      </c>
      <c r="C8878" s="3" t="str">
        <f>IFERROR(__xludf.DUMMYFUNCTION("""COMPUTED_VALUE"""),"CASTLETON")</f>
        <v>CASTLETON</v>
      </c>
      <c r="D8878" s="3" t="str">
        <f>IFERROR(__xludf.DUMMYFUNCTION("""COMPUTED_VALUE"""),"K0K 1M0")</f>
        <v>K0K 1M0</v>
      </c>
      <c r="E8878" s="3" t="str">
        <f>IFERROR(__xludf.DUMMYFUNCTION("""COMPUTED_VALUE"""),"Mark Moore")</f>
        <v>Mark Moore</v>
      </c>
      <c r="F8878" s="3" t="str">
        <f>IFERROR(__xludf.DUMMYFUNCTION("""COMPUTED_VALUE"""),"snofinder@gmail.com")</f>
        <v>snofinder@gmail.com</v>
      </c>
      <c r="G8878" s="3">
        <f>IFERROR(__xludf.DUMMYFUNCTION("""COMPUTED_VALUE"""),9.054326565E9)</f>
        <v>9054326565</v>
      </c>
      <c r="H8878" s="3"/>
    </row>
    <row r="8879">
      <c r="A8879" s="2">
        <f>IFERROR(__xludf.DUMMYFUNCTION("""COMPUTED_VALUE"""),30904.0)</f>
        <v>30904</v>
      </c>
      <c r="B8879" s="3" t="str">
        <f>IFERROR(__xludf.DUMMYFUNCTION("""COMPUTED_VALUE"""),"944 MORGANSTON DR ")</f>
        <v>944 MORGANSTON DR </v>
      </c>
      <c r="C8879" s="3" t="str">
        <f>IFERROR(__xludf.DUMMYFUNCTION("""COMPUTED_VALUE"""),"CASTLETON")</f>
        <v>CASTLETON</v>
      </c>
      <c r="D8879" s="3" t="str">
        <f>IFERROR(__xludf.DUMMYFUNCTION("""COMPUTED_VALUE"""),"K0K 1M0")</f>
        <v>K0K 1M0</v>
      </c>
      <c r="E8879" s="3" t="str">
        <f>IFERROR(__xludf.DUMMYFUNCTION("""COMPUTED_VALUE"""),"Linda Bird")</f>
        <v>Linda Bird</v>
      </c>
      <c r="F8879" s="3" t="str">
        <f>IFERROR(__xludf.DUMMYFUNCTION("""COMPUTED_VALUE"""),"lindbird@gmail.com")</f>
        <v>lindbird@gmail.com</v>
      </c>
      <c r="G8879" s="3"/>
      <c r="H8879" s="3"/>
    </row>
    <row r="8880">
      <c r="A8880" s="2">
        <f>IFERROR(__xludf.DUMMYFUNCTION("""COMPUTED_VALUE"""),30905.0)</f>
        <v>30905</v>
      </c>
      <c r="B8880" s="3" t="str">
        <f>IFERROR(__xludf.DUMMYFUNCTION("""COMPUTED_VALUE"""),"1034 MORGANSTON DR ")</f>
        <v>1034 MORGANSTON DR </v>
      </c>
      <c r="C8880" s="3" t="str">
        <f>IFERROR(__xludf.DUMMYFUNCTION("""COMPUTED_VALUE"""),"CASTLETON")</f>
        <v>CASTLETON</v>
      </c>
      <c r="D8880" s="3" t="str">
        <f>IFERROR(__xludf.DUMMYFUNCTION("""COMPUTED_VALUE"""),"K0K 1M0")</f>
        <v>K0K 1M0</v>
      </c>
      <c r="E8880" s="3" t="str">
        <f>IFERROR(__xludf.DUMMYFUNCTION("""COMPUTED_VALUE"""),"Cheryl Casselman")</f>
        <v>Cheryl Casselman</v>
      </c>
      <c r="F8880" s="3"/>
      <c r="G8880" s="3">
        <f>IFERROR(__xludf.DUMMYFUNCTION("""COMPUTED_VALUE"""),9.052697026E9)</f>
        <v>9052697026</v>
      </c>
      <c r="H8880" s="3"/>
    </row>
    <row r="8881">
      <c r="A8881" s="2">
        <f>IFERROR(__xludf.DUMMYFUNCTION("""COMPUTED_VALUE"""),30906.0)</f>
        <v>30906</v>
      </c>
      <c r="B8881" s="3" t="str">
        <f>IFERROR(__xludf.DUMMYFUNCTION("""COMPUTED_VALUE"""),"1042 MORGANSTON DR ")</f>
        <v>1042 MORGANSTON DR </v>
      </c>
      <c r="C8881" s="3" t="str">
        <f>IFERROR(__xludf.DUMMYFUNCTION("""COMPUTED_VALUE"""),"CASTLETON")</f>
        <v>CASTLETON</v>
      </c>
      <c r="D8881" s="3" t="str">
        <f>IFERROR(__xludf.DUMMYFUNCTION("""COMPUTED_VALUE"""),"K0K 1M0")</f>
        <v>K0K 1M0</v>
      </c>
      <c r="E8881" s="3" t="str">
        <f>IFERROR(__xludf.DUMMYFUNCTION("""COMPUTED_VALUE"""),"Jerry McRae")</f>
        <v>Jerry McRae</v>
      </c>
      <c r="F8881" s="3"/>
      <c r="G8881" s="3">
        <f>IFERROR(__xludf.DUMMYFUNCTION("""COMPUTED_VALUE"""),4.167798157E9)</f>
        <v>4167798157</v>
      </c>
      <c r="H8881" s="3"/>
    </row>
    <row r="8882">
      <c r="A8882" s="2">
        <f>IFERROR(__xludf.DUMMYFUNCTION("""COMPUTED_VALUE"""),30917.0)</f>
        <v>30917</v>
      </c>
      <c r="B8882" s="3" t="str">
        <f>IFERROR(__xludf.DUMMYFUNCTION("""COMPUTED_VALUE"""),"1118 MORGANSTON DR ")</f>
        <v>1118 MORGANSTON DR </v>
      </c>
      <c r="C8882" s="3" t="str">
        <f>IFERROR(__xludf.DUMMYFUNCTION("""COMPUTED_VALUE"""),"CASTLETON")</f>
        <v>CASTLETON</v>
      </c>
      <c r="D8882" s="3" t="str">
        <f>IFERROR(__xludf.DUMMYFUNCTION("""COMPUTED_VALUE"""),"K0K 1M0")</f>
        <v>K0K 1M0</v>
      </c>
      <c r="E8882" s="3" t="str">
        <f>IFERROR(__xludf.DUMMYFUNCTION("""COMPUTED_VALUE"""),"Wayne McComb")</f>
        <v>Wayne McComb</v>
      </c>
      <c r="F8882" s="3" t="str">
        <f>IFERROR(__xludf.DUMMYFUNCTION("""COMPUTED_VALUE"""),"waynemccomb2@gmail.com")</f>
        <v>waynemccomb2@gmail.com</v>
      </c>
      <c r="G8882" s="3">
        <f>IFERROR(__xludf.DUMMYFUNCTION("""COMPUTED_VALUE"""),9.053760196E9)</f>
        <v>9053760196</v>
      </c>
      <c r="H8882" s="3"/>
    </row>
    <row r="8883">
      <c r="A8883" s="2">
        <f>IFERROR(__xludf.DUMMYFUNCTION("""COMPUTED_VALUE"""),31548.0)</f>
        <v>31548</v>
      </c>
      <c r="B8883" s="3" t="str">
        <f>IFERROR(__xludf.DUMMYFUNCTION("""COMPUTED_VALUE"""),"1124 MORGANSTON DR ")</f>
        <v>1124 MORGANSTON DR </v>
      </c>
      <c r="C8883" s="3" t="str">
        <f>IFERROR(__xludf.DUMMYFUNCTION("""COMPUTED_VALUE"""),"CASTLETON")</f>
        <v>CASTLETON</v>
      </c>
      <c r="D8883" s="3" t="str">
        <f>IFERROR(__xludf.DUMMYFUNCTION("""COMPUTED_VALUE"""),"K0K 1M0")</f>
        <v>K0K 1M0</v>
      </c>
      <c r="E8883" s="3" t="str">
        <f>IFERROR(__xludf.DUMMYFUNCTION("""COMPUTED_VALUE"""),"Wayne McComb")</f>
        <v>Wayne McComb</v>
      </c>
      <c r="F8883" s="3" t="str">
        <f>IFERROR(__xludf.DUMMYFUNCTION("""COMPUTED_VALUE"""),"waynemccomb2@gmail.com")</f>
        <v>waynemccomb2@gmail.com</v>
      </c>
      <c r="G8883" s="3">
        <f>IFERROR(__xludf.DUMMYFUNCTION("""COMPUTED_VALUE"""),9.053760196E9)</f>
        <v>9053760196</v>
      </c>
      <c r="H8883" s="3"/>
    </row>
    <row r="8884">
      <c r="A8884" s="2">
        <f>IFERROR(__xludf.DUMMYFUNCTION("""COMPUTED_VALUE"""),30907.0)</f>
        <v>30907</v>
      </c>
      <c r="B8884" s="3" t="str">
        <f>IFERROR(__xludf.DUMMYFUNCTION("""COMPUTED_VALUE"""),"1131 MORGANSTON DR ")</f>
        <v>1131 MORGANSTON DR </v>
      </c>
      <c r="C8884" s="3" t="str">
        <f>IFERROR(__xludf.DUMMYFUNCTION("""COMPUTED_VALUE"""),"CASTLETON")</f>
        <v>CASTLETON</v>
      </c>
      <c r="D8884" s="3" t="str">
        <f>IFERROR(__xludf.DUMMYFUNCTION("""COMPUTED_VALUE"""),"K0K 1M0")</f>
        <v>K0K 1M0</v>
      </c>
      <c r="E8884" s="3" t="str">
        <f>IFERROR(__xludf.DUMMYFUNCTION("""COMPUTED_VALUE"""),"kevin mccomb")</f>
        <v>kevin mccomb</v>
      </c>
      <c r="F8884" s="3" t="str">
        <f>IFERROR(__xludf.DUMMYFUNCTION("""COMPUTED_VALUE"""),"kmccomb@bobmark.ca")</f>
        <v>kmccomb@bobmark.ca</v>
      </c>
      <c r="G8884" s="3">
        <f>IFERROR(__xludf.DUMMYFUNCTION("""COMPUTED_VALUE"""),7.058758836E9)</f>
        <v>7058758836</v>
      </c>
      <c r="H8884" s="3"/>
    </row>
    <row r="8885">
      <c r="A8885" s="2">
        <f>IFERROR(__xludf.DUMMYFUNCTION("""COMPUTED_VALUE"""),30908.0)</f>
        <v>30908</v>
      </c>
      <c r="B8885" s="3" t="str">
        <f>IFERROR(__xludf.DUMMYFUNCTION("""COMPUTED_VALUE"""),"1249 MORGANSTON DR ")</f>
        <v>1249 MORGANSTON DR </v>
      </c>
      <c r="C8885" s="3" t="str">
        <f>IFERROR(__xludf.DUMMYFUNCTION("""COMPUTED_VALUE"""),"CASTLETON")</f>
        <v>CASTLETON</v>
      </c>
      <c r="D8885" s="3" t="str">
        <f>IFERROR(__xludf.DUMMYFUNCTION("""COMPUTED_VALUE"""),"K0K 1M0")</f>
        <v>K0K 1M0</v>
      </c>
      <c r="E8885" s="3" t="str">
        <f>IFERROR(__xludf.DUMMYFUNCTION("""COMPUTED_VALUE"""),"Paul Hodge")</f>
        <v>Paul Hodge</v>
      </c>
      <c r="F8885" s="3" t="str">
        <f>IFERROR(__xludf.DUMMYFUNCTION("""COMPUTED_VALUE"""),"paulfhodge@gmail.com")</f>
        <v>paulfhodge@gmail.com</v>
      </c>
      <c r="G8885" s="3">
        <f>IFERROR(__xludf.DUMMYFUNCTION("""COMPUTED_VALUE"""),4.164091081E9)</f>
        <v>4164091081</v>
      </c>
      <c r="H8885" s="3"/>
    </row>
    <row r="8886">
      <c r="A8886" s="2">
        <f>IFERROR(__xludf.DUMMYFUNCTION("""COMPUTED_VALUE"""),30909.0)</f>
        <v>30909</v>
      </c>
      <c r="B8886" s="3" t="str">
        <f>IFERROR(__xludf.DUMMYFUNCTION("""COMPUTED_VALUE"""),"1332 MORGANSTON DR ")</f>
        <v>1332 MORGANSTON DR </v>
      </c>
      <c r="C8886" s="3" t="str">
        <f>IFERROR(__xludf.DUMMYFUNCTION("""COMPUTED_VALUE"""),"CASTLETON")</f>
        <v>CASTLETON</v>
      </c>
      <c r="D8886" s="3" t="str">
        <f>IFERROR(__xludf.DUMMYFUNCTION("""COMPUTED_VALUE"""),"K0K 1M0")</f>
        <v>K0K 1M0</v>
      </c>
      <c r="E8886" s="3" t="str">
        <f>IFERROR(__xludf.DUMMYFUNCTION("""COMPUTED_VALUE"""),"David Good")</f>
        <v>David Good</v>
      </c>
      <c r="F8886" s="3" t="str">
        <f>IFERROR(__xludf.DUMMYFUNCTION("""COMPUTED_VALUE"""),"dgooddvm@hotmail.com")</f>
        <v>dgooddvm@hotmail.com</v>
      </c>
      <c r="G8886" s="3">
        <f>IFERROR(__xludf.DUMMYFUNCTION("""COMPUTED_VALUE"""),6.134816117E9)</f>
        <v>6134816117</v>
      </c>
      <c r="H8886" s="3"/>
    </row>
    <row r="8887">
      <c r="A8887" s="2">
        <f>IFERROR(__xludf.DUMMYFUNCTION("""COMPUTED_VALUE"""),30910.0)</f>
        <v>30910</v>
      </c>
      <c r="B8887" s="3" t="str">
        <f>IFERROR(__xludf.DUMMYFUNCTION("""COMPUTED_VALUE"""),"1387 MORGANSTON DR ")</f>
        <v>1387 MORGANSTON DR </v>
      </c>
      <c r="C8887" s="3" t="str">
        <f>IFERROR(__xludf.DUMMYFUNCTION("""COMPUTED_VALUE"""),"CASTLETON")</f>
        <v>CASTLETON</v>
      </c>
      <c r="D8887" s="3" t="str">
        <f>IFERROR(__xludf.DUMMYFUNCTION("""COMPUTED_VALUE"""),"K0K 1M0")</f>
        <v>K0K 1M0</v>
      </c>
      <c r="E8887" s="3" t="str">
        <f>IFERROR(__xludf.DUMMYFUNCTION("""COMPUTED_VALUE"""),"Lyle Grills")</f>
        <v>Lyle Grills</v>
      </c>
      <c r="F8887" s="3"/>
      <c r="G8887" s="3">
        <f>IFERROR(__xludf.DUMMYFUNCTION("""COMPUTED_VALUE"""),9.053764907E9)</f>
        <v>9053764907</v>
      </c>
      <c r="H8887" s="3"/>
    </row>
    <row r="8888">
      <c r="A8888" s="2">
        <f>IFERROR(__xludf.DUMMYFUNCTION("""COMPUTED_VALUE"""),30911.0)</f>
        <v>30911</v>
      </c>
      <c r="B8888" s="3" t="str">
        <f>IFERROR(__xludf.DUMMYFUNCTION("""COMPUTED_VALUE"""),"1431 MORGANSTON DR ")</f>
        <v>1431 MORGANSTON DR </v>
      </c>
      <c r="C8888" s="3" t="str">
        <f>IFERROR(__xludf.DUMMYFUNCTION("""COMPUTED_VALUE"""),"CASTLETON")</f>
        <v>CASTLETON</v>
      </c>
      <c r="D8888" s="3" t="str">
        <f>IFERROR(__xludf.DUMMYFUNCTION("""COMPUTED_VALUE"""),"K0K 1M0")</f>
        <v>K0K 1M0</v>
      </c>
      <c r="E8888" s="3"/>
      <c r="F8888" s="3"/>
      <c r="G8888" s="3"/>
      <c r="H8888" s="3"/>
    </row>
    <row r="8889">
      <c r="A8889" s="2">
        <f>IFERROR(__xludf.DUMMYFUNCTION("""COMPUTED_VALUE"""),30912.0)</f>
        <v>30912</v>
      </c>
      <c r="B8889" s="3" t="str">
        <f>IFERROR(__xludf.DUMMYFUNCTION("""COMPUTED_VALUE"""),"1512 MORGANSTON DR ")</f>
        <v>1512 MORGANSTON DR </v>
      </c>
      <c r="C8889" s="3" t="str">
        <f>IFERROR(__xludf.DUMMYFUNCTION("""COMPUTED_VALUE"""),"CASTLETON")</f>
        <v>CASTLETON</v>
      </c>
      <c r="D8889" s="3" t="str">
        <f>IFERROR(__xludf.DUMMYFUNCTION("""COMPUTED_VALUE"""),"K0K 1M0")</f>
        <v>K0K 1M0</v>
      </c>
      <c r="E8889" s="3" t="str">
        <f>IFERROR(__xludf.DUMMYFUNCTION("""COMPUTED_VALUE"""),"Shellie Brown")</f>
        <v>Shellie Brown</v>
      </c>
      <c r="F8889" s="3"/>
      <c r="G8889" s="3">
        <f>IFERROR(__xludf.DUMMYFUNCTION("""COMPUTED_VALUE"""),9.052695112E9)</f>
        <v>9052695112</v>
      </c>
      <c r="H8889" s="3"/>
    </row>
    <row r="8890">
      <c r="A8890" s="2">
        <f>IFERROR(__xludf.DUMMYFUNCTION("""COMPUTED_VALUE"""),30913.0)</f>
        <v>30913</v>
      </c>
      <c r="B8890" s="3" t="str">
        <f>IFERROR(__xludf.DUMMYFUNCTION("""COMPUTED_VALUE"""),"1562 MORGANSTON DR ")</f>
        <v>1562 MORGANSTON DR </v>
      </c>
      <c r="C8890" s="3" t="str">
        <f>IFERROR(__xludf.DUMMYFUNCTION("""COMPUTED_VALUE"""),"CASTLETON")</f>
        <v>CASTLETON</v>
      </c>
      <c r="D8890" s="3" t="str">
        <f>IFERROR(__xludf.DUMMYFUNCTION("""COMPUTED_VALUE"""),"K0K 1M0")</f>
        <v>K0K 1M0</v>
      </c>
      <c r="E8890" s="3" t="str">
        <f>IFERROR(__xludf.DUMMYFUNCTION("""COMPUTED_VALUE"""),"Gregg Shaney")</f>
        <v>Gregg Shaney</v>
      </c>
      <c r="F8890" s="3" t="str">
        <f>IFERROR(__xludf.DUMMYFUNCTION("""COMPUTED_VALUE"""),"greggshaney@gmail.com")</f>
        <v>greggshaney@gmail.com</v>
      </c>
      <c r="G8890" s="3"/>
      <c r="H8890" s="3"/>
    </row>
    <row r="8891">
      <c r="A8891" s="2">
        <f>IFERROR(__xludf.DUMMYFUNCTION("""COMPUTED_VALUE"""),30914.0)</f>
        <v>30914</v>
      </c>
      <c r="B8891" s="3" t="str">
        <f>IFERROR(__xludf.DUMMYFUNCTION("""COMPUTED_VALUE"""),"1580 MORGANSTON DR ")</f>
        <v>1580 MORGANSTON DR </v>
      </c>
      <c r="C8891" s="3" t="str">
        <f>IFERROR(__xludf.DUMMYFUNCTION("""COMPUTED_VALUE"""),"CASTLETON")</f>
        <v>CASTLETON</v>
      </c>
      <c r="D8891" s="3" t="str">
        <f>IFERROR(__xludf.DUMMYFUNCTION("""COMPUTED_VALUE"""),"K0K 1M0")</f>
        <v>K0K 1M0</v>
      </c>
      <c r="E8891" s="3" t="str">
        <f>IFERROR(__xludf.DUMMYFUNCTION("""COMPUTED_VALUE"""),"Trover Cooney and Megan Sheppard")</f>
        <v>Trover Cooney and Megan Sheppard</v>
      </c>
      <c r="F8891" s="3"/>
      <c r="G8891" s="3">
        <f>IFERROR(__xludf.DUMMYFUNCTION("""COMPUTED_VALUE"""),9.052693423E9)</f>
        <v>9052693423</v>
      </c>
      <c r="H8891" s="3">
        <f>IFERROR(__xludf.DUMMYFUNCTION("""COMPUTED_VALUE"""),9.052691662E9)</f>
        <v>9052691662</v>
      </c>
    </row>
    <row r="8892">
      <c r="A8892" s="2">
        <f>IFERROR(__xludf.DUMMYFUNCTION("""COMPUTED_VALUE"""),30915.0)</f>
        <v>30915</v>
      </c>
      <c r="B8892" s="3" t="str">
        <f>IFERROR(__xludf.DUMMYFUNCTION("""COMPUTED_VALUE"""),"1644 MORGANSTON DR ")</f>
        <v>1644 MORGANSTON DR </v>
      </c>
      <c r="C8892" s="3" t="str">
        <f>IFERROR(__xludf.DUMMYFUNCTION("""COMPUTED_VALUE"""),"CASTLETON")</f>
        <v>CASTLETON</v>
      </c>
      <c r="D8892" s="3" t="str">
        <f>IFERROR(__xludf.DUMMYFUNCTION("""COMPUTED_VALUE"""),"K0K 1M0")</f>
        <v>K0K 1M0</v>
      </c>
      <c r="E8892" s="3" t="str">
        <f>IFERROR(__xludf.DUMMYFUNCTION("""COMPUTED_VALUE"""),"Lisa McBride")</f>
        <v>Lisa McBride</v>
      </c>
      <c r="F8892" s="3" t="str">
        <f>IFERROR(__xludf.DUMMYFUNCTION("""COMPUTED_VALUE"""),"meadowhouse@xplornet.com")</f>
        <v>meadowhouse@xplornet.com</v>
      </c>
      <c r="G8892" s="3">
        <f>IFERROR(__xludf.DUMMYFUNCTION("""COMPUTED_VALUE"""),3.657246292E9)</f>
        <v>3657246292</v>
      </c>
      <c r="H8892" s="3"/>
    </row>
    <row r="8893">
      <c r="A8893" s="2">
        <f>IFERROR(__xludf.DUMMYFUNCTION("""COMPUTED_VALUE"""),30916.0)</f>
        <v>30916</v>
      </c>
      <c r="B8893" s="3" t="str">
        <f>IFERROR(__xludf.DUMMYFUNCTION("""COMPUTED_VALUE"""),"1651 MORGANSTON DR ")</f>
        <v>1651 MORGANSTON DR </v>
      </c>
      <c r="C8893" s="3" t="str">
        <f>IFERROR(__xludf.DUMMYFUNCTION("""COMPUTED_VALUE"""),"CASTLETON")</f>
        <v>CASTLETON</v>
      </c>
      <c r="D8893" s="3" t="str">
        <f>IFERROR(__xludf.DUMMYFUNCTION("""COMPUTED_VALUE"""),"K0K 1M0")</f>
        <v>K0K 1M0</v>
      </c>
      <c r="E8893" s="3" t="str">
        <f>IFERROR(__xludf.DUMMYFUNCTION("""COMPUTED_VALUE"""),"Raymond Cobbing")</f>
        <v>Raymond Cobbing</v>
      </c>
      <c r="F8893" s="3" t="str">
        <f>IFERROR(__xludf.DUMMYFUNCTION("""COMPUTED_VALUE"""),"N/A")</f>
        <v>N/A</v>
      </c>
      <c r="G8893" s="3">
        <f>IFERROR(__xludf.DUMMYFUNCTION("""COMPUTED_VALUE"""),9.05344784E9)</f>
        <v>9053447840</v>
      </c>
      <c r="H8893" s="3"/>
    </row>
    <row r="8894">
      <c r="A8894" s="2">
        <f>IFERROR(__xludf.DUMMYFUNCTION("""COMPUTED_VALUE"""),30920.0)</f>
        <v>30920</v>
      </c>
      <c r="B8894" s="3" t="str">
        <f>IFERROR(__xludf.DUMMYFUNCTION("""COMPUTED_VALUE"""),"106 MOUNT PLEASANT RD ")</f>
        <v>106 MOUNT PLEASANT RD </v>
      </c>
      <c r="C8894" s="3" t="str">
        <f>IFERROR(__xludf.DUMMYFUNCTION("""COMPUTED_VALUE"""),"CASTLETON")</f>
        <v>CASTLETON</v>
      </c>
      <c r="D8894" s="3" t="str">
        <f>IFERROR(__xludf.DUMMYFUNCTION("""COMPUTED_VALUE"""),"K0K 1M0")</f>
        <v>K0K 1M0</v>
      </c>
      <c r="E8894" s="3" t="str">
        <f>IFERROR(__xludf.DUMMYFUNCTION("""COMPUTED_VALUE"""),"Tyler Pariquin")</f>
        <v>Tyler Pariquin</v>
      </c>
      <c r="F8894" s="3" t="str">
        <f>IFERROR(__xludf.DUMMYFUNCTION("""COMPUTED_VALUE"""),"tyler_patriquin@hotmail.com")</f>
        <v>tyler_patriquin@hotmail.com</v>
      </c>
      <c r="G8894" s="3">
        <f>IFERROR(__xludf.DUMMYFUNCTION("""COMPUTED_VALUE"""),4.165730214E9)</f>
        <v>4165730214</v>
      </c>
      <c r="H8894" s="3"/>
    </row>
    <row r="8895">
      <c r="A8895" s="2">
        <f>IFERROR(__xludf.DUMMYFUNCTION("""COMPUTED_VALUE"""),30943.0)</f>
        <v>30943</v>
      </c>
      <c r="B8895" s="3" t="str">
        <f>IFERROR(__xludf.DUMMYFUNCTION("""COMPUTED_VALUE"""),"1199 MOUNT PLEASANT RD ")</f>
        <v>1199 MOUNT PLEASANT RD </v>
      </c>
      <c r="C8895" s="3" t="str">
        <f>IFERROR(__xludf.DUMMYFUNCTION("""COMPUTED_VALUE"""),"CASTLETON")</f>
        <v>CASTLETON</v>
      </c>
      <c r="D8895" s="3" t="str">
        <f>IFERROR(__xludf.DUMMYFUNCTION("""COMPUTED_VALUE"""),"K0K 1M0")</f>
        <v>K0K 1M0</v>
      </c>
      <c r="E8895" s="3"/>
      <c r="F8895" s="3"/>
      <c r="G8895" s="3"/>
      <c r="H8895" s="3"/>
    </row>
    <row r="8896">
      <c r="A8896" s="2">
        <f>IFERROR(__xludf.DUMMYFUNCTION("""COMPUTED_VALUE"""),30944.0)</f>
        <v>30944</v>
      </c>
      <c r="B8896" s="3" t="str">
        <f>IFERROR(__xludf.DUMMYFUNCTION("""COMPUTED_VALUE"""),"89 NEIL MCGREGOR RD ")</f>
        <v>89 NEIL MCGREGOR RD </v>
      </c>
      <c r="C8896" s="3" t="str">
        <f>IFERROR(__xludf.DUMMYFUNCTION("""COMPUTED_VALUE"""),"GRAFTON")</f>
        <v>GRAFTON</v>
      </c>
      <c r="D8896" s="3" t="str">
        <f>IFERROR(__xludf.DUMMYFUNCTION("""COMPUTED_VALUE"""),"K0K 2G0")</f>
        <v>K0K 2G0</v>
      </c>
      <c r="E8896" s="3"/>
      <c r="F8896" s="3"/>
      <c r="G8896" s="3"/>
      <c r="H8896" s="3"/>
    </row>
    <row r="8897">
      <c r="A8897" s="2">
        <f>IFERROR(__xludf.DUMMYFUNCTION("""COMPUTED_VALUE"""),30945.0)</f>
        <v>30945</v>
      </c>
      <c r="B8897" s="3" t="str">
        <f>IFERROR(__xludf.DUMMYFUNCTION("""COMPUTED_VALUE"""),"109 NEIL MCGREGOR RD ")</f>
        <v>109 NEIL MCGREGOR RD </v>
      </c>
      <c r="C8897" s="3" t="str">
        <f>IFERROR(__xludf.DUMMYFUNCTION("""COMPUTED_VALUE"""),"GRAFTON")</f>
        <v>GRAFTON</v>
      </c>
      <c r="D8897" s="3" t="str">
        <f>IFERROR(__xludf.DUMMYFUNCTION("""COMPUTED_VALUE"""),"K0K 2G0")</f>
        <v>K0K 2G0</v>
      </c>
      <c r="E8897" s="3"/>
      <c r="F8897" s="3"/>
      <c r="G8897" s="3"/>
      <c r="H8897" s="3"/>
    </row>
    <row r="8898">
      <c r="A8898" s="2">
        <f>IFERROR(__xludf.DUMMYFUNCTION("""COMPUTED_VALUE"""),30946.0)</f>
        <v>30946</v>
      </c>
      <c r="B8898" s="3" t="str">
        <f>IFERROR(__xludf.DUMMYFUNCTION("""COMPUTED_VALUE"""),"117 NEIL MCGREGOR RD ")</f>
        <v>117 NEIL MCGREGOR RD </v>
      </c>
      <c r="C8898" s="3" t="str">
        <f>IFERROR(__xludf.DUMMYFUNCTION("""COMPUTED_VALUE"""),"GRAFTON")</f>
        <v>GRAFTON</v>
      </c>
      <c r="D8898" s="3" t="str">
        <f>IFERROR(__xludf.DUMMYFUNCTION("""COMPUTED_VALUE"""),"K0K 2G0")</f>
        <v>K0K 2G0</v>
      </c>
      <c r="E8898" s="3"/>
      <c r="F8898" s="3"/>
      <c r="G8898" s="3"/>
      <c r="H8898" s="3"/>
    </row>
    <row r="8899">
      <c r="A8899" s="2">
        <f>IFERROR(__xludf.DUMMYFUNCTION("""COMPUTED_VALUE"""),30947.0)</f>
        <v>30947</v>
      </c>
      <c r="B8899" s="3" t="str">
        <f>IFERROR(__xludf.DUMMYFUNCTION("""COMPUTED_VALUE"""),"127 NEIL MCGREGOR RD ")</f>
        <v>127 NEIL MCGREGOR RD </v>
      </c>
      <c r="C8899" s="3" t="str">
        <f>IFERROR(__xludf.DUMMYFUNCTION("""COMPUTED_VALUE"""),"GRAFTON")</f>
        <v>GRAFTON</v>
      </c>
      <c r="D8899" s="3" t="str">
        <f>IFERROR(__xludf.DUMMYFUNCTION("""COMPUTED_VALUE"""),"K0K 2G0")</f>
        <v>K0K 2G0</v>
      </c>
      <c r="E8899" s="3"/>
      <c r="F8899" s="3"/>
      <c r="G8899" s="3"/>
      <c r="H8899" s="3"/>
    </row>
    <row r="8900">
      <c r="A8900" s="2">
        <f>IFERROR(__xludf.DUMMYFUNCTION("""COMPUTED_VALUE"""),30948.0)</f>
        <v>30948</v>
      </c>
      <c r="B8900" s="3" t="str">
        <f>IFERROR(__xludf.DUMMYFUNCTION("""COMPUTED_VALUE"""),"134 NEIL MCGREGOR RD ")</f>
        <v>134 NEIL MCGREGOR RD </v>
      </c>
      <c r="C8900" s="3" t="str">
        <f>IFERROR(__xludf.DUMMYFUNCTION("""COMPUTED_VALUE"""),"GRAFTON")</f>
        <v>GRAFTON</v>
      </c>
      <c r="D8900" s="3" t="str">
        <f>IFERROR(__xludf.DUMMYFUNCTION("""COMPUTED_VALUE"""),"K0K 2G0")</f>
        <v>K0K 2G0</v>
      </c>
      <c r="E8900" s="3" t="str">
        <f>IFERROR(__xludf.DUMMYFUNCTION("""COMPUTED_VALUE"""),"John Bos")</f>
        <v>John Bos</v>
      </c>
      <c r="F8900" s="3" t="str">
        <f>IFERROR(__xludf.DUMMYFUNCTION("""COMPUTED_VALUE"""),"john@xplornet.ca")</f>
        <v>john@xplornet.ca</v>
      </c>
      <c r="G8900" s="3">
        <f>IFERROR(__xludf.DUMMYFUNCTION("""COMPUTED_VALUE"""),9.053762972E9)</f>
        <v>9053762972</v>
      </c>
      <c r="H8900" s="3"/>
    </row>
    <row r="8901">
      <c r="A8901" s="2">
        <f>IFERROR(__xludf.DUMMYFUNCTION("""COMPUTED_VALUE"""),30949.0)</f>
        <v>30949</v>
      </c>
      <c r="B8901" s="3" t="str">
        <f>IFERROR(__xludf.DUMMYFUNCTION("""COMPUTED_VALUE"""),"145 NEIL MCGREGOR RD ")</f>
        <v>145 NEIL MCGREGOR RD </v>
      </c>
      <c r="C8901" s="3" t="str">
        <f>IFERROR(__xludf.DUMMYFUNCTION("""COMPUTED_VALUE"""),"GRAFTON")</f>
        <v>GRAFTON</v>
      </c>
      <c r="D8901" s="3" t="str">
        <f>IFERROR(__xludf.DUMMYFUNCTION("""COMPUTED_VALUE"""),"K0K 2G0")</f>
        <v>K0K 2G0</v>
      </c>
      <c r="E8901" s="3" t="str">
        <f>IFERROR(__xludf.DUMMYFUNCTION("""COMPUTED_VALUE"""),"Thomas Collins")</f>
        <v>Thomas Collins</v>
      </c>
      <c r="F8901" s="3" t="str">
        <f>IFERROR(__xludf.DUMMYFUNCTION("""COMPUTED_VALUE"""),"thomas.collins0@icloud.com")</f>
        <v>thomas.collins0@icloud.com</v>
      </c>
      <c r="G8901" s="3">
        <f>IFERROR(__xludf.DUMMYFUNCTION("""COMPUTED_VALUE"""),4.162300061E9)</f>
        <v>4162300061</v>
      </c>
      <c r="H8901" s="3"/>
    </row>
    <row r="8902">
      <c r="A8902" s="2">
        <f>IFERROR(__xludf.DUMMYFUNCTION("""COMPUTED_VALUE"""),30950.0)</f>
        <v>30950</v>
      </c>
      <c r="B8902" s="3" t="str">
        <f>IFERROR(__xludf.DUMMYFUNCTION("""COMPUTED_VALUE"""),"191 NEIL MCGREGOR RD ")</f>
        <v>191 NEIL MCGREGOR RD </v>
      </c>
      <c r="C8902" s="3" t="str">
        <f>IFERROR(__xludf.DUMMYFUNCTION("""COMPUTED_VALUE"""),"GRAFTON")</f>
        <v>GRAFTON</v>
      </c>
      <c r="D8902" s="3" t="str">
        <f>IFERROR(__xludf.DUMMYFUNCTION("""COMPUTED_VALUE"""),"K0K 2G0")</f>
        <v>K0K 2G0</v>
      </c>
      <c r="E8902" s="3" t="str">
        <f>IFERROR(__xludf.DUMMYFUNCTION("""COMPUTED_VALUE"""),"Ingrid Hambleton")</f>
        <v>Ingrid Hambleton</v>
      </c>
      <c r="F8902" s="3"/>
      <c r="G8902" s="3"/>
      <c r="H8902" s="3"/>
    </row>
    <row r="8903">
      <c r="A8903" s="2">
        <f>IFERROR(__xludf.DUMMYFUNCTION("""COMPUTED_VALUE"""),30951.0)</f>
        <v>30951</v>
      </c>
      <c r="B8903" s="3" t="str">
        <f>IFERROR(__xludf.DUMMYFUNCTION("""COMPUTED_VALUE"""),"200 NEIL MCGREGOR RD ")</f>
        <v>200 NEIL MCGREGOR RD </v>
      </c>
      <c r="C8903" s="3" t="str">
        <f>IFERROR(__xludf.DUMMYFUNCTION("""COMPUTED_VALUE"""),"GRAFTON")</f>
        <v>GRAFTON</v>
      </c>
      <c r="D8903" s="3" t="str">
        <f>IFERROR(__xludf.DUMMYFUNCTION("""COMPUTED_VALUE"""),"K0K 2G0")</f>
        <v>K0K 2G0</v>
      </c>
      <c r="E8903" s="3"/>
      <c r="F8903" s="3"/>
      <c r="G8903" s="3"/>
      <c r="H8903" s="3"/>
    </row>
    <row r="8904">
      <c r="A8904" s="2">
        <f>IFERROR(__xludf.DUMMYFUNCTION("""COMPUTED_VALUE"""),30952.0)</f>
        <v>30952</v>
      </c>
      <c r="B8904" s="3" t="str">
        <f>IFERROR(__xludf.DUMMYFUNCTION("""COMPUTED_VALUE"""),"238 NEIL MCGREGOR RD ")</f>
        <v>238 NEIL MCGREGOR RD </v>
      </c>
      <c r="C8904" s="3" t="str">
        <f>IFERROR(__xludf.DUMMYFUNCTION("""COMPUTED_VALUE"""),"GRAFTON")</f>
        <v>GRAFTON</v>
      </c>
      <c r="D8904" s="3" t="str">
        <f>IFERROR(__xludf.DUMMYFUNCTION("""COMPUTED_VALUE"""),"K0K 2G0")</f>
        <v>K0K 2G0</v>
      </c>
      <c r="E8904" s="3"/>
      <c r="F8904" s="3"/>
      <c r="G8904" s="3"/>
      <c r="H8904" s="3"/>
    </row>
    <row r="8905">
      <c r="A8905" s="2">
        <f>IFERROR(__xludf.DUMMYFUNCTION("""COMPUTED_VALUE"""),30953.0)</f>
        <v>30953</v>
      </c>
      <c r="B8905" s="3" t="str">
        <f>IFERROR(__xludf.DUMMYFUNCTION("""COMPUTED_VALUE"""),"101 NEWTON RD")</f>
        <v>101 NEWTON RD</v>
      </c>
      <c r="C8905" s="3"/>
      <c r="D8905" s="3"/>
      <c r="E8905" s="3"/>
      <c r="F8905" s="3"/>
      <c r="G8905" s="3"/>
      <c r="H8905" s="3"/>
    </row>
    <row r="8906">
      <c r="A8906" s="2">
        <f>IFERROR(__xludf.DUMMYFUNCTION("""COMPUTED_VALUE"""),30954.0)</f>
        <v>30954</v>
      </c>
      <c r="B8906" s="3" t="str">
        <f>IFERROR(__xludf.DUMMYFUNCTION("""COMPUTED_VALUE"""),"159 NEWTON RD ")</f>
        <v>159 NEWTON RD </v>
      </c>
      <c r="C8906" s="3" t="str">
        <f>IFERROR(__xludf.DUMMYFUNCTION("""COMPUTED_VALUE"""),"BALTIMORE")</f>
        <v>BALTIMORE</v>
      </c>
      <c r="D8906" s="3" t="str">
        <f>IFERROR(__xludf.DUMMYFUNCTION("""COMPUTED_VALUE"""),"K0K 1C0")</f>
        <v>K0K 1C0</v>
      </c>
      <c r="E8906" s="3" t="str">
        <f>IFERROR(__xludf.DUMMYFUNCTION("""COMPUTED_VALUE"""),"Audrius Vaidila")</f>
        <v>Audrius Vaidila</v>
      </c>
      <c r="F8906" s="3" t="str">
        <f>IFERROR(__xludf.DUMMYFUNCTION("""COMPUTED_VALUE"""),"audrius65@hotmail.com")</f>
        <v>audrius65@hotmail.com</v>
      </c>
      <c r="G8906" s="3">
        <f>IFERROR(__xludf.DUMMYFUNCTION("""COMPUTED_VALUE"""),4.169193117E9)</f>
        <v>4169193117</v>
      </c>
      <c r="H8906" s="3">
        <f>IFERROR(__xludf.DUMMYFUNCTION("""COMPUTED_VALUE"""),4.165775442E9)</f>
        <v>4165775442</v>
      </c>
    </row>
    <row r="8907">
      <c r="A8907" s="2">
        <f>IFERROR(__xludf.DUMMYFUNCTION("""COMPUTED_VALUE"""),30955.0)</f>
        <v>30955</v>
      </c>
      <c r="B8907" s="3" t="str">
        <f>IFERROR(__xludf.DUMMYFUNCTION("""COMPUTED_VALUE"""),"208 NEWTON RD ")</f>
        <v>208 NEWTON RD </v>
      </c>
      <c r="C8907" s="3" t="str">
        <f>IFERROR(__xludf.DUMMYFUNCTION("""COMPUTED_VALUE"""),"BALTIMORE")</f>
        <v>BALTIMORE</v>
      </c>
      <c r="D8907" s="3" t="str">
        <f>IFERROR(__xludf.DUMMYFUNCTION("""COMPUTED_VALUE"""),"K0K 1C0")</f>
        <v>K0K 1C0</v>
      </c>
      <c r="E8907" s="3"/>
      <c r="F8907" s="3"/>
      <c r="G8907" s="3"/>
      <c r="H8907" s="3"/>
    </row>
    <row r="8908">
      <c r="A8908" s="2">
        <f>IFERROR(__xludf.DUMMYFUNCTION("""COMPUTED_VALUE"""),30956.0)</f>
        <v>30956</v>
      </c>
      <c r="B8908" s="3" t="str">
        <f>IFERROR(__xludf.DUMMYFUNCTION("""COMPUTED_VALUE"""),"329 NEWTON RD ")</f>
        <v>329 NEWTON RD </v>
      </c>
      <c r="C8908" s="3" t="str">
        <f>IFERROR(__xludf.DUMMYFUNCTION("""COMPUTED_VALUE"""),"BALTIMORE")</f>
        <v>BALTIMORE</v>
      </c>
      <c r="D8908" s="3" t="str">
        <f>IFERROR(__xludf.DUMMYFUNCTION("""COMPUTED_VALUE"""),"K0K 1C0")</f>
        <v>K0K 1C0</v>
      </c>
      <c r="E8908" s="3" t="str">
        <f>IFERROR(__xludf.DUMMYFUNCTION("""COMPUTED_VALUE"""),"Katie Kennedy")</f>
        <v>Katie Kennedy</v>
      </c>
      <c r="F8908" s="3"/>
      <c r="G8908" s="3">
        <f>IFERROR(__xludf.DUMMYFUNCTION("""COMPUTED_VALUE"""),9.053968865E9)</f>
        <v>9053968865</v>
      </c>
      <c r="H8908" s="3"/>
    </row>
    <row r="8909">
      <c r="A8909" s="2">
        <f>IFERROR(__xludf.DUMMYFUNCTION("""COMPUTED_VALUE"""),30957.0)</f>
        <v>30957</v>
      </c>
      <c r="B8909" s="3" t="str">
        <f>IFERROR(__xludf.DUMMYFUNCTION("""COMPUTED_VALUE"""),"421 NEWTON RD ")</f>
        <v>421 NEWTON RD </v>
      </c>
      <c r="C8909" s="3" t="str">
        <f>IFERROR(__xludf.DUMMYFUNCTION("""COMPUTED_VALUE"""),"BALTIMORE")</f>
        <v>BALTIMORE</v>
      </c>
      <c r="D8909" s="3" t="str">
        <f>IFERROR(__xludf.DUMMYFUNCTION("""COMPUTED_VALUE"""),"K0K 1C0")</f>
        <v>K0K 1C0</v>
      </c>
      <c r="E8909" s="3" t="str">
        <f>IFERROR(__xludf.DUMMYFUNCTION("""COMPUTED_VALUE"""),"Andrew McCormick")</f>
        <v>Andrew McCormick</v>
      </c>
      <c r="F8909" s="3" t="str">
        <f>IFERROR(__xludf.DUMMYFUNCTION("""COMPUTED_VALUE"""),"andrewjmccormick@hotmail.com")</f>
        <v>andrewjmccormick@hotmail.com</v>
      </c>
      <c r="G8909" s="3"/>
      <c r="H8909" s="3"/>
    </row>
    <row r="8910">
      <c r="A8910" s="2">
        <f>IFERROR(__xludf.DUMMYFUNCTION("""COMPUTED_VALUE"""),30958.0)</f>
        <v>30958</v>
      </c>
      <c r="B8910" s="3" t="str">
        <f>IFERROR(__xludf.DUMMYFUNCTION("""COMPUTED_VALUE"""),"427 NEWTON RD ")</f>
        <v>427 NEWTON RD </v>
      </c>
      <c r="C8910" s="3" t="str">
        <f>IFERROR(__xludf.DUMMYFUNCTION("""COMPUTED_VALUE"""),"BALTIMORE")</f>
        <v>BALTIMORE</v>
      </c>
      <c r="D8910" s="3" t="str">
        <f>IFERROR(__xludf.DUMMYFUNCTION("""COMPUTED_VALUE"""),"K0K 1C0")</f>
        <v>K0K 1C0</v>
      </c>
      <c r="E8910" s="3" t="str">
        <f>IFERROR(__xludf.DUMMYFUNCTION("""COMPUTED_VALUE"""),"Ken Ellis")</f>
        <v>Ken Ellis</v>
      </c>
      <c r="F8910" s="3" t="str">
        <f>IFERROR(__xludf.DUMMYFUNCTION("""COMPUTED_VALUE"""),"N/A")</f>
        <v>N/A</v>
      </c>
      <c r="G8910" s="3">
        <f>IFERROR(__xludf.DUMMYFUNCTION("""COMPUTED_VALUE"""),2.898290776E9)</f>
        <v>2898290776</v>
      </c>
      <c r="H8910" s="3"/>
    </row>
    <row r="8911">
      <c r="A8911" s="2">
        <f>IFERROR(__xludf.DUMMYFUNCTION("""COMPUTED_VALUE"""),30959.0)</f>
        <v>30959</v>
      </c>
      <c r="B8911" s="3" t="str">
        <f>IFERROR(__xludf.DUMMYFUNCTION("""COMPUTED_VALUE"""),"488 NEWTON RD ")</f>
        <v>488 NEWTON RD </v>
      </c>
      <c r="C8911" s="3" t="str">
        <f>IFERROR(__xludf.DUMMYFUNCTION("""COMPUTED_VALUE"""),"BALTIMORE")</f>
        <v>BALTIMORE</v>
      </c>
      <c r="D8911" s="3" t="str">
        <f>IFERROR(__xludf.DUMMYFUNCTION("""COMPUTED_VALUE"""),"K0K 1C0")</f>
        <v>K0K 1C0</v>
      </c>
      <c r="E8911" s="3" t="str">
        <f>IFERROR(__xludf.DUMMYFUNCTION("""COMPUTED_VALUE"""),"Germaine Cachia")</f>
        <v>Germaine Cachia</v>
      </c>
      <c r="F8911" s="3"/>
      <c r="G8911" s="3"/>
      <c r="H8911" s="3"/>
    </row>
    <row r="8912">
      <c r="A8912" s="2">
        <f>IFERROR(__xludf.DUMMYFUNCTION("""COMPUTED_VALUE"""),30962.0)</f>
        <v>30962</v>
      </c>
      <c r="B8912" s="3" t="str">
        <f>IFERROR(__xludf.DUMMYFUNCTION("""COMPUTED_VALUE"""),"758 NORTH BURNS RD ")</f>
        <v>758 NORTH BURNS RD </v>
      </c>
      <c r="C8912" s="3" t="str">
        <f>IFERROR(__xludf.DUMMYFUNCTION("""COMPUTED_VALUE"""),"BALTIMORE")</f>
        <v>BALTIMORE</v>
      </c>
      <c r="D8912" s="3" t="str">
        <f>IFERROR(__xludf.DUMMYFUNCTION("""COMPUTED_VALUE"""),"K0K 1C0")</f>
        <v>K0K 1C0</v>
      </c>
      <c r="E8912" s="3" t="str">
        <f>IFERROR(__xludf.DUMMYFUNCTION("""COMPUTED_VALUE"""),"Jennet &amp; David Bilcox")</f>
        <v>Jennet &amp; David Bilcox</v>
      </c>
      <c r="F8912" s="3"/>
      <c r="G8912" s="3">
        <f>IFERROR(__xludf.DUMMYFUNCTION("""COMPUTED_VALUE"""),9.053493545E9)</f>
        <v>9053493545</v>
      </c>
      <c r="H8912" s="3"/>
    </row>
    <row r="8913">
      <c r="A8913" s="2">
        <f>IFERROR(__xludf.DUMMYFUNCTION("""COMPUTED_VALUE"""),30963.0)</f>
        <v>30963</v>
      </c>
      <c r="B8913" s="3" t="str">
        <f>IFERROR(__xludf.DUMMYFUNCTION("""COMPUTED_VALUE"""),"784 NORTH BURNS RD ")</f>
        <v>784 NORTH BURNS RD </v>
      </c>
      <c r="C8913" s="3" t="str">
        <f>IFERROR(__xludf.DUMMYFUNCTION("""COMPUTED_VALUE"""),"BALTIMORE")</f>
        <v>BALTIMORE</v>
      </c>
      <c r="D8913" s="3" t="str">
        <f>IFERROR(__xludf.DUMMYFUNCTION("""COMPUTED_VALUE"""),"K0K 1C0")</f>
        <v>K0K 1C0</v>
      </c>
      <c r="E8913" s="3" t="str">
        <f>IFERROR(__xludf.DUMMYFUNCTION("""COMPUTED_VALUE"""),"LORI MACLEOD")</f>
        <v>LORI MACLEOD</v>
      </c>
      <c r="F8913" s="3" t="str">
        <f>IFERROR(__xludf.DUMMYFUNCTION("""COMPUTED_VALUE"""),"lori.macleod@hotmail.com")</f>
        <v>lori.macleod@hotmail.com</v>
      </c>
      <c r="G8913" s="3"/>
      <c r="H8913" s="3"/>
    </row>
    <row r="8914">
      <c r="A8914" s="2">
        <f>IFERROR(__xludf.DUMMYFUNCTION("""COMPUTED_VALUE"""),30964.0)</f>
        <v>30964</v>
      </c>
      <c r="B8914" s="3" t="str">
        <f>IFERROR(__xludf.DUMMYFUNCTION("""COMPUTED_VALUE"""),"795 NORTH BURNS RD")</f>
        <v>795 NORTH BURNS RD</v>
      </c>
      <c r="C8914" s="3" t="str">
        <f>IFERROR(__xludf.DUMMYFUNCTION("""COMPUTED_VALUE"""),"BALTIMORE")</f>
        <v>BALTIMORE</v>
      </c>
      <c r="D8914" s="3" t="str">
        <f>IFERROR(__xludf.DUMMYFUNCTION("""COMPUTED_VALUE"""),"K0K 1C0")</f>
        <v>K0K 1C0</v>
      </c>
      <c r="E8914" s="3" t="str">
        <f>IFERROR(__xludf.DUMMYFUNCTION("""COMPUTED_VALUE"""),"Erin Prentice")</f>
        <v>Erin Prentice</v>
      </c>
      <c r="F8914" s="3" t="str">
        <f>IFERROR(__xludf.DUMMYFUNCTION("""COMPUTED_VALUE"""),"aeprentice@hotmail.com")</f>
        <v>aeprentice@hotmail.com</v>
      </c>
      <c r="G8914" s="3">
        <f>IFERROR(__xludf.DUMMYFUNCTION("""COMPUTED_VALUE"""),9.053760285E9)</f>
        <v>9053760285</v>
      </c>
      <c r="H8914" s="3">
        <f>IFERROR(__xludf.DUMMYFUNCTION("""COMPUTED_VALUE"""),9.053760028E9)</f>
        <v>9053760028</v>
      </c>
    </row>
    <row r="8915">
      <c r="A8915" s="2">
        <f>IFERROR(__xludf.DUMMYFUNCTION("""COMPUTED_VALUE"""),30965.0)</f>
        <v>30965</v>
      </c>
      <c r="B8915" s="3" t="str">
        <f>IFERROR(__xludf.DUMMYFUNCTION("""COMPUTED_VALUE"""),"807 NORTH BURNS RD ")</f>
        <v>807 NORTH BURNS RD </v>
      </c>
      <c r="C8915" s="3" t="str">
        <f>IFERROR(__xludf.DUMMYFUNCTION("""COMPUTED_VALUE"""),"BALTIMORE")</f>
        <v>BALTIMORE</v>
      </c>
      <c r="D8915" s="3" t="str">
        <f>IFERROR(__xludf.DUMMYFUNCTION("""COMPUTED_VALUE"""),"K0K 1C0")</f>
        <v>K0K 1C0</v>
      </c>
      <c r="E8915" s="3" t="str">
        <f>IFERROR(__xludf.DUMMYFUNCTION("""COMPUTED_VALUE"""),"Berry Davey")</f>
        <v>Berry Davey</v>
      </c>
      <c r="F8915" s="3"/>
      <c r="G8915" s="3">
        <f>IFERROR(__xludf.DUMMYFUNCTION("""COMPUTED_VALUE"""),9.053493737E9)</f>
        <v>9053493737</v>
      </c>
      <c r="H8915" s="3"/>
    </row>
    <row r="8916">
      <c r="A8916" s="2">
        <f>IFERROR(__xludf.DUMMYFUNCTION("""COMPUTED_VALUE"""),30966.0)</f>
        <v>30966</v>
      </c>
      <c r="B8916" s="3" t="str">
        <f>IFERROR(__xludf.DUMMYFUNCTION("""COMPUTED_VALUE"""),"846 NORTH BURNS RD ")</f>
        <v>846 NORTH BURNS RD </v>
      </c>
      <c r="C8916" s="3" t="str">
        <f>IFERROR(__xludf.DUMMYFUNCTION("""COMPUTED_VALUE"""),"BALTIMORE")</f>
        <v>BALTIMORE</v>
      </c>
      <c r="D8916" s="3" t="str">
        <f>IFERROR(__xludf.DUMMYFUNCTION("""COMPUTED_VALUE"""),"K0K 1C0")</f>
        <v>K0K 1C0</v>
      </c>
      <c r="E8916" s="3" t="str">
        <f>IFERROR(__xludf.DUMMYFUNCTION("""COMPUTED_VALUE"""),"Carlo Divenanzo")</f>
        <v>Carlo Divenanzo</v>
      </c>
      <c r="F8916" s="3" t="str">
        <f>IFERROR(__xludf.DUMMYFUNCTION("""COMPUTED_VALUE"""),"cdivenanzo@gmail.com")</f>
        <v>cdivenanzo@gmail.com</v>
      </c>
      <c r="G8916" s="3"/>
      <c r="H8916" s="3"/>
    </row>
    <row r="8917">
      <c r="A8917" s="2">
        <f>IFERROR(__xludf.DUMMYFUNCTION("""COMPUTED_VALUE"""),30967.0)</f>
        <v>30967</v>
      </c>
      <c r="B8917" s="3" t="str">
        <f>IFERROR(__xludf.DUMMYFUNCTION("""COMPUTED_VALUE"""),"857 NORTH BURNS RD ")</f>
        <v>857 NORTH BURNS RD </v>
      </c>
      <c r="C8917" s="3" t="str">
        <f>IFERROR(__xludf.DUMMYFUNCTION("""COMPUTED_VALUE"""),"BALTIMORE")</f>
        <v>BALTIMORE</v>
      </c>
      <c r="D8917" s="3" t="str">
        <f>IFERROR(__xludf.DUMMYFUNCTION("""COMPUTED_VALUE"""),"K0K 1C0")</f>
        <v>K0K 1C0</v>
      </c>
      <c r="E8917" s="3"/>
      <c r="F8917" s="3"/>
      <c r="G8917" s="3"/>
      <c r="H8917" s="3"/>
    </row>
    <row r="8918">
      <c r="A8918" s="2">
        <f>IFERROR(__xludf.DUMMYFUNCTION("""COMPUTED_VALUE"""),30968.0)</f>
        <v>30968</v>
      </c>
      <c r="B8918" s="3" t="str">
        <f>IFERROR(__xludf.DUMMYFUNCTION("""COMPUTED_VALUE"""),"873 NORTH BURNS RD ")</f>
        <v>873 NORTH BURNS RD </v>
      </c>
      <c r="C8918" s="3" t="str">
        <f>IFERROR(__xludf.DUMMYFUNCTION("""COMPUTED_VALUE"""),"BALTIMORE")</f>
        <v>BALTIMORE</v>
      </c>
      <c r="D8918" s="3" t="str">
        <f>IFERROR(__xludf.DUMMYFUNCTION("""COMPUTED_VALUE"""),"K0K 1C0")</f>
        <v>K0K 1C0</v>
      </c>
      <c r="E8918" s="3" t="str">
        <f>IFERROR(__xludf.DUMMYFUNCTION("""COMPUTED_VALUE"""),"Clarke German")</f>
        <v>Clarke German</v>
      </c>
      <c r="F8918" s="3" t="str">
        <f>IFERROR(__xludf.DUMMYFUNCTION("""COMPUTED_VALUE"""),"lazymycroft@gmail.com")</f>
        <v>lazymycroft@gmail.com</v>
      </c>
      <c r="G8918" s="3">
        <f>IFERROR(__xludf.DUMMYFUNCTION("""COMPUTED_VALUE"""),9.052693345E9)</f>
        <v>9052693345</v>
      </c>
      <c r="H8918" s="3">
        <f>IFERROR(__xludf.DUMMYFUNCTION("""COMPUTED_VALUE"""),9.053764205E9)</f>
        <v>9053764205</v>
      </c>
    </row>
    <row r="8919">
      <c r="A8919" s="2">
        <f>IFERROR(__xludf.DUMMYFUNCTION("""COMPUTED_VALUE"""),30969.0)</f>
        <v>30969</v>
      </c>
      <c r="B8919" s="3" t="str">
        <f>IFERROR(__xludf.DUMMYFUNCTION("""COMPUTED_VALUE"""),"903 NORTH BURNS RD ")</f>
        <v>903 NORTH BURNS RD </v>
      </c>
      <c r="C8919" s="3" t="str">
        <f>IFERROR(__xludf.DUMMYFUNCTION("""COMPUTED_VALUE"""),"BALTIMORE")</f>
        <v>BALTIMORE</v>
      </c>
      <c r="D8919" s="3" t="str">
        <f>IFERROR(__xludf.DUMMYFUNCTION("""COMPUTED_VALUE"""),"K0K 1C0")</f>
        <v>K0K 1C0</v>
      </c>
      <c r="E8919" s="3" t="str">
        <f>IFERROR(__xludf.DUMMYFUNCTION("""COMPUTED_VALUE"""),"Mark Flegg")</f>
        <v>Mark Flegg</v>
      </c>
      <c r="F8919" s="3" t="str">
        <f>IFERROR(__xludf.DUMMYFUNCTION("""COMPUTED_VALUE"""),"mark10flegg@gmail.com")</f>
        <v>mark10flegg@gmail.com</v>
      </c>
      <c r="G8919" s="3"/>
      <c r="H8919" s="3"/>
    </row>
    <row r="8920">
      <c r="A8920" s="2">
        <f>IFERROR(__xludf.DUMMYFUNCTION("""COMPUTED_VALUE"""),30970.0)</f>
        <v>30970</v>
      </c>
      <c r="B8920" s="3" t="str">
        <f>IFERROR(__xludf.DUMMYFUNCTION("""COMPUTED_VALUE"""),"914 NORTH BURNS RD ")</f>
        <v>914 NORTH BURNS RD </v>
      </c>
      <c r="C8920" s="3" t="str">
        <f>IFERROR(__xludf.DUMMYFUNCTION("""COMPUTED_VALUE"""),"BALTIMORE")</f>
        <v>BALTIMORE</v>
      </c>
      <c r="D8920" s="3" t="str">
        <f>IFERROR(__xludf.DUMMYFUNCTION("""COMPUTED_VALUE"""),"K0K 1C0")</f>
        <v>K0K 1C0</v>
      </c>
      <c r="E8920" s="3"/>
      <c r="F8920" s="3"/>
      <c r="G8920" s="3"/>
      <c r="H8920" s="3"/>
    </row>
    <row r="8921">
      <c r="A8921" s="2">
        <f>IFERROR(__xludf.DUMMYFUNCTION("""COMPUTED_VALUE"""),30971.0)</f>
        <v>30971</v>
      </c>
      <c r="B8921" s="3" t="str">
        <f>IFERROR(__xludf.DUMMYFUNCTION("""COMPUTED_VALUE"""),"937 NORTH BURNS RD ")</f>
        <v>937 NORTH BURNS RD </v>
      </c>
      <c r="C8921" s="3" t="str">
        <f>IFERROR(__xludf.DUMMYFUNCTION("""COMPUTED_VALUE"""),"BALTIMORE")</f>
        <v>BALTIMORE</v>
      </c>
      <c r="D8921" s="3" t="str">
        <f>IFERROR(__xludf.DUMMYFUNCTION("""COMPUTED_VALUE"""),"K0K 1C0")</f>
        <v>K0K 1C0</v>
      </c>
      <c r="E8921" s="3" t="str">
        <f>IFERROR(__xludf.DUMMYFUNCTION("""COMPUTED_VALUE"""),"Ronald Bykiv")</f>
        <v>Ronald Bykiv</v>
      </c>
      <c r="F8921" s="3"/>
      <c r="G8921" s="3">
        <f>IFERROR(__xludf.DUMMYFUNCTION("""COMPUTED_VALUE"""),9.055711144E9)</f>
        <v>9055711144</v>
      </c>
      <c r="H8921" s="3"/>
    </row>
    <row r="8922">
      <c r="A8922" s="2">
        <f>IFERROR(__xludf.DUMMYFUNCTION("""COMPUTED_VALUE"""),30973.0)</f>
        <v>30973</v>
      </c>
      <c r="B8922" s="3" t="str">
        <f>IFERROR(__xludf.DUMMYFUNCTION("""COMPUTED_VALUE"""),"105 NORTHUMBERLAND HEIGHTS RD ")</f>
        <v>105 NORTHUMBERLAND HEIGHTS RD </v>
      </c>
      <c r="C8922" s="3" t="str">
        <f>IFERROR(__xludf.DUMMYFUNCTION("""COMPUTED_VALUE"""),"COBOURG")</f>
        <v>COBOURG</v>
      </c>
      <c r="D8922" s="3" t="str">
        <f>IFERROR(__xludf.DUMMYFUNCTION("""COMPUTED_VALUE"""),"K9A 4J8")</f>
        <v>K9A 4J8</v>
      </c>
      <c r="E8922" s="3"/>
      <c r="F8922" s="3"/>
      <c r="G8922" s="3"/>
      <c r="H8922" s="3"/>
    </row>
    <row r="8923">
      <c r="A8923" s="2">
        <f>IFERROR(__xludf.DUMMYFUNCTION("""COMPUTED_VALUE"""),30974.0)</f>
        <v>30974</v>
      </c>
      <c r="B8923" s="3" t="str">
        <f>IFERROR(__xludf.DUMMYFUNCTION("""COMPUTED_VALUE"""),"219 NORTHUMBERLAND HEIGHTS RD ")</f>
        <v>219 NORTHUMBERLAND HEIGHTS RD </v>
      </c>
      <c r="C8923" s="3" t="str">
        <f>IFERROR(__xludf.DUMMYFUNCTION("""COMPUTED_VALUE"""),"COBOURG")</f>
        <v>COBOURG</v>
      </c>
      <c r="D8923" s="3" t="str">
        <f>IFERROR(__xludf.DUMMYFUNCTION("""COMPUTED_VALUE"""),"K9A 4J8")</f>
        <v>K9A 4J8</v>
      </c>
      <c r="E8923" s="3" t="str">
        <f>IFERROR(__xludf.DUMMYFUNCTION("""COMPUTED_VALUE"""),"Eric Dupuis")</f>
        <v>Eric Dupuis</v>
      </c>
      <c r="F8923" s="3" t="str">
        <f>IFERROR(__xludf.DUMMYFUNCTION("""COMPUTED_VALUE"""),"ericdup123@hotmail.com")</f>
        <v>ericdup123@hotmail.com</v>
      </c>
      <c r="G8923" s="3"/>
      <c r="H8923" s="3"/>
    </row>
    <row r="8924">
      <c r="A8924" s="2">
        <f>IFERROR(__xludf.DUMMYFUNCTION("""COMPUTED_VALUE"""),30975.0)</f>
        <v>30975</v>
      </c>
      <c r="B8924" s="3" t="str">
        <f>IFERROR(__xludf.DUMMYFUNCTION("""COMPUTED_VALUE"""),"473 NORTHUMBERLAND HEIGHTS RD ")</f>
        <v>473 NORTHUMBERLAND HEIGHTS RD </v>
      </c>
      <c r="C8924" s="3" t="str">
        <f>IFERROR(__xludf.DUMMYFUNCTION("""COMPUTED_VALUE"""),"COBOURG")</f>
        <v>COBOURG</v>
      </c>
      <c r="D8924" s="3" t="str">
        <f>IFERROR(__xludf.DUMMYFUNCTION("""COMPUTED_VALUE"""),"K9A 4J8")</f>
        <v>K9A 4J8</v>
      </c>
      <c r="E8924" s="3"/>
      <c r="F8924" s="3"/>
      <c r="G8924" s="3"/>
      <c r="H8924" s="3"/>
    </row>
    <row r="8925">
      <c r="A8925" s="2">
        <f>IFERROR(__xludf.DUMMYFUNCTION("""COMPUTED_VALUE"""),30976.0)</f>
        <v>30976</v>
      </c>
      <c r="B8925" s="3" t="str">
        <f>IFERROR(__xludf.DUMMYFUNCTION("""COMPUTED_VALUE"""),"530 NORTHUMBERLAND HEIGHTS RD ")</f>
        <v>530 NORTHUMBERLAND HEIGHTS RD </v>
      </c>
      <c r="C8925" s="3" t="str">
        <f>IFERROR(__xludf.DUMMYFUNCTION("""COMPUTED_VALUE"""),"COBOURG")</f>
        <v>COBOURG</v>
      </c>
      <c r="D8925" s="3" t="str">
        <f>IFERROR(__xludf.DUMMYFUNCTION("""COMPUTED_VALUE"""),"K9A 4J8")</f>
        <v>K9A 4J8</v>
      </c>
      <c r="E8925" s="3"/>
      <c r="F8925" s="3"/>
      <c r="G8925" s="3"/>
      <c r="H8925" s="3"/>
    </row>
    <row r="8926">
      <c r="A8926" s="2">
        <f>IFERROR(__xludf.DUMMYFUNCTION("""COMPUTED_VALUE"""),30977.0)</f>
        <v>30977</v>
      </c>
      <c r="B8926" s="3" t="str">
        <f>IFERROR(__xludf.DUMMYFUNCTION("""COMPUTED_VALUE"""),"534 NORTHUMBERLAND HEIGHTS RD ")</f>
        <v>534 NORTHUMBERLAND HEIGHTS RD </v>
      </c>
      <c r="C8926" s="3" t="str">
        <f>IFERROR(__xludf.DUMMYFUNCTION("""COMPUTED_VALUE"""),"COBOURG")</f>
        <v>COBOURG</v>
      </c>
      <c r="D8926" s="3" t="str">
        <f>IFERROR(__xludf.DUMMYFUNCTION("""COMPUTED_VALUE"""),"K9A 4J8")</f>
        <v>K9A 4J8</v>
      </c>
      <c r="E8926" s="3"/>
      <c r="F8926" s="3"/>
      <c r="G8926" s="3"/>
      <c r="H8926" s="3"/>
    </row>
    <row r="8927">
      <c r="A8927" s="2">
        <f>IFERROR(__xludf.DUMMYFUNCTION("""COMPUTED_VALUE"""),30978.0)</f>
        <v>30978</v>
      </c>
      <c r="B8927" s="3" t="str">
        <f>IFERROR(__xludf.DUMMYFUNCTION("""COMPUTED_VALUE"""),"569 NORTHUMBERLAND HEIGHTS RD ")</f>
        <v>569 NORTHUMBERLAND HEIGHTS RD </v>
      </c>
      <c r="C8927" s="3" t="str">
        <f>IFERROR(__xludf.DUMMYFUNCTION("""COMPUTED_VALUE"""),"COBOURG")</f>
        <v>COBOURG</v>
      </c>
      <c r="D8927" s="3" t="str">
        <f>IFERROR(__xludf.DUMMYFUNCTION("""COMPUTED_VALUE"""),"K9A 4J8")</f>
        <v>K9A 4J8</v>
      </c>
      <c r="E8927" s="3" t="str">
        <f>IFERROR(__xludf.DUMMYFUNCTION("""COMPUTED_VALUE"""),"William Grice")</f>
        <v>William Grice</v>
      </c>
      <c r="F8927" s="3" t="str">
        <f>IFERROR(__xludf.DUMMYFUNCTION("""COMPUTED_VALUE"""),"wonka67@live.com")</f>
        <v>wonka67@live.com</v>
      </c>
      <c r="G8927" s="3"/>
      <c r="H8927" s="3"/>
    </row>
    <row r="8928">
      <c r="A8928" s="2">
        <f>IFERROR(__xludf.DUMMYFUNCTION("""COMPUTED_VALUE"""),30979.0)</f>
        <v>30979</v>
      </c>
      <c r="B8928" s="3" t="str">
        <f>IFERROR(__xludf.DUMMYFUNCTION("""COMPUTED_VALUE"""),"573 NORTHUMBERLAND HEIGHTS RD ")</f>
        <v>573 NORTHUMBERLAND HEIGHTS RD </v>
      </c>
      <c r="C8928" s="3" t="str">
        <f>IFERROR(__xludf.DUMMYFUNCTION("""COMPUTED_VALUE"""),"BALTIMORE")</f>
        <v>BALTIMORE</v>
      </c>
      <c r="D8928" s="3" t="str">
        <f>IFERROR(__xludf.DUMMYFUNCTION("""COMPUTED_VALUE"""),"K9A 4J8")</f>
        <v>K9A 4J8</v>
      </c>
      <c r="E8928" s="3" t="str">
        <f>IFERROR(__xludf.DUMMYFUNCTION("""COMPUTED_VALUE"""),"DWIGHT JENKINS")</f>
        <v>DWIGHT JENKINS</v>
      </c>
      <c r="F8928" s="3" t="str">
        <f>IFERROR(__xludf.DUMMYFUNCTION("""COMPUTED_VALUE"""),"djenkins47@live.ca")</f>
        <v>djenkins47@live.ca</v>
      </c>
      <c r="G8928" s="3"/>
      <c r="H8928" s="3"/>
    </row>
    <row r="8929">
      <c r="A8929" s="2">
        <f>IFERROR(__xludf.DUMMYFUNCTION("""COMPUTED_VALUE"""),30980.0)</f>
        <v>30980</v>
      </c>
      <c r="B8929" s="3" t="str">
        <f>IFERROR(__xludf.DUMMYFUNCTION("""COMPUTED_VALUE"""),"631 NORTHUMBERLAND HEIGHTS RD ")</f>
        <v>631 NORTHUMBERLAND HEIGHTS RD </v>
      </c>
      <c r="C8929" s="3" t="str">
        <f>IFERROR(__xludf.DUMMYFUNCTION("""COMPUTED_VALUE"""),"COBOURG")</f>
        <v>COBOURG</v>
      </c>
      <c r="D8929" s="3" t="str">
        <f>IFERROR(__xludf.DUMMYFUNCTION("""COMPUTED_VALUE"""),"K9A 4J8")</f>
        <v>K9A 4J8</v>
      </c>
      <c r="E8929" s="3" t="str">
        <f>IFERROR(__xludf.DUMMYFUNCTION("""COMPUTED_VALUE"""),"Robert Coleman")</f>
        <v>Robert Coleman</v>
      </c>
      <c r="F8929" s="3" t="str">
        <f>IFERROR(__xludf.DUMMYFUNCTION("""COMPUTED_VALUE"""),"arabians@cayusecreekranch.com")</f>
        <v>arabians@cayusecreekranch.com</v>
      </c>
      <c r="G8929" s="3">
        <f>IFERROR(__xludf.DUMMYFUNCTION("""COMPUTED_VALUE"""),1.7059172316E10)</f>
        <v>17059172316</v>
      </c>
      <c r="H8929" s="3">
        <f>IFERROR(__xludf.DUMMYFUNCTION("""COMPUTED_VALUE"""),1.7059172314E10)</f>
        <v>17059172314</v>
      </c>
    </row>
    <row r="8930">
      <c r="A8930" s="2">
        <f>IFERROR(__xludf.DUMMYFUNCTION("""COMPUTED_VALUE"""),30981.0)</f>
        <v>30981</v>
      </c>
      <c r="B8930" s="3" t="str">
        <f>IFERROR(__xludf.DUMMYFUNCTION("""COMPUTED_VALUE"""),"635 NORTHUMBERLAND HEIGHTS RD ")</f>
        <v>635 NORTHUMBERLAND HEIGHTS RD </v>
      </c>
      <c r="C8930" s="3" t="str">
        <f>IFERROR(__xludf.DUMMYFUNCTION("""COMPUTED_VALUE"""),"COBOURG")</f>
        <v>COBOURG</v>
      </c>
      <c r="D8930" s="3" t="str">
        <f>IFERROR(__xludf.DUMMYFUNCTION("""COMPUTED_VALUE"""),"K9A 4J8")</f>
        <v>K9A 4J8</v>
      </c>
      <c r="E8930" s="3" t="str">
        <f>IFERROR(__xludf.DUMMYFUNCTION("""COMPUTED_VALUE"""),"Erin Dolan-Jenkins")</f>
        <v>Erin Dolan-Jenkins</v>
      </c>
      <c r="F8930" s="3" t="str">
        <f>IFERROR(__xludf.DUMMYFUNCTION("""COMPUTED_VALUE"""),"erinkd76@hotmail.com")</f>
        <v>erinkd76@hotmail.com</v>
      </c>
      <c r="G8930" s="3">
        <f>IFERROR(__xludf.DUMMYFUNCTION("""COMPUTED_VALUE"""),9.053960986E9)</f>
        <v>9053960986</v>
      </c>
      <c r="H8930" s="3"/>
    </row>
    <row r="8931">
      <c r="A8931" s="2">
        <f>IFERROR(__xludf.DUMMYFUNCTION("""COMPUTED_VALUE"""),30982.0)</f>
        <v>30982</v>
      </c>
      <c r="B8931" s="3" t="str">
        <f>IFERROR(__xludf.DUMMYFUNCTION("""COMPUTED_VALUE"""),"639 NORTHUMBERLAND HEIGHTS RD ")</f>
        <v>639 NORTHUMBERLAND HEIGHTS RD </v>
      </c>
      <c r="C8931" s="3" t="str">
        <f>IFERROR(__xludf.DUMMYFUNCTION("""COMPUTED_VALUE"""),"COBOURG")</f>
        <v>COBOURG</v>
      </c>
      <c r="D8931" s="3" t="str">
        <f>IFERROR(__xludf.DUMMYFUNCTION("""COMPUTED_VALUE"""),"K9A 4J8")</f>
        <v>K9A 4J8</v>
      </c>
      <c r="E8931" s="3"/>
      <c r="F8931" s="3"/>
      <c r="G8931" s="3"/>
      <c r="H8931" s="3"/>
    </row>
    <row r="8932">
      <c r="A8932" s="2">
        <f>IFERROR(__xludf.DUMMYFUNCTION("""COMPUTED_VALUE"""),30983.0)</f>
        <v>30983</v>
      </c>
      <c r="B8932" s="3" t="str">
        <f>IFERROR(__xludf.DUMMYFUNCTION("""COMPUTED_VALUE"""),"672 NORTHUMBERLAND HEIGHTS RD ")</f>
        <v>672 NORTHUMBERLAND HEIGHTS RD </v>
      </c>
      <c r="C8932" s="3" t="str">
        <f>IFERROR(__xludf.DUMMYFUNCTION("""COMPUTED_VALUE"""),"COBOURG")</f>
        <v>COBOURG</v>
      </c>
      <c r="D8932" s="3" t="str">
        <f>IFERROR(__xludf.DUMMYFUNCTION("""COMPUTED_VALUE"""),"K9A 4J8")</f>
        <v>K9A 4J8</v>
      </c>
      <c r="E8932" s="3" t="str">
        <f>IFERROR(__xludf.DUMMYFUNCTION("""COMPUTED_VALUE"""),"ROCKY YDE")</f>
        <v>ROCKY YDE</v>
      </c>
      <c r="F8932" s="3" t="str">
        <f>IFERROR(__xludf.DUMMYFUNCTION("""COMPUTED_VALUE"""),"rockyfish19@gmail.com")</f>
        <v>rockyfish19@gmail.com</v>
      </c>
      <c r="G8932" s="3"/>
      <c r="H8932" s="3"/>
    </row>
    <row r="8933">
      <c r="A8933" s="2">
        <f>IFERROR(__xludf.DUMMYFUNCTION("""COMPUTED_VALUE"""),30984.0)</f>
        <v>30984</v>
      </c>
      <c r="B8933" s="3" t="str">
        <f>IFERROR(__xludf.DUMMYFUNCTION("""COMPUTED_VALUE"""),"699 NORTHUMBERLAND HEIGHTS RD ")</f>
        <v>699 NORTHUMBERLAND HEIGHTS RD </v>
      </c>
      <c r="C8933" s="3" t="str">
        <f>IFERROR(__xludf.DUMMYFUNCTION("""COMPUTED_VALUE"""),"COBOURG")</f>
        <v>COBOURG</v>
      </c>
      <c r="D8933" s="3" t="str">
        <f>IFERROR(__xludf.DUMMYFUNCTION("""COMPUTED_VALUE"""),"K9A 4J8")</f>
        <v>K9A 4J8</v>
      </c>
      <c r="E8933" s="3" t="str">
        <f>IFERROR(__xludf.DUMMYFUNCTION("""COMPUTED_VALUE"""),"Sylvain Ethier")</f>
        <v>Sylvain Ethier</v>
      </c>
      <c r="F8933" s="3" t="str">
        <f>IFERROR(__xludf.DUMMYFUNCTION("""COMPUTED_VALUE"""),"slyethier1970@gmail.comm")</f>
        <v>slyethier1970@gmail.comm</v>
      </c>
      <c r="G8933" s="3">
        <f>IFERROR(__xludf.DUMMYFUNCTION("""COMPUTED_VALUE"""),9.054423164E9)</f>
        <v>9054423164</v>
      </c>
      <c r="H8933" s="3"/>
    </row>
    <row r="8934">
      <c r="A8934" s="2">
        <f>IFERROR(__xludf.DUMMYFUNCTION("""COMPUTED_VALUE"""),30985.0)</f>
        <v>30985</v>
      </c>
      <c r="B8934" s="3" t="str">
        <f>IFERROR(__xludf.DUMMYFUNCTION("""COMPUTED_VALUE"""),"707 NORTHUMBERLAND HEIGHTS RD ")</f>
        <v>707 NORTHUMBERLAND HEIGHTS RD </v>
      </c>
      <c r="C8934" s="3" t="str">
        <f>IFERROR(__xludf.DUMMYFUNCTION("""COMPUTED_VALUE"""),"COBOURG")</f>
        <v>COBOURG</v>
      </c>
      <c r="D8934" s="3" t="str">
        <f>IFERROR(__xludf.DUMMYFUNCTION("""COMPUTED_VALUE"""),"K9A 4J8")</f>
        <v>K9A 4J8</v>
      </c>
      <c r="E8934" s="3"/>
      <c r="F8934" s="3"/>
      <c r="G8934" s="3"/>
      <c r="H8934" s="3"/>
    </row>
    <row r="8935">
      <c r="A8935" s="2">
        <f>IFERROR(__xludf.DUMMYFUNCTION("""COMPUTED_VALUE"""),30986.0)</f>
        <v>30986</v>
      </c>
      <c r="B8935" s="3" t="str">
        <f>IFERROR(__xludf.DUMMYFUNCTION("""COMPUTED_VALUE"""),"722 NORTHUMBERLAND HEIGHTS RD ")</f>
        <v>722 NORTHUMBERLAND HEIGHTS RD </v>
      </c>
      <c r="C8935" s="3" t="str">
        <f>IFERROR(__xludf.DUMMYFUNCTION("""COMPUTED_VALUE"""),"COBOURG")</f>
        <v>COBOURG</v>
      </c>
      <c r="D8935" s="3" t="str">
        <f>IFERROR(__xludf.DUMMYFUNCTION("""COMPUTED_VALUE"""),"K9A 4J8")</f>
        <v>K9A 4J8</v>
      </c>
      <c r="E8935" s="3"/>
      <c r="F8935" s="3"/>
      <c r="G8935" s="3"/>
      <c r="H8935" s="3"/>
    </row>
    <row r="8936">
      <c r="A8936" s="2">
        <f>IFERROR(__xludf.DUMMYFUNCTION("""COMPUTED_VALUE"""),30987.0)</f>
        <v>30987</v>
      </c>
      <c r="B8936" s="3" t="str">
        <f>IFERROR(__xludf.DUMMYFUNCTION("""COMPUTED_VALUE"""),"726 NORTHUMBERLAND HEIGHTS RD ")</f>
        <v>726 NORTHUMBERLAND HEIGHTS RD </v>
      </c>
      <c r="C8936" s="3" t="str">
        <f>IFERROR(__xludf.DUMMYFUNCTION("""COMPUTED_VALUE"""),"COBOURG")</f>
        <v>COBOURG</v>
      </c>
      <c r="D8936" s="3" t="str">
        <f>IFERROR(__xludf.DUMMYFUNCTION("""COMPUTED_VALUE"""),"K9A 4J8")</f>
        <v>K9A 4J8</v>
      </c>
      <c r="E8936" s="3"/>
      <c r="F8936" s="3"/>
      <c r="G8936" s="3"/>
      <c r="H8936" s="3"/>
    </row>
    <row r="8937">
      <c r="A8937" s="2">
        <f>IFERROR(__xludf.DUMMYFUNCTION("""COMPUTED_VALUE"""),30988.0)</f>
        <v>30988</v>
      </c>
      <c r="B8937" s="3" t="str">
        <f>IFERROR(__xludf.DUMMYFUNCTION("""COMPUTED_VALUE"""),"761 NORTHUMBERLAND HEIGHTS RD ")</f>
        <v>761 NORTHUMBERLAND HEIGHTS RD </v>
      </c>
      <c r="C8937" s="3" t="str">
        <f>IFERROR(__xludf.DUMMYFUNCTION("""COMPUTED_VALUE"""),"COBOURG")</f>
        <v>COBOURG</v>
      </c>
      <c r="D8937" s="3" t="str">
        <f>IFERROR(__xludf.DUMMYFUNCTION("""COMPUTED_VALUE"""),"K9A 4J8")</f>
        <v>K9A 4J8</v>
      </c>
      <c r="E8937" s="3" t="str">
        <f>IFERROR(__xludf.DUMMYFUNCTION("""COMPUTED_VALUE"""),"Scott Weeks")</f>
        <v>Scott Weeks</v>
      </c>
      <c r="F8937" s="3"/>
      <c r="G8937" s="3"/>
      <c r="H8937" s="3"/>
    </row>
    <row r="8938">
      <c r="A8938" s="2">
        <f>IFERROR(__xludf.DUMMYFUNCTION("""COMPUTED_VALUE"""),30992.0)</f>
        <v>30992</v>
      </c>
      <c r="B8938" s="3" t="str">
        <f>IFERROR(__xludf.DUMMYFUNCTION("""COMPUTED_VALUE"""),"137 NORWAY ST ")</f>
        <v>137 NORWAY ST </v>
      </c>
      <c r="C8938" s="3" t="str">
        <f>IFERROR(__xludf.DUMMYFUNCTION("""COMPUTED_VALUE"""),"CASTLETON")</f>
        <v>CASTLETON</v>
      </c>
      <c r="D8938" s="3" t="str">
        <f>IFERROR(__xludf.DUMMYFUNCTION("""COMPUTED_VALUE"""),"K0K 1M0")</f>
        <v>K0K 1M0</v>
      </c>
      <c r="E8938" s="3" t="str">
        <f>IFERROR(__xludf.DUMMYFUNCTION("""COMPUTED_VALUE"""),"Lavardo Thompson")</f>
        <v>Lavardo Thompson</v>
      </c>
      <c r="F8938" s="3" t="str">
        <f>IFERROR(__xludf.DUMMYFUNCTION("""COMPUTED_VALUE"""),"canadianrealtypartners@gmail.com")</f>
        <v>canadianrealtypartners@gmail.com</v>
      </c>
      <c r="G8938" s="3">
        <f>IFERROR(__xludf.DUMMYFUNCTION("""COMPUTED_VALUE"""),4.164022036E9)</f>
        <v>4164022036</v>
      </c>
      <c r="H8938" s="3"/>
    </row>
    <row r="8939">
      <c r="A8939" s="2">
        <f>IFERROR(__xludf.DUMMYFUNCTION("""COMPUTED_VALUE"""),30993.0)</f>
        <v>30993</v>
      </c>
      <c r="B8939" s="3" t="str">
        <f>IFERROR(__xludf.DUMMYFUNCTION("""COMPUTED_VALUE"""),"140 NORWAY ST ")</f>
        <v>140 NORWAY ST </v>
      </c>
      <c r="C8939" s="3" t="str">
        <f>IFERROR(__xludf.DUMMYFUNCTION("""COMPUTED_VALUE"""),"CASTLETON")</f>
        <v>CASTLETON</v>
      </c>
      <c r="D8939" s="3" t="str">
        <f>IFERROR(__xludf.DUMMYFUNCTION("""COMPUTED_VALUE"""),"K0K 1M0")</f>
        <v>K0K 1M0</v>
      </c>
      <c r="E8939" s="3" t="str">
        <f>IFERROR(__xludf.DUMMYFUNCTION("""COMPUTED_VALUE"""),"Alan Wilson")</f>
        <v>Alan Wilson</v>
      </c>
      <c r="F8939" s="3" t="str">
        <f>IFERROR(__xludf.DUMMYFUNCTION("""COMPUTED_VALUE"""),"N/A")</f>
        <v>N/A</v>
      </c>
      <c r="G8939" s="3">
        <f>IFERROR(__xludf.DUMMYFUNCTION("""COMPUTED_VALUE"""),9.052447378E9)</f>
        <v>9052447378</v>
      </c>
      <c r="H8939" s="3"/>
    </row>
    <row r="8940">
      <c r="A8940" s="2">
        <f>IFERROR(__xludf.DUMMYFUNCTION("""COMPUTED_VALUE"""),31007.0)</f>
        <v>31007</v>
      </c>
      <c r="B8940" s="3" t="str">
        <f>IFERROR(__xludf.DUMMYFUNCTION("""COMPUTED_VALUE"""),"131 O'GRADY RD ")</f>
        <v>131 O'GRADY RD </v>
      </c>
      <c r="C8940" s="3" t="str">
        <f>IFERROR(__xludf.DUMMYFUNCTION("""COMPUTED_VALUE"""),"CASTLETON")</f>
        <v>CASTLETON</v>
      </c>
      <c r="D8940" s="3" t="str">
        <f>IFERROR(__xludf.DUMMYFUNCTION("""COMPUTED_VALUE"""),"K0K 1M0")</f>
        <v>K0K 1M0</v>
      </c>
      <c r="E8940" s="3" t="str">
        <f>IFERROR(__xludf.DUMMYFUNCTION("""COMPUTED_VALUE"""),"Denise Lauzon")</f>
        <v>Denise Lauzon</v>
      </c>
      <c r="F8940" s="3" t="str">
        <f>IFERROR(__xludf.DUMMYFUNCTION("""COMPUTED_VALUE"""),"deniselauzon13@gmail.com")</f>
        <v>deniselauzon13@gmail.com</v>
      </c>
      <c r="G8940" s="3">
        <f>IFERROR(__xludf.DUMMYFUNCTION("""COMPUTED_VALUE"""),6.139291317E9)</f>
        <v>6139291317</v>
      </c>
      <c r="H8940" s="3"/>
    </row>
    <row r="8941">
      <c r="A8941" s="2">
        <f>IFERROR(__xludf.DUMMYFUNCTION("""COMPUTED_VALUE"""),31003.0)</f>
        <v>31003</v>
      </c>
      <c r="B8941" s="3" t="str">
        <f>IFERROR(__xludf.DUMMYFUNCTION("""COMPUTED_VALUE"""),"136 OAK ST ")</f>
        <v>136 OAK ST </v>
      </c>
      <c r="C8941" s="3" t="str">
        <f>IFERROR(__xludf.DUMMYFUNCTION("""COMPUTED_VALUE"""),"CASTLETON")</f>
        <v>CASTLETON</v>
      </c>
      <c r="D8941" s="3" t="str">
        <f>IFERROR(__xludf.DUMMYFUNCTION("""COMPUTED_VALUE"""),"K0K 1M0")</f>
        <v>K0K 1M0</v>
      </c>
      <c r="E8941" s="3" t="str">
        <f>IFERROR(__xludf.DUMMYFUNCTION("""COMPUTED_VALUE"""),"Laura Bowser")</f>
        <v>Laura Bowser</v>
      </c>
      <c r="F8941" s="3" t="str">
        <f>IFERROR(__xludf.DUMMYFUNCTION("""COMPUTED_VALUE"""),"mgbowser@gmail.com")</f>
        <v>mgbowser@gmail.com</v>
      </c>
      <c r="G8941" s="3">
        <f>IFERROR(__xludf.DUMMYFUNCTION("""COMPUTED_VALUE"""),4.168872655E9)</f>
        <v>4168872655</v>
      </c>
      <c r="H8941" s="3"/>
    </row>
    <row r="8942">
      <c r="A8942" s="2">
        <f>IFERROR(__xludf.DUMMYFUNCTION("""COMPUTED_VALUE"""),31008.0)</f>
        <v>31008</v>
      </c>
      <c r="B8942" s="3" t="str">
        <f>IFERROR(__xludf.DUMMYFUNCTION("""COMPUTED_VALUE"""),"622 OLD GULLY RD ")</f>
        <v>622 OLD GULLY RD </v>
      </c>
      <c r="C8942" s="3" t="str">
        <f>IFERROR(__xludf.DUMMYFUNCTION("""COMPUTED_VALUE"""),"COBOURG")</f>
        <v>COBOURG</v>
      </c>
      <c r="D8942" s="3" t="str">
        <f>IFERROR(__xludf.DUMMYFUNCTION("""COMPUTED_VALUE"""),"K9A 4J8")</f>
        <v>K9A 4J8</v>
      </c>
      <c r="E8942" s="3" t="str">
        <f>IFERROR(__xludf.DUMMYFUNCTION("""COMPUTED_VALUE"""),"Vincent Midolo")</f>
        <v>Vincent Midolo</v>
      </c>
      <c r="F8942" s="3"/>
      <c r="G8942" s="3">
        <f>IFERROR(__xludf.DUMMYFUNCTION("""COMPUTED_VALUE"""),9.056478697E9)</f>
        <v>9056478697</v>
      </c>
      <c r="H8942" s="3"/>
    </row>
    <row r="8943">
      <c r="A8943" s="2">
        <f>IFERROR(__xludf.DUMMYFUNCTION("""COMPUTED_VALUE"""),31009.0)</f>
        <v>31009</v>
      </c>
      <c r="B8943" s="3" t="str">
        <f>IFERROR(__xludf.DUMMYFUNCTION("""COMPUTED_VALUE"""),"623 OLD GULLY RD ")</f>
        <v>623 OLD GULLY RD </v>
      </c>
      <c r="C8943" s="3" t="str">
        <f>IFERROR(__xludf.DUMMYFUNCTION("""COMPUTED_VALUE"""),"COBOURG")</f>
        <v>COBOURG</v>
      </c>
      <c r="D8943" s="3" t="str">
        <f>IFERROR(__xludf.DUMMYFUNCTION("""COMPUTED_VALUE"""),"K9A 4J8")</f>
        <v>K9A 4J8</v>
      </c>
      <c r="E8943" s="3" t="str">
        <f>IFERROR(__xludf.DUMMYFUNCTION("""COMPUTED_VALUE"""),"Ken Davis")</f>
        <v>Ken Davis</v>
      </c>
      <c r="F8943" s="3"/>
      <c r="G8943" s="3">
        <f>IFERROR(__xludf.DUMMYFUNCTION("""COMPUTED_VALUE"""),9.05349997E9)</f>
        <v>9053499970</v>
      </c>
      <c r="H8943" s="3"/>
    </row>
    <row r="8944">
      <c r="A8944" s="2">
        <f>IFERROR(__xludf.DUMMYFUNCTION("""COMPUTED_VALUE"""),31010.0)</f>
        <v>31010</v>
      </c>
      <c r="B8944" s="3" t="str">
        <f>IFERROR(__xludf.DUMMYFUNCTION("""COMPUTED_VALUE"""),"638 OLD GULLY RD ")</f>
        <v>638 OLD GULLY RD </v>
      </c>
      <c r="C8944" s="3" t="str">
        <f>IFERROR(__xludf.DUMMYFUNCTION("""COMPUTED_VALUE"""),"COBOURG")</f>
        <v>COBOURG</v>
      </c>
      <c r="D8944" s="3" t="str">
        <f>IFERROR(__xludf.DUMMYFUNCTION("""COMPUTED_VALUE"""),"K9A 4J8")</f>
        <v>K9A 4J8</v>
      </c>
      <c r="E8944" s="3" t="str">
        <f>IFERROR(__xludf.DUMMYFUNCTION("""COMPUTED_VALUE"""),"Lloyd Simpson")</f>
        <v>Lloyd Simpson</v>
      </c>
      <c r="F8944" s="3" t="str">
        <f>IFERROR(__xludf.DUMMYFUNCTION("""COMPUTED_VALUE"""),"lloydesimpson@gmail.com")</f>
        <v>lloydesimpson@gmail.com</v>
      </c>
      <c r="G8944" s="3"/>
      <c r="H8944" s="3"/>
    </row>
    <row r="8945">
      <c r="A8945" s="2">
        <f>IFERROR(__xludf.DUMMYFUNCTION("""COMPUTED_VALUE"""),31011.0)</f>
        <v>31011</v>
      </c>
      <c r="B8945" s="3" t="str">
        <f>IFERROR(__xludf.DUMMYFUNCTION("""COMPUTED_VALUE"""),"662 OLD GULLY ")</f>
        <v>662 OLD GULLY </v>
      </c>
      <c r="C8945" s="3" t="str">
        <f>IFERROR(__xludf.DUMMYFUNCTION("""COMPUTED_VALUE"""),"COBOURG")</f>
        <v>COBOURG</v>
      </c>
      <c r="D8945" s="3" t="str">
        <f>IFERROR(__xludf.DUMMYFUNCTION("""COMPUTED_VALUE"""),"K9A 4J8")</f>
        <v>K9A 4J8</v>
      </c>
      <c r="E8945" s="3" t="str">
        <f>IFERROR(__xludf.DUMMYFUNCTION("""COMPUTED_VALUE"""),"Amanda Penfold")</f>
        <v>Amanda Penfold</v>
      </c>
      <c r="F8945" s="3" t="str">
        <f>IFERROR(__xludf.DUMMYFUNCTION("""COMPUTED_VALUE"""),"amanda.penfold@hotmail.com")</f>
        <v>amanda.penfold@hotmail.com</v>
      </c>
      <c r="G8945" s="3"/>
      <c r="H8945" s="3"/>
    </row>
    <row r="8946">
      <c r="A8946" s="2">
        <f>IFERROR(__xludf.DUMMYFUNCTION("""COMPUTED_VALUE"""),31012.0)</f>
        <v>31012</v>
      </c>
      <c r="B8946" s="3" t="str">
        <f>IFERROR(__xludf.DUMMYFUNCTION("""COMPUTED_VALUE"""),"100 OLD MILL RD ")</f>
        <v>100 OLD MILL RD </v>
      </c>
      <c r="C8946" s="3" t="str">
        <f>IFERROR(__xludf.DUMMYFUNCTION("""COMPUTED_VALUE"""),"GRAFTON")</f>
        <v>GRAFTON</v>
      </c>
      <c r="D8946" s="3" t="str">
        <f>IFERROR(__xludf.DUMMYFUNCTION("""COMPUTED_VALUE"""),"K0K 2G0")</f>
        <v>K0K 2G0</v>
      </c>
      <c r="E8946" s="3" t="str">
        <f>IFERROR(__xludf.DUMMYFUNCTION("""COMPUTED_VALUE"""),"Wayne Carr")</f>
        <v>Wayne Carr</v>
      </c>
      <c r="F8946" s="3" t="str">
        <f>IFERROR(__xludf.DUMMYFUNCTION("""COMPUTED_VALUE"""),"N/A")</f>
        <v>N/A</v>
      </c>
      <c r="G8946" s="3">
        <f>IFERROR(__xludf.DUMMYFUNCTION("""COMPUTED_VALUE"""),9.053447878E9)</f>
        <v>9053447878</v>
      </c>
      <c r="H8946" s="3"/>
    </row>
    <row r="8947">
      <c r="A8947" s="2">
        <f>IFERROR(__xludf.DUMMYFUNCTION("""COMPUTED_VALUE"""),31013.0)</f>
        <v>31013</v>
      </c>
      <c r="B8947" s="3" t="str">
        <f>IFERROR(__xludf.DUMMYFUNCTION("""COMPUTED_VALUE"""),"101 OLD MILL RD ")</f>
        <v>101 OLD MILL RD </v>
      </c>
      <c r="C8947" s="3" t="str">
        <f>IFERROR(__xludf.DUMMYFUNCTION("""COMPUTED_VALUE"""),"GRAFTON")</f>
        <v>GRAFTON</v>
      </c>
      <c r="D8947" s="3" t="str">
        <f>IFERROR(__xludf.DUMMYFUNCTION("""COMPUTED_VALUE"""),"K0K 2G0")</f>
        <v>K0K 2G0</v>
      </c>
      <c r="E8947" s="3" t="str">
        <f>IFERROR(__xludf.DUMMYFUNCTION("""COMPUTED_VALUE"""),"Ireneusz Bartosiewicz")</f>
        <v>Ireneusz Bartosiewicz</v>
      </c>
      <c r="F8947" s="3" t="str">
        <f>IFERROR(__xludf.DUMMYFUNCTION("""COMPUTED_VALUE"""),"irek@nautilos.ca")</f>
        <v>irek@nautilos.ca</v>
      </c>
      <c r="G8947" s="3">
        <f>IFERROR(__xludf.DUMMYFUNCTION("""COMPUTED_VALUE"""),4.169188999E9)</f>
        <v>4169188999</v>
      </c>
      <c r="H8947" s="3">
        <f>IFERROR(__xludf.DUMMYFUNCTION("""COMPUTED_VALUE"""),9.053447997E9)</f>
        <v>9053447997</v>
      </c>
    </row>
    <row r="8948">
      <c r="A8948" s="2">
        <f>IFERROR(__xludf.DUMMYFUNCTION("""COMPUTED_VALUE"""),31014.0)</f>
        <v>31014</v>
      </c>
      <c r="B8948" s="3" t="str">
        <f>IFERROR(__xludf.DUMMYFUNCTION("""COMPUTED_VALUE"""),"134 OLD MILL RD ")</f>
        <v>134 OLD MILL RD </v>
      </c>
      <c r="C8948" s="3" t="str">
        <f>IFERROR(__xludf.DUMMYFUNCTION("""COMPUTED_VALUE"""),"GRAFTON")</f>
        <v>GRAFTON</v>
      </c>
      <c r="D8948" s="3" t="str">
        <f>IFERROR(__xludf.DUMMYFUNCTION("""COMPUTED_VALUE"""),"K0K 2G0")</f>
        <v>K0K 2G0</v>
      </c>
      <c r="E8948" s="3" t="str">
        <f>IFERROR(__xludf.DUMMYFUNCTION("""COMPUTED_VALUE"""),"Andy Carr")</f>
        <v>Andy Carr</v>
      </c>
      <c r="F8948" s="3" t="str">
        <f>IFERROR(__xludf.DUMMYFUNCTION("""COMPUTED_VALUE"""),"andycarr830@gmail.com")</f>
        <v>andycarr830@gmail.com</v>
      </c>
      <c r="G8948" s="3">
        <f>IFERROR(__xludf.DUMMYFUNCTION("""COMPUTED_VALUE"""),9.05375803E9)</f>
        <v>9053758030</v>
      </c>
      <c r="H8948" s="3"/>
    </row>
    <row r="8949">
      <c r="A8949" s="2">
        <f>IFERROR(__xludf.DUMMYFUNCTION("""COMPUTED_VALUE"""),31015.0)</f>
        <v>31015</v>
      </c>
      <c r="B8949" s="3" t="str">
        <f>IFERROR(__xludf.DUMMYFUNCTION("""COMPUTED_VALUE"""),"173 OLD MILL RD ")</f>
        <v>173 OLD MILL RD </v>
      </c>
      <c r="C8949" s="3" t="str">
        <f>IFERROR(__xludf.DUMMYFUNCTION("""COMPUTED_VALUE"""),"GRAFTON")</f>
        <v>GRAFTON</v>
      </c>
      <c r="D8949" s="3" t="str">
        <f>IFERROR(__xludf.DUMMYFUNCTION("""COMPUTED_VALUE"""),"K0K 2G0")</f>
        <v>K0K 2G0</v>
      </c>
      <c r="E8949" s="3" t="str">
        <f>IFERROR(__xludf.DUMMYFUNCTION("""COMPUTED_VALUE"""),"Kevin White ")</f>
        <v>Kevin White </v>
      </c>
      <c r="F8949" s="3" t="str">
        <f>IFERROR(__xludf.DUMMYFUNCTION("""COMPUTED_VALUE"""),"whiteke173@gmail.com")</f>
        <v>whiteke173@gmail.com</v>
      </c>
      <c r="G8949" s="3"/>
      <c r="H8949" s="3"/>
    </row>
    <row r="8950">
      <c r="A8950" s="2">
        <f>IFERROR(__xludf.DUMMYFUNCTION("""COMPUTED_VALUE"""),31047.0)</f>
        <v>31047</v>
      </c>
      <c r="B8950" s="3" t="str">
        <f>IFERROR(__xludf.DUMMYFUNCTION("""COMPUTED_VALUE"""),"104 OLD SHELTER VALLEY RD ")</f>
        <v>104 OLD SHELTER VALLEY RD </v>
      </c>
      <c r="C8950" s="3" t="str">
        <f>IFERROR(__xludf.DUMMYFUNCTION("""COMPUTED_VALUE"""),"GRAFTON")</f>
        <v>GRAFTON</v>
      </c>
      <c r="D8950" s="3" t="str">
        <f>IFERROR(__xludf.DUMMYFUNCTION("""COMPUTED_VALUE"""),"K0K 2G0")</f>
        <v>K0K 2G0</v>
      </c>
      <c r="E8950" s="3" t="str">
        <f>IFERROR(__xludf.DUMMYFUNCTION("""COMPUTED_VALUE"""),"Ron Campbell")</f>
        <v>Ron Campbell</v>
      </c>
      <c r="F8950" s="3"/>
      <c r="G8950" s="3"/>
      <c r="H8950" s="3"/>
    </row>
    <row r="8951">
      <c r="A8951" s="2">
        <f>IFERROR(__xludf.DUMMYFUNCTION("""COMPUTED_VALUE"""),31214.0)</f>
        <v>31214</v>
      </c>
      <c r="B8951" s="3" t="str">
        <f>IFERROR(__xludf.DUMMYFUNCTION("""COMPUTED_VALUE"""),"109 OLD SHELTER VALLEY RD ")</f>
        <v>109 OLD SHELTER VALLEY RD </v>
      </c>
      <c r="C8951" s="3" t="str">
        <f>IFERROR(__xludf.DUMMYFUNCTION("""COMPUTED_VALUE"""),"GRAFTON")</f>
        <v>GRAFTON</v>
      </c>
      <c r="D8951" s="3" t="str">
        <f>IFERROR(__xludf.DUMMYFUNCTION("""COMPUTED_VALUE"""),"K0K 2G0")</f>
        <v>K0K 2G0</v>
      </c>
      <c r="E8951" s="3"/>
      <c r="F8951" s="3"/>
      <c r="G8951" s="3"/>
      <c r="H8951" s="3"/>
    </row>
    <row r="8952">
      <c r="A8952" s="2">
        <f>IFERROR(__xludf.DUMMYFUNCTION("""COMPUTED_VALUE"""),31048.0)</f>
        <v>31048</v>
      </c>
      <c r="B8952" s="3" t="str">
        <f>IFERROR(__xludf.DUMMYFUNCTION("""COMPUTED_VALUE"""),"114 OLD SHELTER VALLEY RD ")</f>
        <v>114 OLD SHELTER VALLEY RD </v>
      </c>
      <c r="C8952" s="3" t="str">
        <f>IFERROR(__xludf.DUMMYFUNCTION("""COMPUTED_VALUE"""),"GRAFTON")</f>
        <v>GRAFTON</v>
      </c>
      <c r="D8952" s="3" t="str">
        <f>IFERROR(__xludf.DUMMYFUNCTION("""COMPUTED_VALUE"""),"K0K 2G0")</f>
        <v>K0K 2G0</v>
      </c>
      <c r="E8952" s="3"/>
      <c r="F8952" s="3"/>
      <c r="G8952" s="3"/>
      <c r="H8952" s="3"/>
    </row>
    <row r="8953">
      <c r="A8953" s="2">
        <f>IFERROR(__xludf.DUMMYFUNCTION("""COMPUTED_VALUE"""),31049.0)</f>
        <v>31049</v>
      </c>
      <c r="B8953" s="3" t="str">
        <f>IFERROR(__xludf.DUMMYFUNCTION("""COMPUTED_VALUE"""),"134 OLD SHELTER VALLEY RD ")</f>
        <v>134 OLD SHELTER VALLEY RD </v>
      </c>
      <c r="C8953" s="3" t="str">
        <f>IFERROR(__xludf.DUMMYFUNCTION("""COMPUTED_VALUE"""),"GRAFTON")</f>
        <v>GRAFTON</v>
      </c>
      <c r="D8953" s="3" t="str">
        <f>IFERROR(__xludf.DUMMYFUNCTION("""COMPUTED_VALUE"""),"K0K 2G0")</f>
        <v>K0K 2G0</v>
      </c>
      <c r="E8953" s="3" t="str">
        <f>IFERROR(__xludf.DUMMYFUNCTION("""COMPUTED_VALUE"""),"Andrew Noble")</f>
        <v>Andrew Noble</v>
      </c>
      <c r="F8953" s="3" t="str">
        <f>IFERROR(__xludf.DUMMYFUNCTION("""COMPUTED_VALUE"""),"intruder1400@cogeco.ca")</f>
        <v>intruder1400@cogeco.ca</v>
      </c>
      <c r="G8953" s="3">
        <f>IFERROR(__xludf.DUMMYFUNCTION("""COMPUTED_VALUE"""),9.053757099E9)</f>
        <v>9053757099</v>
      </c>
      <c r="H8953" s="3"/>
    </row>
    <row r="8954">
      <c r="A8954" s="2">
        <f>IFERROR(__xludf.DUMMYFUNCTION("""COMPUTED_VALUE"""),31050.0)</f>
        <v>31050</v>
      </c>
      <c r="B8954" s="3" t="str">
        <f>IFERROR(__xludf.DUMMYFUNCTION("""COMPUTED_VALUE"""),"210 OLD SHELTER VALLEY RD ")</f>
        <v>210 OLD SHELTER VALLEY RD </v>
      </c>
      <c r="C8954" s="3" t="str">
        <f>IFERROR(__xludf.DUMMYFUNCTION("""COMPUTED_VALUE"""),"GRAFTON")</f>
        <v>GRAFTON</v>
      </c>
      <c r="D8954" s="3" t="str">
        <f>IFERROR(__xludf.DUMMYFUNCTION("""COMPUTED_VALUE"""),"K0K 2G0")</f>
        <v>K0K 2G0</v>
      </c>
      <c r="E8954" s="3" t="str">
        <f>IFERROR(__xludf.DUMMYFUNCTION("""COMPUTED_VALUE"""),"CARRIE-LYNN ZEGERS")</f>
        <v>CARRIE-LYNN ZEGERS</v>
      </c>
      <c r="F8954" s="3" t="str">
        <f>IFERROR(__xludf.DUMMYFUNCTION("""COMPUTED_VALUE"""),"carezegers@gmail.com")</f>
        <v>carezegers@gmail.com</v>
      </c>
      <c r="G8954" s="3"/>
      <c r="H8954" s="3"/>
    </row>
    <row r="8955">
      <c r="A8955" s="2">
        <f>IFERROR(__xludf.DUMMYFUNCTION("""COMPUTED_VALUE"""),31051.0)</f>
        <v>31051</v>
      </c>
      <c r="B8955" s="3" t="str">
        <f>IFERROR(__xludf.DUMMYFUNCTION("""COMPUTED_VALUE"""),"220 OLD SHELTER VALLEY RD ")</f>
        <v>220 OLD SHELTER VALLEY RD </v>
      </c>
      <c r="C8955" s="3" t="str">
        <f>IFERROR(__xludf.DUMMYFUNCTION("""COMPUTED_VALUE"""),"GRAFTON")</f>
        <v>GRAFTON</v>
      </c>
      <c r="D8955" s="3" t="str">
        <f>IFERROR(__xludf.DUMMYFUNCTION("""COMPUTED_VALUE"""),"K0K 2G0")</f>
        <v>K0K 2G0</v>
      </c>
      <c r="E8955" s="3" t="str">
        <f>IFERROR(__xludf.DUMMYFUNCTION("""COMPUTED_VALUE"""),"Lance green ")</f>
        <v>Lance green </v>
      </c>
      <c r="F8955" s="3" t="str">
        <f>IFERROR(__xludf.DUMMYFUNCTION("""COMPUTED_VALUE"""),"lancejgreen@outlook.com")</f>
        <v>lancejgreen@outlook.com</v>
      </c>
      <c r="G8955" s="3"/>
      <c r="H8955" s="3"/>
    </row>
    <row r="8956">
      <c r="A8956" s="2">
        <f>IFERROR(__xludf.DUMMYFUNCTION("""COMPUTED_VALUE"""),31070.0)</f>
        <v>31070</v>
      </c>
      <c r="B8956" s="3" t="str">
        <f>IFERROR(__xludf.DUMMYFUNCTION("""COMPUTED_VALUE"""),"1768 PERCY ST ")</f>
        <v>1768 PERCY ST </v>
      </c>
      <c r="C8956" s="3" t="str">
        <f>IFERROR(__xludf.DUMMYFUNCTION("""COMPUTED_VALUE"""),"CASTLETON")</f>
        <v>CASTLETON</v>
      </c>
      <c r="D8956" s="3" t="str">
        <f>IFERROR(__xludf.DUMMYFUNCTION("""COMPUTED_VALUE"""),"K0K 1M0")</f>
        <v>K0K 1M0</v>
      </c>
      <c r="E8956" s="3" t="str">
        <f>IFERROR(__xludf.DUMMYFUNCTION("""COMPUTED_VALUE"""),"Kirthi Patel")</f>
        <v>Kirthi Patel</v>
      </c>
      <c r="F8956" s="3" t="str">
        <f>IFERROR(__xludf.DUMMYFUNCTION("""COMPUTED_VALUE"""),"N/A")</f>
        <v>N/A</v>
      </c>
      <c r="G8956" s="3">
        <f>IFERROR(__xludf.DUMMYFUNCTION("""COMPUTED_VALUE"""),3.658759013E9)</f>
        <v>3658759013</v>
      </c>
      <c r="H8956" s="3"/>
    </row>
    <row r="8957">
      <c r="A8957" s="2">
        <f>IFERROR(__xludf.DUMMYFUNCTION("""COMPUTED_VALUE"""),31071.0)</f>
        <v>31071</v>
      </c>
      <c r="B8957" s="3" t="str">
        <f>IFERROR(__xludf.DUMMYFUNCTION("""COMPUTED_VALUE"""),"1777 PERCY ST ")</f>
        <v>1777 PERCY ST </v>
      </c>
      <c r="C8957" s="3" t="str">
        <f>IFERROR(__xludf.DUMMYFUNCTION("""COMPUTED_VALUE"""),"CASTLETON")</f>
        <v>CASTLETON</v>
      </c>
      <c r="D8957" s="3" t="str">
        <f>IFERROR(__xludf.DUMMYFUNCTION("""COMPUTED_VALUE"""),"K0K 1M0")</f>
        <v>K0K 1M0</v>
      </c>
      <c r="E8957" s="3"/>
      <c r="F8957" s="3"/>
      <c r="G8957" s="3"/>
      <c r="H8957" s="3"/>
    </row>
    <row r="8958">
      <c r="A8958" s="2">
        <f>IFERROR(__xludf.DUMMYFUNCTION("""COMPUTED_VALUE"""),31072.0)</f>
        <v>31072</v>
      </c>
      <c r="B8958" s="3" t="str">
        <f>IFERROR(__xludf.DUMMYFUNCTION("""COMPUTED_VALUE"""),"1780 PERCY ST ")</f>
        <v>1780 PERCY ST </v>
      </c>
      <c r="C8958" s="3" t="str">
        <f>IFERROR(__xludf.DUMMYFUNCTION("""COMPUTED_VALUE"""),"CASTLETON")</f>
        <v>CASTLETON</v>
      </c>
      <c r="D8958" s="3" t="str">
        <f>IFERROR(__xludf.DUMMYFUNCTION("""COMPUTED_VALUE"""),"K0K 1M0")</f>
        <v>K0K 1M0</v>
      </c>
      <c r="E8958" s="3"/>
      <c r="F8958" s="3"/>
      <c r="G8958" s="3"/>
      <c r="H8958" s="3"/>
    </row>
    <row r="8959">
      <c r="A8959" s="2">
        <f>IFERROR(__xludf.DUMMYFUNCTION("""COMPUTED_VALUE"""),31073.0)</f>
        <v>31073</v>
      </c>
      <c r="B8959" s="3" t="str">
        <f>IFERROR(__xludf.DUMMYFUNCTION("""COMPUTED_VALUE"""),"1781 PERCY ST ")</f>
        <v>1781 PERCY ST </v>
      </c>
      <c r="C8959" s="3" t="str">
        <f>IFERROR(__xludf.DUMMYFUNCTION("""COMPUTED_VALUE"""),"CASTLETON")</f>
        <v>CASTLETON</v>
      </c>
      <c r="D8959" s="3" t="str">
        <f>IFERROR(__xludf.DUMMYFUNCTION("""COMPUTED_VALUE"""),"K0K 1M0")</f>
        <v>K0K 1M0</v>
      </c>
      <c r="E8959" s="3" t="str">
        <f>IFERROR(__xludf.DUMMYFUNCTION("""COMPUTED_VALUE"""),"Tamara Jones")</f>
        <v>Tamara Jones</v>
      </c>
      <c r="F8959" s="3"/>
      <c r="G8959" s="3"/>
      <c r="H8959" s="3"/>
    </row>
    <row r="8960">
      <c r="A8960" s="2">
        <f>IFERROR(__xludf.DUMMYFUNCTION("""COMPUTED_VALUE"""),31074.0)</f>
        <v>31074</v>
      </c>
      <c r="B8960" s="3" t="str">
        <f>IFERROR(__xludf.DUMMYFUNCTION("""COMPUTED_VALUE"""),"1786 PERCY ST ")</f>
        <v>1786 PERCY ST </v>
      </c>
      <c r="C8960" s="3" t="str">
        <f>IFERROR(__xludf.DUMMYFUNCTION("""COMPUTED_VALUE"""),"CASTLETON")</f>
        <v>CASTLETON</v>
      </c>
      <c r="D8960" s="3" t="str">
        <f>IFERROR(__xludf.DUMMYFUNCTION("""COMPUTED_VALUE"""),"K0K 1M0")</f>
        <v>K0K 1M0</v>
      </c>
      <c r="E8960" s="3"/>
      <c r="F8960" s="3"/>
      <c r="G8960" s="3"/>
      <c r="H8960" s="3"/>
    </row>
    <row r="8961">
      <c r="A8961" s="2">
        <f>IFERROR(__xludf.DUMMYFUNCTION("""COMPUTED_VALUE"""),31075.0)</f>
        <v>31075</v>
      </c>
      <c r="B8961" s="3" t="str">
        <f>IFERROR(__xludf.DUMMYFUNCTION("""COMPUTED_VALUE"""),"1787 PERCY ST ")</f>
        <v>1787 PERCY ST </v>
      </c>
      <c r="C8961" s="3" t="str">
        <f>IFERROR(__xludf.DUMMYFUNCTION("""COMPUTED_VALUE"""),"CASTLETON")</f>
        <v>CASTLETON</v>
      </c>
      <c r="D8961" s="3" t="str">
        <f>IFERROR(__xludf.DUMMYFUNCTION("""COMPUTED_VALUE"""),"K0K 1M0")</f>
        <v>K0K 1M0</v>
      </c>
      <c r="E8961" s="3"/>
      <c r="F8961" s="3"/>
      <c r="G8961" s="3"/>
      <c r="H8961" s="3"/>
    </row>
    <row r="8962">
      <c r="A8962" s="2">
        <f>IFERROR(__xludf.DUMMYFUNCTION("""COMPUTED_VALUE"""),31076.0)</f>
        <v>31076</v>
      </c>
      <c r="B8962" s="3" t="str">
        <f>IFERROR(__xludf.DUMMYFUNCTION("""COMPUTED_VALUE"""),"1790 PERCY ST ")</f>
        <v>1790 PERCY ST </v>
      </c>
      <c r="C8962" s="3" t="str">
        <f>IFERROR(__xludf.DUMMYFUNCTION("""COMPUTED_VALUE"""),"CASTLETON")</f>
        <v>CASTLETON</v>
      </c>
      <c r="D8962" s="3" t="str">
        <f>IFERROR(__xludf.DUMMYFUNCTION("""COMPUTED_VALUE"""),"K0K 1M0")</f>
        <v>K0K 1M0</v>
      </c>
      <c r="E8962" s="3"/>
      <c r="F8962" s="3"/>
      <c r="G8962" s="3"/>
      <c r="H8962" s="3"/>
    </row>
    <row r="8963">
      <c r="A8963" s="2">
        <f>IFERROR(__xludf.DUMMYFUNCTION("""COMPUTED_VALUE"""),31077.0)</f>
        <v>31077</v>
      </c>
      <c r="B8963" s="3" t="str">
        <f>IFERROR(__xludf.DUMMYFUNCTION("""COMPUTED_VALUE"""),"1791 PERCY ST ")</f>
        <v>1791 PERCY ST </v>
      </c>
      <c r="C8963" s="3" t="str">
        <f>IFERROR(__xludf.DUMMYFUNCTION("""COMPUTED_VALUE"""),"CASTLETON")</f>
        <v>CASTLETON</v>
      </c>
      <c r="D8963" s="3" t="str">
        <f>IFERROR(__xludf.DUMMYFUNCTION("""COMPUTED_VALUE"""),"K0K 1M0")</f>
        <v>K0K 1M0</v>
      </c>
      <c r="E8963" s="3" t="str">
        <f>IFERROR(__xludf.DUMMYFUNCTION("""COMPUTED_VALUE"""),"Don Copeland")</f>
        <v>Don Copeland</v>
      </c>
      <c r="F8963" s="3"/>
      <c r="G8963" s="3"/>
      <c r="H8963" s="3"/>
    </row>
    <row r="8964">
      <c r="A8964" s="2">
        <f>IFERROR(__xludf.DUMMYFUNCTION("""COMPUTED_VALUE"""),31078.0)</f>
        <v>31078</v>
      </c>
      <c r="B8964" s="3" t="str">
        <f>IFERROR(__xludf.DUMMYFUNCTION("""COMPUTED_VALUE"""),"1798 PERCY ST ")</f>
        <v>1798 PERCY ST </v>
      </c>
      <c r="C8964" s="3" t="str">
        <f>IFERROR(__xludf.DUMMYFUNCTION("""COMPUTED_VALUE"""),"CASTLETON")</f>
        <v>CASTLETON</v>
      </c>
      <c r="D8964" s="3" t="str">
        <f>IFERROR(__xludf.DUMMYFUNCTION("""COMPUTED_VALUE"""),"K0K 1M0")</f>
        <v>K0K 1M0</v>
      </c>
      <c r="E8964" s="3" t="str">
        <f>IFERROR(__xludf.DUMMYFUNCTION("""COMPUTED_VALUE"""),"Codey Armstrong")</f>
        <v>Codey Armstrong</v>
      </c>
      <c r="F8964" s="3"/>
      <c r="G8964" s="3"/>
      <c r="H8964" s="3"/>
    </row>
    <row r="8965">
      <c r="A8965" s="2">
        <f>IFERROR(__xludf.DUMMYFUNCTION("""COMPUTED_VALUE"""),31079.0)</f>
        <v>31079</v>
      </c>
      <c r="B8965" s="3" t="str">
        <f>IFERROR(__xludf.DUMMYFUNCTION("""COMPUTED_VALUE"""),"1800 PERCY ST ")</f>
        <v>1800 PERCY ST </v>
      </c>
      <c r="C8965" s="3" t="str">
        <f>IFERROR(__xludf.DUMMYFUNCTION("""COMPUTED_VALUE"""),"CASTLETON")</f>
        <v>CASTLETON</v>
      </c>
      <c r="D8965" s="3" t="str">
        <f>IFERROR(__xludf.DUMMYFUNCTION("""COMPUTED_VALUE"""),"K0K 1M0")</f>
        <v>K0K 1M0</v>
      </c>
      <c r="E8965" s="3" t="str">
        <f>IFERROR(__xludf.DUMMYFUNCTION("""COMPUTED_VALUE"""),"Stephen Clark")</f>
        <v>Stephen Clark</v>
      </c>
      <c r="F8965" s="3" t="str">
        <f>IFERROR(__xludf.DUMMYFUNCTION("""COMPUTED_VALUE"""),"diemosteve@gmail.com")</f>
        <v>diemosteve@gmail.com</v>
      </c>
      <c r="G8965" s="3"/>
      <c r="H8965" s="3"/>
    </row>
    <row r="8966">
      <c r="A8966" s="2">
        <f>IFERROR(__xludf.DUMMYFUNCTION("""COMPUTED_VALUE"""),31080.0)</f>
        <v>31080</v>
      </c>
      <c r="B8966" s="3" t="str">
        <f>IFERROR(__xludf.DUMMYFUNCTION("""COMPUTED_VALUE"""),"1804 PERCY ST ")</f>
        <v>1804 PERCY ST </v>
      </c>
      <c r="C8966" s="3" t="str">
        <f>IFERROR(__xludf.DUMMYFUNCTION("""COMPUTED_VALUE"""),"CASTLETON")</f>
        <v>CASTLETON</v>
      </c>
      <c r="D8966" s="3" t="str">
        <f>IFERROR(__xludf.DUMMYFUNCTION("""COMPUTED_VALUE"""),"K0K 1M0")</f>
        <v>K0K 1M0</v>
      </c>
      <c r="E8966" s="3" t="str">
        <f>IFERROR(__xludf.DUMMYFUNCTION("""COMPUTED_VALUE"""),"Ryann Prochnau")</f>
        <v>Ryann Prochnau</v>
      </c>
      <c r="F8966" s="3" t="str">
        <f>IFERROR(__xludf.DUMMYFUNCTION("""COMPUTED_VALUE"""),"ryannmulrain@hotmail.com")</f>
        <v>ryannmulrain@hotmail.com</v>
      </c>
      <c r="G8966" s="3"/>
      <c r="H8966" s="3"/>
    </row>
    <row r="8967">
      <c r="A8967" s="2">
        <f>IFERROR(__xludf.DUMMYFUNCTION("""COMPUTED_VALUE"""),31081.0)</f>
        <v>31081</v>
      </c>
      <c r="B8967" s="3" t="str">
        <f>IFERROR(__xludf.DUMMYFUNCTION("""COMPUTED_VALUE"""),"1818 PERCY ST ")</f>
        <v>1818 PERCY ST </v>
      </c>
      <c r="C8967" s="3" t="str">
        <f>IFERROR(__xludf.DUMMYFUNCTION("""COMPUTED_VALUE"""),"CASTLETON")</f>
        <v>CASTLETON</v>
      </c>
      <c r="D8967" s="3" t="str">
        <f>IFERROR(__xludf.DUMMYFUNCTION("""COMPUTED_VALUE"""),"K0K 1M0")</f>
        <v>K0K 1M0</v>
      </c>
      <c r="E8967" s="3" t="str">
        <f>IFERROR(__xludf.DUMMYFUNCTION("""COMPUTED_VALUE"""),"Colby Lazier")</f>
        <v>Colby Lazier</v>
      </c>
      <c r="F8967" s="3" t="str">
        <f>IFERROR(__xludf.DUMMYFUNCTION("""COMPUTED_VALUE"""),"c.lazier@outlook.com")</f>
        <v>c.lazier@outlook.com</v>
      </c>
      <c r="G8967" s="3"/>
      <c r="H8967" s="3"/>
    </row>
    <row r="8968">
      <c r="A8968" s="2">
        <f>IFERROR(__xludf.DUMMYFUNCTION("""COMPUTED_VALUE"""),31082.0)</f>
        <v>31082</v>
      </c>
      <c r="B8968" s="3" t="str">
        <f>IFERROR(__xludf.DUMMYFUNCTION("""COMPUTED_VALUE"""),"1821 PERCY ST ")</f>
        <v>1821 PERCY ST </v>
      </c>
      <c r="C8968" s="3" t="str">
        <f>IFERROR(__xludf.DUMMYFUNCTION("""COMPUTED_VALUE"""),"CASTLETON")</f>
        <v>CASTLETON</v>
      </c>
      <c r="D8968" s="3" t="str">
        <f>IFERROR(__xludf.DUMMYFUNCTION("""COMPUTED_VALUE"""),"K0K 1M0")</f>
        <v>K0K 1M0</v>
      </c>
      <c r="E8968" s="3" t="str">
        <f>IFERROR(__xludf.DUMMYFUNCTION("""COMPUTED_VALUE"""),"Gale Hardy")</f>
        <v>Gale Hardy</v>
      </c>
      <c r="F8968" s="3" t="str">
        <f>IFERROR(__xludf.DUMMYFUNCTION("""COMPUTED_VALUE"""),"N/A")</f>
        <v>N/A</v>
      </c>
      <c r="G8968" s="3"/>
      <c r="H8968" s="3"/>
    </row>
    <row r="8969">
      <c r="A8969" s="2">
        <f>IFERROR(__xludf.DUMMYFUNCTION("""COMPUTED_VALUE"""),31083.0)</f>
        <v>31083</v>
      </c>
      <c r="B8969" s="3" t="str">
        <f>IFERROR(__xludf.DUMMYFUNCTION("""COMPUTED_VALUE"""),"1822 PERCY ST ")</f>
        <v>1822 PERCY ST </v>
      </c>
      <c r="C8969" s="3" t="str">
        <f>IFERROR(__xludf.DUMMYFUNCTION("""COMPUTED_VALUE"""),"CASTLETON")</f>
        <v>CASTLETON</v>
      </c>
      <c r="D8969" s="3" t="str">
        <f>IFERROR(__xludf.DUMMYFUNCTION("""COMPUTED_VALUE"""),"K0K 1M0")</f>
        <v>K0K 1M0</v>
      </c>
      <c r="E8969" s="3"/>
      <c r="F8969" s="3"/>
      <c r="G8969" s="3"/>
      <c r="H8969" s="3"/>
    </row>
    <row r="8970">
      <c r="A8970" s="2">
        <f>IFERROR(__xludf.DUMMYFUNCTION("""COMPUTED_VALUE"""),31084.0)</f>
        <v>31084</v>
      </c>
      <c r="B8970" s="3" t="str">
        <f>IFERROR(__xludf.DUMMYFUNCTION("""COMPUTED_VALUE"""),"1827 PERCY ST ")</f>
        <v>1827 PERCY ST </v>
      </c>
      <c r="C8970" s="3" t="str">
        <f>IFERROR(__xludf.DUMMYFUNCTION("""COMPUTED_VALUE"""),"CASTLETON")</f>
        <v>CASTLETON</v>
      </c>
      <c r="D8970" s="3" t="str">
        <f>IFERROR(__xludf.DUMMYFUNCTION("""COMPUTED_VALUE"""),"K0K 1M0")</f>
        <v>K0K 1M0</v>
      </c>
      <c r="E8970" s="3"/>
      <c r="F8970" s="3"/>
      <c r="G8970" s="3"/>
      <c r="H8970" s="3"/>
    </row>
    <row r="8971">
      <c r="A8971" s="2">
        <f>IFERROR(__xludf.DUMMYFUNCTION("""COMPUTED_VALUE"""),31085.0)</f>
        <v>31085</v>
      </c>
      <c r="B8971" s="3" t="str">
        <f>IFERROR(__xludf.DUMMYFUNCTION("""COMPUTED_VALUE"""),"1851 PERCY ST ")</f>
        <v>1851 PERCY ST </v>
      </c>
      <c r="C8971" s="3" t="str">
        <f>IFERROR(__xludf.DUMMYFUNCTION("""COMPUTED_VALUE"""),"CASTLETON")</f>
        <v>CASTLETON</v>
      </c>
      <c r="D8971" s="3" t="str">
        <f>IFERROR(__xludf.DUMMYFUNCTION("""COMPUTED_VALUE"""),"K0K 1M0")</f>
        <v>K0K 1M0</v>
      </c>
      <c r="E8971" s="3" t="str">
        <f>IFERROR(__xludf.DUMMYFUNCTION("""COMPUTED_VALUE"""),"Christine Westbrook")</f>
        <v>Christine Westbrook</v>
      </c>
      <c r="F8971" s="3" t="str">
        <f>IFERROR(__xludf.DUMMYFUNCTION("""COMPUTED_VALUE"""),"christine.westbrook28@gmail.com")</f>
        <v>christine.westbrook28@gmail.com</v>
      </c>
      <c r="G8971" s="3"/>
      <c r="H8971" s="3"/>
    </row>
    <row r="8972">
      <c r="A8972" s="2">
        <f>IFERROR(__xludf.DUMMYFUNCTION("""COMPUTED_VALUE"""),31086.0)</f>
        <v>31086</v>
      </c>
      <c r="B8972" s="3" t="str">
        <f>IFERROR(__xludf.DUMMYFUNCTION("""COMPUTED_VALUE"""),"1854 PERCY ST ")</f>
        <v>1854 PERCY ST </v>
      </c>
      <c r="C8972" s="3" t="str">
        <f>IFERROR(__xludf.DUMMYFUNCTION("""COMPUTED_VALUE"""),"CASTLETON")</f>
        <v>CASTLETON</v>
      </c>
      <c r="D8972" s="3" t="str">
        <f>IFERROR(__xludf.DUMMYFUNCTION("""COMPUTED_VALUE"""),"K0K 1M0")</f>
        <v>K0K 1M0</v>
      </c>
      <c r="E8972" s="3"/>
      <c r="F8972" s="3"/>
      <c r="G8972" s="3"/>
      <c r="H8972" s="3"/>
    </row>
    <row r="8973">
      <c r="A8973" s="2">
        <f>IFERROR(__xludf.DUMMYFUNCTION("""COMPUTED_VALUE"""),31063.0)</f>
        <v>31063</v>
      </c>
      <c r="B8973" s="3" t="str">
        <f>IFERROR(__xludf.DUMMYFUNCTION("""COMPUTED_VALUE"""),"1859 PERCY RD ")</f>
        <v>1859 PERCY RD </v>
      </c>
      <c r="C8973" s="3" t="str">
        <f>IFERROR(__xludf.DUMMYFUNCTION("""COMPUTED_VALUE"""),"CASTLETON")</f>
        <v>CASTLETON</v>
      </c>
      <c r="D8973" s="3" t="str">
        <f>IFERROR(__xludf.DUMMYFUNCTION("""COMPUTED_VALUE"""),"K0K 1M0")</f>
        <v>K0K 1M0</v>
      </c>
      <c r="E8973" s="3" t="str">
        <f>IFERROR(__xludf.DUMMYFUNCTION("""COMPUTED_VALUE"""),"Harpreet Sodhi")</f>
        <v>Harpreet Sodhi</v>
      </c>
      <c r="F8973" s="3" t="str">
        <f>IFERROR(__xludf.DUMMYFUNCTION("""COMPUTED_VALUE"""),"harpreetsodhi@outlook.com")</f>
        <v>harpreetsodhi@outlook.com</v>
      </c>
      <c r="G8973" s="3"/>
      <c r="H8973" s="3">
        <f>IFERROR(__xludf.DUMMYFUNCTION("""COMPUTED_VALUE"""),6.47701757E9)</f>
        <v>6477017570</v>
      </c>
    </row>
    <row r="8974">
      <c r="A8974" s="2">
        <f>IFERROR(__xludf.DUMMYFUNCTION("""COMPUTED_VALUE"""),31087.0)</f>
        <v>31087</v>
      </c>
      <c r="B8974" s="3" t="str">
        <f>IFERROR(__xludf.DUMMYFUNCTION("""COMPUTED_VALUE"""),"1864 PERCY ST ")</f>
        <v>1864 PERCY ST </v>
      </c>
      <c r="C8974" s="3" t="str">
        <f>IFERROR(__xludf.DUMMYFUNCTION("""COMPUTED_VALUE"""),"CASTLETON")</f>
        <v>CASTLETON</v>
      </c>
      <c r="D8974" s="3" t="str">
        <f>IFERROR(__xludf.DUMMYFUNCTION("""COMPUTED_VALUE"""),"K0K 1M0")</f>
        <v>K0K 1M0</v>
      </c>
      <c r="E8974" s="3" t="str">
        <f>IFERROR(__xludf.DUMMYFUNCTION("""COMPUTED_VALUE"""),"Randy Ferguson")</f>
        <v>Randy Ferguson</v>
      </c>
      <c r="F8974" s="3" t="str">
        <f>IFERROR(__xludf.DUMMYFUNCTION("""COMPUTED_VALUE"""),"fergy1984@hotmail.com")</f>
        <v>fergy1984@hotmail.com</v>
      </c>
      <c r="G8974" s="3">
        <f>IFERROR(__xludf.DUMMYFUNCTION("""COMPUTED_VALUE"""),4.169965279E9)</f>
        <v>4169965279</v>
      </c>
      <c r="H8974" s="3"/>
    </row>
    <row r="8975">
      <c r="A8975" s="2">
        <f>IFERROR(__xludf.DUMMYFUNCTION("""COMPUTED_VALUE"""),31088.0)</f>
        <v>31088</v>
      </c>
      <c r="B8975" s="3" t="str">
        <f>IFERROR(__xludf.DUMMYFUNCTION("""COMPUTED_VALUE"""),"1888 PERCY ST ")</f>
        <v>1888 PERCY ST </v>
      </c>
      <c r="C8975" s="3" t="str">
        <f>IFERROR(__xludf.DUMMYFUNCTION("""COMPUTED_VALUE"""),"CASTLETON")</f>
        <v>CASTLETON</v>
      </c>
      <c r="D8975" s="3" t="str">
        <f>IFERROR(__xludf.DUMMYFUNCTION("""COMPUTED_VALUE"""),"K0K 1M0")</f>
        <v>K0K 1M0</v>
      </c>
      <c r="E8975" s="3" t="str">
        <f>IFERROR(__xludf.DUMMYFUNCTION("""COMPUTED_VALUE"""),"GARRY CORMIER")</f>
        <v>GARRY CORMIER</v>
      </c>
      <c r="F8975" s="3" t="str">
        <f>IFERROR(__xludf.DUMMYFUNCTION("""COMPUTED_VALUE"""),"jumbo_gare@yahoo.com &amp; bluegare27@gmail.com")</f>
        <v>jumbo_gare@yahoo.com &amp; bluegare27@gmail.com</v>
      </c>
      <c r="G8975" s="3"/>
      <c r="H8975" s="3"/>
    </row>
    <row r="8976">
      <c r="A8976" s="2">
        <f>IFERROR(__xludf.DUMMYFUNCTION("""COMPUTED_VALUE"""),31089.0)</f>
        <v>31089</v>
      </c>
      <c r="B8976" s="3" t="str">
        <f>IFERROR(__xludf.DUMMYFUNCTION("""COMPUTED_VALUE"""),"1900 PERCY ST ")</f>
        <v>1900 PERCY ST </v>
      </c>
      <c r="C8976" s="3" t="str">
        <f>IFERROR(__xludf.DUMMYFUNCTION("""COMPUTED_VALUE"""),"CASTLETON")</f>
        <v>CASTLETON</v>
      </c>
      <c r="D8976" s="3" t="str">
        <f>IFERROR(__xludf.DUMMYFUNCTION("""COMPUTED_VALUE"""),"K0K 1M0")</f>
        <v>K0K 1M0</v>
      </c>
      <c r="E8976" s="3" t="str">
        <f>IFERROR(__xludf.DUMMYFUNCTION("""COMPUTED_VALUE"""),"Mark Watson")</f>
        <v>Mark Watson</v>
      </c>
      <c r="F8976" s="3" t="str">
        <f>IFERROR(__xludf.DUMMYFUNCTION("""COMPUTED_VALUE"""),"mkwatson@outlook.com")</f>
        <v>mkwatson@outlook.com</v>
      </c>
      <c r="G8976" s="3"/>
      <c r="H8976" s="3"/>
    </row>
    <row r="8977">
      <c r="A8977" s="2">
        <f>IFERROR(__xludf.DUMMYFUNCTION("""COMPUTED_VALUE"""),31090.0)</f>
        <v>31090</v>
      </c>
      <c r="B8977" s="3" t="str">
        <f>IFERROR(__xludf.DUMMYFUNCTION("""COMPUTED_VALUE"""),"1913 PERCY ST ")</f>
        <v>1913 PERCY ST </v>
      </c>
      <c r="C8977" s="3" t="str">
        <f>IFERROR(__xludf.DUMMYFUNCTION("""COMPUTED_VALUE"""),"CASTLETON")</f>
        <v>CASTLETON</v>
      </c>
      <c r="D8977" s="3" t="str">
        <f>IFERROR(__xludf.DUMMYFUNCTION("""COMPUTED_VALUE"""),"K0K 1M0")</f>
        <v>K0K 1M0</v>
      </c>
      <c r="E8977" s="3"/>
      <c r="F8977" s="3"/>
      <c r="G8977" s="3"/>
      <c r="H8977" s="3"/>
    </row>
    <row r="8978">
      <c r="A8978" s="2">
        <f>IFERROR(__xludf.DUMMYFUNCTION("""COMPUTED_VALUE"""),31091.0)</f>
        <v>31091</v>
      </c>
      <c r="B8978" s="3" t="str">
        <f>IFERROR(__xludf.DUMMYFUNCTION("""COMPUTED_VALUE"""),"1917 PERCY ST ")</f>
        <v>1917 PERCY ST </v>
      </c>
      <c r="C8978" s="3" t="str">
        <f>IFERROR(__xludf.DUMMYFUNCTION("""COMPUTED_VALUE"""),"CASTLETON")</f>
        <v>CASTLETON</v>
      </c>
      <c r="D8978" s="3" t="str">
        <f>IFERROR(__xludf.DUMMYFUNCTION("""COMPUTED_VALUE"""),"K0K 1M0")</f>
        <v>K0K 1M0</v>
      </c>
      <c r="E8978" s="3" t="str">
        <f>IFERROR(__xludf.DUMMYFUNCTION("""COMPUTED_VALUE"""),"Al Wilson")</f>
        <v>Al Wilson</v>
      </c>
      <c r="F8978" s="3" t="str">
        <f>IFERROR(__xludf.DUMMYFUNCTION("""COMPUTED_VALUE"""),"N/A")</f>
        <v>N/A</v>
      </c>
      <c r="G8978" s="3">
        <f>IFERROR(__xludf.DUMMYFUNCTION("""COMPUTED_VALUE"""),9.053775161E9)</f>
        <v>9053775161</v>
      </c>
      <c r="H8978" s="3"/>
    </row>
    <row r="8979">
      <c r="A8979" s="2">
        <f>IFERROR(__xludf.DUMMYFUNCTION("""COMPUTED_VALUE"""),31092.0)</f>
        <v>31092</v>
      </c>
      <c r="B8979" s="3" t="str">
        <f>IFERROR(__xludf.DUMMYFUNCTION("""COMPUTED_VALUE"""),"1924 PERCY ST ")</f>
        <v>1924 PERCY ST </v>
      </c>
      <c r="C8979" s="3" t="str">
        <f>IFERROR(__xludf.DUMMYFUNCTION("""COMPUTED_VALUE"""),"CASTLETON")</f>
        <v>CASTLETON</v>
      </c>
      <c r="D8979" s="3" t="str">
        <f>IFERROR(__xludf.DUMMYFUNCTION("""COMPUTED_VALUE"""),"K0K 1M0")</f>
        <v>K0K 1M0</v>
      </c>
      <c r="E8979" s="3"/>
      <c r="F8979" s="3"/>
      <c r="G8979" s="3"/>
      <c r="H8979" s="3"/>
    </row>
    <row r="8980">
      <c r="A8980" s="2">
        <f>IFERROR(__xludf.DUMMYFUNCTION("""COMPUTED_VALUE"""),31093.0)</f>
        <v>31093</v>
      </c>
      <c r="B8980" s="3" t="str">
        <f>IFERROR(__xludf.DUMMYFUNCTION("""COMPUTED_VALUE"""),"1925 PERCY ST ")</f>
        <v>1925 PERCY ST </v>
      </c>
      <c r="C8980" s="3" t="str">
        <f>IFERROR(__xludf.DUMMYFUNCTION("""COMPUTED_VALUE"""),"CASTLETON")</f>
        <v>CASTLETON</v>
      </c>
      <c r="D8980" s="3" t="str">
        <f>IFERROR(__xludf.DUMMYFUNCTION("""COMPUTED_VALUE"""),"K0K 1M0")</f>
        <v>K0K 1M0</v>
      </c>
      <c r="E8980" s="3" t="str">
        <f>IFERROR(__xludf.DUMMYFUNCTION("""COMPUTED_VALUE"""),"Jim Connolly")</f>
        <v>Jim Connolly</v>
      </c>
      <c r="F8980" s="3" t="str">
        <f>IFERROR(__xludf.DUMMYFUNCTION("""COMPUTED_VALUE"""),"N/A")</f>
        <v>N/A</v>
      </c>
      <c r="G8980" s="3">
        <f>IFERROR(__xludf.DUMMYFUNCTION("""COMPUTED_VALUE"""),9.053757295E9)</f>
        <v>9053757295</v>
      </c>
      <c r="H8980" s="3"/>
    </row>
    <row r="8981">
      <c r="A8981" s="2">
        <f>IFERROR(__xludf.DUMMYFUNCTION("""COMPUTED_VALUE"""),31094.0)</f>
        <v>31094</v>
      </c>
      <c r="B8981" s="3" t="str">
        <f>IFERROR(__xludf.DUMMYFUNCTION("""COMPUTED_VALUE"""),"1935 PERCY ST ")</f>
        <v>1935 PERCY ST </v>
      </c>
      <c r="C8981" s="3" t="str">
        <f>IFERROR(__xludf.DUMMYFUNCTION("""COMPUTED_VALUE"""),"CASTLETON")</f>
        <v>CASTLETON</v>
      </c>
      <c r="D8981" s="3" t="str">
        <f>IFERROR(__xludf.DUMMYFUNCTION("""COMPUTED_VALUE"""),"K0K 1M0")</f>
        <v>K0K 1M0</v>
      </c>
      <c r="E8981" s="3" t="str">
        <f>IFERROR(__xludf.DUMMYFUNCTION("""COMPUTED_VALUE"""),"David Piggott")</f>
        <v>David Piggott</v>
      </c>
      <c r="F8981" s="3" t="str">
        <f>IFERROR(__xludf.DUMMYFUNCTION("""COMPUTED_VALUE"""),"N/A")</f>
        <v>N/A</v>
      </c>
      <c r="G8981" s="3">
        <f>IFERROR(__xludf.DUMMYFUNCTION("""COMPUTED_VALUE"""),9.053447699E9)</f>
        <v>9053447699</v>
      </c>
      <c r="H8981" s="3"/>
    </row>
    <row r="8982">
      <c r="A8982" s="2">
        <f>IFERROR(__xludf.DUMMYFUNCTION("""COMPUTED_VALUE"""),31095.0)</f>
        <v>31095</v>
      </c>
      <c r="B8982" s="3" t="str">
        <f>IFERROR(__xludf.DUMMYFUNCTION("""COMPUTED_VALUE"""),"1938 PERCY ST ")</f>
        <v>1938 PERCY ST </v>
      </c>
      <c r="C8982" s="3" t="str">
        <f>IFERROR(__xludf.DUMMYFUNCTION("""COMPUTED_VALUE"""),"CASTLETON")</f>
        <v>CASTLETON</v>
      </c>
      <c r="D8982" s="3" t="str">
        <f>IFERROR(__xludf.DUMMYFUNCTION("""COMPUTED_VALUE"""),"K0K 1M0")</f>
        <v>K0K 1M0</v>
      </c>
      <c r="E8982" s="3"/>
      <c r="F8982" s="3"/>
      <c r="G8982" s="3"/>
      <c r="H8982" s="3"/>
    </row>
    <row r="8983">
      <c r="A8983" s="2">
        <f>IFERROR(__xludf.DUMMYFUNCTION("""COMPUTED_VALUE"""),31096.0)</f>
        <v>31096</v>
      </c>
      <c r="B8983" s="3" t="str">
        <f>IFERROR(__xludf.DUMMYFUNCTION("""COMPUTED_VALUE"""),"1957 PERCY ST ")</f>
        <v>1957 PERCY ST </v>
      </c>
      <c r="C8983" s="3" t="str">
        <f>IFERROR(__xludf.DUMMYFUNCTION("""COMPUTED_VALUE"""),"CASTLETON")</f>
        <v>CASTLETON</v>
      </c>
      <c r="D8983" s="3" t="str">
        <f>IFERROR(__xludf.DUMMYFUNCTION("""COMPUTED_VALUE"""),"K0K 1M0")</f>
        <v>K0K 1M0</v>
      </c>
      <c r="E8983" s="3"/>
      <c r="F8983" s="3"/>
      <c r="G8983" s="3"/>
      <c r="H8983" s="3"/>
    </row>
    <row r="8984">
      <c r="A8984" s="2">
        <f>IFERROR(__xludf.DUMMYFUNCTION("""COMPUTED_VALUE"""),31097.0)</f>
        <v>31097</v>
      </c>
      <c r="B8984" s="3" t="str">
        <f>IFERROR(__xludf.DUMMYFUNCTION("""COMPUTED_VALUE"""),"1958 PERCY ST ")</f>
        <v>1958 PERCY ST </v>
      </c>
      <c r="C8984" s="3" t="str">
        <f>IFERROR(__xludf.DUMMYFUNCTION("""COMPUTED_VALUE"""),"CASTLETON")</f>
        <v>CASTLETON</v>
      </c>
      <c r="D8984" s="3" t="str">
        <f>IFERROR(__xludf.DUMMYFUNCTION("""COMPUTED_VALUE"""),"K0K 1M0")</f>
        <v>K0K 1M0</v>
      </c>
      <c r="E8984" s="3" t="str">
        <f>IFERROR(__xludf.DUMMYFUNCTION("""COMPUTED_VALUE"""),"Robin Ellinger")</f>
        <v>Robin Ellinger</v>
      </c>
      <c r="F8984" s="3" t="str">
        <f>IFERROR(__xludf.DUMMYFUNCTION("""COMPUTED_VALUE"""),"classiedog@hotmail.ca")</f>
        <v>classiedog@hotmail.ca</v>
      </c>
      <c r="G8984" s="3"/>
      <c r="H8984" s="3"/>
    </row>
    <row r="8985">
      <c r="A8985" s="2">
        <f>IFERROR(__xludf.DUMMYFUNCTION("""COMPUTED_VALUE"""),31098.0)</f>
        <v>31098</v>
      </c>
      <c r="B8985" s="3" t="str">
        <f>IFERROR(__xludf.DUMMYFUNCTION("""COMPUTED_VALUE"""),"1964 PERCY ST ")</f>
        <v>1964 PERCY ST </v>
      </c>
      <c r="C8985" s="3" t="str">
        <f>IFERROR(__xludf.DUMMYFUNCTION("""COMPUTED_VALUE"""),"CASTLETON")</f>
        <v>CASTLETON</v>
      </c>
      <c r="D8985" s="3" t="str">
        <f>IFERROR(__xludf.DUMMYFUNCTION("""COMPUTED_VALUE"""),"K0K 1M0")</f>
        <v>K0K 1M0</v>
      </c>
      <c r="E8985" s="3" t="str">
        <f>IFERROR(__xludf.DUMMYFUNCTION("""COMPUTED_VALUE"""),"Dwayne Chahlay")</f>
        <v>Dwayne Chahlay</v>
      </c>
      <c r="F8985" s="3" t="str">
        <f>IFERROR(__xludf.DUMMYFUNCTION("""COMPUTED_VALUE"""),"dwaynechahlay@gmail.com")</f>
        <v>dwaynechahlay@gmail.com</v>
      </c>
      <c r="G8985" s="3"/>
      <c r="H8985" s="3"/>
    </row>
    <row r="8986">
      <c r="A8986" s="2">
        <f>IFERROR(__xludf.DUMMYFUNCTION("""COMPUTED_VALUE"""),31099.0)</f>
        <v>31099</v>
      </c>
      <c r="B8986" s="3" t="str">
        <f>IFERROR(__xludf.DUMMYFUNCTION("""COMPUTED_VALUE"""),"1969 PERCY ST ")</f>
        <v>1969 PERCY ST </v>
      </c>
      <c r="C8986" s="3" t="str">
        <f>IFERROR(__xludf.DUMMYFUNCTION("""COMPUTED_VALUE"""),"CASTLETON")</f>
        <v>CASTLETON</v>
      </c>
      <c r="D8986" s="3" t="str">
        <f>IFERROR(__xludf.DUMMYFUNCTION("""COMPUTED_VALUE"""),"K0K 1M0")</f>
        <v>K0K 1M0</v>
      </c>
      <c r="E8986" s="3"/>
      <c r="F8986" s="3"/>
      <c r="G8986" s="3"/>
      <c r="H8986" s="3"/>
    </row>
    <row r="8987">
      <c r="A8987" s="2">
        <f>IFERROR(__xludf.DUMMYFUNCTION("""COMPUTED_VALUE"""),31100.0)</f>
        <v>31100</v>
      </c>
      <c r="B8987" s="3" t="str">
        <f>IFERROR(__xludf.DUMMYFUNCTION("""COMPUTED_VALUE"""),"1979 PERCY ST ")</f>
        <v>1979 PERCY ST </v>
      </c>
      <c r="C8987" s="3" t="str">
        <f>IFERROR(__xludf.DUMMYFUNCTION("""COMPUTED_VALUE"""),"CASTLETON")</f>
        <v>CASTLETON</v>
      </c>
      <c r="D8987" s="3" t="str">
        <f>IFERROR(__xludf.DUMMYFUNCTION("""COMPUTED_VALUE"""),"K0K 1M0")</f>
        <v>K0K 1M0</v>
      </c>
      <c r="E8987" s="3"/>
      <c r="F8987" s="3"/>
      <c r="G8987" s="3"/>
      <c r="H8987" s="3"/>
    </row>
    <row r="8988">
      <c r="A8988" s="2">
        <f>IFERROR(__xludf.DUMMYFUNCTION("""COMPUTED_VALUE"""),31101.0)</f>
        <v>31101</v>
      </c>
      <c r="B8988" s="3" t="str">
        <f>IFERROR(__xludf.DUMMYFUNCTION("""COMPUTED_VALUE"""),"1980 PERCY ST ")</f>
        <v>1980 PERCY ST </v>
      </c>
      <c r="C8988" s="3" t="str">
        <f>IFERROR(__xludf.DUMMYFUNCTION("""COMPUTED_VALUE"""),"CASTLETON")</f>
        <v>CASTLETON</v>
      </c>
      <c r="D8988" s="3" t="str">
        <f>IFERROR(__xludf.DUMMYFUNCTION("""COMPUTED_VALUE"""),"K0K 1M0")</f>
        <v>K0K 1M0</v>
      </c>
      <c r="E8988" s="3"/>
      <c r="F8988" s="3"/>
      <c r="G8988" s="3"/>
      <c r="H8988" s="3"/>
    </row>
    <row r="8989">
      <c r="A8989" s="2">
        <f>IFERROR(__xludf.DUMMYFUNCTION("""COMPUTED_VALUE"""),31102.0)</f>
        <v>31102</v>
      </c>
      <c r="B8989" s="3" t="str">
        <f>IFERROR(__xludf.DUMMYFUNCTION("""COMPUTED_VALUE"""),"1981 PERCY ST ")</f>
        <v>1981 PERCY ST </v>
      </c>
      <c r="C8989" s="3" t="str">
        <f>IFERROR(__xludf.DUMMYFUNCTION("""COMPUTED_VALUE"""),"CASTLETON")</f>
        <v>CASTLETON</v>
      </c>
      <c r="D8989" s="3" t="str">
        <f>IFERROR(__xludf.DUMMYFUNCTION("""COMPUTED_VALUE"""),"K0K 1M0")</f>
        <v>K0K 1M0</v>
      </c>
      <c r="E8989" s="3" t="str">
        <f>IFERROR(__xludf.DUMMYFUNCTION("""COMPUTED_VALUE"""),"Rich Line")</f>
        <v>Rich Line</v>
      </c>
      <c r="F8989" s="3" t="str">
        <f>IFERROR(__xludf.DUMMYFUNCTION("""COMPUTED_VALUE"""),"N/A")</f>
        <v>N/A</v>
      </c>
      <c r="G8989" s="3"/>
      <c r="H8989" s="3"/>
    </row>
    <row r="8990">
      <c r="A8990" s="2">
        <f>IFERROR(__xludf.DUMMYFUNCTION("""COMPUTED_VALUE"""),31103.0)</f>
        <v>31103</v>
      </c>
      <c r="B8990" s="3" t="str">
        <f>IFERROR(__xludf.DUMMYFUNCTION("""COMPUTED_VALUE"""),"1995 PERCY ST ")</f>
        <v>1995 PERCY ST </v>
      </c>
      <c r="C8990" s="3" t="str">
        <f>IFERROR(__xludf.DUMMYFUNCTION("""COMPUTED_VALUE"""),"CASTLETON")</f>
        <v>CASTLETON</v>
      </c>
      <c r="D8990" s="3" t="str">
        <f>IFERROR(__xludf.DUMMYFUNCTION("""COMPUTED_VALUE"""),"K0K 1M0")</f>
        <v>K0K 1M0</v>
      </c>
      <c r="E8990" s="3" t="str">
        <f>IFERROR(__xludf.DUMMYFUNCTION("""COMPUTED_VALUE"""),"Jesse Viaene")</f>
        <v>Jesse Viaene</v>
      </c>
      <c r="F8990" s="3" t="str">
        <f>IFERROR(__xludf.DUMMYFUNCTION("""COMPUTED_VALUE"""),"N/A")</f>
        <v>N/A</v>
      </c>
      <c r="G8990" s="3"/>
      <c r="H8990" s="3"/>
    </row>
    <row r="8991">
      <c r="A8991" s="2">
        <f>IFERROR(__xludf.DUMMYFUNCTION("""COMPUTED_VALUE"""),31104.0)</f>
        <v>31104</v>
      </c>
      <c r="B8991" s="3" t="str">
        <f>IFERROR(__xludf.DUMMYFUNCTION("""COMPUTED_VALUE"""),"1996 PERCY ST ")</f>
        <v>1996 PERCY ST </v>
      </c>
      <c r="C8991" s="3" t="str">
        <f>IFERROR(__xludf.DUMMYFUNCTION("""COMPUTED_VALUE"""),"CASTLETON")</f>
        <v>CASTLETON</v>
      </c>
      <c r="D8991" s="3" t="str">
        <f>IFERROR(__xludf.DUMMYFUNCTION("""COMPUTED_VALUE"""),"K0K 1M0")</f>
        <v>K0K 1M0</v>
      </c>
      <c r="E8991" s="3" t="str">
        <f>IFERROR(__xludf.DUMMYFUNCTION("""COMPUTED_VALUE"""),"Bruce Bryant")</f>
        <v>Bruce Bryant</v>
      </c>
      <c r="F8991" s="3" t="str">
        <f>IFERROR(__xludf.DUMMYFUNCTION("""COMPUTED_VALUE"""),"N/A")</f>
        <v>N/A</v>
      </c>
      <c r="G8991" s="3">
        <f>IFERROR(__xludf.DUMMYFUNCTION("""COMPUTED_VALUE"""),9.052079485E9)</f>
        <v>9052079485</v>
      </c>
      <c r="H8991" s="3"/>
    </row>
    <row r="8992">
      <c r="A8992" s="2">
        <f>IFERROR(__xludf.DUMMYFUNCTION("""COMPUTED_VALUE"""),31105.0)</f>
        <v>31105</v>
      </c>
      <c r="B8992" s="3" t="str">
        <f>IFERROR(__xludf.DUMMYFUNCTION("""COMPUTED_VALUE"""),"2002 PERCY ST ")</f>
        <v>2002 PERCY ST </v>
      </c>
      <c r="C8992" s="3" t="str">
        <f>IFERROR(__xludf.DUMMYFUNCTION("""COMPUTED_VALUE"""),"CASTLETON")</f>
        <v>CASTLETON</v>
      </c>
      <c r="D8992" s="3" t="str">
        <f>IFERROR(__xludf.DUMMYFUNCTION("""COMPUTED_VALUE"""),"K0K 1M0")</f>
        <v>K0K 1M0</v>
      </c>
      <c r="E8992" s="3"/>
      <c r="F8992" s="3"/>
      <c r="G8992" s="3"/>
      <c r="H8992" s="3"/>
    </row>
    <row r="8993">
      <c r="A8993" s="2">
        <f>IFERROR(__xludf.DUMMYFUNCTION("""COMPUTED_VALUE"""),31106.0)</f>
        <v>31106</v>
      </c>
      <c r="B8993" s="3" t="str">
        <f>IFERROR(__xludf.DUMMYFUNCTION("""COMPUTED_VALUE"""),"114 PETE'S RD ")</f>
        <v>114 PETE'S RD </v>
      </c>
      <c r="C8993" s="3" t="str">
        <f>IFERROR(__xludf.DUMMYFUNCTION("""COMPUTED_VALUE"""),"GRAFTON")</f>
        <v>GRAFTON</v>
      </c>
      <c r="D8993" s="3" t="str">
        <f>IFERROR(__xludf.DUMMYFUNCTION("""COMPUTED_VALUE"""),"K0K 2G0")</f>
        <v>K0K 2G0</v>
      </c>
      <c r="E8993" s="3" t="str">
        <f>IFERROR(__xludf.DUMMYFUNCTION("""COMPUTED_VALUE"""),"Mike Tobias")</f>
        <v>Mike Tobias</v>
      </c>
      <c r="F8993" s="3"/>
      <c r="G8993" s="3">
        <f>IFERROR(__xludf.DUMMYFUNCTION("""COMPUTED_VALUE"""),4.166244329E9)</f>
        <v>4166244329</v>
      </c>
      <c r="H8993" s="3"/>
    </row>
    <row r="8994">
      <c r="A8994" s="2">
        <f>IFERROR(__xludf.DUMMYFUNCTION("""COMPUTED_VALUE"""),31107.0)</f>
        <v>31107</v>
      </c>
      <c r="B8994" s="3" t="str">
        <f>IFERROR(__xludf.DUMMYFUNCTION("""COMPUTED_VALUE"""),"115 PETE'S RD ")</f>
        <v>115 PETE'S RD </v>
      </c>
      <c r="C8994" s="3" t="str">
        <f>IFERROR(__xludf.DUMMYFUNCTION("""COMPUTED_VALUE"""),"GRAFTON")</f>
        <v>GRAFTON</v>
      </c>
      <c r="D8994" s="3" t="str">
        <f>IFERROR(__xludf.DUMMYFUNCTION("""COMPUTED_VALUE"""),"K0K 2G0")</f>
        <v>K0K 2G0</v>
      </c>
      <c r="E8994" s="3" t="str">
        <f>IFERROR(__xludf.DUMMYFUNCTION("""COMPUTED_VALUE"""),"Mike Tobias")</f>
        <v>Mike Tobias</v>
      </c>
      <c r="F8994" s="3"/>
      <c r="G8994" s="3">
        <f>IFERROR(__xludf.DUMMYFUNCTION("""COMPUTED_VALUE"""),4.166244329E9)</f>
        <v>4166244329</v>
      </c>
      <c r="H8994" s="3"/>
    </row>
    <row r="8995">
      <c r="A8995" s="2">
        <f>IFERROR(__xludf.DUMMYFUNCTION("""COMPUTED_VALUE"""),31108.0)</f>
        <v>31108</v>
      </c>
      <c r="B8995" s="3" t="str">
        <f>IFERROR(__xludf.DUMMYFUNCTION("""COMPUTED_VALUE"""),"103 PHASEY RD ")</f>
        <v>103 PHASEY RD </v>
      </c>
      <c r="C8995" s="3" t="str">
        <f>IFERROR(__xludf.DUMMYFUNCTION("""COMPUTED_VALUE"""),"CASTLETON")</f>
        <v>CASTLETON</v>
      </c>
      <c r="D8995" s="3" t="str">
        <f>IFERROR(__xludf.DUMMYFUNCTION("""COMPUTED_VALUE"""),"K0K 1M0")</f>
        <v>K0K 1M0</v>
      </c>
      <c r="E8995" s="3" t="str">
        <f>IFERROR(__xludf.DUMMYFUNCTION("""COMPUTED_VALUE"""),"Lavinia Inbar")</f>
        <v>Lavinia Inbar</v>
      </c>
      <c r="F8995" s="3" t="str">
        <f>IFERROR(__xludf.DUMMYFUNCTION("""COMPUTED_VALUE"""),"laviniainbar@gmail.com")</f>
        <v>laviniainbar@gmail.com</v>
      </c>
      <c r="G8995" s="3">
        <f>IFERROR(__xludf.DUMMYFUNCTION("""COMPUTED_VALUE"""),9.053448357E9)</f>
        <v>9053448357</v>
      </c>
      <c r="H8995" s="3">
        <f>IFERROR(__xludf.DUMMYFUNCTION("""COMPUTED_VALUE"""),2.898290359E9)</f>
        <v>2898290359</v>
      </c>
    </row>
    <row r="8996">
      <c r="A8996" s="2">
        <f>IFERROR(__xludf.DUMMYFUNCTION("""COMPUTED_VALUE"""),31109.0)</f>
        <v>31109</v>
      </c>
      <c r="B8996" s="3" t="str">
        <f>IFERROR(__xludf.DUMMYFUNCTION("""COMPUTED_VALUE"""),"113 PHASEY RD ")</f>
        <v>113 PHASEY RD </v>
      </c>
      <c r="C8996" s="3" t="str">
        <f>IFERROR(__xludf.DUMMYFUNCTION("""COMPUTED_VALUE"""),"CASTLETON")</f>
        <v>CASTLETON</v>
      </c>
      <c r="D8996" s="3" t="str">
        <f>IFERROR(__xludf.DUMMYFUNCTION("""COMPUTED_VALUE"""),"K0K 1M0")</f>
        <v>K0K 1M0</v>
      </c>
      <c r="E8996" s="3" t="str">
        <f>IFERROR(__xludf.DUMMYFUNCTION("""COMPUTED_VALUE"""),"Viktoria Karpets")</f>
        <v>Viktoria Karpets</v>
      </c>
      <c r="F8996" s="3" t="str">
        <f>IFERROR(__xludf.DUMMYFUNCTION("""COMPUTED_VALUE"""),"viktoria_faces@hotmail.com")</f>
        <v>viktoria_faces@hotmail.com</v>
      </c>
      <c r="G8996" s="3">
        <f>IFERROR(__xludf.DUMMYFUNCTION("""COMPUTED_VALUE"""),4.167227552E9)</f>
        <v>4167227552</v>
      </c>
      <c r="H8996" s="3"/>
    </row>
    <row r="8997">
      <c r="A8997" s="2">
        <f>IFERROR(__xludf.DUMMYFUNCTION("""COMPUTED_VALUE"""),31110.0)</f>
        <v>31110</v>
      </c>
      <c r="B8997" s="3" t="str">
        <f>IFERROR(__xludf.DUMMYFUNCTION("""COMPUTED_VALUE"""),"125 PHASEY RD ")</f>
        <v>125 PHASEY RD </v>
      </c>
      <c r="C8997" s="3" t="str">
        <f>IFERROR(__xludf.DUMMYFUNCTION("""COMPUTED_VALUE"""),"CASTLETON")</f>
        <v>CASTLETON</v>
      </c>
      <c r="D8997" s="3" t="str">
        <f>IFERROR(__xludf.DUMMYFUNCTION("""COMPUTED_VALUE"""),"K0K 1M0")</f>
        <v>K0K 1M0</v>
      </c>
      <c r="E8997" s="3" t="str">
        <f>IFERROR(__xludf.DUMMYFUNCTION("""COMPUTED_VALUE"""),"C. Phillip Pace")</f>
        <v>C. Phillip Pace</v>
      </c>
      <c r="F8997" s="3" t="str">
        <f>IFERROR(__xludf.DUMMYFUNCTION("""COMPUTED_VALUE"""),"ppace54@hotmail.com")</f>
        <v>ppace54@hotmail.com</v>
      </c>
      <c r="G8997" s="3">
        <f>IFERROR(__xludf.DUMMYFUNCTION("""COMPUTED_VALUE"""),9.053766596E9)</f>
        <v>9053766596</v>
      </c>
      <c r="H8997" s="3"/>
    </row>
    <row r="8998">
      <c r="A8998" s="2">
        <f>IFERROR(__xludf.DUMMYFUNCTION("""COMPUTED_VALUE"""),31111.0)</f>
        <v>31111</v>
      </c>
      <c r="B8998" s="3" t="str">
        <f>IFERROR(__xludf.DUMMYFUNCTION("""COMPUTED_VALUE"""),"133 PHASEY RD ")</f>
        <v>133 PHASEY RD </v>
      </c>
      <c r="C8998" s="3" t="str">
        <f>IFERROR(__xludf.DUMMYFUNCTION("""COMPUTED_VALUE"""),"CASTLETON")</f>
        <v>CASTLETON</v>
      </c>
      <c r="D8998" s="3" t="str">
        <f>IFERROR(__xludf.DUMMYFUNCTION("""COMPUTED_VALUE"""),"K0K 1M0")</f>
        <v>K0K 1M0</v>
      </c>
      <c r="E8998" s="3" t="str">
        <f>IFERROR(__xludf.DUMMYFUNCTION("""COMPUTED_VALUE"""),"Katrina Sainsbury")</f>
        <v>Katrina Sainsbury</v>
      </c>
      <c r="F8998" s="3" t="str">
        <f>IFERROR(__xludf.DUMMYFUNCTION("""COMPUTED_VALUE"""),"trina.pope@icloud.ca")</f>
        <v>trina.pope@icloud.ca</v>
      </c>
      <c r="G8998" s="3">
        <f>IFERROR(__xludf.DUMMYFUNCTION("""COMPUTED_VALUE"""),7.059318083E9)</f>
        <v>7059318083</v>
      </c>
      <c r="H8998" s="3"/>
    </row>
    <row r="8999">
      <c r="A8999" s="2">
        <f>IFERROR(__xludf.DUMMYFUNCTION("""COMPUTED_VALUE"""),31112.0)</f>
        <v>31112</v>
      </c>
      <c r="B8999" s="3" t="str">
        <f>IFERROR(__xludf.DUMMYFUNCTION("""COMPUTED_VALUE"""),"145 PHASEY RD ")</f>
        <v>145 PHASEY RD </v>
      </c>
      <c r="C8999" s="3" t="str">
        <f>IFERROR(__xludf.DUMMYFUNCTION("""COMPUTED_VALUE"""),"CASTLETON")</f>
        <v>CASTLETON</v>
      </c>
      <c r="D8999" s="3" t="str">
        <f>IFERROR(__xludf.DUMMYFUNCTION("""COMPUTED_VALUE"""),"K0K 1M0")</f>
        <v>K0K 1M0</v>
      </c>
      <c r="E8999" s="3" t="str">
        <f>IFERROR(__xludf.DUMMYFUNCTION("""COMPUTED_VALUE"""),"Kim Collins")</f>
        <v>Kim Collins</v>
      </c>
      <c r="F8999" s="3" t="str">
        <f>IFERROR(__xludf.DUMMYFUNCTION("""COMPUTED_VALUE"""),"kimnoble@hotmail.ca")</f>
        <v>kimnoble@hotmail.ca</v>
      </c>
      <c r="G8999" s="3">
        <f>IFERROR(__xludf.DUMMYFUNCTION("""COMPUTED_VALUE"""),7.056278221E9)</f>
        <v>7056278221</v>
      </c>
      <c r="H8999" s="3"/>
    </row>
    <row r="9000">
      <c r="A9000" s="2">
        <f>IFERROR(__xludf.DUMMYFUNCTION("""COMPUTED_VALUE"""),31113.0)</f>
        <v>31113</v>
      </c>
      <c r="B9000" s="3" t="str">
        <f>IFERROR(__xludf.DUMMYFUNCTION("""COMPUTED_VALUE"""),"153 PHASEY RD ")</f>
        <v>153 PHASEY RD </v>
      </c>
      <c r="C9000" s="3" t="str">
        <f>IFERROR(__xludf.DUMMYFUNCTION("""COMPUTED_VALUE"""),"CASTLETON")</f>
        <v>CASTLETON</v>
      </c>
      <c r="D9000" s="3" t="str">
        <f>IFERROR(__xludf.DUMMYFUNCTION("""COMPUTED_VALUE"""),"K0K 1M0")</f>
        <v>K0K 1M0</v>
      </c>
      <c r="E9000" s="3"/>
      <c r="F9000" s="3"/>
      <c r="G9000" s="3"/>
      <c r="H9000" s="3"/>
    </row>
    <row r="9001">
      <c r="A9001" s="2">
        <f>IFERROR(__xludf.DUMMYFUNCTION("""COMPUTED_VALUE"""),31115.0)</f>
        <v>31115</v>
      </c>
      <c r="B9001" s="3" t="str">
        <f>IFERROR(__xludf.DUMMYFUNCTION("""COMPUTED_VALUE"""),"104 PINE ST ")</f>
        <v>104 PINE ST </v>
      </c>
      <c r="C9001" s="3" t="str">
        <f>IFERROR(__xludf.DUMMYFUNCTION("""COMPUTED_VALUE"""),"CASTLETON")</f>
        <v>CASTLETON</v>
      </c>
      <c r="D9001" s="3" t="str">
        <f>IFERROR(__xludf.DUMMYFUNCTION("""COMPUTED_VALUE"""),"K0K 1M0")</f>
        <v>K0K 1M0</v>
      </c>
      <c r="E9001" s="3" t="str">
        <f>IFERROR(__xludf.DUMMYFUNCTION("""COMPUTED_VALUE"""),"Virginia Stevens")</f>
        <v>Virginia Stevens</v>
      </c>
      <c r="F9001" s="3" t="str">
        <f>IFERROR(__xludf.DUMMYFUNCTION("""COMPUTED_VALUE"""),"N/A")</f>
        <v>N/A</v>
      </c>
      <c r="G9001" s="3"/>
      <c r="H9001" s="3"/>
    </row>
    <row r="9002">
      <c r="A9002" s="2">
        <f>IFERROR(__xludf.DUMMYFUNCTION("""COMPUTED_VALUE"""),31116.0)</f>
        <v>31116</v>
      </c>
      <c r="B9002" s="3" t="str">
        <f>IFERROR(__xludf.DUMMYFUNCTION("""COMPUTED_VALUE"""),"107 PINE ST ")</f>
        <v>107 PINE ST </v>
      </c>
      <c r="C9002" s="3" t="str">
        <f>IFERROR(__xludf.DUMMYFUNCTION("""COMPUTED_VALUE"""),"CASTLETON")</f>
        <v>CASTLETON</v>
      </c>
      <c r="D9002" s="3" t="str">
        <f>IFERROR(__xludf.DUMMYFUNCTION("""COMPUTED_VALUE"""),"K0K 1M0")</f>
        <v>K0K 1M0</v>
      </c>
      <c r="E9002" s="3" t="str">
        <f>IFERROR(__xludf.DUMMYFUNCTION("""COMPUTED_VALUE"""),"Mitch Stiele")</f>
        <v>Mitch Stiele</v>
      </c>
      <c r="F9002" s="3" t="str">
        <f>IFERROR(__xludf.DUMMYFUNCTION("""COMPUTED_VALUE"""),"N/A")</f>
        <v>N/A</v>
      </c>
      <c r="G9002" s="3"/>
      <c r="H9002" s="3"/>
    </row>
    <row r="9003">
      <c r="A9003" s="2">
        <f>IFERROR(__xludf.DUMMYFUNCTION("""COMPUTED_VALUE"""),31129.0)</f>
        <v>31129</v>
      </c>
      <c r="B9003" s="3" t="str">
        <f>IFERROR(__xludf.DUMMYFUNCTION("""COMPUTED_VALUE"""),"140 PINE GROVE RD")</f>
        <v>140 PINE GROVE RD</v>
      </c>
      <c r="C9003" s="3"/>
      <c r="D9003" s="3"/>
      <c r="E9003" s="3" t="str">
        <f>IFERROR(__xludf.DUMMYFUNCTION("""COMPUTED_VALUE"""),"Joe Accardi")</f>
        <v>Joe Accardi</v>
      </c>
      <c r="F9003" s="3"/>
      <c r="G9003" s="3">
        <f>IFERROR(__xludf.DUMMYFUNCTION("""COMPUTED_VALUE"""),4.164566298E9)</f>
        <v>4164566298</v>
      </c>
      <c r="H9003" s="3"/>
    </row>
    <row r="9004">
      <c r="A9004" s="2">
        <f>IFERROR(__xludf.DUMMYFUNCTION("""COMPUTED_VALUE"""),31130.0)</f>
        <v>31130</v>
      </c>
      <c r="B9004" s="3" t="str">
        <f>IFERROR(__xludf.DUMMYFUNCTION("""COMPUTED_VALUE"""),"219 PINE GROVE RD")</f>
        <v>219 PINE GROVE RD</v>
      </c>
      <c r="C9004" s="3"/>
      <c r="D9004" s="3"/>
      <c r="E9004" s="3" t="str">
        <f>IFERROR(__xludf.DUMMYFUNCTION("""COMPUTED_VALUE"""),"Dough Stanley")</f>
        <v>Dough Stanley</v>
      </c>
      <c r="F9004" s="3"/>
      <c r="G9004" s="3">
        <f>IFERROR(__xludf.DUMMYFUNCTION("""COMPUTED_VALUE"""),9.053447003E9)</f>
        <v>9053447003</v>
      </c>
      <c r="H9004" s="3"/>
    </row>
    <row r="9005">
      <c r="A9005" s="2">
        <f>IFERROR(__xludf.DUMMYFUNCTION("""COMPUTED_VALUE"""),31131.0)</f>
        <v>31131</v>
      </c>
      <c r="B9005" s="3" t="str">
        <f>IFERROR(__xludf.DUMMYFUNCTION("""COMPUTED_VALUE"""),"259 PINEGROVE RD")</f>
        <v>259 PINEGROVE RD</v>
      </c>
      <c r="C9005" s="3"/>
      <c r="D9005" s="3"/>
      <c r="E9005" s="3"/>
      <c r="F9005" s="3"/>
      <c r="G9005" s="3"/>
      <c r="H9005" s="3"/>
    </row>
    <row r="9006">
      <c r="A9006" s="2">
        <f>IFERROR(__xludf.DUMMYFUNCTION("""COMPUTED_VALUE"""),31132.0)</f>
        <v>31132</v>
      </c>
      <c r="B9006" s="3" t="str">
        <f>IFERROR(__xludf.DUMMYFUNCTION("""COMPUTED_VALUE"""),"264 PINE GROVE RD")</f>
        <v>264 PINE GROVE RD</v>
      </c>
      <c r="C9006" s="3"/>
      <c r="D9006" s="3"/>
      <c r="E9006" s="3" t="str">
        <f>IFERROR(__xludf.DUMMYFUNCTION("""COMPUTED_VALUE"""),"Bonnie Mcdonald")</f>
        <v>Bonnie Mcdonald</v>
      </c>
      <c r="F9006" s="3"/>
      <c r="G9006" s="3">
        <f>IFERROR(__xludf.DUMMYFUNCTION("""COMPUTED_VALUE"""),9.053773323E9)</f>
        <v>9053773323</v>
      </c>
      <c r="H9006" s="3"/>
    </row>
    <row r="9007">
      <c r="A9007" s="2">
        <f>IFERROR(__xludf.DUMMYFUNCTION("""COMPUTED_VALUE"""),31133.0)</f>
        <v>31133</v>
      </c>
      <c r="B9007" s="3" t="str">
        <f>IFERROR(__xludf.DUMMYFUNCTION("""COMPUTED_VALUE"""),"313 PINE GROVE RD")</f>
        <v>313 PINE GROVE RD</v>
      </c>
      <c r="C9007" s="3"/>
      <c r="D9007" s="3"/>
      <c r="E9007" s="3" t="str">
        <f>IFERROR(__xludf.DUMMYFUNCTION("""COMPUTED_VALUE"""),"John McMahon")</f>
        <v>John McMahon</v>
      </c>
      <c r="F9007" s="3" t="str">
        <f>IFERROR(__xludf.DUMMYFUNCTION("""COMPUTED_VALUE"""),"N/A")</f>
        <v>N/A</v>
      </c>
      <c r="G9007" s="3"/>
      <c r="H9007" s="3"/>
    </row>
    <row r="9008">
      <c r="A9008" s="2">
        <f>IFERROR(__xludf.DUMMYFUNCTION("""COMPUTED_VALUE"""),31134.0)</f>
        <v>31134</v>
      </c>
      <c r="B9008" s="3" t="str">
        <f>IFERROR(__xludf.DUMMYFUNCTION("""COMPUTED_VALUE"""),"315 PINE GROVE RD")</f>
        <v>315 PINE GROVE RD</v>
      </c>
      <c r="C9008" s="3"/>
      <c r="D9008" s="3"/>
      <c r="E9008" s="3" t="str">
        <f>IFERROR(__xludf.DUMMYFUNCTION("""COMPUTED_VALUE"""),"Lenore Partridge")</f>
        <v>Lenore Partridge</v>
      </c>
      <c r="F9008" s="3"/>
      <c r="G9008" s="3">
        <f>IFERROR(__xludf.DUMMYFUNCTION("""COMPUTED_VALUE"""),9.053760829E9)</f>
        <v>9053760829</v>
      </c>
      <c r="H9008" s="3"/>
    </row>
    <row r="9009">
      <c r="A9009" s="2">
        <f>IFERROR(__xludf.DUMMYFUNCTION("""COMPUTED_VALUE"""),31135.0)</f>
        <v>31135</v>
      </c>
      <c r="B9009" s="3" t="str">
        <f>IFERROR(__xludf.DUMMYFUNCTION("""COMPUTED_VALUE"""),"374 PINE GROVE RD")</f>
        <v>374 PINE GROVE RD</v>
      </c>
      <c r="C9009" s="3"/>
      <c r="D9009" s="3"/>
      <c r="E9009" s="3" t="str">
        <f>IFERROR(__xludf.DUMMYFUNCTION("""COMPUTED_VALUE"""),"Brian Larian")</f>
        <v>Brian Larian</v>
      </c>
      <c r="F9009" s="3" t="str">
        <f>IFERROR(__xludf.DUMMYFUNCTION("""COMPUTED_VALUE"""),"brnlrn187@gmail.com")</f>
        <v>brnlrn187@gmail.com</v>
      </c>
      <c r="G9009" s="3"/>
      <c r="H9009" s="3"/>
    </row>
    <row r="9010">
      <c r="A9010" s="2">
        <f>IFERROR(__xludf.DUMMYFUNCTION("""COMPUTED_VALUE"""),31136.0)</f>
        <v>31136</v>
      </c>
      <c r="B9010" s="3" t="str">
        <f>IFERROR(__xludf.DUMMYFUNCTION("""COMPUTED_VALUE"""),"385 PINE GROVE RD")</f>
        <v>385 PINE GROVE RD</v>
      </c>
      <c r="C9010" s="3"/>
      <c r="D9010" s="3"/>
      <c r="E9010" s="3" t="str">
        <f>IFERROR(__xludf.DUMMYFUNCTION("""COMPUTED_VALUE"""),"Donna Clarke")</f>
        <v>Donna Clarke</v>
      </c>
      <c r="F9010" s="3"/>
      <c r="G9010" s="3">
        <f>IFERROR(__xludf.DUMMYFUNCTION("""COMPUTED_VALUE"""),9.053447421E9)</f>
        <v>9053447421</v>
      </c>
      <c r="H9010" s="3"/>
    </row>
    <row r="9011">
      <c r="A9011" s="2">
        <f>IFERROR(__xludf.DUMMYFUNCTION("""COMPUTED_VALUE"""),31567.0)</f>
        <v>31567</v>
      </c>
      <c r="B9011" s="3" t="str">
        <f>IFERROR(__xludf.DUMMYFUNCTION("""COMPUTED_VALUE"""),"388 PINE GROVE RD")</f>
        <v>388 PINE GROVE RD</v>
      </c>
      <c r="C9011" s="3" t="str">
        <f>IFERROR(__xludf.DUMMYFUNCTION("""COMPUTED_VALUE"""),"CASTLETON")</f>
        <v>CASTLETON</v>
      </c>
      <c r="D9011" s="3" t="str">
        <f>IFERROR(__xludf.DUMMYFUNCTION("""COMPUTED_VALUE"""),"K0K 1M0")</f>
        <v>K0K 1M0</v>
      </c>
      <c r="E9011" s="3" t="str">
        <f>IFERROR(__xludf.DUMMYFUNCTION("""COMPUTED_VALUE"""),"Sherri Rasmussen")</f>
        <v>Sherri Rasmussen</v>
      </c>
      <c r="F9011" s="3" t="str">
        <f>IFERROR(__xludf.DUMMYFUNCTION("""COMPUTED_VALUE"""),"shereerasmussen13@gmail.com")</f>
        <v>shereerasmussen13@gmail.com</v>
      </c>
      <c r="G9011" s="3"/>
      <c r="H9011" s="3"/>
    </row>
    <row r="9012">
      <c r="A9012" s="2">
        <f>IFERROR(__xludf.DUMMYFUNCTION("""COMPUTED_VALUE"""),31564.0)</f>
        <v>31564</v>
      </c>
      <c r="B9012" s="3" t="str">
        <f>IFERROR(__xludf.DUMMYFUNCTION("""COMPUTED_VALUE"""),"415 PINE GROVE RD")</f>
        <v>415 PINE GROVE RD</v>
      </c>
      <c r="C9012" s="3"/>
      <c r="D9012" s="3"/>
      <c r="E9012" s="3" t="str">
        <f>IFERROR(__xludf.DUMMYFUNCTION("""COMPUTED_VALUE"""),"Bryce Clarke")</f>
        <v>Bryce Clarke</v>
      </c>
      <c r="F9012" s="3"/>
      <c r="G9012" s="3">
        <f>IFERROR(__xludf.DUMMYFUNCTION("""COMPUTED_VALUE"""),7.056538488E9)</f>
        <v>7056538488</v>
      </c>
      <c r="H9012" s="3"/>
    </row>
    <row r="9013">
      <c r="A9013" s="2">
        <f>IFERROR(__xludf.DUMMYFUNCTION("""COMPUTED_VALUE"""),31565.0)</f>
        <v>31565</v>
      </c>
      <c r="B9013" s="3" t="str">
        <f>IFERROR(__xludf.DUMMYFUNCTION("""COMPUTED_VALUE"""),"454 PINE GROVE RD")</f>
        <v>454 PINE GROVE RD</v>
      </c>
      <c r="C9013" s="3" t="str">
        <f>IFERROR(__xludf.DUMMYFUNCTION("""COMPUTED_VALUE"""),"CASTLETON")</f>
        <v>CASTLETON</v>
      </c>
      <c r="D9013" s="3" t="str">
        <f>IFERROR(__xludf.DUMMYFUNCTION("""COMPUTED_VALUE"""),"K0K 1M0")</f>
        <v>K0K 1M0</v>
      </c>
      <c r="E9013" s="3" t="str">
        <f>IFERROR(__xludf.DUMMYFUNCTION("""COMPUTED_VALUE"""),"FREDERICK JAMES SCOTT")</f>
        <v>FREDERICK JAMES SCOTT</v>
      </c>
      <c r="F9013" s="3" t="str">
        <f>IFERROR(__xludf.DUMMYFUNCTION("""COMPUTED_VALUE"""),"jamessc077@gmail.com")</f>
        <v>jamessc077@gmail.com</v>
      </c>
      <c r="G9013" s="3"/>
      <c r="H9013" s="3"/>
    </row>
    <row r="9014">
      <c r="A9014" s="2">
        <f>IFERROR(__xludf.DUMMYFUNCTION("""COMPUTED_VALUE"""),31566.0)</f>
        <v>31566</v>
      </c>
      <c r="B9014" s="3" t="str">
        <f>IFERROR(__xludf.DUMMYFUNCTION("""COMPUTED_VALUE"""),"463 PINE GROVE RD")</f>
        <v>463 PINE GROVE RD</v>
      </c>
      <c r="C9014" s="3"/>
      <c r="D9014" s="3"/>
      <c r="E9014" s="3" t="str">
        <f>IFERROR(__xludf.DUMMYFUNCTION("""COMPUTED_VALUE"""),"Donna Clarke")</f>
        <v>Donna Clarke</v>
      </c>
      <c r="F9014" s="3"/>
      <c r="G9014" s="3">
        <f>IFERROR(__xludf.DUMMYFUNCTION("""COMPUTED_VALUE"""),9.053447421E9)</f>
        <v>9053447421</v>
      </c>
      <c r="H9014" s="3"/>
    </row>
    <row r="9015">
      <c r="A9015" s="2">
        <f>IFERROR(__xludf.DUMMYFUNCTION("""COMPUTED_VALUE"""),31561.0)</f>
        <v>31561</v>
      </c>
      <c r="B9015" s="3" t="str">
        <f>IFERROR(__xludf.DUMMYFUNCTION("""COMPUTED_VALUE"""),"494 PINE GROVE RD")</f>
        <v>494 PINE GROVE RD</v>
      </c>
      <c r="C9015" s="3"/>
      <c r="D9015" s="3"/>
      <c r="E9015" s="3"/>
      <c r="F9015" s="3"/>
      <c r="G9015" s="3"/>
      <c r="H9015" s="3"/>
    </row>
    <row r="9016">
      <c r="A9016" s="2">
        <f>IFERROR(__xludf.DUMMYFUNCTION("""COMPUTED_VALUE"""),31560.0)</f>
        <v>31560</v>
      </c>
      <c r="B9016" s="3" t="str">
        <f>IFERROR(__xludf.DUMMYFUNCTION("""COMPUTED_VALUE"""),"514 PINE GROVE RD")</f>
        <v>514 PINE GROVE RD</v>
      </c>
      <c r="C9016" s="3"/>
      <c r="D9016" s="3"/>
      <c r="E9016" s="3"/>
      <c r="F9016" s="3"/>
      <c r="G9016" s="3"/>
      <c r="H9016" s="3"/>
    </row>
    <row r="9017">
      <c r="A9017" s="2">
        <f>IFERROR(__xludf.DUMMYFUNCTION("""COMPUTED_VALUE"""),31559.0)</f>
        <v>31559</v>
      </c>
      <c r="B9017" s="3" t="str">
        <f>IFERROR(__xludf.DUMMYFUNCTION("""COMPUTED_VALUE"""),"525 PINE GROVE RD")</f>
        <v>525 PINE GROVE RD</v>
      </c>
      <c r="C9017" s="3"/>
      <c r="D9017" s="3"/>
      <c r="E9017" s="3" t="str">
        <f>IFERROR(__xludf.DUMMYFUNCTION("""COMPUTED_VALUE"""),"Karen Deziel")</f>
        <v>Karen Deziel</v>
      </c>
      <c r="F9017" s="3" t="str">
        <f>IFERROR(__xludf.DUMMYFUNCTION("""COMPUTED_VALUE"""),"karendeziel@live.com")</f>
        <v>karendeziel@live.com</v>
      </c>
      <c r="G9017" s="3"/>
      <c r="H9017" s="3"/>
    </row>
    <row r="9018">
      <c r="A9018" s="2">
        <f>IFERROR(__xludf.DUMMYFUNCTION("""COMPUTED_VALUE"""),31562.0)</f>
        <v>31562</v>
      </c>
      <c r="B9018" s="3" t="str">
        <f>IFERROR(__xludf.DUMMYFUNCTION("""COMPUTED_VALUE"""),"590 PINE GROVE RD")</f>
        <v>590 PINE GROVE RD</v>
      </c>
      <c r="C9018" s="3"/>
      <c r="D9018" s="3"/>
      <c r="E9018" s="3"/>
      <c r="F9018" s="3"/>
      <c r="G9018" s="3"/>
      <c r="H9018" s="3"/>
    </row>
    <row r="9019">
      <c r="A9019" s="2">
        <f>IFERROR(__xludf.DUMMYFUNCTION("""COMPUTED_VALUE"""),31137.0)</f>
        <v>31137</v>
      </c>
      <c r="B9019" s="3" t="str">
        <f>IFERROR(__xludf.DUMMYFUNCTION("""COMPUTED_VALUE"""),"222 PINEWOOD SCHOOL RD ")</f>
        <v>222 PINEWOOD SCHOOL RD </v>
      </c>
      <c r="C9019" s="3" t="str">
        <f>IFERROR(__xludf.DUMMYFUNCTION("""COMPUTED_VALUE"""),"CASTLETON")</f>
        <v>CASTLETON</v>
      </c>
      <c r="D9019" s="3" t="str">
        <f>IFERROR(__xludf.DUMMYFUNCTION("""COMPUTED_VALUE"""),"K0K 1M0")</f>
        <v>K0K 1M0</v>
      </c>
      <c r="E9019" s="3" t="str">
        <f>IFERROR(__xludf.DUMMYFUNCTION("""COMPUTED_VALUE"""),"Wendy Berry")</f>
        <v>Wendy Berry</v>
      </c>
      <c r="F9019" s="3" t="str">
        <f>IFERROR(__xludf.DUMMYFUNCTION("""COMPUTED_VALUE"""),"wendyberry@xplornet.com")</f>
        <v>wendyberry@xplornet.com</v>
      </c>
      <c r="G9019" s="3">
        <f>IFERROR(__xludf.DUMMYFUNCTION("""COMPUTED_VALUE"""),6.132420835E9)</f>
        <v>6132420835</v>
      </c>
      <c r="H9019" s="3"/>
    </row>
    <row r="9020">
      <c r="A9020" s="2">
        <f>IFERROR(__xludf.DUMMYFUNCTION("""COMPUTED_VALUE"""),31138.0)</f>
        <v>31138</v>
      </c>
      <c r="B9020" s="3" t="str">
        <f>IFERROR(__xludf.DUMMYFUNCTION("""COMPUTED_VALUE"""),"255 PINEWOOD SCHOOL RD ")</f>
        <v>255 PINEWOOD SCHOOL RD </v>
      </c>
      <c r="C9020" s="3" t="str">
        <f>IFERROR(__xludf.DUMMYFUNCTION("""COMPUTED_VALUE"""),"CASTLETON")</f>
        <v>CASTLETON</v>
      </c>
      <c r="D9020" s="3" t="str">
        <f>IFERROR(__xludf.DUMMYFUNCTION("""COMPUTED_VALUE"""),"K0K 1M0")</f>
        <v>K0K 1M0</v>
      </c>
      <c r="E9020" s="3" t="str">
        <f>IFERROR(__xludf.DUMMYFUNCTION("""COMPUTED_VALUE"""),"Neil Ledger")</f>
        <v>Neil Ledger</v>
      </c>
      <c r="F9020" s="3" t="str">
        <f>IFERROR(__xludf.DUMMYFUNCTION("""COMPUTED_VALUE"""),"melanieledger48@gmail.com")</f>
        <v>melanieledger48@gmail.com</v>
      </c>
      <c r="G9020" s="3"/>
      <c r="H9020" s="3"/>
    </row>
    <row r="9021">
      <c r="A9021" s="2">
        <f>IFERROR(__xludf.DUMMYFUNCTION("""COMPUTED_VALUE"""),31139.0)</f>
        <v>31139</v>
      </c>
      <c r="B9021" s="3" t="str">
        <f>IFERROR(__xludf.DUMMYFUNCTION("""COMPUTED_VALUE"""),"267 PINEWOOD SCHOOL RD ")</f>
        <v>267 PINEWOOD SCHOOL RD </v>
      </c>
      <c r="C9021" s="3" t="str">
        <f>IFERROR(__xludf.DUMMYFUNCTION("""COMPUTED_VALUE"""),"CASTLETON")</f>
        <v>CASTLETON</v>
      </c>
      <c r="D9021" s="3" t="str">
        <f>IFERROR(__xludf.DUMMYFUNCTION("""COMPUTED_VALUE"""),"K0K 1M0")</f>
        <v>K0K 1M0</v>
      </c>
      <c r="E9021" s="3"/>
      <c r="F9021" s="3"/>
      <c r="G9021" s="3"/>
      <c r="H9021" s="3"/>
    </row>
    <row r="9022">
      <c r="A9022" s="2">
        <f>IFERROR(__xludf.DUMMYFUNCTION("""COMPUTED_VALUE"""),31140.0)</f>
        <v>31140</v>
      </c>
      <c r="B9022" s="3" t="str">
        <f>IFERROR(__xludf.DUMMYFUNCTION("""COMPUTED_VALUE"""),"268 PINEWOOD SCHOOL RD ")</f>
        <v>268 PINEWOOD SCHOOL RD </v>
      </c>
      <c r="C9022" s="3" t="str">
        <f>IFERROR(__xludf.DUMMYFUNCTION("""COMPUTED_VALUE"""),"CASTLETON")</f>
        <v>CASTLETON</v>
      </c>
      <c r="D9022" s="3" t="str">
        <f>IFERROR(__xludf.DUMMYFUNCTION("""COMPUTED_VALUE"""),"K0K 1M0")</f>
        <v>K0K 1M0</v>
      </c>
      <c r="E9022" s="3" t="str">
        <f>IFERROR(__xludf.DUMMYFUNCTION("""COMPUTED_VALUE"""),"Christina Sabatino")</f>
        <v>Christina Sabatino</v>
      </c>
      <c r="F9022" s="3"/>
      <c r="G9022" s="3">
        <f>IFERROR(__xludf.DUMMYFUNCTION("""COMPUTED_VALUE"""),6.478804222E9)</f>
        <v>6478804222</v>
      </c>
      <c r="H9022" s="3"/>
    </row>
    <row r="9023">
      <c r="A9023" s="2">
        <f>IFERROR(__xludf.DUMMYFUNCTION("""COMPUTED_VALUE"""),31141.0)</f>
        <v>31141</v>
      </c>
      <c r="B9023" s="3" t="str">
        <f>IFERROR(__xludf.DUMMYFUNCTION("""COMPUTED_VALUE"""),"280 PINEWOOD SCHOOL RD ")</f>
        <v>280 PINEWOOD SCHOOL RD </v>
      </c>
      <c r="C9023" s="3" t="str">
        <f>IFERROR(__xludf.DUMMYFUNCTION("""COMPUTED_VALUE"""),"CASTLETON")</f>
        <v>CASTLETON</v>
      </c>
      <c r="D9023" s="3" t="str">
        <f>IFERROR(__xludf.DUMMYFUNCTION("""COMPUTED_VALUE"""),"K0K 1M0")</f>
        <v>K0K 1M0</v>
      </c>
      <c r="E9023" s="3" t="str">
        <f>IFERROR(__xludf.DUMMYFUNCTION("""COMPUTED_VALUE"""),"Jane Kemp")</f>
        <v>Jane Kemp</v>
      </c>
      <c r="F9023" s="3"/>
      <c r="G9023" s="3">
        <f>IFERROR(__xludf.DUMMYFUNCTION("""COMPUTED_VALUE"""),4.165594773E9)</f>
        <v>4165594773</v>
      </c>
      <c r="H9023" s="3"/>
    </row>
    <row r="9024">
      <c r="A9024" s="2">
        <f>IFERROR(__xludf.DUMMYFUNCTION("""COMPUTED_VALUE"""),31142.0)</f>
        <v>31142</v>
      </c>
      <c r="B9024" s="3" t="str">
        <f>IFERROR(__xludf.DUMMYFUNCTION("""COMPUTED_VALUE"""),"297 PINEWOOD SCHOOL RD ")</f>
        <v>297 PINEWOOD SCHOOL RD </v>
      </c>
      <c r="C9024" s="3" t="str">
        <f>IFERROR(__xludf.DUMMYFUNCTION("""COMPUTED_VALUE"""),"CASTLETON")</f>
        <v>CASTLETON</v>
      </c>
      <c r="D9024" s="3" t="str">
        <f>IFERROR(__xludf.DUMMYFUNCTION("""COMPUTED_VALUE"""),"K0K 1M0")</f>
        <v>K0K 1M0</v>
      </c>
      <c r="E9024" s="3"/>
      <c r="F9024" s="3"/>
      <c r="G9024" s="3"/>
      <c r="H9024" s="3"/>
    </row>
    <row r="9025">
      <c r="A9025" s="2">
        <f>IFERROR(__xludf.DUMMYFUNCTION("""COMPUTED_VALUE"""),31143.0)</f>
        <v>31143</v>
      </c>
      <c r="B9025" s="3" t="str">
        <f>IFERROR(__xludf.DUMMYFUNCTION("""COMPUTED_VALUE"""),"304 PINEWOOD SCHOOL RD ")</f>
        <v>304 PINEWOOD SCHOOL RD </v>
      </c>
      <c r="C9025" s="3" t="str">
        <f>IFERROR(__xludf.DUMMYFUNCTION("""COMPUTED_VALUE"""),"CASTLETON")</f>
        <v>CASTLETON</v>
      </c>
      <c r="D9025" s="3" t="str">
        <f>IFERROR(__xludf.DUMMYFUNCTION("""COMPUTED_VALUE"""),"K0K 1M0")</f>
        <v>K0K 1M0</v>
      </c>
      <c r="E9025" s="3" t="str">
        <f>IFERROR(__xludf.DUMMYFUNCTION("""COMPUTED_VALUE"""),"Michaela &amp; Ian Holl")</f>
        <v>Michaela &amp; Ian Holl</v>
      </c>
      <c r="F9025" s="3" t="str">
        <f>IFERROR(__xludf.DUMMYFUNCTION("""COMPUTED_VALUE"""),"michaela.holl@ymail.com")</f>
        <v>michaela.holl@ymail.com</v>
      </c>
      <c r="G9025" s="3">
        <f>IFERROR(__xludf.DUMMYFUNCTION("""COMPUTED_VALUE"""),9.052428769E9)</f>
        <v>9052428769</v>
      </c>
      <c r="H9025" s="3">
        <f>IFERROR(__xludf.DUMMYFUNCTION("""COMPUTED_VALUE"""),9.052131879E9)</f>
        <v>9052131879</v>
      </c>
    </row>
    <row r="9026">
      <c r="A9026" s="2">
        <f>IFERROR(__xludf.DUMMYFUNCTION("""COMPUTED_VALUE"""),31144.0)</f>
        <v>31144</v>
      </c>
      <c r="B9026" s="3" t="str">
        <f>IFERROR(__xludf.DUMMYFUNCTION("""COMPUTED_VALUE"""),"305 PINEWOOD SCHOOL RD ")</f>
        <v>305 PINEWOOD SCHOOL RD </v>
      </c>
      <c r="C9026" s="3" t="str">
        <f>IFERROR(__xludf.DUMMYFUNCTION("""COMPUTED_VALUE"""),"CASTLETON")</f>
        <v>CASTLETON</v>
      </c>
      <c r="D9026" s="3" t="str">
        <f>IFERROR(__xludf.DUMMYFUNCTION("""COMPUTED_VALUE"""),"K0K 1M0")</f>
        <v>K0K 1M0</v>
      </c>
      <c r="E9026" s="3" t="str">
        <f>IFERROR(__xludf.DUMMYFUNCTION("""COMPUTED_VALUE"""),"Chelsea Lawrence")</f>
        <v>Chelsea Lawrence</v>
      </c>
      <c r="F9026" s="3" t="str">
        <f>IFERROR(__xludf.DUMMYFUNCTION("""COMPUTED_VALUE"""),"chelsea.lawrence@hotmail.com")</f>
        <v>chelsea.lawrence@hotmail.com</v>
      </c>
      <c r="G9026" s="3"/>
      <c r="H9026" s="3"/>
    </row>
    <row r="9027">
      <c r="A9027" s="2">
        <f>IFERROR(__xludf.DUMMYFUNCTION("""COMPUTED_VALUE"""),31145.0)</f>
        <v>31145</v>
      </c>
      <c r="B9027" s="3" t="str">
        <f>IFERROR(__xludf.DUMMYFUNCTION("""COMPUTED_VALUE"""),"331 PINEWOOD SCHOOL RD ")</f>
        <v>331 PINEWOOD SCHOOL RD </v>
      </c>
      <c r="C9027" s="3" t="str">
        <f>IFERROR(__xludf.DUMMYFUNCTION("""COMPUTED_VALUE"""),"CASTLETON")</f>
        <v>CASTLETON</v>
      </c>
      <c r="D9027" s="3" t="str">
        <f>IFERROR(__xludf.DUMMYFUNCTION("""COMPUTED_VALUE"""),"K0K 1M0")</f>
        <v>K0K 1M0</v>
      </c>
      <c r="E9027" s="3" t="str">
        <f>IFERROR(__xludf.DUMMYFUNCTION("""COMPUTED_VALUE"""),"Brandon Harvey Smith")</f>
        <v>Brandon Harvey Smith</v>
      </c>
      <c r="F9027" s="3" t="str">
        <f>IFERROR(__xludf.DUMMYFUNCTION("""COMPUTED_VALUE"""),"smitty_123_456@hotmail.com")</f>
        <v>smitty_123_456@hotmail.com</v>
      </c>
      <c r="G9027" s="3">
        <f>IFERROR(__xludf.DUMMYFUNCTION("""COMPUTED_VALUE"""),3.432613177E9)</f>
        <v>3432613177</v>
      </c>
      <c r="H9027" s="3">
        <f>IFERROR(__xludf.DUMMYFUNCTION("""COMPUTED_VALUE"""),3.432613178E9)</f>
        <v>3432613178</v>
      </c>
    </row>
    <row r="9028">
      <c r="A9028" s="2">
        <f>IFERROR(__xludf.DUMMYFUNCTION("""COMPUTED_VALUE"""),31146.0)</f>
        <v>31146</v>
      </c>
      <c r="B9028" s="3" t="str">
        <f>IFERROR(__xludf.DUMMYFUNCTION("""COMPUTED_VALUE"""),"334 PINEWOOD SCHOOL RD ")</f>
        <v>334 PINEWOOD SCHOOL RD </v>
      </c>
      <c r="C9028" s="3" t="str">
        <f>IFERROR(__xludf.DUMMYFUNCTION("""COMPUTED_VALUE"""),"CASTLETON")</f>
        <v>CASTLETON</v>
      </c>
      <c r="D9028" s="3" t="str">
        <f>IFERROR(__xludf.DUMMYFUNCTION("""COMPUTED_VALUE"""),"K0K 1M0")</f>
        <v>K0K 1M0</v>
      </c>
      <c r="E9028" s="3"/>
      <c r="F9028" s="3"/>
      <c r="G9028" s="3"/>
      <c r="H9028" s="3"/>
    </row>
    <row r="9029">
      <c r="A9029" s="2">
        <f>IFERROR(__xludf.DUMMYFUNCTION("""COMPUTED_VALUE"""),31151.0)</f>
        <v>31151</v>
      </c>
      <c r="B9029" s="3" t="str">
        <f>IFERROR(__xludf.DUMMYFUNCTION("""COMPUTED_VALUE"""),"106 PIPELINE RD ")</f>
        <v>106 PIPELINE RD </v>
      </c>
      <c r="C9029" s="3" t="str">
        <f>IFERROR(__xludf.DUMMYFUNCTION("""COMPUTED_VALUE"""),"GRAFTON")</f>
        <v>GRAFTON</v>
      </c>
      <c r="D9029" s="3" t="str">
        <f>IFERROR(__xludf.DUMMYFUNCTION("""COMPUTED_VALUE"""),"K0K 2G0")</f>
        <v>K0K 2G0</v>
      </c>
      <c r="E9029" s="3" t="str">
        <f>IFERROR(__xludf.DUMMYFUNCTION("""COMPUTED_VALUE"""),"Mike Doyle Sr.")</f>
        <v>Mike Doyle Sr.</v>
      </c>
      <c r="F9029" s="3" t="str">
        <f>IFERROR(__xludf.DUMMYFUNCTION("""COMPUTED_VALUE"""),"N/A")</f>
        <v>N/A</v>
      </c>
      <c r="G9029" s="3"/>
      <c r="H9029" s="3"/>
    </row>
    <row r="9030">
      <c r="A9030" s="2">
        <f>IFERROR(__xludf.DUMMYFUNCTION("""COMPUTED_VALUE"""),31152.0)</f>
        <v>31152</v>
      </c>
      <c r="B9030" s="3" t="str">
        <f>IFERROR(__xludf.DUMMYFUNCTION("""COMPUTED_VALUE"""),"112 PIPELINE RD ")</f>
        <v>112 PIPELINE RD </v>
      </c>
      <c r="C9030" s="3" t="str">
        <f>IFERROR(__xludf.DUMMYFUNCTION("""COMPUTED_VALUE"""),"GRAFTON")</f>
        <v>GRAFTON</v>
      </c>
      <c r="D9030" s="3" t="str">
        <f>IFERROR(__xludf.DUMMYFUNCTION("""COMPUTED_VALUE"""),"K0K 2G0")</f>
        <v>K0K 2G0</v>
      </c>
      <c r="E9030" s="3" t="str">
        <f>IFERROR(__xludf.DUMMYFUNCTION("""COMPUTED_VALUE"""),"Roger Morin")</f>
        <v>Roger Morin</v>
      </c>
      <c r="F9030" s="3" t="str">
        <f>IFERROR(__xludf.DUMMYFUNCTION("""COMPUTED_VALUE"""),"morin.rk@xplornet.ca")</f>
        <v>morin.rk@xplornet.ca</v>
      </c>
      <c r="G9030" s="3"/>
      <c r="H9030" s="3"/>
    </row>
    <row r="9031">
      <c r="A9031" s="2">
        <f>IFERROR(__xludf.DUMMYFUNCTION("""COMPUTED_VALUE"""),31153.0)</f>
        <v>31153</v>
      </c>
      <c r="B9031" s="3" t="str">
        <f>IFERROR(__xludf.DUMMYFUNCTION("""COMPUTED_VALUE"""),"144 PIPELINE RD ")</f>
        <v>144 PIPELINE RD </v>
      </c>
      <c r="C9031" s="3" t="str">
        <f>IFERROR(__xludf.DUMMYFUNCTION("""COMPUTED_VALUE"""),"GRAFTON")</f>
        <v>GRAFTON</v>
      </c>
      <c r="D9031" s="3" t="str">
        <f>IFERROR(__xludf.DUMMYFUNCTION("""COMPUTED_VALUE"""),"K0K 2G0")</f>
        <v>K0K 2G0</v>
      </c>
      <c r="E9031" s="3"/>
      <c r="F9031" s="3"/>
      <c r="G9031" s="3"/>
      <c r="H9031" s="3"/>
    </row>
    <row r="9032">
      <c r="A9032" s="2">
        <f>IFERROR(__xludf.DUMMYFUNCTION("""COMPUTED_VALUE"""),31154.0)</f>
        <v>31154</v>
      </c>
      <c r="B9032" s="3" t="str">
        <f>IFERROR(__xludf.DUMMYFUNCTION("""COMPUTED_VALUE"""),"148 PIPELINE RD ")</f>
        <v>148 PIPELINE RD </v>
      </c>
      <c r="C9032" s="3" t="str">
        <f>IFERROR(__xludf.DUMMYFUNCTION("""COMPUTED_VALUE"""),"GRAFTON")</f>
        <v>GRAFTON</v>
      </c>
      <c r="D9032" s="3" t="str">
        <f>IFERROR(__xludf.DUMMYFUNCTION("""COMPUTED_VALUE"""),"K0K 2G0")</f>
        <v>K0K 2G0</v>
      </c>
      <c r="E9032" s="3" t="str">
        <f>IFERROR(__xludf.DUMMYFUNCTION("""COMPUTED_VALUE"""),"Bogdan Cozianu")</f>
        <v>Bogdan Cozianu</v>
      </c>
      <c r="F9032" s="3"/>
      <c r="G9032" s="3"/>
      <c r="H9032" s="3"/>
    </row>
    <row r="9033">
      <c r="A9033" s="2">
        <f>IFERROR(__xludf.DUMMYFUNCTION("""COMPUTED_VALUE"""),31155.0)</f>
        <v>31155</v>
      </c>
      <c r="B9033" s="3" t="str">
        <f>IFERROR(__xludf.DUMMYFUNCTION("""COMPUTED_VALUE"""),"151 PIPELINE RD ")</f>
        <v>151 PIPELINE RD </v>
      </c>
      <c r="C9033" s="3" t="str">
        <f>IFERROR(__xludf.DUMMYFUNCTION("""COMPUTED_VALUE"""),"GRAFTON")</f>
        <v>GRAFTON</v>
      </c>
      <c r="D9033" s="3" t="str">
        <f>IFERROR(__xludf.DUMMYFUNCTION("""COMPUTED_VALUE"""),"K0K 2G0")</f>
        <v>K0K 2G0</v>
      </c>
      <c r="E9033" s="3"/>
      <c r="F9033" s="3"/>
      <c r="G9033" s="3"/>
      <c r="H9033" s="3"/>
    </row>
    <row r="9034">
      <c r="A9034" s="2">
        <f>IFERROR(__xludf.DUMMYFUNCTION("""COMPUTED_VALUE"""),31156.0)</f>
        <v>31156</v>
      </c>
      <c r="B9034" s="3" t="str">
        <f>IFERROR(__xludf.DUMMYFUNCTION("""COMPUTED_VALUE"""),"164 PIPELINE RD ")</f>
        <v>164 PIPELINE RD </v>
      </c>
      <c r="C9034" s="3" t="str">
        <f>IFERROR(__xludf.DUMMYFUNCTION("""COMPUTED_VALUE"""),"GRAFTON")</f>
        <v>GRAFTON</v>
      </c>
      <c r="D9034" s="3" t="str">
        <f>IFERROR(__xludf.DUMMYFUNCTION("""COMPUTED_VALUE"""),"K0K 2G0")</f>
        <v>K0K 2G0</v>
      </c>
      <c r="E9034" s="3" t="str">
        <f>IFERROR(__xludf.DUMMYFUNCTION("""COMPUTED_VALUE"""),"Adam Wood")</f>
        <v>Adam Wood</v>
      </c>
      <c r="F9034" s="3" t="str">
        <f>IFERROR(__xludf.DUMMYFUNCTION("""COMPUTED_VALUE"""),"awoody_h88tr@hotmail.com")</f>
        <v>awoody_h88tr@hotmail.com</v>
      </c>
      <c r="G9034" s="3"/>
      <c r="H9034" s="3"/>
    </row>
    <row r="9035">
      <c r="A9035" s="2">
        <f>IFERROR(__xludf.DUMMYFUNCTION("""COMPUTED_VALUE"""),31157.0)</f>
        <v>31157</v>
      </c>
      <c r="B9035" s="3" t="str">
        <f>IFERROR(__xludf.DUMMYFUNCTION("""COMPUTED_VALUE"""),"177 PIPELINE RD ")</f>
        <v>177 PIPELINE RD </v>
      </c>
      <c r="C9035" s="3" t="str">
        <f>IFERROR(__xludf.DUMMYFUNCTION("""COMPUTED_VALUE"""),"GRAFTON")</f>
        <v>GRAFTON</v>
      </c>
      <c r="D9035" s="3" t="str">
        <f>IFERROR(__xludf.DUMMYFUNCTION("""COMPUTED_VALUE"""),"K0K 2G0")</f>
        <v>K0K 2G0</v>
      </c>
      <c r="E9035" s="3" t="str">
        <f>IFERROR(__xludf.DUMMYFUNCTION("""COMPUTED_VALUE"""),"Ali Callahan")</f>
        <v>Ali Callahan</v>
      </c>
      <c r="F9035" s="3" t="str">
        <f>IFERROR(__xludf.DUMMYFUNCTION("""COMPUTED_VALUE"""),"aeshorten@hotmail.com")</f>
        <v>aeshorten@hotmail.com</v>
      </c>
      <c r="G9035" s="3"/>
      <c r="H9035" s="3"/>
    </row>
    <row r="9036">
      <c r="A9036" s="2">
        <f>IFERROR(__xludf.DUMMYFUNCTION("""COMPUTED_VALUE"""),31158.0)</f>
        <v>31158</v>
      </c>
      <c r="B9036" s="3" t="str">
        <f>IFERROR(__xludf.DUMMYFUNCTION("""COMPUTED_VALUE"""),"178 PIPELINE RD ")</f>
        <v>178 PIPELINE RD </v>
      </c>
      <c r="C9036" s="3" t="str">
        <f>IFERROR(__xludf.DUMMYFUNCTION("""COMPUTED_VALUE"""),"GRAFTON")</f>
        <v>GRAFTON</v>
      </c>
      <c r="D9036" s="3" t="str">
        <f>IFERROR(__xludf.DUMMYFUNCTION("""COMPUTED_VALUE"""),"K0K 2G0")</f>
        <v>K0K 2G0</v>
      </c>
      <c r="E9036" s="3" t="str">
        <f>IFERROR(__xludf.DUMMYFUNCTION("""COMPUTED_VALUE"""),"Michael bridgman")</f>
        <v>Michael bridgman</v>
      </c>
      <c r="F9036" s="3" t="str">
        <f>IFERROR(__xludf.DUMMYFUNCTION("""COMPUTED_VALUE"""),"lindsaysheaxo@gmail.com")</f>
        <v>lindsaysheaxo@gmail.com</v>
      </c>
      <c r="G9036" s="3">
        <f>IFERROR(__xludf.DUMMYFUNCTION("""COMPUTED_VALUE"""),4.166883704E9)</f>
        <v>4166883704</v>
      </c>
      <c r="H9036" s="3">
        <f>IFERROR(__xludf.DUMMYFUNCTION("""COMPUTED_VALUE"""),2.899284674E9)</f>
        <v>2899284674</v>
      </c>
    </row>
    <row r="9037">
      <c r="A9037" s="2">
        <f>IFERROR(__xludf.DUMMYFUNCTION("""COMPUTED_VALUE"""),31161.0)</f>
        <v>31161</v>
      </c>
      <c r="B9037" s="3" t="str">
        <f>IFERROR(__xludf.DUMMYFUNCTION("""COMPUTED_VALUE"""),"294 PIPELINE RD ")</f>
        <v>294 PIPELINE RD </v>
      </c>
      <c r="C9037" s="3" t="str">
        <f>IFERROR(__xludf.DUMMYFUNCTION("""COMPUTED_VALUE"""),"GRAFTON")</f>
        <v>GRAFTON</v>
      </c>
      <c r="D9037" s="3" t="str">
        <f>IFERROR(__xludf.DUMMYFUNCTION("""COMPUTED_VALUE"""),"K0K 2G0")</f>
        <v>K0K 2G0</v>
      </c>
      <c r="E9037" s="3" t="str">
        <f>IFERROR(__xludf.DUMMYFUNCTION("""COMPUTED_VALUE"""),"Janice MacMillan")</f>
        <v>Janice MacMillan</v>
      </c>
      <c r="F9037" s="3" t="str">
        <f>IFERROR(__xludf.DUMMYFUNCTION("""COMPUTED_VALUE"""),"N/A")</f>
        <v>N/A</v>
      </c>
      <c r="G9037" s="3">
        <f>IFERROR(__xludf.DUMMYFUNCTION("""COMPUTED_VALUE"""),9.053493325E9)</f>
        <v>9053493325</v>
      </c>
      <c r="H9037" s="3"/>
    </row>
    <row r="9038">
      <c r="A9038" s="2">
        <f>IFERROR(__xludf.DUMMYFUNCTION("""COMPUTED_VALUE"""),31167.0)</f>
        <v>31167</v>
      </c>
      <c r="B9038" s="3" t="str">
        <f>IFERROR(__xludf.DUMMYFUNCTION("""COMPUTED_VALUE"""),"404 PIPELINE RD ")</f>
        <v>404 PIPELINE RD </v>
      </c>
      <c r="C9038" s="3" t="str">
        <f>IFERROR(__xludf.DUMMYFUNCTION("""COMPUTED_VALUE"""),"GRAFTON")</f>
        <v>GRAFTON</v>
      </c>
      <c r="D9038" s="3" t="str">
        <f>IFERROR(__xludf.DUMMYFUNCTION("""COMPUTED_VALUE"""),"K0K 2G0")</f>
        <v>K0K 2G0</v>
      </c>
      <c r="E9038" s="3" t="str">
        <f>IFERROR(__xludf.DUMMYFUNCTION("""COMPUTED_VALUE"""),"Daredra Beswick")</f>
        <v>Daredra Beswick</v>
      </c>
      <c r="F9038" s="3" t="str">
        <f>IFERROR(__xludf.DUMMYFUNCTION("""COMPUTED_VALUE"""),"daredrabeswick@yahoo.ca")</f>
        <v>daredrabeswick@yahoo.ca</v>
      </c>
      <c r="G9038" s="3">
        <f>IFERROR(__xludf.DUMMYFUNCTION("""COMPUTED_VALUE"""),6.476212893E9)</f>
        <v>6476212893</v>
      </c>
      <c r="H9038" s="3"/>
    </row>
    <row r="9039">
      <c r="A9039" s="2">
        <f>IFERROR(__xludf.DUMMYFUNCTION("""COMPUTED_VALUE"""),31168.0)</f>
        <v>31168</v>
      </c>
      <c r="B9039" s="3" t="str">
        <f>IFERROR(__xludf.DUMMYFUNCTION("""COMPUTED_VALUE"""),"442 PIPELINE RD ")</f>
        <v>442 PIPELINE RD </v>
      </c>
      <c r="C9039" s="3" t="str">
        <f>IFERROR(__xludf.DUMMYFUNCTION("""COMPUTED_VALUE"""),"GRAFTON")</f>
        <v>GRAFTON</v>
      </c>
      <c r="D9039" s="3" t="str">
        <f>IFERROR(__xludf.DUMMYFUNCTION("""COMPUTED_VALUE"""),"K0K 2G0")</f>
        <v>K0K 2G0</v>
      </c>
      <c r="E9039" s="3" t="str">
        <f>IFERROR(__xludf.DUMMYFUNCTION("""COMPUTED_VALUE"""),"Kenneth Hammill")</f>
        <v>Kenneth Hammill</v>
      </c>
      <c r="F9039" s="3" t="str">
        <f>IFERROR(__xludf.DUMMYFUNCTION("""COMPUTED_VALUE"""),"shammill@eagle.ca")</f>
        <v>shammill@eagle.ca</v>
      </c>
      <c r="G9039" s="3"/>
      <c r="H9039" s="3"/>
    </row>
    <row r="9040">
      <c r="A9040" s="2">
        <f>IFERROR(__xludf.DUMMYFUNCTION("""COMPUTED_VALUE"""),31169.0)</f>
        <v>31169</v>
      </c>
      <c r="B9040" s="3" t="str">
        <f>IFERROR(__xludf.DUMMYFUNCTION("""COMPUTED_VALUE"""),"492 PIPELINE RD ")</f>
        <v>492 PIPELINE RD </v>
      </c>
      <c r="C9040" s="3" t="str">
        <f>IFERROR(__xludf.DUMMYFUNCTION("""COMPUTED_VALUE"""),"GRAFTON")</f>
        <v>GRAFTON</v>
      </c>
      <c r="D9040" s="3" t="str">
        <f>IFERROR(__xludf.DUMMYFUNCTION("""COMPUTED_VALUE"""),"K0K 2G0")</f>
        <v>K0K 2G0</v>
      </c>
      <c r="E9040" s="3"/>
      <c r="F9040" s="3"/>
      <c r="G9040" s="3"/>
      <c r="H9040" s="3"/>
    </row>
    <row r="9041">
      <c r="A9041" s="2">
        <f>IFERROR(__xludf.DUMMYFUNCTION("""COMPUTED_VALUE"""),31170.0)</f>
        <v>31170</v>
      </c>
      <c r="B9041" s="3" t="str">
        <f>IFERROR(__xludf.DUMMYFUNCTION("""COMPUTED_VALUE"""),"501 PIPELINE RD ")</f>
        <v>501 PIPELINE RD </v>
      </c>
      <c r="C9041" s="3" t="str">
        <f>IFERROR(__xludf.DUMMYFUNCTION("""COMPUTED_VALUE"""),"GRAFTON")</f>
        <v>GRAFTON</v>
      </c>
      <c r="D9041" s="3" t="str">
        <f>IFERROR(__xludf.DUMMYFUNCTION("""COMPUTED_VALUE"""),"K0K 2G0")</f>
        <v>K0K 2G0</v>
      </c>
      <c r="E9041" s="3" t="str">
        <f>IFERROR(__xludf.DUMMYFUNCTION("""COMPUTED_VALUE"""),"dennis Quong")</f>
        <v>dennis Quong</v>
      </c>
      <c r="F9041" s="3" t="str">
        <f>IFERROR(__xludf.DUMMYFUNCTION("""COMPUTED_VALUE"""),"guan.leutsi@yahoo.ca")</f>
        <v>guan.leutsi@yahoo.ca</v>
      </c>
      <c r="G9041" s="3"/>
      <c r="H9041" s="3"/>
    </row>
    <row r="9042">
      <c r="A9042" s="2">
        <f>IFERROR(__xludf.DUMMYFUNCTION("""COMPUTED_VALUE"""),31171.0)</f>
        <v>31171</v>
      </c>
      <c r="B9042" s="3" t="str">
        <f>IFERROR(__xludf.DUMMYFUNCTION("""COMPUTED_VALUE"""),"513 PIPELINE RD ")</f>
        <v>513 PIPELINE RD </v>
      </c>
      <c r="C9042" s="3" t="str">
        <f>IFERROR(__xludf.DUMMYFUNCTION("""COMPUTED_VALUE"""),"GRAFTON")</f>
        <v>GRAFTON</v>
      </c>
      <c r="D9042" s="3" t="str">
        <f>IFERROR(__xludf.DUMMYFUNCTION("""COMPUTED_VALUE"""),"K0K 2G0")</f>
        <v>K0K 2G0</v>
      </c>
      <c r="E9042" s="3"/>
      <c r="F9042" s="3"/>
      <c r="G9042" s="3"/>
      <c r="H9042" s="3"/>
    </row>
    <row r="9043">
      <c r="A9043" s="2">
        <f>IFERROR(__xludf.DUMMYFUNCTION("""COMPUTED_VALUE"""),31172.0)</f>
        <v>31172</v>
      </c>
      <c r="B9043" s="3" t="str">
        <f>IFERROR(__xludf.DUMMYFUNCTION("""COMPUTED_VALUE"""),"533 PIPELINE RD ")</f>
        <v>533 PIPELINE RD </v>
      </c>
      <c r="C9043" s="3" t="str">
        <f>IFERROR(__xludf.DUMMYFUNCTION("""COMPUTED_VALUE"""),"GRAFTON")</f>
        <v>GRAFTON</v>
      </c>
      <c r="D9043" s="3" t="str">
        <f>IFERROR(__xludf.DUMMYFUNCTION("""COMPUTED_VALUE"""),"K0K 2G0")</f>
        <v>K0K 2G0</v>
      </c>
      <c r="E9043" s="3" t="str">
        <f>IFERROR(__xludf.DUMMYFUNCTION("""COMPUTED_VALUE"""),"James Paul McArthur")</f>
        <v>James Paul McArthur</v>
      </c>
      <c r="F9043" s="3" t="str">
        <f>IFERROR(__xludf.DUMMYFUNCTION("""COMPUTED_VALUE"""),"deuce_deuce_5@msn.com")</f>
        <v>deuce_deuce_5@msn.com</v>
      </c>
      <c r="G9043" s="3">
        <f>IFERROR(__xludf.DUMMYFUNCTION("""COMPUTED_VALUE"""),9.058097705E9)</f>
        <v>9058097705</v>
      </c>
      <c r="H9043" s="3">
        <f>IFERROR(__xludf.DUMMYFUNCTION("""COMPUTED_VALUE"""),2.896850298E9)</f>
        <v>2896850298</v>
      </c>
    </row>
    <row r="9044">
      <c r="A9044" s="2">
        <f>IFERROR(__xludf.DUMMYFUNCTION("""COMPUTED_VALUE"""),31173.0)</f>
        <v>31173</v>
      </c>
      <c r="B9044" s="3" t="str">
        <f>IFERROR(__xludf.DUMMYFUNCTION("""COMPUTED_VALUE"""),"550 PIPELINE RD ")</f>
        <v>550 PIPELINE RD </v>
      </c>
      <c r="C9044" s="3" t="str">
        <f>IFERROR(__xludf.DUMMYFUNCTION("""COMPUTED_VALUE"""),"GRAFTON")</f>
        <v>GRAFTON</v>
      </c>
      <c r="D9044" s="3" t="str">
        <f>IFERROR(__xludf.DUMMYFUNCTION("""COMPUTED_VALUE"""),"K0K 2G0")</f>
        <v>K0K 2G0</v>
      </c>
      <c r="E9044" s="3"/>
      <c r="F9044" s="3"/>
      <c r="G9044" s="3"/>
      <c r="H9044" s="3"/>
    </row>
    <row r="9045">
      <c r="A9045" s="2">
        <f>IFERROR(__xludf.DUMMYFUNCTION("""COMPUTED_VALUE"""),31174.0)</f>
        <v>31174</v>
      </c>
      <c r="B9045" s="3" t="str">
        <f>IFERROR(__xludf.DUMMYFUNCTION("""COMPUTED_VALUE"""),"555 PIPELINE RD ")</f>
        <v>555 PIPELINE RD </v>
      </c>
      <c r="C9045" s="3" t="str">
        <f>IFERROR(__xludf.DUMMYFUNCTION("""COMPUTED_VALUE"""),"GRAFTON")</f>
        <v>GRAFTON</v>
      </c>
      <c r="D9045" s="3" t="str">
        <f>IFERROR(__xludf.DUMMYFUNCTION("""COMPUTED_VALUE"""),"K0K 2G0")</f>
        <v>K0K 2G0</v>
      </c>
      <c r="E9045" s="3" t="str">
        <f>IFERROR(__xludf.DUMMYFUNCTION("""COMPUTED_VALUE"""),"Wilf Venema")</f>
        <v>Wilf Venema</v>
      </c>
      <c r="F9045" s="3" t="str">
        <f>IFERROR(__xludf.DUMMYFUNCTION("""COMPUTED_VALUE"""),"marcvenema1@gmail.com")</f>
        <v>marcvenema1@gmail.com</v>
      </c>
      <c r="G9045" s="3">
        <f>IFERROR(__xludf.DUMMYFUNCTION("""COMPUTED_VALUE"""),2.897711179E9)</f>
        <v>2897711179</v>
      </c>
      <c r="H9045" s="3"/>
    </row>
    <row r="9046">
      <c r="A9046" s="2">
        <f>IFERROR(__xludf.DUMMYFUNCTION("""COMPUTED_VALUE"""),31175.0)</f>
        <v>31175</v>
      </c>
      <c r="B9046" s="3" t="str">
        <f>IFERROR(__xludf.DUMMYFUNCTION("""COMPUTED_VALUE"""),"589 PIPELINE RD ")</f>
        <v>589 PIPELINE RD </v>
      </c>
      <c r="C9046" s="3" t="str">
        <f>IFERROR(__xludf.DUMMYFUNCTION("""COMPUTED_VALUE"""),"GRAFTON")</f>
        <v>GRAFTON</v>
      </c>
      <c r="D9046" s="3" t="str">
        <f>IFERROR(__xludf.DUMMYFUNCTION("""COMPUTED_VALUE"""),"K0K 2G0")</f>
        <v>K0K 2G0</v>
      </c>
      <c r="E9046" s="3" t="str">
        <f>IFERROR(__xludf.DUMMYFUNCTION("""COMPUTED_VALUE"""),"Sera Verema / Judi Gill")</f>
        <v>Sera Verema / Judi Gill</v>
      </c>
      <c r="F9046" s="3" t="str">
        <f>IFERROR(__xludf.DUMMYFUNCTION("""COMPUTED_VALUE"""),"judi.gill@gmail.com")</f>
        <v>judi.gill@gmail.com</v>
      </c>
      <c r="G9046" s="3"/>
      <c r="H9046" s="3"/>
    </row>
    <row r="9047">
      <c r="A9047" s="2">
        <f>IFERROR(__xludf.DUMMYFUNCTION("""COMPUTED_VALUE"""),31176.0)</f>
        <v>31176</v>
      </c>
      <c r="B9047" s="3" t="str">
        <f>IFERROR(__xludf.DUMMYFUNCTION("""COMPUTED_VALUE"""),"598 PIPELINE RD ")</f>
        <v>598 PIPELINE RD </v>
      </c>
      <c r="C9047" s="3" t="str">
        <f>IFERROR(__xludf.DUMMYFUNCTION("""COMPUTED_VALUE"""),"GRAFTON")</f>
        <v>GRAFTON</v>
      </c>
      <c r="D9047" s="3" t="str">
        <f>IFERROR(__xludf.DUMMYFUNCTION("""COMPUTED_VALUE"""),"K0K 2G0")</f>
        <v>K0K 2G0</v>
      </c>
      <c r="E9047" s="3"/>
      <c r="F9047" s="3"/>
      <c r="G9047" s="3"/>
      <c r="H9047" s="3"/>
    </row>
    <row r="9048">
      <c r="A9048" s="2">
        <f>IFERROR(__xludf.DUMMYFUNCTION("""COMPUTED_VALUE"""),31177.0)</f>
        <v>31177</v>
      </c>
      <c r="B9048" s="3" t="str">
        <f>IFERROR(__xludf.DUMMYFUNCTION("""COMPUTED_VALUE"""),"616 PIPELINE RD ")</f>
        <v>616 PIPELINE RD </v>
      </c>
      <c r="C9048" s="3" t="str">
        <f>IFERROR(__xludf.DUMMYFUNCTION("""COMPUTED_VALUE"""),"GRAFTON")</f>
        <v>GRAFTON</v>
      </c>
      <c r="D9048" s="3" t="str">
        <f>IFERROR(__xludf.DUMMYFUNCTION("""COMPUTED_VALUE"""),"K0K 2G0")</f>
        <v>K0K 2G0</v>
      </c>
      <c r="E9048" s="3" t="str">
        <f>IFERROR(__xludf.DUMMYFUNCTION("""COMPUTED_VALUE"""),"Ken Prentice")</f>
        <v>Ken Prentice</v>
      </c>
      <c r="F9048" s="3" t="str">
        <f>IFERROR(__xludf.DUMMYFUNCTION("""COMPUTED_VALUE"""),"N/A")</f>
        <v>N/A</v>
      </c>
      <c r="G9048" s="3"/>
      <c r="H9048" s="3"/>
    </row>
    <row r="9049">
      <c r="A9049" s="2">
        <f>IFERROR(__xludf.DUMMYFUNCTION("""COMPUTED_VALUE"""),31178.0)</f>
        <v>31178</v>
      </c>
      <c r="B9049" s="3" t="str">
        <f>IFERROR(__xludf.DUMMYFUNCTION("""COMPUTED_VALUE"""),"664 PIPELINE RD ")</f>
        <v>664 PIPELINE RD </v>
      </c>
      <c r="C9049" s="3" t="str">
        <f>IFERROR(__xludf.DUMMYFUNCTION("""COMPUTED_VALUE"""),"GRAFTON")</f>
        <v>GRAFTON</v>
      </c>
      <c r="D9049" s="3" t="str">
        <f>IFERROR(__xludf.DUMMYFUNCTION("""COMPUTED_VALUE"""),"K0K 2G0")</f>
        <v>K0K 2G0</v>
      </c>
      <c r="E9049" s="3" t="str">
        <f>IFERROR(__xludf.DUMMYFUNCTION("""COMPUTED_VALUE"""),"Ian Lancaster")</f>
        <v>Ian Lancaster</v>
      </c>
      <c r="F9049" s="3" t="str">
        <f>IFERROR(__xludf.DUMMYFUNCTION("""COMPUTED_VALUE"""),"N/A")</f>
        <v>N/A</v>
      </c>
      <c r="G9049" s="3">
        <f>IFERROR(__xludf.DUMMYFUNCTION("""COMPUTED_VALUE"""),9.053960032E9)</f>
        <v>9053960032</v>
      </c>
      <c r="H9049" s="3"/>
    </row>
    <row r="9050">
      <c r="A9050" s="2">
        <f>IFERROR(__xludf.DUMMYFUNCTION("""COMPUTED_VALUE"""),31179.0)</f>
        <v>31179</v>
      </c>
      <c r="B9050" s="3" t="str">
        <f>IFERROR(__xludf.DUMMYFUNCTION("""COMPUTED_VALUE"""),"702 PIPELINE RD ")</f>
        <v>702 PIPELINE RD </v>
      </c>
      <c r="C9050" s="3" t="str">
        <f>IFERROR(__xludf.DUMMYFUNCTION("""COMPUTED_VALUE"""),"GRAFTON")</f>
        <v>GRAFTON</v>
      </c>
      <c r="D9050" s="3" t="str">
        <f>IFERROR(__xludf.DUMMYFUNCTION("""COMPUTED_VALUE"""),"K0K 2G0")</f>
        <v>K0K 2G0</v>
      </c>
      <c r="E9050" s="3" t="str">
        <f>IFERROR(__xludf.DUMMYFUNCTION("""COMPUTED_VALUE"""),"Neil McQueen ")</f>
        <v>Neil McQueen </v>
      </c>
      <c r="F9050" s="3" t="str">
        <f>IFERROR(__xludf.DUMMYFUNCTION("""COMPUTED_VALUE"""),"nmcqueen@me.com")</f>
        <v>nmcqueen@me.com</v>
      </c>
      <c r="G9050" s="3"/>
      <c r="H9050" s="3"/>
    </row>
    <row r="9051">
      <c r="A9051" s="2">
        <f>IFERROR(__xludf.DUMMYFUNCTION("""COMPUTED_VALUE"""),31180.0)</f>
        <v>31180</v>
      </c>
      <c r="B9051" s="3" t="str">
        <f>IFERROR(__xludf.DUMMYFUNCTION("""COMPUTED_VALUE"""),"120 PRETTIE RD")</f>
        <v>120 PRETTIE RD</v>
      </c>
      <c r="C9051" s="3"/>
      <c r="D9051" s="3"/>
      <c r="E9051" s="3"/>
      <c r="F9051" s="3"/>
      <c r="G9051" s="3"/>
      <c r="H9051" s="3"/>
    </row>
    <row r="9052">
      <c r="A9052" s="2">
        <f>IFERROR(__xludf.DUMMYFUNCTION("""COMPUTED_VALUE"""),31181.0)</f>
        <v>31181</v>
      </c>
      <c r="B9052" s="3" t="str">
        <f>IFERROR(__xludf.DUMMYFUNCTION("""COMPUTED_VALUE"""),"155 PRETTIE RD ")</f>
        <v>155 PRETTIE RD </v>
      </c>
      <c r="C9052" s="3" t="str">
        <f>IFERROR(__xludf.DUMMYFUNCTION("""COMPUTED_VALUE"""),"GRAFTON")</f>
        <v>GRAFTON</v>
      </c>
      <c r="D9052" s="3" t="str">
        <f>IFERROR(__xludf.DUMMYFUNCTION("""COMPUTED_VALUE"""),"K0K 2G0")</f>
        <v>K0K 2G0</v>
      </c>
      <c r="E9052" s="3" t="str">
        <f>IFERROR(__xludf.DUMMYFUNCTION("""COMPUTED_VALUE"""),"Aubrey Rodrigues")</f>
        <v>Aubrey Rodrigues</v>
      </c>
      <c r="F9052" s="3" t="str">
        <f>IFERROR(__xludf.DUMMYFUNCTION("""COMPUTED_VALUE"""),"aubrey.a.rodrigues@gmail.com")</f>
        <v>aubrey.a.rodrigues@gmail.com</v>
      </c>
      <c r="G9052" s="3"/>
      <c r="H9052" s="3"/>
    </row>
    <row r="9053">
      <c r="A9053" s="2">
        <f>IFERROR(__xludf.DUMMYFUNCTION("""COMPUTED_VALUE"""),31182.0)</f>
        <v>31182</v>
      </c>
      <c r="B9053" s="3" t="str">
        <f>IFERROR(__xludf.DUMMYFUNCTION("""COMPUTED_VALUE"""),"156 PRETTIE RD ")</f>
        <v>156 PRETTIE RD </v>
      </c>
      <c r="C9053" s="3" t="str">
        <f>IFERROR(__xludf.DUMMYFUNCTION("""COMPUTED_VALUE"""),"GRAFTON")</f>
        <v>GRAFTON</v>
      </c>
      <c r="D9053" s="3" t="str">
        <f>IFERROR(__xludf.DUMMYFUNCTION("""COMPUTED_VALUE"""),"K0K 2G0")</f>
        <v>K0K 2G0</v>
      </c>
      <c r="E9053" s="3" t="str">
        <f>IFERROR(__xludf.DUMMYFUNCTION("""COMPUTED_VALUE"""),"Craig Teskey")</f>
        <v>Craig Teskey</v>
      </c>
      <c r="F9053" s="3" t="str">
        <f>IFERROR(__xludf.DUMMYFUNCTION("""COMPUTED_VALUE"""),"teskey_83@hotmail.com")</f>
        <v>teskey_83@hotmail.com</v>
      </c>
      <c r="G9053" s="3">
        <f>IFERROR(__xludf.DUMMYFUNCTION("""COMPUTED_VALUE"""),9.05269254E9)</f>
        <v>9052692540</v>
      </c>
      <c r="H9053" s="3"/>
    </row>
    <row r="9054">
      <c r="A9054" s="2">
        <f>IFERROR(__xludf.DUMMYFUNCTION("""COMPUTED_VALUE"""),31183.0)</f>
        <v>31183</v>
      </c>
      <c r="B9054" s="3" t="str">
        <f>IFERROR(__xludf.DUMMYFUNCTION("""COMPUTED_VALUE"""),"172 PRETTIE RD ")</f>
        <v>172 PRETTIE RD </v>
      </c>
      <c r="C9054" s="3" t="str">
        <f>IFERROR(__xludf.DUMMYFUNCTION("""COMPUTED_VALUE"""),"GRAFTON")</f>
        <v>GRAFTON</v>
      </c>
      <c r="D9054" s="3" t="str">
        <f>IFERROR(__xludf.DUMMYFUNCTION("""COMPUTED_VALUE"""),"K0K 2G0")</f>
        <v>K0K 2G0</v>
      </c>
      <c r="E9054" s="3" t="str">
        <f>IFERROR(__xludf.DUMMYFUNCTION("""COMPUTED_VALUE"""),"Gord Truelove")</f>
        <v>Gord Truelove</v>
      </c>
      <c r="F9054" s="3" t="str">
        <f>IFERROR(__xludf.DUMMYFUNCTION("""COMPUTED_VALUE"""),"trve172@hotmail.com")</f>
        <v>trve172@hotmail.com</v>
      </c>
      <c r="G9054" s="3">
        <f>IFERROR(__xludf.DUMMYFUNCTION("""COMPUTED_VALUE"""),9.053768324E9)</f>
        <v>9053768324</v>
      </c>
      <c r="H9054" s="3"/>
    </row>
    <row r="9055">
      <c r="A9055" s="2">
        <f>IFERROR(__xludf.DUMMYFUNCTION("""COMPUTED_VALUE"""),31184.0)</f>
        <v>31184</v>
      </c>
      <c r="B9055" s="3" t="str">
        <f>IFERROR(__xludf.DUMMYFUNCTION("""COMPUTED_VALUE"""),"180 PRETTIE RD ")</f>
        <v>180 PRETTIE RD </v>
      </c>
      <c r="C9055" s="3" t="str">
        <f>IFERROR(__xludf.DUMMYFUNCTION("""COMPUTED_VALUE"""),"GRAFTON")</f>
        <v>GRAFTON</v>
      </c>
      <c r="D9055" s="3" t="str">
        <f>IFERROR(__xludf.DUMMYFUNCTION("""COMPUTED_VALUE"""),"K0K 2G0")</f>
        <v>K0K 2G0</v>
      </c>
      <c r="E9055" s="3" t="str">
        <f>IFERROR(__xludf.DUMMYFUNCTION("""COMPUTED_VALUE"""),"Graeme Harris")</f>
        <v>Graeme Harris</v>
      </c>
      <c r="F9055" s="3" t="str">
        <f>IFERROR(__xludf.DUMMYFUNCTION("""COMPUTED_VALUE"""),"graemesr@bell.net")</f>
        <v>graemesr@bell.net</v>
      </c>
      <c r="G9055" s="3"/>
      <c r="H9055" s="3"/>
    </row>
    <row r="9056">
      <c r="A9056" s="2">
        <f>IFERROR(__xludf.DUMMYFUNCTION("""COMPUTED_VALUE"""),31551.0)</f>
        <v>31551</v>
      </c>
      <c r="B9056" s="3" t="str">
        <f>IFERROR(__xludf.DUMMYFUNCTION("""COMPUTED_VALUE"""),"458 REDCLOUD SCHOOL RD")</f>
        <v>458 REDCLOUD SCHOOL RD</v>
      </c>
      <c r="C9056" s="3"/>
      <c r="D9056" s="3"/>
      <c r="E9056" s="3" t="str">
        <f>IFERROR(__xludf.DUMMYFUNCTION("""COMPUTED_VALUE"""),"Marc Desjardins")</f>
        <v>Marc Desjardins</v>
      </c>
      <c r="F9056" s="3"/>
      <c r="G9056" s="3"/>
      <c r="H9056" s="3"/>
    </row>
    <row r="9057">
      <c r="A9057" s="2">
        <f>IFERROR(__xludf.DUMMYFUNCTION("""COMPUTED_VALUE"""),31190.0)</f>
        <v>31190</v>
      </c>
      <c r="B9057" s="3" t="str">
        <f>IFERROR(__xludf.DUMMYFUNCTION("""COMPUTED_VALUE"""),"494 RED CLOUD SCHOOL RD")</f>
        <v>494 RED CLOUD SCHOOL RD</v>
      </c>
      <c r="C9057" s="3"/>
      <c r="D9057" s="3"/>
      <c r="E9057" s="3" t="str">
        <f>IFERROR(__xludf.DUMMYFUNCTION("""COMPUTED_VALUE"""),"David Lyon")</f>
        <v>David Lyon</v>
      </c>
      <c r="F9057" s="3" t="str">
        <f>IFERROR(__xludf.DUMMYFUNCTION("""COMPUTED_VALUE"""),"dalyon1956@gmail.com")</f>
        <v>dalyon1956@gmail.com</v>
      </c>
      <c r="G9057" s="3">
        <f>IFERROR(__xludf.DUMMYFUNCTION("""COMPUTED_VALUE"""),7.056536079E9)</f>
        <v>7056536079</v>
      </c>
      <c r="H9057" s="3"/>
    </row>
    <row r="9058">
      <c r="A9058" s="2">
        <f>IFERROR(__xludf.DUMMYFUNCTION("""COMPUTED_VALUE"""),31191.0)</f>
        <v>31191</v>
      </c>
      <c r="B9058" s="3" t="str">
        <f>IFERROR(__xludf.DUMMYFUNCTION("""COMPUTED_VALUE"""),"541 RED CLOUD SCHOOL RD")</f>
        <v>541 RED CLOUD SCHOOL RD</v>
      </c>
      <c r="C9058" s="3"/>
      <c r="D9058" s="3"/>
      <c r="E9058" s="3" t="str">
        <f>IFERROR(__xludf.DUMMYFUNCTION("""COMPUTED_VALUE"""),"Darrell Steele")</f>
        <v>Darrell Steele</v>
      </c>
      <c r="F9058" s="3" t="str">
        <f>IFERROR(__xludf.DUMMYFUNCTION("""COMPUTED_VALUE"""),"denntoronto@outlook.com")</f>
        <v>denntoronto@outlook.com</v>
      </c>
      <c r="G9058" s="3"/>
      <c r="H9058" s="3"/>
    </row>
    <row r="9059">
      <c r="A9059" s="2">
        <f>IFERROR(__xludf.DUMMYFUNCTION("""COMPUTED_VALUE"""),31192.0)</f>
        <v>31192</v>
      </c>
      <c r="B9059" s="3" t="str">
        <f>IFERROR(__xludf.DUMMYFUNCTION("""COMPUTED_VALUE"""),"565 REDCLOUD SCHOOL RD")</f>
        <v>565 REDCLOUD SCHOOL RD</v>
      </c>
      <c r="C9059" s="3"/>
      <c r="D9059" s="3"/>
      <c r="E9059" s="3"/>
      <c r="F9059" s="3"/>
      <c r="G9059" s="3"/>
      <c r="H9059" s="3"/>
    </row>
    <row r="9060">
      <c r="A9060" s="2">
        <f>IFERROR(__xludf.DUMMYFUNCTION("""COMPUTED_VALUE"""),31193.0)</f>
        <v>31193</v>
      </c>
      <c r="B9060" s="3" t="str">
        <f>IFERROR(__xludf.DUMMYFUNCTION("""COMPUTED_VALUE"""),"576 REDCLOUD SCHOOL RD")</f>
        <v>576 REDCLOUD SCHOOL RD</v>
      </c>
      <c r="C9060" s="3" t="str">
        <f>IFERROR(__xludf.DUMMYFUNCTION("""COMPUTED_VALUE"""),"WARKWORTH")</f>
        <v>WARKWORTH</v>
      </c>
      <c r="D9060" s="3" t="str">
        <f>IFERROR(__xludf.DUMMYFUNCTION("""COMPUTED_VALUE"""),"K0K 3K0")</f>
        <v>K0K 3K0</v>
      </c>
      <c r="E9060" s="3" t="str">
        <f>IFERROR(__xludf.DUMMYFUNCTION("""COMPUTED_VALUE"""),"Amanda Budd")</f>
        <v>Amanda Budd</v>
      </c>
      <c r="F9060" s="3" t="str">
        <f>IFERROR(__xludf.DUMMYFUNCTION("""COMPUTED_VALUE"""),"ambudd1979@gmail.com")</f>
        <v>ambudd1979@gmail.com</v>
      </c>
      <c r="G9060" s="3">
        <f>IFERROR(__xludf.DUMMYFUNCTION("""COMPUTED_VALUE"""),9.052527825E9)</f>
        <v>9052527825</v>
      </c>
      <c r="H9060" s="3"/>
    </row>
    <row r="9061">
      <c r="A9061" s="2">
        <f>IFERROR(__xludf.DUMMYFUNCTION("""COMPUTED_VALUE"""),31194.0)</f>
        <v>31194</v>
      </c>
      <c r="B9061" s="3" t="str">
        <f>IFERROR(__xludf.DUMMYFUNCTION("""COMPUTED_VALUE"""),"624 REDCLOUD SCHOOL RD")</f>
        <v>624 REDCLOUD SCHOOL RD</v>
      </c>
      <c r="C9061" s="3"/>
      <c r="D9061" s="3"/>
      <c r="E9061" s="3" t="str">
        <f>IFERROR(__xludf.DUMMYFUNCTION("""COMPUTED_VALUE"""),"Peter Phillips")</f>
        <v>Peter Phillips</v>
      </c>
      <c r="F9061" s="3" t="str">
        <f>IFERROR(__xludf.DUMMYFUNCTION("""COMPUTED_VALUE"""),"pflphill@gmail.com")</f>
        <v>pflphill@gmail.com</v>
      </c>
      <c r="G9061" s="3"/>
      <c r="H9061" s="3"/>
    </row>
    <row r="9062">
      <c r="A9062" s="2">
        <f>IFERROR(__xludf.DUMMYFUNCTION("""COMPUTED_VALUE"""),31195.0)</f>
        <v>31195</v>
      </c>
      <c r="B9062" s="3" t="str">
        <f>IFERROR(__xludf.DUMMYFUNCTION("""COMPUTED_VALUE"""),"636 RED CLOUD SCHOOL RD")</f>
        <v>636 RED CLOUD SCHOOL RD</v>
      </c>
      <c r="C9062" s="3"/>
      <c r="D9062" s="3"/>
      <c r="E9062" s="3" t="str">
        <f>IFERROR(__xludf.DUMMYFUNCTION("""COMPUTED_VALUE"""),"John Van Tighem")</f>
        <v>John Van Tighem</v>
      </c>
      <c r="F9062" s="3" t="str">
        <f>IFERROR(__xludf.DUMMYFUNCTION("""COMPUTED_VALUE"""),"johnvantighem1959@gmail.com")</f>
        <v>johnvantighem1959@gmail.com</v>
      </c>
      <c r="G9062" s="3">
        <f>IFERROR(__xludf.DUMMYFUNCTION("""COMPUTED_VALUE"""),6.474477745E9)</f>
        <v>6474477745</v>
      </c>
      <c r="H9062" s="3"/>
    </row>
    <row r="9063">
      <c r="A9063" s="2">
        <f>IFERROR(__xludf.DUMMYFUNCTION("""COMPUTED_VALUE"""),31196.0)</f>
        <v>31196</v>
      </c>
      <c r="B9063" s="3" t="str">
        <f>IFERROR(__xludf.DUMMYFUNCTION("""COMPUTED_VALUE"""),"651 REDCLOUD SCHOOL RD")</f>
        <v>651 REDCLOUD SCHOOL RD</v>
      </c>
      <c r="C9063" s="3"/>
      <c r="D9063" s="3"/>
      <c r="E9063" s="3" t="str">
        <f>IFERROR(__xludf.DUMMYFUNCTION("""COMPUTED_VALUE"""),"John Ashbourne")</f>
        <v>John Ashbourne</v>
      </c>
      <c r="F9063" s="3" t="str">
        <f>IFERROR(__xludf.DUMMYFUNCTION("""COMPUTED_VALUE"""),"jashbourne@xplornet.com")</f>
        <v>jashbourne@xplornet.com</v>
      </c>
      <c r="G9063" s="3">
        <f>IFERROR(__xludf.DUMMYFUNCTION("""COMPUTED_VALUE"""),7.059242241E9)</f>
        <v>7059242241</v>
      </c>
      <c r="H9063" s="3"/>
    </row>
    <row r="9064">
      <c r="A9064" s="2">
        <f>IFERROR(__xludf.DUMMYFUNCTION("""COMPUTED_VALUE"""),31197.0)</f>
        <v>31197</v>
      </c>
      <c r="B9064" s="3" t="str">
        <f>IFERROR(__xludf.DUMMYFUNCTION("""COMPUTED_VALUE"""),"654 RED CLOUD SCHOOL RD")</f>
        <v>654 RED CLOUD SCHOOL RD</v>
      </c>
      <c r="C9064" s="3"/>
      <c r="D9064" s="3"/>
      <c r="E9064" s="3" t="str">
        <f>IFERROR(__xludf.DUMMYFUNCTION("""COMPUTED_VALUE"""),"Rob Widmann")</f>
        <v>Rob Widmann</v>
      </c>
      <c r="F9064" s="3" t="str">
        <f>IFERROR(__xludf.DUMMYFUNCTION("""COMPUTED_VALUE"""),"widmannis@rogers.com")</f>
        <v>widmannis@rogers.com</v>
      </c>
      <c r="G9064" s="3"/>
      <c r="H9064" s="3"/>
    </row>
    <row r="9065">
      <c r="A9065" s="2">
        <f>IFERROR(__xludf.DUMMYFUNCTION("""COMPUTED_VALUE"""),31198.0)</f>
        <v>31198</v>
      </c>
      <c r="B9065" s="3" t="str">
        <f>IFERROR(__xludf.DUMMYFUNCTION("""COMPUTED_VALUE"""),"699 REDCLOUD SCHOOL RD")</f>
        <v>699 REDCLOUD SCHOOL RD</v>
      </c>
      <c r="C9065" s="3"/>
      <c r="D9065" s="3"/>
      <c r="E9065" s="3" t="str">
        <f>IFERROR(__xludf.DUMMYFUNCTION("""COMPUTED_VALUE"""),"Kerry Agnilow")</f>
        <v>Kerry Agnilow</v>
      </c>
      <c r="F9065" s="3"/>
      <c r="G9065" s="3"/>
      <c r="H9065" s="3"/>
    </row>
    <row r="9066">
      <c r="A9066" s="2">
        <f>IFERROR(__xludf.DUMMYFUNCTION("""COMPUTED_VALUE"""),31199.0)</f>
        <v>31199</v>
      </c>
      <c r="B9066" s="3" t="str">
        <f>IFERROR(__xludf.DUMMYFUNCTION("""COMPUTED_VALUE"""),"718 RED CLOUD SCHOOL RD")</f>
        <v>718 RED CLOUD SCHOOL RD</v>
      </c>
      <c r="C9066" s="3"/>
      <c r="D9066" s="3"/>
      <c r="E9066" s="3" t="str">
        <f>IFERROR(__xludf.DUMMYFUNCTION("""COMPUTED_VALUE"""),"Nathan Marion")</f>
        <v>Nathan Marion</v>
      </c>
      <c r="F9066" s="3" t="str">
        <f>IFERROR(__xludf.DUMMYFUNCTION("""COMPUTED_VALUE"""),"N/A")</f>
        <v>N/A</v>
      </c>
      <c r="G9066" s="3">
        <f>IFERROR(__xludf.DUMMYFUNCTION("""COMPUTED_VALUE"""),2.892514956E9)</f>
        <v>2892514956</v>
      </c>
      <c r="H9066" s="3"/>
    </row>
    <row r="9067">
      <c r="A9067" s="2">
        <f>IFERROR(__xludf.DUMMYFUNCTION("""COMPUTED_VALUE"""),31200.0)</f>
        <v>31200</v>
      </c>
      <c r="B9067" s="3" t="str">
        <f>IFERROR(__xludf.DUMMYFUNCTION("""COMPUTED_VALUE"""),"766 RED CLOUD SCHOOL RD")</f>
        <v>766 RED CLOUD SCHOOL RD</v>
      </c>
      <c r="C9067" s="3"/>
      <c r="D9067" s="3"/>
      <c r="E9067" s="3"/>
      <c r="F9067" s="3"/>
      <c r="G9067" s="3"/>
      <c r="H9067" s="3"/>
    </row>
    <row r="9068">
      <c r="A9068" s="2">
        <f>IFERROR(__xludf.DUMMYFUNCTION("""COMPUTED_VALUE"""),31201.0)</f>
        <v>31201</v>
      </c>
      <c r="B9068" s="3" t="str">
        <f>IFERROR(__xludf.DUMMYFUNCTION("""COMPUTED_VALUE"""),"781 REDCLOUD SCHOOL RD")</f>
        <v>781 REDCLOUD SCHOOL RD</v>
      </c>
      <c r="C9068" s="3"/>
      <c r="D9068" s="3"/>
      <c r="E9068" s="3" t="str">
        <f>IFERROR(__xludf.DUMMYFUNCTION("""COMPUTED_VALUE"""),"Marcus Leng")</f>
        <v>Marcus Leng</v>
      </c>
      <c r="F9068" s="3" t="str">
        <f>IFERROR(__xludf.DUMMYFUNCTION("""COMPUTED_VALUE"""),"skyladders.marcus@gmail.com")</f>
        <v>skyladders.marcus@gmail.com</v>
      </c>
      <c r="G9068" s="3">
        <f>IFERROR(__xludf.DUMMYFUNCTION("""COMPUTED_VALUE"""),6.508625717E9)</f>
        <v>6508625717</v>
      </c>
      <c r="H9068" s="3"/>
    </row>
    <row r="9069">
      <c r="A9069" s="2">
        <f>IFERROR(__xludf.DUMMYFUNCTION("""COMPUTED_VALUE"""),31259.0)</f>
        <v>31259</v>
      </c>
      <c r="B9069" s="3" t="str">
        <f>IFERROR(__xludf.DUMMYFUNCTION("""COMPUTED_VALUE"""),"2641 SHELTER VALLEY RD ")</f>
        <v>2641 SHELTER VALLEY RD </v>
      </c>
      <c r="C9069" s="3" t="str">
        <f>IFERROR(__xludf.DUMMYFUNCTION("""COMPUTED_VALUE"""),"GRAFTON")</f>
        <v>GRAFTON</v>
      </c>
      <c r="D9069" s="3" t="str">
        <f>IFERROR(__xludf.DUMMYFUNCTION("""COMPUTED_VALUE"""),"K0K 2G0")</f>
        <v>K0K 2G0</v>
      </c>
      <c r="E9069" s="3"/>
      <c r="F9069" s="3"/>
      <c r="G9069" s="3"/>
      <c r="H9069" s="3"/>
    </row>
    <row r="9070">
      <c r="A9070" s="2">
        <f>IFERROR(__xludf.DUMMYFUNCTION("""COMPUTED_VALUE"""),31260.0)</f>
        <v>31260</v>
      </c>
      <c r="B9070" s="3" t="str">
        <f>IFERROR(__xludf.DUMMYFUNCTION("""COMPUTED_VALUE"""),"2667 SHELTER VALLEY RD ")</f>
        <v>2667 SHELTER VALLEY RD </v>
      </c>
      <c r="C9070" s="3" t="str">
        <f>IFERROR(__xludf.DUMMYFUNCTION("""COMPUTED_VALUE"""),"GRAFTON")</f>
        <v>GRAFTON</v>
      </c>
      <c r="D9070" s="3" t="str">
        <f>IFERROR(__xludf.DUMMYFUNCTION("""COMPUTED_VALUE"""),"K0K 2G0")</f>
        <v>K0K 2G0</v>
      </c>
      <c r="E9070" s="3" t="str">
        <f>IFERROR(__xludf.DUMMYFUNCTION("""COMPUTED_VALUE"""),"Weatherby Anthony wayne")</f>
        <v>Weatherby Anthony wayne</v>
      </c>
      <c r="F9070" s="3" t="str">
        <f>IFERROR(__xludf.DUMMYFUNCTION("""COMPUTED_VALUE"""),"weatherbyanthony@gmail.com")</f>
        <v>weatherbyanthony@gmail.com</v>
      </c>
      <c r="G9070" s="3"/>
      <c r="H9070" s="3"/>
    </row>
    <row r="9071">
      <c r="A9071" s="2">
        <f>IFERROR(__xludf.DUMMYFUNCTION("""COMPUTED_VALUE"""),31261.0)</f>
        <v>31261</v>
      </c>
      <c r="B9071" s="3" t="str">
        <f>IFERROR(__xludf.DUMMYFUNCTION("""COMPUTED_VALUE"""),"2708 SHELTER VALLEY RD ")</f>
        <v>2708 SHELTER VALLEY RD </v>
      </c>
      <c r="C9071" s="3" t="str">
        <f>IFERROR(__xludf.DUMMYFUNCTION("""COMPUTED_VALUE"""),"GRAFTON")</f>
        <v>GRAFTON</v>
      </c>
      <c r="D9071" s="3" t="str">
        <f>IFERROR(__xludf.DUMMYFUNCTION("""COMPUTED_VALUE"""),"K0K 2G0")</f>
        <v>K0K 2G0</v>
      </c>
      <c r="E9071" s="3" t="str">
        <f>IFERROR(__xludf.DUMMYFUNCTION("""COMPUTED_VALUE"""),"Luck Earn")</f>
        <v>Luck Earn</v>
      </c>
      <c r="F9071" s="3" t="str">
        <f>IFERROR(__xludf.DUMMYFUNCTION("""COMPUTED_VALUE"""),"N/A")</f>
        <v>N/A</v>
      </c>
      <c r="G9071" s="3">
        <f>IFERROR(__xludf.DUMMYFUNCTION("""COMPUTED_VALUE"""),9.053492932E9)</f>
        <v>9053492932</v>
      </c>
      <c r="H9071" s="3"/>
    </row>
    <row r="9072">
      <c r="A9072" s="2">
        <f>IFERROR(__xludf.DUMMYFUNCTION("""COMPUTED_VALUE"""),31262.0)</f>
        <v>31262</v>
      </c>
      <c r="B9072" s="3" t="str">
        <f>IFERROR(__xludf.DUMMYFUNCTION("""COMPUTED_VALUE"""),"2715 SHELTER VALLEY RD ")</f>
        <v>2715 SHELTER VALLEY RD </v>
      </c>
      <c r="C9072" s="3" t="str">
        <f>IFERROR(__xludf.DUMMYFUNCTION("""COMPUTED_VALUE"""),"GRAFTON")</f>
        <v>GRAFTON</v>
      </c>
      <c r="D9072" s="3" t="str">
        <f>IFERROR(__xludf.DUMMYFUNCTION("""COMPUTED_VALUE"""),"K0K 2G0")</f>
        <v>K0K 2G0</v>
      </c>
      <c r="E9072" s="3" t="str">
        <f>IFERROR(__xludf.DUMMYFUNCTION("""COMPUTED_VALUE"""),"Shannon Kelly")</f>
        <v>Shannon Kelly</v>
      </c>
      <c r="F9072" s="3" t="str">
        <f>IFERROR(__xludf.DUMMYFUNCTION("""COMPUTED_VALUE"""),"shannonkellygreen1706@gmail.com")</f>
        <v>shannonkellygreen1706@gmail.com</v>
      </c>
      <c r="G9072" s="3">
        <f>IFERROR(__xludf.DUMMYFUNCTION("""COMPUTED_VALUE"""),9.053738622E9)</f>
        <v>9053738622</v>
      </c>
      <c r="H9072" s="3"/>
    </row>
    <row r="9073">
      <c r="A9073" s="2">
        <f>IFERROR(__xludf.DUMMYFUNCTION("""COMPUTED_VALUE"""),31263.0)</f>
        <v>31263</v>
      </c>
      <c r="B9073" s="3" t="str">
        <f>IFERROR(__xludf.DUMMYFUNCTION("""COMPUTED_VALUE"""),"2755 SHELTER VALLEY RD ")</f>
        <v>2755 SHELTER VALLEY RD </v>
      </c>
      <c r="C9073" s="3" t="str">
        <f>IFERROR(__xludf.DUMMYFUNCTION("""COMPUTED_VALUE"""),"GRAFTON")</f>
        <v>GRAFTON</v>
      </c>
      <c r="D9073" s="3" t="str">
        <f>IFERROR(__xludf.DUMMYFUNCTION("""COMPUTED_VALUE"""),"K0K 2G0")</f>
        <v>K0K 2G0</v>
      </c>
      <c r="E9073" s="3" t="str">
        <f>IFERROR(__xludf.DUMMYFUNCTION("""COMPUTED_VALUE"""),"Angelo Torrieri")</f>
        <v>Angelo Torrieri</v>
      </c>
      <c r="F9073" s="3" t="str">
        <f>IFERROR(__xludf.DUMMYFUNCTION("""COMPUTED_VALUE"""),"N/A")</f>
        <v>N/A</v>
      </c>
      <c r="G9073" s="3"/>
      <c r="H9073" s="3"/>
    </row>
    <row r="9074">
      <c r="A9074" s="2">
        <f>IFERROR(__xludf.DUMMYFUNCTION("""COMPUTED_VALUE"""),31264.0)</f>
        <v>31264</v>
      </c>
      <c r="B9074" s="3" t="str">
        <f>IFERROR(__xludf.DUMMYFUNCTION("""COMPUTED_VALUE"""),"2759 SHELTER VALLEY RD ")</f>
        <v>2759 SHELTER VALLEY RD </v>
      </c>
      <c r="C9074" s="3" t="str">
        <f>IFERROR(__xludf.DUMMYFUNCTION("""COMPUTED_VALUE"""),"GRAFTON")</f>
        <v>GRAFTON</v>
      </c>
      <c r="D9074" s="3" t="str">
        <f>IFERROR(__xludf.DUMMYFUNCTION("""COMPUTED_VALUE"""),"K0K 2G0")</f>
        <v>K0K 2G0</v>
      </c>
      <c r="E9074" s="3" t="str">
        <f>IFERROR(__xludf.DUMMYFUNCTION("""COMPUTED_VALUE"""),"MARILYN HAMBLETON")</f>
        <v>MARILYN HAMBLETON</v>
      </c>
      <c r="F9074" s="3" t="str">
        <f>IFERROR(__xludf.DUMMYFUNCTION("""COMPUTED_VALUE"""),"marilynhambleton@hotmail.com")</f>
        <v>marilynhambleton@hotmail.com</v>
      </c>
      <c r="G9074" s="3"/>
      <c r="H9074" s="3"/>
    </row>
    <row r="9075">
      <c r="A9075" s="2">
        <f>IFERROR(__xludf.DUMMYFUNCTION("""COMPUTED_VALUE"""),31265.0)</f>
        <v>31265</v>
      </c>
      <c r="B9075" s="3" t="str">
        <f>IFERROR(__xludf.DUMMYFUNCTION("""COMPUTED_VALUE"""),"2828 SHELTER VALLEY RD ")</f>
        <v>2828 SHELTER VALLEY RD </v>
      </c>
      <c r="C9075" s="3" t="str">
        <f>IFERROR(__xludf.DUMMYFUNCTION("""COMPUTED_VALUE"""),"GRAFTON")</f>
        <v>GRAFTON</v>
      </c>
      <c r="D9075" s="3" t="str">
        <f>IFERROR(__xludf.DUMMYFUNCTION("""COMPUTED_VALUE"""),"K0K 2G0")</f>
        <v>K0K 2G0</v>
      </c>
      <c r="E9075" s="3" t="str">
        <f>IFERROR(__xludf.DUMMYFUNCTION("""COMPUTED_VALUE"""),"CUYLER HEDLEY-MARION")</f>
        <v>CUYLER HEDLEY-MARION</v>
      </c>
      <c r="F9075" s="3" t="str">
        <f>IFERROR(__xludf.DUMMYFUNCTION("""COMPUTED_VALUE"""),"cuylerdhedley@yahoo.com")</f>
        <v>cuylerdhedley@yahoo.com</v>
      </c>
      <c r="G9075" s="3"/>
      <c r="H9075" s="3"/>
    </row>
    <row r="9076">
      <c r="A9076" s="2">
        <f>IFERROR(__xludf.DUMMYFUNCTION("""COMPUTED_VALUE"""),31266.0)</f>
        <v>31266</v>
      </c>
      <c r="B9076" s="3" t="str">
        <f>IFERROR(__xludf.DUMMYFUNCTION("""COMPUTED_VALUE"""),"2832 SHELTER VALLEY RD ")</f>
        <v>2832 SHELTER VALLEY RD </v>
      </c>
      <c r="C9076" s="3" t="str">
        <f>IFERROR(__xludf.DUMMYFUNCTION("""COMPUTED_VALUE"""),"GRAFTON")</f>
        <v>GRAFTON</v>
      </c>
      <c r="D9076" s="3" t="str">
        <f>IFERROR(__xludf.DUMMYFUNCTION("""COMPUTED_VALUE"""),"K0K 2G0")</f>
        <v>K0K 2G0</v>
      </c>
      <c r="E9076" s="3" t="str">
        <f>IFERROR(__xludf.DUMMYFUNCTION("""COMPUTED_VALUE"""),"Jan Pazdzior")</f>
        <v>Jan Pazdzior</v>
      </c>
      <c r="F9076" s="3" t="str">
        <f>IFERROR(__xludf.DUMMYFUNCTION("""COMPUTED_VALUE"""),"N/A")</f>
        <v>N/A</v>
      </c>
      <c r="G9076" s="3">
        <f>IFERROR(__xludf.DUMMYFUNCTION("""COMPUTED_VALUE"""),9.053493257E9)</f>
        <v>9053493257</v>
      </c>
      <c r="H9076" s="3"/>
    </row>
    <row r="9077">
      <c r="A9077" s="2">
        <f>IFERROR(__xludf.DUMMYFUNCTION("""COMPUTED_VALUE"""),31267.0)</f>
        <v>31267</v>
      </c>
      <c r="B9077" s="3" t="str">
        <f>IFERROR(__xludf.DUMMYFUNCTION("""COMPUTED_VALUE"""),"2835 SHELTER VALLEY RD ")</f>
        <v>2835 SHELTER VALLEY RD </v>
      </c>
      <c r="C9077" s="3" t="str">
        <f>IFERROR(__xludf.DUMMYFUNCTION("""COMPUTED_VALUE"""),"GRAFTON")</f>
        <v>GRAFTON</v>
      </c>
      <c r="D9077" s="3" t="str">
        <f>IFERROR(__xludf.DUMMYFUNCTION("""COMPUTED_VALUE"""),"K0K 2G0")</f>
        <v>K0K 2G0</v>
      </c>
      <c r="E9077" s="3" t="str">
        <f>IFERROR(__xludf.DUMMYFUNCTION("""COMPUTED_VALUE"""),"Brent Eakins")</f>
        <v>Brent Eakins</v>
      </c>
      <c r="F9077" s="3" t="str">
        <f>IFERROR(__xludf.DUMMYFUNCTION("""COMPUTED_VALUE"""),"brenteakins@gmail.com")</f>
        <v>brenteakins@gmail.com</v>
      </c>
      <c r="G9077" s="3"/>
      <c r="H9077" s="3"/>
    </row>
    <row r="9078">
      <c r="A9078" s="2">
        <f>IFERROR(__xludf.DUMMYFUNCTION("""COMPUTED_VALUE"""),31268.0)</f>
        <v>31268</v>
      </c>
      <c r="B9078" s="3" t="str">
        <f>IFERROR(__xludf.DUMMYFUNCTION("""COMPUTED_VALUE"""),"2882 SHELTER VALLEY RD ")</f>
        <v>2882 SHELTER VALLEY RD </v>
      </c>
      <c r="C9078" s="3" t="str">
        <f>IFERROR(__xludf.DUMMYFUNCTION("""COMPUTED_VALUE"""),"GRAFTON")</f>
        <v>GRAFTON</v>
      </c>
      <c r="D9078" s="3" t="str">
        <f>IFERROR(__xludf.DUMMYFUNCTION("""COMPUTED_VALUE"""),"K0K 2G0")</f>
        <v>K0K 2G0</v>
      </c>
      <c r="E9078" s="3" t="str">
        <f>IFERROR(__xludf.DUMMYFUNCTION("""COMPUTED_VALUE"""),"Steve Cockerill")</f>
        <v>Steve Cockerill</v>
      </c>
      <c r="F9078" s="3" t="str">
        <f>IFERROR(__xludf.DUMMYFUNCTION("""COMPUTED_VALUE"""),"N/A")</f>
        <v>N/A</v>
      </c>
      <c r="G9078" s="3">
        <f>IFERROR(__xludf.DUMMYFUNCTION("""COMPUTED_VALUE"""),6.472920024E9)</f>
        <v>6472920024</v>
      </c>
      <c r="H9078" s="3"/>
    </row>
    <row r="9079">
      <c r="A9079" s="2">
        <f>IFERROR(__xludf.DUMMYFUNCTION("""COMPUTED_VALUE"""),31269.0)</f>
        <v>31269</v>
      </c>
      <c r="B9079" s="3" t="str">
        <f>IFERROR(__xludf.DUMMYFUNCTION("""COMPUTED_VALUE"""),"2903 SHELTER VALLEY RD ")</f>
        <v>2903 SHELTER VALLEY RD </v>
      </c>
      <c r="C9079" s="3" t="str">
        <f>IFERROR(__xludf.DUMMYFUNCTION("""COMPUTED_VALUE"""),"GRAFTON")</f>
        <v>GRAFTON</v>
      </c>
      <c r="D9079" s="3" t="str">
        <f>IFERROR(__xludf.DUMMYFUNCTION("""COMPUTED_VALUE"""),"K0K 2G0")</f>
        <v>K0K 2G0</v>
      </c>
      <c r="E9079" s="3" t="str">
        <f>IFERROR(__xludf.DUMMYFUNCTION("""COMPUTED_VALUE"""),"David Kalef")</f>
        <v>David Kalef</v>
      </c>
      <c r="F9079" s="3" t="str">
        <f>IFERROR(__xludf.DUMMYFUNCTION("""COMPUTED_VALUE"""),"N/A")</f>
        <v>N/A</v>
      </c>
      <c r="G9079" s="3">
        <f>IFERROR(__xludf.DUMMYFUNCTION("""COMPUTED_VALUE"""),9.0534937E9)</f>
        <v>9053493700</v>
      </c>
      <c r="H9079" s="3"/>
    </row>
    <row r="9080">
      <c r="A9080" s="2">
        <f>IFERROR(__xludf.DUMMYFUNCTION("""COMPUTED_VALUE"""),31270.0)</f>
        <v>31270</v>
      </c>
      <c r="B9080" s="3" t="str">
        <f>IFERROR(__xludf.DUMMYFUNCTION("""COMPUTED_VALUE"""),"2904 SHELTER VALLEY RD ")</f>
        <v>2904 SHELTER VALLEY RD </v>
      </c>
      <c r="C9080" s="3" t="str">
        <f>IFERROR(__xludf.DUMMYFUNCTION("""COMPUTED_VALUE"""),"GRAFTON")</f>
        <v>GRAFTON</v>
      </c>
      <c r="D9080" s="3" t="str">
        <f>IFERROR(__xludf.DUMMYFUNCTION("""COMPUTED_VALUE"""),"K0K 2G0")</f>
        <v>K0K 2G0</v>
      </c>
      <c r="E9080" s="3"/>
      <c r="F9080" s="3"/>
      <c r="G9080" s="3"/>
      <c r="H9080" s="3"/>
    </row>
    <row r="9081">
      <c r="A9081" s="2">
        <f>IFERROR(__xludf.DUMMYFUNCTION("""COMPUTED_VALUE"""),31271.0)</f>
        <v>31271</v>
      </c>
      <c r="B9081" s="3" t="str">
        <f>IFERROR(__xludf.DUMMYFUNCTION("""COMPUTED_VALUE"""),"2940 SHELTER VALLEY RD ")</f>
        <v>2940 SHELTER VALLEY RD </v>
      </c>
      <c r="C9081" s="3" t="str">
        <f>IFERROR(__xludf.DUMMYFUNCTION("""COMPUTED_VALUE"""),"GRAFTON")</f>
        <v>GRAFTON</v>
      </c>
      <c r="D9081" s="3" t="str">
        <f>IFERROR(__xludf.DUMMYFUNCTION("""COMPUTED_VALUE"""),"K0K 2G0")</f>
        <v>K0K 2G0</v>
      </c>
      <c r="E9081" s="3" t="str">
        <f>IFERROR(__xludf.DUMMYFUNCTION("""COMPUTED_VALUE"""),"Barry Lessard")</f>
        <v>Barry Lessard</v>
      </c>
      <c r="F9081" s="3" t="str">
        <f>IFERROR(__xludf.DUMMYFUNCTION("""COMPUTED_VALUE"""),"thelessards_5@xplornet.ca")</f>
        <v>thelessards_5@xplornet.ca</v>
      </c>
      <c r="G9081" s="3">
        <f>IFERROR(__xludf.DUMMYFUNCTION("""COMPUTED_VALUE"""),2.898291276E9)</f>
        <v>2898291276</v>
      </c>
      <c r="H9081" s="3">
        <f>IFERROR(__xludf.DUMMYFUNCTION("""COMPUTED_VALUE"""),2.898290141E9)</f>
        <v>2898290141</v>
      </c>
    </row>
    <row r="9082">
      <c r="A9082" s="2">
        <f>IFERROR(__xludf.DUMMYFUNCTION("""COMPUTED_VALUE"""),31272.0)</f>
        <v>31272</v>
      </c>
      <c r="B9082" s="3" t="str">
        <f>IFERROR(__xludf.DUMMYFUNCTION("""COMPUTED_VALUE"""),"2980 SHELTER VALLEY RD ")</f>
        <v>2980 SHELTER VALLEY RD </v>
      </c>
      <c r="C9082" s="3" t="str">
        <f>IFERROR(__xludf.DUMMYFUNCTION("""COMPUTED_VALUE"""),"GRAFTON")</f>
        <v>GRAFTON</v>
      </c>
      <c r="D9082" s="3" t="str">
        <f>IFERROR(__xludf.DUMMYFUNCTION("""COMPUTED_VALUE"""),"K0K 2G0")</f>
        <v>K0K 2G0</v>
      </c>
      <c r="E9082" s="3" t="str">
        <f>IFERROR(__xludf.DUMMYFUNCTION("""COMPUTED_VALUE"""),"Dave Pronk")</f>
        <v>Dave Pronk</v>
      </c>
      <c r="F9082" s="3" t="str">
        <f>IFERROR(__xludf.DUMMYFUNCTION("""COMPUTED_VALUE"""),"pronk.dave@gmail.com")</f>
        <v>pronk.dave@gmail.com</v>
      </c>
      <c r="G9082" s="3">
        <f>IFERROR(__xludf.DUMMYFUNCTION("""COMPUTED_VALUE"""),9.053764558E9)</f>
        <v>9053764558</v>
      </c>
      <c r="H9082" s="3"/>
    </row>
    <row r="9083">
      <c r="A9083" s="2">
        <f>IFERROR(__xludf.DUMMYFUNCTION("""COMPUTED_VALUE"""),31273.0)</f>
        <v>31273</v>
      </c>
      <c r="B9083" s="3" t="str">
        <f>IFERROR(__xludf.DUMMYFUNCTION("""COMPUTED_VALUE"""),"3018 SHELTER VALLEY RD ")</f>
        <v>3018 SHELTER VALLEY RD </v>
      </c>
      <c r="C9083" s="3" t="str">
        <f>IFERROR(__xludf.DUMMYFUNCTION("""COMPUTED_VALUE"""),"GRAFTON")</f>
        <v>GRAFTON</v>
      </c>
      <c r="D9083" s="3" t="str">
        <f>IFERROR(__xludf.DUMMYFUNCTION("""COMPUTED_VALUE"""),"K0K 2G0")</f>
        <v>K0K 2G0</v>
      </c>
      <c r="E9083" s="3" t="str">
        <f>IFERROR(__xludf.DUMMYFUNCTION("""COMPUTED_VALUE"""),"Fred Ciallella")</f>
        <v>Fred Ciallella</v>
      </c>
      <c r="F9083" s="3" t="str">
        <f>IFERROR(__xludf.DUMMYFUNCTION("""COMPUTED_VALUE"""),"N/A")</f>
        <v>N/A</v>
      </c>
      <c r="G9083" s="3">
        <f>IFERROR(__xludf.DUMMYFUNCTION("""COMPUTED_VALUE"""),6.47625927E9)</f>
        <v>6476259270</v>
      </c>
      <c r="H9083" s="3"/>
    </row>
    <row r="9084">
      <c r="A9084" s="2">
        <f>IFERROR(__xludf.DUMMYFUNCTION("""COMPUTED_VALUE"""),31274.0)</f>
        <v>31274</v>
      </c>
      <c r="B9084" s="3" t="str">
        <f>IFERROR(__xludf.DUMMYFUNCTION("""COMPUTED_VALUE"""),"3030 SHELTER VALLEY RD ")</f>
        <v>3030 SHELTER VALLEY RD </v>
      </c>
      <c r="C9084" s="3" t="str">
        <f>IFERROR(__xludf.DUMMYFUNCTION("""COMPUTED_VALUE"""),"GRAFTON")</f>
        <v>GRAFTON</v>
      </c>
      <c r="D9084" s="3" t="str">
        <f>IFERROR(__xludf.DUMMYFUNCTION("""COMPUTED_VALUE"""),"K0K 2G0")</f>
        <v>K0K 2G0</v>
      </c>
      <c r="E9084" s="3" t="str">
        <f>IFERROR(__xludf.DUMMYFUNCTION("""COMPUTED_VALUE"""),"Daniel Garza")</f>
        <v>Daniel Garza</v>
      </c>
      <c r="F9084" s="3" t="str">
        <f>IFERROR(__xludf.DUMMYFUNCTION("""COMPUTED_VALUE"""),"garza.daniel@hotmail.com")</f>
        <v>garza.daniel@hotmail.com</v>
      </c>
      <c r="G9084" s="3">
        <f>IFERROR(__xludf.DUMMYFUNCTION("""COMPUTED_VALUE"""),9.05621259E9)</f>
        <v>9056212590</v>
      </c>
      <c r="H9084" s="3">
        <f>IFERROR(__xludf.DUMMYFUNCTION("""COMPUTED_VALUE"""),2.896262856E9)</f>
        <v>2896262856</v>
      </c>
    </row>
    <row r="9085">
      <c r="A9085" s="2">
        <f>IFERROR(__xludf.DUMMYFUNCTION("""COMPUTED_VALUE"""),31275.0)</f>
        <v>31275</v>
      </c>
      <c r="B9085" s="3" t="str">
        <f>IFERROR(__xludf.DUMMYFUNCTION("""COMPUTED_VALUE"""),"3031 SHELTER VALLEY RD ")</f>
        <v>3031 SHELTER VALLEY RD </v>
      </c>
      <c r="C9085" s="3" t="str">
        <f>IFERROR(__xludf.DUMMYFUNCTION("""COMPUTED_VALUE"""),"GRAFTON")</f>
        <v>GRAFTON</v>
      </c>
      <c r="D9085" s="3" t="str">
        <f>IFERROR(__xludf.DUMMYFUNCTION("""COMPUTED_VALUE"""),"K0K 2G0")</f>
        <v>K0K 2G0</v>
      </c>
      <c r="E9085" s="3" t="str">
        <f>IFERROR(__xludf.DUMMYFUNCTION("""COMPUTED_VALUE"""),"Heather Fracz")</f>
        <v>Heather Fracz</v>
      </c>
      <c r="F9085" s="3" t="str">
        <f>IFERROR(__xludf.DUMMYFUNCTION("""COMPUTED_VALUE"""),"N/A")</f>
        <v>N/A</v>
      </c>
      <c r="G9085" s="3">
        <f>IFERROR(__xludf.DUMMYFUNCTION("""COMPUTED_VALUE"""),9.05926801E9)</f>
        <v>9059268010</v>
      </c>
      <c r="H9085" s="3"/>
    </row>
    <row r="9086">
      <c r="A9086" s="2">
        <f>IFERROR(__xludf.DUMMYFUNCTION("""COMPUTED_VALUE"""),31276.0)</f>
        <v>31276</v>
      </c>
      <c r="B9086" s="3" t="str">
        <f>IFERROR(__xludf.DUMMYFUNCTION("""COMPUTED_VALUE"""),"3151 SHELTER VALLEY RD ")</f>
        <v>3151 SHELTER VALLEY RD </v>
      </c>
      <c r="C9086" s="3" t="str">
        <f>IFERROR(__xludf.DUMMYFUNCTION("""COMPUTED_VALUE"""),"GRAFTON")</f>
        <v>GRAFTON</v>
      </c>
      <c r="D9086" s="3" t="str">
        <f>IFERROR(__xludf.DUMMYFUNCTION("""COMPUTED_VALUE"""),"K0K 2G0")</f>
        <v>K0K 2G0</v>
      </c>
      <c r="E9086" s="3"/>
      <c r="F9086" s="3"/>
      <c r="G9086" s="3"/>
      <c r="H9086" s="3"/>
    </row>
    <row r="9087">
      <c r="A9087" s="2">
        <f>IFERROR(__xludf.DUMMYFUNCTION("""COMPUTED_VALUE"""),31277.0)</f>
        <v>31277</v>
      </c>
      <c r="B9087" s="3" t="str">
        <f>IFERROR(__xludf.DUMMYFUNCTION("""COMPUTED_VALUE"""),"3156 SHELTER VALLEY RD ")</f>
        <v>3156 SHELTER VALLEY RD </v>
      </c>
      <c r="C9087" s="3" t="str">
        <f>IFERROR(__xludf.DUMMYFUNCTION("""COMPUTED_VALUE"""),"GRAFTON")</f>
        <v>GRAFTON</v>
      </c>
      <c r="D9087" s="3" t="str">
        <f>IFERROR(__xludf.DUMMYFUNCTION("""COMPUTED_VALUE"""),"K0K 2G0")</f>
        <v>K0K 2G0</v>
      </c>
      <c r="E9087" s="3" t="str">
        <f>IFERROR(__xludf.DUMMYFUNCTION("""COMPUTED_VALUE"""),"Kim Barlow")</f>
        <v>Kim Barlow</v>
      </c>
      <c r="F9087" s="3" t="str">
        <f>IFERROR(__xludf.DUMMYFUNCTION("""COMPUTED_VALUE"""),"N/A")</f>
        <v>N/A</v>
      </c>
      <c r="G9087" s="3">
        <f>IFERROR(__xludf.DUMMYFUNCTION("""COMPUTED_VALUE"""),9.053962204E9)</f>
        <v>9053962204</v>
      </c>
      <c r="H9087" s="3"/>
    </row>
    <row r="9088">
      <c r="A9088" s="2">
        <f>IFERROR(__xludf.DUMMYFUNCTION("""COMPUTED_VALUE"""),31278.0)</f>
        <v>31278</v>
      </c>
      <c r="B9088" s="3" t="str">
        <f>IFERROR(__xludf.DUMMYFUNCTION("""COMPUTED_VALUE"""),"3177 SHELTER VALLEY RD ")</f>
        <v>3177 SHELTER VALLEY RD </v>
      </c>
      <c r="C9088" s="3" t="str">
        <f>IFERROR(__xludf.DUMMYFUNCTION("""COMPUTED_VALUE"""),"GRAFTON")</f>
        <v>GRAFTON</v>
      </c>
      <c r="D9088" s="3" t="str">
        <f>IFERROR(__xludf.DUMMYFUNCTION("""COMPUTED_VALUE"""),"K0K 2G0")</f>
        <v>K0K 2G0</v>
      </c>
      <c r="E9088" s="3"/>
      <c r="F9088" s="3"/>
      <c r="G9088" s="3"/>
      <c r="H9088" s="3"/>
    </row>
    <row r="9089">
      <c r="A9089" s="2">
        <f>IFERROR(__xludf.DUMMYFUNCTION("""COMPUTED_VALUE"""),31279.0)</f>
        <v>31279</v>
      </c>
      <c r="B9089" s="3" t="str">
        <f>IFERROR(__xludf.DUMMYFUNCTION("""COMPUTED_VALUE"""),"3178 SHELTER VALLEY RD ")</f>
        <v>3178 SHELTER VALLEY RD </v>
      </c>
      <c r="C9089" s="3" t="str">
        <f>IFERROR(__xludf.DUMMYFUNCTION("""COMPUTED_VALUE"""),"GRAFTON")</f>
        <v>GRAFTON</v>
      </c>
      <c r="D9089" s="3" t="str">
        <f>IFERROR(__xludf.DUMMYFUNCTION("""COMPUTED_VALUE"""),"K0K 2G0")</f>
        <v>K0K 2G0</v>
      </c>
      <c r="E9089" s="3" t="str">
        <f>IFERROR(__xludf.DUMMYFUNCTION("""COMPUTED_VALUE"""),"Jessica Martin (previous owner Kim Barlow)")</f>
        <v>Jessica Martin (previous owner Kim Barlow)</v>
      </c>
      <c r="F9089" s="3" t="str">
        <f>IFERROR(__xludf.DUMMYFUNCTION("""COMPUTED_VALUE"""),"jessamartin@mac.com")</f>
        <v>jessamartin@mac.com</v>
      </c>
      <c r="G9089" s="3"/>
      <c r="H9089" s="3"/>
    </row>
    <row r="9090">
      <c r="A9090" s="2">
        <f>IFERROR(__xludf.DUMMYFUNCTION("""COMPUTED_VALUE"""),31280.0)</f>
        <v>31280</v>
      </c>
      <c r="B9090" s="3" t="str">
        <f>IFERROR(__xludf.DUMMYFUNCTION("""COMPUTED_VALUE"""),"3202 SHELTER VALLEY RD ")</f>
        <v>3202 SHELTER VALLEY RD </v>
      </c>
      <c r="C9090" s="3" t="str">
        <f>IFERROR(__xludf.DUMMYFUNCTION("""COMPUTED_VALUE"""),"GRAFTON")</f>
        <v>GRAFTON</v>
      </c>
      <c r="D9090" s="3" t="str">
        <f>IFERROR(__xludf.DUMMYFUNCTION("""COMPUTED_VALUE"""),"K0K 2G0")</f>
        <v>K0K 2G0</v>
      </c>
      <c r="E9090" s="3" t="str">
        <f>IFERROR(__xludf.DUMMYFUNCTION("""COMPUTED_VALUE"""),"Suzilla J Campbell")</f>
        <v>Suzilla J Campbell</v>
      </c>
      <c r="F9090" s="3"/>
      <c r="G9090" s="3"/>
      <c r="H9090" s="3"/>
    </row>
    <row r="9091">
      <c r="A9091" s="2">
        <f>IFERROR(__xludf.DUMMYFUNCTION("""COMPUTED_VALUE"""),31281.0)</f>
        <v>31281</v>
      </c>
      <c r="B9091" s="3" t="str">
        <f>IFERROR(__xludf.DUMMYFUNCTION("""COMPUTED_VALUE"""),"3213 SHELTER VALLEY RD ")</f>
        <v>3213 SHELTER VALLEY RD </v>
      </c>
      <c r="C9091" s="3" t="str">
        <f>IFERROR(__xludf.DUMMYFUNCTION("""COMPUTED_VALUE"""),"GRAFTON")</f>
        <v>GRAFTON</v>
      </c>
      <c r="D9091" s="3" t="str">
        <f>IFERROR(__xludf.DUMMYFUNCTION("""COMPUTED_VALUE"""),"K0K 2G0")</f>
        <v>K0K 2G0</v>
      </c>
      <c r="E9091" s="3"/>
      <c r="F9091" s="3"/>
      <c r="G9091" s="3"/>
      <c r="H9091" s="3"/>
    </row>
    <row r="9092">
      <c r="A9092" s="2">
        <f>IFERROR(__xludf.DUMMYFUNCTION("""COMPUTED_VALUE"""),31282.0)</f>
        <v>31282</v>
      </c>
      <c r="B9092" s="3" t="str">
        <f>IFERROR(__xludf.DUMMYFUNCTION("""COMPUTED_VALUE"""),"3218 SHELTER VALLEY RD ")</f>
        <v>3218 SHELTER VALLEY RD </v>
      </c>
      <c r="C9092" s="3" t="str">
        <f>IFERROR(__xludf.DUMMYFUNCTION("""COMPUTED_VALUE"""),"GRAFTON")</f>
        <v>GRAFTON</v>
      </c>
      <c r="D9092" s="3" t="str">
        <f>IFERROR(__xludf.DUMMYFUNCTION("""COMPUTED_VALUE"""),"K0K 2G0")</f>
        <v>K0K 2G0</v>
      </c>
      <c r="E9092" s="3" t="str">
        <f>IFERROR(__xludf.DUMMYFUNCTION("""COMPUTED_VALUE"""),"Jennifer Meades")</f>
        <v>Jennifer Meades</v>
      </c>
      <c r="F9092" s="3" t="str">
        <f>IFERROR(__xludf.DUMMYFUNCTION("""COMPUTED_VALUE"""),"jen.meades@gmail.com")</f>
        <v>jen.meades@gmail.com</v>
      </c>
      <c r="G9092" s="3">
        <f>IFERROR(__xludf.DUMMYFUNCTION("""COMPUTED_VALUE"""),7.057613368E9)</f>
        <v>7057613368</v>
      </c>
      <c r="H9092" s="3"/>
    </row>
    <row r="9093">
      <c r="A9093" s="2">
        <f>IFERROR(__xludf.DUMMYFUNCTION("""COMPUTED_VALUE"""),31283.0)</f>
        <v>31283</v>
      </c>
      <c r="B9093" s="3" t="str">
        <f>IFERROR(__xludf.DUMMYFUNCTION("""COMPUTED_VALUE"""),"3258 SHELTER VALLEY RD ")</f>
        <v>3258 SHELTER VALLEY RD </v>
      </c>
      <c r="C9093" s="3" t="str">
        <f>IFERROR(__xludf.DUMMYFUNCTION("""COMPUTED_VALUE"""),"GRAFTON")</f>
        <v>GRAFTON</v>
      </c>
      <c r="D9093" s="3" t="str">
        <f>IFERROR(__xludf.DUMMYFUNCTION("""COMPUTED_VALUE"""),"K0K 2G0")</f>
        <v>K0K 2G0</v>
      </c>
      <c r="E9093" s="3"/>
      <c r="F9093" s="3"/>
      <c r="G9093" s="3"/>
      <c r="H9093" s="3"/>
    </row>
    <row r="9094">
      <c r="A9094" s="2">
        <f>IFERROR(__xludf.DUMMYFUNCTION("""COMPUTED_VALUE"""),31284.0)</f>
        <v>31284</v>
      </c>
      <c r="B9094" s="3" t="str">
        <f>IFERROR(__xludf.DUMMYFUNCTION("""COMPUTED_VALUE"""),"3263 SHELTER VALLEY RD ")</f>
        <v>3263 SHELTER VALLEY RD </v>
      </c>
      <c r="C9094" s="3" t="str">
        <f>IFERROR(__xludf.DUMMYFUNCTION("""COMPUTED_VALUE"""),"GRAFTON")</f>
        <v>GRAFTON</v>
      </c>
      <c r="D9094" s="3" t="str">
        <f>IFERROR(__xludf.DUMMYFUNCTION("""COMPUTED_VALUE"""),"K0K 2G0")</f>
        <v>K0K 2G0</v>
      </c>
      <c r="E9094" s="3" t="str">
        <f>IFERROR(__xludf.DUMMYFUNCTION("""COMPUTED_VALUE"""),"Alex")</f>
        <v>Alex</v>
      </c>
      <c r="F9094" s="3" t="str">
        <f>IFERROR(__xludf.DUMMYFUNCTION("""COMPUTED_VALUE"""),"kim1975rahhal@gmail.com")</f>
        <v>kim1975rahhal@gmail.com</v>
      </c>
      <c r="G9094" s="3">
        <f>IFERROR(__xludf.DUMMYFUNCTION("""COMPUTED_VALUE"""),9.054317336E9)</f>
        <v>9054317336</v>
      </c>
      <c r="H9094" s="3"/>
    </row>
    <row r="9095">
      <c r="A9095" s="2">
        <f>IFERROR(__xludf.DUMMYFUNCTION("""COMPUTED_VALUE"""),31285.0)</f>
        <v>31285</v>
      </c>
      <c r="B9095" s="3" t="str">
        <f>IFERROR(__xludf.DUMMYFUNCTION("""COMPUTED_VALUE"""),"3264 SHELTER VALLEY RD ")</f>
        <v>3264 SHELTER VALLEY RD </v>
      </c>
      <c r="C9095" s="3" t="str">
        <f>IFERROR(__xludf.DUMMYFUNCTION("""COMPUTED_VALUE"""),"GRAFTON")</f>
        <v>GRAFTON</v>
      </c>
      <c r="D9095" s="3" t="str">
        <f>IFERROR(__xludf.DUMMYFUNCTION("""COMPUTED_VALUE"""),"K0K 2G0")</f>
        <v>K0K 2G0</v>
      </c>
      <c r="E9095" s="3"/>
      <c r="F9095" s="3"/>
      <c r="G9095" s="3"/>
      <c r="H9095" s="3"/>
    </row>
    <row r="9096">
      <c r="A9096" s="2">
        <f>IFERROR(__xludf.DUMMYFUNCTION("""COMPUTED_VALUE"""),31286.0)</f>
        <v>31286</v>
      </c>
      <c r="B9096" s="3" t="str">
        <f>IFERROR(__xludf.DUMMYFUNCTION("""COMPUTED_VALUE"""),"3270 SHELTER VALLEY RD ")</f>
        <v>3270 SHELTER VALLEY RD </v>
      </c>
      <c r="C9096" s="3" t="str">
        <f>IFERROR(__xludf.DUMMYFUNCTION("""COMPUTED_VALUE"""),"GRAFTON")</f>
        <v>GRAFTON</v>
      </c>
      <c r="D9096" s="3" t="str">
        <f>IFERROR(__xludf.DUMMYFUNCTION("""COMPUTED_VALUE"""),"K0K 2G0")</f>
        <v>K0K 2G0</v>
      </c>
      <c r="E9096" s="3" t="str">
        <f>IFERROR(__xludf.DUMMYFUNCTION("""COMPUTED_VALUE"""),"Josh Landry")</f>
        <v>Josh Landry</v>
      </c>
      <c r="F9096" s="3" t="str">
        <f>IFERROR(__xludf.DUMMYFUNCTION("""COMPUTED_VALUE"""),"N/A")</f>
        <v>N/A</v>
      </c>
      <c r="G9096" s="3">
        <f>IFERROR(__xludf.DUMMYFUNCTION("""COMPUTED_VALUE"""),9.053752716E9)</f>
        <v>9053752716</v>
      </c>
      <c r="H9096" s="3"/>
    </row>
    <row r="9097">
      <c r="A9097" s="2">
        <f>IFERROR(__xludf.DUMMYFUNCTION("""COMPUTED_VALUE"""),31287.0)</f>
        <v>31287</v>
      </c>
      <c r="B9097" s="3" t="str">
        <f>IFERROR(__xludf.DUMMYFUNCTION("""COMPUTED_VALUE"""),"3283 SHELTER VALLEY RD ")</f>
        <v>3283 SHELTER VALLEY RD </v>
      </c>
      <c r="C9097" s="3" t="str">
        <f>IFERROR(__xludf.DUMMYFUNCTION("""COMPUTED_VALUE"""),"GRAFTON")</f>
        <v>GRAFTON</v>
      </c>
      <c r="D9097" s="3" t="str">
        <f>IFERROR(__xludf.DUMMYFUNCTION("""COMPUTED_VALUE"""),"K0K 2G0")</f>
        <v>K0K 2G0</v>
      </c>
      <c r="E9097" s="3" t="str">
        <f>IFERROR(__xludf.DUMMYFUNCTION("""COMPUTED_VALUE"""),"James Robb")</f>
        <v>James Robb</v>
      </c>
      <c r="F9097" s="3" t="str">
        <f>IFERROR(__xludf.DUMMYFUNCTION("""COMPUTED_VALUE"""),"therobb93@gmail.com")</f>
        <v>therobb93@gmail.com</v>
      </c>
      <c r="G9097" s="3">
        <f>IFERROR(__xludf.DUMMYFUNCTION("""COMPUTED_VALUE"""),9.056268828E9)</f>
        <v>9056268828</v>
      </c>
      <c r="H9097" s="3"/>
    </row>
    <row r="9098">
      <c r="A9098" s="2">
        <f>IFERROR(__xludf.DUMMYFUNCTION("""COMPUTED_VALUE"""),31288.0)</f>
        <v>31288</v>
      </c>
      <c r="B9098" s="3" t="str">
        <f>IFERROR(__xludf.DUMMYFUNCTION("""COMPUTED_VALUE"""),"3293 SHELTER VALLEY RD ")</f>
        <v>3293 SHELTER VALLEY RD </v>
      </c>
      <c r="C9098" s="3" t="str">
        <f>IFERROR(__xludf.DUMMYFUNCTION("""COMPUTED_VALUE"""),"GRAFTON")</f>
        <v>GRAFTON</v>
      </c>
      <c r="D9098" s="3" t="str">
        <f>IFERROR(__xludf.DUMMYFUNCTION("""COMPUTED_VALUE"""),"K0K 2G0")</f>
        <v>K0K 2G0</v>
      </c>
      <c r="E9098" s="3" t="str">
        <f>IFERROR(__xludf.DUMMYFUNCTION("""COMPUTED_VALUE"""),"Amanda Sansalone")</f>
        <v>Amanda Sansalone</v>
      </c>
      <c r="F9098" s="3" t="str">
        <f>IFERROR(__xludf.DUMMYFUNCTION("""COMPUTED_VALUE"""),"sansaloneac@gmail.com")</f>
        <v>sansaloneac@gmail.com</v>
      </c>
      <c r="G9098" s="3"/>
      <c r="H9098" s="3"/>
    </row>
    <row r="9099">
      <c r="A9099" s="2">
        <f>IFERROR(__xludf.DUMMYFUNCTION("""COMPUTED_VALUE"""),31289.0)</f>
        <v>31289</v>
      </c>
      <c r="B9099" s="3" t="str">
        <f>IFERROR(__xludf.DUMMYFUNCTION("""COMPUTED_VALUE"""),"3315 SHELTER VALLEY RD ")</f>
        <v>3315 SHELTER VALLEY RD </v>
      </c>
      <c r="C9099" s="3" t="str">
        <f>IFERROR(__xludf.DUMMYFUNCTION("""COMPUTED_VALUE"""),"GRAFTON")</f>
        <v>GRAFTON</v>
      </c>
      <c r="D9099" s="3" t="str">
        <f>IFERROR(__xludf.DUMMYFUNCTION("""COMPUTED_VALUE"""),"K0K 2G0")</f>
        <v>K0K 2G0</v>
      </c>
      <c r="E9099" s="3"/>
      <c r="F9099" s="3"/>
      <c r="G9099" s="3"/>
      <c r="H9099" s="3"/>
    </row>
    <row r="9100">
      <c r="A9100" s="2">
        <f>IFERROR(__xludf.DUMMYFUNCTION("""COMPUTED_VALUE"""),31290.0)</f>
        <v>31290</v>
      </c>
      <c r="B9100" s="3" t="str">
        <f>IFERROR(__xludf.DUMMYFUNCTION("""COMPUTED_VALUE"""),"3316 SHELTER VALLEY RD ")</f>
        <v>3316 SHELTER VALLEY RD </v>
      </c>
      <c r="C9100" s="3" t="str">
        <f>IFERROR(__xludf.DUMMYFUNCTION("""COMPUTED_VALUE"""),"GRAFTON")</f>
        <v>GRAFTON</v>
      </c>
      <c r="D9100" s="3" t="str">
        <f>IFERROR(__xludf.DUMMYFUNCTION("""COMPUTED_VALUE"""),"K0K 2G0")</f>
        <v>K0K 2G0</v>
      </c>
      <c r="E9100" s="3" t="str">
        <f>IFERROR(__xludf.DUMMYFUNCTION("""COMPUTED_VALUE"""),"Lambert Boenders")</f>
        <v>Lambert Boenders</v>
      </c>
      <c r="F9100" s="3" t="str">
        <f>IFERROR(__xludf.DUMMYFUNCTION("""COMPUTED_VALUE"""),"lambert@employmentlawcounsel.ca")</f>
        <v>lambert@employmentlawcounsel.ca</v>
      </c>
      <c r="G9100" s="3">
        <f>IFERROR(__xludf.DUMMYFUNCTION("""COMPUTED_VALUE"""),4.165617323E9)</f>
        <v>4165617323</v>
      </c>
      <c r="H9100" s="3">
        <f>IFERROR(__xludf.DUMMYFUNCTION("""COMPUTED_VALUE"""),4.167223554E9)</f>
        <v>4167223554</v>
      </c>
    </row>
    <row r="9101">
      <c r="A9101" s="2">
        <f>IFERROR(__xludf.DUMMYFUNCTION("""COMPUTED_VALUE"""),31291.0)</f>
        <v>31291</v>
      </c>
      <c r="B9101" s="3" t="str">
        <f>IFERROR(__xludf.DUMMYFUNCTION("""COMPUTED_VALUE"""),"3326 SHELTER VALLEY RD ")</f>
        <v>3326 SHELTER VALLEY RD </v>
      </c>
      <c r="C9101" s="3" t="str">
        <f>IFERROR(__xludf.DUMMYFUNCTION("""COMPUTED_VALUE"""),"GRAFTON")</f>
        <v>GRAFTON</v>
      </c>
      <c r="D9101" s="3" t="str">
        <f>IFERROR(__xludf.DUMMYFUNCTION("""COMPUTED_VALUE"""),"K0K 2G0")</f>
        <v>K0K 2G0</v>
      </c>
      <c r="E9101" s="3" t="str">
        <f>IFERROR(__xludf.DUMMYFUNCTION("""COMPUTED_VALUE"""),"Chuck Leach")</f>
        <v>Chuck Leach</v>
      </c>
      <c r="F9101" s="3" t="str">
        <f>IFERROR(__xludf.DUMMYFUNCTION("""COMPUTED_VALUE"""),"chuck.leach@icloud.com")</f>
        <v>chuck.leach@icloud.com</v>
      </c>
      <c r="G9101" s="3">
        <f>IFERROR(__xludf.DUMMYFUNCTION("""COMPUTED_VALUE"""),2.896916222E9)</f>
        <v>2896916222</v>
      </c>
      <c r="H9101" s="3"/>
    </row>
    <row r="9102">
      <c r="A9102" s="2">
        <f>IFERROR(__xludf.DUMMYFUNCTION("""COMPUTED_VALUE"""),31292.0)</f>
        <v>31292</v>
      </c>
      <c r="B9102" s="3" t="str">
        <f>IFERROR(__xludf.DUMMYFUNCTION("""COMPUTED_VALUE"""),"3351 SHELTER VALLEY RD ")</f>
        <v>3351 SHELTER VALLEY RD </v>
      </c>
      <c r="C9102" s="3" t="str">
        <f>IFERROR(__xludf.DUMMYFUNCTION("""COMPUTED_VALUE"""),"GRAFTON")</f>
        <v>GRAFTON</v>
      </c>
      <c r="D9102" s="3" t="str">
        <f>IFERROR(__xludf.DUMMYFUNCTION("""COMPUTED_VALUE"""),"K0K 2G0")</f>
        <v>K0K 2G0</v>
      </c>
      <c r="E9102" s="3" t="str">
        <f>IFERROR(__xludf.DUMMYFUNCTION("""COMPUTED_VALUE"""),"ALANA MCDOUGALL")</f>
        <v>ALANA MCDOUGALL</v>
      </c>
      <c r="F9102" s="3" t="str">
        <f>IFERROR(__xludf.DUMMYFUNCTION("""COMPUTED_VALUE"""),"alana747@gmail.com")</f>
        <v>alana747@gmail.com</v>
      </c>
      <c r="G9102" s="3"/>
      <c r="H9102" s="3"/>
    </row>
    <row r="9103">
      <c r="A9103" s="2">
        <f>IFERROR(__xludf.DUMMYFUNCTION("""COMPUTED_VALUE"""),31293.0)</f>
        <v>31293</v>
      </c>
      <c r="B9103" s="3" t="str">
        <f>IFERROR(__xludf.DUMMYFUNCTION("""COMPUTED_VALUE"""),"3363 SHELTER VALLEY RD ")</f>
        <v>3363 SHELTER VALLEY RD </v>
      </c>
      <c r="C9103" s="3" t="str">
        <f>IFERROR(__xludf.DUMMYFUNCTION("""COMPUTED_VALUE"""),"GRAFTON")</f>
        <v>GRAFTON</v>
      </c>
      <c r="D9103" s="3" t="str">
        <f>IFERROR(__xludf.DUMMYFUNCTION("""COMPUTED_VALUE"""),"K0K 2G0")</f>
        <v>K0K 2G0</v>
      </c>
      <c r="E9103" s="3" t="str">
        <f>IFERROR(__xludf.DUMMYFUNCTION("""COMPUTED_VALUE"""),"Kim Ruhhafn")</f>
        <v>Kim Ruhhafn</v>
      </c>
      <c r="F9103" s="3" t="str">
        <f>IFERROR(__xludf.DUMMYFUNCTION("""COMPUTED_VALUE"""),"N/A")</f>
        <v>N/A</v>
      </c>
      <c r="G9103" s="3">
        <f>IFERROR(__xludf.DUMMYFUNCTION("""COMPUTED_VALUE"""),9.054317336E9)</f>
        <v>9054317336</v>
      </c>
      <c r="H9103" s="3"/>
    </row>
    <row r="9104">
      <c r="A9104" s="2">
        <f>IFERROR(__xludf.DUMMYFUNCTION("""COMPUTED_VALUE"""),31294.0)</f>
        <v>31294</v>
      </c>
      <c r="B9104" s="3" t="str">
        <f>IFERROR(__xludf.DUMMYFUNCTION("""COMPUTED_VALUE"""),"3367 SHELTER VALLEY RD ")</f>
        <v>3367 SHELTER VALLEY RD </v>
      </c>
      <c r="C9104" s="3" t="str">
        <f>IFERROR(__xludf.DUMMYFUNCTION("""COMPUTED_VALUE"""),"GRAFTON")</f>
        <v>GRAFTON</v>
      </c>
      <c r="D9104" s="3" t="str">
        <f>IFERROR(__xludf.DUMMYFUNCTION("""COMPUTED_VALUE"""),"K0K 2G0")</f>
        <v>K0K 2G0</v>
      </c>
      <c r="E9104" s="3" t="str">
        <f>IFERROR(__xludf.DUMMYFUNCTION("""COMPUTED_VALUE"""),"Jordan Stanley")</f>
        <v>Jordan Stanley</v>
      </c>
      <c r="F9104" s="3" t="str">
        <f>IFERROR(__xludf.DUMMYFUNCTION("""COMPUTED_VALUE"""),"fstanley017@hotmail.com")</f>
        <v>fstanley017@hotmail.com</v>
      </c>
      <c r="G9104" s="3">
        <f>IFERROR(__xludf.DUMMYFUNCTION("""COMPUTED_VALUE"""),9.053965738E9)</f>
        <v>9053965738</v>
      </c>
      <c r="H9104" s="3"/>
    </row>
    <row r="9105">
      <c r="A9105" s="2">
        <f>IFERROR(__xludf.DUMMYFUNCTION("""COMPUTED_VALUE"""),31295.0)</f>
        <v>31295</v>
      </c>
      <c r="B9105" s="3" t="str">
        <f>IFERROR(__xludf.DUMMYFUNCTION("""COMPUTED_VALUE"""),"3402 SHELTER VALLEY RD ")</f>
        <v>3402 SHELTER VALLEY RD </v>
      </c>
      <c r="C9105" s="3" t="str">
        <f>IFERROR(__xludf.DUMMYFUNCTION("""COMPUTED_VALUE"""),"GRAFTON")</f>
        <v>GRAFTON</v>
      </c>
      <c r="D9105" s="3" t="str">
        <f>IFERROR(__xludf.DUMMYFUNCTION("""COMPUTED_VALUE"""),"K0K 2G0")</f>
        <v>K0K 2G0</v>
      </c>
      <c r="E9105" s="3" t="str">
        <f>IFERROR(__xludf.DUMMYFUNCTION("""COMPUTED_VALUE"""),"Jeffrey L Zavitski")</f>
        <v>Jeffrey L Zavitski</v>
      </c>
      <c r="F9105" s="3" t="str">
        <f>IFERROR(__xludf.DUMMYFUNCTION("""COMPUTED_VALUE"""),"jandjz@hotmail.com")</f>
        <v>jandjz@hotmail.com</v>
      </c>
      <c r="G9105" s="3">
        <f>IFERROR(__xludf.DUMMYFUNCTION("""COMPUTED_VALUE"""),9.054100235E9)</f>
        <v>9054100235</v>
      </c>
      <c r="H9105" s="3"/>
    </row>
    <row r="9106">
      <c r="A9106" s="2">
        <f>IFERROR(__xludf.DUMMYFUNCTION("""COMPUTED_VALUE"""),31296.0)</f>
        <v>31296</v>
      </c>
      <c r="B9106" s="3" t="str">
        <f>IFERROR(__xludf.DUMMYFUNCTION("""COMPUTED_VALUE"""),"3409 SHELTER VALLEY RD ")</f>
        <v>3409 SHELTER VALLEY RD </v>
      </c>
      <c r="C9106" s="3" t="str">
        <f>IFERROR(__xludf.DUMMYFUNCTION("""COMPUTED_VALUE"""),"GRAFTON")</f>
        <v>GRAFTON</v>
      </c>
      <c r="D9106" s="3" t="str">
        <f>IFERROR(__xludf.DUMMYFUNCTION("""COMPUTED_VALUE"""),"K0K 2G0")</f>
        <v>K0K 2G0</v>
      </c>
      <c r="E9106" s="3" t="str">
        <f>IFERROR(__xludf.DUMMYFUNCTION("""COMPUTED_VALUE"""),"Dan Walker")</f>
        <v>Dan Walker</v>
      </c>
      <c r="F9106" s="3" t="str">
        <f>IFERROR(__xludf.DUMMYFUNCTION("""COMPUTED_VALUE"""),"N/A")</f>
        <v>N/A</v>
      </c>
      <c r="G9106" s="3"/>
      <c r="H9106" s="3"/>
    </row>
    <row r="9107">
      <c r="A9107" s="2">
        <f>IFERROR(__xludf.DUMMYFUNCTION("""COMPUTED_VALUE"""),31297.0)</f>
        <v>31297</v>
      </c>
      <c r="B9107" s="3" t="str">
        <f>IFERROR(__xludf.DUMMYFUNCTION("""COMPUTED_VALUE"""),"3446 SHELTER VALLEY RD ")</f>
        <v>3446 SHELTER VALLEY RD </v>
      </c>
      <c r="C9107" s="3" t="str">
        <f>IFERROR(__xludf.DUMMYFUNCTION("""COMPUTED_VALUE"""),"GRAFTON")</f>
        <v>GRAFTON</v>
      </c>
      <c r="D9107" s="3" t="str">
        <f>IFERROR(__xludf.DUMMYFUNCTION("""COMPUTED_VALUE"""),"K0K 2G0")</f>
        <v>K0K 2G0</v>
      </c>
      <c r="E9107" s="3" t="str">
        <f>IFERROR(__xludf.DUMMYFUNCTION("""COMPUTED_VALUE"""),"Connie VanderVeer")</f>
        <v>Connie VanderVeer</v>
      </c>
      <c r="F9107" s="3" t="str">
        <f>IFERROR(__xludf.DUMMYFUNCTION("""COMPUTED_VALUE"""),"N/A")</f>
        <v>N/A</v>
      </c>
      <c r="G9107" s="3">
        <f>IFERROR(__xludf.DUMMYFUNCTION("""COMPUTED_VALUE"""),9.052692454E9)</f>
        <v>9052692454</v>
      </c>
      <c r="H9107" s="3"/>
    </row>
    <row r="9108">
      <c r="A9108" s="2">
        <f>IFERROR(__xludf.DUMMYFUNCTION("""COMPUTED_VALUE"""),31298.0)</f>
        <v>31298</v>
      </c>
      <c r="B9108" s="3" t="str">
        <f>IFERROR(__xludf.DUMMYFUNCTION("""COMPUTED_VALUE"""),"3459 SHELTER VALLEY RD ")</f>
        <v>3459 SHELTER VALLEY RD </v>
      </c>
      <c r="C9108" s="3" t="str">
        <f>IFERROR(__xludf.DUMMYFUNCTION("""COMPUTED_VALUE"""),"GRAFTON")</f>
        <v>GRAFTON</v>
      </c>
      <c r="D9108" s="3" t="str">
        <f>IFERROR(__xludf.DUMMYFUNCTION("""COMPUTED_VALUE"""),"K0K 2G0")</f>
        <v>K0K 2G0</v>
      </c>
      <c r="E9108" s="3" t="str">
        <f>IFERROR(__xludf.DUMMYFUNCTION("""COMPUTED_VALUE"""),"Alice Coursey")</f>
        <v>Alice Coursey</v>
      </c>
      <c r="F9108" s="3" t="str">
        <f>IFERROR(__xludf.DUMMYFUNCTION("""COMPUTED_VALUE"""),"gbwestrock@gmail.com")</f>
        <v>gbwestrock@gmail.com</v>
      </c>
      <c r="G9108" s="3"/>
      <c r="H9108" s="3"/>
    </row>
    <row r="9109">
      <c r="A9109" s="2">
        <f>IFERROR(__xludf.DUMMYFUNCTION("""COMPUTED_VALUE"""),31299.0)</f>
        <v>31299</v>
      </c>
      <c r="B9109" s="3" t="str">
        <f>IFERROR(__xludf.DUMMYFUNCTION("""COMPUTED_VALUE"""),"3490 SHELTER VALLEY RD ")</f>
        <v>3490 SHELTER VALLEY RD </v>
      </c>
      <c r="C9109" s="3" t="str">
        <f>IFERROR(__xludf.DUMMYFUNCTION("""COMPUTED_VALUE"""),"GRAFTON")</f>
        <v>GRAFTON</v>
      </c>
      <c r="D9109" s="3" t="str">
        <f>IFERROR(__xludf.DUMMYFUNCTION("""COMPUTED_VALUE"""),"K0K 2G0")</f>
        <v>K0K 2G0</v>
      </c>
      <c r="E9109" s="3" t="str">
        <f>IFERROR(__xludf.DUMMYFUNCTION("""COMPUTED_VALUE"""),"Bob Mitro")</f>
        <v>Bob Mitro</v>
      </c>
      <c r="F9109" s="3" t="str">
        <f>IFERROR(__xludf.DUMMYFUNCTION("""COMPUTED_VALUE"""),"4mitro@gmail.com")</f>
        <v>4mitro@gmail.com</v>
      </c>
      <c r="G9109" s="3"/>
      <c r="H9109" s="3"/>
    </row>
    <row r="9110">
      <c r="A9110" s="2">
        <f>IFERROR(__xludf.DUMMYFUNCTION("""COMPUTED_VALUE"""),31300.0)</f>
        <v>31300</v>
      </c>
      <c r="B9110" s="3" t="str">
        <f>IFERROR(__xludf.DUMMYFUNCTION("""COMPUTED_VALUE"""),"3536 SHELTER VALLEY RD ")</f>
        <v>3536 SHELTER VALLEY RD </v>
      </c>
      <c r="C9110" s="3" t="str">
        <f>IFERROR(__xludf.DUMMYFUNCTION("""COMPUTED_VALUE"""),"GRAFTON")</f>
        <v>GRAFTON</v>
      </c>
      <c r="D9110" s="3" t="str">
        <f>IFERROR(__xludf.DUMMYFUNCTION("""COMPUTED_VALUE"""),"K0K 2G0")</f>
        <v>K0K 2G0</v>
      </c>
      <c r="E9110" s="3" t="str">
        <f>IFERROR(__xludf.DUMMYFUNCTION("""COMPUTED_VALUE"""),"John Webster")</f>
        <v>John Webster</v>
      </c>
      <c r="F9110" s="3" t="str">
        <f>IFERROR(__xludf.DUMMYFUNCTION("""COMPUTED_VALUE"""),"jlwebster1985@gmail.com")</f>
        <v>jlwebster1985@gmail.com</v>
      </c>
      <c r="G9110" s="3">
        <f>IFERROR(__xludf.DUMMYFUNCTION("""COMPUTED_VALUE"""),9.0537534E9)</f>
        <v>9053753400</v>
      </c>
      <c r="H9110" s="3"/>
    </row>
    <row r="9111">
      <c r="A9111" s="2">
        <f>IFERROR(__xludf.DUMMYFUNCTION("""COMPUTED_VALUE"""),31301.0)</f>
        <v>31301</v>
      </c>
      <c r="B9111" s="3" t="str">
        <f>IFERROR(__xludf.DUMMYFUNCTION("""COMPUTED_VALUE"""),"3551 SHELTER VALLEY RD ")</f>
        <v>3551 SHELTER VALLEY RD </v>
      </c>
      <c r="C9111" s="3" t="str">
        <f>IFERROR(__xludf.DUMMYFUNCTION("""COMPUTED_VALUE"""),"GRAFTON")</f>
        <v>GRAFTON</v>
      </c>
      <c r="D9111" s="3" t="str">
        <f>IFERROR(__xludf.DUMMYFUNCTION("""COMPUTED_VALUE"""),"K0K 2G0")</f>
        <v>K0K 2G0</v>
      </c>
      <c r="E9111" s="3" t="str">
        <f>IFERROR(__xludf.DUMMYFUNCTION("""COMPUTED_VALUE"""),"Kyle Hill")</f>
        <v>Kyle Hill</v>
      </c>
      <c r="F9111" s="3" t="str">
        <f>IFERROR(__xludf.DUMMYFUNCTION("""COMPUTED_VALUE"""),"kyle.hill777@gmail.com")</f>
        <v>kyle.hill777@gmail.com</v>
      </c>
      <c r="G9111" s="3">
        <f>IFERROR(__xludf.DUMMYFUNCTION("""COMPUTED_VALUE"""),9.054337199E9)</f>
        <v>9054337199</v>
      </c>
      <c r="H9111" s="3"/>
    </row>
    <row r="9112">
      <c r="A9112" s="2">
        <f>IFERROR(__xludf.DUMMYFUNCTION("""COMPUTED_VALUE"""),31302.0)</f>
        <v>31302</v>
      </c>
      <c r="B9112" s="3" t="str">
        <f>IFERROR(__xludf.DUMMYFUNCTION("""COMPUTED_VALUE"""),"3570 SHELTER VALLEY RD ")</f>
        <v>3570 SHELTER VALLEY RD </v>
      </c>
      <c r="C9112" s="3" t="str">
        <f>IFERROR(__xludf.DUMMYFUNCTION("""COMPUTED_VALUE"""),"GRAFTON")</f>
        <v>GRAFTON</v>
      </c>
      <c r="D9112" s="3" t="str">
        <f>IFERROR(__xludf.DUMMYFUNCTION("""COMPUTED_VALUE"""),"K0K 2G0")</f>
        <v>K0K 2G0</v>
      </c>
      <c r="E9112" s="3" t="str">
        <f>IFERROR(__xludf.DUMMYFUNCTION("""COMPUTED_VALUE"""),"Kim Guthrie")</f>
        <v>Kim Guthrie</v>
      </c>
      <c r="F9112" s="3" t="str">
        <f>IFERROR(__xludf.DUMMYFUNCTION("""COMPUTED_VALUE"""),"kmg2610@yahoo.com")</f>
        <v>kmg2610@yahoo.com</v>
      </c>
      <c r="G9112" s="3">
        <f>IFERROR(__xludf.DUMMYFUNCTION("""COMPUTED_VALUE"""),6.132426655E9)</f>
        <v>6132426655</v>
      </c>
      <c r="H9112" s="3"/>
    </row>
    <row r="9113">
      <c r="A9113" s="2">
        <f>IFERROR(__xludf.DUMMYFUNCTION("""COMPUTED_VALUE"""),31303.0)</f>
        <v>31303</v>
      </c>
      <c r="B9113" s="3" t="str">
        <f>IFERROR(__xludf.DUMMYFUNCTION("""COMPUTED_VALUE"""),"3577 SHELTER VALLEY RD ")</f>
        <v>3577 SHELTER VALLEY RD </v>
      </c>
      <c r="C9113" s="3" t="str">
        <f>IFERROR(__xludf.DUMMYFUNCTION("""COMPUTED_VALUE"""),"GRAFTON")</f>
        <v>GRAFTON</v>
      </c>
      <c r="D9113" s="3" t="str">
        <f>IFERROR(__xludf.DUMMYFUNCTION("""COMPUTED_VALUE"""),"K0K 2G0")</f>
        <v>K0K 2G0</v>
      </c>
      <c r="E9113" s="3" t="str">
        <f>IFERROR(__xludf.DUMMYFUNCTION("""COMPUTED_VALUE"""),"Teresa Reymes")</f>
        <v>Teresa Reymes</v>
      </c>
      <c r="F9113" s="3" t="str">
        <f>IFERROR(__xludf.DUMMYFUNCTION("""COMPUTED_VALUE"""),"N/A")</f>
        <v>N/A</v>
      </c>
      <c r="G9113" s="3">
        <f>IFERROR(__xludf.DUMMYFUNCTION("""COMPUTED_VALUE"""),9.053763767E9)</f>
        <v>9053763767</v>
      </c>
      <c r="H9113" s="3"/>
    </row>
    <row r="9114">
      <c r="A9114" s="2">
        <f>IFERROR(__xludf.DUMMYFUNCTION("""COMPUTED_VALUE"""),31304.0)</f>
        <v>31304</v>
      </c>
      <c r="B9114" s="3" t="str">
        <f>IFERROR(__xludf.DUMMYFUNCTION("""COMPUTED_VALUE"""),"3582 SHELTER VALLEY RD ")</f>
        <v>3582 SHELTER VALLEY RD </v>
      </c>
      <c r="C9114" s="3" t="str">
        <f>IFERROR(__xludf.DUMMYFUNCTION("""COMPUTED_VALUE"""),"GRAFTON")</f>
        <v>GRAFTON</v>
      </c>
      <c r="D9114" s="3" t="str">
        <f>IFERROR(__xludf.DUMMYFUNCTION("""COMPUTED_VALUE"""),"K0K 2G0")</f>
        <v>K0K 2G0</v>
      </c>
      <c r="E9114" s="3" t="str">
        <f>IFERROR(__xludf.DUMMYFUNCTION("""COMPUTED_VALUE"""),"Wesley &amp; Maureen Wright ")</f>
        <v>Wesley &amp; Maureen Wright </v>
      </c>
      <c r="F9114" s="3" t="str">
        <f>IFERROR(__xludf.DUMMYFUNCTION("""COMPUTED_VALUE"""),"maureenandwesley@gmail.com")</f>
        <v>maureenandwesley@gmail.com</v>
      </c>
      <c r="G9114" s="3"/>
      <c r="H9114" s="3"/>
    </row>
    <row r="9115">
      <c r="A9115" s="2">
        <f>IFERROR(__xludf.DUMMYFUNCTION("""COMPUTED_VALUE"""),31307.0)</f>
        <v>31307</v>
      </c>
      <c r="B9115" s="3" t="str">
        <f>IFERROR(__xludf.DUMMYFUNCTION("""COMPUTED_VALUE"""),"112 SILVER MAPLE RD ")</f>
        <v>112 SILVER MAPLE RD </v>
      </c>
      <c r="C9115" s="3" t="str">
        <f>IFERROR(__xludf.DUMMYFUNCTION("""COMPUTED_VALUE"""),"GRAFTON")</f>
        <v>GRAFTON</v>
      </c>
      <c r="D9115" s="3" t="str">
        <f>IFERROR(__xludf.DUMMYFUNCTION("""COMPUTED_VALUE"""),"K0K 2G0")</f>
        <v>K0K 2G0</v>
      </c>
      <c r="E9115" s="3" t="str">
        <f>IFERROR(__xludf.DUMMYFUNCTION("""COMPUTED_VALUE"""),"Colin Fearn")</f>
        <v>Colin Fearn</v>
      </c>
      <c r="F9115" s="3" t="str">
        <f>IFERROR(__xludf.DUMMYFUNCTION("""COMPUTED_VALUE"""),"fastfearnie8@gmail.com")</f>
        <v>fastfearnie8@gmail.com</v>
      </c>
      <c r="G9115" s="3">
        <f>IFERROR(__xludf.DUMMYFUNCTION("""COMPUTED_VALUE"""),2.898293188E9)</f>
        <v>2898293188</v>
      </c>
      <c r="H9115" s="3"/>
    </row>
    <row r="9116">
      <c r="A9116" s="2">
        <f>IFERROR(__xludf.DUMMYFUNCTION("""COMPUTED_VALUE"""),31308.0)</f>
        <v>31308</v>
      </c>
      <c r="B9116" s="3" t="str">
        <f>IFERROR(__xludf.DUMMYFUNCTION("""COMPUTED_VALUE"""),"182 SILVER MAPLE RD ")</f>
        <v>182 SILVER MAPLE RD </v>
      </c>
      <c r="C9116" s="3" t="str">
        <f>IFERROR(__xludf.DUMMYFUNCTION("""COMPUTED_VALUE"""),"GRAFTON")</f>
        <v>GRAFTON</v>
      </c>
      <c r="D9116" s="3" t="str">
        <f>IFERROR(__xludf.DUMMYFUNCTION("""COMPUTED_VALUE"""),"K0K 2G0")</f>
        <v>K0K 2G0</v>
      </c>
      <c r="E9116" s="3"/>
      <c r="F9116" s="3"/>
      <c r="G9116" s="3"/>
      <c r="H9116" s="3"/>
    </row>
    <row r="9117">
      <c r="A9117" s="2">
        <f>IFERROR(__xludf.DUMMYFUNCTION("""COMPUTED_VALUE"""),31309.0)</f>
        <v>31309</v>
      </c>
      <c r="B9117" s="3" t="str">
        <f>IFERROR(__xludf.DUMMYFUNCTION("""COMPUTED_VALUE"""),"265 SILVER MAPLE RD ")</f>
        <v>265 SILVER MAPLE RD </v>
      </c>
      <c r="C9117" s="3" t="str">
        <f>IFERROR(__xludf.DUMMYFUNCTION("""COMPUTED_VALUE"""),"GRAFTON")</f>
        <v>GRAFTON</v>
      </c>
      <c r="D9117" s="3" t="str">
        <f>IFERROR(__xludf.DUMMYFUNCTION("""COMPUTED_VALUE"""),"K0K 2G0")</f>
        <v>K0K 2G0</v>
      </c>
      <c r="E9117" s="3" t="str">
        <f>IFERROR(__xludf.DUMMYFUNCTION("""COMPUTED_VALUE"""),"Lynda Gardner")</f>
        <v>Lynda Gardner</v>
      </c>
      <c r="F9117" s="3" t="str">
        <f>IFERROR(__xludf.DUMMYFUNCTION("""COMPUTED_VALUE"""),"lyndagardner@xplornet.ca")</f>
        <v>lyndagardner@xplornet.ca</v>
      </c>
      <c r="G9117" s="3">
        <f>IFERROR(__xludf.DUMMYFUNCTION("""COMPUTED_VALUE"""),9.053492451E9)</f>
        <v>9053492451</v>
      </c>
      <c r="H9117" s="3"/>
    </row>
    <row r="9118">
      <c r="A9118" s="2">
        <f>IFERROR(__xludf.DUMMYFUNCTION("""COMPUTED_VALUE"""),31310.0)</f>
        <v>31310</v>
      </c>
      <c r="B9118" s="3" t="str">
        <f>IFERROR(__xludf.DUMMYFUNCTION("""COMPUTED_VALUE"""),"303 SILVER MAPLE RD ")</f>
        <v>303 SILVER MAPLE RD </v>
      </c>
      <c r="C9118" s="3" t="str">
        <f>IFERROR(__xludf.DUMMYFUNCTION("""COMPUTED_VALUE"""),"GRAFTON")</f>
        <v>GRAFTON</v>
      </c>
      <c r="D9118" s="3" t="str">
        <f>IFERROR(__xludf.DUMMYFUNCTION("""COMPUTED_VALUE"""),"K0K 2G0")</f>
        <v>K0K 2G0</v>
      </c>
      <c r="E9118" s="3" t="str">
        <f>IFERROR(__xludf.DUMMYFUNCTION("""COMPUTED_VALUE"""),"Kay Daoussis")</f>
        <v>Kay Daoussis</v>
      </c>
      <c r="F9118" s="3" t="str">
        <f>IFERROR(__xludf.DUMMYFUNCTION("""COMPUTED_VALUE"""),"N/A")</f>
        <v>N/A</v>
      </c>
      <c r="G9118" s="3"/>
      <c r="H9118" s="3"/>
    </row>
    <row r="9119">
      <c r="A9119" s="2">
        <f>IFERROR(__xludf.DUMMYFUNCTION("""COMPUTED_VALUE"""),31311.0)</f>
        <v>31311</v>
      </c>
      <c r="B9119" s="3" t="str">
        <f>IFERROR(__xludf.DUMMYFUNCTION("""COMPUTED_VALUE"""),"316 SILVER MAPLE RD ")</f>
        <v>316 SILVER MAPLE RD </v>
      </c>
      <c r="C9119" s="3" t="str">
        <f>IFERROR(__xludf.DUMMYFUNCTION("""COMPUTED_VALUE"""),"GRAFTON")</f>
        <v>GRAFTON</v>
      </c>
      <c r="D9119" s="3" t="str">
        <f>IFERROR(__xludf.DUMMYFUNCTION("""COMPUTED_VALUE"""),"K0K 2G0")</f>
        <v>K0K 2G0</v>
      </c>
      <c r="E9119" s="3" t="str">
        <f>IFERROR(__xludf.DUMMYFUNCTION("""COMPUTED_VALUE"""),"Carl Chappele")</f>
        <v>Carl Chappele</v>
      </c>
      <c r="F9119" s="3" t="str">
        <f>IFERROR(__xludf.DUMMYFUNCTION("""COMPUTED_VALUE"""),"N/A")</f>
        <v>N/A</v>
      </c>
      <c r="G9119" s="3">
        <f>IFERROR(__xludf.DUMMYFUNCTION("""COMPUTED_VALUE"""),9.053493887E9)</f>
        <v>9053493887</v>
      </c>
      <c r="H9119" s="3"/>
    </row>
    <row r="9120">
      <c r="A9120" s="2">
        <f>IFERROR(__xludf.DUMMYFUNCTION("""COMPUTED_VALUE"""),31312.0)</f>
        <v>31312</v>
      </c>
      <c r="B9120" s="3" t="str">
        <f>IFERROR(__xludf.DUMMYFUNCTION("""COMPUTED_VALUE"""),"319 SILVER MAPLE RD ")</f>
        <v>319 SILVER MAPLE RD </v>
      </c>
      <c r="C9120" s="3" t="str">
        <f>IFERROR(__xludf.DUMMYFUNCTION("""COMPUTED_VALUE"""),"GRAFTON")</f>
        <v>GRAFTON</v>
      </c>
      <c r="D9120" s="3" t="str">
        <f>IFERROR(__xludf.DUMMYFUNCTION("""COMPUTED_VALUE"""),"K0K 2G0")</f>
        <v>K0K 2G0</v>
      </c>
      <c r="E9120" s="3" t="str">
        <f>IFERROR(__xludf.DUMMYFUNCTION("""COMPUTED_VALUE"""),"Jeff Currin")</f>
        <v>Jeff Currin</v>
      </c>
      <c r="F9120" s="3" t="str">
        <f>IFERROR(__xludf.DUMMYFUNCTION("""COMPUTED_VALUE"""),"N/A")</f>
        <v>N/A</v>
      </c>
      <c r="G9120" s="3">
        <f>IFERROR(__xludf.DUMMYFUNCTION("""COMPUTED_VALUE"""),9.053493842E9)</f>
        <v>9053493842</v>
      </c>
      <c r="H9120" s="3"/>
    </row>
    <row r="9121">
      <c r="A9121" s="2">
        <f>IFERROR(__xludf.DUMMYFUNCTION("""COMPUTED_VALUE"""),31313.0)</f>
        <v>31313</v>
      </c>
      <c r="B9121" s="3" t="str">
        <f>IFERROR(__xludf.DUMMYFUNCTION("""COMPUTED_VALUE"""),"334 SILVER MAPLE RD ")</f>
        <v>334 SILVER MAPLE RD </v>
      </c>
      <c r="C9121" s="3" t="str">
        <f>IFERROR(__xludf.DUMMYFUNCTION("""COMPUTED_VALUE"""),"GRAFTON")</f>
        <v>GRAFTON</v>
      </c>
      <c r="D9121" s="3" t="str">
        <f>IFERROR(__xludf.DUMMYFUNCTION("""COMPUTED_VALUE"""),"K0K 2G0")</f>
        <v>K0K 2G0</v>
      </c>
      <c r="E9121" s="3" t="str">
        <f>IFERROR(__xludf.DUMMYFUNCTION("""COMPUTED_VALUE"""),"Leonard Callacott")</f>
        <v>Leonard Callacott</v>
      </c>
      <c r="F9121" s="3" t="str">
        <f>IFERROR(__xludf.DUMMYFUNCTION("""COMPUTED_VALUE"""),"mypeggypup@gmail.com")</f>
        <v>mypeggypup@gmail.com</v>
      </c>
      <c r="G9121" s="3">
        <f>IFERROR(__xludf.DUMMYFUNCTION("""COMPUTED_VALUE"""),9.053963202E9)</f>
        <v>9053963202</v>
      </c>
      <c r="H9121" s="3"/>
    </row>
    <row r="9122">
      <c r="A9122" s="2">
        <f>IFERROR(__xludf.DUMMYFUNCTION("""COMPUTED_VALUE"""),31314.0)</f>
        <v>31314</v>
      </c>
      <c r="B9122" s="3" t="str">
        <f>IFERROR(__xludf.DUMMYFUNCTION("""COMPUTED_VALUE"""),"456 SILVER MAPLE RD ")</f>
        <v>456 SILVER MAPLE RD </v>
      </c>
      <c r="C9122" s="3" t="str">
        <f>IFERROR(__xludf.DUMMYFUNCTION("""COMPUTED_VALUE"""),"GRAFTON")</f>
        <v>GRAFTON</v>
      </c>
      <c r="D9122" s="3" t="str">
        <f>IFERROR(__xludf.DUMMYFUNCTION("""COMPUTED_VALUE"""),"K0K 2G0")</f>
        <v>K0K 2G0</v>
      </c>
      <c r="E9122" s="3"/>
      <c r="F9122" s="3"/>
      <c r="G9122" s="3"/>
      <c r="H9122" s="3"/>
    </row>
    <row r="9123">
      <c r="A9123" s="2">
        <f>IFERROR(__xludf.DUMMYFUNCTION("""COMPUTED_VALUE"""),31315.0)</f>
        <v>31315</v>
      </c>
      <c r="B9123" s="3" t="str">
        <f>IFERROR(__xludf.DUMMYFUNCTION("""COMPUTED_VALUE"""),"137 SMITH RD")</f>
        <v>137 SMITH RD</v>
      </c>
      <c r="C9123" s="3"/>
      <c r="D9123" s="3"/>
      <c r="E9123" s="3" t="str">
        <f>IFERROR(__xludf.DUMMYFUNCTION("""COMPUTED_VALUE"""),"Wendy Avis")</f>
        <v>Wendy Avis</v>
      </c>
      <c r="F9123" s="3" t="str">
        <f>IFERROR(__xludf.DUMMYFUNCTION("""COMPUTED_VALUE"""),"N/A")</f>
        <v>N/A</v>
      </c>
      <c r="G9123" s="3">
        <f>IFERROR(__xludf.DUMMYFUNCTION("""COMPUTED_VALUE"""),7.057405382E9)</f>
        <v>7057405382</v>
      </c>
      <c r="H9123" s="3"/>
    </row>
    <row r="9124">
      <c r="A9124" s="2">
        <f>IFERROR(__xludf.DUMMYFUNCTION("""COMPUTED_VALUE"""),31316.0)</f>
        <v>31316</v>
      </c>
      <c r="B9124" s="3" t="str">
        <f>IFERROR(__xludf.DUMMYFUNCTION("""COMPUTED_VALUE"""),"153 SMITH RD")</f>
        <v>153 SMITH RD</v>
      </c>
      <c r="C9124" s="3" t="str">
        <f>IFERROR(__xludf.DUMMYFUNCTION("""COMPUTED_VALUE"""),"WARKWORTH")</f>
        <v>WARKWORTH</v>
      </c>
      <c r="D9124" s="3" t="str">
        <f>IFERROR(__xludf.DUMMYFUNCTION("""COMPUTED_VALUE"""),"K0K 3K0")</f>
        <v>K0K 3K0</v>
      </c>
      <c r="E9124" s="3" t="str">
        <f>IFERROR(__xludf.DUMMYFUNCTION("""COMPUTED_VALUE"""),"DANA VAN DE WALKER")</f>
        <v>DANA VAN DE WALKER</v>
      </c>
      <c r="F9124" s="3" t="str">
        <f>IFERROR(__xludf.DUMMYFUNCTION("""COMPUTED_VALUE"""),"DANA.VANDEWALKER@HOTMAIL.COM")</f>
        <v>DANA.VANDEWALKER@HOTMAIL.COM</v>
      </c>
      <c r="G9124" s="3"/>
      <c r="H9124" s="3"/>
    </row>
    <row r="9125">
      <c r="A9125" s="2">
        <f>IFERROR(__xludf.DUMMYFUNCTION("""COMPUTED_VALUE"""),31317.0)</f>
        <v>31317</v>
      </c>
      <c r="B9125" s="3" t="str">
        <f>IFERROR(__xludf.DUMMYFUNCTION("""COMPUTED_VALUE"""),"171 SMITH RD")</f>
        <v>171 SMITH RD</v>
      </c>
      <c r="C9125" s="3"/>
      <c r="D9125" s="3"/>
      <c r="E9125" s="3" t="str">
        <f>IFERROR(__xludf.DUMMYFUNCTION("""COMPUTED_VALUE"""),"Amber Perry")</f>
        <v>Amber Perry</v>
      </c>
      <c r="F9125" s="3" t="str">
        <f>IFERROR(__xludf.DUMMYFUNCTION("""COMPUTED_VALUE"""),"amber.joyce@live.com")</f>
        <v>amber.joyce@live.com</v>
      </c>
      <c r="G9125" s="3">
        <f>IFERROR(__xludf.DUMMYFUNCTION("""COMPUTED_VALUE"""),9.059999725E9)</f>
        <v>9059999725</v>
      </c>
      <c r="H9125" s="3"/>
    </row>
    <row r="9126">
      <c r="A9126" s="2">
        <f>IFERROR(__xludf.DUMMYFUNCTION("""COMPUTED_VALUE"""),31318.0)</f>
        <v>31318</v>
      </c>
      <c r="B9126" s="3" t="str">
        <f>IFERROR(__xludf.DUMMYFUNCTION("""COMPUTED_VALUE"""),"194 SMITH RD")</f>
        <v>194 SMITH RD</v>
      </c>
      <c r="C9126" s="3"/>
      <c r="D9126" s="3"/>
      <c r="E9126" s="3" t="str">
        <f>IFERROR(__xludf.DUMMYFUNCTION("""COMPUTED_VALUE"""),"Mike Robson")</f>
        <v>Mike Robson</v>
      </c>
      <c r="F9126" s="3" t="str">
        <f>IFERROR(__xludf.DUMMYFUNCTION("""COMPUTED_VALUE"""),"a_robson@sympatico.ca")</f>
        <v>a_robson@sympatico.ca</v>
      </c>
      <c r="G9126" s="3">
        <f>IFERROR(__xludf.DUMMYFUNCTION("""COMPUTED_VALUE"""),7.059241157E9)</f>
        <v>7059241157</v>
      </c>
      <c r="H9126" s="3"/>
    </row>
    <row r="9127">
      <c r="A9127" s="2">
        <f>IFERROR(__xludf.DUMMYFUNCTION("""COMPUTED_VALUE"""),31319.0)</f>
        <v>31319</v>
      </c>
      <c r="B9127" s="3" t="str">
        <f>IFERROR(__xludf.DUMMYFUNCTION("""COMPUTED_VALUE"""),"225 SMITH RD")</f>
        <v>225 SMITH RD</v>
      </c>
      <c r="C9127" s="3"/>
      <c r="D9127" s="3"/>
      <c r="E9127" s="3"/>
      <c r="F9127" s="3"/>
      <c r="G9127" s="3"/>
      <c r="H9127" s="3"/>
    </row>
    <row r="9128">
      <c r="A9128" s="2">
        <f>IFERROR(__xludf.DUMMYFUNCTION("""COMPUTED_VALUE"""),31320.0)</f>
        <v>31320</v>
      </c>
      <c r="B9128" s="3" t="str">
        <f>IFERROR(__xludf.DUMMYFUNCTION("""COMPUTED_VALUE"""),"115 SOUTH BURNS RD ")</f>
        <v>115 SOUTH BURNS RD </v>
      </c>
      <c r="C9128" s="3" t="str">
        <f>IFERROR(__xludf.DUMMYFUNCTION("""COMPUTED_VALUE"""),"BALTIMORE")</f>
        <v>BALTIMORE</v>
      </c>
      <c r="D9128" s="3" t="str">
        <f>IFERROR(__xludf.DUMMYFUNCTION("""COMPUTED_VALUE"""),"K0K 1C0")</f>
        <v>K0K 1C0</v>
      </c>
      <c r="E9128" s="3" t="str">
        <f>IFERROR(__xludf.DUMMYFUNCTION("""COMPUTED_VALUE"""),"Joseph Tomlinson")</f>
        <v>Joseph Tomlinson</v>
      </c>
      <c r="F9128" s="3" t="str">
        <f>IFERROR(__xludf.DUMMYFUNCTION("""COMPUTED_VALUE"""),"joe.tomlinson21@protonmail.com")</f>
        <v>joe.tomlinson21@protonmail.com</v>
      </c>
      <c r="G9128" s="3"/>
      <c r="H9128" s="3"/>
    </row>
    <row r="9129">
      <c r="A9129" s="2">
        <f>IFERROR(__xludf.DUMMYFUNCTION("""COMPUTED_VALUE"""),31321.0)</f>
        <v>31321</v>
      </c>
      <c r="B9129" s="3" t="str">
        <f>IFERROR(__xludf.DUMMYFUNCTION("""COMPUTED_VALUE"""),"165 SOUTH BURNS RD ")</f>
        <v>165 SOUTH BURNS RD </v>
      </c>
      <c r="C9129" s="3" t="str">
        <f>IFERROR(__xludf.DUMMYFUNCTION("""COMPUTED_VALUE"""),"BALTIMORE")</f>
        <v>BALTIMORE</v>
      </c>
      <c r="D9129" s="3" t="str">
        <f>IFERROR(__xludf.DUMMYFUNCTION("""COMPUTED_VALUE"""),"K0K 1C0")</f>
        <v>K0K 1C0</v>
      </c>
      <c r="E9129" s="3" t="str">
        <f>IFERROR(__xludf.DUMMYFUNCTION("""COMPUTED_VALUE"""),"Tim Annis")</f>
        <v>Tim Annis</v>
      </c>
      <c r="F9129" s="3" t="str">
        <f>IFERROR(__xludf.DUMMYFUNCTION("""COMPUTED_VALUE"""),"tim@accomplice.ca")</f>
        <v>tim@accomplice.ca</v>
      </c>
      <c r="G9129" s="3"/>
      <c r="H9129" s="3"/>
    </row>
    <row r="9130">
      <c r="A9130" s="2">
        <f>IFERROR(__xludf.DUMMYFUNCTION("""COMPUTED_VALUE"""),31322.0)</f>
        <v>31322</v>
      </c>
      <c r="B9130" s="3" t="str">
        <f>IFERROR(__xludf.DUMMYFUNCTION("""COMPUTED_VALUE"""),"336 SOUTH BURNS RD ")</f>
        <v>336 SOUTH BURNS RD </v>
      </c>
      <c r="C9130" s="3" t="str">
        <f>IFERROR(__xludf.DUMMYFUNCTION("""COMPUTED_VALUE"""),"BALTIMORE")</f>
        <v>BALTIMORE</v>
      </c>
      <c r="D9130" s="3" t="str">
        <f>IFERROR(__xludf.DUMMYFUNCTION("""COMPUTED_VALUE"""),"K0K 1C0")</f>
        <v>K0K 1C0</v>
      </c>
      <c r="E9130" s="3" t="str">
        <f>IFERROR(__xludf.DUMMYFUNCTION("""COMPUTED_VALUE"""),"Roger Thomas")</f>
        <v>Roger Thomas</v>
      </c>
      <c r="F9130" s="3"/>
      <c r="G9130" s="3">
        <f>IFERROR(__xludf.DUMMYFUNCTION("""COMPUTED_VALUE"""),9.05396336E9)</f>
        <v>9053963360</v>
      </c>
      <c r="H9130" s="3">
        <f>IFERROR(__xludf.DUMMYFUNCTION("""COMPUTED_VALUE"""),9.05269272E9)</f>
        <v>9052692720</v>
      </c>
    </row>
    <row r="9131">
      <c r="A9131" s="2">
        <f>IFERROR(__xludf.DUMMYFUNCTION("""COMPUTED_VALUE"""),31323.0)</f>
        <v>31323</v>
      </c>
      <c r="B9131" s="3" t="str">
        <f>IFERROR(__xludf.DUMMYFUNCTION("""COMPUTED_VALUE"""),"347 SOUTH BURNS RD ")</f>
        <v>347 SOUTH BURNS RD </v>
      </c>
      <c r="C9131" s="3" t="str">
        <f>IFERROR(__xludf.DUMMYFUNCTION("""COMPUTED_VALUE"""),"BALTIMORE")</f>
        <v>BALTIMORE</v>
      </c>
      <c r="D9131" s="3" t="str">
        <f>IFERROR(__xludf.DUMMYFUNCTION("""COMPUTED_VALUE"""),"K0K 1C0")</f>
        <v>K0K 1C0</v>
      </c>
      <c r="E9131" s="3" t="str">
        <f>IFERROR(__xludf.DUMMYFUNCTION("""COMPUTED_VALUE"""),"Heidi and Gailices Vaidila")</f>
        <v>Heidi and Gailices Vaidila</v>
      </c>
      <c r="F9131" s="3"/>
      <c r="G9131" s="3">
        <f>IFERROR(__xludf.DUMMYFUNCTION("""COMPUTED_VALUE"""),4.168057069E9)</f>
        <v>4168057069</v>
      </c>
      <c r="H9131" s="3">
        <f>IFERROR(__xludf.DUMMYFUNCTION("""COMPUTED_VALUE"""),4.165575442E9)</f>
        <v>4165575442</v>
      </c>
    </row>
    <row r="9132">
      <c r="A9132" s="2">
        <f>IFERROR(__xludf.DUMMYFUNCTION("""COMPUTED_VALUE"""),31324.0)</f>
        <v>31324</v>
      </c>
      <c r="B9132" s="3" t="str">
        <f>IFERROR(__xludf.DUMMYFUNCTION("""COMPUTED_VALUE"""),"362 SOUTH BURNS RD ")</f>
        <v>362 SOUTH BURNS RD </v>
      </c>
      <c r="C9132" s="3" t="str">
        <f>IFERROR(__xludf.DUMMYFUNCTION("""COMPUTED_VALUE"""),"BALTIMORE")</f>
        <v>BALTIMORE</v>
      </c>
      <c r="D9132" s="3" t="str">
        <f>IFERROR(__xludf.DUMMYFUNCTION("""COMPUTED_VALUE"""),"K0K 1C0")</f>
        <v>K0K 1C0</v>
      </c>
      <c r="E9132" s="3" t="str">
        <f>IFERROR(__xludf.DUMMYFUNCTION("""COMPUTED_VALUE"""),"Todd Gledhill")</f>
        <v>Todd Gledhill</v>
      </c>
      <c r="F9132" s="3" t="str">
        <f>IFERROR(__xludf.DUMMYFUNCTION("""COMPUTED_VALUE"""),"toddgledhill@yahoo.ca")</f>
        <v>toddgledhill@yahoo.ca</v>
      </c>
      <c r="G9132" s="3">
        <f>IFERROR(__xludf.DUMMYFUNCTION("""COMPUTED_VALUE"""),9.053492193E9)</f>
        <v>9053492193</v>
      </c>
      <c r="H9132" s="3"/>
    </row>
    <row r="9133">
      <c r="A9133" s="2">
        <f>IFERROR(__xludf.DUMMYFUNCTION("""COMPUTED_VALUE"""),31325.0)</f>
        <v>31325</v>
      </c>
      <c r="B9133" s="3" t="str">
        <f>IFERROR(__xludf.DUMMYFUNCTION("""COMPUTED_VALUE"""),"371 SOUTH BURNS RD ")</f>
        <v>371 SOUTH BURNS RD </v>
      </c>
      <c r="C9133" s="3" t="str">
        <f>IFERROR(__xludf.DUMMYFUNCTION("""COMPUTED_VALUE"""),"BALTIMORE")</f>
        <v>BALTIMORE</v>
      </c>
      <c r="D9133" s="3" t="str">
        <f>IFERROR(__xludf.DUMMYFUNCTION("""COMPUTED_VALUE"""),"K0K 1C0")</f>
        <v>K0K 1C0</v>
      </c>
      <c r="E9133" s="3" t="str">
        <f>IFERROR(__xludf.DUMMYFUNCTION("""COMPUTED_VALUE"""),"Knollcrest Swine Ltd")</f>
        <v>Knollcrest Swine Ltd</v>
      </c>
      <c r="F9133" s="3" t="str">
        <f>IFERROR(__xludf.DUMMYFUNCTION("""COMPUTED_VALUE"""),"dejongmom@gmail.com")</f>
        <v>dejongmom@gmail.com</v>
      </c>
      <c r="G9133" s="3">
        <f>IFERROR(__xludf.DUMMYFUNCTION("""COMPUTED_VALUE"""),9.053967705E9)</f>
        <v>9053967705</v>
      </c>
      <c r="H9133" s="3"/>
    </row>
    <row r="9134">
      <c r="A9134" s="2">
        <f>IFERROR(__xludf.DUMMYFUNCTION("""COMPUTED_VALUE"""),31326.0)</f>
        <v>31326</v>
      </c>
      <c r="B9134" s="3" t="str">
        <f>IFERROR(__xludf.DUMMYFUNCTION("""COMPUTED_VALUE"""),"522 SOUTH BURNS RD ")</f>
        <v>522 SOUTH BURNS RD </v>
      </c>
      <c r="C9134" s="3" t="str">
        <f>IFERROR(__xludf.DUMMYFUNCTION("""COMPUTED_VALUE"""),"BALTIMORE")</f>
        <v>BALTIMORE</v>
      </c>
      <c r="D9134" s="3" t="str">
        <f>IFERROR(__xludf.DUMMYFUNCTION("""COMPUTED_VALUE"""),"K0K 1C0")</f>
        <v>K0K 1C0</v>
      </c>
      <c r="E9134" s="3"/>
      <c r="F9134" s="3"/>
      <c r="G9134" s="3"/>
      <c r="H9134" s="3"/>
    </row>
    <row r="9135">
      <c r="A9135" s="2">
        <f>IFERROR(__xludf.DUMMYFUNCTION("""COMPUTED_VALUE"""),31327.0)</f>
        <v>31327</v>
      </c>
      <c r="B9135" s="3" t="str">
        <f>IFERROR(__xludf.DUMMYFUNCTION("""COMPUTED_VALUE"""),"551 SOUTH BURNS RD ")</f>
        <v>551 SOUTH BURNS RD </v>
      </c>
      <c r="C9135" s="3" t="str">
        <f>IFERROR(__xludf.DUMMYFUNCTION("""COMPUTED_VALUE"""),"BALTIMORE")</f>
        <v>BALTIMORE</v>
      </c>
      <c r="D9135" s="3" t="str">
        <f>IFERROR(__xludf.DUMMYFUNCTION("""COMPUTED_VALUE"""),"K0K 1C0")</f>
        <v>K0K 1C0</v>
      </c>
      <c r="E9135" s="3" t="str">
        <f>IFERROR(__xludf.DUMMYFUNCTION("""COMPUTED_VALUE"""),"Kelly Keene")</f>
        <v>Kelly Keene</v>
      </c>
      <c r="F9135" s="3" t="str">
        <f>IFERROR(__xludf.DUMMYFUNCTION("""COMPUTED_VALUE"""),"keenekelly@hotmail.com")</f>
        <v>keenekelly@hotmail.com</v>
      </c>
      <c r="G9135" s="3"/>
      <c r="H9135" s="3"/>
    </row>
    <row r="9136">
      <c r="A9136" s="2">
        <f>IFERROR(__xludf.DUMMYFUNCTION("""COMPUTED_VALUE"""),31328.0)</f>
        <v>31328</v>
      </c>
      <c r="B9136" s="3" t="str">
        <f>IFERROR(__xludf.DUMMYFUNCTION("""COMPUTED_VALUE"""),"589 SOUTH BURNS RD ")</f>
        <v>589 SOUTH BURNS RD </v>
      </c>
      <c r="C9136" s="3" t="str">
        <f>IFERROR(__xludf.DUMMYFUNCTION("""COMPUTED_VALUE"""),"BALTIMORE")</f>
        <v>BALTIMORE</v>
      </c>
      <c r="D9136" s="3" t="str">
        <f>IFERROR(__xludf.DUMMYFUNCTION("""COMPUTED_VALUE"""),"K0K 1C0")</f>
        <v>K0K 1C0</v>
      </c>
      <c r="E9136" s="3" t="str">
        <f>IFERROR(__xludf.DUMMYFUNCTION("""COMPUTED_VALUE"""),"Mark Godfrey")</f>
        <v>Mark Godfrey</v>
      </c>
      <c r="F9136" s="3" t="str">
        <f>IFERROR(__xludf.DUMMYFUNCTION("""COMPUTED_VALUE"""),"mgodfrey.mrwg@gmail.com")</f>
        <v>mgodfrey.mrwg@gmail.com</v>
      </c>
      <c r="G9136" s="3"/>
      <c r="H9136" s="3"/>
    </row>
    <row r="9137">
      <c r="A9137" s="2">
        <f>IFERROR(__xludf.DUMMYFUNCTION("""COMPUTED_VALUE"""),31329.0)</f>
        <v>31329</v>
      </c>
      <c r="B9137" s="3" t="str">
        <f>IFERROR(__xludf.DUMMYFUNCTION("""COMPUTED_VALUE"""),"604 SOUTH BURNS RD ")</f>
        <v>604 SOUTH BURNS RD </v>
      </c>
      <c r="C9137" s="3" t="str">
        <f>IFERROR(__xludf.DUMMYFUNCTION("""COMPUTED_VALUE"""),"BALTIMORE")</f>
        <v>BALTIMORE</v>
      </c>
      <c r="D9137" s="3" t="str">
        <f>IFERROR(__xludf.DUMMYFUNCTION("""COMPUTED_VALUE"""),"K0K 1C0")</f>
        <v>K0K 1C0</v>
      </c>
      <c r="E9137" s="3" t="str">
        <f>IFERROR(__xludf.DUMMYFUNCTION("""COMPUTED_VALUE"""),"Angela Fiorntino")</f>
        <v>Angela Fiorntino</v>
      </c>
      <c r="F9137" s="3"/>
      <c r="G9137" s="3">
        <f>IFERROR(__xludf.DUMMYFUNCTION("""COMPUTED_VALUE"""),2.896006596E9)</f>
        <v>2896006596</v>
      </c>
      <c r="H9137" s="3"/>
    </row>
    <row r="9138">
      <c r="A9138" s="2">
        <f>IFERROR(__xludf.DUMMYFUNCTION("""COMPUTED_VALUE"""),31330.0)</f>
        <v>31330</v>
      </c>
      <c r="B9138" s="3" t="str">
        <f>IFERROR(__xludf.DUMMYFUNCTION("""COMPUTED_VALUE"""),"673 SOUTH BURNS RD ")</f>
        <v>673 SOUTH BURNS RD </v>
      </c>
      <c r="C9138" s="3" t="str">
        <f>IFERROR(__xludf.DUMMYFUNCTION("""COMPUTED_VALUE"""),"BALTIMORE")</f>
        <v>BALTIMORE</v>
      </c>
      <c r="D9138" s="3" t="str">
        <f>IFERROR(__xludf.DUMMYFUNCTION("""COMPUTED_VALUE"""),"K0K 1C0")</f>
        <v>K0K 1C0</v>
      </c>
      <c r="E9138" s="3" t="str">
        <f>IFERROR(__xludf.DUMMYFUNCTION("""COMPUTED_VALUE"""),"Lucy Roda")</f>
        <v>Lucy Roda</v>
      </c>
      <c r="F9138" s="3" t="str">
        <f>IFERROR(__xludf.DUMMYFUNCTION("""COMPUTED_VALUE"""),"lucy5roda@gmail.com")</f>
        <v>lucy5roda@gmail.com</v>
      </c>
      <c r="G9138" s="3">
        <f>IFERROR(__xludf.DUMMYFUNCTION("""COMPUTED_VALUE"""),4.168377416E9)</f>
        <v>4168377416</v>
      </c>
      <c r="H9138" s="3"/>
    </row>
    <row r="9139">
      <c r="A9139" s="2">
        <f>IFERROR(__xludf.DUMMYFUNCTION("""COMPUTED_VALUE"""),31331.0)</f>
        <v>31331</v>
      </c>
      <c r="B9139" s="3" t="str">
        <f>IFERROR(__xludf.DUMMYFUNCTION("""COMPUTED_VALUE"""),"710 SOUTH BURNS RD ")</f>
        <v>710 SOUTH BURNS RD </v>
      </c>
      <c r="C9139" s="3" t="str">
        <f>IFERROR(__xludf.DUMMYFUNCTION("""COMPUTED_VALUE"""),"BALTIMORE")</f>
        <v>BALTIMORE</v>
      </c>
      <c r="D9139" s="3" t="str">
        <f>IFERROR(__xludf.DUMMYFUNCTION("""COMPUTED_VALUE"""),"K0K 1C0")</f>
        <v>K0K 1C0</v>
      </c>
      <c r="E9139" s="3"/>
      <c r="F9139" s="3"/>
      <c r="G9139" s="3"/>
      <c r="H9139" s="3"/>
    </row>
    <row r="9140">
      <c r="A9140" s="2">
        <f>IFERROR(__xludf.DUMMYFUNCTION("""COMPUTED_VALUE"""),31333.0)</f>
        <v>31333</v>
      </c>
      <c r="B9140" s="3" t="str">
        <f>IFERROR(__xludf.DUMMYFUNCTION("""COMPUTED_VALUE"""),"2137 SPRING ST ")</f>
        <v>2137 SPRING ST </v>
      </c>
      <c r="C9140" s="3" t="str">
        <f>IFERROR(__xludf.DUMMYFUNCTION("""COMPUTED_VALUE"""),"CASTLETON")</f>
        <v>CASTLETON</v>
      </c>
      <c r="D9140" s="3" t="str">
        <f>IFERROR(__xludf.DUMMYFUNCTION("""COMPUTED_VALUE"""),"K0K 1M0")</f>
        <v>K0K 1M0</v>
      </c>
      <c r="E9140" s="3"/>
      <c r="F9140" s="3"/>
      <c r="G9140" s="3"/>
      <c r="H9140" s="3"/>
    </row>
    <row r="9141">
      <c r="A9141" s="2">
        <f>IFERROR(__xludf.DUMMYFUNCTION("""COMPUTED_VALUE"""),31334.0)</f>
        <v>31334</v>
      </c>
      <c r="B9141" s="3" t="str">
        <f>IFERROR(__xludf.DUMMYFUNCTION("""COMPUTED_VALUE"""),"2139 SPRING ST ")</f>
        <v>2139 SPRING ST </v>
      </c>
      <c r="C9141" s="3" t="str">
        <f>IFERROR(__xludf.DUMMYFUNCTION("""COMPUTED_VALUE"""),"CASTLETON")</f>
        <v>CASTLETON</v>
      </c>
      <c r="D9141" s="3" t="str">
        <f>IFERROR(__xludf.DUMMYFUNCTION("""COMPUTED_VALUE"""),"K0K 1M0")</f>
        <v>K0K 1M0</v>
      </c>
      <c r="E9141" s="3"/>
      <c r="F9141" s="3"/>
      <c r="G9141" s="3"/>
      <c r="H9141" s="3"/>
    </row>
    <row r="9142">
      <c r="A9142" s="2">
        <f>IFERROR(__xludf.DUMMYFUNCTION("""COMPUTED_VALUE"""),31335.0)</f>
        <v>31335</v>
      </c>
      <c r="B9142" s="3" t="str">
        <f>IFERROR(__xludf.DUMMYFUNCTION("""COMPUTED_VALUE"""),"2144 SPRING ST ")</f>
        <v>2144 SPRING ST </v>
      </c>
      <c r="C9142" s="3" t="str">
        <f>IFERROR(__xludf.DUMMYFUNCTION("""COMPUTED_VALUE"""),"CASTLETON")</f>
        <v>CASTLETON</v>
      </c>
      <c r="D9142" s="3" t="str">
        <f>IFERROR(__xludf.DUMMYFUNCTION("""COMPUTED_VALUE"""),"K0K 1M0")</f>
        <v>K0K 1M0</v>
      </c>
      <c r="E9142" s="3"/>
      <c r="F9142" s="3"/>
      <c r="G9142" s="3"/>
      <c r="H9142" s="3"/>
    </row>
    <row r="9143">
      <c r="A9143" s="2">
        <f>IFERROR(__xludf.DUMMYFUNCTION("""COMPUTED_VALUE"""),31336.0)</f>
        <v>31336</v>
      </c>
      <c r="B9143" s="3" t="str">
        <f>IFERROR(__xludf.DUMMYFUNCTION("""COMPUTED_VALUE"""),"2147 SPRING ST ")</f>
        <v>2147 SPRING ST </v>
      </c>
      <c r="C9143" s="3" t="str">
        <f>IFERROR(__xludf.DUMMYFUNCTION("""COMPUTED_VALUE"""),"CASTLETON")</f>
        <v>CASTLETON</v>
      </c>
      <c r="D9143" s="3" t="str">
        <f>IFERROR(__xludf.DUMMYFUNCTION("""COMPUTED_VALUE"""),"K0K 1M0")</f>
        <v>K0K 1M0</v>
      </c>
      <c r="E9143" s="3" t="str">
        <f>IFERROR(__xludf.DUMMYFUNCTION("""COMPUTED_VALUE"""),"Brad Shearing")</f>
        <v>Brad Shearing</v>
      </c>
      <c r="F9143" s="3" t="str">
        <f>IFERROR(__xludf.DUMMYFUNCTION("""COMPUTED_VALUE"""),"bshearing@gmail.com")</f>
        <v>bshearing@gmail.com</v>
      </c>
      <c r="G9143" s="3">
        <f>IFERROR(__xludf.DUMMYFUNCTION("""COMPUTED_VALUE"""),9.059225756E9)</f>
        <v>9059225756</v>
      </c>
      <c r="H9143" s="3"/>
    </row>
    <row r="9144">
      <c r="A9144" s="2">
        <f>IFERROR(__xludf.DUMMYFUNCTION("""COMPUTED_VALUE"""),31337.0)</f>
        <v>31337</v>
      </c>
      <c r="B9144" s="3" t="str">
        <f>IFERROR(__xludf.DUMMYFUNCTION("""COMPUTED_VALUE"""),"2148 SPRING ST ")</f>
        <v>2148 SPRING ST </v>
      </c>
      <c r="C9144" s="3" t="str">
        <f>IFERROR(__xludf.DUMMYFUNCTION("""COMPUTED_VALUE"""),"CASTLETON")</f>
        <v>CASTLETON</v>
      </c>
      <c r="D9144" s="3" t="str">
        <f>IFERROR(__xludf.DUMMYFUNCTION("""COMPUTED_VALUE"""),"K0K 1M0")</f>
        <v>K0K 1M0</v>
      </c>
      <c r="E9144" s="3" t="str">
        <f>IFERROR(__xludf.DUMMYFUNCTION("""COMPUTED_VALUE"""),"Brandon swenor")</f>
        <v>Brandon swenor</v>
      </c>
      <c r="F9144" s="3" t="str">
        <f>IFERROR(__xludf.DUMMYFUNCTION("""COMPUTED_VALUE"""),"brandonswenor99@gmail.com")</f>
        <v>brandonswenor99@gmail.com</v>
      </c>
      <c r="G9144" s="3">
        <f>IFERROR(__xludf.DUMMYFUNCTION("""COMPUTED_VALUE"""),9.052139927E9)</f>
        <v>9052139927</v>
      </c>
      <c r="H9144" s="3"/>
    </row>
    <row r="9145">
      <c r="A9145" s="2">
        <f>IFERROR(__xludf.DUMMYFUNCTION("""COMPUTED_VALUE"""),31338.0)</f>
        <v>31338</v>
      </c>
      <c r="B9145" s="3" t="str">
        <f>IFERROR(__xludf.DUMMYFUNCTION("""COMPUTED_VALUE"""),"2150 SPRING ST ")</f>
        <v>2150 SPRING ST </v>
      </c>
      <c r="C9145" s="3" t="str">
        <f>IFERROR(__xludf.DUMMYFUNCTION("""COMPUTED_VALUE"""),"CASTLETON")</f>
        <v>CASTLETON</v>
      </c>
      <c r="D9145" s="3" t="str">
        <f>IFERROR(__xludf.DUMMYFUNCTION("""COMPUTED_VALUE"""),"K0K 1M0")</f>
        <v>K0K 1M0</v>
      </c>
      <c r="E9145" s="3" t="str">
        <f>IFERROR(__xludf.DUMMYFUNCTION("""COMPUTED_VALUE"""),"Deanna Street")</f>
        <v>Deanna Street</v>
      </c>
      <c r="F9145" s="3" t="str">
        <f>IFERROR(__xludf.DUMMYFUNCTION("""COMPUTED_VALUE"""),"deannastreet70@gmail.com")</f>
        <v>deannastreet70@gmail.com</v>
      </c>
      <c r="G9145" s="3">
        <f>IFERROR(__xludf.DUMMYFUNCTION("""COMPUTED_VALUE"""),4.168928321E9)</f>
        <v>4168928321</v>
      </c>
      <c r="H9145" s="3"/>
    </row>
    <row r="9146">
      <c r="A9146" s="2">
        <f>IFERROR(__xludf.DUMMYFUNCTION("""COMPUTED_VALUE"""),31339.0)</f>
        <v>31339</v>
      </c>
      <c r="B9146" s="3" t="str">
        <f>IFERROR(__xludf.DUMMYFUNCTION("""COMPUTED_VALUE"""),"2154 SPRING ST ")</f>
        <v>2154 SPRING ST </v>
      </c>
      <c r="C9146" s="3" t="str">
        <f>IFERROR(__xludf.DUMMYFUNCTION("""COMPUTED_VALUE"""),"CASTLETON")</f>
        <v>CASTLETON</v>
      </c>
      <c r="D9146" s="3" t="str">
        <f>IFERROR(__xludf.DUMMYFUNCTION("""COMPUTED_VALUE"""),"K0K 1M0")</f>
        <v>K0K 1M0</v>
      </c>
      <c r="E9146" s="3" t="str">
        <f>IFERROR(__xludf.DUMMYFUNCTION("""COMPUTED_VALUE"""),"Danielle Barrett")</f>
        <v>Danielle Barrett</v>
      </c>
      <c r="F9146" s="3" t="str">
        <f>IFERROR(__xludf.DUMMYFUNCTION("""COMPUTED_VALUE"""),"greganddanielle@hotmail.com")</f>
        <v>greganddanielle@hotmail.com</v>
      </c>
      <c r="G9146" s="3">
        <f>IFERROR(__xludf.DUMMYFUNCTION("""COMPUTED_VALUE"""),9.052692953E9)</f>
        <v>9052692953</v>
      </c>
      <c r="H9146" s="3"/>
    </row>
    <row r="9147">
      <c r="A9147" s="2">
        <f>IFERROR(__xludf.DUMMYFUNCTION("""COMPUTED_VALUE"""),31340.0)</f>
        <v>31340</v>
      </c>
      <c r="B9147" s="3" t="str">
        <f>IFERROR(__xludf.DUMMYFUNCTION("""COMPUTED_VALUE"""),"2166 SPRING ST ")</f>
        <v>2166 SPRING ST </v>
      </c>
      <c r="C9147" s="3" t="str">
        <f>IFERROR(__xludf.DUMMYFUNCTION("""COMPUTED_VALUE"""),"CASTLETON")</f>
        <v>CASTLETON</v>
      </c>
      <c r="D9147" s="3" t="str">
        <f>IFERROR(__xludf.DUMMYFUNCTION("""COMPUTED_VALUE"""),"K0K 1M0")</f>
        <v>K0K 1M0</v>
      </c>
      <c r="E9147" s="3" t="str">
        <f>IFERROR(__xludf.DUMMYFUNCTION("""COMPUTED_VALUE"""),"David Clarey")</f>
        <v>David Clarey</v>
      </c>
      <c r="F9147" s="3" t="str">
        <f>IFERROR(__xludf.DUMMYFUNCTION("""COMPUTED_VALUE"""),"david.m.clarey@gmail.com")</f>
        <v>david.m.clarey@gmail.com</v>
      </c>
      <c r="G9147" s="3">
        <f>IFERROR(__xludf.DUMMYFUNCTION("""COMPUTED_VALUE"""),9.053762632E9)</f>
        <v>9053762632</v>
      </c>
      <c r="H9147" s="3"/>
    </row>
    <row r="9148">
      <c r="A9148" s="2">
        <f>IFERROR(__xludf.DUMMYFUNCTION("""COMPUTED_VALUE"""),31341.0)</f>
        <v>31341</v>
      </c>
      <c r="B9148" s="3" t="str">
        <f>IFERROR(__xludf.DUMMYFUNCTION("""COMPUTED_VALUE"""),"2172 SPRING ST ")</f>
        <v>2172 SPRING ST </v>
      </c>
      <c r="C9148" s="3" t="str">
        <f>IFERROR(__xludf.DUMMYFUNCTION("""COMPUTED_VALUE"""),"CASTLETON")</f>
        <v>CASTLETON</v>
      </c>
      <c r="D9148" s="3" t="str">
        <f>IFERROR(__xludf.DUMMYFUNCTION("""COMPUTED_VALUE"""),"K0K 1M0")</f>
        <v>K0K 1M0</v>
      </c>
      <c r="E9148" s="3"/>
      <c r="F9148" s="3"/>
      <c r="G9148" s="3"/>
      <c r="H9148" s="3"/>
    </row>
    <row r="9149">
      <c r="A9149" s="2">
        <f>IFERROR(__xludf.DUMMYFUNCTION("""COMPUTED_VALUE"""),31342.0)</f>
        <v>31342</v>
      </c>
      <c r="B9149" s="3" t="str">
        <f>IFERROR(__xludf.DUMMYFUNCTION("""COMPUTED_VALUE"""),"2176 SPRING ST ")</f>
        <v>2176 SPRING ST </v>
      </c>
      <c r="C9149" s="3" t="str">
        <f>IFERROR(__xludf.DUMMYFUNCTION("""COMPUTED_VALUE"""),"CASTLETON")</f>
        <v>CASTLETON</v>
      </c>
      <c r="D9149" s="3" t="str">
        <f>IFERROR(__xludf.DUMMYFUNCTION("""COMPUTED_VALUE"""),"K0K 1M0")</f>
        <v>K0K 1M0</v>
      </c>
      <c r="E9149" s="3"/>
      <c r="F9149" s="3"/>
      <c r="G9149" s="3"/>
      <c r="H9149" s="3"/>
    </row>
    <row r="9150">
      <c r="A9150" s="2">
        <f>IFERROR(__xludf.DUMMYFUNCTION("""COMPUTED_VALUE"""),31343.0)</f>
        <v>31343</v>
      </c>
      <c r="B9150" s="3" t="str">
        <f>IFERROR(__xludf.DUMMYFUNCTION("""COMPUTED_VALUE"""),"2182 SPRING ST ")</f>
        <v>2182 SPRING ST </v>
      </c>
      <c r="C9150" s="3" t="str">
        <f>IFERROR(__xludf.DUMMYFUNCTION("""COMPUTED_VALUE"""),"CASTLETON")</f>
        <v>CASTLETON</v>
      </c>
      <c r="D9150" s="3" t="str">
        <f>IFERROR(__xludf.DUMMYFUNCTION("""COMPUTED_VALUE"""),"K0K 1M0")</f>
        <v>K0K 1M0</v>
      </c>
      <c r="E9150" s="3" t="str">
        <f>IFERROR(__xludf.DUMMYFUNCTION("""COMPUTED_VALUE"""),"Shawna Hunter")</f>
        <v>Shawna Hunter</v>
      </c>
      <c r="F9150" s="3" t="str">
        <f>IFERROR(__xludf.DUMMYFUNCTION("""COMPUTED_VALUE"""),"kissntell83@yahoo.com")</f>
        <v>kissntell83@yahoo.com</v>
      </c>
      <c r="G9150" s="3">
        <f>IFERROR(__xludf.DUMMYFUNCTION("""COMPUTED_VALUE"""),2.896880884E9)</f>
        <v>2896880884</v>
      </c>
      <c r="H9150" s="3"/>
    </row>
    <row r="9151">
      <c r="A9151" s="2">
        <f>IFERROR(__xludf.DUMMYFUNCTION("""COMPUTED_VALUE"""),31344.0)</f>
        <v>31344</v>
      </c>
      <c r="B9151" s="3" t="str">
        <f>IFERROR(__xludf.DUMMYFUNCTION("""COMPUTED_VALUE"""),"2183 SPRING ST ")</f>
        <v>2183 SPRING ST </v>
      </c>
      <c r="C9151" s="3" t="str">
        <f>IFERROR(__xludf.DUMMYFUNCTION("""COMPUTED_VALUE"""),"CASTLETON")</f>
        <v>CASTLETON</v>
      </c>
      <c r="D9151" s="3" t="str">
        <f>IFERROR(__xludf.DUMMYFUNCTION("""COMPUTED_VALUE"""),"K0K 1M0")</f>
        <v>K0K 1M0</v>
      </c>
      <c r="E9151" s="3" t="str">
        <f>IFERROR(__xludf.DUMMYFUNCTION("""COMPUTED_VALUE"""),"Terry Smith")</f>
        <v>Terry Smith</v>
      </c>
      <c r="F9151" s="3" t="str">
        <f>IFERROR(__xludf.DUMMYFUNCTION("""COMPUTED_VALUE"""),"gonefishinglegend@gmail.com")</f>
        <v>gonefishinglegend@gmail.com</v>
      </c>
      <c r="G9151" s="3">
        <f>IFERROR(__xludf.DUMMYFUNCTION("""COMPUTED_VALUE"""),9.05375466E9)</f>
        <v>9053754660</v>
      </c>
      <c r="H9151" s="3"/>
    </row>
    <row r="9152">
      <c r="A9152" s="2">
        <f>IFERROR(__xludf.DUMMYFUNCTION("""COMPUTED_VALUE"""),31345.0)</f>
        <v>31345</v>
      </c>
      <c r="B9152" s="3" t="str">
        <f>IFERROR(__xludf.DUMMYFUNCTION("""COMPUTED_VALUE"""),"2200 SPRING ST ")</f>
        <v>2200 SPRING ST </v>
      </c>
      <c r="C9152" s="3" t="str">
        <f>IFERROR(__xludf.DUMMYFUNCTION("""COMPUTED_VALUE"""),"CASTLETON")</f>
        <v>CASTLETON</v>
      </c>
      <c r="D9152" s="3" t="str">
        <f>IFERROR(__xludf.DUMMYFUNCTION("""COMPUTED_VALUE"""),"K0K 1M0")</f>
        <v>K0K 1M0</v>
      </c>
      <c r="E9152" s="3" t="str">
        <f>IFERROR(__xludf.DUMMYFUNCTION("""COMPUTED_VALUE"""),"Denine Brown ")</f>
        <v>Denine Brown </v>
      </c>
      <c r="F9152" s="3" t="str">
        <f>IFERROR(__xludf.DUMMYFUNCTION("""COMPUTED_VALUE"""),"N/A")</f>
        <v>N/A</v>
      </c>
      <c r="G9152" s="3">
        <f>IFERROR(__xludf.DUMMYFUNCTION("""COMPUTED_VALUE"""),9.053447227E9)</f>
        <v>9053447227</v>
      </c>
      <c r="H9152" s="3"/>
    </row>
    <row r="9153">
      <c r="A9153" s="2">
        <f>IFERROR(__xludf.DUMMYFUNCTION("""COMPUTED_VALUE"""),31346.0)</f>
        <v>31346</v>
      </c>
      <c r="B9153" s="3" t="str">
        <f>IFERROR(__xludf.DUMMYFUNCTION("""COMPUTED_VALUE"""),"2202 SPRING ST ")</f>
        <v>2202 SPRING ST </v>
      </c>
      <c r="C9153" s="3" t="str">
        <f>IFERROR(__xludf.DUMMYFUNCTION("""COMPUTED_VALUE"""),"CASTLETON")</f>
        <v>CASTLETON</v>
      </c>
      <c r="D9153" s="3" t="str">
        <f>IFERROR(__xludf.DUMMYFUNCTION("""COMPUTED_VALUE"""),"K0K 1M0")</f>
        <v>K0K 1M0</v>
      </c>
      <c r="E9153" s="3" t="str">
        <f>IFERROR(__xludf.DUMMYFUNCTION("""COMPUTED_VALUE"""),"Jill Rout")</f>
        <v>Jill Rout</v>
      </c>
      <c r="F9153" s="3" t="str">
        <f>IFERROR(__xludf.DUMMYFUNCTION("""COMPUTED_VALUE"""),"jillrout@hotmail.com")</f>
        <v>jillrout@hotmail.com</v>
      </c>
      <c r="G9153" s="3">
        <f>IFERROR(__xludf.DUMMYFUNCTION("""COMPUTED_VALUE"""),9.053762246E9)</f>
        <v>9053762246</v>
      </c>
      <c r="H9153" s="3"/>
    </row>
    <row r="9154">
      <c r="A9154" s="2">
        <f>IFERROR(__xludf.DUMMYFUNCTION("""COMPUTED_VALUE"""),31347.0)</f>
        <v>31347</v>
      </c>
      <c r="B9154" s="3" t="str">
        <f>IFERROR(__xludf.DUMMYFUNCTION("""COMPUTED_VALUE"""),"2205 SPRING ST ")</f>
        <v>2205 SPRING ST </v>
      </c>
      <c r="C9154" s="3" t="str">
        <f>IFERROR(__xludf.DUMMYFUNCTION("""COMPUTED_VALUE"""),"CASTLETON")</f>
        <v>CASTLETON</v>
      </c>
      <c r="D9154" s="3" t="str">
        <f>IFERROR(__xludf.DUMMYFUNCTION("""COMPUTED_VALUE"""),"K0K 1M0")</f>
        <v>K0K 1M0</v>
      </c>
      <c r="E9154" s="3"/>
      <c r="F9154" s="3"/>
      <c r="G9154" s="3"/>
      <c r="H9154" s="3"/>
    </row>
    <row r="9155">
      <c r="A9155" s="2">
        <f>IFERROR(__xludf.DUMMYFUNCTION("""COMPUTED_VALUE"""),31348.0)</f>
        <v>31348</v>
      </c>
      <c r="B9155" s="3" t="str">
        <f>IFERROR(__xludf.DUMMYFUNCTION("""COMPUTED_VALUE"""),"2208 SPRING ST ")</f>
        <v>2208 SPRING ST </v>
      </c>
      <c r="C9155" s="3" t="str">
        <f>IFERROR(__xludf.DUMMYFUNCTION("""COMPUTED_VALUE"""),"CASTLETON")</f>
        <v>CASTLETON</v>
      </c>
      <c r="D9155" s="3" t="str">
        <f>IFERROR(__xludf.DUMMYFUNCTION("""COMPUTED_VALUE"""),"K0K 1M0")</f>
        <v>K0K 1M0</v>
      </c>
      <c r="E9155" s="3" t="str">
        <f>IFERROR(__xludf.DUMMYFUNCTION("""COMPUTED_VALUE"""),"Peter Wallington")</f>
        <v>Peter Wallington</v>
      </c>
      <c r="F9155" s="3" t="str">
        <f>IFERROR(__xludf.DUMMYFUNCTION("""COMPUTED_VALUE"""),"N/A")</f>
        <v>N/A</v>
      </c>
      <c r="G9155" s="3">
        <f>IFERROR(__xludf.DUMMYFUNCTION("""COMPUTED_VALUE"""),7.057217175E9)</f>
        <v>7057217175</v>
      </c>
      <c r="H9155" s="3"/>
    </row>
    <row r="9156">
      <c r="A9156" s="2">
        <f>IFERROR(__xludf.DUMMYFUNCTION("""COMPUTED_VALUE"""),31349.0)</f>
        <v>31349</v>
      </c>
      <c r="B9156" s="3" t="str">
        <f>IFERROR(__xludf.DUMMYFUNCTION("""COMPUTED_VALUE"""),"2212 SPRING ST ")</f>
        <v>2212 SPRING ST </v>
      </c>
      <c r="C9156" s="3" t="str">
        <f>IFERROR(__xludf.DUMMYFUNCTION("""COMPUTED_VALUE"""),"CASTLETON")</f>
        <v>CASTLETON</v>
      </c>
      <c r="D9156" s="3" t="str">
        <f>IFERROR(__xludf.DUMMYFUNCTION("""COMPUTED_VALUE"""),"K0K 1M0")</f>
        <v>K0K 1M0</v>
      </c>
      <c r="E9156" s="3"/>
      <c r="F9156" s="3"/>
      <c r="G9156" s="3"/>
      <c r="H9156" s="3"/>
    </row>
    <row r="9157">
      <c r="A9157" s="2">
        <f>IFERROR(__xludf.DUMMYFUNCTION("""COMPUTED_VALUE"""),31350.0)</f>
        <v>31350</v>
      </c>
      <c r="B9157" s="3" t="str">
        <f>IFERROR(__xludf.DUMMYFUNCTION("""COMPUTED_VALUE"""),"2213 SPRING ST ")</f>
        <v>2213 SPRING ST </v>
      </c>
      <c r="C9157" s="3" t="str">
        <f>IFERROR(__xludf.DUMMYFUNCTION("""COMPUTED_VALUE"""),"CASTLETON")</f>
        <v>CASTLETON</v>
      </c>
      <c r="D9157" s="3" t="str">
        <f>IFERROR(__xludf.DUMMYFUNCTION("""COMPUTED_VALUE"""),"K0K 1M0")</f>
        <v>K0K 1M0</v>
      </c>
      <c r="E9157" s="3" t="str">
        <f>IFERROR(__xludf.DUMMYFUNCTION("""COMPUTED_VALUE"""),"Melanie Carr")</f>
        <v>Melanie Carr</v>
      </c>
      <c r="F9157" s="3" t="str">
        <f>IFERROR(__xludf.DUMMYFUNCTION("""COMPUTED_VALUE"""),"carr121@hotmail.com")</f>
        <v>carr121@hotmail.com</v>
      </c>
      <c r="G9157" s="3">
        <f>IFERROR(__xludf.DUMMYFUNCTION("""COMPUTED_VALUE"""),9.05269065E9)</f>
        <v>9052690650</v>
      </c>
      <c r="H9157" s="3"/>
    </row>
    <row r="9158">
      <c r="A9158" s="2">
        <f>IFERROR(__xludf.DUMMYFUNCTION("""COMPUTED_VALUE"""),31351.0)</f>
        <v>31351</v>
      </c>
      <c r="B9158" s="3" t="str">
        <f>IFERROR(__xludf.DUMMYFUNCTION("""COMPUTED_VALUE"""),"2215 SPRING ST ")</f>
        <v>2215 SPRING ST </v>
      </c>
      <c r="C9158" s="3" t="str">
        <f>IFERROR(__xludf.DUMMYFUNCTION("""COMPUTED_VALUE"""),"CASTLETON")</f>
        <v>CASTLETON</v>
      </c>
      <c r="D9158" s="3" t="str">
        <f>IFERROR(__xludf.DUMMYFUNCTION("""COMPUTED_VALUE"""),"K0K 1M0")</f>
        <v>K0K 1M0</v>
      </c>
      <c r="E9158" s="3" t="str">
        <f>IFERROR(__xludf.DUMMYFUNCTION("""COMPUTED_VALUE"""),"Jann Debby")</f>
        <v>Jann Debby</v>
      </c>
      <c r="F9158" s="3"/>
      <c r="G9158" s="3"/>
      <c r="H9158" s="3"/>
    </row>
    <row r="9159">
      <c r="A9159" s="2">
        <f>IFERROR(__xludf.DUMMYFUNCTION("""COMPUTED_VALUE"""),31352.0)</f>
        <v>31352</v>
      </c>
      <c r="B9159" s="3" t="str">
        <f>IFERROR(__xludf.DUMMYFUNCTION("""COMPUTED_VALUE"""),"2216 SPRING ST ")</f>
        <v>2216 SPRING ST </v>
      </c>
      <c r="C9159" s="3" t="str">
        <f>IFERROR(__xludf.DUMMYFUNCTION("""COMPUTED_VALUE"""),"CASTLETON")</f>
        <v>CASTLETON</v>
      </c>
      <c r="D9159" s="3" t="str">
        <f>IFERROR(__xludf.DUMMYFUNCTION("""COMPUTED_VALUE"""),"K0K 1M0")</f>
        <v>K0K 1M0</v>
      </c>
      <c r="E9159" s="3" t="str">
        <f>IFERROR(__xludf.DUMMYFUNCTION("""COMPUTED_VALUE"""),"Diane Theriault")</f>
        <v>Diane Theriault</v>
      </c>
      <c r="F9159" s="3" t="str">
        <f>IFERROR(__xludf.DUMMYFUNCTION("""COMPUTED_VALUE"""),"diane.pope55@gmail.com")</f>
        <v>diane.pope55@gmail.com</v>
      </c>
      <c r="G9159" s="3">
        <f>IFERROR(__xludf.DUMMYFUNCTION("""COMPUTED_VALUE"""),2.892517735E9)</f>
        <v>2892517735</v>
      </c>
      <c r="H9159" s="3"/>
    </row>
    <row r="9160">
      <c r="A9160" s="2">
        <f>IFERROR(__xludf.DUMMYFUNCTION("""COMPUTED_VALUE"""),31353.0)</f>
        <v>31353</v>
      </c>
      <c r="B9160" s="3" t="str">
        <f>IFERROR(__xludf.DUMMYFUNCTION("""COMPUTED_VALUE"""),"2221 SPRING ST ")</f>
        <v>2221 SPRING ST </v>
      </c>
      <c r="C9160" s="3" t="str">
        <f>IFERROR(__xludf.DUMMYFUNCTION("""COMPUTED_VALUE"""),"CASTLETON")</f>
        <v>CASTLETON</v>
      </c>
      <c r="D9160" s="3" t="str">
        <f>IFERROR(__xludf.DUMMYFUNCTION("""COMPUTED_VALUE"""),"K0K 1M0")</f>
        <v>K0K 1M0</v>
      </c>
      <c r="E9160" s="3"/>
      <c r="F9160" s="3"/>
      <c r="G9160" s="3"/>
      <c r="H9160" s="3"/>
    </row>
    <row r="9161">
      <c r="A9161" s="2">
        <f>IFERROR(__xludf.DUMMYFUNCTION("""COMPUTED_VALUE"""),31354.0)</f>
        <v>31354</v>
      </c>
      <c r="B9161" s="3" t="str">
        <f>IFERROR(__xludf.DUMMYFUNCTION("""COMPUTED_VALUE"""),"2237 SPRING ST ")</f>
        <v>2237 SPRING ST </v>
      </c>
      <c r="C9161" s="3" t="str">
        <f>IFERROR(__xludf.DUMMYFUNCTION("""COMPUTED_VALUE"""),"CASTLETON")</f>
        <v>CASTLETON</v>
      </c>
      <c r="D9161" s="3" t="str">
        <f>IFERROR(__xludf.DUMMYFUNCTION("""COMPUTED_VALUE"""),"K0K 1M0")</f>
        <v>K0K 1M0</v>
      </c>
      <c r="E9161" s="3" t="str">
        <f>IFERROR(__xludf.DUMMYFUNCTION("""COMPUTED_VALUE"""),"Steve McNevin")</f>
        <v>Steve McNevin</v>
      </c>
      <c r="F9161" s="3" t="str">
        <f>IFERROR(__xludf.DUMMYFUNCTION("""COMPUTED_VALUE"""),"stevemcnevin91@gmail.com")</f>
        <v>stevemcnevin91@gmail.com</v>
      </c>
      <c r="G9161" s="3">
        <f>IFERROR(__xludf.DUMMYFUNCTION("""COMPUTED_VALUE"""),2.899272912E9)</f>
        <v>2899272912</v>
      </c>
      <c r="H9161" s="3"/>
    </row>
    <row r="9162">
      <c r="A9162" s="2">
        <f>IFERROR(__xludf.DUMMYFUNCTION("""COMPUTED_VALUE"""),31355.0)</f>
        <v>31355</v>
      </c>
      <c r="B9162" s="3" t="str">
        <f>IFERROR(__xludf.DUMMYFUNCTION("""COMPUTED_VALUE"""),"2243 SPRING ST ")</f>
        <v>2243 SPRING ST </v>
      </c>
      <c r="C9162" s="3" t="str">
        <f>IFERROR(__xludf.DUMMYFUNCTION("""COMPUTED_VALUE"""),"CASTLETON")</f>
        <v>CASTLETON</v>
      </c>
      <c r="D9162" s="3" t="str">
        <f>IFERROR(__xludf.DUMMYFUNCTION("""COMPUTED_VALUE"""),"K0K 1M0")</f>
        <v>K0K 1M0</v>
      </c>
      <c r="E9162" s="3"/>
      <c r="F9162" s="3"/>
      <c r="G9162" s="3"/>
      <c r="H9162" s="3"/>
    </row>
    <row r="9163">
      <c r="A9163" s="2">
        <f>IFERROR(__xludf.DUMMYFUNCTION("""COMPUTED_VALUE"""),31356.0)</f>
        <v>31356</v>
      </c>
      <c r="B9163" s="3" t="str">
        <f>IFERROR(__xludf.DUMMYFUNCTION("""COMPUTED_VALUE"""),"2246 SPRING ST ")</f>
        <v>2246 SPRING ST </v>
      </c>
      <c r="C9163" s="3" t="str">
        <f>IFERROR(__xludf.DUMMYFUNCTION("""COMPUTED_VALUE"""),"CASTLETON")</f>
        <v>CASTLETON</v>
      </c>
      <c r="D9163" s="3" t="str">
        <f>IFERROR(__xludf.DUMMYFUNCTION("""COMPUTED_VALUE"""),"K0K 1M0")</f>
        <v>K0K 1M0</v>
      </c>
      <c r="E9163" s="3"/>
      <c r="F9163" s="3"/>
      <c r="G9163" s="3"/>
      <c r="H9163" s="3"/>
    </row>
    <row r="9164">
      <c r="A9164" s="2">
        <f>IFERROR(__xludf.DUMMYFUNCTION("""COMPUTED_VALUE"""),31357.0)</f>
        <v>31357</v>
      </c>
      <c r="B9164" s="3" t="str">
        <f>IFERROR(__xludf.DUMMYFUNCTION("""COMPUTED_VALUE"""),"2253 SPRING ST ")</f>
        <v>2253 SPRING ST </v>
      </c>
      <c r="C9164" s="3" t="str">
        <f>IFERROR(__xludf.DUMMYFUNCTION("""COMPUTED_VALUE"""),"CASTLETON")</f>
        <v>CASTLETON</v>
      </c>
      <c r="D9164" s="3" t="str">
        <f>IFERROR(__xludf.DUMMYFUNCTION("""COMPUTED_VALUE"""),"K0K 1M0")</f>
        <v>K0K 1M0</v>
      </c>
      <c r="E9164" s="3" t="str">
        <f>IFERROR(__xludf.DUMMYFUNCTION("""COMPUTED_VALUE"""),"Jeff Rutherford")</f>
        <v>Jeff Rutherford</v>
      </c>
      <c r="F9164" s="3" t="str">
        <f>IFERROR(__xludf.DUMMYFUNCTION("""COMPUTED_VALUE"""),"jeffrutherford_83@hotmai;c.om")</f>
        <v>jeffrutherford_83@hotmai;c.om</v>
      </c>
      <c r="G9164" s="3">
        <f>IFERROR(__xludf.DUMMYFUNCTION("""COMPUTED_VALUE"""),2.894044034E9)</f>
        <v>2894044034</v>
      </c>
      <c r="H9164" s="3"/>
    </row>
    <row r="9165">
      <c r="A9165" s="2">
        <f>IFERROR(__xludf.DUMMYFUNCTION("""COMPUTED_VALUE"""),31358.0)</f>
        <v>31358</v>
      </c>
      <c r="B9165" s="3" t="str">
        <f>IFERROR(__xludf.DUMMYFUNCTION("""COMPUTED_VALUE"""),"2259 SPRING ST ")</f>
        <v>2259 SPRING ST </v>
      </c>
      <c r="C9165" s="3" t="str">
        <f>IFERROR(__xludf.DUMMYFUNCTION("""COMPUTED_VALUE"""),"CASTLETON")</f>
        <v>CASTLETON</v>
      </c>
      <c r="D9165" s="3" t="str">
        <f>IFERROR(__xludf.DUMMYFUNCTION("""COMPUTED_VALUE"""),"K0K 1M0")</f>
        <v>K0K 1M0</v>
      </c>
      <c r="E9165" s="3"/>
      <c r="F9165" s="3"/>
      <c r="G9165" s="3"/>
      <c r="H9165" s="3"/>
    </row>
    <row r="9166">
      <c r="A9166" s="2">
        <f>IFERROR(__xludf.DUMMYFUNCTION("""COMPUTED_VALUE"""),31359.0)</f>
        <v>31359</v>
      </c>
      <c r="B9166" s="3" t="str">
        <f>IFERROR(__xludf.DUMMYFUNCTION("""COMPUTED_VALUE"""),"2261 SPRING ST ")</f>
        <v>2261 SPRING ST </v>
      </c>
      <c r="C9166" s="3" t="str">
        <f>IFERROR(__xludf.DUMMYFUNCTION("""COMPUTED_VALUE"""),"CASTLETON")</f>
        <v>CASTLETON</v>
      </c>
      <c r="D9166" s="3" t="str">
        <f>IFERROR(__xludf.DUMMYFUNCTION("""COMPUTED_VALUE"""),"K0K 1M0")</f>
        <v>K0K 1M0</v>
      </c>
      <c r="E9166" s="3" t="str">
        <f>IFERROR(__xludf.DUMMYFUNCTION("""COMPUTED_VALUE"""),"Sue LaBerge ")</f>
        <v>Sue LaBerge </v>
      </c>
      <c r="F9166" s="3" t="str">
        <f>IFERROR(__xludf.DUMMYFUNCTION("""COMPUTED_VALUE"""),"suelaberge395@gmail.com")</f>
        <v>suelaberge395@gmail.com</v>
      </c>
      <c r="G9166" s="3"/>
      <c r="H9166" s="3"/>
    </row>
    <row r="9167">
      <c r="A9167" s="2">
        <f>IFERROR(__xludf.DUMMYFUNCTION("""COMPUTED_VALUE"""),31360.0)</f>
        <v>31360</v>
      </c>
      <c r="B9167" s="3" t="str">
        <f>IFERROR(__xludf.DUMMYFUNCTION("""COMPUTED_VALUE"""),"2265 SPRING ST ")</f>
        <v>2265 SPRING ST </v>
      </c>
      <c r="C9167" s="3" t="str">
        <f>IFERROR(__xludf.DUMMYFUNCTION("""COMPUTED_VALUE"""),"CASTLETON")</f>
        <v>CASTLETON</v>
      </c>
      <c r="D9167" s="3" t="str">
        <f>IFERROR(__xludf.DUMMYFUNCTION("""COMPUTED_VALUE"""),"K0K 1M0")</f>
        <v>K0K 1M0</v>
      </c>
      <c r="E9167" s="3" t="str">
        <f>IFERROR(__xludf.DUMMYFUNCTION("""COMPUTED_VALUE"""),"DANIEL BELL")</f>
        <v>DANIEL BELL</v>
      </c>
      <c r="F9167" s="3" t="str">
        <f>IFERROR(__xludf.DUMMYFUNCTION("""COMPUTED_VALUE"""),"Belldan1@hotmail.com")</f>
        <v>Belldan1@hotmail.com</v>
      </c>
      <c r="G9167" s="3"/>
      <c r="H9167" s="3"/>
    </row>
    <row r="9168">
      <c r="A9168" s="2">
        <f>IFERROR(__xludf.DUMMYFUNCTION("""COMPUTED_VALUE"""),31361.0)</f>
        <v>31361</v>
      </c>
      <c r="B9168" s="3" t="str">
        <f>IFERROR(__xludf.DUMMYFUNCTION("""COMPUTED_VALUE"""),"2269 SPRING ST ")</f>
        <v>2269 SPRING ST </v>
      </c>
      <c r="C9168" s="3" t="str">
        <f>IFERROR(__xludf.DUMMYFUNCTION("""COMPUTED_VALUE"""),"CASTLETON")</f>
        <v>CASTLETON</v>
      </c>
      <c r="D9168" s="3" t="str">
        <f>IFERROR(__xludf.DUMMYFUNCTION("""COMPUTED_VALUE"""),"K0K 1M0")</f>
        <v>K0K 1M0</v>
      </c>
      <c r="E9168" s="3" t="str">
        <f>IFERROR(__xludf.DUMMYFUNCTION("""COMPUTED_VALUE"""),"Becca Panepinto")</f>
        <v>Becca Panepinto</v>
      </c>
      <c r="F9168" s="3"/>
      <c r="G9168" s="3"/>
      <c r="H9168" s="3"/>
    </row>
    <row r="9169">
      <c r="A9169" s="2">
        <f>IFERROR(__xludf.DUMMYFUNCTION("""COMPUTED_VALUE"""),31362.0)</f>
        <v>31362</v>
      </c>
      <c r="B9169" s="3" t="str">
        <f>IFERROR(__xludf.DUMMYFUNCTION("""COMPUTED_VALUE"""),"2273 SPRING ST ")</f>
        <v>2273 SPRING ST </v>
      </c>
      <c r="C9169" s="3" t="str">
        <f>IFERROR(__xludf.DUMMYFUNCTION("""COMPUTED_VALUE"""),"CASTLETON")</f>
        <v>CASTLETON</v>
      </c>
      <c r="D9169" s="3" t="str">
        <f>IFERROR(__xludf.DUMMYFUNCTION("""COMPUTED_VALUE"""),"K0K 1M0")</f>
        <v>K0K 1M0</v>
      </c>
      <c r="E9169" s="3" t="str">
        <f>IFERROR(__xludf.DUMMYFUNCTION("""COMPUTED_VALUE"""),"Jackie Carter")</f>
        <v>Jackie Carter</v>
      </c>
      <c r="F9169" s="3" t="str">
        <f>IFERROR(__xludf.DUMMYFUNCTION("""COMPUTED_VALUE"""),"cald.hollo@outlook.com")</f>
        <v>cald.hollo@outlook.com</v>
      </c>
      <c r="G9169" s="3">
        <f>IFERROR(__xludf.DUMMYFUNCTION("""COMPUTED_VALUE"""),2.892516051E9)</f>
        <v>2892516051</v>
      </c>
      <c r="H9169" s="3"/>
    </row>
    <row r="9170">
      <c r="A9170" s="2">
        <f>IFERROR(__xludf.DUMMYFUNCTION("""COMPUTED_VALUE"""),31363.0)</f>
        <v>31363</v>
      </c>
      <c r="B9170" s="3" t="str">
        <f>IFERROR(__xludf.DUMMYFUNCTION("""COMPUTED_VALUE"""),"2277 SPRING ST ")</f>
        <v>2277 SPRING ST </v>
      </c>
      <c r="C9170" s="3" t="str">
        <f>IFERROR(__xludf.DUMMYFUNCTION("""COMPUTED_VALUE"""),"CASTLETON")</f>
        <v>CASTLETON</v>
      </c>
      <c r="D9170" s="3" t="str">
        <f>IFERROR(__xludf.DUMMYFUNCTION("""COMPUTED_VALUE"""),"K0K 1M0")</f>
        <v>K0K 1M0</v>
      </c>
      <c r="E9170" s="3" t="str">
        <f>IFERROR(__xludf.DUMMYFUNCTION("""COMPUTED_VALUE"""),"Codey Carreiro")</f>
        <v>Codey Carreiro</v>
      </c>
      <c r="F9170" s="3" t="str">
        <f>IFERROR(__xludf.DUMMYFUNCTION("""COMPUTED_VALUE"""),"N/A")</f>
        <v>N/A</v>
      </c>
      <c r="G9170" s="3"/>
      <c r="H9170" s="3"/>
    </row>
    <row r="9171">
      <c r="A9171" s="2">
        <f>IFERROR(__xludf.DUMMYFUNCTION("""COMPUTED_VALUE"""),31364.0)</f>
        <v>31364</v>
      </c>
      <c r="B9171" s="3" t="str">
        <f>IFERROR(__xludf.DUMMYFUNCTION("""COMPUTED_VALUE"""),"2278 SPRING ST ")</f>
        <v>2278 SPRING ST </v>
      </c>
      <c r="C9171" s="3" t="str">
        <f>IFERROR(__xludf.DUMMYFUNCTION("""COMPUTED_VALUE"""),"CASTLETON")</f>
        <v>CASTLETON</v>
      </c>
      <c r="D9171" s="3" t="str">
        <f>IFERROR(__xludf.DUMMYFUNCTION("""COMPUTED_VALUE"""),"K0K 1M0")</f>
        <v>K0K 1M0</v>
      </c>
      <c r="E9171" s="3"/>
      <c r="F9171" s="3"/>
      <c r="G9171" s="3"/>
      <c r="H9171" s="3"/>
    </row>
    <row r="9172">
      <c r="A9172" s="2">
        <f>IFERROR(__xludf.DUMMYFUNCTION("""COMPUTED_VALUE"""),31365.0)</f>
        <v>31365</v>
      </c>
      <c r="B9172" s="3" t="str">
        <f>IFERROR(__xludf.DUMMYFUNCTION("""COMPUTED_VALUE"""),"2283 SPRING ST ")</f>
        <v>2283 SPRING ST </v>
      </c>
      <c r="C9172" s="3" t="str">
        <f>IFERROR(__xludf.DUMMYFUNCTION("""COMPUTED_VALUE"""),"CASTLETON")</f>
        <v>CASTLETON</v>
      </c>
      <c r="D9172" s="3" t="str">
        <f>IFERROR(__xludf.DUMMYFUNCTION("""COMPUTED_VALUE"""),"K0K 1M0")</f>
        <v>K0K 1M0</v>
      </c>
      <c r="E9172" s="3" t="str">
        <f>IFERROR(__xludf.DUMMYFUNCTION("""COMPUTED_VALUE"""),"Ray Rolfe")</f>
        <v>Ray Rolfe</v>
      </c>
      <c r="F9172" s="3" t="str">
        <f>IFERROR(__xludf.DUMMYFUNCTION("""COMPUTED_VALUE"""),"rolfebr55@gmail.com")</f>
        <v>rolfebr55@gmail.com</v>
      </c>
      <c r="G9172" s="3">
        <f>IFERROR(__xludf.DUMMYFUNCTION("""COMPUTED_VALUE"""),9.053736484E9)</f>
        <v>9053736484</v>
      </c>
      <c r="H9172" s="3"/>
    </row>
    <row r="9173">
      <c r="A9173" s="2">
        <f>IFERROR(__xludf.DUMMYFUNCTION("""COMPUTED_VALUE"""),31369.0)</f>
        <v>31369</v>
      </c>
      <c r="B9173" s="3" t="str">
        <f>IFERROR(__xludf.DUMMYFUNCTION("""COMPUTED_VALUE"""),"150 STONEHAVEN RD")</f>
        <v>150 STONEHAVEN RD</v>
      </c>
      <c r="C9173" s="3"/>
      <c r="D9173" s="3"/>
      <c r="E9173" s="3" t="str">
        <f>IFERROR(__xludf.DUMMYFUNCTION("""COMPUTED_VALUE"""),"Mike Greenly")</f>
        <v>Mike Greenly</v>
      </c>
      <c r="F9173" s="3" t="str">
        <f>IFERROR(__xludf.DUMMYFUNCTION("""COMPUTED_VALUE"""),"N/A")</f>
        <v>N/A</v>
      </c>
      <c r="G9173" s="3">
        <f>IFERROR(__xludf.DUMMYFUNCTION("""COMPUTED_VALUE"""),7.057723445E9)</f>
        <v>7057723445</v>
      </c>
      <c r="H9173" s="3"/>
    </row>
    <row r="9174">
      <c r="A9174" s="2">
        <f>IFERROR(__xludf.DUMMYFUNCTION("""COMPUTED_VALUE"""),31370.0)</f>
        <v>31370</v>
      </c>
      <c r="B9174" s="3" t="str">
        <f>IFERROR(__xludf.DUMMYFUNCTION("""COMPUTED_VALUE"""),"169 STONEHAVEN RD")</f>
        <v>169 STONEHAVEN RD</v>
      </c>
      <c r="C9174" s="3"/>
      <c r="D9174" s="3"/>
      <c r="E9174" s="3"/>
      <c r="F9174" s="3"/>
      <c r="G9174" s="3"/>
      <c r="H9174" s="3"/>
    </row>
    <row r="9175">
      <c r="A9175" s="2">
        <f>IFERROR(__xludf.DUMMYFUNCTION("""COMPUTED_VALUE"""),31371.0)</f>
        <v>31371</v>
      </c>
      <c r="B9175" s="3" t="str">
        <f>IFERROR(__xludf.DUMMYFUNCTION("""COMPUTED_VALUE"""),"276 STONEHAVEN RD")</f>
        <v>276 STONEHAVEN RD</v>
      </c>
      <c r="C9175" s="3"/>
      <c r="D9175" s="3"/>
      <c r="E9175" s="3" t="str">
        <f>IFERROR(__xludf.DUMMYFUNCTION("""COMPUTED_VALUE"""),"Malcolm Ruby")</f>
        <v>Malcolm Ruby</v>
      </c>
      <c r="F9175" s="3" t="str">
        <f>IFERROR(__xludf.DUMMYFUNCTION("""COMPUTED_VALUE"""),"malcolm@mac.com")</f>
        <v>malcolm@mac.com</v>
      </c>
      <c r="G9175" s="3">
        <f>IFERROR(__xludf.DUMMYFUNCTION("""COMPUTED_VALUE"""),4.163196056E9)</f>
        <v>4163196056</v>
      </c>
      <c r="H9175" s="3"/>
    </row>
    <row r="9176">
      <c r="A9176" s="2">
        <f>IFERROR(__xludf.DUMMYFUNCTION("""COMPUTED_VALUE"""),31372.0)</f>
        <v>31372</v>
      </c>
      <c r="B9176" s="3" t="str">
        <f>IFERROR(__xludf.DUMMYFUNCTION("""COMPUTED_VALUE"""),"299 STONEHAVEN RD")</f>
        <v>299 STONEHAVEN RD</v>
      </c>
      <c r="C9176" s="3"/>
      <c r="D9176" s="3"/>
      <c r="E9176" s="3" t="str">
        <f>IFERROR(__xludf.DUMMYFUNCTION("""COMPUTED_VALUE"""),"Nick Dewdney")</f>
        <v>Nick Dewdney</v>
      </c>
      <c r="F9176" s="3" t="str">
        <f>IFERROR(__xludf.DUMMYFUNCTION("""COMPUTED_VALUE"""),"nickdewdney@hotmail.com")</f>
        <v>nickdewdney@hotmail.com</v>
      </c>
      <c r="G9176" s="3">
        <f>IFERROR(__xludf.DUMMYFUNCTION("""COMPUTED_VALUE"""),6.13847734E9)</f>
        <v>6138477340</v>
      </c>
      <c r="H9176" s="3"/>
    </row>
    <row r="9177">
      <c r="A9177" s="2">
        <f>IFERROR(__xludf.DUMMYFUNCTION("""COMPUTED_VALUE"""),31373.0)</f>
        <v>31373</v>
      </c>
      <c r="B9177" s="3" t="str">
        <f>IFERROR(__xludf.DUMMYFUNCTION("""COMPUTED_VALUE"""),"300 STONEHAVEN RD")</f>
        <v>300 STONEHAVEN RD</v>
      </c>
      <c r="C9177" s="3"/>
      <c r="D9177" s="3"/>
      <c r="E9177" s="3" t="str">
        <f>IFERROR(__xludf.DUMMYFUNCTION("""COMPUTED_VALUE"""),"Malcolm Ruby")</f>
        <v>Malcolm Ruby</v>
      </c>
      <c r="F9177" s="3" t="str">
        <f>IFERROR(__xludf.DUMMYFUNCTION("""COMPUTED_VALUE"""),"malcolm@mac.com")</f>
        <v>malcolm@mac.com</v>
      </c>
      <c r="G9177" s="3">
        <f>IFERROR(__xludf.DUMMYFUNCTION("""COMPUTED_VALUE"""),4.163196056E9)</f>
        <v>4163196056</v>
      </c>
      <c r="H9177" s="3"/>
    </row>
    <row r="9178">
      <c r="A9178" s="2">
        <f>IFERROR(__xludf.DUMMYFUNCTION("""COMPUTED_VALUE"""),31374.0)</f>
        <v>31374</v>
      </c>
      <c r="B9178" s="3" t="str">
        <f>IFERROR(__xludf.DUMMYFUNCTION("""COMPUTED_VALUE"""),"317 STONEHAVEN RD")</f>
        <v>317 STONEHAVEN RD</v>
      </c>
      <c r="C9178" s="3"/>
      <c r="D9178" s="3"/>
      <c r="E9178" s="3" t="str">
        <f>IFERROR(__xludf.DUMMYFUNCTION("""COMPUTED_VALUE"""),"Wanda Chirnside")</f>
        <v>Wanda Chirnside</v>
      </c>
      <c r="F9178" s="3" t="str">
        <f>IFERROR(__xludf.DUMMYFUNCTION("""COMPUTED_VALUE"""),"wchirnside@hotmail.com")</f>
        <v>wchirnside@hotmail.com</v>
      </c>
      <c r="G9178" s="3">
        <f>IFERROR(__xludf.DUMMYFUNCTION("""COMPUTED_VALUE"""),4.166058374E9)</f>
        <v>4166058374</v>
      </c>
      <c r="H9178" s="3"/>
    </row>
    <row r="9179">
      <c r="A9179" s="2">
        <f>IFERROR(__xludf.DUMMYFUNCTION("""COMPUTED_VALUE"""),31375.0)</f>
        <v>31375</v>
      </c>
      <c r="B9179" s="3" t="str">
        <f>IFERROR(__xludf.DUMMYFUNCTION("""COMPUTED_VALUE"""),"158 STONEY LONESOME RD ")</f>
        <v>158 STONEY LONESOME RD </v>
      </c>
      <c r="C9179" s="3" t="str">
        <f>IFERROR(__xludf.DUMMYFUNCTION("""COMPUTED_VALUE"""),"CASTLETON")</f>
        <v>CASTLETON</v>
      </c>
      <c r="D9179" s="3" t="str">
        <f>IFERROR(__xludf.DUMMYFUNCTION("""COMPUTED_VALUE"""),"K0K 1M0")</f>
        <v>K0K 1M0</v>
      </c>
      <c r="E9179" s="3"/>
      <c r="F9179" s="3"/>
      <c r="G9179" s="3"/>
      <c r="H9179" s="3"/>
    </row>
    <row r="9180">
      <c r="A9180" s="2">
        <f>IFERROR(__xludf.DUMMYFUNCTION("""COMPUTED_VALUE"""),31376.0)</f>
        <v>31376</v>
      </c>
      <c r="B9180" s="3" t="str">
        <f>IFERROR(__xludf.DUMMYFUNCTION("""COMPUTED_VALUE"""),"163 STONEY LONESOME RD ")</f>
        <v>163 STONEY LONESOME RD </v>
      </c>
      <c r="C9180" s="3" t="str">
        <f>IFERROR(__xludf.DUMMYFUNCTION("""COMPUTED_VALUE"""),"CASTLETON")</f>
        <v>CASTLETON</v>
      </c>
      <c r="D9180" s="3" t="str">
        <f>IFERROR(__xludf.DUMMYFUNCTION("""COMPUTED_VALUE"""),"K0K 1M0")</f>
        <v>K0K 1M0</v>
      </c>
      <c r="E9180" s="3" t="str">
        <f>IFERROR(__xludf.DUMMYFUNCTION("""COMPUTED_VALUE"""),"Steve Peacock / Nicole Telleir")</f>
        <v>Steve Peacock / Nicole Telleir</v>
      </c>
      <c r="F9180" s="3"/>
      <c r="G9180" s="3"/>
      <c r="H9180" s="3"/>
    </row>
    <row r="9181">
      <c r="A9181" s="2">
        <f>IFERROR(__xludf.DUMMYFUNCTION("""COMPUTED_VALUE"""),31378.0)</f>
        <v>31378</v>
      </c>
      <c r="B9181" s="3" t="str">
        <f>IFERROR(__xludf.DUMMYFUNCTION("""COMPUTED_VALUE"""),"391 STONEY LONESOME RD ")</f>
        <v>391 STONEY LONESOME RD </v>
      </c>
      <c r="C9181" s="3" t="str">
        <f>IFERROR(__xludf.DUMMYFUNCTION("""COMPUTED_VALUE"""),"CASTLETON")</f>
        <v>CASTLETON</v>
      </c>
      <c r="D9181" s="3" t="str">
        <f>IFERROR(__xludf.DUMMYFUNCTION("""COMPUTED_VALUE"""),"K0K 1M0")</f>
        <v>K0K 1M0</v>
      </c>
      <c r="E9181" s="3"/>
      <c r="F9181" s="3"/>
      <c r="G9181" s="3"/>
      <c r="H9181" s="3"/>
    </row>
    <row r="9182">
      <c r="A9182" s="2">
        <f>IFERROR(__xludf.DUMMYFUNCTION("""COMPUTED_VALUE"""),31379.0)</f>
        <v>31379</v>
      </c>
      <c r="B9182" s="3" t="str">
        <f>IFERROR(__xludf.DUMMYFUNCTION("""COMPUTED_VALUE"""),"416 STONEY LONESOME RD ")</f>
        <v>416 STONEY LONESOME RD </v>
      </c>
      <c r="C9182" s="3" t="str">
        <f>IFERROR(__xludf.DUMMYFUNCTION("""COMPUTED_VALUE"""),"CASTLETON")</f>
        <v>CASTLETON</v>
      </c>
      <c r="D9182" s="3" t="str">
        <f>IFERROR(__xludf.DUMMYFUNCTION("""COMPUTED_VALUE"""),"K0K 1M0")</f>
        <v>K0K 1M0</v>
      </c>
      <c r="E9182" s="3" t="str">
        <f>IFERROR(__xludf.DUMMYFUNCTION("""COMPUTED_VALUE"""),"Mark Hunter")</f>
        <v>Mark Hunter</v>
      </c>
      <c r="F9182" s="3" t="str">
        <f>IFERROR(__xludf.DUMMYFUNCTION("""COMPUTED_VALUE"""),"mark.hunter@rogers.com")</f>
        <v>mark.hunter@rogers.com</v>
      </c>
      <c r="G9182" s="3">
        <f>IFERROR(__xludf.DUMMYFUNCTION("""COMPUTED_VALUE"""),6.47291147E9)</f>
        <v>6472911470</v>
      </c>
      <c r="H9182" s="3"/>
    </row>
    <row r="9183">
      <c r="A9183" s="2">
        <f>IFERROR(__xludf.DUMMYFUNCTION("""COMPUTED_VALUE"""),31380.0)</f>
        <v>31380</v>
      </c>
      <c r="B9183" s="3" t="str">
        <f>IFERROR(__xludf.DUMMYFUNCTION("""COMPUTED_VALUE"""),"498 STONEY LONESOME RD ")</f>
        <v>498 STONEY LONESOME RD </v>
      </c>
      <c r="C9183" s="3" t="str">
        <f>IFERROR(__xludf.DUMMYFUNCTION("""COMPUTED_VALUE"""),"CASTLETON")</f>
        <v>CASTLETON</v>
      </c>
      <c r="D9183" s="3" t="str">
        <f>IFERROR(__xludf.DUMMYFUNCTION("""COMPUTED_VALUE"""),"K0K 1M0")</f>
        <v>K0K 1M0</v>
      </c>
      <c r="E9183" s="3"/>
      <c r="F9183" s="3"/>
      <c r="G9183" s="3"/>
      <c r="H9183" s="3"/>
    </row>
    <row r="9184">
      <c r="A9184" s="2">
        <f>IFERROR(__xludf.DUMMYFUNCTION("""COMPUTED_VALUE"""),31384.0)</f>
        <v>31384</v>
      </c>
      <c r="B9184" s="3" t="str">
        <f>IFERROR(__xludf.DUMMYFUNCTION("""COMPUTED_VALUE"""),"323 TAIT RD ")</f>
        <v>323 TAIT RD </v>
      </c>
      <c r="C9184" s="3" t="str">
        <f>IFERROR(__xludf.DUMMYFUNCTION("""COMPUTED_VALUE"""),"CASTLETON")</f>
        <v>CASTLETON</v>
      </c>
      <c r="D9184" s="3" t="str">
        <f>IFERROR(__xludf.DUMMYFUNCTION("""COMPUTED_VALUE"""),"K0K 1M0")</f>
        <v>K0K 1M0</v>
      </c>
      <c r="E9184" s="3" t="str">
        <f>IFERROR(__xludf.DUMMYFUNCTION("""COMPUTED_VALUE"""),"John Rictor")</f>
        <v>John Rictor</v>
      </c>
      <c r="F9184" s="3" t="str">
        <f>IFERROR(__xludf.DUMMYFUNCTION("""COMPUTED_VALUE"""),"N/A")</f>
        <v>N/A</v>
      </c>
      <c r="G9184" s="3"/>
      <c r="H9184" s="3"/>
    </row>
    <row r="9185">
      <c r="A9185" s="2">
        <f>IFERROR(__xludf.DUMMYFUNCTION("""COMPUTED_VALUE"""),31399.0)</f>
        <v>31399</v>
      </c>
      <c r="B9185" s="3" t="str">
        <f>IFERROR(__xludf.DUMMYFUNCTION("""COMPUTED_VALUE"""),"1244 TELEPHONE RD ")</f>
        <v>1244 TELEPHONE RD </v>
      </c>
      <c r="C9185" s="3" t="str">
        <f>IFERROR(__xludf.DUMMYFUNCTION("""COMPUTED_VALUE"""),"COLBORNE")</f>
        <v>COLBORNE</v>
      </c>
      <c r="D9185" s="3" t="str">
        <f>IFERROR(__xludf.DUMMYFUNCTION("""COMPUTED_VALUE"""),"K0K 1S0")</f>
        <v>K0K 1S0</v>
      </c>
      <c r="E9185" s="3" t="str">
        <f>IFERROR(__xludf.DUMMYFUNCTION("""COMPUTED_VALUE"""),"B Vincent Kelly")</f>
        <v>B Vincent Kelly</v>
      </c>
      <c r="F9185" s="3" t="str">
        <f>IFERROR(__xludf.DUMMYFUNCTION("""COMPUTED_VALUE"""),"jbvkelly@gmail.com")</f>
        <v>jbvkelly@gmail.com</v>
      </c>
      <c r="G9185" s="3"/>
      <c r="H9185" s="3"/>
    </row>
    <row r="9186">
      <c r="A9186" s="2">
        <f>IFERROR(__xludf.DUMMYFUNCTION("""COMPUTED_VALUE"""),31400.0)</f>
        <v>31400</v>
      </c>
      <c r="B9186" s="3" t="str">
        <f>IFERROR(__xludf.DUMMYFUNCTION("""COMPUTED_VALUE"""),"1268 TELEPHONE RD ")</f>
        <v>1268 TELEPHONE RD </v>
      </c>
      <c r="C9186" s="3" t="str">
        <f>IFERROR(__xludf.DUMMYFUNCTION("""COMPUTED_VALUE"""),"COLBORNE")</f>
        <v>COLBORNE</v>
      </c>
      <c r="D9186" s="3" t="str">
        <f>IFERROR(__xludf.DUMMYFUNCTION("""COMPUTED_VALUE"""),"K0K 1S0")</f>
        <v>K0K 1S0</v>
      </c>
      <c r="E9186" s="3"/>
      <c r="F9186" s="3"/>
      <c r="G9186" s="3"/>
      <c r="H9186" s="3"/>
    </row>
    <row r="9187">
      <c r="A9187" s="2">
        <f>IFERROR(__xludf.DUMMYFUNCTION("""COMPUTED_VALUE"""),31401.0)</f>
        <v>31401</v>
      </c>
      <c r="B9187" s="3" t="str">
        <f>IFERROR(__xludf.DUMMYFUNCTION("""COMPUTED_VALUE"""),"1288 TELEPHONE RD ")</f>
        <v>1288 TELEPHONE RD </v>
      </c>
      <c r="C9187" s="3" t="str">
        <f>IFERROR(__xludf.DUMMYFUNCTION("""COMPUTED_VALUE"""),"COLBORNE")</f>
        <v>COLBORNE</v>
      </c>
      <c r="D9187" s="3" t="str">
        <f>IFERROR(__xludf.DUMMYFUNCTION("""COMPUTED_VALUE"""),"K0K 1S0")</f>
        <v>K0K 1S0</v>
      </c>
      <c r="E9187" s="3" t="str">
        <f>IFERROR(__xludf.DUMMYFUNCTION("""COMPUTED_VALUE"""),"Michael &amp; Gabrielle Blaschuk")</f>
        <v>Michael &amp; Gabrielle Blaschuk</v>
      </c>
      <c r="F9187" s="3" t="str">
        <f>IFERROR(__xludf.DUMMYFUNCTION("""COMPUTED_VALUE"""),"baileypup1958@gmail.com")</f>
        <v>baileypup1958@gmail.com</v>
      </c>
      <c r="G9187" s="3"/>
      <c r="H9187" s="3"/>
    </row>
    <row r="9188">
      <c r="A9188" s="2">
        <f>IFERROR(__xludf.DUMMYFUNCTION("""COMPUTED_VALUE"""),31402.0)</f>
        <v>31402</v>
      </c>
      <c r="B9188" s="3" t="str">
        <f>IFERROR(__xludf.DUMMYFUNCTION("""COMPUTED_VALUE"""),"1300 TELEPHONE RD ")</f>
        <v>1300 TELEPHONE RD </v>
      </c>
      <c r="C9188" s="3" t="str">
        <f>IFERROR(__xludf.DUMMYFUNCTION("""COMPUTED_VALUE"""),"COLBORNE")</f>
        <v>COLBORNE</v>
      </c>
      <c r="D9188" s="3" t="str">
        <f>IFERROR(__xludf.DUMMYFUNCTION("""COMPUTED_VALUE"""),"K0K 1S0")</f>
        <v>K0K 1S0</v>
      </c>
      <c r="E9188" s="3" t="str">
        <f>IFERROR(__xludf.DUMMYFUNCTION("""COMPUTED_VALUE"""),"SHELLEY DEKEYSER")</f>
        <v>SHELLEY DEKEYSER</v>
      </c>
      <c r="F9188" s="3" t="str">
        <f>IFERROR(__xludf.DUMMYFUNCTION("""COMPUTED_VALUE"""),"sunshine2sisters@gmail.com")</f>
        <v>sunshine2sisters@gmail.com</v>
      </c>
      <c r="G9188" s="3"/>
      <c r="H9188" s="3"/>
    </row>
    <row r="9189">
      <c r="A9189" s="2">
        <f>IFERROR(__xludf.DUMMYFUNCTION("""COMPUTED_VALUE"""),31403.0)</f>
        <v>31403</v>
      </c>
      <c r="B9189" s="3" t="str">
        <f>IFERROR(__xludf.DUMMYFUNCTION("""COMPUTED_VALUE"""),"1309 TELEPHONE RD ")</f>
        <v>1309 TELEPHONE RD </v>
      </c>
      <c r="C9189" s="3" t="str">
        <f>IFERROR(__xludf.DUMMYFUNCTION("""COMPUTED_VALUE"""),"COLBORNE")</f>
        <v>COLBORNE</v>
      </c>
      <c r="D9189" s="3" t="str">
        <f>IFERROR(__xludf.DUMMYFUNCTION("""COMPUTED_VALUE"""),"K0K 1S0")</f>
        <v>K0K 1S0</v>
      </c>
      <c r="E9189" s="3" t="str">
        <f>IFERROR(__xludf.DUMMYFUNCTION("""COMPUTED_VALUE"""),"John &amp; Allyson Piper")</f>
        <v>John &amp; Allyson Piper</v>
      </c>
      <c r="F9189" s="3" t="str">
        <f>IFERROR(__xludf.DUMMYFUNCTION("""COMPUTED_VALUE"""),"pipers1113@yahoo.ca")</f>
        <v>pipers1113@yahoo.ca</v>
      </c>
      <c r="G9189" s="3"/>
      <c r="H9189" s="3"/>
    </row>
    <row r="9190">
      <c r="A9190" s="2">
        <f>IFERROR(__xludf.DUMMYFUNCTION("""COMPUTED_VALUE"""),31404.0)</f>
        <v>31404</v>
      </c>
      <c r="B9190" s="3" t="str">
        <f>IFERROR(__xludf.DUMMYFUNCTION("""COMPUTED_VALUE"""),"1328 TELEPHONE RD ")</f>
        <v>1328 TELEPHONE RD </v>
      </c>
      <c r="C9190" s="3" t="str">
        <f>IFERROR(__xludf.DUMMYFUNCTION("""COMPUTED_VALUE"""),"COLBORNE")</f>
        <v>COLBORNE</v>
      </c>
      <c r="D9190" s="3" t="str">
        <f>IFERROR(__xludf.DUMMYFUNCTION("""COMPUTED_VALUE"""),"K0K 1S0")</f>
        <v>K0K 1S0</v>
      </c>
      <c r="E9190" s="3"/>
      <c r="F9190" s="3"/>
      <c r="G9190" s="3"/>
      <c r="H9190" s="3"/>
    </row>
    <row r="9191">
      <c r="A9191" s="2">
        <f>IFERROR(__xludf.DUMMYFUNCTION("""COMPUTED_VALUE"""),31405.0)</f>
        <v>31405</v>
      </c>
      <c r="B9191" s="3" t="str">
        <f>IFERROR(__xludf.DUMMYFUNCTION("""COMPUTED_VALUE"""),"1348 TELEPHONE RD ")</f>
        <v>1348 TELEPHONE RD </v>
      </c>
      <c r="C9191" s="3" t="str">
        <f>IFERROR(__xludf.DUMMYFUNCTION("""COMPUTED_VALUE"""),"COLBORNE")</f>
        <v>COLBORNE</v>
      </c>
      <c r="D9191" s="3" t="str">
        <f>IFERROR(__xludf.DUMMYFUNCTION("""COMPUTED_VALUE"""),"K0K 1S0")</f>
        <v>K0K 1S0</v>
      </c>
      <c r="E9191" s="3" t="str">
        <f>IFERROR(__xludf.DUMMYFUNCTION("""COMPUTED_VALUE"""),"Michel Raymond")</f>
        <v>Michel Raymond</v>
      </c>
      <c r="F9191" s="3" t="str">
        <f>IFERROR(__xludf.DUMMYFUNCTION("""COMPUTED_VALUE"""),"michelesraymond@gmail.com")</f>
        <v>michelesraymond@gmail.com</v>
      </c>
      <c r="G9191" s="3">
        <f>IFERROR(__xludf.DUMMYFUNCTION("""COMPUTED_VALUE"""),9.053493043E9)</f>
        <v>9053493043</v>
      </c>
      <c r="H9191" s="3"/>
    </row>
    <row r="9192">
      <c r="A9192" s="2">
        <f>IFERROR(__xludf.DUMMYFUNCTION("""COMPUTED_VALUE"""),31406.0)</f>
        <v>31406</v>
      </c>
      <c r="B9192" s="3" t="str">
        <f>IFERROR(__xludf.DUMMYFUNCTION("""COMPUTED_VALUE"""),"1394 TELEPHONE RD ")</f>
        <v>1394 TELEPHONE RD </v>
      </c>
      <c r="C9192" s="3" t="str">
        <f>IFERROR(__xludf.DUMMYFUNCTION("""COMPUTED_VALUE"""),"COLBORNE")</f>
        <v>COLBORNE</v>
      </c>
      <c r="D9192" s="3" t="str">
        <f>IFERROR(__xludf.DUMMYFUNCTION("""COMPUTED_VALUE"""),"K0K 1S0")</f>
        <v>K0K 1S0</v>
      </c>
      <c r="E9192" s="3" t="str">
        <f>IFERROR(__xludf.DUMMYFUNCTION("""COMPUTED_VALUE"""),"Tim Rowe")</f>
        <v>Tim Rowe</v>
      </c>
      <c r="F9192" s="3" t="str">
        <f>IFERROR(__xludf.DUMMYFUNCTION("""COMPUTED_VALUE"""),"timmy_rowe@hotmail.com")</f>
        <v>timmy_rowe@hotmail.com</v>
      </c>
      <c r="G9192" s="3">
        <f>IFERROR(__xludf.DUMMYFUNCTION("""COMPUTED_VALUE"""),7.809723308E9)</f>
        <v>7809723308</v>
      </c>
      <c r="H9192" s="3"/>
    </row>
    <row r="9193">
      <c r="A9193" s="2">
        <f>IFERROR(__xludf.DUMMYFUNCTION("""COMPUTED_VALUE"""),31407.0)</f>
        <v>31407</v>
      </c>
      <c r="B9193" s="3" t="str">
        <f>IFERROR(__xludf.DUMMYFUNCTION("""COMPUTED_VALUE"""),"1417 TELEPHONE RD ")</f>
        <v>1417 TELEPHONE RD </v>
      </c>
      <c r="C9193" s="3" t="str">
        <f>IFERROR(__xludf.DUMMYFUNCTION("""COMPUTED_VALUE"""),"COLBORNE")</f>
        <v>COLBORNE</v>
      </c>
      <c r="D9193" s="3" t="str">
        <f>IFERROR(__xludf.DUMMYFUNCTION("""COMPUTED_VALUE"""),"K0K 1S0")</f>
        <v>K0K 1S0</v>
      </c>
      <c r="E9193" s="3" t="str">
        <f>IFERROR(__xludf.DUMMYFUNCTION("""COMPUTED_VALUE"""),"Cecilia Quarrington")</f>
        <v>Cecilia Quarrington</v>
      </c>
      <c r="F9193" s="3" t="str">
        <f>IFERROR(__xludf.DUMMYFUNCTION("""COMPUTED_VALUE"""),"N/A")</f>
        <v>N/A</v>
      </c>
      <c r="G9193" s="3">
        <f>IFERROR(__xludf.DUMMYFUNCTION("""COMPUTED_VALUE"""),9.053492365E9)</f>
        <v>9053492365</v>
      </c>
      <c r="H9193" s="3"/>
    </row>
    <row r="9194">
      <c r="A9194" s="2">
        <f>IFERROR(__xludf.DUMMYFUNCTION("""COMPUTED_VALUE"""),31408.0)</f>
        <v>31408</v>
      </c>
      <c r="B9194" s="3" t="str">
        <f>IFERROR(__xludf.DUMMYFUNCTION("""COMPUTED_VALUE"""),"1469 TELEPHONE RD ")</f>
        <v>1469 TELEPHONE RD </v>
      </c>
      <c r="C9194" s="3" t="str">
        <f>IFERROR(__xludf.DUMMYFUNCTION("""COMPUTED_VALUE"""),"COLBORNE")</f>
        <v>COLBORNE</v>
      </c>
      <c r="D9194" s="3" t="str">
        <f>IFERROR(__xludf.DUMMYFUNCTION("""COMPUTED_VALUE"""),"K0K 1S0")</f>
        <v>K0K 1S0</v>
      </c>
      <c r="E9194" s="3"/>
      <c r="F9194" s="3"/>
      <c r="G9194" s="3"/>
      <c r="H9194" s="3"/>
    </row>
    <row r="9195">
      <c r="A9195" s="2">
        <f>IFERROR(__xludf.DUMMYFUNCTION("""COMPUTED_VALUE"""),31409.0)</f>
        <v>31409</v>
      </c>
      <c r="B9195" s="3" t="str">
        <f>IFERROR(__xludf.DUMMYFUNCTION("""COMPUTED_VALUE"""),"1479 TELEPHONE RD ")</f>
        <v>1479 TELEPHONE RD </v>
      </c>
      <c r="C9195" s="3" t="str">
        <f>IFERROR(__xludf.DUMMYFUNCTION("""COMPUTED_VALUE"""),"COLBORNE")</f>
        <v>COLBORNE</v>
      </c>
      <c r="D9195" s="3" t="str">
        <f>IFERROR(__xludf.DUMMYFUNCTION("""COMPUTED_VALUE"""),"K0K 1S0")</f>
        <v>K0K 1S0</v>
      </c>
      <c r="E9195" s="3" t="str">
        <f>IFERROR(__xludf.DUMMYFUNCTION("""COMPUTED_VALUE"""),"Lisa Crawford")</f>
        <v>Lisa Crawford</v>
      </c>
      <c r="F9195" s="3" t="str">
        <f>IFERROR(__xludf.DUMMYFUNCTION("""COMPUTED_VALUE"""),"N/A")</f>
        <v>N/A</v>
      </c>
      <c r="G9195" s="3"/>
      <c r="H9195" s="3"/>
    </row>
    <row r="9196">
      <c r="A9196" s="2">
        <f>IFERROR(__xludf.DUMMYFUNCTION("""COMPUTED_VALUE"""),31410.0)</f>
        <v>31410</v>
      </c>
      <c r="B9196" s="3" t="str">
        <f>IFERROR(__xludf.DUMMYFUNCTION("""COMPUTED_VALUE"""),"1489 TELEPHONE RD ")</f>
        <v>1489 TELEPHONE RD </v>
      </c>
      <c r="C9196" s="3" t="str">
        <f>IFERROR(__xludf.DUMMYFUNCTION("""COMPUTED_VALUE"""),"COLBORNE")</f>
        <v>COLBORNE</v>
      </c>
      <c r="D9196" s="3" t="str">
        <f>IFERROR(__xludf.DUMMYFUNCTION("""COMPUTED_VALUE"""),"K0K 1S0")</f>
        <v>K0K 1S0</v>
      </c>
      <c r="E9196" s="3" t="str">
        <f>IFERROR(__xludf.DUMMYFUNCTION("""COMPUTED_VALUE"""),"Ingrid Anderson")</f>
        <v>Ingrid Anderson</v>
      </c>
      <c r="F9196" s="3" t="str">
        <f>IFERROR(__xludf.DUMMYFUNCTION("""COMPUTED_VALUE"""),"ingridanderson1489@gmail.com")</f>
        <v>ingridanderson1489@gmail.com</v>
      </c>
      <c r="G9196" s="3"/>
      <c r="H9196" s="3"/>
    </row>
    <row r="9197">
      <c r="A9197" s="2">
        <f>IFERROR(__xludf.DUMMYFUNCTION("""COMPUTED_VALUE"""),31411.0)</f>
        <v>31411</v>
      </c>
      <c r="B9197" s="3" t="str">
        <f>IFERROR(__xludf.DUMMYFUNCTION("""COMPUTED_VALUE"""),"1516 TELEPHONE RD ")</f>
        <v>1516 TELEPHONE RD </v>
      </c>
      <c r="C9197" s="3" t="str">
        <f>IFERROR(__xludf.DUMMYFUNCTION("""COMPUTED_VALUE"""),"COLBORNE")</f>
        <v>COLBORNE</v>
      </c>
      <c r="D9197" s="3" t="str">
        <f>IFERROR(__xludf.DUMMYFUNCTION("""COMPUTED_VALUE"""),"K0K 1S0")</f>
        <v>K0K 1S0</v>
      </c>
      <c r="E9197" s="3"/>
      <c r="F9197" s="3"/>
      <c r="G9197" s="3"/>
      <c r="H9197" s="3"/>
    </row>
    <row r="9198">
      <c r="A9198" s="2">
        <f>IFERROR(__xludf.DUMMYFUNCTION("""COMPUTED_VALUE"""),31412.0)</f>
        <v>31412</v>
      </c>
      <c r="B9198" s="3" t="str">
        <f>IFERROR(__xludf.DUMMYFUNCTION("""COMPUTED_VALUE"""),"1654 TELEPHONE RD ")</f>
        <v>1654 TELEPHONE RD </v>
      </c>
      <c r="C9198" s="3" t="str">
        <f>IFERROR(__xludf.DUMMYFUNCTION("""COMPUTED_VALUE"""),"COLBORNE")</f>
        <v>COLBORNE</v>
      </c>
      <c r="D9198" s="3" t="str">
        <f>IFERROR(__xludf.DUMMYFUNCTION("""COMPUTED_VALUE"""),"K0K 1S0")</f>
        <v>K0K 1S0</v>
      </c>
      <c r="E9198" s="3" t="str">
        <f>IFERROR(__xludf.DUMMYFUNCTION("""COMPUTED_VALUE"""),"Paulie Deseure")</f>
        <v>Paulie Deseure</v>
      </c>
      <c r="F9198" s="3" t="str">
        <f>IFERROR(__xludf.DUMMYFUNCTION("""COMPUTED_VALUE"""),"pdeseure@myaccountants.ca")</f>
        <v>pdeseure@myaccountants.ca</v>
      </c>
      <c r="G9198" s="3">
        <f>IFERROR(__xludf.DUMMYFUNCTION("""COMPUTED_VALUE"""),9.053555901E9)</f>
        <v>9053555901</v>
      </c>
      <c r="H9198" s="3">
        <f>IFERROR(__xludf.DUMMYFUNCTION("""COMPUTED_VALUE"""),9.053759116E9)</f>
        <v>9053759116</v>
      </c>
    </row>
    <row r="9199">
      <c r="A9199" s="2">
        <f>IFERROR(__xludf.DUMMYFUNCTION("""COMPUTED_VALUE"""),31413.0)</f>
        <v>31413</v>
      </c>
      <c r="B9199" s="3" t="str">
        <f>IFERROR(__xludf.DUMMYFUNCTION("""COMPUTED_VALUE"""),"1658 TELEPHONE RD ")</f>
        <v>1658 TELEPHONE RD </v>
      </c>
      <c r="C9199" s="3" t="str">
        <f>IFERROR(__xludf.DUMMYFUNCTION("""COMPUTED_VALUE"""),"COLBORNE")</f>
        <v>COLBORNE</v>
      </c>
      <c r="D9199" s="3" t="str">
        <f>IFERROR(__xludf.DUMMYFUNCTION("""COMPUTED_VALUE"""),"K0K 1S0")</f>
        <v>K0K 1S0</v>
      </c>
      <c r="E9199" s="3"/>
      <c r="F9199" s="3"/>
      <c r="G9199" s="3"/>
      <c r="H9199" s="3"/>
    </row>
    <row r="9200">
      <c r="A9200" s="2">
        <f>IFERROR(__xludf.DUMMYFUNCTION("""COMPUTED_VALUE"""),31414.0)</f>
        <v>31414</v>
      </c>
      <c r="B9200" s="3" t="str">
        <f>IFERROR(__xludf.DUMMYFUNCTION("""COMPUTED_VALUE"""),"1685 TELEPHONE RD ")</f>
        <v>1685 TELEPHONE RD </v>
      </c>
      <c r="C9200" s="3" t="str">
        <f>IFERROR(__xludf.DUMMYFUNCTION("""COMPUTED_VALUE"""),"COLBORNE")</f>
        <v>COLBORNE</v>
      </c>
      <c r="D9200" s="3" t="str">
        <f>IFERROR(__xludf.DUMMYFUNCTION("""COMPUTED_VALUE"""),"K0K 1S0")</f>
        <v>K0K 1S0</v>
      </c>
      <c r="E9200" s="3" t="str">
        <f>IFERROR(__xludf.DUMMYFUNCTION("""COMPUTED_VALUE"""),"Janice and Neil Taylor")</f>
        <v>Janice and Neil Taylor</v>
      </c>
      <c r="F9200" s="3" t="str">
        <f>IFERROR(__xludf.DUMMYFUNCTION("""COMPUTED_VALUE"""),"3jettas@gmail.com")</f>
        <v>3jettas@gmail.com</v>
      </c>
      <c r="G9200" s="3">
        <f>IFERROR(__xludf.DUMMYFUNCTION("""COMPUTED_VALUE"""),9.053759585E9)</f>
        <v>9053759585</v>
      </c>
      <c r="H9200" s="3">
        <f>IFERROR(__xludf.DUMMYFUNCTION("""COMPUTED_VALUE"""),9.053759597E9)</f>
        <v>9053759597</v>
      </c>
    </row>
    <row r="9201">
      <c r="A9201" s="2">
        <f>IFERROR(__xludf.DUMMYFUNCTION("""COMPUTED_VALUE"""),31415.0)</f>
        <v>31415</v>
      </c>
      <c r="B9201" s="3" t="str">
        <f>IFERROR(__xludf.DUMMYFUNCTION("""COMPUTED_VALUE"""),"1743 TELEPHONE RD ")</f>
        <v>1743 TELEPHONE RD </v>
      </c>
      <c r="C9201" s="3" t="str">
        <f>IFERROR(__xludf.DUMMYFUNCTION("""COMPUTED_VALUE"""),"COLBORNE")</f>
        <v>COLBORNE</v>
      </c>
      <c r="D9201" s="3" t="str">
        <f>IFERROR(__xludf.DUMMYFUNCTION("""COMPUTED_VALUE"""),"K0K 1S0")</f>
        <v>K0K 1S0</v>
      </c>
      <c r="E9201" s="3" t="str">
        <f>IFERROR(__xludf.DUMMYFUNCTION("""COMPUTED_VALUE"""),"Robert Hargan")</f>
        <v>Robert Hargan</v>
      </c>
      <c r="F9201" s="3" t="str">
        <f>IFERROR(__xludf.DUMMYFUNCTION("""COMPUTED_VALUE"""),"N/A")</f>
        <v>N/A</v>
      </c>
      <c r="G9201" s="3">
        <f>IFERROR(__xludf.DUMMYFUNCTION("""COMPUTED_VALUE"""),4.166593729E9)</f>
        <v>4166593729</v>
      </c>
      <c r="H9201" s="3"/>
    </row>
    <row r="9202">
      <c r="A9202" s="2">
        <f>IFERROR(__xludf.DUMMYFUNCTION("""COMPUTED_VALUE"""),31416.0)</f>
        <v>31416</v>
      </c>
      <c r="B9202" s="3" t="str">
        <f>IFERROR(__xludf.DUMMYFUNCTION("""COMPUTED_VALUE"""),"1756 TELEPHONE RD ")</f>
        <v>1756 TELEPHONE RD </v>
      </c>
      <c r="C9202" s="3" t="str">
        <f>IFERROR(__xludf.DUMMYFUNCTION("""COMPUTED_VALUE"""),"COLBORNE")</f>
        <v>COLBORNE</v>
      </c>
      <c r="D9202" s="3" t="str">
        <f>IFERROR(__xludf.DUMMYFUNCTION("""COMPUTED_VALUE"""),"K0K 1S0")</f>
        <v>K0K 1S0</v>
      </c>
      <c r="E9202" s="3" t="str">
        <f>IFERROR(__xludf.DUMMYFUNCTION("""COMPUTED_VALUE"""),"Debbie Edison")</f>
        <v>Debbie Edison</v>
      </c>
      <c r="F9202" s="3" t="str">
        <f>IFERROR(__xludf.DUMMYFUNCTION("""COMPUTED_VALUE"""),"debdavenat@gmail.com")</f>
        <v>debdavenat@gmail.com</v>
      </c>
      <c r="G9202" s="3">
        <f>IFERROR(__xludf.DUMMYFUNCTION("""COMPUTED_VALUE"""),9.053553965E9)</f>
        <v>9053553965</v>
      </c>
      <c r="H9202" s="3"/>
    </row>
    <row r="9203">
      <c r="A9203" s="2">
        <f>IFERROR(__xludf.DUMMYFUNCTION("""COMPUTED_VALUE"""),31417.0)</f>
        <v>31417</v>
      </c>
      <c r="B9203" s="3" t="str">
        <f>IFERROR(__xludf.DUMMYFUNCTION("""COMPUTED_VALUE"""),"1814 TELEPHONE RD ")</f>
        <v>1814 TELEPHONE RD </v>
      </c>
      <c r="C9203" s="3" t="str">
        <f>IFERROR(__xludf.DUMMYFUNCTION("""COMPUTED_VALUE"""),"COLBORNE")</f>
        <v>COLBORNE</v>
      </c>
      <c r="D9203" s="3" t="str">
        <f>IFERROR(__xludf.DUMMYFUNCTION("""COMPUTED_VALUE"""),"K0K 1S0")</f>
        <v>K0K 1S0</v>
      </c>
      <c r="E9203" s="3" t="str">
        <f>IFERROR(__xludf.DUMMYFUNCTION("""COMPUTED_VALUE"""),"Stewart Gaebel")</f>
        <v>Stewart Gaebel</v>
      </c>
      <c r="F9203" s="3" t="str">
        <f>IFERROR(__xludf.DUMMYFUNCTION("""COMPUTED_VALUE"""),"stewartgaebel@gmail.com")</f>
        <v>stewartgaebel@gmail.com</v>
      </c>
      <c r="G9203" s="3">
        <f>IFERROR(__xludf.DUMMYFUNCTION("""COMPUTED_VALUE"""),9.05376767E9)</f>
        <v>9053767670</v>
      </c>
      <c r="H9203" s="3"/>
    </row>
    <row r="9204">
      <c r="A9204" s="2">
        <f>IFERROR(__xludf.DUMMYFUNCTION("""COMPUTED_VALUE"""),31418.0)</f>
        <v>31418</v>
      </c>
      <c r="B9204" s="3" t="str">
        <f>IFERROR(__xludf.DUMMYFUNCTION("""COMPUTED_VALUE"""),"1835 TELEPHONE RD ")</f>
        <v>1835 TELEPHONE RD </v>
      </c>
      <c r="C9204" s="3" t="str">
        <f>IFERROR(__xludf.DUMMYFUNCTION("""COMPUTED_VALUE"""),"COLBORNE")</f>
        <v>COLBORNE</v>
      </c>
      <c r="D9204" s="3" t="str">
        <f>IFERROR(__xludf.DUMMYFUNCTION("""COMPUTED_VALUE"""),"K0K 1S0")</f>
        <v>K0K 1S0</v>
      </c>
      <c r="E9204" s="3" t="str">
        <f>IFERROR(__xludf.DUMMYFUNCTION("""COMPUTED_VALUE"""),"Derek Dekeyser")</f>
        <v>Derek Dekeyser</v>
      </c>
      <c r="F9204" s="3" t="str">
        <f>IFERROR(__xludf.DUMMYFUNCTION("""COMPUTED_VALUE"""),"derekdekeyser@gmail.com")</f>
        <v>derekdekeyser@gmail.com</v>
      </c>
      <c r="G9204" s="3">
        <f>IFERROR(__xludf.DUMMYFUNCTION("""COMPUTED_VALUE"""),9.053754341E9)</f>
        <v>9053754341</v>
      </c>
      <c r="H9204" s="3"/>
    </row>
    <row r="9205">
      <c r="A9205" s="2">
        <f>IFERROR(__xludf.DUMMYFUNCTION("""COMPUTED_VALUE"""),31419.0)</f>
        <v>31419</v>
      </c>
      <c r="B9205" s="3" t="str">
        <f>IFERROR(__xludf.DUMMYFUNCTION("""COMPUTED_VALUE"""),"1873 TELEPHONE RD ")</f>
        <v>1873 TELEPHONE RD </v>
      </c>
      <c r="C9205" s="3" t="str">
        <f>IFERROR(__xludf.DUMMYFUNCTION("""COMPUTED_VALUE"""),"COLBORNE")</f>
        <v>COLBORNE</v>
      </c>
      <c r="D9205" s="3" t="str">
        <f>IFERROR(__xludf.DUMMYFUNCTION("""COMPUTED_VALUE"""),"K0K 1S0")</f>
        <v>K0K 1S0</v>
      </c>
      <c r="E9205" s="3" t="str">
        <f>IFERROR(__xludf.DUMMYFUNCTION("""COMPUTED_VALUE"""),"Ed &amp; Brenda Dekeyser")</f>
        <v>Ed &amp; Brenda Dekeyser</v>
      </c>
      <c r="F9205" s="3" t="str">
        <f>IFERROR(__xludf.DUMMYFUNCTION("""COMPUTED_VALUE"""),"brenda@dekeyser.ca")</f>
        <v>brenda@dekeyser.ca</v>
      </c>
      <c r="G9205" s="3">
        <f>IFERROR(__xludf.DUMMYFUNCTION("""COMPUTED_VALUE"""),9.053760598E9)</f>
        <v>9053760598</v>
      </c>
      <c r="H9205" s="3"/>
    </row>
    <row r="9206">
      <c r="A9206" s="2">
        <f>IFERROR(__xludf.DUMMYFUNCTION("""COMPUTED_VALUE"""),31420.0)</f>
        <v>31420</v>
      </c>
      <c r="B9206" s="3" t="str">
        <f>IFERROR(__xludf.DUMMYFUNCTION("""COMPUTED_VALUE"""),"1882 TELEPHONE RD ")</f>
        <v>1882 TELEPHONE RD </v>
      </c>
      <c r="C9206" s="3" t="str">
        <f>IFERROR(__xludf.DUMMYFUNCTION("""COMPUTED_VALUE"""),"COLBORNE")</f>
        <v>COLBORNE</v>
      </c>
      <c r="D9206" s="3" t="str">
        <f>IFERROR(__xludf.DUMMYFUNCTION("""COMPUTED_VALUE"""),"K0K 1S0")</f>
        <v>K0K 1S0</v>
      </c>
      <c r="E9206" s="3"/>
      <c r="F9206" s="3"/>
      <c r="G9206" s="3"/>
      <c r="H9206" s="3"/>
    </row>
    <row r="9207">
      <c r="A9207" s="2">
        <f>IFERROR(__xludf.DUMMYFUNCTION("""COMPUTED_VALUE"""),31421.0)</f>
        <v>31421</v>
      </c>
      <c r="B9207" s="3" t="str">
        <f>IFERROR(__xludf.DUMMYFUNCTION("""COMPUTED_VALUE"""),"1925 TELEPHONE RD ")</f>
        <v>1925 TELEPHONE RD </v>
      </c>
      <c r="C9207" s="3" t="str">
        <f>IFERROR(__xludf.DUMMYFUNCTION("""COMPUTED_VALUE"""),"COLBORNE")</f>
        <v>COLBORNE</v>
      </c>
      <c r="D9207" s="3" t="str">
        <f>IFERROR(__xludf.DUMMYFUNCTION("""COMPUTED_VALUE"""),"K0K 1S0")</f>
        <v>K0K 1S0</v>
      </c>
      <c r="E9207" s="3"/>
      <c r="F9207" s="3"/>
      <c r="G9207" s="3"/>
      <c r="H9207" s="3"/>
    </row>
    <row r="9208">
      <c r="A9208" s="2">
        <f>IFERROR(__xludf.DUMMYFUNCTION("""COMPUTED_VALUE"""),31422.0)</f>
        <v>31422</v>
      </c>
      <c r="B9208" s="3" t="str">
        <f>IFERROR(__xludf.DUMMYFUNCTION("""COMPUTED_VALUE"""),"1955 TELEPHONE RD ")</f>
        <v>1955 TELEPHONE RD </v>
      </c>
      <c r="C9208" s="3" t="str">
        <f>IFERROR(__xludf.DUMMYFUNCTION("""COMPUTED_VALUE"""),"COLBORNE")</f>
        <v>COLBORNE</v>
      </c>
      <c r="D9208" s="3" t="str">
        <f>IFERROR(__xludf.DUMMYFUNCTION("""COMPUTED_VALUE"""),"K0K 1S0")</f>
        <v>K0K 1S0</v>
      </c>
      <c r="E9208" s="3" t="str">
        <f>IFERROR(__xludf.DUMMYFUNCTION("""COMPUTED_VALUE"""),"Rosemary Taylor")</f>
        <v>Rosemary Taylor</v>
      </c>
      <c r="F9208" s="3" t="str">
        <f>IFERROR(__xludf.DUMMYFUNCTION("""COMPUTED_VALUE"""),"N/A")</f>
        <v>N/A</v>
      </c>
      <c r="G9208" s="3">
        <f>IFERROR(__xludf.DUMMYFUNCTION("""COMPUTED_VALUE"""),9.053555311E9)</f>
        <v>9053555311</v>
      </c>
      <c r="H9208" s="3">
        <f>IFERROR(__xludf.DUMMYFUNCTION("""COMPUTED_VALUE"""),9.053733144E9)</f>
        <v>9053733144</v>
      </c>
    </row>
    <row r="9209">
      <c r="A9209" s="2">
        <f>IFERROR(__xludf.DUMMYFUNCTION("""COMPUTED_VALUE"""),31423.0)</f>
        <v>31423</v>
      </c>
      <c r="B9209" s="3" t="str">
        <f>IFERROR(__xludf.DUMMYFUNCTION("""COMPUTED_VALUE"""),"12754 TELEPHONE RD ")</f>
        <v>12754 TELEPHONE RD </v>
      </c>
      <c r="C9209" s="3" t="str">
        <f>IFERROR(__xludf.DUMMYFUNCTION("""COMPUTED_VALUE"""),"COLBORNE")</f>
        <v>COLBORNE</v>
      </c>
      <c r="D9209" s="3" t="str">
        <f>IFERROR(__xludf.DUMMYFUNCTION("""COMPUTED_VALUE"""),"K0K 1S0")</f>
        <v>K0K 1S0</v>
      </c>
      <c r="E9209" s="3" t="str">
        <f>IFERROR(__xludf.DUMMYFUNCTION("""COMPUTED_VALUE"""),"Nadine J. Mooney")</f>
        <v>Nadine J. Mooney</v>
      </c>
      <c r="F9209" s="3" t="str">
        <f>IFERROR(__xludf.DUMMYFUNCTION("""COMPUTED_VALUE"""),"N/A")</f>
        <v>N/A</v>
      </c>
      <c r="G9209" s="3">
        <f>IFERROR(__xludf.DUMMYFUNCTION("""COMPUTED_VALUE"""),9.05355337E9)</f>
        <v>9053553370</v>
      </c>
      <c r="H9209" s="3"/>
    </row>
    <row r="9210">
      <c r="A9210" s="2">
        <f>IFERROR(__xludf.DUMMYFUNCTION("""COMPUTED_VALUE"""),31424.0)</f>
        <v>31424</v>
      </c>
      <c r="B9210" s="3" t="str">
        <f>IFERROR(__xludf.DUMMYFUNCTION("""COMPUTED_VALUE"""),"12784 TELEPHONE RD ")</f>
        <v>12784 TELEPHONE RD </v>
      </c>
      <c r="C9210" s="3" t="str">
        <f>IFERROR(__xludf.DUMMYFUNCTION("""COMPUTED_VALUE"""),"COLBORNE")</f>
        <v>COLBORNE</v>
      </c>
      <c r="D9210" s="3" t="str">
        <f>IFERROR(__xludf.DUMMYFUNCTION("""COMPUTED_VALUE"""),"K0K 1S0")</f>
        <v>K0K 1S0</v>
      </c>
      <c r="E9210" s="3"/>
      <c r="F9210" s="3"/>
      <c r="G9210" s="3"/>
      <c r="H9210" s="3"/>
    </row>
    <row r="9211">
      <c r="A9211" s="2">
        <f>IFERROR(__xludf.DUMMYFUNCTION("""COMPUTED_VALUE"""),31425.0)</f>
        <v>31425</v>
      </c>
      <c r="B9211" s="3" t="str">
        <f>IFERROR(__xludf.DUMMYFUNCTION("""COMPUTED_VALUE"""),"12789 TELEPHONE RD ")</f>
        <v>12789 TELEPHONE RD </v>
      </c>
      <c r="C9211" s="3" t="str">
        <f>IFERROR(__xludf.DUMMYFUNCTION("""COMPUTED_VALUE"""),"COLBORNE")</f>
        <v>COLBORNE</v>
      </c>
      <c r="D9211" s="3" t="str">
        <f>IFERROR(__xludf.DUMMYFUNCTION("""COMPUTED_VALUE"""),"K0K 1S0")</f>
        <v>K0K 1S0</v>
      </c>
      <c r="E9211" s="3" t="str">
        <f>IFERROR(__xludf.DUMMYFUNCTION("""COMPUTED_VALUE"""),"Murray Davey")</f>
        <v>Murray Davey</v>
      </c>
      <c r="F9211" s="3" t="str">
        <f>IFERROR(__xludf.DUMMYFUNCTION("""COMPUTED_VALUE"""),"N/A")</f>
        <v>N/A</v>
      </c>
      <c r="G9211" s="3">
        <f>IFERROR(__xludf.DUMMYFUNCTION("""COMPUTED_VALUE"""),9.053555814E9)</f>
        <v>9053555814</v>
      </c>
      <c r="H9211" s="3"/>
    </row>
    <row r="9212">
      <c r="A9212" s="2">
        <f>IFERROR(__xludf.DUMMYFUNCTION("""COMPUTED_VALUE"""),31426.0)</f>
        <v>31426</v>
      </c>
      <c r="B9212" s="3" t="str">
        <f>IFERROR(__xludf.DUMMYFUNCTION("""COMPUTED_VALUE"""),"12809 TELEPHONE RD ")</f>
        <v>12809 TELEPHONE RD </v>
      </c>
      <c r="C9212" s="3" t="str">
        <f>IFERROR(__xludf.DUMMYFUNCTION("""COMPUTED_VALUE"""),"COLBORNE")</f>
        <v>COLBORNE</v>
      </c>
      <c r="D9212" s="3" t="str">
        <f>IFERROR(__xludf.DUMMYFUNCTION("""COMPUTED_VALUE"""),"K0K 1S0")</f>
        <v>K0K 1S0</v>
      </c>
      <c r="E9212" s="3" t="str">
        <f>IFERROR(__xludf.DUMMYFUNCTION("""COMPUTED_VALUE"""),"Kyle Arthur")</f>
        <v>Kyle Arthur</v>
      </c>
      <c r="F9212" s="3" t="str">
        <f>IFERROR(__xludf.DUMMYFUNCTION("""COMPUTED_VALUE"""),"N/A")</f>
        <v>N/A</v>
      </c>
      <c r="G9212" s="3">
        <f>IFERROR(__xludf.DUMMYFUNCTION("""COMPUTED_VALUE"""),9.053553328E9)</f>
        <v>9053553328</v>
      </c>
      <c r="H9212" s="3"/>
    </row>
    <row r="9213">
      <c r="A9213" s="2">
        <f>IFERROR(__xludf.DUMMYFUNCTION("""COMPUTED_VALUE"""),31427.0)</f>
        <v>31427</v>
      </c>
      <c r="B9213" s="3" t="str">
        <f>IFERROR(__xludf.DUMMYFUNCTION("""COMPUTED_VALUE"""),"12869 TELEPHONE RD ")</f>
        <v>12869 TELEPHONE RD </v>
      </c>
      <c r="C9213" s="3" t="str">
        <f>IFERROR(__xludf.DUMMYFUNCTION("""COMPUTED_VALUE"""),"COLBORNE")</f>
        <v>COLBORNE</v>
      </c>
      <c r="D9213" s="3" t="str">
        <f>IFERROR(__xludf.DUMMYFUNCTION("""COMPUTED_VALUE"""),"K0K 1S0")</f>
        <v>K0K 1S0</v>
      </c>
      <c r="E9213" s="3" t="str">
        <f>IFERROR(__xludf.DUMMYFUNCTION("""COMPUTED_VALUE"""),"Mark McNair")</f>
        <v>Mark McNair</v>
      </c>
      <c r="F9213" s="3" t="str">
        <f>IFERROR(__xludf.DUMMYFUNCTION("""COMPUTED_VALUE"""),"mmcnair2@hotmail.com")</f>
        <v>mmcnair2@hotmail.com</v>
      </c>
      <c r="G9213" s="3">
        <f>IFERROR(__xludf.DUMMYFUNCTION("""COMPUTED_VALUE"""),6.134830267E9)</f>
        <v>6134830267</v>
      </c>
      <c r="H9213" s="3">
        <f>IFERROR(__xludf.DUMMYFUNCTION("""COMPUTED_VALUE"""),2.892517489E9)</f>
        <v>2892517489</v>
      </c>
    </row>
    <row r="9214">
      <c r="A9214" s="2">
        <f>IFERROR(__xludf.DUMMYFUNCTION("""COMPUTED_VALUE"""),31428.0)</f>
        <v>31428</v>
      </c>
      <c r="B9214" s="3" t="str">
        <f>IFERROR(__xludf.DUMMYFUNCTION("""COMPUTED_VALUE"""),"12887 TELEPHONE RD ")</f>
        <v>12887 TELEPHONE RD </v>
      </c>
      <c r="C9214" s="3" t="str">
        <f>IFERROR(__xludf.DUMMYFUNCTION("""COMPUTED_VALUE"""),"COLBORNE")</f>
        <v>COLBORNE</v>
      </c>
      <c r="D9214" s="3" t="str">
        <f>IFERROR(__xludf.DUMMYFUNCTION("""COMPUTED_VALUE"""),"K0K 1S0")</f>
        <v>K0K 1S0</v>
      </c>
      <c r="E9214" s="3" t="str">
        <f>IFERROR(__xludf.DUMMYFUNCTION("""COMPUTED_VALUE"""),"Peter Penachio")</f>
        <v>Peter Penachio</v>
      </c>
      <c r="F9214" s="3" t="str">
        <f>IFERROR(__xludf.DUMMYFUNCTION("""COMPUTED_VALUE"""),"penachiopeter@gmail.com")</f>
        <v>penachiopeter@gmail.com</v>
      </c>
      <c r="G9214" s="3"/>
      <c r="H9214" s="3"/>
    </row>
    <row r="9215">
      <c r="A9215" s="2">
        <f>IFERROR(__xludf.DUMMYFUNCTION("""COMPUTED_VALUE"""),31429.0)</f>
        <v>31429</v>
      </c>
      <c r="B9215" s="3" t="str">
        <f>IFERROR(__xludf.DUMMYFUNCTION("""COMPUTED_VALUE"""),"12944 TELEPHONE RD ")</f>
        <v>12944 TELEPHONE RD </v>
      </c>
      <c r="C9215" s="3" t="str">
        <f>IFERROR(__xludf.DUMMYFUNCTION("""COMPUTED_VALUE"""),"COLBORNE")</f>
        <v>COLBORNE</v>
      </c>
      <c r="D9215" s="3" t="str">
        <f>IFERROR(__xludf.DUMMYFUNCTION("""COMPUTED_VALUE"""),"K0K 1S0")</f>
        <v>K0K 1S0</v>
      </c>
      <c r="E9215" s="3"/>
      <c r="F9215" s="3"/>
      <c r="G9215" s="3"/>
      <c r="H9215" s="3"/>
    </row>
    <row r="9216">
      <c r="A9216" s="2">
        <f>IFERROR(__xludf.DUMMYFUNCTION("""COMPUTED_VALUE"""),31430.0)</f>
        <v>31430</v>
      </c>
      <c r="B9216" s="3" t="str">
        <f>IFERROR(__xludf.DUMMYFUNCTION("""COMPUTED_VALUE"""),"1932-1956 TELEPHONE RD ")</f>
        <v>1932-1956 TELEPHONE RD </v>
      </c>
      <c r="C9216" s="3" t="str">
        <f>IFERROR(__xludf.DUMMYFUNCTION("""COMPUTED_VALUE"""),"COLBORNE")</f>
        <v>COLBORNE</v>
      </c>
      <c r="D9216" s="3" t="str">
        <f>IFERROR(__xludf.DUMMYFUNCTION("""COMPUTED_VALUE"""),"K0K 1S0")</f>
        <v>K0K 1S0</v>
      </c>
      <c r="E9216" s="3" t="str">
        <f>IFERROR(__xludf.DUMMYFUNCTION("""COMPUTED_VALUE"""),"Derek Dekeyser")</f>
        <v>Derek Dekeyser</v>
      </c>
      <c r="F9216" s="3" t="str">
        <f>IFERROR(__xludf.DUMMYFUNCTION("""COMPUTED_VALUE"""),"derekdekeyser@gmail.com")</f>
        <v>derekdekeyser@gmail.com</v>
      </c>
      <c r="G9216" s="3">
        <f>IFERROR(__xludf.DUMMYFUNCTION("""COMPUTED_VALUE"""),9.053754341E9)</f>
        <v>9053754341</v>
      </c>
      <c r="H9216" s="3"/>
    </row>
    <row r="9217">
      <c r="A9217" s="2">
        <f>IFERROR(__xludf.DUMMYFUNCTION("""COMPUTED_VALUE"""),31437.0)</f>
        <v>31437</v>
      </c>
      <c r="B9217" s="3" t="str">
        <f>IFERROR(__xludf.DUMMYFUNCTION("""COMPUTED_VALUE"""),"100 THOMPSON RD ")</f>
        <v>100 THOMPSON RD </v>
      </c>
      <c r="C9217" s="3" t="str">
        <f>IFERROR(__xludf.DUMMYFUNCTION("""COMPUTED_VALUE"""),"GRAFTON")</f>
        <v>GRAFTON</v>
      </c>
      <c r="D9217" s="3" t="str">
        <f>IFERROR(__xludf.DUMMYFUNCTION("""COMPUTED_VALUE"""),"K0K 2G0")</f>
        <v>K0K 2G0</v>
      </c>
      <c r="E9217" s="3"/>
      <c r="F9217" s="3"/>
      <c r="G9217" s="3"/>
      <c r="H9217" s="3"/>
    </row>
    <row r="9218">
      <c r="A9218" s="2">
        <f>IFERROR(__xludf.DUMMYFUNCTION("""COMPUTED_VALUE"""),31438.0)</f>
        <v>31438</v>
      </c>
      <c r="B9218" s="3" t="str">
        <f>IFERROR(__xludf.DUMMYFUNCTION("""COMPUTED_VALUE"""),"107 THOMPSON RD ")</f>
        <v>107 THOMPSON RD </v>
      </c>
      <c r="C9218" s="3" t="str">
        <f>IFERROR(__xludf.DUMMYFUNCTION("""COMPUTED_VALUE"""),"GRAFTON")</f>
        <v>GRAFTON</v>
      </c>
      <c r="D9218" s="3" t="str">
        <f>IFERROR(__xludf.DUMMYFUNCTION("""COMPUTED_VALUE"""),"K0K 2G0")</f>
        <v>K0K 2G0</v>
      </c>
      <c r="E9218" s="3"/>
      <c r="F9218" s="3"/>
      <c r="G9218" s="3"/>
      <c r="H9218" s="3"/>
    </row>
    <row r="9219">
      <c r="A9219" s="2">
        <f>IFERROR(__xludf.DUMMYFUNCTION("""COMPUTED_VALUE"""),31439.0)</f>
        <v>31439</v>
      </c>
      <c r="B9219" s="3" t="str">
        <f>IFERROR(__xludf.DUMMYFUNCTION("""COMPUTED_VALUE"""),"115 THOMPSON RD ")</f>
        <v>115 THOMPSON RD </v>
      </c>
      <c r="C9219" s="3" t="str">
        <f>IFERROR(__xludf.DUMMYFUNCTION("""COMPUTED_VALUE"""),"GRAFTON")</f>
        <v>GRAFTON</v>
      </c>
      <c r="D9219" s="3" t="str">
        <f>IFERROR(__xludf.DUMMYFUNCTION("""COMPUTED_VALUE"""),"K0K 2G0")</f>
        <v>K0K 2G0</v>
      </c>
      <c r="E9219" s="3" t="str">
        <f>IFERROR(__xludf.DUMMYFUNCTION("""COMPUTED_VALUE"""),"Donald Harpley")</f>
        <v>Donald Harpley</v>
      </c>
      <c r="F9219" s="3" t="str">
        <f>IFERROR(__xludf.DUMMYFUNCTION("""COMPUTED_VALUE"""),"donharpley@hotmail.com")</f>
        <v>donharpley@hotmail.com</v>
      </c>
      <c r="G9219" s="3">
        <f>IFERROR(__xludf.DUMMYFUNCTION("""COMPUTED_VALUE"""),9.053758987E9)</f>
        <v>9053758987</v>
      </c>
      <c r="H9219" s="3"/>
    </row>
    <row r="9220">
      <c r="A9220" s="2">
        <f>IFERROR(__xludf.DUMMYFUNCTION("""COMPUTED_VALUE"""),31440.0)</f>
        <v>31440</v>
      </c>
      <c r="B9220" s="3" t="str">
        <f>IFERROR(__xludf.DUMMYFUNCTION("""COMPUTED_VALUE"""),"149 THOMPSON RD ")</f>
        <v>149 THOMPSON RD </v>
      </c>
      <c r="C9220" s="3" t="str">
        <f>IFERROR(__xludf.DUMMYFUNCTION("""COMPUTED_VALUE"""),"GRAFTON")</f>
        <v>GRAFTON</v>
      </c>
      <c r="D9220" s="3" t="str">
        <f>IFERROR(__xludf.DUMMYFUNCTION("""COMPUTED_VALUE"""),"K0K 2G0")</f>
        <v>K0K 2G0</v>
      </c>
      <c r="E9220" s="3"/>
      <c r="F9220" s="3"/>
      <c r="G9220" s="3"/>
      <c r="H9220" s="3"/>
    </row>
    <row r="9221">
      <c r="A9221" s="2">
        <f>IFERROR(__xludf.DUMMYFUNCTION("""COMPUTED_VALUE"""),31441.0)</f>
        <v>31441</v>
      </c>
      <c r="B9221" s="3" t="str">
        <f>IFERROR(__xludf.DUMMYFUNCTION("""COMPUTED_VALUE"""),"213 THOMPSON RD ")</f>
        <v>213 THOMPSON RD </v>
      </c>
      <c r="C9221" s="3" t="str">
        <f>IFERROR(__xludf.DUMMYFUNCTION("""COMPUTED_VALUE"""),"GRAFTON")</f>
        <v>GRAFTON</v>
      </c>
      <c r="D9221" s="3" t="str">
        <f>IFERROR(__xludf.DUMMYFUNCTION("""COMPUTED_VALUE"""),"K0K 2G0")</f>
        <v>K0K 2G0</v>
      </c>
      <c r="E9221" s="3"/>
      <c r="F9221" s="3"/>
      <c r="G9221" s="3"/>
      <c r="H9221" s="3"/>
    </row>
    <row r="9222">
      <c r="A9222" s="2">
        <f>IFERROR(__xludf.DUMMYFUNCTION("""COMPUTED_VALUE"""),31446.0)</f>
        <v>31446</v>
      </c>
      <c r="B9222" s="3" t="str">
        <f>IFERROR(__xludf.DUMMYFUNCTION("""COMPUTED_VALUE"""),"377 TOBACCO RD ")</f>
        <v>377 TOBACCO RD </v>
      </c>
      <c r="C9222" s="3" t="str">
        <f>IFERROR(__xludf.DUMMYFUNCTION("""COMPUTED_VALUE"""),"CASTLETON")</f>
        <v>CASTLETON</v>
      </c>
      <c r="D9222" s="3" t="str">
        <f>IFERROR(__xludf.DUMMYFUNCTION("""COMPUTED_VALUE"""),"K0K 1M0")</f>
        <v>K0K 1M0</v>
      </c>
      <c r="E9222" s="3" t="str">
        <f>IFERROR(__xludf.DUMMYFUNCTION("""COMPUTED_VALUE"""),"Cathy Gill")</f>
        <v>Cathy Gill</v>
      </c>
      <c r="F9222" s="3" t="str">
        <f>IFERROR(__xludf.DUMMYFUNCTION("""COMPUTED_VALUE"""),"cathy.gill1@hotmail.com")</f>
        <v>cathy.gill1@hotmail.com</v>
      </c>
      <c r="G9222" s="3">
        <f>IFERROR(__xludf.DUMMYFUNCTION("""COMPUTED_VALUE"""),9.053947504E9)</f>
        <v>9053947504</v>
      </c>
      <c r="H9222" s="3"/>
    </row>
    <row r="9223">
      <c r="A9223" s="2">
        <f>IFERROR(__xludf.DUMMYFUNCTION("""COMPUTED_VALUE"""),31447.0)</f>
        <v>31447</v>
      </c>
      <c r="B9223" s="3" t="str">
        <f>IFERROR(__xludf.DUMMYFUNCTION("""COMPUTED_VALUE"""),"404 TOBACCO RD ")</f>
        <v>404 TOBACCO RD </v>
      </c>
      <c r="C9223" s="3" t="str">
        <f>IFERROR(__xludf.DUMMYFUNCTION("""COMPUTED_VALUE"""),"CASTLETON")</f>
        <v>CASTLETON</v>
      </c>
      <c r="D9223" s="3" t="str">
        <f>IFERROR(__xludf.DUMMYFUNCTION("""COMPUTED_VALUE"""),"K0K 1M0")</f>
        <v>K0K 1M0</v>
      </c>
      <c r="E9223" s="3" t="str">
        <f>IFERROR(__xludf.DUMMYFUNCTION("""COMPUTED_VALUE"""),"Wayne Sippola")</f>
        <v>Wayne Sippola</v>
      </c>
      <c r="F9223" s="3" t="str">
        <f>IFERROR(__xludf.DUMMYFUNCTION("""COMPUTED_VALUE"""),"wwsippola@gmail.com")</f>
        <v>wwsippola@gmail.com</v>
      </c>
      <c r="G9223" s="3">
        <f>IFERROR(__xludf.DUMMYFUNCTION("""COMPUTED_VALUE"""),6.132425333E9)</f>
        <v>6132425333</v>
      </c>
      <c r="H9223" s="3"/>
    </row>
    <row r="9224">
      <c r="A9224" s="2">
        <f>IFERROR(__xludf.DUMMYFUNCTION("""COMPUTED_VALUE"""),31448.0)</f>
        <v>31448</v>
      </c>
      <c r="B9224" s="3" t="str">
        <f>IFERROR(__xludf.DUMMYFUNCTION("""COMPUTED_VALUE"""),"430 TOBACCO RD ")</f>
        <v>430 TOBACCO RD </v>
      </c>
      <c r="C9224" s="3" t="str">
        <f>IFERROR(__xludf.DUMMYFUNCTION("""COMPUTED_VALUE"""),"CASTLETON")</f>
        <v>CASTLETON</v>
      </c>
      <c r="D9224" s="3" t="str">
        <f>IFERROR(__xludf.DUMMYFUNCTION("""COMPUTED_VALUE"""),"K0K 1M0")</f>
        <v>K0K 1M0</v>
      </c>
      <c r="E9224" s="3" t="str">
        <f>IFERROR(__xludf.DUMMYFUNCTION("""COMPUTED_VALUE"""),"Akhil Amalolbhavan")</f>
        <v>Akhil Amalolbhavan</v>
      </c>
      <c r="F9224" s="3" t="str">
        <f>IFERROR(__xludf.DUMMYFUNCTION("""COMPUTED_VALUE"""),"akhil.a150392@gmail.com")</f>
        <v>akhil.a150392@gmail.com</v>
      </c>
      <c r="G9224" s="3">
        <f>IFERROR(__xludf.DUMMYFUNCTION("""COMPUTED_VALUE"""),4.37332888E9)</f>
        <v>4373328880</v>
      </c>
      <c r="H9224" s="3">
        <f>IFERROR(__xludf.DUMMYFUNCTION("""COMPUTED_VALUE"""),6.476076285E9)</f>
        <v>6476076285</v>
      </c>
    </row>
    <row r="9225">
      <c r="A9225" s="2">
        <f>IFERROR(__xludf.DUMMYFUNCTION("""COMPUTED_VALUE"""),31449.0)</f>
        <v>31449</v>
      </c>
      <c r="B9225" s="3" t="str">
        <f>IFERROR(__xludf.DUMMYFUNCTION("""COMPUTED_VALUE"""),"432 TOBACCO RD ")</f>
        <v>432 TOBACCO RD </v>
      </c>
      <c r="C9225" s="3" t="str">
        <f>IFERROR(__xludf.DUMMYFUNCTION("""COMPUTED_VALUE"""),"CASTLETON")</f>
        <v>CASTLETON</v>
      </c>
      <c r="D9225" s="3" t="str">
        <f>IFERROR(__xludf.DUMMYFUNCTION("""COMPUTED_VALUE"""),"K0K 1M0")</f>
        <v>K0K 1M0</v>
      </c>
      <c r="E9225" s="3" t="str">
        <f>IFERROR(__xludf.DUMMYFUNCTION("""COMPUTED_VALUE"""),"Koren Abbott")</f>
        <v>Koren Abbott</v>
      </c>
      <c r="F9225" s="3" t="str">
        <f>IFERROR(__xludf.DUMMYFUNCTION("""COMPUTED_VALUE"""),"maincheese13@gmail.com")</f>
        <v>maincheese13@gmail.com</v>
      </c>
      <c r="G9225" s="3">
        <f>IFERROR(__xludf.DUMMYFUNCTION("""COMPUTED_VALUE"""),9.434030075E9)</f>
        <v>9434030075</v>
      </c>
      <c r="H9225" s="3"/>
    </row>
    <row r="9226">
      <c r="A9226" s="2">
        <f>IFERROR(__xludf.DUMMYFUNCTION("""COMPUTED_VALUE"""),31450.0)</f>
        <v>31450</v>
      </c>
      <c r="B9226" s="3" t="str">
        <f>IFERROR(__xludf.DUMMYFUNCTION("""COMPUTED_VALUE"""),"446 TOBACCO RD ")</f>
        <v>446 TOBACCO RD </v>
      </c>
      <c r="C9226" s="3" t="str">
        <f>IFERROR(__xludf.DUMMYFUNCTION("""COMPUTED_VALUE"""),"CASTLETON")</f>
        <v>CASTLETON</v>
      </c>
      <c r="D9226" s="3" t="str">
        <f>IFERROR(__xludf.DUMMYFUNCTION("""COMPUTED_VALUE"""),"K0K 1M0")</f>
        <v>K0K 1M0</v>
      </c>
      <c r="E9226" s="3" t="str">
        <f>IFERROR(__xludf.DUMMYFUNCTION("""COMPUTED_VALUE"""),"Joe Melko")</f>
        <v>Joe Melko</v>
      </c>
      <c r="F9226" s="3" t="str">
        <f>IFERROR(__xludf.DUMMYFUNCTION("""COMPUTED_VALUE"""),"N/A")</f>
        <v>N/A</v>
      </c>
      <c r="G9226" s="3"/>
      <c r="H9226" s="3"/>
    </row>
    <row r="9227">
      <c r="A9227" s="2">
        <f>IFERROR(__xludf.DUMMYFUNCTION("""COMPUTED_VALUE"""),31451.0)</f>
        <v>31451</v>
      </c>
      <c r="B9227" s="3" t="str">
        <f>IFERROR(__xludf.DUMMYFUNCTION("""COMPUTED_VALUE"""),"515 TOBACCO RD ")</f>
        <v>515 TOBACCO RD </v>
      </c>
      <c r="C9227" s="3" t="str">
        <f>IFERROR(__xludf.DUMMYFUNCTION("""COMPUTED_VALUE"""),"CASTLETON")</f>
        <v>CASTLETON</v>
      </c>
      <c r="D9227" s="3" t="str">
        <f>IFERROR(__xludf.DUMMYFUNCTION("""COMPUTED_VALUE"""),"K0K 1M0")</f>
        <v>K0K 1M0</v>
      </c>
      <c r="E9227" s="3" t="str">
        <f>IFERROR(__xludf.DUMMYFUNCTION("""COMPUTED_VALUE"""),"Tara Dekeyser ")</f>
        <v>Tara Dekeyser </v>
      </c>
      <c r="F9227" s="3" t="str">
        <f>IFERROR(__xludf.DUMMYFUNCTION("""COMPUTED_VALUE"""),"tcw1978@gmail.com")</f>
        <v>tcw1978@gmail.com</v>
      </c>
      <c r="G9227" s="3"/>
      <c r="H9227" s="3"/>
    </row>
    <row r="9228">
      <c r="A9228" s="2">
        <f>IFERROR(__xludf.DUMMYFUNCTION("""COMPUTED_VALUE"""),31452.0)</f>
        <v>31452</v>
      </c>
      <c r="B9228" s="3" t="str">
        <f>IFERROR(__xludf.DUMMYFUNCTION("""COMPUTED_VALUE"""),"656 TOBACCO RD ")</f>
        <v>656 TOBACCO RD </v>
      </c>
      <c r="C9228" s="3" t="str">
        <f>IFERROR(__xludf.DUMMYFUNCTION("""COMPUTED_VALUE"""),"CASTLETON")</f>
        <v>CASTLETON</v>
      </c>
      <c r="D9228" s="3" t="str">
        <f>IFERROR(__xludf.DUMMYFUNCTION("""COMPUTED_VALUE"""),"K0K 1M0")</f>
        <v>K0K 1M0</v>
      </c>
      <c r="E9228" s="3" t="str">
        <f>IFERROR(__xludf.DUMMYFUNCTION("""COMPUTED_VALUE"""),"NATHAN SHUTT")</f>
        <v>NATHAN SHUTT</v>
      </c>
      <c r="F9228" s="3" t="str">
        <f>IFERROR(__xludf.DUMMYFUNCTION("""COMPUTED_VALUE"""),"n_shutt@live.ca")</f>
        <v>n_shutt@live.ca</v>
      </c>
      <c r="G9228" s="3"/>
      <c r="H9228" s="3"/>
    </row>
    <row r="9229">
      <c r="A9229" s="2">
        <f>IFERROR(__xludf.DUMMYFUNCTION("""COMPUTED_VALUE"""),31453.0)</f>
        <v>31453</v>
      </c>
      <c r="B9229" s="3" t="str">
        <f>IFERROR(__xludf.DUMMYFUNCTION("""COMPUTED_VALUE"""),"664 TOBACCO RD ")</f>
        <v>664 TOBACCO RD </v>
      </c>
      <c r="C9229" s="3" t="str">
        <f>IFERROR(__xludf.DUMMYFUNCTION("""COMPUTED_VALUE"""),"CASTLETON")</f>
        <v>CASTLETON</v>
      </c>
      <c r="D9229" s="3" t="str">
        <f>IFERROR(__xludf.DUMMYFUNCTION("""COMPUTED_VALUE"""),"K0K 1M0")</f>
        <v>K0K 1M0</v>
      </c>
      <c r="E9229" s="3" t="str">
        <f>IFERROR(__xludf.DUMMYFUNCTION("""COMPUTED_VALUE"""),"Ginette &amp; Gary Campbell")</f>
        <v>Ginette &amp; Gary Campbell</v>
      </c>
      <c r="F9229" s="3" t="str">
        <f>IFERROR(__xludf.DUMMYFUNCTION("""COMPUTED_VALUE"""),"ginettecampbell@hotmail.com")</f>
        <v>ginettecampbell@hotmail.com</v>
      </c>
      <c r="G9229" s="3">
        <f>IFERROR(__xludf.DUMMYFUNCTION("""COMPUTED_VALUE"""),9.057063535E9)</f>
        <v>9057063535</v>
      </c>
      <c r="H9229" s="3">
        <f>IFERROR(__xludf.DUMMYFUNCTION("""COMPUTED_VALUE"""),9.054270939E9)</f>
        <v>9054270939</v>
      </c>
    </row>
    <row r="9230">
      <c r="A9230" s="2">
        <f>IFERROR(__xludf.DUMMYFUNCTION("""COMPUTED_VALUE"""),31454.0)</f>
        <v>31454</v>
      </c>
      <c r="B9230" s="3" t="str">
        <f>IFERROR(__xludf.DUMMYFUNCTION("""COMPUTED_VALUE"""),"672 TOBACCO RD ")</f>
        <v>672 TOBACCO RD </v>
      </c>
      <c r="C9230" s="3" t="str">
        <f>IFERROR(__xludf.DUMMYFUNCTION("""COMPUTED_VALUE"""),"CASTLETON")</f>
        <v>CASTLETON</v>
      </c>
      <c r="D9230" s="3" t="str">
        <f>IFERROR(__xludf.DUMMYFUNCTION("""COMPUTED_VALUE"""),"K0K 1M0")</f>
        <v>K0K 1M0</v>
      </c>
      <c r="E9230" s="3" t="str">
        <f>IFERROR(__xludf.DUMMYFUNCTION("""COMPUTED_VALUE"""),"Kathy&amp; Peter Kazmer")</f>
        <v>Kathy&amp; Peter Kazmer</v>
      </c>
      <c r="F9230" s="3" t="str">
        <f>IFERROR(__xludf.DUMMYFUNCTION("""COMPUTED_VALUE"""),"kathykazmer647@gmail.com")</f>
        <v>kathykazmer647@gmail.com</v>
      </c>
      <c r="G9230" s="3">
        <f>IFERROR(__xludf.DUMMYFUNCTION("""COMPUTED_VALUE"""),9.052697749E9)</f>
        <v>9052697749</v>
      </c>
      <c r="H9230" s="3">
        <f>IFERROR(__xludf.DUMMYFUNCTION("""COMPUTED_VALUE"""),9.05269028E9)</f>
        <v>9052690280</v>
      </c>
    </row>
    <row r="9231">
      <c r="A9231" s="2">
        <f>IFERROR(__xludf.DUMMYFUNCTION("""COMPUTED_VALUE"""),31455.0)</f>
        <v>31455</v>
      </c>
      <c r="B9231" s="3" t="str">
        <f>IFERROR(__xludf.DUMMYFUNCTION("""COMPUTED_VALUE"""),"680 TOBACCO RD ")</f>
        <v>680 TOBACCO RD </v>
      </c>
      <c r="C9231" s="3" t="str">
        <f>IFERROR(__xludf.DUMMYFUNCTION("""COMPUTED_VALUE"""),"CASTLETON")</f>
        <v>CASTLETON</v>
      </c>
      <c r="D9231" s="3" t="str">
        <f>IFERROR(__xludf.DUMMYFUNCTION("""COMPUTED_VALUE"""),"K0K 1M0")</f>
        <v>K0K 1M0</v>
      </c>
      <c r="E9231" s="3" t="str">
        <f>IFERROR(__xludf.DUMMYFUNCTION("""COMPUTED_VALUE"""),"Mary Jane Corradetti")</f>
        <v>Mary Jane Corradetti</v>
      </c>
      <c r="F9231" s="3" t="str">
        <f>IFERROR(__xludf.DUMMYFUNCTION("""COMPUTED_VALUE"""),"corradettimj@gmail.com")</f>
        <v>corradettimj@gmail.com</v>
      </c>
      <c r="G9231" s="3">
        <f>IFERROR(__xludf.DUMMYFUNCTION("""COMPUTED_VALUE"""),9.054354011E9)</f>
        <v>9054354011</v>
      </c>
      <c r="H9231" s="3"/>
    </row>
    <row r="9232">
      <c r="A9232" s="2">
        <f>IFERROR(__xludf.DUMMYFUNCTION("""COMPUTED_VALUE"""),31456.0)</f>
        <v>31456</v>
      </c>
      <c r="B9232" s="3" t="str">
        <f>IFERROR(__xludf.DUMMYFUNCTION("""COMPUTED_VALUE"""),"688 TOBACCO RD ")</f>
        <v>688 TOBACCO RD </v>
      </c>
      <c r="C9232" s="3" t="str">
        <f>IFERROR(__xludf.DUMMYFUNCTION("""COMPUTED_VALUE"""),"CASTLETON")</f>
        <v>CASTLETON</v>
      </c>
      <c r="D9232" s="3" t="str">
        <f>IFERROR(__xludf.DUMMYFUNCTION("""COMPUTED_VALUE"""),"K0K 1M0")</f>
        <v>K0K 1M0</v>
      </c>
      <c r="E9232" s="3" t="str">
        <f>IFERROR(__xludf.DUMMYFUNCTION("""COMPUTED_VALUE"""),"Carla &amp; John Martorino")</f>
        <v>Carla &amp; John Martorino</v>
      </c>
      <c r="F9232" s="3" t="str">
        <f>IFERROR(__xludf.DUMMYFUNCTION("""COMPUTED_VALUE"""),"carlamartorino@gmail.com")</f>
        <v>carlamartorino@gmail.com</v>
      </c>
      <c r="G9232" s="3">
        <f>IFERROR(__xludf.DUMMYFUNCTION("""COMPUTED_VALUE"""),9.053447164E9)</f>
        <v>9053447164</v>
      </c>
      <c r="H9232" s="3"/>
    </row>
    <row r="9233">
      <c r="A9233" s="2">
        <f>IFERROR(__xludf.DUMMYFUNCTION("""COMPUTED_VALUE"""),31457.0)</f>
        <v>31457</v>
      </c>
      <c r="B9233" s="3" t="str">
        <f>IFERROR(__xludf.DUMMYFUNCTION("""COMPUTED_VALUE"""),"715 TOBACCO RD ")</f>
        <v>715 TOBACCO RD </v>
      </c>
      <c r="C9233" s="3" t="str">
        <f>IFERROR(__xludf.DUMMYFUNCTION("""COMPUTED_VALUE"""),"CASTLETON")</f>
        <v>CASTLETON</v>
      </c>
      <c r="D9233" s="3" t="str">
        <f>IFERROR(__xludf.DUMMYFUNCTION("""COMPUTED_VALUE"""),"K0K 1M0")</f>
        <v>K0K 1M0</v>
      </c>
      <c r="E9233" s="3" t="str">
        <f>IFERROR(__xludf.DUMMYFUNCTION("""COMPUTED_VALUE"""),"Mario Meekes")</f>
        <v>Mario Meekes</v>
      </c>
      <c r="F9233" s="3" t="str">
        <f>IFERROR(__xludf.DUMMYFUNCTION("""COMPUTED_VALUE"""),"mrmeekes@gmail.com")</f>
        <v>mrmeekes@gmail.com</v>
      </c>
      <c r="G9233" s="3">
        <f>IFERROR(__xludf.DUMMYFUNCTION("""COMPUTED_VALUE"""),9.052690485E9)</f>
        <v>9052690485</v>
      </c>
      <c r="H9233" s="3"/>
    </row>
    <row r="9234">
      <c r="A9234" s="2">
        <f>IFERROR(__xludf.DUMMYFUNCTION("""COMPUTED_VALUE"""),31458.0)</f>
        <v>31458</v>
      </c>
      <c r="B9234" s="3" t="str">
        <f>IFERROR(__xludf.DUMMYFUNCTION("""COMPUTED_VALUE"""),"755 TOBACCO RD ")</f>
        <v>755 TOBACCO RD </v>
      </c>
      <c r="C9234" s="3" t="str">
        <f>IFERROR(__xludf.DUMMYFUNCTION("""COMPUTED_VALUE"""),"CASTLETON")</f>
        <v>CASTLETON</v>
      </c>
      <c r="D9234" s="3" t="str">
        <f>IFERROR(__xludf.DUMMYFUNCTION("""COMPUTED_VALUE"""),"K0K 1M0")</f>
        <v>K0K 1M0</v>
      </c>
      <c r="E9234" s="3" t="str">
        <f>IFERROR(__xludf.DUMMYFUNCTION("""COMPUTED_VALUE"""),"Jane Rhebergen")</f>
        <v>Jane Rhebergen</v>
      </c>
      <c r="F9234" s="3" t="str">
        <f>IFERROR(__xludf.DUMMYFUNCTION("""COMPUTED_VALUE"""),"jane.rhergen@icloud.com")</f>
        <v>jane.rhergen@icloud.com</v>
      </c>
      <c r="G9234" s="3">
        <f>IFERROR(__xludf.DUMMYFUNCTION("""COMPUTED_VALUE"""),6.134753076E9)</f>
        <v>6134753076</v>
      </c>
      <c r="H9234" s="3"/>
    </row>
    <row r="9235">
      <c r="A9235" s="2">
        <f>IFERROR(__xludf.DUMMYFUNCTION("""COMPUTED_VALUE"""),31460.0)</f>
        <v>31460</v>
      </c>
      <c r="B9235" s="3" t="str">
        <f>IFERROR(__xludf.DUMMYFUNCTION("""COMPUTED_VALUE"""),"120 TRANQUILITY LANE ")</f>
        <v>120 TRANQUILITY LANE </v>
      </c>
      <c r="C9235" s="3" t="str">
        <f>IFERROR(__xludf.DUMMYFUNCTION("""COMPUTED_VALUE"""),"ROSENEATH")</f>
        <v>ROSENEATH</v>
      </c>
      <c r="D9235" s="3" t="str">
        <f>IFERROR(__xludf.DUMMYFUNCTION("""COMPUTED_VALUE"""),"K0K 2X0")</f>
        <v>K0K 2X0</v>
      </c>
      <c r="E9235" s="3" t="str">
        <f>IFERROR(__xludf.DUMMYFUNCTION("""COMPUTED_VALUE"""),"Bob JP Giampieri")</f>
        <v>Bob JP Giampieri</v>
      </c>
      <c r="F9235" s="3" t="str">
        <f>IFERROR(__xludf.DUMMYFUNCTION("""COMPUTED_VALUE"""),"bobgee120@gmail.com")</f>
        <v>bobgee120@gmail.com</v>
      </c>
      <c r="G9235" s="3">
        <f>IFERROR(__xludf.DUMMYFUNCTION("""COMPUTED_VALUE"""),9.053523217E9)</f>
        <v>9053523217</v>
      </c>
      <c r="H9235" s="3"/>
    </row>
    <row r="9236">
      <c r="A9236" s="2">
        <f>IFERROR(__xludf.DUMMYFUNCTION("""COMPUTED_VALUE"""),31461.0)</f>
        <v>31461</v>
      </c>
      <c r="B9236" s="3" t="str">
        <f>IFERROR(__xludf.DUMMYFUNCTION("""COMPUTED_VALUE"""),"133 TRANQUILITY LANE ")</f>
        <v>133 TRANQUILITY LANE </v>
      </c>
      <c r="C9236" s="3" t="str">
        <f>IFERROR(__xludf.DUMMYFUNCTION("""COMPUTED_VALUE"""),"ROSENEATH")</f>
        <v>ROSENEATH</v>
      </c>
      <c r="D9236" s="3" t="str">
        <f>IFERROR(__xludf.DUMMYFUNCTION("""COMPUTED_VALUE"""),"K0K 2X0")</f>
        <v>K0K 2X0</v>
      </c>
      <c r="E9236" s="3" t="str">
        <f>IFERROR(__xludf.DUMMYFUNCTION("""COMPUTED_VALUE"""),"Jake Ruow")</f>
        <v>Jake Ruow</v>
      </c>
      <c r="F9236" s="3" t="str">
        <f>IFERROR(__xludf.DUMMYFUNCTION("""COMPUTED_VALUE"""),"jakeruow@hotmail.com")</f>
        <v>jakeruow@hotmail.com</v>
      </c>
      <c r="G9236" s="3"/>
      <c r="H9236" s="3"/>
    </row>
    <row r="9237">
      <c r="A9237" s="2">
        <f>IFERROR(__xludf.DUMMYFUNCTION("""COMPUTED_VALUE"""),31462.0)</f>
        <v>31462</v>
      </c>
      <c r="B9237" s="3" t="str">
        <f>IFERROR(__xludf.DUMMYFUNCTION("""COMPUTED_VALUE"""),"108 TUCKER RD ")</f>
        <v>108 TUCKER RD </v>
      </c>
      <c r="C9237" s="3" t="str">
        <f>IFERROR(__xludf.DUMMYFUNCTION("""COMPUTED_VALUE"""),"GRAFTON")</f>
        <v>GRAFTON</v>
      </c>
      <c r="D9237" s="3" t="str">
        <f>IFERROR(__xludf.DUMMYFUNCTION("""COMPUTED_VALUE"""),"K0K 2G0")</f>
        <v>K0K 2G0</v>
      </c>
      <c r="E9237" s="3" t="str">
        <f>IFERROR(__xludf.DUMMYFUNCTION("""COMPUTED_VALUE"""),"Kevin Fox")</f>
        <v>Kevin Fox</v>
      </c>
      <c r="F9237" s="3" t="str">
        <f>IFERROR(__xludf.DUMMYFUNCTION("""COMPUTED_VALUE"""),"kpvf218@gmail.com")</f>
        <v>kpvf218@gmail.com</v>
      </c>
      <c r="G9237" s="3"/>
      <c r="H9237" s="3"/>
    </row>
    <row r="9238">
      <c r="A9238" s="2">
        <f>IFERROR(__xludf.DUMMYFUNCTION("""COMPUTED_VALUE"""),31463.0)</f>
        <v>31463</v>
      </c>
      <c r="B9238" s="3" t="str">
        <f>IFERROR(__xludf.DUMMYFUNCTION("""COMPUTED_VALUE"""),"124 TUCKER RD ")</f>
        <v>124 TUCKER RD </v>
      </c>
      <c r="C9238" s="3" t="str">
        <f>IFERROR(__xludf.DUMMYFUNCTION("""COMPUTED_VALUE"""),"GRAFTON")</f>
        <v>GRAFTON</v>
      </c>
      <c r="D9238" s="3" t="str">
        <f>IFERROR(__xludf.DUMMYFUNCTION("""COMPUTED_VALUE"""),"K0K 2G0")</f>
        <v>K0K 2G0</v>
      </c>
      <c r="E9238" s="3" t="str">
        <f>IFERROR(__xludf.DUMMYFUNCTION("""COMPUTED_VALUE"""),"ALLAN J BROOKFIELD")</f>
        <v>ALLAN J BROOKFIELD</v>
      </c>
      <c r="F9238" s="3" t="str">
        <f>IFERROR(__xludf.DUMMYFUNCTION("""COMPUTED_VALUE"""),"albrookfield44@gmail.com")</f>
        <v>albrookfield44@gmail.com</v>
      </c>
      <c r="G9238" s="3">
        <f>IFERROR(__xludf.DUMMYFUNCTION("""COMPUTED_VALUE"""),9.052445927E9)</f>
        <v>9052445927</v>
      </c>
      <c r="H9238" s="3"/>
    </row>
    <row r="9239">
      <c r="A9239" s="2">
        <f>IFERROR(__xludf.DUMMYFUNCTION("""COMPUTED_VALUE"""),31464.0)</f>
        <v>31464</v>
      </c>
      <c r="B9239" s="3" t="str">
        <f>IFERROR(__xludf.DUMMYFUNCTION("""COMPUTED_VALUE"""),"148 TUCKER RD ")</f>
        <v>148 TUCKER RD </v>
      </c>
      <c r="C9239" s="3" t="str">
        <f>IFERROR(__xludf.DUMMYFUNCTION("""COMPUTED_VALUE"""),"GRAFTON")</f>
        <v>GRAFTON</v>
      </c>
      <c r="D9239" s="3" t="str">
        <f>IFERROR(__xludf.DUMMYFUNCTION("""COMPUTED_VALUE"""),"K0K 2G0")</f>
        <v>K0K 2G0</v>
      </c>
      <c r="E9239" s="3" t="str">
        <f>IFERROR(__xludf.DUMMYFUNCTION("""COMPUTED_VALUE"""),"Chirs Geurtsen")</f>
        <v>Chirs Geurtsen</v>
      </c>
      <c r="F9239" s="3" t="str">
        <f>IFERROR(__xludf.DUMMYFUNCTION("""COMPUTED_VALUE"""),"geurdy@hotmail.com")</f>
        <v>geurdy@hotmail.com</v>
      </c>
      <c r="G9239" s="3">
        <f>IFERROR(__xludf.DUMMYFUNCTION("""COMPUTED_VALUE"""),9.053967332E9)</f>
        <v>9053967332</v>
      </c>
      <c r="H9239" s="3">
        <f>IFERROR(__xludf.DUMMYFUNCTION("""COMPUTED_VALUE"""),9.053967331E9)</f>
        <v>9053967331</v>
      </c>
    </row>
    <row r="9240">
      <c r="A9240" s="2">
        <f>IFERROR(__xludf.DUMMYFUNCTION("""COMPUTED_VALUE"""),31465.0)</f>
        <v>31465</v>
      </c>
      <c r="B9240" s="3" t="str">
        <f>IFERROR(__xludf.DUMMYFUNCTION("""COMPUTED_VALUE"""),"158 TUCKER RD ")</f>
        <v>158 TUCKER RD </v>
      </c>
      <c r="C9240" s="3" t="str">
        <f>IFERROR(__xludf.DUMMYFUNCTION("""COMPUTED_VALUE"""),"GRAFTON")</f>
        <v>GRAFTON</v>
      </c>
      <c r="D9240" s="3" t="str">
        <f>IFERROR(__xludf.DUMMYFUNCTION("""COMPUTED_VALUE"""),"K0K 2G0")</f>
        <v>K0K 2G0</v>
      </c>
      <c r="E9240" s="3" t="str">
        <f>IFERROR(__xludf.DUMMYFUNCTION("""COMPUTED_VALUE"""),"THOMAS Vineham")</f>
        <v>THOMAS Vineham</v>
      </c>
      <c r="F9240" s="3" t="str">
        <f>IFERROR(__xludf.DUMMYFUNCTION("""COMPUTED_VALUE"""),"tvineham@xplornet.ca")</f>
        <v>tvineham@xplornet.ca</v>
      </c>
      <c r="G9240" s="3">
        <f>IFERROR(__xludf.DUMMYFUNCTION("""COMPUTED_VALUE"""),9.058003027E9)</f>
        <v>9058003027</v>
      </c>
      <c r="H9240" s="3">
        <f>IFERROR(__xludf.DUMMYFUNCTION("""COMPUTED_VALUE"""),9.053493304E9)</f>
        <v>9053493304</v>
      </c>
    </row>
    <row r="9241">
      <c r="A9241" s="2">
        <f>IFERROR(__xludf.DUMMYFUNCTION("""COMPUTED_VALUE"""),31466.0)</f>
        <v>31466</v>
      </c>
      <c r="B9241" s="3" t="str">
        <f>IFERROR(__xludf.DUMMYFUNCTION("""COMPUTED_VALUE"""),"174 TUCKER RD ")</f>
        <v>174 TUCKER RD </v>
      </c>
      <c r="C9241" s="3" t="str">
        <f>IFERROR(__xludf.DUMMYFUNCTION("""COMPUTED_VALUE"""),"GRAFTON")</f>
        <v>GRAFTON</v>
      </c>
      <c r="D9241" s="3" t="str">
        <f>IFERROR(__xludf.DUMMYFUNCTION("""COMPUTED_VALUE"""),"K0K 2G0")</f>
        <v>K0K 2G0</v>
      </c>
      <c r="E9241" s="3" t="str">
        <f>IFERROR(__xludf.DUMMYFUNCTION("""COMPUTED_VALUE"""),"Jack and Audrie Noseworthy")</f>
        <v>Jack and Audrie Noseworthy</v>
      </c>
      <c r="F9241" s="3" t="str">
        <f>IFERROR(__xludf.DUMMYFUNCTION("""COMPUTED_VALUE"""),"N/A")</f>
        <v>N/A</v>
      </c>
      <c r="G9241" s="3">
        <f>IFERROR(__xludf.DUMMYFUNCTION("""COMPUTED_VALUE"""),9.05349346E9)</f>
        <v>9053493460</v>
      </c>
      <c r="H9241" s="3"/>
    </row>
    <row r="9242">
      <c r="A9242" s="2">
        <f>IFERROR(__xludf.DUMMYFUNCTION("""COMPUTED_VALUE"""),31467.0)</f>
        <v>31467</v>
      </c>
      <c r="B9242" s="3" t="str">
        <f>IFERROR(__xludf.DUMMYFUNCTION("""COMPUTED_VALUE"""),"204 TUCKER RD ")</f>
        <v>204 TUCKER RD </v>
      </c>
      <c r="C9242" s="3" t="str">
        <f>IFERROR(__xludf.DUMMYFUNCTION("""COMPUTED_VALUE"""),"GRAFTON")</f>
        <v>GRAFTON</v>
      </c>
      <c r="D9242" s="3" t="str">
        <f>IFERROR(__xludf.DUMMYFUNCTION("""COMPUTED_VALUE"""),"K0K 2G0")</f>
        <v>K0K 2G0</v>
      </c>
      <c r="E9242" s="3" t="str">
        <f>IFERROR(__xludf.DUMMYFUNCTION("""COMPUTED_VALUE"""),"Wendy and Gary Hutchison")</f>
        <v>Wendy and Gary Hutchison</v>
      </c>
      <c r="F9242" s="3" t="str">
        <f>IFERROR(__xludf.DUMMYFUNCTION("""COMPUTED_VALUE"""),"floridakeys2486@gmail.com")</f>
        <v>floridakeys2486@gmail.com</v>
      </c>
      <c r="G9242" s="3">
        <f>IFERROR(__xludf.DUMMYFUNCTION("""COMPUTED_VALUE"""),9.053492929E9)</f>
        <v>9053492929</v>
      </c>
      <c r="H9242" s="3">
        <f>IFERROR(__xludf.DUMMYFUNCTION("""COMPUTED_VALUE"""),6.472262486E9)</f>
        <v>6472262486</v>
      </c>
    </row>
    <row r="9243">
      <c r="A9243" s="2">
        <f>IFERROR(__xludf.DUMMYFUNCTION("""COMPUTED_VALUE"""),31468.0)</f>
        <v>31468</v>
      </c>
      <c r="B9243" s="3" t="str">
        <f>IFERROR(__xludf.DUMMYFUNCTION("""COMPUTED_VALUE"""),"253 TUCKER RD ")</f>
        <v>253 TUCKER RD </v>
      </c>
      <c r="C9243" s="3" t="str">
        <f>IFERROR(__xludf.DUMMYFUNCTION("""COMPUTED_VALUE"""),"GRAFTON")</f>
        <v>GRAFTON</v>
      </c>
      <c r="D9243" s="3" t="str">
        <f>IFERROR(__xludf.DUMMYFUNCTION("""COMPUTED_VALUE"""),"K0K 2G0")</f>
        <v>K0K 2G0</v>
      </c>
      <c r="E9243" s="3" t="str">
        <f>IFERROR(__xludf.DUMMYFUNCTION("""COMPUTED_VALUE"""),"Markus De Nie")</f>
        <v>Markus De Nie</v>
      </c>
      <c r="F9243" s="3" t="str">
        <f>IFERROR(__xludf.DUMMYFUNCTION("""COMPUTED_VALUE"""),"markus@marcumba.com")</f>
        <v>markus@marcumba.com</v>
      </c>
      <c r="G9243" s="3">
        <f>IFERROR(__xludf.DUMMYFUNCTION("""COMPUTED_VALUE"""),9.053492712E9)</f>
        <v>9053492712</v>
      </c>
      <c r="H9243" s="3">
        <f>IFERROR(__xludf.DUMMYFUNCTION("""COMPUTED_VALUE"""),9.053968179E9)</f>
        <v>9053968179</v>
      </c>
    </row>
    <row r="9244">
      <c r="A9244" s="2">
        <f>IFERROR(__xludf.DUMMYFUNCTION("""COMPUTED_VALUE"""),31469.0)</f>
        <v>31469</v>
      </c>
      <c r="B9244" s="3" t="str">
        <f>IFERROR(__xludf.DUMMYFUNCTION("""COMPUTED_VALUE"""),"268 TUCKER RD ")</f>
        <v>268 TUCKER RD </v>
      </c>
      <c r="C9244" s="3" t="str">
        <f>IFERROR(__xludf.DUMMYFUNCTION("""COMPUTED_VALUE"""),"GRAFTON")</f>
        <v>GRAFTON</v>
      </c>
      <c r="D9244" s="3" t="str">
        <f>IFERROR(__xludf.DUMMYFUNCTION("""COMPUTED_VALUE"""),"K0K 2G0")</f>
        <v>K0K 2G0</v>
      </c>
      <c r="E9244" s="3" t="str">
        <f>IFERROR(__xludf.DUMMYFUNCTION("""COMPUTED_VALUE"""),"Abbas Dirani")</f>
        <v>Abbas Dirani</v>
      </c>
      <c r="F9244" s="3" t="str">
        <f>IFERROR(__xludf.DUMMYFUNCTION("""COMPUTED_VALUE"""),"adirani@vmsnetworks.ca")</f>
        <v>adirani@vmsnetworks.ca</v>
      </c>
      <c r="G9244" s="3">
        <f>IFERROR(__xludf.DUMMYFUNCTION("""COMPUTED_VALUE"""),6.478389283E9)</f>
        <v>6478389283</v>
      </c>
      <c r="H9244" s="3"/>
    </row>
    <row r="9245">
      <c r="A9245" s="2">
        <f>IFERROR(__xludf.DUMMYFUNCTION("""COMPUTED_VALUE"""),31470.0)</f>
        <v>31470</v>
      </c>
      <c r="B9245" s="3" t="str">
        <f>IFERROR(__xludf.DUMMYFUNCTION("""COMPUTED_VALUE"""),"308 TUCKER RD ")</f>
        <v>308 TUCKER RD </v>
      </c>
      <c r="C9245" s="3" t="str">
        <f>IFERROR(__xludf.DUMMYFUNCTION("""COMPUTED_VALUE"""),"GRAFTON")</f>
        <v>GRAFTON</v>
      </c>
      <c r="D9245" s="3" t="str">
        <f>IFERROR(__xludf.DUMMYFUNCTION("""COMPUTED_VALUE"""),"K0K 2G0")</f>
        <v>K0K 2G0</v>
      </c>
      <c r="E9245" s="3" t="str">
        <f>IFERROR(__xludf.DUMMYFUNCTION("""COMPUTED_VALUE"""),"Roger Midgley")</f>
        <v>Roger Midgley</v>
      </c>
      <c r="F9245" s="3" t="str">
        <f>IFERROR(__xludf.DUMMYFUNCTION("""COMPUTED_VALUE"""),"rgrmidgley@gmail.com")</f>
        <v>rgrmidgley@gmail.com</v>
      </c>
      <c r="G9245" s="3">
        <f>IFERROR(__xludf.DUMMYFUNCTION("""COMPUTED_VALUE"""),9.053493076E9)</f>
        <v>9053493076</v>
      </c>
      <c r="H9245" s="3"/>
    </row>
    <row r="9246">
      <c r="A9246" s="2">
        <f>IFERROR(__xludf.DUMMYFUNCTION("""COMPUTED_VALUE"""),31471.0)</f>
        <v>31471</v>
      </c>
      <c r="B9246" s="3" t="str">
        <f>IFERROR(__xludf.DUMMYFUNCTION("""COMPUTED_VALUE"""),"236 TUCKER RD ")</f>
        <v>236 TUCKER RD </v>
      </c>
      <c r="C9246" s="3" t="str">
        <f>IFERROR(__xludf.DUMMYFUNCTION("""COMPUTED_VALUE"""),"GRAFTON")</f>
        <v>GRAFTON</v>
      </c>
      <c r="D9246" s="3" t="str">
        <f>IFERROR(__xludf.DUMMYFUNCTION("""COMPUTED_VALUE"""),"K0K 2G0")</f>
        <v>K0K 2G0</v>
      </c>
      <c r="E9246" s="3" t="str">
        <f>IFERROR(__xludf.DUMMYFUNCTION("""COMPUTED_VALUE"""),"Len Walser")</f>
        <v>Len Walser</v>
      </c>
      <c r="F9246" s="3" t="str">
        <f>IFERROR(__xludf.DUMMYFUNCTION("""COMPUTED_VALUE"""),"lenwalser334@gmail.com")</f>
        <v>lenwalser334@gmail.com</v>
      </c>
      <c r="G9246" s="3">
        <f>IFERROR(__xludf.DUMMYFUNCTION("""COMPUTED_VALUE"""),4.162190934E9)</f>
        <v>4162190934</v>
      </c>
      <c r="H9246" s="3">
        <f>IFERROR(__xludf.DUMMYFUNCTION("""COMPUTED_VALUE"""),4.162191561E9)</f>
        <v>4162191561</v>
      </c>
    </row>
    <row r="9247">
      <c r="A9247" s="2">
        <f>IFERROR(__xludf.DUMMYFUNCTION("""COMPUTED_VALUE"""),31577.0)</f>
        <v>31577</v>
      </c>
      <c r="B9247" s="3" t="str">
        <f>IFERROR(__xludf.DUMMYFUNCTION("""COMPUTED_VALUE"""),"248 TUCKER RD ")</f>
        <v>248 TUCKER RD </v>
      </c>
      <c r="C9247" s="3" t="str">
        <f>IFERROR(__xludf.DUMMYFUNCTION("""COMPUTED_VALUE"""),"GRAFTON")</f>
        <v>GRAFTON</v>
      </c>
      <c r="D9247" s="3"/>
      <c r="E9247" s="3"/>
      <c r="F9247" s="3"/>
      <c r="G9247" s="3"/>
      <c r="H9247" s="3"/>
    </row>
    <row r="9248">
      <c r="A9248" s="2">
        <f>IFERROR(__xludf.DUMMYFUNCTION("""COMPUTED_VALUE"""),31531.0)</f>
        <v>31531</v>
      </c>
      <c r="B9248" s="3" t="str">
        <f>IFERROR(__xludf.DUMMYFUNCTION("""COMPUTED_VALUE"""),"104 VICTOR RD ")</f>
        <v>104 VICTOR RD </v>
      </c>
      <c r="C9248" s="3" t="str">
        <f>IFERROR(__xludf.DUMMYFUNCTION("""COMPUTED_VALUE"""),"ROSENEATH")</f>
        <v>ROSENEATH</v>
      </c>
      <c r="D9248" s="3" t="str">
        <f>IFERROR(__xludf.DUMMYFUNCTION("""COMPUTED_VALUE"""),"K0K 2X0")</f>
        <v>K0K 2X0</v>
      </c>
      <c r="E9248" s="3" t="str">
        <f>IFERROR(__xludf.DUMMYFUNCTION("""COMPUTED_VALUE"""),"paul lam")</f>
        <v>paul lam</v>
      </c>
      <c r="F9248" s="3" t="str">
        <f>IFERROR(__xludf.DUMMYFUNCTION("""COMPUTED_VALUE"""),"paul.j.lam@gmail.com")</f>
        <v>paul.j.lam@gmail.com</v>
      </c>
      <c r="G9248" s="3">
        <f>IFERROR(__xludf.DUMMYFUNCTION("""COMPUTED_VALUE"""),6.472337371E9)</f>
        <v>6472337371</v>
      </c>
      <c r="H9248" s="3"/>
    </row>
    <row r="9249">
      <c r="A9249" s="2">
        <f>IFERROR(__xludf.DUMMYFUNCTION("""COMPUTED_VALUE"""),31532.0)</f>
        <v>31532</v>
      </c>
      <c r="B9249" s="3" t="str">
        <f>IFERROR(__xludf.DUMMYFUNCTION("""COMPUTED_VALUE"""),"140 VICTOR RD ")</f>
        <v>140 VICTOR RD </v>
      </c>
      <c r="C9249" s="3" t="str">
        <f>IFERROR(__xludf.DUMMYFUNCTION("""COMPUTED_VALUE"""),"ROSENEATH")</f>
        <v>ROSENEATH</v>
      </c>
      <c r="D9249" s="3" t="str">
        <f>IFERROR(__xludf.DUMMYFUNCTION("""COMPUTED_VALUE"""),"K0K 2X0")</f>
        <v>K0K 2X0</v>
      </c>
      <c r="E9249" s="3"/>
      <c r="F9249" s="3"/>
      <c r="G9249" s="3"/>
      <c r="H9249" s="3"/>
    </row>
    <row r="9250">
      <c r="A9250" s="2">
        <f>IFERROR(__xludf.DUMMYFUNCTION("""COMPUTED_VALUE"""),31537.0)</f>
        <v>31537</v>
      </c>
      <c r="B9250" s="3" t="str">
        <f>IFERROR(__xludf.DUMMYFUNCTION("""COMPUTED_VALUE"""),"131 WARD LANE ")</f>
        <v>131 WARD LANE </v>
      </c>
      <c r="C9250" s="3" t="str">
        <f>IFERROR(__xludf.DUMMYFUNCTION("""COMPUTED_VALUE"""),"GRAFTON")</f>
        <v>GRAFTON</v>
      </c>
      <c r="D9250" s="3" t="str">
        <f>IFERROR(__xludf.DUMMYFUNCTION("""COMPUTED_VALUE"""),"K0K 2G0")</f>
        <v>K0K 2G0</v>
      </c>
      <c r="E9250" s="3" t="str">
        <f>IFERROR(__xludf.DUMMYFUNCTION("""COMPUTED_VALUE"""),"Jenny Blacklock")</f>
        <v>Jenny Blacklock</v>
      </c>
      <c r="F9250" s="3" t="str">
        <f>IFERROR(__xludf.DUMMYFUNCTION("""COMPUTED_VALUE"""),"jenny_blacklock@hotmail.com")</f>
        <v>jenny_blacklock@hotmail.com</v>
      </c>
      <c r="G9250" s="3"/>
      <c r="H9250" s="3"/>
    </row>
    <row r="9251">
      <c r="A9251" s="2">
        <f>IFERROR(__xludf.DUMMYFUNCTION("""COMPUTED_VALUE"""),31538.0)</f>
        <v>31538</v>
      </c>
      <c r="B9251" s="3" t="str">
        <f>IFERROR(__xludf.DUMMYFUNCTION("""COMPUTED_VALUE"""),"153 WARD LANE ")</f>
        <v>153 WARD LANE </v>
      </c>
      <c r="C9251" s="3" t="str">
        <f>IFERROR(__xludf.DUMMYFUNCTION("""COMPUTED_VALUE"""),"GRAFTON")</f>
        <v>GRAFTON</v>
      </c>
      <c r="D9251" s="3" t="str">
        <f>IFERROR(__xludf.DUMMYFUNCTION("""COMPUTED_VALUE"""),"K0K 2G0")</f>
        <v>K0K 2G0</v>
      </c>
      <c r="E9251" s="3" t="str">
        <f>IFERROR(__xludf.DUMMYFUNCTION("""COMPUTED_VALUE"""),"Sheila Hamilton")</f>
        <v>Sheila Hamilton</v>
      </c>
      <c r="F9251" s="3"/>
      <c r="G9251" s="3">
        <f>IFERROR(__xludf.DUMMYFUNCTION("""COMPUTED_VALUE"""),2.899611117E9)</f>
        <v>2899611117</v>
      </c>
      <c r="H9251" s="3"/>
    </row>
    <row r="9252">
      <c r="A9252" s="2">
        <f>IFERROR(__xludf.DUMMYFUNCTION("""COMPUTED_VALUE"""),31541.0)</f>
        <v>31541</v>
      </c>
      <c r="B9252" s="3" t="str">
        <f>IFERROR(__xludf.DUMMYFUNCTION("""COMPUTED_VALUE"""),"121 WHITEHEAD RD ")</f>
        <v>121 WHITEHEAD RD </v>
      </c>
      <c r="C9252" s="3" t="str">
        <f>IFERROR(__xludf.DUMMYFUNCTION("""COMPUTED_VALUE"""),"GRAFTON")</f>
        <v>GRAFTON</v>
      </c>
      <c r="D9252" s="3" t="str">
        <f>IFERROR(__xludf.DUMMYFUNCTION("""COMPUTED_VALUE"""),"K0K 2G0")</f>
        <v>K0K 2G0</v>
      </c>
      <c r="E9252" s="3" t="str">
        <f>IFERROR(__xludf.DUMMYFUNCTION("""COMPUTED_VALUE"""),"Tina Dagnall")</f>
        <v>Tina Dagnall</v>
      </c>
      <c r="F9252" s="3" t="str">
        <f>IFERROR(__xludf.DUMMYFUNCTION("""COMPUTED_VALUE"""),"beaniebean66@hotmail.com")</f>
        <v>beaniebean66@hotmail.com</v>
      </c>
      <c r="G9252" s="3">
        <f>IFERROR(__xludf.DUMMYFUNCTION("""COMPUTED_VALUE"""),9.052692772E9)</f>
        <v>9052692772</v>
      </c>
      <c r="H9252" s="3"/>
    </row>
    <row r="9253">
      <c r="A9253" s="2">
        <f>IFERROR(__xludf.DUMMYFUNCTION("""COMPUTED_VALUE"""),31542.0)</f>
        <v>31542</v>
      </c>
      <c r="B9253" s="3" t="str">
        <f>IFERROR(__xludf.DUMMYFUNCTION("""COMPUTED_VALUE"""),"155 WHITEHEAD RD ")</f>
        <v>155 WHITEHEAD RD </v>
      </c>
      <c r="C9253" s="3" t="str">
        <f>IFERROR(__xludf.DUMMYFUNCTION("""COMPUTED_VALUE"""),"GRAFTON")</f>
        <v>GRAFTON</v>
      </c>
      <c r="D9253" s="3" t="str">
        <f>IFERROR(__xludf.DUMMYFUNCTION("""COMPUTED_VALUE"""),"K0K 2G0")</f>
        <v>K0K 2G0</v>
      </c>
      <c r="E9253" s="3" t="str">
        <f>IFERROR(__xludf.DUMMYFUNCTION("""COMPUTED_VALUE"""),"Kieva Earle")</f>
        <v>Kieva Earle</v>
      </c>
      <c r="F9253" s="3" t="str">
        <f>IFERROR(__xludf.DUMMYFUNCTION("""COMPUTED_VALUE"""),"kievadsearle@gmail.com")</f>
        <v>kievadsearle@gmail.com</v>
      </c>
      <c r="G9253" s="3">
        <f>IFERROR(__xludf.DUMMYFUNCTION("""COMPUTED_VALUE"""),9.0534922E9)</f>
        <v>9053492200</v>
      </c>
      <c r="H9253" s="3"/>
    </row>
    <row r="9254">
      <c r="A9254" s="2">
        <f>IFERROR(__xludf.DUMMYFUNCTION("""COMPUTED_VALUE"""),31543.0)</f>
        <v>31543</v>
      </c>
      <c r="B9254" s="3" t="str">
        <f>IFERROR(__xludf.DUMMYFUNCTION("""COMPUTED_VALUE"""),"156 WHITEHEAD RD ")</f>
        <v>156 WHITEHEAD RD </v>
      </c>
      <c r="C9254" s="3" t="str">
        <f>IFERROR(__xludf.DUMMYFUNCTION("""COMPUTED_VALUE"""),"GRAFTON")</f>
        <v>GRAFTON</v>
      </c>
      <c r="D9254" s="3" t="str">
        <f>IFERROR(__xludf.DUMMYFUNCTION("""COMPUTED_VALUE"""),"K0K 2G0")</f>
        <v>K0K 2G0</v>
      </c>
      <c r="E9254" s="3" t="str">
        <f>IFERROR(__xludf.DUMMYFUNCTION("""COMPUTED_VALUE"""),"Christopher John Albert Harris")</f>
        <v>Christopher John Albert Harris</v>
      </c>
      <c r="F9254" s="3" t="str">
        <f>IFERROR(__xludf.DUMMYFUNCTION("""COMPUTED_VALUE"""),"N/A")</f>
        <v>N/A</v>
      </c>
      <c r="G9254" s="3"/>
      <c r="H9254" s="3"/>
    </row>
    <row r="9255">
      <c r="A9255" s="2">
        <f>IFERROR(__xludf.DUMMYFUNCTION("""COMPUTED_VALUE"""),31544.0)</f>
        <v>31544</v>
      </c>
      <c r="B9255" s="3" t="str">
        <f>IFERROR(__xludf.DUMMYFUNCTION("""COMPUTED_VALUE"""),"181 WHITEHEAD RD ")</f>
        <v>181 WHITEHEAD RD </v>
      </c>
      <c r="C9255" s="3" t="str">
        <f>IFERROR(__xludf.DUMMYFUNCTION("""COMPUTED_VALUE"""),"GRAFTON")</f>
        <v>GRAFTON</v>
      </c>
      <c r="D9255" s="3" t="str">
        <f>IFERROR(__xludf.DUMMYFUNCTION("""COMPUTED_VALUE"""),"K0K 2G0")</f>
        <v>K0K 2G0</v>
      </c>
      <c r="E9255" s="3" t="str">
        <f>IFERROR(__xludf.DUMMYFUNCTION("""COMPUTED_VALUE"""),"Jessica Lantz")</f>
        <v>Jessica Lantz</v>
      </c>
      <c r="F9255" s="3" t="str">
        <f>IFERROR(__xludf.DUMMYFUNCTION("""COMPUTED_VALUE"""),"lantz.m.jess@gmail.com")</f>
        <v>lantz.m.jess@gmail.com</v>
      </c>
      <c r="G9255" s="3"/>
      <c r="H9255" s="3"/>
    </row>
    <row r="9256">
      <c r="A9256" s="2">
        <f>IFERROR(__xludf.DUMMYFUNCTION("""COMPUTED_VALUE"""),50002.0)</f>
        <v>50002</v>
      </c>
      <c r="B9256" s="3" t="str">
        <f>IFERROR(__xludf.DUMMYFUNCTION("""COMPUTED_VALUE"""),"10589 FIRST LINE RD")</f>
        <v>10589 FIRST LINE RD</v>
      </c>
      <c r="C9256" s="3" t="str">
        <f>IFERROR(__xludf.DUMMYFUNCTION("""COMPUTED_VALUE"""),"ROSENEATH ")</f>
        <v>ROSENEATH </v>
      </c>
      <c r="D9256" s="3" t="str">
        <f>IFERROR(__xludf.DUMMYFUNCTION("""COMPUTED_VALUE"""),"K0K 2X0")</f>
        <v>K0K 2X0</v>
      </c>
      <c r="E9256" s="3"/>
      <c r="F9256" s="3"/>
      <c r="G9256" s="3"/>
      <c r="H9256" s="3"/>
    </row>
    <row r="9257">
      <c r="A9257" s="2">
        <f>IFERROR(__xludf.DUMMYFUNCTION("""COMPUTED_VALUE"""),50003.0)</f>
        <v>50003</v>
      </c>
      <c r="B9257" s="3" t="str">
        <f>IFERROR(__xludf.DUMMYFUNCTION("""COMPUTED_VALUE"""),"10707 1ST LINE RD")</f>
        <v>10707 1ST LINE RD</v>
      </c>
      <c r="C9257" s="3" t="str">
        <f>IFERROR(__xludf.DUMMYFUNCTION("""COMPUTED_VALUE"""),"ROSENEATH ")</f>
        <v>ROSENEATH </v>
      </c>
      <c r="D9257" s="3" t="str">
        <f>IFERROR(__xludf.DUMMYFUNCTION("""COMPUTED_VALUE"""),"K0K 2X0")</f>
        <v>K0K 2X0</v>
      </c>
      <c r="E9257" s="3" t="str">
        <f>IFERROR(__xludf.DUMMYFUNCTION("""COMPUTED_VALUE"""),"Oliver Pauk")</f>
        <v>Oliver Pauk</v>
      </c>
      <c r="F9257" s="3" t="str">
        <f>IFERROR(__xludf.DUMMYFUNCTION("""COMPUTED_VALUE"""),"oliver.pauk@gmail.com")</f>
        <v>oliver.pauk@gmail.com</v>
      </c>
      <c r="G9257" s="3">
        <f>IFERROR(__xludf.DUMMYFUNCTION("""COMPUTED_VALUE"""),4.168262053E9)</f>
        <v>4168262053</v>
      </c>
      <c r="H9257" s="3"/>
    </row>
    <row r="9258">
      <c r="A9258" s="2">
        <f>IFERROR(__xludf.DUMMYFUNCTION("""COMPUTED_VALUE"""),50004.0)</f>
        <v>50004</v>
      </c>
      <c r="B9258" s="3" t="str">
        <f>IFERROR(__xludf.DUMMYFUNCTION("""COMPUTED_VALUE"""),"10906 1ST LINE RD")</f>
        <v>10906 1ST LINE RD</v>
      </c>
      <c r="C9258" s="3" t="str">
        <f>IFERROR(__xludf.DUMMYFUNCTION("""COMPUTED_VALUE"""),"ROSENEATH ")</f>
        <v>ROSENEATH </v>
      </c>
      <c r="D9258" s="3" t="str">
        <f>IFERROR(__xludf.DUMMYFUNCTION("""COMPUTED_VALUE"""),"K0K 2X0")</f>
        <v>K0K 2X0</v>
      </c>
      <c r="E9258" s="3"/>
      <c r="F9258" s="3"/>
      <c r="G9258" s="3"/>
      <c r="H9258" s="3"/>
    </row>
    <row r="9259">
      <c r="A9259" s="2">
        <f>IFERROR(__xludf.DUMMYFUNCTION("""COMPUTED_VALUE"""),50005.0)</f>
        <v>50005</v>
      </c>
      <c r="B9259" s="3" t="str">
        <f>IFERROR(__xludf.DUMMYFUNCTION("""COMPUTED_VALUE"""),"10911 1ST LINE RD")</f>
        <v>10911 1ST LINE RD</v>
      </c>
      <c r="C9259" s="3" t="str">
        <f>IFERROR(__xludf.DUMMYFUNCTION("""COMPUTED_VALUE"""),"ROSENEATH ")</f>
        <v>ROSENEATH </v>
      </c>
      <c r="D9259" s="3" t="str">
        <f>IFERROR(__xludf.DUMMYFUNCTION("""COMPUTED_VALUE"""),"K0K 2X0")</f>
        <v>K0K 2X0</v>
      </c>
      <c r="E9259" s="3" t="str">
        <f>IFERROR(__xludf.DUMMYFUNCTION("""COMPUTED_VALUE"""),"NATALIE MANDEVILLE")</f>
        <v>NATALIE MANDEVILLE</v>
      </c>
      <c r="F9259" s="3" t="str">
        <f>IFERROR(__xludf.DUMMYFUNCTION("""COMPUTED_VALUE"""),"nat_mande18@hotmail.com")</f>
        <v>nat_mande18@hotmail.com</v>
      </c>
      <c r="G9259" s="3"/>
      <c r="H9259" s="3"/>
    </row>
    <row r="9260">
      <c r="A9260" s="2">
        <f>IFERROR(__xludf.DUMMYFUNCTION("""COMPUTED_VALUE"""),50006.0)</f>
        <v>50006</v>
      </c>
      <c r="B9260" s="3" t="str">
        <f>IFERROR(__xludf.DUMMYFUNCTION("""COMPUTED_VALUE"""),"10912 1ST LINE RD")</f>
        <v>10912 1ST LINE RD</v>
      </c>
      <c r="C9260" s="3" t="str">
        <f>IFERROR(__xludf.DUMMYFUNCTION("""COMPUTED_VALUE"""),"ROSENEATH ")</f>
        <v>ROSENEATH </v>
      </c>
      <c r="D9260" s="3" t="str">
        <f>IFERROR(__xludf.DUMMYFUNCTION("""COMPUTED_VALUE"""),"K0K 2X0")</f>
        <v>K0K 2X0</v>
      </c>
      <c r="E9260" s="3" t="str">
        <f>IFERROR(__xludf.DUMMYFUNCTION("""COMPUTED_VALUE"""),"Clay Nelson")</f>
        <v>Clay Nelson</v>
      </c>
      <c r="F9260" s="3" t="str">
        <f>IFERROR(__xludf.DUMMYFUNCTION("""COMPUTED_VALUE"""),"claynelson55@gmail.com")</f>
        <v>claynelson55@gmail.com</v>
      </c>
      <c r="G9260" s="3">
        <f>IFERROR(__xludf.DUMMYFUNCTION("""COMPUTED_VALUE"""),9.053763257E9)</f>
        <v>9053763257</v>
      </c>
      <c r="H9260" s="3">
        <f>IFERROR(__xludf.DUMMYFUNCTION("""COMPUTED_VALUE"""),9.053523493E9)</f>
        <v>9053523493</v>
      </c>
    </row>
    <row r="9261">
      <c r="A9261" s="2">
        <f>IFERROR(__xludf.DUMMYFUNCTION("""COMPUTED_VALUE"""),50007.0)</f>
        <v>50007</v>
      </c>
      <c r="B9261" s="3" t="str">
        <f>IFERROR(__xludf.DUMMYFUNCTION("""COMPUTED_VALUE"""),"10935 1ST LINE RD")</f>
        <v>10935 1ST LINE RD</v>
      </c>
      <c r="C9261" s="3" t="str">
        <f>IFERROR(__xludf.DUMMYFUNCTION("""COMPUTED_VALUE"""),"ROSENEATH ")</f>
        <v>ROSENEATH </v>
      </c>
      <c r="D9261" s="3" t="str">
        <f>IFERROR(__xludf.DUMMYFUNCTION("""COMPUTED_VALUE"""),"K0K 2X0")</f>
        <v>K0K 2X0</v>
      </c>
      <c r="E9261" s="3"/>
      <c r="F9261" s="3"/>
      <c r="G9261" s="3"/>
      <c r="H9261" s="3"/>
    </row>
    <row r="9262">
      <c r="A9262" s="2">
        <f>IFERROR(__xludf.DUMMYFUNCTION("""COMPUTED_VALUE"""),50008.0)</f>
        <v>50008</v>
      </c>
      <c r="B9262" s="3" t="str">
        <f>IFERROR(__xludf.DUMMYFUNCTION("""COMPUTED_VALUE"""),"10961 1ST LINE RD")</f>
        <v>10961 1ST LINE RD</v>
      </c>
      <c r="C9262" s="3" t="str">
        <f>IFERROR(__xludf.DUMMYFUNCTION("""COMPUTED_VALUE"""),"ROSENEATH ")</f>
        <v>ROSENEATH </v>
      </c>
      <c r="D9262" s="3" t="str">
        <f>IFERROR(__xludf.DUMMYFUNCTION("""COMPUTED_VALUE"""),"K0K 2X0")</f>
        <v>K0K 2X0</v>
      </c>
      <c r="E9262" s="3" t="str">
        <f>IFERROR(__xludf.DUMMYFUNCTION("""COMPUTED_VALUE"""),"Susan SAVOY  and  W Reed")</f>
        <v>Susan SAVOY  and  W Reed</v>
      </c>
      <c r="F9262" s="3" t="str">
        <f>IFERROR(__xludf.DUMMYFUNCTION("""COMPUTED_VALUE"""),"swsavoy@gmail.com")</f>
        <v>swsavoy@gmail.com</v>
      </c>
      <c r="G9262" s="3"/>
      <c r="H9262" s="3"/>
    </row>
    <row r="9263">
      <c r="A9263" s="2">
        <f>IFERROR(__xludf.DUMMYFUNCTION("""COMPUTED_VALUE"""),50009.0)</f>
        <v>50009</v>
      </c>
      <c r="B9263" s="3" t="str">
        <f>IFERROR(__xludf.DUMMYFUNCTION("""COMPUTED_VALUE"""),"11056 1ST LINE RD")</f>
        <v>11056 1ST LINE RD</v>
      </c>
      <c r="C9263" s="3" t="str">
        <f>IFERROR(__xludf.DUMMYFUNCTION("""COMPUTED_VALUE"""),"ROSENEATH ")</f>
        <v>ROSENEATH </v>
      </c>
      <c r="D9263" s="3" t="str">
        <f>IFERROR(__xludf.DUMMYFUNCTION("""COMPUTED_VALUE"""),"K0K 2X0")</f>
        <v>K0K 2X0</v>
      </c>
      <c r="E9263" s="3" t="str">
        <f>IFERROR(__xludf.DUMMYFUNCTION("""COMPUTED_VALUE"""),"CHRISTOPHER C FOY")</f>
        <v>CHRISTOPHER C FOY</v>
      </c>
      <c r="F9263" s="3" t="str">
        <f>IFERROR(__xludf.DUMMYFUNCTION("""COMPUTED_VALUE"""),"wideopenfoy@hotmail.com")</f>
        <v>wideopenfoy@hotmail.com</v>
      </c>
      <c r="G9263" s="3">
        <f>IFERROR(__xludf.DUMMYFUNCTION("""COMPUTED_VALUE"""),9.053763068E9)</f>
        <v>9053763068</v>
      </c>
      <c r="H9263" s="3"/>
    </row>
    <row r="9264">
      <c r="A9264" s="2">
        <f>IFERROR(__xludf.DUMMYFUNCTION("""COMPUTED_VALUE"""),50010.0)</f>
        <v>50010</v>
      </c>
      <c r="B9264" s="3" t="str">
        <f>IFERROR(__xludf.DUMMYFUNCTION("""COMPUTED_VALUE"""),"11070 1ST LINE RD")</f>
        <v>11070 1ST LINE RD</v>
      </c>
      <c r="C9264" s="3" t="str">
        <f>IFERROR(__xludf.DUMMYFUNCTION("""COMPUTED_VALUE"""),"ROSENEATH ")</f>
        <v>ROSENEATH </v>
      </c>
      <c r="D9264" s="3" t="str">
        <f>IFERROR(__xludf.DUMMYFUNCTION("""COMPUTED_VALUE"""),"K0K 2X0")</f>
        <v>K0K 2X0</v>
      </c>
      <c r="E9264" s="3"/>
      <c r="F9264" s="3"/>
      <c r="G9264" s="3"/>
      <c r="H9264" s="3"/>
    </row>
    <row r="9265">
      <c r="A9265" s="2">
        <f>IFERROR(__xludf.DUMMYFUNCTION("""COMPUTED_VALUE"""),50011.0)</f>
        <v>50011</v>
      </c>
      <c r="B9265" s="3" t="str">
        <f>IFERROR(__xludf.DUMMYFUNCTION("""COMPUTED_VALUE"""),"11088 1ST LINE RD")</f>
        <v>11088 1ST LINE RD</v>
      </c>
      <c r="C9265" s="3" t="str">
        <f>IFERROR(__xludf.DUMMYFUNCTION("""COMPUTED_VALUE"""),"ROSENEATH ")</f>
        <v>ROSENEATH </v>
      </c>
      <c r="D9265" s="3" t="str">
        <f>IFERROR(__xludf.DUMMYFUNCTION("""COMPUTED_VALUE"""),"K0K 2X0")</f>
        <v>K0K 2X0</v>
      </c>
      <c r="E9265" s="3"/>
      <c r="F9265" s="3"/>
      <c r="G9265" s="3"/>
      <c r="H9265" s="3"/>
    </row>
    <row r="9266">
      <c r="A9266" s="2">
        <f>IFERROR(__xludf.DUMMYFUNCTION("""COMPUTED_VALUE"""),50012.0)</f>
        <v>50012</v>
      </c>
      <c r="B9266" s="3" t="str">
        <f>IFERROR(__xludf.DUMMYFUNCTION("""COMPUTED_VALUE"""),"11099 1ST LINE RD")</f>
        <v>11099 1ST LINE RD</v>
      </c>
      <c r="C9266" s="3" t="str">
        <f>IFERROR(__xludf.DUMMYFUNCTION("""COMPUTED_VALUE"""),"ROSENEATH ")</f>
        <v>ROSENEATH </v>
      </c>
      <c r="D9266" s="3" t="str">
        <f>IFERROR(__xludf.DUMMYFUNCTION("""COMPUTED_VALUE"""),"K0K 2X0")</f>
        <v>K0K 2X0</v>
      </c>
      <c r="E9266" s="3" t="str">
        <f>IFERROR(__xludf.DUMMYFUNCTION("""COMPUTED_VALUE"""),"Michel Lepine")</f>
        <v>Michel Lepine</v>
      </c>
      <c r="F9266" s="3" t="str">
        <f>IFERROR(__xludf.DUMMYFUNCTION("""COMPUTED_VALUE"""),"mitchlepine@icloud.com")</f>
        <v>mitchlepine@icloud.com</v>
      </c>
      <c r="G9266" s="3"/>
      <c r="H9266" s="3"/>
    </row>
    <row r="9267">
      <c r="A9267" s="2">
        <f>IFERROR(__xludf.DUMMYFUNCTION("""COMPUTED_VALUE"""),50013.0)</f>
        <v>50013</v>
      </c>
      <c r="B9267" s="3" t="str">
        <f>IFERROR(__xludf.DUMMYFUNCTION("""COMPUTED_VALUE"""),"11184 1ST LINE RD")</f>
        <v>11184 1ST LINE RD</v>
      </c>
      <c r="C9267" s="3" t="str">
        <f>IFERROR(__xludf.DUMMYFUNCTION("""COMPUTED_VALUE"""),"ROSENEATH ")</f>
        <v>ROSENEATH </v>
      </c>
      <c r="D9267" s="3" t="str">
        <f>IFERROR(__xludf.DUMMYFUNCTION("""COMPUTED_VALUE"""),"K0K 2X0")</f>
        <v>K0K 2X0</v>
      </c>
      <c r="E9267" s="3"/>
      <c r="F9267" s="3"/>
      <c r="G9267" s="3"/>
      <c r="H9267" s="3"/>
    </row>
    <row r="9268">
      <c r="A9268" s="2">
        <f>IFERROR(__xludf.DUMMYFUNCTION("""COMPUTED_VALUE"""),50014.0)</f>
        <v>50014</v>
      </c>
      <c r="B9268" s="3" t="str">
        <f>IFERROR(__xludf.DUMMYFUNCTION("""COMPUTED_VALUE"""),"11200 1ST LINE RD")</f>
        <v>11200 1ST LINE RD</v>
      </c>
      <c r="C9268" s="3" t="str">
        <f>IFERROR(__xludf.DUMMYFUNCTION("""COMPUTED_VALUE"""),"ROSENEATH ")</f>
        <v>ROSENEATH </v>
      </c>
      <c r="D9268" s="3" t="str">
        <f>IFERROR(__xludf.DUMMYFUNCTION("""COMPUTED_VALUE"""),"K0K 2X0")</f>
        <v>K0K 2X0</v>
      </c>
      <c r="E9268" s="3"/>
      <c r="F9268" s="3"/>
      <c r="G9268" s="3"/>
      <c r="H9268" s="3"/>
    </row>
    <row r="9269">
      <c r="A9269" s="2">
        <f>IFERROR(__xludf.DUMMYFUNCTION("""COMPUTED_VALUE"""),50015.0)</f>
        <v>50015</v>
      </c>
      <c r="B9269" s="3" t="str">
        <f>IFERROR(__xludf.DUMMYFUNCTION("""COMPUTED_VALUE"""),"11216 1ST LINE RD")</f>
        <v>11216 1ST LINE RD</v>
      </c>
      <c r="C9269" s="3" t="str">
        <f>IFERROR(__xludf.DUMMYFUNCTION("""COMPUTED_VALUE"""),"ROSENEATH ")</f>
        <v>ROSENEATH </v>
      </c>
      <c r="D9269" s="3" t="str">
        <f>IFERROR(__xludf.DUMMYFUNCTION("""COMPUTED_VALUE"""),"K0K 2X0")</f>
        <v>K0K 2X0</v>
      </c>
      <c r="E9269" s="3"/>
      <c r="F9269" s="3"/>
      <c r="G9269" s="3"/>
      <c r="H9269" s="3"/>
    </row>
    <row r="9270">
      <c r="A9270" s="2">
        <f>IFERROR(__xludf.DUMMYFUNCTION("""COMPUTED_VALUE"""),50016.0)</f>
        <v>50016</v>
      </c>
      <c r="B9270" s="3" t="str">
        <f>IFERROR(__xludf.DUMMYFUNCTION("""COMPUTED_VALUE"""),"11221 1ST LINE RD")</f>
        <v>11221 1ST LINE RD</v>
      </c>
      <c r="C9270" s="3" t="str">
        <f>IFERROR(__xludf.DUMMYFUNCTION("""COMPUTED_VALUE"""),"ROSENEATH ")</f>
        <v>ROSENEATH </v>
      </c>
      <c r="D9270" s="3" t="str">
        <f>IFERROR(__xludf.DUMMYFUNCTION("""COMPUTED_VALUE"""),"K0K 2X0")</f>
        <v>K0K 2X0</v>
      </c>
      <c r="E9270" s="3"/>
      <c r="F9270" s="3"/>
      <c r="G9270" s="3"/>
      <c r="H9270" s="3"/>
    </row>
    <row r="9271">
      <c r="A9271" s="2">
        <f>IFERROR(__xludf.DUMMYFUNCTION("""COMPUTED_VALUE"""),50017.0)</f>
        <v>50017</v>
      </c>
      <c r="B9271" s="3" t="str">
        <f>IFERROR(__xludf.DUMMYFUNCTION("""COMPUTED_VALUE"""),"11232 1ST LINE RD")</f>
        <v>11232 1ST LINE RD</v>
      </c>
      <c r="C9271" s="3" t="str">
        <f>IFERROR(__xludf.DUMMYFUNCTION("""COMPUTED_VALUE"""),"ROSENEATH ")</f>
        <v>ROSENEATH </v>
      </c>
      <c r="D9271" s="3" t="str">
        <f>IFERROR(__xludf.DUMMYFUNCTION("""COMPUTED_VALUE"""),"K0K 2X0")</f>
        <v>K0K 2X0</v>
      </c>
      <c r="E9271" s="3"/>
      <c r="F9271" s="3"/>
      <c r="G9271" s="3"/>
      <c r="H9271" s="3"/>
    </row>
    <row r="9272">
      <c r="A9272" s="2">
        <f>IFERROR(__xludf.DUMMYFUNCTION("""COMPUTED_VALUE"""),50018.0)</f>
        <v>50018</v>
      </c>
      <c r="B9272" s="3" t="str">
        <f>IFERROR(__xludf.DUMMYFUNCTION("""COMPUTED_VALUE"""),"11244 1ST LINE RD")</f>
        <v>11244 1ST LINE RD</v>
      </c>
      <c r="C9272" s="3" t="str">
        <f>IFERROR(__xludf.DUMMYFUNCTION("""COMPUTED_VALUE"""),"ROSENEATH ")</f>
        <v>ROSENEATH </v>
      </c>
      <c r="D9272" s="3" t="str">
        <f>IFERROR(__xludf.DUMMYFUNCTION("""COMPUTED_VALUE"""),"K0K 2X0")</f>
        <v>K0K 2X0</v>
      </c>
      <c r="E9272" s="3"/>
      <c r="F9272" s="3"/>
      <c r="G9272" s="3"/>
      <c r="H9272" s="3"/>
    </row>
    <row r="9273">
      <c r="A9273" s="2">
        <f>IFERROR(__xludf.DUMMYFUNCTION("""COMPUTED_VALUE"""),50019.0)</f>
        <v>50019</v>
      </c>
      <c r="B9273" s="3" t="str">
        <f>IFERROR(__xludf.DUMMYFUNCTION("""COMPUTED_VALUE"""),"11260 1ST LINE RD")</f>
        <v>11260 1ST LINE RD</v>
      </c>
      <c r="C9273" s="3" t="str">
        <f>IFERROR(__xludf.DUMMYFUNCTION("""COMPUTED_VALUE"""),"ROSENEATH ")</f>
        <v>ROSENEATH </v>
      </c>
      <c r="D9273" s="3" t="str">
        <f>IFERROR(__xludf.DUMMYFUNCTION("""COMPUTED_VALUE"""),"K0K 2X0")</f>
        <v>K0K 2X0</v>
      </c>
      <c r="E9273" s="3"/>
      <c r="F9273" s="3"/>
      <c r="G9273" s="3"/>
      <c r="H9273" s="3"/>
    </row>
    <row r="9274">
      <c r="A9274" s="2">
        <f>IFERROR(__xludf.DUMMYFUNCTION("""COMPUTED_VALUE"""),50020.0)</f>
        <v>50020</v>
      </c>
      <c r="B9274" s="3" t="str">
        <f>IFERROR(__xludf.DUMMYFUNCTION("""COMPUTED_VALUE"""),"11272 1ST LINE RD")</f>
        <v>11272 1ST LINE RD</v>
      </c>
      <c r="C9274" s="3" t="str">
        <f>IFERROR(__xludf.DUMMYFUNCTION("""COMPUTED_VALUE"""),"ROSENEATH ")</f>
        <v>ROSENEATH </v>
      </c>
      <c r="D9274" s="3" t="str">
        <f>IFERROR(__xludf.DUMMYFUNCTION("""COMPUTED_VALUE"""),"K0K 2X0")</f>
        <v>K0K 2X0</v>
      </c>
      <c r="E9274" s="3"/>
      <c r="F9274" s="3"/>
      <c r="G9274" s="3"/>
      <c r="H9274" s="3"/>
    </row>
    <row r="9275">
      <c r="A9275" s="2">
        <f>IFERROR(__xludf.DUMMYFUNCTION("""COMPUTED_VALUE"""),50021.0)</f>
        <v>50021</v>
      </c>
      <c r="B9275" s="3" t="str">
        <f>IFERROR(__xludf.DUMMYFUNCTION("""COMPUTED_VALUE"""),"11284 1ST LINE RD")</f>
        <v>11284 1ST LINE RD</v>
      </c>
      <c r="C9275" s="3" t="str">
        <f>IFERROR(__xludf.DUMMYFUNCTION("""COMPUTED_VALUE"""),"ROSENEATH ")</f>
        <v>ROSENEATH </v>
      </c>
      <c r="D9275" s="3" t="str">
        <f>IFERROR(__xludf.DUMMYFUNCTION("""COMPUTED_VALUE"""),"K0K 2X0")</f>
        <v>K0K 2X0</v>
      </c>
      <c r="E9275" s="3"/>
      <c r="F9275" s="3"/>
      <c r="G9275" s="3"/>
      <c r="H9275" s="3"/>
    </row>
    <row r="9276">
      <c r="A9276" s="2">
        <f>IFERROR(__xludf.DUMMYFUNCTION("""COMPUTED_VALUE"""),50027.0)</f>
        <v>50027</v>
      </c>
      <c r="B9276" s="3" t="str">
        <f>IFERROR(__xludf.DUMMYFUNCTION("""COMPUTED_VALUE"""),"11031 1ST LINE RD")</f>
        <v>11031 1ST LINE RD</v>
      </c>
      <c r="C9276" s="3" t="str">
        <f>IFERROR(__xludf.DUMMYFUNCTION("""COMPUTED_VALUE"""),"ROSENEATH ")</f>
        <v>ROSENEATH </v>
      </c>
      <c r="D9276" s="3" t="str">
        <f>IFERROR(__xludf.DUMMYFUNCTION("""COMPUTED_VALUE"""),"K0K 2X0")</f>
        <v>K0K 2X0</v>
      </c>
      <c r="E9276" s="3"/>
      <c r="F9276" s="3"/>
      <c r="G9276" s="3"/>
      <c r="H9276" s="3"/>
    </row>
    <row r="9277">
      <c r="A9277" s="2">
        <f>IFERROR(__xludf.DUMMYFUNCTION("""COMPUTED_VALUE"""),50028.0)</f>
        <v>50028</v>
      </c>
      <c r="B9277" s="3" t="str">
        <f>IFERROR(__xludf.DUMMYFUNCTION("""COMPUTED_VALUE"""),"TBD3 1ST LINE RD")</f>
        <v>TBD3 1ST LINE RD</v>
      </c>
      <c r="C9277" s="3" t="str">
        <f>IFERROR(__xludf.DUMMYFUNCTION("""COMPUTED_VALUE"""),"ROSENEATH ")</f>
        <v>ROSENEATH </v>
      </c>
      <c r="D9277" s="3" t="str">
        <f>IFERROR(__xludf.DUMMYFUNCTION("""COMPUTED_VALUE"""),"K0K 2X0")</f>
        <v>K0K 2X0</v>
      </c>
      <c r="E9277" s="3"/>
      <c r="F9277" s="3"/>
      <c r="G9277" s="3"/>
      <c r="H9277" s="3"/>
    </row>
    <row r="9278">
      <c r="A9278" s="2">
        <f>IFERROR(__xludf.DUMMYFUNCTION("""COMPUTED_VALUE"""),51970.0)</f>
        <v>51970</v>
      </c>
      <c r="B9278" s="3" t="str">
        <f>IFERROR(__xludf.DUMMYFUNCTION("""COMPUTED_VALUE"""),"11033 1ST LINE RD")</f>
        <v>11033 1ST LINE RD</v>
      </c>
      <c r="C9278" s="3"/>
      <c r="D9278" s="3"/>
      <c r="E9278" s="3"/>
      <c r="F9278" s="3"/>
      <c r="G9278" s="3"/>
      <c r="H9278" s="3"/>
    </row>
    <row r="9279">
      <c r="A9279" s="2">
        <f>IFERROR(__xludf.DUMMYFUNCTION("""COMPUTED_VALUE"""),50029.0)</f>
        <v>50029</v>
      </c>
      <c r="B9279" s="3" t="str">
        <f>IFERROR(__xludf.DUMMYFUNCTION("""COMPUTED_VALUE"""),"208 CONCESSION 2 W")</f>
        <v>208 CONCESSION 2 W</v>
      </c>
      <c r="C9279" s="3" t="str">
        <f>IFERROR(__xludf.DUMMYFUNCTION("""COMPUTED_VALUE"""),"WARKWORTH ")</f>
        <v>WARKWORTH </v>
      </c>
      <c r="D9279" s="3" t="str">
        <f>IFERROR(__xludf.DUMMYFUNCTION("""COMPUTED_VALUE"""),"K0K 3K0")</f>
        <v>K0K 3K0</v>
      </c>
      <c r="E9279" s="3"/>
      <c r="F9279" s="3"/>
      <c r="G9279" s="3"/>
      <c r="H9279" s="3"/>
    </row>
    <row r="9280">
      <c r="A9280" s="2">
        <f>IFERROR(__xludf.DUMMYFUNCTION("""COMPUTED_VALUE"""),50030.0)</f>
        <v>50030</v>
      </c>
      <c r="B9280" s="3" t="str">
        <f>IFERROR(__xludf.DUMMYFUNCTION("""COMPUTED_VALUE"""),"209 CONCESSION 2 W")</f>
        <v>209 CONCESSION 2 W</v>
      </c>
      <c r="C9280" s="3" t="str">
        <f>IFERROR(__xludf.DUMMYFUNCTION("""COMPUTED_VALUE"""),"WARKWORTH ")</f>
        <v>WARKWORTH </v>
      </c>
      <c r="D9280" s="3" t="str">
        <f>IFERROR(__xludf.DUMMYFUNCTION("""COMPUTED_VALUE"""),"K0K 3K0")</f>
        <v>K0K 3K0</v>
      </c>
      <c r="E9280" s="3"/>
      <c r="F9280" s="3"/>
      <c r="G9280" s="3"/>
      <c r="H9280" s="3"/>
    </row>
    <row r="9281">
      <c r="A9281" s="2">
        <f>IFERROR(__xludf.DUMMYFUNCTION("""COMPUTED_VALUE"""),50031.0)</f>
        <v>50031</v>
      </c>
      <c r="B9281" s="3" t="str">
        <f>IFERROR(__xludf.DUMMYFUNCTION("""COMPUTED_VALUE"""),"249 CONCESSION 2 W")</f>
        <v>249 CONCESSION 2 W</v>
      </c>
      <c r="C9281" s="3" t="str">
        <f>IFERROR(__xludf.DUMMYFUNCTION("""COMPUTED_VALUE"""),"WARKWORTH ")</f>
        <v>WARKWORTH </v>
      </c>
      <c r="D9281" s="3" t="str">
        <f>IFERROR(__xludf.DUMMYFUNCTION("""COMPUTED_VALUE"""),"K0K 3K0")</f>
        <v>K0K 3K0</v>
      </c>
      <c r="E9281" s="3"/>
      <c r="F9281" s="3"/>
      <c r="G9281" s="3"/>
      <c r="H9281" s="3"/>
    </row>
    <row r="9282">
      <c r="A9282" s="2">
        <f>IFERROR(__xludf.DUMMYFUNCTION("""COMPUTED_VALUE"""),50032.0)</f>
        <v>50032</v>
      </c>
      <c r="B9282" s="3" t="str">
        <f>IFERROR(__xludf.DUMMYFUNCTION("""COMPUTED_VALUE"""),"270 CONCESSION 2 W")</f>
        <v>270 CONCESSION 2 W</v>
      </c>
      <c r="C9282" s="3" t="str">
        <f>IFERROR(__xludf.DUMMYFUNCTION("""COMPUTED_VALUE"""),"WARKWORTH ")</f>
        <v>WARKWORTH </v>
      </c>
      <c r="D9282" s="3" t="str">
        <f>IFERROR(__xludf.DUMMYFUNCTION("""COMPUTED_VALUE"""),"K0K 3K0")</f>
        <v>K0K 3K0</v>
      </c>
      <c r="E9282" s="3"/>
      <c r="F9282" s="3"/>
      <c r="G9282" s="3"/>
      <c r="H9282" s="3"/>
    </row>
    <row r="9283">
      <c r="A9283" s="2">
        <f>IFERROR(__xludf.DUMMYFUNCTION("""COMPUTED_VALUE"""),50033.0)</f>
        <v>50033</v>
      </c>
      <c r="B9283" s="3" t="str">
        <f>IFERROR(__xludf.DUMMYFUNCTION("""COMPUTED_VALUE"""),"289 CONCESSION 2 W")</f>
        <v>289 CONCESSION 2 W</v>
      </c>
      <c r="C9283" s="3" t="str">
        <f>IFERROR(__xludf.DUMMYFUNCTION("""COMPUTED_VALUE"""),"WARKWORTH ")</f>
        <v>WARKWORTH </v>
      </c>
      <c r="D9283" s="3" t="str">
        <f>IFERROR(__xludf.DUMMYFUNCTION("""COMPUTED_VALUE"""),"K0K 3K0")</f>
        <v>K0K 3K0</v>
      </c>
      <c r="E9283" s="3"/>
      <c r="F9283" s="3"/>
      <c r="G9283" s="3"/>
      <c r="H9283" s="3"/>
    </row>
    <row r="9284">
      <c r="A9284" s="2">
        <f>IFERROR(__xludf.DUMMYFUNCTION("""COMPUTED_VALUE"""),50034.0)</f>
        <v>50034</v>
      </c>
      <c r="B9284" s="3" t="str">
        <f>IFERROR(__xludf.DUMMYFUNCTION("""COMPUTED_VALUE"""),"290 CONCESSION 2 W")</f>
        <v>290 CONCESSION 2 W</v>
      </c>
      <c r="C9284" s="3" t="str">
        <f>IFERROR(__xludf.DUMMYFUNCTION("""COMPUTED_VALUE"""),"WARKWORTH ")</f>
        <v>WARKWORTH </v>
      </c>
      <c r="D9284" s="3" t="str">
        <f>IFERROR(__xludf.DUMMYFUNCTION("""COMPUTED_VALUE"""),"K0K 3K0")</f>
        <v>K0K 3K0</v>
      </c>
      <c r="E9284" s="3" t="str">
        <f>IFERROR(__xludf.DUMMYFUNCTION("""COMPUTED_VALUE"""),"Jason Fabris")</f>
        <v>Jason Fabris</v>
      </c>
      <c r="F9284" s="3" t="str">
        <f>IFERROR(__xludf.DUMMYFUNCTION("""COMPUTED_VALUE"""),"president@dirtbabyranch.ca")</f>
        <v>president@dirtbabyranch.ca</v>
      </c>
      <c r="G9284" s="3">
        <f>IFERROR(__xludf.DUMMYFUNCTION("""COMPUTED_VALUE"""),9.05655773E9)</f>
        <v>9056557730</v>
      </c>
      <c r="H9284" s="3"/>
    </row>
    <row r="9285">
      <c r="A9285" s="2">
        <f>IFERROR(__xludf.DUMMYFUNCTION("""COMPUTED_VALUE"""),50035.0)</f>
        <v>50035</v>
      </c>
      <c r="B9285" s="3" t="str">
        <f>IFERROR(__xludf.DUMMYFUNCTION("""COMPUTED_VALUE"""),"292 CONCESSION 2 RD W")</f>
        <v>292 CONCESSION 2 RD W</v>
      </c>
      <c r="C9285" s="3" t="str">
        <f>IFERROR(__xludf.DUMMYFUNCTION("""COMPUTED_VALUE"""),"WARKWORTH ")</f>
        <v>WARKWORTH </v>
      </c>
      <c r="D9285" s="3" t="str">
        <f>IFERROR(__xludf.DUMMYFUNCTION("""COMPUTED_VALUE"""),"K0K 3K0")</f>
        <v>K0K 3K0</v>
      </c>
      <c r="E9285" s="3"/>
      <c r="F9285" s="3"/>
      <c r="G9285" s="3"/>
      <c r="H9285" s="3"/>
    </row>
    <row r="9286">
      <c r="A9286" s="2">
        <f>IFERROR(__xludf.DUMMYFUNCTION("""COMPUTED_VALUE"""),50036.0)</f>
        <v>50036</v>
      </c>
      <c r="B9286" s="3" t="str">
        <f>IFERROR(__xludf.DUMMYFUNCTION("""COMPUTED_VALUE"""),"295 CONCESSION RD 2 W")</f>
        <v>295 CONCESSION RD 2 W</v>
      </c>
      <c r="C9286" s="3" t="str">
        <f>IFERROR(__xludf.DUMMYFUNCTION("""COMPUTED_VALUE"""),"WARKWORTH ")</f>
        <v>WARKWORTH </v>
      </c>
      <c r="D9286" s="3" t="str">
        <f>IFERROR(__xludf.DUMMYFUNCTION("""COMPUTED_VALUE"""),"K0K 3K0")</f>
        <v>K0K 3K0</v>
      </c>
      <c r="E9286" s="3"/>
      <c r="F9286" s="3"/>
      <c r="G9286" s="3"/>
      <c r="H9286" s="3"/>
    </row>
    <row r="9287">
      <c r="A9287" s="2">
        <f>IFERROR(__xludf.DUMMYFUNCTION("""COMPUTED_VALUE"""),50037.0)</f>
        <v>50037</v>
      </c>
      <c r="B9287" s="3" t="str">
        <f>IFERROR(__xludf.DUMMYFUNCTION("""COMPUTED_VALUE"""),"339 CONCESSION RD 2 W")</f>
        <v>339 CONCESSION RD 2 W</v>
      </c>
      <c r="C9287" s="3" t="str">
        <f>IFERROR(__xludf.DUMMYFUNCTION("""COMPUTED_VALUE"""),"WARKWORTH ")</f>
        <v>WARKWORTH </v>
      </c>
      <c r="D9287" s="3" t="str">
        <f>IFERROR(__xludf.DUMMYFUNCTION("""COMPUTED_VALUE"""),"K0K 3K0")</f>
        <v>K0K 3K0</v>
      </c>
      <c r="E9287" s="3"/>
      <c r="F9287" s="3"/>
      <c r="G9287" s="3"/>
      <c r="H9287" s="3"/>
    </row>
    <row r="9288">
      <c r="A9288" s="2">
        <f>IFERROR(__xludf.DUMMYFUNCTION("""COMPUTED_VALUE"""),50038.0)</f>
        <v>50038</v>
      </c>
      <c r="B9288" s="3" t="str">
        <f>IFERROR(__xludf.DUMMYFUNCTION("""COMPUTED_VALUE"""),"340 CONCESSION 2 W")</f>
        <v>340 CONCESSION 2 W</v>
      </c>
      <c r="C9288" s="3" t="str">
        <f>IFERROR(__xludf.DUMMYFUNCTION("""COMPUTED_VALUE"""),"WARKWORTH ")</f>
        <v>WARKWORTH </v>
      </c>
      <c r="D9288" s="3" t="str">
        <f>IFERROR(__xludf.DUMMYFUNCTION("""COMPUTED_VALUE"""),"K0K 3K0")</f>
        <v>K0K 3K0</v>
      </c>
      <c r="E9288" s="3"/>
      <c r="F9288" s="3"/>
      <c r="G9288" s="3"/>
      <c r="H9288" s="3"/>
    </row>
    <row r="9289">
      <c r="A9289" s="2">
        <f>IFERROR(__xludf.DUMMYFUNCTION("""COMPUTED_VALUE"""),50039.0)</f>
        <v>50039</v>
      </c>
      <c r="B9289" s="3" t="str">
        <f>IFERROR(__xludf.DUMMYFUNCTION("""COMPUTED_VALUE"""),"354 CONCESSION 2 W")</f>
        <v>354 CONCESSION 2 W</v>
      </c>
      <c r="C9289" s="3" t="str">
        <f>IFERROR(__xludf.DUMMYFUNCTION("""COMPUTED_VALUE"""),"WARKWORTH ")</f>
        <v>WARKWORTH </v>
      </c>
      <c r="D9289" s="3" t="str">
        <f>IFERROR(__xludf.DUMMYFUNCTION("""COMPUTED_VALUE"""),"K0K 3K0")</f>
        <v>K0K 3K0</v>
      </c>
      <c r="E9289" s="3" t="str">
        <f>IFERROR(__xludf.DUMMYFUNCTION("""COMPUTED_VALUE"""),"YONA ATTIS")</f>
        <v>YONA ATTIS</v>
      </c>
      <c r="F9289" s="3" t="str">
        <f>IFERROR(__xludf.DUMMYFUNCTION("""COMPUTED_VALUE"""),"yattisday@hotmail.com")</f>
        <v>yattisday@hotmail.com</v>
      </c>
      <c r="G9289" s="3"/>
      <c r="H9289" s="3"/>
    </row>
    <row r="9290">
      <c r="A9290" s="2">
        <f>IFERROR(__xludf.DUMMYFUNCTION("""COMPUTED_VALUE"""),50040.0)</f>
        <v>50040</v>
      </c>
      <c r="B9290" s="3" t="str">
        <f>IFERROR(__xludf.DUMMYFUNCTION("""COMPUTED_VALUE"""),"357 CONCESSION RD 2 W")</f>
        <v>357 CONCESSION RD 2 W</v>
      </c>
      <c r="C9290" s="3" t="str">
        <f>IFERROR(__xludf.DUMMYFUNCTION("""COMPUTED_VALUE"""),"WARKWORTH ")</f>
        <v>WARKWORTH </v>
      </c>
      <c r="D9290" s="3" t="str">
        <f>IFERROR(__xludf.DUMMYFUNCTION("""COMPUTED_VALUE"""),"K0K 3K0")</f>
        <v>K0K 3K0</v>
      </c>
      <c r="E9290" s="3" t="str">
        <f>IFERROR(__xludf.DUMMYFUNCTION("""COMPUTED_VALUE"""),"Iain Morris")</f>
        <v>Iain Morris</v>
      </c>
      <c r="F9290" s="3" t="str">
        <f>IFERROR(__xludf.DUMMYFUNCTION("""COMPUTED_VALUE"""),"iain.anderson.morris@gmail.com")</f>
        <v>iain.anderson.morris@gmail.com</v>
      </c>
      <c r="G9290" s="3">
        <f>IFERROR(__xludf.DUMMYFUNCTION("""COMPUTED_VALUE"""),4.163575359E9)</f>
        <v>4163575359</v>
      </c>
      <c r="H9290" s="3">
        <f>IFERROR(__xludf.DUMMYFUNCTION("""COMPUTED_VALUE"""),4.169863482E9)</f>
        <v>4169863482</v>
      </c>
    </row>
    <row r="9291">
      <c r="A9291" s="2">
        <f>IFERROR(__xludf.DUMMYFUNCTION("""COMPUTED_VALUE"""),50041.0)</f>
        <v>50041</v>
      </c>
      <c r="B9291" s="3" t="str">
        <f>IFERROR(__xludf.DUMMYFUNCTION("""COMPUTED_VALUE"""),"361 CONCESSION 2 W")</f>
        <v>361 CONCESSION 2 W</v>
      </c>
      <c r="C9291" s="3" t="str">
        <f>IFERROR(__xludf.DUMMYFUNCTION("""COMPUTED_VALUE"""),"WARKWORTH ")</f>
        <v>WARKWORTH </v>
      </c>
      <c r="D9291" s="3" t="str">
        <f>IFERROR(__xludf.DUMMYFUNCTION("""COMPUTED_VALUE"""),"K0K 3K0")</f>
        <v>K0K 3K0</v>
      </c>
      <c r="E9291" s="3"/>
      <c r="F9291" s="3"/>
      <c r="G9291" s="3"/>
      <c r="H9291" s="3"/>
    </row>
    <row r="9292">
      <c r="A9292" s="2">
        <f>IFERROR(__xludf.DUMMYFUNCTION("""COMPUTED_VALUE"""),50042.0)</f>
        <v>50042</v>
      </c>
      <c r="B9292" s="3" t="str">
        <f>IFERROR(__xludf.DUMMYFUNCTION("""COMPUTED_VALUE"""),"367 2ND CONCESSION RD W")</f>
        <v>367 2ND CONCESSION RD W</v>
      </c>
      <c r="C9292" s="3" t="str">
        <f>IFERROR(__xludf.DUMMYFUNCTION("""COMPUTED_VALUE"""),"WARKWORTH ")</f>
        <v>WARKWORTH </v>
      </c>
      <c r="D9292" s="3" t="str">
        <f>IFERROR(__xludf.DUMMYFUNCTION("""COMPUTED_VALUE"""),"K0K 3K0")</f>
        <v>K0K 3K0</v>
      </c>
      <c r="E9292" s="3"/>
      <c r="F9292" s="3"/>
      <c r="G9292" s="3"/>
      <c r="H9292" s="3"/>
    </row>
    <row r="9293">
      <c r="A9293" s="2">
        <f>IFERROR(__xludf.DUMMYFUNCTION("""COMPUTED_VALUE"""),50043.0)</f>
        <v>50043</v>
      </c>
      <c r="B9293" s="3" t="str">
        <f>IFERROR(__xludf.DUMMYFUNCTION("""COMPUTED_VALUE"""),"390 CONCESSION 2 W")</f>
        <v>390 CONCESSION 2 W</v>
      </c>
      <c r="C9293" s="3" t="str">
        <f>IFERROR(__xludf.DUMMYFUNCTION("""COMPUTED_VALUE"""),"WARKWORTH ")</f>
        <v>WARKWORTH </v>
      </c>
      <c r="D9293" s="3" t="str">
        <f>IFERROR(__xludf.DUMMYFUNCTION("""COMPUTED_VALUE"""),"K0K 3K0")</f>
        <v>K0K 3K0</v>
      </c>
      <c r="E9293" s="3"/>
      <c r="F9293" s="3"/>
      <c r="G9293" s="3"/>
      <c r="H9293" s="3"/>
    </row>
    <row r="9294">
      <c r="A9294" s="2">
        <f>IFERROR(__xludf.DUMMYFUNCTION("""COMPUTED_VALUE"""),50044.0)</f>
        <v>50044</v>
      </c>
      <c r="B9294" s="3" t="str">
        <f>IFERROR(__xludf.DUMMYFUNCTION("""COMPUTED_VALUE"""),"415 CONCESSION 2 W")</f>
        <v>415 CONCESSION 2 W</v>
      </c>
      <c r="C9294" s="3" t="str">
        <f>IFERROR(__xludf.DUMMYFUNCTION("""COMPUTED_VALUE"""),"WARKWORTH ")</f>
        <v>WARKWORTH </v>
      </c>
      <c r="D9294" s="3" t="str">
        <f>IFERROR(__xludf.DUMMYFUNCTION("""COMPUTED_VALUE"""),"K0K 3K0")</f>
        <v>K0K 3K0</v>
      </c>
      <c r="E9294" s="3" t="str">
        <f>IFERROR(__xludf.DUMMYFUNCTION("""COMPUTED_VALUE"""),"Jeffrey Maw")</f>
        <v>Jeffrey Maw</v>
      </c>
      <c r="F9294" s="3" t="str">
        <f>IFERROR(__xludf.DUMMYFUNCTION("""COMPUTED_VALUE"""),"jeffreymaw84@gmail.com")</f>
        <v>jeffreymaw84@gmail.com</v>
      </c>
      <c r="G9294" s="3"/>
      <c r="H9294" s="3"/>
    </row>
    <row r="9295">
      <c r="A9295" s="2">
        <f>IFERROR(__xludf.DUMMYFUNCTION("""COMPUTED_VALUE"""),50045.0)</f>
        <v>50045</v>
      </c>
      <c r="B9295" s="3" t="str">
        <f>IFERROR(__xludf.DUMMYFUNCTION("""COMPUTED_VALUE"""),"424 CONCESSION RD 2 W")</f>
        <v>424 CONCESSION RD 2 W</v>
      </c>
      <c r="C9295" s="3" t="str">
        <f>IFERROR(__xludf.DUMMYFUNCTION("""COMPUTED_VALUE"""),"WARKWORTH ")</f>
        <v>WARKWORTH </v>
      </c>
      <c r="D9295" s="3" t="str">
        <f>IFERROR(__xludf.DUMMYFUNCTION("""COMPUTED_VALUE"""),"K0K 3K0")</f>
        <v>K0K 3K0</v>
      </c>
      <c r="E9295" s="3"/>
      <c r="F9295" s="3"/>
      <c r="G9295" s="3"/>
      <c r="H9295" s="3"/>
    </row>
    <row r="9296">
      <c r="A9296" s="2">
        <f>IFERROR(__xludf.DUMMYFUNCTION("""COMPUTED_VALUE"""),50046.0)</f>
        <v>50046</v>
      </c>
      <c r="B9296" s="3" t="str">
        <f>IFERROR(__xludf.DUMMYFUNCTION("""COMPUTED_VALUE"""),"425 CONCESSION 2 W")</f>
        <v>425 CONCESSION 2 W</v>
      </c>
      <c r="C9296" s="3" t="str">
        <f>IFERROR(__xludf.DUMMYFUNCTION("""COMPUTED_VALUE"""),"WARKWORTH ")</f>
        <v>WARKWORTH </v>
      </c>
      <c r="D9296" s="3" t="str">
        <f>IFERROR(__xludf.DUMMYFUNCTION("""COMPUTED_VALUE"""),"K0K 3K0")</f>
        <v>K0K 3K0</v>
      </c>
      <c r="E9296" s="3"/>
      <c r="F9296" s="3"/>
      <c r="G9296" s="3"/>
      <c r="H9296" s="3"/>
    </row>
    <row r="9297">
      <c r="A9297" s="2">
        <f>IFERROR(__xludf.DUMMYFUNCTION("""COMPUTED_VALUE"""),50047.0)</f>
        <v>50047</v>
      </c>
      <c r="B9297" s="3" t="str">
        <f>IFERROR(__xludf.DUMMYFUNCTION("""COMPUTED_VALUE"""),"429 CONCESSION RD 2 W")</f>
        <v>429 CONCESSION RD 2 W</v>
      </c>
      <c r="C9297" s="3" t="str">
        <f>IFERROR(__xludf.DUMMYFUNCTION("""COMPUTED_VALUE"""),"WARKWORTH ")</f>
        <v>WARKWORTH </v>
      </c>
      <c r="D9297" s="3" t="str">
        <f>IFERROR(__xludf.DUMMYFUNCTION("""COMPUTED_VALUE"""),"K0K 3K0")</f>
        <v>K0K 3K0</v>
      </c>
      <c r="E9297" s="3"/>
      <c r="F9297" s="3"/>
      <c r="G9297" s="3"/>
      <c r="H9297" s="3"/>
    </row>
    <row r="9298">
      <c r="A9298" s="2">
        <f>IFERROR(__xludf.DUMMYFUNCTION("""COMPUTED_VALUE"""),50048.0)</f>
        <v>50048</v>
      </c>
      <c r="B9298" s="3" t="str">
        <f>IFERROR(__xludf.DUMMYFUNCTION("""COMPUTED_VALUE"""),"457 CONCESSION 2 RD W")</f>
        <v>457 CONCESSION 2 RD W</v>
      </c>
      <c r="C9298" s="3" t="str">
        <f>IFERROR(__xludf.DUMMYFUNCTION("""COMPUTED_VALUE"""),"WARKWORTH ")</f>
        <v>WARKWORTH </v>
      </c>
      <c r="D9298" s="3" t="str">
        <f>IFERROR(__xludf.DUMMYFUNCTION("""COMPUTED_VALUE"""),"K0K 3K0")</f>
        <v>K0K 3K0</v>
      </c>
      <c r="E9298" s="3"/>
      <c r="F9298" s="3"/>
      <c r="G9298" s="3"/>
      <c r="H9298" s="3"/>
    </row>
    <row r="9299">
      <c r="A9299" s="2">
        <f>IFERROR(__xludf.DUMMYFUNCTION("""COMPUTED_VALUE"""),50049.0)</f>
        <v>50049</v>
      </c>
      <c r="B9299" s="3" t="str">
        <f>IFERROR(__xludf.DUMMYFUNCTION("""COMPUTED_VALUE"""),"460 CONCESSION 2 W")</f>
        <v>460 CONCESSION 2 W</v>
      </c>
      <c r="C9299" s="3" t="str">
        <f>IFERROR(__xludf.DUMMYFUNCTION("""COMPUTED_VALUE"""),"WARKWORTH ")</f>
        <v>WARKWORTH </v>
      </c>
      <c r="D9299" s="3" t="str">
        <f>IFERROR(__xludf.DUMMYFUNCTION("""COMPUTED_VALUE"""),"K0K 3K0")</f>
        <v>K0K 3K0</v>
      </c>
      <c r="E9299" s="3"/>
      <c r="F9299" s="3"/>
      <c r="G9299" s="3"/>
      <c r="H9299" s="3"/>
    </row>
    <row r="9300">
      <c r="A9300" s="2">
        <f>IFERROR(__xludf.DUMMYFUNCTION("""COMPUTED_VALUE"""),50050.0)</f>
        <v>50050</v>
      </c>
      <c r="B9300" s="3" t="str">
        <f>IFERROR(__xludf.DUMMYFUNCTION("""COMPUTED_VALUE"""),"491 CONCESSION 2 RD W")</f>
        <v>491 CONCESSION 2 RD W</v>
      </c>
      <c r="C9300" s="3" t="str">
        <f>IFERROR(__xludf.DUMMYFUNCTION("""COMPUTED_VALUE"""),"WARKWORTH ")</f>
        <v>WARKWORTH </v>
      </c>
      <c r="D9300" s="3" t="str">
        <f>IFERROR(__xludf.DUMMYFUNCTION("""COMPUTED_VALUE"""),"K0K 3K0")</f>
        <v>K0K 3K0</v>
      </c>
      <c r="E9300" s="3"/>
      <c r="F9300" s="3"/>
      <c r="G9300" s="3"/>
      <c r="H9300" s="3"/>
    </row>
    <row r="9301">
      <c r="A9301" s="2">
        <f>IFERROR(__xludf.DUMMYFUNCTION("""COMPUTED_VALUE"""),50051.0)</f>
        <v>50051</v>
      </c>
      <c r="B9301" s="3" t="str">
        <f>IFERROR(__xludf.DUMMYFUNCTION("""COMPUTED_VALUE"""),"507 CONCESSION 2 RD W")</f>
        <v>507 CONCESSION 2 RD W</v>
      </c>
      <c r="C9301" s="3" t="str">
        <f>IFERROR(__xludf.DUMMYFUNCTION("""COMPUTED_VALUE"""),"WARKWORTH ")</f>
        <v>WARKWORTH </v>
      </c>
      <c r="D9301" s="3" t="str">
        <f>IFERROR(__xludf.DUMMYFUNCTION("""COMPUTED_VALUE"""),"K0K 3K0")</f>
        <v>K0K 3K0</v>
      </c>
      <c r="E9301" s="3"/>
      <c r="F9301" s="3"/>
      <c r="G9301" s="3"/>
      <c r="H9301" s="3"/>
    </row>
    <row r="9302">
      <c r="A9302" s="2">
        <f>IFERROR(__xludf.DUMMYFUNCTION("""COMPUTED_VALUE"""),50052.0)</f>
        <v>50052</v>
      </c>
      <c r="B9302" s="3" t="str">
        <f>IFERROR(__xludf.DUMMYFUNCTION("""COMPUTED_VALUE"""),"510 CONCESSION 2 W")</f>
        <v>510 CONCESSION 2 W</v>
      </c>
      <c r="C9302" s="3" t="str">
        <f>IFERROR(__xludf.DUMMYFUNCTION("""COMPUTED_VALUE"""),"WARKWORTH ")</f>
        <v>WARKWORTH </v>
      </c>
      <c r="D9302" s="3" t="str">
        <f>IFERROR(__xludf.DUMMYFUNCTION("""COMPUTED_VALUE"""),"K0K 3K0")</f>
        <v>K0K 3K0</v>
      </c>
      <c r="E9302" s="3"/>
      <c r="F9302" s="3"/>
      <c r="G9302" s="3"/>
      <c r="H9302" s="3"/>
    </row>
    <row r="9303">
      <c r="A9303" s="2">
        <f>IFERROR(__xludf.DUMMYFUNCTION("""COMPUTED_VALUE"""),50053.0)</f>
        <v>50053</v>
      </c>
      <c r="B9303" s="3" t="str">
        <f>IFERROR(__xludf.DUMMYFUNCTION("""COMPUTED_VALUE"""),"530 CONCESSION 2 RD W")</f>
        <v>530 CONCESSION 2 RD W</v>
      </c>
      <c r="C9303" s="3" t="str">
        <f>IFERROR(__xludf.DUMMYFUNCTION("""COMPUTED_VALUE"""),"WARKWORTH ")</f>
        <v>WARKWORTH </v>
      </c>
      <c r="D9303" s="3" t="str">
        <f>IFERROR(__xludf.DUMMYFUNCTION("""COMPUTED_VALUE"""),"K0K 3K0")</f>
        <v>K0K 3K0</v>
      </c>
      <c r="E9303" s="3"/>
      <c r="F9303" s="3"/>
      <c r="G9303" s="3"/>
      <c r="H9303" s="3"/>
    </row>
    <row r="9304">
      <c r="A9304" s="2">
        <f>IFERROR(__xludf.DUMMYFUNCTION("""COMPUTED_VALUE"""),50054.0)</f>
        <v>50054</v>
      </c>
      <c r="B9304" s="3" t="str">
        <f>IFERROR(__xludf.DUMMYFUNCTION("""COMPUTED_VALUE"""),"540 CONCESSION 2 RD W")</f>
        <v>540 CONCESSION 2 RD W</v>
      </c>
      <c r="C9304" s="3" t="str">
        <f>IFERROR(__xludf.DUMMYFUNCTION("""COMPUTED_VALUE"""),"WARKWORTH ")</f>
        <v>WARKWORTH </v>
      </c>
      <c r="D9304" s="3" t="str">
        <f>IFERROR(__xludf.DUMMYFUNCTION("""COMPUTED_VALUE"""),"K0K 3K0")</f>
        <v>K0K 3K0</v>
      </c>
      <c r="E9304" s="3"/>
      <c r="F9304" s="3"/>
      <c r="G9304" s="3"/>
      <c r="H9304" s="3"/>
    </row>
    <row r="9305">
      <c r="A9305" s="2">
        <f>IFERROR(__xludf.DUMMYFUNCTION("""COMPUTED_VALUE"""),50055.0)</f>
        <v>50055</v>
      </c>
      <c r="B9305" s="3" t="str">
        <f>IFERROR(__xludf.DUMMYFUNCTION("""COMPUTED_VALUE"""),"590 CONCESSION 2 W")</f>
        <v>590 CONCESSION 2 W</v>
      </c>
      <c r="C9305" s="3" t="str">
        <f>IFERROR(__xludf.DUMMYFUNCTION("""COMPUTED_VALUE"""),"WARKWORTH ")</f>
        <v>WARKWORTH </v>
      </c>
      <c r="D9305" s="3" t="str">
        <f>IFERROR(__xludf.DUMMYFUNCTION("""COMPUTED_VALUE"""),"K0K 3K0")</f>
        <v>K0K 3K0</v>
      </c>
      <c r="E9305" s="3" t="str">
        <f>IFERROR(__xludf.DUMMYFUNCTION("""COMPUTED_VALUE"""),"Robert Howe")</f>
        <v>Robert Howe</v>
      </c>
      <c r="F9305" s="3" t="str">
        <f>IFERROR(__xludf.DUMMYFUNCTION("""COMPUTED_VALUE"""),"robdhowe@outlook.com")</f>
        <v>robdhowe@outlook.com</v>
      </c>
      <c r="G9305" s="3">
        <f>IFERROR(__xludf.DUMMYFUNCTION("""COMPUTED_VALUE"""),4.167268771E9)</f>
        <v>4167268771</v>
      </c>
      <c r="H9305" s="3">
        <f>IFERROR(__xludf.DUMMYFUNCTION("""COMPUTED_VALUE"""),4.164825116E9)</f>
        <v>4164825116</v>
      </c>
    </row>
    <row r="9306">
      <c r="A9306" s="2">
        <f>IFERROR(__xludf.DUMMYFUNCTION("""COMPUTED_VALUE"""),50061.0)</f>
        <v>50061</v>
      </c>
      <c r="B9306" s="3" t="str">
        <f>IFERROR(__xludf.DUMMYFUNCTION("""COMPUTED_VALUE"""),"11653 2ND LINE RD")</f>
        <v>11653 2ND LINE RD</v>
      </c>
      <c r="C9306" s="3" t="str">
        <f>IFERROR(__xludf.DUMMYFUNCTION("""COMPUTED_VALUE"""),"ROSENEATH ")</f>
        <v>ROSENEATH </v>
      </c>
      <c r="D9306" s="3" t="str">
        <f>IFERROR(__xludf.DUMMYFUNCTION("""COMPUTED_VALUE"""),"K0K 2X0")</f>
        <v>K0K 2X0</v>
      </c>
      <c r="E9306" s="3"/>
      <c r="F9306" s="3"/>
      <c r="G9306" s="3"/>
      <c r="H9306" s="3"/>
    </row>
    <row r="9307">
      <c r="A9307" s="2">
        <f>IFERROR(__xludf.DUMMYFUNCTION("""COMPUTED_VALUE"""),50062.0)</f>
        <v>50062</v>
      </c>
      <c r="B9307" s="3" t="str">
        <f>IFERROR(__xludf.DUMMYFUNCTION("""COMPUTED_VALUE"""),"11660 2ND LINE RD")</f>
        <v>11660 2ND LINE RD</v>
      </c>
      <c r="C9307" s="3" t="str">
        <f>IFERROR(__xludf.DUMMYFUNCTION("""COMPUTED_VALUE"""),"ROSENEATH ")</f>
        <v>ROSENEATH </v>
      </c>
      <c r="D9307" s="3" t="str">
        <f>IFERROR(__xludf.DUMMYFUNCTION("""COMPUTED_VALUE"""),"K0K 2X0")</f>
        <v>K0K 2X0</v>
      </c>
      <c r="E9307" s="3"/>
      <c r="F9307" s="3"/>
      <c r="G9307" s="3"/>
      <c r="H9307" s="3"/>
    </row>
    <row r="9308">
      <c r="A9308" s="2">
        <f>IFERROR(__xludf.DUMMYFUNCTION("""COMPUTED_VALUE"""),50063.0)</f>
        <v>50063</v>
      </c>
      <c r="B9308" s="3" t="str">
        <f>IFERROR(__xludf.DUMMYFUNCTION("""COMPUTED_VALUE"""),"11667 2ND LINE RD")</f>
        <v>11667 2ND LINE RD</v>
      </c>
      <c r="C9308" s="3" t="str">
        <f>IFERROR(__xludf.DUMMYFUNCTION("""COMPUTED_VALUE"""),"ROSENEATH ")</f>
        <v>ROSENEATH </v>
      </c>
      <c r="D9308" s="3" t="str">
        <f>IFERROR(__xludf.DUMMYFUNCTION("""COMPUTED_VALUE"""),"K0K 2X0")</f>
        <v>K0K 2X0</v>
      </c>
      <c r="E9308" s="3"/>
      <c r="F9308" s="3"/>
      <c r="G9308" s="3"/>
      <c r="H9308" s="3"/>
    </row>
    <row r="9309">
      <c r="A9309" s="2">
        <f>IFERROR(__xludf.DUMMYFUNCTION("""COMPUTED_VALUE"""),50064.0)</f>
        <v>50064</v>
      </c>
      <c r="B9309" s="3" t="str">
        <f>IFERROR(__xludf.DUMMYFUNCTION("""COMPUTED_VALUE"""),"11668 2ND LINE RD")</f>
        <v>11668 2ND LINE RD</v>
      </c>
      <c r="C9309" s="3" t="str">
        <f>IFERROR(__xludf.DUMMYFUNCTION("""COMPUTED_VALUE"""),"ROSENEATH ")</f>
        <v>ROSENEATH </v>
      </c>
      <c r="D9309" s="3" t="str">
        <f>IFERROR(__xludf.DUMMYFUNCTION("""COMPUTED_VALUE"""),"K0K 2X0")</f>
        <v>K0K 2X0</v>
      </c>
      <c r="E9309" s="3"/>
      <c r="F9309" s="3"/>
      <c r="G9309" s="3"/>
      <c r="H9309" s="3"/>
    </row>
    <row r="9310">
      <c r="A9310" s="2">
        <f>IFERROR(__xludf.DUMMYFUNCTION("""COMPUTED_VALUE"""),50065.0)</f>
        <v>50065</v>
      </c>
      <c r="B9310" s="3" t="str">
        <f>IFERROR(__xludf.DUMMYFUNCTION("""COMPUTED_VALUE"""),"11670 2ND LINE RD")</f>
        <v>11670 2ND LINE RD</v>
      </c>
      <c r="C9310" s="3" t="str">
        <f>IFERROR(__xludf.DUMMYFUNCTION("""COMPUTED_VALUE"""),"ROSENEATH ")</f>
        <v>ROSENEATH </v>
      </c>
      <c r="D9310" s="3" t="str">
        <f>IFERROR(__xludf.DUMMYFUNCTION("""COMPUTED_VALUE"""),"K0K 2X0")</f>
        <v>K0K 2X0</v>
      </c>
      <c r="E9310" s="3"/>
      <c r="F9310" s="3"/>
      <c r="G9310" s="3"/>
      <c r="H9310" s="3"/>
    </row>
    <row r="9311">
      <c r="A9311" s="2">
        <f>IFERROR(__xludf.DUMMYFUNCTION("""COMPUTED_VALUE"""),50066.0)</f>
        <v>50066</v>
      </c>
      <c r="B9311" s="3" t="str">
        <f>IFERROR(__xludf.DUMMYFUNCTION("""COMPUTED_VALUE"""),"11692 2ND LINE RD")</f>
        <v>11692 2ND LINE RD</v>
      </c>
      <c r="C9311" s="3" t="str">
        <f>IFERROR(__xludf.DUMMYFUNCTION("""COMPUTED_VALUE"""),"ROSENEATH ")</f>
        <v>ROSENEATH </v>
      </c>
      <c r="D9311" s="3" t="str">
        <f>IFERROR(__xludf.DUMMYFUNCTION("""COMPUTED_VALUE"""),"K0K 2X0")</f>
        <v>K0K 2X0</v>
      </c>
      <c r="E9311" s="3"/>
      <c r="F9311" s="3"/>
      <c r="G9311" s="3"/>
      <c r="H9311" s="3"/>
    </row>
    <row r="9312">
      <c r="A9312" s="2">
        <f>IFERROR(__xludf.DUMMYFUNCTION("""COMPUTED_VALUE"""),50067.0)</f>
        <v>50067</v>
      </c>
      <c r="B9312" s="3" t="str">
        <f>IFERROR(__xludf.DUMMYFUNCTION("""COMPUTED_VALUE"""),"11696 2ND LINE RD")</f>
        <v>11696 2ND LINE RD</v>
      </c>
      <c r="C9312" s="3" t="str">
        <f>IFERROR(__xludf.DUMMYFUNCTION("""COMPUTED_VALUE"""),"ROSENEATH ")</f>
        <v>ROSENEATH </v>
      </c>
      <c r="D9312" s="3" t="str">
        <f>IFERROR(__xludf.DUMMYFUNCTION("""COMPUTED_VALUE"""),"K0K 2X0")</f>
        <v>K0K 2X0</v>
      </c>
      <c r="E9312" s="3"/>
      <c r="F9312" s="3"/>
      <c r="G9312" s="3"/>
      <c r="H9312" s="3"/>
    </row>
    <row r="9313">
      <c r="A9313" s="2">
        <f>IFERROR(__xludf.DUMMYFUNCTION("""COMPUTED_VALUE"""),50068.0)</f>
        <v>50068</v>
      </c>
      <c r="B9313" s="3" t="str">
        <f>IFERROR(__xludf.DUMMYFUNCTION("""COMPUTED_VALUE"""),"11712 2ND LINE RD")</f>
        <v>11712 2ND LINE RD</v>
      </c>
      <c r="C9313" s="3" t="str">
        <f>IFERROR(__xludf.DUMMYFUNCTION("""COMPUTED_VALUE"""),"ROSENEATH ")</f>
        <v>ROSENEATH </v>
      </c>
      <c r="D9313" s="3" t="str">
        <f>IFERROR(__xludf.DUMMYFUNCTION("""COMPUTED_VALUE"""),"K0K 2X0")</f>
        <v>K0K 2X0</v>
      </c>
      <c r="E9313" s="3"/>
      <c r="F9313" s="3"/>
      <c r="G9313" s="3"/>
      <c r="H9313" s="3"/>
    </row>
    <row r="9314">
      <c r="A9314" s="2">
        <f>IFERROR(__xludf.DUMMYFUNCTION("""COMPUTED_VALUE"""),50069.0)</f>
        <v>50069</v>
      </c>
      <c r="B9314" s="3" t="str">
        <f>IFERROR(__xludf.DUMMYFUNCTION("""COMPUTED_VALUE"""),"11732 2ND LINE RD")</f>
        <v>11732 2ND LINE RD</v>
      </c>
      <c r="C9314" s="3" t="str">
        <f>IFERROR(__xludf.DUMMYFUNCTION("""COMPUTED_VALUE"""),"ROSENEATH ")</f>
        <v>ROSENEATH </v>
      </c>
      <c r="D9314" s="3" t="str">
        <f>IFERROR(__xludf.DUMMYFUNCTION("""COMPUTED_VALUE"""),"K0K 2X0")</f>
        <v>K0K 2X0</v>
      </c>
      <c r="E9314" s="3"/>
      <c r="F9314" s="3"/>
      <c r="G9314" s="3"/>
      <c r="H9314" s="3"/>
    </row>
    <row r="9315">
      <c r="A9315" s="2">
        <f>IFERROR(__xludf.DUMMYFUNCTION("""COMPUTED_VALUE"""),50070.0)</f>
        <v>50070</v>
      </c>
      <c r="B9315" s="3" t="str">
        <f>IFERROR(__xludf.DUMMYFUNCTION("""COMPUTED_VALUE"""),"11748 2ND LINE RD")</f>
        <v>11748 2ND LINE RD</v>
      </c>
      <c r="C9315" s="3" t="str">
        <f>IFERROR(__xludf.DUMMYFUNCTION("""COMPUTED_VALUE"""),"ROSENEATH ")</f>
        <v>ROSENEATH </v>
      </c>
      <c r="D9315" s="3" t="str">
        <f>IFERROR(__xludf.DUMMYFUNCTION("""COMPUTED_VALUE"""),"K0K 2X0")</f>
        <v>K0K 2X0</v>
      </c>
      <c r="E9315" s="3"/>
      <c r="F9315" s="3"/>
      <c r="G9315" s="3"/>
      <c r="H9315" s="3"/>
    </row>
    <row r="9316">
      <c r="A9316" s="2">
        <f>IFERROR(__xludf.DUMMYFUNCTION("""COMPUTED_VALUE"""),50071.0)</f>
        <v>50071</v>
      </c>
      <c r="B9316" s="3" t="str">
        <f>IFERROR(__xludf.DUMMYFUNCTION("""COMPUTED_VALUE"""),"11803 2ND LINE RD")</f>
        <v>11803 2ND LINE RD</v>
      </c>
      <c r="C9316" s="3" t="str">
        <f>IFERROR(__xludf.DUMMYFUNCTION("""COMPUTED_VALUE"""),"ROSENEATH ")</f>
        <v>ROSENEATH </v>
      </c>
      <c r="D9316" s="3" t="str">
        <f>IFERROR(__xludf.DUMMYFUNCTION("""COMPUTED_VALUE"""),"K0K 2X0")</f>
        <v>K0K 2X0</v>
      </c>
      <c r="E9316" s="3"/>
      <c r="F9316" s="3"/>
      <c r="G9316" s="3"/>
      <c r="H9316" s="3"/>
    </row>
    <row r="9317">
      <c r="A9317" s="2">
        <f>IFERROR(__xludf.DUMMYFUNCTION("""COMPUTED_VALUE"""),50072.0)</f>
        <v>50072</v>
      </c>
      <c r="B9317" s="3" t="str">
        <f>IFERROR(__xludf.DUMMYFUNCTION("""COMPUTED_VALUE"""),"11812 2ND LINE RD")</f>
        <v>11812 2ND LINE RD</v>
      </c>
      <c r="C9317" s="3" t="str">
        <f>IFERROR(__xludf.DUMMYFUNCTION("""COMPUTED_VALUE"""),"ROSENEATH ")</f>
        <v>ROSENEATH </v>
      </c>
      <c r="D9317" s="3" t="str">
        <f>IFERROR(__xludf.DUMMYFUNCTION("""COMPUTED_VALUE"""),"K0K 2X0")</f>
        <v>K0K 2X0</v>
      </c>
      <c r="E9317" s="3" t="str">
        <f>IFERROR(__xludf.DUMMYFUNCTION("""COMPUTED_VALUE"""),"Julie Bothwell")</f>
        <v>Julie Bothwell</v>
      </c>
      <c r="F9317" s="3" t="str">
        <f>IFERROR(__xludf.DUMMYFUNCTION("""COMPUTED_VALUE"""),"jbothwell@alderville.ca")</f>
        <v>jbothwell@alderville.ca</v>
      </c>
      <c r="G9317" s="3">
        <f>IFERROR(__xludf.DUMMYFUNCTION("""COMPUTED_VALUE"""),9.053767988E9)</f>
        <v>9053767988</v>
      </c>
      <c r="H9317" s="3"/>
    </row>
    <row r="9318">
      <c r="A9318" s="2">
        <f>IFERROR(__xludf.DUMMYFUNCTION("""COMPUTED_VALUE"""),50073.0)</f>
        <v>50073</v>
      </c>
      <c r="B9318" s="3" t="str">
        <f>IFERROR(__xludf.DUMMYFUNCTION("""COMPUTED_VALUE"""),"11843 2ND LINE RD")</f>
        <v>11843 2ND LINE RD</v>
      </c>
      <c r="C9318" s="3" t="str">
        <f>IFERROR(__xludf.DUMMYFUNCTION("""COMPUTED_VALUE"""),"ROSENEATH ")</f>
        <v>ROSENEATH </v>
      </c>
      <c r="D9318" s="3" t="str">
        <f>IFERROR(__xludf.DUMMYFUNCTION("""COMPUTED_VALUE"""),"K0K 2X0")</f>
        <v>K0K 2X0</v>
      </c>
      <c r="E9318" s="3"/>
      <c r="F9318" s="3"/>
      <c r="G9318" s="3"/>
      <c r="H9318" s="3"/>
    </row>
    <row r="9319">
      <c r="A9319" s="2">
        <f>IFERROR(__xludf.DUMMYFUNCTION("""COMPUTED_VALUE"""),50074.0)</f>
        <v>50074</v>
      </c>
      <c r="B9319" s="3" t="str">
        <f>IFERROR(__xludf.DUMMYFUNCTION("""COMPUTED_VALUE"""),"11847 2ND LINE RD")</f>
        <v>11847 2ND LINE RD</v>
      </c>
      <c r="C9319" s="3" t="str">
        <f>IFERROR(__xludf.DUMMYFUNCTION("""COMPUTED_VALUE"""),"ROSENEATH ")</f>
        <v>ROSENEATH </v>
      </c>
      <c r="D9319" s="3" t="str">
        <f>IFERROR(__xludf.DUMMYFUNCTION("""COMPUTED_VALUE"""),"K0K 2X0")</f>
        <v>K0K 2X0</v>
      </c>
      <c r="E9319" s="3"/>
      <c r="F9319" s="3"/>
      <c r="G9319" s="3"/>
      <c r="H9319" s="3"/>
    </row>
    <row r="9320">
      <c r="A9320" s="2">
        <f>IFERROR(__xludf.DUMMYFUNCTION("""COMPUTED_VALUE"""),50075.0)</f>
        <v>50075</v>
      </c>
      <c r="B9320" s="3" t="str">
        <f>IFERROR(__xludf.DUMMYFUNCTION("""COMPUTED_VALUE"""),"11848 2ND LINE RD")</f>
        <v>11848 2ND LINE RD</v>
      </c>
      <c r="C9320" s="3" t="str">
        <f>IFERROR(__xludf.DUMMYFUNCTION("""COMPUTED_VALUE"""),"ROSENEATH ")</f>
        <v>ROSENEATH </v>
      </c>
      <c r="D9320" s="3" t="str">
        <f>IFERROR(__xludf.DUMMYFUNCTION("""COMPUTED_VALUE"""),"K0K 2X0")</f>
        <v>K0K 2X0</v>
      </c>
      <c r="E9320" s="3"/>
      <c r="F9320" s="3"/>
      <c r="G9320" s="3"/>
      <c r="H9320" s="3"/>
    </row>
    <row r="9321">
      <c r="A9321" s="2">
        <f>IFERROR(__xludf.DUMMYFUNCTION("""COMPUTED_VALUE"""),50084.0)</f>
        <v>50084</v>
      </c>
      <c r="B9321" s="3" t="str">
        <f>IFERROR(__xludf.DUMMYFUNCTION("""COMPUTED_VALUE"""),"12332 2ND LINE RD")</f>
        <v>12332 2ND LINE RD</v>
      </c>
      <c r="C9321" s="3" t="str">
        <f>IFERROR(__xludf.DUMMYFUNCTION("""COMPUTED_VALUE"""),"ROSENEATH ")</f>
        <v>ROSENEATH </v>
      </c>
      <c r="D9321" s="3" t="str">
        <f>IFERROR(__xludf.DUMMYFUNCTION("""COMPUTED_VALUE"""),"K0K 2X0")</f>
        <v>K0K 2X0</v>
      </c>
      <c r="E9321" s="3"/>
      <c r="F9321" s="3"/>
      <c r="G9321" s="3"/>
      <c r="H9321" s="3"/>
    </row>
    <row r="9322">
      <c r="A9322" s="2">
        <f>IFERROR(__xludf.DUMMYFUNCTION("""COMPUTED_VALUE"""),50085.0)</f>
        <v>50085</v>
      </c>
      <c r="B9322" s="3" t="str">
        <f>IFERROR(__xludf.DUMMYFUNCTION("""COMPUTED_VALUE"""),"12432 2ND LINE RD")</f>
        <v>12432 2ND LINE RD</v>
      </c>
      <c r="C9322" s="3" t="str">
        <f>IFERROR(__xludf.DUMMYFUNCTION("""COMPUTED_VALUE"""),"ROSENEATH ")</f>
        <v>ROSENEATH </v>
      </c>
      <c r="D9322" s="3" t="str">
        <f>IFERROR(__xludf.DUMMYFUNCTION("""COMPUTED_VALUE"""),"K0K 2X0")</f>
        <v>K0K 2X0</v>
      </c>
      <c r="E9322" s="3"/>
      <c r="F9322" s="3"/>
      <c r="G9322" s="3"/>
      <c r="H9322" s="3"/>
    </row>
    <row r="9323">
      <c r="A9323" s="2">
        <f>IFERROR(__xludf.DUMMYFUNCTION("""COMPUTED_VALUE"""),50086.0)</f>
        <v>50086</v>
      </c>
      <c r="B9323" s="3" t="str">
        <f>IFERROR(__xludf.DUMMYFUNCTION("""COMPUTED_VALUE"""),"12435 2ND LINE RD")</f>
        <v>12435 2ND LINE RD</v>
      </c>
      <c r="C9323" s="3" t="str">
        <f>IFERROR(__xludf.DUMMYFUNCTION("""COMPUTED_VALUE"""),"ROSENEATH ")</f>
        <v>ROSENEATH </v>
      </c>
      <c r="D9323" s="3" t="str">
        <f>IFERROR(__xludf.DUMMYFUNCTION("""COMPUTED_VALUE"""),"K0K 2X0")</f>
        <v>K0K 2X0</v>
      </c>
      <c r="E9323" s="3"/>
      <c r="F9323" s="3"/>
      <c r="G9323" s="3"/>
      <c r="H9323" s="3"/>
    </row>
    <row r="9324">
      <c r="A9324" s="2">
        <f>IFERROR(__xludf.DUMMYFUNCTION("""COMPUTED_VALUE"""),50087.0)</f>
        <v>50087</v>
      </c>
      <c r="B9324" s="3" t="str">
        <f>IFERROR(__xludf.DUMMYFUNCTION("""COMPUTED_VALUE"""),"12437 2ND LINE RD")</f>
        <v>12437 2ND LINE RD</v>
      </c>
      <c r="C9324" s="3" t="str">
        <f>IFERROR(__xludf.DUMMYFUNCTION("""COMPUTED_VALUE"""),"ROSENEATH ")</f>
        <v>ROSENEATH </v>
      </c>
      <c r="D9324" s="3" t="str">
        <f>IFERROR(__xludf.DUMMYFUNCTION("""COMPUTED_VALUE"""),"K0K 2X0")</f>
        <v>K0K 2X0</v>
      </c>
      <c r="E9324" s="3" t="str">
        <f>IFERROR(__xludf.DUMMYFUNCTION("""COMPUTED_VALUE"""),"James Davidson")</f>
        <v>James Davidson</v>
      </c>
      <c r="F9324" s="3" t="str">
        <f>IFERROR(__xludf.DUMMYFUNCTION("""COMPUTED_VALUE"""),"jamesdavidsonwoe@gmail.com")</f>
        <v>jamesdavidsonwoe@gmail.com</v>
      </c>
      <c r="G9324" s="3">
        <f>IFERROR(__xludf.DUMMYFUNCTION("""COMPUTED_VALUE"""),6.476498981E9)</f>
        <v>6476498981</v>
      </c>
      <c r="H9324" s="3">
        <f>IFERROR(__xludf.DUMMYFUNCTION("""COMPUTED_VALUE"""),6.477828162E9)</f>
        <v>6477828162</v>
      </c>
    </row>
    <row r="9325">
      <c r="A9325" s="2">
        <f>IFERROR(__xludf.DUMMYFUNCTION("""COMPUTED_VALUE"""),50088.0)</f>
        <v>50088</v>
      </c>
      <c r="B9325" s="3" t="str">
        <f>IFERROR(__xludf.DUMMYFUNCTION("""COMPUTED_VALUE"""),"12439 2ND LINE RD")</f>
        <v>12439 2ND LINE RD</v>
      </c>
      <c r="C9325" s="3" t="str">
        <f>IFERROR(__xludf.DUMMYFUNCTION("""COMPUTED_VALUE"""),"ROSENEATH ")</f>
        <v>ROSENEATH </v>
      </c>
      <c r="D9325" s="3" t="str">
        <f>IFERROR(__xludf.DUMMYFUNCTION("""COMPUTED_VALUE"""),"K0K 2X0")</f>
        <v>K0K 2X0</v>
      </c>
      <c r="E9325" s="3" t="str">
        <f>IFERROR(__xludf.DUMMYFUNCTION("""COMPUTED_VALUE"""),"Fitzgerald Herrmann")</f>
        <v>Fitzgerald Herrmann</v>
      </c>
      <c r="F9325" s="3" t="str">
        <f>IFERROR(__xludf.DUMMYFUNCTION("""COMPUTED_VALUE"""),"fitzkhal@gmail.com")</f>
        <v>fitzkhal@gmail.com</v>
      </c>
      <c r="G9325" s="3"/>
      <c r="H9325" s="3"/>
    </row>
    <row r="9326">
      <c r="A9326" s="2">
        <f>IFERROR(__xludf.DUMMYFUNCTION("""COMPUTED_VALUE"""),50089.0)</f>
        <v>50089</v>
      </c>
      <c r="B9326" s="3" t="str">
        <f>IFERROR(__xludf.DUMMYFUNCTION("""COMPUTED_VALUE"""),"12582 2ND LINE RD")</f>
        <v>12582 2ND LINE RD</v>
      </c>
      <c r="C9326" s="3" t="str">
        <f>IFERROR(__xludf.DUMMYFUNCTION("""COMPUTED_VALUE"""),"ROSENEATH ")</f>
        <v>ROSENEATH </v>
      </c>
      <c r="D9326" s="3" t="str">
        <f>IFERROR(__xludf.DUMMYFUNCTION("""COMPUTED_VALUE"""),"K0K 2X0")</f>
        <v>K0K 2X0</v>
      </c>
      <c r="E9326" s="3" t="str">
        <f>IFERROR(__xludf.DUMMYFUNCTION("""COMPUTED_VALUE"""),"Robert W Cochrane &amp; Barb Phillips")</f>
        <v>Robert W Cochrane &amp; Barb Phillips</v>
      </c>
      <c r="F9326" s="3" t="str">
        <f>IFERROR(__xludf.DUMMYFUNCTION("""COMPUTED_VALUE"""),"theantlerguy@gmail.com")</f>
        <v>theantlerguy@gmail.com</v>
      </c>
      <c r="G9326" s="3">
        <f>IFERROR(__xludf.DUMMYFUNCTION("""COMPUTED_VALUE"""),7.059243763E9)</f>
        <v>7059243763</v>
      </c>
      <c r="H9326" s="3">
        <f>IFERROR(__xludf.DUMMYFUNCTION("""COMPUTED_VALUE"""),7.05632906E9)</f>
        <v>7056329060</v>
      </c>
    </row>
    <row r="9327">
      <c r="A9327" s="2">
        <f>IFERROR(__xludf.DUMMYFUNCTION("""COMPUTED_VALUE"""),50090.0)</f>
        <v>50090</v>
      </c>
      <c r="B9327" s="3" t="str">
        <f>IFERROR(__xludf.DUMMYFUNCTION("""COMPUTED_VALUE"""),"12601 2ND LINE RD")</f>
        <v>12601 2ND LINE RD</v>
      </c>
      <c r="C9327" s="3" t="str">
        <f>IFERROR(__xludf.DUMMYFUNCTION("""COMPUTED_VALUE"""),"ROSENEATH ")</f>
        <v>ROSENEATH </v>
      </c>
      <c r="D9327" s="3" t="str">
        <f>IFERROR(__xludf.DUMMYFUNCTION("""COMPUTED_VALUE"""),"K0K 2X0")</f>
        <v>K0K 2X0</v>
      </c>
      <c r="E9327" s="3"/>
      <c r="F9327" s="3"/>
      <c r="G9327" s="3"/>
      <c r="H9327" s="3"/>
    </row>
    <row r="9328">
      <c r="A9328" s="2">
        <f>IFERROR(__xludf.DUMMYFUNCTION("""COMPUTED_VALUE"""),50091.0)</f>
        <v>50091</v>
      </c>
      <c r="B9328" s="3" t="str">
        <f>IFERROR(__xludf.DUMMYFUNCTION("""COMPUTED_VALUE"""),"12602 2ND LINE RD")</f>
        <v>12602 2ND LINE RD</v>
      </c>
      <c r="C9328" s="3" t="str">
        <f>IFERROR(__xludf.DUMMYFUNCTION("""COMPUTED_VALUE"""),"ROSENEATH ")</f>
        <v>ROSENEATH </v>
      </c>
      <c r="D9328" s="3" t="str">
        <f>IFERROR(__xludf.DUMMYFUNCTION("""COMPUTED_VALUE"""),"K0K 2X0")</f>
        <v>K0K 2X0</v>
      </c>
      <c r="E9328" s="3"/>
      <c r="F9328" s="3"/>
      <c r="G9328" s="3"/>
      <c r="H9328" s="3"/>
    </row>
    <row r="9329">
      <c r="A9329" s="2">
        <f>IFERROR(__xludf.DUMMYFUNCTION("""COMPUTED_VALUE"""),50092.0)</f>
        <v>50092</v>
      </c>
      <c r="B9329" s="3" t="str">
        <f>IFERROR(__xludf.DUMMYFUNCTION("""COMPUTED_VALUE"""),"12697 2ND LINE RD")</f>
        <v>12697 2ND LINE RD</v>
      </c>
      <c r="C9329" s="3" t="str">
        <f>IFERROR(__xludf.DUMMYFUNCTION("""COMPUTED_VALUE"""),"ROSENEATH ")</f>
        <v>ROSENEATH </v>
      </c>
      <c r="D9329" s="3" t="str">
        <f>IFERROR(__xludf.DUMMYFUNCTION("""COMPUTED_VALUE"""),"K0K 2X0")</f>
        <v>K0K 2X0</v>
      </c>
      <c r="E9329" s="3"/>
      <c r="F9329" s="3"/>
      <c r="G9329" s="3"/>
      <c r="H9329" s="3"/>
    </row>
    <row r="9330">
      <c r="A9330" s="2">
        <f>IFERROR(__xludf.DUMMYFUNCTION("""COMPUTED_VALUE"""),50093.0)</f>
        <v>50093</v>
      </c>
      <c r="B9330" s="3" t="str">
        <f>IFERROR(__xludf.DUMMYFUNCTION("""COMPUTED_VALUE"""),"12722 2ND LINE RD")</f>
        <v>12722 2ND LINE RD</v>
      </c>
      <c r="C9330" s="3" t="str">
        <f>IFERROR(__xludf.DUMMYFUNCTION("""COMPUTED_VALUE"""),"ROSENEATH ")</f>
        <v>ROSENEATH </v>
      </c>
      <c r="D9330" s="3" t="str">
        <f>IFERROR(__xludf.DUMMYFUNCTION("""COMPUTED_VALUE"""),"K0K 2X0")</f>
        <v>K0K 2X0</v>
      </c>
      <c r="E9330" s="3"/>
      <c r="F9330" s="3"/>
      <c r="G9330" s="3"/>
      <c r="H9330" s="3"/>
    </row>
    <row r="9331">
      <c r="A9331" s="2">
        <f>IFERROR(__xludf.DUMMYFUNCTION("""COMPUTED_VALUE"""),50094.0)</f>
        <v>50094</v>
      </c>
      <c r="B9331" s="3" t="str">
        <f>IFERROR(__xludf.DUMMYFUNCTION("""COMPUTED_VALUE"""),"11667A 2ND LINE RD")</f>
        <v>11667A 2ND LINE RD</v>
      </c>
      <c r="C9331" s="3" t="str">
        <f>IFERROR(__xludf.DUMMYFUNCTION("""COMPUTED_VALUE"""),"ROSENEATH ")</f>
        <v>ROSENEATH </v>
      </c>
      <c r="D9331" s="3" t="str">
        <f>IFERROR(__xludf.DUMMYFUNCTION("""COMPUTED_VALUE"""),"K0K 2X0")</f>
        <v>K0K 2X0</v>
      </c>
      <c r="E9331" s="3"/>
      <c r="F9331" s="3"/>
      <c r="G9331" s="3"/>
      <c r="H9331" s="3"/>
    </row>
    <row r="9332">
      <c r="A9332" s="2">
        <f>IFERROR(__xludf.DUMMYFUNCTION("""COMPUTED_VALUE"""),50095.0)</f>
        <v>50095</v>
      </c>
      <c r="B9332" s="3" t="str">
        <f>IFERROR(__xludf.DUMMYFUNCTION("""COMPUTED_VALUE"""),"11677B 2ND LINE RD")</f>
        <v>11677B 2ND LINE RD</v>
      </c>
      <c r="C9332" s="3" t="str">
        <f>IFERROR(__xludf.DUMMYFUNCTION("""COMPUTED_VALUE"""),"ROSENEATH ")</f>
        <v>ROSENEATH </v>
      </c>
      <c r="D9332" s="3" t="str">
        <f>IFERROR(__xludf.DUMMYFUNCTION("""COMPUTED_VALUE"""),"K0K 2X0")</f>
        <v>K0K 2X0</v>
      </c>
      <c r="E9332" s="3"/>
      <c r="F9332" s="3"/>
      <c r="G9332" s="3"/>
      <c r="H9332" s="3"/>
    </row>
    <row r="9333">
      <c r="A9333" s="2">
        <f>IFERROR(__xludf.DUMMYFUNCTION("""COMPUTED_VALUE"""),50096.0)</f>
        <v>50096</v>
      </c>
      <c r="B9333" s="3" t="str">
        <f>IFERROR(__xludf.DUMMYFUNCTION("""COMPUTED_VALUE"""),"11775A 2ND LINE RD")</f>
        <v>11775A 2ND LINE RD</v>
      </c>
      <c r="C9333" s="3" t="str">
        <f>IFERROR(__xludf.DUMMYFUNCTION("""COMPUTED_VALUE"""),"ROSENEATH ")</f>
        <v>ROSENEATH </v>
      </c>
      <c r="D9333" s="3" t="str">
        <f>IFERROR(__xludf.DUMMYFUNCTION("""COMPUTED_VALUE"""),"K0K 2X0")</f>
        <v>K0K 2X0</v>
      </c>
      <c r="E9333" s="3"/>
      <c r="F9333" s="3"/>
      <c r="G9333" s="3"/>
      <c r="H9333" s="3"/>
    </row>
    <row r="9334">
      <c r="A9334" s="2">
        <f>IFERROR(__xludf.DUMMYFUNCTION("""COMPUTED_VALUE"""),50097.0)</f>
        <v>50097</v>
      </c>
      <c r="B9334" s="3" t="str">
        <f>IFERROR(__xludf.DUMMYFUNCTION("""COMPUTED_VALUE"""),"11775B 2ND LINE RD")</f>
        <v>11775B 2ND LINE RD</v>
      </c>
      <c r="C9334" s="3" t="str">
        <f>IFERROR(__xludf.DUMMYFUNCTION("""COMPUTED_VALUE"""),"ROSENEATH ")</f>
        <v>ROSENEATH </v>
      </c>
      <c r="D9334" s="3" t="str">
        <f>IFERROR(__xludf.DUMMYFUNCTION("""COMPUTED_VALUE"""),"K0K 2X0")</f>
        <v>K0K 2X0</v>
      </c>
      <c r="E9334" s="3"/>
      <c r="F9334" s="3"/>
      <c r="G9334" s="3"/>
      <c r="H9334" s="3"/>
    </row>
    <row r="9335">
      <c r="A9335" s="2">
        <f>IFERROR(__xludf.DUMMYFUNCTION("""COMPUTED_VALUE"""),50101.0)</f>
        <v>50101</v>
      </c>
      <c r="B9335" s="3" t="str">
        <f>IFERROR(__xludf.DUMMYFUNCTION("""COMPUTED_VALUE"""),"274 CONCESSION 3 W")</f>
        <v>274 CONCESSION 3 W</v>
      </c>
      <c r="C9335" s="3" t="str">
        <f>IFERROR(__xludf.DUMMYFUNCTION("""COMPUTED_VALUE"""),"WARKWORTH ")</f>
        <v>WARKWORTH </v>
      </c>
      <c r="D9335" s="3" t="str">
        <f>IFERROR(__xludf.DUMMYFUNCTION("""COMPUTED_VALUE"""),"K0K 3K0")</f>
        <v>K0K 3K0</v>
      </c>
      <c r="E9335" s="3"/>
      <c r="F9335" s="3"/>
      <c r="G9335" s="3"/>
      <c r="H9335" s="3"/>
    </row>
    <row r="9336">
      <c r="A9336" s="2">
        <f>IFERROR(__xludf.DUMMYFUNCTION("""COMPUTED_VALUE"""),50102.0)</f>
        <v>50102</v>
      </c>
      <c r="B9336" s="3" t="str">
        <f>IFERROR(__xludf.DUMMYFUNCTION("""COMPUTED_VALUE"""),"306 CONCESSION 3 W")</f>
        <v>306 CONCESSION 3 W</v>
      </c>
      <c r="C9336" s="3" t="str">
        <f>IFERROR(__xludf.DUMMYFUNCTION("""COMPUTED_VALUE"""),"WARKWORTH ")</f>
        <v>WARKWORTH </v>
      </c>
      <c r="D9336" s="3" t="str">
        <f>IFERROR(__xludf.DUMMYFUNCTION("""COMPUTED_VALUE"""),"K0K 3K0")</f>
        <v>K0K 3K0</v>
      </c>
      <c r="E9336" s="3"/>
      <c r="F9336" s="3"/>
      <c r="G9336" s="3"/>
      <c r="H9336" s="3"/>
    </row>
    <row r="9337">
      <c r="A9337" s="2">
        <f>IFERROR(__xludf.DUMMYFUNCTION("""COMPUTED_VALUE"""),50103.0)</f>
        <v>50103</v>
      </c>
      <c r="B9337" s="3" t="str">
        <f>IFERROR(__xludf.DUMMYFUNCTION("""COMPUTED_VALUE"""),"318 CONCESSION RD 3 W")</f>
        <v>318 CONCESSION RD 3 W</v>
      </c>
      <c r="C9337" s="3" t="str">
        <f>IFERROR(__xludf.DUMMYFUNCTION("""COMPUTED_VALUE"""),"WARKWORTH ")</f>
        <v>WARKWORTH </v>
      </c>
      <c r="D9337" s="3" t="str">
        <f>IFERROR(__xludf.DUMMYFUNCTION("""COMPUTED_VALUE"""),"K0K 3K0")</f>
        <v>K0K 3K0</v>
      </c>
      <c r="E9337" s="3"/>
      <c r="F9337" s="3"/>
      <c r="G9337" s="3"/>
      <c r="H9337" s="3"/>
    </row>
    <row r="9338">
      <c r="A9338" s="2">
        <f>IFERROR(__xludf.DUMMYFUNCTION("""COMPUTED_VALUE"""),50104.0)</f>
        <v>50104</v>
      </c>
      <c r="B9338" s="3" t="str">
        <f>IFERROR(__xludf.DUMMYFUNCTION("""COMPUTED_VALUE"""),"321 CONCESSION 3 W")</f>
        <v>321 CONCESSION 3 W</v>
      </c>
      <c r="C9338" s="3" t="str">
        <f>IFERROR(__xludf.DUMMYFUNCTION("""COMPUTED_VALUE"""),"WARKWORTH ")</f>
        <v>WARKWORTH </v>
      </c>
      <c r="D9338" s="3" t="str">
        <f>IFERROR(__xludf.DUMMYFUNCTION("""COMPUTED_VALUE"""),"K0K 3K0")</f>
        <v>K0K 3K0</v>
      </c>
      <c r="E9338" s="3"/>
      <c r="F9338" s="3"/>
      <c r="G9338" s="3"/>
      <c r="H9338" s="3"/>
    </row>
    <row r="9339">
      <c r="A9339" s="2">
        <f>IFERROR(__xludf.DUMMYFUNCTION("""COMPUTED_VALUE"""),50105.0)</f>
        <v>50105</v>
      </c>
      <c r="B9339" s="3" t="str">
        <f>IFERROR(__xludf.DUMMYFUNCTION("""COMPUTED_VALUE"""),"322 CONCESSION 3 W")</f>
        <v>322 CONCESSION 3 W</v>
      </c>
      <c r="C9339" s="3" t="str">
        <f>IFERROR(__xludf.DUMMYFUNCTION("""COMPUTED_VALUE"""),"WARKWORTH ")</f>
        <v>WARKWORTH </v>
      </c>
      <c r="D9339" s="3" t="str">
        <f>IFERROR(__xludf.DUMMYFUNCTION("""COMPUTED_VALUE"""),"K0K 3K0")</f>
        <v>K0K 3K0</v>
      </c>
      <c r="E9339" s="3"/>
      <c r="F9339" s="3"/>
      <c r="G9339" s="3"/>
      <c r="H9339" s="3"/>
    </row>
    <row r="9340">
      <c r="A9340" s="2">
        <f>IFERROR(__xludf.DUMMYFUNCTION("""COMPUTED_VALUE"""),50106.0)</f>
        <v>50106</v>
      </c>
      <c r="B9340" s="3" t="str">
        <f>IFERROR(__xludf.DUMMYFUNCTION("""COMPUTED_VALUE"""),"325 CONCESSION RD 3 W")</f>
        <v>325 CONCESSION RD 3 W</v>
      </c>
      <c r="C9340" s="3" t="str">
        <f>IFERROR(__xludf.DUMMYFUNCTION("""COMPUTED_VALUE"""),"WARKWORTH ")</f>
        <v>WARKWORTH </v>
      </c>
      <c r="D9340" s="3" t="str">
        <f>IFERROR(__xludf.DUMMYFUNCTION("""COMPUTED_VALUE"""),"K0K 3K0")</f>
        <v>K0K 3K0</v>
      </c>
      <c r="E9340" s="3" t="str">
        <f>IFERROR(__xludf.DUMMYFUNCTION("""COMPUTED_VALUE"""),"Marina Ayazi")</f>
        <v>Marina Ayazi</v>
      </c>
      <c r="F9340" s="3" t="str">
        <f>IFERROR(__xludf.DUMMYFUNCTION("""COMPUTED_VALUE"""),"airballoon360@hotmail.com")</f>
        <v>airballoon360@hotmail.com</v>
      </c>
      <c r="G9340" s="3">
        <f>IFERROR(__xludf.DUMMYFUNCTION("""COMPUTED_VALUE"""),4.167271293E9)</f>
        <v>4167271293</v>
      </c>
      <c r="H9340" s="3">
        <f>IFERROR(__xludf.DUMMYFUNCTION("""COMPUTED_VALUE"""),6.474555751E9)</f>
        <v>6474555751</v>
      </c>
    </row>
    <row r="9341">
      <c r="A9341" s="2">
        <f>IFERROR(__xludf.DUMMYFUNCTION("""COMPUTED_VALUE"""),50107.0)</f>
        <v>50107</v>
      </c>
      <c r="B9341" s="3" t="str">
        <f>IFERROR(__xludf.DUMMYFUNCTION("""COMPUTED_VALUE"""),"344 CONCESSION 3 W")</f>
        <v>344 CONCESSION 3 W</v>
      </c>
      <c r="C9341" s="3" t="str">
        <f>IFERROR(__xludf.DUMMYFUNCTION("""COMPUTED_VALUE"""),"WARKWORTH ")</f>
        <v>WARKWORTH </v>
      </c>
      <c r="D9341" s="3" t="str">
        <f>IFERROR(__xludf.DUMMYFUNCTION("""COMPUTED_VALUE"""),"K0K 3K0")</f>
        <v>K0K 3K0</v>
      </c>
      <c r="E9341" s="3" t="str">
        <f>IFERROR(__xludf.DUMMYFUNCTION("""COMPUTED_VALUE"""),"Christopher Steele")</f>
        <v>Christopher Steele</v>
      </c>
      <c r="F9341" s="3" t="str">
        <f>IFERROR(__xludf.DUMMYFUNCTION("""COMPUTED_VALUE"""),"chrissteele9999@gmail.com")</f>
        <v>chrissteele9999@gmail.com</v>
      </c>
      <c r="G9341" s="3">
        <f>IFERROR(__xludf.DUMMYFUNCTION("""COMPUTED_VALUE"""),7.05653698E9)</f>
        <v>7056536980</v>
      </c>
      <c r="H9341" s="3"/>
    </row>
    <row r="9342">
      <c r="A9342" s="2">
        <f>IFERROR(__xludf.DUMMYFUNCTION("""COMPUTED_VALUE"""),50108.0)</f>
        <v>50108</v>
      </c>
      <c r="B9342" s="3" t="str">
        <f>IFERROR(__xludf.DUMMYFUNCTION("""COMPUTED_VALUE"""),"347 CONCESSION 3 W")</f>
        <v>347 CONCESSION 3 W</v>
      </c>
      <c r="C9342" s="3" t="str">
        <f>IFERROR(__xludf.DUMMYFUNCTION("""COMPUTED_VALUE"""),"WARKWORTH ")</f>
        <v>WARKWORTH </v>
      </c>
      <c r="D9342" s="3" t="str">
        <f>IFERROR(__xludf.DUMMYFUNCTION("""COMPUTED_VALUE"""),"K0K 3K0")</f>
        <v>K0K 3K0</v>
      </c>
      <c r="E9342" s="3" t="str">
        <f>IFERROR(__xludf.DUMMYFUNCTION("""COMPUTED_VALUE"""),"Samgar Prabaharan")</f>
        <v>Samgar Prabaharan</v>
      </c>
      <c r="F9342" s="3" t="str">
        <f>IFERROR(__xludf.DUMMYFUNCTION("""COMPUTED_VALUE"""),"Samgar17@gmail.com")</f>
        <v>Samgar17@gmail.com</v>
      </c>
      <c r="G9342" s="3">
        <f>IFERROR(__xludf.DUMMYFUNCTION("""COMPUTED_VALUE"""),6.47998457E9)</f>
        <v>6479984570</v>
      </c>
      <c r="H9342" s="3">
        <f>IFERROR(__xludf.DUMMYFUNCTION("""COMPUTED_VALUE"""),6.134070449E9)</f>
        <v>6134070449</v>
      </c>
    </row>
    <row r="9343">
      <c r="A9343" s="2">
        <f>IFERROR(__xludf.DUMMYFUNCTION("""COMPUTED_VALUE"""),50109.0)</f>
        <v>50109</v>
      </c>
      <c r="B9343" s="3" t="str">
        <f>IFERROR(__xludf.DUMMYFUNCTION("""COMPUTED_VALUE"""),"350 CONCESSION 3 W")</f>
        <v>350 CONCESSION 3 W</v>
      </c>
      <c r="C9343" s="3" t="str">
        <f>IFERROR(__xludf.DUMMYFUNCTION("""COMPUTED_VALUE"""),"WARKWORTH ")</f>
        <v>WARKWORTH </v>
      </c>
      <c r="D9343" s="3" t="str">
        <f>IFERROR(__xludf.DUMMYFUNCTION("""COMPUTED_VALUE"""),"K0K 3K0")</f>
        <v>K0K 3K0</v>
      </c>
      <c r="E9343" s="3"/>
      <c r="F9343" s="3"/>
      <c r="G9343" s="3"/>
      <c r="H9343" s="3"/>
    </row>
    <row r="9344">
      <c r="A9344" s="2">
        <f>IFERROR(__xludf.DUMMYFUNCTION("""COMPUTED_VALUE"""),50110.0)</f>
        <v>50110</v>
      </c>
      <c r="B9344" s="3" t="str">
        <f>IFERROR(__xludf.DUMMYFUNCTION("""COMPUTED_VALUE"""),"351 CONCESSION 3 W")</f>
        <v>351 CONCESSION 3 W</v>
      </c>
      <c r="C9344" s="3" t="str">
        <f>IFERROR(__xludf.DUMMYFUNCTION("""COMPUTED_VALUE"""),"WARKWORTH ")</f>
        <v>WARKWORTH </v>
      </c>
      <c r="D9344" s="3" t="str">
        <f>IFERROR(__xludf.DUMMYFUNCTION("""COMPUTED_VALUE"""),"K0K 3K0")</f>
        <v>K0K 3K0</v>
      </c>
      <c r="E9344" s="3"/>
      <c r="F9344" s="3"/>
      <c r="G9344" s="3"/>
      <c r="H9344" s="3"/>
    </row>
    <row r="9345">
      <c r="A9345" s="2">
        <f>IFERROR(__xludf.DUMMYFUNCTION("""COMPUTED_VALUE"""),50111.0)</f>
        <v>50111</v>
      </c>
      <c r="B9345" s="3" t="str">
        <f>IFERROR(__xludf.DUMMYFUNCTION("""COMPUTED_VALUE"""),"378 CONCESSION 3 W")</f>
        <v>378 CONCESSION 3 W</v>
      </c>
      <c r="C9345" s="3" t="str">
        <f>IFERROR(__xludf.DUMMYFUNCTION("""COMPUTED_VALUE"""),"WARKWORTH ")</f>
        <v>WARKWORTH </v>
      </c>
      <c r="D9345" s="3" t="str">
        <f>IFERROR(__xludf.DUMMYFUNCTION("""COMPUTED_VALUE"""),"K0K 3K0")</f>
        <v>K0K 3K0</v>
      </c>
      <c r="E9345" s="3" t="str">
        <f>IFERROR(__xludf.DUMMYFUNCTION("""COMPUTED_VALUE"""),"Fred Muise")</f>
        <v>Fred Muise</v>
      </c>
      <c r="F9345" s="3" t="str">
        <f>IFERROR(__xludf.DUMMYFUNCTION("""COMPUTED_VALUE"""),"parkhill378@gmail.com")</f>
        <v>parkhill378@gmail.com</v>
      </c>
      <c r="G9345" s="3">
        <f>IFERROR(__xludf.DUMMYFUNCTION("""COMPUTED_VALUE"""),4.168233437E9)</f>
        <v>4168233437</v>
      </c>
      <c r="H9345" s="3"/>
    </row>
    <row r="9346">
      <c r="A9346" s="2">
        <f>IFERROR(__xludf.DUMMYFUNCTION("""COMPUTED_VALUE"""),50112.0)</f>
        <v>50112</v>
      </c>
      <c r="B9346" s="3" t="str">
        <f>IFERROR(__xludf.DUMMYFUNCTION("""COMPUTED_VALUE"""),"404 CONCESSION 3 W")</f>
        <v>404 CONCESSION 3 W</v>
      </c>
      <c r="C9346" s="3" t="str">
        <f>IFERROR(__xludf.DUMMYFUNCTION("""COMPUTED_VALUE"""),"WARKWORTH ")</f>
        <v>WARKWORTH </v>
      </c>
      <c r="D9346" s="3" t="str">
        <f>IFERROR(__xludf.DUMMYFUNCTION("""COMPUTED_VALUE"""),"K0K 3K0")</f>
        <v>K0K 3K0</v>
      </c>
      <c r="E9346" s="3" t="str">
        <f>IFERROR(__xludf.DUMMYFUNCTION("""COMPUTED_VALUE"""),"Dennis Gebhardt")</f>
        <v>Dennis Gebhardt</v>
      </c>
      <c r="F9346" s="3" t="str">
        <f>IFERROR(__xludf.DUMMYFUNCTION("""COMPUTED_VALUE"""),"ssnumber6percy@gmail.com")</f>
        <v>ssnumber6percy@gmail.com</v>
      </c>
      <c r="G9346" s="3"/>
      <c r="H9346" s="3"/>
    </row>
    <row r="9347">
      <c r="A9347" s="2">
        <f>IFERROR(__xludf.DUMMYFUNCTION("""COMPUTED_VALUE"""),50113.0)</f>
        <v>50113</v>
      </c>
      <c r="B9347" s="3" t="str">
        <f>IFERROR(__xludf.DUMMYFUNCTION("""COMPUTED_VALUE"""),"405 CONCESSION 3 W")</f>
        <v>405 CONCESSION 3 W</v>
      </c>
      <c r="C9347" s="3" t="str">
        <f>IFERROR(__xludf.DUMMYFUNCTION("""COMPUTED_VALUE"""),"WARKWORTH ")</f>
        <v>WARKWORTH </v>
      </c>
      <c r="D9347" s="3" t="str">
        <f>IFERROR(__xludf.DUMMYFUNCTION("""COMPUTED_VALUE"""),"K0K 3K0")</f>
        <v>K0K 3K0</v>
      </c>
      <c r="E9347" s="3"/>
      <c r="F9347" s="3"/>
      <c r="G9347" s="3"/>
      <c r="H9347" s="3"/>
    </row>
    <row r="9348">
      <c r="A9348" s="2">
        <f>IFERROR(__xludf.DUMMYFUNCTION("""COMPUTED_VALUE"""),50114.0)</f>
        <v>50114</v>
      </c>
      <c r="B9348" s="3" t="str">
        <f>IFERROR(__xludf.DUMMYFUNCTION("""COMPUTED_VALUE"""),"441 CONCESSION 3 W")</f>
        <v>441 CONCESSION 3 W</v>
      </c>
      <c r="C9348" s="3" t="str">
        <f>IFERROR(__xludf.DUMMYFUNCTION("""COMPUTED_VALUE"""),"WARKWORTH ")</f>
        <v>WARKWORTH </v>
      </c>
      <c r="D9348" s="3" t="str">
        <f>IFERROR(__xludf.DUMMYFUNCTION("""COMPUTED_VALUE"""),"K0K 3K0")</f>
        <v>K0K 3K0</v>
      </c>
      <c r="E9348" s="3" t="str">
        <f>IFERROR(__xludf.DUMMYFUNCTION("""COMPUTED_VALUE"""),"Jenna Patterson")</f>
        <v>Jenna Patterson</v>
      </c>
      <c r="F9348" s="3" t="str">
        <f>IFERROR(__xludf.DUMMYFUNCTION("""COMPUTED_VALUE"""),"jenna.pttrsn@gmail.com")</f>
        <v>jenna.pttrsn@gmail.com</v>
      </c>
      <c r="G9348" s="3">
        <f>IFERROR(__xludf.DUMMYFUNCTION("""COMPUTED_VALUE"""),9.053768729E9)</f>
        <v>9053768729</v>
      </c>
      <c r="H9348" s="3"/>
    </row>
    <row r="9349">
      <c r="A9349" s="2">
        <f>IFERROR(__xludf.DUMMYFUNCTION("""COMPUTED_VALUE"""),50115.0)</f>
        <v>50115</v>
      </c>
      <c r="B9349" s="3" t="str">
        <f>IFERROR(__xludf.DUMMYFUNCTION("""COMPUTED_VALUE"""),"449 CONCESSION 3 RD W")</f>
        <v>449 CONCESSION 3 RD W</v>
      </c>
      <c r="C9349" s="3" t="str">
        <f>IFERROR(__xludf.DUMMYFUNCTION("""COMPUTED_VALUE"""),"WARKWORTH ")</f>
        <v>WARKWORTH </v>
      </c>
      <c r="D9349" s="3" t="str">
        <f>IFERROR(__xludf.DUMMYFUNCTION("""COMPUTED_VALUE"""),"K0K 3K0")</f>
        <v>K0K 3K0</v>
      </c>
      <c r="E9349" s="3"/>
      <c r="F9349" s="3"/>
      <c r="G9349" s="3"/>
      <c r="H9349" s="3"/>
    </row>
    <row r="9350">
      <c r="A9350" s="2">
        <f>IFERROR(__xludf.DUMMYFUNCTION("""COMPUTED_VALUE"""),50116.0)</f>
        <v>50116</v>
      </c>
      <c r="B9350" s="3" t="str">
        <f>IFERROR(__xludf.DUMMYFUNCTION("""COMPUTED_VALUE"""),"475 CONCESSION 3 W")</f>
        <v>475 CONCESSION 3 W</v>
      </c>
      <c r="C9350" s="3" t="str">
        <f>IFERROR(__xludf.DUMMYFUNCTION("""COMPUTED_VALUE"""),"WARKWORTH ")</f>
        <v>WARKWORTH </v>
      </c>
      <c r="D9350" s="3" t="str">
        <f>IFERROR(__xludf.DUMMYFUNCTION("""COMPUTED_VALUE"""),"K0K 3K0")</f>
        <v>K0K 3K0</v>
      </c>
      <c r="E9350" s="3"/>
      <c r="F9350" s="3"/>
      <c r="G9350" s="3"/>
      <c r="H9350" s="3"/>
    </row>
    <row r="9351">
      <c r="A9351" s="2">
        <f>IFERROR(__xludf.DUMMYFUNCTION("""COMPUTED_VALUE"""),50117.0)</f>
        <v>50117</v>
      </c>
      <c r="B9351" s="3" t="str">
        <f>IFERROR(__xludf.DUMMYFUNCTION("""COMPUTED_VALUE"""),"485 CONCESSION 3 RD W")</f>
        <v>485 CONCESSION 3 RD W</v>
      </c>
      <c r="C9351" s="3" t="str">
        <f>IFERROR(__xludf.DUMMYFUNCTION("""COMPUTED_VALUE"""),"WARKWORTH ")</f>
        <v>WARKWORTH </v>
      </c>
      <c r="D9351" s="3" t="str">
        <f>IFERROR(__xludf.DUMMYFUNCTION("""COMPUTED_VALUE"""),"K0K 3K0")</f>
        <v>K0K 3K0</v>
      </c>
      <c r="E9351" s="3"/>
      <c r="F9351" s="3"/>
      <c r="G9351" s="3"/>
      <c r="H9351" s="3"/>
    </row>
    <row r="9352">
      <c r="A9352" s="2">
        <f>IFERROR(__xludf.DUMMYFUNCTION("""COMPUTED_VALUE"""),50118.0)</f>
        <v>50118</v>
      </c>
      <c r="B9352" s="3" t="str">
        <f>IFERROR(__xludf.DUMMYFUNCTION("""COMPUTED_VALUE"""),"500 CONCESSION 3 W")</f>
        <v>500 CONCESSION 3 W</v>
      </c>
      <c r="C9352" s="3" t="str">
        <f>IFERROR(__xludf.DUMMYFUNCTION("""COMPUTED_VALUE"""),"WARKWORTH ")</f>
        <v>WARKWORTH </v>
      </c>
      <c r="D9352" s="3" t="str">
        <f>IFERROR(__xludf.DUMMYFUNCTION("""COMPUTED_VALUE"""),"K0K 3K0")</f>
        <v>K0K 3K0</v>
      </c>
      <c r="E9352" s="3" t="str">
        <f>IFERROR(__xludf.DUMMYFUNCTION("""COMPUTED_VALUE"""),"CHRIS AND ROBIN CLARK")</f>
        <v>CHRIS AND ROBIN CLARK</v>
      </c>
      <c r="F9352" s="3" t="str">
        <f>IFERROR(__xludf.DUMMYFUNCTION("""COMPUTED_VALUE"""),"crehclark@gmail.com")</f>
        <v>crehclark@gmail.com</v>
      </c>
      <c r="G9352" s="3">
        <f>IFERROR(__xludf.DUMMYFUNCTION("""COMPUTED_VALUE"""),7.059242057E9)</f>
        <v>7059242057</v>
      </c>
      <c r="H9352" s="3">
        <f>IFERROR(__xludf.DUMMYFUNCTION("""COMPUTED_VALUE"""),6.132432485E9)</f>
        <v>6132432485</v>
      </c>
    </row>
    <row r="9353">
      <c r="A9353" s="2">
        <f>IFERROR(__xludf.DUMMYFUNCTION("""COMPUTED_VALUE"""),50119.0)</f>
        <v>50119</v>
      </c>
      <c r="B9353" s="3" t="str">
        <f>IFERROR(__xludf.DUMMYFUNCTION("""COMPUTED_VALUE"""),"501 CONCESSION RD 3 W")</f>
        <v>501 CONCESSION RD 3 W</v>
      </c>
      <c r="C9353" s="3" t="str">
        <f>IFERROR(__xludf.DUMMYFUNCTION("""COMPUTED_VALUE"""),"WARKWORTH ")</f>
        <v>WARKWORTH </v>
      </c>
      <c r="D9353" s="3" t="str">
        <f>IFERROR(__xludf.DUMMYFUNCTION("""COMPUTED_VALUE"""),"K0K 3K0")</f>
        <v>K0K 3K0</v>
      </c>
      <c r="E9353" s="3"/>
      <c r="F9353" s="3"/>
      <c r="G9353" s="3"/>
      <c r="H9353" s="3"/>
    </row>
    <row r="9354">
      <c r="A9354" s="2">
        <f>IFERROR(__xludf.DUMMYFUNCTION("""COMPUTED_VALUE"""),50120.0)</f>
        <v>50120</v>
      </c>
      <c r="B9354" s="3" t="str">
        <f>IFERROR(__xludf.DUMMYFUNCTION("""COMPUTED_VALUE"""),"551 CONCESSION RD 3 W")</f>
        <v>551 CONCESSION RD 3 W</v>
      </c>
      <c r="C9354" s="3" t="str">
        <f>IFERROR(__xludf.DUMMYFUNCTION("""COMPUTED_VALUE"""),"WARKWORTH ")</f>
        <v>WARKWORTH </v>
      </c>
      <c r="D9354" s="3" t="str">
        <f>IFERROR(__xludf.DUMMYFUNCTION("""COMPUTED_VALUE"""),"K0K 3K0")</f>
        <v>K0K 3K0</v>
      </c>
      <c r="E9354" s="3"/>
      <c r="F9354" s="3"/>
      <c r="G9354" s="3"/>
      <c r="H9354" s="3"/>
    </row>
    <row r="9355">
      <c r="A9355" s="2">
        <f>IFERROR(__xludf.DUMMYFUNCTION("""COMPUTED_VALUE"""),50121.0)</f>
        <v>50121</v>
      </c>
      <c r="B9355" s="3" t="str">
        <f>IFERROR(__xludf.DUMMYFUNCTION("""COMPUTED_VALUE"""),"556 CONCESSION RD 3 W")</f>
        <v>556 CONCESSION RD 3 W</v>
      </c>
      <c r="C9355" s="3" t="str">
        <f>IFERROR(__xludf.DUMMYFUNCTION("""COMPUTED_VALUE"""),"WARKWORTH ")</f>
        <v>WARKWORTH </v>
      </c>
      <c r="D9355" s="3" t="str">
        <f>IFERROR(__xludf.DUMMYFUNCTION("""COMPUTED_VALUE"""),"K0K 3K0")</f>
        <v>K0K 3K0</v>
      </c>
      <c r="E9355" s="3" t="str">
        <f>IFERROR(__xludf.DUMMYFUNCTION("""COMPUTED_VALUE"""),"Greg Lanzo")</f>
        <v>Greg Lanzo</v>
      </c>
      <c r="F9355" s="3" t="str">
        <f>IFERROR(__xludf.DUMMYFUNCTION("""COMPUTED_VALUE"""),"lanzogreg@gmail.com")</f>
        <v>lanzogreg@gmail.com</v>
      </c>
      <c r="G9355" s="3">
        <f>IFERROR(__xludf.DUMMYFUNCTION("""COMPUTED_VALUE"""),4.165245758E9)</f>
        <v>4165245758</v>
      </c>
      <c r="H9355" s="3">
        <f>IFERROR(__xludf.DUMMYFUNCTION("""COMPUTED_VALUE"""),6.472276942E9)</f>
        <v>6472276942</v>
      </c>
    </row>
    <row r="9356">
      <c r="A9356" s="2">
        <f>IFERROR(__xludf.DUMMYFUNCTION("""COMPUTED_VALUE"""),50122.0)</f>
        <v>50122</v>
      </c>
      <c r="B9356" s="3" t="str">
        <f>IFERROR(__xludf.DUMMYFUNCTION("""COMPUTED_VALUE"""),"566 CONCESSION 3 RD W")</f>
        <v>566 CONCESSION 3 RD W</v>
      </c>
      <c r="C9356" s="3" t="str">
        <f>IFERROR(__xludf.DUMMYFUNCTION("""COMPUTED_VALUE"""),"WARKWORTH ")</f>
        <v>WARKWORTH </v>
      </c>
      <c r="D9356" s="3" t="str">
        <f>IFERROR(__xludf.DUMMYFUNCTION("""COMPUTED_VALUE"""),"K0K 3K0")</f>
        <v>K0K 3K0</v>
      </c>
      <c r="E9356" s="3" t="str">
        <f>IFERROR(__xludf.DUMMYFUNCTION("""COMPUTED_VALUE"""),"Paul Johnston")</f>
        <v>Paul Johnston</v>
      </c>
      <c r="F9356" s="3" t="str">
        <f>IFERROR(__xludf.DUMMYFUNCTION("""COMPUTED_VALUE"""),"paul@pauljohnston.com")</f>
        <v>paul@pauljohnston.com</v>
      </c>
      <c r="G9356" s="3">
        <f>IFERROR(__xludf.DUMMYFUNCTION("""COMPUTED_VALUE"""),4.16897548E9)</f>
        <v>4168975480</v>
      </c>
      <c r="H9356" s="3"/>
    </row>
    <row r="9357">
      <c r="A9357" s="2">
        <f>IFERROR(__xludf.DUMMYFUNCTION("""COMPUTED_VALUE"""),50123.0)</f>
        <v>50123</v>
      </c>
      <c r="B9357" s="3" t="str">
        <f>IFERROR(__xludf.DUMMYFUNCTION("""COMPUTED_VALUE"""),"570 CONCESSION 3 W")</f>
        <v>570 CONCESSION 3 W</v>
      </c>
      <c r="C9357" s="3" t="str">
        <f>IFERROR(__xludf.DUMMYFUNCTION("""COMPUTED_VALUE"""),"WARKWORTH ")</f>
        <v>WARKWORTH </v>
      </c>
      <c r="D9357" s="3" t="str">
        <f>IFERROR(__xludf.DUMMYFUNCTION("""COMPUTED_VALUE"""),"K0K 3K0")</f>
        <v>K0K 3K0</v>
      </c>
      <c r="E9357" s="3" t="str">
        <f>IFERROR(__xludf.DUMMYFUNCTION("""COMPUTED_VALUE"""),"tony romano")</f>
        <v>tony romano</v>
      </c>
      <c r="F9357" s="3" t="str">
        <f>IFERROR(__xludf.DUMMYFUNCTION("""COMPUTED_VALUE"""),"oroboric@gmail.com")</f>
        <v>oroboric@gmail.com</v>
      </c>
      <c r="G9357" s="3">
        <f>IFERROR(__xludf.DUMMYFUNCTION("""COMPUTED_VALUE"""),9.054357791E9)</f>
        <v>9054357791</v>
      </c>
      <c r="H9357" s="3"/>
    </row>
    <row r="9358">
      <c r="A9358" s="2">
        <f>IFERROR(__xludf.DUMMYFUNCTION("""COMPUTED_VALUE"""),50124.0)</f>
        <v>50124</v>
      </c>
      <c r="B9358" s="3" t="str">
        <f>IFERROR(__xludf.DUMMYFUNCTION("""COMPUTED_VALUE"""),"577 CONCESSION 3 W")</f>
        <v>577 CONCESSION 3 W</v>
      </c>
      <c r="C9358" s="3" t="str">
        <f>IFERROR(__xludf.DUMMYFUNCTION("""COMPUTED_VALUE"""),"WARKWORTH ")</f>
        <v>WARKWORTH </v>
      </c>
      <c r="D9358" s="3" t="str">
        <f>IFERROR(__xludf.DUMMYFUNCTION("""COMPUTED_VALUE"""),"K0K 3K0")</f>
        <v>K0K 3K0</v>
      </c>
      <c r="E9358" s="3"/>
      <c r="F9358" s="3"/>
      <c r="G9358" s="3"/>
      <c r="H9358" s="3"/>
    </row>
    <row r="9359">
      <c r="A9359" s="2">
        <f>IFERROR(__xludf.DUMMYFUNCTION("""COMPUTED_VALUE"""),50125.0)</f>
        <v>50125</v>
      </c>
      <c r="B9359" s="3" t="str">
        <f>IFERROR(__xludf.DUMMYFUNCTION("""COMPUTED_VALUE"""),"616 CONCESSION 3 W")</f>
        <v>616 CONCESSION 3 W</v>
      </c>
      <c r="C9359" s="3" t="str">
        <f>IFERROR(__xludf.DUMMYFUNCTION("""COMPUTED_VALUE"""),"WARKWORTH ")</f>
        <v>WARKWORTH </v>
      </c>
      <c r="D9359" s="3" t="str">
        <f>IFERROR(__xludf.DUMMYFUNCTION("""COMPUTED_VALUE"""),"K0K 3K0")</f>
        <v>K0K 3K0</v>
      </c>
      <c r="E9359" s="3" t="str">
        <f>IFERROR(__xludf.DUMMYFUNCTION("""COMPUTED_VALUE"""),"Misha Capler")</f>
        <v>Misha Capler</v>
      </c>
      <c r="F9359" s="3" t="str">
        <f>IFERROR(__xludf.DUMMYFUNCTION("""COMPUTED_VALUE"""),"m.caplerwhite@gmail.com")</f>
        <v>m.caplerwhite@gmail.com</v>
      </c>
      <c r="G9359" s="3">
        <f>IFERROR(__xludf.DUMMYFUNCTION("""COMPUTED_VALUE"""),4.166606415E9)</f>
        <v>4166606415</v>
      </c>
      <c r="H9359" s="3"/>
    </row>
    <row r="9360">
      <c r="A9360" s="2">
        <f>IFERROR(__xludf.DUMMYFUNCTION("""COMPUTED_VALUE"""),50126.0)</f>
        <v>50126</v>
      </c>
      <c r="B9360" s="3" t="str">
        <f>IFERROR(__xludf.DUMMYFUNCTION("""COMPUTED_VALUE"""),"629 CONCESSION 3 W")</f>
        <v>629 CONCESSION 3 W</v>
      </c>
      <c r="C9360" s="3" t="str">
        <f>IFERROR(__xludf.DUMMYFUNCTION("""COMPUTED_VALUE"""),"WARKWORTH ")</f>
        <v>WARKWORTH </v>
      </c>
      <c r="D9360" s="3" t="str">
        <f>IFERROR(__xludf.DUMMYFUNCTION("""COMPUTED_VALUE"""),"K0K 3K0")</f>
        <v>K0K 3K0</v>
      </c>
      <c r="E9360" s="3"/>
      <c r="F9360" s="3"/>
      <c r="G9360" s="3"/>
      <c r="H9360" s="3"/>
    </row>
    <row r="9361">
      <c r="A9361" s="2">
        <f>IFERROR(__xludf.DUMMYFUNCTION("""COMPUTED_VALUE"""),50127.0)</f>
        <v>50127</v>
      </c>
      <c r="B9361" s="3" t="str">
        <f>IFERROR(__xludf.DUMMYFUNCTION("""COMPUTED_VALUE"""),"648 CONCESSION 3 W")</f>
        <v>648 CONCESSION 3 W</v>
      </c>
      <c r="C9361" s="3" t="str">
        <f>IFERROR(__xludf.DUMMYFUNCTION("""COMPUTED_VALUE"""),"WARKWORTH ")</f>
        <v>WARKWORTH </v>
      </c>
      <c r="D9361" s="3" t="str">
        <f>IFERROR(__xludf.DUMMYFUNCTION("""COMPUTED_VALUE"""),"K0K 3K0")</f>
        <v>K0K 3K0</v>
      </c>
      <c r="E9361" s="3" t="str">
        <f>IFERROR(__xludf.DUMMYFUNCTION("""COMPUTED_VALUE"""),"Brandon Taylor")</f>
        <v>Brandon Taylor</v>
      </c>
      <c r="F9361" s="3" t="str">
        <f>IFERROR(__xludf.DUMMYFUNCTION("""COMPUTED_VALUE"""),"taylordaniela@hotmail.com")</f>
        <v>taylordaniela@hotmail.com</v>
      </c>
      <c r="G9361" s="3">
        <f>IFERROR(__xludf.DUMMYFUNCTION("""COMPUTED_VALUE"""),7.057681517E9)</f>
        <v>7057681517</v>
      </c>
      <c r="H9361" s="3">
        <f>IFERROR(__xludf.DUMMYFUNCTION("""COMPUTED_VALUE"""),7.057689086E9)</f>
        <v>7057689086</v>
      </c>
    </row>
    <row r="9362">
      <c r="A9362" s="2">
        <f>IFERROR(__xludf.DUMMYFUNCTION("""COMPUTED_VALUE"""),50128.0)</f>
        <v>50128</v>
      </c>
      <c r="B9362" s="3" t="str">
        <f>IFERROR(__xludf.DUMMYFUNCTION("""COMPUTED_VALUE"""),"695 CONCESSION 3 W")</f>
        <v>695 CONCESSION 3 W</v>
      </c>
      <c r="C9362" s="3" t="str">
        <f>IFERROR(__xludf.DUMMYFUNCTION("""COMPUTED_VALUE"""),"WARKWORTH ")</f>
        <v>WARKWORTH </v>
      </c>
      <c r="D9362" s="3" t="str">
        <f>IFERROR(__xludf.DUMMYFUNCTION("""COMPUTED_VALUE"""),"K0K 3K0")</f>
        <v>K0K 3K0</v>
      </c>
      <c r="E9362" s="3" t="str">
        <f>IFERROR(__xludf.DUMMYFUNCTION("""COMPUTED_VALUE"""),"Janet Griffin")</f>
        <v>Janet Griffin</v>
      </c>
      <c r="F9362" s="3" t="str">
        <f>IFERROR(__xludf.DUMMYFUNCTION("""COMPUTED_VALUE"""),"grffnsct@idirect.com")</f>
        <v>grffnsct@idirect.com</v>
      </c>
      <c r="G9362" s="3">
        <f>IFERROR(__xludf.DUMMYFUNCTION("""COMPUTED_VALUE"""),9.052420179E9)</f>
        <v>9052420179</v>
      </c>
      <c r="H9362" s="3"/>
    </row>
    <row r="9363">
      <c r="A9363" s="2">
        <f>IFERROR(__xludf.DUMMYFUNCTION("""COMPUTED_VALUE"""),50129.0)</f>
        <v>50129</v>
      </c>
      <c r="B9363" s="3" t="str">
        <f>IFERROR(__xludf.DUMMYFUNCTION("""COMPUTED_VALUE"""),"697 CONCESSION 3 W")</f>
        <v>697 CONCESSION 3 W</v>
      </c>
      <c r="C9363" s="3" t="str">
        <f>IFERROR(__xludf.DUMMYFUNCTION("""COMPUTED_VALUE"""),"WARKWORTH ")</f>
        <v>WARKWORTH </v>
      </c>
      <c r="D9363" s="3" t="str">
        <f>IFERROR(__xludf.DUMMYFUNCTION("""COMPUTED_VALUE"""),"K0K 3K0")</f>
        <v>K0K 3K0</v>
      </c>
      <c r="E9363" s="3"/>
      <c r="F9363" s="3"/>
      <c r="G9363" s="3"/>
      <c r="H9363" s="3"/>
    </row>
    <row r="9364">
      <c r="A9364" s="2">
        <f>IFERROR(__xludf.DUMMYFUNCTION("""COMPUTED_VALUE"""),50130.0)</f>
        <v>50130</v>
      </c>
      <c r="B9364" s="3" t="str">
        <f>IFERROR(__xludf.DUMMYFUNCTION("""COMPUTED_VALUE"""),"701 CONCESSION 3 W")</f>
        <v>701 CONCESSION 3 W</v>
      </c>
      <c r="C9364" s="3" t="str">
        <f>IFERROR(__xludf.DUMMYFUNCTION("""COMPUTED_VALUE"""),"WARKWORTH ")</f>
        <v>WARKWORTH </v>
      </c>
      <c r="D9364" s="3" t="str">
        <f>IFERROR(__xludf.DUMMYFUNCTION("""COMPUTED_VALUE"""),"K0K 3K0")</f>
        <v>K0K 3K0</v>
      </c>
      <c r="E9364" s="3"/>
      <c r="F9364" s="3"/>
      <c r="G9364" s="3"/>
      <c r="H9364" s="3"/>
    </row>
    <row r="9365">
      <c r="A9365" s="2">
        <f>IFERROR(__xludf.DUMMYFUNCTION("""COMPUTED_VALUE"""),50131.0)</f>
        <v>50131</v>
      </c>
      <c r="B9365" s="3" t="str">
        <f>IFERROR(__xludf.DUMMYFUNCTION("""COMPUTED_VALUE"""),"704 CONCESSION 3 W")</f>
        <v>704 CONCESSION 3 W</v>
      </c>
      <c r="C9365" s="3" t="str">
        <f>IFERROR(__xludf.DUMMYFUNCTION("""COMPUTED_VALUE"""),"WARKWORTH ")</f>
        <v>WARKWORTH </v>
      </c>
      <c r="D9365" s="3" t="str">
        <f>IFERROR(__xludf.DUMMYFUNCTION("""COMPUTED_VALUE"""),"K0K 3K0")</f>
        <v>K0K 3K0</v>
      </c>
      <c r="E9365" s="3"/>
      <c r="F9365" s="3"/>
      <c r="G9365" s="3"/>
      <c r="H9365" s="3"/>
    </row>
    <row r="9366">
      <c r="A9366" s="2">
        <f>IFERROR(__xludf.DUMMYFUNCTION("""COMPUTED_VALUE"""),50132.0)</f>
        <v>50132</v>
      </c>
      <c r="B9366" s="3" t="str">
        <f>IFERROR(__xludf.DUMMYFUNCTION("""COMPUTED_VALUE"""),"709 CONCESSION 3 W")</f>
        <v>709 CONCESSION 3 W</v>
      </c>
      <c r="C9366" s="3" t="str">
        <f>IFERROR(__xludf.DUMMYFUNCTION("""COMPUTED_VALUE"""),"WARKWORTH ")</f>
        <v>WARKWORTH </v>
      </c>
      <c r="D9366" s="3" t="str">
        <f>IFERROR(__xludf.DUMMYFUNCTION("""COMPUTED_VALUE"""),"K0K 3K0")</f>
        <v>K0K 3K0</v>
      </c>
      <c r="E9366" s="3" t="str">
        <f>IFERROR(__xludf.DUMMYFUNCTION("""COMPUTED_VALUE"""),"COLIN A FOSTER")</f>
        <v>COLIN A FOSTER</v>
      </c>
      <c r="F9366" s="3" t="str">
        <f>IFERROR(__xludf.DUMMYFUNCTION("""COMPUTED_VALUE"""),"foster.colin@hotmail.ca")</f>
        <v>foster.colin@hotmail.ca</v>
      </c>
      <c r="G9366" s="3"/>
      <c r="H9366" s="3"/>
    </row>
    <row r="9367">
      <c r="A9367" s="2">
        <f>IFERROR(__xludf.DUMMYFUNCTION("""COMPUTED_VALUE"""),50133.0)</f>
        <v>50133</v>
      </c>
      <c r="B9367" s="3" t="str">
        <f>IFERROR(__xludf.DUMMYFUNCTION("""COMPUTED_VALUE"""),"711 CONCESSION 3 RD W")</f>
        <v>711 CONCESSION 3 RD W</v>
      </c>
      <c r="C9367" s="3" t="str">
        <f>IFERROR(__xludf.DUMMYFUNCTION("""COMPUTED_VALUE"""),"WARKWORTH ")</f>
        <v>WARKWORTH </v>
      </c>
      <c r="D9367" s="3" t="str">
        <f>IFERROR(__xludf.DUMMYFUNCTION("""COMPUTED_VALUE"""),"K0K 3K0")</f>
        <v>K0K 3K0</v>
      </c>
      <c r="E9367" s="3"/>
      <c r="F9367" s="3"/>
      <c r="G9367" s="3"/>
      <c r="H9367" s="3"/>
    </row>
    <row r="9368">
      <c r="A9368" s="2">
        <f>IFERROR(__xludf.DUMMYFUNCTION("""COMPUTED_VALUE"""),50134.0)</f>
        <v>50134</v>
      </c>
      <c r="B9368" s="3" t="str">
        <f>IFERROR(__xludf.DUMMYFUNCTION("""COMPUTED_VALUE"""),"715 CONCESSION 3 W")</f>
        <v>715 CONCESSION 3 W</v>
      </c>
      <c r="C9368" s="3" t="str">
        <f>IFERROR(__xludf.DUMMYFUNCTION("""COMPUTED_VALUE"""),"WARKWORTH ")</f>
        <v>WARKWORTH </v>
      </c>
      <c r="D9368" s="3" t="str">
        <f>IFERROR(__xludf.DUMMYFUNCTION("""COMPUTED_VALUE"""),"K0K 3K0")</f>
        <v>K0K 3K0</v>
      </c>
      <c r="E9368" s="3" t="str">
        <f>IFERROR(__xludf.DUMMYFUNCTION("""COMPUTED_VALUE"""),"A. Kyle Foster")</f>
        <v>A. Kyle Foster</v>
      </c>
      <c r="F9368" s="3" t="str">
        <f>IFERROR(__xludf.DUMMYFUNCTION("""COMPUTED_VALUE"""),"kyle.foster_1@hotmail.com")</f>
        <v>kyle.foster_1@hotmail.com</v>
      </c>
      <c r="G9368" s="3"/>
      <c r="H9368" s="3"/>
    </row>
    <row r="9369">
      <c r="A9369" s="2">
        <f>IFERROR(__xludf.DUMMYFUNCTION("""COMPUTED_VALUE"""),50135.0)</f>
        <v>50135</v>
      </c>
      <c r="B9369" s="3" t="str">
        <f>IFERROR(__xludf.DUMMYFUNCTION("""COMPUTED_VALUE"""),"717 3RD CONC W")</f>
        <v>717 3RD CONC W</v>
      </c>
      <c r="C9369" s="3" t="str">
        <f>IFERROR(__xludf.DUMMYFUNCTION("""COMPUTED_VALUE"""),"WARKWORTH ")</f>
        <v>WARKWORTH </v>
      </c>
      <c r="D9369" s="3" t="str">
        <f>IFERROR(__xludf.DUMMYFUNCTION("""COMPUTED_VALUE"""),"K0K 3K0")</f>
        <v>K0K 3K0</v>
      </c>
      <c r="E9369" s="3"/>
      <c r="F9369" s="3"/>
      <c r="G9369" s="3"/>
      <c r="H9369" s="3"/>
    </row>
    <row r="9370">
      <c r="A9370" s="2">
        <f>IFERROR(__xludf.DUMMYFUNCTION("""COMPUTED_VALUE"""),50136.0)</f>
        <v>50136</v>
      </c>
      <c r="B9370" s="3" t="str">
        <f>IFERROR(__xludf.DUMMYFUNCTION("""COMPUTED_VALUE"""),"725 CONCESSION RD 3 W")</f>
        <v>725 CONCESSION RD 3 W</v>
      </c>
      <c r="C9370" s="3" t="str">
        <f>IFERROR(__xludf.DUMMYFUNCTION("""COMPUTED_VALUE"""),"WARKWORTH ")</f>
        <v>WARKWORTH </v>
      </c>
      <c r="D9370" s="3" t="str">
        <f>IFERROR(__xludf.DUMMYFUNCTION("""COMPUTED_VALUE"""),"K0K 3K0")</f>
        <v>K0K 3K0</v>
      </c>
      <c r="E9370" s="3"/>
      <c r="F9370" s="3"/>
      <c r="G9370" s="3"/>
      <c r="H9370" s="3"/>
    </row>
    <row r="9371">
      <c r="A9371" s="2">
        <f>IFERROR(__xludf.DUMMYFUNCTION("""COMPUTED_VALUE"""),50137.0)</f>
        <v>50137</v>
      </c>
      <c r="B9371" s="3" t="str">
        <f>IFERROR(__xludf.DUMMYFUNCTION("""COMPUTED_VALUE"""),"734 CONCESSION RD 3 W")</f>
        <v>734 CONCESSION RD 3 W</v>
      </c>
      <c r="C9371" s="3" t="str">
        <f>IFERROR(__xludf.DUMMYFUNCTION("""COMPUTED_VALUE"""),"WARKWORTH ")</f>
        <v>WARKWORTH </v>
      </c>
      <c r="D9371" s="3" t="str">
        <f>IFERROR(__xludf.DUMMYFUNCTION("""COMPUTED_VALUE"""),"K0K 3K0")</f>
        <v>K0K 3K0</v>
      </c>
      <c r="E9371" s="3" t="str">
        <f>IFERROR(__xludf.DUMMYFUNCTION("""COMPUTED_VALUE"""),"Christopher Andersson")</f>
        <v>Christopher Andersson</v>
      </c>
      <c r="F9371" s="3" t="str">
        <f>IFERROR(__xludf.DUMMYFUNCTION("""COMPUTED_VALUE"""),"candersson@klarsolutions.com")</f>
        <v>candersson@klarsolutions.com</v>
      </c>
      <c r="G9371" s="3"/>
      <c r="H9371" s="3"/>
    </row>
    <row r="9372">
      <c r="A9372" s="2">
        <f>IFERROR(__xludf.DUMMYFUNCTION("""COMPUTED_VALUE"""),50138.0)</f>
        <v>50138</v>
      </c>
      <c r="B9372" s="3" t="str">
        <f>IFERROR(__xludf.DUMMYFUNCTION("""COMPUTED_VALUE"""),"753 CONCESSION 3 W")</f>
        <v>753 CONCESSION 3 W</v>
      </c>
      <c r="C9372" s="3" t="str">
        <f>IFERROR(__xludf.DUMMYFUNCTION("""COMPUTED_VALUE"""),"WARKWORTH ")</f>
        <v>WARKWORTH </v>
      </c>
      <c r="D9372" s="3" t="str">
        <f>IFERROR(__xludf.DUMMYFUNCTION("""COMPUTED_VALUE"""),"K0K 3K0")</f>
        <v>K0K 3K0</v>
      </c>
      <c r="E9372" s="3" t="str">
        <f>IFERROR(__xludf.DUMMYFUNCTION("""COMPUTED_VALUE"""),"Rod Rosborough")</f>
        <v>Rod Rosborough</v>
      </c>
      <c r="F9372" s="3" t="str">
        <f>IFERROR(__xludf.DUMMYFUNCTION("""COMPUTED_VALUE"""),"rodrosborough@hotmail.com")</f>
        <v>rodrosborough@hotmail.com</v>
      </c>
      <c r="G9372" s="3">
        <f>IFERROR(__xludf.DUMMYFUNCTION("""COMPUTED_VALUE"""),4.162093582E9)</f>
        <v>4162093582</v>
      </c>
      <c r="H9372" s="3">
        <f>IFERROR(__xludf.DUMMYFUNCTION("""COMPUTED_VALUE"""),7.059242048E9)</f>
        <v>7059242048</v>
      </c>
    </row>
    <row r="9373">
      <c r="A9373" s="2">
        <f>IFERROR(__xludf.DUMMYFUNCTION("""COMPUTED_VALUE"""),50139.0)</f>
        <v>50139</v>
      </c>
      <c r="B9373" s="3" t="str">
        <f>IFERROR(__xludf.DUMMYFUNCTION("""COMPUTED_VALUE"""),"765 CONCESSION ROAD 3 W")</f>
        <v>765 CONCESSION ROAD 3 W</v>
      </c>
      <c r="C9373" s="3" t="str">
        <f>IFERROR(__xludf.DUMMYFUNCTION("""COMPUTED_VALUE"""),"WARKWORTH ")</f>
        <v>WARKWORTH </v>
      </c>
      <c r="D9373" s="3" t="str">
        <f>IFERROR(__xludf.DUMMYFUNCTION("""COMPUTED_VALUE"""),"K0K 3K0")</f>
        <v>K0K 3K0</v>
      </c>
      <c r="E9373" s="3"/>
      <c r="F9373" s="3"/>
      <c r="G9373" s="3"/>
      <c r="H9373" s="3"/>
    </row>
    <row r="9374">
      <c r="A9374" s="2">
        <f>IFERROR(__xludf.DUMMYFUNCTION("""COMPUTED_VALUE"""),50141.0)</f>
        <v>50141</v>
      </c>
      <c r="B9374" s="3" t="str">
        <f>IFERROR(__xludf.DUMMYFUNCTION("""COMPUTED_VALUE"""),"346 CONCESSION RD 3")</f>
        <v>346 CONCESSION RD 3</v>
      </c>
      <c r="C9374" s="3" t="str">
        <f>IFERROR(__xludf.DUMMYFUNCTION("""COMPUTED_VALUE"""),"WARKWORTH ")</f>
        <v>WARKWORTH </v>
      </c>
      <c r="D9374" s="3" t="str">
        <f>IFERROR(__xludf.DUMMYFUNCTION("""COMPUTED_VALUE"""),"K0K 3K0")</f>
        <v>K0K 3K0</v>
      </c>
      <c r="E9374" s="3"/>
      <c r="F9374" s="3"/>
      <c r="G9374" s="3"/>
      <c r="H9374" s="3"/>
    </row>
    <row r="9375">
      <c r="A9375" s="2">
        <f>IFERROR(__xludf.DUMMYFUNCTION("""COMPUTED_VALUE"""),50142.0)</f>
        <v>50142</v>
      </c>
      <c r="B9375" s="3" t="str">
        <f>IFERROR(__xludf.DUMMYFUNCTION("""COMPUTED_VALUE"""),"10657 3RD LINE RD")</f>
        <v>10657 3RD LINE RD</v>
      </c>
      <c r="C9375" s="3" t="str">
        <f>IFERROR(__xludf.DUMMYFUNCTION("""COMPUTED_VALUE"""),"ROSENEATH ")</f>
        <v>ROSENEATH </v>
      </c>
      <c r="D9375" s="3" t="str">
        <f>IFERROR(__xludf.DUMMYFUNCTION("""COMPUTED_VALUE"""),"K0K 2X0")</f>
        <v>K0K 2X0</v>
      </c>
      <c r="E9375" s="3" t="str">
        <f>IFERROR(__xludf.DUMMYFUNCTION("""COMPUTED_VALUE"""),"Annette Francis")</f>
        <v>Annette Francis</v>
      </c>
      <c r="F9375" s="3" t="str">
        <f>IFERROR(__xludf.DUMMYFUNCTION("""COMPUTED_VALUE"""),"iamcoo@hotmail.com")</f>
        <v>iamcoo@hotmail.com</v>
      </c>
      <c r="G9375" s="3">
        <f>IFERROR(__xludf.DUMMYFUNCTION("""COMPUTED_VALUE"""),9.052699782E9)</f>
        <v>9052699782</v>
      </c>
      <c r="H9375" s="3">
        <f>IFERROR(__xludf.DUMMYFUNCTION("""COMPUTED_VALUE"""),3.43462402E9)</f>
        <v>3434624020</v>
      </c>
    </row>
    <row r="9376">
      <c r="A9376" s="2">
        <f>IFERROR(__xludf.DUMMYFUNCTION("""COMPUTED_VALUE"""),50143.0)</f>
        <v>50143</v>
      </c>
      <c r="B9376" s="3" t="str">
        <f>IFERROR(__xludf.DUMMYFUNCTION("""COMPUTED_VALUE"""),"10669 3RD LINE RD")</f>
        <v>10669 3RD LINE RD</v>
      </c>
      <c r="C9376" s="3" t="str">
        <f>IFERROR(__xludf.DUMMYFUNCTION("""COMPUTED_VALUE"""),"ROSENEATH ")</f>
        <v>ROSENEATH </v>
      </c>
      <c r="D9376" s="3" t="str">
        <f>IFERROR(__xludf.DUMMYFUNCTION("""COMPUTED_VALUE"""),"K0K 2X0")</f>
        <v>K0K 2X0</v>
      </c>
      <c r="E9376" s="3"/>
      <c r="F9376" s="3"/>
      <c r="G9376" s="3"/>
      <c r="H9376" s="3"/>
    </row>
    <row r="9377">
      <c r="A9377" s="2">
        <f>IFERROR(__xludf.DUMMYFUNCTION("""COMPUTED_VALUE"""),50144.0)</f>
        <v>50144</v>
      </c>
      <c r="B9377" s="3" t="str">
        <f>IFERROR(__xludf.DUMMYFUNCTION("""COMPUTED_VALUE"""),"10757 3RD LINE RD")</f>
        <v>10757 3RD LINE RD</v>
      </c>
      <c r="C9377" s="3" t="str">
        <f>IFERROR(__xludf.DUMMYFUNCTION("""COMPUTED_VALUE"""),"ROSENEATH ")</f>
        <v>ROSENEATH </v>
      </c>
      <c r="D9377" s="3" t="str">
        <f>IFERROR(__xludf.DUMMYFUNCTION("""COMPUTED_VALUE"""),"K0K 2X0")</f>
        <v>K0K 2X0</v>
      </c>
      <c r="E9377" s="3"/>
      <c r="F9377" s="3"/>
      <c r="G9377" s="3"/>
      <c r="H9377" s="3"/>
    </row>
    <row r="9378">
      <c r="A9378" s="2">
        <f>IFERROR(__xludf.DUMMYFUNCTION("""COMPUTED_VALUE"""),50145.0)</f>
        <v>50145</v>
      </c>
      <c r="B9378" s="3" t="str">
        <f>IFERROR(__xludf.DUMMYFUNCTION("""COMPUTED_VALUE"""),"10767 3RD LINE RD")</f>
        <v>10767 3RD LINE RD</v>
      </c>
      <c r="C9378" s="3" t="str">
        <f>IFERROR(__xludf.DUMMYFUNCTION("""COMPUTED_VALUE"""),"ROSENEATH ")</f>
        <v>ROSENEATH </v>
      </c>
      <c r="D9378" s="3" t="str">
        <f>IFERROR(__xludf.DUMMYFUNCTION("""COMPUTED_VALUE"""),"K0K 2X0")</f>
        <v>K0K 2X0</v>
      </c>
      <c r="E9378" s="3"/>
      <c r="F9378" s="3"/>
      <c r="G9378" s="3"/>
      <c r="H9378" s="3"/>
    </row>
    <row r="9379">
      <c r="A9379" s="2">
        <f>IFERROR(__xludf.DUMMYFUNCTION("""COMPUTED_VALUE"""),50146.0)</f>
        <v>50146</v>
      </c>
      <c r="B9379" s="3" t="str">
        <f>IFERROR(__xludf.DUMMYFUNCTION("""COMPUTED_VALUE"""),"10779 3RD LINE RD")</f>
        <v>10779 3RD LINE RD</v>
      </c>
      <c r="C9379" s="3" t="str">
        <f>IFERROR(__xludf.DUMMYFUNCTION("""COMPUTED_VALUE"""),"ROSENEATH ")</f>
        <v>ROSENEATH </v>
      </c>
      <c r="D9379" s="3" t="str">
        <f>IFERROR(__xludf.DUMMYFUNCTION("""COMPUTED_VALUE"""),"K0K 2X0")</f>
        <v>K0K 2X0</v>
      </c>
      <c r="E9379" s="3"/>
      <c r="F9379" s="3"/>
      <c r="G9379" s="3"/>
      <c r="H9379" s="3"/>
    </row>
    <row r="9380">
      <c r="A9380" s="2">
        <f>IFERROR(__xludf.DUMMYFUNCTION("""COMPUTED_VALUE"""),50147.0)</f>
        <v>50147</v>
      </c>
      <c r="B9380" s="3" t="str">
        <f>IFERROR(__xludf.DUMMYFUNCTION("""COMPUTED_VALUE"""),"10825 3RD LINE RD")</f>
        <v>10825 3RD LINE RD</v>
      </c>
      <c r="C9380" s="3" t="str">
        <f>IFERROR(__xludf.DUMMYFUNCTION("""COMPUTED_VALUE"""),"ROSENEATH ")</f>
        <v>ROSENEATH </v>
      </c>
      <c r="D9380" s="3" t="str">
        <f>IFERROR(__xludf.DUMMYFUNCTION("""COMPUTED_VALUE"""),"K0K 2X0")</f>
        <v>K0K 2X0</v>
      </c>
      <c r="E9380" s="3"/>
      <c r="F9380" s="3"/>
      <c r="G9380" s="3"/>
      <c r="H9380" s="3"/>
    </row>
    <row r="9381">
      <c r="A9381" s="2">
        <f>IFERROR(__xludf.DUMMYFUNCTION("""COMPUTED_VALUE"""),50148.0)</f>
        <v>50148</v>
      </c>
      <c r="B9381" s="3" t="str">
        <f>IFERROR(__xludf.DUMMYFUNCTION("""COMPUTED_VALUE"""),"10858 3RD LINE RD")</f>
        <v>10858 3RD LINE RD</v>
      </c>
      <c r="C9381" s="3" t="str">
        <f>IFERROR(__xludf.DUMMYFUNCTION("""COMPUTED_VALUE"""),"ROSENEATH ")</f>
        <v>ROSENEATH </v>
      </c>
      <c r="D9381" s="3" t="str">
        <f>IFERROR(__xludf.DUMMYFUNCTION("""COMPUTED_VALUE"""),"K0K 2X0")</f>
        <v>K0K 2X0</v>
      </c>
      <c r="E9381" s="3" t="str">
        <f>IFERROR(__xludf.DUMMYFUNCTION("""COMPUTED_VALUE"""),"Dieyan Zhu")</f>
        <v>Dieyan Zhu</v>
      </c>
      <c r="F9381" s="3" t="str">
        <f>IFERROR(__xludf.DUMMYFUNCTION("""COMPUTED_VALUE"""),"hello2015linfeng@gmail.com")</f>
        <v>hello2015linfeng@gmail.com</v>
      </c>
      <c r="G9381" s="3">
        <f>IFERROR(__xludf.DUMMYFUNCTION("""COMPUTED_VALUE"""),4.167270361E9)</f>
        <v>4167270361</v>
      </c>
      <c r="H9381" s="3"/>
    </row>
    <row r="9382">
      <c r="A9382" s="2">
        <f>IFERROR(__xludf.DUMMYFUNCTION("""COMPUTED_VALUE"""),50149.0)</f>
        <v>50149</v>
      </c>
      <c r="B9382" s="3" t="str">
        <f>IFERROR(__xludf.DUMMYFUNCTION("""COMPUTED_VALUE"""),"10859 3RD LINE RD")</f>
        <v>10859 3RD LINE RD</v>
      </c>
      <c r="C9382" s="3" t="str">
        <f>IFERROR(__xludf.DUMMYFUNCTION("""COMPUTED_VALUE"""),"ROSENEATH ")</f>
        <v>ROSENEATH </v>
      </c>
      <c r="D9382" s="3" t="str">
        <f>IFERROR(__xludf.DUMMYFUNCTION("""COMPUTED_VALUE"""),"K0K 2X0")</f>
        <v>K0K 2X0</v>
      </c>
      <c r="E9382" s="3"/>
      <c r="F9382" s="3"/>
      <c r="G9382" s="3"/>
      <c r="H9382" s="3"/>
    </row>
    <row r="9383">
      <c r="A9383" s="2">
        <f>IFERROR(__xludf.DUMMYFUNCTION("""COMPUTED_VALUE"""),50150.0)</f>
        <v>50150</v>
      </c>
      <c r="B9383" s="3" t="str">
        <f>IFERROR(__xludf.DUMMYFUNCTION("""COMPUTED_VALUE"""),"10863 3RD LINE RD")</f>
        <v>10863 3RD LINE RD</v>
      </c>
      <c r="C9383" s="3" t="str">
        <f>IFERROR(__xludf.DUMMYFUNCTION("""COMPUTED_VALUE"""),"ROSENEATH ")</f>
        <v>ROSENEATH </v>
      </c>
      <c r="D9383" s="3" t="str">
        <f>IFERROR(__xludf.DUMMYFUNCTION("""COMPUTED_VALUE"""),"K0K 2X0")</f>
        <v>K0K 2X0</v>
      </c>
      <c r="E9383" s="3"/>
      <c r="F9383" s="3"/>
      <c r="G9383" s="3"/>
      <c r="H9383" s="3"/>
    </row>
    <row r="9384">
      <c r="A9384" s="2">
        <f>IFERROR(__xludf.DUMMYFUNCTION("""COMPUTED_VALUE"""),50151.0)</f>
        <v>50151</v>
      </c>
      <c r="B9384" s="3" t="str">
        <f>IFERROR(__xludf.DUMMYFUNCTION("""COMPUTED_VALUE"""),"10864 3RD LINE RD")</f>
        <v>10864 3RD LINE RD</v>
      </c>
      <c r="C9384" s="3" t="str">
        <f>IFERROR(__xludf.DUMMYFUNCTION("""COMPUTED_VALUE"""),"ROSENEATH ")</f>
        <v>ROSENEATH </v>
      </c>
      <c r="D9384" s="3" t="str">
        <f>IFERROR(__xludf.DUMMYFUNCTION("""COMPUTED_VALUE"""),"K0K 2X0")</f>
        <v>K0K 2X0</v>
      </c>
      <c r="E9384" s="3" t="str">
        <f>IFERROR(__xludf.DUMMYFUNCTION("""COMPUTED_VALUE"""),"Wyatt May")</f>
        <v>Wyatt May</v>
      </c>
      <c r="F9384" s="3" t="str">
        <f>IFERROR(__xludf.DUMMYFUNCTION("""COMPUTED_VALUE"""),"wyattwmay@gmail.com")</f>
        <v>wyattwmay@gmail.com</v>
      </c>
      <c r="G9384" s="3">
        <f>IFERROR(__xludf.DUMMYFUNCTION("""COMPUTED_VALUE"""),9.053967605E9)</f>
        <v>9053967605</v>
      </c>
      <c r="H9384" s="3"/>
    </row>
    <row r="9385">
      <c r="A9385" s="2">
        <f>IFERROR(__xludf.DUMMYFUNCTION("""COMPUTED_VALUE"""),50152.0)</f>
        <v>50152</v>
      </c>
      <c r="B9385" s="3" t="str">
        <f>IFERROR(__xludf.DUMMYFUNCTION("""COMPUTED_VALUE"""),"10903 3RD LINE RD")</f>
        <v>10903 3RD LINE RD</v>
      </c>
      <c r="C9385" s="3" t="str">
        <f>IFERROR(__xludf.DUMMYFUNCTION("""COMPUTED_VALUE"""),"ROSENEATH ")</f>
        <v>ROSENEATH </v>
      </c>
      <c r="D9385" s="3" t="str">
        <f>IFERROR(__xludf.DUMMYFUNCTION("""COMPUTED_VALUE"""),"K0K 2X0")</f>
        <v>K0K 2X0</v>
      </c>
      <c r="E9385" s="3"/>
      <c r="F9385" s="3"/>
      <c r="G9385" s="3"/>
      <c r="H9385" s="3"/>
    </row>
    <row r="9386">
      <c r="A9386" s="2">
        <f>IFERROR(__xludf.DUMMYFUNCTION("""COMPUTED_VALUE"""),50153.0)</f>
        <v>50153</v>
      </c>
      <c r="B9386" s="3" t="str">
        <f>IFERROR(__xludf.DUMMYFUNCTION("""COMPUTED_VALUE"""),"10973 3RD LINE RD")</f>
        <v>10973 3RD LINE RD</v>
      </c>
      <c r="C9386" s="3" t="str">
        <f>IFERROR(__xludf.DUMMYFUNCTION("""COMPUTED_VALUE"""),"ROSENEATH ")</f>
        <v>ROSENEATH </v>
      </c>
      <c r="D9386" s="3" t="str">
        <f>IFERROR(__xludf.DUMMYFUNCTION("""COMPUTED_VALUE"""),"K0K 2X0")</f>
        <v>K0K 2X0</v>
      </c>
      <c r="E9386" s="3"/>
      <c r="F9386" s="3"/>
      <c r="G9386" s="3"/>
      <c r="H9386" s="3"/>
    </row>
    <row r="9387">
      <c r="A9387" s="2">
        <f>IFERROR(__xludf.DUMMYFUNCTION("""COMPUTED_VALUE"""),50154.0)</f>
        <v>50154</v>
      </c>
      <c r="B9387" s="3" t="str">
        <f>IFERROR(__xludf.DUMMYFUNCTION("""COMPUTED_VALUE"""),"10980 3RD LINE RD")</f>
        <v>10980 3RD LINE RD</v>
      </c>
      <c r="C9387" s="3" t="str">
        <f>IFERROR(__xludf.DUMMYFUNCTION("""COMPUTED_VALUE"""),"ROSENEATH ")</f>
        <v>ROSENEATH </v>
      </c>
      <c r="D9387" s="3" t="str">
        <f>IFERROR(__xludf.DUMMYFUNCTION("""COMPUTED_VALUE"""),"K0K 2X0")</f>
        <v>K0K 2X0</v>
      </c>
      <c r="E9387" s="3" t="str">
        <f>IFERROR(__xludf.DUMMYFUNCTION("""COMPUTED_VALUE"""),"William Richard Hay")</f>
        <v>William Richard Hay</v>
      </c>
      <c r="F9387" s="3" t="str">
        <f>IFERROR(__xludf.DUMMYFUNCTION("""COMPUTED_VALUE"""),"billhay2016@outlook.com")</f>
        <v>billhay2016@outlook.com</v>
      </c>
      <c r="G9387" s="3"/>
      <c r="H9387" s="3"/>
    </row>
    <row r="9388">
      <c r="A9388" s="2">
        <f>IFERROR(__xludf.DUMMYFUNCTION("""COMPUTED_VALUE"""),50155.0)</f>
        <v>50155</v>
      </c>
      <c r="B9388" s="3" t="str">
        <f>IFERROR(__xludf.DUMMYFUNCTION("""COMPUTED_VALUE"""),"10981 3RD LINE RD")</f>
        <v>10981 3RD LINE RD</v>
      </c>
      <c r="C9388" s="3" t="str">
        <f>IFERROR(__xludf.DUMMYFUNCTION("""COMPUTED_VALUE"""),"ROSENEATH ")</f>
        <v>ROSENEATH </v>
      </c>
      <c r="D9388" s="3" t="str">
        <f>IFERROR(__xludf.DUMMYFUNCTION("""COMPUTED_VALUE"""),"K0K 2X0")</f>
        <v>K0K 2X0</v>
      </c>
      <c r="E9388" s="3"/>
      <c r="F9388" s="3"/>
      <c r="G9388" s="3"/>
      <c r="H9388" s="3"/>
    </row>
    <row r="9389">
      <c r="A9389" s="2">
        <f>IFERROR(__xludf.DUMMYFUNCTION("""COMPUTED_VALUE"""),50156.0)</f>
        <v>50156</v>
      </c>
      <c r="B9389" s="3" t="str">
        <f>IFERROR(__xludf.DUMMYFUNCTION("""COMPUTED_VALUE"""),"11006 3RD LINE RD")</f>
        <v>11006 3RD LINE RD</v>
      </c>
      <c r="C9389" s="3" t="str">
        <f>IFERROR(__xludf.DUMMYFUNCTION("""COMPUTED_VALUE"""),"ROSENEATH ")</f>
        <v>ROSENEATH </v>
      </c>
      <c r="D9389" s="3" t="str">
        <f>IFERROR(__xludf.DUMMYFUNCTION("""COMPUTED_VALUE"""),"K0K 2X0")</f>
        <v>K0K 2X0</v>
      </c>
      <c r="E9389" s="3"/>
      <c r="F9389" s="3"/>
      <c r="G9389" s="3"/>
      <c r="H9389" s="3"/>
    </row>
    <row r="9390">
      <c r="A9390" s="2">
        <f>IFERROR(__xludf.DUMMYFUNCTION("""COMPUTED_VALUE"""),50157.0)</f>
        <v>50157</v>
      </c>
      <c r="B9390" s="3" t="str">
        <f>IFERROR(__xludf.DUMMYFUNCTION("""COMPUTED_VALUE"""),"11026 3RD LINE RD")</f>
        <v>11026 3RD LINE RD</v>
      </c>
      <c r="C9390" s="3" t="str">
        <f>IFERROR(__xludf.DUMMYFUNCTION("""COMPUTED_VALUE"""),"ROSENEATH ")</f>
        <v>ROSENEATH </v>
      </c>
      <c r="D9390" s="3" t="str">
        <f>IFERROR(__xludf.DUMMYFUNCTION("""COMPUTED_VALUE"""),"K0K 2X0")</f>
        <v>K0K 2X0</v>
      </c>
      <c r="E9390" s="3"/>
      <c r="F9390" s="3"/>
      <c r="G9390" s="3"/>
      <c r="H9390" s="3"/>
    </row>
    <row r="9391">
      <c r="A9391" s="2">
        <f>IFERROR(__xludf.DUMMYFUNCTION("""COMPUTED_VALUE"""),50158.0)</f>
        <v>50158</v>
      </c>
      <c r="B9391" s="3" t="str">
        <f>IFERROR(__xludf.DUMMYFUNCTION("""COMPUTED_VALUE"""),"11040 3RD LINE RD")</f>
        <v>11040 3RD LINE RD</v>
      </c>
      <c r="C9391" s="3" t="str">
        <f>IFERROR(__xludf.DUMMYFUNCTION("""COMPUTED_VALUE"""),"ROSENEATH ")</f>
        <v>ROSENEATH </v>
      </c>
      <c r="D9391" s="3" t="str">
        <f>IFERROR(__xludf.DUMMYFUNCTION("""COMPUTED_VALUE"""),"K0K 2X0")</f>
        <v>K0K 2X0</v>
      </c>
      <c r="E9391" s="3" t="str">
        <f>IFERROR(__xludf.DUMMYFUNCTION("""COMPUTED_VALUE"""),"Nicole Trzaskalski")</f>
        <v>Nicole Trzaskalski</v>
      </c>
      <c r="F9391" s="3" t="str">
        <f>IFERROR(__xludf.DUMMYFUNCTION("""COMPUTED_VALUE"""),"nicole13240@hotmail.com")</f>
        <v>nicole13240@hotmail.com</v>
      </c>
      <c r="G9391" s="3">
        <f>IFERROR(__xludf.DUMMYFUNCTION("""COMPUTED_VALUE"""),7.05749753E9)</f>
        <v>7057497530</v>
      </c>
      <c r="H9391" s="3"/>
    </row>
    <row r="9392">
      <c r="A9392" s="2">
        <f>IFERROR(__xludf.DUMMYFUNCTION("""COMPUTED_VALUE"""),50159.0)</f>
        <v>50159</v>
      </c>
      <c r="B9392" s="3" t="str">
        <f>IFERROR(__xludf.DUMMYFUNCTION("""COMPUTED_VALUE"""),"11054 3RD LINE RD")</f>
        <v>11054 3RD LINE RD</v>
      </c>
      <c r="C9392" s="3" t="str">
        <f>IFERROR(__xludf.DUMMYFUNCTION("""COMPUTED_VALUE"""),"ROSENEATH ")</f>
        <v>ROSENEATH </v>
      </c>
      <c r="D9392" s="3" t="str">
        <f>IFERROR(__xludf.DUMMYFUNCTION("""COMPUTED_VALUE"""),"K0K 2X0")</f>
        <v>K0K 2X0</v>
      </c>
      <c r="E9392" s="3" t="str">
        <f>IFERROR(__xludf.DUMMYFUNCTION("""COMPUTED_VALUE"""),"Alicia Lynch")</f>
        <v>Alicia Lynch</v>
      </c>
      <c r="F9392" s="3" t="str">
        <f>IFERROR(__xludf.DUMMYFUNCTION("""COMPUTED_VALUE"""),"aj.lynch10@gmail.com")</f>
        <v>aj.lynch10@gmail.com</v>
      </c>
      <c r="G9392" s="3">
        <f>IFERROR(__xludf.DUMMYFUNCTION("""COMPUTED_VALUE"""),9.052596709E9)</f>
        <v>9052596709</v>
      </c>
      <c r="H9392" s="3">
        <f>IFERROR(__xludf.DUMMYFUNCTION("""COMPUTED_VALUE"""),9.054104721E9)</f>
        <v>9054104721</v>
      </c>
    </row>
    <row r="9393">
      <c r="A9393" s="2">
        <f>IFERROR(__xludf.DUMMYFUNCTION("""COMPUTED_VALUE"""),50160.0)</f>
        <v>50160</v>
      </c>
      <c r="B9393" s="3" t="str">
        <f>IFERROR(__xludf.DUMMYFUNCTION("""COMPUTED_VALUE"""),"11063 3RD LINE RD")</f>
        <v>11063 3RD LINE RD</v>
      </c>
      <c r="C9393" s="3" t="str">
        <f>IFERROR(__xludf.DUMMYFUNCTION("""COMPUTED_VALUE"""),"ROSENEATH ")</f>
        <v>ROSENEATH </v>
      </c>
      <c r="D9393" s="3" t="str">
        <f>IFERROR(__xludf.DUMMYFUNCTION("""COMPUTED_VALUE"""),"K0K 2X0")</f>
        <v>K0K 2X0</v>
      </c>
      <c r="E9393" s="3" t="str">
        <f>IFERROR(__xludf.DUMMYFUNCTION("""COMPUTED_VALUE"""),"Adam Polley")</f>
        <v>Adam Polley</v>
      </c>
      <c r="F9393" s="3" t="str">
        <f>IFERROR(__xludf.DUMMYFUNCTION("""COMPUTED_VALUE"""),"sherripolley@gmail.com")</f>
        <v>sherripolley@gmail.com</v>
      </c>
      <c r="G9393" s="3"/>
      <c r="H9393" s="3"/>
    </row>
    <row r="9394">
      <c r="A9394" s="2">
        <f>IFERROR(__xludf.DUMMYFUNCTION("""COMPUTED_VALUE"""),50161.0)</f>
        <v>50161</v>
      </c>
      <c r="B9394" s="3" t="str">
        <f>IFERROR(__xludf.DUMMYFUNCTION("""COMPUTED_VALUE"""),"11074 THIRD LINE")</f>
        <v>11074 THIRD LINE</v>
      </c>
      <c r="C9394" s="3" t="str">
        <f>IFERROR(__xludf.DUMMYFUNCTION("""COMPUTED_VALUE"""),"ROSENEATH ")</f>
        <v>ROSENEATH </v>
      </c>
      <c r="D9394" s="3" t="str">
        <f>IFERROR(__xludf.DUMMYFUNCTION("""COMPUTED_VALUE"""),"K0K 2X0")</f>
        <v>K0K 2X0</v>
      </c>
      <c r="E9394" s="3"/>
      <c r="F9394" s="3"/>
      <c r="G9394" s="3"/>
      <c r="H9394" s="3"/>
    </row>
    <row r="9395">
      <c r="A9395" s="2">
        <f>IFERROR(__xludf.DUMMYFUNCTION("""COMPUTED_VALUE"""),50162.0)</f>
        <v>50162</v>
      </c>
      <c r="B9395" s="3" t="str">
        <f>IFERROR(__xludf.DUMMYFUNCTION("""COMPUTED_VALUE"""),"11078 THIRD LINE")</f>
        <v>11078 THIRD LINE</v>
      </c>
      <c r="C9395" s="3" t="str">
        <f>IFERROR(__xludf.DUMMYFUNCTION("""COMPUTED_VALUE"""),"ROSENEATH ")</f>
        <v>ROSENEATH </v>
      </c>
      <c r="D9395" s="3" t="str">
        <f>IFERROR(__xludf.DUMMYFUNCTION("""COMPUTED_VALUE"""),"K0K 2X0")</f>
        <v>K0K 2X0</v>
      </c>
      <c r="E9395" s="3"/>
      <c r="F9395" s="3"/>
      <c r="G9395" s="3"/>
      <c r="H9395" s="3"/>
    </row>
    <row r="9396">
      <c r="A9396" s="2">
        <f>IFERROR(__xludf.DUMMYFUNCTION("""COMPUTED_VALUE"""),50163.0)</f>
        <v>50163</v>
      </c>
      <c r="B9396" s="3" t="str">
        <f>IFERROR(__xludf.DUMMYFUNCTION("""COMPUTED_VALUE"""),"11082 THIRD LINE RD")</f>
        <v>11082 THIRD LINE RD</v>
      </c>
      <c r="C9396" s="3" t="str">
        <f>IFERROR(__xludf.DUMMYFUNCTION("""COMPUTED_VALUE"""),"ROSENEATH ")</f>
        <v>ROSENEATH </v>
      </c>
      <c r="D9396" s="3" t="str">
        <f>IFERROR(__xludf.DUMMYFUNCTION("""COMPUTED_VALUE"""),"K0K 2X0")</f>
        <v>K0K 2X0</v>
      </c>
      <c r="E9396" s="3"/>
      <c r="F9396" s="3"/>
      <c r="G9396" s="3"/>
      <c r="H9396" s="3"/>
    </row>
    <row r="9397">
      <c r="A9397" s="2">
        <f>IFERROR(__xludf.DUMMYFUNCTION("""COMPUTED_VALUE"""),50164.0)</f>
        <v>50164</v>
      </c>
      <c r="B9397" s="3" t="str">
        <f>IFERROR(__xludf.DUMMYFUNCTION("""COMPUTED_VALUE"""),"11207 3RD LINE RD")</f>
        <v>11207 3RD LINE RD</v>
      </c>
      <c r="C9397" s="3" t="str">
        <f>IFERROR(__xludf.DUMMYFUNCTION("""COMPUTED_VALUE"""),"ROSENEATH ")</f>
        <v>ROSENEATH </v>
      </c>
      <c r="D9397" s="3" t="str">
        <f>IFERROR(__xludf.DUMMYFUNCTION("""COMPUTED_VALUE"""),"K0K 2X0")</f>
        <v>K0K 2X0</v>
      </c>
      <c r="E9397" s="3"/>
      <c r="F9397" s="3"/>
      <c r="G9397" s="3"/>
      <c r="H9397" s="3"/>
    </row>
    <row r="9398">
      <c r="A9398" s="2">
        <f>IFERROR(__xludf.DUMMYFUNCTION("""COMPUTED_VALUE"""),50165.0)</f>
        <v>50165</v>
      </c>
      <c r="B9398" s="3" t="str">
        <f>IFERROR(__xludf.DUMMYFUNCTION("""COMPUTED_VALUE"""),"11223 3RD LINE RD")</f>
        <v>11223 3RD LINE RD</v>
      </c>
      <c r="C9398" s="3" t="str">
        <f>IFERROR(__xludf.DUMMYFUNCTION("""COMPUTED_VALUE"""),"ROSENEATH ")</f>
        <v>ROSENEATH </v>
      </c>
      <c r="D9398" s="3" t="str">
        <f>IFERROR(__xludf.DUMMYFUNCTION("""COMPUTED_VALUE"""),"K0K 2X0")</f>
        <v>K0K 2X0</v>
      </c>
      <c r="E9398" s="3"/>
      <c r="F9398" s="3"/>
      <c r="G9398" s="3"/>
      <c r="H9398" s="3"/>
    </row>
    <row r="9399">
      <c r="A9399" s="2">
        <f>IFERROR(__xludf.DUMMYFUNCTION("""COMPUTED_VALUE"""),50166.0)</f>
        <v>50166</v>
      </c>
      <c r="B9399" s="3" t="str">
        <f>IFERROR(__xludf.DUMMYFUNCTION("""COMPUTED_VALUE"""),"11237 3RD LINE RD")</f>
        <v>11237 3RD LINE RD</v>
      </c>
      <c r="C9399" s="3" t="str">
        <f>IFERROR(__xludf.DUMMYFUNCTION("""COMPUTED_VALUE"""),"ROSENEATH ")</f>
        <v>ROSENEATH </v>
      </c>
      <c r="D9399" s="3" t="str">
        <f>IFERROR(__xludf.DUMMYFUNCTION("""COMPUTED_VALUE"""),"K0K 2X0")</f>
        <v>K0K 2X0</v>
      </c>
      <c r="E9399" s="3"/>
      <c r="F9399" s="3"/>
      <c r="G9399" s="3"/>
      <c r="H9399" s="3"/>
    </row>
    <row r="9400">
      <c r="A9400" s="2">
        <f>IFERROR(__xludf.DUMMYFUNCTION("""COMPUTED_VALUE"""),50167.0)</f>
        <v>50167</v>
      </c>
      <c r="B9400" s="3" t="str">
        <f>IFERROR(__xludf.DUMMYFUNCTION("""COMPUTED_VALUE"""),"11299 3RD LINE RD")</f>
        <v>11299 3RD LINE RD</v>
      </c>
      <c r="C9400" s="3" t="str">
        <f>IFERROR(__xludf.DUMMYFUNCTION("""COMPUTED_VALUE"""),"ROSENEATH ")</f>
        <v>ROSENEATH </v>
      </c>
      <c r="D9400" s="3" t="str">
        <f>IFERROR(__xludf.DUMMYFUNCTION("""COMPUTED_VALUE"""),"K0K 2X0")</f>
        <v>K0K 2X0</v>
      </c>
      <c r="E9400" s="3"/>
      <c r="F9400" s="3"/>
      <c r="G9400" s="3"/>
      <c r="H9400" s="3"/>
    </row>
    <row r="9401">
      <c r="A9401" s="2">
        <f>IFERROR(__xludf.DUMMYFUNCTION("""COMPUTED_VALUE"""),50176.0)</f>
        <v>50176</v>
      </c>
      <c r="B9401" s="3" t="str">
        <f>IFERROR(__xludf.DUMMYFUNCTION("""COMPUTED_VALUE"""),"11794 3RD LINE RD")</f>
        <v>11794 3RD LINE RD</v>
      </c>
      <c r="C9401" s="3" t="str">
        <f>IFERROR(__xludf.DUMMYFUNCTION("""COMPUTED_VALUE"""),"ROSENEATH ")</f>
        <v>ROSENEATH </v>
      </c>
      <c r="D9401" s="3" t="str">
        <f>IFERROR(__xludf.DUMMYFUNCTION("""COMPUTED_VALUE"""),"K0K 2X0")</f>
        <v>K0K 2X0</v>
      </c>
      <c r="E9401" s="3"/>
      <c r="F9401" s="3"/>
      <c r="G9401" s="3"/>
      <c r="H9401" s="3"/>
    </row>
    <row r="9402">
      <c r="A9402" s="2">
        <f>IFERROR(__xludf.DUMMYFUNCTION("""COMPUTED_VALUE"""),50177.0)</f>
        <v>50177</v>
      </c>
      <c r="B9402" s="3" t="str">
        <f>IFERROR(__xludf.DUMMYFUNCTION("""COMPUTED_VALUE"""),"11817 3RD LINE RD")</f>
        <v>11817 3RD LINE RD</v>
      </c>
      <c r="C9402" s="3" t="str">
        <f>IFERROR(__xludf.DUMMYFUNCTION("""COMPUTED_VALUE"""),"ROSENEATH ")</f>
        <v>ROSENEATH </v>
      </c>
      <c r="D9402" s="3" t="str">
        <f>IFERROR(__xludf.DUMMYFUNCTION("""COMPUTED_VALUE"""),"K0K 2X0")</f>
        <v>K0K 2X0</v>
      </c>
      <c r="E9402" s="3" t="str">
        <f>IFERROR(__xludf.DUMMYFUNCTION("""COMPUTED_VALUE"""),"Melissa Surerus")</f>
        <v>Melissa Surerus</v>
      </c>
      <c r="F9402" s="3" t="str">
        <f>IFERROR(__xludf.DUMMYFUNCTION("""COMPUTED_VALUE"""),"msurerus@royallepage.ca")</f>
        <v>msurerus@royallepage.ca</v>
      </c>
      <c r="G9402" s="3">
        <f>IFERROR(__xludf.DUMMYFUNCTION("""COMPUTED_VALUE"""),9.052690196E9)</f>
        <v>9052690196</v>
      </c>
      <c r="H9402" s="3"/>
    </row>
    <row r="9403">
      <c r="A9403" s="2">
        <f>IFERROR(__xludf.DUMMYFUNCTION("""COMPUTED_VALUE"""),50178.0)</f>
        <v>50178</v>
      </c>
      <c r="B9403" s="3" t="str">
        <f>IFERROR(__xludf.DUMMYFUNCTION("""COMPUTED_VALUE"""),"11819 3RD LINE RD")</f>
        <v>11819 3RD LINE RD</v>
      </c>
      <c r="C9403" s="3" t="str">
        <f>IFERROR(__xludf.DUMMYFUNCTION("""COMPUTED_VALUE"""),"ROSENEATH ")</f>
        <v>ROSENEATH </v>
      </c>
      <c r="D9403" s="3" t="str">
        <f>IFERROR(__xludf.DUMMYFUNCTION("""COMPUTED_VALUE"""),"K0K 2X0")</f>
        <v>K0K 2X0</v>
      </c>
      <c r="E9403" s="3" t="str">
        <f>IFERROR(__xludf.DUMMYFUNCTION("""COMPUTED_VALUE"""),"Barry Sunghus")</f>
        <v>Barry Sunghus</v>
      </c>
      <c r="F9403" s="3" t="str">
        <f>IFERROR(__xludf.DUMMYFUNCTION("""COMPUTED_VALUE"""),"surerus@xplorenet.com")</f>
        <v>surerus@xplorenet.com</v>
      </c>
      <c r="G9403" s="3"/>
      <c r="H9403" s="3"/>
    </row>
    <row r="9404">
      <c r="A9404" s="2">
        <f>IFERROR(__xludf.DUMMYFUNCTION("""COMPUTED_VALUE"""),50179.0)</f>
        <v>50179</v>
      </c>
      <c r="B9404" s="3" t="str">
        <f>IFERROR(__xludf.DUMMYFUNCTION("""COMPUTED_VALUE"""),"11825 3RD LINE RD")</f>
        <v>11825 3RD LINE RD</v>
      </c>
      <c r="C9404" s="3" t="str">
        <f>IFERROR(__xludf.DUMMYFUNCTION("""COMPUTED_VALUE"""),"ROSENEATH ")</f>
        <v>ROSENEATH </v>
      </c>
      <c r="D9404" s="3" t="str">
        <f>IFERROR(__xludf.DUMMYFUNCTION("""COMPUTED_VALUE"""),"K0K 2X0")</f>
        <v>K0K 2X0</v>
      </c>
      <c r="E9404" s="3" t="str">
        <f>IFERROR(__xludf.DUMMYFUNCTION("""COMPUTED_VALUE"""),"Larry Legere")</f>
        <v>Larry Legere</v>
      </c>
      <c r="F9404" s="3" t="str">
        <f>IFERROR(__xludf.DUMMYFUNCTION("""COMPUTED_VALUE"""),"c500@live.ca")</f>
        <v>c500@live.ca</v>
      </c>
      <c r="G9404" s="3">
        <f>IFERROR(__xludf.DUMMYFUNCTION("""COMPUTED_VALUE"""),9.0544132E9)</f>
        <v>9054413200</v>
      </c>
      <c r="H9404" s="3"/>
    </row>
    <row r="9405">
      <c r="A9405" s="2">
        <f>IFERROR(__xludf.DUMMYFUNCTION("""COMPUTED_VALUE"""),50180.0)</f>
        <v>50180</v>
      </c>
      <c r="B9405" s="3" t="str">
        <f>IFERROR(__xludf.DUMMYFUNCTION("""COMPUTED_VALUE"""),"11826 3RD LINE RD")</f>
        <v>11826 3RD LINE RD</v>
      </c>
      <c r="C9405" s="3" t="str">
        <f>IFERROR(__xludf.DUMMYFUNCTION("""COMPUTED_VALUE"""),"ROSENEATH ")</f>
        <v>ROSENEATH </v>
      </c>
      <c r="D9405" s="3" t="str">
        <f>IFERROR(__xludf.DUMMYFUNCTION("""COMPUTED_VALUE"""),"K0K 2X0")</f>
        <v>K0K 2X0</v>
      </c>
      <c r="E9405" s="3"/>
      <c r="F9405" s="3"/>
      <c r="G9405" s="3"/>
      <c r="H9405" s="3"/>
    </row>
    <row r="9406">
      <c r="A9406" s="2">
        <f>IFERROR(__xludf.DUMMYFUNCTION("""COMPUTED_VALUE"""),50181.0)</f>
        <v>50181</v>
      </c>
      <c r="B9406" s="3" t="str">
        <f>IFERROR(__xludf.DUMMYFUNCTION("""COMPUTED_VALUE"""),"11833 3RD LINE RD")</f>
        <v>11833 3RD LINE RD</v>
      </c>
      <c r="C9406" s="3" t="str">
        <f>IFERROR(__xludf.DUMMYFUNCTION("""COMPUTED_VALUE"""),"ROSENEATH ")</f>
        <v>ROSENEATH </v>
      </c>
      <c r="D9406" s="3" t="str">
        <f>IFERROR(__xludf.DUMMYFUNCTION("""COMPUTED_VALUE"""),"K0K 2X0")</f>
        <v>K0K 2X0</v>
      </c>
      <c r="E9406" s="3" t="str">
        <f>IFERROR(__xludf.DUMMYFUNCTION("""COMPUTED_VALUE"""),"Stewart Keith Ferrier")</f>
        <v>Stewart Keith Ferrier</v>
      </c>
      <c r="F9406" s="3" t="str">
        <f>IFERROR(__xludf.DUMMYFUNCTION("""COMPUTED_VALUE"""),"kferrier1970@gmail.com")</f>
        <v>kferrier1970@gmail.com</v>
      </c>
      <c r="G9406" s="3">
        <f>IFERROR(__xludf.DUMMYFUNCTION("""COMPUTED_VALUE"""),4.164556651E9)</f>
        <v>4164556651</v>
      </c>
      <c r="H9406" s="3">
        <f>IFERROR(__xludf.DUMMYFUNCTION("""COMPUTED_VALUE"""),9.054313907E9)</f>
        <v>9054313907</v>
      </c>
    </row>
    <row r="9407">
      <c r="A9407" s="2">
        <f>IFERROR(__xludf.DUMMYFUNCTION("""COMPUTED_VALUE"""),50182.0)</f>
        <v>50182</v>
      </c>
      <c r="B9407" s="3" t="str">
        <f>IFERROR(__xludf.DUMMYFUNCTION("""COMPUTED_VALUE"""),"11834 3RD LINE RD")</f>
        <v>11834 3RD LINE RD</v>
      </c>
      <c r="C9407" s="3" t="str">
        <f>IFERROR(__xludf.DUMMYFUNCTION("""COMPUTED_VALUE"""),"ROSENEATH ")</f>
        <v>ROSENEATH </v>
      </c>
      <c r="D9407" s="3" t="str">
        <f>IFERROR(__xludf.DUMMYFUNCTION("""COMPUTED_VALUE"""),"K0K 2X0")</f>
        <v>K0K 2X0</v>
      </c>
      <c r="E9407" s="3"/>
      <c r="F9407" s="3"/>
      <c r="G9407" s="3"/>
      <c r="H9407" s="3"/>
    </row>
    <row r="9408">
      <c r="A9408" s="2">
        <f>IFERROR(__xludf.DUMMYFUNCTION("""COMPUTED_VALUE"""),50183.0)</f>
        <v>50183</v>
      </c>
      <c r="B9408" s="3" t="str">
        <f>IFERROR(__xludf.DUMMYFUNCTION("""COMPUTED_VALUE"""),"11851 3RD LINE RD")</f>
        <v>11851 3RD LINE RD</v>
      </c>
      <c r="C9408" s="3" t="str">
        <f>IFERROR(__xludf.DUMMYFUNCTION("""COMPUTED_VALUE"""),"ROSENEATH ")</f>
        <v>ROSENEATH </v>
      </c>
      <c r="D9408" s="3" t="str">
        <f>IFERROR(__xludf.DUMMYFUNCTION("""COMPUTED_VALUE"""),"K0K 2X0")</f>
        <v>K0K 2X0</v>
      </c>
      <c r="E9408" s="3"/>
      <c r="F9408" s="3"/>
      <c r="G9408" s="3"/>
      <c r="H9408" s="3"/>
    </row>
    <row r="9409">
      <c r="A9409" s="2">
        <f>IFERROR(__xludf.DUMMYFUNCTION("""COMPUTED_VALUE"""),50184.0)</f>
        <v>50184</v>
      </c>
      <c r="B9409" s="3" t="str">
        <f>IFERROR(__xludf.DUMMYFUNCTION("""COMPUTED_VALUE"""),"11857 3RD LINE RD")</f>
        <v>11857 3RD LINE RD</v>
      </c>
      <c r="C9409" s="3" t="str">
        <f>IFERROR(__xludf.DUMMYFUNCTION("""COMPUTED_VALUE"""),"ROSENEATH ")</f>
        <v>ROSENEATH </v>
      </c>
      <c r="D9409" s="3" t="str">
        <f>IFERROR(__xludf.DUMMYFUNCTION("""COMPUTED_VALUE"""),"K0K 2X0")</f>
        <v>K0K 2X0</v>
      </c>
      <c r="E9409" s="3"/>
      <c r="F9409" s="3"/>
      <c r="G9409" s="3"/>
      <c r="H9409" s="3"/>
    </row>
    <row r="9410">
      <c r="A9410" s="2">
        <f>IFERROR(__xludf.DUMMYFUNCTION("""COMPUTED_VALUE"""),50185.0)</f>
        <v>50185</v>
      </c>
      <c r="B9410" s="3" t="str">
        <f>IFERROR(__xludf.DUMMYFUNCTION("""COMPUTED_VALUE"""),"11860 3RD LINE RD")</f>
        <v>11860 3RD LINE RD</v>
      </c>
      <c r="C9410" s="3" t="str">
        <f>IFERROR(__xludf.DUMMYFUNCTION("""COMPUTED_VALUE"""),"ROSENEATH ")</f>
        <v>ROSENEATH </v>
      </c>
      <c r="D9410" s="3" t="str">
        <f>IFERROR(__xludf.DUMMYFUNCTION("""COMPUTED_VALUE"""),"K0K 2X0")</f>
        <v>K0K 2X0</v>
      </c>
      <c r="E9410" s="3"/>
      <c r="F9410" s="3"/>
      <c r="G9410" s="3"/>
      <c r="H9410" s="3"/>
    </row>
    <row r="9411">
      <c r="A9411" s="2">
        <f>IFERROR(__xludf.DUMMYFUNCTION("""COMPUTED_VALUE"""),50186.0)</f>
        <v>50186</v>
      </c>
      <c r="B9411" s="3" t="str">
        <f>IFERROR(__xludf.DUMMYFUNCTION("""COMPUTED_VALUE"""),"11866 3RD LINE RD")</f>
        <v>11866 3RD LINE RD</v>
      </c>
      <c r="C9411" s="3" t="str">
        <f>IFERROR(__xludf.DUMMYFUNCTION("""COMPUTED_VALUE"""),"ROSENEATH ")</f>
        <v>ROSENEATH </v>
      </c>
      <c r="D9411" s="3" t="str">
        <f>IFERROR(__xludf.DUMMYFUNCTION("""COMPUTED_VALUE"""),"K0K 2X0")</f>
        <v>K0K 2X0</v>
      </c>
      <c r="E9411" s="3"/>
      <c r="F9411" s="3"/>
      <c r="G9411" s="3"/>
      <c r="H9411" s="3"/>
    </row>
    <row r="9412">
      <c r="A9412" s="2">
        <f>IFERROR(__xludf.DUMMYFUNCTION("""COMPUTED_VALUE"""),50187.0)</f>
        <v>50187</v>
      </c>
      <c r="B9412" s="3" t="str">
        <f>IFERROR(__xludf.DUMMYFUNCTION("""COMPUTED_VALUE"""),"11867 3RD LINE RD")</f>
        <v>11867 3RD LINE RD</v>
      </c>
      <c r="C9412" s="3" t="str">
        <f>IFERROR(__xludf.DUMMYFUNCTION("""COMPUTED_VALUE"""),"ROSENEATH ")</f>
        <v>ROSENEATH </v>
      </c>
      <c r="D9412" s="3" t="str">
        <f>IFERROR(__xludf.DUMMYFUNCTION("""COMPUTED_VALUE"""),"K0K 2X0")</f>
        <v>K0K 2X0</v>
      </c>
      <c r="E9412" s="3"/>
      <c r="F9412" s="3"/>
      <c r="G9412" s="3"/>
      <c r="H9412" s="3"/>
    </row>
    <row r="9413">
      <c r="A9413" s="2">
        <f>IFERROR(__xludf.DUMMYFUNCTION("""COMPUTED_VALUE"""),50188.0)</f>
        <v>50188</v>
      </c>
      <c r="B9413" s="3" t="str">
        <f>IFERROR(__xludf.DUMMYFUNCTION("""COMPUTED_VALUE"""),"11259A 3RD LINE RD")</f>
        <v>11259A 3RD LINE RD</v>
      </c>
      <c r="C9413" s="3" t="str">
        <f>IFERROR(__xludf.DUMMYFUNCTION("""COMPUTED_VALUE"""),"ROSENEATH ")</f>
        <v>ROSENEATH </v>
      </c>
      <c r="D9413" s="3" t="str">
        <f>IFERROR(__xludf.DUMMYFUNCTION("""COMPUTED_VALUE"""),"K0K 2X0")</f>
        <v>K0K 2X0</v>
      </c>
      <c r="E9413" s="3"/>
      <c r="F9413" s="3"/>
      <c r="G9413" s="3"/>
      <c r="H9413" s="3"/>
    </row>
    <row r="9414">
      <c r="A9414" s="2">
        <f>IFERROR(__xludf.DUMMYFUNCTION("""COMPUTED_VALUE"""),50189.0)</f>
        <v>50189</v>
      </c>
      <c r="B9414" s="3" t="str">
        <f>IFERROR(__xludf.DUMMYFUNCTION("""COMPUTED_VALUE"""),"11259B 3RD LINE RD")</f>
        <v>11259B 3RD LINE RD</v>
      </c>
      <c r="C9414" s="3" t="str">
        <f>IFERROR(__xludf.DUMMYFUNCTION("""COMPUTED_VALUE"""),"ROSENEATH ")</f>
        <v>ROSENEATH </v>
      </c>
      <c r="D9414" s="3" t="str">
        <f>IFERROR(__xludf.DUMMYFUNCTION("""COMPUTED_VALUE"""),"K0K 2X0")</f>
        <v>K0K 2X0</v>
      </c>
      <c r="E9414" s="3"/>
      <c r="F9414" s="3"/>
      <c r="G9414" s="3"/>
      <c r="H9414" s="3"/>
    </row>
    <row r="9415">
      <c r="A9415" s="2">
        <f>IFERROR(__xludf.DUMMYFUNCTION("""COMPUTED_VALUE"""),50190.0)</f>
        <v>50190</v>
      </c>
      <c r="B9415" s="3" t="str">
        <f>IFERROR(__xludf.DUMMYFUNCTION("""COMPUTED_VALUE"""),"8 4TH LINE RD")</f>
        <v>8 4TH LINE RD</v>
      </c>
      <c r="C9415" s="3" t="str">
        <f>IFERROR(__xludf.DUMMYFUNCTION("""COMPUTED_VALUE"""),"ROSENEATH ")</f>
        <v>ROSENEATH </v>
      </c>
      <c r="D9415" s="3" t="str">
        <f>IFERROR(__xludf.DUMMYFUNCTION("""COMPUTED_VALUE"""),"K0K 2X0")</f>
        <v>K0K 2X0</v>
      </c>
      <c r="E9415" s="3"/>
      <c r="F9415" s="3"/>
      <c r="G9415" s="3"/>
      <c r="H9415" s="3"/>
    </row>
    <row r="9416">
      <c r="A9416" s="2">
        <f>IFERROR(__xludf.DUMMYFUNCTION("""COMPUTED_VALUE"""),50191.0)</f>
        <v>50191</v>
      </c>
      <c r="B9416" s="3" t="str">
        <f>IFERROR(__xludf.DUMMYFUNCTION("""COMPUTED_VALUE"""),"18 4TH LINE RD UNIT 10")</f>
        <v>18 4TH LINE RD UNIT 10</v>
      </c>
      <c r="C9416" s="3" t="str">
        <f>IFERROR(__xludf.DUMMYFUNCTION("""COMPUTED_VALUE"""),"ROSENEATH ")</f>
        <v>ROSENEATH </v>
      </c>
      <c r="D9416" s="3" t="str">
        <f>IFERROR(__xludf.DUMMYFUNCTION("""COMPUTED_VALUE"""),"K0K 2X0")</f>
        <v>K0K 2X0</v>
      </c>
      <c r="E9416" s="3"/>
      <c r="F9416" s="3"/>
      <c r="G9416" s="3"/>
      <c r="H9416" s="3"/>
    </row>
    <row r="9417">
      <c r="A9417" s="2">
        <f>IFERROR(__xludf.DUMMYFUNCTION("""COMPUTED_VALUE"""),50192.0)</f>
        <v>50192</v>
      </c>
      <c r="B9417" s="3" t="str">
        <f>IFERROR(__xludf.DUMMYFUNCTION("""COMPUTED_VALUE"""),"18 4TH LINE RD UNIT 11")</f>
        <v>18 4TH LINE RD UNIT 11</v>
      </c>
      <c r="C9417" s="3" t="str">
        <f>IFERROR(__xludf.DUMMYFUNCTION("""COMPUTED_VALUE"""),"ROSENEATH ")</f>
        <v>ROSENEATH </v>
      </c>
      <c r="D9417" s="3" t="str">
        <f>IFERROR(__xludf.DUMMYFUNCTION("""COMPUTED_VALUE"""),"K0K 2X0")</f>
        <v>K0K 2X0</v>
      </c>
      <c r="E9417" s="3"/>
      <c r="F9417" s="3"/>
      <c r="G9417" s="3"/>
      <c r="H9417" s="3"/>
    </row>
    <row r="9418">
      <c r="A9418" s="2">
        <f>IFERROR(__xludf.DUMMYFUNCTION("""COMPUTED_VALUE"""),50193.0)</f>
        <v>50193</v>
      </c>
      <c r="B9418" s="3" t="str">
        <f>IFERROR(__xludf.DUMMYFUNCTION("""COMPUTED_VALUE"""),"18 4TH LINE RD SUITE 12")</f>
        <v>18 4TH LINE RD SUITE 12</v>
      </c>
      <c r="C9418" s="3" t="str">
        <f>IFERROR(__xludf.DUMMYFUNCTION("""COMPUTED_VALUE"""),"ROSENEATH ")</f>
        <v>ROSENEATH </v>
      </c>
      <c r="D9418" s="3" t="str">
        <f>IFERROR(__xludf.DUMMYFUNCTION("""COMPUTED_VALUE"""),"K0K 2X0")</f>
        <v>K0K 2X0</v>
      </c>
      <c r="E9418" s="3"/>
      <c r="F9418" s="3"/>
      <c r="G9418" s="3"/>
      <c r="H9418" s="3"/>
    </row>
    <row r="9419">
      <c r="A9419" s="2">
        <f>IFERROR(__xludf.DUMMYFUNCTION("""COMPUTED_VALUE"""),50194.0)</f>
        <v>50194</v>
      </c>
      <c r="B9419" s="3" t="str">
        <f>IFERROR(__xludf.DUMMYFUNCTION("""COMPUTED_VALUE"""),"18 4TH LINE RD 13")</f>
        <v>18 4TH LINE RD 13</v>
      </c>
      <c r="C9419" s="3" t="str">
        <f>IFERROR(__xludf.DUMMYFUNCTION("""COMPUTED_VALUE"""),"ROSENEATH ")</f>
        <v>ROSENEATH </v>
      </c>
      <c r="D9419" s="3" t="str">
        <f>IFERROR(__xludf.DUMMYFUNCTION("""COMPUTED_VALUE"""),"K0K 2X0")</f>
        <v>K0K 2X0</v>
      </c>
      <c r="E9419" s="3"/>
      <c r="F9419" s="3"/>
      <c r="G9419" s="3"/>
      <c r="H9419" s="3"/>
    </row>
    <row r="9420">
      <c r="A9420" s="2">
        <f>IFERROR(__xludf.DUMMYFUNCTION("""COMPUTED_VALUE"""),50195.0)</f>
        <v>50195</v>
      </c>
      <c r="B9420" s="3" t="str">
        <f>IFERROR(__xludf.DUMMYFUNCTION("""COMPUTED_VALUE"""),"18 4TH LINE RD SUITE 14")</f>
        <v>18 4TH LINE RD SUITE 14</v>
      </c>
      <c r="C9420" s="3" t="str">
        <f>IFERROR(__xludf.DUMMYFUNCTION("""COMPUTED_VALUE"""),"ROSENEATH ")</f>
        <v>ROSENEATH </v>
      </c>
      <c r="D9420" s="3" t="str">
        <f>IFERROR(__xludf.DUMMYFUNCTION("""COMPUTED_VALUE"""),"K0K 2X0")</f>
        <v>K0K 2X0</v>
      </c>
      <c r="E9420" s="3"/>
      <c r="F9420" s="3"/>
      <c r="G9420" s="3"/>
      <c r="H9420" s="3"/>
    </row>
    <row r="9421">
      <c r="A9421" s="2">
        <f>IFERROR(__xludf.DUMMYFUNCTION("""COMPUTED_VALUE"""),50196.0)</f>
        <v>50196</v>
      </c>
      <c r="B9421" s="3" t="str">
        <f>IFERROR(__xludf.DUMMYFUNCTION("""COMPUTED_VALUE"""),"18 4TH LINE RD UNIT 15")</f>
        <v>18 4TH LINE RD UNIT 15</v>
      </c>
      <c r="C9421" s="3" t="str">
        <f>IFERROR(__xludf.DUMMYFUNCTION("""COMPUTED_VALUE"""),"ROSENEATH ")</f>
        <v>ROSENEATH </v>
      </c>
      <c r="D9421" s="3" t="str">
        <f>IFERROR(__xludf.DUMMYFUNCTION("""COMPUTED_VALUE"""),"K0K 2X0")</f>
        <v>K0K 2X0</v>
      </c>
      <c r="E9421" s="3"/>
      <c r="F9421" s="3"/>
      <c r="G9421" s="3"/>
      <c r="H9421" s="3"/>
    </row>
    <row r="9422">
      <c r="A9422" s="2">
        <f>IFERROR(__xludf.DUMMYFUNCTION("""COMPUTED_VALUE"""),50198.0)</f>
        <v>50198</v>
      </c>
      <c r="B9422" s="3" t="str">
        <f>IFERROR(__xludf.DUMMYFUNCTION("""COMPUTED_VALUE"""),"18 4TH LINE RD UNIT 19")</f>
        <v>18 4TH LINE RD UNIT 19</v>
      </c>
      <c r="C9422" s="3" t="str">
        <f>IFERROR(__xludf.DUMMYFUNCTION("""COMPUTED_VALUE"""),"ROSENEATH ")</f>
        <v>ROSENEATH </v>
      </c>
      <c r="D9422" s="3" t="str">
        <f>IFERROR(__xludf.DUMMYFUNCTION("""COMPUTED_VALUE"""),"K0K 2X0")</f>
        <v>K0K 2X0</v>
      </c>
      <c r="E9422" s="3"/>
      <c r="F9422" s="3"/>
      <c r="G9422" s="3"/>
      <c r="H9422" s="3"/>
    </row>
    <row r="9423">
      <c r="A9423" s="2">
        <f>IFERROR(__xludf.DUMMYFUNCTION("""COMPUTED_VALUE"""),50199.0)</f>
        <v>50199</v>
      </c>
      <c r="B9423" s="3" t="str">
        <f>IFERROR(__xludf.DUMMYFUNCTION("""COMPUTED_VALUE"""),"18 4TH LINE RD SUITE 20")</f>
        <v>18 4TH LINE RD SUITE 20</v>
      </c>
      <c r="C9423" s="3" t="str">
        <f>IFERROR(__xludf.DUMMYFUNCTION("""COMPUTED_VALUE"""),"ROSENEATH ")</f>
        <v>ROSENEATH </v>
      </c>
      <c r="D9423" s="3" t="str">
        <f>IFERROR(__xludf.DUMMYFUNCTION("""COMPUTED_VALUE"""),"K0K 2X0")</f>
        <v>K0K 2X0</v>
      </c>
      <c r="E9423" s="3"/>
      <c r="F9423" s="3"/>
      <c r="G9423" s="3"/>
      <c r="H9423" s="3"/>
    </row>
    <row r="9424">
      <c r="A9424" s="2">
        <f>IFERROR(__xludf.DUMMYFUNCTION("""COMPUTED_VALUE"""),50200.0)</f>
        <v>50200</v>
      </c>
      <c r="B9424" s="3" t="str">
        <f>IFERROR(__xludf.DUMMYFUNCTION("""COMPUTED_VALUE"""),"18 4TH LINE RD UNIT 21")</f>
        <v>18 4TH LINE RD UNIT 21</v>
      </c>
      <c r="C9424" s="3" t="str">
        <f>IFERROR(__xludf.DUMMYFUNCTION("""COMPUTED_VALUE"""),"ROSENEATH ")</f>
        <v>ROSENEATH </v>
      </c>
      <c r="D9424" s="3" t="str">
        <f>IFERROR(__xludf.DUMMYFUNCTION("""COMPUTED_VALUE"""),"K0K 2X0")</f>
        <v>K0K 2X0</v>
      </c>
      <c r="E9424" s="3" t="str">
        <f>IFERROR(__xludf.DUMMYFUNCTION("""COMPUTED_VALUE"""),"vojko kalabic")</f>
        <v>vojko kalabic</v>
      </c>
      <c r="F9424" s="3" t="str">
        <f>IFERROR(__xludf.DUMMYFUNCTION("""COMPUTED_VALUE"""),"vidikalabic@yahoo.com")</f>
        <v>vidikalabic@yahoo.com</v>
      </c>
      <c r="G9424" s="3">
        <f>IFERROR(__xludf.DUMMYFUNCTION("""COMPUTED_VALUE"""),4.169020465E9)</f>
        <v>4169020465</v>
      </c>
      <c r="H9424" s="3"/>
    </row>
    <row r="9425">
      <c r="A9425" s="2">
        <f>IFERROR(__xludf.DUMMYFUNCTION("""COMPUTED_VALUE"""),50201.0)</f>
        <v>50201</v>
      </c>
      <c r="B9425" s="3" t="str">
        <f>IFERROR(__xludf.DUMMYFUNCTION("""COMPUTED_VALUE"""),"18 4TH LINE RD UNIT 22")</f>
        <v>18 4TH LINE RD UNIT 22</v>
      </c>
      <c r="C9425" s="3" t="str">
        <f>IFERROR(__xludf.DUMMYFUNCTION("""COMPUTED_VALUE"""),"ROSENEATH ")</f>
        <v>ROSENEATH </v>
      </c>
      <c r="D9425" s="3" t="str">
        <f>IFERROR(__xludf.DUMMYFUNCTION("""COMPUTED_VALUE"""),"K0K 2X0")</f>
        <v>K0K 2X0</v>
      </c>
      <c r="E9425" s="3"/>
      <c r="F9425" s="3"/>
      <c r="G9425" s="3"/>
      <c r="H9425" s="3"/>
    </row>
    <row r="9426">
      <c r="A9426" s="2">
        <f>IFERROR(__xludf.DUMMYFUNCTION("""COMPUTED_VALUE"""),50202.0)</f>
        <v>50202</v>
      </c>
      <c r="B9426" s="3" t="str">
        <f>IFERROR(__xludf.DUMMYFUNCTION("""COMPUTED_VALUE"""),"18 4TH LINE RD SUITE 5")</f>
        <v>18 4TH LINE RD SUITE 5</v>
      </c>
      <c r="C9426" s="3" t="str">
        <f>IFERROR(__xludf.DUMMYFUNCTION("""COMPUTED_VALUE"""),"ROSENEATH ")</f>
        <v>ROSENEATH </v>
      </c>
      <c r="D9426" s="3" t="str">
        <f>IFERROR(__xludf.DUMMYFUNCTION("""COMPUTED_VALUE"""),"K0K 2X0")</f>
        <v>K0K 2X0</v>
      </c>
      <c r="E9426" s="3"/>
      <c r="F9426" s="3"/>
      <c r="G9426" s="3"/>
      <c r="H9426" s="3"/>
    </row>
    <row r="9427">
      <c r="A9427" s="2">
        <f>IFERROR(__xludf.DUMMYFUNCTION("""COMPUTED_VALUE"""),50203.0)</f>
        <v>50203</v>
      </c>
      <c r="B9427" s="3" t="str">
        <f>IFERROR(__xludf.DUMMYFUNCTION("""COMPUTED_VALUE"""),"18 4TH LINE RD SUITE 6")</f>
        <v>18 4TH LINE RD SUITE 6</v>
      </c>
      <c r="C9427" s="3" t="str">
        <f>IFERROR(__xludf.DUMMYFUNCTION("""COMPUTED_VALUE"""),"ROSENEATH ")</f>
        <v>ROSENEATH </v>
      </c>
      <c r="D9427" s="3" t="str">
        <f>IFERROR(__xludf.DUMMYFUNCTION("""COMPUTED_VALUE"""),"K0K 2X0")</f>
        <v>K0K 2X0</v>
      </c>
      <c r="E9427" s="3"/>
      <c r="F9427" s="3"/>
      <c r="G9427" s="3"/>
      <c r="H9427" s="3"/>
    </row>
    <row r="9428">
      <c r="A9428" s="2">
        <f>IFERROR(__xludf.DUMMYFUNCTION("""COMPUTED_VALUE"""),50204.0)</f>
        <v>50204</v>
      </c>
      <c r="B9428" s="3" t="str">
        <f>IFERROR(__xludf.DUMMYFUNCTION("""COMPUTED_VALUE"""),"18 4TH LINE RD SUITE 7")</f>
        <v>18 4TH LINE RD SUITE 7</v>
      </c>
      <c r="C9428" s="3" t="str">
        <f>IFERROR(__xludf.DUMMYFUNCTION("""COMPUTED_VALUE"""),"ROSENEATH ")</f>
        <v>ROSENEATH </v>
      </c>
      <c r="D9428" s="3" t="str">
        <f>IFERROR(__xludf.DUMMYFUNCTION("""COMPUTED_VALUE"""),"K0K 2X0")</f>
        <v>K0K 2X0</v>
      </c>
      <c r="E9428" s="3"/>
      <c r="F9428" s="3"/>
      <c r="G9428" s="3"/>
      <c r="H9428" s="3"/>
    </row>
    <row r="9429">
      <c r="A9429" s="2">
        <f>IFERROR(__xludf.DUMMYFUNCTION("""COMPUTED_VALUE"""),50205.0)</f>
        <v>50205</v>
      </c>
      <c r="B9429" s="3" t="str">
        <f>IFERROR(__xludf.DUMMYFUNCTION("""COMPUTED_VALUE"""),"18 4TH LINE RD UNIT 9")</f>
        <v>18 4TH LINE RD UNIT 9</v>
      </c>
      <c r="C9429" s="3" t="str">
        <f>IFERROR(__xludf.DUMMYFUNCTION("""COMPUTED_VALUE"""),"ROSENEATH ")</f>
        <v>ROSENEATH </v>
      </c>
      <c r="D9429" s="3" t="str">
        <f>IFERROR(__xludf.DUMMYFUNCTION("""COMPUTED_VALUE"""),"K0K 2X0")</f>
        <v>K0K 2X0</v>
      </c>
      <c r="E9429" s="3"/>
      <c r="F9429" s="3"/>
      <c r="G9429" s="3"/>
      <c r="H9429" s="3"/>
    </row>
    <row r="9430">
      <c r="A9430" s="2">
        <f>IFERROR(__xludf.DUMMYFUNCTION("""COMPUTED_VALUE"""),50206.0)</f>
        <v>50206</v>
      </c>
      <c r="B9430" s="3" t="str">
        <f>IFERROR(__xludf.DUMMYFUNCTION("""COMPUTED_VALUE"""),"18 4TH LINE RD")</f>
        <v>18 4TH LINE RD</v>
      </c>
      <c r="C9430" s="3" t="str">
        <f>IFERROR(__xludf.DUMMYFUNCTION("""COMPUTED_VALUE"""),"ROSENEATH ")</f>
        <v>ROSENEATH </v>
      </c>
      <c r="D9430" s="3" t="str">
        <f>IFERROR(__xludf.DUMMYFUNCTION("""COMPUTED_VALUE"""),"K0K 2X0")</f>
        <v>K0K 2X0</v>
      </c>
      <c r="E9430" s="3"/>
      <c r="F9430" s="3"/>
      <c r="G9430" s="3"/>
      <c r="H9430" s="3"/>
    </row>
    <row r="9431">
      <c r="A9431" s="2">
        <f>IFERROR(__xludf.DUMMYFUNCTION("""COMPUTED_VALUE"""),50207.0)</f>
        <v>50207</v>
      </c>
      <c r="B9431" s="3" t="str">
        <f>IFERROR(__xludf.DUMMYFUNCTION("""COMPUTED_VALUE"""),"100 4TH LINE RD")</f>
        <v>100 4TH LINE RD</v>
      </c>
      <c r="C9431" s="3" t="str">
        <f>IFERROR(__xludf.DUMMYFUNCTION("""COMPUTED_VALUE"""),"ROSENEATH ")</f>
        <v>ROSENEATH </v>
      </c>
      <c r="D9431" s="3" t="str">
        <f>IFERROR(__xludf.DUMMYFUNCTION("""COMPUTED_VALUE"""),"K0K 2X0")</f>
        <v>K0K 2X0</v>
      </c>
      <c r="E9431" s="3"/>
      <c r="F9431" s="3"/>
      <c r="G9431" s="3"/>
      <c r="H9431" s="3"/>
    </row>
    <row r="9432">
      <c r="A9432" s="2">
        <f>IFERROR(__xludf.DUMMYFUNCTION("""COMPUTED_VALUE"""),50208.0)</f>
        <v>50208</v>
      </c>
      <c r="B9432" s="3" t="str">
        <f>IFERROR(__xludf.DUMMYFUNCTION("""COMPUTED_VALUE"""),"188 4TH LINE RD")</f>
        <v>188 4TH LINE RD</v>
      </c>
      <c r="C9432" s="3" t="str">
        <f>IFERROR(__xludf.DUMMYFUNCTION("""COMPUTED_VALUE"""),"ROSENEATH ")</f>
        <v>ROSENEATH </v>
      </c>
      <c r="D9432" s="3" t="str">
        <f>IFERROR(__xludf.DUMMYFUNCTION("""COMPUTED_VALUE"""),"K0K 2X0")</f>
        <v>K0K 2X0</v>
      </c>
      <c r="E9432" s="3"/>
      <c r="F9432" s="3"/>
      <c r="G9432" s="3"/>
      <c r="H9432" s="3"/>
    </row>
    <row r="9433">
      <c r="A9433" s="2">
        <f>IFERROR(__xludf.DUMMYFUNCTION("""COMPUTED_VALUE"""),50209.0)</f>
        <v>50209</v>
      </c>
      <c r="B9433" s="3" t="str">
        <f>IFERROR(__xludf.DUMMYFUNCTION("""COMPUTED_VALUE"""),"190 4TH LINE RD")</f>
        <v>190 4TH LINE RD</v>
      </c>
      <c r="C9433" s="3" t="str">
        <f>IFERROR(__xludf.DUMMYFUNCTION("""COMPUTED_VALUE"""),"ROSENEATH ")</f>
        <v>ROSENEATH </v>
      </c>
      <c r="D9433" s="3" t="str">
        <f>IFERROR(__xludf.DUMMYFUNCTION("""COMPUTED_VALUE"""),"K0K 2X0")</f>
        <v>K0K 2X0</v>
      </c>
      <c r="E9433" s="3"/>
      <c r="F9433" s="3"/>
      <c r="G9433" s="3"/>
      <c r="H9433" s="3"/>
    </row>
    <row r="9434">
      <c r="A9434" s="2">
        <f>IFERROR(__xludf.DUMMYFUNCTION("""COMPUTED_VALUE"""),50210.0)</f>
        <v>50210</v>
      </c>
      <c r="B9434" s="3" t="str">
        <f>IFERROR(__xludf.DUMMYFUNCTION("""COMPUTED_VALUE"""),"363 4TH LINE RD")</f>
        <v>363 4TH LINE RD</v>
      </c>
      <c r="C9434" s="3" t="str">
        <f>IFERROR(__xludf.DUMMYFUNCTION("""COMPUTED_VALUE"""),"ROSENEATH ")</f>
        <v>ROSENEATH </v>
      </c>
      <c r="D9434" s="3" t="str">
        <f>IFERROR(__xludf.DUMMYFUNCTION("""COMPUTED_VALUE"""),"K0K 2X0")</f>
        <v>K0K 2X0</v>
      </c>
      <c r="E9434" s="3"/>
      <c r="F9434" s="3"/>
      <c r="G9434" s="3"/>
      <c r="H9434" s="3"/>
    </row>
    <row r="9435">
      <c r="A9435" s="2">
        <f>IFERROR(__xludf.DUMMYFUNCTION("""COMPUTED_VALUE"""),50211.0)</f>
        <v>50211</v>
      </c>
      <c r="B9435" s="3" t="str">
        <f>IFERROR(__xludf.DUMMYFUNCTION("""COMPUTED_VALUE"""),"374 4TH LINE RD")</f>
        <v>374 4TH LINE RD</v>
      </c>
      <c r="C9435" s="3" t="str">
        <f>IFERROR(__xludf.DUMMYFUNCTION("""COMPUTED_VALUE"""),"ROSENEATH ")</f>
        <v>ROSENEATH </v>
      </c>
      <c r="D9435" s="3" t="str">
        <f>IFERROR(__xludf.DUMMYFUNCTION("""COMPUTED_VALUE"""),"K0K 2X0")</f>
        <v>K0K 2X0</v>
      </c>
      <c r="E9435" s="3"/>
      <c r="F9435" s="3"/>
      <c r="G9435" s="3"/>
      <c r="H9435" s="3"/>
    </row>
    <row r="9436">
      <c r="A9436" s="2">
        <f>IFERROR(__xludf.DUMMYFUNCTION("""COMPUTED_VALUE"""),50212.0)</f>
        <v>50212</v>
      </c>
      <c r="B9436" s="3" t="str">
        <f>IFERROR(__xludf.DUMMYFUNCTION("""COMPUTED_VALUE"""),"461 4TH LINE RD")</f>
        <v>461 4TH LINE RD</v>
      </c>
      <c r="C9436" s="3" t="str">
        <f>IFERROR(__xludf.DUMMYFUNCTION("""COMPUTED_VALUE"""),"ROSENEATH ")</f>
        <v>ROSENEATH </v>
      </c>
      <c r="D9436" s="3" t="str">
        <f>IFERROR(__xludf.DUMMYFUNCTION("""COMPUTED_VALUE"""),"K0K 2X0")</f>
        <v>K0K 2X0</v>
      </c>
      <c r="E9436" s="3" t="str">
        <f>IFERROR(__xludf.DUMMYFUNCTION("""COMPUTED_VALUE"""),"SUSAN BANKS")</f>
        <v>SUSAN BANKS</v>
      </c>
      <c r="F9436" s="3"/>
      <c r="G9436" s="3"/>
      <c r="H9436" s="3"/>
    </row>
    <row r="9437">
      <c r="A9437" s="2">
        <f>IFERROR(__xludf.DUMMYFUNCTION("""COMPUTED_VALUE"""),50213.0)</f>
        <v>50213</v>
      </c>
      <c r="B9437" s="3" t="str">
        <f>IFERROR(__xludf.DUMMYFUNCTION("""COMPUTED_VALUE"""),"484 4TH LINE RD")</f>
        <v>484 4TH LINE RD</v>
      </c>
      <c r="C9437" s="3" t="str">
        <f>IFERROR(__xludf.DUMMYFUNCTION("""COMPUTED_VALUE"""),"ROSENEATH ")</f>
        <v>ROSENEATH </v>
      </c>
      <c r="D9437" s="3" t="str">
        <f>IFERROR(__xludf.DUMMYFUNCTION("""COMPUTED_VALUE"""),"K0K 2X0")</f>
        <v>K0K 2X0</v>
      </c>
      <c r="E9437" s="3"/>
      <c r="F9437" s="3"/>
      <c r="G9437" s="3"/>
      <c r="H9437" s="3"/>
    </row>
    <row r="9438">
      <c r="A9438" s="2">
        <f>IFERROR(__xludf.DUMMYFUNCTION("""COMPUTED_VALUE"""),50214.0)</f>
        <v>50214</v>
      </c>
      <c r="B9438" s="3" t="str">
        <f>IFERROR(__xludf.DUMMYFUNCTION("""COMPUTED_VALUE"""),"554 4TH LINE RD")</f>
        <v>554 4TH LINE RD</v>
      </c>
      <c r="C9438" s="3" t="str">
        <f>IFERROR(__xludf.DUMMYFUNCTION("""COMPUTED_VALUE"""),"ROSENEATH ")</f>
        <v>ROSENEATH </v>
      </c>
      <c r="D9438" s="3" t="str">
        <f>IFERROR(__xludf.DUMMYFUNCTION("""COMPUTED_VALUE"""),"K0K 2X0")</f>
        <v>K0K 2X0</v>
      </c>
      <c r="E9438" s="3"/>
      <c r="F9438" s="3"/>
      <c r="G9438" s="3"/>
      <c r="H9438" s="3"/>
    </row>
    <row r="9439">
      <c r="A9439" s="2">
        <f>IFERROR(__xludf.DUMMYFUNCTION("""COMPUTED_VALUE"""),50215.0)</f>
        <v>50215</v>
      </c>
      <c r="B9439" s="3" t="str">
        <f>IFERROR(__xludf.DUMMYFUNCTION("""COMPUTED_VALUE"""),"604 4TH LINE RD")</f>
        <v>604 4TH LINE RD</v>
      </c>
      <c r="C9439" s="3" t="str">
        <f>IFERROR(__xludf.DUMMYFUNCTION("""COMPUTED_VALUE"""),"ROSENEATH ")</f>
        <v>ROSENEATH </v>
      </c>
      <c r="D9439" s="3" t="str">
        <f>IFERROR(__xludf.DUMMYFUNCTION("""COMPUTED_VALUE"""),"K0K 2X0")</f>
        <v>K0K 2X0</v>
      </c>
      <c r="E9439" s="3"/>
      <c r="F9439" s="3"/>
      <c r="G9439" s="3"/>
      <c r="H9439" s="3"/>
    </row>
    <row r="9440">
      <c r="A9440" s="2">
        <f>IFERROR(__xludf.DUMMYFUNCTION("""COMPUTED_VALUE"""),50216.0)</f>
        <v>50216</v>
      </c>
      <c r="B9440" s="3" t="str">
        <f>IFERROR(__xludf.DUMMYFUNCTION("""COMPUTED_VALUE"""),"606 4TH LINE RD")</f>
        <v>606 4TH LINE RD</v>
      </c>
      <c r="C9440" s="3" t="str">
        <f>IFERROR(__xludf.DUMMYFUNCTION("""COMPUTED_VALUE"""),"ROSENEATH ")</f>
        <v>ROSENEATH </v>
      </c>
      <c r="D9440" s="3" t="str">
        <f>IFERROR(__xludf.DUMMYFUNCTION("""COMPUTED_VALUE"""),"K0K 2X0")</f>
        <v>K0K 2X0</v>
      </c>
      <c r="E9440" s="3"/>
      <c r="F9440" s="3"/>
      <c r="G9440" s="3"/>
      <c r="H9440" s="3"/>
    </row>
    <row r="9441">
      <c r="A9441" s="2">
        <f>IFERROR(__xludf.DUMMYFUNCTION("""COMPUTED_VALUE"""),50217.0)</f>
        <v>50217</v>
      </c>
      <c r="B9441" s="3" t="str">
        <f>IFERROR(__xludf.DUMMYFUNCTION("""COMPUTED_VALUE"""),"676 4TH LINE RD")</f>
        <v>676 4TH LINE RD</v>
      </c>
      <c r="C9441" s="3" t="str">
        <f>IFERROR(__xludf.DUMMYFUNCTION("""COMPUTED_VALUE"""),"ROSENEATH ")</f>
        <v>ROSENEATH </v>
      </c>
      <c r="D9441" s="3" t="str">
        <f>IFERROR(__xludf.DUMMYFUNCTION("""COMPUTED_VALUE"""),"K0K 2X0")</f>
        <v>K0K 2X0</v>
      </c>
      <c r="E9441" s="3" t="str">
        <f>IFERROR(__xludf.DUMMYFUNCTION("""COMPUTED_VALUE"""),"Guy Herriges")</f>
        <v>Guy Herriges</v>
      </c>
      <c r="F9441" s="3" t="str">
        <f>IFERROR(__xludf.DUMMYFUNCTION("""COMPUTED_VALUE"""),"guyherriges@gmail.com")</f>
        <v>guyherriges@gmail.com</v>
      </c>
      <c r="G9441" s="3"/>
      <c r="H9441" s="3"/>
    </row>
    <row r="9442">
      <c r="A9442" s="2">
        <f>IFERROR(__xludf.DUMMYFUNCTION("""COMPUTED_VALUE"""),50218.0)</f>
        <v>50218</v>
      </c>
      <c r="B9442" s="3" t="str">
        <f>IFERROR(__xludf.DUMMYFUNCTION("""COMPUTED_VALUE"""),"709 4TH LINE RD")</f>
        <v>709 4TH LINE RD</v>
      </c>
      <c r="C9442" s="3" t="str">
        <f>IFERROR(__xludf.DUMMYFUNCTION("""COMPUTED_VALUE"""),"ROSENEATH ")</f>
        <v>ROSENEATH </v>
      </c>
      <c r="D9442" s="3" t="str">
        <f>IFERROR(__xludf.DUMMYFUNCTION("""COMPUTED_VALUE"""),"K0K 2X0")</f>
        <v>K0K 2X0</v>
      </c>
      <c r="E9442" s="3" t="str">
        <f>IFERROR(__xludf.DUMMYFUNCTION("""COMPUTED_VALUE"""),"Steven J Mikaric")</f>
        <v>Steven J Mikaric</v>
      </c>
      <c r="F9442" s="3" t="str">
        <f>IFERROR(__xludf.DUMMYFUNCTION("""COMPUTED_VALUE"""),"steve.mikaric@gmail.com")</f>
        <v>steve.mikaric@gmail.com</v>
      </c>
      <c r="G9442" s="3">
        <f>IFERROR(__xludf.DUMMYFUNCTION("""COMPUTED_VALUE"""),2.893564684E9)</f>
        <v>2893564684</v>
      </c>
      <c r="H9442" s="3"/>
    </row>
    <row r="9443">
      <c r="A9443" s="2">
        <f>IFERROR(__xludf.DUMMYFUNCTION("""COMPUTED_VALUE"""),50219.0)</f>
        <v>50219</v>
      </c>
      <c r="B9443" s="3" t="str">
        <f>IFERROR(__xludf.DUMMYFUNCTION("""COMPUTED_VALUE"""),"717 4TH LINE RD")</f>
        <v>717 4TH LINE RD</v>
      </c>
      <c r="C9443" s="3" t="str">
        <f>IFERROR(__xludf.DUMMYFUNCTION("""COMPUTED_VALUE"""),"ROSENEATH ")</f>
        <v>ROSENEATH </v>
      </c>
      <c r="D9443" s="3" t="str">
        <f>IFERROR(__xludf.DUMMYFUNCTION("""COMPUTED_VALUE"""),"K0K 2X0")</f>
        <v>K0K 2X0</v>
      </c>
      <c r="E9443" s="3"/>
      <c r="F9443" s="3"/>
      <c r="G9443" s="3"/>
      <c r="H9443" s="3"/>
    </row>
    <row r="9444">
      <c r="A9444" s="2">
        <f>IFERROR(__xludf.DUMMYFUNCTION("""COMPUTED_VALUE"""),50220.0)</f>
        <v>50220</v>
      </c>
      <c r="B9444" s="3" t="str">
        <f>IFERROR(__xludf.DUMMYFUNCTION("""COMPUTED_VALUE"""),"746 4TH LINE RD")</f>
        <v>746 4TH LINE RD</v>
      </c>
      <c r="C9444" s="3" t="str">
        <f>IFERROR(__xludf.DUMMYFUNCTION("""COMPUTED_VALUE"""),"ROSENEATH ")</f>
        <v>ROSENEATH </v>
      </c>
      <c r="D9444" s="3" t="str">
        <f>IFERROR(__xludf.DUMMYFUNCTION("""COMPUTED_VALUE"""),"K0K 2X0")</f>
        <v>K0K 2X0</v>
      </c>
      <c r="E9444" s="3"/>
      <c r="F9444" s="3"/>
      <c r="G9444" s="3"/>
      <c r="H9444" s="3"/>
    </row>
    <row r="9445">
      <c r="A9445" s="2">
        <f>IFERROR(__xludf.DUMMYFUNCTION("""COMPUTED_VALUE"""),50221.0)</f>
        <v>50221</v>
      </c>
      <c r="B9445" s="3" t="str">
        <f>IFERROR(__xludf.DUMMYFUNCTION("""COMPUTED_VALUE"""),"753 4TH LINE RD")</f>
        <v>753 4TH LINE RD</v>
      </c>
      <c r="C9445" s="3" t="str">
        <f>IFERROR(__xludf.DUMMYFUNCTION("""COMPUTED_VALUE"""),"ROSENEATH ")</f>
        <v>ROSENEATH </v>
      </c>
      <c r="D9445" s="3" t="str">
        <f>IFERROR(__xludf.DUMMYFUNCTION("""COMPUTED_VALUE"""),"K0K 2X0")</f>
        <v>K0K 2X0</v>
      </c>
      <c r="E9445" s="3" t="str">
        <f>IFERROR(__xludf.DUMMYFUNCTION("""COMPUTED_VALUE"""),"Marie-France Giroux")</f>
        <v>Marie-France Giroux</v>
      </c>
      <c r="F9445" s="3" t="str">
        <f>IFERROR(__xludf.DUMMYFUNCTION("""COMPUTED_VALUE"""),"girouxmariefrance@yahoo.com")</f>
        <v>girouxmariefrance@yahoo.com</v>
      </c>
      <c r="G9445" s="3">
        <f>IFERROR(__xludf.DUMMYFUNCTION("""COMPUTED_VALUE"""),4.166272821E9)</f>
        <v>4166272821</v>
      </c>
      <c r="H9445" s="3"/>
    </row>
    <row r="9446">
      <c r="A9446" s="2">
        <f>IFERROR(__xludf.DUMMYFUNCTION("""COMPUTED_VALUE"""),50197.0)</f>
        <v>50197</v>
      </c>
      <c r="B9446" s="3" t="str">
        <f>IFERROR(__xludf.DUMMYFUNCTION("""COMPUTED_VALUE"""),"18 4TH LINE RD SUITE 16")</f>
        <v>18 4TH LINE RD SUITE 16</v>
      </c>
      <c r="C9446" s="3"/>
      <c r="D9446" s="3"/>
      <c r="E9446" s="3"/>
      <c r="F9446" s="3"/>
      <c r="G9446" s="3"/>
      <c r="H9446" s="3"/>
    </row>
    <row r="9447">
      <c r="A9447" s="2">
        <f>IFERROR(__xludf.DUMMYFUNCTION("""COMPUTED_VALUE"""),50222.0)</f>
        <v>50222</v>
      </c>
      <c r="B9447" s="3" t="str">
        <f>IFERROR(__xludf.DUMMYFUNCTION("""COMPUTED_VALUE"""),"131 5TH LINE RD")</f>
        <v>131 5TH LINE RD</v>
      </c>
      <c r="C9447" s="3" t="str">
        <f>IFERROR(__xludf.DUMMYFUNCTION("""COMPUTED_VALUE"""),"ROSENEATH ")</f>
        <v>ROSENEATH </v>
      </c>
      <c r="D9447" s="3" t="str">
        <f>IFERROR(__xludf.DUMMYFUNCTION("""COMPUTED_VALUE"""),"K0K 2X0")</f>
        <v>K0K 2X0</v>
      </c>
      <c r="E9447" s="3"/>
      <c r="F9447" s="3"/>
      <c r="G9447" s="3"/>
      <c r="H9447" s="3"/>
    </row>
    <row r="9448">
      <c r="A9448" s="2">
        <f>IFERROR(__xludf.DUMMYFUNCTION("""COMPUTED_VALUE"""),50223.0)</f>
        <v>50223</v>
      </c>
      <c r="B9448" s="3" t="str">
        <f>IFERROR(__xludf.DUMMYFUNCTION("""COMPUTED_VALUE"""),"153 5TH LINE RD")</f>
        <v>153 5TH LINE RD</v>
      </c>
      <c r="C9448" s="3" t="str">
        <f>IFERROR(__xludf.DUMMYFUNCTION("""COMPUTED_VALUE"""),"ROSENEATH ")</f>
        <v>ROSENEATH </v>
      </c>
      <c r="D9448" s="3" t="str">
        <f>IFERROR(__xludf.DUMMYFUNCTION("""COMPUTED_VALUE"""),"K0K 2X0")</f>
        <v>K0K 2X0</v>
      </c>
      <c r="E9448" s="3"/>
      <c r="F9448" s="3"/>
      <c r="G9448" s="3"/>
      <c r="H9448" s="3"/>
    </row>
    <row r="9449">
      <c r="A9449" s="2">
        <f>IFERROR(__xludf.DUMMYFUNCTION("""COMPUTED_VALUE"""),50224.0)</f>
        <v>50224</v>
      </c>
      <c r="B9449" s="3" t="str">
        <f>IFERROR(__xludf.DUMMYFUNCTION("""COMPUTED_VALUE"""),"241 5TH LINE RD")</f>
        <v>241 5TH LINE RD</v>
      </c>
      <c r="C9449" s="3" t="str">
        <f>IFERROR(__xludf.DUMMYFUNCTION("""COMPUTED_VALUE"""),"ROSENEATH ")</f>
        <v>ROSENEATH </v>
      </c>
      <c r="D9449" s="3" t="str">
        <f>IFERROR(__xludf.DUMMYFUNCTION("""COMPUTED_VALUE"""),"K0K 2X0")</f>
        <v>K0K 2X0</v>
      </c>
      <c r="E9449" s="3"/>
      <c r="F9449" s="3"/>
      <c r="G9449" s="3"/>
      <c r="H9449" s="3"/>
    </row>
    <row r="9450">
      <c r="A9450" s="2">
        <f>IFERROR(__xludf.DUMMYFUNCTION("""COMPUTED_VALUE"""),50225.0)</f>
        <v>50225</v>
      </c>
      <c r="B9450" s="3" t="str">
        <f>IFERROR(__xludf.DUMMYFUNCTION("""COMPUTED_VALUE"""),"258 5TH LINE RD")</f>
        <v>258 5TH LINE RD</v>
      </c>
      <c r="C9450" s="3" t="str">
        <f>IFERROR(__xludf.DUMMYFUNCTION("""COMPUTED_VALUE"""),"ROSENEATH ")</f>
        <v>ROSENEATH </v>
      </c>
      <c r="D9450" s="3" t="str">
        <f>IFERROR(__xludf.DUMMYFUNCTION("""COMPUTED_VALUE"""),"K0K 2X0")</f>
        <v>K0K 2X0</v>
      </c>
      <c r="E9450" s="3" t="str">
        <f>IFERROR(__xludf.DUMMYFUNCTION("""COMPUTED_VALUE"""),"Brenda Waldie")</f>
        <v>Brenda Waldie</v>
      </c>
      <c r="F9450" s="3" t="str">
        <f>IFERROR(__xludf.DUMMYFUNCTION("""COMPUTED_VALUE"""),"4waldies@gmail.com")</f>
        <v>4waldies@gmail.com</v>
      </c>
      <c r="G9450" s="3">
        <f>IFERROR(__xludf.DUMMYFUNCTION("""COMPUTED_VALUE"""),9.853522118E9)</f>
        <v>9853522118</v>
      </c>
      <c r="H9450" s="3">
        <f>IFERROR(__xludf.DUMMYFUNCTION("""COMPUTED_VALUE"""),9.053764403E9)</f>
        <v>9053764403</v>
      </c>
    </row>
    <row r="9451">
      <c r="A9451" s="2">
        <f>IFERROR(__xludf.DUMMYFUNCTION("""COMPUTED_VALUE"""),50226.0)</f>
        <v>50226</v>
      </c>
      <c r="B9451" s="3" t="str">
        <f>IFERROR(__xludf.DUMMYFUNCTION("""COMPUTED_VALUE"""),"297 5TH LINE RD")</f>
        <v>297 5TH LINE RD</v>
      </c>
      <c r="C9451" s="3" t="str">
        <f>IFERROR(__xludf.DUMMYFUNCTION("""COMPUTED_VALUE"""),"ROSENEATH ")</f>
        <v>ROSENEATH </v>
      </c>
      <c r="D9451" s="3" t="str">
        <f>IFERROR(__xludf.DUMMYFUNCTION("""COMPUTED_VALUE"""),"K0K 2X0")</f>
        <v>K0K 2X0</v>
      </c>
      <c r="E9451" s="3" t="str">
        <f>IFERROR(__xludf.DUMMYFUNCTION("""COMPUTED_VALUE"""),"Nancy Thackeray")</f>
        <v>Nancy Thackeray</v>
      </c>
      <c r="F9451" s="3" t="str">
        <f>IFERROR(__xludf.DUMMYFUNCTION("""COMPUTED_VALUE"""),"jessicaelizabeth.bt@gmail.com")</f>
        <v>jessicaelizabeth.bt@gmail.com</v>
      </c>
      <c r="G9451" s="3">
        <f>IFERROR(__xludf.DUMMYFUNCTION("""COMPUTED_VALUE"""),9.053522376E9)</f>
        <v>9053522376</v>
      </c>
      <c r="H9451" s="3">
        <f>IFERROR(__xludf.DUMMYFUNCTION("""COMPUTED_VALUE"""),2.897711109E9)</f>
        <v>2897711109</v>
      </c>
    </row>
    <row r="9452">
      <c r="A9452" s="2">
        <f>IFERROR(__xludf.DUMMYFUNCTION("""COMPUTED_VALUE"""),50227.0)</f>
        <v>50227</v>
      </c>
      <c r="B9452" s="3" t="str">
        <f>IFERROR(__xludf.DUMMYFUNCTION("""COMPUTED_VALUE"""),"369 5TH LINE RD")</f>
        <v>369 5TH LINE RD</v>
      </c>
      <c r="C9452" s="3" t="str">
        <f>IFERROR(__xludf.DUMMYFUNCTION("""COMPUTED_VALUE"""),"ROSENEATH ")</f>
        <v>ROSENEATH </v>
      </c>
      <c r="D9452" s="3" t="str">
        <f>IFERROR(__xludf.DUMMYFUNCTION("""COMPUTED_VALUE"""),"K0K 2X0")</f>
        <v>K0K 2X0</v>
      </c>
      <c r="E9452" s="3" t="str">
        <f>IFERROR(__xludf.DUMMYFUNCTION("""COMPUTED_VALUE"""),"Chris Thackeray")</f>
        <v>Chris Thackeray</v>
      </c>
      <c r="F9452" s="3" t="str">
        <f>IFERROR(__xludf.DUMMYFUNCTION("""COMPUTED_VALUE"""),"christhackeray@hotmail.com")</f>
        <v>christhackeray@hotmail.com</v>
      </c>
      <c r="G9452" s="3">
        <f>IFERROR(__xludf.DUMMYFUNCTION("""COMPUTED_VALUE"""),9.053732363E9)</f>
        <v>9053732363</v>
      </c>
      <c r="H9452" s="3"/>
    </row>
    <row r="9453">
      <c r="A9453" s="2">
        <f>IFERROR(__xludf.DUMMYFUNCTION("""COMPUTED_VALUE"""),50228.0)</f>
        <v>50228</v>
      </c>
      <c r="B9453" s="3" t="str">
        <f>IFERROR(__xludf.DUMMYFUNCTION("""COMPUTED_VALUE"""),"571 5TH LINE RD")</f>
        <v>571 5TH LINE RD</v>
      </c>
      <c r="C9453" s="3" t="str">
        <f>IFERROR(__xludf.DUMMYFUNCTION("""COMPUTED_VALUE"""),"ROSENEATH ")</f>
        <v>ROSENEATH </v>
      </c>
      <c r="D9453" s="3" t="str">
        <f>IFERROR(__xludf.DUMMYFUNCTION("""COMPUTED_VALUE"""),"K0K 2X0")</f>
        <v>K0K 2X0</v>
      </c>
      <c r="E9453" s="3" t="str">
        <f>IFERROR(__xludf.DUMMYFUNCTION("""COMPUTED_VALUE"""),"Steve Beatty")</f>
        <v>Steve Beatty</v>
      </c>
      <c r="F9453" s="3" t="str">
        <f>IFERROR(__xludf.DUMMYFUNCTION("""COMPUTED_VALUE"""),"stevendbeatty@icloud.com")</f>
        <v>stevendbeatty@icloud.com</v>
      </c>
      <c r="G9453" s="3">
        <f>IFERROR(__xludf.DUMMYFUNCTION("""COMPUTED_VALUE"""),9.057972833E9)</f>
        <v>9057972833</v>
      </c>
      <c r="H9453" s="3"/>
    </row>
    <row r="9454">
      <c r="A9454" s="2">
        <f>IFERROR(__xludf.DUMMYFUNCTION("""COMPUTED_VALUE"""),50229.0)</f>
        <v>50229</v>
      </c>
      <c r="B9454" s="3" t="str">
        <f>IFERROR(__xludf.DUMMYFUNCTION("""COMPUTED_VALUE"""),"578 5TH LINE RD")</f>
        <v>578 5TH LINE RD</v>
      </c>
      <c r="C9454" s="3" t="str">
        <f>IFERROR(__xludf.DUMMYFUNCTION("""COMPUTED_VALUE"""),"ROSENEATH ")</f>
        <v>ROSENEATH </v>
      </c>
      <c r="D9454" s="3" t="str">
        <f>IFERROR(__xludf.DUMMYFUNCTION("""COMPUTED_VALUE"""),"K0K 2X0")</f>
        <v>K0K 2X0</v>
      </c>
      <c r="E9454" s="3" t="str">
        <f>IFERROR(__xludf.DUMMYFUNCTION("""COMPUTED_VALUE"""),"John Apostolides")</f>
        <v>John Apostolides</v>
      </c>
      <c r="F9454" s="3" t="str">
        <f>IFERROR(__xludf.DUMMYFUNCTION("""COMPUTED_VALUE"""),"john.mapleview@gmail.com")</f>
        <v>john.mapleview@gmail.com</v>
      </c>
      <c r="G9454" s="3"/>
      <c r="H9454" s="3"/>
    </row>
    <row r="9455">
      <c r="A9455" s="2">
        <f>IFERROR(__xludf.DUMMYFUNCTION("""COMPUTED_VALUE"""),50230.0)</f>
        <v>50230</v>
      </c>
      <c r="B9455" s="3" t="str">
        <f>IFERROR(__xludf.DUMMYFUNCTION("""COMPUTED_VALUE"""),"640 5TH LINE RD")</f>
        <v>640 5TH LINE RD</v>
      </c>
      <c r="C9455" s="3" t="str">
        <f>IFERROR(__xludf.DUMMYFUNCTION("""COMPUTED_VALUE"""),"ROSENEATH ")</f>
        <v>ROSENEATH </v>
      </c>
      <c r="D9455" s="3" t="str">
        <f>IFERROR(__xludf.DUMMYFUNCTION("""COMPUTED_VALUE"""),"K0K 2X0")</f>
        <v>K0K 2X0</v>
      </c>
      <c r="E9455" s="3" t="str">
        <f>IFERROR(__xludf.DUMMYFUNCTION("""COMPUTED_VALUE"""),"Paul Winkworth")</f>
        <v>Paul Winkworth</v>
      </c>
      <c r="F9455" s="3" t="str">
        <f>IFERROR(__xludf.DUMMYFUNCTION("""COMPUTED_VALUE"""),"winkster@eagle.ca")</f>
        <v>winkster@eagle.ca</v>
      </c>
      <c r="G9455" s="3"/>
      <c r="H9455" s="3"/>
    </row>
    <row r="9456">
      <c r="A9456" s="2">
        <f>IFERROR(__xludf.DUMMYFUNCTION("""COMPUTED_VALUE"""),50231.0)</f>
        <v>50231</v>
      </c>
      <c r="B9456" s="3" t="str">
        <f>IFERROR(__xludf.DUMMYFUNCTION("""COMPUTED_VALUE"""),"670 5TH LINE RD")</f>
        <v>670 5TH LINE RD</v>
      </c>
      <c r="C9456" s="3" t="str">
        <f>IFERROR(__xludf.DUMMYFUNCTION("""COMPUTED_VALUE"""),"ROSENEATH ")</f>
        <v>ROSENEATH </v>
      </c>
      <c r="D9456" s="3" t="str">
        <f>IFERROR(__xludf.DUMMYFUNCTION("""COMPUTED_VALUE"""),"K0K 2X0")</f>
        <v>K0K 2X0</v>
      </c>
      <c r="E9456" s="3" t="str">
        <f>IFERROR(__xludf.DUMMYFUNCTION("""COMPUTED_VALUE"""),"Warren Coulter")</f>
        <v>Warren Coulter</v>
      </c>
      <c r="F9456" s="3" t="str">
        <f>IFERROR(__xludf.DUMMYFUNCTION("""COMPUTED_VALUE"""),"wjcoulter61@gmail.com")</f>
        <v>wjcoulter61@gmail.com</v>
      </c>
      <c r="G9456" s="3">
        <f>IFERROR(__xludf.DUMMYFUNCTION("""COMPUTED_VALUE"""),9.058091688E9)</f>
        <v>9058091688</v>
      </c>
      <c r="H9456" s="3">
        <f>IFERROR(__xludf.DUMMYFUNCTION("""COMPUTED_VALUE"""),9.058852431E9)</f>
        <v>9058852431</v>
      </c>
    </row>
    <row r="9457">
      <c r="A9457" s="2">
        <f>IFERROR(__xludf.DUMMYFUNCTION("""COMPUTED_VALUE"""),50232.0)</f>
        <v>50232</v>
      </c>
      <c r="B9457" s="3" t="str">
        <f>IFERROR(__xludf.DUMMYFUNCTION("""COMPUTED_VALUE"""),"759 5TH LINE RD")</f>
        <v>759 5TH LINE RD</v>
      </c>
      <c r="C9457" s="3" t="str">
        <f>IFERROR(__xludf.DUMMYFUNCTION("""COMPUTED_VALUE"""),"ROSENEATH ")</f>
        <v>ROSENEATH </v>
      </c>
      <c r="D9457" s="3" t="str">
        <f>IFERROR(__xludf.DUMMYFUNCTION("""COMPUTED_VALUE"""),"K0K 2X0")</f>
        <v>K0K 2X0</v>
      </c>
      <c r="E9457" s="3"/>
      <c r="F9457" s="3"/>
      <c r="G9457" s="3"/>
      <c r="H9457" s="3"/>
    </row>
    <row r="9458">
      <c r="A9458" s="2">
        <f>IFERROR(__xludf.DUMMYFUNCTION("""COMPUTED_VALUE"""),50233.0)</f>
        <v>50233</v>
      </c>
      <c r="B9458" s="3" t="str">
        <f>IFERROR(__xludf.DUMMYFUNCTION("""COMPUTED_VALUE"""),"197-241 5TH LINE RD")</f>
        <v>197-241 5TH LINE RD</v>
      </c>
      <c r="C9458" s="3" t="str">
        <f>IFERROR(__xludf.DUMMYFUNCTION("""COMPUTED_VALUE"""),"ROSENEATH ")</f>
        <v>ROSENEATH </v>
      </c>
      <c r="D9458" s="3" t="str">
        <f>IFERROR(__xludf.DUMMYFUNCTION("""COMPUTED_VALUE"""),"K0K 2X0")</f>
        <v>K0K 2X0</v>
      </c>
      <c r="E9458" s="3"/>
      <c r="F9458" s="3"/>
      <c r="G9458" s="3"/>
      <c r="H9458" s="3"/>
    </row>
    <row r="9459">
      <c r="A9459" s="2">
        <f>IFERROR(__xludf.DUMMYFUNCTION("""COMPUTED_VALUE"""),50235.0)</f>
        <v>50235</v>
      </c>
      <c r="B9459" s="3" t="str">
        <f>IFERROR(__xludf.DUMMYFUNCTION("""COMPUTED_VALUE"""),"25 7TH LINE RD")</f>
        <v>25 7TH LINE RD</v>
      </c>
      <c r="C9459" s="3" t="str">
        <f>IFERROR(__xludf.DUMMYFUNCTION("""COMPUTED_VALUE"""),"ROSENEATH ")</f>
        <v>ROSENEATH </v>
      </c>
      <c r="D9459" s="3" t="str">
        <f>IFERROR(__xludf.DUMMYFUNCTION("""COMPUTED_VALUE"""),"K0K 2X0")</f>
        <v>K0K 2X0</v>
      </c>
      <c r="E9459" s="3"/>
      <c r="F9459" s="3"/>
      <c r="G9459" s="3"/>
      <c r="H9459" s="3"/>
    </row>
    <row r="9460">
      <c r="A9460" s="2">
        <f>IFERROR(__xludf.DUMMYFUNCTION("""COMPUTED_VALUE"""),50236.0)</f>
        <v>50236</v>
      </c>
      <c r="B9460" s="3" t="str">
        <f>IFERROR(__xludf.DUMMYFUNCTION("""COMPUTED_VALUE"""),"26 7TH LINE RD")</f>
        <v>26 7TH LINE RD</v>
      </c>
      <c r="C9460" s="3" t="str">
        <f>IFERROR(__xludf.DUMMYFUNCTION("""COMPUTED_VALUE"""),"ROSENEATH ")</f>
        <v>ROSENEATH </v>
      </c>
      <c r="D9460" s="3" t="str">
        <f>IFERROR(__xludf.DUMMYFUNCTION("""COMPUTED_VALUE"""),"K0K 2X0")</f>
        <v>K0K 2X0</v>
      </c>
      <c r="E9460" s="3"/>
      <c r="F9460" s="3"/>
      <c r="G9460" s="3"/>
      <c r="H9460" s="3"/>
    </row>
    <row r="9461">
      <c r="A9461" s="2">
        <f>IFERROR(__xludf.DUMMYFUNCTION("""COMPUTED_VALUE"""),50237.0)</f>
        <v>50237</v>
      </c>
      <c r="B9461" s="3" t="str">
        <f>IFERROR(__xludf.DUMMYFUNCTION("""COMPUTED_VALUE"""),"31 7TH LINE RD")</f>
        <v>31 7TH LINE RD</v>
      </c>
      <c r="C9461" s="3" t="str">
        <f>IFERROR(__xludf.DUMMYFUNCTION("""COMPUTED_VALUE"""),"ROSENEATH ")</f>
        <v>ROSENEATH </v>
      </c>
      <c r="D9461" s="3" t="str">
        <f>IFERROR(__xludf.DUMMYFUNCTION("""COMPUTED_VALUE"""),"K0K 2X0")</f>
        <v>K0K 2X0</v>
      </c>
      <c r="E9461" s="3" t="str">
        <f>IFERROR(__xludf.DUMMYFUNCTION("""COMPUTED_VALUE"""),"Michael BERNARDI")</f>
        <v>Michael BERNARDI</v>
      </c>
      <c r="F9461" s="3" t="str">
        <f>IFERROR(__xludf.DUMMYFUNCTION("""COMPUTED_VALUE"""),"mpjbernardi@gmail.com")</f>
        <v>mpjbernardi@gmail.com</v>
      </c>
      <c r="G9461" s="3"/>
      <c r="H9461" s="3"/>
    </row>
    <row r="9462">
      <c r="A9462" s="2">
        <f>IFERROR(__xludf.DUMMYFUNCTION("""COMPUTED_VALUE"""),50238.0)</f>
        <v>50238</v>
      </c>
      <c r="B9462" s="3" t="str">
        <f>IFERROR(__xludf.DUMMYFUNCTION("""COMPUTED_VALUE"""),"42 7TH LINE RD")</f>
        <v>42 7TH LINE RD</v>
      </c>
      <c r="C9462" s="3" t="str">
        <f>IFERROR(__xludf.DUMMYFUNCTION("""COMPUTED_VALUE"""),"ROSENEATH ")</f>
        <v>ROSENEATH </v>
      </c>
      <c r="D9462" s="3" t="str">
        <f>IFERROR(__xludf.DUMMYFUNCTION("""COMPUTED_VALUE"""),"K0K 2X0")</f>
        <v>K0K 2X0</v>
      </c>
      <c r="E9462" s="3"/>
      <c r="F9462" s="3"/>
      <c r="G9462" s="3"/>
      <c r="H9462" s="3"/>
    </row>
    <row r="9463">
      <c r="A9463" s="2">
        <f>IFERROR(__xludf.DUMMYFUNCTION("""COMPUTED_VALUE"""),50239.0)</f>
        <v>50239</v>
      </c>
      <c r="B9463" s="3" t="str">
        <f>IFERROR(__xludf.DUMMYFUNCTION("""COMPUTED_VALUE"""),"56 7TH LINE RD")</f>
        <v>56 7TH LINE RD</v>
      </c>
      <c r="C9463" s="3" t="str">
        <f>IFERROR(__xludf.DUMMYFUNCTION("""COMPUTED_VALUE"""),"ROSENEATH ")</f>
        <v>ROSENEATH </v>
      </c>
      <c r="D9463" s="3" t="str">
        <f>IFERROR(__xludf.DUMMYFUNCTION("""COMPUTED_VALUE"""),"K0K 2X0")</f>
        <v>K0K 2X0</v>
      </c>
      <c r="E9463" s="3"/>
      <c r="F9463" s="3"/>
      <c r="G9463" s="3"/>
      <c r="H9463" s="3"/>
    </row>
    <row r="9464">
      <c r="A9464" s="2">
        <f>IFERROR(__xludf.DUMMYFUNCTION("""COMPUTED_VALUE"""),50240.0)</f>
        <v>50240</v>
      </c>
      <c r="B9464" s="3" t="str">
        <f>IFERROR(__xludf.DUMMYFUNCTION("""COMPUTED_VALUE"""),"134 7TH LINE RD UNIT 1")</f>
        <v>134 7TH LINE RD UNIT 1</v>
      </c>
      <c r="C9464" s="3" t="str">
        <f>IFERROR(__xludf.DUMMYFUNCTION("""COMPUTED_VALUE"""),"ROSENEATH ")</f>
        <v>ROSENEATH </v>
      </c>
      <c r="D9464" s="3" t="str">
        <f>IFERROR(__xludf.DUMMYFUNCTION("""COMPUTED_VALUE"""),"K0K 2X0")</f>
        <v>K0K 2X0</v>
      </c>
      <c r="E9464" s="3"/>
      <c r="F9464" s="3"/>
      <c r="G9464" s="3"/>
      <c r="H9464" s="3"/>
    </row>
    <row r="9465">
      <c r="A9465" s="2">
        <f>IFERROR(__xludf.DUMMYFUNCTION("""COMPUTED_VALUE"""),50241.0)</f>
        <v>50241</v>
      </c>
      <c r="B9465" s="3" t="str">
        <f>IFERROR(__xludf.DUMMYFUNCTION("""COMPUTED_VALUE"""),"134 7TH LINE RD UNIT 2")</f>
        <v>134 7TH LINE RD UNIT 2</v>
      </c>
      <c r="C9465" s="3" t="str">
        <f>IFERROR(__xludf.DUMMYFUNCTION("""COMPUTED_VALUE"""),"ROSENEATH ")</f>
        <v>ROSENEATH </v>
      </c>
      <c r="D9465" s="3" t="str">
        <f>IFERROR(__xludf.DUMMYFUNCTION("""COMPUTED_VALUE"""),"K0K 2X0")</f>
        <v>K0K 2X0</v>
      </c>
      <c r="E9465" s="3"/>
      <c r="F9465" s="3"/>
      <c r="G9465" s="3"/>
      <c r="H9465" s="3"/>
    </row>
    <row r="9466">
      <c r="A9466" s="2">
        <f>IFERROR(__xludf.DUMMYFUNCTION("""COMPUTED_VALUE"""),50242.0)</f>
        <v>50242</v>
      </c>
      <c r="B9466" s="3" t="str">
        <f>IFERROR(__xludf.DUMMYFUNCTION("""COMPUTED_VALUE"""),"134 7TH LINE RD UNIT 3")</f>
        <v>134 7TH LINE RD UNIT 3</v>
      </c>
      <c r="C9466" s="3" t="str">
        <f>IFERROR(__xludf.DUMMYFUNCTION("""COMPUTED_VALUE"""),"ROSENEATH ")</f>
        <v>ROSENEATH </v>
      </c>
      <c r="D9466" s="3" t="str">
        <f>IFERROR(__xludf.DUMMYFUNCTION("""COMPUTED_VALUE"""),"K0K 2X0")</f>
        <v>K0K 2X0</v>
      </c>
      <c r="E9466" s="3"/>
      <c r="F9466" s="3"/>
      <c r="G9466" s="3"/>
      <c r="H9466" s="3"/>
    </row>
    <row r="9467">
      <c r="A9467" s="2">
        <f>IFERROR(__xludf.DUMMYFUNCTION("""COMPUTED_VALUE"""),50243.0)</f>
        <v>50243</v>
      </c>
      <c r="B9467" s="3" t="str">
        <f>IFERROR(__xludf.DUMMYFUNCTION("""COMPUTED_VALUE"""),"148 7TH LINE RD")</f>
        <v>148 7TH LINE RD</v>
      </c>
      <c r="C9467" s="3" t="str">
        <f>IFERROR(__xludf.DUMMYFUNCTION("""COMPUTED_VALUE"""),"ROSENEATH ")</f>
        <v>ROSENEATH </v>
      </c>
      <c r="D9467" s="3" t="str">
        <f>IFERROR(__xludf.DUMMYFUNCTION("""COMPUTED_VALUE"""),"K0K 2X0")</f>
        <v>K0K 2X0</v>
      </c>
      <c r="E9467" s="3" t="str">
        <f>IFERROR(__xludf.DUMMYFUNCTION("""COMPUTED_VALUE"""),"Donna Garner")</f>
        <v>Donna Garner</v>
      </c>
      <c r="F9467" s="3" t="str">
        <f>IFERROR(__xludf.DUMMYFUNCTION("""COMPUTED_VALUE"""),"dj72supermom@gmail.com")</f>
        <v>dj72supermom@gmail.com</v>
      </c>
      <c r="G9467" s="3">
        <f>IFERROR(__xludf.DUMMYFUNCTION("""COMPUTED_VALUE"""),4.165739975E9)</f>
        <v>4165739975</v>
      </c>
      <c r="H9467" s="3"/>
    </row>
    <row r="9468">
      <c r="A9468" s="2">
        <f>IFERROR(__xludf.DUMMYFUNCTION("""COMPUTED_VALUE"""),50244.0)</f>
        <v>50244</v>
      </c>
      <c r="B9468" s="3" t="str">
        <f>IFERROR(__xludf.DUMMYFUNCTION("""COMPUTED_VALUE"""),"150 7TH LINE RD")</f>
        <v>150 7TH LINE RD</v>
      </c>
      <c r="C9468" s="3" t="str">
        <f>IFERROR(__xludf.DUMMYFUNCTION("""COMPUTED_VALUE"""),"ROSENEATH ")</f>
        <v>ROSENEATH </v>
      </c>
      <c r="D9468" s="3" t="str">
        <f>IFERROR(__xludf.DUMMYFUNCTION("""COMPUTED_VALUE"""),"K0K 2X0")</f>
        <v>K0K 2X0</v>
      </c>
      <c r="E9468" s="3" t="str">
        <f>IFERROR(__xludf.DUMMYFUNCTION("""COMPUTED_VALUE"""),"Blake Jessup")</f>
        <v>Blake Jessup</v>
      </c>
      <c r="F9468" s="3" t="str">
        <f>IFERROR(__xludf.DUMMYFUNCTION("""COMPUTED_VALUE"""),"jessup.12@hotmail.com")</f>
        <v>jessup.12@hotmail.com</v>
      </c>
      <c r="G9468" s="3"/>
      <c r="H9468" s="3"/>
    </row>
    <row r="9469">
      <c r="A9469" s="2">
        <f>IFERROR(__xludf.DUMMYFUNCTION("""COMPUTED_VALUE"""),50245.0)</f>
        <v>50245</v>
      </c>
      <c r="B9469" s="3" t="str">
        <f>IFERROR(__xludf.DUMMYFUNCTION("""COMPUTED_VALUE"""),"200 7TH LINE RD")</f>
        <v>200 7TH LINE RD</v>
      </c>
      <c r="C9469" s="3" t="str">
        <f>IFERROR(__xludf.DUMMYFUNCTION("""COMPUTED_VALUE"""),"ROSENEATH ")</f>
        <v>ROSENEATH </v>
      </c>
      <c r="D9469" s="3" t="str">
        <f>IFERROR(__xludf.DUMMYFUNCTION("""COMPUTED_VALUE"""),"K0K 2X0")</f>
        <v>K0K 2X0</v>
      </c>
      <c r="E9469" s="3"/>
      <c r="F9469" s="3"/>
      <c r="G9469" s="3"/>
      <c r="H9469" s="3"/>
    </row>
    <row r="9470">
      <c r="A9470" s="2">
        <f>IFERROR(__xludf.DUMMYFUNCTION("""COMPUTED_VALUE"""),50246.0)</f>
        <v>50246</v>
      </c>
      <c r="B9470" s="3" t="str">
        <f>IFERROR(__xludf.DUMMYFUNCTION("""COMPUTED_VALUE"""),"248 7TH LINE RD")</f>
        <v>248 7TH LINE RD</v>
      </c>
      <c r="C9470" s="3" t="str">
        <f>IFERROR(__xludf.DUMMYFUNCTION("""COMPUTED_VALUE"""),"ROSENEATH ")</f>
        <v>ROSENEATH </v>
      </c>
      <c r="D9470" s="3" t="str">
        <f>IFERROR(__xludf.DUMMYFUNCTION("""COMPUTED_VALUE"""),"K0K 2X0")</f>
        <v>K0K 2X0</v>
      </c>
      <c r="E9470" s="3" t="str">
        <f>IFERROR(__xludf.DUMMYFUNCTION("""COMPUTED_VALUE"""),"Nancy Crossley")</f>
        <v>Nancy Crossley</v>
      </c>
      <c r="F9470" s="3" t="str">
        <f>IFERROR(__xludf.DUMMYFUNCTION("""COMPUTED_VALUE"""),"tfdi@rogers.com")</f>
        <v>tfdi@rogers.com</v>
      </c>
      <c r="G9470" s="3">
        <f>IFERROR(__xludf.DUMMYFUNCTION("""COMPUTED_VALUE"""),4.165200344E9)</f>
        <v>4165200344</v>
      </c>
      <c r="H9470" s="3"/>
    </row>
    <row r="9471">
      <c r="A9471" s="2">
        <f>IFERROR(__xludf.DUMMYFUNCTION("""COMPUTED_VALUE"""),50247.0)</f>
        <v>50247</v>
      </c>
      <c r="B9471" s="3" t="str">
        <f>IFERROR(__xludf.DUMMYFUNCTION("""COMPUTED_VALUE"""),"341 7TH LINE RD")</f>
        <v>341 7TH LINE RD</v>
      </c>
      <c r="C9471" s="3" t="str">
        <f>IFERROR(__xludf.DUMMYFUNCTION("""COMPUTED_VALUE"""),"ROSENEATH ")</f>
        <v>ROSENEATH </v>
      </c>
      <c r="D9471" s="3" t="str">
        <f>IFERROR(__xludf.DUMMYFUNCTION("""COMPUTED_VALUE"""),"K0K 2X0")</f>
        <v>K0K 2X0</v>
      </c>
      <c r="E9471" s="3"/>
      <c r="F9471" s="3"/>
      <c r="G9471" s="3"/>
      <c r="H9471" s="3"/>
    </row>
    <row r="9472">
      <c r="A9472" s="2">
        <f>IFERROR(__xludf.DUMMYFUNCTION("""COMPUTED_VALUE"""),50248.0)</f>
        <v>50248</v>
      </c>
      <c r="B9472" s="3" t="str">
        <f>IFERROR(__xludf.DUMMYFUNCTION("""COMPUTED_VALUE"""),"342 7TH LINE RD")</f>
        <v>342 7TH LINE RD</v>
      </c>
      <c r="C9472" s="3" t="str">
        <f>IFERROR(__xludf.DUMMYFUNCTION("""COMPUTED_VALUE"""),"ROSENEATH ")</f>
        <v>ROSENEATH </v>
      </c>
      <c r="D9472" s="3" t="str">
        <f>IFERROR(__xludf.DUMMYFUNCTION("""COMPUTED_VALUE"""),"K0K 2X0")</f>
        <v>K0K 2X0</v>
      </c>
      <c r="E9472" s="3" t="str">
        <f>IFERROR(__xludf.DUMMYFUNCTION("""COMPUTED_VALUE"""),"Neil Holtby")</f>
        <v>Neil Holtby</v>
      </c>
      <c r="F9472" s="3" t="str">
        <f>IFERROR(__xludf.DUMMYFUNCTION("""COMPUTED_VALUE"""),"holtby.neil@gmail.com")</f>
        <v>holtby.neil@gmail.com</v>
      </c>
      <c r="G9472" s="3"/>
      <c r="H9472" s="3"/>
    </row>
    <row r="9473">
      <c r="A9473" s="2">
        <f>IFERROR(__xludf.DUMMYFUNCTION("""COMPUTED_VALUE"""),50249.0)</f>
        <v>50249</v>
      </c>
      <c r="B9473" s="3" t="str">
        <f>IFERROR(__xludf.DUMMYFUNCTION("""COMPUTED_VALUE"""),"362 7TH LINE RD SUITE 108")</f>
        <v>362 7TH LINE RD SUITE 108</v>
      </c>
      <c r="C9473" s="3" t="str">
        <f>IFERROR(__xludf.DUMMYFUNCTION("""COMPUTED_VALUE"""),"ROSENEATH ")</f>
        <v>ROSENEATH </v>
      </c>
      <c r="D9473" s="3" t="str">
        <f>IFERROR(__xludf.DUMMYFUNCTION("""COMPUTED_VALUE"""),"K0K 2X0")</f>
        <v>K0K 2X0</v>
      </c>
      <c r="E9473" s="3" t="str">
        <f>IFERROR(__xludf.DUMMYFUNCTION("""COMPUTED_VALUE"""),"julie johnston")</f>
        <v>julie johnston</v>
      </c>
      <c r="F9473" s="3" t="str">
        <f>IFERROR(__xludf.DUMMYFUNCTION("""COMPUTED_VALUE"""),"johnstonjulie02@gmail.com")</f>
        <v>johnstonjulie02@gmail.com</v>
      </c>
      <c r="G9473" s="3">
        <f>IFERROR(__xludf.DUMMYFUNCTION("""COMPUTED_VALUE"""),6.474692334E9)</f>
        <v>6474692334</v>
      </c>
      <c r="H9473" s="3"/>
    </row>
    <row r="9474">
      <c r="A9474" s="2">
        <f>IFERROR(__xludf.DUMMYFUNCTION("""COMPUTED_VALUE"""),50249.0)</f>
        <v>50249</v>
      </c>
      <c r="B9474" s="3" t="str">
        <f>IFERROR(__xludf.DUMMYFUNCTION("""COMPUTED_VALUE"""),"362 7TH LINE RD SUITE 102")</f>
        <v>362 7TH LINE RD SUITE 102</v>
      </c>
      <c r="C9474" s="3" t="str">
        <f>IFERROR(__xludf.DUMMYFUNCTION("""COMPUTED_VALUE"""),"ROSENEATH ")</f>
        <v>ROSENEATH </v>
      </c>
      <c r="D9474" s="3" t="str">
        <f>IFERROR(__xludf.DUMMYFUNCTION("""COMPUTED_VALUE"""),"K0K 2X0")</f>
        <v>K0K 2X0</v>
      </c>
      <c r="E9474" s="3" t="str">
        <f>IFERROR(__xludf.DUMMYFUNCTION("""COMPUTED_VALUE"""),"george mcafferey")</f>
        <v>george mcafferey</v>
      </c>
      <c r="F9474" s="3"/>
      <c r="G9474" s="3">
        <f>IFERROR(__xludf.DUMMYFUNCTION("""COMPUTED_VALUE"""),9.052696058E9)</f>
        <v>9052696058</v>
      </c>
      <c r="H9474" s="3"/>
    </row>
    <row r="9475">
      <c r="A9475" s="2">
        <f>IFERROR(__xludf.DUMMYFUNCTION("""COMPUTED_VALUE"""),50250.0)</f>
        <v>50250</v>
      </c>
      <c r="B9475" s="3" t="str">
        <f>IFERROR(__xludf.DUMMYFUNCTION("""COMPUTED_VALUE"""),"362 7TH LINE RD SUITE 104")</f>
        <v>362 7TH LINE RD SUITE 104</v>
      </c>
      <c r="C9475" s="3" t="str">
        <f>IFERROR(__xludf.DUMMYFUNCTION("""COMPUTED_VALUE"""),"ROSENEATH ")</f>
        <v>ROSENEATH </v>
      </c>
      <c r="D9475" s="3" t="str">
        <f>IFERROR(__xludf.DUMMYFUNCTION("""COMPUTED_VALUE"""),"K0K 2X0")</f>
        <v>K0K 2X0</v>
      </c>
      <c r="E9475" s="3"/>
      <c r="F9475" s="3"/>
      <c r="G9475" s="3"/>
      <c r="H9475" s="3"/>
    </row>
    <row r="9476">
      <c r="A9476" s="2">
        <f>IFERROR(__xludf.DUMMYFUNCTION("""COMPUTED_VALUE"""),50251.0)</f>
        <v>50251</v>
      </c>
      <c r="B9476" s="3" t="str">
        <f>IFERROR(__xludf.DUMMYFUNCTION("""COMPUTED_VALUE"""),"362 7TH LINE RD SUITE 106")</f>
        <v>362 7TH LINE RD SUITE 106</v>
      </c>
      <c r="C9476" s="3" t="str">
        <f>IFERROR(__xludf.DUMMYFUNCTION("""COMPUTED_VALUE"""),"ROSENEATH ")</f>
        <v>ROSENEATH </v>
      </c>
      <c r="D9476" s="3" t="str">
        <f>IFERROR(__xludf.DUMMYFUNCTION("""COMPUTED_VALUE"""),"K0K 2X0")</f>
        <v>K0K 2X0</v>
      </c>
      <c r="E9476" s="3" t="str">
        <f>IFERROR(__xludf.DUMMYFUNCTION("""COMPUTED_VALUE"""),"russ bamsey ")</f>
        <v>russ bamsey </v>
      </c>
      <c r="F9476" s="3"/>
      <c r="G9476" s="3"/>
      <c r="H9476" s="3"/>
    </row>
    <row r="9477">
      <c r="A9477" s="2">
        <f>IFERROR(__xludf.DUMMYFUNCTION("""COMPUTED_VALUE"""),50252.0)</f>
        <v>50252</v>
      </c>
      <c r="B9477" s="3" t="str">
        <f>IFERROR(__xludf.DUMMYFUNCTION("""COMPUTED_VALUE"""),"362 7TH LINE RD UNIT 110")</f>
        <v>362 7TH LINE RD UNIT 110</v>
      </c>
      <c r="C9477" s="3" t="str">
        <f>IFERROR(__xludf.DUMMYFUNCTION("""COMPUTED_VALUE"""),"ROSENEATH ")</f>
        <v>ROSENEATH </v>
      </c>
      <c r="D9477" s="3" t="str">
        <f>IFERROR(__xludf.DUMMYFUNCTION("""COMPUTED_VALUE"""),"K0K 2X0")</f>
        <v>K0K 2X0</v>
      </c>
      <c r="E9477" s="3" t="str">
        <f>IFERROR(__xludf.DUMMYFUNCTION("""COMPUTED_VALUE"""),"LYNN CUTHBERT")</f>
        <v>LYNN CUTHBERT</v>
      </c>
      <c r="F9477" s="3" t="str">
        <f>IFERROR(__xludf.DUMMYFUNCTION("""COMPUTED_VALUE"""),"carolynstephen@hotmail.com")</f>
        <v>carolynstephen@hotmail.com</v>
      </c>
      <c r="G9477" s="3"/>
      <c r="H9477" s="3"/>
    </row>
    <row r="9478">
      <c r="A9478" s="2">
        <f>IFERROR(__xludf.DUMMYFUNCTION("""COMPUTED_VALUE"""),50253.0)</f>
        <v>50253</v>
      </c>
      <c r="B9478" s="3" t="str">
        <f>IFERROR(__xludf.DUMMYFUNCTION("""COMPUTED_VALUE"""),"362 7TH LINE RD SUITE 112")</f>
        <v>362 7TH LINE RD SUITE 112</v>
      </c>
      <c r="C9478" s="3" t="str">
        <f>IFERROR(__xludf.DUMMYFUNCTION("""COMPUTED_VALUE"""),"ROSENEATH ")</f>
        <v>ROSENEATH </v>
      </c>
      <c r="D9478" s="3" t="str">
        <f>IFERROR(__xludf.DUMMYFUNCTION("""COMPUTED_VALUE"""),"K0K 2X0")</f>
        <v>K0K 2X0</v>
      </c>
      <c r="E9478" s="3" t="str">
        <f>IFERROR(__xludf.DUMMYFUNCTION("""COMPUTED_VALUE"""),"mark flegg ")</f>
        <v>mark flegg </v>
      </c>
      <c r="F9478" s="3" t="str">
        <f>IFERROR(__xludf.DUMMYFUNCTION("""COMPUTED_VALUE"""),"mark10flegg@gmail.com ")</f>
        <v>mark10flegg@gmail.com </v>
      </c>
      <c r="G9478" s="3">
        <f>IFERROR(__xludf.DUMMYFUNCTION("""COMPUTED_VALUE"""),9.057302697E9)</f>
        <v>9057302697</v>
      </c>
      <c r="H9478" s="3"/>
    </row>
    <row r="9479">
      <c r="A9479" s="2">
        <f>IFERROR(__xludf.DUMMYFUNCTION("""COMPUTED_VALUE"""),50254.0)</f>
        <v>50254</v>
      </c>
      <c r="B9479" s="3" t="str">
        <f>IFERROR(__xludf.DUMMYFUNCTION("""COMPUTED_VALUE"""),"362 7TH LINE RD SUITE 116")</f>
        <v>362 7TH LINE RD SUITE 116</v>
      </c>
      <c r="C9479" s="3" t="str">
        <f>IFERROR(__xludf.DUMMYFUNCTION("""COMPUTED_VALUE"""),"ROSENEATH ")</f>
        <v>ROSENEATH </v>
      </c>
      <c r="D9479" s="3" t="str">
        <f>IFERROR(__xludf.DUMMYFUNCTION("""COMPUTED_VALUE"""),"K0K 2X0")</f>
        <v>K0K 2X0</v>
      </c>
      <c r="E9479" s="3"/>
      <c r="F9479" s="3"/>
      <c r="G9479" s="3"/>
      <c r="H9479" s="3"/>
    </row>
    <row r="9480">
      <c r="A9480" s="2">
        <f>IFERROR(__xludf.DUMMYFUNCTION("""COMPUTED_VALUE"""),50255.0)</f>
        <v>50255</v>
      </c>
      <c r="B9480" s="3" t="str">
        <f>IFERROR(__xludf.DUMMYFUNCTION("""COMPUTED_VALUE"""),"362 7TH LINE RD UNIT 118")</f>
        <v>362 7TH LINE RD UNIT 118</v>
      </c>
      <c r="C9480" s="3" t="str">
        <f>IFERROR(__xludf.DUMMYFUNCTION("""COMPUTED_VALUE"""),"ROSENEATH ")</f>
        <v>ROSENEATH </v>
      </c>
      <c r="D9480" s="3" t="str">
        <f>IFERROR(__xludf.DUMMYFUNCTION("""COMPUTED_VALUE"""),"K0K 2X0")</f>
        <v>K0K 2X0</v>
      </c>
      <c r="E9480" s="3"/>
      <c r="F9480" s="3"/>
      <c r="G9480" s="3"/>
      <c r="H9480" s="3"/>
    </row>
    <row r="9481">
      <c r="A9481" s="2">
        <f>IFERROR(__xludf.DUMMYFUNCTION("""COMPUTED_VALUE"""),50256.0)</f>
        <v>50256</v>
      </c>
      <c r="B9481" s="3" t="str">
        <f>IFERROR(__xludf.DUMMYFUNCTION("""COMPUTED_VALUE"""),"362 7TH LINE RD UNIT 120")</f>
        <v>362 7TH LINE RD UNIT 120</v>
      </c>
      <c r="C9481" s="3" t="str">
        <f>IFERROR(__xludf.DUMMYFUNCTION("""COMPUTED_VALUE"""),"ROSENEATH ")</f>
        <v>ROSENEATH </v>
      </c>
      <c r="D9481" s="3" t="str">
        <f>IFERROR(__xludf.DUMMYFUNCTION("""COMPUTED_VALUE"""),"K0K 2X0")</f>
        <v>K0K 2X0</v>
      </c>
      <c r="E9481" s="3" t="str">
        <f>IFERROR(__xludf.DUMMYFUNCTION("""COMPUTED_VALUE"""),"Rolf Zwikirsch")</f>
        <v>Rolf Zwikirsch</v>
      </c>
      <c r="F9481" s="3" t="str">
        <f>IFERROR(__xludf.DUMMYFUNCTION("""COMPUTED_VALUE"""),"rzwikirsch@hotmail.com")</f>
        <v>rzwikirsch@hotmail.com</v>
      </c>
      <c r="G9481" s="3">
        <f>IFERROR(__xludf.DUMMYFUNCTION("""COMPUTED_VALUE"""),5.19851732E9)</f>
        <v>5198517320</v>
      </c>
      <c r="H9481" s="3"/>
    </row>
    <row r="9482">
      <c r="A9482" s="2">
        <f>IFERROR(__xludf.DUMMYFUNCTION("""COMPUTED_VALUE"""),50257.0)</f>
        <v>50257</v>
      </c>
      <c r="B9482" s="3" t="str">
        <f>IFERROR(__xludf.DUMMYFUNCTION("""COMPUTED_VALUE"""),"362 7TH LINE RD SUITE 122")</f>
        <v>362 7TH LINE RD SUITE 122</v>
      </c>
      <c r="C9482" s="3" t="str">
        <f>IFERROR(__xludf.DUMMYFUNCTION("""COMPUTED_VALUE"""),"ROSENEATH ")</f>
        <v>ROSENEATH </v>
      </c>
      <c r="D9482" s="3" t="str">
        <f>IFERROR(__xludf.DUMMYFUNCTION("""COMPUTED_VALUE"""),"K0K 2X0")</f>
        <v>K0K 2X0</v>
      </c>
      <c r="E9482" s="3"/>
      <c r="F9482" s="3"/>
      <c r="G9482" s="3"/>
      <c r="H9482" s="3"/>
    </row>
    <row r="9483">
      <c r="A9483" s="2">
        <f>IFERROR(__xludf.DUMMYFUNCTION("""COMPUTED_VALUE"""),50258.0)</f>
        <v>50258</v>
      </c>
      <c r="B9483" s="3" t="str">
        <f>IFERROR(__xludf.DUMMYFUNCTION("""COMPUTED_VALUE"""),"362 7TH LINE RD SUITE 126")</f>
        <v>362 7TH LINE RD SUITE 126</v>
      </c>
      <c r="C9483" s="3" t="str">
        <f>IFERROR(__xludf.DUMMYFUNCTION("""COMPUTED_VALUE"""),"ROSENEATH ")</f>
        <v>ROSENEATH </v>
      </c>
      <c r="D9483" s="3" t="str">
        <f>IFERROR(__xludf.DUMMYFUNCTION("""COMPUTED_VALUE"""),"K0K 2X0")</f>
        <v>K0K 2X0</v>
      </c>
      <c r="E9483" s="3" t="str">
        <f>IFERROR(__xludf.DUMMYFUNCTION("""COMPUTED_VALUE"""),"danilo marquez")</f>
        <v>danilo marquez</v>
      </c>
      <c r="F9483" s="3" t="str">
        <f>IFERROR(__xludf.DUMMYFUNCTION("""COMPUTED_VALUE"""),"danmaxmarquez99@gmail.com")</f>
        <v>danmaxmarquez99@gmail.com</v>
      </c>
      <c r="G9483" s="3">
        <f>IFERROR(__xludf.DUMMYFUNCTION("""COMPUTED_VALUE"""),6.47408456E9)</f>
        <v>6474084560</v>
      </c>
      <c r="H9483" s="3"/>
    </row>
    <row r="9484">
      <c r="A9484" s="2">
        <f>IFERROR(__xludf.DUMMYFUNCTION("""COMPUTED_VALUE"""),50259.0)</f>
        <v>50259</v>
      </c>
      <c r="B9484" s="3" t="str">
        <f>IFERROR(__xludf.DUMMYFUNCTION("""COMPUTED_VALUE"""),"362 7TH LINE RD SUITE 128")</f>
        <v>362 7TH LINE RD SUITE 128</v>
      </c>
      <c r="C9484" s="3" t="str">
        <f>IFERROR(__xludf.DUMMYFUNCTION("""COMPUTED_VALUE"""),"ROSENEATH ")</f>
        <v>ROSENEATH </v>
      </c>
      <c r="D9484" s="3" t="str">
        <f>IFERROR(__xludf.DUMMYFUNCTION("""COMPUTED_VALUE"""),"K0K 2X0")</f>
        <v>K0K 2X0</v>
      </c>
      <c r="E9484" s="3"/>
      <c r="F9484" s="3"/>
      <c r="G9484" s="3"/>
      <c r="H9484" s="3"/>
    </row>
    <row r="9485">
      <c r="A9485" s="2">
        <f>IFERROR(__xludf.DUMMYFUNCTION("""COMPUTED_VALUE"""),50260.0)</f>
        <v>50260</v>
      </c>
      <c r="B9485" s="3" t="str">
        <f>IFERROR(__xludf.DUMMYFUNCTION("""COMPUTED_VALUE"""),"362 7TH LINE RD SUITE 130")</f>
        <v>362 7TH LINE RD SUITE 130</v>
      </c>
      <c r="C9485" s="3" t="str">
        <f>IFERROR(__xludf.DUMMYFUNCTION("""COMPUTED_VALUE"""),"ROSENEATH ")</f>
        <v>ROSENEATH </v>
      </c>
      <c r="D9485" s="3" t="str">
        <f>IFERROR(__xludf.DUMMYFUNCTION("""COMPUTED_VALUE"""),"K0K 2X0")</f>
        <v>K0K 2X0</v>
      </c>
      <c r="E9485" s="3"/>
      <c r="F9485" s="3"/>
      <c r="G9485" s="3"/>
      <c r="H9485" s="3"/>
    </row>
    <row r="9486">
      <c r="A9486" s="2">
        <f>IFERROR(__xludf.DUMMYFUNCTION("""COMPUTED_VALUE"""),50261.0)</f>
        <v>50261</v>
      </c>
      <c r="B9486" s="3" t="str">
        <f>IFERROR(__xludf.DUMMYFUNCTION("""COMPUTED_VALUE"""),"362 7TH LINE RD UNIT 132")</f>
        <v>362 7TH LINE RD UNIT 132</v>
      </c>
      <c r="C9486" s="3" t="str">
        <f>IFERROR(__xludf.DUMMYFUNCTION("""COMPUTED_VALUE"""),"ROSENEATH ")</f>
        <v>ROSENEATH </v>
      </c>
      <c r="D9486" s="3" t="str">
        <f>IFERROR(__xludf.DUMMYFUNCTION("""COMPUTED_VALUE"""),"K0K 2X0")</f>
        <v>K0K 2X0</v>
      </c>
      <c r="E9486" s="3"/>
      <c r="F9486" s="3"/>
      <c r="G9486" s="3"/>
      <c r="H9486" s="3"/>
    </row>
    <row r="9487">
      <c r="A9487" s="2">
        <f>IFERROR(__xludf.DUMMYFUNCTION("""COMPUTED_VALUE"""),50262.0)</f>
        <v>50262</v>
      </c>
      <c r="B9487" s="3" t="str">
        <f>IFERROR(__xludf.DUMMYFUNCTION("""COMPUTED_VALUE"""),"362 7TH LINE RD UNIT 134")</f>
        <v>362 7TH LINE RD UNIT 134</v>
      </c>
      <c r="C9487" s="3" t="str">
        <f>IFERROR(__xludf.DUMMYFUNCTION("""COMPUTED_VALUE"""),"ROSENEATH ")</f>
        <v>ROSENEATH </v>
      </c>
      <c r="D9487" s="3" t="str">
        <f>IFERROR(__xludf.DUMMYFUNCTION("""COMPUTED_VALUE"""),"K0K 2X0")</f>
        <v>K0K 2X0</v>
      </c>
      <c r="E9487" s="3"/>
      <c r="F9487" s="3"/>
      <c r="G9487" s="3"/>
      <c r="H9487" s="3"/>
    </row>
    <row r="9488">
      <c r="A9488" s="2">
        <f>IFERROR(__xludf.DUMMYFUNCTION("""COMPUTED_VALUE"""),50263.0)</f>
        <v>50263</v>
      </c>
      <c r="B9488" s="3" t="str">
        <f>IFERROR(__xludf.DUMMYFUNCTION("""COMPUTED_VALUE"""),"362 7TH LINE RD UNIT 136")</f>
        <v>362 7TH LINE RD UNIT 136</v>
      </c>
      <c r="C9488" s="3" t="str">
        <f>IFERROR(__xludf.DUMMYFUNCTION("""COMPUTED_VALUE"""),"ROSENEATH ")</f>
        <v>ROSENEATH </v>
      </c>
      <c r="D9488" s="3" t="str">
        <f>IFERROR(__xludf.DUMMYFUNCTION("""COMPUTED_VALUE"""),"K0K 2X0")</f>
        <v>K0K 2X0</v>
      </c>
      <c r="E9488" s="3"/>
      <c r="F9488" s="3"/>
      <c r="G9488" s="3"/>
      <c r="H9488" s="3"/>
    </row>
    <row r="9489">
      <c r="A9489" s="2">
        <f>IFERROR(__xludf.DUMMYFUNCTION("""COMPUTED_VALUE"""),50264.0)</f>
        <v>50264</v>
      </c>
      <c r="B9489" s="3" t="str">
        <f>IFERROR(__xludf.DUMMYFUNCTION("""COMPUTED_VALUE"""),"362 7TH LINE RD UNIT 140")</f>
        <v>362 7TH LINE RD UNIT 140</v>
      </c>
      <c r="C9489" s="3" t="str">
        <f>IFERROR(__xludf.DUMMYFUNCTION("""COMPUTED_VALUE"""),"ROSENEATH ")</f>
        <v>ROSENEATH </v>
      </c>
      <c r="D9489" s="3" t="str">
        <f>IFERROR(__xludf.DUMMYFUNCTION("""COMPUTED_VALUE"""),"K0K 2X0")</f>
        <v>K0K 2X0</v>
      </c>
      <c r="E9489" s="3"/>
      <c r="F9489" s="3"/>
      <c r="G9489" s="3"/>
      <c r="H9489" s="3"/>
    </row>
    <row r="9490">
      <c r="A9490" s="2">
        <f>IFERROR(__xludf.DUMMYFUNCTION("""COMPUTED_VALUE"""),50265.0)</f>
        <v>50265</v>
      </c>
      <c r="B9490" s="3" t="str">
        <f>IFERROR(__xludf.DUMMYFUNCTION("""COMPUTED_VALUE"""),"362 7TH LINE RD SUITE 142")</f>
        <v>362 7TH LINE RD SUITE 142</v>
      </c>
      <c r="C9490" s="3" t="str">
        <f>IFERROR(__xludf.DUMMYFUNCTION("""COMPUTED_VALUE"""),"ROSENEATH ")</f>
        <v>ROSENEATH </v>
      </c>
      <c r="D9490" s="3" t="str">
        <f>IFERROR(__xludf.DUMMYFUNCTION("""COMPUTED_VALUE"""),"K0K 2X0")</f>
        <v>K0K 2X0</v>
      </c>
      <c r="E9490" s="3" t="str">
        <f>IFERROR(__xludf.DUMMYFUNCTION("""COMPUTED_VALUE"""),"Patrick Lynch")</f>
        <v>Patrick Lynch</v>
      </c>
      <c r="F9490" s="3" t="str">
        <f>IFERROR(__xludf.DUMMYFUNCTION("""COMPUTED_VALUE"""),"patricklynch131@gmail.com")</f>
        <v>patricklynch131@gmail.com</v>
      </c>
      <c r="G9490" s="3">
        <f>IFERROR(__xludf.DUMMYFUNCTION("""COMPUTED_VALUE"""),4.165644404E9)</f>
        <v>4165644404</v>
      </c>
      <c r="H9490" s="3">
        <f>IFERROR(__xludf.DUMMYFUNCTION("""COMPUTED_VALUE"""),4.167854646E9)</f>
        <v>4167854646</v>
      </c>
    </row>
    <row r="9491">
      <c r="A9491" s="2">
        <f>IFERROR(__xludf.DUMMYFUNCTION("""COMPUTED_VALUE"""),50266.0)</f>
        <v>50266</v>
      </c>
      <c r="B9491" s="3" t="str">
        <f>IFERROR(__xludf.DUMMYFUNCTION("""COMPUTED_VALUE"""),"362 7TH LINE RD UNIT 144")</f>
        <v>362 7TH LINE RD UNIT 144</v>
      </c>
      <c r="C9491" s="3" t="str">
        <f>IFERROR(__xludf.DUMMYFUNCTION("""COMPUTED_VALUE"""),"ROSENEATH ")</f>
        <v>ROSENEATH </v>
      </c>
      <c r="D9491" s="3" t="str">
        <f>IFERROR(__xludf.DUMMYFUNCTION("""COMPUTED_VALUE"""),"K0K 2X0")</f>
        <v>K0K 2X0</v>
      </c>
      <c r="E9491" s="3" t="str">
        <f>IFERROR(__xludf.DUMMYFUNCTION("""COMPUTED_VALUE"""),"John G Saunders / Jan L Skillen")</f>
        <v>John G Saunders / Jan L Skillen</v>
      </c>
      <c r="F9491" s="3" t="str">
        <f>IFERROR(__xludf.DUMMYFUNCTION("""COMPUTED_VALUE"""),"skilleja@gmail.comm")</f>
        <v>skilleja@gmail.comm</v>
      </c>
      <c r="G9491" s="3"/>
      <c r="H9491" s="3"/>
    </row>
    <row r="9492">
      <c r="A9492" s="2">
        <f>IFERROR(__xludf.DUMMYFUNCTION("""COMPUTED_VALUE"""),50267.0)</f>
        <v>50267</v>
      </c>
      <c r="B9492" s="3" t="str">
        <f>IFERROR(__xludf.DUMMYFUNCTION("""COMPUTED_VALUE"""),"362 7TH LINE RD SUITE 146")</f>
        <v>362 7TH LINE RD SUITE 146</v>
      </c>
      <c r="C9492" s="3" t="str">
        <f>IFERROR(__xludf.DUMMYFUNCTION("""COMPUTED_VALUE"""),"ROSENEATH ")</f>
        <v>ROSENEATH </v>
      </c>
      <c r="D9492" s="3" t="str">
        <f>IFERROR(__xludf.DUMMYFUNCTION("""COMPUTED_VALUE"""),"K0K 2X0")</f>
        <v>K0K 2X0</v>
      </c>
      <c r="E9492" s="3"/>
      <c r="F9492" s="3"/>
      <c r="G9492" s="3"/>
      <c r="H9492" s="3"/>
    </row>
    <row r="9493">
      <c r="A9493" s="2">
        <f>IFERROR(__xludf.DUMMYFUNCTION("""COMPUTED_VALUE"""),50268.0)</f>
        <v>50268</v>
      </c>
      <c r="B9493" s="3" t="str">
        <f>IFERROR(__xludf.DUMMYFUNCTION("""COMPUTED_VALUE"""),"362 7TH LINE RD SUITE 148")</f>
        <v>362 7TH LINE RD SUITE 148</v>
      </c>
      <c r="C9493" s="3" t="str">
        <f>IFERROR(__xludf.DUMMYFUNCTION("""COMPUTED_VALUE"""),"ROSENEATH ")</f>
        <v>ROSENEATH </v>
      </c>
      <c r="D9493" s="3" t="str">
        <f>IFERROR(__xludf.DUMMYFUNCTION("""COMPUTED_VALUE"""),"K0K 2X0")</f>
        <v>K0K 2X0</v>
      </c>
      <c r="E9493" s="3" t="str">
        <f>IFERROR(__xludf.DUMMYFUNCTION("""COMPUTED_VALUE"""),"arthur kaljian")</f>
        <v>arthur kaljian</v>
      </c>
      <c r="F9493" s="3" t="str">
        <f>IFERROR(__xludf.DUMMYFUNCTION("""COMPUTED_VALUE"""),"arthur@fixmycomputernow.com")</f>
        <v>arthur@fixmycomputernow.com</v>
      </c>
      <c r="G9493" s="3">
        <f>IFERROR(__xludf.DUMMYFUNCTION("""COMPUTED_VALUE"""),4.167913046E9)</f>
        <v>4167913046</v>
      </c>
      <c r="H9493" s="3">
        <f>IFERROR(__xludf.DUMMYFUNCTION("""COMPUTED_VALUE"""),4.167910303E9)</f>
        <v>4167910303</v>
      </c>
    </row>
    <row r="9494">
      <c r="A9494" s="2">
        <f>IFERROR(__xludf.DUMMYFUNCTION("""COMPUTED_VALUE"""),50269.0)</f>
        <v>50269</v>
      </c>
      <c r="B9494" s="3" t="str">
        <f>IFERROR(__xludf.DUMMYFUNCTION("""COMPUTED_VALUE"""),"362 7TH LINE RD SUITE 150")</f>
        <v>362 7TH LINE RD SUITE 150</v>
      </c>
      <c r="C9494" s="3" t="str">
        <f>IFERROR(__xludf.DUMMYFUNCTION("""COMPUTED_VALUE"""),"ROSENEATH ")</f>
        <v>ROSENEATH </v>
      </c>
      <c r="D9494" s="3" t="str">
        <f>IFERROR(__xludf.DUMMYFUNCTION("""COMPUTED_VALUE"""),"K0K 2X0")</f>
        <v>K0K 2X0</v>
      </c>
      <c r="E9494" s="3" t="str">
        <f>IFERROR(__xludf.DUMMYFUNCTION("""COMPUTED_VALUE"""),"edna lee")</f>
        <v>edna lee</v>
      </c>
      <c r="F9494" s="3" t="str">
        <f>IFERROR(__xludf.DUMMYFUNCTION("""COMPUTED_VALUE"""),"eddymode88@gmail.com")</f>
        <v>eddymode88@gmail.com</v>
      </c>
      <c r="G9494" s="3">
        <f>IFERROR(__xludf.DUMMYFUNCTION("""COMPUTED_VALUE"""),6.479930632E9)</f>
        <v>6479930632</v>
      </c>
      <c r="H9494" s="3"/>
    </row>
    <row r="9495">
      <c r="A9495" s="2">
        <f>IFERROR(__xludf.DUMMYFUNCTION("""COMPUTED_VALUE"""),50270.0)</f>
        <v>50270</v>
      </c>
      <c r="B9495" s="3" t="str">
        <f>IFERROR(__xludf.DUMMYFUNCTION("""COMPUTED_VALUE"""),"362 7TH LINE RD UNIT 152")</f>
        <v>362 7TH LINE RD UNIT 152</v>
      </c>
      <c r="C9495" s="3" t="str">
        <f>IFERROR(__xludf.DUMMYFUNCTION("""COMPUTED_VALUE"""),"ROSENEATH ")</f>
        <v>ROSENEATH </v>
      </c>
      <c r="D9495" s="3" t="str">
        <f>IFERROR(__xludf.DUMMYFUNCTION("""COMPUTED_VALUE"""),"K0K 2X0")</f>
        <v>K0K 2X0</v>
      </c>
      <c r="E9495" s="3" t="str">
        <f>IFERROR(__xludf.DUMMYFUNCTION("""COMPUTED_VALUE"""),"anne sheppard ")</f>
        <v>anne sheppard </v>
      </c>
      <c r="F9495" s="3" t="str">
        <f>IFERROR(__xludf.DUMMYFUNCTION("""COMPUTED_VALUE"""),"shepparda66@gmail.com")</f>
        <v>shepparda66@gmail.com</v>
      </c>
      <c r="G9495" s="3">
        <f>IFERROR(__xludf.DUMMYFUNCTION("""COMPUTED_VALUE"""),9.054095003E9)</f>
        <v>9054095003</v>
      </c>
      <c r="H9495" s="3">
        <f>IFERROR(__xludf.DUMMYFUNCTION("""COMPUTED_VALUE"""),9.056264093E9)</f>
        <v>9056264093</v>
      </c>
    </row>
    <row r="9496">
      <c r="A9496" s="2">
        <f>IFERROR(__xludf.DUMMYFUNCTION("""COMPUTED_VALUE"""),50271.0)</f>
        <v>50271</v>
      </c>
      <c r="B9496" s="3" t="str">
        <f>IFERROR(__xludf.DUMMYFUNCTION("""COMPUTED_VALUE"""),"362 7TH LINE RD SUITE 156")</f>
        <v>362 7TH LINE RD SUITE 156</v>
      </c>
      <c r="C9496" s="3" t="str">
        <f>IFERROR(__xludf.DUMMYFUNCTION("""COMPUTED_VALUE"""),"ROSENEATH ")</f>
        <v>ROSENEATH </v>
      </c>
      <c r="D9496" s="3" t="str">
        <f>IFERROR(__xludf.DUMMYFUNCTION("""COMPUTED_VALUE"""),"K0K 2X0")</f>
        <v>K0K 2X0</v>
      </c>
      <c r="E9496" s="3" t="str">
        <f>IFERROR(__xludf.DUMMYFUNCTION("""COMPUTED_VALUE"""),"guyre pouladi")</f>
        <v>guyre pouladi</v>
      </c>
      <c r="F9496" s="3" t="str">
        <f>IFERROR(__xludf.DUMMYFUNCTION("""COMPUTED_VALUE"""),"gpouladi@yahoo.com")</f>
        <v>gpouladi@yahoo.com</v>
      </c>
      <c r="G9496" s="3">
        <f>IFERROR(__xludf.DUMMYFUNCTION("""COMPUTED_VALUE"""),9.056305029E9)</f>
        <v>9056305029</v>
      </c>
      <c r="H9496" s="3"/>
    </row>
    <row r="9497">
      <c r="A9497" s="2">
        <f>IFERROR(__xludf.DUMMYFUNCTION("""COMPUTED_VALUE"""),50272.0)</f>
        <v>50272</v>
      </c>
      <c r="B9497" s="3" t="str">
        <f>IFERROR(__xludf.DUMMYFUNCTION("""COMPUTED_VALUE"""),"362 7TH LINE RD UNIT 158")</f>
        <v>362 7TH LINE RD UNIT 158</v>
      </c>
      <c r="C9497" s="3" t="str">
        <f>IFERROR(__xludf.DUMMYFUNCTION("""COMPUTED_VALUE"""),"ROSENEATH ")</f>
        <v>ROSENEATH </v>
      </c>
      <c r="D9497" s="3" t="str">
        <f>IFERROR(__xludf.DUMMYFUNCTION("""COMPUTED_VALUE"""),"K0K 2X0")</f>
        <v>K0K 2X0</v>
      </c>
      <c r="E9497" s="3"/>
      <c r="F9497" s="3"/>
      <c r="G9497" s="3"/>
      <c r="H9497" s="3"/>
    </row>
    <row r="9498">
      <c r="A9498" s="2">
        <f>IFERROR(__xludf.DUMMYFUNCTION("""COMPUTED_VALUE"""),50273.0)</f>
        <v>50273</v>
      </c>
      <c r="B9498" s="3" t="str">
        <f>IFERROR(__xludf.DUMMYFUNCTION("""COMPUTED_VALUE"""),"362 7TH LINE RD SUITE 160")</f>
        <v>362 7TH LINE RD SUITE 160</v>
      </c>
      <c r="C9498" s="3" t="str">
        <f>IFERROR(__xludf.DUMMYFUNCTION("""COMPUTED_VALUE"""),"ROSENEATH ")</f>
        <v>ROSENEATH </v>
      </c>
      <c r="D9498" s="3" t="str">
        <f>IFERROR(__xludf.DUMMYFUNCTION("""COMPUTED_VALUE"""),"K0K 2X0")</f>
        <v>K0K 2X0</v>
      </c>
      <c r="E9498" s="3"/>
      <c r="F9498" s="3"/>
      <c r="G9498" s="3"/>
      <c r="H9498" s="3"/>
    </row>
    <row r="9499">
      <c r="A9499" s="2">
        <f>IFERROR(__xludf.DUMMYFUNCTION("""COMPUTED_VALUE"""),50274.0)</f>
        <v>50274</v>
      </c>
      <c r="B9499" s="3" t="str">
        <f>IFERROR(__xludf.DUMMYFUNCTION("""COMPUTED_VALUE"""),"362 7TH LINE RD UNIT 162")</f>
        <v>362 7TH LINE RD UNIT 162</v>
      </c>
      <c r="C9499" s="3" t="str">
        <f>IFERROR(__xludf.DUMMYFUNCTION("""COMPUTED_VALUE"""),"ROSENEATH ")</f>
        <v>ROSENEATH </v>
      </c>
      <c r="D9499" s="3" t="str">
        <f>IFERROR(__xludf.DUMMYFUNCTION("""COMPUTED_VALUE"""),"K0K 2X0")</f>
        <v>K0K 2X0</v>
      </c>
      <c r="E9499" s="3"/>
      <c r="F9499" s="3"/>
      <c r="G9499" s="3"/>
      <c r="H9499" s="3"/>
    </row>
    <row r="9500">
      <c r="A9500" s="2">
        <f>IFERROR(__xludf.DUMMYFUNCTION("""COMPUTED_VALUE"""),50275.0)</f>
        <v>50275</v>
      </c>
      <c r="B9500" s="3" t="str">
        <f>IFERROR(__xludf.DUMMYFUNCTION("""COMPUTED_VALUE"""),"362 7TH LINE RD UNIT 164")</f>
        <v>362 7TH LINE RD UNIT 164</v>
      </c>
      <c r="C9500" s="3" t="str">
        <f>IFERROR(__xludf.DUMMYFUNCTION("""COMPUTED_VALUE"""),"ROSENEATH ")</f>
        <v>ROSENEATH </v>
      </c>
      <c r="D9500" s="3" t="str">
        <f>IFERROR(__xludf.DUMMYFUNCTION("""COMPUTED_VALUE"""),"K0K 2X0")</f>
        <v>K0K 2X0</v>
      </c>
      <c r="E9500" s="3"/>
      <c r="F9500" s="3"/>
      <c r="G9500" s="3"/>
      <c r="H9500" s="3"/>
    </row>
    <row r="9501">
      <c r="A9501" s="2">
        <f>IFERROR(__xludf.DUMMYFUNCTION("""COMPUTED_VALUE"""),50276.0)</f>
        <v>50276</v>
      </c>
      <c r="B9501" s="3" t="str">
        <f>IFERROR(__xludf.DUMMYFUNCTION("""COMPUTED_VALUE"""),"362 7TH LINE RD SUITE 166")</f>
        <v>362 7TH LINE RD SUITE 166</v>
      </c>
      <c r="C9501" s="3" t="str">
        <f>IFERROR(__xludf.DUMMYFUNCTION("""COMPUTED_VALUE"""),"ROSENEATH ")</f>
        <v>ROSENEATH </v>
      </c>
      <c r="D9501" s="3" t="str">
        <f>IFERROR(__xludf.DUMMYFUNCTION("""COMPUTED_VALUE"""),"K0K 2X0")</f>
        <v>K0K 2X0</v>
      </c>
      <c r="E9501" s="3"/>
      <c r="F9501" s="3"/>
      <c r="G9501" s="3"/>
      <c r="H9501" s="3"/>
    </row>
    <row r="9502">
      <c r="A9502" s="2">
        <f>IFERROR(__xludf.DUMMYFUNCTION("""COMPUTED_VALUE"""),50277.0)</f>
        <v>50277</v>
      </c>
      <c r="B9502" s="3" t="str">
        <f>IFERROR(__xludf.DUMMYFUNCTION("""COMPUTED_VALUE"""),"362 7TH LINE RD UNIT 168")</f>
        <v>362 7TH LINE RD UNIT 168</v>
      </c>
      <c r="C9502" s="3" t="str">
        <f>IFERROR(__xludf.DUMMYFUNCTION("""COMPUTED_VALUE"""),"ROSENEATH ")</f>
        <v>ROSENEATH </v>
      </c>
      <c r="D9502" s="3" t="str">
        <f>IFERROR(__xludf.DUMMYFUNCTION("""COMPUTED_VALUE"""),"K0K 2X0")</f>
        <v>K0K 2X0</v>
      </c>
      <c r="E9502" s="3"/>
      <c r="F9502" s="3"/>
      <c r="G9502" s="3"/>
      <c r="H9502" s="3"/>
    </row>
    <row r="9503">
      <c r="A9503" s="2">
        <f>IFERROR(__xludf.DUMMYFUNCTION("""COMPUTED_VALUE"""),50278.0)</f>
        <v>50278</v>
      </c>
      <c r="B9503" s="3" t="str">
        <f>IFERROR(__xludf.DUMMYFUNCTION("""COMPUTED_VALUE"""),"362 7TH LINE RD UNIT 170")</f>
        <v>362 7TH LINE RD UNIT 170</v>
      </c>
      <c r="C9503" s="3" t="str">
        <f>IFERROR(__xludf.DUMMYFUNCTION("""COMPUTED_VALUE"""),"ROSENEATH ")</f>
        <v>ROSENEATH </v>
      </c>
      <c r="D9503" s="3" t="str">
        <f>IFERROR(__xludf.DUMMYFUNCTION("""COMPUTED_VALUE"""),"K0K 2X0")</f>
        <v>K0K 2X0</v>
      </c>
      <c r="E9503" s="3" t="str">
        <f>IFERROR(__xludf.DUMMYFUNCTION("""COMPUTED_VALUE"""),"Tero &amp; Katherine Kontio")</f>
        <v>Tero &amp; Katherine Kontio</v>
      </c>
      <c r="F9503" s="3" t="str">
        <f>IFERROR(__xludf.DUMMYFUNCTION("""COMPUTED_VALUE"""),"tero.kontio@hotmail.com")</f>
        <v>tero.kontio@hotmail.com</v>
      </c>
      <c r="G9503" s="3">
        <f>IFERROR(__xludf.DUMMYFUNCTION("""COMPUTED_VALUE"""),4.169854969E9)</f>
        <v>4169854969</v>
      </c>
      <c r="H9503" s="3"/>
    </row>
    <row r="9504">
      <c r="A9504" s="2">
        <f>IFERROR(__xludf.DUMMYFUNCTION("""COMPUTED_VALUE"""),50279.0)</f>
        <v>50279</v>
      </c>
      <c r="B9504" s="3" t="str">
        <f>IFERROR(__xludf.DUMMYFUNCTION("""COMPUTED_VALUE"""),"362 7TH LINE RD SUITE 172")</f>
        <v>362 7TH LINE RD SUITE 172</v>
      </c>
      <c r="C9504" s="3" t="str">
        <f>IFERROR(__xludf.DUMMYFUNCTION("""COMPUTED_VALUE"""),"ROSENEATH ")</f>
        <v>ROSENEATH </v>
      </c>
      <c r="D9504" s="3" t="str">
        <f>IFERROR(__xludf.DUMMYFUNCTION("""COMPUTED_VALUE"""),"K0K 2X0")</f>
        <v>K0K 2X0</v>
      </c>
      <c r="E9504" s="3" t="str">
        <f>IFERROR(__xludf.DUMMYFUNCTION("""COMPUTED_VALUE"""),"clifford baer")</f>
        <v>clifford baer</v>
      </c>
      <c r="F9504" s="3" t="str">
        <f>IFERROR(__xludf.DUMMYFUNCTION("""COMPUTED_VALUE"""),"deborahlbaer@gmail.com")</f>
        <v>deborahlbaer@gmail.com</v>
      </c>
      <c r="G9504" s="3">
        <f>IFERROR(__xludf.DUMMYFUNCTION("""COMPUTED_VALUE"""),9.05342275E9)</f>
        <v>9053422750</v>
      </c>
      <c r="H9504" s="3"/>
    </row>
    <row r="9505">
      <c r="A9505" s="2">
        <f>IFERROR(__xludf.DUMMYFUNCTION("""COMPUTED_VALUE"""),50280.0)</f>
        <v>50280</v>
      </c>
      <c r="B9505" s="3" t="str">
        <f>IFERROR(__xludf.DUMMYFUNCTION("""COMPUTED_VALUE"""),"362 7TH LINE RD SUITE 174")</f>
        <v>362 7TH LINE RD SUITE 174</v>
      </c>
      <c r="C9505" s="3" t="str">
        <f>IFERROR(__xludf.DUMMYFUNCTION("""COMPUTED_VALUE"""),"ROSENEATH ")</f>
        <v>ROSENEATH </v>
      </c>
      <c r="D9505" s="3" t="str">
        <f>IFERROR(__xludf.DUMMYFUNCTION("""COMPUTED_VALUE"""),"K0K 2X0")</f>
        <v>K0K 2X0</v>
      </c>
      <c r="E9505" s="3" t="str">
        <f>IFERROR(__xludf.DUMMYFUNCTION("""COMPUTED_VALUE"""),"neil pierebon")</f>
        <v>neil pierebon</v>
      </c>
      <c r="F9505" s="3" t="str">
        <f>IFERROR(__xludf.DUMMYFUNCTION("""COMPUTED_VALUE"""),"npierebon@gmail.com")</f>
        <v>npierebon@gmail.com</v>
      </c>
      <c r="G9505" s="3">
        <f>IFERROR(__xludf.DUMMYFUNCTION("""COMPUTED_VALUE"""),4.169893685E9)</f>
        <v>4169893685</v>
      </c>
      <c r="H9505" s="3">
        <f>IFERROR(__xludf.DUMMYFUNCTION("""COMPUTED_VALUE"""),6.474592486E9)</f>
        <v>6474592486</v>
      </c>
    </row>
    <row r="9506">
      <c r="A9506" s="2">
        <f>IFERROR(__xludf.DUMMYFUNCTION("""COMPUTED_VALUE"""),50281.0)</f>
        <v>50281</v>
      </c>
      <c r="B9506" s="3" t="str">
        <f>IFERROR(__xludf.DUMMYFUNCTION("""COMPUTED_VALUE"""),"362 7TH LINE RD SUITE 176")</f>
        <v>362 7TH LINE RD SUITE 176</v>
      </c>
      <c r="C9506" s="3" t="str">
        <f>IFERROR(__xludf.DUMMYFUNCTION("""COMPUTED_VALUE"""),"ROSENEATH ")</f>
        <v>ROSENEATH </v>
      </c>
      <c r="D9506" s="3" t="str">
        <f>IFERROR(__xludf.DUMMYFUNCTION("""COMPUTED_VALUE"""),"K0K 2X0")</f>
        <v>K0K 2X0</v>
      </c>
      <c r="E9506" s="3" t="str">
        <f>IFERROR(__xludf.DUMMYFUNCTION("""COMPUTED_VALUE"""),"willa lievw kie song")</f>
        <v>willa lievw kie song</v>
      </c>
      <c r="F9506" s="3" t="str">
        <f>IFERROR(__xludf.DUMMYFUNCTION("""COMPUTED_VALUE"""),"martinez_bernadette@yahoo.com")</f>
        <v>martinez_bernadette@yahoo.com</v>
      </c>
      <c r="G9506" s="3">
        <f>IFERROR(__xludf.DUMMYFUNCTION("""COMPUTED_VALUE"""),4.168063861E9)</f>
        <v>4168063861</v>
      </c>
      <c r="H9506" s="3">
        <f>IFERROR(__xludf.DUMMYFUNCTION("""COMPUTED_VALUE"""),4.168798091E9)</f>
        <v>4168798091</v>
      </c>
    </row>
    <row r="9507">
      <c r="A9507" s="2">
        <f>IFERROR(__xludf.DUMMYFUNCTION("""COMPUTED_VALUE"""),50282.0)</f>
        <v>50282</v>
      </c>
      <c r="B9507" s="3" t="str">
        <f>IFERROR(__xludf.DUMMYFUNCTION("""COMPUTED_VALUE"""),"362 7TH LINE RD SUITE 178")</f>
        <v>362 7TH LINE RD SUITE 178</v>
      </c>
      <c r="C9507" s="3" t="str">
        <f>IFERROR(__xludf.DUMMYFUNCTION("""COMPUTED_VALUE"""),"ROSENEATH ")</f>
        <v>ROSENEATH </v>
      </c>
      <c r="D9507" s="3" t="str">
        <f>IFERROR(__xludf.DUMMYFUNCTION("""COMPUTED_VALUE"""),"K0K 2X0")</f>
        <v>K0K 2X0</v>
      </c>
      <c r="E9507" s="3"/>
      <c r="F9507" s="3"/>
      <c r="G9507" s="3"/>
      <c r="H9507" s="3"/>
    </row>
    <row r="9508">
      <c r="A9508" s="2">
        <f>IFERROR(__xludf.DUMMYFUNCTION("""COMPUTED_VALUE"""),50283.0)</f>
        <v>50283</v>
      </c>
      <c r="B9508" s="3" t="str">
        <f>IFERROR(__xludf.DUMMYFUNCTION("""COMPUTED_VALUE"""),"362 7TH LINE RD SUITE 180")</f>
        <v>362 7TH LINE RD SUITE 180</v>
      </c>
      <c r="C9508" s="3" t="str">
        <f>IFERROR(__xludf.DUMMYFUNCTION("""COMPUTED_VALUE"""),"ROSENEATH ")</f>
        <v>ROSENEATH </v>
      </c>
      <c r="D9508" s="3" t="str">
        <f>IFERROR(__xludf.DUMMYFUNCTION("""COMPUTED_VALUE"""),"K0K 2X0")</f>
        <v>K0K 2X0</v>
      </c>
      <c r="E9508" s="3"/>
      <c r="F9508" s="3"/>
      <c r="G9508" s="3"/>
      <c r="H9508" s="3"/>
    </row>
    <row r="9509">
      <c r="A9509" s="2">
        <f>IFERROR(__xludf.DUMMYFUNCTION("""COMPUTED_VALUE"""),50284.0)</f>
        <v>50284</v>
      </c>
      <c r="B9509" s="3" t="str">
        <f>IFERROR(__xludf.DUMMYFUNCTION("""COMPUTED_VALUE"""),"362 7TH LINE RD UNIT 182")</f>
        <v>362 7TH LINE RD UNIT 182</v>
      </c>
      <c r="C9509" s="3" t="str">
        <f>IFERROR(__xludf.DUMMYFUNCTION("""COMPUTED_VALUE"""),"ROSENEATH ")</f>
        <v>ROSENEATH </v>
      </c>
      <c r="D9509" s="3" t="str">
        <f>IFERROR(__xludf.DUMMYFUNCTION("""COMPUTED_VALUE"""),"K0K 2X0")</f>
        <v>K0K 2X0</v>
      </c>
      <c r="E9509" s="3" t="str">
        <f>IFERROR(__xludf.DUMMYFUNCTION("""COMPUTED_VALUE"""),"Robin de Vries")</f>
        <v>Robin de Vries</v>
      </c>
      <c r="F9509" s="3" t="str">
        <f>IFERROR(__xludf.DUMMYFUNCTION("""COMPUTED_VALUE"""),"rsdevries@sympatico.caa")</f>
        <v>rsdevries@sympatico.caa</v>
      </c>
      <c r="G9509" s="3"/>
      <c r="H9509" s="3"/>
    </row>
    <row r="9510">
      <c r="A9510" s="2">
        <f>IFERROR(__xludf.DUMMYFUNCTION("""COMPUTED_VALUE"""),50285.0)</f>
        <v>50285</v>
      </c>
      <c r="B9510" s="3" t="str">
        <f>IFERROR(__xludf.DUMMYFUNCTION("""COMPUTED_VALUE"""),"362 7TH LINE RD SUITE 184")</f>
        <v>362 7TH LINE RD SUITE 184</v>
      </c>
      <c r="C9510" s="3" t="str">
        <f>IFERROR(__xludf.DUMMYFUNCTION("""COMPUTED_VALUE"""),"ROSENEATH ")</f>
        <v>ROSENEATH </v>
      </c>
      <c r="D9510" s="3" t="str">
        <f>IFERROR(__xludf.DUMMYFUNCTION("""COMPUTED_VALUE"""),"K0K 2X0")</f>
        <v>K0K 2X0</v>
      </c>
      <c r="E9510" s="3" t="str">
        <f>IFERROR(__xludf.DUMMYFUNCTION("""COMPUTED_VALUE"""),"garth page")</f>
        <v>garth page</v>
      </c>
      <c r="F9510" s="3" t="str">
        <f>IFERROR(__xludf.DUMMYFUNCTION("""COMPUTED_VALUE"""),"2pagei@gmail.com")</f>
        <v>2pagei@gmail.com</v>
      </c>
      <c r="G9510" s="3">
        <f>IFERROR(__xludf.DUMMYFUNCTION("""COMPUTED_VALUE"""),9.05376223E9)</f>
        <v>9053762230</v>
      </c>
      <c r="H9510" s="3"/>
    </row>
    <row r="9511">
      <c r="A9511" s="2">
        <f>IFERROR(__xludf.DUMMYFUNCTION("""COMPUTED_VALUE"""),50286.0)</f>
        <v>50286</v>
      </c>
      <c r="B9511" s="3" t="str">
        <f>IFERROR(__xludf.DUMMYFUNCTION("""COMPUTED_VALUE"""),"362 7TH LINE RD UNIT 186")</f>
        <v>362 7TH LINE RD UNIT 186</v>
      </c>
      <c r="C9511" s="3" t="str">
        <f>IFERROR(__xludf.DUMMYFUNCTION("""COMPUTED_VALUE"""),"ROSENEATH ")</f>
        <v>ROSENEATH </v>
      </c>
      <c r="D9511" s="3" t="str">
        <f>IFERROR(__xludf.DUMMYFUNCTION("""COMPUTED_VALUE"""),"K0K 2X0")</f>
        <v>K0K 2X0</v>
      </c>
      <c r="E9511" s="3" t="str">
        <f>IFERROR(__xludf.DUMMYFUNCTION("""COMPUTED_VALUE"""),"Diem Luong")</f>
        <v>Diem Luong</v>
      </c>
      <c r="F9511" s="3" t="str">
        <f>IFERROR(__xludf.DUMMYFUNCTION("""COMPUTED_VALUE"""),"diem.luong@gmail.com")</f>
        <v>diem.luong@gmail.com</v>
      </c>
      <c r="G9511" s="3">
        <f>IFERROR(__xludf.DUMMYFUNCTION("""COMPUTED_VALUE"""),4.165287462E9)</f>
        <v>4165287462</v>
      </c>
      <c r="H9511" s="3"/>
    </row>
    <row r="9512">
      <c r="A9512" s="2">
        <f>IFERROR(__xludf.DUMMYFUNCTION("""COMPUTED_VALUE"""),50287.0)</f>
        <v>50287</v>
      </c>
      <c r="B9512" s="3" t="str">
        <f>IFERROR(__xludf.DUMMYFUNCTION("""COMPUTED_VALUE"""),"362 7TH LINE RD UNIT 188")</f>
        <v>362 7TH LINE RD UNIT 188</v>
      </c>
      <c r="C9512" s="3" t="str">
        <f>IFERROR(__xludf.DUMMYFUNCTION("""COMPUTED_VALUE"""),"ROSENEATH ")</f>
        <v>ROSENEATH </v>
      </c>
      <c r="D9512" s="3" t="str">
        <f>IFERROR(__xludf.DUMMYFUNCTION("""COMPUTED_VALUE"""),"K0K 2X0")</f>
        <v>K0K 2X0</v>
      </c>
      <c r="E9512" s="3"/>
      <c r="F9512" s="3"/>
      <c r="G9512" s="3"/>
      <c r="H9512" s="3"/>
    </row>
    <row r="9513">
      <c r="A9513" s="2">
        <f>IFERROR(__xludf.DUMMYFUNCTION("""COMPUTED_VALUE"""),50288.0)</f>
        <v>50288</v>
      </c>
      <c r="B9513" s="3" t="str">
        <f>IFERROR(__xludf.DUMMYFUNCTION("""COMPUTED_VALUE"""),"362 7TH LINE RD UNIT 190")</f>
        <v>362 7TH LINE RD UNIT 190</v>
      </c>
      <c r="C9513" s="3" t="str">
        <f>IFERROR(__xludf.DUMMYFUNCTION("""COMPUTED_VALUE"""),"ROSENEATH ")</f>
        <v>ROSENEATH </v>
      </c>
      <c r="D9513" s="3" t="str">
        <f>IFERROR(__xludf.DUMMYFUNCTION("""COMPUTED_VALUE"""),"K0K 2X0")</f>
        <v>K0K 2X0</v>
      </c>
      <c r="E9513" s="3" t="str">
        <f>IFERROR(__xludf.DUMMYFUNCTION("""COMPUTED_VALUE"""),"steven martin ")</f>
        <v>steven martin </v>
      </c>
      <c r="F9513" s="3" t="str">
        <f>IFERROR(__xludf.DUMMYFUNCTION("""COMPUTED_VALUE"""),"steven@excop.ca")</f>
        <v>steven@excop.ca</v>
      </c>
      <c r="G9513" s="3">
        <f>IFERROR(__xludf.DUMMYFUNCTION("""COMPUTED_VALUE"""),4.168450384E9)</f>
        <v>4168450384</v>
      </c>
      <c r="H9513" s="3">
        <f>IFERROR(__xludf.DUMMYFUNCTION("""COMPUTED_VALUE"""),4.164656163E9)</f>
        <v>4164656163</v>
      </c>
    </row>
    <row r="9514">
      <c r="A9514" s="2">
        <f>IFERROR(__xludf.DUMMYFUNCTION("""COMPUTED_VALUE"""),50288.0)</f>
        <v>50288</v>
      </c>
      <c r="B9514" s="3" t="str">
        <f>IFERROR(__xludf.DUMMYFUNCTION("""COMPUTED_VALUE"""),"362 7TH LINE RD UNIT 192")</f>
        <v>362 7TH LINE RD UNIT 192</v>
      </c>
      <c r="C9514" s="3" t="str">
        <f>IFERROR(__xludf.DUMMYFUNCTION("""COMPUTED_VALUE"""),"ROSENEATH ")</f>
        <v>ROSENEATH </v>
      </c>
      <c r="D9514" s="3" t="str">
        <f>IFERROR(__xludf.DUMMYFUNCTION("""COMPUTED_VALUE"""),"K0K 2X0")</f>
        <v>K0K 2X0</v>
      </c>
      <c r="E9514" s="3" t="str">
        <f>IFERROR(__xludf.DUMMYFUNCTION("""COMPUTED_VALUE"""),"steven martin ")</f>
        <v>steven martin </v>
      </c>
      <c r="F9514" s="3" t="str">
        <f>IFERROR(__xludf.DUMMYFUNCTION("""COMPUTED_VALUE"""),"steven@excop.ca")</f>
        <v>steven@excop.ca</v>
      </c>
      <c r="G9514" s="3">
        <f>IFERROR(__xludf.DUMMYFUNCTION("""COMPUTED_VALUE"""),4.168450384E9)</f>
        <v>4168450384</v>
      </c>
      <c r="H9514" s="3">
        <f>IFERROR(__xludf.DUMMYFUNCTION("""COMPUTED_VALUE"""),4.164656163E9)</f>
        <v>4164656163</v>
      </c>
    </row>
    <row r="9515">
      <c r="A9515" s="2">
        <f>IFERROR(__xludf.DUMMYFUNCTION("""COMPUTED_VALUE"""),50289.0)</f>
        <v>50289</v>
      </c>
      <c r="B9515" s="3" t="str">
        <f>IFERROR(__xludf.DUMMYFUNCTION("""COMPUTED_VALUE"""),"397 7TH LINE RD")</f>
        <v>397 7TH LINE RD</v>
      </c>
      <c r="C9515" s="3" t="str">
        <f>IFERROR(__xludf.DUMMYFUNCTION("""COMPUTED_VALUE"""),"ROSENEATH ")</f>
        <v>ROSENEATH </v>
      </c>
      <c r="D9515" s="3" t="str">
        <f>IFERROR(__xludf.DUMMYFUNCTION("""COMPUTED_VALUE"""),"K0K 2X0")</f>
        <v>K0K 2X0</v>
      </c>
      <c r="E9515" s="3"/>
      <c r="F9515" s="3"/>
      <c r="G9515" s="3"/>
      <c r="H9515" s="3"/>
    </row>
    <row r="9516">
      <c r="A9516" s="2">
        <f>IFERROR(__xludf.DUMMYFUNCTION("""COMPUTED_VALUE"""),50290.0)</f>
        <v>50290</v>
      </c>
      <c r="B9516" s="3" t="str">
        <f>IFERROR(__xludf.DUMMYFUNCTION("""COMPUTED_VALUE"""),"390 CONCESSION 8W")</f>
        <v>390 CONCESSION 8W</v>
      </c>
      <c r="C9516" s="3" t="str">
        <f>IFERROR(__xludf.DUMMYFUNCTION("""COMPUTED_VALUE"""),"WARKWORTH ")</f>
        <v>WARKWORTH </v>
      </c>
      <c r="D9516" s="3" t="str">
        <f>IFERROR(__xludf.DUMMYFUNCTION("""COMPUTED_VALUE"""),"K0K 3K0")</f>
        <v>K0K 3K0</v>
      </c>
      <c r="E9516" s="3"/>
      <c r="F9516" s="3"/>
      <c r="G9516" s="3"/>
      <c r="H9516" s="3"/>
    </row>
    <row r="9517">
      <c r="A9517" s="2">
        <f>IFERROR(__xludf.DUMMYFUNCTION("""COMPUTED_VALUE"""),50291.0)</f>
        <v>50291</v>
      </c>
      <c r="B9517" s="3" t="str">
        <f>IFERROR(__xludf.DUMMYFUNCTION("""COMPUTED_VALUE"""),"409 CONCESSION 8 W")</f>
        <v>409 CONCESSION 8 W</v>
      </c>
      <c r="C9517" s="3" t="str">
        <f>IFERROR(__xludf.DUMMYFUNCTION("""COMPUTED_VALUE"""),"WARKWORTH ")</f>
        <v>WARKWORTH </v>
      </c>
      <c r="D9517" s="3" t="str">
        <f>IFERROR(__xludf.DUMMYFUNCTION("""COMPUTED_VALUE"""),"K0K 3K0")</f>
        <v>K0K 3K0</v>
      </c>
      <c r="E9517" s="3" t="str">
        <f>IFERROR(__xludf.DUMMYFUNCTION("""COMPUTED_VALUE"""),"JARED FOSTER")</f>
        <v>JARED FOSTER</v>
      </c>
      <c r="F9517" s="3" t="str">
        <f>IFERROR(__xludf.DUMMYFUNCTION("""COMPUTED_VALUE"""),"lovelife067@gmail.com")</f>
        <v>lovelife067@gmail.com</v>
      </c>
      <c r="G9517" s="3"/>
      <c r="H9517" s="3"/>
    </row>
    <row r="9518">
      <c r="A9518" s="2">
        <f>IFERROR(__xludf.DUMMYFUNCTION("""COMPUTED_VALUE"""),50292.0)</f>
        <v>50292</v>
      </c>
      <c r="B9518" s="3" t="str">
        <f>IFERROR(__xludf.DUMMYFUNCTION("""COMPUTED_VALUE"""),"415 CONCESSION ROAD 8 W")</f>
        <v>415 CONCESSION ROAD 8 W</v>
      </c>
      <c r="C9518" s="3" t="str">
        <f>IFERROR(__xludf.DUMMYFUNCTION("""COMPUTED_VALUE"""),"WARKWORTH ")</f>
        <v>WARKWORTH </v>
      </c>
      <c r="D9518" s="3" t="str">
        <f>IFERROR(__xludf.DUMMYFUNCTION("""COMPUTED_VALUE"""),"K0K 3K0")</f>
        <v>K0K 3K0</v>
      </c>
      <c r="E9518" s="3"/>
      <c r="F9518" s="3"/>
      <c r="G9518" s="3"/>
      <c r="H9518" s="3"/>
    </row>
    <row r="9519">
      <c r="A9519" s="2">
        <f>IFERROR(__xludf.DUMMYFUNCTION("""COMPUTED_VALUE"""),50293.0)</f>
        <v>50293</v>
      </c>
      <c r="B9519" s="3" t="str">
        <f>IFERROR(__xludf.DUMMYFUNCTION("""COMPUTED_VALUE"""),"435 CONCESSION 8 W")</f>
        <v>435 CONCESSION 8 W</v>
      </c>
      <c r="C9519" s="3" t="str">
        <f>IFERROR(__xludf.DUMMYFUNCTION("""COMPUTED_VALUE"""),"WARKWORTH ")</f>
        <v>WARKWORTH </v>
      </c>
      <c r="D9519" s="3" t="str">
        <f>IFERROR(__xludf.DUMMYFUNCTION("""COMPUTED_VALUE"""),"K0K 3K0")</f>
        <v>K0K 3K0</v>
      </c>
      <c r="E9519" s="3"/>
      <c r="F9519" s="3"/>
      <c r="G9519" s="3"/>
      <c r="H9519" s="3"/>
    </row>
    <row r="9520">
      <c r="A9520" s="2">
        <f>IFERROR(__xludf.DUMMYFUNCTION("""COMPUTED_VALUE"""),50294.0)</f>
        <v>50294</v>
      </c>
      <c r="B9520" s="3" t="str">
        <f>IFERROR(__xludf.DUMMYFUNCTION("""COMPUTED_VALUE"""),"448 CONCESSION RD 8 W")</f>
        <v>448 CONCESSION RD 8 W</v>
      </c>
      <c r="C9520" s="3" t="str">
        <f>IFERROR(__xludf.DUMMYFUNCTION("""COMPUTED_VALUE"""),"WARKWORTH ")</f>
        <v>WARKWORTH </v>
      </c>
      <c r="D9520" s="3" t="str">
        <f>IFERROR(__xludf.DUMMYFUNCTION("""COMPUTED_VALUE"""),"K0K 3K0")</f>
        <v>K0K 3K0</v>
      </c>
      <c r="E9520" s="3"/>
      <c r="F9520" s="3"/>
      <c r="G9520" s="3"/>
      <c r="H9520" s="3"/>
    </row>
    <row r="9521">
      <c r="A9521" s="2">
        <f>IFERROR(__xludf.DUMMYFUNCTION("""COMPUTED_VALUE"""),50295.0)</f>
        <v>50295</v>
      </c>
      <c r="B9521" s="3" t="str">
        <f>IFERROR(__xludf.DUMMYFUNCTION("""COMPUTED_VALUE"""),"477 CONCESSION 8 W")</f>
        <v>477 CONCESSION 8 W</v>
      </c>
      <c r="C9521" s="3" t="str">
        <f>IFERROR(__xludf.DUMMYFUNCTION("""COMPUTED_VALUE"""),"HASTINGS ")</f>
        <v>HASTINGS </v>
      </c>
      <c r="D9521" s="3" t="str">
        <f>IFERROR(__xludf.DUMMYFUNCTION("""COMPUTED_VALUE"""),"K0L 1Y0")</f>
        <v>K0L 1Y0</v>
      </c>
      <c r="E9521" s="3"/>
      <c r="F9521" s="3"/>
      <c r="G9521" s="3"/>
      <c r="H9521" s="3"/>
    </row>
    <row r="9522">
      <c r="A9522" s="2">
        <f>IFERROR(__xludf.DUMMYFUNCTION("""COMPUTED_VALUE"""),50296.0)</f>
        <v>50296</v>
      </c>
      <c r="B9522" s="3" t="str">
        <f>IFERROR(__xludf.DUMMYFUNCTION("""COMPUTED_VALUE"""),"483 CONCESSION RD 8 W")</f>
        <v>483 CONCESSION RD 8 W</v>
      </c>
      <c r="C9522" s="3" t="str">
        <f>IFERROR(__xludf.DUMMYFUNCTION("""COMPUTED_VALUE"""),"HASTINGS ")</f>
        <v>HASTINGS </v>
      </c>
      <c r="D9522" s="3" t="str">
        <f>IFERROR(__xludf.DUMMYFUNCTION("""COMPUTED_VALUE"""),"K0L 1Y0")</f>
        <v>K0L 1Y0</v>
      </c>
      <c r="E9522" s="3" t="str">
        <f>IFERROR(__xludf.DUMMYFUNCTION("""COMPUTED_VALUE"""),"Daniel Sheps")</f>
        <v>Daniel Sheps</v>
      </c>
      <c r="F9522" s="3" t="str">
        <f>IFERROR(__xludf.DUMMYFUNCTION("""COMPUTED_VALUE"""),"dr.dan.sheps@gmail.com")</f>
        <v>dr.dan.sheps@gmail.com</v>
      </c>
      <c r="G9522" s="3">
        <f>IFERROR(__xludf.DUMMYFUNCTION("""COMPUTED_VALUE"""),2.04296959E9)</f>
        <v>2042969590</v>
      </c>
      <c r="H9522" s="3">
        <f>IFERROR(__xludf.DUMMYFUNCTION("""COMPUTED_VALUE"""),2.896918552E9)</f>
        <v>2896918552</v>
      </c>
    </row>
    <row r="9523">
      <c r="A9523" s="2">
        <f>IFERROR(__xludf.DUMMYFUNCTION("""COMPUTED_VALUE"""),50297.0)</f>
        <v>50297</v>
      </c>
      <c r="B9523" s="3" t="str">
        <f>IFERROR(__xludf.DUMMYFUNCTION("""COMPUTED_VALUE"""),"485 CONCESSION 8 W")</f>
        <v>485 CONCESSION 8 W</v>
      </c>
      <c r="C9523" s="3" t="str">
        <f>IFERROR(__xludf.DUMMYFUNCTION("""COMPUTED_VALUE"""),"HASTINGS ")</f>
        <v>HASTINGS </v>
      </c>
      <c r="D9523" s="3" t="str">
        <f>IFERROR(__xludf.DUMMYFUNCTION("""COMPUTED_VALUE"""),"K0L 1Y0")</f>
        <v>K0L 1Y0</v>
      </c>
      <c r="E9523" s="3"/>
      <c r="F9523" s="3"/>
      <c r="G9523" s="3"/>
      <c r="H9523" s="3"/>
    </row>
    <row r="9524">
      <c r="A9524" s="2">
        <f>IFERROR(__xludf.DUMMYFUNCTION("""COMPUTED_VALUE"""),50298.0)</f>
        <v>50298</v>
      </c>
      <c r="B9524" s="3" t="str">
        <f>IFERROR(__xludf.DUMMYFUNCTION("""COMPUTED_VALUE"""),"488 CONCESSION 8W")</f>
        <v>488 CONCESSION 8W</v>
      </c>
      <c r="C9524" s="3" t="str">
        <f>IFERROR(__xludf.DUMMYFUNCTION("""COMPUTED_VALUE"""),"HASTINGS ")</f>
        <v>HASTINGS </v>
      </c>
      <c r="D9524" s="3" t="str">
        <f>IFERROR(__xludf.DUMMYFUNCTION("""COMPUTED_VALUE"""),"K0L 1Y0")</f>
        <v>K0L 1Y0</v>
      </c>
      <c r="E9524" s="3" t="str">
        <f>IFERROR(__xludf.DUMMYFUNCTION("""COMPUTED_VALUE"""),"NICOLE WEEDEN")</f>
        <v>NICOLE WEEDEN</v>
      </c>
      <c r="F9524" s="3" t="str">
        <f>IFERROR(__xludf.DUMMYFUNCTION("""COMPUTED_VALUE"""),"nicole_weeden@live.com")</f>
        <v>nicole_weeden@live.com</v>
      </c>
      <c r="G9524" s="3">
        <f>IFERROR(__xludf.DUMMYFUNCTION("""COMPUTED_VALUE"""),7.058728488E9)</f>
        <v>7058728488</v>
      </c>
      <c r="H9524" s="3"/>
    </row>
    <row r="9525">
      <c r="A9525" s="2">
        <f>IFERROR(__xludf.DUMMYFUNCTION("""COMPUTED_VALUE"""),50299.0)</f>
        <v>50299</v>
      </c>
      <c r="B9525" s="3" t="str">
        <f>IFERROR(__xludf.DUMMYFUNCTION("""COMPUTED_VALUE"""),"491 CONCESSION 8W")</f>
        <v>491 CONCESSION 8W</v>
      </c>
      <c r="C9525" s="3" t="str">
        <f>IFERROR(__xludf.DUMMYFUNCTION("""COMPUTED_VALUE"""),"HASTINGS ")</f>
        <v>HASTINGS </v>
      </c>
      <c r="D9525" s="3" t="str">
        <f>IFERROR(__xludf.DUMMYFUNCTION("""COMPUTED_VALUE"""),"K0L 1Y0")</f>
        <v>K0L 1Y0</v>
      </c>
      <c r="E9525" s="3" t="str">
        <f>IFERROR(__xludf.DUMMYFUNCTION("""COMPUTED_VALUE"""),"Ricardo Harris")</f>
        <v>Ricardo Harris</v>
      </c>
      <c r="F9525" s="3" t="str">
        <f>IFERROR(__xludf.DUMMYFUNCTION("""COMPUTED_VALUE"""),"Dr.harris@startmail.com")</f>
        <v>Dr.harris@startmail.com</v>
      </c>
      <c r="G9525" s="3">
        <f>IFERROR(__xludf.DUMMYFUNCTION("""COMPUTED_VALUE"""),6.479987773E9)</f>
        <v>6479987773</v>
      </c>
      <c r="H9525" s="3"/>
    </row>
    <row r="9526">
      <c r="A9526" s="2">
        <f>IFERROR(__xludf.DUMMYFUNCTION("""COMPUTED_VALUE"""),50300.0)</f>
        <v>50300</v>
      </c>
      <c r="B9526" s="3" t="str">
        <f>IFERROR(__xludf.DUMMYFUNCTION("""COMPUTED_VALUE"""),"521 CONCESSION 8W")</f>
        <v>521 CONCESSION 8W</v>
      </c>
      <c r="C9526" s="3" t="str">
        <f>IFERROR(__xludf.DUMMYFUNCTION("""COMPUTED_VALUE"""),"HASTINGS ")</f>
        <v>HASTINGS </v>
      </c>
      <c r="D9526" s="3" t="str">
        <f>IFERROR(__xludf.DUMMYFUNCTION("""COMPUTED_VALUE"""),"K0L 1Y0")</f>
        <v>K0L 1Y0</v>
      </c>
      <c r="E9526" s="3"/>
      <c r="F9526" s="3"/>
      <c r="G9526" s="3"/>
      <c r="H9526" s="3"/>
    </row>
    <row r="9527">
      <c r="A9527" s="2">
        <f>IFERROR(__xludf.DUMMYFUNCTION("""COMPUTED_VALUE"""),50301.0)</f>
        <v>50301</v>
      </c>
      <c r="B9527" s="3" t="str">
        <f>IFERROR(__xludf.DUMMYFUNCTION("""COMPUTED_VALUE"""),"523 CONCESSION RD 8 W")</f>
        <v>523 CONCESSION RD 8 W</v>
      </c>
      <c r="C9527" s="3" t="str">
        <f>IFERROR(__xludf.DUMMYFUNCTION("""COMPUTED_VALUE"""),"HASTINGS ")</f>
        <v>HASTINGS </v>
      </c>
      <c r="D9527" s="3" t="str">
        <f>IFERROR(__xludf.DUMMYFUNCTION("""COMPUTED_VALUE"""),"K0L 1Y0")</f>
        <v>K0L 1Y0</v>
      </c>
      <c r="E9527" s="3" t="str">
        <f>IFERROR(__xludf.DUMMYFUNCTION("""COMPUTED_VALUE"""),"Hillary Clark")</f>
        <v>Hillary Clark</v>
      </c>
      <c r="F9527" s="3" t="str">
        <f>IFERROR(__xludf.DUMMYFUNCTION("""COMPUTED_VALUE"""),"hillaryclark93@gmail.com")</f>
        <v>hillaryclark93@gmail.com</v>
      </c>
      <c r="G9527" s="3">
        <f>IFERROR(__xludf.DUMMYFUNCTION("""COMPUTED_VALUE"""),5.879302127E9)</f>
        <v>5879302127</v>
      </c>
      <c r="H9527" s="3"/>
    </row>
    <row r="9528">
      <c r="A9528" s="2">
        <f>IFERROR(__xludf.DUMMYFUNCTION("""COMPUTED_VALUE"""),50302.0)</f>
        <v>50302</v>
      </c>
      <c r="B9528" s="3" t="str">
        <f>IFERROR(__xludf.DUMMYFUNCTION("""COMPUTED_VALUE"""),"530 CONCESSION 8W")</f>
        <v>530 CONCESSION 8W</v>
      </c>
      <c r="C9528" s="3" t="str">
        <f>IFERROR(__xludf.DUMMYFUNCTION("""COMPUTED_VALUE"""),"HASTINGS ")</f>
        <v>HASTINGS </v>
      </c>
      <c r="D9528" s="3" t="str">
        <f>IFERROR(__xludf.DUMMYFUNCTION("""COMPUTED_VALUE"""),"K0L 1Y0")</f>
        <v>K0L 1Y0</v>
      </c>
      <c r="E9528" s="3"/>
      <c r="F9528" s="3"/>
      <c r="G9528" s="3"/>
      <c r="H9528" s="3"/>
    </row>
    <row r="9529">
      <c r="A9529" s="2">
        <f>IFERROR(__xludf.DUMMYFUNCTION("""COMPUTED_VALUE"""),50303.0)</f>
        <v>50303</v>
      </c>
      <c r="B9529" s="3" t="str">
        <f>IFERROR(__xludf.DUMMYFUNCTION("""COMPUTED_VALUE"""),"535 CONCESSION RD 8 W")</f>
        <v>535 CONCESSION RD 8 W</v>
      </c>
      <c r="C9529" s="3" t="str">
        <f>IFERROR(__xludf.DUMMYFUNCTION("""COMPUTED_VALUE"""),"HASTINGS ")</f>
        <v>HASTINGS </v>
      </c>
      <c r="D9529" s="3" t="str">
        <f>IFERROR(__xludf.DUMMYFUNCTION("""COMPUTED_VALUE"""),"K0L 1Y0")</f>
        <v>K0L 1Y0</v>
      </c>
      <c r="E9529" s="3" t="str">
        <f>IFERROR(__xludf.DUMMYFUNCTION("""COMPUTED_VALUE"""),"Carl Waligorski")</f>
        <v>Carl Waligorski</v>
      </c>
      <c r="F9529" s="3" t="str">
        <f>IFERROR(__xludf.DUMMYFUNCTION("""COMPUTED_VALUE"""),"cfw6766@gmail.com")</f>
        <v>cfw6766@gmail.com</v>
      </c>
      <c r="G9529" s="3">
        <f>IFERROR(__xludf.DUMMYFUNCTION("""COMPUTED_VALUE"""),7.055598882E9)</f>
        <v>7055598882</v>
      </c>
      <c r="H9529" s="3">
        <f>IFERROR(__xludf.DUMMYFUNCTION("""COMPUTED_VALUE"""),7.057403673E9)</f>
        <v>7057403673</v>
      </c>
    </row>
    <row r="9530">
      <c r="A9530" s="2">
        <f>IFERROR(__xludf.DUMMYFUNCTION("""COMPUTED_VALUE"""),50304.0)</f>
        <v>50304</v>
      </c>
      <c r="B9530" s="3" t="str">
        <f>IFERROR(__xludf.DUMMYFUNCTION("""COMPUTED_VALUE"""),"548 CONCESSION RD W")</f>
        <v>548 CONCESSION RD W</v>
      </c>
      <c r="C9530" s="3" t="str">
        <f>IFERROR(__xludf.DUMMYFUNCTION("""COMPUTED_VALUE"""),"HASTINGS ")</f>
        <v>HASTINGS </v>
      </c>
      <c r="D9530" s="3" t="str">
        <f>IFERROR(__xludf.DUMMYFUNCTION("""COMPUTED_VALUE"""),"K0L1Y0")</f>
        <v>K0L1Y0</v>
      </c>
      <c r="E9530" s="3" t="str">
        <f>IFERROR(__xludf.DUMMYFUNCTION("""COMPUTED_VALUE"""),"Denis and Ruth Bon")</f>
        <v>Denis and Ruth Bon</v>
      </c>
      <c r="F9530" s="3" t="str">
        <f>IFERROR(__xludf.DUMMYFUNCTION("""COMPUTED_VALUE"""),"r.djbon@gmail.com")</f>
        <v>r.djbon@gmail.com</v>
      </c>
      <c r="G9530" s="3">
        <f>IFERROR(__xludf.DUMMYFUNCTION("""COMPUTED_VALUE"""),9.052438266E9)</f>
        <v>9052438266</v>
      </c>
      <c r="H9530" s="3">
        <f>IFERROR(__xludf.DUMMYFUNCTION("""COMPUTED_VALUE"""),9.054492428E9)</f>
        <v>9054492428</v>
      </c>
    </row>
    <row r="9531">
      <c r="A9531" s="2">
        <f>IFERROR(__xludf.DUMMYFUNCTION("""COMPUTED_VALUE"""),50305.0)</f>
        <v>50305</v>
      </c>
      <c r="B9531" s="3" t="str">
        <f>IFERROR(__xludf.DUMMYFUNCTION("""COMPUTED_VALUE"""),"551 CONCESSION 8W")</f>
        <v>551 CONCESSION 8W</v>
      </c>
      <c r="C9531" s="3" t="str">
        <f>IFERROR(__xludf.DUMMYFUNCTION("""COMPUTED_VALUE"""),"HASTINGS ")</f>
        <v>HASTINGS </v>
      </c>
      <c r="D9531" s="3" t="str">
        <f>IFERROR(__xludf.DUMMYFUNCTION("""COMPUTED_VALUE"""),"K0L1Y0")</f>
        <v>K0L1Y0</v>
      </c>
      <c r="E9531" s="3"/>
      <c r="F9531" s="3"/>
      <c r="G9531" s="3"/>
      <c r="H9531" s="3"/>
    </row>
    <row r="9532">
      <c r="A9532" s="2">
        <f>IFERROR(__xludf.DUMMYFUNCTION("""COMPUTED_VALUE"""),50306.0)</f>
        <v>50306</v>
      </c>
      <c r="B9532" s="3" t="str">
        <f>IFERROR(__xludf.DUMMYFUNCTION("""COMPUTED_VALUE"""),"556 CONCESSION 8 W")</f>
        <v>556 CONCESSION 8 W</v>
      </c>
      <c r="C9532" s="3" t="str">
        <f>IFERROR(__xludf.DUMMYFUNCTION("""COMPUTED_VALUE"""),"HASTINGS ")</f>
        <v>HASTINGS </v>
      </c>
      <c r="D9532" s="3" t="str">
        <f>IFERROR(__xludf.DUMMYFUNCTION("""COMPUTED_VALUE"""),"K0L1Y0")</f>
        <v>K0L1Y0</v>
      </c>
      <c r="E9532" s="3"/>
      <c r="F9532" s="3"/>
      <c r="G9532" s="3"/>
      <c r="H9532" s="3"/>
    </row>
    <row r="9533">
      <c r="A9533" s="2">
        <f>IFERROR(__xludf.DUMMYFUNCTION("""COMPUTED_VALUE"""),50307.0)</f>
        <v>50307</v>
      </c>
      <c r="B9533" s="3" t="str">
        <f>IFERROR(__xludf.DUMMYFUNCTION("""COMPUTED_VALUE"""),"563 CONCESSION 8W")</f>
        <v>563 CONCESSION 8W</v>
      </c>
      <c r="C9533" s="3" t="str">
        <f>IFERROR(__xludf.DUMMYFUNCTION("""COMPUTED_VALUE"""),"HASTINGS ")</f>
        <v>HASTINGS </v>
      </c>
      <c r="D9533" s="3" t="str">
        <f>IFERROR(__xludf.DUMMYFUNCTION("""COMPUTED_VALUE"""),"K0L1Y0")</f>
        <v>K0L1Y0</v>
      </c>
      <c r="E9533" s="3"/>
      <c r="F9533" s="3"/>
      <c r="G9533" s="3"/>
      <c r="H9533" s="3"/>
    </row>
    <row r="9534">
      <c r="A9534" s="2">
        <f>IFERROR(__xludf.DUMMYFUNCTION("""COMPUTED_VALUE"""),50308.0)</f>
        <v>50308</v>
      </c>
      <c r="B9534" s="3" t="str">
        <f>IFERROR(__xludf.DUMMYFUNCTION("""COMPUTED_VALUE"""),"566 CONCESSION 8W")</f>
        <v>566 CONCESSION 8W</v>
      </c>
      <c r="C9534" s="3" t="str">
        <f>IFERROR(__xludf.DUMMYFUNCTION("""COMPUTED_VALUE"""),"HASTINGS ")</f>
        <v>HASTINGS </v>
      </c>
      <c r="D9534" s="3" t="str">
        <f>IFERROR(__xludf.DUMMYFUNCTION("""COMPUTED_VALUE"""),"K0L1Y0")</f>
        <v>K0L1Y0</v>
      </c>
      <c r="E9534" s="3"/>
      <c r="F9534" s="3"/>
      <c r="G9534" s="3"/>
      <c r="H9534" s="3"/>
    </row>
    <row r="9535">
      <c r="A9535" s="2">
        <f>IFERROR(__xludf.DUMMYFUNCTION("""COMPUTED_VALUE"""),50309.0)</f>
        <v>50309</v>
      </c>
      <c r="B9535" s="3" t="str">
        <f>IFERROR(__xludf.DUMMYFUNCTION("""COMPUTED_VALUE"""),"576 CONCESSION 8W")</f>
        <v>576 CONCESSION 8W</v>
      </c>
      <c r="C9535" s="3" t="str">
        <f>IFERROR(__xludf.DUMMYFUNCTION("""COMPUTED_VALUE"""),"HASTINGS ")</f>
        <v>HASTINGS </v>
      </c>
      <c r="D9535" s="3" t="str">
        <f>IFERROR(__xludf.DUMMYFUNCTION("""COMPUTED_VALUE"""),"K0L1Y0")</f>
        <v>K0L1Y0</v>
      </c>
      <c r="E9535" s="3"/>
      <c r="F9535" s="3"/>
      <c r="G9535" s="3"/>
      <c r="H9535" s="3"/>
    </row>
    <row r="9536">
      <c r="A9536" s="2">
        <f>IFERROR(__xludf.DUMMYFUNCTION("""COMPUTED_VALUE"""),50310.0)</f>
        <v>50310</v>
      </c>
      <c r="B9536" s="3" t="str">
        <f>IFERROR(__xludf.DUMMYFUNCTION("""COMPUTED_VALUE"""),"580 CONCESSION 8W")</f>
        <v>580 CONCESSION 8W</v>
      </c>
      <c r="C9536" s="3" t="str">
        <f>IFERROR(__xludf.DUMMYFUNCTION("""COMPUTED_VALUE"""),"HASTINGS ")</f>
        <v>HASTINGS </v>
      </c>
      <c r="D9536" s="3" t="str">
        <f>IFERROR(__xludf.DUMMYFUNCTION("""COMPUTED_VALUE"""),"K0L1Y0")</f>
        <v>K0L1Y0</v>
      </c>
      <c r="E9536" s="3" t="str">
        <f>IFERROR(__xludf.DUMMYFUNCTION("""COMPUTED_VALUE"""),"Dave Rosborough")</f>
        <v>Dave Rosborough</v>
      </c>
      <c r="F9536" s="3" t="str">
        <f>IFERROR(__xludf.DUMMYFUNCTION("""COMPUTED_VALUE"""),"therosboroughs@aol.com")</f>
        <v>therosboroughs@aol.com</v>
      </c>
      <c r="G9536" s="3"/>
      <c r="H9536" s="3"/>
    </row>
    <row r="9537">
      <c r="A9537" s="2">
        <f>IFERROR(__xludf.DUMMYFUNCTION("""COMPUTED_VALUE"""),50311.0)</f>
        <v>50311</v>
      </c>
      <c r="B9537" s="3" t="str">
        <f>IFERROR(__xludf.DUMMYFUNCTION("""COMPUTED_VALUE"""),"581 CONCESSION 8W")</f>
        <v>581 CONCESSION 8W</v>
      </c>
      <c r="C9537" s="3" t="str">
        <f>IFERROR(__xludf.DUMMYFUNCTION("""COMPUTED_VALUE"""),"HASTINGS ")</f>
        <v>HASTINGS </v>
      </c>
      <c r="D9537" s="3" t="str">
        <f>IFERROR(__xludf.DUMMYFUNCTION("""COMPUTED_VALUE"""),"K0L1Y0")</f>
        <v>K0L1Y0</v>
      </c>
      <c r="E9537" s="3" t="str">
        <f>IFERROR(__xludf.DUMMYFUNCTION("""COMPUTED_VALUE"""),"Sandy Neilly or Peter Neilly")</f>
        <v>Sandy Neilly or Peter Neilly</v>
      </c>
      <c r="F9537" s="3" t="str">
        <f>IFERROR(__xludf.DUMMYFUNCTION("""COMPUTED_VALUE"""),"waybackmac@gmail.com")</f>
        <v>waybackmac@gmail.com</v>
      </c>
      <c r="G9537" s="3">
        <f>IFERROR(__xludf.DUMMYFUNCTION("""COMPUTED_VALUE"""),7.055599454E9)</f>
        <v>7055599454</v>
      </c>
      <c r="H9537" s="3">
        <f>IFERROR(__xludf.DUMMYFUNCTION("""COMPUTED_VALUE"""),6.138278277E9)</f>
        <v>6138278277</v>
      </c>
    </row>
    <row r="9538">
      <c r="A9538" s="2">
        <f>IFERROR(__xludf.DUMMYFUNCTION("""COMPUTED_VALUE"""),50312.0)</f>
        <v>50312</v>
      </c>
      <c r="B9538" s="3" t="str">
        <f>IFERROR(__xludf.DUMMYFUNCTION("""COMPUTED_VALUE"""),"582 CONCESSION 8 W")</f>
        <v>582 CONCESSION 8 W</v>
      </c>
      <c r="C9538" s="3" t="str">
        <f>IFERROR(__xludf.DUMMYFUNCTION("""COMPUTED_VALUE"""),"HASTINGS ")</f>
        <v>HASTINGS </v>
      </c>
      <c r="D9538" s="3" t="str">
        <f>IFERROR(__xludf.DUMMYFUNCTION("""COMPUTED_VALUE"""),"K0L1Y0")</f>
        <v>K0L1Y0</v>
      </c>
      <c r="E9538" s="3" t="str">
        <f>IFERROR(__xludf.DUMMYFUNCTION("""COMPUTED_VALUE"""),"Eric Spilsbury")</f>
        <v>Eric Spilsbury</v>
      </c>
      <c r="F9538" s="3" t="str">
        <f>IFERROR(__xludf.DUMMYFUNCTION("""COMPUTED_VALUE"""),"e.denon@yahoo.com")</f>
        <v>e.denon@yahoo.com</v>
      </c>
      <c r="G9538" s="3">
        <f>IFERROR(__xludf.DUMMYFUNCTION("""COMPUTED_VALUE"""),3.433634402E9)</f>
        <v>3433634402</v>
      </c>
      <c r="H9538" s="3"/>
    </row>
    <row r="9539">
      <c r="A9539" s="2">
        <f>IFERROR(__xludf.DUMMYFUNCTION("""COMPUTED_VALUE"""),50313.0)</f>
        <v>50313</v>
      </c>
      <c r="B9539" s="3" t="str">
        <f>IFERROR(__xludf.DUMMYFUNCTION("""COMPUTED_VALUE"""),"584 CONCESSION 8 W")</f>
        <v>584 CONCESSION 8 W</v>
      </c>
      <c r="C9539" s="3" t="str">
        <f>IFERROR(__xludf.DUMMYFUNCTION("""COMPUTED_VALUE"""),"HASTINGS ")</f>
        <v>HASTINGS </v>
      </c>
      <c r="D9539" s="3" t="str">
        <f>IFERROR(__xludf.DUMMYFUNCTION("""COMPUTED_VALUE"""),"K0L1Y0")</f>
        <v>K0L1Y0</v>
      </c>
      <c r="E9539" s="3"/>
      <c r="F9539" s="3"/>
      <c r="G9539" s="3"/>
      <c r="H9539" s="3"/>
    </row>
    <row r="9540">
      <c r="A9540" s="2">
        <f>IFERROR(__xludf.DUMMYFUNCTION("""COMPUTED_VALUE"""),50314.0)</f>
        <v>50314</v>
      </c>
      <c r="B9540" s="3" t="str">
        <f>IFERROR(__xludf.DUMMYFUNCTION("""COMPUTED_VALUE"""),"585 CONCESSION 8W")</f>
        <v>585 CONCESSION 8W</v>
      </c>
      <c r="C9540" s="3" t="str">
        <f>IFERROR(__xludf.DUMMYFUNCTION("""COMPUTED_VALUE"""),"HASTINGS ")</f>
        <v>HASTINGS </v>
      </c>
      <c r="D9540" s="3" t="str">
        <f>IFERROR(__xludf.DUMMYFUNCTION("""COMPUTED_VALUE"""),"K0L1Y0")</f>
        <v>K0L1Y0</v>
      </c>
      <c r="E9540" s="3"/>
      <c r="F9540" s="3"/>
      <c r="G9540" s="3"/>
      <c r="H9540" s="3"/>
    </row>
    <row r="9541">
      <c r="A9541" s="2">
        <f>IFERROR(__xludf.DUMMYFUNCTION("""COMPUTED_VALUE"""),50315.0)</f>
        <v>50315</v>
      </c>
      <c r="B9541" s="3" t="str">
        <f>IFERROR(__xludf.DUMMYFUNCTION("""COMPUTED_VALUE"""),"595 CONCESSION 8 W")</f>
        <v>595 CONCESSION 8 W</v>
      </c>
      <c r="C9541" s="3" t="str">
        <f>IFERROR(__xludf.DUMMYFUNCTION("""COMPUTED_VALUE"""),"HASTINGS ")</f>
        <v>HASTINGS </v>
      </c>
      <c r="D9541" s="3" t="str">
        <f>IFERROR(__xludf.DUMMYFUNCTION("""COMPUTED_VALUE"""),"K0L 1Y0")</f>
        <v>K0L 1Y0</v>
      </c>
      <c r="E9541" s="3" t="str">
        <f>IFERROR(__xludf.DUMMYFUNCTION("""COMPUTED_VALUE"""),"Alison Turner")</f>
        <v>Alison Turner</v>
      </c>
      <c r="F9541" s="3" t="str">
        <f>IFERROR(__xludf.DUMMYFUNCTION("""COMPUTED_VALUE"""),"allymt74@gmail.com")</f>
        <v>allymt74@gmail.com</v>
      </c>
      <c r="G9541" s="3"/>
      <c r="H9541" s="3"/>
    </row>
    <row r="9542">
      <c r="A9542" s="2">
        <f>IFERROR(__xludf.DUMMYFUNCTION("""COMPUTED_VALUE"""),50316.0)</f>
        <v>50316</v>
      </c>
      <c r="B9542" s="3" t="str">
        <f>IFERROR(__xludf.DUMMYFUNCTION("""COMPUTED_VALUE"""),"507 CONCESSION 9 W")</f>
        <v>507 CONCESSION 9 W</v>
      </c>
      <c r="C9542" s="3" t="str">
        <f>IFERROR(__xludf.DUMMYFUNCTION("""COMPUTED_VALUE"""),"HASTINGS ")</f>
        <v>HASTINGS </v>
      </c>
      <c r="D9542" s="3" t="str">
        <f>IFERROR(__xludf.DUMMYFUNCTION("""COMPUTED_VALUE"""),"K0L1Y0")</f>
        <v>K0L1Y0</v>
      </c>
      <c r="E9542" s="3"/>
      <c r="F9542" s="3"/>
      <c r="G9542" s="3"/>
      <c r="H9542" s="3"/>
    </row>
    <row r="9543">
      <c r="A9543" s="2">
        <f>IFERROR(__xludf.DUMMYFUNCTION("""COMPUTED_VALUE"""),50317.0)</f>
        <v>50317</v>
      </c>
      <c r="B9543" s="3" t="str">
        <f>IFERROR(__xludf.DUMMYFUNCTION("""COMPUTED_VALUE"""),"561 CONCESSION RD 9 W")</f>
        <v>561 CONCESSION RD 9 W</v>
      </c>
      <c r="C9543" s="3" t="str">
        <f>IFERROR(__xludf.DUMMYFUNCTION("""COMPUTED_VALUE"""),"HASTINGS ")</f>
        <v>HASTINGS </v>
      </c>
      <c r="D9543" s="3" t="str">
        <f>IFERROR(__xludf.DUMMYFUNCTION("""COMPUTED_VALUE"""),"K0L1Y0")</f>
        <v>K0L1Y0</v>
      </c>
      <c r="E9543" s="3" t="str">
        <f>IFERROR(__xludf.DUMMYFUNCTION("""COMPUTED_VALUE"""),"Tate Clarke")</f>
        <v>Tate Clarke</v>
      </c>
      <c r="F9543" s="3" t="str">
        <f>IFERROR(__xludf.DUMMYFUNCTION("""COMPUTED_VALUE"""),"taterachelclarke@gmail.com")</f>
        <v>taterachelclarke@gmail.com</v>
      </c>
      <c r="G9543" s="3">
        <f>IFERROR(__xludf.DUMMYFUNCTION("""COMPUTED_VALUE"""),2.897165984E9)</f>
        <v>2897165984</v>
      </c>
      <c r="H9543" s="3"/>
    </row>
    <row r="9544">
      <c r="A9544" s="2">
        <f>IFERROR(__xludf.DUMMYFUNCTION("""COMPUTED_VALUE"""),50318.0)</f>
        <v>50318</v>
      </c>
      <c r="B9544" s="3" t="str">
        <f>IFERROR(__xludf.DUMMYFUNCTION("""COMPUTED_VALUE"""),"580 CONCESSION 9 W")</f>
        <v>580 CONCESSION 9 W</v>
      </c>
      <c r="C9544" s="3" t="str">
        <f>IFERROR(__xludf.DUMMYFUNCTION("""COMPUTED_VALUE"""),"HASTINGS ")</f>
        <v>HASTINGS </v>
      </c>
      <c r="D9544" s="3" t="str">
        <f>IFERROR(__xludf.DUMMYFUNCTION("""COMPUTED_VALUE"""),"K0L1Y0")</f>
        <v>K0L1Y0</v>
      </c>
      <c r="E9544" s="3"/>
      <c r="F9544" s="3"/>
      <c r="G9544" s="3"/>
      <c r="H9544" s="3"/>
    </row>
    <row r="9545">
      <c r="A9545" s="2">
        <f>IFERROR(__xludf.DUMMYFUNCTION("""COMPUTED_VALUE"""),50319.0)</f>
        <v>50319</v>
      </c>
      <c r="B9545" s="3" t="str">
        <f>IFERROR(__xludf.DUMMYFUNCTION("""COMPUTED_VALUE"""),"587 CONCESSION 9 W")</f>
        <v>587 CONCESSION 9 W</v>
      </c>
      <c r="C9545" s="3" t="str">
        <f>IFERROR(__xludf.DUMMYFUNCTION("""COMPUTED_VALUE"""),"HASTINGS ")</f>
        <v>HASTINGS </v>
      </c>
      <c r="D9545" s="3" t="str">
        <f>IFERROR(__xludf.DUMMYFUNCTION("""COMPUTED_VALUE"""),"K0L1Y0")</f>
        <v>K0L1Y0</v>
      </c>
      <c r="E9545" s="3" t="str">
        <f>IFERROR(__xludf.DUMMYFUNCTION("""COMPUTED_VALUE"""),"Laird McMurray")</f>
        <v>Laird McMurray</v>
      </c>
      <c r="F9545" s="3" t="str">
        <f>IFERROR(__xludf.DUMMYFUNCTION("""COMPUTED_VALUE"""),"laird@lairdfx.com")</f>
        <v>laird@lairdfx.com</v>
      </c>
      <c r="G9545" s="3">
        <f>IFERROR(__xludf.DUMMYFUNCTION("""COMPUTED_VALUE"""),4.16806634E9)</f>
        <v>4168066340</v>
      </c>
      <c r="H9545" s="3"/>
    </row>
    <row r="9546">
      <c r="A9546" s="2">
        <f>IFERROR(__xludf.DUMMYFUNCTION("""COMPUTED_VALUE"""),50320.0)</f>
        <v>50320</v>
      </c>
      <c r="B9546" s="3" t="str">
        <f>IFERROR(__xludf.DUMMYFUNCTION("""COMPUTED_VALUE"""),"621 CONCESSION 9 W")</f>
        <v>621 CONCESSION 9 W</v>
      </c>
      <c r="C9546" s="3" t="str">
        <f>IFERROR(__xludf.DUMMYFUNCTION("""COMPUTED_VALUE"""),"HASTINGS ")</f>
        <v>HASTINGS </v>
      </c>
      <c r="D9546" s="3" t="str">
        <f>IFERROR(__xludf.DUMMYFUNCTION("""COMPUTED_VALUE"""),"K0L1Y0")</f>
        <v>K0L1Y0</v>
      </c>
      <c r="E9546" s="3"/>
      <c r="F9546" s="3"/>
      <c r="G9546" s="3"/>
      <c r="H9546" s="3"/>
    </row>
    <row r="9547">
      <c r="A9547" s="2">
        <f>IFERROR(__xludf.DUMMYFUNCTION("""COMPUTED_VALUE"""),50321.0)</f>
        <v>50321</v>
      </c>
      <c r="B9547" s="3" t="str">
        <f>IFERROR(__xludf.DUMMYFUNCTION("""COMPUTED_VALUE"""),"632 CONCESSION RD 9 W")</f>
        <v>632 CONCESSION RD 9 W</v>
      </c>
      <c r="C9547" s="3" t="str">
        <f>IFERROR(__xludf.DUMMYFUNCTION("""COMPUTED_VALUE"""),"HASTINGS ")</f>
        <v>HASTINGS </v>
      </c>
      <c r="D9547" s="3" t="str">
        <f>IFERROR(__xludf.DUMMYFUNCTION("""COMPUTED_VALUE"""),"K0L1Y0")</f>
        <v>K0L1Y0</v>
      </c>
      <c r="E9547" s="3"/>
      <c r="F9547" s="3"/>
      <c r="G9547" s="3"/>
      <c r="H9547" s="3"/>
    </row>
    <row r="9548">
      <c r="A9548" s="2">
        <f>IFERROR(__xludf.DUMMYFUNCTION("""COMPUTED_VALUE"""),50322.0)</f>
        <v>50322</v>
      </c>
      <c r="B9548" s="3" t="str">
        <f>IFERROR(__xludf.DUMMYFUNCTION("""COMPUTED_VALUE"""),"650 CONCESSION 9 W")</f>
        <v>650 CONCESSION 9 W</v>
      </c>
      <c r="C9548" s="3" t="str">
        <f>IFERROR(__xludf.DUMMYFUNCTION("""COMPUTED_VALUE"""),"HASTINGS ")</f>
        <v>HASTINGS </v>
      </c>
      <c r="D9548" s="3" t="str">
        <f>IFERROR(__xludf.DUMMYFUNCTION("""COMPUTED_VALUE"""),"K0L1Y0")</f>
        <v>K0L1Y0</v>
      </c>
      <c r="E9548" s="3" t="str">
        <f>IFERROR(__xludf.DUMMYFUNCTION("""COMPUTED_VALUE"""),"Karen Richens")</f>
        <v>Karen Richens</v>
      </c>
      <c r="F9548" s="3" t="str">
        <f>IFERROR(__xludf.DUMMYFUNCTION("""COMPUTED_VALUE"""),"karenrichens@gmail.com")</f>
        <v>karenrichens@gmail.com</v>
      </c>
      <c r="G9548" s="3"/>
      <c r="H9548" s="3"/>
    </row>
    <row r="9549">
      <c r="A9549" s="2">
        <f>IFERROR(__xludf.DUMMYFUNCTION("""COMPUTED_VALUE"""),50323.0)</f>
        <v>50323</v>
      </c>
      <c r="B9549" s="3" t="str">
        <f>IFERROR(__xludf.DUMMYFUNCTION("""COMPUTED_VALUE"""),"651 CONCESSION 9 W")</f>
        <v>651 CONCESSION 9 W</v>
      </c>
      <c r="C9549" s="3" t="str">
        <f>IFERROR(__xludf.DUMMYFUNCTION("""COMPUTED_VALUE"""),"HASTINGS ")</f>
        <v>HASTINGS </v>
      </c>
      <c r="D9549" s="3" t="str">
        <f>IFERROR(__xludf.DUMMYFUNCTION("""COMPUTED_VALUE"""),"K0L 1Y0")</f>
        <v>K0L 1Y0</v>
      </c>
      <c r="E9549" s="3" t="str">
        <f>IFERROR(__xludf.DUMMYFUNCTION("""COMPUTED_VALUE"""),"Spyros Chrysochou")</f>
        <v>Spyros Chrysochou</v>
      </c>
      <c r="F9549" s="3" t="str">
        <f>IFERROR(__xludf.DUMMYFUNCTION("""COMPUTED_VALUE"""),"spychry@gmail.com")</f>
        <v>spychry@gmail.com</v>
      </c>
      <c r="G9549" s="3"/>
      <c r="H9549" s="3"/>
    </row>
    <row r="9550">
      <c r="A9550" s="2">
        <f>IFERROR(__xludf.DUMMYFUNCTION("""COMPUTED_VALUE"""),50324.0)</f>
        <v>50324</v>
      </c>
      <c r="B9550" s="3" t="str">
        <f>IFERROR(__xludf.DUMMYFUNCTION("""COMPUTED_VALUE"""),"681 CONCESSION 9W")</f>
        <v>681 CONCESSION 9W</v>
      </c>
      <c r="C9550" s="3" t="str">
        <f>IFERROR(__xludf.DUMMYFUNCTION("""COMPUTED_VALUE"""),"HASTINGS ")</f>
        <v>HASTINGS </v>
      </c>
      <c r="D9550" s="3" t="str">
        <f>IFERROR(__xludf.DUMMYFUNCTION("""COMPUTED_VALUE"""),"K0L1Y0")</f>
        <v>K0L1Y0</v>
      </c>
      <c r="E9550" s="3" t="str">
        <f>IFERROR(__xludf.DUMMYFUNCTION("""COMPUTED_VALUE"""),"Garth Bridgman (Rent) / Dave Gibson (Owner)")</f>
        <v>Garth Bridgman (Rent) / Dave Gibson (Owner)</v>
      </c>
      <c r="F9550" s="3" t="str">
        <f>IFERROR(__xludf.DUMMYFUNCTION("""COMPUTED_VALUE"""),"garthbridgman4@gmail.com (Rent) / gibsondave470@gmail.com (Owner)")</f>
        <v>garthbridgman4@gmail.com (Rent) / gibsondave470@gmail.com (Owner)</v>
      </c>
      <c r="G9550" s="3"/>
      <c r="H9550" s="3"/>
    </row>
    <row r="9551">
      <c r="A9551" s="2">
        <f>IFERROR(__xludf.DUMMYFUNCTION("""COMPUTED_VALUE"""),50325.0)</f>
        <v>50325</v>
      </c>
      <c r="B9551" s="3" t="str">
        <f>IFERROR(__xludf.DUMMYFUNCTION("""COMPUTED_VALUE"""),"708 CONCESSION 9 W")</f>
        <v>708 CONCESSION 9 W</v>
      </c>
      <c r="C9551" s="3" t="str">
        <f>IFERROR(__xludf.DUMMYFUNCTION("""COMPUTED_VALUE"""),"HASTINGS ")</f>
        <v>HASTINGS </v>
      </c>
      <c r="D9551" s="3" t="str">
        <f>IFERROR(__xludf.DUMMYFUNCTION("""COMPUTED_VALUE"""),"K0L1Y0")</f>
        <v>K0L1Y0</v>
      </c>
      <c r="E9551" s="3"/>
      <c r="F9551" s="3"/>
      <c r="G9551" s="3"/>
      <c r="H9551" s="3"/>
    </row>
    <row r="9552">
      <c r="A9552" s="2">
        <f>IFERROR(__xludf.DUMMYFUNCTION("""COMPUTED_VALUE"""),50326.0)</f>
        <v>50326</v>
      </c>
      <c r="B9552" s="3" t="str">
        <f>IFERROR(__xludf.DUMMYFUNCTION("""COMPUTED_VALUE"""),"84 BAXTER RD")</f>
        <v>84 BAXTER RD</v>
      </c>
      <c r="C9552" s="3" t="str">
        <f>IFERROR(__xludf.DUMMYFUNCTION("""COMPUTED_VALUE"""),"HASTINGS ")</f>
        <v>HASTINGS </v>
      </c>
      <c r="D9552" s="3" t="str">
        <f>IFERROR(__xludf.DUMMYFUNCTION("""COMPUTED_VALUE"""),"K0L 1Y0")</f>
        <v>K0L 1Y0</v>
      </c>
      <c r="E9552" s="3"/>
      <c r="F9552" s="3"/>
      <c r="G9552" s="3"/>
      <c r="H9552" s="3"/>
    </row>
    <row r="9553">
      <c r="A9553" s="2">
        <f>IFERROR(__xludf.DUMMYFUNCTION("""COMPUTED_VALUE"""),50327.0)</f>
        <v>50327</v>
      </c>
      <c r="B9553" s="3" t="str">
        <f>IFERROR(__xludf.DUMMYFUNCTION("""COMPUTED_VALUE"""),"169 BAXTER RD")</f>
        <v>169 BAXTER RD</v>
      </c>
      <c r="C9553" s="3" t="str">
        <f>IFERROR(__xludf.DUMMYFUNCTION("""COMPUTED_VALUE"""),"HASTINGS ")</f>
        <v>HASTINGS </v>
      </c>
      <c r="D9553" s="3" t="str">
        <f>IFERROR(__xludf.DUMMYFUNCTION("""COMPUTED_VALUE"""),"K0L 1Y0")</f>
        <v>K0L 1Y0</v>
      </c>
      <c r="E9553" s="3" t="str">
        <f>IFERROR(__xludf.DUMMYFUNCTION("""COMPUTED_VALUE"""),"Noll Thiessen")</f>
        <v>Noll Thiessen</v>
      </c>
      <c r="F9553" s="3" t="str">
        <f>IFERROR(__xludf.DUMMYFUNCTION("""COMPUTED_VALUE"""),"noll.tson@gmail.com")</f>
        <v>noll.tson@gmail.com</v>
      </c>
      <c r="G9553" s="3">
        <f>IFERROR(__xludf.DUMMYFUNCTION("""COMPUTED_VALUE"""),9.052698658E9)</f>
        <v>9052698658</v>
      </c>
      <c r="H9553" s="3">
        <f>IFERROR(__xludf.DUMMYFUNCTION("""COMPUTED_VALUE"""),2.896759804E9)</f>
        <v>2896759804</v>
      </c>
    </row>
    <row r="9554">
      <c r="A9554" s="2">
        <f>IFERROR(__xludf.DUMMYFUNCTION("""COMPUTED_VALUE"""),50328.0)</f>
        <v>50328</v>
      </c>
      <c r="B9554" s="3" t="str">
        <f>IFERROR(__xludf.DUMMYFUNCTION("""COMPUTED_VALUE"""),"325 BAXTER RD")</f>
        <v>325 BAXTER RD</v>
      </c>
      <c r="C9554" s="3" t="str">
        <f>IFERROR(__xludf.DUMMYFUNCTION("""COMPUTED_VALUE"""),"HASTINGS ")</f>
        <v>HASTINGS </v>
      </c>
      <c r="D9554" s="3" t="str">
        <f>IFERROR(__xludf.DUMMYFUNCTION("""COMPUTED_VALUE"""),"K0L 1Y0")</f>
        <v>K0L 1Y0</v>
      </c>
      <c r="E9554" s="3"/>
      <c r="F9554" s="3"/>
      <c r="G9554" s="3"/>
      <c r="H9554" s="3"/>
    </row>
    <row r="9555">
      <c r="A9555" s="2">
        <f>IFERROR(__xludf.DUMMYFUNCTION("""COMPUTED_VALUE"""),50329.0)</f>
        <v>50329</v>
      </c>
      <c r="B9555" s="3" t="str">
        <f>IFERROR(__xludf.DUMMYFUNCTION("""COMPUTED_VALUE"""),"470 BAXTER RD")</f>
        <v>470 BAXTER RD</v>
      </c>
      <c r="C9555" s="3" t="str">
        <f>IFERROR(__xludf.DUMMYFUNCTION("""COMPUTED_VALUE"""),"HASTINGS ")</f>
        <v>HASTINGS </v>
      </c>
      <c r="D9555" s="3" t="str">
        <f>IFERROR(__xludf.DUMMYFUNCTION("""COMPUTED_VALUE"""),"K0L 1Y0")</f>
        <v>K0L 1Y0</v>
      </c>
      <c r="E9555" s="3"/>
      <c r="F9555" s="3"/>
      <c r="G9555" s="3"/>
      <c r="H9555" s="3"/>
    </row>
    <row r="9556">
      <c r="A9556" s="2">
        <f>IFERROR(__xludf.DUMMYFUNCTION("""COMPUTED_VALUE"""),50330.0)</f>
        <v>50330</v>
      </c>
      <c r="B9556" s="3" t="str">
        <f>IFERROR(__xludf.DUMMYFUNCTION("""COMPUTED_VALUE"""),"604 BAXTER RD")</f>
        <v>604 BAXTER RD</v>
      </c>
      <c r="C9556" s="3" t="str">
        <f>IFERROR(__xludf.DUMMYFUNCTION("""COMPUTED_VALUE"""),"HASTINGS ")</f>
        <v>HASTINGS </v>
      </c>
      <c r="D9556" s="3" t="str">
        <f>IFERROR(__xludf.DUMMYFUNCTION("""COMPUTED_VALUE"""),"K0L 1Y0")</f>
        <v>K0L 1Y0</v>
      </c>
      <c r="E9556" s="3"/>
      <c r="F9556" s="3"/>
      <c r="G9556" s="3"/>
      <c r="H9556" s="3"/>
    </row>
    <row r="9557">
      <c r="A9557" s="2">
        <f>IFERROR(__xludf.DUMMYFUNCTION("""COMPUTED_VALUE"""),50331.0)</f>
        <v>50331</v>
      </c>
      <c r="B9557" s="3" t="str">
        <f>IFERROR(__xludf.DUMMYFUNCTION("""COMPUTED_VALUE"""),"620 BAXTER RD")</f>
        <v>620 BAXTER RD</v>
      </c>
      <c r="C9557" s="3" t="str">
        <f>IFERROR(__xludf.DUMMYFUNCTION("""COMPUTED_VALUE"""),"HASTINGS ")</f>
        <v>HASTINGS </v>
      </c>
      <c r="D9557" s="3" t="str">
        <f>IFERROR(__xludf.DUMMYFUNCTION("""COMPUTED_VALUE"""),"K0L 1Y0")</f>
        <v>K0L 1Y0</v>
      </c>
      <c r="E9557" s="3" t="str">
        <f>IFERROR(__xludf.DUMMYFUNCTION("""COMPUTED_VALUE"""),"Sherry Gibson")</f>
        <v>Sherry Gibson</v>
      </c>
      <c r="F9557" s="3" t="str">
        <f>IFERROR(__xludf.DUMMYFUNCTION("""COMPUTED_VALUE"""),"msgibson1989@gmail.com")</f>
        <v>msgibson1989@gmail.com</v>
      </c>
      <c r="G9557" s="3"/>
      <c r="H9557" s="3"/>
    </row>
    <row r="9558">
      <c r="A9558" s="2">
        <f>IFERROR(__xludf.DUMMYFUNCTION("""COMPUTED_VALUE"""),50332.0)</f>
        <v>50332</v>
      </c>
      <c r="B9558" s="3" t="str">
        <f>IFERROR(__xludf.DUMMYFUNCTION("""COMPUTED_VALUE"""),"694 BAXTER RD")</f>
        <v>694 BAXTER RD</v>
      </c>
      <c r="C9558" s="3" t="str">
        <f>IFERROR(__xludf.DUMMYFUNCTION("""COMPUTED_VALUE"""),"HASTINGS ")</f>
        <v>HASTINGS </v>
      </c>
      <c r="D9558" s="3" t="str">
        <f>IFERROR(__xludf.DUMMYFUNCTION("""COMPUTED_VALUE"""),"K0L 1Y0")</f>
        <v>K0L 1Y0</v>
      </c>
      <c r="E9558" s="3" t="str">
        <f>IFERROR(__xludf.DUMMYFUNCTION("""COMPUTED_VALUE"""),"TIM DELLER")</f>
        <v>TIM DELLER</v>
      </c>
      <c r="F9558" s="3" t="str">
        <f>IFERROR(__xludf.DUMMYFUNCTION("""COMPUTED_VALUE"""),"tim.deller@hotmail.ca")</f>
        <v>tim.deller@hotmail.ca</v>
      </c>
      <c r="G9558" s="3">
        <f>IFERROR(__xludf.DUMMYFUNCTION("""COMPUTED_VALUE"""),3.657245518E9)</f>
        <v>3657245518</v>
      </c>
      <c r="H9558" s="3"/>
    </row>
    <row r="9559">
      <c r="A9559" s="2">
        <f>IFERROR(__xludf.DUMMYFUNCTION("""COMPUTED_VALUE"""),50333.0)</f>
        <v>50333</v>
      </c>
      <c r="B9559" s="3" t="str">
        <f>IFERROR(__xludf.DUMMYFUNCTION("""COMPUTED_VALUE"""),"714 BAXTER RD")</f>
        <v>714 BAXTER RD</v>
      </c>
      <c r="C9559" s="3" t="str">
        <f>IFERROR(__xludf.DUMMYFUNCTION("""COMPUTED_VALUE"""),"HASTINGS ")</f>
        <v>HASTINGS </v>
      </c>
      <c r="D9559" s="3" t="str">
        <f>IFERROR(__xludf.DUMMYFUNCTION("""COMPUTED_VALUE"""),"K0L 1Y0")</f>
        <v>K0L 1Y0</v>
      </c>
      <c r="E9559" s="3" t="str">
        <f>IFERROR(__xludf.DUMMYFUNCTION("""COMPUTED_VALUE"""),"Lorne Burden")</f>
        <v>Lorne Burden</v>
      </c>
      <c r="F9559" s="3" t="str">
        <f>IFERROR(__xludf.DUMMYFUNCTION("""COMPUTED_VALUE"""),"ldburden.pgeo@gmail.com")</f>
        <v>ldburden.pgeo@gmail.com</v>
      </c>
      <c r="G9559" s="3"/>
      <c r="H9559" s="3"/>
    </row>
    <row r="9560">
      <c r="A9560" s="2">
        <f>IFERROR(__xludf.DUMMYFUNCTION("""COMPUTED_VALUE"""),50334.0)</f>
        <v>50334</v>
      </c>
      <c r="B9560" s="3" t="str">
        <f>IFERROR(__xludf.DUMMYFUNCTION("""COMPUTED_VALUE"""),"727 BAXTER RD")</f>
        <v>727 BAXTER RD</v>
      </c>
      <c r="C9560" s="3" t="str">
        <f>IFERROR(__xludf.DUMMYFUNCTION("""COMPUTED_VALUE"""),"HASTINGS ")</f>
        <v>HASTINGS </v>
      </c>
      <c r="D9560" s="3" t="str">
        <f>IFERROR(__xludf.DUMMYFUNCTION("""COMPUTED_VALUE"""),"K0L 1Y0")</f>
        <v>K0L 1Y0</v>
      </c>
      <c r="E9560" s="3"/>
      <c r="F9560" s="3"/>
      <c r="G9560" s="3"/>
      <c r="H9560" s="3"/>
    </row>
    <row r="9561">
      <c r="A9561" s="2">
        <f>IFERROR(__xludf.DUMMYFUNCTION("""COMPUTED_VALUE"""),50335.0)</f>
        <v>50335</v>
      </c>
      <c r="B9561" s="3" t="str">
        <f>IFERROR(__xludf.DUMMYFUNCTION("""COMPUTED_VALUE"""),"800 BAXTER RD")</f>
        <v>800 BAXTER RD</v>
      </c>
      <c r="C9561" s="3" t="str">
        <f>IFERROR(__xludf.DUMMYFUNCTION("""COMPUTED_VALUE"""),"HASTINGS ")</f>
        <v>HASTINGS </v>
      </c>
      <c r="D9561" s="3" t="str">
        <f>IFERROR(__xludf.DUMMYFUNCTION("""COMPUTED_VALUE"""),"K0L 1Y0")</f>
        <v>K0L 1Y0</v>
      </c>
      <c r="E9561" s="3"/>
      <c r="F9561" s="3"/>
      <c r="G9561" s="3"/>
      <c r="H9561" s="3"/>
    </row>
    <row r="9562">
      <c r="A9562" s="2">
        <f>IFERROR(__xludf.DUMMYFUNCTION("""COMPUTED_VALUE"""),50336.0)</f>
        <v>50336</v>
      </c>
      <c r="B9562" s="3" t="str">
        <f>IFERROR(__xludf.DUMMYFUNCTION("""COMPUTED_VALUE"""),"926 BAXTER RD")</f>
        <v>926 BAXTER RD</v>
      </c>
      <c r="C9562" s="3" t="str">
        <f>IFERROR(__xludf.DUMMYFUNCTION("""COMPUTED_VALUE"""),"HASTINGS ")</f>
        <v>HASTINGS </v>
      </c>
      <c r="D9562" s="3" t="str">
        <f>IFERROR(__xludf.DUMMYFUNCTION("""COMPUTED_VALUE"""),"K0L 1Y0")</f>
        <v>K0L 1Y0</v>
      </c>
      <c r="E9562" s="3" t="str">
        <f>IFERROR(__xludf.DUMMYFUNCTION("""COMPUTED_VALUE"""),"Francine ROGERS &amp; Bruce ROGERS")</f>
        <v>Francine ROGERS &amp; Bruce ROGERS</v>
      </c>
      <c r="F9562" s="3" t="str">
        <f>IFERROR(__xludf.DUMMYFUNCTION("""COMPUTED_VALUE"""),"francine_m_rogers@hotmail.com")</f>
        <v>francine_m_rogers@hotmail.com</v>
      </c>
      <c r="G9562" s="3"/>
      <c r="H9562" s="3"/>
    </row>
    <row r="9563">
      <c r="A9563" s="2">
        <f>IFERROR(__xludf.DUMMYFUNCTION("""COMPUTED_VALUE"""),50337.0)</f>
        <v>50337</v>
      </c>
      <c r="B9563" s="3" t="str">
        <f>IFERROR(__xludf.DUMMYFUNCTION("""COMPUTED_VALUE"""),"931 BAXTER RD")</f>
        <v>931 BAXTER RD</v>
      </c>
      <c r="C9563" s="3" t="str">
        <f>IFERROR(__xludf.DUMMYFUNCTION("""COMPUTED_VALUE"""),"HASTINGS ")</f>
        <v>HASTINGS </v>
      </c>
      <c r="D9563" s="3" t="str">
        <f>IFERROR(__xludf.DUMMYFUNCTION("""COMPUTED_VALUE"""),"KOL 1Y0")</f>
        <v>KOL 1Y0</v>
      </c>
      <c r="E9563" s="3"/>
      <c r="F9563" s="3"/>
      <c r="G9563" s="3"/>
      <c r="H9563" s="3"/>
    </row>
    <row r="9564">
      <c r="A9564" s="2">
        <f>IFERROR(__xludf.DUMMYFUNCTION("""COMPUTED_VALUE"""),50338.0)</f>
        <v>50338</v>
      </c>
      <c r="B9564" s="3" t="str">
        <f>IFERROR(__xludf.DUMMYFUNCTION("""COMPUTED_VALUE"""),"960 BAXTER RD")</f>
        <v>960 BAXTER RD</v>
      </c>
      <c r="C9564" s="3" t="str">
        <f>IFERROR(__xludf.DUMMYFUNCTION("""COMPUTED_VALUE"""),"HASTINGS ")</f>
        <v>HASTINGS </v>
      </c>
      <c r="D9564" s="3" t="str">
        <f>IFERROR(__xludf.DUMMYFUNCTION("""COMPUTED_VALUE"""),"K0L 1Y0")</f>
        <v>K0L 1Y0</v>
      </c>
      <c r="E9564" s="3" t="str">
        <f>IFERROR(__xludf.DUMMYFUNCTION("""COMPUTED_VALUE"""),"Steven Heusser, Lucy Luciano")</f>
        <v>Steven Heusser, Lucy Luciano</v>
      </c>
      <c r="F9564" s="3" t="str">
        <f>IFERROR(__xludf.DUMMYFUNCTION("""COMPUTED_VALUE"""),"lucylh4@gmail.com")</f>
        <v>lucylh4@gmail.com</v>
      </c>
      <c r="G9564" s="3"/>
      <c r="H9564" s="3"/>
    </row>
    <row r="9565">
      <c r="A9565" s="2">
        <f>IFERROR(__xludf.DUMMYFUNCTION("""COMPUTED_VALUE"""),50339.0)</f>
        <v>50339</v>
      </c>
      <c r="B9565" s="3" t="str">
        <f>IFERROR(__xludf.DUMMYFUNCTION("""COMPUTED_VALUE"""),"968 BAXTER RD")</f>
        <v>968 BAXTER RD</v>
      </c>
      <c r="C9565" s="3" t="str">
        <f>IFERROR(__xludf.DUMMYFUNCTION("""COMPUTED_VALUE"""),"HASTINGS ")</f>
        <v>HASTINGS </v>
      </c>
      <c r="D9565" s="3" t="str">
        <f>IFERROR(__xludf.DUMMYFUNCTION("""COMPUTED_VALUE"""),"K0L 1Y0")</f>
        <v>K0L 1Y0</v>
      </c>
      <c r="E9565" s="3"/>
      <c r="F9565" s="3"/>
      <c r="G9565" s="3"/>
      <c r="H9565" s="3"/>
    </row>
    <row r="9566">
      <c r="A9566" s="2">
        <f>IFERROR(__xludf.DUMMYFUNCTION("""COMPUTED_VALUE"""),50340.0)</f>
        <v>50340</v>
      </c>
      <c r="B9566" s="3" t="str">
        <f>IFERROR(__xludf.DUMMYFUNCTION("""COMPUTED_VALUE"""),"986 BAXTER RD")</f>
        <v>986 BAXTER RD</v>
      </c>
      <c r="C9566" s="3" t="str">
        <f>IFERROR(__xludf.DUMMYFUNCTION("""COMPUTED_VALUE"""),"HASTINGS ")</f>
        <v>HASTINGS </v>
      </c>
      <c r="D9566" s="3" t="str">
        <f>IFERROR(__xludf.DUMMYFUNCTION("""COMPUTED_VALUE"""),"K0L 1Y0")</f>
        <v>K0L 1Y0</v>
      </c>
      <c r="E9566" s="3"/>
      <c r="F9566" s="3"/>
      <c r="G9566" s="3"/>
      <c r="H9566" s="3"/>
    </row>
    <row r="9567">
      <c r="A9567" s="2">
        <f>IFERROR(__xludf.DUMMYFUNCTION("""COMPUTED_VALUE"""),50341.0)</f>
        <v>50341</v>
      </c>
      <c r="B9567" s="3" t="str">
        <f>IFERROR(__xludf.DUMMYFUNCTION("""COMPUTED_VALUE"""),"991 BAXTER RD")</f>
        <v>991 BAXTER RD</v>
      </c>
      <c r="C9567" s="3" t="str">
        <f>IFERROR(__xludf.DUMMYFUNCTION("""COMPUTED_VALUE"""),"HASTINGS ")</f>
        <v>HASTINGS </v>
      </c>
      <c r="D9567" s="3" t="str">
        <f>IFERROR(__xludf.DUMMYFUNCTION("""COMPUTED_VALUE"""),"K0L 1Y0")</f>
        <v>K0L 1Y0</v>
      </c>
      <c r="E9567" s="3" t="str">
        <f>IFERROR(__xludf.DUMMYFUNCTION("""COMPUTED_VALUE"""),"BRIAN ROGERS")</f>
        <v>BRIAN ROGERS</v>
      </c>
      <c r="F9567" s="3" t="str">
        <f>IFERROR(__xludf.DUMMYFUNCTION("""COMPUTED_VALUE"""),"brianrogers981@yahoo.ca")</f>
        <v>brianrogers981@yahoo.ca</v>
      </c>
      <c r="G9567" s="3"/>
      <c r="H9567" s="3"/>
    </row>
    <row r="9568">
      <c r="A9568" s="2">
        <f>IFERROR(__xludf.DUMMYFUNCTION("""COMPUTED_VALUE"""),50343.0)</f>
        <v>50343</v>
      </c>
      <c r="B9568" s="3" t="str">
        <f>IFERROR(__xludf.DUMMYFUNCTION("""COMPUTED_VALUE"""),"12 BESS DR")</f>
        <v>12 BESS DR</v>
      </c>
      <c r="C9568" s="3" t="str">
        <f>IFERROR(__xludf.DUMMYFUNCTION("""COMPUTED_VALUE"""),"ROSENEATH ")</f>
        <v>ROSENEATH </v>
      </c>
      <c r="D9568" s="3" t="str">
        <f>IFERROR(__xludf.DUMMYFUNCTION("""COMPUTED_VALUE"""),"K0K 2X0")</f>
        <v>K0K 2X0</v>
      </c>
      <c r="E9568" s="3"/>
      <c r="F9568" s="3"/>
      <c r="G9568" s="3"/>
      <c r="H9568" s="3"/>
    </row>
    <row r="9569">
      <c r="A9569" s="2">
        <f>IFERROR(__xludf.DUMMYFUNCTION("""COMPUTED_VALUE"""),50344.0)</f>
        <v>50344</v>
      </c>
      <c r="B9569" s="3" t="str">
        <f>IFERROR(__xludf.DUMMYFUNCTION("""COMPUTED_VALUE"""),"15 BESS DR")</f>
        <v>15 BESS DR</v>
      </c>
      <c r="C9569" s="3" t="str">
        <f>IFERROR(__xludf.DUMMYFUNCTION("""COMPUTED_VALUE"""),"ROSENEATH ")</f>
        <v>ROSENEATH </v>
      </c>
      <c r="D9569" s="3" t="str">
        <f>IFERROR(__xludf.DUMMYFUNCTION("""COMPUTED_VALUE"""),"K0K 2X0")</f>
        <v>K0K 2X0</v>
      </c>
      <c r="E9569" s="3"/>
      <c r="F9569" s="3"/>
      <c r="G9569" s="3"/>
      <c r="H9569" s="3"/>
    </row>
    <row r="9570">
      <c r="A9570" s="2">
        <f>IFERROR(__xludf.DUMMYFUNCTION("""COMPUTED_VALUE"""),50345.0)</f>
        <v>50345</v>
      </c>
      <c r="B9570" s="3" t="str">
        <f>IFERROR(__xludf.DUMMYFUNCTION("""COMPUTED_VALUE"""),"40 BESS DR")</f>
        <v>40 BESS DR</v>
      </c>
      <c r="C9570" s="3" t="str">
        <f>IFERROR(__xludf.DUMMYFUNCTION("""COMPUTED_VALUE"""),"ROSENEATH ")</f>
        <v>ROSENEATH </v>
      </c>
      <c r="D9570" s="3" t="str">
        <f>IFERROR(__xludf.DUMMYFUNCTION("""COMPUTED_VALUE"""),"K0K 2X0")</f>
        <v>K0K 2X0</v>
      </c>
      <c r="E9570" s="3" t="str">
        <f>IFERROR(__xludf.DUMMYFUNCTION("""COMPUTED_VALUE"""),"Scott Brown")</f>
        <v>Scott Brown</v>
      </c>
      <c r="F9570" s="3" t="str">
        <f>IFERROR(__xludf.DUMMYFUNCTION("""COMPUTED_VALUE"""),"scotttbrown10@gmail.com")</f>
        <v>scotttbrown10@gmail.com</v>
      </c>
      <c r="G9570" s="3"/>
      <c r="H9570" s="3"/>
    </row>
    <row r="9571">
      <c r="A9571" s="2">
        <f>IFERROR(__xludf.DUMMYFUNCTION("""COMPUTED_VALUE"""),50346.0)</f>
        <v>50346</v>
      </c>
      <c r="B9571" s="3" t="str">
        <f>IFERROR(__xludf.DUMMYFUNCTION("""COMPUTED_VALUE"""),"17 BIRCHWOOD CRT")</f>
        <v>17 BIRCHWOOD CRT</v>
      </c>
      <c r="C9571" s="3" t="str">
        <f>IFERROR(__xludf.DUMMYFUNCTION("""COMPUTED_VALUE"""),"HASTINGS ")</f>
        <v>HASTINGS </v>
      </c>
      <c r="D9571" s="3" t="str">
        <f>IFERROR(__xludf.DUMMYFUNCTION("""COMPUTED_VALUE"""),"K0L 1Y0")</f>
        <v>K0L 1Y0</v>
      </c>
      <c r="E9571" s="3"/>
      <c r="F9571" s="3"/>
      <c r="G9571" s="3"/>
      <c r="H9571" s="3"/>
    </row>
    <row r="9572">
      <c r="A9572" s="2">
        <f>IFERROR(__xludf.DUMMYFUNCTION("""COMPUTED_VALUE"""),50347.0)</f>
        <v>50347</v>
      </c>
      <c r="B9572" s="3" t="str">
        <f>IFERROR(__xludf.DUMMYFUNCTION("""COMPUTED_VALUE"""),"21 BIRCHWOOD CRT")</f>
        <v>21 BIRCHWOOD CRT</v>
      </c>
      <c r="C9572" s="3" t="str">
        <f>IFERROR(__xludf.DUMMYFUNCTION("""COMPUTED_VALUE"""),"HASTINGS ")</f>
        <v>HASTINGS </v>
      </c>
      <c r="D9572" s="3" t="str">
        <f>IFERROR(__xludf.DUMMYFUNCTION("""COMPUTED_VALUE"""),"K0L 1Y0")</f>
        <v>K0L 1Y0</v>
      </c>
      <c r="E9572" s="3" t="str">
        <f>IFERROR(__xludf.DUMMYFUNCTION("""COMPUTED_VALUE"""),"Richard Loveless")</f>
        <v>Richard Loveless</v>
      </c>
      <c r="F9572" s="3" t="str">
        <f>IFERROR(__xludf.DUMMYFUNCTION("""COMPUTED_VALUE"""),"lovelessric@gmail.com")</f>
        <v>lovelessric@gmail.com</v>
      </c>
      <c r="G9572" s="3">
        <f>IFERROR(__xludf.DUMMYFUNCTION("""COMPUTED_VALUE"""),7.059312121E9)</f>
        <v>7059312121</v>
      </c>
      <c r="H9572" s="3"/>
    </row>
    <row r="9573">
      <c r="A9573" s="2">
        <f>IFERROR(__xludf.DUMMYFUNCTION("""COMPUTED_VALUE"""),50348.0)</f>
        <v>50348</v>
      </c>
      <c r="B9573" s="3" t="str">
        <f>IFERROR(__xludf.DUMMYFUNCTION("""COMPUTED_VALUE"""),"27 BIRCHWOOD CRT")</f>
        <v>27 BIRCHWOOD CRT</v>
      </c>
      <c r="C9573" s="3" t="str">
        <f>IFERROR(__xludf.DUMMYFUNCTION("""COMPUTED_VALUE"""),"HASTINGS ")</f>
        <v>HASTINGS </v>
      </c>
      <c r="D9573" s="3" t="str">
        <f>IFERROR(__xludf.DUMMYFUNCTION("""COMPUTED_VALUE"""),"K0L 1Y0")</f>
        <v>K0L 1Y0</v>
      </c>
      <c r="E9573" s="3" t="str">
        <f>IFERROR(__xludf.DUMMYFUNCTION("""COMPUTED_VALUE"""),"RENE GENDRON")</f>
        <v>RENE GENDRON</v>
      </c>
      <c r="F9573" s="3" t="str">
        <f>IFERROR(__xludf.DUMMYFUNCTION("""COMPUTED_VALUE"""),"rene.gendron1@rci.rogers.com")</f>
        <v>rene.gendron1@rci.rogers.com</v>
      </c>
      <c r="G9573" s="3"/>
      <c r="H9573" s="3"/>
    </row>
    <row r="9574">
      <c r="A9574" s="2">
        <f>IFERROR(__xludf.DUMMYFUNCTION("""COMPUTED_VALUE"""),50349.0)</f>
        <v>50349</v>
      </c>
      <c r="B9574" s="3" t="str">
        <f>IFERROR(__xludf.DUMMYFUNCTION("""COMPUTED_VALUE"""),"28 BIRCHWOOD CRT")</f>
        <v>28 BIRCHWOOD CRT</v>
      </c>
      <c r="C9574" s="3" t="str">
        <f>IFERROR(__xludf.DUMMYFUNCTION("""COMPUTED_VALUE"""),"HASTINGS ")</f>
        <v>HASTINGS </v>
      </c>
      <c r="D9574" s="3" t="str">
        <f>IFERROR(__xludf.DUMMYFUNCTION("""COMPUTED_VALUE"""),"K0L 1Y0")</f>
        <v>K0L 1Y0</v>
      </c>
      <c r="E9574" s="3"/>
      <c r="F9574" s="3"/>
      <c r="G9574" s="3"/>
      <c r="H9574" s="3"/>
    </row>
    <row r="9575">
      <c r="A9575" s="2">
        <f>IFERROR(__xludf.DUMMYFUNCTION("""COMPUTED_VALUE"""),50350.0)</f>
        <v>50350</v>
      </c>
      <c r="B9575" s="3" t="str">
        <f>IFERROR(__xludf.DUMMYFUNCTION("""COMPUTED_VALUE"""),"31 BIRCHWOOD CRT")</f>
        <v>31 BIRCHWOOD CRT</v>
      </c>
      <c r="C9575" s="3" t="str">
        <f>IFERROR(__xludf.DUMMYFUNCTION("""COMPUTED_VALUE"""),"HASTINGS ")</f>
        <v>HASTINGS </v>
      </c>
      <c r="D9575" s="3" t="str">
        <f>IFERROR(__xludf.DUMMYFUNCTION("""COMPUTED_VALUE"""),"K0L 1Y0")</f>
        <v>K0L 1Y0</v>
      </c>
      <c r="E9575" s="3"/>
      <c r="F9575" s="3"/>
      <c r="G9575" s="3"/>
      <c r="H9575" s="3"/>
    </row>
    <row r="9576">
      <c r="A9576" s="2">
        <f>IFERROR(__xludf.DUMMYFUNCTION("""COMPUTED_VALUE"""),50351.0)</f>
        <v>50351</v>
      </c>
      <c r="B9576" s="3" t="str">
        <f>IFERROR(__xludf.DUMMYFUNCTION("""COMPUTED_VALUE"""),"32 BIRCHWOOD CRT")</f>
        <v>32 BIRCHWOOD CRT</v>
      </c>
      <c r="C9576" s="3" t="str">
        <f>IFERROR(__xludf.DUMMYFUNCTION("""COMPUTED_VALUE"""),"HASTINGS ")</f>
        <v>HASTINGS </v>
      </c>
      <c r="D9576" s="3" t="str">
        <f>IFERROR(__xludf.DUMMYFUNCTION("""COMPUTED_VALUE"""),"K0L 1Y0")</f>
        <v>K0L 1Y0</v>
      </c>
      <c r="E9576" s="3"/>
      <c r="F9576" s="3"/>
      <c r="G9576" s="3"/>
      <c r="H9576" s="3"/>
    </row>
    <row r="9577">
      <c r="A9577" s="2">
        <f>IFERROR(__xludf.DUMMYFUNCTION("""COMPUTED_VALUE"""),50352.0)</f>
        <v>50352</v>
      </c>
      <c r="B9577" s="3" t="str">
        <f>IFERROR(__xludf.DUMMYFUNCTION("""COMPUTED_VALUE"""),"35 BIRCHWOOD CRT")</f>
        <v>35 BIRCHWOOD CRT</v>
      </c>
      <c r="C9577" s="3" t="str">
        <f>IFERROR(__xludf.DUMMYFUNCTION("""COMPUTED_VALUE"""),"HASTINGS ")</f>
        <v>HASTINGS </v>
      </c>
      <c r="D9577" s="3" t="str">
        <f>IFERROR(__xludf.DUMMYFUNCTION("""COMPUTED_VALUE"""),"K0L 1Y0")</f>
        <v>K0L 1Y0</v>
      </c>
      <c r="E9577" s="3" t="str">
        <f>IFERROR(__xludf.DUMMYFUNCTION("""COMPUTED_VALUE"""),"Doug Weales")</f>
        <v>Doug Weales</v>
      </c>
      <c r="F9577" s="3" t="str">
        <f>IFERROR(__xludf.DUMMYFUNCTION("""COMPUTED_VALUE"""),"dougweales@hotmail.com")</f>
        <v>dougweales@hotmail.com</v>
      </c>
      <c r="G9577" s="3">
        <f>IFERROR(__xludf.DUMMYFUNCTION("""COMPUTED_VALUE"""),9.059265908E9)</f>
        <v>9059265908</v>
      </c>
      <c r="H9577" s="3"/>
    </row>
    <row r="9578">
      <c r="A9578" s="2">
        <f>IFERROR(__xludf.DUMMYFUNCTION("""COMPUTED_VALUE"""),50353.0)</f>
        <v>50353</v>
      </c>
      <c r="B9578" s="3" t="str">
        <f>IFERROR(__xludf.DUMMYFUNCTION("""COMPUTED_VALUE"""),"56 BIRCHWOOD CRT")</f>
        <v>56 BIRCHWOOD CRT</v>
      </c>
      <c r="C9578" s="3" t="str">
        <f>IFERROR(__xludf.DUMMYFUNCTION("""COMPUTED_VALUE"""),"HASTINGS ")</f>
        <v>HASTINGS </v>
      </c>
      <c r="D9578" s="3" t="str">
        <f>IFERROR(__xludf.DUMMYFUNCTION("""COMPUTED_VALUE"""),"K0L 1Y0")</f>
        <v>K0L 1Y0</v>
      </c>
      <c r="E9578" s="3"/>
      <c r="F9578" s="3"/>
      <c r="G9578" s="3"/>
      <c r="H9578" s="3"/>
    </row>
    <row r="9579">
      <c r="A9579" s="2">
        <f>IFERROR(__xludf.DUMMYFUNCTION("""COMPUTED_VALUE"""),50354.0)</f>
        <v>50354</v>
      </c>
      <c r="B9579" s="3" t="str">
        <f>IFERROR(__xludf.DUMMYFUNCTION("""COMPUTED_VALUE"""),"60 BIRCHWOOD CRT")</f>
        <v>60 BIRCHWOOD CRT</v>
      </c>
      <c r="C9579" s="3" t="str">
        <f>IFERROR(__xludf.DUMMYFUNCTION("""COMPUTED_VALUE"""),"HASTINGS ")</f>
        <v>HASTINGS </v>
      </c>
      <c r="D9579" s="3" t="str">
        <f>IFERROR(__xludf.DUMMYFUNCTION("""COMPUTED_VALUE"""),"K0L 1Y0")</f>
        <v>K0L 1Y0</v>
      </c>
      <c r="E9579" s="3"/>
      <c r="F9579" s="3"/>
      <c r="G9579" s="3"/>
      <c r="H9579" s="3"/>
    </row>
    <row r="9580">
      <c r="A9580" s="2">
        <f>IFERROR(__xludf.DUMMYFUNCTION("""COMPUTED_VALUE"""),50355.0)</f>
        <v>50355</v>
      </c>
      <c r="B9580" s="3" t="str">
        <f>IFERROR(__xludf.DUMMYFUNCTION("""COMPUTED_VALUE"""),"70 BIRCHWOOD CRT")</f>
        <v>70 BIRCHWOOD CRT</v>
      </c>
      <c r="C9580" s="3" t="str">
        <f>IFERROR(__xludf.DUMMYFUNCTION("""COMPUTED_VALUE"""),"HASTINGS ")</f>
        <v>HASTINGS </v>
      </c>
      <c r="D9580" s="3" t="str">
        <f>IFERROR(__xludf.DUMMYFUNCTION("""COMPUTED_VALUE"""),"K0L 1Y0")</f>
        <v>K0L 1Y0</v>
      </c>
      <c r="E9580" s="3"/>
      <c r="F9580" s="3"/>
      <c r="G9580" s="3"/>
      <c r="H9580" s="3"/>
    </row>
    <row r="9581">
      <c r="A9581" s="2">
        <f>IFERROR(__xludf.DUMMYFUNCTION("""COMPUTED_VALUE"""),50356.0)</f>
        <v>50356</v>
      </c>
      <c r="B9581" s="3" t="str">
        <f>IFERROR(__xludf.DUMMYFUNCTION("""COMPUTED_VALUE"""),"75 BIRCHWOOD CRT")</f>
        <v>75 BIRCHWOOD CRT</v>
      </c>
      <c r="C9581" s="3" t="str">
        <f>IFERROR(__xludf.DUMMYFUNCTION("""COMPUTED_VALUE"""),"HASTINGS ")</f>
        <v>HASTINGS </v>
      </c>
      <c r="D9581" s="3" t="str">
        <f>IFERROR(__xludf.DUMMYFUNCTION("""COMPUTED_VALUE"""),"K0L 1Y0")</f>
        <v>K0L 1Y0</v>
      </c>
      <c r="E9581" s="3"/>
      <c r="F9581" s="3"/>
      <c r="G9581" s="3"/>
      <c r="H9581" s="3"/>
    </row>
    <row r="9582">
      <c r="A9582" s="2">
        <f>IFERROR(__xludf.DUMMYFUNCTION("""COMPUTED_VALUE"""),50357.0)</f>
        <v>50357</v>
      </c>
      <c r="B9582" s="3" t="str">
        <f>IFERROR(__xludf.DUMMYFUNCTION("""COMPUTED_VALUE"""),"80 BIRCHWOOD CRT")</f>
        <v>80 BIRCHWOOD CRT</v>
      </c>
      <c r="C9582" s="3" t="str">
        <f>IFERROR(__xludf.DUMMYFUNCTION("""COMPUTED_VALUE"""),"HASTINGS ")</f>
        <v>HASTINGS </v>
      </c>
      <c r="D9582" s="3" t="str">
        <f>IFERROR(__xludf.DUMMYFUNCTION("""COMPUTED_VALUE"""),"K0L 1Y0")</f>
        <v>K0L 1Y0</v>
      </c>
      <c r="E9582" s="3" t="str">
        <f>IFERROR(__xludf.DUMMYFUNCTION("""COMPUTED_VALUE"""),"Craig Allen")</f>
        <v>Craig Allen</v>
      </c>
      <c r="F9582" s="3" t="str">
        <f>IFERROR(__xludf.DUMMYFUNCTION("""COMPUTED_VALUE"""),"allencraig1973@gmail.com")</f>
        <v>allencraig1973@gmail.com</v>
      </c>
      <c r="G9582" s="3">
        <f>IFERROR(__xludf.DUMMYFUNCTION("""COMPUTED_VALUE"""),9.054318777E9)</f>
        <v>9054318777</v>
      </c>
      <c r="H9582" s="3"/>
    </row>
    <row r="9583">
      <c r="A9583" s="2">
        <f>IFERROR(__xludf.DUMMYFUNCTION("""COMPUTED_VALUE"""),50358.0)</f>
        <v>50358</v>
      </c>
      <c r="B9583" s="3" t="str">
        <f>IFERROR(__xludf.DUMMYFUNCTION("""COMPUTED_VALUE"""),"88 BIRCHWOOD CRT")</f>
        <v>88 BIRCHWOOD CRT</v>
      </c>
      <c r="C9583" s="3" t="str">
        <f>IFERROR(__xludf.DUMMYFUNCTION("""COMPUTED_VALUE"""),"HASTINGS ")</f>
        <v>HASTINGS </v>
      </c>
      <c r="D9583" s="3" t="str">
        <f>IFERROR(__xludf.DUMMYFUNCTION("""COMPUTED_VALUE"""),"K0L 1Y0")</f>
        <v>K0L 1Y0</v>
      </c>
      <c r="E9583" s="3" t="str">
        <f>IFERROR(__xludf.DUMMYFUNCTION("""COMPUTED_VALUE"""),"Jacob Ziegler")</f>
        <v>Jacob Ziegler</v>
      </c>
      <c r="F9583" s="3" t="str">
        <f>IFERROR(__xludf.DUMMYFUNCTION("""COMPUTED_VALUE"""),"zieglerjac@gmail.com")</f>
        <v>zieglerjac@gmail.com</v>
      </c>
      <c r="G9583" s="3">
        <f>IFERROR(__xludf.DUMMYFUNCTION("""COMPUTED_VALUE"""),3.065272755E9)</f>
        <v>3065272755</v>
      </c>
      <c r="H9583" s="3">
        <f>IFERROR(__xludf.DUMMYFUNCTION("""COMPUTED_VALUE"""),3.06540827E9)</f>
        <v>3065408270</v>
      </c>
    </row>
    <row r="9584">
      <c r="A9584" s="2">
        <f>IFERROR(__xludf.DUMMYFUNCTION("""COMPUTED_VALUE"""),50361.0)</f>
        <v>50361</v>
      </c>
      <c r="B9584" s="3" t="str">
        <f>IFERROR(__xludf.DUMMYFUNCTION("""COMPUTED_VALUE"""),"1296 BOWMANTON RD")</f>
        <v>1296 BOWMANTON RD</v>
      </c>
      <c r="C9584" s="3" t="str">
        <f>IFERROR(__xludf.DUMMYFUNCTION("""COMPUTED_VALUE"""),"ROSENEATH ")</f>
        <v>ROSENEATH </v>
      </c>
      <c r="D9584" s="3" t="str">
        <f>IFERROR(__xludf.DUMMYFUNCTION("""COMPUTED_VALUE"""),"K0K 2X0")</f>
        <v>K0K 2X0</v>
      </c>
      <c r="E9584" s="3" t="str">
        <f>IFERROR(__xludf.DUMMYFUNCTION("""COMPUTED_VALUE"""),"Sheila Burns")</f>
        <v>Sheila Burns</v>
      </c>
      <c r="F9584" s="3" t="str">
        <f>IFERROR(__xludf.DUMMYFUNCTION("""COMPUTED_VALUE"""),"primrosedonkeysanctuary@gmail.com")</f>
        <v>primrosedonkeysanctuary@gmail.com</v>
      </c>
      <c r="G9584" s="3">
        <f>IFERROR(__xludf.DUMMYFUNCTION("""COMPUTED_VALUE"""),9.053754673E9)</f>
        <v>9053754673</v>
      </c>
      <c r="H9584" s="3"/>
    </row>
    <row r="9585">
      <c r="A9585" s="2">
        <f>IFERROR(__xludf.DUMMYFUNCTION("""COMPUTED_VALUE"""),50362.0)</f>
        <v>50362</v>
      </c>
      <c r="B9585" s="3" t="str">
        <f>IFERROR(__xludf.DUMMYFUNCTION("""COMPUTED_VALUE"""),"1372 BOWMANTON RD")</f>
        <v>1372 BOWMANTON RD</v>
      </c>
      <c r="C9585" s="3" t="str">
        <f>IFERROR(__xludf.DUMMYFUNCTION("""COMPUTED_VALUE"""),"ROSENEATH ")</f>
        <v>ROSENEATH </v>
      </c>
      <c r="D9585" s="3" t="str">
        <f>IFERROR(__xludf.DUMMYFUNCTION("""COMPUTED_VALUE"""),"K0K 2X0")</f>
        <v>K0K 2X0</v>
      </c>
      <c r="E9585" s="3" t="str">
        <f>IFERROR(__xludf.DUMMYFUNCTION("""COMPUTED_VALUE"""),"Levi Fler")</f>
        <v>Levi Fler</v>
      </c>
      <c r="F9585" s="3" t="str">
        <f>IFERROR(__xludf.DUMMYFUNCTION("""COMPUTED_VALUE"""),"levi.fler@gmail.com")</f>
        <v>levi.fler@gmail.com</v>
      </c>
      <c r="G9585" s="3">
        <f>IFERROR(__xludf.DUMMYFUNCTION("""COMPUTED_VALUE"""),5.195007655E9)</f>
        <v>5195007655</v>
      </c>
      <c r="H9585" s="3">
        <f>IFERROR(__xludf.DUMMYFUNCTION("""COMPUTED_VALUE"""),2.896751013E9)</f>
        <v>2896751013</v>
      </c>
    </row>
    <row r="9586">
      <c r="A9586" s="2">
        <f>IFERROR(__xludf.DUMMYFUNCTION("""COMPUTED_VALUE"""),50363.0)</f>
        <v>50363</v>
      </c>
      <c r="B9586" s="3" t="str">
        <f>IFERROR(__xludf.DUMMYFUNCTION("""COMPUTED_VALUE"""),"1377 BOWMANTON RD")</f>
        <v>1377 BOWMANTON RD</v>
      </c>
      <c r="C9586" s="3" t="str">
        <f>IFERROR(__xludf.DUMMYFUNCTION("""COMPUTED_VALUE"""),"ROSENEATH ")</f>
        <v>ROSENEATH </v>
      </c>
      <c r="D9586" s="3" t="str">
        <f>IFERROR(__xludf.DUMMYFUNCTION("""COMPUTED_VALUE"""),"K0K 2X0")</f>
        <v>K0K 2X0</v>
      </c>
      <c r="E9586" s="3"/>
      <c r="F9586" s="3"/>
      <c r="G9586" s="3"/>
      <c r="H9586" s="3"/>
    </row>
    <row r="9587">
      <c r="A9587" s="2">
        <f>IFERROR(__xludf.DUMMYFUNCTION("""COMPUTED_VALUE"""),50364.0)</f>
        <v>50364</v>
      </c>
      <c r="B9587" s="3" t="str">
        <f>IFERROR(__xludf.DUMMYFUNCTION("""COMPUTED_VALUE"""),"1454 BOWMANTON RD")</f>
        <v>1454 BOWMANTON RD</v>
      </c>
      <c r="C9587" s="3" t="str">
        <f>IFERROR(__xludf.DUMMYFUNCTION("""COMPUTED_VALUE"""),"ROSENEATH ")</f>
        <v>ROSENEATH </v>
      </c>
      <c r="D9587" s="3" t="str">
        <f>IFERROR(__xludf.DUMMYFUNCTION("""COMPUTED_VALUE"""),"K0K 2X0")</f>
        <v>K0K 2X0</v>
      </c>
      <c r="E9587" s="3" t="str">
        <f>IFERROR(__xludf.DUMMYFUNCTION("""COMPUTED_VALUE"""),"Valeria CURRAN")</f>
        <v>Valeria CURRAN</v>
      </c>
      <c r="F9587" s="3" t="str">
        <f>IFERROR(__xludf.DUMMYFUNCTION("""COMPUTED_VALUE"""),"val@curranheavytruck.com")</f>
        <v>val@curranheavytruck.com</v>
      </c>
      <c r="G9587" s="3"/>
      <c r="H9587" s="3"/>
    </row>
    <row r="9588">
      <c r="A9588" s="2">
        <f>IFERROR(__xludf.DUMMYFUNCTION("""COMPUTED_VALUE"""),50365.0)</f>
        <v>50365</v>
      </c>
      <c r="B9588" s="3" t="str">
        <f>IFERROR(__xludf.DUMMYFUNCTION("""COMPUTED_VALUE"""),"1521 BOWMANTON RD")</f>
        <v>1521 BOWMANTON RD</v>
      </c>
      <c r="C9588" s="3" t="str">
        <f>IFERROR(__xludf.DUMMYFUNCTION("""COMPUTED_VALUE"""),"ROSENEATH ")</f>
        <v>ROSENEATH </v>
      </c>
      <c r="D9588" s="3" t="str">
        <f>IFERROR(__xludf.DUMMYFUNCTION("""COMPUTED_VALUE"""),"K0K 2X0")</f>
        <v>K0K 2X0</v>
      </c>
      <c r="E9588" s="3"/>
      <c r="F9588" s="3"/>
      <c r="G9588" s="3"/>
      <c r="H9588" s="3"/>
    </row>
    <row r="9589">
      <c r="A9589" s="2">
        <f>IFERROR(__xludf.DUMMYFUNCTION("""COMPUTED_VALUE"""),50366.0)</f>
        <v>50366</v>
      </c>
      <c r="B9589" s="3" t="str">
        <f>IFERROR(__xludf.DUMMYFUNCTION("""COMPUTED_VALUE"""),"1558 BOWMANTON RD")</f>
        <v>1558 BOWMANTON RD</v>
      </c>
      <c r="C9589" s="3" t="str">
        <f>IFERROR(__xludf.DUMMYFUNCTION("""COMPUTED_VALUE"""),"ROSENEATH ")</f>
        <v>ROSENEATH </v>
      </c>
      <c r="D9589" s="3" t="str">
        <f>IFERROR(__xludf.DUMMYFUNCTION("""COMPUTED_VALUE"""),"K0K 2X0")</f>
        <v>K0K 2X0</v>
      </c>
      <c r="E9589" s="3" t="str">
        <f>IFERROR(__xludf.DUMMYFUNCTION("""COMPUTED_VALUE"""),"Simon Revill")</f>
        <v>Simon Revill</v>
      </c>
      <c r="F9589" s="3" t="str">
        <f>IFERROR(__xludf.DUMMYFUNCTION("""COMPUTED_VALUE"""),"samwize.gamgee.62@gmail.com")</f>
        <v>samwize.gamgee.62@gmail.com</v>
      </c>
      <c r="G9589" s="3">
        <f>IFERROR(__xludf.DUMMYFUNCTION("""COMPUTED_VALUE"""),6.478862214E9)</f>
        <v>6478862214</v>
      </c>
      <c r="H9589" s="3"/>
    </row>
    <row r="9590">
      <c r="A9590" s="2">
        <f>IFERROR(__xludf.DUMMYFUNCTION("""COMPUTED_VALUE"""),50367.0)</f>
        <v>50367</v>
      </c>
      <c r="B9590" s="3" t="str">
        <f>IFERROR(__xludf.DUMMYFUNCTION("""COMPUTED_VALUE"""),"1595 BOWMANTON RD")</f>
        <v>1595 BOWMANTON RD</v>
      </c>
      <c r="C9590" s="3" t="str">
        <f>IFERROR(__xludf.DUMMYFUNCTION("""COMPUTED_VALUE"""),"ROSENEATH ")</f>
        <v>ROSENEATH </v>
      </c>
      <c r="D9590" s="3" t="str">
        <f>IFERROR(__xludf.DUMMYFUNCTION("""COMPUTED_VALUE"""),"K0K 2X0")</f>
        <v>K0K 2X0</v>
      </c>
      <c r="E9590" s="3"/>
      <c r="F9590" s="3"/>
      <c r="G9590" s="3"/>
      <c r="H9590" s="3"/>
    </row>
    <row r="9591">
      <c r="A9591" s="2">
        <f>IFERROR(__xludf.DUMMYFUNCTION("""COMPUTED_VALUE"""),50368.0)</f>
        <v>50368</v>
      </c>
      <c r="B9591" s="3" t="str">
        <f>IFERROR(__xludf.DUMMYFUNCTION("""COMPUTED_VALUE"""),"1614 BOWMANTON RD")</f>
        <v>1614 BOWMANTON RD</v>
      </c>
      <c r="C9591" s="3" t="str">
        <f>IFERROR(__xludf.DUMMYFUNCTION("""COMPUTED_VALUE"""),"ROSENEATH ")</f>
        <v>ROSENEATH </v>
      </c>
      <c r="D9591" s="3" t="str">
        <f>IFERROR(__xludf.DUMMYFUNCTION("""COMPUTED_VALUE"""),"K0K 2X0")</f>
        <v>K0K 2X0</v>
      </c>
      <c r="E9591" s="3"/>
      <c r="F9591" s="3"/>
      <c r="G9591" s="3"/>
      <c r="H9591" s="3"/>
    </row>
    <row r="9592">
      <c r="A9592" s="2">
        <f>IFERROR(__xludf.DUMMYFUNCTION("""COMPUTED_VALUE"""),50369.0)</f>
        <v>50369</v>
      </c>
      <c r="B9592" s="3" t="str">
        <f>IFERROR(__xludf.DUMMYFUNCTION("""COMPUTED_VALUE"""),"1623 BOWMANTON RD")</f>
        <v>1623 BOWMANTON RD</v>
      </c>
      <c r="C9592" s="3" t="str">
        <f>IFERROR(__xludf.DUMMYFUNCTION("""COMPUTED_VALUE"""),"ROSENEATH ")</f>
        <v>ROSENEATH </v>
      </c>
      <c r="D9592" s="3" t="str">
        <f>IFERROR(__xludf.DUMMYFUNCTION("""COMPUTED_VALUE"""),"K0K 2X0")</f>
        <v>K0K 2X0</v>
      </c>
      <c r="E9592" s="3" t="str">
        <f>IFERROR(__xludf.DUMMYFUNCTION("""COMPUTED_VALUE"""),"Jon Beavan")</f>
        <v>Jon Beavan</v>
      </c>
      <c r="F9592" s="3" t="str">
        <f>IFERROR(__xludf.DUMMYFUNCTION("""COMPUTED_VALUE"""),"lesabre68@hotmail.com")</f>
        <v>lesabre68@hotmail.com</v>
      </c>
      <c r="G9592" s="3">
        <f>IFERROR(__xludf.DUMMYFUNCTION("""COMPUTED_VALUE"""),7.058752346E9)</f>
        <v>7058752346</v>
      </c>
      <c r="H9592" s="3">
        <f>IFERROR(__xludf.DUMMYFUNCTION("""COMPUTED_VALUE"""),7.052387879E9)</f>
        <v>7052387879</v>
      </c>
    </row>
    <row r="9593">
      <c r="A9593" s="2">
        <f>IFERROR(__xludf.DUMMYFUNCTION("""COMPUTED_VALUE"""),50370.0)</f>
        <v>50370</v>
      </c>
      <c r="B9593" s="3" t="str">
        <f>IFERROR(__xludf.DUMMYFUNCTION("""COMPUTED_VALUE"""),"1641 BOWMANTON RD")</f>
        <v>1641 BOWMANTON RD</v>
      </c>
      <c r="C9593" s="3" t="str">
        <f>IFERROR(__xludf.DUMMYFUNCTION("""COMPUTED_VALUE"""),"ROSENEATH ")</f>
        <v>ROSENEATH </v>
      </c>
      <c r="D9593" s="3" t="str">
        <f>IFERROR(__xludf.DUMMYFUNCTION("""COMPUTED_VALUE"""),"K0K 2X0")</f>
        <v>K0K 2X0</v>
      </c>
      <c r="E9593" s="3"/>
      <c r="F9593" s="3"/>
      <c r="G9593" s="3"/>
      <c r="H9593" s="3"/>
    </row>
    <row r="9594">
      <c r="A9594" s="2">
        <f>IFERROR(__xludf.DUMMYFUNCTION("""COMPUTED_VALUE"""),50371.0)</f>
        <v>50371</v>
      </c>
      <c r="B9594" s="3" t="str">
        <f>IFERROR(__xludf.DUMMYFUNCTION("""COMPUTED_VALUE"""),"1697 BOWMANTON RD")</f>
        <v>1697 BOWMANTON RD</v>
      </c>
      <c r="C9594" s="3" t="str">
        <f>IFERROR(__xludf.DUMMYFUNCTION("""COMPUTED_VALUE"""),"ROSENEATH ")</f>
        <v>ROSENEATH </v>
      </c>
      <c r="D9594" s="3" t="str">
        <f>IFERROR(__xludf.DUMMYFUNCTION("""COMPUTED_VALUE"""),"K0K 2X0")</f>
        <v>K0K 2X0</v>
      </c>
      <c r="E9594" s="3"/>
      <c r="F9594" s="3"/>
      <c r="G9594" s="3"/>
      <c r="H9594" s="3"/>
    </row>
    <row r="9595">
      <c r="A9595" s="2">
        <f>IFERROR(__xludf.DUMMYFUNCTION("""COMPUTED_VALUE"""),50372.0)</f>
        <v>50372</v>
      </c>
      <c r="B9595" s="3" t="str">
        <f>IFERROR(__xludf.DUMMYFUNCTION("""COMPUTED_VALUE"""),"1732 BOWMANTON RD")</f>
        <v>1732 BOWMANTON RD</v>
      </c>
      <c r="C9595" s="3" t="str">
        <f>IFERROR(__xludf.DUMMYFUNCTION("""COMPUTED_VALUE"""),"ROSENEATH ")</f>
        <v>ROSENEATH </v>
      </c>
      <c r="D9595" s="3" t="str">
        <f>IFERROR(__xludf.DUMMYFUNCTION("""COMPUTED_VALUE"""),"K0K 2X0")</f>
        <v>K0K 2X0</v>
      </c>
      <c r="E9595" s="3"/>
      <c r="F9595" s="3"/>
      <c r="G9595" s="3"/>
      <c r="H9595" s="3"/>
    </row>
    <row r="9596">
      <c r="A9596" s="2">
        <f>IFERROR(__xludf.DUMMYFUNCTION("""COMPUTED_VALUE"""),50373.0)</f>
        <v>50373</v>
      </c>
      <c r="B9596" s="3" t="str">
        <f>IFERROR(__xludf.DUMMYFUNCTION("""COMPUTED_VALUE"""),"1824 BOWMANTON RD")</f>
        <v>1824 BOWMANTON RD</v>
      </c>
      <c r="C9596" s="3" t="str">
        <f>IFERROR(__xludf.DUMMYFUNCTION("""COMPUTED_VALUE"""),"ROSENEATH ")</f>
        <v>ROSENEATH </v>
      </c>
      <c r="D9596" s="3" t="str">
        <f>IFERROR(__xludf.DUMMYFUNCTION("""COMPUTED_VALUE"""),"K0K 2X0")</f>
        <v>K0K 2X0</v>
      </c>
      <c r="E9596" s="3"/>
      <c r="F9596" s="3"/>
      <c r="G9596" s="3"/>
      <c r="H9596" s="3"/>
    </row>
    <row r="9597">
      <c r="A9597" s="2">
        <f>IFERROR(__xludf.DUMMYFUNCTION("""COMPUTED_VALUE"""),50374.0)</f>
        <v>50374</v>
      </c>
      <c r="B9597" s="3" t="str">
        <f>IFERROR(__xludf.DUMMYFUNCTION("""COMPUTED_VALUE"""),"1849 BOWMANTON RD")</f>
        <v>1849 BOWMANTON RD</v>
      </c>
      <c r="C9597" s="3" t="str">
        <f>IFERROR(__xludf.DUMMYFUNCTION("""COMPUTED_VALUE"""),"ROSENEATH ")</f>
        <v>ROSENEATH </v>
      </c>
      <c r="D9597" s="3" t="str">
        <f>IFERROR(__xludf.DUMMYFUNCTION("""COMPUTED_VALUE"""),"K0K 2X0")</f>
        <v>K0K 2X0</v>
      </c>
      <c r="E9597" s="3"/>
      <c r="F9597" s="3"/>
      <c r="G9597" s="3"/>
      <c r="H9597" s="3"/>
    </row>
    <row r="9598">
      <c r="A9598" s="2">
        <f>IFERROR(__xludf.DUMMYFUNCTION("""COMPUTED_VALUE"""),50375.0)</f>
        <v>50375</v>
      </c>
      <c r="B9598" s="3" t="str">
        <f>IFERROR(__xludf.DUMMYFUNCTION("""COMPUTED_VALUE"""),"1851 BOWMANTON RD")</f>
        <v>1851 BOWMANTON RD</v>
      </c>
      <c r="C9598" s="3" t="str">
        <f>IFERROR(__xludf.DUMMYFUNCTION("""COMPUTED_VALUE"""),"ROSENEATH ")</f>
        <v>ROSENEATH </v>
      </c>
      <c r="D9598" s="3" t="str">
        <f>IFERROR(__xludf.DUMMYFUNCTION("""COMPUTED_VALUE"""),"K0K 2X0")</f>
        <v>K0K 2X0</v>
      </c>
      <c r="E9598" s="3"/>
      <c r="F9598" s="3"/>
      <c r="G9598" s="3"/>
      <c r="H9598" s="3"/>
    </row>
    <row r="9599">
      <c r="A9599" s="2">
        <f>IFERROR(__xludf.DUMMYFUNCTION("""COMPUTED_VALUE"""),50376.0)</f>
        <v>50376</v>
      </c>
      <c r="B9599" s="3" t="str">
        <f>IFERROR(__xludf.DUMMYFUNCTION("""COMPUTED_VALUE"""),"1868 BOWMANTON RD")</f>
        <v>1868 BOWMANTON RD</v>
      </c>
      <c r="C9599" s="3" t="str">
        <f>IFERROR(__xludf.DUMMYFUNCTION("""COMPUTED_VALUE"""),"ROSENEATH ")</f>
        <v>ROSENEATH </v>
      </c>
      <c r="D9599" s="3" t="str">
        <f>IFERROR(__xludf.DUMMYFUNCTION("""COMPUTED_VALUE"""),"K0K 2X0")</f>
        <v>K0K 2X0</v>
      </c>
      <c r="E9599" s="3"/>
      <c r="F9599" s="3"/>
      <c r="G9599" s="3"/>
      <c r="H9599" s="3"/>
    </row>
    <row r="9600">
      <c r="A9600" s="2">
        <f>IFERROR(__xludf.DUMMYFUNCTION("""COMPUTED_VALUE"""),50377.0)</f>
        <v>50377</v>
      </c>
      <c r="B9600" s="3" t="str">
        <f>IFERROR(__xludf.DUMMYFUNCTION("""COMPUTED_VALUE"""),"1891 BOWMANTON RD")</f>
        <v>1891 BOWMANTON RD</v>
      </c>
      <c r="C9600" s="3" t="str">
        <f>IFERROR(__xludf.DUMMYFUNCTION("""COMPUTED_VALUE"""),"ROSENEATH ")</f>
        <v>ROSENEATH </v>
      </c>
      <c r="D9600" s="3" t="str">
        <f>IFERROR(__xludf.DUMMYFUNCTION("""COMPUTED_VALUE"""),"K0K 2X0")</f>
        <v>K0K 2X0</v>
      </c>
      <c r="E9600" s="3"/>
      <c r="F9600" s="3"/>
      <c r="G9600" s="3"/>
      <c r="H9600" s="3"/>
    </row>
    <row r="9601">
      <c r="A9601" s="2">
        <f>IFERROR(__xludf.DUMMYFUNCTION("""COMPUTED_VALUE"""),50383.0)</f>
        <v>50383</v>
      </c>
      <c r="B9601" s="3" t="str">
        <f>IFERROR(__xludf.DUMMYFUNCTION("""COMPUTED_VALUE"""),"58 BROOK RD")</f>
        <v>58 BROOK RD</v>
      </c>
      <c r="C9601" s="3" t="str">
        <f>IFERROR(__xludf.DUMMYFUNCTION("""COMPUTED_VALUE"""),"ROSENEATH ")</f>
        <v>ROSENEATH </v>
      </c>
      <c r="D9601" s="3" t="str">
        <f>IFERROR(__xludf.DUMMYFUNCTION("""COMPUTED_VALUE"""),"K0K 2X0")</f>
        <v>K0K 2X0</v>
      </c>
      <c r="E9601" s="3"/>
      <c r="F9601" s="3"/>
      <c r="G9601" s="3"/>
      <c r="H9601" s="3"/>
    </row>
    <row r="9602">
      <c r="A9602" s="2">
        <f>IFERROR(__xludf.DUMMYFUNCTION("""COMPUTED_VALUE"""),50386.0)</f>
        <v>50386</v>
      </c>
      <c r="B9602" s="3" t="str">
        <f>IFERROR(__xludf.DUMMYFUNCTION("""COMPUTED_VALUE"""),"129 BROWN'S RD")</f>
        <v>129 BROWN'S RD</v>
      </c>
      <c r="C9602" s="3" t="str">
        <f>IFERROR(__xludf.DUMMYFUNCTION("""COMPUTED_VALUE"""),"ROSENEATH ")</f>
        <v>ROSENEATH </v>
      </c>
      <c r="D9602" s="3" t="str">
        <f>IFERROR(__xludf.DUMMYFUNCTION("""COMPUTED_VALUE"""),"K0K 2X0")</f>
        <v>K0K 2X0</v>
      </c>
      <c r="E9602" s="3" t="str">
        <f>IFERROR(__xludf.DUMMYFUNCTION("""COMPUTED_VALUE"""),"Laurie Woodruff")</f>
        <v>Laurie Woodruff</v>
      </c>
      <c r="F9602" s="3" t="str">
        <f>IFERROR(__xludf.DUMMYFUNCTION("""COMPUTED_VALUE"""),"laurie.woodruff129@gmail.com")</f>
        <v>laurie.woodruff129@gmail.com</v>
      </c>
      <c r="G9602" s="3">
        <f>IFERROR(__xludf.DUMMYFUNCTION("""COMPUTED_VALUE"""),9.053523873E9)</f>
        <v>9053523873</v>
      </c>
      <c r="H9602" s="3">
        <f>IFERROR(__xludf.DUMMYFUNCTION("""COMPUTED_VALUE"""),9.05373671E9)</f>
        <v>9053736710</v>
      </c>
    </row>
    <row r="9603">
      <c r="A9603" s="2">
        <f>IFERROR(__xludf.DUMMYFUNCTION("""COMPUTED_VALUE"""),50387.0)</f>
        <v>50387</v>
      </c>
      <c r="B9603" s="3" t="str">
        <f>IFERROR(__xludf.DUMMYFUNCTION("""COMPUTED_VALUE"""),"130 BROWNS RD")</f>
        <v>130 BROWNS RD</v>
      </c>
      <c r="C9603" s="3" t="str">
        <f>IFERROR(__xludf.DUMMYFUNCTION("""COMPUTED_VALUE"""),"ROSENEATH ")</f>
        <v>ROSENEATH </v>
      </c>
      <c r="D9603" s="3" t="str">
        <f>IFERROR(__xludf.DUMMYFUNCTION("""COMPUTED_VALUE"""),"K0K 2X0")</f>
        <v>K0K 2X0</v>
      </c>
      <c r="E9603" s="3"/>
      <c r="F9603" s="3"/>
      <c r="G9603" s="3"/>
      <c r="H9603" s="3"/>
    </row>
    <row r="9604">
      <c r="A9604" s="2">
        <f>IFERROR(__xludf.DUMMYFUNCTION("""COMPUTED_VALUE"""),50388.0)</f>
        <v>50388</v>
      </c>
      <c r="B9604" s="3" t="str">
        <f>IFERROR(__xludf.DUMMYFUNCTION("""COMPUTED_VALUE"""),"146 BROWN'S RD")</f>
        <v>146 BROWN'S RD</v>
      </c>
      <c r="C9604" s="3" t="str">
        <f>IFERROR(__xludf.DUMMYFUNCTION("""COMPUTED_VALUE"""),"ROSENEATH ")</f>
        <v>ROSENEATH </v>
      </c>
      <c r="D9604" s="3" t="str">
        <f>IFERROR(__xludf.DUMMYFUNCTION("""COMPUTED_VALUE"""),"K0K 2X0")</f>
        <v>K0K 2X0</v>
      </c>
      <c r="E9604" s="3"/>
      <c r="F9604" s="3"/>
      <c r="G9604" s="3"/>
      <c r="H9604" s="3"/>
    </row>
    <row r="9605">
      <c r="A9605" s="2">
        <f>IFERROR(__xludf.DUMMYFUNCTION("""COMPUTED_VALUE"""),50389.0)</f>
        <v>50389</v>
      </c>
      <c r="B9605" s="3" t="str">
        <f>IFERROR(__xludf.DUMMYFUNCTION("""COMPUTED_VALUE"""),"207 BROWN'S RD")</f>
        <v>207 BROWN'S RD</v>
      </c>
      <c r="C9605" s="3" t="str">
        <f>IFERROR(__xludf.DUMMYFUNCTION("""COMPUTED_VALUE"""),"ROSENEATH ")</f>
        <v>ROSENEATH </v>
      </c>
      <c r="D9605" s="3" t="str">
        <f>IFERROR(__xludf.DUMMYFUNCTION("""COMPUTED_VALUE"""),"K0K 2X0")</f>
        <v>K0K 2X0</v>
      </c>
      <c r="E9605" s="3" t="str">
        <f>IFERROR(__xludf.DUMMYFUNCTION("""COMPUTED_VALUE"""),"Don Seim &amp; Marilyn Sutton")</f>
        <v>Don Seim &amp; Marilyn Sutton</v>
      </c>
      <c r="F9605" s="3" t="str">
        <f>IFERROR(__xludf.DUMMYFUNCTION("""COMPUTED_VALUE"""),"dseim@hsfx.ca")</f>
        <v>dseim@hsfx.ca</v>
      </c>
      <c r="G9605" s="3">
        <f>IFERROR(__xludf.DUMMYFUNCTION("""COMPUTED_VALUE"""),9.053523762E9)</f>
        <v>9053523762</v>
      </c>
      <c r="H9605" s="3"/>
    </row>
    <row r="9606">
      <c r="A9606" s="2">
        <f>IFERROR(__xludf.DUMMYFUNCTION("""COMPUTED_VALUE"""),50390.0)</f>
        <v>50390</v>
      </c>
      <c r="B9606" s="3" t="str">
        <f>IFERROR(__xludf.DUMMYFUNCTION("""COMPUTED_VALUE"""),"216 BROWN'S RD")</f>
        <v>216 BROWN'S RD</v>
      </c>
      <c r="C9606" s="3" t="str">
        <f>IFERROR(__xludf.DUMMYFUNCTION("""COMPUTED_VALUE"""),"ROSENEATH ")</f>
        <v>ROSENEATH </v>
      </c>
      <c r="D9606" s="3" t="str">
        <f>IFERROR(__xludf.DUMMYFUNCTION("""COMPUTED_VALUE"""),"K0K 2X0")</f>
        <v>K0K 2X0</v>
      </c>
      <c r="E9606" s="3"/>
      <c r="F9606" s="3"/>
      <c r="G9606" s="3"/>
      <c r="H9606" s="3"/>
    </row>
    <row r="9607">
      <c r="A9607" s="2">
        <f>IFERROR(__xludf.DUMMYFUNCTION("""COMPUTED_VALUE"""),50393.0)</f>
        <v>50393</v>
      </c>
      <c r="B9607" s="3" t="str">
        <f>IFERROR(__xludf.DUMMYFUNCTION("""COMPUTED_VALUE"""),"122 BULLS RD")</f>
        <v>122 BULLS RD</v>
      </c>
      <c r="C9607" s="3" t="str">
        <f>IFERROR(__xludf.DUMMYFUNCTION("""COMPUTED_VALUE"""),"WARKWORTH ")</f>
        <v>WARKWORTH </v>
      </c>
      <c r="D9607" s="3" t="str">
        <f>IFERROR(__xludf.DUMMYFUNCTION("""COMPUTED_VALUE"""),"K0K 3K0")</f>
        <v>K0K 3K0</v>
      </c>
      <c r="E9607" s="3"/>
      <c r="F9607" s="3"/>
      <c r="G9607" s="3"/>
      <c r="H9607" s="3"/>
    </row>
    <row r="9608">
      <c r="A9608" s="2">
        <f>IFERROR(__xludf.DUMMYFUNCTION("""COMPUTED_VALUE"""),50394.0)</f>
        <v>50394</v>
      </c>
      <c r="B9608" s="3" t="str">
        <f>IFERROR(__xludf.DUMMYFUNCTION("""COMPUTED_VALUE"""),"143 BULL RD")</f>
        <v>143 BULL RD</v>
      </c>
      <c r="C9608" s="3" t="str">
        <f>IFERROR(__xludf.DUMMYFUNCTION("""COMPUTED_VALUE"""),"WARKWORTH ")</f>
        <v>WARKWORTH </v>
      </c>
      <c r="D9608" s="3" t="str">
        <f>IFERROR(__xludf.DUMMYFUNCTION("""COMPUTED_VALUE"""),"K0K 3K0")</f>
        <v>K0K 3K0</v>
      </c>
      <c r="E9608" s="3"/>
      <c r="F9608" s="3"/>
      <c r="G9608" s="3"/>
      <c r="H9608" s="3"/>
    </row>
    <row r="9609">
      <c r="A9609" s="2">
        <f>IFERROR(__xludf.DUMMYFUNCTION("""COMPUTED_VALUE"""),50395.0)</f>
        <v>50395</v>
      </c>
      <c r="B9609" s="3" t="str">
        <f>IFERROR(__xludf.DUMMYFUNCTION("""COMPUTED_VALUE"""),"159 BULLS RD")</f>
        <v>159 BULLS RD</v>
      </c>
      <c r="C9609" s="3" t="str">
        <f>IFERROR(__xludf.DUMMYFUNCTION("""COMPUTED_VALUE"""),"WARKWORTH ")</f>
        <v>WARKWORTH </v>
      </c>
      <c r="D9609" s="3" t="str">
        <f>IFERROR(__xludf.DUMMYFUNCTION("""COMPUTED_VALUE"""),"K0K 3K0")</f>
        <v>K0K 3K0</v>
      </c>
      <c r="E9609" s="3"/>
      <c r="F9609" s="3"/>
      <c r="G9609" s="3"/>
      <c r="H9609" s="3"/>
    </row>
    <row r="9610">
      <c r="A9610" s="2">
        <f>IFERROR(__xludf.DUMMYFUNCTION("""COMPUTED_VALUE"""),50391.0)</f>
        <v>50391</v>
      </c>
      <c r="B9610" s="3" t="str">
        <f>IFERROR(__xludf.DUMMYFUNCTION("""COMPUTED_VALUE"""),"59 BULLS RD")</f>
        <v>59 BULLS RD</v>
      </c>
      <c r="C9610" s="3" t="str">
        <f>IFERROR(__xludf.DUMMYFUNCTION("""COMPUTED_VALUE"""),"WARKWORTH ")</f>
        <v>WARKWORTH </v>
      </c>
      <c r="D9610" s="3" t="str">
        <f>IFERROR(__xludf.DUMMYFUNCTION("""COMPUTED_VALUE"""),"K0K 3K0")</f>
        <v>K0K 3K0</v>
      </c>
      <c r="E9610" s="3" t="str">
        <f>IFERROR(__xludf.DUMMYFUNCTION("""COMPUTED_VALUE"""),"Huw Evans")</f>
        <v>Huw Evans</v>
      </c>
      <c r="F9610" s="3" t="str">
        <f>IFERROR(__xludf.DUMMYFUNCTION("""COMPUTED_VALUE"""),"huw.r.evans@gmail.com")</f>
        <v>huw.r.evans@gmail.com</v>
      </c>
      <c r="G9610" s="3">
        <f>IFERROR(__xludf.DUMMYFUNCTION("""COMPUTED_VALUE"""),4.168933706E9)</f>
        <v>4168933706</v>
      </c>
      <c r="H9610" s="3"/>
    </row>
    <row r="9611">
      <c r="A9611" s="2">
        <f>IFERROR(__xludf.DUMMYFUNCTION("""COMPUTED_VALUE"""),50392.0)</f>
        <v>50392</v>
      </c>
      <c r="B9611" s="3" t="str">
        <f>IFERROR(__xludf.DUMMYFUNCTION("""COMPUTED_VALUE"""),"117 BULLS RD")</f>
        <v>117 BULLS RD</v>
      </c>
      <c r="C9611" s="3" t="str">
        <f>IFERROR(__xludf.DUMMYFUNCTION("""COMPUTED_VALUE"""),"WARKWORTH ")</f>
        <v>WARKWORTH </v>
      </c>
      <c r="D9611" s="3" t="str">
        <f>IFERROR(__xludf.DUMMYFUNCTION("""COMPUTED_VALUE"""),"K0K 3K0")</f>
        <v>K0K 3K0</v>
      </c>
      <c r="E9611" s="3" t="str">
        <f>IFERROR(__xludf.DUMMYFUNCTION("""COMPUTED_VALUE"""),"Brian Mitchell")</f>
        <v>Brian Mitchell</v>
      </c>
      <c r="F9611" s="3" t="str">
        <f>IFERROR(__xludf.DUMMYFUNCTION("""COMPUTED_VALUE"""),"brian.differentdrummer@gmail.comm")</f>
        <v>brian.differentdrummer@gmail.comm</v>
      </c>
      <c r="G9611" s="3"/>
      <c r="H9611" s="3"/>
    </row>
    <row r="9612">
      <c r="A9612" s="2">
        <f>IFERROR(__xludf.DUMMYFUNCTION("""COMPUTED_VALUE"""),50396.0)</f>
        <v>50396</v>
      </c>
      <c r="B9612" s="3" t="str">
        <f>IFERROR(__xludf.DUMMYFUNCTION("""COMPUTED_VALUE"""),"114 BURNLEY RD")</f>
        <v>114 BURNLEY RD</v>
      </c>
      <c r="C9612" s="3" t="str">
        <f>IFERROR(__xludf.DUMMYFUNCTION("""COMPUTED_VALUE"""),"WARKWORTH ")</f>
        <v>WARKWORTH </v>
      </c>
      <c r="D9612" s="3" t="str">
        <f>IFERROR(__xludf.DUMMYFUNCTION("""COMPUTED_VALUE"""),"K0K 3K0")</f>
        <v>K0K 3K0</v>
      </c>
      <c r="E9612" s="3" t="str">
        <f>IFERROR(__xludf.DUMMYFUNCTION("""COMPUTED_VALUE"""),"Gerald Wall")</f>
        <v>Gerald Wall</v>
      </c>
      <c r="F9612" s="3" t="str">
        <f>IFERROR(__xludf.DUMMYFUNCTION("""COMPUTED_VALUE"""),"gerrywall746@gmail.com")</f>
        <v>gerrywall746@gmail.com</v>
      </c>
      <c r="G9612" s="3"/>
      <c r="H9612" s="3"/>
    </row>
    <row r="9613">
      <c r="A9613" s="2">
        <f>IFERROR(__xludf.DUMMYFUNCTION("""COMPUTED_VALUE"""),50397.0)</f>
        <v>50397</v>
      </c>
      <c r="B9613" s="3" t="str">
        <f>IFERROR(__xludf.DUMMYFUNCTION("""COMPUTED_VALUE"""),"161 BURNLEY RD")</f>
        <v>161 BURNLEY RD</v>
      </c>
      <c r="C9613" s="3" t="str">
        <f>IFERROR(__xludf.DUMMYFUNCTION("""COMPUTED_VALUE"""),"WARKWORTH ")</f>
        <v>WARKWORTH </v>
      </c>
      <c r="D9613" s="3" t="str">
        <f>IFERROR(__xludf.DUMMYFUNCTION("""COMPUTED_VALUE"""),"K0K 3K0")</f>
        <v>K0K 3K0</v>
      </c>
      <c r="E9613" s="3" t="str">
        <f>IFERROR(__xludf.DUMMYFUNCTION("""COMPUTED_VALUE"""),"Fernanda Rainho")</f>
        <v>Fernanda Rainho</v>
      </c>
      <c r="F9613" s="3" t="str">
        <f>IFERROR(__xludf.DUMMYFUNCTION("""COMPUTED_VALUE"""),"fernandafrainho@gmail.com")</f>
        <v>fernandafrainho@gmail.com</v>
      </c>
      <c r="G9613" s="3"/>
      <c r="H9613" s="3"/>
    </row>
    <row r="9614">
      <c r="A9614" s="2">
        <f>IFERROR(__xludf.DUMMYFUNCTION("""COMPUTED_VALUE"""),50398.0)</f>
        <v>50398</v>
      </c>
      <c r="B9614" s="3" t="str">
        <f>IFERROR(__xludf.DUMMYFUNCTION("""COMPUTED_VALUE"""),"178 BURNLEY RD")</f>
        <v>178 BURNLEY RD</v>
      </c>
      <c r="C9614" s="3" t="str">
        <f>IFERROR(__xludf.DUMMYFUNCTION("""COMPUTED_VALUE"""),"WARKWORTH ")</f>
        <v>WARKWORTH </v>
      </c>
      <c r="D9614" s="3" t="str">
        <f>IFERROR(__xludf.DUMMYFUNCTION("""COMPUTED_VALUE"""),"K0K 3K0")</f>
        <v>K0K 3K0</v>
      </c>
      <c r="E9614" s="3"/>
      <c r="F9614" s="3"/>
      <c r="G9614" s="3"/>
      <c r="H9614" s="3"/>
    </row>
    <row r="9615">
      <c r="A9615" s="2">
        <f>IFERROR(__xludf.DUMMYFUNCTION("""COMPUTED_VALUE"""),50399.0)</f>
        <v>50399</v>
      </c>
      <c r="B9615" s="3" t="str">
        <f>IFERROR(__xludf.DUMMYFUNCTION("""COMPUTED_VALUE"""),"202 BURNLEY RD")</f>
        <v>202 BURNLEY RD</v>
      </c>
      <c r="C9615" s="3" t="str">
        <f>IFERROR(__xludf.DUMMYFUNCTION("""COMPUTED_VALUE"""),"WARKWORTH ")</f>
        <v>WARKWORTH </v>
      </c>
      <c r="D9615" s="3" t="str">
        <f>IFERROR(__xludf.DUMMYFUNCTION("""COMPUTED_VALUE"""),"K0K 3K0")</f>
        <v>K0K 3K0</v>
      </c>
      <c r="E9615" s="3" t="str">
        <f>IFERROR(__xludf.DUMMYFUNCTION("""COMPUTED_VALUE"""),"James Sleeth")</f>
        <v>James Sleeth</v>
      </c>
      <c r="F9615" s="3" t="str">
        <f>IFERROR(__xludf.DUMMYFUNCTION("""COMPUTED_VALUE"""),"sleeth@humanperformance.ca")</f>
        <v>sleeth@humanperformance.ca</v>
      </c>
      <c r="G9615" s="3">
        <f>IFERROR(__xludf.DUMMYFUNCTION("""COMPUTED_VALUE"""),4.168075181E9)</f>
        <v>4168075181</v>
      </c>
      <c r="H9615" s="3"/>
    </row>
    <row r="9616">
      <c r="A9616" s="2">
        <f>IFERROR(__xludf.DUMMYFUNCTION("""COMPUTED_VALUE"""),50402.0)</f>
        <v>50402</v>
      </c>
      <c r="B9616" s="3" t="str">
        <f>IFERROR(__xludf.DUMMYFUNCTION("""COMPUTED_VALUE"""),"214 CAMPBELL RD")</f>
        <v>214 CAMPBELL RD</v>
      </c>
      <c r="C9616" s="3" t="str">
        <f>IFERROR(__xludf.DUMMYFUNCTION("""COMPUTED_VALUE"""),"ROSENEATH ")</f>
        <v>ROSENEATH </v>
      </c>
      <c r="D9616" s="3" t="str">
        <f>IFERROR(__xludf.DUMMYFUNCTION("""COMPUTED_VALUE"""),"K0K 2X0")</f>
        <v>K0K 2X0</v>
      </c>
      <c r="E9616" s="3"/>
      <c r="F9616" s="3"/>
      <c r="G9616" s="3"/>
      <c r="H9616" s="3"/>
    </row>
    <row r="9617">
      <c r="A9617" s="2">
        <f>IFERROR(__xludf.DUMMYFUNCTION("""COMPUTED_VALUE"""),50403.0)</f>
        <v>50403</v>
      </c>
      <c r="B9617" s="3" t="str">
        <f>IFERROR(__xludf.DUMMYFUNCTION("""COMPUTED_VALUE"""),"218 CAMPBELL RD")</f>
        <v>218 CAMPBELL RD</v>
      </c>
      <c r="C9617" s="3" t="str">
        <f>IFERROR(__xludf.DUMMYFUNCTION("""COMPUTED_VALUE"""),"ROSENEATH ")</f>
        <v>ROSENEATH </v>
      </c>
      <c r="D9617" s="3" t="str">
        <f>IFERROR(__xludf.DUMMYFUNCTION("""COMPUTED_VALUE"""),"K0K 2X0")</f>
        <v>K0K 2X0</v>
      </c>
      <c r="E9617" s="3"/>
      <c r="F9617" s="3"/>
      <c r="G9617" s="3"/>
      <c r="H9617" s="3"/>
    </row>
    <row r="9618">
      <c r="A9618" s="2">
        <f>IFERROR(__xludf.DUMMYFUNCTION("""COMPUTED_VALUE"""),50404.0)</f>
        <v>50404</v>
      </c>
      <c r="B9618" s="3" t="str">
        <f>IFERROR(__xludf.DUMMYFUNCTION("""COMPUTED_VALUE"""),"35 CHURCH RD")</f>
        <v>35 CHURCH RD</v>
      </c>
      <c r="C9618" s="3" t="str">
        <f>IFERROR(__xludf.DUMMYFUNCTION("""COMPUTED_VALUE"""),"HASTINGS ")</f>
        <v>HASTINGS </v>
      </c>
      <c r="D9618" s="3" t="str">
        <f>IFERROR(__xludf.DUMMYFUNCTION("""COMPUTED_VALUE"""),"K0L 1Y0")</f>
        <v>K0L 1Y0</v>
      </c>
      <c r="E9618" s="3" t="str">
        <f>IFERROR(__xludf.DUMMYFUNCTION("""COMPUTED_VALUE"""),"Charlene Jacob")</f>
        <v>Charlene Jacob</v>
      </c>
      <c r="F9618" s="3" t="str">
        <f>IFERROR(__xludf.DUMMYFUNCTION("""COMPUTED_VALUE"""),"cjacob48@gmail.com")</f>
        <v>cjacob48@gmail.com</v>
      </c>
      <c r="G9618" s="3"/>
      <c r="H9618" s="3"/>
    </row>
    <row r="9619">
      <c r="A9619" s="2">
        <f>IFERROR(__xludf.DUMMYFUNCTION("""COMPUTED_VALUE"""),50405.0)</f>
        <v>50405</v>
      </c>
      <c r="B9619" s="3" t="str">
        <f>IFERROR(__xludf.DUMMYFUNCTION("""COMPUTED_VALUE"""),"37 CHURCH RD")</f>
        <v>37 CHURCH RD</v>
      </c>
      <c r="C9619" s="3" t="str">
        <f>IFERROR(__xludf.DUMMYFUNCTION("""COMPUTED_VALUE"""),"HASTINGS ")</f>
        <v>HASTINGS </v>
      </c>
      <c r="D9619" s="3" t="str">
        <f>IFERROR(__xludf.DUMMYFUNCTION("""COMPUTED_VALUE"""),"K0L 1Y0")</f>
        <v>K0L 1Y0</v>
      </c>
      <c r="E9619" s="3"/>
      <c r="F9619" s="3"/>
      <c r="G9619" s="3"/>
      <c r="H9619" s="3"/>
    </row>
    <row r="9620">
      <c r="A9620" s="2">
        <f>IFERROR(__xludf.DUMMYFUNCTION("""COMPUTED_VALUE"""),50406.0)</f>
        <v>50406</v>
      </c>
      <c r="B9620" s="3" t="str">
        <f>IFERROR(__xludf.DUMMYFUNCTION("""COMPUTED_VALUE"""),"31 CLARK RD")</f>
        <v>31 CLARK RD</v>
      </c>
      <c r="C9620" s="3" t="str">
        <f>IFERROR(__xludf.DUMMYFUNCTION("""COMPUTED_VALUE"""),"ROSENEATH ")</f>
        <v>ROSENEATH </v>
      </c>
      <c r="D9620" s="3" t="str">
        <f>IFERROR(__xludf.DUMMYFUNCTION("""COMPUTED_VALUE"""),"K0K 2X0")</f>
        <v>K0K 2X0</v>
      </c>
      <c r="E9620" s="3"/>
      <c r="F9620" s="3"/>
      <c r="G9620" s="3"/>
      <c r="H9620" s="3"/>
    </row>
    <row r="9621">
      <c r="A9621" s="2">
        <f>IFERROR(__xludf.DUMMYFUNCTION("""COMPUTED_VALUE"""),50407.0)</f>
        <v>50407</v>
      </c>
      <c r="B9621" s="3" t="str">
        <f>IFERROR(__xludf.DUMMYFUNCTION("""COMPUTED_VALUE"""),"48 CLARK RD")</f>
        <v>48 CLARK RD</v>
      </c>
      <c r="C9621" s="3" t="str">
        <f>IFERROR(__xludf.DUMMYFUNCTION("""COMPUTED_VALUE"""),"ROSENEATH ")</f>
        <v>ROSENEATH </v>
      </c>
      <c r="D9621" s="3" t="str">
        <f>IFERROR(__xludf.DUMMYFUNCTION("""COMPUTED_VALUE"""),"K0K 2X0")</f>
        <v>K0K 2X0</v>
      </c>
      <c r="E9621" s="3"/>
      <c r="F9621" s="3"/>
      <c r="G9621" s="3"/>
      <c r="H9621" s="3"/>
    </row>
    <row r="9622">
      <c r="A9622" s="2">
        <f>IFERROR(__xludf.DUMMYFUNCTION("""COMPUTED_VALUE"""),50408.0)</f>
        <v>50408</v>
      </c>
      <c r="B9622" s="3" t="str">
        <f>IFERROR(__xludf.DUMMYFUNCTION("""COMPUTED_VALUE"""),"86 CLARK RD")</f>
        <v>86 CLARK RD</v>
      </c>
      <c r="C9622" s="3" t="str">
        <f>IFERROR(__xludf.DUMMYFUNCTION("""COMPUTED_VALUE"""),"ROSENEATH ")</f>
        <v>ROSENEATH </v>
      </c>
      <c r="D9622" s="3" t="str">
        <f>IFERROR(__xludf.DUMMYFUNCTION("""COMPUTED_VALUE"""),"K0K 2X0")</f>
        <v>K0K 2X0</v>
      </c>
      <c r="E9622" s="3"/>
      <c r="F9622" s="3"/>
      <c r="G9622" s="3"/>
      <c r="H9622" s="3"/>
    </row>
    <row r="9623">
      <c r="A9623" s="2">
        <f>IFERROR(__xludf.DUMMYFUNCTION("""COMPUTED_VALUE"""),50410.0)</f>
        <v>50410</v>
      </c>
      <c r="B9623" s="3" t="str">
        <f>IFERROR(__xludf.DUMMYFUNCTION("""COMPUTED_VALUE"""),"20 COLLINS RD")</f>
        <v>20 COLLINS RD</v>
      </c>
      <c r="C9623" s="3" t="str">
        <f>IFERROR(__xludf.DUMMYFUNCTION("""COMPUTED_VALUE"""),"HASTINGS ")</f>
        <v>HASTINGS </v>
      </c>
      <c r="D9623" s="3" t="str">
        <f>IFERROR(__xludf.DUMMYFUNCTION("""COMPUTED_VALUE"""),"K0L 1Y0")</f>
        <v>K0L 1Y0</v>
      </c>
      <c r="E9623" s="3" t="str">
        <f>IFERROR(__xludf.DUMMYFUNCTION("""COMPUTED_VALUE"""),"Frank Godfrey")</f>
        <v>Frank Godfrey</v>
      </c>
      <c r="F9623" s="3" t="str">
        <f>IFERROR(__xludf.DUMMYFUNCTION("""COMPUTED_VALUE"""),"frankgodfrey@gmail.com")</f>
        <v>frankgodfrey@gmail.com</v>
      </c>
      <c r="G9623" s="3"/>
      <c r="H9623" s="3"/>
    </row>
    <row r="9624">
      <c r="A9624" s="2">
        <f>IFERROR(__xludf.DUMMYFUNCTION("""COMPUTED_VALUE"""),50411.0)</f>
        <v>50411</v>
      </c>
      <c r="B9624" s="3" t="str">
        <f>IFERROR(__xludf.DUMMYFUNCTION("""COMPUTED_VALUE"""),"40 COLLINS RD")</f>
        <v>40 COLLINS RD</v>
      </c>
      <c r="C9624" s="3" t="str">
        <f>IFERROR(__xludf.DUMMYFUNCTION("""COMPUTED_VALUE"""),"HASTINGS ")</f>
        <v>HASTINGS </v>
      </c>
      <c r="D9624" s="3" t="str">
        <f>IFERROR(__xludf.DUMMYFUNCTION("""COMPUTED_VALUE"""),"K0L 1Y0")</f>
        <v>K0L 1Y0</v>
      </c>
      <c r="E9624" s="3"/>
      <c r="F9624" s="3"/>
      <c r="G9624" s="3"/>
      <c r="H9624" s="3"/>
    </row>
    <row r="9625">
      <c r="A9625" s="2">
        <f>IFERROR(__xludf.DUMMYFUNCTION("""COMPUTED_VALUE"""),50412.0)</f>
        <v>50412</v>
      </c>
      <c r="B9625" s="3" t="str">
        <f>IFERROR(__xludf.DUMMYFUNCTION("""COMPUTED_VALUE"""),"60 COLLINS RD")</f>
        <v>60 COLLINS RD</v>
      </c>
      <c r="C9625" s="3" t="str">
        <f>IFERROR(__xludf.DUMMYFUNCTION("""COMPUTED_VALUE"""),"HASTINGS ")</f>
        <v>HASTINGS </v>
      </c>
      <c r="D9625" s="3" t="str">
        <f>IFERROR(__xludf.DUMMYFUNCTION("""COMPUTED_VALUE"""),"K0L 1Y0")</f>
        <v>K0L 1Y0</v>
      </c>
      <c r="E9625" s="3"/>
      <c r="F9625" s="3"/>
      <c r="G9625" s="3"/>
      <c r="H9625" s="3"/>
    </row>
    <row r="9626">
      <c r="A9626" s="2">
        <f>IFERROR(__xludf.DUMMYFUNCTION("""COMPUTED_VALUE"""),50413.0)</f>
        <v>50413</v>
      </c>
      <c r="B9626" s="3" t="str">
        <f>IFERROR(__xludf.DUMMYFUNCTION("""COMPUTED_VALUE"""),"74 COLLINS RD")</f>
        <v>74 COLLINS RD</v>
      </c>
      <c r="C9626" s="3" t="str">
        <f>IFERROR(__xludf.DUMMYFUNCTION("""COMPUTED_VALUE"""),"HASTINGS ")</f>
        <v>HASTINGS </v>
      </c>
      <c r="D9626" s="3" t="str">
        <f>IFERROR(__xludf.DUMMYFUNCTION("""COMPUTED_VALUE"""),"K0L 1Y0")</f>
        <v>K0L 1Y0</v>
      </c>
      <c r="E9626" s="3"/>
      <c r="F9626" s="3"/>
      <c r="G9626" s="3"/>
      <c r="H9626" s="3"/>
    </row>
    <row r="9627">
      <c r="A9627" s="2">
        <f>IFERROR(__xludf.DUMMYFUNCTION("""COMPUTED_VALUE"""),50414.0)</f>
        <v>50414</v>
      </c>
      <c r="B9627" s="3" t="str">
        <f>IFERROR(__xludf.DUMMYFUNCTION("""COMPUTED_VALUE"""),"121 COMMUNITY HALL RD")</f>
        <v>121 COMMUNITY HALL RD</v>
      </c>
      <c r="C9627" s="3" t="str">
        <f>IFERROR(__xludf.DUMMYFUNCTION("""COMPUTED_VALUE"""),"WARKWORTH ")</f>
        <v>WARKWORTH </v>
      </c>
      <c r="D9627" s="3" t="str">
        <f>IFERROR(__xludf.DUMMYFUNCTION("""COMPUTED_VALUE"""),"K0K 3K0")</f>
        <v>K0K 3K0</v>
      </c>
      <c r="E9627" s="3"/>
      <c r="F9627" s="3"/>
      <c r="G9627" s="3"/>
      <c r="H9627" s="3"/>
    </row>
    <row r="9628">
      <c r="A9628" s="2">
        <f>IFERROR(__xludf.DUMMYFUNCTION("""COMPUTED_VALUE"""),50415.0)</f>
        <v>50415</v>
      </c>
      <c r="B9628" s="3" t="str">
        <f>IFERROR(__xludf.DUMMYFUNCTION("""COMPUTED_VALUE"""),"127 COMMUNITY HALL RD")</f>
        <v>127 COMMUNITY HALL RD</v>
      </c>
      <c r="C9628" s="3" t="str">
        <f>IFERROR(__xludf.DUMMYFUNCTION("""COMPUTED_VALUE"""),"WARKWORTH ")</f>
        <v>WARKWORTH </v>
      </c>
      <c r="D9628" s="3" t="str">
        <f>IFERROR(__xludf.DUMMYFUNCTION("""COMPUTED_VALUE"""),"K0K 3K0")</f>
        <v>K0K 3K0</v>
      </c>
      <c r="E9628" s="3"/>
      <c r="F9628" s="3"/>
      <c r="G9628" s="3"/>
      <c r="H9628" s="3"/>
    </row>
    <row r="9629">
      <c r="A9629" s="2">
        <f>IFERROR(__xludf.DUMMYFUNCTION("""COMPUTED_VALUE"""),50417.0)</f>
        <v>50417</v>
      </c>
      <c r="B9629" s="3" t="str">
        <f>IFERROR(__xludf.DUMMYFUNCTION("""COMPUTED_VALUE"""),"12708 COUNTY ROAD 24")</f>
        <v>12708 COUNTY ROAD 24</v>
      </c>
      <c r="C9629" s="3" t="str">
        <f>IFERROR(__xludf.DUMMYFUNCTION("""COMPUTED_VALUE"""),"ROSENEATH ")</f>
        <v>ROSENEATH </v>
      </c>
      <c r="D9629" s="3" t="str">
        <f>IFERROR(__xludf.DUMMYFUNCTION("""COMPUTED_VALUE"""),"K0K 2X0")</f>
        <v>K0K 2X0</v>
      </c>
      <c r="E9629" s="3"/>
      <c r="F9629" s="3"/>
      <c r="G9629" s="3"/>
      <c r="H9629" s="3"/>
    </row>
    <row r="9630">
      <c r="A9630" s="2">
        <f>IFERROR(__xludf.DUMMYFUNCTION("""COMPUTED_VALUE"""),50418.0)</f>
        <v>50418</v>
      </c>
      <c r="B9630" s="3" t="str">
        <f>IFERROR(__xludf.DUMMYFUNCTION("""COMPUTED_VALUE"""),"CON 4 PT LOT 13")</f>
        <v>CON 4 PT LOT 13</v>
      </c>
      <c r="C9630" s="3"/>
      <c r="D9630" s="3"/>
      <c r="E9630" s="3"/>
      <c r="F9630" s="3"/>
      <c r="G9630" s="3"/>
      <c r="H9630" s="3"/>
    </row>
    <row r="9631">
      <c r="A9631" s="2">
        <f>IFERROR(__xludf.DUMMYFUNCTION("""COMPUTED_VALUE"""),50419.0)</f>
        <v>50419</v>
      </c>
      <c r="B9631" s="3" t="str">
        <f>IFERROR(__xludf.DUMMYFUNCTION("""COMPUTED_VALUE"""),"6120 CURTIS PT RD UNIT 1")</f>
        <v>6120 CURTIS PT RD UNIT 1</v>
      </c>
      <c r="C9631" s="3" t="str">
        <f>IFERROR(__xludf.DUMMYFUNCTION("""COMPUTED_VALUE"""),"ROSENEATH ")</f>
        <v>ROSENEATH </v>
      </c>
      <c r="D9631" s="3" t="str">
        <f>IFERROR(__xludf.DUMMYFUNCTION("""COMPUTED_VALUE"""),"K0K 2X0")</f>
        <v>K0K 2X0</v>
      </c>
      <c r="E9631" s="3" t="str">
        <f>IFERROR(__xludf.DUMMYFUNCTION("""COMPUTED_VALUE"""),"STEVE HOSKIN")</f>
        <v>STEVE HOSKIN</v>
      </c>
      <c r="F9631" s="3" t="str">
        <f>IFERROR(__xludf.DUMMYFUNCTION("""COMPUTED_VALUE"""),"stevehoskinguild@gmail.com")</f>
        <v>stevehoskinguild@gmail.com</v>
      </c>
      <c r="G9631" s="3"/>
      <c r="H9631" s="3"/>
    </row>
    <row r="9632">
      <c r="A9632" s="2">
        <f>IFERROR(__xludf.DUMMYFUNCTION("""COMPUTED_VALUE"""),50420.0)</f>
        <v>50420</v>
      </c>
      <c r="B9632" s="3" t="str">
        <f>IFERROR(__xludf.DUMMYFUNCTION("""COMPUTED_VALUE"""),"TBD SHEARER POINT RD")</f>
        <v>TBD SHEARER POINT RD</v>
      </c>
      <c r="C9632" s="3" t="str">
        <f>IFERROR(__xludf.DUMMYFUNCTION("""COMPUTED_VALUE"""),"ROSENEATH ")</f>
        <v>ROSENEATH </v>
      </c>
      <c r="D9632" s="3" t="str">
        <f>IFERROR(__xludf.DUMMYFUNCTION("""COMPUTED_VALUE"""),"K0K 2X0")</f>
        <v>K0K 2X0</v>
      </c>
      <c r="E9632" s="3"/>
      <c r="F9632" s="3"/>
      <c r="G9632" s="3"/>
      <c r="H9632" s="3"/>
    </row>
    <row r="9633">
      <c r="A9633" s="2">
        <f>IFERROR(__xludf.DUMMYFUNCTION("""COMPUTED_VALUE"""),50421.0)</f>
        <v>50421</v>
      </c>
      <c r="B9633" s="3" t="str">
        <f>IFERROR(__xludf.DUMMYFUNCTION("""COMPUTED_VALUE"""),"10 5TH LINE RD")</f>
        <v>10 5TH LINE RD</v>
      </c>
      <c r="C9633" s="3" t="str">
        <f>IFERROR(__xludf.DUMMYFUNCTION("""COMPUTED_VALUE"""),"ROSENEATH ")</f>
        <v>ROSENEATH </v>
      </c>
      <c r="D9633" s="3" t="str">
        <f>IFERROR(__xludf.DUMMYFUNCTION("""COMPUTED_VALUE"""),"K0K 2X0")</f>
        <v>K0K 2X0</v>
      </c>
      <c r="E9633" s="3"/>
      <c r="F9633" s="3"/>
      <c r="G9633" s="3"/>
      <c r="H9633" s="3"/>
    </row>
    <row r="9634">
      <c r="A9634" s="2">
        <f>IFERROR(__xludf.DUMMYFUNCTION("""COMPUTED_VALUE"""),50422.0)</f>
        <v>50422</v>
      </c>
      <c r="B9634" s="3" t="str">
        <f>IFERROR(__xludf.DUMMYFUNCTION("""COMPUTED_VALUE"""),"1026 MERRILL RD")</f>
        <v>1026 MERRILL RD</v>
      </c>
      <c r="C9634" s="3" t="str">
        <f>IFERROR(__xludf.DUMMYFUNCTION("""COMPUTED_VALUE"""),"ROSENEATH ")</f>
        <v>ROSENEATH </v>
      </c>
      <c r="D9634" s="3" t="str">
        <f>IFERROR(__xludf.DUMMYFUNCTION("""COMPUTED_VALUE"""),"K0K 2X0")</f>
        <v>K0K 2X0</v>
      </c>
      <c r="E9634" s="3"/>
      <c r="F9634" s="3"/>
      <c r="G9634" s="3"/>
      <c r="H9634" s="3"/>
    </row>
    <row r="9635">
      <c r="A9635" s="2">
        <f>IFERROR(__xludf.DUMMYFUNCTION("""COMPUTED_VALUE"""),50423.0)</f>
        <v>50423</v>
      </c>
      <c r="B9635" s="3" t="str">
        <f>IFERROR(__xludf.DUMMYFUNCTION("""COMPUTED_VALUE"""),"1038 MERRILL RD")</f>
        <v>1038 MERRILL RD</v>
      </c>
      <c r="C9635" s="3" t="str">
        <f>IFERROR(__xludf.DUMMYFUNCTION("""COMPUTED_VALUE"""),"ROSENEATH ")</f>
        <v>ROSENEATH </v>
      </c>
      <c r="D9635" s="3" t="str">
        <f>IFERROR(__xludf.DUMMYFUNCTION("""COMPUTED_VALUE"""),"K0K 2X0")</f>
        <v>K0K 2X0</v>
      </c>
      <c r="E9635" s="3" t="str">
        <f>IFERROR(__xludf.DUMMYFUNCTION("""COMPUTED_VALUE"""),"RANDY WALTON")</f>
        <v>RANDY WALTON</v>
      </c>
      <c r="F9635" s="3" t="str">
        <f>IFERROR(__xludf.DUMMYFUNCTION("""COMPUTED_VALUE"""),"randy2walton2@gmail.com")</f>
        <v>randy2walton2@gmail.com</v>
      </c>
      <c r="G9635" s="3">
        <f>IFERROR(__xludf.DUMMYFUNCTION("""COMPUTED_VALUE"""),2.892513194E9)</f>
        <v>2892513194</v>
      </c>
      <c r="H9635" s="3"/>
    </row>
    <row r="9636">
      <c r="A9636" s="2">
        <f>IFERROR(__xludf.DUMMYFUNCTION("""COMPUTED_VALUE"""),50425.0)</f>
        <v>50425</v>
      </c>
      <c r="B9636" s="3" t="str">
        <f>IFERROR(__xludf.DUMMYFUNCTION("""COMPUTED_VALUE"""),"298 3RD CONC RD W")</f>
        <v>298 3RD CONC RD W</v>
      </c>
      <c r="C9636" s="3" t="str">
        <f>IFERROR(__xludf.DUMMYFUNCTION("""COMPUTED_VALUE"""),"WARKWORTH ")</f>
        <v>WARKWORTH </v>
      </c>
      <c r="D9636" s="3" t="str">
        <f>IFERROR(__xludf.DUMMYFUNCTION("""COMPUTED_VALUE"""),"K0K 3K0")</f>
        <v>K0K 3K0</v>
      </c>
      <c r="E9636" s="3"/>
      <c r="F9636" s="3"/>
      <c r="G9636" s="3"/>
      <c r="H9636" s="3"/>
    </row>
    <row r="9637">
      <c r="A9637" s="2">
        <f>IFERROR(__xludf.DUMMYFUNCTION("""COMPUTED_VALUE"""),50426.0)</f>
        <v>50426</v>
      </c>
      <c r="B9637" s="3" t="str">
        <f>IFERROR(__xludf.DUMMYFUNCTION("""COMPUTED_VALUE"""),"502 CONCESSION 3 W")</f>
        <v>502 CONCESSION 3 W</v>
      </c>
      <c r="C9637" s="3" t="str">
        <f>IFERROR(__xludf.DUMMYFUNCTION("""COMPUTED_VALUE"""),"WARKWORTH ")</f>
        <v>WARKWORTH </v>
      </c>
      <c r="D9637" s="3" t="str">
        <f>IFERROR(__xludf.DUMMYFUNCTION("""COMPUTED_VALUE"""),"K0K 3K0")</f>
        <v>K0K 3K0</v>
      </c>
      <c r="E9637" s="3"/>
      <c r="F9637" s="3"/>
      <c r="G9637" s="3"/>
      <c r="H9637" s="3"/>
    </row>
    <row r="9638">
      <c r="A9638" s="2">
        <f>IFERROR(__xludf.DUMMYFUNCTION("""COMPUTED_VALUE"""),50427.0)</f>
        <v>50427</v>
      </c>
      <c r="B9638" s="3" t="str">
        <f>IFERROR(__xludf.DUMMYFUNCTION("""COMPUTED_VALUE"""),"531 CONCESSION 3 W")</f>
        <v>531 CONCESSION 3 W</v>
      </c>
      <c r="C9638" s="3" t="str">
        <f>IFERROR(__xludf.DUMMYFUNCTION("""COMPUTED_VALUE"""),"WARKWORTH ")</f>
        <v>WARKWORTH </v>
      </c>
      <c r="D9638" s="3" t="str">
        <f>IFERROR(__xludf.DUMMYFUNCTION("""COMPUTED_VALUE"""),"K0K 3K0")</f>
        <v>K0K 3K0</v>
      </c>
      <c r="E9638" s="3"/>
      <c r="F9638" s="3"/>
      <c r="G9638" s="3"/>
      <c r="H9638" s="3"/>
    </row>
    <row r="9639">
      <c r="A9639" s="2">
        <f>IFERROR(__xludf.DUMMYFUNCTION("""COMPUTED_VALUE"""),51979.0)</f>
        <v>51979</v>
      </c>
      <c r="B9639" s="3" t="str">
        <f>IFERROR(__xludf.DUMMYFUNCTION("""COMPUTED_VALUE"""),"584 CONCESSION 3 W")</f>
        <v>584 CONCESSION 3 W</v>
      </c>
      <c r="C9639" s="3"/>
      <c r="D9639" s="3"/>
      <c r="E9639" s="3"/>
      <c r="F9639" s="3"/>
      <c r="G9639" s="3"/>
      <c r="H9639" s="3"/>
    </row>
    <row r="9640">
      <c r="A9640" s="2">
        <f>IFERROR(__xludf.DUMMYFUNCTION("""COMPUTED_VALUE"""),50435.0)</f>
        <v>50435</v>
      </c>
      <c r="B9640" s="3" t="str">
        <f>IFERROR(__xludf.DUMMYFUNCTION("""COMPUTED_VALUE"""),"7622 COUNTY RD 18")</f>
        <v>7622 COUNTY RD 18</v>
      </c>
      <c r="C9640" s="3" t="str">
        <f>IFERROR(__xludf.DUMMYFUNCTION("""COMPUTED_VALUE"""),"ROSENEATH ")</f>
        <v>ROSENEATH </v>
      </c>
      <c r="D9640" s="3" t="str">
        <f>IFERROR(__xludf.DUMMYFUNCTION("""COMPUTED_VALUE"""),"K0K 2X0")</f>
        <v>K0K 2X0</v>
      </c>
      <c r="E9640" s="3"/>
      <c r="F9640" s="3"/>
      <c r="G9640" s="3"/>
      <c r="H9640" s="3"/>
    </row>
    <row r="9641">
      <c r="A9641" s="2">
        <f>IFERROR(__xludf.DUMMYFUNCTION("""COMPUTED_VALUE"""),50436.0)</f>
        <v>50436</v>
      </c>
      <c r="B9641" s="3" t="str">
        <f>IFERROR(__xludf.DUMMYFUNCTION("""COMPUTED_VALUE"""),"7630 COUNTY RD 18")</f>
        <v>7630 COUNTY RD 18</v>
      </c>
      <c r="C9641" s="3" t="str">
        <f>IFERROR(__xludf.DUMMYFUNCTION("""COMPUTED_VALUE"""),"ROSENEATH ")</f>
        <v>ROSENEATH </v>
      </c>
      <c r="D9641" s="3" t="str">
        <f>IFERROR(__xludf.DUMMYFUNCTION("""COMPUTED_VALUE"""),"K0K 2X0")</f>
        <v>K0K 2X0</v>
      </c>
      <c r="E9641" s="3" t="str">
        <f>IFERROR(__xludf.DUMMYFUNCTION("""COMPUTED_VALUE"""),"Greg Railsback")</f>
        <v>Greg Railsback</v>
      </c>
      <c r="F9641" s="3" t="str">
        <f>IFERROR(__xludf.DUMMYFUNCTION("""COMPUTED_VALUE"""),"railsbackg33@gmail.com")</f>
        <v>railsbackg33@gmail.com</v>
      </c>
      <c r="G9641" s="3"/>
      <c r="H9641" s="3"/>
    </row>
    <row r="9642">
      <c r="A9642" s="2">
        <f>IFERROR(__xludf.DUMMYFUNCTION("""COMPUTED_VALUE"""),50437.0)</f>
        <v>50437</v>
      </c>
      <c r="B9642" s="3" t="str">
        <f>IFERROR(__xludf.DUMMYFUNCTION("""COMPUTED_VALUE"""),"7685 COUNTY RD 18")</f>
        <v>7685 COUNTY RD 18</v>
      </c>
      <c r="C9642" s="3" t="str">
        <f>IFERROR(__xludf.DUMMYFUNCTION("""COMPUTED_VALUE"""),"ROSENEATH ")</f>
        <v>ROSENEATH </v>
      </c>
      <c r="D9642" s="3" t="str">
        <f>IFERROR(__xludf.DUMMYFUNCTION("""COMPUTED_VALUE"""),"K0K 2X0")</f>
        <v>K0K 2X0</v>
      </c>
      <c r="E9642" s="3"/>
      <c r="F9642" s="3"/>
      <c r="G9642" s="3"/>
      <c r="H9642" s="3"/>
    </row>
    <row r="9643">
      <c r="A9643" s="2">
        <f>IFERROR(__xludf.DUMMYFUNCTION("""COMPUTED_VALUE"""),50438.0)</f>
        <v>50438</v>
      </c>
      <c r="B9643" s="3" t="str">
        <f>IFERROR(__xludf.DUMMYFUNCTION("""COMPUTED_VALUE"""),"7686 COUNTY RD 18")</f>
        <v>7686 COUNTY RD 18</v>
      </c>
      <c r="C9643" s="3" t="str">
        <f>IFERROR(__xludf.DUMMYFUNCTION("""COMPUTED_VALUE"""),"ROSENEATH ")</f>
        <v>ROSENEATH </v>
      </c>
      <c r="D9643" s="3" t="str">
        <f>IFERROR(__xludf.DUMMYFUNCTION("""COMPUTED_VALUE"""),"K0K 2X0")</f>
        <v>K0K 2X0</v>
      </c>
      <c r="E9643" s="3"/>
      <c r="F9643" s="3"/>
      <c r="G9643" s="3"/>
      <c r="H9643" s="3"/>
    </row>
    <row r="9644">
      <c r="A9644" s="2">
        <f>IFERROR(__xludf.DUMMYFUNCTION("""COMPUTED_VALUE"""),50439.0)</f>
        <v>50439</v>
      </c>
      <c r="B9644" s="3" t="str">
        <f>IFERROR(__xludf.DUMMYFUNCTION("""COMPUTED_VALUE"""),"7782 COUNTY RD 18")</f>
        <v>7782 COUNTY RD 18</v>
      </c>
      <c r="C9644" s="3" t="str">
        <f>IFERROR(__xludf.DUMMYFUNCTION("""COMPUTED_VALUE"""),"ROSENEATH ")</f>
        <v>ROSENEATH </v>
      </c>
      <c r="D9644" s="3" t="str">
        <f>IFERROR(__xludf.DUMMYFUNCTION("""COMPUTED_VALUE"""),"K0K 2X0")</f>
        <v>K0K 2X0</v>
      </c>
      <c r="E9644" s="3"/>
      <c r="F9644" s="3"/>
      <c r="G9644" s="3"/>
      <c r="H9644" s="3"/>
    </row>
    <row r="9645">
      <c r="A9645" s="2">
        <f>IFERROR(__xludf.DUMMYFUNCTION("""COMPUTED_VALUE"""),50440.0)</f>
        <v>50440</v>
      </c>
      <c r="B9645" s="3" t="str">
        <f>IFERROR(__xludf.DUMMYFUNCTION("""COMPUTED_VALUE"""),"7785 COUNTY RD 18")</f>
        <v>7785 COUNTY RD 18</v>
      </c>
      <c r="C9645" s="3" t="str">
        <f>IFERROR(__xludf.DUMMYFUNCTION("""COMPUTED_VALUE"""),"ROSENEATH ")</f>
        <v>ROSENEATH </v>
      </c>
      <c r="D9645" s="3" t="str">
        <f>IFERROR(__xludf.DUMMYFUNCTION("""COMPUTED_VALUE"""),"K0K 2X0")</f>
        <v>K0K 2X0</v>
      </c>
      <c r="E9645" s="3"/>
      <c r="F9645" s="3"/>
      <c r="G9645" s="3"/>
      <c r="H9645" s="3"/>
    </row>
    <row r="9646">
      <c r="A9646" s="2">
        <f>IFERROR(__xludf.DUMMYFUNCTION("""COMPUTED_VALUE"""),50441.0)</f>
        <v>50441</v>
      </c>
      <c r="B9646" s="3" t="str">
        <f>IFERROR(__xludf.DUMMYFUNCTION("""COMPUTED_VALUE"""),"7800 COUNTY ROAD 18")</f>
        <v>7800 COUNTY ROAD 18</v>
      </c>
      <c r="C9646" s="3" t="str">
        <f>IFERROR(__xludf.DUMMYFUNCTION("""COMPUTED_VALUE"""),"ROSENEATH ")</f>
        <v>ROSENEATH </v>
      </c>
      <c r="D9646" s="3" t="str">
        <f>IFERROR(__xludf.DUMMYFUNCTION("""COMPUTED_VALUE"""),"K0K 2X0")</f>
        <v>K0K 2X0</v>
      </c>
      <c r="E9646" s="3"/>
      <c r="F9646" s="3"/>
      <c r="G9646" s="3"/>
      <c r="H9646" s="3"/>
    </row>
    <row r="9647">
      <c r="A9647" s="2">
        <f>IFERROR(__xludf.DUMMYFUNCTION("""COMPUTED_VALUE"""),50442.0)</f>
        <v>50442</v>
      </c>
      <c r="B9647" s="3" t="str">
        <f>IFERROR(__xludf.DUMMYFUNCTION("""COMPUTED_VALUE"""),"7954 COUNTY ROAD 18")</f>
        <v>7954 COUNTY ROAD 18</v>
      </c>
      <c r="C9647" s="3" t="str">
        <f>IFERROR(__xludf.DUMMYFUNCTION("""COMPUTED_VALUE"""),"ROSENEATH ")</f>
        <v>ROSENEATH </v>
      </c>
      <c r="D9647" s="3" t="str">
        <f>IFERROR(__xludf.DUMMYFUNCTION("""COMPUTED_VALUE"""),"K0K 2X0")</f>
        <v>K0K 2X0</v>
      </c>
      <c r="E9647" s="3"/>
      <c r="F9647" s="3"/>
      <c r="G9647" s="3"/>
      <c r="H9647" s="3"/>
    </row>
    <row r="9648">
      <c r="A9648" s="2">
        <f>IFERROR(__xludf.DUMMYFUNCTION("""COMPUTED_VALUE"""),50443.0)</f>
        <v>50443</v>
      </c>
      <c r="B9648" s="3" t="str">
        <f>IFERROR(__xludf.DUMMYFUNCTION("""COMPUTED_VALUE"""),"7968 COUNTY RD 18")</f>
        <v>7968 COUNTY RD 18</v>
      </c>
      <c r="C9648" s="3" t="str">
        <f>IFERROR(__xludf.DUMMYFUNCTION("""COMPUTED_VALUE"""),"ROSENEATH ")</f>
        <v>ROSENEATH </v>
      </c>
      <c r="D9648" s="3" t="str">
        <f>IFERROR(__xludf.DUMMYFUNCTION("""COMPUTED_VALUE"""),"K0K 2X0")</f>
        <v>K0K 2X0</v>
      </c>
      <c r="E9648" s="3"/>
      <c r="F9648" s="3"/>
      <c r="G9648" s="3"/>
      <c r="H9648" s="3"/>
    </row>
    <row r="9649">
      <c r="A9649" s="2">
        <f>IFERROR(__xludf.DUMMYFUNCTION("""COMPUTED_VALUE"""),50444.0)</f>
        <v>50444</v>
      </c>
      <c r="B9649" s="3" t="str">
        <f>IFERROR(__xludf.DUMMYFUNCTION("""COMPUTED_VALUE"""),"7989 COUNTY ROAD 18")</f>
        <v>7989 COUNTY ROAD 18</v>
      </c>
      <c r="C9649" s="3" t="str">
        <f>IFERROR(__xludf.DUMMYFUNCTION("""COMPUTED_VALUE"""),"ROSENEATH ")</f>
        <v>ROSENEATH </v>
      </c>
      <c r="D9649" s="3" t="str">
        <f>IFERROR(__xludf.DUMMYFUNCTION("""COMPUTED_VALUE"""),"K0K 2X0")</f>
        <v>K0K 2X0</v>
      </c>
      <c r="E9649" s="3"/>
      <c r="F9649" s="3"/>
      <c r="G9649" s="3"/>
      <c r="H9649" s="3"/>
    </row>
    <row r="9650">
      <c r="A9650" s="2">
        <f>IFERROR(__xludf.DUMMYFUNCTION("""COMPUTED_VALUE"""),50445.0)</f>
        <v>50445</v>
      </c>
      <c r="B9650" s="3" t="str">
        <f>IFERROR(__xludf.DUMMYFUNCTION("""COMPUTED_VALUE"""),"8037 COUNTY ROAD 18")</f>
        <v>8037 COUNTY ROAD 18</v>
      </c>
      <c r="C9650" s="3" t="str">
        <f>IFERROR(__xludf.DUMMYFUNCTION("""COMPUTED_VALUE"""),"ROSENEATH ")</f>
        <v>ROSENEATH </v>
      </c>
      <c r="D9650" s="3" t="str">
        <f>IFERROR(__xludf.DUMMYFUNCTION("""COMPUTED_VALUE"""),"K0K 2X0")</f>
        <v>K0K 2X0</v>
      </c>
      <c r="E9650" s="3"/>
      <c r="F9650" s="3"/>
      <c r="G9650" s="3"/>
      <c r="H9650" s="3"/>
    </row>
    <row r="9651">
      <c r="A9651" s="2">
        <f>IFERROR(__xludf.DUMMYFUNCTION("""COMPUTED_VALUE"""),50446.0)</f>
        <v>50446</v>
      </c>
      <c r="B9651" s="3" t="str">
        <f>IFERROR(__xludf.DUMMYFUNCTION("""COMPUTED_VALUE"""),"8094 COUNTY RD 18")</f>
        <v>8094 COUNTY RD 18</v>
      </c>
      <c r="C9651" s="3" t="str">
        <f>IFERROR(__xludf.DUMMYFUNCTION("""COMPUTED_VALUE"""),"ROSENEATH ")</f>
        <v>ROSENEATH </v>
      </c>
      <c r="D9651" s="3" t="str">
        <f>IFERROR(__xludf.DUMMYFUNCTION("""COMPUTED_VALUE"""),"K0K 2X0")</f>
        <v>K0K 2X0</v>
      </c>
      <c r="E9651" s="3"/>
      <c r="F9651" s="3"/>
      <c r="G9651" s="3"/>
      <c r="H9651" s="3"/>
    </row>
    <row r="9652">
      <c r="A9652" s="2">
        <f>IFERROR(__xludf.DUMMYFUNCTION("""COMPUTED_VALUE"""),50447.0)</f>
        <v>50447</v>
      </c>
      <c r="B9652" s="3" t="str">
        <f>IFERROR(__xludf.DUMMYFUNCTION("""COMPUTED_VALUE"""),"8131 COUNTY ROAD 18")</f>
        <v>8131 COUNTY ROAD 18</v>
      </c>
      <c r="C9652" s="3" t="str">
        <f>IFERROR(__xludf.DUMMYFUNCTION("""COMPUTED_VALUE"""),"ROSENEATH ")</f>
        <v>ROSENEATH </v>
      </c>
      <c r="D9652" s="3" t="str">
        <f>IFERROR(__xludf.DUMMYFUNCTION("""COMPUTED_VALUE"""),"K0K 2X0")</f>
        <v>K0K 2X0</v>
      </c>
      <c r="E9652" s="3" t="str">
        <f>IFERROR(__xludf.DUMMYFUNCTION("""COMPUTED_VALUE"""),"Ian Mackie")</f>
        <v>Ian Mackie</v>
      </c>
      <c r="F9652" s="3" t="str">
        <f>IFERROR(__xludf.DUMMYFUNCTION("""COMPUTED_VALUE"""),"is.mackie@icloud.com")</f>
        <v>is.mackie@icloud.com</v>
      </c>
      <c r="G9652" s="3"/>
      <c r="H9652" s="3"/>
    </row>
    <row r="9653">
      <c r="A9653" s="2">
        <f>IFERROR(__xludf.DUMMYFUNCTION("""COMPUTED_VALUE"""),50448.0)</f>
        <v>50448</v>
      </c>
      <c r="B9653" s="3" t="str">
        <f>IFERROR(__xludf.DUMMYFUNCTION("""COMPUTED_VALUE"""),"8152 COUNTY ROAD 18")</f>
        <v>8152 COUNTY ROAD 18</v>
      </c>
      <c r="C9653" s="3" t="str">
        <f>IFERROR(__xludf.DUMMYFUNCTION("""COMPUTED_VALUE"""),"ROSENEATH ")</f>
        <v>ROSENEATH </v>
      </c>
      <c r="D9653" s="3" t="str">
        <f>IFERROR(__xludf.DUMMYFUNCTION("""COMPUTED_VALUE"""),"K0K 2X0")</f>
        <v>K0K 2X0</v>
      </c>
      <c r="E9653" s="3"/>
      <c r="F9653" s="3"/>
      <c r="G9653" s="3"/>
      <c r="H9653" s="3"/>
    </row>
    <row r="9654">
      <c r="A9654" s="2">
        <f>IFERROR(__xludf.DUMMYFUNCTION("""COMPUTED_VALUE"""),50449.0)</f>
        <v>50449</v>
      </c>
      <c r="B9654" s="3" t="str">
        <f>IFERROR(__xludf.DUMMYFUNCTION("""COMPUTED_VALUE"""),"8184 COUNTY ROAD 18")</f>
        <v>8184 COUNTY ROAD 18</v>
      </c>
      <c r="C9654" s="3" t="str">
        <f>IFERROR(__xludf.DUMMYFUNCTION("""COMPUTED_VALUE"""),"ROSENEATH ")</f>
        <v>ROSENEATH </v>
      </c>
      <c r="D9654" s="3" t="str">
        <f>IFERROR(__xludf.DUMMYFUNCTION("""COMPUTED_VALUE"""),"K0K 2X0")</f>
        <v>K0K 2X0</v>
      </c>
      <c r="E9654" s="3"/>
      <c r="F9654" s="3"/>
      <c r="G9654" s="3"/>
      <c r="H9654" s="3"/>
    </row>
    <row r="9655">
      <c r="A9655" s="2">
        <f>IFERROR(__xludf.DUMMYFUNCTION("""COMPUTED_VALUE"""),50450.0)</f>
        <v>50450</v>
      </c>
      <c r="B9655" s="3" t="str">
        <f>IFERROR(__xludf.DUMMYFUNCTION("""COMPUTED_VALUE"""),"8191 COUNTY ROAD 18")</f>
        <v>8191 COUNTY ROAD 18</v>
      </c>
      <c r="C9655" s="3" t="str">
        <f>IFERROR(__xludf.DUMMYFUNCTION("""COMPUTED_VALUE"""),"ROSENEATH ")</f>
        <v>ROSENEATH </v>
      </c>
      <c r="D9655" s="3" t="str">
        <f>IFERROR(__xludf.DUMMYFUNCTION("""COMPUTED_VALUE"""),"K0K 2X0")</f>
        <v>K0K 2X0</v>
      </c>
      <c r="E9655" s="3" t="str">
        <f>IFERROR(__xludf.DUMMYFUNCTION("""COMPUTED_VALUE"""),"Kelly Keruzore")</f>
        <v>Kelly Keruzore</v>
      </c>
      <c r="F9655" s="3" t="str">
        <f>IFERROR(__xludf.DUMMYFUNCTION("""COMPUTED_VALUE"""),"kelly.keruzore@gmail.com")</f>
        <v>kelly.keruzore@gmail.com</v>
      </c>
      <c r="G9655" s="3">
        <f>IFERROR(__xludf.DUMMYFUNCTION("""COMPUTED_VALUE"""),9.053735778E9)</f>
        <v>9053735778</v>
      </c>
      <c r="H9655" s="3">
        <f>IFERROR(__xludf.DUMMYFUNCTION("""COMPUTED_VALUE"""),9.05375535E9)</f>
        <v>9053755350</v>
      </c>
    </row>
    <row r="9656">
      <c r="A9656" s="2">
        <f>IFERROR(__xludf.DUMMYFUNCTION("""COMPUTED_VALUE"""),50451.0)</f>
        <v>50451</v>
      </c>
      <c r="B9656" s="3" t="str">
        <f>IFERROR(__xludf.DUMMYFUNCTION("""COMPUTED_VALUE"""),"8228 COUNTY ROAD 18")</f>
        <v>8228 COUNTY ROAD 18</v>
      </c>
      <c r="C9656" s="3" t="str">
        <f>IFERROR(__xludf.DUMMYFUNCTION("""COMPUTED_VALUE"""),"ROSENEATH ")</f>
        <v>ROSENEATH </v>
      </c>
      <c r="D9656" s="3" t="str">
        <f>IFERROR(__xludf.DUMMYFUNCTION("""COMPUTED_VALUE"""),"K0K 2X0")</f>
        <v>K0K 2X0</v>
      </c>
      <c r="E9656" s="3"/>
      <c r="F9656" s="3"/>
      <c r="G9656" s="3"/>
      <c r="H9656" s="3"/>
    </row>
    <row r="9657">
      <c r="A9657" s="2">
        <f>IFERROR(__xludf.DUMMYFUNCTION("""COMPUTED_VALUE"""),50452.0)</f>
        <v>50452</v>
      </c>
      <c r="B9657" s="3" t="str">
        <f>IFERROR(__xludf.DUMMYFUNCTION("""COMPUTED_VALUE"""),"8257 COUNTY ROAD 18")</f>
        <v>8257 COUNTY ROAD 18</v>
      </c>
      <c r="C9657" s="3" t="str">
        <f>IFERROR(__xludf.DUMMYFUNCTION("""COMPUTED_VALUE"""),"ROSENEATH ")</f>
        <v>ROSENEATH </v>
      </c>
      <c r="D9657" s="3" t="str">
        <f>IFERROR(__xludf.DUMMYFUNCTION("""COMPUTED_VALUE"""),"K0K 2X0")</f>
        <v>K0K 2X0</v>
      </c>
      <c r="E9657" s="3"/>
      <c r="F9657" s="3"/>
      <c r="G9657" s="3"/>
      <c r="H9657" s="3"/>
    </row>
    <row r="9658">
      <c r="A9658" s="2">
        <f>IFERROR(__xludf.DUMMYFUNCTION("""COMPUTED_VALUE"""),50453.0)</f>
        <v>50453</v>
      </c>
      <c r="B9658" s="3" t="str">
        <f>IFERROR(__xludf.DUMMYFUNCTION("""COMPUTED_VALUE"""),"8263 COUNTY RD 18")</f>
        <v>8263 COUNTY RD 18</v>
      </c>
      <c r="C9658" s="3" t="str">
        <f>IFERROR(__xludf.DUMMYFUNCTION("""COMPUTED_VALUE"""),"ROSENEATH ")</f>
        <v>ROSENEATH </v>
      </c>
      <c r="D9658" s="3" t="str">
        <f>IFERROR(__xludf.DUMMYFUNCTION("""COMPUTED_VALUE"""),"K0K 2X0")</f>
        <v>K0K 2X0</v>
      </c>
      <c r="E9658" s="3"/>
      <c r="F9658" s="3"/>
      <c r="G9658" s="3"/>
      <c r="H9658" s="3"/>
    </row>
    <row r="9659">
      <c r="A9659" s="2">
        <f>IFERROR(__xludf.DUMMYFUNCTION("""COMPUTED_VALUE"""),50454.0)</f>
        <v>50454</v>
      </c>
      <c r="B9659" s="3" t="str">
        <f>IFERROR(__xludf.DUMMYFUNCTION("""COMPUTED_VALUE"""),"8340 COUNTY RD 18")</f>
        <v>8340 COUNTY RD 18</v>
      </c>
      <c r="C9659" s="3" t="str">
        <f>IFERROR(__xludf.DUMMYFUNCTION("""COMPUTED_VALUE"""),"ROSENEATH ")</f>
        <v>ROSENEATH </v>
      </c>
      <c r="D9659" s="3" t="str">
        <f>IFERROR(__xludf.DUMMYFUNCTION("""COMPUTED_VALUE"""),"K0K 2X0")</f>
        <v>K0K 2X0</v>
      </c>
      <c r="E9659" s="3"/>
      <c r="F9659" s="3"/>
      <c r="G9659" s="3"/>
      <c r="H9659" s="3"/>
    </row>
    <row r="9660">
      <c r="A9660" s="2">
        <f>IFERROR(__xludf.DUMMYFUNCTION("""COMPUTED_VALUE"""),50455.0)</f>
        <v>50455</v>
      </c>
      <c r="B9660" s="3" t="str">
        <f>IFERROR(__xludf.DUMMYFUNCTION("""COMPUTED_VALUE"""),"8347 COUNTY RD 18")</f>
        <v>8347 COUNTY RD 18</v>
      </c>
      <c r="C9660" s="3" t="str">
        <f>IFERROR(__xludf.DUMMYFUNCTION("""COMPUTED_VALUE"""),"ROSENEATH ")</f>
        <v>ROSENEATH </v>
      </c>
      <c r="D9660" s="3" t="str">
        <f>IFERROR(__xludf.DUMMYFUNCTION("""COMPUTED_VALUE"""),"K0K 2X0")</f>
        <v>K0K 2X0</v>
      </c>
      <c r="E9660" s="3"/>
      <c r="F9660" s="3"/>
      <c r="G9660" s="3"/>
      <c r="H9660" s="3"/>
    </row>
    <row r="9661">
      <c r="A9661" s="2">
        <f>IFERROR(__xludf.DUMMYFUNCTION("""COMPUTED_VALUE"""),50456.0)</f>
        <v>50456</v>
      </c>
      <c r="B9661" s="3" t="str">
        <f>IFERROR(__xludf.DUMMYFUNCTION("""COMPUTED_VALUE"""),"8393 COUNTY RD 18")</f>
        <v>8393 COUNTY RD 18</v>
      </c>
      <c r="C9661" s="3" t="str">
        <f>IFERROR(__xludf.DUMMYFUNCTION("""COMPUTED_VALUE"""),"ROSENEATH ")</f>
        <v>ROSENEATH </v>
      </c>
      <c r="D9661" s="3" t="str">
        <f>IFERROR(__xludf.DUMMYFUNCTION("""COMPUTED_VALUE"""),"K0K 2X0")</f>
        <v>K0K 2X0</v>
      </c>
      <c r="E9661" s="3"/>
      <c r="F9661" s="3"/>
      <c r="G9661" s="3"/>
      <c r="H9661" s="3"/>
    </row>
    <row r="9662">
      <c r="A9662" s="2">
        <f>IFERROR(__xludf.DUMMYFUNCTION("""COMPUTED_VALUE"""),50457.0)</f>
        <v>50457</v>
      </c>
      <c r="B9662" s="3" t="str">
        <f>IFERROR(__xludf.DUMMYFUNCTION("""COMPUTED_VALUE"""),"8400 COUNTY RD 18")</f>
        <v>8400 COUNTY RD 18</v>
      </c>
      <c r="C9662" s="3" t="str">
        <f>IFERROR(__xludf.DUMMYFUNCTION("""COMPUTED_VALUE"""),"ROSENEATH ")</f>
        <v>ROSENEATH </v>
      </c>
      <c r="D9662" s="3" t="str">
        <f>IFERROR(__xludf.DUMMYFUNCTION("""COMPUTED_VALUE"""),"K0K 2X0")</f>
        <v>K0K 2X0</v>
      </c>
      <c r="E9662" s="3"/>
      <c r="F9662" s="3"/>
      <c r="G9662" s="3"/>
      <c r="H9662" s="3"/>
    </row>
    <row r="9663">
      <c r="A9663" s="2">
        <f>IFERROR(__xludf.DUMMYFUNCTION("""COMPUTED_VALUE"""),50458.0)</f>
        <v>50458</v>
      </c>
      <c r="B9663" s="3" t="str">
        <f>IFERROR(__xludf.DUMMYFUNCTION("""COMPUTED_VALUE"""),"8425 COUNTY RD 18")</f>
        <v>8425 COUNTY RD 18</v>
      </c>
      <c r="C9663" s="3" t="str">
        <f>IFERROR(__xludf.DUMMYFUNCTION("""COMPUTED_VALUE"""),"ROSENEATH ")</f>
        <v>ROSENEATH </v>
      </c>
      <c r="D9663" s="3" t="str">
        <f>IFERROR(__xludf.DUMMYFUNCTION("""COMPUTED_VALUE"""),"K0K 2X0")</f>
        <v>K0K 2X0</v>
      </c>
      <c r="E9663" s="3"/>
      <c r="F9663" s="3"/>
      <c r="G9663" s="3"/>
      <c r="H9663" s="3"/>
    </row>
    <row r="9664">
      <c r="A9664" s="2">
        <f>IFERROR(__xludf.DUMMYFUNCTION("""COMPUTED_VALUE"""),50459.0)</f>
        <v>50459</v>
      </c>
      <c r="B9664" s="3" t="str">
        <f>IFERROR(__xludf.DUMMYFUNCTION("""COMPUTED_VALUE"""),"8440 COUNTY RD 18")</f>
        <v>8440 COUNTY RD 18</v>
      </c>
      <c r="C9664" s="3" t="str">
        <f>IFERROR(__xludf.DUMMYFUNCTION("""COMPUTED_VALUE"""),"ROSENEATH ")</f>
        <v>ROSENEATH </v>
      </c>
      <c r="D9664" s="3" t="str">
        <f>IFERROR(__xludf.DUMMYFUNCTION("""COMPUTED_VALUE"""),"K0K 2X0")</f>
        <v>K0K 2X0</v>
      </c>
      <c r="E9664" s="3"/>
      <c r="F9664" s="3"/>
      <c r="G9664" s="3"/>
      <c r="H9664" s="3"/>
    </row>
    <row r="9665">
      <c r="A9665" s="2">
        <f>IFERROR(__xludf.DUMMYFUNCTION("""COMPUTED_VALUE"""),50460.0)</f>
        <v>50460</v>
      </c>
      <c r="B9665" s="3" t="str">
        <f>IFERROR(__xludf.DUMMYFUNCTION("""COMPUTED_VALUE"""),"8467 COUNTY RD 18 UNIT A")</f>
        <v>8467 COUNTY RD 18 UNIT A</v>
      </c>
      <c r="C9665" s="3" t="str">
        <f>IFERROR(__xludf.DUMMYFUNCTION("""COMPUTED_VALUE"""),"ROSENEATH ")</f>
        <v>ROSENEATH </v>
      </c>
      <c r="D9665" s="3" t="str">
        <f>IFERROR(__xludf.DUMMYFUNCTION("""COMPUTED_VALUE"""),"K0K 2X0")</f>
        <v>K0K 2X0</v>
      </c>
      <c r="E9665" s="3"/>
      <c r="F9665" s="3"/>
      <c r="G9665" s="3"/>
      <c r="H9665" s="3"/>
    </row>
    <row r="9666">
      <c r="A9666" s="2">
        <f>IFERROR(__xludf.DUMMYFUNCTION("""COMPUTED_VALUE"""),50461.0)</f>
        <v>50461</v>
      </c>
      <c r="B9666" s="3" t="str">
        <f>IFERROR(__xludf.DUMMYFUNCTION("""COMPUTED_VALUE"""),"8483 COUNTY RD 18")</f>
        <v>8483 COUNTY RD 18</v>
      </c>
      <c r="C9666" s="3" t="str">
        <f>IFERROR(__xludf.DUMMYFUNCTION("""COMPUTED_VALUE"""),"ROSENEATH ")</f>
        <v>ROSENEATH </v>
      </c>
      <c r="D9666" s="3" t="str">
        <f>IFERROR(__xludf.DUMMYFUNCTION("""COMPUTED_VALUE"""),"K0K 2X0")</f>
        <v>K0K 2X0</v>
      </c>
      <c r="E9666" s="3"/>
      <c r="F9666" s="3"/>
      <c r="G9666" s="3"/>
      <c r="H9666" s="3"/>
    </row>
    <row r="9667">
      <c r="A9667" s="2">
        <f>IFERROR(__xludf.DUMMYFUNCTION("""COMPUTED_VALUE"""),50462.0)</f>
        <v>50462</v>
      </c>
      <c r="B9667" s="3" t="str">
        <f>IFERROR(__xludf.DUMMYFUNCTION("""COMPUTED_VALUE"""),"8511 COUNTY RD 18")</f>
        <v>8511 COUNTY RD 18</v>
      </c>
      <c r="C9667" s="3" t="str">
        <f>IFERROR(__xludf.DUMMYFUNCTION("""COMPUTED_VALUE"""),"ROSENEATH ")</f>
        <v>ROSENEATH </v>
      </c>
      <c r="D9667" s="3" t="str">
        <f>IFERROR(__xludf.DUMMYFUNCTION("""COMPUTED_VALUE"""),"K0K 2X0")</f>
        <v>K0K 2X0</v>
      </c>
      <c r="E9667" s="3"/>
      <c r="F9667" s="3"/>
      <c r="G9667" s="3"/>
      <c r="H9667" s="3"/>
    </row>
    <row r="9668">
      <c r="A9668" s="2">
        <f>IFERROR(__xludf.DUMMYFUNCTION("""COMPUTED_VALUE"""),50463.0)</f>
        <v>50463</v>
      </c>
      <c r="B9668" s="3" t="str">
        <f>IFERROR(__xludf.DUMMYFUNCTION("""COMPUTED_VALUE"""),"8514 COUNTY RD 18")</f>
        <v>8514 COUNTY RD 18</v>
      </c>
      <c r="C9668" s="3" t="str">
        <f>IFERROR(__xludf.DUMMYFUNCTION("""COMPUTED_VALUE"""),"ROSENEATH ")</f>
        <v>ROSENEATH </v>
      </c>
      <c r="D9668" s="3" t="str">
        <f>IFERROR(__xludf.DUMMYFUNCTION("""COMPUTED_VALUE"""),"K0K 2X0")</f>
        <v>K0K 2X0</v>
      </c>
      <c r="E9668" s="3"/>
      <c r="F9668" s="3"/>
      <c r="G9668" s="3"/>
      <c r="H9668" s="3"/>
    </row>
    <row r="9669">
      <c r="A9669" s="2">
        <f>IFERROR(__xludf.DUMMYFUNCTION("""COMPUTED_VALUE"""),50464.0)</f>
        <v>50464</v>
      </c>
      <c r="B9669" s="3" t="str">
        <f>IFERROR(__xludf.DUMMYFUNCTION("""COMPUTED_VALUE"""),"8547 COUNTY RD 18")</f>
        <v>8547 COUNTY RD 18</v>
      </c>
      <c r="C9669" s="3" t="str">
        <f>IFERROR(__xludf.DUMMYFUNCTION("""COMPUTED_VALUE"""),"ROSENEATH ")</f>
        <v>ROSENEATH </v>
      </c>
      <c r="D9669" s="3" t="str">
        <f>IFERROR(__xludf.DUMMYFUNCTION("""COMPUTED_VALUE"""),"K0K 2X0")</f>
        <v>K0K 2X0</v>
      </c>
      <c r="E9669" s="3"/>
      <c r="F9669" s="3"/>
      <c r="G9669" s="3"/>
      <c r="H9669" s="3"/>
    </row>
    <row r="9670">
      <c r="A9670" s="2">
        <f>IFERROR(__xludf.DUMMYFUNCTION("""COMPUTED_VALUE"""),50465.0)</f>
        <v>50465</v>
      </c>
      <c r="B9670" s="3" t="str">
        <f>IFERROR(__xludf.DUMMYFUNCTION("""COMPUTED_VALUE"""),"8551 COUNTY RD 18")</f>
        <v>8551 COUNTY RD 18</v>
      </c>
      <c r="C9670" s="3" t="str">
        <f>IFERROR(__xludf.DUMMYFUNCTION("""COMPUTED_VALUE"""),"ROSENEATH ")</f>
        <v>ROSENEATH </v>
      </c>
      <c r="D9670" s="3" t="str">
        <f>IFERROR(__xludf.DUMMYFUNCTION("""COMPUTED_VALUE"""),"K0K 2X0")</f>
        <v>K0K 2X0</v>
      </c>
      <c r="E9670" s="3"/>
      <c r="F9670" s="3"/>
      <c r="G9670" s="3"/>
      <c r="H9670" s="3"/>
    </row>
    <row r="9671">
      <c r="A9671" s="2">
        <f>IFERROR(__xludf.DUMMYFUNCTION("""COMPUTED_VALUE"""),50466.0)</f>
        <v>50466</v>
      </c>
      <c r="B9671" s="3" t="str">
        <f>IFERROR(__xludf.DUMMYFUNCTION("""COMPUTED_VALUE"""),"8554 COUNTY RD 18")</f>
        <v>8554 COUNTY RD 18</v>
      </c>
      <c r="C9671" s="3" t="str">
        <f>IFERROR(__xludf.DUMMYFUNCTION("""COMPUTED_VALUE"""),"ROSENEATH ")</f>
        <v>ROSENEATH </v>
      </c>
      <c r="D9671" s="3" t="str">
        <f>IFERROR(__xludf.DUMMYFUNCTION("""COMPUTED_VALUE"""),"K0K 2X0")</f>
        <v>K0K 2X0</v>
      </c>
      <c r="E9671" s="3"/>
      <c r="F9671" s="3"/>
      <c r="G9671" s="3"/>
      <c r="H9671" s="3"/>
    </row>
    <row r="9672">
      <c r="A9672" s="2">
        <f>IFERROR(__xludf.DUMMYFUNCTION("""COMPUTED_VALUE"""),50467.0)</f>
        <v>50467</v>
      </c>
      <c r="B9672" s="3" t="str">
        <f>IFERROR(__xludf.DUMMYFUNCTION("""COMPUTED_VALUE"""),"8617 COUNTY RD 18")</f>
        <v>8617 COUNTY RD 18</v>
      </c>
      <c r="C9672" s="3" t="str">
        <f>IFERROR(__xludf.DUMMYFUNCTION("""COMPUTED_VALUE"""),"ROSENEATH ")</f>
        <v>ROSENEATH </v>
      </c>
      <c r="D9672" s="3" t="str">
        <f>IFERROR(__xludf.DUMMYFUNCTION("""COMPUTED_VALUE"""),"K0K 2X0")</f>
        <v>K0K 2X0</v>
      </c>
      <c r="E9672" s="3"/>
      <c r="F9672" s="3"/>
      <c r="G9672" s="3"/>
      <c r="H9672" s="3"/>
    </row>
    <row r="9673">
      <c r="A9673" s="2">
        <f>IFERROR(__xludf.DUMMYFUNCTION("""COMPUTED_VALUE"""),50468.0)</f>
        <v>50468</v>
      </c>
      <c r="B9673" s="3" t="str">
        <f>IFERROR(__xludf.DUMMYFUNCTION("""COMPUTED_VALUE"""),"8618 COUNTY RD 18")</f>
        <v>8618 COUNTY RD 18</v>
      </c>
      <c r="C9673" s="3" t="str">
        <f>IFERROR(__xludf.DUMMYFUNCTION("""COMPUTED_VALUE"""),"ROSENEATH ")</f>
        <v>ROSENEATH </v>
      </c>
      <c r="D9673" s="3" t="str">
        <f>IFERROR(__xludf.DUMMYFUNCTION("""COMPUTED_VALUE"""),"K0K 2X0")</f>
        <v>K0K 2X0</v>
      </c>
      <c r="E9673" s="3" t="str">
        <f>IFERROR(__xludf.DUMMYFUNCTION("""COMPUTED_VALUE"""),"Arlene Jacobs")</f>
        <v>Arlene Jacobs</v>
      </c>
      <c r="F9673" s="3" t="str">
        <f>IFERROR(__xludf.DUMMYFUNCTION("""COMPUTED_VALUE"""),"arlene_jacobs@hotmail.ca")</f>
        <v>arlene_jacobs@hotmail.ca</v>
      </c>
      <c r="G9673" s="3">
        <f>IFERROR(__xludf.DUMMYFUNCTION("""COMPUTED_VALUE"""),9.053523307E9)</f>
        <v>9053523307</v>
      </c>
      <c r="H9673" s="3">
        <f>IFERROR(__xludf.DUMMYFUNCTION("""COMPUTED_VALUE"""),9.053762879E9)</f>
        <v>9053762879</v>
      </c>
    </row>
    <row r="9674">
      <c r="A9674" s="2">
        <f>IFERROR(__xludf.DUMMYFUNCTION("""COMPUTED_VALUE"""),50469.0)</f>
        <v>50469</v>
      </c>
      <c r="B9674" s="3" t="str">
        <f>IFERROR(__xludf.DUMMYFUNCTION("""COMPUTED_VALUE"""),"8631 COUNTY RD 18")</f>
        <v>8631 COUNTY RD 18</v>
      </c>
      <c r="C9674" s="3" t="str">
        <f>IFERROR(__xludf.DUMMYFUNCTION("""COMPUTED_VALUE"""),"ROSENEATH ")</f>
        <v>ROSENEATH </v>
      </c>
      <c r="D9674" s="3" t="str">
        <f>IFERROR(__xludf.DUMMYFUNCTION("""COMPUTED_VALUE"""),"K0K 2X0")</f>
        <v>K0K 2X0</v>
      </c>
      <c r="E9674" s="3"/>
      <c r="F9674" s="3"/>
      <c r="G9674" s="3"/>
      <c r="H9674" s="3"/>
    </row>
    <row r="9675">
      <c r="A9675" s="2">
        <f>IFERROR(__xludf.DUMMYFUNCTION("""COMPUTED_VALUE"""),50470.0)</f>
        <v>50470</v>
      </c>
      <c r="B9675" s="3" t="str">
        <f>IFERROR(__xludf.DUMMYFUNCTION("""COMPUTED_VALUE"""),"8632 COUNTY RD 18")</f>
        <v>8632 COUNTY RD 18</v>
      </c>
      <c r="C9675" s="3" t="str">
        <f>IFERROR(__xludf.DUMMYFUNCTION("""COMPUTED_VALUE"""),"ROSENEATH ")</f>
        <v>ROSENEATH </v>
      </c>
      <c r="D9675" s="3" t="str">
        <f>IFERROR(__xludf.DUMMYFUNCTION("""COMPUTED_VALUE"""),"K0K 2X0")</f>
        <v>K0K 2X0</v>
      </c>
      <c r="E9675" s="3"/>
      <c r="F9675" s="3"/>
      <c r="G9675" s="3"/>
      <c r="H9675" s="3"/>
    </row>
    <row r="9676">
      <c r="A9676" s="2">
        <f>IFERROR(__xludf.DUMMYFUNCTION("""COMPUTED_VALUE"""),50471.0)</f>
        <v>50471</v>
      </c>
      <c r="B9676" s="3" t="str">
        <f>IFERROR(__xludf.DUMMYFUNCTION("""COMPUTED_VALUE"""),"8649 COUNTY RD 18")</f>
        <v>8649 COUNTY RD 18</v>
      </c>
      <c r="C9676" s="3" t="str">
        <f>IFERROR(__xludf.DUMMYFUNCTION("""COMPUTED_VALUE"""),"ROSENEATH ")</f>
        <v>ROSENEATH </v>
      </c>
      <c r="D9676" s="3" t="str">
        <f>IFERROR(__xludf.DUMMYFUNCTION("""COMPUTED_VALUE"""),"K0K 2X0")</f>
        <v>K0K 2X0</v>
      </c>
      <c r="E9676" s="3"/>
      <c r="F9676" s="3"/>
      <c r="G9676" s="3"/>
      <c r="H9676" s="3"/>
    </row>
    <row r="9677">
      <c r="A9677" s="2">
        <f>IFERROR(__xludf.DUMMYFUNCTION("""COMPUTED_VALUE"""),50472.0)</f>
        <v>50472</v>
      </c>
      <c r="B9677" s="3" t="str">
        <f>IFERROR(__xludf.DUMMYFUNCTION("""COMPUTED_VALUE"""),"8657 COUNTY RD 18")</f>
        <v>8657 COUNTY RD 18</v>
      </c>
      <c r="C9677" s="3" t="str">
        <f>IFERROR(__xludf.DUMMYFUNCTION("""COMPUTED_VALUE"""),"ROSENEATH ")</f>
        <v>ROSENEATH </v>
      </c>
      <c r="D9677" s="3" t="str">
        <f>IFERROR(__xludf.DUMMYFUNCTION("""COMPUTED_VALUE"""),"K0K 2X0")</f>
        <v>K0K 2X0</v>
      </c>
      <c r="E9677" s="3"/>
      <c r="F9677" s="3"/>
      <c r="G9677" s="3"/>
      <c r="H9677" s="3"/>
    </row>
    <row r="9678">
      <c r="A9678" s="2">
        <f>IFERROR(__xludf.DUMMYFUNCTION("""COMPUTED_VALUE"""),50473.0)</f>
        <v>50473</v>
      </c>
      <c r="B9678" s="3" t="str">
        <f>IFERROR(__xludf.DUMMYFUNCTION("""COMPUTED_VALUE"""),"8686 COUNTY RD 18")</f>
        <v>8686 COUNTY RD 18</v>
      </c>
      <c r="C9678" s="3" t="str">
        <f>IFERROR(__xludf.DUMMYFUNCTION("""COMPUTED_VALUE"""),"ROSENEATH ")</f>
        <v>ROSENEATH </v>
      </c>
      <c r="D9678" s="3" t="str">
        <f>IFERROR(__xludf.DUMMYFUNCTION("""COMPUTED_VALUE"""),"K0K 2X0")</f>
        <v>K0K 2X0</v>
      </c>
      <c r="E9678" s="3"/>
      <c r="F9678" s="3"/>
      <c r="G9678" s="3"/>
      <c r="H9678" s="3"/>
    </row>
    <row r="9679">
      <c r="A9679" s="2">
        <f>IFERROR(__xludf.DUMMYFUNCTION("""COMPUTED_VALUE"""),50474.0)</f>
        <v>50474</v>
      </c>
      <c r="B9679" s="3" t="str">
        <f>IFERROR(__xludf.DUMMYFUNCTION("""COMPUTED_VALUE"""),"8715 COUNTY RD 18")</f>
        <v>8715 COUNTY RD 18</v>
      </c>
      <c r="C9679" s="3" t="str">
        <f>IFERROR(__xludf.DUMMYFUNCTION("""COMPUTED_VALUE"""),"ROSENEATH ")</f>
        <v>ROSENEATH </v>
      </c>
      <c r="D9679" s="3" t="str">
        <f>IFERROR(__xludf.DUMMYFUNCTION("""COMPUTED_VALUE"""),"K0K 2X0")</f>
        <v>K0K 2X0</v>
      </c>
      <c r="E9679" s="3"/>
      <c r="F9679" s="3"/>
      <c r="G9679" s="3"/>
      <c r="H9679" s="3"/>
    </row>
    <row r="9680">
      <c r="A9680" s="2">
        <f>IFERROR(__xludf.DUMMYFUNCTION("""COMPUTED_VALUE"""),50475.0)</f>
        <v>50475</v>
      </c>
      <c r="B9680" s="3" t="str">
        <f>IFERROR(__xludf.DUMMYFUNCTION("""COMPUTED_VALUE"""),"8783 COUNTY RD 18")</f>
        <v>8783 COUNTY RD 18</v>
      </c>
      <c r="C9680" s="3" t="str">
        <f>IFERROR(__xludf.DUMMYFUNCTION("""COMPUTED_VALUE"""),"ROSENEATH ")</f>
        <v>ROSENEATH </v>
      </c>
      <c r="D9680" s="3" t="str">
        <f>IFERROR(__xludf.DUMMYFUNCTION("""COMPUTED_VALUE"""),"K0K 2X0")</f>
        <v>K0K 2X0</v>
      </c>
      <c r="E9680" s="3"/>
      <c r="F9680" s="3"/>
      <c r="G9680" s="3"/>
      <c r="H9680" s="3"/>
    </row>
    <row r="9681">
      <c r="A9681" s="2">
        <f>IFERROR(__xludf.DUMMYFUNCTION("""COMPUTED_VALUE"""),50476.0)</f>
        <v>50476</v>
      </c>
      <c r="B9681" s="3" t="str">
        <f>IFERROR(__xludf.DUMMYFUNCTION("""COMPUTED_VALUE"""),"8700 COUNTY RD 18")</f>
        <v>8700 COUNTY RD 18</v>
      </c>
      <c r="C9681" s="3" t="str">
        <f>IFERROR(__xludf.DUMMYFUNCTION("""COMPUTED_VALUE"""),"ROSENEATH ")</f>
        <v>ROSENEATH </v>
      </c>
      <c r="D9681" s="3" t="str">
        <f>IFERROR(__xludf.DUMMYFUNCTION("""COMPUTED_VALUE"""),"K0K 2X0")</f>
        <v>K0K 2X0</v>
      </c>
      <c r="E9681" s="3"/>
      <c r="F9681" s="3"/>
      <c r="G9681" s="3"/>
      <c r="H9681" s="3"/>
    </row>
    <row r="9682">
      <c r="A9682" s="2">
        <f>IFERROR(__xludf.DUMMYFUNCTION("""COMPUTED_VALUE"""),50477.0)</f>
        <v>50477</v>
      </c>
      <c r="B9682" s="3" t="str">
        <f>IFERROR(__xludf.DUMMYFUNCTION("""COMPUTED_VALUE"""),"8796 COUNTY RD 18")</f>
        <v>8796 COUNTY RD 18</v>
      </c>
      <c r="C9682" s="3" t="str">
        <f>IFERROR(__xludf.DUMMYFUNCTION("""COMPUTED_VALUE"""),"ROSENEATH ")</f>
        <v>ROSENEATH </v>
      </c>
      <c r="D9682" s="3" t="str">
        <f>IFERROR(__xludf.DUMMYFUNCTION("""COMPUTED_VALUE"""),"K0K 2X0")</f>
        <v>K0K 2X0</v>
      </c>
      <c r="E9682" s="3"/>
      <c r="F9682" s="3"/>
      <c r="G9682" s="3"/>
      <c r="H9682" s="3"/>
    </row>
    <row r="9683">
      <c r="A9683" s="2">
        <f>IFERROR(__xludf.DUMMYFUNCTION("""COMPUTED_VALUE"""),50478.0)</f>
        <v>50478</v>
      </c>
      <c r="B9683" s="3" t="str">
        <f>IFERROR(__xludf.DUMMYFUNCTION("""COMPUTED_VALUE"""),"8390 COUNTY RD 18 UNIT A")</f>
        <v>8390 COUNTY RD 18 UNIT A</v>
      </c>
      <c r="C9683" s="3" t="str">
        <f>IFERROR(__xludf.DUMMYFUNCTION("""COMPUTED_VALUE"""),"ROSENEATH ")</f>
        <v>ROSENEATH </v>
      </c>
      <c r="D9683" s="3" t="str">
        <f>IFERROR(__xludf.DUMMYFUNCTION("""COMPUTED_VALUE"""),"K0K 2X0")</f>
        <v>K0K 2X0</v>
      </c>
      <c r="E9683" s="3"/>
      <c r="F9683" s="3"/>
      <c r="G9683" s="3"/>
      <c r="H9683" s="3"/>
    </row>
    <row r="9684">
      <c r="A9684" s="2">
        <f>IFERROR(__xludf.DUMMYFUNCTION("""COMPUTED_VALUE"""),50479.0)</f>
        <v>50479</v>
      </c>
      <c r="B9684" s="3" t="str">
        <f>IFERROR(__xludf.DUMMYFUNCTION("""COMPUTED_VALUE"""),"8390 COUNTY RD 18 UNIT B")</f>
        <v>8390 COUNTY RD 18 UNIT B</v>
      </c>
      <c r="C9684" s="3" t="str">
        <f>IFERROR(__xludf.DUMMYFUNCTION("""COMPUTED_VALUE"""),"ROSENEATH ")</f>
        <v>ROSENEATH </v>
      </c>
      <c r="D9684" s="3" t="str">
        <f>IFERROR(__xludf.DUMMYFUNCTION("""COMPUTED_VALUE"""),"K0K 2X0")</f>
        <v>K0K 2X0</v>
      </c>
      <c r="E9684" s="3"/>
      <c r="F9684" s="3"/>
      <c r="G9684" s="3"/>
      <c r="H9684" s="3"/>
    </row>
    <row r="9685">
      <c r="A9685" s="2">
        <f>IFERROR(__xludf.DUMMYFUNCTION("""COMPUTED_VALUE"""),50480.0)</f>
        <v>50480</v>
      </c>
      <c r="B9685" s="3" t="str">
        <f>IFERROR(__xludf.DUMMYFUNCTION("""COMPUTED_VALUE"""),"8411 A COUNTY RD 18")</f>
        <v>8411 A COUNTY RD 18</v>
      </c>
      <c r="C9685" s="3" t="str">
        <f>IFERROR(__xludf.DUMMYFUNCTION("""COMPUTED_VALUE"""),"ROSENEATH ")</f>
        <v>ROSENEATH </v>
      </c>
      <c r="D9685" s="3" t="str">
        <f>IFERROR(__xludf.DUMMYFUNCTION("""COMPUTED_VALUE"""),"K0K 2X0")</f>
        <v>K0K 2X0</v>
      </c>
      <c r="E9685" s="3"/>
      <c r="F9685" s="3"/>
      <c r="G9685" s="3"/>
      <c r="H9685" s="3"/>
    </row>
    <row r="9686">
      <c r="A9686" s="2">
        <f>IFERROR(__xludf.DUMMYFUNCTION("""COMPUTED_VALUE"""),51968.0)</f>
        <v>51968</v>
      </c>
      <c r="B9686" s="3" t="str">
        <f>IFERROR(__xludf.DUMMYFUNCTION("""COMPUTED_VALUE"""),"8467 COUNTY RD 18 UNIT B")</f>
        <v>8467 COUNTY RD 18 UNIT B</v>
      </c>
      <c r="C9686" s="3"/>
      <c r="D9686" s="3"/>
      <c r="E9686" s="3"/>
      <c r="F9686" s="3"/>
      <c r="G9686" s="3"/>
      <c r="H9686" s="3"/>
    </row>
    <row r="9687">
      <c r="A9687" s="2">
        <f>IFERROR(__xludf.DUMMYFUNCTION("""COMPUTED_VALUE"""),51969.0)</f>
        <v>51969</v>
      </c>
      <c r="B9687" s="3" t="str">
        <f>IFERROR(__xludf.DUMMYFUNCTION("""COMPUTED_VALUE"""),"8411 B COUNTY RD 18")</f>
        <v>8411 B COUNTY RD 18</v>
      </c>
      <c r="C9687" s="3"/>
      <c r="D9687" s="3"/>
      <c r="E9687" s="3"/>
      <c r="F9687" s="3"/>
      <c r="G9687" s="3"/>
      <c r="H9687" s="3"/>
    </row>
    <row r="9688">
      <c r="A9688" s="2">
        <f>IFERROR(__xludf.DUMMYFUNCTION("""COMPUTED_VALUE"""),50481.0)</f>
        <v>50481</v>
      </c>
      <c r="B9688" s="3" t="str">
        <f>IFERROR(__xludf.DUMMYFUNCTION("""COMPUTED_VALUE"""),"11887 COUNTY RD 24")</f>
        <v>11887 COUNTY RD 24</v>
      </c>
      <c r="C9688" s="3" t="str">
        <f>IFERROR(__xludf.DUMMYFUNCTION("""COMPUTED_VALUE"""),"ROSENEATH ")</f>
        <v>ROSENEATH </v>
      </c>
      <c r="D9688" s="3" t="str">
        <f>IFERROR(__xludf.DUMMYFUNCTION("""COMPUTED_VALUE"""),"K0K 2X0")</f>
        <v>K0K 2X0</v>
      </c>
      <c r="E9688" s="3"/>
      <c r="F9688" s="3"/>
      <c r="G9688" s="3"/>
      <c r="H9688" s="3"/>
    </row>
    <row r="9689">
      <c r="A9689" s="2">
        <f>IFERROR(__xludf.DUMMYFUNCTION("""COMPUTED_VALUE"""),50482.0)</f>
        <v>50482</v>
      </c>
      <c r="B9689" s="3" t="str">
        <f>IFERROR(__xludf.DUMMYFUNCTION("""COMPUTED_VALUE"""),"11891 COUNTY RD 24")</f>
        <v>11891 COUNTY RD 24</v>
      </c>
      <c r="C9689" s="3" t="str">
        <f>IFERROR(__xludf.DUMMYFUNCTION("""COMPUTED_VALUE"""),"ROSENEATH ")</f>
        <v>ROSENEATH </v>
      </c>
      <c r="D9689" s="3" t="str">
        <f>IFERROR(__xludf.DUMMYFUNCTION("""COMPUTED_VALUE"""),"K0K 2X0")</f>
        <v>K0K 2X0</v>
      </c>
      <c r="E9689" s="3"/>
      <c r="F9689" s="3"/>
      <c r="G9689" s="3"/>
      <c r="H9689" s="3"/>
    </row>
    <row r="9690">
      <c r="A9690" s="2">
        <f>IFERROR(__xludf.DUMMYFUNCTION("""COMPUTED_VALUE"""),50484.0)</f>
        <v>50484</v>
      </c>
      <c r="B9690" s="3" t="str">
        <f>IFERROR(__xludf.DUMMYFUNCTION("""COMPUTED_VALUE"""),"11899 COUNTY RD 24")</f>
        <v>11899 COUNTY RD 24</v>
      </c>
      <c r="C9690" s="3" t="str">
        <f>IFERROR(__xludf.DUMMYFUNCTION("""COMPUTED_VALUE"""),"ROSENEATH ")</f>
        <v>ROSENEATH </v>
      </c>
      <c r="D9690" s="3" t="str">
        <f>IFERROR(__xludf.DUMMYFUNCTION("""COMPUTED_VALUE"""),"K0K 2X0")</f>
        <v>K0K 2X0</v>
      </c>
      <c r="E9690" s="3"/>
      <c r="F9690" s="3"/>
      <c r="G9690" s="3"/>
      <c r="H9690" s="3"/>
    </row>
    <row r="9691">
      <c r="A9691" s="2">
        <f>IFERROR(__xludf.DUMMYFUNCTION("""COMPUTED_VALUE"""),50485.0)</f>
        <v>50485</v>
      </c>
      <c r="B9691" s="3" t="str">
        <f>IFERROR(__xludf.DUMMYFUNCTION("""COMPUTED_VALUE"""),"11902 COUNTY RD 24")</f>
        <v>11902 COUNTY RD 24</v>
      </c>
      <c r="C9691" s="3" t="str">
        <f>IFERROR(__xludf.DUMMYFUNCTION("""COMPUTED_VALUE"""),"ROSENEATH ")</f>
        <v>ROSENEATH </v>
      </c>
      <c r="D9691" s="3" t="str">
        <f>IFERROR(__xludf.DUMMYFUNCTION("""COMPUTED_VALUE"""),"K0K 2X0")</f>
        <v>K0K 2X0</v>
      </c>
      <c r="E9691" s="3"/>
      <c r="F9691" s="3"/>
      <c r="G9691" s="3"/>
      <c r="H9691" s="3"/>
    </row>
    <row r="9692">
      <c r="A9692" s="2">
        <f>IFERROR(__xludf.DUMMYFUNCTION("""COMPUTED_VALUE"""),50486.0)</f>
        <v>50486</v>
      </c>
      <c r="B9692" s="3" t="str">
        <f>IFERROR(__xludf.DUMMYFUNCTION("""COMPUTED_VALUE"""),"11906 COUNTY RD 24")</f>
        <v>11906 COUNTY RD 24</v>
      </c>
      <c r="C9692" s="3" t="str">
        <f>IFERROR(__xludf.DUMMYFUNCTION("""COMPUTED_VALUE"""),"ROSENEATH ")</f>
        <v>ROSENEATH </v>
      </c>
      <c r="D9692" s="3" t="str">
        <f>IFERROR(__xludf.DUMMYFUNCTION("""COMPUTED_VALUE"""),"K0K 2X0")</f>
        <v>K0K 2X0</v>
      </c>
      <c r="E9692" s="3"/>
      <c r="F9692" s="3"/>
      <c r="G9692" s="3"/>
      <c r="H9692" s="3"/>
    </row>
    <row r="9693">
      <c r="A9693" s="2">
        <f>IFERROR(__xludf.DUMMYFUNCTION("""COMPUTED_VALUE"""),50487.0)</f>
        <v>50487</v>
      </c>
      <c r="B9693" s="3" t="str">
        <f>IFERROR(__xludf.DUMMYFUNCTION("""COMPUTED_VALUE"""),"11907 COUNTY RD 24")</f>
        <v>11907 COUNTY RD 24</v>
      </c>
      <c r="C9693" s="3" t="str">
        <f>IFERROR(__xludf.DUMMYFUNCTION("""COMPUTED_VALUE"""),"ROSENEATH ")</f>
        <v>ROSENEATH </v>
      </c>
      <c r="D9693" s="3" t="str">
        <f>IFERROR(__xludf.DUMMYFUNCTION("""COMPUTED_VALUE"""),"K0K 2X0")</f>
        <v>K0K 2X0</v>
      </c>
      <c r="E9693" s="3"/>
      <c r="F9693" s="3"/>
      <c r="G9693" s="3"/>
      <c r="H9693" s="3"/>
    </row>
    <row r="9694">
      <c r="A9694" s="2">
        <f>IFERROR(__xludf.DUMMYFUNCTION("""COMPUTED_VALUE"""),50488.0)</f>
        <v>50488</v>
      </c>
      <c r="B9694" s="3" t="str">
        <f>IFERROR(__xludf.DUMMYFUNCTION("""COMPUTED_VALUE"""),"11914 COUNTY RD 24")</f>
        <v>11914 COUNTY RD 24</v>
      </c>
      <c r="C9694" s="3" t="str">
        <f>IFERROR(__xludf.DUMMYFUNCTION("""COMPUTED_VALUE"""),"ROSENEATH ")</f>
        <v>ROSENEATH </v>
      </c>
      <c r="D9694" s="3" t="str">
        <f>IFERROR(__xludf.DUMMYFUNCTION("""COMPUTED_VALUE"""),"K0K 2X0")</f>
        <v>K0K 2X0</v>
      </c>
      <c r="E9694" s="3" t="str">
        <f>IFERROR(__xludf.DUMMYFUNCTION("""COMPUTED_VALUE"""),"AUDREY MCMILLAN")</f>
        <v>AUDREY MCMILLAN</v>
      </c>
      <c r="F9694" s="3" t="str">
        <f>IFERROR(__xludf.DUMMYFUNCTION("""COMPUTED_VALUE"""),"audreymcmillan7@gmail.com")</f>
        <v>audreymcmillan7@gmail.com</v>
      </c>
      <c r="G9694" s="3"/>
      <c r="H9694" s="3"/>
    </row>
    <row r="9695">
      <c r="A9695" s="2">
        <f>IFERROR(__xludf.DUMMYFUNCTION("""COMPUTED_VALUE"""),50489.0)</f>
        <v>50489</v>
      </c>
      <c r="B9695" s="3" t="str">
        <f>IFERROR(__xludf.DUMMYFUNCTION("""COMPUTED_VALUE"""),"11918 COUNTY RD 24")</f>
        <v>11918 COUNTY RD 24</v>
      </c>
      <c r="C9695" s="3" t="str">
        <f>IFERROR(__xludf.DUMMYFUNCTION("""COMPUTED_VALUE"""),"ROSENEATH ")</f>
        <v>ROSENEATH </v>
      </c>
      <c r="D9695" s="3" t="str">
        <f>IFERROR(__xludf.DUMMYFUNCTION("""COMPUTED_VALUE"""),"K0K 2X0")</f>
        <v>K0K 2X0</v>
      </c>
      <c r="E9695" s="3" t="str">
        <f>IFERROR(__xludf.DUMMYFUNCTION("""COMPUTED_VALUE"""),"Ian Robins")</f>
        <v>Ian Robins</v>
      </c>
      <c r="F9695" s="3" t="str">
        <f>IFERROR(__xludf.DUMMYFUNCTION("""COMPUTED_VALUE"""),"ianrobins91@gmail.com")</f>
        <v>ianrobins91@gmail.com</v>
      </c>
      <c r="G9695" s="3">
        <f>IFERROR(__xludf.DUMMYFUNCTION("""COMPUTED_VALUE"""),9.053767582E9)</f>
        <v>9053767582</v>
      </c>
      <c r="H9695" s="3"/>
    </row>
    <row r="9696">
      <c r="A9696" s="2">
        <f>IFERROR(__xludf.DUMMYFUNCTION("""COMPUTED_VALUE"""),50490.0)</f>
        <v>50490</v>
      </c>
      <c r="B9696" s="3" t="str">
        <f>IFERROR(__xludf.DUMMYFUNCTION("""COMPUTED_VALUE"""),"11921 COUNTY RD 24")</f>
        <v>11921 COUNTY RD 24</v>
      </c>
      <c r="C9696" s="3" t="str">
        <f>IFERROR(__xludf.DUMMYFUNCTION("""COMPUTED_VALUE"""),"ROSENEATH ")</f>
        <v>ROSENEATH </v>
      </c>
      <c r="D9696" s="3" t="str">
        <f>IFERROR(__xludf.DUMMYFUNCTION("""COMPUTED_VALUE"""),"K0K 2X0")</f>
        <v>K0K 2X0</v>
      </c>
      <c r="E9696" s="3" t="str">
        <f>IFERROR(__xludf.DUMMYFUNCTION("""COMPUTED_VALUE"""),"Mike Lean")</f>
        <v>Mike Lean</v>
      </c>
      <c r="F9696" s="3" t="str">
        <f>IFERROR(__xludf.DUMMYFUNCTION("""COMPUTED_VALUE"""),"leaner17@hotmail.com")</f>
        <v>leaner17@hotmail.com</v>
      </c>
      <c r="G9696" s="3"/>
      <c r="H9696" s="3"/>
    </row>
    <row r="9697">
      <c r="A9697" s="2">
        <f>IFERROR(__xludf.DUMMYFUNCTION("""COMPUTED_VALUE"""),50491.0)</f>
        <v>50491</v>
      </c>
      <c r="B9697" s="3" t="str">
        <f>IFERROR(__xludf.DUMMYFUNCTION("""COMPUTED_VALUE"""),"11922 COUNTY RD 24")</f>
        <v>11922 COUNTY RD 24</v>
      </c>
      <c r="C9697" s="3" t="str">
        <f>IFERROR(__xludf.DUMMYFUNCTION("""COMPUTED_VALUE"""),"ROSENEATH ")</f>
        <v>ROSENEATH </v>
      </c>
      <c r="D9697" s="3" t="str">
        <f>IFERROR(__xludf.DUMMYFUNCTION("""COMPUTED_VALUE"""),"K0K 2X0")</f>
        <v>K0K 2X0</v>
      </c>
      <c r="E9697" s="3"/>
      <c r="F9697" s="3"/>
      <c r="G9697" s="3"/>
      <c r="H9697" s="3"/>
    </row>
    <row r="9698">
      <c r="A9698" s="2">
        <f>IFERROR(__xludf.DUMMYFUNCTION("""COMPUTED_VALUE"""),50492.0)</f>
        <v>50492</v>
      </c>
      <c r="B9698" s="3" t="str">
        <f>IFERROR(__xludf.DUMMYFUNCTION("""COMPUTED_VALUE"""),"11923 COUNTY RD 24")</f>
        <v>11923 COUNTY RD 24</v>
      </c>
      <c r="C9698" s="3" t="str">
        <f>IFERROR(__xludf.DUMMYFUNCTION("""COMPUTED_VALUE"""),"ROSENEATH ")</f>
        <v>ROSENEATH </v>
      </c>
      <c r="D9698" s="3" t="str">
        <f>IFERROR(__xludf.DUMMYFUNCTION("""COMPUTED_VALUE"""),"K0K 2X0")</f>
        <v>K0K 2X0</v>
      </c>
      <c r="E9698" s="3"/>
      <c r="F9698" s="3"/>
      <c r="G9698" s="3"/>
      <c r="H9698" s="3"/>
    </row>
    <row r="9699">
      <c r="A9699" s="2">
        <f>IFERROR(__xludf.DUMMYFUNCTION("""COMPUTED_VALUE"""),50493.0)</f>
        <v>50493</v>
      </c>
      <c r="B9699" s="3" t="str">
        <f>IFERROR(__xludf.DUMMYFUNCTION("""COMPUTED_VALUE"""),"11925 COUNTY RD 24")</f>
        <v>11925 COUNTY RD 24</v>
      </c>
      <c r="C9699" s="3" t="str">
        <f>IFERROR(__xludf.DUMMYFUNCTION("""COMPUTED_VALUE"""),"ROSENEATH ")</f>
        <v>ROSENEATH </v>
      </c>
      <c r="D9699" s="3" t="str">
        <f>IFERROR(__xludf.DUMMYFUNCTION("""COMPUTED_VALUE"""),"K0K 2X0")</f>
        <v>K0K 2X0</v>
      </c>
      <c r="E9699" s="3" t="str">
        <f>IFERROR(__xludf.DUMMYFUNCTION("""COMPUTED_VALUE"""),"Brittany Dingman")</f>
        <v>Brittany Dingman</v>
      </c>
      <c r="F9699" s="3" t="str">
        <f>IFERROR(__xludf.DUMMYFUNCTION("""COMPUTED_VALUE"""),"b.rylance@hotmail.com")</f>
        <v>b.rylance@hotmail.com</v>
      </c>
      <c r="G9699" s="3">
        <f>IFERROR(__xludf.DUMMYFUNCTION("""COMPUTED_VALUE"""),9.053960633E9)</f>
        <v>9053960633</v>
      </c>
      <c r="H9699" s="3">
        <f>IFERROR(__xludf.DUMMYFUNCTION("""COMPUTED_VALUE"""),2.892513561E9)</f>
        <v>2892513561</v>
      </c>
    </row>
    <row r="9700">
      <c r="A9700" s="2">
        <f>IFERROR(__xludf.DUMMYFUNCTION("""COMPUTED_VALUE"""),50494.0)</f>
        <v>50494</v>
      </c>
      <c r="B9700" s="3" t="str">
        <f>IFERROR(__xludf.DUMMYFUNCTION("""COMPUTED_VALUE"""),"11926 COUNTY RD 24")</f>
        <v>11926 COUNTY RD 24</v>
      </c>
      <c r="C9700" s="3" t="str">
        <f>IFERROR(__xludf.DUMMYFUNCTION("""COMPUTED_VALUE"""),"ROSENEATH ")</f>
        <v>ROSENEATH </v>
      </c>
      <c r="D9700" s="3" t="str">
        <f>IFERROR(__xludf.DUMMYFUNCTION("""COMPUTED_VALUE"""),"K0K 2X0")</f>
        <v>K0K 2X0</v>
      </c>
      <c r="E9700" s="3" t="str">
        <f>IFERROR(__xludf.DUMMYFUNCTION("""COMPUTED_VALUE"""),"Paul Davey")</f>
        <v>Paul Davey</v>
      </c>
      <c r="F9700" s="3"/>
      <c r="G9700" s="3">
        <f>IFERROR(__xludf.DUMMYFUNCTION("""COMPUTED_VALUE"""),9.053522332E9)</f>
        <v>9053522332</v>
      </c>
      <c r="H9700" s="3"/>
    </row>
    <row r="9701">
      <c r="A9701" s="2">
        <f>IFERROR(__xludf.DUMMYFUNCTION("""COMPUTED_VALUE"""),50495.0)</f>
        <v>50495</v>
      </c>
      <c r="B9701" s="3" t="str">
        <f>IFERROR(__xludf.DUMMYFUNCTION("""COMPUTED_VALUE"""),"11932 COUNTY RD 24")</f>
        <v>11932 COUNTY RD 24</v>
      </c>
      <c r="C9701" s="3" t="str">
        <f>IFERROR(__xludf.DUMMYFUNCTION("""COMPUTED_VALUE"""),"ROSENEATH ")</f>
        <v>ROSENEATH </v>
      </c>
      <c r="D9701" s="3" t="str">
        <f>IFERROR(__xludf.DUMMYFUNCTION("""COMPUTED_VALUE"""),"K0K 2X0")</f>
        <v>K0K 2X0</v>
      </c>
      <c r="E9701" s="3"/>
      <c r="F9701" s="3"/>
      <c r="G9701" s="3"/>
      <c r="H9701" s="3"/>
    </row>
    <row r="9702">
      <c r="A9702" s="2">
        <f>IFERROR(__xludf.DUMMYFUNCTION("""COMPUTED_VALUE"""),50496.0)</f>
        <v>50496</v>
      </c>
      <c r="B9702" s="3" t="str">
        <f>IFERROR(__xludf.DUMMYFUNCTION("""COMPUTED_VALUE"""),"11933 COUNTY RD 24")</f>
        <v>11933 COUNTY RD 24</v>
      </c>
      <c r="C9702" s="3" t="str">
        <f>IFERROR(__xludf.DUMMYFUNCTION("""COMPUTED_VALUE"""),"ROSENEATH ")</f>
        <v>ROSENEATH </v>
      </c>
      <c r="D9702" s="3" t="str">
        <f>IFERROR(__xludf.DUMMYFUNCTION("""COMPUTED_VALUE"""),"K0K 2X0")</f>
        <v>K0K 2X0</v>
      </c>
      <c r="E9702" s="3"/>
      <c r="F9702" s="3"/>
      <c r="G9702" s="3"/>
      <c r="H9702" s="3"/>
    </row>
    <row r="9703">
      <c r="A9703" s="2">
        <f>IFERROR(__xludf.DUMMYFUNCTION("""COMPUTED_VALUE"""),50497.0)</f>
        <v>50497</v>
      </c>
      <c r="B9703" s="3" t="str">
        <f>IFERROR(__xludf.DUMMYFUNCTION("""COMPUTED_VALUE"""),"11937 COUNTY RD 24")</f>
        <v>11937 COUNTY RD 24</v>
      </c>
      <c r="C9703" s="3" t="str">
        <f>IFERROR(__xludf.DUMMYFUNCTION("""COMPUTED_VALUE"""),"ROSENEATH ")</f>
        <v>ROSENEATH </v>
      </c>
      <c r="D9703" s="3" t="str">
        <f>IFERROR(__xludf.DUMMYFUNCTION("""COMPUTED_VALUE"""),"K0K 2X0")</f>
        <v>K0K 2X0</v>
      </c>
      <c r="E9703" s="3" t="str">
        <f>IFERROR(__xludf.DUMMYFUNCTION("""COMPUTED_VALUE"""),"Richard Groenendyk")</f>
        <v>Richard Groenendyk</v>
      </c>
      <c r="F9703" s="3" t="str">
        <f>IFERROR(__xludf.DUMMYFUNCTION("""COMPUTED_VALUE"""),"richard_groenendyk@hotmail.com")</f>
        <v>richard_groenendyk@hotmail.com</v>
      </c>
      <c r="G9703" s="3">
        <f>IFERROR(__xludf.DUMMYFUNCTION("""COMPUTED_VALUE"""),2.898290706E9)</f>
        <v>2898290706</v>
      </c>
      <c r="H9703" s="3"/>
    </row>
    <row r="9704">
      <c r="A9704" s="2">
        <f>IFERROR(__xludf.DUMMYFUNCTION("""COMPUTED_VALUE"""),50498.0)</f>
        <v>50498</v>
      </c>
      <c r="B9704" s="3" t="str">
        <f>IFERROR(__xludf.DUMMYFUNCTION("""COMPUTED_VALUE"""),"11942 COUNTY RD 24")</f>
        <v>11942 COUNTY RD 24</v>
      </c>
      <c r="C9704" s="3" t="str">
        <f>IFERROR(__xludf.DUMMYFUNCTION("""COMPUTED_VALUE"""),"ROSENEATH ")</f>
        <v>ROSENEATH </v>
      </c>
      <c r="D9704" s="3" t="str">
        <f>IFERROR(__xludf.DUMMYFUNCTION("""COMPUTED_VALUE"""),"K0K 2X0")</f>
        <v>K0K 2X0</v>
      </c>
      <c r="E9704" s="3"/>
      <c r="F9704" s="3"/>
      <c r="G9704" s="3"/>
      <c r="H9704" s="3"/>
    </row>
    <row r="9705">
      <c r="A9705" s="2">
        <f>IFERROR(__xludf.DUMMYFUNCTION("""COMPUTED_VALUE"""),50500.0)</f>
        <v>50500</v>
      </c>
      <c r="B9705" s="3" t="str">
        <f>IFERROR(__xludf.DUMMYFUNCTION("""COMPUTED_VALUE"""),"11947 COUNTY RD 24")</f>
        <v>11947 COUNTY RD 24</v>
      </c>
      <c r="C9705" s="3" t="str">
        <f>IFERROR(__xludf.DUMMYFUNCTION("""COMPUTED_VALUE"""),"ROSENEATH ")</f>
        <v>ROSENEATH </v>
      </c>
      <c r="D9705" s="3" t="str">
        <f>IFERROR(__xludf.DUMMYFUNCTION("""COMPUTED_VALUE"""),"K0K 2X0")</f>
        <v>K0K 2X0</v>
      </c>
      <c r="E9705" s="3"/>
      <c r="F9705" s="3"/>
      <c r="G9705" s="3"/>
      <c r="H9705" s="3"/>
    </row>
    <row r="9706">
      <c r="A9706" s="2">
        <f>IFERROR(__xludf.DUMMYFUNCTION("""COMPUTED_VALUE"""),50501.0)</f>
        <v>50501</v>
      </c>
      <c r="B9706" s="3" t="str">
        <f>IFERROR(__xludf.DUMMYFUNCTION("""COMPUTED_VALUE"""),"11951 COUNTY RD 24")</f>
        <v>11951 COUNTY RD 24</v>
      </c>
      <c r="C9706" s="3" t="str">
        <f>IFERROR(__xludf.DUMMYFUNCTION("""COMPUTED_VALUE"""),"ROSENEATH ")</f>
        <v>ROSENEATH </v>
      </c>
      <c r="D9706" s="3" t="str">
        <f>IFERROR(__xludf.DUMMYFUNCTION("""COMPUTED_VALUE"""),"K0K 2X0")</f>
        <v>K0K 2X0</v>
      </c>
      <c r="E9706" s="3"/>
      <c r="F9706" s="3"/>
      <c r="G9706" s="3"/>
      <c r="H9706" s="3"/>
    </row>
    <row r="9707">
      <c r="A9707" s="2">
        <f>IFERROR(__xludf.DUMMYFUNCTION("""COMPUTED_VALUE"""),50502.0)</f>
        <v>50502</v>
      </c>
      <c r="B9707" s="3" t="str">
        <f>IFERROR(__xludf.DUMMYFUNCTION("""COMPUTED_VALUE"""),"11952 COUNTY RD 24")</f>
        <v>11952 COUNTY RD 24</v>
      </c>
      <c r="C9707" s="3" t="str">
        <f>IFERROR(__xludf.DUMMYFUNCTION("""COMPUTED_VALUE"""),"ROSENEATH ")</f>
        <v>ROSENEATH </v>
      </c>
      <c r="D9707" s="3" t="str">
        <f>IFERROR(__xludf.DUMMYFUNCTION("""COMPUTED_VALUE"""),"K0K 2X0")</f>
        <v>K0K 2X0</v>
      </c>
      <c r="E9707" s="3"/>
      <c r="F9707" s="3"/>
      <c r="G9707" s="3"/>
      <c r="H9707" s="3"/>
    </row>
    <row r="9708">
      <c r="A9708" s="2">
        <f>IFERROR(__xludf.DUMMYFUNCTION("""COMPUTED_VALUE"""),50503.0)</f>
        <v>50503</v>
      </c>
      <c r="B9708" s="3" t="str">
        <f>IFERROR(__xludf.DUMMYFUNCTION("""COMPUTED_VALUE"""),"11955 COUNTY RD 24")</f>
        <v>11955 COUNTY RD 24</v>
      </c>
      <c r="C9708" s="3" t="str">
        <f>IFERROR(__xludf.DUMMYFUNCTION("""COMPUTED_VALUE"""),"ROSENEATH ")</f>
        <v>ROSENEATH </v>
      </c>
      <c r="D9708" s="3" t="str">
        <f>IFERROR(__xludf.DUMMYFUNCTION("""COMPUTED_VALUE"""),"K0K 2X0")</f>
        <v>K0K 2X0</v>
      </c>
      <c r="E9708" s="3"/>
      <c r="F9708" s="3"/>
      <c r="G9708" s="3"/>
      <c r="H9708" s="3"/>
    </row>
    <row r="9709">
      <c r="A9709" s="2">
        <f>IFERROR(__xludf.DUMMYFUNCTION("""COMPUTED_VALUE"""),50504.0)</f>
        <v>50504</v>
      </c>
      <c r="B9709" s="3" t="str">
        <f>IFERROR(__xludf.DUMMYFUNCTION("""COMPUTED_VALUE"""),"11958 COUNTY ROAD 24")</f>
        <v>11958 COUNTY ROAD 24</v>
      </c>
      <c r="C9709" s="3" t="str">
        <f>IFERROR(__xludf.DUMMYFUNCTION("""COMPUTED_VALUE"""),"ROSENEATH ")</f>
        <v>ROSENEATH </v>
      </c>
      <c r="D9709" s="3" t="str">
        <f>IFERROR(__xludf.DUMMYFUNCTION("""COMPUTED_VALUE"""),"K0K 2X0")</f>
        <v>K0K 2X0</v>
      </c>
      <c r="E9709" s="3"/>
      <c r="F9709" s="3"/>
      <c r="G9709" s="3"/>
      <c r="H9709" s="3"/>
    </row>
    <row r="9710">
      <c r="A9710" s="2">
        <f>IFERROR(__xludf.DUMMYFUNCTION("""COMPUTED_VALUE"""),50505.0)</f>
        <v>50505</v>
      </c>
      <c r="B9710" s="3" t="str">
        <f>IFERROR(__xludf.DUMMYFUNCTION("""COMPUTED_VALUE"""),"11959 COUNTY RD 24")</f>
        <v>11959 COUNTY RD 24</v>
      </c>
      <c r="C9710" s="3" t="str">
        <f>IFERROR(__xludf.DUMMYFUNCTION("""COMPUTED_VALUE"""),"ROSENEATH ")</f>
        <v>ROSENEATH </v>
      </c>
      <c r="D9710" s="3" t="str">
        <f>IFERROR(__xludf.DUMMYFUNCTION("""COMPUTED_VALUE"""),"K0K 2X0")</f>
        <v>K0K 2X0</v>
      </c>
      <c r="E9710" s="3"/>
      <c r="F9710" s="3"/>
      <c r="G9710" s="3"/>
      <c r="H9710" s="3"/>
    </row>
    <row r="9711">
      <c r="A9711" s="2">
        <f>IFERROR(__xludf.DUMMYFUNCTION("""COMPUTED_VALUE"""),50506.0)</f>
        <v>50506</v>
      </c>
      <c r="B9711" s="3" t="str">
        <f>IFERROR(__xludf.DUMMYFUNCTION("""COMPUTED_VALUE"""),"11962 COUNTY RD 24")</f>
        <v>11962 COUNTY RD 24</v>
      </c>
      <c r="C9711" s="3" t="str">
        <f>IFERROR(__xludf.DUMMYFUNCTION("""COMPUTED_VALUE"""),"ROSENEATH ")</f>
        <v>ROSENEATH </v>
      </c>
      <c r="D9711" s="3" t="str">
        <f>IFERROR(__xludf.DUMMYFUNCTION("""COMPUTED_VALUE"""),"K0K 2X0")</f>
        <v>K0K 2X0</v>
      </c>
      <c r="E9711" s="3"/>
      <c r="F9711" s="3"/>
      <c r="G9711" s="3"/>
      <c r="H9711" s="3"/>
    </row>
    <row r="9712">
      <c r="A9712" s="2">
        <f>IFERROR(__xludf.DUMMYFUNCTION("""COMPUTED_VALUE"""),50507.0)</f>
        <v>50507</v>
      </c>
      <c r="B9712" s="3" t="str">
        <f>IFERROR(__xludf.DUMMYFUNCTION("""COMPUTED_VALUE"""),"11963 COUNTY RD 24")</f>
        <v>11963 COUNTY RD 24</v>
      </c>
      <c r="C9712" s="3" t="str">
        <f>IFERROR(__xludf.DUMMYFUNCTION("""COMPUTED_VALUE"""),"ROSENEATH ")</f>
        <v>ROSENEATH </v>
      </c>
      <c r="D9712" s="3" t="str">
        <f>IFERROR(__xludf.DUMMYFUNCTION("""COMPUTED_VALUE"""),"K0K 2X0")</f>
        <v>K0K 2X0</v>
      </c>
      <c r="E9712" s="3"/>
      <c r="F9712" s="3"/>
      <c r="G9712" s="3"/>
      <c r="H9712" s="3"/>
    </row>
    <row r="9713">
      <c r="A9713" s="2">
        <f>IFERROR(__xludf.DUMMYFUNCTION("""COMPUTED_VALUE"""),50508.0)</f>
        <v>50508</v>
      </c>
      <c r="B9713" s="3" t="str">
        <f>IFERROR(__xludf.DUMMYFUNCTION("""COMPUTED_VALUE"""),"11967 COUNTY RD 24")</f>
        <v>11967 COUNTY RD 24</v>
      </c>
      <c r="C9713" s="3" t="str">
        <f>IFERROR(__xludf.DUMMYFUNCTION("""COMPUTED_VALUE"""),"ROSENEATH ")</f>
        <v>ROSENEATH </v>
      </c>
      <c r="D9713" s="3" t="str">
        <f>IFERROR(__xludf.DUMMYFUNCTION("""COMPUTED_VALUE"""),"K0K 2X0")</f>
        <v>K0K 2X0</v>
      </c>
      <c r="E9713" s="3"/>
      <c r="F9713" s="3"/>
      <c r="G9713" s="3"/>
      <c r="H9713" s="3"/>
    </row>
    <row r="9714">
      <c r="A9714" s="2">
        <f>IFERROR(__xludf.DUMMYFUNCTION("""COMPUTED_VALUE"""),50509.0)</f>
        <v>50509</v>
      </c>
      <c r="B9714" s="3" t="str">
        <f>IFERROR(__xludf.DUMMYFUNCTION("""COMPUTED_VALUE"""),"11968 COUNTY RD 24")</f>
        <v>11968 COUNTY RD 24</v>
      </c>
      <c r="C9714" s="3" t="str">
        <f>IFERROR(__xludf.DUMMYFUNCTION("""COMPUTED_VALUE"""),"ROSENEATH ")</f>
        <v>ROSENEATH </v>
      </c>
      <c r="D9714" s="3" t="str">
        <f>IFERROR(__xludf.DUMMYFUNCTION("""COMPUTED_VALUE"""),"K0K 2X0")</f>
        <v>K0K 2X0</v>
      </c>
      <c r="E9714" s="3"/>
      <c r="F9714" s="3"/>
      <c r="G9714" s="3"/>
      <c r="H9714" s="3"/>
    </row>
    <row r="9715">
      <c r="A9715" s="2">
        <f>IFERROR(__xludf.DUMMYFUNCTION("""COMPUTED_VALUE"""),50510.0)</f>
        <v>50510</v>
      </c>
      <c r="B9715" s="3" t="str">
        <f>IFERROR(__xludf.DUMMYFUNCTION("""COMPUTED_VALUE"""),"11971 COUNTY RD 24")</f>
        <v>11971 COUNTY RD 24</v>
      </c>
      <c r="C9715" s="3" t="str">
        <f>IFERROR(__xludf.DUMMYFUNCTION("""COMPUTED_VALUE"""),"ROSENEATH ")</f>
        <v>ROSENEATH </v>
      </c>
      <c r="D9715" s="3" t="str">
        <f>IFERROR(__xludf.DUMMYFUNCTION("""COMPUTED_VALUE"""),"K0K 2X0")</f>
        <v>K0K 2X0</v>
      </c>
      <c r="E9715" s="3"/>
      <c r="F9715" s="3"/>
      <c r="G9715" s="3"/>
      <c r="H9715" s="3"/>
    </row>
    <row r="9716">
      <c r="A9716" s="2">
        <f>IFERROR(__xludf.DUMMYFUNCTION("""COMPUTED_VALUE"""),50511.0)</f>
        <v>50511</v>
      </c>
      <c r="B9716" s="3" t="str">
        <f>IFERROR(__xludf.DUMMYFUNCTION("""COMPUTED_VALUE"""),"11974 COUNTY RD 24")</f>
        <v>11974 COUNTY RD 24</v>
      </c>
      <c r="C9716" s="3" t="str">
        <f>IFERROR(__xludf.DUMMYFUNCTION("""COMPUTED_VALUE"""),"ROSENEATH ")</f>
        <v>ROSENEATH </v>
      </c>
      <c r="D9716" s="3" t="str">
        <f>IFERROR(__xludf.DUMMYFUNCTION("""COMPUTED_VALUE"""),"K0K 2X0")</f>
        <v>K0K 2X0</v>
      </c>
      <c r="E9716" s="3"/>
      <c r="F9716" s="3"/>
      <c r="G9716" s="3"/>
      <c r="H9716" s="3"/>
    </row>
    <row r="9717">
      <c r="A9717" s="2">
        <f>IFERROR(__xludf.DUMMYFUNCTION("""COMPUTED_VALUE"""),50512.0)</f>
        <v>50512</v>
      </c>
      <c r="B9717" s="3" t="str">
        <f>IFERROR(__xludf.DUMMYFUNCTION("""COMPUTED_VALUE"""),"11975 COUNTY RD 24")</f>
        <v>11975 COUNTY RD 24</v>
      </c>
      <c r="C9717" s="3" t="str">
        <f>IFERROR(__xludf.DUMMYFUNCTION("""COMPUTED_VALUE"""),"ROSENEATH ")</f>
        <v>ROSENEATH </v>
      </c>
      <c r="D9717" s="3" t="str">
        <f>IFERROR(__xludf.DUMMYFUNCTION("""COMPUTED_VALUE"""),"K0K 2X0")</f>
        <v>K0K 2X0</v>
      </c>
      <c r="E9717" s="3"/>
      <c r="F9717" s="3"/>
      <c r="G9717" s="3"/>
      <c r="H9717" s="3"/>
    </row>
    <row r="9718">
      <c r="A9718" s="2">
        <f>IFERROR(__xludf.DUMMYFUNCTION("""COMPUTED_VALUE"""),50513.0)</f>
        <v>50513</v>
      </c>
      <c r="B9718" s="3" t="str">
        <f>IFERROR(__xludf.DUMMYFUNCTION("""COMPUTED_VALUE"""),"11981 COUNTY RD 24")</f>
        <v>11981 COUNTY RD 24</v>
      </c>
      <c r="C9718" s="3" t="str">
        <f>IFERROR(__xludf.DUMMYFUNCTION("""COMPUTED_VALUE"""),"ROSENEATH ")</f>
        <v>ROSENEATH </v>
      </c>
      <c r="D9718" s="3" t="str">
        <f>IFERROR(__xludf.DUMMYFUNCTION("""COMPUTED_VALUE"""),"K0K 2X0")</f>
        <v>K0K 2X0</v>
      </c>
      <c r="E9718" s="3"/>
      <c r="F9718" s="3"/>
      <c r="G9718" s="3"/>
      <c r="H9718" s="3"/>
    </row>
    <row r="9719">
      <c r="A9719" s="2">
        <f>IFERROR(__xludf.DUMMYFUNCTION("""COMPUTED_VALUE"""),50514.0)</f>
        <v>50514</v>
      </c>
      <c r="B9719" s="3" t="str">
        <f>IFERROR(__xludf.DUMMYFUNCTION("""COMPUTED_VALUE"""),"11983 COUNTY RD 24")</f>
        <v>11983 COUNTY RD 24</v>
      </c>
      <c r="C9719" s="3" t="str">
        <f>IFERROR(__xludf.DUMMYFUNCTION("""COMPUTED_VALUE"""),"ROSENEATH ")</f>
        <v>ROSENEATH </v>
      </c>
      <c r="D9719" s="3" t="str">
        <f>IFERROR(__xludf.DUMMYFUNCTION("""COMPUTED_VALUE"""),"K0K 2X0")</f>
        <v>K0K 2X0</v>
      </c>
      <c r="E9719" s="3" t="str">
        <f>IFERROR(__xludf.DUMMYFUNCTION("""COMPUTED_VALUE"""),"Rob Paterson")</f>
        <v>Rob Paterson</v>
      </c>
      <c r="F9719" s="3" t="str">
        <f>IFERROR(__xludf.DUMMYFUNCTION("""COMPUTED_VALUE"""),"ropaters@gmail.com")</f>
        <v>ropaters@gmail.com</v>
      </c>
      <c r="G9719" s="3">
        <f>IFERROR(__xludf.DUMMYFUNCTION("""COMPUTED_VALUE"""),6.13453044E9)</f>
        <v>6134530440</v>
      </c>
      <c r="H9719" s="3">
        <f>IFERROR(__xludf.DUMMYFUNCTION("""COMPUTED_VALUE"""),2.892513044E9)</f>
        <v>2892513044</v>
      </c>
    </row>
    <row r="9720">
      <c r="A9720" s="2">
        <f>IFERROR(__xludf.DUMMYFUNCTION("""COMPUTED_VALUE"""),50515.0)</f>
        <v>50515</v>
      </c>
      <c r="B9720" s="3" t="str">
        <f>IFERROR(__xludf.DUMMYFUNCTION("""COMPUTED_VALUE"""),"11994 COUNTY RD 24")</f>
        <v>11994 COUNTY RD 24</v>
      </c>
      <c r="C9720" s="3" t="str">
        <f>IFERROR(__xludf.DUMMYFUNCTION("""COMPUTED_VALUE"""),"ROSENEATH ")</f>
        <v>ROSENEATH </v>
      </c>
      <c r="D9720" s="3" t="str">
        <f>IFERROR(__xludf.DUMMYFUNCTION("""COMPUTED_VALUE"""),"K0K 2X0")</f>
        <v>K0K 2X0</v>
      </c>
      <c r="E9720" s="3"/>
      <c r="F9720" s="3"/>
      <c r="G9720" s="3"/>
      <c r="H9720" s="3"/>
    </row>
    <row r="9721">
      <c r="A9721" s="2">
        <f>IFERROR(__xludf.DUMMYFUNCTION("""COMPUTED_VALUE"""),50516.0)</f>
        <v>50516</v>
      </c>
      <c r="B9721" s="3" t="str">
        <f>IFERROR(__xludf.DUMMYFUNCTION("""COMPUTED_VALUE"""),"11995 COUNTY RD 24")</f>
        <v>11995 COUNTY RD 24</v>
      </c>
      <c r="C9721" s="3" t="str">
        <f>IFERROR(__xludf.DUMMYFUNCTION("""COMPUTED_VALUE"""),"ROSENEATH ")</f>
        <v>ROSENEATH </v>
      </c>
      <c r="D9721" s="3" t="str">
        <f>IFERROR(__xludf.DUMMYFUNCTION("""COMPUTED_VALUE"""),"K0K 2X0")</f>
        <v>K0K 2X0</v>
      </c>
      <c r="E9721" s="3"/>
      <c r="F9721" s="3"/>
      <c r="G9721" s="3"/>
      <c r="H9721" s="3"/>
    </row>
    <row r="9722">
      <c r="A9722" s="2">
        <f>IFERROR(__xludf.DUMMYFUNCTION("""COMPUTED_VALUE"""),50517.0)</f>
        <v>50517</v>
      </c>
      <c r="B9722" s="3" t="str">
        <f>IFERROR(__xludf.DUMMYFUNCTION("""COMPUTED_VALUE"""),"12008 COUNTY RD 24")</f>
        <v>12008 COUNTY RD 24</v>
      </c>
      <c r="C9722" s="3" t="str">
        <f>IFERROR(__xludf.DUMMYFUNCTION("""COMPUTED_VALUE"""),"ROSENEATH ")</f>
        <v>ROSENEATH </v>
      </c>
      <c r="D9722" s="3" t="str">
        <f>IFERROR(__xludf.DUMMYFUNCTION("""COMPUTED_VALUE"""),"K0K 2X0")</f>
        <v>K0K 2X0</v>
      </c>
      <c r="E9722" s="3" t="str">
        <f>IFERROR(__xludf.DUMMYFUNCTION("""COMPUTED_VALUE"""),"Gavin Bergsma")</f>
        <v>Gavin Bergsma</v>
      </c>
      <c r="F9722" s="3" t="str">
        <f>IFERROR(__xludf.DUMMYFUNCTION("""COMPUTED_VALUE"""),"gavin.bergsma@gmail.com")</f>
        <v>gavin.bergsma@gmail.com</v>
      </c>
      <c r="G9722" s="3">
        <f>IFERROR(__xludf.DUMMYFUNCTION("""COMPUTED_VALUE"""),9.052071774E9)</f>
        <v>9052071774</v>
      </c>
      <c r="H9722" s="3"/>
    </row>
    <row r="9723">
      <c r="A9723" s="2">
        <f>IFERROR(__xludf.DUMMYFUNCTION("""COMPUTED_VALUE"""),50518.0)</f>
        <v>50518</v>
      </c>
      <c r="B9723" s="3" t="str">
        <f>IFERROR(__xludf.DUMMYFUNCTION("""COMPUTED_VALUE"""),"12018 COUNTY RD 24")</f>
        <v>12018 COUNTY RD 24</v>
      </c>
      <c r="C9723" s="3" t="str">
        <f>IFERROR(__xludf.DUMMYFUNCTION("""COMPUTED_VALUE"""),"ROSENEATH ")</f>
        <v>ROSENEATH </v>
      </c>
      <c r="D9723" s="3" t="str">
        <f>IFERROR(__xludf.DUMMYFUNCTION("""COMPUTED_VALUE"""),"K0K 2X0")</f>
        <v>K0K 2X0</v>
      </c>
      <c r="E9723" s="3" t="str">
        <f>IFERROR(__xludf.DUMMYFUNCTION("""COMPUTED_VALUE"""),"Gail ROBINS")</f>
        <v>Gail ROBINS</v>
      </c>
      <c r="F9723" s="3" t="str">
        <f>IFERROR(__xludf.DUMMYFUNCTION("""COMPUTED_VALUE"""),"gailrobins13@gmail.com")</f>
        <v>gailrobins13@gmail.com</v>
      </c>
      <c r="G9723" s="3"/>
      <c r="H9723" s="3"/>
    </row>
    <row r="9724">
      <c r="A9724" s="2">
        <f>IFERROR(__xludf.DUMMYFUNCTION("""COMPUTED_VALUE"""),50519.0)</f>
        <v>50519</v>
      </c>
      <c r="B9724" s="3" t="str">
        <f>IFERROR(__xludf.DUMMYFUNCTION("""COMPUTED_VALUE"""),"12026 COUNTY RD 24")</f>
        <v>12026 COUNTY RD 24</v>
      </c>
      <c r="C9724" s="3" t="str">
        <f>IFERROR(__xludf.DUMMYFUNCTION("""COMPUTED_VALUE"""),"ROSENEATH ")</f>
        <v>ROSENEATH </v>
      </c>
      <c r="D9724" s="3" t="str">
        <f>IFERROR(__xludf.DUMMYFUNCTION("""COMPUTED_VALUE"""),"K0K 2X0")</f>
        <v>K0K 2X0</v>
      </c>
      <c r="E9724" s="3"/>
      <c r="F9724" s="3"/>
      <c r="G9724" s="3"/>
      <c r="H9724" s="3"/>
    </row>
    <row r="9725">
      <c r="A9725" s="2">
        <f>IFERROR(__xludf.DUMMYFUNCTION("""COMPUTED_VALUE"""),50520.0)</f>
        <v>50520</v>
      </c>
      <c r="B9725" s="3" t="str">
        <f>IFERROR(__xludf.DUMMYFUNCTION("""COMPUTED_VALUE"""),"12034 COUNTY RD 24")</f>
        <v>12034 COUNTY RD 24</v>
      </c>
      <c r="C9725" s="3" t="str">
        <f>IFERROR(__xludf.DUMMYFUNCTION("""COMPUTED_VALUE"""),"ROSENEATH ")</f>
        <v>ROSENEATH </v>
      </c>
      <c r="D9725" s="3" t="str">
        <f>IFERROR(__xludf.DUMMYFUNCTION("""COMPUTED_VALUE"""),"K0K 2X0")</f>
        <v>K0K 2X0</v>
      </c>
      <c r="E9725" s="3"/>
      <c r="F9725" s="3"/>
      <c r="G9725" s="3"/>
      <c r="H9725" s="3"/>
    </row>
    <row r="9726">
      <c r="A9726" s="2">
        <f>IFERROR(__xludf.DUMMYFUNCTION("""COMPUTED_VALUE"""),50521.0)</f>
        <v>50521</v>
      </c>
      <c r="B9726" s="3" t="str">
        <f>IFERROR(__xludf.DUMMYFUNCTION("""COMPUTED_VALUE"""),"12042 COUNTY RD 24")</f>
        <v>12042 COUNTY RD 24</v>
      </c>
      <c r="C9726" s="3" t="str">
        <f>IFERROR(__xludf.DUMMYFUNCTION("""COMPUTED_VALUE"""),"ROSENEATH ")</f>
        <v>ROSENEATH </v>
      </c>
      <c r="D9726" s="3" t="str">
        <f>IFERROR(__xludf.DUMMYFUNCTION("""COMPUTED_VALUE"""),"K0K 2X0")</f>
        <v>K0K 2X0</v>
      </c>
      <c r="E9726" s="3"/>
      <c r="F9726" s="3"/>
      <c r="G9726" s="3"/>
      <c r="H9726" s="3"/>
    </row>
    <row r="9727">
      <c r="A9727" s="2">
        <f>IFERROR(__xludf.DUMMYFUNCTION("""COMPUTED_VALUE"""),50522.0)</f>
        <v>50522</v>
      </c>
      <c r="B9727" s="3" t="str">
        <f>IFERROR(__xludf.DUMMYFUNCTION("""COMPUTED_VALUE"""),"12118 COUNTY RD 24")</f>
        <v>12118 COUNTY RD 24</v>
      </c>
      <c r="C9727" s="3" t="str">
        <f>IFERROR(__xludf.DUMMYFUNCTION("""COMPUTED_VALUE"""),"ROSENEATH ")</f>
        <v>ROSENEATH </v>
      </c>
      <c r="D9727" s="3" t="str">
        <f>IFERROR(__xludf.DUMMYFUNCTION("""COMPUTED_VALUE"""),"K0K 2X0")</f>
        <v>K0K 2X0</v>
      </c>
      <c r="E9727" s="3" t="str">
        <f>IFERROR(__xludf.DUMMYFUNCTION("""COMPUTED_VALUE"""),"Robert Panepinto")</f>
        <v>Robert Panepinto</v>
      </c>
      <c r="F9727" s="3" t="str">
        <f>IFERROR(__xludf.DUMMYFUNCTION("""COMPUTED_VALUE"""),"r_panepinto@yahoo.ca")</f>
        <v>r_panepinto@yahoo.ca</v>
      </c>
      <c r="G9727" s="3">
        <f>IFERROR(__xludf.DUMMYFUNCTION("""COMPUTED_VALUE"""),7.059174007E9)</f>
        <v>7059174007</v>
      </c>
      <c r="H9727" s="3"/>
    </row>
    <row r="9728">
      <c r="A9728" s="2">
        <f>IFERROR(__xludf.DUMMYFUNCTION("""COMPUTED_VALUE"""),50523.0)</f>
        <v>50523</v>
      </c>
      <c r="B9728" s="3" t="str">
        <f>IFERROR(__xludf.DUMMYFUNCTION("""COMPUTED_VALUE"""),"12121 COUNTY RD 24")</f>
        <v>12121 COUNTY RD 24</v>
      </c>
      <c r="C9728" s="3" t="str">
        <f>IFERROR(__xludf.DUMMYFUNCTION("""COMPUTED_VALUE"""),"ROSENEATH ")</f>
        <v>ROSENEATH </v>
      </c>
      <c r="D9728" s="3" t="str">
        <f>IFERROR(__xludf.DUMMYFUNCTION("""COMPUTED_VALUE"""),"K0K 2X0")</f>
        <v>K0K 2X0</v>
      </c>
      <c r="E9728" s="3"/>
      <c r="F9728" s="3"/>
      <c r="G9728" s="3"/>
      <c r="H9728" s="3"/>
    </row>
    <row r="9729">
      <c r="A9729" s="2">
        <f>IFERROR(__xludf.DUMMYFUNCTION("""COMPUTED_VALUE"""),50524.0)</f>
        <v>50524</v>
      </c>
      <c r="B9729" s="3" t="str">
        <f>IFERROR(__xludf.DUMMYFUNCTION("""COMPUTED_VALUE"""),"12164 COUNTY RD 24")</f>
        <v>12164 COUNTY RD 24</v>
      </c>
      <c r="C9729" s="3" t="str">
        <f>IFERROR(__xludf.DUMMYFUNCTION("""COMPUTED_VALUE"""),"ROSENEATH ")</f>
        <v>ROSENEATH </v>
      </c>
      <c r="D9729" s="3" t="str">
        <f>IFERROR(__xludf.DUMMYFUNCTION("""COMPUTED_VALUE"""),"K0K 2X0")</f>
        <v>K0K 2X0</v>
      </c>
      <c r="E9729" s="3"/>
      <c r="F9729" s="3"/>
      <c r="G9729" s="3"/>
      <c r="H9729" s="3"/>
    </row>
    <row r="9730">
      <c r="A9730" s="2">
        <f>IFERROR(__xludf.DUMMYFUNCTION("""COMPUTED_VALUE"""),50525.0)</f>
        <v>50525</v>
      </c>
      <c r="B9730" s="3" t="str">
        <f>IFERROR(__xludf.DUMMYFUNCTION("""COMPUTED_VALUE"""),"12193 COUNTY RD 24")</f>
        <v>12193 COUNTY RD 24</v>
      </c>
      <c r="C9730" s="3" t="str">
        <f>IFERROR(__xludf.DUMMYFUNCTION("""COMPUTED_VALUE"""),"ROSENEATH ")</f>
        <v>ROSENEATH </v>
      </c>
      <c r="D9730" s="3" t="str">
        <f>IFERROR(__xludf.DUMMYFUNCTION("""COMPUTED_VALUE"""),"K0K 2X0")</f>
        <v>K0K 2X0</v>
      </c>
      <c r="E9730" s="3"/>
      <c r="F9730" s="3"/>
      <c r="G9730" s="3"/>
      <c r="H9730" s="3"/>
    </row>
    <row r="9731">
      <c r="A9731" s="2">
        <f>IFERROR(__xludf.DUMMYFUNCTION("""COMPUTED_VALUE"""),50526.0)</f>
        <v>50526</v>
      </c>
      <c r="B9731" s="3" t="str">
        <f>IFERROR(__xludf.DUMMYFUNCTION("""COMPUTED_VALUE"""),"12198 COUNTY RD 24")</f>
        <v>12198 COUNTY RD 24</v>
      </c>
      <c r="C9731" s="3" t="str">
        <f>IFERROR(__xludf.DUMMYFUNCTION("""COMPUTED_VALUE"""),"ROSENEATH ")</f>
        <v>ROSENEATH </v>
      </c>
      <c r="D9731" s="3" t="str">
        <f>IFERROR(__xludf.DUMMYFUNCTION("""COMPUTED_VALUE"""),"K0K 2X0")</f>
        <v>K0K 2X0</v>
      </c>
      <c r="E9731" s="3"/>
      <c r="F9731" s="3"/>
      <c r="G9731" s="3"/>
      <c r="H9731" s="3"/>
    </row>
    <row r="9732">
      <c r="A9732" s="2">
        <f>IFERROR(__xludf.DUMMYFUNCTION("""COMPUTED_VALUE"""),50527.0)</f>
        <v>50527</v>
      </c>
      <c r="B9732" s="3" t="str">
        <f>IFERROR(__xludf.DUMMYFUNCTION("""COMPUTED_VALUE"""),"12283 COUNTY RD 24")</f>
        <v>12283 COUNTY RD 24</v>
      </c>
      <c r="C9732" s="3" t="str">
        <f>IFERROR(__xludf.DUMMYFUNCTION("""COMPUTED_VALUE"""),"ROSENEATH ")</f>
        <v>ROSENEATH </v>
      </c>
      <c r="D9732" s="3" t="str">
        <f>IFERROR(__xludf.DUMMYFUNCTION("""COMPUTED_VALUE"""),"K0K 2X0")</f>
        <v>K0K 2X0</v>
      </c>
      <c r="E9732" s="3" t="str">
        <f>IFERROR(__xludf.DUMMYFUNCTION("""COMPUTED_VALUE"""),"Judie Greer")</f>
        <v>Judie Greer</v>
      </c>
      <c r="F9732" s="3" t="str">
        <f>IFERROR(__xludf.DUMMYFUNCTION("""COMPUTED_VALUE"""),"hi5acres@eagle.ca")</f>
        <v>hi5acres@eagle.ca</v>
      </c>
      <c r="G9732" s="3"/>
      <c r="H9732" s="3"/>
    </row>
    <row r="9733">
      <c r="A9733" s="2">
        <f>IFERROR(__xludf.DUMMYFUNCTION("""COMPUTED_VALUE"""),50528.0)</f>
        <v>50528</v>
      </c>
      <c r="B9733" s="3" t="str">
        <f>IFERROR(__xludf.DUMMYFUNCTION("""COMPUTED_VALUE"""),"12312 COUNTY RD 24")</f>
        <v>12312 COUNTY RD 24</v>
      </c>
      <c r="C9733" s="3" t="str">
        <f>IFERROR(__xludf.DUMMYFUNCTION("""COMPUTED_VALUE"""),"ROSENEATH ")</f>
        <v>ROSENEATH </v>
      </c>
      <c r="D9733" s="3" t="str">
        <f>IFERROR(__xludf.DUMMYFUNCTION("""COMPUTED_VALUE"""),"K0K 2X0")</f>
        <v>K0K 2X0</v>
      </c>
      <c r="E9733" s="3"/>
      <c r="F9733" s="3"/>
      <c r="G9733" s="3"/>
      <c r="H9733" s="3"/>
    </row>
    <row r="9734">
      <c r="A9734" s="2">
        <f>IFERROR(__xludf.DUMMYFUNCTION("""COMPUTED_VALUE"""),50529.0)</f>
        <v>50529</v>
      </c>
      <c r="B9734" s="3" t="str">
        <f>IFERROR(__xludf.DUMMYFUNCTION("""COMPUTED_VALUE"""),"12365 COUNTY RD 24")</f>
        <v>12365 COUNTY RD 24</v>
      </c>
      <c r="C9734" s="3" t="str">
        <f>IFERROR(__xludf.DUMMYFUNCTION("""COMPUTED_VALUE"""),"ROSENEATH ")</f>
        <v>ROSENEATH </v>
      </c>
      <c r="D9734" s="3" t="str">
        <f>IFERROR(__xludf.DUMMYFUNCTION("""COMPUTED_VALUE"""),"K0K 2X0")</f>
        <v>K0K 2X0</v>
      </c>
      <c r="E9734" s="3" t="str">
        <f>IFERROR(__xludf.DUMMYFUNCTION("""COMPUTED_VALUE"""),"Pearl McGinn")</f>
        <v>Pearl McGinn</v>
      </c>
      <c r="F9734" s="3" t="str">
        <f>IFERROR(__xludf.DUMMYFUNCTION("""COMPUTED_VALUE"""),"cmcginn@eagle.ca")</f>
        <v>cmcginn@eagle.ca</v>
      </c>
      <c r="G9734" s="3"/>
      <c r="H9734" s="3"/>
    </row>
    <row r="9735">
      <c r="A9735" s="2">
        <f>IFERROR(__xludf.DUMMYFUNCTION("""COMPUTED_VALUE"""),50530.0)</f>
        <v>50530</v>
      </c>
      <c r="B9735" s="3" t="str">
        <f>IFERROR(__xludf.DUMMYFUNCTION("""COMPUTED_VALUE"""),"12372 COUNTY RD 24")</f>
        <v>12372 COUNTY RD 24</v>
      </c>
      <c r="C9735" s="3" t="str">
        <f>IFERROR(__xludf.DUMMYFUNCTION("""COMPUTED_VALUE"""),"ROSENEATH ")</f>
        <v>ROSENEATH </v>
      </c>
      <c r="D9735" s="3" t="str">
        <f>IFERROR(__xludf.DUMMYFUNCTION("""COMPUTED_VALUE"""),"K0K 2X0")</f>
        <v>K0K 2X0</v>
      </c>
      <c r="E9735" s="3"/>
      <c r="F9735" s="3"/>
      <c r="G9735" s="3"/>
      <c r="H9735" s="3"/>
    </row>
    <row r="9736">
      <c r="A9736" s="2">
        <f>IFERROR(__xludf.DUMMYFUNCTION("""COMPUTED_VALUE"""),50531.0)</f>
        <v>50531</v>
      </c>
      <c r="B9736" s="3" t="str">
        <f>IFERROR(__xludf.DUMMYFUNCTION("""COMPUTED_VALUE"""),"12425 COUNTY RD 24")</f>
        <v>12425 COUNTY RD 24</v>
      </c>
      <c r="C9736" s="3" t="str">
        <f>IFERROR(__xludf.DUMMYFUNCTION("""COMPUTED_VALUE"""),"ROSENEATH ")</f>
        <v>ROSENEATH </v>
      </c>
      <c r="D9736" s="3" t="str">
        <f>IFERROR(__xludf.DUMMYFUNCTION("""COMPUTED_VALUE"""),"K0K 2X0")</f>
        <v>K0K 2X0</v>
      </c>
      <c r="E9736" s="3"/>
      <c r="F9736" s="3"/>
      <c r="G9736" s="3"/>
      <c r="H9736" s="3"/>
    </row>
    <row r="9737">
      <c r="A9737" s="2">
        <f>IFERROR(__xludf.DUMMYFUNCTION("""COMPUTED_VALUE"""),50532.0)</f>
        <v>50532</v>
      </c>
      <c r="B9737" s="3" t="str">
        <f>IFERROR(__xludf.DUMMYFUNCTION("""COMPUTED_VALUE"""),"12462 COUNTY RD 24")</f>
        <v>12462 COUNTY RD 24</v>
      </c>
      <c r="C9737" s="3" t="str">
        <f>IFERROR(__xludf.DUMMYFUNCTION("""COMPUTED_VALUE"""),"ROSENEATH ")</f>
        <v>ROSENEATH </v>
      </c>
      <c r="D9737" s="3" t="str">
        <f>IFERROR(__xludf.DUMMYFUNCTION("""COMPUTED_VALUE"""),"K0K 2X0")</f>
        <v>K0K 2X0</v>
      </c>
      <c r="E9737" s="3"/>
      <c r="F9737" s="3"/>
      <c r="G9737" s="3"/>
      <c r="H9737" s="3"/>
    </row>
    <row r="9738">
      <c r="A9738" s="2">
        <f>IFERROR(__xludf.DUMMYFUNCTION("""COMPUTED_VALUE"""),50533.0)</f>
        <v>50533</v>
      </c>
      <c r="B9738" s="3" t="str">
        <f>IFERROR(__xludf.DUMMYFUNCTION("""COMPUTED_VALUE"""),"12572 COUNTY RD 24")</f>
        <v>12572 COUNTY RD 24</v>
      </c>
      <c r="C9738" s="3" t="str">
        <f>IFERROR(__xludf.DUMMYFUNCTION("""COMPUTED_VALUE"""),"ROSENEATH ")</f>
        <v>ROSENEATH </v>
      </c>
      <c r="D9738" s="3" t="str">
        <f>IFERROR(__xludf.DUMMYFUNCTION("""COMPUTED_VALUE"""),"K0K 2X0")</f>
        <v>K0K 2X0</v>
      </c>
      <c r="E9738" s="3"/>
      <c r="F9738" s="3"/>
      <c r="G9738" s="3"/>
      <c r="H9738" s="3"/>
    </row>
    <row r="9739">
      <c r="A9739" s="2">
        <f>IFERROR(__xludf.DUMMYFUNCTION("""COMPUTED_VALUE"""),50534.0)</f>
        <v>50534</v>
      </c>
      <c r="B9739" s="3" t="str">
        <f>IFERROR(__xludf.DUMMYFUNCTION("""COMPUTED_VALUE"""),"12655 COUNTY RD 24")</f>
        <v>12655 COUNTY RD 24</v>
      </c>
      <c r="C9739" s="3" t="str">
        <f>IFERROR(__xludf.DUMMYFUNCTION("""COMPUTED_VALUE"""),"ROSENEATH ")</f>
        <v>ROSENEATH </v>
      </c>
      <c r="D9739" s="3" t="str">
        <f>IFERROR(__xludf.DUMMYFUNCTION("""COMPUTED_VALUE"""),"K0K 2X0")</f>
        <v>K0K 2X0</v>
      </c>
      <c r="E9739" s="3"/>
      <c r="F9739" s="3"/>
      <c r="G9739" s="3"/>
      <c r="H9739" s="3"/>
    </row>
    <row r="9740">
      <c r="A9740" s="2">
        <f>IFERROR(__xludf.DUMMYFUNCTION("""COMPUTED_VALUE"""),50535.0)</f>
        <v>50535</v>
      </c>
      <c r="B9740" s="3" t="str">
        <f>IFERROR(__xludf.DUMMYFUNCTION("""COMPUTED_VALUE"""),"12699 COUNTY ROAD 24")</f>
        <v>12699 COUNTY ROAD 24</v>
      </c>
      <c r="C9740" s="3" t="str">
        <f>IFERROR(__xludf.DUMMYFUNCTION("""COMPUTED_VALUE"""),"ROSENEATH ")</f>
        <v>ROSENEATH </v>
      </c>
      <c r="D9740" s="3" t="str">
        <f>IFERROR(__xludf.DUMMYFUNCTION("""COMPUTED_VALUE"""),"K0K 2X0")</f>
        <v>K0K 2X0</v>
      </c>
      <c r="E9740" s="3"/>
      <c r="F9740" s="3"/>
      <c r="G9740" s="3"/>
      <c r="H9740" s="3"/>
    </row>
    <row r="9741">
      <c r="A9741" s="2">
        <f>IFERROR(__xludf.DUMMYFUNCTION("""COMPUTED_VALUE"""),50536.0)</f>
        <v>50536</v>
      </c>
      <c r="B9741" s="3" t="str">
        <f>IFERROR(__xludf.DUMMYFUNCTION("""COMPUTED_VALUE"""),"12802 COUNTY RD 24")</f>
        <v>12802 COUNTY RD 24</v>
      </c>
      <c r="C9741" s="3" t="str">
        <f>IFERROR(__xludf.DUMMYFUNCTION("""COMPUTED_VALUE"""),"ROSENEATH ")</f>
        <v>ROSENEATH </v>
      </c>
      <c r="D9741" s="3" t="str">
        <f>IFERROR(__xludf.DUMMYFUNCTION("""COMPUTED_VALUE"""),"K0K 2X0")</f>
        <v>K0K 2X0</v>
      </c>
      <c r="E9741" s="3" t="str">
        <f>IFERROR(__xludf.DUMMYFUNCTION("""COMPUTED_VALUE"""),"Thomas Plue")</f>
        <v>Thomas Plue</v>
      </c>
      <c r="F9741" s="3" t="str">
        <f>IFERROR(__xludf.DUMMYFUNCTION("""COMPUTED_VALUE"""),"duncan_plue@hotmail.com")</f>
        <v>duncan_plue@hotmail.com</v>
      </c>
      <c r="G9741" s="3"/>
      <c r="H9741" s="3"/>
    </row>
    <row r="9742">
      <c r="A9742" s="2">
        <f>IFERROR(__xludf.DUMMYFUNCTION("""COMPUTED_VALUE"""),50537.0)</f>
        <v>50537</v>
      </c>
      <c r="B9742" s="3" t="str">
        <f>IFERROR(__xludf.DUMMYFUNCTION("""COMPUTED_VALUE"""),"12838 COUNTY RD 24")</f>
        <v>12838 COUNTY RD 24</v>
      </c>
      <c r="C9742" s="3" t="str">
        <f>IFERROR(__xludf.DUMMYFUNCTION("""COMPUTED_VALUE"""),"ROSENEATH ")</f>
        <v>ROSENEATH </v>
      </c>
      <c r="D9742" s="3" t="str">
        <f>IFERROR(__xludf.DUMMYFUNCTION("""COMPUTED_VALUE"""),"K0K 2X0")</f>
        <v>K0K 2X0</v>
      </c>
      <c r="E9742" s="3"/>
      <c r="F9742" s="3"/>
      <c r="G9742" s="3"/>
      <c r="H9742" s="3"/>
    </row>
    <row r="9743">
      <c r="A9743" s="2">
        <f>IFERROR(__xludf.DUMMYFUNCTION("""COMPUTED_VALUE"""),50538.0)</f>
        <v>50538</v>
      </c>
      <c r="B9743" s="3" t="str">
        <f>IFERROR(__xludf.DUMMYFUNCTION("""COMPUTED_VALUE"""),"12902 COUNTY RD 24")</f>
        <v>12902 COUNTY RD 24</v>
      </c>
      <c r="C9743" s="3" t="str">
        <f>IFERROR(__xludf.DUMMYFUNCTION("""COMPUTED_VALUE"""),"ROSENEATH ")</f>
        <v>ROSENEATH </v>
      </c>
      <c r="D9743" s="3" t="str">
        <f>IFERROR(__xludf.DUMMYFUNCTION("""COMPUTED_VALUE"""),"K0K 2X0")</f>
        <v>K0K 2X0</v>
      </c>
      <c r="E9743" s="3"/>
      <c r="F9743" s="3"/>
      <c r="G9743" s="3"/>
      <c r="H9743" s="3"/>
    </row>
    <row r="9744">
      <c r="A9744" s="2">
        <f>IFERROR(__xludf.DUMMYFUNCTION("""COMPUTED_VALUE"""),50539.0)</f>
        <v>50539</v>
      </c>
      <c r="B9744" s="3" t="str">
        <f>IFERROR(__xludf.DUMMYFUNCTION("""COMPUTED_VALUE"""),"12964 COUNTY RD 24")</f>
        <v>12964 COUNTY RD 24</v>
      </c>
      <c r="C9744" s="3" t="str">
        <f>IFERROR(__xludf.DUMMYFUNCTION("""COMPUTED_VALUE"""),"ROSENEATH ")</f>
        <v>ROSENEATH </v>
      </c>
      <c r="D9744" s="3" t="str">
        <f>IFERROR(__xludf.DUMMYFUNCTION("""COMPUTED_VALUE"""),"K0K 2X0")</f>
        <v>K0K 2X0</v>
      </c>
      <c r="E9744" s="3"/>
      <c r="F9744" s="3"/>
      <c r="G9744" s="3"/>
      <c r="H9744" s="3"/>
    </row>
    <row r="9745">
      <c r="A9745" s="2">
        <f>IFERROR(__xludf.DUMMYFUNCTION("""COMPUTED_VALUE"""),50540.0)</f>
        <v>50540</v>
      </c>
      <c r="B9745" s="3" t="str">
        <f>IFERROR(__xludf.DUMMYFUNCTION("""COMPUTED_VALUE"""),"2995 COUNTY RD 24")</f>
        <v>2995 COUNTY RD 24</v>
      </c>
      <c r="C9745" s="3" t="str">
        <f>IFERROR(__xludf.DUMMYFUNCTION("""COMPUTED_VALUE"""),"ROSENEATH ")</f>
        <v>ROSENEATH </v>
      </c>
      <c r="D9745" s="3" t="str">
        <f>IFERROR(__xludf.DUMMYFUNCTION("""COMPUTED_VALUE"""),"K0K 2X0")</f>
        <v>K0K 2X0</v>
      </c>
      <c r="E9745" s="3"/>
      <c r="F9745" s="3"/>
      <c r="G9745" s="3"/>
      <c r="H9745" s="3"/>
    </row>
    <row r="9746">
      <c r="A9746" s="2">
        <f>IFERROR(__xludf.DUMMYFUNCTION("""COMPUTED_VALUE"""),50541.0)</f>
        <v>50541</v>
      </c>
      <c r="B9746" s="3" t="str">
        <f>IFERROR(__xludf.DUMMYFUNCTION("""COMPUTED_VALUE"""),"13001 COUNTY RD 24")</f>
        <v>13001 COUNTY RD 24</v>
      </c>
      <c r="C9746" s="3" t="str">
        <f>IFERROR(__xludf.DUMMYFUNCTION("""COMPUTED_VALUE"""),"ROSENEATH ")</f>
        <v>ROSENEATH </v>
      </c>
      <c r="D9746" s="3" t="str">
        <f>IFERROR(__xludf.DUMMYFUNCTION("""COMPUTED_VALUE"""),"K0K 2X0")</f>
        <v>K0K 2X0</v>
      </c>
      <c r="E9746" s="3"/>
      <c r="F9746" s="3"/>
      <c r="G9746" s="3"/>
      <c r="H9746" s="3"/>
    </row>
    <row r="9747">
      <c r="A9747" s="2">
        <f>IFERROR(__xludf.DUMMYFUNCTION("""COMPUTED_VALUE"""),50542.0)</f>
        <v>50542</v>
      </c>
      <c r="B9747" s="3" t="str">
        <f>IFERROR(__xludf.DUMMYFUNCTION("""COMPUTED_VALUE"""),"13010 COUNTY RD 24")</f>
        <v>13010 COUNTY RD 24</v>
      </c>
      <c r="C9747" s="3" t="str">
        <f>IFERROR(__xludf.DUMMYFUNCTION("""COMPUTED_VALUE"""),"ROSENEATH ")</f>
        <v>ROSENEATH </v>
      </c>
      <c r="D9747" s="3" t="str">
        <f>IFERROR(__xludf.DUMMYFUNCTION("""COMPUTED_VALUE"""),"K0K 2X0")</f>
        <v>K0K 2X0</v>
      </c>
      <c r="E9747" s="3"/>
      <c r="F9747" s="3"/>
      <c r="G9747" s="3"/>
      <c r="H9747" s="3"/>
    </row>
    <row r="9748">
      <c r="A9748" s="2">
        <f>IFERROR(__xludf.DUMMYFUNCTION("""COMPUTED_VALUE"""),50543.0)</f>
        <v>50543</v>
      </c>
      <c r="B9748" s="3" t="str">
        <f>IFERROR(__xludf.DUMMYFUNCTION("""COMPUTED_VALUE"""),"13019 COUNTY RD 24")</f>
        <v>13019 COUNTY RD 24</v>
      </c>
      <c r="C9748" s="3" t="str">
        <f>IFERROR(__xludf.DUMMYFUNCTION("""COMPUTED_VALUE"""),"ROSENEATH ")</f>
        <v>ROSENEATH </v>
      </c>
      <c r="D9748" s="3" t="str">
        <f>IFERROR(__xludf.DUMMYFUNCTION("""COMPUTED_VALUE"""),"K0K 2X0")</f>
        <v>K0K 2X0</v>
      </c>
      <c r="E9748" s="3" t="str">
        <f>IFERROR(__xludf.DUMMYFUNCTION("""COMPUTED_VALUE"""),"Cathy Rae / Pat Paszt")</f>
        <v>Cathy Rae / Pat Paszt</v>
      </c>
      <c r="F9748" s="3" t="str">
        <f>IFERROR(__xludf.DUMMYFUNCTION("""COMPUTED_VALUE"""),"baranki@live.ca")</f>
        <v>baranki@live.ca</v>
      </c>
      <c r="G9748" s="3"/>
      <c r="H9748" s="3"/>
    </row>
    <row r="9749">
      <c r="A9749" s="2">
        <f>IFERROR(__xludf.DUMMYFUNCTION("""COMPUTED_VALUE"""),50544.0)</f>
        <v>50544</v>
      </c>
      <c r="B9749" s="3" t="str">
        <f>IFERROR(__xludf.DUMMYFUNCTION("""COMPUTED_VALUE"""),"13044 COUNTY RD 24")</f>
        <v>13044 COUNTY RD 24</v>
      </c>
      <c r="C9749" s="3" t="str">
        <f>IFERROR(__xludf.DUMMYFUNCTION("""COMPUTED_VALUE"""),"ROSENEATH ")</f>
        <v>ROSENEATH </v>
      </c>
      <c r="D9749" s="3" t="str">
        <f>IFERROR(__xludf.DUMMYFUNCTION("""COMPUTED_VALUE"""),"K0K 2X0")</f>
        <v>K0K 2X0</v>
      </c>
      <c r="E9749" s="3"/>
      <c r="F9749" s="3"/>
      <c r="G9749" s="3"/>
      <c r="H9749" s="3"/>
    </row>
    <row r="9750">
      <c r="A9750" s="2">
        <f>IFERROR(__xludf.DUMMYFUNCTION("""COMPUTED_VALUE"""),50545.0)</f>
        <v>50545</v>
      </c>
      <c r="B9750" s="3" t="str">
        <f>IFERROR(__xludf.DUMMYFUNCTION("""COMPUTED_VALUE"""),"13052 COUNTY RD 24")</f>
        <v>13052 COUNTY RD 24</v>
      </c>
      <c r="C9750" s="3" t="str">
        <f>IFERROR(__xludf.DUMMYFUNCTION("""COMPUTED_VALUE"""),"ROSENEATH ")</f>
        <v>ROSENEATH </v>
      </c>
      <c r="D9750" s="3" t="str">
        <f>IFERROR(__xludf.DUMMYFUNCTION("""COMPUTED_VALUE"""),"K0K 2X0")</f>
        <v>K0K 2X0</v>
      </c>
      <c r="E9750" s="3"/>
      <c r="F9750" s="3"/>
      <c r="G9750" s="3"/>
      <c r="H9750" s="3"/>
    </row>
    <row r="9751">
      <c r="A9751" s="2">
        <f>IFERROR(__xludf.DUMMYFUNCTION("""COMPUTED_VALUE"""),50546.0)</f>
        <v>50546</v>
      </c>
      <c r="B9751" s="3" t="str">
        <f>IFERROR(__xludf.DUMMYFUNCTION("""COMPUTED_VALUE"""),"13053 COUNTY RD 24")</f>
        <v>13053 COUNTY RD 24</v>
      </c>
      <c r="C9751" s="3" t="str">
        <f>IFERROR(__xludf.DUMMYFUNCTION("""COMPUTED_VALUE"""),"ROSENEATH ")</f>
        <v>ROSENEATH </v>
      </c>
      <c r="D9751" s="3" t="str">
        <f>IFERROR(__xludf.DUMMYFUNCTION("""COMPUTED_VALUE"""),"K0K 2X0")</f>
        <v>K0K 2X0</v>
      </c>
      <c r="E9751" s="3"/>
      <c r="F9751" s="3"/>
      <c r="G9751" s="3"/>
      <c r="H9751" s="3"/>
    </row>
    <row r="9752">
      <c r="A9752" s="2">
        <f>IFERROR(__xludf.DUMMYFUNCTION("""COMPUTED_VALUE"""),50547.0)</f>
        <v>50547</v>
      </c>
      <c r="B9752" s="3" t="str">
        <f>IFERROR(__xludf.DUMMYFUNCTION("""COMPUTED_VALUE"""),"13075 COUNTY RD 24")</f>
        <v>13075 COUNTY RD 24</v>
      </c>
      <c r="C9752" s="3" t="str">
        <f>IFERROR(__xludf.DUMMYFUNCTION("""COMPUTED_VALUE"""),"ROSENEATH ")</f>
        <v>ROSENEATH </v>
      </c>
      <c r="D9752" s="3" t="str">
        <f>IFERROR(__xludf.DUMMYFUNCTION("""COMPUTED_VALUE"""),"K0K 2X0")</f>
        <v>K0K 2X0</v>
      </c>
      <c r="E9752" s="3"/>
      <c r="F9752" s="3"/>
      <c r="G9752" s="3"/>
      <c r="H9752" s="3"/>
    </row>
    <row r="9753">
      <c r="A9753" s="2">
        <f>IFERROR(__xludf.DUMMYFUNCTION("""COMPUTED_VALUE"""),50548.0)</f>
        <v>50548</v>
      </c>
      <c r="B9753" s="3" t="str">
        <f>IFERROR(__xludf.DUMMYFUNCTION("""COMPUTED_VALUE"""),"13086 COUNTY RD 24")</f>
        <v>13086 COUNTY RD 24</v>
      </c>
      <c r="C9753" s="3" t="str">
        <f>IFERROR(__xludf.DUMMYFUNCTION("""COMPUTED_VALUE"""),"ROSENEATH ")</f>
        <v>ROSENEATH </v>
      </c>
      <c r="D9753" s="3" t="str">
        <f>IFERROR(__xludf.DUMMYFUNCTION("""COMPUTED_VALUE"""),"K0K 2X0")</f>
        <v>K0K 2X0</v>
      </c>
      <c r="E9753" s="3" t="str">
        <f>IFERROR(__xludf.DUMMYFUNCTION("""COMPUTED_VALUE"""),"Denise Oliver")</f>
        <v>Denise Oliver</v>
      </c>
      <c r="F9753" s="3" t="str">
        <f>IFERROR(__xludf.DUMMYFUNCTION("""COMPUTED_VALUE"""),"dendenoliver@gmail.com")</f>
        <v>dendenoliver@gmail.com</v>
      </c>
      <c r="G9753" s="3">
        <f>IFERROR(__xludf.DUMMYFUNCTION("""COMPUTED_VALUE"""),4.168095833E9)</f>
        <v>4168095833</v>
      </c>
      <c r="H9753" s="3"/>
    </row>
    <row r="9754">
      <c r="A9754" s="2">
        <f>IFERROR(__xludf.DUMMYFUNCTION("""COMPUTED_VALUE"""),50549.0)</f>
        <v>50549</v>
      </c>
      <c r="B9754" s="3" t="str">
        <f>IFERROR(__xludf.DUMMYFUNCTION("""COMPUTED_VALUE"""),"13148 COUNTY RD 24")</f>
        <v>13148 COUNTY RD 24</v>
      </c>
      <c r="C9754" s="3" t="str">
        <f>IFERROR(__xludf.DUMMYFUNCTION("""COMPUTED_VALUE"""),"ROSENEATH ")</f>
        <v>ROSENEATH </v>
      </c>
      <c r="D9754" s="3" t="str">
        <f>IFERROR(__xludf.DUMMYFUNCTION("""COMPUTED_VALUE"""),"K0K 2X0")</f>
        <v>K0K 2X0</v>
      </c>
      <c r="E9754" s="3"/>
      <c r="F9754" s="3"/>
      <c r="G9754" s="3"/>
      <c r="H9754" s="3"/>
    </row>
    <row r="9755">
      <c r="A9755" s="2">
        <f>IFERROR(__xludf.DUMMYFUNCTION("""COMPUTED_VALUE"""),50550.0)</f>
        <v>50550</v>
      </c>
      <c r="B9755" s="3" t="str">
        <f>IFERROR(__xludf.DUMMYFUNCTION("""COMPUTED_VALUE"""),"13149 COUNTY RD 24")</f>
        <v>13149 COUNTY RD 24</v>
      </c>
      <c r="C9755" s="3" t="str">
        <f>IFERROR(__xludf.DUMMYFUNCTION("""COMPUTED_VALUE"""),"ROSENEATH ")</f>
        <v>ROSENEATH </v>
      </c>
      <c r="D9755" s="3" t="str">
        <f>IFERROR(__xludf.DUMMYFUNCTION("""COMPUTED_VALUE"""),"K0K 2X0")</f>
        <v>K0K 2X0</v>
      </c>
      <c r="E9755" s="3"/>
      <c r="F9755" s="3"/>
      <c r="G9755" s="3"/>
      <c r="H9755" s="3"/>
    </row>
    <row r="9756">
      <c r="A9756" s="2">
        <f>IFERROR(__xludf.DUMMYFUNCTION("""COMPUTED_VALUE"""),50551.0)</f>
        <v>50551</v>
      </c>
      <c r="B9756" s="3" t="str">
        <f>IFERROR(__xludf.DUMMYFUNCTION("""COMPUTED_VALUE"""),"13190 COUNTY RD 24")</f>
        <v>13190 COUNTY RD 24</v>
      </c>
      <c r="C9756" s="3" t="str">
        <f>IFERROR(__xludf.DUMMYFUNCTION("""COMPUTED_VALUE"""),"ROSENEATH ")</f>
        <v>ROSENEATH </v>
      </c>
      <c r="D9756" s="3" t="str">
        <f>IFERROR(__xludf.DUMMYFUNCTION("""COMPUTED_VALUE"""),"K0K 2X0")</f>
        <v>K0K 2X0</v>
      </c>
      <c r="E9756" s="3"/>
      <c r="F9756" s="3"/>
      <c r="G9756" s="3"/>
      <c r="H9756" s="3"/>
    </row>
    <row r="9757">
      <c r="A9757" s="2">
        <f>IFERROR(__xludf.DUMMYFUNCTION("""COMPUTED_VALUE"""),50552.0)</f>
        <v>50552</v>
      </c>
      <c r="B9757" s="3" t="str">
        <f>IFERROR(__xludf.DUMMYFUNCTION("""COMPUTED_VALUE"""),"13209 COUNTY RD 24")</f>
        <v>13209 COUNTY RD 24</v>
      </c>
      <c r="C9757" s="3" t="str">
        <f>IFERROR(__xludf.DUMMYFUNCTION("""COMPUTED_VALUE"""),"ROSENEATH ")</f>
        <v>ROSENEATH </v>
      </c>
      <c r="D9757" s="3" t="str">
        <f>IFERROR(__xludf.DUMMYFUNCTION("""COMPUTED_VALUE"""),"K0K 2X0")</f>
        <v>K0K 2X0</v>
      </c>
      <c r="E9757" s="3"/>
      <c r="F9757" s="3"/>
      <c r="G9757" s="3"/>
      <c r="H9757" s="3"/>
    </row>
    <row r="9758">
      <c r="A9758" s="2">
        <f>IFERROR(__xludf.DUMMYFUNCTION("""COMPUTED_VALUE"""),50553.0)</f>
        <v>50553</v>
      </c>
      <c r="B9758" s="3" t="str">
        <f>IFERROR(__xludf.DUMMYFUNCTION("""COMPUTED_VALUE"""),"13223 COUNTY RD 24")</f>
        <v>13223 COUNTY RD 24</v>
      </c>
      <c r="C9758" s="3" t="str">
        <f>IFERROR(__xludf.DUMMYFUNCTION("""COMPUTED_VALUE"""),"ROSENEATH ")</f>
        <v>ROSENEATH </v>
      </c>
      <c r="D9758" s="3" t="str">
        <f>IFERROR(__xludf.DUMMYFUNCTION("""COMPUTED_VALUE"""),"K0K 2X0")</f>
        <v>K0K 2X0</v>
      </c>
      <c r="E9758" s="3"/>
      <c r="F9758" s="3"/>
      <c r="G9758" s="3"/>
      <c r="H9758" s="3"/>
    </row>
    <row r="9759">
      <c r="A9759" s="2">
        <f>IFERROR(__xludf.DUMMYFUNCTION("""COMPUTED_VALUE"""),50554.0)</f>
        <v>50554</v>
      </c>
      <c r="B9759" s="3" t="str">
        <f>IFERROR(__xludf.DUMMYFUNCTION("""COMPUTED_VALUE"""),"13240 COUNTY RD 24")</f>
        <v>13240 COUNTY RD 24</v>
      </c>
      <c r="C9759" s="3" t="str">
        <f>IFERROR(__xludf.DUMMYFUNCTION("""COMPUTED_VALUE"""),"ROSENEATH ")</f>
        <v>ROSENEATH </v>
      </c>
      <c r="D9759" s="3" t="str">
        <f>IFERROR(__xludf.DUMMYFUNCTION("""COMPUTED_VALUE"""),"K0K 2X0")</f>
        <v>K0K 2X0</v>
      </c>
      <c r="E9759" s="3"/>
      <c r="F9759" s="3"/>
      <c r="G9759" s="3"/>
      <c r="H9759" s="3"/>
    </row>
    <row r="9760">
      <c r="A9760" s="2">
        <f>IFERROR(__xludf.DUMMYFUNCTION("""COMPUTED_VALUE"""),50555.0)</f>
        <v>50555</v>
      </c>
      <c r="B9760" s="3" t="str">
        <f>IFERROR(__xludf.DUMMYFUNCTION("""COMPUTED_VALUE"""),"11911 COUNTY RD 24")</f>
        <v>11911 COUNTY RD 24</v>
      </c>
      <c r="C9760" s="3" t="str">
        <f>IFERROR(__xludf.DUMMYFUNCTION("""COMPUTED_VALUE"""),"ROSENEATH ")</f>
        <v>ROSENEATH </v>
      </c>
      <c r="D9760" s="3" t="str">
        <f>IFERROR(__xludf.DUMMYFUNCTION("""COMPUTED_VALUE"""),"K0K 2X0")</f>
        <v>K0K 2X0</v>
      </c>
      <c r="E9760" s="3"/>
      <c r="F9760" s="3"/>
      <c r="G9760" s="3"/>
      <c r="H9760" s="3"/>
    </row>
    <row r="9761">
      <c r="A9761" s="2">
        <f>IFERROR(__xludf.DUMMYFUNCTION("""COMPUTED_VALUE"""),51971.0)</f>
        <v>51971</v>
      </c>
      <c r="B9761" s="3" t="str">
        <f>IFERROR(__xludf.DUMMYFUNCTION("""COMPUTED_VALUE"""),"11913 COUNTY RD 24")</f>
        <v>11913 COUNTY RD 24</v>
      </c>
      <c r="C9761" s="3"/>
      <c r="D9761" s="3"/>
      <c r="E9761" s="3"/>
      <c r="F9761" s="3"/>
      <c r="G9761" s="3"/>
      <c r="H9761" s="3"/>
    </row>
    <row r="9762">
      <c r="A9762" s="2">
        <f>IFERROR(__xludf.DUMMYFUNCTION("""COMPUTED_VALUE"""),50556.0)</f>
        <v>50556</v>
      </c>
      <c r="B9762" s="3" t="str">
        <f>IFERROR(__xludf.DUMMYFUNCTION("""COMPUTED_VALUE"""),"11105 COUNTY RD 29")</f>
        <v>11105 COUNTY RD 29</v>
      </c>
      <c r="C9762" s="3" t="str">
        <f>IFERROR(__xludf.DUMMYFUNCTION("""COMPUTED_VALUE"""),"ROSENEATH ")</f>
        <v>ROSENEATH </v>
      </c>
      <c r="D9762" s="3" t="str">
        <f>IFERROR(__xludf.DUMMYFUNCTION("""COMPUTED_VALUE"""),"K0K 2X0")</f>
        <v>K0K 2X0</v>
      </c>
      <c r="E9762" s="3"/>
      <c r="F9762" s="3"/>
      <c r="G9762" s="3"/>
      <c r="H9762" s="3"/>
    </row>
    <row r="9763">
      <c r="A9763" s="2">
        <f>IFERROR(__xludf.DUMMYFUNCTION("""COMPUTED_VALUE"""),50557.0)</f>
        <v>50557</v>
      </c>
      <c r="B9763" s="3" t="str">
        <f>IFERROR(__xludf.DUMMYFUNCTION("""COMPUTED_VALUE"""),"11110 COUNTY ROAD 29")</f>
        <v>11110 COUNTY ROAD 29</v>
      </c>
      <c r="C9763" s="3" t="str">
        <f>IFERROR(__xludf.DUMMYFUNCTION("""COMPUTED_VALUE"""),"ROSENEATH ")</f>
        <v>ROSENEATH </v>
      </c>
      <c r="D9763" s="3" t="str">
        <f>IFERROR(__xludf.DUMMYFUNCTION("""COMPUTED_VALUE"""),"K0K 2X0")</f>
        <v>K0K 2X0</v>
      </c>
      <c r="E9763" s="3" t="str">
        <f>IFERROR(__xludf.DUMMYFUNCTION("""COMPUTED_VALUE"""),"Stuart REID")</f>
        <v>Stuart REID</v>
      </c>
      <c r="F9763" s="3" t="str">
        <f>IFERROR(__xludf.DUMMYFUNCTION("""COMPUTED_VALUE"""),"mr_stuart_reid@yahoo.ca")</f>
        <v>mr_stuart_reid@yahoo.ca</v>
      </c>
      <c r="G9763" s="3"/>
      <c r="H9763" s="3"/>
    </row>
    <row r="9764">
      <c r="A9764" s="2">
        <f>IFERROR(__xludf.DUMMYFUNCTION("""COMPUTED_VALUE"""),50558.0)</f>
        <v>50558</v>
      </c>
      <c r="B9764" s="3" t="str">
        <f>IFERROR(__xludf.DUMMYFUNCTION("""COMPUTED_VALUE"""),"11115 COUNTY RD 29")</f>
        <v>11115 COUNTY RD 29</v>
      </c>
      <c r="C9764" s="3" t="str">
        <f>IFERROR(__xludf.DUMMYFUNCTION("""COMPUTED_VALUE"""),"ROSENEATH ")</f>
        <v>ROSENEATH </v>
      </c>
      <c r="D9764" s="3" t="str">
        <f>IFERROR(__xludf.DUMMYFUNCTION("""COMPUTED_VALUE"""),"K0K 2X0")</f>
        <v>K0K 2X0</v>
      </c>
      <c r="E9764" s="3"/>
      <c r="F9764" s="3"/>
      <c r="G9764" s="3"/>
      <c r="H9764" s="3"/>
    </row>
    <row r="9765">
      <c r="A9765" s="2">
        <f>IFERROR(__xludf.DUMMYFUNCTION("""COMPUTED_VALUE"""),50559.0)</f>
        <v>50559</v>
      </c>
      <c r="B9765" s="3" t="str">
        <f>IFERROR(__xludf.DUMMYFUNCTION("""COMPUTED_VALUE"""),"11125 COUNTY RD 29")</f>
        <v>11125 COUNTY RD 29</v>
      </c>
      <c r="C9765" s="3" t="str">
        <f>IFERROR(__xludf.DUMMYFUNCTION("""COMPUTED_VALUE"""),"ROSENEATH ")</f>
        <v>ROSENEATH </v>
      </c>
      <c r="D9765" s="3" t="str">
        <f>IFERROR(__xludf.DUMMYFUNCTION("""COMPUTED_VALUE"""),"K0K 2X0")</f>
        <v>K0K 2X0</v>
      </c>
      <c r="E9765" s="3"/>
      <c r="F9765" s="3"/>
      <c r="G9765" s="3"/>
      <c r="H9765" s="3"/>
    </row>
    <row r="9766">
      <c r="A9766" s="2">
        <f>IFERROR(__xludf.DUMMYFUNCTION("""COMPUTED_VALUE"""),50560.0)</f>
        <v>50560</v>
      </c>
      <c r="B9766" s="3" t="str">
        <f>IFERROR(__xludf.DUMMYFUNCTION("""COMPUTED_VALUE"""),"11153 COUNTY RD 29")</f>
        <v>11153 COUNTY RD 29</v>
      </c>
      <c r="C9766" s="3" t="str">
        <f>IFERROR(__xludf.DUMMYFUNCTION("""COMPUTED_VALUE"""),"ROSENEATH ")</f>
        <v>ROSENEATH </v>
      </c>
      <c r="D9766" s="3" t="str">
        <f>IFERROR(__xludf.DUMMYFUNCTION("""COMPUTED_VALUE"""),"K0K 2X0")</f>
        <v>K0K 2X0</v>
      </c>
      <c r="E9766" s="3" t="str">
        <f>IFERROR(__xludf.DUMMYFUNCTION("""COMPUTED_VALUE"""),"Gary &amp; Deborah Adams")</f>
        <v>Gary &amp; Deborah Adams</v>
      </c>
      <c r="F9766" s="3" t="str">
        <f>IFERROR(__xludf.DUMMYFUNCTION("""COMPUTED_VALUE"""),"debadams947@gmail.com")</f>
        <v>debadams947@gmail.com</v>
      </c>
      <c r="G9766" s="3"/>
      <c r="H9766" s="3"/>
    </row>
    <row r="9767">
      <c r="A9767" s="2">
        <f>IFERROR(__xludf.DUMMYFUNCTION("""COMPUTED_VALUE"""),50561.0)</f>
        <v>50561</v>
      </c>
      <c r="B9767" s="3" t="str">
        <f>IFERROR(__xludf.DUMMYFUNCTION("""COMPUTED_VALUE"""),"11202 COUNTY ROAD 29")</f>
        <v>11202 COUNTY ROAD 29</v>
      </c>
      <c r="C9767" s="3" t="str">
        <f>IFERROR(__xludf.DUMMYFUNCTION("""COMPUTED_VALUE"""),"ROSENEATH ")</f>
        <v>ROSENEATH </v>
      </c>
      <c r="D9767" s="3" t="str">
        <f>IFERROR(__xludf.DUMMYFUNCTION("""COMPUTED_VALUE"""),"K0K 2X0")</f>
        <v>K0K 2X0</v>
      </c>
      <c r="E9767" s="3" t="str">
        <f>IFERROR(__xludf.DUMMYFUNCTION("""COMPUTED_VALUE"""),"Craig &amp; Maire Timlin")</f>
        <v>Craig &amp; Maire Timlin</v>
      </c>
      <c r="F9767" s="3" t="str">
        <f>IFERROR(__xludf.DUMMYFUNCTION("""COMPUTED_VALUE"""),"timvalefarms88@gmail.com")</f>
        <v>timvalefarms88@gmail.com</v>
      </c>
      <c r="G9767" s="3"/>
      <c r="H9767" s="3"/>
    </row>
    <row r="9768">
      <c r="A9768" s="2">
        <f>IFERROR(__xludf.DUMMYFUNCTION("""COMPUTED_VALUE"""),50562.0)</f>
        <v>50562</v>
      </c>
      <c r="B9768" s="3" t="str">
        <f>IFERROR(__xludf.DUMMYFUNCTION("""COMPUTED_VALUE"""),"11205 COUNTY RD 29")</f>
        <v>11205 COUNTY RD 29</v>
      </c>
      <c r="C9768" s="3" t="str">
        <f>IFERROR(__xludf.DUMMYFUNCTION("""COMPUTED_VALUE"""),"ROSENEATH ")</f>
        <v>ROSENEATH </v>
      </c>
      <c r="D9768" s="3" t="str">
        <f>IFERROR(__xludf.DUMMYFUNCTION("""COMPUTED_VALUE"""),"K0K 2X0")</f>
        <v>K0K 2X0</v>
      </c>
      <c r="E9768" s="3"/>
      <c r="F9768" s="3"/>
      <c r="G9768" s="3"/>
      <c r="H9768" s="3"/>
    </row>
    <row r="9769">
      <c r="A9769" s="2">
        <f>IFERROR(__xludf.DUMMYFUNCTION("""COMPUTED_VALUE"""),50563.0)</f>
        <v>50563</v>
      </c>
      <c r="B9769" s="3" t="str">
        <f>IFERROR(__xludf.DUMMYFUNCTION("""COMPUTED_VALUE"""),"11230 COUNTY ROAD 29")</f>
        <v>11230 COUNTY ROAD 29</v>
      </c>
      <c r="C9769" s="3" t="str">
        <f>IFERROR(__xludf.DUMMYFUNCTION("""COMPUTED_VALUE"""),"ROSENEATH ")</f>
        <v>ROSENEATH </v>
      </c>
      <c r="D9769" s="3" t="str">
        <f>IFERROR(__xludf.DUMMYFUNCTION("""COMPUTED_VALUE"""),"K0K 2X0")</f>
        <v>K0K 2X0</v>
      </c>
      <c r="E9769" s="3" t="str">
        <f>IFERROR(__xludf.DUMMYFUNCTION("""COMPUTED_VALUE"""),"Jason Mack")</f>
        <v>Jason Mack</v>
      </c>
      <c r="F9769" s="3" t="str">
        <f>IFERROR(__xludf.DUMMYFUNCTION("""COMPUTED_VALUE"""),"jason.73.mack@gmail.com")</f>
        <v>jason.73.mack@gmail.com</v>
      </c>
      <c r="G9769" s="3">
        <f>IFERROR(__xludf.DUMMYFUNCTION("""COMPUTED_VALUE"""),9.053962551E9)</f>
        <v>9053962551</v>
      </c>
      <c r="H9769" s="3"/>
    </row>
    <row r="9770">
      <c r="A9770" s="2">
        <f>IFERROR(__xludf.DUMMYFUNCTION("""COMPUTED_VALUE"""),50564.0)</f>
        <v>50564</v>
      </c>
      <c r="B9770" s="3" t="str">
        <f>IFERROR(__xludf.DUMMYFUNCTION("""COMPUTED_VALUE"""),"11240 COUNTY ROAD 29")</f>
        <v>11240 COUNTY ROAD 29</v>
      </c>
      <c r="C9770" s="3" t="str">
        <f>IFERROR(__xludf.DUMMYFUNCTION("""COMPUTED_VALUE"""),"ROSENEATH ")</f>
        <v>ROSENEATH </v>
      </c>
      <c r="D9770" s="3" t="str">
        <f>IFERROR(__xludf.DUMMYFUNCTION("""COMPUTED_VALUE"""),"K0K 2X0")</f>
        <v>K0K 2X0</v>
      </c>
      <c r="E9770" s="3" t="str">
        <f>IFERROR(__xludf.DUMMYFUNCTION("""COMPUTED_VALUE"""),"John Stevenson")</f>
        <v>John Stevenson</v>
      </c>
      <c r="F9770" s="3" t="str">
        <f>IFERROR(__xludf.DUMMYFUNCTION("""COMPUTED_VALUE"""),"johnlynn1123@gmail.com")</f>
        <v>johnlynn1123@gmail.com</v>
      </c>
      <c r="G9770" s="3">
        <f>IFERROR(__xludf.DUMMYFUNCTION("""COMPUTED_VALUE"""),9.053761097E9)</f>
        <v>9053761097</v>
      </c>
      <c r="H9770" s="3">
        <f>IFERROR(__xludf.DUMMYFUNCTION("""COMPUTED_VALUE"""),9.053760497E9)</f>
        <v>9053760497</v>
      </c>
    </row>
    <row r="9771">
      <c r="A9771" s="2">
        <f>IFERROR(__xludf.DUMMYFUNCTION("""COMPUTED_VALUE"""),50565.0)</f>
        <v>50565</v>
      </c>
      <c r="B9771" s="3" t="str">
        <f>IFERROR(__xludf.DUMMYFUNCTION("""COMPUTED_VALUE"""),"11256 COUNTY ROAD 29")</f>
        <v>11256 COUNTY ROAD 29</v>
      </c>
      <c r="C9771" s="3" t="str">
        <f>IFERROR(__xludf.DUMMYFUNCTION("""COMPUTED_VALUE"""),"ROSENEATH ")</f>
        <v>ROSENEATH </v>
      </c>
      <c r="D9771" s="3" t="str">
        <f>IFERROR(__xludf.DUMMYFUNCTION("""COMPUTED_VALUE"""),"K0K 2X0")</f>
        <v>K0K 2X0</v>
      </c>
      <c r="E9771" s="3" t="str">
        <f>IFERROR(__xludf.DUMMYFUNCTION("""COMPUTED_VALUE"""),"Syliva &amp; Arthur Fydirchuk")</f>
        <v>Syliva &amp; Arthur Fydirchuk</v>
      </c>
      <c r="F9771" s="3" t="str">
        <f>IFERROR(__xludf.DUMMYFUNCTION("""COMPUTED_VALUE"""),"arthur.fydirchuk@sympatico.ca")</f>
        <v>arthur.fydirchuk@sympatico.ca</v>
      </c>
      <c r="G9771" s="3">
        <f>IFERROR(__xludf.DUMMYFUNCTION("""COMPUTED_VALUE"""),9.053522949E9)</f>
        <v>9053522949</v>
      </c>
      <c r="H9771" s="3">
        <f>IFERROR(__xludf.DUMMYFUNCTION("""COMPUTED_VALUE"""),9.052136359E9)</f>
        <v>9052136359</v>
      </c>
    </row>
    <row r="9772">
      <c r="A9772" s="2">
        <f>IFERROR(__xludf.DUMMYFUNCTION("""COMPUTED_VALUE"""),50566.0)</f>
        <v>50566</v>
      </c>
      <c r="B9772" s="3" t="str">
        <f>IFERROR(__xludf.DUMMYFUNCTION("""COMPUTED_VALUE"""),"11262 COUNTY ROAD 29")</f>
        <v>11262 COUNTY ROAD 29</v>
      </c>
      <c r="C9772" s="3" t="str">
        <f>IFERROR(__xludf.DUMMYFUNCTION("""COMPUTED_VALUE"""),"ROSENEATH ")</f>
        <v>ROSENEATH </v>
      </c>
      <c r="D9772" s="3" t="str">
        <f>IFERROR(__xludf.DUMMYFUNCTION("""COMPUTED_VALUE"""),"K0K 2X0")</f>
        <v>K0K 2X0</v>
      </c>
      <c r="E9772" s="3" t="str">
        <f>IFERROR(__xludf.DUMMYFUNCTION("""COMPUTED_VALUE"""),"Rebecca Paulin")</f>
        <v>Rebecca Paulin</v>
      </c>
      <c r="F9772" s="3" t="str">
        <f>IFERROR(__xludf.DUMMYFUNCTION("""COMPUTED_VALUE"""),"rbrook@sympatico.ca")</f>
        <v>rbrook@sympatico.ca</v>
      </c>
      <c r="G9772" s="3">
        <f>IFERROR(__xludf.DUMMYFUNCTION("""COMPUTED_VALUE"""),9.053961465E9)</f>
        <v>9053961465</v>
      </c>
      <c r="H9772" s="3"/>
    </row>
    <row r="9773">
      <c r="A9773" s="2">
        <f>IFERROR(__xludf.DUMMYFUNCTION("""COMPUTED_VALUE"""),50567.0)</f>
        <v>50567</v>
      </c>
      <c r="B9773" s="3" t="str">
        <f>IFERROR(__xludf.DUMMYFUNCTION("""COMPUTED_VALUE"""),"11269 COUNTY RD 29")</f>
        <v>11269 COUNTY RD 29</v>
      </c>
      <c r="C9773" s="3" t="str">
        <f>IFERROR(__xludf.DUMMYFUNCTION("""COMPUTED_VALUE"""),"ROSENEATH ")</f>
        <v>ROSENEATH </v>
      </c>
      <c r="D9773" s="3" t="str">
        <f>IFERROR(__xludf.DUMMYFUNCTION("""COMPUTED_VALUE"""),"K0K 2X0")</f>
        <v>K0K 2X0</v>
      </c>
      <c r="E9773" s="3"/>
      <c r="F9773" s="3"/>
      <c r="G9773" s="3"/>
      <c r="H9773" s="3"/>
    </row>
    <row r="9774">
      <c r="A9774" s="2">
        <f>IFERROR(__xludf.DUMMYFUNCTION("""COMPUTED_VALUE"""),50568.0)</f>
        <v>50568</v>
      </c>
      <c r="B9774" s="3" t="str">
        <f>IFERROR(__xludf.DUMMYFUNCTION("""COMPUTED_VALUE"""),"11288 COUNTY ROAD 29")</f>
        <v>11288 COUNTY ROAD 29</v>
      </c>
      <c r="C9774" s="3" t="str">
        <f>IFERROR(__xludf.DUMMYFUNCTION("""COMPUTED_VALUE"""),"ROSENEATH ")</f>
        <v>ROSENEATH </v>
      </c>
      <c r="D9774" s="3" t="str">
        <f>IFERROR(__xludf.DUMMYFUNCTION("""COMPUTED_VALUE"""),"K0K 2X0")</f>
        <v>K0K 2X0</v>
      </c>
      <c r="E9774" s="3"/>
      <c r="F9774" s="3"/>
      <c r="G9774" s="3"/>
      <c r="H9774" s="3"/>
    </row>
    <row r="9775">
      <c r="A9775" s="2">
        <f>IFERROR(__xludf.DUMMYFUNCTION("""COMPUTED_VALUE"""),50569.0)</f>
        <v>50569</v>
      </c>
      <c r="B9775" s="3" t="str">
        <f>IFERROR(__xludf.DUMMYFUNCTION("""COMPUTED_VALUE"""),"11294 COUNTY ROAD 29")</f>
        <v>11294 COUNTY ROAD 29</v>
      </c>
      <c r="C9775" s="3" t="str">
        <f>IFERROR(__xludf.DUMMYFUNCTION("""COMPUTED_VALUE"""),"ROSENEATH ")</f>
        <v>ROSENEATH </v>
      </c>
      <c r="D9775" s="3" t="str">
        <f>IFERROR(__xludf.DUMMYFUNCTION("""COMPUTED_VALUE"""),"K0K 2X0")</f>
        <v>K0K 2X0</v>
      </c>
      <c r="E9775" s="3"/>
      <c r="F9775" s="3"/>
      <c r="G9775" s="3"/>
      <c r="H9775" s="3"/>
    </row>
    <row r="9776">
      <c r="A9776" s="2">
        <f>IFERROR(__xludf.DUMMYFUNCTION("""COMPUTED_VALUE"""),50570.0)</f>
        <v>50570</v>
      </c>
      <c r="B9776" s="3" t="str">
        <f>IFERROR(__xludf.DUMMYFUNCTION("""COMPUTED_VALUE"""),"11345 COUNTY RD 29")</f>
        <v>11345 COUNTY RD 29</v>
      </c>
      <c r="C9776" s="3" t="str">
        <f>IFERROR(__xludf.DUMMYFUNCTION("""COMPUTED_VALUE"""),"ROSENEATH ")</f>
        <v>ROSENEATH </v>
      </c>
      <c r="D9776" s="3" t="str">
        <f>IFERROR(__xludf.DUMMYFUNCTION("""COMPUTED_VALUE"""),"K0K 2X0")</f>
        <v>K0K 2X0</v>
      </c>
      <c r="E9776" s="3" t="str">
        <f>IFERROR(__xludf.DUMMYFUNCTION("""COMPUTED_VALUE"""),"Angela Hamlin")</f>
        <v>Angela Hamlin</v>
      </c>
      <c r="F9776" s="3" t="str">
        <f>IFERROR(__xludf.DUMMYFUNCTION("""COMPUTED_VALUE"""),"teamhamlinhomes@gmail.com")</f>
        <v>teamhamlinhomes@gmail.com</v>
      </c>
      <c r="G9776" s="3">
        <f>IFERROR(__xludf.DUMMYFUNCTION("""COMPUTED_VALUE"""),9.054498555E9)</f>
        <v>9054498555</v>
      </c>
      <c r="H9776" s="3"/>
    </row>
    <row r="9777">
      <c r="A9777" s="2">
        <f>IFERROR(__xludf.DUMMYFUNCTION("""COMPUTED_VALUE"""),50571.0)</f>
        <v>50571</v>
      </c>
      <c r="B9777" s="3" t="str">
        <f>IFERROR(__xludf.DUMMYFUNCTION("""COMPUTED_VALUE"""),"11354 COUNTY ROAD 29")</f>
        <v>11354 COUNTY ROAD 29</v>
      </c>
      <c r="C9777" s="3" t="str">
        <f>IFERROR(__xludf.DUMMYFUNCTION("""COMPUTED_VALUE"""),"ROSENEATH ")</f>
        <v>ROSENEATH </v>
      </c>
      <c r="D9777" s="3" t="str">
        <f>IFERROR(__xludf.DUMMYFUNCTION("""COMPUTED_VALUE"""),"K0K 2X0")</f>
        <v>K0K 2X0</v>
      </c>
      <c r="E9777" s="3" t="str">
        <f>IFERROR(__xludf.DUMMYFUNCTION("""COMPUTED_VALUE"""),"Andrea Langman")</f>
        <v>Andrea Langman</v>
      </c>
      <c r="F9777" s="3" t="str">
        <f>IFERROR(__xludf.DUMMYFUNCTION("""COMPUTED_VALUE"""),"astevenson1985@gmail.com")</f>
        <v>astevenson1985@gmail.com</v>
      </c>
      <c r="G9777" s="3">
        <f>IFERROR(__xludf.DUMMYFUNCTION("""COMPUTED_VALUE"""),9.053967775E9)</f>
        <v>9053967775</v>
      </c>
      <c r="H9777" s="3"/>
    </row>
    <row r="9778">
      <c r="A9778" s="2">
        <f>IFERROR(__xludf.DUMMYFUNCTION("""COMPUTED_VALUE"""),50572.0)</f>
        <v>50572</v>
      </c>
      <c r="B9778" s="3" t="str">
        <f>IFERROR(__xludf.DUMMYFUNCTION("""COMPUTED_VALUE"""),"11360 COUNTY ROAD 29")</f>
        <v>11360 COUNTY ROAD 29</v>
      </c>
      <c r="C9778" s="3" t="str">
        <f>IFERROR(__xludf.DUMMYFUNCTION("""COMPUTED_VALUE"""),"ROSENEATH ")</f>
        <v>ROSENEATH </v>
      </c>
      <c r="D9778" s="3" t="str">
        <f>IFERROR(__xludf.DUMMYFUNCTION("""COMPUTED_VALUE"""),"K0K 2X0")</f>
        <v>K0K 2X0</v>
      </c>
      <c r="E9778" s="3" t="str">
        <f>IFERROR(__xludf.DUMMYFUNCTION("""COMPUTED_VALUE"""),"Kim Im")</f>
        <v>Kim Im</v>
      </c>
      <c r="F9778" s="3" t="str">
        <f>IFERROR(__xludf.DUMMYFUNCTION("""COMPUTED_VALUE"""),"yiki53@gmail.com")</f>
        <v>yiki53@gmail.com</v>
      </c>
      <c r="G9778" s="3"/>
      <c r="H9778" s="3"/>
    </row>
    <row r="9779">
      <c r="A9779" s="2">
        <f>IFERROR(__xludf.DUMMYFUNCTION("""COMPUTED_VALUE"""),50573.0)</f>
        <v>50573</v>
      </c>
      <c r="B9779" s="3" t="str">
        <f>IFERROR(__xludf.DUMMYFUNCTION("""COMPUTED_VALUE"""),"11394 COUNTY ROAD 29")</f>
        <v>11394 COUNTY ROAD 29</v>
      </c>
      <c r="C9779" s="3" t="str">
        <f>IFERROR(__xludf.DUMMYFUNCTION("""COMPUTED_VALUE"""),"ROSENEATH ")</f>
        <v>ROSENEATH </v>
      </c>
      <c r="D9779" s="3" t="str">
        <f>IFERROR(__xludf.DUMMYFUNCTION("""COMPUTED_VALUE"""),"K0K 2X0")</f>
        <v>K0K 2X0</v>
      </c>
      <c r="E9779" s="3"/>
      <c r="F9779" s="3"/>
      <c r="G9779" s="3"/>
      <c r="H9779" s="3"/>
    </row>
    <row r="9780">
      <c r="A9780" s="2">
        <f>IFERROR(__xludf.DUMMYFUNCTION("""COMPUTED_VALUE"""),50574.0)</f>
        <v>50574</v>
      </c>
      <c r="B9780" s="3" t="str">
        <f>IFERROR(__xludf.DUMMYFUNCTION("""COMPUTED_VALUE"""),"11456 COUNTY ROAD 29")</f>
        <v>11456 COUNTY ROAD 29</v>
      </c>
      <c r="C9780" s="3" t="str">
        <f>IFERROR(__xludf.DUMMYFUNCTION("""COMPUTED_VALUE"""),"ROSENEATH ")</f>
        <v>ROSENEATH </v>
      </c>
      <c r="D9780" s="3" t="str">
        <f>IFERROR(__xludf.DUMMYFUNCTION("""COMPUTED_VALUE"""),"K0K 2X0")</f>
        <v>K0K 2X0</v>
      </c>
      <c r="E9780" s="3"/>
      <c r="F9780" s="3"/>
      <c r="G9780" s="3"/>
      <c r="H9780" s="3"/>
    </row>
    <row r="9781">
      <c r="A9781" s="2">
        <f>IFERROR(__xludf.DUMMYFUNCTION("""COMPUTED_VALUE"""),50575.0)</f>
        <v>50575</v>
      </c>
      <c r="B9781" s="3" t="str">
        <f>IFERROR(__xludf.DUMMYFUNCTION("""COMPUTED_VALUE"""),"11459 COUNTRY RD 29")</f>
        <v>11459 COUNTRY RD 29</v>
      </c>
      <c r="C9781" s="3" t="str">
        <f>IFERROR(__xludf.DUMMYFUNCTION("""COMPUTED_VALUE"""),"ROSENEATH ")</f>
        <v>ROSENEATH </v>
      </c>
      <c r="D9781" s="3" t="str">
        <f>IFERROR(__xludf.DUMMYFUNCTION("""COMPUTED_VALUE"""),"K0K 2X0")</f>
        <v>K0K 2X0</v>
      </c>
      <c r="E9781" s="3" t="str">
        <f>IFERROR(__xludf.DUMMYFUNCTION("""COMPUTED_VALUE"""),"John &amp; Linda Shelley")</f>
        <v>John &amp; Linda Shelley</v>
      </c>
      <c r="F9781" s="3" t="str">
        <f>IFERROR(__xludf.DUMMYFUNCTION("""COMPUTED_VALUE"""),"shelleyjohnh@gmail.com")</f>
        <v>shelleyjohnh@gmail.com</v>
      </c>
      <c r="G9781" s="3">
        <f>IFERROR(__xludf.DUMMYFUNCTION("""COMPUTED_VALUE"""),9.053962224E9)</f>
        <v>9053962224</v>
      </c>
      <c r="H9781" s="3"/>
    </row>
    <row r="9782">
      <c r="A9782" s="2">
        <f>IFERROR(__xludf.DUMMYFUNCTION("""COMPUTED_VALUE"""),50576.0)</f>
        <v>50576</v>
      </c>
      <c r="B9782" s="3" t="str">
        <f>IFERROR(__xludf.DUMMYFUNCTION("""COMPUTED_VALUE"""),"11470 COUNTY ROAD 29")</f>
        <v>11470 COUNTY ROAD 29</v>
      </c>
      <c r="C9782" s="3" t="str">
        <f>IFERROR(__xludf.DUMMYFUNCTION("""COMPUTED_VALUE"""),"ROSENEATH ")</f>
        <v>ROSENEATH </v>
      </c>
      <c r="D9782" s="3" t="str">
        <f>IFERROR(__xludf.DUMMYFUNCTION("""COMPUTED_VALUE"""),"K0K 2X0")</f>
        <v>K0K 2X0</v>
      </c>
      <c r="E9782" s="3"/>
      <c r="F9782" s="3"/>
      <c r="G9782" s="3"/>
      <c r="H9782" s="3"/>
    </row>
    <row r="9783">
      <c r="A9783" s="2">
        <f>IFERROR(__xludf.DUMMYFUNCTION("""COMPUTED_VALUE"""),50577.0)</f>
        <v>50577</v>
      </c>
      <c r="B9783" s="3" t="str">
        <f>IFERROR(__xludf.DUMMYFUNCTION("""COMPUTED_VALUE"""),"11473 COUNTY RD 29")</f>
        <v>11473 COUNTY RD 29</v>
      </c>
      <c r="C9783" s="3" t="str">
        <f>IFERROR(__xludf.DUMMYFUNCTION("""COMPUTED_VALUE"""),"ROSENEATH ")</f>
        <v>ROSENEATH </v>
      </c>
      <c r="D9783" s="3" t="str">
        <f>IFERROR(__xludf.DUMMYFUNCTION("""COMPUTED_VALUE"""),"K0K 2X0")</f>
        <v>K0K 2X0</v>
      </c>
      <c r="E9783" s="3" t="str">
        <f>IFERROR(__xludf.DUMMYFUNCTION("""COMPUTED_VALUE"""),"Andrew Reed")</f>
        <v>Andrew Reed</v>
      </c>
      <c r="F9783" s="3" t="str">
        <f>IFERROR(__xludf.DUMMYFUNCTION("""COMPUTED_VALUE"""),"anreed@eagle.ca")</f>
        <v>anreed@eagle.ca</v>
      </c>
      <c r="G9783" s="3">
        <f>IFERROR(__xludf.DUMMYFUNCTION("""COMPUTED_VALUE"""),9.052695888E9)</f>
        <v>9052695888</v>
      </c>
      <c r="H9783" s="3"/>
    </row>
    <row r="9784">
      <c r="A9784" s="2">
        <f>IFERROR(__xludf.DUMMYFUNCTION("""COMPUTED_VALUE"""),50578.0)</f>
        <v>50578</v>
      </c>
      <c r="B9784" s="3" t="str">
        <f>IFERROR(__xludf.DUMMYFUNCTION("""COMPUTED_VALUE"""),"11492 COUNTY ROAD 29")</f>
        <v>11492 COUNTY ROAD 29</v>
      </c>
      <c r="C9784" s="3" t="str">
        <f>IFERROR(__xludf.DUMMYFUNCTION("""COMPUTED_VALUE"""),"ROSENEATH ")</f>
        <v>ROSENEATH </v>
      </c>
      <c r="D9784" s="3" t="str">
        <f>IFERROR(__xludf.DUMMYFUNCTION("""COMPUTED_VALUE"""),"K0K 2X0")</f>
        <v>K0K 2X0</v>
      </c>
      <c r="E9784" s="3" t="str">
        <f>IFERROR(__xludf.DUMMYFUNCTION("""COMPUTED_VALUE"""),"Stephen Roberts")</f>
        <v>Stephen Roberts</v>
      </c>
      <c r="F9784" s="3" t="str">
        <f>IFERROR(__xludf.DUMMYFUNCTION("""COMPUTED_VALUE"""),"slbert@xplornet.com")</f>
        <v>slbert@xplornet.com</v>
      </c>
      <c r="G9784" s="3">
        <f>IFERROR(__xludf.DUMMYFUNCTION("""COMPUTED_VALUE"""),2.892517024E9)</f>
        <v>2892517024</v>
      </c>
      <c r="H9784" s="3"/>
    </row>
    <row r="9785">
      <c r="A9785" s="2">
        <f>IFERROR(__xludf.DUMMYFUNCTION("""COMPUTED_VALUE"""),50579.0)</f>
        <v>50579</v>
      </c>
      <c r="B9785" s="3" t="str">
        <f>IFERROR(__xludf.DUMMYFUNCTION("""COMPUTED_VALUE"""),"11512 COUNTY ROAD 29")</f>
        <v>11512 COUNTY ROAD 29</v>
      </c>
      <c r="C9785" s="3" t="str">
        <f>IFERROR(__xludf.DUMMYFUNCTION("""COMPUTED_VALUE"""),"ROSENEATH ")</f>
        <v>ROSENEATH </v>
      </c>
      <c r="D9785" s="3" t="str">
        <f>IFERROR(__xludf.DUMMYFUNCTION("""COMPUTED_VALUE"""),"K0K 2X0")</f>
        <v>K0K 2X0</v>
      </c>
      <c r="E9785" s="3"/>
      <c r="F9785" s="3"/>
      <c r="G9785" s="3"/>
      <c r="H9785" s="3"/>
    </row>
    <row r="9786">
      <c r="A9786" s="2">
        <f>IFERROR(__xludf.DUMMYFUNCTION("""COMPUTED_VALUE"""),50580.0)</f>
        <v>50580</v>
      </c>
      <c r="B9786" s="3" t="str">
        <f>IFERROR(__xludf.DUMMYFUNCTION("""COMPUTED_VALUE"""),"11544 COUNTY ROAD 29")</f>
        <v>11544 COUNTY ROAD 29</v>
      </c>
      <c r="C9786" s="3" t="str">
        <f>IFERROR(__xludf.DUMMYFUNCTION("""COMPUTED_VALUE"""),"ROSENEATH ")</f>
        <v>ROSENEATH </v>
      </c>
      <c r="D9786" s="3" t="str">
        <f>IFERROR(__xludf.DUMMYFUNCTION("""COMPUTED_VALUE"""),"K0K 2X0")</f>
        <v>K0K 2X0</v>
      </c>
      <c r="E9786" s="3" t="str">
        <f>IFERROR(__xludf.DUMMYFUNCTION("""COMPUTED_VALUE"""),"Alison Taylor")</f>
        <v>Alison Taylor</v>
      </c>
      <c r="F9786" s="3" t="str">
        <f>IFERROR(__xludf.DUMMYFUNCTION("""COMPUTED_VALUE"""),"aj.taylor@hotmail.ca")</f>
        <v>aj.taylor@hotmail.ca</v>
      </c>
      <c r="G9786" s="3">
        <f>IFERROR(__xludf.DUMMYFUNCTION("""COMPUTED_VALUE"""),9.053736724E9)</f>
        <v>9053736724</v>
      </c>
      <c r="H9786" s="3">
        <f>IFERROR(__xludf.DUMMYFUNCTION("""COMPUTED_VALUE"""),9.053522367E9)</f>
        <v>9053522367</v>
      </c>
    </row>
    <row r="9787">
      <c r="A9787" s="2">
        <f>IFERROR(__xludf.DUMMYFUNCTION("""COMPUTED_VALUE"""),50581.0)</f>
        <v>50581</v>
      </c>
      <c r="B9787" s="3" t="str">
        <f>IFERROR(__xludf.DUMMYFUNCTION("""COMPUTED_VALUE"""),"11612 COUNTY ROAD 29")</f>
        <v>11612 COUNTY ROAD 29</v>
      </c>
      <c r="C9787" s="3" t="str">
        <f>IFERROR(__xludf.DUMMYFUNCTION("""COMPUTED_VALUE"""),"ROSENEATH ")</f>
        <v>ROSENEATH </v>
      </c>
      <c r="D9787" s="3" t="str">
        <f>IFERROR(__xludf.DUMMYFUNCTION("""COMPUTED_VALUE"""),"K0K 2X0")</f>
        <v>K0K 2X0</v>
      </c>
      <c r="E9787" s="3"/>
      <c r="F9787" s="3"/>
      <c r="G9787" s="3"/>
      <c r="H9787" s="3"/>
    </row>
    <row r="9788">
      <c r="A9788" s="2">
        <f>IFERROR(__xludf.DUMMYFUNCTION("""COMPUTED_VALUE"""),50582.0)</f>
        <v>50582</v>
      </c>
      <c r="B9788" s="3" t="str">
        <f>IFERROR(__xludf.DUMMYFUNCTION("""COMPUTED_VALUE"""),"11642 COUNTY RD 29")</f>
        <v>11642 COUNTY RD 29</v>
      </c>
      <c r="C9788" s="3" t="str">
        <f>IFERROR(__xludf.DUMMYFUNCTION("""COMPUTED_VALUE"""),"ROSENEATH ")</f>
        <v>ROSENEATH </v>
      </c>
      <c r="D9788" s="3" t="str">
        <f>IFERROR(__xludf.DUMMYFUNCTION("""COMPUTED_VALUE"""),"K0K 2X0")</f>
        <v>K0K 2X0</v>
      </c>
      <c r="E9788" s="3" t="str">
        <f>IFERROR(__xludf.DUMMYFUNCTION("""COMPUTED_VALUE"""),"Knollcrest Swine Ltd")</f>
        <v>Knollcrest Swine Ltd</v>
      </c>
      <c r="F9788" s="3" t="str">
        <f>IFERROR(__xludf.DUMMYFUNCTION("""COMPUTED_VALUE"""),"dejongmom@gmail.com")</f>
        <v>dejongmom@gmail.com</v>
      </c>
      <c r="G9788" s="3">
        <f>IFERROR(__xludf.DUMMYFUNCTION("""COMPUTED_VALUE"""),9.053967705E9)</f>
        <v>9053967705</v>
      </c>
      <c r="H9788" s="3"/>
    </row>
    <row r="9789">
      <c r="A9789" s="2">
        <f>IFERROR(__xludf.DUMMYFUNCTION("""COMPUTED_VALUE"""),50583.0)</f>
        <v>50583</v>
      </c>
      <c r="B9789" s="3" t="str">
        <f>IFERROR(__xludf.DUMMYFUNCTION("""COMPUTED_VALUE"""),"11660 COUNTY ROAD 29")</f>
        <v>11660 COUNTY ROAD 29</v>
      </c>
      <c r="C9789" s="3" t="str">
        <f>IFERROR(__xludf.DUMMYFUNCTION("""COMPUTED_VALUE"""),"ROSENEATH ")</f>
        <v>ROSENEATH </v>
      </c>
      <c r="D9789" s="3" t="str">
        <f>IFERROR(__xludf.DUMMYFUNCTION("""COMPUTED_VALUE"""),"K0K 2X0")</f>
        <v>K0K 2X0</v>
      </c>
      <c r="E9789" s="3"/>
      <c r="F9789" s="3"/>
      <c r="G9789" s="3"/>
      <c r="H9789" s="3"/>
    </row>
    <row r="9790">
      <c r="A9790" s="2">
        <f>IFERROR(__xludf.DUMMYFUNCTION("""COMPUTED_VALUE"""),50584.0)</f>
        <v>50584</v>
      </c>
      <c r="B9790" s="3" t="str">
        <f>IFERROR(__xludf.DUMMYFUNCTION("""COMPUTED_VALUE"""),"11676 COUNTY ROAD 29")</f>
        <v>11676 COUNTY ROAD 29</v>
      </c>
      <c r="C9790" s="3" t="str">
        <f>IFERROR(__xludf.DUMMYFUNCTION("""COMPUTED_VALUE"""),"ROSENEATH ")</f>
        <v>ROSENEATH </v>
      </c>
      <c r="D9790" s="3" t="str">
        <f>IFERROR(__xludf.DUMMYFUNCTION("""COMPUTED_VALUE"""),"K0K 2X0")</f>
        <v>K0K 2X0</v>
      </c>
      <c r="E9790" s="3"/>
      <c r="F9790" s="3"/>
      <c r="G9790" s="3"/>
      <c r="H9790" s="3"/>
    </row>
    <row r="9791">
      <c r="A9791" s="2">
        <f>IFERROR(__xludf.DUMMYFUNCTION("""COMPUTED_VALUE"""),50585.0)</f>
        <v>50585</v>
      </c>
      <c r="B9791" s="3" t="str">
        <f>IFERROR(__xludf.DUMMYFUNCTION("""COMPUTED_VALUE"""),"11710 COUNTY ROAD 29")</f>
        <v>11710 COUNTY ROAD 29</v>
      </c>
      <c r="C9791" s="3" t="str">
        <f>IFERROR(__xludf.DUMMYFUNCTION("""COMPUTED_VALUE"""),"ROSENEATH ")</f>
        <v>ROSENEATH </v>
      </c>
      <c r="D9791" s="3" t="str">
        <f>IFERROR(__xludf.DUMMYFUNCTION("""COMPUTED_VALUE"""),"K0K 2X0")</f>
        <v>K0K 2X0</v>
      </c>
      <c r="E9791" s="3"/>
      <c r="F9791" s="3"/>
      <c r="G9791" s="3"/>
      <c r="H9791" s="3"/>
    </row>
    <row r="9792">
      <c r="A9792" s="2">
        <f>IFERROR(__xludf.DUMMYFUNCTION("""COMPUTED_VALUE"""),50586.0)</f>
        <v>50586</v>
      </c>
      <c r="B9792" s="3" t="str">
        <f>IFERROR(__xludf.DUMMYFUNCTION("""COMPUTED_VALUE"""),"11754 COUNTY ROAD 29")</f>
        <v>11754 COUNTY ROAD 29</v>
      </c>
      <c r="C9792" s="3" t="str">
        <f>IFERROR(__xludf.DUMMYFUNCTION("""COMPUTED_VALUE"""),"ROSENEATH ")</f>
        <v>ROSENEATH </v>
      </c>
      <c r="D9792" s="3" t="str">
        <f>IFERROR(__xludf.DUMMYFUNCTION("""COMPUTED_VALUE"""),"K0K 2X0")</f>
        <v>K0K 2X0</v>
      </c>
      <c r="E9792" s="3"/>
      <c r="F9792" s="3"/>
      <c r="G9792" s="3"/>
      <c r="H9792" s="3"/>
    </row>
    <row r="9793">
      <c r="A9793" s="2">
        <f>IFERROR(__xludf.DUMMYFUNCTION("""COMPUTED_VALUE"""),50587.0)</f>
        <v>50587</v>
      </c>
      <c r="B9793" s="3" t="str">
        <f>IFERROR(__xludf.DUMMYFUNCTION("""COMPUTED_VALUE"""),"11758 COUNTY ROAD 29")</f>
        <v>11758 COUNTY ROAD 29</v>
      </c>
      <c r="C9793" s="3" t="str">
        <f>IFERROR(__xludf.DUMMYFUNCTION("""COMPUTED_VALUE"""),"ROSENEATH ")</f>
        <v>ROSENEATH </v>
      </c>
      <c r="D9793" s="3" t="str">
        <f>IFERROR(__xludf.DUMMYFUNCTION("""COMPUTED_VALUE"""),"K0K 2X0")</f>
        <v>K0K 2X0</v>
      </c>
      <c r="E9793" s="3"/>
      <c r="F9793" s="3"/>
      <c r="G9793" s="3"/>
      <c r="H9793" s="3"/>
    </row>
    <row r="9794">
      <c r="A9794" s="2">
        <f>IFERROR(__xludf.DUMMYFUNCTION("""COMPUTED_VALUE"""),50588.0)</f>
        <v>50588</v>
      </c>
      <c r="B9794" s="3" t="str">
        <f>IFERROR(__xludf.DUMMYFUNCTION("""COMPUTED_VALUE"""),"11784 COUNTY ROAD 29")</f>
        <v>11784 COUNTY ROAD 29</v>
      </c>
      <c r="C9794" s="3" t="str">
        <f>IFERROR(__xludf.DUMMYFUNCTION("""COMPUTED_VALUE"""),"ROSENEATH ")</f>
        <v>ROSENEATH </v>
      </c>
      <c r="D9794" s="3" t="str">
        <f>IFERROR(__xludf.DUMMYFUNCTION("""COMPUTED_VALUE"""),"K0K 2X0")</f>
        <v>K0K 2X0</v>
      </c>
      <c r="E9794" s="3"/>
      <c r="F9794" s="3"/>
      <c r="G9794" s="3"/>
      <c r="H9794" s="3"/>
    </row>
    <row r="9795">
      <c r="A9795" s="2">
        <f>IFERROR(__xludf.DUMMYFUNCTION("""COMPUTED_VALUE"""),50589.0)</f>
        <v>50589</v>
      </c>
      <c r="B9795" s="3" t="str">
        <f>IFERROR(__xludf.DUMMYFUNCTION("""COMPUTED_VALUE"""),"11792 COUNTY ROAD 29")</f>
        <v>11792 COUNTY ROAD 29</v>
      </c>
      <c r="C9795" s="3" t="str">
        <f>IFERROR(__xludf.DUMMYFUNCTION("""COMPUTED_VALUE"""),"ROSENEATH ")</f>
        <v>ROSENEATH </v>
      </c>
      <c r="D9795" s="3" t="str">
        <f>IFERROR(__xludf.DUMMYFUNCTION("""COMPUTED_VALUE"""),"K0K 2X0")</f>
        <v>K0K 2X0</v>
      </c>
      <c r="E9795" s="3"/>
      <c r="F9795" s="3"/>
      <c r="G9795" s="3"/>
      <c r="H9795" s="3"/>
    </row>
    <row r="9796">
      <c r="A9796" s="2">
        <f>IFERROR(__xludf.DUMMYFUNCTION("""COMPUTED_VALUE"""),50591.0)</f>
        <v>50591</v>
      </c>
      <c r="B9796" s="3" t="str">
        <f>IFERROR(__xludf.DUMMYFUNCTION("""COMPUTED_VALUE"""),"11852 COUNTY ROAD 29")</f>
        <v>11852 COUNTY ROAD 29</v>
      </c>
      <c r="C9796" s="3" t="str">
        <f>IFERROR(__xludf.DUMMYFUNCTION("""COMPUTED_VALUE"""),"ROSENEATH ")</f>
        <v>ROSENEATH </v>
      </c>
      <c r="D9796" s="3" t="str">
        <f>IFERROR(__xludf.DUMMYFUNCTION("""COMPUTED_VALUE"""),"K0K 2X0")</f>
        <v>K0K 2X0</v>
      </c>
      <c r="E9796" s="3" t="str">
        <f>IFERROR(__xludf.DUMMYFUNCTION("""COMPUTED_VALUE"""),"Joseph HOARE")</f>
        <v>Joseph HOARE</v>
      </c>
      <c r="F9796" s="3" t="str">
        <f>IFERROR(__xludf.DUMMYFUNCTION("""COMPUTED_VALUE"""),"hoarejoseph@gmail.com")</f>
        <v>hoarejoseph@gmail.com</v>
      </c>
      <c r="G9796" s="3"/>
      <c r="H9796" s="3"/>
    </row>
    <row r="9797">
      <c r="A9797" s="2">
        <f>IFERROR(__xludf.DUMMYFUNCTION("""COMPUTED_VALUE"""),50595.0)</f>
        <v>50595</v>
      </c>
      <c r="B9797" s="3" t="str">
        <f>IFERROR(__xludf.DUMMYFUNCTION("""COMPUTED_VALUE"""),"12074 COUNTY RD 29")</f>
        <v>12074 COUNTY RD 29</v>
      </c>
      <c r="C9797" s="3" t="str">
        <f>IFERROR(__xludf.DUMMYFUNCTION("""COMPUTED_VALUE"""),"WARKWORTH ")</f>
        <v>WARKWORTH </v>
      </c>
      <c r="D9797" s="3" t="str">
        <f>IFERROR(__xludf.DUMMYFUNCTION("""COMPUTED_VALUE"""),"K0K 3K0")</f>
        <v>K0K 3K0</v>
      </c>
      <c r="E9797" s="3"/>
      <c r="F9797" s="3"/>
      <c r="G9797" s="3"/>
      <c r="H9797" s="3"/>
    </row>
    <row r="9798">
      <c r="A9798" s="2">
        <f>IFERROR(__xludf.DUMMYFUNCTION("""COMPUTED_VALUE"""),50596.0)</f>
        <v>50596</v>
      </c>
      <c r="B9798" s="3" t="str">
        <f>IFERROR(__xludf.DUMMYFUNCTION("""COMPUTED_VALUE"""),"12081 COUNTY RD 29")</f>
        <v>12081 COUNTY RD 29</v>
      </c>
      <c r="C9798" s="3" t="str">
        <f>IFERROR(__xludf.DUMMYFUNCTION("""COMPUTED_VALUE"""),"WARKWORTH ")</f>
        <v>WARKWORTH </v>
      </c>
      <c r="D9798" s="3" t="str">
        <f>IFERROR(__xludf.DUMMYFUNCTION("""COMPUTED_VALUE"""),"K0K 3K0")</f>
        <v>K0K 3K0</v>
      </c>
      <c r="E9798" s="3"/>
      <c r="F9798" s="3"/>
      <c r="G9798" s="3"/>
      <c r="H9798" s="3"/>
    </row>
    <row r="9799">
      <c r="A9799" s="2">
        <f>IFERROR(__xludf.DUMMYFUNCTION("""COMPUTED_VALUE"""),50597.0)</f>
        <v>50597</v>
      </c>
      <c r="B9799" s="3" t="str">
        <f>IFERROR(__xludf.DUMMYFUNCTION("""COMPUTED_VALUE"""),"12111 COUNTY RD 29")</f>
        <v>12111 COUNTY RD 29</v>
      </c>
      <c r="C9799" s="3" t="str">
        <f>IFERROR(__xludf.DUMMYFUNCTION("""COMPUTED_VALUE"""),"WARKWORTH ")</f>
        <v>WARKWORTH </v>
      </c>
      <c r="D9799" s="3" t="str">
        <f>IFERROR(__xludf.DUMMYFUNCTION("""COMPUTED_VALUE"""),"K0K 3K0")</f>
        <v>K0K 3K0</v>
      </c>
      <c r="E9799" s="3"/>
      <c r="F9799" s="3"/>
      <c r="G9799" s="3"/>
      <c r="H9799" s="3"/>
    </row>
    <row r="9800">
      <c r="A9800" s="2">
        <f>IFERROR(__xludf.DUMMYFUNCTION("""COMPUTED_VALUE"""),50598.0)</f>
        <v>50598</v>
      </c>
      <c r="B9800" s="3" t="str">
        <f>IFERROR(__xludf.DUMMYFUNCTION("""COMPUTED_VALUE"""),"12114 COUNTY RD 29")</f>
        <v>12114 COUNTY RD 29</v>
      </c>
      <c r="C9800" s="3" t="str">
        <f>IFERROR(__xludf.DUMMYFUNCTION("""COMPUTED_VALUE"""),"WARKWORTH ")</f>
        <v>WARKWORTH </v>
      </c>
      <c r="D9800" s="3" t="str">
        <f>IFERROR(__xludf.DUMMYFUNCTION("""COMPUTED_VALUE"""),"K0K 3K0")</f>
        <v>K0K 3K0</v>
      </c>
      <c r="E9800" s="3"/>
      <c r="F9800" s="3"/>
      <c r="G9800" s="3"/>
      <c r="H9800" s="3"/>
    </row>
    <row r="9801">
      <c r="A9801" s="2">
        <f>IFERROR(__xludf.DUMMYFUNCTION("""COMPUTED_VALUE"""),50599.0)</f>
        <v>50599</v>
      </c>
      <c r="B9801" s="3" t="str">
        <f>IFERROR(__xludf.DUMMYFUNCTION("""COMPUTED_VALUE"""),"12138 COUNTY RD 29")</f>
        <v>12138 COUNTY RD 29</v>
      </c>
      <c r="C9801" s="3" t="str">
        <f>IFERROR(__xludf.DUMMYFUNCTION("""COMPUTED_VALUE"""),"WARKWORTH ")</f>
        <v>WARKWORTH </v>
      </c>
      <c r="D9801" s="3" t="str">
        <f>IFERROR(__xludf.DUMMYFUNCTION("""COMPUTED_VALUE"""),"K0K 3K0")</f>
        <v>K0K 3K0</v>
      </c>
      <c r="E9801" s="3"/>
      <c r="F9801" s="3"/>
      <c r="G9801" s="3"/>
      <c r="H9801" s="3"/>
    </row>
    <row r="9802">
      <c r="A9802" s="2">
        <f>IFERROR(__xludf.DUMMYFUNCTION("""COMPUTED_VALUE"""),50600.0)</f>
        <v>50600</v>
      </c>
      <c r="B9802" s="3" t="str">
        <f>IFERROR(__xludf.DUMMYFUNCTION("""COMPUTED_VALUE"""),"12140 COUNTY RD 29")</f>
        <v>12140 COUNTY RD 29</v>
      </c>
      <c r="C9802" s="3" t="str">
        <f>IFERROR(__xludf.DUMMYFUNCTION("""COMPUTED_VALUE"""),"WARKWORTH ")</f>
        <v>WARKWORTH </v>
      </c>
      <c r="D9802" s="3" t="str">
        <f>IFERROR(__xludf.DUMMYFUNCTION("""COMPUTED_VALUE"""),"K0K 3K0")</f>
        <v>K0K 3K0</v>
      </c>
      <c r="E9802" s="3" t="str">
        <f>IFERROR(__xludf.DUMMYFUNCTION("""COMPUTED_VALUE"""),"Matt Hamnett")</f>
        <v>Matt Hamnett</v>
      </c>
      <c r="F9802" s="3" t="str">
        <f>IFERROR(__xludf.DUMMYFUNCTION("""COMPUTED_VALUE"""),"hamnettmatt@hotmail.com")</f>
        <v>hamnettmatt@hotmail.com</v>
      </c>
      <c r="G9802" s="3">
        <f>IFERROR(__xludf.DUMMYFUNCTION("""COMPUTED_VALUE"""),9.052996459E9)</f>
        <v>9052996459</v>
      </c>
      <c r="H9802" s="3"/>
    </row>
    <row r="9803">
      <c r="A9803" s="2">
        <f>IFERROR(__xludf.DUMMYFUNCTION("""COMPUTED_VALUE"""),50601.0)</f>
        <v>50601</v>
      </c>
      <c r="B9803" s="3" t="str">
        <f>IFERROR(__xludf.DUMMYFUNCTION("""COMPUTED_VALUE"""),"12147 COUNTY RD 29")</f>
        <v>12147 COUNTY RD 29</v>
      </c>
      <c r="C9803" s="3" t="str">
        <f>IFERROR(__xludf.DUMMYFUNCTION("""COMPUTED_VALUE"""),"WARKWORTH ")</f>
        <v>WARKWORTH </v>
      </c>
      <c r="D9803" s="3" t="str">
        <f>IFERROR(__xludf.DUMMYFUNCTION("""COMPUTED_VALUE"""),"K0K 3K0")</f>
        <v>K0K 3K0</v>
      </c>
      <c r="E9803" s="3" t="str">
        <f>IFERROR(__xludf.DUMMYFUNCTION("""COMPUTED_VALUE"""),"Josh Brittain")</f>
        <v>Josh Brittain</v>
      </c>
      <c r="F9803" s="3" t="str">
        <f>IFERROR(__xludf.DUMMYFUNCTION("""COMPUTED_VALUE"""),"jjsnbrittain@hotmail.com")</f>
        <v>jjsnbrittain@hotmail.com</v>
      </c>
      <c r="G9803" s="3">
        <f>IFERROR(__xludf.DUMMYFUNCTION("""COMPUTED_VALUE"""),6.475496253E9)</f>
        <v>6475496253</v>
      </c>
      <c r="H9803" s="3"/>
    </row>
    <row r="9804">
      <c r="A9804" s="2">
        <f>IFERROR(__xludf.DUMMYFUNCTION("""COMPUTED_VALUE"""),50602.0)</f>
        <v>50602</v>
      </c>
      <c r="B9804" s="3" t="str">
        <f>IFERROR(__xludf.DUMMYFUNCTION("""COMPUTED_VALUE"""),"12160 COUNTY RD 29")</f>
        <v>12160 COUNTY RD 29</v>
      </c>
      <c r="C9804" s="3" t="str">
        <f>IFERROR(__xludf.DUMMYFUNCTION("""COMPUTED_VALUE"""),"WARKWORTH ")</f>
        <v>WARKWORTH </v>
      </c>
      <c r="D9804" s="3" t="str">
        <f>IFERROR(__xludf.DUMMYFUNCTION("""COMPUTED_VALUE"""),"K0K 3K0")</f>
        <v>K0K 3K0</v>
      </c>
      <c r="E9804" s="3"/>
      <c r="F9804" s="3"/>
      <c r="G9804" s="3"/>
      <c r="H9804" s="3"/>
    </row>
    <row r="9805">
      <c r="A9805" s="2">
        <f>IFERROR(__xludf.DUMMYFUNCTION("""COMPUTED_VALUE"""),50603.0)</f>
        <v>50603</v>
      </c>
      <c r="B9805" s="3" t="str">
        <f>IFERROR(__xludf.DUMMYFUNCTION("""COMPUTED_VALUE"""),"12164 COUNTY RD 29")</f>
        <v>12164 COUNTY RD 29</v>
      </c>
      <c r="C9805" s="3" t="str">
        <f>IFERROR(__xludf.DUMMYFUNCTION("""COMPUTED_VALUE"""),"WARKWORTH ")</f>
        <v>WARKWORTH </v>
      </c>
      <c r="D9805" s="3" t="str">
        <f>IFERROR(__xludf.DUMMYFUNCTION("""COMPUTED_VALUE"""),"K0K 3K0")</f>
        <v>K0K 3K0</v>
      </c>
      <c r="E9805" s="3"/>
      <c r="F9805" s="3"/>
      <c r="G9805" s="3"/>
      <c r="H9805" s="3"/>
    </row>
    <row r="9806">
      <c r="A9806" s="2">
        <f>IFERROR(__xludf.DUMMYFUNCTION("""COMPUTED_VALUE"""),50604.0)</f>
        <v>50604</v>
      </c>
      <c r="B9806" s="3" t="str">
        <f>IFERROR(__xludf.DUMMYFUNCTION("""COMPUTED_VALUE"""),"12189 COUNTY RD 29")</f>
        <v>12189 COUNTY RD 29</v>
      </c>
      <c r="C9806" s="3" t="str">
        <f>IFERROR(__xludf.DUMMYFUNCTION("""COMPUTED_VALUE"""),"WARKWORTH ")</f>
        <v>WARKWORTH </v>
      </c>
      <c r="D9806" s="3" t="str">
        <f>IFERROR(__xludf.DUMMYFUNCTION("""COMPUTED_VALUE"""),"K0K 3K0")</f>
        <v>K0K 3K0</v>
      </c>
      <c r="E9806" s="3"/>
      <c r="F9806" s="3"/>
      <c r="G9806" s="3"/>
      <c r="H9806" s="3"/>
    </row>
    <row r="9807">
      <c r="A9807" s="2">
        <f>IFERROR(__xludf.DUMMYFUNCTION("""COMPUTED_VALUE"""),50605.0)</f>
        <v>50605</v>
      </c>
      <c r="B9807" s="3" t="str">
        <f>IFERROR(__xludf.DUMMYFUNCTION("""COMPUTED_VALUE"""),"12199 COUNTY RD 29")</f>
        <v>12199 COUNTY RD 29</v>
      </c>
      <c r="C9807" s="3" t="str">
        <f>IFERROR(__xludf.DUMMYFUNCTION("""COMPUTED_VALUE"""),"WARKWORTH ")</f>
        <v>WARKWORTH </v>
      </c>
      <c r="D9807" s="3" t="str">
        <f>IFERROR(__xludf.DUMMYFUNCTION("""COMPUTED_VALUE"""),"K0K 3K0")</f>
        <v>K0K 3K0</v>
      </c>
      <c r="E9807" s="3"/>
      <c r="F9807" s="3"/>
      <c r="G9807" s="3"/>
      <c r="H9807" s="3"/>
    </row>
    <row r="9808">
      <c r="A9808" s="2">
        <f>IFERROR(__xludf.DUMMYFUNCTION("""COMPUTED_VALUE"""),50606.0)</f>
        <v>50606</v>
      </c>
      <c r="B9808" s="3" t="str">
        <f>IFERROR(__xludf.DUMMYFUNCTION("""COMPUTED_VALUE"""),"12202 COUNTY RD 29")</f>
        <v>12202 COUNTY RD 29</v>
      </c>
      <c r="C9808" s="3" t="str">
        <f>IFERROR(__xludf.DUMMYFUNCTION("""COMPUTED_VALUE"""),"WARKWORTH ")</f>
        <v>WARKWORTH </v>
      </c>
      <c r="D9808" s="3" t="str">
        <f>IFERROR(__xludf.DUMMYFUNCTION("""COMPUTED_VALUE"""),"K0K 3K0")</f>
        <v>K0K 3K0</v>
      </c>
      <c r="E9808" s="3"/>
      <c r="F9808" s="3"/>
      <c r="G9808" s="3"/>
      <c r="H9808" s="3"/>
    </row>
    <row r="9809">
      <c r="A9809" s="2">
        <f>IFERROR(__xludf.DUMMYFUNCTION("""COMPUTED_VALUE"""),50607.0)</f>
        <v>50607</v>
      </c>
      <c r="B9809" s="3" t="str">
        <f>IFERROR(__xludf.DUMMYFUNCTION("""COMPUTED_VALUE"""),"12206 COUNTY ROAD 29")</f>
        <v>12206 COUNTY ROAD 29</v>
      </c>
      <c r="C9809" s="3" t="str">
        <f>IFERROR(__xludf.DUMMYFUNCTION("""COMPUTED_VALUE"""),"WARKWORTH ")</f>
        <v>WARKWORTH </v>
      </c>
      <c r="D9809" s="3" t="str">
        <f>IFERROR(__xludf.DUMMYFUNCTION("""COMPUTED_VALUE"""),"K0K 3K0")</f>
        <v>K0K 3K0</v>
      </c>
      <c r="E9809" s="3"/>
      <c r="F9809" s="3"/>
      <c r="G9809" s="3"/>
      <c r="H9809" s="3"/>
    </row>
    <row r="9810">
      <c r="A9810" s="2">
        <f>IFERROR(__xludf.DUMMYFUNCTION("""COMPUTED_VALUE"""),50608.0)</f>
        <v>50608</v>
      </c>
      <c r="B9810" s="3" t="str">
        <f>IFERROR(__xludf.DUMMYFUNCTION("""COMPUTED_VALUE"""),"12223 COUNTY RD 29")</f>
        <v>12223 COUNTY RD 29</v>
      </c>
      <c r="C9810" s="3" t="str">
        <f>IFERROR(__xludf.DUMMYFUNCTION("""COMPUTED_VALUE"""),"WARKWORTH ")</f>
        <v>WARKWORTH </v>
      </c>
      <c r="D9810" s="3" t="str">
        <f>IFERROR(__xludf.DUMMYFUNCTION("""COMPUTED_VALUE"""),"K0K 3K0")</f>
        <v>K0K 3K0</v>
      </c>
      <c r="E9810" s="3"/>
      <c r="F9810" s="3"/>
      <c r="G9810" s="3"/>
      <c r="H9810" s="3"/>
    </row>
    <row r="9811">
      <c r="A9811" s="2">
        <f>IFERROR(__xludf.DUMMYFUNCTION("""COMPUTED_VALUE"""),50609.0)</f>
        <v>50609</v>
      </c>
      <c r="B9811" s="3" t="str">
        <f>IFERROR(__xludf.DUMMYFUNCTION("""COMPUTED_VALUE"""),"12228 COUNTY RD 29")</f>
        <v>12228 COUNTY RD 29</v>
      </c>
      <c r="C9811" s="3" t="str">
        <f>IFERROR(__xludf.DUMMYFUNCTION("""COMPUTED_VALUE"""),"WARKWORTH ")</f>
        <v>WARKWORTH </v>
      </c>
      <c r="D9811" s="3" t="str">
        <f>IFERROR(__xludf.DUMMYFUNCTION("""COMPUTED_VALUE"""),"K0K 3K0")</f>
        <v>K0K 3K0</v>
      </c>
      <c r="E9811" s="3"/>
      <c r="F9811" s="3"/>
      <c r="G9811" s="3"/>
      <c r="H9811" s="3"/>
    </row>
    <row r="9812">
      <c r="A9812" s="2">
        <f>IFERROR(__xludf.DUMMYFUNCTION("""COMPUTED_VALUE"""),50627.0)</f>
        <v>50627</v>
      </c>
      <c r="B9812" s="3" t="str">
        <f>IFERROR(__xludf.DUMMYFUNCTION("""COMPUTED_VALUE"""),"13222 COUNTY RD 29")</f>
        <v>13222 COUNTY RD 29</v>
      </c>
      <c r="C9812" s="3" t="str">
        <f>IFERROR(__xludf.DUMMYFUNCTION("""COMPUTED_VALUE"""),"WARKWORTH ")</f>
        <v>WARKWORTH </v>
      </c>
      <c r="D9812" s="3" t="str">
        <f>IFERROR(__xludf.DUMMYFUNCTION("""COMPUTED_VALUE"""),"K0K 3K0")</f>
        <v>K0K 3K0</v>
      </c>
      <c r="E9812" s="3"/>
      <c r="F9812" s="3"/>
      <c r="G9812" s="3"/>
      <c r="H9812" s="3"/>
    </row>
    <row r="9813">
      <c r="A9813" s="2">
        <f>IFERROR(__xludf.DUMMYFUNCTION("""COMPUTED_VALUE"""),50628.0)</f>
        <v>50628</v>
      </c>
      <c r="B9813" s="3" t="str">
        <f>IFERROR(__xludf.DUMMYFUNCTION("""COMPUTED_VALUE"""),"13248 COUNTY RD 29")</f>
        <v>13248 COUNTY RD 29</v>
      </c>
      <c r="C9813" s="3" t="str">
        <f>IFERROR(__xludf.DUMMYFUNCTION("""COMPUTED_VALUE"""),"WARKWORTH ")</f>
        <v>WARKWORTH </v>
      </c>
      <c r="D9813" s="3" t="str">
        <f>IFERROR(__xludf.DUMMYFUNCTION("""COMPUTED_VALUE"""),"K0K 3K0")</f>
        <v>K0K 3K0</v>
      </c>
      <c r="E9813" s="3" t="str">
        <f>IFERROR(__xludf.DUMMYFUNCTION("""COMPUTED_VALUE"""),"Bill Godin")</f>
        <v>Bill Godin</v>
      </c>
      <c r="F9813" s="3" t="str">
        <f>IFERROR(__xludf.DUMMYFUNCTION("""COMPUTED_VALUE"""),"aftershock5781@gmail.com")</f>
        <v>aftershock5781@gmail.com</v>
      </c>
      <c r="G9813" s="3">
        <f>IFERROR(__xludf.DUMMYFUNCTION("""COMPUTED_VALUE"""),7.057498089E9)</f>
        <v>7057498089</v>
      </c>
      <c r="H9813" s="3"/>
    </row>
    <row r="9814">
      <c r="A9814" s="2">
        <f>IFERROR(__xludf.DUMMYFUNCTION("""COMPUTED_VALUE"""),50629.0)</f>
        <v>50629</v>
      </c>
      <c r="B9814" s="3" t="str">
        <f>IFERROR(__xludf.DUMMYFUNCTION("""COMPUTED_VALUE"""),"13249 COUNTY RD 29")</f>
        <v>13249 COUNTY RD 29</v>
      </c>
      <c r="C9814" s="3" t="str">
        <f>IFERROR(__xludf.DUMMYFUNCTION("""COMPUTED_VALUE"""),"WARKWORTH ")</f>
        <v>WARKWORTH </v>
      </c>
      <c r="D9814" s="3" t="str">
        <f>IFERROR(__xludf.DUMMYFUNCTION("""COMPUTED_VALUE"""),"K0K 3K0")</f>
        <v>K0K 3K0</v>
      </c>
      <c r="E9814" s="3" t="str">
        <f>IFERROR(__xludf.DUMMYFUNCTION("""COMPUTED_VALUE"""),"Paul Wubbolts")</f>
        <v>Paul Wubbolts</v>
      </c>
      <c r="F9814" s="3" t="str">
        <f>IFERROR(__xludf.DUMMYFUNCTION("""COMPUTED_VALUE"""),"paul.wubbolts@gmail.com")</f>
        <v>paul.wubbolts@gmail.com</v>
      </c>
      <c r="G9814" s="3">
        <f>IFERROR(__xludf.DUMMYFUNCTION("""COMPUTED_VALUE"""),6.479995688E9)</f>
        <v>6479995688</v>
      </c>
      <c r="H9814" s="3"/>
    </row>
    <row r="9815">
      <c r="A9815" s="2">
        <f>IFERROR(__xludf.DUMMYFUNCTION("""COMPUTED_VALUE"""),50630.0)</f>
        <v>50630</v>
      </c>
      <c r="B9815" s="3" t="str">
        <f>IFERROR(__xludf.DUMMYFUNCTION("""COMPUTED_VALUE"""),"13291 COUNTY RD 29")</f>
        <v>13291 COUNTY RD 29</v>
      </c>
      <c r="C9815" s="3" t="str">
        <f>IFERROR(__xludf.DUMMYFUNCTION("""COMPUTED_VALUE"""),"WARKWORTH ")</f>
        <v>WARKWORTH </v>
      </c>
      <c r="D9815" s="3" t="str">
        <f>IFERROR(__xludf.DUMMYFUNCTION("""COMPUTED_VALUE"""),"K0K 3K0")</f>
        <v>K0K 3K0</v>
      </c>
      <c r="E9815" s="3"/>
      <c r="F9815" s="3"/>
      <c r="G9815" s="3"/>
      <c r="H9815" s="3"/>
    </row>
    <row r="9816">
      <c r="A9816" s="2">
        <f>IFERROR(__xludf.DUMMYFUNCTION("""COMPUTED_VALUE"""),50631.0)</f>
        <v>50631</v>
      </c>
      <c r="B9816" s="3" t="str">
        <f>IFERROR(__xludf.DUMMYFUNCTION("""COMPUTED_VALUE"""),"13294 COUNTY RD 29")</f>
        <v>13294 COUNTY RD 29</v>
      </c>
      <c r="C9816" s="3" t="str">
        <f>IFERROR(__xludf.DUMMYFUNCTION("""COMPUTED_VALUE"""),"WARKWORTH ")</f>
        <v>WARKWORTH </v>
      </c>
      <c r="D9816" s="3" t="str">
        <f>IFERROR(__xludf.DUMMYFUNCTION("""COMPUTED_VALUE"""),"K0K 3K0")</f>
        <v>K0K 3K0</v>
      </c>
      <c r="E9816" s="3"/>
      <c r="F9816" s="3"/>
      <c r="G9816" s="3"/>
      <c r="H9816" s="3"/>
    </row>
    <row r="9817">
      <c r="A9817" s="2">
        <f>IFERROR(__xludf.DUMMYFUNCTION("""COMPUTED_VALUE"""),50632.0)</f>
        <v>50632</v>
      </c>
      <c r="B9817" s="3" t="str">
        <f>IFERROR(__xludf.DUMMYFUNCTION("""COMPUTED_VALUE"""),"13317 COUNTY RD 29")</f>
        <v>13317 COUNTY RD 29</v>
      </c>
      <c r="C9817" s="3" t="str">
        <f>IFERROR(__xludf.DUMMYFUNCTION("""COMPUTED_VALUE"""),"WARKWORTH ")</f>
        <v>WARKWORTH </v>
      </c>
      <c r="D9817" s="3" t="str">
        <f>IFERROR(__xludf.DUMMYFUNCTION("""COMPUTED_VALUE"""),"K0K 3K0")</f>
        <v>K0K 3K0</v>
      </c>
      <c r="E9817" s="3" t="str">
        <f>IFERROR(__xludf.DUMMYFUNCTION("""COMPUTED_VALUE"""),"Robert DeBoer")</f>
        <v>Robert DeBoer</v>
      </c>
      <c r="F9817" s="3" t="str">
        <f>IFERROR(__xludf.DUMMYFUNCTION("""COMPUTED_VALUE"""),"rob@boomtang.com")</f>
        <v>rob@boomtang.com</v>
      </c>
      <c r="G9817" s="3">
        <f>IFERROR(__xludf.DUMMYFUNCTION("""COMPUTED_VALUE"""),6.473819415E9)</f>
        <v>6473819415</v>
      </c>
      <c r="H9817" s="3">
        <f>IFERROR(__xludf.DUMMYFUNCTION("""COMPUTED_VALUE"""),4.16706506E9)</f>
        <v>4167065060</v>
      </c>
    </row>
    <row r="9818">
      <c r="A9818" s="2">
        <f>IFERROR(__xludf.DUMMYFUNCTION("""COMPUTED_VALUE"""),50633.0)</f>
        <v>50633</v>
      </c>
      <c r="B9818" s="3" t="str">
        <f>IFERROR(__xludf.DUMMYFUNCTION("""COMPUTED_VALUE"""),"13340 COUNTY RD 29")</f>
        <v>13340 COUNTY RD 29</v>
      </c>
      <c r="C9818" s="3" t="str">
        <f>IFERROR(__xludf.DUMMYFUNCTION("""COMPUTED_VALUE"""),"WARKWORTH ")</f>
        <v>WARKWORTH </v>
      </c>
      <c r="D9818" s="3" t="str">
        <f>IFERROR(__xludf.DUMMYFUNCTION("""COMPUTED_VALUE"""),"K0K 3K0")</f>
        <v>K0K 3K0</v>
      </c>
      <c r="E9818" s="3" t="str">
        <f>IFERROR(__xludf.DUMMYFUNCTION("""COMPUTED_VALUE"""),"Jeff Campbell")</f>
        <v>Jeff Campbell</v>
      </c>
      <c r="F9818" s="3" t="str">
        <f>IFERROR(__xludf.DUMMYFUNCTION("""COMPUTED_VALUE"""),"jeffcampbell@gmail.com")</f>
        <v>jeffcampbell@gmail.com</v>
      </c>
      <c r="G9818" s="3"/>
      <c r="H9818" s="3"/>
    </row>
    <row r="9819">
      <c r="A9819" s="2">
        <f>IFERROR(__xludf.DUMMYFUNCTION("""COMPUTED_VALUE"""),50634.0)</f>
        <v>50634</v>
      </c>
      <c r="B9819" s="3" t="str">
        <f>IFERROR(__xludf.DUMMYFUNCTION("""COMPUTED_VALUE"""),"13343 COUNTY RD 29")</f>
        <v>13343 COUNTY RD 29</v>
      </c>
      <c r="C9819" s="3" t="str">
        <f>IFERROR(__xludf.DUMMYFUNCTION("""COMPUTED_VALUE"""),"WARKWORTH ")</f>
        <v>WARKWORTH </v>
      </c>
      <c r="D9819" s="3" t="str">
        <f>IFERROR(__xludf.DUMMYFUNCTION("""COMPUTED_VALUE"""),"K0K 3K0")</f>
        <v>K0K 3K0</v>
      </c>
      <c r="E9819" s="3"/>
      <c r="F9819" s="3"/>
      <c r="G9819" s="3"/>
      <c r="H9819" s="3"/>
    </row>
    <row r="9820">
      <c r="A9820" s="2">
        <f>IFERROR(__xludf.DUMMYFUNCTION("""COMPUTED_VALUE"""),50635.0)</f>
        <v>50635</v>
      </c>
      <c r="B9820" s="3" t="str">
        <f>IFERROR(__xludf.DUMMYFUNCTION("""COMPUTED_VALUE"""),"13362 COUNTY RD 29")</f>
        <v>13362 COUNTY RD 29</v>
      </c>
      <c r="C9820" s="3" t="str">
        <f>IFERROR(__xludf.DUMMYFUNCTION("""COMPUTED_VALUE"""),"WARKWORTH ")</f>
        <v>WARKWORTH </v>
      </c>
      <c r="D9820" s="3" t="str">
        <f>IFERROR(__xludf.DUMMYFUNCTION("""COMPUTED_VALUE"""),"K0K 3K0")</f>
        <v>K0K 3K0</v>
      </c>
      <c r="E9820" s="3"/>
      <c r="F9820" s="3"/>
      <c r="G9820" s="3"/>
      <c r="H9820" s="3"/>
    </row>
    <row r="9821">
      <c r="A9821" s="2">
        <f>IFERROR(__xludf.DUMMYFUNCTION("""COMPUTED_VALUE"""),50636.0)</f>
        <v>50636</v>
      </c>
      <c r="B9821" s="3" t="str">
        <f>IFERROR(__xludf.DUMMYFUNCTION("""COMPUTED_VALUE"""),"13387 COUNTY RD 29")</f>
        <v>13387 COUNTY RD 29</v>
      </c>
      <c r="C9821" s="3" t="str">
        <f>IFERROR(__xludf.DUMMYFUNCTION("""COMPUTED_VALUE"""),"WARKWORTH ")</f>
        <v>WARKWORTH </v>
      </c>
      <c r="D9821" s="3" t="str">
        <f>IFERROR(__xludf.DUMMYFUNCTION("""COMPUTED_VALUE"""),"K0K 3K0")</f>
        <v>K0K 3K0</v>
      </c>
      <c r="E9821" s="3"/>
      <c r="F9821" s="3"/>
      <c r="G9821" s="3"/>
      <c r="H9821" s="3"/>
    </row>
    <row r="9822">
      <c r="A9822" s="2">
        <f>IFERROR(__xludf.DUMMYFUNCTION("""COMPUTED_VALUE"""),50637.0)</f>
        <v>50637</v>
      </c>
      <c r="B9822" s="3" t="str">
        <f>IFERROR(__xludf.DUMMYFUNCTION("""COMPUTED_VALUE"""),"13398 COUNTY RD 29")</f>
        <v>13398 COUNTY RD 29</v>
      </c>
      <c r="C9822" s="3" t="str">
        <f>IFERROR(__xludf.DUMMYFUNCTION("""COMPUTED_VALUE"""),"WARKWORTH ")</f>
        <v>WARKWORTH </v>
      </c>
      <c r="D9822" s="3" t="str">
        <f>IFERROR(__xludf.DUMMYFUNCTION("""COMPUTED_VALUE"""),"K0K 3K0")</f>
        <v>K0K 3K0</v>
      </c>
      <c r="E9822" s="3" t="str">
        <f>IFERROR(__xludf.DUMMYFUNCTION("""COMPUTED_VALUE"""),"Steve Jones")</f>
        <v>Steve Jones</v>
      </c>
      <c r="F9822" s="3" t="str">
        <f>IFERROR(__xludf.DUMMYFUNCTION("""COMPUTED_VALUE"""),"steve473@hotmail.com")</f>
        <v>steve473@hotmail.com</v>
      </c>
      <c r="G9822" s="3">
        <f>IFERROR(__xludf.DUMMYFUNCTION("""COMPUTED_VALUE"""),2.896007247E9)</f>
        <v>2896007247</v>
      </c>
      <c r="H9822" s="3"/>
    </row>
    <row r="9823">
      <c r="A9823" s="2">
        <f>IFERROR(__xludf.DUMMYFUNCTION("""COMPUTED_VALUE"""),50638.0)</f>
        <v>50638</v>
      </c>
      <c r="B9823" s="3" t="str">
        <f>IFERROR(__xludf.DUMMYFUNCTION("""COMPUTED_VALUE"""),"13421 COUNTY RD 29")</f>
        <v>13421 COUNTY RD 29</v>
      </c>
      <c r="C9823" s="3" t="str">
        <f>IFERROR(__xludf.DUMMYFUNCTION("""COMPUTED_VALUE"""),"WARKWORTH ")</f>
        <v>WARKWORTH </v>
      </c>
      <c r="D9823" s="3" t="str">
        <f>IFERROR(__xludf.DUMMYFUNCTION("""COMPUTED_VALUE"""),"K0K 3K0")</f>
        <v>K0K 3K0</v>
      </c>
      <c r="E9823" s="3" t="str">
        <f>IFERROR(__xludf.DUMMYFUNCTION("""COMPUTED_VALUE"""),"Markus Hertzer")</f>
        <v>Markus Hertzer</v>
      </c>
      <c r="F9823" s="3" t="str">
        <f>IFERROR(__xludf.DUMMYFUNCTION("""COMPUTED_VALUE"""),"markmoose@hotmail.ca")</f>
        <v>markmoose@hotmail.ca</v>
      </c>
      <c r="G9823" s="3"/>
      <c r="H9823" s="3"/>
    </row>
    <row r="9824">
      <c r="A9824" s="2">
        <f>IFERROR(__xludf.DUMMYFUNCTION("""COMPUTED_VALUE"""),50639.0)</f>
        <v>50639</v>
      </c>
      <c r="B9824" s="3" t="str">
        <f>IFERROR(__xludf.DUMMYFUNCTION("""COMPUTED_VALUE"""),"13424 COUNTY RD 29")</f>
        <v>13424 COUNTY RD 29</v>
      </c>
      <c r="C9824" s="3" t="str">
        <f>IFERROR(__xludf.DUMMYFUNCTION("""COMPUTED_VALUE"""),"WARKWORTH ")</f>
        <v>WARKWORTH </v>
      </c>
      <c r="D9824" s="3" t="str">
        <f>IFERROR(__xludf.DUMMYFUNCTION("""COMPUTED_VALUE"""),"K0K 3K0")</f>
        <v>K0K 3K0</v>
      </c>
      <c r="E9824" s="3"/>
      <c r="F9824" s="3"/>
      <c r="G9824" s="3"/>
      <c r="H9824" s="3"/>
    </row>
    <row r="9825">
      <c r="A9825" s="2">
        <f>IFERROR(__xludf.DUMMYFUNCTION("""COMPUTED_VALUE"""),50640.0)</f>
        <v>50640</v>
      </c>
      <c r="B9825" s="3" t="str">
        <f>IFERROR(__xludf.DUMMYFUNCTION("""COMPUTED_VALUE"""),"13437 COUNTY RD 29")</f>
        <v>13437 COUNTY RD 29</v>
      </c>
      <c r="C9825" s="3" t="str">
        <f>IFERROR(__xludf.DUMMYFUNCTION("""COMPUTED_VALUE"""),"WARKWORTH ")</f>
        <v>WARKWORTH </v>
      </c>
      <c r="D9825" s="3" t="str">
        <f>IFERROR(__xludf.DUMMYFUNCTION("""COMPUTED_VALUE"""),"K0K 3K0")</f>
        <v>K0K 3K0</v>
      </c>
      <c r="E9825" s="3"/>
      <c r="F9825" s="3"/>
      <c r="G9825" s="3"/>
      <c r="H9825" s="3"/>
    </row>
    <row r="9826">
      <c r="A9826" s="2">
        <f>IFERROR(__xludf.DUMMYFUNCTION("""COMPUTED_VALUE"""),50641.0)</f>
        <v>50641</v>
      </c>
      <c r="B9826" s="3" t="str">
        <f>IFERROR(__xludf.DUMMYFUNCTION("""COMPUTED_VALUE"""),"13469 COUNTY RD 29")</f>
        <v>13469 COUNTY RD 29</v>
      </c>
      <c r="C9826" s="3" t="str">
        <f>IFERROR(__xludf.DUMMYFUNCTION("""COMPUTED_VALUE"""),"WARKWORTH ")</f>
        <v>WARKWORTH </v>
      </c>
      <c r="D9826" s="3" t="str">
        <f>IFERROR(__xludf.DUMMYFUNCTION("""COMPUTED_VALUE"""),"K0K 3K0")</f>
        <v>K0K 3K0</v>
      </c>
      <c r="E9826" s="3"/>
      <c r="F9826" s="3"/>
      <c r="G9826" s="3"/>
      <c r="H9826" s="3"/>
    </row>
    <row r="9827">
      <c r="A9827" s="2">
        <f>IFERROR(__xludf.DUMMYFUNCTION("""COMPUTED_VALUE"""),50642.0)</f>
        <v>50642</v>
      </c>
      <c r="B9827" s="3" t="str">
        <f>IFERROR(__xludf.DUMMYFUNCTION("""COMPUTED_VALUE"""),"13482 COUNTY RD 29")</f>
        <v>13482 COUNTY RD 29</v>
      </c>
      <c r="C9827" s="3" t="str">
        <f>IFERROR(__xludf.DUMMYFUNCTION("""COMPUTED_VALUE"""),"WARKWORTH ")</f>
        <v>WARKWORTH </v>
      </c>
      <c r="D9827" s="3" t="str">
        <f>IFERROR(__xludf.DUMMYFUNCTION("""COMPUTED_VALUE"""),"K0K 3K0")</f>
        <v>K0K 3K0</v>
      </c>
      <c r="E9827" s="3"/>
      <c r="F9827" s="3"/>
      <c r="G9827" s="3"/>
      <c r="H9827" s="3"/>
    </row>
    <row r="9828">
      <c r="A9828" s="2">
        <f>IFERROR(__xludf.DUMMYFUNCTION("""COMPUTED_VALUE"""),50643.0)</f>
        <v>50643</v>
      </c>
      <c r="B9828" s="3" t="str">
        <f>IFERROR(__xludf.DUMMYFUNCTION("""COMPUTED_VALUE"""),"13542 COUNTY RD 29")</f>
        <v>13542 COUNTY RD 29</v>
      </c>
      <c r="C9828" s="3" t="str">
        <f>IFERROR(__xludf.DUMMYFUNCTION("""COMPUTED_VALUE"""),"WARKWORTH ")</f>
        <v>WARKWORTH </v>
      </c>
      <c r="D9828" s="3" t="str">
        <f>IFERROR(__xludf.DUMMYFUNCTION("""COMPUTED_VALUE"""),"K0K 3K0")</f>
        <v>K0K 3K0</v>
      </c>
      <c r="E9828" s="3" t="str">
        <f>IFERROR(__xludf.DUMMYFUNCTION("""COMPUTED_VALUE"""),"James Hussey")</f>
        <v>James Hussey</v>
      </c>
      <c r="F9828" s="3" t="str">
        <f>IFERROR(__xludf.DUMMYFUNCTION("""COMPUTED_VALUE"""),"jamiehussey57@gmail.com")</f>
        <v>jamiehussey57@gmail.com</v>
      </c>
      <c r="G9828" s="3">
        <f>IFERROR(__xludf.DUMMYFUNCTION("""COMPUTED_VALUE"""),9.059994654E9)</f>
        <v>9059994654</v>
      </c>
      <c r="H9828" s="3"/>
    </row>
    <row r="9829">
      <c r="A9829" s="2">
        <f>IFERROR(__xludf.DUMMYFUNCTION("""COMPUTED_VALUE"""),50644.0)</f>
        <v>50644</v>
      </c>
      <c r="B9829" s="3" t="str">
        <f>IFERROR(__xludf.DUMMYFUNCTION("""COMPUTED_VALUE"""),"13545 COUNTY RD 29")</f>
        <v>13545 COUNTY RD 29</v>
      </c>
      <c r="C9829" s="3" t="str">
        <f>IFERROR(__xludf.DUMMYFUNCTION("""COMPUTED_VALUE"""),"WARKWORTH ")</f>
        <v>WARKWORTH </v>
      </c>
      <c r="D9829" s="3" t="str">
        <f>IFERROR(__xludf.DUMMYFUNCTION("""COMPUTED_VALUE"""),"K0K 3K0")</f>
        <v>K0K 3K0</v>
      </c>
      <c r="E9829" s="3"/>
      <c r="F9829" s="3"/>
      <c r="G9829" s="3"/>
      <c r="H9829" s="3"/>
    </row>
    <row r="9830">
      <c r="A9830" s="2">
        <f>IFERROR(__xludf.DUMMYFUNCTION("""COMPUTED_VALUE"""),50645.0)</f>
        <v>50645</v>
      </c>
      <c r="B9830" s="3" t="str">
        <f>IFERROR(__xludf.DUMMYFUNCTION("""COMPUTED_VALUE"""),"13580 COUNTY RD 29")</f>
        <v>13580 COUNTY RD 29</v>
      </c>
      <c r="C9830" s="3" t="str">
        <f>IFERROR(__xludf.DUMMYFUNCTION("""COMPUTED_VALUE"""),"WARKWORTH ")</f>
        <v>WARKWORTH </v>
      </c>
      <c r="D9830" s="3" t="str">
        <f>IFERROR(__xludf.DUMMYFUNCTION("""COMPUTED_VALUE"""),"K0K 3K0")</f>
        <v>K0K 3K0</v>
      </c>
      <c r="E9830" s="3"/>
      <c r="F9830" s="3"/>
      <c r="G9830" s="3"/>
      <c r="H9830" s="3"/>
    </row>
    <row r="9831">
      <c r="A9831" s="2">
        <f>IFERROR(__xludf.DUMMYFUNCTION("""COMPUTED_VALUE"""),50646.0)</f>
        <v>50646</v>
      </c>
      <c r="B9831" s="3" t="str">
        <f>IFERROR(__xludf.DUMMYFUNCTION("""COMPUTED_VALUE"""),"13588 COUNTY RD 29")</f>
        <v>13588 COUNTY RD 29</v>
      </c>
      <c r="C9831" s="3" t="str">
        <f>IFERROR(__xludf.DUMMYFUNCTION("""COMPUTED_VALUE"""),"WARKWORTH ")</f>
        <v>WARKWORTH </v>
      </c>
      <c r="D9831" s="3" t="str">
        <f>IFERROR(__xludf.DUMMYFUNCTION("""COMPUTED_VALUE"""),"K0K 3K0")</f>
        <v>K0K 3K0</v>
      </c>
      <c r="E9831" s="3"/>
      <c r="F9831" s="3"/>
      <c r="G9831" s="3"/>
      <c r="H9831" s="3"/>
    </row>
    <row r="9832">
      <c r="A9832" s="2">
        <f>IFERROR(__xludf.DUMMYFUNCTION("""COMPUTED_VALUE"""),50647.0)</f>
        <v>50647</v>
      </c>
      <c r="B9832" s="3" t="str">
        <f>IFERROR(__xludf.DUMMYFUNCTION("""COMPUTED_VALUE"""),"13633 COUNTY RD 29")</f>
        <v>13633 COUNTY RD 29</v>
      </c>
      <c r="C9832" s="3" t="str">
        <f>IFERROR(__xludf.DUMMYFUNCTION("""COMPUTED_VALUE"""),"WARKWORTH ")</f>
        <v>WARKWORTH </v>
      </c>
      <c r="D9832" s="3" t="str">
        <f>IFERROR(__xludf.DUMMYFUNCTION("""COMPUTED_VALUE"""),"K0K 3K0")</f>
        <v>K0K 3K0</v>
      </c>
      <c r="E9832" s="3"/>
      <c r="F9832" s="3"/>
      <c r="G9832" s="3"/>
      <c r="H9832" s="3"/>
    </row>
    <row r="9833">
      <c r="A9833" s="2">
        <f>IFERROR(__xludf.DUMMYFUNCTION("""COMPUTED_VALUE"""),50652.0)</f>
        <v>50652</v>
      </c>
      <c r="B9833" s="3" t="str">
        <f>IFERROR(__xludf.DUMMYFUNCTION("""COMPUTED_VALUE"""),"13593A COUNTY RD 29")</f>
        <v>13593A COUNTY RD 29</v>
      </c>
      <c r="C9833" s="3" t="str">
        <f>IFERROR(__xludf.DUMMYFUNCTION("""COMPUTED_VALUE"""),"WARKWORTH ")</f>
        <v>WARKWORTH </v>
      </c>
      <c r="D9833" s="3" t="str">
        <f>IFERROR(__xludf.DUMMYFUNCTION("""COMPUTED_VALUE"""),"K0K 3K0")</f>
        <v>K0K 3K0</v>
      </c>
      <c r="E9833" s="3"/>
      <c r="F9833" s="3"/>
      <c r="G9833" s="3"/>
      <c r="H9833" s="3"/>
    </row>
    <row r="9834">
      <c r="A9834" s="2">
        <f>IFERROR(__xludf.DUMMYFUNCTION("""COMPUTED_VALUE"""),50653.0)</f>
        <v>50653</v>
      </c>
      <c r="B9834" s="3" t="str">
        <f>IFERROR(__xludf.DUMMYFUNCTION("""COMPUTED_VALUE"""),"13593B COUNTY RD 29")</f>
        <v>13593B COUNTY RD 29</v>
      </c>
      <c r="C9834" s="3" t="str">
        <f>IFERROR(__xludf.DUMMYFUNCTION("""COMPUTED_VALUE"""),"WARKWORTH ")</f>
        <v>WARKWORTH </v>
      </c>
      <c r="D9834" s="3" t="str">
        <f>IFERROR(__xludf.DUMMYFUNCTION("""COMPUTED_VALUE"""),"K0K 3K0")</f>
        <v>K0K 3K0</v>
      </c>
      <c r="E9834" s="3"/>
      <c r="F9834" s="3"/>
      <c r="G9834" s="3"/>
      <c r="H9834" s="3"/>
    </row>
    <row r="9835">
      <c r="A9835" s="2">
        <f>IFERROR(__xludf.DUMMYFUNCTION("""COMPUTED_VALUE"""),50655.0)</f>
        <v>50655</v>
      </c>
      <c r="B9835" s="3" t="str">
        <f>IFERROR(__xludf.DUMMYFUNCTION("""COMPUTED_VALUE"""),"7166 COUNTY RD 45")</f>
        <v>7166 COUNTY RD 45</v>
      </c>
      <c r="C9835" s="3" t="str">
        <f>IFERROR(__xludf.DUMMYFUNCTION("""COMPUTED_VALUE"""),"ROSENEATH ")</f>
        <v>ROSENEATH </v>
      </c>
      <c r="D9835" s="3" t="str">
        <f>IFERROR(__xludf.DUMMYFUNCTION("""COMPUTED_VALUE"""),"K0K 2X0")</f>
        <v>K0K 2X0</v>
      </c>
      <c r="E9835" s="3"/>
      <c r="F9835" s="3"/>
      <c r="G9835" s="3"/>
      <c r="H9835" s="3"/>
    </row>
    <row r="9836">
      <c r="A9836" s="2">
        <f>IFERROR(__xludf.DUMMYFUNCTION("""COMPUTED_VALUE"""),50656.0)</f>
        <v>50656</v>
      </c>
      <c r="B9836" s="3" t="str">
        <f>IFERROR(__xludf.DUMMYFUNCTION("""COMPUTED_VALUE"""),"7180 COUNTY RD 45")</f>
        <v>7180 COUNTY RD 45</v>
      </c>
      <c r="C9836" s="3" t="str">
        <f>IFERROR(__xludf.DUMMYFUNCTION("""COMPUTED_VALUE"""),"ROSENEATH ")</f>
        <v>ROSENEATH </v>
      </c>
      <c r="D9836" s="3" t="str">
        <f>IFERROR(__xludf.DUMMYFUNCTION("""COMPUTED_VALUE"""),"K0K 2X0")</f>
        <v>K0K 2X0</v>
      </c>
      <c r="E9836" s="3"/>
      <c r="F9836" s="3"/>
      <c r="G9836" s="3"/>
      <c r="H9836" s="3"/>
    </row>
    <row r="9837">
      <c r="A9837" s="2">
        <f>IFERROR(__xludf.DUMMYFUNCTION("""COMPUTED_VALUE"""),50657.0)</f>
        <v>50657</v>
      </c>
      <c r="B9837" s="3" t="str">
        <f>IFERROR(__xludf.DUMMYFUNCTION("""COMPUTED_VALUE"""),"7380 COUNTY RD 45")</f>
        <v>7380 COUNTY RD 45</v>
      </c>
      <c r="C9837" s="3" t="str">
        <f>IFERROR(__xludf.DUMMYFUNCTION("""COMPUTED_VALUE"""),"ROSENEATH ")</f>
        <v>ROSENEATH </v>
      </c>
      <c r="D9837" s="3" t="str">
        <f>IFERROR(__xludf.DUMMYFUNCTION("""COMPUTED_VALUE"""),"K0K 2X0")</f>
        <v>K0K 2X0</v>
      </c>
      <c r="E9837" s="3"/>
      <c r="F9837" s="3"/>
      <c r="G9837" s="3"/>
      <c r="H9837" s="3"/>
    </row>
    <row r="9838">
      <c r="A9838" s="2">
        <f>IFERROR(__xludf.DUMMYFUNCTION("""COMPUTED_VALUE"""),50658.0)</f>
        <v>50658</v>
      </c>
      <c r="B9838" s="3" t="str">
        <f>IFERROR(__xludf.DUMMYFUNCTION("""COMPUTED_VALUE"""),"7411 COUNTY RD 45")</f>
        <v>7411 COUNTY RD 45</v>
      </c>
      <c r="C9838" s="3" t="str">
        <f>IFERROR(__xludf.DUMMYFUNCTION("""COMPUTED_VALUE"""),"ROSENEATH ")</f>
        <v>ROSENEATH </v>
      </c>
      <c r="D9838" s="3" t="str">
        <f>IFERROR(__xludf.DUMMYFUNCTION("""COMPUTED_VALUE"""),"K0K 2X0")</f>
        <v>K0K 2X0</v>
      </c>
      <c r="E9838" s="3"/>
      <c r="F9838" s="3"/>
      <c r="G9838" s="3"/>
      <c r="H9838" s="3"/>
    </row>
    <row r="9839">
      <c r="A9839" s="2">
        <f>IFERROR(__xludf.DUMMYFUNCTION("""COMPUTED_VALUE"""),50659.0)</f>
        <v>50659</v>
      </c>
      <c r="B9839" s="3" t="str">
        <f>IFERROR(__xludf.DUMMYFUNCTION("""COMPUTED_VALUE"""),"7538 COUNTY RD 45")</f>
        <v>7538 COUNTY RD 45</v>
      </c>
      <c r="C9839" s="3" t="str">
        <f>IFERROR(__xludf.DUMMYFUNCTION("""COMPUTED_VALUE"""),"ROSENEATH ")</f>
        <v>ROSENEATH </v>
      </c>
      <c r="D9839" s="3" t="str">
        <f>IFERROR(__xludf.DUMMYFUNCTION("""COMPUTED_VALUE"""),"K0K 2X0")</f>
        <v>K0K 2X0</v>
      </c>
      <c r="E9839" s="3"/>
      <c r="F9839" s="3"/>
      <c r="G9839" s="3"/>
      <c r="H9839" s="3"/>
    </row>
    <row r="9840">
      <c r="A9840" s="2">
        <f>IFERROR(__xludf.DUMMYFUNCTION("""COMPUTED_VALUE"""),50660.0)</f>
        <v>50660</v>
      </c>
      <c r="B9840" s="3" t="str">
        <f>IFERROR(__xludf.DUMMYFUNCTION("""COMPUTED_VALUE"""),"7603 COUNTY RD 45")</f>
        <v>7603 COUNTY RD 45</v>
      </c>
      <c r="C9840" s="3" t="str">
        <f>IFERROR(__xludf.DUMMYFUNCTION("""COMPUTED_VALUE"""),"ROSENEATH ")</f>
        <v>ROSENEATH </v>
      </c>
      <c r="D9840" s="3" t="str">
        <f>IFERROR(__xludf.DUMMYFUNCTION("""COMPUTED_VALUE"""),"K0K 2X0")</f>
        <v>K0K 2X0</v>
      </c>
      <c r="E9840" s="3"/>
      <c r="F9840" s="3"/>
      <c r="G9840" s="3"/>
      <c r="H9840" s="3"/>
    </row>
    <row r="9841">
      <c r="A9841" s="2">
        <f>IFERROR(__xludf.DUMMYFUNCTION("""COMPUTED_VALUE"""),50661.0)</f>
        <v>50661</v>
      </c>
      <c r="B9841" s="3" t="str">
        <f>IFERROR(__xludf.DUMMYFUNCTION("""COMPUTED_VALUE"""),"7637 COUNTY RD 45")</f>
        <v>7637 COUNTY RD 45</v>
      </c>
      <c r="C9841" s="3" t="str">
        <f>IFERROR(__xludf.DUMMYFUNCTION("""COMPUTED_VALUE"""),"ROSENEATH ")</f>
        <v>ROSENEATH </v>
      </c>
      <c r="D9841" s="3" t="str">
        <f>IFERROR(__xludf.DUMMYFUNCTION("""COMPUTED_VALUE"""),"K0K 2X0")</f>
        <v>K0K 2X0</v>
      </c>
      <c r="E9841" s="3"/>
      <c r="F9841" s="3"/>
      <c r="G9841" s="3"/>
      <c r="H9841" s="3"/>
    </row>
    <row r="9842">
      <c r="A9842" s="2">
        <f>IFERROR(__xludf.DUMMYFUNCTION("""COMPUTED_VALUE"""),50662.0)</f>
        <v>50662</v>
      </c>
      <c r="B9842" s="3" t="str">
        <f>IFERROR(__xludf.DUMMYFUNCTION("""COMPUTED_VALUE"""),"7673 COUNTY RD 45")</f>
        <v>7673 COUNTY RD 45</v>
      </c>
      <c r="C9842" s="3" t="str">
        <f>IFERROR(__xludf.DUMMYFUNCTION("""COMPUTED_VALUE"""),"ROSENEATH ")</f>
        <v>ROSENEATH </v>
      </c>
      <c r="D9842" s="3" t="str">
        <f>IFERROR(__xludf.DUMMYFUNCTION("""COMPUTED_VALUE"""),"K0K 2X0")</f>
        <v>K0K 2X0</v>
      </c>
      <c r="E9842" s="3" t="str">
        <f>IFERROR(__xludf.DUMMYFUNCTION("""COMPUTED_VALUE"""),"Gary &amp; Deborah Stevenson")</f>
        <v>Gary &amp; Deborah Stevenson</v>
      </c>
      <c r="F9842" s="3" t="str">
        <f>IFERROR(__xludf.DUMMYFUNCTION("""COMPUTED_VALUE"""),"cksrgs@gmail.com")</f>
        <v>cksrgs@gmail.com</v>
      </c>
      <c r="G9842" s="3"/>
      <c r="H9842" s="3"/>
    </row>
    <row r="9843">
      <c r="A9843" s="2">
        <f>IFERROR(__xludf.DUMMYFUNCTION("""COMPUTED_VALUE"""),50663.0)</f>
        <v>50663</v>
      </c>
      <c r="B9843" s="3" t="str">
        <f>IFERROR(__xludf.DUMMYFUNCTION("""COMPUTED_VALUE"""),"7674 COUNTY RD 45")</f>
        <v>7674 COUNTY RD 45</v>
      </c>
      <c r="C9843" s="3" t="str">
        <f>IFERROR(__xludf.DUMMYFUNCTION("""COMPUTED_VALUE"""),"ROSENEATH ")</f>
        <v>ROSENEATH </v>
      </c>
      <c r="D9843" s="3" t="str">
        <f>IFERROR(__xludf.DUMMYFUNCTION("""COMPUTED_VALUE"""),"K0K 2X0")</f>
        <v>K0K 2X0</v>
      </c>
      <c r="E9843" s="3"/>
      <c r="F9843" s="3"/>
      <c r="G9843" s="3"/>
      <c r="H9843" s="3"/>
    </row>
    <row r="9844">
      <c r="A9844" s="2">
        <f>IFERROR(__xludf.DUMMYFUNCTION("""COMPUTED_VALUE"""),50664.0)</f>
        <v>50664</v>
      </c>
      <c r="B9844" s="3" t="str">
        <f>IFERROR(__xludf.DUMMYFUNCTION("""COMPUTED_VALUE"""),"7691 COUNTY RD 45")</f>
        <v>7691 COUNTY RD 45</v>
      </c>
      <c r="C9844" s="3" t="str">
        <f>IFERROR(__xludf.DUMMYFUNCTION("""COMPUTED_VALUE"""),"ROSENEATH ")</f>
        <v>ROSENEATH </v>
      </c>
      <c r="D9844" s="3" t="str">
        <f>IFERROR(__xludf.DUMMYFUNCTION("""COMPUTED_VALUE"""),"K0K 2X0")</f>
        <v>K0K 2X0</v>
      </c>
      <c r="E9844" s="3"/>
      <c r="F9844" s="3"/>
      <c r="G9844" s="3"/>
      <c r="H9844" s="3"/>
    </row>
    <row r="9845">
      <c r="A9845" s="2">
        <f>IFERROR(__xludf.DUMMYFUNCTION("""COMPUTED_VALUE"""),50665.0)</f>
        <v>50665</v>
      </c>
      <c r="B9845" s="3" t="str">
        <f>IFERROR(__xludf.DUMMYFUNCTION("""COMPUTED_VALUE"""),"7706 COUNTY RD 45")</f>
        <v>7706 COUNTY RD 45</v>
      </c>
      <c r="C9845" s="3" t="str">
        <f>IFERROR(__xludf.DUMMYFUNCTION("""COMPUTED_VALUE"""),"ROSENEATH ")</f>
        <v>ROSENEATH </v>
      </c>
      <c r="D9845" s="3" t="str">
        <f>IFERROR(__xludf.DUMMYFUNCTION("""COMPUTED_VALUE"""),"K0K 2X0")</f>
        <v>K0K 2X0</v>
      </c>
      <c r="E9845" s="3"/>
      <c r="F9845" s="3"/>
      <c r="G9845" s="3"/>
      <c r="H9845" s="3"/>
    </row>
    <row r="9846">
      <c r="A9846" s="2">
        <f>IFERROR(__xludf.DUMMYFUNCTION("""COMPUTED_VALUE"""),50666.0)</f>
        <v>50666</v>
      </c>
      <c r="B9846" s="3" t="str">
        <f>IFERROR(__xludf.DUMMYFUNCTION("""COMPUTED_VALUE"""),"7716 COUNTY RD 45")</f>
        <v>7716 COUNTY RD 45</v>
      </c>
      <c r="C9846" s="3" t="str">
        <f>IFERROR(__xludf.DUMMYFUNCTION("""COMPUTED_VALUE"""),"ROSENEATH ")</f>
        <v>ROSENEATH </v>
      </c>
      <c r="D9846" s="3" t="str">
        <f>IFERROR(__xludf.DUMMYFUNCTION("""COMPUTED_VALUE"""),"K0K 2X0")</f>
        <v>K0K 2X0</v>
      </c>
      <c r="E9846" s="3" t="str">
        <f>IFERROR(__xludf.DUMMYFUNCTION("""COMPUTED_VALUE"""),"Robert Grummett")</f>
        <v>Robert Grummett</v>
      </c>
      <c r="F9846" s="3" t="str">
        <f>IFERROR(__xludf.DUMMYFUNCTION("""COMPUTED_VALUE"""),"buysellc35@gmail.com")</f>
        <v>buysellc35@gmail.com</v>
      </c>
      <c r="G9846" s="3"/>
      <c r="H9846" s="3"/>
    </row>
    <row r="9847">
      <c r="A9847" s="2">
        <f>IFERROR(__xludf.DUMMYFUNCTION("""COMPUTED_VALUE"""),50667.0)</f>
        <v>50667</v>
      </c>
      <c r="B9847" s="3" t="str">
        <f>IFERROR(__xludf.DUMMYFUNCTION("""COMPUTED_VALUE"""),"7717 COUNTY RD 45")</f>
        <v>7717 COUNTY RD 45</v>
      </c>
      <c r="C9847" s="3" t="str">
        <f>IFERROR(__xludf.DUMMYFUNCTION("""COMPUTED_VALUE"""),"ROSENEATH ")</f>
        <v>ROSENEATH </v>
      </c>
      <c r="D9847" s="3" t="str">
        <f>IFERROR(__xludf.DUMMYFUNCTION("""COMPUTED_VALUE"""),"K0K 2X0")</f>
        <v>K0K 2X0</v>
      </c>
      <c r="E9847" s="3" t="str">
        <f>IFERROR(__xludf.DUMMYFUNCTION("""COMPUTED_VALUE"""),"William Roger Warnock")</f>
        <v>William Roger Warnock</v>
      </c>
      <c r="F9847" s="3" t="str">
        <f>IFERROR(__xludf.DUMMYFUNCTION("""COMPUTED_VALUE"""),"okvalley2002@yahoo.com")</f>
        <v>okvalley2002@yahoo.com</v>
      </c>
      <c r="G9847" s="3"/>
      <c r="H9847" s="3"/>
    </row>
    <row r="9848">
      <c r="A9848" s="2">
        <f>IFERROR(__xludf.DUMMYFUNCTION("""COMPUTED_VALUE"""),50668.0)</f>
        <v>50668</v>
      </c>
      <c r="B9848" s="3" t="str">
        <f>IFERROR(__xludf.DUMMYFUNCTION("""COMPUTED_VALUE"""),"7737 COUNTY RD 45")</f>
        <v>7737 COUNTY RD 45</v>
      </c>
      <c r="C9848" s="3" t="str">
        <f>IFERROR(__xludf.DUMMYFUNCTION("""COMPUTED_VALUE"""),"ROSENEATH ")</f>
        <v>ROSENEATH </v>
      </c>
      <c r="D9848" s="3" t="str">
        <f>IFERROR(__xludf.DUMMYFUNCTION("""COMPUTED_VALUE"""),"K0K 2X0")</f>
        <v>K0K 2X0</v>
      </c>
      <c r="E9848" s="3"/>
      <c r="F9848" s="3"/>
      <c r="G9848" s="3"/>
      <c r="H9848" s="3"/>
    </row>
    <row r="9849">
      <c r="A9849" s="2">
        <f>IFERROR(__xludf.DUMMYFUNCTION("""COMPUTED_VALUE"""),50669.0)</f>
        <v>50669</v>
      </c>
      <c r="B9849" s="3" t="str">
        <f>IFERROR(__xludf.DUMMYFUNCTION("""COMPUTED_VALUE"""),"7747 COUNTY RD 45")</f>
        <v>7747 COUNTY RD 45</v>
      </c>
      <c r="C9849" s="3" t="str">
        <f>IFERROR(__xludf.DUMMYFUNCTION("""COMPUTED_VALUE"""),"ROSENEATH ")</f>
        <v>ROSENEATH </v>
      </c>
      <c r="D9849" s="3" t="str">
        <f>IFERROR(__xludf.DUMMYFUNCTION("""COMPUTED_VALUE"""),"K0K 2X0")</f>
        <v>K0K 2X0</v>
      </c>
      <c r="E9849" s="3"/>
      <c r="F9849" s="3"/>
      <c r="G9849" s="3"/>
      <c r="H9849" s="3"/>
    </row>
    <row r="9850">
      <c r="A9850" s="2">
        <f>IFERROR(__xludf.DUMMYFUNCTION("""COMPUTED_VALUE"""),50670.0)</f>
        <v>50670</v>
      </c>
      <c r="B9850" s="3" t="str">
        <f>IFERROR(__xludf.DUMMYFUNCTION("""COMPUTED_VALUE"""),"7752 COUNTY RD 45")</f>
        <v>7752 COUNTY RD 45</v>
      </c>
      <c r="C9850" s="3" t="str">
        <f>IFERROR(__xludf.DUMMYFUNCTION("""COMPUTED_VALUE"""),"ROSENEATH ")</f>
        <v>ROSENEATH </v>
      </c>
      <c r="D9850" s="3" t="str">
        <f>IFERROR(__xludf.DUMMYFUNCTION("""COMPUTED_VALUE"""),"K0K 2X0")</f>
        <v>K0K 2X0</v>
      </c>
      <c r="E9850" s="3"/>
      <c r="F9850" s="3"/>
      <c r="G9850" s="3"/>
      <c r="H9850" s="3"/>
    </row>
    <row r="9851">
      <c r="A9851" s="2">
        <f>IFERROR(__xludf.DUMMYFUNCTION("""COMPUTED_VALUE"""),50671.0)</f>
        <v>50671</v>
      </c>
      <c r="B9851" s="3" t="str">
        <f>IFERROR(__xludf.DUMMYFUNCTION("""COMPUTED_VALUE"""),"7755 COUNTY RD 45")</f>
        <v>7755 COUNTY RD 45</v>
      </c>
      <c r="C9851" s="3" t="str">
        <f>IFERROR(__xludf.DUMMYFUNCTION("""COMPUTED_VALUE"""),"ROSENEATH ")</f>
        <v>ROSENEATH </v>
      </c>
      <c r="D9851" s="3" t="str">
        <f>IFERROR(__xludf.DUMMYFUNCTION("""COMPUTED_VALUE"""),"K0K 2X0")</f>
        <v>K0K 2X0</v>
      </c>
      <c r="E9851" s="3"/>
      <c r="F9851" s="3"/>
      <c r="G9851" s="3"/>
      <c r="H9851" s="3"/>
    </row>
    <row r="9852">
      <c r="A9852" s="2">
        <f>IFERROR(__xludf.DUMMYFUNCTION("""COMPUTED_VALUE"""),50672.0)</f>
        <v>50672</v>
      </c>
      <c r="B9852" s="3" t="str">
        <f>IFERROR(__xludf.DUMMYFUNCTION("""COMPUTED_VALUE"""),"7767 COUNTY RD 45")</f>
        <v>7767 COUNTY RD 45</v>
      </c>
      <c r="C9852" s="3" t="str">
        <f>IFERROR(__xludf.DUMMYFUNCTION("""COMPUTED_VALUE"""),"ROSENEATH ")</f>
        <v>ROSENEATH </v>
      </c>
      <c r="D9852" s="3" t="str">
        <f>IFERROR(__xludf.DUMMYFUNCTION("""COMPUTED_VALUE"""),"K0K 2X0")</f>
        <v>K0K 2X0</v>
      </c>
      <c r="E9852" s="3"/>
      <c r="F9852" s="3"/>
      <c r="G9852" s="3"/>
      <c r="H9852" s="3"/>
    </row>
    <row r="9853">
      <c r="A9853" s="2">
        <f>IFERROR(__xludf.DUMMYFUNCTION("""COMPUTED_VALUE"""),50673.0)</f>
        <v>50673</v>
      </c>
      <c r="B9853" s="3" t="str">
        <f>IFERROR(__xludf.DUMMYFUNCTION("""COMPUTED_VALUE"""),"7858 COUNTY RD 45")</f>
        <v>7858 COUNTY RD 45</v>
      </c>
      <c r="C9853" s="3" t="str">
        <f>IFERROR(__xludf.DUMMYFUNCTION("""COMPUTED_VALUE"""),"ROSENEATH ")</f>
        <v>ROSENEATH </v>
      </c>
      <c r="D9853" s="3" t="str">
        <f>IFERROR(__xludf.DUMMYFUNCTION("""COMPUTED_VALUE"""),"K0K 2X0")</f>
        <v>K0K 2X0</v>
      </c>
      <c r="E9853" s="3" t="str">
        <f>IFERROR(__xludf.DUMMYFUNCTION("""COMPUTED_VALUE"""),"Marley J Hornyak")</f>
        <v>Marley J Hornyak</v>
      </c>
      <c r="F9853" s="3" t="str">
        <f>IFERROR(__xludf.DUMMYFUNCTION("""COMPUTED_VALUE"""),"marleyhornyak@gmail.com")</f>
        <v>marleyhornyak@gmail.com</v>
      </c>
      <c r="G9853" s="3">
        <f>IFERROR(__xludf.DUMMYFUNCTION("""COMPUTED_VALUE"""),9.053766487E9)</f>
        <v>9053766487</v>
      </c>
      <c r="H9853" s="3"/>
    </row>
    <row r="9854">
      <c r="A9854" s="2">
        <f>IFERROR(__xludf.DUMMYFUNCTION("""COMPUTED_VALUE"""),50674.0)</f>
        <v>50674</v>
      </c>
      <c r="B9854" s="3" t="str">
        <f>IFERROR(__xludf.DUMMYFUNCTION("""COMPUTED_VALUE"""),"7868 COUNTY RD 45")</f>
        <v>7868 COUNTY RD 45</v>
      </c>
      <c r="C9854" s="3" t="str">
        <f>IFERROR(__xludf.DUMMYFUNCTION("""COMPUTED_VALUE"""),"ROSENEATH ")</f>
        <v>ROSENEATH </v>
      </c>
      <c r="D9854" s="3" t="str">
        <f>IFERROR(__xludf.DUMMYFUNCTION("""COMPUTED_VALUE"""),"K0K 2X0")</f>
        <v>K0K 2X0</v>
      </c>
      <c r="E9854" s="3"/>
      <c r="F9854" s="3"/>
      <c r="G9854" s="3"/>
      <c r="H9854" s="3"/>
    </row>
    <row r="9855">
      <c r="A9855" s="2">
        <f>IFERROR(__xludf.DUMMYFUNCTION("""COMPUTED_VALUE"""),50675.0)</f>
        <v>50675</v>
      </c>
      <c r="B9855" s="3" t="str">
        <f>IFERROR(__xludf.DUMMYFUNCTION("""COMPUTED_VALUE"""),"7892 COUNTY RD 45")</f>
        <v>7892 COUNTY RD 45</v>
      </c>
      <c r="C9855" s="3" t="str">
        <f>IFERROR(__xludf.DUMMYFUNCTION("""COMPUTED_VALUE"""),"ROSENEATH ")</f>
        <v>ROSENEATH </v>
      </c>
      <c r="D9855" s="3" t="str">
        <f>IFERROR(__xludf.DUMMYFUNCTION("""COMPUTED_VALUE"""),"K0K 2X0")</f>
        <v>K0K 2X0</v>
      </c>
      <c r="E9855" s="3" t="str">
        <f>IFERROR(__xludf.DUMMYFUNCTION("""COMPUTED_VALUE"""),"Thomas E Stacey")</f>
        <v>Thomas E Stacey</v>
      </c>
      <c r="F9855" s="3" t="str">
        <f>IFERROR(__xludf.DUMMYFUNCTION("""COMPUTED_VALUE"""),"destinywin@hotmail.ca")</f>
        <v>destinywin@hotmail.ca</v>
      </c>
      <c r="G9855" s="3"/>
      <c r="H9855" s="3"/>
    </row>
    <row r="9856">
      <c r="A9856" s="2">
        <f>IFERROR(__xludf.DUMMYFUNCTION("""COMPUTED_VALUE"""),50676.0)</f>
        <v>50676</v>
      </c>
      <c r="B9856" s="3" t="str">
        <f>IFERROR(__xludf.DUMMYFUNCTION("""COMPUTED_VALUE"""),"7929 COUNTY RD 45")</f>
        <v>7929 COUNTY RD 45</v>
      </c>
      <c r="C9856" s="3" t="str">
        <f>IFERROR(__xludf.DUMMYFUNCTION("""COMPUTED_VALUE"""),"ROSENEATH ")</f>
        <v>ROSENEATH </v>
      </c>
      <c r="D9856" s="3" t="str">
        <f>IFERROR(__xludf.DUMMYFUNCTION("""COMPUTED_VALUE"""),"K0K 2X0")</f>
        <v>K0K 2X0</v>
      </c>
      <c r="E9856" s="3"/>
      <c r="F9856" s="3"/>
      <c r="G9856" s="3"/>
      <c r="H9856" s="3"/>
    </row>
    <row r="9857">
      <c r="A9857" s="2">
        <f>IFERROR(__xludf.DUMMYFUNCTION("""COMPUTED_VALUE"""),50677.0)</f>
        <v>50677</v>
      </c>
      <c r="B9857" s="3" t="str">
        <f>IFERROR(__xludf.DUMMYFUNCTION("""COMPUTED_VALUE"""),"7940 COUNTY ROAD 45")</f>
        <v>7940 COUNTY ROAD 45</v>
      </c>
      <c r="C9857" s="3" t="str">
        <f>IFERROR(__xludf.DUMMYFUNCTION("""COMPUTED_VALUE"""),"ROSENEATH ")</f>
        <v>ROSENEATH </v>
      </c>
      <c r="D9857" s="3" t="str">
        <f>IFERROR(__xludf.DUMMYFUNCTION("""COMPUTED_VALUE"""),"K0K 2X0")</f>
        <v>K0K 2X0</v>
      </c>
      <c r="E9857" s="3"/>
      <c r="F9857" s="3"/>
      <c r="G9857" s="3"/>
      <c r="H9857" s="3"/>
    </row>
    <row r="9858">
      <c r="A9858" s="2">
        <f>IFERROR(__xludf.DUMMYFUNCTION("""COMPUTED_VALUE"""),50678.0)</f>
        <v>50678</v>
      </c>
      <c r="B9858" s="3" t="str">
        <f>IFERROR(__xludf.DUMMYFUNCTION("""COMPUTED_VALUE"""),"7942 COUNTY RD 45")</f>
        <v>7942 COUNTY RD 45</v>
      </c>
      <c r="C9858" s="3" t="str">
        <f>IFERROR(__xludf.DUMMYFUNCTION("""COMPUTED_VALUE"""),"ROSENEATH ")</f>
        <v>ROSENEATH </v>
      </c>
      <c r="D9858" s="3" t="str">
        <f>IFERROR(__xludf.DUMMYFUNCTION("""COMPUTED_VALUE"""),"K0K 2X0")</f>
        <v>K0K 2X0</v>
      </c>
      <c r="E9858" s="3"/>
      <c r="F9858" s="3"/>
      <c r="G9858" s="3"/>
      <c r="H9858" s="3"/>
    </row>
    <row r="9859">
      <c r="A9859" s="2">
        <f>IFERROR(__xludf.DUMMYFUNCTION("""COMPUTED_VALUE"""),50679.0)</f>
        <v>50679</v>
      </c>
      <c r="B9859" s="3" t="str">
        <f>IFERROR(__xludf.DUMMYFUNCTION("""COMPUTED_VALUE"""),"7999 COUNTY RD 45")</f>
        <v>7999 COUNTY RD 45</v>
      </c>
      <c r="C9859" s="3" t="str">
        <f>IFERROR(__xludf.DUMMYFUNCTION("""COMPUTED_VALUE"""),"ROSENEATH ")</f>
        <v>ROSENEATH </v>
      </c>
      <c r="D9859" s="3" t="str">
        <f>IFERROR(__xludf.DUMMYFUNCTION("""COMPUTED_VALUE"""),"K0K 2X0")</f>
        <v>K0K 2X0</v>
      </c>
      <c r="E9859" s="3" t="str">
        <f>IFERROR(__xludf.DUMMYFUNCTION("""COMPUTED_VALUE"""),"Kurt White")</f>
        <v>Kurt White</v>
      </c>
      <c r="F9859" s="3" t="str">
        <f>IFERROR(__xludf.DUMMYFUNCTION("""COMPUTED_VALUE"""),"kurtwhite86@hotmail.com")</f>
        <v>kurtwhite86@hotmail.com</v>
      </c>
      <c r="G9859" s="3">
        <f>IFERROR(__xludf.DUMMYFUNCTION("""COMPUTED_VALUE"""),9.053759441E9)</f>
        <v>9053759441</v>
      </c>
      <c r="H9859" s="3"/>
    </row>
    <row r="9860">
      <c r="A9860" s="2">
        <f>IFERROR(__xludf.DUMMYFUNCTION("""COMPUTED_VALUE"""),50680.0)</f>
        <v>50680</v>
      </c>
      <c r="B9860" s="3" t="str">
        <f>IFERROR(__xludf.DUMMYFUNCTION("""COMPUTED_VALUE"""),"8047 COUNTY RD 45")</f>
        <v>8047 COUNTY RD 45</v>
      </c>
      <c r="C9860" s="3" t="str">
        <f>IFERROR(__xludf.DUMMYFUNCTION("""COMPUTED_VALUE"""),"ROSENEATH ")</f>
        <v>ROSENEATH </v>
      </c>
      <c r="D9860" s="3" t="str">
        <f>IFERROR(__xludf.DUMMYFUNCTION("""COMPUTED_VALUE"""),"K0K 2X0")</f>
        <v>K0K 2X0</v>
      </c>
      <c r="E9860" s="3"/>
      <c r="F9860" s="3"/>
      <c r="G9860" s="3"/>
      <c r="H9860" s="3"/>
    </row>
    <row r="9861">
      <c r="A9861" s="2">
        <f>IFERROR(__xludf.DUMMYFUNCTION("""COMPUTED_VALUE"""),50681.0)</f>
        <v>50681</v>
      </c>
      <c r="B9861" s="3" t="str">
        <f>IFERROR(__xludf.DUMMYFUNCTION("""COMPUTED_VALUE"""),"8050 COUNTY RD 45")</f>
        <v>8050 COUNTY RD 45</v>
      </c>
      <c r="C9861" s="3" t="str">
        <f>IFERROR(__xludf.DUMMYFUNCTION("""COMPUTED_VALUE"""),"ROSENEATH ")</f>
        <v>ROSENEATH </v>
      </c>
      <c r="D9861" s="3" t="str">
        <f>IFERROR(__xludf.DUMMYFUNCTION("""COMPUTED_VALUE"""),"K0K 2X0")</f>
        <v>K0K 2X0</v>
      </c>
      <c r="E9861" s="3"/>
      <c r="F9861" s="3"/>
      <c r="G9861" s="3"/>
      <c r="H9861" s="3"/>
    </row>
    <row r="9862">
      <c r="A9862" s="2">
        <f>IFERROR(__xludf.DUMMYFUNCTION("""COMPUTED_VALUE"""),50682.0)</f>
        <v>50682</v>
      </c>
      <c r="B9862" s="3" t="str">
        <f>IFERROR(__xludf.DUMMYFUNCTION("""COMPUTED_VALUE"""),"8062 COUNTY RD 45")</f>
        <v>8062 COUNTY RD 45</v>
      </c>
      <c r="C9862" s="3" t="str">
        <f>IFERROR(__xludf.DUMMYFUNCTION("""COMPUTED_VALUE"""),"ROSENEATH ")</f>
        <v>ROSENEATH </v>
      </c>
      <c r="D9862" s="3" t="str">
        <f>IFERROR(__xludf.DUMMYFUNCTION("""COMPUTED_VALUE"""),"K0K 2X0")</f>
        <v>K0K 2X0</v>
      </c>
      <c r="E9862" s="3"/>
      <c r="F9862" s="3"/>
      <c r="G9862" s="3"/>
      <c r="H9862" s="3"/>
    </row>
    <row r="9863">
      <c r="A9863" s="2">
        <f>IFERROR(__xludf.DUMMYFUNCTION("""COMPUTED_VALUE"""),50683.0)</f>
        <v>50683</v>
      </c>
      <c r="B9863" s="3" t="str">
        <f>IFERROR(__xludf.DUMMYFUNCTION("""COMPUTED_VALUE"""),"8071 COUNTY RD 45")</f>
        <v>8071 COUNTY RD 45</v>
      </c>
      <c r="C9863" s="3" t="str">
        <f>IFERROR(__xludf.DUMMYFUNCTION("""COMPUTED_VALUE"""),"ROSENEATH ")</f>
        <v>ROSENEATH </v>
      </c>
      <c r="D9863" s="3" t="str">
        <f>IFERROR(__xludf.DUMMYFUNCTION("""COMPUTED_VALUE"""),"K0K 2X0")</f>
        <v>K0K 2X0</v>
      </c>
      <c r="E9863" s="3"/>
      <c r="F9863" s="3"/>
      <c r="G9863" s="3"/>
      <c r="H9863" s="3"/>
    </row>
    <row r="9864">
      <c r="A9864" s="2">
        <f>IFERROR(__xludf.DUMMYFUNCTION("""COMPUTED_VALUE"""),50684.0)</f>
        <v>50684</v>
      </c>
      <c r="B9864" s="3" t="str">
        <f>IFERROR(__xludf.DUMMYFUNCTION("""COMPUTED_VALUE"""),"8123 COUNTY RD 45")</f>
        <v>8123 COUNTY RD 45</v>
      </c>
      <c r="C9864" s="3" t="str">
        <f>IFERROR(__xludf.DUMMYFUNCTION("""COMPUTED_VALUE"""),"ROSENEATH ")</f>
        <v>ROSENEATH </v>
      </c>
      <c r="D9864" s="3" t="str">
        <f>IFERROR(__xludf.DUMMYFUNCTION("""COMPUTED_VALUE"""),"K0K 2X0")</f>
        <v>K0K 2X0</v>
      </c>
      <c r="E9864" s="3"/>
      <c r="F9864" s="3"/>
      <c r="G9864" s="3"/>
      <c r="H9864" s="3"/>
    </row>
    <row r="9865">
      <c r="A9865" s="2">
        <f>IFERROR(__xludf.DUMMYFUNCTION("""COMPUTED_VALUE"""),50685.0)</f>
        <v>50685</v>
      </c>
      <c r="B9865" s="3" t="str">
        <f>IFERROR(__xludf.DUMMYFUNCTION("""COMPUTED_VALUE"""),"8149 COUNTY RD 45")</f>
        <v>8149 COUNTY RD 45</v>
      </c>
      <c r="C9865" s="3" t="str">
        <f>IFERROR(__xludf.DUMMYFUNCTION("""COMPUTED_VALUE"""),"ROSENEATH ")</f>
        <v>ROSENEATH </v>
      </c>
      <c r="D9865" s="3" t="str">
        <f>IFERROR(__xludf.DUMMYFUNCTION("""COMPUTED_VALUE"""),"K0K 2X0")</f>
        <v>K0K 2X0</v>
      </c>
      <c r="E9865" s="3" t="str">
        <f>IFERROR(__xludf.DUMMYFUNCTION("""COMPUTED_VALUE"""),"Eric and Shirley Childs")</f>
        <v>Eric and Shirley Childs</v>
      </c>
      <c r="F9865" s="3" t="str">
        <f>IFERROR(__xludf.DUMMYFUNCTION("""COMPUTED_VALUE"""),"eschilds@xplornet.ca")</f>
        <v>eschilds@xplornet.ca</v>
      </c>
      <c r="G9865" s="3"/>
      <c r="H9865" s="3"/>
    </row>
    <row r="9866">
      <c r="A9866" s="2">
        <f>IFERROR(__xludf.DUMMYFUNCTION("""COMPUTED_VALUE"""),50686.0)</f>
        <v>50686</v>
      </c>
      <c r="B9866" s="3" t="str">
        <f>IFERROR(__xludf.DUMMYFUNCTION("""COMPUTED_VALUE"""),"8219 COUNTY RD 45")</f>
        <v>8219 COUNTY RD 45</v>
      </c>
      <c r="C9866" s="3" t="str">
        <f>IFERROR(__xludf.DUMMYFUNCTION("""COMPUTED_VALUE"""),"ROSENEATH ")</f>
        <v>ROSENEATH </v>
      </c>
      <c r="D9866" s="3" t="str">
        <f>IFERROR(__xludf.DUMMYFUNCTION("""COMPUTED_VALUE"""),"K0K 2X0")</f>
        <v>K0K 2X0</v>
      </c>
      <c r="E9866" s="3"/>
      <c r="F9866" s="3"/>
      <c r="G9866" s="3"/>
      <c r="H9866" s="3"/>
    </row>
    <row r="9867">
      <c r="A9867" s="2">
        <f>IFERROR(__xludf.DUMMYFUNCTION("""COMPUTED_VALUE"""),50687.0)</f>
        <v>50687</v>
      </c>
      <c r="B9867" s="3" t="str">
        <f>IFERROR(__xludf.DUMMYFUNCTION("""COMPUTED_VALUE"""),"8244 COUNTY RD 45")</f>
        <v>8244 COUNTY RD 45</v>
      </c>
      <c r="C9867" s="3" t="str">
        <f>IFERROR(__xludf.DUMMYFUNCTION("""COMPUTED_VALUE"""),"ROSENEATH ")</f>
        <v>ROSENEATH </v>
      </c>
      <c r="D9867" s="3" t="str">
        <f>IFERROR(__xludf.DUMMYFUNCTION("""COMPUTED_VALUE"""),"K0K 2X0")</f>
        <v>K0K 2X0</v>
      </c>
      <c r="E9867" s="3" t="str">
        <f>IFERROR(__xludf.DUMMYFUNCTION("""COMPUTED_VALUE"""),"Peter ROBERTSON")</f>
        <v>Peter ROBERTSON</v>
      </c>
      <c r="F9867" s="3" t="str">
        <f>IFERROR(__xludf.DUMMYFUNCTION("""COMPUTED_VALUE"""),"peterobertson@hotmail.ca")</f>
        <v>peterobertson@hotmail.ca</v>
      </c>
      <c r="G9867" s="3"/>
      <c r="H9867" s="3"/>
    </row>
    <row r="9868">
      <c r="A9868" s="2">
        <f>IFERROR(__xludf.DUMMYFUNCTION("""COMPUTED_VALUE"""),50688.0)</f>
        <v>50688</v>
      </c>
      <c r="B9868" s="3" t="str">
        <f>IFERROR(__xludf.DUMMYFUNCTION("""COMPUTED_VALUE"""),"8353 COUNTY RD 45")</f>
        <v>8353 COUNTY RD 45</v>
      </c>
      <c r="C9868" s="3" t="str">
        <f>IFERROR(__xludf.DUMMYFUNCTION("""COMPUTED_VALUE"""),"ROSENEATH ")</f>
        <v>ROSENEATH </v>
      </c>
      <c r="D9868" s="3" t="str">
        <f>IFERROR(__xludf.DUMMYFUNCTION("""COMPUTED_VALUE"""),"K0K 2X0")</f>
        <v>K0K 2X0</v>
      </c>
      <c r="E9868" s="3"/>
      <c r="F9868" s="3"/>
      <c r="G9868" s="3"/>
      <c r="H9868" s="3"/>
    </row>
    <row r="9869">
      <c r="A9869" s="2">
        <f>IFERROR(__xludf.DUMMYFUNCTION("""COMPUTED_VALUE"""),50689.0)</f>
        <v>50689</v>
      </c>
      <c r="B9869" s="3" t="str">
        <f>IFERROR(__xludf.DUMMYFUNCTION("""COMPUTED_VALUE"""),"8426 COUNTY RD 45")</f>
        <v>8426 COUNTY RD 45</v>
      </c>
      <c r="C9869" s="3" t="str">
        <f>IFERROR(__xludf.DUMMYFUNCTION("""COMPUTED_VALUE"""),"ROSENEATH ")</f>
        <v>ROSENEATH </v>
      </c>
      <c r="D9869" s="3" t="str">
        <f>IFERROR(__xludf.DUMMYFUNCTION("""COMPUTED_VALUE"""),"K0K 2X0")</f>
        <v>K0K 2X0</v>
      </c>
      <c r="E9869" s="3" t="str">
        <f>IFERROR(__xludf.DUMMYFUNCTION("""COMPUTED_VALUE"""),"Josh Chatterton")</f>
        <v>Josh Chatterton</v>
      </c>
      <c r="F9869" s="3" t="str">
        <f>IFERROR(__xludf.DUMMYFUNCTION("""COMPUTED_VALUE"""),"jtchatterton3@gmail.com")</f>
        <v>jtchatterton3@gmail.com</v>
      </c>
      <c r="G9869" s="3">
        <f>IFERROR(__xludf.DUMMYFUNCTION("""COMPUTED_VALUE"""),2.892513464E9)</f>
        <v>2892513464</v>
      </c>
      <c r="H9869" s="3"/>
    </row>
    <row r="9870">
      <c r="A9870" s="2">
        <f>IFERROR(__xludf.DUMMYFUNCTION("""COMPUTED_VALUE"""),50690.0)</f>
        <v>50690</v>
      </c>
      <c r="B9870" s="3" t="str">
        <f>IFERROR(__xludf.DUMMYFUNCTION("""COMPUTED_VALUE"""),"8435 COUNTY RD 45")</f>
        <v>8435 COUNTY RD 45</v>
      </c>
      <c r="C9870" s="3" t="str">
        <f>IFERROR(__xludf.DUMMYFUNCTION("""COMPUTED_VALUE"""),"ROSENEATH ")</f>
        <v>ROSENEATH </v>
      </c>
      <c r="D9870" s="3" t="str">
        <f>IFERROR(__xludf.DUMMYFUNCTION("""COMPUTED_VALUE"""),"K0K 2X0")</f>
        <v>K0K 2X0</v>
      </c>
      <c r="E9870" s="3"/>
      <c r="F9870" s="3"/>
      <c r="G9870" s="3"/>
      <c r="H9870" s="3"/>
    </row>
    <row r="9871">
      <c r="A9871" s="2">
        <f>IFERROR(__xludf.DUMMYFUNCTION("""COMPUTED_VALUE"""),50691.0)</f>
        <v>50691</v>
      </c>
      <c r="B9871" s="3" t="str">
        <f>IFERROR(__xludf.DUMMYFUNCTION("""COMPUTED_VALUE"""),"8454 COUNTY RD 45")</f>
        <v>8454 COUNTY RD 45</v>
      </c>
      <c r="C9871" s="3" t="str">
        <f>IFERROR(__xludf.DUMMYFUNCTION("""COMPUTED_VALUE"""),"ROSENEATH ")</f>
        <v>ROSENEATH </v>
      </c>
      <c r="D9871" s="3" t="str">
        <f>IFERROR(__xludf.DUMMYFUNCTION("""COMPUTED_VALUE"""),"K0K 2X0")</f>
        <v>K0K 2X0</v>
      </c>
      <c r="E9871" s="3"/>
      <c r="F9871" s="3"/>
      <c r="G9871" s="3"/>
      <c r="H9871" s="3"/>
    </row>
    <row r="9872">
      <c r="A9872" s="2">
        <f>IFERROR(__xludf.DUMMYFUNCTION("""COMPUTED_VALUE"""),50692.0)</f>
        <v>50692</v>
      </c>
      <c r="B9872" s="3" t="str">
        <f>IFERROR(__xludf.DUMMYFUNCTION("""COMPUTED_VALUE"""),"8461 COUNTY RD 45")</f>
        <v>8461 COUNTY RD 45</v>
      </c>
      <c r="C9872" s="3" t="str">
        <f>IFERROR(__xludf.DUMMYFUNCTION("""COMPUTED_VALUE"""),"ROSENEATH ")</f>
        <v>ROSENEATH </v>
      </c>
      <c r="D9872" s="3" t="str">
        <f>IFERROR(__xludf.DUMMYFUNCTION("""COMPUTED_VALUE"""),"K0K 2X0")</f>
        <v>K0K 2X0</v>
      </c>
      <c r="E9872" s="3"/>
      <c r="F9872" s="3"/>
      <c r="G9872" s="3"/>
      <c r="H9872" s="3"/>
    </row>
    <row r="9873">
      <c r="A9873" s="2">
        <f>IFERROR(__xludf.DUMMYFUNCTION("""COMPUTED_VALUE"""),50693.0)</f>
        <v>50693</v>
      </c>
      <c r="B9873" s="3" t="str">
        <f>IFERROR(__xludf.DUMMYFUNCTION("""COMPUTED_VALUE"""),"8465 COUNTY RD 45")</f>
        <v>8465 COUNTY RD 45</v>
      </c>
      <c r="C9873" s="3" t="str">
        <f>IFERROR(__xludf.DUMMYFUNCTION("""COMPUTED_VALUE"""),"ROSENEATH ")</f>
        <v>ROSENEATH </v>
      </c>
      <c r="D9873" s="3" t="str">
        <f>IFERROR(__xludf.DUMMYFUNCTION("""COMPUTED_VALUE"""),"K0K 2X0")</f>
        <v>K0K 2X0</v>
      </c>
      <c r="E9873" s="3"/>
      <c r="F9873" s="3"/>
      <c r="G9873" s="3"/>
      <c r="H9873" s="3"/>
    </row>
    <row r="9874">
      <c r="A9874" s="2">
        <f>IFERROR(__xludf.DUMMYFUNCTION("""COMPUTED_VALUE"""),50694.0)</f>
        <v>50694</v>
      </c>
      <c r="B9874" s="3" t="str">
        <f>IFERROR(__xludf.DUMMYFUNCTION("""COMPUTED_VALUE"""),"8467 COUNTY RD 45")</f>
        <v>8467 COUNTY RD 45</v>
      </c>
      <c r="C9874" s="3" t="str">
        <f>IFERROR(__xludf.DUMMYFUNCTION("""COMPUTED_VALUE"""),"ROSENEATH ")</f>
        <v>ROSENEATH </v>
      </c>
      <c r="D9874" s="3" t="str">
        <f>IFERROR(__xludf.DUMMYFUNCTION("""COMPUTED_VALUE"""),"K0K 2X0")</f>
        <v>K0K 2X0</v>
      </c>
      <c r="E9874" s="3"/>
      <c r="F9874" s="3"/>
      <c r="G9874" s="3"/>
      <c r="H9874" s="3"/>
    </row>
    <row r="9875">
      <c r="A9875" s="2">
        <f>IFERROR(__xludf.DUMMYFUNCTION("""COMPUTED_VALUE"""),50695.0)</f>
        <v>50695</v>
      </c>
      <c r="B9875" s="3" t="str">
        <f>IFERROR(__xludf.DUMMYFUNCTION("""COMPUTED_VALUE"""),"8512 COUNTY RD 45")</f>
        <v>8512 COUNTY RD 45</v>
      </c>
      <c r="C9875" s="3" t="str">
        <f>IFERROR(__xludf.DUMMYFUNCTION("""COMPUTED_VALUE"""),"ROSENEATH ")</f>
        <v>ROSENEATH </v>
      </c>
      <c r="D9875" s="3" t="str">
        <f>IFERROR(__xludf.DUMMYFUNCTION("""COMPUTED_VALUE"""),"K0K 2X0")</f>
        <v>K0K 2X0</v>
      </c>
      <c r="E9875" s="3"/>
      <c r="F9875" s="3"/>
      <c r="G9875" s="3"/>
      <c r="H9875" s="3"/>
    </row>
    <row r="9876">
      <c r="A9876" s="2">
        <f>IFERROR(__xludf.DUMMYFUNCTION("""COMPUTED_VALUE"""),50696.0)</f>
        <v>50696</v>
      </c>
      <c r="B9876" s="3" t="str">
        <f>IFERROR(__xludf.DUMMYFUNCTION("""COMPUTED_VALUE"""),"8548 COUNTY RD 45")</f>
        <v>8548 COUNTY RD 45</v>
      </c>
      <c r="C9876" s="3" t="str">
        <f>IFERROR(__xludf.DUMMYFUNCTION("""COMPUTED_VALUE"""),"ROSENEATH ")</f>
        <v>ROSENEATH </v>
      </c>
      <c r="D9876" s="3" t="str">
        <f>IFERROR(__xludf.DUMMYFUNCTION("""COMPUTED_VALUE"""),"K0K 2X0")</f>
        <v>K0K 2X0</v>
      </c>
      <c r="E9876" s="3" t="str">
        <f>IFERROR(__xludf.DUMMYFUNCTION("""COMPUTED_VALUE"""),"Liam Liggins")</f>
        <v>Liam Liggins</v>
      </c>
      <c r="F9876" s="3" t="str">
        <f>IFERROR(__xludf.DUMMYFUNCTION("""COMPUTED_VALUE"""),"ppcelestialuna@gmail.com")</f>
        <v>ppcelestialuna@gmail.com</v>
      </c>
      <c r="G9876" s="3">
        <f>IFERROR(__xludf.DUMMYFUNCTION("""COMPUTED_VALUE"""),9.057449551E9)</f>
        <v>9057449551</v>
      </c>
      <c r="H9876" s="3"/>
    </row>
    <row r="9877">
      <c r="A9877" s="2">
        <f>IFERROR(__xludf.DUMMYFUNCTION("""COMPUTED_VALUE"""),50697.0)</f>
        <v>50697</v>
      </c>
      <c r="B9877" s="3" t="str">
        <f>IFERROR(__xludf.DUMMYFUNCTION("""COMPUTED_VALUE"""),"8557 COUNTY RD 45")</f>
        <v>8557 COUNTY RD 45</v>
      </c>
      <c r="C9877" s="3" t="str">
        <f>IFERROR(__xludf.DUMMYFUNCTION("""COMPUTED_VALUE"""),"ROSENEATH ")</f>
        <v>ROSENEATH </v>
      </c>
      <c r="D9877" s="3" t="str">
        <f>IFERROR(__xludf.DUMMYFUNCTION("""COMPUTED_VALUE"""),"K0K 2X0")</f>
        <v>K0K 2X0</v>
      </c>
      <c r="E9877" s="3"/>
      <c r="F9877" s="3"/>
      <c r="G9877" s="3"/>
      <c r="H9877" s="3"/>
    </row>
    <row r="9878">
      <c r="A9878" s="2">
        <f>IFERROR(__xludf.DUMMYFUNCTION("""COMPUTED_VALUE"""),50698.0)</f>
        <v>50698</v>
      </c>
      <c r="B9878" s="3" t="str">
        <f>IFERROR(__xludf.DUMMYFUNCTION("""COMPUTED_VALUE"""),"8560 COUNTY RD 45")</f>
        <v>8560 COUNTY RD 45</v>
      </c>
      <c r="C9878" s="3" t="str">
        <f>IFERROR(__xludf.DUMMYFUNCTION("""COMPUTED_VALUE"""),"ROSENEATH ")</f>
        <v>ROSENEATH </v>
      </c>
      <c r="D9878" s="3" t="str">
        <f>IFERROR(__xludf.DUMMYFUNCTION("""COMPUTED_VALUE"""),"K0K 2X0")</f>
        <v>K0K 2X0</v>
      </c>
      <c r="E9878" s="3"/>
      <c r="F9878" s="3"/>
      <c r="G9878" s="3"/>
      <c r="H9878" s="3"/>
    </row>
    <row r="9879">
      <c r="A9879" s="2">
        <f>IFERROR(__xludf.DUMMYFUNCTION("""COMPUTED_VALUE"""),50699.0)</f>
        <v>50699</v>
      </c>
      <c r="B9879" s="3" t="str">
        <f>IFERROR(__xludf.DUMMYFUNCTION("""COMPUTED_VALUE"""),"8567 COUNTY RD 45")</f>
        <v>8567 COUNTY RD 45</v>
      </c>
      <c r="C9879" s="3" t="str">
        <f>IFERROR(__xludf.DUMMYFUNCTION("""COMPUTED_VALUE"""),"ROSENEATH ")</f>
        <v>ROSENEATH </v>
      </c>
      <c r="D9879" s="3" t="str">
        <f>IFERROR(__xludf.DUMMYFUNCTION("""COMPUTED_VALUE"""),"K0K 2X0")</f>
        <v>K0K 2X0</v>
      </c>
      <c r="E9879" s="3"/>
      <c r="F9879" s="3"/>
      <c r="G9879" s="3"/>
      <c r="H9879" s="3"/>
    </row>
    <row r="9880">
      <c r="A9880" s="2">
        <f>IFERROR(__xludf.DUMMYFUNCTION("""COMPUTED_VALUE"""),50700.0)</f>
        <v>50700</v>
      </c>
      <c r="B9880" s="3" t="str">
        <f>IFERROR(__xludf.DUMMYFUNCTION("""COMPUTED_VALUE"""),"8576 COUNTY RD 45")</f>
        <v>8576 COUNTY RD 45</v>
      </c>
      <c r="C9880" s="3" t="str">
        <f>IFERROR(__xludf.DUMMYFUNCTION("""COMPUTED_VALUE"""),"ROSENEATH ")</f>
        <v>ROSENEATH </v>
      </c>
      <c r="D9880" s="3" t="str">
        <f>IFERROR(__xludf.DUMMYFUNCTION("""COMPUTED_VALUE"""),"K0K 2X0")</f>
        <v>K0K 2X0</v>
      </c>
      <c r="E9880" s="3"/>
      <c r="F9880" s="3"/>
      <c r="G9880" s="3"/>
      <c r="H9880" s="3"/>
    </row>
    <row r="9881">
      <c r="A9881" s="2">
        <f>IFERROR(__xludf.DUMMYFUNCTION("""COMPUTED_VALUE"""),50701.0)</f>
        <v>50701</v>
      </c>
      <c r="B9881" s="3" t="str">
        <f>IFERROR(__xludf.DUMMYFUNCTION("""COMPUTED_VALUE"""),"8611 COUNTY RD 45")</f>
        <v>8611 COUNTY RD 45</v>
      </c>
      <c r="C9881" s="3" t="str">
        <f>IFERROR(__xludf.DUMMYFUNCTION("""COMPUTED_VALUE"""),"ROSENEATH ")</f>
        <v>ROSENEATH </v>
      </c>
      <c r="D9881" s="3" t="str">
        <f>IFERROR(__xludf.DUMMYFUNCTION("""COMPUTED_VALUE"""),"K0K 2X0")</f>
        <v>K0K 2X0</v>
      </c>
      <c r="E9881" s="3"/>
      <c r="F9881" s="3"/>
      <c r="G9881" s="3"/>
      <c r="H9881" s="3"/>
    </row>
    <row r="9882">
      <c r="A9882" s="2">
        <f>IFERROR(__xludf.DUMMYFUNCTION("""COMPUTED_VALUE"""),50702.0)</f>
        <v>50702</v>
      </c>
      <c r="B9882" s="3" t="str">
        <f>IFERROR(__xludf.DUMMYFUNCTION("""COMPUTED_VALUE"""),"8619 COUNTY RD 45")</f>
        <v>8619 COUNTY RD 45</v>
      </c>
      <c r="C9882" s="3" t="str">
        <f>IFERROR(__xludf.DUMMYFUNCTION("""COMPUTED_VALUE"""),"ROSENEATH ")</f>
        <v>ROSENEATH </v>
      </c>
      <c r="D9882" s="3" t="str">
        <f>IFERROR(__xludf.DUMMYFUNCTION("""COMPUTED_VALUE"""),"K0K 2X0")</f>
        <v>K0K 2X0</v>
      </c>
      <c r="E9882" s="3"/>
      <c r="F9882" s="3"/>
      <c r="G9882" s="3"/>
      <c r="H9882" s="3"/>
    </row>
    <row r="9883">
      <c r="A9883" s="2">
        <f>IFERROR(__xludf.DUMMYFUNCTION("""COMPUTED_VALUE"""),50703.0)</f>
        <v>50703</v>
      </c>
      <c r="B9883" s="3" t="str">
        <f>IFERROR(__xludf.DUMMYFUNCTION("""COMPUTED_VALUE"""),"8632 COUNTY RD 45")</f>
        <v>8632 COUNTY RD 45</v>
      </c>
      <c r="C9883" s="3" t="str">
        <f>IFERROR(__xludf.DUMMYFUNCTION("""COMPUTED_VALUE"""),"ROSENEATH ")</f>
        <v>ROSENEATH </v>
      </c>
      <c r="D9883" s="3" t="str">
        <f>IFERROR(__xludf.DUMMYFUNCTION("""COMPUTED_VALUE"""),"K0K 2X0")</f>
        <v>K0K 2X0</v>
      </c>
      <c r="E9883" s="3"/>
      <c r="F9883" s="3"/>
      <c r="G9883" s="3"/>
      <c r="H9883" s="3"/>
    </row>
    <row r="9884">
      <c r="A9884" s="2">
        <f>IFERROR(__xludf.DUMMYFUNCTION("""COMPUTED_VALUE"""),50704.0)</f>
        <v>50704</v>
      </c>
      <c r="B9884" s="3" t="str">
        <f>IFERROR(__xludf.DUMMYFUNCTION("""COMPUTED_VALUE"""),"8648 COUNTY RD 45")</f>
        <v>8648 COUNTY RD 45</v>
      </c>
      <c r="C9884" s="3" t="str">
        <f>IFERROR(__xludf.DUMMYFUNCTION("""COMPUTED_VALUE"""),"ROSENEATH ")</f>
        <v>ROSENEATH </v>
      </c>
      <c r="D9884" s="3" t="str">
        <f>IFERROR(__xludf.DUMMYFUNCTION("""COMPUTED_VALUE"""),"K0K 2X0")</f>
        <v>K0K 2X0</v>
      </c>
      <c r="E9884" s="3"/>
      <c r="F9884" s="3"/>
      <c r="G9884" s="3"/>
      <c r="H9884" s="3"/>
    </row>
    <row r="9885">
      <c r="A9885" s="2">
        <f>IFERROR(__xludf.DUMMYFUNCTION("""COMPUTED_VALUE"""),50705.0)</f>
        <v>50705</v>
      </c>
      <c r="B9885" s="3" t="str">
        <f>IFERROR(__xludf.DUMMYFUNCTION("""COMPUTED_VALUE"""),"8649 COUNTY RD 45")</f>
        <v>8649 COUNTY RD 45</v>
      </c>
      <c r="C9885" s="3" t="str">
        <f>IFERROR(__xludf.DUMMYFUNCTION("""COMPUTED_VALUE"""),"ROSENEATH ")</f>
        <v>ROSENEATH </v>
      </c>
      <c r="D9885" s="3" t="str">
        <f>IFERROR(__xludf.DUMMYFUNCTION("""COMPUTED_VALUE"""),"K0K 2X0")</f>
        <v>K0K 2X0</v>
      </c>
      <c r="E9885" s="3"/>
      <c r="F9885" s="3"/>
      <c r="G9885" s="3"/>
      <c r="H9885" s="3"/>
    </row>
    <row r="9886">
      <c r="A9886" s="2">
        <f>IFERROR(__xludf.DUMMYFUNCTION("""COMPUTED_VALUE"""),50706.0)</f>
        <v>50706</v>
      </c>
      <c r="B9886" s="3" t="str">
        <f>IFERROR(__xludf.DUMMYFUNCTION("""COMPUTED_VALUE"""),"8662 COUNTY RD 45")</f>
        <v>8662 COUNTY RD 45</v>
      </c>
      <c r="C9886" s="3" t="str">
        <f>IFERROR(__xludf.DUMMYFUNCTION("""COMPUTED_VALUE"""),"ROSENEATH ")</f>
        <v>ROSENEATH </v>
      </c>
      <c r="D9886" s="3" t="str">
        <f>IFERROR(__xludf.DUMMYFUNCTION("""COMPUTED_VALUE"""),"K0K 2X0")</f>
        <v>K0K 2X0</v>
      </c>
      <c r="E9886" s="3"/>
      <c r="F9886" s="3"/>
      <c r="G9886" s="3"/>
      <c r="H9886" s="3"/>
    </row>
    <row r="9887">
      <c r="A9887" s="2">
        <f>IFERROR(__xludf.DUMMYFUNCTION("""COMPUTED_VALUE"""),50707.0)</f>
        <v>50707</v>
      </c>
      <c r="B9887" s="3" t="str">
        <f>IFERROR(__xludf.DUMMYFUNCTION("""COMPUTED_VALUE"""),"8669 COUNTY RD 45")</f>
        <v>8669 COUNTY RD 45</v>
      </c>
      <c r="C9887" s="3" t="str">
        <f>IFERROR(__xludf.DUMMYFUNCTION("""COMPUTED_VALUE"""),"ROSENEATH ")</f>
        <v>ROSENEATH </v>
      </c>
      <c r="D9887" s="3" t="str">
        <f>IFERROR(__xludf.DUMMYFUNCTION("""COMPUTED_VALUE"""),"K0K 2X0")</f>
        <v>K0K 2X0</v>
      </c>
      <c r="E9887" s="3" t="str">
        <f>IFERROR(__xludf.DUMMYFUNCTION("""COMPUTED_VALUE"""),"Everett Whetung")</f>
        <v>Everett Whetung</v>
      </c>
      <c r="F9887" s="3" t="str">
        <f>IFERROR(__xludf.DUMMYFUNCTION("""COMPUTED_VALUE"""),"edwhetung@shaw.ca")</f>
        <v>edwhetung@shaw.ca</v>
      </c>
      <c r="G9887" s="3">
        <f>IFERROR(__xludf.DUMMYFUNCTION("""COMPUTED_VALUE"""),2.505165668E9)</f>
        <v>2505165668</v>
      </c>
      <c r="H9887" s="3"/>
    </row>
    <row r="9888">
      <c r="A9888" s="2">
        <f>IFERROR(__xludf.DUMMYFUNCTION("""COMPUTED_VALUE"""),50708.0)</f>
        <v>50708</v>
      </c>
      <c r="B9888" s="3" t="str">
        <f>IFERROR(__xludf.DUMMYFUNCTION("""COMPUTED_VALUE"""),"8684 COUNTY RD 45")</f>
        <v>8684 COUNTY RD 45</v>
      </c>
      <c r="C9888" s="3" t="str">
        <f>IFERROR(__xludf.DUMMYFUNCTION("""COMPUTED_VALUE"""),"ROSENEATH ")</f>
        <v>ROSENEATH </v>
      </c>
      <c r="D9888" s="3" t="str">
        <f>IFERROR(__xludf.DUMMYFUNCTION("""COMPUTED_VALUE"""),"K0K 2X0")</f>
        <v>K0K 2X0</v>
      </c>
      <c r="E9888" s="3"/>
      <c r="F9888" s="3"/>
      <c r="G9888" s="3"/>
      <c r="H9888" s="3"/>
    </row>
    <row r="9889">
      <c r="A9889" s="2">
        <f>IFERROR(__xludf.DUMMYFUNCTION("""COMPUTED_VALUE"""),50709.0)</f>
        <v>50709</v>
      </c>
      <c r="B9889" s="3" t="str">
        <f>IFERROR(__xludf.DUMMYFUNCTION("""COMPUTED_VALUE"""),"8685 COUNTY RD 45")</f>
        <v>8685 COUNTY RD 45</v>
      </c>
      <c r="C9889" s="3" t="str">
        <f>IFERROR(__xludf.DUMMYFUNCTION("""COMPUTED_VALUE"""),"ROSENEATH ")</f>
        <v>ROSENEATH </v>
      </c>
      <c r="D9889" s="3" t="str">
        <f>IFERROR(__xludf.DUMMYFUNCTION("""COMPUTED_VALUE"""),"K0K 2X0")</f>
        <v>K0K 2X0</v>
      </c>
      <c r="E9889" s="3"/>
      <c r="F9889" s="3"/>
      <c r="G9889" s="3"/>
      <c r="H9889" s="3"/>
    </row>
    <row r="9890">
      <c r="A9890" s="2">
        <f>IFERROR(__xludf.DUMMYFUNCTION("""COMPUTED_VALUE"""),50710.0)</f>
        <v>50710</v>
      </c>
      <c r="B9890" s="3" t="str">
        <f>IFERROR(__xludf.DUMMYFUNCTION("""COMPUTED_VALUE"""),"8698 COUNTY RD 45")</f>
        <v>8698 COUNTY RD 45</v>
      </c>
      <c r="C9890" s="3" t="str">
        <f>IFERROR(__xludf.DUMMYFUNCTION("""COMPUTED_VALUE"""),"ROSENEATH ")</f>
        <v>ROSENEATH </v>
      </c>
      <c r="D9890" s="3" t="str">
        <f>IFERROR(__xludf.DUMMYFUNCTION("""COMPUTED_VALUE"""),"K0K 2X0")</f>
        <v>K0K 2X0</v>
      </c>
      <c r="E9890" s="3"/>
      <c r="F9890" s="3"/>
      <c r="G9890" s="3"/>
      <c r="H9890" s="3"/>
    </row>
    <row r="9891">
      <c r="A9891" s="2">
        <f>IFERROR(__xludf.DUMMYFUNCTION("""COMPUTED_VALUE"""),50711.0)</f>
        <v>50711</v>
      </c>
      <c r="B9891" s="3" t="str">
        <f>IFERROR(__xludf.DUMMYFUNCTION("""COMPUTED_VALUE"""),"8706 COUNTY RD 45")</f>
        <v>8706 COUNTY RD 45</v>
      </c>
      <c r="C9891" s="3" t="str">
        <f>IFERROR(__xludf.DUMMYFUNCTION("""COMPUTED_VALUE"""),"ROSENEATH ")</f>
        <v>ROSENEATH </v>
      </c>
      <c r="D9891" s="3" t="str">
        <f>IFERROR(__xludf.DUMMYFUNCTION("""COMPUTED_VALUE"""),"K0K 2X0")</f>
        <v>K0K 2X0</v>
      </c>
      <c r="E9891" s="3"/>
      <c r="F9891" s="3"/>
      <c r="G9891" s="3"/>
      <c r="H9891" s="3"/>
    </row>
    <row r="9892">
      <c r="A9892" s="2">
        <f>IFERROR(__xludf.DUMMYFUNCTION("""COMPUTED_VALUE"""),50712.0)</f>
        <v>50712</v>
      </c>
      <c r="B9892" s="3" t="str">
        <f>IFERROR(__xludf.DUMMYFUNCTION("""COMPUTED_VALUE"""),"8707 COUNTY RD 45")</f>
        <v>8707 COUNTY RD 45</v>
      </c>
      <c r="C9892" s="3" t="str">
        <f>IFERROR(__xludf.DUMMYFUNCTION("""COMPUTED_VALUE"""),"ROSENEATH ")</f>
        <v>ROSENEATH </v>
      </c>
      <c r="D9892" s="3" t="str">
        <f>IFERROR(__xludf.DUMMYFUNCTION("""COMPUTED_VALUE"""),"K0K 2X0")</f>
        <v>K0K 2X0</v>
      </c>
      <c r="E9892" s="3"/>
      <c r="F9892" s="3"/>
      <c r="G9892" s="3"/>
      <c r="H9892" s="3"/>
    </row>
    <row r="9893">
      <c r="A9893" s="2">
        <f>IFERROR(__xludf.DUMMYFUNCTION("""COMPUTED_VALUE"""),50713.0)</f>
        <v>50713</v>
      </c>
      <c r="B9893" s="3" t="str">
        <f>IFERROR(__xludf.DUMMYFUNCTION("""COMPUTED_VALUE"""),"8716 COUNTY RD 45")</f>
        <v>8716 COUNTY RD 45</v>
      </c>
      <c r="C9893" s="3" t="str">
        <f>IFERROR(__xludf.DUMMYFUNCTION("""COMPUTED_VALUE"""),"ROSENEATH ")</f>
        <v>ROSENEATH </v>
      </c>
      <c r="D9893" s="3" t="str">
        <f>IFERROR(__xludf.DUMMYFUNCTION("""COMPUTED_VALUE"""),"K0K 2X0")</f>
        <v>K0K 2X0</v>
      </c>
      <c r="E9893" s="3" t="str">
        <f>IFERROR(__xludf.DUMMYFUNCTION("""COMPUTED_VALUE"""),"James Bigwin")</f>
        <v>James Bigwin</v>
      </c>
      <c r="F9893" s="3" t="str">
        <f>IFERROR(__xludf.DUMMYFUNCTION("""COMPUTED_VALUE"""),"jbigwin7@gmail.com")</f>
        <v>jbigwin7@gmail.com</v>
      </c>
      <c r="G9893" s="3"/>
      <c r="H9893" s="3"/>
    </row>
    <row r="9894">
      <c r="A9894" s="2">
        <f>IFERROR(__xludf.DUMMYFUNCTION("""COMPUTED_VALUE"""),50714.0)</f>
        <v>50714</v>
      </c>
      <c r="B9894" s="3" t="str">
        <f>IFERROR(__xludf.DUMMYFUNCTION("""COMPUTED_VALUE"""),"8724 COUNTY RD 45")</f>
        <v>8724 COUNTY RD 45</v>
      </c>
      <c r="C9894" s="3" t="str">
        <f>IFERROR(__xludf.DUMMYFUNCTION("""COMPUTED_VALUE"""),"ROSENEATH ")</f>
        <v>ROSENEATH </v>
      </c>
      <c r="D9894" s="3" t="str">
        <f>IFERROR(__xludf.DUMMYFUNCTION("""COMPUTED_VALUE"""),"K0K 2X0")</f>
        <v>K0K 2X0</v>
      </c>
      <c r="E9894" s="3" t="str">
        <f>IFERROR(__xludf.DUMMYFUNCTION("""COMPUTED_VALUE"""),"Vicki &amp; Paul Essert")</f>
        <v>Vicki &amp; Paul Essert</v>
      </c>
      <c r="F9894" s="3" t="str">
        <f>IFERROR(__xludf.DUMMYFUNCTION("""COMPUTED_VALUE"""),"mulek5455@gmail.com")</f>
        <v>mulek5455@gmail.com</v>
      </c>
      <c r="G9894" s="3">
        <f>IFERROR(__xludf.DUMMYFUNCTION("""COMPUTED_VALUE"""),9.053739706E9)</f>
        <v>9053739706</v>
      </c>
      <c r="H9894" s="3">
        <f>IFERROR(__xludf.DUMMYFUNCTION("""COMPUTED_VALUE"""),9.05352394E9)</f>
        <v>9053523940</v>
      </c>
    </row>
    <row r="9895">
      <c r="A9895" s="2">
        <f>IFERROR(__xludf.DUMMYFUNCTION("""COMPUTED_VALUE"""),50715.0)</f>
        <v>50715</v>
      </c>
      <c r="B9895" s="3" t="str">
        <f>IFERROR(__xludf.DUMMYFUNCTION("""COMPUTED_VALUE"""),"8732 COUNTY RD 45")</f>
        <v>8732 COUNTY RD 45</v>
      </c>
      <c r="C9895" s="3" t="str">
        <f>IFERROR(__xludf.DUMMYFUNCTION("""COMPUTED_VALUE"""),"ROSENEATH ")</f>
        <v>ROSENEATH </v>
      </c>
      <c r="D9895" s="3" t="str">
        <f>IFERROR(__xludf.DUMMYFUNCTION("""COMPUTED_VALUE"""),"K0K 2X0")</f>
        <v>K0K 2X0</v>
      </c>
      <c r="E9895" s="3"/>
      <c r="F9895" s="3"/>
      <c r="G9895" s="3"/>
      <c r="H9895" s="3"/>
    </row>
    <row r="9896">
      <c r="A9896" s="2">
        <f>IFERROR(__xludf.DUMMYFUNCTION("""COMPUTED_VALUE"""),50716.0)</f>
        <v>50716</v>
      </c>
      <c r="B9896" s="3" t="str">
        <f>IFERROR(__xludf.DUMMYFUNCTION("""COMPUTED_VALUE"""),"8745 COUNTY RD 45")</f>
        <v>8745 COUNTY RD 45</v>
      </c>
      <c r="C9896" s="3" t="str">
        <f>IFERROR(__xludf.DUMMYFUNCTION("""COMPUTED_VALUE"""),"ROSENEATH ")</f>
        <v>ROSENEATH </v>
      </c>
      <c r="D9896" s="3" t="str">
        <f>IFERROR(__xludf.DUMMYFUNCTION("""COMPUTED_VALUE"""),"K0K 2X0")</f>
        <v>K0K 2X0</v>
      </c>
      <c r="E9896" s="3" t="str">
        <f>IFERROR(__xludf.DUMMYFUNCTION("""COMPUTED_VALUE"""),"Matt Chaisson")</f>
        <v>Matt Chaisson</v>
      </c>
      <c r="F9896" s="3" t="str">
        <f>IFERROR(__xludf.DUMMYFUNCTION("""COMPUTED_VALUE"""),"mchaisson@binnoojiiyag.ca")</f>
        <v>mchaisson@binnoojiiyag.ca</v>
      </c>
      <c r="G9896" s="3"/>
      <c r="H9896" s="3"/>
    </row>
    <row r="9897">
      <c r="A9897" s="2">
        <f>IFERROR(__xludf.DUMMYFUNCTION("""COMPUTED_VALUE"""),50717.0)</f>
        <v>50717</v>
      </c>
      <c r="B9897" s="3" t="str">
        <f>IFERROR(__xludf.DUMMYFUNCTION("""COMPUTED_VALUE"""),"8746 COUNTY RD 45")</f>
        <v>8746 COUNTY RD 45</v>
      </c>
      <c r="C9897" s="3" t="str">
        <f>IFERROR(__xludf.DUMMYFUNCTION("""COMPUTED_VALUE"""),"ROSENEATH ")</f>
        <v>ROSENEATH </v>
      </c>
      <c r="D9897" s="3" t="str">
        <f>IFERROR(__xludf.DUMMYFUNCTION("""COMPUTED_VALUE"""),"K0K 2X0")</f>
        <v>K0K 2X0</v>
      </c>
      <c r="E9897" s="3"/>
      <c r="F9897" s="3"/>
      <c r="G9897" s="3"/>
      <c r="H9897" s="3"/>
    </row>
    <row r="9898">
      <c r="A9898" s="2">
        <f>IFERROR(__xludf.DUMMYFUNCTION("""COMPUTED_VALUE"""),50718.0)</f>
        <v>50718</v>
      </c>
      <c r="B9898" s="3" t="str">
        <f>IFERROR(__xludf.DUMMYFUNCTION("""COMPUTED_VALUE"""),"8754 COUNTY RD 45")</f>
        <v>8754 COUNTY RD 45</v>
      </c>
      <c r="C9898" s="3" t="str">
        <f>IFERROR(__xludf.DUMMYFUNCTION("""COMPUTED_VALUE"""),"ROSENEATH ")</f>
        <v>ROSENEATH </v>
      </c>
      <c r="D9898" s="3" t="str">
        <f>IFERROR(__xludf.DUMMYFUNCTION("""COMPUTED_VALUE"""),"K0K 2X0")</f>
        <v>K0K 2X0</v>
      </c>
      <c r="E9898" s="3"/>
      <c r="F9898" s="3"/>
      <c r="G9898" s="3"/>
      <c r="H9898" s="3"/>
    </row>
    <row r="9899">
      <c r="A9899" s="2">
        <f>IFERROR(__xludf.DUMMYFUNCTION("""COMPUTED_VALUE"""),50719.0)</f>
        <v>50719</v>
      </c>
      <c r="B9899" s="3" t="str">
        <f>IFERROR(__xludf.DUMMYFUNCTION("""COMPUTED_VALUE"""),"8763 COUNTY RD 45")</f>
        <v>8763 COUNTY RD 45</v>
      </c>
      <c r="C9899" s="3" t="str">
        <f>IFERROR(__xludf.DUMMYFUNCTION("""COMPUTED_VALUE"""),"ROSENEATH ")</f>
        <v>ROSENEATH </v>
      </c>
      <c r="D9899" s="3" t="str">
        <f>IFERROR(__xludf.DUMMYFUNCTION("""COMPUTED_VALUE"""),"K0K 2X0")</f>
        <v>K0K 2X0</v>
      </c>
      <c r="E9899" s="3"/>
      <c r="F9899" s="3"/>
      <c r="G9899" s="3"/>
      <c r="H9899" s="3"/>
    </row>
    <row r="9900">
      <c r="A9900" s="2">
        <f>IFERROR(__xludf.DUMMYFUNCTION("""COMPUTED_VALUE"""),50720.0)</f>
        <v>50720</v>
      </c>
      <c r="B9900" s="3" t="str">
        <f>IFERROR(__xludf.DUMMYFUNCTION("""COMPUTED_VALUE"""),"8804 COUNTY RD 45")</f>
        <v>8804 COUNTY RD 45</v>
      </c>
      <c r="C9900" s="3" t="str">
        <f>IFERROR(__xludf.DUMMYFUNCTION("""COMPUTED_VALUE"""),"ROSENEATH ")</f>
        <v>ROSENEATH </v>
      </c>
      <c r="D9900" s="3" t="str">
        <f>IFERROR(__xludf.DUMMYFUNCTION("""COMPUTED_VALUE"""),"K0K 2X0")</f>
        <v>K0K 2X0</v>
      </c>
      <c r="E9900" s="3"/>
      <c r="F9900" s="3"/>
      <c r="G9900" s="3"/>
      <c r="H9900" s="3"/>
    </row>
    <row r="9901">
      <c r="A9901" s="2">
        <f>IFERROR(__xludf.DUMMYFUNCTION("""COMPUTED_VALUE"""),50721.0)</f>
        <v>50721</v>
      </c>
      <c r="B9901" s="3" t="str">
        <f>IFERROR(__xludf.DUMMYFUNCTION("""COMPUTED_VALUE"""),"8833 COUNTY RD 45")</f>
        <v>8833 COUNTY RD 45</v>
      </c>
      <c r="C9901" s="3" t="str">
        <f>IFERROR(__xludf.DUMMYFUNCTION("""COMPUTED_VALUE"""),"ROSENEATH ")</f>
        <v>ROSENEATH </v>
      </c>
      <c r="D9901" s="3" t="str">
        <f>IFERROR(__xludf.DUMMYFUNCTION("""COMPUTED_VALUE"""),"K0K 2X0")</f>
        <v>K0K 2X0</v>
      </c>
      <c r="E9901" s="3"/>
      <c r="F9901" s="3"/>
      <c r="G9901" s="3"/>
      <c r="H9901" s="3"/>
    </row>
    <row r="9902">
      <c r="A9902" s="2">
        <f>IFERROR(__xludf.DUMMYFUNCTION("""COMPUTED_VALUE"""),50722.0)</f>
        <v>50722</v>
      </c>
      <c r="B9902" s="3" t="str">
        <f>IFERROR(__xludf.DUMMYFUNCTION("""COMPUTED_VALUE"""),"8838 COUNTY RD 45")</f>
        <v>8838 COUNTY RD 45</v>
      </c>
      <c r="C9902" s="3" t="str">
        <f>IFERROR(__xludf.DUMMYFUNCTION("""COMPUTED_VALUE"""),"ROSENEATH ")</f>
        <v>ROSENEATH </v>
      </c>
      <c r="D9902" s="3" t="str">
        <f>IFERROR(__xludf.DUMMYFUNCTION("""COMPUTED_VALUE"""),"K0K 2X0")</f>
        <v>K0K 2X0</v>
      </c>
      <c r="E9902" s="3"/>
      <c r="F9902" s="3"/>
      <c r="G9902" s="3"/>
      <c r="H9902" s="3"/>
    </row>
    <row r="9903">
      <c r="A9903" s="2">
        <f>IFERROR(__xludf.DUMMYFUNCTION("""COMPUTED_VALUE"""),50723.0)</f>
        <v>50723</v>
      </c>
      <c r="B9903" s="3" t="str">
        <f>IFERROR(__xludf.DUMMYFUNCTION("""COMPUTED_VALUE"""),"8842 COUNTY RD 45")</f>
        <v>8842 COUNTY RD 45</v>
      </c>
      <c r="C9903" s="3" t="str">
        <f>IFERROR(__xludf.DUMMYFUNCTION("""COMPUTED_VALUE"""),"ROSENEATH ")</f>
        <v>ROSENEATH </v>
      </c>
      <c r="D9903" s="3" t="str">
        <f>IFERROR(__xludf.DUMMYFUNCTION("""COMPUTED_VALUE"""),"K0K 2X0")</f>
        <v>K0K 2X0</v>
      </c>
      <c r="E9903" s="3" t="str">
        <f>IFERROR(__xludf.DUMMYFUNCTION("""COMPUTED_VALUE"""),"Ellie Henry")</f>
        <v>Ellie Henry</v>
      </c>
      <c r="F9903" s="3" t="str">
        <f>IFERROR(__xludf.DUMMYFUNCTION("""COMPUTED_VALUE"""),"ehenryrpn@outlook.com")</f>
        <v>ehenryrpn@outlook.com</v>
      </c>
      <c r="G9903" s="3">
        <f>IFERROR(__xludf.DUMMYFUNCTION("""COMPUTED_VALUE"""),2.898291978E9)</f>
        <v>2898291978</v>
      </c>
      <c r="H9903" s="3"/>
    </row>
    <row r="9904">
      <c r="A9904" s="2">
        <f>IFERROR(__xludf.DUMMYFUNCTION("""COMPUTED_VALUE"""),50724.0)</f>
        <v>50724</v>
      </c>
      <c r="B9904" s="3" t="str">
        <f>IFERROR(__xludf.DUMMYFUNCTION("""COMPUTED_VALUE"""),"8856 COUNTY RD 45")</f>
        <v>8856 COUNTY RD 45</v>
      </c>
      <c r="C9904" s="3" t="str">
        <f>IFERROR(__xludf.DUMMYFUNCTION("""COMPUTED_VALUE"""),"ROSENEATH ")</f>
        <v>ROSENEATH </v>
      </c>
      <c r="D9904" s="3" t="str">
        <f>IFERROR(__xludf.DUMMYFUNCTION("""COMPUTED_VALUE"""),"K0K 2X0")</f>
        <v>K0K 2X0</v>
      </c>
      <c r="E9904" s="3"/>
      <c r="F9904" s="3"/>
      <c r="G9904" s="3"/>
      <c r="H9904" s="3"/>
    </row>
    <row r="9905">
      <c r="A9905" s="2">
        <f>IFERROR(__xludf.DUMMYFUNCTION("""COMPUTED_VALUE"""),50725.0)</f>
        <v>50725</v>
      </c>
      <c r="B9905" s="3" t="str">
        <f>IFERROR(__xludf.DUMMYFUNCTION("""COMPUTED_VALUE"""),"8892 COUNTY RD 45")</f>
        <v>8892 COUNTY RD 45</v>
      </c>
      <c r="C9905" s="3" t="str">
        <f>IFERROR(__xludf.DUMMYFUNCTION("""COMPUTED_VALUE"""),"ROSENEATH ")</f>
        <v>ROSENEATH </v>
      </c>
      <c r="D9905" s="3" t="str">
        <f>IFERROR(__xludf.DUMMYFUNCTION("""COMPUTED_VALUE"""),"K0K 2X0")</f>
        <v>K0K 2X0</v>
      </c>
      <c r="E9905" s="3"/>
      <c r="F9905" s="3"/>
      <c r="G9905" s="3"/>
      <c r="H9905" s="3"/>
    </row>
    <row r="9906">
      <c r="A9906" s="2">
        <f>IFERROR(__xludf.DUMMYFUNCTION("""COMPUTED_VALUE"""),50726.0)</f>
        <v>50726</v>
      </c>
      <c r="B9906" s="3" t="str">
        <f>IFERROR(__xludf.DUMMYFUNCTION("""COMPUTED_VALUE"""),"8910 COUNTY RD 45")</f>
        <v>8910 COUNTY RD 45</v>
      </c>
      <c r="C9906" s="3" t="str">
        <f>IFERROR(__xludf.DUMMYFUNCTION("""COMPUTED_VALUE"""),"ROSENEATH ")</f>
        <v>ROSENEATH </v>
      </c>
      <c r="D9906" s="3" t="str">
        <f>IFERROR(__xludf.DUMMYFUNCTION("""COMPUTED_VALUE"""),"K0K 2X0")</f>
        <v>K0K 2X0</v>
      </c>
      <c r="E9906" s="3"/>
      <c r="F9906" s="3"/>
      <c r="G9906" s="3"/>
      <c r="H9906" s="3"/>
    </row>
    <row r="9907">
      <c r="A9907" s="2">
        <f>IFERROR(__xludf.DUMMYFUNCTION("""COMPUTED_VALUE"""),50727.0)</f>
        <v>50727</v>
      </c>
      <c r="B9907" s="3" t="str">
        <f>IFERROR(__xludf.DUMMYFUNCTION("""COMPUTED_VALUE"""),"8913 COUNTY RD 45")</f>
        <v>8913 COUNTY RD 45</v>
      </c>
      <c r="C9907" s="3" t="str">
        <f>IFERROR(__xludf.DUMMYFUNCTION("""COMPUTED_VALUE"""),"ROSENEATH ")</f>
        <v>ROSENEATH </v>
      </c>
      <c r="D9907" s="3" t="str">
        <f>IFERROR(__xludf.DUMMYFUNCTION("""COMPUTED_VALUE"""),"K0K 2X0")</f>
        <v>K0K 2X0</v>
      </c>
      <c r="E9907" s="3"/>
      <c r="F9907" s="3"/>
      <c r="G9907" s="3"/>
      <c r="H9907" s="3"/>
    </row>
    <row r="9908">
      <c r="A9908" s="2">
        <f>IFERROR(__xludf.DUMMYFUNCTION("""COMPUTED_VALUE"""),50728.0)</f>
        <v>50728</v>
      </c>
      <c r="B9908" s="3" t="str">
        <f>IFERROR(__xludf.DUMMYFUNCTION("""COMPUTED_VALUE"""),"8927 COUNTY RD 45")</f>
        <v>8927 COUNTY RD 45</v>
      </c>
      <c r="C9908" s="3" t="str">
        <f>IFERROR(__xludf.DUMMYFUNCTION("""COMPUTED_VALUE"""),"ROSENEATH ")</f>
        <v>ROSENEATH </v>
      </c>
      <c r="D9908" s="3" t="str">
        <f>IFERROR(__xludf.DUMMYFUNCTION("""COMPUTED_VALUE"""),"K0K 2X0")</f>
        <v>K0K 2X0</v>
      </c>
      <c r="E9908" s="3"/>
      <c r="F9908" s="3"/>
      <c r="G9908" s="3"/>
      <c r="H9908" s="3"/>
    </row>
    <row r="9909">
      <c r="A9909" s="2">
        <f>IFERROR(__xludf.DUMMYFUNCTION("""COMPUTED_VALUE"""),50729.0)</f>
        <v>50729</v>
      </c>
      <c r="B9909" s="3" t="str">
        <f>IFERROR(__xludf.DUMMYFUNCTION("""COMPUTED_VALUE"""),"8934 COUNTY RD 45")</f>
        <v>8934 COUNTY RD 45</v>
      </c>
      <c r="C9909" s="3" t="str">
        <f>IFERROR(__xludf.DUMMYFUNCTION("""COMPUTED_VALUE"""),"ROSENEATH ")</f>
        <v>ROSENEATH </v>
      </c>
      <c r="D9909" s="3" t="str">
        <f>IFERROR(__xludf.DUMMYFUNCTION("""COMPUTED_VALUE"""),"K0K 2X0")</f>
        <v>K0K 2X0</v>
      </c>
      <c r="E9909" s="3"/>
      <c r="F9909" s="3"/>
      <c r="G9909" s="3"/>
      <c r="H9909" s="3"/>
    </row>
    <row r="9910">
      <c r="A9910" s="2">
        <f>IFERROR(__xludf.DUMMYFUNCTION("""COMPUTED_VALUE"""),50730.0)</f>
        <v>50730</v>
      </c>
      <c r="B9910" s="3" t="str">
        <f>IFERROR(__xludf.DUMMYFUNCTION("""COMPUTED_VALUE"""),"8937 COUNTY RD 45")</f>
        <v>8937 COUNTY RD 45</v>
      </c>
      <c r="C9910" s="3" t="str">
        <f>IFERROR(__xludf.DUMMYFUNCTION("""COMPUTED_VALUE"""),"ROSENEATH ")</f>
        <v>ROSENEATH </v>
      </c>
      <c r="D9910" s="3" t="str">
        <f>IFERROR(__xludf.DUMMYFUNCTION("""COMPUTED_VALUE"""),"K0K 2X0")</f>
        <v>K0K 2X0</v>
      </c>
      <c r="E9910" s="3" t="str">
        <f>IFERROR(__xludf.DUMMYFUNCTION("""COMPUTED_VALUE"""),"Carl and Robin Beaver")</f>
        <v>Carl and Robin Beaver</v>
      </c>
      <c r="F9910" s="3" t="str">
        <f>IFERROR(__xludf.DUMMYFUNCTION("""COMPUTED_VALUE"""),"robinbeaver123@gmail.com")</f>
        <v>robinbeaver123@gmail.com</v>
      </c>
      <c r="G9910" s="3"/>
      <c r="H9910" s="3"/>
    </row>
    <row r="9911">
      <c r="A9911" s="2">
        <f>IFERROR(__xludf.DUMMYFUNCTION("""COMPUTED_VALUE"""),50731.0)</f>
        <v>50731</v>
      </c>
      <c r="B9911" s="3" t="str">
        <f>IFERROR(__xludf.DUMMYFUNCTION("""COMPUTED_VALUE"""),"8944 COUNTY RD 45")</f>
        <v>8944 COUNTY RD 45</v>
      </c>
      <c r="C9911" s="3" t="str">
        <f>IFERROR(__xludf.DUMMYFUNCTION("""COMPUTED_VALUE"""),"ROSENEATH ")</f>
        <v>ROSENEATH </v>
      </c>
      <c r="D9911" s="3" t="str">
        <f>IFERROR(__xludf.DUMMYFUNCTION("""COMPUTED_VALUE"""),"K0K 2X0")</f>
        <v>K0K 2X0</v>
      </c>
      <c r="E9911" s="3"/>
      <c r="F9911" s="3"/>
      <c r="G9911" s="3"/>
      <c r="H9911" s="3"/>
    </row>
    <row r="9912">
      <c r="A9912" s="2">
        <f>IFERROR(__xludf.DUMMYFUNCTION("""COMPUTED_VALUE"""),50732.0)</f>
        <v>50732</v>
      </c>
      <c r="B9912" s="3" t="str">
        <f>IFERROR(__xludf.DUMMYFUNCTION("""COMPUTED_VALUE"""),"8949 COUNTY RD 45")</f>
        <v>8949 COUNTY RD 45</v>
      </c>
      <c r="C9912" s="3" t="str">
        <f>IFERROR(__xludf.DUMMYFUNCTION("""COMPUTED_VALUE"""),"ROSENEATH ")</f>
        <v>ROSENEATH </v>
      </c>
      <c r="D9912" s="3" t="str">
        <f>IFERROR(__xludf.DUMMYFUNCTION("""COMPUTED_VALUE"""),"K0K 2X0")</f>
        <v>K0K 2X0</v>
      </c>
      <c r="E9912" s="3"/>
      <c r="F9912" s="3"/>
      <c r="G9912" s="3"/>
      <c r="H9912" s="3"/>
    </row>
    <row r="9913">
      <c r="A9913" s="2">
        <f>IFERROR(__xludf.DUMMYFUNCTION("""COMPUTED_VALUE"""),50733.0)</f>
        <v>50733</v>
      </c>
      <c r="B9913" s="3" t="str">
        <f>IFERROR(__xludf.DUMMYFUNCTION("""COMPUTED_VALUE"""),"8955 COUNTY RD 45")</f>
        <v>8955 COUNTY RD 45</v>
      </c>
      <c r="C9913" s="3" t="str">
        <f>IFERROR(__xludf.DUMMYFUNCTION("""COMPUTED_VALUE"""),"ROSENEATH ")</f>
        <v>ROSENEATH </v>
      </c>
      <c r="D9913" s="3" t="str">
        <f>IFERROR(__xludf.DUMMYFUNCTION("""COMPUTED_VALUE"""),"K0K 2X0")</f>
        <v>K0K 2X0</v>
      </c>
      <c r="E9913" s="3"/>
      <c r="F9913" s="3"/>
      <c r="G9913" s="3"/>
      <c r="H9913" s="3"/>
    </row>
    <row r="9914">
      <c r="A9914" s="2">
        <f>IFERROR(__xludf.DUMMYFUNCTION("""COMPUTED_VALUE"""),50734.0)</f>
        <v>50734</v>
      </c>
      <c r="B9914" s="3" t="str">
        <f>IFERROR(__xludf.DUMMYFUNCTION("""COMPUTED_VALUE"""),"8965 COUNTY RD 45")</f>
        <v>8965 COUNTY RD 45</v>
      </c>
      <c r="C9914" s="3" t="str">
        <f>IFERROR(__xludf.DUMMYFUNCTION("""COMPUTED_VALUE"""),"ROSENEATH ")</f>
        <v>ROSENEATH </v>
      </c>
      <c r="D9914" s="3" t="str">
        <f>IFERROR(__xludf.DUMMYFUNCTION("""COMPUTED_VALUE"""),"K0K 2X0")</f>
        <v>K0K 2X0</v>
      </c>
      <c r="E9914" s="3"/>
      <c r="F9914" s="3"/>
      <c r="G9914" s="3"/>
      <c r="H9914" s="3"/>
    </row>
    <row r="9915">
      <c r="A9915" s="2">
        <f>IFERROR(__xludf.DUMMYFUNCTION("""COMPUTED_VALUE"""),50735.0)</f>
        <v>50735</v>
      </c>
      <c r="B9915" s="3" t="str">
        <f>IFERROR(__xludf.DUMMYFUNCTION("""COMPUTED_VALUE"""),"8986 COUNTY RD 45")</f>
        <v>8986 COUNTY RD 45</v>
      </c>
      <c r="C9915" s="3" t="str">
        <f>IFERROR(__xludf.DUMMYFUNCTION("""COMPUTED_VALUE"""),"ROSENEATH ")</f>
        <v>ROSENEATH </v>
      </c>
      <c r="D9915" s="3" t="str">
        <f>IFERROR(__xludf.DUMMYFUNCTION("""COMPUTED_VALUE"""),"K0K 2X0")</f>
        <v>K0K 2X0</v>
      </c>
      <c r="E9915" s="3"/>
      <c r="F9915" s="3"/>
      <c r="G9915" s="3"/>
      <c r="H9915" s="3"/>
    </row>
    <row r="9916">
      <c r="A9916" s="2">
        <f>IFERROR(__xludf.DUMMYFUNCTION("""COMPUTED_VALUE"""),50736.0)</f>
        <v>50736</v>
      </c>
      <c r="B9916" s="3" t="str">
        <f>IFERROR(__xludf.DUMMYFUNCTION("""COMPUTED_VALUE"""),"8987 COUNTY RD 45")</f>
        <v>8987 COUNTY RD 45</v>
      </c>
      <c r="C9916" s="3" t="str">
        <f>IFERROR(__xludf.DUMMYFUNCTION("""COMPUTED_VALUE"""),"ROSENEATH ")</f>
        <v>ROSENEATH </v>
      </c>
      <c r="D9916" s="3" t="str">
        <f>IFERROR(__xludf.DUMMYFUNCTION("""COMPUTED_VALUE"""),"K0K 2X0")</f>
        <v>K0K 2X0</v>
      </c>
      <c r="E9916" s="3"/>
      <c r="F9916" s="3"/>
      <c r="G9916" s="3"/>
      <c r="H9916" s="3"/>
    </row>
    <row r="9917">
      <c r="A9917" s="2">
        <f>IFERROR(__xludf.DUMMYFUNCTION("""COMPUTED_VALUE"""),50737.0)</f>
        <v>50737</v>
      </c>
      <c r="B9917" s="3" t="str">
        <f>IFERROR(__xludf.DUMMYFUNCTION("""COMPUTED_VALUE"""),"9042 COUNTY RD 45")</f>
        <v>9042 COUNTY RD 45</v>
      </c>
      <c r="C9917" s="3" t="str">
        <f>IFERROR(__xludf.DUMMYFUNCTION("""COMPUTED_VALUE"""),"ROSENEATH ")</f>
        <v>ROSENEATH </v>
      </c>
      <c r="D9917" s="3" t="str">
        <f>IFERROR(__xludf.DUMMYFUNCTION("""COMPUTED_VALUE"""),"K0K 2X0")</f>
        <v>K0K 2X0</v>
      </c>
      <c r="E9917" s="3"/>
      <c r="F9917" s="3"/>
      <c r="G9917" s="3"/>
      <c r="H9917" s="3"/>
    </row>
    <row r="9918">
      <c r="A9918" s="2">
        <f>IFERROR(__xludf.DUMMYFUNCTION("""COMPUTED_VALUE"""),50738.0)</f>
        <v>50738</v>
      </c>
      <c r="B9918" s="3" t="str">
        <f>IFERROR(__xludf.DUMMYFUNCTION("""COMPUTED_VALUE"""),"9047 COUNTY RD 45")</f>
        <v>9047 COUNTY RD 45</v>
      </c>
      <c r="C9918" s="3" t="str">
        <f>IFERROR(__xludf.DUMMYFUNCTION("""COMPUTED_VALUE"""),"ROSENEATH ")</f>
        <v>ROSENEATH </v>
      </c>
      <c r="D9918" s="3" t="str">
        <f>IFERROR(__xludf.DUMMYFUNCTION("""COMPUTED_VALUE"""),"K0K 2X0")</f>
        <v>K0K 2X0</v>
      </c>
      <c r="E9918" s="3"/>
      <c r="F9918" s="3"/>
      <c r="G9918" s="3"/>
      <c r="H9918" s="3"/>
    </row>
    <row r="9919">
      <c r="A9919" s="2">
        <f>IFERROR(__xludf.DUMMYFUNCTION("""COMPUTED_VALUE"""),50739.0)</f>
        <v>50739</v>
      </c>
      <c r="B9919" s="3" t="str">
        <f>IFERROR(__xludf.DUMMYFUNCTION("""COMPUTED_VALUE"""),"9048 COUNTY RD 45")</f>
        <v>9048 COUNTY RD 45</v>
      </c>
      <c r="C9919" s="3" t="str">
        <f>IFERROR(__xludf.DUMMYFUNCTION("""COMPUTED_VALUE"""),"ROSENEATH ")</f>
        <v>ROSENEATH </v>
      </c>
      <c r="D9919" s="3" t="str">
        <f>IFERROR(__xludf.DUMMYFUNCTION("""COMPUTED_VALUE"""),"K0K 2X0")</f>
        <v>K0K 2X0</v>
      </c>
      <c r="E9919" s="3" t="str">
        <f>IFERROR(__xludf.DUMMYFUNCTION("""COMPUTED_VALUE"""),"Paul G Phipps")</f>
        <v>Paul G Phipps</v>
      </c>
      <c r="F9919" s="3" t="str">
        <f>IFERROR(__xludf.DUMMYFUNCTION("""COMPUTED_VALUE"""),"phippseh@gmail.com")</f>
        <v>phippseh@gmail.com</v>
      </c>
      <c r="G9919" s="3">
        <f>IFERROR(__xludf.DUMMYFUNCTION("""COMPUTED_VALUE"""),2.892516652E9)</f>
        <v>2892516652</v>
      </c>
      <c r="H9919" s="3"/>
    </row>
    <row r="9920">
      <c r="A9920" s="2">
        <f>IFERROR(__xludf.DUMMYFUNCTION("""COMPUTED_VALUE"""),50740.0)</f>
        <v>50740</v>
      </c>
      <c r="B9920" s="3" t="str">
        <f>IFERROR(__xludf.DUMMYFUNCTION("""COMPUTED_VALUE"""),"9052 COUNTY RD 45")</f>
        <v>9052 COUNTY RD 45</v>
      </c>
      <c r="C9920" s="3" t="str">
        <f>IFERROR(__xludf.DUMMYFUNCTION("""COMPUTED_VALUE"""),"ROSENEATH ")</f>
        <v>ROSENEATH </v>
      </c>
      <c r="D9920" s="3" t="str">
        <f>IFERROR(__xludf.DUMMYFUNCTION("""COMPUTED_VALUE"""),"K0K 2X0")</f>
        <v>K0K 2X0</v>
      </c>
      <c r="E9920" s="3"/>
      <c r="F9920" s="3"/>
      <c r="G9920" s="3"/>
      <c r="H9920" s="3"/>
    </row>
    <row r="9921">
      <c r="A9921" s="2">
        <f>IFERROR(__xludf.DUMMYFUNCTION("""COMPUTED_VALUE"""),50741.0)</f>
        <v>50741</v>
      </c>
      <c r="B9921" s="3" t="str">
        <f>IFERROR(__xludf.DUMMYFUNCTION("""COMPUTED_VALUE"""),"9058 COUNTY RD 45")</f>
        <v>9058 COUNTY RD 45</v>
      </c>
      <c r="C9921" s="3" t="str">
        <f>IFERROR(__xludf.DUMMYFUNCTION("""COMPUTED_VALUE"""),"ROSENEATH ")</f>
        <v>ROSENEATH </v>
      </c>
      <c r="D9921" s="3" t="str">
        <f>IFERROR(__xludf.DUMMYFUNCTION("""COMPUTED_VALUE"""),"K0K 2X0")</f>
        <v>K0K 2X0</v>
      </c>
      <c r="E9921" s="3"/>
      <c r="F9921" s="3"/>
      <c r="G9921" s="3"/>
      <c r="H9921" s="3"/>
    </row>
    <row r="9922">
      <c r="A9922" s="2">
        <f>IFERROR(__xludf.DUMMYFUNCTION("""COMPUTED_VALUE"""),50742.0)</f>
        <v>50742</v>
      </c>
      <c r="B9922" s="3" t="str">
        <f>IFERROR(__xludf.DUMMYFUNCTION("""COMPUTED_VALUE"""),"9059 COUNTY RD 45")</f>
        <v>9059 COUNTY RD 45</v>
      </c>
      <c r="C9922" s="3" t="str">
        <f>IFERROR(__xludf.DUMMYFUNCTION("""COMPUTED_VALUE"""),"ROSENEATH ")</f>
        <v>ROSENEATH </v>
      </c>
      <c r="D9922" s="3" t="str">
        <f>IFERROR(__xludf.DUMMYFUNCTION("""COMPUTED_VALUE"""),"K0K 2X0")</f>
        <v>K0K 2X0</v>
      </c>
      <c r="E9922" s="3"/>
      <c r="F9922" s="3"/>
      <c r="G9922" s="3"/>
      <c r="H9922" s="3"/>
    </row>
    <row r="9923">
      <c r="A9923" s="2">
        <f>IFERROR(__xludf.DUMMYFUNCTION("""COMPUTED_VALUE"""),50743.0)</f>
        <v>50743</v>
      </c>
      <c r="B9923" s="3" t="str">
        <f>IFERROR(__xludf.DUMMYFUNCTION("""COMPUTED_VALUE"""),"9066 COUNTY RD 45")</f>
        <v>9066 COUNTY RD 45</v>
      </c>
      <c r="C9923" s="3" t="str">
        <f>IFERROR(__xludf.DUMMYFUNCTION("""COMPUTED_VALUE"""),"ROSENEATH ")</f>
        <v>ROSENEATH </v>
      </c>
      <c r="D9923" s="3" t="str">
        <f>IFERROR(__xludf.DUMMYFUNCTION("""COMPUTED_VALUE"""),"K0K 2X0")</f>
        <v>K0K 2X0</v>
      </c>
      <c r="E9923" s="3"/>
      <c r="F9923" s="3"/>
      <c r="G9923" s="3"/>
      <c r="H9923" s="3"/>
    </row>
    <row r="9924">
      <c r="A9924" s="2">
        <f>IFERROR(__xludf.DUMMYFUNCTION("""COMPUTED_VALUE"""),50744.0)</f>
        <v>50744</v>
      </c>
      <c r="B9924" s="3" t="str">
        <f>IFERROR(__xludf.DUMMYFUNCTION("""COMPUTED_VALUE"""),"9072 COUNTY RD 45")</f>
        <v>9072 COUNTY RD 45</v>
      </c>
      <c r="C9924" s="3" t="str">
        <f>IFERROR(__xludf.DUMMYFUNCTION("""COMPUTED_VALUE"""),"ROSENEATH ")</f>
        <v>ROSENEATH </v>
      </c>
      <c r="D9924" s="3" t="str">
        <f>IFERROR(__xludf.DUMMYFUNCTION("""COMPUTED_VALUE"""),"K0K 2X0")</f>
        <v>K0K 2X0</v>
      </c>
      <c r="E9924" s="3"/>
      <c r="F9924" s="3"/>
      <c r="G9924" s="3"/>
      <c r="H9924" s="3"/>
    </row>
    <row r="9925">
      <c r="A9925" s="2">
        <f>IFERROR(__xludf.DUMMYFUNCTION("""COMPUTED_VALUE"""),50745.0)</f>
        <v>50745</v>
      </c>
      <c r="B9925" s="3" t="str">
        <f>IFERROR(__xludf.DUMMYFUNCTION("""COMPUTED_VALUE"""),"9082 COUNTY RD 45")</f>
        <v>9082 COUNTY RD 45</v>
      </c>
      <c r="C9925" s="3" t="str">
        <f>IFERROR(__xludf.DUMMYFUNCTION("""COMPUTED_VALUE"""),"ROSENEATH ")</f>
        <v>ROSENEATH </v>
      </c>
      <c r="D9925" s="3" t="str">
        <f>IFERROR(__xludf.DUMMYFUNCTION("""COMPUTED_VALUE"""),"K0K 2X0")</f>
        <v>K0K 2X0</v>
      </c>
      <c r="E9925" s="3"/>
      <c r="F9925" s="3"/>
      <c r="G9925" s="3"/>
      <c r="H9925" s="3"/>
    </row>
    <row r="9926">
      <c r="A9926" s="2">
        <f>IFERROR(__xludf.DUMMYFUNCTION("""COMPUTED_VALUE"""),50746.0)</f>
        <v>50746</v>
      </c>
      <c r="B9926" s="3" t="str">
        <f>IFERROR(__xludf.DUMMYFUNCTION("""COMPUTED_VALUE"""),"9092 COUNTY RD 45")</f>
        <v>9092 COUNTY RD 45</v>
      </c>
      <c r="C9926" s="3" t="str">
        <f>IFERROR(__xludf.DUMMYFUNCTION("""COMPUTED_VALUE"""),"ROSENEATH ")</f>
        <v>ROSENEATH </v>
      </c>
      <c r="D9926" s="3" t="str">
        <f>IFERROR(__xludf.DUMMYFUNCTION("""COMPUTED_VALUE"""),"K0K 2X0")</f>
        <v>K0K 2X0</v>
      </c>
      <c r="E9926" s="3"/>
      <c r="F9926" s="3"/>
      <c r="G9926" s="3"/>
      <c r="H9926" s="3"/>
    </row>
    <row r="9927">
      <c r="A9927" s="2">
        <f>IFERROR(__xludf.DUMMYFUNCTION("""COMPUTED_VALUE"""),50747.0)</f>
        <v>50747</v>
      </c>
      <c r="B9927" s="3" t="str">
        <f>IFERROR(__xludf.DUMMYFUNCTION("""COMPUTED_VALUE"""),"9106 COUNTY ROAD 45")</f>
        <v>9106 COUNTY ROAD 45</v>
      </c>
      <c r="C9927" s="3" t="str">
        <f>IFERROR(__xludf.DUMMYFUNCTION("""COMPUTED_VALUE"""),"ROSENEATH ")</f>
        <v>ROSENEATH </v>
      </c>
      <c r="D9927" s="3" t="str">
        <f>IFERROR(__xludf.DUMMYFUNCTION("""COMPUTED_VALUE"""),"K0K 2X0")</f>
        <v>K0K 2X0</v>
      </c>
      <c r="E9927" s="3"/>
      <c r="F9927" s="3"/>
      <c r="G9927" s="3"/>
      <c r="H9927" s="3"/>
    </row>
    <row r="9928">
      <c r="A9928" s="2">
        <f>IFERROR(__xludf.DUMMYFUNCTION("""COMPUTED_VALUE"""),50748.0)</f>
        <v>50748</v>
      </c>
      <c r="B9928" s="3" t="str">
        <f>IFERROR(__xludf.DUMMYFUNCTION("""COMPUTED_VALUE"""),"9109 COUNTY RD 45")</f>
        <v>9109 COUNTY RD 45</v>
      </c>
      <c r="C9928" s="3" t="str">
        <f>IFERROR(__xludf.DUMMYFUNCTION("""COMPUTED_VALUE"""),"ROSENEATH ")</f>
        <v>ROSENEATH </v>
      </c>
      <c r="D9928" s="3" t="str">
        <f>IFERROR(__xludf.DUMMYFUNCTION("""COMPUTED_VALUE"""),"K0K 2X0")</f>
        <v>K0K 2X0</v>
      </c>
      <c r="E9928" s="3"/>
      <c r="F9928" s="3"/>
      <c r="G9928" s="3"/>
      <c r="H9928" s="3"/>
    </row>
    <row r="9929">
      <c r="A9929" s="2">
        <f>IFERROR(__xludf.DUMMYFUNCTION("""COMPUTED_VALUE"""),50749.0)</f>
        <v>50749</v>
      </c>
      <c r="B9929" s="3" t="str">
        <f>IFERROR(__xludf.DUMMYFUNCTION("""COMPUTED_VALUE"""),"9117 COUNTY RD 45")</f>
        <v>9117 COUNTY RD 45</v>
      </c>
      <c r="C9929" s="3" t="str">
        <f>IFERROR(__xludf.DUMMYFUNCTION("""COMPUTED_VALUE"""),"ROSENEATH ")</f>
        <v>ROSENEATH </v>
      </c>
      <c r="D9929" s="3" t="str">
        <f>IFERROR(__xludf.DUMMYFUNCTION("""COMPUTED_VALUE"""),"K0K 2X0")</f>
        <v>K0K 2X0</v>
      </c>
      <c r="E9929" s="3"/>
      <c r="F9929" s="3"/>
      <c r="G9929" s="3"/>
      <c r="H9929" s="3"/>
    </row>
    <row r="9930">
      <c r="A9930" s="2">
        <f>IFERROR(__xludf.DUMMYFUNCTION("""COMPUTED_VALUE"""),50750.0)</f>
        <v>50750</v>
      </c>
      <c r="B9930" s="3" t="str">
        <f>IFERROR(__xludf.DUMMYFUNCTION("""COMPUTED_VALUE"""),"9123 COUNTY RD 45")</f>
        <v>9123 COUNTY RD 45</v>
      </c>
      <c r="C9930" s="3" t="str">
        <f>IFERROR(__xludf.DUMMYFUNCTION("""COMPUTED_VALUE"""),"ROSENEATH ")</f>
        <v>ROSENEATH </v>
      </c>
      <c r="D9930" s="3" t="str">
        <f>IFERROR(__xludf.DUMMYFUNCTION("""COMPUTED_VALUE"""),"K0K 2X0")</f>
        <v>K0K 2X0</v>
      </c>
      <c r="E9930" s="3" t="str">
        <f>IFERROR(__xludf.DUMMYFUNCTION("""COMPUTED_VALUE"""),"Danielle Guillet")</f>
        <v>Danielle Guillet</v>
      </c>
      <c r="F9930" s="3" t="str">
        <f>IFERROR(__xludf.DUMMYFUNCTION("""COMPUTED_VALUE"""),"dangui19@yahoo.ca")</f>
        <v>dangui19@yahoo.ca</v>
      </c>
      <c r="G9930" s="3">
        <f>IFERROR(__xludf.DUMMYFUNCTION("""COMPUTED_VALUE"""),9.052692867E9)</f>
        <v>9052692867</v>
      </c>
      <c r="H9930" s="3"/>
    </row>
    <row r="9931">
      <c r="A9931" s="2">
        <f>IFERROR(__xludf.DUMMYFUNCTION("""COMPUTED_VALUE"""),50751.0)</f>
        <v>50751</v>
      </c>
      <c r="B9931" s="3" t="str">
        <f>IFERROR(__xludf.DUMMYFUNCTION("""COMPUTED_VALUE"""),"9127 COUNTY RD 45")</f>
        <v>9127 COUNTY RD 45</v>
      </c>
      <c r="C9931" s="3" t="str">
        <f>IFERROR(__xludf.DUMMYFUNCTION("""COMPUTED_VALUE"""),"ROSENEATH ")</f>
        <v>ROSENEATH </v>
      </c>
      <c r="D9931" s="3" t="str">
        <f>IFERROR(__xludf.DUMMYFUNCTION("""COMPUTED_VALUE"""),"K0K 2X0")</f>
        <v>K0K 2X0</v>
      </c>
      <c r="E9931" s="3"/>
      <c r="F9931" s="3"/>
      <c r="G9931" s="3"/>
      <c r="H9931" s="3"/>
    </row>
    <row r="9932">
      <c r="A9932" s="2">
        <f>IFERROR(__xludf.DUMMYFUNCTION("""COMPUTED_VALUE"""),50752.0)</f>
        <v>50752</v>
      </c>
      <c r="B9932" s="3" t="str">
        <f>IFERROR(__xludf.DUMMYFUNCTION("""COMPUTED_VALUE"""),"9140 COUNTY RD 45")</f>
        <v>9140 COUNTY RD 45</v>
      </c>
      <c r="C9932" s="3" t="str">
        <f>IFERROR(__xludf.DUMMYFUNCTION("""COMPUTED_VALUE"""),"ROSENEATH ")</f>
        <v>ROSENEATH </v>
      </c>
      <c r="D9932" s="3" t="str">
        <f>IFERROR(__xludf.DUMMYFUNCTION("""COMPUTED_VALUE"""),"K0K 2X0")</f>
        <v>K0K 2X0</v>
      </c>
      <c r="E9932" s="3"/>
      <c r="F9932" s="3"/>
      <c r="G9932" s="3"/>
      <c r="H9932" s="3"/>
    </row>
    <row r="9933">
      <c r="A9933" s="2">
        <f>IFERROR(__xludf.DUMMYFUNCTION("""COMPUTED_VALUE"""),50753.0)</f>
        <v>50753</v>
      </c>
      <c r="B9933" s="3" t="str">
        <f>IFERROR(__xludf.DUMMYFUNCTION("""COMPUTED_VALUE"""),"9144 COUNTY RD 45")</f>
        <v>9144 COUNTY RD 45</v>
      </c>
      <c r="C9933" s="3" t="str">
        <f>IFERROR(__xludf.DUMMYFUNCTION("""COMPUTED_VALUE"""),"ROSENEATH ")</f>
        <v>ROSENEATH </v>
      </c>
      <c r="D9933" s="3" t="str">
        <f>IFERROR(__xludf.DUMMYFUNCTION("""COMPUTED_VALUE"""),"K0K 2X0")</f>
        <v>K0K 2X0</v>
      </c>
      <c r="E9933" s="3"/>
      <c r="F9933" s="3"/>
      <c r="G9933" s="3"/>
      <c r="H9933" s="3"/>
    </row>
    <row r="9934">
      <c r="A9934" s="2">
        <f>IFERROR(__xludf.DUMMYFUNCTION("""COMPUTED_VALUE"""),50754.0)</f>
        <v>50754</v>
      </c>
      <c r="B9934" s="3" t="str">
        <f>IFERROR(__xludf.DUMMYFUNCTION("""COMPUTED_VALUE"""),"9150 COUNTY RD 45")</f>
        <v>9150 COUNTY RD 45</v>
      </c>
      <c r="C9934" s="3" t="str">
        <f>IFERROR(__xludf.DUMMYFUNCTION("""COMPUTED_VALUE"""),"ROSENEATH ")</f>
        <v>ROSENEATH </v>
      </c>
      <c r="D9934" s="3" t="str">
        <f>IFERROR(__xludf.DUMMYFUNCTION("""COMPUTED_VALUE"""),"K0K 2X0")</f>
        <v>K0K 2X0</v>
      </c>
      <c r="E9934" s="3"/>
      <c r="F9934" s="3"/>
      <c r="G9934" s="3"/>
      <c r="H9934" s="3"/>
    </row>
    <row r="9935">
      <c r="A9935" s="2">
        <f>IFERROR(__xludf.DUMMYFUNCTION("""COMPUTED_VALUE"""),50755.0)</f>
        <v>50755</v>
      </c>
      <c r="B9935" s="3" t="str">
        <f>IFERROR(__xludf.DUMMYFUNCTION("""COMPUTED_VALUE"""),"9154 COUNTY ROAD 45")</f>
        <v>9154 COUNTY ROAD 45</v>
      </c>
      <c r="C9935" s="3" t="str">
        <f>IFERROR(__xludf.DUMMYFUNCTION("""COMPUTED_VALUE"""),"ROSENEATH ")</f>
        <v>ROSENEATH </v>
      </c>
      <c r="D9935" s="3" t="str">
        <f>IFERROR(__xludf.DUMMYFUNCTION("""COMPUTED_VALUE"""),"K0K 2X0")</f>
        <v>K0K 2X0</v>
      </c>
      <c r="E9935" s="3"/>
      <c r="F9935" s="3"/>
      <c r="G9935" s="3"/>
      <c r="H9935" s="3"/>
    </row>
    <row r="9936">
      <c r="A9936" s="2">
        <f>IFERROR(__xludf.DUMMYFUNCTION("""COMPUTED_VALUE"""),50756.0)</f>
        <v>50756</v>
      </c>
      <c r="B9936" s="3" t="str">
        <f>IFERROR(__xludf.DUMMYFUNCTION("""COMPUTED_VALUE"""),"9160 COUNTY RD 45")</f>
        <v>9160 COUNTY RD 45</v>
      </c>
      <c r="C9936" s="3" t="str">
        <f>IFERROR(__xludf.DUMMYFUNCTION("""COMPUTED_VALUE"""),"ROSENEATH ")</f>
        <v>ROSENEATH </v>
      </c>
      <c r="D9936" s="3" t="str">
        <f>IFERROR(__xludf.DUMMYFUNCTION("""COMPUTED_VALUE"""),"K0K 2X0")</f>
        <v>K0K 2X0</v>
      </c>
      <c r="E9936" s="3"/>
      <c r="F9936" s="3"/>
      <c r="G9936" s="3"/>
      <c r="H9936" s="3"/>
    </row>
    <row r="9937">
      <c r="A9937" s="2">
        <f>IFERROR(__xludf.DUMMYFUNCTION("""COMPUTED_VALUE"""),50757.0)</f>
        <v>50757</v>
      </c>
      <c r="B9937" s="3" t="str">
        <f>IFERROR(__xludf.DUMMYFUNCTION("""COMPUTED_VALUE"""),"9165 COUNTY RD 45")</f>
        <v>9165 COUNTY RD 45</v>
      </c>
      <c r="C9937" s="3" t="str">
        <f>IFERROR(__xludf.DUMMYFUNCTION("""COMPUTED_VALUE"""),"ROSENEATH ")</f>
        <v>ROSENEATH </v>
      </c>
      <c r="D9937" s="3" t="str">
        <f>IFERROR(__xludf.DUMMYFUNCTION("""COMPUTED_VALUE"""),"K0K 2X0")</f>
        <v>K0K 2X0</v>
      </c>
      <c r="E9937" s="3"/>
      <c r="F9937" s="3"/>
      <c r="G9937" s="3"/>
      <c r="H9937" s="3"/>
    </row>
    <row r="9938">
      <c r="A9938" s="2">
        <f>IFERROR(__xludf.DUMMYFUNCTION("""COMPUTED_VALUE"""),50758.0)</f>
        <v>50758</v>
      </c>
      <c r="B9938" s="3" t="str">
        <f>IFERROR(__xludf.DUMMYFUNCTION("""COMPUTED_VALUE"""),"9171 COUNTY ROAD 45")</f>
        <v>9171 COUNTY ROAD 45</v>
      </c>
      <c r="C9938" s="3" t="str">
        <f>IFERROR(__xludf.DUMMYFUNCTION("""COMPUTED_VALUE"""),"ROSENEATH ")</f>
        <v>ROSENEATH </v>
      </c>
      <c r="D9938" s="3" t="str">
        <f>IFERROR(__xludf.DUMMYFUNCTION("""COMPUTED_VALUE"""),"K0K 2X0")</f>
        <v>K0K 2X0</v>
      </c>
      <c r="E9938" s="3" t="str">
        <f>IFERROR(__xludf.DUMMYFUNCTION("""COMPUTED_VALUE"""),"Ebenezer Brefo")</f>
        <v>Ebenezer Brefo</v>
      </c>
      <c r="F9938" s="3" t="str">
        <f>IFERROR(__xludf.DUMMYFUNCTION("""COMPUTED_VALUE"""),"ebenkofi614@yahoo.ca")</f>
        <v>ebenkofi614@yahoo.ca</v>
      </c>
      <c r="G9938" s="3">
        <f>IFERROR(__xludf.DUMMYFUNCTION("""COMPUTED_VALUE"""),6.477681958E9)</f>
        <v>6477681958</v>
      </c>
      <c r="H9938" s="3"/>
    </row>
    <row r="9939">
      <c r="A9939" s="2">
        <f>IFERROR(__xludf.DUMMYFUNCTION("""COMPUTED_VALUE"""),50759.0)</f>
        <v>50759</v>
      </c>
      <c r="B9939" s="3" t="str">
        <f>IFERROR(__xludf.DUMMYFUNCTION("""COMPUTED_VALUE"""),"9181 COUNTY RD 45")</f>
        <v>9181 COUNTY RD 45</v>
      </c>
      <c r="C9939" s="3" t="str">
        <f>IFERROR(__xludf.DUMMYFUNCTION("""COMPUTED_VALUE"""),"ROSENEATH ")</f>
        <v>ROSENEATH </v>
      </c>
      <c r="D9939" s="3" t="str">
        <f>IFERROR(__xludf.DUMMYFUNCTION("""COMPUTED_VALUE"""),"K0K 2X0")</f>
        <v>K0K 2X0</v>
      </c>
      <c r="E9939" s="3" t="str">
        <f>IFERROR(__xludf.DUMMYFUNCTION("""COMPUTED_VALUE"""),"Ebenezer Brefo")</f>
        <v>Ebenezer Brefo</v>
      </c>
      <c r="F9939" s="3" t="str">
        <f>IFERROR(__xludf.DUMMYFUNCTION("""COMPUTED_VALUE"""),"ebenkofi614@yahoo.ca")</f>
        <v>ebenkofi614@yahoo.ca</v>
      </c>
      <c r="G9939" s="3">
        <f>IFERROR(__xludf.DUMMYFUNCTION("""COMPUTED_VALUE"""),6.477681958E9)</f>
        <v>6477681958</v>
      </c>
      <c r="H9939" s="3"/>
    </row>
    <row r="9940">
      <c r="A9940" s="2">
        <f>IFERROR(__xludf.DUMMYFUNCTION("""COMPUTED_VALUE"""),50760.0)</f>
        <v>50760</v>
      </c>
      <c r="B9940" s="3" t="str">
        <f>IFERROR(__xludf.DUMMYFUNCTION("""COMPUTED_VALUE"""),"9574 COUNTY RD 45")</f>
        <v>9574 COUNTY RD 45</v>
      </c>
      <c r="C9940" s="3" t="str">
        <f>IFERROR(__xludf.DUMMYFUNCTION("""COMPUTED_VALUE"""),"HASTINGS ")</f>
        <v>HASTINGS </v>
      </c>
      <c r="D9940" s="3" t="str">
        <f>IFERROR(__xludf.DUMMYFUNCTION("""COMPUTED_VALUE"""),"K0L 1Y0")</f>
        <v>K0L 1Y0</v>
      </c>
      <c r="E9940" s="3"/>
      <c r="F9940" s="3"/>
      <c r="G9940" s="3"/>
      <c r="H9940" s="3"/>
    </row>
    <row r="9941">
      <c r="A9941" s="2">
        <f>IFERROR(__xludf.DUMMYFUNCTION("""COMPUTED_VALUE"""),50761.0)</f>
        <v>50761</v>
      </c>
      <c r="B9941" s="3" t="str">
        <f>IFERROR(__xludf.DUMMYFUNCTION("""COMPUTED_VALUE"""),"9730 COUNTY RD 45")</f>
        <v>9730 COUNTY RD 45</v>
      </c>
      <c r="C9941" s="3" t="str">
        <f>IFERROR(__xludf.DUMMYFUNCTION("""COMPUTED_VALUE"""),"HASTINGS ")</f>
        <v>HASTINGS </v>
      </c>
      <c r="D9941" s="3" t="str">
        <f>IFERROR(__xludf.DUMMYFUNCTION("""COMPUTED_VALUE"""),"K0L 1Y0")</f>
        <v>K0L 1Y0</v>
      </c>
      <c r="E9941" s="3" t="str">
        <f>IFERROR(__xludf.DUMMYFUNCTION("""COMPUTED_VALUE"""),"Jenna Casteels")</f>
        <v>Jenna Casteels</v>
      </c>
      <c r="F9941" s="3" t="str">
        <f>IFERROR(__xludf.DUMMYFUNCTION("""COMPUTED_VALUE"""),"jlcasteels@pm.me")</f>
        <v>jlcasteels@pm.me</v>
      </c>
      <c r="G9941" s="3">
        <f>IFERROR(__xludf.DUMMYFUNCTION("""COMPUTED_VALUE"""),2.899274325E9)</f>
        <v>2899274325</v>
      </c>
      <c r="H9941" s="3"/>
    </row>
    <row r="9942">
      <c r="A9942" s="2">
        <f>IFERROR(__xludf.DUMMYFUNCTION("""COMPUTED_VALUE"""),50762.0)</f>
        <v>50762</v>
      </c>
      <c r="B9942" s="3" t="str">
        <f>IFERROR(__xludf.DUMMYFUNCTION("""COMPUTED_VALUE"""),"9745 COUNTY RD 45")</f>
        <v>9745 COUNTY RD 45</v>
      </c>
      <c r="C9942" s="3" t="str">
        <f>IFERROR(__xludf.DUMMYFUNCTION("""COMPUTED_VALUE"""),"HASTINGS ")</f>
        <v>HASTINGS </v>
      </c>
      <c r="D9942" s="3" t="str">
        <f>IFERROR(__xludf.DUMMYFUNCTION("""COMPUTED_VALUE"""),"K0L 1Y0")</f>
        <v>K0L 1Y0</v>
      </c>
      <c r="E9942" s="3"/>
      <c r="F9942" s="3"/>
      <c r="G9942" s="3"/>
      <c r="H9942" s="3"/>
    </row>
    <row r="9943">
      <c r="A9943" s="2">
        <f>IFERROR(__xludf.DUMMYFUNCTION("""COMPUTED_VALUE"""),50763.0)</f>
        <v>50763</v>
      </c>
      <c r="B9943" s="3" t="str">
        <f>IFERROR(__xludf.DUMMYFUNCTION("""COMPUTED_VALUE"""),"9774 COUNTY ROAD 45")</f>
        <v>9774 COUNTY ROAD 45</v>
      </c>
      <c r="C9943" s="3" t="str">
        <f>IFERROR(__xludf.DUMMYFUNCTION("""COMPUTED_VALUE"""),"HASTINGS ")</f>
        <v>HASTINGS </v>
      </c>
      <c r="D9943" s="3" t="str">
        <f>IFERROR(__xludf.DUMMYFUNCTION("""COMPUTED_VALUE"""),"K0L 1Y0")</f>
        <v>K0L 1Y0</v>
      </c>
      <c r="E9943" s="3"/>
      <c r="F9943" s="3"/>
      <c r="G9943" s="3"/>
      <c r="H9943" s="3"/>
    </row>
    <row r="9944">
      <c r="A9944" s="2">
        <f>IFERROR(__xludf.DUMMYFUNCTION("""COMPUTED_VALUE"""),50764.0)</f>
        <v>50764</v>
      </c>
      <c r="B9944" s="3" t="str">
        <f>IFERROR(__xludf.DUMMYFUNCTION("""COMPUTED_VALUE"""),"9839 COUNTY RD 45")</f>
        <v>9839 COUNTY RD 45</v>
      </c>
      <c r="C9944" s="3" t="str">
        <f>IFERROR(__xludf.DUMMYFUNCTION("""COMPUTED_VALUE"""),"HASTINGS ")</f>
        <v>HASTINGS </v>
      </c>
      <c r="D9944" s="3" t="str">
        <f>IFERROR(__xludf.DUMMYFUNCTION("""COMPUTED_VALUE"""),"K0L 1Y0")</f>
        <v>K0L 1Y0</v>
      </c>
      <c r="E9944" s="3"/>
      <c r="F9944" s="3"/>
      <c r="G9944" s="3"/>
      <c r="H9944" s="3"/>
    </row>
    <row r="9945">
      <c r="A9945" s="2">
        <f>IFERROR(__xludf.DUMMYFUNCTION("""COMPUTED_VALUE"""),50765.0)</f>
        <v>50765</v>
      </c>
      <c r="B9945" s="3" t="str">
        <f>IFERROR(__xludf.DUMMYFUNCTION("""COMPUTED_VALUE"""),"9905 COUNTY RD 45")</f>
        <v>9905 COUNTY RD 45</v>
      </c>
      <c r="C9945" s="3" t="str">
        <f>IFERROR(__xludf.DUMMYFUNCTION("""COMPUTED_VALUE"""),"HASTINGS ")</f>
        <v>HASTINGS </v>
      </c>
      <c r="D9945" s="3" t="str">
        <f>IFERROR(__xludf.DUMMYFUNCTION("""COMPUTED_VALUE"""),"K0L 1Y0")</f>
        <v>K0L 1Y0</v>
      </c>
      <c r="E9945" s="3"/>
      <c r="F9945" s="3"/>
      <c r="G9945" s="3"/>
      <c r="H9945" s="3"/>
    </row>
    <row r="9946">
      <c r="A9946" s="2">
        <f>IFERROR(__xludf.DUMMYFUNCTION("""COMPUTED_VALUE"""),50766.0)</f>
        <v>50766</v>
      </c>
      <c r="B9946" s="3" t="str">
        <f>IFERROR(__xludf.DUMMYFUNCTION("""COMPUTED_VALUE"""),"9920 COUNTY RD 45")</f>
        <v>9920 COUNTY RD 45</v>
      </c>
      <c r="C9946" s="3" t="str">
        <f>IFERROR(__xludf.DUMMYFUNCTION("""COMPUTED_VALUE"""),"HASTINGS ")</f>
        <v>HASTINGS </v>
      </c>
      <c r="D9946" s="3" t="str">
        <f>IFERROR(__xludf.DUMMYFUNCTION("""COMPUTED_VALUE"""),"K0L 1Y0")</f>
        <v>K0L 1Y0</v>
      </c>
      <c r="E9946" s="3"/>
      <c r="F9946" s="3"/>
      <c r="G9946" s="3"/>
      <c r="H9946" s="3"/>
    </row>
    <row r="9947">
      <c r="A9947" s="2">
        <f>IFERROR(__xludf.DUMMYFUNCTION("""COMPUTED_VALUE"""),50767.0)</f>
        <v>50767</v>
      </c>
      <c r="B9947" s="3" t="str">
        <f>IFERROR(__xludf.DUMMYFUNCTION("""COMPUTED_VALUE"""),"10069 COUNTY RD 45")</f>
        <v>10069 COUNTY RD 45</v>
      </c>
      <c r="C9947" s="3" t="str">
        <f>IFERROR(__xludf.DUMMYFUNCTION("""COMPUTED_VALUE"""),"HASTINGS ")</f>
        <v>HASTINGS </v>
      </c>
      <c r="D9947" s="3" t="str">
        <f>IFERROR(__xludf.DUMMYFUNCTION("""COMPUTED_VALUE"""),"K0L 1Y0")</f>
        <v>K0L 1Y0</v>
      </c>
      <c r="E9947" s="3" t="str">
        <f>IFERROR(__xludf.DUMMYFUNCTION("""COMPUTED_VALUE"""),"KEN McEVOY")</f>
        <v>KEN McEVOY</v>
      </c>
      <c r="F9947" s="3" t="str">
        <f>IFERROR(__xludf.DUMMYFUNCTION("""COMPUTED_VALUE"""),"ken@kenmcevoy.com")</f>
        <v>ken@kenmcevoy.com</v>
      </c>
      <c r="G9947" s="3"/>
      <c r="H9947" s="3"/>
    </row>
    <row r="9948">
      <c r="A9948" s="2">
        <f>IFERROR(__xludf.DUMMYFUNCTION("""COMPUTED_VALUE"""),50768.0)</f>
        <v>50768</v>
      </c>
      <c r="B9948" s="3" t="str">
        <f>IFERROR(__xludf.DUMMYFUNCTION("""COMPUTED_VALUE"""),"10127 COUNTY RD 45")</f>
        <v>10127 COUNTY RD 45</v>
      </c>
      <c r="C9948" s="3" t="str">
        <f>IFERROR(__xludf.DUMMYFUNCTION("""COMPUTED_VALUE"""),"HASTINGS ")</f>
        <v>HASTINGS </v>
      </c>
      <c r="D9948" s="3" t="str">
        <f>IFERROR(__xludf.DUMMYFUNCTION("""COMPUTED_VALUE"""),"K0L 1Y0")</f>
        <v>K0L 1Y0</v>
      </c>
      <c r="E9948" s="3"/>
      <c r="F9948" s="3"/>
      <c r="G9948" s="3"/>
      <c r="H9948" s="3"/>
    </row>
    <row r="9949">
      <c r="A9949" s="2">
        <f>IFERROR(__xludf.DUMMYFUNCTION("""COMPUTED_VALUE"""),50769.0)</f>
        <v>50769</v>
      </c>
      <c r="B9949" s="3" t="str">
        <f>IFERROR(__xludf.DUMMYFUNCTION("""COMPUTED_VALUE"""),"10138 COUNTY RD 45")</f>
        <v>10138 COUNTY RD 45</v>
      </c>
      <c r="C9949" s="3" t="str">
        <f>IFERROR(__xludf.DUMMYFUNCTION("""COMPUTED_VALUE"""),"HASTINGS ")</f>
        <v>HASTINGS </v>
      </c>
      <c r="D9949" s="3" t="str">
        <f>IFERROR(__xludf.DUMMYFUNCTION("""COMPUTED_VALUE"""),"K0L 1Y0")</f>
        <v>K0L 1Y0</v>
      </c>
      <c r="E9949" s="3"/>
      <c r="F9949" s="3"/>
      <c r="G9949" s="3"/>
      <c r="H9949" s="3"/>
    </row>
    <row r="9950">
      <c r="A9950" s="2">
        <f>IFERROR(__xludf.DUMMYFUNCTION("""COMPUTED_VALUE"""),50770.0)</f>
        <v>50770</v>
      </c>
      <c r="B9950" s="3" t="str">
        <f>IFERROR(__xludf.DUMMYFUNCTION("""COMPUTED_VALUE"""),"10193 COUNTY RD 45")</f>
        <v>10193 COUNTY RD 45</v>
      </c>
      <c r="C9950" s="3" t="str">
        <f>IFERROR(__xludf.DUMMYFUNCTION("""COMPUTED_VALUE"""),"HASTINGS ")</f>
        <v>HASTINGS </v>
      </c>
      <c r="D9950" s="3" t="str">
        <f>IFERROR(__xludf.DUMMYFUNCTION("""COMPUTED_VALUE"""),"K0L 1Y0")</f>
        <v>K0L 1Y0</v>
      </c>
      <c r="E9950" s="3"/>
      <c r="F9950" s="3"/>
      <c r="G9950" s="3"/>
      <c r="H9950" s="3"/>
    </row>
    <row r="9951">
      <c r="A9951" s="2">
        <f>IFERROR(__xludf.DUMMYFUNCTION("""COMPUTED_VALUE"""),50771.0)</f>
        <v>50771</v>
      </c>
      <c r="B9951" s="3" t="str">
        <f>IFERROR(__xludf.DUMMYFUNCTION("""COMPUTED_VALUE"""),"10547 COUNTY RD 45")</f>
        <v>10547 COUNTY RD 45</v>
      </c>
      <c r="C9951" s="3" t="str">
        <f>IFERROR(__xludf.DUMMYFUNCTION("""COMPUTED_VALUE"""),"HASTINGS ")</f>
        <v>HASTINGS </v>
      </c>
      <c r="D9951" s="3" t="str">
        <f>IFERROR(__xludf.DUMMYFUNCTION("""COMPUTED_VALUE"""),"K0L 1Y0")</f>
        <v>K0L 1Y0</v>
      </c>
      <c r="E9951" s="3"/>
      <c r="F9951" s="3"/>
      <c r="G9951" s="3"/>
      <c r="H9951" s="3"/>
    </row>
    <row r="9952">
      <c r="A9952" s="2">
        <f>IFERROR(__xludf.DUMMYFUNCTION("""COMPUTED_VALUE"""),50772.0)</f>
        <v>50772</v>
      </c>
      <c r="B9952" s="3" t="str">
        <f>IFERROR(__xludf.DUMMYFUNCTION("""COMPUTED_VALUE"""),"10655 COUNTY ROAD 45")</f>
        <v>10655 COUNTY ROAD 45</v>
      </c>
      <c r="C9952" s="3" t="str">
        <f>IFERROR(__xludf.DUMMYFUNCTION("""COMPUTED_VALUE"""),"HASTINGS ")</f>
        <v>HASTINGS </v>
      </c>
      <c r="D9952" s="3" t="str">
        <f>IFERROR(__xludf.DUMMYFUNCTION("""COMPUTED_VALUE"""),"K0L 1Y0")</f>
        <v>K0L 1Y0</v>
      </c>
      <c r="E9952" s="3" t="str">
        <f>IFERROR(__xludf.DUMMYFUNCTION("""COMPUTED_VALUE"""),"Jay Mccormack")</f>
        <v>Jay Mccormack</v>
      </c>
      <c r="F9952" s="3" t="str">
        <f>IFERROR(__xludf.DUMMYFUNCTION("""COMPUTED_VALUE"""),"jjemccormack@yahoo.ca")</f>
        <v>jjemccormack@yahoo.ca</v>
      </c>
      <c r="G9952" s="3">
        <f>IFERROR(__xludf.DUMMYFUNCTION("""COMPUTED_VALUE"""),5.198599006E9)</f>
        <v>5198599006</v>
      </c>
      <c r="H9952" s="3"/>
    </row>
    <row r="9953">
      <c r="A9953" s="2">
        <f>IFERROR(__xludf.DUMMYFUNCTION("""COMPUTED_VALUE"""),50773.0)</f>
        <v>50773</v>
      </c>
      <c r="B9953" s="3" t="str">
        <f>IFERROR(__xludf.DUMMYFUNCTION("""COMPUTED_VALUE"""),"10671 COUNTY RD 45")</f>
        <v>10671 COUNTY RD 45</v>
      </c>
      <c r="C9953" s="3" t="str">
        <f>IFERROR(__xludf.DUMMYFUNCTION("""COMPUTED_VALUE"""),"HASTINGS ")</f>
        <v>HASTINGS </v>
      </c>
      <c r="D9953" s="3" t="str">
        <f>IFERROR(__xludf.DUMMYFUNCTION("""COMPUTED_VALUE"""),"K0L 1Y0")</f>
        <v>K0L 1Y0</v>
      </c>
      <c r="E9953" s="3"/>
      <c r="F9953" s="3"/>
      <c r="G9953" s="3"/>
      <c r="H9953" s="3"/>
    </row>
    <row r="9954">
      <c r="A9954" s="2">
        <f>IFERROR(__xludf.DUMMYFUNCTION("""COMPUTED_VALUE"""),50774.0)</f>
        <v>50774</v>
      </c>
      <c r="B9954" s="3" t="str">
        <f>IFERROR(__xludf.DUMMYFUNCTION("""COMPUTED_VALUE"""),"10711 COUNTY RD 45")</f>
        <v>10711 COUNTY RD 45</v>
      </c>
      <c r="C9954" s="3" t="str">
        <f>IFERROR(__xludf.DUMMYFUNCTION("""COMPUTED_VALUE"""),"HASTINGS ")</f>
        <v>HASTINGS </v>
      </c>
      <c r="D9954" s="3" t="str">
        <f>IFERROR(__xludf.DUMMYFUNCTION("""COMPUTED_VALUE"""),"K0L 1Y0")</f>
        <v>K0L 1Y0</v>
      </c>
      <c r="E9954" s="3" t="str">
        <f>IFERROR(__xludf.DUMMYFUNCTION("""COMPUTED_VALUE"""),"Susan Van-Allen | John Van-Allen")</f>
        <v>Susan Van-Allen | John Van-Allen</v>
      </c>
      <c r="F9954" s="3" t="str">
        <f>IFERROR(__xludf.DUMMYFUNCTION("""COMPUTED_VALUE"""),"susanvanallen@icloud.com")</f>
        <v>susanvanallen@icloud.com</v>
      </c>
      <c r="G9954" s="3"/>
      <c r="H9954" s="3"/>
    </row>
    <row r="9955">
      <c r="A9955" s="2">
        <f>IFERROR(__xludf.DUMMYFUNCTION("""COMPUTED_VALUE"""),50775.0)</f>
        <v>50775</v>
      </c>
      <c r="B9955" s="3" t="str">
        <f>IFERROR(__xludf.DUMMYFUNCTION("""COMPUTED_VALUE"""),"10725 COUNTY RD 45")</f>
        <v>10725 COUNTY RD 45</v>
      </c>
      <c r="C9955" s="3" t="str">
        <f>IFERROR(__xludf.DUMMYFUNCTION("""COMPUTED_VALUE"""),"HASTINGS ")</f>
        <v>HASTINGS </v>
      </c>
      <c r="D9955" s="3" t="str">
        <f>IFERROR(__xludf.DUMMYFUNCTION("""COMPUTED_VALUE"""),"K0L 1Y0")</f>
        <v>K0L 1Y0</v>
      </c>
      <c r="E9955" s="3"/>
      <c r="F9955" s="3"/>
      <c r="G9955" s="3"/>
      <c r="H9955" s="3"/>
    </row>
    <row r="9956">
      <c r="A9956" s="2">
        <f>IFERROR(__xludf.DUMMYFUNCTION("""COMPUTED_VALUE"""),50776.0)</f>
        <v>50776</v>
      </c>
      <c r="B9956" s="3" t="str">
        <f>IFERROR(__xludf.DUMMYFUNCTION("""COMPUTED_VALUE"""),"10755 COUNTY RD 45")</f>
        <v>10755 COUNTY RD 45</v>
      </c>
      <c r="C9956" s="3" t="str">
        <f>IFERROR(__xludf.DUMMYFUNCTION("""COMPUTED_VALUE"""),"HASTINGS ")</f>
        <v>HASTINGS </v>
      </c>
      <c r="D9956" s="3" t="str">
        <f>IFERROR(__xludf.DUMMYFUNCTION("""COMPUTED_VALUE"""),"K0L 1Y0")</f>
        <v>K0L 1Y0</v>
      </c>
      <c r="E9956" s="3" t="str">
        <f>IFERROR(__xludf.DUMMYFUNCTION("""COMPUTED_VALUE"""),"Jason Lachaine")</f>
        <v>Jason Lachaine</v>
      </c>
      <c r="F9956" s="3" t="str">
        <f>IFERROR(__xludf.DUMMYFUNCTION("""COMPUTED_VALUE"""),"jasonlachaine681@gmail.com")</f>
        <v>jasonlachaine681@gmail.com</v>
      </c>
      <c r="G9956" s="3">
        <f>IFERROR(__xludf.DUMMYFUNCTION("""COMPUTED_VALUE"""),2.898290743E9)</f>
        <v>2898290743</v>
      </c>
      <c r="H9956" s="3">
        <f>IFERROR(__xludf.DUMMYFUNCTION("""COMPUTED_VALUE"""),7.059339334E9)</f>
        <v>7059339334</v>
      </c>
    </row>
    <row r="9957">
      <c r="A9957" s="2">
        <f>IFERROR(__xludf.DUMMYFUNCTION("""COMPUTED_VALUE"""),50777.0)</f>
        <v>50777</v>
      </c>
      <c r="B9957" s="3" t="str">
        <f>IFERROR(__xludf.DUMMYFUNCTION("""COMPUTED_VALUE"""),"10943 COUNTY RD 45")</f>
        <v>10943 COUNTY RD 45</v>
      </c>
      <c r="C9957" s="3" t="str">
        <f>IFERROR(__xludf.DUMMYFUNCTION("""COMPUTED_VALUE"""),"HASTINGS ")</f>
        <v>HASTINGS </v>
      </c>
      <c r="D9957" s="3" t="str">
        <f>IFERROR(__xludf.DUMMYFUNCTION("""COMPUTED_VALUE"""),"K0L 1Y0")</f>
        <v>K0L 1Y0</v>
      </c>
      <c r="E9957" s="3"/>
      <c r="F9957" s="3"/>
      <c r="G9957" s="3"/>
      <c r="H9957" s="3"/>
    </row>
    <row r="9958">
      <c r="A9958" s="2">
        <f>IFERROR(__xludf.DUMMYFUNCTION("""COMPUTED_VALUE"""),50778.0)</f>
        <v>50778</v>
      </c>
      <c r="B9958" s="3" t="str">
        <f>IFERROR(__xludf.DUMMYFUNCTION("""COMPUTED_VALUE"""),"10955 COUNTY RD 45")</f>
        <v>10955 COUNTY RD 45</v>
      </c>
      <c r="C9958" s="3" t="str">
        <f>IFERROR(__xludf.DUMMYFUNCTION("""COMPUTED_VALUE"""),"HASTINGS ")</f>
        <v>HASTINGS </v>
      </c>
      <c r="D9958" s="3" t="str">
        <f>IFERROR(__xludf.DUMMYFUNCTION("""COMPUTED_VALUE"""),"K0L 1Y0")</f>
        <v>K0L 1Y0</v>
      </c>
      <c r="E9958" s="3" t="str">
        <f>IFERROR(__xludf.DUMMYFUNCTION("""COMPUTED_VALUE"""),"Mike Thal ")</f>
        <v>Mike Thal </v>
      </c>
      <c r="F9958" s="3" t="str">
        <f>IFERROR(__xludf.DUMMYFUNCTION("""COMPUTED_VALUE"""),"cn51700@zoho.com")</f>
        <v>cn51700@zoho.com</v>
      </c>
      <c r="G9958" s="3"/>
      <c r="H9958" s="3"/>
    </row>
    <row r="9959">
      <c r="A9959" s="2">
        <f>IFERROR(__xludf.DUMMYFUNCTION("""COMPUTED_VALUE"""),50779.0)</f>
        <v>50779</v>
      </c>
      <c r="B9959" s="3" t="str">
        <f>IFERROR(__xludf.DUMMYFUNCTION("""COMPUTED_VALUE"""),"11047 COUNTY RD 45")</f>
        <v>11047 COUNTY RD 45</v>
      </c>
      <c r="C9959" s="3" t="str">
        <f>IFERROR(__xludf.DUMMYFUNCTION("""COMPUTED_VALUE"""),"HASTINGS ")</f>
        <v>HASTINGS </v>
      </c>
      <c r="D9959" s="3" t="str">
        <f>IFERROR(__xludf.DUMMYFUNCTION("""COMPUTED_VALUE"""),"K0L 1Y0")</f>
        <v>K0L 1Y0</v>
      </c>
      <c r="E9959" s="3"/>
      <c r="F9959" s="3"/>
      <c r="G9959" s="3"/>
      <c r="H9959" s="3"/>
    </row>
    <row r="9960">
      <c r="A9960" s="2">
        <f>IFERROR(__xludf.DUMMYFUNCTION("""COMPUTED_VALUE"""),50780.0)</f>
        <v>50780</v>
      </c>
      <c r="B9960" s="3" t="str">
        <f>IFERROR(__xludf.DUMMYFUNCTION("""COMPUTED_VALUE"""),"11125 COUNTY RD 45")</f>
        <v>11125 COUNTY RD 45</v>
      </c>
      <c r="C9960" s="3" t="str">
        <f>IFERROR(__xludf.DUMMYFUNCTION("""COMPUTED_VALUE"""),"HASTINGS ")</f>
        <v>HASTINGS </v>
      </c>
      <c r="D9960" s="3" t="str">
        <f>IFERROR(__xludf.DUMMYFUNCTION("""COMPUTED_VALUE"""),"K0L 1Y0")</f>
        <v>K0L 1Y0</v>
      </c>
      <c r="E9960" s="3"/>
      <c r="F9960" s="3"/>
      <c r="G9960" s="3"/>
      <c r="H9960" s="3"/>
    </row>
    <row r="9961">
      <c r="A9961" s="2">
        <f>IFERROR(__xludf.DUMMYFUNCTION("""COMPUTED_VALUE"""),50781.0)</f>
        <v>50781</v>
      </c>
      <c r="B9961" s="3" t="str">
        <f>IFERROR(__xludf.DUMMYFUNCTION("""COMPUTED_VALUE"""),"11275 COUNTY RD 45")</f>
        <v>11275 COUNTY RD 45</v>
      </c>
      <c r="C9961" s="3" t="str">
        <f>IFERROR(__xludf.DUMMYFUNCTION("""COMPUTED_VALUE"""),"HASTINGS ")</f>
        <v>HASTINGS </v>
      </c>
      <c r="D9961" s="3" t="str">
        <f>IFERROR(__xludf.DUMMYFUNCTION("""COMPUTED_VALUE"""),"K0L 1Y0")</f>
        <v>K0L 1Y0</v>
      </c>
      <c r="E9961" s="3"/>
      <c r="F9961" s="3"/>
      <c r="G9961" s="3"/>
      <c r="H9961" s="3"/>
    </row>
    <row r="9962">
      <c r="A9962" s="2">
        <f>IFERROR(__xludf.DUMMYFUNCTION("""COMPUTED_VALUE"""),50782.0)</f>
        <v>50782</v>
      </c>
      <c r="B9962" s="3" t="str">
        <f>IFERROR(__xludf.DUMMYFUNCTION("""COMPUTED_VALUE"""),"11383 COUNTY RD 45")</f>
        <v>11383 COUNTY RD 45</v>
      </c>
      <c r="C9962" s="3" t="str">
        <f>IFERROR(__xludf.DUMMYFUNCTION("""COMPUTED_VALUE"""),"HASTINGS ")</f>
        <v>HASTINGS </v>
      </c>
      <c r="D9962" s="3" t="str">
        <f>IFERROR(__xludf.DUMMYFUNCTION("""COMPUTED_VALUE"""),"K0L 1Y0")</f>
        <v>K0L 1Y0</v>
      </c>
      <c r="E9962" s="3" t="str">
        <f>IFERROR(__xludf.DUMMYFUNCTION("""COMPUTED_VALUE"""),"Elizabeth Kaupe")</f>
        <v>Elizabeth Kaupe</v>
      </c>
      <c r="F9962" s="3" t="str">
        <f>IFERROR(__xludf.DUMMYFUNCTION("""COMPUTED_VALUE"""),"eakaupe@gmail.com")</f>
        <v>eakaupe@gmail.com</v>
      </c>
      <c r="G9962" s="3"/>
      <c r="H9962" s="3"/>
    </row>
    <row r="9963">
      <c r="A9963" s="2">
        <f>IFERROR(__xludf.DUMMYFUNCTION("""COMPUTED_VALUE"""),50783.0)</f>
        <v>50783</v>
      </c>
      <c r="B9963" s="3" t="str">
        <f>IFERROR(__xludf.DUMMYFUNCTION("""COMPUTED_VALUE"""),"7779 COUNTY RD 45")</f>
        <v>7779 COUNTY RD 45</v>
      </c>
      <c r="C9963" s="3" t="str">
        <f>IFERROR(__xludf.DUMMYFUNCTION("""COMPUTED_VALUE"""),"HASTINGS ")</f>
        <v>HASTINGS </v>
      </c>
      <c r="D9963" s="3" t="str">
        <f>IFERROR(__xludf.DUMMYFUNCTION("""COMPUTED_VALUE"""),"K0L 1Y0")</f>
        <v>K0L 1Y0</v>
      </c>
      <c r="E9963" s="3"/>
      <c r="F9963" s="3"/>
      <c r="G9963" s="3"/>
      <c r="H9963" s="3"/>
    </row>
    <row r="9964">
      <c r="A9964" s="2">
        <f>IFERROR(__xludf.DUMMYFUNCTION("""COMPUTED_VALUE"""),50784.0)</f>
        <v>50784</v>
      </c>
      <c r="B9964" s="3" t="str">
        <f>IFERROR(__xludf.DUMMYFUNCTION("""COMPUTED_VALUE"""),"8440A COUNTY RD 45")</f>
        <v>8440A COUNTY RD 45</v>
      </c>
      <c r="C9964" s="3" t="str">
        <f>IFERROR(__xludf.DUMMYFUNCTION("""COMPUTED_VALUE"""),"ROSENEATH ")</f>
        <v>ROSENEATH </v>
      </c>
      <c r="D9964" s="3" t="str">
        <f>IFERROR(__xludf.DUMMYFUNCTION("""COMPUTED_VALUE"""),"K0K 2X0")</f>
        <v>K0K 2X0</v>
      </c>
      <c r="E9964" s="3"/>
      <c r="F9964" s="3"/>
      <c r="G9964" s="3"/>
      <c r="H9964" s="3"/>
    </row>
    <row r="9965">
      <c r="A9965" s="2">
        <f>IFERROR(__xludf.DUMMYFUNCTION("""COMPUTED_VALUE"""),50785.0)</f>
        <v>50785</v>
      </c>
      <c r="B9965" s="3" t="str">
        <f>IFERROR(__xludf.DUMMYFUNCTION("""COMPUTED_VALUE"""),"8440B COUNTY RD 45")</f>
        <v>8440B COUNTY RD 45</v>
      </c>
      <c r="C9965" s="3" t="str">
        <f>IFERROR(__xludf.DUMMYFUNCTION("""COMPUTED_VALUE"""),"ROSENEATH ")</f>
        <v>ROSENEATH </v>
      </c>
      <c r="D9965" s="3" t="str">
        <f>IFERROR(__xludf.DUMMYFUNCTION("""COMPUTED_VALUE"""),"K0K 2X0")</f>
        <v>K0K 2X0</v>
      </c>
      <c r="E9965" s="3"/>
      <c r="F9965" s="3"/>
      <c r="G9965" s="3"/>
      <c r="H9965" s="3"/>
    </row>
    <row r="9966">
      <c r="A9966" s="2">
        <f>IFERROR(__xludf.DUMMYFUNCTION("""COMPUTED_VALUE"""),50786.0)</f>
        <v>50786</v>
      </c>
      <c r="B9966" s="3" t="str">
        <f>IFERROR(__xludf.DUMMYFUNCTION("""COMPUTED_VALUE"""),"8524A COUNTY RD 45")</f>
        <v>8524A COUNTY RD 45</v>
      </c>
      <c r="C9966" s="3" t="str">
        <f>IFERROR(__xludf.DUMMYFUNCTION("""COMPUTED_VALUE"""),"ROSENEATH ")</f>
        <v>ROSENEATH </v>
      </c>
      <c r="D9966" s="3" t="str">
        <f>IFERROR(__xludf.DUMMYFUNCTION("""COMPUTED_VALUE"""),"K0K 2X0")</f>
        <v>K0K 2X0</v>
      </c>
      <c r="E9966" s="3"/>
      <c r="F9966" s="3"/>
      <c r="G9966" s="3"/>
      <c r="H9966" s="3"/>
    </row>
    <row r="9967">
      <c r="A9967" s="2">
        <f>IFERROR(__xludf.DUMMYFUNCTION("""COMPUTED_VALUE"""),50787.0)</f>
        <v>50787</v>
      </c>
      <c r="B9967" s="3" t="str">
        <f>IFERROR(__xludf.DUMMYFUNCTION("""COMPUTED_VALUE"""),"8524B COUNTY RD 45")</f>
        <v>8524B COUNTY RD 45</v>
      </c>
      <c r="C9967" s="3" t="str">
        <f>IFERROR(__xludf.DUMMYFUNCTION("""COMPUTED_VALUE"""),"ROSENEATH ")</f>
        <v>ROSENEATH </v>
      </c>
      <c r="D9967" s="3" t="str">
        <f>IFERROR(__xludf.DUMMYFUNCTION("""COMPUTED_VALUE"""),"K0K 2X0")</f>
        <v>K0K 2X0</v>
      </c>
      <c r="E9967" s="3"/>
      <c r="F9967" s="3"/>
      <c r="G9967" s="3"/>
      <c r="H9967" s="3"/>
    </row>
    <row r="9968">
      <c r="A9968" s="2">
        <f>IFERROR(__xludf.DUMMYFUNCTION("""COMPUTED_VALUE"""),50788.0)</f>
        <v>50788</v>
      </c>
      <c r="B9968" s="3" t="str">
        <f>IFERROR(__xludf.DUMMYFUNCTION("""COMPUTED_VALUE"""),"8524C COUNTY RD 45")</f>
        <v>8524C COUNTY RD 45</v>
      </c>
      <c r="C9968" s="3" t="str">
        <f>IFERROR(__xludf.DUMMYFUNCTION("""COMPUTED_VALUE"""),"ROSENEATH ")</f>
        <v>ROSENEATH </v>
      </c>
      <c r="D9968" s="3" t="str">
        <f>IFERROR(__xludf.DUMMYFUNCTION("""COMPUTED_VALUE"""),"K0K 2X0")</f>
        <v>K0K 2X0</v>
      </c>
      <c r="E9968" s="3"/>
      <c r="F9968" s="3"/>
      <c r="G9968" s="3"/>
      <c r="H9968" s="3"/>
    </row>
    <row r="9969">
      <c r="A9969" s="2">
        <f>IFERROR(__xludf.DUMMYFUNCTION("""COMPUTED_VALUE"""),50789.0)</f>
        <v>50789</v>
      </c>
      <c r="B9969" s="3" t="str">
        <f>IFERROR(__xludf.DUMMYFUNCTION("""COMPUTED_VALUE"""),"8567B COUNTY RD 45")</f>
        <v>8567B COUNTY RD 45</v>
      </c>
      <c r="C9969" s="3" t="str">
        <f>IFERROR(__xludf.DUMMYFUNCTION("""COMPUTED_VALUE"""),"ROSENEATH ")</f>
        <v>ROSENEATH </v>
      </c>
      <c r="D9969" s="3" t="str">
        <f>IFERROR(__xludf.DUMMYFUNCTION("""COMPUTED_VALUE"""),"K0K 2X0")</f>
        <v>K0K 2X0</v>
      </c>
      <c r="E9969" s="3"/>
      <c r="F9969" s="3"/>
      <c r="G9969" s="3"/>
      <c r="H9969" s="3"/>
    </row>
    <row r="9970">
      <c r="A9970" s="2">
        <f>IFERROR(__xludf.DUMMYFUNCTION("""COMPUTED_VALUE"""),50790.0)</f>
        <v>50790</v>
      </c>
      <c r="B9970" s="3" t="str">
        <f>IFERROR(__xludf.DUMMYFUNCTION("""COMPUTED_VALUE"""),"8896 A-E COUNTY RD 45")</f>
        <v>8896 A-E COUNTY RD 45</v>
      </c>
      <c r="C9970" s="3" t="str">
        <f>IFERROR(__xludf.DUMMYFUNCTION("""COMPUTED_VALUE"""),"ROSENEATH ")</f>
        <v>ROSENEATH </v>
      </c>
      <c r="D9970" s="3" t="str">
        <f>IFERROR(__xludf.DUMMYFUNCTION("""COMPUTED_VALUE"""),"K0K 2X0")</f>
        <v>K0K 2X0</v>
      </c>
      <c r="E9970" s="3"/>
      <c r="F9970" s="3"/>
      <c r="G9970" s="3"/>
      <c r="H9970" s="3"/>
    </row>
    <row r="9971">
      <c r="A9971" s="2">
        <f>IFERROR(__xludf.DUMMYFUNCTION("""COMPUTED_VALUE"""),50791.0)</f>
        <v>50791</v>
      </c>
      <c r="B9971" s="3" t="str">
        <f>IFERROR(__xludf.DUMMYFUNCTION("""COMPUTED_VALUE"""),"8920A COUNTY RD 45")</f>
        <v>8920A COUNTY RD 45</v>
      </c>
      <c r="C9971" s="3" t="str">
        <f>IFERROR(__xludf.DUMMYFUNCTION("""COMPUTED_VALUE"""),"ROSENEATH ")</f>
        <v>ROSENEATH </v>
      </c>
      <c r="D9971" s="3" t="str">
        <f>IFERROR(__xludf.DUMMYFUNCTION("""COMPUTED_VALUE"""),"K0K 2X0")</f>
        <v>K0K 2X0</v>
      </c>
      <c r="E9971" s="3"/>
      <c r="F9971" s="3"/>
      <c r="G9971" s="3"/>
      <c r="H9971" s="3"/>
    </row>
    <row r="9972">
      <c r="A9972" s="2">
        <f>IFERROR(__xludf.DUMMYFUNCTION("""COMPUTED_VALUE"""),50792.0)</f>
        <v>50792</v>
      </c>
      <c r="B9972" s="3" t="str">
        <f>IFERROR(__xludf.DUMMYFUNCTION("""COMPUTED_VALUE"""),"8920B COUNTY RD 45")</f>
        <v>8920B COUNTY RD 45</v>
      </c>
      <c r="C9972" s="3" t="str">
        <f>IFERROR(__xludf.DUMMYFUNCTION("""COMPUTED_VALUE"""),"ROSENEATH ")</f>
        <v>ROSENEATH </v>
      </c>
      <c r="D9972" s="3" t="str">
        <f>IFERROR(__xludf.DUMMYFUNCTION("""COMPUTED_VALUE"""),"K0K 2X0")</f>
        <v>K0K 2X0</v>
      </c>
      <c r="E9972" s="3"/>
      <c r="F9972" s="3"/>
      <c r="G9972" s="3"/>
      <c r="H9972" s="3"/>
    </row>
    <row r="9973">
      <c r="A9973" s="2">
        <f>IFERROR(__xludf.DUMMYFUNCTION("""COMPUTED_VALUE"""),50793.0)</f>
        <v>50793</v>
      </c>
      <c r="B9973" s="3" t="str">
        <f>IFERROR(__xludf.DUMMYFUNCTION("""COMPUTED_VALUE"""),"9000A COUNTY RD 45")</f>
        <v>9000A COUNTY RD 45</v>
      </c>
      <c r="C9973" s="3" t="str">
        <f>IFERROR(__xludf.DUMMYFUNCTION("""COMPUTED_VALUE"""),"ROSENEATH ")</f>
        <v>ROSENEATH </v>
      </c>
      <c r="D9973" s="3" t="str">
        <f>IFERROR(__xludf.DUMMYFUNCTION("""COMPUTED_VALUE"""),"K0K 2X0")</f>
        <v>K0K 2X0</v>
      </c>
      <c r="E9973" s="3"/>
      <c r="F9973" s="3"/>
      <c r="G9973" s="3"/>
      <c r="H9973" s="3"/>
    </row>
    <row r="9974">
      <c r="A9974" s="2">
        <f>IFERROR(__xludf.DUMMYFUNCTION("""COMPUTED_VALUE"""),50794.0)</f>
        <v>50794</v>
      </c>
      <c r="B9974" s="3" t="str">
        <f>IFERROR(__xludf.DUMMYFUNCTION("""COMPUTED_VALUE"""),"9000B COUNTY RD 45")</f>
        <v>9000B COUNTY RD 45</v>
      </c>
      <c r="C9974" s="3" t="str">
        <f>IFERROR(__xludf.DUMMYFUNCTION("""COMPUTED_VALUE"""),"ROSENEATH ")</f>
        <v>ROSENEATH </v>
      </c>
      <c r="D9974" s="3" t="str">
        <f>IFERROR(__xludf.DUMMYFUNCTION("""COMPUTED_VALUE"""),"K0K 2X0")</f>
        <v>K0K 2X0</v>
      </c>
      <c r="E9974" s="3"/>
      <c r="F9974" s="3"/>
      <c r="G9974" s="3"/>
      <c r="H9974" s="3"/>
    </row>
    <row r="9975">
      <c r="A9975" s="2">
        <f>IFERROR(__xludf.DUMMYFUNCTION("""COMPUTED_VALUE"""),50795.0)</f>
        <v>50795</v>
      </c>
      <c r="B9975" s="3" t="str">
        <f>IFERROR(__xludf.DUMMYFUNCTION("""COMPUTED_VALUE"""),"9132-9134 COUNTY RD 45")</f>
        <v>9132-9134 COUNTY RD 45</v>
      </c>
      <c r="C9975" s="3" t="str">
        <f>IFERROR(__xludf.DUMMYFUNCTION("""COMPUTED_VALUE"""),"ROSENEATH ")</f>
        <v>ROSENEATH </v>
      </c>
      <c r="D9975" s="3" t="str">
        <f>IFERROR(__xludf.DUMMYFUNCTION("""COMPUTED_VALUE"""),"K0K 2X0")</f>
        <v>K0K 2X0</v>
      </c>
      <c r="E9975" s="3"/>
      <c r="F9975" s="3"/>
      <c r="G9975" s="3"/>
      <c r="H9975" s="3"/>
    </row>
    <row r="9976">
      <c r="A9976" s="2">
        <f>IFERROR(__xludf.DUMMYFUNCTION("""COMPUTED_VALUE"""),51972.0)</f>
        <v>51972</v>
      </c>
      <c r="B9976" s="3" t="str">
        <f>IFERROR(__xludf.DUMMYFUNCTION("""COMPUTED_VALUE"""),"7793 COUNTY RD 45")</f>
        <v>7793 COUNTY RD 45</v>
      </c>
      <c r="C9976" s="3"/>
      <c r="D9976" s="3"/>
      <c r="E9976" s="3"/>
      <c r="F9976" s="3"/>
      <c r="G9976" s="3"/>
      <c r="H9976" s="3"/>
    </row>
    <row r="9977">
      <c r="A9977" s="2">
        <f>IFERROR(__xludf.DUMMYFUNCTION("""COMPUTED_VALUE"""),51973.0)</f>
        <v>51973</v>
      </c>
      <c r="B9977" s="3" t="str">
        <f>IFERROR(__xludf.DUMMYFUNCTION("""COMPUTED_VALUE"""),"7787 COUNTY RD 45")</f>
        <v>7787 COUNTY RD 45</v>
      </c>
      <c r="C9977" s="3"/>
      <c r="D9977" s="3"/>
      <c r="E9977" s="3"/>
      <c r="F9977" s="3"/>
      <c r="G9977" s="3"/>
      <c r="H9977" s="3"/>
    </row>
    <row r="9978">
      <c r="A9978" s="2">
        <f>IFERROR(__xludf.DUMMYFUNCTION("""COMPUTED_VALUE"""),51978.0)</f>
        <v>51978</v>
      </c>
      <c r="B9978" s="3" t="str">
        <f>IFERROR(__xludf.DUMMYFUNCTION("""COMPUTED_VALUE"""),"8461-B COUNTY RD 45")</f>
        <v>8461-B COUNTY RD 45</v>
      </c>
      <c r="C9978" s="3"/>
      <c r="D9978" s="3"/>
      <c r="E9978" s="3"/>
      <c r="F9978" s="3"/>
      <c r="G9978" s="3"/>
      <c r="H9978" s="3"/>
    </row>
    <row r="9979">
      <c r="A9979" s="2">
        <f>IFERROR(__xludf.DUMMYFUNCTION("""COMPUTED_VALUE"""),50796.0)</f>
        <v>50796</v>
      </c>
      <c r="B9979" s="3" t="str">
        <f>IFERROR(__xludf.DUMMYFUNCTION("""COMPUTED_VALUE"""),"10652 COUNTY RD 9")</f>
        <v>10652 COUNTY RD 9</v>
      </c>
      <c r="C9979" s="3" t="str">
        <f>IFERROR(__xludf.DUMMYFUNCTION("""COMPUTED_VALUE"""),"ROSENEATH ")</f>
        <v>ROSENEATH </v>
      </c>
      <c r="D9979" s="3" t="str">
        <f>IFERROR(__xludf.DUMMYFUNCTION("""COMPUTED_VALUE"""),"K0K 2X0")</f>
        <v>K0K 2X0</v>
      </c>
      <c r="E9979" s="3"/>
      <c r="F9979" s="3"/>
      <c r="G9979" s="3"/>
      <c r="H9979" s="3"/>
    </row>
    <row r="9980">
      <c r="A9980" s="2">
        <f>IFERROR(__xludf.DUMMYFUNCTION("""COMPUTED_VALUE"""),50797.0)</f>
        <v>50797</v>
      </c>
      <c r="B9980" s="3" t="str">
        <f>IFERROR(__xludf.DUMMYFUNCTION("""COMPUTED_VALUE"""),"10708 COUNTY ROAD 9")</f>
        <v>10708 COUNTY ROAD 9</v>
      </c>
      <c r="C9980" s="3" t="str">
        <f>IFERROR(__xludf.DUMMYFUNCTION("""COMPUTED_VALUE"""),"ROSENEATH ")</f>
        <v>ROSENEATH </v>
      </c>
      <c r="D9980" s="3" t="str">
        <f>IFERROR(__xludf.DUMMYFUNCTION("""COMPUTED_VALUE"""),"K0K 2X0")</f>
        <v>K0K 2X0</v>
      </c>
      <c r="E9980" s="3"/>
      <c r="F9980" s="3"/>
      <c r="G9980" s="3"/>
      <c r="H9980" s="3"/>
    </row>
    <row r="9981">
      <c r="A9981" s="2">
        <f>IFERROR(__xludf.DUMMYFUNCTION("""COMPUTED_VALUE"""),50798.0)</f>
        <v>50798</v>
      </c>
      <c r="B9981" s="3" t="str">
        <f>IFERROR(__xludf.DUMMYFUNCTION("""COMPUTED_VALUE"""),"10732 COUNTY ROAD 9")</f>
        <v>10732 COUNTY ROAD 9</v>
      </c>
      <c r="C9981" s="3" t="str">
        <f>IFERROR(__xludf.DUMMYFUNCTION("""COMPUTED_VALUE"""),"ROSENEATH ")</f>
        <v>ROSENEATH </v>
      </c>
      <c r="D9981" s="3" t="str">
        <f>IFERROR(__xludf.DUMMYFUNCTION("""COMPUTED_VALUE"""),"K0K 2X0")</f>
        <v>K0K 2X0</v>
      </c>
      <c r="E9981" s="3" t="str">
        <f>IFERROR(__xludf.DUMMYFUNCTION("""COMPUTED_VALUE"""),"Sheila Burns")</f>
        <v>Sheila Burns</v>
      </c>
      <c r="F9981" s="3" t="str">
        <f>IFERROR(__xludf.DUMMYFUNCTION("""COMPUTED_VALUE"""),"primrosedonkeysanctuary@gmail.com")</f>
        <v>primrosedonkeysanctuary@gmail.com</v>
      </c>
      <c r="G9981" s="3">
        <f>IFERROR(__xludf.DUMMYFUNCTION("""COMPUTED_VALUE"""),9.053754673E9)</f>
        <v>9053754673</v>
      </c>
      <c r="H9981" s="3"/>
    </row>
    <row r="9982">
      <c r="A9982" s="2">
        <f>IFERROR(__xludf.DUMMYFUNCTION("""COMPUTED_VALUE"""),50799.0)</f>
        <v>50799</v>
      </c>
      <c r="B9982" s="3" t="str">
        <f>IFERROR(__xludf.DUMMYFUNCTION("""COMPUTED_VALUE"""),"10819 COUNTY ROAD 9")</f>
        <v>10819 COUNTY ROAD 9</v>
      </c>
      <c r="C9982" s="3" t="str">
        <f>IFERROR(__xludf.DUMMYFUNCTION("""COMPUTED_VALUE"""),"ROSENEATH ")</f>
        <v>ROSENEATH </v>
      </c>
      <c r="D9982" s="3" t="str">
        <f>IFERROR(__xludf.DUMMYFUNCTION("""COMPUTED_VALUE"""),"K0K 2X0")</f>
        <v>K0K 2X0</v>
      </c>
      <c r="E9982" s="3"/>
      <c r="F9982" s="3"/>
      <c r="G9982" s="3"/>
      <c r="H9982" s="3"/>
    </row>
    <row r="9983">
      <c r="A9983" s="2">
        <f>IFERROR(__xludf.DUMMYFUNCTION("""COMPUTED_VALUE"""),50800.0)</f>
        <v>50800</v>
      </c>
      <c r="B9983" s="3" t="str">
        <f>IFERROR(__xludf.DUMMYFUNCTION("""COMPUTED_VALUE"""),"10836 COUNTY ROAD 9")</f>
        <v>10836 COUNTY ROAD 9</v>
      </c>
      <c r="C9983" s="3" t="str">
        <f>IFERROR(__xludf.DUMMYFUNCTION("""COMPUTED_VALUE"""),"ROSENEATH ")</f>
        <v>ROSENEATH </v>
      </c>
      <c r="D9983" s="3" t="str">
        <f>IFERROR(__xludf.DUMMYFUNCTION("""COMPUTED_VALUE"""),"K0K 2X0")</f>
        <v>K0K 2X0</v>
      </c>
      <c r="E9983" s="3"/>
      <c r="F9983" s="3"/>
      <c r="G9983" s="3"/>
      <c r="H9983" s="3"/>
    </row>
    <row r="9984">
      <c r="A9984" s="2">
        <f>IFERROR(__xludf.DUMMYFUNCTION("""COMPUTED_VALUE"""),50801.0)</f>
        <v>50801</v>
      </c>
      <c r="B9984" s="3" t="str">
        <f>IFERROR(__xludf.DUMMYFUNCTION("""COMPUTED_VALUE"""),"10866 COUNTY ROAD 9")</f>
        <v>10866 COUNTY ROAD 9</v>
      </c>
      <c r="C9984" s="3" t="str">
        <f>IFERROR(__xludf.DUMMYFUNCTION("""COMPUTED_VALUE"""),"ROSENEATH ")</f>
        <v>ROSENEATH </v>
      </c>
      <c r="D9984" s="3" t="str">
        <f>IFERROR(__xludf.DUMMYFUNCTION("""COMPUTED_VALUE"""),"K0K 2X0")</f>
        <v>K0K 2X0</v>
      </c>
      <c r="E9984" s="3"/>
      <c r="F9984" s="3"/>
      <c r="G9984" s="3"/>
      <c r="H9984" s="3"/>
    </row>
    <row r="9985">
      <c r="A9985" s="2">
        <f>IFERROR(__xludf.DUMMYFUNCTION("""COMPUTED_VALUE"""),50802.0)</f>
        <v>50802</v>
      </c>
      <c r="B9985" s="3" t="str">
        <f>IFERROR(__xludf.DUMMYFUNCTION("""COMPUTED_VALUE"""),"10869 COUNTY ROAD 9")</f>
        <v>10869 COUNTY ROAD 9</v>
      </c>
      <c r="C9985" s="3" t="str">
        <f>IFERROR(__xludf.DUMMYFUNCTION("""COMPUTED_VALUE"""),"ROSENEATH ")</f>
        <v>ROSENEATH </v>
      </c>
      <c r="D9985" s="3" t="str">
        <f>IFERROR(__xludf.DUMMYFUNCTION("""COMPUTED_VALUE"""),"K0K 2X0")</f>
        <v>K0K 2X0</v>
      </c>
      <c r="E9985" s="3"/>
      <c r="F9985" s="3"/>
      <c r="G9985" s="3"/>
      <c r="H9985" s="3"/>
    </row>
    <row r="9986">
      <c r="A9986" s="2">
        <f>IFERROR(__xludf.DUMMYFUNCTION("""COMPUTED_VALUE"""),50803.0)</f>
        <v>50803</v>
      </c>
      <c r="B9986" s="3" t="str">
        <f>IFERROR(__xludf.DUMMYFUNCTION("""COMPUTED_VALUE"""),"10913 COUNTY ROAD 9")</f>
        <v>10913 COUNTY ROAD 9</v>
      </c>
      <c r="C9986" s="3" t="str">
        <f>IFERROR(__xludf.DUMMYFUNCTION("""COMPUTED_VALUE"""),"ROSENEATH ")</f>
        <v>ROSENEATH </v>
      </c>
      <c r="D9986" s="3" t="str">
        <f>IFERROR(__xludf.DUMMYFUNCTION("""COMPUTED_VALUE"""),"K0K 2X0")</f>
        <v>K0K 2X0</v>
      </c>
      <c r="E9986" s="3"/>
      <c r="F9986" s="3"/>
      <c r="G9986" s="3"/>
      <c r="H9986" s="3"/>
    </row>
    <row r="9987">
      <c r="A9987" s="2">
        <f>IFERROR(__xludf.DUMMYFUNCTION("""COMPUTED_VALUE"""),50804.0)</f>
        <v>50804</v>
      </c>
      <c r="B9987" s="3" t="str">
        <f>IFERROR(__xludf.DUMMYFUNCTION("""COMPUTED_VALUE"""),"10947 COUNTY ROAD 9")</f>
        <v>10947 COUNTY ROAD 9</v>
      </c>
      <c r="C9987" s="3" t="str">
        <f>IFERROR(__xludf.DUMMYFUNCTION("""COMPUTED_VALUE"""),"ROSENEATH ")</f>
        <v>ROSENEATH </v>
      </c>
      <c r="D9987" s="3" t="str">
        <f>IFERROR(__xludf.DUMMYFUNCTION("""COMPUTED_VALUE"""),"K0K 2X0")</f>
        <v>K0K 2X0</v>
      </c>
      <c r="E9987" s="3"/>
      <c r="F9987" s="3"/>
      <c r="G9987" s="3"/>
      <c r="H9987" s="3"/>
    </row>
    <row r="9988">
      <c r="A9988" s="2">
        <f>IFERROR(__xludf.DUMMYFUNCTION("""COMPUTED_VALUE"""),50805.0)</f>
        <v>50805</v>
      </c>
      <c r="B9988" s="3" t="str">
        <f>IFERROR(__xludf.DUMMYFUNCTION("""COMPUTED_VALUE"""),"10969 COUNTY ROAD 9")</f>
        <v>10969 COUNTY ROAD 9</v>
      </c>
      <c r="C9988" s="3" t="str">
        <f>IFERROR(__xludf.DUMMYFUNCTION("""COMPUTED_VALUE"""),"ROSENEATH ")</f>
        <v>ROSENEATH </v>
      </c>
      <c r="D9988" s="3" t="str">
        <f>IFERROR(__xludf.DUMMYFUNCTION("""COMPUTED_VALUE"""),"K0K 2X0")</f>
        <v>K0K 2X0</v>
      </c>
      <c r="E9988" s="3"/>
      <c r="F9988" s="3"/>
      <c r="G9988" s="3"/>
      <c r="H9988" s="3"/>
    </row>
    <row r="9989">
      <c r="A9989" s="2">
        <f>IFERROR(__xludf.DUMMYFUNCTION("""COMPUTED_VALUE"""),51983.0)</f>
        <v>51983</v>
      </c>
      <c r="B9989" s="3" t="str">
        <f>IFERROR(__xludf.DUMMYFUNCTION("""COMPUTED_VALUE"""),"(ACROSS FROM) 10913 COUNTY ROAD 9")</f>
        <v>(ACROSS FROM) 10913 COUNTY ROAD 9</v>
      </c>
      <c r="C9989" s="3" t="str">
        <f>IFERROR(__xludf.DUMMYFUNCTION("""COMPUTED_VALUE"""),"ROSENEATH")</f>
        <v>ROSENEATH</v>
      </c>
      <c r="D9989" s="3" t="str">
        <f>IFERROR(__xludf.DUMMYFUNCTION("""COMPUTED_VALUE"""),"K0K 2X0")</f>
        <v>K0K 2X0</v>
      </c>
      <c r="E9989" s="3"/>
      <c r="F9989" s="3"/>
      <c r="G9989" s="3"/>
      <c r="H9989" s="3"/>
    </row>
    <row r="9990">
      <c r="A9990" s="2">
        <f>IFERROR(__xludf.DUMMYFUNCTION("""COMPUTED_VALUE"""),50818.0)</f>
        <v>50818</v>
      </c>
      <c r="B9990" s="3" t="str">
        <f>IFERROR(__xludf.DUMMYFUNCTION("""COMPUTED_VALUE"""),"28 COYLE RD")</f>
        <v>28 COYLE RD</v>
      </c>
      <c r="C9990" s="3" t="str">
        <f>IFERROR(__xludf.DUMMYFUNCTION("""COMPUTED_VALUE"""),"HASTINGS")</f>
        <v>HASTINGS</v>
      </c>
      <c r="D9990" s="3" t="str">
        <f>IFERROR(__xludf.DUMMYFUNCTION("""COMPUTED_VALUE"""),"K0L 1Y0")</f>
        <v>K0L 1Y0</v>
      </c>
      <c r="E9990" s="3" t="str">
        <f>IFERROR(__xludf.DUMMYFUNCTION("""COMPUTED_VALUE"""),"Colin Jeff TOWES ")</f>
        <v>Colin Jeff TOWES </v>
      </c>
      <c r="F9990" s="3" t="str">
        <f>IFERROR(__xludf.DUMMYFUNCTION("""COMPUTED_VALUE"""),"c.towes@outlook.com")</f>
        <v>c.towes@outlook.com</v>
      </c>
      <c r="G9990" s="3"/>
      <c r="H9990" s="3"/>
    </row>
    <row r="9991">
      <c r="A9991" s="2">
        <f>IFERROR(__xludf.DUMMYFUNCTION("""COMPUTED_VALUE"""),50819.0)</f>
        <v>50819</v>
      </c>
      <c r="B9991" s="3" t="str">
        <f>IFERROR(__xludf.DUMMYFUNCTION("""COMPUTED_VALUE"""),"37 COYLE RD")</f>
        <v>37 COYLE RD</v>
      </c>
      <c r="C9991" s="3" t="str">
        <f>IFERROR(__xludf.DUMMYFUNCTION("""COMPUTED_VALUE"""),"ROSENEATH ")</f>
        <v>ROSENEATH </v>
      </c>
      <c r="D9991" s="3" t="str">
        <f>IFERROR(__xludf.DUMMYFUNCTION("""COMPUTED_VALUE"""),"K0K 2X0")</f>
        <v>K0K 2X0</v>
      </c>
      <c r="E9991" s="3" t="str">
        <f>IFERROR(__xludf.DUMMYFUNCTION("""COMPUTED_VALUE"""),"Rick Wood")</f>
        <v>Rick Wood</v>
      </c>
      <c r="F9991" s="3" t="str">
        <f>IFERROR(__xludf.DUMMYFUNCTION("""COMPUTED_VALUE"""),"rickannewood@gmail.com")</f>
        <v>rickannewood@gmail.com</v>
      </c>
      <c r="G9991" s="3">
        <f>IFERROR(__xludf.DUMMYFUNCTION("""COMPUTED_VALUE"""),9.053522726E9)</f>
        <v>9053522726</v>
      </c>
      <c r="H9991" s="3">
        <f>IFERROR(__xludf.DUMMYFUNCTION("""COMPUTED_VALUE"""),7.059172726E9)</f>
        <v>7059172726</v>
      </c>
    </row>
    <row r="9992">
      <c r="A9992" s="2">
        <f>IFERROR(__xludf.DUMMYFUNCTION("""COMPUTED_VALUE"""),50820.0)</f>
        <v>50820</v>
      </c>
      <c r="B9992" s="3" t="str">
        <f>IFERROR(__xludf.DUMMYFUNCTION("""COMPUTED_VALUE"""),"96 COYLE RD")</f>
        <v>96 COYLE RD</v>
      </c>
      <c r="C9992" s="3" t="str">
        <f>IFERROR(__xludf.DUMMYFUNCTION("""COMPUTED_VALUE"""),"ROSENEATH ")</f>
        <v>ROSENEATH </v>
      </c>
      <c r="D9992" s="3" t="str">
        <f>IFERROR(__xludf.DUMMYFUNCTION("""COMPUTED_VALUE"""),"K0K 2X0")</f>
        <v>K0K 2X0</v>
      </c>
      <c r="E9992" s="3"/>
      <c r="F9992" s="3"/>
      <c r="G9992" s="3"/>
      <c r="H9992" s="3"/>
    </row>
    <row r="9993">
      <c r="A9993" s="2">
        <f>IFERROR(__xludf.DUMMYFUNCTION("""COMPUTED_VALUE"""),50821.0)</f>
        <v>50821</v>
      </c>
      <c r="B9993" s="3" t="str">
        <f>IFERROR(__xludf.DUMMYFUNCTION("""COMPUTED_VALUE"""),"185 COYLE RD")</f>
        <v>185 COYLE RD</v>
      </c>
      <c r="C9993" s="3" t="str">
        <f>IFERROR(__xludf.DUMMYFUNCTION("""COMPUTED_VALUE"""),"ROSENEATH ")</f>
        <v>ROSENEATH </v>
      </c>
      <c r="D9993" s="3" t="str">
        <f>IFERROR(__xludf.DUMMYFUNCTION("""COMPUTED_VALUE"""),"K0K 2X0")</f>
        <v>K0K 2X0</v>
      </c>
      <c r="E9993" s="3"/>
      <c r="F9993" s="3"/>
      <c r="G9993" s="3"/>
      <c r="H9993" s="3"/>
    </row>
    <row r="9994">
      <c r="A9994" s="2">
        <f>IFERROR(__xludf.DUMMYFUNCTION("""COMPUTED_VALUE"""),50822.0)</f>
        <v>50822</v>
      </c>
      <c r="B9994" s="3" t="str">
        <f>IFERROR(__xludf.DUMMYFUNCTION("""COMPUTED_VALUE"""),"203 COYLE RD")</f>
        <v>203 COYLE RD</v>
      </c>
      <c r="C9994" s="3" t="str">
        <f>IFERROR(__xludf.DUMMYFUNCTION("""COMPUTED_VALUE"""),"ROSENEATH ")</f>
        <v>ROSENEATH </v>
      </c>
      <c r="D9994" s="3" t="str">
        <f>IFERROR(__xludf.DUMMYFUNCTION("""COMPUTED_VALUE"""),"K0K 2X0")</f>
        <v>K0K 2X0</v>
      </c>
      <c r="E9994" s="3" t="str">
        <f>IFERROR(__xludf.DUMMYFUNCTION("""COMPUTED_VALUE"""),"Andrew Vokes / Sarah Goring")</f>
        <v>Andrew Vokes / Sarah Goring</v>
      </c>
      <c r="F9994" s="3" t="str">
        <f>IFERROR(__xludf.DUMMYFUNCTION("""COMPUTED_VALUE"""),"vokes.andrew@protonmail.com")</f>
        <v>vokes.andrew@protonmail.com</v>
      </c>
      <c r="G9994" s="3">
        <f>IFERROR(__xludf.DUMMYFUNCTION("""COMPUTED_VALUE"""),6.13475091E9)</f>
        <v>6134750910</v>
      </c>
      <c r="H9994" s="3">
        <f>IFERROR(__xludf.DUMMYFUNCTION("""COMPUTED_VALUE"""),6.47524378E9)</f>
        <v>6475243780</v>
      </c>
    </row>
    <row r="9995">
      <c r="A9995" s="2">
        <f>IFERROR(__xludf.DUMMYFUNCTION("""COMPUTED_VALUE"""),50823.0)</f>
        <v>50823</v>
      </c>
      <c r="B9995" s="3" t="str">
        <f>IFERROR(__xludf.DUMMYFUNCTION("""COMPUTED_VALUE"""),"249 COYLE RD")</f>
        <v>249 COYLE RD</v>
      </c>
      <c r="C9995" s="3" t="str">
        <f>IFERROR(__xludf.DUMMYFUNCTION("""COMPUTED_VALUE"""),"ROSENEATH ")</f>
        <v>ROSENEATH </v>
      </c>
      <c r="D9995" s="3" t="str">
        <f>IFERROR(__xludf.DUMMYFUNCTION("""COMPUTED_VALUE"""),"K0K 2X0")</f>
        <v>K0K 2X0</v>
      </c>
      <c r="E9995" s="3"/>
      <c r="F9995" s="3"/>
      <c r="G9995" s="3"/>
      <c r="H9995" s="3"/>
    </row>
    <row r="9996">
      <c r="A9996" s="2">
        <f>IFERROR(__xludf.DUMMYFUNCTION("""COMPUTED_VALUE"""),50824.0)</f>
        <v>50824</v>
      </c>
      <c r="B9996" s="3" t="str">
        <f>IFERROR(__xludf.DUMMYFUNCTION("""COMPUTED_VALUE"""),"415 COYLE RD")</f>
        <v>415 COYLE RD</v>
      </c>
      <c r="C9996" s="3" t="str">
        <f>IFERROR(__xludf.DUMMYFUNCTION("""COMPUTED_VALUE"""),"ROSENEATH ")</f>
        <v>ROSENEATH </v>
      </c>
      <c r="D9996" s="3" t="str">
        <f>IFERROR(__xludf.DUMMYFUNCTION("""COMPUTED_VALUE"""),"K0K 2X0")</f>
        <v>K0K 2X0</v>
      </c>
      <c r="E9996" s="3" t="str">
        <f>IFERROR(__xludf.DUMMYFUNCTION("""COMPUTED_VALUE"""),"Michael Davidson / Nicole Collins")</f>
        <v>Michael Davidson / Nicole Collins</v>
      </c>
      <c r="F9996" s="3" t="str">
        <f>IFERROR(__xludf.DUMMYFUNCTION("""COMPUTED_VALUE"""),"zencrusher8@gmail.com")</f>
        <v>zencrusher8@gmail.com</v>
      </c>
      <c r="G9996" s="3">
        <f>IFERROR(__xludf.DUMMYFUNCTION("""COMPUTED_VALUE"""),4.16436964E9)</f>
        <v>4164369640</v>
      </c>
      <c r="H9996" s="3">
        <f>IFERROR(__xludf.DUMMYFUNCTION("""COMPUTED_VALUE"""),4.163463246E9)</f>
        <v>4163463246</v>
      </c>
    </row>
    <row r="9997">
      <c r="A9997" s="2">
        <f>IFERROR(__xludf.DUMMYFUNCTION("""COMPUTED_VALUE"""),50825.0)</f>
        <v>50825</v>
      </c>
      <c r="B9997" s="3" t="str">
        <f>IFERROR(__xludf.DUMMYFUNCTION("""COMPUTED_VALUE"""),"692 COYLE RD")</f>
        <v>692 COYLE RD</v>
      </c>
      <c r="C9997" s="3" t="str">
        <f>IFERROR(__xludf.DUMMYFUNCTION("""COMPUTED_VALUE"""),"ROSENEATH ")</f>
        <v>ROSENEATH </v>
      </c>
      <c r="D9997" s="3" t="str">
        <f>IFERROR(__xludf.DUMMYFUNCTION("""COMPUTED_VALUE"""),"K0K 2X0")</f>
        <v>K0K 2X0</v>
      </c>
      <c r="E9997" s="3"/>
      <c r="F9997" s="3"/>
      <c r="G9997" s="3"/>
      <c r="H9997" s="3"/>
    </row>
    <row r="9998">
      <c r="A9998" s="2">
        <f>IFERROR(__xludf.DUMMYFUNCTION("""COMPUTED_VALUE"""),50827.0)</f>
        <v>50827</v>
      </c>
      <c r="B9998" s="3" t="str">
        <f>IFERROR(__xludf.DUMMYFUNCTION("""COMPUTED_VALUE"""),"5737 CURTIS POINT RD")</f>
        <v>5737 CURTIS POINT RD</v>
      </c>
      <c r="C9998" s="3" t="str">
        <f>IFERROR(__xludf.DUMMYFUNCTION("""COMPUTED_VALUE"""),"ROSENEATH ")</f>
        <v>ROSENEATH </v>
      </c>
      <c r="D9998" s="3" t="str">
        <f>IFERROR(__xludf.DUMMYFUNCTION("""COMPUTED_VALUE"""),"K0K 2X0")</f>
        <v>K0K 2X0</v>
      </c>
      <c r="E9998" s="3"/>
      <c r="F9998" s="3"/>
      <c r="G9998" s="3"/>
      <c r="H9998" s="3"/>
    </row>
    <row r="9999">
      <c r="A9999" s="2">
        <f>IFERROR(__xludf.DUMMYFUNCTION("""COMPUTED_VALUE"""),50828.0)</f>
        <v>50828</v>
      </c>
      <c r="B9999" s="3" t="str">
        <f>IFERROR(__xludf.DUMMYFUNCTION("""COMPUTED_VALUE"""),"5857 CURTIS POINT RD")</f>
        <v>5857 CURTIS POINT RD</v>
      </c>
      <c r="C9999" s="3" t="str">
        <f>IFERROR(__xludf.DUMMYFUNCTION("""COMPUTED_VALUE"""),"ROSENEATH ")</f>
        <v>ROSENEATH </v>
      </c>
      <c r="D9999" s="3" t="str">
        <f>IFERROR(__xludf.DUMMYFUNCTION("""COMPUTED_VALUE"""),"K0K 2X0")</f>
        <v>K0K 2X0</v>
      </c>
      <c r="E9999" s="3"/>
      <c r="F9999" s="3"/>
      <c r="G9999" s="3"/>
      <c r="H9999" s="3"/>
    </row>
    <row r="10000">
      <c r="A10000" s="2">
        <f>IFERROR(__xludf.DUMMYFUNCTION("""COMPUTED_VALUE"""),50829.0)</f>
        <v>50829</v>
      </c>
      <c r="B10000" s="3" t="str">
        <f>IFERROR(__xludf.DUMMYFUNCTION("""COMPUTED_VALUE"""),"5941 CURTIS POINT RD")</f>
        <v>5941 CURTIS POINT RD</v>
      </c>
      <c r="C10000" s="3" t="str">
        <f>IFERROR(__xludf.DUMMYFUNCTION("""COMPUTED_VALUE"""),"ROSENEATH ")</f>
        <v>ROSENEATH </v>
      </c>
      <c r="D10000" s="3" t="str">
        <f>IFERROR(__xludf.DUMMYFUNCTION("""COMPUTED_VALUE"""),"K0K 2X0")</f>
        <v>K0K 2X0</v>
      </c>
      <c r="E10000" s="3"/>
      <c r="F10000" s="3"/>
      <c r="G10000" s="3"/>
      <c r="H10000" s="3"/>
    </row>
    <row r="10001">
      <c r="A10001" s="2">
        <f>IFERROR(__xludf.DUMMYFUNCTION("""COMPUTED_VALUE"""),50830.0)</f>
        <v>50830</v>
      </c>
      <c r="B10001" s="3" t="str">
        <f>IFERROR(__xludf.DUMMYFUNCTION("""COMPUTED_VALUE"""),"5945 CURTIS PT RD")</f>
        <v>5945 CURTIS PT RD</v>
      </c>
      <c r="C10001" s="3" t="str">
        <f>IFERROR(__xludf.DUMMYFUNCTION("""COMPUTED_VALUE"""),"ROSENEATH ")</f>
        <v>ROSENEATH </v>
      </c>
      <c r="D10001" s="3" t="str">
        <f>IFERROR(__xludf.DUMMYFUNCTION("""COMPUTED_VALUE"""),"K0K 2X0")</f>
        <v>K0K 2X0</v>
      </c>
      <c r="E10001" s="3"/>
      <c r="F10001" s="3"/>
      <c r="G10001" s="3"/>
      <c r="H10001" s="3"/>
    </row>
    <row r="10002">
      <c r="A10002" s="2">
        <f>IFERROR(__xludf.DUMMYFUNCTION("""COMPUTED_VALUE"""),50831.0)</f>
        <v>50831</v>
      </c>
      <c r="B10002" s="3" t="str">
        <f>IFERROR(__xludf.DUMMYFUNCTION("""COMPUTED_VALUE"""),"5964 CURTIS POINT RD")</f>
        <v>5964 CURTIS POINT RD</v>
      </c>
      <c r="C10002" s="3" t="str">
        <f>IFERROR(__xludf.DUMMYFUNCTION("""COMPUTED_VALUE"""),"ROSENEATH ")</f>
        <v>ROSENEATH </v>
      </c>
      <c r="D10002" s="3" t="str">
        <f>IFERROR(__xludf.DUMMYFUNCTION("""COMPUTED_VALUE"""),"K0K 2X0")</f>
        <v>K0K 2X0</v>
      </c>
      <c r="E10002" s="3"/>
      <c r="F10002" s="3"/>
      <c r="G10002" s="3"/>
      <c r="H10002" s="3"/>
    </row>
    <row r="10003">
      <c r="A10003" s="2">
        <f>IFERROR(__xludf.DUMMYFUNCTION("""COMPUTED_VALUE"""),50832.0)</f>
        <v>50832</v>
      </c>
      <c r="B10003" s="3" t="str">
        <f>IFERROR(__xludf.DUMMYFUNCTION("""COMPUTED_VALUE"""),"6060 CURTIS PT RD 10")</f>
        <v>6060 CURTIS PT RD 10</v>
      </c>
      <c r="C10003" s="3" t="str">
        <f>IFERROR(__xludf.DUMMYFUNCTION("""COMPUTED_VALUE"""),"ROSENEATH ")</f>
        <v>ROSENEATH </v>
      </c>
      <c r="D10003" s="3" t="str">
        <f>IFERROR(__xludf.DUMMYFUNCTION("""COMPUTED_VALUE"""),"K0K 2X0")</f>
        <v>K0K 2X0</v>
      </c>
      <c r="E10003" s="3"/>
      <c r="F10003" s="3"/>
      <c r="G10003" s="3"/>
      <c r="H10003" s="3"/>
    </row>
    <row r="10004">
      <c r="A10004" s="2">
        <f>IFERROR(__xludf.DUMMYFUNCTION("""COMPUTED_VALUE"""),50833.0)</f>
        <v>50833</v>
      </c>
      <c r="B10004" s="3" t="str">
        <f>IFERROR(__xludf.DUMMYFUNCTION("""COMPUTED_VALUE"""),"6060 CURTIS PT RD 11")</f>
        <v>6060 CURTIS PT RD 11</v>
      </c>
      <c r="C10004" s="3" t="str">
        <f>IFERROR(__xludf.DUMMYFUNCTION("""COMPUTED_VALUE"""),"ROSENEATH ")</f>
        <v>ROSENEATH </v>
      </c>
      <c r="D10004" s="3" t="str">
        <f>IFERROR(__xludf.DUMMYFUNCTION("""COMPUTED_VALUE"""),"K0K 2X0")</f>
        <v>K0K 2X0</v>
      </c>
      <c r="E10004" s="3"/>
      <c r="F10004" s="3"/>
      <c r="G10004" s="3"/>
      <c r="H10004" s="3"/>
    </row>
    <row r="10005">
      <c r="A10005" s="2">
        <f>IFERROR(__xludf.DUMMYFUNCTION("""COMPUTED_VALUE"""),50834.0)</f>
        <v>50834</v>
      </c>
      <c r="B10005" s="3" t="str">
        <f>IFERROR(__xludf.DUMMYFUNCTION("""COMPUTED_VALUE"""),"6060 CURTIS POINT RD UNIT 12")</f>
        <v>6060 CURTIS POINT RD UNIT 12</v>
      </c>
      <c r="C10005" s="3" t="str">
        <f>IFERROR(__xludf.DUMMYFUNCTION("""COMPUTED_VALUE"""),"ROSENEATH ")</f>
        <v>ROSENEATH </v>
      </c>
      <c r="D10005" s="3" t="str">
        <f>IFERROR(__xludf.DUMMYFUNCTION("""COMPUTED_VALUE"""),"K0K 2X0")</f>
        <v>K0K 2X0</v>
      </c>
      <c r="E10005" s="3"/>
      <c r="F10005" s="3"/>
      <c r="G10005" s="3"/>
      <c r="H10005" s="3"/>
    </row>
    <row r="10006">
      <c r="A10006" s="2">
        <f>IFERROR(__xludf.DUMMYFUNCTION("""COMPUTED_VALUE"""),50835.0)</f>
        <v>50835</v>
      </c>
      <c r="B10006" s="3" t="str">
        <f>IFERROR(__xludf.DUMMYFUNCTION("""COMPUTED_VALUE"""),"6060 CURTIS PT RD 13")</f>
        <v>6060 CURTIS PT RD 13</v>
      </c>
      <c r="C10006" s="3" t="str">
        <f>IFERROR(__xludf.DUMMYFUNCTION("""COMPUTED_VALUE"""),"ROSENEATH ")</f>
        <v>ROSENEATH </v>
      </c>
      <c r="D10006" s="3" t="str">
        <f>IFERROR(__xludf.DUMMYFUNCTION("""COMPUTED_VALUE"""),"K0K 2X0")</f>
        <v>K0K 2X0</v>
      </c>
      <c r="E10006" s="3"/>
      <c r="F10006" s="3"/>
      <c r="G10006" s="3"/>
      <c r="H10006" s="3"/>
    </row>
    <row r="10007">
      <c r="A10007" s="2">
        <f>IFERROR(__xludf.DUMMYFUNCTION("""COMPUTED_VALUE"""),50836.0)</f>
        <v>50836</v>
      </c>
      <c r="B10007" s="3" t="str">
        <f>IFERROR(__xludf.DUMMYFUNCTION("""COMPUTED_VALUE"""),"6060 CURTIS POINT RD UNIT 14")</f>
        <v>6060 CURTIS POINT RD UNIT 14</v>
      </c>
      <c r="C10007" s="3" t="str">
        <f>IFERROR(__xludf.DUMMYFUNCTION("""COMPUTED_VALUE"""),"ROSENEATH ")</f>
        <v>ROSENEATH </v>
      </c>
      <c r="D10007" s="3" t="str">
        <f>IFERROR(__xludf.DUMMYFUNCTION("""COMPUTED_VALUE"""),"K0K 2X0")</f>
        <v>K0K 2X0</v>
      </c>
      <c r="E10007" s="3"/>
      <c r="F10007" s="3"/>
      <c r="G10007" s="3"/>
      <c r="H10007" s="3"/>
    </row>
    <row r="10008">
      <c r="A10008" s="2">
        <f>IFERROR(__xludf.DUMMYFUNCTION("""COMPUTED_VALUE"""),50837.0)</f>
        <v>50837</v>
      </c>
      <c r="B10008" s="3" t="str">
        <f>IFERROR(__xludf.DUMMYFUNCTION("""COMPUTED_VALUE"""),"6060 CURTIS POINT RD UNIT 15")</f>
        <v>6060 CURTIS POINT RD UNIT 15</v>
      </c>
      <c r="C10008" s="3" t="str">
        <f>IFERROR(__xludf.DUMMYFUNCTION("""COMPUTED_VALUE"""),"ROSENEATH ")</f>
        <v>ROSENEATH </v>
      </c>
      <c r="D10008" s="3" t="str">
        <f>IFERROR(__xludf.DUMMYFUNCTION("""COMPUTED_VALUE"""),"K0K 2X0")</f>
        <v>K0K 2X0</v>
      </c>
      <c r="E10008" s="3"/>
      <c r="F10008" s="3"/>
      <c r="G10008" s="3"/>
      <c r="H10008" s="3"/>
    </row>
    <row r="10009">
      <c r="A10009" s="2">
        <f>IFERROR(__xludf.DUMMYFUNCTION("""COMPUTED_VALUE"""),50838.0)</f>
        <v>50838</v>
      </c>
      <c r="B10009" s="3" t="str">
        <f>IFERROR(__xludf.DUMMYFUNCTION("""COMPUTED_VALUE"""),"6060 CURTIS POINT RD UNIT 1B")</f>
        <v>6060 CURTIS POINT RD UNIT 1B</v>
      </c>
      <c r="C10009" s="3" t="str">
        <f>IFERROR(__xludf.DUMMYFUNCTION("""COMPUTED_VALUE"""),"ROSENEATH ")</f>
        <v>ROSENEATH </v>
      </c>
      <c r="D10009" s="3" t="str">
        <f>IFERROR(__xludf.DUMMYFUNCTION("""COMPUTED_VALUE"""),"K0K 2X0")</f>
        <v>K0K 2X0</v>
      </c>
      <c r="E10009" s="3"/>
      <c r="F10009" s="3"/>
      <c r="G10009" s="3"/>
      <c r="H10009" s="3"/>
    </row>
    <row r="10010">
      <c r="A10010" s="2">
        <f>IFERROR(__xludf.DUMMYFUNCTION("""COMPUTED_VALUE"""),50839.0)</f>
        <v>50839</v>
      </c>
      <c r="B10010" s="3" t="str">
        <f>IFERROR(__xludf.DUMMYFUNCTION("""COMPUTED_VALUE"""),"6060 CURTIS PT RD 2")</f>
        <v>6060 CURTIS PT RD 2</v>
      </c>
      <c r="C10010" s="3" t="str">
        <f>IFERROR(__xludf.DUMMYFUNCTION("""COMPUTED_VALUE"""),"ROSENEATH ")</f>
        <v>ROSENEATH </v>
      </c>
      <c r="D10010" s="3" t="str">
        <f>IFERROR(__xludf.DUMMYFUNCTION("""COMPUTED_VALUE"""),"K0K 2X0")</f>
        <v>K0K 2X0</v>
      </c>
      <c r="E10010" s="3"/>
      <c r="F10010" s="3"/>
      <c r="G10010" s="3"/>
      <c r="H10010" s="3"/>
    </row>
    <row r="10011">
      <c r="A10011" s="2">
        <f>IFERROR(__xludf.DUMMYFUNCTION("""COMPUTED_VALUE"""),50840.0)</f>
        <v>50840</v>
      </c>
      <c r="B10011" s="3" t="str">
        <f>IFERROR(__xludf.DUMMYFUNCTION("""COMPUTED_VALUE"""),"6060 CURTIS PT RD 3")</f>
        <v>6060 CURTIS PT RD 3</v>
      </c>
      <c r="C10011" s="3" t="str">
        <f>IFERROR(__xludf.DUMMYFUNCTION("""COMPUTED_VALUE"""),"ROSENEATH ")</f>
        <v>ROSENEATH </v>
      </c>
      <c r="D10011" s="3" t="str">
        <f>IFERROR(__xludf.DUMMYFUNCTION("""COMPUTED_VALUE"""),"K0K 2X0")</f>
        <v>K0K 2X0</v>
      </c>
      <c r="E10011" s="3"/>
      <c r="F10011" s="3"/>
      <c r="G10011" s="3"/>
      <c r="H10011" s="3"/>
    </row>
    <row r="10012">
      <c r="A10012" s="2">
        <f>IFERROR(__xludf.DUMMYFUNCTION("""COMPUTED_VALUE"""),50841.0)</f>
        <v>50841</v>
      </c>
      <c r="B10012" s="3" t="str">
        <f>IFERROR(__xludf.DUMMYFUNCTION("""COMPUTED_VALUE"""),"6060 CURTIS POINT RD UNIT 4")</f>
        <v>6060 CURTIS POINT RD UNIT 4</v>
      </c>
      <c r="C10012" s="3" t="str">
        <f>IFERROR(__xludf.DUMMYFUNCTION("""COMPUTED_VALUE"""),"ROSENEATH ")</f>
        <v>ROSENEATH </v>
      </c>
      <c r="D10012" s="3" t="str">
        <f>IFERROR(__xludf.DUMMYFUNCTION("""COMPUTED_VALUE"""),"K0K 2X0")</f>
        <v>K0K 2X0</v>
      </c>
      <c r="E10012" s="3"/>
      <c r="F10012" s="3"/>
      <c r="G10012" s="3"/>
      <c r="H10012" s="3"/>
    </row>
    <row r="10013">
      <c r="A10013" s="2">
        <f>IFERROR(__xludf.DUMMYFUNCTION("""COMPUTED_VALUE"""),50842.0)</f>
        <v>50842</v>
      </c>
      <c r="B10013" s="3" t="str">
        <f>IFERROR(__xludf.DUMMYFUNCTION("""COMPUTED_VALUE"""),"6060 CURTIS PT RD 5")</f>
        <v>6060 CURTIS PT RD 5</v>
      </c>
      <c r="C10013" s="3" t="str">
        <f>IFERROR(__xludf.DUMMYFUNCTION("""COMPUTED_VALUE"""),"ROSENEATH ")</f>
        <v>ROSENEATH </v>
      </c>
      <c r="D10013" s="3" t="str">
        <f>IFERROR(__xludf.DUMMYFUNCTION("""COMPUTED_VALUE"""),"K0K 2X0")</f>
        <v>K0K 2X0</v>
      </c>
      <c r="E10013" s="3"/>
      <c r="F10013" s="3"/>
      <c r="G10013" s="3"/>
      <c r="H10013" s="3"/>
    </row>
    <row r="10014">
      <c r="A10014" s="2">
        <f>IFERROR(__xludf.DUMMYFUNCTION("""COMPUTED_VALUE"""),50843.0)</f>
        <v>50843</v>
      </c>
      <c r="B10014" s="3" t="str">
        <f>IFERROR(__xludf.DUMMYFUNCTION("""COMPUTED_VALUE"""),"6060 CURTIS POINT RD UNIT 6")</f>
        <v>6060 CURTIS POINT RD UNIT 6</v>
      </c>
      <c r="C10014" s="3" t="str">
        <f>IFERROR(__xludf.DUMMYFUNCTION("""COMPUTED_VALUE"""),"ROSENEATH ")</f>
        <v>ROSENEATH </v>
      </c>
      <c r="D10014" s="3" t="str">
        <f>IFERROR(__xludf.DUMMYFUNCTION("""COMPUTED_VALUE"""),"K0K 2X0")</f>
        <v>K0K 2X0</v>
      </c>
      <c r="E10014" s="3" t="str">
        <f>IFERROR(__xludf.DUMMYFUNCTION("""COMPUTED_VALUE"""),"rebecca sawyer")</f>
        <v>rebecca sawyer</v>
      </c>
      <c r="F10014" s="3" t="str">
        <f>IFERROR(__xludf.DUMMYFUNCTION("""COMPUTED_VALUE"""),"5678sawyer@gmail.com")</f>
        <v>5678sawyer@gmail.com</v>
      </c>
      <c r="G10014" s="3">
        <f>IFERROR(__xludf.DUMMYFUNCTION("""COMPUTED_VALUE"""),4.167045565E9)</f>
        <v>4167045565</v>
      </c>
      <c r="H10014" s="3"/>
    </row>
    <row r="10015">
      <c r="A10015" s="2">
        <f>IFERROR(__xludf.DUMMYFUNCTION("""COMPUTED_VALUE"""),50844.0)</f>
        <v>50844</v>
      </c>
      <c r="B10015" s="3" t="str">
        <f>IFERROR(__xludf.DUMMYFUNCTION("""COMPUTED_VALUE"""),"6060 CURTIS PT RD 7")</f>
        <v>6060 CURTIS PT RD 7</v>
      </c>
      <c r="C10015" s="3" t="str">
        <f>IFERROR(__xludf.DUMMYFUNCTION("""COMPUTED_VALUE"""),"ROSENEATH ")</f>
        <v>ROSENEATH </v>
      </c>
      <c r="D10015" s="3" t="str">
        <f>IFERROR(__xludf.DUMMYFUNCTION("""COMPUTED_VALUE"""),"K0K 2X0")</f>
        <v>K0K 2X0</v>
      </c>
      <c r="E10015" s="3"/>
      <c r="F10015" s="3"/>
      <c r="G10015" s="3"/>
      <c r="H10015" s="3"/>
    </row>
    <row r="10016">
      <c r="A10016" s="2">
        <f>IFERROR(__xludf.DUMMYFUNCTION("""COMPUTED_VALUE"""),50845.0)</f>
        <v>50845</v>
      </c>
      <c r="B10016" s="3" t="str">
        <f>IFERROR(__xludf.DUMMYFUNCTION("""COMPUTED_VALUE"""),"6060 CURTIS POINT RD UNIT 8")</f>
        <v>6060 CURTIS POINT RD UNIT 8</v>
      </c>
      <c r="C10016" s="3" t="str">
        <f>IFERROR(__xludf.DUMMYFUNCTION("""COMPUTED_VALUE"""),"ROSENEATH ")</f>
        <v>ROSENEATH </v>
      </c>
      <c r="D10016" s="3" t="str">
        <f>IFERROR(__xludf.DUMMYFUNCTION("""COMPUTED_VALUE"""),"K0K 2X0")</f>
        <v>K0K 2X0</v>
      </c>
      <c r="E10016" s="3"/>
      <c r="F10016" s="3"/>
      <c r="G10016" s="3"/>
      <c r="H10016" s="3"/>
    </row>
    <row r="10017">
      <c r="A10017" s="2">
        <f>IFERROR(__xludf.DUMMYFUNCTION("""COMPUTED_VALUE"""),50846.0)</f>
        <v>50846</v>
      </c>
      <c r="B10017" s="3" t="str">
        <f>IFERROR(__xludf.DUMMYFUNCTION("""COMPUTED_VALUE"""),"6060 CURTIS POINT RD UNIT 9")</f>
        <v>6060 CURTIS POINT RD UNIT 9</v>
      </c>
      <c r="C10017" s="3" t="str">
        <f>IFERROR(__xludf.DUMMYFUNCTION("""COMPUTED_VALUE"""),"ROSENEATH ")</f>
        <v>ROSENEATH </v>
      </c>
      <c r="D10017" s="3" t="str">
        <f>IFERROR(__xludf.DUMMYFUNCTION("""COMPUTED_VALUE"""),"K0K 2X0")</f>
        <v>K0K 2X0</v>
      </c>
      <c r="E10017" s="3"/>
      <c r="F10017" s="3"/>
      <c r="G10017" s="3"/>
      <c r="H10017" s="3"/>
    </row>
    <row r="10018">
      <c r="A10018" s="2">
        <f>IFERROR(__xludf.DUMMYFUNCTION("""COMPUTED_VALUE"""),50849.0)</f>
        <v>50849</v>
      </c>
      <c r="B10018" s="3" t="str">
        <f>IFERROR(__xludf.DUMMYFUNCTION("""COMPUTED_VALUE"""),"6082 CURTIS POINT RD")</f>
        <v>6082 CURTIS POINT RD</v>
      </c>
      <c r="C10018" s="3" t="str">
        <f>IFERROR(__xludf.DUMMYFUNCTION("""COMPUTED_VALUE"""),"ROSENEATH ")</f>
        <v>ROSENEATH </v>
      </c>
      <c r="D10018" s="3" t="str">
        <f>IFERROR(__xludf.DUMMYFUNCTION("""COMPUTED_VALUE"""),"K0K 2X0")</f>
        <v>K0K 2X0</v>
      </c>
      <c r="E10018" s="3"/>
      <c r="F10018" s="3"/>
      <c r="G10018" s="3"/>
      <c r="H10018" s="3"/>
    </row>
    <row r="10019">
      <c r="A10019" s="2">
        <f>IFERROR(__xludf.DUMMYFUNCTION("""COMPUTED_VALUE"""),50850.0)</f>
        <v>50850</v>
      </c>
      <c r="B10019" s="3" t="str">
        <f>IFERROR(__xludf.DUMMYFUNCTION("""COMPUTED_VALUE"""),"6099 CURTIS POINT RD")</f>
        <v>6099 CURTIS POINT RD</v>
      </c>
      <c r="C10019" s="3" t="str">
        <f>IFERROR(__xludf.DUMMYFUNCTION("""COMPUTED_VALUE"""),"ROSENEATH ")</f>
        <v>ROSENEATH </v>
      </c>
      <c r="D10019" s="3" t="str">
        <f>IFERROR(__xludf.DUMMYFUNCTION("""COMPUTED_VALUE"""),"K0K 2X0")</f>
        <v>K0K 2X0</v>
      </c>
      <c r="E10019" s="3" t="str">
        <f>IFERROR(__xludf.DUMMYFUNCTION("""COMPUTED_VALUE"""),"cong kuary ")</f>
        <v>cong kuary </v>
      </c>
      <c r="F10019" s="3"/>
      <c r="G10019" s="3">
        <f>IFERROR(__xludf.DUMMYFUNCTION("""COMPUTED_VALUE"""),9.053522229E9)</f>
        <v>9053522229</v>
      </c>
      <c r="H10019" s="3"/>
    </row>
    <row r="10020">
      <c r="A10020" s="2">
        <f>IFERROR(__xludf.DUMMYFUNCTION("""COMPUTED_VALUE"""),50851.0)</f>
        <v>50851</v>
      </c>
      <c r="B10020" s="3" t="str">
        <f>IFERROR(__xludf.DUMMYFUNCTION("""COMPUTED_VALUE"""),"6108 CURTIS PT RD UNIT 1")</f>
        <v>6108 CURTIS PT RD UNIT 1</v>
      </c>
      <c r="C10020" s="3" t="str">
        <f>IFERROR(__xludf.DUMMYFUNCTION("""COMPUTED_VALUE"""),"ROSENEATH ")</f>
        <v>ROSENEATH </v>
      </c>
      <c r="D10020" s="3" t="str">
        <f>IFERROR(__xludf.DUMMYFUNCTION("""COMPUTED_VALUE"""),"K0K 2X0")</f>
        <v>K0K 2X0</v>
      </c>
      <c r="E10020" s="3" t="str">
        <f>IFERROR(__xludf.DUMMYFUNCTION("""COMPUTED_VALUE"""),"bern jacrar")</f>
        <v>bern jacrar</v>
      </c>
      <c r="F10020" s="3" t="str">
        <f>IFERROR(__xludf.DUMMYFUNCTION("""COMPUTED_VALUE"""),"bmessages@ymail.com")</f>
        <v>bmessages@ymail.com</v>
      </c>
      <c r="G10020" s="3">
        <f>IFERROR(__xludf.DUMMYFUNCTION("""COMPUTED_VALUE"""),4.165808232E9)</f>
        <v>4165808232</v>
      </c>
      <c r="H10020" s="3"/>
    </row>
    <row r="10021">
      <c r="A10021" s="2">
        <f>IFERROR(__xludf.DUMMYFUNCTION("""COMPUTED_VALUE"""),50852.0)</f>
        <v>50852</v>
      </c>
      <c r="B10021" s="3" t="str">
        <f>IFERROR(__xludf.DUMMYFUNCTION("""COMPUTED_VALUE"""),"6108 CURTIS POINT RD UNIT 10")</f>
        <v>6108 CURTIS POINT RD UNIT 10</v>
      </c>
      <c r="C10021" s="3" t="str">
        <f>IFERROR(__xludf.DUMMYFUNCTION("""COMPUTED_VALUE"""),"ROSENEATH ")</f>
        <v>ROSENEATH </v>
      </c>
      <c r="D10021" s="3" t="str">
        <f>IFERROR(__xludf.DUMMYFUNCTION("""COMPUTED_VALUE"""),"K0K 2X0")</f>
        <v>K0K 2X0</v>
      </c>
      <c r="E10021" s="3"/>
      <c r="F10021" s="3"/>
      <c r="G10021" s="3"/>
      <c r="H10021" s="3"/>
    </row>
    <row r="10022">
      <c r="A10022" s="2">
        <f>IFERROR(__xludf.DUMMYFUNCTION("""COMPUTED_VALUE"""),50853.0)</f>
        <v>50853</v>
      </c>
      <c r="B10022" s="3" t="str">
        <f>IFERROR(__xludf.DUMMYFUNCTION("""COMPUTED_VALUE"""),"6108 CURTIS POINT RD UNIT 11")</f>
        <v>6108 CURTIS POINT RD UNIT 11</v>
      </c>
      <c r="C10022" s="3" t="str">
        <f>IFERROR(__xludf.DUMMYFUNCTION("""COMPUTED_VALUE"""),"ROSENEATH ")</f>
        <v>ROSENEATH </v>
      </c>
      <c r="D10022" s="3" t="str">
        <f>IFERROR(__xludf.DUMMYFUNCTION("""COMPUTED_VALUE"""),"K0K 2X0")</f>
        <v>K0K 2X0</v>
      </c>
      <c r="E10022" s="3"/>
      <c r="F10022" s="3"/>
      <c r="G10022" s="3"/>
      <c r="H10022" s="3"/>
    </row>
    <row r="10023">
      <c r="A10023" s="2">
        <f>IFERROR(__xludf.DUMMYFUNCTION("""COMPUTED_VALUE"""),50854.0)</f>
        <v>50854</v>
      </c>
      <c r="B10023" s="3" t="str">
        <f>IFERROR(__xludf.DUMMYFUNCTION("""COMPUTED_VALUE"""),"6108 CURTIS POINT RD UNIT 12")</f>
        <v>6108 CURTIS POINT RD UNIT 12</v>
      </c>
      <c r="C10023" s="3" t="str">
        <f>IFERROR(__xludf.DUMMYFUNCTION("""COMPUTED_VALUE"""),"ROSENEATH ")</f>
        <v>ROSENEATH </v>
      </c>
      <c r="D10023" s="3" t="str">
        <f>IFERROR(__xludf.DUMMYFUNCTION("""COMPUTED_VALUE"""),"K0K 2X0")</f>
        <v>K0K 2X0</v>
      </c>
      <c r="E10023" s="3" t="str">
        <f>IFERROR(__xludf.DUMMYFUNCTION("""COMPUTED_VALUE"""),"rich brown")</f>
        <v>rich brown</v>
      </c>
      <c r="F10023" s="3" t="str">
        <f>IFERROR(__xludf.DUMMYFUNCTION("""COMPUTED_VALUE"""),"richardscott999@yahoo.ca")</f>
        <v>richardscott999@yahoo.ca</v>
      </c>
      <c r="G10023" s="3">
        <f>IFERROR(__xludf.DUMMYFUNCTION("""COMPUTED_VALUE"""),6.479221469E9)</f>
        <v>6479221469</v>
      </c>
      <c r="H10023" s="3"/>
    </row>
    <row r="10024">
      <c r="A10024" s="2">
        <f>IFERROR(__xludf.DUMMYFUNCTION("""COMPUTED_VALUE"""),50855.0)</f>
        <v>50855</v>
      </c>
      <c r="B10024" s="3" t="str">
        <f>IFERROR(__xludf.DUMMYFUNCTION("""COMPUTED_VALUE"""),"6108 CURTIS PT RD UNIT 14")</f>
        <v>6108 CURTIS PT RD UNIT 14</v>
      </c>
      <c r="C10024" s="3" t="str">
        <f>IFERROR(__xludf.DUMMYFUNCTION("""COMPUTED_VALUE"""),"ROSENEATH ")</f>
        <v>ROSENEATH </v>
      </c>
      <c r="D10024" s="3" t="str">
        <f>IFERROR(__xludf.DUMMYFUNCTION("""COMPUTED_VALUE"""),"K0K 2X0")</f>
        <v>K0K 2X0</v>
      </c>
      <c r="E10024" s="3" t="str">
        <f>IFERROR(__xludf.DUMMYFUNCTION("""COMPUTED_VALUE"""),"roy buergin")</f>
        <v>roy buergin</v>
      </c>
      <c r="F10024" s="3"/>
      <c r="G10024" s="3">
        <f>IFERROR(__xludf.DUMMYFUNCTION("""COMPUTED_VALUE"""),4.166880219E9)</f>
        <v>4166880219</v>
      </c>
      <c r="H10024" s="3"/>
    </row>
    <row r="10025">
      <c r="A10025" s="2">
        <f>IFERROR(__xludf.DUMMYFUNCTION("""COMPUTED_VALUE"""),50856.0)</f>
        <v>50856</v>
      </c>
      <c r="B10025" s="3" t="str">
        <f>IFERROR(__xludf.DUMMYFUNCTION("""COMPUTED_VALUE"""),"6108 CURTIS POINT RD UNIT 15")</f>
        <v>6108 CURTIS POINT RD UNIT 15</v>
      </c>
      <c r="C10025" s="3" t="str">
        <f>IFERROR(__xludf.DUMMYFUNCTION("""COMPUTED_VALUE"""),"ROSENEATH ")</f>
        <v>ROSENEATH </v>
      </c>
      <c r="D10025" s="3" t="str">
        <f>IFERROR(__xludf.DUMMYFUNCTION("""COMPUTED_VALUE"""),"K0K 2X0")</f>
        <v>K0K 2X0</v>
      </c>
      <c r="E10025" s="3"/>
      <c r="F10025" s="3"/>
      <c r="G10025" s="3"/>
      <c r="H10025" s="3"/>
    </row>
    <row r="10026">
      <c r="A10026" s="2">
        <f>IFERROR(__xludf.DUMMYFUNCTION("""COMPUTED_VALUE"""),50857.0)</f>
        <v>50857</v>
      </c>
      <c r="B10026" s="3" t="str">
        <f>IFERROR(__xludf.DUMMYFUNCTION("""COMPUTED_VALUE"""),"6108 CURTIS POINT RD UNIT 17")</f>
        <v>6108 CURTIS POINT RD UNIT 17</v>
      </c>
      <c r="C10026" s="3" t="str">
        <f>IFERROR(__xludf.DUMMYFUNCTION("""COMPUTED_VALUE"""),"ROSENEATH ")</f>
        <v>ROSENEATH </v>
      </c>
      <c r="D10026" s="3" t="str">
        <f>IFERROR(__xludf.DUMMYFUNCTION("""COMPUTED_VALUE"""),"K0K 2X0")</f>
        <v>K0K 2X0</v>
      </c>
      <c r="E10026" s="3" t="str">
        <f>IFERROR(__xludf.DUMMYFUNCTION("""COMPUTED_VALUE"""),"david bailey")</f>
        <v>david bailey</v>
      </c>
      <c r="F10026" s="3" t="str">
        <f>IFERROR(__xludf.DUMMYFUNCTION("""COMPUTED_VALUE"""),"a_corkery@hotmail.com")</f>
        <v>a_corkery@hotmail.com</v>
      </c>
      <c r="G10026" s="3">
        <f>IFERROR(__xludf.DUMMYFUNCTION("""COMPUTED_VALUE"""),9.053694804E9)</f>
        <v>9053694804</v>
      </c>
      <c r="H10026" s="3"/>
    </row>
    <row r="10027">
      <c r="A10027" s="2">
        <f>IFERROR(__xludf.DUMMYFUNCTION("""COMPUTED_VALUE"""),50858.0)</f>
        <v>50858</v>
      </c>
      <c r="B10027" s="3" t="str">
        <f>IFERROR(__xludf.DUMMYFUNCTION("""COMPUTED_VALUE"""),"6108 CURTIS PT RD UNIT 18")</f>
        <v>6108 CURTIS PT RD UNIT 18</v>
      </c>
      <c r="C10027" s="3" t="str">
        <f>IFERROR(__xludf.DUMMYFUNCTION("""COMPUTED_VALUE"""),"ROSENEATH ")</f>
        <v>ROSENEATH </v>
      </c>
      <c r="D10027" s="3" t="str">
        <f>IFERROR(__xludf.DUMMYFUNCTION("""COMPUTED_VALUE"""),"K0K 2X0")</f>
        <v>K0K 2X0</v>
      </c>
      <c r="E10027" s="3" t="str">
        <f>IFERROR(__xludf.DUMMYFUNCTION("""COMPUTED_VALUE"""),"silvio campoli")</f>
        <v>silvio campoli</v>
      </c>
      <c r="F10027" s="3"/>
      <c r="G10027" s="3">
        <f>IFERROR(__xludf.DUMMYFUNCTION("""COMPUTED_VALUE"""),4.16723678E9)</f>
        <v>4167236780</v>
      </c>
      <c r="H10027" s="3"/>
    </row>
    <row r="10028">
      <c r="A10028" s="2">
        <f>IFERROR(__xludf.DUMMYFUNCTION("""COMPUTED_VALUE"""),50859.0)</f>
        <v>50859</v>
      </c>
      <c r="B10028" s="3" t="str">
        <f>IFERROR(__xludf.DUMMYFUNCTION("""COMPUTED_VALUE"""),"6108 CURTIS POINT RD 18")</f>
        <v>6108 CURTIS POINT RD 18</v>
      </c>
      <c r="C10028" s="3" t="str">
        <f>IFERROR(__xludf.DUMMYFUNCTION("""COMPUTED_VALUE"""),"ROSENEATH ")</f>
        <v>ROSENEATH </v>
      </c>
      <c r="D10028" s="3" t="str">
        <f>IFERROR(__xludf.DUMMYFUNCTION("""COMPUTED_VALUE"""),"K0K 2X0")</f>
        <v>K0K 2X0</v>
      </c>
      <c r="E10028" s="3"/>
      <c r="F10028" s="3"/>
      <c r="G10028" s="3"/>
      <c r="H10028" s="3"/>
    </row>
    <row r="10029">
      <c r="A10029" s="2">
        <f>IFERROR(__xludf.DUMMYFUNCTION("""COMPUTED_VALUE"""),50860.0)</f>
        <v>50860</v>
      </c>
      <c r="B10029" s="3" t="str">
        <f>IFERROR(__xludf.DUMMYFUNCTION("""COMPUTED_VALUE"""),"6108 CURTIS PT RD UNIT 2")</f>
        <v>6108 CURTIS PT RD UNIT 2</v>
      </c>
      <c r="C10029" s="3" t="str">
        <f>IFERROR(__xludf.DUMMYFUNCTION("""COMPUTED_VALUE"""),"ROSENEATH ")</f>
        <v>ROSENEATH </v>
      </c>
      <c r="D10029" s="3" t="str">
        <f>IFERROR(__xludf.DUMMYFUNCTION("""COMPUTED_VALUE"""),"K0K 2X0")</f>
        <v>K0K 2X0</v>
      </c>
      <c r="E10029" s="3" t="str">
        <f>IFERROR(__xludf.DUMMYFUNCTION("""COMPUTED_VALUE"""),"louis rego ")</f>
        <v>louis rego </v>
      </c>
      <c r="F10029" s="3" t="str">
        <f>IFERROR(__xludf.DUMMYFUNCTION("""COMPUTED_VALUE"""),"rego8790@gmail.com")</f>
        <v>rego8790@gmail.com</v>
      </c>
      <c r="G10029" s="3">
        <f>IFERROR(__xludf.DUMMYFUNCTION("""COMPUTED_VALUE"""),4.162581671E9)</f>
        <v>4162581671</v>
      </c>
      <c r="H10029" s="3"/>
    </row>
    <row r="10030">
      <c r="A10030" s="2">
        <f>IFERROR(__xludf.DUMMYFUNCTION("""COMPUTED_VALUE"""),50861.0)</f>
        <v>50861</v>
      </c>
      <c r="B10030" s="3" t="str">
        <f>IFERROR(__xludf.DUMMYFUNCTION("""COMPUTED_VALUE"""),"6108 CURTIS POINT RD UNIT 21")</f>
        <v>6108 CURTIS POINT RD UNIT 21</v>
      </c>
      <c r="C10030" s="3" t="str">
        <f>IFERROR(__xludf.DUMMYFUNCTION("""COMPUTED_VALUE"""),"ROSENEATH ")</f>
        <v>ROSENEATH </v>
      </c>
      <c r="D10030" s="3" t="str">
        <f>IFERROR(__xludf.DUMMYFUNCTION("""COMPUTED_VALUE"""),"K0K 2X0")</f>
        <v>K0K 2X0</v>
      </c>
      <c r="E10030" s="3"/>
      <c r="F10030" s="3"/>
      <c r="G10030" s="3"/>
      <c r="H10030" s="3"/>
    </row>
    <row r="10031">
      <c r="A10031" s="2">
        <f>IFERROR(__xludf.DUMMYFUNCTION("""COMPUTED_VALUE"""),50862.0)</f>
        <v>50862</v>
      </c>
      <c r="B10031" s="3" t="str">
        <f>IFERROR(__xludf.DUMMYFUNCTION("""COMPUTED_VALUE"""),"6108 CURTIS PT RD UNIT 22")</f>
        <v>6108 CURTIS PT RD UNIT 22</v>
      </c>
      <c r="C10031" s="3" t="str">
        <f>IFERROR(__xludf.DUMMYFUNCTION("""COMPUTED_VALUE"""),"ROSENEATH ")</f>
        <v>ROSENEATH </v>
      </c>
      <c r="D10031" s="3" t="str">
        <f>IFERROR(__xludf.DUMMYFUNCTION("""COMPUTED_VALUE"""),"K0K 2X0")</f>
        <v>K0K 2X0</v>
      </c>
      <c r="E10031" s="3"/>
      <c r="F10031" s="3"/>
      <c r="G10031" s="3"/>
      <c r="H10031" s="3"/>
    </row>
    <row r="10032">
      <c r="A10032" s="2">
        <f>IFERROR(__xludf.DUMMYFUNCTION("""COMPUTED_VALUE"""),50863.0)</f>
        <v>50863</v>
      </c>
      <c r="B10032" s="3" t="str">
        <f>IFERROR(__xludf.DUMMYFUNCTION("""COMPUTED_VALUE"""),"6108 CURTIS PT RD UNIT 24")</f>
        <v>6108 CURTIS PT RD UNIT 24</v>
      </c>
      <c r="C10032" s="3" t="str">
        <f>IFERROR(__xludf.DUMMYFUNCTION("""COMPUTED_VALUE"""),"ROSENEATH ")</f>
        <v>ROSENEATH </v>
      </c>
      <c r="D10032" s="3" t="str">
        <f>IFERROR(__xludf.DUMMYFUNCTION("""COMPUTED_VALUE"""),"K0K 2X0")</f>
        <v>K0K 2X0</v>
      </c>
      <c r="E10032" s="3" t="str">
        <f>IFERROR(__xludf.DUMMYFUNCTION("""COMPUTED_VALUE"""),"david pagniello")</f>
        <v>david pagniello</v>
      </c>
      <c r="F10032" s="3"/>
      <c r="G10032" s="3">
        <f>IFERROR(__xludf.DUMMYFUNCTION("""COMPUTED_VALUE"""),4.378482713E9)</f>
        <v>4378482713</v>
      </c>
      <c r="H10032" s="3"/>
    </row>
    <row r="10033">
      <c r="A10033" s="2">
        <f>IFERROR(__xludf.DUMMYFUNCTION("""COMPUTED_VALUE"""),50864.0)</f>
        <v>50864</v>
      </c>
      <c r="B10033" s="3" t="str">
        <f>IFERROR(__xludf.DUMMYFUNCTION("""COMPUTED_VALUE"""),"6108 CURTIS PT RD UNIT 25")</f>
        <v>6108 CURTIS PT RD UNIT 25</v>
      </c>
      <c r="C10033" s="3" t="str">
        <f>IFERROR(__xludf.DUMMYFUNCTION("""COMPUTED_VALUE"""),"ROSENEATH ")</f>
        <v>ROSENEATH </v>
      </c>
      <c r="D10033" s="3" t="str">
        <f>IFERROR(__xludf.DUMMYFUNCTION("""COMPUTED_VALUE"""),"K0K 2X0")</f>
        <v>K0K 2X0</v>
      </c>
      <c r="E10033" s="3" t="str">
        <f>IFERROR(__xludf.DUMMYFUNCTION("""COMPUTED_VALUE"""),"gerald sullano")</f>
        <v>gerald sullano</v>
      </c>
      <c r="F10033" s="3"/>
      <c r="G10033" s="3">
        <f>IFERROR(__xludf.DUMMYFUNCTION("""COMPUTED_VALUE"""),6.479296707E9)</f>
        <v>6479296707</v>
      </c>
      <c r="H10033" s="3"/>
    </row>
    <row r="10034">
      <c r="A10034" s="2">
        <f>IFERROR(__xludf.DUMMYFUNCTION("""COMPUTED_VALUE"""),50865.0)</f>
        <v>50865</v>
      </c>
      <c r="B10034" s="3" t="str">
        <f>IFERROR(__xludf.DUMMYFUNCTION("""COMPUTED_VALUE"""),"6108 CURTIS POINT RD UNIT 26")</f>
        <v>6108 CURTIS POINT RD UNIT 26</v>
      </c>
      <c r="C10034" s="3" t="str">
        <f>IFERROR(__xludf.DUMMYFUNCTION("""COMPUTED_VALUE"""),"ROSENEATH ")</f>
        <v>ROSENEATH </v>
      </c>
      <c r="D10034" s="3" t="str">
        <f>IFERROR(__xludf.DUMMYFUNCTION("""COMPUTED_VALUE"""),"K0K 2X0")</f>
        <v>K0K 2X0</v>
      </c>
      <c r="E10034" s="3" t="str">
        <f>IFERROR(__xludf.DUMMYFUNCTION("""COMPUTED_VALUE"""),"lina amaral")</f>
        <v>lina amaral</v>
      </c>
      <c r="F10034" s="3" t="str">
        <f>IFERROR(__xludf.DUMMYFUNCTION("""COMPUTED_VALUE"""),"linajoeamaral@gma9il.com")</f>
        <v>linajoeamaral@gma9il.com</v>
      </c>
      <c r="G10034" s="3">
        <f>IFERROR(__xludf.DUMMYFUNCTION("""COMPUTED_VALUE"""),4.168997641E9)</f>
        <v>4168997641</v>
      </c>
      <c r="H10034" s="3"/>
    </row>
    <row r="10035">
      <c r="A10035" s="2">
        <f>IFERROR(__xludf.DUMMYFUNCTION("""COMPUTED_VALUE"""),50866.0)</f>
        <v>50866</v>
      </c>
      <c r="B10035" s="3" t="str">
        <f>IFERROR(__xludf.DUMMYFUNCTION("""COMPUTED_VALUE"""),"6108 CURTIS POINT RD SUITE 27")</f>
        <v>6108 CURTIS POINT RD SUITE 27</v>
      </c>
      <c r="C10035" s="3" t="str">
        <f>IFERROR(__xludf.DUMMYFUNCTION("""COMPUTED_VALUE"""),"ROSENEATH ")</f>
        <v>ROSENEATH </v>
      </c>
      <c r="D10035" s="3" t="str">
        <f>IFERROR(__xludf.DUMMYFUNCTION("""COMPUTED_VALUE"""),"K0K 2X0")</f>
        <v>K0K 2X0</v>
      </c>
      <c r="E10035" s="3" t="str">
        <f>IFERROR(__xludf.DUMMYFUNCTION("""COMPUTED_VALUE"""),"William Chan")</f>
        <v>William Chan</v>
      </c>
      <c r="F10035" s="3" t="str">
        <f>IFERROR(__xludf.DUMMYFUNCTION("""COMPUTED_VALUE"""),"rathersimple@gmail.com")</f>
        <v>rathersimple@gmail.com</v>
      </c>
      <c r="G10035" s="3">
        <f>IFERROR(__xludf.DUMMYFUNCTION("""COMPUTED_VALUE"""),6.472675255E9)</f>
        <v>6472675255</v>
      </c>
      <c r="H10035" s="3"/>
    </row>
    <row r="10036">
      <c r="A10036" s="2">
        <f>IFERROR(__xludf.DUMMYFUNCTION("""COMPUTED_VALUE"""),50867.0)</f>
        <v>50867</v>
      </c>
      <c r="B10036" s="3" t="str">
        <f>IFERROR(__xludf.DUMMYFUNCTION("""COMPUTED_VALUE"""),"6108 CURTIS PT RD UNIT 28")</f>
        <v>6108 CURTIS PT RD UNIT 28</v>
      </c>
      <c r="C10036" s="3" t="str">
        <f>IFERROR(__xludf.DUMMYFUNCTION("""COMPUTED_VALUE"""),"ROSENEATH ")</f>
        <v>ROSENEATH </v>
      </c>
      <c r="D10036" s="3" t="str">
        <f>IFERROR(__xludf.DUMMYFUNCTION("""COMPUTED_VALUE"""),"K0K 2X0")</f>
        <v>K0K 2X0</v>
      </c>
      <c r="E10036" s="3" t="str">
        <f>IFERROR(__xludf.DUMMYFUNCTION("""COMPUTED_VALUE"""),"william roshsoy")</f>
        <v>william roshsoy</v>
      </c>
      <c r="F10036" s="3" t="str">
        <f>IFERROR(__xludf.DUMMYFUNCTION("""COMPUTED_VALUE"""),"eyesblue1729@gmail.com")</f>
        <v>eyesblue1729@gmail.com</v>
      </c>
      <c r="G10036" s="3">
        <f>IFERROR(__xludf.DUMMYFUNCTION("""COMPUTED_VALUE"""),4.166293017E9)</f>
        <v>4166293017</v>
      </c>
      <c r="H10036" s="3"/>
    </row>
    <row r="10037">
      <c r="A10037" s="2">
        <f>IFERROR(__xludf.DUMMYFUNCTION("""COMPUTED_VALUE"""),50868.0)</f>
        <v>50868</v>
      </c>
      <c r="B10037" s="3" t="str">
        <f>IFERROR(__xludf.DUMMYFUNCTION("""COMPUTED_VALUE"""),"6108 CURTIS PT RD UNIT 29")</f>
        <v>6108 CURTIS PT RD UNIT 29</v>
      </c>
      <c r="C10037" s="3" t="str">
        <f>IFERROR(__xludf.DUMMYFUNCTION("""COMPUTED_VALUE"""),"ROSENEATH ")</f>
        <v>ROSENEATH </v>
      </c>
      <c r="D10037" s="3" t="str">
        <f>IFERROR(__xludf.DUMMYFUNCTION("""COMPUTED_VALUE"""),"K0K 2X0")</f>
        <v>K0K 2X0</v>
      </c>
      <c r="E10037" s="3" t="str">
        <f>IFERROR(__xludf.DUMMYFUNCTION("""COMPUTED_VALUE"""),"leslie and wayne woodside")</f>
        <v>leslie and wayne woodside</v>
      </c>
      <c r="F10037" s="3" t="str">
        <f>IFERROR(__xludf.DUMMYFUNCTION("""COMPUTED_VALUE"""),"w.l.woodside@gmail.com")</f>
        <v>w.l.woodside@gmail.com</v>
      </c>
      <c r="G10037" s="3">
        <f>IFERROR(__xludf.DUMMYFUNCTION("""COMPUTED_VALUE"""),9.056448507E9)</f>
        <v>9056448507</v>
      </c>
      <c r="H10037" s="3">
        <f>IFERROR(__xludf.DUMMYFUNCTION("""COMPUTED_VALUE"""),9.057444007E9)</f>
        <v>9057444007</v>
      </c>
    </row>
    <row r="10038">
      <c r="A10038" s="2">
        <f>IFERROR(__xludf.DUMMYFUNCTION("""COMPUTED_VALUE"""),50869.0)</f>
        <v>50869</v>
      </c>
      <c r="B10038" s="3" t="str">
        <f>IFERROR(__xludf.DUMMYFUNCTION("""COMPUTED_VALUE"""),"6108 CURTIS PT RD UNIT 3")</f>
        <v>6108 CURTIS PT RD UNIT 3</v>
      </c>
      <c r="C10038" s="3" t="str">
        <f>IFERROR(__xludf.DUMMYFUNCTION("""COMPUTED_VALUE"""),"ROSENEATH ")</f>
        <v>ROSENEATH </v>
      </c>
      <c r="D10038" s="3" t="str">
        <f>IFERROR(__xludf.DUMMYFUNCTION("""COMPUTED_VALUE"""),"K0K 2X0")</f>
        <v>K0K 2X0</v>
      </c>
      <c r="E10038" s="3" t="str">
        <f>IFERROR(__xludf.DUMMYFUNCTION("""COMPUTED_VALUE"""),"doug osbourne ")</f>
        <v>doug osbourne </v>
      </c>
      <c r="F10038" s="3" t="str">
        <f>IFERROR(__xludf.DUMMYFUNCTION("""COMPUTED_VALUE"""),"dougosbourne959@gmail.com")</f>
        <v>dougosbourne959@gmail.com</v>
      </c>
      <c r="G10038" s="3">
        <f>IFERROR(__xludf.DUMMYFUNCTION("""COMPUTED_VALUE"""),2.897712558E9)</f>
        <v>2897712558</v>
      </c>
      <c r="H10038" s="3"/>
    </row>
    <row r="10039">
      <c r="A10039" s="2">
        <f>IFERROR(__xludf.DUMMYFUNCTION("""COMPUTED_VALUE"""),50870.0)</f>
        <v>50870</v>
      </c>
      <c r="B10039" s="3" t="str">
        <f>IFERROR(__xludf.DUMMYFUNCTION("""COMPUTED_VALUE"""),"6108 CURTIS POINT RD UNIT 30")</f>
        <v>6108 CURTIS POINT RD UNIT 30</v>
      </c>
      <c r="C10039" s="3" t="str">
        <f>IFERROR(__xludf.DUMMYFUNCTION("""COMPUTED_VALUE"""),"ROSENEATH ")</f>
        <v>ROSENEATH </v>
      </c>
      <c r="D10039" s="3" t="str">
        <f>IFERROR(__xludf.DUMMYFUNCTION("""COMPUTED_VALUE"""),"K0K 2X0")</f>
        <v>K0K 2X0</v>
      </c>
      <c r="E10039" s="3" t="str">
        <f>IFERROR(__xludf.DUMMYFUNCTION("""COMPUTED_VALUE"""),"clay stout")</f>
        <v>clay stout</v>
      </c>
      <c r="F10039" s="3" t="str">
        <f>IFERROR(__xludf.DUMMYFUNCTION("""COMPUTED_VALUE"""),"kc@stout.com")</f>
        <v>kc@stout.com</v>
      </c>
      <c r="G10039" s="3">
        <f>IFERROR(__xludf.DUMMYFUNCTION("""COMPUTED_VALUE"""),2.893144643E9)</f>
        <v>2893144643</v>
      </c>
      <c r="H10039" s="3"/>
    </row>
    <row r="10040">
      <c r="A10040" s="2">
        <f>IFERROR(__xludf.DUMMYFUNCTION("""COMPUTED_VALUE"""),50871.0)</f>
        <v>50871</v>
      </c>
      <c r="B10040" s="3" t="str">
        <f>IFERROR(__xludf.DUMMYFUNCTION("""COMPUTED_VALUE"""),"6108 CURTIS PT RD UNIT 31")</f>
        <v>6108 CURTIS PT RD UNIT 31</v>
      </c>
      <c r="C10040" s="3" t="str">
        <f>IFERROR(__xludf.DUMMYFUNCTION("""COMPUTED_VALUE"""),"ROSENEATH ")</f>
        <v>ROSENEATH </v>
      </c>
      <c r="D10040" s="3" t="str">
        <f>IFERROR(__xludf.DUMMYFUNCTION("""COMPUTED_VALUE"""),"K0K 2X0")</f>
        <v>K0K 2X0</v>
      </c>
      <c r="E10040" s="3" t="str">
        <f>IFERROR(__xludf.DUMMYFUNCTION("""COMPUTED_VALUE"""),"todd richard")</f>
        <v>todd richard</v>
      </c>
      <c r="F10040" s="3" t="str">
        <f>IFERROR(__xludf.DUMMYFUNCTION("""COMPUTED_VALUE"""),"toddrichard@ymail.com")</f>
        <v>toddrichard@ymail.com</v>
      </c>
      <c r="G10040" s="3">
        <f>IFERROR(__xludf.DUMMYFUNCTION("""COMPUTED_VALUE"""),6.479912568E9)</f>
        <v>6479912568</v>
      </c>
      <c r="H10040" s="3"/>
    </row>
    <row r="10041">
      <c r="A10041" s="2">
        <f>IFERROR(__xludf.DUMMYFUNCTION("""COMPUTED_VALUE"""),50872.0)</f>
        <v>50872</v>
      </c>
      <c r="B10041" s="3" t="str">
        <f>IFERROR(__xludf.DUMMYFUNCTION("""COMPUTED_VALUE"""),"6108 CURTIS POINT RD UNIT 32")</f>
        <v>6108 CURTIS POINT RD UNIT 32</v>
      </c>
      <c r="C10041" s="3" t="str">
        <f>IFERROR(__xludf.DUMMYFUNCTION("""COMPUTED_VALUE"""),"ROSENEATH ")</f>
        <v>ROSENEATH </v>
      </c>
      <c r="D10041" s="3" t="str">
        <f>IFERROR(__xludf.DUMMYFUNCTION("""COMPUTED_VALUE"""),"K0K 2X0")</f>
        <v>K0K 2X0</v>
      </c>
      <c r="E10041" s="3"/>
      <c r="F10041" s="3"/>
      <c r="G10041" s="3"/>
      <c r="H10041" s="3"/>
    </row>
    <row r="10042">
      <c r="A10042" s="2">
        <f>IFERROR(__xludf.DUMMYFUNCTION("""COMPUTED_VALUE"""),50873.0)</f>
        <v>50873</v>
      </c>
      <c r="B10042" s="3" t="str">
        <f>IFERROR(__xludf.DUMMYFUNCTION("""COMPUTED_VALUE"""),"6108 CURTIS POINT RD UNIT 33")</f>
        <v>6108 CURTIS POINT RD UNIT 33</v>
      </c>
      <c r="C10042" s="3" t="str">
        <f>IFERROR(__xludf.DUMMYFUNCTION("""COMPUTED_VALUE"""),"ROSENEATH ")</f>
        <v>ROSENEATH </v>
      </c>
      <c r="D10042" s="3" t="str">
        <f>IFERROR(__xludf.DUMMYFUNCTION("""COMPUTED_VALUE"""),"K0K 2X0")</f>
        <v>K0K 2X0</v>
      </c>
      <c r="E10042" s="3" t="str">
        <f>IFERROR(__xludf.DUMMYFUNCTION("""COMPUTED_VALUE"""),"steve glenn ")</f>
        <v>steve glenn </v>
      </c>
      <c r="F10042" s="3"/>
      <c r="G10042" s="3">
        <f>IFERROR(__xludf.DUMMYFUNCTION("""COMPUTED_VALUE"""),9.053967511E9)</f>
        <v>9053967511</v>
      </c>
      <c r="H10042" s="3"/>
    </row>
    <row r="10043">
      <c r="A10043" s="2">
        <f>IFERROR(__xludf.DUMMYFUNCTION("""COMPUTED_VALUE"""),50874.0)</f>
        <v>50874</v>
      </c>
      <c r="B10043" s="3" t="str">
        <f>IFERROR(__xludf.DUMMYFUNCTION("""COMPUTED_VALUE"""),"6108 CURTIS POINT RD UNIT 34")</f>
        <v>6108 CURTIS POINT RD UNIT 34</v>
      </c>
      <c r="C10043" s="3" t="str">
        <f>IFERROR(__xludf.DUMMYFUNCTION("""COMPUTED_VALUE"""),"ROSENEATH ")</f>
        <v>ROSENEATH </v>
      </c>
      <c r="D10043" s="3" t="str">
        <f>IFERROR(__xludf.DUMMYFUNCTION("""COMPUTED_VALUE"""),"K0K 2X0")</f>
        <v>K0K 2X0</v>
      </c>
      <c r="E10043" s="3" t="str">
        <f>IFERROR(__xludf.DUMMYFUNCTION("""COMPUTED_VALUE"""),"christine and silvano falcovi")</f>
        <v>christine and silvano falcovi</v>
      </c>
      <c r="F10043" s="3"/>
      <c r="G10043" s="3">
        <f>IFERROR(__xludf.DUMMYFUNCTION("""COMPUTED_VALUE"""),9.053522764E9)</f>
        <v>9053522764</v>
      </c>
      <c r="H10043" s="3"/>
    </row>
    <row r="10044">
      <c r="A10044" s="2">
        <f>IFERROR(__xludf.DUMMYFUNCTION("""COMPUTED_VALUE"""),50875.0)</f>
        <v>50875</v>
      </c>
      <c r="B10044" s="3" t="str">
        <f>IFERROR(__xludf.DUMMYFUNCTION("""COMPUTED_VALUE"""),"6108 CURTIS POINT RD UNIT 35")</f>
        <v>6108 CURTIS POINT RD UNIT 35</v>
      </c>
      <c r="C10044" s="3" t="str">
        <f>IFERROR(__xludf.DUMMYFUNCTION("""COMPUTED_VALUE"""),"ROSENEATH ")</f>
        <v>ROSENEATH </v>
      </c>
      <c r="D10044" s="3" t="str">
        <f>IFERROR(__xludf.DUMMYFUNCTION("""COMPUTED_VALUE"""),"K0K 2X0")</f>
        <v>K0K 2X0</v>
      </c>
      <c r="E10044" s="3"/>
      <c r="F10044" s="3"/>
      <c r="G10044" s="3"/>
      <c r="H10044" s="3"/>
    </row>
    <row r="10045">
      <c r="A10045" s="2">
        <f>IFERROR(__xludf.DUMMYFUNCTION("""COMPUTED_VALUE"""),50876.0)</f>
        <v>50876</v>
      </c>
      <c r="B10045" s="3" t="str">
        <f>IFERROR(__xludf.DUMMYFUNCTION("""COMPUTED_VALUE"""),"6108 CURTIS PT RD UNIT 36")</f>
        <v>6108 CURTIS PT RD UNIT 36</v>
      </c>
      <c r="C10045" s="3" t="str">
        <f>IFERROR(__xludf.DUMMYFUNCTION("""COMPUTED_VALUE"""),"ROSENEATH ")</f>
        <v>ROSENEATH </v>
      </c>
      <c r="D10045" s="3" t="str">
        <f>IFERROR(__xludf.DUMMYFUNCTION("""COMPUTED_VALUE"""),"K0K 2X0")</f>
        <v>K0K 2X0</v>
      </c>
      <c r="E10045" s="3" t="str">
        <f>IFERROR(__xludf.DUMMYFUNCTION("""COMPUTED_VALUE"""),"gail jackson")</f>
        <v>gail jackson</v>
      </c>
      <c r="F10045" s="3"/>
      <c r="G10045" s="3">
        <f>IFERROR(__xludf.DUMMYFUNCTION("""COMPUTED_VALUE"""),9.059794544E9)</f>
        <v>9059794544</v>
      </c>
      <c r="H10045" s="3"/>
    </row>
    <row r="10046">
      <c r="A10046" s="2">
        <f>IFERROR(__xludf.DUMMYFUNCTION("""COMPUTED_VALUE"""),50877.0)</f>
        <v>50877</v>
      </c>
      <c r="B10046" s="3" t="str">
        <f>IFERROR(__xludf.DUMMYFUNCTION("""COMPUTED_VALUE"""),"6108 CURTIS POINT RD UNIT 37")</f>
        <v>6108 CURTIS POINT RD UNIT 37</v>
      </c>
      <c r="C10046" s="3" t="str">
        <f>IFERROR(__xludf.DUMMYFUNCTION("""COMPUTED_VALUE"""),"ROSENEATH ")</f>
        <v>ROSENEATH </v>
      </c>
      <c r="D10046" s="3" t="str">
        <f>IFERROR(__xludf.DUMMYFUNCTION("""COMPUTED_VALUE"""),"K0K 2X0")</f>
        <v>K0K 2X0</v>
      </c>
      <c r="E10046" s="3" t="str">
        <f>IFERROR(__xludf.DUMMYFUNCTION("""COMPUTED_VALUE"""),"rick savoy")</f>
        <v>rick savoy</v>
      </c>
      <c r="F10046" s="3" t="str">
        <f>IFERROR(__xludf.DUMMYFUNCTION("""COMPUTED_VALUE"""),"rodericksavoy53@gmail.com")</f>
        <v>rodericksavoy53@gmail.com</v>
      </c>
      <c r="G10046" s="3">
        <f>IFERROR(__xludf.DUMMYFUNCTION("""COMPUTED_VALUE"""),9.053763997E9)</f>
        <v>9053763997</v>
      </c>
      <c r="H10046" s="3"/>
    </row>
    <row r="10047">
      <c r="A10047" s="2">
        <f>IFERROR(__xludf.DUMMYFUNCTION("""COMPUTED_VALUE"""),50878.0)</f>
        <v>50878</v>
      </c>
      <c r="B10047" s="3" t="str">
        <f>IFERROR(__xludf.DUMMYFUNCTION("""COMPUTED_VALUE"""),"6108 CURTIS POINT RD UNIT 38")</f>
        <v>6108 CURTIS POINT RD UNIT 38</v>
      </c>
      <c r="C10047" s="3" t="str">
        <f>IFERROR(__xludf.DUMMYFUNCTION("""COMPUTED_VALUE"""),"ROSENEATH ")</f>
        <v>ROSENEATH </v>
      </c>
      <c r="D10047" s="3" t="str">
        <f>IFERROR(__xludf.DUMMYFUNCTION("""COMPUTED_VALUE"""),"K0K 2X0")</f>
        <v>K0K 2X0</v>
      </c>
      <c r="E10047" s="3"/>
      <c r="F10047" s="3"/>
      <c r="G10047" s="3"/>
      <c r="H10047" s="3"/>
    </row>
    <row r="10048">
      <c r="A10048" s="2">
        <f>IFERROR(__xludf.DUMMYFUNCTION("""COMPUTED_VALUE"""),50879.0)</f>
        <v>50879</v>
      </c>
      <c r="B10048" s="3" t="str">
        <f>IFERROR(__xludf.DUMMYFUNCTION("""COMPUTED_VALUE"""),"6108 CURTIS POINT RD UNIT 39")</f>
        <v>6108 CURTIS POINT RD UNIT 39</v>
      </c>
      <c r="C10048" s="3" t="str">
        <f>IFERROR(__xludf.DUMMYFUNCTION("""COMPUTED_VALUE"""),"ROSENEATH ")</f>
        <v>ROSENEATH </v>
      </c>
      <c r="D10048" s="3" t="str">
        <f>IFERROR(__xludf.DUMMYFUNCTION("""COMPUTED_VALUE"""),"K0K 2X0")</f>
        <v>K0K 2X0</v>
      </c>
      <c r="E10048" s="3"/>
      <c r="F10048" s="3"/>
      <c r="G10048" s="3"/>
      <c r="H10048" s="3"/>
    </row>
    <row r="10049">
      <c r="A10049" s="2">
        <f>IFERROR(__xludf.DUMMYFUNCTION("""COMPUTED_VALUE"""),50880.0)</f>
        <v>50880</v>
      </c>
      <c r="B10049" s="3" t="str">
        <f>IFERROR(__xludf.DUMMYFUNCTION("""COMPUTED_VALUE"""),"6108 CURTIS PT RD 4")</f>
        <v>6108 CURTIS PT RD 4</v>
      </c>
      <c r="C10049" s="3" t="str">
        <f>IFERROR(__xludf.DUMMYFUNCTION("""COMPUTED_VALUE"""),"ROSENEATH ")</f>
        <v>ROSENEATH </v>
      </c>
      <c r="D10049" s="3" t="str">
        <f>IFERROR(__xludf.DUMMYFUNCTION("""COMPUTED_VALUE"""),"K0K 2X0")</f>
        <v>K0K 2X0</v>
      </c>
      <c r="E10049" s="3" t="str">
        <f>IFERROR(__xludf.DUMMYFUNCTION("""COMPUTED_VALUE"""),"cong kuary")</f>
        <v>cong kuary</v>
      </c>
      <c r="F10049" s="3"/>
      <c r="G10049" s="3">
        <f>IFERROR(__xludf.DUMMYFUNCTION("""COMPUTED_VALUE"""),9.053522229E9)</f>
        <v>9053522229</v>
      </c>
      <c r="H10049" s="3"/>
    </row>
    <row r="10050">
      <c r="A10050" s="2">
        <f>IFERROR(__xludf.DUMMYFUNCTION("""COMPUTED_VALUE"""),50881.0)</f>
        <v>50881</v>
      </c>
      <c r="B10050" s="3" t="str">
        <f>IFERROR(__xludf.DUMMYFUNCTION("""COMPUTED_VALUE"""),"6108 CURTIS PT RD UNIT 40")</f>
        <v>6108 CURTIS PT RD UNIT 40</v>
      </c>
      <c r="C10050" s="3" t="str">
        <f>IFERROR(__xludf.DUMMYFUNCTION("""COMPUTED_VALUE"""),"ROSENEATH ")</f>
        <v>ROSENEATH </v>
      </c>
      <c r="D10050" s="3" t="str">
        <f>IFERROR(__xludf.DUMMYFUNCTION("""COMPUTED_VALUE"""),"K0K 2X0")</f>
        <v>K0K 2X0</v>
      </c>
      <c r="E10050" s="3"/>
      <c r="F10050" s="3"/>
      <c r="G10050" s="3"/>
      <c r="H10050" s="3"/>
    </row>
    <row r="10051">
      <c r="A10051" s="2">
        <f>IFERROR(__xludf.DUMMYFUNCTION("""COMPUTED_VALUE"""),50882.0)</f>
        <v>50882</v>
      </c>
      <c r="B10051" s="3" t="str">
        <f>IFERROR(__xludf.DUMMYFUNCTION("""COMPUTED_VALUE"""),"6108 CURTIS POINT RD UNIT 41")</f>
        <v>6108 CURTIS POINT RD UNIT 41</v>
      </c>
      <c r="C10051" s="3" t="str">
        <f>IFERROR(__xludf.DUMMYFUNCTION("""COMPUTED_VALUE"""),"ROSENEATH ")</f>
        <v>ROSENEATH </v>
      </c>
      <c r="D10051" s="3" t="str">
        <f>IFERROR(__xludf.DUMMYFUNCTION("""COMPUTED_VALUE"""),"K0K 2X0")</f>
        <v>K0K 2X0</v>
      </c>
      <c r="E10051" s="3"/>
      <c r="F10051" s="3"/>
      <c r="G10051" s="3"/>
      <c r="H10051" s="3"/>
    </row>
    <row r="10052">
      <c r="A10052" s="2">
        <f>IFERROR(__xludf.DUMMYFUNCTION("""COMPUTED_VALUE"""),50883.0)</f>
        <v>50883</v>
      </c>
      <c r="B10052" s="3" t="str">
        <f>IFERROR(__xludf.DUMMYFUNCTION("""COMPUTED_VALUE"""),"6108 CURTIS POINT RD UNIT 42")</f>
        <v>6108 CURTIS POINT RD UNIT 42</v>
      </c>
      <c r="C10052" s="3" t="str">
        <f>IFERROR(__xludf.DUMMYFUNCTION("""COMPUTED_VALUE"""),"ROSENEATH ")</f>
        <v>ROSENEATH </v>
      </c>
      <c r="D10052" s="3" t="str">
        <f>IFERROR(__xludf.DUMMYFUNCTION("""COMPUTED_VALUE"""),"K0K 2X0")</f>
        <v>K0K 2X0</v>
      </c>
      <c r="E10052" s="3" t="str">
        <f>IFERROR(__xludf.DUMMYFUNCTION("""COMPUTED_VALUE"""),"delores nixon")</f>
        <v>delores nixon</v>
      </c>
      <c r="F10052" s="3"/>
      <c r="G10052" s="3">
        <f>IFERROR(__xludf.DUMMYFUNCTION("""COMPUTED_VALUE"""),9.053522231E9)</f>
        <v>9053522231</v>
      </c>
      <c r="H10052" s="3"/>
    </row>
    <row r="10053">
      <c r="A10053" s="2">
        <f>IFERROR(__xludf.DUMMYFUNCTION("""COMPUTED_VALUE"""),50884.0)</f>
        <v>50884</v>
      </c>
      <c r="B10053" s="3" t="str">
        <f>IFERROR(__xludf.DUMMYFUNCTION("""COMPUTED_VALUE"""),"6108 CURTIS POINT RD UNIT 43")</f>
        <v>6108 CURTIS POINT RD UNIT 43</v>
      </c>
      <c r="C10053" s="3" t="str">
        <f>IFERROR(__xludf.DUMMYFUNCTION("""COMPUTED_VALUE"""),"ROSENEATH ")</f>
        <v>ROSENEATH </v>
      </c>
      <c r="D10053" s="3" t="str">
        <f>IFERROR(__xludf.DUMMYFUNCTION("""COMPUTED_VALUE"""),"K0K 2X0")</f>
        <v>K0K 2X0</v>
      </c>
      <c r="E10053" s="3"/>
      <c r="F10053" s="3"/>
      <c r="G10053" s="3"/>
      <c r="H10053" s="3"/>
    </row>
    <row r="10054">
      <c r="A10054" s="2">
        <f>IFERROR(__xludf.DUMMYFUNCTION("""COMPUTED_VALUE"""),50885.0)</f>
        <v>50885</v>
      </c>
      <c r="B10054" s="3" t="str">
        <f>IFERROR(__xludf.DUMMYFUNCTION("""COMPUTED_VALUE"""),"6108 CURTIS POINT RD UNIT 44")</f>
        <v>6108 CURTIS POINT RD UNIT 44</v>
      </c>
      <c r="C10054" s="3" t="str">
        <f>IFERROR(__xludf.DUMMYFUNCTION("""COMPUTED_VALUE"""),"ROSENEATH ")</f>
        <v>ROSENEATH </v>
      </c>
      <c r="D10054" s="3" t="str">
        <f>IFERROR(__xludf.DUMMYFUNCTION("""COMPUTED_VALUE"""),"K0K 2X0")</f>
        <v>K0K 2X0</v>
      </c>
      <c r="E10054" s="3"/>
      <c r="F10054" s="3"/>
      <c r="G10054" s="3"/>
      <c r="H10054" s="3"/>
    </row>
    <row r="10055">
      <c r="A10055" s="2">
        <f>IFERROR(__xludf.DUMMYFUNCTION("""COMPUTED_VALUE"""),50886.0)</f>
        <v>50886</v>
      </c>
      <c r="B10055" s="3" t="str">
        <f>IFERROR(__xludf.DUMMYFUNCTION("""COMPUTED_VALUE"""),"6108 CURTIS POINT RD UNIT 45")</f>
        <v>6108 CURTIS POINT RD UNIT 45</v>
      </c>
      <c r="C10055" s="3" t="str">
        <f>IFERROR(__xludf.DUMMYFUNCTION("""COMPUTED_VALUE"""),"ROSENEATH ")</f>
        <v>ROSENEATH </v>
      </c>
      <c r="D10055" s="3" t="str">
        <f>IFERROR(__xludf.DUMMYFUNCTION("""COMPUTED_VALUE"""),"K0K 2X0")</f>
        <v>K0K 2X0</v>
      </c>
      <c r="E10055" s="3" t="str">
        <f>IFERROR(__xludf.DUMMYFUNCTION("""COMPUTED_VALUE"""),"jennie ly")</f>
        <v>jennie ly</v>
      </c>
      <c r="F10055" s="3" t="str">
        <f>IFERROR(__xludf.DUMMYFUNCTION("""COMPUTED_VALUE"""),"j_ly@hotmail.com")</f>
        <v>j_ly@hotmail.com</v>
      </c>
      <c r="G10055" s="3">
        <f>IFERROR(__xludf.DUMMYFUNCTION("""COMPUTED_VALUE"""),6.478284288E9)</f>
        <v>6478284288</v>
      </c>
      <c r="H10055" s="3"/>
    </row>
    <row r="10056">
      <c r="A10056" s="2">
        <f>IFERROR(__xludf.DUMMYFUNCTION("""COMPUTED_VALUE"""),50887.0)</f>
        <v>50887</v>
      </c>
      <c r="B10056" s="3" t="str">
        <f>IFERROR(__xludf.DUMMYFUNCTION("""COMPUTED_VALUE"""),"6108 CURTIS POINT RD UNIT 46")</f>
        <v>6108 CURTIS POINT RD UNIT 46</v>
      </c>
      <c r="C10056" s="3" t="str">
        <f>IFERROR(__xludf.DUMMYFUNCTION("""COMPUTED_VALUE"""),"ROSENEATH ")</f>
        <v>ROSENEATH </v>
      </c>
      <c r="D10056" s="3" t="str">
        <f>IFERROR(__xludf.DUMMYFUNCTION("""COMPUTED_VALUE"""),"K0K 2X0")</f>
        <v>K0K 2X0</v>
      </c>
      <c r="E10056" s="3" t="str">
        <f>IFERROR(__xludf.DUMMYFUNCTION("""COMPUTED_VALUE"""),"gaik sullano")</f>
        <v>gaik sullano</v>
      </c>
      <c r="F10056" s="3" t="str">
        <f>IFERROR(__xludf.DUMMYFUNCTION("""COMPUTED_VALUE"""),"gaiksullano@gmail.com")</f>
        <v>gaiksullano@gmail.com</v>
      </c>
      <c r="G10056" s="3">
        <f>IFERROR(__xludf.DUMMYFUNCTION("""COMPUTED_VALUE"""),6.479296707E9)</f>
        <v>6479296707</v>
      </c>
      <c r="H10056" s="3"/>
    </row>
    <row r="10057">
      <c r="A10057" s="2">
        <f>IFERROR(__xludf.DUMMYFUNCTION("""COMPUTED_VALUE"""),50888.0)</f>
        <v>50888</v>
      </c>
      <c r="B10057" s="3" t="str">
        <f>IFERROR(__xludf.DUMMYFUNCTION("""COMPUTED_VALUE"""),"6108 CURTIS PT RD UNIT 47")</f>
        <v>6108 CURTIS PT RD UNIT 47</v>
      </c>
      <c r="C10057" s="3" t="str">
        <f>IFERROR(__xludf.DUMMYFUNCTION("""COMPUTED_VALUE"""),"ROSENEATH ")</f>
        <v>ROSENEATH </v>
      </c>
      <c r="D10057" s="3" t="str">
        <f>IFERROR(__xludf.DUMMYFUNCTION("""COMPUTED_VALUE"""),"K0K 2X0")</f>
        <v>K0K 2X0</v>
      </c>
      <c r="E10057" s="3" t="str">
        <f>IFERROR(__xludf.DUMMYFUNCTION("""COMPUTED_VALUE"""),"s.m ghulam hilali")</f>
        <v>s.m ghulam hilali</v>
      </c>
      <c r="F10057" s="3" t="str">
        <f>IFERROR(__xludf.DUMMYFUNCTION("""COMPUTED_VALUE"""),"hilali.jatak@gmail.com")</f>
        <v>hilali.jatak@gmail.com</v>
      </c>
      <c r="G10057" s="3">
        <f>IFERROR(__xludf.DUMMYFUNCTION("""COMPUTED_VALUE"""),6.476064392E9)</f>
        <v>6476064392</v>
      </c>
      <c r="H10057" s="3"/>
    </row>
    <row r="10058">
      <c r="A10058" s="2">
        <f>IFERROR(__xludf.DUMMYFUNCTION("""COMPUTED_VALUE"""),50889.0)</f>
        <v>50889</v>
      </c>
      <c r="B10058" s="3" t="str">
        <f>IFERROR(__xludf.DUMMYFUNCTION("""COMPUTED_VALUE"""),"6108 CURTIS PT RD UNIT 48")</f>
        <v>6108 CURTIS PT RD UNIT 48</v>
      </c>
      <c r="C10058" s="3" t="str">
        <f>IFERROR(__xludf.DUMMYFUNCTION("""COMPUTED_VALUE"""),"ROSENEATH ")</f>
        <v>ROSENEATH </v>
      </c>
      <c r="D10058" s="3" t="str">
        <f>IFERROR(__xludf.DUMMYFUNCTION("""COMPUTED_VALUE"""),"K0K 2X0")</f>
        <v>K0K 2X0</v>
      </c>
      <c r="E10058" s="3"/>
      <c r="F10058" s="3"/>
      <c r="G10058" s="3"/>
      <c r="H10058" s="3"/>
    </row>
    <row r="10059">
      <c r="A10059" s="2">
        <f>IFERROR(__xludf.DUMMYFUNCTION("""COMPUTED_VALUE"""),50890.0)</f>
        <v>50890</v>
      </c>
      <c r="B10059" s="3" t="str">
        <f>IFERROR(__xludf.DUMMYFUNCTION("""COMPUTED_VALUE"""),"6108 CURTIS POINT RD UNIT 49")</f>
        <v>6108 CURTIS POINT RD UNIT 49</v>
      </c>
      <c r="C10059" s="3" t="str">
        <f>IFERROR(__xludf.DUMMYFUNCTION("""COMPUTED_VALUE"""),"ROSENEATH ")</f>
        <v>ROSENEATH </v>
      </c>
      <c r="D10059" s="3" t="str">
        <f>IFERROR(__xludf.DUMMYFUNCTION("""COMPUTED_VALUE"""),"K0K 2X0")</f>
        <v>K0K 2X0</v>
      </c>
      <c r="E10059" s="3"/>
      <c r="F10059" s="3"/>
      <c r="G10059" s="3"/>
      <c r="H10059" s="3"/>
    </row>
    <row r="10060">
      <c r="A10060" s="2">
        <f>IFERROR(__xludf.DUMMYFUNCTION("""COMPUTED_VALUE"""),50891.0)</f>
        <v>50891</v>
      </c>
      <c r="B10060" s="3" t="str">
        <f>IFERROR(__xludf.DUMMYFUNCTION("""COMPUTED_VALUE"""),"6108 CURTIS PT RD UNIT 5")</f>
        <v>6108 CURTIS PT RD UNIT 5</v>
      </c>
      <c r="C10060" s="3" t="str">
        <f>IFERROR(__xludf.DUMMYFUNCTION("""COMPUTED_VALUE"""),"ROSENEATH ")</f>
        <v>ROSENEATH </v>
      </c>
      <c r="D10060" s="3" t="str">
        <f>IFERROR(__xludf.DUMMYFUNCTION("""COMPUTED_VALUE"""),"K0K 2X0")</f>
        <v>K0K 2X0</v>
      </c>
      <c r="E10060" s="3" t="str">
        <f>IFERROR(__xludf.DUMMYFUNCTION("""COMPUTED_VALUE"""),"thapi mehanathan")</f>
        <v>thapi mehanathan</v>
      </c>
      <c r="F10060" s="3" t="str">
        <f>IFERROR(__xludf.DUMMYFUNCTION("""COMPUTED_VALUE"""),"thapi.mehanathan@outlook.com")</f>
        <v>thapi.mehanathan@outlook.com</v>
      </c>
      <c r="G10060" s="3">
        <f>IFERROR(__xludf.DUMMYFUNCTION("""COMPUTED_VALUE"""),6.472627151E9)</f>
        <v>6472627151</v>
      </c>
      <c r="H10060" s="3"/>
    </row>
    <row r="10061">
      <c r="A10061" s="2">
        <f>IFERROR(__xludf.DUMMYFUNCTION("""COMPUTED_VALUE"""),50892.0)</f>
        <v>50892</v>
      </c>
      <c r="B10061" s="3" t="str">
        <f>IFERROR(__xludf.DUMMYFUNCTION("""COMPUTED_VALUE"""),"6108 CURTIS PT RD UNIT 50")</f>
        <v>6108 CURTIS PT RD UNIT 50</v>
      </c>
      <c r="C10061" s="3" t="str">
        <f>IFERROR(__xludf.DUMMYFUNCTION("""COMPUTED_VALUE"""),"ROSENEATH ")</f>
        <v>ROSENEATH </v>
      </c>
      <c r="D10061" s="3" t="str">
        <f>IFERROR(__xludf.DUMMYFUNCTION("""COMPUTED_VALUE"""),"K0K 2X0")</f>
        <v>K0K 2X0</v>
      </c>
      <c r="E10061" s="3" t="str">
        <f>IFERROR(__xludf.DUMMYFUNCTION("""COMPUTED_VALUE"""),"penny balk ")</f>
        <v>penny balk </v>
      </c>
      <c r="F10061" s="3" t="str">
        <f>IFERROR(__xludf.DUMMYFUNCTION("""COMPUTED_VALUE"""),"pennybalk@yahoo.com")</f>
        <v>pennybalk@yahoo.com</v>
      </c>
      <c r="G10061" s="3">
        <f>IFERROR(__xludf.DUMMYFUNCTION("""COMPUTED_VALUE"""),9.05995193E9)</f>
        <v>9059951930</v>
      </c>
      <c r="H10061" s="3"/>
    </row>
    <row r="10062">
      <c r="A10062" s="2">
        <f>IFERROR(__xludf.DUMMYFUNCTION("""COMPUTED_VALUE"""),50893.0)</f>
        <v>50893</v>
      </c>
      <c r="B10062" s="3" t="str">
        <f>IFERROR(__xludf.DUMMYFUNCTION("""COMPUTED_VALUE"""),"6108 CURTIS POINT RD UNIT 50")</f>
        <v>6108 CURTIS POINT RD UNIT 50</v>
      </c>
      <c r="C10062" s="3" t="str">
        <f>IFERROR(__xludf.DUMMYFUNCTION("""COMPUTED_VALUE"""),"ROSENEATH ")</f>
        <v>ROSENEATH </v>
      </c>
      <c r="D10062" s="3" t="str">
        <f>IFERROR(__xludf.DUMMYFUNCTION("""COMPUTED_VALUE"""),"K0K 2X0")</f>
        <v>K0K 2X0</v>
      </c>
      <c r="E10062" s="3"/>
      <c r="F10062" s="3"/>
      <c r="G10062" s="3"/>
      <c r="H10062" s="3"/>
    </row>
    <row r="10063">
      <c r="A10063" s="2">
        <f>IFERROR(__xludf.DUMMYFUNCTION("""COMPUTED_VALUE"""),50894.0)</f>
        <v>50894</v>
      </c>
      <c r="B10063" s="3" t="str">
        <f>IFERROR(__xludf.DUMMYFUNCTION("""COMPUTED_VALUE"""),"6108 CURTIS POINT RD UNIT 52")</f>
        <v>6108 CURTIS POINT RD UNIT 52</v>
      </c>
      <c r="C10063" s="3" t="str">
        <f>IFERROR(__xludf.DUMMYFUNCTION("""COMPUTED_VALUE"""),"ROSENEATH ")</f>
        <v>ROSENEATH </v>
      </c>
      <c r="D10063" s="3" t="str">
        <f>IFERROR(__xludf.DUMMYFUNCTION("""COMPUTED_VALUE"""),"K0K 2X0")</f>
        <v>K0K 2X0</v>
      </c>
      <c r="E10063" s="3" t="str">
        <f>IFERROR(__xludf.DUMMYFUNCTION("""COMPUTED_VALUE"""),"coleman wonnacolt")</f>
        <v>coleman wonnacolt</v>
      </c>
      <c r="F10063" s="3" t="str">
        <f>IFERROR(__xludf.DUMMYFUNCTION("""COMPUTED_VALUE"""),"colemanwonnacott@yahoo.com")</f>
        <v>colemanwonnacott@yahoo.com</v>
      </c>
      <c r="G10063" s="3">
        <f>IFERROR(__xludf.DUMMYFUNCTION("""COMPUTED_VALUE"""),7.05760129E9)</f>
        <v>7057601290</v>
      </c>
      <c r="H10063" s="3"/>
    </row>
    <row r="10064">
      <c r="A10064" s="2">
        <f>IFERROR(__xludf.DUMMYFUNCTION("""COMPUTED_VALUE"""),50895.0)</f>
        <v>50895</v>
      </c>
      <c r="B10064" s="3" t="str">
        <f>IFERROR(__xludf.DUMMYFUNCTION("""COMPUTED_VALUE"""),"6108 CURTIS POINT RD UNIT 53")</f>
        <v>6108 CURTIS POINT RD UNIT 53</v>
      </c>
      <c r="C10064" s="3" t="str">
        <f>IFERROR(__xludf.DUMMYFUNCTION("""COMPUTED_VALUE"""),"ROSENEATH ")</f>
        <v>ROSENEATH </v>
      </c>
      <c r="D10064" s="3" t="str">
        <f>IFERROR(__xludf.DUMMYFUNCTION("""COMPUTED_VALUE"""),"K0K 2X0")</f>
        <v>K0K 2X0</v>
      </c>
      <c r="E10064" s="3"/>
      <c r="F10064" s="3"/>
      <c r="G10064" s="3"/>
      <c r="H10064" s="3"/>
    </row>
    <row r="10065">
      <c r="A10065" s="2">
        <f>IFERROR(__xludf.DUMMYFUNCTION("""COMPUTED_VALUE"""),50896.0)</f>
        <v>50896</v>
      </c>
      <c r="B10065" s="3" t="str">
        <f>IFERROR(__xludf.DUMMYFUNCTION("""COMPUTED_VALUE"""),"6108 CURTIS PT RD UNIT 54")</f>
        <v>6108 CURTIS PT RD UNIT 54</v>
      </c>
      <c r="C10065" s="3" t="str">
        <f>IFERROR(__xludf.DUMMYFUNCTION("""COMPUTED_VALUE"""),"ROSENEATH ")</f>
        <v>ROSENEATH </v>
      </c>
      <c r="D10065" s="3" t="str">
        <f>IFERROR(__xludf.DUMMYFUNCTION("""COMPUTED_VALUE"""),"K0K 2X0")</f>
        <v>K0K 2X0</v>
      </c>
      <c r="E10065" s="3"/>
      <c r="F10065" s="3"/>
      <c r="G10065" s="3"/>
      <c r="H10065" s="3"/>
    </row>
    <row r="10066">
      <c r="A10066" s="2">
        <f>IFERROR(__xludf.DUMMYFUNCTION("""COMPUTED_VALUE"""),50897.0)</f>
        <v>50897</v>
      </c>
      <c r="B10066" s="3" t="str">
        <f>IFERROR(__xludf.DUMMYFUNCTION("""COMPUTED_VALUE"""),"6108 CURTIS PT RD UNIT 55")</f>
        <v>6108 CURTIS PT RD UNIT 55</v>
      </c>
      <c r="C10066" s="3" t="str">
        <f>IFERROR(__xludf.DUMMYFUNCTION("""COMPUTED_VALUE"""),"ROSENEATH ")</f>
        <v>ROSENEATH </v>
      </c>
      <c r="D10066" s="3" t="str">
        <f>IFERROR(__xludf.DUMMYFUNCTION("""COMPUTED_VALUE"""),"K0K 2X0")</f>
        <v>K0K 2X0</v>
      </c>
      <c r="E10066" s="3" t="str">
        <f>IFERROR(__xludf.DUMMYFUNCTION("""COMPUTED_VALUE"""),"Amjad Rafiq")</f>
        <v>Amjad Rafiq</v>
      </c>
      <c r="F10066" s="3" t="str">
        <f>IFERROR(__xludf.DUMMYFUNCTION("""COMPUTED_VALUE"""),"amjad.rafiq@gmail.com")</f>
        <v>amjad.rafiq@gmail.com</v>
      </c>
      <c r="G10066" s="3">
        <f>IFERROR(__xludf.DUMMYFUNCTION("""COMPUTED_VALUE"""),4.163180145E9)</f>
        <v>4163180145</v>
      </c>
      <c r="H10066" s="3"/>
    </row>
    <row r="10067">
      <c r="A10067" s="2">
        <f>IFERROR(__xludf.DUMMYFUNCTION("""COMPUTED_VALUE"""),50898.0)</f>
        <v>50898</v>
      </c>
      <c r="B10067" s="3" t="str">
        <f>IFERROR(__xludf.DUMMYFUNCTION("""COMPUTED_VALUE"""),"6108 CURTIS PT RD UNIT 56")</f>
        <v>6108 CURTIS PT RD UNIT 56</v>
      </c>
      <c r="C10067" s="3" t="str">
        <f>IFERROR(__xludf.DUMMYFUNCTION("""COMPUTED_VALUE"""),"ROSENEATH ")</f>
        <v>ROSENEATH </v>
      </c>
      <c r="D10067" s="3" t="str">
        <f>IFERROR(__xludf.DUMMYFUNCTION("""COMPUTED_VALUE"""),"K0K 2X0")</f>
        <v>K0K 2X0</v>
      </c>
      <c r="E10067" s="3"/>
      <c r="F10067" s="3"/>
      <c r="G10067" s="3"/>
      <c r="H10067" s="3"/>
    </row>
    <row r="10068">
      <c r="A10068" s="2">
        <f>IFERROR(__xludf.DUMMYFUNCTION("""COMPUTED_VALUE"""),50899.0)</f>
        <v>50899</v>
      </c>
      <c r="B10068" s="3" t="str">
        <f>IFERROR(__xludf.DUMMYFUNCTION("""COMPUTED_VALUE"""),"6108 CURTIS POINT RD UNIT 57")</f>
        <v>6108 CURTIS POINT RD UNIT 57</v>
      </c>
      <c r="C10068" s="3" t="str">
        <f>IFERROR(__xludf.DUMMYFUNCTION("""COMPUTED_VALUE"""),"ROSENEATH ")</f>
        <v>ROSENEATH </v>
      </c>
      <c r="D10068" s="3" t="str">
        <f>IFERROR(__xludf.DUMMYFUNCTION("""COMPUTED_VALUE"""),"K0K 2X0")</f>
        <v>K0K 2X0</v>
      </c>
      <c r="E10068" s="3"/>
      <c r="F10068" s="3"/>
      <c r="G10068" s="3"/>
      <c r="H10068" s="3"/>
    </row>
    <row r="10069">
      <c r="A10069" s="2">
        <f>IFERROR(__xludf.DUMMYFUNCTION("""COMPUTED_VALUE"""),50900.0)</f>
        <v>50900</v>
      </c>
      <c r="B10069" s="3" t="str">
        <f>IFERROR(__xludf.DUMMYFUNCTION("""COMPUTED_VALUE"""),"6108 CURTIS PT RD UNIT 58")</f>
        <v>6108 CURTIS PT RD UNIT 58</v>
      </c>
      <c r="C10069" s="3" t="str">
        <f>IFERROR(__xludf.DUMMYFUNCTION("""COMPUTED_VALUE"""),"ROSENEATH ")</f>
        <v>ROSENEATH </v>
      </c>
      <c r="D10069" s="3" t="str">
        <f>IFERROR(__xludf.DUMMYFUNCTION("""COMPUTED_VALUE"""),"K0K 2X0")</f>
        <v>K0K 2X0</v>
      </c>
      <c r="E10069" s="3" t="str">
        <f>IFERROR(__xludf.DUMMYFUNCTION("""COMPUTED_VALUE"""),"Marc Doi")</f>
        <v>Marc Doi</v>
      </c>
      <c r="F10069" s="3" t="str">
        <f>IFERROR(__xludf.DUMMYFUNCTION("""COMPUTED_VALUE"""),"marcdoi@hotmail.com")</f>
        <v>marcdoi@hotmail.com</v>
      </c>
      <c r="G10069" s="3"/>
      <c r="H10069" s="3"/>
    </row>
    <row r="10070">
      <c r="A10070" s="2">
        <f>IFERROR(__xludf.DUMMYFUNCTION("""COMPUTED_VALUE"""),50901.0)</f>
        <v>50901</v>
      </c>
      <c r="B10070" s="3" t="str">
        <f>IFERROR(__xludf.DUMMYFUNCTION("""COMPUTED_VALUE"""),"6108 CURTIS POINT RD UNIT 6")</f>
        <v>6108 CURTIS POINT RD UNIT 6</v>
      </c>
      <c r="C10070" s="3" t="str">
        <f>IFERROR(__xludf.DUMMYFUNCTION("""COMPUTED_VALUE"""),"ROSENEATH ")</f>
        <v>ROSENEATH </v>
      </c>
      <c r="D10070" s="3" t="str">
        <f>IFERROR(__xludf.DUMMYFUNCTION("""COMPUTED_VALUE"""),"K0K 2X0")</f>
        <v>K0K 2X0</v>
      </c>
      <c r="E10070" s="3" t="str">
        <f>IFERROR(__xludf.DUMMYFUNCTION("""COMPUTED_VALUE"""),"siva mehanathan")</f>
        <v>siva mehanathan</v>
      </c>
      <c r="F10070" s="3" t="str">
        <f>IFERROR(__xludf.DUMMYFUNCTION("""COMPUTED_VALUE"""),"siva.mehanathan@hotmail.com")</f>
        <v>siva.mehanathan@hotmail.com</v>
      </c>
      <c r="G10070" s="3">
        <f>IFERROR(__xludf.DUMMYFUNCTION("""COMPUTED_VALUE"""),4.165618024E9)</f>
        <v>4165618024</v>
      </c>
      <c r="H10070" s="3"/>
    </row>
    <row r="10071">
      <c r="A10071" s="2">
        <f>IFERROR(__xludf.DUMMYFUNCTION("""COMPUTED_VALUE"""),50902.0)</f>
        <v>50902</v>
      </c>
      <c r="B10071" s="3" t="str">
        <f>IFERROR(__xludf.DUMMYFUNCTION("""COMPUTED_VALUE"""),"6108 CURTIS POINT RD UNIT 6A")</f>
        <v>6108 CURTIS POINT RD UNIT 6A</v>
      </c>
      <c r="C10071" s="3" t="str">
        <f>IFERROR(__xludf.DUMMYFUNCTION("""COMPUTED_VALUE"""),"ROSENEATH ")</f>
        <v>ROSENEATH </v>
      </c>
      <c r="D10071" s="3" t="str">
        <f>IFERROR(__xludf.DUMMYFUNCTION("""COMPUTED_VALUE"""),"K0K 2X0")</f>
        <v>K0K 2X0</v>
      </c>
      <c r="E10071" s="3" t="str">
        <f>IFERROR(__xludf.DUMMYFUNCTION("""COMPUTED_VALUE"""),"chris and kerinn valcourt")</f>
        <v>chris and kerinn valcourt</v>
      </c>
      <c r="F10071" s="3" t="str">
        <f>IFERROR(__xludf.DUMMYFUNCTION("""COMPUTED_VALUE"""),"myvking@hotmail.com OR kmarshng@gmail.com")</f>
        <v>myvking@hotmail.com OR kmarshng@gmail.com</v>
      </c>
      <c r="G10071" s="3">
        <f>IFERROR(__xludf.DUMMYFUNCTION("""COMPUTED_VALUE"""),9.053766984E9)</f>
        <v>9053766984</v>
      </c>
      <c r="H10071" s="3">
        <f>IFERROR(__xludf.DUMMYFUNCTION("""COMPUTED_VALUE"""),2.892514999E9)</f>
        <v>2892514999</v>
      </c>
    </row>
    <row r="10072">
      <c r="A10072" s="2">
        <f>IFERROR(__xludf.DUMMYFUNCTION("""COMPUTED_VALUE"""),50903.0)</f>
        <v>50903</v>
      </c>
      <c r="B10072" s="3" t="str">
        <f>IFERROR(__xludf.DUMMYFUNCTION("""COMPUTED_VALUE"""),"6108 CURTIS POINT RD UNIT 7")</f>
        <v>6108 CURTIS POINT RD UNIT 7</v>
      </c>
      <c r="C10072" s="3" t="str">
        <f>IFERROR(__xludf.DUMMYFUNCTION("""COMPUTED_VALUE"""),"ROSENEATH ")</f>
        <v>ROSENEATH </v>
      </c>
      <c r="D10072" s="3" t="str">
        <f>IFERROR(__xludf.DUMMYFUNCTION("""COMPUTED_VALUE"""),"K0K 2X0")</f>
        <v>K0K 2X0</v>
      </c>
      <c r="E10072" s="3" t="str">
        <f>IFERROR(__xludf.DUMMYFUNCTION("""COMPUTED_VALUE"""),"bonnie allen ")</f>
        <v>bonnie allen </v>
      </c>
      <c r="F10072" s="3"/>
      <c r="G10072" s="3">
        <f>IFERROR(__xludf.DUMMYFUNCTION("""COMPUTED_VALUE"""),9.053522627E9)</f>
        <v>9053522627</v>
      </c>
      <c r="H10072" s="3"/>
    </row>
    <row r="10073">
      <c r="A10073" s="2">
        <f>IFERROR(__xludf.DUMMYFUNCTION("""COMPUTED_VALUE"""),50904.0)</f>
        <v>50904</v>
      </c>
      <c r="B10073" s="3" t="str">
        <f>IFERROR(__xludf.DUMMYFUNCTION("""COMPUTED_VALUE"""),"6108 CURTIS POINT RD UNIT 8")</f>
        <v>6108 CURTIS POINT RD UNIT 8</v>
      </c>
      <c r="C10073" s="3" t="str">
        <f>IFERROR(__xludf.DUMMYFUNCTION("""COMPUTED_VALUE"""),"ROSENEATH ")</f>
        <v>ROSENEATH </v>
      </c>
      <c r="D10073" s="3" t="str">
        <f>IFERROR(__xludf.DUMMYFUNCTION("""COMPUTED_VALUE"""),"K0K 2X0")</f>
        <v>K0K 2X0</v>
      </c>
      <c r="E10073" s="3"/>
      <c r="F10073" s="3"/>
      <c r="G10073" s="3"/>
      <c r="H10073" s="3"/>
    </row>
    <row r="10074">
      <c r="A10074" s="2">
        <f>IFERROR(__xludf.DUMMYFUNCTION("""COMPUTED_VALUE"""),50905.0)</f>
        <v>50905</v>
      </c>
      <c r="B10074" s="3" t="str">
        <f>IFERROR(__xludf.DUMMYFUNCTION("""COMPUTED_VALUE"""),"6108 CURTIS POINT RD UNIT 9")</f>
        <v>6108 CURTIS POINT RD UNIT 9</v>
      </c>
      <c r="C10074" s="3" t="str">
        <f>IFERROR(__xludf.DUMMYFUNCTION("""COMPUTED_VALUE"""),"ROSENEATH ")</f>
        <v>ROSENEATH </v>
      </c>
      <c r="D10074" s="3" t="str">
        <f>IFERROR(__xludf.DUMMYFUNCTION("""COMPUTED_VALUE"""),"K0K 2X0")</f>
        <v>K0K 2X0</v>
      </c>
      <c r="E10074" s="3" t="str">
        <f>IFERROR(__xludf.DUMMYFUNCTION("""COMPUTED_VALUE"""),"wendy richardson")</f>
        <v>wendy richardson</v>
      </c>
      <c r="F10074" s="3" t="str">
        <f>IFERROR(__xludf.DUMMYFUNCTION("""COMPUTED_VALUE"""),"trendy-wendy102@hotmail.com")</f>
        <v>trendy-wendy102@hotmail.com</v>
      </c>
      <c r="G10074" s="3">
        <f>IFERROR(__xludf.DUMMYFUNCTION("""COMPUTED_VALUE"""),9.053730404E9)</f>
        <v>9053730404</v>
      </c>
      <c r="H10074" s="3"/>
    </row>
    <row r="10075">
      <c r="A10075" s="2">
        <f>IFERROR(__xludf.DUMMYFUNCTION("""COMPUTED_VALUE"""),50906.0)</f>
        <v>50906</v>
      </c>
      <c r="B10075" s="3" t="str">
        <f>IFERROR(__xludf.DUMMYFUNCTION("""COMPUTED_VALUE"""),"6120 CURTIS PT RD 10")</f>
        <v>6120 CURTIS PT RD 10</v>
      </c>
      <c r="C10075" s="3" t="str">
        <f>IFERROR(__xludf.DUMMYFUNCTION("""COMPUTED_VALUE"""),"ROSENEATH ")</f>
        <v>ROSENEATH </v>
      </c>
      <c r="D10075" s="3" t="str">
        <f>IFERROR(__xludf.DUMMYFUNCTION("""COMPUTED_VALUE"""),"K0K 2X0")</f>
        <v>K0K 2X0</v>
      </c>
      <c r="E10075" s="3" t="str">
        <f>IFERROR(__xludf.DUMMYFUNCTION("""COMPUTED_VALUE"""),"gary judd")</f>
        <v>gary judd</v>
      </c>
      <c r="F10075" s="3"/>
      <c r="G10075" s="3">
        <f>IFERROR(__xludf.DUMMYFUNCTION("""COMPUTED_VALUE"""),9.053523809E9)</f>
        <v>9053523809</v>
      </c>
      <c r="H10075" s="3"/>
    </row>
    <row r="10076">
      <c r="A10076" s="2">
        <f>IFERROR(__xludf.DUMMYFUNCTION("""COMPUTED_VALUE"""),50907.0)</f>
        <v>50907</v>
      </c>
      <c r="B10076" s="3" t="str">
        <f>IFERROR(__xludf.DUMMYFUNCTION("""COMPUTED_VALUE"""),"6120 CURTIS POINT RD UNIT 11")</f>
        <v>6120 CURTIS POINT RD UNIT 11</v>
      </c>
      <c r="C10076" s="3" t="str">
        <f>IFERROR(__xludf.DUMMYFUNCTION("""COMPUTED_VALUE"""),"ROSENEATH ")</f>
        <v>ROSENEATH </v>
      </c>
      <c r="D10076" s="3" t="str">
        <f>IFERROR(__xludf.DUMMYFUNCTION("""COMPUTED_VALUE"""),"K0K 2X0")</f>
        <v>K0K 2X0</v>
      </c>
      <c r="E10076" s="3" t="str">
        <f>IFERROR(__xludf.DUMMYFUNCTION("""COMPUTED_VALUE"""),"j, burr")</f>
        <v>j, burr</v>
      </c>
      <c r="F10076" s="3"/>
      <c r="G10076" s="3">
        <f>IFERROR(__xludf.DUMMYFUNCTION("""COMPUTED_VALUE"""),4.164090284E9)</f>
        <v>4164090284</v>
      </c>
      <c r="H10076" s="3"/>
    </row>
    <row r="10077">
      <c r="A10077" s="2">
        <f>IFERROR(__xludf.DUMMYFUNCTION("""COMPUTED_VALUE"""),50908.0)</f>
        <v>50908</v>
      </c>
      <c r="B10077" s="3" t="str">
        <f>IFERROR(__xludf.DUMMYFUNCTION("""COMPUTED_VALUE"""),"6120 CURTIS PT RD UNIT 2")</f>
        <v>6120 CURTIS PT RD UNIT 2</v>
      </c>
      <c r="C10077" s="3" t="str">
        <f>IFERROR(__xludf.DUMMYFUNCTION("""COMPUTED_VALUE"""),"ROSENEATH ")</f>
        <v>ROSENEATH </v>
      </c>
      <c r="D10077" s="3" t="str">
        <f>IFERROR(__xludf.DUMMYFUNCTION("""COMPUTED_VALUE"""),"K0K 2X0")</f>
        <v>K0K 2X0</v>
      </c>
      <c r="E10077" s="3" t="str">
        <f>IFERROR(__xludf.DUMMYFUNCTION("""COMPUTED_VALUE"""),"tim brooks")</f>
        <v>tim brooks</v>
      </c>
      <c r="F10077" s="3"/>
      <c r="G10077" s="3">
        <f>IFERROR(__xludf.DUMMYFUNCTION("""COMPUTED_VALUE"""),9.053523249E9)</f>
        <v>9053523249</v>
      </c>
      <c r="H10077" s="3"/>
    </row>
    <row r="10078">
      <c r="A10078" s="2">
        <f>IFERROR(__xludf.DUMMYFUNCTION("""COMPUTED_VALUE"""),50909.0)</f>
        <v>50909</v>
      </c>
      <c r="B10078" s="3" t="str">
        <f>IFERROR(__xludf.DUMMYFUNCTION("""COMPUTED_VALUE"""),"6120 CURTIS POINT RD UNIT 3")</f>
        <v>6120 CURTIS POINT RD UNIT 3</v>
      </c>
      <c r="C10078" s="3" t="str">
        <f>IFERROR(__xludf.DUMMYFUNCTION("""COMPUTED_VALUE"""),"ROSENEATH ")</f>
        <v>ROSENEATH </v>
      </c>
      <c r="D10078" s="3" t="str">
        <f>IFERROR(__xludf.DUMMYFUNCTION("""COMPUTED_VALUE"""),"K0K 2X0")</f>
        <v>K0K 2X0</v>
      </c>
      <c r="E10078" s="3"/>
      <c r="F10078" s="3"/>
      <c r="G10078" s="3"/>
      <c r="H10078" s="3"/>
    </row>
    <row r="10079">
      <c r="A10079" s="2">
        <f>IFERROR(__xludf.DUMMYFUNCTION("""COMPUTED_VALUE"""),50910.0)</f>
        <v>50910</v>
      </c>
      <c r="B10079" s="3" t="str">
        <f>IFERROR(__xludf.DUMMYFUNCTION("""COMPUTED_VALUE"""),"6120 CURTIS POINT RD UNIT 4")</f>
        <v>6120 CURTIS POINT RD UNIT 4</v>
      </c>
      <c r="C10079" s="3" t="str">
        <f>IFERROR(__xludf.DUMMYFUNCTION("""COMPUTED_VALUE"""),"ROSENEATH ")</f>
        <v>ROSENEATH </v>
      </c>
      <c r="D10079" s="3" t="str">
        <f>IFERROR(__xludf.DUMMYFUNCTION("""COMPUTED_VALUE"""),"K0K 2X0")</f>
        <v>K0K 2X0</v>
      </c>
      <c r="E10079" s="3" t="str">
        <f>IFERROR(__xludf.DUMMYFUNCTION("""COMPUTED_VALUE"""),"susan tredree/helen soutar")</f>
        <v>susan tredree/helen soutar</v>
      </c>
      <c r="F10079" s="3" t="str">
        <f>IFERROR(__xludf.DUMMYFUNCTION("""COMPUTED_VALUE"""),"tredreesiblings@gmail.com")</f>
        <v>tredreesiblings@gmail.com</v>
      </c>
      <c r="G10079" s="3">
        <f>IFERROR(__xludf.DUMMYFUNCTION("""COMPUTED_VALUE"""),9.052202617E9)</f>
        <v>9052202617</v>
      </c>
      <c r="H10079" s="3"/>
    </row>
    <row r="10080">
      <c r="A10080" s="2">
        <f>IFERROR(__xludf.DUMMYFUNCTION("""COMPUTED_VALUE"""),50911.0)</f>
        <v>50911</v>
      </c>
      <c r="B10080" s="3" t="str">
        <f>IFERROR(__xludf.DUMMYFUNCTION("""COMPUTED_VALUE"""),"6120 CURTIS PT RD UNIT 5")</f>
        <v>6120 CURTIS PT RD UNIT 5</v>
      </c>
      <c r="C10080" s="3" t="str">
        <f>IFERROR(__xludf.DUMMYFUNCTION("""COMPUTED_VALUE"""),"ROSENEATH ")</f>
        <v>ROSENEATH </v>
      </c>
      <c r="D10080" s="3" t="str">
        <f>IFERROR(__xludf.DUMMYFUNCTION("""COMPUTED_VALUE"""),"K0K 2X0")</f>
        <v>K0K 2X0</v>
      </c>
      <c r="E10080" s="3" t="str">
        <f>IFERROR(__xludf.DUMMYFUNCTION("""COMPUTED_VALUE"""),"Steve Hoskin")</f>
        <v>Steve Hoskin</v>
      </c>
      <c r="F10080" s="3" t="str">
        <f>IFERROR(__xludf.DUMMYFUNCTION("""COMPUTED_VALUE"""),"stevehoskinguild@gmail.com")</f>
        <v>stevehoskinguild@gmail.com</v>
      </c>
      <c r="G10080" s="3">
        <f>IFERROR(__xludf.DUMMYFUNCTION("""COMPUTED_VALUE"""),4.166882977E9)</f>
        <v>4166882977</v>
      </c>
      <c r="H10080" s="3"/>
    </row>
    <row r="10081">
      <c r="A10081" s="2">
        <f>IFERROR(__xludf.DUMMYFUNCTION("""COMPUTED_VALUE"""),50912.0)</f>
        <v>50912</v>
      </c>
      <c r="B10081" s="3" t="str">
        <f>IFERROR(__xludf.DUMMYFUNCTION("""COMPUTED_VALUE"""),"6120 CURTIS POINT RD UNIT 6")</f>
        <v>6120 CURTIS POINT RD UNIT 6</v>
      </c>
      <c r="C10081" s="3" t="str">
        <f>IFERROR(__xludf.DUMMYFUNCTION("""COMPUTED_VALUE"""),"ROSENEATH ")</f>
        <v>ROSENEATH </v>
      </c>
      <c r="D10081" s="3" t="str">
        <f>IFERROR(__xludf.DUMMYFUNCTION("""COMPUTED_VALUE"""),"K0K 2X0")</f>
        <v>K0K 2X0</v>
      </c>
      <c r="E10081" s="3" t="str">
        <f>IFERROR(__xludf.DUMMYFUNCTION("""COMPUTED_VALUE"""),"ken stewart ")</f>
        <v>ken stewart </v>
      </c>
      <c r="F10081" s="3" t="str">
        <f>IFERROR(__xludf.DUMMYFUNCTION("""COMPUTED_VALUE"""),"dickens.one@xplorenet.ca")</f>
        <v>dickens.one@xplorenet.ca</v>
      </c>
      <c r="G10081" s="3">
        <f>IFERROR(__xludf.DUMMYFUNCTION("""COMPUTED_VALUE"""),4.168046819E9)</f>
        <v>4168046819</v>
      </c>
      <c r="H10081" s="3">
        <f>IFERROR(__xludf.DUMMYFUNCTION("""COMPUTED_VALUE"""),9.053523884E9)</f>
        <v>9053523884</v>
      </c>
    </row>
    <row r="10082">
      <c r="A10082" s="2">
        <f>IFERROR(__xludf.DUMMYFUNCTION("""COMPUTED_VALUE"""),50913.0)</f>
        <v>50913</v>
      </c>
      <c r="B10082" s="3" t="str">
        <f>IFERROR(__xludf.DUMMYFUNCTION("""COMPUTED_VALUE"""),"6120 CURTIS PT RD 7")</f>
        <v>6120 CURTIS PT RD 7</v>
      </c>
      <c r="C10082" s="3" t="str">
        <f>IFERROR(__xludf.DUMMYFUNCTION("""COMPUTED_VALUE"""),"ROSENEATH ")</f>
        <v>ROSENEATH </v>
      </c>
      <c r="D10082" s="3" t="str">
        <f>IFERROR(__xludf.DUMMYFUNCTION("""COMPUTED_VALUE"""),"K0K 2X0")</f>
        <v>K0K 2X0</v>
      </c>
      <c r="E10082" s="3"/>
      <c r="F10082" s="3"/>
      <c r="G10082" s="3"/>
      <c r="H10082" s="3"/>
    </row>
    <row r="10083">
      <c r="A10083" s="2">
        <f>IFERROR(__xludf.DUMMYFUNCTION("""COMPUTED_VALUE"""),50914.0)</f>
        <v>50914</v>
      </c>
      <c r="B10083" s="3" t="str">
        <f>IFERROR(__xludf.DUMMYFUNCTION("""COMPUTED_VALUE"""),"6120 CURTIS POINT RD SUITE 8")</f>
        <v>6120 CURTIS POINT RD SUITE 8</v>
      </c>
      <c r="C10083" s="3" t="str">
        <f>IFERROR(__xludf.DUMMYFUNCTION("""COMPUTED_VALUE"""),"ROSENEATH ")</f>
        <v>ROSENEATH </v>
      </c>
      <c r="D10083" s="3" t="str">
        <f>IFERROR(__xludf.DUMMYFUNCTION("""COMPUTED_VALUE"""),"K0K 2X0")</f>
        <v>K0K 2X0</v>
      </c>
      <c r="E10083" s="3" t="str">
        <f>IFERROR(__xludf.DUMMYFUNCTION("""COMPUTED_VALUE"""),"angie gillman")</f>
        <v>angie gillman</v>
      </c>
      <c r="F10083" s="3"/>
      <c r="G10083" s="3">
        <f>IFERROR(__xludf.DUMMYFUNCTION("""COMPUTED_VALUE"""),9.053769641E9)</f>
        <v>9053769641</v>
      </c>
      <c r="H10083" s="3"/>
    </row>
    <row r="10084">
      <c r="A10084" s="2">
        <f>IFERROR(__xludf.DUMMYFUNCTION("""COMPUTED_VALUE"""),50915.0)</f>
        <v>50915</v>
      </c>
      <c r="B10084" s="3" t="str">
        <f>IFERROR(__xludf.DUMMYFUNCTION("""COMPUTED_VALUE"""),"6120 CURTIS PT RD 9")</f>
        <v>6120 CURTIS PT RD 9</v>
      </c>
      <c r="C10084" s="3" t="str">
        <f>IFERROR(__xludf.DUMMYFUNCTION("""COMPUTED_VALUE"""),"ROSENEATH ")</f>
        <v>ROSENEATH </v>
      </c>
      <c r="D10084" s="3" t="str">
        <f>IFERROR(__xludf.DUMMYFUNCTION("""COMPUTED_VALUE"""),"K0K 2X0")</f>
        <v>K0K 2X0</v>
      </c>
      <c r="E10084" s="3" t="str">
        <f>IFERROR(__xludf.DUMMYFUNCTION("""COMPUTED_VALUE"""),"Lesley ann smith")</f>
        <v>Lesley ann smith</v>
      </c>
      <c r="F10084" s="3" t="str">
        <f>IFERROR(__xludf.DUMMYFUNCTION("""COMPUTED_VALUE"""),"Lesley.sequoia@gmail.com")</f>
        <v>Lesley.sequoia@gmail.com</v>
      </c>
      <c r="G10084" s="3">
        <f>IFERROR(__xludf.DUMMYFUNCTION("""COMPUTED_VALUE"""),9.053754108E9)</f>
        <v>9053754108</v>
      </c>
      <c r="H10084" s="3">
        <f>IFERROR(__xludf.DUMMYFUNCTION("""COMPUTED_VALUE"""),9.053964578E9)</f>
        <v>9053964578</v>
      </c>
    </row>
    <row r="10085">
      <c r="A10085" s="2">
        <f>IFERROR(__xludf.DUMMYFUNCTION("""COMPUTED_VALUE"""),50916.0)</f>
        <v>50916</v>
      </c>
      <c r="B10085" s="3" t="str">
        <f>IFERROR(__xludf.DUMMYFUNCTION("""COMPUTED_VALUE"""),"6132 CURTIS POINT RD")</f>
        <v>6132 CURTIS POINT RD</v>
      </c>
      <c r="C10085" s="3" t="str">
        <f>IFERROR(__xludf.DUMMYFUNCTION("""COMPUTED_VALUE"""),"ROSENEATH ")</f>
        <v>ROSENEATH </v>
      </c>
      <c r="D10085" s="3" t="str">
        <f>IFERROR(__xludf.DUMMYFUNCTION("""COMPUTED_VALUE"""),"K0K 2X0")</f>
        <v>K0K 2X0</v>
      </c>
      <c r="E10085" s="3"/>
      <c r="F10085" s="3"/>
      <c r="G10085" s="3"/>
      <c r="H10085" s="3"/>
    </row>
    <row r="10086">
      <c r="A10086" s="2">
        <f>IFERROR(__xludf.DUMMYFUNCTION("""COMPUTED_VALUE"""),50917.0)</f>
        <v>50917</v>
      </c>
      <c r="B10086" s="3" t="str">
        <f>IFERROR(__xludf.DUMMYFUNCTION("""COMPUTED_VALUE"""),"6092A CURTIS POINT RD")</f>
        <v>6092A CURTIS POINT RD</v>
      </c>
      <c r="C10086" s="3" t="str">
        <f>IFERROR(__xludf.DUMMYFUNCTION("""COMPUTED_VALUE"""),"ROSENEATH ")</f>
        <v>ROSENEATH </v>
      </c>
      <c r="D10086" s="3" t="str">
        <f>IFERROR(__xludf.DUMMYFUNCTION("""COMPUTED_VALUE"""),"K0K 2X0")</f>
        <v>K0K 2X0</v>
      </c>
      <c r="E10086" s="3"/>
      <c r="F10086" s="3"/>
      <c r="G10086" s="3"/>
      <c r="H10086" s="3"/>
    </row>
    <row r="10087">
      <c r="A10087" s="2">
        <f>IFERROR(__xludf.DUMMYFUNCTION("""COMPUTED_VALUE"""),50848.0)</f>
        <v>50848</v>
      </c>
      <c r="B10087" s="3" t="str">
        <f>IFERROR(__xludf.DUMMYFUNCTION("""COMPUTED_VALUE"""),"6060 CURTIS POINT RD")</f>
        <v>6060 CURTIS POINT RD</v>
      </c>
      <c r="C10087" s="3"/>
      <c r="D10087" s="3"/>
      <c r="E10087" s="3"/>
      <c r="F10087" s="3"/>
      <c r="G10087" s="3"/>
      <c r="H10087" s="3"/>
    </row>
    <row r="10088">
      <c r="A10088" s="2">
        <f>IFERROR(__xludf.DUMMYFUNCTION("""COMPUTED_VALUE"""),50921.0)</f>
        <v>50921</v>
      </c>
      <c r="B10088" s="3" t="str">
        <f>IFERROR(__xludf.DUMMYFUNCTION("""COMPUTED_VALUE"""),"110 DAVIS RD")</f>
        <v>110 DAVIS RD</v>
      </c>
      <c r="C10088" s="3" t="str">
        <f>IFERROR(__xludf.DUMMYFUNCTION("""COMPUTED_VALUE"""),"ROSENEATH ")</f>
        <v>ROSENEATH </v>
      </c>
      <c r="D10088" s="3" t="str">
        <f>IFERROR(__xludf.DUMMYFUNCTION("""COMPUTED_VALUE"""),"K0K 2X0")</f>
        <v>K0K 2X0</v>
      </c>
      <c r="E10088" s="3"/>
      <c r="F10088" s="3"/>
      <c r="G10088" s="3"/>
      <c r="H10088" s="3"/>
    </row>
    <row r="10089">
      <c r="A10089" s="2">
        <f>IFERROR(__xludf.DUMMYFUNCTION("""COMPUTED_VALUE"""),50922.0)</f>
        <v>50922</v>
      </c>
      <c r="B10089" s="3" t="str">
        <f>IFERROR(__xludf.DUMMYFUNCTION("""COMPUTED_VALUE"""),"136 DAVIS RD")</f>
        <v>136 DAVIS RD</v>
      </c>
      <c r="C10089" s="3" t="str">
        <f>IFERROR(__xludf.DUMMYFUNCTION("""COMPUTED_VALUE"""),"ROSENEATH ")</f>
        <v>ROSENEATH </v>
      </c>
      <c r="D10089" s="3" t="str">
        <f>IFERROR(__xludf.DUMMYFUNCTION("""COMPUTED_VALUE"""),"K0K 2X0")</f>
        <v>K0K 2X0</v>
      </c>
      <c r="E10089" s="3" t="str">
        <f>IFERROR(__xludf.DUMMYFUNCTION("""COMPUTED_VALUE"""),"Peter Kozusko")</f>
        <v>Peter Kozusko</v>
      </c>
      <c r="F10089" s="3" t="str">
        <f>IFERROR(__xludf.DUMMYFUNCTION("""COMPUTED_VALUE"""),"p.kozusko64@gmail.com")</f>
        <v>p.kozusko64@gmail.com</v>
      </c>
      <c r="G10089" s="3">
        <f>IFERROR(__xludf.DUMMYFUNCTION("""COMPUTED_VALUE"""),4.165875813E9)</f>
        <v>4165875813</v>
      </c>
      <c r="H10089" s="3">
        <f>IFERROR(__xludf.DUMMYFUNCTION("""COMPUTED_VALUE"""),2.494945302E9)</f>
        <v>2494945302</v>
      </c>
    </row>
    <row r="10090">
      <c r="A10090" s="2">
        <f>IFERROR(__xludf.DUMMYFUNCTION("""COMPUTED_VALUE"""),50923.0)</f>
        <v>50923</v>
      </c>
      <c r="B10090" s="3" t="str">
        <f>IFERROR(__xludf.DUMMYFUNCTION("""COMPUTED_VALUE"""),"170 DAVIS RD")</f>
        <v>170 DAVIS RD</v>
      </c>
      <c r="C10090" s="3" t="str">
        <f>IFERROR(__xludf.DUMMYFUNCTION("""COMPUTED_VALUE"""),"ROSENEATH ")</f>
        <v>ROSENEATH </v>
      </c>
      <c r="D10090" s="3" t="str">
        <f>IFERROR(__xludf.DUMMYFUNCTION("""COMPUTED_VALUE"""),"K0K 2X0")</f>
        <v>K0K 2X0</v>
      </c>
      <c r="E10090" s="3" t="str">
        <f>IFERROR(__xludf.DUMMYFUNCTION("""COMPUTED_VALUE"""),"Luke Mollison")</f>
        <v>Luke Mollison</v>
      </c>
      <c r="F10090" s="3" t="str">
        <f>IFERROR(__xludf.DUMMYFUNCTION("""COMPUTED_VALUE"""),"luke.mollison@me.com")</f>
        <v>luke.mollison@me.com</v>
      </c>
      <c r="G10090" s="3">
        <f>IFERROR(__xludf.DUMMYFUNCTION("""COMPUTED_VALUE"""),4.165560935E9)</f>
        <v>4165560935</v>
      </c>
      <c r="H10090" s="3"/>
    </row>
    <row r="10091">
      <c r="A10091" s="2">
        <f>IFERROR(__xludf.DUMMYFUNCTION("""COMPUTED_VALUE"""),50924.0)</f>
        <v>50924</v>
      </c>
      <c r="B10091" s="3" t="str">
        <f>IFERROR(__xludf.DUMMYFUNCTION("""COMPUTED_VALUE"""),"204 DAVIS RD")</f>
        <v>204 DAVIS RD</v>
      </c>
      <c r="C10091" s="3" t="str">
        <f>IFERROR(__xludf.DUMMYFUNCTION("""COMPUTED_VALUE"""),"ROSENEATH ")</f>
        <v>ROSENEATH </v>
      </c>
      <c r="D10091" s="3" t="str">
        <f>IFERROR(__xludf.DUMMYFUNCTION("""COMPUTED_VALUE"""),"K0K 2X0")</f>
        <v>K0K 2X0</v>
      </c>
      <c r="E10091" s="3"/>
      <c r="F10091" s="3"/>
      <c r="G10091" s="3"/>
      <c r="H10091" s="3"/>
    </row>
    <row r="10092">
      <c r="A10092" s="2">
        <f>IFERROR(__xludf.DUMMYFUNCTION("""COMPUTED_VALUE"""),50925.0)</f>
        <v>50925</v>
      </c>
      <c r="B10092" s="3" t="str">
        <f>IFERROR(__xludf.DUMMYFUNCTION("""COMPUTED_VALUE"""),"209 DAVIS RD")</f>
        <v>209 DAVIS RD</v>
      </c>
      <c r="C10092" s="3" t="str">
        <f>IFERROR(__xludf.DUMMYFUNCTION("""COMPUTED_VALUE"""),"ROSENEATH ")</f>
        <v>ROSENEATH </v>
      </c>
      <c r="D10092" s="3" t="str">
        <f>IFERROR(__xludf.DUMMYFUNCTION("""COMPUTED_VALUE"""),"K0K 2X0")</f>
        <v>K0K 2X0</v>
      </c>
      <c r="E10092" s="3"/>
      <c r="F10092" s="3"/>
      <c r="G10092" s="3"/>
      <c r="H10092" s="3"/>
    </row>
    <row r="10093">
      <c r="A10093" s="2">
        <f>IFERROR(__xludf.DUMMYFUNCTION("""COMPUTED_VALUE"""),50926.0)</f>
        <v>50926</v>
      </c>
      <c r="B10093" s="3" t="str">
        <f>IFERROR(__xludf.DUMMYFUNCTION("""COMPUTED_VALUE"""),"225 DAVIS RD")</f>
        <v>225 DAVIS RD</v>
      </c>
      <c r="C10093" s="3" t="str">
        <f>IFERROR(__xludf.DUMMYFUNCTION("""COMPUTED_VALUE"""),"ROSENEATH ")</f>
        <v>ROSENEATH </v>
      </c>
      <c r="D10093" s="3" t="str">
        <f>IFERROR(__xludf.DUMMYFUNCTION("""COMPUTED_VALUE"""),"K0K 2X0")</f>
        <v>K0K 2X0</v>
      </c>
      <c r="E10093" s="3"/>
      <c r="F10093" s="3"/>
      <c r="G10093" s="3"/>
      <c r="H10093" s="3"/>
    </row>
    <row r="10094">
      <c r="A10094" s="2">
        <f>IFERROR(__xludf.DUMMYFUNCTION("""COMPUTED_VALUE"""),50927.0)</f>
        <v>50927</v>
      </c>
      <c r="B10094" s="3" t="str">
        <f>IFERROR(__xludf.DUMMYFUNCTION("""COMPUTED_VALUE"""),"228 DAVIS RD")</f>
        <v>228 DAVIS RD</v>
      </c>
      <c r="C10094" s="3" t="str">
        <f>IFERROR(__xludf.DUMMYFUNCTION("""COMPUTED_VALUE"""),"ROSENEATH ")</f>
        <v>ROSENEATH </v>
      </c>
      <c r="D10094" s="3" t="str">
        <f>IFERROR(__xludf.DUMMYFUNCTION("""COMPUTED_VALUE"""),"K0K 2X0")</f>
        <v>K0K 2X0</v>
      </c>
      <c r="E10094" s="3" t="str">
        <f>IFERROR(__xludf.DUMMYFUNCTION("""COMPUTED_VALUE"""),"Eric Reinert")</f>
        <v>Eric Reinert</v>
      </c>
      <c r="F10094" s="3" t="str">
        <f>IFERROR(__xludf.DUMMYFUNCTION("""COMPUTED_VALUE"""),"eric.reinert@hotmail.com")</f>
        <v>eric.reinert@hotmail.com</v>
      </c>
      <c r="G10094" s="3">
        <f>IFERROR(__xludf.DUMMYFUNCTION("""COMPUTED_VALUE"""),9.05396662E9)</f>
        <v>9053966620</v>
      </c>
      <c r="H10094" s="3"/>
    </row>
    <row r="10095">
      <c r="A10095" s="2">
        <f>IFERROR(__xludf.DUMMYFUNCTION("""COMPUTED_VALUE"""),50928.0)</f>
        <v>50928</v>
      </c>
      <c r="B10095" s="3" t="str">
        <f>IFERROR(__xludf.DUMMYFUNCTION("""COMPUTED_VALUE"""),"239 DAVIS RD")</f>
        <v>239 DAVIS RD</v>
      </c>
      <c r="C10095" s="3" t="str">
        <f>IFERROR(__xludf.DUMMYFUNCTION("""COMPUTED_VALUE"""),"ROSENEATH ")</f>
        <v>ROSENEATH </v>
      </c>
      <c r="D10095" s="3" t="str">
        <f>IFERROR(__xludf.DUMMYFUNCTION("""COMPUTED_VALUE"""),"K0K 2X0")</f>
        <v>K0K 2X0</v>
      </c>
      <c r="E10095" s="3"/>
      <c r="F10095" s="3"/>
      <c r="G10095" s="3"/>
      <c r="H10095" s="3"/>
    </row>
    <row r="10096">
      <c r="A10096" s="2">
        <f>IFERROR(__xludf.DUMMYFUNCTION("""COMPUTED_VALUE"""),50932.0)</f>
        <v>50932</v>
      </c>
      <c r="B10096" s="3" t="str">
        <f>IFERROR(__xludf.DUMMYFUNCTION("""COMPUTED_VALUE"""),"480 DIBIKAD BLVD")</f>
        <v>480 DIBIKAD BLVD</v>
      </c>
      <c r="C10096" s="3" t="str">
        <f>IFERROR(__xludf.DUMMYFUNCTION("""COMPUTED_VALUE"""),"ROSENEATH ")</f>
        <v>ROSENEATH </v>
      </c>
      <c r="D10096" s="3" t="str">
        <f>IFERROR(__xludf.DUMMYFUNCTION("""COMPUTED_VALUE"""),"K0K 2X0")</f>
        <v>K0K 2X0</v>
      </c>
      <c r="E10096" s="3"/>
      <c r="F10096" s="3"/>
      <c r="G10096" s="3"/>
      <c r="H10096" s="3"/>
    </row>
    <row r="10097">
      <c r="A10097" s="2">
        <f>IFERROR(__xludf.DUMMYFUNCTION("""COMPUTED_VALUE"""),50933.0)</f>
        <v>50933</v>
      </c>
      <c r="B10097" s="3" t="str">
        <f>IFERROR(__xludf.DUMMYFUNCTION("""COMPUTED_VALUE"""),"494 DIBIKAD BLVD")</f>
        <v>494 DIBIKAD BLVD</v>
      </c>
      <c r="C10097" s="3" t="str">
        <f>IFERROR(__xludf.DUMMYFUNCTION("""COMPUTED_VALUE"""),"ROSENEATH ")</f>
        <v>ROSENEATH </v>
      </c>
      <c r="D10097" s="3" t="str">
        <f>IFERROR(__xludf.DUMMYFUNCTION("""COMPUTED_VALUE"""),"K0K 2X0")</f>
        <v>K0K 2X0</v>
      </c>
      <c r="E10097" s="3"/>
      <c r="F10097" s="3"/>
      <c r="G10097" s="3"/>
      <c r="H10097" s="3"/>
    </row>
    <row r="10098">
      <c r="A10098" s="2">
        <f>IFERROR(__xludf.DUMMYFUNCTION("""COMPUTED_VALUE"""),50934.0)</f>
        <v>50934</v>
      </c>
      <c r="B10098" s="3" t="str">
        <f>IFERROR(__xludf.DUMMYFUNCTION("""COMPUTED_VALUE"""),"534 DIBIKAD BLVD")</f>
        <v>534 DIBIKAD BLVD</v>
      </c>
      <c r="C10098" s="3" t="str">
        <f>IFERROR(__xludf.DUMMYFUNCTION("""COMPUTED_VALUE"""),"ROSENEATH ")</f>
        <v>ROSENEATH </v>
      </c>
      <c r="D10098" s="3" t="str">
        <f>IFERROR(__xludf.DUMMYFUNCTION("""COMPUTED_VALUE"""),"K0K 2X0")</f>
        <v>K0K 2X0</v>
      </c>
      <c r="E10098" s="3"/>
      <c r="F10098" s="3"/>
      <c r="G10098" s="3"/>
      <c r="H10098" s="3"/>
    </row>
    <row r="10099">
      <c r="A10099" s="2">
        <f>IFERROR(__xludf.DUMMYFUNCTION("""COMPUTED_VALUE"""),50935.0)</f>
        <v>50935</v>
      </c>
      <c r="B10099" s="3" t="str">
        <f>IFERROR(__xludf.DUMMYFUNCTION("""COMPUTED_VALUE"""),"566 DIBIKAD BLVD")</f>
        <v>566 DIBIKAD BLVD</v>
      </c>
      <c r="C10099" s="3" t="str">
        <f>IFERROR(__xludf.DUMMYFUNCTION("""COMPUTED_VALUE"""),"ROSENEATH ")</f>
        <v>ROSENEATH </v>
      </c>
      <c r="D10099" s="3" t="str">
        <f>IFERROR(__xludf.DUMMYFUNCTION("""COMPUTED_VALUE"""),"K0K 2X0")</f>
        <v>K0K 2X0</v>
      </c>
      <c r="E10099" s="3"/>
      <c r="F10099" s="3"/>
      <c r="G10099" s="3"/>
      <c r="H10099" s="3"/>
    </row>
    <row r="10100">
      <c r="A10100" s="2">
        <f>IFERROR(__xludf.DUMMYFUNCTION("""COMPUTED_VALUE"""),50936.0)</f>
        <v>50936</v>
      </c>
      <c r="B10100" s="3" t="str">
        <f>IFERROR(__xludf.DUMMYFUNCTION("""COMPUTED_VALUE"""),"569 DIBIKAD BLVD")</f>
        <v>569 DIBIKAD BLVD</v>
      </c>
      <c r="C10100" s="3" t="str">
        <f>IFERROR(__xludf.DUMMYFUNCTION("""COMPUTED_VALUE"""),"ROSENEATH ")</f>
        <v>ROSENEATH </v>
      </c>
      <c r="D10100" s="3" t="str">
        <f>IFERROR(__xludf.DUMMYFUNCTION("""COMPUTED_VALUE"""),"K0K 2X0")</f>
        <v>K0K 2X0</v>
      </c>
      <c r="E10100" s="3"/>
      <c r="F10100" s="3"/>
      <c r="G10100" s="3"/>
      <c r="H10100" s="3"/>
    </row>
    <row r="10101">
      <c r="A10101" s="2">
        <f>IFERROR(__xludf.DUMMYFUNCTION("""COMPUTED_VALUE"""),50937.0)</f>
        <v>50937</v>
      </c>
      <c r="B10101" s="3" t="str">
        <f>IFERROR(__xludf.DUMMYFUNCTION("""COMPUTED_VALUE"""),"585 DIBIKAD BLVD")</f>
        <v>585 DIBIKAD BLVD</v>
      </c>
      <c r="C10101" s="3" t="str">
        <f>IFERROR(__xludf.DUMMYFUNCTION("""COMPUTED_VALUE"""),"ROSENEATH ")</f>
        <v>ROSENEATH </v>
      </c>
      <c r="D10101" s="3" t="str">
        <f>IFERROR(__xludf.DUMMYFUNCTION("""COMPUTED_VALUE"""),"K0K 2X0")</f>
        <v>K0K 2X0</v>
      </c>
      <c r="E10101" s="3"/>
      <c r="F10101" s="3"/>
      <c r="G10101" s="3"/>
      <c r="H10101" s="3"/>
    </row>
    <row r="10102">
      <c r="A10102" s="2">
        <f>IFERROR(__xludf.DUMMYFUNCTION("""COMPUTED_VALUE"""),50938.0)</f>
        <v>50938</v>
      </c>
      <c r="B10102" s="3" t="str">
        <f>IFERROR(__xludf.DUMMYFUNCTION("""COMPUTED_VALUE"""),"586 DIBIKAD BLVD")</f>
        <v>586 DIBIKAD BLVD</v>
      </c>
      <c r="C10102" s="3" t="str">
        <f>IFERROR(__xludf.DUMMYFUNCTION("""COMPUTED_VALUE"""),"ROSENEATH ")</f>
        <v>ROSENEATH </v>
      </c>
      <c r="D10102" s="3" t="str">
        <f>IFERROR(__xludf.DUMMYFUNCTION("""COMPUTED_VALUE"""),"K0K 2X0")</f>
        <v>K0K 2X0</v>
      </c>
      <c r="E10102" s="3"/>
      <c r="F10102" s="3"/>
      <c r="G10102" s="3"/>
      <c r="H10102" s="3"/>
    </row>
    <row r="10103">
      <c r="A10103" s="2">
        <f>IFERROR(__xludf.DUMMYFUNCTION("""COMPUTED_VALUE"""),50939.0)</f>
        <v>50939</v>
      </c>
      <c r="B10103" s="3" t="str">
        <f>IFERROR(__xludf.DUMMYFUNCTION("""COMPUTED_VALUE"""),"595 DIBIKAD BLVD")</f>
        <v>595 DIBIKAD BLVD</v>
      </c>
      <c r="C10103" s="3" t="str">
        <f>IFERROR(__xludf.DUMMYFUNCTION("""COMPUTED_VALUE"""),"ROSENEATH ")</f>
        <v>ROSENEATH </v>
      </c>
      <c r="D10103" s="3" t="str">
        <f>IFERROR(__xludf.DUMMYFUNCTION("""COMPUTED_VALUE"""),"K0K 2X0")</f>
        <v>K0K 2X0</v>
      </c>
      <c r="E10103" s="3"/>
      <c r="F10103" s="3"/>
      <c r="G10103" s="3"/>
      <c r="H10103" s="3"/>
    </row>
    <row r="10104">
      <c r="A10104" s="2">
        <f>IFERROR(__xludf.DUMMYFUNCTION("""COMPUTED_VALUE"""),50940.0)</f>
        <v>50940</v>
      </c>
      <c r="B10104" s="3" t="str">
        <f>IFERROR(__xludf.DUMMYFUNCTION("""COMPUTED_VALUE"""),"605 DIBIKAD BLVD")</f>
        <v>605 DIBIKAD BLVD</v>
      </c>
      <c r="C10104" s="3" t="str">
        <f>IFERROR(__xludf.DUMMYFUNCTION("""COMPUTED_VALUE"""),"ROSENEATH ")</f>
        <v>ROSENEATH </v>
      </c>
      <c r="D10104" s="3" t="str">
        <f>IFERROR(__xludf.DUMMYFUNCTION("""COMPUTED_VALUE"""),"K0K 2X0")</f>
        <v>K0K 2X0</v>
      </c>
      <c r="E10104" s="3" t="str">
        <f>IFERROR(__xludf.DUMMYFUNCTION("""COMPUTED_VALUE"""),"Dawn Marie Kelly")</f>
        <v>Dawn Marie Kelly</v>
      </c>
      <c r="F10104" s="3" t="str">
        <f>IFERROR(__xludf.DUMMYFUNCTION("""COMPUTED_VALUE"""),"dmkelly2@msn.com")</f>
        <v>dmkelly2@msn.com</v>
      </c>
      <c r="G10104" s="3">
        <f>IFERROR(__xludf.DUMMYFUNCTION("""COMPUTED_VALUE"""),2.898291051E9)</f>
        <v>2898291051</v>
      </c>
      <c r="H10104" s="3">
        <f>IFERROR(__xludf.DUMMYFUNCTION("""COMPUTED_VALUE"""),9.053523766E9)</f>
        <v>9053523766</v>
      </c>
    </row>
    <row r="10105">
      <c r="A10105" s="2">
        <f>IFERROR(__xludf.DUMMYFUNCTION("""COMPUTED_VALUE"""),50941.0)</f>
        <v>50941</v>
      </c>
      <c r="B10105" s="3" t="str">
        <f>IFERROR(__xludf.DUMMYFUNCTION("""COMPUTED_VALUE"""),"606 DIBIKAD BLVD")</f>
        <v>606 DIBIKAD BLVD</v>
      </c>
      <c r="C10105" s="3" t="str">
        <f>IFERROR(__xludf.DUMMYFUNCTION("""COMPUTED_VALUE"""),"ROSENEATH ")</f>
        <v>ROSENEATH </v>
      </c>
      <c r="D10105" s="3" t="str">
        <f>IFERROR(__xludf.DUMMYFUNCTION("""COMPUTED_VALUE"""),"K0K 2X0")</f>
        <v>K0K 2X0</v>
      </c>
      <c r="E10105" s="3" t="str">
        <f>IFERROR(__xludf.DUMMYFUNCTION("""COMPUTED_VALUE"""),"Cheyenne Marsden")</f>
        <v>Cheyenne Marsden</v>
      </c>
      <c r="F10105" s="3" t="str">
        <f>IFERROR(__xludf.DUMMYFUNCTION("""COMPUTED_VALUE"""),"marsdencheyenne@gmail.com")</f>
        <v>marsdencheyenne@gmail.com</v>
      </c>
      <c r="G10105" s="3">
        <f>IFERROR(__xludf.DUMMYFUNCTION("""COMPUTED_VALUE"""),9.053764103E9)</f>
        <v>9053764103</v>
      </c>
      <c r="H10105" s="3"/>
    </row>
    <row r="10106">
      <c r="A10106" s="2">
        <f>IFERROR(__xludf.DUMMYFUNCTION("""COMPUTED_VALUE"""),50942.0)</f>
        <v>50942</v>
      </c>
      <c r="B10106" s="3" t="str">
        <f>IFERROR(__xludf.DUMMYFUNCTION("""COMPUTED_VALUE"""),"608 DIBIKAD BLVD")</f>
        <v>608 DIBIKAD BLVD</v>
      </c>
      <c r="C10106" s="3" t="str">
        <f>IFERROR(__xludf.DUMMYFUNCTION("""COMPUTED_VALUE"""),"ROSENEATH ")</f>
        <v>ROSENEATH </v>
      </c>
      <c r="D10106" s="3" t="str">
        <f>IFERROR(__xludf.DUMMYFUNCTION("""COMPUTED_VALUE"""),"K0K 2X0")</f>
        <v>K0K 2X0</v>
      </c>
      <c r="E10106" s="3"/>
      <c r="F10106" s="3"/>
      <c r="G10106" s="3"/>
      <c r="H10106" s="3"/>
    </row>
    <row r="10107">
      <c r="A10107" s="2">
        <f>IFERROR(__xludf.DUMMYFUNCTION("""COMPUTED_VALUE"""),50943.0)</f>
        <v>50943</v>
      </c>
      <c r="B10107" s="3" t="str">
        <f>IFERROR(__xludf.DUMMYFUNCTION("""COMPUTED_VALUE"""),"636 DIBIKAD BLVD")</f>
        <v>636 DIBIKAD BLVD</v>
      </c>
      <c r="C10107" s="3" t="str">
        <f>IFERROR(__xludf.DUMMYFUNCTION("""COMPUTED_VALUE"""),"ROSENEATH ")</f>
        <v>ROSENEATH </v>
      </c>
      <c r="D10107" s="3" t="str">
        <f>IFERROR(__xludf.DUMMYFUNCTION("""COMPUTED_VALUE"""),"K0K 2X0")</f>
        <v>K0K 2X0</v>
      </c>
      <c r="E10107" s="3"/>
      <c r="F10107" s="3"/>
      <c r="G10107" s="3"/>
      <c r="H10107" s="3"/>
    </row>
    <row r="10108">
      <c r="A10108" s="2">
        <f>IFERROR(__xludf.DUMMYFUNCTION("""COMPUTED_VALUE"""),50944.0)</f>
        <v>50944</v>
      </c>
      <c r="B10108" s="3" t="str">
        <f>IFERROR(__xludf.DUMMYFUNCTION("""COMPUTED_VALUE"""),"646 DIBIKAD BLVD")</f>
        <v>646 DIBIKAD BLVD</v>
      </c>
      <c r="C10108" s="3" t="str">
        <f>IFERROR(__xludf.DUMMYFUNCTION("""COMPUTED_VALUE"""),"ROSENEATH ")</f>
        <v>ROSENEATH </v>
      </c>
      <c r="D10108" s="3" t="str">
        <f>IFERROR(__xludf.DUMMYFUNCTION("""COMPUTED_VALUE"""),"K0K 2X0")</f>
        <v>K0K 2X0</v>
      </c>
      <c r="E10108" s="3"/>
      <c r="F10108" s="3"/>
      <c r="G10108" s="3"/>
      <c r="H10108" s="3"/>
    </row>
    <row r="10109">
      <c r="A10109" s="2">
        <f>IFERROR(__xludf.DUMMYFUNCTION("""COMPUTED_VALUE"""),50945.0)</f>
        <v>50945</v>
      </c>
      <c r="B10109" s="3" t="str">
        <f>IFERROR(__xludf.DUMMYFUNCTION("""COMPUTED_VALUE"""),"661 DIBIKAD BLVD")</f>
        <v>661 DIBIKAD BLVD</v>
      </c>
      <c r="C10109" s="3" t="str">
        <f>IFERROR(__xludf.DUMMYFUNCTION("""COMPUTED_VALUE"""),"ROSENEATH ")</f>
        <v>ROSENEATH </v>
      </c>
      <c r="D10109" s="3" t="str">
        <f>IFERROR(__xludf.DUMMYFUNCTION("""COMPUTED_VALUE"""),"K0K 2X0")</f>
        <v>K0K 2X0</v>
      </c>
      <c r="E10109" s="3"/>
      <c r="F10109" s="3"/>
      <c r="G10109" s="3"/>
      <c r="H10109" s="3"/>
    </row>
    <row r="10110">
      <c r="A10110" s="2">
        <f>IFERROR(__xludf.DUMMYFUNCTION("""COMPUTED_VALUE"""),50946.0)</f>
        <v>50946</v>
      </c>
      <c r="B10110" s="3" t="str">
        <f>IFERROR(__xludf.DUMMYFUNCTION("""COMPUTED_VALUE"""),"665 DIBIKAD BLVD")</f>
        <v>665 DIBIKAD BLVD</v>
      </c>
      <c r="C10110" s="3" t="str">
        <f>IFERROR(__xludf.DUMMYFUNCTION("""COMPUTED_VALUE"""),"ROSENEATH ")</f>
        <v>ROSENEATH </v>
      </c>
      <c r="D10110" s="3" t="str">
        <f>IFERROR(__xludf.DUMMYFUNCTION("""COMPUTED_VALUE"""),"K0K 2X0")</f>
        <v>K0K 2X0</v>
      </c>
      <c r="E10110" s="3"/>
      <c r="F10110" s="3"/>
      <c r="G10110" s="3"/>
      <c r="H10110" s="3"/>
    </row>
    <row r="10111">
      <c r="A10111" s="2">
        <f>IFERROR(__xludf.DUMMYFUNCTION("""COMPUTED_VALUE"""),50947.0)</f>
        <v>50947</v>
      </c>
      <c r="B10111" s="3" t="str">
        <f>IFERROR(__xludf.DUMMYFUNCTION("""COMPUTED_VALUE"""),"499A DIBIKAD BLVD")</f>
        <v>499A DIBIKAD BLVD</v>
      </c>
      <c r="C10111" s="3" t="str">
        <f>IFERROR(__xludf.DUMMYFUNCTION("""COMPUTED_VALUE"""),"ROSENEATH ")</f>
        <v>ROSENEATH </v>
      </c>
      <c r="D10111" s="3" t="str">
        <f>IFERROR(__xludf.DUMMYFUNCTION("""COMPUTED_VALUE"""),"K0K 2X0")</f>
        <v>K0K 2X0</v>
      </c>
      <c r="E10111" s="3"/>
      <c r="F10111" s="3"/>
      <c r="G10111" s="3"/>
      <c r="H10111" s="3"/>
    </row>
    <row r="10112">
      <c r="A10112" s="2">
        <f>IFERROR(__xludf.DUMMYFUNCTION("""COMPUTED_VALUE"""),50948.0)</f>
        <v>50948</v>
      </c>
      <c r="B10112" s="3" t="str">
        <f>IFERROR(__xludf.DUMMYFUNCTION("""COMPUTED_VALUE"""),"499B DIBIKAD BLVD")</f>
        <v>499B DIBIKAD BLVD</v>
      </c>
      <c r="C10112" s="3" t="str">
        <f>IFERROR(__xludf.DUMMYFUNCTION("""COMPUTED_VALUE"""),"ROSENEATH ")</f>
        <v>ROSENEATH </v>
      </c>
      <c r="D10112" s="3" t="str">
        <f>IFERROR(__xludf.DUMMYFUNCTION("""COMPUTED_VALUE"""),"K0K 2X0")</f>
        <v>K0K 2X0</v>
      </c>
      <c r="E10112" s="3"/>
      <c r="F10112" s="3"/>
      <c r="G10112" s="3"/>
      <c r="H10112" s="3"/>
    </row>
    <row r="10113">
      <c r="A10113" s="2">
        <f>IFERROR(__xludf.DUMMYFUNCTION("""COMPUTED_VALUE"""),50949.0)</f>
        <v>50949</v>
      </c>
      <c r="B10113" s="3" t="str">
        <f>IFERROR(__xludf.DUMMYFUNCTION("""COMPUTED_VALUE"""),"499C DIBIKAD BLVD")</f>
        <v>499C DIBIKAD BLVD</v>
      </c>
      <c r="C10113" s="3" t="str">
        <f>IFERROR(__xludf.DUMMYFUNCTION("""COMPUTED_VALUE"""),"ROSENEATH ")</f>
        <v>ROSENEATH </v>
      </c>
      <c r="D10113" s="3" t="str">
        <f>IFERROR(__xludf.DUMMYFUNCTION("""COMPUTED_VALUE"""),"K0K 2X0")</f>
        <v>K0K 2X0</v>
      </c>
      <c r="E10113" s="3"/>
      <c r="F10113" s="3"/>
      <c r="G10113" s="3"/>
      <c r="H10113" s="3"/>
    </row>
    <row r="10114">
      <c r="A10114" s="2">
        <f>IFERROR(__xludf.DUMMYFUNCTION("""COMPUTED_VALUE"""),50950.0)</f>
        <v>50950</v>
      </c>
      <c r="B10114" s="3" t="str">
        <f>IFERROR(__xludf.DUMMYFUNCTION("""COMPUTED_VALUE"""),"499D DIBIKAD BLVD")</f>
        <v>499D DIBIKAD BLVD</v>
      </c>
      <c r="C10114" s="3" t="str">
        <f>IFERROR(__xludf.DUMMYFUNCTION("""COMPUTED_VALUE"""),"ROSENEATH ")</f>
        <v>ROSENEATH </v>
      </c>
      <c r="D10114" s="3" t="str">
        <f>IFERROR(__xludf.DUMMYFUNCTION("""COMPUTED_VALUE"""),"K0K 2X0")</f>
        <v>K0K 2X0</v>
      </c>
      <c r="E10114" s="3" t="str">
        <f>IFERROR(__xludf.DUMMYFUNCTION("""COMPUTED_VALUE"""),"Edna Viola Pennycook")</f>
        <v>Edna Viola Pennycook</v>
      </c>
      <c r="F10114" s="3" t="str">
        <f>IFERROR(__xludf.DUMMYFUNCTION("""COMPUTED_VALUE"""),"dibikadfour@xplornet.com")</f>
        <v>dibikadfour@xplornet.com</v>
      </c>
      <c r="G10114" s="3"/>
      <c r="H10114" s="3"/>
    </row>
    <row r="10115">
      <c r="A10115" s="2">
        <f>IFERROR(__xludf.DUMMYFUNCTION("""COMPUTED_VALUE"""),50951.0)</f>
        <v>50951</v>
      </c>
      <c r="B10115" s="3" t="str">
        <f>IFERROR(__xludf.DUMMYFUNCTION("""COMPUTED_VALUE"""),"499E DIBIKAD BLVD")</f>
        <v>499E DIBIKAD BLVD</v>
      </c>
      <c r="C10115" s="3" t="str">
        <f>IFERROR(__xludf.DUMMYFUNCTION("""COMPUTED_VALUE"""),"ROSENEATH ")</f>
        <v>ROSENEATH </v>
      </c>
      <c r="D10115" s="3" t="str">
        <f>IFERROR(__xludf.DUMMYFUNCTION("""COMPUTED_VALUE"""),"K0K 2X0")</f>
        <v>K0K 2X0</v>
      </c>
      <c r="E10115" s="3"/>
      <c r="F10115" s="3"/>
      <c r="G10115" s="3"/>
      <c r="H10115" s="3"/>
    </row>
    <row r="10116">
      <c r="A10116" s="2">
        <f>IFERROR(__xludf.DUMMYFUNCTION("""COMPUTED_VALUE"""),50952.0)</f>
        <v>50952</v>
      </c>
      <c r="B10116" s="3" t="str">
        <f>IFERROR(__xludf.DUMMYFUNCTION("""COMPUTED_VALUE"""),"500A DIBIKAD BLVD")</f>
        <v>500A DIBIKAD BLVD</v>
      </c>
      <c r="C10116" s="3" t="str">
        <f>IFERROR(__xludf.DUMMYFUNCTION("""COMPUTED_VALUE"""),"ROSENEATH ")</f>
        <v>ROSENEATH </v>
      </c>
      <c r="D10116" s="3" t="str">
        <f>IFERROR(__xludf.DUMMYFUNCTION("""COMPUTED_VALUE"""),"K0K 2X0")</f>
        <v>K0K 2X0</v>
      </c>
      <c r="E10116" s="3"/>
      <c r="F10116" s="3"/>
      <c r="G10116" s="3"/>
      <c r="H10116" s="3"/>
    </row>
    <row r="10117">
      <c r="A10117" s="2">
        <f>IFERROR(__xludf.DUMMYFUNCTION("""COMPUTED_VALUE"""),50953.0)</f>
        <v>50953</v>
      </c>
      <c r="B10117" s="3" t="str">
        <f>IFERROR(__xludf.DUMMYFUNCTION("""COMPUTED_VALUE"""),"500B DIBIKAD BLVD")</f>
        <v>500B DIBIKAD BLVD</v>
      </c>
      <c r="C10117" s="3" t="str">
        <f>IFERROR(__xludf.DUMMYFUNCTION("""COMPUTED_VALUE"""),"ROSENEATH ")</f>
        <v>ROSENEATH </v>
      </c>
      <c r="D10117" s="3" t="str">
        <f>IFERROR(__xludf.DUMMYFUNCTION("""COMPUTED_VALUE"""),"K0K 2X0")</f>
        <v>K0K 2X0</v>
      </c>
      <c r="E10117" s="3"/>
      <c r="F10117" s="3"/>
      <c r="G10117" s="3"/>
      <c r="H10117" s="3"/>
    </row>
    <row r="10118">
      <c r="A10118" s="2">
        <f>IFERROR(__xludf.DUMMYFUNCTION("""COMPUTED_VALUE"""),50954.0)</f>
        <v>50954</v>
      </c>
      <c r="B10118" s="3" t="str">
        <f>IFERROR(__xludf.DUMMYFUNCTION("""COMPUTED_VALUE"""),"500C DIBIKAD BLVD")</f>
        <v>500C DIBIKAD BLVD</v>
      </c>
      <c r="C10118" s="3" t="str">
        <f>IFERROR(__xludf.DUMMYFUNCTION("""COMPUTED_VALUE"""),"ROSENEATH ")</f>
        <v>ROSENEATH </v>
      </c>
      <c r="D10118" s="3" t="str">
        <f>IFERROR(__xludf.DUMMYFUNCTION("""COMPUTED_VALUE"""),"K0K 2X0")</f>
        <v>K0K 2X0</v>
      </c>
      <c r="E10118" s="3"/>
      <c r="F10118" s="3"/>
      <c r="G10118" s="3"/>
      <c r="H10118" s="3"/>
    </row>
    <row r="10119">
      <c r="A10119" s="2">
        <f>IFERROR(__xludf.DUMMYFUNCTION("""COMPUTED_VALUE"""),50955.0)</f>
        <v>50955</v>
      </c>
      <c r="B10119" s="3" t="str">
        <f>IFERROR(__xludf.DUMMYFUNCTION("""COMPUTED_VALUE"""),"5659 DIVISION ST")</f>
        <v>5659 DIVISION ST</v>
      </c>
      <c r="C10119" s="3" t="str">
        <f>IFERROR(__xludf.DUMMYFUNCTION("""COMPUTED_VALUE"""),"ROSENEATH ")</f>
        <v>ROSENEATH </v>
      </c>
      <c r="D10119" s="3" t="str">
        <f>IFERROR(__xludf.DUMMYFUNCTION("""COMPUTED_VALUE"""),"K0K 2X0")</f>
        <v>K0K 2X0</v>
      </c>
      <c r="E10119" s="3"/>
      <c r="F10119" s="3"/>
      <c r="G10119" s="3"/>
      <c r="H10119" s="3"/>
    </row>
    <row r="10120">
      <c r="A10120" s="2">
        <f>IFERROR(__xludf.DUMMYFUNCTION("""COMPUTED_VALUE"""),50957.0)</f>
        <v>50957</v>
      </c>
      <c r="B10120" s="3" t="str">
        <f>IFERROR(__xludf.DUMMYFUNCTION("""COMPUTED_VALUE"""),"5678 DIVISION ST")</f>
        <v>5678 DIVISION ST</v>
      </c>
      <c r="C10120" s="3" t="str">
        <f>IFERROR(__xludf.DUMMYFUNCTION("""COMPUTED_VALUE"""),"ROSENEATH ")</f>
        <v>ROSENEATH </v>
      </c>
      <c r="D10120" s="3" t="str">
        <f>IFERROR(__xludf.DUMMYFUNCTION("""COMPUTED_VALUE"""),"K0K 2X0")</f>
        <v>K0K 2X0</v>
      </c>
      <c r="E10120" s="3"/>
      <c r="F10120" s="3"/>
      <c r="G10120" s="3"/>
      <c r="H10120" s="3"/>
    </row>
    <row r="10121">
      <c r="A10121" s="2">
        <f>IFERROR(__xludf.DUMMYFUNCTION("""COMPUTED_VALUE"""),50959.0)</f>
        <v>50959</v>
      </c>
      <c r="B10121" s="3" t="str">
        <f>IFERROR(__xludf.DUMMYFUNCTION("""COMPUTED_VALUE"""),"5698 DIVISION ST")</f>
        <v>5698 DIVISION ST</v>
      </c>
      <c r="C10121" s="3" t="str">
        <f>IFERROR(__xludf.DUMMYFUNCTION("""COMPUTED_VALUE"""),"ROSENEATH ")</f>
        <v>ROSENEATH </v>
      </c>
      <c r="D10121" s="3" t="str">
        <f>IFERROR(__xludf.DUMMYFUNCTION("""COMPUTED_VALUE"""),"K0K 2X0")</f>
        <v>K0K 2X0</v>
      </c>
      <c r="E10121" s="3"/>
      <c r="F10121" s="3"/>
      <c r="G10121" s="3"/>
      <c r="H10121" s="3"/>
    </row>
    <row r="10122">
      <c r="A10122" s="2">
        <f>IFERROR(__xludf.DUMMYFUNCTION("""COMPUTED_VALUE"""),50960.0)</f>
        <v>50960</v>
      </c>
      <c r="B10122" s="3" t="str">
        <f>IFERROR(__xludf.DUMMYFUNCTION("""COMPUTED_VALUE"""),"5731 DIVISION ST")</f>
        <v>5731 DIVISION ST</v>
      </c>
      <c r="C10122" s="3" t="str">
        <f>IFERROR(__xludf.DUMMYFUNCTION("""COMPUTED_VALUE"""),"ROSENEATH ")</f>
        <v>ROSENEATH </v>
      </c>
      <c r="D10122" s="3" t="str">
        <f>IFERROR(__xludf.DUMMYFUNCTION("""COMPUTED_VALUE"""),"K0K 2X0")</f>
        <v>K0K 2X0</v>
      </c>
      <c r="E10122" s="3"/>
      <c r="F10122" s="3"/>
      <c r="G10122" s="3"/>
      <c r="H10122" s="3"/>
    </row>
    <row r="10123">
      <c r="A10123" s="2">
        <f>IFERROR(__xludf.DUMMYFUNCTION("""COMPUTED_VALUE"""),50961.0)</f>
        <v>50961</v>
      </c>
      <c r="B10123" s="3" t="str">
        <f>IFERROR(__xludf.DUMMYFUNCTION("""COMPUTED_VALUE"""),"5735 DIVISION ST")</f>
        <v>5735 DIVISION ST</v>
      </c>
      <c r="C10123" s="3" t="str">
        <f>IFERROR(__xludf.DUMMYFUNCTION("""COMPUTED_VALUE"""),"ROSENEATH ")</f>
        <v>ROSENEATH </v>
      </c>
      <c r="D10123" s="3" t="str">
        <f>IFERROR(__xludf.DUMMYFUNCTION("""COMPUTED_VALUE"""),"K0K 2X0")</f>
        <v>K0K 2X0</v>
      </c>
      <c r="E10123" s="3"/>
      <c r="F10123" s="3"/>
      <c r="G10123" s="3"/>
      <c r="H10123" s="3"/>
    </row>
    <row r="10124">
      <c r="A10124" s="2">
        <f>IFERROR(__xludf.DUMMYFUNCTION("""COMPUTED_VALUE"""),50962.0)</f>
        <v>50962</v>
      </c>
      <c r="B10124" s="3" t="str">
        <f>IFERROR(__xludf.DUMMYFUNCTION("""COMPUTED_VALUE"""),"5774 DIVISION ST")</f>
        <v>5774 DIVISION ST</v>
      </c>
      <c r="C10124" s="3" t="str">
        <f>IFERROR(__xludf.DUMMYFUNCTION("""COMPUTED_VALUE"""),"ROSENEATH ")</f>
        <v>ROSENEATH </v>
      </c>
      <c r="D10124" s="3" t="str">
        <f>IFERROR(__xludf.DUMMYFUNCTION("""COMPUTED_VALUE"""),"K0K 2X0")</f>
        <v>K0K 2X0</v>
      </c>
      <c r="E10124" s="3"/>
      <c r="F10124" s="3"/>
      <c r="G10124" s="3"/>
      <c r="H10124" s="3"/>
    </row>
    <row r="10125">
      <c r="A10125" s="2">
        <f>IFERROR(__xludf.DUMMYFUNCTION("""COMPUTED_VALUE"""),50963.0)</f>
        <v>50963</v>
      </c>
      <c r="B10125" s="3" t="str">
        <f>IFERROR(__xludf.DUMMYFUNCTION("""COMPUTED_VALUE"""),"5775 DIVISION ST")</f>
        <v>5775 DIVISION ST</v>
      </c>
      <c r="C10125" s="3" t="str">
        <f>IFERROR(__xludf.DUMMYFUNCTION("""COMPUTED_VALUE"""),"ROSENEATH ")</f>
        <v>ROSENEATH </v>
      </c>
      <c r="D10125" s="3" t="str">
        <f>IFERROR(__xludf.DUMMYFUNCTION("""COMPUTED_VALUE"""),"K0K 2X0")</f>
        <v>K0K 2X0</v>
      </c>
      <c r="E10125" s="3" t="str">
        <f>IFERROR(__xludf.DUMMYFUNCTION("""COMPUTED_VALUE"""),"Joshua DICKEY")</f>
        <v>Joshua DICKEY</v>
      </c>
      <c r="F10125" s="3" t="str">
        <f>IFERROR(__xludf.DUMMYFUNCTION("""COMPUTED_VALUE"""),"josh_dickey_1988@hotmail.com")</f>
        <v>josh_dickey_1988@hotmail.com</v>
      </c>
      <c r="G10125" s="3"/>
      <c r="H10125" s="3"/>
    </row>
    <row r="10126">
      <c r="A10126" s="2">
        <f>IFERROR(__xludf.DUMMYFUNCTION("""COMPUTED_VALUE"""),50964.0)</f>
        <v>50964</v>
      </c>
      <c r="B10126" s="3" t="str">
        <f>IFERROR(__xludf.DUMMYFUNCTION("""COMPUTED_VALUE"""),"5797 DIVISION ST")</f>
        <v>5797 DIVISION ST</v>
      </c>
      <c r="C10126" s="3" t="str">
        <f>IFERROR(__xludf.DUMMYFUNCTION("""COMPUTED_VALUE"""),"ROSENEATH ")</f>
        <v>ROSENEATH </v>
      </c>
      <c r="D10126" s="3" t="str">
        <f>IFERROR(__xludf.DUMMYFUNCTION("""COMPUTED_VALUE"""),"K0K 2X0")</f>
        <v>K0K 2X0</v>
      </c>
      <c r="E10126" s="3"/>
      <c r="F10126" s="3"/>
      <c r="G10126" s="3"/>
      <c r="H10126" s="3"/>
    </row>
    <row r="10127">
      <c r="A10127" s="2">
        <f>IFERROR(__xludf.DUMMYFUNCTION("""COMPUTED_VALUE"""),50965.0)</f>
        <v>50965</v>
      </c>
      <c r="B10127" s="3" t="str">
        <f>IFERROR(__xludf.DUMMYFUNCTION("""COMPUTED_VALUE"""),"5807 DIVISION ST")</f>
        <v>5807 DIVISION ST</v>
      </c>
      <c r="C10127" s="3" t="str">
        <f>IFERROR(__xludf.DUMMYFUNCTION("""COMPUTED_VALUE"""),"ROSENEATH ")</f>
        <v>ROSENEATH </v>
      </c>
      <c r="D10127" s="3" t="str">
        <f>IFERROR(__xludf.DUMMYFUNCTION("""COMPUTED_VALUE"""),"K0K 2X0")</f>
        <v>K0K 2X0</v>
      </c>
      <c r="E10127" s="3"/>
      <c r="F10127" s="3"/>
      <c r="G10127" s="3"/>
      <c r="H10127" s="3"/>
    </row>
    <row r="10128">
      <c r="A10128" s="2">
        <f>IFERROR(__xludf.DUMMYFUNCTION("""COMPUTED_VALUE"""),50966.0)</f>
        <v>50966</v>
      </c>
      <c r="B10128" s="3" t="str">
        <f>IFERROR(__xludf.DUMMYFUNCTION("""COMPUTED_VALUE"""),"5819 DIVISION ST")</f>
        <v>5819 DIVISION ST</v>
      </c>
      <c r="C10128" s="3" t="str">
        <f>IFERROR(__xludf.DUMMYFUNCTION("""COMPUTED_VALUE"""),"ROSENEATH ")</f>
        <v>ROSENEATH </v>
      </c>
      <c r="D10128" s="3" t="str">
        <f>IFERROR(__xludf.DUMMYFUNCTION("""COMPUTED_VALUE"""),"K0K 2X0")</f>
        <v>K0K 2X0</v>
      </c>
      <c r="E10128" s="3"/>
      <c r="F10128" s="3"/>
      <c r="G10128" s="3"/>
      <c r="H10128" s="3"/>
    </row>
    <row r="10129">
      <c r="A10129" s="2">
        <f>IFERROR(__xludf.DUMMYFUNCTION("""COMPUTED_VALUE"""),50967.0)</f>
        <v>50967</v>
      </c>
      <c r="B10129" s="3" t="str">
        <f>IFERROR(__xludf.DUMMYFUNCTION("""COMPUTED_VALUE"""),"5739A DIVISION ST")</f>
        <v>5739A DIVISION ST</v>
      </c>
      <c r="C10129" s="3" t="str">
        <f>IFERROR(__xludf.DUMMYFUNCTION("""COMPUTED_VALUE"""),"ROSENEATH ")</f>
        <v>ROSENEATH </v>
      </c>
      <c r="D10129" s="3" t="str">
        <f>IFERROR(__xludf.DUMMYFUNCTION("""COMPUTED_VALUE"""),"K0K 2X0")</f>
        <v>K0K 2X0</v>
      </c>
      <c r="E10129" s="3"/>
      <c r="F10129" s="3"/>
      <c r="G10129" s="3"/>
      <c r="H10129" s="3"/>
    </row>
    <row r="10130">
      <c r="A10130" s="2">
        <f>IFERROR(__xludf.DUMMYFUNCTION("""COMPUTED_VALUE"""),50968.0)</f>
        <v>50968</v>
      </c>
      <c r="B10130" s="3" t="str">
        <f>IFERROR(__xludf.DUMMYFUNCTION("""COMPUTED_VALUE"""),"5739B DIVISION ST")</f>
        <v>5739B DIVISION ST</v>
      </c>
      <c r="C10130" s="3" t="str">
        <f>IFERROR(__xludf.DUMMYFUNCTION("""COMPUTED_VALUE"""),"ROSENEATH ")</f>
        <v>ROSENEATH </v>
      </c>
      <c r="D10130" s="3" t="str">
        <f>IFERROR(__xludf.DUMMYFUNCTION("""COMPUTED_VALUE"""),"K0K 2X0")</f>
        <v>K0K 2X0</v>
      </c>
      <c r="E10130" s="3"/>
      <c r="F10130" s="3"/>
      <c r="G10130" s="3"/>
      <c r="H10130" s="3"/>
    </row>
    <row r="10131">
      <c r="A10131" s="2">
        <f>IFERROR(__xludf.DUMMYFUNCTION("""COMPUTED_VALUE"""),50969.0)</f>
        <v>50969</v>
      </c>
      <c r="B10131" s="3" t="str">
        <f>IFERROR(__xludf.DUMMYFUNCTION("""COMPUTED_VALUE"""),"68 DROPE RD")</f>
        <v>68 DROPE RD</v>
      </c>
      <c r="C10131" s="3" t="str">
        <f>IFERROR(__xludf.DUMMYFUNCTION("""COMPUTED_VALUE"""),"HASTINGS ")</f>
        <v>HASTINGS </v>
      </c>
      <c r="D10131" s="3" t="str">
        <f>IFERROR(__xludf.DUMMYFUNCTION("""COMPUTED_VALUE"""),"K0L  1Y0")</f>
        <v>K0L  1Y0</v>
      </c>
      <c r="E10131" s="3"/>
      <c r="F10131" s="3"/>
      <c r="G10131" s="3"/>
      <c r="H10131" s="3"/>
    </row>
    <row r="10132">
      <c r="A10132" s="2">
        <f>IFERROR(__xludf.DUMMYFUNCTION("""COMPUTED_VALUE"""),50970.0)</f>
        <v>50970</v>
      </c>
      <c r="B10132" s="3" t="str">
        <f>IFERROR(__xludf.DUMMYFUNCTION("""COMPUTED_VALUE"""),"102 DUNCAN RD")</f>
        <v>102 DUNCAN RD</v>
      </c>
      <c r="C10132" s="3" t="str">
        <f>IFERROR(__xludf.DUMMYFUNCTION("""COMPUTED_VALUE"""),"ROSENEATH ")</f>
        <v>ROSENEATH </v>
      </c>
      <c r="D10132" s="3" t="str">
        <f>IFERROR(__xludf.DUMMYFUNCTION("""COMPUTED_VALUE"""),"K0K 2X0")</f>
        <v>K0K 2X0</v>
      </c>
      <c r="E10132" s="3"/>
      <c r="F10132" s="3"/>
      <c r="G10132" s="3"/>
      <c r="H10132" s="3"/>
    </row>
    <row r="10133">
      <c r="A10133" s="2">
        <f>IFERROR(__xludf.DUMMYFUNCTION("""COMPUTED_VALUE"""),50971.0)</f>
        <v>50971</v>
      </c>
      <c r="B10133" s="3" t="str">
        <f>IFERROR(__xludf.DUMMYFUNCTION("""COMPUTED_VALUE"""),"110 DUNCAN RD")</f>
        <v>110 DUNCAN RD</v>
      </c>
      <c r="C10133" s="3" t="str">
        <f>IFERROR(__xludf.DUMMYFUNCTION("""COMPUTED_VALUE"""),"ROSENEATH ")</f>
        <v>ROSENEATH </v>
      </c>
      <c r="D10133" s="3" t="str">
        <f>IFERROR(__xludf.DUMMYFUNCTION("""COMPUTED_VALUE"""),"K0K 2X0")</f>
        <v>K0K 2X0</v>
      </c>
      <c r="E10133" s="3"/>
      <c r="F10133" s="3"/>
      <c r="G10133" s="3"/>
      <c r="H10133" s="3"/>
    </row>
    <row r="10134">
      <c r="A10134" s="2">
        <f>IFERROR(__xludf.DUMMYFUNCTION("""COMPUTED_VALUE"""),50972.0)</f>
        <v>50972</v>
      </c>
      <c r="B10134" s="3" t="str">
        <f>IFERROR(__xludf.DUMMYFUNCTION("""COMPUTED_VALUE"""),"112 DUNCAN RD")</f>
        <v>112 DUNCAN RD</v>
      </c>
      <c r="C10134" s="3" t="str">
        <f>IFERROR(__xludf.DUMMYFUNCTION("""COMPUTED_VALUE"""),"ROSENEATH ")</f>
        <v>ROSENEATH </v>
      </c>
      <c r="D10134" s="3" t="str">
        <f>IFERROR(__xludf.DUMMYFUNCTION("""COMPUTED_VALUE"""),"K0K 2X0")</f>
        <v>K0K 2X0</v>
      </c>
      <c r="E10134" s="3"/>
      <c r="F10134" s="3"/>
      <c r="G10134" s="3"/>
      <c r="H10134" s="3"/>
    </row>
    <row r="10135">
      <c r="A10135" s="2">
        <f>IFERROR(__xludf.DUMMYFUNCTION("""COMPUTED_VALUE"""),50973.0)</f>
        <v>50973</v>
      </c>
      <c r="B10135" s="3" t="str">
        <f>IFERROR(__xludf.DUMMYFUNCTION("""COMPUTED_VALUE"""),"116 DUNCAN RD")</f>
        <v>116 DUNCAN RD</v>
      </c>
      <c r="C10135" s="3" t="str">
        <f>IFERROR(__xludf.DUMMYFUNCTION("""COMPUTED_VALUE"""),"ROSENEATH ")</f>
        <v>ROSENEATH </v>
      </c>
      <c r="D10135" s="3" t="str">
        <f>IFERROR(__xludf.DUMMYFUNCTION("""COMPUTED_VALUE"""),"K0K 2X0")</f>
        <v>K0K 2X0</v>
      </c>
      <c r="E10135" s="3" t="str">
        <f>IFERROR(__xludf.DUMMYFUNCTION("""COMPUTED_VALUE"""),"Jacob Bennett")</f>
        <v>Jacob Bennett</v>
      </c>
      <c r="F10135" s="3" t="str">
        <f>IFERROR(__xludf.DUMMYFUNCTION("""COMPUTED_VALUE"""),"jbennett008@hotmail.com")</f>
        <v>jbennett008@hotmail.com</v>
      </c>
      <c r="G10135" s="3">
        <f>IFERROR(__xludf.DUMMYFUNCTION("""COMPUTED_VALUE"""),9.052697805E9)</f>
        <v>9052697805</v>
      </c>
      <c r="H10135" s="3"/>
    </row>
    <row r="10136">
      <c r="A10136" s="2">
        <f>IFERROR(__xludf.DUMMYFUNCTION("""COMPUTED_VALUE"""),50974.0)</f>
        <v>50974</v>
      </c>
      <c r="B10136" s="3" t="str">
        <f>IFERROR(__xludf.DUMMYFUNCTION("""COMPUTED_VALUE"""),"138 DUNCAN RD")</f>
        <v>138 DUNCAN RD</v>
      </c>
      <c r="C10136" s="3" t="str">
        <f>IFERROR(__xludf.DUMMYFUNCTION("""COMPUTED_VALUE"""),"ROSENEATH ")</f>
        <v>ROSENEATH </v>
      </c>
      <c r="D10136" s="3" t="str">
        <f>IFERROR(__xludf.DUMMYFUNCTION("""COMPUTED_VALUE"""),"K0K 2X0")</f>
        <v>K0K 2X0</v>
      </c>
      <c r="E10136" s="3"/>
      <c r="F10136" s="3"/>
      <c r="G10136" s="3"/>
      <c r="H10136" s="3"/>
    </row>
    <row r="10137">
      <c r="A10137" s="2">
        <f>IFERROR(__xludf.DUMMYFUNCTION("""COMPUTED_VALUE"""),50975.0)</f>
        <v>50975</v>
      </c>
      <c r="B10137" s="3" t="str">
        <f>IFERROR(__xludf.DUMMYFUNCTION("""COMPUTED_VALUE"""),"156 DUNCAN RD")</f>
        <v>156 DUNCAN RD</v>
      </c>
      <c r="C10137" s="3" t="str">
        <f>IFERROR(__xludf.DUMMYFUNCTION("""COMPUTED_VALUE"""),"ROSENEATH ")</f>
        <v>ROSENEATH </v>
      </c>
      <c r="D10137" s="3" t="str">
        <f>IFERROR(__xludf.DUMMYFUNCTION("""COMPUTED_VALUE"""),"K0K 2X0")</f>
        <v>K0K 2X0</v>
      </c>
      <c r="E10137" s="3"/>
      <c r="F10137" s="3"/>
      <c r="G10137" s="3"/>
      <c r="H10137" s="3"/>
    </row>
    <row r="10138">
      <c r="A10138" s="2">
        <f>IFERROR(__xludf.DUMMYFUNCTION("""COMPUTED_VALUE"""),50976.0)</f>
        <v>50976</v>
      </c>
      <c r="B10138" s="3" t="str">
        <f>IFERROR(__xludf.DUMMYFUNCTION("""COMPUTED_VALUE"""),"32 DUNNETTE LANDNG RD")</f>
        <v>32 DUNNETTE LANDNG RD</v>
      </c>
      <c r="C10138" s="3" t="str">
        <f>IFERROR(__xludf.DUMMYFUNCTION("""COMPUTED_VALUE"""),"ROSENEATH ")</f>
        <v>ROSENEATH </v>
      </c>
      <c r="D10138" s="3" t="str">
        <f>IFERROR(__xludf.DUMMYFUNCTION("""COMPUTED_VALUE"""),"K0K 2X0")</f>
        <v>K0K 2X0</v>
      </c>
      <c r="E10138" s="3"/>
      <c r="F10138" s="3"/>
      <c r="G10138" s="3"/>
      <c r="H10138" s="3"/>
    </row>
    <row r="10139">
      <c r="A10139" s="2">
        <f>IFERROR(__xludf.DUMMYFUNCTION("""COMPUTED_VALUE"""),50977.0)</f>
        <v>50977</v>
      </c>
      <c r="B10139" s="3" t="str">
        <f>IFERROR(__xludf.DUMMYFUNCTION("""COMPUTED_VALUE"""),"96 DUNNETTE LANDING RD")</f>
        <v>96 DUNNETTE LANDING RD</v>
      </c>
      <c r="C10139" s="3" t="str">
        <f>IFERROR(__xludf.DUMMYFUNCTION("""COMPUTED_VALUE"""),"ROSENEATH ")</f>
        <v>ROSENEATH </v>
      </c>
      <c r="D10139" s="3" t="str">
        <f>IFERROR(__xludf.DUMMYFUNCTION("""COMPUTED_VALUE"""),"K0K 2X0")</f>
        <v>K0K 2X0</v>
      </c>
      <c r="E10139" s="3"/>
      <c r="F10139" s="3"/>
      <c r="G10139" s="3"/>
      <c r="H10139" s="3"/>
    </row>
    <row r="10140">
      <c r="A10140" s="2">
        <f>IFERROR(__xludf.DUMMYFUNCTION("""COMPUTED_VALUE"""),50978.0)</f>
        <v>50978</v>
      </c>
      <c r="B10140" s="3" t="str">
        <f>IFERROR(__xludf.DUMMYFUNCTION("""COMPUTED_VALUE"""),"173 DUNNETTE LANDING RD")</f>
        <v>173 DUNNETTE LANDING RD</v>
      </c>
      <c r="C10140" s="3" t="str">
        <f>IFERROR(__xludf.DUMMYFUNCTION("""COMPUTED_VALUE"""),"ROSENEATH ")</f>
        <v>ROSENEATH </v>
      </c>
      <c r="D10140" s="3" t="str">
        <f>IFERROR(__xludf.DUMMYFUNCTION("""COMPUTED_VALUE"""),"K0K 2X0")</f>
        <v>K0K 2X0</v>
      </c>
      <c r="E10140" s="3"/>
      <c r="F10140" s="3"/>
      <c r="G10140" s="3"/>
      <c r="H10140" s="3"/>
    </row>
    <row r="10141">
      <c r="A10141" s="2">
        <f>IFERROR(__xludf.DUMMYFUNCTION("""COMPUTED_VALUE"""),50979.0)</f>
        <v>50979</v>
      </c>
      <c r="B10141" s="3" t="str">
        <f>IFERROR(__xludf.DUMMYFUNCTION("""COMPUTED_VALUE"""),"185 DUNNETTE LANDING RD UNIT 1")</f>
        <v>185 DUNNETTE LANDING RD UNIT 1</v>
      </c>
      <c r="C10141" s="3" t="str">
        <f>IFERROR(__xludf.DUMMYFUNCTION("""COMPUTED_VALUE"""),"ROSENEATH ")</f>
        <v>ROSENEATH </v>
      </c>
      <c r="D10141" s="3" t="str">
        <f>IFERROR(__xludf.DUMMYFUNCTION("""COMPUTED_VALUE"""),"K0K 2X0")</f>
        <v>K0K 2X0</v>
      </c>
      <c r="E10141" s="3"/>
      <c r="F10141" s="3"/>
      <c r="G10141" s="3"/>
      <c r="H10141" s="3"/>
    </row>
    <row r="10142">
      <c r="A10142" s="2">
        <f>IFERROR(__xludf.DUMMYFUNCTION("""COMPUTED_VALUE"""),50980.0)</f>
        <v>50980</v>
      </c>
      <c r="B10142" s="3" t="str">
        <f>IFERROR(__xludf.DUMMYFUNCTION("""COMPUTED_VALUE"""),"191 DUNNETTE LANDING RD 2")</f>
        <v>191 DUNNETTE LANDING RD 2</v>
      </c>
      <c r="C10142" s="3" t="str">
        <f>IFERROR(__xludf.DUMMYFUNCTION("""COMPUTED_VALUE"""),"ROSENEATH ")</f>
        <v>ROSENEATH </v>
      </c>
      <c r="D10142" s="3" t="str">
        <f>IFERROR(__xludf.DUMMYFUNCTION("""COMPUTED_VALUE"""),"K0K 2X0")</f>
        <v>K0K 2X0</v>
      </c>
      <c r="E10142" s="3"/>
      <c r="F10142" s="3"/>
      <c r="G10142" s="3"/>
      <c r="H10142" s="3"/>
    </row>
    <row r="10143">
      <c r="A10143" s="2">
        <f>IFERROR(__xludf.DUMMYFUNCTION("""COMPUTED_VALUE"""),50981.0)</f>
        <v>50981</v>
      </c>
      <c r="B10143" s="3" t="str">
        <f>IFERROR(__xludf.DUMMYFUNCTION("""COMPUTED_VALUE"""),"193 DUNNETTE LANDING RD")</f>
        <v>193 DUNNETTE LANDING RD</v>
      </c>
      <c r="C10143" s="3" t="str">
        <f>IFERROR(__xludf.DUMMYFUNCTION("""COMPUTED_VALUE"""),"ROSENEATH ")</f>
        <v>ROSENEATH </v>
      </c>
      <c r="D10143" s="3" t="str">
        <f>IFERROR(__xludf.DUMMYFUNCTION("""COMPUTED_VALUE"""),"K0K 2X0")</f>
        <v>K0K 2X0</v>
      </c>
      <c r="E10143" s="3" t="str">
        <f>IFERROR(__xludf.DUMMYFUNCTION("""COMPUTED_VALUE"""),"Peter Lockhart")</f>
        <v>Peter Lockhart</v>
      </c>
      <c r="F10143" s="3" t="str">
        <f>IFERROR(__xludf.DUMMYFUNCTION("""COMPUTED_VALUE"""),"pl1213@hotmail.com")</f>
        <v>pl1213@hotmail.com</v>
      </c>
      <c r="G10143" s="3">
        <f>IFERROR(__xludf.DUMMYFUNCTION("""COMPUTED_VALUE"""),9.059268806E9)</f>
        <v>9059268806</v>
      </c>
      <c r="H10143" s="3"/>
    </row>
    <row r="10144">
      <c r="A10144" s="2">
        <f>IFERROR(__xludf.DUMMYFUNCTION("""COMPUTED_VALUE"""),50982.0)</f>
        <v>50982</v>
      </c>
      <c r="B10144" s="3" t="str">
        <f>IFERROR(__xludf.DUMMYFUNCTION("""COMPUTED_VALUE"""),"200 DUNNETTE LANDING RD")</f>
        <v>200 DUNNETTE LANDING RD</v>
      </c>
      <c r="C10144" s="3" t="str">
        <f>IFERROR(__xludf.DUMMYFUNCTION("""COMPUTED_VALUE"""),"ROSENEATH ")</f>
        <v>ROSENEATH </v>
      </c>
      <c r="D10144" s="3" t="str">
        <f>IFERROR(__xludf.DUMMYFUNCTION("""COMPUTED_VALUE"""),"K0K 2X0")</f>
        <v>K0K 2X0</v>
      </c>
      <c r="E10144" s="3"/>
      <c r="F10144" s="3"/>
      <c r="G10144" s="3"/>
      <c r="H10144" s="3"/>
    </row>
    <row r="10145">
      <c r="A10145" s="2">
        <f>IFERROR(__xludf.DUMMYFUNCTION("""COMPUTED_VALUE"""),50983.0)</f>
        <v>50983</v>
      </c>
      <c r="B10145" s="3" t="str">
        <f>IFERROR(__xludf.DUMMYFUNCTION("""COMPUTED_VALUE"""),"202 DUNNETTE LNDNG RD")</f>
        <v>202 DUNNETTE LNDNG RD</v>
      </c>
      <c r="C10145" s="3" t="str">
        <f>IFERROR(__xludf.DUMMYFUNCTION("""COMPUTED_VALUE"""),"ROSENEATH ")</f>
        <v>ROSENEATH </v>
      </c>
      <c r="D10145" s="3" t="str">
        <f>IFERROR(__xludf.DUMMYFUNCTION("""COMPUTED_VALUE"""),"K0K 2X0")</f>
        <v>K0K 2X0</v>
      </c>
      <c r="E10145" s="3"/>
      <c r="F10145" s="3"/>
      <c r="G10145" s="3"/>
      <c r="H10145" s="3"/>
    </row>
    <row r="10146">
      <c r="A10146" s="2">
        <f>IFERROR(__xludf.DUMMYFUNCTION("""COMPUTED_VALUE"""),50984.0)</f>
        <v>50984</v>
      </c>
      <c r="B10146" s="3" t="str">
        <f>IFERROR(__xludf.DUMMYFUNCTION("""COMPUTED_VALUE"""),"204 DUNNETTE LNDNG RD 1")</f>
        <v>204 DUNNETTE LNDNG RD 1</v>
      </c>
      <c r="C10146" s="3" t="str">
        <f>IFERROR(__xludf.DUMMYFUNCTION("""COMPUTED_VALUE"""),"ROSENEATH ")</f>
        <v>ROSENEATH </v>
      </c>
      <c r="D10146" s="3" t="str">
        <f>IFERROR(__xludf.DUMMYFUNCTION("""COMPUTED_VALUE"""),"K0K 2X0")</f>
        <v>K0K 2X0</v>
      </c>
      <c r="E10146" s="3"/>
      <c r="F10146" s="3"/>
      <c r="G10146" s="3"/>
      <c r="H10146" s="3"/>
    </row>
    <row r="10147">
      <c r="A10147" s="2">
        <f>IFERROR(__xludf.DUMMYFUNCTION("""COMPUTED_VALUE"""),50985.0)</f>
        <v>50985</v>
      </c>
      <c r="B10147" s="3" t="str">
        <f>IFERROR(__xludf.DUMMYFUNCTION("""COMPUTED_VALUE"""),"204 DUNNETTE LNDNG RD 2")</f>
        <v>204 DUNNETTE LNDNG RD 2</v>
      </c>
      <c r="C10147" s="3" t="str">
        <f>IFERROR(__xludf.DUMMYFUNCTION("""COMPUTED_VALUE"""),"ROSENEATH ")</f>
        <v>ROSENEATH </v>
      </c>
      <c r="D10147" s="3" t="str">
        <f>IFERROR(__xludf.DUMMYFUNCTION("""COMPUTED_VALUE"""),"K0K 2X0")</f>
        <v>K0K 2X0</v>
      </c>
      <c r="E10147" s="3"/>
      <c r="F10147" s="3"/>
      <c r="G10147" s="3"/>
      <c r="H10147" s="3"/>
    </row>
    <row r="10148">
      <c r="A10148" s="2">
        <f>IFERROR(__xludf.DUMMYFUNCTION("""COMPUTED_VALUE"""),50986.0)</f>
        <v>50986</v>
      </c>
      <c r="B10148" s="3" t="str">
        <f>IFERROR(__xludf.DUMMYFUNCTION("""COMPUTED_VALUE"""),"204 DUNNETTE LNDNG RD 3")</f>
        <v>204 DUNNETTE LNDNG RD 3</v>
      </c>
      <c r="C10148" s="3" t="str">
        <f>IFERROR(__xludf.DUMMYFUNCTION("""COMPUTED_VALUE"""),"ROSENEATH ")</f>
        <v>ROSENEATH </v>
      </c>
      <c r="D10148" s="3" t="str">
        <f>IFERROR(__xludf.DUMMYFUNCTION("""COMPUTED_VALUE"""),"K0K 2X0")</f>
        <v>K0K 2X0</v>
      </c>
      <c r="E10148" s="3"/>
      <c r="F10148" s="3"/>
      <c r="G10148" s="3"/>
      <c r="H10148" s="3"/>
    </row>
    <row r="10149">
      <c r="A10149" s="2">
        <f>IFERROR(__xludf.DUMMYFUNCTION("""COMPUTED_VALUE"""),50987.0)</f>
        <v>50987</v>
      </c>
      <c r="B10149" s="3" t="str">
        <f>IFERROR(__xludf.DUMMYFUNCTION("""COMPUTED_VALUE"""),"210 DUNNETTE LANDING RD")</f>
        <v>210 DUNNETTE LANDING RD</v>
      </c>
      <c r="C10149" s="3" t="str">
        <f>IFERROR(__xludf.DUMMYFUNCTION("""COMPUTED_VALUE"""),"ROSENEATH ")</f>
        <v>ROSENEATH </v>
      </c>
      <c r="D10149" s="3" t="str">
        <f>IFERROR(__xludf.DUMMYFUNCTION("""COMPUTED_VALUE"""),"K0K 2X0")</f>
        <v>K0K 2X0</v>
      </c>
      <c r="E10149" s="3"/>
      <c r="F10149" s="3"/>
      <c r="G10149" s="3"/>
      <c r="H10149" s="3"/>
    </row>
    <row r="10150">
      <c r="A10150" s="2">
        <f>IFERROR(__xludf.DUMMYFUNCTION("""COMPUTED_VALUE"""),50988.0)</f>
        <v>50988</v>
      </c>
      <c r="B10150" s="3" t="str">
        <f>IFERROR(__xludf.DUMMYFUNCTION("""COMPUTED_VALUE"""),"214 DUNNETTE LNDNG RD")</f>
        <v>214 DUNNETTE LNDNG RD</v>
      </c>
      <c r="C10150" s="3" t="str">
        <f>IFERROR(__xludf.DUMMYFUNCTION("""COMPUTED_VALUE"""),"ROSENEATH ")</f>
        <v>ROSENEATH </v>
      </c>
      <c r="D10150" s="3" t="str">
        <f>IFERROR(__xludf.DUMMYFUNCTION("""COMPUTED_VALUE"""),"K0K 2X0")</f>
        <v>K0K 2X0</v>
      </c>
      <c r="E10150" s="3"/>
      <c r="F10150" s="3"/>
      <c r="G10150" s="3"/>
      <c r="H10150" s="3"/>
    </row>
    <row r="10151">
      <c r="A10151" s="2">
        <f>IFERROR(__xludf.DUMMYFUNCTION("""COMPUTED_VALUE"""),50989.0)</f>
        <v>50989</v>
      </c>
      <c r="B10151" s="3" t="str">
        <f>IFERROR(__xludf.DUMMYFUNCTION("""COMPUTED_VALUE"""),"218 DUNNETTE LNDNG RD")</f>
        <v>218 DUNNETTE LNDNG RD</v>
      </c>
      <c r="C10151" s="3" t="str">
        <f>IFERROR(__xludf.DUMMYFUNCTION("""COMPUTED_VALUE"""),"ROSENEATH ")</f>
        <v>ROSENEATH </v>
      </c>
      <c r="D10151" s="3" t="str">
        <f>IFERROR(__xludf.DUMMYFUNCTION("""COMPUTED_VALUE"""),"K0K 2X0")</f>
        <v>K0K 2X0</v>
      </c>
      <c r="E10151" s="3"/>
      <c r="F10151" s="3"/>
      <c r="G10151" s="3"/>
      <c r="H10151" s="3"/>
    </row>
    <row r="10152">
      <c r="A10152" s="2">
        <f>IFERROR(__xludf.DUMMYFUNCTION("""COMPUTED_VALUE"""),50990.0)</f>
        <v>50990</v>
      </c>
      <c r="B10152" s="3" t="str">
        <f>IFERROR(__xludf.DUMMYFUNCTION("""COMPUTED_VALUE"""),"224 DUNNETTE LNDNG RD")</f>
        <v>224 DUNNETTE LNDNG RD</v>
      </c>
      <c r="C10152" s="3" t="str">
        <f>IFERROR(__xludf.DUMMYFUNCTION("""COMPUTED_VALUE"""),"ROSENEATH ")</f>
        <v>ROSENEATH </v>
      </c>
      <c r="D10152" s="3" t="str">
        <f>IFERROR(__xludf.DUMMYFUNCTION("""COMPUTED_VALUE"""),"K0K 2X0")</f>
        <v>K0K 2X0</v>
      </c>
      <c r="E10152" s="3"/>
      <c r="F10152" s="3"/>
      <c r="G10152" s="3"/>
      <c r="H10152" s="3"/>
    </row>
    <row r="10153">
      <c r="A10153" s="2">
        <f>IFERROR(__xludf.DUMMYFUNCTION("""COMPUTED_VALUE"""),50991.0)</f>
        <v>50991</v>
      </c>
      <c r="B10153" s="3" t="str">
        <f>IFERROR(__xludf.DUMMYFUNCTION("""COMPUTED_VALUE"""),"231 DUNNETTE LNDNG RD")</f>
        <v>231 DUNNETTE LNDNG RD</v>
      </c>
      <c r="C10153" s="3" t="str">
        <f>IFERROR(__xludf.DUMMYFUNCTION("""COMPUTED_VALUE"""),"ROSENEATH ")</f>
        <v>ROSENEATH </v>
      </c>
      <c r="D10153" s="3" t="str">
        <f>IFERROR(__xludf.DUMMYFUNCTION("""COMPUTED_VALUE"""),"K0K 2X0")</f>
        <v>K0K 2X0</v>
      </c>
      <c r="E10153" s="3"/>
      <c r="F10153" s="3"/>
      <c r="G10153" s="3"/>
      <c r="H10153" s="3"/>
    </row>
    <row r="10154">
      <c r="A10154" s="2">
        <f>IFERROR(__xludf.DUMMYFUNCTION("""COMPUTED_VALUE"""),50992.0)</f>
        <v>50992</v>
      </c>
      <c r="B10154" s="3" t="str">
        <f>IFERROR(__xludf.DUMMYFUNCTION("""COMPUTED_VALUE"""),"243 DUNNETTE LANDNG")</f>
        <v>243 DUNNETTE LANDNG</v>
      </c>
      <c r="C10154" s="3" t="str">
        <f>IFERROR(__xludf.DUMMYFUNCTION("""COMPUTED_VALUE"""),"ROSENEATH ")</f>
        <v>ROSENEATH </v>
      </c>
      <c r="D10154" s="3" t="str">
        <f>IFERROR(__xludf.DUMMYFUNCTION("""COMPUTED_VALUE"""),"K0K 2X0")</f>
        <v>K0K 2X0</v>
      </c>
      <c r="E10154" s="3"/>
      <c r="F10154" s="3"/>
      <c r="G10154" s="3"/>
      <c r="H10154" s="3"/>
    </row>
    <row r="10155">
      <c r="A10155" s="2">
        <f>IFERROR(__xludf.DUMMYFUNCTION("""COMPUTED_VALUE"""),50993.0)</f>
        <v>50993</v>
      </c>
      <c r="B10155" s="3" t="str">
        <f>IFERROR(__xludf.DUMMYFUNCTION("""COMPUTED_VALUE"""),"243 DUNNETTE LANDING RD")</f>
        <v>243 DUNNETTE LANDING RD</v>
      </c>
      <c r="C10155" s="3" t="str">
        <f>IFERROR(__xludf.DUMMYFUNCTION("""COMPUTED_VALUE"""),"ROSENEATH ")</f>
        <v>ROSENEATH </v>
      </c>
      <c r="D10155" s="3" t="str">
        <f>IFERROR(__xludf.DUMMYFUNCTION("""COMPUTED_VALUE"""),"K0K 2X0")</f>
        <v>K0K 2X0</v>
      </c>
      <c r="E10155" s="3"/>
      <c r="F10155" s="3"/>
      <c r="G10155" s="3"/>
      <c r="H10155" s="3"/>
    </row>
    <row r="10156">
      <c r="A10156" s="2">
        <f>IFERROR(__xludf.DUMMYFUNCTION("""COMPUTED_VALUE"""),50994.0)</f>
        <v>50994</v>
      </c>
      <c r="B10156" s="3" t="str">
        <f>IFERROR(__xludf.DUMMYFUNCTION("""COMPUTED_VALUE"""),"250 DUNNETTE LANDING RD")</f>
        <v>250 DUNNETTE LANDING RD</v>
      </c>
      <c r="C10156" s="3" t="str">
        <f>IFERROR(__xludf.DUMMYFUNCTION("""COMPUTED_VALUE"""),"ROSENEATH ")</f>
        <v>ROSENEATH </v>
      </c>
      <c r="D10156" s="3" t="str">
        <f>IFERROR(__xludf.DUMMYFUNCTION("""COMPUTED_VALUE"""),"K0K 2X0")</f>
        <v>K0K 2X0</v>
      </c>
      <c r="E10156" s="3"/>
      <c r="F10156" s="3"/>
      <c r="G10156" s="3"/>
      <c r="H10156" s="3"/>
    </row>
    <row r="10157">
      <c r="A10157" s="2">
        <f>IFERROR(__xludf.DUMMYFUNCTION("""COMPUTED_VALUE"""),50996.0)</f>
        <v>50996</v>
      </c>
      <c r="B10157" s="3" t="str">
        <f>IFERROR(__xludf.DUMMYFUNCTION("""COMPUTED_VALUE"""),"211A DUNNETTE LANDING RD")</f>
        <v>211A DUNNETTE LANDING RD</v>
      </c>
      <c r="C10157" s="3" t="str">
        <f>IFERROR(__xludf.DUMMYFUNCTION("""COMPUTED_VALUE"""),"ROSENEATH ")</f>
        <v>ROSENEATH </v>
      </c>
      <c r="D10157" s="3" t="str">
        <f>IFERROR(__xludf.DUMMYFUNCTION("""COMPUTED_VALUE"""),"K0K 2X0")</f>
        <v>K0K 2X0</v>
      </c>
      <c r="E10157" s="3"/>
      <c r="F10157" s="3"/>
      <c r="G10157" s="3"/>
      <c r="H10157" s="3"/>
    </row>
    <row r="10158">
      <c r="A10158" s="2">
        <f>IFERROR(__xludf.DUMMYFUNCTION("""COMPUTED_VALUE"""),50997.0)</f>
        <v>50997</v>
      </c>
      <c r="B10158" s="3" t="str">
        <f>IFERROR(__xludf.DUMMYFUNCTION("""COMPUTED_VALUE"""),"211B DUNNETTE LANDING RD")</f>
        <v>211B DUNNETTE LANDING RD</v>
      </c>
      <c r="C10158" s="3" t="str">
        <f>IFERROR(__xludf.DUMMYFUNCTION("""COMPUTED_VALUE"""),"ROSENEATH ")</f>
        <v>ROSENEATH </v>
      </c>
      <c r="D10158" s="3" t="str">
        <f>IFERROR(__xludf.DUMMYFUNCTION("""COMPUTED_VALUE"""),"K0K 2X0")</f>
        <v>K0K 2X0</v>
      </c>
      <c r="E10158" s="3"/>
      <c r="F10158" s="3"/>
      <c r="G10158" s="3"/>
      <c r="H10158" s="3"/>
    </row>
    <row r="10159">
      <c r="A10159" s="2">
        <f>IFERROR(__xludf.DUMMYFUNCTION("""COMPUTED_VALUE"""),50998.0)</f>
        <v>50998</v>
      </c>
      <c r="B10159" s="3" t="str">
        <f>IFERROR(__xludf.DUMMYFUNCTION("""COMPUTED_VALUE"""),"9 EAST CRT")</f>
        <v>9 EAST CRT</v>
      </c>
      <c r="C10159" s="3" t="str">
        <f>IFERROR(__xludf.DUMMYFUNCTION("""COMPUTED_VALUE"""),"HASTINGS ")</f>
        <v>HASTINGS </v>
      </c>
      <c r="D10159" s="3" t="str">
        <f>IFERROR(__xludf.DUMMYFUNCTION("""COMPUTED_VALUE"""),"K0L 1Y0")</f>
        <v>K0L 1Y0</v>
      </c>
      <c r="E10159" s="3" t="str">
        <f>IFERROR(__xludf.DUMMYFUNCTION("""COMPUTED_VALUE"""),"Paul Nicoll")</f>
        <v>Paul Nicoll</v>
      </c>
      <c r="F10159" s="3" t="str">
        <f>IFERROR(__xludf.DUMMYFUNCTION("""COMPUTED_VALUE"""),"tropper9@hotmail.com")</f>
        <v>tropper9@hotmail.com</v>
      </c>
      <c r="G10159" s="3"/>
      <c r="H10159" s="3"/>
    </row>
    <row r="10160">
      <c r="A10160" s="2">
        <f>IFERROR(__xludf.DUMMYFUNCTION("""COMPUTED_VALUE"""),50999.0)</f>
        <v>50999</v>
      </c>
      <c r="B10160" s="3" t="str">
        <f>IFERROR(__xludf.DUMMYFUNCTION("""COMPUTED_VALUE"""),"10 EAST CRT")</f>
        <v>10 EAST CRT</v>
      </c>
      <c r="C10160" s="3" t="str">
        <f>IFERROR(__xludf.DUMMYFUNCTION("""COMPUTED_VALUE"""),"HASTINGS ")</f>
        <v>HASTINGS </v>
      </c>
      <c r="D10160" s="3" t="str">
        <f>IFERROR(__xludf.DUMMYFUNCTION("""COMPUTED_VALUE"""),"K0L 1Y0")</f>
        <v>K0L 1Y0</v>
      </c>
      <c r="E10160" s="3" t="str">
        <f>IFERROR(__xludf.DUMMYFUNCTION("""COMPUTED_VALUE"""),"Marie Gauthier")</f>
        <v>Marie Gauthier</v>
      </c>
      <c r="F10160" s="3" t="str">
        <f>IFERROR(__xludf.DUMMYFUNCTION("""COMPUTED_VALUE"""),"gthrmr@yahoo.ca")</f>
        <v>gthrmr@yahoo.ca</v>
      </c>
      <c r="G10160" s="3"/>
      <c r="H10160" s="3"/>
    </row>
    <row r="10161">
      <c r="A10161" s="2">
        <f>IFERROR(__xludf.DUMMYFUNCTION("""COMPUTED_VALUE"""),51000.0)</f>
        <v>51000</v>
      </c>
      <c r="B10161" s="3" t="str">
        <f>IFERROR(__xludf.DUMMYFUNCTION("""COMPUTED_VALUE"""),"19 EAST CRT")</f>
        <v>19 EAST CRT</v>
      </c>
      <c r="C10161" s="3" t="str">
        <f>IFERROR(__xludf.DUMMYFUNCTION("""COMPUTED_VALUE"""),"HASTINGS ")</f>
        <v>HASTINGS </v>
      </c>
      <c r="D10161" s="3" t="str">
        <f>IFERROR(__xludf.DUMMYFUNCTION("""COMPUTED_VALUE"""),"K0L 1Y0")</f>
        <v>K0L 1Y0</v>
      </c>
      <c r="E10161" s="3"/>
      <c r="F10161" s="3"/>
      <c r="G10161" s="3"/>
      <c r="H10161" s="3"/>
    </row>
    <row r="10162">
      <c r="A10162" s="2">
        <f>IFERROR(__xludf.DUMMYFUNCTION("""COMPUTED_VALUE"""),51001.0)</f>
        <v>51001</v>
      </c>
      <c r="B10162" s="3" t="str">
        <f>IFERROR(__xludf.DUMMYFUNCTION("""COMPUTED_VALUE"""),"24 EAST CRT")</f>
        <v>24 EAST CRT</v>
      </c>
      <c r="C10162" s="3" t="str">
        <f>IFERROR(__xludf.DUMMYFUNCTION("""COMPUTED_VALUE"""),"HASTINGS ")</f>
        <v>HASTINGS </v>
      </c>
      <c r="D10162" s="3" t="str">
        <f>IFERROR(__xludf.DUMMYFUNCTION("""COMPUTED_VALUE"""),"K0L 1Y0")</f>
        <v>K0L 1Y0</v>
      </c>
      <c r="E10162" s="3" t="str">
        <f>IFERROR(__xludf.DUMMYFUNCTION("""COMPUTED_VALUE"""),"John Andrew Marvin")</f>
        <v>John Andrew Marvin</v>
      </c>
      <c r="F10162" s="3" t="str">
        <f>IFERROR(__xludf.DUMMYFUNCTION("""COMPUTED_VALUE"""),"jamarvin@nexicom.net")</f>
        <v>jamarvin@nexicom.net</v>
      </c>
      <c r="G10162" s="3"/>
      <c r="H10162" s="3"/>
    </row>
    <row r="10163">
      <c r="A10163" s="2">
        <f>IFERROR(__xludf.DUMMYFUNCTION("""COMPUTED_VALUE"""),51002.0)</f>
        <v>51002</v>
      </c>
      <c r="B10163" s="3" t="str">
        <f>IFERROR(__xludf.DUMMYFUNCTION("""COMPUTED_VALUE"""),"30 EAST CRT")</f>
        <v>30 EAST CRT</v>
      </c>
      <c r="C10163" s="3" t="str">
        <f>IFERROR(__xludf.DUMMYFUNCTION("""COMPUTED_VALUE"""),"HASTINGS ")</f>
        <v>HASTINGS </v>
      </c>
      <c r="D10163" s="3" t="str">
        <f>IFERROR(__xludf.DUMMYFUNCTION("""COMPUTED_VALUE"""),"K0L 1Y0")</f>
        <v>K0L 1Y0</v>
      </c>
      <c r="E10163" s="3"/>
      <c r="F10163" s="3"/>
      <c r="G10163" s="3"/>
      <c r="H10163" s="3"/>
    </row>
    <row r="10164">
      <c r="A10164" s="2">
        <f>IFERROR(__xludf.DUMMYFUNCTION("""COMPUTED_VALUE"""),51003.0)</f>
        <v>51003</v>
      </c>
      <c r="B10164" s="3" t="str">
        <f>IFERROR(__xludf.DUMMYFUNCTION("""COMPUTED_VALUE"""),"31 EAST CRT")</f>
        <v>31 EAST CRT</v>
      </c>
      <c r="C10164" s="3" t="str">
        <f>IFERROR(__xludf.DUMMYFUNCTION("""COMPUTED_VALUE"""),"HASTINGS ")</f>
        <v>HASTINGS </v>
      </c>
      <c r="D10164" s="3" t="str">
        <f>IFERROR(__xludf.DUMMYFUNCTION("""COMPUTED_VALUE"""),"K0L 1Y0")</f>
        <v>K0L 1Y0</v>
      </c>
      <c r="E10164" s="3"/>
      <c r="F10164" s="3"/>
      <c r="G10164" s="3"/>
      <c r="H10164" s="3"/>
    </row>
    <row r="10165">
      <c r="A10165" s="2">
        <f>IFERROR(__xludf.DUMMYFUNCTION("""COMPUTED_VALUE"""),51004.0)</f>
        <v>51004</v>
      </c>
      <c r="B10165" s="3" t="str">
        <f>IFERROR(__xludf.DUMMYFUNCTION("""COMPUTED_VALUE"""),"32 EAST CRT")</f>
        <v>32 EAST CRT</v>
      </c>
      <c r="C10165" s="3" t="str">
        <f>IFERROR(__xludf.DUMMYFUNCTION("""COMPUTED_VALUE"""),"HASTINGS ")</f>
        <v>HASTINGS </v>
      </c>
      <c r="D10165" s="3" t="str">
        <f>IFERROR(__xludf.DUMMYFUNCTION("""COMPUTED_VALUE"""),"K0L 1Y0")</f>
        <v>K0L 1Y0</v>
      </c>
      <c r="E10165" s="3"/>
      <c r="F10165" s="3"/>
      <c r="G10165" s="3"/>
      <c r="H10165" s="3"/>
    </row>
    <row r="10166">
      <c r="A10166" s="2">
        <f>IFERROR(__xludf.DUMMYFUNCTION("""COMPUTED_VALUE"""),51005.0)</f>
        <v>51005</v>
      </c>
      <c r="B10166" s="3" t="str">
        <f>IFERROR(__xludf.DUMMYFUNCTION("""COMPUTED_VALUE"""),"33 EAST CRT")</f>
        <v>33 EAST CRT</v>
      </c>
      <c r="C10166" s="3" t="str">
        <f>IFERROR(__xludf.DUMMYFUNCTION("""COMPUTED_VALUE"""),"HASTINGS ")</f>
        <v>HASTINGS </v>
      </c>
      <c r="D10166" s="3" t="str">
        <f>IFERROR(__xludf.DUMMYFUNCTION("""COMPUTED_VALUE"""),"K0L 1Y0")</f>
        <v>K0L 1Y0</v>
      </c>
      <c r="E10166" s="3"/>
      <c r="F10166" s="3"/>
      <c r="G10166" s="3"/>
      <c r="H10166" s="3"/>
    </row>
    <row r="10167">
      <c r="A10167" s="2">
        <f>IFERROR(__xludf.DUMMYFUNCTION("""COMPUTED_VALUE"""),51006.0)</f>
        <v>51006</v>
      </c>
      <c r="B10167" s="3" t="str">
        <f>IFERROR(__xludf.DUMMYFUNCTION("""COMPUTED_VALUE"""),"35 EAST CRT")</f>
        <v>35 EAST CRT</v>
      </c>
      <c r="C10167" s="3" t="str">
        <f>IFERROR(__xludf.DUMMYFUNCTION("""COMPUTED_VALUE"""),"HASTINGS ")</f>
        <v>HASTINGS </v>
      </c>
      <c r="D10167" s="3" t="str">
        <f>IFERROR(__xludf.DUMMYFUNCTION("""COMPUTED_VALUE"""),"K0L 1Y0")</f>
        <v>K0L 1Y0</v>
      </c>
      <c r="E10167" s="3"/>
      <c r="F10167" s="3"/>
      <c r="G10167" s="3"/>
      <c r="H10167" s="3"/>
    </row>
    <row r="10168">
      <c r="A10168" s="2">
        <f>IFERROR(__xludf.DUMMYFUNCTION("""COMPUTED_VALUE"""),51007.0)</f>
        <v>51007</v>
      </c>
      <c r="B10168" s="3" t="str">
        <f>IFERROR(__xludf.DUMMYFUNCTION("""COMPUTED_VALUE"""),"3 EDGEWATER DR")</f>
        <v>3 EDGEWATER DR</v>
      </c>
      <c r="C10168" s="3" t="str">
        <f>IFERROR(__xludf.DUMMYFUNCTION("""COMPUTED_VALUE"""),"ROSENEATH ")</f>
        <v>ROSENEATH </v>
      </c>
      <c r="D10168" s="3" t="str">
        <f>IFERROR(__xludf.DUMMYFUNCTION("""COMPUTED_VALUE"""),"K0K 2X0")</f>
        <v>K0K 2X0</v>
      </c>
      <c r="E10168" s="3"/>
      <c r="F10168" s="3"/>
      <c r="G10168" s="3"/>
      <c r="H10168" s="3"/>
    </row>
    <row r="10169">
      <c r="A10169" s="2">
        <f>IFERROR(__xludf.DUMMYFUNCTION("""COMPUTED_VALUE"""),51008.0)</f>
        <v>51008</v>
      </c>
      <c r="B10169" s="3" t="str">
        <f>IFERROR(__xludf.DUMMYFUNCTION("""COMPUTED_VALUE"""),"8 EDGEWATER DR")</f>
        <v>8 EDGEWATER DR</v>
      </c>
      <c r="C10169" s="3" t="str">
        <f>IFERROR(__xludf.DUMMYFUNCTION("""COMPUTED_VALUE"""),"ROSENEATH ")</f>
        <v>ROSENEATH </v>
      </c>
      <c r="D10169" s="3" t="str">
        <f>IFERROR(__xludf.DUMMYFUNCTION("""COMPUTED_VALUE"""),"K0K 2X0")</f>
        <v>K0K 2X0</v>
      </c>
      <c r="E10169" s="3"/>
      <c r="F10169" s="3"/>
      <c r="G10169" s="3"/>
      <c r="H10169" s="3"/>
    </row>
    <row r="10170">
      <c r="A10170" s="2">
        <f>IFERROR(__xludf.DUMMYFUNCTION("""COMPUTED_VALUE"""),51009.0)</f>
        <v>51009</v>
      </c>
      <c r="B10170" s="3" t="str">
        <f>IFERROR(__xludf.DUMMYFUNCTION("""COMPUTED_VALUE"""),"12 EDGEWATER DR")</f>
        <v>12 EDGEWATER DR</v>
      </c>
      <c r="C10170" s="3" t="str">
        <f>IFERROR(__xludf.DUMMYFUNCTION("""COMPUTED_VALUE"""),"ROSENEATH ")</f>
        <v>ROSENEATH </v>
      </c>
      <c r="D10170" s="3" t="str">
        <f>IFERROR(__xludf.DUMMYFUNCTION("""COMPUTED_VALUE"""),"K0K 2X0")</f>
        <v>K0K 2X0</v>
      </c>
      <c r="E10170" s="3" t="str">
        <f>IFERROR(__xludf.DUMMYFUNCTION("""COMPUTED_VALUE"""),"Steve Whitwell")</f>
        <v>Steve Whitwell</v>
      </c>
      <c r="F10170" s="3" t="str">
        <f>IFERROR(__xludf.DUMMYFUNCTION("""COMPUTED_VALUE"""),"whitwellsteve64@gmail.com")</f>
        <v>whitwellsteve64@gmail.com</v>
      </c>
      <c r="G10170" s="3">
        <f>IFERROR(__xludf.DUMMYFUNCTION("""COMPUTED_VALUE"""),9.053963116E9)</f>
        <v>9053963116</v>
      </c>
      <c r="H10170" s="3">
        <f>IFERROR(__xludf.DUMMYFUNCTION("""COMPUTED_VALUE"""),9.053996008E9)</f>
        <v>9053996008</v>
      </c>
    </row>
    <row r="10171">
      <c r="A10171" s="2">
        <f>IFERROR(__xludf.DUMMYFUNCTION("""COMPUTED_VALUE"""),51010.0)</f>
        <v>51010</v>
      </c>
      <c r="B10171" s="3" t="str">
        <f>IFERROR(__xludf.DUMMYFUNCTION("""COMPUTED_VALUE"""),"15 EDGEWATER DR")</f>
        <v>15 EDGEWATER DR</v>
      </c>
      <c r="C10171" s="3" t="str">
        <f>IFERROR(__xludf.DUMMYFUNCTION("""COMPUTED_VALUE"""),"ROSENEATH ")</f>
        <v>ROSENEATH </v>
      </c>
      <c r="D10171" s="3" t="str">
        <f>IFERROR(__xludf.DUMMYFUNCTION("""COMPUTED_VALUE"""),"K0K 2X0")</f>
        <v>K0K 2X0</v>
      </c>
      <c r="E10171" s="3"/>
      <c r="F10171" s="3"/>
      <c r="G10171" s="3"/>
      <c r="H10171" s="3"/>
    </row>
    <row r="10172">
      <c r="A10172" s="2">
        <f>IFERROR(__xludf.DUMMYFUNCTION("""COMPUTED_VALUE"""),51011.0)</f>
        <v>51011</v>
      </c>
      <c r="B10172" s="3" t="str">
        <f>IFERROR(__xludf.DUMMYFUNCTION("""COMPUTED_VALUE"""),"18 EDGEWATER DR")</f>
        <v>18 EDGEWATER DR</v>
      </c>
      <c r="C10172" s="3" t="str">
        <f>IFERROR(__xludf.DUMMYFUNCTION("""COMPUTED_VALUE"""),"ROSENEATH ")</f>
        <v>ROSENEATH </v>
      </c>
      <c r="D10172" s="3" t="str">
        <f>IFERROR(__xludf.DUMMYFUNCTION("""COMPUTED_VALUE"""),"K0K 2X0")</f>
        <v>K0K 2X0</v>
      </c>
      <c r="E10172" s="3"/>
      <c r="F10172" s="3"/>
      <c r="G10172" s="3"/>
      <c r="H10172" s="3"/>
    </row>
    <row r="10173">
      <c r="A10173" s="2">
        <f>IFERROR(__xludf.DUMMYFUNCTION("""COMPUTED_VALUE"""),51012.0)</f>
        <v>51012</v>
      </c>
      <c r="B10173" s="3" t="str">
        <f>IFERROR(__xludf.DUMMYFUNCTION("""COMPUTED_VALUE"""),"23 EDGEWATER DR")</f>
        <v>23 EDGEWATER DR</v>
      </c>
      <c r="C10173" s="3" t="str">
        <f>IFERROR(__xludf.DUMMYFUNCTION("""COMPUTED_VALUE"""),"ROSENEATH ")</f>
        <v>ROSENEATH </v>
      </c>
      <c r="D10173" s="3" t="str">
        <f>IFERROR(__xludf.DUMMYFUNCTION("""COMPUTED_VALUE"""),"K0K 2X0")</f>
        <v>K0K 2X0</v>
      </c>
      <c r="E10173" s="3" t="str">
        <f>IFERROR(__xludf.DUMMYFUNCTION("""COMPUTED_VALUE"""),"Angad Singh Chahal")</f>
        <v>Angad Singh Chahal</v>
      </c>
      <c r="F10173" s="3" t="str">
        <f>IFERROR(__xludf.DUMMYFUNCTION("""COMPUTED_VALUE"""),"surfersingh2@gmail.com")</f>
        <v>surfersingh2@gmail.com</v>
      </c>
      <c r="G10173" s="3">
        <f>IFERROR(__xludf.DUMMYFUNCTION("""COMPUTED_VALUE"""),6.478773458E9)</f>
        <v>6478773458</v>
      </c>
      <c r="H10173" s="3">
        <f>IFERROR(__xludf.DUMMYFUNCTION("""COMPUTED_VALUE"""),6.474711024E9)</f>
        <v>6474711024</v>
      </c>
    </row>
    <row r="10174">
      <c r="A10174" s="2">
        <f>IFERROR(__xludf.DUMMYFUNCTION("""COMPUTED_VALUE"""),51013.0)</f>
        <v>51013</v>
      </c>
      <c r="B10174" s="3" t="str">
        <f>IFERROR(__xludf.DUMMYFUNCTION("""COMPUTED_VALUE"""),"24 EDGEWATER DR")</f>
        <v>24 EDGEWATER DR</v>
      </c>
      <c r="C10174" s="3" t="str">
        <f>IFERROR(__xludf.DUMMYFUNCTION("""COMPUTED_VALUE"""),"ROSENEATH ")</f>
        <v>ROSENEATH </v>
      </c>
      <c r="D10174" s="3" t="str">
        <f>IFERROR(__xludf.DUMMYFUNCTION("""COMPUTED_VALUE"""),"K0K 2X0")</f>
        <v>K0K 2X0</v>
      </c>
      <c r="E10174" s="3" t="str">
        <f>IFERROR(__xludf.DUMMYFUNCTION("""COMPUTED_VALUE"""),"Victor Vogler")</f>
        <v>Victor Vogler</v>
      </c>
      <c r="F10174" s="3" t="str">
        <f>IFERROR(__xludf.DUMMYFUNCTION("""COMPUTED_VALUE"""),"vkvogler@gmail.com")</f>
        <v>vkvogler@gmail.com</v>
      </c>
      <c r="G10174" s="3">
        <f>IFERROR(__xludf.DUMMYFUNCTION("""COMPUTED_VALUE"""),9.054498632E9)</f>
        <v>9054498632</v>
      </c>
      <c r="H10174" s="3"/>
    </row>
    <row r="10175">
      <c r="A10175" s="2">
        <f>IFERROR(__xludf.DUMMYFUNCTION("""COMPUTED_VALUE"""),51014.0)</f>
        <v>51014</v>
      </c>
      <c r="B10175" s="3" t="str">
        <f>IFERROR(__xludf.DUMMYFUNCTION("""COMPUTED_VALUE"""),"29 EDGEWATER DR")</f>
        <v>29 EDGEWATER DR</v>
      </c>
      <c r="C10175" s="3" t="str">
        <f>IFERROR(__xludf.DUMMYFUNCTION("""COMPUTED_VALUE"""),"ROSENEATH ")</f>
        <v>ROSENEATH </v>
      </c>
      <c r="D10175" s="3" t="str">
        <f>IFERROR(__xludf.DUMMYFUNCTION("""COMPUTED_VALUE"""),"K0K 2X0")</f>
        <v>K0K 2X0</v>
      </c>
      <c r="E10175" s="3"/>
      <c r="F10175" s="3"/>
      <c r="G10175" s="3"/>
      <c r="H10175" s="3"/>
    </row>
    <row r="10176">
      <c r="A10176" s="2">
        <f>IFERROR(__xludf.DUMMYFUNCTION("""COMPUTED_VALUE"""),51015.0)</f>
        <v>51015</v>
      </c>
      <c r="B10176" s="3" t="str">
        <f>IFERROR(__xludf.DUMMYFUNCTION("""COMPUTED_VALUE"""),"30 EDGEWATER DR")</f>
        <v>30 EDGEWATER DR</v>
      </c>
      <c r="C10176" s="3" t="str">
        <f>IFERROR(__xludf.DUMMYFUNCTION("""COMPUTED_VALUE"""),"ROSENEATH ")</f>
        <v>ROSENEATH </v>
      </c>
      <c r="D10176" s="3" t="str">
        <f>IFERROR(__xludf.DUMMYFUNCTION("""COMPUTED_VALUE"""),"K0K 2X0")</f>
        <v>K0K 2X0</v>
      </c>
      <c r="E10176" s="3"/>
      <c r="F10176" s="3"/>
      <c r="G10176" s="3"/>
      <c r="H10176" s="3"/>
    </row>
    <row r="10177">
      <c r="A10177" s="2">
        <f>IFERROR(__xludf.DUMMYFUNCTION("""COMPUTED_VALUE"""),51016.0)</f>
        <v>51016</v>
      </c>
      <c r="B10177" s="3" t="str">
        <f>IFERROR(__xludf.DUMMYFUNCTION("""COMPUTED_VALUE"""),"35 EDGEWATER DR")</f>
        <v>35 EDGEWATER DR</v>
      </c>
      <c r="C10177" s="3" t="str">
        <f>IFERROR(__xludf.DUMMYFUNCTION("""COMPUTED_VALUE"""),"ROSENEATH ")</f>
        <v>ROSENEATH </v>
      </c>
      <c r="D10177" s="3" t="str">
        <f>IFERROR(__xludf.DUMMYFUNCTION("""COMPUTED_VALUE"""),"K0K 2X0")</f>
        <v>K0K 2X0</v>
      </c>
      <c r="E10177" s="3" t="str">
        <f>IFERROR(__xludf.DUMMYFUNCTION("""COMPUTED_VALUE"""),"Paul Steel")</f>
        <v>Paul Steel</v>
      </c>
      <c r="F10177" s="3" t="str">
        <f>IFERROR(__xludf.DUMMYFUNCTION("""COMPUTED_VALUE"""),"paulsteel2@gmail.com")</f>
        <v>paulsteel2@gmail.com</v>
      </c>
      <c r="G10177" s="3"/>
      <c r="H10177" s="3"/>
    </row>
    <row r="10178">
      <c r="A10178" s="2">
        <f>IFERROR(__xludf.DUMMYFUNCTION("""COMPUTED_VALUE"""),51017.0)</f>
        <v>51017</v>
      </c>
      <c r="B10178" s="3" t="str">
        <f>IFERROR(__xludf.DUMMYFUNCTION("""COMPUTED_VALUE"""),"42 EDGEWATER DR")</f>
        <v>42 EDGEWATER DR</v>
      </c>
      <c r="C10178" s="3" t="str">
        <f>IFERROR(__xludf.DUMMYFUNCTION("""COMPUTED_VALUE"""),"ROSENEATH ")</f>
        <v>ROSENEATH </v>
      </c>
      <c r="D10178" s="3" t="str">
        <f>IFERROR(__xludf.DUMMYFUNCTION("""COMPUTED_VALUE"""),"K0K 2X0")</f>
        <v>K0K 2X0</v>
      </c>
      <c r="E10178" s="3"/>
      <c r="F10178" s="3"/>
      <c r="G10178" s="3"/>
      <c r="H10178" s="3"/>
    </row>
    <row r="10179">
      <c r="A10179" s="2">
        <f>IFERROR(__xludf.DUMMYFUNCTION("""COMPUTED_VALUE"""),51018.0)</f>
        <v>51018</v>
      </c>
      <c r="B10179" s="3" t="str">
        <f>IFERROR(__xludf.DUMMYFUNCTION("""COMPUTED_VALUE"""),"46 EDGEWATER DR")</f>
        <v>46 EDGEWATER DR</v>
      </c>
      <c r="C10179" s="3" t="str">
        <f>IFERROR(__xludf.DUMMYFUNCTION("""COMPUTED_VALUE"""),"ROSENEATH ")</f>
        <v>ROSENEATH </v>
      </c>
      <c r="D10179" s="3" t="str">
        <f>IFERROR(__xludf.DUMMYFUNCTION("""COMPUTED_VALUE"""),"K0K 2X0")</f>
        <v>K0K 2X0</v>
      </c>
      <c r="E10179" s="3"/>
      <c r="F10179" s="3"/>
      <c r="G10179" s="3"/>
      <c r="H10179" s="3"/>
    </row>
    <row r="10180">
      <c r="A10180" s="2">
        <f>IFERROR(__xludf.DUMMYFUNCTION("""COMPUTED_VALUE"""),51019.0)</f>
        <v>51019</v>
      </c>
      <c r="B10180" s="3" t="str">
        <f>IFERROR(__xludf.DUMMYFUNCTION("""COMPUTED_VALUE"""),"49 EDGEWATER DR")</f>
        <v>49 EDGEWATER DR</v>
      </c>
      <c r="C10180" s="3" t="str">
        <f>IFERROR(__xludf.DUMMYFUNCTION("""COMPUTED_VALUE"""),"ROSENEATH ")</f>
        <v>ROSENEATH </v>
      </c>
      <c r="D10180" s="3" t="str">
        <f>IFERROR(__xludf.DUMMYFUNCTION("""COMPUTED_VALUE"""),"K0K 2X0")</f>
        <v>K0K 2X0</v>
      </c>
      <c r="E10180" s="3"/>
      <c r="F10180" s="3"/>
      <c r="G10180" s="3"/>
      <c r="H10180" s="3"/>
    </row>
    <row r="10181">
      <c r="A10181" s="2">
        <f>IFERROR(__xludf.DUMMYFUNCTION("""COMPUTED_VALUE"""),51020.0)</f>
        <v>51020</v>
      </c>
      <c r="B10181" s="3" t="str">
        <f>IFERROR(__xludf.DUMMYFUNCTION("""COMPUTED_VALUE"""),"52 EDGEWATER DR")</f>
        <v>52 EDGEWATER DR</v>
      </c>
      <c r="C10181" s="3" t="str">
        <f>IFERROR(__xludf.DUMMYFUNCTION("""COMPUTED_VALUE"""),"ROSENEATH ")</f>
        <v>ROSENEATH </v>
      </c>
      <c r="D10181" s="3" t="str">
        <f>IFERROR(__xludf.DUMMYFUNCTION("""COMPUTED_VALUE"""),"K0K 2X0")</f>
        <v>K0K 2X0</v>
      </c>
      <c r="E10181" s="3" t="str">
        <f>IFERROR(__xludf.DUMMYFUNCTION("""COMPUTED_VALUE"""),"Ross &amp; Vicky Smith")</f>
        <v>Ross &amp; Vicky Smith</v>
      </c>
      <c r="F10181" s="3" t="str">
        <f>IFERROR(__xludf.DUMMYFUNCTION("""COMPUTED_VALUE"""),"mtoppwd.63@gmail.com")</f>
        <v>mtoppwd.63@gmail.com</v>
      </c>
      <c r="G10181" s="3"/>
      <c r="H10181" s="3"/>
    </row>
    <row r="10182">
      <c r="A10182" s="2">
        <f>IFERROR(__xludf.DUMMYFUNCTION("""COMPUTED_VALUE"""),51021.0)</f>
        <v>51021</v>
      </c>
      <c r="B10182" s="3" t="str">
        <f>IFERROR(__xludf.DUMMYFUNCTION("""COMPUTED_VALUE"""),"53 EDGEWATER DR")</f>
        <v>53 EDGEWATER DR</v>
      </c>
      <c r="C10182" s="3" t="str">
        <f>IFERROR(__xludf.DUMMYFUNCTION("""COMPUTED_VALUE"""),"ROSENEATH ")</f>
        <v>ROSENEATH </v>
      </c>
      <c r="D10182" s="3" t="str">
        <f>IFERROR(__xludf.DUMMYFUNCTION("""COMPUTED_VALUE"""),"K0K 2X0")</f>
        <v>K0K 2X0</v>
      </c>
      <c r="E10182" s="3"/>
      <c r="F10182" s="3"/>
      <c r="G10182" s="3"/>
      <c r="H10182" s="3"/>
    </row>
    <row r="10183">
      <c r="A10183" s="2">
        <f>IFERROR(__xludf.DUMMYFUNCTION("""COMPUTED_VALUE"""),51022.0)</f>
        <v>51022</v>
      </c>
      <c r="B10183" s="3" t="str">
        <f>IFERROR(__xludf.DUMMYFUNCTION("""COMPUTED_VALUE"""),"54 EDGEWATER DR")</f>
        <v>54 EDGEWATER DR</v>
      </c>
      <c r="C10183" s="3" t="str">
        <f>IFERROR(__xludf.DUMMYFUNCTION("""COMPUTED_VALUE"""),"ROSENEATH ")</f>
        <v>ROSENEATH </v>
      </c>
      <c r="D10183" s="3" t="str">
        <f>IFERROR(__xludf.DUMMYFUNCTION("""COMPUTED_VALUE"""),"K0K 2X0")</f>
        <v>K0K 2X0</v>
      </c>
      <c r="E10183" s="3"/>
      <c r="F10183" s="3"/>
      <c r="G10183" s="3"/>
      <c r="H10183" s="3"/>
    </row>
    <row r="10184">
      <c r="A10184" s="2">
        <f>IFERROR(__xludf.DUMMYFUNCTION("""COMPUTED_VALUE"""),51023.0)</f>
        <v>51023</v>
      </c>
      <c r="B10184" s="3" t="str">
        <f>IFERROR(__xludf.DUMMYFUNCTION("""COMPUTED_VALUE"""),"59 EDGEWATER DR")</f>
        <v>59 EDGEWATER DR</v>
      </c>
      <c r="C10184" s="3" t="str">
        <f>IFERROR(__xludf.DUMMYFUNCTION("""COMPUTED_VALUE"""),"ROSENEATH ")</f>
        <v>ROSENEATH </v>
      </c>
      <c r="D10184" s="3" t="str">
        <f>IFERROR(__xludf.DUMMYFUNCTION("""COMPUTED_VALUE"""),"K0K 2X0")</f>
        <v>K0K 2X0</v>
      </c>
      <c r="E10184" s="3"/>
      <c r="F10184" s="3"/>
      <c r="G10184" s="3"/>
      <c r="H10184" s="3"/>
    </row>
    <row r="10185">
      <c r="A10185" s="2">
        <f>IFERROR(__xludf.DUMMYFUNCTION("""COMPUTED_VALUE"""),51024.0)</f>
        <v>51024</v>
      </c>
      <c r="B10185" s="3" t="str">
        <f>IFERROR(__xludf.DUMMYFUNCTION("""COMPUTED_VALUE"""),"63 EDGEWATER DR")</f>
        <v>63 EDGEWATER DR</v>
      </c>
      <c r="C10185" s="3" t="str">
        <f>IFERROR(__xludf.DUMMYFUNCTION("""COMPUTED_VALUE"""),"ROSENEATH ")</f>
        <v>ROSENEATH </v>
      </c>
      <c r="D10185" s="3" t="str">
        <f>IFERROR(__xludf.DUMMYFUNCTION("""COMPUTED_VALUE"""),"K0K 2X0")</f>
        <v>K0K 2X0</v>
      </c>
      <c r="E10185" s="3"/>
      <c r="F10185" s="3"/>
      <c r="G10185" s="3"/>
      <c r="H10185" s="3"/>
    </row>
    <row r="10186">
      <c r="A10186" s="2">
        <f>IFERROR(__xludf.DUMMYFUNCTION("""COMPUTED_VALUE"""),51025.0)</f>
        <v>51025</v>
      </c>
      <c r="B10186" s="3" t="str">
        <f>IFERROR(__xludf.DUMMYFUNCTION("""COMPUTED_VALUE"""),"69 EDGEWATER DR")</f>
        <v>69 EDGEWATER DR</v>
      </c>
      <c r="C10186" s="3" t="str">
        <f>IFERROR(__xludf.DUMMYFUNCTION("""COMPUTED_VALUE"""),"ROSENEATH ")</f>
        <v>ROSENEATH </v>
      </c>
      <c r="D10186" s="3" t="str">
        <f>IFERROR(__xludf.DUMMYFUNCTION("""COMPUTED_VALUE"""),"K0K 2X0")</f>
        <v>K0K 2X0</v>
      </c>
      <c r="E10186" s="3" t="str">
        <f>IFERROR(__xludf.DUMMYFUNCTION("""COMPUTED_VALUE"""),"Anthony Virag &amp; Margaret Weissenfels")</f>
        <v>Anthony Virag &amp; Margaret Weissenfels</v>
      </c>
      <c r="F10186" s="3" t="str">
        <f>IFERROR(__xludf.DUMMYFUNCTION("""COMPUTED_VALUE"""),"margaretweissen@gmail.com")</f>
        <v>margaretweissen@gmail.com</v>
      </c>
      <c r="G10186" s="3">
        <f>IFERROR(__xludf.DUMMYFUNCTION("""COMPUTED_VALUE"""),4.167160743E9)</f>
        <v>4167160743</v>
      </c>
      <c r="H10186" s="3">
        <f>IFERROR(__xludf.DUMMYFUNCTION("""COMPUTED_VALUE"""),4.169318427E9)</f>
        <v>4169318427</v>
      </c>
    </row>
    <row r="10187">
      <c r="A10187" s="2">
        <f>IFERROR(__xludf.DUMMYFUNCTION("""COMPUTED_VALUE"""),51026.0)</f>
        <v>51026</v>
      </c>
      <c r="B10187" s="3" t="str">
        <f>IFERROR(__xludf.DUMMYFUNCTION("""COMPUTED_VALUE"""),"75 EDGEWATER DR")</f>
        <v>75 EDGEWATER DR</v>
      </c>
      <c r="C10187" s="3" t="str">
        <f>IFERROR(__xludf.DUMMYFUNCTION("""COMPUTED_VALUE"""),"ROSENEATH ")</f>
        <v>ROSENEATH </v>
      </c>
      <c r="D10187" s="3" t="str">
        <f>IFERROR(__xludf.DUMMYFUNCTION("""COMPUTED_VALUE"""),"K0K 2X0")</f>
        <v>K0K 2X0</v>
      </c>
      <c r="E10187" s="3" t="str">
        <f>IFERROR(__xludf.DUMMYFUNCTION("""COMPUTED_VALUE"""),"Jeff Wyatt")</f>
        <v>Jeff Wyatt</v>
      </c>
      <c r="F10187" s="3" t="str">
        <f>IFERROR(__xludf.DUMMYFUNCTION("""COMPUTED_VALUE"""),"jeff.wyatt616@gmail.com")</f>
        <v>jeff.wyatt616@gmail.com</v>
      </c>
      <c r="G10187" s="3"/>
      <c r="H10187" s="3"/>
    </row>
    <row r="10188">
      <c r="A10188" s="2">
        <f>IFERROR(__xludf.DUMMYFUNCTION("""COMPUTED_VALUE"""),51028.0)</f>
        <v>51028</v>
      </c>
      <c r="B10188" s="3" t="str">
        <f>IFERROR(__xludf.DUMMYFUNCTION("""COMPUTED_VALUE"""),"112 ELDER RD")</f>
        <v>112 ELDER RD</v>
      </c>
      <c r="C10188" s="3" t="str">
        <f>IFERROR(__xludf.DUMMYFUNCTION("""COMPUTED_VALUE"""),"ROSENEATH ")</f>
        <v>ROSENEATH </v>
      </c>
      <c r="D10188" s="3" t="str">
        <f>IFERROR(__xludf.DUMMYFUNCTION("""COMPUTED_VALUE"""),"K0K 2X0")</f>
        <v>K0K 2X0</v>
      </c>
      <c r="E10188" s="3"/>
      <c r="F10188" s="3"/>
      <c r="G10188" s="3"/>
      <c r="H10188" s="3"/>
    </row>
    <row r="10189">
      <c r="A10189" s="2">
        <f>IFERROR(__xludf.DUMMYFUNCTION("""COMPUTED_VALUE"""),51029.0)</f>
        <v>51029</v>
      </c>
      <c r="B10189" s="3" t="str">
        <f>IFERROR(__xludf.DUMMYFUNCTION("""COMPUTED_VALUE"""),"124 ELDER RD")</f>
        <v>124 ELDER RD</v>
      </c>
      <c r="C10189" s="3" t="str">
        <f>IFERROR(__xludf.DUMMYFUNCTION("""COMPUTED_VALUE"""),"ROSENEATH ")</f>
        <v>ROSENEATH </v>
      </c>
      <c r="D10189" s="3" t="str">
        <f>IFERROR(__xludf.DUMMYFUNCTION("""COMPUTED_VALUE"""),"K0K 2X0")</f>
        <v>K0K 2X0</v>
      </c>
      <c r="E10189" s="3"/>
      <c r="F10189" s="3"/>
      <c r="G10189" s="3"/>
      <c r="H10189" s="3"/>
    </row>
    <row r="10190">
      <c r="A10190" s="2">
        <f>IFERROR(__xludf.DUMMYFUNCTION("""COMPUTED_VALUE"""),51030.0)</f>
        <v>51030</v>
      </c>
      <c r="B10190" s="3" t="str">
        <f>IFERROR(__xludf.DUMMYFUNCTION("""COMPUTED_VALUE"""),"134 ELDER RD")</f>
        <v>134 ELDER RD</v>
      </c>
      <c r="C10190" s="3" t="str">
        <f>IFERROR(__xludf.DUMMYFUNCTION("""COMPUTED_VALUE"""),"ROSENEATH ")</f>
        <v>ROSENEATH </v>
      </c>
      <c r="D10190" s="3" t="str">
        <f>IFERROR(__xludf.DUMMYFUNCTION("""COMPUTED_VALUE"""),"K0K 2X0")</f>
        <v>K0K 2X0</v>
      </c>
      <c r="E10190" s="3" t="str">
        <f>IFERROR(__xludf.DUMMYFUNCTION("""COMPUTED_VALUE"""),"Wayne &amp; Barbara Linton")</f>
        <v>Wayne &amp; Barbara Linton</v>
      </c>
      <c r="F10190" s="3" t="str">
        <f>IFERROR(__xludf.DUMMYFUNCTION("""COMPUTED_VALUE"""),"wbl134@xplornet.com")</f>
        <v>wbl134@xplornet.com</v>
      </c>
      <c r="G10190" s="3"/>
      <c r="H10190" s="3"/>
    </row>
    <row r="10191">
      <c r="A10191" s="2">
        <f>IFERROR(__xludf.DUMMYFUNCTION("""COMPUTED_VALUE"""),51031.0)</f>
        <v>51031</v>
      </c>
      <c r="B10191" s="3" t="str">
        <f>IFERROR(__xludf.DUMMYFUNCTION("""COMPUTED_VALUE"""),"140 ELDER RD")</f>
        <v>140 ELDER RD</v>
      </c>
      <c r="C10191" s="3" t="str">
        <f>IFERROR(__xludf.DUMMYFUNCTION("""COMPUTED_VALUE"""),"ROSENEATH ")</f>
        <v>ROSENEATH </v>
      </c>
      <c r="D10191" s="3" t="str">
        <f>IFERROR(__xludf.DUMMYFUNCTION("""COMPUTED_VALUE"""),"K0K 2X0")</f>
        <v>K0K 2X0</v>
      </c>
      <c r="E10191" s="3" t="str">
        <f>IFERROR(__xludf.DUMMYFUNCTION("""COMPUTED_VALUE"""),"Anna TRUDEAU")</f>
        <v>Anna TRUDEAU</v>
      </c>
      <c r="F10191" s="3" t="str">
        <f>IFERROR(__xludf.DUMMYFUNCTION("""COMPUTED_VALUE"""),"trudeau_anna@yahoo.ca")</f>
        <v>trudeau_anna@yahoo.ca</v>
      </c>
      <c r="G10191" s="3"/>
      <c r="H10191" s="3"/>
    </row>
    <row r="10192">
      <c r="A10192" s="2">
        <f>IFERROR(__xludf.DUMMYFUNCTION("""COMPUTED_VALUE"""),51032.0)</f>
        <v>51032</v>
      </c>
      <c r="B10192" s="3" t="str">
        <f>IFERROR(__xludf.DUMMYFUNCTION("""COMPUTED_VALUE"""),"148 ELDER RD")</f>
        <v>148 ELDER RD</v>
      </c>
      <c r="C10192" s="3" t="str">
        <f>IFERROR(__xludf.DUMMYFUNCTION("""COMPUTED_VALUE"""),"ROSENEATH ")</f>
        <v>ROSENEATH </v>
      </c>
      <c r="D10192" s="3" t="str">
        <f>IFERROR(__xludf.DUMMYFUNCTION("""COMPUTED_VALUE"""),"K0K 2X0")</f>
        <v>K0K 2X0</v>
      </c>
      <c r="E10192" s="3" t="str">
        <f>IFERROR(__xludf.DUMMYFUNCTION("""COMPUTED_VALUE"""),"Carmel Mercier")</f>
        <v>Carmel Mercier</v>
      </c>
      <c r="F10192" s="3" t="str">
        <f>IFERROR(__xludf.DUMMYFUNCTION("""COMPUTED_VALUE"""),"&lt;No email provided&gt;")</f>
        <v>&lt;No email provided&gt;</v>
      </c>
      <c r="G10192" s="3">
        <f>IFERROR(__xludf.DUMMYFUNCTION("""COMPUTED_VALUE"""),9.053522518E9)</f>
        <v>9053522518</v>
      </c>
      <c r="H10192" s="3"/>
    </row>
    <row r="10193">
      <c r="A10193" s="2">
        <f>IFERROR(__xludf.DUMMYFUNCTION("""COMPUTED_VALUE"""),51033.0)</f>
        <v>51033</v>
      </c>
      <c r="B10193" s="3" t="str">
        <f>IFERROR(__xludf.DUMMYFUNCTION("""COMPUTED_VALUE"""),"152 ELDER RD")</f>
        <v>152 ELDER RD</v>
      </c>
      <c r="C10193" s="3" t="str">
        <f>IFERROR(__xludf.DUMMYFUNCTION("""COMPUTED_VALUE"""),"ROSENEATH ")</f>
        <v>ROSENEATH </v>
      </c>
      <c r="D10193" s="3" t="str">
        <f>IFERROR(__xludf.DUMMYFUNCTION("""COMPUTED_VALUE"""),"K0K 2X0")</f>
        <v>K0K 2X0</v>
      </c>
      <c r="E10193" s="3"/>
      <c r="F10193" s="3"/>
      <c r="G10193" s="3"/>
      <c r="H10193" s="3"/>
    </row>
    <row r="10194">
      <c r="A10194" s="2">
        <f>IFERROR(__xludf.DUMMYFUNCTION("""COMPUTED_VALUE"""),51034.0)</f>
        <v>51034</v>
      </c>
      <c r="B10194" s="3" t="str">
        <f>IFERROR(__xludf.DUMMYFUNCTION("""COMPUTED_VALUE"""),"163 ELDER RD")</f>
        <v>163 ELDER RD</v>
      </c>
      <c r="C10194" s="3" t="str">
        <f>IFERROR(__xludf.DUMMYFUNCTION("""COMPUTED_VALUE"""),"ROSENEATH ")</f>
        <v>ROSENEATH </v>
      </c>
      <c r="D10194" s="3" t="str">
        <f>IFERROR(__xludf.DUMMYFUNCTION("""COMPUTED_VALUE"""),"K0K 2X0")</f>
        <v>K0K 2X0</v>
      </c>
      <c r="E10194" s="3"/>
      <c r="F10194" s="3"/>
      <c r="G10194" s="3"/>
      <c r="H10194" s="3"/>
    </row>
    <row r="10195">
      <c r="A10195" s="2">
        <f>IFERROR(__xludf.DUMMYFUNCTION("""COMPUTED_VALUE"""),51035.0)</f>
        <v>51035</v>
      </c>
      <c r="B10195" s="3" t="str">
        <f>IFERROR(__xludf.DUMMYFUNCTION("""COMPUTED_VALUE"""),"168 ELDER RD")</f>
        <v>168 ELDER RD</v>
      </c>
      <c r="C10195" s="3" t="str">
        <f>IFERROR(__xludf.DUMMYFUNCTION("""COMPUTED_VALUE"""),"ROSENEATH ")</f>
        <v>ROSENEATH </v>
      </c>
      <c r="D10195" s="3" t="str">
        <f>IFERROR(__xludf.DUMMYFUNCTION("""COMPUTED_VALUE"""),"K0K 2X0")</f>
        <v>K0K 2X0</v>
      </c>
      <c r="E10195" s="3"/>
      <c r="F10195" s="3"/>
      <c r="G10195" s="3"/>
      <c r="H10195" s="3"/>
    </row>
    <row r="10196">
      <c r="A10196" s="2">
        <f>IFERROR(__xludf.DUMMYFUNCTION("""COMPUTED_VALUE"""),51036.0)</f>
        <v>51036</v>
      </c>
      <c r="B10196" s="3" t="str">
        <f>IFERROR(__xludf.DUMMYFUNCTION("""COMPUTED_VALUE"""),"169 ELDER RD")</f>
        <v>169 ELDER RD</v>
      </c>
      <c r="C10196" s="3" t="str">
        <f>IFERROR(__xludf.DUMMYFUNCTION("""COMPUTED_VALUE"""),"ROSENEATH ")</f>
        <v>ROSENEATH </v>
      </c>
      <c r="D10196" s="3" t="str">
        <f>IFERROR(__xludf.DUMMYFUNCTION("""COMPUTED_VALUE"""),"K0K 2X0")</f>
        <v>K0K 2X0</v>
      </c>
      <c r="E10196" s="3" t="str">
        <f>IFERROR(__xludf.DUMMYFUNCTION("""COMPUTED_VALUE"""),"Naomi DiRago/Rocco DiRago")</f>
        <v>Naomi DiRago/Rocco DiRago</v>
      </c>
      <c r="F10196" s="3" t="str">
        <f>IFERROR(__xludf.DUMMYFUNCTION("""COMPUTED_VALUE"""),"rocco.dirago@outlook.com")</f>
        <v>rocco.dirago@outlook.com</v>
      </c>
      <c r="G10196" s="3">
        <f>IFERROR(__xludf.DUMMYFUNCTION("""COMPUTED_VALUE"""),9.053765996E9)</f>
        <v>9053765996</v>
      </c>
      <c r="H10196" s="3">
        <f>IFERROR(__xludf.DUMMYFUNCTION("""COMPUTED_VALUE"""),9.053754712E9)</f>
        <v>9053754712</v>
      </c>
    </row>
    <row r="10197">
      <c r="A10197" s="2">
        <f>IFERROR(__xludf.DUMMYFUNCTION("""COMPUTED_VALUE"""),51037.0)</f>
        <v>51037</v>
      </c>
      <c r="B10197" s="3" t="str">
        <f>IFERROR(__xludf.DUMMYFUNCTION("""COMPUTED_VALUE"""),"183 ELDER RD")</f>
        <v>183 ELDER RD</v>
      </c>
      <c r="C10197" s="3" t="str">
        <f>IFERROR(__xludf.DUMMYFUNCTION("""COMPUTED_VALUE"""),"ROSENEATH ")</f>
        <v>ROSENEATH </v>
      </c>
      <c r="D10197" s="3" t="str">
        <f>IFERROR(__xludf.DUMMYFUNCTION("""COMPUTED_VALUE"""),"K0K 2X0")</f>
        <v>K0K 2X0</v>
      </c>
      <c r="E10197" s="3" t="str">
        <f>IFERROR(__xludf.DUMMYFUNCTION("""COMPUTED_VALUE"""),"Andy Mao")</f>
        <v>Andy Mao</v>
      </c>
      <c r="F10197" s="3" t="str">
        <f>IFERROR(__xludf.DUMMYFUNCTION("""COMPUTED_VALUE"""),"andypm135@gmail.com")</f>
        <v>andypm135@gmail.com</v>
      </c>
      <c r="G10197" s="3">
        <f>IFERROR(__xludf.DUMMYFUNCTION("""COMPUTED_VALUE"""),2.893560089E9)</f>
        <v>2893560089</v>
      </c>
      <c r="H10197" s="3">
        <f>IFERROR(__xludf.DUMMYFUNCTION("""COMPUTED_VALUE"""),2.899964647E9)</f>
        <v>2899964647</v>
      </c>
    </row>
    <row r="10198">
      <c r="A10198" s="2">
        <f>IFERROR(__xludf.DUMMYFUNCTION("""COMPUTED_VALUE"""),51038.0)</f>
        <v>51038</v>
      </c>
      <c r="B10198" s="3" t="str">
        <f>IFERROR(__xludf.DUMMYFUNCTION("""COMPUTED_VALUE"""),"191 ELDER RD")</f>
        <v>191 ELDER RD</v>
      </c>
      <c r="C10198" s="3" t="str">
        <f>IFERROR(__xludf.DUMMYFUNCTION("""COMPUTED_VALUE"""),"ROSENEATH ")</f>
        <v>ROSENEATH </v>
      </c>
      <c r="D10198" s="3" t="str">
        <f>IFERROR(__xludf.DUMMYFUNCTION("""COMPUTED_VALUE"""),"K0K 2X0")</f>
        <v>K0K 2X0</v>
      </c>
      <c r="E10198" s="3"/>
      <c r="F10198" s="3"/>
      <c r="G10198" s="3"/>
      <c r="H10198" s="3"/>
    </row>
    <row r="10199">
      <c r="A10199" s="2">
        <f>IFERROR(__xludf.DUMMYFUNCTION("""COMPUTED_VALUE"""),51039.0)</f>
        <v>51039</v>
      </c>
      <c r="B10199" s="3" t="str">
        <f>IFERROR(__xludf.DUMMYFUNCTION("""COMPUTED_VALUE"""),"194 ELDER RD")</f>
        <v>194 ELDER RD</v>
      </c>
      <c r="C10199" s="3" t="str">
        <f>IFERROR(__xludf.DUMMYFUNCTION("""COMPUTED_VALUE"""),"ROSENEATH ")</f>
        <v>ROSENEATH </v>
      </c>
      <c r="D10199" s="3" t="str">
        <f>IFERROR(__xludf.DUMMYFUNCTION("""COMPUTED_VALUE"""),"K0K 2X0")</f>
        <v>K0K 2X0</v>
      </c>
      <c r="E10199" s="3" t="str">
        <f>IFERROR(__xludf.DUMMYFUNCTION("""COMPUTED_VALUE"""),"Suzanne &amp; George Alexander")</f>
        <v>Suzanne &amp; George Alexander</v>
      </c>
      <c r="F10199" s="3" t="str">
        <f>IFERROR(__xludf.DUMMYFUNCTION("""COMPUTED_VALUE"""),"gsalexander1@live.ca")</f>
        <v>gsalexander1@live.ca</v>
      </c>
      <c r="G10199" s="3">
        <f>IFERROR(__xludf.DUMMYFUNCTION("""COMPUTED_VALUE"""),9.05260258E9)</f>
        <v>9052602580</v>
      </c>
      <c r="H10199" s="3">
        <f>IFERROR(__xludf.DUMMYFUNCTION("""COMPUTED_VALUE"""),9.052600494E9)</f>
        <v>9052600494</v>
      </c>
    </row>
    <row r="10200">
      <c r="A10200" s="2">
        <f>IFERROR(__xludf.DUMMYFUNCTION("""COMPUTED_VALUE"""),51040.0)</f>
        <v>51040</v>
      </c>
      <c r="B10200" s="3" t="str">
        <f>IFERROR(__xludf.DUMMYFUNCTION("""COMPUTED_VALUE"""),"197 ELDER RD")</f>
        <v>197 ELDER RD</v>
      </c>
      <c r="C10200" s="3" t="str">
        <f>IFERROR(__xludf.DUMMYFUNCTION("""COMPUTED_VALUE"""),"ROSENEATH ")</f>
        <v>ROSENEATH </v>
      </c>
      <c r="D10200" s="3" t="str">
        <f>IFERROR(__xludf.DUMMYFUNCTION("""COMPUTED_VALUE"""),"K0K 2X0")</f>
        <v>K0K 2X0</v>
      </c>
      <c r="E10200" s="3" t="str">
        <f>IFERROR(__xludf.DUMMYFUNCTION("""COMPUTED_VALUE"""),"Heiko Bartels")</f>
        <v>Heiko Bartels</v>
      </c>
      <c r="F10200" s="3" t="str">
        <f>IFERROR(__xludf.DUMMYFUNCTION("""COMPUTED_VALUE"""),"elbee17@gmail.com")</f>
        <v>elbee17@gmail.com</v>
      </c>
      <c r="G10200" s="3">
        <f>IFERROR(__xludf.DUMMYFUNCTION("""COMPUTED_VALUE"""),9.0526994E9)</f>
        <v>9052699400</v>
      </c>
      <c r="H10200" s="3">
        <f>IFERROR(__xludf.DUMMYFUNCTION("""COMPUTED_VALUE"""),9.052693435E9)</f>
        <v>9052693435</v>
      </c>
    </row>
    <row r="10201">
      <c r="A10201" s="2">
        <f>IFERROR(__xludf.DUMMYFUNCTION("""COMPUTED_VALUE"""),51041.0)</f>
        <v>51041</v>
      </c>
      <c r="B10201" s="3" t="str">
        <f>IFERROR(__xludf.DUMMYFUNCTION("""COMPUTED_VALUE"""),"205 ELDER RD")</f>
        <v>205 ELDER RD</v>
      </c>
      <c r="C10201" s="3" t="str">
        <f>IFERROR(__xludf.DUMMYFUNCTION("""COMPUTED_VALUE"""),"ROSENEATH ")</f>
        <v>ROSENEATH </v>
      </c>
      <c r="D10201" s="3" t="str">
        <f>IFERROR(__xludf.DUMMYFUNCTION("""COMPUTED_VALUE"""),"K0K 2X0")</f>
        <v>K0K 2X0</v>
      </c>
      <c r="E10201" s="3" t="str">
        <f>IFERROR(__xludf.DUMMYFUNCTION("""COMPUTED_VALUE"""),"Nancy Blezard")</f>
        <v>Nancy Blezard</v>
      </c>
      <c r="F10201" s="3" t="str">
        <f>IFERROR(__xludf.DUMMYFUNCTION("""COMPUTED_VALUE"""),"Nancyblezard@hotmail.com")</f>
        <v>Nancyblezard@hotmail.com</v>
      </c>
      <c r="G10201" s="3">
        <f>IFERROR(__xludf.DUMMYFUNCTION("""COMPUTED_VALUE"""),2.892158868E9)</f>
        <v>2892158868</v>
      </c>
      <c r="H10201" s="3">
        <f>IFERROR(__xludf.DUMMYFUNCTION("""COMPUTED_VALUE"""),9.053773337E9)</f>
        <v>9053773337</v>
      </c>
    </row>
    <row r="10202">
      <c r="A10202" s="2">
        <f>IFERROR(__xludf.DUMMYFUNCTION("""COMPUTED_VALUE"""),51042.0)</f>
        <v>51042</v>
      </c>
      <c r="B10202" s="3" t="str">
        <f>IFERROR(__xludf.DUMMYFUNCTION("""COMPUTED_VALUE"""),"236 ELDER RD")</f>
        <v>236 ELDER RD</v>
      </c>
      <c r="C10202" s="3" t="str">
        <f>IFERROR(__xludf.DUMMYFUNCTION("""COMPUTED_VALUE"""),"ROSENEATH ")</f>
        <v>ROSENEATH </v>
      </c>
      <c r="D10202" s="3" t="str">
        <f>IFERROR(__xludf.DUMMYFUNCTION("""COMPUTED_VALUE"""),"K0K 2X0")</f>
        <v>K0K 2X0</v>
      </c>
      <c r="E10202" s="3" t="str">
        <f>IFERROR(__xludf.DUMMYFUNCTION("""COMPUTED_VALUE"""),"Dominique Paterson")</f>
        <v>Dominique Paterson</v>
      </c>
      <c r="F10202" s="3" t="str">
        <f>IFERROR(__xludf.DUMMYFUNCTION("""COMPUTED_VALUE"""),"dominique.paterson@hotmail.com")</f>
        <v>dominique.paterson@hotmail.com</v>
      </c>
      <c r="G10202" s="3">
        <f>IFERROR(__xludf.DUMMYFUNCTION("""COMPUTED_VALUE"""),9.054046499E9)</f>
        <v>9054046499</v>
      </c>
      <c r="H10202" s="3"/>
    </row>
    <row r="10203">
      <c r="A10203" s="2">
        <f>IFERROR(__xludf.DUMMYFUNCTION("""COMPUTED_VALUE"""),51043.0)</f>
        <v>51043</v>
      </c>
      <c r="B10203" s="3" t="str">
        <f>IFERROR(__xludf.DUMMYFUNCTION("""COMPUTED_VALUE"""),"240 ELDER RD")</f>
        <v>240 ELDER RD</v>
      </c>
      <c r="C10203" s="3" t="str">
        <f>IFERROR(__xludf.DUMMYFUNCTION("""COMPUTED_VALUE"""),"ROSENEATH ")</f>
        <v>ROSENEATH </v>
      </c>
      <c r="D10203" s="3" t="str">
        <f>IFERROR(__xludf.DUMMYFUNCTION("""COMPUTED_VALUE"""),"K0K 2X0")</f>
        <v>K0K 2X0</v>
      </c>
      <c r="E10203" s="3" t="str">
        <f>IFERROR(__xludf.DUMMYFUNCTION("""COMPUTED_VALUE"""),"Allan Luke")</f>
        <v>Allan Luke</v>
      </c>
      <c r="F10203" s="3" t="str">
        <f>IFERROR(__xludf.DUMMYFUNCTION("""COMPUTED_VALUE"""),"Luke_al@yahoo.ca")</f>
        <v>Luke_al@yahoo.ca</v>
      </c>
      <c r="G10203" s="3"/>
      <c r="H10203" s="3"/>
    </row>
    <row r="10204">
      <c r="A10204" s="2">
        <f>IFERROR(__xludf.DUMMYFUNCTION("""COMPUTED_VALUE"""),51044.0)</f>
        <v>51044</v>
      </c>
      <c r="B10204" s="3" t="str">
        <f>IFERROR(__xludf.DUMMYFUNCTION("""COMPUTED_VALUE"""),"250 ELDER RD")</f>
        <v>250 ELDER RD</v>
      </c>
      <c r="C10204" s="3" t="str">
        <f>IFERROR(__xludf.DUMMYFUNCTION("""COMPUTED_VALUE"""),"ROSENEATH ")</f>
        <v>ROSENEATH </v>
      </c>
      <c r="D10204" s="3" t="str">
        <f>IFERROR(__xludf.DUMMYFUNCTION("""COMPUTED_VALUE"""),"K0K 2X0")</f>
        <v>K0K 2X0</v>
      </c>
      <c r="E10204" s="3" t="str">
        <f>IFERROR(__xludf.DUMMYFUNCTION("""COMPUTED_VALUE"""),"Kevin Smith")</f>
        <v>Kevin Smith</v>
      </c>
      <c r="F10204" s="3" t="str">
        <f>IFERROR(__xludf.DUMMYFUNCTION("""COMPUTED_VALUE"""),"ksmithy18@gmail.com")</f>
        <v>ksmithy18@gmail.com</v>
      </c>
      <c r="G10204" s="3">
        <f>IFERROR(__xludf.DUMMYFUNCTION("""COMPUTED_VALUE"""),9.053963198E9)</f>
        <v>9053963198</v>
      </c>
      <c r="H10204" s="3"/>
    </row>
    <row r="10205">
      <c r="A10205" s="2">
        <f>IFERROR(__xludf.DUMMYFUNCTION("""COMPUTED_VALUE"""),51045.0)</f>
        <v>51045</v>
      </c>
      <c r="B10205" s="3" t="str">
        <f>IFERROR(__xludf.DUMMYFUNCTION("""COMPUTED_VALUE"""),"258 ELDER RD")</f>
        <v>258 ELDER RD</v>
      </c>
      <c r="C10205" s="3" t="str">
        <f>IFERROR(__xludf.DUMMYFUNCTION("""COMPUTED_VALUE"""),"ROSENEATH ")</f>
        <v>ROSENEATH </v>
      </c>
      <c r="D10205" s="3" t="str">
        <f>IFERROR(__xludf.DUMMYFUNCTION("""COMPUTED_VALUE"""),"K0K 2X0")</f>
        <v>K0K 2X0</v>
      </c>
      <c r="E10205" s="3"/>
      <c r="F10205" s="3"/>
      <c r="G10205" s="3"/>
      <c r="H10205" s="3"/>
    </row>
    <row r="10206">
      <c r="A10206" s="2">
        <f>IFERROR(__xludf.DUMMYFUNCTION("""COMPUTED_VALUE"""),51046.0)</f>
        <v>51046</v>
      </c>
      <c r="B10206" s="3" t="str">
        <f>IFERROR(__xludf.DUMMYFUNCTION("""COMPUTED_VALUE"""),"259 ELDER RD")</f>
        <v>259 ELDER RD</v>
      </c>
      <c r="C10206" s="3" t="str">
        <f>IFERROR(__xludf.DUMMYFUNCTION("""COMPUTED_VALUE"""),"ROSENEATH ")</f>
        <v>ROSENEATH </v>
      </c>
      <c r="D10206" s="3" t="str">
        <f>IFERROR(__xludf.DUMMYFUNCTION("""COMPUTED_VALUE"""),"K0K 2X0")</f>
        <v>K0K 2X0</v>
      </c>
      <c r="E10206" s="3" t="str">
        <f>IFERROR(__xludf.DUMMYFUNCTION("""COMPUTED_VALUE"""),"Gary Paul Setterington")</f>
        <v>Gary Paul Setterington</v>
      </c>
      <c r="F10206" s="3" t="str">
        <f>IFERROR(__xludf.DUMMYFUNCTION("""COMPUTED_VALUE"""),"garysett39@gmail.com")</f>
        <v>garysett39@gmail.com</v>
      </c>
      <c r="G10206" s="3"/>
      <c r="H10206" s="3"/>
    </row>
    <row r="10207">
      <c r="A10207" s="2">
        <f>IFERROR(__xludf.DUMMYFUNCTION("""COMPUTED_VALUE"""),51047.0)</f>
        <v>51047</v>
      </c>
      <c r="B10207" s="3" t="str">
        <f>IFERROR(__xludf.DUMMYFUNCTION("""COMPUTED_VALUE"""),"278 ELDER RD")</f>
        <v>278 ELDER RD</v>
      </c>
      <c r="C10207" s="3" t="str">
        <f>IFERROR(__xludf.DUMMYFUNCTION("""COMPUTED_VALUE"""),"ROSENEATH ")</f>
        <v>ROSENEATH </v>
      </c>
      <c r="D10207" s="3" t="str">
        <f>IFERROR(__xludf.DUMMYFUNCTION("""COMPUTED_VALUE"""),"K0K 2X0")</f>
        <v>K0K 2X0</v>
      </c>
      <c r="E10207" s="3"/>
      <c r="F10207" s="3"/>
      <c r="G10207" s="3"/>
      <c r="H10207" s="3"/>
    </row>
    <row r="10208">
      <c r="A10208" s="2">
        <f>IFERROR(__xludf.DUMMYFUNCTION("""COMPUTED_VALUE"""),51048.0)</f>
        <v>51048</v>
      </c>
      <c r="B10208" s="3" t="str">
        <f>IFERROR(__xludf.DUMMYFUNCTION("""COMPUTED_VALUE"""),"287 ELDER RD")</f>
        <v>287 ELDER RD</v>
      </c>
      <c r="C10208" s="3" t="str">
        <f>IFERROR(__xludf.DUMMYFUNCTION("""COMPUTED_VALUE"""),"ROSENEATH ")</f>
        <v>ROSENEATH </v>
      </c>
      <c r="D10208" s="3" t="str">
        <f>IFERROR(__xludf.DUMMYFUNCTION("""COMPUTED_VALUE"""),"K0K 2X0")</f>
        <v>K0K 2X0</v>
      </c>
      <c r="E10208" s="3"/>
      <c r="F10208" s="3"/>
      <c r="G10208" s="3"/>
      <c r="H10208" s="3"/>
    </row>
    <row r="10209">
      <c r="A10209" s="2">
        <f>IFERROR(__xludf.DUMMYFUNCTION("""COMPUTED_VALUE"""),51057.0)</f>
        <v>51057</v>
      </c>
      <c r="B10209" s="3" t="str">
        <f>IFERROR(__xludf.DUMMYFUNCTION("""COMPUTED_VALUE"""),"1 FOX POINT RD")</f>
        <v>1 FOX POINT RD</v>
      </c>
      <c r="C10209" s="3" t="str">
        <f>IFERROR(__xludf.DUMMYFUNCTION("""COMPUTED_VALUE"""),"ROSENEATH ")</f>
        <v>ROSENEATH </v>
      </c>
      <c r="D10209" s="3" t="str">
        <f>IFERROR(__xludf.DUMMYFUNCTION("""COMPUTED_VALUE"""),"K0K 2X0")</f>
        <v>K0K 2X0</v>
      </c>
      <c r="E10209" s="3" t="str">
        <f>IFERROR(__xludf.DUMMYFUNCTION("""COMPUTED_VALUE"""),"JOHN HUNTER (Rented) / KEVIN BINGLEY (Owner)")</f>
        <v>JOHN HUNTER (Rented) / KEVIN BINGLEY (Owner)</v>
      </c>
      <c r="F10209" s="3" t="str">
        <f>IFERROR(__xludf.DUMMYFUNCTION("""COMPUTED_VALUE"""),"weftwood@gmail.com (Rented) / kabingy@gmail.com (Owner)")</f>
        <v>weftwood@gmail.com (Rented) / kabingy@gmail.com (Owner)</v>
      </c>
      <c r="G10209" s="3"/>
      <c r="H10209" s="3"/>
    </row>
    <row r="10210">
      <c r="A10210" s="2">
        <f>IFERROR(__xludf.DUMMYFUNCTION("""COMPUTED_VALUE"""),51063.0)</f>
        <v>51063</v>
      </c>
      <c r="B10210" s="3" t="str">
        <f>IFERROR(__xludf.DUMMYFUNCTION("""COMPUTED_VALUE"""),"396 GLENRON RD")</f>
        <v>396 GLENRON RD</v>
      </c>
      <c r="C10210" s="3" t="str">
        <f>IFERROR(__xludf.DUMMYFUNCTION("""COMPUTED_VALUE"""),"ROSENEATH ")</f>
        <v>ROSENEATH </v>
      </c>
      <c r="D10210" s="3" t="str">
        <f>IFERROR(__xludf.DUMMYFUNCTION("""COMPUTED_VALUE"""),"K0K 2X0")</f>
        <v>K0K 2X0</v>
      </c>
      <c r="E10210" s="3"/>
      <c r="F10210" s="3"/>
      <c r="G10210" s="3"/>
      <c r="H10210" s="3"/>
    </row>
    <row r="10211">
      <c r="A10211" s="2">
        <f>IFERROR(__xludf.DUMMYFUNCTION("""COMPUTED_VALUE"""),51064.0)</f>
        <v>51064</v>
      </c>
      <c r="B10211" s="3" t="str">
        <f>IFERROR(__xludf.DUMMYFUNCTION("""COMPUTED_VALUE"""),"104 GRANDVIEW DR")</f>
        <v>104 GRANDVIEW DR</v>
      </c>
      <c r="C10211" s="3" t="str">
        <f>IFERROR(__xludf.DUMMYFUNCTION("""COMPUTED_VALUE"""),"ROSENEATH ")</f>
        <v>ROSENEATH </v>
      </c>
      <c r="D10211" s="3" t="str">
        <f>IFERROR(__xludf.DUMMYFUNCTION("""COMPUTED_VALUE"""),"K0K 2X0")</f>
        <v>K0K 2X0</v>
      </c>
      <c r="E10211" s="3" t="str">
        <f>IFERROR(__xludf.DUMMYFUNCTION("""COMPUTED_VALUE"""),"David Ottele")</f>
        <v>David Ottele</v>
      </c>
      <c r="F10211" s="3" t="str">
        <f>IFERROR(__xludf.DUMMYFUNCTION("""COMPUTED_VALUE"""),"slodao@xplornet.ca")</f>
        <v>slodao@xplornet.ca</v>
      </c>
      <c r="G10211" s="3"/>
      <c r="H10211" s="3"/>
    </row>
    <row r="10212">
      <c r="A10212" s="2">
        <f>IFERROR(__xludf.DUMMYFUNCTION("""COMPUTED_VALUE"""),51065.0)</f>
        <v>51065</v>
      </c>
      <c r="B10212" s="3" t="str">
        <f>IFERROR(__xludf.DUMMYFUNCTION("""COMPUTED_VALUE"""),"107 GRANDVIEW DR")</f>
        <v>107 GRANDVIEW DR</v>
      </c>
      <c r="C10212" s="3" t="str">
        <f>IFERROR(__xludf.DUMMYFUNCTION("""COMPUTED_VALUE"""),"ROSENEATH ")</f>
        <v>ROSENEATH </v>
      </c>
      <c r="D10212" s="3" t="str">
        <f>IFERROR(__xludf.DUMMYFUNCTION("""COMPUTED_VALUE"""),"K0K 2X0")</f>
        <v>K0K 2X0</v>
      </c>
      <c r="E10212" s="3" t="str">
        <f>IFERROR(__xludf.DUMMYFUNCTION("""COMPUTED_VALUE"""),"DAVID G KEARY")</f>
        <v>DAVID G KEARY</v>
      </c>
      <c r="F10212" s="3" t="str">
        <f>IFERROR(__xludf.DUMMYFUNCTION("""COMPUTED_VALUE"""),"kearys@bell.net")</f>
        <v>kearys@bell.net</v>
      </c>
      <c r="G10212" s="3"/>
      <c r="H10212" s="3"/>
    </row>
    <row r="10213">
      <c r="A10213" s="2">
        <f>IFERROR(__xludf.DUMMYFUNCTION("""COMPUTED_VALUE"""),51066.0)</f>
        <v>51066</v>
      </c>
      <c r="B10213" s="3" t="str">
        <f>IFERROR(__xludf.DUMMYFUNCTION("""COMPUTED_VALUE"""),"115 GRANDVIEW DR")</f>
        <v>115 GRANDVIEW DR</v>
      </c>
      <c r="C10213" s="3" t="str">
        <f>IFERROR(__xludf.DUMMYFUNCTION("""COMPUTED_VALUE"""),"ROSENEATH ")</f>
        <v>ROSENEATH </v>
      </c>
      <c r="D10213" s="3" t="str">
        <f>IFERROR(__xludf.DUMMYFUNCTION("""COMPUTED_VALUE"""),"K0K 2X0")</f>
        <v>K0K 2X0</v>
      </c>
      <c r="E10213" s="3" t="str">
        <f>IFERROR(__xludf.DUMMYFUNCTION("""COMPUTED_VALUE"""),"Taylor Kimmerly")</f>
        <v>Taylor Kimmerly</v>
      </c>
      <c r="F10213" s="3" t="str">
        <f>IFERROR(__xludf.DUMMYFUNCTION("""COMPUTED_VALUE"""),"Tkimmerly34@gmail.com")</f>
        <v>Tkimmerly34@gmail.com</v>
      </c>
      <c r="G10213" s="3">
        <f>IFERROR(__xludf.DUMMYFUNCTION("""COMPUTED_VALUE"""),9.053760739E9)</f>
        <v>9053760739</v>
      </c>
      <c r="H10213" s="3"/>
    </row>
    <row r="10214">
      <c r="A10214" s="2">
        <f>IFERROR(__xludf.DUMMYFUNCTION("""COMPUTED_VALUE"""),51067.0)</f>
        <v>51067</v>
      </c>
      <c r="B10214" s="3" t="str">
        <f>IFERROR(__xludf.DUMMYFUNCTION("""COMPUTED_VALUE"""),"122 GRANDVIEW DR")</f>
        <v>122 GRANDVIEW DR</v>
      </c>
      <c r="C10214" s="3" t="str">
        <f>IFERROR(__xludf.DUMMYFUNCTION("""COMPUTED_VALUE"""),"ROSENEATH ")</f>
        <v>ROSENEATH </v>
      </c>
      <c r="D10214" s="3" t="str">
        <f>IFERROR(__xludf.DUMMYFUNCTION("""COMPUTED_VALUE"""),"K0K 2X0")</f>
        <v>K0K 2X0</v>
      </c>
      <c r="E10214" s="3"/>
      <c r="F10214" s="3"/>
      <c r="G10214" s="3"/>
      <c r="H10214" s="3"/>
    </row>
    <row r="10215">
      <c r="A10215" s="2">
        <f>IFERROR(__xludf.DUMMYFUNCTION("""COMPUTED_VALUE"""),51068.0)</f>
        <v>51068</v>
      </c>
      <c r="B10215" s="3" t="str">
        <f>IFERROR(__xludf.DUMMYFUNCTION("""COMPUTED_VALUE"""),"128 GRANDVIEW DR")</f>
        <v>128 GRANDVIEW DR</v>
      </c>
      <c r="C10215" s="3" t="str">
        <f>IFERROR(__xludf.DUMMYFUNCTION("""COMPUTED_VALUE"""),"ROSENEATH ")</f>
        <v>ROSENEATH </v>
      </c>
      <c r="D10215" s="3" t="str">
        <f>IFERROR(__xludf.DUMMYFUNCTION("""COMPUTED_VALUE"""),"K0K 2X0")</f>
        <v>K0K 2X0</v>
      </c>
      <c r="E10215" s="3"/>
      <c r="F10215" s="3"/>
      <c r="G10215" s="3"/>
      <c r="H10215" s="3"/>
    </row>
    <row r="10216">
      <c r="A10216" s="2">
        <f>IFERROR(__xludf.DUMMYFUNCTION("""COMPUTED_VALUE"""),51069.0)</f>
        <v>51069</v>
      </c>
      <c r="B10216" s="3" t="str">
        <f>IFERROR(__xludf.DUMMYFUNCTION("""COMPUTED_VALUE"""),"131 GRANDVIEW DR")</f>
        <v>131 GRANDVIEW DR</v>
      </c>
      <c r="C10216" s="3" t="str">
        <f>IFERROR(__xludf.DUMMYFUNCTION("""COMPUTED_VALUE"""),"ROSENEATH ")</f>
        <v>ROSENEATH </v>
      </c>
      <c r="D10216" s="3" t="str">
        <f>IFERROR(__xludf.DUMMYFUNCTION("""COMPUTED_VALUE"""),"K0K 2X0")</f>
        <v>K0K 2X0</v>
      </c>
      <c r="E10216" s="3"/>
      <c r="F10216" s="3"/>
      <c r="G10216" s="3"/>
      <c r="H10216" s="3"/>
    </row>
    <row r="10217">
      <c r="A10217" s="2">
        <f>IFERROR(__xludf.DUMMYFUNCTION("""COMPUTED_VALUE"""),51070.0)</f>
        <v>51070</v>
      </c>
      <c r="B10217" s="3" t="str">
        <f>IFERROR(__xludf.DUMMYFUNCTION("""COMPUTED_VALUE"""),"134 GRANDVIEW DR")</f>
        <v>134 GRANDVIEW DR</v>
      </c>
      <c r="C10217" s="3" t="str">
        <f>IFERROR(__xludf.DUMMYFUNCTION("""COMPUTED_VALUE"""),"ROSENEATH ")</f>
        <v>ROSENEATH </v>
      </c>
      <c r="D10217" s="3" t="str">
        <f>IFERROR(__xludf.DUMMYFUNCTION("""COMPUTED_VALUE"""),"K0K 2X0")</f>
        <v>K0K 2X0</v>
      </c>
      <c r="E10217" s="3"/>
      <c r="F10217" s="3"/>
      <c r="G10217" s="3"/>
      <c r="H10217" s="3"/>
    </row>
    <row r="10218">
      <c r="A10218" s="2">
        <f>IFERROR(__xludf.DUMMYFUNCTION("""COMPUTED_VALUE"""),51071.0)</f>
        <v>51071</v>
      </c>
      <c r="B10218" s="3" t="str">
        <f>IFERROR(__xludf.DUMMYFUNCTION("""COMPUTED_VALUE"""),"137 GRANDVIEW DR")</f>
        <v>137 GRANDVIEW DR</v>
      </c>
      <c r="C10218" s="3" t="str">
        <f>IFERROR(__xludf.DUMMYFUNCTION("""COMPUTED_VALUE"""),"ROSENEATH ")</f>
        <v>ROSENEATH </v>
      </c>
      <c r="D10218" s="3" t="str">
        <f>IFERROR(__xludf.DUMMYFUNCTION("""COMPUTED_VALUE"""),"K0K 2X0")</f>
        <v>K0K 2X0</v>
      </c>
      <c r="E10218" s="3" t="str">
        <f>IFERROR(__xludf.DUMMYFUNCTION("""COMPUTED_VALUE"""),"Trinda Gavin")</f>
        <v>Trinda Gavin</v>
      </c>
      <c r="F10218" s="3" t="str">
        <f>IFERROR(__xludf.DUMMYFUNCTION("""COMPUTED_VALUE"""),"trinda40@ivloud.com")</f>
        <v>trinda40@ivloud.com</v>
      </c>
      <c r="G10218" s="3">
        <f>IFERROR(__xludf.DUMMYFUNCTION("""COMPUTED_VALUE"""),2.896916725E9)</f>
        <v>2896916725</v>
      </c>
      <c r="H10218" s="3"/>
    </row>
    <row r="10219">
      <c r="A10219" s="2">
        <f>IFERROR(__xludf.DUMMYFUNCTION("""COMPUTED_VALUE"""),51072.0)</f>
        <v>51072</v>
      </c>
      <c r="B10219" s="3" t="str">
        <f>IFERROR(__xludf.DUMMYFUNCTION("""COMPUTED_VALUE"""),"140 GRANDVIEW DR")</f>
        <v>140 GRANDVIEW DR</v>
      </c>
      <c r="C10219" s="3" t="str">
        <f>IFERROR(__xludf.DUMMYFUNCTION("""COMPUTED_VALUE"""),"ROSENEATH ")</f>
        <v>ROSENEATH </v>
      </c>
      <c r="D10219" s="3" t="str">
        <f>IFERROR(__xludf.DUMMYFUNCTION("""COMPUTED_VALUE"""),"K0K 2X0")</f>
        <v>K0K 2X0</v>
      </c>
      <c r="E10219" s="3"/>
      <c r="F10219" s="3"/>
      <c r="G10219" s="3"/>
      <c r="H10219" s="3"/>
    </row>
    <row r="10220">
      <c r="A10220" s="2">
        <f>IFERROR(__xludf.DUMMYFUNCTION("""COMPUTED_VALUE"""),51073.0)</f>
        <v>51073</v>
      </c>
      <c r="B10220" s="3" t="str">
        <f>IFERROR(__xludf.DUMMYFUNCTION("""COMPUTED_VALUE"""),"143 GRANDVIEW DR")</f>
        <v>143 GRANDVIEW DR</v>
      </c>
      <c r="C10220" s="3" t="str">
        <f>IFERROR(__xludf.DUMMYFUNCTION("""COMPUTED_VALUE"""),"ROSENEATH ")</f>
        <v>ROSENEATH </v>
      </c>
      <c r="D10220" s="3" t="str">
        <f>IFERROR(__xludf.DUMMYFUNCTION("""COMPUTED_VALUE"""),"K0K 2X0")</f>
        <v>K0K 2X0</v>
      </c>
      <c r="E10220" s="3"/>
      <c r="F10220" s="3"/>
      <c r="G10220" s="3"/>
      <c r="H10220" s="3"/>
    </row>
    <row r="10221">
      <c r="A10221" s="2">
        <f>IFERROR(__xludf.DUMMYFUNCTION("""COMPUTED_VALUE"""),51074.0)</f>
        <v>51074</v>
      </c>
      <c r="B10221" s="3" t="str">
        <f>IFERROR(__xludf.DUMMYFUNCTION("""COMPUTED_VALUE"""),"146 GRANDVIEW DR")</f>
        <v>146 GRANDVIEW DR</v>
      </c>
      <c r="C10221" s="3" t="str">
        <f>IFERROR(__xludf.DUMMYFUNCTION("""COMPUTED_VALUE"""),"ROSENEATH ")</f>
        <v>ROSENEATH </v>
      </c>
      <c r="D10221" s="3" t="str">
        <f>IFERROR(__xludf.DUMMYFUNCTION("""COMPUTED_VALUE"""),"K0K 2X0")</f>
        <v>K0K 2X0</v>
      </c>
      <c r="E10221" s="3" t="str">
        <f>IFERROR(__xludf.DUMMYFUNCTION("""COMPUTED_VALUE"""),"David Shirley")</f>
        <v>David Shirley</v>
      </c>
      <c r="F10221" s="3" t="str">
        <f>IFERROR(__xludf.DUMMYFUNCTION("""COMPUTED_VALUE"""),"kathdave75@gmail.com")</f>
        <v>kathdave75@gmail.com</v>
      </c>
      <c r="G10221" s="3">
        <f>IFERROR(__xludf.DUMMYFUNCTION("""COMPUTED_VALUE"""),9.05352349E9)</f>
        <v>9053523490</v>
      </c>
      <c r="H10221" s="3"/>
    </row>
    <row r="10222">
      <c r="A10222" s="2">
        <f>IFERROR(__xludf.DUMMYFUNCTION("""COMPUTED_VALUE"""),51075.0)</f>
        <v>51075</v>
      </c>
      <c r="B10222" s="3" t="str">
        <f>IFERROR(__xludf.DUMMYFUNCTION("""COMPUTED_VALUE"""),"149 GRANDVIEW DR")</f>
        <v>149 GRANDVIEW DR</v>
      </c>
      <c r="C10222" s="3" t="str">
        <f>IFERROR(__xludf.DUMMYFUNCTION("""COMPUTED_VALUE"""),"ROSENEATH ")</f>
        <v>ROSENEATH </v>
      </c>
      <c r="D10222" s="3" t="str">
        <f>IFERROR(__xludf.DUMMYFUNCTION("""COMPUTED_VALUE"""),"K0K 2X0")</f>
        <v>K0K 2X0</v>
      </c>
      <c r="E10222" s="3" t="str">
        <f>IFERROR(__xludf.DUMMYFUNCTION("""COMPUTED_VALUE"""),"Robert Barry Hilts")</f>
        <v>Robert Barry Hilts</v>
      </c>
      <c r="F10222" s="3" t="str">
        <f>IFERROR(__xludf.DUMMYFUNCTION("""COMPUTED_VALUE"""),"barryhilts@xplornet.ca")</f>
        <v>barryhilts@xplornet.ca</v>
      </c>
      <c r="G10222" s="3">
        <f>IFERROR(__xludf.DUMMYFUNCTION("""COMPUTED_VALUE"""),9.053965817E9)</f>
        <v>9053965817</v>
      </c>
      <c r="H10222" s="3"/>
    </row>
    <row r="10223">
      <c r="A10223" s="2">
        <f>IFERROR(__xludf.DUMMYFUNCTION("""COMPUTED_VALUE"""),51076.0)</f>
        <v>51076</v>
      </c>
      <c r="B10223" s="3" t="str">
        <f>IFERROR(__xludf.DUMMYFUNCTION("""COMPUTED_VALUE"""),"152 GRANDVIEW DR")</f>
        <v>152 GRANDVIEW DR</v>
      </c>
      <c r="C10223" s="3" t="str">
        <f>IFERROR(__xludf.DUMMYFUNCTION("""COMPUTED_VALUE"""),"ROSENEATH ")</f>
        <v>ROSENEATH </v>
      </c>
      <c r="D10223" s="3" t="str">
        <f>IFERROR(__xludf.DUMMYFUNCTION("""COMPUTED_VALUE"""),"K0K 2X0")</f>
        <v>K0K 2X0</v>
      </c>
      <c r="E10223" s="3"/>
      <c r="F10223" s="3"/>
      <c r="G10223" s="3"/>
      <c r="H10223" s="3"/>
    </row>
    <row r="10224">
      <c r="A10224" s="2">
        <f>IFERROR(__xludf.DUMMYFUNCTION("""COMPUTED_VALUE"""),51077.0)</f>
        <v>51077</v>
      </c>
      <c r="B10224" s="3" t="str">
        <f>IFERROR(__xludf.DUMMYFUNCTION("""COMPUTED_VALUE"""),"155 GRANDVIEW DR")</f>
        <v>155 GRANDVIEW DR</v>
      </c>
      <c r="C10224" s="3" t="str">
        <f>IFERROR(__xludf.DUMMYFUNCTION("""COMPUTED_VALUE"""),"ROSENEATH ")</f>
        <v>ROSENEATH </v>
      </c>
      <c r="D10224" s="3" t="str">
        <f>IFERROR(__xludf.DUMMYFUNCTION("""COMPUTED_VALUE"""),"K0K 2X0")</f>
        <v>K0K 2X0</v>
      </c>
      <c r="E10224" s="3"/>
      <c r="F10224" s="3"/>
      <c r="G10224" s="3"/>
      <c r="H10224" s="3"/>
    </row>
    <row r="10225">
      <c r="A10225" s="2">
        <f>IFERROR(__xludf.DUMMYFUNCTION("""COMPUTED_VALUE"""),51078.0)</f>
        <v>51078</v>
      </c>
      <c r="B10225" s="3" t="str">
        <f>IFERROR(__xludf.DUMMYFUNCTION("""COMPUTED_VALUE"""),"161 GRANDVIEW DR")</f>
        <v>161 GRANDVIEW DR</v>
      </c>
      <c r="C10225" s="3" t="str">
        <f>IFERROR(__xludf.DUMMYFUNCTION("""COMPUTED_VALUE"""),"ROSENEATH ")</f>
        <v>ROSENEATH </v>
      </c>
      <c r="D10225" s="3" t="str">
        <f>IFERROR(__xludf.DUMMYFUNCTION("""COMPUTED_VALUE"""),"K0K 2X0")</f>
        <v>K0K 2X0</v>
      </c>
      <c r="E10225" s="3" t="str">
        <f>IFERROR(__xludf.DUMMYFUNCTION("""COMPUTED_VALUE"""),"Chris Lemster")</f>
        <v>Chris Lemster</v>
      </c>
      <c r="F10225" s="3" t="str">
        <f>IFERROR(__xludf.DUMMYFUNCTION("""COMPUTED_VALUE"""),"c.lemster@hotmail.com")</f>
        <v>c.lemster@hotmail.com</v>
      </c>
      <c r="G10225" s="3">
        <f>IFERROR(__xludf.DUMMYFUNCTION("""COMPUTED_VALUE"""),9.05213094E9)</f>
        <v>9052130940</v>
      </c>
      <c r="H10225" s="3">
        <f>IFERROR(__xludf.DUMMYFUNCTION("""COMPUTED_VALUE"""),9.052137919E9)</f>
        <v>9052137919</v>
      </c>
    </row>
    <row r="10226">
      <c r="A10226" s="2">
        <f>IFERROR(__xludf.DUMMYFUNCTION("""COMPUTED_VALUE"""),51079.0)</f>
        <v>51079</v>
      </c>
      <c r="B10226" s="3" t="str">
        <f>IFERROR(__xludf.DUMMYFUNCTION("""COMPUTED_VALUE"""),"166 GRANDVIEW DR")</f>
        <v>166 GRANDVIEW DR</v>
      </c>
      <c r="C10226" s="3" t="str">
        <f>IFERROR(__xludf.DUMMYFUNCTION("""COMPUTED_VALUE"""),"ROSENEATH ")</f>
        <v>ROSENEATH </v>
      </c>
      <c r="D10226" s="3" t="str">
        <f>IFERROR(__xludf.DUMMYFUNCTION("""COMPUTED_VALUE"""),"K0K 2X0")</f>
        <v>K0K 2X0</v>
      </c>
      <c r="E10226" s="3"/>
      <c r="F10226" s="3"/>
      <c r="G10226" s="3"/>
      <c r="H10226" s="3"/>
    </row>
    <row r="10227">
      <c r="A10227" s="2">
        <f>IFERROR(__xludf.DUMMYFUNCTION("""COMPUTED_VALUE"""),51080.0)</f>
        <v>51080</v>
      </c>
      <c r="B10227" s="3" t="str">
        <f>IFERROR(__xludf.DUMMYFUNCTION("""COMPUTED_VALUE"""),"167 GRANDVIEW DR")</f>
        <v>167 GRANDVIEW DR</v>
      </c>
      <c r="C10227" s="3" t="str">
        <f>IFERROR(__xludf.DUMMYFUNCTION("""COMPUTED_VALUE"""),"ROSENEATH ")</f>
        <v>ROSENEATH </v>
      </c>
      <c r="D10227" s="3" t="str">
        <f>IFERROR(__xludf.DUMMYFUNCTION("""COMPUTED_VALUE"""),"K0K 2X0")</f>
        <v>K0K 2X0</v>
      </c>
      <c r="E10227" s="3"/>
      <c r="F10227" s="3"/>
      <c r="G10227" s="3"/>
      <c r="H10227" s="3"/>
    </row>
    <row r="10228">
      <c r="A10228" s="2">
        <f>IFERROR(__xludf.DUMMYFUNCTION("""COMPUTED_VALUE"""),51081.0)</f>
        <v>51081</v>
      </c>
      <c r="B10228" s="3" t="str">
        <f>IFERROR(__xludf.DUMMYFUNCTION("""COMPUTED_VALUE"""),"173 GRANDVIEW DR")</f>
        <v>173 GRANDVIEW DR</v>
      </c>
      <c r="C10228" s="3" t="str">
        <f>IFERROR(__xludf.DUMMYFUNCTION("""COMPUTED_VALUE"""),"ROSENEATH ")</f>
        <v>ROSENEATH </v>
      </c>
      <c r="D10228" s="3" t="str">
        <f>IFERROR(__xludf.DUMMYFUNCTION("""COMPUTED_VALUE"""),"K0K 2X0")</f>
        <v>K0K 2X0</v>
      </c>
      <c r="E10228" s="3"/>
      <c r="F10228" s="3"/>
      <c r="G10228" s="3"/>
      <c r="H10228" s="3"/>
    </row>
    <row r="10229">
      <c r="A10229" s="2">
        <f>IFERROR(__xludf.DUMMYFUNCTION("""COMPUTED_VALUE"""),51082.0)</f>
        <v>51082</v>
      </c>
      <c r="B10229" s="3" t="str">
        <f>IFERROR(__xludf.DUMMYFUNCTION("""COMPUTED_VALUE"""),"179 GRANDVIEW DR")</f>
        <v>179 GRANDVIEW DR</v>
      </c>
      <c r="C10229" s="3" t="str">
        <f>IFERROR(__xludf.DUMMYFUNCTION("""COMPUTED_VALUE"""),"ROSENEATH ")</f>
        <v>ROSENEATH </v>
      </c>
      <c r="D10229" s="3" t="str">
        <f>IFERROR(__xludf.DUMMYFUNCTION("""COMPUTED_VALUE"""),"K0K 2X0")</f>
        <v>K0K 2X0</v>
      </c>
      <c r="E10229" s="3"/>
      <c r="F10229" s="3"/>
      <c r="G10229" s="3"/>
      <c r="H10229" s="3"/>
    </row>
    <row r="10230">
      <c r="A10230" s="2">
        <f>IFERROR(__xludf.DUMMYFUNCTION("""COMPUTED_VALUE"""),51083.0)</f>
        <v>51083</v>
      </c>
      <c r="B10230" s="3" t="str">
        <f>IFERROR(__xludf.DUMMYFUNCTION("""COMPUTED_VALUE"""),"180 GRANDVIEW DR")</f>
        <v>180 GRANDVIEW DR</v>
      </c>
      <c r="C10230" s="3" t="str">
        <f>IFERROR(__xludf.DUMMYFUNCTION("""COMPUTED_VALUE"""),"ROSENEATH ")</f>
        <v>ROSENEATH </v>
      </c>
      <c r="D10230" s="3" t="str">
        <f>IFERROR(__xludf.DUMMYFUNCTION("""COMPUTED_VALUE"""),"K0K 2X0")</f>
        <v>K0K 2X0</v>
      </c>
      <c r="E10230" s="3"/>
      <c r="F10230" s="3"/>
      <c r="G10230" s="3"/>
      <c r="H10230" s="3"/>
    </row>
    <row r="10231">
      <c r="A10231" s="2">
        <f>IFERROR(__xludf.DUMMYFUNCTION("""COMPUTED_VALUE"""),51084.0)</f>
        <v>51084</v>
      </c>
      <c r="B10231" s="3" t="str">
        <f>IFERROR(__xludf.DUMMYFUNCTION("""COMPUTED_VALUE"""),"186 GRANDVIEW DR")</f>
        <v>186 GRANDVIEW DR</v>
      </c>
      <c r="C10231" s="3" t="str">
        <f>IFERROR(__xludf.DUMMYFUNCTION("""COMPUTED_VALUE"""),"ROSENEATH ")</f>
        <v>ROSENEATH </v>
      </c>
      <c r="D10231" s="3" t="str">
        <f>IFERROR(__xludf.DUMMYFUNCTION("""COMPUTED_VALUE"""),"K0K 2X0")</f>
        <v>K0K 2X0</v>
      </c>
      <c r="E10231" s="3"/>
      <c r="F10231" s="3"/>
      <c r="G10231" s="3"/>
      <c r="H10231" s="3"/>
    </row>
    <row r="10232">
      <c r="A10232" s="2">
        <f>IFERROR(__xludf.DUMMYFUNCTION("""COMPUTED_VALUE"""),51085.0)</f>
        <v>51085</v>
      </c>
      <c r="B10232" s="3" t="str">
        <f>IFERROR(__xludf.DUMMYFUNCTION("""COMPUTED_VALUE"""),"191 GRANDVIEW DR")</f>
        <v>191 GRANDVIEW DR</v>
      </c>
      <c r="C10232" s="3" t="str">
        <f>IFERROR(__xludf.DUMMYFUNCTION("""COMPUTED_VALUE"""),"ROSENEATH ")</f>
        <v>ROSENEATH </v>
      </c>
      <c r="D10232" s="3" t="str">
        <f>IFERROR(__xludf.DUMMYFUNCTION("""COMPUTED_VALUE"""),"K0K 2X0")</f>
        <v>K0K 2X0</v>
      </c>
      <c r="E10232" s="3"/>
      <c r="F10232" s="3"/>
      <c r="G10232" s="3"/>
      <c r="H10232" s="3"/>
    </row>
    <row r="10233">
      <c r="A10233" s="2">
        <f>IFERROR(__xludf.DUMMYFUNCTION("""COMPUTED_VALUE"""),51086.0)</f>
        <v>51086</v>
      </c>
      <c r="B10233" s="3" t="str">
        <f>IFERROR(__xludf.DUMMYFUNCTION("""COMPUTED_VALUE"""),"192 GRANDVIEW DR")</f>
        <v>192 GRANDVIEW DR</v>
      </c>
      <c r="C10233" s="3" t="str">
        <f>IFERROR(__xludf.DUMMYFUNCTION("""COMPUTED_VALUE"""),"ROSENEATH ")</f>
        <v>ROSENEATH </v>
      </c>
      <c r="D10233" s="3" t="str">
        <f>IFERROR(__xludf.DUMMYFUNCTION("""COMPUTED_VALUE"""),"K0K 2X0")</f>
        <v>K0K 2X0</v>
      </c>
      <c r="E10233" s="3"/>
      <c r="F10233" s="3"/>
      <c r="G10233" s="3"/>
      <c r="H10233" s="3"/>
    </row>
    <row r="10234">
      <c r="A10234" s="2">
        <f>IFERROR(__xludf.DUMMYFUNCTION("""COMPUTED_VALUE"""),51087.0)</f>
        <v>51087</v>
      </c>
      <c r="B10234" s="3" t="str">
        <f>IFERROR(__xludf.DUMMYFUNCTION("""COMPUTED_VALUE"""),"197 GRANDVIEW DR")</f>
        <v>197 GRANDVIEW DR</v>
      </c>
      <c r="C10234" s="3" t="str">
        <f>IFERROR(__xludf.DUMMYFUNCTION("""COMPUTED_VALUE"""),"ROSENEATH ")</f>
        <v>ROSENEATH </v>
      </c>
      <c r="D10234" s="3" t="str">
        <f>IFERROR(__xludf.DUMMYFUNCTION("""COMPUTED_VALUE"""),"K0K 2X0")</f>
        <v>K0K 2X0</v>
      </c>
      <c r="E10234" s="3" t="str">
        <f>IFERROR(__xludf.DUMMYFUNCTION("""COMPUTED_VALUE"""),"Lindsay Sabo")</f>
        <v>Lindsay Sabo</v>
      </c>
      <c r="F10234" s="3" t="str">
        <f>IFERROR(__xludf.DUMMYFUNCTION("""COMPUTED_VALUE"""),"lindsay.sabo@hotmail.com")</f>
        <v>lindsay.sabo@hotmail.com</v>
      </c>
      <c r="G10234" s="3">
        <f>IFERROR(__xludf.DUMMYFUNCTION("""COMPUTED_VALUE"""),9.052697226E9)</f>
        <v>9052697226</v>
      </c>
      <c r="H10234" s="3"/>
    </row>
    <row r="10235">
      <c r="A10235" s="2">
        <f>IFERROR(__xludf.DUMMYFUNCTION("""COMPUTED_VALUE"""),51088.0)</f>
        <v>51088</v>
      </c>
      <c r="B10235" s="3" t="str">
        <f>IFERROR(__xludf.DUMMYFUNCTION("""COMPUTED_VALUE"""),"198 GRANDVIEW DR")</f>
        <v>198 GRANDVIEW DR</v>
      </c>
      <c r="C10235" s="3" t="str">
        <f>IFERROR(__xludf.DUMMYFUNCTION("""COMPUTED_VALUE"""),"ROSENEATH ")</f>
        <v>ROSENEATH </v>
      </c>
      <c r="D10235" s="3" t="str">
        <f>IFERROR(__xludf.DUMMYFUNCTION("""COMPUTED_VALUE"""),"K0K 2X0")</f>
        <v>K0K 2X0</v>
      </c>
      <c r="E10235" s="3"/>
      <c r="F10235" s="3"/>
      <c r="G10235" s="3"/>
      <c r="H10235" s="3"/>
    </row>
    <row r="10236">
      <c r="A10236" s="2">
        <f>IFERROR(__xludf.DUMMYFUNCTION("""COMPUTED_VALUE"""),51089.0)</f>
        <v>51089</v>
      </c>
      <c r="B10236" s="3" t="str">
        <f>IFERROR(__xludf.DUMMYFUNCTION("""COMPUTED_VALUE"""),"203 GRANDVIEW DR")</f>
        <v>203 GRANDVIEW DR</v>
      </c>
      <c r="C10236" s="3" t="str">
        <f>IFERROR(__xludf.DUMMYFUNCTION("""COMPUTED_VALUE"""),"ROSENEATH ")</f>
        <v>ROSENEATH </v>
      </c>
      <c r="D10236" s="3" t="str">
        <f>IFERROR(__xludf.DUMMYFUNCTION("""COMPUTED_VALUE"""),"K0K 2X0")</f>
        <v>K0K 2X0</v>
      </c>
      <c r="E10236" s="3"/>
      <c r="F10236" s="3"/>
      <c r="G10236" s="3"/>
      <c r="H10236" s="3"/>
    </row>
    <row r="10237">
      <c r="A10237" s="2">
        <f>IFERROR(__xludf.DUMMYFUNCTION("""COMPUTED_VALUE"""),51090.0)</f>
        <v>51090</v>
      </c>
      <c r="B10237" s="3" t="str">
        <f>IFERROR(__xludf.DUMMYFUNCTION("""COMPUTED_VALUE"""),"209 GRANDVIEW DR")</f>
        <v>209 GRANDVIEW DR</v>
      </c>
      <c r="C10237" s="3" t="str">
        <f>IFERROR(__xludf.DUMMYFUNCTION("""COMPUTED_VALUE"""),"ROSENEATH ")</f>
        <v>ROSENEATH </v>
      </c>
      <c r="D10237" s="3" t="str">
        <f>IFERROR(__xludf.DUMMYFUNCTION("""COMPUTED_VALUE"""),"K0K 2X0")</f>
        <v>K0K 2X0</v>
      </c>
      <c r="E10237" s="3" t="str">
        <f>IFERROR(__xludf.DUMMYFUNCTION("""COMPUTED_VALUE"""),"Adam Spadafora")</f>
        <v>Adam Spadafora</v>
      </c>
      <c r="F10237" s="3" t="str">
        <f>IFERROR(__xludf.DUMMYFUNCTION("""COMPUTED_VALUE"""),"adam.spadafora@millergroup.ca")</f>
        <v>adam.spadafora@millergroup.ca</v>
      </c>
      <c r="G10237" s="3">
        <f>IFERROR(__xludf.DUMMYFUNCTION("""COMPUTED_VALUE"""),4.16906566E9)</f>
        <v>4169065660</v>
      </c>
      <c r="H10237" s="3"/>
    </row>
    <row r="10238">
      <c r="A10238" s="2">
        <f>IFERROR(__xludf.DUMMYFUNCTION("""COMPUTED_VALUE"""),51091.0)</f>
        <v>51091</v>
      </c>
      <c r="B10238" s="3" t="str">
        <f>IFERROR(__xludf.DUMMYFUNCTION("""COMPUTED_VALUE"""),"215 GRANDVIEW DR")</f>
        <v>215 GRANDVIEW DR</v>
      </c>
      <c r="C10238" s="3" t="str">
        <f>IFERROR(__xludf.DUMMYFUNCTION("""COMPUTED_VALUE"""),"ROSENEATH ")</f>
        <v>ROSENEATH </v>
      </c>
      <c r="D10238" s="3" t="str">
        <f>IFERROR(__xludf.DUMMYFUNCTION("""COMPUTED_VALUE"""),"K0K 2X0")</f>
        <v>K0K 2X0</v>
      </c>
      <c r="E10238" s="3"/>
      <c r="F10238" s="3"/>
      <c r="G10238" s="3"/>
      <c r="H10238" s="3"/>
    </row>
    <row r="10239">
      <c r="A10239" s="2">
        <f>IFERROR(__xludf.DUMMYFUNCTION("""COMPUTED_VALUE"""),51092.0)</f>
        <v>51092</v>
      </c>
      <c r="B10239" s="3" t="str">
        <f>IFERROR(__xludf.DUMMYFUNCTION("""COMPUTED_VALUE"""),"221 GRANDVIEW DR")</f>
        <v>221 GRANDVIEW DR</v>
      </c>
      <c r="C10239" s="3" t="str">
        <f>IFERROR(__xludf.DUMMYFUNCTION("""COMPUTED_VALUE"""),"ROSENEATH ")</f>
        <v>ROSENEATH </v>
      </c>
      <c r="D10239" s="3" t="str">
        <f>IFERROR(__xludf.DUMMYFUNCTION("""COMPUTED_VALUE"""),"K0K 2X0")</f>
        <v>K0K 2X0</v>
      </c>
      <c r="E10239" s="3"/>
      <c r="F10239" s="3"/>
      <c r="G10239" s="3"/>
      <c r="H10239" s="3"/>
    </row>
    <row r="10240">
      <c r="A10240" s="2">
        <f>IFERROR(__xludf.DUMMYFUNCTION("""COMPUTED_VALUE"""),51093.0)</f>
        <v>51093</v>
      </c>
      <c r="B10240" s="3" t="str">
        <f>IFERROR(__xludf.DUMMYFUNCTION("""COMPUTED_VALUE"""),"233 GRANDVIEW DR")</f>
        <v>233 GRANDVIEW DR</v>
      </c>
      <c r="C10240" s="3" t="str">
        <f>IFERROR(__xludf.DUMMYFUNCTION("""COMPUTED_VALUE"""),"ROSENEATH ")</f>
        <v>ROSENEATH </v>
      </c>
      <c r="D10240" s="3" t="str">
        <f>IFERROR(__xludf.DUMMYFUNCTION("""COMPUTED_VALUE"""),"K0K 2X0")</f>
        <v>K0K 2X0</v>
      </c>
      <c r="E10240" s="3"/>
      <c r="F10240" s="3"/>
      <c r="G10240" s="3"/>
      <c r="H10240" s="3"/>
    </row>
    <row r="10241">
      <c r="A10241" s="2">
        <f>IFERROR(__xludf.DUMMYFUNCTION("""COMPUTED_VALUE"""),51094.0)</f>
        <v>51094</v>
      </c>
      <c r="B10241" s="3" t="str">
        <f>IFERROR(__xludf.DUMMYFUNCTION("""COMPUTED_VALUE"""),"245 GRANDVIEW DR")</f>
        <v>245 GRANDVIEW DR</v>
      </c>
      <c r="C10241" s="3" t="str">
        <f>IFERROR(__xludf.DUMMYFUNCTION("""COMPUTED_VALUE"""),"ROSENEATH ")</f>
        <v>ROSENEATH </v>
      </c>
      <c r="D10241" s="3" t="str">
        <f>IFERROR(__xludf.DUMMYFUNCTION("""COMPUTED_VALUE"""),"K0K 2X0")</f>
        <v>K0K 2X0</v>
      </c>
      <c r="E10241" s="3"/>
      <c r="F10241" s="3"/>
      <c r="G10241" s="3"/>
      <c r="H10241" s="3"/>
    </row>
    <row r="10242">
      <c r="A10242" s="2">
        <f>IFERROR(__xludf.DUMMYFUNCTION("""COMPUTED_VALUE"""),51095.0)</f>
        <v>51095</v>
      </c>
      <c r="B10242" s="3" t="str">
        <f>IFERROR(__xludf.DUMMYFUNCTION("""COMPUTED_VALUE"""),"11 GUMMOW RD")</f>
        <v>11 GUMMOW RD</v>
      </c>
      <c r="C10242" s="3" t="str">
        <f>IFERROR(__xludf.DUMMYFUNCTION("""COMPUTED_VALUE"""),"WARKWORTH ")</f>
        <v>WARKWORTH </v>
      </c>
      <c r="D10242" s="3" t="str">
        <f>IFERROR(__xludf.DUMMYFUNCTION("""COMPUTED_VALUE"""),"K0K 3K0")</f>
        <v>K0K 3K0</v>
      </c>
      <c r="E10242" s="3"/>
      <c r="F10242" s="3"/>
      <c r="G10242" s="3"/>
      <c r="H10242" s="3"/>
    </row>
    <row r="10243">
      <c r="A10243" s="2">
        <f>IFERROR(__xludf.DUMMYFUNCTION("""COMPUTED_VALUE"""),51096.0)</f>
        <v>51096</v>
      </c>
      <c r="B10243" s="3" t="str">
        <f>IFERROR(__xludf.DUMMYFUNCTION("""COMPUTED_VALUE"""),"17 GUMMOW RD")</f>
        <v>17 GUMMOW RD</v>
      </c>
      <c r="C10243" s="3" t="str">
        <f>IFERROR(__xludf.DUMMYFUNCTION("""COMPUTED_VALUE"""),"WARKWORTH ")</f>
        <v>WARKWORTH </v>
      </c>
      <c r="D10243" s="3" t="str">
        <f>IFERROR(__xludf.DUMMYFUNCTION("""COMPUTED_VALUE"""),"K0K 3K0")</f>
        <v>K0K 3K0</v>
      </c>
      <c r="E10243" s="3"/>
      <c r="F10243" s="3"/>
      <c r="G10243" s="3"/>
      <c r="H10243" s="3"/>
    </row>
    <row r="10244">
      <c r="A10244" s="2">
        <f>IFERROR(__xludf.DUMMYFUNCTION("""COMPUTED_VALUE"""),51097.0)</f>
        <v>51097</v>
      </c>
      <c r="B10244" s="3" t="str">
        <f>IFERROR(__xludf.DUMMYFUNCTION("""COMPUTED_VALUE"""),"33 GUMMOW RD")</f>
        <v>33 GUMMOW RD</v>
      </c>
      <c r="C10244" s="3" t="str">
        <f>IFERROR(__xludf.DUMMYFUNCTION("""COMPUTED_VALUE"""),"WARKWORTH ")</f>
        <v>WARKWORTH </v>
      </c>
      <c r="D10244" s="3" t="str">
        <f>IFERROR(__xludf.DUMMYFUNCTION("""COMPUTED_VALUE"""),"K0K 3K0")</f>
        <v>K0K 3K0</v>
      </c>
      <c r="E10244" s="3"/>
      <c r="F10244" s="3"/>
      <c r="G10244" s="3"/>
      <c r="H10244" s="3"/>
    </row>
    <row r="10245">
      <c r="A10245" s="2">
        <f>IFERROR(__xludf.DUMMYFUNCTION("""COMPUTED_VALUE"""),51098.0)</f>
        <v>51098</v>
      </c>
      <c r="B10245" s="3" t="str">
        <f>IFERROR(__xludf.DUMMYFUNCTION("""COMPUTED_VALUE"""),"47 GUMMOW RD")</f>
        <v>47 GUMMOW RD</v>
      </c>
      <c r="C10245" s="3" t="str">
        <f>IFERROR(__xludf.DUMMYFUNCTION("""COMPUTED_VALUE"""),"WARKWORTH ")</f>
        <v>WARKWORTH </v>
      </c>
      <c r="D10245" s="3" t="str">
        <f>IFERROR(__xludf.DUMMYFUNCTION("""COMPUTED_VALUE"""),"K0K 3K0")</f>
        <v>K0K 3K0</v>
      </c>
      <c r="E10245" s="3" t="str">
        <f>IFERROR(__xludf.DUMMYFUNCTION("""COMPUTED_VALUE"""),"Kirsten Burton")</f>
        <v>Kirsten Burton</v>
      </c>
      <c r="F10245" s="3" t="str">
        <f>IFERROR(__xludf.DUMMYFUNCTION("""COMPUTED_VALUE"""),"burtonkris10@gmail.com")</f>
        <v>burtonkris10@gmail.com</v>
      </c>
      <c r="G10245" s="3">
        <f>IFERROR(__xludf.DUMMYFUNCTION("""COMPUTED_VALUE"""),6.134383995E9)</f>
        <v>6134383995</v>
      </c>
      <c r="H10245" s="3">
        <f>IFERROR(__xludf.DUMMYFUNCTION("""COMPUTED_VALUE"""),7.057507345E9)</f>
        <v>7057507345</v>
      </c>
    </row>
    <row r="10246">
      <c r="A10246" s="2">
        <f>IFERROR(__xludf.DUMMYFUNCTION("""COMPUTED_VALUE"""),51099.0)</f>
        <v>51099</v>
      </c>
      <c r="B10246" s="3" t="str">
        <f>IFERROR(__xludf.DUMMYFUNCTION("""COMPUTED_VALUE"""),"57 GUMMOW RD")</f>
        <v>57 GUMMOW RD</v>
      </c>
      <c r="C10246" s="3" t="str">
        <f>IFERROR(__xludf.DUMMYFUNCTION("""COMPUTED_VALUE"""),"WARKWORTH ")</f>
        <v>WARKWORTH </v>
      </c>
      <c r="D10246" s="3" t="str">
        <f>IFERROR(__xludf.DUMMYFUNCTION("""COMPUTED_VALUE"""),"K0K 3K0")</f>
        <v>K0K 3K0</v>
      </c>
      <c r="E10246" s="3"/>
      <c r="F10246" s="3"/>
      <c r="G10246" s="3"/>
      <c r="H10246" s="3"/>
    </row>
    <row r="10247">
      <c r="A10247" s="2">
        <f>IFERROR(__xludf.DUMMYFUNCTION("""COMPUTED_VALUE"""),51100.0)</f>
        <v>51100</v>
      </c>
      <c r="B10247" s="3" t="str">
        <f>IFERROR(__xludf.DUMMYFUNCTION("""COMPUTED_VALUE"""),"75 GUMMOW RD")</f>
        <v>75 GUMMOW RD</v>
      </c>
      <c r="C10247" s="3" t="str">
        <f>IFERROR(__xludf.DUMMYFUNCTION("""COMPUTED_VALUE"""),"WARKWORTH ")</f>
        <v>WARKWORTH </v>
      </c>
      <c r="D10247" s="3" t="str">
        <f>IFERROR(__xludf.DUMMYFUNCTION("""COMPUTED_VALUE"""),"K0K 3K0")</f>
        <v>K0K 3K0</v>
      </c>
      <c r="E10247" s="3" t="str">
        <f>IFERROR(__xludf.DUMMYFUNCTION("""COMPUTED_VALUE"""),"Alec Davis")</f>
        <v>Alec Davis</v>
      </c>
      <c r="F10247" s="3" t="str">
        <f>IFERROR(__xludf.DUMMYFUNCTION("""COMPUTED_VALUE"""),"alec.davis151@gmail.com")</f>
        <v>alec.davis151@gmail.com</v>
      </c>
      <c r="G10247" s="3">
        <f>IFERROR(__xludf.DUMMYFUNCTION("""COMPUTED_VALUE"""),7.059572532E9)</f>
        <v>7059572532</v>
      </c>
      <c r="H10247" s="3"/>
    </row>
    <row r="10248">
      <c r="A10248" s="2">
        <f>IFERROR(__xludf.DUMMYFUNCTION("""COMPUTED_VALUE"""),51101.0)</f>
        <v>51101</v>
      </c>
      <c r="B10248" s="3" t="str">
        <f>IFERROR(__xludf.DUMMYFUNCTION("""COMPUTED_VALUE"""),"81 GUMMOW RD")</f>
        <v>81 GUMMOW RD</v>
      </c>
      <c r="C10248" s="3" t="str">
        <f>IFERROR(__xludf.DUMMYFUNCTION("""COMPUTED_VALUE"""),"WARKWORTH ")</f>
        <v>WARKWORTH </v>
      </c>
      <c r="D10248" s="3" t="str">
        <f>IFERROR(__xludf.DUMMYFUNCTION("""COMPUTED_VALUE"""),"K0K 3K0")</f>
        <v>K0K 3K0</v>
      </c>
      <c r="E10248" s="3"/>
      <c r="F10248" s="3"/>
      <c r="G10248" s="3"/>
      <c r="H10248" s="3"/>
    </row>
    <row r="10249">
      <c r="A10249" s="2">
        <f>IFERROR(__xludf.DUMMYFUNCTION("""COMPUTED_VALUE"""),51102.0)</f>
        <v>51102</v>
      </c>
      <c r="B10249" s="3" t="str">
        <f>IFERROR(__xludf.DUMMYFUNCTION("""COMPUTED_VALUE"""),"105 GUMMOW RD")</f>
        <v>105 GUMMOW RD</v>
      </c>
      <c r="C10249" s="3" t="str">
        <f>IFERROR(__xludf.DUMMYFUNCTION("""COMPUTED_VALUE"""),"WARKWORTH ")</f>
        <v>WARKWORTH </v>
      </c>
      <c r="D10249" s="3" t="str">
        <f>IFERROR(__xludf.DUMMYFUNCTION("""COMPUTED_VALUE"""),"K0K 3K0")</f>
        <v>K0K 3K0</v>
      </c>
      <c r="E10249" s="3"/>
      <c r="F10249" s="3"/>
      <c r="G10249" s="3"/>
      <c r="H10249" s="3"/>
    </row>
    <row r="10250">
      <c r="A10250" s="2">
        <f>IFERROR(__xludf.DUMMYFUNCTION("""COMPUTED_VALUE"""),51103.0)</f>
        <v>51103</v>
      </c>
      <c r="B10250" s="3" t="str">
        <f>IFERROR(__xludf.DUMMYFUNCTION("""COMPUTED_VALUE"""),"108 GUMMOW RD")</f>
        <v>108 GUMMOW RD</v>
      </c>
      <c r="C10250" s="3" t="str">
        <f>IFERROR(__xludf.DUMMYFUNCTION("""COMPUTED_VALUE"""),"WARKWORTH ")</f>
        <v>WARKWORTH </v>
      </c>
      <c r="D10250" s="3" t="str">
        <f>IFERROR(__xludf.DUMMYFUNCTION("""COMPUTED_VALUE"""),"K0K 3K0")</f>
        <v>K0K 3K0</v>
      </c>
      <c r="E10250" s="3"/>
      <c r="F10250" s="3"/>
      <c r="G10250" s="3"/>
      <c r="H10250" s="3"/>
    </row>
    <row r="10251">
      <c r="A10251" s="2">
        <f>IFERROR(__xludf.DUMMYFUNCTION("""COMPUTED_VALUE"""),51104.0)</f>
        <v>51104</v>
      </c>
      <c r="B10251" s="3" t="str">
        <f>IFERROR(__xludf.DUMMYFUNCTION("""COMPUTED_VALUE"""),"115 GUMMOW RD")</f>
        <v>115 GUMMOW RD</v>
      </c>
      <c r="C10251" s="3" t="str">
        <f>IFERROR(__xludf.DUMMYFUNCTION("""COMPUTED_VALUE"""),"WARKWORTH ")</f>
        <v>WARKWORTH </v>
      </c>
      <c r="D10251" s="3" t="str">
        <f>IFERROR(__xludf.DUMMYFUNCTION("""COMPUTED_VALUE"""),"K0K 3K0")</f>
        <v>K0K 3K0</v>
      </c>
      <c r="E10251" s="3"/>
      <c r="F10251" s="3"/>
      <c r="G10251" s="3"/>
      <c r="H10251" s="3"/>
    </row>
    <row r="10252">
      <c r="A10252" s="2">
        <f>IFERROR(__xludf.DUMMYFUNCTION("""COMPUTED_VALUE"""),51105.0)</f>
        <v>51105</v>
      </c>
      <c r="B10252" s="3" t="str">
        <f>IFERROR(__xludf.DUMMYFUNCTION("""COMPUTED_VALUE"""),"121 GUMMOW RD")</f>
        <v>121 GUMMOW RD</v>
      </c>
      <c r="C10252" s="3" t="str">
        <f>IFERROR(__xludf.DUMMYFUNCTION("""COMPUTED_VALUE"""),"WARKWORTH ")</f>
        <v>WARKWORTH </v>
      </c>
      <c r="D10252" s="3" t="str">
        <f>IFERROR(__xludf.DUMMYFUNCTION("""COMPUTED_VALUE"""),"K0K 3K0")</f>
        <v>K0K 3K0</v>
      </c>
      <c r="E10252" s="3" t="str">
        <f>IFERROR(__xludf.DUMMYFUNCTION("""COMPUTED_VALUE"""),"Linda Hochstetler")</f>
        <v>Linda Hochstetler</v>
      </c>
      <c r="F10252" s="3" t="str">
        <f>IFERROR(__xludf.DUMMYFUNCTION("""COMPUTED_VALUE"""),"lindafhochstetler@gmail.com")</f>
        <v>lindafhochstetler@gmail.com</v>
      </c>
      <c r="G10252" s="3">
        <f>IFERROR(__xludf.DUMMYFUNCTION("""COMPUTED_VALUE"""),6.473281263E9)</f>
        <v>6473281263</v>
      </c>
      <c r="H10252" s="3">
        <f>IFERROR(__xludf.DUMMYFUNCTION("""COMPUTED_VALUE"""),4.167077911E9)</f>
        <v>4167077911</v>
      </c>
    </row>
    <row r="10253">
      <c r="A10253" s="2">
        <f>IFERROR(__xludf.DUMMYFUNCTION("""COMPUTED_VALUE"""),51106.0)</f>
        <v>51106</v>
      </c>
      <c r="B10253" s="3" t="str">
        <f>IFERROR(__xludf.DUMMYFUNCTION("""COMPUTED_VALUE"""),"122 GUMMOW RD")</f>
        <v>122 GUMMOW RD</v>
      </c>
      <c r="C10253" s="3" t="str">
        <f>IFERROR(__xludf.DUMMYFUNCTION("""COMPUTED_VALUE"""),"WARKWORTH ")</f>
        <v>WARKWORTH </v>
      </c>
      <c r="D10253" s="3" t="str">
        <f>IFERROR(__xludf.DUMMYFUNCTION("""COMPUTED_VALUE"""),"K0K 3K0")</f>
        <v>K0K 3K0</v>
      </c>
      <c r="E10253" s="3"/>
      <c r="F10253" s="3"/>
      <c r="G10253" s="3"/>
      <c r="H10253" s="3"/>
    </row>
    <row r="10254">
      <c r="A10254" s="2">
        <f>IFERROR(__xludf.DUMMYFUNCTION("""COMPUTED_VALUE"""),51107.0)</f>
        <v>51107</v>
      </c>
      <c r="B10254" s="3" t="str">
        <f>IFERROR(__xludf.DUMMYFUNCTION("""COMPUTED_VALUE"""),"123 GUMMOW RD")</f>
        <v>123 GUMMOW RD</v>
      </c>
      <c r="C10254" s="3" t="str">
        <f>IFERROR(__xludf.DUMMYFUNCTION("""COMPUTED_VALUE"""),"WARKWORTH ")</f>
        <v>WARKWORTH </v>
      </c>
      <c r="D10254" s="3" t="str">
        <f>IFERROR(__xludf.DUMMYFUNCTION("""COMPUTED_VALUE"""),"K0K 3K0")</f>
        <v>K0K 3K0</v>
      </c>
      <c r="E10254" s="3"/>
      <c r="F10254" s="3"/>
      <c r="G10254" s="3"/>
      <c r="H10254" s="3"/>
    </row>
    <row r="10255">
      <c r="A10255" s="2">
        <f>IFERROR(__xludf.DUMMYFUNCTION("""COMPUTED_VALUE"""),51108.0)</f>
        <v>51108</v>
      </c>
      <c r="B10255" s="3" t="str">
        <f>IFERROR(__xludf.DUMMYFUNCTION("""COMPUTED_VALUE"""),"131 GUMMOW RD")</f>
        <v>131 GUMMOW RD</v>
      </c>
      <c r="C10255" s="3" t="str">
        <f>IFERROR(__xludf.DUMMYFUNCTION("""COMPUTED_VALUE"""),"WARKWORTH ")</f>
        <v>WARKWORTH </v>
      </c>
      <c r="D10255" s="3" t="str">
        <f>IFERROR(__xludf.DUMMYFUNCTION("""COMPUTED_VALUE"""),"K0K 3K0")</f>
        <v>K0K 3K0</v>
      </c>
      <c r="E10255" s="3"/>
      <c r="F10255" s="3"/>
      <c r="G10255" s="3"/>
      <c r="H10255" s="3"/>
    </row>
    <row r="10256">
      <c r="A10256" s="2">
        <f>IFERROR(__xludf.DUMMYFUNCTION("""COMPUTED_VALUE"""),51109.0)</f>
        <v>51109</v>
      </c>
      <c r="B10256" s="3" t="str">
        <f>IFERROR(__xludf.DUMMYFUNCTION("""COMPUTED_VALUE"""),"134 GUMMOW RD")</f>
        <v>134 GUMMOW RD</v>
      </c>
      <c r="C10256" s="3" t="str">
        <f>IFERROR(__xludf.DUMMYFUNCTION("""COMPUTED_VALUE"""),"WARKWORTH ")</f>
        <v>WARKWORTH </v>
      </c>
      <c r="D10256" s="3" t="str">
        <f>IFERROR(__xludf.DUMMYFUNCTION("""COMPUTED_VALUE"""),"K0K 3K0")</f>
        <v>K0K 3K0</v>
      </c>
      <c r="E10256" s="3"/>
      <c r="F10256" s="3"/>
      <c r="G10256" s="3"/>
      <c r="H10256" s="3"/>
    </row>
    <row r="10257">
      <c r="A10257" s="2">
        <f>IFERROR(__xludf.DUMMYFUNCTION("""COMPUTED_VALUE"""),51110.0)</f>
        <v>51110</v>
      </c>
      <c r="B10257" s="3" t="str">
        <f>IFERROR(__xludf.DUMMYFUNCTION("""COMPUTED_VALUE"""),"135 GUMMOW RD")</f>
        <v>135 GUMMOW RD</v>
      </c>
      <c r="C10257" s="3" t="str">
        <f>IFERROR(__xludf.DUMMYFUNCTION("""COMPUTED_VALUE"""),"WARKWORTH ")</f>
        <v>WARKWORTH </v>
      </c>
      <c r="D10257" s="3" t="str">
        <f>IFERROR(__xludf.DUMMYFUNCTION("""COMPUTED_VALUE"""),"K0K 3K0")</f>
        <v>K0K 3K0</v>
      </c>
      <c r="E10257" s="3" t="str">
        <f>IFERROR(__xludf.DUMMYFUNCTION("""COMPUTED_VALUE"""),"Carla Morales")</f>
        <v>Carla Morales</v>
      </c>
      <c r="F10257" s="3" t="str">
        <f>IFERROR(__xludf.DUMMYFUNCTION("""COMPUTED_VALUE"""),"jackandsamlindo@hotmail.com")</f>
        <v>jackandsamlindo@hotmail.com</v>
      </c>
      <c r="G10257" s="3">
        <f>IFERROR(__xludf.DUMMYFUNCTION("""COMPUTED_VALUE"""),9.052692104E9)</f>
        <v>9052692104</v>
      </c>
      <c r="H10257" s="3">
        <f>IFERROR(__xludf.DUMMYFUNCTION("""COMPUTED_VALUE"""),9.052695249E9)</f>
        <v>9052695249</v>
      </c>
    </row>
    <row r="10258">
      <c r="A10258" s="2">
        <f>IFERROR(__xludf.DUMMYFUNCTION("""COMPUTED_VALUE"""),51111.0)</f>
        <v>51111</v>
      </c>
      <c r="B10258" s="3" t="str">
        <f>IFERROR(__xludf.DUMMYFUNCTION("""COMPUTED_VALUE"""),"136 GUMMOW RD")</f>
        <v>136 GUMMOW RD</v>
      </c>
      <c r="C10258" s="3" t="str">
        <f>IFERROR(__xludf.DUMMYFUNCTION("""COMPUTED_VALUE"""),"WARKWORTH ")</f>
        <v>WARKWORTH </v>
      </c>
      <c r="D10258" s="3" t="str">
        <f>IFERROR(__xludf.DUMMYFUNCTION("""COMPUTED_VALUE"""),"K0K 3K0")</f>
        <v>K0K 3K0</v>
      </c>
      <c r="E10258" s="3"/>
      <c r="F10258" s="3"/>
      <c r="G10258" s="3"/>
      <c r="H10258" s="3"/>
    </row>
    <row r="10259">
      <c r="A10259" s="2">
        <f>IFERROR(__xludf.DUMMYFUNCTION("""COMPUTED_VALUE"""),51112.0)</f>
        <v>51112</v>
      </c>
      <c r="B10259" s="3" t="str">
        <f>IFERROR(__xludf.DUMMYFUNCTION("""COMPUTED_VALUE"""),"138 GUMMOW RD")</f>
        <v>138 GUMMOW RD</v>
      </c>
      <c r="C10259" s="3" t="str">
        <f>IFERROR(__xludf.DUMMYFUNCTION("""COMPUTED_VALUE"""),"WARKWORTH ")</f>
        <v>WARKWORTH </v>
      </c>
      <c r="D10259" s="3" t="str">
        <f>IFERROR(__xludf.DUMMYFUNCTION("""COMPUTED_VALUE"""),"K0K 3K0")</f>
        <v>K0K 3K0</v>
      </c>
      <c r="E10259" s="3"/>
      <c r="F10259" s="3"/>
      <c r="G10259" s="3"/>
      <c r="H10259" s="3"/>
    </row>
    <row r="10260">
      <c r="A10260" s="2">
        <f>IFERROR(__xludf.DUMMYFUNCTION("""COMPUTED_VALUE"""),51113.0)</f>
        <v>51113</v>
      </c>
      <c r="B10260" s="3" t="str">
        <f>IFERROR(__xludf.DUMMYFUNCTION("""COMPUTED_VALUE"""),"150 GUMMOW RD")</f>
        <v>150 GUMMOW RD</v>
      </c>
      <c r="C10260" s="3" t="str">
        <f>IFERROR(__xludf.DUMMYFUNCTION("""COMPUTED_VALUE"""),"WARKWORTH ")</f>
        <v>WARKWORTH </v>
      </c>
      <c r="D10260" s="3" t="str">
        <f>IFERROR(__xludf.DUMMYFUNCTION("""COMPUTED_VALUE"""),"K0K 3K0")</f>
        <v>K0K 3K0</v>
      </c>
      <c r="E10260" s="3"/>
      <c r="F10260" s="3"/>
      <c r="G10260" s="3"/>
      <c r="H10260" s="3"/>
    </row>
    <row r="10261">
      <c r="A10261" s="2">
        <f>IFERROR(__xludf.DUMMYFUNCTION("""COMPUTED_VALUE"""),51114.0)</f>
        <v>51114</v>
      </c>
      <c r="B10261" s="3" t="str">
        <f>IFERROR(__xludf.DUMMYFUNCTION("""COMPUTED_VALUE"""),"151 GUMMOW RD")</f>
        <v>151 GUMMOW RD</v>
      </c>
      <c r="C10261" s="3" t="str">
        <f>IFERROR(__xludf.DUMMYFUNCTION("""COMPUTED_VALUE"""),"WARKWORTH ")</f>
        <v>WARKWORTH </v>
      </c>
      <c r="D10261" s="3" t="str">
        <f>IFERROR(__xludf.DUMMYFUNCTION("""COMPUTED_VALUE"""),"K0K 3K0")</f>
        <v>K0K 3K0</v>
      </c>
      <c r="E10261" s="3"/>
      <c r="F10261" s="3"/>
      <c r="G10261" s="3"/>
      <c r="H10261" s="3"/>
    </row>
    <row r="10262">
      <c r="A10262" s="2">
        <f>IFERROR(__xludf.DUMMYFUNCTION("""COMPUTED_VALUE"""),51115.0)</f>
        <v>51115</v>
      </c>
      <c r="B10262" s="3" t="str">
        <f>IFERROR(__xludf.DUMMYFUNCTION("""COMPUTED_VALUE"""),"154 GUMMOW RD")</f>
        <v>154 GUMMOW RD</v>
      </c>
      <c r="C10262" s="3" t="str">
        <f>IFERROR(__xludf.DUMMYFUNCTION("""COMPUTED_VALUE"""),"WARKWORTH ")</f>
        <v>WARKWORTH </v>
      </c>
      <c r="D10262" s="3" t="str">
        <f>IFERROR(__xludf.DUMMYFUNCTION("""COMPUTED_VALUE"""),"K0K 3K0")</f>
        <v>K0K 3K0</v>
      </c>
      <c r="E10262" s="3"/>
      <c r="F10262" s="3"/>
      <c r="G10262" s="3"/>
      <c r="H10262" s="3"/>
    </row>
    <row r="10263">
      <c r="A10263" s="2">
        <f>IFERROR(__xludf.DUMMYFUNCTION("""COMPUTED_VALUE"""),51116.0)</f>
        <v>51116</v>
      </c>
      <c r="B10263" s="3" t="str">
        <f>IFERROR(__xludf.DUMMYFUNCTION("""COMPUTED_VALUE"""),"155 GUMMOW RD")</f>
        <v>155 GUMMOW RD</v>
      </c>
      <c r="C10263" s="3" t="str">
        <f>IFERROR(__xludf.DUMMYFUNCTION("""COMPUTED_VALUE"""),"WARKWORTH ")</f>
        <v>WARKWORTH </v>
      </c>
      <c r="D10263" s="3" t="str">
        <f>IFERROR(__xludf.DUMMYFUNCTION("""COMPUTED_VALUE"""),"K0K 3K0")</f>
        <v>K0K 3K0</v>
      </c>
      <c r="E10263" s="3"/>
      <c r="F10263" s="3"/>
      <c r="G10263" s="3"/>
      <c r="H10263" s="3"/>
    </row>
    <row r="10264">
      <c r="A10264" s="2">
        <f>IFERROR(__xludf.DUMMYFUNCTION("""COMPUTED_VALUE"""),51117.0)</f>
        <v>51117</v>
      </c>
      <c r="B10264" s="3" t="str">
        <f>IFERROR(__xludf.DUMMYFUNCTION("""COMPUTED_VALUE"""),"163 GUMMOW RD")</f>
        <v>163 GUMMOW RD</v>
      </c>
      <c r="C10264" s="3" t="str">
        <f>IFERROR(__xludf.DUMMYFUNCTION("""COMPUTED_VALUE"""),"WARKWORTH ")</f>
        <v>WARKWORTH </v>
      </c>
      <c r="D10264" s="3" t="str">
        <f>IFERROR(__xludf.DUMMYFUNCTION("""COMPUTED_VALUE"""),"K0K 3K0")</f>
        <v>K0K 3K0</v>
      </c>
      <c r="E10264" s="3" t="str">
        <f>IFERROR(__xludf.DUMMYFUNCTION("""COMPUTED_VALUE"""),"Jack BOND")</f>
        <v>Jack BOND</v>
      </c>
      <c r="F10264" s="3" t="str">
        <f>IFERROR(__xludf.DUMMYFUNCTION("""COMPUTED_VALUE"""),"jackgb@me.com")</f>
        <v>jackgb@me.com</v>
      </c>
      <c r="G10264" s="3"/>
      <c r="H10264" s="3"/>
    </row>
    <row r="10265">
      <c r="A10265" s="2">
        <f>IFERROR(__xludf.DUMMYFUNCTION("""COMPUTED_VALUE"""),51121.0)</f>
        <v>51121</v>
      </c>
      <c r="B10265" s="3" t="str">
        <f>IFERROR(__xludf.DUMMYFUNCTION("""COMPUTED_VALUE"""),"14 HALSTEAD RD N")</f>
        <v>14 HALSTEAD RD N</v>
      </c>
      <c r="C10265" s="3" t="str">
        <f>IFERROR(__xludf.DUMMYFUNCTION("""COMPUTED_VALUE"""),"ROSENEATH ")</f>
        <v>ROSENEATH </v>
      </c>
      <c r="D10265" s="3" t="str">
        <f>IFERROR(__xludf.DUMMYFUNCTION("""COMPUTED_VALUE"""),"K0K 2X0")</f>
        <v>K0K 2X0</v>
      </c>
      <c r="E10265" s="3"/>
      <c r="F10265" s="3"/>
      <c r="G10265" s="3"/>
      <c r="H10265" s="3"/>
    </row>
    <row r="10266">
      <c r="A10266" s="2">
        <f>IFERROR(__xludf.DUMMYFUNCTION("""COMPUTED_VALUE"""),51122.0)</f>
        <v>51122</v>
      </c>
      <c r="B10266" s="3" t="str">
        <f>IFERROR(__xludf.DUMMYFUNCTION("""COMPUTED_VALUE"""),"8 HALSTEAD RD")</f>
        <v>8 HALSTEAD RD</v>
      </c>
      <c r="C10266" s="3" t="str">
        <f>IFERROR(__xludf.DUMMYFUNCTION("""COMPUTED_VALUE"""),"ROSENEATH ")</f>
        <v>ROSENEATH </v>
      </c>
      <c r="D10266" s="3" t="str">
        <f>IFERROR(__xludf.DUMMYFUNCTION("""COMPUTED_VALUE"""),"K0K 2X0")</f>
        <v>K0K 2X0</v>
      </c>
      <c r="E10266" s="3"/>
      <c r="F10266" s="3"/>
      <c r="G10266" s="3"/>
      <c r="H10266" s="3"/>
    </row>
    <row r="10267">
      <c r="A10267" s="2">
        <f>IFERROR(__xludf.DUMMYFUNCTION("""COMPUTED_VALUE"""),51123.0)</f>
        <v>51123</v>
      </c>
      <c r="B10267" s="3" t="str">
        <f>IFERROR(__xludf.DUMMYFUNCTION("""COMPUTED_VALUE"""),"19 HALSTEAD RD")</f>
        <v>19 HALSTEAD RD</v>
      </c>
      <c r="C10267" s="3" t="str">
        <f>IFERROR(__xludf.DUMMYFUNCTION("""COMPUTED_VALUE"""),"ROSENEATH ")</f>
        <v>ROSENEATH </v>
      </c>
      <c r="D10267" s="3" t="str">
        <f>IFERROR(__xludf.DUMMYFUNCTION("""COMPUTED_VALUE"""),"K0K 2X0")</f>
        <v>K0K 2X0</v>
      </c>
      <c r="E10267" s="3"/>
      <c r="F10267" s="3"/>
      <c r="G10267" s="3"/>
      <c r="H10267" s="3"/>
    </row>
    <row r="10268">
      <c r="A10268" s="2">
        <f>IFERROR(__xludf.DUMMYFUNCTION("""COMPUTED_VALUE"""),51124.0)</f>
        <v>51124</v>
      </c>
      <c r="B10268" s="3" t="str">
        <f>IFERROR(__xludf.DUMMYFUNCTION("""COMPUTED_VALUE"""),"24 HALSTEAD RD")</f>
        <v>24 HALSTEAD RD</v>
      </c>
      <c r="C10268" s="3" t="str">
        <f>IFERROR(__xludf.DUMMYFUNCTION("""COMPUTED_VALUE"""),"ROSENEATH ")</f>
        <v>ROSENEATH </v>
      </c>
      <c r="D10268" s="3" t="str">
        <f>IFERROR(__xludf.DUMMYFUNCTION("""COMPUTED_VALUE"""),"K0K 2X0")</f>
        <v>K0K 2X0</v>
      </c>
      <c r="E10268" s="3" t="str">
        <f>IFERROR(__xludf.DUMMYFUNCTION("""COMPUTED_VALUE"""),"Chad McKellar")</f>
        <v>Chad McKellar</v>
      </c>
      <c r="F10268" s="3" t="str">
        <f>IFERROR(__xludf.DUMMYFUNCTION("""COMPUTED_VALUE"""),"cmckellar@dukemarketingcanada.com")</f>
        <v>cmckellar@dukemarketingcanada.com</v>
      </c>
      <c r="G10268" s="3"/>
      <c r="H10268" s="3">
        <f>IFERROR(__xludf.DUMMYFUNCTION("""COMPUTED_VALUE"""),6.475332633E9)</f>
        <v>6475332633</v>
      </c>
    </row>
    <row r="10269">
      <c r="A10269" s="2">
        <f>IFERROR(__xludf.DUMMYFUNCTION("""COMPUTED_VALUE"""),51125.0)</f>
        <v>51125</v>
      </c>
      <c r="B10269" s="3" t="str">
        <f>IFERROR(__xludf.DUMMYFUNCTION("""COMPUTED_VALUE"""),"34 HALSTEAD RD")</f>
        <v>34 HALSTEAD RD</v>
      </c>
      <c r="C10269" s="3" t="str">
        <f>IFERROR(__xludf.DUMMYFUNCTION("""COMPUTED_VALUE"""),"ROSENEATH ")</f>
        <v>ROSENEATH </v>
      </c>
      <c r="D10269" s="3" t="str">
        <f>IFERROR(__xludf.DUMMYFUNCTION("""COMPUTED_VALUE"""),"K0K 2X0")</f>
        <v>K0K 2X0</v>
      </c>
      <c r="E10269" s="3"/>
      <c r="F10269" s="3"/>
      <c r="G10269" s="3"/>
      <c r="H10269" s="3"/>
    </row>
    <row r="10270">
      <c r="A10270" s="2">
        <f>IFERROR(__xludf.DUMMYFUNCTION("""COMPUTED_VALUE"""),51126.0)</f>
        <v>51126</v>
      </c>
      <c r="B10270" s="3" t="str">
        <f>IFERROR(__xludf.DUMMYFUNCTION("""COMPUTED_VALUE"""),"37 HALSTEAD RD")</f>
        <v>37 HALSTEAD RD</v>
      </c>
      <c r="C10270" s="3" t="str">
        <f>IFERROR(__xludf.DUMMYFUNCTION("""COMPUTED_VALUE"""),"ROSENEATH ")</f>
        <v>ROSENEATH </v>
      </c>
      <c r="D10270" s="3" t="str">
        <f>IFERROR(__xludf.DUMMYFUNCTION("""COMPUTED_VALUE"""),"K0K 2X0")</f>
        <v>K0K 2X0</v>
      </c>
      <c r="E10270" s="3"/>
      <c r="F10270" s="3"/>
      <c r="G10270" s="3"/>
      <c r="H10270" s="3"/>
    </row>
    <row r="10271">
      <c r="A10271" s="2">
        <f>IFERROR(__xludf.DUMMYFUNCTION("""COMPUTED_VALUE"""),51127.0)</f>
        <v>51127</v>
      </c>
      <c r="B10271" s="3" t="str">
        <f>IFERROR(__xludf.DUMMYFUNCTION("""COMPUTED_VALUE"""),"43 HALSTEAD RD")</f>
        <v>43 HALSTEAD RD</v>
      </c>
      <c r="C10271" s="3" t="str">
        <f>IFERROR(__xludf.DUMMYFUNCTION("""COMPUTED_VALUE"""),"ROSENEATH ")</f>
        <v>ROSENEATH </v>
      </c>
      <c r="D10271" s="3" t="str">
        <f>IFERROR(__xludf.DUMMYFUNCTION("""COMPUTED_VALUE"""),"K0K 2X0")</f>
        <v>K0K 2X0</v>
      </c>
      <c r="E10271" s="3"/>
      <c r="F10271" s="3"/>
      <c r="G10271" s="3"/>
      <c r="H10271" s="3"/>
    </row>
    <row r="10272">
      <c r="A10272" s="2">
        <f>IFERROR(__xludf.DUMMYFUNCTION("""COMPUTED_VALUE"""),51128.0)</f>
        <v>51128</v>
      </c>
      <c r="B10272" s="3" t="str">
        <f>IFERROR(__xludf.DUMMYFUNCTION("""COMPUTED_VALUE"""),"64 HALSTEAD RD")</f>
        <v>64 HALSTEAD RD</v>
      </c>
      <c r="C10272" s="3" t="str">
        <f>IFERROR(__xludf.DUMMYFUNCTION("""COMPUTED_VALUE"""),"ROSENEATH ")</f>
        <v>ROSENEATH </v>
      </c>
      <c r="D10272" s="3" t="str">
        <f>IFERROR(__xludf.DUMMYFUNCTION("""COMPUTED_VALUE"""),"K0K 2X0")</f>
        <v>K0K 2X0</v>
      </c>
      <c r="E10272" s="3" t="str">
        <f>IFERROR(__xludf.DUMMYFUNCTION("""COMPUTED_VALUE"""),"Peggy Adams")</f>
        <v>Peggy Adams</v>
      </c>
      <c r="F10272" s="3" t="str">
        <f>IFERROR(__xludf.DUMMYFUNCTION("""COMPUTED_VALUE"""),"peggyadams355@gmail.com")</f>
        <v>peggyadams355@gmail.com</v>
      </c>
      <c r="G10272" s="3"/>
      <c r="H10272" s="3"/>
    </row>
    <row r="10273">
      <c r="A10273" s="2">
        <f>IFERROR(__xludf.DUMMYFUNCTION("""COMPUTED_VALUE"""),51129.0)</f>
        <v>51129</v>
      </c>
      <c r="B10273" s="3" t="str">
        <f>IFERROR(__xludf.DUMMYFUNCTION("""COMPUTED_VALUE"""),"101 HALSTEAD RD")</f>
        <v>101 HALSTEAD RD</v>
      </c>
      <c r="C10273" s="3" t="str">
        <f>IFERROR(__xludf.DUMMYFUNCTION("""COMPUTED_VALUE"""),"ROSENEATH ")</f>
        <v>ROSENEATH </v>
      </c>
      <c r="D10273" s="3" t="str">
        <f>IFERROR(__xludf.DUMMYFUNCTION("""COMPUTED_VALUE"""),"K0K 2X0")</f>
        <v>K0K 2X0</v>
      </c>
      <c r="E10273" s="3"/>
      <c r="F10273" s="3"/>
      <c r="G10273" s="3"/>
      <c r="H10273" s="3"/>
    </row>
    <row r="10274">
      <c r="A10274" s="2">
        <f>IFERROR(__xludf.DUMMYFUNCTION("""COMPUTED_VALUE"""),51130.0)</f>
        <v>51130</v>
      </c>
      <c r="B10274" s="3" t="str">
        <f>IFERROR(__xludf.DUMMYFUNCTION("""COMPUTED_VALUE"""),"213 HALSTEAD RD")</f>
        <v>213 HALSTEAD RD</v>
      </c>
      <c r="C10274" s="3" t="str">
        <f>IFERROR(__xludf.DUMMYFUNCTION("""COMPUTED_VALUE"""),"ROSENEATH ")</f>
        <v>ROSENEATH </v>
      </c>
      <c r="D10274" s="3" t="str">
        <f>IFERROR(__xludf.DUMMYFUNCTION("""COMPUTED_VALUE"""),"K0K 2X0")</f>
        <v>K0K 2X0</v>
      </c>
      <c r="E10274" s="3"/>
      <c r="F10274" s="3"/>
      <c r="G10274" s="3"/>
      <c r="H10274" s="3"/>
    </row>
    <row r="10275">
      <c r="A10275" s="2">
        <f>IFERROR(__xludf.DUMMYFUNCTION("""COMPUTED_VALUE"""),51131.0)</f>
        <v>51131</v>
      </c>
      <c r="B10275" s="3" t="str">
        <f>IFERROR(__xludf.DUMMYFUNCTION("""COMPUTED_VALUE"""),"100 HAMPTON CRES")</f>
        <v>100 HAMPTON CRES</v>
      </c>
      <c r="C10275" s="3" t="str">
        <f>IFERROR(__xludf.DUMMYFUNCTION("""COMPUTED_VALUE"""),"ROSENEATH ")</f>
        <v>ROSENEATH </v>
      </c>
      <c r="D10275" s="3" t="str">
        <f>IFERROR(__xludf.DUMMYFUNCTION("""COMPUTED_VALUE"""),"K0K 2X0")</f>
        <v>K0K 2X0</v>
      </c>
      <c r="E10275" s="3" t="str">
        <f>IFERROR(__xludf.DUMMYFUNCTION("""COMPUTED_VALUE"""),"PATRICK J NEWLAND")</f>
        <v>PATRICK J NEWLAND</v>
      </c>
      <c r="F10275" s="3" t="str">
        <f>IFERROR(__xludf.DUMMYFUNCTION("""COMPUTED_VALUE"""),"pnewland1954@gmail.com")</f>
        <v>pnewland1954@gmail.com</v>
      </c>
      <c r="G10275" s="3">
        <f>IFERROR(__xludf.DUMMYFUNCTION("""COMPUTED_VALUE"""),6.472808532E9)</f>
        <v>6472808532</v>
      </c>
      <c r="H10275" s="3"/>
    </row>
    <row r="10276">
      <c r="A10276" s="2">
        <f>IFERROR(__xludf.DUMMYFUNCTION("""COMPUTED_VALUE"""),51132.0)</f>
        <v>51132</v>
      </c>
      <c r="B10276" s="3" t="str">
        <f>IFERROR(__xludf.DUMMYFUNCTION("""COMPUTED_VALUE"""),"102 HAMPTON CRES")</f>
        <v>102 HAMPTON CRES</v>
      </c>
      <c r="C10276" s="3" t="str">
        <f>IFERROR(__xludf.DUMMYFUNCTION("""COMPUTED_VALUE"""),"ROSENEATH ")</f>
        <v>ROSENEATH </v>
      </c>
      <c r="D10276" s="3" t="str">
        <f>IFERROR(__xludf.DUMMYFUNCTION("""COMPUTED_VALUE"""),"K0K 2X0")</f>
        <v>K0K 2X0</v>
      </c>
      <c r="E10276" s="3"/>
      <c r="F10276" s="3"/>
      <c r="G10276" s="3"/>
      <c r="H10276" s="3"/>
    </row>
    <row r="10277">
      <c r="A10277" s="2">
        <f>IFERROR(__xludf.DUMMYFUNCTION("""COMPUTED_VALUE"""),51133.0)</f>
        <v>51133</v>
      </c>
      <c r="B10277" s="3" t="str">
        <f>IFERROR(__xludf.DUMMYFUNCTION("""COMPUTED_VALUE"""),"103 HAMPTON CRES")</f>
        <v>103 HAMPTON CRES</v>
      </c>
      <c r="C10277" s="3" t="str">
        <f>IFERROR(__xludf.DUMMYFUNCTION("""COMPUTED_VALUE"""),"ROSENEATH ")</f>
        <v>ROSENEATH </v>
      </c>
      <c r="D10277" s="3" t="str">
        <f>IFERROR(__xludf.DUMMYFUNCTION("""COMPUTED_VALUE"""),"K0K 2X0")</f>
        <v>K0K 2X0</v>
      </c>
      <c r="E10277" s="3" t="str">
        <f>IFERROR(__xludf.DUMMYFUNCTION("""COMPUTED_VALUE"""),"Carol &amp; Mark Michta")</f>
        <v>Carol &amp; Mark Michta</v>
      </c>
      <c r="F10277" s="3" t="str">
        <f>IFERROR(__xludf.DUMMYFUNCTION("""COMPUTED_VALUE"""),"carolmichta@hotmail.com")</f>
        <v>carolmichta@hotmail.com</v>
      </c>
      <c r="G10277" s="3"/>
      <c r="H10277" s="3"/>
    </row>
    <row r="10278">
      <c r="A10278" s="2">
        <f>IFERROR(__xludf.DUMMYFUNCTION("""COMPUTED_VALUE"""),51134.0)</f>
        <v>51134</v>
      </c>
      <c r="B10278" s="3" t="str">
        <f>IFERROR(__xludf.DUMMYFUNCTION("""COMPUTED_VALUE"""),"109 HAMPTON CRES")</f>
        <v>109 HAMPTON CRES</v>
      </c>
      <c r="C10278" s="3" t="str">
        <f>IFERROR(__xludf.DUMMYFUNCTION("""COMPUTED_VALUE"""),"ROSENEATH ")</f>
        <v>ROSENEATH </v>
      </c>
      <c r="D10278" s="3" t="str">
        <f>IFERROR(__xludf.DUMMYFUNCTION("""COMPUTED_VALUE"""),"K0K 2X0")</f>
        <v>K0K 2X0</v>
      </c>
      <c r="E10278" s="3"/>
      <c r="F10278" s="3"/>
      <c r="G10278" s="3"/>
      <c r="H10278" s="3"/>
    </row>
    <row r="10279">
      <c r="A10279" s="2">
        <f>IFERROR(__xludf.DUMMYFUNCTION("""COMPUTED_VALUE"""),51135.0)</f>
        <v>51135</v>
      </c>
      <c r="B10279" s="3" t="str">
        <f>IFERROR(__xludf.DUMMYFUNCTION("""COMPUTED_VALUE"""),"134 HAMPTON CRES")</f>
        <v>134 HAMPTON CRES</v>
      </c>
      <c r="C10279" s="3" t="str">
        <f>IFERROR(__xludf.DUMMYFUNCTION("""COMPUTED_VALUE"""),"ROSENEATH ")</f>
        <v>ROSENEATH </v>
      </c>
      <c r="D10279" s="3" t="str">
        <f>IFERROR(__xludf.DUMMYFUNCTION("""COMPUTED_VALUE"""),"K0K 2X0")</f>
        <v>K0K 2X0</v>
      </c>
      <c r="E10279" s="3"/>
      <c r="F10279" s="3"/>
      <c r="G10279" s="3"/>
      <c r="H10279" s="3"/>
    </row>
    <row r="10280">
      <c r="A10280" s="2">
        <f>IFERROR(__xludf.DUMMYFUNCTION("""COMPUTED_VALUE"""),51136.0)</f>
        <v>51136</v>
      </c>
      <c r="B10280" s="3" t="str">
        <f>IFERROR(__xludf.DUMMYFUNCTION("""COMPUTED_VALUE"""),"138 HAMPTON CRES")</f>
        <v>138 HAMPTON CRES</v>
      </c>
      <c r="C10280" s="3" t="str">
        <f>IFERROR(__xludf.DUMMYFUNCTION("""COMPUTED_VALUE"""),"ROSENEATH ")</f>
        <v>ROSENEATH </v>
      </c>
      <c r="D10280" s="3" t="str">
        <f>IFERROR(__xludf.DUMMYFUNCTION("""COMPUTED_VALUE"""),"K0K 2X0")</f>
        <v>K0K 2X0</v>
      </c>
      <c r="E10280" s="3"/>
      <c r="F10280" s="3"/>
      <c r="G10280" s="3"/>
      <c r="H10280" s="3"/>
    </row>
    <row r="10281">
      <c r="A10281" s="2">
        <f>IFERROR(__xludf.DUMMYFUNCTION("""COMPUTED_VALUE"""),51137.0)</f>
        <v>51137</v>
      </c>
      <c r="B10281" s="3" t="str">
        <f>IFERROR(__xludf.DUMMYFUNCTION("""COMPUTED_VALUE"""),"154 HAMPTON CRES")</f>
        <v>154 HAMPTON CRES</v>
      </c>
      <c r="C10281" s="3" t="str">
        <f>IFERROR(__xludf.DUMMYFUNCTION("""COMPUTED_VALUE"""),"ROSENEATH ")</f>
        <v>ROSENEATH </v>
      </c>
      <c r="D10281" s="3" t="str">
        <f>IFERROR(__xludf.DUMMYFUNCTION("""COMPUTED_VALUE"""),"K0K 2X0")</f>
        <v>K0K 2X0</v>
      </c>
      <c r="E10281" s="3"/>
      <c r="F10281" s="3"/>
      <c r="G10281" s="3"/>
      <c r="H10281" s="3"/>
    </row>
    <row r="10282">
      <c r="A10282" s="2">
        <f>IFERROR(__xludf.DUMMYFUNCTION("""COMPUTED_VALUE"""),51138.0)</f>
        <v>51138</v>
      </c>
      <c r="B10282" s="3" t="str">
        <f>IFERROR(__xludf.DUMMYFUNCTION("""COMPUTED_VALUE"""),"164 HAMPTON CRES UNIT 2092")</f>
        <v>164 HAMPTON CRES UNIT 2092</v>
      </c>
      <c r="C10282" s="3" t="str">
        <f>IFERROR(__xludf.DUMMYFUNCTION("""COMPUTED_VALUE"""),"ROSENEATH ")</f>
        <v>ROSENEATH </v>
      </c>
      <c r="D10282" s="3" t="str">
        <f>IFERROR(__xludf.DUMMYFUNCTION("""COMPUTED_VALUE"""),"K0K 2X0")</f>
        <v>K0K 2X0</v>
      </c>
      <c r="E10282" s="3"/>
      <c r="F10282" s="3"/>
      <c r="G10282" s="3"/>
      <c r="H10282" s="3"/>
    </row>
    <row r="10283">
      <c r="A10283" s="2">
        <f>IFERROR(__xludf.DUMMYFUNCTION("""COMPUTED_VALUE"""),51139.0)</f>
        <v>51139</v>
      </c>
      <c r="B10283" s="3" t="str">
        <f>IFERROR(__xludf.DUMMYFUNCTION("""COMPUTED_VALUE"""),"170 HAMPTON CRES")</f>
        <v>170 HAMPTON CRES</v>
      </c>
      <c r="C10283" s="3" t="str">
        <f>IFERROR(__xludf.DUMMYFUNCTION("""COMPUTED_VALUE"""),"ROSENEATH ")</f>
        <v>ROSENEATH </v>
      </c>
      <c r="D10283" s="3" t="str">
        <f>IFERROR(__xludf.DUMMYFUNCTION("""COMPUTED_VALUE"""),"K0K 2X0")</f>
        <v>K0K 2X0</v>
      </c>
      <c r="E10283" s="3"/>
      <c r="F10283" s="3"/>
      <c r="G10283" s="3"/>
      <c r="H10283" s="3"/>
    </row>
    <row r="10284">
      <c r="A10284" s="2">
        <f>IFERROR(__xludf.DUMMYFUNCTION("""COMPUTED_VALUE"""),51140.0)</f>
        <v>51140</v>
      </c>
      <c r="B10284" s="3" t="str">
        <f>IFERROR(__xludf.DUMMYFUNCTION("""COMPUTED_VALUE"""),"176 HAMPTON CRES")</f>
        <v>176 HAMPTON CRES</v>
      </c>
      <c r="C10284" s="3" t="str">
        <f>IFERROR(__xludf.DUMMYFUNCTION("""COMPUTED_VALUE"""),"ROSENEATH ")</f>
        <v>ROSENEATH </v>
      </c>
      <c r="D10284" s="3" t="str">
        <f>IFERROR(__xludf.DUMMYFUNCTION("""COMPUTED_VALUE"""),"K0K 2X0")</f>
        <v>K0K 2X0</v>
      </c>
      <c r="E10284" s="3"/>
      <c r="F10284" s="3"/>
      <c r="G10284" s="3"/>
      <c r="H10284" s="3"/>
    </row>
    <row r="10285">
      <c r="A10285" s="2">
        <f>IFERROR(__xludf.DUMMYFUNCTION("""COMPUTED_VALUE"""),51141.0)</f>
        <v>51141</v>
      </c>
      <c r="B10285" s="3" t="str">
        <f>IFERROR(__xludf.DUMMYFUNCTION("""COMPUTED_VALUE"""),"178 HAMPTON CRES")</f>
        <v>178 HAMPTON CRES</v>
      </c>
      <c r="C10285" s="3" t="str">
        <f>IFERROR(__xludf.DUMMYFUNCTION("""COMPUTED_VALUE"""),"ROSENEATH ")</f>
        <v>ROSENEATH </v>
      </c>
      <c r="D10285" s="3" t="str">
        <f>IFERROR(__xludf.DUMMYFUNCTION("""COMPUTED_VALUE"""),"K0K 2X0")</f>
        <v>K0K 2X0</v>
      </c>
      <c r="E10285" s="3" t="str">
        <f>IFERROR(__xludf.DUMMYFUNCTION("""COMPUTED_VALUE"""),"vincenzo cernigliaro")</f>
        <v>vincenzo cernigliaro</v>
      </c>
      <c r="F10285" s="3" t="str">
        <f>IFERROR(__xludf.DUMMYFUNCTION("""COMPUTED_VALUE"""),"vincecernigliaro@gmail.com")</f>
        <v>vincecernigliaro@gmail.com</v>
      </c>
      <c r="G10285" s="3">
        <f>IFERROR(__xludf.DUMMYFUNCTION("""COMPUTED_VALUE"""),9.05352343E9)</f>
        <v>9053523430</v>
      </c>
      <c r="H10285" s="3">
        <f>IFERROR(__xludf.DUMMYFUNCTION("""COMPUTED_VALUE"""),6.476879674E9)</f>
        <v>6476879674</v>
      </c>
    </row>
    <row r="10286">
      <c r="A10286" s="2">
        <f>IFERROR(__xludf.DUMMYFUNCTION("""COMPUTED_VALUE"""),51142.0)</f>
        <v>51142</v>
      </c>
      <c r="B10286" s="3" t="str">
        <f>IFERROR(__xludf.DUMMYFUNCTION("""COMPUTED_VALUE"""),"182 HAMPTON CRES")</f>
        <v>182 HAMPTON CRES</v>
      </c>
      <c r="C10286" s="3" t="str">
        <f>IFERROR(__xludf.DUMMYFUNCTION("""COMPUTED_VALUE"""),"ROSENEATH ")</f>
        <v>ROSENEATH </v>
      </c>
      <c r="D10286" s="3" t="str">
        <f>IFERROR(__xludf.DUMMYFUNCTION("""COMPUTED_VALUE"""),"K0K 2X0")</f>
        <v>K0K 2X0</v>
      </c>
      <c r="E10286" s="3" t="str">
        <f>IFERROR(__xludf.DUMMYFUNCTION("""COMPUTED_VALUE"""),"vincenzo cernigliaro")</f>
        <v>vincenzo cernigliaro</v>
      </c>
      <c r="F10286" s="3" t="str">
        <f>IFERROR(__xludf.DUMMYFUNCTION("""COMPUTED_VALUE"""),"vincecernigliaro@gmail.com")</f>
        <v>vincecernigliaro@gmail.com</v>
      </c>
      <c r="G10286" s="3">
        <f>IFERROR(__xludf.DUMMYFUNCTION("""COMPUTED_VALUE"""),9.05352343E9)</f>
        <v>9053523430</v>
      </c>
      <c r="H10286" s="3">
        <f>IFERROR(__xludf.DUMMYFUNCTION("""COMPUTED_VALUE"""),6.476879674E9)</f>
        <v>6476879674</v>
      </c>
    </row>
    <row r="10287">
      <c r="A10287" s="2">
        <f>IFERROR(__xludf.DUMMYFUNCTION("""COMPUTED_VALUE"""),51143.0)</f>
        <v>51143</v>
      </c>
      <c r="B10287" s="3" t="str">
        <f>IFERROR(__xludf.DUMMYFUNCTION("""COMPUTED_VALUE"""),"186 HAMPTON CRES")</f>
        <v>186 HAMPTON CRES</v>
      </c>
      <c r="C10287" s="3" t="str">
        <f>IFERROR(__xludf.DUMMYFUNCTION("""COMPUTED_VALUE"""),"ROSENEATH ")</f>
        <v>ROSENEATH </v>
      </c>
      <c r="D10287" s="3" t="str">
        <f>IFERROR(__xludf.DUMMYFUNCTION("""COMPUTED_VALUE"""),"K0K 2X0")</f>
        <v>K0K 2X0</v>
      </c>
      <c r="E10287" s="3"/>
      <c r="F10287" s="3"/>
      <c r="G10287" s="3"/>
      <c r="H10287" s="3"/>
    </row>
    <row r="10288">
      <c r="A10288" s="2">
        <f>IFERROR(__xludf.DUMMYFUNCTION("""COMPUTED_VALUE"""),51144.0)</f>
        <v>51144</v>
      </c>
      <c r="B10288" s="3" t="str">
        <f>IFERROR(__xludf.DUMMYFUNCTION("""COMPUTED_VALUE"""),"188 HAMPTON CRES")</f>
        <v>188 HAMPTON CRES</v>
      </c>
      <c r="C10288" s="3" t="str">
        <f>IFERROR(__xludf.DUMMYFUNCTION("""COMPUTED_VALUE"""),"ROSENEATH ")</f>
        <v>ROSENEATH </v>
      </c>
      <c r="D10288" s="3" t="str">
        <f>IFERROR(__xludf.DUMMYFUNCTION("""COMPUTED_VALUE"""),"K0K 2X0")</f>
        <v>K0K 2X0</v>
      </c>
      <c r="E10288" s="3" t="str">
        <f>IFERROR(__xludf.DUMMYFUNCTION("""COMPUTED_VALUE"""),"sandra murdoch")</f>
        <v>sandra murdoch</v>
      </c>
      <c r="F10288" s="3" t="str">
        <f>IFERROR(__xludf.DUMMYFUNCTION("""COMPUTED_VALUE"""),"4paws@rogers.com")</f>
        <v>4paws@rogers.com</v>
      </c>
      <c r="G10288" s="3">
        <f>IFERROR(__xludf.DUMMYFUNCTION("""COMPUTED_VALUE"""),4.164504209E9)</f>
        <v>4164504209</v>
      </c>
      <c r="H10288" s="3"/>
    </row>
    <row r="10289">
      <c r="A10289" s="2">
        <f>IFERROR(__xludf.DUMMYFUNCTION("""COMPUTED_VALUE"""),51145.0)</f>
        <v>51145</v>
      </c>
      <c r="B10289" s="3" t="str">
        <f>IFERROR(__xludf.DUMMYFUNCTION("""COMPUTED_VALUE"""),"192 HAMPTON CRES")</f>
        <v>192 HAMPTON CRES</v>
      </c>
      <c r="C10289" s="3" t="str">
        <f>IFERROR(__xludf.DUMMYFUNCTION("""COMPUTED_VALUE"""),"ROSENEATH ")</f>
        <v>ROSENEATH </v>
      </c>
      <c r="D10289" s="3" t="str">
        <f>IFERROR(__xludf.DUMMYFUNCTION("""COMPUTED_VALUE"""),"K0K 2X0")</f>
        <v>K0K 2X0</v>
      </c>
      <c r="E10289" s="3" t="str">
        <f>IFERROR(__xludf.DUMMYFUNCTION("""COMPUTED_VALUE"""),"Korhan Aybas")</f>
        <v>Korhan Aybas</v>
      </c>
      <c r="F10289" s="3" t="str">
        <f>IFERROR(__xludf.DUMMYFUNCTION("""COMPUTED_VALUE"""),"aybaskorhan@gmail.com")</f>
        <v>aybaskorhan@gmail.com</v>
      </c>
      <c r="G10289" s="3">
        <f>IFERROR(__xludf.DUMMYFUNCTION("""COMPUTED_VALUE"""),4.168290152E9)</f>
        <v>4168290152</v>
      </c>
      <c r="H10289" s="3">
        <f>IFERROR(__xludf.DUMMYFUNCTION("""COMPUTED_VALUE"""),6.475265262E9)</f>
        <v>6475265262</v>
      </c>
    </row>
    <row r="10290">
      <c r="A10290" s="2">
        <f>IFERROR(__xludf.DUMMYFUNCTION("""COMPUTED_VALUE"""),51146.0)</f>
        <v>51146</v>
      </c>
      <c r="B10290" s="3" t="str">
        <f>IFERROR(__xludf.DUMMYFUNCTION("""COMPUTED_VALUE"""),"198 HAMPTON CRES")</f>
        <v>198 HAMPTON CRES</v>
      </c>
      <c r="C10290" s="3" t="str">
        <f>IFERROR(__xludf.DUMMYFUNCTION("""COMPUTED_VALUE"""),"ROSENEATH ")</f>
        <v>ROSENEATH </v>
      </c>
      <c r="D10290" s="3" t="str">
        <f>IFERROR(__xludf.DUMMYFUNCTION("""COMPUTED_VALUE"""),"K0K 2X0")</f>
        <v>K0K 2X0</v>
      </c>
      <c r="E10290" s="3"/>
      <c r="F10290" s="3"/>
      <c r="G10290" s="3"/>
      <c r="H10290" s="3"/>
    </row>
    <row r="10291">
      <c r="A10291" s="2">
        <f>IFERROR(__xludf.DUMMYFUNCTION("""COMPUTED_VALUE"""),51147.0)</f>
        <v>51147</v>
      </c>
      <c r="B10291" s="3" t="str">
        <f>IFERROR(__xludf.DUMMYFUNCTION("""COMPUTED_VALUE"""),"200 HAMPTON CRES")</f>
        <v>200 HAMPTON CRES</v>
      </c>
      <c r="C10291" s="3" t="str">
        <f>IFERROR(__xludf.DUMMYFUNCTION("""COMPUTED_VALUE"""),"ROSENEATH ")</f>
        <v>ROSENEATH </v>
      </c>
      <c r="D10291" s="3" t="str">
        <f>IFERROR(__xludf.DUMMYFUNCTION("""COMPUTED_VALUE"""),"K0K 2X0")</f>
        <v>K0K 2X0</v>
      </c>
      <c r="E10291" s="3"/>
      <c r="F10291" s="3"/>
      <c r="G10291" s="3"/>
      <c r="H10291" s="3"/>
    </row>
    <row r="10292">
      <c r="A10292" s="2">
        <f>IFERROR(__xludf.DUMMYFUNCTION("""COMPUTED_VALUE"""),51148.0)</f>
        <v>51148</v>
      </c>
      <c r="B10292" s="3" t="str">
        <f>IFERROR(__xludf.DUMMYFUNCTION("""COMPUTED_VALUE"""),"208 HAMPTON CRES")</f>
        <v>208 HAMPTON CRES</v>
      </c>
      <c r="C10292" s="3" t="str">
        <f>IFERROR(__xludf.DUMMYFUNCTION("""COMPUTED_VALUE"""),"ROSENEATH ")</f>
        <v>ROSENEATH </v>
      </c>
      <c r="D10292" s="3" t="str">
        <f>IFERROR(__xludf.DUMMYFUNCTION("""COMPUTED_VALUE"""),"K0K 2X0")</f>
        <v>K0K 2X0</v>
      </c>
      <c r="E10292" s="3"/>
      <c r="F10292" s="3"/>
      <c r="G10292" s="3"/>
      <c r="H10292" s="3"/>
    </row>
    <row r="10293">
      <c r="A10293" s="2">
        <f>IFERROR(__xludf.DUMMYFUNCTION("""COMPUTED_VALUE"""),51149.0)</f>
        <v>51149</v>
      </c>
      <c r="B10293" s="3" t="str">
        <f>IFERROR(__xludf.DUMMYFUNCTION("""COMPUTED_VALUE"""),"214 HAMPTON CRES")</f>
        <v>214 HAMPTON CRES</v>
      </c>
      <c r="C10293" s="3" t="str">
        <f>IFERROR(__xludf.DUMMYFUNCTION("""COMPUTED_VALUE"""),"ROSENEATH ")</f>
        <v>ROSENEATH </v>
      </c>
      <c r="D10293" s="3" t="str">
        <f>IFERROR(__xludf.DUMMYFUNCTION("""COMPUTED_VALUE"""),"K0K 2X0")</f>
        <v>K0K 2X0</v>
      </c>
      <c r="E10293" s="3" t="str">
        <f>IFERROR(__xludf.DUMMYFUNCTION("""COMPUTED_VALUE"""),"josie novello")</f>
        <v>josie novello</v>
      </c>
      <c r="F10293" s="3" t="str">
        <f>IFERROR(__xludf.DUMMYFUNCTION("""COMPUTED_VALUE"""),"josienovello@hotmail.com")</f>
        <v>josienovello@hotmail.com</v>
      </c>
      <c r="G10293" s="3">
        <f>IFERROR(__xludf.DUMMYFUNCTION("""COMPUTED_VALUE"""),6.475399631E9)</f>
        <v>6475399631</v>
      </c>
      <c r="H10293" s="3"/>
    </row>
    <row r="10294">
      <c r="A10294" s="2">
        <f>IFERROR(__xludf.DUMMYFUNCTION("""COMPUTED_VALUE"""),51150.0)</f>
        <v>51150</v>
      </c>
      <c r="B10294" s="3" t="str">
        <f>IFERROR(__xludf.DUMMYFUNCTION("""COMPUTED_VALUE"""),"216 HAMPTON CRES")</f>
        <v>216 HAMPTON CRES</v>
      </c>
      <c r="C10294" s="3" t="str">
        <f>IFERROR(__xludf.DUMMYFUNCTION("""COMPUTED_VALUE"""),"ROSENEATH ")</f>
        <v>ROSENEATH </v>
      </c>
      <c r="D10294" s="3" t="str">
        <f>IFERROR(__xludf.DUMMYFUNCTION("""COMPUTED_VALUE"""),"K0K 2X0")</f>
        <v>K0K 2X0</v>
      </c>
      <c r="E10294" s="3" t="str">
        <f>IFERROR(__xludf.DUMMYFUNCTION("""COMPUTED_VALUE"""),"binh van tran")</f>
        <v>binh van tran</v>
      </c>
      <c r="F10294" s="3" t="str">
        <f>IFERROR(__xludf.DUMMYFUNCTION("""COMPUTED_VALUE"""),"binhvantran@hotmail.com")</f>
        <v>binhvantran@hotmail.com</v>
      </c>
      <c r="G10294" s="3">
        <f>IFERROR(__xludf.DUMMYFUNCTION("""COMPUTED_VALUE"""),6.478985401E9)</f>
        <v>6478985401</v>
      </c>
      <c r="H10294" s="3">
        <f>IFERROR(__xludf.DUMMYFUNCTION("""COMPUTED_VALUE"""),6.478928788E9)</f>
        <v>6478928788</v>
      </c>
    </row>
    <row r="10295">
      <c r="A10295" s="2">
        <f>IFERROR(__xludf.DUMMYFUNCTION("""COMPUTED_VALUE"""),51151.0)</f>
        <v>51151</v>
      </c>
      <c r="B10295" s="3" t="str">
        <f>IFERROR(__xludf.DUMMYFUNCTION("""COMPUTED_VALUE"""),"222 HAMPTON CRES")</f>
        <v>222 HAMPTON CRES</v>
      </c>
      <c r="C10295" s="3" t="str">
        <f>IFERROR(__xludf.DUMMYFUNCTION("""COMPUTED_VALUE"""),"ROSENEATH ")</f>
        <v>ROSENEATH </v>
      </c>
      <c r="D10295" s="3" t="str">
        <f>IFERROR(__xludf.DUMMYFUNCTION("""COMPUTED_VALUE"""),"K0K 2X0")</f>
        <v>K0K 2X0</v>
      </c>
      <c r="E10295" s="3"/>
      <c r="F10295" s="3"/>
      <c r="G10295" s="3"/>
      <c r="H10295" s="3"/>
    </row>
    <row r="10296">
      <c r="A10296" s="2">
        <f>IFERROR(__xludf.DUMMYFUNCTION("""COMPUTED_VALUE"""),51152.0)</f>
        <v>51152</v>
      </c>
      <c r="B10296" s="3" t="str">
        <f>IFERROR(__xludf.DUMMYFUNCTION("""COMPUTED_VALUE"""),"230 HAMPTON CRES")</f>
        <v>230 HAMPTON CRES</v>
      </c>
      <c r="C10296" s="3" t="str">
        <f>IFERROR(__xludf.DUMMYFUNCTION("""COMPUTED_VALUE"""),"ROSENEATH ")</f>
        <v>ROSENEATH </v>
      </c>
      <c r="D10296" s="3" t="str">
        <f>IFERROR(__xludf.DUMMYFUNCTION("""COMPUTED_VALUE"""),"K0K 2X0")</f>
        <v>K0K 2X0</v>
      </c>
      <c r="E10296" s="3"/>
      <c r="F10296" s="3"/>
      <c r="G10296" s="3"/>
      <c r="H10296" s="3"/>
    </row>
    <row r="10297">
      <c r="A10297" s="2">
        <f>IFERROR(__xludf.DUMMYFUNCTION("""COMPUTED_VALUE"""),51153.0)</f>
        <v>51153</v>
      </c>
      <c r="B10297" s="3" t="str">
        <f>IFERROR(__xludf.DUMMYFUNCTION("""COMPUTED_VALUE"""),"242 HAMPTON CRES")</f>
        <v>242 HAMPTON CRES</v>
      </c>
      <c r="C10297" s="3" t="str">
        <f>IFERROR(__xludf.DUMMYFUNCTION("""COMPUTED_VALUE"""),"ROSENEATH ")</f>
        <v>ROSENEATH </v>
      </c>
      <c r="D10297" s="3" t="str">
        <f>IFERROR(__xludf.DUMMYFUNCTION("""COMPUTED_VALUE"""),"K0K 2X0")</f>
        <v>K0K 2X0</v>
      </c>
      <c r="E10297" s="3"/>
      <c r="F10297" s="3"/>
      <c r="G10297" s="3"/>
      <c r="H10297" s="3"/>
    </row>
    <row r="10298">
      <c r="A10298" s="2">
        <f>IFERROR(__xludf.DUMMYFUNCTION("""COMPUTED_VALUE"""),51154.0)</f>
        <v>51154</v>
      </c>
      <c r="B10298" s="3" t="str">
        <f>IFERROR(__xludf.DUMMYFUNCTION("""COMPUTED_VALUE"""),"244 HAMPTON CRES")</f>
        <v>244 HAMPTON CRES</v>
      </c>
      <c r="C10298" s="3" t="str">
        <f>IFERROR(__xludf.DUMMYFUNCTION("""COMPUTED_VALUE"""),"ROSENEATH ")</f>
        <v>ROSENEATH </v>
      </c>
      <c r="D10298" s="3" t="str">
        <f>IFERROR(__xludf.DUMMYFUNCTION("""COMPUTED_VALUE"""),"K0K 2X0")</f>
        <v>K0K 2X0</v>
      </c>
      <c r="E10298" s="3"/>
      <c r="F10298" s="3"/>
      <c r="G10298" s="3"/>
      <c r="H10298" s="3"/>
    </row>
    <row r="10299">
      <c r="A10299" s="2">
        <f>IFERROR(__xludf.DUMMYFUNCTION("""COMPUTED_VALUE"""),51155.0)</f>
        <v>51155</v>
      </c>
      <c r="B10299" s="3" t="str">
        <f>IFERROR(__xludf.DUMMYFUNCTION("""COMPUTED_VALUE"""),"100 HARPER RD")</f>
        <v>100 HARPER RD</v>
      </c>
      <c r="C10299" s="3" t="str">
        <f>IFERROR(__xludf.DUMMYFUNCTION("""COMPUTED_VALUE"""),"ROSENEATH ")</f>
        <v>ROSENEATH </v>
      </c>
      <c r="D10299" s="3" t="str">
        <f>IFERROR(__xludf.DUMMYFUNCTION("""COMPUTED_VALUE"""),"K0K 2X0")</f>
        <v>K0K 2X0</v>
      </c>
      <c r="E10299" s="3"/>
      <c r="F10299" s="3"/>
      <c r="G10299" s="3"/>
      <c r="H10299" s="3"/>
    </row>
    <row r="10300">
      <c r="A10300" s="2">
        <f>IFERROR(__xludf.DUMMYFUNCTION("""COMPUTED_VALUE"""),51156.0)</f>
        <v>51156</v>
      </c>
      <c r="B10300" s="3" t="str">
        <f>IFERROR(__xludf.DUMMYFUNCTION("""COMPUTED_VALUE"""),"101 HARPER RD")</f>
        <v>101 HARPER RD</v>
      </c>
      <c r="C10300" s="3" t="str">
        <f>IFERROR(__xludf.DUMMYFUNCTION("""COMPUTED_VALUE"""),"ROSENEATH ")</f>
        <v>ROSENEATH </v>
      </c>
      <c r="D10300" s="3" t="str">
        <f>IFERROR(__xludf.DUMMYFUNCTION("""COMPUTED_VALUE"""),"K0K 2X0")</f>
        <v>K0K 2X0</v>
      </c>
      <c r="E10300" s="3"/>
      <c r="F10300" s="3"/>
      <c r="G10300" s="3"/>
      <c r="H10300" s="3"/>
    </row>
    <row r="10301">
      <c r="A10301" s="2">
        <f>IFERROR(__xludf.DUMMYFUNCTION("""COMPUTED_VALUE"""),51157.0)</f>
        <v>51157</v>
      </c>
      <c r="B10301" s="3" t="str">
        <f>IFERROR(__xludf.DUMMYFUNCTION("""COMPUTED_VALUE"""),"107 HARPER RD")</f>
        <v>107 HARPER RD</v>
      </c>
      <c r="C10301" s="3" t="str">
        <f>IFERROR(__xludf.DUMMYFUNCTION("""COMPUTED_VALUE"""),"ROSENEATH ")</f>
        <v>ROSENEATH </v>
      </c>
      <c r="D10301" s="3" t="str">
        <f>IFERROR(__xludf.DUMMYFUNCTION("""COMPUTED_VALUE"""),"K0K 2X0")</f>
        <v>K0K 2X0</v>
      </c>
      <c r="E10301" s="3"/>
      <c r="F10301" s="3"/>
      <c r="G10301" s="3"/>
      <c r="H10301" s="3"/>
    </row>
    <row r="10302">
      <c r="A10302" s="2">
        <f>IFERROR(__xludf.DUMMYFUNCTION("""COMPUTED_VALUE"""),51158.0)</f>
        <v>51158</v>
      </c>
      <c r="B10302" s="3" t="str">
        <f>IFERROR(__xludf.DUMMYFUNCTION("""COMPUTED_VALUE"""),"8 HIGHLAND RD")</f>
        <v>8 HIGHLAND RD</v>
      </c>
      <c r="C10302" s="3" t="str">
        <f>IFERROR(__xludf.DUMMYFUNCTION("""COMPUTED_VALUE"""),"ROSENEATH ")</f>
        <v>ROSENEATH </v>
      </c>
      <c r="D10302" s="3" t="str">
        <f>IFERROR(__xludf.DUMMYFUNCTION("""COMPUTED_VALUE"""),"K0K 2X0")</f>
        <v>K0K 2X0</v>
      </c>
      <c r="E10302" s="3" t="str">
        <f>IFERROR(__xludf.DUMMYFUNCTION("""COMPUTED_VALUE"""),"Samantha Stevens")</f>
        <v>Samantha Stevens</v>
      </c>
      <c r="F10302" s="3" t="str">
        <f>IFERROR(__xludf.DUMMYFUNCTION("""COMPUTED_VALUE"""),"sstevens@live.ca")</f>
        <v>sstevens@live.ca</v>
      </c>
      <c r="G10302" s="3"/>
      <c r="H10302" s="3"/>
    </row>
    <row r="10303">
      <c r="A10303" s="2">
        <f>IFERROR(__xludf.DUMMYFUNCTION("""COMPUTED_VALUE"""),51159.0)</f>
        <v>51159</v>
      </c>
      <c r="B10303" s="3" t="str">
        <f>IFERROR(__xludf.DUMMYFUNCTION("""COMPUTED_VALUE"""),"30 HIGHLAND RD")</f>
        <v>30 HIGHLAND RD</v>
      </c>
      <c r="C10303" s="3" t="str">
        <f>IFERROR(__xludf.DUMMYFUNCTION("""COMPUTED_VALUE"""),"ROSENEATH ")</f>
        <v>ROSENEATH </v>
      </c>
      <c r="D10303" s="3" t="str">
        <f>IFERROR(__xludf.DUMMYFUNCTION("""COMPUTED_VALUE"""),"K0K 2X0")</f>
        <v>K0K 2X0</v>
      </c>
      <c r="E10303" s="3"/>
      <c r="F10303" s="3"/>
      <c r="G10303" s="3"/>
      <c r="H10303" s="3"/>
    </row>
    <row r="10304">
      <c r="A10304" s="2">
        <f>IFERROR(__xludf.DUMMYFUNCTION("""COMPUTED_VALUE"""),51160.0)</f>
        <v>51160</v>
      </c>
      <c r="B10304" s="3" t="str">
        <f>IFERROR(__xludf.DUMMYFUNCTION("""COMPUTED_VALUE"""),"55 HIGHLAND RD")</f>
        <v>55 HIGHLAND RD</v>
      </c>
      <c r="C10304" s="3" t="str">
        <f>IFERROR(__xludf.DUMMYFUNCTION("""COMPUTED_VALUE"""),"ROSENEATH ")</f>
        <v>ROSENEATH </v>
      </c>
      <c r="D10304" s="3" t="str">
        <f>IFERROR(__xludf.DUMMYFUNCTION("""COMPUTED_VALUE"""),"K0K 2X0")</f>
        <v>K0K 2X0</v>
      </c>
      <c r="E10304" s="3"/>
      <c r="F10304" s="3"/>
      <c r="G10304" s="3"/>
      <c r="H10304" s="3"/>
    </row>
    <row r="10305">
      <c r="A10305" s="2">
        <f>IFERROR(__xludf.DUMMYFUNCTION("""COMPUTED_VALUE"""),51164.0)</f>
        <v>51164</v>
      </c>
      <c r="B10305" s="3" t="str">
        <f>IFERROR(__xludf.DUMMYFUNCTION("""COMPUTED_VALUE"""),"435 HIGHLAND RD")</f>
        <v>435 HIGHLAND RD</v>
      </c>
      <c r="C10305" s="3" t="str">
        <f>IFERROR(__xludf.DUMMYFUNCTION("""COMPUTED_VALUE"""),"ROSENEATH ")</f>
        <v>ROSENEATH </v>
      </c>
      <c r="D10305" s="3" t="str">
        <f>IFERROR(__xludf.DUMMYFUNCTION("""COMPUTED_VALUE"""),"K0K 2X0")</f>
        <v>K0K 2X0</v>
      </c>
      <c r="E10305" s="3"/>
      <c r="F10305" s="3"/>
      <c r="G10305" s="3"/>
      <c r="H10305" s="3"/>
    </row>
    <row r="10306">
      <c r="A10306" s="2">
        <f>IFERROR(__xludf.DUMMYFUNCTION("""COMPUTED_VALUE"""),51165.0)</f>
        <v>51165</v>
      </c>
      <c r="B10306" s="3" t="str">
        <f>IFERROR(__xludf.DUMMYFUNCTION("""COMPUTED_VALUE"""),"10372 HIGHWAY 45")</f>
        <v>10372 HIGHWAY 45</v>
      </c>
      <c r="C10306" s="3" t="str">
        <f>IFERROR(__xludf.DUMMYFUNCTION("""COMPUTED_VALUE"""),"HASTINGS ")</f>
        <v>HASTINGS </v>
      </c>
      <c r="D10306" s="3" t="str">
        <f>IFERROR(__xludf.DUMMYFUNCTION("""COMPUTED_VALUE"""),"K0L1Y0")</f>
        <v>K0L1Y0</v>
      </c>
      <c r="E10306" s="3"/>
      <c r="F10306" s="3"/>
      <c r="G10306" s="3"/>
      <c r="H10306" s="3"/>
    </row>
    <row r="10307">
      <c r="A10307" s="2">
        <f>IFERROR(__xludf.DUMMYFUNCTION("""COMPUTED_VALUE"""),51166.0)</f>
        <v>51166</v>
      </c>
      <c r="B10307" s="3" t="str">
        <f>IFERROR(__xludf.DUMMYFUNCTION("""COMPUTED_VALUE"""),"11124 HIGHWAY 45")</f>
        <v>11124 HIGHWAY 45</v>
      </c>
      <c r="C10307" s="3" t="str">
        <f>IFERROR(__xludf.DUMMYFUNCTION("""COMPUTED_VALUE"""),"HASTINGS ")</f>
        <v>HASTINGS </v>
      </c>
      <c r="D10307" s="3" t="str">
        <f>IFERROR(__xludf.DUMMYFUNCTION("""COMPUTED_VALUE"""),"K0L1Y0")</f>
        <v>K0L1Y0</v>
      </c>
      <c r="E10307" s="3" t="str">
        <f>IFERROR(__xludf.DUMMYFUNCTION("""COMPUTED_VALUE"""),"Malcolm U-ming")</f>
        <v>Malcolm U-ming</v>
      </c>
      <c r="F10307" s="3"/>
      <c r="G10307" s="3"/>
      <c r="H10307" s="3"/>
    </row>
    <row r="10308">
      <c r="A10308" s="2">
        <f>IFERROR(__xludf.DUMMYFUNCTION("""COMPUTED_VALUE"""),51167.0)</f>
        <v>51167</v>
      </c>
      <c r="B10308" s="3" t="str">
        <f>IFERROR(__xludf.DUMMYFUNCTION("""COMPUTED_VALUE"""),"11159 HIGHWAY 45")</f>
        <v>11159 HIGHWAY 45</v>
      </c>
      <c r="C10308" s="3" t="str">
        <f>IFERROR(__xludf.DUMMYFUNCTION("""COMPUTED_VALUE"""),"HASTINGS ")</f>
        <v>HASTINGS </v>
      </c>
      <c r="D10308" s="3" t="str">
        <f>IFERROR(__xludf.DUMMYFUNCTION("""COMPUTED_VALUE"""),"K0L1Y0")</f>
        <v>K0L1Y0</v>
      </c>
      <c r="E10308" s="3"/>
      <c r="F10308" s="3"/>
      <c r="G10308" s="3"/>
      <c r="H10308" s="3"/>
    </row>
    <row r="10309">
      <c r="A10309" s="2">
        <f>IFERROR(__xludf.DUMMYFUNCTION("""COMPUTED_VALUE"""),51168.0)</f>
        <v>51168</v>
      </c>
      <c r="B10309" s="3" t="str">
        <f>IFERROR(__xludf.DUMMYFUNCTION("""COMPUTED_VALUE"""),"11245 HIGHWAY 45")</f>
        <v>11245 HIGHWAY 45</v>
      </c>
      <c r="C10309" s="3" t="str">
        <f>IFERROR(__xludf.DUMMYFUNCTION("""COMPUTED_VALUE"""),"HASTINGS ")</f>
        <v>HASTINGS </v>
      </c>
      <c r="D10309" s="3" t="str">
        <f>IFERROR(__xludf.DUMMYFUNCTION("""COMPUTED_VALUE"""),"K0L1Y0")</f>
        <v>K0L1Y0</v>
      </c>
      <c r="E10309" s="3" t="str">
        <f>IFERROR(__xludf.DUMMYFUNCTION("""COMPUTED_VALUE"""),"Dale Wood")</f>
        <v>Dale Wood</v>
      </c>
      <c r="F10309" s="3"/>
      <c r="G10309" s="3">
        <f>IFERROR(__xludf.DUMMYFUNCTION("""COMPUTED_VALUE"""),7.056962958E9)</f>
        <v>7056962958</v>
      </c>
      <c r="H10309" s="3"/>
    </row>
    <row r="10310">
      <c r="A10310" s="2">
        <f>IFERROR(__xludf.DUMMYFUNCTION("""COMPUTED_VALUE"""),51170.0)</f>
        <v>51170</v>
      </c>
      <c r="B10310" s="3" t="str">
        <f>IFERROR(__xludf.DUMMYFUNCTION("""COMPUTED_VALUE"""),"2 HOSKINS RD")</f>
        <v>2 HOSKINS RD</v>
      </c>
      <c r="C10310" s="3" t="str">
        <f>IFERROR(__xludf.DUMMYFUNCTION("""COMPUTED_VALUE"""),"HASTINGS ")</f>
        <v>HASTINGS </v>
      </c>
      <c r="D10310" s="3" t="str">
        <f>IFERROR(__xludf.DUMMYFUNCTION("""COMPUTED_VALUE"""),"K0L 1Y0")</f>
        <v>K0L 1Y0</v>
      </c>
      <c r="E10310" s="3"/>
      <c r="F10310" s="3"/>
      <c r="G10310" s="3"/>
      <c r="H10310" s="3"/>
    </row>
    <row r="10311">
      <c r="A10311" s="2">
        <f>IFERROR(__xludf.DUMMYFUNCTION("""COMPUTED_VALUE"""),51171.0)</f>
        <v>51171</v>
      </c>
      <c r="B10311" s="3" t="str">
        <f>IFERROR(__xludf.DUMMYFUNCTION("""COMPUTED_VALUE"""),"18 HUTCHINSON CRT")</f>
        <v>18 HUTCHINSON CRT</v>
      </c>
      <c r="C10311" s="3" t="str">
        <f>IFERROR(__xludf.DUMMYFUNCTION("""COMPUTED_VALUE"""),"WARKWORTH ")</f>
        <v>WARKWORTH </v>
      </c>
      <c r="D10311" s="3" t="str">
        <f>IFERROR(__xludf.DUMMYFUNCTION("""COMPUTED_VALUE"""),"K0K 3K0")</f>
        <v>K0K 3K0</v>
      </c>
      <c r="E10311" s="3" t="str">
        <f>IFERROR(__xludf.DUMMYFUNCTION("""COMPUTED_VALUE"""),"Ian Sollitt")</f>
        <v>Ian Sollitt</v>
      </c>
      <c r="F10311" s="3" t="str">
        <f>IFERROR(__xludf.DUMMYFUNCTION("""COMPUTED_VALUE"""),"iansollitt@hotmail.ca")</f>
        <v>iansollitt@hotmail.ca</v>
      </c>
      <c r="G10311" s="3">
        <f>IFERROR(__xludf.DUMMYFUNCTION("""COMPUTED_VALUE"""),7.059340205E9)</f>
        <v>7059340205</v>
      </c>
      <c r="H10311" s="3"/>
    </row>
    <row r="10312">
      <c r="A10312" s="2">
        <f>IFERROR(__xludf.DUMMYFUNCTION("""COMPUTED_VALUE"""),51172.0)</f>
        <v>51172</v>
      </c>
      <c r="B10312" s="3" t="str">
        <f>IFERROR(__xludf.DUMMYFUNCTION("""COMPUTED_VALUE"""),"21 HUTCHINSON CRT")</f>
        <v>21 HUTCHINSON CRT</v>
      </c>
      <c r="C10312" s="3" t="str">
        <f>IFERROR(__xludf.DUMMYFUNCTION("""COMPUTED_VALUE"""),"WARKWORTH ")</f>
        <v>WARKWORTH </v>
      </c>
      <c r="D10312" s="3" t="str">
        <f>IFERROR(__xludf.DUMMYFUNCTION("""COMPUTED_VALUE"""),"K0K 3K0")</f>
        <v>K0K 3K0</v>
      </c>
      <c r="E10312" s="3"/>
      <c r="F10312" s="3"/>
      <c r="G10312" s="3"/>
      <c r="H10312" s="3"/>
    </row>
    <row r="10313">
      <c r="A10313" s="2">
        <f>IFERROR(__xludf.DUMMYFUNCTION("""COMPUTED_VALUE"""),51173.0)</f>
        <v>51173</v>
      </c>
      <c r="B10313" s="3" t="str">
        <f>IFERROR(__xludf.DUMMYFUNCTION("""COMPUTED_VALUE"""),"28 HUTCHINSON CRT")</f>
        <v>28 HUTCHINSON CRT</v>
      </c>
      <c r="C10313" s="3" t="str">
        <f>IFERROR(__xludf.DUMMYFUNCTION("""COMPUTED_VALUE"""),"WARKWORTH ")</f>
        <v>WARKWORTH </v>
      </c>
      <c r="D10313" s="3" t="str">
        <f>IFERROR(__xludf.DUMMYFUNCTION("""COMPUTED_VALUE"""),"K0K 3K0")</f>
        <v>K0K 3K0</v>
      </c>
      <c r="E10313" s="3"/>
      <c r="F10313" s="3"/>
      <c r="G10313" s="3"/>
      <c r="H10313" s="3"/>
    </row>
    <row r="10314">
      <c r="A10314" s="2">
        <f>IFERROR(__xludf.DUMMYFUNCTION("""COMPUTED_VALUE"""),51174.0)</f>
        <v>51174</v>
      </c>
      <c r="B10314" s="3" t="str">
        <f>IFERROR(__xludf.DUMMYFUNCTION("""COMPUTED_VALUE"""),"30 HUTCHINSON CRT")</f>
        <v>30 HUTCHINSON CRT</v>
      </c>
      <c r="C10314" s="3" t="str">
        <f>IFERROR(__xludf.DUMMYFUNCTION("""COMPUTED_VALUE"""),"WARKWORTH ")</f>
        <v>WARKWORTH </v>
      </c>
      <c r="D10314" s="3" t="str">
        <f>IFERROR(__xludf.DUMMYFUNCTION("""COMPUTED_VALUE"""),"K0K 3K0")</f>
        <v>K0K 3K0</v>
      </c>
      <c r="E10314" s="3"/>
      <c r="F10314" s="3"/>
      <c r="G10314" s="3"/>
      <c r="H10314" s="3"/>
    </row>
    <row r="10315">
      <c r="A10315" s="2">
        <f>IFERROR(__xludf.DUMMYFUNCTION("""COMPUTED_VALUE"""),51175.0)</f>
        <v>51175</v>
      </c>
      <c r="B10315" s="3" t="str">
        <f>IFERROR(__xludf.DUMMYFUNCTION("""COMPUTED_VALUE"""),"43 HUTCHINSON CRT")</f>
        <v>43 HUTCHINSON CRT</v>
      </c>
      <c r="C10315" s="3" t="str">
        <f>IFERROR(__xludf.DUMMYFUNCTION("""COMPUTED_VALUE"""),"WARKWORTH ")</f>
        <v>WARKWORTH </v>
      </c>
      <c r="D10315" s="3" t="str">
        <f>IFERROR(__xludf.DUMMYFUNCTION("""COMPUTED_VALUE"""),"K0K 3K0")</f>
        <v>K0K 3K0</v>
      </c>
      <c r="E10315" s="3"/>
      <c r="F10315" s="3"/>
      <c r="G10315" s="3"/>
      <c r="H10315" s="3"/>
    </row>
    <row r="10316">
      <c r="A10316" s="2">
        <f>IFERROR(__xludf.DUMMYFUNCTION("""COMPUTED_VALUE"""),51176.0)</f>
        <v>51176</v>
      </c>
      <c r="B10316" s="3" t="str">
        <f>IFERROR(__xludf.DUMMYFUNCTION("""COMPUTED_VALUE"""),"47 HUTCHINSON CRT")</f>
        <v>47 HUTCHINSON CRT</v>
      </c>
      <c r="C10316" s="3" t="str">
        <f>IFERROR(__xludf.DUMMYFUNCTION("""COMPUTED_VALUE"""),"WARKWORTH ")</f>
        <v>WARKWORTH </v>
      </c>
      <c r="D10316" s="3" t="str">
        <f>IFERROR(__xludf.DUMMYFUNCTION("""COMPUTED_VALUE"""),"K0K 3K0")</f>
        <v>K0K 3K0</v>
      </c>
      <c r="E10316" s="3" t="str">
        <f>IFERROR(__xludf.DUMMYFUNCTION("""COMPUTED_VALUE"""),"CHAD HENDERSON")</f>
        <v>CHAD HENDERSON</v>
      </c>
      <c r="F10316" s="3" t="str">
        <f>IFERROR(__xludf.DUMMYFUNCTION("""COMPUTED_VALUE"""),"henderson.chad.a@gmail.com")</f>
        <v>henderson.chad.a@gmail.com</v>
      </c>
      <c r="G10316" s="3"/>
      <c r="H10316" s="3">
        <f>IFERROR(__xludf.DUMMYFUNCTION("""COMPUTED_VALUE"""),7.05279333E9)</f>
        <v>7052793330</v>
      </c>
    </row>
    <row r="10317">
      <c r="A10317" s="2">
        <f>IFERROR(__xludf.DUMMYFUNCTION("""COMPUTED_VALUE"""),51177.0)</f>
        <v>51177</v>
      </c>
      <c r="B10317" s="3" t="str">
        <f>IFERROR(__xludf.DUMMYFUNCTION("""COMPUTED_VALUE"""),"51 HUTCHINSON CRT")</f>
        <v>51 HUTCHINSON CRT</v>
      </c>
      <c r="C10317" s="3" t="str">
        <f>IFERROR(__xludf.DUMMYFUNCTION("""COMPUTED_VALUE"""),"WARKWORTH ")</f>
        <v>WARKWORTH </v>
      </c>
      <c r="D10317" s="3" t="str">
        <f>IFERROR(__xludf.DUMMYFUNCTION("""COMPUTED_VALUE"""),"K0K 3K0")</f>
        <v>K0K 3K0</v>
      </c>
      <c r="E10317" s="3"/>
      <c r="F10317" s="3"/>
      <c r="G10317" s="3"/>
      <c r="H10317" s="3"/>
    </row>
    <row r="10318">
      <c r="A10318" s="2">
        <f>IFERROR(__xludf.DUMMYFUNCTION("""COMPUTED_VALUE"""),51178.0)</f>
        <v>51178</v>
      </c>
      <c r="B10318" s="3" t="str">
        <f>IFERROR(__xludf.DUMMYFUNCTION("""COMPUTED_VALUE"""),"54 HUTCHINSON CRT")</f>
        <v>54 HUTCHINSON CRT</v>
      </c>
      <c r="C10318" s="3" t="str">
        <f>IFERROR(__xludf.DUMMYFUNCTION("""COMPUTED_VALUE"""),"WARKWORTH ")</f>
        <v>WARKWORTH </v>
      </c>
      <c r="D10318" s="3" t="str">
        <f>IFERROR(__xludf.DUMMYFUNCTION("""COMPUTED_VALUE"""),"K0K 3K0")</f>
        <v>K0K 3K0</v>
      </c>
      <c r="E10318" s="3"/>
      <c r="F10318" s="3"/>
      <c r="G10318" s="3"/>
      <c r="H10318" s="3"/>
    </row>
    <row r="10319">
      <c r="A10319" s="2">
        <f>IFERROR(__xludf.DUMMYFUNCTION("""COMPUTED_VALUE"""),51179.0)</f>
        <v>51179</v>
      </c>
      <c r="B10319" s="3" t="str">
        <f>IFERROR(__xludf.DUMMYFUNCTION("""COMPUTED_VALUE"""),"60 HUTCHINSON CRT")</f>
        <v>60 HUTCHINSON CRT</v>
      </c>
      <c r="C10319" s="3" t="str">
        <f>IFERROR(__xludf.DUMMYFUNCTION("""COMPUTED_VALUE"""),"WARKWORTH ")</f>
        <v>WARKWORTH </v>
      </c>
      <c r="D10319" s="3" t="str">
        <f>IFERROR(__xludf.DUMMYFUNCTION("""COMPUTED_VALUE"""),"K0K 3K0")</f>
        <v>K0K 3K0</v>
      </c>
      <c r="E10319" s="3" t="str">
        <f>IFERROR(__xludf.DUMMYFUNCTION("""COMPUTED_VALUE"""),"Paul Massa")</f>
        <v>Paul Massa</v>
      </c>
      <c r="F10319" s="3" t="str">
        <f>IFERROR(__xludf.DUMMYFUNCTION("""COMPUTED_VALUE"""),"paul.massa@hotmail.com")</f>
        <v>paul.massa@hotmail.com</v>
      </c>
      <c r="G10319" s="3"/>
      <c r="H10319" s="3"/>
    </row>
    <row r="10320">
      <c r="A10320" s="2">
        <f>IFERROR(__xludf.DUMMYFUNCTION("""COMPUTED_VALUE"""),51180.0)</f>
        <v>51180</v>
      </c>
      <c r="B10320" s="3" t="str">
        <f>IFERROR(__xludf.DUMMYFUNCTION("""COMPUTED_VALUE"""),"16 INGHAM LANE")</f>
        <v>16 INGHAM LANE</v>
      </c>
      <c r="C10320" s="3" t="str">
        <f>IFERROR(__xludf.DUMMYFUNCTION("""COMPUTED_VALUE"""),"ROSENEATH ")</f>
        <v>ROSENEATH </v>
      </c>
      <c r="D10320" s="3" t="str">
        <f>IFERROR(__xludf.DUMMYFUNCTION("""COMPUTED_VALUE"""),"K0K 2X0")</f>
        <v>K0K 2X0</v>
      </c>
      <c r="E10320" s="3"/>
      <c r="F10320" s="3"/>
      <c r="G10320" s="3"/>
      <c r="H10320" s="3"/>
    </row>
    <row r="10321">
      <c r="A10321" s="2">
        <f>IFERROR(__xludf.DUMMYFUNCTION("""COMPUTED_VALUE"""),51181.0)</f>
        <v>51181</v>
      </c>
      <c r="B10321" s="3" t="str">
        <f>IFERROR(__xludf.DUMMYFUNCTION("""COMPUTED_VALUE"""),"138 INGHAM RD")</f>
        <v>138 INGHAM RD</v>
      </c>
      <c r="C10321" s="3" t="str">
        <f>IFERROR(__xludf.DUMMYFUNCTION("""COMPUTED_VALUE"""),"ROSENEATH ")</f>
        <v>ROSENEATH </v>
      </c>
      <c r="D10321" s="3" t="str">
        <f>IFERROR(__xludf.DUMMYFUNCTION("""COMPUTED_VALUE"""),"K0K 2X0")</f>
        <v>K0K 2X0</v>
      </c>
      <c r="E10321" s="3"/>
      <c r="F10321" s="3"/>
      <c r="G10321" s="3"/>
      <c r="H10321" s="3"/>
    </row>
    <row r="10322">
      <c r="A10322" s="2">
        <f>IFERROR(__xludf.DUMMYFUNCTION("""COMPUTED_VALUE"""),51182.0)</f>
        <v>51182</v>
      </c>
      <c r="B10322" s="3" t="str">
        <f>IFERROR(__xludf.DUMMYFUNCTION("""COMPUTED_VALUE"""),"167 INGHAM LANE")</f>
        <v>167 INGHAM LANE</v>
      </c>
      <c r="C10322" s="3" t="str">
        <f>IFERROR(__xludf.DUMMYFUNCTION("""COMPUTED_VALUE"""),"ROSENEATH ")</f>
        <v>ROSENEATH </v>
      </c>
      <c r="D10322" s="3" t="str">
        <f>IFERROR(__xludf.DUMMYFUNCTION("""COMPUTED_VALUE"""),"K0K 2X0")</f>
        <v>K0K 2X0</v>
      </c>
      <c r="E10322" s="3"/>
      <c r="F10322" s="3"/>
      <c r="G10322" s="3"/>
      <c r="H10322" s="3"/>
    </row>
    <row r="10323">
      <c r="A10323" s="2">
        <f>IFERROR(__xludf.DUMMYFUNCTION("""COMPUTED_VALUE"""),51183.0)</f>
        <v>51183</v>
      </c>
      <c r="B10323" s="3" t="str">
        <f>IFERROR(__xludf.DUMMYFUNCTION("""COMPUTED_VALUE"""),"190 INGHAM RD 1")</f>
        <v>190 INGHAM RD 1</v>
      </c>
      <c r="C10323" s="3" t="str">
        <f>IFERROR(__xludf.DUMMYFUNCTION("""COMPUTED_VALUE"""),"ROSENEATH ")</f>
        <v>ROSENEATH </v>
      </c>
      <c r="D10323" s="3" t="str">
        <f>IFERROR(__xludf.DUMMYFUNCTION("""COMPUTED_VALUE"""),"K0K 2X0")</f>
        <v>K0K 2X0</v>
      </c>
      <c r="E10323" s="3"/>
      <c r="F10323" s="3"/>
      <c r="G10323" s="3"/>
      <c r="H10323" s="3"/>
    </row>
    <row r="10324">
      <c r="A10324" s="2">
        <f>IFERROR(__xludf.DUMMYFUNCTION("""COMPUTED_VALUE"""),51184.0)</f>
        <v>51184</v>
      </c>
      <c r="B10324" s="3" t="str">
        <f>IFERROR(__xludf.DUMMYFUNCTION("""COMPUTED_VALUE"""),"190 INGHAM RD 10")</f>
        <v>190 INGHAM RD 10</v>
      </c>
      <c r="C10324" s="3" t="str">
        <f>IFERROR(__xludf.DUMMYFUNCTION("""COMPUTED_VALUE"""),"ROSENEATH ")</f>
        <v>ROSENEATH </v>
      </c>
      <c r="D10324" s="3" t="str">
        <f>IFERROR(__xludf.DUMMYFUNCTION("""COMPUTED_VALUE"""),"K0K 2X0")</f>
        <v>K0K 2X0</v>
      </c>
      <c r="E10324" s="3"/>
      <c r="F10324" s="3"/>
      <c r="G10324" s="3"/>
      <c r="H10324" s="3"/>
    </row>
    <row r="10325">
      <c r="A10325" s="2">
        <f>IFERROR(__xludf.DUMMYFUNCTION("""COMPUTED_VALUE"""),51185.0)</f>
        <v>51185</v>
      </c>
      <c r="B10325" s="3" t="str">
        <f>IFERROR(__xludf.DUMMYFUNCTION("""COMPUTED_VALUE"""),"190 INGHAM RD 11")</f>
        <v>190 INGHAM RD 11</v>
      </c>
      <c r="C10325" s="3" t="str">
        <f>IFERROR(__xludf.DUMMYFUNCTION("""COMPUTED_VALUE"""),"ROSENEATH ")</f>
        <v>ROSENEATH </v>
      </c>
      <c r="D10325" s="3" t="str">
        <f>IFERROR(__xludf.DUMMYFUNCTION("""COMPUTED_VALUE"""),"K0K 2X0")</f>
        <v>K0K 2X0</v>
      </c>
      <c r="E10325" s="3"/>
      <c r="F10325" s="3"/>
      <c r="G10325" s="3"/>
      <c r="H10325" s="3"/>
    </row>
    <row r="10326">
      <c r="A10326" s="2">
        <f>IFERROR(__xludf.DUMMYFUNCTION("""COMPUTED_VALUE"""),51186.0)</f>
        <v>51186</v>
      </c>
      <c r="B10326" s="3" t="str">
        <f>IFERROR(__xludf.DUMMYFUNCTION("""COMPUTED_VALUE"""),"190 INGHAM LANE UNIT 12")</f>
        <v>190 INGHAM LANE UNIT 12</v>
      </c>
      <c r="C10326" s="3" t="str">
        <f>IFERROR(__xludf.DUMMYFUNCTION("""COMPUTED_VALUE"""),"ROSENEATH ")</f>
        <v>ROSENEATH </v>
      </c>
      <c r="D10326" s="3" t="str">
        <f>IFERROR(__xludf.DUMMYFUNCTION("""COMPUTED_VALUE"""),"K0K 2X0")</f>
        <v>K0K 2X0</v>
      </c>
      <c r="E10326" s="3"/>
      <c r="F10326" s="3"/>
      <c r="G10326" s="3"/>
      <c r="H10326" s="3"/>
    </row>
    <row r="10327">
      <c r="A10327" s="2">
        <f>IFERROR(__xludf.DUMMYFUNCTION("""COMPUTED_VALUE"""),51187.0)</f>
        <v>51187</v>
      </c>
      <c r="B10327" s="3" t="str">
        <f>IFERROR(__xludf.DUMMYFUNCTION("""COMPUTED_VALUE"""),"190 INGHAM RD SUITE 13")</f>
        <v>190 INGHAM RD SUITE 13</v>
      </c>
      <c r="C10327" s="3" t="str">
        <f>IFERROR(__xludf.DUMMYFUNCTION("""COMPUTED_VALUE"""),"ROSENEATH ")</f>
        <v>ROSENEATH </v>
      </c>
      <c r="D10327" s="3" t="str">
        <f>IFERROR(__xludf.DUMMYFUNCTION("""COMPUTED_VALUE"""),"K0K 2X0")</f>
        <v>K0K 2X0</v>
      </c>
      <c r="E10327" s="3"/>
      <c r="F10327" s="3"/>
      <c r="G10327" s="3"/>
      <c r="H10327" s="3"/>
    </row>
    <row r="10328">
      <c r="A10328" s="2">
        <f>IFERROR(__xludf.DUMMYFUNCTION("""COMPUTED_VALUE"""),51188.0)</f>
        <v>51188</v>
      </c>
      <c r="B10328" s="3" t="str">
        <f>IFERROR(__xludf.DUMMYFUNCTION("""COMPUTED_VALUE"""),"190 INGHAM LANE SUITE 14")</f>
        <v>190 INGHAM LANE SUITE 14</v>
      </c>
      <c r="C10328" s="3" t="str">
        <f>IFERROR(__xludf.DUMMYFUNCTION("""COMPUTED_VALUE"""),"ROSENEATH ")</f>
        <v>ROSENEATH </v>
      </c>
      <c r="D10328" s="3" t="str">
        <f>IFERROR(__xludf.DUMMYFUNCTION("""COMPUTED_VALUE"""),"K0K 2X0")</f>
        <v>K0K 2X0</v>
      </c>
      <c r="E10328" s="3"/>
      <c r="F10328" s="3"/>
      <c r="G10328" s="3"/>
      <c r="H10328" s="3"/>
    </row>
    <row r="10329">
      <c r="A10329" s="2">
        <f>IFERROR(__xludf.DUMMYFUNCTION("""COMPUTED_VALUE"""),51189.0)</f>
        <v>51189</v>
      </c>
      <c r="B10329" s="3" t="str">
        <f>IFERROR(__xludf.DUMMYFUNCTION("""COMPUTED_VALUE"""),"190 INGHAM RD 15")</f>
        <v>190 INGHAM RD 15</v>
      </c>
      <c r="C10329" s="3" t="str">
        <f>IFERROR(__xludf.DUMMYFUNCTION("""COMPUTED_VALUE"""),"ROSENEATH ")</f>
        <v>ROSENEATH </v>
      </c>
      <c r="D10329" s="3" t="str">
        <f>IFERROR(__xludf.DUMMYFUNCTION("""COMPUTED_VALUE"""),"K0K 2X0")</f>
        <v>K0K 2X0</v>
      </c>
      <c r="E10329" s="3"/>
      <c r="F10329" s="3"/>
      <c r="G10329" s="3"/>
      <c r="H10329" s="3"/>
    </row>
    <row r="10330">
      <c r="A10330" s="2">
        <f>IFERROR(__xludf.DUMMYFUNCTION("""COMPUTED_VALUE"""),51190.0)</f>
        <v>51190</v>
      </c>
      <c r="B10330" s="3" t="str">
        <f>IFERROR(__xludf.DUMMYFUNCTION("""COMPUTED_VALUE"""),"190 INGHAM RD 2")</f>
        <v>190 INGHAM RD 2</v>
      </c>
      <c r="C10330" s="3" t="str">
        <f>IFERROR(__xludf.DUMMYFUNCTION("""COMPUTED_VALUE"""),"ROSENEATH ")</f>
        <v>ROSENEATH </v>
      </c>
      <c r="D10330" s="3" t="str">
        <f>IFERROR(__xludf.DUMMYFUNCTION("""COMPUTED_VALUE"""),"K0K 2X0")</f>
        <v>K0K 2X0</v>
      </c>
      <c r="E10330" s="3" t="str">
        <f>IFERROR(__xludf.DUMMYFUNCTION("""COMPUTED_VALUE"""),"louise and terry hnindy lacasse ")</f>
        <v>louise and terry hnindy lacasse </v>
      </c>
      <c r="F10330" s="3" t="str">
        <f>IFERROR(__xludf.DUMMYFUNCTION("""COMPUTED_VALUE"""),"hnindy@tleus.net")</f>
        <v>hnindy@tleus.net</v>
      </c>
      <c r="G10330" s="3">
        <f>IFERROR(__xludf.DUMMYFUNCTION("""COMPUTED_VALUE"""),4.169081493E9)</f>
        <v>4169081493</v>
      </c>
      <c r="H10330" s="3">
        <f>IFERROR(__xludf.DUMMYFUNCTION("""COMPUTED_VALUE"""),6.048161017E9)</f>
        <v>6048161017</v>
      </c>
    </row>
    <row r="10331">
      <c r="A10331" s="2">
        <f>IFERROR(__xludf.DUMMYFUNCTION("""COMPUTED_VALUE"""),51191.0)</f>
        <v>51191</v>
      </c>
      <c r="B10331" s="3" t="str">
        <f>IFERROR(__xludf.DUMMYFUNCTION("""COMPUTED_VALUE"""),"190 INGHAM RD 3")</f>
        <v>190 INGHAM RD 3</v>
      </c>
      <c r="C10331" s="3" t="str">
        <f>IFERROR(__xludf.DUMMYFUNCTION("""COMPUTED_VALUE"""),"ROSENEATH ")</f>
        <v>ROSENEATH </v>
      </c>
      <c r="D10331" s="3" t="str">
        <f>IFERROR(__xludf.DUMMYFUNCTION("""COMPUTED_VALUE"""),"K0K 2X0")</f>
        <v>K0K 2X0</v>
      </c>
      <c r="E10331" s="3"/>
      <c r="F10331" s="3"/>
      <c r="G10331" s="3"/>
      <c r="H10331" s="3"/>
    </row>
    <row r="10332">
      <c r="A10332" s="2">
        <f>IFERROR(__xludf.DUMMYFUNCTION("""COMPUTED_VALUE"""),51192.0)</f>
        <v>51192</v>
      </c>
      <c r="B10332" s="3" t="str">
        <f>IFERROR(__xludf.DUMMYFUNCTION("""COMPUTED_VALUE"""),"190 INGHAM LANE SUITE 4")</f>
        <v>190 INGHAM LANE SUITE 4</v>
      </c>
      <c r="C10332" s="3" t="str">
        <f>IFERROR(__xludf.DUMMYFUNCTION("""COMPUTED_VALUE"""),"ROSENEATH ")</f>
        <v>ROSENEATH </v>
      </c>
      <c r="D10332" s="3" t="str">
        <f>IFERROR(__xludf.DUMMYFUNCTION("""COMPUTED_VALUE"""),"K0K 2X0")</f>
        <v>K0K 2X0</v>
      </c>
      <c r="E10332" s="3" t="str">
        <f>IFERROR(__xludf.DUMMYFUNCTION("""COMPUTED_VALUE"""),"dave and trudy irwin")</f>
        <v>dave and trudy irwin</v>
      </c>
      <c r="F10332" s="3" t="str">
        <f>IFERROR(__xludf.DUMMYFUNCTION("""COMPUTED_VALUE"""),"dave.trudy@yahoo.ca")</f>
        <v>dave.trudy@yahoo.ca</v>
      </c>
      <c r="G10332" s="3">
        <f>IFERROR(__xludf.DUMMYFUNCTION("""COMPUTED_VALUE"""),9.053522747E9)</f>
        <v>9053522747</v>
      </c>
      <c r="H10332" s="3"/>
    </row>
    <row r="10333">
      <c r="A10333" s="2">
        <f>IFERROR(__xludf.DUMMYFUNCTION("""COMPUTED_VALUE"""),51193.0)</f>
        <v>51193</v>
      </c>
      <c r="B10333" s="3" t="str">
        <f>IFERROR(__xludf.DUMMYFUNCTION("""COMPUTED_VALUE"""),"190 INGHAM LANE SUITE 5")</f>
        <v>190 INGHAM LANE SUITE 5</v>
      </c>
      <c r="C10333" s="3" t="str">
        <f>IFERROR(__xludf.DUMMYFUNCTION("""COMPUTED_VALUE"""),"ROSENEATH ")</f>
        <v>ROSENEATH </v>
      </c>
      <c r="D10333" s="3" t="str">
        <f>IFERROR(__xludf.DUMMYFUNCTION("""COMPUTED_VALUE"""),"K0K 2X0")</f>
        <v>K0K 2X0</v>
      </c>
      <c r="E10333" s="3" t="str">
        <f>IFERROR(__xludf.DUMMYFUNCTION("""COMPUTED_VALUE"""),"dave and trudy irwin")</f>
        <v>dave and trudy irwin</v>
      </c>
      <c r="F10333" s="3" t="str">
        <f>IFERROR(__xludf.DUMMYFUNCTION("""COMPUTED_VALUE"""),"dave.trudy@yahoo.ca")</f>
        <v>dave.trudy@yahoo.ca</v>
      </c>
      <c r="G10333" s="3">
        <f>IFERROR(__xludf.DUMMYFUNCTION("""COMPUTED_VALUE"""),9.053522747E9)</f>
        <v>9053522747</v>
      </c>
      <c r="H10333" s="3"/>
    </row>
    <row r="10334">
      <c r="A10334" s="2">
        <f>IFERROR(__xludf.DUMMYFUNCTION("""COMPUTED_VALUE"""),51194.0)</f>
        <v>51194</v>
      </c>
      <c r="B10334" s="3" t="str">
        <f>IFERROR(__xludf.DUMMYFUNCTION("""COMPUTED_VALUE"""),"190 INGHAM RD SUITE 7")</f>
        <v>190 INGHAM RD SUITE 7</v>
      </c>
      <c r="C10334" s="3" t="str">
        <f>IFERROR(__xludf.DUMMYFUNCTION("""COMPUTED_VALUE"""),"ROSENEATH ")</f>
        <v>ROSENEATH </v>
      </c>
      <c r="D10334" s="3" t="str">
        <f>IFERROR(__xludf.DUMMYFUNCTION("""COMPUTED_VALUE"""),"K0K 2X0")</f>
        <v>K0K 2X0</v>
      </c>
      <c r="E10334" s="3"/>
      <c r="F10334" s="3"/>
      <c r="G10334" s="3"/>
      <c r="H10334" s="3"/>
    </row>
    <row r="10335">
      <c r="A10335" s="2">
        <f>IFERROR(__xludf.DUMMYFUNCTION("""COMPUTED_VALUE"""),51195.0)</f>
        <v>51195</v>
      </c>
      <c r="B10335" s="3" t="str">
        <f>IFERROR(__xludf.DUMMYFUNCTION("""COMPUTED_VALUE"""),"190 INGHAM LANE UNIT 8")</f>
        <v>190 INGHAM LANE UNIT 8</v>
      </c>
      <c r="C10335" s="3" t="str">
        <f>IFERROR(__xludf.DUMMYFUNCTION("""COMPUTED_VALUE"""),"ROSENEATH ")</f>
        <v>ROSENEATH </v>
      </c>
      <c r="D10335" s="3" t="str">
        <f>IFERROR(__xludf.DUMMYFUNCTION("""COMPUTED_VALUE"""),"K0K 2X0")</f>
        <v>K0K 2X0</v>
      </c>
      <c r="E10335" s="3" t="str">
        <f>IFERROR(__xludf.DUMMYFUNCTION("""COMPUTED_VALUE"""),"scott Weaver")</f>
        <v>scott Weaver</v>
      </c>
      <c r="F10335" s="3" t="str">
        <f>IFERROR(__xludf.DUMMYFUNCTION("""COMPUTED_VALUE"""),"dsweav@hotmail.com")</f>
        <v>dsweav@hotmail.com</v>
      </c>
      <c r="G10335" s="3">
        <f>IFERROR(__xludf.DUMMYFUNCTION("""COMPUTED_VALUE"""),9.052692868E9)</f>
        <v>9052692868</v>
      </c>
      <c r="H10335" s="3">
        <f>IFERROR(__xludf.DUMMYFUNCTION("""COMPUTED_VALUE"""),9.052692866E9)</f>
        <v>9052692866</v>
      </c>
    </row>
    <row r="10336">
      <c r="A10336" s="2">
        <f>IFERROR(__xludf.DUMMYFUNCTION("""COMPUTED_VALUE"""),51196.0)</f>
        <v>51196</v>
      </c>
      <c r="B10336" s="3" t="str">
        <f>IFERROR(__xludf.DUMMYFUNCTION("""COMPUTED_VALUE"""),"190 INGHAM RD 9")</f>
        <v>190 INGHAM RD 9</v>
      </c>
      <c r="C10336" s="3" t="str">
        <f>IFERROR(__xludf.DUMMYFUNCTION("""COMPUTED_VALUE"""),"ROSENEATH ")</f>
        <v>ROSENEATH </v>
      </c>
      <c r="D10336" s="3" t="str">
        <f>IFERROR(__xludf.DUMMYFUNCTION("""COMPUTED_VALUE"""),"K0K 2X0")</f>
        <v>K0K 2X0</v>
      </c>
      <c r="E10336" s="3"/>
      <c r="F10336" s="3"/>
      <c r="G10336" s="3"/>
      <c r="H10336" s="3"/>
    </row>
    <row r="10337">
      <c r="A10337" s="2">
        <f>IFERROR(__xludf.DUMMYFUNCTION("""COMPUTED_VALUE"""),51197.0)</f>
        <v>51197</v>
      </c>
      <c r="B10337" s="3" t="str">
        <f>IFERROR(__xludf.DUMMYFUNCTION("""COMPUTED_VALUE"""),"68 ISLAND VIEW RD")</f>
        <v>68 ISLAND VIEW RD</v>
      </c>
      <c r="C10337" s="3" t="str">
        <f>IFERROR(__xludf.DUMMYFUNCTION("""COMPUTED_VALUE"""),"ROSENEATH ")</f>
        <v>ROSENEATH </v>
      </c>
      <c r="D10337" s="3" t="str">
        <f>IFERROR(__xludf.DUMMYFUNCTION("""COMPUTED_VALUE"""),"K0K 2X0")</f>
        <v>K0K 2X0</v>
      </c>
      <c r="E10337" s="3"/>
      <c r="F10337" s="3"/>
      <c r="G10337" s="3"/>
      <c r="H10337" s="3"/>
    </row>
    <row r="10338">
      <c r="A10338" s="2">
        <f>IFERROR(__xludf.DUMMYFUNCTION("""COMPUTED_VALUE"""),51198.0)</f>
        <v>51198</v>
      </c>
      <c r="B10338" s="3" t="str">
        <f>IFERROR(__xludf.DUMMYFUNCTION("""COMPUTED_VALUE"""),"106 ISLAND VIEW RD")</f>
        <v>106 ISLAND VIEW RD</v>
      </c>
      <c r="C10338" s="3" t="str">
        <f>IFERROR(__xludf.DUMMYFUNCTION("""COMPUTED_VALUE"""),"ROSENEATH ")</f>
        <v>ROSENEATH </v>
      </c>
      <c r="D10338" s="3" t="str">
        <f>IFERROR(__xludf.DUMMYFUNCTION("""COMPUTED_VALUE"""),"K0K 2X0")</f>
        <v>K0K 2X0</v>
      </c>
      <c r="E10338" s="3" t="str">
        <f>IFERROR(__xludf.DUMMYFUNCTION("""COMPUTED_VALUE"""),"Shawn ROBINS")</f>
        <v>Shawn ROBINS</v>
      </c>
      <c r="F10338" s="3" t="str">
        <f>IFERROR(__xludf.DUMMYFUNCTION("""COMPUTED_VALUE"""),"srobins@i-zoom.net")</f>
        <v>srobins@i-zoom.net</v>
      </c>
      <c r="G10338" s="3">
        <f>IFERROR(__xludf.DUMMYFUNCTION("""COMPUTED_VALUE"""),9.053736778E9)</f>
        <v>9053736778</v>
      </c>
      <c r="H10338" s="3">
        <f>IFERROR(__xludf.DUMMYFUNCTION("""COMPUTED_VALUE"""),9.053763977E9)</f>
        <v>9053763977</v>
      </c>
    </row>
    <row r="10339">
      <c r="A10339" s="2">
        <f>IFERROR(__xludf.DUMMYFUNCTION("""COMPUTED_VALUE"""),51199.0)</f>
        <v>51199</v>
      </c>
      <c r="B10339" s="3" t="str">
        <f>IFERROR(__xludf.DUMMYFUNCTION("""COMPUTED_VALUE"""),"115 ISLAND VIEW RD")</f>
        <v>115 ISLAND VIEW RD</v>
      </c>
      <c r="C10339" s="3" t="str">
        <f>IFERROR(__xludf.DUMMYFUNCTION("""COMPUTED_VALUE"""),"ROSENEATH ")</f>
        <v>ROSENEATH </v>
      </c>
      <c r="D10339" s="3" t="str">
        <f>IFERROR(__xludf.DUMMYFUNCTION("""COMPUTED_VALUE"""),"K0K 2X0")</f>
        <v>K0K 2X0</v>
      </c>
      <c r="E10339" s="3"/>
      <c r="F10339" s="3"/>
      <c r="G10339" s="3"/>
      <c r="H10339" s="3"/>
    </row>
    <row r="10340">
      <c r="A10340" s="2">
        <f>IFERROR(__xludf.DUMMYFUNCTION("""COMPUTED_VALUE"""),51200.0)</f>
        <v>51200</v>
      </c>
      <c r="B10340" s="3" t="str">
        <f>IFERROR(__xludf.DUMMYFUNCTION("""COMPUTED_VALUE"""),"422 ISLAND VIEW RD 10")</f>
        <v>422 ISLAND VIEW RD 10</v>
      </c>
      <c r="C10340" s="3" t="str">
        <f>IFERROR(__xludf.DUMMYFUNCTION("""COMPUTED_VALUE"""),"ROSENEATH ")</f>
        <v>ROSENEATH </v>
      </c>
      <c r="D10340" s="3" t="str">
        <f>IFERROR(__xludf.DUMMYFUNCTION("""COMPUTED_VALUE"""),"K0K 2X0")</f>
        <v>K0K 2X0</v>
      </c>
      <c r="E10340" s="3"/>
      <c r="F10340" s="3"/>
      <c r="G10340" s="3"/>
      <c r="H10340" s="3"/>
    </row>
    <row r="10341">
      <c r="A10341" s="2">
        <f>IFERROR(__xludf.DUMMYFUNCTION("""COMPUTED_VALUE"""),51201.0)</f>
        <v>51201</v>
      </c>
      <c r="B10341" s="3" t="str">
        <f>IFERROR(__xludf.DUMMYFUNCTION("""COMPUTED_VALUE"""),"422 ISLAND VIEW RD UNIT 11")</f>
        <v>422 ISLAND VIEW RD UNIT 11</v>
      </c>
      <c r="C10341" s="3" t="str">
        <f>IFERROR(__xludf.DUMMYFUNCTION("""COMPUTED_VALUE"""),"ROSENEATH ")</f>
        <v>ROSENEATH </v>
      </c>
      <c r="D10341" s="3" t="str">
        <f>IFERROR(__xludf.DUMMYFUNCTION("""COMPUTED_VALUE"""),"K0K 2X0")</f>
        <v>K0K 2X0</v>
      </c>
      <c r="E10341" s="3"/>
      <c r="F10341" s="3"/>
      <c r="G10341" s="3"/>
      <c r="H10341" s="3"/>
    </row>
    <row r="10342">
      <c r="A10342" s="2">
        <f>IFERROR(__xludf.DUMMYFUNCTION("""COMPUTED_VALUE"""),51202.0)</f>
        <v>51202</v>
      </c>
      <c r="B10342" s="3" t="str">
        <f>IFERROR(__xludf.DUMMYFUNCTION("""COMPUTED_VALUE"""),"422 ISLAND VIEW RD 13")</f>
        <v>422 ISLAND VIEW RD 13</v>
      </c>
      <c r="C10342" s="3" t="str">
        <f>IFERROR(__xludf.DUMMYFUNCTION("""COMPUTED_VALUE"""),"ROSENEATH ")</f>
        <v>ROSENEATH </v>
      </c>
      <c r="D10342" s="3" t="str">
        <f>IFERROR(__xludf.DUMMYFUNCTION("""COMPUTED_VALUE"""),"K0K 2X0")</f>
        <v>K0K 2X0</v>
      </c>
      <c r="E10342" s="3"/>
      <c r="F10342" s="3"/>
      <c r="G10342" s="3"/>
      <c r="H10342" s="3"/>
    </row>
    <row r="10343">
      <c r="A10343" s="2">
        <f>IFERROR(__xludf.DUMMYFUNCTION("""COMPUTED_VALUE"""),51203.0)</f>
        <v>51203</v>
      </c>
      <c r="B10343" s="3" t="str">
        <f>IFERROR(__xludf.DUMMYFUNCTION("""COMPUTED_VALUE"""),"422 ISLAND VIEW RD 14")</f>
        <v>422 ISLAND VIEW RD 14</v>
      </c>
      <c r="C10343" s="3" t="str">
        <f>IFERROR(__xludf.DUMMYFUNCTION("""COMPUTED_VALUE"""),"ROSENEATH ")</f>
        <v>ROSENEATH </v>
      </c>
      <c r="D10343" s="3" t="str">
        <f>IFERROR(__xludf.DUMMYFUNCTION("""COMPUTED_VALUE"""),"K0K 2X0")</f>
        <v>K0K 2X0</v>
      </c>
      <c r="E10343" s="3"/>
      <c r="F10343" s="3"/>
      <c r="G10343" s="3"/>
      <c r="H10343" s="3"/>
    </row>
    <row r="10344">
      <c r="A10344" s="2">
        <f>IFERROR(__xludf.DUMMYFUNCTION("""COMPUTED_VALUE"""),51204.0)</f>
        <v>51204</v>
      </c>
      <c r="B10344" s="3" t="str">
        <f>IFERROR(__xludf.DUMMYFUNCTION("""COMPUTED_VALUE"""),"422 ISLAND VIEW RD UNIT 15")</f>
        <v>422 ISLAND VIEW RD UNIT 15</v>
      </c>
      <c r="C10344" s="3" t="str">
        <f>IFERROR(__xludf.DUMMYFUNCTION("""COMPUTED_VALUE"""),"ROSENEATH ")</f>
        <v>ROSENEATH </v>
      </c>
      <c r="D10344" s="3" t="str">
        <f>IFERROR(__xludf.DUMMYFUNCTION("""COMPUTED_VALUE"""),"K0K 2X0")</f>
        <v>K0K 2X0</v>
      </c>
      <c r="E10344" s="3"/>
      <c r="F10344" s="3"/>
      <c r="G10344" s="3"/>
      <c r="H10344" s="3"/>
    </row>
    <row r="10345">
      <c r="A10345" s="2">
        <f>IFERROR(__xludf.DUMMYFUNCTION("""COMPUTED_VALUE"""),51205.0)</f>
        <v>51205</v>
      </c>
      <c r="B10345" s="3" t="str">
        <f>IFERROR(__xludf.DUMMYFUNCTION("""COMPUTED_VALUE"""),"422 ISLAND VIEW RD 16")</f>
        <v>422 ISLAND VIEW RD 16</v>
      </c>
      <c r="C10345" s="3" t="str">
        <f>IFERROR(__xludf.DUMMYFUNCTION("""COMPUTED_VALUE"""),"ROSENEATH ")</f>
        <v>ROSENEATH </v>
      </c>
      <c r="D10345" s="3" t="str">
        <f>IFERROR(__xludf.DUMMYFUNCTION("""COMPUTED_VALUE"""),"K0K 2X0")</f>
        <v>K0K 2X0</v>
      </c>
      <c r="E10345" s="3"/>
      <c r="F10345" s="3"/>
      <c r="G10345" s="3"/>
      <c r="H10345" s="3"/>
    </row>
    <row r="10346">
      <c r="A10346" s="2">
        <f>IFERROR(__xludf.DUMMYFUNCTION("""COMPUTED_VALUE"""),51206.0)</f>
        <v>51206</v>
      </c>
      <c r="B10346" s="3" t="str">
        <f>IFERROR(__xludf.DUMMYFUNCTION("""COMPUTED_VALUE"""),"422 ISLAND VIEW RD 18")</f>
        <v>422 ISLAND VIEW RD 18</v>
      </c>
      <c r="C10346" s="3" t="str">
        <f>IFERROR(__xludf.DUMMYFUNCTION("""COMPUTED_VALUE"""),"ROSENEATH ")</f>
        <v>ROSENEATH </v>
      </c>
      <c r="D10346" s="3" t="str">
        <f>IFERROR(__xludf.DUMMYFUNCTION("""COMPUTED_VALUE"""),"K0K 2X0")</f>
        <v>K0K 2X0</v>
      </c>
      <c r="E10346" s="3"/>
      <c r="F10346" s="3"/>
      <c r="G10346" s="3"/>
      <c r="H10346" s="3"/>
    </row>
    <row r="10347">
      <c r="A10347" s="2">
        <f>IFERROR(__xludf.DUMMYFUNCTION("""COMPUTED_VALUE"""),51207.0)</f>
        <v>51207</v>
      </c>
      <c r="B10347" s="3" t="str">
        <f>IFERROR(__xludf.DUMMYFUNCTION("""COMPUTED_VALUE"""),"422 ISLAND VIEW RD 19")</f>
        <v>422 ISLAND VIEW RD 19</v>
      </c>
      <c r="C10347" s="3" t="str">
        <f>IFERROR(__xludf.DUMMYFUNCTION("""COMPUTED_VALUE"""),"ROSENEATH ")</f>
        <v>ROSENEATH </v>
      </c>
      <c r="D10347" s="3" t="str">
        <f>IFERROR(__xludf.DUMMYFUNCTION("""COMPUTED_VALUE"""),"K0K 2X0")</f>
        <v>K0K 2X0</v>
      </c>
      <c r="E10347" s="3"/>
      <c r="F10347" s="3"/>
      <c r="G10347" s="3"/>
      <c r="H10347" s="3"/>
    </row>
    <row r="10348">
      <c r="A10348" s="2">
        <f>IFERROR(__xludf.DUMMYFUNCTION("""COMPUTED_VALUE"""),51208.0)</f>
        <v>51208</v>
      </c>
      <c r="B10348" s="3" t="str">
        <f>IFERROR(__xludf.DUMMYFUNCTION("""COMPUTED_VALUE"""),"422 ISLAND VIEW RD 20")</f>
        <v>422 ISLAND VIEW RD 20</v>
      </c>
      <c r="C10348" s="3" t="str">
        <f>IFERROR(__xludf.DUMMYFUNCTION("""COMPUTED_VALUE"""),"ROSENEATH ")</f>
        <v>ROSENEATH </v>
      </c>
      <c r="D10348" s="3" t="str">
        <f>IFERROR(__xludf.DUMMYFUNCTION("""COMPUTED_VALUE"""),"K0K 2X0")</f>
        <v>K0K 2X0</v>
      </c>
      <c r="E10348" s="3" t="str">
        <f>IFERROR(__xludf.DUMMYFUNCTION("""COMPUTED_VALUE"""),"chris macdonald")</f>
        <v>chris macdonald</v>
      </c>
      <c r="F10348" s="3" t="str">
        <f>IFERROR(__xludf.DUMMYFUNCTION("""COMPUTED_VALUE"""),"miggg3mac@yahoo.com")</f>
        <v>miggg3mac@yahoo.com</v>
      </c>
      <c r="G10348" s="3">
        <f>IFERROR(__xludf.DUMMYFUNCTION("""COMPUTED_VALUE"""),4.167298979E9)</f>
        <v>4167298979</v>
      </c>
      <c r="H10348" s="3"/>
    </row>
    <row r="10349">
      <c r="A10349" s="2">
        <f>IFERROR(__xludf.DUMMYFUNCTION("""COMPUTED_VALUE"""),51209.0)</f>
        <v>51209</v>
      </c>
      <c r="B10349" s="3" t="str">
        <f>IFERROR(__xludf.DUMMYFUNCTION("""COMPUTED_VALUE"""),"422 ISLAND VIEW RD 21")</f>
        <v>422 ISLAND VIEW RD 21</v>
      </c>
      <c r="C10349" s="3" t="str">
        <f>IFERROR(__xludf.DUMMYFUNCTION("""COMPUTED_VALUE"""),"ROSENEATH ")</f>
        <v>ROSENEATH </v>
      </c>
      <c r="D10349" s="3" t="str">
        <f>IFERROR(__xludf.DUMMYFUNCTION("""COMPUTED_VALUE"""),"K0K 2X0")</f>
        <v>K0K 2X0</v>
      </c>
      <c r="E10349" s="3" t="str">
        <f>IFERROR(__xludf.DUMMYFUNCTION("""COMPUTED_VALUE"""),"robert cowie ")</f>
        <v>robert cowie </v>
      </c>
      <c r="F10349" s="3" t="str">
        <f>IFERROR(__xludf.DUMMYFUNCTION("""COMPUTED_VALUE"""),"bcowie169@gmail.com")</f>
        <v>bcowie169@gmail.com</v>
      </c>
      <c r="G10349" s="3">
        <f>IFERROR(__xludf.DUMMYFUNCTION("""COMPUTED_VALUE"""),4.169988447E9)</f>
        <v>4169988447</v>
      </c>
      <c r="H10349" s="3"/>
    </row>
    <row r="10350">
      <c r="A10350" s="2">
        <f>IFERROR(__xludf.DUMMYFUNCTION("""COMPUTED_VALUE"""),51210.0)</f>
        <v>51210</v>
      </c>
      <c r="B10350" s="3" t="str">
        <f>IFERROR(__xludf.DUMMYFUNCTION("""COMPUTED_VALUE"""),"422 ISLAND VIEW RD 22")</f>
        <v>422 ISLAND VIEW RD 22</v>
      </c>
      <c r="C10350" s="3" t="str">
        <f>IFERROR(__xludf.DUMMYFUNCTION("""COMPUTED_VALUE"""),"ROSENEATH ")</f>
        <v>ROSENEATH </v>
      </c>
      <c r="D10350" s="3" t="str">
        <f>IFERROR(__xludf.DUMMYFUNCTION("""COMPUTED_VALUE"""),"K0K 2X0")</f>
        <v>K0K 2X0</v>
      </c>
      <c r="E10350" s="3" t="str">
        <f>IFERROR(__xludf.DUMMYFUNCTION("""COMPUTED_VALUE"""),"shawn goadsby ")</f>
        <v>shawn goadsby </v>
      </c>
      <c r="F10350" s="3"/>
      <c r="G10350" s="3">
        <f>IFERROR(__xludf.DUMMYFUNCTION("""COMPUTED_VALUE"""),9.053522777E9)</f>
        <v>9053522777</v>
      </c>
      <c r="H10350" s="3"/>
    </row>
    <row r="10351">
      <c r="A10351" s="2">
        <f>IFERROR(__xludf.DUMMYFUNCTION("""COMPUTED_VALUE"""),51211.0)</f>
        <v>51211</v>
      </c>
      <c r="B10351" s="3" t="str">
        <f>IFERROR(__xludf.DUMMYFUNCTION("""COMPUTED_VALUE"""),"422 ISLAND VIEW RD UNIT 23")</f>
        <v>422 ISLAND VIEW RD UNIT 23</v>
      </c>
      <c r="C10351" s="3" t="str">
        <f>IFERROR(__xludf.DUMMYFUNCTION("""COMPUTED_VALUE"""),"ROSENEATH ")</f>
        <v>ROSENEATH </v>
      </c>
      <c r="D10351" s="3" t="str">
        <f>IFERROR(__xludf.DUMMYFUNCTION("""COMPUTED_VALUE"""),"K0K 2X0")</f>
        <v>K0K 2X0</v>
      </c>
      <c r="E10351" s="3" t="str">
        <f>IFERROR(__xludf.DUMMYFUNCTION("""COMPUTED_VALUE"""),"frank dastoli")</f>
        <v>frank dastoli</v>
      </c>
      <c r="F10351" s="3"/>
      <c r="G10351" s="3">
        <f>IFERROR(__xludf.DUMMYFUNCTION("""COMPUTED_VALUE"""),4.162068646E9)</f>
        <v>4162068646</v>
      </c>
      <c r="H10351" s="3"/>
    </row>
    <row r="10352">
      <c r="A10352" s="2">
        <f>IFERROR(__xludf.DUMMYFUNCTION("""COMPUTED_VALUE"""),51212.0)</f>
        <v>51212</v>
      </c>
      <c r="B10352" s="3" t="str">
        <f>IFERROR(__xludf.DUMMYFUNCTION("""COMPUTED_VALUE"""),"422 ISLAND VIEW RD 24")</f>
        <v>422 ISLAND VIEW RD 24</v>
      </c>
      <c r="C10352" s="3" t="str">
        <f>IFERROR(__xludf.DUMMYFUNCTION("""COMPUTED_VALUE"""),"ROSENEATH ")</f>
        <v>ROSENEATH </v>
      </c>
      <c r="D10352" s="3" t="str">
        <f>IFERROR(__xludf.DUMMYFUNCTION("""COMPUTED_VALUE"""),"K0K 2X0")</f>
        <v>K0K 2X0</v>
      </c>
      <c r="E10352" s="3" t="str">
        <f>IFERROR(__xludf.DUMMYFUNCTION("""COMPUTED_VALUE"""),"matti and silja seppi")</f>
        <v>matti and silja seppi</v>
      </c>
      <c r="F10352" s="3" t="str">
        <f>IFERROR(__xludf.DUMMYFUNCTION("""COMPUTED_VALUE"""),"silja2seppi@gmail.com")</f>
        <v>silja2seppi@gmail.com</v>
      </c>
      <c r="G10352" s="3">
        <f>IFERROR(__xludf.DUMMYFUNCTION("""COMPUTED_VALUE"""),2.893168739E9)</f>
        <v>2893168739</v>
      </c>
      <c r="H10352" s="3">
        <f>IFERROR(__xludf.DUMMYFUNCTION("""COMPUTED_VALUE"""),4.165038289E9)</f>
        <v>4165038289</v>
      </c>
    </row>
    <row r="10353">
      <c r="A10353" s="2">
        <f>IFERROR(__xludf.DUMMYFUNCTION("""COMPUTED_VALUE"""),51213.0)</f>
        <v>51213</v>
      </c>
      <c r="B10353" s="3" t="str">
        <f>IFERROR(__xludf.DUMMYFUNCTION("""COMPUTED_VALUE"""),"422 ISLAND VIEW RD 25")</f>
        <v>422 ISLAND VIEW RD 25</v>
      </c>
      <c r="C10353" s="3" t="str">
        <f>IFERROR(__xludf.DUMMYFUNCTION("""COMPUTED_VALUE"""),"ROSENEATH ")</f>
        <v>ROSENEATH </v>
      </c>
      <c r="D10353" s="3" t="str">
        <f>IFERROR(__xludf.DUMMYFUNCTION("""COMPUTED_VALUE"""),"K0K 2X0")</f>
        <v>K0K 2X0</v>
      </c>
      <c r="E10353" s="3" t="str">
        <f>IFERROR(__xludf.DUMMYFUNCTION("""COMPUTED_VALUE"""),"Boris Rabin")</f>
        <v>Boris Rabin</v>
      </c>
      <c r="F10353" s="3" t="str">
        <f>IFERROR(__xludf.DUMMYFUNCTION("""COMPUTED_VALUE"""),"borisr@tekyhost.com")</f>
        <v>borisr@tekyhost.com</v>
      </c>
      <c r="G10353" s="3">
        <f>IFERROR(__xludf.DUMMYFUNCTION("""COMPUTED_VALUE"""),6.4755178E9)</f>
        <v>6475517800</v>
      </c>
      <c r="H10353" s="3"/>
    </row>
    <row r="10354">
      <c r="A10354" s="2">
        <f>IFERROR(__xludf.DUMMYFUNCTION("""COMPUTED_VALUE"""),51214.0)</f>
        <v>51214</v>
      </c>
      <c r="B10354" s="3" t="str">
        <f>IFERROR(__xludf.DUMMYFUNCTION("""COMPUTED_VALUE"""),"422 ISLAND VIEW RD 27")</f>
        <v>422 ISLAND VIEW RD 27</v>
      </c>
      <c r="C10354" s="3" t="str">
        <f>IFERROR(__xludf.DUMMYFUNCTION("""COMPUTED_VALUE"""),"ROSENEATH ")</f>
        <v>ROSENEATH </v>
      </c>
      <c r="D10354" s="3" t="str">
        <f>IFERROR(__xludf.DUMMYFUNCTION("""COMPUTED_VALUE"""),"K0K 2X0")</f>
        <v>K0K 2X0</v>
      </c>
      <c r="E10354" s="3" t="str">
        <f>IFERROR(__xludf.DUMMYFUNCTION("""COMPUTED_VALUE"""),"SOOSAN MAJDPOUR")</f>
        <v>SOOSAN MAJDPOUR</v>
      </c>
      <c r="F10354" s="3" t="str">
        <f>IFERROR(__xludf.DUMMYFUNCTION("""COMPUTED_VALUE"""),"soosan.majdpour@gmail.com")</f>
        <v>soosan.majdpour@gmail.com</v>
      </c>
      <c r="G10354" s="3"/>
      <c r="H10354" s="3"/>
    </row>
    <row r="10355">
      <c r="A10355" s="2">
        <f>IFERROR(__xludf.DUMMYFUNCTION("""COMPUTED_VALUE"""),51215.0)</f>
        <v>51215</v>
      </c>
      <c r="B10355" s="3" t="str">
        <f>IFERROR(__xludf.DUMMYFUNCTION("""COMPUTED_VALUE"""),"422 ISLAND VIEW RD 31")</f>
        <v>422 ISLAND VIEW RD 31</v>
      </c>
      <c r="C10355" s="3" t="str">
        <f>IFERROR(__xludf.DUMMYFUNCTION("""COMPUTED_VALUE"""),"ROSENEATH ")</f>
        <v>ROSENEATH </v>
      </c>
      <c r="D10355" s="3" t="str">
        <f>IFERROR(__xludf.DUMMYFUNCTION("""COMPUTED_VALUE"""),"K0K 2X0")</f>
        <v>K0K 2X0</v>
      </c>
      <c r="E10355" s="3"/>
      <c r="F10355" s="3"/>
      <c r="G10355" s="3"/>
      <c r="H10355" s="3"/>
    </row>
    <row r="10356">
      <c r="A10356" s="2">
        <f>IFERROR(__xludf.DUMMYFUNCTION("""COMPUTED_VALUE"""),51216.0)</f>
        <v>51216</v>
      </c>
      <c r="B10356" s="3" t="str">
        <f>IFERROR(__xludf.DUMMYFUNCTION("""COMPUTED_VALUE"""),"422 ISLANDVIEW DR UNIT 7")</f>
        <v>422 ISLANDVIEW DR UNIT 7</v>
      </c>
      <c r="C10356" s="3" t="str">
        <f>IFERROR(__xludf.DUMMYFUNCTION("""COMPUTED_VALUE"""),"ROSENEATH ")</f>
        <v>ROSENEATH </v>
      </c>
      <c r="D10356" s="3" t="str">
        <f>IFERROR(__xludf.DUMMYFUNCTION("""COMPUTED_VALUE"""),"K0K 2X0")</f>
        <v>K0K 2X0</v>
      </c>
      <c r="E10356" s="3"/>
      <c r="F10356" s="3"/>
      <c r="G10356" s="3"/>
      <c r="H10356" s="3"/>
    </row>
    <row r="10357">
      <c r="A10357" s="2">
        <f>IFERROR(__xludf.DUMMYFUNCTION("""COMPUTED_VALUE"""),51217.0)</f>
        <v>51217</v>
      </c>
      <c r="B10357" s="3" t="str">
        <f>IFERROR(__xludf.DUMMYFUNCTION("""COMPUTED_VALUE"""),"422 ISLAND VIEW RD")</f>
        <v>422 ISLAND VIEW RD</v>
      </c>
      <c r="C10357" s="3" t="str">
        <f>IFERROR(__xludf.DUMMYFUNCTION("""COMPUTED_VALUE"""),"ROSENEATH ")</f>
        <v>ROSENEATH </v>
      </c>
      <c r="D10357" s="3" t="str">
        <f>IFERROR(__xludf.DUMMYFUNCTION("""COMPUTED_VALUE"""),"K0K 2X0")</f>
        <v>K0K 2X0</v>
      </c>
      <c r="E10357" s="3"/>
      <c r="F10357" s="3"/>
      <c r="G10357" s="3"/>
      <c r="H10357" s="3"/>
    </row>
    <row r="10358">
      <c r="A10358" s="2">
        <f>IFERROR(__xludf.DUMMYFUNCTION("""COMPUTED_VALUE"""),51218.0)</f>
        <v>51218</v>
      </c>
      <c r="B10358" s="3" t="str">
        <f>IFERROR(__xludf.DUMMYFUNCTION("""COMPUTED_VALUE"""),"435 ISLAND VIEW RD")</f>
        <v>435 ISLAND VIEW RD</v>
      </c>
      <c r="C10358" s="3" t="str">
        <f>IFERROR(__xludf.DUMMYFUNCTION("""COMPUTED_VALUE"""),"ROSENEATH ")</f>
        <v>ROSENEATH </v>
      </c>
      <c r="D10358" s="3" t="str">
        <f>IFERROR(__xludf.DUMMYFUNCTION("""COMPUTED_VALUE"""),"K0K 2X0")</f>
        <v>K0K 2X0</v>
      </c>
      <c r="E10358" s="3"/>
      <c r="F10358" s="3"/>
      <c r="G10358" s="3"/>
      <c r="H10358" s="3"/>
    </row>
    <row r="10359">
      <c r="A10359" s="2">
        <f>IFERROR(__xludf.DUMMYFUNCTION("""COMPUTED_VALUE"""),51219.0)</f>
        <v>51219</v>
      </c>
      <c r="B10359" s="3" t="str">
        <f>IFERROR(__xludf.DUMMYFUNCTION("""COMPUTED_VALUE"""),"449 ISLAND VIEW RD")</f>
        <v>449 ISLAND VIEW RD</v>
      </c>
      <c r="C10359" s="3" t="str">
        <f>IFERROR(__xludf.DUMMYFUNCTION("""COMPUTED_VALUE"""),"ROSENEATH ")</f>
        <v>ROSENEATH </v>
      </c>
      <c r="D10359" s="3" t="str">
        <f>IFERROR(__xludf.DUMMYFUNCTION("""COMPUTED_VALUE"""),"K0K 2X0")</f>
        <v>K0K 2X0</v>
      </c>
      <c r="E10359" s="3"/>
      <c r="F10359" s="3"/>
      <c r="G10359" s="3"/>
      <c r="H10359" s="3"/>
    </row>
    <row r="10360">
      <c r="A10360" s="2">
        <f>IFERROR(__xludf.DUMMYFUNCTION("""COMPUTED_VALUE"""),51220.0)</f>
        <v>51220</v>
      </c>
      <c r="B10360" s="3" t="str">
        <f>IFERROR(__xludf.DUMMYFUNCTION("""COMPUTED_VALUE"""),"469 ISLAND VIEW RD")</f>
        <v>469 ISLAND VIEW RD</v>
      </c>
      <c r="C10360" s="3" t="str">
        <f>IFERROR(__xludf.DUMMYFUNCTION("""COMPUTED_VALUE"""),"ROSENEATH ")</f>
        <v>ROSENEATH </v>
      </c>
      <c r="D10360" s="3" t="str">
        <f>IFERROR(__xludf.DUMMYFUNCTION("""COMPUTED_VALUE"""),"K0K 2X0")</f>
        <v>K0K 2X0</v>
      </c>
      <c r="E10360" s="3"/>
      <c r="F10360" s="3"/>
      <c r="G10360" s="3"/>
      <c r="H10360" s="3"/>
    </row>
    <row r="10361">
      <c r="A10361" s="2">
        <f>IFERROR(__xludf.DUMMYFUNCTION("""COMPUTED_VALUE"""),51221.0)</f>
        <v>51221</v>
      </c>
      <c r="B10361" s="3" t="str">
        <f>IFERROR(__xludf.DUMMYFUNCTION("""COMPUTED_VALUE"""),"493 ISLAND VIEW RD")</f>
        <v>493 ISLAND VIEW RD</v>
      </c>
      <c r="C10361" s="3" t="str">
        <f>IFERROR(__xludf.DUMMYFUNCTION("""COMPUTED_VALUE"""),"ROSENEATH ")</f>
        <v>ROSENEATH </v>
      </c>
      <c r="D10361" s="3" t="str">
        <f>IFERROR(__xludf.DUMMYFUNCTION("""COMPUTED_VALUE"""),"K0K 2X0")</f>
        <v>K0K 2X0</v>
      </c>
      <c r="E10361" s="3"/>
      <c r="F10361" s="3"/>
      <c r="G10361" s="3"/>
      <c r="H10361" s="3"/>
    </row>
    <row r="10362">
      <c r="A10362" s="2">
        <f>IFERROR(__xludf.DUMMYFUNCTION("""COMPUTED_VALUE"""),51222.0)</f>
        <v>51222</v>
      </c>
      <c r="B10362" s="3" t="str">
        <f>IFERROR(__xludf.DUMMYFUNCTION("""COMPUTED_VALUE"""),"515 ISLAND VIEW RD")</f>
        <v>515 ISLAND VIEW RD</v>
      </c>
      <c r="C10362" s="3" t="str">
        <f>IFERROR(__xludf.DUMMYFUNCTION("""COMPUTED_VALUE"""),"ROSENEATH ")</f>
        <v>ROSENEATH </v>
      </c>
      <c r="D10362" s="3" t="str">
        <f>IFERROR(__xludf.DUMMYFUNCTION("""COMPUTED_VALUE"""),"K0K 2X0")</f>
        <v>K0K 2X0</v>
      </c>
      <c r="E10362" s="3"/>
      <c r="F10362" s="3"/>
      <c r="G10362" s="3"/>
      <c r="H10362" s="3"/>
    </row>
    <row r="10363">
      <c r="A10363" s="2">
        <f>IFERROR(__xludf.DUMMYFUNCTION("""COMPUTED_VALUE"""),51223.0)</f>
        <v>51223</v>
      </c>
      <c r="B10363" s="3" t="str">
        <f>IFERROR(__xludf.DUMMYFUNCTION("""COMPUTED_VALUE"""),"519 ISLAND VIEW RD")</f>
        <v>519 ISLAND VIEW RD</v>
      </c>
      <c r="C10363" s="3" t="str">
        <f>IFERROR(__xludf.DUMMYFUNCTION("""COMPUTED_VALUE"""),"ROSENEATH ")</f>
        <v>ROSENEATH </v>
      </c>
      <c r="D10363" s="3" t="str">
        <f>IFERROR(__xludf.DUMMYFUNCTION("""COMPUTED_VALUE"""),"K0K 2X0")</f>
        <v>K0K 2X0</v>
      </c>
      <c r="E10363" s="3"/>
      <c r="F10363" s="3"/>
      <c r="G10363" s="3"/>
      <c r="H10363" s="3"/>
    </row>
    <row r="10364">
      <c r="A10364" s="2">
        <f>IFERROR(__xludf.DUMMYFUNCTION("""COMPUTED_VALUE"""),51224.0)</f>
        <v>51224</v>
      </c>
      <c r="B10364" s="3" t="str">
        <f>IFERROR(__xludf.DUMMYFUNCTION("""COMPUTED_VALUE"""),"521 ISLAND VIEW RD")</f>
        <v>521 ISLAND VIEW RD</v>
      </c>
      <c r="C10364" s="3" t="str">
        <f>IFERROR(__xludf.DUMMYFUNCTION("""COMPUTED_VALUE"""),"ROSENEATH ")</f>
        <v>ROSENEATH </v>
      </c>
      <c r="D10364" s="3" t="str">
        <f>IFERROR(__xludf.DUMMYFUNCTION("""COMPUTED_VALUE"""),"K0K 2X0")</f>
        <v>K0K 2X0</v>
      </c>
      <c r="E10364" s="3"/>
      <c r="F10364" s="3"/>
      <c r="G10364" s="3"/>
      <c r="H10364" s="3"/>
    </row>
    <row r="10365">
      <c r="A10365" s="2">
        <f>IFERROR(__xludf.DUMMYFUNCTION("""COMPUTED_VALUE"""),51225.0)</f>
        <v>51225</v>
      </c>
      <c r="B10365" s="3" t="str">
        <f>IFERROR(__xludf.DUMMYFUNCTION("""COMPUTED_VALUE"""),"523 ISLAND VIEW RD 1")</f>
        <v>523 ISLAND VIEW RD 1</v>
      </c>
      <c r="C10365" s="3" t="str">
        <f>IFERROR(__xludf.DUMMYFUNCTION("""COMPUTED_VALUE"""),"ROSENEATH ")</f>
        <v>ROSENEATH </v>
      </c>
      <c r="D10365" s="3" t="str">
        <f>IFERROR(__xludf.DUMMYFUNCTION("""COMPUTED_VALUE"""),"K0K 2X0")</f>
        <v>K0K 2X0</v>
      </c>
      <c r="E10365" s="3" t="str">
        <f>IFERROR(__xludf.DUMMYFUNCTION("""COMPUTED_VALUE"""),"Douglas Ough")</f>
        <v>Douglas Ough</v>
      </c>
      <c r="F10365" s="3" t="str">
        <f>IFERROR(__xludf.DUMMYFUNCTION("""COMPUTED_VALUE"""),"doug.ough@ca.bosche.com")</f>
        <v>doug.ough@ca.bosche.com</v>
      </c>
      <c r="G10365" s="3"/>
      <c r="H10365" s="3"/>
    </row>
    <row r="10366">
      <c r="A10366" s="2">
        <f>IFERROR(__xludf.DUMMYFUNCTION("""COMPUTED_VALUE"""),51226.0)</f>
        <v>51226</v>
      </c>
      <c r="B10366" s="3" t="str">
        <f>IFERROR(__xludf.DUMMYFUNCTION("""COMPUTED_VALUE"""),"523 ISLAND VIEW RD 10")</f>
        <v>523 ISLAND VIEW RD 10</v>
      </c>
      <c r="C10366" s="3" t="str">
        <f>IFERROR(__xludf.DUMMYFUNCTION("""COMPUTED_VALUE"""),"ROSENEATH ")</f>
        <v>ROSENEATH </v>
      </c>
      <c r="D10366" s="3" t="str">
        <f>IFERROR(__xludf.DUMMYFUNCTION("""COMPUTED_VALUE"""),"K0K 2X0")</f>
        <v>K0K 2X0</v>
      </c>
      <c r="E10366" s="3" t="str">
        <f>IFERROR(__xludf.DUMMYFUNCTION("""COMPUTED_VALUE"""),"meijun wong ")</f>
        <v>meijun wong </v>
      </c>
      <c r="F10366" s="3" t="str">
        <f>IFERROR(__xludf.DUMMYFUNCTION("""COMPUTED_VALUE"""),"glengarycottage@gmail.com")</f>
        <v>glengarycottage@gmail.com</v>
      </c>
      <c r="G10366" s="3">
        <f>IFERROR(__xludf.DUMMYFUNCTION("""COMPUTED_VALUE"""),9.053522181E9)</f>
        <v>9053522181</v>
      </c>
      <c r="H10366" s="3"/>
    </row>
    <row r="10367">
      <c r="A10367" s="2">
        <f>IFERROR(__xludf.DUMMYFUNCTION("""COMPUTED_VALUE"""),51227.0)</f>
        <v>51227</v>
      </c>
      <c r="B10367" s="3" t="str">
        <f>IFERROR(__xludf.DUMMYFUNCTION("""COMPUTED_VALUE"""),"523 ISLAND VIEW RD 2")</f>
        <v>523 ISLAND VIEW RD 2</v>
      </c>
      <c r="C10367" s="3" t="str">
        <f>IFERROR(__xludf.DUMMYFUNCTION("""COMPUTED_VALUE"""),"ROSENEATH ")</f>
        <v>ROSENEATH </v>
      </c>
      <c r="D10367" s="3" t="str">
        <f>IFERROR(__xludf.DUMMYFUNCTION("""COMPUTED_VALUE"""),"K0K 2X0")</f>
        <v>K0K 2X0</v>
      </c>
      <c r="E10367" s="3"/>
      <c r="F10367" s="3"/>
      <c r="G10367" s="3"/>
      <c r="H10367" s="3"/>
    </row>
    <row r="10368">
      <c r="A10368" s="2">
        <f>IFERROR(__xludf.DUMMYFUNCTION("""COMPUTED_VALUE"""),51228.0)</f>
        <v>51228</v>
      </c>
      <c r="B10368" s="3" t="str">
        <f>IFERROR(__xludf.DUMMYFUNCTION("""COMPUTED_VALUE"""),"523 ISLAND VIEW RD SUITE 3")</f>
        <v>523 ISLAND VIEW RD SUITE 3</v>
      </c>
      <c r="C10368" s="3" t="str">
        <f>IFERROR(__xludf.DUMMYFUNCTION("""COMPUTED_VALUE"""),"ROSENEATH ")</f>
        <v>ROSENEATH </v>
      </c>
      <c r="D10368" s="3" t="str">
        <f>IFERROR(__xludf.DUMMYFUNCTION("""COMPUTED_VALUE"""),"K0K 2X0")</f>
        <v>K0K 2X0</v>
      </c>
      <c r="E10368" s="3"/>
      <c r="F10368" s="3"/>
      <c r="G10368" s="3"/>
      <c r="H10368" s="3"/>
    </row>
    <row r="10369">
      <c r="A10369" s="2">
        <f>IFERROR(__xludf.DUMMYFUNCTION("""COMPUTED_VALUE"""),51229.0)</f>
        <v>51229</v>
      </c>
      <c r="B10369" s="3" t="str">
        <f>IFERROR(__xludf.DUMMYFUNCTION("""COMPUTED_VALUE"""),"523 ISLAND VIEW RD 4")</f>
        <v>523 ISLAND VIEW RD 4</v>
      </c>
      <c r="C10369" s="3" t="str">
        <f>IFERROR(__xludf.DUMMYFUNCTION("""COMPUTED_VALUE"""),"ROSENEATH ")</f>
        <v>ROSENEATH </v>
      </c>
      <c r="D10369" s="3" t="str">
        <f>IFERROR(__xludf.DUMMYFUNCTION("""COMPUTED_VALUE"""),"K0K 2X0")</f>
        <v>K0K 2X0</v>
      </c>
      <c r="E10369" s="3"/>
      <c r="F10369" s="3"/>
      <c r="G10369" s="3"/>
      <c r="H10369" s="3"/>
    </row>
    <row r="10370">
      <c r="A10370" s="2">
        <f>IFERROR(__xludf.DUMMYFUNCTION("""COMPUTED_VALUE"""),51230.0)</f>
        <v>51230</v>
      </c>
      <c r="B10370" s="3" t="str">
        <f>IFERROR(__xludf.DUMMYFUNCTION("""COMPUTED_VALUE"""),"523 ISLAND VIEW RD 5")</f>
        <v>523 ISLAND VIEW RD 5</v>
      </c>
      <c r="C10370" s="3" t="str">
        <f>IFERROR(__xludf.DUMMYFUNCTION("""COMPUTED_VALUE"""),"ROSENEATH ")</f>
        <v>ROSENEATH </v>
      </c>
      <c r="D10370" s="3" t="str">
        <f>IFERROR(__xludf.DUMMYFUNCTION("""COMPUTED_VALUE"""),"K0K 2X0")</f>
        <v>K0K 2X0</v>
      </c>
      <c r="E10370" s="3"/>
      <c r="F10370" s="3"/>
      <c r="G10370" s="3"/>
      <c r="H10370" s="3"/>
    </row>
    <row r="10371">
      <c r="A10371" s="2">
        <f>IFERROR(__xludf.DUMMYFUNCTION("""COMPUTED_VALUE"""),51231.0)</f>
        <v>51231</v>
      </c>
      <c r="B10371" s="3" t="str">
        <f>IFERROR(__xludf.DUMMYFUNCTION("""COMPUTED_VALUE"""),"523 ISLAND VIEW RD 6")</f>
        <v>523 ISLAND VIEW RD 6</v>
      </c>
      <c r="C10371" s="3" t="str">
        <f>IFERROR(__xludf.DUMMYFUNCTION("""COMPUTED_VALUE"""),"ROSENEATH ")</f>
        <v>ROSENEATH </v>
      </c>
      <c r="D10371" s="3" t="str">
        <f>IFERROR(__xludf.DUMMYFUNCTION("""COMPUTED_VALUE"""),"K0K 2X0")</f>
        <v>K0K 2X0</v>
      </c>
      <c r="E10371" s="3"/>
      <c r="F10371" s="3"/>
      <c r="G10371" s="3"/>
      <c r="H10371" s="3"/>
    </row>
    <row r="10372">
      <c r="A10372" s="2">
        <f>IFERROR(__xludf.DUMMYFUNCTION("""COMPUTED_VALUE"""),51232.0)</f>
        <v>51232</v>
      </c>
      <c r="B10372" s="3" t="str">
        <f>IFERROR(__xludf.DUMMYFUNCTION("""COMPUTED_VALUE"""),"523 ISLAND VIEW RD UNIT 7")</f>
        <v>523 ISLAND VIEW RD UNIT 7</v>
      </c>
      <c r="C10372" s="3" t="str">
        <f>IFERROR(__xludf.DUMMYFUNCTION("""COMPUTED_VALUE"""),"ROSENEATH ")</f>
        <v>ROSENEATH </v>
      </c>
      <c r="D10372" s="3" t="str">
        <f>IFERROR(__xludf.DUMMYFUNCTION("""COMPUTED_VALUE"""),"K0K 2X0")</f>
        <v>K0K 2X0</v>
      </c>
      <c r="E10372" s="3"/>
      <c r="F10372" s="3"/>
      <c r="G10372" s="3"/>
      <c r="H10372" s="3"/>
    </row>
    <row r="10373">
      <c r="A10373" s="2">
        <f>IFERROR(__xludf.DUMMYFUNCTION("""COMPUTED_VALUE"""),51233.0)</f>
        <v>51233</v>
      </c>
      <c r="B10373" s="3" t="str">
        <f>IFERROR(__xludf.DUMMYFUNCTION("""COMPUTED_VALUE"""),"523 ISLAND VIEW RD 8")</f>
        <v>523 ISLAND VIEW RD 8</v>
      </c>
      <c r="C10373" s="3" t="str">
        <f>IFERROR(__xludf.DUMMYFUNCTION("""COMPUTED_VALUE"""),"ROSENEATH ")</f>
        <v>ROSENEATH </v>
      </c>
      <c r="D10373" s="3" t="str">
        <f>IFERROR(__xludf.DUMMYFUNCTION("""COMPUTED_VALUE"""),"K0K 2X0")</f>
        <v>K0K 2X0</v>
      </c>
      <c r="E10373" s="3"/>
      <c r="F10373" s="3"/>
      <c r="G10373" s="3"/>
      <c r="H10373" s="3"/>
    </row>
    <row r="10374">
      <c r="A10374" s="2">
        <f>IFERROR(__xludf.DUMMYFUNCTION("""COMPUTED_VALUE"""),51234.0)</f>
        <v>51234</v>
      </c>
      <c r="B10374" s="3" t="str">
        <f>IFERROR(__xludf.DUMMYFUNCTION("""COMPUTED_VALUE"""),"523 ISLAND VIEW RD UNIT 9")</f>
        <v>523 ISLAND VIEW RD UNIT 9</v>
      </c>
      <c r="C10374" s="3" t="str">
        <f>IFERROR(__xludf.DUMMYFUNCTION("""COMPUTED_VALUE"""),"ROSENEATH ")</f>
        <v>ROSENEATH </v>
      </c>
      <c r="D10374" s="3" t="str">
        <f>IFERROR(__xludf.DUMMYFUNCTION("""COMPUTED_VALUE"""),"K0K 2X0")</f>
        <v>K0K 2X0</v>
      </c>
      <c r="E10374" s="3"/>
      <c r="F10374" s="3"/>
      <c r="G10374" s="3"/>
      <c r="H10374" s="3"/>
    </row>
    <row r="10375">
      <c r="A10375" s="2">
        <f>IFERROR(__xludf.DUMMYFUNCTION("""COMPUTED_VALUE"""),51236.0)</f>
        <v>51236</v>
      </c>
      <c r="B10375" s="3" t="str">
        <f>IFERROR(__xludf.DUMMYFUNCTION("""COMPUTED_VALUE"""),"25 JOHNSTON RD")</f>
        <v>25 JOHNSTON RD</v>
      </c>
      <c r="C10375" s="3" t="str">
        <f>IFERROR(__xludf.DUMMYFUNCTION("""COMPUTED_VALUE"""),"WARKWORTH ")</f>
        <v>WARKWORTH </v>
      </c>
      <c r="D10375" s="3" t="str">
        <f>IFERROR(__xludf.DUMMYFUNCTION("""COMPUTED_VALUE"""),"K0K 3K0")</f>
        <v>K0K 3K0</v>
      </c>
      <c r="E10375" s="3"/>
      <c r="F10375" s="3"/>
      <c r="G10375" s="3"/>
      <c r="H10375" s="3"/>
    </row>
    <row r="10376">
      <c r="A10376" s="2">
        <f>IFERROR(__xludf.DUMMYFUNCTION("""COMPUTED_VALUE"""),51237.0)</f>
        <v>51237</v>
      </c>
      <c r="B10376" s="3" t="str">
        <f>IFERROR(__xludf.DUMMYFUNCTION("""COMPUTED_VALUE"""),"301 LAKE BREEZE DR")</f>
        <v>301 LAKE BREEZE DR</v>
      </c>
      <c r="C10376" s="3" t="str">
        <f>IFERROR(__xludf.DUMMYFUNCTION("""COMPUTED_VALUE"""),"ROSENEATH ")</f>
        <v>ROSENEATH </v>
      </c>
      <c r="D10376" s="3" t="str">
        <f>IFERROR(__xludf.DUMMYFUNCTION("""COMPUTED_VALUE"""),"K0K 2X0")</f>
        <v>K0K 2X0</v>
      </c>
      <c r="E10376" s="3"/>
      <c r="F10376" s="3"/>
      <c r="G10376" s="3"/>
      <c r="H10376" s="3"/>
    </row>
    <row r="10377">
      <c r="A10377" s="2">
        <f>IFERROR(__xludf.DUMMYFUNCTION("""COMPUTED_VALUE"""),51238.0)</f>
        <v>51238</v>
      </c>
      <c r="B10377" s="3" t="str">
        <f>IFERROR(__xludf.DUMMYFUNCTION("""COMPUTED_VALUE"""),"307 LAKE BREEZE DR")</f>
        <v>307 LAKE BREEZE DR</v>
      </c>
      <c r="C10377" s="3" t="str">
        <f>IFERROR(__xludf.DUMMYFUNCTION("""COMPUTED_VALUE"""),"ROSENEATH ")</f>
        <v>ROSENEATH </v>
      </c>
      <c r="D10377" s="3" t="str">
        <f>IFERROR(__xludf.DUMMYFUNCTION("""COMPUTED_VALUE"""),"K0K 2X0")</f>
        <v>K0K 2X0</v>
      </c>
      <c r="E10377" s="3" t="str">
        <f>IFERROR(__xludf.DUMMYFUNCTION("""COMPUTED_VALUE"""),"Brent Morgan")</f>
        <v>Brent Morgan</v>
      </c>
      <c r="F10377" s="3" t="str">
        <f>IFERROR(__xludf.DUMMYFUNCTION("""COMPUTED_VALUE"""),"theessaimorgans@gmail.com")</f>
        <v>theessaimorgans@gmail.com</v>
      </c>
      <c r="G10377" s="3">
        <f>IFERROR(__xludf.DUMMYFUNCTION("""COMPUTED_VALUE"""),6.478760887E9)</f>
        <v>6478760887</v>
      </c>
      <c r="H10377" s="3">
        <f>IFERROR(__xludf.DUMMYFUNCTION("""COMPUTED_VALUE"""),9.054044666E9)</f>
        <v>9054044666</v>
      </c>
    </row>
    <row r="10378">
      <c r="A10378" s="2">
        <f>IFERROR(__xludf.DUMMYFUNCTION("""COMPUTED_VALUE"""),51239.0)</f>
        <v>51239</v>
      </c>
      <c r="B10378" s="3" t="str">
        <f>IFERROR(__xludf.DUMMYFUNCTION("""COMPUTED_VALUE"""),"310 LAKE BREEZE DR")</f>
        <v>310 LAKE BREEZE DR</v>
      </c>
      <c r="C10378" s="3" t="str">
        <f>IFERROR(__xludf.DUMMYFUNCTION("""COMPUTED_VALUE"""),"ROSENEATH ")</f>
        <v>ROSENEATH </v>
      </c>
      <c r="D10378" s="3" t="str">
        <f>IFERROR(__xludf.DUMMYFUNCTION("""COMPUTED_VALUE"""),"K0K 2X0")</f>
        <v>K0K 2X0</v>
      </c>
      <c r="E10378" s="3"/>
      <c r="F10378" s="3"/>
      <c r="G10378" s="3"/>
      <c r="H10378" s="3"/>
    </row>
    <row r="10379">
      <c r="A10379" s="2">
        <f>IFERROR(__xludf.DUMMYFUNCTION("""COMPUTED_VALUE"""),51240.0)</f>
        <v>51240</v>
      </c>
      <c r="B10379" s="3" t="str">
        <f>IFERROR(__xludf.DUMMYFUNCTION("""COMPUTED_VALUE"""),"315 LAKE BREEZE DR")</f>
        <v>315 LAKE BREEZE DR</v>
      </c>
      <c r="C10379" s="3" t="str">
        <f>IFERROR(__xludf.DUMMYFUNCTION("""COMPUTED_VALUE"""),"ROSENEATH ")</f>
        <v>ROSENEATH </v>
      </c>
      <c r="D10379" s="3" t="str">
        <f>IFERROR(__xludf.DUMMYFUNCTION("""COMPUTED_VALUE"""),"K0K 2X0")</f>
        <v>K0K 2X0</v>
      </c>
      <c r="E10379" s="3"/>
      <c r="F10379" s="3"/>
      <c r="G10379" s="3"/>
      <c r="H10379" s="3"/>
    </row>
    <row r="10380">
      <c r="A10380" s="2">
        <f>IFERROR(__xludf.DUMMYFUNCTION("""COMPUTED_VALUE"""),51241.0)</f>
        <v>51241</v>
      </c>
      <c r="B10380" s="3" t="str">
        <f>IFERROR(__xludf.DUMMYFUNCTION("""COMPUTED_VALUE"""),"321 LAKE BREEZE DR")</f>
        <v>321 LAKE BREEZE DR</v>
      </c>
      <c r="C10380" s="3" t="str">
        <f>IFERROR(__xludf.DUMMYFUNCTION("""COMPUTED_VALUE"""),"ROSENEATH ")</f>
        <v>ROSENEATH </v>
      </c>
      <c r="D10380" s="3" t="str">
        <f>IFERROR(__xludf.DUMMYFUNCTION("""COMPUTED_VALUE"""),"K0K 2X0")</f>
        <v>K0K 2X0</v>
      </c>
      <c r="E10380" s="3"/>
      <c r="F10380" s="3"/>
      <c r="G10380" s="3"/>
      <c r="H10380" s="3"/>
    </row>
    <row r="10381">
      <c r="A10381" s="2">
        <f>IFERROR(__xludf.DUMMYFUNCTION("""COMPUTED_VALUE"""),51242.0)</f>
        <v>51242</v>
      </c>
      <c r="B10381" s="3" t="str">
        <f>IFERROR(__xludf.DUMMYFUNCTION("""COMPUTED_VALUE"""),"327 LAKE BREEZE DR")</f>
        <v>327 LAKE BREEZE DR</v>
      </c>
      <c r="C10381" s="3" t="str">
        <f>IFERROR(__xludf.DUMMYFUNCTION("""COMPUTED_VALUE"""),"ROSENEATH ")</f>
        <v>ROSENEATH </v>
      </c>
      <c r="D10381" s="3" t="str">
        <f>IFERROR(__xludf.DUMMYFUNCTION("""COMPUTED_VALUE"""),"K0K 2X0")</f>
        <v>K0K 2X0</v>
      </c>
      <c r="E10381" s="3" t="str">
        <f>IFERROR(__xludf.DUMMYFUNCTION("""COMPUTED_VALUE"""),"Jennifer K Anderson")</f>
        <v>Jennifer K Anderson</v>
      </c>
      <c r="F10381" s="3" t="str">
        <f>IFERROR(__xludf.DUMMYFUNCTION("""COMPUTED_VALUE"""),"jen.k.anderson@gmail.com")</f>
        <v>jen.k.anderson@gmail.com</v>
      </c>
      <c r="G10381" s="3">
        <f>IFERROR(__xludf.DUMMYFUNCTION("""COMPUTED_VALUE"""),7.059770454E9)</f>
        <v>7059770454</v>
      </c>
      <c r="H10381" s="3"/>
    </row>
    <row r="10382">
      <c r="A10382" s="2">
        <f>IFERROR(__xludf.DUMMYFUNCTION("""COMPUTED_VALUE"""),51243.0)</f>
        <v>51243</v>
      </c>
      <c r="B10382" s="3" t="str">
        <f>IFERROR(__xludf.DUMMYFUNCTION("""COMPUTED_VALUE"""),"333 LAKE BREEZE DR")</f>
        <v>333 LAKE BREEZE DR</v>
      </c>
      <c r="C10382" s="3" t="str">
        <f>IFERROR(__xludf.DUMMYFUNCTION("""COMPUTED_VALUE"""),"ROSENEATH ")</f>
        <v>ROSENEATH </v>
      </c>
      <c r="D10382" s="3" t="str">
        <f>IFERROR(__xludf.DUMMYFUNCTION("""COMPUTED_VALUE"""),"K0K 2X0")</f>
        <v>K0K 2X0</v>
      </c>
      <c r="E10382" s="3" t="str">
        <f>IFERROR(__xludf.DUMMYFUNCTION("""COMPUTED_VALUE"""),"Robert Pearce")</f>
        <v>Robert Pearce</v>
      </c>
      <c r="F10382" s="3" t="str">
        <f>IFERROR(__xludf.DUMMYFUNCTION("""COMPUTED_VALUE"""),"rjpearce5@gmail.com")</f>
        <v>rjpearce5@gmail.com</v>
      </c>
      <c r="G10382" s="3"/>
      <c r="H10382" s="3"/>
    </row>
    <row r="10383">
      <c r="A10383" s="2">
        <f>IFERROR(__xludf.DUMMYFUNCTION("""COMPUTED_VALUE"""),51244.0)</f>
        <v>51244</v>
      </c>
      <c r="B10383" s="3" t="str">
        <f>IFERROR(__xludf.DUMMYFUNCTION("""COMPUTED_VALUE"""),"339 LAKE BREEZE DR")</f>
        <v>339 LAKE BREEZE DR</v>
      </c>
      <c r="C10383" s="3" t="str">
        <f>IFERROR(__xludf.DUMMYFUNCTION("""COMPUTED_VALUE"""),"ROSENEATH ")</f>
        <v>ROSENEATH </v>
      </c>
      <c r="D10383" s="3" t="str">
        <f>IFERROR(__xludf.DUMMYFUNCTION("""COMPUTED_VALUE"""),"K0K 2X0")</f>
        <v>K0K 2X0</v>
      </c>
      <c r="E10383" s="3"/>
      <c r="F10383" s="3"/>
      <c r="G10383" s="3"/>
      <c r="H10383" s="3"/>
    </row>
    <row r="10384">
      <c r="A10384" s="2">
        <f>IFERROR(__xludf.DUMMYFUNCTION("""COMPUTED_VALUE"""),51245.0)</f>
        <v>51245</v>
      </c>
      <c r="B10384" s="3" t="str">
        <f>IFERROR(__xludf.DUMMYFUNCTION("""COMPUTED_VALUE"""),"341 LAKE BREEZE DR")</f>
        <v>341 LAKE BREEZE DR</v>
      </c>
      <c r="C10384" s="3" t="str">
        <f>IFERROR(__xludf.DUMMYFUNCTION("""COMPUTED_VALUE"""),"ROSENEATH ")</f>
        <v>ROSENEATH </v>
      </c>
      <c r="D10384" s="3" t="str">
        <f>IFERROR(__xludf.DUMMYFUNCTION("""COMPUTED_VALUE"""),"K0K 2X0")</f>
        <v>K0K 2X0</v>
      </c>
      <c r="E10384" s="3" t="str">
        <f>IFERROR(__xludf.DUMMYFUNCTION("""COMPUTED_VALUE"""),"Frederick and Anne Hardy")</f>
        <v>Frederick and Anne Hardy</v>
      </c>
      <c r="F10384" s="3" t="str">
        <f>IFERROR(__xludf.DUMMYFUNCTION("""COMPUTED_VALUE"""),"fred.anne.hardy@gmail.com")</f>
        <v>fred.anne.hardy@gmail.com</v>
      </c>
      <c r="G10384" s="3">
        <f>IFERROR(__xludf.DUMMYFUNCTION("""COMPUTED_VALUE"""),9.053968221E9)</f>
        <v>9053968221</v>
      </c>
      <c r="H10384" s="3">
        <f>IFERROR(__xludf.DUMMYFUNCTION("""COMPUTED_VALUE"""),9.058415216E9)</f>
        <v>9058415216</v>
      </c>
    </row>
    <row r="10385">
      <c r="A10385" s="2">
        <f>IFERROR(__xludf.DUMMYFUNCTION("""COMPUTED_VALUE"""),51246.0)</f>
        <v>51246</v>
      </c>
      <c r="B10385" s="3" t="str">
        <f>IFERROR(__xludf.DUMMYFUNCTION("""COMPUTED_VALUE"""),"2 LANGS RD")</f>
        <v>2 LANGS RD</v>
      </c>
      <c r="C10385" s="3" t="str">
        <f>IFERROR(__xludf.DUMMYFUNCTION("""COMPUTED_VALUE"""),"ROSENEATH ")</f>
        <v>ROSENEATH </v>
      </c>
      <c r="D10385" s="3" t="str">
        <f>IFERROR(__xludf.DUMMYFUNCTION("""COMPUTED_VALUE"""),"K0K 2X0")</f>
        <v>K0K 2X0</v>
      </c>
      <c r="E10385" s="3"/>
      <c r="F10385" s="3"/>
      <c r="G10385" s="3"/>
      <c r="H10385" s="3"/>
    </row>
    <row r="10386">
      <c r="A10386" s="2">
        <f>IFERROR(__xludf.DUMMYFUNCTION("""COMPUTED_VALUE"""),51247.0)</f>
        <v>51247</v>
      </c>
      <c r="B10386" s="3" t="str">
        <f>IFERROR(__xludf.DUMMYFUNCTION("""COMPUTED_VALUE"""),"25 LANGS RD")</f>
        <v>25 LANGS RD</v>
      </c>
      <c r="C10386" s="3" t="str">
        <f>IFERROR(__xludf.DUMMYFUNCTION("""COMPUTED_VALUE"""),"ROSENEATH ")</f>
        <v>ROSENEATH </v>
      </c>
      <c r="D10386" s="3" t="str">
        <f>IFERROR(__xludf.DUMMYFUNCTION("""COMPUTED_VALUE"""),"K0K 2X0")</f>
        <v>K0K 2X0</v>
      </c>
      <c r="E10386" s="3" t="str">
        <f>IFERROR(__xludf.DUMMYFUNCTION("""COMPUTED_VALUE"""),"Min Yang")</f>
        <v>Min Yang</v>
      </c>
      <c r="F10386" s="3" t="str">
        <f>IFERROR(__xludf.DUMMYFUNCTION("""COMPUTED_VALUE"""),"yataym@yahoo.com")</f>
        <v>yataym@yahoo.com</v>
      </c>
      <c r="G10386" s="3">
        <f>IFERROR(__xludf.DUMMYFUNCTION("""COMPUTED_VALUE"""),4.168480867E9)</f>
        <v>4168480867</v>
      </c>
      <c r="H10386" s="3"/>
    </row>
    <row r="10387">
      <c r="A10387" s="2">
        <f>IFERROR(__xludf.DUMMYFUNCTION("""COMPUTED_VALUE"""),51248.0)</f>
        <v>51248</v>
      </c>
      <c r="B10387" s="3" t="str">
        <f>IFERROR(__xludf.DUMMYFUNCTION("""COMPUTED_VALUE"""),"53 LANGS RD")</f>
        <v>53 LANGS RD</v>
      </c>
      <c r="C10387" s="3" t="str">
        <f>IFERROR(__xludf.DUMMYFUNCTION("""COMPUTED_VALUE"""),"ROSENEATH ")</f>
        <v>ROSENEATH </v>
      </c>
      <c r="D10387" s="3" t="str">
        <f>IFERROR(__xludf.DUMMYFUNCTION("""COMPUTED_VALUE"""),"K0K 2X0")</f>
        <v>K0K 2X0</v>
      </c>
      <c r="E10387" s="3"/>
      <c r="F10387" s="3"/>
      <c r="G10387" s="3"/>
      <c r="H10387" s="3"/>
    </row>
    <row r="10388">
      <c r="A10388" s="2">
        <f>IFERROR(__xludf.DUMMYFUNCTION("""COMPUTED_VALUE"""),51249.0)</f>
        <v>51249</v>
      </c>
      <c r="B10388" s="3" t="str">
        <f>IFERROR(__xludf.DUMMYFUNCTION("""COMPUTED_VALUE"""),"61 LANGS RD")</f>
        <v>61 LANGS RD</v>
      </c>
      <c r="C10388" s="3" t="str">
        <f>IFERROR(__xludf.DUMMYFUNCTION("""COMPUTED_VALUE"""),"ROSENEATH ")</f>
        <v>ROSENEATH </v>
      </c>
      <c r="D10388" s="3" t="str">
        <f>IFERROR(__xludf.DUMMYFUNCTION("""COMPUTED_VALUE"""),"K0K 2X0")</f>
        <v>K0K 2X0</v>
      </c>
      <c r="E10388" s="3"/>
      <c r="F10388" s="3"/>
      <c r="G10388" s="3"/>
      <c r="H10388" s="3"/>
    </row>
    <row r="10389">
      <c r="A10389" s="2">
        <f>IFERROR(__xludf.DUMMYFUNCTION("""COMPUTED_VALUE"""),51250.0)</f>
        <v>51250</v>
      </c>
      <c r="B10389" s="3" t="str">
        <f>IFERROR(__xludf.DUMMYFUNCTION("""COMPUTED_VALUE"""),"64 LANGS RD")</f>
        <v>64 LANGS RD</v>
      </c>
      <c r="C10389" s="3" t="str">
        <f>IFERROR(__xludf.DUMMYFUNCTION("""COMPUTED_VALUE"""),"ROSENEATH ")</f>
        <v>ROSENEATH </v>
      </c>
      <c r="D10389" s="3" t="str">
        <f>IFERROR(__xludf.DUMMYFUNCTION("""COMPUTED_VALUE"""),"K0K 2X0")</f>
        <v>K0K 2X0</v>
      </c>
      <c r="E10389" s="3"/>
      <c r="F10389" s="3"/>
      <c r="G10389" s="3"/>
      <c r="H10389" s="3"/>
    </row>
    <row r="10390">
      <c r="A10390" s="2">
        <f>IFERROR(__xludf.DUMMYFUNCTION("""COMPUTED_VALUE"""),51251.0)</f>
        <v>51251</v>
      </c>
      <c r="B10390" s="3" t="str">
        <f>IFERROR(__xludf.DUMMYFUNCTION("""COMPUTED_VALUE"""),"69 LANGS RD")</f>
        <v>69 LANGS RD</v>
      </c>
      <c r="C10390" s="3" t="str">
        <f>IFERROR(__xludf.DUMMYFUNCTION("""COMPUTED_VALUE"""),"ROSENEATH ")</f>
        <v>ROSENEATH </v>
      </c>
      <c r="D10390" s="3" t="str">
        <f>IFERROR(__xludf.DUMMYFUNCTION("""COMPUTED_VALUE"""),"K0K 2X0")</f>
        <v>K0K 2X0</v>
      </c>
      <c r="E10390" s="3"/>
      <c r="F10390" s="3"/>
      <c r="G10390" s="3"/>
      <c r="H10390" s="3"/>
    </row>
    <row r="10391">
      <c r="A10391" s="2">
        <f>IFERROR(__xludf.DUMMYFUNCTION("""COMPUTED_VALUE"""),51252.0)</f>
        <v>51252</v>
      </c>
      <c r="B10391" s="3" t="str">
        <f>IFERROR(__xludf.DUMMYFUNCTION("""COMPUTED_VALUE"""),"72 LANG RD")</f>
        <v>72 LANG RD</v>
      </c>
      <c r="C10391" s="3" t="str">
        <f>IFERROR(__xludf.DUMMYFUNCTION("""COMPUTED_VALUE"""),"ROSENEATH ")</f>
        <v>ROSENEATH </v>
      </c>
      <c r="D10391" s="3" t="str">
        <f>IFERROR(__xludf.DUMMYFUNCTION("""COMPUTED_VALUE"""),"K0K 2X0")</f>
        <v>K0K 2X0</v>
      </c>
      <c r="E10391" s="3" t="str">
        <f>IFERROR(__xludf.DUMMYFUNCTION("""COMPUTED_VALUE"""),"Alison Gough")</f>
        <v>Alison Gough</v>
      </c>
      <c r="F10391" s="3" t="str">
        <f>IFERROR(__xludf.DUMMYFUNCTION("""COMPUTED_VALUE"""),"alison.gough19@gmail.com")</f>
        <v>alison.gough19@gmail.com</v>
      </c>
      <c r="G10391" s="3">
        <f>IFERROR(__xludf.DUMMYFUNCTION("""COMPUTED_VALUE"""),6.474655052E9)</f>
        <v>6474655052</v>
      </c>
      <c r="H10391" s="3">
        <f>IFERROR(__xludf.DUMMYFUNCTION("""COMPUTED_VALUE"""),6.47205616E9)</f>
        <v>6472056160</v>
      </c>
    </row>
    <row r="10392">
      <c r="A10392" s="2">
        <f>IFERROR(__xludf.DUMMYFUNCTION("""COMPUTED_VALUE"""),51253.0)</f>
        <v>51253</v>
      </c>
      <c r="B10392" s="3" t="str">
        <f>IFERROR(__xludf.DUMMYFUNCTION("""COMPUTED_VALUE"""),"74 LANGS RD 1")</f>
        <v>74 LANGS RD 1</v>
      </c>
      <c r="C10392" s="3" t="str">
        <f>IFERROR(__xludf.DUMMYFUNCTION("""COMPUTED_VALUE"""),"ROSENEATH ")</f>
        <v>ROSENEATH </v>
      </c>
      <c r="D10392" s="3" t="str">
        <f>IFERROR(__xludf.DUMMYFUNCTION("""COMPUTED_VALUE"""),"K0K 2X0")</f>
        <v>K0K 2X0</v>
      </c>
      <c r="E10392" s="3" t="str">
        <f>IFERROR(__xludf.DUMMYFUNCTION("""COMPUTED_VALUE"""),"Maria Vavro")</f>
        <v>Maria Vavro</v>
      </c>
      <c r="F10392" s="3" t="str">
        <f>IFERROR(__xludf.DUMMYFUNCTION("""COMPUTED_VALUE"""),"maria.vavro@gmail.com")</f>
        <v>maria.vavro@gmail.com</v>
      </c>
      <c r="G10392" s="3"/>
      <c r="H10392" s="3"/>
    </row>
    <row r="10393">
      <c r="A10393" s="2">
        <f>IFERROR(__xludf.DUMMYFUNCTION("""COMPUTED_VALUE"""),51254.0)</f>
        <v>51254</v>
      </c>
      <c r="B10393" s="3" t="str">
        <f>IFERROR(__xludf.DUMMYFUNCTION("""COMPUTED_VALUE"""),"74 LANGS RD SUITE 5")</f>
        <v>74 LANGS RD SUITE 5</v>
      </c>
      <c r="C10393" s="3" t="str">
        <f>IFERROR(__xludf.DUMMYFUNCTION("""COMPUTED_VALUE"""),"ROSENEATH ")</f>
        <v>ROSENEATH </v>
      </c>
      <c r="D10393" s="3" t="str">
        <f>IFERROR(__xludf.DUMMYFUNCTION("""COMPUTED_VALUE"""),"K0K 2X0")</f>
        <v>K0K 2X0</v>
      </c>
      <c r="E10393" s="3"/>
      <c r="F10393" s="3"/>
      <c r="G10393" s="3"/>
      <c r="H10393" s="3"/>
    </row>
    <row r="10394">
      <c r="A10394" s="2">
        <f>IFERROR(__xludf.DUMMYFUNCTION("""COMPUTED_VALUE"""),51255.0)</f>
        <v>51255</v>
      </c>
      <c r="B10394" s="3" t="str">
        <f>IFERROR(__xludf.DUMMYFUNCTION("""COMPUTED_VALUE"""),"77 LANGS RD")</f>
        <v>77 LANGS RD</v>
      </c>
      <c r="C10394" s="3" t="str">
        <f>IFERROR(__xludf.DUMMYFUNCTION("""COMPUTED_VALUE"""),"ROSENEATH ")</f>
        <v>ROSENEATH </v>
      </c>
      <c r="D10394" s="3" t="str">
        <f>IFERROR(__xludf.DUMMYFUNCTION("""COMPUTED_VALUE"""),"K0K 2X0")</f>
        <v>K0K 2X0</v>
      </c>
      <c r="E10394" s="3" t="str">
        <f>IFERROR(__xludf.DUMMYFUNCTION("""COMPUTED_VALUE"""),"Robert Bidgood")</f>
        <v>Robert Bidgood</v>
      </c>
      <c r="F10394" s="3" t="str">
        <f>IFERROR(__xludf.DUMMYFUNCTION("""COMPUTED_VALUE"""),"bidgoodinsul95@gmail.com")</f>
        <v>bidgoodinsul95@gmail.com</v>
      </c>
      <c r="G10394" s="3">
        <f>IFERROR(__xludf.DUMMYFUNCTION("""COMPUTED_VALUE"""),9.053960092E9)</f>
        <v>9053960092</v>
      </c>
      <c r="H10394" s="3"/>
    </row>
    <row r="10395">
      <c r="A10395" s="2">
        <f>IFERROR(__xludf.DUMMYFUNCTION("""COMPUTED_VALUE"""),51256.0)</f>
        <v>51256</v>
      </c>
      <c r="B10395" s="3" t="str">
        <f>IFERROR(__xludf.DUMMYFUNCTION("""COMPUTED_VALUE"""),"1 LAVER CRES")</f>
        <v>1 LAVER CRES</v>
      </c>
      <c r="C10395" s="3" t="str">
        <f>IFERROR(__xludf.DUMMYFUNCTION("""COMPUTED_VALUE"""),"WARKWORTH ")</f>
        <v>WARKWORTH </v>
      </c>
      <c r="D10395" s="3" t="str">
        <f>IFERROR(__xludf.DUMMYFUNCTION("""COMPUTED_VALUE"""),"K0K 3K0")</f>
        <v>K0K 3K0</v>
      </c>
      <c r="E10395" s="3"/>
      <c r="F10395" s="3"/>
      <c r="G10395" s="3"/>
      <c r="H10395" s="3"/>
    </row>
    <row r="10396">
      <c r="A10396" s="2">
        <f>IFERROR(__xludf.DUMMYFUNCTION("""COMPUTED_VALUE"""),51257.0)</f>
        <v>51257</v>
      </c>
      <c r="B10396" s="3" t="str">
        <f>IFERROR(__xludf.DUMMYFUNCTION("""COMPUTED_VALUE"""),"8 LAVER CRES")</f>
        <v>8 LAVER CRES</v>
      </c>
      <c r="C10396" s="3" t="str">
        <f>IFERROR(__xludf.DUMMYFUNCTION("""COMPUTED_VALUE"""),"WARKWORTH ")</f>
        <v>WARKWORTH </v>
      </c>
      <c r="D10396" s="3" t="str">
        <f>IFERROR(__xludf.DUMMYFUNCTION("""COMPUTED_VALUE"""),"K0K 3K0")</f>
        <v>K0K 3K0</v>
      </c>
      <c r="E10396" s="3"/>
      <c r="F10396" s="3"/>
      <c r="G10396" s="3"/>
      <c r="H10396" s="3"/>
    </row>
    <row r="10397">
      <c r="A10397" s="2">
        <f>IFERROR(__xludf.DUMMYFUNCTION("""COMPUTED_VALUE"""),51258.0)</f>
        <v>51258</v>
      </c>
      <c r="B10397" s="3" t="str">
        <f>IFERROR(__xludf.DUMMYFUNCTION("""COMPUTED_VALUE"""),"12 LAVER CRES")</f>
        <v>12 LAVER CRES</v>
      </c>
      <c r="C10397" s="3" t="str">
        <f>IFERROR(__xludf.DUMMYFUNCTION("""COMPUTED_VALUE"""),"WARKWORTH ")</f>
        <v>WARKWORTH </v>
      </c>
      <c r="D10397" s="3" t="str">
        <f>IFERROR(__xludf.DUMMYFUNCTION("""COMPUTED_VALUE"""),"K0K 3K0")</f>
        <v>K0K 3K0</v>
      </c>
      <c r="E10397" s="3" t="str">
        <f>IFERROR(__xludf.DUMMYFUNCTION("""COMPUTED_VALUE"""),"Barbara Laver")</f>
        <v>Barbara Laver</v>
      </c>
      <c r="F10397" s="3" t="str">
        <f>IFERROR(__xludf.DUMMYFUNCTION("""COMPUTED_VALUE"""),"barbalaver@gmail.com")</f>
        <v>barbalaver@gmail.com</v>
      </c>
      <c r="G10397" s="3">
        <f>IFERROR(__xludf.DUMMYFUNCTION("""COMPUTED_VALUE"""),7.059242128E9)</f>
        <v>7059242128</v>
      </c>
      <c r="H10397" s="3">
        <f>IFERROR(__xludf.DUMMYFUNCTION("""COMPUTED_VALUE"""),7.056538705E9)</f>
        <v>7056538705</v>
      </c>
    </row>
    <row r="10398">
      <c r="A10398" s="2">
        <f>IFERROR(__xludf.DUMMYFUNCTION("""COMPUTED_VALUE"""),51259.0)</f>
        <v>51259</v>
      </c>
      <c r="B10398" s="3" t="str">
        <f>IFERROR(__xludf.DUMMYFUNCTION("""COMPUTED_VALUE"""),"16 LAVER CRES")</f>
        <v>16 LAVER CRES</v>
      </c>
      <c r="C10398" s="3" t="str">
        <f>IFERROR(__xludf.DUMMYFUNCTION("""COMPUTED_VALUE"""),"WARKWORTH ")</f>
        <v>WARKWORTH </v>
      </c>
      <c r="D10398" s="3" t="str">
        <f>IFERROR(__xludf.DUMMYFUNCTION("""COMPUTED_VALUE"""),"K0K 3K0")</f>
        <v>K0K 3K0</v>
      </c>
      <c r="E10398" s="3"/>
      <c r="F10398" s="3"/>
      <c r="G10398" s="3"/>
      <c r="H10398" s="3"/>
    </row>
    <row r="10399">
      <c r="A10399" s="2">
        <f>IFERROR(__xludf.DUMMYFUNCTION("""COMPUTED_VALUE"""),51260.0)</f>
        <v>51260</v>
      </c>
      <c r="B10399" s="3" t="str">
        <f>IFERROR(__xludf.DUMMYFUNCTION("""COMPUTED_VALUE"""),"18 LAVER CRES")</f>
        <v>18 LAVER CRES</v>
      </c>
      <c r="C10399" s="3" t="str">
        <f>IFERROR(__xludf.DUMMYFUNCTION("""COMPUTED_VALUE"""),"WARKWORTH ")</f>
        <v>WARKWORTH </v>
      </c>
      <c r="D10399" s="3" t="str">
        <f>IFERROR(__xludf.DUMMYFUNCTION("""COMPUTED_VALUE"""),"K0K 3K0")</f>
        <v>K0K 3K0</v>
      </c>
      <c r="E10399" s="3"/>
      <c r="F10399" s="3"/>
      <c r="G10399" s="3"/>
      <c r="H10399" s="3"/>
    </row>
    <row r="10400">
      <c r="A10400" s="2">
        <f>IFERROR(__xludf.DUMMYFUNCTION("""COMPUTED_VALUE"""),51261.0)</f>
        <v>51261</v>
      </c>
      <c r="B10400" s="3" t="str">
        <f>IFERROR(__xludf.DUMMYFUNCTION("""COMPUTED_VALUE"""),"118 LEACH RD")</f>
        <v>118 LEACH RD</v>
      </c>
      <c r="C10400" s="3" t="str">
        <f>IFERROR(__xludf.DUMMYFUNCTION("""COMPUTED_VALUE"""),"ROSENEATH ")</f>
        <v>ROSENEATH </v>
      </c>
      <c r="D10400" s="3" t="str">
        <f>IFERROR(__xludf.DUMMYFUNCTION("""COMPUTED_VALUE"""),"K0K 2X0")</f>
        <v>K0K 2X0</v>
      </c>
      <c r="E10400" s="3"/>
      <c r="F10400" s="3"/>
      <c r="G10400" s="3"/>
      <c r="H10400" s="3"/>
    </row>
    <row r="10401">
      <c r="A10401" s="2">
        <f>IFERROR(__xludf.DUMMYFUNCTION("""COMPUTED_VALUE"""),51262.0)</f>
        <v>51262</v>
      </c>
      <c r="B10401" s="3" t="str">
        <f>IFERROR(__xludf.DUMMYFUNCTION("""COMPUTED_VALUE"""),"158 LEACH RD")</f>
        <v>158 LEACH RD</v>
      </c>
      <c r="C10401" s="3" t="str">
        <f>IFERROR(__xludf.DUMMYFUNCTION("""COMPUTED_VALUE"""),"ROSENEATH ")</f>
        <v>ROSENEATH </v>
      </c>
      <c r="D10401" s="3" t="str">
        <f>IFERROR(__xludf.DUMMYFUNCTION("""COMPUTED_VALUE"""),"K0K 2X0")</f>
        <v>K0K 2X0</v>
      </c>
      <c r="E10401" s="3"/>
      <c r="F10401" s="3"/>
      <c r="G10401" s="3"/>
      <c r="H10401" s="3"/>
    </row>
    <row r="10402">
      <c r="A10402" s="2">
        <f>IFERROR(__xludf.DUMMYFUNCTION("""COMPUTED_VALUE"""),51263.0)</f>
        <v>51263</v>
      </c>
      <c r="B10402" s="3" t="str">
        <f>IFERROR(__xludf.DUMMYFUNCTION("""COMPUTED_VALUE"""),"209 LEACH RD")</f>
        <v>209 LEACH RD</v>
      </c>
      <c r="C10402" s="3" t="str">
        <f>IFERROR(__xludf.DUMMYFUNCTION("""COMPUTED_VALUE"""),"ROSENEATH ")</f>
        <v>ROSENEATH </v>
      </c>
      <c r="D10402" s="3" t="str">
        <f>IFERROR(__xludf.DUMMYFUNCTION("""COMPUTED_VALUE"""),"K0K 2X0")</f>
        <v>K0K 2X0</v>
      </c>
      <c r="E10402" s="3"/>
      <c r="F10402" s="3"/>
      <c r="G10402" s="3"/>
      <c r="H10402" s="3"/>
    </row>
    <row r="10403">
      <c r="A10403" s="2">
        <f>IFERROR(__xludf.DUMMYFUNCTION("""COMPUTED_VALUE"""),51264.0)</f>
        <v>51264</v>
      </c>
      <c r="B10403" s="3" t="str">
        <f>IFERROR(__xludf.DUMMYFUNCTION("""COMPUTED_VALUE"""),"240 LEACH RD")</f>
        <v>240 LEACH RD</v>
      </c>
      <c r="C10403" s="3" t="str">
        <f>IFERROR(__xludf.DUMMYFUNCTION("""COMPUTED_VALUE"""),"ROSENEATH ")</f>
        <v>ROSENEATH </v>
      </c>
      <c r="D10403" s="3" t="str">
        <f>IFERROR(__xludf.DUMMYFUNCTION("""COMPUTED_VALUE"""),"K0K 2X0")</f>
        <v>K0K 2X0</v>
      </c>
      <c r="E10403" s="3" t="str">
        <f>IFERROR(__xludf.DUMMYFUNCTION("""COMPUTED_VALUE"""),"COREY SIMPSON")</f>
        <v>COREY SIMPSON</v>
      </c>
      <c r="F10403" s="3" t="str">
        <f>IFERROR(__xludf.DUMMYFUNCTION("""COMPUTED_VALUE"""),"coreysimpson3@outlook.com")</f>
        <v>coreysimpson3@outlook.com</v>
      </c>
      <c r="G10403" s="3"/>
      <c r="H10403" s="3"/>
    </row>
    <row r="10404">
      <c r="A10404" s="2">
        <f>IFERROR(__xludf.DUMMYFUNCTION("""COMPUTED_VALUE"""),51265.0)</f>
        <v>51265</v>
      </c>
      <c r="B10404" s="3" t="str">
        <f>IFERROR(__xludf.DUMMYFUNCTION("""COMPUTED_VALUE"""),"Date Consent Received
(Date Format Ex: May 16, 2025)")</f>
        <v>Date Consent Received
(Date Format Ex: May 16, 2025)</v>
      </c>
      <c r="C10404" s="3" t="str">
        <f>IFERROR(__xludf.DUMMYFUNCTION("""COMPUTED_VALUE"""),"ROSENEATH ")</f>
        <v>ROSENEATH </v>
      </c>
      <c r="D10404" s="3" t="str">
        <f>IFERROR(__xludf.DUMMYFUNCTION("""COMPUTED_VALUE"""),"K0K 2X0")</f>
        <v>K0K 2X0</v>
      </c>
      <c r="E10404" s="3" t="str">
        <f>IFERROR(__xludf.DUMMYFUNCTION("""COMPUTED_VALUE"""),"RICHARD WINDOLF")</f>
        <v>RICHARD WINDOLF</v>
      </c>
      <c r="F10404" s="3" t="str">
        <f>IFERROR(__xludf.DUMMYFUNCTION("""COMPUTED_VALUE"""),"richardwindolf@gmail.com")</f>
        <v>richardwindolf@gmail.com</v>
      </c>
      <c r="G10404" s="3"/>
      <c r="H10404" s="3"/>
    </row>
    <row r="10405">
      <c r="A10405" s="2">
        <f>IFERROR(__xludf.DUMMYFUNCTION("""COMPUTED_VALUE"""),51266.0)</f>
        <v>51266</v>
      </c>
      <c r="B10405" s="3" t="str">
        <f>IFERROR(__xludf.DUMMYFUNCTION("""COMPUTED_VALUE"""),"281 LEACH RD")</f>
        <v>281 LEACH RD</v>
      </c>
      <c r="C10405" s="3" t="str">
        <f>IFERROR(__xludf.DUMMYFUNCTION("""COMPUTED_VALUE"""),"ROSENEATH ")</f>
        <v>ROSENEATH </v>
      </c>
      <c r="D10405" s="3" t="str">
        <f>IFERROR(__xludf.DUMMYFUNCTION("""COMPUTED_VALUE"""),"K0K 2X0")</f>
        <v>K0K 2X0</v>
      </c>
      <c r="E10405" s="3" t="str">
        <f>IFERROR(__xludf.DUMMYFUNCTION("""COMPUTED_VALUE"""),"Jacqueline Banks")</f>
        <v>Jacqueline Banks</v>
      </c>
      <c r="F10405" s="3" t="str">
        <f>IFERROR(__xludf.DUMMYFUNCTION("""COMPUTED_VALUE"""),"jackbanks@xplornet.ca")</f>
        <v>jackbanks@xplornet.ca</v>
      </c>
      <c r="G10405" s="3"/>
      <c r="H10405" s="3"/>
    </row>
    <row r="10406">
      <c r="A10406" s="2">
        <f>IFERROR(__xludf.DUMMYFUNCTION("""COMPUTED_VALUE"""),51267.0)</f>
        <v>51267</v>
      </c>
      <c r="B10406" s="3" t="str">
        <f>IFERROR(__xludf.DUMMYFUNCTION("""COMPUTED_VALUE"""),"294 LEACH RD")</f>
        <v>294 LEACH RD</v>
      </c>
      <c r="C10406" s="3" t="str">
        <f>IFERROR(__xludf.DUMMYFUNCTION("""COMPUTED_VALUE"""),"ROSENEATH ")</f>
        <v>ROSENEATH </v>
      </c>
      <c r="D10406" s="3" t="str">
        <f>IFERROR(__xludf.DUMMYFUNCTION("""COMPUTED_VALUE"""),"K0K 2X0")</f>
        <v>K0K 2X0</v>
      </c>
      <c r="E10406" s="3" t="str">
        <f>IFERROR(__xludf.DUMMYFUNCTION("""COMPUTED_VALUE"""),"Lois Gordon")</f>
        <v>Lois Gordon</v>
      </c>
      <c r="F10406" s="3" t="str">
        <f>IFERROR(__xludf.DUMMYFUNCTION("""COMPUTED_VALUE"""),"loisjg56@gmail.com")</f>
        <v>loisjg56@gmail.com</v>
      </c>
      <c r="G10406" s="3"/>
      <c r="H10406" s="3"/>
    </row>
    <row r="10407">
      <c r="A10407" s="2">
        <f>IFERROR(__xludf.DUMMYFUNCTION("""COMPUTED_VALUE"""),51268.0)</f>
        <v>51268</v>
      </c>
      <c r="B10407" s="3" t="str">
        <f>IFERROR(__xludf.DUMMYFUNCTION("""COMPUTED_VALUE"""),"300 LEACH RD")</f>
        <v>300 LEACH RD</v>
      </c>
      <c r="C10407" s="3" t="str">
        <f>IFERROR(__xludf.DUMMYFUNCTION("""COMPUTED_VALUE"""),"ROSENEATH ")</f>
        <v>ROSENEATH </v>
      </c>
      <c r="D10407" s="3" t="str">
        <f>IFERROR(__xludf.DUMMYFUNCTION("""COMPUTED_VALUE"""),"K0K 2X0")</f>
        <v>K0K 2X0</v>
      </c>
      <c r="E10407" s="3"/>
      <c r="F10407" s="3"/>
      <c r="G10407" s="3"/>
      <c r="H10407" s="3"/>
    </row>
    <row r="10408">
      <c r="A10408" s="2">
        <f>IFERROR(__xludf.DUMMYFUNCTION("""COMPUTED_VALUE"""),51269.0)</f>
        <v>51269</v>
      </c>
      <c r="B10408" s="3" t="str">
        <f>IFERROR(__xludf.DUMMYFUNCTION("""COMPUTED_VALUE"""),"293 LEAN RD")</f>
        <v>293 LEAN RD</v>
      </c>
      <c r="C10408" s="3" t="str">
        <f>IFERROR(__xludf.DUMMYFUNCTION("""COMPUTED_VALUE"""),"ROSENEATH ")</f>
        <v>ROSENEATH </v>
      </c>
      <c r="D10408" s="3" t="str">
        <f>IFERROR(__xludf.DUMMYFUNCTION("""COMPUTED_VALUE"""),"K0K 2X0")</f>
        <v>K0K 2X0</v>
      </c>
      <c r="E10408" s="3"/>
      <c r="F10408" s="3"/>
      <c r="G10408" s="3"/>
      <c r="H10408" s="3"/>
    </row>
    <row r="10409">
      <c r="A10409" s="2">
        <f>IFERROR(__xludf.DUMMYFUNCTION("""COMPUTED_VALUE"""),51270.0)</f>
        <v>51270</v>
      </c>
      <c r="B10409" s="3" t="str">
        <f>IFERROR(__xludf.DUMMYFUNCTION("""COMPUTED_VALUE"""),"305 LEAN RD")</f>
        <v>305 LEAN RD</v>
      </c>
      <c r="C10409" s="3" t="str">
        <f>IFERROR(__xludf.DUMMYFUNCTION("""COMPUTED_VALUE"""),"ROSENEATH ")</f>
        <v>ROSENEATH </v>
      </c>
      <c r="D10409" s="3" t="str">
        <f>IFERROR(__xludf.DUMMYFUNCTION("""COMPUTED_VALUE"""),"K0K 2X0")</f>
        <v>K0K 2X0</v>
      </c>
      <c r="E10409" s="3"/>
      <c r="F10409" s="3"/>
      <c r="G10409" s="3"/>
      <c r="H10409" s="3"/>
    </row>
    <row r="10410">
      <c r="A10410" s="2">
        <f>IFERROR(__xludf.DUMMYFUNCTION("""COMPUTED_VALUE"""),51271.0)</f>
        <v>51271</v>
      </c>
      <c r="B10410" s="3" t="str">
        <f>IFERROR(__xludf.DUMMYFUNCTION("""COMPUTED_VALUE"""),"15 LEWIS RD")</f>
        <v>15 LEWIS RD</v>
      </c>
      <c r="C10410" s="3" t="str">
        <f>IFERROR(__xludf.DUMMYFUNCTION("""COMPUTED_VALUE"""),"HASTINGS")</f>
        <v>HASTINGS</v>
      </c>
      <c r="D10410" s="3" t="str">
        <f>IFERROR(__xludf.DUMMYFUNCTION("""COMPUTED_VALUE"""),"K0L 1Y0")</f>
        <v>K0L 1Y0</v>
      </c>
      <c r="E10410" s="3"/>
      <c r="F10410" s="3"/>
      <c r="G10410" s="3"/>
      <c r="H10410" s="3"/>
    </row>
    <row r="10411">
      <c r="A10411" s="2">
        <f>IFERROR(__xludf.DUMMYFUNCTION("""COMPUTED_VALUE"""),51272.0)</f>
        <v>51272</v>
      </c>
      <c r="B10411" s="3" t="str">
        <f>IFERROR(__xludf.DUMMYFUNCTION("""COMPUTED_VALUE"""),"25 LEWIS RD")</f>
        <v>25 LEWIS RD</v>
      </c>
      <c r="C10411" s="3" t="str">
        <f>IFERROR(__xludf.DUMMYFUNCTION("""COMPUTED_VALUE"""),"HASTINGS ")</f>
        <v>HASTINGS </v>
      </c>
      <c r="D10411" s="3" t="str">
        <f>IFERROR(__xludf.DUMMYFUNCTION("""COMPUTED_VALUE"""),"K0L 1Y0")</f>
        <v>K0L 1Y0</v>
      </c>
      <c r="E10411" s="3"/>
      <c r="F10411" s="3"/>
      <c r="G10411" s="3"/>
      <c r="H10411" s="3"/>
    </row>
    <row r="10412">
      <c r="A10412" s="2">
        <f>IFERROR(__xludf.DUMMYFUNCTION("""COMPUTED_VALUE"""),51273.0)</f>
        <v>51273</v>
      </c>
      <c r="B10412" s="3" t="str">
        <f>IFERROR(__xludf.DUMMYFUNCTION("""COMPUTED_VALUE"""),"1 LINTON RD")</f>
        <v>1 LINTON RD</v>
      </c>
      <c r="C10412" s="3" t="str">
        <f>IFERROR(__xludf.DUMMYFUNCTION("""COMPUTED_VALUE"""),"ROSENEATH ")</f>
        <v>ROSENEATH </v>
      </c>
      <c r="D10412" s="3" t="str">
        <f>IFERROR(__xludf.DUMMYFUNCTION("""COMPUTED_VALUE"""),"K0K 2X0 ")</f>
        <v>K0K 2X0 </v>
      </c>
      <c r="E10412" s="3"/>
      <c r="F10412" s="3"/>
      <c r="G10412" s="3"/>
      <c r="H10412" s="3"/>
    </row>
    <row r="10413">
      <c r="A10413" s="2">
        <f>IFERROR(__xludf.DUMMYFUNCTION("""COMPUTED_VALUE"""),51274.0)</f>
        <v>51274</v>
      </c>
      <c r="B10413" s="3" t="str">
        <f>IFERROR(__xludf.DUMMYFUNCTION("""COMPUTED_VALUE"""),"48 LINTON RD")</f>
        <v>48 LINTON RD</v>
      </c>
      <c r="C10413" s="3" t="str">
        <f>IFERROR(__xludf.DUMMYFUNCTION("""COMPUTED_VALUE"""),"ROSENEATH ")</f>
        <v>ROSENEATH </v>
      </c>
      <c r="D10413" s="3" t="str">
        <f>IFERROR(__xludf.DUMMYFUNCTION("""COMPUTED_VALUE"""),"K0K 2X0 ")</f>
        <v>K0K 2X0 </v>
      </c>
      <c r="E10413" s="3"/>
      <c r="F10413" s="3"/>
      <c r="G10413" s="3"/>
      <c r="H10413" s="3"/>
    </row>
    <row r="10414">
      <c r="A10414" s="2">
        <f>IFERROR(__xludf.DUMMYFUNCTION("""COMPUTED_VALUE"""),51275.0)</f>
        <v>51275</v>
      </c>
      <c r="B10414" s="3" t="str">
        <f>IFERROR(__xludf.DUMMYFUNCTION("""COMPUTED_VALUE"""),"62 LINTON RD")</f>
        <v>62 LINTON RD</v>
      </c>
      <c r="C10414" s="3" t="str">
        <f>IFERROR(__xludf.DUMMYFUNCTION("""COMPUTED_VALUE"""),"ROSENEATH ")</f>
        <v>ROSENEATH </v>
      </c>
      <c r="D10414" s="3" t="str">
        <f>IFERROR(__xludf.DUMMYFUNCTION("""COMPUTED_VALUE"""),"K0K 2X0 ")</f>
        <v>K0K 2X0 </v>
      </c>
      <c r="E10414" s="3"/>
      <c r="F10414" s="3"/>
      <c r="G10414" s="3"/>
      <c r="H10414" s="3"/>
    </row>
    <row r="10415">
      <c r="A10415" s="2">
        <f>IFERROR(__xludf.DUMMYFUNCTION("""COMPUTED_VALUE"""),51276.0)</f>
        <v>51276</v>
      </c>
      <c r="B10415" s="3" t="str">
        <f>IFERROR(__xludf.DUMMYFUNCTION("""COMPUTED_VALUE"""),"77 LINTON RD")</f>
        <v>77 LINTON RD</v>
      </c>
      <c r="C10415" s="3" t="str">
        <f>IFERROR(__xludf.DUMMYFUNCTION("""COMPUTED_VALUE"""),"ROSENEATH ")</f>
        <v>ROSENEATH </v>
      </c>
      <c r="D10415" s="3" t="str">
        <f>IFERROR(__xludf.DUMMYFUNCTION("""COMPUTED_VALUE"""),"K0K 2X0 ")</f>
        <v>K0K 2X0 </v>
      </c>
      <c r="E10415" s="3"/>
      <c r="F10415" s="3"/>
      <c r="G10415" s="3"/>
      <c r="H10415" s="3"/>
    </row>
    <row r="10416">
      <c r="A10416" s="2">
        <f>IFERROR(__xludf.DUMMYFUNCTION("""COMPUTED_VALUE"""),51277.0)</f>
        <v>51277</v>
      </c>
      <c r="B10416" s="3" t="str">
        <f>IFERROR(__xludf.DUMMYFUNCTION("""COMPUTED_VALUE"""),"194 LINTON RD")</f>
        <v>194 LINTON RD</v>
      </c>
      <c r="C10416" s="3" t="str">
        <f>IFERROR(__xludf.DUMMYFUNCTION("""COMPUTED_VALUE"""),"ROSENEATH ")</f>
        <v>ROSENEATH </v>
      </c>
      <c r="D10416" s="3" t="str">
        <f>IFERROR(__xludf.DUMMYFUNCTION("""COMPUTED_VALUE"""),"K0K 2X0 ")</f>
        <v>K0K 2X0 </v>
      </c>
      <c r="E10416" s="3"/>
      <c r="F10416" s="3"/>
      <c r="G10416" s="3"/>
      <c r="H10416" s="3"/>
    </row>
    <row r="10417">
      <c r="A10417" s="2">
        <f>IFERROR(__xludf.DUMMYFUNCTION("""COMPUTED_VALUE"""),51281.0)</f>
        <v>51281</v>
      </c>
      <c r="B10417" s="3" t="str">
        <f>IFERROR(__xludf.DUMMYFUNCTION("""COMPUTED_VALUE"""),"103 LONSBERRY RD")</f>
        <v>103 LONSBERRY RD</v>
      </c>
      <c r="C10417" s="3" t="str">
        <f>IFERROR(__xludf.DUMMYFUNCTION("""COMPUTED_VALUE"""),"ROSENEATH ")</f>
        <v>ROSENEATH </v>
      </c>
      <c r="D10417" s="3" t="str">
        <f>IFERROR(__xludf.DUMMYFUNCTION("""COMPUTED_VALUE"""),"K0K 2X0")</f>
        <v>K0K 2X0</v>
      </c>
      <c r="E10417" s="3"/>
      <c r="F10417" s="3"/>
      <c r="G10417" s="3"/>
      <c r="H10417" s="3"/>
    </row>
    <row r="10418">
      <c r="A10418" s="2">
        <f>IFERROR(__xludf.DUMMYFUNCTION("""COMPUTED_VALUE"""),51982.0)</f>
        <v>51982</v>
      </c>
      <c r="B10418" s="3" t="str">
        <f>IFERROR(__xludf.DUMMYFUNCTION("""COMPUTED_VALUE"""),"101 LONSBERRY RD")</f>
        <v>101 LONSBERRY RD</v>
      </c>
      <c r="C10418" s="3"/>
      <c r="D10418" s="3"/>
      <c r="E10418" s="3"/>
      <c r="F10418" s="3"/>
      <c r="G10418" s="3"/>
      <c r="H10418" s="3"/>
    </row>
    <row r="10419">
      <c r="A10419" s="2">
        <f>IFERROR(__xludf.DUMMYFUNCTION("""COMPUTED_VALUE"""),51289.0)</f>
        <v>51289</v>
      </c>
      <c r="B10419" s="3" t="str">
        <f>IFERROR(__xludf.DUMMYFUNCTION("""COMPUTED_VALUE"""),"5358 MACKLIN RD")</f>
        <v>5358 MACKLIN RD</v>
      </c>
      <c r="C10419" s="3" t="str">
        <f>IFERROR(__xludf.DUMMYFUNCTION("""COMPUTED_VALUE"""),"ROSENEATH ")</f>
        <v>ROSENEATH </v>
      </c>
      <c r="D10419" s="3" t="str">
        <f>IFERROR(__xludf.DUMMYFUNCTION("""COMPUTED_VALUE"""),"K0K 2X0")</f>
        <v>K0K 2X0</v>
      </c>
      <c r="E10419" s="3"/>
      <c r="F10419" s="3"/>
      <c r="G10419" s="3"/>
      <c r="H10419" s="3"/>
    </row>
    <row r="10420">
      <c r="A10420" s="2">
        <f>IFERROR(__xludf.DUMMYFUNCTION("""COMPUTED_VALUE"""),51290.0)</f>
        <v>51290</v>
      </c>
      <c r="B10420" s="3" t="str">
        <f>IFERROR(__xludf.DUMMYFUNCTION("""COMPUTED_VALUE"""),"5387 MACKLIN RD")</f>
        <v>5387 MACKLIN RD</v>
      </c>
      <c r="C10420" s="3" t="str">
        <f>IFERROR(__xludf.DUMMYFUNCTION("""COMPUTED_VALUE"""),"ROSENEATH ")</f>
        <v>ROSENEATH </v>
      </c>
      <c r="D10420" s="3" t="str">
        <f>IFERROR(__xludf.DUMMYFUNCTION("""COMPUTED_VALUE"""),"K0K 2X0")</f>
        <v>K0K 2X0</v>
      </c>
      <c r="E10420" s="3" t="str">
        <f>IFERROR(__xludf.DUMMYFUNCTION("""COMPUTED_VALUE"""),"Eldon Taylor &amp; Vickie Henderson")</f>
        <v>Eldon Taylor &amp; Vickie Henderson</v>
      </c>
      <c r="F10420" s="3" t="str">
        <f>IFERROR(__xludf.DUMMYFUNCTION("""COMPUTED_VALUE"""),"eldontaylor@hotmail.com")</f>
        <v>eldontaylor@hotmail.com</v>
      </c>
      <c r="G10420" s="3"/>
      <c r="H10420" s="3"/>
    </row>
    <row r="10421">
      <c r="A10421" s="2">
        <f>IFERROR(__xludf.DUMMYFUNCTION("""COMPUTED_VALUE"""),51291.0)</f>
        <v>51291</v>
      </c>
      <c r="B10421" s="3" t="str">
        <f>IFERROR(__xludf.DUMMYFUNCTION("""COMPUTED_VALUE"""),"5403 MACKLIN RD")</f>
        <v>5403 MACKLIN RD</v>
      </c>
      <c r="C10421" s="3" t="str">
        <f>IFERROR(__xludf.DUMMYFUNCTION("""COMPUTED_VALUE"""),"ROSENEATH ")</f>
        <v>ROSENEATH </v>
      </c>
      <c r="D10421" s="3" t="str">
        <f>IFERROR(__xludf.DUMMYFUNCTION("""COMPUTED_VALUE"""),"K0K 2X0")</f>
        <v>K0K 2X0</v>
      </c>
      <c r="E10421" s="3"/>
      <c r="F10421" s="3"/>
      <c r="G10421" s="3"/>
      <c r="H10421" s="3"/>
    </row>
    <row r="10422">
      <c r="A10422" s="2">
        <f>IFERROR(__xludf.DUMMYFUNCTION("""COMPUTED_VALUE"""),51292.0)</f>
        <v>51292</v>
      </c>
      <c r="B10422" s="3" t="str">
        <f>IFERROR(__xludf.DUMMYFUNCTION("""COMPUTED_VALUE"""),"5408 MACKLIN RD")</f>
        <v>5408 MACKLIN RD</v>
      </c>
      <c r="C10422" s="3" t="str">
        <f>IFERROR(__xludf.DUMMYFUNCTION("""COMPUTED_VALUE"""),"ROSENEATH ")</f>
        <v>ROSENEATH </v>
      </c>
      <c r="D10422" s="3" t="str">
        <f>IFERROR(__xludf.DUMMYFUNCTION("""COMPUTED_VALUE"""),"K0K 2X0")</f>
        <v>K0K 2X0</v>
      </c>
      <c r="E10422" s="3"/>
      <c r="F10422" s="3"/>
      <c r="G10422" s="3"/>
      <c r="H10422" s="3"/>
    </row>
    <row r="10423">
      <c r="A10423" s="2">
        <f>IFERROR(__xludf.DUMMYFUNCTION("""COMPUTED_VALUE"""),51293.0)</f>
        <v>51293</v>
      </c>
      <c r="B10423" s="3" t="str">
        <f>IFERROR(__xludf.DUMMYFUNCTION("""COMPUTED_VALUE"""),"5411 MACKLIN RD")</f>
        <v>5411 MACKLIN RD</v>
      </c>
      <c r="C10423" s="3" t="str">
        <f>IFERROR(__xludf.DUMMYFUNCTION("""COMPUTED_VALUE"""),"ROSENEATH ")</f>
        <v>ROSENEATH </v>
      </c>
      <c r="D10423" s="3" t="str">
        <f>IFERROR(__xludf.DUMMYFUNCTION("""COMPUTED_VALUE"""),"K0K 2X0")</f>
        <v>K0K 2X0</v>
      </c>
      <c r="E10423" s="3"/>
      <c r="F10423" s="3"/>
      <c r="G10423" s="3"/>
      <c r="H10423" s="3"/>
    </row>
    <row r="10424">
      <c r="A10424" s="2">
        <f>IFERROR(__xludf.DUMMYFUNCTION("""COMPUTED_VALUE"""),51294.0)</f>
        <v>51294</v>
      </c>
      <c r="B10424" s="3" t="str">
        <f>IFERROR(__xludf.DUMMYFUNCTION("""COMPUTED_VALUE"""),"5421 MACKLIN RD")</f>
        <v>5421 MACKLIN RD</v>
      </c>
      <c r="C10424" s="3" t="str">
        <f>IFERROR(__xludf.DUMMYFUNCTION("""COMPUTED_VALUE"""),"ROSENEATH ")</f>
        <v>ROSENEATH </v>
      </c>
      <c r="D10424" s="3" t="str">
        <f>IFERROR(__xludf.DUMMYFUNCTION("""COMPUTED_VALUE"""),"K0K 2X0")</f>
        <v>K0K 2X0</v>
      </c>
      <c r="E10424" s="3"/>
      <c r="F10424" s="3"/>
      <c r="G10424" s="3"/>
      <c r="H10424" s="3"/>
    </row>
    <row r="10425">
      <c r="A10425" s="2">
        <f>IFERROR(__xludf.DUMMYFUNCTION("""COMPUTED_VALUE"""),51295.0)</f>
        <v>51295</v>
      </c>
      <c r="B10425" s="3" t="str">
        <f>IFERROR(__xludf.DUMMYFUNCTION("""COMPUTED_VALUE"""),"5431 MACKLIN RD")</f>
        <v>5431 MACKLIN RD</v>
      </c>
      <c r="C10425" s="3" t="str">
        <f>IFERROR(__xludf.DUMMYFUNCTION("""COMPUTED_VALUE"""),"ROSENEATH ")</f>
        <v>ROSENEATH </v>
      </c>
      <c r="D10425" s="3" t="str">
        <f>IFERROR(__xludf.DUMMYFUNCTION("""COMPUTED_VALUE"""),"K0K 2X0")</f>
        <v>K0K 2X0</v>
      </c>
      <c r="E10425" s="3" t="str">
        <f>IFERROR(__xludf.DUMMYFUNCTION("""COMPUTED_VALUE"""),"Carne Wilson")</f>
        <v>Carne Wilson</v>
      </c>
      <c r="F10425" s="3"/>
      <c r="G10425" s="3"/>
      <c r="H10425" s="3"/>
    </row>
    <row r="10426">
      <c r="A10426" s="2">
        <f>IFERROR(__xludf.DUMMYFUNCTION("""COMPUTED_VALUE"""),51296.0)</f>
        <v>51296</v>
      </c>
      <c r="B10426" s="3" t="str">
        <f>IFERROR(__xludf.DUMMYFUNCTION("""COMPUTED_VALUE"""),"5453 MACKLIN RD")</f>
        <v>5453 MACKLIN RD</v>
      </c>
      <c r="C10426" s="3" t="str">
        <f>IFERROR(__xludf.DUMMYFUNCTION("""COMPUTED_VALUE"""),"ROSENEATH ")</f>
        <v>ROSENEATH </v>
      </c>
      <c r="D10426" s="3" t="str">
        <f>IFERROR(__xludf.DUMMYFUNCTION("""COMPUTED_VALUE"""),"K0K 2X0")</f>
        <v>K0K 2X0</v>
      </c>
      <c r="E10426" s="3"/>
      <c r="F10426" s="3"/>
      <c r="G10426" s="3"/>
      <c r="H10426" s="3"/>
    </row>
    <row r="10427">
      <c r="A10427" s="2">
        <f>IFERROR(__xludf.DUMMYFUNCTION("""COMPUTED_VALUE"""),51297.0)</f>
        <v>51297</v>
      </c>
      <c r="B10427" s="3" t="str">
        <f>IFERROR(__xludf.DUMMYFUNCTION("""COMPUTED_VALUE"""),"5491 MACKLIN RD")</f>
        <v>5491 MACKLIN RD</v>
      </c>
      <c r="C10427" s="3" t="str">
        <f>IFERROR(__xludf.DUMMYFUNCTION("""COMPUTED_VALUE"""),"ROSENEATH ")</f>
        <v>ROSENEATH </v>
      </c>
      <c r="D10427" s="3" t="str">
        <f>IFERROR(__xludf.DUMMYFUNCTION("""COMPUTED_VALUE"""),"K0K 2X0")</f>
        <v>K0K 2X0</v>
      </c>
      <c r="E10427" s="3"/>
      <c r="F10427" s="3"/>
      <c r="G10427" s="3"/>
      <c r="H10427" s="3"/>
    </row>
    <row r="10428">
      <c r="A10428" s="2">
        <f>IFERROR(__xludf.DUMMYFUNCTION("""COMPUTED_VALUE"""),51298.0)</f>
        <v>51298</v>
      </c>
      <c r="B10428" s="3" t="str">
        <f>IFERROR(__xludf.DUMMYFUNCTION("""COMPUTED_VALUE"""),"5514 MACKLIN RD")</f>
        <v>5514 MACKLIN RD</v>
      </c>
      <c r="C10428" s="3" t="str">
        <f>IFERROR(__xludf.DUMMYFUNCTION("""COMPUTED_VALUE"""),"ROSENEATH ")</f>
        <v>ROSENEATH </v>
      </c>
      <c r="D10428" s="3" t="str">
        <f>IFERROR(__xludf.DUMMYFUNCTION("""COMPUTED_VALUE"""),"K0K 2X0")</f>
        <v>K0K 2X0</v>
      </c>
      <c r="E10428" s="3" t="str">
        <f>IFERROR(__xludf.DUMMYFUNCTION("""COMPUTED_VALUE"""),"Debbie Rylance")</f>
        <v>Debbie Rylance</v>
      </c>
      <c r="F10428" s="3" t="str">
        <f>IFERROR(__xludf.DUMMYFUNCTION("""COMPUTED_VALUE"""),"dbrylance@hotmail.com")</f>
        <v>dbrylance@hotmail.com</v>
      </c>
      <c r="G10428" s="3">
        <f>IFERROR(__xludf.DUMMYFUNCTION("""COMPUTED_VALUE"""),9.053522817E9)</f>
        <v>9053522817</v>
      </c>
      <c r="H10428" s="3"/>
    </row>
    <row r="10429">
      <c r="A10429" s="2">
        <f>IFERROR(__xludf.DUMMYFUNCTION("""COMPUTED_VALUE"""),51299.0)</f>
        <v>51299</v>
      </c>
      <c r="B10429" s="3" t="str">
        <f>IFERROR(__xludf.DUMMYFUNCTION("""COMPUTED_VALUE"""),"5550 MACKLIN RD")</f>
        <v>5550 MACKLIN RD</v>
      </c>
      <c r="C10429" s="3" t="str">
        <f>IFERROR(__xludf.DUMMYFUNCTION("""COMPUTED_VALUE"""),"ROSENEATH ")</f>
        <v>ROSENEATH </v>
      </c>
      <c r="D10429" s="3" t="str">
        <f>IFERROR(__xludf.DUMMYFUNCTION("""COMPUTED_VALUE"""),"K0K 2X0")</f>
        <v>K0K 2X0</v>
      </c>
      <c r="E10429" s="3"/>
      <c r="F10429" s="3"/>
      <c r="G10429" s="3"/>
      <c r="H10429" s="3"/>
    </row>
    <row r="10430">
      <c r="A10430" s="2">
        <f>IFERROR(__xludf.DUMMYFUNCTION("""COMPUTED_VALUE"""),51300.0)</f>
        <v>51300</v>
      </c>
      <c r="B10430" s="3" t="str">
        <f>IFERROR(__xludf.DUMMYFUNCTION("""COMPUTED_VALUE"""),"5571 MACKLIN RD")</f>
        <v>5571 MACKLIN RD</v>
      </c>
      <c r="C10430" s="3" t="str">
        <f>IFERROR(__xludf.DUMMYFUNCTION("""COMPUTED_VALUE"""),"ROSENEATH ")</f>
        <v>ROSENEATH </v>
      </c>
      <c r="D10430" s="3" t="str">
        <f>IFERROR(__xludf.DUMMYFUNCTION("""COMPUTED_VALUE"""),"K0K 2X0")</f>
        <v>K0K 2X0</v>
      </c>
      <c r="E10430" s="3"/>
      <c r="F10430" s="3"/>
      <c r="G10430" s="3"/>
      <c r="H10430" s="3"/>
    </row>
    <row r="10431">
      <c r="A10431" s="2">
        <f>IFERROR(__xludf.DUMMYFUNCTION("""COMPUTED_VALUE"""),51301.0)</f>
        <v>51301</v>
      </c>
      <c r="B10431" s="3" t="str">
        <f>IFERROR(__xludf.DUMMYFUNCTION("""COMPUTED_VALUE"""),"5576 MACKLIN RD")</f>
        <v>5576 MACKLIN RD</v>
      </c>
      <c r="C10431" s="3" t="str">
        <f>IFERROR(__xludf.DUMMYFUNCTION("""COMPUTED_VALUE"""),"ROSENEATH ")</f>
        <v>ROSENEATH </v>
      </c>
      <c r="D10431" s="3" t="str">
        <f>IFERROR(__xludf.DUMMYFUNCTION("""COMPUTED_VALUE"""),"K0K 2X0")</f>
        <v>K0K 2X0</v>
      </c>
      <c r="E10431" s="3"/>
      <c r="F10431" s="3"/>
      <c r="G10431" s="3"/>
      <c r="H10431" s="3"/>
    </row>
    <row r="10432">
      <c r="A10432" s="2">
        <f>IFERROR(__xludf.DUMMYFUNCTION("""COMPUTED_VALUE"""),51302.0)</f>
        <v>51302</v>
      </c>
      <c r="B10432" s="3" t="str">
        <f>IFERROR(__xludf.DUMMYFUNCTION("""COMPUTED_VALUE"""),"5595 MACKLIN RD")</f>
        <v>5595 MACKLIN RD</v>
      </c>
      <c r="C10432" s="3" t="str">
        <f>IFERROR(__xludf.DUMMYFUNCTION("""COMPUTED_VALUE"""),"ROSENEATH ")</f>
        <v>ROSENEATH </v>
      </c>
      <c r="D10432" s="3" t="str">
        <f>IFERROR(__xludf.DUMMYFUNCTION("""COMPUTED_VALUE"""),"K0K 2X0")</f>
        <v>K0K 2X0</v>
      </c>
      <c r="E10432" s="3" t="str">
        <f>IFERROR(__xludf.DUMMYFUNCTION("""COMPUTED_VALUE"""),"Murdith Donald Smoke")</f>
        <v>Murdith Donald Smoke</v>
      </c>
      <c r="F10432" s="3" t="str">
        <f>IFERROR(__xludf.DUMMYFUNCTION("""COMPUTED_VALUE"""),"marshasmoke@gmail.com")</f>
        <v>marshasmoke@gmail.com</v>
      </c>
      <c r="G10432" s="3"/>
      <c r="H10432" s="3"/>
    </row>
    <row r="10433">
      <c r="A10433" s="2">
        <f>IFERROR(__xludf.DUMMYFUNCTION("""COMPUTED_VALUE"""),51303.0)</f>
        <v>51303</v>
      </c>
      <c r="B10433" s="3" t="str">
        <f>IFERROR(__xludf.DUMMYFUNCTION("""COMPUTED_VALUE"""),"5611 MACKLIN RD")</f>
        <v>5611 MACKLIN RD</v>
      </c>
      <c r="C10433" s="3" t="str">
        <f>IFERROR(__xludf.DUMMYFUNCTION("""COMPUTED_VALUE"""),"ROSENEATH ")</f>
        <v>ROSENEATH </v>
      </c>
      <c r="D10433" s="3" t="str">
        <f>IFERROR(__xludf.DUMMYFUNCTION("""COMPUTED_VALUE"""),"K0K 2X0")</f>
        <v>K0K 2X0</v>
      </c>
      <c r="E10433" s="3" t="str">
        <f>IFERROR(__xludf.DUMMYFUNCTION("""COMPUTED_VALUE"""),"Murdith Donald Smoke")</f>
        <v>Murdith Donald Smoke</v>
      </c>
      <c r="F10433" s="3" t="str">
        <f>IFERROR(__xludf.DUMMYFUNCTION("""COMPUTED_VALUE"""),"marshasmoke@gmail.com")</f>
        <v>marshasmoke@gmail.com</v>
      </c>
      <c r="G10433" s="3"/>
      <c r="H10433" s="3"/>
    </row>
    <row r="10434">
      <c r="A10434" s="2">
        <f>IFERROR(__xludf.DUMMYFUNCTION("""COMPUTED_VALUE"""),51304.0)</f>
        <v>51304</v>
      </c>
      <c r="B10434" s="3" t="str">
        <f>IFERROR(__xludf.DUMMYFUNCTION("""COMPUTED_VALUE"""),"5612 MACKLIN RD")</f>
        <v>5612 MACKLIN RD</v>
      </c>
      <c r="C10434" s="3" t="str">
        <f>IFERROR(__xludf.DUMMYFUNCTION("""COMPUTED_VALUE"""),"ROSENEATH ")</f>
        <v>ROSENEATH </v>
      </c>
      <c r="D10434" s="3" t="str">
        <f>IFERROR(__xludf.DUMMYFUNCTION("""COMPUTED_VALUE"""),"K0K 2X0")</f>
        <v>K0K 2X0</v>
      </c>
      <c r="E10434" s="3"/>
      <c r="F10434" s="3"/>
      <c r="G10434" s="3"/>
      <c r="H10434" s="3"/>
    </row>
    <row r="10435">
      <c r="A10435" s="2">
        <f>IFERROR(__xludf.DUMMYFUNCTION("""COMPUTED_VALUE"""),51305.0)</f>
        <v>51305</v>
      </c>
      <c r="B10435" s="3" t="str">
        <f>IFERROR(__xludf.DUMMYFUNCTION("""COMPUTED_VALUE"""),"5621 MACKLIN RD")</f>
        <v>5621 MACKLIN RD</v>
      </c>
      <c r="C10435" s="3" t="str">
        <f>IFERROR(__xludf.DUMMYFUNCTION("""COMPUTED_VALUE"""),"ROSENEATH ")</f>
        <v>ROSENEATH </v>
      </c>
      <c r="D10435" s="3" t="str">
        <f>IFERROR(__xludf.DUMMYFUNCTION("""COMPUTED_VALUE"""),"K0K 2X0")</f>
        <v>K0K 2X0</v>
      </c>
      <c r="E10435" s="3"/>
      <c r="F10435" s="3"/>
      <c r="G10435" s="3"/>
      <c r="H10435" s="3"/>
    </row>
    <row r="10436">
      <c r="A10436" s="2">
        <f>IFERROR(__xludf.DUMMYFUNCTION("""COMPUTED_VALUE"""),51306.0)</f>
        <v>51306</v>
      </c>
      <c r="B10436" s="3" t="str">
        <f>IFERROR(__xludf.DUMMYFUNCTION("""COMPUTED_VALUE"""),"5630 MACKLIN RD")</f>
        <v>5630 MACKLIN RD</v>
      </c>
      <c r="C10436" s="3" t="str">
        <f>IFERROR(__xludf.DUMMYFUNCTION("""COMPUTED_VALUE"""),"ROSENEATH ")</f>
        <v>ROSENEATH </v>
      </c>
      <c r="D10436" s="3" t="str">
        <f>IFERROR(__xludf.DUMMYFUNCTION("""COMPUTED_VALUE"""),"K0K 2X0")</f>
        <v>K0K 2X0</v>
      </c>
      <c r="E10436" s="3"/>
      <c r="F10436" s="3"/>
      <c r="G10436" s="3"/>
      <c r="H10436" s="3"/>
    </row>
    <row r="10437">
      <c r="A10437" s="2">
        <f>IFERROR(__xludf.DUMMYFUNCTION("""COMPUTED_VALUE"""),51307.0)</f>
        <v>51307</v>
      </c>
      <c r="B10437" s="3" t="str">
        <f>IFERROR(__xludf.DUMMYFUNCTION("""COMPUTED_VALUE"""),"9 MALLORY LANE")</f>
        <v>9 MALLORY LANE</v>
      </c>
      <c r="C10437" s="3" t="str">
        <f>IFERROR(__xludf.DUMMYFUNCTION("""COMPUTED_VALUE"""),"WARKWORTH ")</f>
        <v>WARKWORTH </v>
      </c>
      <c r="D10437" s="3" t="str">
        <f>IFERROR(__xludf.DUMMYFUNCTION("""COMPUTED_VALUE"""),"K0K 3K0")</f>
        <v>K0K 3K0</v>
      </c>
      <c r="E10437" s="3"/>
      <c r="F10437" s="3"/>
      <c r="G10437" s="3"/>
      <c r="H10437" s="3"/>
    </row>
    <row r="10438">
      <c r="A10438" s="2">
        <f>IFERROR(__xludf.DUMMYFUNCTION("""COMPUTED_VALUE"""),51308.0)</f>
        <v>51308</v>
      </c>
      <c r="B10438" s="3" t="str">
        <f>IFERROR(__xludf.DUMMYFUNCTION("""COMPUTED_VALUE"""),"14 MALLORY LANE")</f>
        <v>14 MALLORY LANE</v>
      </c>
      <c r="C10438" s="3" t="str">
        <f>IFERROR(__xludf.DUMMYFUNCTION("""COMPUTED_VALUE"""),"WARKWORTH ")</f>
        <v>WARKWORTH </v>
      </c>
      <c r="D10438" s="3" t="str">
        <f>IFERROR(__xludf.DUMMYFUNCTION("""COMPUTED_VALUE"""),"K0K 3K0")</f>
        <v>K0K 3K0</v>
      </c>
      <c r="E10438" s="3"/>
      <c r="F10438" s="3"/>
      <c r="G10438" s="3"/>
      <c r="H10438" s="3"/>
    </row>
    <row r="10439">
      <c r="A10439" s="2">
        <f>IFERROR(__xludf.DUMMYFUNCTION("""COMPUTED_VALUE"""),51309.0)</f>
        <v>51309</v>
      </c>
      <c r="B10439" s="3" t="str">
        <f>IFERROR(__xludf.DUMMYFUNCTION("""COMPUTED_VALUE"""),"20 MALLORY LANE")</f>
        <v>20 MALLORY LANE</v>
      </c>
      <c r="C10439" s="3" t="str">
        <f>IFERROR(__xludf.DUMMYFUNCTION("""COMPUTED_VALUE"""),"WARKWORTH ")</f>
        <v>WARKWORTH </v>
      </c>
      <c r="D10439" s="3" t="str">
        <f>IFERROR(__xludf.DUMMYFUNCTION("""COMPUTED_VALUE"""),"K0K 3K0")</f>
        <v>K0K 3K0</v>
      </c>
      <c r="E10439" s="3" t="str">
        <f>IFERROR(__xludf.DUMMYFUNCTION("""COMPUTED_VALUE"""),"George Saindon | Ernest Hofmann")</f>
        <v>George Saindon | Ernest Hofmann</v>
      </c>
      <c r="F10439" s="3" t="str">
        <f>IFERROR(__xludf.DUMMYFUNCTION("""COMPUTED_VALUE"""),"countryboys722@gmail.com")</f>
        <v>countryboys722@gmail.com</v>
      </c>
      <c r="G10439" s="3"/>
      <c r="H10439" s="3"/>
    </row>
    <row r="10440">
      <c r="A10440" s="2">
        <f>IFERROR(__xludf.DUMMYFUNCTION("""COMPUTED_VALUE"""),51310.0)</f>
        <v>51310</v>
      </c>
      <c r="B10440" s="3" t="str">
        <f>IFERROR(__xludf.DUMMYFUNCTION("""COMPUTED_VALUE"""),"11 MAPLEDEAN RD")</f>
        <v>11 MAPLEDEAN RD</v>
      </c>
      <c r="C10440" s="3" t="str">
        <f>IFERROR(__xludf.DUMMYFUNCTION("""COMPUTED_VALUE"""),"HASTINGS ")</f>
        <v>HASTINGS </v>
      </c>
      <c r="D10440" s="3" t="str">
        <f>IFERROR(__xludf.DUMMYFUNCTION("""COMPUTED_VALUE"""),"K0L 1Y0")</f>
        <v>K0L 1Y0</v>
      </c>
      <c r="E10440" s="3" t="str">
        <f>IFERROR(__xludf.DUMMYFUNCTION("""COMPUTED_VALUE"""),"Pauline &amp; Fred Graham")</f>
        <v>Pauline &amp; Fred Graham</v>
      </c>
      <c r="F10440" s="3" t="str">
        <f>IFERROR(__xludf.DUMMYFUNCTION("""COMPUTED_VALUE"""),"fphillview@gmail.com")</f>
        <v>fphillview@gmail.com</v>
      </c>
      <c r="G10440" s="3"/>
      <c r="H10440" s="3"/>
    </row>
    <row r="10441">
      <c r="A10441" s="2">
        <f>IFERROR(__xludf.DUMMYFUNCTION("""COMPUTED_VALUE"""),51311.0)</f>
        <v>51311</v>
      </c>
      <c r="B10441" s="3" t="str">
        <f>IFERROR(__xludf.DUMMYFUNCTION("""COMPUTED_VALUE"""),"14 MAPLEDEAN RD")</f>
        <v>14 MAPLEDEAN RD</v>
      </c>
      <c r="C10441" s="3" t="str">
        <f>IFERROR(__xludf.DUMMYFUNCTION("""COMPUTED_VALUE"""),"HASTINGS ")</f>
        <v>HASTINGS </v>
      </c>
      <c r="D10441" s="3" t="str">
        <f>IFERROR(__xludf.DUMMYFUNCTION("""COMPUTED_VALUE"""),"K0L 1Y0")</f>
        <v>K0L 1Y0</v>
      </c>
      <c r="E10441" s="3"/>
      <c r="F10441" s="3"/>
      <c r="G10441" s="3"/>
      <c r="H10441" s="3"/>
    </row>
    <row r="10442">
      <c r="A10442" s="2">
        <f>IFERROR(__xludf.DUMMYFUNCTION("""COMPUTED_VALUE"""),51312.0)</f>
        <v>51312</v>
      </c>
      <c r="B10442" s="3" t="str">
        <f>IFERROR(__xludf.DUMMYFUNCTION("""COMPUTED_VALUE"""),"15 MAPLEDEAN RD")</f>
        <v>15 MAPLEDEAN RD</v>
      </c>
      <c r="C10442" s="3" t="str">
        <f>IFERROR(__xludf.DUMMYFUNCTION("""COMPUTED_VALUE"""),"HASTINGS ")</f>
        <v>HASTINGS </v>
      </c>
      <c r="D10442" s="3" t="str">
        <f>IFERROR(__xludf.DUMMYFUNCTION("""COMPUTED_VALUE"""),"K0L 1Y0")</f>
        <v>K0L 1Y0</v>
      </c>
      <c r="E10442" s="3" t="str">
        <f>IFERROR(__xludf.DUMMYFUNCTION("""COMPUTED_VALUE"""),"Chris Hay")</f>
        <v>Chris Hay</v>
      </c>
      <c r="F10442" s="3" t="str">
        <f>IFERROR(__xludf.DUMMYFUNCTION("""COMPUTED_VALUE"""),"chay270@gmail.com")</f>
        <v>chay270@gmail.com</v>
      </c>
      <c r="G10442" s="3">
        <f>IFERROR(__xludf.DUMMYFUNCTION("""COMPUTED_VALUE"""),7.057508285E9)</f>
        <v>7057508285</v>
      </c>
      <c r="H10442" s="3"/>
    </row>
    <row r="10443">
      <c r="A10443" s="2">
        <f>IFERROR(__xludf.DUMMYFUNCTION("""COMPUTED_VALUE"""),51313.0)</f>
        <v>51313</v>
      </c>
      <c r="B10443" s="3" t="str">
        <f>IFERROR(__xludf.DUMMYFUNCTION("""COMPUTED_VALUE"""),"22 MAPLEDEAN RD")</f>
        <v>22 MAPLEDEAN RD</v>
      </c>
      <c r="C10443" s="3" t="str">
        <f>IFERROR(__xludf.DUMMYFUNCTION("""COMPUTED_VALUE"""),"HASTINGS ")</f>
        <v>HASTINGS </v>
      </c>
      <c r="D10443" s="3" t="str">
        <f>IFERROR(__xludf.DUMMYFUNCTION("""COMPUTED_VALUE"""),"K0L 1Y0")</f>
        <v>K0L 1Y0</v>
      </c>
      <c r="E10443" s="3"/>
      <c r="F10443" s="3"/>
      <c r="G10443" s="3"/>
      <c r="H10443" s="3"/>
    </row>
    <row r="10444">
      <c r="A10444" s="2">
        <f>IFERROR(__xludf.DUMMYFUNCTION("""COMPUTED_VALUE"""),51314.0)</f>
        <v>51314</v>
      </c>
      <c r="B10444" s="3" t="str">
        <f>IFERROR(__xludf.DUMMYFUNCTION("""COMPUTED_VALUE"""),"62 MAPLEDEAN RD")</f>
        <v>62 MAPLEDEAN RD</v>
      </c>
      <c r="C10444" s="3" t="str">
        <f>IFERROR(__xludf.DUMMYFUNCTION("""COMPUTED_VALUE"""),"HASTINGS ")</f>
        <v>HASTINGS </v>
      </c>
      <c r="D10444" s="3" t="str">
        <f>IFERROR(__xludf.DUMMYFUNCTION("""COMPUTED_VALUE"""),"K0L 1Y0")</f>
        <v>K0L 1Y0</v>
      </c>
      <c r="E10444" s="3"/>
      <c r="F10444" s="3"/>
      <c r="G10444" s="3"/>
      <c r="H10444" s="3"/>
    </row>
    <row r="10445">
      <c r="A10445" s="2">
        <f>IFERROR(__xludf.DUMMYFUNCTION("""COMPUTED_VALUE"""),51315.0)</f>
        <v>51315</v>
      </c>
      <c r="B10445" s="3" t="str">
        <f>IFERROR(__xludf.DUMMYFUNCTION("""COMPUTED_VALUE"""),"65 MAPLEDEAN RD")</f>
        <v>65 MAPLEDEAN RD</v>
      </c>
      <c r="C10445" s="3" t="str">
        <f>IFERROR(__xludf.DUMMYFUNCTION("""COMPUTED_VALUE"""),"HASTINGS ")</f>
        <v>HASTINGS </v>
      </c>
      <c r="D10445" s="3" t="str">
        <f>IFERROR(__xludf.DUMMYFUNCTION("""COMPUTED_VALUE"""),"K0L 1Y0")</f>
        <v>K0L 1Y0</v>
      </c>
      <c r="E10445" s="3"/>
      <c r="F10445" s="3"/>
      <c r="G10445" s="3"/>
      <c r="H10445" s="3"/>
    </row>
    <row r="10446">
      <c r="A10446" s="2">
        <f>IFERROR(__xludf.DUMMYFUNCTION("""COMPUTED_VALUE"""),51316.0)</f>
        <v>51316</v>
      </c>
      <c r="B10446" s="3" t="str">
        <f>IFERROR(__xludf.DUMMYFUNCTION("""COMPUTED_VALUE"""),"70 MAPLEDEAN RD")</f>
        <v>70 MAPLEDEAN RD</v>
      </c>
      <c r="C10446" s="3" t="str">
        <f>IFERROR(__xludf.DUMMYFUNCTION("""COMPUTED_VALUE"""),"HASTINGS ")</f>
        <v>HASTINGS </v>
      </c>
      <c r="D10446" s="3" t="str">
        <f>IFERROR(__xludf.DUMMYFUNCTION("""COMPUTED_VALUE"""),"K0L 1Y0")</f>
        <v>K0L 1Y0</v>
      </c>
      <c r="E10446" s="3"/>
      <c r="F10446" s="3"/>
      <c r="G10446" s="3"/>
      <c r="H10446" s="3"/>
    </row>
    <row r="10447">
      <c r="A10447" s="2">
        <f>IFERROR(__xludf.DUMMYFUNCTION("""COMPUTED_VALUE"""),51317.0)</f>
        <v>51317</v>
      </c>
      <c r="B10447" s="3" t="str">
        <f>IFERROR(__xludf.DUMMYFUNCTION("""COMPUTED_VALUE"""),"73 MAPLEDEAN RD")</f>
        <v>73 MAPLEDEAN RD</v>
      </c>
      <c r="C10447" s="3" t="str">
        <f>IFERROR(__xludf.DUMMYFUNCTION("""COMPUTED_VALUE"""),"HASTINGS ")</f>
        <v>HASTINGS </v>
      </c>
      <c r="D10447" s="3" t="str">
        <f>IFERROR(__xludf.DUMMYFUNCTION("""COMPUTED_VALUE"""),"K0L 1Y0")</f>
        <v>K0L 1Y0</v>
      </c>
      <c r="E10447" s="3" t="str">
        <f>IFERROR(__xludf.DUMMYFUNCTION("""COMPUTED_VALUE"""),"Gordon Jesseman")</f>
        <v>Gordon Jesseman</v>
      </c>
      <c r="F10447" s="3" t="str">
        <f>IFERROR(__xludf.DUMMYFUNCTION("""COMPUTED_VALUE"""),"gjesseman@outlook.com")</f>
        <v>gjesseman@outlook.com</v>
      </c>
      <c r="G10447" s="3">
        <f>IFERROR(__xludf.DUMMYFUNCTION("""COMPUTED_VALUE"""),9.054071953E9)</f>
        <v>9054071953</v>
      </c>
      <c r="H10447" s="3"/>
    </row>
    <row r="10448">
      <c r="A10448" s="2">
        <f>IFERROR(__xludf.DUMMYFUNCTION("""COMPUTED_VALUE"""),51318.0)</f>
        <v>51318</v>
      </c>
      <c r="B10448" s="3" t="str">
        <f>IFERROR(__xludf.DUMMYFUNCTION("""COMPUTED_VALUE"""),"75 MAPLEDEAN RD")</f>
        <v>75 MAPLEDEAN RD</v>
      </c>
      <c r="C10448" s="3" t="str">
        <f>IFERROR(__xludf.DUMMYFUNCTION("""COMPUTED_VALUE"""),"HASTINGS ")</f>
        <v>HASTINGS </v>
      </c>
      <c r="D10448" s="3" t="str">
        <f>IFERROR(__xludf.DUMMYFUNCTION("""COMPUTED_VALUE"""),"K0L 1Y0")</f>
        <v>K0L 1Y0</v>
      </c>
      <c r="E10448" s="3"/>
      <c r="F10448" s="3"/>
      <c r="G10448" s="3"/>
      <c r="H10448" s="3"/>
    </row>
    <row r="10449">
      <c r="A10449" s="2">
        <f>IFERROR(__xludf.DUMMYFUNCTION("""COMPUTED_VALUE"""),51319.0)</f>
        <v>51319</v>
      </c>
      <c r="B10449" s="3" t="str">
        <f>IFERROR(__xludf.DUMMYFUNCTION("""COMPUTED_VALUE"""),"87 MAPLEDEAN DR")</f>
        <v>87 MAPLEDEAN DR</v>
      </c>
      <c r="C10449" s="3" t="str">
        <f>IFERROR(__xludf.DUMMYFUNCTION("""COMPUTED_VALUE"""),"HASTINGS ")</f>
        <v>HASTINGS </v>
      </c>
      <c r="D10449" s="3" t="str">
        <f>IFERROR(__xludf.DUMMYFUNCTION("""COMPUTED_VALUE"""),"K0L 1Y0")</f>
        <v>K0L 1Y0</v>
      </c>
      <c r="E10449" s="3"/>
      <c r="F10449" s="3"/>
      <c r="G10449" s="3"/>
      <c r="H10449" s="3"/>
    </row>
    <row r="10450">
      <c r="A10450" s="2">
        <f>IFERROR(__xludf.DUMMYFUNCTION("""COMPUTED_VALUE"""),51320.0)</f>
        <v>51320</v>
      </c>
      <c r="B10450" s="3" t="str">
        <f>IFERROR(__xludf.DUMMYFUNCTION("""COMPUTED_VALUE"""),"88 MAPLEDEAN RD")</f>
        <v>88 MAPLEDEAN RD</v>
      </c>
      <c r="C10450" s="3" t="str">
        <f>IFERROR(__xludf.DUMMYFUNCTION("""COMPUTED_VALUE"""),"HASTINGS ")</f>
        <v>HASTINGS </v>
      </c>
      <c r="D10450" s="3" t="str">
        <f>IFERROR(__xludf.DUMMYFUNCTION("""COMPUTED_VALUE"""),"K0L 1Y0")</f>
        <v>K0L 1Y0</v>
      </c>
      <c r="E10450" s="3" t="str">
        <f>IFERROR(__xludf.DUMMYFUNCTION("""COMPUTED_VALUE"""),"Alexander Airlie.")</f>
        <v>Alexander Airlie.</v>
      </c>
      <c r="F10450" s="3" t="str">
        <f>IFERROR(__xludf.DUMMYFUNCTION("""COMPUTED_VALUE"""),"wrongway.classic@gmail.com")</f>
        <v>wrongway.classic@gmail.com</v>
      </c>
      <c r="G10450" s="3"/>
      <c r="H10450" s="3"/>
    </row>
    <row r="10451">
      <c r="A10451" s="2">
        <f>IFERROR(__xludf.DUMMYFUNCTION("""COMPUTED_VALUE"""),51321.0)</f>
        <v>51321</v>
      </c>
      <c r="B10451" s="3" t="str">
        <f>IFERROR(__xludf.DUMMYFUNCTION("""COMPUTED_VALUE"""),"91 MAPLEDEAN RD")</f>
        <v>91 MAPLEDEAN RD</v>
      </c>
      <c r="C10451" s="3" t="str">
        <f>IFERROR(__xludf.DUMMYFUNCTION("""COMPUTED_VALUE"""),"HASTINGS ")</f>
        <v>HASTINGS </v>
      </c>
      <c r="D10451" s="3" t="str">
        <f>IFERROR(__xludf.DUMMYFUNCTION("""COMPUTED_VALUE"""),"K0L 1Y0")</f>
        <v>K0L 1Y0</v>
      </c>
      <c r="E10451" s="3" t="str">
        <f>IFERROR(__xludf.DUMMYFUNCTION("""COMPUTED_VALUE"""),"Matthew Hambley")</f>
        <v>Matthew Hambley</v>
      </c>
      <c r="F10451" s="3" t="str">
        <f>IFERROR(__xludf.DUMMYFUNCTION("""COMPUTED_VALUE"""),"matthambley15@hotmail.com")</f>
        <v>matthambley15@hotmail.com</v>
      </c>
      <c r="G10451" s="3">
        <f>IFERROR(__xludf.DUMMYFUNCTION("""COMPUTED_VALUE"""),6.138488515E9)</f>
        <v>6138488515</v>
      </c>
      <c r="H10451" s="3"/>
    </row>
    <row r="10452">
      <c r="A10452" s="2">
        <f>IFERROR(__xludf.DUMMYFUNCTION("""COMPUTED_VALUE"""),51322.0)</f>
        <v>51322</v>
      </c>
      <c r="B10452" s="3" t="str">
        <f>IFERROR(__xludf.DUMMYFUNCTION("""COMPUTED_VALUE"""),"94 MAPLEDEAN DR")</f>
        <v>94 MAPLEDEAN DR</v>
      </c>
      <c r="C10452" s="3" t="str">
        <f>IFERROR(__xludf.DUMMYFUNCTION("""COMPUTED_VALUE"""),"HASTINGS ")</f>
        <v>HASTINGS </v>
      </c>
      <c r="D10452" s="3" t="str">
        <f>IFERROR(__xludf.DUMMYFUNCTION("""COMPUTED_VALUE"""),"K0L 1Y0")</f>
        <v>K0L 1Y0</v>
      </c>
      <c r="E10452" s="3"/>
      <c r="F10452" s="3"/>
      <c r="G10452" s="3"/>
      <c r="H10452" s="3"/>
    </row>
    <row r="10453">
      <c r="A10453" s="2">
        <f>IFERROR(__xludf.DUMMYFUNCTION("""COMPUTED_VALUE"""),51323.0)</f>
        <v>51323</v>
      </c>
      <c r="B10453" s="3" t="str">
        <f>IFERROR(__xludf.DUMMYFUNCTION("""COMPUTED_VALUE"""),"97 MAPLEDEAN RD")</f>
        <v>97 MAPLEDEAN RD</v>
      </c>
      <c r="C10453" s="3" t="str">
        <f>IFERROR(__xludf.DUMMYFUNCTION("""COMPUTED_VALUE"""),"HASTINGS ")</f>
        <v>HASTINGS </v>
      </c>
      <c r="D10453" s="3" t="str">
        <f>IFERROR(__xludf.DUMMYFUNCTION("""COMPUTED_VALUE"""),"K0L 1Y0")</f>
        <v>K0L 1Y0</v>
      </c>
      <c r="E10453" s="3" t="str">
        <f>IFERROR(__xludf.DUMMYFUNCTION("""COMPUTED_VALUE"""),"Sheena gross")</f>
        <v>Sheena gross</v>
      </c>
      <c r="F10453" s="3" t="str">
        <f>IFERROR(__xludf.DUMMYFUNCTION("""COMPUTED_VALUE"""),"ebockus@hotmail.com")</f>
        <v>ebockus@hotmail.com</v>
      </c>
      <c r="G10453" s="3"/>
      <c r="H10453" s="3"/>
    </row>
    <row r="10454">
      <c r="A10454" s="2">
        <f>IFERROR(__xludf.DUMMYFUNCTION("""COMPUTED_VALUE"""),51324.0)</f>
        <v>51324</v>
      </c>
      <c r="B10454" s="3" t="str">
        <f>IFERROR(__xludf.DUMMYFUNCTION("""COMPUTED_VALUE"""),"99 MAPLEDEAN RD")</f>
        <v>99 MAPLEDEAN RD</v>
      </c>
      <c r="C10454" s="3" t="str">
        <f>IFERROR(__xludf.DUMMYFUNCTION("""COMPUTED_VALUE"""),"HASTINGS ")</f>
        <v>HASTINGS </v>
      </c>
      <c r="D10454" s="3" t="str">
        <f>IFERROR(__xludf.DUMMYFUNCTION("""COMPUTED_VALUE"""),"K0L 1Y0")</f>
        <v>K0L 1Y0</v>
      </c>
      <c r="E10454" s="3" t="str">
        <f>IFERROR(__xludf.DUMMYFUNCTION("""COMPUTED_VALUE"""),"Eric bockus")</f>
        <v>Eric bockus</v>
      </c>
      <c r="F10454" s="3" t="str">
        <f>IFERROR(__xludf.DUMMYFUNCTION("""COMPUTED_VALUE"""),"ebockus@hotmail.com")</f>
        <v>ebockus@hotmail.com</v>
      </c>
      <c r="G10454" s="3">
        <f>IFERROR(__xludf.DUMMYFUNCTION("""COMPUTED_VALUE"""),7.059776339E9)</f>
        <v>7059776339</v>
      </c>
      <c r="H10454" s="3"/>
    </row>
    <row r="10455">
      <c r="A10455" s="2">
        <f>IFERROR(__xludf.DUMMYFUNCTION("""COMPUTED_VALUE"""),51325.0)</f>
        <v>51325</v>
      </c>
      <c r="B10455" s="3" t="str">
        <f>IFERROR(__xludf.DUMMYFUNCTION("""COMPUTED_VALUE"""),"104 MAPLEDEAN RD")</f>
        <v>104 MAPLEDEAN RD</v>
      </c>
      <c r="C10455" s="3" t="str">
        <f>IFERROR(__xludf.DUMMYFUNCTION("""COMPUTED_VALUE"""),"HASTINGS ")</f>
        <v>HASTINGS </v>
      </c>
      <c r="D10455" s="3" t="str">
        <f>IFERROR(__xludf.DUMMYFUNCTION("""COMPUTED_VALUE"""),"K0L 1Y0")</f>
        <v>K0L 1Y0</v>
      </c>
      <c r="E10455" s="3"/>
      <c r="F10455" s="3"/>
      <c r="G10455" s="3"/>
      <c r="H10455" s="3"/>
    </row>
    <row r="10456">
      <c r="A10456" s="2">
        <f>IFERROR(__xludf.DUMMYFUNCTION("""COMPUTED_VALUE"""),51326.0)</f>
        <v>51326</v>
      </c>
      <c r="B10456" s="3" t="str">
        <f>IFERROR(__xludf.DUMMYFUNCTION("""COMPUTED_VALUE"""),"106 MAPLEDEAN RD")</f>
        <v>106 MAPLEDEAN RD</v>
      </c>
      <c r="C10456" s="3" t="str">
        <f>IFERROR(__xludf.DUMMYFUNCTION("""COMPUTED_VALUE"""),"HASTINGS ")</f>
        <v>HASTINGS </v>
      </c>
      <c r="D10456" s="3" t="str">
        <f>IFERROR(__xludf.DUMMYFUNCTION("""COMPUTED_VALUE"""),"K0L 1Y0")</f>
        <v>K0L 1Y0</v>
      </c>
      <c r="E10456" s="3"/>
      <c r="F10456" s="3"/>
      <c r="G10456" s="3"/>
      <c r="H10456" s="3"/>
    </row>
    <row r="10457">
      <c r="A10457" s="2">
        <f>IFERROR(__xludf.DUMMYFUNCTION("""COMPUTED_VALUE"""),51327.0)</f>
        <v>51327</v>
      </c>
      <c r="B10457" s="3" t="str">
        <f>IFERROR(__xludf.DUMMYFUNCTION("""COMPUTED_VALUE"""),"20 MARSDEN LN")</f>
        <v>20 MARSDEN LN</v>
      </c>
      <c r="C10457" s="3" t="str">
        <f>IFERROR(__xludf.DUMMYFUNCTION("""COMPUTED_VALUE"""),"ROSENEATH ")</f>
        <v>ROSENEATH </v>
      </c>
      <c r="D10457" s="3" t="str">
        <f>IFERROR(__xludf.DUMMYFUNCTION("""COMPUTED_VALUE"""),"K0K 2X0")</f>
        <v>K0K 2X0</v>
      </c>
      <c r="E10457" s="3"/>
      <c r="F10457" s="3"/>
      <c r="G10457" s="3"/>
      <c r="H10457" s="3"/>
    </row>
    <row r="10458">
      <c r="A10458" s="2">
        <f>IFERROR(__xludf.DUMMYFUNCTION("""COMPUTED_VALUE"""),51328.0)</f>
        <v>51328</v>
      </c>
      <c r="B10458" s="3" t="str">
        <f>IFERROR(__xludf.DUMMYFUNCTION("""COMPUTED_VALUE"""),"30 MARSDEN LN")</f>
        <v>30 MARSDEN LN</v>
      </c>
      <c r="C10458" s="3" t="str">
        <f>IFERROR(__xludf.DUMMYFUNCTION("""COMPUTED_VALUE"""),"ROSENEATH ")</f>
        <v>ROSENEATH </v>
      </c>
      <c r="D10458" s="3" t="str">
        <f>IFERROR(__xludf.DUMMYFUNCTION("""COMPUTED_VALUE"""),"K0K 2X0")</f>
        <v>K0K 2X0</v>
      </c>
      <c r="E10458" s="3"/>
      <c r="F10458" s="3"/>
      <c r="G10458" s="3"/>
      <c r="H10458" s="3"/>
    </row>
    <row r="10459">
      <c r="A10459" s="2">
        <f>IFERROR(__xludf.DUMMYFUNCTION("""COMPUTED_VALUE"""),51329.0)</f>
        <v>51329</v>
      </c>
      <c r="B10459" s="3" t="str">
        <f>IFERROR(__xludf.DUMMYFUNCTION("""COMPUTED_VALUE"""),"36 MARSDEN LN")</f>
        <v>36 MARSDEN LN</v>
      </c>
      <c r="C10459" s="3" t="str">
        <f>IFERROR(__xludf.DUMMYFUNCTION("""COMPUTED_VALUE"""),"ROSENEATH ")</f>
        <v>ROSENEATH </v>
      </c>
      <c r="D10459" s="3" t="str">
        <f>IFERROR(__xludf.DUMMYFUNCTION("""COMPUTED_VALUE"""),"K0K 2X0")</f>
        <v>K0K 2X0</v>
      </c>
      <c r="E10459" s="3"/>
      <c r="F10459" s="3"/>
      <c r="G10459" s="3"/>
      <c r="H10459" s="3"/>
    </row>
    <row r="10460">
      <c r="A10460" s="2">
        <f>IFERROR(__xludf.DUMMYFUNCTION("""COMPUTED_VALUE"""),51330.0)</f>
        <v>51330</v>
      </c>
      <c r="B10460" s="3" t="str">
        <f>IFERROR(__xludf.DUMMYFUNCTION("""COMPUTED_VALUE"""),"60 MARSDEN LN")</f>
        <v>60 MARSDEN LN</v>
      </c>
      <c r="C10460" s="3" t="str">
        <f>IFERROR(__xludf.DUMMYFUNCTION("""COMPUTED_VALUE"""),"ROSENEATH ")</f>
        <v>ROSENEATH </v>
      </c>
      <c r="D10460" s="3" t="str">
        <f>IFERROR(__xludf.DUMMYFUNCTION("""COMPUTED_VALUE"""),"K0K 2X0")</f>
        <v>K0K 2X0</v>
      </c>
      <c r="E10460" s="3"/>
      <c r="F10460" s="3"/>
      <c r="G10460" s="3"/>
      <c r="H10460" s="3"/>
    </row>
    <row r="10461">
      <c r="A10461" s="2">
        <f>IFERROR(__xludf.DUMMYFUNCTION("""COMPUTED_VALUE"""),51331.0)</f>
        <v>51331</v>
      </c>
      <c r="B10461" s="3" t="str">
        <f>IFERROR(__xludf.DUMMYFUNCTION("""COMPUTED_VALUE"""),"161 MASTERS RD")</f>
        <v>161 MASTERS RD</v>
      </c>
      <c r="C10461" s="3" t="str">
        <f>IFERROR(__xludf.DUMMYFUNCTION("""COMPUTED_VALUE"""),"WARKWORTH ")</f>
        <v>WARKWORTH </v>
      </c>
      <c r="D10461" s="3" t="str">
        <f>IFERROR(__xludf.DUMMYFUNCTION("""COMPUTED_VALUE"""),"K0K 3K0")</f>
        <v>K0K 3K0</v>
      </c>
      <c r="E10461" s="3"/>
      <c r="F10461" s="3"/>
      <c r="G10461" s="3"/>
      <c r="H10461" s="3"/>
    </row>
    <row r="10462">
      <c r="A10462" s="2">
        <f>IFERROR(__xludf.DUMMYFUNCTION("""COMPUTED_VALUE"""),51332.0)</f>
        <v>51332</v>
      </c>
      <c r="B10462" s="3" t="str">
        <f>IFERROR(__xludf.DUMMYFUNCTION("""COMPUTED_VALUE"""),"174 MASTERS RD")</f>
        <v>174 MASTERS RD</v>
      </c>
      <c r="C10462" s="3" t="str">
        <f>IFERROR(__xludf.DUMMYFUNCTION("""COMPUTED_VALUE"""),"WARKWORTH ")</f>
        <v>WARKWORTH </v>
      </c>
      <c r="D10462" s="3" t="str">
        <f>IFERROR(__xludf.DUMMYFUNCTION("""COMPUTED_VALUE"""),"K0K 3K0")</f>
        <v>K0K 3K0</v>
      </c>
      <c r="E10462" s="3"/>
      <c r="F10462" s="3"/>
      <c r="G10462" s="3"/>
      <c r="H10462" s="3"/>
    </row>
    <row r="10463">
      <c r="A10463" s="2">
        <f>IFERROR(__xludf.DUMMYFUNCTION("""COMPUTED_VALUE"""),51333.0)</f>
        <v>51333</v>
      </c>
      <c r="B10463" s="3" t="str">
        <f>IFERROR(__xludf.DUMMYFUNCTION("""COMPUTED_VALUE"""),"252 MASTERS RD")</f>
        <v>252 MASTERS RD</v>
      </c>
      <c r="C10463" s="3" t="str">
        <f>IFERROR(__xludf.DUMMYFUNCTION("""COMPUTED_VALUE"""),"WARKWORTH ")</f>
        <v>WARKWORTH </v>
      </c>
      <c r="D10463" s="3" t="str">
        <f>IFERROR(__xludf.DUMMYFUNCTION("""COMPUTED_VALUE"""),"K0K 3K0")</f>
        <v>K0K 3K0</v>
      </c>
      <c r="E10463" s="3"/>
      <c r="F10463" s="3"/>
      <c r="G10463" s="3"/>
      <c r="H10463" s="3"/>
    </row>
    <row r="10464">
      <c r="A10464" s="2">
        <f>IFERROR(__xludf.DUMMYFUNCTION("""COMPUTED_VALUE"""),51334.0)</f>
        <v>51334</v>
      </c>
      <c r="B10464" s="3" t="str">
        <f>IFERROR(__xludf.DUMMYFUNCTION("""COMPUTED_VALUE"""),"265 MASTERS RD")</f>
        <v>265 MASTERS RD</v>
      </c>
      <c r="C10464" s="3" t="str">
        <f>IFERROR(__xludf.DUMMYFUNCTION("""COMPUTED_VALUE"""),"WARKWORTH ")</f>
        <v>WARKWORTH </v>
      </c>
      <c r="D10464" s="3" t="str">
        <f>IFERROR(__xludf.DUMMYFUNCTION("""COMPUTED_VALUE"""),"K0K 3K0")</f>
        <v>K0K 3K0</v>
      </c>
      <c r="E10464" s="3"/>
      <c r="F10464" s="3"/>
      <c r="G10464" s="3"/>
      <c r="H10464" s="3"/>
    </row>
    <row r="10465">
      <c r="A10465" s="2">
        <f>IFERROR(__xludf.DUMMYFUNCTION("""COMPUTED_VALUE"""),51335.0)</f>
        <v>51335</v>
      </c>
      <c r="B10465" s="3" t="str">
        <f>IFERROR(__xludf.DUMMYFUNCTION("""COMPUTED_VALUE"""),"349 MASTERS RD")</f>
        <v>349 MASTERS RD</v>
      </c>
      <c r="C10465" s="3" t="str">
        <f>IFERROR(__xludf.DUMMYFUNCTION("""COMPUTED_VALUE"""),"WARKWORTH ")</f>
        <v>WARKWORTH </v>
      </c>
      <c r="D10465" s="3" t="str">
        <f>IFERROR(__xludf.DUMMYFUNCTION("""COMPUTED_VALUE"""),"K0K 3K0")</f>
        <v>K0K 3K0</v>
      </c>
      <c r="E10465" s="3"/>
      <c r="F10465" s="3"/>
      <c r="G10465" s="3"/>
      <c r="H10465" s="3"/>
    </row>
    <row r="10466">
      <c r="A10466" s="2">
        <f>IFERROR(__xludf.DUMMYFUNCTION("""COMPUTED_VALUE"""),51336.0)</f>
        <v>51336</v>
      </c>
      <c r="B10466" s="3" t="str">
        <f>IFERROR(__xludf.DUMMYFUNCTION("""COMPUTED_VALUE"""),"28 MCCRACKEN RD")</f>
        <v>28 MCCRACKEN RD</v>
      </c>
      <c r="C10466" s="3" t="str">
        <f>IFERROR(__xludf.DUMMYFUNCTION("""COMPUTED_VALUE"""),"ROSENEATH ")</f>
        <v>ROSENEATH </v>
      </c>
      <c r="D10466" s="3" t="str">
        <f>IFERROR(__xludf.DUMMYFUNCTION("""COMPUTED_VALUE"""),"K0K 2X0")</f>
        <v>K0K 2X0</v>
      </c>
      <c r="E10466" s="3" t="str">
        <f>IFERROR(__xludf.DUMMYFUNCTION("""COMPUTED_VALUE"""),"Cyril Crocker")</f>
        <v>Cyril Crocker</v>
      </c>
      <c r="F10466" s="3" t="str">
        <f>IFERROR(__xludf.DUMMYFUNCTION("""COMPUTED_VALUE"""),"cys@rogers.com")</f>
        <v>cys@rogers.com</v>
      </c>
      <c r="G10466" s="3"/>
      <c r="H10466" s="3"/>
    </row>
    <row r="10467">
      <c r="A10467" s="2">
        <f>IFERROR(__xludf.DUMMYFUNCTION("""COMPUTED_VALUE"""),51337.0)</f>
        <v>51337</v>
      </c>
      <c r="B10467" s="3" t="str">
        <f>IFERROR(__xludf.DUMMYFUNCTION("""COMPUTED_VALUE"""),"46 MCCRACKEN RD")</f>
        <v>46 MCCRACKEN RD</v>
      </c>
      <c r="C10467" s="3" t="str">
        <f>IFERROR(__xludf.DUMMYFUNCTION("""COMPUTED_VALUE"""),"ROSENEATH ")</f>
        <v>ROSENEATH </v>
      </c>
      <c r="D10467" s="3" t="str">
        <f>IFERROR(__xludf.DUMMYFUNCTION("""COMPUTED_VALUE"""),"K0K 2X0")</f>
        <v>K0K 2X0</v>
      </c>
      <c r="E10467" s="3"/>
      <c r="F10467" s="3"/>
      <c r="G10467" s="3"/>
      <c r="H10467" s="3"/>
    </row>
    <row r="10468">
      <c r="A10468" s="2">
        <f>IFERROR(__xludf.DUMMYFUNCTION("""COMPUTED_VALUE"""),51338.0)</f>
        <v>51338</v>
      </c>
      <c r="B10468" s="3" t="str">
        <f>IFERROR(__xludf.DUMMYFUNCTION("""COMPUTED_VALUE"""),"90 MCCRAKEN LANDING RD UNIT 6")</f>
        <v>90 MCCRAKEN LANDING RD UNIT 6</v>
      </c>
      <c r="C10468" s="3" t="str">
        <f>IFERROR(__xludf.DUMMYFUNCTION("""COMPUTED_VALUE"""),"ROSENEATH ")</f>
        <v>ROSENEATH </v>
      </c>
      <c r="D10468" s="3" t="str">
        <f>IFERROR(__xludf.DUMMYFUNCTION("""COMPUTED_VALUE"""),"K0K 2X0")</f>
        <v>K0K 2X0</v>
      </c>
      <c r="E10468" s="3"/>
      <c r="F10468" s="3"/>
      <c r="G10468" s="3"/>
      <c r="H10468" s="3"/>
    </row>
    <row r="10469">
      <c r="A10469" s="2">
        <f>IFERROR(__xludf.DUMMYFUNCTION("""COMPUTED_VALUE"""),51339.0)</f>
        <v>51339</v>
      </c>
      <c r="B10469" s="3" t="str">
        <f>IFERROR(__xludf.DUMMYFUNCTION("""COMPUTED_VALUE"""),"138 MCCRACKEN RD")</f>
        <v>138 MCCRACKEN RD</v>
      </c>
      <c r="C10469" s="3" t="str">
        <f>IFERROR(__xludf.DUMMYFUNCTION("""COMPUTED_VALUE"""),"ROSENEATH ")</f>
        <v>ROSENEATH </v>
      </c>
      <c r="D10469" s="3" t="str">
        <f>IFERROR(__xludf.DUMMYFUNCTION("""COMPUTED_VALUE"""),"K0K 2X0")</f>
        <v>K0K 2X0</v>
      </c>
      <c r="E10469" s="3"/>
      <c r="F10469" s="3"/>
      <c r="G10469" s="3"/>
      <c r="H10469" s="3"/>
    </row>
    <row r="10470">
      <c r="A10470" s="2">
        <f>IFERROR(__xludf.DUMMYFUNCTION("""COMPUTED_VALUE"""),51344.0)</f>
        <v>51344</v>
      </c>
      <c r="B10470" s="3" t="str">
        <f>IFERROR(__xludf.DUMMYFUNCTION("""COMPUTED_VALUE"""),"72 MEGYAAK DR")</f>
        <v>72 MEGYAAK DR</v>
      </c>
      <c r="C10470" s="3" t="str">
        <f>IFERROR(__xludf.DUMMYFUNCTION("""COMPUTED_VALUE"""),"ROSENEATH ")</f>
        <v>ROSENEATH </v>
      </c>
      <c r="D10470" s="3" t="str">
        <f>IFERROR(__xludf.DUMMYFUNCTION("""COMPUTED_VALUE"""),"K0K 2X0")</f>
        <v>K0K 2X0</v>
      </c>
      <c r="E10470" s="3"/>
      <c r="F10470" s="3"/>
      <c r="G10470" s="3"/>
      <c r="H10470" s="3"/>
    </row>
    <row r="10471">
      <c r="A10471" s="2">
        <f>IFERROR(__xludf.DUMMYFUNCTION("""COMPUTED_VALUE"""),51345.0)</f>
        <v>51345</v>
      </c>
      <c r="B10471" s="3" t="str">
        <f>IFERROR(__xludf.DUMMYFUNCTION("""COMPUTED_VALUE"""),"80 MEGYAAK DR")</f>
        <v>80 MEGYAAK DR</v>
      </c>
      <c r="C10471" s="3" t="str">
        <f>IFERROR(__xludf.DUMMYFUNCTION("""COMPUTED_VALUE"""),"ROSENEATH ")</f>
        <v>ROSENEATH </v>
      </c>
      <c r="D10471" s="3" t="str">
        <f>IFERROR(__xludf.DUMMYFUNCTION("""COMPUTED_VALUE"""),"K0K 2X0")</f>
        <v>K0K 2X0</v>
      </c>
      <c r="E10471" s="3"/>
      <c r="F10471" s="3"/>
      <c r="G10471" s="3"/>
      <c r="H10471" s="3"/>
    </row>
    <row r="10472">
      <c r="A10472" s="2">
        <f>IFERROR(__xludf.DUMMYFUNCTION("""COMPUTED_VALUE"""),51346.0)</f>
        <v>51346</v>
      </c>
      <c r="B10472" s="3" t="str">
        <f>IFERROR(__xludf.DUMMYFUNCTION("""COMPUTED_VALUE"""),"100 MEGYAAK DR")</f>
        <v>100 MEGYAAK DR</v>
      </c>
      <c r="C10472" s="3" t="str">
        <f>IFERROR(__xludf.DUMMYFUNCTION("""COMPUTED_VALUE"""),"ROSENEATH ")</f>
        <v>ROSENEATH </v>
      </c>
      <c r="D10472" s="3" t="str">
        <f>IFERROR(__xludf.DUMMYFUNCTION("""COMPUTED_VALUE"""),"K0K 2X0")</f>
        <v>K0K 2X0</v>
      </c>
      <c r="E10472" s="3"/>
      <c r="F10472" s="3"/>
      <c r="G10472" s="3"/>
      <c r="H10472" s="3"/>
    </row>
    <row r="10473">
      <c r="A10473" s="2">
        <f>IFERROR(__xludf.DUMMYFUNCTION("""COMPUTED_VALUE"""),51347.0)</f>
        <v>51347</v>
      </c>
      <c r="B10473" s="3" t="str">
        <f>IFERROR(__xludf.DUMMYFUNCTION("""COMPUTED_VALUE"""),"110 MEGYAAK DR")</f>
        <v>110 MEGYAAK DR</v>
      </c>
      <c r="C10473" s="3" t="str">
        <f>IFERROR(__xludf.DUMMYFUNCTION("""COMPUTED_VALUE"""),"ROSENEATH ")</f>
        <v>ROSENEATH </v>
      </c>
      <c r="D10473" s="3" t="str">
        <f>IFERROR(__xludf.DUMMYFUNCTION("""COMPUTED_VALUE"""),"K0K 2X0")</f>
        <v>K0K 2X0</v>
      </c>
      <c r="E10473" s="3"/>
      <c r="F10473" s="3"/>
      <c r="G10473" s="3"/>
      <c r="H10473" s="3"/>
    </row>
    <row r="10474">
      <c r="A10474" s="2">
        <f>IFERROR(__xludf.DUMMYFUNCTION("""COMPUTED_VALUE"""),51348.0)</f>
        <v>51348</v>
      </c>
      <c r="B10474" s="3" t="str">
        <f>IFERROR(__xludf.DUMMYFUNCTION("""COMPUTED_VALUE"""),"41 MERRILL RD")</f>
        <v>41 MERRILL RD</v>
      </c>
      <c r="C10474" s="3" t="str">
        <f>IFERROR(__xludf.DUMMYFUNCTION("""COMPUTED_VALUE"""),"ROSENEATH ")</f>
        <v>ROSENEATH </v>
      </c>
      <c r="D10474" s="3" t="str">
        <f>IFERROR(__xludf.DUMMYFUNCTION("""COMPUTED_VALUE"""),"K0K 2X0")</f>
        <v>K0K 2X0</v>
      </c>
      <c r="E10474" s="3"/>
      <c r="F10474" s="3"/>
      <c r="G10474" s="3"/>
      <c r="H10474" s="3"/>
    </row>
    <row r="10475">
      <c r="A10475" s="2">
        <f>IFERROR(__xludf.DUMMYFUNCTION("""COMPUTED_VALUE"""),51349.0)</f>
        <v>51349</v>
      </c>
      <c r="B10475" s="3" t="str">
        <f>IFERROR(__xludf.DUMMYFUNCTION("""COMPUTED_VALUE"""),"50 MERRILL RD")</f>
        <v>50 MERRILL RD</v>
      </c>
      <c r="C10475" s="3" t="str">
        <f>IFERROR(__xludf.DUMMYFUNCTION("""COMPUTED_VALUE"""),"ROSENEATH ")</f>
        <v>ROSENEATH </v>
      </c>
      <c r="D10475" s="3" t="str">
        <f>IFERROR(__xludf.DUMMYFUNCTION("""COMPUTED_VALUE"""),"K0K 2X0")</f>
        <v>K0K 2X0</v>
      </c>
      <c r="E10475" s="3" t="str">
        <f>IFERROR(__xludf.DUMMYFUNCTION("""COMPUTED_VALUE"""),"Keith Bridgman")</f>
        <v>Keith Bridgman</v>
      </c>
      <c r="F10475" s="3" t="str">
        <f>IFERROR(__xludf.DUMMYFUNCTION("""COMPUTED_VALUE"""),"whbridgman@live.ca")</f>
        <v>whbridgman@live.ca</v>
      </c>
      <c r="G10475" s="3">
        <f>IFERROR(__xludf.DUMMYFUNCTION("""COMPUTED_VALUE"""),9.053738482E9)</f>
        <v>9053738482</v>
      </c>
      <c r="H10475" s="3"/>
    </row>
    <row r="10476">
      <c r="A10476" s="2">
        <f>IFERROR(__xludf.DUMMYFUNCTION("""COMPUTED_VALUE"""),51350.0)</f>
        <v>51350</v>
      </c>
      <c r="B10476" s="3" t="str">
        <f>IFERROR(__xludf.DUMMYFUNCTION("""COMPUTED_VALUE"""),"252 MERRILL RD")</f>
        <v>252 MERRILL RD</v>
      </c>
      <c r="C10476" s="3" t="str">
        <f>IFERROR(__xludf.DUMMYFUNCTION("""COMPUTED_VALUE"""),"ROSENEATH ")</f>
        <v>ROSENEATH </v>
      </c>
      <c r="D10476" s="3" t="str">
        <f>IFERROR(__xludf.DUMMYFUNCTION("""COMPUTED_VALUE"""),"K0K 2X0")</f>
        <v>K0K 2X0</v>
      </c>
      <c r="E10476" s="3"/>
      <c r="F10476" s="3"/>
      <c r="G10476" s="3"/>
      <c r="H10476" s="3"/>
    </row>
    <row r="10477">
      <c r="A10477" s="2">
        <f>IFERROR(__xludf.DUMMYFUNCTION("""COMPUTED_VALUE"""),51351.0)</f>
        <v>51351</v>
      </c>
      <c r="B10477" s="3" t="str">
        <f>IFERROR(__xludf.DUMMYFUNCTION("""COMPUTED_VALUE"""),"259 MERRILL RD")</f>
        <v>259 MERRILL RD</v>
      </c>
      <c r="C10477" s="3" t="str">
        <f>IFERROR(__xludf.DUMMYFUNCTION("""COMPUTED_VALUE"""),"ROSENEATH ")</f>
        <v>ROSENEATH </v>
      </c>
      <c r="D10477" s="3" t="str">
        <f>IFERROR(__xludf.DUMMYFUNCTION("""COMPUTED_VALUE"""),"K0K 2X0")</f>
        <v>K0K 2X0</v>
      </c>
      <c r="E10477" s="3" t="str">
        <f>IFERROR(__xludf.DUMMYFUNCTION("""COMPUTED_VALUE"""),"June Ballantyne")</f>
        <v>June Ballantyne</v>
      </c>
      <c r="F10477" s="3" t="str">
        <f>IFERROR(__xludf.DUMMYFUNCTION("""COMPUTED_VALUE"""),"juneanddavidballantyne@gmail.com")</f>
        <v>juneanddavidballantyne@gmail.com</v>
      </c>
      <c r="G10477" s="3">
        <f>IFERROR(__xludf.DUMMYFUNCTION("""COMPUTED_VALUE"""),6.475220821E9)</f>
        <v>6475220821</v>
      </c>
      <c r="H10477" s="3">
        <f>IFERROR(__xludf.DUMMYFUNCTION("""COMPUTED_VALUE"""),6.4732366E9)</f>
        <v>6473236600</v>
      </c>
    </row>
    <row r="10478">
      <c r="A10478" s="2">
        <f>IFERROR(__xludf.DUMMYFUNCTION("""COMPUTED_VALUE"""),51352.0)</f>
        <v>51352</v>
      </c>
      <c r="B10478" s="3" t="str">
        <f>IFERROR(__xludf.DUMMYFUNCTION("""COMPUTED_VALUE"""),"396 MERRILL RD")</f>
        <v>396 MERRILL RD</v>
      </c>
      <c r="C10478" s="3" t="str">
        <f>IFERROR(__xludf.DUMMYFUNCTION("""COMPUTED_VALUE"""),"ROSENEATH ")</f>
        <v>ROSENEATH </v>
      </c>
      <c r="D10478" s="3" t="str">
        <f>IFERROR(__xludf.DUMMYFUNCTION("""COMPUTED_VALUE"""),"K0K 2X0")</f>
        <v>K0K 2X0</v>
      </c>
      <c r="E10478" s="3" t="str">
        <f>IFERROR(__xludf.DUMMYFUNCTION("""COMPUTED_VALUE"""),"Jakob Johnston")</f>
        <v>Jakob Johnston</v>
      </c>
      <c r="F10478" s="3" t="str">
        <f>IFERROR(__xludf.DUMMYFUNCTION("""COMPUTED_VALUE"""),"jakobjohnston12@gmail.com")</f>
        <v>jakobjohnston12@gmail.com</v>
      </c>
      <c r="G10478" s="3">
        <f>IFERROR(__xludf.DUMMYFUNCTION("""COMPUTED_VALUE"""),9.057338085E9)</f>
        <v>9057338085</v>
      </c>
      <c r="H10478" s="3"/>
    </row>
    <row r="10479">
      <c r="A10479" s="2">
        <f>IFERROR(__xludf.DUMMYFUNCTION("""COMPUTED_VALUE"""),51358.0)</f>
        <v>51358</v>
      </c>
      <c r="B10479" s="3" t="str">
        <f>IFERROR(__xludf.DUMMYFUNCTION("""COMPUTED_VALUE"""),"876 MERRILL RD")</f>
        <v>876 MERRILL RD</v>
      </c>
      <c r="C10479" s="3" t="str">
        <f>IFERROR(__xludf.DUMMYFUNCTION("""COMPUTED_VALUE"""),"ROSENEATH ")</f>
        <v>ROSENEATH </v>
      </c>
      <c r="D10479" s="3" t="str">
        <f>IFERROR(__xludf.DUMMYFUNCTION("""COMPUTED_VALUE"""),"K0K 2X0")</f>
        <v>K0K 2X0</v>
      </c>
      <c r="E10479" s="3"/>
      <c r="F10479" s="3"/>
      <c r="G10479" s="3"/>
      <c r="H10479" s="3"/>
    </row>
    <row r="10480">
      <c r="A10480" s="2">
        <f>IFERROR(__xludf.DUMMYFUNCTION("""COMPUTED_VALUE"""),51359.0)</f>
        <v>51359</v>
      </c>
      <c r="B10480" s="3" t="str">
        <f>IFERROR(__xludf.DUMMYFUNCTION("""COMPUTED_VALUE"""),"1013 MERRILL RD")</f>
        <v>1013 MERRILL RD</v>
      </c>
      <c r="C10480" s="3" t="str">
        <f>IFERROR(__xludf.DUMMYFUNCTION("""COMPUTED_VALUE"""),"ROSENEATH ")</f>
        <v>ROSENEATH </v>
      </c>
      <c r="D10480" s="3" t="str">
        <f>IFERROR(__xludf.DUMMYFUNCTION("""COMPUTED_VALUE"""),"K0K 2X0")</f>
        <v>K0K 2X0</v>
      </c>
      <c r="E10480" s="3"/>
      <c r="F10480" s="3"/>
      <c r="G10480" s="3"/>
      <c r="H10480" s="3"/>
    </row>
    <row r="10481">
      <c r="A10481" s="2">
        <f>IFERROR(__xludf.DUMMYFUNCTION("""COMPUTED_VALUE"""),51360.0)</f>
        <v>51360</v>
      </c>
      <c r="B10481" s="3" t="str">
        <f>IFERROR(__xludf.DUMMYFUNCTION("""COMPUTED_VALUE"""),"1026 MERRILL RD UNIT 10")</f>
        <v>1026 MERRILL RD UNIT 10</v>
      </c>
      <c r="C10481" s="3" t="str">
        <f>IFERROR(__xludf.DUMMYFUNCTION("""COMPUTED_VALUE"""),"ROSENEATH ")</f>
        <v>ROSENEATH </v>
      </c>
      <c r="D10481" s="3" t="str">
        <f>IFERROR(__xludf.DUMMYFUNCTION("""COMPUTED_VALUE"""),"K0K 2X0")</f>
        <v>K0K 2X0</v>
      </c>
      <c r="E10481" s="3"/>
      <c r="F10481" s="3"/>
      <c r="G10481" s="3"/>
      <c r="H10481" s="3"/>
    </row>
    <row r="10482">
      <c r="A10482" s="2">
        <f>IFERROR(__xludf.DUMMYFUNCTION("""COMPUTED_VALUE"""),51361.0)</f>
        <v>51361</v>
      </c>
      <c r="B10482" s="3" t="str">
        <f>IFERROR(__xludf.DUMMYFUNCTION("""COMPUTED_VALUE"""),"1026 MERRILL RD SUITE 11")</f>
        <v>1026 MERRILL RD SUITE 11</v>
      </c>
      <c r="C10482" s="3" t="str">
        <f>IFERROR(__xludf.DUMMYFUNCTION("""COMPUTED_VALUE"""),"ROSENEATH ")</f>
        <v>ROSENEATH </v>
      </c>
      <c r="D10482" s="3" t="str">
        <f>IFERROR(__xludf.DUMMYFUNCTION("""COMPUTED_VALUE"""),"K0K 2X0")</f>
        <v>K0K 2X0</v>
      </c>
      <c r="E10482" s="3"/>
      <c r="F10482" s="3"/>
      <c r="G10482" s="3"/>
      <c r="H10482" s="3"/>
    </row>
    <row r="10483">
      <c r="A10483" s="2">
        <f>IFERROR(__xludf.DUMMYFUNCTION("""COMPUTED_VALUE"""),51362.0)</f>
        <v>51362</v>
      </c>
      <c r="B10483" s="3" t="str">
        <f>IFERROR(__xludf.DUMMYFUNCTION("""COMPUTED_VALUE"""),"1026 MERRILL RD 12")</f>
        <v>1026 MERRILL RD 12</v>
      </c>
      <c r="C10483" s="3" t="str">
        <f>IFERROR(__xludf.DUMMYFUNCTION("""COMPUTED_VALUE"""),"ROSENEATH ")</f>
        <v>ROSENEATH </v>
      </c>
      <c r="D10483" s="3" t="str">
        <f>IFERROR(__xludf.DUMMYFUNCTION("""COMPUTED_VALUE"""),"K0K 2X0")</f>
        <v>K0K 2X0</v>
      </c>
      <c r="E10483" s="3"/>
      <c r="F10483" s="3"/>
      <c r="G10483" s="3"/>
      <c r="H10483" s="3"/>
    </row>
    <row r="10484">
      <c r="A10484" s="2">
        <f>IFERROR(__xludf.DUMMYFUNCTION("""COMPUTED_VALUE"""),51363.0)</f>
        <v>51363</v>
      </c>
      <c r="B10484" s="3" t="str">
        <f>IFERROR(__xludf.DUMMYFUNCTION("""COMPUTED_VALUE"""),"1026 MERRILL RD UNIT 13")</f>
        <v>1026 MERRILL RD UNIT 13</v>
      </c>
      <c r="C10484" s="3" t="str">
        <f>IFERROR(__xludf.DUMMYFUNCTION("""COMPUTED_VALUE"""),"ROSENEATH ")</f>
        <v>ROSENEATH </v>
      </c>
      <c r="D10484" s="3" t="str">
        <f>IFERROR(__xludf.DUMMYFUNCTION("""COMPUTED_VALUE"""),"K0K 2X0")</f>
        <v>K0K 2X0</v>
      </c>
      <c r="E10484" s="3" t="str">
        <f>IFERROR(__xludf.DUMMYFUNCTION("""COMPUTED_VALUE"""),"behzad taghizadeh")</f>
        <v>behzad taghizadeh</v>
      </c>
      <c r="F10484" s="3" t="str">
        <f>IFERROR(__xludf.DUMMYFUNCTION("""COMPUTED_VALUE"""),"bezatie@gmail.com")</f>
        <v>bezatie@gmail.com</v>
      </c>
      <c r="G10484" s="3">
        <f>IFERROR(__xludf.DUMMYFUNCTION("""COMPUTED_VALUE"""),4.168320064E9)</f>
        <v>4168320064</v>
      </c>
      <c r="H10484" s="3">
        <f>IFERROR(__xludf.DUMMYFUNCTION("""COMPUTED_VALUE"""),4.16824591E9)</f>
        <v>4168245910</v>
      </c>
    </row>
    <row r="10485">
      <c r="A10485" s="2">
        <f>IFERROR(__xludf.DUMMYFUNCTION("""COMPUTED_VALUE"""),51364.0)</f>
        <v>51364</v>
      </c>
      <c r="B10485" s="3" t="str">
        <f>IFERROR(__xludf.DUMMYFUNCTION("""COMPUTED_VALUE"""),"1026 MERRILL RD SUITE 14")</f>
        <v>1026 MERRILL RD SUITE 14</v>
      </c>
      <c r="C10485" s="3" t="str">
        <f>IFERROR(__xludf.DUMMYFUNCTION("""COMPUTED_VALUE"""),"ROSENEATH ")</f>
        <v>ROSENEATH </v>
      </c>
      <c r="D10485" s="3" t="str">
        <f>IFERROR(__xludf.DUMMYFUNCTION("""COMPUTED_VALUE"""),"K0K 2X0")</f>
        <v>K0K 2X0</v>
      </c>
      <c r="E10485" s="3"/>
      <c r="F10485" s="3"/>
      <c r="G10485" s="3"/>
      <c r="H10485" s="3"/>
    </row>
    <row r="10486">
      <c r="A10486" s="2">
        <f>IFERROR(__xludf.DUMMYFUNCTION("""COMPUTED_VALUE"""),51365.0)</f>
        <v>51365</v>
      </c>
      <c r="B10486" s="3" t="str">
        <f>IFERROR(__xludf.DUMMYFUNCTION("""COMPUTED_VALUE"""),"1026 MERRILL RD SUITE 15")</f>
        <v>1026 MERRILL RD SUITE 15</v>
      </c>
      <c r="C10486" s="3" t="str">
        <f>IFERROR(__xludf.DUMMYFUNCTION("""COMPUTED_VALUE"""),"ROSENEATH ")</f>
        <v>ROSENEATH </v>
      </c>
      <c r="D10486" s="3" t="str">
        <f>IFERROR(__xludf.DUMMYFUNCTION("""COMPUTED_VALUE"""),"K0K 2X0")</f>
        <v>K0K 2X0</v>
      </c>
      <c r="E10486" s="3"/>
      <c r="F10486" s="3"/>
      <c r="G10486" s="3"/>
      <c r="H10486" s="3"/>
    </row>
    <row r="10487">
      <c r="A10487" s="2">
        <f>IFERROR(__xludf.DUMMYFUNCTION("""COMPUTED_VALUE"""),51366.0)</f>
        <v>51366</v>
      </c>
      <c r="B10487" s="3" t="str">
        <f>IFERROR(__xludf.DUMMYFUNCTION("""COMPUTED_VALUE"""),"1026 MERRILL RD SUITE 16")</f>
        <v>1026 MERRILL RD SUITE 16</v>
      </c>
      <c r="C10487" s="3" t="str">
        <f>IFERROR(__xludf.DUMMYFUNCTION("""COMPUTED_VALUE"""),"ROSENEATH ")</f>
        <v>ROSENEATH </v>
      </c>
      <c r="D10487" s="3" t="str">
        <f>IFERROR(__xludf.DUMMYFUNCTION("""COMPUTED_VALUE"""),"K0K 2X0")</f>
        <v>K0K 2X0</v>
      </c>
      <c r="E10487" s="3"/>
      <c r="F10487" s="3"/>
      <c r="G10487" s="3"/>
      <c r="H10487" s="3"/>
    </row>
    <row r="10488">
      <c r="A10488" s="2">
        <f>IFERROR(__xludf.DUMMYFUNCTION("""COMPUTED_VALUE"""),51367.0)</f>
        <v>51367</v>
      </c>
      <c r="B10488" s="3" t="str">
        <f>IFERROR(__xludf.DUMMYFUNCTION("""COMPUTED_VALUE"""),"1026 MERRILL RD SUITE 17")</f>
        <v>1026 MERRILL RD SUITE 17</v>
      </c>
      <c r="C10488" s="3" t="str">
        <f>IFERROR(__xludf.DUMMYFUNCTION("""COMPUTED_VALUE"""),"ROSENEATH ")</f>
        <v>ROSENEATH </v>
      </c>
      <c r="D10488" s="3" t="str">
        <f>IFERROR(__xludf.DUMMYFUNCTION("""COMPUTED_VALUE"""),"K0K 2X0")</f>
        <v>K0K 2X0</v>
      </c>
      <c r="E10488" s="3"/>
      <c r="F10488" s="3"/>
      <c r="G10488" s="3"/>
      <c r="H10488" s="3"/>
    </row>
    <row r="10489">
      <c r="A10489" s="2">
        <f>IFERROR(__xludf.DUMMYFUNCTION("""COMPUTED_VALUE"""),51368.0)</f>
        <v>51368</v>
      </c>
      <c r="B10489" s="3" t="str">
        <f>IFERROR(__xludf.DUMMYFUNCTION("""COMPUTED_VALUE"""),"1026 MERRILL RD SUITE 18")</f>
        <v>1026 MERRILL RD SUITE 18</v>
      </c>
      <c r="C10489" s="3" t="str">
        <f>IFERROR(__xludf.DUMMYFUNCTION("""COMPUTED_VALUE"""),"ROSENEATH ")</f>
        <v>ROSENEATH </v>
      </c>
      <c r="D10489" s="3" t="str">
        <f>IFERROR(__xludf.DUMMYFUNCTION("""COMPUTED_VALUE"""),"K0K 2X0")</f>
        <v>K0K 2X0</v>
      </c>
      <c r="E10489" s="3"/>
      <c r="F10489" s="3"/>
      <c r="G10489" s="3"/>
      <c r="H10489" s="3"/>
    </row>
    <row r="10490">
      <c r="A10490" s="2">
        <f>IFERROR(__xludf.DUMMYFUNCTION("""COMPUTED_VALUE"""),51369.0)</f>
        <v>51369</v>
      </c>
      <c r="B10490" s="3" t="str">
        <f>IFERROR(__xludf.DUMMYFUNCTION("""COMPUTED_VALUE"""),"1026 MERRILL RD UNIT 19")</f>
        <v>1026 MERRILL RD UNIT 19</v>
      </c>
      <c r="C10490" s="3" t="str">
        <f>IFERROR(__xludf.DUMMYFUNCTION("""COMPUTED_VALUE"""),"ROSENEATH ")</f>
        <v>ROSENEATH </v>
      </c>
      <c r="D10490" s="3" t="str">
        <f>IFERROR(__xludf.DUMMYFUNCTION("""COMPUTED_VALUE"""),"K0K 2X0")</f>
        <v>K0K 2X0</v>
      </c>
      <c r="E10490" s="3"/>
      <c r="F10490" s="3"/>
      <c r="G10490" s="3"/>
      <c r="H10490" s="3"/>
    </row>
    <row r="10491">
      <c r="A10491" s="2">
        <f>IFERROR(__xludf.DUMMYFUNCTION("""COMPUTED_VALUE"""),51370.0)</f>
        <v>51370</v>
      </c>
      <c r="B10491" s="3" t="str">
        <f>IFERROR(__xludf.DUMMYFUNCTION("""COMPUTED_VALUE"""),"1026 MERRILL RD UNIT 2")</f>
        <v>1026 MERRILL RD UNIT 2</v>
      </c>
      <c r="C10491" s="3" t="str">
        <f>IFERROR(__xludf.DUMMYFUNCTION("""COMPUTED_VALUE"""),"ROSENEATH ")</f>
        <v>ROSENEATH </v>
      </c>
      <c r="D10491" s="3" t="str">
        <f>IFERROR(__xludf.DUMMYFUNCTION("""COMPUTED_VALUE"""),"K0K 2X0")</f>
        <v>K0K 2X0</v>
      </c>
      <c r="E10491" s="3" t="str">
        <f>IFERROR(__xludf.DUMMYFUNCTION("""COMPUTED_VALUE"""),"wade thomson")</f>
        <v>wade thomson</v>
      </c>
      <c r="F10491" s="3" t="str">
        <f>IFERROR(__xludf.DUMMYFUNCTION("""COMPUTED_VALUE"""),"meganrosebar@hotmail.com")</f>
        <v>meganrosebar@hotmail.com</v>
      </c>
      <c r="G10491" s="3">
        <f>IFERROR(__xludf.DUMMYFUNCTION("""COMPUTED_VALUE"""),7.058755798E9)</f>
        <v>7058755798</v>
      </c>
      <c r="H10491" s="3"/>
    </row>
    <row r="10492">
      <c r="A10492" s="2">
        <f>IFERROR(__xludf.DUMMYFUNCTION("""COMPUTED_VALUE"""),51371.0)</f>
        <v>51371</v>
      </c>
      <c r="B10492" s="3" t="str">
        <f>IFERROR(__xludf.DUMMYFUNCTION("""COMPUTED_VALUE"""),"1026 MERRILL RD SUITE 20")</f>
        <v>1026 MERRILL RD SUITE 20</v>
      </c>
      <c r="C10492" s="3" t="str">
        <f>IFERROR(__xludf.DUMMYFUNCTION("""COMPUTED_VALUE"""),"ROSENEATH ")</f>
        <v>ROSENEATH </v>
      </c>
      <c r="D10492" s="3" t="str">
        <f>IFERROR(__xludf.DUMMYFUNCTION("""COMPUTED_VALUE"""),"K0K 2X0")</f>
        <v>K0K 2X0</v>
      </c>
      <c r="E10492" s="3"/>
      <c r="F10492" s="3"/>
      <c r="G10492" s="3"/>
      <c r="H10492" s="3"/>
    </row>
    <row r="10493">
      <c r="A10493" s="2">
        <f>IFERROR(__xludf.DUMMYFUNCTION("""COMPUTED_VALUE"""),51372.0)</f>
        <v>51372</v>
      </c>
      <c r="B10493" s="3" t="str">
        <f>IFERROR(__xludf.DUMMYFUNCTION("""COMPUTED_VALUE"""),"1026 MERRILL RD SUITE 21")</f>
        <v>1026 MERRILL RD SUITE 21</v>
      </c>
      <c r="C10493" s="3" t="str">
        <f>IFERROR(__xludf.DUMMYFUNCTION("""COMPUTED_VALUE"""),"ROSENEATH ")</f>
        <v>ROSENEATH </v>
      </c>
      <c r="D10493" s="3" t="str">
        <f>IFERROR(__xludf.DUMMYFUNCTION("""COMPUTED_VALUE"""),"K0K 2X0")</f>
        <v>K0K 2X0</v>
      </c>
      <c r="E10493" s="3"/>
      <c r="F10493" s="3"/>
      <c r="G10493" s="3"/>
      <c r="H10493" s="3"/>
    </row>
    <row r="10494">
      <c r="A10494" s="2">
        <f>IFERROR(__xludf.DUMMYFUNCTION("""COMPUTED_VALUE"""),51373.0)</f>
        <v>51373</v>
      </c>
      <c r="B10494" s="3" t="str">
        <f>IFERROR(__xludf.DUMMYFUNCTION("""COMPUTED_VALUE"""),"1026 MERRILL RD UNIT 22")</f>
        <v>1026 MERRILL RD UNIT 22</v>
      </c>
      <c r="C10494" s="3" t="str">
        <f>IFERROR(__xludf.DUMMYFUNCTION("""COMPUTED_VALUE"""),"ROSENEATH ")</f>
        <v>ROSENEATH </v>
      </c>
      <c r="D10494" s="3" t="str">
        <f>IFERROR(__xludf.DUMMYFUNCTION("""COMPUTED_VALUE"""),"K0K 2X0")</f>
        <v>K0K 2X0</v>
      </c>
      <c r="E10494" s="3"/>
      <c r="F10494" s="3"/>
      <c r="G10494" s="3"/>
      <c r="H10494" s="3"/>
    </row>
    <row r="10495">
      <c r="A10495" s="2">
        <f>IFERROR(__xludf.DUMMYFUNCTION("""COMPUTED_VALUE"""),51374.0)</f>
        <v>51374</v>
      </c>
      <c r="B10495" s="3" t="str">
        <f>IFERROR(__xludf.DUMMYFUNCTION("""COMPUTED_VALUE"""),"1026 MERRILL RD SUITE 24")</f>
        <v>1026 MERRILL RD SUITE 24</v>
      </c>
      <c r="C10495" s="3" t="str">
        <f>IFERROR(__xludf.DUMMYFUNCTION("""COMPUTED_VALUE"""),"ROSENEATH ")</f>
        <v>ROSENEATH </v>
      </c>
      <c r="D10495" s="3" t="str">
        <f>IFERROR(__xludf.DUMMYFUNCTION("""COMPUTED_VALUE"""),"K0K 2X0")</f>
        <v>K0K 2X0</v>
      </c>
      <c r="E10495" s="3"/>
      <c r="F10495" s="3"/>
      <c r="G10495" s="3"/>
      <c r="H10495" s="3"/>
    </row>
    <row r="10496">
      <c r="A10496" s="2">
        <f>IFERROR(__xludf.DUMMYFUNCTION("""COMPUTED_VALUE"""),51375.0)</f>
        <v>51375</v>
      </c>
      <c r="B10496" s="3" t="str">
        <f>IFERROR(__xludf.DUMMYFUNCTION("""COMPUTED_VALUE"""),"1026 MERRILL RD SUITE 25")</f>
        <v>1026 MERRILL RD SUITE 25</v>
      </c>
      <c r="C10496" s="3" t="str">
        <f>IFERROR(__xludf.DUMMYFUNCTION("""COMPUTED_VALUE"""),"ROSENEATH ")</f>
        <v>ROSENEATH </v>
      </c>
      <c r="D10496" s="3" t="str">
        <f>IFERROR(__xludf.DUMMYFUNCTION("""COMPUTED_VALUE"""),"K0K 2X0")</f>
        <v>K0K 2X0</v>
      </c>
      <c r="E10496" s="3"/>
      <c r="F10496" s="3"/>
      <c r="G10496" s="3"/>
      <c r="H10496" s="3"/>
    </row>
    <row r="10497">
      <c r="A10497" s="2">
        <f>IFERROR(__xludf.DUMMYFUNCTION("""COMPUTED_VALUE"""),51376.0)</f>
        <v>51376</v>
      </c>
      <c r="B10497" s="3" t="str">
        <f>IFERROR(__xludf.DUMMYFUNCTION("""COMPUTED_VALUE"""),"1026 MERRILL RD SUITE 26")</f>
        <v>1026 MERRILL RD SUITE 26</v>
      </c>
      <c r="C10497" s="3" t="str">
        <f>IFERROR(__xludf.DUMMYFUNCTION("""COMPUTED_VALUE"""),"ROSENEATH ")</f>
        <v>ROSENEATH </v>
      </c>
      <c r="D10497" s="3" t="str">
        <f>IFERROR(__xludf.DUMMYFUNCTION("""COMPUTED_VALUE"""),"K0K 2X0")</f>
        <v>K0K 2X0</v>
      </c>
      <c r="E10497" s="3"/>
      <c r="F10497" s="3"/>
      <c r="G10497" s="3"/>
      <c r="H10497" s="3"/>
    </row>
    <row r="10498">
      <c r="A10498" s="2">
        <f>IFERROR(__xludf.DUMMYFUNCTION("""COMPUTED_VALUE"""),51377.0)</f>
        <v>51377</v>
      </c>
      <c r="B10498" s="3" t="str">
        <f>IFERROR(__xludf.DUMMYFUNCTION("""COMPUTED_VALUE"""),"1026 MERRILL RD SUITE 27")</f>
        <v>1026 MERRILL RD SUITE 27</v>
      </c>
      <c r="C10498" s="3" t="str">
        <f>IFERROR(__xludf.DUMMYFUNCTION("""COMPUTED_VALUE"""),"ROSENEATH ")</f>
        <v>ROSENEATH </v>
      </c>
      <c r="D10498" s="3" t="str">
        <f>IFERROR(__xludf.DUMMYFUNCTION("""COMPUTED_VALUE"""),"K0K 2X0")</f>
        <v>K0K 2X0</v>
      </c>
      <c r="E10498" s="3"/>
      <c r="F10498" s="3"/>
      <c r="G10498" s="3"/>
      <c r="H10498" s="3"/>
    </row>
    <row r="10499">
      <c r="A10499" s="2">
        <f>IFERROR(__xludf.DUMMYFUNCTION("""COMPUTED_VALUE"""),51378.0)</f>
        <v>51378</v>
      </c>
      <c r="B10499" s="3" t="str">
        <f>IFERROR(__xludf.DUMMYFUNCTION("""COMPUTED_VALUE"""),"1026 MERRILL RD SUITE 28")</f>
        <v>1026 MERRILL RD SUITE 28</v>
      </c>
      <c r="C10499" s="3" t="str">
        <f>IFERROR(__xludf.DUMMYFUNCTION("""COMPUTED_VALUE"""),"ROSENEATH ")</f>
        <v>ROSENEATH </v>
      </c>
      <c r="D10499" s="3" t="str">
        <f>IFERROR(__xludf.DUMMYFUNCTION("""COMPUTED_VALUE"""),"K0K 2X0")</f>
        <v>K0K 2X0</v>
      </c>
      <c r="E10499" s="3" t="str">
        <f>IFERROR(__xludf.DUMMYFUNCTION("""COMPUTED_VALUE"""),"laura harley")</f>
        <v>laura harley</v>
      </c>
      <c r="F10499" s="3" t="str">
        <f>IFERROR(__xludf.DUMMYFUNCTION("""COMPUTED_VALUE"""),"theharleys@nexicom.net")</f>
        <v>theharleys@nexicom.net</v>
      </c>
      <c r="G10499" s="3">
        <f>IFERROR(__xludf.DUMMYFUNCTION("""COMPUTED_VALUE"""),9.053963148E9)</f>
        <v>9053963148</v>
      </c>
      <c r="H10499" s="3"/>
    </row>
    <row r="10500">
      <c r="A10500" s="2">
        <f>IFERROR(__xludf.DUMMYFUNCTION("""COMPUTED_VALUE"""),51379.0)</f>
        <v>51379</v>
      </c>
      <c r="B10500" s="3" t="str">
        <f>IFERROR(__xludf.DUMMYFUNCTION("""COMPUTED_VALUE"""),"1026 MERRILL RD UNIT 29")</f>
        <v>1026 MERRILL RD UNIT 29</v>
      </c>
      <c r="C10500" s="3" t="str">
        <f>IFERROR(__xludf.DUMMYFUNCTION("""COMPUTED_VALUE"""),"ROSENEATH ")</f>
        <v>ROSENEATH </v>
      </c>
      <c r="D10500" s="3" t="str">
        <f>IFERROR(__xludf.DUMMYFUNCTION("""COMPUTED_VALUE"""),"K0K 2X0")</f>
        <v>K0K 2X0</v>
      </c>
      <c r="E10500" s="3"/>
      <c r="F10500" s="3"/>
      <c r="G10500" s="3"/>
      <c r="H10500" s="3"/>
    </row>
    <row r="10501">
      <c r="A10501" s="2">
        <f>IFERROR(__xludf.DUMMYFUNCTION("""COMPUTED_VALUE"""),51380.0)</f>
        <v>51380</v>
      </c>
      <c r="B10501" s="3" t="str">
        <f>IFERROR(__xludf.DUMMYFUNCTION("""COMPUTED_VALUE"""),"1026 MERRILL RD UNIT 3")</f>
        <v>1026 MERRILL RD UNIT 3</v>
      </c>
      <c r="C10501" s="3" t="str">
        <f>IFERROR(__xludf.DUMMYFUNCTION("""COMPUTED_VALUE"""),"ROSENEATH ")</f>
        <v>ROSENEATH </v>
      </c>
      <c r="D10501" s="3" t="str">
        <f>IFERROR(__xludf.DUMMYFUNCTION("""COMPUTED_VALUE"""),"K0K 2X0")</f>
        <v>K0K 2X0</v>
      </c>
      <c r="E10501" s="3"/>
      <c r="F10501" s="3"/>
      <c r="G10501" s="3"/>
      <c r="H10501" s="3"/>
    </row>
    <row r="10502">
      <c r="A10502" s="2">
        <f>IFERROR(__xludf.DUMMYFUNCTION("""COMPUTED_VALUE"""),51381.0)</f>
        <v>51381</v>
      </c>
      <c r="B10502" s="3" t="str">
        <f>IFERROR(__xludf.DUMMYFUNCTION("""COMPUTED_VALUE"""),"1026 MERRILL RD SUITE 31")</f>
        <v>1026 MERRILL RD SUITE 31</v>
      </c>
      <c r="C10502" s="3" t="str">
        <f>IFERROR(__xludf.DUMMYFUNCTION("""COMPUTED_VALUE"""),"ROSENEATH ")</f>
        <v>ROSENEATH </v>
      </c>
      <c r="D10502" s="3" t="str">
        <f>IFERROR(__xludf.DUMMYFUNCTION("""COMPUTED_VALUE"""),"K0K 2X0")</f>
        <v>K0K 2X0</v>
      </c>
      <c r="E10502" s="3"/>
      <c r="F10502" s="3"/>
      <c r="G10502" s="3"/>
      <c r="H10502" s="3"/>
    </row>
    <row r="10503">
      <c r="A10503" s="2">
        <f>IFERROR(__xludf.DUMMYFUNCTION("""COMPUTED_VALUE"""),51382.0)</f>
        <v>51382</v>
      </c>
      <c r="B10503" s="3" t="str">
        <f>IFERROR(__xludf.DUMMYFUNCTION("""COMPUTED_VALUE"""),"1026 MERRILL RD SUITE 32")</f>
        <v>1026 MERRILL RD SUITE 32</v>
      </c>
      <c r="C10503" s="3" t="str">
        <f>IFERROR(__xludf.DUMMYFUNCTION("""COMPUTED_VALUE"""),"ROSENEATH ")</f>
        <v>ROSENEATH </v>
      </c>
      <c r="D10503" s="3" t="str">
        <f>IFERROR(__xludf.DUMMYFUNCTION("""COMPUTED_VALUE"""),"K0K 2X0")</f>
        <v>K0K 2X0</v>
      </c>
      <c r="E10503" s="3"/>
      <c r="F10503" s="3"/>
      <c r="G10503" s="3"/>
      <c r="H10503" s="3"/>
    </row>
    <row r="10504">
      <c r="A10504" s="2">
        <f>IFERROR(__xludf.DUMMYFUNCTION("""COMPUTED_VALUE"""),51383.0)</f>
        <v>51383</v>
      </c>
      <c r="B10504" s="3" t="str">
        <f>IFERROR(__xludf.DUMMYFUNCTION("""COMPUTED_VALUE"""),"1026 MERRILL RD SUITE 33")</f>
        <v>1026 MERRILL RD SUITE 33</v>
      </c>
      <c r="C10504" s="3" t="str">
        <f>IFERROR(__xludf.DUMMYFUNCTION("""COMPUTED_VALUE"""),"ROSENEATH ")</f>
        <v>ROSENEATH </v>
      </c>
      <c r="D10504" s="3" t="str">
        <f>IFERROR(__xludf.DUMMYFUNCTION("""COMPUTED_VALUE"""),"K0K 2X0")</f>
        <v>K0K 2X0</v>
      </c>
      <c r="E10504" s="3"/>
      <c r="F10504" s="3"/>
      <c r="G10504" s="3"/>
      <c r="H10504" s="3"/>
    </row>
    <row r="10505">
      <c r="A10505" s="2">
        <f>IFERROR(__xludf.DUMMYFUNCTION("""COMPUTED_VALUE"""),51384.0)</f>
        <v>51384</v>
      </c>
      <c r="B10505" s="3" t="str">
        <f>IFERROR(__xludf.DUMMYFUNCTION("""COMPUTED_VALUE"""),"1026 MERRILL RD 34")</f>
        <v>1026 MERRILL RD 34</v>
      </c>
      <c r="C10505" s="3" t="str">
        <f>IFERROR(__xludf.DUMMYFUNCTION("""COMPUTED_VALUE"""),"ROSENEATH ")</f>
        <v>ROSENEATH </v>
      </c>
      <c r="D10505" s="3" t="str">
        <f>IFERROR(__xludf.DUMMYFUNCTION("""COMPUTED_VALUE"""),"K0K 2X0")</f>
        <v>K0K 2X0</v>
      </c>
      <c r="E10505" s="3"/>
      <c r="F10505" s="3"/>
      <c r="G10505" s="3"/>
      <c r="H10505" s="3"/>
    </row>
    <row r="10506">
      <c r="A10506" s="2">
        <f>IFERROR(__xludf.DUMMYFUNCTION("""COMPUTED_VALUE"""),51385.0)</f>
        <v>51385</v>
      </c>
      <c r="B10506" s="3" t="str">
        <f>IFERROR(__xludf.DUMMYFUNCTION("""COMPUTED_VALUE"""),"1026 MERRILL RD SUITE 4")</f>
        <v>1026 MERRILL RD SUITE 4</v>
      </c>
      <c r="C10506" s="3" t="str">
        <f>IFERROR(__xludf.DUMMYFUNCTION("""COMPUTED_VALUE"""),"ROSENEATH ")</f>
        <v>ROSENEATH </v>
      </c>
      <c r="D10506" s="3" t="str">
        <f>IFERROR(__xludf.DUMMYFUNCTION("""COMPUTED_VALUE"""),"K0K 2X0")</f>
        <v>K0K 2X0</v>
      </c>
      <c r="E10506" s="3" t="str">
        <f>IFERROR(__xludf.DUMMYFUNCTION("""COMPUTED_VALUE"""),"David Bell")</f>
        <v>David Bell</v>
      </c>
      <c r="F10506" s="3" t="str">
        <f>IFERROR(__xludf.DUMMYFUNCTION("""COMPUTED_VALUE"""),"davidbellholdings@gmail.com")</f>
        <v>davidbellholdings@gmail.com</v>
      </c>
      <c r="G10506" s="3">
        <f>IFERROR(__xludf.DUMMYFUNCTION("""COMPUTED_VALUE"""),2.892084701E9)</f>
        <v>2892084701</v>
      </c>
      <c r="H10506" s="3"/>
    </row>
    <row r="10507">
      <c r="A10507" s="2">
        <f>IFERROR(__xludf.DUMMYFUNCTION("""COMPUTED_VALUE"""),51386.0)</f>
        <v>51386</v>
      </c>
      <c r="B10507" s="3" t="str">
        <f>IFERROR(__xludf.DUMMYFUNCTION("""COMPUTED_VALUE"""),"1026 MERRILL RD SUITE 5")</f>
        <v>1026 MERRILL RD SUITE 5</v>
      </c>
      <c r="C10507" s="3" t="str">
        <f>IFERROR(__xludf.DUMMYFUNCTION("""COMPUTED_VALUE"""),"ROSENEATH ")</f>
        <v>ROSENEATH </v>
      </c>
      <c r="D10507" s="3" t="str">
        <f>IFERROR(__xludf.DUMMYFUNCTION("""COMPUTED_VALUE"""),"K0K 2X0")</f>
        <v>K0K 2X0</v>
      </c>
      <c r="E10507" s="3"/>
      <c r="F10507" s="3"/>
      <c r="G10507" s="3"/>
      <c r="H10507" s="3"/>
    </row>
    <row r="10508">
      <c r="A10508" s="2">
        <f>IFERROR(__xludf.DUMMYFUNCTION("""COMPUTED_VALUE"""),51387.0)</f>
        <v>51387</v>
      </c>
      <c r="B10508" s="3" t="str">
        <f>IFERROR(__xludf.DUMMYFUNCTION("""COMPUTED_VALUE"""),"1026 MERRILL RD SUITE 6")</f>
        <v>1026 MERRILL RD SUITE 6</v>
      </c>
      <c r="C10508" s="3" t="str">
        <f>IFERROR(__xludf.DUMMYFUNCTION("""COMPUTED_VALUE"""),"ROSENEATH ")</f>
        <v>ROSENEATH </v>
      </c>
      <c r="D10508" s="3" t="str">
        <f>IFERROR(__xludf.DUMMYFUNCTION("""COMPUTED_VALUE"""),"K0K 2X0")</f>
        <v>K0K 2X0</v>
      </c>
      <c r="E10508" s="3"/>
      <c r="F10508" s="3"/>
      <c r="G10508" s="3"/>
      <c r="H10508" s="3"/>
    </row>
    <row r="10509">
      <c r="A10509" s="2">
        <f>IFERROR(__xludf.DUMMYFUNCTION("""COMPUTED_VALUE"""),51388.0)</f>
        <v>51388</v>
      </c>
      <c r="B10509" s="3" t="str">
        <f>IFERROR(__xludf.DUMMYFUNCTION("""COMPUTED_VALUE"""),"1026 MERRILL RD SUITE 7")</f>
        <v>1026 MERRILL RD SUITE 7</v>
      </c>
      <c r="C10509" s="3" t="str">
        <f>IFERROR(__xludf.DUMMYFUNCTION("""COMPUTED_VALUE"""),"ROSENEATH ")</f>
        <v>ROSENEATH </v>
      </c>
      <c r="D10509" s="3" t="str">
        <f>IFERROR(__xludf.DUMMYFUNCTION("""COMPUTED_VALUE"""),"K0K 2X0")</f>
        <v>K0K 2X0</v>
      </c>
      <c r="E10509" s="3"/>
      <c r="F10509" s="3"/>
      <c r="G10509" s="3"/>
      <c r="H10509" s="3"/>
    </row>
    <row r="10510">
      <c r="A10510" s="2">
        <f>IFERROR(__xludf.DUMMYFUNCTION("""COMPUTED_VALUE"""),51389.0)</f>
        <v>51389</v>
      </c>
      <c r="B10510" s="3" t="str">
        <f>IFERROR(__xludf.DUMMYFUNCTION("""COMPUTED_VALUE"""),"1026 MERRILL RD UNIT 8")</f>
        <v>1026 MERRILL RD UNIT 8</v>
      </c>
      <c r="C10510" s="3" t="str">
        <f>IFERROR(__xludf.DUMMYFUNCTION("""COMPUTED_VALUE"""),"ROSENEATH ")</f>
        <v>ROSENEATH </v>
      </c>
      <c r="D10510" s="3" t="str">
        <f>IFERROR(__xludf.DUMMYFUNCTION("""COMPUTED_VALUE"""),"K0K 2X0")</f>
        <v>K0K 2X0</v>
      </c>
      <c r="E10510" s="3"/>
      <c r="F10510" s="3"/>
      <c r="G10510" s="3"/>
      <c r="H10510" s="3"/>
    </row>
    <row r="10511">
      <c r="A10511" s="2">
        <f>IFERROR(__xludf.DUMMYFUNCTION("""COMPUTED_VALUE"""),51390.0)</f>
        <v>51390</v>
      </c>
      <c r="B10511" s="3" t="str">
        <f>IFERROR(__xludf.DUMMYFUNCTION("""COMPUTED_VALUE"""),"1044 MERRILL RD")</f>
        <v>1044 MERRILL RD</v>
      </c>
      <c r="C10511" s="3" t="str">
        <f>IFERROR(__xludf.DUMMYFUNCTION("""COMPUTED_VALUE"""),"ROSENEATH ")</f>
        <v>ROSENEATH </v>
      </c>
      <c r="D10511" s="3" t="str">
        <f>IFERROR(__xludf.DUMMYFUNCTION("""COMPUTED_VALUE"""),"K0K 2X0")</f>
        <v>K0K 2X0</v>
      </c>
      <c r="E10511" s="3"/>
      <c r="F10511" s="3"/>
      <c r="G10511" s="3"/>
      <c r="H10511" s="3"/>
    </row>
    <row r="10512">
      <c r="A10512" s="2">
        <f>IFERROR(__xludf.DUMMYFUNCTION("""COMPUTED_VALUE"""),51391.0)</f>
        <v>51391</v>
      </c>
      <c r="B10512" s="3" t="str">
        <f>IFERROR(__xludf.DUMMYFUNCTION("""COMPUTED_VALUE"""),"1057 MERRILL RD")</f>
        <v>1057 MERRILL RD</v>
      </c>
      <c r="C10512" s="3" t="str">
        <f>IFERROR(__xludf.DUMMYFUNCTION("""COMPUTED_VALUE"""),"ROSENEATH ")</f>
        <v>ROSENEATH </v>
      </c>
      <c r="D10512" s="3" t="str">
        <f>IFERROR(__xludf.DUMMYFUNCTION("""COMPUTED_VALUE"""),"K0K 2X0")</f>
        <v>K0K 2X0</v>
      </c>
      <c r="E10512" s="3"/>
      <c r="F10512" s="3"/>
      <c r="G10512" s="3"/>
      <c r="H10512" s="3"/>
    </row>
    <row r="10513">
      <c r="A10513" s="2">
        <f>IFERROR(__xludf.DUMMYFUNCTION("""COMPUTED_VALUE"""),51392.0)</f>
        <v>51392</v>
      </c>
      <c r="B10513" s="3" t="str">
        <f>IFERROR(__xludf.DUMMYFUNCTION("""COMPUTED_VALUE"""),"1063 MERRILL RD")</f>
        <v>1063 MERRILL RD</v>
      </c>
      <c r="C10513" s="3" t="str">
        <f>IFERROR(__xludf.DUMMYFUNCTION("""COMPUTED_VALUE"""),"ROSENEATH ")</f>
        <v>ROSENEATH </v>
      </c>
      <c r="D10513" s="3" t="str">
        <f>IFERROR(__xludf.DUMMYFUNCTION("""COMPUTED_VALUE"""),"K0K 2X0")</f>
        <v>K0K 2X0</v>
      </c>
      <c r="E10513" s="3"/>
      <c r="F10513" s="3"/>
      <c r="G10513" s="3"/>
      <c r="H10513" s="3"/>
    </row>
    <row r="10514">
      <c r="A10514" s="2">
        <f>IFERROR(__xludf.DUMMYFUNCTION("""COMPUTED_VALUE"""),51393.0)</f>
        <v>51393</v>
      </c>
      <c r="B10514" s="3" t="str">
        <f>IFERROR(__xludf.DUMMYFUNCTION("""COMPUTED_VALUE"""),"1065 MERRILL RD")</f>
        <v>1065 MERRILL RD</v>
      </c>
      <c r="C10514" s="3" t="str">
        <f>IFERROR(__xludf.DUMMYFUNCTION("""COMPUTED_VALUE"""),"ROSENEATH ")</f>
        <v>ROSENEATH </v>
      </c>
      <c r="D10514" s="3" t="str">
        <f>IFERROR(__xludf.DUMMYFUNCTION("""COMPUTED_VALUE"""),"K0K 2X0")</f>
        <v>K0K 2X0</v>
      </c>
      <c r="E10514" s="3"/>
      <c r="F10514" s="3"/>
      <c r="G10514" s="3"/>
      <c r="H10514" s="3"/>
    </row>
    <row r="10515">
      <c r="A10515" s="2">
        <f>IFERROR(__xludf.DUMMYFUNCTION("""COMPUTED_VALUE"""),51394.0)</f>
        <v>51394</v>
      </c>
      <c r="B10515" s="3" t="str">
        <f>IFERROR(__xludf.DUMMYFUNCTION("""COMPUTED_VALUE"""),"1069 MERRILL RD")</f>
        <v>1069 MERRILL RD</v>
      </c>
      <c r="C10515" s="3" t="str">
        <f>IFERROR(__xludf.DUMMYFUNCTION("""COMPUTED_VALUE"""),"ROSENEATH ")</f>
        <v>ROSENEATH </v>
      </c>
      <c r="D10515" s="3" t="str">
        <f>IFERROR(__xludf.DUMMYFUNCTION("""COMPUTED_VALUE"""),"K0K 2X0")</f>
        <v>K0K 2X0</v>
      </c>
      <c r="E10515" s="3"/>
      <c r="F10515" s="3"/>
      <c r="G10515" s="3"/>
      <c r="H10515" s="3"/>
    </row>
    <row r="10516">
      <c r="A10516" s="2">
        <f>IFERROR(__xludf.DUMMYFUNCTION("""COMPUTED_VALUE"""),51395.0)</f>
        <v>51395</v>
      </c>
      <c r="B10516" s="3" t="str">
        <f>IFERROR(__xludf.DUMMYFUNCTION("""COMPUTED_VALUE"""),"1070 MERRILL RD")</f>
        <v>1070 MERRILL RD</v>
      </c>
      <c r="C10516" s="3" t="str">
        <f>IFERROR(__xludf.DUMMYFUNCTION("""COMPUTED_VALUE"""),"ROSENEATH ")</f>
        <v>ROSENEATH </v>
      </c>
      <c r="D10516" s="3" t="str">
        <f>IFERROR(__xludf.DUMMYFUNCTION("""COMPUTED_VALUE"""),"K0K 2X0")</f>
        <v>K0K 2X0</v>
      </c>
      <c r="E10516" s="3"/>
      <c r="F10516" s="3"/>
      <c r="G10516" s="3"/>
      <c r="H10516" s="3"/>
    </row>
    <row r="10517">
      <c r="A10517" s="2">
        <f>IFERROR(__xludf.DUMMYFUNCTION("""COMPUTED_VALUE"""),51396.0)</f>
        <v>51396</v>
      </c>
      <c r="B10517" s="3" t="str">
        <f>IFERROR(__xludf.DUMMYFUNCTION("""COMPUTED_VALUE"""),"1076 MERRILL RD SUITE 1")</f>
        <v>1076 MERRILL RD SUITE 1</v>
      </c>
      <c r="C10517" s="3" t="str">
        <f>IFERROR(__xludf.DUMMYFUNCTION("""COMPUTED_VALUE"""),"ROSENEATH ")</f>
        <v>ROSENEATH </v>
      </c>
      <c r="D10517" s="3" t="str">
        <f>IFERROR(__xludf.DUMMYFUNCTION("""COMPUTED_VALUE"""),"K0K 2X0")</f>
        <v>K0K 2X0</v>
      </c>
      <c r="E10517" s="3"/>
      <c r="F10517" s="3"/>
      <c r="G10517" s="3"/>
      <c r="H10517" s="3"/>
    </row>
    <row r="10518">
      <c r="A10518" s="2">
        <f>IFERROR(__xludf.DUMMYFUNCTION("""COMPUTED_VALUE"""),51397.0)</f>
        <v>51397</v>
      </c>
      <c r="B10518" s="3" t="str">
        <f>IFERROR(__xludf.DUMMYFUNCTION("""COMPUTED_VALUE"""),"1076 MERRILL RD SUITE 2")</f>
        <v>1076 MERRILL RD SUITE 2</v>
      </c>
      <c r="C10518" s="3" t="str">
        <f>IFERROR(__xludf.DUMMYFUNCTION("""COMPUTED_VALUE"""),"ROSENEATH ")</f>
        <v>ROSENEATH </v>
      </c>
      <c r="D10518" s="3" t="str">
        <f>IFERROR(__xludf.DUMMYFUNCTION("""COMPUTED_VALUE"""),"K0K 2X0")</f>
        <v>K0K 2X0</v>
      </c>
      <c r="E10518" s="3"/>
      <c r="F10518" s="3"/>
      <c r="G10518" s="3"/>
      <c r="H10518" s="3"/>
    </row>
    <row r="10519">
      <c r="A10519" s="2">
        <f>IFERROR(__xludf.DUMMYFUNCTION("""COMPUTED_VALUE"""),51398.0)</f>
        <v>51398</v>
      </c>
      <c r="B10519" s="3" t="str">
        <f>IFERROR(__xludf.DUMMYFUNCTION("""COMPUTED_VALUE"""),"1076 MERRILL RD SUITE 3")</f>
        <v>1076 MERRILL RD SUITE 3</v>
      </c>
      <c r="C10519" s="3" t="str">
        <f>IFERROR(__xludf.DUMMYFUNCTION("""COMPUTED_VALUE"""),"ROSENEATH ")</f>
        <v>ROSENEATH </v>
      </c>
      <c r="D10519" s="3" t="str">
        <f>IFERROR(__xludf.DUMMYFUNCTION("""COMPUTED_VALUE"""),"K0K 2X0")</f>
        <v>K0K 2X0</v>
      </c>
      <c r="E10519" s="3"/>
      <c r="F10519" s="3"/>
      <c r="G10519" s="3"/>
      <c r="H10519" s="3"/>
    </row>
    <row r="10520">
      <c r="A10520" s="2">
        <f>IFERROR(__xludf.DUMMYFUNCTION("""COMPUTED_VALUE"""),51399.0)</f>
        <v>51399</v>
      </c>
      <c r="B10520" s="3" t="str">
        <f>IFERROR(__xludf.DUMMYFUNCTION("""COMPUTED_VALUE"""),"1084 MERRILL RD")</f>
        <v>1084 MERRILL RD</v>
      </c>
      <c r="C10520" s="3" t="str">
        <f>IFERROR(__xludf.DUMMYFUNCTION("""COMPUTED_VALUE"""),"ROSENEATH ")</f>
        <v>ROSENEATH </v>
      </c>
      <c r="D10520" s="3" t="str">
        <f>IFERROR(__xludf.DUMMYFUNCTION("""COMPUTED_VALUE"""),"K0K 2X0")</f>
        <v>K0K 2X0</v>
      </c>
      <c r="E10520" s="3"/>
      <c r="F10520" s="3"/>
      <c r="G10520" s="3"/>
      <c r="H10520" s="3"/>
    </row>
    <row r="10521">
      <c r="A10521" s="2">
        <f>IFERROR(__xludf.DUMMYFUNCTION("""COMPUTED_VALUE"""),51400.0)</f>
        <v>51400</v>
      </c>
      <c r="B10521" s="3" t="str">
        <f>IFERROR(__xludf.DUMMYFUNCTION("""COMPUTED_VALUE"""),"5431 MINNETONKA RD")</f>
        <v>5431 MINNETONKA RD</v>
      </c>
      <c r="C10521" s="3" t="str">
        <f>IFERROR(__xludf.DUMMYFUNCTION("""COMPUTED_VALUE"""),"ROSENEATH ")</f>
        <v>ROSENEATH </v>
      </c>
      <c r="D10521" s="3" t="str">
        <f>IFERROR(__xludf.DUMMYFUNCTION("""COMPUTED_VALUE"""),"K0K 2X0")</f>
        <v>K0K 2X0</v>
      </c>
      <c r="E10521" s="3"/>
      <c r="F10521" s="3"/>
      <c r="G10521" s="3"/>
      <c r="H10521" s="3"/>
    </row>
    <row r="10522">
      <c r="A10522" s="2">
        <f>IFERROR(__xludf.DUMMYFUNCTION("""COMPUTED_VALUE"""),51401.0)</f>
        <v>51401</v>
      </c>
      <c r="B10522" s="3" t="str">
        <f>IFERROR(__xludf.DUMMYFUNCTION("""COMPUTED_VALUE"""),"5446 MINNETONKA RD")</f>
        <v>5446 MINNETONKA RD</v>
      </c>
      <c r="C10522" s="3" t="str">
        <f>IFERROR(__xludf.DUMMYFUNCTION("""COMPUTED_VALUE"""),"ROSENEATH ")</f>
        <v>ROSENEATH </v>
      </c>
      <c r="D10522" s="3" t="str">
        <f>IFERROR(__xludf.DUMMYFUNCTION("""COMPUTED_VALUE"""),"K0K 2X0")</f>
        <v>K0K 2X0</v>
      </c>
      <c r="E10522" s="3"/>
      <c r="F10522" s="3"/>
      <c r="G10522" s="3"/>
      <c r="H10522" s="3"/>
    </row>
    <row r="10523">
      <c r="A10523" s="2">
        <f>IFERROR(__xludf.DUMMYFUNCTION("""COMPUTED_VALUE"""),51402.0)</f>
        <v>51402</v>
      </c>
      <c r="B10523" s="3" t="str">
        <f>IFERROR(__xludf.DUMMYFUNCTION("""COMPUTED_VALUE"""),"5464 MINNETONKA RD")</f>
        <v>5464 MINNETONKA RD</v>
      </c>
      <c r="C10523" s="3" t="str">
        <f>IFERROR(__xludf.DUMMYFUNCTION("""COMPUTED_VALUE"""),"ROSENEATH ")</f>
        <v>ROSENEATH </v>
      </c>
      <c r="D10523" s="3" t="str">
        <f>IFERROR(__xludf.DUMMYFUNCTION("""COMPUTED_VALUE"""),"K0K 2X0")</f>
        <v>K0K 2X0</v>
      </c>
      <c r="E10523" s="3"/>
      <c r="F10523" s="3"/>
      <c r="G10523" s="3"/>
      <c r="H10523" s="3"/>
    </row>
    <row r="10524">
      <c r="A10524" s="2">
        <f>IFERROR(__xludf.DUMMYFUNCTION("""COMPUTED_VALUE"""),51411.0)</f>
        <v>51411</v>
      </c>
      <c r="B10524" s="3" t="str">
        <f>IFERROR(__xludf.DUMMYFUNCTION("""COMPUTED_VALUE"""),"5455 A-G MINNETONKA RD")</f>
        <v>5455 A-G MINNETONKA RD</v>
      </c>
      <c r="C10524" s="3" t="str">
        <f>IFERROR(__xludf.DUMMYFUNCTION("""COMPUTED_VALUE"""),"ROSENEATH ")</f>
        <v>ROSENEATH </v>
      </c>
      <c r="D10524" s="3" t="str">
        <f>IFERROR(__xludf.DUMMYFUNCTION("""COMPUTED_VALUE"""),"K0K 2X0")</f>
        <v>K0K 2X0</v>
      </c>
      <c r="E10524" s="3"/>
      <c r="F10524" s="3"/>
      <c r="G10524" s="3"/>
      <c r="H10524" s="3"/>
    </row>
    <row r="10525">
      <c r="A10525" s="2">
        <f>IFERROR(__xludf.DUMMYFUNCTION("""COMPUTED_VALUE"""),51412.0)</f>
        <v>51412</v>
      </c>
      <c r="B10525" s="3" t="str">
        <f>IFERROR(__xludf.DUMMYFUNCTION("""COMPUTED_VALUE"""),"5481A MINNETONKA RD")</f>
        <v>5481A MINNETONKA RD</v>
      </c>
      <c r="C10525" s="3" t="str">
        <f>IFERROR(__xludf.DUMMYFUNCTION("""COMPUTED_VALUE"""),"ROSENEATH ")</f>
        <v>ROSENEATH </v>
      </c>
      <c r="D10525" s="3" t="str">
        <f>IFERROR(__xludf.DUMMYFUNCTION("""COMPUTED_VALUE"""),"K0K 2X0")</f>
        <v>K0K 2X0</v>
      </c>
      <c r="E10525" s="3"/>
      <c r="F10525" s="3"/>
      <c r="G10525" s="3"/>
      <c r="H10525" s="3"/>
    </row>
    <row r="10526">
      <c r="A10526" s="2">
        <f>IFERROR(__xludf.DUMMYFUNCTION("""COMPUTED_VALUE"""),51413.0)</f>
        <v>51413</v>
      </c>
      <c r="B10526" s="3" t="str">
        <f>IFERROR(__xludf.DUMMYFUNCTION("""COMPUTED_VALUE"""),"5481B MINNETONKA RD")</f>
        <v>5481B MINNETONKA RD</v>
      </c>
      <c r="C10526" s="3" t="str">
        <f>IFERROR(__xludf.DUMMYFUNCTION("""COMPUTED_VALUE"""),"ROSENEATH ")</f>
        <v>ROSENEATH </v>
      </c>
      <c r="D10526" s="3" t="str">
        <f>IFERROR(__xludf.DUMMYFUNCTION("""COMPUTED_VALUE"""),"K0K 2X0")</f>
        <v>K0K 2X0</v>
      </c>
      <c r="E10526" s="3"/>
      <c r="F10526" s="3"/>
      <c r="G10526" s="3"/>
      <c r="H10526" s="3"/>
    </row>
    <row r="10527">
      <c r="A10527" s="2">
        <f>IFERROR(__xludf.DUMMYFUNCTION("""COMPUTED_VALUE"""),51414.0)</f>
        <v>51414</v>
      </c>
      <c r="B10527" s="3" t="str">
        <f>IFERROR(__xludf.DUMMYFUNCTION("""COMPUTED_VALUE"""),"5525A MINNETONKA RD")</f>
        <v>5525A MINNETONKA RD</v>
      </c>
      <c r="C10527" s="3" t="str">
        <f>IFERROR(__xludf.DUMMYFUNCTION("""COMPUTED_VALUE"""),"ROSENEATH ")</f>
        <v>ROSENEATH </v>
      </c>
      <c r="D10527" s="3" t="str">
        <f>IFERROR(__xludf.DUMMYFUNCTION("""COMPUTED_VALUE"""),"K0K 2X0")</f>
        <v>K0K 2X0</v>
      </c>
      <c r="E10527" s="3"/>
      <c r="F10527" s="3"/>
      <c r="G10527" s="3"/>
      <c r="H10527" s="3"/>
    </row>
    <row r="10528">
      <c r="A10528" s="2">
        <f>IFERROR(__xludf.DUMMYFUNCTION("""COMPUTED_VALUE"""),51415.0)</f>
        <v>51415</v>
      </c>
      <c r="B10528" s="3" t="str">
        <f>IFERROR(__xludf.DUMMYFUNCTION("""COMPUTED_VALUE"""),"5525B MINNETONKA RD")</f>
        <v>5525B MINNETONKA RD</v>
      </c>
      <c r="C10528" s="3" t="str">
        <f>IFERROR(__xludf.DUMMYFUNCTION("""COMPUTED_VALUE"""),"ROSENEATH ")</f>
        <v>ROSENEATH </v>
      </c>
      <c r="D10528" s="3" t="str">
        <f>IFERROR(__xludf.DUMMYFUNCTION("""COMPUTED_VALUE"""),"K0K 2X0")</f>
        <v>K0K 2X0</v>
      </c>
      <c r="E10528" s="3"/>
      <c r="F10528" s="3"/>
      <c r="G10528" s="3"/>
      <c r="H10528" s="3"/>
    </row>
    <row r="10529">
      <c r="A10529" s="2">
        <f>IFERROR(__xludf.DUMMYFUNCTION("""COMPUTED_VALUE"""),51416.0)</f>
        <v>51416</v>
      </c>
      <c r="B10529" s="3" t="str">
        <f>IFERROR(__xludf.DUMMYFUNCTION("""COMPUTED_VALUE"""),"5533A MINNETONKA RD")</f>
        <v>5533A MINNETONKA RD</v>
      </c>
      <c r="C10529" s="3" t="str">
        <f>IFERROR(__xludf.DUMMYFUNCTION("""COMPUTED_VALUE"""),"ROSENEATH ")</f>
        <v>ROSENEATH </v>
      </c>
      <c r="D10529" s="3" t="str">
        <f>IFERROR(__xludf.DUMMYFUNCTION("""COMPUTED_VALUE"""),"K0K 2X0")</f>
        <v>K0K 2X0</v>
      </c>
      <c r="E10529" s="3"/>
      <c r="F10529" s="3"/>
      <c r="G10529" s="3"/>
      <c r="H10529" s="3"/>
    </row>
    <row r="10530">
      <c r="A10530" s="2">
        <f>IFERROR(__xludf.DUMMYFUNCTION("""COMPUTED_VALUE"""),51417.0)</f>
        <v>51417</v>
      </c>
      <c r="B10530" s="3" t="str">
        <f>IFERROR(__xludf.DUMMYFUNCTION("""COMPUTED_VALUE"""),"5533B MINNETONKA RD")</f>
        <v>5533B MINNETONKA RD</v>
      </c>
      <c r="C10530" s="3" t="str">
        <f>IFERROR(__xludf.DUMMYFUNCTION("""COMPUTED_VALUE"""),"ROSENEATH ")</f>
        <v>ROSENEATH </v>
      </c>
      <c r="D10530" s="3" t="str">
        <f>IFERROR(__xludf.DUMMYFUNCTION("""COMPUTED_VALUE"""),"K0K 2X0")</f>
        <v>K0K 2X0</v>
      </c>
      <c r="E10530" s="3"/>
      <c r="F10530" s="3"/>
      <c r="G10530" s="3"/>
      <c r="H10530" s="3"/>
    </row>
    <row r="10531">
      <c r="A10531" s="2">
        <f>IFERROR(__xludf.DUMMYFUNCTION("""COMPUTED_VALUE"""),51418.0)</f>
        <v>51418</v>
      </c>
      <c r="B10531" s="3" t="str">
        <f>IFERROR(__xludf.DUMMYFUNCTION("""COMPUTED_VALUE"""),"5533C MINNETONKA RD")</f>
        <v>5533C MINNETONKA RD</v>
      </c>
      <c r="C10531" s="3" t="str">
        <f>IFERROR(__xludf.DUMMYFUNCTION("""COMPUTED_VALUE"""),"ROSENEATH ")</f>
        <v>ROSENEATH </v>
      </c>
      <c r="D10531" s="3" t="str">
        <f>IFERROR(__xludf.DUMMYFUNCTION("""COMPUTED_VALUE"""),"K0K 2X0")</f>
        <v>K0K 2X0</v>
      </c>
      <c r="E10531" s="3"/>
      <c r="F10531" s="3"/>
      <c r="G10531" s="3"/>
      <c r="H10531" s="3"/>
    </row>
    <row r="10532">
      <c r="A10532" s="2">
        <f>IFERROR(__xludf.DUMMYFUNCTION("""COMPUTED_VALUE"""),51419.0)</f>
        <v>51419</v>
      </c>
      <c r="B10532" s="3" t="str">
        <f>IFERROR(__xludf.DUMMYFUNCTION("""COMPUTED_VALUE"""),"5533D MINNETONKA RD")</f>
        <v>5533D MINNETONKA RD</v>
      </c>
      <c r="C10532" s="3" t="str">
        <f>IFERROR(__xludf.DUMMYFUNCTION("""COMPUTED_VALUE"""),"ROSENEATH ")</f>
        <v>ROSENEATH </v>
      </c>
      <c r="D10532" s="3" t="str">
        <f>IFERROR(__xludf.DUMMYFUNCTION("""COMPUTED_VALUE"""),"K0K 2X0")</f>
        <v>K0K 2X0</v>
      </c>
      <c r="E10532" s="3"/>
      <c r="F10532" s="3"/>
      <c r="G10532" s="3"/>
      <c r="H10532" s="3"/>
    </row>
    <row r="10533">
      <c r="A10533" s="2">
        <f>IFERROR(__xludf.DUMMYFUNCTION("""COMPUTED_VALUE"""),51420.0)</f>
        <v>51420</v>
      </c>
      <c r="B10533" s="3" t="str">
        <f>IFERROR(__xludf.DUMMYFUNCTION("""COMPUTED_VALUE"""),"5537A MINNETONKA RD")</f>
        <v>5537A MINNETONKA RD</v>
      </c>
      <c r="C10533" s="3" t="str">
        <f>IFERROR(__xludf.DUMMYFUNCTION("""COMPUTED_VALUE"""),"ROSENEATH ")</f>
        <v>ROSENEATH </v>
      </c>
      <c r="D10533" s="3" t="str">
        <f>IFERROR(__xludf.DUMMYFUNCTION("""COMPUTED_VALUE"""),"K0K 2X0")</f>
        <v>K0K 2X0</v>
      </c>
      <c r="E10533" s="3"/>
      <c r="F10533" s="3"/>
      <c r="G10533" s="3"/>
      <c r="H10533" s="3"/>
    </row>
    <row r="10534">
      <c r="A10534" s="2">
        <f>IFERROR(__xludf.DUMMYFUNCTION("""COMPUTED_VALUE"""),51421.0)</f>
        <v>51421</v>
      </c>
      <c r="B10534" s="3" t="str">
        <f>IFERROR(__xludf.DUMMYFUNCTION("""COMPUTED_VALUE"""),"5537B MINNETONKA RD")</f>
        <v>5537B MINNETONKA RD</v>
      </c>
      <c r="C10534" s="3" t="str">
        <f>IFERROR(__xludf.DUMMYFUNCTION("""COMPUTED_VALUE"""),"ROSENEATH ")</f>
        <v>ROSENEATH </v>
      </c>
      <c r="D10534" s="3" t="str">
        <f>IFERROR(__xludf.DUMMYFUNCTION("""COMPUTED_VALUE"""),"K0K 2X0")</f>
        <v>K0K 2X0</v>
      </c>
      <c r="E10534" s="3"/>
      <c r="F10534" s="3"/>
      <c r="G10534" s="3"/>
      <c r="H10534" s="3"/>
    </row>
    <row r="10535">
      <c r="A10535" s="2">
        <f>IFERROR(__xludf.DUMMYFUNCTION("""COMPUTED_VALUE"""),51422.0)</f>
        <v>51422</v>
      </c>
      <c r="B10535" s="3" t="str">
        <f>IFERROR(__xludf.DUMMYFUNCTION("""COMPUTED_VALUE"""),"5599 MINNETONKA RD")</f>
        <v>5599 MINNETONKA RD</v>
      </c>
      <c r="C10535" s="3" t="str">
        <f>IFERROR(__xludf.DUMMYFUNCTION("""COMPUTED_VALUE"""),"ROSENEATH ")</f>
        <v>ROSENEATH </v>
      </c>
      <c r="D10535" s="3" t="str">
        <f>IFERROR(__xludf.DUMMYFUNCTION("""COMPUTED_VALUE"""),"K0K 2X0")</f>
        <v>K0K 2X0</v>
      </c>
      <c r="E10535" s="3"/>
      <c r="F10535" s="3"/>
      <c r="G10535" s="3"/>
      <c r="H10535" s="3"/>
    </row>
    <row r="10536">
      <c r="A10536" s="2">
        <f>IFERROR(__xludf.DUMMYFUNCTION("""COMPUTED_VALUE"""),51425.0)</f>
        <v>51425</v>
      </c>
      <c r="B10536" s="3" t="str">
        <f>IFERROR(__xludf.DUMMYFUNCTION("""COMPUTED_VALUE"""),"152 MONTGOMERY RD")</f>
        <v>152 MONTGOMERY RD</v>
      </c>
      <c r="C10536" s="3" t="str">
        <f>IFERROR(__xludf.DUMMYFUNCTION("""COMPUTED_VALUE"""),"ROSENEATH ")</f>
        <v>ROSENEATH </v>
      </c>
      <c r="D10536" s="3" t="str">
        <f>IFERROR(__xludf.DUMMYFUNCTION("""COMPUTED_VALUE"""),"K0K 2X0")</f>
        <v>K0K 2X0</v>
      </c>
      <c r="E10536" s="3" t="str">
        <f>IFERROR(__xludf.DUMMYFUNCTION("""COMPUTED_VALUE"""),"Alix Brown")</f>
        <v>Alix Brown</v>
      </c>
      <c r="F10536" s="3" t="str">
        <f>IFERROR(__xludf.DUMMYFUNCTION("""COMPUTED_VALUE"""),"alix.brown@xplornet.ca")</f>
        <v>alix.brown@xplornet.ca</v>
      </c>
      <c r="G10536" s="3">
        <f>IFERROR(__xludf.DUMMYFUNCTION("""COMPUTED_VALUE"""),9.05396715E9)</f>
        <v>9053967150</v>
      </c>
      <c r="H10536" s="3">
        <f>IFERROR(__xludf.DUMMYFUNCTION("""COMPUTED_VALUE"""),9.053960039E9)</f>
        <v>9053960039</v>
      </c>
    </row>
    <row r="10537">
      <c r="A10537" s="2">
        <f>IFERROR(__xludf.DUMMYFUNCTION("""COMPUTED_VALUE"""),51426.0)</f>
        <v>51426</v>
      </c>
      <c r="B10537" s="3" t="str">
        <f>IFERROR(__xludf.DUMMYFUNCTION("""COMPUTED_VALUE"""),"186 MONTGOMERY RD")</f>
        <v>186 MONTGOMERY RD</v>
      </c>
      <c r="C10537" s="3" t="str">
        <f>IFERROR(__xludf.DUMMYFUNCTION("""COMPUTED_VALUE"""),"ROSENEATH ")</f>
        <v>ROSENEATH </v>
      </c>
      <c r="D10537" s="3" t="str">
        <f>IFERROR(__xludf.DUMMYFUNCTION("""COMPUTED_VALUE"""),"K0K 2X0")</f>
        <v>K0K 2X0</v>
      </c>
      <c r="E10537" s="3" t="str">
        <f>IFERROR(__xludf.DUMMYFUNCTION("""COMPUTED_VALUE"""),"Rose Harmandayan")</f>
        <v>Rose Harmandayan</v>
      </c>
      <c r="F10537" s="3" t="str">
        <f>IFERROR(__xludf.DUMMYFUNCTION("""COMPUTED_VALUE"""),"medzmomma@gmail.com")</f>
        <v>medzmomma@gmail.com</v>
      </c>
      <c r="G10537" s="3">
        <f>IFERROR(__xludf.DUMMYFUNCTION("""COMPUTED_VALUE"""),9.053523484E9)</f>
        <v>9053523484</v>
      </c>
      <c r="H10537" s="3">
        <f>IFERROR(__xludf.DUMMYFUNCTION("""COMPUTED_VALUE"""),6.478885063E9)</f>
        <v>6478885063</v>
      </c>
    </row>
    <row r="10538">
      <c r="A10538" s="2">
        <f>IFERROR(__xludf.DUMMYFUNCTION("""COMPUTED_VALUE"""),51427.0)</f>
        <v>51427</v>
      </c>
      <c r="B10538" s="3" t="str">
        <f>IFERROR(__xludf.DUMMYFUNCTION("""COMPUTED_VALUE"""),"194 MONTGOMERY RD")</f>
        <v>194 MONTGOMERY RD</v>
      </c>
      <c r="C10538" s="3" t="str">
        <f>IFERROR(__xludf.DUMMYFUNCTION("""COMPUTED_VALUE"""),"ROSENEATH ")</f>
        <v>ROSENEATH </v>
      </c>
      <c r="D10538" s="3" t="str">
        <f>IFERROR(__xludf.DUMMYFUNCTION("""COMPUTED_VALUE"""),"K0K 2X0")</f>
        <v>K0K 2X0</v>
      </c>
      <c r="E10538" s="3" t="str">
        <f>IFERROR(__xludf.DUMMYFUNCTION("""COMPUTED_VALUE"""),"Reg Stanley")</f>
        <v>Reg Stanley</v>
      </c>
      <c r="F10538" s="3" t="str">
        <f>IFERROR(__xludf.DUMMYFUNCTION("""COMPUTED_VALUE"""),"reg.stanley1957@gmail.com")</f>
        <v>reg.stanley1957@gmail.com</v>
      </c>
      <c r="G10538" s="3">
        <f>IFERROR(__xludf.DUMMYFUNCTION("""COMPUTED_VALUE"""),9.053759788E9)</f>
        <v>9053759788</v>
      </c>
      <c r="H10538" s="3"/>
    </row>
    <row r="10539">
      <c r="A10539" s="2">
        <f>IFERROR(__xludf.DUMMYFUNCTION("""COMPUTED_VALUE"""),51428.0)</f>
        <v>51428</v>
      </c>
      <c r="B10539" s="3" t="str">
        <f>IFERROR(__xludf.DUMMYFUNCTION("""COMPUTED_VALUE"""),"234 MONTGOMERY RD")</f>
        <v>234 MONTGOMERY RD</v>
      </c>
      <c r="C10539" s="3" t="str">
        <f>IFERROR(__xludf.DUMMYFUNCTION("""COMPUTED_VALUE"""),"ROSENEATH ")</f>
        <v>ROSENEATH </v>
      </c>
      <c r="D10539" s="3" t="str">
        <f>IFERROR(__xludf.DUMMYFUNCTION("""COMPUTED_VALUE"""),"K0K 2X0")</f>
        <v>K0K 2X0</v>
      </c>
      <c r="E10539" s="3"/>
      <c r="F10539" s="3"/>
      <c r="G10539" s="3"/>
      <c r="H10539" s="3"/>
    </row>
    <row r="10540">
      <c r="A10540" s="2">
        <f>IFERROR(__xludf.DUMMYFUNCTION("""COMPUTED_VALUE"""),51429.0)</f>
        <v>51429</v>
      </c>
      <c r="B10540" s="3" t="str">
        <f>IFERROR(__xludf.DUMMYFUNCTION("""COMPUTED_VALUE"""),"239 MONTGOMERY RD")</f>
        <v>239 MONTGOMERY RD</v>
      </c>
      <c r="C10540" s="3" t="str">
        <f>IFERROR(__xludf.DUMMYFUNCTION("""COMPUTED_VALUE"""),"ROSENEATH ")</f>
        <v>ROSENEATH </v>
      </c>
      <c r="D10540" s="3" t="str">
        <f>IFERROR(__xludf.DUMMYFUNCTION("""COMPUTED_VALUE"""),"K0K 2X0")</f>
        <v>K0K 2X0</v>
      </c>
      <c r="E10540" s="3"/>
      <c r="F10540" s="3"/>
      <c r="G10540" s="3"/>
      <c r="H10540" s="3"/>
    </row>
    <row r="10541">
      <c r="A10541" s="2">
        <f>IFERROR(__xludf.DUMMYFUNCTION("""COMPUTED_VALUE"""),51430.0)</f>
        <v>51430</v>
      </c>
      <c r="B10541" s="3" t="str">
        <f>IFERROR(__xludf.DUMMYFUNCTION("""COMPUTED_VALUE"""),"270 MONTGOMERY RD")</f>
        <v>270 MONTGOMERY RD</v>
      </c>
      <c r="C10541" s="3" t="str">
        <f>IFERROR(__xludf.DUMMYFUNCTION("""COMPUTED_VALUE"""),"ROSENEATH ")</f>
        <v>ROSENEATH </v>
      </c>
      <c r="D10541" s="3" t="str">
        <f>IFERROR(__xludf.DUMMYFUNCTION("""COMPUTED_VALUE"""),"K0K 2X0")</f>
        <v>K0K 2X0</v>
      </c>
      <c r="E10541" s="3" t="str">
        <f>IFERROR(__xludf.DUMMYFUNCTION("""COMPUTED_VALUE"""),"Craig Jessup")</f>
        <v>Craig Jessup</v>
      </c>
      <c r="F10541" s="3" t="str">
        <f>IFERROR(__xludf.DUMMYFUNCTION("""COMPUTED_VALUE"""),"craig.jessup1@gmail.com")</f>
        <v>craig.jessup1@gmail.com</v>
      </c>
      <c r="G10541" s="3">
        <f>IFERROR(__xludf.DUMMYFUNCTION("""COMPUTED_VALUE"""),9.053969568E9)</f>
        <v>9053969568</v>
      </c>
      <c r="H10541" s="3"/>
    </row>
    <row r="10542">
      <c r="A10542" s="2">
        <f>IFERROR(__xludf.DUMMYFUNCTION("""COMPUTED_VALUE"""),51431.0)</f>
        <v>51431</v>
      </c>
      <c r="B10542" s="3" t="str">
        <f>IFERROR(__xludf.DUMMYFUNCTION("""COMPUTED_VALUE"""),"279 MONTGOMERY RD")</f>
        <v>279 MONTGOMERY RD</v>
      </c>
      <c r="C10542" s="3" t="str">
        <f>IFERROR(__xludf.DUMMYFUNCTION("""COMPUTED_VALUE"""),"ROSENEATH ")</f>
        <v>ROSENEATH </v>
      </c>
      <c r="D10542" s="3" t="str">
        <f>IFERROR(__xludf.DUMMYFUNCTION("""COMPUTED_VALUE"""),"K0K 2X0")</f>
        <v>K0K 2X0</v>
      </c>
      <c r="E10542" s="3" t="str">
        <f>IFERROR(__xludf.DUMMYFUNCTION("""COMPUTED_VALUE"""),"Rickford Beekharry")</f>
        <v>Rickford Beekharry</v>
      </c>
      <c r="F10542" s="3" t="str">
        <f>IFERROR(__xludf.DUMMYFUNCTION("""COMPUTED_VALUE"""),"rickbeekharry@gmail.com")</f>
        <v>rickbeekharry@gmail.com</v>
      </c>
      <c r="G10542" s="3"/>
      <c r="H10542" s="3"/>
    </row>
    <row r="10543">
      <c r="A10543" s="2">
        <f>IFERROR(__xludf.DUMMYFUNCTION("""COMPUTED_VALUE"""),51432.0)</f>
        <v>51432</v>
      </c>
      <c r="B10543" s="3" t="str">
        <f>IFERROR(__xludf.DUMMYFUNCTION("""COMPUTED_VALUE"""),"296 MONTGOMERY RD")</f>
        <v>296 MONTGOMERY RD</v>
      </c>
      <c r="C10543" s="3" t="str">
        <f>IFERROR(__xludf.DUMMYFUNCTION("""COMPUTED_VALUE"""),"ROSENEATH ")</f>
        <v>ROSENEATH </v>
      </c>
      <c r="D10543" s="3" t="str">
        <f>IFERROR(__xludf.DUMMYFUNCTION("""COMPUTED_VALUE"""),"K0K 2X0")</f>
        <v>K0K 2X0</v>
      </c>
      <c r="E10543" s="3"/>
      <c r="F10543" s="3"/>
      <c r="G10543" s="3"/>
      <c r="H10543" s="3"/>
    </row>
    <row r="10544">
      <c r="A10544" s="2">
        <f>IFERROR(__xludf.DUMMYFUNCTION("""COMPUTED_VALUE"""),51433.0)</f>
        <v>51433</v>
      </c>
      <c r="B10544" s="3" t="str">
        <f>IFERROR(__xludf.DUMMYFUNCTION("""COMPUTED_VALUE"""),"309 MONTGOMERY RD")</f>
        <v>309 MONTGOMERY RD</v>
      </c>
      <c r="C10544" s="3" t="str">
        <f>IFERROR(__xludf.DUMMYFUNCTION("""COMPUTED_VALUE"""),"ROSENEATH ")</f>
        <v>ROSENEATH </v>
      </c>
      <c r="D10544" s="3" t="str">
        <f>IFERROR(__xludf.DUMMYFUNCTION("""COMPUTED_VALUE"""),"K0K 2X0")</f>
        <v>K0K 2X0</v>
      </c>
      <c r="E10544" s="3" t="str">
        <f>IFERROR(__xludf.DUMMYFUNCTION("""COMPUTED_VALUE"""),"Kristine Stacey")</f>
        <v>Kristine Stacey</v>
      </c>
      <c r="F10544" s="3" t="str">
        <f>IFERROR(__xludf.DUMMYFUNCTION("""COMPUTED_VALUE"""),"kristinestacey309@gmail.com")</f>
        <v>kristinestacey309@gmail.com</v>
      </c>
      <c r="G10544" s="3">
        <f>IFERROR(__xludf.DUMMYFUNCTION("""COMPUTED_VALUE"""),2.892514429E9)</f>
        <v>2892514429</v>
      </c>
      <c r="H10544" s="3">
        <f>IFERROR(__xludf.DUMMYFUNCTION("""COMPUTED_VALUE"""),2.892514428E9)</f>
        <v>2892514428</v>
      </c>
    </row>
    <row r="10545">
      <c r="A10545" s="2">
        <f>IFERROR(__xludf.DUMMYFUNCTION("""COMPUTED_VALUE"""),51434.0)</f>
        <v>51434</v>
      </c>
      <c r="B10545" s="3" t="str">
        <f>IFERROR(__xludf.DUMMYFUNCTION("""COMPUTED_VALUE"""),"312 MONTGOMERY RD")</f>
        <v>312 MONTGOMERY RD</v>
      </c>
      <c r="C10545" s="3" t="str">
        <f>IFERROR(__xludf.DUMMYFUNCTION("""COMPUTED_VALUE"""),"ROSENEATH ")</f>
        <v>ROSENEATH </v>
      </c>
      <c r="D10545" s="3" t="str">
        <f>IFERROR(__xludf.DUMMYFUNCTION("""COMPUTED_VALUE"""),"K0K 2X0")</f>
        <v>K0K 2X0</v>
      </c>
      <c r="E10545" s="3" t="str">
        <f>IFERROR(__xludf.DUMMYFUNCTION("""COMPUTED_VALUE"""),"Gay &amp; Doug Selby")</f>
        <v>Gay &amp; Doug Selby</v>
      </c>
      <c r="F10545" s="3" t="str">
        <f>IFERROR(__xludf.DUMMYFUNCTION("""COMPUTED_VALUE"""),"ep0nagb@gmail.com")</f>
        <v>ep0nagb@gmail.com</v>
      </c>
      <c r="G10545" s="3">
        <f>IFERROR(__xludf.DUMMYFUNCTION("""COMPUTED_VALUE"""),9.053523608E9)</f>
        <v>9053523608</v>
      </c>
      <c r="H10545" s="3">
        <f>IFERROR(__xludf.DUMMYFUNCTION("""COMPUTED_VALUE"""),5.197321241E9)</f>
        <v>5197321241</v>
      </c>
    </row>
    <row r="10546">
      <c r="A10546" s="2">
        <f>IFERROR(__xludf.DUMMYFUNCTION("""COMPUTED_VALUE"""),51435.0)</f>
        <v>51435</v>
      </c>
      <c r="B10546" s="3" t="str">
        <f>IFERROR(__xludf.DUMMYFUNCTION("""COMPUTED_VALUE"""),"317 MONTGOMERY RD")</f>
        <v>317 MONTGOMERY RD</v>
      </c>
      <c r="C10546" s="3" t="str">
        <f>IFERROR(__xludf.DUMMYFUNCTION("""COMPUTED_VALUE"""),"ROSENEATH ")</f>
        <v>ROSENEATH </v>
      </c>
      <c r="D10546" s="3" t="str">
        <f>IFERROR(__xludf.DUMMYFUNCTION("""COMPUTED_VALUE"""),"K0K 2X0")</f>
        <v>K0K 2X0</v>
      </c>
      <c r="E10546" s="3" t="str">
        <f>IFERROR(__xludf.DUMMYFUNCTION("""COMPUTED_VALUE"""),"Zowie Rolph")</f>
        <v>Zowie Rolph</v>
      </c>
      <c r="F10546" s="3" t="str">
        <f>IFERROR(__xludf.DUMMYFUNCTION("""COMPUTED_VALUE"""),"zowiemichael20@gmail.com")</f>
        <v>zowiemichael20@gmail.com</v>
      </c>
      <c r="G10546" s="3">
        <f>IFERROR(__xludf.DUMMYFUNCTION("""COMPUTED_VALUE"""),9.059241351E9)</f>
        <v>9059241351</v>
      </c>
      <c r="H10546" s="3">
        <f>IFERROR(__xludf.DUMMYFUNCTION("""COMPUTED_VALUE"""),2.892518027E9)</f>
        <v>2892518027</v>
      </c>
    </row>
    <row r="10547">
      <c r="A10547" s="2">
        <f>IFERROR(__xludf.DUMMYFUNCTION("""COMPUTED_VALUE"""),51436.0)</f>
        <v>51436</v>
      </c>
      <c r="B10547" s="3" t="str">
        <f>IFERROR(__xludf.DUMMYFUNCTION("""COMPUTED_VALUE"""),"MONTGOMERY DR")</f>
        <v>MONTGOMERY DR</v>
      </c>
      <c r="C10547" s="3" t="str">
        <f>IFERROR(__xludf.DUMMYFUNCTION("""COMPUTED_VALUE"""),"ROSENEATH ")</f>
        <v>ROSENEATH </v>
      </c>
      <c r="D10547" s="3" t="str">
        <f>IFERROR(__xludf.DUMMYFUNCTION("""COMPUTED_VALUE"""),"K0K 2X0")</f>
        <v>K0K 2X0</v>
      </c>
      <c r="E10547" s="3"/>
      <c r="F10547" s="3"/>
      <c r="G10547" s="3"/>
      <c r="H10547" s="3"/>
    </row>
    <row r="10548">
      <c r="A10548" s="2">
        <f>IFERROR(__xludf.DUMMYFUNCTION("""COMPUTED_VALUE"""),51437.0)</f>
        <v>51437</v>
      </c>
      <c r="B10548" s="3" t="str">
        <f>IFERROR(__xludf.DUMMYFUNCTION("""COMPUTED_VALUE"""),"2 MORROW RD")</f>
        <v>2 MORROW RD</v>
      </c>
      <c r="C10548" s="3" t="str">
        <f>IFERROR(__xludf.DUMMYFUNCTION("""COMPUTED_VALUE"""),"HASTINGS ")</f>
        <v>HASTINGS </v>
      </c>
      <c r="D10548" s="3" t="str">
        <f>IFERROR(__xludf.DUMMYFUNCTION("""COMPUTED_VALUE"""),"K0L 1Y0")</f>
        <v>K0L 1Y0</v>
      </c>
      <c r="E10548" s="3" t="str">
        <f>IFERROR(__xludf.DUMMYFUNCTION("""COMPUTED_VALUE"""),"Jean Morrrow")</f>
        <v>Jean Morrrow</v>
      </c>
      <c r="F10548" s="3" t="str">
        <f>IFERROR(__xludf.DUMMYFUNCTION("""COMPUTED_VALUE"""),"sandjmorrow@hotmail.com")</f>
        <v>sandjmorrow@hotmail.com</v>
      </c>
      <c r="G10548" s="3">
        <f>IFERROR(__xludf.DUMMYFUNCTION("""COMPUTED_VALUE"""),7.059310695E9)</f>
        <v>7059310695</v>
      </c>
      <c r="H10548" s="3"/>
    </row>
    <row r="10549">
      <c r="A10549" s="2">
        <f>IFERROR(__xludf.DUMMYFUNCTION("""COMPUTED_VALUE"""),51438.0)</f>
        <v>51438</v>
      </c>
      <c r="B10549" s="3" t="str">
        <f>IFERROR(__xludf.DUMMYFUNCTION("""COMPUTED_VALUE"""),"41 MORROW RD")</f>
        <v>41 MORROW RD</v>
      </c>
      <c r="C10549" s="3" t="str">
        <f>IFERROR(__xludf.DUMMYFUNCTION("""COMPUTED_VALUE"""),"HASTINGS ")</f>
        <v>HASTINGS </v>
      </c>
      <c r="D10549" s="3" t="str">
        <f>IFERROR(__xludf.DUMMYFUNCTION("""COMPUTED_VALUE"""),"K0L 1Y0")</f>
        <v>K0L 1Y0</v>
      </c>
      <c r="E10549" s="3" t="str">
        <f>IFERROR(__xludf.DUMMYFUNCTION("""COMPUTED_VALUE"""),"Matt Moffatt")</f>
        <v>Matt Moffatt</v>
      </c>
      <c r="F10549" s="3" t="str">
        <f>IFERROR(__xludf.DUMMYFUNCTION("""COMPUTED_VALUE"""),"mattmoffatt75@gmail.com")</f>
        <v>mattmoffatt75@gmail.com</v>
      </c>
      <c r="G10549" s="3">
        <f>IFERROR(__xludf.DUMMYFUNCTION("""COMPUTED_VALUE"""),2.892512555E9)</f>
        <v>2892512555</v>
      </c>
      <c r="H10549" s="3">
        <f>IFERROR(__xludf.DUMMYFUNCTION("""COMPUTED_VALUE"""),9.052695273E9)</f>
        <v>9052695273</v>
      </c>
    </row>
    <row r="10550">
      <c r="A10550" s="2">
        <f>IFERROR(__xludf.DUMMYFUNCTION("""COMPUTED_VALUE"""),51439.0)</f>
        <v>51439</v>
      </c>
      <c r="B10550" s="3" t="str">
        <f>IFERROR(__xludf.DUMMYFUNCTION("""COMPUTED_VALUE"""),"44 MORROW RD")</f>
        <v>44 MORROW RD</v>
      </c>
      <c r="C10550" s="3" t="str">
        <f>IFERROR(__xludf.DUMMYFUNCTION("""COMPUTED_VALUE"""),"HASTINGS ")</f>
        <v>HASTINGS </v>
      </c>
      <c r="D10550" s="3" t="str">
        <f>IFERROR(__xludf.DUMMYFUNCTION("""COMPUTED_VALUE"""),"K0L 1Y0")</f>
        <v>K0L 1Y0</v>
      </c>
      <c r="E10550" s="3"/>
      <c r="F10550" s="3"/>
      <c r="G10550" s="3"/>
      <c r="H10550" s="3"/>
    </row>
    <row r="10551">
      <c r="A10551" s="2">
        <f>IFERROR(__xludf.DUMMYFUNCTION("""COMPUTED_VALUE"""),51440.0)</f>
        <v>51440</v>
      </c>
      <c r="B10551" s="3" t="str">
        <f>IFERROR(__xludf.DUMMYFUNCTION("""COMPUTED_VALUE"""),"57 MORROW RD")</f>
        <v>57 MORROW RD</v>
      </c>
      <c r="C10551" s="3" t="str">
        <f>IFERROR(__xludf.DUMMYFUNCTION("""COMPUTED_VALUE"""),"HASTINGS ")</f>
        <v>HASTINGS </v>
      </c>
      <c r="D10551" s="3" t="str">
        <f>IFERROR(__xludf.DUMMYFUNCTION("""COMPUTED_VALUE"""),"K0L 1Y0")</f>
        <v>K0L 1Y0</v>
      </c>
      <c r="E10551" s="3"/>
      <c r="F10551" s="3"/>
      <c r="G10551" s="3"/>
      <c r="H10551" s="3"/>
    </row>
    <row r="10552">
      <c r="A10552" s="2">
        <f>IFERROR(__xludf.DUMMYFUNCTION("""COMPUTED_VALUE"""),51441.0)</f>
        <v>51441</v>
      </c>
      <c r="B10552" s="3" t="str">
        <f>IFERROR(__xludf.DUMMYFUNCTION("""COMPUTED_VALUE"""),"60 MORROW RD")</f>
        <v>60 MORROW RD</v>
      </c>
      <c r="C10552" s="3" t="str">
        <f>IFERROR(__xludf.DUMMYFUNCTION("""COMPUTED_VALUE"""),"HASTINGS ")</f>
        <v>HASTINGS </v>
      </c>
      <c r="D10552" s="3" t="str">
        <f>IFERROR(__xludf.DUMMYFUNCTION("""COMPUTED_VALUE"""),"K0L 1Y0")</f>
        <v>K0L 1Y0</v>
      </c>
      <c r="E10552" s="3" t="str">
        <f>IFERROR(__xludf.DUMMYFUNCTION("""COMPUTED_VALUE"""),"CANDICE TALBOT")</f>
        <v>CANDICE TALBOT</v>
      </c>
      <c r="F10552" s="3" t="str">
        <f>IFERROR(__xludf.DUMMYFUNCTION("""COMPUTED_VALUE"""),"forestgrave@gmail.com")</f>
        <v>forestgrave@gmail.com</v>
      </c>
      <c r="G10552" s="3"/>
      <c r="H10552" s="3"/>
    </row>
    <row r="10553">
      <c r="A10553" s="2">
        <f>IFERROR(__xludf.DUMMYFUNCTION("""COMPUTED_VALUE"""),51442.0)</f>
        <v>51442</v>
      </c>
      <c r="B10553" s="3" t="str">
        <f>IFERROR(__xludf.DUMMYFUNCTION("""COMPUTED_VALUE"""),"72 MORROW RD")</f>
        <v>72 MORROW RD</v>
      </c>
      <c r="C10553" s="3" t="str">
        <f>IFERROR(__xludf.DUMMYFUNCTION("""COMPUTED_VALUE"""),"HASTINGS ")</f>
        <v>HASTINGS </v>
      </c>
      <c r="D10553" s="3" t="str">
        <f>IFERROR(__xludf.DUMMYFUNCTION("""COMPUTED_VALUE"""),"K0L 1Y0")</f>
        <v>K0L 1Y0</v>
      </c>
      <c r="E10553" s="3"/>
      <c r="F10553" s="3"/>
      <c r="G10553" s="3"/>
      <c r="H10553" s="3"/>
    </row>
    <row r="10554">
      <c r="A10554" s="2">
        <f>IFERROR(__xludf.DUMMYFUNCTION("""COMPUTED_VALUE"""),51443.0)</f>
        <v>51443</v>
      </c>
      <c r="B10554" s="3" t="str">
        <f>IFERROR(__xludf.DUMMYFUNCTION("""COMPUTED_VALUE"""),"97 MORROW RD")</f>
        <v>97 MORROW RD</v>
      </c>
      <c r="C10554" s="3" t="str">
        <f>IFERROR(__xludf.DUMMYFUNCTION("""COMPUTED_VALUE"""),"HASTINGS ")</f>
        <v>HASTINGS </v>
      </c>
      <c r="D10554" s="3" t="str">
        <f>IFERROR(__xludf.DUMMYFUNCTION("""COMPUTED_VALUE"""),"K0L 1Y0")</f>
        <v>K0L 1Y0</v>
      </c>
      <c r="E10554" s="3" t="str">
        <f>IFERROR(__xludf.DUMMYFUNCTION("""COMPUTED_VALUE"""),"Sara Lobraico")</f>
        <v>Sara Lobraico</v>
      </c>
      <c r="F10554" s="3" t="str">
        <f>IFERROR(__xludf.DUMMYFUNCTION("""COMPUTED_VALUE"""),"saralobraico97@gmail.com")</f>
        <v>saralobraico97@gmail.com</v>
      </c>
      <c r="G10554" s="3">
        <f>IFERROR(__xludf.DUMMYFUNCTION("""COMPUTED_VALUE"""),6.47927638E9)</f>
        <v>6479276380</v>
      </c>
      <c r="H10554" s="3"/>
    </row>
    <row r="10555">
      <c r="A10555" s="2">
        <f>IFERROR(__xludf.DUMMYFUNCTION("""COMPUTED_VALUE"""),51444.0)</f>
        <v>51444</v>
      </c>
      <c r="B10555" s="3" t="str">
        <f>IFERROR(__xludf.DUMMYFUNCTION("""COMPUTED_VALUE"""),"110 MORROW RD")</f>
        <v>110 MORROW RD</v>
      </c>
      <c r="C10555" s="3" t="str">
        <f>IFERROR(__xludf.DUMMYFUNCTION("""COMPUTED_VALUE"""),"HASTINGS ")</f>
        <v>HASTINGS </v>
      </c>
      <c r="D10555" s="3" t="str">
        <f>IFERROR(__xludf.DUMMYFUNCTION("""COMPUTED_VALUE"""),"K0L 1Y0")</f>
        <v>K0L 1Y0</v>
      </c>
      <c r="E10555" s="3" t="str">
        <f>IFERROR(__xludf.DUMMYFUNCTION("""COMPUTED_VALUE"""),"Barry Cunningham")</f>
        <v>Barry Cunningham</v>
      </c>
      <c r="F10555" s="3" t="str">
        <f>IFERROR(__xludf.DUMMYFUNCTION("""COMPUTED_VALUE"""),"akharu2@gmail.com")</f>
        <v>akharu2@gmail.com</v>
      </c>
      <c r="G10555" s="3">
        <f>IFERROR(__xludf.DUMMYFUNCTION("""COMPUTED_VALUE"""),9.052079916E9)</f>
        <v>9052079916</v>
      </c>
      <c r="H10555" s="3"/>
    </row>
    <row r="10556">
      <c r="A10556" s="2">
        <f>IFERROR(__xludf.DUMMYFUNCTION("""COMPUTED_VALUE"""),51445.0)</f>
        <v>51445</v>
      </c>
      <c r="B10556" s="3" t="str">
        <f>IFERROR(__xludf.DUMMYFUNCTION("""COMPUTED_VALUE"""),"181 MORROW RD")</f>
        <v>181 MORROW RD</v>
      </c>
      <c r="C10556" s="3" t="str">
        <f>IFERROR(__xludf.DUMMYFUNCTION("""COMPUTED_VALUE"""),"HASTINGS ")</f>
        <v>HASTINGS </v>
      </c>
      <c r="D10556" s="3" t="str">
        <f>IFERROR(__xludf.DUMMYFUNCTION("""COMPUTED_VALUE"""),"K0L 1Y0")</f>
        <v>K0L 1Y0</v>
      </c>
      <c r="E10556" s="3"/>
      <c r="F10556" s="3"/>
      <c r="G10556" s="3"/>
      <c r="H10556" s="3"/>
    </row>
    <row r="10557">
      <c r="A10557" s="2">
        <f>IFERROR(__xludf.DUMMYFUNCTION("""COMPUTED_VALUE"""),51446.0)</f>
        <v>51446</v>
      </c>
      <c r="B10557" s="3" t="str">
        <f>IFERROR(__xludf.DUMMYFUNCTION("""COMPUTED_VALUE"""),"240 MORROW RD")</f>
        <v>240 MORROW RD</v>
      </c>
      <c r="C10557" s="3" t="str">
        <f>IFERROR(__xludf.DUMMYFUNCTION("""COMPUTED_VALUE"""),"HASTINGS ")</f>
        <v>HASTINGS </v>
      </c>
      <c r="D10557" s="3" t="str">
        <f>IFERROR(__xludf.DUMMYFUNCTION("""COMPUTED_VALUE"""),"K0L 1Y0")</f>
        <v>K0L 1Y0</v>
      </c>
      <c r="E10557" s="3"/>
      <c r="F10557" s="3"/>
      <c r="G10557" s="3"/>
      <c r="H10557" s="3"/>
    </row>
    <row r="10558">
      <c r="A10558" s="2">
        <f>IFERROR(__xludf.DUMMYFUNCTION("""COMPUTED_VALUE"""),51448.0)</f>
        <v>51448</v>
      </c>
      <c r="B10558" s="3" t="str">
        <f>IFERROR(__xludf.DUMMYFUNCTION("""COMPUTED_VALUE"""),"130 NOONAN RD")</f>
        <v>130 NOONAN RD</v>
      </c>
      <c r="C10558" s="3" t="str">
        <f>IFERROR(__xludf.DUMMYFUNCTION("""COMPUTED_VALUE"""),"WARKWORTH ")</f>
        <v>WARKWORTH </v>
      </c>
      <c r="D10558" s="3" t="str">
        <f>IFERROR(__xludf.DUMMYFUNCTION("""COMPUTED_VALUE"""),"K0K 3K0")</f>
        <v>K0K 3K0</v>
      </c>
      <c r="E10558" s="3"/>
      <c r="F10558" s="3"/>
      <c r="G10558" s="3"/>
      <c r="H10558" s="3"/>
    </row>
    <row r="10559">
      <c r="A10559" s="2">
        <f>IFERROR(__xludf.DUMMYFUNCTION("""COMPUTED_VALUE"""),51449.0)</f>
        <v>51449</v>
      </c>
      <c r="B10559" s="3" t="str">
        <f>IFERROR(__xludf.DUMMYFUNCTION("""COMPUTED_VALUE"""),"140 NOONAN RD")</f>
        <v>140 NOONAN RD</v>
      </c>
      <c r="C10559" s="3" t="str">
        <f>IFERROR(__xludf.DUMMYFUNCTION("""COMPUTED_VALUE"""),"WARKWORTH ")</f>
        <v>WARKWORTH </v>
      </c>
      <c r="D10559" s="3" t="str">
        <f>IFERROR(__xludf.DUMMYFUNCTION("""COMPUTED_VALUE"""),"K0K 3K0")</f>
        <v>K0K 3K0</v>
      </c>
      <c r="E10559" s="3"/>
      <c r="F10559" s="3"/>
      <c r="G10559" s="3"/>
      <c r="H10559" s="3"/>
    </row>
    <row r="10560">
      <c r="A10560" s="2">
        <f>IFERROR(__xludf.DUMMYFUNCTION("""COMPUTED_VALUE"""),51450.0)</f>
        <v>51450</v>
      </c>
      <c r="B10560" s="3" t="str">
        <f>IFERROR(__xludf.DUMMYFUNCTION("""COMPUTED_VALUE"""),"145 NOONAN RD")</f>
        <v>145 NOONAN RD</v>
      </c>
      <c r="C10560" s="3" t="str">
        <f>IFERROR(__xludf.DUMMYFUNCTION("""COMPUTED_VALUE"""),"WARKWORTH ")</f>
        <v>WARKWORTH </v>
      </c>
      <c r="D10560" s="3" t="str">
        <f>IFERROR(__xludf.DUMMYFUNCTION("""COMPUTED_VALUE"""),"K0K 3K0")</f>
        <v>K0K 3K0</v>
      </c>
      <c r="E10560" s="3"/>
      <c r="F10560" s="3"/>
      <c r="G10560" s="3"/>
      <c r="H10560" s="3"/>
    </row>
    <row r="10561">
      <c r="A10561" s="2">
        <f>IFERROR(__xludf.DUMMYFUNCTION("""COMPUTED_VALUE"""),51451.0)</f>
        <v>51451</v>
      </c>
      <c r="B10561" s="3" t="str">
        <f>IFERROR(__xludf.DUMMYFUNCTION("""COMPUTED_VALUE"""),"148 NOONAN RD")</f>
        <v>148 NOONAN RD</v>
      </c>
      <c r="C10561" s="3" t="str">
        <f>IFERROR(__xludf.DUMMYFUNCTION("""COMPUTED_VALUE"""),"WARKWORTH ")</f>
        <v>WARKWORTH </v>
      </c>
      <c r="D10561" s="3" t="str">
        <f>IFERROR(__xludf.DUMMYFUNCTION("""COMPUTED_VALUE"""),"K0K 3K0")</f>
        <v>K0K 3K0</v>
      </c>
      <c r="E10561" s="3"/>
      <c r="F10561" s="3"/>
      <c r="G10561" s="3"/>
      <c r="H10561" s="3"/>
    </row>
    <row r="10562">
      <c r="A10562" s="2">
        <f>IFERROR(__xludf.DUMMYFUNCTION("""COMPUTED_VALUE"""),51452.0)</f>
        <v>51452</v>
      </c>
      <c r="B10562" s="3" t="str">
        <f>IFERROR(__xludf.DUMMYFUNCTION("""COMPUTED_VALUE"""),"158 NOONAN RD")</f>
        <v>158 NOONAN RD</v>
      </c>
      <c r="C10562" s="3" t="str">
        <f>IFERROR(__xludf.DUMMYFUNCTION("""COMPUTED_VALUE"""),"WARKWORTH ")</f>
        <v>WARKWORTH </v>
      </c>
      <c r="D10562" s="3" t="str">
        <f>IFERROR(__xludf.DUMMYFUNCTION("""COMPUTED_VALUE"""),"K0K 3K0")</f>
        <v>K0K 3K0</v>
      </c>
      <c r="E10562" s="3"/>
      <c r="F10562" s="3"/>
      <c r="G10562" s="3"/>
      <c r="H10562" s="3"/>
    </row>
    <row r="10563">
      <c r="A10563" s="2">
        <f>IFERROR(__xludf.DUMMYFUNCTION("""COMPUTED_VALUE"""),51453.0)</f>
        <v>51453</v>
      </c>
      <c r="B10563" s="3" t="str">
        <f>IFERROR(__xludf.DUMMYFUNCTION("""COMPUTED_VALUE"""),"175 NOONAN RD")</f>
        <v>175 NOONAN RD</v>
      </c>
      <c r="C10563" s="3" t="str">
        <f>IFERROR(__xludf.DUMMYFUNCTION("""COMPUTED_VALUE"""),"WARKWORTH ")</f>
        <v>WARKWORTH </v>
      </c>
      <c r="D10563" s="3" t="str">
        <f>IFERROR(__xludf.DUMMYFUNCTION("""COMPUTED_VALUE"""),"K0K 3K0")</f>
        <v>K0K 3K0</v>
      </c>
      <c r="E10563" s="3"/>
      <c r="F10563" s="3"/>
      <c r="G10563" s="3"/>
      <c r="H10563" s="3"/>
    </row>
    <row r="10564">
      <c r="A10564" s="2">
        <f>IFERROR(__xludf.DUMMYFUNCTION("""COMPUTED_VALUE"""),51454.0)</f>
        <v>51454</v>
      </c>
      <c r="B10564" s="3" t="str">
        <f>IFERROR(__xludf.DUMMYFUNCTION("""COMPUTED_VALUE"""),"179 NOONAN RD")</f>
        <v>179 NOONAN RD</v>
      </c>
      <c r="C10564" s="3" t="str">
        <f>IFERROR(__xludf.DUMMYFUNCTION("""COMPUTED_VALUE"""),"WARKWORTH ")</f>
        <v>WARKWORTH </v>
      </c>
      <c r="D10564" s="3" t="str">
        <f>IFERROR(__xludf.DUMMYFUNCTION("""COMPUTED_VALUE"""),"K0K 3K0")</f>
        <v>K0K 3K0</v>
      </c>
      <c r="E10564" s="3" t="str">
        <f>IFERROR(__xludf.DUMMYFUNCTION("""COMPUTED_VALUE"""),"Jeff Woodman")</f>
        <v>Jeff Woodman</v>
      </c>
      <c r="F10564" s="3" t="str">
        <f>IFERROR(__xludf.DUMMYFUNCTION("""COMPUTED_VALUE"""),"rumblebee5.7@hotmail.com")</f>
        <v>rumblebee5.7@hotmail.com</v>
      </c>
      <c r="G10564" s="3">
        <f>IFERROR(__xludf.DUMMYFUNCTION("""COMPUTED_VALUE"""),9.05260406E9)</f>
        <v>9052604060</v>
      </c>
      <c r="H10564" s="3"/>
    </row>
    <row r="10565">
      <c r="A10565" s="2">
        <f>IFERROR(__xludf.DUMMYFUNCTION("""COMPUTED_VALUE"""),51455.0)</f>
        <v>51455</v>
      </c>
      <c r="B10565" s="3" t="str">
        <f>IFERROR(__xludf.DUMMYFUNCTION("""COMPUTED_VALUE"""),"296 NOONAN RD")</f>
        <v>296 NOONAN RD</v>
      </c>
      <c r="C10565" s="3" t="str">
        <f>IFERROR(__xludf.DUMMYFUNCTION("""COMPUTED_VALUE"""),"WARKWORTH ")</f>
        <v>WARKWORTH </v>
      </c>
      <c r="D10565" s="3" t="str">
        <f>IFERROR(__xludf.DUMMYFUNCTION("""COMPUTED_VALUE"""),"K0K 3K0")</f>
        <v>K0K 3K0</v>
      </c>
      <c r="E10565" s="3"/>
      <c r="F10565" s="3"/>
      <c r="G10565" s="3"/>
      <c r="H10565" s="3"/>
    </row>
    <row r="10566">
      <c r="A10566" s="2">
        <f>IFERROR(__xludf.DUMMYFUNCTION("""COMPUTED_VALUE"""),51456.0)</f>
        <v>51456</v>
      </c>
      <c r="B10566" s="3" t="str">
        <f>IFERROR(__xludf.DUMMYFUNCTION("""COMPUTED_VALUE"""),"323 NOONAN RD")</f>
        <v>323 NOONAN RD</v>
      </c>
      <c r="C10566" s="3" t="str">
        <f>IFERROR(__xludf.DUMMYFUNCTION("""COMPUTED_VALUE"""),"WARKWORTH ")</f>
        <v>WARKWORTH </v>
      </c>
      <c r="D10566" s="3" t="str">
        <f>IFERROR(__xludf.DUMMYFUNCTION("""COMPUTED_VALUE"""),"K0K 3K0")</f>
        <v>K0K 3K0</v>
      </c>
      <c r="E10566" s="3" t="str">
        <f>IFERROR(__xludf.DUMMYFUNCTION("""COMPUTED_VALUE"""),"Jim Harvey")</f>
        <v>Jim Harvey</v>
      </c>
      <c r="F10566" s="3" t="str">
        <f>IFERROR(__xludf.DUMMYFUNCTION("""COMPUTED_VALUE"""),"fjharvey@bell.net")</f>
        <v>fjharvey@bell.net</v>
      </c>
      <c r="G10566" s="3"/>
      <c r="H10566" s="3"/>
    </row>
    <row r="10567">
      <c r="A10567" s="2">
        <f>IFERROR(__xludf.DUMMYFUNCTION("""COMPUTED_VALUE"""),51457.0)</f>
        <v>51457</v>
      </c>
      <c r="B10567" s="3" t="str">
        <f>IFERROR(__xludf.DUMMYFUNCTION("""COMPUTED_VALUE"""),"461 NOONAN RD")</f>
        <v>461 NOONAN RD</v>
      </c>
      <c r="C10567" s="3" t="str">
        <f>IFERROR(__xludf.DUMMYFUNCTION("""COMPUTED_VALUE"""),"WARKWORTH ")</f>
        <v>WARKWORTH </v>
      </c>
      <c r="D10567" s="3" t="str">
        <f>IFERROR(__xludf.DUMMYFUNCTION("""COMPUTED_VALUE"""),"K0K 3K0")</f>
        <v>K0K 3K0</v>
      </c>
      <c r="E10567" s="3"/>
      <c r="F10567" s="3"/>
      <c r="G10567" s="3"/>
      <c r="H10567" s="3"/>
    </row>
    <row r="10568">
      <c r="A10568" s="2">
        <f>IFERROR(__xludf.DUMMYFUNCTION("""COMPUTED_VALUE"""),51458.0)</f>
        <v>51458</v>
      </c>
      <c r="B10568" s="3" t="str">
        <f>IFERROR(__xludf.DUMMYFUNCTION("""COMPUTED_VALUE"""),"464 NOONAN RD")</f>
        <v>464 NOONAN RD</v>
      </c>
      <c r="C10568" s="3" t="str">
        <f>IFERROR(__xludf.DUMMYFUNCTION("""COMPUTED_VALUE"""),"WARKWORTH ")</f>
        <v>WARKWORTH </v>
      </c>
      <c r="D10568" s="3" t="str">
        <f>IFERROR(__xludf.DUMMYFUNCTION("""COMPUTED_VALUE"""),"K0K 3K0")</f>
        <v>K0K 3K0</v>
      </c>
      <c r="E10568" s="3" t="str">
        <f>IFERROR(__xludf.DUMMYFUNCTION("""COMPUTED_VALUE"""),"GEN XIN YU")</f>
        <v>GEN XIN YU</v>
      </c>
      <c r="F10568" s="3" t="str">
        <f>IFERROR(__xludf.DUMMYFUNCTION("""COMPUTED_VALUE"""),"hello2015linfeng@gmail.com")</f>
        <v>hello2015linfeng@gmail.com</v>
      </c>
      <c r="G10568" s="3">
        <f>IFERROR(__xludf.DUMMYFUNCTION("""COMPUTED_VALUE"""),4.376699445E9)</f>
        <v>4376699445</v>
      </c>
      <c r="H10568" s="3"/>
    </row>
    <row r="10569">
      <c r="A10569" s="2">
        <f>IFERROR(__xludf.DUMMYFUNCTION("""COMPUTED_VALUE"""),51459.0)</f>
        <v>51459</v>
      </c>
      <c r="B10569" s="3" t="str">
        <f>IFERROR(__xludf.DUMMYFUNCTION("""COMPUTED_VALUE"""),"491 NOONAN RD")</f>
        <v>491 NOONAN RD</v>
      </c>
      <c r="C10569" s="3" t="str">
        <f>IFERROR(__xludf.DUMMYFUNCTION("""COMPUTED_VALUE"""),"WARKWORTH ")</f>
        <v>WARKWORTH </v>
      </c>
      <c r="D10569" s="3" t="str">
        <f>IFERROR(__xludf.DUMMYFUNCTION("""COMPUTED_VALUE"""),"K0K 3K0")</f>
        <v>K0K 3K0</v>
      </c>
      <c r="E10569" s="3" t="str">
        <f>IFERROR(__xludf.DUMMYFUNCTION("""COMPUTED_VALUE"""),"Ian Kelsey")</f>
        <v>Ian Kelsey</v>
      </c>
      <c r="F10569" s="3" t="str">
        <f>IFERROR(__xludf.DUMMYFUNCTION("""COMPUTED_VALUE"""),"ikelsey@hotmail.com")</f>
        <v>ikelsey@hotmail.com</v>
      </c>
      <c r="G10569" s="3">
        <f>IFERROR(__xludf.DUMMYFUNCTION("""COMPUTED_VALUE"""),9.059264127E9)</f>
        <v>9059264127</v>
      </c>
      <c r="H10569" s="3">
        <f>IFERROR(__xludf.DUMMYFUNCTION("""COMPUTED_VALUE"""),9.052696084E9)</f>
        <v>9052696084</v>
      </c>
    </row>
    <row r="10570">
      <c r="A10570" s="2">
        <f>IFERROR(__xludf.DUMMYFUNCTION("""COMPUTED_VALUE"""),51460.0)</f>
        <v>51460</v>
      </c>
      <c r="B10570" s="3" t="str">
        <f>IFERROR(__xludf.DUMMYFUNCTION("""COMPUTED_VALUE"""),"512 NOONAN RD")</f>
        <v>512 NOONAN RD</v>
      </c>
      <c r="C10570" s="3" t="str">
        <f>IFERROR(__xludf.DUMMYFUNCTION("""COMPUTED_VALUE"""),"WARKWORTH ")</f>
        <v>WARKWORTH </v>
      </c>
      <c r="D10570" s="3" t="str">
        <f>IFERROR(__xludf.DUMMYFUNCTION("""COMPUTED_VALUE"""),"K0K 3K0")</f>
        <v>K0K 3K0</v>
      </c>
      <c r="E10570" s="3"/>
      <c r="F10570" s="3"/>
      <c r="G10570" s="3"/>
      <c r="H10570" s="3"/>
    </row>
    <row r="10571">
      <c r="A10571" s="2">
        <f>IFERROR(__xludf.DUMMYFUNCTION("""COMPUTED_VALUE"""),51461.0)</f>
        <v>51461</v>
      </c>
      <c r="B10571" s="3" t="str">
        <f>IFERROR(__xludf.DUMMYFUNCTION("""COMPUTED_VALUE"""),"524 NOONAN RD")</f>
        <v>524 NOONAN RD</v>
      </c>
      <c r="C10571" s="3" t="str">
        <f>IFERROR(__xludf.DUMMYFUNCTION("""COMPUTED_VALUE"""),"WARKWORTH ")</f>
        <v>WARKWORTH </v>
      </c>
      <c r="D10571" s="3" t="str">
        <f>IFERROR(__xludf.DUMMYFUNCTION("""COMPUTED_VALUE"""),"K0K 3K0")</f>
        <v>K0K 3K0</v>
      </c>
      <c r="E10571" s="3" t="str">
        <f>IFERROR(__xludf.DUMMYFUNCTION("""COMPUTED_VALUE"""),"JASON RITCHIE")</f>
        <v>JASON RITCHIE</v>
      </c>
      <c r="F10571" s="3" t="str">
        <f>IFERROR(__xludf.DUMMYFUNCTION("""COMPUTED_VALUE"""),"jsritchie65@gmail.com")</f>
        <v>jsritchie65@gmail.com</v>
      </c>
      <c r="G10571" s="3"/>
      <c r="H10571" s="3"/>
    </row>
    <row r="10572">
      <c r="A10572" s="2">
        <f>IFERROR(__xludf.DUMMYFUNCTION("""COMPUTED_VALUE"""),51462.0)</f>
        <v>51462</v>
      </c>
      <c r="B10572" s="3" t="str">
        <f>IFERROR(__xludf.DUMMYFUNCTION("""COMPUTED_VALUE"""),"557 NOONAN RD")</f>
        <v>557 NOONAN RD</v>
      </c>
      <c r="C10572" s="3" t="str">
        <f>IFERROR(__xludf.DUMMYFUNCTION("""COMPUTED_VALUE"""),"WARKWORTH ")</f>
        <v>WARKWORTH </v>
      </c>
      <c r="D10572" s="3" t="str">
        <f>IFERROR(__xludf.DUMMYFUNCTION("""COMPUTED_VALUE"""),"K0K 3K0")</f>
        <v>K0K 3K0</v>
      </c>
      <c r="E10572" s="3"/>
      <c r="F10572" s="3"/>
      <c r="G10572" s="3"/>
      <c r="H10572" s="3"/>
    </row>
    <row r="10573">
      <c r="A10573" s="2">
        <f>IFERROR(__xludf.DUMMYFUNCTION("""COMPUTED_VALUE"""),51463.0)</f>
        <v>51463</v>
      </c>
      <c r="B10573" s="3" t="str">
        <f>IFERROR(__xludf.DUMMYFUNCTION("""COMPUTED_VALUE"""),"622 NOONAN RD")</f>
        <v>622 NOONAN RD</v>
      </c>
      <c r="C10573" s="3" t="str">
        <f>IFERROR(__xludf.DUMMYFUNCTION("""COMPUTED_VALUE"""),"WARKWORTH ")</f>
        <v>WARKWORTH </v>
      </c>
      <c r="D10573" s="3" t="str">
        <f>IFERROR(__xludf.DUMMYFUNCTION("""COMPUTED_VALUE"""),"K0K 3K0")</f>
        <v>K0K 3K0</v>
      </c>
      <c r="E10573" s="3"/>
      <c r="F10573" s="3"/>
      <c r="G10573" s="3"/>
      <c r="H10573" s="3"/>
    </row>
    <row r="10574">
      <c r="A10574" s="2">
        <f>IFERROR(__xludf.DUMMYFUNCTION("""COMPUTED_VALUE"""),51464.0)</f>
        <v>51464</v>
      </c>
      <c r="B10574" s="3" t="str">
        <f>IFERROR(__xludf.DUMMYFUNCTION("""COMPUTED_VALUE"""),"645 NOONAN RD")</f>
        <v>645 NOONAN RD</v>
      </c>
      <c r="C10574" s="3" t="str">
        <f>IFERROR(__xludf.DUMMYFUNCTION("""COMPUTED_VALUE"""),"WARKWORTH ")</f>
        <v>WARKWORTH </v>
      </c>
      <c r="D10574" s="3" t="str">
        <f>IFERROR(__xludf.DUMMYFUNCTION("""COMPUTED_VALUE"""),"K0K 3K0")</f>
        <v>K0K 3K0</v>
      </c>
      <c r="E10574" s="3" t="str">
        <f>IFERROR(__xludf.DUMMYFUNCTION("""COMPUTED_VALUE"""),"Jeanne Jessier / Paul Jessier")</f>
        <v>Jeanne Jessier / Paul Jessier</v>
      </c>
      <c r="F10574" s="3" t="str">
        <f>IFERROR(__xludf.DUMMYFUNCTION("""COMPUTED_VALUE"""),"jax10145@xplorenet.ca")</f>
        <v>jax10145@xplorenet.ca</v>
      </c>
      <c r="G10574" s="3">
        <f>IFERROR(__xludf.DUMMYFUNCTION("""COMPUTED_VALUE"""),7.059249651E9)</f>
        <v>7059249651</v>
      </c>
      <c r="H10574" s="3"/>
    </row>
    <row r="10575">
      <c r="A10575" s="2">
        <f>IFERROR(__xludf.DUMMYFUNCTION("""COMPUTED_VALUE"""),51465.0)</f>
        <v>51465</v>
      </c>
      <c r="B10575" s="3" t="str">
        <f>IFERROR(__xludf.DUMMYFUNCTION("""COMPUTED_VALUE"""),"694 NOONAN RD")</f>
        <v>694 NOONAN RD</v>
      </c>
      <c r="C10575" s="3" t="str">
        <f>IFERROR(__xludf.DUMMYFUNCTION("""COMPUTED_VALUE"""),"WARKWORTH ")</f>
        <v>WARKWORTH </v>
      </c>
      <c r="D10575" s="3" t="str">
        <f>IFERROR(__xludf.DUMMYFUNCTION("""COMPUTED_VALUE"""),"K0K 3K0")</f>
        <v>K0K 3K0</v>
      </c>
      <c r="E10575" s="3" t="str">
        <f>IFERROR(__xludf.DUMMYFUNCTION("""COMPUTED_VALUE"""),"Jason Ritchie")</f>
        <v>Jason Ritchie</v>
      </c>
      <c r="F10575" s="3" t="str">
        <f>IFERROR(__xludf.DUMMYFUNCTION("""COMPUTED_VALUE"""),"jsritchie65@gmail.com")</f>
        <v>jsritchie65@gmail.com</v>
      </c>
      <c r="G10575" s="3">
        <f>IFERROR(__xludf.DUMMYFUNCTION("""COMPUTED_VALUE"""),2.897712175E9)</f>
        <v>2897712175</v>
      </c>
      <c r="H10575" s="3"/>
    </row>
    <row r="10576">
      <c r="A10576" s="2">
        <f>IFERROR(__xludf.DUMMYFUNCTION("""COMPUTED_VALUE"""),51468.0)</f>
        <v>51468</v>
      </c>
      <c r="B10576" s="3" t="str">
        <f>IFERROR(__xludf.DUMMYFUNCTION("""COMPUTED_VALUE"""),"155 PACKER RD")</f>
        <v>155 PACKER RD</v>
      </c>
      <c r="C10576" s="3" t="str">
        <f>IFERROR(__xludf.DUMMYFUNCTION("""COMPUTED_VALUE"""),"ROSENEATH ")</f>
        <v>ROSENEATH </v>
      </c>
      <c r="D10576" s="3" t="str">
        <f>IFERROR(__xludf.DUMMYFUNCTION("""COMPUTED_VALUE"""),"K0K 2X0")</f>
        <v>K0K 2X0</v>
      </c>
      <c r="E10576" s="3" t="str">
        <f>IFERROR(__xludf.DUMMYFUNCTION("""COMPUTED_VALUE"""),"Sandor Park")</f>
        <v>Sandor Park</v>
      </c>
      <c r="F10576" s="3" t="str">
        <f>IFERROR(__xludf.DUMMYFUNCTION("""COMPUTED_VALUE"""),"spark60@startmail.com")</f>
        <v>spark60@startmail.com</v>
      </c>
      <c r="G10576" s="3">
        <f>IFERROR(__xludf.DUMMYFUNCTION("""COMPUTED_VALUE"""),4.163883893E9)</f>
        <v>4163883893</v>
      </c>
      <c r="H10576" s="3">
        <f>IFERROR(__xludf.DUMMYFUNCTION("""COMPUTED_VALUE"""),2.892511418E9)</f>
        <v>2892511418</v>
      </c>
    </row>
    <row r="10577">
      <c r="A10577" s="2">
        <f>IFERROR(__xludf.DUMMYFUNCTION("""COMPUTED_VALUE"""),51469.0)</f>
        <v>51469</v>
      </c>
      <c r="B10577" s="3" t="str">
        <f>IFERROR(__xludf.DUMMYFUNCTION("""COMPUTED_VALUE"""),"167 PACKER RD")</f>
        <v>167 PACKER RD</v>
      </c>
      <c r="C10577" s="3" t="str">
        <f>IFERROR(__xludf.DUMMYFUNCTION("""COMPUTED_VALUE"""),"ROSENEATH ")</f>
        <v>ROSENEATH </v>
      </c>
      <c r="D10577" s="3" t="str">
        <f>IFERROR(__xludf.DUMMYFUNCTION("""COMPUTED_VALUE"""),"K0K 2X0")</f>
        <v>K0K 2X0</v>
      </c>
      <c r="E10577" s="3"/>
      <c r="F10577" s="3"/>
      <c r="G10577" s="3"/>
      <c r="H10577" s="3"/>
    </row>
    <row r="10578">
      <c r="A10578" s="2">
        <f>IFERROR(__xludf.DUMMYFUNCTION("""COMPUTED_VALUE"""),51470.0)</f>
        <v>51470</v>
      </c>
      <c r="B10578" s="3" t="str">
        <f>IFERROR(__xludf.DUMMYFUNCTION("""COMPUTED_VALUE"""),"177 PACKER RD")</f>
        <v>177 PACKER RD</v>
      </c>
      <c r="C10578" s="3" t="str">
        <f>IFERROR(__xludf.DUMMYFUNCTION("""COMPUTED_VALUE"""),"ROSENEATH ")</f>
        <v>ROSENEATH </v>
      </c>
      <c r="D10578" s="3" t="str">
        <f>IFERROR(__xludf.DUMMYFUNCTION("""COMPUTED_VALUE"""),"K0K 2X0")</f>
        <v>K0K 2X0</v>
      </c>
      <c r="E10578" s="3"/>
      <c r="F10578" s="3"/>
      <c r="G10578" s="3"/>
      <c r="H10578" s="3"/>
    </row>
    <row r="10579">
      <c r="A10579" s="2">
        <f>IFERROR(__xludf.DUMMYFUNCTION("""COMPUTED_VALUE"""),51471.0)</f>
        <v>51471</v>
      </c>
      <c r="B10579" s="3" t="str">
        <f>IFERROR(__xludf.DUMMYFUNCTION("""COMPUTED_VALUE"""),"189 PACKER RD")</f>
        <v>189 PACKER RD</v>
      </c>
      <c r="C10579" s="3" t="str">
        <f>IFERROR(__xludf.DUMMYFUNCTION("""COMPUTED_VALUE"""),"ROSENEATH ")</f>
        <v>ROSENEATH </v>
      </c>
      <c r="D10579" s="3" t="str">
        <f>IFERROR(__xludf.DUMMYFUNCTION("""COMPUTED_VALUE"""),"K0K 2X0")</f>
        <v>K0K 2X0</v>
      </c>
      <c r="E10579" s="3"/>
      <c r="F10579" s="3"/>
      <c r="G10579" s="3"/>
      <c r="H10579" s="3"/>
    </row>
    <row r="10580">
      <c r="A10580" s="2">
        <f>IFERROR(__xludf.DUMMYFUNCTION("""COMPUTED_VALUE"""),51472.0)</f>
        <v>51472</v>
      </c>
      <c r="B10580" s="3" t="str">
        <f>IFERROR(__xludf.DUMMYFUNCTION("""COMPUTED_VALUE"""),"207 PACKER RD")</f>
        <v>207 PACKER RD</v>
      </c>
      <c r="C10580" s="3" t="str">
        <f>IFERROR(__xludf.DUMMYFUNCTION("""COMPUTED_VALUE"""),"ROSENEATH ")</f>
        <v>ROSENEATH </v>
      </c>
      <c r="D10580" s="3" t="str">
        <f>IFERROR(__xludf.DUMMYFUNCTION("""COMPUTED_VALUE"""),"K0K 2X0")</f>
        <v>K0K 2X0</v>
      </c>
      <c r="E10580" s="3"/>
      <c r="F10580" s="3"/>
      <c r="G10580" s="3"/>
      <c r="H10580" s="3"/>
    </row>
    <row r="10581">
      <c r="A10581" s="2">
        <f>IFERROR(__xludf.DUMMYFUNCTION("""COMPUTED_VALUE"""),51473.0)</f>
        <v>51473</v>
      </c>
      <c r="B10581" s="3" t="str">
        <f>IFERROR(__xludf.DUMMYFUNCTION("""COMPUTED_VALUE"""),"209 PACKER RD")</f>
        <v>209 PACKER RD</v>
      </c>
      <c r="C10581" s="3" t="str">
        <f>IFERROR(__xludf.DUMMYFUNCTION("""COMPUTED_VALUE"""),"ROSENEATH ")</f>
        <v>ROSENEATH </v>
      </c>
      <c r="D10581" s="3" t="str">
        <f>IFERROR(__xludf.DUMMYFUNCTION("""COMPUTED_VALUE"""),"K0K 2X0")</f>
        <v>K0K 2X0</v>
      </c>
      <c r="E10581" s="3"/>
      <c r="F10581" s="3"/>
      <c r="G10581" s="3"/>
      <c r="H10581" s="3"/>
    </row>
    <row r="10582">
      <c r="A10582" s="2">
        <f>IFERROR(__xludf.DUMMYFUNCTION("""COMPUTED_VALUE"""),51474.0)</f>
        <v>51474</v>
      </c>
      <c r="B10582" s="3" t="str">
        <f>IFERROR(__xludf.DUMMYFUNCTION("""COMPUTED_VALUE"""),"229 PACKER RD")</f>
        <v>229 PACKER RD</v>
      </c>
      <c r="C10582" s="3" t="str">
        <f>IFERROR(__xludf.DUMMYFUNCTION("""COMPUTED_VALUE"""),"ROSENEATH ")</f>
        <v>ROSENEATH </v>
      </c>
      <c r="D10582" s="3" t="str">
        <f>IFERROR(__xludf.DUMMYFUNCTION("""COMPUTED_VALUE"""),"K0K 2X0")</f>
        <v>K0K 2X0</v>
      </c>
      <c r="E10582" s="3"/>
      <c r="F10582" s="3"/>
      <c r="G10582" s="3"/>
      <c r="H10582" s="3"/>
    </row>
    <row r="10583">
      <c r="A10583" s="2">
        <f>IFERROR(__xludf.DUMMYFUNCTION("""COMPUTED_VALUE"""),51475.0)</f>
        <v>51475</v>
      </c>
      <c r="B10583" s="3" t="str">
        <f>IFERROR(__xludf.DUMMYFUNCTION("""COMPUTED_VALUE"""),"231 PACKER RD")</f>
        <v>231 PACKER RD</v>
      </c>
      <c r="C10583" s="3" t="str">
        <f>IFERROR(__xludf.DUMMYFUNCTION("""COMPUTED_VALUE"""),"ROSENEATH ")</f>
        <v>ROSENEATH </v>
      </c>
      <c r="D10583" s="3" t="str">
        <f>IFERROR(__xludf.DUMMYFUNCTION("""COMPUTED_VALUE"""),"K0K 2X0")</f>
        <v>K0K 2X0</v>
      </c>
      <c r="E10583" s="3"/>
      <c r="F10583" s="3"/>
      <c r="G10583" s="3"/>
      <c r="H10583" s="3"/>
    </row>
    <row r="10584">
      <c r="A10584" s="2">
        <f>IFERROR(__xludf.DUMMYFUNCTION("""COMPUTED_VALUE"""),51476.0)</f>
        <v>51476</v>
      </c>
      <c r="B10584" s="3" t="str">
        <f>IFERROR(__xludf.DUMMYFUNCTION("""COMPUTED_VALUE"""),"251 PACKER RD")</f>
        <v>251 PACKER RD</v>
      </c>
      <c r="C10584" s="3" t="str">
        <f>IFERROR(__xludf.DUMMYFUNCTION("""COMPUTED_VALUE"""),"ROSENEATH ")</f>
        <v>ROSENEATH </v>
      </c>
      <c r="D10584" s="3" t="str">
        <f>IFERROR(__xludf.DUMMYFUNCTION("""COMPUTED_VALUE"""),"K0K 2X0")</f>
        <v>K0K 2X0</v>
      </c>
      <c r="E10584" s="3"/>
      <c r="F10584" s="3"/>
      <c r="G10584" s="3"/>
      <c r="H10584" s="3"/>
    </row>
    <row r="10585">
      <c r="A10585" s="2">
        <f>IFERROR(__xludf.DUMMYFUNCTION("""COMPUTED_VALUE"""),51477.0)</f>
        <v>51477</v>
      </c>
      <c r="B10585" s="3" t="str">
        <f>IFERROR(__xludf.DUMMYFUNCTION("""COMPUTED_VALUE"""),"265 PACKER RD")</f>
        <v>265 PACKER RD</v>
      </c>
      <c r="C10585" s="3" t="str">
        <f>IFERROR(__xludf.DUMMYFUNCTION("""COMPUTED_VALUE"""),"ROSENEATH ")</f>
        <v>ROSENEATH </v>
      </c>
      <c r="D10585" s="3" t="str">
        <f>IFERROR(__xludf.DUMMYFUNCTION("""COMPUTED_VALUE"""),"K0K 2X0")</f>
        <v>K0K 2X0</v>
      </c>
      <c r="E10585" s="3" t="str">
        <f>IFERROR(__xludf.DUMMYFUNCTION("""COMPUTED_VALUE"""),"Will Findlay")</f>
        <v>Will Findlay</v>
      </c>
      <c r="F10585" s="3" t="str">
        <f>IFERROR(__xludf.DUMMYFUNCTION("""COMPUTED_VALUE"""),"findlay2323@gmail.com")</f>
        <v>findlay2323@gmail.com</v>
      </c>
      <c r="G10585" s="3">
        <f>IFERROR(__xludf.DUMMYFUNCTION("""COMPUTED_VALUE"""),2.897712391E9)</f>
        <v>2897712391</v>
      </c>
      <c r="H10585" s="3"/>
    </row>
    <row r="10586">
      <c r="A10586" s="2">
        <f>IFERROR(__xludf.DUMMYFUNCTION("""COMPUTED_VALUE"""),51478.0)</f>
        <v>51478</v>
      </c>
      <c r="B10586" s="3" t="str">
        <f>IFERROR(__xludf.DUMMYFUNCTION("""COMPUTED_VALUE"""),"275 PACKER RD")</f>
        <v>275 PACKER RD</v>
      </c>
      <c r="C10586" s="3" t="str">
        <f>IFERROR(__xludf.DUMMYFUNCTION("""COMPUTED_VALUE"""),"ROSENEATH ")</f>
        <v>ROSENEATH </v>
      </c>
      <c r="D10586" s="3" t="str">
        <f>IFERROR(__xludf.DUMMYFUNCTION("""COMPUTED_VALUE"""),"K0K 2X0")</f>
        <v>K0K 2X0</v>
      </c>
      <c r="E10586" s="3"/>
      <c r="F10586" s="3"/>
      <c r="G10586" s="3"/>
      <c r="H10586" s="3"/>
    </row>
    <row r="10587">
      <c r="A10587" s="2">
        <f>IFERROR(__xludf.DUMMYFUNCTION("""COMPUTED_VALUE"""),51479.0)</f>
        <v>51479</v>
      </c>
      <c r="B10587" s="3" t="str">
        <f>IFERROR(__xludf.DUMMYFUNCTION("""COMPUTED_VALUE"""),"283 PACKER RD")</f>
        <v>283 PACKER RD</v>
      </c>
      <c r="C10587" s="3" t="str">
        <f>IFERROR(__xludf.DUMMYFUNCTION("""COMPUTED_VALUE"""),"ROSENEATH ")</f>
        <v>ROSENEATH </v>
      </c>
      <c r="D10587" s="3" t="str">
        <f>IFERROR(__xludf.DUMMYFUNCTION("""COMPUTED_VALUE"""),"K0K 2X0")</f>
        <v>K0K 2X0</v>
      </c>
      <c r="E10587" s="3"/>
      <c r="F10587" s="3"/>
      <c r="G10587" s="3"/>
      <c r="H10587" s="3"/>
    </row>
    <row r="10588">
      <c r="A10588" s="2">
        <f>IFERROR(__xludf.DUMMYFUNCTION("""COMPUTED_VALUE"""),51480.0)</f>
        <v>51480</v>
      </c>
      <c r="B10588" s="3" t="str">
        <f>IFERROR(__xludf.DUMMYFUNCTION("""COMPUTED_VALUE"""),"293 PACKER RD")</f>
        <v>293 PACKER RD</v>
      </c>
      <c r="C10588" s="3" t="str">
        <f>IFERROR(__xludf.DUMMYFUNCTION("""COMPUTED_VALUE"""),"ROSENEATH ")</f>
        <v>ROSENEATH </v>
      </c>
      <c r="D10588" s="3" t="str">
        <f>IFERROR(__xludf.DUMMYFUNCTION("""COMPUTED_VALUE"""),"K0K 2X0")</f>
        <v>K0K 2X0</v>
      </c>
      <c r="E10588" s="3"/>
      <c r="F10588" s="3"/>
      <c r="G10588" s="3"/>
      <c r="H10588" s="3"/>
    </row>
    <row r="10589">
      <c r="A10589" s="2">
        <f>IFERROR(__xludf.DUMMYFUNCTION("""COMPUTED_VALUE"""),51481.0)</f>
        <v>51481</v>
      </c>
      <c r="B10589" s="3" t="str">
        <f>IFERROR(__xludf.DUMMYFUNCTION("""COMPUTED_VALUE"""),"299 PACKER RD")</f>
        <v>299 PACKER RD</v>
      </c>
      <c r="C10589" s="3" t="str">
        <f>IFERROR(__xludf.DUMMYFUNCTION("""COMPUTED_VALUE"""),"ROSENEATH ")</f>
        <v>ROSENEATH </v>
      </c>
      <c r="D10589" s="3" t="str">
        <f>IFERROR(__xludf.DUMMYFUNCTION("""COMPUTED_VALUE"""),"K0K 2X0")</f>
        <v>K0K 2X0</v>
      </c>
      <c r="E10589" s="3" t="str">
        <f>IFERROR(__xludf.DUMMYFUNCTION("""COMPUTED_VALUE"""),"David MacCourt")</f>
        <v>David MacCourt</v>
      </c>
      <c r="F10589" s="3" t="str">
        <f>IFERROR(__xludf.DUMMYFUNCTION("""COMPUTED_VALUE"""),"davemaccourt@gmail.com")</f>
        <v>davemaccourt@gmail.com</v>
      </c>
      <c r="G10589" s="3">
        <f>IFERROR(__xludf.DUMMYFUNCTION("""COMPUTED_VALUE"""),9.053522524E9)</f>
        <v>9053522524</v>
      </c>
      <c r="H10589" s="3"/>
    </row>
    <row r="10590">
      <c r="A10590" s="2">
        <f>IFERROR(__xludf.DUMMYFUNCTION("""COMPUTED_VALUE"""),51482.0)</f>
        <v>51482</v>
      </c>
      <c r="B10590" s="3" t="str">
        <f>IFERROR(__xludf.DUMMYFUNCTION("""COMPUTED_VALUE"""),"311 PACKER RD")</f>
        <v>311 PACKER RD</v>
      </c>
      <c r="C10590" s="3" t="str">
        <f>IFERROR(__xludf.DUMMYFUNCTION("""COMPUTED_VALUE"""),"ROSENEATH ")</f>
        <v>ROSENEATH </v>
      </c>
      <c r="D10590" s="3" t="str">
        <f>IFERROR(__xludf.DUMMYFUNCTION("""COMPUTED_VALUE"""),"K0K 2X0")</f>
        <v>K0K 2X0</v>
      </c>
      <c r="E10590" s="3" t="str">
        <f>IFERROR(__xludf.DUMMYFUNCTION("""COMPUTED_VALUE"""),"Guy Sinclair")</f>
        <v>Guy Sinclair</v>
      </c>
      <c r="F10590" s="3" t="str">
        <f>IFERROR(__xludf.DUMMYFUNCTION("""COMPUTED_VALUE"""),"guy.sinclair@gmail.com")</f>
        <v>guy.sinclair@gmail.com</v>
      </c>
      <c r="G10590" s="3">
        <f>IFERROR(__xludf.DUMMYFUNCTION("""COMPUTED_VALUE"""),9.054337165E9)</f>
        <v>9054337165</v>
      </c>
      <c r="H10590" s="3"/>
    </row>
    <row r="10591">
      <c r="A10591" s="2">
        <f>IFERROR(__xludf.DUMMYFUNCTION("""COMPUTED_VALUE"""),51483.0)</f>
        <v>51483</v>
      </c>
      <c r="B10591" s="3" t="str">
        <f>IFERROR(__xludf.DUMMYFUNCTION("""COMPUTED_VALUE"""),"527 PACKER RD")</f>
        <v>527 PACKER RD</v>
      </c>
      <c r="C10591" s="3" t="str">
        <f>IFERROR(__xludf.DUMMYFUNCTION("""COMPUTED_VALUE"""),"ROSENEATH ")</f>
        <v>ROSENEATH </v>
      </c>
      <c r="D10591" s="3" t="str">
        <f>IFERROR(__xludf.DUMMYFUNCTION("""COMPUTED_VALUE"""),"K0K 2X0")</f>
        <v>K0K 2X0</v>
      </c>
      <c r="E10591" s="3" t="str">
        <f>IFERROR(__xludf.DUMMYFUNCTION("""COMPUTED_VALUE"""),"Randy Reinert")</f>
        <v>Randy Reinert</v>
      </c>
      <c r="F10591" s="3" t="str">
        <f>IFERROR(__xludf.DUMMYFUNCTION("""COMPUTED_VALUE"""),"randy61@eastlink.ca")</f>
        <v>randy61@eastlink.ca</v>
      </c>
      <c r="G10591" s="3">
        <f>IFERROR(__xludf.DUMMYFUNCTION("""COMPUTED_VALUE"""),2.89354907E9)</f>
        <v>2893549070</v>
      </c>
      <c r="H10591" s="3">
        <f>IFERROR(__xludf.DUMMYFUNCTION("""COMPUTED_VALUE"""),7.053242575E9)</f>
        <v>7053242575</v>
      </c>
    </row>
    <row r="10592">
      <c r="A10592" s="2">
        <f>IFERROR(__xludf.DUMMYFUNCTION("""COMPUTED_VALUE"""),51484.0)</f>
        <v>51484</v>
      </c>
      <c r="B10592" s="3" t="str">
        <f>IFERROR(__xludf.DUMMYFUNCTION("""COMPUTED_VALUE"""),"589 PACKER RD")</f>
        <v>589 PACKER RD</v>
      </c>
      <c r="C10592" s="3" t="str">
        <f>IFERROR(__xludf.DUMMYFUNCTION("""COMPUTED_VALUE"""),"ROSENEATH ")</f>
        <v>ROSENEATH </v>
      </c>
      <c r="D10592" s="3" t="str">
        <f>IFERROR(__xludf.DUMMYFUNCTION("""COMPUTED_VALUE"""),"K0K 2X0")</f>
        <v>K0K 2X0</v>
      </c>
      <c r="E10592" s="3"/>
      <c r="F10592" s="3"/>
      <c r="G10592" s="3"/>
      <c r="H10592" s="3"/>
    </row>
    <row r="10593">
      <c r="A10593" s="2">
        <f>IFERROR(__xludf.DUMMYFUNCTION("""COMPUTED_VALUE"""),51485.0)</f>
        <v>51485</v>
      </c>
      <c r="B10593" s="3" t="str">
        <f>IFERROR(__xludf.DUMMYFUNCTION("""COMPUTED_VALUE"""),"604 PACKER RD")</f>
        <v>604 PACKER RD</v>
      </c>
      <c r="C10593" s="3" t="str">
        <f>IFERROR(__xludf.DUMMYFUNCTION("""COMPUTED_VALUE"""),"ROSENEATH ")</f>
        <v>ROSENEATH </v>
      </c>
      <c r="D10593" s="3" t="str">
        <f>IFERROR(__xludf.DUMMYFUNCTION("""COMPUTED_VALUE"""),"K0K 2X0")</f>
        <v>K0K 2X0</v>
      </c>
      <c r="E10593" s="3" t="str">
        <f>IFERROR(__xludf.DUMMYFUNCTION("""COMPUTED_VALUE"""),"Oliver Pauk")</f>
        <v>Oliver Pauk</v>
      </c>
      <c r="F10593" s="3" t="str">
        <f>IFERROR(__xludf.DUMMYFUNCTION("""COMPUTED_VALUE"""),"oliver.pauk@gmail.com")</f>
        <v>oliver.pauk@gmail.com</v>
      </c>
      <c r="G10593" s="3">
        <f>IFERROR(__xludf.DUMMYFUNCTION("""COMPUTED_VALUE"""),4.168262053E9)</f>
        <v>4168262053</v>
      </c>
      <c r="H10593" s="3"/>
    </row>
    <row r="10594">
      <c r="A10594" s="2">
        <f>IFERROR(__xludf.DUMMYFUNCTION("""COMPUTED_VALUE"""),51486.0)</f>
        <v>51486</v>
      </c>
      <c r="B10594" s="3" t="str">
        <f>IFERROR(__xludf.DUMMYFUNCTION("""COMPUTED_VALUE"""),"670 PACKER RD")</f>
        <v>670 PACKER RD</v>
      </c>
      <c r="C10594" s="3" t="str">
        <f>IFERROR(__xludf.DUMMYFUNCTION("""COMPUTED_VALUE"""),"ROSENEATH ")</f>
        <v>ROSENEATH </v>
      </c>
      <c r="D10594" s="3" t="str">
        <f>IFERROR(__xludf.DUMMYFUNCTION("""COMPUTED_VALUE"""),"K0K 2X0")</f>
        <v>K0K 2X0</v>
      </c>
      <c r="E10594" s="3"/>
      <c r="F10594" s="3"/>
      <c r="G10594" s="3"/>
      <c r="H10594" s="3"/>
    </row>
    <row r="10595">
      <c r="A10595" s="2">
        <f>IFERROR(__xludf.DUMMYFUNCTION("""COMPUTED_VALUE"""),51487.0)</f>
        <v>51487</v>
      </c>
      <c r="B10595" s="3" t="str">
        <f>IFERROR(__xludf.DUMMYFUNCTION("""COMPUTED_VALUE"""),"671 PACKER RD")</f>
        <v>671 PACKER RD</v>
      </c>
      <c r="C10595" s="3" t="str">
        <f>IFERROR(__xludf.DUMMYFUNCTION("""COMPUTED_VALUE"""),"ROSENEATH ")</f>
        <v>ROSENEATH </v>
      </c>
      <c r="D10595" s="3" t="str">
        <f>IFERROR(__xludf.DUMMYFUNCTION("""COMPUTED_VALUE"""),"K0K 2X0")</f>
        <v>K0K 2X0</v>
      </c>
      <c r="E10595" s="3"/>
      <c r="F10595" s="3"/>
      <c r="G10595" s="3"/>
      <c r="H10595" s="3"/>
    </row>
    <row r="10596">
      <c r="A10596" s="2">
        <f>IFERROR(__xludf.DUMMYFUNCTION("""COMPUTED_VALUE"""),51488.0)</f>
        <v>51488</v>
      </c>
      <c r="B10596" s="3" t="str">
        <f>IFERROR(__xludf.DUMMYFUNCTION("""COMPUTED_VALUE"""),"783 PACKER RD")</f>
        <v>783 PACKER RD</v>
      </c>
      <c r="C10596" s="3" t="str">
        <f>IFERROR(__xludf.DUMMYFUNCTION("""COMPUTED_VALUE"""),"ROSENEATH ")</f>
        <v>ROSENEATH </v>
      </c>
      <c r="D10596" s="3" t="str">
        <f>IFERROR(__xludf.DUMMYFUNCTION("""COMPUTED_VALUE"""),"K0K 2X0")</f>
        <v>K0K 2X0</v>
      </c>
      <c r="E10596" s="3"/>
      <c r="F10596" s="3"/>
      <c r="G10596" s="3"/>
      <c r="H10596" s="3"/>
    </row>
    <row r="10597">
      <c r="A10597" s="2">
        <f>IFERROR(__xludf.DUMMYFUNCTION("""COMPUTED_VALUE"""),51489.0)</f>
        <v>51489</v>
      </c>
      <c r="B10597" s="3" t="str">
        <f>IFERROR(__xludf.DUMMYFUNCTION("""COMPUTED_VALUE"""),"784 PACKER RD")</f>
        <v>784 PACKER RD</v>
      </c>
      <c r="C10597" s="3" t="str">
        <f>IFERROR(__xludf.DUMMYFUNCTION("""COMPUTED_VALUE"""),"ROSENEATH ")</f>
        <v>ROSENEATH </v>
      </c>
      <c r="D10597" s="3" t="str">
        <f>IFERROR(__xludf.DUMMYFUNCTION("""COMPUTED_VALUE"""),"K0K 2X0")</f>
        <v>K0K 2X0</v>
      </c>
      <c r="E10597" s="3"/>
      <c r="F10597" s="3"/>
      <c r="G10597" s="3"/>
      <c r="H10597" s="3"/>
    </row>
    <row r="10598">
      <c r="A10598" s="2">
        <f>IFERROR(__xludf.DUMMYFUNCTION("""COMPUTED_VALUE"""),51490.0)</f>
        <v>51490</v>
      </c>
      <c r="B10598" s="3" t="str">
        <f>IFERROR(__xludf.DUMMYFUNCTION("""COMPUTED_VALUE"""),"4 PARKER DR")</f>
        <v>4 PARKER DR</v>
      </c>
      <c r="C10598" s="3" t="str">
        <f>IFERROR(__xludf.DUMMYFUNCTION("""COMPUTED_VALUE"""),"ROSENEATH ")</f>
        <v>ROSENEATH </v>
      </c>
      <c r="D10598" s="3" t="str">
        <f>IFERROR(__xludf.DUMMYFUNCTION("""COMPUTED_VALUE"""),"K0K 2X0")</f>
        <v>K0K 2X0</v>
      </c>
      <c r="E10598" s="3"/>
      <c r="F10598" s="3"/>
      <c r="G10598" s="3"/>
      <c r="H10598" s="3"/>
    </row>
    <row r="10599">
      <c r="A10599" s="2">
        <f>IFERROR(__xludf.DUMMYFUNCTION("""COMPUTED_VALUE"""),51491.0)</f>
        <v>51491</v>
      </c>
      <c r="B10599" s="3" t="str">
        <f>IFERROR(__xludf.DUMMYFUNCTION("""COMPUTED_VALUE"""),"6 PARKER DR")</f>
        <v>6 PARKER DR</v>
      </c>
      <c r="C10599" s="3" t="str">
        <f>IFERROR(__xludf.DUMMYFUNCTION("""COMPUTED_VALUE"""),"ROSENEATH ")</f>
        <v>ROSENEATH </v>
      </c>
      <c r="D10599" s="3" t="str">
        <f>IFERROR(__xludf.DUMMYFUNCTION("""COMPUTED_VALUE"""),"K0K 2X0")</f>
        <v>K0K 2X0</v>
      </c>
      <c r="E10599" s="3" t="str">
        <f>IFERROR(__xludf.DUMMYFUNCTION("""COMPUTED_VALUE"""),"craig juby ")</f>
        <v>craig juby </v>
      </c>
      <c r="F10599" s="3" t="str">
        <f>IFERROR(__xludf.DUMMYFUNCTION("""COMPUTED_VALUE"""),"cajuby@gmail.com")</f>
        <v>cajuby@gmail.com</v>
      </c>
      <c r="G10599" s="3">
        <f>IFERROR(__xludf.DUMMYFUNCTION("""COMPUTED_VALUE"""),4.162541865E9)</f>
        <v>4162541865</v>
      </c>
      <c r="H10599" s="3"/>
    </row>
    <row r="10600">
      <c r="A10600" s="2">
        <f>IFERROR(__xludf.DUMMYFUNCTION("""COMPUTED_VALUE"""),51492.0)</f>
        <v>51492</v>
      </c>
      <c r="B10600" s="3" t="str">
        <f>IFERROR(__xludf.DUMMYFUNCTION("""COMPUTED_VALUE"""),"8 PARKER DR")</f>
        <v>8 PARKER DR</v>
      </c>
      <c r="C10600" s="3" t="str">
        <f>IFERROR(__xludf.DUMMYFUNCTION("""COMPUTED_VALUE"""),"ROSENEATH ")</f>
        <v>ROSENEATH </v>
      </c>
      <c r="D10600" s="3" t="str">
        <f>IFERROR(__xludf.DUMMYFUNCTION("""COMPUTED_VALUE"""),"K0K 2X0")</f>
        <v>K0K 2X0</v>
      </c>
      <c r="E10600" s="3" t="str">
        <f>IFERROR(__xludf.DUMMYFUNCTION("""COMPUTED_VALUE"""),"Mathew  Di IORIO")</f>
        <v>Mathew  Di IORIO</v>
      </c>
      <c r="F10600" s="3" t="str">
        <f>IFERROR(__xludf.DUMMYFUNCTION("""COMPUTED_VALUE"""),"mygfcp@gmail.com")</f>
        <v>mygfcp@gmail.com</v>
      </c>
      <c r="G10600" s="3"/>
      <c r="H10600" s="3"/>
    </row>
    <row r="10601">
      <c r="A10601" s="2">
        <f>IFERROR(__xludf.DUMMYFUNCTION("""COMPUTED_VALUE"""),51493.0)</f>
        <v>51493</v>
      </c>
      <c r="B10601" s="3" t="str">
        <f>IFERROR(__xludf.DUMMYFUNCTION("""COMPUTED_VALUE"""),"12 PARKER DR")</f>
        <v>12 PARKER DR</v>
      </c>
      <c r="C10601" s="3" t="str">
        <f>IFERROR(__xludf.DUMMYFUNCTION("""COMPUTED_VALUE"""),"ROSENEATH ")</f>
        <v>ROSENEATH </v>
      </c>
      <c r="D10601" s="3" t="str">
        <f>IFERROR(__xludf.DUMMYFUNCTION("""COMPUTED_VALUE"""),"K0K 2X0")</f>
        <v>K0K 2X0</v>
      </c>
      <c r="E10601" s="3" t="str">
        <f>IFERROR(__xludf.DUMMYFUNCTION("""COMPUTED_VALUE"""),"darlene butler ")</f>
        <v>darlene butler </v>
      </c>
      <c r="F10601" s="3" t="str">
        <f>IFERROR(__xludf.DUMMYFUNCTION("""COMPUTED_VALUE"""),"darleneandscott@rogers.com")</f>
        <v>darleneandscott@rogers.com</v>
      </c>
      <c r="G10601" s="3">
        <f>IFERROR(__xludf.DUMMYFUNCTION("""COMPUTED_VALUE"""),9.0525991E9)</f>
        <v>9052599100</v>
      </c>
      <c r="H10601" s="3"/>
    </row>
    <row r="10602">
      <c r="A10602" s="2">
        <f>IFERROR(__xludf.DUMMYFUNCTION("""COMPUTED_VALUE"""),51494.0)</f>
        <v>51494</v>
      </c>
      <c r="B10602" s="3" t="str">
        <f>IFERROR(__xludf.DUMMYFUNCTION("""COMPUTED_VALUE"""),"14 PARKER RD")</f>
        <v>14 PARKER RD</v>
      </c>
      <c r="C10602" s="3" t="str">
        <f>IFERROR(__xludf.DUMMYFUNCTION("""COMPUTED_VALUE"""),"ROSENEATH ")</f>
        <v>ROSENEATH </v>
      </c>
      <c r="D10602" s="3" t="str">
        <f>IFERROR(__xludf.DUMMYFUNCTION("""COMPUTED_VALUE"""),"K0K 2X0")</f>
        <v>K0K 2X0</v>
      </c>
      <c r="E10602" s="3"/>
      <c r="F10602" s="3"/>
      <c r="G10602" s="3"/>
      <c r="H10602" s="3"/>
    </row>
    <row r="10603">
      <c r="A10603" s="2">
        <f>IFERROR(__xludf.DUMMYFUNCTION("""COMPUTED_VALUE"""),51495.0)</f>
        <v>51495</v>
      </c>
      <c r="B10603" s="3" t="str">
        <f>IFERROR(__xludf.DUMMYFUNCTION("""COMPUTED_VALUE"""),"18 PARKER DR")</f>
        <v>18 PARKER DR</v>
      </c>
      <c r="C10603" s="3" t="str">
        <f>IFERROR(__xludf.DUMMYFUNCTION("""COMPUTED_VALUE"""),"ROSENEATH ")</f>
        <v>ROSENEATH </v>
      </c>
      <c r="D10603" s="3" t="str">
        <f>IFERROR(__xludf.DUMMYFUNCTION("""COMPUTED_VALUE"""),"K0K 2X0")</f>
        <v>K0K 2X0</v>
      </c>
      <c r="E10603" s="3"/>
      <c r="F10603" s="3"/>
      <c r="G10603" s="3"/>
      <c r="H10603" s="3"/>
    </row>
    <row r="10604">
      <c r="A10604" s="2">
        <f>IFERROR(__xludf.DUMMYFUNCTION("""COMPUTED_VALUE"""),51496.0)</f>
        <v>51496</v>
      </c>
      <c r="B10604" s="3" t="str">
        <f>IFERROR(__xludf.DUMMYFUNCTION("""COMPUTED_VALUE"""),"20 PARKER DR")</f>
        <v>20 PARKER DR</v>
      </c>
      <c r="C10604" s="3" t="str">
        <f>IFERROR(__xludf.DUMMYFUNCTION("""COMPUTED_VALUE"""),"ROSENEATH ")</f>
        <v>ROSENEATH </v>
      </c>
      <c r="D10604" s="3" t="str">
        <f>IFERROR(__xludf.DUMMYFUNCTION("""COMPUTED_VALUE"""),"K0K 2X0")</f>
        <v>K0K 2X0</v>
      </c>
      <c r="E10604" s="3" t="str">
        <f>IFERROR(__xludf.DUMMYFUNCTION("""COMPUTED_VALUE"""),"adrien gorgey")</f>
        <v>adrien gorgey</v>
      </c>
      <c r="F10604" s="3"/>
      <c r="G10604" s="3">
        <f>IFERROR(__xludf.DUMMYFUNCTION("""COMPUTED_VALUE"""),2.899238786E9)</f>
        <v>2899238786</v>
      </c>
      <c r="H10604" s="3"/>
    </row>
    <row r="10605">
      <c r="A10605" s="2">
        <f>IFERROR(__xludf.DUMMYFUNCTION("""COMPUTED_VALUE"""),51497.0)</f>
        <v>51497</v>
      </c>
      <c r="B10605" s="3" t="str">
        <f>IFERROR(__xludf.DUMMYFUNCTION("""COMPUTED_VALUE"""),"22 PARKER DR")</f>
        <v>22 PARKER DR</v>
      </c>
      <c r="C10605" s="3" t="str">
        <f>IFERROR(__xludf.DUMMYFUNCTION("""COMPUTED_VALUE"""),"ROSENEATH ")</f>
        <v>ROSENEATH </v>
      </c>
      <c r="D10605" s="3" t="str">
        <f>IFERROR(__xludf.DUMMYFUNCTION("""COMPUTED_VALUE"""),"K0K 2X0")</f>
        <v>K0K 2X0</v>
      </c>
      <c r="E10605" s="3" t="str">
        <f>IFERROR(__xludf.DUMMYFUNCTION("""COMPUTED_VALUE"""),"ross anderson")</f>
        <v>ross anderson</v>
      </c>
      <c r="F10605" s="3"/>
      <c r="G10605" s="3">
        <f>IFERROR(__xludf.DUMMYFUNCTION("""COMPUTED_VALUE"""),4.167121019E9)</f>
        <v>4167121019</v>
      </c>
      <c r="H10605" s="3"/>
    </row>
    <row r="10606">
      <c r="A10606" s="2">
        <f>IFERROR(__xludf.DUMMYFUNCTION("""COMPUTED_VALUE"""),51498.0)</f>
        <v>51498</v>
      </c>
      <c r="B10606" s="3" t="str">
        <f>IFERROR(__xludf.DUMMYFUNCTION("""COMPUTED_VALUE"""),"24 PARKER DR")</f>
        <v>24 PARKER DR</v>
      </c>
      <c r="C10606" s="3" t="str">
        <f>IFERROR(__xludf.DUMMYFUNCTION("""COMPUTED_VALUE"""),"ROSENEATH ")</f>
        <v>ROSENEATH </v>
      </c>
      <c r="D10606" s="3" t="str">
        <f>IFERROR(__xludf.DUMMYFUNCTION("""COMPUTED_VALUE"""),"K0K 2X0")</f>
        <v>K0K 2X0</v>
      </c>
      <c r="E10606" s="3" t="str">
        <f>IFERROR(__xludf.DUMMYFUNCTION("""COMPUTED_VALUE"""),"brian saramaki ")</f>
        <v>brian saramaki </v>
      </c>
      <c r="F10606" s="3"/>
      <c r="G10606" s="3">
        <f>IFERROR(__xludf.DUMMYFUNCTION("""COMPUTED_VALUE"""),9.057189494E9)</f>
        <v>9057189494</v>
      </c>
      <c r="H10606" s="3"/>
    </row>
    <row r="10607">
      <c r="A10607" s="2">
        <f>IFERROR(__xludf.DUMMYFUNCTION("""COMPUTED_VALUE"""),51499.0)</f>
        <v>51499</v>
      </c>
      <c r="B10607" s="3" t="str">
        <f>IFERROR(__xludf.DUMMYFUNCTION("""COMPUTED_VALUE"""),"26 PARKER DR")</f>
        <v>26 PARKER DR</v>
      </c>
      <c r="C10607" s="3" t="str">
        <f>IFERROR(__xludf.DUMMYFUNCTION("""COMPUTED_VALUE"""),"ROSENEATH ")</f>
        <v>ROSENEATH </v>
      </c>
      <c r="D10607" s="3" t="str">
        <f>IFERROR(__xludf.DUMMYFUNCTION("""COMPUTED_VALUE"""),"K0K 2X0")</f>
        <v>K0K 2X0</v>
      </c>
      <c r="E10607" s="3"/>
      <c r="F10607" s="3"/>
      <c r="G10607" s="3"/>
      <c r="H10607" s="3"/>
    </row>
    <row r="10608">
      <c r="A10608" s="2">
        <f>IFERROR(__xludf.DUMMYFUNCTION("""COMPUTED_VALUE"""),51500.0)</f>
        <v>51500</v>
      </c>
      <c r="B10608" s="3" t="str">
        <f>IFERROR(__xludf.DUMMYFUNCTION("""COMPUTED_VALUE"""),"28 PARKER DR")</f>
        <v>28 PARKER DR</v>
      </c>
      <c r="C10608" s="3" t="str">
        <f>IFERROR(__xludf.DUMMYFUNCTION("""COMPUTED_VALUE"""),"ROSENEATH ")</f>
        <v>ROSENEATH </v>
      </c>
      <c r="D10608" s="3" t="str">
        <f>IFERROR(__xludf.DUMMYFUNCTION("""COMPUTED_VALUE"""),"K0K 2X0")</f>
        <v>K0K 2X0</v>
      </c>
      <c r="E10608" s="3"/>
      <c r="F10608" s="3"/>
      <c r="G10608" s="3"/>
      <c r="H10608" s="3"/>
    </row>
    <row r="10609">
      <c r="A10609" s="2">
        <f>IFERROR(__xludf.DUMMYFUNCTION("""COMPUTED_VALUE"""),51501.0)</f>
        <v>51501</v>
      </c>
      <c r="B10609" s="3" t="str">
        <f>IFERROR(__xludf.DUMMYFUNCTION("""COMPUTED_VALUE"""),"30 PARKER DR")</f>
        <v>30 PARKER DR</v>
      </c>
      <c r="C10609" s="3" t="str">
        <f>IFERROR(__xludf.DUMMYFUNCTION("""COMPUTED_VALUE"""),"ROSENEATH ")</f>
        <v>ROSENEATH </v>
      </c>
      <c r="D10609" s="3" t="str">
        <f>IFERROR(__xludf.DUMMYFUNCTION("""COMPUTED_VALUE"""),"K0K 2X0")</f>
        <v>K0K 2X0</v>
      </c>
      <c r="E10609" s="3" t="str">
        <f>IFERROR(__xludf.DUMMYFUNCTION("""COMPUTED_VALUE"""),"dean brakie ")</f>
        <v>dean brakie </v>
      </c>
      <c r="F10609" s="3" t="str">
        <f>IFERROR(__xludf.DUMMYFUNCTION("""COMPUTED_VALUE"""),"deanbrakiesemail@gmaill.com")</f>
        <v>deanbrakiesemail@gmaill.com</v>
      </c>
      <c r="G10609" s="3">
        <f>IFERROR(__xludf.DUMMYFUNCTION("""COMPUTED_VALUE"""),9.054474843E9)</f>
        <v>9054474843</v>
      </c>
      <c r="H10609" s="3"/>
    </row>
    <row r="10610">
      <c r="A10610" s="2">
        <f>IFERROR(__xludf.DUMMYFUNCTION("""COMPUTED_VALUE"""),51502.0)</f>
        <v>51502</v>
      </c>
      <c r="B10610" s="3" t="str">
        <f>IFERROR(__xludf.DUMMYFUNCTION("""COMPUTED_VALUE"""),"32 PARKER DR")</f>
        <v>32 PARKER DR</v>
      </c>
      <c r="C10610" s="3" t="str">
        <f>IFERROR(__xludf.DUMMYFUNCTION("""COMPUTED_VALUE"""),"ROSENEATH ")</f>
        <v>ROSENEATH </v>
      </c>
      <c r="D10610" s="3" t="str">
        <f>IFERROR(__xludf.DUMMYFUNCTION("""COMPUTED_VALUE"""),"K0K 2X0")</f>
        <v>K0K 2X0</v>
      </c>
      <c r="E10610" s="3" t="str">
        <f>IFERROR(__xludf.DUMMYFUNCTION("""COMPUTED_VALUE"""),"tom dillon")</f>
        <v>tom dillon</v>
      </c>
      <c r="F10610" s="3"/>
      <c r="G10610" s="3">
        <f>IFERROR(__xludf.DUMMYFUNCTION("""COMPUTED_VALUE"""),6.474063455E9)</f>
        <v>6474063455</v>
      </c>
      <c r="H10610" s="3"/>
    </row>
    <row r="10611">
      <c r="A10611" s="2">
        <f>IFERROR(__xludf.DUMMYFUNCTION("""COMPUTED_VALUE"""),51503.0)</f>
        <v>51503</v>
      </c>
      <c r="B10611" s="3" t="str">
        <f>IFERROR(__xludf.DUMMYFUNCTION("""COMPUTED_VALUE"""),"34 PARKER DR")</f>
        <v>34 PARKER DR</v>
      </c>
      <c r="C10611" s="3" t="str">
        <f>IFERROR(__xludf.DUMMYFUNCTION("""COMPUTED_VALUE"""),"ROSENEATH ")</f>
        <v>ROSENEATH </v>
      </c>
      <c r="D10611" s="3" t="str">
        <f>IFERROR(__xludf.DUMMYFUNCTION("""COMPUTED_VALUE"""),"K0K 2X0")</f>
        <v>K0K 2X0</v>
      </c>
      <c r="E10611" s="3" t="str">
        <f>IFERROR(__xludf.DUMMYFUNCTION("""COMPUTED_VALUE"""),"dav chav")</f>
        <v>dav chav</v>
      </c>
      <c r="F10611" s="3" t="str">
        <f>IFERROR(__xludf.DUMMYFUNCTION("""COMPUTED_VALUE"""),"maichav@yahoo.com")</f>
        <v>maichav@yahoo.com</v>
      </c>
      <c r="G10611" s="3">
        <f>IFERROR(__xludf.DUMMYFUNCTION("""COMPUTED_VALUE"""),4.168047814E9)</f>
        <v>4168047814</v>
      </c>
      <c r="H10611" s="3"/>
    </row>
    <row r="10612">
      <c r="A10612" s="2">
        <f>IFERROR(__xludf.DUMMYFUNCTION("""COMPUTED_VALUE"""),51504.0)</f>
        <v>51504</v>
      </c>
      <c r="B10612" s="3" t="str">
        <f>IFERROR(__xludf.DUMMYFUNCTION("""COMPUTED_VALUE"""),"36 PARKER DR")</f>
        <v>36 PARKER DR</v>
      </c>
      <c r="C10612" s="3" t="str">
        <f>IFERROR(__xludf.DUMMYFUNCTION("""COMPUTED_VALUE"""),"ROSENEATH ")</f>
        <v>ROSENEATH </v>
      </c>
      <c r="D10612" s="3" t="str">
        <f>IFERROR(__xludf.DUMMYFUNCTION("""COMPUTED_VALUE"""),"K0K 2X0")</f>
        <v>K0K 2X0</v>
      </c>
      <c r="E10612" s="3" t="str">
        <f>IFERROR(__xludf.DUMMYFUNCTION("""COMPUTED_VALUE"""),"Steven Boyle")</f>
        <v>Steven Boyle</v>
      </c>
      <c r="F10612" s="3" t="str">
        <f>IFERROR(__xludf.DUMMYFUNCTION("""COMPUTED_VALUE"""),"steveboyle@hotmail.com")</f>
        <v>steveboyle@hotmail.com</v>
      </c>
      <c r="G10612" s="3">
        <f>IFERROR(__xludf.DUMMYFUNCTION("""COMPUTED_VALUE"""),6.473321969E9)</f>
        <v>6473321969</v>
      </c>
      <c r="H10612" s="3"/>
    </row>
    <row r="10613">
      <c r="A10613" s="2">
        <f>IFERROR(__xludf.DUMMYFUNCTION("""COMPUTED_VALUE"""),51505.0)</f>
        <v>51505</v>
      </c>
      <c r="B10613" s="3" t="str">
        <f>IFERROR(__xludf.DUMMYFUNCTION("""COMPUTED_VALUE"""),"38 PARKER DR")</f>
        <v>38 PARKER DR</v>
      </c>
      <c r="C10613" s="3" t="str">
        <f>IFERROR(__xludf.DUMMYFUNCTION("""COMPUTED_VALUE"""),"ROSENEATH ")</f>
        <v>ROSENEATH </v>
      </c>
      <c r="D10613" s="3" t="str">
        <f>IFERROR(__xludf.DUMMYFUNCTION("""COMPUTED_VALUE"""),"K0K 2X0")</f>
        <v>K0K 2X0</v>
      </c>
      <c r="E10613" s="3"/>
      <c r="F10613" s="3"/>
      <c r="G10613" s="3"/>
      <c r="H10613" s="3"/>
    </row>
    <row r="10614">
      <c r="A10614" s="2">
        <f>IFERROR(__xludf.DUMMYFUNCTION("""COMPUTED_VALUE"""),51506.0)</f>
        <v>51506</v>
      </c>
      <c r="B10614" s="3" t="str">
        <f>IFERROR(__xludf.DUMMYFUNCTION("""COMPUTED_VALUE"""),"40 PARKER DR")</f>
        <v>40 PARKER DR</v>
      </c>
      <c r="C10614" s="3" t="str">
        <f>IFERROR(__xludf.DUMMYFUNCTION("""COMPUTED_VALUE"""),"ROSENEATH ")</f>
        <v>ROSENEATH </v>
      </c>
      <c r="D10614" s="3" t="str">
        <f>IFERROR(__xludf.DUMMYFUNCTION("""COMPUTED_VALUE"""),"K0K 2X0")</f>
        <v>K0K 2X0</v>
      </c>
      <c r="E10614" s="3"/>
      <c r="F10614" s="3"/>
      <c r="G10614" s="3"/>
      <c r="H10614" s="3"/>
    </row>
    <row r="10615">
      <c r="A10615" s="2">
        <f>IFERROR(__xludf.DUMMYFUNCTION("""COMPUTED_VALUE"""),51507.0)</f>
        <v>51507</v>
      </c>
      <c r="B10615" s="3" t="str">
        <f>IFERROR(__xludf.DUMMYFUNCTION("""COMPUTED_VALUE"""),"42 PARKER DR")</f>
        <v>42 PARKER DR</v>
      </c>
      <c r="C10615" s="3" t="str">
        <f>IFERROR(__xludf.DUMMYFUNCTION("""COMPUTED_VALUE"""),"ROSENEATH ")</f>
        <v>ROSENEATH </v>
      </c>
      <c r="D10615" s="3" t="str">
        <f>IFERROR(__xludf.DUMMYFUNCTION("""COMPUTED_VALUE"""),"K0K 2X0")</f>
        <v>K0K 2X0</v>
      </c>
      <c r="E10615" s="3" t="str">
        <f>IFERROR(__xludf.DUMMYFUNCTION("""COMPUTED_VALUE"""),"tom jarvis ")</f>
        <v>tom jarvis </v>
      </c>
      <c r="F10615" s="3" t="str">
        <f>IFERROR(__xludf.DUMMYFUNCTION("""COMPUTED_VALUE"""),"jartom272@gmail.com")</f>
        <v>jartom272@gmail.com</v>
      </c>
      <c r="G10615" s="3">
        <f>IFERROR(__xludf.DUMMYFUNCTION("""COMPUTED_VALUE"""),9.053753922E9)</f>
        <v>9053753922</v>
      </c>
      <c r="H10615" s="3">
        <f>IFERROR(__xludf.DUMMYFUNCTION("""COMPUTED_VALUE"""),9.053762622E9)</f>
        <v>9053762622</v>
      </c>
    </row>
    <row r="10616">
      <c r="A10616" s="2">
        <f>IFERROR(__xludf.DUMMYFUNCTION("""COMPUTED_VALUE"""),51508.0)</f>
        <v>51508</v>
      </c>
      <c r="B10616" s="3" t="str">
        <f>IFERROR(__xludf.DUMMYFUNCTION("""COMPUTED_VALUE"""),"44 PARKER DR")</f>
        <v>44 PARKER DR</v>
      </c>
      <c r="C10616" s="3" t="str">
        <f>IFERROR(__xludf.DUMMYFUNCTION("""COMPUTED_VALUE"""),"ROSENEATH ")</f>
        <v>ROSENEATH </v>
      </c>
      <c r="D10616" s="3" t="str">
        <f>IFERROR(__xludf.DUMMYFUNCTION("""COMPUTED_VALUE"""),"K0K 2X0")</f>
        <v>K0K 2X0</v>
      </c>
      <c r="E10616" s="3"/>
      <c r="F10616" s="3"/>
      <c r="G10616" s="3"/>
      <c r="H10616" s="3"/>
    </row>
    <row r="10617">
      <c r="A10617" s="2">
        <f>IFERROR(__xludf.DUMMYFUNCTION("""COMPUTED_VALUE"""),51509.0)</f>
        <v>51509</v>
      </c>
      <c r="B10617" s="3" t="str">
        <f>IFERROR(__xludf.DUMMYFUNCTION("""COMPUTED_VALUE"""),"46 PARKER DR")</f>
        <v>46 PARKER DR</v>
      </c>
      <c r="C10617" s="3" t="str">
        <f>IFERROR(__xludf.DUMMYFUNCTION("""COMPUTED_VALUE"""),"ROSENEATH ")</f>
        <v>ROSENEATH </v>
      </c>
      <c r="D10617" s="3" t="str">
        <f>IFERROR(__xludf.DUMMYFUNCTION("""COMPUTED_VALUE"""),"K0K 2X0")</f>
        <v>K0K 2X0</v>
      </c>
      <c r="E10617" s="3"/>
      <c r="F10617" s="3"/>
      <c r="G10617" s="3"/>
      <c r="H10617" s="3"/>
    </row>
    <row r="10618">
      <c r="A10618" s="2">
        <f>IFERROR(__xludf.DUMMYFUNCTION("""COMPUTED_VALUE"""),51510.0)</f>
        <v>51510</v>
      </c>
      <c r="B10618" s="3" t="str">
        <f>IFERROR(__xludf.DUMMYFUNCTION("""COMPUTED_VALUE"""),"48 PARKER DR")</f>
        <v>48 PARKER DR</v>
      </c>
      <c r="C10618" s="3" t="str">
        <f>IFERROR(__xludf.DUMMYFUNCTION("""COMPUTED_VALUE"""),"ROSENEATH ")</f>
        <v>ROSENEATH </v>
      </c>
      <c r="D10618" s="3" t="str">
        <f>IFERROR(__xludf.DUMMYFUNCTION("""COMPUTED_VALUE"""),"K0K 2X0")</f>
        <v>K0K 2X0</v>
      </c>
      <c r="E10618" s="3"/>
      <c r="F10618" s="3"/>
      <c r="G10618" s="3"/>
      <c r="H10618" s="3"/>
    </row>
    <row r="10619">
      <c r="A10619" s="2">
        <f>IFERROR(__xludf.DUMMYFUNCTION("""COMPUTED_VALUE"""),51511.0)</f>
        <v>51511</v>
      </c>
      <c r="B10619" s="3" t="str">
        <f>IFERROR(__xludf.DUMMYFUNCTION("""COMPUTED_VALUE"""),"50 PARKER DR")</f>
        <v>50 PARKER DR</v>
      </c>
      <c r="C10619" s="3" t="str">
        <f>IFERROR(__xludf.DUMMYFUNCTION("""COMPUTED_VALUE"""),"ROSENEATH ")</f>
        <v>ROSENEATH </v>
      </c>
      <c r="D10619" s="3" t="str">
        <f>IFERROR(__xludf.DUMMYFUNCTION("""COMPUTED_VALUE"""),"K0K 2X0")</f>
        <v>K0K 2X0</v>
      </c>
      <c r="E10619" s="3"/>
      <c r="F10619" s="3"/>
      <c r="G10619" s="3"/>
      <c r="H10619" s="3"/>
    </row>
    <row r="10620">
      <c r="A10620" s="2">
        <f>IFERROR(__xludf.DUMMYFUNCTION("""COMPUTED_VALUE"""),51512.0)</f>
        <v>51512</v>
      </c>
      <c r="B10620" s="3" t="str">
        <f>IFERROR(__xludf.DUMMYFUNCTION("""COMPUTED_VALUE"""),"51 PARKER DR")</f>
        <v>51 PARKER DR</v>
      </c>
      <c r="C10620" s="3" t="str">
        <f>IFERROR(__xludf.DUMMYFUNCTION("""COMPUTED_VALUE"""),"ROSENEATH ")</f>
        <v>ROSENEATH </v>
      </c>
      <c r="D10620" s="3" t="str">
        <f>IFERROR(__xludf.DUMMYFUNCTION("""COMPUTED_VALUE"""),"K0K 2X0")</f>
        <v>K0K 2X0</v>
      </c>
      <c r="E10620" s="3"/>
      <c r="F10620" s="3"/>
      <c r="G10620" s="3"/>
      <c r="H10620" s="3"/>
    </row>
    <row r="10621">
      <c r="A10621" s="2">
        <f>IFERROR(__xludf.DUMMYFUNCTION("""COMPUTED_VALUE"""),51513.0)</f>
        <v>51513</v>
      </c>
      <c r="B10621" s="3" t="str">
        <f>IFERROR(__xludf.DUMMYFUNCTION("""COMPUTED_VALUE"""),"52 PARKER DR")</f>
        <v>52 PARKER DR</v>
      </c>
      <c r="C10621" s="3" t="str">
        <f>IFERROR(__xludf.DUMMYFUNCTION("""COMPUTED_VALUE"""),"ROSENEATH ")</f>
        <v>ROSENEATH </v>
      </c>
      <c r="D10621" s="3" t="str">
        <f>IFERROR(__xludf.DUMMYFUNCTION("""COMPUTED_VALUE"""),"K0K 2X0")</f>
        <v>K0K 2X0</v>
      </c>
      <c r="E10621" s="3"/>
      <c r="F10621" s="3"/>
      <c r="G10621" s="3"/>
      <c r="H10621" s="3"/>
    </row>
    <row r="10622">
      <c r="A10622" s="2">
        <f>IFERROR(__xludf.DUMMYFUNCTION("""COMPUTED_VALUE"""),51514.0)</f>
        <v>51514</v>
      </c>
      <c r="B10622" s="3" t="str">
        <f>IFERROR(__xludf.DUMMYFUNCTION("""COMPUTED_VALUE"""),"54 PARKER DR")</f>
        <v>54 PARKER DR</v>
      </c>
      <c r="C10622" s="3" t="str">
        <f>IFERROR(__xludf.DUMMYFUNCTION("""COMPUTED_VALUE"""),"ROSENEATH ")</f>
        <v>ROSENEATH </v>
      </c>
      <c r="D10622" s="3" t="str">
        <f>IFERROR(__xludf.DUMMYFUNCTION("""COMPUTED_VALUE"""),"K0K 2X0")</f>
        <v>K0K 2X0</v>
      </c>
      <c r="E10622" s="3"/>
      <c r="F10622" s="3"/>
      <c r="G10622" s="3"/>
      <c r="H10622" s="3"/>
    </row>
    <row r="10623">
      <c r="A10623" s="2">
        <f>IFERROR(__xludf.DUMMYFUNCTION("""COMPUTED_VALUE"""),51515.0)</f>
        <v>51515</v>
      </c>
      <c r="B10623" s="3" t="str">
        <f>IFERROR(__xludf.DUMMYFUNCTION("""COMPUTED_VALUE"""),"55 PARKER DR")</f>
        <v>55 PARKER DR</v>
      </c>
      <c r="C10623" s="3" t="str">
        <f>IFERROR(__xludf.DUMMYFUNCTION("""COMPUTED_VALUE"""),"ROSENEATH ")</f>
        <v>ROSENEATH </v>
      </c>
      <c r="D10623" s="3" t="str">
        <f>IFERROR(__xludf.DUMMYFUNCTION("""COMPUTED_VALUE"""),"K0K 2X0")</f>
        <v>K0K 2X0</v>
      </c>
      <c r="E10623" s="3"/>
      <c r="F10623" s="3"/>
      <c r="G10623" s="3"/>
      <c r="H10623" s="3"/>
    </row>
    <row r="10624">
      <c r="A10624" s="2">
        <f>IFERROR(__xludf.DUMMYFUNCTION("""COMPUTED_VALUE"""),51516.0)</f>
        <v>51516</v>
      </c>
      <c r="B10624" s="3" t="str">
        <f>IFERROR(__xludf.DUMMYFUNCTION("""COMPUTED_VALUE"""),"56 PARKER DR")</f>
        <v>56 PARKER DR</v>
      </c>
      <c r="C10624" s="3" t="str">
        <f>IFERROR(__xludf.DUMMYFUNCTION("""COMPUTED_VALUE"""),"ROSENEATH ")</f>
        <v>ROSENEATH </v>
      </c>
      <c r="D10624" s="3" t="str">
        <f>IFERROR(__xludf.DUMMYFUNCTION("""COMPUTED_VALUE"""),"K0K 2X0")</f>
        <v>K0K 2X0</v>
      </c>
      <c r="E10624" s="3" t="str">
        <f>IFERROR(__xludf.DUMMYFUNCTION("""COMPUTED_VALUE"""),"gord martin")</f>
        <v>gord martin</v>
      </c>
      <c r="F10624" s="3" t="str">
        <f>IFERROR(__xludf.DUMMYFUNCTION("""COMPUTED_VALUE"""),"ghmartin@hotmail.com")</f>
        <v>ghmartin@hotmail.com</v>
      </c>
      <c r="G10624" s="3">
        <f>IFERROR(__xludf.DUMMYFUNCTION("""COMPUTED_VALUE"""),9.053523705E9)</f>
        <v>9053523705</v>
      </c>
      <c r="H10624" s="3"/>
    </row>
    <row r="10625">
      <c r="A10625" s="2">
        <f>IFERROR(__xludf.DUMMYFUNCTION("""COMPUTED_VALUE"""),51517.0)</f>
        <v>51517</v>
      </c>
      <c r="B10625" s="3" t="str">
        <f>IFERROR(__xludf.DUMMYFUNCTION("""COMPUTED_VALUE"""),"57 PARKER DR")</f>
        <v>57 PARKER DR</v>
      </c>
      <c r="C10625" s="3" t="str">
        <f>IFERROR(__xludf.DUMMYFUNCTION("""COMPUTED_VALUE"""),"ROSENEATH ")</f>
        <v>ROSENEATH </v>
      </c>
      <c r="D10625" s="3" t="str">
        <f>IFERROR(__xludf.DUMMYFUNCTION("""COMPUTED_VALUE"""),"K0K 2X0")</f>
        <v>K0K 2X0</v>
      </c>
      <c r="E10625" s="3" t="str">
        <f>IFERROR(__xludf.DUMMYFUNCTION("""COMPUTED_VALUE"""),"ken knapton")</f>
        <v>ken knapton</v>
      </c>
      <c r="F10625" s="3"/>
      <c r="G10625" s="3">
        <f>IFERROR(__xludf.DUMMYFUNCTION("""COMPUTED_VALUE"""),2.89289149E9)</f>
        <v>2892891490</v>
      </c>
      <c r="H10625" s="3"/>
    </row>
    <row r="10626">
      <c r="A10626" s="2">
        <f>IFERROR(__xludf.DUMMYFUNCTION("""COMPUTED_VALUE"""),51518.0)</f>
        <v>51518</v>
      </c>
      <c r="B10626" s="3" t="str">
        <f>IFERROR(__xludf.DUMMYFUNCTION("""COMPUTED_VALUE"""),"58 PARKER DR")</f>
        <v>58 PARKER DR</v>
      </c>
      <c r="C10626" s="3" t="str">
        <f>IFERROR(__xludf.DUMMYFUNCTION("""COMPUTED_VALUE"""),"ROSENEATH ")</f>
        <v>ROSENEATH </v>
      </c>
      <c r="D10626" s="3" t="str">
        <f>IFERROR(__xludf.DUMMYFUNCTION("""COMPUTED_VALUE"""),"K0K 2X0")</f>
        <v>K0K 2X0</v>
      </c>
      <c r="E10626" s="3" t="str">
        <f>IFERROR(__xludf.DUMMYFUNCTION("""COMPUTED_VALUE"""),"myrna brown")</f>
        <v>myrna brown</v>
      </c>
      <c r="F10626" s="3" t="str">
        <f>IFERROR(__xludf.DUMMYFUNCTION("""COMPUTED_VALUE"""),"bird@eagle.ca")</f>
        <v>bird@eagle.ca</v>
      </c>
      <c r="G10626" s="3">
        <f>IFERROR(__xludf.DUMMYFUNCTION("""COMPUTED_VALUE"""),4.167202107E9)</f>
        <v>4167202107</v>
      </c>
      <c r="H10626" s="3"/>
    </row>
    <row r="10627">
      <c r="A10627" s="2">
        <f>IFERROR(__xludf.DUMMYFUNCTION("""COMPUTED_VALUE"""),51519.0)</f>
        <v>51519</v>
      </c>
      <c r="B10627" s="3" t="str">
        <f>IFERROR(__xludf.DUMMYFUNCTION("""COMPUTED_VALUE"""),"59 PARKER DR")</f>
        <v>59 PARKER DR</v>
      </c>
      <c r="C10627" s="3" t="str">
        <f>IFERROR(__xludf.DUMMYFUNCTION("""COMPUTED_VALUE"""),"ROSENEATH ")</f>
        <v>ROSENEATH </v>
      </c>
      <c r="D10627" s="3" t="str">
        <f>IFERROR(__xludf.DUMMYFUNCTION("""COMPUTED_VALUE"""),"K0K 2X0")</f>
        <v>K0K 2X0</v>
      </c>
      <c r="E10627" s="3" t="str">
        <f>IFERROR(__xludf.DUMMYFUNCTION("""COMPUTED_VALUE"""),"myrna brown")</f>
        <v>myrna brown</v>
      </c>
      <c r="F10627" s="3" t="str">
        <f>IFERROR(__xludf.DUMMYFUNCTION("""COMPUTED_VALUE"""),"bird@eagle.ca")</f>
        <v>bird@eagle.ca</v>
      </c>
      <c r="G10627" s="3">
        <f>IFERROR(__xludf.DUMMYFUNCTION("""COMPUTED_VALUE"""),4.167202107E9)</f>
        <v>4167202107</v>
      </c>
      <c r="H10627" s="3"/>
    </row>
    <row r="10628">
      <c r="A10628" s="2">
        <f>IFERROR(__xludf.DUMMYFUNCTION("""COMPUTED_VALUE"""),51520.0)</f>
        <v>51520</v>
      </c>
      <c r="B10628" s="3" t="str">
        <f>IFERROR(__xludf.DUMMYFUNCTION("""COMPUTED_VALUE"""),"60 PARKER DR")</f>
        <v>60 PARKER DR</v>
      </c>
      <c r="C10628" s="3" t="str">
        <f>IFERROR(__xludf.DUMMYFUNCTION("""COMPUTED_VALUE"""),"ROSENEATH ")</f>
        <v>ROSENEATH </v>
      </c>
      <c r="D10628" s="3" t="str">
        <f>IFERROR(__xludf.DUMMYFUNCTION("""COMPUTED_VALUE"""),"K0K 2X0")</f>
        <v>K0K 2X0</v>
      </c>
      <c r="E10628" s="3" t="str">
        <f>IFERROR(__xludf.DUMMYFUNCTION("""COMPUTED_VALUE"""),"Trevor Buss")</f>
        <v>Trevor Buss</v>
      </c>
      <c r="F10628" s="3" t="str">
        <f>IFERROR(__xludf.DUMMYFUNCTION("""COMPUTED_VALUE"""),"tbuss4@hotmail.com")</f>
        <v>tbuss4@hotmail.com</v>
      </c>
      <c r="G10628" s="3">
        <f>IFERROR(__xludf.DUMMYFUNCTION("""COMPUTED_VALUE"""),6.472952877E9)</f>
        <v>6472952877</v>
      </c>
      <c r="H10628" s="3">
        <f>IFERROR(__xludf.DUMMYFUNCTION("""COMPUTED_VALUE"""),9.059364807E9)</f>
        <v>9059364807</v>
      </c>
    </row>
    <row r="10629">
      <c r="A10629" s="2">
        <f>IFERROR(__xludf.DUMMYFUNCTION("""COMPUTED_VALUE"""),51521.0)</f>
        <v>51521</v>
      </c>
      <c r="B10629" s="3" t="str">
        <f>IFERROR(__xludf.DUMMYFUNCTION("""COMPUTED_VALUE"""),"62 PARKER DR")</f>
        <v>62 PARKER DR</v>
      </c>
      <c r="C10629" s="3" t="str">
        <f>IFERROR(__xludf.DUMMYFUNCTION("""COMPUTED_VALUE"""),"ROSENEATH ")</f>
        <v>ROSENEATH </v>
      </c>
      <c r="D10629" s="3" t="str">
        <f>IFERROR(__xludf.DUMMYFUNCTION("""COMPUTED_VALUE"""),"K0K 2X0")</f>
        <v>K0K 2X0</v>
      </c>
      <c r="E10629" s="3" t="str">
        <f>IFERROR(__xludf.DUMMYFUNCTION("""COMPUTED_VALUE"""),"gerald lowndes")</f>
        <v>gerald lowndes</v>
      </c>
      <c r="F10629" s="3" t="str">
        <f>IFERROR(__xludf.DUMMYFUNCTION("""COMPUTED_VALUE"""),"lowndesnorma@gmail.com")</f>
        <v>lowndesnorma@gmail.com</v>
      </c>
      <c r="G10629" s="3">
        <f>IFERROR(__xludf.DUMMYFUNCTION("""COMPUTED_VALUE"""),5.19580502E9)</f>
        <v>5195805020</v>
      </c>
      <c r="H10629" s="3"/>
    </row>
    <row r="10630">
      <c r="A10630" s="2">
        <f>IFERROR(__xludf.DUMMYFUNCTION("""COMPUTED_VALUE"""),51522.0)</f>
        <v>51522</v>
      </c>
      <c r="B10630" s="3" t="str">
        <f>IFERROR(__xludf.DUMMYFUNCTION("""COMPUTED_VALUE"""),"63 PARKER DR")</f>
        <v>63 PARKER DR</v>
      </c>
      <c r="C10630" s="3" t="str">
        <f>IFERROR(__xludf.DUMMYFUNCTION("""COMPUTED_VALUE"""),"ROSENEATH ")</f>
        <v>ROSENEATH </v>
      </c>
      <c r="D10630" s="3" t="str">
        <f>IFERROR(__xludf.DUMMYFUNCTION("""COMPUTED_VALUE"""),"K0K 2X0")</f>
        <v>K0K 2X0</v>
      </c>
      <c r="E10630" s="3" t="str">
        <f>IFERROR(__xludf.DUMMYFUNCTION("""COMPUTED_VALUE"""),"mynra brown")</f>
        <v>mynra brown</v>
      </c>
      <c r="F10630" s="3" t="str">
        <f>IFERROR(__xludf.DUMMYFUNCTION("""COMPUTED_VALUE"""),"bird@eagle.ca")</f>
        <v>bird@eagle.ca</v>
      </c>
      <c r="G10630" s="3">
        <f>IFERROR(__xludf.DUMMYFUNCTION("""COMPUTED_VALUE"""),4.167202107E9)</f>
        <v>4167202107</v>
      </c>
      <c r="H10630" s="3"/>
    </row>
    <row r="10631">
      <c r="A10631" s="2">
        <f>IFERROR(__xludf.DUMMYFUNCTION("""COMPUTED_VALUE"""),51523.0)</f>
        <v>51523</v>
      </c>
      <c r="B10631" s="3" t="str">
        <f>IFERROR(__xludf.DUMMYFUNCTION("""COMPUTED_VALUE"""),"64 PARKER DR")</f>
        <v>64 PARKER DR</v>
      </c>
      <c r="C10631" s="3" t="str">
        <f>IFERROR(__xludf.DUMMYFUNCTION("""COMPUTED_VALUE"""),"ROSENEATH ")</f>
        <v>ROSENEATH </v>
      </c>
      <c r="D10631" s="3" t="str">
        <f>IFERROR(__xludf.DUMMYFUNCTION("""COMPUTED_VALUE"""),"K0K 2X0")</f>
        <v>K0K 2X0</v>
      </c>
      <c r="E10631" s="3"/>
      <c r="F10631" s="3"/>
      <c r="G10631" s="3"/>
      <c r="H10631" s="3"/>
    </row>
    <row r="10632">
      <c r="A10632" s="2">
        <f>IFERROR(__xludf.DUMMYFUNCTION("""COMPUTED_VALUE"""),51524.0)</f>
        <v>51524</v>
      </c>
      <c r="B10632" s="3" t="str">
        <f>IFERROR(__xludf.DUMMYFUNCTION("""COMPUTED_VALUE"""),"65 PARKER DR")</f>
        <v>65 PARKER DR</v>
      </c>
      <c r="C10632" s="3" t="str">
        <f>IFERROR(__xludf.DUMMYFUNCTION("""COMPUTED_VALUE"""),"ROSENEATH ")</f>
        <v>ROSENEATH </v>
      </c>
      <c r="D10632" s="3" t="str">
        <f>IFERROR(__xludf.DUMMYFUNCTION("""COMPUTED_VALUE"""),"K0K 2X0")</f>
        <v>K0K 2X0</v>
      </c>
      <c r="E10632" s="3" t="str">
        <f>IFERROR(__xludf.DUMMYFUNCTION("""COMPUTED_VALUE"""),"ida brown ")</f>
        <v>ida brown </v>
      </c>
      <c r="F10632" s="3" t="str">
        <f>IFERROR(__xludf.DUMMYFUNCTION("""COMPUTED_VALUE"""),"ida.blwgd@outlook.com")</f>
        <v>ida.blwgd@outlook.com</v>
      </c>
      <c r="G10632" s="3">
        <f>IFERROR(__xludf.DUMMYFUNCTION("""COMPUTED_VALUE"""),7.054400527E9)</f>
        <v>7054400527</v>
      </c>
      <c r="H10632" s="3">
        <f>IFERROR(__xludf.DUMMYFUNCTION("""COMPUTED_VALUE"""),5.179930272E9)</f>
        <v>5179930272</v>
      </c>
    </row>
    <row r="10633">
      <c r="A10633" s="2">
        <f>IFERROR(__xludf.DUMMYFUNCTION("""COMPUTED_VALUE"""),51525.0)</f>
        <v>51525</v>
      </c>
      <c r="B10633" s="3" t="str">
        <f>IFERROR(__xludf.DUMMYFUNCTION("""COMPUTED_VALUE"""),"66 PARKER DR")</f>
        <v>66 PARKER DR</v>
      </c>
      <c r="C10633" s="3" t="str">
        <f>IFERROR(__xludf.DUMMYFUNCTION("""COMPUTED_VALUE"""),"ROSENEATH ")</f>
        <v>ROSENEATH </v>
      </c>
      <c r="D10633" s="3" t="str">
        <f>IFERROR(__xludf.DUMMYFUNCTION("""COMPUTED_VALUE"""),"K0K 2X0")</f>
        <v>K0K 2X0</v>
      </c>
      <c r="E10633" s="3" t="str">
        <f>IFERROR(__xludf.DUMMYFUNCTION("""COMPUTED_VALUE"""),"jim manning ")</f>
        <v>jim manning </v>
      </c>
      <c r="F10633" s="3" t="str">
        <f>IFERROR(__xludf.DUMMYFUNCTION("""COMPUTED_VALUE"""),"jimie65@gmail.com")</f>
        <v>jimie65@gmail.com</v>
      </c>
      <c r="G10633" s="3">
        <f>IFERROR(__xludf.DUMMYFUNCTION("""COMPUTED_VALUE"""),9.053523913E9)</f>
        <v>9053523913</v>
      </c>
      <c r="H10633" s="3"/>
    </row>
    <row r="10634">
      <c r="A10634" s="2">
        <f>IFERROR(__xludf.DUMMYFUNCTION("""COMPUTED_VALUE"""),51526.0)</f>
        <v>51526</v>
      </c>
      <c r="B10634" s="3" t="str">
        <f>IFERROR(__xludf.DUMMYFUNCTION("""COMPUTED_VALUE"""),"68 PARKER DR")</f>
        <v>68 PARKER DR</v>
      </c>
      <c r="C10634" s="3" t="str">
        <f>IFERROR(__xludf.DUMMYFUNCTION("""COMPUTED_VALUE"""),"ROSENEATH ")</f>
        <v>ROSENEATH </v>
      </c>
      <c r="D10634" s="3" t="str">
        <f>IFERROR(__xludf.DUMMYFUNCTION("""COMPUTED_VALUE"""),"K0K 2X0")</f>
        <v>K0K 2X0</v>
      </c>
      <c r="E10634" s="3" t="str">
        <f>IFERROR(__xludf.DUMMYFUNCTION("""COMPUTED_VALUE"""),"mike nolmquist")</f>
        <v>mike nolmquist</v>
      </c>
      <c r="F10634" s="3" t="str">
        <f>IFERROR(__xludf.DUMMYFUNCTION("""COMPUTED_VALUE"""),"mikenolmquist169@gmail.com")</f>
        <v>mikenolmquist169@gmail.com</v>
      </c>
      <c r="G10634" s="3">
        <f>IFERROR(__xludf.DUMMYFUNCTION("""COMPUTED_VALUE"""),2.899274309E9)</f>
        <v>2899274309</v>
      </c>
      <c r="H10634" s="3"/>
    </row>
    <row r="10635">
      <c r="A10635" s="2">
        <f>IFERROR(__xludf.DUMMYFUNCTION("""COMPUTED_VALUE"""),51527.0)</f>
        <v>51527</v>
      </c>
      <c r="B10635" s="3" t="str">
        <f>IFERROR(__xludf.DUMMYFUNCTION("""COMPUTED_VALUE"""),"70 PARKER DR")</f>
        <v>70 PARKER DR</v>
      </c>
      <c r="C10635" s="3" t="str">
        <f>IFERROR(__xludf.DUMMYFUNCTION("""COMPUTED_VALUE"""),"ROSENEATH ")</f>
        <v>ROSENEATH </v>
      </c>
      <c r="D10635" s="3" t="str">
        <f>IFERROR(__xludf.DUMMYFUNCTION("""COMPUTED_VALUE"""),"K0K 2X0")</f>
        <v>K0K 2X0</v>
      </c>
      <c r="E10635" s="3" t="str">
        <f>IFERROR(__xludf.DUMMYFUNCTION("""COMPUTED_VALUE"""),"anton koschany")</f>
        <v>anton koschany</v>
      </c>
      <c r="F10635" s="3" t="str">
        <f>IFERROR(__xludf.DUMMYFUNCTION("""COMPUTED_VALUE"""),"koschany@gmail.com")</f>
        <v>koschany@gmail.com</v>
      </c>
      <c r="G10635" s="3">
        <f>IFERROR(__xludf.DUMMYFUNCTION("""COMPUTED_VALUE"""),4.165767763E9)</f>
        <v>4165767763</v>
      </c>
      <c r="H10635" s="3"/>
    </row>
    <row r="10636">
      <c r="A10636" s="2">
        <f>IFERROR(__xludf.DUMMYFUNCTION("""COMPUTED_VALUE"""),51528.0)</f>
        <v>51528</v>
      </c>
      <c r="B10636" s="3" t="str">
        <f>IFERROR(__xludf.DUMMYFUNCTION("""COMPUTED_VALUE"""),"72 PARKER DR")</f>
        <v>72 PARKER DR</v>
      </c>
      <c r="C10636" s="3" t="str">
        <f>IFERROR(__xludf.DUMMYFUNCTION("""COMPUTED_VALUE"""),"ROSENEATH ")</f>
        <v>ROSENEATH </v>
      </c>
      <c r="D10636" s="3" t="str">
        <f>IFERROR(__xludf.DUMMYFUNCTION("""COMPUTED_VALUE"""),"K0K 2X0")</f>
        <v>K0K 2X0</v>
      </c>
      <c r="E10636" s="3"/>
      <c r="F10636" s="3"/>
      <c r="G10636" s="3"/>
      <c r="H10636" s="3"/>
    </row>
    <row r="10637">
      <c r="A10637" s="2">
        <f>IFERROR(__xludf.DUMMYFUNCTION("""COMPUTED_VALUE"""),51529.0)</f>
        <v>51529</v>
      </c>
      <c r="B10637" s="3" t="str">
        <f>IFERROR(__xludf.DUMMYFUNCTION("""COMPUTED_VALUE"""),"74 PARKER DR")</f>
        <v>74 PARKER DR</v>
      </c>
      <c r="C10637" s="3" t="str">
        <f>IFERROR(__xludf.DUMMYFUNCTION("""COMPUTED_VALUE"""),"ROSENEATH ")</f>
        <v>ROSENEATH </v>
      </c>
      <c r="D10637" s="3" t="str">
        <f>IFERROR(__xludf.DUMMYFUNCTION("""COMPUTED_VALUE"""),"K0K 2X0")</f>
        <v>K0K 2X0</v>
      </c>
      <c r="E10637" s="3" t="str">
        <f>IFERROR(__xludf.DUMMYFUNCTION("""COMPUTED_VALUE"""),"s, hill")</f>
        <v>s, hill</v>
      </c>
      <c r="F10637" s="3"/>
      <c r="G10637" s="3">
        <f>IFERROR(__xludf.DUMMYFUNCTION("""COMPUTED_VALUE"""),4.167591094E9)</f>
        <v>4167591094</v>
      </c>
      <c r="H10637" s="3"/>
    </row>
    <row r="10638">
      <c r="A10638" s="2">
        <f>IFERROR(__xludf.DUMMYFUNCTION("""COMPUTED_VALUE"""),51530.0)</f>
        <v>51530</v>
      </c>
      <c r="B10638" s="3" t="str">
        <f>IFERROR(__xludf.DUMMYFUNCTION("""COMPUTED_VALUE"""),"76 PARKER DR")</f>
        <v>76 PARKER DR</v>
      </c>
      <c r="C10638" s="3" t="str">
        <f>IFERROR(__xludf.DUMMYFUNCTION("""COMPUTED_VALUE"""),"ROSENEATH ")</f>
        <v>ROSENEATH </v>
      </c>
      <c r="D10638" s="3" t="str">
        <f>IFERROR(__xludf.DUMMYFUNCTION("""COMPUTED_VALUE"""),"K0K 2X0")</f>
        <v>K0K 2X0</v>
      </c>
      <c r="E10638" s="3" t="str">
        <f>IFERROR(__xludf.DUMMYFUNCTION("""COMPUTED_VALUE"""),"joann smith ")</f>
        <v>joann smith </v>
      </c>
      <c r="F10638" s="3" t="str">
        <f>IFERROR(__xludf.DUMMYFUNCTION("""COMPUTED_VALUE"""),"tomniki0303@gmail.com")</f>
        <v>tomniki0303@gmail.com</v>
      </c>
      <c r="G10638" s="3">
        <f>IFERROR(__xludf.DUMMYFUNCTION("""COMPUTED_VALUE"""),9.059999702E9)</f>
        <v>9059999702</v>
      </c>
      <c r="H10638" s="3"/>
    </row>
    <row r="10639">
      <c r="A10639" s="2">
        <f>IFERROR(__xludf.DUMMYFUNCTION("""COMPUTED_VALUE"""),51531.0)</f>
        <v>51531</v>
      </c>
      <c r="B10639" s="3" t="str">
        <f>IFERROR(__xludf.DUMMYFUNCTION("""COMPUTED_VALUE"""),"78 PARKER DR")</f>
        <v>78 PARKER DR</v>
      </c>
      <c r="C10639" s="3" t="str">
        <f>IFERROR(__xludf.DUMMYFUNCTION("""COMPUTED_VALUE"""),"ROSENEATH ")</f>
        <v>ROSENEATH </v>
      </c>
      <c r="D10639" s="3" t="str">
        <f>IFERROR(__xludf.DUMMYFUNCTION("""COMPUTED_VALUE"""),"K0K 2X0")</f>
        <v>K0K 2X0</v>
      </c>
      <c r="E10639" s="3" t="str">
        <f>IFERROR(__xludf.DUMMYFUNCTION("""COMPUTED_VALUE"""),"ross unsworth")</f>
        <v>ross unsworth</v>
      </c>
      <c r="F10639" s="3" t="str">
        <f>IFERROR(__xludf.DUMMYFUNCTION("""COMPUTED_VALUE"""),"rduhaon@gmail.com")</f>
        <v>rduhaon@gmail.com</v>
      </c>
      <c r="G10639" s="3"/>
      <c r="H10639" s="3"/>
    </row>
    <row r="10640">
      <c r="A10640" s="2">
        <f>IFERROR(__xludf.DUMMYFUNCTION("""COMPUTED_VALUE"""),51532.0)</f>
        <v>51532</v>
      </c>
      <c r="B10640" s="3" t="str">
        <f>IFERROR(__xludf.DUMMYFUNCTION("""COMPUTED_VALUE"""),"80 PARKER DR")</f>
        <v>80 PARKER DR</v>
      </c>
      <c r="C10640" s="3" t="str">
        <f>IFERROR(__xludf.DUMMYFUNCTION("""COMPUTED_VALUE"""),"ROSENEATH ")</f>
        <v>ROSENEATH </v>
      </c>
      <c r="D10640" s="3" t="str">
        <f>IFERROR(__xludf.DUMMYFUNCTION("""COMPUTED_VALUE"""),"K0K 2X0")</f>
        <v>K0K 2X0</v>
      </c>
      <c r="E10640" s="3"/>
      <c r="F10640" s="3"/>
      <c r="G10640" s="3"/>
      <c r="H10640" s="3"/>
    </row>
    <row r="10641">
      <c r="A10641" s="2">
        <f>IFERROR(__xludf.DUMMYFUNCTION("""COMPUTED_VALUE"""),51533.0)</f>
        <v>51533</v>
      </c>
      <c r="B10641" s="3" t="str">
        <f>IFERROR(__xludf.DUMMYFUNCTION("""COMPUTED_VALUE"""),"82 PARKER DR")</f>
        <v>82 PARKER DR</v>
      </c>
      <c r="C10641" s="3" t="str">
        <f>IFERROR(__xludf.DUMMYFUNCTION("""COMPUTED_VALUE"""),"ROSENEATH ")</f>
        <v>ROSENEATH </v>
      </c>
      <c r="D10641" s="3" t="str">
        <f>IFERROR(__xludf.DUMMYFUNCTION("""COMPUTED_VALUE"""),"K0K 2X0")</f>
        <v>K0K 2X0</v>
      </c>
      <c r="E10641" s="3" t="str">
        <f>IFERROR(__xludf.DUMMYFUNCTION("""COMPUTED_VALUE"""),"mary and don pokoradi")</f>
        <v>mary and don pokoradi</v>
      </c>
      <c r="F10641" s="3" t="str">
        <f>IFERROR(__xludf.DUMMYFUNCTION("""COMPUTED_VALUE"""),"dmpokoradi@gmail.com")</f>
        <v>dmpokoradi@gmail.com</v>
      </c>
      <c r="G10641" s="3">
        <f>IFERROR(__xludf.DUMMYFUNCTION("""COMPUTED_VALUE"""),9.056271183E9)</f>
        <v>9056271183</v>
      </c>
      <c r="H10641" s="3"/>
    </row>
    <row r="10642">
      <c r="A10642" s="2">
        <f>IFERROR(__xludf.DUMMYFUNCTION("""COMPUTED_VALUE"""),51534.0)</f>
        <v>51534</v>
      </c>
      <c r="B10642" s="3" t="str">
        <f>IFERROR(__xludf.DUMMYFUNCTION("""COMPUTED_VALUE"""),"84 PARKER DR")</f>
        <v>84 PARKER DR</v>
      </c>
      <c r="C10642" s="3" t="str">
        <f>IFERROR(__xludf.DUMMYFUNCTION("""COMPUTED_VALUE"""),"ROSENEATH ")</f>
        <v>ROSENEATH </v>
      </c>
      <c r="D10642" s="3" t="str">
        <f>IFERROR(__xludf.DUMMYFUNCTION("""COMPUTED_VALUE"""),"K0K 2X0")</f>
        <v>K0K 2X0</v>
      </c>
      <c r="E10642" s="3"/>
      <c r="F10642" s="3"/>
      <c r="G10642" s="3"/>
      <c r="H10642" s="3"/>
    </row>
    <row r="10643">
      <c r="A10643" s="2">
        <f>IFERROR(__xludf.DUMMYFUNCTION("""COMPUTED_VALUE"""),51535.0)</f>
        <v>51535</v>
      </c>
      <c r="B10643" s="3" t="str">
        <f>IFERROR(__xludf.DUMMYFUNCTION("""COMPUTED_VALUE"""),"85 PARKER DR")</f>
        <v>85 PARKER DR</v>
      </c>
      <c r="C10643" s="3" t="str">
        <f>IFERROR(__xludf.DUMMYFUNCTION("""COMPUTED_VALUE"""),"ROSENEATH ")</f>
        <v>ROSENEATH </v>
      </c>
      <c r="D10643" s="3" t="str">
        <f>IFERROR(__xludf.DUMMYFUNCTION("""COMPUTED_VALUE"""),"K0K 2X0")</f>
        <v>K0K 2X0</v>
      </c>
      <c r="E10643" s="3" t="str">
        <f>IFERROR(__xludf.DUMMYFUNCTION("""COMPUTED_VALUE"""),"peter hong ")</f>
        <v>peter hong </v>
      </c>
      <c r="F10643" s="3" t="str">
        <f>IFERROR(__xludf.DUMMYFUNCTION("""COMPUTED_VALUE"""),"joanne.hong@gmail.com")</f>
        <v>joanne.hong@gmail.com</v>
      </c>
      <c r="G10643" s="3">
        <f>IFERROR(__xludf.DUMMYFUNCTION("""COMPUTED_VALUE"""),4.169066468E9)</f>
        <v>4169066468</v>
      </c>
      <c r="H10643" s="3">
        <f>IFERROR(__xludf.DUMMYFUNCTION("""COMPUTED_VALUE"""),4.167374634E9)</f>
        <v>4167374634</v>
      </c>
    </row>
    <row r="10644">
      <c r="A10644" s="2">
        <f>IFERROR(__xludf.DUMMYFUNCTION("""COMPUTED_VALUE"""),51980.0)</f>
        <v>51980</v>
      </c>
      <c r="B10644" s="3" t="str">
        <f>IFERROR(__xludf.DUMMYFUNCTION("""COMPUTED_VALUE"""),"TBD1 PARKER DR")</f>
        <v>TBD1 PARKER DR</v>
      </c>
      <c r="C10644" s="3"/>
      <c r="D10644" s="3"/>
      <c r="E10644" s="3"/>
      <c r="F10644" s="3"/>
      <c r="G10644" s="3"/>
      <c r="H10644" s="3"/>
    </row>
    <row r="10645">
      <c r="A10645" s="2">
        <f>IFERROR(__xludf.DUMMYFUNCTION("""COMPUTED_VALUE"""),51981.0)</f>
        <v>51981</v>
      </c>
      <c r="B10645" s="3" t="str">
        <f>IFERROR(__xludf.DUMMYFUNCTION("""COMPUTED_VALUE"""),"TBD2 PARKER DR")</f>
        <v>TBD2 PARKER DR</v>
      </c>
      <c r="C10645" s="3"/>
      <c r="D10645" s="3"/>
      <c r="E10645" s="3"/>
      <c r="F10645" s="3"/>
      <c r="G10645" s="3"/>
      <c r="H10645" s="3"/>
    </row>
    <row r="10646">
      <c r="A10646" s="2">
        <f>IFERROR(__xludf.DUMMYFUNCTION("""COMPUTED_VALUE"""),51536.0)</f>
        <v>51536</v>
      </c>
      <c r="B10646" s="3" t="str">
        <f>IFERROR(__xludf.DUMMYFUNCTION("""COMPUTED_VALUE"""),"104 PARKVIEW DR")</f>
        <v>104 PARKVIEW DR</v>
      </c>
      <c r="C10646" s="3" t="str">
        <f>IFERROR(__xludf.DUMMYFUNCTION("""COMPUTED_VALUE"""),"ROSENEATH ")</f>
        <v>ROSENEATH </v>
      </c>
      <c r="D10646" s="3" t="str">
        <f>IFERROR(__xludf.DUMMYFUNCTION("""COMPUTED_VALUE"""),"K0K 2X0")</f>
        <v>K0K 2X0</v>
      </c>
      <c r="E10646" s="3"/>
      <c r="F10646" s="3"/>
      <c r="G10646" s="3"/>
      <c r="H10646" s="3"/>
    </row>
    <row r="10647">
      <c r="A10647" s="2">
        <f>IFERROR(__xludf.DUMMYFUNCTION("""COMPUTED_VALUE"""),51537.0)</f>
        <v>51537</v>
      </c>
      <c r="B10647" s="3" t="str">
        <f>IFERROR(__xludf.DUMMYFUNCTION("""COMPUTED_VALUE"""),"118 PARKVIEW DR")</f>
        <v>118 PARKVIEW DR</v>
      </c>
      <c r="C10647" s="3" t="str">
        <f>IFERROR(__xludf.DUMMYFUNCTION("""COMPUTED_VALUE"""),"ROSENEATH ")</f>
        <v>ROSENEATH </v>
      </c>
      <c r="D10647" s="3" t="str">
        <f>IFERROR(__xludf.DUMMYFUNCTION("""COMPUTED_VALUE"""),"K0K 2X0")</f>
        <v>K0K 2X0</v>
      </c>
      <c r="E10647" s="3"/>
      <c r="F10647" s="3"/>
      <c r="G10647" s="3"/>
      <c r="H10647" s="3"/>
    </row>
    <row r="10648">
      <c r="A10648" s="2">
        <f>IFERROR(__xludf.DUMMYFUNCTION("""COMPUTED_VALUE"""),51538.0)</f>
        <v>51538</v>
      </c>
      <c r="B10648" s="3" t="str">
        <f>IFERROR(__xludf.DUMMYFUNCTION("""COMPUTED_VALUE"""),"159 PARKVIEW DR")</f>
        <v>159 PARKVIEW DR</v>
      </c>
      <c r="C10648" s="3" t="str">
        <f>IFERROR(__xludf.DUMMYFUNCTION("""COMPUTED_VALUE"""),"ROSENEATH ")</f>
        <v>ROSENEATH </v>
      </c>
      <c r="D10648" s="3" t="str">
        <f>IFERROR(__xludf.DUMMYFUNCTION("""COMPUTED_VALUE"""),"K0K 2X0")</f>
        <v>K0K 2X0</v>
      </c>
      <c r="E10648" s="3"/>
      <c r="F10648" s="3"/>
      <c r="G10648" s="3"/>
      <c r="H10648" s="3"/>
    </row>
    <row r="10649">
      <c r="A10649" s="2">
        <f>IFERROR(__xludf.DUMMYFUNCTION("""COMPUTED_VALUE"""),51539.0)</f>
        <v>51539</v>
      </c>
      <c r="B10649" s="3" t="str">
        <f>IFERROR(__xludf.DUMMYFUNCTION("""COMPUTED_VALUE"""),"165 PARKVIEW DR")</f>
        <v>165 PARKVIEW DR</v>
      </c>
      <c r="C10649" s="3" t="str">
        <f>IFERROR(__xludf.DUMMYFUNCTION("""COMPUTED_VALUE"""),"ROSENEATH ")</f>
        <v>ROSENEATH </v>
      </c>
      <c r="D10649" s="3" t="str">
        <f>IFERROR(__xludf.DUMMYFUNCTION("""COMPUTED_VALUE"""),"K0K 2X0")</f>
        <v>K0K 2X0</v>
      </c>
      <c r="E10649" s="3"/>
      <c r="F10649" s="3"/>
      <c r="G10649" s="3"/>
      <c r="H10649" s="3"/>
    </row>
    <row r="10650">
      <c r="A10650" s="2">
        <f>IFERROR(__xludf.DUMMYFUNCTION("""COMPUTED_VALUE"""),51540.0)</f>
        <v>51540</v>
      </c>
      <c r="B10650" s="3" t="str">
        <f>IFERROR(__xludf.DUMMYFUNCTION("""COMPUTED_VALUE"""),"172 PARKVIEW DR")</f>
        <v>172 PARKVIEW DR</v>
      </c>
      <c r="C10650" s="3" t="str">
        <f>IFERROR(__xludf.DUMMYFUNCTION("""COMPUTED_VALUE"""),"ROSENEATH ")</f>
        <v>ROSENEATH </v>
      </c>
      <c r="D10650" s="3" t="str">
        <f>IFERROR(__xludf.DUMMYFUNCTION("""COMPUTED_VALUE"""),"K0K 2X0")</f>
        <v>K0K 2X0</v>
      </c>
      <c r="E10650" s="3"/>
      <c r="F10650" s="3"/>
      <c r="G10650" s="3"/>
      <c r="H10650" s="3"/>
    </row>
    <row r="10651">
      <c r="A10651" s="2">
        <f>IFERROR(__xludf.DUMMYFUNCTION("""COMPUTED_VALUE"""),51541.0)</f>
        <v>51541</v>
      </c>
      <c r="B10651" s="3" t="str">
        <f>IFERROR(__xludf.DUMMYFUNCTION("""COMPUTED_VALUE"""),"177 PARKVIEW DR")</f>
        <v>177 PARKVIEW DR</v>
      </c>
      <c r="C10651" s="3" t="str">
        <f>IFERROR(__xludf.DUMMYFUNCTION("""COMPUTED_VALUE"""),"ROSENEATH ")</f>
        <v>ROSENEATH </v>
      </c>
      <c r="D10651" s="3" t="str">
        <f>IFERROR(__xludf.DUMMYFUNCTION("""COMPUTED_VALUE"""),"K0K 2X0")</f>
        <v>K0K 2X0</v>
      </c>
      <c r="E10651" s="3"/>
      <c r="F10651" s="3"/>
      <c r="G10651" s="3"/>
      <c r="H10651" s="3"/>
    </row>
    <row r="10652">
      <c r="A10652" s="2">
        <f>IFERROR(__xludf.DUMMYFUNCTION("""COMPUTED_VALUE"""),51542.0)</f>
        <v>51542</v>
      </c>
      <c r="B10652" s="3" t="str">
        <f>IFERROR(__xludf.DUMMYFUNCTION("""COMPUTED_VALUE"""),"180 PARKVIEW DR")</f>
        <v>180 PARKVIEW DR</v>
      </c>
      <c r="C10652" s="3" t="str">
        <f>IFERROR(__xludf.DUMMYFUNCTION("""COMPUTED_VALUE"""),"ROSENEATH ")</f>
        <v>ROSENEATH </v>
      </c>
      <c r="D10652" s="3" t="str">
        <f>IFERROR(__xludf.DUMMYFUNCTION("""COMPUTED_VALUE"""),"K0K 2X0")</f>
        <v>K0K 2X0</v>
      </c>
      <c r="E10652" s="3"/>
      <c r="F10652" s="3"/>
      <c r="G10652" s="3"/>
      <c r="H10652" s="3"/>
    </row>
    <row r="10653">
      <c r="A10653" s="2">
        <f>IFERROR(__xludf.DUMMYFUNCTION("""COMPUTED_VALUE"""),51543.0)</f>
        <v>51543</v>
      </c>
      <c r="B10653" s="3" t="str">
        <f>IFERROR(__xludf.DUMMYFUNCTION("""COMPUTED_VALUE"""),"184 PARKVIEW DR")</f>
        <v>184 PARKVIEW DR</v>
      </c>
      <c r="C10653" s="3" t="str">
        <f>IFERROR(__xludf.DUMMYFUNCTION("""COMPUTED_VALUE"""),"ROSENEATH ")</f>
        <v>ROSENEATH </v>
      </c>
      <c r="D10653" s="3" t="str">
        <f>IFERROR(__xludf.DUMMYFUNCTION("""COMPUTED_VALUE"""),"K0K 2X0")</f>
        <v>K0K 2X0</v>
      </c>
      <c r="E10653" s="3" t="str">
        <f>IFERROR(__xludf.DUMMYFUNCTION("""COMPUTED_VALUE"""),"Roch Vaillancourt")</f>
        <v>Roch Vaillancourt</v>
      </c>
      <c r="F10653" s="3" t="str">
        <f>IFERROR(__xludf.DUMMYFUNCTION("""COMPUTED_VALUE"""),"roch.vaillancourt@rogers.com")</f>
        <v>roch.vaillancourt@rogers.com</v>
      </c>
      <c r="G10653" s="3">
        <f>IFERROR(__xludf.DUMMYFUNCTION("""COMPUTED_VALUE"""),4.163150338E9)</f>
        <v>4163150338</v>
      </c>
      <c r="H10653" s="3"/>
    </row>
    <row r="10654">
      <c r="A10654" s="2">
        <f>IFERROR(__xludf.DUMMYFUNCTION("""COMPUTED_VALUE"""),51544.0)</f>
        <v>51544</v>
      </c>
      <c r="B10654" s="3" t="str">
        <f>IFERROR(__xludf.DUMMYFUNCTION("""COMPUTED_VALUE"""),"203 PARKVIEW DR")</f>
        <v>203 PARKVIEW DR</v>
      </c>
      <c r="C10654" s="3" t="str">
        <f>IFERROR(__xludf.DUMMYFUNCTION("""COMPUTED_VALUE"""),"ROSENEATH ")</f>
        <v>ROSENEATH </v>
      </c>
      <c r="D10654" s="3" t="str">
        <f>IFERROR(__xludf.DUMMYFUNCTION("""COMPUTED_VALUE"""),"K0K 2X0")</f>
        <v>K0K 2X0</v>
      </c>
      <c r="E10654" s="3"/>
      <c r="F10654" s="3"/>
      <c r="G10654" s="3"/>
      <c r="H10654" s="3"/>
    </row>
    <row r="10655">
      <c r="A10655" s="2">
        <f>IFERROR(__xludf.DUMMYFUNCTION("""COMPUTED_VALUE"""),51545.0)</f>
        <v>51545</v>
      </c>
      <c r="B10655" s="3" t="str">
        <f>IFERROR(__xludf.DUMMYFUNCTION("""COMPUTED_VALUE"""),"215 PARKVIEW DR")</f>
        <v>215 PARKVIEW DR</v>
      </c>
      <c r="C10655" s="3" t="str">
        <f>IFERROR(__xludf.DUMMYFUNCTION("""COMPUTED_VALUE"""),"ROSENEATH ")</f>
        <v>ROSENEATH </v>
      </c>
      <c r="D10655" s="3" t="str">
        <f>IFERROR(__xludf.DUMMYFUNCTION("""COMPUTED_VALUE"""),"K0K 2X0")</f>
        <v>K0K 2X0</v>
      </c>
      <c r="E10655" s="3"/>
      <c r="F10655" s="3"/>
      <c r="G10655" s="3"/>
      <c r="H10655" s="3"/>
    </row>
    <row r="10656">
      <c r="A10656" s="2">
        <f>IFERROR(__xludf.DUMMYFUNCTION("""COMPUTED_VALUE"""),51546.0)</f>
        <v>51546</v>
      </c>
      <c r="B10656" s="3" t="str">
        <f>IFERROR(__xludf.DUMMYFUNCTION("""COMPUTED_VALUE"""),"PARKVIEW DR S/S")</f>
        <v>PARKVIEW DR S/S</v>
      </c>
      <c r="C10656" s="3" t="str">
        <f>IFERROR(__xludf.DUMMYFUNCTION("""COMPUTED_VALUE"""),"ROSENEATH ")</f>
        <v>ROSENEATH </v>
      </c>
      <c r="D10656" s="3" t="str">
        <f>IFERROR(__xludf.DUMMYFUNCTION("""COMPUTED_VALUE"""),"K0K 2X0")</f>
        <v>K0K 2X0</v>
      </c>
      <c r="E10656" s="3"/>
      <c r="F10656" s="3"/>
      <c r="G10656" s="3"/>
      <c r="H10656" s="3"/>
    </row>
    <row r="10657">
      <c r="A10657" s="2">
        <f>IFERROR(__xludf.DUMMYFUNCTION("""COMPUTED_VALUE"""),51555.0)</f>
        <v>51555</v>
      </c>
      <c r="B10657" s="3" t="str">
        <f>IFERROR(__xludf.DUMMYFUNCTION("""COMPUTED_VALUE"""),"101 RAE LANE")</f>
        <v>101 RAE LANE</v>
      </c>
      <c r="C10657" s="3" t="str">
        <f>IFERROR(__xludf.DUMMYFUNCTION("""COMPUTED_VALUE"""),"ROSENEATH ")</f>
        <v>ROSENEATH </v>
      </c>
      <c r="D10657" s="3" t="str">
        <f>IFERROR(__xludf.DUMMYFUNCTION("""COMPUTED_VALUE"""),"K0K 2X0")</f>
        <v>K0K 2X0</v>
      </c>
      <c r="E10657" s="3"/>
      <c r="F10657" s="3"/>
      <c r="G10657" s="3"/>
      <c r="H10657" s="3"/>
    </row>
    <row r="10658">
      <c r="A10658" s="2">
        <f>IFERROR(__xludf.DUMMYFUNCTION("""COMPUTED_VALUE"""),51558.0)</f>
        <v>51558</v>
      </c>
      <c r="B10658" s="3" t="str">
        <f>IFERROR(__xludf.DUMMYFUNCTION("""COMPUTED_VALUE"""),"68 ROBINS RD SUITE 154")</f>
        <v>68 ROBINS RD SUITE 154</v>
      </c>
      <c r="C10658" s="3" t="str">
        <f>IFERROR(__xludf.DUMMYFUNCTION("""COMPUTED_VALUE"""),"ROSENEATH ")</f>
        <v>ROSENEATH </v>
      </c>
      <c r="D10658" s="3" t="str">
        <f>IFERROR(__xludf.DUMMYFUNCTION("""COMPUTED_VALUE"""),"K0K 2X0")</f>
        <v>K0K 2X0</v>
      </c>
      <c r="E10658" s="3"/>
      <c r="F10658" s="3"/>
      <c r="G10658" s="3"/>
      <c r="H10658" s="3"/>
    </row>
    <row r="10659">
      <c r="A10659" s="2">
        <f>IFERROR(__xludf.DUMMYFUNCTION("""COMPUTED_VALUE"""),51559.0)</f>
        <v>51559</v>
      </c>
      <c r="B10659" s="3" t="str">
        <f>IFERROR(__xludf.DUMMYFUNCTION("""COMPUTED_VALUE"""),"68 ROBINS RD SUITE 156")</f>
        <v>68 ROBINS RD SUITE 156</v>
      </c>
      <c r="C10659" s="3" t="str">
        <f>IFERROR(__xludf.DUMMYFUNCTION("""COMPUTED_VALUE"""),"ROSENEATH ")</f>
        <v>ROSENEATH </v>
      </c>
      <c r="D10659" s="3" t="str">
        <f>IFERROR(__xludf.DUMMYFUNCTION("""COMPUTED_VALUE"""),"K0K 2X0")</f>
        <v>K0K 2X0</v>
      </c>
      <c r="E10659" s="3"/>
      <c r="F10659" s="3"/>
      <c r="G10659" s="3"/>
      <c r="H10659" s="3"/>
    </row>
    <row r="10660">
      <c r="A10660" s="2">
        <f>IFERROR(__xludf.DUMMYFUNCTION("""COMPUTED_VALUE"""),51560.0)</f>
        <v>51560</v>
      </c>
      <c r="B10660" s="3" t="str">
        <f>IFERROR(__xludf.DUMMYFUNCTION("""COMPUTED_VALUE"""),"68 ROBINS RD SUITE 162")</f>
        <v>68 ROBINS RD SUITE 162</v>
      </c>
      <c r="C10660" s="3" t="str">
        <f>IFERROR(__xludf.DUMMYFUNCTION("""COMPUTED_VALUE"""),"ROSENEATH ")</f>
        <v>ROSENEATH </v>
      </c>
      <c r="D10660" s="3" t="str">
        <f>IFERROR(__xludf.DUMMYFUNCTION("""COMPUTED_VALUE"""),"K0K 2X0")</f>
        <v>K0K 2X0</v>
      </c>
      <c r="E10660" s="3"/>
      <c r="F10660" s="3"/>
      <c r="G10660" s="3"/>
      <c r="H10660" s="3"/>
    </row>
    <row r="10661">
      <c r="A10661" s="2">
        <f>IFERROR(__xludf.DUMMYFUNCTION("""COMPUTED_VALUE"""),51561.0)</f>
        <v>51561</v>
      </c>
      <c r="B10661" s="3" t="str">
        <f>IFERROR(__xludf.DUMMYFUNCTION("""COMPUTED_VALUE"""),"68 ROBINS RD UNIT 164")</f>
        <v>68 ROBINS RD UNIT 164</v>
      </c>
      <c r="C10661" s="3" t="str">
        <f>IFERROR(__xludf.DUMMYFUNCTION("""COMPUTED_VALUE"""),"ROSENEATH ")</f>
        <v>ROSENEATH </v>
      </c>
      <c r="D10661" s="3" t="str">
        <f>IFERROR(__xludf.DUMMYFUNCTION("""COMPUTED_VALUE"""),"K0K 2X0")</f>
        <v>K0K 2X0</v>
      </c>
      <c r="E10661" s="3"/>
      <c r="F10661" s="3"/>
      <c r="G10661" s="3"/>
      <c r="H10661" s="3"/>
    </row>
    <row r="10662">
      <c r="A10662" s="2">
        <f>IFERROR(__xludf.DUMMYFUNCTION("""COMPUTED_VALUE"""),51562.0)</f>
        <v>51562</v>
      </c>
      <c r="B10662" s="3" t="str">
        <f>IFERROR(__xludf.DUMMYFUNCTION("""COMPUTED_VALUE"""),"68 ROBINS RD SUITE 166")</f>
        <v>68 ROBINS RD SUITE 166</v>
      </c>
      <c r="C10662" s="3" t="str">
        <f>IFERROR(__xludf.DUMMYFUNCTION("""COMPUTED_VALUE"""),"ROSENEATH ")</f>
        <v>ROSENEATH </v>
      </c>
      <c r="D10662" s="3" t="str">
        <f>IFERROR(__xludf.DUMMYFUNCTION("""COMPUTED_VALUE"""),"K0K 2X0")</f>
        <v>K0K 2X0</v>
      </c>
      <c r="E10662" s="3"/>
      <c r="F10662" s="3"/>
      <c r="G10662" s="3"/>
      <c r="H10662" s="3"/>
    </row>
    <row r="10663">
      <c r="A10663" s="2">
        <f>IFERROR(__xludf.DUMMYFUNCTION("""COMPUTED_VALUE"""),51563.0)</f>
        <v>51563</v>
      </c>
      <c r="B10663" s="3" t="str">
        <f>IFERROR(__xludf.DUMMYFUNCTION("""COMPUTED_VALUE"""),"68 ROBINS RD SUITE 168")</f>
        <v>68 ROBINS RD SUITE 168</v>
      </c>
      <c r="C10663" s="3" t="str">
        <f>IFERROR(__xludf.DUMMYFUNCTION("""COMPUTED_VALUE"""),"ROSENEATH ")</f>
        <v>ROSENEATH </v>
      </c>
      <c r="D10663" s="3" t="str">
        <f>IFERROR(__xludf.DUMMYFUNCTION("""COMPUTED_VALUE"""),"K0K 2X0")</f>
        <v>K0K 2X0</v>
      </c>
      <c r="E10663" s="3"/>
      <c r="F10663" s="3"/>
      <c r="G10663" s="3"/>
      <c r="H10663" s="3"/>
    </row>
    <row r="10664">
      <c r="A10664" s="2">
        <f>IFERROR(__xludf.DUMMYFUNCTION("""COMPUTED_VALUE"""),51564.0)</f>
        <v>51564</v>
      </c>
      <c r="B10664" s="3" t="str">
        <f>IFERROR(__xludf.DUMMYFUNCTION("""COMPUTED_VALUE"""),"68 ROBINS RD SUITE 170")</f>
        <v>68 ROBINS RD SUITE 170</v>
      </c>
      <c r="C10664" s="3" t="str">
        <f>IFERROR(__xludf.DUMMYFUNCTION("""COMPUTED_VALUE"""),"ROSENEATH ")</f>
        <v>ROSENEATH </v>
      </c>
      <c r="D10664" s="3" t="str">
        <f>IFERROR(__xludf.DUMMYFUNCTION("""COMPUTED_VALUE"""),"K0K 2X0")</f>
        <v>K0K 2X0</v>
      </c>
      <c r="E10664" s="3"/>
      <c r="F10664" s="3"/>
      <c r="G10664" s="3"/>
      <c r="H10664" s="3"/>
    </row>
    <row r="10665">
      <c r="A10665" s="2">
        <f>IFERROR(__xludf.DUMMYFUNCTION("""COMPUTED_VALUE"""),51565.0)</f>
        <v>51565</v>
      </c>
      <c r="B10665" s="3" t="str">
        <f>IFERROR(__xludf.DUMMYFUNCTION("""COMPUTED_VALUE"""),"68 ROBINS RD UNIT 172")</f>
        <v>68 ROBINS RD UNIT 172</v>
      </c>
      <c r="C10665" s="3" t="str">
        <f>IFERROR(__xludf.DUMMYFUNCTION("""COMPUTED_VALUE"""),"ROSENEATH ")</f>
        <v>ROSENEATH </v>
      </c>
      <c r="D10665" s="3" t="str">
        <f>IFERROR(__xludf.DUMMYFUNCTION("""COMPUTED_VALUE"""),"K0K 2X0")</f>
        <v>K0K 2X0</v>
      </c>
      <c r="E10665" s="3"/>
      <c r="F10665" s="3"/>
      <c r="G10665" s="3"/>
      <c r="H10665" s="3"/>
    </row>
    <row r="10666">
      <c r="A10666" s="2">
        <f>IFERROR(__xludf.DUMMYFUNCTION("""COMPUTED_VALUE"""),51566.0)</f>
        <v>51566</v>
      </c>
      <c r="B10666" s="3" t="str">
        <f>IFERROR(__xludf.DUMMYFUNCTION("""COMPUTED_VALUE"""),"68 ROBINS RD UNIT 174")</f>
        <v>68 ROBINS RD UNIT 174</v>
      </c>
      <c r="C10666" s="3" t="str">
        <f>IFERROR(__xludf.DUMMYFUNCTION("""COMPUTED_VALUE"""),"ROSENEATH ")</f>
        <v>ROSENEATH </v>
      </c>
      <c r="D10666" s="3" t="str">
        <f>IFERROR(__xludf.DUMMYFUNCTION("""COMPUTED_VALUE"""),"K0K 2X0")</f>
        <v>K0K 2X0</v>
      </c>
      <c r="E10666" s="3"/>
      <c r="F10666" s="3"/>
      <c r="G10666" s="3"/>
      <c r="H10666" s="3"/>
    </row>
    <row r="10667">
      <c r="A10667" s="2">
        <f>IFERROR(__xludf.DUMMYFUNCTION("""COMPUTED_VALUE"""),51567.0)</f>
        <v>51567</v>
      </c>
      <c r="B10667" s="3" t="str">
        <f>IFERROR(__xludf.DUMMYFUNCTION("""COMPUTED_VALUE"""),"68 ROBINS RD SUITE 176")</f>
        <v>68 ROBINS RD SUITE 176</v>
      </c>
      <c r="C10667" s="3" t="str">
        <f>IFERROR(__xludf.DUMMYFUNCTION("""COMPUTED_VALUE"""),"ROSENEATH ")</f>
        <v>ROSENEATH </v>
      </c>
      <c r="D10667" s="3" t="str">
        <f>IFERROR(__xludf.DUMMYFUNCTION("""COMPUTED_VALUE"""),"K0K 2X0")</f>
        <v>K0K 2X0</v>
      </c>
      <c r="E10667" s="3"/>
      <c r="F10667" s="3"/>
      <c r="G10667" s="3"/>
      <c r="H10667" s="3"/>
    </row>
    <row r="10668">
      <c r="A10668" s="2">
        <f>IFERROR(__xludf.DUMMYFUNCTION("""COMPUTED_VALUE"""),51568.0)</f>
        <v>51568</v>
      </c>
      <c r="B10668" s="3" t="str">
        <f>IFERROR(__xludf.DUMMYFUNCTION("""COMPUTED_VALUE"""),"68 ROBINS RD SUITE 178")</f>
        <v>68 ROBINS RD SUITE 178</v>
      </c>
      <c r="C10668" s="3" t="str">
        <f>IFERROR(__xludf.DUMMYFUNCTION("""COMPUTED_VALUE"""),"ROSENEATH ")</f>
        <v>ROSENEATH </v>
      </c>
      <c r="D10668" s="3" t="str">
        <f>IFERROR(__xludf.DUMMYFUNCTION("""COMPUTED_VALUE"""),"K0K 2X0")</f>
        <v>K0K 2X0</v>
      </c>
      <c r="E10668" s="3"/>
      <c r="F10668" s="3"/>
      <c r="G10668" s="3"/>
      <c r="H10668" s="3"/>
    </row>
    <row r="10669">
      <c r="A10669" s="2">
        <f>IFERROR(__xludf.DUMMYFUNCTION("""COMPUTED_VALUE"""),51569.0)</f>
        <v>51569</v>
      </c>
      <c r="B10669" s="3" t="str">
        <f>IFERROR(__xludf.DUMMYFUNCTION("""COMPUTED_VALUE"""),"68 ROBINS RD SUITE 180")</f>
        <v>68 ROBINS RD SUITE 180</v>
      </c>
      <c r="C10669" s="3" t="str">
        <f>IFERROR(__xludf.DUMMYFUNCTION("""COMPUTED_VALUE"""),"ROSENEATH ")</f>
        <v>ROSENEATH </v>
      </c>
      <c r="D10669" s="3" t="str">
        <f>IFERROR(__xludf.DUMMYFUNCTION("""COMPUTED_VALUE"""),"K0K 2X0")</f>
        <v>K0K 2X0</v>
      </c>
      <c r="E10669" s="3"/>
      <c r="F10669" s="3"/>
      <c r="G10669" s="3"/>
      <c r="H10669" s="3"/>
    </row>
    <row r="10670">
      <c r="A10670" s="2">
        <f>IFERROR(__xludf.DUMMYFUNCTION("""COMPUTED_VALUE"""),51570.0)</f>
        <v>51570</v>
      </c>
      <c r="B10670" s="3" t="str">
        <f>IFERROR(__xludf.DUMMYFUNCTION("""COMPUTED_VALUE"""),"68 ROBINS RD UNIT 182")</f>
        <v>68 ROBINS RD UNIT 182</v>
      </c>
      <c r="C10670" s="3" t="str">
        <f>IFERROR(__xludf.DUMMYFUNCTION("""COMPUTED_VALUE"""),"ROSENEATH ")</f>
        <v>ROSENEATH </v>
      </c>
      <c r="D10670" s="3" t="str">
        <f>IFERROR(__xludf.DUMMYFUNCTION("""COMPUTED_VALUE"""),"K0K 2X0")</f>
        <v>K0K 2X0</v>
      </c>
      <c r="E10670" s="3"/>
      <c r="F10670" s="3"/>
      <c r="G10670" s="3"/>
      <c r="H10670" s="3"/>
    </row>
    <row r="10671">
      <c r="A10671" s="2">
        <f>IFERROR(__xludf.DUMMYFUNCTION("""COMPUTED_VALUE"""),51571.0)</f>
        <v>51571</v>
      </c>
      <c r="B10671" s="3" t="str">
        <f>IFERROR(__xludf.DUMMYFUNCTION("""COMPUTED_VALUE"""),"68 ROBINS RD UNIT 184")</f>
        <v>68 ROBINS RD UNIT 184</v>
      </c>
      <c r="C10671" s="3" t="str">
        <f>IFERROR(__xludf.DUMMYFUNCTION("""COMPUTED_VALUE"""),"ROSENEATH ")</f>
        <v>ROSENEATH </v>
      </c>
      <c r="D10671" s="3" t="str">
        <f>IFERROR(__xludf.DUMMYFUNCTION("""COMPUTED_VALUE"""),"K0K 2X0")</f>
        <v>K0K 2X0</v>
      </c>
      <c r="E10671" s="3"/>
      <c r="F10671" s="3"/>
      <c r="G10671" s="3"/>
      <c r="H10671" s="3"/>
    </row>
    <row r="10672">
      <c r="A10672" s="2">
        <f>IFERROR(__xludf.DUMMYFUNCTION("""COMPUTED_VALUE"""),51572.0)</f>
        <v>51572</v>
      </c>
      <c r="B10672" s="3" t="str">
        <f>IFERROR(__xludf.DUMMYFUNCTION("""COMPUTED_VALUE"""),"68 ROBINS RD SUITE 186")</f>
        <v>68 ROBINS RD SUITE 186</v>
      </c>
      <c r="C10672" s="3" t="str">
        <f>IFERROR(__xludf.DUMMYFUNCTION("""COMPUTED_VALUE"""),"ROSENEATH ")</f>
        <v>ROSENEATH </v>
      </c>
      <c r="D10672" s="3" t="str">
        <f>IFERROR(__xludf.DUMMYFUNCTION("""COMPUTED_VALUE"""),"K0K 2X0")</f>
        <v>K0K 2X0</v>
      </c>
      <c r="E10672" s="3"/>
      <c r="F10672" s="3"/>
      <c r="G10672" s="3"/>
      <c r="H10672" s="3"/>
    </row>
    <row r="10673">
      <c r="A10673" s="2">
        <f>IFERROR(__xludf.DUMMYFUNCTION("""COMPUTED_VALUE"""),51573.0)</f>
        <v>51573</v>
      </c>
      <c r="B10673" s="3" t="str">
        <f>IFERROR(__xludf.DUMMYFUNCTION("""COMPUTED_VALUE"""),"68 ROBINS RD 188")</f>
        <v>68 ROBINS RD 188</v>
      </c>
      <c r="C10673" s="3" t="str">
        <f>IFERROR(__xludf.DUMMYFUNCTION("""COMPUTED_VALUE"""),"ROSENEATH ")</f>
        <v>ROSENEATH </v>
      </c>
      <c r="D10673" s="3" t="str">
        <f>IFERROR(__xludf.DUMMYFUNCTION("""COMPUTED_VALUE"""),"K0K 2X0")</f>
        <v>K0K 2X0</v>
      </c>
      <c r="E10673" s="3"/>
      <c r="F10673" s="3"/>
      <c r="G10673" s="3"/>
      <c r="H10673" s="3"/>
    </row>
    <row r="10674">
      <c r="A10674" s="2">
        <f>IFERROR(__xludf.DUMMYFUNCTION("""COMPUTED_VALUE"""),51574.0)</f>
        <v>51574</v>
      </c>
      <c r="B10674" s="3" t="str">
        <f>IFERROR(__xludf.DUMMYFUNCTION("""COMPUTED_VALUE"""),"68 ROBINS RD SUITE 190")</f>
        <v>68 ROBINS RD SUITE 190</v>
      </c>
      <c r="C10674" s="3" t="str">
        <f>IFERROR(__xludf.DUMMYFUNCTION("""COMPUTED_VALUE"""),"ROSENEATH ")</f>
        <v>ROSENEATH </v>
      </c>
      <c r="D10674" s="3" t="str">
        <f>IFERROR(__xludf.DUMMYFUNCTION("""COMPUTED_VALUE"""),"K0K 2X0")</f>
        <v>K0K 2X0</v>
      </c>
      <c r="E10674" s="3" t="str">
        <f>IFERROR(__xludf.DUMMYFUNCTION("""COMPUTED_VALUE"""),"Danette &amp; Francis Duquette")</f>
        <v>Danette &amp; Francis Duquette</v>
      </c>
      <c r="F10674" s="3" t="str">
        <f>IFERROR(__xludf.DUMMYFUNCTION("""COMPUTED_VALUE"""),"dustynetto@gmail.com")</f>
        <v>dustynetto@gmail.com</v>
      </c>
      <c r="G10674" s="3"/>
      <c r="H10674" s="3"/>
    </row>
    <row r="10675">
      <c r="A10675" s="2">
        <f>IFERROR(__xludf.DUMMYFUNCTION("""COMPUTED_VALUE"""),51575.0)</f>
        <v>51575</v>
      </c>
      <c r="B10675" s="3" t="str">
        <f>IFERROR(__xludf.DUMMYFUNCTION("""COMPUTED_VALUE"""),"68 ROBINS RD UNIT 192")</f>
        <v>68 ROBINS RD UNIT 192</v>
      </c>
      <c r="C10675" s="3" t="str">
        <f>IFERROR(__xludf.DUMMYFUNCTION("""COMPUTED_VALUE"""),"ROSENEATH ")</f>
        <v>ROSENEATH </v>
      </c>
      <c r="D10675" s="3" t="str">
        <f>IFERROR(__xludf.DUMMYFUNCTION("""COMPUTED_VALUE"""),"K0K 2X0")</f>
        <v>K0K 2X0</v>
      </c>
      <c r="E10675" s="3" t="str">
        <f>IFERROR(__xludf.DUMMYFUNCTION("""COMPUTED_VALUE"""),"michael castier")</f>
        <v>michael castier</v>
      </c>
      <c r="F10675" s="3" t="str">
        <f>IFERROR(__xludf.DUMMYFUNCTION("""COMPUTED_VALUE"""),"public1@cardac.ca")</f>
        <v>public1@cardac.ca</v>
      </c>
      <c r="G10675" s="3">
        <f>IFERROR(__xludf.DUMMYFUNCTION("""COMPUTED_VALUE"""),9.056215895E9)</f>
        <v>9056215895</v>
      </c>
      <c r="H10675" s="3"/>
    </row>
    <row r="10676">
      <c r="A10676" s="2">
        <f>IFERROR(__xludf.DUMMYFUNCTION("""COMPUTED_VALUE"""),51576.0)</f>
        <v>51576</v>
      </c>
      <c r="B10676" s="3" t="str">
        <f>IFERROR(__xludf.DUMMYFUNCTION("""COMPUTED_VALUE"""),"68 ROBINS RD SUITE 194")</f>
        <v>68 ROBINS RD SUITE 194</v>
      </c>
      <c r="C10676" s="3" t="str">
        <f>IFERROR(__xludf.DUMMYFUNCTION("""COMPUTED_VALUE"""),"ROSENEATH ")</f>
        <v>ROSENEATH </v>
      </c>
      <c r="D10676" s="3" t="str">
        <f>IFERROR(__xludf.DUMMYFUNCTION("""COMPUTED_VALUE"""),"K0K 2X0")</f>
        <v>K0K 2X0</v>
      </c>
      <c r="E10676" s="3" t="str">
        <f>IFERROR(__xludf.DUMMYFUNCTION("""COMPUTED_VALUE"""),"pat fuller ")</f>
        <v>pat fuller </v>
      </c>
      <c r="F10676" s="3"/>
      <c r="G10676" s="3">
        <f>IFERROR(__xludf.DUMMYFUNCTION("""COMPUTED_VALUE"""),6.472912418E9)</f>
        <v>6472912418</v>
      </c>
      <c r="H10676" s="3"/>
    </row>
    <row r="10677">
      <c r="A10677" s="2">
        <f>IFERROR(__xludf.DUMMYFUNCTION("""COMPUTED_VALUE"""),51577.0)</f>
        <v>51577</v>
      </c>
      <c r="B10677" s="3" t="str">
        <f>IFERROR(__xludf.DUMMYFUNCTION("""COMPUTED_VALUE"""),"68 ROBINS RD SUITE 196")</f>
        <v>68 ROBINS RD SUITE 196</v>
      </c>
      <c r="C10677" s="3" t="str">
        <f>IFERROR(__xludf.DUMMYFUNCTION("""COMPUTED_VALUE"""),"ROSENEATH ")</f>
        <v>ROSENEATH </v>
      </c>
      <c r="D10677" s="3" t="str">
        <f>IFERROR(__xludf.DUMMYFUNCTION("""COMPUTED_VALUE"""),"K0K 2X0")</f>
        <v>K0K 2X0</v>
      </c>
      <c r="E10677" s="3"/>
      <c r="F10677" s="3"/>
      <c r="G10677" s="3"/>
      <c r="H10677" s="3"/>
    </row>
    <row r="10678">
      <c r="A10678" s="2">
        <f>IFERROR(__xludf.DUMMYFUNCTION("""COMPUTED_VALUE"""),51578.0)</f>
        <v>51578</v>
      </c>
      <c r="B10678" s="3" t="str">
        <f>IFERROR(__xludf.DUMMYFUNCTION("""COMPUTED_VALUE"""),"68 ROBINS RD UNIT 198")</f>
        <v>68 ROBINS RD UNIT 198</v>
      </c>
      <c r="C10678" s="3" t="str">
        <f>IFERROR(__xludf.DUMMYFUNCTION("""COMPUTED_VALUE"""),"ROSENEATH ")</f>
        <v>ROSENEATH </v>
      </c>
      <c r="D10678" s="3" t="str">
        <f>IFERROR(__xludf.DUMMYFUNCTION("""COMPUTED_VALUE"""),"K0K 2X0")</f>
        <v>K0K 2X0</v>
      </c>
      <c r="E10678" s="3"/>
      <c r="F10678" s="3"/>
      <c r="G10678" s="3"/>
      <c r="H10678" s="3"/>
    </row>
    <row r="10679">
      <c r="A10679" s="2">
        <f>IFERROR(__xludf.DUMMYFUNCTION("""COMPUTED_VALUE"""),51579.0)</f>
        <v>51579</v>
      </c>
      <c r="B10679" s="3" t="str">
        <f>IFERROR(__xludf.DUMMYFUNCTION("""COMPUTED_VALUE"""),"68 ROBINS RD SUITE 200")</f>
        <v>68 ROBINS RD SUITE 200</v>
      </c>
      <c r="C10679" s="3" t="str">
        <f>IFERROR(__xludf.DUMMYFUNCTION("""COMPUTED_VALUE"""),"ROSENEATH ")</f>
        <v>ROSENEATH </v>
      </c>
      <c r="D10679" s="3" t="str">
        <f>IFERROR(__xludf.DUMMYFUNCTION("""COMPUTED_VALUE"""),"K0K 2X0")</f>
        <v>K0K 2X0</v>
      </c>
      <c r="E10679" s="3"/>
      <c r="F10679" s="3"/>
      <c r="G10679" s="3"/>
      <c r="H10679" s="3"/>
    </row>
    <row r="10680">
      <c r="A10680" s="2">
        <f>IFERROR(__xludf.DUMMYFUNCTION("""COMPUTED_VALUE"""),51580.0)</f>
        <v>51580</v>
      </c>
      <c r="B10680" s="3" t="str">
        <f>IFERROR(__xludf.DUMMYFUNCTION("""COMPUTED_VALUE"""),"68 ROBINS RD SUITE 202")</f>
        <v>68 ROBINS RD SUITE 202</v>
      </c>
      <c r="C10680" s="3" t="str">
        <f>IFERROR(__xludf.DUMMYFUNCTION("""COMPUTED_VALUE"""),"ROSENEATH ")</f>
        <v>ROSENEATH </v>
      </c>
      <c r="D10680" s="3" t="str">
        <f>IFERROR(__xludf.DUMMYFUNCTION("""COMPUTED_VALUE"""),"K0K 2X0")</f>
        <v>K0K 2X0</v>
      </c>
      <c r="E10680" s="3" t="str">
        <f>IFERROR(__xludf.DUMMYFUNCTION("""COMPUTED_VALUE"""),"phil cremer")</f>
        <v>phil cremer</v>
      </c>
      <c r="F10680" s="3" t="str">
        <f>IFERROR(__xludf.DUMMYFUNCTION("""COMPUTED_VALUE"""),"philcremer@gmail.com")</f>
        <v>philcremer@gmail.com</v>
      </c>
      <c r="G10680" s="3">
        <f>IFERROR(__xludf.DUMMYFUNCTION("""COMPUTED_VALUE"""),4.168755875E9)</f>
        <v>4168755875</v>
      </c>
      <c r="H10680" s="3"/>
    </row>
    <row r="10681">
      <c r="A10681" s="2">
        <f>IFERROR(__xludf.DUMMYFUNCTION("""COMPUTED_VALUE"""),51581.0)</f>
        <v>51581</v>
      </c>
      <c r="B10681" s="3" t="str">
        <f>IFERROR(__xludf.DUMMYFUNCTION("""COMPUTED_VALUE"""),"68 ROBINS RD SUITE 204")</f>
        <v>68 ROBINS RD SUITE 204</v>
      </c>
      <c r="C10681" s="3" t="str">
        <f>IFERROR(__xludf.DUMMYFUNCTION("""COMPUTED_VALUE"""),"ROSENEATH ")</f>
        <v>ROSENEATH </v>
      </c>
      <c r="D10681" s="3" t="str">
        <f>IFERROR(__xludf.DUMMYFUNCTION("""COMPUTED_VALUE"""),"K0K 2X0")</f>
        <v>K0K 2X0</v>
      </c>
      <c r="E10681" s="3"/>
      <c r="F10681" s="3"/>
      <c r="G10681" s="3"/>
      <c r="H10681" s="3"/>
    </row>
    <row r="10682">
      <c r="A10682" s="2">
        <f>IFERROR(__xludf.DUMMYFUNCTION("""COMPUTED_VALUE"""),51582.0)</f>
        <v>51582</v>
      </c>
      <c r="B10682" s="3" t="str">
        <f>IFERROR(__xludf.DUMMYFUNCTION("""COMPUTED_VALUE"""),"68 ROBINS RD SUITE 206")</f>
        <v>68 ROBINS RD SUITE 206</v>
      </c>
      <c r="C10682" s="3" t="str">
        <f>IFERROR(__xludf.DUMMYFUNCTION("""COMPUTED_VALUE"""),"ROSENEATH ")</f>
        <v>ROSENEATH </v>
      </c>
      <c r="D10682" s="3" t="str">
        <f>IFERROR(__xludf.DUMMYFUNCTION("""COMPUTED_VALUE"""),"K0K 2X0")</f>
        <v>K0K 2X0</v>
      </c>
      <c r="E10682" s="3"/>
      <c r="F10682" s="3"/>
      <c r="G10682" s="3"/>
      <c r="H10682" s="3"/>
    </row>
    <row r="10683">
      <c r="A10683" s="2">
        <f>IFERROR(__xludf.DUMMYFUNCTION("""COMPUTED_VALUE"""),51583.0)</f>
        <v>51583</v>
      </c>
      <c r="B10683" s="3" t="str">
        <f>IFERROR(__xludf.DUMMYFUNCTION("""COMPUTED_VALUE"""),"68 ROBINS RD SUITE 208")</f>
        <v>68 ROBINS RD SUITE 208</v>
      </c>
      <c r="C10683" s="3" t="str">
        <f>IFERROR(__xludf.DUMMYFUNCTION("""COMPUTED_VALUE"""),"ROSENEATH ")</f>
        <v>ROSENEATH </v>
      </c>
      <c r="D10683" s="3" t="str">
        <f>IFERROR(__xludf.DUMMYFUNCTION("""COMPUTED_VALUE"""),"K0K 2X0")</f>
        <v>K0K 2X0</v>
      </c>
      <c r="E10683" s="3"/>
      <c r="F10683" s="3"/>
      <c r="G10683" s="3"/>
      <c r="H10683" s="3"/>
    </row>
    <row r="10684">
      <c r="A10684" s="2">
        <f>IFERROR(__xludf.DUMMYFUNCTION("""COMPUTED_VALUE"""),51584.0)</f>
        <v>51584</v>
      </c>
      <c r="B10684" s="3" t="str">
        <f>IFERROR(__xludf.DUMMYFUNCTION("""COMPUTED_VALUE"""),"68 ROBINS RD SUITE 210")</f>
        <v>68 ROBINS RD SUITE 210</v>
      </c>
      <c r="C10684" s="3" t="str">
        <f>IFERROR(__xludf.DUMMYFUNCTION("""COMPUTED_VALUE"""),"ROSENEATH ")</f>
        <v>ROSENEATH </v>
      </c>
      <c r="D10684" s="3" t="str">
        <f>IFERROR(__xludf.DUMMYFUNCTION("""COMPUTED_VALUE"""),"K0K 2X0")</f>
        <v>K0K 2X0</v>
      </c>
      <c r="E10684" s="3"/>
      <c r="F10684" s="3"/>
      <c r="G10684" s="3"/>
      <c r="H10684" s="3"/>
    </row>
    <row r="10685">
      <c r="A10685" s="2">
        <f>IFERROR(__xludf.DUMMYFUNCTION("""COMPUTED_VALUE"""),51585.0)</f>
        <v>51585</v>
      </c>
      <c r="B10685" s="3" t="str">
        <f>IFERROR(__xludf.DUMMYFUNCTION("""COMPUTED_VALUE"""),"68 ROBINS RD UNIT 212")</f>
        <v>68 ROBINS RD UNIT 212</v>
      </c>
      <c r="C10685" s="3" t="str">
        <f>IFERROR(__xludf.DUMMYFUNCTION("""COMPUTED_VALUE"""),"ROSENEATH ")</f>
        <v>ROSENEATH </v>
      </c>
      <c r="D10685" s="3" t="str">
        <f>IFERROR(__xludf.DUMMYFUNCTION("""COMPUTED_VALUE"""),"K0K 2X0")</f>
        <v>K0K 2X0</v>
      </c>
      <c r="E10685" s="3" t="str">
        <f>IFERROR(__xludf.DUMMYFUNCTION("""COMPUTED_VALUE"""),"Mark Kostel")</f>
        <v>Mark Kostel</v>
      </c>
      <c r="F10685" s="3" t="str">
        <f>IFERROR(__xludf.DUMMYFUNCTION("""COMPUTED_VALUE"""),"nowlifeislife@gmail.com")</f>
        <v>nowlifeislife@gmail.com</v>
      </c>
      <c r="G10685" s="3">
        <f>IFERROR(__xludf.DUMMYFUNCTION("""COMPUTED_VALUE"""),6.47290906E9)</f>
        <v>6472909060</v>
      </c>
      <c r="H10685" s="3"/>
    </row>
    <row r="10686">
      <c r="A10686" s="2">
        <f>IFERROR(__xludf.DUMMYFUNCTION("""COMPUTED_VALUE"""),51586.0)</f>
        <v>51586</v>
      </c>
      <c r="B10686" s="3" t="str">
        <f>IFERROR(__xludf.DUMMYFUNCTION("""COMPUTED_VALUE"""),"70 ROBINS RD")</f>
        <v>70 ROBINS RD</v>
      </c>
      <c r="C10686" s="3" t="str">
        <f>IFERROR(__xludf.DUMMYFUNCTION("""COMPUTED_VALUE"""),"ROSENEATH ")</f>
        <v>ROSENEATH </v>
      </c>
      <c r="D10686" s="3" t="str">
        <f>IFERROR(__xludf.DUMMYFUNCTION("""COMPUTED_VALUE"""),"K0K 2X0")</f>
        <v>K0K 2X0</v>
      </c>
      <c r="E10686" s="3"/>
      <c r="F10686" s="3"/>
      <c r="G10686" s="3"/>
      <c r="H10686" s="3"/>
    </row>
    <row r="10687">
      <c r="A10687" s="2">
        <f>IFERROR(__xludf.DUMMYFUNCTION("""COMPUTED_VALUE"""),51587.0)</f>
        <v>51587</v>
      </c>
      <c r="B10687" s="3" t="str">
        <f>IFERROR(__xludf.DUMMYFUNCTION("""COMPUTED_VALUE"""),"85 ROBINS RD")</f>
        <v>85 ROBINS RD</v>
      </c>
      <c r="C10687" s="3" t="str">
        <f>IFERROR(__xludf.DUMMYFUNCTION("""COMPUTED_VALUE"""),"ROSENEATH ")</f>
        <v>ROSENEATH </v>
      </c>
      <c r="D10687" s="3" t="str">
        <f>IFERROR(__xludf.DUMMYFUNCTION("""COMPUTED_VALUE"""),"K0K 2X0")</f>
        <v>K0K 2X0</v>
      </c>
      <c r="E10687" s="3"/>
      <c r="F10687" s="3"/>
      <c r="G10687" s="3"/>
      <c r="H10687" s="3"/>
    </row>
    <row r="10688">
      <c r="A10688" s="2">
        <f>IFERROR(__xludf.DUMMYFUNCTION("""COMPUTED_VALUE"""),51588.0)</f>
        <v>51588</v>
      </c>
      <c r="B10688" s="3" t="str">
        <f>IFERROR(__xludf.DUMMYFUNCTION("""COMPUTED_VALUE"""),"183 ROBINS RD")</f>
        <v>183 ROBINS RD</v>
      </c>
      <c r="C10688" s="3" t="str">
        <f>IFERROR(__xludf.DUMMYFUNCTION("""COMPUTED_VALUE"""),"ROSENEATH ")</f>
        <v>ROSENEATH </v>
      </c>
      <c r="D10688" s="3" t="str">
        <f>IFERROR(__xludf.DUMMYFUNCTION("""COMPUTED_VALUE"""),"K0K 2X0")</f>
        <v>K0K 2X0</v>
      </c>
      <c r="E10688" s="3"/>
      <c r="F10688" s="3"/>
      <c r="G10688" s="3"/>
      <c r="H10688" s="3"/>
    </row>
    <row r="10689">
      <c r="A10689" s="2">
        <f>IFERROR(__xludf.DUMMYFUNCTION("""COMPUTED_VALUE"""),51589.0)</f>
        <v>51589</v>
      </c>
      <c r="B10689" s="3" t="str">
        <f>IFERROR(__xludf.DUMMYFUNCTION("""COMPUTED_VALUE"""),"189 ROBINS RD")</f>
        <v>189 ROBINS RD</v>
      </c>
      <c r="C10689" s="3" t="str">
        <f>IFERROR(__xludf.DUMMYFUNCTION("""COMPUTED_VALUE"""),"ROSENEATH ")</f>
        <v>ROSENEATH </v>
      </c>
      <c r="D10689" s="3" t="str">
        <f>IFERROR(__xludf.DUMMYFUNCTION("""COMPUTED_VALUE"""),"K0K 2X0")</f>
        <v>K0K 2X0</v>
      </c>
      <c r="E10689" s="3"/>
      <c r="F10689" s="3"/>
      <c r="G10689" s="3"/>
      <c r="H10689" s="3"/>
    </row>
    <row r="10690">
      <c r="A10690" s="2">
        <f>IFERROR(__xludf.DUMMYFUNCTION("""COMPUTED_VALUE"""),51590.0)</f>
        <v>51590</v>
      </c>
      <c r="B10690" s="3" t="str">
        <f>IFERROR(__xludf.DUMMYFUNCTION("""COMPUTED_VALUE"""),"68 ROBINS RD SUITE 158")</f>
        <v>68 ROBINS RD SUITE 158</v>
      </c>
      <c r="C10690" s="3" t="str">
        <f>IFERROR(__xludf.DUMMYFUNCTION("""COMPUTED_VALUE"""),"ROSENEATH ")</f>
        <v>ROSENEATH </v>
      </c>
      <c r="D10690" s="3" t="str">
        <f>IFERROR(__xludf.DUMMYFUNCTION("""COMPUTED_VALUE"""),"K0K 2X0")</f>
        <v>K0K 2X0</v>
      </c>
      <c r="E10690" s="3" t="str">
        <f>IFERROR(__xludf.DUMMYFUNCTION("""COMPUTED_VALUE"""),"DANETTE &amp; FRANCIS DUQUETTE")</f>
        <v>DANETTE &amp; FRANCIS DUQUETTE</v>
      </c>
      <c r="F10690" s="3" t="str">
        <f>IFERROR(__xludf.DUMMYFUNCTION("""COMPUTED_VALUE"""),"dustynetto@gmail.com")</f>
        <v>dustynetto@gmail.com</v>
      </c>
      <c r="G10690" s="3"/>
      <c r="H10690" s="3"/>
    </row>
    <row r="10691">
      <c r="A10691" s="2">
        <f>IFERROR(__xludf.DUMMYFUNCTION("""COMPUTED_VALUE"""),51591.0)</f>
        <v>51591</v>
      </c>
      <c r="B10691" s="3" t="str">
        <f>IFERROR(__xludf.DUMMYFUNCTION("""COMPUTED_VALUE"""),"249-250 ROBINS RD")</f>
        <v>249-250 ROBINS RD</v>
      </c>
      <c r="C10691" s="3" t="str">
        <f>IFERROR(__xludf.DUMMYFUNCTION("""COMPUTED_VALUE"""),"ROSENEATH ")</f>
        <v>ROSENEATH </v>
      </c>
      <c r="D10691" s="3" t="str">
        <f>IFERROR(__xludf.DUMMYFUNCTION("""COMPUTED_VALUE"""),"K0K 2X0")</f>
        <v>K0K 2X0</v>
      </c>
      <c r="E10691" s="3"/>
      <c r="F10691" s="3"/>
      <c r="G10691" s="3"/>
      <c r="H10691" s="3"/>
    </row>
    <row r="10692">
      <c r="A10692" s="2">
        <f>IFERROR(__xludf.DUMMYFUNCTION("""COMPUTED_VALUE"""),51974.0)</f>
        <v>51974</v>
      </c>
      <c r="B10692" s="3" t="str">
        <f>IFERROR(__xludf.DUMMYFUNCTION("""COMPUTED_VALUE"""),"68 ROBINS RD SUITE 160")</f>
        <v>68 ROBINS RD SUITE 160</v>
      </c>
      <c r="C10692" s="3"/>
      <c r="D10692" s="3"/>
      <c r="E10692" s="3"/>
      <c r="F10692" s="3"/>
      <c r="G10692" s="3"/>
      <c r="H10692" s="3"/>
    </row>
    <row r="10693">
      <c r="A10693" s="2">
        <f>IFERROR(__xludf.DUMMYFUNCTION("""COMPUTED_VALUE"""),51592.0)</f>
        <v>51592</v>
      </c>
      <c r="B10693" s="3" t="str">
        <f>IFERROR(__xludf.DUMMYFUNCTION("""COMPUTED_VALUE"""),"6 ROLLING BANKS RD")</f>
        <v>6 ROLLING BANKS RD</v>
      </c>
      <c r="C10693" s="3" t="str">
        <f>IFERROR(__xludf.DUMMYFUNCTION("""COMPUTED_VALUE"""),"ROSENEATH ")</f>
        <v>ROSENEATH </v>
      </c>
      <c r="D10693" s="3" t="str">
        <f>IFERROR(__xludf.DUMMYFUNCTION("""COMPUTED_VALUE"""),"K0K 2X0")</f>
        <v>K0K 2X0</v>
      </c>
      <c r="E10693" s="3"/>
      <c r="F10693" s="3"/>
      <c r="G10693" s="3"/>
      <c r="H10693" s="3"/>
    </row>
    <row r="10694">
      <c r="A10694" s="2">
        <f>IFERROR(__xludf.DUMMYFUNCTION("""COMPUTED_VALUE"""),51593.0)</f>
        <v>51593</v>
      </c>
      <c r="B10694" s="3" t="str">
        <f>IFERROR(__xludf.DUMMYFUNCTION("""COMPUTED_VALUE"""),"43 ROLLING BANKS DR B")</f>
        <v>43 ROLLING BANKS DR B</v>
      </c>
      <c r="C10694" s="3" t="str">
        <f>IFERROR(__xludf.DUMMYFUNCTION("""COMPUTED_VALUE"""),"ROSENEATH ")</f>
        <v>ROSENEATH </v>
      </c>
      <c r="D10694" s="3" t="str">
        <f>IFERROR(__xludf.DUMMYFUNCTION("""COMPUTED_VALUE"""),"K0K 2X0")</f>
        <v>K0K 2X0</v>
      </c>
      <c r="E10694" s="3"/>
      <c r="F10694" s="3"/>
      <c r="G10694" s="3"/>
      <c r="H10694" s="3"/>
    </row>
    <row r="10695">
      <c r="A10695" s="2">
        <f>IFERROR(__xludf.DUMMYFUNCTION("""COMPUTED_VALUE"""),51594.0)</f>
        <v>51594</v>
      </c>
      <c r="B10695" s="3" t="str">
        <f>IFERROR(__xludf.DUMMYFUNCTION("""COMPUTED_VALUE"""),"43 ROLLING BANKS RD")</f>
        <v>43 ROLLING BANKS RD</v>
      </c>
      <c r="C10695" s="3" t="str">
        <f>IFERROR(__xludf.DUMMYFUNCTION("""COMPUTED_VALUE"""),"ROSENEATH ")</f>
        <v>ROSENEATH </v>
      </c>
      <c r="D10695" s="3" t="str">
        <f>IFERROR(__xludf.DUMMYFUNCTION("""COMPUTED_VALUE"""),"K0K 2X0")</f>
        <v>K0K 2X0</v>
      </c>
      <c r="E10695" s="3"/>
      <c r="F10695" s="3"/>
      <c r="G10695" s="3"/>
      <c r="H10695" s="3"/>
    </row>
    <row r="10696">
      <c r="A10696" s="2">
        <f>IFERROR(__xludf.DUMMYFUNCTION("""COMPUTED_VALUE"""),51595.0)</f>
        <v>51595</v>
      </c>
      <c r="B10696" s="3" t="str">
        <f>IFERROR(__xludf.DUMMYFUNCTION("""COMPUTED_VALUE"""),"70 ROLLING BANKS RD")</f>
        <v>70 ROLLING BANKS RD</v>
      </c>
      <c r="C10696" s="3" t="str">
        <f>IFERROR(__xludf.DUMMYFUNCTION("""COMPUTED_VALUE"""),"ROSENEATH ")</f>
        <v>ROSENEATH </v>
      </c>
      <c r="D10696" s="3" t="str">
        <f>IFERROR(__xludf.DUMMYFUNCTION("""COMPUTED_VALUE"""),"K0K 2X0")</f>
        <v>K0K 2X0</v>
      </c>
      <c r="E10696" s="3" t="str">
        <f>IFERROR(__xludf.DUMMYFUNCTION("""COMPUTED_VALUE"""),"Linda Huggins")</f>
        <v>Linda Huggins</v>
      </c>
      <c r="F10696" s="3"/>
      <c r="G10696" s="3"/>
      <c r="H10696" s="3"/>
    </row>
    <row r="10697">
      <c r="A10697" s="2">
        <f>IFERROR(__xludf.DUMMYFUNCTION("""COMPUTED_VALUE"""),51596.0)</f>
        <v>51596</v>
      </c>
      <c r="B10697" s="3" t="str">
        <f>IFERROR(__xludf.DUMMYFUNCTION("""COMPUTED_VALUE"""),"86 ROLLING BANKS RD SUITE 10A")</f>
        <v>86 ROLLING BANKS RD SUITE 10A</v>
      </c>
      <c r="C10697" s="3" t="str">
        <f>IFERROR(__xludf.DUMMYFUNCTION("""COMPUTED_VALUE"""),"ROSENEATH ")</f>
        <v>ROSENEATH </v>
      </c>
      <c r="D10697" s="3" t="str">
        <f>IFERROR(__xludf.DUMMYFUNCTION("""COMPUTED_VALUE"""),"K0K 2X0")</f>
        <v>K0K 2X0</v>
      </c>
      <c r="E10697" s="3" t="str">
        <f>IFERROR(__xludf.DUMMYFUNCTION("""COMPUTED_VALUE"""),"Heloisa Porto")</f>
        <v>Heloisa Porto</v>
      </c>
      <c r="F10697" s="3" t="str">
        <f>IFERROR(__xludf.DUMMYFUNCTION("""COMPUTED_VALUE"""),"heloporto10@gmail.com")</f>
        <v>heloporto10@gmail.com</v>
      </c>
      <c r="G10697" s="3">
        <f>IFERROR(__xludf.DUMMYFUNCTION("""COMPUTED_VALUE"""),6.476278362E9)</f>
        <v>6476278362</v>
      </c>
      <c r="H10697" s="3"/>
    </row>
    <row r="10698">
      <c r="A10698" s="2">
        <f>IFERROR(__xludf.DUMMYFUNCTION("""COMPUTED_VALUE"""),51597.0)</f>
        <v>51597</v>
      </c>
      <c r="B10698" s="3" t="str">
        <f>IFERROR(__xludf.DUMMYFUNCTION("""COMPUTED_VALUE"""),"86 ROLLING BANKS RD SUITE 10B")</f>
        <v>86 ROLLING BANKS RD SUITE 10B</v>
      </c>
      <c r="C10698" s="3" t="str">
        <f>IFERROR(__xludf.DUMMYFUNCTION("""COMPUTED_VALUE"""),"ROSENEATH ")</f>
        <v>ROSENEATH </v>
      </c>
      <c r="D10698" s="3" t="str">
        <f>IFERROR(__xludf.DUMMYFUNCTION("""COMPUTED_VALUE"""),"K0K 2X0")</f>
        <v>K0K 2X0</v>
      </c>
      <c r="E10698" s="3" t="str">
        <f>IFERROR(__xludf.DUMMYFUNCTION("""COMPUTED_VALUE"""),"Miranda Caitlin Black")</f>
        <v>Miranda Caitlin Black</v>
      </c>
      <c r="F10698" s="3" t="str">
        <f>IFERROR(__xludf.DUMMYFUNCTION("""COMPUTED_VALUE"""),"mirandablack94@gmail.com")</f>
        <v>mirandablack94@gmail.com</v>
      </c>
      <c r="G10698" s="3"/>
      <c r="H10698" s="3"/>
    </row>
    <row r="10699">
      <c r="A10699" s="2">
        <f>IFERROR(__xludf.DUMMYFUNCTION("""COMPUTED_VALUE"""),51598.0)</f>
        <v>51598</v>
      </c>
      <c r="B10699" s="3" t="str">
        <f>IFERROR(__xludf.DUMMYFUNCTION("""COMPUTED_VALUE"""),"86 ROLLING BANKS RD UNIT 11A")</f>
        <v>86 ROLLING BANKS RD UNIT 11A</v>
      </c>
      <c r="C10699" s="3" t="str">
        <f>IFERROR(__xludf.DUMMYFUNCTION("""COMPUTED_VALUE"""),"ROSENEATH ")</f>
        <v>ROSENEATH </v>
      </c>
      <c r="D10699" s="3" t="str">
        <f>IFERROR(__xludf.DUMMYFUNCTION("""COMPUTED_VALUE"""),"K0K 2X0")</f>
        <v>K0K 2X0</v>
      </c>
      <c r="E10699" s="3" t="str">
        <f>IFERROR(__xludf.DUMMYFUNCTION("""COMPUTED_VALUE"""),"Ashlee Samis")</f>
        <v>Ashlee Samis</v>
      </c>
      <c r="F10699" s="3" t="str">
        <f>IFERROR(__xludf.DUMMYFUNCTION("""COMPUTED_VALUE"""),"ashleevictor@hotmail.com")</f>
        <v>ashleevictor@hotmail.com</v>
      </c>
      <c r="G10699" s="3">
        <f>IFERROR(__xludf.DUMMYFUNCTION("""COMPUTED_VALUE"""),9.052696462E9)</f>
        <v>9052696462</v>
      </c>
      <c r="H10699" s="3"/>
    </row>
    <row r="10700">
      <c r="A10700" s="2">
        <f>IFERROR(__xludf.DUMMYFUNCTION("""COMPUTED_VALUE"""),51599.0)</f>
        <v>51599</v>
      </c>
      <c r="B10700" s="3" t="str">
        <f>IFERROR(__xludf.DUMMYFUNCTION("""COMPUTED_VALUE"""),"86 ROLLING BANKS RD SUITE 11B")</f>
        <v>86 ROLLING BANKS RD SUITE 11B</v>
      </c>
      <c r="C10700" s="3" t="str">
        <f>IFERROR(__xludf.DUMMYFUNCTION("""COMPUTED_VALUE"""),"ROSENEATH ")</f>
        <v>ROSENEATH </v>
      </c>
      <c r="D10700" s="3" t="str">
        <f>IFERROR(__xludf.DUMMYFUNCTION("""COMPUTED_VALUE"""),"K0K 2X0")</f>
        <v>K0K 2X0</v>
      </c>
      <c r="E10700" s="3"/>
      <c r="F10700" s="3"/>
      <c r="G10700" s="3"/>
      <c r="H10700" s="3"/>
    </row>
    <row r="10701">
      <c r="A10701" s="2">
        <f>IFERROR(__xludf.DUMMYFUNCTION("""COMPUTED_VALUE"""),51600.0)</f>
        <v>51600</v>
      </c>
      <c r="B10701" s="3" t="str">
        <f>IFERROR(__xludf.DUMMYFUNCTION("""COMPUTED_VALUE"""),"86 ROLLING BANKS RD SUITE 12A")</f>
        <v>86 ROLLING BANKS RD SUITE 12A</v>
      </c>
      <c r="C10701" s="3" t="str">
        <f>IFERROR(__xludf.DUMMYFUNCTION("""COMPUTED_VALUE"""),"ROSENEATH ")</f>
        <v>ROSENEATH </v>
      </c>
      <c r="D10701" s="3" t="str">
        <f>IFERROR(__xludf.DUMMYFUNCTION("""COMPUTED_VALUE"""),"K0K 2X0")</f>
        <v>K0K 2X0</v>
      </c>
      <c r="E10701" s="3"/>
      <c r="F10701" s="3"/>
      <c r="G10701" s="3"/>
      <c r="H10701" s="3"/>
    </row>
    <row r="10702">
      <c r="A10702" s="2">
        <f>IFERROR(__xludf.DUMMYFUNCTION("""COMPUTED_VALUE"""),51601.0)</f>
        <v>51601</v>
      </c>
      <c r="B10702" s="3" t="str">
        <f>IFERROR(__xludf.DUMMYFUNCTION("""COMPUTED_VALUE"""),"86 ROLLING BANKS RD UNIT 13A")</f>
        <v>86 ROLLING BANKS RD UNIT 13A</v>
      </c>
      <c r="C10702" s="3" t="str">
        <f>IFERROR(__xludf.DUMMYFUNCTION("""COMPUTED_VALUE"""),"ROSENEATH ")</f>
        <v>ROSENEATH </v>
      </c>
      <c r="D10702" s="3" t="str">
        <f>IFERROR(__xludf.DUMMYFUNCTION("""COMPUTED_VALUE"""),"K0K 2X0")</f>
        <v>K0K 2X0</v>
      </c>
      <c r="E10702" s="3" t="str">
        <f>IFERROR(__xludf.DUMMYFUNCTION("""COMPUTED_VALUE"""),"anne upshaw")</f>
        <v>anne upshaw</v>
      </c>
      <c r="F10702" s="3" t="str">
        <f>IFERROR(__xludf.DUMMYFUNCTION("""COMPUTED_VALUE"""),"upshawfarm@gmail.com")</f>
        <v>upshawfarm@gmail.com</v>
      </c>
      <c r="G10702" s="3">
        <f>IFERROR(__xludf.DUMMYFUNCTION("""COMPUTED_VALUE"""),2.896856307E9)</f>
        <v>2896856307</v>
      </c>
      <c r="H10702" s="3"/>
    </row>
    <row r="10703">
      <c r="A10703" s="2">
        <f>IFERROR(__xludf.DUMMYFUNCTION("""COMPUTED_VALUE"""),51602.0)</f>
        <v>51602</v>
      </c>
      <c r="B10703" s="3" t="str">
        <f>IFERROR(__xludf.DUMMYFUNCTION("""COMPUTED_VALUE"""),"86 ROLLING BANKS RD UNIT 13B")</f>
        <v>86 ROLLING BANKS RD UNIT 13B</v>
      </c>
      <c r="C10703" s="3" t="str">
        <f>IFERROR(__xludf.DUMMYFUNCTION("""COMPUTED_VALUE"""),"ROSENEATH ")</f>
        <v>ROSENEATH </v>
      </c>
      <c r="D10703" s="3" t="str">
        <f>IFERROR(__xludf.DUMMYFUNCTION("""COMPUTED_VALUE"""),"K0K 2X0")</f>
        <v>K0K 2X0</v>
      </c>
      <c r="E10703" s="3"/>
      <c r="F10703" s="3"/>
      <c r="G10703" s="3"/>
      <c r="H10703" s="3"/>
    </row>
    <row r="10704">
      <c r="A10704" s="2">
        <f>IFERROR(__xludf.DUMMYFUNCTION("""COMPUTED_VALUE"""),51603.0)</f>
        <v>51603</v>
      </c>
      <c r="B10704" s="3" t="str">
        <f>IFERROR(__xludf.DUMMYFUNCTION("""COMPUTED_VALUE"""),"86 ROLLING BANKS RD UNIT 14A")</f>
        <v>86 ROLLING BANKS RD UNIT 14A</v>
      </c>
      <c r="C10704" s="3" t="str">
        <f>IFERROR(__xludf.DUMMYFUNCTION("""COMPUTED_VALUE"""),"ROSENEATH ")</f>
        <v>ROSENEATH </v>
      </c>
      <c r="D10704" s="3" t="str">
        <f>IFERROR(__xludf.DUMMYFUNCTION("""COMPUTED_VALUE"""),"K0K 2X0")</f>
        <v>K0K 2X0</v>
      </c>
      <c r="E10704" s="3"/>
      <c r="F10704" s="3"/>
      <c r="G10704" s="3"/>
      <c r="H10704" s="3"/>
    </row>
    <row r="10705">
      <c r="A10705" s="2">
        <f>IFERROR(__xludf.DUMMYFUNCTION("""COMPUTED_VALUE"""),51604.0)</f>
        <v>51604</v>
      </c>
      <c r="B10705" s="3" t="str">
        <f>IFERROR(__xludf.DUMMYFUNCTION("""COMPUTED_VALUE"""),"86 ROLLING BANKS RD SUITE 15A")</f>
        <v>86 ROLLING BANKS RD SUITE 15A</v>
      </c>
      <c r="C10705" s="3" t="str">
        <f>IFERROR(__xludf.DUMMYFUNCTION("""COMPUTED_VALUE"""),"ROSENEATH ")</f>
        <v>ROSENEATH </v>
      </c>
      <c r="D10705" s="3" t="str">
        <f>IFERROR(__xludf.DUMMYFUNCTION("""COMPUTED_VALUE"""),"K0K 2X0")</f>
        <v>K0K 2X0</v>
      </c>
      <c r="E10705" s="3"/>
      <c r="F10705" s="3"/>
      <c r="G10705" s="3"/>
      <c r="H10705" s="3"/>
    </row>
    <row r="10706">
      <c r="A10706" s="2">
        <f>IFERROR(__xludf.DUMMYFUNCTION("""COMPUTED_VALUE"""),51605.0)</f>
        <v>51605</v>
      </c>
      <c r="B10706" s="3" t="str">
        <f>IFERROR(__xludf.DUMMYFUNCTION("""COMPUTED_VALUE"""),"86 ROLLING BANKS RD UNIT 15B")</f>
        <v>86 ROLLING BANKS RD UNIT 15B</v>
      </c>
      <c r="C10706" s="3" t="str">
        <f>IFERROR(__xludf.DUMMYFUNCTION("""COMPUTED_VALUE"""),"ROSENEATH ")</f>
        <v>ROSENEATH </v>
      </c>
      <c r="D10706" s="3" t="str">
        <f>IFERROR(__xludf.DUMMYFUNCTION("""COMPUTED_VALUE"""),"K0K 2X0")</f>
        <v>K0K 2X0</v>
      </c>
      <c r="E10706" s="3"/>
      <c r="F10706" s="3"/>
      <c r="G10706" s="3"/>
      <c r="H10706" s="3"/>
    </row>
    <row r="10707">
      <c r="A10707" s="2">
        <f>IFERROR(__xludf.DUMMYFUNCTION("""COMPUTED_VALUE"""),51606.0)</f>
        <v>51606</v>
      </c>
      <c r="B10707" s="3" t="str">
        <f>IFERROR(__xludf.DUMMYFUNCTION("""COMPUTED_VALUE"""),"86 ROLLING BANKS RD UNIT 17A")</f>
        <v>86 ROLLING BANKS RD UNIT 17A</v>
      </c>
      <c r="C10707" s="3" t="str">
        <f>IFERROR(__xludf.DUMMYFUNCTION("""COMPUTED_VALUE"""),"ROSENEATH ")</f>
        <v>ROSENEATH </v>
      </c>
      <c r="D10707" s="3" t="str">
        <f>IFERROR(__xludf.DUMMYFUNCTION("""COMPUTED_VALUE"""),"K0K 2X0")</f>
        <v>K0K 2X0</v>
      </c>
      <c r="E10707" s="3"/>
      <c r="F10707" s="3"/>
      <c r="G10707" s="3"/>
      <c r="H10707" s="3"/>
    </row>
    <row r="10708">
      <c r="A10708" s="2">
        <f>IFERROR(__xludf.DUMMYFUNCTION("""COMPUTED_VALUE"""),51607.0)</f>
        <v>51607</v>
      </c>
      <c r="B10708" s="3" t="str">
        <f>IFERROR(__xludf.DUMMYFUNCTION("""COMPUTED_VALUE"""),"86 ROLLING BANKS RD UNIT 18A")</f>
        <v>86 ROLLING BANKS RD UNIT 18A</v>
      </c>
      <c r="C10708" s="3" t="str">
        <f>IFERROR(__xludf.DUMMYFUNCTION("""COMPUTED_VALUE"""),"ROSENEATH ")</f>
        <v>ROSENEATH </v>
      </c>
      <c r="D10708" s="3" t="str">
        <f>IFERROR(__xludf.DUMMYFUNCTION("""COMPUTED_VALUE"""),"K0K 2X0")</f>
        <v>K0K 2X0</v>
      </c>
      <c r="E10708" s="3" t="str">
        <f>IFERROR(__xludf.DUMMYFUNCTION("""COMPUTED_VALUE"""),"pierre blais")</f>
        <v>pierre blais</v>
      </c>
      <c r="F10708" s="3"/>
      <c r="G10708" s="3"/>
      <c r="H10708" s="3"/>
    </row>
    <row r="10709">
      <c r="A10709" s="2">
        <f>IFERROR(__xludf.DUMMYFUNCTION("""COMPUTED_VALUE"""),51608.0)</f>
        <v>51608</v>
      </c>
      <c r="B10709" s="3" t="str">
        <f>IFERROR(__xludf.DUMMYFUNCTION("""COMPUTED_VALUE"""),"86 ROLLING BANKS RD UNIT 19B")</f>
        <v>86 ROLLING BANKS RD UNIT 19B</v>
      </c>
      <c r="C10709" s="3" t="str">
        <f>IFERROR(__xludf.DUMMYFUNCTION("""COMPUTED_VALUE"""),"ROSENEATH ")</f>
        <v>ROSENEATH </v>
      </c>
      <c r="D10709" s="3" t="str">
        <f>IFERROR(__xludf.DUMMYFUNCTION("""COMPUTED_VALUE"""),"K0K 2X0")</f>
        <v>K0K 2X0</v>
      </c>
      <c r="E10709" s="3"/>
      <c r="F10709" s="3"/>
      <c r="G10709" s="3"/>
      <c r="H10709" s="3"/>
    </row>
    <row r="10710">
      <c r="A10710" s="2">
        <f>IFERROR(__xludf.DUMMYFUNCTION("""COMPUTED_VALUE"""),51609.0)</f>
        <v>51609</v>
      </c>
      <c r="B10710" s="3" t="str">
        <f>IFERROR(__xludf.DUMMYFUNCTION("""COMPUTED_VALUE"""),"86 ROLLING BANKS RD UNIT 20A")</f>
        <v>86 ROLLING BANKS RD UNIT 20A</v>
      </c>
      <c r="C10710" s="3" t="str">
        <f>IFERROR(__xludf.DUMMYFUNCTION("""COMPUTED_VALUE"""),"ROSENEATH ")</f>
        <v>ROSENEATH </v>
      </c>
      <c r="D10710" s="3" t="str">
        <f>IFERROR(__xludf.DUMMYFUNCTION("""COMPUTED_VALUE"""),"K0K 2X0")</f>
        <v>K0K 2X0</v>
      </c>
      <c r="E10710" s="3" t="str">
        <f>IFERROR(__xludf.DUMMYFUNCTION("""COMPUTED_VALUE"""),"James Park")</f>
        <v>James Park</v>
      </c>
      <c r="F10710" s="3" t="str">
        <f>IFERROR(__xludf.DUMMYFUNCTION("""COMPUTED_VALUE"""),"parkron888@gmail.com")</f>
        <v>parkron888@gmail.com</v>
      </c>
      <c r="G10710" s="3">
        <f>IFERROR(__xludf.DUMMYFUNCTION("""COMPUTED_VALUE"""),9.052443811E9)</f>
        <v>9052443811</v>
      </c>
      <c r="H10710" s="3"/>
    </row>
    <row r="10711">
      <c r="A10711" s="2">
        <f>IFERROR(__xludf.DUMMYFUNCTION("""COMPUTED_VALUE"""),51610.0)</f>
        <v>51610</v>
      </c>
      <c r="B10711" s="3" t="str">
        <f>IFERROR(__xludf.DUMMYFUNCTION("""COMPUTED_VALUE"""),"86 ROLLING BANKS RD UNIT 20B")</f>
        <v>86 ROLLING BANKS RD UNIT 20B</v>
      </c>
      <c r="C10711" s="3" t="str">
        <f>IFERROR(__xludf.DUMMYFUNCTION("""COMPUTED_VALUE"""),"ROSENEATH ")</f>
        <v>ROSENEATH </v>
      </c>
      <c r="D10711" s="3" t="str">
        <f>IFERROR(__xludf.DUMMYFUNCTION("""COMPUTED_VALUE"""),"K0K 2X0")</f>
        <v>K0K 2X0</v>
      </c>
      <c r="E10711" s="3"/>
      <c r="F10711" s="3"/>
      <c r="G10711" s="3"/>
      <c r="H10711" s="3"/>
    </row>
    <row r="10712">
      <c r="A10712" s="2">
        <f>IFERROR(__xludf.DUMMYFUNCTION("""COMPUTED_VALUE"""),51611.0)</f>
        <v>51611</v>
      </c>
      <c r="B10712" s="3" t="str">
        <f>IFERROR(__xludf.DUMMYFUNCTION("""COMPUTED_VALUE"""),"86 ROLLING BANKS RD UNIT 21A")</f>
        <v>86 ROLLING BANKS RD UNIT 21A</v>
      </c>
      <c r="C10712" s="3" t="str">
        <f>IFERROR(__xludf.DUMMYFUNCTION("""COMPUTED_VALUE"""),"ROSENEATH ")</f>
        <v>ROSENEATH </v>
      </c>
      <c r="D10712" s="3" t="str">
        <f>IFERROR(__xludf.DUMMYFUNCTION("""COMPUTED_VALUE"""),"K0K 2X0")</f>
        <v>K0K 2X0</v>
      </c>
      <c r="E10712" s="3" t="str">
        <f>IFERROR(__xludf.DUMMYFUNCTION("""COMPUTED_VALUE"""),"norman laroun")</f>
        <v>norman laroun</v>
      </c>
      <c r="F10712" s="3" t="str">
        <f>IFERROR(__xludf.DUMMYFUNCTION("""COMPUTED_VALUE"""),"atmegauser@hotmail.com")</f>
        <v>atmegauser@hotmail.com</v>
      </c>
      <c r="G10712" s="3">
        <f>IFERROR(__xludf.DUMMYFUNCTION("""COMPUTED_VALUE"""),9.053522442E9)</f>
        <v>9053522442</v>
      </c>
      <c r="H10712" s="3"/>
    </row>
    <row r="10713">
      <c r="A10713" s="2">
        <f>IFERROR(__xludf.DUMMYFUNCTION("""COMPUTED_VALUE"""),51612.0)</f>
        <v>51612</v>
      </c>
      <c r="B10713" s="3" t="str">
        <f>IFERROR(__xludf.DUMMYFUNCTION("""COMPUTED_VALUE"""),"86 ROLLING BANKS RD UNIT 21B")</f>
        <v>86 ROLLING BANKS RD UNIT 21B</v>
      </c>
      <c r="C10713" s="3" t="str">
        <f>IFERROR(__xludf.DUMMYFUNCTION("""COMPUTED_VALUE"""),"ROSENEATH ")</f>
        <v>ROSENEATH </v>
      </c>
      <c r="D10713" s="3" t="str">
        <f>IFERROR(__xludf.DUMMYFUNCTION("""COMPUTED_VALUE"""),"K0K 2X0")</f>
        <v>K0K 2X0</v>
      </c>
      <c r="E10713" s="3" t="str">
        <f>IFERROR(__xludf.DUMMYFUNCTION("""COMPUTED_VALUE"""),"Ivan Kobe")</f>
        <v>Ivan Kobe</v>
      </c>
      <c r="F10713" s="3" t="str">
        <f>IFERROR(__xludf.DUMMYFUNCTION("""COMPUTED_VALUE"""),"ivan.kobe@outlook.com")</f>
        <v>ivan.kobe@outlook.com</v>
      </c>
      <c r="G10713" s="3"/>
      <c r="H10713" s="3"/>
    </row>
    <row r="10714">
      <c r="A10714" s="2">
        <f>IFERROR(__xludf.DUMMYFUNCTION("""COMPUTED_VALUE"""),51613.0)</f>
        <v>51613</v>
      </c>
      <c r="B10714" s="3" t="str">
        <f>IFERROR(__xludf.DUMMYFUNCTION("""COMPUTED_VALUE"""),"86 ROLLING BANKS RD UNIT 22A")</f>
        <v>86 ROLLING BANKS RD UNIT 22A</v>
      </c>
      <c r="C10714" s="3" t="str">
        <f>IFERROR(__xludf.DUMMYFUNCTION("""COMPUTED_VALUE"""),"ROSENEATH ")</f>
        <v>ROSENEATH </v>
      </c>
      <c r="D10714" s="3" t="str">
        <f>IFERROR(__xludf.DUMMYFUNCTION("""COMPUTED_VALUE"""),"K0K 2X0")</f>
        <v>K0K 2X0</v>
      </c>
      <c r="E10714" s="3"/>
      <c r="F10714" s="3"/>
      <c r="G10714" s="3"/>
      <c r="H10714" s="3"/>
    </row>
    <row r="10715">
      <c r="A10715" s="2">
        <f>IFERROR(__xludf.DUMMYFUNCTION("""COMPUTED_VALUE"""),51614.0)</f>
        <v>51614</v>
      </c>
      <c r="B10715" s="3" t="str">
        <f>IFERROR(__xludf.DUMMYFUNCTION("""COMPUTED_VALUE"""),"86 ROLLING BANKS RD UNIT 25B")</f>
        <v>86 ROLLING BANKS RD UNIT 25B</v>
      </c>
      <c r="C10715" s="3" t="str">
        <f>IFERROR(__xludf.DUMMYFUNCTION("""COMPUTED_VALUE"""),"ROSENEATH ")</f>
        <v>ROSENEATH </v>
      </c>
      <c r="D10715" s="3" t="str">
        <f>IFERROR(__xludf.DUMMYFUNCTION("""COMPUTED_VALUE"""),"K0K 2X0")</f>
        <v>K0K 2X0</v>
      </c>
      <c r="E10715" s="3"/>
      <c r="F10715" s="3"/>
      <c r="G10715" s="3"/>
      <c r="H10715" s="3"/>
    </row>
    <row r="10716">
      <c r="A10716" s="2">
        <f>IFERROR(__xludf.DUMMYFUNCTION("""COMPUTED_VALUE"""),51615.0)</f>
        <v>51615</v>
      </c>
      <c r="B10716" s="3" t="str">
        <f>IFERROR(__xludf.DUMMYFUNCTION("""COMPUTED_VALUE"""),"86 ROLLING BANKS RD UNIT 26B")</f>
        <v>86 ROLLING BANKS RD UNIT 26B</v>
      </c>
      <c r="C10716" s="3" t="str">
        <f>IFERROR(__xludf.DUMMYFUNCTION("""COMPUTED_VALUE"""),"ROSENEATH ")</f>
        <v>ROSENEATH </v>
      </c>
      <c r="D10716" s="3" t="str">
        <f>IFERROR(__xludf.DUMMYFUNCTION("""COMPUTED_VALUE"""),"K0K 2X0")</f>
        <v>K0K 2X0</v>
      </c>
      <c r="E10716" s="3"/>
      <c r="F10716" s="3"/>
      <c r="G10716" s="3"/>
      <c r="H10716" s="3"/>
    </row>
    <row r="10717">
      <c r="A10717" s="2">
        <f>IFERROR(__xludf.DUMMYFUNCTION("""COMPUTED_VALUE"""),51616.0)</f>
        <v>51616</v>
      </c>
      <c r="B10717" s="3" t="str">
        <f>IFERROR(__xludf.DUMMYFUNCTION("""COMPUTED_VALUE"""),"86 ROLLING BANKS RD UNIT 28B")</f>
        <v>86 ROLLING BANKS RD UNIT 28B</v>
      </c>
      <c r="C10717" s="3" t="str">
        <f>IFERROR(__xludf.DUMMYFUNCTION("""COMPUTED_VALUE"""),"ROSENEATH ")</f>
        <v>ROSENEATH </v>
      </c>
      <c r="D10717" s="3" t="str">
        <f>IFERROR(__xludf.DUMMYFUNCTION("""COMPUTED_VALUE"""),"K0K 2X0")</f>
        <v>K0K 2X0</v>
      </c>
      <c r="E10717" s="3"/>
      <c r="F10717" s="3"/>
      <c r="G10717" s="3"/>
      <c r="H10717" s="3"/>
    </row>
    <row r="10718">
      <c r="A10718" s="2">
        <f>IFERROR(__xludf.DUMMYFUNCTION("""COMPUTED_VALUE"""),51617.0)</f>
        <v>51617</v>
      </c>
      <c r="B10718" s="3" t="str">
        <f>IFERROR(__xludf.DUMMYFUNCTION("""COMPUTED_VALUE"""),"86 ROLLING BANKS RD UNIT 2B")</f>
        <v>86 ROLLING BANKS RD UNIT 2B</v>
      </c>
      <c r="C10718" s="3" t="str">
        <f>IFERROR(__xludf.DUMMYFUNCTION("""COMPUTED_VALUE"""),"ROSENEATH ")</f>
        <v>ROSENEATH </v>
      </c>
      <c r="D10718" s="3" t="str">
        <f>IFERROR(__xludf.DUMMYFUNCTION("""COMPUTED_VALUE"""),"K0K 2X0")</f>
        <v>K0K 2X0</v>
      </c>
      <c r="E10718" s="3" t="str">
        <f>IFERROR(__xludf.DUMMYFUNCTION("""COMPUTED_VALUE"""),"anthony victor / KAREN VICTOR")</f>
        <v>anthony victor / KAREN VICTOR</v>
      </c>
      <c r="F10718" s="3" t="str">
        <f>IFERROR(__xludf.DUMMYFUNCTION("""COMPUTED_VALUE"""),"avictor_69@hotmail.com / kvictor_72@hotmail.com")</f>
        <v>avictor_69@hotmail.com / kvictor_72@hotmail.com</v>
      </c>
      <c r="G10718" s="3">
        <f>IFERROR(__xludf.DUMMYFUNCTION("""COMPUTED_VALUE"""),2.897711054E9)</f>
        <v>2897711054</v>
      </c>
      <c r="H10718" s="3">
        <f>IFERROR(__xludf.DUMMYFUNCTION("""COMPUTED_VALUE"""),2.892513317E9)</f>
        <v>2892513317</v>
      </c>
    </row>
    <row r="10719">
      <c r="A10719" s="2">
        <f>IFERROR(__xludf.DUMMYFUNCTION("""COMPUTED_VALUE"""),51618.0)</f>
        <v>51618</v>
      </c>
      <c r="B10719" s="3" t="str">
        <f>IFERROR(__xludf.DUMMYFUNCTION("""COMPUTED_VALUE"""),"86 ROLLING BANKS RD UNIT 32B")</f>
        <v>86 ROLLING BANKS RD UNIT 32B</v>
      </c>
      <c r="C10719" s="3" t="str">
        <f>IFERROR(__xludf.DUMMYFUNCTION("""COMPUTED_VALUE"""),"ROSENEATH ")</f>
        <v>ROSENEATH </v>
      </c>
      <c r="D10719" s="3" t="str">
        <f>IFERROR(__xludf.DUMMYFUNCTION("""COMPUTED_VALUE"""),"K0K 2X0")</f>
        <v>K0K 2X0</v>
      </c>
      <c r="E10719" s="3"/>
      <c r="F10719" s="3"/>
      <c r="G10719" s="3"/>
      <c r="H10719" s="3"/>
    </row>
    <row r="10720">
      <c r="A10720" s="2">
        <f>IFERROR(__xludf.DUMMYFUNCTION("""COMPUTED_VALUE"""),51619.0)</f>
        <v>51619</v>
      </c>
      <c r="B10720" s="3" t="str">
        <f>IFERROR(__xludf.DUMMYFUNCTION("""COMPUTED_VALUE"""),"86 ROLLING BANKS RD SUITE 34B")</f>
        <v>86 ROLLING BANKS RD SUITE 34B</v>
      </c>
      <c r="C10720" s="3" t="str">
        <f>IFERROR(__xludf.DUMMYFUNCTION("""COMPUTED_VALUE"""),"ROSENEATH ")</f>
        <v>ROSENEATH </v>
      </c>
      <c r="D10720" s="3" t="str">
        <f>IFERROR(__xludf.DUMMYFUNCTION("""COMPUTED_VALUE"""),"K0K 2X0")</f>
        <v>K0K 2X0</v>
      </c>
      <c r="E10720" s="3"/>
      <c r="F10720" s="3"/>
      <c r="G10720" s="3"/>
      <c r="H10720" s="3"/>
    </row>
    <row r="10721">
      <c r="A10721" s="2">
        <f>IFERROR(__xludf.DUMMYFUNCTION("""COMPUTED_VALUE"""),51620.0)</f>
        <v>51620</v>
      </c>
      <c r="B10721" s="3" t="str">
        <f>IFERROR(__xludf.DUMMYFUNCTION("""COMPUTED_VALUE"""),"86 ROLLING BANKS RD UNIT 35B")</f>
        <v>86 ROLLING BANKS RD UNIT 35B</v>
      </c>
      <c r="C10721" s="3" t="str">
        <f>IFERROR(__xludf.DUMMYFUNCTION("""COMPUTED_VALUE"""),"ROSENEATH ")</f>
        <v>ROSENEATH </v>
      </c>
      <c r="D10721" s="3" t="str">
        <f>IFERROR(__xludf.DUMMYFUNCTION("""COMPUTED_VALUE"""),"K0K 2X0")</f>
        <v>K0K 2X0</v>
      </c>
      <c r="E10721" s="3"/>
      <c r="F10721" s="3"/>
      <c r="G10721" s="3"/>
      <c r="H10721" s="3"/>
    </row>
    <row r="10722">
      <c r="A10722" s="2">
        <f>IFERROR(__xludf.DUMMYFUNCTION("""COMPUTED_VALUE"""),51621.0)</f>
        <v>51621</v>
      </c>
      <c r="B10722" s="3" t="str">
        <f>IFERROR(__xludf.DUMMYFUNCTION("""COMPUTED_VALUE"""),"86 ROLLING BANKS RD SUITE 36B")</f>
        <v>86 ROLLING BANKS RD SUITE 36B</v>
      </c>
      <c r="C10722" s="3" t="str">
        <f>IFERROR(__xludf.DUMMYFUNCTION("""COMPUTED_VALUE"""),"ROSENEATH ")</f>
        <v>ROSENEATH </v>
      </c>
      <c r="D10722" s="3" t="str">
        <f>IFERROR(__xludf.DUMMYFUNCTION("""COMPUTED_VALUE"""),"K0K 2X0")</f>
        <v>K0K 2X0</v>
      </c>
      <c r="E10722" s="3"/>
      <c r="F10722" s="3"/>
      <c r="G10722" s="3"/>
      <c r="H10722" s="3"/>
    </row>
    <row r="10723">
      <c r="A10723" s="2">
        <f>IFERROR(__xludf.DUMMYFUNCTION("""COMPUTED_VALUE"""),51622.0)</f>
        <v>51622</v>
      </c>
      <c r="B10723" s="3" t="str">
        <f>IFERROR(__xludf.DUMMYFUNCTION("""COMPUTED_VALUE"""),"86 ROLLING BANKS RD UNIT 37B")</f>
        <v>86 ROLLING BANKS RD UNIT 37B</v>
      </c>
      <c r="C10723" s="3" t="str">
        <f>IFERROR(__xludf.DUMMYFUNCTION("""COMPUTED_VALUE"""),"ROSENEATH ")</f>
        <v>ROSENEATH </v>
      </c>
      <c r="D10723" s="3" t="str">
        <f>IFERROR(__xludf.DUMMYFUNCTION("""COMPUTED_VALUE"""),"K0K 2X0")</f>
        <v>K0K 2X0</v>
      </c>
      <c r="E10723" s="3"/>
      <c r="F10723" s="3"/>
      <c r="G10723" s="3"/>
      <c r="H10723" s="3"/>
    </row>
    <row r="10724">
      <c r="A10724" s="2">
        <f>IFERROR(__xludf.DUMMYFUNCTION("""COMPUTED_VALUE"""),51623.0)</f>
        <v>51623</v>
      </c>
      <c r="B10724" s="3" t="str">
        <f>IFERROR(__xludf.DUMMYFUNCTION("""COMPUTED_VALUE"""),"86 ROLLING BANKS RD UNIT 3A")</f>
        <v>86 ROLLING BANKS RD UNIT 3A</v>
      </c>
      <c r="C10724" s="3" t="str">
        <f>IFERROR(__xludf.DUMMYFUNCTION("""COMPUTED_VALUE"""),"ROSENEATH ")</f>
        <v>ROSENEATH </v>
      </c>
      <c r="D10724" s="3" t="str">
        <f>IFERROR(__xludf.DUMMYFUNCTION("""COMPUTED_VALUE"""),"K0K 2X0")</f>
        <v>K0K 2X0</v>
      </c>
      <c r="E10724" s="3"/>
      <c r="F10724" s="3"/>
      <c r="G10724" s="3"/>
      <c r="H10724" s="3"/>
    </row>
    <row r="10725">
      <c r="A10725" s="2">
        <f>IFERROR(__xludf.DUMMYFUNCTION("""COMPUTED_VALUE"""),51624.0)</f>
        <v>51624</v>
      </c>
      <c r="B10725" s="3" t="str">
        <f>IFERROR(__xludf.DUMMYFUNCTION("""COMPUTED_VALUE"""),"86 ROLLING BANKS RD SUITE 41B")</f>
        <v>86 ROLLING BANKS RD SUITE 41B</v>
      </c>
      <c r="C10725" s="3" t="str">
        <f>IFERROR(__xludf.DUMMYFUNCTION("""COMPUTED_VALUE"""),"ROSENEATH ")</f>
        <v>ROSENEATH </v>
      </c>
      <c r="D10725" s="3" t="str">
        <f>IFERROR(__xludf.DUMMYFUNCTION("""COMPUTED_VALUE"""),"K0K 2X0")</f>
        <v>K0K 2X0</v>
      </c>
      <c r="E10725" s="3" t="str">
        <f>IFERROR(__xludf.DUMMYFUNCTION("""COMPUTED_VALUE"""),"dave prokopowicz")</f>
        <v>dave prokopowicz</v>
      </c>
      <c r="F10725" s="3" t="str">
        <f>IFERROR(__xludf.DUMMYFUNCTION("""COMPUTED_VALUE"""),"dave6363@hotmail.com")</f>
        <v>dave6363@hotmail.com</v>
      </c>
      <c r="G10725" s="3">
        <f>IFERROR(__xludf.DUMMYFUNCTION("""COMPUTED_VALUE"""),5.19505472E9)</f>
        <v>5195054720</v>
      </c>
      <c r="H10725" s="3"/>
    </row>
    <row r="10726">
      <c r="A10726" s="2">
        <f>IFERROR(__xludf.DUMMYFUNCTION("""COMPUTED_VALUE"""),51625.0)</f>
        <v>51625</v>
      </c>
      <c r="B10726" s="3" t="str">
        <f>IFERROR(__xludf.DUMMYFUNCTION("""COMPUTED_VALUE"""),"86 ROLLING BANKS RD UNIT 42B")</f>
        <v>86 ROLLING BANKS RD UNIT 42B</v>
      </c>
      <c r="C10726" s="3" t="str">
        <f>IFERROR(__xludf.DUMMYFUNCTION("""COMPUTED_VALUE"""),"ROSENEATH ")</f>
        <v>ROSENEATH </v>
      </c>
      <c r="D10726" s="3" t="str">
        <f>IFERROR(__xludf.DUMMYFUNCTION("""COMPUTED_VALUE"""),"K0K 2X0")</f>
        <v>K0K 2X0</v>
      </c>
      <c r="E10726" s="3"/>
      <c r="F10726" s="3"/>
      <c r="G10726" s="3"/>
      <c r="H10726" s="3"/>
    </row>
    <row r="10727">
      <c r="A10727" s="2">
        <f>IFERROR(__xludf.DUMMYFUNCTION("""COMPUTED_VALUE"""),51626.0)</f>
        <v>51626</v>
      </c>
      <c r="B10727" s="3" t="str">
        <f>IFERROR(__xludf.DUMMYFUNCTION("""COMPUTED_VALUE"""),"86 ROLLING BANKS RD UNIT 4B")</f>
        <v>86 ROLLING BANKS RD UNIT 4B</v>
      </c>
      <c r="C10727" s="3" t="str">
        <f>IFERROR(__xludf.DUMMYFUNCTION("""COMPUTED_VALUE"""),"ROSENEATH ")</f>
        <v>ROSENEATH </v>
      </c>
      <c r="D10727" s="3" t="str">
        <f>IFERROR(__xludf.DUMMYFUNCTION("""COMPUTED_VALUE"""),"K0K 2X0")</f>
        <v>K0K 2X0</v>
      </c>
      <c r="E10727" s="3"/>
      <c r="F10727" s="3"/>
      <c r="G10727" s="3"/>
      <c r="H10727" s="3"/>
    </row>
    <row r="10728">
      <c r="A10728" s="2">
        <f>IFERROR(__xludf.DUMMYFUNCTION("""COMPUTED_VALUE"""),51627.0)</f>
        <v>51627</v>
      </c>
      <c r="B10728" s="3" t="str">
        <f>IFERROR(__xludf.DUMMYFUNCTION("""COMPUTED_VALUE"""),"86 ROLLING BANKS RD UNIT 6A")</f>
        <v>86 ROLLING BANKS RD UNIT 6A</v>
      </c>
      <c r="C10728" s="3" t="str">
        <f>IFERROR(__xludf.DUMMYFUNCTION("""COMPUTED_VALUE"""),"ROSENEATH ")</f>
        <v>ROSENEATH </v>
      </c>
      <c r="D10728" s="3" t="str">
        <f>IFERROR(__xludf.DUMMYFUNCTION("""COMPUTED_VALUE"""),"K0K 2X0")</f>
        <v>K0K 2X0</v>
      </c>
      <c r="E10728" s="3"/>
      <c r="F10728" s="3"/>
      <c r="G10728" s="3"/>
      <c r="H10728" s="3"/>
    </row>
    <row r="10729">
      <c r="A10729" s="2">
        <f>IFERROR(__xludf.DUMMYFUNCTION("""COMPUTED_VALUE"""),51628.0)</f>
        <v>51628</v>
      </c>
      <c r="B10729" s="3" t="str">
        <f>IFERROR(__xludf.DUMMYFUNCTION("""COMPUTED_VALUE"""),"86 ROLLING BANKS RD UNIT 6B")</f>
        <v>86 ROLLING BANKS RD UNIT 6B</v>
      </c>
      <c r="C10729" s="3" t="str">
        <f>IFERROR(__xludf.DUMMYFUNCTION("""COMPUTED_VALUE"""),"ROSENEATH ")</f>
        <v>ROSENEATH </v>
      </c>
      <c r="D10729" s="3" t="str">
        <f>IFERROR(__xludf.DUMMYFUNCTION("""COMPUTED_VALUE"""),"K0K 2X0")</f>
        <v>K0K 2X0</v>
      </c>
      <c r="E10729" s="3"/>
      <c r="F10729" s="3"/>
      <c r="G10729" s="3"/>
      <c r="H10729" s="3"/>
    </row>
    <row r="10730">
      <c r="A10730" s="2">
        <f>IFERROR(__xludf.DUMMYFUNCTION("""COMPUTED_VALUE"""),51629.0)</f>
        <v>51629</v>
      </c>
      <c r="B10730" s="3" t="str">
        <f>IFERROR(__xludf.DUMMYFUNCTION("""COMPUTED_VALUE"""),"86 ROLLING BANKS RD UNIT 8A")</f>
        <v>86 ROLLING BANKS RD UNIT 8A</v>
      </c>
      <c r="C10730" s="3" t="str">
        <f>IFERROR(__xludf.DUMMYFUNCTION("""COMPUTED_VALUE"""),"ROSENEATH ")</f>
        <v>ROSENEATH </v>
      </c>
      <c r="D10730" s="3" t="str">
        <f>IFERROR(__xludf.DUMMYFUNCTION("""COMPUTED_VALUE"""),"K0K 2X0")</f>
        <v>K0K 2X0</v>
      </c>
      <c r="E10730" s="3" t="str">
        <f>IFERROR(__xludf.DUMMYFUNCTION("""COMPUTED_VALUE"""),"emmanuel annor")</f>
        <v>emmanuel annor</v>
      </c>
      <c r="F10730" s="3" t="str">
        <f>IFERROR(__xludf.DUMMYFUNCTION("""COMPUTED_VALUE"""),"bridax90@gmail.com")</f>
        <v>bridax90@gmail.com</v>
      </c>
      <c r="G10730" s="3">
        <f>IFERROR(__xludf.DUMMYFUNCTION("""COMPUTED_VALUE"""),6.477823106E9)</f>
        <v>6477823106</v>
      </c>
      <c r="H10730" s="3"/>
    </row>
    <row r="10731">
      <c r="A10731" s="2">
        <f>IFERROR(__xludf.DUMMYFUNCTION("""COMPUTED_VALUE"""),51630.0)</f>
        <v>51630</v>
      </c>
      <c r="B10731" s="3" t="str">
        <f>IFERROR(__xludf.DUMMYFUNCTION("""COMPUTED_VALUE"""),"86 ROLLING BANKS RD 12B")</f>
        <v>86 ROLLING BANKS RD 12B</v>
      </c>
      <c r="C10731" s="3" t="str">
        <f>IFERROR(__xludf.DUMMYFUNCTION("""COMPUTED_VALUE"""),"ROSENEATH ")</f>
        <v>ROSENEATH </v>
      </c>
      <c r="D10731" s="3" t="str">
        <f>IFERROR(__xludf.DUMMYFUNCTION("""COMPUTED_VALUE"""),"K0K 2X0")</f>
        <v>K0K 2X0</v>
      </c>
      <c r="E10731" s="3" t="str">
        <f>IFERROR(__xludf.DUMMYFUNCTION("""COMPUTED_VALUE"""),"fred barner ")</f>
        <v>fred barner </v>
      </c>
      <c r="F10731" s="3" t="str">
        <f>IFERROR(__xludf.DUMMYFUNCTION("""COMPUTED_VALUE"""),"derf4009@live.ca")</f>
        <v>derf4009@live.ca</v>
      </c>
      <c r="G10731" s="3">
        <f>IFERROR(__xludf.DUMMYFUNCTION("""COMPUTED_VALUE"""),7.05274503E9)</f>
        <v>7052745030</v>
      </c>
      <c r="H10731" s="3"/>
    </row>
    <row r="10732">
      <c r="A10732" s="2">
        <f>IFERROR(__xludf.DUMMYFUNCTION("""COMPUTED_VALUE"""),51631.0)</f>
        <v>51631</v>
      </c>
      <c r="B10732" s="3" t="str">
        <f>IFERROR(__xludf.DUMMYFUNCTION("""COMPUTED_VALUE"""),"86 ROLLING BANKS RD 14B")</f>
        <v>86 ROLLING BANKS RD 14B</v>
      </c>
      <c r="C10732" s="3" t="str">
        <f>IFERROR(__xludf.DUMMYFUNCTION("""COMPUTED_VALUE"""),"ROSENEATH ")</f>
        <v>ROSENEATH </v>
      </c>
      <c r="D10732" s="3" t="str">
        <f>IFERROR(__xludf.DUMMYFUNCTION("""COMPUTED_VALUE"""),"K0K 2X0")</f>
        <v>K0K 2X0</v>
      </c>
      <c r="E10732" s="3"/>
      <c r="F10732" s="3"/>
      <c r="G10732" s="3"/>
      <c r="H10732" s="3"/>
    </row>
    <row r="10733">
      <c r="A10733" s="2">
        <f>IFERROR(__xludf.DUMMYFUNCTION("""COMPUTED_VALUE"""),51632.0)</f>
        <v>51632</v>
      </c>
      <c r="B10733" s="3" t="str">
        <f>IFERROR(__xludf.DUMMYFUNCTION("""COMPUTED_VALUE"""),"86 ROLLING BANKS RD 16A")</f>
        <v>86 ROLLING BANKS RD 16A</v>
      </c>
      <c r="C10733" s="3" t="str">
        <f>IFERROR(__xludf.DUMMYFUNCTION("""COMPUTED_VALUE"""),"ROSENEATH ")</f>
        <v>ROSENEATH </v>
      </c>
      <c r="D10733" s="3" t="str">
        <f>IFERROR(__xludf.DUMMYFUNCTION("""COMPUTED_VALUE"""),"K0K 2X0")</f>
        <v>K0K 2X0</v>
      </c>
      <c r="E10733" s="3" t="str">
        <f>IFERROR(__xludf.DUMMYFUNCTION("""COMPUTED_VALUE"""),"sam saad")</f>
        <v>sam saad</v>
      </c>
      <c r="F10733" s="3" t="str">
        <f>IFERROR(__xludf.DUMMYFUNCTION("""COMPUTED_VALUE"""),"samy.ramirez.saad@gmail.com")</f>
        <v>samy.ramirez.saad@gmail.com</v>
      </c>
      <c r="G10733" s="3">
        <f>IFERROR(__xludf.DUMMYFUNCTION("""COMPUTED_VALUE"""),4.169939435E9)</f>
        <v>4169939435</v>
      </c>
      <c r="H10733" s="3"/>
    </row>
    <row r="10734">
      <c r="A10734" s="2">
        <f>IFERROR(__xludf.DUMMYFUNCTION("""COMPUTED_VALUE"""),51633.0)</f>
        <v>51633</v>
      </c>
      <c r="B10734" s="3" t="str">
        <f>IFERROR(__xludf.DUMMYFUNCTION("""COMPUTED_VALUE"""),"86 ROLLING BANKS RD 17B")</f>
        <v>86 ROLLING BANKS RD 17B</v>
      </c>
      <c r="C10734" s="3" t="str">
        <f>IFERROR(__xludf.DUMMYFUNCTION("""COMPUTED_VALUE"""),"ROSENEATH ")</f>
        <v>ROSENEATH </v>
      </c>
      <c r="D10734" s="3" t="str">
        <f>IFERROR(__xludf.DUMMYFUNCTION("""COMPUTED_VALUE"""),"K0K 2X0")</f>
        <v>K0K 2X0</v>
      </c>
      <c r="E10734" s="3"/>
      <c r="F10734" s="3"/>
      <c r="G10734" s="3"/>
      <c r="H10734" s="3"/>
    </row>
    <row r="10735">
      <c r="A10735" s="2">
        <f>IFERROR(__xludf.DUMMYFUNCTION("""COMPUTED_VALUE"""),51634.0)</f>
        <v>51634</v>
      </c>
      <c r="B10735" s="3" t="str">
        <f>IFERROR(__xludf.DUMMYFUNCTION("""COMPUTED_VALUE"""),"86 ROLLING BANKS RD 18B")</f>
        <v>86 ROLLING BANKS RD 18B</v>
      </c>
      <c r="C10735" s="3" t="str">
        <f>IFERROR(__xludf.DUMMYFUNCTION("""COMPUTED_VALUE"""),"ROSENEATH ")</f>
        <v>ROSENEATH </v>
      </c>
      <c r="D10735" s="3" t="str">
        <f>IFERROR(__xludf.DUMMYFUNCTION("""COMPUTED_VALUE"""),"K0K 2X0")</f>
        <v>K0K 2X0</v>
      </c>
      <c r="E10735" s="3"/>
      <c r="F10735" s="3"/>
      <c r="G10735" s="3"/>
      <c r="H10735" s="3"/>
    </row>
    <row r="10736">
      <c r="A10736" s="2">
        <f>IFERROR(__xludf.DUMMYFUNCTION("""COMPUTED_VALUE"""),51635.0)</f>
        <v>51635</v>
      </c>
      <c r="B10736" s="3" t="str">
        <f>IFERROR(__xludf.DUMMYFUNCTION("""COMPUTED_VALUE"""),"86 ROLLING BANKS RD 1A")</f>
        <v>86 ROLLING BANKS RD 1A</v>
      </c>
      <c r="C10736" s="3" t="str">
        <f>IFERROR(__xludf.DUMMYFUNCTION("""COMPUTED_VALUE"""),"ROSENEATH ")</f>
        <v>ROSENEATH </v>
      </c>
      <c r="D10736" s="3" t="str">
        <f>IFERROR(__xludf.DUMMYFUNCTION("""COMPUTED_VALUE"""),"K0K 2X0")</f>
        <v>K0K 2X0</v>
      </c>
      <c r="E10736" s="3"/>
      <c r="F10736" s="3"/>
      <c r="G10736" s="3"/>
      <c r="H10736" s="3"/>
    </row>
    <row r="10737">
      <c r="A10737" s="2">
        <f>IFERROR(__xludf.DUMMYFUNCTION("""COMPUTED_VALUE"""),51636.0)</f>
        <v>51636</v>
      </c>
      <c r="B10737" s="3" t="str">
        <f>IFERROR(__xludf.DUMMYFUNCTION("""COMPUTED_VALUE"""),"86 ROLLING BANKS RD 1B")</f>
        <v>86 ROLLING BANKS RD 1B</v>
      </c>
      <c r="C10737" s="3" t="str">
        <f>IFERROR(__xludf.DUMMYFUNCTION("""COMPUTED_VALUE"""),"ROSENEATH ")</f>
        <v>ROSENEATH </v>
      </c>
      <c r="D10737" s="3" t="str">
        <f>IFERROR(__xludf.DUMMYFUNCTION("""COMPUTED_VALUE"""),"K0K 2X0")</f>
        <v>K0K 2X0</v>
      </c>
      <c r="E10737" s="3"/>
      <c r="F10737" s="3"/>
      <c r="G10737" s="3"/>
      <c r="H10737" s="3"/>
    </row>
    <row r="10738">
      <c r="A10738" s="2">
        <f>IFERROR(__xludf.DUMMYFUNCTION("""COMPUTED_VALUE"""),51637.0)</f>
        <v>51637</v>
      </c>
      <c r="B10738" s="3" t="str">
        <f>IFERROR(__xludf.DUMMYFUNCTION("""COMPUTED_VALUE"""),"86 ROLLING BANKS RD 22B")</f>
        <v>86 ROLLING BANKS RD 22B</v>
      </c>
      <c r="C10738" s="3" t="str">
        <f>IFERROR(__xludf.DUMMYFUNCTION("""COMPUTED_VALUE"""),"ROSENEATH ")</f>
        <v>ROSENEATH </v>
      </c>
      <c r="D10738" s="3" t="str">
        <f>IFERROR(__xludf.DUMMYFUNCTION("""COMPUTED_VALUE"""),"K0K 2X0")</f>
        <v>K0K 2X0</v>
      </c>
      <c r="E10738" s="3" t="str">
        <f>IFERROR(__xludf.DUMMYFUNCTION("""COMPUTED_VALUE"""),"Fred Robins ")</f>
        <v>Fred Robins </v>
      </c>
      <c r="F10738" s="3" t="str">
        <f>IFERROR(__xludf.DUMMYFUNCTION("""COMPUTED_VALUE"""),"mf4544cad@outlook.com")</f>
        <v>mf4544cad@outlook.com</v>
      </c>
      <c r="G10738" s="3"/>
      <c r="H10738" s="3"/>
    </row>
    <row r="10739">
      <c r="A10739" s="2">
        <f>IFERROR(__xludf.DUMMYFUNCTION("""COMPUTED_VALUE"""),51638.0)</f>
        <v>51638</v>
      </c>
      <c r="B10739" s="3" t="str">
        <f>IFERROR(__xludf.DUMMYFUNCTION("""COMPUTED_VALUE"""),"86 ROLLING BANKS RD 23A")</f>
        <v>86 ROLLING BANKS RD 23A</v>
      </c>
      <c r="C10739" s="3" t="str">
        <f>IFERROR(__xludf.DUMMYFUNCTION("""COMPUTED_VALUE"""),"ROSENEATH ")</f>
        <v>ROSENEATH </v>
      </c>
      <c r="D10739" s="3" t="str">
        <f>IFERROR(__xludf.DUMMYFUNCTION("""COMPUTED_VALUE"""),"K0K 2X0")</f>
        <v>K0K 2X0</v>
      </c>
      <c r="E10739" s="3" t="str">
        <f>IFERROR(__xludf.DUMMYFUNCTION("""COMPUTED_VALUE"""),"Tracey Lane")</f>
        <v>Tracey Lane</v>
      </c>
      <c r="F10739" s="3" t="str">
        <f>IFERROR(__xludf.DUMMYFUNCTION("""COMPUTED_VALUE"""),"Btlane2010@gmail.com")</f>
        <v>Btlane2010@gmail.com</v>
      </c>
      <c r="G10739" s="3">
        <f>IFERROR(__xludf.DUMMYFUNCTION("""COMPUTED_VALUE"""),9.053765221E9)</f>
        <v>9053765221</v>
      </c>
      <c r="H10739" s="3">
        <f>IFERROR(__xludf.DUMMYFUNCTION("""COMPUTED_VALUE"""),9.05376623E9)</f>
        <v>9053766230</v>
      </c>
    </row>
    <row r="10740">
      <c r="A10740" s="2">
        <f>IFERROR(__xludf.DUMMYFUNCTION("""COMPUTED_VALUE"""),51639.0)</f>
        <v>51639</v>
      </c>
      <c r="B10740" s="3" t="str">
        <f>IFERROR(__xludf.DUMMYFUNCTION("""COMPUTED_VALUE"""),"86 ROLLING BANKS RD 23B")</f>
        <v>86 ROLLING BANKS RD 23B</v>
      </c>
      <c r="C10740" s="3" t="str">
        <f>IFERROR(__xludf.DUMMYFUNCTION("""COMPUTED_VALUE"""),"ROSENEATH ")</f>
        <v>ROSENEATH </v>
      </c>
      <c r="D10740" s="3" t="str">
        <f>IFERROR(__xludf.DUMMYFUNCTION("""COMPUTED_VALUE"""),"K0K 2X0")</f>
        <v>K0K 2X0</v>
      </c>
      <c r="E10740" s="3" t="str">
        <f>IFERROR(__xludf.DUMMYFUNCTION("""COMPUTED_VALUE"""),"cathy morrison")</f>
        <v>cathy morrison</v>
      </c>
      <c r="F10740" s="3" t="str">
        <f>IFERROR(__xludf.DUMMYFUNCTION("""COMPUTED_VALUE"""),"c.morrison48@outlook.com")</f>
        <v>c.morrison48@outlook.com</v>
      </c>
      <c r="G10740" s="3">
        <f>IFERROR(__xludf.DUMMYFUNCTION("""COMPUTED_VALUE"""),9.053961901E9)</f>
        <v>9053961901</v>
      </c>
      <c r="H10740" s="3"/>
    </row>
    <row r="10741">
      <c r="A10741" s="2">
        <f>IFERROR(__xludf.DUMMYFUNCTION("""COMPUTED_VALUE"""),51640.0)</f>
        <v>51640</v>
      </c>
      <c r="B10741" s="3" t="str">
        <f>IFERROR(__xludf.DUMMYFUNCTION("""COMPUTED_VALUE"""),"86 ROLLING BANKS RD 2A")</f>
        <v>86 ROLLING BANKS RD 2A</v>
      </c>
      <c r="C10741" s="3" t="str">
        <f>IFERROR(__xludf.DUMMYFUNCTION("""COMPUTED_VALUE"""),"ROSENEATH ")</f>
        <v>ROSENEATH </v>
      </c>
      <c r="D10741" s="3" t="str">
        <f>IFERROR(__xludf.DUMMYFUNCTION("""COMPUTED_VALUE"""),"K0K 2X0")</f>
        <v>K0K 2X0</v>
      </c>
      <c r="E10741" s="3"/>
      <c r="F10741" s="3"/>
      <c r="G10741" s="3"/>
      <c r="H10741" s="3"/>
    </row>
    <row r="10742">
      <c r="A10742" s="2">
        <f>IFERROR(__xludf.DUMMYFUNCTION("""COMPUTED_VALUE"""),51641.0)</f>
        <v>51641</v>
      </c>
      <c r="B10742" s="3" t="str">
        <f>IFERROR(__xludf.DUMMYFUNCTION("""COMPUTED_VALUE"""),"86 ROLLING BANKS RD 30B")</f>
        <v>86 ROLLING BANKS RD 30B</v>
      </c>
      <c r="C10742" s="3" t="str">
        <f>IFERROR(__xludf.DUMMYFUNCTION("""COMPUTED_VALUE"""),"ROSENEATH ")</f>
        <v>ROSENEATH </v>
      </c>
      <c r="D10742" s="3" t="str">
        <f>IFERROR(__xludf.DUMMYFUNCTION("""COMPUTED_VALUE"""),"K0K 2X0")</f>
        <v>K0K 2X0</v>
      </c>
      <c r="E10742" s="3"/>
      <c r="F10742" s="3"/>
      <c r="G10742" s="3"/>
      <c r="H10742" s="3"/>
    </row>
    <row r="10743">
      <c r="A10743" s="2">
        <f>IFERROR(__xludf.DUMMYFUNCTION("""COMPUTED_VALUE"""),51642.0)</f>
        <v>51642</v>
      </c>
      <c r="B10743" s="3" t="str">
        <f>IFERROR(__xludf.DUMMYFUNCTION("""COMPUTED_VALUE"""),"86 ROLLING BANKS RD 31B")</f>
        <v>86 ROLLING BANKS RD 31B</v>
      </c>
      <c r="C10743" s="3" t="str">
        <f>IFERROR(__xludf.DUMMYFUNCTION("""COMPUTED_VALUE"""),"ROSENEATH ")</f>
        <v>ROSENEATH </v>
      </c>
      <c r="D10743" s="3" t="str">
        <f>IFERROR(__xludf.DUMMYFUNCTION("""COMPUTED_VALUE"""),"K0K 2X0")</f>
        <v>K0K 2X0</v>
      </c>
      <c r="E10743" s="3"/>
      <c r="F10743" s="3"/>
      <c r="G10743" s="3"/>
      <c r="H10743" s="3"/>
    </row>
    <row r="10744">
      <c r="A10744" s="2">
        <f>IFERROR(__xludf.DUMMYFUNCTION("""COMPUTED_VALUE"""),51643.0)</f>
        <v>51643</v>
      </c>
      <c r="B10744" s="3" t="str">
        <f>IFERROR(__xludf.DUMMYFUNCTION("""COMPUTED_VALUE"""),"86 ROLLING BANKS RD 33B")</f>
        <v>86 ROLLING BANKS RD 33B</v>
      </c>
      <c r="C10744" s="3" t="str">
        <f>IFERROR(__xludf.DUMMYFUNCTION("""COMPUTED_VALUE"""),"ROSENEATH ")</f>
        <v>ROSENEATH </v>
      </c>
      <c r="D10744" s="3" t="str">
        <f>IFERROR(__xludf.DUMMYFUNCTION("""COMPUTED_VALUE"""),"K0K 2X0")</f>
        <v>K0K 2X0</v>
      </c>
      <c r="E10744" s="3"/>
      <c r="F10744" s="3"/>
      <c r="G10744" s="3"/>
      <c r="H10744" s="3"/>
    </row>
    <row r="10745">
      <c r="A10745" s="2">
        <f>IFERROR(__xludf.DUMMYFUNCTION("""COMPUTED_VALUE"""),51644.0)</f>
        <v>51644</v>
      </c>
      <c r="B10745" s="3" t="str">
        <f>IFERROR(__xludf.DUMMYFUNCTION("""COMPUTED_VALUE"""),"86 ROLLING BANKS RD 38B")</f>
        <v>86 ROLLING BANKS RD 38B</v>
      </c>
      <c r="C10745" s="3" t="str">
        <f>IFERROR(__xludf.DUMMYFUNCTION("""COMPUTED_VALUE"""),"ROSENEATH ")</f>
        <v>ROSENEATH </v>
      </c>
      <c r="D10745" s="3" t="str">
        <f>IFERROR(__xludf.DUMMYFUNCTION("""COMPUTED_VALUE"""),"K0K 2X0")</f>
        <v>K0K 2X0</v>
      </c>
      <c r="E10745" s="3"/>
      <c r="F10745" s="3"/>
      <c r="G10745" s="3"/>
      <c r="H10745" s="3"/>
    </row>
    <row r="10746">
      <c r="A10746" s="2">
        <f>IFERROR(__xludf.DUMMYFUNCTION("""COMPUTED_VALUE"""),51645.0)</f>
        <v>51645</v>
      </c>
      <c r="B10746" s="3" t="str">
        <f>IFERROR(__xludf.DUMMYFUNCTION("""COMPUTED_VALUE"""),"86 ROLLING BANKS RD 39B")</f>
        <v>86 ROLLING BANKS RD 39B</v>
      </c>
      <c r="C10746" s="3" t="str">
        <f>IFERROR(__xludf.DUMMYFUNCTION("""COMPUTED_VALUE"""),"ROSENEATH ")</f>
        <v>ROSENEATH </v>
      </c>
      <c r="D10746" s="3" t="str">
        <f>IFERROR(__xludf.DUMMYFUNCTION("""COMPUTED_VALUE"""),"K0K 2X0")</f>
        <v>K0K 2X0</v>
      </c>
      <c r="E10746" s="3"/>
      <c r="F10746" s="3"/>
      <c r="G10746" s="3"/>
      <c r="H10746" s="3"/>
    </row>
    <row r="10747">
      <c r="A10747" s="2">
        <f>IFERROR(__xludf.DUMMYFUNCTION("""COMPUTED_VALUE"""),51646.0)</f>
        <v>51646</v>
      </c>
      <c r="B10747" s="3" t="str">
        <f>IFERROR(__xludf.DUMMYFUNCTION("""COMPUTED_VALUE"""),"86 ROLLING BANKS RD 3B")</f>
        <v>86 ROLLING BANKS RD 3B</v>
      </c>
      <c r="C10747" s="3" t="str">
        <f>IFERROR(__xludf.DUMMYFUNCTION("""COMPUTED_VALUE"""),"ROSENEATH ")</f>
        <v>ROSENEATH </v>
      </c>
      <c r="D10747" s="3" t="str">
        <f>IFERROR(__xludf.DUMMYFUNCTION("""COMPUTED_VALUE"""),"K0K 2X0")</f>
        <v>K0K 2X0</v>
      </c>
      <c r="E10747" s="3"/>
      <c r="F10747" s="3"/>
      <c r="G10747" s="3"/>
      <c r="H10747" s="3"/>
    </row>
    <row r="10748">
      <c r="A10748" s="2">
        <f>IFERROR(__xludf.DUMMYFUNCTION("""COMPUTED_VALUE"""),51647.0)</f>
        <v>51647</v>
      </c>
      <c r="B10748" s="3" t="str">
        <f>IFERROR(__xludf.DUMMYFUNCTION("""COMPUTED_VALUE"""),"86 ROLLING BANKS RD 40B")</f>
        <v>86 ROLLING BANKS RD 40B</v>
      </c>
      <c r="C10748" s="3" t="str">
        <f>IFERROR(__xludf.DUMMYFUNCTION("""COMPUTED_VALUE"""),"ROSENEATH ")</f>
        <v>ROSENEATH </v>
      </c>
      <c r="D10748" s="3" t="str">
        <f>IFERROR(__xludf.DUMMYFUNCTION("""COMPUTED_VALUE"""),"K0K 2X0")</f>
        <v>K0K 2X0</v>
      </c>
      <c r="E10748" s="3" t="str">
        <f>IFERROR(__xludf.DUMMYFUNCTION("""COMPUTED_VALUE"""),"frances jaques")</f>
        <v>frances jaques</v>
      </c>
      <c r="F10748" s="3" t="str">
        <f>IFERROR(__xludf.DUMMYFUNCTION("""COMPUTED_VALUE"""),"fjaques414@yahoo.ca")</f>
        <v>fjaques414@yahoo.ca</v>
      </c>
      <c r="G10748" s="3">
        <f>IFERROR(__xludf.DUMMYFUNCTION("""COMPUTED_VALUE"""),9.053753077E9)</f>
        <v>9053753077</v>
      </c>
      <c r="H10748" s="3"/>
    </row>
    <row r="10749">
      <c r="A10749" s="2">
        <f>IFERROR(__xludf.DUMMYFUNCTION("""COMPUTED_VALUE"""),51648.0)</f>
        <v>51648</v>
      </c>
      <c r="B10749" s="3" t="str">
        <f>IFERROR(__xludf.DUMMYFUNCTION("""COMPUTED_VALUE"""),"86 ROLLING BANKS RD 8B")</f>
        <v>86 ROLLING BANKS RD 8B</v>
      </c>
      <c r="C10749" s="3" t="str">
        <f>IFERROR(__xludf.DUMMYFUNCTION("""COMPUTED_VALUE"""),"ROSENEATH ")</f>
        <v>ROSENEATH </v>
      </c>
      <c r="D10749" s="3" t="str">
        <f>IFERROR(__xludf.DUMMYFUNCTION("""COMPUTED_VALUE"""),"K0K 2X0")</f>
        <v>K0K 2X0</v>
      </c>
      <c r="E10749" s="3"/>
      <c r="F10749" s="3"/>
      <c r="G10749" s="3"/>
      <c r="H10749" s="3"/>
    </row>
    <row r="10750">
      <c r="A10750" s="2">
        <f>IFERROR(__xludf.DUMMYFUNCTION("""COMPUTED_VALUE"""),51649.0)</f>
        <v>51649</v>
      </c>
      <c r="B10750" s="3" t="str">
        <f>IFERROR(__xludf.DUMMYFUNCTION("""COMPUTED_VALUE"""),"86 ROLLING BANKS RD UNIT 9A")</f>
        <v>86 ROLLING BANKS RD UNIT 9A</v>
      </c>
      <c r="C10750" s="3" t="str">
        <f>IFERROR(__xludf.DUMMYFUNCTION("""COMPUTED_VALUE"""),"ROSENEATH ")</f>
        <v>ROSENEATH </v>
      </c>
      <c r="D10750" s="3" t="str">
        <f>IFERROR(__xludf.DUMMYFUNCTION("""COMPUTED_VALUE"""),"K0K 2X0")</f>
        <v>K0K 2X0</v>
      </c>
      <c r="E10750" s="3" t="str">
        <f>IFERROR(__xludf.DUMMYFUNCTION("""COMPUTED_VALUE"""),"Ben &amp; Ann-Marie Williamson")</f>
        <v>Ben &amp; Ann-Marie Williamson</v>
      </c>
      <c r="F10750" s="3" t="str">
        <f>IFERROR(__xludf.DUMMYFUNCTION("""COMPUTED_VALUE"""),"makemelaughben@hotmail.com")</f>
        <v>makemelaughben@hotmail.com</v>
      </c>
      <c r="G10750" s="3">
        <f>IFERROR(__xludf.DUMMYFUNCTION("""COMPUTED_VALUE"""),2.896008588E9)</f>
        <v>2896008588</v>
      </c>
      <c r="H10750" s="3"/>
    </row>
    <row r="10751">
      <c r="A10751" s="2">
        <f>IFERROR(__xludf.DUMMYFUNCTION("""COMPUTED_VALUE"""),51651.0)</f>
        <v>51651</v>
      </c>
      <c r="B10751" s="3" t="str">
        <f>IFERROR(__xludf.DUMMYFUNCTION("""COMPUTED_VALUE"""),"5245 ROSENEATH LANDING RD")</f>
        <v>5245 ROSENEATH LANDING RD</v>
      </c>
      <c r="C10751" s="3" t="str">
        <f>IFERROR(__xludf.DUMMYFUNCTION("""COMPUTED_VALUE"""),"ROSENEATH ")</f>
        <v>ROSENEATH </v>
      </c>
      <c r="D10751" s="3" t="str">
        <f>IFERROR(__xludf.DUMMYFUNCTION("""COMPUTED_VALUE"""),"K0K 2X0")</f>
        <v>K0K 2X0</v>
      </c>
      <c r="E10751" s="3"/>
      <c r="F10751" s="3"/>
      <c r="G10751" s="3"/>
      <c r="H10751" s="3"/>
    </row>
    <row r="10752">
      <c r="A10752" s="2">
        <f>IFERROR(__xludf.DUMMYFUNCTION("""COMPUTED_VALUE"""),51652.0)</f>
        <v>51652</v>
      </c>
      <c r="B10752" s="3" t="str">
        <f>IFERROR(__xludf.DUMMYFUNCTION("""COMPUTED_VALUE"""),"5251 ROSENEATH LANDING RD")</f>
        <v>5251 ROSENEATH LANDING RD</v>
      </c>
      <c r="C10752" s="3" t="str">
        <f>IFERROR(__xludf.DUMMYFUNCTION("""COMPUTED_VALUE"""),"ROSENEATH ")</f>
        <v>ROSENEATH </v>
      </c>
      <c r="D10752" s="3" t="str">
        <f>IFERROR(__xludf.DUMMYFUNCTION("""COMPUTED_VALUE"""),"K0K 2X0")</f>
        <v>K0K 2X0</v>
      </c>
      <c r="E10752" s="3"/>
      <c r="F10752" s="3"/>
      <c r="G10752" s="3"/>
      <c r="H10752" s="3"/>
    </row>
    <row r="10753">
      <c r="A10753" s="2">
        <f>IFERROR(__xludf.DUMMYFUNCTION("""COMPUTED_VALUE"""),51653.0)</f>
        <v>51653</v>
      </c>
      <c r="B10753" s="3" t="str">
        <f>IFERROR(__xludf.DUMMYFUNCTION("""COMPUTED_VALUE"""),"5265 ROSENEATH LANDING RD")</f>
        <v>5265 ROSENEATH LANDING RD</v>
      </c>
      <c r="C10753" s="3" t="str">
        <f>IFERROR(__xludf.DUMMYFUNCTION("""COMPUTED_VALUE"""),"ROSENEATH ")</f>
        <v>ROSENEATH </v>
      </c>
      <c r="D10753" s="3" t="str">
        <f>IFERROR(__xludf.DUMMYFUNCTION("""COMPUTED_VALUE"""),"K0K 2X0")</f>
        <v>K0K 2X0</v>
      </c>
      <c r="E10753" s="3"/>
      <c r="F10753" s="3"/>
      <c r="G10753" s="3"/>
      <c r="H10753" s="3"/>
    </row>
    <row r="10754">
      <c r="A10754" s="2">
        <f>IFERROR(__xludf.DUMMYFUNCTION("""COMPUTED_VALUE"""),51654.0)</f>
        <v>51654</v>
      </c>
      <c r="B10754" s="3" t="str">
        <f>IFERROR(__xludf.DUMMYFUNCTION("""COMPUTED_VALUE"""),"5365 ROSENEATH LANDING RD")</f>
        <v>5365 ROSENEATH LANDING RD</v>
      </c>
      <c r="C10754" s="3" t="str">
        <f>IFERROR(__xludf.DUMMYFUNCTION("""COMPUTED_VALUE"""),"ROSENEATH ")</f>
        <v>ROSENEATH </v>
      </c>
      <c r="D10754" s="3" t="str">
        <f>IFERROR(__xludf.DUMMYFUNCTION("""COMPUTED_VALUE"""),"K0K 2X0")</f>
        <v>K0K 2X0</v>
      </c>
      <c r="E10754" s="3"/>
      <c r="F10754" s="3"/>
      <c r="G10754" s="3"/>
      <c r="H10754" s="3"/>
    </row>
    <row r="10755">
      <c r="A10755" s="2">
        <f>IFERROR(__xludf.DUMMYFUNCTION("""COMPUTED_VALUE"""),51655.0)</f>
        <v>51655</v>
      </c>
      <c r="B10755" s="3" t="str">
        <f>IFERROR(__xludf.DUMMYFUNCTION("""COMPUTED_VALUE"""),"5374 ROSENEATH LANDING RD")</f>
        <v>5374 ROSENEATH LANDING RD</v>
      </c>
      <c r="C10755" s="3" t="str">
        <f>IFERROR(__xludf.DUMMYFUNCTION("""COMPUTED_VALUE"""),"ROSENEATH ")</f>
        <v>ROSENEATH </v>
      </c>
      <c r="D10755" s="3" t="str">
        <f>IFERROR(__xludf.DUMMYFUNCTION("""COMPUTED_VALUE"""),"K0K 2X0")</f>
        <v>K0K 2X0</v>
      </c>
      <c r="E10755" s="3"/>
      <c r="F10755" s="3"/>
      <c r="G10755" s="3"/>
      <c r="H10755" s="3"/>
    </row>
    <row r="10756">
      <c r="A10756" s="2">
        <f>IFERROR(__xludf.DUMMYFUNCTION("""COMPUTED_VALUE"""),51656.0)</f>
        <v>51656</v>
      </c>
      <c r="B10756" s="3" t="str">
        <f>IFERROR(__xludf.DUMMYFUNCTION("""COMPUTED_VALUE"""),"5399 ROSENEATH LANDING RD")</f>
        <v>5399 ROSENEATH LANDING RD</v>
      </c>
      <c r="C10756" s="3" t="str">
        <f>IFERROR(__xludf.DUMMYFUNCTION("""COMPUTED_VALUE"""),"ROSENEATH ")</f>
        <v>ROSENEATH </v>
      </c>
      <c r="D10756" s="3" t="str">
        <f>IFERROR(__xludf.DUMMYFUNCTION("""COMPUTED_VALUE"""),"K0K 2X0")</f>
        <v>K0K 2X0</v>
      </c>
      <c r="E10756" s="3" t="str">
        <f>IFERROR(__xludf.DUMMYFUNCTION("""COMPUTED_VALUE"""),"HOWIE CROWE")</f>
        <v>HOWIE CROWE</v>
      </c>
      <c r="F10756" s="3" t="str">
        <f>IFERROR(__xludf.DUMMYFUNCTION("""COMPUTED_VALUE"""),"howiecrowe@gmail.com")</f>
        <v>howiecrowe@gmail.com</v>
      </c>
      <c r="G10756" s="3">
        <f>IFERROR(__xludf.DUMMYFUNCTION("""COMPUTED_VALUE"""),9.053738067E9)</f>
        <v>9053738067</v>
      </c>
      <c r="H10756" s="3">
        <f>IFERROR(__xludf.DUMMYFUNCTION("""COMPUTED_VALUE"""),9.052690667E9)</f>
        <v>9052690667</v>
      </c>
    </row>
    <row r="10757">
      <c r="A10757" s="2">
        <f>IFERROR(__xludf.DUMMYFUNCTION("""COMPUTED_VALUE"""),51657.0)</f>
        <v>51657</v>
      </c>
      <c r="B10757" s="3" t="str">
        <f>IFERROR(__xludf.DUMMYFUNCTION("""COMPUTED_VALUE"""),"5412 ROSENEATH LANDING RD")</f>
        <v>5412 ROSENEATH LANDING RD</v>
      </c>
      <c r="C10757" s="3" t="str">
        <f>IFERROR(__xludf.DUMMYFUNCTION("""COMPUTED_VALUE"""),"ROSENEATH ")</f>
        <v>ROSENEATH </v>
      </c>
      <c r="D10757" s="3" t="str">
        <f>IFERROR(__xludf.DUMMYFUNCTION("""COMPUTED_VALUE"""),"K0K 2X0")</f>
        <v>K0K 2X0</v>
      </c>
      <c r="E10757" s="3"/>
      <c r="F10757" s="3"/>
      <c r="G10757" s="3"/>
      <c r="H10757" s="3"/>
    </row>
    <row r="10758">
      <c r="A10758" s="2">
        <f>IFERROR(__xludf.DUMMYFUNCTION("""COMPUTED_VALUE"""),51658.0)</f>
        <v>51658</v>
      </c>
      <c r="B10758" s="3" t="str">
        <f>IFERROR(__xludf.DUMMYFUNCTION("""COMPUTED_VALUE"""),"5439 ROSENEATH LANDING RD")</f>
        <v>5439 ROSENEATH LANDING RD</v>
      </c>
      <c r="C10758" s="3" t="str">
        <f>IFERROR(__xludf.DUMMYFUNCTION("""COMPUTED_VALUE"""),"ROSENEATH ")</f>
        <v>ROSENEATH </v>
      </c>
      <c r="D10758" s="3" t="str">
        <f>IFERROR(__xludf.DUMMYFUNCTION("""COMPUTED_VALUE"""),"K0K 2X0")</f>
        <v>K0K 2X0</v>
      </c>
      <c r="E10758" s="3"/>
      <c r="F10758" s="3"/>
      <c r="G10758" s="3"/>
      <c r="H10758" s="3"/>
    </row>
    <row r="10759">
      <c r="A10759" s="2">
        <f>IFERROR(__xludf.DUMMYFUNCTION("""COMPUTED_VALUE"""),51659.0)</f>
        <v>51659</v>
      </c>
      <c r="B10759" s="3" t="str">
        <f>IFERROR(__xludf.DUMMYFUNCTION("""COMPUTED_VALUE"""),"5488 ROSENEATH LANDING RD")</f>
        <v>5488 ROSENEATH LANDING RD</v>
      </c>
      <c r="C10759" s="3" t="str">
        <f>IFERROR(__xludf.DUMMYFUNCTION("""COMPUTED_VALUE"""),"ROSENEATH ")</f>
        <v>ROSENEATH </v>
      </c>
      <c r="D10759" s="3" t="str">
        <f>IFERROR(__xludf.DUMMYFUNCTION("""COMPUTED_VALUE"""),"K0K 2X0")</f>
        <v>K0K 2X0</v>
      </c>
      <c r="E10759" s="3"/>
      <c r="F10759" s="3"/>
      <c r="G10759" s="3"/>
      <c r="H10759" s="3"/>
    </row>
    <row r="10760">
      <c r="A10760" s="2">
        <f>IFERROR(__xludf.DUMMYFUNCTION("""COMPUTED_VALUE"""),51660.0)</f>
        <v>51660</v>
      </c>
      <c r="B10760" s="3" t="str">
        <f>IFERROR(__xludf.DUMMYFUNCTION("""COMPUTED_VALUE"""),"5500 ROSENEATH LANDING RD")</f>
        <v>5500 ROSENEATH LANDING RD</v>
      </c>
      <c r="C10760" s="3" t="str">
        <f>IFERROR(__xludf.DUMMYFUNCTION("""COMPUTED_VALUE"""),"ROSENEATH ")</f>
        <v>ROSENEATH </v>
      </c>
      <c r="D10760" s="3" t="str">
        <f>IFERROR(__xludf.DUMMYFUNCTION("""COMPUTED_VALUE"""),"K0K 2X0")</f>
        <v>K0K 2X0</v>
      </c>
      <c r="E10760" s="3"/>
      <c r="F10760" s="3"/>
      <c r="G10760" s="3"/>
      <c r="H10760" s="3"/>
    </row>
    <row r="10761">
      <c r="A10761" s="2">
        <f>IFERROR(__xludf.DUMMYFUNCTION("""COMPUTED_VALUE"""),51661.0)</f>
        <v>51661</v>
      </c>
      <c r="B10761" s="3" t="str">
        <f>IFERROR(__xludf.DUMMYFUNCTION("""COMPUTED_VALUE"""),"5557 ROSENEATH LANDING RD")</f>
        <v>5557 ROSENEATH LANDING RD</v>
      </c>
      <c r="C10761" s="3" t="str">
        <f>IFERROR(__xludf.DUMMYFUNCTION("""COMPUTED_VALUE"""),"ROSENEATH ")</f>
        <v>ROSENEATH </v>
      </c>
      <c r="D10761" s="3" t="str">
        <f>IFERROR(__xludf.DUMMYFUNCTION("""COMPUTED_VALUE"""),"K0K 2X0")</f>
        <v>K0K 2X0</v>
      </c>
      <c r="E10761" s="3"/>
      <c r="F10761" s="3"/>
      <c r="G10761" s="3"/>
      <c r="H10761" s="3"/>
    </row>
    <row r="10762">
      <c r="A10762" s="2">
        <f>IFERROR(__xludf.DUMMYFUNCTION("""COMPUTED_VALUE"""),51662.0)</f>
        <v>51662</v>
      </c>
      <c r="B10762" s="3" t="str">
        <f>IFERROR(__xludf.DUMMYFUNCTION("""COMPUTED_VALUE"""),"5605 ROSENEATH LANDING RD")</f>
        <v>5605 ROSENEATH LANDING RD</v>
      </c>
      <c r="C10762" s="3" t="str">
        <f>IFERROR(__xludf.DUMMYFUNCTION("""COMPUTED_VALUE"""),"ROSENEATH ")</f>
        <v>ROSENEATH </v>
      </c>
      <c r="D10762" s="3" t="str">
        <f>IFERROR(__xludf.DUMMYFUNCTION("""COMPUTED_VALUE"""),"K0K 2X0")</f>
        <v>K0K 2X0</v>
      </c>
      <c r="E10762" s="3"/>
      <c r="F10762" s="3"/>
      <c r="G10762" s="3"/>
      <c r="H10762" s="3"/>
    </row>
    <row r="10763">
      <c r="A10763" s="2">
        <f>IFERROR(__xludf.DUMMYFUNCTION("""COMPUTED_VALUE"""),51663.0)</f>
        <v>51663</v>
      </c>
      <c r="B10763" s="3" t="str">
        <f>IFERROR(__xludf.DUMMYFUNCTION("""COMPUTED_VALUE"""),"5625 ROSENEATH LANDING RD")</f>
        <v>5625 ROSENEATH LANDING RD</v>
      </c>
      <c r="C10763" s="3" t="str">
        <f>IFERROR(__xludf.DUMMYFUNCTION("""COMPUTED_VALUE"""),"ROSENEATH ")</f>
        <v>ROSENEATH </v>
      </c>
      <c r="D10763" s="3" t="str">
        <f>IFERROR(__xludf.DUMMYFUNCTION("""COMPUTED_VALUE"""),"K0K 2X0")</f>
        <v>K0K 2X0</v>
      </c>
      <c r="E10763" s="3"/>
      <c r="F10763" s="3"/>
      <c r="G10763" s="3"/>
      <c r="H10763" s="3"/>
    </row>
    <row r="10764">
      <c r="A10764" s="2">
        <f>IFERROR(__xludf.DUMMYFUNCTION("""COMPUTED_VALUE"""),51664.0)</f>
        <v>51664</v>
      </c>
      <c r="B10764" s="3" t="str">
        <f>IFERROR(__xludf.DUMMYFUNCTION("""COMPUTED_VALUE"""),"5641 ROSENEATH LANDING RD")</f>
        <v>5641 ROSENEATH LANDING RD</v>
      </c>
      <c r="C10764" s="3" t="str">
        <f>IFERROR(__xludf.DUMMYFUNCTION("""COMPUTED_VALUE"""),"ROSENEATH ")</f>
        <v>ROSENEATH </v>
      </c>
      <c r="D10764" s="3" t="str">
        <f>IFERROR(__xludf.DUMMYFUNCTION("""COMPUTED_VALUE"""),"K0K 2X0")</f>
        <v>K0K 2X0</v>
      </c>
      <c r="E10764" s="3"/>
      <c r="F10764" s="3"/>
      <c r="G10764" s="3"/>
      <c r="H10764" s="3"/>
    </row>
    <row r="10765">
      <c r="A10765" s="2">
        <f>IFERROR(__xludf.DUMMYFUNCTION("""COMPUTED_VALUE"""),51665.0)</f>
        <v>51665</v>
      </c>
      <c r="B10765" s="3" t="str">
        <f>IFERROR(__xludf.DUMMYFUNCTION("""COMPUTED_VALUE"""),"5654 ROSENEATH LANDING RD")</f>
        <v>5654 ROSENEATH LANDING RD</v>
      </c>
      <c r="C10765" s="3" t="str">
        <f>IFERROR(__xludf.DUMMYFUNCTION("""COMPUTED_VALUE"""),"ROSENEATH ")</f>
        <v>ROSENEATH </v>
      </c>
      <c r="D10765" s="3" t="str">
        <f>IFERROR(__xludf.DUMMYFUNCTION("""COMPUTED_VALUE"""),"K0K 2X0")</f>
        <v>K0K 2X0</v>
      </c>
      <c r="E10765" s="3"/>
      <c r="F10765" s="3"/>
      <c r="G10765" s="3"/>
      <c r="H10765" s="3"/>
    </row>
    <row r="10766">
      <c r="A10766" s="2">
        <f>IFERROR(__xludf.DUMMYFUNCTION("""COMPUTED_VALUE"""),51666.0)</f>
        <v>51666</v>
      </c>
      <c r="B10766" s="3" t="str">
        <f>IFERROR(__xludf.DUMMYFUNCTION("""COMPUTED_VALUE"""),"5655 ROSENEATH LANDING RD")</f>
        <v>5655 ROSENEATH LANDING RD</v>
      </c>
      <c r="C10766" s="3" t="str">
        <f>IFERROR(__xludf.DUMMYFUNCTION("""COMPUTED_VALUE"""),"ROSENEATH ")</f>
        <v>ROSENEATH </v>
      </c>
      <c r="D10766" s="3" t="str">
        <f>IFERROR(__xludf.DUMMYFUNCTION("""COMPUTED_VALUE"""),"K0K 2X0")</f>
        <v>K0K 2X0</v>
      </c>
      <c r="E10766" s="3"/>
      <c r="F10766" s="3"/>
      <c r="G10766" s="3"/>
      <c r="H10766" s="3"/>
    </row>
    <row r="10767">
      <c r="A10767" s="2">
        <f>IFERROR(__xludf.DUMMYFUNCTION("""COMPUTED_VALUE"""),51667.0)</f>
        <v>51667</v>
      </c>
      <c r="B10767" s="3" t="str">
        <f>IFERROR(__xludf.DUMMYFUNCTION("""COMPUTED_VALUE"""),"5705 ROSENEATH LANDING RD")</f>
        <v>5705 ROSENEATH LANDING RD</v>
      </c>
      <c r="C10767" s="3" t="str">
        <f>IFERROR(__xludf.DUMMYFUNCTION("""COMPUTED_VALUE"""),"ROSENEATH ")</f>
        <v>ROSENEATH </v>
      </c>
      <c r="D10767" s="3" t="str">
        <f>IFERROR(__xludf.DUMMYFUNCTION("""COMPUTED_VALUE"""),"K0K 2X0")</f>
        <v>K0K 2X0</v>
      </c>
      <c r="E10767" s="3"/>
      <c r="F10767" s="3"/>
      <c r="G10767" s="3"/>
      <c r="H10767" s="3"/>
    </row>
    <row r="10768">
      <c r="A10768" s="2">
        <f>IFERROR(__xludf.DUMMYFUNCTION("""COMPUTED_VALUE"""),51668.0)</f>
        <v>51668</v>
      </c>
      <c r="B10768" s="3" t="str">
        <f>IFERROR(__xludf.DUMMYFUNCTION("""COMPUTED_VALUE"""),"5715 ROSENEATH LANDING RD UNIT A")</f>
        <v>5715 ROSENEATH LANDING RD UNIT A</v>
      </c>
      <c r="C10768" s="3" t="str">
        <f>IFERROR(__xludf.DUMMYFUNCTION("""COMPUTED_VALUE"""),"ROSENEATH ")</f>
        <v>ROSENEATH </v>
      </c>
      <c r="D10768" s="3" t="str">
        <f>IFERROR(__xludf.DUMMYFUNCTION("""COMPUTED_VALUE"""),"K0K 2X0")</f>
        <v>K0K 2X0</v>
      </c>
      <c r="E10768" s="3"/>
      <c r="F10768" s="3"/>
      <c r="G10768" s="3"/>
      <c r="H10768" s="3"/>
    </row>
    <row r="10769">
      <c r="A10769" s="2">
        <f>IFERROR(__xludf.DUMMYFUNCTION("""COMPUTED_VALUE"""),51669.0)</f>
        <v>51669</v>
      </c>
      <c r="B10769" s="3" t="str">
        <f>IFERROR(__xludf.DUMMYFUNCTION("""COMPUTED_VALUE"""),"5715 ROSENEATH LANDING RD UNIT B")</f>
        <v>5715 ROSENEATH LANDING RD UNIT B</v>
      </c>
      <c r="C10769" s="3" t="str">
        <f>IFERROR(__xludf.DUMMYFUNCTION("""COMPUTED_VALUE"""),"ROSENEATH ")</f>
        <v>ROSENEATH </v>
      </c>
      <c r="D10769" s="3" t="str">
        <f>IFERROR(__xludf.DUMMYFUNCTION("""COMPUTED_VALUE"""),"K0K 2X0")</f>
        <v>K0K 2X0</v>
      </c>
      <c r="E10769" s="3"/>
      <c r="F10769" s="3"/>
      <c r="G10769" s="3"/>
      <c r="H10769" s="3"/>
    </row>
    <row r="10770">
      <c r="A10770" s="2">
        <f>IFERROR(__xludf.DUMMYFUNCTION("""COMPUTED_VALUE"""),51670.0)</f>
        <v>51670</v>
      </c>
      <c r="B10770" s="3" t="str">
        <f>IFERROR(__xludf.DUMMYFUNCTION("""COMPUTED_VALUE"""),"5715 ROSENEATH LANDING RD UNIT C")</f>
        <v>5715 ROSENEATH LANDING RD UNIT C</v>
      </c>
      <c r="C10770" s="3" t="str">
        <f>IFERROR(__xludf.DUMMYFUNCTION("""COMPUTED_VALUE"""),"ROSENEATH ")</f>
        <v>ROSENEATH </v>
      </c>
      <c r="D10770" s="3" t="str">
        <f>IFERROR(__xludf.DUMMYFUNCTION("""COMPUTED_VALUE"""),"K0K 2X0")</f>
        <v>K0K 2X0</v>
      </c>
      <c r="E10770" s="3"/>
      <c r="F10770" s="3"/>
      <c r="G10770" s="3"/>
      <c r="H10770" s="3"/>
    </row>
    <row r="10771">
      <c r="A10771" s="2">
        <f>IFERROR(__xludf.DUMMYFUNCTION("""COMPUTED_VALUE"""),51671.0)</f>
        <v>51671</v>
      </c>
      <c r="B10771" s="3" t="str">
        <f>IFERROR(__xludf.DUMMYFUNCTION("""COMPUTED_VALUE"""),"5715 ROSENEATH LANDING RD UNIT D")</f>
        <v>5715 ROSENEATH LANDING RD UNIT D</v>
      </c>
      <c r="C10771" s="3" t="str">
        <f>IFERROR(__xludf.DUMMYFUNCTION("""COMPUTED_VALUE"""),"ROSENEATH ")</f>
        <v>ROSENEATH </v>
      </c>
      <c r="D10771" s="3" t="str">
        <f>IFERROR(__xludf.DUMMYFUNCTION("""COMPUTED_VALUE"""),"K0K 2X0")</f>
        <v>K0K 2X0</v>
      </c>
      <c r="E10771" s="3"/>
      <c r="F10771" s="3"/>
      <c r="G10771" s="3"/>
      <c r="H10771" s="3"/>
    </row>
    <row r="10772">
      <c r="A10772" s="2">
        <f>IFERROR(__xludf.DUMMYFUNCTION("""COMPUTED_VALUE"""),51672.0)</f>
        <v>51672</v>
      </c>
      <c r="B10772" s="3" t="str">
        <f>IFERROR(__xludf.DUMMYFUNCTION("""COMPUTED_VALUE"""),"5715 ROSENEATH LANDING RD UNIT E")</f>
        <v>5715 ROSENEATH LANDING RD UNIT E</v>
      </c>
      <c r="C10772" s="3" t="str">
        <f>IFERROR(__xludf.DUMMYFUNCTION("""COMPUTED_VALUE"""),"ROSENEATH ")</f>
        <v>ROSENEATH </v>
      </c>
      <c r="D10772" s="3" t="str">
        <f>IFERROR(__xludf.DUMMYFUNCTION("""COMPUTED_VALUE"""),"K0K 2X0")</f>
        <v>K0K 2X0</v>
      </c>
      <c r="E10772" s="3"/>
      <c r="F10772" s="3"/>
      <c r="G10772" s="3"/>
      <c r="H10772" s="3"/>
    </row>
    <row r="10773">
      <c r="A10773" s="2">
        <f>IFERROR(__xludf.DUMMYFUNCTION("""COMPUTED_VALUE"""),51673.0)</f>
        <v>51673</v>
      </c>
      <c r="B10773" s="3" t="str">
        <f>IFERROR(__xludf.DUMMYFUNCTION("""COMPUTED_VALUE"""),"5715 ROSENEATH LANDING RD UNIT F")</f>
        <v>5715 ROSENEATH LANDING RD UNIT F</v>
      </c>
      <c r="C10773" s="3" t="str">
        <f>IFERROR(__xludf.DUMMYFUNCTION("""COMPUTED_VALUE"""),"ROSENEATH ")</f>
        <v>ROSENEATH </v>
      </c>
      <c r="D10773" s="3" t="str">
        <f>IFERROR(__xludf.DUMMYFUNCTION("""COMPUTED_VALUE"""),"K0K 2X0")</f>
        <v>K0K 2X0</v>
      </c>
      <c r="E10773" s="3"/>
      <c r="F10773" s="3"/>
      <c r="G10773" s="3"/>
      <c r="H10773" s="3"/>
    </row>
    <row r="10774">
      <c r="A10774" s="2">
        <f>IFERROR(__xludf.DUMMYFUNCTION("""COMPUTED_VALUE"""),51674.0)</f>
        <v>51674</v>
      </c>
      <c r="B10774" s="3" t="str">
        <f>IFERROR(__xludf.DUMMYFUNCTION("""COMPUTED_VALUE"""),"5715 ROSENEATH LANDING RD UNIT G")</f>
        <v>5715 ROSENEATH LANDING RD UNIT G</v>
      </c>
      <c r="C10774" s="3" t="str">
        <f>IFERROR(__xludf.DUMMYFUNCTION("""COMPUTED_VALUE"""),"ROSENEATH ")</f>
        <v>ROSENEATH </v>
      </c>
      <c r="D10774" s="3" t="str">
        <f>IFERROR(__xludf.DUMMYFUNCTION("""COMPUTED_VALUE"""),"K0K 2X0")</f>
        <v>K0K 2X0</v>
      </c>
      <c r="E10774" s="3" t="str">
        <f>IFERROR(__xludf.DUMMYFUNCTION("""COMPUTED_VALUE"""),"Cody Simpson")</f>
        <v>Cody Simpson</v>
      </c>
      <c r="F10774" s="3" t="str">
        <f>IFERROR(__xludf.DUMMYFUNCTION("""COMPUTED_VALUE"""),"weldit@hotmail.ca")</f>
        <v>weldit@hotmail.ca</v>
      </c>
      <c r="G10774" s="3">
        <f>IFERROR(__xludf.DUMMYFUNCTION("""COMPUTED_VALUE"""),9.05375835E9)</f>
        <v>9053758350</v>
      </c>
      <c r="H10774" s="3"/>
    </row>
    <row r="10775">
      <c r="A10775" s="2">
        <f>IFERROR(__xludf.DUMMYFUNCTION("""COMPUTED_VALUE"""),51675.0)</f>
        <v>51675</v>
      </c>
      <c r="B10775" s="3" t="str">
        <f>IFERROR(__xludf.DUMMYFUNCTION("""COMPUTED_VALUE"""),"5720 ROSENEATH LANDING RD")</f>
        <v>5720 ROSENEATH LANDING RD</v>
      </c>
      <c r="C10775" s="3" t="str">
        <f>IFERROR(__xludf.DUMMYFUNCTION("""COMPUTED_VALUE"""),"ROSENEATH ")</f>
        <v>ROSENEATH </v>
      </c>
      <c r="D10775" s="3" t="str">
        <f>IFERROR(__xludf.DUMMYFUNCTION("""COMPUTED_VALUE"""),"K0K 2X0")</f>
        <v>K0K 2X0</v>
      </c>
      <c r="E10775" s="3"/>
      <c r="F10775" s="3"/>
      <c r="G10775" s="3"/>
      <c r="H10775" s="3"/>
    </row>
    <row r="10776">
      <c r="A10776" s="2">
        <f>IFERROR(__xludf.DUMMYFUNCTION("""COMPUTED_VALUE"""),51676.0)</f>
        <v>51676</v>
      </c>
      <c r="B10776" s="3" t="str">
        <f>IFERROR(__xludf.DUMMYFUNCTION("""COMPUTED_VALUE"""),"5750 ROSENEATH LANDING RD")</f>
        <v>5750 ROSENEATH LANDING RD</v>
      </c>
      <c r="C10776" s="3" t="str">
        <f>IFERROR(__xludf.DUMMYFUNCTION("""COMPUTED_VALUE"""),"ROSENEATH ")</f>
        <v>ROSENEATH </v>
      </c>
      <c r="D10776" s="3" t="str">
        <f>IFERROR(__xludf.DUMMYFUNCTION("""COMPUTED_VALUE"""),"K0K 2X0")</f>
        <v>K0K 2X0</v>
      </c>
      <c r="E10776" s="3"/>
      <c r="F10776" s="3"/>
      <c r="G10776" s="3"/>
      <c r="H10776" s="3"/>
    </row>
    <row r="10777">
      <c r="A10777" s="2">
        <f>IFERROR(__xludf.DUMMYFUNCTION("""COMPUTED_VALUE"""),51677.0)</f>
        <v>51677</v>
      </c>
      <c r="B10777" s="3" t="str">
        <f>IFERROR(__xludf.DUMMYFUNCTION("""COMPUTED_VALUE"""),"5757 ROSENEATH LANDING RD")</f>
        <v>5757 ROSENEATH LANDING RD</v>
      </c>
      <c r="C10777" s="3" t="str">
        <f>IFERROR(__xludf.DUMMYFUNCTION("""COMPUTED_VALUE"""),"ROSENEATH ")</f>
        <v>ROSENEATH </v>
      </c>
      <c r="D10777" s="3" t="str">
        <f>IFERROR(__xludf.DUMMYFUNCTION("""COMPUTED_VALUE"""),"K0K 2X0")</f>
        <v>K0K 2X0</v>
      </c>
      <c r="E10777" s="3" t="str">
        <f>IFERROR(__xludf.DUMMYFUNCTION("""COMPUTED_VALUE"""),"Natasha Beaver")</f>
        <v>Natasha Beaver</v>
      </c>
      <c r="F10777" s="3" t="str">
        <f>IFERROR(__xludf.DUMMYFUNCTION("""COMPUTED_VALUE"""),"beaver4.natasha@gmail.com")</f>
        <v>beaver4.natasha@gmail.com</v>
      </c>
      <c r="G10777" s="3">
        <f>IFERROR(__xludf.DUMMYFUNCTION("""COMPUTED_VALUE"""),9.053758704E9)</f>
        <v>9053758704</v>
      </c>
      <c r="H10777" s="3"/>
    </row>
    <row r="10778">
      <c r="A10778" s="2">
        <f>IFERROR(__xludf.DUMMYFUNCTION("""COMPUTED_VALUE"""),51678.0)</f>
        <v>51678</v>
      </c>
      <c r="B10778" s="3" t="str">
        <f>IFERROR(__xludf.DUMMYFUNCTION("""COMPUTED_VALUE"""),"5775 ROSENEATH LANDING RD")</f>
        <v>5775 ROSENEATH LANDING RD</v>
      </c>
      <c r="C10778" s="3" t="str">
        <f>IFERROR(__xludf.DUMMYFUNCTION("""COMPUTED_VALUE"""),"ROSENEATH ")</f>
        <v>ROSENEATH </v>
      </c>
      <c r="D10778" s="3" t="str">
        <f>IFERROR(__xludf.DUMMYFUNCTION("""COMPUTED_VALUE"""),"K0K 2X0")</f>
        <v>K0K 2X0</v>
      </c>
      <c r="E10778" s="3"/>
      <c r="F10778" s="3"/>
      <c r="G10778" s="3"/>
      <c r="H10778" s="3"/>
    </row>
    <row r="10779">
      <c r="A10779" s="2">
        <f>IFERROR(__xludf.DUMMYFUNCTION("""COMPUTED_VALUE"""),51679.0)</f>
        <v>51679</v>
      </c>
      <c r="B10779" s="3" t="str">
        <f>IFERROR(__xludf.DUMMYFUNCTION("""COMPUTED_VALUE"""),"5787 ROSENEATH LANDING RD")</f>
        <v>5787 ROSENEATH LANDING RD</v>
      </c>
      <c r="C10779" s="3" t="str">
        <f>IFERROR(__xludf.DUMMYFUNCTION("""COMPUTED_VALUE"""),"ROSENEATH ")</f>
        <v>ROSENEATH </v>
      </c>
      <c r="D10779" s="3" t="str">
        <f>IFERROR(__xludf.DUMMYFUNCTION("""COMPUTED_VALUE"""),"K0K 2X0")</f>
        <v>K0K 2X0</v>
      </c>
      <c r="E10779" s="3"/>
      <c r="F10779" s="3"/>
      <c r="G10779" s="3"/>
      <c r="H10779" s="3"/>
    </row>
    <row r="10780">
      <c r="A10780" s="2">
        <f>IFERROR(__xludf.DUMMYFUNCTION("""COMPUTED_VALUE"""),51680.0)</f>
        <v>51680</v>
      </c>
      <c r="B10780" s="3" t="str">
        <f>IFERROR(__xludf.DUMMYFUNCTION("""COMPUTED_VALUE"""),"5801 ROSENEATH LANDING RD")</f>
        <v>5801 ROSENEATH LANDING RD</v>
      </c>
      <c r="C10780" s="3" t="str">
        <f>IFERROR(__xludf.DUMMYFUNCTION("""COMPUTED_VALUE"""),"ROSENEATH ")</f>
        <v>ROSENEATH </v>
      </c>
      <c r="D10780" s="3" t="str">
        <f>IFERROR(__xludf.DUMMYFUNCTION("""COMPUTED_VALUE"""),"K0K 2X0")</f>
        <v>K0K 2X0</v>
      </c>
      <c r="E10780" s="3" t="str">
        <f>IFERROR(__xludf.DUMMYFUNCTION("""COMPUTED_VALUE"""),"Philip Beaver")</f>
        <v>Philip Beaver</v>
      </c>
      <c r="F10780" s="3" t="str">
        <f>IFERROR(__xludf.DUMMYFUNCTION("""COMPUTED_VALUE"""),"pbeaver12@gmail.com")</f>
        <v>pbeaver12@gmail.com</v>
      </c>
      <c r="G10780" s="3">
        <f>IFERROR(__xludf.DUMMYFUNCTION("""COMPUTED_VALUE"""),9.053523826E9)</f>
        <v>9053523826</v>
      </c>
      <c r="H10780" s="3"/>
    </row>
    <row r="10781">
      <c r="A10781" s="2">
        <f>IFERROR(__xludf.DUMMYFUNCTION("""COMPUTED_VALUE"""),51681.0)</f>
        <v>51681</v>
      </c>
      <c r="B10781" s="3" t="str">
        <f>IFERROR(__xludf.DUMMYFUNCTION("""COMPUTED_VALUE"""),"5817 ROSENEATH LANDING RD")</f>
        <v>5817 ROSENEATH LANDING RD</v>
      </c>
      <c r="C10781" s="3" t="str">
        <f>IFERROR(__xludf.DUMMYFUNCTION("""COMPUTED_VALUE"""),"ROSENEATH ")</f>
        <v>ROSENEATH </v>
      </c>
      <c r="D10781" s="3" t="str">
        <f>IFERROR(__xludf.DUMMYFUNCTION("""COMPUTED_VALUE"""),"K0K 2X0")</f>
        <v>K0K 2X0</v>
      </c>
      <c r="E10781" s="3"/>
      <c r="F10781" s="3"/>
      <c r="G10781" s="3"/>
      <c r="H10781" s="3"/>
    </row>
    <row r="10782">
      <c r="A10782" s="2">
        <f>IFERROR(__xludf.DUMMYFUNCTION("""COMPUTED_VALUE"""),51682.0)</f>
        <v>51682</v>
      </c>
      <c r="B10782" s="3" t="str">
        <f>IFERROR(__xludf.DUMMYFUNCTION("""COMPUTED_VALUE"""),"5827 ROSENEATH LANDING RD")</f>
        <v>5827 ROSENEATH LANDING RD</v>
      </c>
      <c r="C10782" s="3" t="str">
        <f>IFERROR(__xludf.DUMMYFUNCTION("""COMPUTED_VALUE"""),"ROSENEATH ")</f>
        <v>ROSENEATH </v>
      </c>
      <c r="D10782" s="3" t="str">
        <f>IFERROR(__xludf.DUMMYFUNCTION("""COMPUTED_VALUE"""),"K0K 2X0")</f>
        <v>K0K 2X0</v>
      </c>
      <c r="E10782" s="3"/>
      <c r="F10782" s="3"/>
      <c r="G10782" s="3"/>
      <c r="H10782" s="3"/>
    </row>
    <row r="10783">
      <c r="A10783" s="2">
        <f>IFERROR(__xludf.DUMMYFUNCTION("""COMPUTED_VALUE"""),51683.0)</f>
        <v>51683</v>
      </c>
      <c r="B10783" s="3" t="str">
        <f>IFERROR(__xludf.DUMMYFUNCTION("""COMPUTED_VALUE"""),"5845 ROSENEATH LANDING RD")</f>
        <v>5845 ROSENEATH LANDING RD</v>
      </c>
      <c r="C10783" s="3" t="str">
        <f>IFERROR(__xludf.DUMMYFUNCTION("""COMPUTED_VALUE"""),"ROSENEATH ")</f>
        <v>ROSENEATH </v>
      </c>
      <c r="D10783" s="3" t="str">
        <f>IFERROR(__xludf.DUMMYFUNCTION("""COMPUTED_VALUE"""),"K0K 2X0")</f>
        <v>K0K 2X0</v>
      </c>
      <c r="E10783" s="3"/>
      <c r="F10783" s="3"/>
      <c r="G10783" s="3"/>
      <c r="H10783" s="3"/>
    </row>
    <row r="10784">
      <c r="A10784" s="2">
        <f>IFERROR(__xludf.DUMMYFUNCTION("""COMPUTED_VALUE"""),51684.0)</f>
        <v>51684</v>
      </c>
      <c r="B10784" s="3" t="str">
        <f>IFERROR(__xludf.DUMMYFUNCTION("""COMPUTED_VALUE"""),"5507A ROSENEATH LANDING RD")</f>
        <v>5507A ROSENEATH LANDING RD</v>
      </c>
      <c r="C10784" s="3" t="str">
        <f>IFERROR(__xludf.DUMMYFUNCTION("""COMPUTED_VALUE"""),"ROSENEATH ")</f>
        <v>ROSENEATH </v>
      </c>
      <c r="D10784" s="3" t="str">
        <f>IFERROR(__xludf.DUMMYFUNCTION("""COMPUTED_VALUE"""),"K0K 2X0")</f>
        <v>K0K 2X0</v>
      </c>
      <c r="E10784" s="3"/>
      <c r="F10784" s="3"/>
      <c r="G10784" s="3"/>
      <c r="H10784" s="3"/>
    </row>
    <row r="10785">
      <c r="A10785" s="2">
        <f>IFERROR(__xludf.DUMMYFUNCTION("""COMPUTED_VALUE"""),51685.0)</f>
        <v>51685</v>
      </c>
      <c r="B10785" s="3" t="str">
        <f>IFERROR(__xludf.DUMMYFUNCTION("""COMPUTED_VALUE"""),"5507B ROSENEATH LANDING RD")</f>
        <v>5507B ROSENEATH LANDING RD</v>
      </c>
      <c r="C10785" s="3" t="str">
        <f>IFERROR(__xludf.DUMMYFUNCTION("""COMPUTED_VALUE"""),"ROSENEATH ")</f>
        <v>ROSENEATH </v>
      </c>
      <c r="D10785" s="3" t="str">
        <f>IFERROR(__xludf.DUMMYFUNCTION("""COMPUTED_VALUE"""),"K0K 2X0")</f>
        <v>K0K 2X0</v>
      </c>
      <c r="E10785" s="3" t="str">
        <f>IFERROR(__xludf.DUMMYFUNCTION("""COMPUTED_VALUE"""),"gary gray ")</f>
        <v>gary gray </v>
      </c>
      <c r="F10785" s="3" t="str">
        <f>IFERROR(__xludf.DUMMYFUNCTION("""COMPUTED_VALUE"""),"horseshoenative@gmail.com")</f>
        <v>horseshoenative@gmail.com</v>
      </c>
      <c r="G10785" s="3">
        <f>IFERROR(__xludf.DUMMYFUNCTION("""COMPUTED_VALUE"""),9.05352223E9)</f>
        <v>9053522230</v>
      </c>
      <c r="H10785" s="3"/>
    </row>
    <row r="10786">
      <c r="A10786" s="2">
        <f>IFERROR(__xludf.DUMMYFUNCTION("""COMPUTED_VALUE"""),51686.0)</f>
        <v>51686</v>
      </c>
      <c r="B10786" s="3" t="str">
        <f>IFERROR(__xludf.DUMMYFUNCTION("""COMPUTED_VALUE"""),"TBD1 ROSENEATH LANDING RD")</f>
        <v>TBD1 ROSENEATH LANDING RD</v>
      </c>
      <c r="C10786" s="3" t="str">
        <f>IFERROR(__xludf.DUMMYFUNCTION("""COMPUTED_VALUE"""),"ROSENEATH ")</f>
        <v>ROSENEATH </v>
      </c>
      <c r="D10786" s="3" t="str">
        <f>IFERROR(__xludf.DUMMYFUNCTION("""COMPUTED_VALUE"""),"K0K 2X0")</f>
        <v>K0K 2X0</v>
      </c>
      <c r="E10786" s="3"/>
      <c r="F10786" s="3"/>
      <c r="G10786" s="3"/>
      <c r="H10786" s="3"/>
    </row>
    <row r="10787">
      <c r="A10787" s="2">
        <f>IFERROR(__xludf.DUMMYFUNCTION("""COMPUTED_VALUE"""),51687.0)</f>
        <v>51687</v>
      </c>
      <c r="B10787" s="3" t="str">
        <f>IFERROR(__xludf.DUMMYFUNCTION("""COMPUTED_VALUE"""),"TBD2 ROSENEATH LANDING RD")</f>
        <v>TBD2 ROSENEATH LANDING RD</v>
      </c>
      <c r="C10787" s="3" t="str">
        <f>IFERROR(__xludf.DUMMYFUNCTION("""COMPUTED_VALUE"""),"ROSENEATH ")</f>
        <v>ROSENEATH </v>
      </c>
      <c r="D10787" s="3" t="str">
        <f>IFERROR(__xludf.DUMMYFUNCTION("""COMPUTED_VALUE"""),"K0K 2X0")</f>
        <v>K0K 2X0</v>
      </c>
      <c r="E10787" s="3"/>
      <c r="F10787" s="3"/>
      <c r="G10787" s="3"/>
      <c r="H10787" s="3"/>
    </row>
    <row r="10788">
      <c r="A10788" s="2">
        <f>IFERROR(__xludf.DUMMYFUNCTION("""COMPUTED_VALUE"""),51688.0)</f>
        <v>51688</v>
      </c>
      <c r="B10788" s="3" t="str">
        <f>IFERROR(__xludf.DUMMYFUNCTION("""COMPUTED_VALUE"""),"5676 SANDERCOCK RD")</f>
        <v>5676 SANDERCOCK RD</v>
      </c>
      <c r="C10788" s="3" t="str">
        <f>IFERROR(__xludf.DUMMYFUNCTION("""COMPUTED_VALUE"""),"ROSENEATH ")</f>
        <v>ROSENEATH </v>
      </c>
      <c r="D10788" s="3" t="str">
        <f>IFERROR(__xludf.DUMMYFUNCTION("""COMPUTED_VALUE"""),"K0K 2X0")</f>
        <v>K0K 2X0</v>
      </c>
      <c r="E10788" s="3"/>
      <c r="F10788" s="3"/>
      <c r="G10788" s="3"/>
      <c r="H10788" s="3"/>
    </row>
    <row r="10789">
      <c r="A10789" s="2">
        <f>IFERROR(__xludf.DUMMYFUNCTION("""COMPUTED_VALUE"""),51689.0)</f>
        <v>51689</v>
      </c>
      <c r="B10789" s="3" t="str">
        <f>IFERROR(__xludf.DUMMYFUNCTION("""COMPUTED_VALUE"""),"5690 SANDERCOCK RD")</f>
        <v>5690 SANDERCOCK RD</v>
      </c>
      <c r="C10789" s="3" t="str">
        <f>IFERROR(__xludf.DUMMYFUNCTION("""COMPUTED_VALUE"""),"ROSENEATH ")</f>
        <v>ROSENEATH </v>
      </c>
      <c r="D10789" s="3" t="str">
        <f>IFERROR(__xludf.DUMMYFUNCTION("""COMPUTED_VALUE"""),"K0K 2X0")</f>
        <v>K0K 2X0</v>
      </c>
      <c r="E10789" s="3"/>
      <c r="F10789" s="3"/>
      <c r="G10789" s="3"/>
      <c r="H10789" s="3"/>
    </row>
    <row r="10790">
      <c r="A10790" s="2">
        <f>IFERROR(__xludf.DUMMYFUNCTION("""COMPUTED_VALUE"""),51690.0)</f>
        <v>51690</v>
      </c>
      <c r="B10790" s="3" t="str">
        <f>IFERROR(__xludf.DUMMYFUNCTION("""COMPUTED_VALUE"""),"5709 SANDERCOCK RD")</f>
        <v>5709 SANDERCOCK RD</v>
      </c>
      <c r="C10790" s="3" t="str">
        <f>IFERROR(__xludf.DUMMYFUNCTION("""COMPUTED_VALUE"""),"ROSENEATH ")</f>
        <v>ROSENEATH </v>
      </c>
      <c r="D10790" s="3" t="str">
        <f>IFERROR(__xludf.DUMMYFUNCTION("""COMPUTED_VALUE"""),"K0K 2X0")</f>
        <v>K0K 2X0</v>
      </c>
      <c r="E10790" s="3"/>
      <c r="F10790" s="3"/>
      <c r="G10790" s="3"/>
      <c r="H10790" s="3"/>
    </row>
    <row r="10791">
      <c r="A10791" s="2">
        <f>IFERROR(__xludf.DUMMYFUNCTION("""COMPUTED_VALUE"""),51691.0)</f>
        <v>51691</v>
      </c>
      <c r="B10791" s="3" t="str">
        <f>IFERROR(__xludf.DUMMYFUNCTION("""COMPUTED_VALUE"""),"5710 SANDERCOCK RD")</f>
        <v>5710 SANDERCOCK RD</v>
      </c>
      <c r="C10791" s="3" t="str">
        <f>IFERROR(__xludf.DUMMYFUNCTION("""COMPUTED_VALUE"""),"ROSENEATH ")</f>
        <v>ROSENEATH </v>
      </c>
      <c r="D10791" s="3" t="str">
        <f>IFERROR(__xludf.DUMMYFUNCTION("""COMPUTED_VALUE"""),"K0K 2X0")</f>
        <v>K0K 2X0</v>
      </c>
      <c r="E10791" s="3"/>
      <c r="F10791" s="3"/>
      <c r="G10791" s="3"/>
      <c r="H10791" s="3"/>
    </row>
    <row r="10792">
      <c r="A10792" s="2">
        <f>IFERROR(__xludf.DUMMYFUNCTION("""COMPUTED_VALUE"""),51692.0)</f>
        <v>51692</v>
      </c>
      <c r="B10792" s="3" t="str">
        <f>IFERROR(__xludf.DUMMYFUNCTION("""COMPUTED_VALUE"""),"5726 SANDERCOCK RD")</f>
        <v>5726 SANDERCOCK RD</v>
      </c>
      <c r="C10792" s="3" t="str">
        <f>IFERROR(__xludf.DUMMYFUNCTION("""COMPUTED_VALUE"""),"ROSENEATH ")</f>
        <v>ROSENEATH </v>
      </c>
      <c r="D10792" s="3" t="str">
        <f>IFERROR(__xludf.DUMMYFUNCTION("""COMPUTED_VALUE"""),"K0K 2X0")</f>
        <v>K0K 2X0</v>
      </c>
      <c r="E10792" s="3"/>
      <c r="F10792" s="3"/>
      <c r="G10792" s="3"/>
      <c r="H10792" s="3"/>
    </row>
    <row r="10793">
      <c r="A10793" s="2">
        <f>IFERROR(__xludf.DUMMYFUNCTION("""COMPUTED_VALUE"""),51693.0)</f>
        <v>51693</v>
      </c>
      <c r="B10793" s="3" t="str">
        <f>IFERROR(__xludf.DUMMYFUNCTION("""COMPUTED_VALUE"""),"5730 SANDERCOCK RD")</f>
        <v>5730 SANDERCOCK RD</v>
      </c>
      <c r="C10793" s="3" t="str">
        <f>IFERROR(__xludf.DUMMYFUNCTION("""COMPUTED_VALUE"""),"ROSENEATH ")</f>
        <v>ROSENEATH </v>
      </c>
      <c r="D10793" s="3" t="str">
        <f>IFERROR(__xludf.DUMMYFUNCTION("""COMPUTED_VALUE"""),"K0K 2X0")</f>
        <v>K0K 2X0</v>
      </c>
      <c r="E10793" s="3"/>
      <c r="F10793" s="3"/>
      <c r="G10793" s="3"/>
      <c r="H10793" s="3"/>
    </row>
    <row r="10794">
      <c r="A10794" s="2">
        <f>IFERROR(__xludf.DUMMYFUNCTION("""COMPUTED_VALUE"""),51694.0)</f>
        <v>51694</v>
      </c>
      <c r="B10794" s="3" t="str">
        <f>IFERROR(__xludf.DUMMYFUNCTION("""COMPUTED_VALUE"""),"5734 SANDERCOCK RD")</f>
        <v>5734 SANDERCOCK RD</v>
      </c>
      <c r="C10794" s="3" t="str">
        <f>IFERROR(__xludf.DUMMYFUNCTION("""COMPUTED_VALUE"""),"ROSENEATH ")</f>
        <v>ROSENEATH </v>
      </c>
      <c r="D10794" s="3" t="str">
        <f>IFERROR(__xludf.DUMMYFUNCTION("""COMPUTED_VALUE"""),"K0K 2X0")</f>
        <v>K0K 2X0</v>
      </c>
      <c r="E10794" s="3"/>
      <c r="F10794" s="3"/>
      <c r="G10794" s="3"/>
      <c r="H10794" s="3"/>
    </row>
    <row r="10795">
      <c r="A10795" s="2">
        <f>IFERROR(__xludf.DUMMYFUNCTION("""COMPUTED_VALUE"""),51695.0)</f>
        <v>51695</v>
      </c>
      <c r="B10795" s="3" t="str">
        <f>IFERROR(__xludf.DUMMYFUNCTION("""COMPUTED_VALUE"""),"5778 SANDERCOCK RD")</f>
        <v>5778 SANDERCOCK RD</v>
      </c>
      <c r="C10795" s="3" t="str">
        <f>IFERROR(__xludf.DUMMYFUNCTION("""COMPUTED_VALUE"""),"ROSENEATH ")</f>
        <v>ROSENEATH </v>
      </c>
      <c r="D10795" s="3" t="str">
        <f>IFERROR(__xludf.DUMMYFUNCTION("""COMPUTED_VALUE"""),"K0K 2X0")</f>
        <v>K0K 2X0</v>
      </c>
      <c r="E10795" s="3"/>
      <c r="F10795" s="3"/>
      <c r="G10795" s="3"/>
      <c r="H10795" s="3"/>
    </row>
    <row r="10796">
      <c r="A10796" s="2">
        <f>IFERROR(__xludf.DUMMYFUNCTION("""COMPUTED_VALUE"""),51696.0)</f>
        <v>51696</v>
      </c>
      <c r="B10796" s="3" t="str">
        <f>IFERROR(__xludf.DUMMYFUNCTION("""COMPUTED_VALUE"""),"5806 SANDERCOCK RD")</f>
        <v>5806 SANDERCOCK RD</v>
      </c>
      <c r="C10796" s="3" t="str">
        <f>IFERROR(__xludf.DUMMYFUNCTION("""COMPUTED_VALUE"""),"ROSENEATH ")</f>
        <v>ROSENEATH </v>
      </c>
      <c r="D10796" s="3" t="str">
        <f>IFERROR(__xludf.DUMMYFUNCTION("""COMPUTED_VALUE"""),"K0K 2X0")</f>
        <v>K0K 2X0</v>
      </c>
      <c r="E10796" s="3"/>
      <c r="F10796" s="3"/>
      <c r="G10796" s="3"/>
      <c r="H10796" s="3"/>
    </row>
    <row r="10797">
      <c r="A10797" s="2">
        <f>IFERROR(__xludf.DUMMYFUNCTION("""COMPUTED_VALUE"""),51697.0)</f>
        <v>51697</v>
      </c>
      <c r="B10797" s="3" t="str">
        <f>IFERROR(__xludf.DUMMYFUNCTION("""COMPUTED_VALUE"""),"5833 SANDERCOCK RD")</f>
        <v>5833 SANDERCOCK RD</v>
      </c>
      <c r="C10797" s="3" t="str">
        <f>IFERROR(__xludf.DUMMYFUNCTION("""COMPUTED_VALUE"""),"ROSENEATH ")</f>
        <v>ROSENEATH </v>
      </c>
      <c r="D10797" s="3" t="str">
        <f>IFERROR(__xludf.DUMMYFUNCTION("""COMPUTED_VALUE"""),"K0K 2X0")</f>
        <v>K0K 2X0</v>
      </c>
      <c r="E10797" s="3"/>
      <c r="F10797" s="3"/>
      <c r="G10797" s="3"/>
      <c r="H10797" s="3"/>
    </row>
    <row r="10798">
      <c r="A10798" s="2">
        <f>IFERROR(__xludf.DUMMYFUNCTION("""COMPUTED_VALUE"""),51698.0)</f>
        <v>51698</v>
      </c>
      <c r="B10798" s="3" t="str">
        <f>IFERROR(__xludf.DUMMYFUNCTION("""COMPUTED_VALUE"""),"5720A SANDERCOCK RD")</f>
        <v>5720A SANDERCOCK RD</v>
      </c>
      <c r="C10798" s="3" t="str">
        <f>IFERROR(__xludf.DUMMYFUNCTION("""COMPUTED_VALUE"""),"ROSENEATH ")</f>
        <v>ROSENEATH </v>
      </c>
      <c r="D10798" s="3" t="str">
        <f>IFERROR(__xludf.DUMMYFUNCTION("""COMPUTED_VALUE"""),"K0K 2X0")</f>
        <v>K0K 2X0</v>
      </c>
      <c r="E10798" s="3"/>
      <c r="F10798" s="3"/>
      <c r="G10798" s="3"/>
      <c r="H10798" s="3"/>
    </row>
    <row r="10799">
      <c r="A10799" s="2">
        <f>IFERROR(__xludf.DUMMYFUNCTION("""COMPUTED_VALUE"""),51699.0)</f>
        <v>51699</v>
      </c>
      <c r="B10799" s="3" t="str">
        <f>IFERROR(__xludf.DUMMYFUNCTION("""COMPUTED_VALUE"""),"5720B SANDERCOCK RD")</f>
        <v>5720B SANDERCOCK RD</v>
      </c>
      <c r="C10799" s="3" t="str">
        <f>IFERROR(__xludf.DUMMYFUNCTION("""COMPUTED_VALUE"""),"ROSENEATH ")</f>
        <v>ROSENEATH </v>
      </c>
      <c r="D10799" s="3" t="str">
        <f>IFERROR(__xludf.DUMMYFUNCTION("""COMPUTED_VALUE"""),"K0K 2X0")</f>
        <v>K0K 2X0</v>
      </c>
      <c r="E10799" s="3"/>
      <c r="F10799" s="3"/>
      <c r="G10799" s="3"/>
      <c r="H10799" s="3"/>
    </row>
    <row r="10800">
      <c r="A10800" s="2">
        <f>IFERROR(__xludf.DUMMYFUNCTION("""COMPUTED_VALUE"""),51700.0)</f>
        <v>51700</v>
      </c>
      <c r="B10800" s="3" t="str">
        <f>IFERROR(__xludf.DUMMYFUNCTION("""COMPUTED_VALUE"""),"12 SANDY BAY RD")</f>
        <v>12 SANDY BAY RD</v>
      </c>
      <c r="C10800" s="3" t="str">
        <f>IFERROR(__xludf.DUMMYFUNCTION("""COMPUTED_VALUE"""),"HASTINGS")</f>
        <v>HASTINGS</v>
      </c>
      <c r="D10800" s="3" t="str">
        <f>IFERROR(__xludf.DUMMYFUNCTION("""COMPUTED_VALUE"""),"K0L 1Y0")</f>
        <v>K0L 1Y0</v>
      </c>
      <c r="E10800" s="3"/>
      <c r="F10800" s="3"/>
      <c r="G10800" s="3"/>
      <c r="H10800" s="3"/>
    </row>
    <row r="10801">
      <c r="A10801" s="2">
        <f>IFERROR(__xludf.DUMMYFUNCTION("""COMPUTED_VALUE"""),51701.0)</f>
        <v>51701</v>
      </c>
      <c r="B10801" s="3" t="str">
        <f>IFERROR(__xludf.DUMMYFUNCTION("""COMPUTED_VALUE"""),"18 SANDY BAY RD")</f>
        <v>18 SANDY BAY RD</v>
      </c>
      <c r="C10801" s="3" t="str">
        <f>IFERROR(__xludf.DUMMYFUNCTION("""COMPUTED_VALUE"""),"HASTINGS")</f>
        <v>HASTINGS</v>
      </c>
      <c r="D10801" s="3" t="str">
        <f>IFERROR(__xludf.DUMMYFUNCTION("""COMPUTED_VALUE"""),"K0L 1Y0")</f>
        <v>K0L 1Y0</v>
      </c>
      <c r="E10801" s="3" t="str">
        <f>IFERROR(__xludf.DUMMYFUNCTION("""COMPUTED_VALUE"""),"Linda Rivers")</f>
        <v>Linda Rivers</v>
      </c>
      <c r="F10801" s="3" t="str">
        <f>IFERROR(__xludf.DUMMYFUNCTION("""COMPUTED_VALUE"""),"lindar331@hotmail.com")</f>
        <v>lindar331@hotmail.com</v>
      </c>
      <c r="G10801" s="3"/>
      <c r="H10801" s="3"/>
    </row>
    <row r="10802">
      <c r="A10802" s="2">
        <f>IFERROR(__xludf.DUMMYFUNCTION("""COMPUTED_VALUE"""),51702.0)</f>
        <v>51702</v>
      </c>
      <c r="B10802" s="3" t="str">
        <f>IFERROR(__xludf.DUMMYFUNCTION("""COMPUTED_VALUE"""),"32 SANDY BAY RD")</f>
        <v>32 SANDY BAY RD</v>
      </c>
      <c r="C10802" s="3" t="str">
        <f>IFERROR(__xludf.DUMMYFUNCTION("""COMPUTED_VALUE"""),"HASTINGS")</f>
        <v>HASTINGS</v>
      </c>
      <c r="D10802" s="3" t="str">
        <f>IFERROR(__xludf.DUMMYFUNCTION("""COMPUTED_VALUE"""),"K0L 1Y0")</f>
        <v>K0L 1Y0</v>
      </c>
      <c r="E10802" s="3"/>
      <c r="F10802" s="3"/>
      <c r="G10802" s="3"/>
      <c r="H10802" s="3"/>
    </row>
    <row r="10803">
      <c r="A10803" s="2">
        <f>IFERROR(__xludf.DUMMYFUNCTION("""COMPUTED_VALUE"""),51703.0)</f>
        <v>51703</v>
      </c>
      <c r="B10803" s="3" t="str">
        <f>IFERROR(__xludf.DUMMYFUNCTION("""COMPUTED_VALUE"""),"44 SANDY BAY RD")</f>
        <v>44 SANDY BAY RD</v>
      </c>
      <c r="C10803" s="3" t="str">
        <f>IFERROR(__xludf.DUMMYFUNCTION("""COMPUTED_VALUE"""),"HASTINGS")</f>
        <v>HASTINGS</v>
      </c>
      <c r="D10803" s="3" t="str">
        <f>IFERROR(__xludf.DUMMYFUNCTION("""COMPUTED_VALUE"""),"K0L 1Y0")</f>
        <v>K0L 1Y0</v>
      </c>
      <c r="E10803" s="3"/>
      <c r="F10803" s="3"/>
      <c r="G10803" s="3"/>
      <c r="H10803" s="3"/>
    </row>
    <row r="10804">
      <c r="A10804" s="2">
        <f>IFERROR(__xludf.DUMMYFUNCTION("""COMPUTED_VALUE"""),51704.0)</f>
        <v>51704</v>
      </c>
      <c r="B10804" s="3" t="str">
        <f>IFERROR(__xludf.DUMMYFUNCTION("""COMPUTED_VALUE"""),"46 SANDY BAY RD")</f>
        <v>46 SANDY BAY RD</v>
      </c>
      <c r="C10804" s="3" t="str">
        <f>IFERROR(__xludf.DUMMYFUNCTION("""COMPUTED_VALUE"""),"HASTINGS")</f>
        <v>HASTINGS</v>
      </c>
      <c r="D10804" s="3" t="str">
        <f>IFERROR(__xludf.DUMMYFUNCTION("""COMPUTED_VALUE"""),"K0L 1Y0")</f>
        <v>K0L 1Y0</v>
      </c>
      <c r="E10804" s="3"/>
      <c r="F10804" s="3"/>
      <c r="G10804" s="3"/>
      <c r="H10804" s="3"/>
    </row>
    <row r="10805">
      <c r="A10805" s="2">
        <f>IFERROR(__xludf.DUMMYFUNCTION("""COMPUTED_VALUE"""),51705.0)</f>
        <v>51705</v>
      </c>
      <c r="B10805" s="3" t="str">
        <f>IFERROR(__xludf.DUMMYFUNCTION("""COMPUTED_VALUE"""),"62 SANDY BAY RD")</f>
        <v>62 SANDY BAY RD</v>
      </c>
      <c r="C10805" s="3" t="str">
        <f>IFERROR(__xludf.DUMMYFUNCTION("""COMPUTED_VALUE"""),"HASTINGS")</f>
        <v>HASTINGS</v>
      </c>
      <c r="D10805" s="3" t="str">
        <f>IFERROR(__xludf.DUMMYFUNCTION("""COMPUTED_VALUE"""),"K0L 1Y0")</f>
        <v>K0L 1Y0</v>
      </c>
      <c r="E10805" s="3"/>
      <c r="F10805" s="3"/>
      <c r="G10805" s="3"/>
      <c r="H10805" s="3"/>
    </row>
    <row r="10806">
      <c r="A10806" s="2">
        <f>IFERROR(__xludf.DUMMYFUNCTION("""COMPUTED_VALUE"""),51706.0)</f>
        <v>51706</v>
      </c>
      <c r="B10806" s="3" t="str">
        <f>IFERROR(__xludf.DUMMYFUNCTION("""COMPUTED_VALUE"""),"78 SANDY BAY RD")</f>
        <v>78 SANDY BAY RD</v>
      </c>
      <c r="C10806" s="3" t="str">
        <f>IFERROR(__xludf.DUMMYFUNCTION("""COMPUTED_VALUE"""),"HASTINGS")</f>
        <v>HASTINGS</v>
      </c>
      <c r="D10806" s="3" t="str">
        <f>IFERROR(__xludf.DUMMYFUNCTION("""COMPUTED_VALUE"""),"K0L 1Y0")</f>
        <v>K0L 1Y0</v>
      </c>
      <c r="E10806" s="3"/>
      <c r="F10806" s="3"/>
      <c r="G10806" s="3"/>
      <c r="H10806" s="3"/>
    </row>
    <row r="10807">
      <c r="A10807" s="2">
        <f>IFERROR(__xludf.DUMMYFUNCTION("""COMPUTED_VALUE"""),51707.0)</f>
        <v>51707</v>
      </c>
      <c r="B10807" s="3" t="str">
        <f>IFERROR(__xludf.DUMMYFUNCTION("""COMPUTED_VALUE"""),"81 SANDY BAY RD")</f>
        <v>81 SANDY BAY RD</v>
      </c>
      <c r="C10807" s="3" t="str">
        <f>IFERROR(__xludf.DUMMYFUNCTION("""COMPUTED_VALUE"""),"HASTINGS")</f>
        <v>HASTINGS</v>
      </c>
      <c r="D10807" s="3" t="str">
        <f>IFERROR(__xludf.DUMMYFUNCTION("""COMPUTED_VALUE"""),"K0L 1Y0")</f>
        <v>K0L 1Y0</v>
      </c>
      <c r="E10807" s="3"/>
      <c r="F10807" s="3"/>
      <c r="G10807" s="3"/>
      <c r="H10807" s="3"/>
    </row>
    <row r="10808">
      <c r="A10808" s="2">
        <f>IFERROR(__xludf.DUMMYFUNCTION("""COMPUTED_VALUE"""),51708.0)</f>
        <v>51708</v>
      </c>
      <c r="B10808" s="3" t="str">
        <f>IFERROR(__xludf.DUMMYFUNCTION("""COMPUTED_VALUE"""),"101 SANDY BAY RD")</f>
        <v>101 SANDY BAY RD</v>
      </c>
      <c r="C10808" s="3" t="str">
        <f>IFERROR(__xludf.DUMMYFUNCTION("""COMPUTED_VALUE"""),"HASTINGS")</f>
        <v>HASTINGS</v>
      </c>
      <c r="D10808" s="3" t="str">
        <f>IFERROR(__xludf.DUMMYFUNCTION("""COMPUTED_VALUE"""),"K0L 1Y0")</f>
        <v>K0L 1Y0</v>
      </c>
      <c r="E10808" s="3"/>
      <c r="F10808" s="3"/>
      <c r="G10808" s="3"/>
      <c r="H10808" s="3"/>
    </row>
    <row r="10809">
      <c r="A10809" s="2">
        <f>IFERROR(__xludf.DUMMYFUNCTION("""COMPUTED_VALUE"""),51709.0)</f>
        <v>51709</v>
      </c>
      <c r="B10809" s="3" t="str">
        <f>IFERROR(__xludf.DUMMYFUNCTION("""COMPUTED_VALUE"""),"115 SANDY BAY RD")</f>
        <v>115 SANDY BAY RD</v>
      </c>
      <c r="C10809" s="3" t="str">
        <f>IFERROR(__xludf.DUMMYFUNCTION("""COMPUTED_VALUE"""),"HASTINGS")</f>
        <v>HASTINGS</v>
      </c>
      <c r="D10809" s="3" t="str">
        <f>IFERROR(__xludf.DUMMYFUNCTION("""COMPUTED_VALUE"""),"K0L 1Y0")</f>
        <v>K0L 1Y0</v>
      </c>
      <c r="E10809" s="3"/>
      <c r="F10809" s="3"/>
      <c r="G10809" s="3"/>
      <c r="H10809" s="3"/>
    </row>
    <row r="10810">
      <c r="A10810" s="2">
        <f>IFERROR(__xludf.DUMMYFUNCTION("""COMPUTED_VALUE"""),51710.0)</f>
        <v>51710</v>
      </c>
      <c r="B10810" s="3" t="str">
        <f>IFERROR(__xludf.DUMMYFUNCTION("""COMPUTED_VALUE"""),"122 SANDY BAY RD")</f>
        <v>122 SANDY BAY RD</v>
      </c>
      <c r="C10810" s="3" t="str">
        <f>IFERROR(__xludf.DUMMYFUNCTION("""COMPUTED_VALUE"""),"HASTINGS")</f>
        <v>HASTINGS</v>
      </c>
      <c r="D10810" s="3" t="str">
        <f>IFERROR(__xludf.DUMMYFUNCTION("""COMPUTED_VALUE"""),"K0L 1Y0")</f>
        <v>K0L 1Y0</v>
      </c>
      <c r="E10810" s="3"/>
      <c r="F10810" s="3"/>
      <c r="G10810" s="3"/>
      <c r="H10810" s="3"/>
    </row>
    <row r="10811">
      <c r="A10811" s="2">
        <f>IFERROR(__xludf.DUMMYFUNCTION("""COMPUTED_VALUE"""),51711.0)</f>
        <v>51711</v>
      </c>
      <c r="B10811" s="3" t="str">
        <f>IFERROR(__xludf.DUMMYFUNCTION("""COMPUTED_VALUE"""),"124 SANDY BAY RD")</f>
        <v>124 SANDY BAY RD</v>
      </c>
      <c r="C10811" s="3" t="str">
        <f>IFERROR(__xludf.DUMMYFUNCTION("""COMPUTED_VALUE"""),"HASTINGS")</f>
        <v>HASTINGS</v>
      </c>
      <c r="D10811" s="3" t="str">
        <f>IFERROR(__xludf.DUMMYFUNCTION("""COMPUTED_VALUE"""),"K0L 1Y0")</f>
        <v>K0L 1Y0</v>
      </c>
      <c r="E10811" s="3"/>
      <c r="F10811" s="3"/>
      <c r="G10811" s="3"/>
      <c r="H10811" s="3"/>
    </row>
    <row r="10812">
      <c r="A10812" s="2">
        <f>IFERROR(__xludf.DUMMYFUNCTION("""COMPUTED_VALUE"""),51712.0)</f>
        <v>51712</v>
      </c>
      <c r="B10812" s="3" t="str">
        <f>IFERROR(__xludf.DUMMYFUNCTION("""COMPUTED_VALUE"""),"125 SANDY BAY RD")</f>
        <v>125 SANDY BAY RD</v>
      </c>
      <c r="C10812" s="3" t="str">
        <f>IFERROR(__xludf.DUMMYFUNCTION("""COMPUTED_VALUE"""),"HASTINGS")</f>
        <v>HASTINGS</v>
      </c>
      <c r="D10812" s="3" t="str">
        <f>IFERROR(__xludf.DUMMYFUNCTION("""COMPUTED_VALUE"""),"K0L 1Y0")</f>
        <v>K0L 1Y0</v>
      </c>
      <c r="E10812" s="3"/>
      <c r="F10812" s="3"/>
      <c r="G10812" s="3"/>
      <c r="H10812" s="3"/>
    </row>
    <row r="10813">
      <c r="A10813" s="2">
        <f>IFERROR(__xludf.DUMMYFUNCTION("""COMPUTED_VALUE"""),51713.0)</f>
        <v>51713</v>
      </c>
      <c r="B10813" s="3" t="str">
        <f>IFERROR(__xludf.DUMMYFUNCTION("""COMPUTED_VALUE"""),"130 SANDY BAY RD")</f>
        <v>130 SANDY BAY RD</v>
      </c>
      <c r="C10813" s="3" t="str">
        <f>IFERROR(__xludf.DUMMYFUNCTION("""COMPUTED_VALUE"""),"HASTINGS")</f>
        <v>HASTINGS</v>
      </c>
      <c r="D10813" s="3" t="str">
        <f>IFERROR(__xludf.DUMMYFUNCTION("""COMPUTED_VALUE"""),"K0L 1Y0")</f>
        <v>K0L 1Y0</v>
      </c>
      <c r="E10813" s="3"/>
      <c r="F10813" s="3"/>
      <c r="G10813" s="3"/>
      <c r="H10813" s="3"/>
    </row>
    <row r="10814">
      <c r="A10814" s="2">
        <f>IFERROR(__xludf.DUMMYFUNCTION("""COMPUTED_VALUE"""),51714.0)</f>
        <v>51714</v>
      </c>
      <c r="B10814" s="3" t="str">
        <f>IFERROR(__xludf.DUMMYFUNCTION("""COMPUTED_VALUE"""),"134 SANDY BAY RD")</f>
        <v>134 SANDY BAY RD</v>
      </c>
      <c r="C10814" s="3" t="str">
        <f>IFERROR(__xludf.DUMMYFUNCTION("""COMPUTED_VALUE"""),"HASTINGS")</f>
        <v>HASTINGS</v>
      </c>
      <c r="D10814" s="3" t="str">
        <f>IFERROR(__xludf.DUMMYFUNCTION("""COMPUTED_VALUE"""),"K0L 1Y0")</f>
        <v>K0L 1Y0</v>
      </c>
      <c r="E10814" s="3" t="str">
        <f>IFERROR(__xludf.DUMMYFUNCTION("""COMPUTED_VALUE"""),"Darlene Flatman")</f>
        <v>Darlene Flatman</v>
      </c>
      <c r="F10814" s="3" t="str">
        <f>IFERROR(__xludf.DUMMYFUNCTION("""COMPUTED_VALUE"""),"darleneflatman@hotmail.com")</f>
        <v>darleneflatman@hotmail.com</v>
      </c>
      <c r="G10814" s="3">
        <f>IFERROR(__xludf.DUMMYFUNCTION("""COMPUTED_VALUE"""),4.164527757E9)</f>
        <v>4164527757</v>
      </c>
      <c r="H10814" s="3"/>
    </row>
    <row r="10815">
      <c r="A10815" s="2">
        <f>IFERROR(__xludf.DUMMYFUNCTION("""COMPUTED_VALUE"""),51715.0)</f>
        <v>51715</v>
      </c>
      <c r="B10815" s="3" t="str">
        <f>IFERROR(__xludf.DUMMYFUNCTION("""COMPUTED_VALUE"""),"138 SANDY BAY RD")</f>
        <v>138 SANDY BAY RD</v>
      </c>
      <c r="C10815" s="3" t="str">
        <f>IFERROR(__xludf.DUMMYFUNCTION("""COMPUTED_VALUE"""),"HASTINGS")</f>
        <v>HASTINGS</v>
      </c>
      <c r="D10815" s="3" t="str">
        <f>IFERROR(__xludf.DUMMYFUNCTION("""COMPUTED_VALUE"""),"K0L 1Y0")</f>
        <v>K0L 1Y0</v>
      </c>
      <c r="E10815" s="3" t="str">
        <f>IFERROR(__xludf.DUMMYFUNCTION("""COMPUTED_VALUE"""),"Janice Bielarczyk")</f>
        <v>Janice Bielarczyk</v>
      </c>
      <c r="F10815" s="3" t="str">
        <f>IFERROR(__xludf.DUMMYFUNCTION("""COMPUTED_VALUE"""),"49jleary@gmail.com")</f>
        <v>49jleary@gmail.com</v>
      </c>
      <c r="G10815" s="3">
        <f>IFERROR(__xludf.DUMMYFUNCTION("""COMPUTED_VALUE"""),2.899799404E9)</f>
        <v>2899799404</v>
      </c>
      <c r="H10815" s="3"/>
    </row>
    <row r="10816">
      <c r="A10816" s="2">
        <f>IFERROR(__xludf.DUMMYFUNCTION("""COMPUTED_VALUE"""),51716.0)</f>
        <v>51716</v>
      </c>
      <c r="B10816" s="3" t="str">
        <f>IFERROR(__xludf.DUMMYFUNCTION("""COMPUTED_VALUE"""),"148 SANDY BAY RD")</f>
        <v>148 SANDY BAY RD</v>
      </c>
      <c r="C10816" s="3" t="str">
        <f>IFERROR(__xludf.DUMMYFUNCTION("""COMPUTED_VALUE"""),"HASTINGS")</f>
        <v>HASTINGS</v>
      </c>
      <c r="D10816" s="3" t="str">
        <f>IFERROR(__xludf.DUMMYFUNCTION("""COMPUTED_VALUE"""),"K0L 1Y0")</f>
        <v>K0L 1Y0</v>
      </c>
      <c r="E10816" s="3"/>
      <c r="F10816" s="3"/>
      <c r="G10816" s="3"/>
      <c r="H10816" s="3"/>
    </row>
    <row r="10817">
      <c r="A10817" s="2">
        <f>IFERROR(__xludf.DUMMYFUNCTION("""COMPUTED_VALUE"""),51717.0)</f>
        <v>51717</v>
      </c>
      <c r="B10817" s="3" t="str">
        <f>IFERROR(__xludf.DUMMYFUNCTION("""COMPUTED_VALUE"""),"154 SANDY BAY RD")</f>
        <v>154 SANDY BAY RD</v>
      </c>
      <c r="C10817" s="3" t="str">
        <f>IFERROR(__xludf.DUMMYFUNCTION("""COMPUTED_VALUE"""),"HASTINGS")</f>
        <v>HASTINGS</v>
      </c>
      <c r="D10817" s="3" t="str">
        <f>IFERROR(__xludf.DUMMYFUNCTION("""COMPUTED_VALUE"""),"K0L 1Y0")</f>
        <v>K0L 1Y0</v>
      </c>
      <c r="E10817" s="3"/>
      <c r="F10817" s="3"/>
      <c r="G10817" s="3"/>
      <c r="H10817" s="3"/>
    </row>
    <row r="10818">
      <c r="A10818" s="2">
        <f>IFERROR(__xludf.DUMMYFUNCTION("""COMPUTED_VALUE"""),51718.0)</f>
        <v>51718</v>
      </c>
      <c r="B10818" s="3" t="str">
        <f>IFERROR(__xludf.DUMMYFUNCTION("""COMPUTED_VALUE"""),"162 SANDY BAY RD")</f>
        <v>162 SANDY BAY RD</v>
      </c>
      <c r="C10818" s="3" t="str">
        <f>IFERROR(__xludf.DUMMYFUNCTION("""COMPUTED_VALUE"""),"HASTINGS")</f>
        <v>HASTINGS</v>
      </c>
      <c r="D10818" s="3" t="str">
        <f>IFERROR(__xludf.DUMMYFUNCTION("""COMPUTED_VALUE"""),"K0L 1Y0")</f>
        <v>K0L 1Y0</v>
      </c>
      <c r="E10818" s="3"/>
      <c r="F10818" s="3"/>
      <c r="G10818" s="3"/>
      <c r="H10818" s="3"/>
    </row>
    <row r="10819">
      <c r="A10819" s="2">
        <f>IFERROR(__xludf.DUMMYFUNCTION("""COMPUTED_VALUE"""),51719.0)</f>
        <v>51719</v>
      </c>
      <c r="B10819" s="3" t="str">
        <f>IFERROR(__xludf.DUMMYFUNCTION("""COMPUTED_VALUE"""),"168 SANDY BAY RD")</f>
        <v>168 SANDY BAY RD</v>
      </c>
      <c r="C10819" s="3" t="str">
        <f>IFERROR(__xludf.DUMMYFUNCTION("""COMPUTED_VALUE"""),"HASTINGS")</f>
        <v>HASTINGS</v>
      </c>
      <c r="D10819" s="3" t="str">
        <f>IFERROR(__xludf.DUMMYFUNCTION("""COMPUTED_VALUE"""),"K0L 1Y0")</f>
        <v>K0L 1Y0</v>
      </c>
      <c r="E10819" s="3"/>
      <c r="F10819" s="3"/>
      <c r="G10819" s="3"/>
      <c r="H10819" s="3"/>
    </row>
    <row r="10820">
      <c r="A10820" s="2">
        <f>IFERROR(__xludf.DUMMYFUNCTION("""COMPUTED_VALUE"""),51720.0)</f>
        <v>51720</v>
      </c>
      <c r="B10820" s="3" t="str">
        <f>IFERROR(__xludf.DUMMYFUNCTION("""COMPUTED_VALUE"""),"174 SANDY BAY RD")</f>
        <v>174 SANDY BAY RD</v>
      </c>
      <c r="C10820" s="3" t="str">
        <f>IFERROR(__xludf.DUMMYFUNCTION("""COMPUTED_VALUE"""),"HASTINGS")</f>
        <v>HASTINGS</v>
      </c>
      <c r="D10820" s="3" t="str">
        <f>IFERROR(__xludf.DUMMYFUNCTION("""COMPUTED_VALUE"""),"K0L 1Y0")</f>
        <v>K0L 1Y0</v>
      </c>
      <c r="E10820" s="3"/>
      <c r="F10820" s="3"/>
      <c r="G10820" s="3"/>
      <c r="H10820" s="3"/>
    </row>
    <row r="10821">
      <c r="A10821" s="2">
        <f>IFERROR(__xludf.DUMMYFUNCTION("""COMPUTED_VALUE"""),51721.0)</f>
        <v>51721</v>
      </c>
      <c r="B10821" s="3" t="str">
        <f>IFERROR(__xludf.DUMMYFUNCTION("""COMPUTED_VALUE"""),"180 SANDY BAY RD")</f>
        <v>180 SANDY BAY RD</v>
      </c>
      <c r="C10821" s="3" t="str">
        <f>IFERROR(__xludf.DUMMYFUNCTION("""COMPUTED_VALUE"""),"HASTINGS")</f>
        <v>HASTINGS</v>
      </c>
      <c r="D10821" s="3" t="str">
        <f>IFERROR(__xludf.DUMMYFUNCTION("""COMPUTED_VALUE"""),"K0L 1Y0")</f>
        <v>K0L 1Y0</v>
      </c>
      <c r="E10821" s="3"/>
      <c r="F10821" s="3"/>
      <c r="G10821" s="3"/>
      <c r="H10821" s="3"/>
    </row>
    <row r="10822">
      <c r="A10822" s="2">
        <f>IFERROR(__xludf.DUMMYFUNCTION("""COMPUTED_VALUE"""),51722.0)</f>
        <v>51722</v>
      </c>
      <c r="B10822" s="3" t="str">
        <f>IFERROR(__xludf.DUMMYFUNCTION("""COMPUTED_VALUE"""),"186 SANDY BAY RD")</f>
        <v>186 SANDY BAY RD</v>
      </c>
      <c r="C10822" s="3" t="str">
        <f>IFERROR(__xludf.DUMMYFUNCTION("""COMPUTED_VALUE"""),"HASTINGS")</f>
        <v>HASTINGS</v>
      </c>
      <c r="D10822" s="3" t="str">
        <f>IFERROR(__xludf.DUMMYFUNCTION("""COMPUTED_VALUE"""),"K0L 1Y0")</f>
        <v>K0L 1Y0</v>
      </c>
      <c r="E10822" s="3" t="str">
        <f>IFERROR(__xludf.DUMMYFUNCTION("""COMPUTED_VALUE"""),"Graziella")</f>
        <v>Graziella</v>
      </c>
      <c r="F10822" s="3" t="str">
        <f>IFERROR(__xludf.DUMMYFUNCTION("""COMPUTED_VALUE"""),"vincegrace186@gmail.com")</f>
        <v>vincegrace186@gmail.com</v>
      </c>
      <c r="G10822" s="3">
        <f>IFERROR(__xludf.DUMMYFUNCTION("""COMPUTED_VALUE"""),6.472936759E9)</f>
        <v>6472936759</v>
      </c>
      <c r="H10822" s="3">
        <f>IFERROR(__xludf.DUMMYFUNCTION("""COMPUTED_VALUE"""),7.056961875E9)</f>
        <v>7056961875</v>
      </c>
    </row>
    <row r="10823">
      <c r="A10823" s="2">
        <f>IFERROR(__xludf.DUMMYFUNCTION("""COMPUTED_VALUE"""),51723.0)</f>
        <v>51723</v>
      </c>
      <c r="B10823" s="3" t="str">
        <f>IFERROR(__xludf.DUMMYFUNCTION("""COMPUTED_VALUE"""),"196 SANDY BAY RD")</f>
        <v>196 SANDY BAY RD</v>
      </c>
      <c r="C10823" s="3" t="str">
        <f>IFERROR(__xludf.DUMMYFUNCTION("""COMPUTED_VALUE"""),"HASTINGS")</f>
        <v>HASTINGS</v>
      </c>
      <c r="D10823" s="3" t="str">
        <f>IFERROR(__xludf.DUMMYFUNCTION("""COMPUTED_VALUE"""),"K0L 1Y0")</f>
        <v>K0L 1Y0</v>
      </c>
      <c r="E10823" s="3"/>
      <c r="F10823" s="3"/>
      <c r="G10823" s="3"/>
      <c r="H10823" s="3"/>
    </row>
    <row r="10824">
      <c r="A10824" s="2">
        <f>IFERROR(__xludf.DUMMYFUNCTION("""COMPUTED_VALUE"""),51724.0)</f>
        <v>51724</v>
      </c>
      <c r="B10824" s="3" t="str">
        <f>IFERROR(__xludf.DUMMYFUNCTION("""COMPUTED_VALUE"""),"223 SANDY BAY RD")</f>
        <v>223 SANDY BAY RD</v>
      </c>
      <c r="C10824" s="3" t="str">
        <f>IFERROR(__xludf.DUMMYFUNCTION("""COMPUTED_VALUE"""),"HASTINGS")</f>
        <v>HASTINGS</v>
      </c>
      <c r="D10824" s="3" t="str">
        <f>IFERROR(__xludf.DUMMYFUNCTION("""COMPUTED_VALUE"""),"K0L 1Y0")</f>
        <v>K0L 1Y0</v>
      </c>
      <c r="E10824" s="3" t="str">
        <f>IFERROR(__xludf.DUMMYFUNCTION("""COMPUTED_VALUE"""),"Rozalia Szaniawski")</f>
        <v>Rozalia Szaniawski</v>
      </c>
      <c r="F10824" s="3" t="str">
        <f>IFERROR(__xludf.DUMMYFUNCTION("""COMPUTED_VALUE"""),"kasiaszaniawski@gmail.com")</f>
        <v>kasiaszaniawski@gmail.com</v>
      </c>
      <c r="G10824" s="3">
        <f>IFERROR(__xludf.DUMMYFUNCTION("""COMPUTED_VALUE"""),6.472421921E9)</f>
        <v>6472421921</v>
      </c>
      <c r="H10824" s="3"/>
    </row>
    <row r="10825">
      <c r="A10825" s="2">
        <f>IFERROR(__xludf.DUMMYFUNCTION("""COMPUTED_VALUE"""),51725.0)</f>
        <v>51725</v>
      </c>
      <c r="B10825" s="3" t="str">
        <f>IFERROR(__xludf.DUMMYFUNCTION("""COMPUTED_VALUE"""),"246 SANDY BAY RD")</f>
        <v>246 SANDY BAY RD</v>
      </c>
      <c r="C10825" s="3" t="str">
        <f>IFERROR(__xludf.DUMMYFUNCTION("""COMPUTED_VALUE"""),"HASTINGS")</f>
        <v>HASTINGS</v>
      </c>
      <c r="D10825" s="3" t="str">
        <f>IFERROR(__xludf.DUMMYFUNCTION("""COMPUTED_VALUE"""),"K0L 1Y0")</f>
        <v>K0L 1Y0</v>
      </c>
      <c r="E10825" s="3"/>
      <c r="F10825" s="3"/>
      <c r="G10825" s="3"/>
      <c r="H10825" s="3"/>
    </row>
    <row r="10826">
      <c r="A10826" s="2">
        <f>IFERROR(__xludf.DUMMYFUNCTION("""COMPUTED_VALUE"""),51726.0)</f>
        <v>51726</v>
      </c>
      <c r="B10826" s="3" t="str">
        <f>IFERROR(__xludf.DUMMYFUNCTION("""COMPUTED_VALUE"""),"254 SANDY BAY RD")</f>
        <v>254 SANDY BAY RD</v>
      </c>
      <c r="C10826" s="3" t="str">
        <f>IFERROR(__xludf.DUMMYFUNCTION("""COMPUTED_VALUE"""),"HASTINGS")</f>
        <v>HASTINGS</v>
      </c>
      <c r="D10826" s="3" t="str">
        <f>IFERROR(__xludf.DUMMYFUNCTION("""COMPUTED_VALUE"""),"K0L 1Y0")</f>
        <v>K0L 1Y0</v>
      </c>
      <c r="E10826" s="3"/>
      <c r="F10826" s="3"/>
      <c r="G10826" s="3"/>
      <c r="H10826" s="3"/>
    </row>
    <row r="10827">
      <c r="A10827" s="2">
        <f>IFERROR(__xludf.DUMMYFUNCTION("""COMPUTED_VALUE"""),51727.0)</f>
        <v>51727</v>
      </c>
      <c r="B10827" s="3" t="str">
        <f>IFERROR(__xludf.DUMMYFUNCTION("""COMPUTED_VALUE"""),"262 SANDY BAY RD")</f>
        <v>262 SANDY BAY RD</v>
      </c>
      <c r="C10827" s="3" t="str">
        <f>IFERROR(__xludf.DUMMYFUNCTION("""COMPUTED_VALUE"""),"HASTINGS")</f>
        <v>HASTINGS</v>
      </c>
      <c r="D10827" s="3" t="str">
        <f>IFERROR(__xludf.DUMMYFUNCTION("""COMPUTED_VALUE"""),"K0L 1Y0")</f>
        <v>K0L 1Y0</v>
      </c>
      <c r="E10827" s="3"/>
      <c r="F10827" s="3"/>
      <c r="G10827" s="3"/>
      <c r="H10827" s="3"/>
    </row>
    <row r="10828">
      <c r="A10828" s="2">
        <f>IFERROR(__xludf.DUMMYFUNCTION("""COMPUTED_VALUE"""),51728.0)</f>
        <v>51728</v>
      </c>
      <c r="B10828" s="3" t="str">
        <f>IFERROR(__xludf.DUMMYFUNCTION("""COMPUTED_VALUE"""),"280 SANDY BAY RD")</f>
        <v>280 SANDY BAY RD</v>
      </c>
      <c r="C10828" s="3" t="str">
        <f>IFERROR(__xludf.DUMMYFUNCTION("""COMPUTED_VALUE"""),"HASTINGS")</f>
        <v>HASTINGS</v>
      </c>
      <c r="D10828" s="3" t="str">
        <f>IFERROR(__xludf.DUMMYFUNCTION("""COMPUTED_VALUE"""),"K0L 1Y0")</f>
        <v>K0L 1Y0</v>
      </c>
      <c r="E10828" s="3" t="str">
        <f>IFERROR(__xludf.DUMMYFUNCTION("""COMPUTED_VALUE"""),"Heather Matthews")</f>
        <v>Heather Matthews</v>
      </c>
      <c r="F10828" s="3" t="str">
        <f>IFERROR(__xludf.DUMMYFUNCTION("""COMPUTED_VALUE"""),"hmatthews@sympatico.ca")</f>
        <v>hmatthews@sympatico.ca</v>
      </c>
      <c r="G10828" s="3">
        <f>IFERROR(__xludf.DUMMYFUNCTION("""COMPUTED_VALUE"""),9.059998842E9)</f>
        <v>9059998842</v>
      </c>
      <c r="H10828" s="3"/>
    </row>
    <row r="10829">
      <c r="A10829" s="2">
        <f>IFERROR(__xludf.DUMMYFUNCTION("""COMPUTED_VALUE"""),51729.0)</f>
        <v>51729</v>
      </c>
      <c r="B10829" s="3" t="str">
        <f>IFERROR(__xludf.DUMMYFUNCTION("""COMPUTED_VALUE"""),"282 SANDY BAY RD")</f>
        <v>282 SANDY BAY RD</v>
      </c>
      <c r="C10829" s="3" t="str">
        <f>IFERROR(__xludf.DUMMYFUNCTION("""COMPUTED_VALUE"""),"HASTINGS")</f>
        <v>HASTINGS</v>
      </c>
      <c r="D10829" s="3" t="str">
        <f>IFERROR(__xludf.DUMMYFUNCTION("""COMPUTED_VALUE"""),"K0L 1Y0")</f>
        <v>K0L 1Y0</v>
      </c>
      <c r="E10829" s="3" t="str">
        <f>IFERROR(__xludf.DUMMYFUNCTION("""COMPUTED_VALUE"""),"Rennie Schut")</f>
        <v>Rennie Schut</v>
      </c>
      <c r="F10829" s="3" t="str">
        <f>IFERROR(__xludf.DUMMYFUNCTION("""COMPUTED_VALUE"""),"wilren@outlook.com")</f>
        <v>wilren@outlook.com</v>
      </c>
      <c r="G10829" s="3"/>
      <c r="H10829" s="3"/>
    </row>
    <row r="10830">
      <c r="A10830" s="2">
        <f>IFERROR(__xludf.DUMMYFUNCTION("""COMPUTED_VALUE"""),51730.0)</f>
        <v>51730</v>
      </c>
      <c r="B10830" s="3" t="str">
        <f>IFERROR(__xludf.DUMMYFUNCTION("""COMPUTED_VALUE"""),"288 SANDY BAY RD")</f>
        <v>288 SANDY BAY RD</v>
      </c>
      <c r="C10830" s="3" t="str">
        <f>IFERROR(__xludf.DUMMYFUNCTION("""COMPUTED_VALUE"""),"HASTINGS")</f>
        <v>HASTINGS</v>
      </c>
      <c r="D10830" s="3" t="str">
        <f>IFERROR(__xludf.DUMMYFUNCTION("""COMPUTED_VALUE"""),"K0L 1Y0")</f>
        <v>K0L 1Y0</v>
      </c>
      <c r="E10830" s="3"/>
      <c r="F10830" s="3"/>
      <c r="G10830" s="3"/>
      <c r="H10830" s="3"/>
    </row>
    <row r="10831">
      <c r="A10831" s="2">
        <f>IFERROR(__xludf.DUMMYFUNCTION("""COMPUTED_VALUE"""),51731.0)</f>
        <v>51731</v>
      </c>
      <c r="B10831" s="3" t="str">
        <f>IFERROR(__xludf.DUMMYFUNCTION("""COMPUTED_VALUE"""),"294 SANDY BAY RD")</f>
        <v>294 SANDY BAY RD</v>
      </c>
      <c r="C10831" s="3" t="str">
        <f>IFERROR(__xludf.DUMMYFUNCTION("""COMPUTED_VALUE"""),"HASTINGS")</f>
        <v>HASTINGS</v>
      </c>
      <c r="D10831" s="3" t="str">
        <f>IFERROR(__xludf.DUMMYFUNCTION("""COMPUTED_VALUE"""),"K0L 1Y0")</f>
        <v>K0L 1Y0</v>
      </c>
      <c r="E10831" s="3"/>
      <c r="F10831" s="3"/>
      <c r="G10831" s="3"/>
      <c r="H10831" s="3"/>
    </row>
    <row r="10832">
      <c r="A10832" s="2">
        <f>IFERROR(__xludf.DUMMYFUNCTION("""COMPUTED_VALUE"""),51732.0)</f>
        <v>51732</v>
      </c>
      <c r="B10832" s="3" t="str">
        <f>IFERROR(__xludf.DUMMYFUNCTION("""COMPUTED_VALUE"""),"295 SANDY BAY RD")</f>
        <v>295 SANDY BAY RD</v>
      </c>
      <c r="C10832" s="3" t="str">
        <f>IFERROR(__xludf.DUMMYFUNCTION("""COMPUTED_VALUE"""),"HASTINGS")</f>
        <v>HASTINGS</v>
      </c>
      <c r="D10832" s="3" t="str">
        <f>IFERROR(__xludf.DUMMYFUNCTION("""COMPUTED_VALUE"""),"K0L 1Y0")</f>
        <v>K0L 1Y0</v>
      </c>
      <c r="E10832" s="3"/>
      <c r="F10832" s="3"/>
      <c r="G10832" s="3"/>
      <c r="H10832" s="3"/>
    </row>
    <row r="10833">
      <c r="A10833" s="2">
        <f>IFERROR(__xludf.DUMMYFUNCTION("""COMPUTED_VALUE"""),51733.0)</f>
        <v>51733</v>
      </c>
      <c r="B10833" s="3" t="str">
        <f>IFERROR(__xludf.DUMMYFUNCTION("""COMPUTED_VALUE"""),"312 SANDY BAY RD")</f>
        <v>312 SANDY BAY RD</v>
      </c>
      <c r="C10833" s="3" t="str">
        <f>IFERROR(__xludf.DUMMYFUNCTION("""COMPUTED_VALUE"""),"HASTINGS")</f>
        <v>HASTINGS</v>
      </c>
      <c r="D10833" s="3" t="str">
        <f>IFERROR(__xludf.DUMMYFUNCTION("""COMPUTED_VALUE"""),"K0L 1Y0")</f>
        <v>K0L 1Y0</v>
      </c>
      <c r="E10833" s="3"/>
      <c r="F10833" s="3"/>
      <c r="G10833" s="3"/>
      <c r="H10833" s="3"/>
    </row>
    <row r="10834">
      <c r="A10834" s="2">
        <f>IFERROR(__xludf.DUMMYFUNCTION("""COMPUTED_VALUE"""),51734.0)</f>
        <v>51734</v>
      </c>
      <c r="B10834" s="3" t="str">
        <f>IFERROR(__xludf.DUMMYFUNCTION("""COMPUTED_VALUE"""),"318 SANDY BAY RD")</f>
        <v>318 SANDY BAY RD</v>
      </c>
      <c r="C10834" s="3" t="str">
        <f>IFERROR(__xludf.DUMMYFUNCTION("""COMPUTED_VALUE"""),"HASTINGS")</f>
        <v>HASTINGS</v>
      </c>
      <c r="D10834" s="3" t="str">
        <f>IFERROR(__xludf.DUMMYFUNCTION("""COMPUTED_VALUE"""),"K0L 1Y0")</f>
        <v>K0L 1Y0</v>
      </c>
      <c r="E10834" s="3"/>
      <c r="F10834" s="3"/>
      <c r="G10834" s="3"/>
      <c r="H10834" s="3"/>
    </row>
    <row r="10835">
      <c r="A10835" s="2">
        <f>IFERROR(__xludf.DUMMYFUNCTION("""COMPUTED_VALUE"""),51735.0)</f>
        <v>51735</v>
      </c>
      <c r="B10835" s="3" t="str">
        <f>IFERROR(__xludf.DUMMYFUNCTION("""COMPUTED_VALUE"""),"334 SANDY BAY RD")</f>
        <v>334 SANDY BAY RD</v>
      </c>
      <c r="C10835" s="3" t="str">
        <f>IFERROR(__xludf.DUMMYFUNCTION("""COMPUTED_VALUE"""),"HASTINGS")</f>
        <v>HASTINGS</v>
      </c>
      <c r="D10835" s="3" t="str">
        <f>IFERROR(__xludf.DUMMYFUNCTION("""COMPUTED_VALUE"""),"K0L 1Y0")</f>
        <v>K0L 1Y0</v>
      </c>
      <c r="E10835" s="3" t="str">
        <f>IFERROR(__xludf.DUMMYFUNCTION("""COMPUTED_VALUE"""),"Christopher Tsatsaris")</f>
        <v>Christopher Tsatsaris</v>
      </c>
      <c r="F10835" s="3" t="str">
        <f>IFERROR(__xludf.DUMMYFUNCTION("""COMPUTED_VALUE"""),"tsarisp@gmail.com")</f>
        <v>tsarisp@gmail.com</v>
      </c>
      <c r="G10835" s="3">
        <f>IFERROR(__xludf.DUMMYFUNCTION("""COMPUTED_VALUE"""),4.166243275E9)</f>
        <v>4166243275</v>
      </c>
      <c r="H10835" s="3"/>
    </row>
    <row r="10836">
      <c r="A10836" s="2">
        <f>IFERROR(__xludf.DUMMYFUNCTION("""COMPUTED_VALUE"""),51736.0)</f>
        <v>51736</v>
      </c>
      <c r="B10836" s="3" t="str">
        <f>IFERROR(__xludf.DUMMYFUNCTION("""COMPUTED_VALUE"""),"196B SANDY BAY RD")</f>
        <v>196B SANDY BAY RD</v>
      </c>
      <c r="C10836" s="3" t="str">
        <f>IFERROR(__xludf.DUMMYFUNCTION("""COMPUTED_VALUE"""),"HASTINGS")</f>
        <v>HASTINGS</v>
      </c>
      <c r="D10836" s="3" t="str">
        <f>IFERROR(__xludf.DUMMYFUNCTION("""COMPUTED_VALUE"""),"K0L 1Y0")</f>
        <v>K0L 1Y0</v>
      </c>
      <c r="E10836" s="3"/>
      <c r="F10836" s="3"/>
      <c r="G10836" s="3"/>
      <c r="H10836" s="3"/>
    </row>
    <row r="10837">
      <c r="A10837" s="2">
        <f>IFERROR(__xludf.DUMMYFUNCTION("""COMPUTED_VALUE"""),51737.0)</f>
        <v>51737</v>
      </c>
      <c r="B10837" s="3" t="str">
        <f>IFERROR(__xludf.DUMMYFUNCTION("""COMPUTED_VALUE"""),"84-92 SANDY BAY RD")</f>
        <v>84-92 SANDY BAY RD</v>
      </c>
      <c r="C10837" s="3" t="str">
        <f>IFERROR(__xludf.DUMMYFUNCTION("""COMPUTED_VALUE"""),"HASTINGS")</f>
        <v>HASTINGS</v>
      </c>
      <c r="D10837" s="3" t="str">
        <f>IFERROR(__xludf.DUMMYFUNCTION("""COMPUTED_VALUE"""),"K0L 1Y0")</f>
        <v>K0L 1Y0</v>
      </c>
      <c r="E10837" s="3"/>
      <c r="F10837" s="3"/>
      <c r="G10837" s="3"/>
      <c r="H10837" s="3"/>
    </row>
    <row r="10838">
      <c r="A10838" s="2">
        <f>IFERROR(__xludf.DUMMYFUNCTION("""COMPUTED_VALUE"""),51975.0)</f>
        <v>51975</v>
      </c>
      <c r="B10838" s="3" t="str">
        <f>IFERROR(__xludf.DUMMYFUNCTION("""COMPUTED_VALUE"""),"84 SANDY BAY RD")</f>
        <v>84 SANDY BAY RD</v>
      </c>
      <c r="C10838" s="3"/>
      <c r="D10838" s="3"/>
      <c r="E10838" s="3"/>
      <c r="F10838" s="3"/>
      <c r="G10838" s="3"/>
      <c r="H10838" s="3"/>
    </row>
    <row r="10839">
      <c r="A10839" s="2">
        <f>IFERROR(__xludf.DUMMYFUNCTION("""COMPUTED_VALUE"""),51738.0)</f>
        <v>51738</v>
      </c>
      <c r="B10839" s="3" t="str">
        <f>IFERROR(__xludf.DUMMYFUNCTION("""COMPUTED_VALUE"""),"315 SANDY FLATS RD")</f>
        <v>315 SANDY FLATS RD</v>
      </c>
      <c r="C10839" s="3" t="str">
        <f>IFERROR(__xludf.DUMMYFUNCTION("""COMPUTED_VALUE"""),"ROSENEATH ")</f>
        <v>ROSENEATH </v>
      </c>
      <c r="D10839" s="3" t="str">
        <f>IFERROR(__xludf.DUMMYFUNCTION("""COMPUTED_VALUE"""),"K0K 2X0")</f>
        <v>K0K 2X0</v>
      </c>
      <c r="E10839" s="3"/>
      <c r="F10839" s="3"/>
      <c r="G10839" s="3"/>
      <c r="H10839" s="3"/>
    </row>
    <row r="10840">
      <c r="A10840" s="2">
        <f>IFERROR(__xludf.DUMMYFUNCTION("""COMPUTED_VALUE"""),51739.0)</f>
        <v>51739</v>
      </c>
      <c r="B10840" s="3" t="str">
        <f>IFERROR(__xludf.DUMMYFUNCTION("""COMPUTED_VALUE"""),"321 SANDY FLATS RD")</f>
        <v>321 SANDY FLATS RD</v>
      </c>
      <c r="C10840" s="3" t="str">
        <f>IFERROR(__xludf.DUMMYFUNCTION("""COMPUTED_VALUE"""),"ROSENEATH ")</f>
        <v>ROSENEATH </v>
      </c>
      <c r="D10840" s="3" t="str">
        <f>IFERROR(__xludf.DUMMYFUNCTION("""COMPUTED_VALUE"""),"K0K 2X0")</f>
        <v>K0K 2X0</v>
      </c>
      <c r="E10840" s="3"/>
      <c r="F10840" s="3"/>
      <c r="G10840" s="3"/>
      <c r="H10840" s="3"/>
    </row>
    <row r="10841">
      <c r="A10841" s="2">
        <f>IFERROR(__xludf.DUMMYFUNCTION("""COMPUTED_VALUE"""),51740.0)</f>
        <v>51740</v>
      </c>
      <c r="B10841" s="3" t="str">
        <f>IFERROR(__xludf.DUMMYFUNCTION("""COMPUTED_VALUE"""),"324 SANDY FLATS RD")</f>
        <v>324 SANDY FLATS RD</v>
      </c>
      <c r="C10841" s="3" t="str">
        <f>IFERROR(__xludf.DUMMYFUNCTION("""COMPUTED_VALUE"""),"ROSENEATH ")</f>
        <v>ROSENEATH </v>
      </c>
      <c r="D10841" s="3" t="str">
        <f>IFERROR(__xludf.DUMMYFUNCTION("""COMPUTED_VALUE"""),"K0K 2X0")</f>
        <v>K0K 2X0</v>
      </c>
      <c r="E10841" s="3"/>
      <c r="F10841" s="3"/>
      <c r="G10841" s="3"/>
      <c r="H10841" s="3"/>
    </row>
    <row r="10842">
      <c r="A10842" s="2">
        <f>IFERROR(__xludf.DUMMYFUNCTION("""COMPUTED_VALUE"""),51741.0)</f>
        <v>51741</v>
      </c>
      <c r="B10842" s="3" t="str">
        <f>IFERROR(__xludf.DUMMYFUNCTION("""COMPUTED_VALUE"""),"377 SANDY FLATS RD")</f>
        <v>377 SANDY FLATS RD</v>
      </c>
      <c r="C10842" s="3" t="str">
        <f>IFERROR(__xludf.DUMMYFUNCTION("""COMPUTED_VALUE"""),"ROSENEATH ")</f>
        <v>ROSENEATH </v>
      </c>
      <c r="D10842" s="3" t="str">
        <f>IFERROR(__xludf.DUMMYFUNCTION("""COMPUTED_VALUE"""),"K0K 2X0")</f>
        <v>K0K 2X0</v>
      </c>
      <c r="E10842" s="3"/>
      <c r="F10842" s="3"/>
      <c r="G10842" s="3"/>
      <c r="H10842" s="3"/>
    </row>
    <row r="10843">
      <c r="A10843" s="2">
        <f>IFERROR(__xludf.DUMMYFUNCTION("""COMPUTED_VALUE"""),51742.0)</f>
        <v>51742</v>
      </c>
      <c r="B10843" s="3" t="str">
        <f>IFERROR(__xludf.DUMMYFUNCTION("""COMPUTED_VALUE"""),"380 SANDY FLATS RD")</f>
        <v>380 SANDY FLATS RD</v>
      </c>
      <c r="C10843" s="3" t="str">
        <f>IFERROR(__xludf.DUMMYFUNCTION("""COMPUTED_VALUE"""),"ROSENEATH ")</f>
        <v>ROSENEATH </v>
      </c>
      <c r="D10843" s="3" t="str">
        <f>IFERROR(__xludf.DUMMYFUNCTION("""COMPUTED_VALUE"""),"K0K 2X0")</f>
        <v>K0K 2X0</v>
      </c>
      <c r="E10843" s="3" t="str">
        <f>IFERROR(__xludf.DUMMYFUNCTION("""COMPUTED_VALUE"""),"robert cormier")</f>
        <v>robert cormier</v>
      </c>
      <c r="F10843" s="3" t="str">
        <f>IFERROR(__xludf.DUMMYFUNCTION("""COMPUTED_VALUE"""),"bob.cormier6@gmail.com")</f>
        <v>bob.cormier6@gmail.com</v>
      </c>
      <c r="G10843" s="3">
        <f>IFERROR(__xludf.DUMMYFUNCTION("""COMPUTED_VALUE"""),7.059278792E9)</f>
        <v>7059278792</v>
      </c>
      <c r="H10843" s="3"/>
    </row>
    <row r="10844">
      <c r="A10844" s="2">
        <f>IFERROR(__xludf.DUMMYFUNCTION("""COMPUTED_VALUE"""),51743.0)</f>
        <v>51743</v>
      </c>
      <c r="B10844" s="3" t="str">
        <f>IFERROR(__xludf.DUMMYFUNCTION("""COMPUTED_VALUE"""),"390 SANDY FLATS RD")</f>
        <v>390 SANDY FLATS RD</v>
      </c>
      <c r="C10844" s="3" t="str">
        <f>IFERROR(__xludf.DUMMYFUNCTION("""COMPUTED_VALUE"""),"ROSENEATH ")</f>
        <v>ROSENEATH </v>
      </c>
      <c r="D10844" s="3" t="str">
        <f>IFERROR(__xludf.DUMMYFUNCTION("""COMPUTED_VALUE"""),"K0K 2X0")</f>
        <v>K0K 2X0</v>
      </c>
      <c r="E10844" s="3"/>
      <c r="F10844" s="3"/>
      <c r="G10844" s="3"/>
      <c r="H10844" s="3"/>
    </row>
    <row r="10845">
      <c r="A10845" s="2">
        <f>IFERROR(__xludf.DUMMYFUNCTION("""COMPUTED_VALUE"""),51744.0)</f>
        <v>51744</v>
      </c>
      <c r="B10845" s="3" t="str">
        <f>IFERROR(__xludf.DUMMYFUNCTION("""COMPUTED_VALUE"""),"445 SANDY FLATS RD")</f>
        <v>445 SANDY FLATS RD</v>
      </c>
      <c r="C10845" s="3" t="str">
        <f>IFERROR(__xludf.DUMMYFUNCTION("""COMPUTED_VALUE"""),"ROSENEATH ")</f>
        <v>ROSENEATH </v>
      </c>
      <c r="D10845" s="3" t="str">
        <f>IFERROR(__xludf.DUMMYFUNCTION("""COMPUTED_VALUE"""),"K0K 2X0")</f>
        <v>K0K 2X0</v>
      </c>
      <c r="E10845" s="3"/>
      <c r="F10845" s="3"/>
      <c r="G10845" s="3"/>
      <c r="H10845" s="3"/>
    </row>
    <row r="10846">
      <c r="A10846" s="2">
        <f>IFERROR(__xludf.DUMMYFUNCTION("""COMPUTED_VALUE"""),51745.0)</f>
        <v>51745</v>
      </c>
      <c r="B10846" s="3" t="str">
        <f>IFERROR(__xludf.DUMMYFUNCTION("""COMPUTED_VALUE"""),"566 SANDY FLATS RD")</f>
        <v>566 SANDY FLATS RD</v>
      </c>
      <c r="C10846" s="3" t="str">
        <f>IFERROR(__xludf.DUMMYFUNCTION("""COMPUTED_VALUE"""),"ROSENEATH ")</f>
        <v>ROSENEATH </v>
      </c>
      <c r="D10846" s="3" t="str">
        <f>IFERROR(__xludf.DUMMYFUNCTION("""COMPUTED_VALUE"""),"K0K 2X0")</f>
        <v>K0K 2X0</v>
      </c>
      <c r="E10846" s="3"/>
      <c r="F10846" s="3"/>
      <c r="G10846" s="3"/>
      <c r="H10846" s="3"/>
    </row>
    <row r="10847">
      <c r="A10847" s="2">
        <f>IFERROR(__xludf.DUMMYFUNCTION("""COMPUTED_VALUE"""),51746.0)</f>
        <v>51746</v>
      </c>
      <c r="B10847" s="3" t="str">
        <f>IFERROR(__xludf.DUMMYFUNCTION("""COMPUTED_VALUE"""),"583 SANDY FLATS RD")</f>
        <v>583 SANDY FLATS RD</v>
      </c>
      <c r="C10847" s="3" t="str">
        <f>IFERROR(__xludf.DUMMYFUNCTION("""COMPUTED_VALUE"""),"ROSENEATH ")</f>
        <v>ROSENEATH </v>
      </c>
      <c r="D10847" s="3" t="str">
        <f>IFERROR(__xludf.DUMMYFUNCTION("""COMPUTED_VALUE"""),"K0K 2X0")</f>
        <v>K0K 2X0</v>
      </c>
      <c r="E10847" s="3"/>
      <c r="F10847" s="3"/>
      <c r="G10847" s="3"/>
      <c r="H10847" s="3"/>
    </row>
    <row r="10848">
      <c r="A10848" s="2">
        <f>IFERROR(__xludf.DUMMYFUNCTION("""COMPUTED_VALUE"""),51747.0)</f>
        <v>51747</v>
      </c>
      <c r="B10848" s="3" t="str">
        <f>IFERROR(__xludf.DUMMYFUNCTION("""COMPUTED_VALUE"""),"601 SANDY FLATS RD")</f>
        <v>601 SANDY FLATS RD</v>
      </c>
      <c r="C10848" s="3" t="str">
        <f>IFERROR(__xludf.DUMMYFUNCTION("""COMPUTED_VALUE"""),"ROSENEATH ")</f>
        <v>ROSENEATH </v>
      </c>
      <c r="D10848" s="3" t="str">
        <f>IFERROR(__xludf.DUMMYFUNCTION("""COMPUTED_VALUE"""),"K0K 2X0")</f>
        <v>K0K 2X0</v>
      </c>
      <c r="E10848" s="3" t="str">
        <f>IFERROR(__xludf.DUMMYFUNCTION("""COMPUTED_VALUE"""),"Frazer Willan")</f>
        <v>Frazer Willan</v>
      </c>
      <c r="F10848" s="3" t="str">
        <f>IFERROR(__xludf.DUMMYFUNCTION("""COMPUTED_VALUE"""),"w_33@hotmail.com")</f>
        <v>w_33@hotmail.com</v>
      </c>
      <c r="G10848" s="3">
        <f>IFERROR(__xludf.DUMMYFUNCTION("""COMPUTED_VALUE"""),2.493538775E9)</f>
        <v>2493538775</v>
      </c>
      <c r="H10848" s="3">
        <f>IFERROR(__xludf.DUMMYFUNCTION("""COMPUTED_VALUE"""),2.493538769E9)</f>
        <v>2493538769</v>
      </c>
    </row>
    <row r="10849">
      <c r="A10849" s="2">
        <f>IFERROR(__xludf.DUMMYFUNCTION("""COMPUTED_VALUE"""),51748.0)</f>
        <v>51748</v>
      </c>
      <c r="B10849" s="3" t="str">
        <f>IFERROR(__xludf.DUMMYFUNCTION("""COMPUTED_VALUE"""),"648 SANDY FLATS RD")</f>
        <v>648 SANDY FLATS RD</v>
      </c>
      <c r="C10849" s="3" t="str">
        <f>IFERROR(__xludf.DUMMYFUNCTION("""COMPUTED_VALUE"""),"ROSENEATH ")</f>
        <v>ROSENEATH </v>
      </c>
      <c r="D10849" s="3" t="str">
        <f>IFERROR(__xludf.DUMMYFUNCTION("""COMPUTED_VALUE"""),"K0K 2X0")</f>
        <v>K0K 2X0</v>
      </c>
      <c r="E10849" s="3"/>
      <c r="F10849" s="3"/>
      <c r="G10849" s="3"/>
      <c r="H10849" s="3"/>
    </row>
    <row r="10850">
      <c r="A10850" s="2">
        <f>IFERROR(__xludf.DUMMYFUNCTION("""COMPUTED_VALUE"""),51749.0)</f>
        <v>51749</v>
      </c>
      <c r="B10850" s="3" t="str">
        <f>IFERROR(__xludf.DUMMYFUNCTION("""COMPUTED_VALUE"""),"668 SANDY FLATS RD")</f>
        <v>668 SANDY FLATS RD</v>
      </c>
      <c r="C10850" s="3" t="str">
        <f>IFERROR(__xludf.DUMMYFUNCTION("""COMPUTED_VALUE"""),"ROSENEATH ")</f>
        <v>ROSENEATH </v>
      </c>
      <c r="D10850" s="3" t="str">
        <f>IFERROR(__xludf.DUMMYFUNCTION("""COMPUTED_VALUE"""),"K0K 2X0")</f>
        <v>K0K 2X0</v>
      </c>
      <c r="E10850" s="3" t="str">
        <f>IFERROR(__xludf.DUMMYFUNCTION("""COMPUTED_VALUE"""),"Barry Winston Bussey")</f>
        <v>Barry Winston Bussey</v>
      </c>
      <c r="F10850" s="3" t="str">
        <f>IFERROR(__xludf.DUMMYFUNCTION("""COMPUTED_VALUE"""),"barrybussey@gmail.com")</f>
        <v>barrybussey@gmail.com</v>
      </c>
      <c r="G10850" s="3">
        <f>IFERROR(__xludf.DUMMYFUNCTION("""COMPUTED_VALUE"""),5.199989265E9)</f>
        <v>5199989265</v>
      </c>
      <c r="H10850" s="3"/>
    </row>
    <row r="10851">
      <c r="A10851" s="2">
        <f>IFERROR(__xludf.DUMMYFUNCTION("""COMPUTED_VALUE"""),51750.0)</f>
        <v>51750</v>
      </c>
      <c r="B10851" s="3" t="str">
        <f>IFERROR(__xludf.DUMMYFUNCTION("""COMPUTED_VALUE"""),"685 SANDY FLATS RD")</f>
        <v>685 SANDY FLATS RD</v>
      </c>
      <c r="C10851" s="3" t="str">
        <f>IFERROR(__xludf.DUMMYFUNCTION("""COMPUTED_VALUE"""),"ROSENEATH ")</f>
        <v>ROSENEATH </v>
      </c>
      <c r="D10851" s="3" t="str">
        <f>IFERROR(__xludf.DUMMYFUNCTION("""COMPUTED_VALUE"""),"K0K 2X0")</f>
        <v>K0K 2X0</v>
      </c>
      <c r="E10851" s="3" t="str">
        <f>IFERROR(__xludf.DUMMYFUNCTION("""COMPUTED_VALUE"""),"Andrea de Kenedy")</f>
        <v>Andrea de Kenedy</v>
      </c>
      <c r="F10851" s="3" t="str">
        <f>IFERROR(__xludf.DUMMYFUNCTION("""COMPUTED_VALUE"""),"borderend@gmail.com")</f>
        <v>borderend@gmail.com</v>
      </c>
      <c r="G10851" s="3">
        <f>IFERROR(__xludf.DUMMYFUNCTION("""COMPUTED_VALUE"""),4.169489331E9)</f>
        <v>4169489331</v>
      </c>
      <c r="H10851" s="3"/>
    </row>
    <row r="10852">
      <c r="A10852" s="2">
        <f>IFERROR(__xludf.DUMMYFUNCTION("""COMPUTED_VALUE"""),51751.0)</f>
        <v>51751</v>
      </c>
      <c r="B10852" s="3" t="str">
        <f>IFERROR(__xludf.DUMMYFUNCTION("""COMPUTED_VALUE"""),"702 SANDY FLATS RD")</f>
        <v>702 SANDY FLATS RD</v>
      </c>
      <c r="C10852" s="3" t="str">
        <f>IFERROR(__xludf.DUMMYFUNCTION("""COMPUTED_VALUE"""),"ROSENEATH ")</f>
        <v>ROSENEATH </v>
      </c>
      <c r="D10852" s="3" t="str">
        <f>IFERROR(__xludf.DUMMYFUNCTION("""COMPUTED_VALUE"""),"K0K 2X0")</f>
        <v>K0K 2X0</v>
      </c>
      <c r="E10852" s="3" t="str">
        <f>IFERROR(__xludf.DUMMYFUNCTION("""COMPUTED_VALUE"""),"Andreas Gada")</f>
        <v>Andreas Gada</v>
      </c>
      <c r="F10852" s="3" t="str">
        <f>IFERROR(__xludf.DUMMYFUNCTION("""COMPUTED_VALUE"""),"andreas.gada@xplornet.com")</f>
        <v>andreas.gada@xplornet.com</v>
      </c>
      <c r="G10852" s="3"/>
      <c r="H10852" s="3"/>
    </row>
    <row r="10853">
      <c r="A10853" s="2">
        <f>IFERROR(__xludf.DUMMYFUNCTION("""COMPUTED_VALUE"""),51752.0)</f>
        <v>51752</v>
      </c>
      <c r="B10853" s="3" t="str">
        <f>IFERROR(__xludf.DUMMYFUNCTION("""COMPUTED_VALUE"""),"88 SCHOOL HOUSE RD")</f>
        <v>88 SCHOOL HOUSE RD</v>
      </c>
      <c r="C10853" s="3" t="str">
        <f>IFERROR(__xludf.DUMMYFUNCTION("""COMPUTED_VALUE"""),"HASTINGS")</f>
        <v>HASTINGS</v>
      </c>
      <c r="D10853" s="3" t="str">
        <f>IFERROR(__xludf.DUMMYFUNCTION("""COMPUTED_VALUE"""),"K0L 1Y0")</f>
        <v>K0L 1Y0</v>
      </c>
      <c r="E10853" s="3"/>
      <c r="F10853" s="3"/>
      <c r="G10853" s="3"/>
      <c r="H10853" s="3"/>
    </row>
    <row r="10854">
      <c r="A10854" s="2">
        <f>IFERROR(__xludf.DUMMYFUNCTION("""COMPUTED_VALUE"""),51753.0)</f>
        <v>51753</v>
      </c>
      <c r="B10854" s="3" t="str">
        <f>IFERROR(__xludf.DUMMYFUNCTION("""COMPUTED_VALUE"""),"142 SCHOOL HOUSE RD")</f>
        <v>142 SCHOOL HOUSE RD</v>
      </c>
      <c r="C10854" s="3" t="str">
        <f>IFERROR(__xludf.DUMMYFUNCTION("""COMPUTED_VALUE"""),"HASTINGS")</f>
        <v>HASTINGS</v>
      </c>
      <c r="D10854" s="3" t="str">
        <f>IFERROR(__xludf.DUMMYFUNCTION("""COMPUTED_VALUE"""),"K0L 1Y0")</f>
        <v>K0L 1Y0</v>
      </c>
      <c r="E10854" s="3"/>
      <c r="F10854" s="3"/>
      <c r="G10854" s="3"/>
      <c r="H10854" s="3"/>
    </row>
    <row r="10855">
      <c r="A10855" s="2">
        <f>IFERROR(__xludf.DUMMYFUNCTION("""COMPUTED_VALUE"""),51754.0)</f>
        <v>51754</v>
      </c>
      <c r="B10855" s="3" t="str">
        <f>IFERROR(__xludf.DUMMYFUNCTION("""COMPUTED_VALUE"""),"5665 SHEARER POINT RD")</f>
        <v>5665 SHEARER POINT RD</v>
      </c>
      <c r="C10855" s="3" t="str">
        <f>IFERROR(__xludf.DUMMYFUNCTION("""COMPUTED_VALUE"""),"ROSENEATH ")</f>
        <v>ROSENEATH </v>
      </c>
      <c r="D10855" s="3" t="str">
        <f>IFERROR(__xludf.DUMMYFUNCTION("""COMPUTED_VALUE"""),"K0K 2X0")</f>
        <v>K0K 2X0</v>
      </c>
      <c r="E10855" s="3"/>
      <c r="F10855" s="3"/>
      <c r="G10855" s="3"/>
      <c r="H10855" s="3"/>
    </row>
    <row r="10856">
      <c r="A10856" s="2">
        <f>IFERROR(__xludf.DUMMYFUNCTION("""COMPUTED_VALUE"""),51755.0)</f>
        <v>51755</v>
      </c>
      <c r="B10856" s="3" t="str">
        <f>IFERROR(__xludf.DUMMYFUNCTION("""COMPUTED_VALUE"""),"5731 SHEARER POINT RD")</f>
        <v>5731 SHEARER POINT RD</v>
      </c>
      <c r="C10856" s="3" t="str">
        <f>IFERROR(__xludf.DUMMYFUNCTION("""COMPUTED_VALUE"""),"ROSENEATH ")</f>
        <v>ROSENEATH </v>
      </c>
      <c r="D10856" s="3" t="str">
        <f>IFERROR(__xludf.DUMMYFUNCTION("""COMPUTED_VALUE"""),"K0K 2X0")</f>
        <v>K0K 2X0</v>
      </c>
      <c r="E10856" s="3"/>
      <c r="F10856" s="3"/>
      <c r="G10856" s="3"/>
      <c r="H10856" s="3"/>
    </row>
    <row r="10857">
      <c r="A10857" s="2">
        <f>IFERROR(__xludf.DUMMYFUNCTION("""COMPUTED_VALUE"""),51756.0)</f>
        <v>51756</v>
      </c>
      <c r="B10857" s="3" t="str">
        <f>IFERROR(__xludf.DUMMYFUNCTION("""COMPUTED_VALUE"""),"5751 SHEARER POINT RD")</f>
        <v>5751 SHEARER POINT RD</v>
      </c>
      <c r="C10857" s="3" t="str">
        <f>IFERROR(__xludf.DUMMYFUNCTION("""COMPUTED_VALUE"""),"ROSENEATH ")</f>
        <v>ROSENEATH </v>
      </c>
      <c r="D10857" s="3" t="str">
        <f>IFERROR(__xludf.DUMMYFUNCTION("""COMPUTED_VALUE"""),"K0K 2X0")</f>
        <v>K0K 2X0</v>
      </c>
      <c r="E10857" s="3"/>
      <c r="F10857" s="3"/>
      <c r="G10857" s="3"/>
      <c r="H10857" s="3"/>
    </row>
    <row r="10858">
      <c r="A10858" s="2">
        <f>IFERROR(__xludf.DUMMYFUNCTION("""COMPUTED_VALUE"""),51757.0)</f>
        <v>51757</v>
      </c>
      <c r="B10858" s="3" t="str">
        <f>IFERROR(__xludf.DUMMYFUNCTION("""COMPUTED_VALUE"""),"5814 SHEARER POINT RD")</f>
        <v>5814 SHEARER POINT RD</v>
      </c>
      <c r="C10858" s="3" t="str">
        <f>IFERROR(__xludf.DUMMYFUNCTION("""COMPUTED_VALUE"""),"ROSENEATH ")</f>
        <v>ROSENEATH </v>
      </c>
      <c r="D10858" s="3" t="str">
        <f>IFERROR(__xludf.DUMMYFUNCTION("""COMPUTED_VALUE"""),"K0K 2X0")</f>
        <v>K0K 2X0</v>
      </c>
      <c r="E10858" s="3"/>
      <c r="F10858" s="3"/>
      <c r="G10858" s="3"/>
      <c r="H10858" s="3"/>
    </row>
    <row r="10859">
      <c r="A10859" s="2">
        <f>IFERROR(__xludf.DUMMYFUNCTION("""COMPUTED_VALUE"""),51758.0)</f>
        <v>51758</v>
      </c>
      <c r="B10859" s="3" t="str">
        <f>IFERROR(__xludf.DUMMYFUNCTION("""COMPUTED_VALUE"""),"5826 SHEARER POINT RD")</f>
        <v>5826 SHEARER POINT RD</v>
      </c>
      <c r="C10859" s="3" t="str">
        <f>IFERROR(__xludf.DUMMYFUNCTION("""COMPUTED_VALUE"""),"ROSENEATH ")</f>
        <v>ROSENEATH </v>
      </c>
      <c r="D10859" s="3" t="str">
        <f>IFERROR(__xludf.DUMMYFUNCTION("""COMPUTED_VALUE"""),"K0K 2X0")</f>
        <v>K0K 2X0</v>
      </c>
      <c r="E10859" s="3"/>
      <c r="F10859" s="3"/>
      <c r="G10859" s="3"/>
      <c r="H10859" s="3"/>
    </row>
    <row r="10860">
      <c r="A10860" s="2">
        <f>IFERROR(__xludf.DUMMYFUNCTION("""COMPUTED_VALUE"""),51759.0)</f>
        <v>51759</v>
      </c>
      <c r="B10860" s="3" t="str">
        <f>IFERROR(__xludf.DUMMYFUNCTION("""COMPUTED_VALUE"""),"5846 SHEARER POINT RD")</f>
        <v>5846 SHEARER POINT RD</v>
      </c>
      <c r="C10860" s="3" t="str">
        <f>IFERROR(__xludf.DUMMYFUNCTION("""COMPUTED_VALUE"""),"ROSENEATH ")</f>
        <v>ROSENEATH </v>
      </c>
      <c r="D10860" s="3" t="str">
        <f>IFERROR(__xludf.DUMMYFUNCTION("""COMPUTED_VALUE"""),"K0K 2X0")</f>
        <v>K0K 2X0</v>
      </c>
      <c r="E10860" s="3" t="str">
        <f>IFERROR(__xludf.DUMMYFUNCTION("""COMPUTED_VALUE"""),"Rosanne Cheryl Montreuil POA Keith Cameron Montreuil &amp; Timothy Steven Smoke")</f>
        <v>Rosanne Cheryl Montreuil POA Keith Cameron Montreuil &amp; Timothy Steven Smoke</v>
      </c>
      <c r="F10860" s="3" t="str">
        <f>IFERROR(__xludf.DUMMYFUNCTION("""COMPUTED_VALUE"""),"keith.montreuil@gmail.com")</f>
        <v>keith.montreuil@gmail.com</v>
      </c>
      <c r="G10860" s="3"/>
      <c r="H10860" s="3"/>
    </row>
    <row r="10861">
      <c r="A10861" s="2">
        <f>IFERROR(__xludf.DUMMYFUNCTION("""COMPUTED_VALUE"""),51760.0)</f>
        <v>51760</v>
      </c>
      <c r="B10861" s="3" t="str">
        <f>IFERROR(__xludf.DUMMYFUNCTION("""COMPUTED_VALUE"""),"5858 SHEARER POINT RD")</f>
        <v>5858 SHEARER POINT RD</v>
      </c>
      <c r="C10861" s="3" t="str">
        <f>IFERROR(__xludf.DUMMYFUNCTION("""COMPUTED_VALUE"""),"ROSENEATH ")</f>
        <v>ROSENEATH </v>
      </c>
      <c r="D10861" s="3" t="str">
        <f>IFERROR(__xludf.DUMMYFUNCTION("""COMPUTED_VALUE"""),"K0K 2X0")</f>
        <v>K0K 2X0</v>
      </c>
      <c r="E10861" s="3"/>
      <c r="F10861" s="3"/>
      <c r="G10861" s="3"/>
      <c r="H10861" s="3"/>
    </row>
    <row r="10862">
      <c r="A10862" s="2">
        <f>IFERROR(__xludf.DUMMYFUNCTION("""COMPUTED_VALUE"""),51761.0)</f>
        <v>51761</v>
      </c>
      <c r="B10862" s="3" t="str">
        <f>IFERROR(__xludf.DUMMYFUNCTION("""COMPUTED_VALUE"""),"5921 SHEARER PT RD")</f>
        <v>5921 SHEARER PT RD</v>
      </c>
      <c r="C10862" s="3" t="str">
        <f>IFERROR(__xludf.DUMMYFUNCTION("""COMPUTED_VALUE"""),"ROSENEATH ")</f>
        <v>ROSENEATH </v>
      </c>
      <c r="D10862" s="3" t="str">
        <f>IFERROR(__xludf.DUMMYFUNCTION("""COMPUTED_VALUE"""),"K0K 2X0")</f>
        <v>K0K 2X0</v>
      </c>
      <c r="E10862" s="3"/>
      <c r="F10862" s="3"/>
      <c r="G10862" s="3"/>
      <c r="H10862" s="3"/>
    </row>
    <row r="10863">
      <c r="A10863" s="2">
        <f>IFERROR(__xludf.DUMMYFUNCTION("""COMPUTED_VALUE"""),51762.0)</f>
        <v>51762</v>
      </c>
      <c r="B10863" s="3" t="str">
        <f>IFERROR(__xludf.DUMMYFUNCTION("""COMPUTED_VALUE"""),"5986 SHEARER PT RD")</f>
        <v>5986 SHEARER PT RD</v>
      </c>
      <c r="C10863" s="3" t="str">
        <f>IFERROR(__xludf.DUMMYFUNCTION("""COMPUTED_VALUE"""),"ROSENEATH ")</f>
        <v>ROSENEATH </v>
      </c>
      <c r="D10863" s="3" t="str">
        <f>IFERROR(__xludf.DUMMYFUNCTION("""COMPUTED_VALUE"""),"K0K 2X0")</f>
        <v>K0K 2X0</v>
      </c>
      <c r="E10863" s="3"/>
      <c r="F10863" s="3"/>
      <c r="G10863" s="3"/>
      <c r="H10863" s="3"/>
    </row>
    <row r="10864">
      <c r="A10864" s="2">
        <f>IFERROR(__xludf.DUMMYFUNCTION("""COMPUTED_VALUE"""),51763.0)</f>
        <v>51763</v>
      </c>
      <c r="B10864" s="3" t="str">
        <f>IFERROR(__xludf.DUMMYFUNCTION("""COMPUTED_VALUE"""),"6175 SHEARER POINT RD")</f>
        <v>6175 SHEARER POINT RD</v>
      </c>
      <c r="C10864" s="3" t="str">
        <f>IFERROR(__xludf.DUMMYFUNCTION("""COMPUTED_VALUE"""),"ROSENEATH ")</f>
        <v>ROSENEATH </v>
      </c>
      <c r="D10864" s="3" t="str">
        <f>IFERROR(__xludf.DUMMYFUNCTION("""COMPUTED_VALUE"""),"K0K 2X0")</f>
        <v>K0K 2X0</v>
      </c>
      <c r="E10864" s="3"/>
      <c r="F10864" s="3"/>
      <c r="G10864" s="3"/>
      <c r="H10864" s="3"/>
    </row>
    <row r="10865">
      <c r="A10865" s="2">
        <f>IFERROR(__xludf.DUMMYFUNCTION("""COMPUTED_VALUE"""),51764.0)</f>
        <v>51764</v>
      </c>
      <c r="B10865" s="3" t="str">
        <f>IFERROR(__xludf.DUMMYFUNCTION("""COMPUTED_VALUE"""),"6190 SHEARER POINT RD")</f>
        <v>6190 SHEARER POINT RD</v>
      </c>
      <c r="C10865" s="3" t="str">
        <f>IFERROR(__xludf.DUMMYFUNCTION("""COMPUTED_VALUE"""),"ROSENEATH ")</f>
        <v>ROSENEATH </v>
      </c>
      <c r="D10865" s="3" t="str">
        <f>IFERROR(__xludf.DUMMYFUNCTION("""COMPUTED_VALUE"""),"K0K 2X0")</f>
        <v>K0K 2X0</v>
      </c>
      <c r="E10865" s="3"/>
      <c r="F10865" s="3"/>
      <c r="G10865" s="3"/>
      <c r="H10865" s="3"/>
    </row>
    <row r="10866">
      <c r="A10866" s="2">
        <f>IFERROR(__xludf.DUMMYFUNCTION("""COMPUTED_VALUE"""),51765.0)</f>
        <v>51765</v>
      </c>
      <c r="B10866" s="3" t="str">
        <f>IFERROR(__xludf.DUMMYFUNCTION("""COMPUTED_VALUE"""),"6191 SHEARER POINT RD")</f>
        <v>6191 SHEARER POINT RD</v>
      </c>
      <c r="C10866" s="3" t="str">
        <f>IFERROR(__xludf.DUMMYFUNCTION("""COMPUTED_VALUE"""),"ROSENEATH ")</f>
        <v>ROSENEATH </v>
      </c>
      <c r="D10866" s="3" t="str">
        <f>IFERROR(__xludf.DUMMYFUNCTION("""COMPUTED_VALUE"""),"K0K 2X0")</f>
        <v>K0K 2X0</v>
      </c>
      <c r="E10866" s="3"/>
      <c r="F10866" s="3"/>
      <c r="G10866" s="3"/>
      <c r="H10866" s="3"/>
    </row>
    <row r="10867">
      <c r="A10867" s="2">
        <f>IFERROR(__xludf.DUMMYFUNCTION("""COMPUTED_VALUE"""),51766.0)</f>
        <v>51766</v>
      </c>
      <c r="B10867" s="3" t="str">
        <f>IFERROR(__xludf.DUMMYFUNCTION("""COMPUTED_VALUE"""),"6192 SHEARER POINT RD")</f>
        <v>6192 SHEARER POINT RD</v>
      </c>
      <c r="C10867" s="3" t="str">
        <f>IFERROR(__xludf.DUMMYFUNCTION("""COMPUTED_VALUE"""),"ROSENEATH ")</f>
        <v>ROSENEATH </v>
      </c>
      <c r="D10867" s="3" t="str">
        <f>IFERROR(__xludf.DUMMYFUNCTION("""COMPUTED_VALUE"""),"K0K 2X0")</f>
        <v>K0K 2X0</v>
      </c>
      <c r="E10867" s="3"/>
      <c r="F10867" s="3"/>
      <c r="G10867" s="3"/>
      <c r="H10867" s="3"/>
    </row>
    <row r="10868">
      <c r="A10868" s="2">
        <f>IFERROR(__xludf.DUMMYFUNCTION("""COMPUTED_VALUE"""),51767.0)</f>
        <v>51767</v>
      </c>
      <c r="B10868" s="3" t="str">
        <f>IFERROR(__xludf.DUMMYFUNCTION("""COMPUTED_VALUE"""),"6198 SHEARER POINT RD")</f>
        <v>6198 SHEARER POINT RD</v>
      </c>
      <c r="C10868" s="3" t="str">
        <f>IFERROR(__xludf.DUMMYFUNCTION("""COMPUTED_VALUE"""),"ROSENEATH ")</f>
        <v>ROSENEATH </v>
      </c>
      <c r="D10868" s="3" t="str">
        <f>IFERROR(__xludf.DUMMYFUNCTION("""COMPUTED_VALUE"""),"K0K 2X0")</f>
        <v>K0K 2X0</v>
      </c>
      <c r="E10868" s="3"/>
      <c r="F10868" s="3"/>
      <c r="G10868" s="3"/>
      <c r="H10868" s="3"/>
    </row>
    <row r="10869">
      <c r="A10869" s="2">
        <f>IFERROR(__xludf.DUMMYFUNCTION("""COMPUTED_VALUE"""),51768.0)</f>
        <v>51768</v>
      </c>
      <c r="B10869" s="3" t="str">
        <f>IFERROR(__xludf.DUMMYFUNCTION("""COMPUTED_VALUE"""),"6204 SHEARER POINT RD")</f>
        <v>6204 SHEARER POINT RD</v>
      </c>
      <c r="C10869" s="3" t="str">
        <f>IFERROR(__xludf.DUMMYFUNCTION("""COMPUTED_VALUE"""),"ROSENEATH ")</f>
        <v>ROSENEATH </v>
      </c>
      <c r="D10869" s="3" t="str">
        <f>IFERROR(__xludf.DUMMYFUNCTION("""COMPUTED_VALUE"""),"K0K 2X0")</f>
        <v>K0K 2X0</v>
      </c>
      <c r="E10869" s="3"/>
      <c r="F10869" s="3"/>
      <c r="G10869" s="3"/>
      <c r="H10869" s="3"/>
    </row>
    <row r="10870">
      <c r="A10870" s="2">
        <f>IFERROR(__xludf.DUMMYFUNCTION("""COMPUTED_VALUE"""),51769.0)</f>
        <v>51769</v>
      </c>
      <c r="B10870" s="3" t="str">
        <f>IFERROR(__xludf.DUMMYFUNCTION("""COMPUTED_VALUE"""),"6219 SHEARER POINT RD")</f>
        <v>6219 SHEARER POINT RD</v>
      </c>
      <c r="C10870" s="3" t="str">
        <f>IFERROR(__xludf.DUMMYFUNCTION("""COMPUTED_VALUE"""),"ROSENEATH ")</f>
        <v>ROSENEATH </v>
      </c>
      <c r="D10870" s="3" t="str">
        <f>IFERROR(__xludf.DUMMYFUNCTION("""COMPUTED_VALUE"""),"K0K 2X0")</f>
        <v>K0K 2X0</v>
      </c>
      <c r="E10870" s="3"/>
      <c r="F10870" s="3"/>
      <c r="G10870" s="3"/>
      <c r="H10870" s="3"/>
    </row>
    <row r="10871">
      <c r="A10871" s="2">
        <f>IFERROR(__xludf.DUMMYFUNCTION("""COMPUTED_VALUE"""),51770.0)</f>
        <v>51770</v>
      </c>
      <c r="B10871" s="3" t="str">
        <f>IFERROR(__xludf.DUMMYFUNCTION("""COMPUTED_VALUE"""),"6240 SHEARER POINT RD")</f>
        <v>6240 SHEARER POINT RD</v>
      </c>
      <c r="C10871" s="3" t="str">
        <f>IFERROR(__xludf.DUMMYFUNCTION("""COMPUTED_VALUE"""),"ROSENEATH ")</f>
        <v>ROSENEATH </v>
      </c>
      <c r="D10871" s="3" t="str">
        <f>IFERROR(__xludf.DUMMYFUNCTION("""COMPUTED_VALUE"""),"K0K 2X0")</f>
        <v>K0K 2X0</v>
      </c>
      <c r="E10871" s="3"/>
      <c r="F10871" s="3"/>
      <c r="G10871" s="3"/>
      <c r="H10871" s="3"/>
    </row>
    <row r="10872">
      <c r="A10872" s="2">
        <f>IFERROR(__xludf.DUMMYFUNCTION("""COMPUTED_VALUE"""),51771.0)</f>
        <v>51771</v>
      </c>
      <c r="B10872" s="3" t="str">
        <f>IFERROR(__xludf.DUMMYFUNCTION("""COMPUTED_VALUE"""),"6254 SHEARER POINT RD")</f>
        <v>6254 SHEARER POINT RD</v>
      </c>
      <c r="C10872" s="3" t="str">
        <f>IFERROR(__xludf.DUMMYFUNCTION("""COMPUTED_VALUE"""),"ROSENEATH ")</f>
        <v>ROSENEATH </v>
      </c>
      <c r="D10872" s="3" t="str">
        <f>IFERROR(__xludf.DUMMYFUNCTION("""COMPUTED_VALUE"""),"K0K 2X0")</f>
        <v>K0K 2X0</v>
      </c>
      <c r="E10872" s="3" t="str">
        <f>IFERROR(__xludf.DUMMYFUNCTION("""COMPUTED_VALUE"""),"Salvatore Mallia")</f>
        <v>Salvatore Mallia</v>
      </c>
      <c r="F10872" s="3" t="str">
        <f>IFERROR(__xludf.DUMMYFUNCTION("""COMPUTED_VALUE"""),"smallia1@rogers.com")</f>
        <v>smallia1@rogers.com</v>
      </c>
      <c r="G10872" s="3">
        <f>IFERROR(__xludf.DUMMYFUNCTION("""COMPUTED_VALUE"""),4.164092672E9)</f>
        <v>4164092672</v>
      </c>
      <c r="H10872" s="3"/>
    </row>
    <row r="10873">
      <c r="A10873" s="2">
        <f>IFERROR(__xludf.DUMMYFUNCTION("""COMPUTED_VALUE"""),51772.0)</f>
        <v>51772</v>
      </c>
      <c r="B10873" s="3" t="str">
        <f>IFERROR(__xludf.DUMMYFUNCTION("""COMPUTED_VALUE"""),"6261 SHEARER POINT RD")</f>
        <v>6261 SHEARER POINT RD</v>
      </c>
      <c r="C10873" s="3" t="str">
        <f>IFERROR(__xludf.DUMMYFUNCTION("""COMPUTED_VALUE"""),"ROSENEATH ")</f>
        <v>ROSENEATH </v>
      </c>
      <c r="D10873" s="3" t="str">
        <f>IFERROR(__xludf.DUMMYFUNCTION("""COMPUTED_VALUE"""),"K0K 2X0")</f>
        <v>K0K 2X0</v>
      </c>
      <c r="E10873" s="3"/>
      <c r="F10873" s="3"/>
      <c r="G10873" s="3"/>
      <c r="H10873" s="3"/>
    </row>
    <row r="10874">
      <c r="A10874" s="2">
        <f>IFERROR(__xludf.DUMMYFUNCTION("""COMPUTED_VALUE"""),51773.0)</f>
        <v>51773</v>
      </c>
      <c r="B10874" s="3" t="str">
        <f>IFERROR(__xludf.DUMMYFUNCTION("""COMPUTED_VALUE"""),"6274 SHEARER POINT RD")</f>
        <v>6274 SHEARER POINT RD</v>
      </c>
      <c r="C10874" s="3" t="str">
        <f>IFERROR(__xludf.DUMMYFUNCTION("""COMPUTED_VALUE"""),"ROSENEATH ")</f>
        <v>ROSENEATH </v>
      </c>
      <c r="D10874" s="3" t="str">
        <f>IFERROR(__xludf.DUMMYFUNCTION("""COMPUTED_VALUE"""),"K0K 2X0")</f>
        <v>K0K 2X0</v>
      </c>
      <c r="E10874" s="3"/>
      <c r="F10874" s="3"/>
      <c r="G10874" s="3"/>
      <c r="H10874" s="3"/>
    </row>
    <row r="10875">
      <c r="A10875" s="2">
        <f>IFERROR(__xludf.DUMMYFUNCTION("""COMPUTED_VALUE"""),51774.0)</f>
        <v>51774</v>
      </c>
      <c r="B10875" s="3" t="str">
        <f>IFERROR(__xludf.DUMMYFUNCTION("""COMPUTED_VALUE"""),"6290 SHEARER POINT RD")</f>
        <v>6290 SHEARER POINT RD</v>
      </c>
      <c r="C10875" s="3" t="str">
        <f>IFERROR(__xludf.DUMMYFUNCTION("""COMPUTED_VALUE"""),"ROSENEATH ")</f>
        <v>ROSENEATH </v>
      </c>
      <c r="D10875" s="3" t="str">
        <f>IFERROR(__xludf.DUMMYFUNCTION("""COMPUTED_VALUE"""),"K0K 2X0")</f>
        <v>K0K 2X0</v>
      </c>
      <c r="E10875" s="3"/>
      <c r="F10875" s="3"/>
      <c r="G10875" s="3"/>
      <c r="H10875" s="3"/>
    </row>
    <row r="10876">
      <c r="A10876" s="2">
        <f>IFERROR(__xludf.DUMMYFUNCTION("""COMPUTED_VALUE"""),51775.0)</f>
        <v>51775</v>
      </c>
      <c r="B10876" s="3" t="str">
        <f>IFERROR(__xludf.DUMMYFUNCTION("""COMPUTED_VALUE"""),"6308 SHEARER POINT RD")</f>
        <v>6308 SHEARER POINT RD</v>
      </c>
      <c r="C10876" s="3" t="str">
        <f>IFERROR(__xludf.DUMMYFUNCTION("""COMPUTED_VALUE"""),"ROSENEATH ")</f>
        <v>ROSENEATH </v>
      </c>
      <c r="D10876" s="3" t="str">
        <f>IFERROR(__xludf.DUMMYFUNCTION("""COMPUTED_VALUE"""),"K0K 2X0")</f>
        <v>K0K 2X0</v>
      </c>
      <c r="E10876" s="3"/>
      <c r="F10876" s="3"/>
      <c r="G10876" s="3"/>
      <c r="H10876" s="3"/>
    </row>
    <row r="10877">
      <c r="A10877" s="2">
        <f>IFERROR(__xludf.DUMMYFUNCTION("""COMPUTED_VALUE"""),51776.0)</f>
        <v>51776</v>
      </c>
      <c r="B10877" s="3" t="str">
        <f>IFERROR(__xludf.DUMMYFUNCTION("""COMPUTED_VALUE"""),"6366 SHEARER POINT RD")</f>
        <v>6366 SHEARER POINT RD</v>
      </c>
      <c r="C10877" s="3" t="str">
        <f>IFERROR(__xludf.DUMMYFUNCTION("""COMPUTED_VALUE"""),"ROSENEATH ")</f>
        <v>ROSENEATH </v>
      </c>
      <c r="D10877" s="3" t="str">
        <f>IFERROR(__xludf.DUMMYFUNCTION("""COMPUTED_VALUE"""),"K0K 2X0")</f>
        <v>K0K 2X0</v>
      </c>
      <c r="E10877" s="3"/>
      <c r="F10877" s="3"/>
      <c r="G10877" s="3"/>
      <c r="H10877" s="3"/>
    </row>
    <row r="10878">
      <c r="A10878" s="2">
        <f>IFERROR(__xludf.DUMMYFUNCTION("""COMPUTED_VALUE"""),51777.0)</f>
        <v>51777</v>
      </c>
      <c r="B10878" s="3" t="str">
        <f>IFERROR(__xludf.DUMMYFUNCTION("""COMPUTED_VALUE"""),"6406 SHEARER POINT RD")</f>
        <v>6406 SHEARER POINT RD</v>
      </c>
      <c r="C10878" s="3" t="str">
        <f>IFERROR(__xludf.DUMMYFUNCTION("""COMPUTED_VALUE"""),"ROSENEATH ")</f>
        <v>ROSENEATH </v>
      </c>
      <c r="D10878" s="3" t="str">
        <f>IFERROR(__xludf.DUMMYFUNCTION("""COMPUTED_VALUE"""),"K0K 2X0")</f>
        <v>K0K 2X0</v>
      </c>
      <c r="E10878" s="3"/>
      <c r="F10878" s="3"/>
      <c r="G10878" s="3"/>
      <c r="H10878" s="3"/>
    </row>
    <row r="10879">
      <c r="A10879" s="2">
        <f>IFERROR(__xludf.DUMMYFUNCTION("""COMPUTED_VALUE"""),51778.0)</f>
        <v>51778</v>
      </c>
      <c r="B10879" s="3" t="str">
        <f>IFERROR(__xludf.DUMMYFUNCTION("""COMPUTED_VALUE"""),"6450 SHEARER POINT RD")</f>
        <v>6450 SHEARER POINT RD</v>
      </c>
      <c r="C10879" s="3" t="str">
        <f>IFERROR(__xludf.DUMMYFUNCTION("""COMPUTED_VALUE"""),"ROSENEATH ")</f>
        <v>ROSENEATH </v>
      </c>
      <c r="D10879" s="3" t="str">
        <f>IFERROR(__xludf.DUMMYFUNCTION("""COMPUTED_VALUE"""),"K0K 2X0")</f>
        <v>K0K 2X0</v>
      </c>
      <c r="E10879" s="3"/>
      <c r="F10879" s="3"/>
      <c r="G10879" s="3"/>
      <c r="H10879" s="3"/>
    </row>
    <row r="10880">
      <c r="A10880" s="2">
        <f>IFERROR(__xludf.DUMMYFUNCTION("""COMPUTED_VALUE"""),51779.0)</f>
        <v>51779</v>
      </c>
      <c r="B10880" s="3" t="str">
        <f>IFERROR(__xludf.DUMMYFUNCTION("""COMPUTED_VALUE"""),"6500 SHEARER POINT RD")</f>
        <v>6500 SHEARER POINT RD</v>
      </c>
      <c r="C10880" s="3" t="str">
        <f>IFERROR(__xludf.DUMMYFUNCTION("""COMPUTED_VALUE"""),"ROSENEATH ")</f>
        <v>ROSENEATH </v>
      </c>
      <c r="D10880" s="3" t="str">
        <f>IFERROR(__xludf.DUMMYFUNCTION("""COMPUTED_VALUE"""),"K0K 2X0")</f>
        <v>K0K 2X0</v>
      </c>
      <c r="E10880" s="3"/>
      <c r="F10880" s="3"/>
      <c r="G10880" s="3"/>
      <c r="H10880" s="3"/>
    </row>
    <row r="10881">
      <c r="A10881" s="2">
        <f>IFERROR(__xludf.DUMMYFUNCTION("""COMPUTED_VALUE"""),51780.0)</f>
        <v>51780</v>
      </c>
      <c r="B10881" s="3" t="str">
        <f>IFERROR(__xludf.DUMMYFUNCTION("""COMPUTED_VALUE"""),"6556 SHEARER POINT RD")</f>
        <v>6556 SHEARER POINT RD</v>
      </c>
      <c r="C10881" s="3" t="str">
        <f>IFERROR(__xludf.DUMMYFUNCTION("""COMPUTED_VALUE"""),"ROSENEATH ")</f>
        <v>ROSENEATH </v>
      </c>
      <c r="D10881" s="3" t="str">
        <f>IFERROR(__xludf.DUMMYFUNCTION("""COMPUTED_VALUE"""),"K0K 2X0")</f>
        <v>K0K 2X0</v>
      </c>
      <c r="E10881" s="3"/>
      <c r="F10881" s="3"/>
      <c r="G10881" s="3"/>
      <c r="H10881" s="3"/>
    </row>
    <row r="10882">
      <c r="A10882" s="2">
        <f>IFERROR(__xludf.DUMMYFUNCTION("""COMPUTED_VALUE"""),51781.0)</f>
        <v>51781</v>
      </c>
      <c r="B10882" s="3" t="str">
        <f>IFERROR(__xludf.DUMMYFUNCTION("""COMPUTED_VALUE"""),"6614 SHEARER POINT RD")</f>
        <v>6614 SHEARER POINT RD</v>
      </c>
      <c r="C10882" s="3" t="str">
        <f>IFERROR(__xludf.DUMMYFUNCTION("""COMPUTED_VALUE"""),"ROSENEATH ")</f>
        <v>ROSENEATH </v>
      </c>
      <c r="D10882" s="3" t="str">
        <f>IFERROR(__xludf.DUMMYFUNCTION("""COMPUTED_VALUE"""),"K0K 2X0")</f>
        <v>K0K 2X0</v>
      </c>
      <c r="E10882" s="3"/>
      <c r="F10882" s="3"/>
      <c r="G10882" s="3"/>
      <c r="H10882" s="3"/>
    </row>
    <row r="10883">
      <c r="A10883" s="2">
        <f>IFERROR(__xludf.DUMMYFUNCTION("""COMPUTED_VALUE"""),51782.0)</f>
        <v>51782</v>
      </c>
      <c r="B10883" s="3" t="str">
        <f>IFERROR(__xludf.DUMMYFUNCTION("""COMPUTED_VALUE"""),"6676 SHEARER POINT RD")</f>
        <v>6676 SHEARER POINT RD</v>
      </c>
      <c r="C10883" s="3" t="str">
        <f>IFERROR(__xludf.DUMMYFUNCTION("""COMPUTED_VALUE"""),"ROSENEATH ")</f>
        <v>ROSENEATH </v>
      </c>
      <c r="D10883" s="3" t="str">
        <f>IFERROR(__xludf.DUMMYFUNCTION("""COMPUTED_VALUE"""),"K0K 2X0")</f>
        <v>K0K 2X0</v>
      </c>
      <c r="E10883" s="3"/>
      <c r="F10883" s="3"/>
      <c r="G10883" s="3"/>
      <c r="H10883" s="3"/>
    </row>
    <row r="10884">
      <c r="A10884" s="2">
        <f>IFERROR(__xludf.DUMMYFUNCTION("""COMPUTED_VALUE"""),51783.0)</f>
        <v>51783</v>
      </c>
      <c r="B10884" s="3" t="str">
        <f>IFERROR(__xludf.DUMMYFUNCTION("""COMPUTED_VALUE"""),"6744 SHEARER POINT RD")</f>
        <v>6744 SHEARER POINT RD</v>
      </c>
      <c r="C10884" s="3" t="str">
        <f>IFERROR(__xludf.DUMMYFUNCTION("""COMPUTED_VALUE"""),"ROSENEATH ")</f>
        <v>ROSENEATH </v>
      </c>
      <c r="D10884" s="3" t="str">
        <f>IFERROR(__xludf.DUMMYFUNCTION("""COMPUTED_VALUE"""),"K0K 2X0")</f>
        <v>K0K 2X0</v>
      </c>
      <c r="E10884" s="3"/>
      <c r="F10884" s="3"/>
      <c r="G10884" s="3"/>
      <c r="H10884" s="3"/>
    </row>
    <row r="10885">
      <c r="A10885" s="2">
        <f>IFERROR(__xludf.DUMMYFUNCTION("""COMPUTED_VALUE"""),51784.0)</f>
        <v>51784</v>
      </c>
      <c r="B10885" s="3" t="str">
        <f>IFERROR(__xludf.DUMMYFUNCTION("""COMPUTED_VALUE"""),"6812 SHEARER POINT RD")</f>
        <v>6812 SHEARER POINT RD</v>
      </c>
      <c r="C10885" s="3" t="str">
        <f>IFERROR(__xludf.DUMMYFUNCTION("""COMPUTED_VALUE"""),"ROSENEATH ")</f>
        <v>ROSENEATH </v>
      </c>
      <c r="D10885" s="3" t="str">
        <f>IFERROR(__xludf.DUMMYFUNCTION("""COMPUTED_VALUE"""),"K0K 2X0")</f>
        <v>K0K 2X0</v>
      </c>
      <c r="E10885" s="3"/>
      <c r="F10885" s="3"/>
      <c r="G10885" s="3"/>
      <c r="H10885" s="3"/>
    </row>
    <row r="10886">
      <c r="A10886" s="2">
        <f>IFERROR(__xludf.DUMMYFUNCTION("""COMPUTED_VALUE"""),51785.0)</f>
        <v>51785</v>
      </c>
      <c r="B10886" s="3" t="str">
        <f>IFERROR(__xludf.DUMMYFUNCTION("""COMPUTED_VALUE"""),"6884 SHEARER POINT RD")</f>
        <v>6884 SHEARER POINT RD</v>
      </c>
      <c r="C10886" s="3" t="str">
        <f>IFERROR(__xludf.DUMMYFUNCTION("""COMPUTED_VALUE"""),"ROSENEATH ")</f>
        <v>ROSENEATH </v>
      </c>
      <c r="D10886" s="3" t="str">
        <f>IFERROR(__xludf.DUMMYFUNCTION("""COMPUTED_VALUE"""),"K0K 2X0")</f>
        <v>K0K 2X0</v>
      </c>
      <c r="E10886" s="3"/>
      <c r="F10886" s="3"/>
      <c r="G10886" s="3"/>
      <c r="H10886" s="3"/>
    </row>
    <row r="10887">
      <c r="A10887" s="2">
        <f>IFERROR(__xludf.DUMMYFUNCTION("""COMPUTED_VALUE"""),51786.0)</f>
        <v>51786</v>
      </c>
      <c r="B10887" s="3" t="str">
        <f>IFERROR(__xludf.DUMMYFUNCTION("""COMPUTED_VALUE"""),"6960 SHEARER POINT RD")</f>
        <v>6960 SHEARER POINT RD</v>
      </c>
      <c r="C10887" s="3" t="str">
        <f>IFERROR(__xludf.DUMMYFUNCTION("""COMPUTED_VALUE"""),"ROSENEATH ")</f>
        <v>ROSENEATH </v>
      </c>
      <c r="D10887" s="3" t="str">
        <f>IFERROR(__xludf.DUMMYFUNCTION("""COMPUTED_VALUE"""),"K0K 2X0")</f>
        <v>K0K 2X0</v>
      </c>
      <c r="E10887" s="3"/>
      <c r="F10887" s="3"/>
      <c r="G10887" s="3"/>
      <c r="H10887" s="3"/>
    </row>
    <row r="10888">
      <c r="A10888" s="2">
        <f>IFERROR(__xludf.DUMMYFUNCTION("""COMPUTED_VALUE"""),51787.0)</f>
        <v>51787</v>
      </c>
      <c r="B10888" s="3" t="str">
        <f>IFERROR(__xludf.DUMMYFUNCTION("""COMPUTED_VALUE"""),"7038 SHEARER POINT RD")</f>
        <v>7038 SHEARER POINT RD</v>
      </c>
      <c r="C10888" s="3" t="str">
        <f>IFERROR(__xludf.DUMMYFUNCTION("""COMPUTED_VALUE"""),"ROSENEATH ")</f>
        <v>ROSENEATH </v>
      </c>
      <c r="D10888" s="3" t="str">
        <f>IFERROR(__xludf.DUMMYFUNCTION("""COMPUTED_VALUE"""),"K0K 2X0")</f>
        <v>K0K 2X0</v>
      </c>
      <c r="E10888" s="3"/>
      <c r="F10888" s="3"/>
      <c r="G10888" s="3"/>
      <c r="H10888" s="3"/>
    </row>
    <row r="10889">
      <c r="A10889" s="2">
        <f>IFERROR(__xludf.DUMMYFUNCTION("""COMPUTED_VALUE"""),51788.0)</f>
        <v>51788</v>
      </c>
      <c r="B10889" s="3" t="str">
        <f>IFERROR(__xludf.DUMMYFUNCTION("""COMPUTED_VALUE"""),"7120 SHEARER POINT RD")</f>
        <v>7120 SHEARER POINT RD</v>
      </c>
      <c r="C10889" s="3" t="str">
        <f>IFERROR(__xludf.DUMMYFUNCTION("""COMPUTED_VALUE"""),"ROSENEATH ")</f>
        <v>ROSENEATH </v>
      </c>
      <c r="D10889" s="3" t="str">
        <f>IFERROR(__xludf.DUMMYFUNCTION("""COMPUTED_VALUE"""),"K0K 2X0")</f>
        <v>K0K 2X0</v>
      </c>
      <c r="E10889" s="3"/>
      <c r="F10889" s="3"/>
      <c r="G10889" s="3"/>
      <c r="H10889" s="3"/>
    </row>
    <row r="10890">
      <c r="A10890" s="2">
        <f>IFERROR(__xludf.DUMMYFUNCTION("""COMPUTED_VALUE"""),51789.0)</f>
        <v>51789</v>
      </c>
      <c r="B10890" s="3" t="str">
        <f>IFERROR(__xludf.DUMMYFUNCTION("""COMPUTED_VALUE"""),"7260 SHEARER POINT RD")</f>
        <v>7260 SHEARER POINT RD</v>
      </c>
      <c r="C10890" s="3" t="str">
        <f>IFERROR(__xludf.DUMMYFUNCTION("""COMPUTED_VALUE"""),"ROSENEATH ")</f>
        <v>ROSENEATH </v>
      </c>
      <c r="D10890" s="3" t="str">
        <f>IFERROR(__xludf.DUMMYFUNCTION("""COMPUTED_VALUE"""),"K0K 2X0")</f>
        <v>K0K 2X0</v>
      </c>
      <c r="E10890" s="3" t="str">
        <f>IFERROR(__xludf.DUMMYFUNCTION("""COMPUTED_VALUE"""),"Ken Walsh")</f>
        <v>Ken Walsh</v>
      </c>
      <c r="F10890" s="3" t="str">
        <f>IFERROR(__xludf.DUMMYFUNCTION("""COMPUTED_VALUE"""),"kenewalsh@gmail.com")</f>
        <v>kenewalsh@gmail.com</v>
      </c>
      <c r="G10890" s="3">
        <f>IFERROR(__xludf.DUMMYFUNCTION("""COMPUTED_VALUE"""),9.052440709E9)</f>
        <v>9052440709</v>
      </c>
      <c r="H10890" s="3">
        <f>IFERROR(__xludf.DUMMYFUNCTION("""COMPUTED_VALUE"""),6.472266493E9)</f>
        <v>6472266493</v>
      </c>
    </row>
    <row r="10891">
      <c r="A10891" s="2">
        <f>IFERROR(__xludf.DUMMYFUNCTION("""COMPUTED_VALUE"""),51790.0)</f>
        <v>51790</v>
      </c>
      <c r="B10891" s="3" t="str">
        <f>IFERROR(__xludf.DUMMYFUNCTION("""COMPUTED_VALUE"""),"7304 SHEARER POINT RD")</f>
        <v>7304 SHEARER POINT RD</v>
      </c>
      <c r="C10891" s="3" t="str">
        <f>IFERROR(__xludf.DUMMYFUNCTION("""COMPUTED_VALUE"""),"ROSENEATH ")</f>
        <v>ROSENEATH </v>
      </c>
      <c r="D10891" s="3" t="str">
        <f>IFERROR(__xludf.DUMMYFUNCTION("""COMPUTED_VALUE"""),"K0K 2X0")</f>
        <v>K0K 2X0</v>
      </c>
      <c r="E10891" s="3"/>
      <c r="F10891" s="3"/>
      <c r="G10891" s="3"/>
      <c r="H10891" s="3"/>
    </row>
    <row r="10892">
      <c r="A10892" s="2">
        <f>IFERROR(__xludf.DUMMYFUNCTION("""COMPUTED_VALUE"""),51791.0)</f>
        <v>51791</v>
      </c>
      <c r="B10892" s="3" t="str">
        <f>IFERROR(__xludf.DUMMYFUNCTION("""COMPUTED_VALUE"""),"7402 SHEARER POINT RD")</f>
        <v>7402 SHEARER POINT RD</v>
      </c>
      <c r="C10892" s="3" t="str">
        <f>IFERROR(__xludf.DUMMYFUNCTION("""COMPUTED_VALUE"""),"ROSENEATH ")</f>
        <v>ROSENEATH </v>
      </c>
      <c r="D10892" s="3" t="str">
        <f>IFERROR(__xludf.DUMMYFUNCTION("""COMPUTED_VALUE"""),"K0K 2X0")</f>
        <v>K0K 2X0</v>
      </c>
      <c r="E10892" s="3"/>
      <c r="F10892" s="3"/>
      <c r="G10892" s="3"/>
      <c r="H10892" s="3"/>
    </row>
    <row r="10893">
      <c r="A10893" s="2">
        <f>IFERROR(__xludf.DUMMYFUNCTION("""COMPUTED_VALUE"""),51792.0)</f>
        <v>51792</v>
      </c>
      <c r="B10893" s="3" t="str">
        <f>IFERROR(__xludf.DUMMYFUNCTION("""COMPUTED_VALUE"""),"7506 SHEARER POINT RD")</f>
        <v>7506 SHEARER POINT RD</v>
      </c>
      <c r="C10893" s="3" t="str">
        <f>IFERROR(__xludf.DUMMYFUNCTION("""COMPUTED_VALUE"""),"ROSENEATH ")</f>
        <v>ROSENEATH </v>
      </c>
      <c r="D10893" s="3" t="str">
        <f>IFERROR(__xludf.DUMMYFUNCTION("""COMPUTED_VALUE"""),"K0K 2X0")</f>
        <v>K0K 2X0</v>
      </c>
      <c r="E10893" s="3"/>
      <c r="F10893" s="3"/>
      <c r="G10893" s="3"/>
      <c r="H10893" s="3"/>
    </row>
    <row r="10894">
      <c r="A10894" s="2">
        <f>IFERROR(__xludf.DUMMYFUNCTION("""COMPUTED_VALUE"""),51793.0)</f>
        <v>51793</v>
      </c>
      <c r="B10894" s="3" t="str">
        <f>IFERROR(__xludf.DUMMYFUNCTION("""COMPUTED_VALUE"""),"7614 SHEARER POINT RD")</f>
        <v>7614 SHEARER POINT RD</v>
      </c>
      <c r="C10894" s="3" t="str">
        <f>IFERROR(__xludf.DUMMYFUNCTION("""COMPUTED_VALUE"""),"ROSENEATH ")</f>
        <v>ROSENEATH </v>
      </c>
      <c r="D10894" s="3" t="str">
        <f>IFERROR(__xludf.DUMMYFUNCTION("""COMPUTED_VALUE"""),"K0K 2X0")</f>
        <v>K0K 2X0</v>
      </c>
      <c r="E10894" s="3"/>
      <c r="F10894" s="3"/>
      <c r="G10894" s="3"/>
      <c r="H10894" s="3"/>
    </row>
    <row r="10895">
      <c r="A10895" s="2">
        <f>IFERROR(__xludf.DUMMYFUNCTION("""COMPUTED_VALUE"""),51794.0)</f>
        <v>51794</v>
      </c>
      <c r="B10895" s="3" t="str">
        <f>IFERROR(__xludf.DUMMYFUNCTION("""COMPUTED_VALUE"""),"7836 SHEARER POINT RD")</f>
        <v>7836 SHEARER POINT RD</v>
      </c>
      <c r="C10895" s="3" t="str">
        <f>IFERROR(__xludf.DUMMYFUNCTION("""COMPUTED_VALUE"""),"ROSENEATH ")</f>
        <v>ROSENEATH </v>
      </c>
      <c r="D10895" s="3" t="str">
        <f>IFERROR(__xludf.DUMMYFUNCTION("""COMPUTED_VALUE"""),"K0K 2X0")</f>
        <v>K0K 2X0</v>
      </c>
      <c r="E10895" s="3"/>
      <c r="F10895" s="3"/>
      <c r="G10895" s="3"/>
      <c r="H10895" s="3"/>
    </row>
    <row r="10896">
      <c r="A10896" s="2">
        <f>IFERROR(__xludf.DUMMYFUNCTION("""COMPUTED_VALUE"""),51795.0)</f>
        <v>51795</v>
      </c>
      <c r="B10896" s="3" t="str">
        <f>IFERROR(__xludf.DUMMYFUNCTION("""COMPUTED_VALUE"""),"7962 SHEARER POINT RD")</f>
        <v>7962 SHEARER POINT RD</v>
      </c>
      <c r="C10896" s="3" t="str">
        <f>IFERROR(__xludf.DUMMYFUNCTION("""COMPUTED_VALUE"""),"ROSENEATH ")</f>
        <v>ROSENEATH </v>
      </c>
      <c r="D10896" s="3" t="str">
        <f>IFERROR(__xludf.DUMMYFUNCTION("""COMPUTED_VALUE"""),"K0K 2X0")</f>
        <v>K0K 2X0</v>
      </c>
      <c r="E10896" s="3"/>
      <c r="F10896" s="3"/>
      <c r="G10896" s="3"/>
      <c r="H10896" s="3"/>
    </row>
    <row r="10897">
      <c r="A10897" s="2">
        <f>IFERROR(__xludf.DUMMYFUNCTION("""COMPUTED_VALUE"""),51796.0)</f>
        <v>51796</v>
      </c>
      <c r="B10897" s="3" t="str">
        <f>IFERROR(__xludf.DUMMYFUNCTION("""COMPUTED_VALUE"""),"8089 SHEARER POINT RD")</f>
        <v>8089 SHEARER POINT RD</v>
      </c>
      <c r="C10897" s="3" t="str">
        <f>IFERROR(__xludf.DUMMYFUNCTION("""COMPUTED_VALUE"""),"ROSENEATH ")</f>
        <v>ROSENEATH </v>
      </c>
      <c r="D10897" s="3" t="str">
        <f>IFERROR(__xludf.DUMMYFUNCTION("""COMPUTED_VALUE"""),"K0K 2X0")</f>
        <v>K0K 2X0</v>
      </c>
      <c r="E10897" s="3"/>
      <c r="F10897" s="3"/>
      <c r="G10897" s="3"/>
      <c r="H10897" s="3"/>
    </row>
    <row r="10898">
      <c r="A10898" s="2">
        <f>IFERROR(__xludf.DUMMYFUNCTION("""COMPUTED_VALUE"""),51797.0)</f>
        <v>51797</v>
      </c>
      <c r="B10898" s="3" t="str">
        <f>IFERROR(__xludf.DUMMYFUNCTION("""COMPUTED_VALUE"""),"8217 SHEARER POINT RD")</f>
        <v>8217 SHEARER POINT RD</v>
      </c>
      <c r="C10898" s="3" t="str">
        <f>IFERROR(__xludf.DUMMYFUNCTION("""COMPUTED_VALUE"""),"ROSENEATH ")</f>
        <v>ROSENEATH </v>
      </c>
      <c r="D10898" s="3" t="str">
        <f>IFERROR(__xludf.DUMMYFUNCTION("""COMPUTED_VALUE"""),"K0K 2X0")</f>
        <v>K0K 2X0</v>
      </c>
      <c r="E10898" s="3"/>
      <c r="F10898" s="3"/>
      <c r="G10898" s="3"/>
      <c r="H10898" s="3"/>
    </row>
    <row r="10899">
      <c r="A10899" s="2">
        <f>IFERROR(__xludf.DUMMYFUNCTION("""COMPUTED_VALUE"""),51798.0)</f>
        <v>51798</v>
      </c>
      <c r="B10899" s="3" t="str">
        <f>IFERROR(__xludf.DUMMYFUNCTION("""COMPUTED_VALUE"""),"8348 SHEARER PT RD")</f>
        <v>8348 SHEARER PT RD</v>
      </c>
      <c r="C10899" s="3" t="str">
        <f>IFERROR(__xludf.DUMMYFUNCTION("""COMPUTED_VALUE"""),"ROSENEATH ")</f>
        <v>ROSENEATH </v>
      </c>
      <c r="D10899" s="3" t="str">
        <f>IFERROR(__xludf.DUMMYFUNCTION("""COMPUTED_VALUE"""),"K0K 2X0")</f>
        <v>K0K 2X0</v>
      </c>
      <c r="E10899" s="3"/>
      <c r="F10899" s="3"/>
      <c r="G10899" s="3"/>
      <c r="H10899" s="3"/>
    </row>
    <row r="10900">
      <c r="A10900" s="2">
        <f>IFERROR(__xludf.DUMMYFUNCTION("""COMPUTED_VALUE"""),51799.0)</f>
        <v>51799</v>
      </c>
      <c r="B10900" s="3" t="str">
        <f>IFERROR(__xludf.DUMMYFUNCTION("""COMPUTED_VALUE"""),"8477 SHEARER POINT RD")</f>
        <v>8477 SHEARER POINT RD</v>
      </c>
      <c r="C10900" s="3" t="str">
        <f>IFERROR(__xludf.DUMMYFUNCTION("""COMPUTED_VALUE"""),"ROSENEATH ")</f>
        <v>ROSENEATH </v>
      </c>
      <c r="D10900" s="3" t="str">
        <f>IFERROR(__xludf.DUMMYFUNCTION("""COMPUTED_VALUE"""),"K0K 2X0")</f>
        <v>K0K 2X0</v>
      </c>
      <c r="E10900" s="3"/>
      <c r="F10900" s="3"/>
      <c r="G10900" s="3"/>
      <c r="H10900" s="3"/>
    </row>
    <row r="10901">
      <c r="A10901" s="2">
        <f>IFERROR(__xludf.DUMMYFUNCTION("""COMPUTED_VALUE"""),51800.0)</f>
        <v>51800</v>
      </c>
      <c r="B10901" s="3" t="str">
        <f>IFERROR(__xludf.DUMMYFUNCTION("""COMPUTED_VALUE"""),"8612 SHEARER PT RD")</f>
        <v>8612 SHEARER PT RD</v>
      </c>
      <c r="C10901" s="3" t="str">
        <f>IFERROR(__xludf.DUMMYFUNCTION("""COMPUTED_VALUE"""),"ROSENEATH ")</f>
        <v>ROSENEATH </v>
      </c>
      <c r="D10901" s="3" t="str">
        <f>IFERROR(__xludf.DUMMYFUNCTION("""COMPUTED_VALUE"""),"K0K 2X0")</f>
        <v>K0K 2X0</v>
      </c>
      <c r="E10901" s="3" t="str">
        <f>IFERROR(__xludf.DUMMYFUNCTION("""COMPUTED_VALUE"""),"Sean Walton")</f>
        <v>Sean Walton</v>
      </c>
      <c r="F10901" s="3" t="str">
        <f>IFERROR(__xludf.DUMMYFUNCTION("""COMPUTED_VALUE"""),"sgzwalton@gmail.com")</f>
        <v>sgzwalton@gmail.com</v>
      </c>
      <c r="G10901" s="3">
        <f>IFERROR(__xludf.DUMMYFUNCTION("""COMPUTED_VALUE"""),4.166187217E9)</f>
        <v>4166187217</v>
      </c>
      <c r="H10901" s="3"/>
    </row>
    <row r="10902">
      <c r="A10902" s="2">
        <f>IFERROR(__xludf.DUMMYFUNCTION("""COMPUTED_VALUE"""),51801.0)</f>
        <v>51801</v>
      </c>
      <c r="B10902" s="3" t="str">
        <f>IFERROR(__xludf.DUMMYFUNCTION("""COMPUTED_VALUE"""),"8745 SHEARER POINT RD")</f>
        <v>8745 SHEARER POINT RD</v>
      </c>
      <c r="C10902" s="3" t="str">
        <f>IFERROR(__xludf.DUMMYFUNCTION("""COMPUTED_VALUE"""),"ROSENEATH ")</f>
        <v>ROSENEATH </v>
      </c>
      <c r="D10902" s="3" t="str">
        <f>IFERROR(__xludf.DUMMYFUNCTION("""COMPUTED_VALUE"""),"K0K 2X0")</f>
        <v>K0K 2X0</v>
      </c>
      <c r="E10902" s="3"/>
      <c r="F10902" s="3"/>
      <c r="G10902" s="3"/>
      <c r="H10902" s="3"/>
    </row>
    <row r="10903">
      <c r="A10903" s="2">
        <f>IFERROR(__xludf.DUMMYFUNCTION("""COMPUTED_VALUE"""),51802.0)</f>
        <v>51802</v>
      </c>
      <c r="B10903" s="3" t="str">
        <f>IFERROR(__xludf.DUMMYFUNCTION("""COMPUTED_VALUE"""),"8880 SHEARER PT RD")</f>
        <v>8880 SHEARER PT RD</v>
      </c>
      <c r="C10903" s="3" t="str">
        <f>IFERROR(__xludf.DUMMYFUNCTION("""COMPUTED_VALUE"""),"ROSENEATH ")</f>
        <v>ROSENEATH </v>
      </c>
      <c r="D10903" s="3" t="str">
        <f>IFERROR(__xludf.DUMMYFUNCTION("""COMPUTED_VALUE"""),"K0K 2X0")</f>
        <v>K0K 2X0</v>
      </c>
      <c r="E10903" s="3"/>
      <c r="F10903" s="3"/>
      <c r="G10903" s="3"/>
      <c r="H10903" s="3"/>
    </row>
    <row r="10904">
      <c r="A10904" s="2">
        <f>IFERROR(__xludf.DUMMYFUNCTION("""COMPUTED_VALUE"""),51803.0)</f>
        <v>51803</v>
      </c>
      <c r="B10904" s="3" t="str">
        <f>IFERROR(__xludf.DUMMYFUNCTION("""COMPUTED_VALUE"""),"9016 SHEARER POINT RD")</f>
        <v>9016 SHEARER POINT RD</v>
      </c>
      <c r="C10904" s="3" t="str">
        <f>IFERROR(__xludf.DUMMYFUNCTION("""COMPUTED_VALUE"""),"ROSENEATH ")</f>
        <v>ROSENEATH </v>
      </c>
      <c r="D10904" s="3" t="str">
        <f>IFERROR(__xludf.DUMMYFUNCTION("""COMPUTED_VALUE"""),"K0K 2X0")</f>
        <v>K0K 2X0</v>
      </c>
      <c r="E10904" s="3"/>
      <c r="F10904" s="3"/>
      <c r="G10904" s="3"/>
      <c r="H10904" s="3"/>
    </row>
    <row r="10905">
      <c r="A10905" s="2">
        <f>IFERROR(__xludf.DUMMYFUNCTION("""COMPUTED_VALUE"""),51804.0)</f>
        <v>51804</v>
      </c>
      <c r="B10905" s="3" t="str">
        <f>IFERROR(__xludf.DUMMYFUNCTION("""COMPUTED_VALUE"""),"9153 SHEARER POINT RD")</f>
        <v>9153 SHEARER POINT RD</v>
      </c>
      <c r="C10905" s="3" t="str">
        <f>IFERROR(__xludf.DUMMYFUNCTION("""COMPUTED_VALUE"""),"ROSENEATH ")</f>
        <v>ROSENEATH </v>
      </c>
      <c r="D10905" s="3" t="str">
        <f>IFERROR(__xludf.DUMMYFUNCTION("""COMPUTED_VALUE"""),"K0K 2X0")</f>
        <v>K0K 2X0</v>
      </c>
      <c r="E10905" s="3"/>
      <c r="F10905" s="3"/>
      <c r="G10905" s="3"/>
      <c r="H10905" s="3"/>
    </row>
    <row r="10906">
      <c r="A10906" s="2">
        <f>IFERROR(__xludf.DUMMYFUNCTION("""COMPUTED_VALUE"""),51805.0)</f>
        <v>51805</v>
      </c>
      <c r="B10906" s="3" t="str">
        <f>IFERROR(__xludf.DUMMYFUNCTION("""COMPUTED_VALUE"""),"5703 SHEARER POINT RD SUITE A")</f>
        <v>5703 SHEARER POINT RD SUITE A</v>
      </c>
      <c r="C10906" s="3" t="str">
        <f>IFERROR(__xludf.DUMMYFUNCTION("""COMPUTED_VALUE"""),"ROSENEATH ")</f>
        <v>ROSENEATH </v>
      </c>
      <c r="D10906" s="3" t="str">
        <f>IFERROR(__xludf.DUMMYFUNCTION("""COMPUTED_VALUE"""),"K0K 2X0")</f>
        <v>K0K 2X0</v>
      </c>
      <c r="E10906" s="3"/>
      <c r="F10906" s="3"/>
      <c r="G10906" s="3"/>
      <c r="H10906" s="3"/>
    </row>
    <row r="10907">
      <c r="A10907" s="2">
        <f>IFERROR(__xludf.DUMMYFUNCTION("""COMPUTED_VALUE"""),51806.0)</f>
        <v>51806</v>
      </c>
      <c r="B10907" s="3" t="str">
        <f>IFERROR(__xludf.DUMMYFUNCTION("""COMPUTED_VALUE"""),"5703 SHEARER POINT RD SUITE B")</f>
        <v>5703 SHEARER POINT RD SUITE B</v>
      </c>
      <c r="C10907" s="3" t="str">
        <f>IFERROR(__xludf.DUMMYFUNCTION("""COMPUTED_VALUE"""),"ROSENEATH ")</f>
        <v>ROSENEATH </v>
      </c>
      <c r="D10907" s="3" t="str">
        <f>IFERROR(__xludf.DUMMYFUNCTION("""COMPUTED_VALUE"""),"K0K 2X0")</f>
        <v>K0K 2X0</v>
      </c>
      <c r="E10907" s="3"/>
      <c r="F10907" s="3"/>
      <c r="G10907" s="3"/>
      <c r="H10907" s="3"/>
    </row>
    <row r="10908">
      <c r="A10908" s="2">
        <f>IFERROR(__xludf.DUMMYFUNCTION("""COMPUTED_VALUE"""),51807.0)</f>
        <v>51807</v>
      </c>
      <c r="B10908" s="3" t="str">
        <f>IFERROR(__xludf.DUMMYFUNCTION("""COMPUTED_VALUE"""),"18 SILVER HEIGHTS DR")</f>
        <v>18 SILVER HEIGHTS DR</v>
      </c>
      <c r="C10908" s="3" t="str">
        <f>IFERROR(__xludf.DUMMYFUNCTION("""COMPUTED_VALUE"""),"HASTINGS")</f>
        <v>HASTINGS</v>
      </c>
      <c r="D10908" s="3" t="str">
        <f>IFERROR(__xludf.DUMMYFUNCTION("""COMPUTED_VALUE"""),"K0L 1Y0")</f>
        <v>K0L 1Y0</v>
      </c>
      <c r="E10908" s="3"/>
      <c r="F10908" s="3"/>
      <c r="G10908" s="3"/>
      <c r="H10908" s="3"/>
    </row>
    <row r="10909">
      <c r="A10909" s="2">
        <f>IFERROR(__xludf.DUMMYFUNCTION("""COMPUTED_VALUE"""),51808.0)</f>
        <v>51808</v>
      </c>
      <c r="B10909" s="3" t="str">
        <f>IFERROR(__xludf.DUMMYFUNCTION("""COMPUTED_VALUE"""),"30 SILVER HEIGHTS DR")</f>
        <v>30 SILVER HEIGHTS DR</v>
      </c>
      <c r="C10909" s="3" t="str">
        <f>IFERROR(__xludf.DUMMYFUNCTION("""COMPUTED_VALUE"""),"HASTINGS")</f>
        <v>HASTINGS</v>
      </c>
      <c r="D10909" s="3" t="str">
        <f>IFERROR(__xludf.DUMMYFUNCTION("""COMPUTED_VALUE"""),"K0L 1Y0")</f>
        <v>K0L 1Y0</v>
      </c>
      <c r="E10909" s="3"/>
      <c r="F10909" s="3"/>
      <c r="G10909" s="3"/>
      <c r="H10909" s="3"/>
    </row>
    <row r="10910">
      <c r="A10910" s="2">
        <f>IFERROR(__xludf.DUMMYFUNCTION("""COMPUTED_VALUE"""),51821.0)</f>
        <v>51821</v>
      </c>
      <c r="B10910" s="3" t="str">
        <f>IFERROR(__xludf.DUMMYFUNCTION("""COMPUTED_VALUE"""),"298 SILVER HEIGHTS DR")</f>
        <v>298 SILVER HEIGHTS DR</v>
      </c>
      <c r="C10910" s="3" t="str">
        <f>IFERROR(__xludf.DUMMYFUNCTION("""COMPUTED_VALUE"""),"HASTINGS")</f>
        <v>HASTINGS</v>
      </c>
      <c r="D10910" s="3" t="str">
        <f>IFERROR(__xludf.DUMMYFUNCTION("""COMPUTED_VALUE"""),"K0L 1Y0")</f>
        <v>K0L 1Y0</v>
      </c>
      <c r="E10910" s="3"/>
      <c r="F10910" s="3"/>
      <c r="G10910" s="3"/>
      <c r="H10910" s="3"/>
    </row>
    <row r="10911">
      <c r="A10911" s="2">
        <f>IFERROR(__xludf.DUMMYFUNCTION("""COMPUTED_VALUE"""),51823.0)</f>
        <v>51823</v>
      </c>
      <c r="B10911" s="3" t="str">
        <f>IFERROR(__xludf.DUMMYFUNCTION("""COMPUTED_VALUE"""),"129 SIMPSON HILL RD")</f>
        <v>129 SIMPSON HILL RD</v>
      </c>
      <c r="C10911" s="3" t="str">
        <f>IFERROR(__xludf.DUMMYFUNCTION("""COMPUTED_VALUE"""),"ROSENEATH ")</f>
        <v>ROSENEATH </v>
      </c>
      <c r="D10911" s="3" t="str">
        <f>IFERROR(__xludf.DUMMYFUNCTION("""COMPUTED_VALUE"""),"K0K 2X0")</f>
        <v>K0K 2X0</v>
      </c>
      <c r="E10911" s="3"/>
      <c r="F10911" s="3"/>
      <c r="G10911" s="3"/>
      <c r="H10911" s="3"/>
    </row>
    <row r="10912">
      <c r="A10912" s="2">
        <f>IFERROR(__xludf.DUMMYFUNCTION("""COMPUTED_VALUE"""),51824.0)</f>
        <v>51824</v>
      </c>
      <c r="B10912" s="3" t="str">
        <f>IFERROR(__xludf.DUMMYFUNCTION("""COMPUTED_VALUE"""),"148 SIMPSON HILL RD")</f>
        <v>148 SIMPSON HILL RD</v>
      </c>
      <c r="C10912" s="3" t="str">
        <f>IFERROR(__xludf.DUMMYFUNCTION("""COMPUTED_VALUE"""),"ROSENEATH ")</f>
        <v>ROSENEATH </v>
      </c>
      <c r="D10912" s="3" t="str">
        <f>IFERROR(__xludf.DUMMYFUNCTION("""COMPUTED_VALUE"""),"K0K 2X0")</f>
        <v>K0K 2X0</v>
      </c>
      <c r="E10912" s="3" t="str">
        <f>IFERROR(__xludf.DUMMYFUNCTION("""COMPUTED_VALUE"""),"Gordon Matthews")</f>
        <v>Gordon Matthews</v>
      </c>
      <c r="F10912" s="3" t="str">
        <f>IFERROR(__xludf.DUMMYFUNCTION("""COMPUTED_VALUE"""),"gmspedee@gmail.com")</f>
        <v>gmspedee@gmail.com</v>
      </c>
      <c r="G10912" s="3">
        <f>IFERROR(__xludf.DUMMYFUNCTION("""COMPUTED_VALUE"""),2.892519252E9)</f>
        <v>2892519252</v>
      </c>
      <c r="H10912" s="3"/>
    </row>
    <row r="10913">
      <c r="A10913" s="2">
        <f>IFERROR(__xludf.DUMMYFUNCTION("""COMPUTED_VALUE"""),51825.0)</f>
        <v>51825</v>
      </c>
      <c r="B10913" s="3" t="str">
        <f>IFERROR(__xludf.DUMMYFUNCTION("""COMPUTED_VALUE"""),"149 SIMPSON HILL RD")</f>
        <v>149 SIMPSON HILL RD</v>
      </c>
      <c r="C10913" s="3" t="str">
        <f>IFERROR(__xludf.DUMMYFUNCTION("""COMPUTED_VALUE"""),"ROSENEATH ")</f>
        <v>ROSENEATH </v>
      </c>
      <c r="D10913" s="3" t="str">
        <f>IFERROR(__xludf.DUMMYFUNCTION("""COMPUTED_VALUE"""),"K0K 2X0")</f>
        <v>K0K 2X0</v>
      </c>
      <c r="E10913" s="3" t="str">
        <f>IFERROR(__xludf.DUMMYFUNCTION("""COMPUTED_VALUE"""),"Eva Leca / Colin Rumball")</f>
        <v>Eva Leca / Colin Rumball</v>
      </c>
      <c r="F10913" s="3" t="str">
        <f>IFERROR(__xludf.DUMMYFUNCTION("""COMPUTED_VALUE"""),"eva@sixtum.com / colin.rumball@gmail.com")</f>
        <v>eva@sixtum.com / colin.rumball@gmail.com</v>
      </c>
      <c r="G10913" s="3"/>
      <c r="H10913" s="3"/>
    </row>
    <row r="10914">
      <c r="A10914" s="2">
        <f>IFERROR(__xludf.DUMMYFUNCTION("""COMPUTED_VALUE"""),51826.0)</f>
        <v>51826</v>
      </c>
      <c r="B10914" s="3" t="str">
        <f>IFERROR(__xludf.DUMMYFUNCTION("""COMPUTED_VALUE"""),"180 SIMPSON HILL RD")</f>
        <v>180 SIMPSON HILL RD</v>
      </c>
      <c r="C10914" s="3" t="str">
        <f>IFERROR(__xludf.DUMMYFUNCTION("""COMPUTED_VALUE"""),"ROSENEATH ")</f>
        <v>ROSENEATH </v>
      </c>
      <c r="D10914" s="3" t="str">
        <f>IFERROR(__xludf.DUMMYFUNCTION("""COMPUTED_VALUE"""),"K0K 2X0")</f>
        <v>K0K 2X0</v>
      </c>
      <c r="E10914" s="3" t="str">
        <f>IFERROR(__xludf.DUMMYFUNCTION("""COMPUTED_VALUE"""),"Warren Thaxter")</f>
        <v>Warren Thaxter</v>
      </c>
      <c r="F10914" s="3" t="str">
        <f>IFERROR(__xludf.DUMMYFUNCTION("""COMPUTED_VALUE"""),"warrenthaxter@gmail.com")</f>
        <v>warrenthaxter@gmail.com</v>
      </c>
      <c r="G10914" s="3"/>
      <c r="H10914" s="3"/>
    </row>
    <row r="10915">
      <c r="A10915" s="2">
        <f>IFERROR(__xludf.DUMMYFUNCTION("""COMPUTED_VALUE"""),51827.0)</f>
        <v>51827</v>
      </c>
      <c r="B10915" s="3" t="str">
        <f>IFERROR(__xludf.DUMMYFUNCTION("""COMPUTED_VALUE"""),"101 SLADE RD")</f>
        <v>101 SLADE RD</v>
      </c>
      <c r="C10915" s="3" t="str">
        <f>IFERROR(__xludf.DUMMYFUNCTION("""COMPUTED_VALUE"""),"ROSENEATH ")</f>
        <v>ROSENEATH </v>
      </c>
      <c r="D10915" s="3" t="str">
        <f>IFERROR(__xludf.DUMMYFUNCTION("""COMPUTED_VALUE"""),"K0K 2X0")</f>
        <v>K0K 2X0</v>
      </c>
      <c r="E10915" s="3" t="str">
        <f>IFERROR(__xludf.DUMMYFUNCTION("""COMPUTED_VALUE"""),"Manuel Lapena")</f>
        <v>Manuel Lapena</v>
      </c>
      <c r="F10915" s="3" t="str">
        <f>IFERROR(__xludf.DUMMYFUNCTION("""COMPUTED_VALUE"""),"manuel@sharilapena.com")</f>
        <v>manuel@sharilapena.com</v>
      </c>
      <c r="G10915" s="3">
        <f>IFERROR(__xludf.DUMMYFUNCTION("""COMPUTED_VALUE"""),4.164283926E9)</f>
        <v>4164283926</v>
      </c>
      <c r="H10915" s="3">
        <f>IFERROR(__xludf.DUMMYFUNCTION("""COMPUTED_VALUE"""),4.168880284E9)</f>
        <v>4168880284</v>
      </c>
    </row>
    <row r="10916">
      <c r="A10916" s="2">
        <f>IFERROR(__xludf.DUMMYFUNCTION("""COMPUTED_VALUE"""),51829.0)</f>
        <v>51829</v>
      </c>
      <c r="B10916" s="3" t="str">
        <f>IFERROR(__xludf.DUMMYFUNCTION("""COMPUTED_VALUE"""),"55 STONE RD")</f>
        <v>55 STONE RD</v>
      </c>
      <c r="C10916" s="3" t="str">
        <f>IFERROR(__xludf.DUMMYFUNCTION("""COMPUTED_VALUE"""),"WARKWORTH")</f>
        <v>WARKWORTH</v>
      </c>
      <c r="D10916" s="3" t="str">
        <f>IFERROR(__xludf.DUMMYFUNCTION("""COMPUTED_VALUE"""),"K0K 2X0")</f>
        <v>K0K 2X0</v>
      </c>
      <c r="E10916" s="3"/>
      <c r="F10916" s="3"/>
      <c r="G10916" s="3"/>
      <c r="H10916" s="3"/>
    </row>
    <row r="10917">
      <c r="A10917" s="2">
        <f>IFERROR(__xludf.DUMMYFUNCTION("""COMPUTED_VALUE"""),51830.0)</f>
        <v>51830</v>
      </c>
      <c r="B10917" s="3" t="str">
        <f>IFERROR(__xludf.DUMMYFUNCTION("""COMPUTED_VALUE"""),"58 STONE RD")</f>
        <v>58 STONE RD</v>
      </c>
      <c r="C10917" s="3" t="str">
        <f>IFERROR(__xludf.DUMMYFUNCTION("""COMPUTED_VALUE"""),"WARKWORTH")</f>
        <v>WARKWORTH</v>
      </c>
      <c r="D10917" s="3" t="str">
        <f>IFERROR(__xludf.DUMMYFUNCTION("""COMPUTED_VALUE"""),"K0K 2X0")</f>
        <v>K0K 2X0</v>
      </c>
      <c r="E10917" s="3" t="str">
        <f>IFERROR(__xludf.DUMMYFUNCTION("""COMPUTED_VALUE"""),"Mark Irvine")</f>
        <v>Mark Irvine</v>
      </c>
      <c r="F10917" s="3" t="str">
        <f>IFERROR(__xludf.DUMMYFUNCTION("""COMPUTED_VALUE"""),"irvinermark@gmail.com")</f>
        <v>irvinermark@gmail.com</v>
      </c>
      <c r="G10917" s="3">
        <f>IFERROR(__xludf.DUMMYFUNCTION("""COMPUTED_VALUE"""),7.059300666E9)</f>
        <v>7059300666</v>
      </c>
      <c r="H10917" s="3">
        <f>IFERROR(__xludf.DUMMYFUNCTION("""COMPUTED_VALUE"""),7.057602278E9)</f>
        <v>7057602278</v>
      </c>
    </row>
    <row r="10918">
      <c r="A10918" s="2">
        <f>IFERROR(__xludf.DUMMYFUNCTION("""COMPUTED_VALUE"""),51831.0)</f>
        <v>51831</v>
      </c>
      <c r="B10918" s="3" t="str">
        <f>IFERROR(__xludf.DUMMYFUNCTION("""COMPUTED_VALUE"""),"400 SUNSET CRES")</f>
        <v>400 SUNSET CRES</v>
      </c>
      <c r="C10918" s="3" t="str">
        <f>IFERROR(__xludf.DUMMYFUNCTION("""COMPUTED_VALUE"""),"ROSENEATH ")</f>
        <v>ROSENEATH </v>
      </c>
      <c r="D10918" s="3" t="str">
        <f>IFERROR(__xludf.DUMMYFUNCTION("""COMPUTED_VALUE"""),"K0K 2X0")</f>
        <v>K0K 2X0</v>
      </c>
      <c r="E10918" s="3"/>
      <c r="F10918" s="3"/>
      <c r="G10918" s="3"/>
      <c r="H10918" s="3"/>
    </row>
    <row r="10919">
      <c r="A10919" s="2">
        <f>IFERROR(__xludf.DUMMYFUNCTION("""COMPUTED_VALUE"""),51832.0)</f>
        <v>51832</v>
      </c>
      <c r="B10919" s="3" t="str">
        <f>IFERROR(__xludf.DUMMYFUNCTION("""COMPUTED_VALUE"""),"407 SUNSET CRES")</f>
        <v>407 SUNSET CRES</v>
      </c>
      <c r="C10919" s="3" t="str">
        <f>IFERROR(__xludf.DUMMYFUNCTION("""COMPUTED_VALUE"""),"ROSENEATH ")</f>
        <v>ROSENEATH </v>
      </c>
      <c r="D10919" s="3" t="str">
        <f>IFERROR(__xludf.DUMMYFUNCTION("""COMPUTED_VALUE"""),"K0K 2X0")</f>
        <v>K0K 2X0</v>
      </c>
      <c r="E10919" s="3"/>
      <c r="F10919" s="3"/>
      <c r="G10919" s="3"/>
      <c r="H10919" s="3"/>
    </row>
    <row r="10920">
      <c r="A10920" s="2">
        <f>IFERROR(__xludf.DUMMYFUNCTION("""COMPUTED_VALUE"""),51833.0)</f>
        <v>51833</v>
      </c>
      <c r="B10920" s="3" t="str">
        <f>IFERROR(__xludf.DUMMYFUNCTION("""COMPUTED_VALUE"""),"411 SUNSET CRESCENT")</f>
        <v>411 SUNSET CRESCENT</v>
      </c>
      <c r="C10920" s="3" t="str">
        <f>IFERROR(__xludf.DUMMYFUNCTION("""COMPUTED_VALUE"""),"ROSENEATH ")</f>
        <v>ROSENEATH </v>
      </c>
      <c r="D10920" s="3" t="str">
        <f>IFERROR(__xludf.DUMMYFUNCTION("""COMPUTED_VALUE"""),"K0K 2X0")</f>
        <v>K0K 2X0</v>
      </c>
      <c r="E10920" s="3" t="str">
        <f>IFERROR(__xludf.DUMMYFUNCTION("""COMPUTED_VALUE"""),"Jeffery Nielsen")</f>
        <v>Jeffery Nielsen</v>
      </c>
      <c r="F10920" s="3" t="str">
        <f>IFERROR(__xludf.DUMMYFUNCTION("""COMPUTED_VALUE"""),"jeruspwiniel@gmail.com")</f>
        <v>jeruspwiniel@gmail.com</v>
      </c>
      <c r="G10920" s="3">
        <f>IFERROR(__xludf.DUMMYFUNCTION("""COMPUTED_VALUE"""),4.166194553E9)</f>
        <v>4166194553</v>
      </c>
      <c r="H10920" s="3"/>
    </row>
    <row r="10921">
      <c r="A10921" s="2">
        <f>IFERROR(__xludf.DUMMYFUNCTION("""COMPUTED_VALUE"""),51834.0)</f>
        <v>51834</v>
      </c>
      <c r="B10921" s="3" t="str">
        <f>IFERROR(__xludf.DUMMYFUNCTION("""COMPUTED_VALUE"""),"412 SUNSET CRES")</f>
        <v>412 SUNSET CRES</v>
      </c>
      <c r="C10921" s="3" t="str">
        <f>IFERROR(__xludf.DUMMYFUNCTION("""COMPUTED_VALUE"""),"ROSENEATH ")</f>
        <v>ROSENEATH </v>
      </c>
      <c r="D10921" s="3" t="str">
        <f>IFERROR(__xludf.DUMMYFUNCTION("""COMPUTED_VALUE"""),"K0K 2X0")</f>
        <v>K0K 2X0</v>
      </c>
      <c r="E10921" s="3"/>
      <c r="F10921" s="3"/>
      <c r="G10921" s="3"/>
      <c r="H10921" s="3"/>
    </row>
    <row r="10922">
      <c r="A10922" s="2">
        <f>IFERROR(__xludf.DUMMYFUNCTION("""COMPUTED_VALUE"""),51835.0)</f>
        <v>51835</v>
      </c>
      <c r="B10922" s="3" t="str">
        <f>IFERROR(__xludf.DUMMYFUNCTION("""COMPUTED_VALUE"""),"417 SUNSET CRES")</f>
        <v>417 SUNSET CRES</v>
      </c>
      <c r="C10922" s="3" t="str">
        <f>IFERROR(__xludf.DUMMYFUNCTION("""COMPUTED_VALUE"""),"ROSENEATH ")</f>
        <v>ROSENEATH </v>
      </c>
      <c r="D10922" s="3" t="str">
        <f>IFERROR(__xludf.DUMMYFUNCTION("""COMPUTED_VALUE"""),"K0K 2X0")</f>
        <v>K0K 2X0</v>
      </c>
      <c r="E10922" s="3" t="str">
        <f>IFERROR(__xludf.DUMMYFUNCTION("""COMPUTED_VALUE"""),"David Konarek")</f>
        <v>David Konarek</v>
      </c>
      <c r="F10922" s="3" t="str">
        <f>IFERROR(__xludf.DUMMYFUNCTION("""COMPUTED_VALUE"""),"davidjkonarek@gmail.com")</f>
        <v>davidjkonarek@gmail.com</v>
      </c>
      <c r="G10922" s="3">
        <f>IFERROR(__xludf.DUMMYFUNCTION("""COMPUTED_VALUE"""),4.16569654E9)</f>
        <v>4165696540</v>
      </c>
      <c r="H10922" s="3"/>
    </row>
    <row r="10923">
      <c r="A10923" s="2">
        <f>IFERROR(__xludf.DUMMYFUNCTION("""COMPUTED_VALUE"""),51836.0)</f>
        <v>51836</v>
      </c>
      <c r="B10923" s="3" t="str">
        <f>IFERROR(__xludf.DUMMYFUNCTION("""COMPUTED_VALUE"""),"420 SUNSET CRES")</f>
        <v>420 SUNSET CRES</v>
      </c>
      <c r="C10923" s="3" t="str">
        <f>IFERROR(__xludf.DUMMYFUNCTION("""COMPUTED_VALUE"""),"ROSENEATH ")</f>
        <v>ROSENEATH </v>
      </c>
      <c r="D10923" s="3" t="str">
        <f>IFERROR(__xludf.DUMMYFUNCTION("""COMPUTED_VALUE"""),"K0K 2X0")</f>
        <v>K0K 2X0</v>
      </c>
      <c r="E10923" s="3" t="str">
        <f>IFERROR(__xludf.DUMMYFUNCTION("""COMPUTED_VALUE"""),"Janet Fenton")</f>
        <v>Janet Fenton</v>
      </c>
      <c r="F10923" s="3" t="str">
        <f>IFERROR(__xludf.DUMMYFUNCTION("""COMPUTED_VALUE"""),"wedgefenton@icloud.com")</f>
        <v>wedgefenton@icloud.com</v>
      </c>
      <c r="G10923" s="3">
        <f>IFERROR(__xludf.DUMMYFUNCTION("""COMPUTED_VALUE"""),9.053968467E9)</f>
        <v>9053968467</v>
      </c>
      <c r="H10923" s="3">
        <f>IFERROR(__xludf.DUMMYFUNCTION("""COMPUTED_VALUE"""),9.053760477E9)</f>
        <v>9053760477</v>
      </c>
    </row>
    <row r="10924">
      <c r="A10924" s="2">
        <f>IFERROR(__xludf.DUMMYFUNCTION("""COMPUTED_VALUE"""),51837.0)</f>
        <v>51837</v>
      </c>
      <c r="B10924" s="3" t="str">
        <f>IFERROR(__xludf.DUMMYFUNCTION("""COMPUTED_VALUE"""),"423 SUNSET CRES")</f>
        <v>423 SUNSET CRES</v>
      </c>
      <c r="C10924" s="3" t="str">
        <f>IFERROR(__xludf.DUMMYFUNCTION("""COMPUTED_VALUE"""),"ROSENEATH ")</f>
        <v>ROSENEATH </v>
      </c>
      <c r="D10924" s="3" t="str">
        <f>IFERROR(__xludf.DUMMYFUNCTION("""COMPUTED_VALUE"""),"K0K 2X0")</f>
        <v>K0K 2X0</v>
      </c>
      <c r="E10924" s="3"/>
      <c r="F10924" s="3"/>
      <c r="G10924" s="3"/>
      <c r="H10924" s="3"/>
    </row>
    <row r="10925">
      <c r="A10925" s="2">
        <f>IFERROR(__xludf.DUMMYFUNCTION("""COMPUTED_VALUE"""),51838.0)</f>
        <v>51838</v>
      </c>
      <c r="B10925" s="3" t="str">
        <f>IFERROR(__xludf.DUMMYFUNCTION("""COMPUTED_VALUE"""),"426 SUNSET CRES")</f>
        <v>426 SUNSET CRES</v>
      </c>
      <c r="C10925" s="3" t="str">
        <f>IFERROR(__xludf.DUMMYFUNCTION("""COMPUTED_VALUE"""),"ROSENEATH ")</f>
        <v>ROSENEATH </v>
      </c>
      <c r="D10925" s="3" t="str">
        <f>IFERROR(__xludf.DUMMYFUNCTION("""COMPUTED_VALUE"""),"K0K 2X0")</f>
        <v>K0K 2X0</v>
      </c>
      <c r="E10925" s="3" t="str">
        <f>IFERROR(__xludf.DUMMYFUNCTION("""COMPUTED_VALUE"""),"Sanjif Rajaratnam")</f>
        <v>Sanjif Rajaratnam</v>
      </c>
      <c r="F10925" s="3" t="str">
        <f>IFERROR(__xludf.DUMMYFUNCTION("""COMPUTED_VALUE"""),"sunsetbnbmgmt@gmail.com")</f>
        <v>sunsetbnbmgmt@gmail.com</v>
      </c>
      <c r="G10925" s="3">
        <f>IFERROR(__xludf.DUMMYFUNCTION("""COMPUTED_VALUE"""),6.4778573E9)</f>
        <v>6477857300</v>
      </c>
      <c r="H10925" s="3"/>
    </row>
    <row r="10926">
      <c r="A10926" s="2">
        <f>IFERROR(__xludf.DUMMYFUNCTION("""COMPUTED_VALUE"""),51839.0)</f>
        <v>51839</v>
      </c>
      <c r="B10926" s="3" t="str">
        <f>IFERROR(__xludf.DUMMYFUNCTION("""COMPUTED_VALUE"""),"429 SUNSET CRES")</f>
        <v>429 SUNSET CRES</v>
      </c>
      <c r="C10926" s="3" t="str">
        <f>IFERROR(__xludf.DUMMYFUNCTION("""COMPUTED_VALUE"""),"ROSENEATH ")</f>
        <v>ROSENEATH </v>
      </c>
      <c r="D10926" s="3" t="str">
        <f>IFERROR(__xludf.DUMMYFUNCTION("""COMPUTED_VALUE"""),"K0K 2X0")</f>
        <v>K0K 2X0</v>
      </c>
      <c r="E10926" s="3" t="str">
        <f>IFERROR(__xludf.DUMMYFUNCTION("""COMPUTED_VALUE"""),"Fargey D")</f>
        <v>Fargey D</v>
      </c>
      <c r="F10926" s="3"/>
      <c r="G10926" s="3"/>
      <c r="H10926" s="3"/>
    </row>
    <row r="10927">
      <c r="A10927" s="2">
        <f>IFERROR(__xludf.DUMMYFUNCTION("""COMPUTED_VALUE"""),51840.0)</f>
        <v>51840</v>
      </c>
      <c r="B10927" s="3" t="str">
        <f>IFERROR(__xludf.DUMMYFUNCTION("""COMPUTED_VALUE"""),"432 SUNSET CRES")</f>
        <v>432 SUNSET CRES</v>
      </c>
      <c r="C10927" s="3" t="str">
        <f>IFERROR(__xludf.DUMMYFUNCTION("""COMPUTED_VALUE"""),"ROSENEATH ")</f>
        <v>ROSENEATH </v>
      </c>
      <c r="D10927" s="3" t="str">
        <f>IFERROR(__xludf.DUMMYFUNCTION("""COMPUTED_VALUE"""),"K0K 2X0")</f>
        <v>K0K 2X0</v>
      </c>
      <c r="E10927" s="3"/>
      <c r="F10927" s="3"/>
      <c r="G10927" s="3"/>
      <c r="H10927" s="3"/>
    </row>
    <row r="10928">
      <c r="A10928" s="2">
        <f>IFERROR(__xludf.DUMMYFUNCTION("""COMPUTED_VALUE"""),51841.0)</f>
        <v>51841</v>
      </c>
      <c r="B10928" s="3" t="str">
        <f>IFERROR(__xludf.DUMMYFUNCTION("""COMPUTED_VALUE"""),"433 SUNSET CRES")</f>
        <v>433 SUNSET CRES</v>
      </c>
      <c r="C10928" s="3" t="str">
        <f>IFERROR(__xludf.DUMMYFUNCTION("""COMPUTED_VALUE"""),"ROSENEATH ")</f>
        <v>ROSENEATH </v>
      </c>
      <c r="D10928" s="3" t="str">
        <f>IFERROR(__xludf.DUMMYFUNCTION("""COMPUTED_VALUE"""),"K0K 2X0")</f>
        <v>K0K 2X0</v>
      </c>
      <c r="E10928" s="3" t="str">
        <f>IFERROR(__xludf.DUMMYFUNCTION("""COMPUTED_VALUE"""),"Frederick Gosse")</f>
        <v>Frederick Gosse</v>
      </c>
      <c r="F10928" s="3" t="str">
        <f>IFERROR(__xludf.DUMMYFUNCTION("""COMPUTED_VALUE"""),"fbgosse@hotmail.com")</f>
        <v>fbgosse@hotmail.com</v>
      </c>
      <c r="G10928" s="3">
        <f>IFERROR(__xludf.DUMMYFUNCTION("""COMPUTED_VALUE"""),9.057676509E9)</f>
        <v>9057676509</v>
      </c>
      <c r="H10928" s="3">
        <f>IFERROR(__xludf.DUMMYFUNCTION("""COMPUTED_VALUE"""),9.054094277E9)</f>
        <v>9054094277</v>
      </c>
    </row>
    <row r="10929">
      <c r="A10929" s="2">
        <f>IFERROR(__xludf.DUMMYFUNCTION("""COMPUTED_VALUE"""),51842.0)</f>
        <v>51842</v>
      </c>
      <c r="B10929" s="3" t="str">
        <f>IFERROR(__xludf.DUMMYFUNCTION("""COMPUTED_VALUE"""),"437 SUNSET CRES")</f>
        <v>437 SUNSET CRES</v>
      </c>
      <c r="C10929" s="3" t="str">
        <f>IFERROR(__xludf.DUMMYFUNCTION("""COMPUTED_VALUE"""),"ROSENEATH ")</f>
        <v>ROSENEATH </v>
      </c>
      <c r="D10929" s="3" t="str">
        <f>IFERROR(__xludf.DUMMYFUNCTION("""COMPUTED_VALUE"""),"K0K 2X0")</f>
        <v>K0K 2X0</v>
      </c>
      <c r="E10929" s="3" t="str">
        <f>IFERROR(__xludf.DUMMYFUNCTION("""COMPUTED_VALUE"""),"Harry Zinke")</f>
        <v>Harry Zinke</v>
      </c>
      <c r="F10929" s="3" t="str">
        <f>IFERROR(__xludf.DUMMYFUNCTION("""COMPUTED_VALUE"""),"harryzinke37@gmail.com")</f>
        <v>harryzinke37@gmail.com</v>
      </c>
      <c r="G10929" s="3">
        <f>IFERROR(__xludf.DUMMYFUNCTION("""COMPUTED_VALUE"""),9.053522665E9)</f>
        <v>9053522665</v>
      </c>
      <c r="H10929" s="3"/>
    </row>
    <row r="10930">
      <c r="A10930" s="2">
        <f>IFERROR(__xludf.DUMMYFUNCTION("""COMPUTED_VALUE"""),51843.0)</f>
        <v>51843</v>
      </c>
      <c r="B10930" s="3" t="str">
        <f>IFERROR(__xludf.DUMMYFUNCTION("""COMPUTED_VALUE"""),"441 SUNSET CRES")</f>
        <v>441 SUNSET CRES</v>
      </c>
      <c r="C10930" s="3" t="str">
        <f>IFERROR(__xludf.DUMMYFUNCTION("""COMPUTED_VALUE"""),"ROSENEATH ")</f>
        <v>ROSENEATH </v>
      </c>
      <c r="D10930" s="3" t="str">
        <f>IFERROR(__xludf.DUMMYFUNCTION("""COMPUTED_VALUE"""),"K0K 2X0")</f>
        <v>K0K 2X0</v>
      </c>
      <c r="E10930" s="3" t="str">
        <f>IFERROR(__xludf.DUMMYFUNCTION("""COMPUTED_VALUE"""),"Yvonne McEwan")</f>
        <v>Yvonne McEwan</v>
      </c>
      <c r="F10930" s="3" t="str">
        <f>IFERROR(__xludf.DUMMYFUNCTION("""COMPUTED_VALUE"""),"ymcewan@nexicom.net")</f>
        <v>ymcewan@nexicom.net</v>
      </c>
      <c r="G10930" s="3">
        <f>IFERROR(__xludf.DUMMYFUNCTION("""COMPUTED_VALUE"""),9.053523243E9)</f>
        <v>9053523243</v>
      </c>
      <c r="H10930" s="3"/>
    </row>
    <row r="10931">
      <c r="A10931" s="2">
        <f>IFERROR(__xludf.DUMMYFUNCTION("""COMPUTED_VALUE"""),51844.0)</f>
        <v>51844</v>
      </c>
      <c r="B10931" s="3" t="str">
        <f>IFERROR(__xludf.DUMMYFUNCTION("""COMPUTED_VALUE"""),"442 SUNSET CRES")</f>
        <v>442 SUNSET CRES</v>
      </c>
      <c r="C10931" s="3" t="str">
        <f>IFERROR(__xludf.DUMMYFUNCTION("""COMPUTED_VALUE"""),"ROSENEATH ")</f>
        <v>ROSENEATH </v>
      </c>
      <c r="D10931" s="3" t="str">
        <f>IFERROR(__xludf.DUMMYFUNCTION("""COMPUTED_VALUE"""),"K0K 2X0")</f>
        <v>K0K 2X0</v>
      </c>
      <c r="E10931" s="3" t="str">
        <f>IFERROR(__xludf.DUMMYFUNCTION("""COMPUTED_VALUE"""),"John J Loukes")</f>
        <v>John J Loukes</v>
      </c>
      <c r="F10931" s="3" t="str">
        <f>IFERROR(__xludf.DUMMYFUNCTION("""COMPUTED_VALUE"""),"loukes442@gmail.com")</f>
        <v>loukes442@gmail.com</v>
      </c>
      <c r="G10931" s="3">
        <f>IFERROR(__xludf.DUMMYFUNCTION("""COMPUTED_VALUE"""),9.053768602E9)</f>
        <v>9053768602</v>
      </c>
      <c r="H10931" s="3"/>
    </row>
    <row r="10932">
      <c r="A10932" s="2">
        <f>IFERROR(__xludf.DUMMYFUNCTION("""COMPUTED_VALUE"""),51845.0)</f>
        <v>51845</v>
      </c>
      <c r="B10932" s="3" t="str">
        <f>IFERROR(__xludf.DUMMYFUNCTION("""COMPUTED_VALUE"""),"445 SUNSET CRES")</f>
        <v>445 SUNSET CRES</v>
      </c>
      <c r="C10932" s="3" t="str">
        <f>IFERROR(__xludf.DUMMYFUNCTION("""COMPUTED_VALUE"""),"ROSENEATH ")</f>
        <v>ROSENEATH </v>
      </c>
      <c r="D10932" s="3" t="str">
        <f>IFERROR(__xludf.DUMMYFUNCTION("""COMPUTED_VALUE"""),"K0K 2X0")</f>
        <v>K0K 2X0</v>
      </c>
      <c r="E10932" s="3"/>
      <c r="F10932" s="3"/>
      <c r="G10932" s="3"/>
      <c r="H10932" s="3"/>
    </row>
    <row r="10933">
      <c r="A10933" s="2">
        <f>IFERROR(__xludf.DUMMYFUNCTION("""COMPUTED_VALUE"""),51846.0)</f>
        <v>51846</v>
      </c>
      <c r="B10933" s="3" t="str">
        <f>IFERROR(__xludf.DUMMYFUNCTION("""COMPUTED_VALUE"""),"448 SUNSET CRES")</f>
        <v>448 SUNSET CRES</v>
      </c>
      <c r="C10933" s="3" t="str">
        <f>IFERROR(__xludf.DUMMYFUNCTION("""COMPUTED_VALUE"""),"ROSENEATH ")</f>
        <v>ROSENEATH </v>
      </c>
      <c r="D10933" s="3" t="str">
        <f>IFERROR(__xludf.DUMMYFUNCTION("""COMPUTED_VALUE"""),"K0K 2X0")</f>
        <v>K0K 2X0</v>
      </c>
      <c r="E10933" s="3" t="str">
        <f>IFERROR(__xludf.DUMMYFUNCTION("""COMPUTED_VALUE"""),"Edgar Job")</f>
        <v>Edgar Job</v>
      </c>
      <c r="F10933" s="3" t="str">
        <f>IFERROR(__xludf.DUMMYFUNCTION("""COMPUTED_VALUE"""),"edjob448@gmail.com")</f>
        <v>edjob448@gmail.com</v>
      </c>
      <c r="G10933" s="3"/>
      <c r="H10933" s="3"/>
    </row>
    <row r="10934">
      <c r="A10934" s="2">
        <f>IFERROR(__xludf.DUMMYFUNCTION("""COMPUTED_VALUE"""),51847.0)</f>
        <v>51847</v>
      </c>
      <c r="B10934" s="3" t="str">
        <f>IFERROR(__xludf.DUMMYFUNCTION("""COMPUTED_VALUE"""),"449 SUNSET CRES")</f>
        <v>449 SUNSET CRES</v>
      </c>
      <c r="C10934" s="3" t="str">
        <f>IFERROR(__xludf.DUMMYFUNCTION("""COMPUTED_VALUE"""),"ROSENEATH ")</f>
        <v>ROSENEATH </v>
      </c>
      <c r="D10934" s="3" t="str">
        <f>IFERROR(__xludf.DUMMYFUNCTION("""COMPUTED_VALUE"""),"K0K 2X0")</f>
        <v>K0K 2X0</v>
      </c>
      <c r="E10934" s="3"/>
      <c r="F10934" s="3"/>
      <c r="G10934" s="3"/>
      <c r="H10934" s="3"/>
    </row>
    <row r="10935">
      <c r="A10935" s="2">
        <f>IFERROR(__xludf.DUMMYFUNCTION("""COMPUTED_VALUE"""),51848.0)</f>
        <v>51848</v>
      </c>
      <c r="B10935" s="3" t="str">
        <f>IFERROR(__xludf.DUMMYFUNCTION("""COMPUTED_VALUE"""),"453 SUNSET CRES")</f>
        <v>453 SUNSET CRES</v>
      </c>
      <c r="C10935" s="3" t="str">
        <f>IFERROR(__xludf.DUMMYFUNCTION("""COMPUTED_VALUE"""),"ROSENEATH ")</f>
        <v>ROSENEATH </v>
      </c>
      <c r="D10935" s="3" t="str">
        <f>IFERROR(__xludf.DUMMYFUNCTION("""COMPUTED_VALUE"""),"K0K 2X0")</f>
        <v>K0K 2X0</v>
      </c>
      <c r="E10935" s="3"/>
      <c r="F10935" s="3"/>
      <c r="G10935" s="3"/>
      <c r="H10935" s="3"/>
    </row>
    <row r="10936">
      <c r="A10936" s="2">
        <f>IFERROR(__xludf.DUMMYFUNCTION("""COMPUTED_VALUE"""),51849.0)</f>
        <v>51849</v>
      </c>
      <c r="B10936" s="3" t="str">
        <f>IFERROR(__xludf.DUMMYFUNCTION("""COMPUTED_VALUE"""),"456 SUNSET CRES")</f>
        <v>456 SUNSET CRES</v>
      </c>
      <c r="C10936" s="3" t="str">
        <f>IFERROR(__xludf.DUMMYFUNCTION("""COMPUTED_VALUE"""),"ROSENEATH ")</f>
        <v>ROSENEATH </v>
      </c>
      <c r="D10936" s="3" t="str">
        <f>IFERROR(__xludf.DUMMYFUNCTION("""COMPUTED_VALUE"""),"K0K 2X0")</f>
        <v>K0K 2X0</v>
      </c>
      <c r="E10936" s="3" t="str">
        <f>IFERROR(__xludf.DUMMYFUNCTION("""COMPUTED_VALUE"""),"Tiffany Lange")</f>
        <v>Tiffany Lange</v>
      </c>
      <c r="F10936" s="3" t="str">
        <f>IFERROR(__xludf.DUMMYFUNCTION("""COMPUTED_VALUE"""),"tiffanyslange@gmail.com")</f>
        <v>tiffanyslange@gmail.com</v>
      </c>
      <c r="G10936" s="3"/>
      <c r="H10936" s="3"/>
    </row>
    <row r="10937">
      <c r="A10937" s="2">
        <f>IFERROR(__xludf.DUMMYFUNCTION("""COMPUTED_VALUE"""),51850.0)</f>
        <v>51850</v>
      </c>
      <c r="B10937" s="3" t="str">
        <f>IFERROR(__xludf.DUMMYFUNCTION("""COMPUTED_VALUE"""),"457 SUNSET CRES")</f>
        <v>457 SUNSET CRES</v>
      </c>
      <c r="C10937" s="3" t="str">
        <f>IFERROR(__xludf.DUMMYFUNCTION("""COMPUTED_VALUE"""),"ROSENEATH ")</f>
        <v>ROSENEATH </v>
      </c>
      <c r="D10937" s="3" t="str">
        <f>IFERROR(__xludf.DUMMYFUNCTION("""COMPUTED_VALUE"""),"K0K 2X0")</f>
        <v>K0K 2X0</v>
      </c>
      <c r="E10937" s="3" t="str">
        <f>IFERROR(__xludf.DUMMYFUNCTION("""COMPUTED_VALUE"""),"Jessica LeBlanc")</f>
        <v>Jessica LeBlanc</v>
      </c>
      <c r="F10937" s="3" t="str">
        <f>IFERROR(__xludf.DUMMYFUNCTION("""COMPUTED_VALUE"""),"jessicaleblanc14@outlook.com")</f>
        <v>jessicaleblanc14@outlook.com</v>
      </c>
      <c r="G10937" s="3">
        <f>IFERROR(__xludf.DUMMYFUNCTION("""COMPUTED_VALUE"""),9.059144094E9)</f>
        <v>9059144094</v>
      </c>
      <c r="H10937" s="3"/>
    </row>
    <row r="10938">
      <c r="A10938" s="2">
        <f>IFERROR(__xludf.DUMMYFUNCTION("""COMPUTED_VALUE"""),51851.0)</f>
        <v>51851</v>
      </c>
      <c r="B10938" s="3" t="str">
        <f>IFERROR(__xludf.DUMMYFUNCTION("""COMPUTED_VALUE"""),"463 SUNSET CRES")</f>
        <v>463 SUNSET CRES</v>
      </c>
      <c r="C10938" s="3" t="str">
        <f>IFERROR(__xludf.DUMMYFUNCTION("""COMPUTED_VALUE"""),"ROSENEATH ")</f>
        <v>ROSENEATH </v>
      </c>
      <c r="D10938" s="3" t="str">
        <f>IFERROR(__xludf.DUMMYFUNCTION("""COMPUTED_VALUE"""),"K0K 2X0")</f>
        <v>K0K 2X0</v>
      </c>
      <c r="E10938" s="3" t="str">
        <f>IFERROR(__xludf.DUMMYFUNCTION("""COMPUTED_VALUE"""),"Edward Petronis")</f>
        <v>Edward Petronis</v>
      </c>
      <c r="F10938" s="3" t="str">
        <f>IFERROR(__xludf.DUMMYFUNCTION("""COMPUTED_VALUE"""),"Basmn28@gmail.com")</f>
        <v>Basmn28@gmail.com</v>
      </c>
      <c r="G10938" s="3">
        <f>IFERROR(__xludf.DUMMYFUNCTION("""COMPUTED_VALUE"""),4.167955323E9)</f>
        <v>4167955323</v>
      </c>
      <c r="H10938" s="3"/>
    </row>
    <row r="10939">
      <c r="A10939" s="2">
        <f>IFERROR(__xludf.DUMMYFUNCTION("""COMPUTED_VALUE"""),51852.0)</f>
        <v>51852</v>
      </c>
      <c r="B10939" s="3" t="str">
        <f>IFERROR(__xludf.DUMMYFUNCTION("""COMPUTED_VALUE"""),"469 SUNSET CRES")</f>
        <v>469 SUNSET CRES</v>
      </c>
      <c r="C10939" s="3" t="str">
        <f>IFERROR(__xludf.DUMMYFUNCTION("""COMPUTED_VALUE"""),"ROSENEATH ")</f>
        <v>ROSENEATH </v>
      </c>
      <c r="D10939" s="3" t="str">
        <f>IFERROR(__xludf.DUMMYFUNCTION("""COMPUTED_VALUE"""),"K0K 2X0")</f>
        <v>K0K 2X0</v>
      </c>
      <c r="E10939" s="3" t="str">
        <f>IFERROR(__xludf.DUMMYFUNCTION("""COMPUTED_VALUE"""),"Al Milley")</f>
        <v>Al Milley</v>
      </c>
      <c r="F10939" s="3" t="str">
        <f>IFERROR(__xludf.DUMMYFUNCTION("""COMPUTED_VALUE"""),"allan.milley@gmail.com")</f>
        <v>allan.milley@gmail.com</v>
      </c>
      <c r="G10939" s="3"/>
      <c r="H10939" s="3"/>
    </row>
    <row r="10940">
      <c r="A10940" s="2">
        <f>IFERROR(__xludf.DUMMYFUNCTION("""COMPUTED_VALUE"""),51853.0)</f>
        <v>51853</v>
      </c>
      <c r="B10940" s="3" t="str">
        <f>IFERROR(__xludf.DUMMYFUNCTION("""COMPUTED_VALUE"""),"473 SUNSET CRES")</f>
        <v>473 SUNSET CRES</v>
      </c>
      <c r="C10940" s="3" t="str">
        <f>IFERROR(__xludf.DUMMYFUNCTION("""COMPUTED_VALUE"""),"ROSENEATH ")</f>
        <v>ROSENEATH </v>
      </c>
      <c r="D10940" s="3" t="str">
        <f>IFERROR(__xludf.DUMMYFUNCTION("""COMPUTED_VALUE"""),"K0K 2X0")</f>
        <v>K0K 2X0</v>
      </c>
      <c r="E10940" s="3"/>
      <c r="F10940" s="3"/>
      <c r="G10940" s="3"/>
      <c r="H10940" s="3"/>
    </row>
    <row r="10941">
      <c r="A10941" s="2">
        <f>IFERROR(__xludf.DUMMYFUNCTION("""COMPUTED_VALUE"""),51854.0)</f>
        <v>51854</v>
      </c>
      <c r="B10941" s="3" t="str">
        <f>IFERROR(__xludf.DUMMYFUNCTION("""COMPUTED_VALUE"""),"477 SUNSET CRES")</f>
        <v>477 SUNSET CRES</v>
      </c>
      <c r="C10941" s="3" t="str">
        <f>IFERROR(__xludf.DUMMYFUNCTION("""COMPUTED_VALUE"""),"ROSENEATH ")</f>
        <v>ROSENEATH </v>
      </c>
      <c r="D10941" s="3" t="str">
        <f>IFERROR(__xludf.DUMMYFUNCTION("""COMPUTED_VALUE"""),"K0K 2X0")</f>
        <v>K0K 2X0</v>
      </c>
      <c r="E10941" s="3"/>
      <c r="F10941" s="3"/>
      <c r="G10941" s="3"/>
      <c r="H10941" s="3"/>
    </row>
    <row r="10942">
      <c r="A10942" s="2">
        <f>IFERROR(__xludf.DUMMYFUNCTION("""COMPUTED_VALUE"""),51855.0)</f>
        <v>51855</v>
      </c>
      <c r="B10942" s="3" t="str">
        <f>IFERROR(__xludf.DUMMYFUNCTION("""COMPUTED_VALUE"""),"114 SUNSET BAY RD")</f>
        <v>114 SUNSET BAY RD</v>
      </c>
      <c r="C10942" s="3" t="str">
        <f>IFERROR(__xludf.DUMMYFUNCTION("""COMPUTED_VALUE"""),"ROSENEATH ")</f>
        <v>ROSENEATH </v>
      </c>
      <c r="D10942" s="3" t="str">
        <f>IFERROR(__xludf.DUMMYFUNCTION("""COMPUTED_VALUE"""),"K0K 2X0")</f>
        <v>K0K 2X0</v>
      </c>
      <c r="E10942" s="3" t="str">
        <f>IFERROR(__xludf.DUMMYFUNCTION("""COMPUTED_VALUE"""),"david mucci")</f>
        <v>david mucci</v>
      </c>
      <c r="F10942" s="3" t="str">
        <f>IFERROR(__xludf.DUMMYFUNCTION("""COMPUTED_VALUE"""),"david-mucci@hotmail.com")</f>
        <v>david-mucci@hotmail.com</v>
      </c>
      <c r="G10942" s="3">
        <f>IFERROR(__xludf.DUMMYFUNCTION("""COMPUTED_VALUE"""),4.166711524E9)</f>
        <v>4166711524</v>
      </c>
      <c r="H10942" s="3"/>
    </row>
    <row r="10943">
      <c r="A10943" s="2">
        <f>IFERROR(__xludf.DUMMYFUNCTION("""COMPUTED_VALUE"""),51856.0)</f>
        <v>51856</v>
      </c>
      <c r="B10943" s="3" t="str">
        <f>IFERROR(__xludf.DUMMYFUNCTION("""COMPUTED_VALUE"""),"124 SUNSET BAY")</f>
        <v>124 SUNSET BAY</v>
      </c>
      <c r="C10943" s="3" t="str">
        <f>IFERROR(__xludf.DUMMYFUNCTION("""COMPUTED_VALUE"""),"ROSENEATH ")</f>
        <v>ROSENEATH </v>
      </c>
      <c r="D10943" s="3" t="str">
        <f>IFERROR(__xludf.DUMMYFUNCTION("""COMPUTED_VALUE"""),"K0K 2X0")</f>
        <v>K0K 2X0</v>
      </c>
      <c r="E10943" s="3"/>
      <c r="F10943" s="3"/>
      <c r="G10943" s="3"/>
      <c r="H10943" s="3"/>
    </row>
    <row r="10944">
      <c r="A10944" s="2">
        <f>IFERROR(__xludf.DUMMYFUNCTION("""COMPUTED_VALUE"""),51857.0)</f>
        <v>51857</v>
      </c>
      <c r="B10944" s="3" t="str">
        <f>IFERROR(__xludf.DUMMYFUNCTION("""COMPUTED_VALUE"""),"138 SUNSET BAY RD")</f>
        <v>138 SUNSET BAY RD</v>
      </c>
      <c r="C10944" s="3" t="str">
        <f>IFERROR(__xludf.DUMMYFUNCTION("""COMPUTED_VALUE"""),"ROSENEATH ")</f>
        <v>ROSENEATH </v>
      </c>
      <c r="D10944" s="3" t="str">
        <f>IFERROR(__xludf.DUMMYFUNCTION("""COMPUTED_VALUE"""),"K0K 2X0")</f>
        <v>K0K 2X0</v>
      </c>
      <c r="E10944" s="3" t="str">
        <f>IFERROR(__xludf.DUMMYFUNCTION("""COMPUTED_VALUE"""),"kevin crawford ")</f>
        <v>kevin crawford </v>
      </c>
      <c r="F10944" s="3" t="str">
        <f>IFERROR(__xludf.DUMMYFUNCTION("""COMPUTED_VALUE"""),"crawtk2@yahoo.com")</f>
        <v>crawtk2@yahoo.com</v>
      </c>
      <c r="G10944" s="3">
        <f>IFERROR(__xludf.DUMMYFUNCTION("""COMPUTED_VALUE"""),5.197161834E9)</f>
        <v>5197161834</v>
      </c>
      <c r="H10944" s="3">
        <f>IFERROR(__xludf.DUMMYFUNCTION("""COMPUTED_VALUE"""),5.192772265E9)</f>
        <v>5192772265</v>
      </c>
    </row>
    <row r="10945">
      <c r="A10945" s="2">
        <f>IFERROR(__xludf.DUMMYFUNCTION("""COMPUTED_VALUE"""),51858.0)</f>
        <v>51858</v>
      </c>
      <c r="B10945" s="3" t="str">
        <f>IFERROR(__xludf.DUMMYFUNCTION("""COMPUTED_VALUE"""),"154 SUNSET BAY RD")</f>
        <v>154 SUNSET BAY RD</v>
      </c>
      <c r="C10945" s="3" t="str">
        <f>IFERROR(__xludf.DUMMYFUNCTION("""COMPUTED_VALUE"""),"ROSENEATH ")</f>
        <v>ROSENEATH </v>
      </c>
      <c r="D10945" s="3" t="str">
        <f>IFERROR(__xludf.DUMMYFUNCTION("""COMPUTED_VALUE"""),"K0K 2X0")</f>
        <v>K0K 2X0</v>
      </c>
      <c r="E10945" s="3" t="str">
        <f>IFERROR(__xludf.DUMMYFUNCTION("""COMPUTED_VALUE"""),"kevin querel")</f>
        <v>kevin querel</v>
      </c>
      <c r="F10945" s="3" t="str">
        <f>IFERROR(__xludf.DUMMYFUNCTION("""COMPUTED_VALUE"""),"kquerel@gmail.com")</f>
        <v>kquerel@gmail.com</v>
      </c>
      <c r="G10945" s="3">
        <f>IFERROR(__xludf.DUMMYFUNCTION("""COMPUTED_VALUE"""),9.05961887E9)</f>
        <v>9059618870</v>
      </c>
      <c r="H10945" s="3"/>
    </row>
    <row r="10946">
      <c r="A10946" s="2">
        <f>IFERROR(__xludf.DUMMYFUNCTION("""COMPUTED_VALUE"""),51859.0)</f>
        <v>51859</v>
      </c>
      <c r="B10946" s="3" t="str">
        <f>IFERROR(__xludf.DUMMYFUNCTION("""COMPUTED_VALUE"""),"196 SUNSET BAY RD")</f>
        <v>196 SUNSET BAY RD</v>
      </c>
      <c r="C10946" s="3" t="str">
        <f>IFERROR(__xludf.DUMMYFUNCTION("""COMPUTED_VALUE"""),"ROSENEATH ")</f>
        <v>ROSENEATH </v>
      </c>
      <c r="D10946" s="3" t="str">
        <f>IFERROR(__xludf.DUMMYFUNCTION("""COMPUTED_VALUE"""),"K0K 2X0")</f>
        <v>K0K 2X0</v>
      </c>
      <c r="E10946" s="3" t="str">
        <f>IFERROR(__xludf.DUMMYFUNCTION("""COMPUTED_VALUE"""),"alessandro spassiani ")</f>
        <v>alessandro spassiani </v>
      </c>
      <c r="F10946" s="3" t="str">
        <f>IFERROR(__xludf.DUMMYFUNCTION("""COMPUTED_VALUE"""),"sandro@boreo.com")</f>
        <v>sandro@boreo.com</v>
      </c>
      <c r="G10946" s="3">
        <f>IFERROR(__xludf.DUMMYFUNCTION("""COMPUTED_VALUE"""),4.166787733E9)</f>
        <v>4166787733</v>
      </c>
      <c r="H10946" s="3"/>
    </row>
    <row r="10947">
      <c r="A10947" s="2">
        <f>IFERROR(__xludf.DUMMYFUNCTION("""COMPUTED_VALUE"""),51860.0)</f>
        <v>51860</v>
      </c>
      <c r="B10947" s="3" t="str">
        <f>IFERROR(__xludf.DUMMYFUNCTION("""COMPUTED_VALUE"""),"362 SUNSET BAY UNIT 108")</f>
        <v>362 SUNSET BAY UNIT 108</v>
      </c>
      <c r="C10947" s="3" t="str">
        <f>IFERROR(__xludf.DUMMYFUNCTION("""COMPUTED_VALUE"""),"ROSENEATH ")</f>
        <v>ROSENEATH </v>
      </c>
      <c r="D10947" s="3" t="str">
        <f>IFERROR(__xludf.DUMMYFUNCTION("""COMPUTED_VALUE"""),"K0K 2X0")</f>
        <v>K0K 2X0</v>
      </c>
      <c r="E10947" s="3"/>
      <c r="F10947" s="3"/>
      <c r="G10947" s="3"/>
      <c r="H10947" s="3"/>
    </row>
    <row r="10948">
      <c r="A10948" s="2">
        <f>IFERROR(__xludf.DUMMYFUNCTION("""COMPUTED_VALUE"""),51864.0)</f>
        <v>51864</v>
      </c>
      <c r="B10948" s="3" t="str">
        <f>IFERROR(__xludf.DUMMYFUNCTION("""COMPUTED_VALUE"""),"381 TAYLOR RD")</f>
        <v>381 TAYLOR RD</v>
      </c>
      <c r="C10948" s="3" t="str">
        <f>IFERROR(__xludf.DUMMYFUNCTION("""COMPUTED_VALUE"""),"WARKWORTH")</f>
        <v>WARKWORTH</v>
      </c>
      <c r="D10948" s="3" t="str">
        <f>IFERROR(__xludf.DUMMYFUNCTION("""COMPUTED_VALUE"""),"K0K 2X0")</f>
        <v>K0K 2X0</v>
      </c>
      <c r="E10948" s="3"/>
      <c r="F10948" s="3"/>
      <c r="G10948" s="3"/>
      <c r="H10948" s="3"/>
    </row>
    <row r="10949">
      <c r="A10949" s="2">
        <f>IFERROR(__xludf.DUMMYFUNCTION("""COMPUTED_VALUE"""),51865.0)</f>
        <v>51865</v>
      </c>
      <c r="B10949" s="3" t="str">
        <f>IFERROR(__xludf.DUMMYFUNCTION("""COMPUTED_VALUE"""),"386 TAYLOR RD")</f>
        <v>386 TAYLOR RD</v>
      </c>
      <c r="C10949" s="3" t="str">
        <f>IFERROR(__xludf.DUMMYFUNCTION("""COMPUTED_VALUE"""),"WARKWORTH")</f>
        <v>WARKWORTH</v>
      </c>
      <c r="D10949" s="3" t="str">
        <f>IFERROR(__xludf.DUMMYFUNCTION("""COMPUTED_VALUE"""),"K0K 2X0")</f>
        <v>K0K 2X0</v>
      </c>
      <c r="E10949" s="3"/>
      <c r="F10949" s="3"/>
      <c r="G10949" s="3"/>
      <c r="H10949" s="3"/>
    </row>
    <row r="10950">
      <c r="A10950" s="2">
        <f>IFERROR(__xludf.DUMMYFUNCTION("""COMPUTED_VALUE"""),51866.0)</f>
        <v>51866</v>
      </c>
      <c r="B10950" s="3" t="str">
        <f>IFERROR(__xludf.DUMMYFUNCTION("""COMPUTED_VALUE"""),"10 VIMY RIDGE RD")</f>
        <v>10 VIMY RIDGE RD</v>
      </c>
      <c r="C10950" s="3" t="str">
        <f>IFERROR(__xludf.DUMMYFUNCTION("""COMPUTED_VALUE"""),"ROSENEATH ")</f>
        <v>ROSENEATH </v>
      </c>
      <c r="D10950" s="3" t="str">
        <f>IFERROR(__xludf.DUMMYFUNCTION("""COMPUTED_VALUE"""),"K0K 2X0")</f>
        <v>K0K 2X0</v>
      </c>
      <c r="E10950" s="3"/>
      <c r="F10950" s="3"/>
      <c r="G10950" s="3"/>
      <c r="H10950" s="3"/>
    </row>
    <row r="10951">
      <c r="A10951" s="2">
        <f>IFERROR(__xludf.DUMMYFUNCTION("""COMPUTED_VALUE"""),51867.0)</f>
        <v>51867</v>
      </c>
      <c r="B10951" s="3" t="str">
        <f>IFERROR(__xludf.DUMMYFUNCTION("""COMPUTED_VALUE"""),"18 VIMY RIDGE RD")</f>
        <v>18 VIMY RIDGE RD</v>
      </c>
      <c r="C10951" s="3" t="str">
        <f>IFERROR(__xludf.DUMMYFUNCTION("""COMPUTED_VALUE"""),"ROSENEATH ")</f>
        <v>ROSENEATH </v>
      </c>
      <c r="D10951" s="3" t="str">
        <f>IFERROR(__xludf.DUMMYFUNCTION("""COMPUTED_VALUE"""),"K0K 2X0")</f>
        <v>K0K 2X0</v>
      </c>
      <c r="E10951" s="3"/>
      <c r="F10951" s="3"/>
      <c r="G10951" s="3"/>
      <c r="H10951" s="3"/>
    </row>
    <row r="10952">
      <c r="A10952" s="2">
        <f>IFERROR(__xludf.DUMMYFUNCTION("""COMPUTED_VALUE"""),51868.0)</f>
        <v>51868</v>
      </c>
      <c r="B10952" s="3" t="str">
        <f>IFERROR(__xludf.DUMMYFUNCTION("""COMPUTED_VALUE"""),"23 VIMY RIDGE RD")</f>
        <v>23 VIMY RIDGE RD</v>
      </c>
      <c r="C10952" s="3" t="str">
        <f>IFERROR(__xludf.DUMMYFUNCTION("""COMPUTED_VALUE"""),"ROSENEATH ")</f>
        <v>ROSENEATH </v>
      </c>
      <c r="D10952" s="3" t="str">
        <f>IFERROR(__xludf.DUMMYFUNCTION("""COMPUTED_VALUE"""),"K0K 2X0")</f>
        <v>K0K 2X0</v>
      </c>
      <c r="E10952" s="3"/>
      <c r="F10952" s="3"/>
      <c r="G10952" s="3"/>
      <c r="H10952" s="3"/>
    </row>
    <row r="10953">
      <c r="A10953" s="2">
        <f>IFERROR(__xludf.DUMMYFUNCTION("""COMPUTED_VALUE"""),51869.0)</f>
        <v>51869</v>
      </c>
      <c r="B10953" s="3" t="str">
        <f>IFERROR(__xludf.DUMMYFUNCTION("""COMPUTED_VALUE"""),"24 VIMY RIDGE RD")</f>
        <v>24 VIMY RIDGE RD</v>
      </c>
      <c r="C10953" s="3" t="str">
        <f>IFERROR(__xludf.DUMMYFUNCTION("""COMPUTED_VALUE"""),"ROSENEATH ")</f>
        <v>ROSENEATH </v>
      </c>
      <c r="D10953" s="3" t="str">
        <f>IFERROR(__xludf.DUMMYFUNCTION("""COMPUTED_VALUE"""),"K0K 2X0")</f>
        <v>K0K 2X0</v>
      </c>
      <c r="E10953" s="3"/>
      <c r="F10953" s="3"/>
      <c r="G10953" s="3"/>
      <c r="H10953" s="3"/>
    </row>
    <row r="10954">
      <c r="A10954" s="2">
        <f>IFERROR(__xludf.DUMMYFUNCTION("""COMPUTED_VALUE"""),51870.0)</f>
        <v>51870</v>
      </c>
      <c r="B10954" s="3" t="str">
        <f>IFERROR(__xludf.DUMMYFUNCTION("""COMPUTED_VALUE"""),"26 VIMY RIDGE RD")</f>
        <v>26 VIMY RIDGE RD</v>
      </c>
      <c r="C10954" s="3" t="str">
        <f>IFERROR(__xludf.DUMMYFUNCTION("""COMPUTED_VALUE"""),"ROSENEATH ")</f>
        <v>ROSENEATH </v>
      </c>
      <c r="D10954" s="3" t="str">
        <f>IFERROR(__xludf.DUMMYFUNCTION("""COMPUTED_VALUE"""),"K0K 2X0")</f>
        <v>K0K 2X0</v>
      </c>
      <c r="E10954" s="3"/>
      <c r="F10954" s="3"/>
      <c r="G10954" s="3"/>
      <c r="H10954" s="3"/>
    </row>
    <row r="10955">
      <c r="A10955" s="2">
        <f>IFERROR(__xludf.DUMMYFUNCTION("""COMPUTED_VALUE"""),51871.0)</f>
        <v>51871</v>
      </c>
      <c r="B10955" s="3" t="str">
        <f>IFERROR(__xludf.DUMMYFUNCTION("""COMPUTED_VALUE"""),"33 VIMY RIDGE RD")</f>
        <v>33 VIMY RIDGE RD</v>
      </c>
      <c r="C10955" s="3" t="str">
        <f>IFERROR(__xludf.DUMMYFUNCTION("""COMPUTED_VALUE"""),"ROSENEATH ")</f>
        <v>ROSENEATH </v>
      </c>
      <c r="D10955" s="3" t="str">
        <f>IFERROR(__xludf.DUMMYFUNCTION("""COMPUTED_VALUE"""),"K0K 2X0")</f>
        <v>K0K 2X0</v>
      </c>
      <c r="E10955" s="3"/>
      <c r="F10955" s="3"/>
      <c r="G10955" s="3"/>
      <c r="H10955" s="3"/>
    </row>
    <row r="10956">
      <c r="A10956" s="2">
        <f>IFERROR(__xludf.DUMMYFUNCTION("""COMPUTED_VALUE"""),51872.0)</f>
        <v>51872</v>
      </c>
      <c r="B10956" s="3" t="str">
        <f>IFERROR(__xludf.DUMMYFUNCTION("""COMPUTED_VALUE"""),"34 VIMY RIDGE RD")</f>
        <v>34 VIMY RIDGE RD</v>
      </c>
      <c r="C10956" s="3" t="str">
        <f>IFERROR(__xludf.DUMMYFUNCTION("""COMPUTED_VALUE"""),"ROSENEATH ")</f>
        <v>ROSENEATH </v>
      </c>
      <c r="D10956" s="3" t="str">
        <f>IFERROR(__xludf.DUMMYFUNCTION("""COMPUTED_VALUE"""),"K0K 2X0")</f>
        <v>K0K 2X0</v>
      </c>
      <c r="E10956" s="3"/>
      <c r="F10956" s="3"/>
      <c r="G10956" s="3"/>
      <c r="H10956" s="3"/>
    </row>
    <row r="10957">
      <c r="A10957" s="2">
        <f>IFERROR(__xludf.DUMMYFUNCTION("""COMPUTED_VALUE"""),51873.0)</f>
        <v>51873</v>
      </c>
      <c r="B10957" s="3" t="str">
        <f>IFERROR(__xludf.DUMMYFUNCTION("""COMPUTED_VALUE"""),"41 VIMY RIDGE RD")</f>
        <v>41 VIMY RIDGE RD</v>
      </c>
      <c r="C10957" s="3" t="str">
        <f>IFERROR(__xludf.DUMMYFUNCTION("""COMPUTED_VALUE"""),"ROSENEATH ")</f>
        <v>ROSENEATH </v>
      </c>
      <c r="D10957" s="3" t="str">
        <f>IFERROR(__xludf.DUMMYFUNCTION("""COMPUTED_VALUE"""),"K0K 2X0")</f>
        <v>K0K 2X0</v>
      </c>
      <c r="E10957" s="3"/>
      <c r="F10957" s="3"/>
      <c r="G10957" s="3"/>
      <c r="H10957" s="3"/>
    </row>
    <row r="10958">
      <c r="A10958" s="2">
        <f>IFERROR(__xludf.DUMMYFUNCTION("""COMPUTED_VALUE"""),51874.0)</f>
        <v>51874</v>
      </c>
      <c r="B10958" s="3" t="str">
        <f>IFERROR(__xludf.DUMMYFUNCTION("""COMPUTED_VALUE"""),"48 VIMY RIDGE RD")</f>
        <v>48 VIMY RIDGE RD</v>
      </c>
      <c r="C10958" s="3" t="str">
        <f>IFERROR(__xludf.DUMMYFUNCTION("""COMPUTED_VALUE"""),"ROSENEATH ")</f>
        <v>ROSENEATH </v>
      </c>
      <c r="D10958" s="3" t="str">
        <f>IFERROR(__xludf.DUMMYFUNCTION("""COMPUTED_VALUE"""),"K0K 2X0")</f>
        <v>K0K 2X0</v>
      </c>
      <c r="E10958" s="3"/>
      <c r="F10958" s="3"/>
      <c r="G10958" s="3"/>
      <c r="H10958" s="3"/>
    </row>
    <row r="10959">
      <c r="A10959" s="2">
        <f>IFERROR(__xludf.DUMMYFUNCTION("""COMPUTED_VALUE"""),51875.0)</f>
        <v>51875</v>
      </c>
      <c r="B10959" s="3" t="str">
        <f>IFERROR(__xludf.DUMMYFUNCTION("""COMPUTED_VALUE"""),"49 VIMY RIDGE RD")</f>
        <v>49 VIMY RIDGE RD</v>
      </c>
      <c r="C10959" s="3" t="str">
        <f>IFERROR(__xludf.DUMMYFUNCTION("""COMPUTED_VALUE"""),"ROSENEATH ")</f>
        <v>ROSENEATH </v>
      </c>
      <c r="D10959" s="3" t="str">
        <f>IFERROR(__xludf.DUMMYFUNCTION("""COMPUTED_VALUE"""),"K0K 2X0")</f>
        <v>K0K 2X0</v>
      </c>
      <c r="E10959" s="3"/>
      <c r="F10959" s="3"/>
      <c r="G10959" s="3"/>
      <c r="H10959" s="3"/>
    </row>
    <row r="10960">
      <c r="A10960" s="2">
        <f>IFERROR(__xludf.DUMMYFUNCTION("""COMPUTED_VALUE"""),51876.0)</f>
        <v>51876</v>
      </c>
      <c r="B10960" s="3" t="str">
        <f>IFERROR(__xludf.DUMMYFUNCTION("""COMPUTED_VALUE"""),"50 VIMY RIDGE RD")</f>
        <v>50 VIMY RIDGE RD</v>
      </c>
      <c r="C10960" s="3" t="str">
        <f>IFERROR(__xludf.DUMMYFUNCTION("""COMPUTED_VALUE"""),"ROSENEATH ")</f>
        <v>ROSENEATH </v>
      </c>
      <c r="D10960" s="3" t="str">
        <f>IFERROR(__xludf.DUMMYFUNCTION("""COMPUTED_VALUE"""),"K0K 2X0")</f>
        <v>K0K 2X0</v>
      </c>
      <c r="E10960" s="3"/>
      <c r="F10960" s="3"/>
      <c r="G10960" s="3"/>
      <c r="H10960" s="3"/>
    </row>
    <row r="10961">
      <c r="A10961" s="2">
        <f>IFERROR(__xludf.DUMMYFUNCTION("""COMPUTED_VALUE"""),51877.0)</f>
        <v>51877</v>
      </c>
      <c r="B10961" s="3" t="str">
        <f>IFERROR(__xludf.DUMMYFUNCTION("""COMPUTED_VALUE"""),"52 VIMY RIDGE RD")</f>
        <v>52 VIMY RIDGE RD</v>
      </c>
      <c r="C10961" s="3" t="str">
        <f>IFERROR(__xludf.DUMMYFUNCTION("""COMPUTED_VALUE"""),"ROSENEATH ")</f>
        <v>ROSENEATH </v>
      </c>
      <c r="D10961" s="3" t="str">
        <f>IFERROR(__xludf.DUMMYFUNCTION("""COMPUTED_VALUE"""),"K0K 2X0")</f>
        <v>K0K 2X0</v>
      </c>
      <c r="E10961" s="3"/>
      <c r="F10961" s="3"/>
      <c r="G10961" s="3"/>
      <c r="H10961" s="3"/>
    </row>
    <row r="10962">
      <c r="A10962" s="2">
        <f>IFERROR(__xludf.DUMMYFUNCTION("""COMPUTED_VALUE"""),51878.0)</f>
        <v>51878</v>
      </c>
      <c r="B10962" s="3" t="str">
        <f>IFERROR(__xludf.DUMMYFUNCTION("""COMPUTED_VALUE"""),"TBD VIMY RIDGE RD")</f>
        <v>TBD VIMY RIDGE RD</v>
      </c>
      <c r="C10962" s="3" t="str">
        <f>IFERROR(__xludf.DUMMYFUNCTION("""COMPUTED_VALUE"""),"ROSENEATH ")</f>
        <v>ROSENEATH </v>
      </c>
      <c r="D10962" s="3" t="str">
        <f>IFERROR(__xludf.DUMMYFUNCTION("""COMPUTED_VALUE"""),"K0K 2X0")</f>
        <v>K0K 2X0</v>
      </c>
      <c r="E10962" s="3"/>
      <c r="F10962" s="3"/>
      <c r="G10962" s="3"/>
      <c r="H10962" s="3"/>
    </row>
    <row r="10963">
      <c r="A10963" s="2">
        <f>IFERROR(__xludf.DUMMYFUNCTION("""COMPUTED_VALUE"""),51879.0)</f>
        <v>51879</v>
      </c>
      <c r="B10963" s="3" t="str">
        <f>IFERROR(__xludf.DUMMYFUNCTION("""COMPUTED_VALUE"""),"55 VIMY RIDGE RD")</f>
        <v>55 VIMY RIDGE RD</v>
      </c>
      <c r="C10963" s="3" t="str">
        <f>IFERROR(__xludf.DUMMYFUNCTION("""COMPUTED_VALUE"""),"ROSENEATH ")</f>
        <v>ROSENEATH </v>
      </c>
      <c r="D10963" s="3" t="str">
        <f>IFERROR(__xludf.DUMMYFUNCTION("""COMPUTED_VALUE"""),"K0K 2X0")</f>
        <v>K0K 2X0</v>
      </c>
      <c r="E10963" s="3"/>
      <c r="F10963" s="3"/>
      <c r="G10963" s="3"/>
      <c r="H10963" s="3"/>
    </row>
    <row r="10964">
      <c r="A10964" s="2">
        <f>IFERROR(__xludf.DUMMYFUNCTION("""COMPUTED_VALUE"""),51880.0)</f>
        <v>51880</v>
      </c>
      <c r="B10964" s="3" t="str">
        <f>IFERROR(__xludf.DUMMYFUNCTION("""COMPUTED_VALUE"""),"61 VIMY RIDGE RD")</f>
        <v>61 VIMY RIDGE RD</v>
      </c>
      <c r="C10964" s="3" t="str">
        <f>IFERROR(__xludf.DUMMYFUNCTION("""COMPUTED_VALUE"""),"ROSENEATH ")</f>
        <v>ROSENEATH </v>
      </c>
      <c r="D10964" s="3" t="str">
        <f>IFERROR(__xludf.DUMMYFUNCTION("""COMPUTED_VALUE"""),"K0K 2X0")</f>
        <v>K0K 2X0</v>
      </c>
      <c r="E10964" s="3" t="str">
        <f>IFERROR(__xludf.DUMMYFUNCTION("""COMPUTED_VALUE"""),"Kathy Marsden")</f>
        <v>Kathy Marsden</v>
      </c>
      <c r="F10964" s="3" t="str">
        <f>IFERROR(__xludf.DUMMYFUNCTION("""COMPUTED_VALUE"""),"kathy.marsden@bell.net")</f>
        <v>kathy.marsden@bell.net</v>
      </c>
      <c r="G10964" s="3">
        <f>IFERROR(__xludf.DUMMYFUNCTION("""COMPUTED_VALUE"""),7.057155736E9)</f>
        <v>7057155736</v>
      </c>
      <c r="H10964" s="3">
        <f>IFERROR(__xludf.DUMMYFUNCTION("""COMPUTED_VALUE"""),7.057928989E9)</f>
        <v>7057928989</v>
      </c>
    </row>
    <row r="10965">
      <c r="A10965" s="2">
        <f>IFERROR(__xludf.DUMMYFUNCTION("""COMPUTED_VALUE"""),51881.0)</f>
        <v>51881</v>
      </c>
      <c r="B10965" s="3" t="str">
        <f>IFERROR(__xludf.DUMMYFUNCTION("""COMPUTED_VALUE"""),"62 VIMY RIDGE RD")</f>
        <v>62 VIMY RIDGE RD</v>
      </c>
      <c r="C10965" s="3" t="str">
        <f>IFERROR(__xludf.DUMMYFUNCTION("""COMPUTED_VALUE"""),"ROSENEATH ")</f>
        <v>ROSENEATH </v>
      </c>
      <c r="D10965" s="3" t="str">
        <f>IFERROR(__xludf.DUMMYFUNCTION("""COMPUTED_VALUE"""),"K0K 2X0")</f>
        <v>K0K 2X0</v>
      </c>
      <c r="E10965" s="3"/>
      <c r="F10965" s="3"/>
      <c r="G10965" s="3"/>
      <c r="H10965" s="3"/>
    </row>
    <row r="10966">
      <c r="A10966" s="2">
        <f>IFERROR(__xludf.DUMMYFUNCTION("""COMPUTED_VALUE"""),51882.0)</f>
        <v>51882</v>
      </c>
      <c r="B10966" s="3" t="str">
        <f>IFERROR(__xludf.DUMMYFUNCTION("""COMPUTED_VALUE"""),"66 VIMY RIDGE RD")</f>
        <v>66 VIMY RIDGE RD</v>
      </c>
      <c r="C10966" s="3" t="str">
        <f>IFERROR(__xludf.DUMMYFUNCTION("""COMPUTED_VALUE"""),"ROSENEATH ")</f>
        <v>ROSENEATH </v>
      </c>
      <c r="D10966" s="3" t="str">
        <f>IFERROR(__xludf.DUMMYFUNCTION("""COMPUTED_VALUE"""),"K0K 2X0")</f>
        <v>K0K 2X0</v>
      </c>
      <c r="E10966" s="3"/>
      <c r="F10966" s="3"/>
      <c r="G10966" s="3"/>
      <c r="H10966" s="3"/>
    </row>
    <row r="10967">
      <c r="A10967" s="2">
        <f>IFERROR(__xludf.DUMMYFUNCTION("""COMPUTED_VALUE"""),51883.0)</f>
        <v>51883</v>
      </c>
      <c r="B10967" s="3" t="str">
        <f>IFERROR(__xludf.DUMMYFUNCTION("""COMPUTED_VALUE"""),"67 VIMY RIDGE RD")</f>
        <v>67 VIMY RIDGE RD</v>
      </c>
      <c r="C10967" s="3" t="str">
        <f>IFERROR(__xludf.DUMMYFUNCTION("""COMPUTED_VALUE"""),"ROSENEATH ")</f>
        <v>ROSENEATH </v>
      </c>
      <c r="D10967" s="3" t="str">
        <f>IFERROR(__xludf.DUMMYFUNCTION("""COMPUTED_VALUE"""),"K0K 2X0")</f>
        <v>K0K 2X0</v>
      </c>
      <c r="E10967" s="3"/>
      <c r="F10967" s="3"/>
      <c r="G10967" s="3"/>
      <c r="H10967" s="3"/>
    </row>
    <row r="10968">
      <c r="A10968" s="2">
        <f>IFERROR(__xludf.DUMMYFUNCTION("""COMPUTED_VALUE"""),51884.0)</f>
        <v>51884</v>
      </c>
      <c r="B10968" s="3" t="str">
        <f>IFERROR(__xludf.DUMMYFUNCTION("""COMPUTED_VALUE"""),"68 VIMY RIDGE RD")</f>
        <v>68 VIMY RIDGE RD</v>
      </c>
      <c r="C10968" s="3" t="str">
        <f>IFERROR(__xludf.DUMMYFUNCTION("""COMPUTED_VALUE"""),"ROSENEATH ")</f>
        <v>ROSENEATH </v>
      </c>
      <c r="D10968" s="3" t="str">
        <f>IFERROR(__xludf.DUMMYFUNCTION("""COMPUTED_VALUE"""),"K0K 2X0")</f>
        <v>K0K 2X0</v>
      </c>
      <c r="E10968" s="3"/>
      <c r="F10968" s="3"/>
      <c r="G10968" s="3"/>
      <c r="H10968" s="3"/>
    </row>
    <row r="10969">
      <c r="A10969" s="2">
        <f>IFERROR(__xludf.DUMMYFUNCTION("""COMPUTED_VALUE"""),51885.0)</f>
        <v>51885</v>
      </c>
      <c r="B10969" s="3" t="str">
        <f>IFERROR(__xludf.DUMMYFUNCTION("""COMPUTED_VALUE"""),"72 VIMY RIDGE RD")</f>
        <v>72 VIMY RIDGE RD</v>
      </c>
      <c r="C10969" s="3" t="str">
        <f>IFERROR(__xludf.DUMMYFUNCTION("""COMPUTED_VALUE"""),"ROSENEATH ")</f>
        <v>ROSENEATH </v>
      </c>
      <c r="D10969" s="3" t="str">
        <f>IFERROR(__xludf.DUMMYFUNCTION("""COMPUTED_VALUE"""),"K0K 2X0")</f>
        <v>K0K 2X0</v>
      </c>
      <c r="E10969" s="3"/>
      <c r="F10969" s="3"/>
      <c r="G10969" s="3"/>
      <c r="H10969" s="3"/>
    </row>
    <row r="10970">
      <c r="A10970" s="2">
        <f>IFERROR(__xludf.DUMMYFUNCTION("""COMPUTED_VALUE"""),51886.0)</f>
        <v>51886</v>
      </c>
      <c r="B10970" s="3" t="str">
        <f>IFERROR(__xludf.DUMMYFUNCTION("""COMPUTED_VALUE"""),"73 VIMY RIDGE RD")</f>
        <v>73 VIMY RIDGE RD</v>
      </c>
      <c r="C10970" s="3" t="str">
        <f>IFERROR(__xludf.DUMMYFUNCTION("""COMPUTED_VALUE"""),"ROSENEATH ")</f>
        <v>ROSENEATH </v>
      </c>
      <c r="D10970" s="3" t="str">
        <f>IFERROR(__xludf.DUMMYFUNCTION("""COMPUTED_VALUE"""),"K0K 2X0")</f>
        <v>K0K 2X0</v>
      </c>
      <c r="E10970" s="3"/>
      <c r="F10970" s="3"/>
      <c r="G10970" s="3"/>
      <c r="H10970" s="3"/>
    </row>
    <row r="10971">
      <c r="A10971" s="2">
        <f>IFERROR(__xludf.DUMMYFUNCTION("""COMPUTED_VALUE"""),51887.0)</f>
        <v>51887</v>
      </c>
      <c r="B10971" s="3" t="str">
        <f>IFERROR(__xludf.DUMMYFUNCTION("""COMPUTED_VALUE"""),"79 VIMY RIDGE RD")</f>
        <v>79 VIMY RIDGE RD</v>
      </c>
      <c r="C10971" s="3" t="str">
        <f>IFERROR(__xludf.DUMMYFUNCTION("""COMPUTED_VALUE"""),"ROSENEATH ")</f>
        <v>ROSENEATH </v>
      </c>
      <c r="D10971" s="3" t="str">
        <f>IFERROR(__xludf.DUMMYFUNCTION("""COMPUTED_VALUE"""),"K0K 2X0")</f>
        <v>K0K 2X0</v>
      </c>
      <c r="E10971" s="3"/>
      <c r="F10971" s="3"/>
      <c r="G10971" s="3"/>
      <c r="H10971" s="3"/>
    </row>
    <row r="10972">
      <c r="A10972" s="2">
        <f>IFERROR(__xludf.DUMMYFUNCTION("""COMPUTED_VALUE"""),51888.0)</f>
        <v>51888</v>
      </c>
      <c r="B10972" s="3" t="str">
        <f>IFERROR(__xludf.DUMMYFUNCTION("""COMPUTED_VALUE"""),"80 VIMY RIDGE RD")</f>
        <v>80 VIMY RIDGE RD</v>
      </c>
      <c r="C10972" s="3" t="str">
        <f>IFERROR(__xludf.DUMMYFUNCTION("""COMPUTED_VALUE"""),"ROSENEATH ")</f>
        <v>ROSENEATH </v>
      </c>
      <c r="D10972" s="3" t="str">
        <f>IFERROR(__xludf.DUMMYFUNCTION("""COMPUTED_VALUE"""),"K0K 2X0")</f>
        <v>K0K 2X0</v>
      </c>
      <c r="E10972" s="3"/>
      <c r="F10972" s="3"/>
      <c r="G10972" s="3"/>
      <c r="H10972" s="3"/>
    </row>
    <row r="10973">
      <c r="A10973" s="2">
        <f>IFERROR(__xludf.DUMMYFUNCTION("""COMPUTED_VALUE"""),51889.0)</f>
        <v>51889</v>
      </c>
      <c r="B10973" s="3" t="str">
        <f>IFERROR(__xludf.DUMMYFUNCTION("""COMPUTED_VALUE"""),"86 VIMY RIDGE RD")</f>
        <v>86 VIMY RIDGE RD</v>
      </c>
      <c r="C10973" s="3" t="str">
        <f>IFERROR(__xludf.DUMMYFUNCTION("""COMPUTED_VALUE"""),"ROSENEATH ")</f>
        <v>ROSENEATH </v>
      </c>
      <c r="D10973" s="3" t="str">
        <f>IFERROR(__xludf.DUMMYFUNCTION("""COMPUTED_VALUE"""),"K0K 2X0")</f>
        <v>K0K 2X0</v>
      </c>
      <c r="E10973" s="3"/>
      <c r="F10973" s="3"/>
      <c r="G10973" s="3"/>
      <c r="H10973" s="3"/>
    </row>
    <row r="10974">
      <c r="A10974" s="2">
        <f>IFERROR(__xludf.DUMMYFUNCTION("""COMPUTED_VALUE"""),51890.0)</f>
        <v>51890</v>
      </c>
      <c r="B10974" s="3" t="str">
        <f>IFERROR(__xludf.DUMMYFUNCTION("""COMPUTED_VALUE"""),"87 VIMY RIDGE RD")</f>
        <v>87 VIMY RIDGE RD</v>
      </c>
      <c r="C10974" s="3" t="str">
        <f>IFERROR(__xludf.DUMMYFUNCTION("""COMPUTED_VALUE"""),"ROSENEATH ")</f>
        <v>ROSENEATH </v>
      </c>
      <c r="D10974" s="3" t="str">
        <f>IFERROR(__xludf.DUMMYFUNCTION("""COMPUTED_VALUE"""),"K0K 2X0")</f>
        <v>K0K 2X0</v>
      </c>
      <c r="E10974" s="3"/>
      <c r="F10974" s="3"/>
      <c r="G10974" s="3"/>
      <c r="H10974" s="3"/>
    </row>
    <row r="10975">
      <c r="A10975" s="2">
        <f>IFERROR(__xludf.DUMMYFUNCTION("""COMPUTED_VALUE"""),51891.0)</f>
        <v>51891</v>
      </c>
      <c r="B10975" s="3" t="str">
        <f>IFERROR(__xludf.DUMMYFUNCTION("""COMPUTED_VALUE"""),"91 VIMY RIDGE RD")</f>
        <v>91 VIMY RIDGE RD</v>
      </c>
      <c r="C10975" s="3" t="str">
        <f>IFERROR(__xludf.DUMMYFUNCTION("""COMPUTED_VALUE"""),"ROSENEATH ")</f>
        <v>ROSENEATH </v>
      </c>
      <c r="D10975" s="3" t="str">
        <f>IFERROR(__xludf.DUMMYFUNCTION("""COMPUTED_VALUE"""),"K0K 2X0")</f>
        <v>K0K 2X0</v>
      </c>
      <c r="E10975" s="3" t="str">
        <f>IFERROR(__xludf.DUMMYFUNCTION("""COMPUTED_VALUE"""),"Dawn Kelly")</f>
        <v>Dawn Kelly</v>
      </c>
      <c r="F10975" s="3" t="str">
        <f>IFERROR(__xludf.DUMMYFUNCTION("""COMPUTED_VALUE"""),"dmkelly2@msn.com")</f>
        <v>dmkelly2@msn.com</v>
      </c>
      <c r="G10975" s="3">
        <f>IFERROR(__xludf.DUMMYFUNCTION("""COMPUTED_VALUE"""),2.895291051E9)</f>
        <v>2895291051</v>
      </c>
      <c r="H10975" s="3">
        <f>IFERROR(__xludf.DUMMYFUNCTION("""COMPUTED_VALUE"""),9.053523766E9)</f>
        <v>9053523766</v>
      </c>
    </row>
    <row r="10976">
      <c r="A10976" s="2">
        <f>IFERROR(__xludf.DUMMYFUNCTION("""COMPUTED_VALUE"""),51892.0)</f>
        <v>51892</v>
      </c>
      <c r="B10976" s="3" t="str">
        <f>IFERROR(__xludf.DUMMYFUNCTION("""COMPUTED_VALUE"""),"92 VIMY RIDGE RD")</f>
        <v>92 VIMY RIDGE RD</v>
      </c>
      <c r="C10976" s="3" t="str">
        <f>IFERROR(__xludf.DUMMYFUNCTION("""COMPUTED_VALUE"""),"ROSENEATH ")</f>
        <v>ROSENEATH </v>
      </c>
      <c r="D10976" s="3" t="str">
        <f>IFERROR(__xludf.DUMMYFUNCTION("""COMPUTED_VALUE"""),"K0K 2X0")</f>
        <v>K0K 2X0</v>
      </c>
      <c r="E10976" s="3"/>
      <c r="F10976" s="3"/>
      <c r="G10976" s="3"/>
      <c r="H10976" s="3"/>
    </row>
    <row r="10977">
      <c r="A10977" s="2">
        <f>IFERROR(__xludf.DUMMYFUNCTION("""COMPUTED_VALUE"""),51893.0)</f>
        <v>51893</v>
      </c>
      <c r="B10977" s="3" t="str">
        <f>IFERROR(__xludf.DUMMYFUNCTION("""COMPUTED_VALUE"""),"97 VIMY RIDGE RD")</f>
        <v>97 VIMY RIDGE RD</v>
      </c>
      <c r="C10977" s="3" t="str">
        <f>IFERROR(__xludf.DUMMYFUNCTION("""COMPUTED_VALUE"""),"ROSENEATH ")</f>
        <v>ROSENEATH </v>
      </c>
      <c r="D10977" s="3" t="str">
        <f>IFERROR(__xludf.DUMMYFUNCTION("""COMPUTED_VALUE"""),"K0K 2X0")</f>
        <v>K0K 2X0</v>
      </c>
      <c r="E10977" s="3"/>
      <c r="F10977" s="3"/>
      <c r="G10977" s="3"/>
      <c r="H10977" s="3"/>
    </row>
    <row r="10978">
      <c r="A10978" s="2">
        <f>IFERROR(__xludf.DUMMYFUNCTION("""COMPUTED_VALUE"""),51894.0)</f>
        <v>51894</v>
      </c>
      <c r="B10978" s="3" t="str">
        <f>IFERROR(__xludf.DUMMYFUNCTION("""COMPUTED_VALUE"""),"98 VIMY RIDGE RD")</f>
        <v>98 VIMY RIDGE RD</v>
      </c>
      <c r="C10978" s="3" t="str">
        <f>IFERROR(__xludf.DUMMYFUNCTION("""COMPUTED_VALUE"""),"ROSENEATH ")</f>
        <v>ROSENEATH </v>
      </c>
      <c r="D10978" s="3" t="str">
        <f>IFERROR(__xludf.DUMMYFUNCTION("""COMPUTED_VALUE"""),"K0K 2X0")</f>
        <v>K0K 2X0</v>
      </c>
      <c r="E10978" s="3"/>
      <c r="F10978" s="3"/>
      <c r="G10978" s="3"/>
      <c r="H10978" s="3"/>
    </row>
    <row r="10979">
      <c r="A10979" s="2">
        <f>IFERROR(__xludf.DUMMYFUNCTION("""COMPUTED_VALUE"""),51895.0)</f>
        <v>51895</v>
      </c>
      <c r="B10979" s="3" t="str">
        <f>IFERROR(__xludf.DUMMYFUNCTION("""COMPUTED_VALUE"""),"102 VIMY RIDGE RD")</f>
        <v>102 VIMY RIDGE RD</v>
      </c>
      <c r="C10979" s="3" t="str">
        <f>IFERROR(__xludf.DUMMYFUNCTION("""COMPUTED_VALUE"""),"ROSENEATH ")</f>
        <v>ROSENEATH </v>
      </c>
      <c r="D10979" s="3" t="str">
        <f>IFERROR(__xludf.DUMMYFUNCTION("""COMPUTED_VALUE"""),"K0K 2X0")</f>
        <v>K0K 2X0</v>
      </c>
      <c r="E10979" s="3"/>
      <c r="F10979" s="3"/>
      <c r="G10979" s="3"/>
      <c r="H10979" s="3"/>
    </row>
    <row r="10980">
      <c r="A10980" s="2">
        <f>IFERROR(__xludf.DUMMYFUNCTION("""COMPUTED_VALUE"""),51896.0)</f>
        <v>51896</v>
      </c>
      <c r="B10980" s="3" t="str">
        <f>IFERROR(__xludf.DUMMYFUNCTION("""COMPUTED_VALUE"""),"108 VIMY RIDGE RD")</f>
        <v>108 VIMY RIDGE RD</v>
      </c>
      <c r="C10980" s="3" t="str">
        <f>IFERROR(__xludf.DUMMYFUNCTION("""COMPUTED_VALUE"""),"ROSENEATH ")</f>
        <v>ROSENEATH </v>
      </c>
      <c r="D10980" s="3" t="str">
        <f>IFERROR(__xludf.DUMMYFUNCTION("""COMPUTED_VALUE"""),"K0K 2X0")</f>
        <v>K0K 2X0</v>
      </c>
      <c r="E10980" s="3"/>
      <c r="F10980" s="3"/>
      <c r="G10980" s="3"/>
      <c r="H10980" s="3"/>
    </row>
    <row r="10981">
      <c r="A10981" s="2">
        <f>IFERROR(__xludf.DUMMYFUNCTION("""COMPUTED_VALUE"""),51897.0)</f>
        <v>51897</v>
      </c>
      <c r="B10981" s="3" t="str">
        <f>IFERROR(__xludf.DUMMYFUNCTION("""COMPUTED_VALUE"""),"114 VIMY RIDGE RD")</f>
        <v>114 VIMY RIDGE RD</v>
      </c>
      <c r="C10981" s="3" t="str">
        <f>IFERROR(__xludf.DUMMYFUNCTION("""COMPUTED_VALUE"""),"ROSENEATH ")</f>
        <v>ROSENEATH </v>
      </c>
      <c r="D10981" s="3" t="str">
        <f>IFERROR(__xludf.DUMMYFUNCTION("""COMPUTED_VALUE"""),"K0K 2X0")</f>
        <v>K0K 2X0</v>
      </c>
      <c r="E10981" s="3"/>
      <c r="F10981" s="3"/>
      <c r="G10981" s="3"/>
      <c r="H10981" s="3"/>
    </row>
    <row r="10982">
      <c r="A10982" s="2">
        <f>IFERROR(__xludf.DUMMYFUNCTION("""COMPUTED_VALUE"""),51898.0)</f>
        <v>51898</v>
      </c>
      <c r="B10982" s="3" t="str">
        <f>IFERROR(__xludf.DUMMYFUNCTION("""COMPUTED_VALUE"""),"122 VIMY RIDGE RD")</f>
        <v>122 VIMY RIDGE RD</v>
      </c>
      <c r="C10982" s="3" t="str">
        <f>IFERROR(__xludf.DUMMYFUNCTION("""COMPUTED_VALUE"""),"ROSENEATH ")</f>
        <v>ROSENEATH </v>
      </c>
      <c r="D10982" s="3" t="str">
        <f>IFERROR(__xludf.DUMMYFUNCTION("""COMPUTED_VALUE"""),"K0K 2X0")</f>
        <v>K0K 2X0</v>
      </c>
      <c r="E10982" s="3" t="str">
        <f>IFERROR(__xludf.DUMMYFUNCTION("""COMPUTED_VALUE"""),"George Loukes / Catherine Loukes")</f>
        <v>George Loukes / Catherine Loukes</v>
      </c>
      <c r="F10982" s="3" t="str">
        <f>IFERROR(__xludf.DUMMYFUNCTION("""COMPUTED_VALUE"""),"georgel1959@gmail.com")</f>
        <v>georgel1959@gmail.com</v>
      </c>
      <c r="G10982" s="3"/>
      <c r="H10982" s="3"/>
    </row>
    <row r="10983">
      <c r="A10983" s="2">
        <f>IFERROR(__xludf.DUMMYFUNCTION("""COMPUTED_VALUE"""),51899.0)</f>
        <v>51899</v>
      </c>
      <c r="B10983" s="3" t="str">
        <f>IFERROR(__xludf.DUMMYFUNCTION("""COMPUTED_VALUE"""),"125 VIMY RIDGE RD")</f>
        <v>125 VIMY RIDGE RD</v>
      </c>
      <c r="C10983" s="3" t="str">
        <f>IFERROR(__xludf.DUMMYFUNCTION("""COMPUTED_VALUE"""),"ROSENEATH ")</f>
        <v>ROSENEATH </v>
      </c>
      <c r="D10983" s="3" t="str">
        <f>IFERROR(__xludf.DUMMYFUNCTION("""COMPUTED_VALUE"""),"K0K 2X0")</f>
        <v>K0K 2X0</v>
      </c>
      <c r="E10983" s="3"/>
      <c r="F10983" s="3"/>
      <c r="G10983" s="3"/>
      <c r="H10983" s="3"/>
    </row>
    <row r="10984">
      <c r="A10984" s="2">
        <f>IFERROR(__xludf.DUMMYFUNCTION("""COMPUTED_VALUE"""),51900.0)</f>
        <v>51900</v>
      </c>
      <c r="B10984" s="3" t="str">
        <f>IFERROR(__xludf.DUMMYFUNCTION("""COMPUTED_VALUE"""),"131 VIMY RIDGE RD")</f>
        <v>131 VIMY RIDGE RD</v>
      </c>
      <c r="C10984" s="3" t="str">
        <f>IFERROR(__xludf.DUMMYFUNCTION("""COMPUTED_VALUE"""),"ROSENEATH ")</f>
        <v>ROSENEATH </v>
      </c>
      <c r="D10984" s="3" t="str">
        <f>IFERROR(__xludf.DUMMYFUNCTION("""COMPUTED_VALUE"""),"K0K 2X0")</f>
        <v>K0K 2X0</v>
      </c>
      <c r="E10984" s="3"/>
      <c r="F10984" s="3"/>
      <c r="G10984" s="3"/>
      <c r="H10984" s="3"/>
    </row>
    <row r="10985">
      <c r="A10985" s="2">
        <f>IFERROR(__xludf.DUMMYFUNCTION("""COMPUTED_VALUE"""),51901.0)</f>
        <v>51901</v>
      </c>
      <c r="B10985" s="3" t="str">
        <f>IFERROR(__xludf.DUMMYFUNCTION("""COMPUTED_VALUE"""),"150A VIMY RIDGE RD")</f>
        <v>150A VIMY RIDGE RD</v>
      </c>
      <c r="C10985" s="3" t="str">
        <f>IFERROR(__xludf.DUMMYFUNCTION("""COMPUTED_VALUE"""),"ROSENEATH ")</f>
        <v>ROSENEATH </v>
      </c>
      <c r="D10985" s="3" t="str">
        <f>IFERROR(__xludf.DUMMYFUNCTION("""COMPUTED_VALUE"""),"K0K 2X0")</f>
        <v>K0K 2X0</v>
      </c>
      <c r="E10985" s="3"/>
      <c r="F10985" s="3"/>
      <c r="G10985" s="3"/>
      <c r="H10985" s="3"/>
    </row>
    <row r="10986">
      <c r="A10986" s="2">
        <f>IFERROR(__xludf.DUMMYFUNCTION("""COMPUTED_VALUE"""),51902.0)</f>
        <v>51902</v>
      </c>
      <c r="B10986" s="3" t="str">
        <f>IFERROR(__xludf.DUMMYFUNCTION("""COMPUTED_VALUE"""),"150B VIMY RIDGE RD")</f>
        <v>150B VIMY RIDGE RD</v>
      </c>
      <c r="C10986" s="3" t="str">
        <f>IFERROR(__xludf.DUMMYFUNCTION("""COMPUTED_VALUE"""),"ROSENEATH ")</f>
        <v>ROSENEATH </v>
      </c>
      <c r="D10986" s="3" t="str">
        <f>IFERROR(__xludf.DUMMYFUNCTION("""COMPUTED_VALUE"""),"K0K 2X0")</f>
        <v>K0K 2X0</v>
      </c>
      <c r="E10986" s="3" t="str">
        <f>IFERROR(__xludf.DUMMYFUNCTION("""COMPUTED_VALUE"""),"Robin Marsden")</f>
        <v>Robin Marsden</v>
      </c>
      <c r="F10986" s="3" t="str">
        <f>IFERROR(__xludf.DUMMYFUNCTION("""COMPUTED_VALUE"""),"robinmarsden27@hotmail.com")</f>
        <v>robinmarsden27@hotmail.com</v>
      </c>
      <c r="G10986" s="3">
        <f>IFERROR(__xludf.DUMMYFUNCTION("""COMPUTED_VALUE"""),2.892511227E9)</f>
        <v>2892511227</v>
      </c>
      <c r="H10986" s="3"/>
    </row>
    <row r="10987">
      <c r="A10987" s="2">
        <f>IFERROR(__xludf.DUMMYFUNCTION("""COMPUTED_VALUE"""),51903.0)</f>
        <v>51903</v>
      </c>
      <c r="B10987" s="3" t="str">
        <f>IFERROR(__xludf.DUMMYFUNCTION("""COMPUTED_VALUE"""),"150C VIMY RIDGE RD")</f>
        <v>150C VIMY RIDGE RD</v>
      </c>
      <c r="C10987" s="3" t="str">
        <f>IFERROR(__xludf.DUMMYFUNCTION("""COMPUTED_VALUE"""),"ROSENEATH ")</f>
        <v>ROSENEATH </v>
      </c>
      <c r="D10987" s="3" t="str">
        <f>IFERROR(__xludf.DUMMYFUNCTION("""COMPUTED_VALUE"""),"K0K 2X0")</f>
        <v>K0K 2X0</v>
      </c>
      <c r="E10987" s="3"/>
      <c r="F10987" s="3"/>
      <c r="G10987" s="3"/>
      <c r="H10987" s="3"/>
    </row>
    <row r="10988">
      <c r="A10988" s="2">
        <f>IFERROR(__xludf.DUMMYFUNCTION("""COMPUTED_VALUE"""),51904.0)</f>
        <v>51904</v>
      </c>
      <c r="B10988" s="3" t="str">
        <f>IFERROR(__xludf.DUMMYFUNCTION("""COMPUTED_VALUE"""),"150D VIMY RIDGE RD")</f>
        <v>150D VIMY RIDGE RD</v>
      </c>
      <c r="C10988" s="3" t="str">
        <f>IFERROR(__xludf.DUMMYFUNCTION("""COMPUTED_VALUE"""),"ROSENEATH ")</f>
        <v>ROSENEATH </v>
      </c>
      <c r="D10988" s="3" t="str">
        <f>IFERROR(__xludf.DUMMYFUNCTION("""COMPUTED_VALUE"""),"K0K 2X0")</f>
        <v>K0K 2X0</v>
      </c>
      <c r="E10988" s="3" t="str">
        <f>IFERROR(__xludf.DUMMYFUNCTION("""COMPUTED_VALUE"""),"Penny Crowe")</f>
        <v>Penny Crowe</v>
      </c>
      <c r="F10988" s="3" t="str">
        <f>IFERROR(__xludf.DUMMYFUNCTION("""COMPUTED_VALUE"""),"crowepe@xplornet.ca")</f>
        <v>crowepe@xplornet.ca</v>
      </c>
      <c r="G10988" s="3">
        <f>IFERROR(__xludf.DUMMYFUNCTION("""COMPUTED_VALUE"""),9.053736453E9)</f>
        <v>9053736453</v>
      </c>
      <c r="H10988" s="3"/>
    </row>
    <row r="10989">
      <c r="A10989" s="2">
        <f>IFERROR(__xludf.DUMMYFUNCTION("""COMPUTED_VALUE"""),51905.0)</f>
        <v>51905</v>
      </c>
      <c r="B10989" s="3" t="str">
        <f>IFERROR(__xludf.DUMMYFUNCTION("""COMPUTED_VALUE"""),"TBD1 VIMY RIDGE RD")</f>
        <v>TBD1 VIMY RIDGE RD</v>
      </c>
      <c r="C10989" s="3" t="str">
        <f>IFERROR(__xludf.DUMMYFUNCTION("""COMPUTED_VALUE"""),"ROSENEATH ")</f>
        <v>ROSENEATH </v>
      </c>
      <c r="D10989" s="3" t="str">
        <f>IFERROR(__xludf.DUMMYFUNCTION("""COMPUTED_VALUE"""),"K0K 2X0")</f>
        <v>K0K 2X0</v>
      </c>
      <c r="E10989" s="3"/>
      <c r="F10989" s="3"/>
      <c r="G10989" s="3"/>
      <c r="H10989" s="3"/>
    </row>
    <row r="10990">
      <c r="A10990" s="2">
        <f>IFERROR(__xludf.DUMMYFUNCTION("""COMPUTED_VALUE"""),51906.0)</f>
        <v>51906</v>
      </c>
      <c r="B10990" s="3" t="str">
        <f>IFERROR(__xludf.DUMMYFUNCTION("""COMPUTED_VALUE"""),"TBD3 VIMY RIDGE RD")</f>
        <v>TBD3 VIMY RIDGE RD</v>
      </c>
      <c r="C10990" s="3" t="str">
        <f>IFERROR(__xludf.DUMMYFUNCTION("""COMPUTED_VALUE"""),"ROSENEATH ")</f>
        <v>ROSENEATH </v>
      </c>
      <c r="D10990" s="3" t="str">
        <f>IFERROR(__xludf.DUMMYFUNCTION("""COMPUTED_VALUE"""),"K0K 2X0")</f>
        <v>K0K 2X0</v>
      </c>
      <c r="E10990" s="3"/>
      <c r="F10990" s="3"/>
      <c r="G10990" s="3"/>
      <c r="H10990" s="3"/>
    </row>
    <row r="10991">
      <c r="A10991" s="2">
        <f>IFERROR(__xludf.DUMMYFUNCTION("""COMPUTED_VALUE"""),51984.0)</f>
        <v>51984</v>
      </c>
      <c r="B10991" s="3" t="str">
        <f>IFERROR(__xludf.DUMMYFUNCTION("""COMPUTED_VALUE"""),"14 VIMY RIDGE RD")</f>
        <v>14 VIMY RIDGE RD</v>
      </c>
      <c r="C10991" s="3"/>
      <c r="D10991" s="3"/>
      <c r="E10991" s="3"/>
      <c r="F10991" s="3"/>
      <c r="G10991" s="3"/>
      <c r="H10991" s="3"/>
    </row>
    <row r="10992">
      <c r="A10992" s="2">
        <f>IFERROR(__xludf.DUMMYFUNCTION("""COMPUTED_VALUE"""),51985.0)</f>
        <v>51985</v>
      </c>
      <c r="B10992" s="3" t="str">
        <f>IFERROR(__xludf.DUMMYFUNCTION("""COMPUTED_VALUE"""),"47 VIMY RIDGE RD")</f>
        <v>47 VIMY RIDGE RD</v>
      </c>
      <c r="C10992" s="3"/>
      <c r="D10992" s="3"/>
      <c r="E10992" s="3"/>
      <c r="F10992" s="3"/>
      <c r="G10992" s="3"/>
      <c r="H10992" s="3"/>
    </row>
    <row r="10993">
      <c r="A10993" s="2">
        <f>IFERROR(__xludf.DUMMYFUNCTION("""COMPUTED_VALUE"""),51986.0)</f>
        <v>51986</v>
      </c>
      <c r="B10993" s="3" t="str">
        <f>IFERROR(__xludf.DUMMYFUNCTION("""COMPUTED_VALUE"""),"76 VIMY RIDGE RD")</f>
        <v>76 VIMY RIDGE RD</v>
      </c>
      <c r="C10993" s="3"/>
      <c r="D10993" s="3"/>
      <c r="E10993" s="3"/>
      <c r="F10993" s="3"/>
      <c r="G10993" s="3"/>
      <c r="H10993" s="3"/>
    </row>
    <row r="10994">
      <c r="A10994" s="2">
        <f>IFERROR(__xludf.DUMMYFUNCTION("""COMPUTED_VALUE"""),51907.0)</f>
        <v>51907</v>
      </c>
      <c r="B10994" s="3" t="str">
        <f>IFERROR(__xludf.DUMMYFUNCTION("""COMPUTED_VALUE"""),"21 WABOOZ RD")</f>
        <v>21 WABOOZ RD</v>
      </c>
      <c r="C10994" s="3" t="str">
        <f>IFERROR(__xludf.DUMMYFUNCTION("""COMPUTED_VALUE"""),"ROSENEATH ")</f>
        <v>ROSENEATH </v>
      </c>
      <c r="D10994" s="3" t="str">
        <f>IFERROR(__xludf.DUMMYFUNCTION("""COMPUTED_VALUE"""),"K0K 2X0")</f>
        <v>K0K 2X0</v>
      </c>
      <c r="E10994" s="3"/>
      <c r="F10994" s="3"/>
      <c r="G10994" s="3"/>
      <c r="H10994" s="3"/>
    </row>
    <row r="10995">
      <c r="A10995" s="2">
        <f>IFERROR(__xludf.DUMMYFUNCTION("""COMPUTED_VALUE"""),51908.0)</f>
        <v>51908</v>
      </c>
      <c r="B10995" s="3" t="str">
        <f>IFERROR(__xludf.DUMMYFUNCTION("""COMPUTED_VALUE"""),"41 WABOOZ RD")</f>
        <v>41 WABOOZ RD</v>
      </c>
      <c r="C10995" s="3" t="str">
        <f>IFERROR(__xludf.DUMMYFUNCTION("""COMPUTED_VALUE"""),"ROSENEATH ")</f>
        <v>ROSENEATH </v>
      </c>
      <c r="D10995" s="3" t="str">
        <f>IFERROR(__xludf.DUMMYFUNCTION("""COMPUTED_VALUE"""),"K0K 2X0")</f>
        <v>K0K 2X0</v>
      </c>
      <c r="E10995" s="3"/>
      <c r="F10995" s="3"/>
      <c r="G10995" s="3"/>
      <c r="H10995" s="3"/>
    </row>
    <row r="10996">
      <c r="A10996" s="2">
        <f>IFERROR(__xludf.DUMMYFUNCTION("""COMPUTED_VALUE"""),51909.0)</f>
        <v>51909</v>
      </c>
      <c r="B10996" s="3" t="str">
        <f>IFERROR(__xludf.DUMMYFUNCTION("""COMPUTED_VALUE"""),"61 WABOOZ RD")</f>
        <v>61 WABOOZ RD</v>
      </c>
      <c r="C10996" s="3" t="str">
        <f>IFERROR(__xludf.DUMMYFUNCTION("""COMPUTED_VALUE"""),"ROSENEATH ")</f>
        <v>ROSENEATH </v>
      </c>
      <c r="D10996" s="3" t="str">
        <f>IFERROR(__xludf.DUMMYFUNCTION("""COMPUTED_VALUE"""),"K0K 2X0")</f>
        <v>K0K 2X0</v>
      </c>
      <c r="E10996" s="3"/>
      <c r="F10996" s="3"/>
      <c r="G10996" s="3"/>
      <c r="H10996" s="3"/>
    </row>
    <row r="10997">
      <c r="A10997" s="2">
        <f>IFERROR(__xludf.DUMMYFUNCTION("""COMPUTED_VALUE"""),51910.0)</f>
        <v>51910</v>
      </c>
      <c r="B10997" s="3" t="str">
        <f>IFERROR(__xludf.DUMMYFUNCTION("""COMPUTED_VALUE"""),"63 WABOOZ RD")</f>
        <v>63 WABOOZ RD</v>
      </c>
      <c r="C10997" s="3" t="str">
        <f>IFERROR(__xludf.DUMMYFUNCTION("""COMPUTED_VALUE"""),"ROSENEATH ")</f>
        <v>ROSENEATH </v>
      </c>
      <c r="D10997" s="3" t="str">
        <f>IFERROR(__xludf.DUMMYFUNCTION("""COMPUTED_VALUE"""),"K0K 2X0")</f>
        <v>K0K 2X0</v>
      </c>
      <c r="E10997" s="3"/>
      <c r="F10997" s="3"/>
      <c r="G10997" s="3"/>
      <c r="H10997" s="3"/>
    </row>
    <row r="10998">
      <c r="A10998" s="2">
        <f>IFERROR(__xludf.DUMMYFUNCTION("""COMPUTED_VALUE"""),51911.0)</f>
        <v>51911</v>
      </c>
      <c r="B10998" s="3" t="str">
        <f>IFERROR(__xludf.DUMMYFUNCTION("""COMPUTED_VALUE"""),"64 WAABOOZ RD")</f>
        <v>64 WAABOOZ RD</v>
      </c>
      <c r="C10998" s="3" t="str">
        <f>IFERROR(__xludf.DUMMYFUNCTION("""COMPUTED_VALUE"""),"ROSENEATH ")</f>
        <v>ROSENEATH </v>
      </c>
      <c r="D10998" s="3" t="str">
        <f>IFERROR(__xludf.DUMMYFUNCTION("""COMPUTED_VALUE"""),"K0K 2X0")</f>
        <v>K0K 2X0</v>
      </c>
      <c r="E10998" s="3"/>
      <c r="F10998" s="3"/>
      <c r="G10998" s="3"/>
      <c r="H10998" s="3"/>
    </row>
    <row r="10999">
      <c r="A10999" s="2">
        <f>IFERROR(__xludf.DUMMYFUNCTION("""COMPUTED_VALUE"""),51912.0)</f>
        <v>51912</v>
      </c>
      <c r="B10999" s="3" t="str">
        <f>IFERROR(__xludf.DUMMYFUNCTION("""COMPUTED_VALUE"""),"65 WAASEYAABAN DR")</f>
        <v>65 WAASEYAABAN DR</v>
      </c>
      <c r="C10999" s="3" t="str">
        <f>IFERROR(__xludf.DUMMYFUNCTION("""COMPUTED_VALUE"""),"ROSENEATH ")</f>
        <v>ROSENEATH </v>
      </c>
      <c r="D10999" s="3" t="str">
        <f>IFERROR(__xludf.DUMMYFUNCTION("""COMPUTED_VALUE"""),"K0K 2X0")</f>
        <v>K0K 2X0</v>
      </c>
      <c r="E10999" s="3"/>
      <c r="F10999" s="3"/>
      <c r="G10999" s="3"/>
      <c r="H10999" s="3"/>
    </row>
    <row r="11000">
      <c r="A11000" s="2">
        <f>IFERROR(__xludf.DUMMYFUNCTION("""COMPUTED_VALUE"""),51913.0)</f>
        <v>51913</v>
      </c>
      <c r="B11000" s="3" t="str">
        <f>IFERROR(__xludf.DUMMYFUNCTION("""COMPUTED_VALUE"""),"74 WAASEYAABAN DR")</f>
        <v>74 WAASEYAABAN DR</v>
      </c>
      <c r="C11000" s="3" t="str">
        <f>IFERROR(__xludf.DUMMYFUNCTION("""COMPUTED_VALUE"""),"ROSENEATH ")</f>
        <v>ROSENEATH </v>
      </c>
      <c r="D11000" s="3" t="str">
        <f>IFERROR(__xludf.DUMMYFUNCTION("""COMPUTED_VALUE"""),"K0K 2X0")</f>
        <v>K0K 2X0</v>
      </c>
      <c r="E11000" s="3"/>
      <c r="F11000" s="3"/>
      <c r="G11000" s="3"/>
      <c r="H11000" s="3"/>
    </row>
    <row r="11001">
      <c r="A11001" s="2">
        <f>IFERROR(__xludf.DUMMYFUNCTION("""COMPUTED_VALUE"""),51914.0)</f>
        <v>51914</v>
      </c>
      <c r="B11001" s="3" t="str">
        <f>IFERROR(__xludf.DUMMYFUNCTION("""COMPUTED_VALUE"""),"76 WAASEYAABAN DR")</f>
        <v>76 WAASEYAABAN DR</v>
      </c>
      <c r="C11001" s="3" t="str">
        <f>IFERROR(__xludf.DUMMYFUNCTION("""COMPUTED_VALUE"""),"ROSENEATH ")</f>
        <v>ROSENEATH </v>
      </c>
      <c r="D11001" s="3" t="str">
        <f>IFERROR(__xludf.DUMMYFUNCTION("""COMPUTED_VALUE"""),"K0K 2X0")</f>
        <v>K0K 2X0</v>
      </c>
      <c r="E11001" s="3"/>
      <c r="F11001" s="3"/>
      <c r="G11001" s="3"/>
      <c r="H11001" s="3"/>
    </row>
    <row r="11002">
      <c r="A11002" s="2">
        <f>IFERROR(__xludf.DUMMYFUNCTION("""COMPUTED_VALUE"""),51915.0)</f>
        <v>51915</v>
      </c>
      <c r="B11002" s="3" t="str">
        <f>IFERROR(__xludf.DUMMYFUNCTION("""COMPUTED_VALUE"""),"83 WAASEYAABAN DR")</f>
        <v>83 WAASEYAABAN DR</v>
      </c>
      <c r="C11002" s="3" t="str">
        <f>IFERROR(__xludf.DUMMYFUNCTION("""COMPUTED_VALUE"""),"ROSENEATH ")</f>
        <v>ROSENEATH </v>
      </c>
      <c r="D11002" s="3" t="str">
        <f>IFERROR(__xludf.DUMMYFUNCTION("""COMPUTED_VALUE"""),"K0K 2X0")</f>
        <v>K0K 2X0</v>
      </c>
      <c r="E11002" s="3"/>
      <c r="F11002" s="3"/>
      <c r="G11002" s="3"/>
      <c r="H11002" s="3"/>
    </row>
    <row r="11003">
      <c r="A11003" s="2">
        <f>IFERROR(__xludf.DUMMYFUNCTION("""COMPUTED_VALUE"""),51916.0)</f>
        <v>51916</v>
      </c>
      <c r="B11003" s="3" t="str">
        <f>IFERROR(__xludf.DUMMYFUNCTION("""COMPUTED_VALUE"""),"87 WAASEYAABAN DR")</f>
        <v>87 WAASEYAABAN DR</v>
      </c>
      <c r="C11003" s="3" t="str">
        <f>IFERROR(__xludf.DUMMYFUNCTION("""COMPUTED_VALUE"""),"ROSENEATH ")</f>
        <v>ROSENEATH </v>
      </c>
      <c r="D11003" s="3" t="str">
        <f>IFERROR(__xludf.DUMMYFUNCTION("""COMPUTED_VALUE"""),"K0K 2X0")</f>
        <v>K0K 2X0</v>
      </c>
      <c r="E11003" s="3"/>
      <c r="F11003" s="3"/>
      <c r="G11003" s="3"/>
      <c r="H11003" s="3"/>
    </row>
    <row r="11004">
      <c r="A11004" s="2">
        <f>IFERROR(__xludf.DUMMYFUNCTION("""COMPUTED_VALUE"""),51917.0)</f>
        <v>51917</v>
      </c>
      <c r="B11004" s="3" t="str">
        <f>IFERROR(__xludf.DUMMYFUNCTION("""COMPUTED_VALUE"""),"85A WAASEYAABAN DR")</f>
        <v>85A WAASEYAABAN DR</v>
      </c>
      <c r="C11004" s="3" t="str">
        <f>IFERROR(__xludf.DUMMYFUNCTION("""COMPUTED_VALUE"""),"ROSENEATH ")</f>
        <v>ROSENEATH </v>
      </c>
      <c r="D11004" s="3" t="str">
        <f>IFERROR(__xludf.DUMMYFUNCTION("""COMPUTED_VALUE"""),"K0K 2X0")</f>
        <v>K0K 2X0</v>
      </c>
      <c r="E11004" s="3"/>
      <c r="F11004" s="3"/>
      <c r="G11004" s="3"/>
      <c r="H11004" s="3"/>
    </row>
    <row r="11005">
      <c r="A11005" s="2">
        <f>IFERROR(__xludf.DUMMYFUNCTION("""COMPUTED_VALUE"""),51976.0)</f>
        <v>51976</v>
      </c>
      <c r="B11005" s="3" t="str">
        <f>IFERROR(__xludf.DUMMYFUNCTION("""COMPUTED_VALUE"""),"85B  WAASEYAABAN DR")</f>
        <v>85B  WAASEYAABAN DR</v>
      </c>
      <c r="C11005" s="3"/>
      <c r="D11005" s="3"/>
      <c r="E11005" s="3"/>
      <c r="F11005" s="3"/>
      <c r="G11005" s="3"/>
      <c r="H11005" s="3"/>
    </row>
    <row r="11006">
      <c r="A11006" s="2">
        <f>IFERROR(__xludf.DUMMYFUNCTION("""COMPUTED_VALUE"""),51977.0)</f>
        <v>51977</v>
      </c>
      <c r="B11006" s="3" t="str">
        <f>IFERROR(__xludf.DUMMYFUNCTION("""COMPUTED_VALUE"""),"85C  WAASEYAABAN DR")</f>
        <v>85C  WAASEYAABAN DR</v>
      </c>
      <c r="C11006" s="3"/>
      <c r="D11006" s="3"/>
      <c r="E11006" s="3"/>
      <c r="F11006" s="3"/>
      <c r="G11006" s="3"/>
      <c r="H11006" s="3"/>
    </row>
    <row r="11007">
      <c r="A11007" s="2">
        <f>IFERROR(__xludf.DUMMYFUNCTION("""COMPUTED_VALUE"""),51918.0)</f>
        <v>51918</v>
      </c>
      <c r="B11007" s="3" t="str">
        <f>IFERROR(__xludf.DUMMYFUNCTION("""COMPUTED_VALUE"""),"4 WAAWAASHKESH MIIKAANS RD")</f>
        <v>4 WAAWAASHKESH MIIKAANS RD</v>
      </c>
      <c r="C11007" s="3" t="str">
        <f>IFERROR(__xludf.DUMMYFUNCTION("""COMPUTED_VALUE"""),"ROSENEATH ")</f>
        <v>ROSENEATH </v>
      </c>
      <c r="D11007" s="3" t="str">
        <f>IFERROR(__xludf.DUMMYFUNCTION("""COMPUTED_VALUE"""),"K0K 2X0")</f>
        <v>K0K 2X0</v>
      </c>
      <c r="E11007" s="3"/>
      <c r="F11007" s="3"/>
      <c r="G11007" s="3"/>
      <c r="H11007" s="3"/>
    </row>
    <row r="11008">
      <c r="A11008" s="2">
        <f>IFERROR(__xludf.DUMMYFUNCTION("""COMPUTED_VALUE"""),51919.0)</f>
        <v>51919</v>
      </c>
      <c r="B11008" s="3" t="str">
        <f>IFERROR(__xludf.DUMMYFUNCTION("""COMPUTED_VALUE"""),"5 WAAWAASHKESH MIIKAANS RD")</f>
        <v>5 WAAWAASHKESH MIIKAANS RD</v>
      </c>
      <c r="C11008" s="3" t="str">
        <f>IFERROR(__xludf.DUMMYFUNCTION("""COMPUTED_VALUE"""),"ROSENEATH ")</f>
        <v>ROSENEATH </v>
      </c>
      <c r="D11008" s="3" t="str">
        <f>IFERROR(__xludf.DUMMYFUNCTION("""COMPUTED_VALUE"""),"K0K 2X0")</f>
        <v>K0K 2X0</v>
      </c>
      <c r="E11008" s="3"/>
      <c r="F11008" s="3"/>
      <c r="G11008" s="3"/>
      <c r="H11008" s="3"/>
    </row>
    <row r="11009">
      <c r="A11009" s="2">
        <f>IFERROR(__xludf.DUMMYFUNCTION("""COMPUTED_VALUE"""),51920.0)</f>
        <v>51920</v>
      </c>
      <c r="B11009" s="3" t="str">
        <f>IFERROR(__xludf.DUMMYFUNCTION("""COMPUTED_VALUE"""),"10 WAAWAASHKESH MIIKAANS RD")</f>
        <v>10 WAAWAASHKESH MIIKAANS RD</v>
      </c>
      <c r="C11009" s="3" t="str">
        <f>IFERROR(__xludf.DUMMYFUNCTION("""COMPUTED_VALUE"""),"ROSENEATH ")</f>
        <v>ROSENEATH </v>
      </c>
      <c r="D11009" s="3" t="str">
        <f>IFERROR(__xludf.DUMMYFUNCTION("""COMPUTED_VALUE"""),"K0K 2X0")</f>
        <v>K0K 2X0</v>
      </c>
      <c r="E11009" s="3"/>
      <c r="F11009" s="3"/>
      <c r="G11009" s="3"/>
      <c r="H11009" s="3"/>
    </row>
    <row r="11010">
      <c r="A11010" s="2">
        <f>IFERROR(__xludf.DUMMYFUNCTION("""COMPUTED_VALUE"""),51921.0)</f>
        <v>51921</v>
      </c>
      <c r="B11010" s="3" t="str">
        <f>IFERROR(__xludf.DUMMYFUNCTION("""COMPUTED_VALUE"""),"16 WAAWAASHKESH MIIKAANS RD")</f>
        <v>16 WAAWAASHKESH MIIKAANS RD</v>
      </c>
      <c r="C11010" s="3" t="str">
        <f>IFERROR(__xludf.DUMMYFUNCTION("""COMPUTED_VALUE"""),"ROSENEATH ")</f>
        <v>ROSENEATH </v>
      </c>
      <c r="D11010" s="3" t="str">
        <f>IFERROR(__xludf.DUMMYFUNCTION("""COMPUTED_VALUE"""),"K0K 2X0")</f>
        <v>K0K 2X0</v>
      </c>
      <c r="E11010" s="3"/>
      <c r="F11010" s="3"/>
      <c r="G11010" s="3"/>
      <c r="H11010" s="3"/>
    </row>
    <row r="11011">
      <c r="A11011" s="2">
        <f>IFERROR(__xludf.DUMMYFUNCTION("""COMPUTED_VALUE"""),51922.0)</f>
        <v>51922</v>
      </c>
      <c r="B11011" s="3" t="str">
        <f>IFERROR(__xludf.DUMMYFUNCTION("""COMPUTED_VALUE"""),"17 WAAWAASHKESH MIIKAANS RD")</f>
        <v>17 WAAWAASHKESH MIIKAANS RD</v>
      </c>
      <c r="C11011" s="3" t="str">
        <f>IFERROR(__xludf.DUMMYFUNCTION("""COMPUTED_VALUE"""),"ROSENEATH ")</f>
        <v>ROSENEATH </v>
      </c>
      <c r="D11011" s="3" t="str">
        <f>IFERROR(__xludf.DUMMYFUNCTION("""COMPUTED_VALUE"""),"K0K 2X0")</f>
        <v>K0K 2X0</v>
      </c>
      <c r="E11011" s="3" t="str">
        <f>IFERROR(__xludf.DUMMYFUNCTION("""COMPUTED_VALUE"""),"Tim Brown")</f>
        <v>Tim Brown</v>
      </c>
      <c r="F11011" s="3" t="str">
        <f>IFERROR(__xludf.DUMMYFUNCTION("""COMPUTED_VALUE"""),"timbrown59@hotmail.com")</f>
        <v>timbrown59@hotmail.com</v>
      </c>
      <c r="G11011" s="3">
        <f>IFERROR(__xludf.DUMMYFUNCTION("""COMPUTED_VALUE"""),9.053733537E9)</f>
        <v>9053733537</v>
      </c>
      <c r="H11011" s="3"/>
    </row>
    <row r="11012">
      <c r="A11012" s="2">
        <f>IFERROR(__xludf.DUMMYFUNCTION("""COMPUTED_VALUE"""),51923.0)</f>
        <v>51923</v>
      </c>
      <c r="B11012" s="3" t="str">
        <f>IFERROR(__xludf.DUMMYFUNCTION("""COMPUTED_VALUE"""),"22 WAAWAASHKESH MIIKAANS RD")</f>
        <v>22 WAAWAASHKESH MIIKAANS RD</v>
      </c>
      <c r="C11012" s="3" t="str">
        <f>IFERROR(__xludf.DUMMYFUNCTION("""COMPUTED_VALUE"""),"ROSENEATH ")</f>
        <v>ROSENEATH </v>
      </c>
      <c r="D11012" s="3" t="str">
        <f>IFERROR(__xludf.DUMMYFUNCTION("""COMPUTED_VALUE"""),"K0K 2X0")</f>
        <v>K0K 2X0</v>
      </c>
      <c r="E11012" s="3"/>
      <c r="F11012" s="3"/>
      <c r="G11012" s="3"/>
      <c r="H11012" s="3"/>
    </row>
    <row r="11013">
      <c r="A11013" s="2">
        <f>IFERROR(__xludf.DUMMYFUNCTION("""COMPUTED_VALUE"""),51924.0)</f>
        <v>51924</v>
      </c>
      <c r="B11013" s="3" t="str">
        <f>IFERROR(__xludf.DUMMYFUNCTION("""COMPUTED_VALUE"""),"23 WAAWAASHKESH MIIKAANS RD")</f>
        <v>23 WAAWAASHKESH MIIKAANS RD</v>
      </c>
      <c r="C11013" s="3" t="str">
        <f>IFERROR(__xludf.DUMMYFUNCTION("""COMPUTED_VALUE"""),"ROSENEATH ")</f>
        <v>ROSENEATH </v>
      </c>
      <c r="D11013" s="3" t="str">
        <f>IFERROR(__xludf.DUMMYFUNCTION("""COMPUTED_VALUE"""),"K0K 2X0")</f>
        <v>K0K 2X0</v>
      </c>
      <c r="E11013" s="3"/>
      <c r="F11013" s="3"/>
      <c r="G11013" s="3"/>
      <c r="H11013" s="3"/>
    </row>
    <row r="11014">
      <c r="A11014" s="2">
        <f>IFERROR(__xludf.DUMMYFUNCTION("""COMPUTED_VALUE"""),51925.0)</f>
        <v>51925</v>
      </c>
      <c r="B11014" s="3" t="str">
        <f>IFERROR(__xludf.DUMMYFUNCTION("""COMPUTED_VALUE"""),"28 WAAWAASHKESH MIIKAANS RD")</f>
        <v>28 WAAWAASHKESH MIIKAANS RD</v>
      </c>
      <c r="C11014" s="3" t="str">
        <f>IFERROR(__xludf.DUMMYFUNCTION("""COMPUTED_VALUE"""),"ROSENEATH ")</f>
        <v>ROSENEATH </v>
      </c>
      <c r="D11014" s="3" t="str">
        <f>IFERROR(__xludf.DUMMYFUNCTION("""COMPUTED_VALUE"""),"K0K 2X0")</f>
        <v>K0K 2X0</v>
      </c>
      <c r="E11014" s="3"/>
      <c r="F11014" s="3"/>
      <c r="G11014" s="3"/>
      <c r="H11014" s="3"/>
    </row>
    <row r="11015">
      <c r="A11015" s="2">
        <f>IFERROR(__xludf.DUMMYFUNCTION("""COMPUTED_VALUE"""),51926.0)</f>
        <v>51926</v>
      </c>
      <c r="B11015" s="3" t="str">
        <f>IFERROR(__xludf.DUMMYFUNCTION("""COMPUTED_VALUE"""),"64 WAAWAASHKESH MIIKAANS RD")</f>
        <v>64 WAAWAASHKESH MIIKAANS RD</v>
      </c>
      <c r="C11015" s="3" t="str">
        <f>IFERROR(__xludf.DUMMYFUNCTION("""COMPUTED_VALUE"""),"ROSENEATH ")</f>
        <v>ROSENEATH </v>
      </c>
      <c r="D11015" s="3" t="str">
        <f>IFERROR(__xludf.DUMMYFUNCTION("""COMPUTED_VALUE"""),"K0K 2X0")</f>
        <v>K0K 2X0</v>
      </c>
      <c r="E11015" s="3"/>
      <c r="F11015" s="3"/>
      <c r="G11015" s="3"/>
      <c r="H11015" s="3"/>
    </row>
    <row r="11016">
      <c r="A11016" s="2">
        <f>IFERROR(__xludf.DUMMYFUNCTION("""COMPUTED_VALUE"""),51927.0)</f>
        <v>51927</v>
      </c>
      <c r="B11016" s="3" t="str">
        <f>IFERROR(__xludf.DUMMYFUNCTION("""COMPUTED_VALUE"""),"47 WAAWAASHKESH MIIKAANS RD")</f>
        <v>47 WAAWAASHKESH MIIKAANS RD</v>
      </c>
      <c r="C11016" s="3" t="str">
        <f>IFERROR(__xludf.DUMMYFUNCTION("""COMPUTED_VALUE"""),"ROSENEATH ")</f>
        <v>ROSENEATH </v>
      </c>
      <c r="D11016" s="3" t="str">
        <f>IFERROR(__xludf.DUMMYFUNCTION("""COMPUTED_VALUE"""),"K0K 2X0")</f>
        <v>K0K 2X0</v>
      </c>
      <c r="E11016" s="3"/>
      <c r="F11016" s="3"/>
      <c r="G11016" s="3"/>
      <c r="H11016" s="3"/>
    </row>
    <row r="11017">
      <c r="A11017" s="2">
        <f>IFERROR(__xludf.DUMMYFUNCTION("""COMPUTED_VALUE"""),51928.0)</f>
        <v>51928</v>
      </c>
      <c r="B11017" s="3" t="str">
        <f>IFERROR(__xludf.DUMMYFUNCTION("""COMPUTED_VALUE"""),"53 WAAWAASHKESH MIIKAANS RD")</f>
        <v>53 WAAWAASHKESH MIIKAANS RD</v>
      </c>
      <c r="C11017" s="3" t="str">
        <f>IFERROR(__xludf.DUMMYFUNCTION("""COMPUTED_VALUE"""),"ROSENEATH ")</f>
        <v>ROSENEATH </v>
      </c>
      <c r="D11017" s="3" t="str">
        <f>IFERROR(__xludf.DUMMYFUNCTION("""COMPUTED_VALUE"""),"K0K 2X0")</f>
        <v>K0K 2X0</v>
      </c>
      <c r="E11017" s="3"/>
      <c r="F11017" s="3"/>
      <c r="G11017" s="3"/>
      <c r="H11017" s="3"/>
    </row>
    <row r="11018">
      <c r="A11018" s="2">
        <f>IFERROR(__xludf.DUMMYFUNCTION("""COMPUTED_VALUE"""),51929.0)</f>
        <v>51929</v>
      </c>
      <c r="B11018" s="3" t="str">
        <f>IFERROR(__xludf.DUMMYFUNCTION("""COMPUTED_VALUE"""),"100 WALDIE LANE")</f>
        <v>100 WALDIE LANE</v>
      </c>
      <c r="C11018" s="3" t="str">
        <f>IFERROR(__xludf.DUMMYFUNCTION("""COMPUTED_VALUE"""),"ROSENEATH ")</f>
        <v>ROSENEATH </v>
      </c>
      <c r="D11018" s="3" t="str">
        <f>IFERROR(__xludf.DUMMYFUNCTION("""COMPUTED_VALUE"""),"K0K 2X0")</f>
        <v>K0K 2X0</v>
      </c>
      <c r="E11018" s="3"/>
      <c r="F11018" s="3"/>
      <c r="G11018" s="3"/>
      <c r="H11018" s="3"/>
    </row>
    <row r="11019">
      <c r="A11019" s="2">
        <f>IFERROR(__xludf.DUMMYFUNCTION("""COMPUTED_VALUE"""),51930.0)</f>
        <v>51930</v>
      </c>
      <c r="B11019" s="3" t="str">
        <f>IFERROR(__xludf.DUMMYFUNCTION("""COMPUTED_VALUE"""),"107 WALDIE LANE")</f>
        <v>107 WALDIE LANE</v>
      </c>
      <c r="C11019" s="3" t="str">
        <f>IFERROR(__xludf.DUMMYFUNCTION("""COMPUTED_VALUE"""),"ROSENEATH ")</f>
        <v>ROSENEATH </v>
      </c>
      <c r="D11019" s="3" t="str">
        <f>IFERROR(__xludf.DUMMYFUNCTION("""COMPUTED_VALUE"""),"K0K 2X0")</f>
        <v>K0K 2X0</v>
      </c>
      <c r="E11019" s="3" t="str">
        <f>IFERROR(__xludf.DUMMYFUNCTION("""COMPUTED_VALUE"""),"Zachary Slade")</f>
        <v>Zachary Slade</v>
      </c>
      <c r="F11019" s="3" t="str">
        <f>IFERROR(__xludf.DUMMYFUNCTION("""COMPUTED_VALUE"""),"sladzach77@gmail.com")</f>
        <v>sladzach77@gmail.com</v>
      </c>
      <c r="G11019" s="3">
        <f>IFERROR(__xludf.DUMMYFUNCTION("""COMPUTED_VALUE"""),2.892517611E9)</f>
        <v>2892517611</v>
      </c>
      <c r="H11019" s="3">
        <f>IFERROR(__xludf.DUMMYFUNCTION("""COMPUTED_VALUE"""),9.058854911E9)</f>
        <v>9058854911</v>
      </c>
    </row>
    <row r="11020">
      <c r="A11020" s="2">
        <f>IFERROR(__xludf.DUMMYFUNCTION("""COMPUTED_VALUE"""),51933.0)</f>
        <v>51933</v>
      </c>
      <c r="B11020" s="3" t="str">
        <f>IFERROR(__xludf.DUMMYFUNCTION("""COMPUTED_VALUE"""),"197 WEBB RD")</f>
        <v>197 WEBB RD</v>
      </c>
      <c r="C11020" s="3" t="str">
        <f>IFERROR(__xludf.DUMMYFUNCTION("""COMPUTED_VALUE"""),"ROSENEATH ")</f>
        <v>ROSENEATH </v>
      </c>
      <c r="D11020" s="3" t="str">
        <f>IFERROR(__xludf.DUMMYFUNCTION("""COMPUTED_VALUE"""),"K0K 2X0")</f>
        <v>K0K 2X0</v>
      </c>
      <c r="E11020" s="3"/>
      <c r="F11020" s="3"/>
      <c r="G11020" s="3"/>
      <c r="H11020" s="3"/>
    </row>
    <row r="11021">
      <c r="A11021" s="2">
        <f>IFERROR(__xludf.DUMMYFUNCTION("""COMPUTED_VALUE"""),51934.0)</f>
        <v>51934</v>
      </c>
      <c r="B11021" s="3" t="str">
        <f>IFERROR(__xludf.DUMMYFUNCTION("""COMPUTED_VALUE"""),"265 WEBB RD")</f>
        <v>265 WEBB RD</v>
      </c>
      <c r="C11021" s="3" t="str">
        <f>IFERROR(__xludf.DUMMYFUNCTION("""COMPUTED_VALUE"""),"ROSENEATH ")</f>
        <v>ROSENEATH </v>
      </c>
      <c r="D11021" s="3" t="str">
        <f>IFERROR(__xludf.DUMMYFUNCTION("""COMPUTED_VALUE"""),"K0K 2X0")</f>
        <v>K0K 2X0</v>
      </c>
      <c r="E11021" s="3" t="str">
        <f>IFERROR(__xludf.DUMMYFUNCTION("""COMPUTED_VALUE"""),"Larry Debbie Adams")</f>
        <v>Larry Debbie Adams</v>
      </c>
      <c r="F11021" s="3" t="str">
        <f>IFERROR(__xludf.DUMMYFUNCTION("""COMPUTED_VALUE"""),"adams.debbie32@yahoo.com")</f>
        <v>adams.debbie32@yahoo.com</v>
      </c>
      <c r="G11021" s="3"/>
      <c r="H11021" s="3"/>
    </row>
    <row r="11022">
      <c r="A11022" s="2">
        <f>IFERROR(__xludf.DUMMYFUNCTION("""COMPUTED_VALUE"""),51935.0)</f>
        <v>51935</v>
      </c>
      <c r="B11022" s="3" t="str">
        <f>IFERROR(__xludf.DUMMYFUNCTION("""COMPUTED_VALUE"""),"281 WEBB RD")</f>
        <v>281 WEBB RD</v>
      </c>
      <c r="C11022" s="3" t="str">
        <f>IFERROR(__xludf.DUMMYFUNCTION("""COMPUTED_VALUE"""),"ROSENEATH ")</f>
        <v>ROSENEATH </v>
      </c>
      <c r="D11022" s="3" t="str">
        <f>IFERROR(__xludf.DUMMYFUNCTION("""COMPUTED_VALUE"""),"K0K 2X0")</f>
        <v>K0K 2X0</v>
      </c>
      <c r="E11022" s="3" t="str">
        <f>IFERROR(__xludf.DUMMYFUNCTION("""COMPUTED_VALUE"""),"BARBARA CONNAUGHTON")</f>
        <v>BARBARA CONNAUGHTON</v>
      </c>
      <c r="F11022" s="3" t="str">
        <f>IFERROR(__xludf.DUMMYFUNCTION("""COMPUTED_VALUE"""),"barbconnaughton@gmail.com")</f>
        <v>barbconnaughton@gmail.com</v>
      </c>
      <c r="G11022" s="3"/>
      <c r="H11022" s="3"/>
    </row>
    <row r="11023">
      <c r="A11023" s="2">
        <f>IFERROR(__xludf.DUMMYFUNCTION("""COMPUTED_VALUE"""),51936.0)</f>
        <v>51936</v>
      </c>
      <c r="B11023" s="3" t="str">
        <f>IFERROR(__xludf.DUMMYFUNCTION("""COMPUTED_VALUE"""),"6 WEST CRT")</f>
        <v>6 WEST CRT</v>
      </c>
      <c r="C11023" s="3" t="str">
        <f>IFERROR(__xludf.DUMMYFUNCTION("""COMPUTED_VALUE"""),"ROSENEATH ")</f>
        <v>ROSENEATH </v>
      </c>
      <c r="D11023" s="3" t="str">
        <f>IFERROR(__xludf.DUMMYFUNCTION("""COMPUTED_VALUE"""),"K0K 2X0")</f>
        <v>K0K 2X0</v>
      </c>
      <c r="E11023" s="3"/>
      <c r="F11023" s="3"/>
      <c r="G11023" s="3"/>
      <c r="H11023" s="3"/>
    </row>
    <row r="11024">
      <c r="A11024" s="2">
        <f>IFERROR(__xludf.DUMMYFUNCTION("""COMPUTED_VALUE"""),51937.0)</f>
        <v>51937</v>
      </c>
      <c r="B11024" s="3" t="str">
        <f>IFERROR(__xludf.DUMMYFUNCTION("""COMPUTED_VALUE"""),"14 WEST CRT")</f>
        <v>14 WEST CRT</v>
      </c>
      <c r="C11024" s="3" t="str">
        <f>IFERROR(__xludf.DUMMYFUNCTION("""COMPUTED_VALUE"""),"HASTINGS")</f>
        <v>HASTINGS</v>
      </c>
      <c r="D11024" s="3" t="str">
        <f>IFERROR(__xludf.DUMMYFUNCTION("""COMPUTED_VALUE"""),"K0L 1Y0")</f>
        <v>K0L 1Y0</v>
      </c>
      <c r="E11024" s="3"/>
      <c r="F11024" s="3"/>
      <c r="G11024" s="3"/>
      <c r="H11024" s="3"/>
    </row>
    <row r="11025">
      <c r="A11025" s="2">
        <f>IFERROR(__xludf.DUMMYFUNCTION("""COMPUTED_VALUE"""),51938.0)</f>
        <v>51938</v>
      </c>
      <c r="B11025" s="3" t="str">
        <f>IFERROR(__xludf.DUMMYFUNCTION("""COMPUTED_VALUE"""),"15 WEST CRT")</f>
        <v>15 WEST CRT</v>
      </c>
      <c r="C11025" s="3" t="str">
        <f>IFERROR(__xludf.DUMMYFUNCTION("""COMPUTED_VALUE"""),"HASTINGS")</f>
        <v>HASTINGS</v>
      </c>
      <c r="D11025" s="3" t="str">
        <f>IFERROR(__xludf.DUMMYFUNCTION("""COMPUTED_VALUE"""),"K0L 1Y0")</f>
        <v>K0L 1Y0</v>
      </c>
      <c r="E11025" s="3"/>
      <c r="F11025" s="3"/>
      <c r="G11025" s="3"/>
      <c r="H11025" s="3"/>
    </row>
    <row r="11026">
      <c r="A11026" s="2">
        <f>IFERROR(__xludf.DUMMYFUNCTION("""COMPUTED_VALUE"""),51939.0)</f>
        <v>51939</v>
      </c>
      <c r="B11026" s="3" t="str">
        <f>IFERROR(__xludf.DUMMYFUNCTION("""COMPUTED_VALUE"""),"21 WEST CRT")</f>
        <v>21 WEST CRT</v>
      </c>
      <c r="C11026" s="3" t="str">
        <f>IFERROR(__xludf.DUMMYFUNCTION("""COMPUTED_VALUE"""),"HASTINGS")</f>
        <v>HASTINGS</v>
      </c>
      <c r="D11026" s="3" t="str">
        <f>IFERROR(__xludf.DUMMYFUNCTION("""COMPUTED_VALUE"""),"K0L 1Y0")</f>
        <v>K0L 1Y0</v>
      </c>
      <c r="E11026" s="3"/>
      <c r="F11026" s="3"/>
      <c r="G11026" s="3"/>
      <c r="H11026" s="3"/>
    </row>
    <row r="11027">
      <c r="A11027" s="2">
        <f>IFERROR(__xludf.DUMMYFUNCTION("""COMPUTED_VALUE"""),51940.0)</f>
        <v>51940</v>
      </c>
      <c r="B11027" s="3" t="str">
        <f>IFERROR(__xludf.DUMMYFUNCTION("""COMPUTED_VALUE"""),"22 WEST CRT")</f>
        <v>22 WEST CRT</v>
      </c>
      <c r="C11027" s="3" t="str">
        <f>IFERROR(__xludf.DUMMYFUNCTION("""COMPUTED_VALUE"""),"HASTINGS")</f>
        <v>HASTINGS</v>
      </c>
      <c r="D11027" s="3" t="str">
        <f>IFERROR(__xludf.DUMMYFUNCTION("""COMPUTED_VALUE"""),"K0L 1Y0")</f>
        <v>K0L 1Y0</v>
      </c>
      <c r="E11027" s="3"/>
      <c r="F11027" s="3"/>
      <c r="G11027" s="3"/>
      <c r="H11027" s="3"/>
    </row>
    <row r="11028">
      <c r="A11028" s="2">
        <f>IFERROR(__xludf.DUMMYFUNCTION("""COMPUTED_VALUE"""),51941.0)</f>
        <v>51941</v>
      </c>
      <c r="B11028" s="3" t="str">
        <f>IFERROR(__xludf.DUMMYFUNCTION("""COMPUTED_VALUE"""),"25 WEST CRT")</f>
        <v>25 WEST CRT</v>
      </c>
      <c r="C11028" s="3" t="str">
        <f>IFERROR(__xludf.DUMMYFUNCTION("""COMPUTED_VALUE"""),"HASTINGS")</f>
        <v>HASTINGS</v>
      </c>
      <c r="D11028" s="3" t="str">
        <f>IFERROR(__xludf.DUMMYFUNCTION("""COMPUTED_VALUE"""),"K0L 1Y0")</f>
        <v>K0L 1Y0</v>
      </c>
      <c r="E11028" s="3" t="str">
        <f>IFERROR(__xludf.DUMMYFUNCTION("""COMPUTED_VALUE"""),"ADRIAN VAN DE KROL")</f>
        <v>ADRIAN VAN DE KROL</v>
      </c>
      <c r="F11028" s="3" t="str">
        <f>IFERROR(__xludf.DUMMYFUNCTION("""COMPUTED_VALUE"""),"avandekrol@hotmail.com")</f>
        <v>avandekrol@hotmail.com</v>
      </c>
      <c r="G11028" s="3"/>
      <c r="H11028" s="3"/>
    </row>
    <row r="11029">
      <c r="A11029" s="2">
        <f>IFERROR(__xludf.DUMMYFUNCTION("""COMPUTED_VALUE"""),51942.0)</f>
        <v>51942</v>
      </c>
      <c r="B11029" s="3" t="str">
        <f>IFERROR(__xludf.DUMMYFUNCTION("""COMPUTED_VALUE"""),"26 WESTCOURT DR")</f>
        <v>26 WESTCOURT DR</v>
      </c>
      <c r="C11029" s="3" t="str">
        <f>IFERROR(__xludf.DUMMYFUNCTION("""COMPUTED_VALUE"""),"HASTINGS")</f>
        <v>HASTINGS</v>
      </c>
      <c r="D11029" s="3" t="str">
        <f>IFERROR(__xludf.DUMMYFUNCTION("""COMPUTED_VALUE"""),"K0L 1Y0")</f>
        <v>K0L 1Y0</v>
      </c>
      <c r="E11029" s="3" t="str">
        <f>IFERROR(__xludf.DUMMYFUNCTION("""COMPUTED_VALUE"""),"Jonathan Vieira")</f>
        <v>Jonathan Vieira</v>
      </c>
      <c r="F11029" s="3" t="str">
        <f>IFERROR(__xludf.DUMMYFUNCTION("""COMPUTED_VALUE"""),"jam.131502@gmail.com")</f>
        <v>jam.131502@gmail.com</v>
      </c>
      <c r="G11029" s="3">
        <f>IFERROR(__xludf.DUMMYFUNCTION("""COMPUTED_VALUE"""),4.165770075E9)</f>
        <v>4165770075</v>
      </c>
      <c r="H11029" s="3"/>
    </row>
    <row r="11030">
      <c r="A11030" s="2">
        <f>IFERROR(__xludf.DUMMYFUNCTION("""COMPUTED_VALUE"""),51943.0)</f>
        <v>51943</v>
      </c>
      <c r="B11030" s="3" t="str">
        <f>IFERROR(__xludf.DUMMYFUNCTION("""COMPUTED_VALUE"""),"28 WEST CRT")</f>
        <v>28 WEST CRT</v>
      </c>
      <c r="C11030" s="3" t="str">
        <f>IFERROR(__xludf.DUMMYFUNCTION("""COMPUTED_VALUE"""),"HASTINGS")</f>
        <v>HASTINGS</v>
      </c>
      <c r="D11030" s="3" t="str">
        <f>IFERROR(__xludf.DUMMYFUNCTION("""COMPUTED_VALUE"""),"K0L 1Y0")</f>
        <v>K0L 1Y0</v>
      </c>
      <c r="E11030" s="3" t="str">
        <f>IFERROR(__xludf.DUMMYFUNCTION("""COMPUTED_VALUE"""),"Gord Barratt")</f>
        <v>Gord Barratt</v>
      </c>
      <c r="F11030" s="3" t="str">
        <f>IFERROR(__xludf.DUMMYFUNCTION("""COMPUTED_VALUE"""),"gord.barratt@gmail.com")</f>
        <v>gord.barratt@gmail.com</v>
      </c>
      <c r="G11030" s="3">
        <f>IFERROR(__xludf.DUMMYFUNCTION("""COMPUTED_VALUE"""),4.167061191E9)</f>
        <v>4167061191</v>
      </c>
      <c r="H11030" s="3">
        <f>IFERROR(__xludf.DUMMYFUNCTION("""COMPUTED_VALUE"""),4.167414944E9)</f>
        <v>4167414944</v>
      </c>
    </row>
    <row r="11031">
      <c r="A11031" s="2">
        <f>IFERROR(__xludf.DUMMYFUNCTION("""COMPUTED_VALUE"""),51944.0)</f>
        <v>51944</v>
      </c>
      <c r="B11031" s="3" t="str">
        <f>IFERROR(__xludf.DUMMYFUNCTION("""COMPUTED_VALUE"""),"127 WHITNEY RD")</f>
        <v>127 WHITNEY RD</v>
      </c>
      <c r="C11031" s="3" t="str">
        <f>IFERROR(__xludf.DUMMYFUNCTION("""COMPUTED_VALUE"""),"ROSENEATH ")</f>
        <v>ROSENEATH </v>
      </c>
      <c r="D11031" s="3" t="str">
        <f>IFERROR(__xludf.DUMMYFUNCTION("""COMPUTED_VALUE"""),"K0K 2X0")</f>
        <v>K0K 2X0</v>
      </c>
      <c r="E11031" s="3"/>
      <c r="F11031" s="3"/>
      <c r="G11031" s="3"/>
      <c r="H11031" s="3"/>
    </row>
    <row r="11032">
      <c r="A11032" s="2">
        <f>IFERROR(__xludf.DUMMYFUNCTION("""COMPUTED_VALUE"""),51945.0)</f>
        <v>51945</v>
      </c>
      <c r="B11032" s="3" t="str">
        <f>IFERROR(__xludf.DUMMYFUNCTION("""COMPUTED_VALUE"""),"130 WHITNEY RD")</f>
        <v>130 WHITNEY RD</v>
      </c>
      <c r="C11032" s="3" t="str">
        <f>IFERROR(__xludf.DUMMYFUNCTION("""COMPUTED_VALUE"""),"ROSENEATH ")</f>
        <v>ROSENEATH </v>
      </c>
      <c r="D11032" s="3" t="str">
        <f>IFERROR(__xludf.DUMMYFUNCTION("""COMPUTED_VALUE"""),"K0K 2X0")</f>
        <v>K0K 2X0</v>
      </c>
      <c r="E11032" s="3"/>
      <c r="F11032" s="3"/>
      <c r="G11032" s="3"/>
      <c r="H11032" s="3"/>
    </row>
    <row r="11033">
      <c r="A11033" s="2">
        <f>IFERROR(__xludf.DUMMYFUNCTION("""COMPUTED_VALUE"""),51946.0)</f>
        <v>51946</v>
      </c>
      <c r="B11033" s="3" t="str">
        <f>IFERROR(__xludf.DUMMYFUNCTION("""COMPUTED_VALUE"""),"136 WHITNEY RD")</f>
        <v>136 WHITNEY RD</v>
      </c>
      <c r="C11033" s="3" t="str">
        <f>IFERROR(__xludf.DUMMYFUNCTION("""COMPUTED_VALUE"""),"ROSENEATH ")</f>
        <v>ROSENEATH </v>
      </c>
      <c r="D11033" s="3" t="str">
        <f>IFERROR(__xludf.DUMMYFUNCTION("""COMPUTED_VALUE"""),"K0K 2X0")</f>
        <v>K0K 2X0</v>
      </c>
      <c r="E11033" s="3"/>
      <c r="F11033" s="3"/>
      <c r="G11033" s="3"/>
      <c r="H11033" s="3"/>
    </row>
    <row r="11034">
      <c r="A11034" s="2">
        <f>IFERROR(__xludf.DUMMYFUNCTION("""COMPUTED_VALUE"""),51947.0)</f>
        <v>51947</v>
      </c>
      <c r="B11034" s="3" t="str">
        <f>IFERROR(__xludf.DUMMYFUNCTION("""COMPUTED_VALUE"""),"189 WHITNEY RD")</f>
        <v>189 WHITNEY RD</v>
      </c>
      <c r="C11034" s="3" t="str">
        <f>IFERROR(__xludf.DUMMYFUNCTION("""COMPUTED_VALUE"""),"ROSENEATH ")</f>
        <v>ROSENEATH </v>
      </c>
      <c r="D11034" s="3" t="str">
        <f>IFERROR(__xludf.DUMMYFUNCTION("""COMPUTED_VALUE"""),"K0K 2X0")</f>
        <v>K0K 2X0</v>
      </c>
      <c r="E11034" s="3"/>
      <c r="F11034" s="3"/>
      <c r="G11034" s="3"/>
      <c r="H11034" s="3"/>
    </row>
    <row r="11035">
      <c r="A11035" s="2">
        <f>IFERROR(__xludf.DUMMYFUNCTION("""COMPUTED_VALUE"""),51948.0)</f>
        <v>51948</v>
      </c>
      <c r="B11035" s="3" t="str">
        <f>IFERROR(__xludf.DUMMYFUNCTION("""COMPUTED_VALUE"""),"196 WHITNEY RD")</f>
        <v>196 WHITNEY RD</v>
      </c>
      <c r="C11035" s="3" t="str">
        <f>IFERROR(__xludf.DUMMYFUNCTION("""COMPUTED_VALUE"""),"ROSENEATH ")</f>
        <v>ROSENEATH </v>
      </c>
      <c r="D11035" s="3" t="str">
        <f>IFERROR(__xludf.DUMMYFUNCTION("""COMPUTED_VALUE"""),"K0K 2X0")</f>
        <v>K0K 2X0</v>
      </c>
      <c r="E11035" s="3"/>
      <c r="F11035" s="3"/>
      <c r="G11035" s="3"/>
      <c r="H11035" s="3"/>
    </row>
    <row r="11036">
      <c r="A11036" s="2">
        <f>IFERROR(__xludf.DUMMYFUNCTION("""COMPUTED_VALUE"""),51949.0)</f>
        <v>51949</v>
      </c>
      <c r="B11036" s="3" t="str">
        <f>IFERROR(__xludf.DUMMYFUNCTION("""COMPUTED_VALUE"""),"197 WHITNEY RD")</f>
        <v>197 WHITNEY RD</v>
      </c>
      <c r="C11036" s="3" t="str">
        <f>IFERROR(__xludf.DUMMYFUNCTION("""COMPUTED_VALUE"""),"ROSENEATH ")</f>
        <v>ROSENEATH </v>
      </c>
      <c r="D11036" s="3" t="str">
        <f>IFERROR(__xludf.DUMMYFUNCTION("""COMPUTED_VALUE"""),"K0K 2X0")</f>
        <v>K0K 2X0</v>
      </c>
      <c r="E11036" s="3"/>
      <c r="F11036" s="3"/>
      <c r="G11036" s="3"/>
      <c r="H11036" s="3"/>
    </row>
    <row r="11037">
      <c r="A11037" s="2">
        <f>IFERROR(__xludf.DUMMYFUNCTION("""COMPUTED_VALUE"""),51950.0)</f>
        <v>51950</v>
      </c>
      <c r="B11037" s="3" t="str">
        <f>IFERROR(__xludf.DUMMYFUNCTION("""COMPUTED_VALUE"""),"201 WIDEVIEW AVE")</f>
        <v>201 WIDEVIEW AVE</v>
      </c>
      <c r="C11037" s="3" t="str">
        <f>IFERROR(__xludf.DUMMYFUNCTION("""COMPUTED_VALUE"""),"ROSENEATH ")</f>
        <v>ROSENEATH </v>
      </c>
      <c r="D11037" s="3" t="str">
        <f>IFERROR(__xludf.DUMMYFUNCTION("""COMPUTED_VALUE"""),"K0K 2X0")</f>
        <v>K0K 2X0</v>
      </c>
      <c r="E11037" s="3"/>
      <c r="F11037" s="3"/>
      <c r="G11037" s="3"/>
      <c r="H11037" s="3"/>
    </row>
    <row r="11038">
      <c r="A11038" s="2">
        <f>IFERROR(__xludf.DUMMYFUNCTION("""COMPUTED_VALUE"""),51951.0)</f>
        <v>51951</v>
      </c>
      <c r="B11038" s="3" t="str">
        <f>IFERROR(__xludf.DUMMYFUNCTION("""COMPUTED_VALUE"""),"207 WIDEVIEW AVE")</f>
        <v>207 WIDEVIEW AVE</v>
      </c>
      <c r="C11038" s="3" t="str">
        <f>IFERROR(__xludf.DUMMYFUNCTION("""COMPUTED_VALUE"""),"ROSENEATH ")</f>
        <v>ROSENEATH </v>
      </c>
      <c r="D11038" s="3" t="str">
        <f>IFERROR(__xludf.DUMMYFUNCTION("""COMPUTED_VALUE"""),"K0K 2X0")</f>
        <v>K0K 2X0</v>
      </c>
      <c r="E11038" s="3"/>
      <c r="F11038" s="3"/>
      <c r="G11038" s="3"/>
      <c r="H11038" s="3"/>
    </row>
    <row r="11039">
      <c r="A11039" s="2">
        <f>IFERROR(__xludf.DUMMYFUNCTION("""COMPUTED_VALUE"""),51952.0)</f>
        <v>51952</v>
      </c>
      <c r="B11039" s="3" t="str">
        <f>IFERROR(__xludf.DUMMYFUNCTION("""COMPUTED_VALUE"""),"210 WIDEVIEW AVE")</f>
        <v>210 WIDEVIEW AVE</v>
      </c>
      <c r="C11039" s="3" t="str">
        <f>IFERROR(__xludf.DUMMYFUNCTION("""COMPUTED_VALUE"""),"ROSENEATH ")</f>
        <v>ROSENEATH </v>
      </c>
      <c r="D11039" s="3" t="str">
        <f>IFERROR(__xludf.DUMMYFUNCTION("""COMPUTED_VALUE"""),"K0K 2X0")</f>
        <v>K0K 2X0</v>
      </c>
      <c r="E11039" s="3" t="str">
        <f>IFERROR(__xludf.DUMMYFUNCTION("""COMPUTED_VALUE"""),"Jim Moulton")</f>
        <v>Jim Moulton</v>
      </c>
      <c r="F11039" s="3" t="str">
        <f>IFERROR(__xludf.DUMMYFUNCTION("""COMPUTED_VALUE"""),"shonadese23@aol.com")</f>
        <v>shonadese23@aol.com</v>
      </c>
      <c r="G11039" s="3">
        <f>IFERROR(__xludf.DUMMYFUNCTION("""COMPUTED_VALUE"""),2.89251164E9)</f>
        <v>2892511640</v>
      </c>
      <c r="H11039" s="3"/>
    </row>
    <row r="11040">
      <c r="A11040" s="2">
        <f>IFERROR(__xludf.DUMMYFUNCTION("""COMPUTED_VALUE"""),51953.0)</f>
        <v>51953</v>
      </c>
      <c r="B11040" s="3" t="str">
        <f>IFERROR(__xludf.DUMMYFUNCTION("""COMPUTED_VALUE"""),"216 WIDEVIEW AVE")</f>
        <v>216 WIDEVIEW AVE</v>
      </c>
      <c r="C11040" s="3" t="str">
        <f>IFERROR(__xludf.DUMMYFUNCTION("""COMPUTED_VALUE"""),"ROSENEATH ")</f>
        <v>ROSENEATH </v>
      </c>
      <c r="D11040" s="3" t="str">
        <f>IFERROR(__xludf.DUMMYFUNCTION("""COMPUTED_VALUE"""),"K0K 2X0")</f>
        <v>K0K 2X0</v>
      </c>
      <c r="E11040" s="3"/>
      <c r="F11040" s="3"/>
      <c r="G11040" s="3"/>
      <c r="H11040" s="3"/>
    </row>
    <row r="11041">
      <c r="A11041" s="2">
        <f>IFERROR(__xludf.DUMMYFUNCTION("""COMPUTED_VALUE"""),51954.0)</f>
        <v>51954</v>
      </c>
      <c r="B11041" s="3" t="str">
        <f>IFERROR(__xludf.DUMMYFUNCTION("""COMPUTED_VALUE"""),"217 WIDEVIEW AVE")</f>
        <v>217 WIDEVIEW AVE</v>
      </c>
      <c r="C11041" s="3" t="str">
        <f>IFERROR(__xludf.DUMMYFUNCTION("""COMPUTED_VALUE"""),"ROSENEATH ")</f>
        <v>ROSENEATH </v>
      </c>
      <c r="D11041" s="3" t="str">
        <f>IFERROR(__xludf.DUMMYFUNCTION("""COMPUTED_VALUE"""),"K0K 2X0")</f>
        <v>K0K 2X0</v>
      </c>
      <c r="E11041" s="3"/>
      <c r="F11041" s="3"/>
      <c r="G11041" s="3"/>
      <c r="H11041" s="3"/>
    </row>
    <row r="11042">
      <c r="A11042" s="2">
        <f>IFERROR(__xludf.DUMMYFUNCTION("""COMPUTED_VALUE"""),51955.0)</f>
        <v>51955</v>
      </c>
      <c r="B11042" s="3" t="str">
        <f>IFERROR(__xludf.DUMMYFUNCTION("""COMPUTED_VALUE"""),"218 WIDEVIEW AVE")</f>
        <v>218 WIDEVIEW AVE</v>
      </c>
      <c r="C11042" s="3" t="str">
        <f>IFERROR(__xludf.DUMMYFUNCTION("""COMPUTED_VALUE"""),"ROSENEATH ")</f>
        <v>ROSENEATH </v>
      </c>
      <c r="D11042" s="3" t="str">
        <f>IFERROR(__xludf.DUMMYFUNCTION("""COMPUTED_VALUE"""),"K0K 2X0")</f>
        <v>K0K 2X0</v>
      </c>
      <c r="E11042" s="3"/>
      <c r="F11042" s="3"/>
      <c r="G11042" s="3"/>
      <c r="H11042" s="3"/>
    </row>
    <row r="11043">
      <c r="A11043" s="2">
        <f>IFERROR(__xludf.DUMMYFUNCTION("""COMPUTED_VALUE"""),51956.0)</f>
        <v>51956</v>
      </c>
      <c r="B11043" s="3" t="str">
        <f>IFERROR(__xludf.DUMMYFUNCTION("""COMPUTED_VALUE"""),"5 WOODLAND DR")</f>
        <v>5 WOODLAND DR</v>
      </c>
      <c r="C11043" s="3" t="str">
        <f>IFERROR(__xludf.DUMMYFUNCTION("""COMPUTED_VALUE"""),"ROSENEATH ")</f>
        <v>ROSENEATH </v>
      </c>
      <c r="D11043" s="3" t="str">
        <f>IFERROR(__xludf.DUMMYFUNCTION("""COMPUTED_VALUE"""),"K0K 2X0")</f>
        <v>K0K 2X0</v>
      </c>
      <c r="E11043" s="3" t="str">
        <f>IFERROR(__xludf.DUMMYFUNCTION("""COMPUTED_VALUE"""),"Jesse Loukes")</f>
        <v>Jesse Loukes</v>
      </c>
      <c r="F11043" s="3" t="str">
        <f>IFERROR(__xludf.DUMMYFUNCTION("""COMPUTED_VALUE"""),"jesse_loukes@hotmail.com")</f>
        <v>jesse_loukes@hotmail.com</v>
      </c>
      <c r="G11043" s="3">
        <f>IFERROR(__xludf.DUMMYFUNCTION("""COMPUTED_VALUE"""),9.052691549E9)</f>
        <v>9052691549</v>
      </c>
      <c r="H11043" s="3"/>
    </row>
    <row r="11044">
      <c r="A11044" s="2">
        <f>IFERROR(__xludf.DUMMYFUNCTION("""COMPUTED_VALUE"""),51957.0)</f>
        <v>51957</v>
      </c>
      <c r="B11044" s="3" t="str">
        <f>IFERROR(__xludf.DUMMYFUNCTION("""COMPUTED_VALUE"""),"10 WOODLAND DR")</f>
        <v>10 WOODLAND DR</v>
      </c>
      <c r="C11044" s="3" t="str">
        <f>IFERROR(__xludf.DUMMYFUNCTION("""COMPUTED_VALUE"""),"ROSENEATH ")</f>
        <v>ROSENEATH </v>
      </c>
      <c r="D11044" s="3" t="str">
        <f>IFERROR(__xludf.DUMMYFUNCTION("""COMPUTED_VALUE"""),"K0K 2X0")</f>
        <v>K0K 2X0</v>
      </c>
      <c r="E11044" s="3"/>
      <c r="F11044" s="3"/>
      <c r="G11044" s="3"/>
      <c r="H11044" s="3"/>
    </row>
    <row r="11045">
      <c r="A11045" s="2">
        <f>IFERROR(__xludf.DUMMYFUNCTION("""COMPUTED_VALUE"""),51958.0)</f>
        <v>51958</v>
      </c>
      <c r="B11045" s="3" t="str">
        <f>IFERROR(__xludf.DUMMYFUNCTION("""COMPUTED_VALUE"""),"11 WOODLAND DR")</f>
        <v>11 WOODLAND DR</v>
      </c>
      <c r="C11045" s="3" t="str">
        <f>IFERROR(__xludf.DUMMYFUNCTION("""COMPUTED_VALUE"""),"ROSENEATH ")</f>
        <v>ROSENEATH </v>
      </c>
      <c r="D11045" s="3" t="str">
        <f>IFERROR(__xludf.DUMMYFUNCTION("""COMPUTED_VALUE"""),"K0K 2X0")</f>
        <v>K0K 2X0</v>
      </c>
      <c r="E11045" s="3" t="str">
        <f>IFERROR(__xludf.DUMMYFUNCTION("""COMPUTED_VALUE"""),"Denene Amini")</f>
        <v>Denene Amini</v>
      </c>
      <c r="F11045" s="3" t="str">
        <f>IFERROR(__xludf.DUMMYFUNCTION("""COMPUTED_VALUE"""),"amini_d@hotmail.com")</f>
        <v>amini_d@hotmail.com</v>
      </c>
      <c r="G11045" s="3">
        <f>IFERROR(__xludf.DUMMYFUNCTION("""COMPUTED_VALUE"""),9.054392553E9)</f>
        <v>9054392553</v>
      </c>
      <c r="H11045" s="3"/>
    </row>
    <row r="11046">
      <c r="A11046" s="2">
        <f>IFERROR(__xludf.DUMMYFUNCTION("""COMPUTED_VALUE"""),51959.0)</f>
        <v>51959</v>
      </c>
      <c r="B11046" s="3" t="str">
        <f>IFERROR(__xludf.DUMMYFUNCTION("""COMPUTED_VALUE"""),"15 WOODLAND DR")</f>
        <v>15 WOODLAND DR</v>
      </c>
      <c r="C11046" s="3" t="str">
        <f>IFERROR(__xludf.DUMMYFUNCTION("""COMPUTED_VALUE"""),"ROSENEATH ")</f>
        <v>ROSENEATH </v>
      </c>
      <c r="D11046" s="3" t="str">
        <f>IFERROR(__xludf.DUMMYFUNCTION("""COMPUTED_VALUE"""),"K0K 2X0")</f>
        <v>K0K 2X0</v>
      </c>
      <c r="E11046" s="3"/>
      <c r="F11046" s="3"/>
      <c r="G11046" s="3"/>
      <c r="H11046" s="3"/>
    </row>
    <row r="11047">
      <c r="A11047" s="2">
        <f>IFERROR(__xludf.DUMMYFUNCTION("""COMPUTED_VALUE"""),51960.0)</f>
        <v>51960</v>
      </c>
      <c r="B11047" s="3" t="str">
        <f>IFERROR(__xludf.DUMMYFUNCTION("""COMPUTED_VALUE"""),"17 WOODLAND DR")</f>
        <v>17 WOODLAND DR</v>
      </c>
      <c r="C11047" s="3" t="str">
        <f>IFERROR(__xludf.DUMMYFUNCTION("""COMPUTED_VALUE"""),"ROSENEATH ")</f>
        <v>ROSENEATH </v>
      </c>
      <c r="D11047" s="3" t="str">
        <f>IFERROR(__xludf.DUMMYFUNCTION("""COMPUTED_VALUE"""),"K0K 2X0")</f>
        <v>K0K 2X0</v>
      </c>
      <c r="E11047" s="3" t="str">
        <f>IFERROR(__xludf.DUMMYFUNCTION("""COMPUTED_VALUE"""),"Bobbi Turner")</f>
        <v>Bobbi Turner</v>
      </c>
      <c r="F11047" s="3" t="str">
        <f>IFERROR(__xludf.DUMMYFUNCTION("""COMPUTED_VALUE"""),"upsgirl88@gmail.com")</f>
        <v>upsgirl88@gmail.com</v>
      </c>
      <c r="G11047" s="3">
        <f>IFERROR(__xludf.DUMMYFUNCTION("""COMPUTED_VALUE"""),9.053754986E9)</f>
        <v>9053754986</v>
      </c>
      <c r="H11047" s="3"/>
    </row>
    <row r="11048">
      <c r="A11048" s="2">
        <f>IFERROR(__xludf.DUMMYFUNCTION("""COMPUTED_VALUE"""),51961.0)</f>
        <v>51961</v>
      </c>
      <c r="B11048" s="3" t="str">
        <f>IFERROR(__xludf.DUMMYFUNCTION("""COMPUTED_VALUE"""),"23 WOODLAND DR")</f>
        <v>23 WOODLAND DR</v>
      </c>
      <c r="C11048" s="3" t="str">
        <f>IFERROR(__xludf.DUMMYFUNCTION("""COMPUTED_VALUE"""),"ROSENEATH ")</f>
        <v>ROSENEATH </v>
      </c>
      <c r="D11048" s="3" t="str">
        <f>IFERROR(__xludf.DUMMYFUNCTION("""COMPUTED_VALUE"""),"K0K 2X0")</f>
        <v>K0K 2X0</v>
      </c>
      <c r="E11048" s="3"/>
      <c r="F11048" s="3"/>
      <c r="G11048" s="3"/>
      <c r="H11048" s="3"/>
    </row>
    <row r="11049">
      <c r="A11049" s="2">
        <f>IFERROR(__xludf.DUMMYFUNCTION("""COMPUTED_VALUE"""),51962.0)</f>
        <v>51962</v>
      </c>
      <c r="B11049" s="3" t="str">
        <f>IFERROR(__xludf.DUMMYFUNCTION("""COMPUTED_VALUE"""),"27 WOODLAND DR")</f>
        <v>27 WOODLAND DR</v>
      </c>
      <c r="C11049" s="3" t="str">
        <f>IFERROR(__xludf.DUMMYFUNCTION("""COMPUTED_VALUE"""),"ROSENEATH ")</f>
        <v>ROSENEATH </v>
      </c>
      <c r="D11049" s="3" t="str">
        <f>IFERROR(__xludf.DUMMYFUNCTION("""COMPUTED_VALUE"""),"K0K 2X0")</f>
        <v>K0K 2X0</v>
      </c>
      <c r="E11049" s="3"/>
      <c r="F11049" s="3"/>
      <c r="G11049" s="3"/>
      <c r="H11049" s="3"/>
    </row>
    <row r="11050">
      <c r="A11050" s="2">
        <f>IFERROR(__xludf.DUMMYFUNCTION("""COMPUTED_VALUE"""),51963.0)</f>
        <v>51963</v>
      </c>
      <c r="B11050" s="3" t="str">
        <f>IFERROR(__xludf.DUMMYFUNCTION("""COMPUTED_VALUE"""),"150 WOODLAND RD")</f>
        <v>150 WOODLAND RD</v>
      </c>
      <c r="C11050" s="3" t="str">
        <f>IFERROR(__xludf.DUMMYFUNCTION("""COMPUTED_VALUE"""),"ROSENEATH ")</f>
        <v>ROSENEATH </v>
      </c>
      <c r="D11050" s="3" t="str">
        <f>IFERROR(__xludf.DUMMYFUNCTION("""COMPUTED_VALUE"""),"K0K 2X0")</f>
        <v>K0K 2X0</v>
      </c>
      <c r="E11050" s="3"/>
      <c r="F11050" s="3"/>
      <c r="G11050" s="3"/>
      <c r="H11050" s="3"/>
    </row>
    <row r="11051">
      <c r="A11051" s="2">
        <f>IFERROR(__xludf.DUMMYFUNCTION("""COMPUTED_VALUE"""),51964.0)</f>
        <v>51964</v>
      </c>
      <c r="B11051" s="3" t="str">
        <f>IFERROR(__xludf.DUMMYFUNCTION("""COMPUTED_VALUE"""),"155 WOODLAND RD")</f>
        <v>155 WOODLAND RD</v>
      </c>
      <c r="C11051" s="3" t="str">
        <f>IFERROR(__xludf.DUMMYFUNCTION("""COMPUTED_VALUE"""),"ROSENEATH ")</f>
        <v>ROSENEATH </v>
      </c>
      <c r="D11051" s="3" t="str">
        <f>IFERROR(__xludf.DUMMYFUNCTION("""COMPUTED_VALUE"""),"K0K 2X0")</f>
        <v>K0K 2X0</v>
      </c>
      <c r="E11051" s="3"/>
      <c r="F11051" s="3"/>
      <c r="G11051" s="3"/>
      <c r="H11051" s="3"/>
    </row>
    <row r="11052">
      <c r="A11052" s="2">
        <f>IFERROR(__xludf.DUMMYFUNCTION("""COMPUTED_VALUE"""),51965.0)</f>
        <v>51965</v>
      </c>
      <c r="B11052" s="3" t="str">
        <f>IFERROR(__xludf.DUMMYFUNCTION("""COMPUTED_VALUE"""),"168 WOODLAND RD")</f>
        <v>168 WOODLAND RD</v>
      </c>
      <c r="C11052" s="3" t="str">
        <f>IFERROR(__xludf.DUMMYFUNCTION("""COMPUTED_VALUE"""),"ROSENEATH ")</f>
        <v>ROSENEATH </v>
      </c>
      <c r="D11052" s="3" t="str">
        <f>IFERROR(__xludf.DUMMYFUNCTION("""COMPUTED_VALUE"""),"K0K 2X0")</f>
        <v>K0K 2X0</v>
      </c>
      <c r="E11052" s="3" t="str">
        <f>IFERROR(__xludf.DUMMYFUNCTION("""COMPUTED_VALUE"""),"Rick Muia")</f>
        <v>Rick Muia</v>
      </c>
      <c r="F11052" s="3" t="str">
        <f>IFERROR(__xludf.DUMMYFUNCTION("""COMPUTED_VALUE"""),"Riccardomuia@gmail.com")</f>
        <v>Riccardomuia@gmail.com</v>
      </c>
      <c r="G11052" s="3">
        <f>IFERROR(__xludf.DUMMYFUNCTION("""COMPUTED_VALUE"""),9.059997425E9)</f>
        <v>9059997425</v>
      </c>
      <c r="H11052" s="3"/>
    </row>
    <row r="11053">
      <c r="A11053" s="2">
        <f>IFERROR(__xludf.DUMMYFUNCTION("""COMPUTED_VALUE"""),51966.0)</f>
        <v>51966</v>
      </c>
      <c r="B11053" s="3" t="str">
        <f>IFERROR(__xludf.DUMMYFUNCTION("""COMPUTED_VALUE"""),"185 WOODLAND RD")</f>
        <v>185 WOODLAND RD</v>
      </c>
      <c r="C11053" s="3" t="str">
        <f>IFERROR(__xludf.DUMMYFUNCTION("""COMPUTED_VALUE"""),"ROSENEATH ")</f>
        <v>ROSENEATH </v>
      </c>
      <c r="D11053" s="3" t="str">
        <f>IFERROR(__xludf.DUMMYFUNCTION("""COMPUTED_VALUE"""),"K0K 2X0")</f>
        <v>K0K 2X0</v>
      </c>
      <c r="E11053" s="3"/>
      <c r="F11053" s="3"/>
      <c r="G11053" s="3"/>
      <c r="H11053" s="3"/>
    </row>
    <row r="11054">
      <c r="A11054" s="2">
        <f>IFERROR(__xludf.DUMMYFUNCTION("""COMPUTED_VALUE"""),51967.0)</f>
        <v>51967</v>
      </c>
      <c r="B11054" s="3" t="str">
        <f>IFERROR(__xludf.DUMMYFUNCTION("""COMPUTED_VALUE"""),"198 WOODLAND RD")</f>
        <v>198 WOODLAND RD</v>
      </c>
      <c r="C11054" s="3" t="str">
        <f>IFERROR(__xludf.DUMMYFUNCTION("""COMPUTED_VALUE"""),"ROSENEATH ")</f>
        <v>ROSENEATH </v>
      </c>
      <c r="D11054" s="3" t="str">
        <f>IFERROR(__xludf.DUMMYFUNCTION("""COMPUTED_VALUE"""),"K0K 2X0")</f>
        <v>K0K 2X0</v>
      </c>
      <c r="E11054" s="3" t="str">
        <f>IFERROR(__xludf.DUMMYFUNCTION("""COMPUTED_VALUE"""),"Kelly Nonnekes")</f>
        <v>Kelly Nonnekes</v>
      </c>
      <c r="F11054" s="3" t="str">
        <f>IFERROR(__xludf.DUMMYFUNCTION("""COMPUTED_VALUE"""),"kelly.nonnekes@gmail.com")</f>
        <v>kelly.nonnekes@gmail.com</v>
      </c>
      <c r="G11054" s="3"/>
      <c r="H11054" s="3">
        <f>IFERROR(__xludf.DUMMYFUNCTION("""COMPUTED_VALUE"""),6.473364313E9)</f>
        <v>6473364313</v>
      </c>
    </row>
    <row r="11055">
      <c r="A11055" s="2">
        <f>IFERROR(__xludf.DUMMYFUNCTION("""COMPUTED_VALUE"""),70000.0)</f>
        <v>70000</v>
      </c>
      <c r="B11055" s="3" t="str">
        <f>IFERROR(__xludf.DUMMYFUNCTION("""COMPUTED_VALUE"""),"2859A 10TH LINE E")</f>
        <v>2859A 10TH LINE E</v>
      </c>
      <c r="C11055" s="3" t="str">
        <f>IFERROR(__xludf.DUMMYFUNCTION("""COMPUTED_VALUE"""),"CAMPBELLFORD")</f>
        <v>CAMPBELLFORD</v>
      </c>
      <c r="D11055" s="3" t="str">
        <f>IFERROR(__xludf.DUMMYFUNCTION("""COMPUTED_VALUE"""),"K0L 1L0")</f>
        <v>K0L 1L0</v>
      </c>
      <c r="E11055" s="3" t="str">
        <f>IFERROR(__xludf.DUMMYFUNCTION("""COMPUTED_VALUE"""),"Jaclyn M Gunning")</f>
        <v>Jaclyn M Gunning</v>
      </c>
      <c r="F11055" s="3" t="str">
        <f>IFERROR(__xludf.DUMMYFUNCTION("""COMPUTED_VALUE"""),"jaciegunning@gmail.com")</f>
        <v>jaciegunning@gmail.com</v>
      </c>
      <c r="G11055" s="3">
        <f>IFERROR(__xludf.DUMMYFUNCTION("""COMPUTED_VALUE"""),6.133917869E9)</f>
        <v>6133917869</v>
      </c>
      <c r="H11055" s="3"/>
    </row>
    <row r="11056">
      <c r="A11056" s="2">
        <f>IFERROR(__xludf.DUMMYFUNCTION("""COMPUTED_VALUE"""),70001.0)</f>
        <v>70001</v>
      </c>
      <c r="B11056" s="3" t="str">
        <f>IFERROR(__xludf.DUMMYFUNCTION("""COMPUTED_VALUE"""),"2860 10TH LINE E")</f>
        <v>2860 10TH LINE E</v>
      </c>
      <c r="C11056" s="3" t="str">
        <f>IFERROR(__xludf.DUMMYFUNCTION("""COMPUTED_VALUE"""),"CAMPBELLFORD")</f>
        <v>CAMPBELLFORD</v>
      </c>
      <c r="D11056" s="3" t="str">
        <f>IFERROR(__xludf.DUMMYFUNCTION("""COMPUTED_VALUE"""),"K0L 1L0")</f>
        <v>K0L 1L0</v>
      </c>
      <c r="E11056" s="3"/>
      <c r="F11056" s="3"/>
      <c r="G11056" s="3"/>
      <c r="H11056" s="3"/>
    </row>
    <row r="11057">
      <c r="A11057" s="2">
        <f>IFERROR(__xludf.DUMMYFUNCTION("""COMPUTED_VALUE"""),70002.0)</f>
        <v>70002</v>
      </c>
      <c r="B11057" s="3" t="str">
        <f>IFERROR(__xludf.DUMMYFUNCTION("""COMPUTED_VALUE"""),"2862 10TH LINE E")</f>
        <v>2862 10TH LINE E</v>
      </c>
      <c r="C11057" s="3" t="str">
        <f>IFERROR(__xludf.DUMMYFUNCTION("""COMPUTED_VALUE"""),"CAMPBELLFORD")</f>
        <v>CAMPBELLFORD</v>
      </c>
      <c r="D11057" s="3" t="str">
        <f>IFERROR(__xludf.DUMMYFUNCTION("""COMPUTED_VALUE"""),"K0L 1L0")</f>
        <v>K0L 1L0</v>
      </c>
      <c r="E11057" s="3"/>
      <c r="F11057" s="3"/>
      <c r="G11057" s="3"/>
      <c r="H11057" s="3"/>
    </row>
    <row r="11058">
      <c r="A11058" s="2">
        <f>IFERROR(__xludf.DUMMYFUNCTION("""COMPUTED_VALUE"""),70003.0)</f>
        <v>70003</v>
      </c>
      <c r="B11058" s="3" t="str">
        <f>IFERROR(__xludf.DUMMYFUNCTION("""COMPUTED_VALUE"""),"2864 10TH LINE E")</f>
        <v>2864 10TH LINE E</v>
      </c>
      <c r="C11058" s="3" t="str">
        <f>IFERROR(__xludf.DUMMYFUNCTION("""COMPUTED_VALUE"""),"CAMPBELLFORD")</f>
        <v>CAMPBELLFORD</v>
      </c>
      <c r="D11058" s="3" t="str">
        <f>IFERROR(__xludf.DUMMYFUNCTION("""COMPUTED_VALUE"""),"K0L 1L0")</f>
        <v>K0L 1L0</v>
      </c>
      <c r="E11058" s="3"/>
      <c r="F11058" s="3"/>
      <c r="G11058" s="3"/>
      <c r="H11058" s="3"/>
    </row>
    <row r="11059">
      <c r="A11059" s="2">
        <f>IFERROR(__xludf.DUMMYFUNCTION("""COMPUTED_VALUE"""),70004.0)</f>
        <v>70004</v>
      </c>
      <c r="B11059" s="3" t="str">
        <f>IFERROR(__xludf.DUMMYFUNCTION("""COMPUTED_VALUE"""),"2868 10TH LINE E")</f>
        <v>2868 10TH LINE E</v>
      </c>
      <c r="C11059" s="3" t="str">
        <f>IFERROR(__xludf.DUMMYFUNCTION("""COMPUTED_VALUE"""),"CAMPBELLFORD")</f>
        <v>CAMPBELLFORD</v>
      </c>
      <c r="D11059" s="3" t="str">
        <f>IFERROR(__xludf.DUMMYFUNCTION("""COMPUTED_VALUE"""),"K0L 1L0")</f>
        <v>K0L 1L0</v>
      </c>
      <c r="E11059" s="3" t="str">
        <f>IFERROR(__xludf.DUMMYFUNCTION("""COMPUTED_VALUE"""),"Michael Ott")</f>
        <v>Michael Ott</v>
      </c>
      <c r="F11059" s="3" t="str">
        <f>IFERROR(__xludf.DUMMYFUNCTION("""COMPUTED_VALUE"""),"mspikael@gmail.com")</f>
        <v>mspikael@gmail.com</v>
      </c>
      <c r="G11059" s="3">
        <f>IFERROR(__xludf.DUMMYFUNCTION("""COMPUTED_VALUE"""),7.059774453E9)</f>
        <v>7059774453</v>
      </c>
      <c r="H11059" s="3"/>
    </row>
    <row r="11060">
      <c r="A11060" s="2">
        <f>IFERROR(__xludf.DUMMYFUNCTION("""COMPUTED_VALUE"""),70005.0)</f>
        <v>70005</v>
      </c>
      <c r="B11060" s="3" t="str">
        <f>IFERROR(__xludf.DUMMYFUNCTION("""COMPUTED_VALUE"""),"2877 10TH LINE E")</f>
        <v>2877 10TH LINE E</v>
      </c>
      <c r="C11060" s="3" t="str">
        <f>IFERROR(__xludf.DUMMYFUNCTION("""COMPUTED_VALUE"""),"CAMPBELLFORD")</f>
        <v>CAMPBELLFORD</v>
      </c>
      <c r="D11060" s="3" t="str">
        <f>IFERROR(__xludf.DUMMYFUNCTION("""COMPUTED_VALUE"""),"K0L 1L0")</f>
        <v>K0L 1L0</v>
      </c>
      <c r="E11060" s="3"/>
      <c r="F11060" s="3"/>
      <c r="G11060" s="3"/>
      <c r="H11060" s="3"/>
    </row>
    <row r="11061">
      <c r="A11061" s="2">
        <f>IFERROR(__xludf.DUMMYFUNCTION("""COMPUTED_VALUE"""),70006.0)</f>
        <v>70006</v>
      </c>
      <c r="B11061" s="3" t="str">
        <f>IFERROR(__xludf.DUMMYFUNCTION("""COMPUTED_VALUE"""),"2883 10TH LINE E")</f>
        <v>2883 10TH LINE E</v>
      </c>
      <c r="C11061" s="3" t="str">
        <f>IFERROR(__xludf.DUMMYFUNCTION("""COMPUTED_VALUE"""),"CAMPBELLFORD")</f>
        <v>CAMPBELLFORD</v>
      </c>
      <c r="D11061" s="3" t="str">
        <f>IFERROR(__xludf.DUMMYFUNCTION("""COMPUTED_VALUE"""),"K0L 1L0")</f>
        <v>K0L 1L0</v>
      </c>
      <c r="E11061" s="3" t="str">
        <f>IFERROR(__xludf.DUMMYFUNCTION("""COMPUTED_VALUE"""),"Jeff &amp; Rhonda Rowe")</f>
        <v>Jeff &amp; Rhonda Rowe</v>
      </c>
      <c r="F11061" s="3" t="str">
        <f>IFERROR(__xludf.DUMMYFUNCTION("""COMPUTED_VALUE"""),"rjrowe1968@gmail.com")</f>
        <v>rjrowe1968@gmail.com</v>
      </c>
      <c r="G11061" s="3">
        <f>IFERROR(__xludf.DUMMYFUNCTION("""COMPUTED_VALUE"""),7.056326157E9)</f>
        <v>7056326157</v>
      </c>
      <c r="H11061" s="3">
        <f>IFERROR(__xludf.DUMMYFUNCTION("""COMPUTED_VALUE"""),7.056536125E9)</f>
        <v>7056536125</v>
      </c>
    </row>
    <row r="11062">
      <c r="A11062" s="2">
        <f>IFERROR(__xludf.DUMMYFUNCTION("""COMPUTED_VALUE"""),70008.0)</f>
        <v>70008</v>
      </c>
      <c r="B11062" s="3" t="str">
        <f>IFERROR(__xludf.DUMMYFUNCTION("""COMPUTED_VALUE"""),"3089 10TH LINE E")</f>
        <v>3089 10TH LINE E</v>
      </c>
      <c r="C11062" s="3" t="str">
        <f>IFERROR(__xludf.DUMMYFUNCTION("""COMPUTED_VALUE"""),"CAMPBELLFORD")</f>
        <v>CAMPBELLFORD</v>
      </c>
      <c r="D11062" s="3" t="str">
        <f>IFERROR(__xludf.DUMMYFUNCTION("""COMPUTED_VALUE"""),"K0L 1L0")</f>
        <v>K0L 1L0</v>
      </c>
      <c r="E11062" s="3"/>
      <c r="F11062" s="3"/>
      <c r="G11062" s="3"/>
      <c r="H11062" s="3"/>
    </row>
    <row r="11063">
      <c r="A11063" s="2">
        <f>IFERROR(__xludf.DUMMYFUNCTION("""COMPUTED_VALUE"""),70009.0)</f>
        <v>70009</v>
      </c>
      <c r="B11063" s="3" t="str">
        <f>IFERROR(__xludf.DUMMYFUNCTION("""COMPUTED_VALUE"""),"3106 10TH LINE E")</f>
        <v>3106 10TH LINE E</v>
      </c>
      <c r="C11063" s="3" t="str">
        <f>IFERROR(__xludf.DUMMYFUNCTION("""COMPUTED_VALUE"""),"CAMPBELLFORD")</f>
        <v>CAMPBELLFORD</v>
      </c>
      <c r="D11063" s="3" t="str">
        <f>IFERROR(__xludf.DUMMYFUNCTION("""COMPUTED_VALUE"""),"K0L 1L0")</f>
        <v>K0L 1L0</v>
      </c>
      <c r="E11063" s="3"/>
      <c r="F11063" s="3"/>
      <c r="G11063" s="3"/>
      <c r="H11063" s="3"/>
    </row>
    <row r="11064">
      <c r="A11064" s="2">
        <f>IFERROR(__xludf.DUMMYFUNCTION("""COMPUTED_VALUE"""),70010.0)</f>
        <v>70010</v>
      </c>
      <c r="B11064" s="3" t="str">
        <f>IFERROR(__xludf.DUMMYFUNCTION("""COMPUTED_VALUE"""),"3111 10TH LINE E")</f>
        <v>3111 10TH LINE E</v>
      </c>
      <c r="C11064" s="3" t="str">
        <f>IFERROR(__xludf.DUMMYFUNCTION("""COMPUTED_VALUE"""),"CAMPBELLFORD")</f>
        <v>CAMPBELLFORD</v>
      </c>
      <c r="D11064" s="3" t="str">
        <f>IFERROR(__xludf.DUMMYFUNCTION("""COMPUTED_VALUE"""),"K0L 1L0")</f>
        <v>K0L 1L0</v>
      </c>
      <c r="E11064" s="3"/>
      <c r="F11064" s="3"/>
      <c r="G11064" s="3"/>
      <c r="H11064" s="3"/>
    </row>
    <row r="11065">
      <c r="A11065" s="2">
        <f>IFERROR(__xludf.DUMMYFUNCTION("""COMPUTED_VALUE"""),70011.0)</f>
        <v>70011</v>
      </c>
      <c r="B11065" s="3" t="str">
        <f>IFERROR(__xludf.DUMMYFUNCTION("""COMPUTED_VALUE"""),"3145 10TH LINE E")</f>
        <v>3145 10TH LINE E</v>
      </c>
      <c r="C11065" s="3" t="str">
        <f>IFERROR(__xludf.DUMMYFUNCTION("""COMPUTED_VALUE"""),"CAMPBELLFORD")</f>
        <v>CAMPBELLFORD</v>
      </c>
      <c r="D11065" s="3" t="str">
        <f>IFERROR(__xludf.DUMMYFUNCTION("""COMPUTED_VALUE"""),"K0L 1L0")</f>
        <v>K0L 1L0</v>
      </c>
      <c r="E11065" s="3"/>
      <c r="F11065" s="3"/>
      <c r="G11065" s="3"/>
      <c r="H11065" s="3"/>
    </row>
    <row r="11066">
      <c r="A11066" s="2">
        <f>IFERROR(__xludf.DUMMYFUNCTION("""COMPUTED_VALUE"""),70012.0)</f>
        <v>70012</v>
      </c>
      <c r="B11066" s="3" t="str">
        <f>IFERROR(__xludf.DUMMYFUNCTION("""COMPUTED_VALUE"""),"3170 10TH LINE E")</f>
        <v>3170 10TH LINE E</v>
      </c>
      <c r="C11066" s="3" t="str">
        <f>IFERROR(__xludf.DUMMYFUNCTION("""COMPUTED_VALUE"""),"CAMPBELLFORD")</f>
        <v>CAMPBELLFORD</v>
      </c>
      <c r="D11066" s="3" t="str">
        <f>IFERROR(__xludf.DUMMYFUNCTION("""COMPUTED_VALUE"""),"K0L 1L0")</f>
        <v>K0L 1L0</v>
      </c>
      <c r="E11066" s="3"/>
      <c r="F11066" s="3"/>
      <c r="G11066" s="3"/>
      <c r="H11066" s="3"/>
    </row>
    <row r="11067">
      <c r="A11067" s="2">
        <f>IFERROR(__xludf.DUMMYFUNCTION("""COMPUTED_VALUE"""),70013.0)</f>
        <v>70013</v>
      </c>
      <c r="B11067" s="3" t="str">
        <f>IFERROR(__xludf.DUMMYFUNCTION("""COMPUTED_VALUE"""),"3244 10TH LINE E")</f>
        <v>3244 10TH LINE E</v>
      </c>
      <c r="C11067" s="3" t="str">
        <f>IFERROR(__xludf.DUMMYFUNCTION("""COMPUTED_VALUE"""),"CAMPBELLFORD")</f>
        <v>CAMPBELLFORD</v>
      </c>
      <c r="D11067" s="3" t="str">
        <f>IFERROR(__xludf.DUMMYFUNCTION("""COMPUTED_VALUE"""),"K0L 1L0")</f>
        <v>K0L 1L0</v>
      </c>
      <c r="E11067" s="3"/>
      <c r="F11067" s="3"/>
      <c r="G11067" s="3"/>
      <c r="H11067" s="3"/>
    </row>
    <row r="11068">
      <c r="A11068" s="2">
        <f>IFERROR(__xludf.DUMMYFUNCTION("""COMPUTED_VALUE"""),70014.0)</f>
        <v>70014</v>
      </c>
      <c r="B11068" s="3" t="str">
        <f>IFERROR(__xludf.DUMMYFUNCTION("""COMPUTED_VALUE"""),"3260 10TH LINE E")</f>
        <v>3260 10TH LINE E</v>
      </c>
      <c r="C11068" s="3" t="str">
        <f>IFERROR(__xludf.DUMMYFUNCTION("""COMPUTED_VALUE"""),"CAMPBELLFORD")</f>
        <v>CAMPBELLFORD</v>
      </c>
      <c r="D11068" s="3" t="str">
        <f>IFERROR(__xludf.DUMMYFUNCTION("""COMPUTED_VALUE"""),"K0L 1L0")</f>
        <v>K0L 1L0</v>
      </c>
      <c r="E11068" s="3"/>
      <c r="F11068" s="3"/>
      <c r="G11068" s="3"/>
      <c r="H11068" s="3"/>
    </row>
    <row r="11069">
      <c r="A11069" s="2">
        <f>IFERROR(__xludf.DUMMYFUNCTION("""COMPUTED_VALUE"""),70015.0)</f>
        <v>70015</v>
      </c>
      <c r="B11069" s="3" t="str">
        <f>IFERROR(__xludf.DUMMYFUNCTION("""COMPUTED_VALUE"""),"3282 10TH LINE E")</f>
        <v>3282 10TH LINE E</v>
      </c>
      <c r="C11069" s="3" t="str">
        <f>IFERROR(__xludf.DUMMYFUNCTION("""COMPUTED_VALUE"""),"CAMPBELLFORD")</f>
        <v>CAMPBELLFORD</v>
      </c>
      <c r="D11069" s="3" t="str">
        <f>IFERROR(__xludf.DUMMYFUNCTION("""COMPUTED_VALUE"""),"K0L 1L0")</f>
        <v>K0L 1L0</v>
      </c>
      <c r="E11069" s="3"/>
      <c r="F11069" s="3"/>
      <c r="G11069" s="3"/>
      <c r="H11069" s="3"/>
    </row>
    <row r="11070">
      <c r="A11070" s="2">
        <f>IFERROR(__xludf.DUMMYFUNCTION("""COMPUTED_VALUE"""),70016.0)</f>
        <v>70016</v>
      </c>
      <c r="B11070" s="3" t="str">
        <f>IFERROR(__xludf.DUMMYFUNCTION("""COMPUTED_VALUE"""),"3410 10TH LINE E")</f>
        <v>3410 10TH LINE E</v>
      </c>
      <c r="C11070" s="3" t="str">
        <f>IFERROR(__xludf.DUMMYFUNCTION("""COMPUTED_VALUE"""),"CAMPBELLFORD")</f>
        <v>CAMPBELLFORD</v>
      </c>
      <c r="D11070" s="3" t="str">
        <f>IFERROR(__xludf.DUMMYFUNCTION("""COMPUTED_VALUE"""),"K0L 1L0")</f>
        <v>K0L 1L0</v>
      </c>
      <c r="E11070" s="3"/>
      <c r="F11070" s="3"/>
      <c r="G11070" s="3"/>
      <c r="H11070" s="3"/>
    </row>
    <row r="11071">
      <c r="A11071" s="2">
        <f>IFERROR(__xludf.DUMMYFUNCTION("""COMPUTED_VALUE"""),70017.0)</f>
        <v>70017</v>
      </c>
      <c r="B11071" s="3" t="str">
        <f>IFERROR(__xludf.DUMMYFUNCTION("""COMPUTED_VALUE"""),"3425 10TH LINE E")</f>
        <v>3425 10TH LINE E</v>
      </c>
      <c r="C11071" s="3" t="str">
        <f>IFERROR(__xludf.DUMMYFUNCTION("""COMPUTED_VALUE"""),"CAMPBELLFORD")</f>
        <v>CAMPBELLFORD</v>
      </c>
      <c r="D11071" s="3" t="str">
        <f>IFERROR(__xludf.DUMMYFUNCTION("""COMPUTED_VALUE"""),"K0L 1L0")</f>
        <v>K0L 1L0</v>
      </c>
      <c r="E11071" s="3"/>
      <c r="F11071" s="3"/>
      <c r="G11071" s="3"/>
      <c r="H11071" s="3"/>
    </row>
    <row r="11072">
      <c r="A11072" s="2">
        <f>IFERROR(__xludf.DUMMYFUNCTION("""COMPUTED_VALUE"""),70018.0)</f>
        <v>70018</v>
      </c>
      <c r="B11072" s="3" t="str">
        <f>IFERROR(__xludf.DUMMYFUNCTION("""COMPUTED_VALUE"""),"3428 10TH LINE E")</f>
        <v>3428 10TH LINE E</v>
      </c>
      <c r="C11072" s="3" t="str">
        <f>IFERROR(__xludf.DUMMYFUNCTION("""COMPUTED_VALUE"""),"CAMPBELLFORD")</f>
        <v>CAMPBELLFORD</v>
      </c>
      <c r="D11072" s="3" t="str">
        <f>IFERROR(__xludf.DUMMYFUNCTION("""COMPUTED_VALUE"""),"K0L 1L0")</f>
        <v>K0L 1L0</v>
      </c>
      <c r="E11072" s="3"/>
      <c r="F11072" s="3"/>
      <c r="G11072" s="3"/>
      <c r="H11072" s="3"/>
    </row>
    <row r="11073">
      <c r="A11073" s="2">
        <f>IFERROR(__xludf.DUMMYFUNCTION("""COMPUTED_VALUE"""),70019.0)</f>
        <v>70019</v>
      </c>
      <c r="B11073" s="3" t="str">
        <f>IFERROR(__xludf.DUMMYFUNCTION("""COMPUTED_VALUE"""),"3524 10TH LINE E")</f>
        <v>3524 10TH LINE E</v>
      </c>
      <c r="C11073" s="3" t="str">
        <f>IFERROR(__xludf.DUMMYFUNCTION("""COMPUTED_VALUE"""),"CAMPBELLFORD")</f>
        <v>CAMPBELLFORD</v>
      </c>
      <c r="D11073" s="3" t="str">
        <f>IFERROR(__xludf.DUMMYFUNCTION("""COMPUTED_VALUE"""),"K0L 1L0")</f>
        <v>K0L 1L0</v>
      </c>
      <c r="E11073" s="3"/>
      <c r="F11073" s="3"/>
      <c r="G11073" s="3"/>
      <c r="H11073" s="3"/>
    </row>
    <row r="11074">
      <c r="A11074" s="2">
        <f>IFERROR(__xludf.DUMMYFUNCTION("""COMPUTED_VALUE"""),70020.0)</f>
        <v>70020</v>
      </c>
      <c r="B11074" s="3" t="str">
        <f>IFERROR(__xludf.DUMMYFUNCTION("""COMPUTED_VALUE"""),"3639 10TH LINE E")</f>
        <v>3639 10TH LINE E</v>
      </c>
      <c r="C11074" s="3" t="str">
        <f>IFERROR(__xludf.DUMMYFUNCTION("""COMPUTED_VALUE"""),"CAMPBELLFORD")</f>
        <v>CAMPBELLFORD</v>
      </c>
      <c r="D11074" s="3" t="str">
        <f>IFERROR(__xludf.DUMMYFUNCTION("""COMPUTED_VALUE"""),"K0L 1L0")</f>
        <v>K0L 1L0</v>
      </c>
      <c r="E11074" s="3"/>
      <c r="F11074" s="3"/>
      <c r="G11074" s="3"/>
      <c r="H11074" s="3"/>
    </row>
    <row r="11075">
      <c r="A11075" s="2">
        <f>IFERROR(__xludf.DUMMYFUNCTION("""COMPUTED_VALUE"""),70021.0)</f>
        <v>70021</v>
      </c>
      <c r="B11075" s="3" t="str">
        <f>IFERROR(__xludf.DUMMYFUNCTION("""COMPUTED_VALUE"""),"3699 10TH LINE E")</f>
        <v>3699 10TH LINE E</v>
      </c>
      <c r="C11075" s="3" t="str">
        <f>IFERROR(__xludf.DUMMYFUNCTION("""COMPUTED_VALUE"""),"CAMPBELLFORD")</f>
        <v>CAMPBELLFORD</v>
      </c>
      <c r="D11075" s="3" t="str">
        <f>IFERROR(__xludf.DUMMYFUNCTION("""COMPUTED_VALUE"""),"K0L 1L0")</f>
        <v>K0L 1L0</v>
      </c>
      <c r="E11075" s="3"/>
      <c r="F11075" s="3"/>
      <c r="G11075" s="3"/>
      <c r="H11075" s="3"/>
    </row>
    <row r="11076">
      <c r="A11076" s="2">
        <f>IFERROR(__xludf.DUMMYFUNCTION("""COMPUTED_VALUE"""),70022.0)</f>
        <v>70022</v>
      </c>
      <c r="B11076" s="3" t="str">
        <f>IFERROR(__xludf.DUMMYFUNCTION("""COMPUTED_VALUE"""),"3710 10TH LINE E")</f>
        <v>3710 10TH LINE E</v>
      </c>
      <c r="C11076" s="3" t="str">
        <f>IFERROR(__xludf.DUMMYFUNCTION("""COMPUTED_VALUE"""),"CAMPBELLFORD")</f>
        <v>CAMPBELLFORD</v>
      </c>
      <c r="D11076" s="3" t="str">
        <f>IFERROR(__xludf.DUMMYFUNCTION("""COMPUTED_VALUE"""),"K0L 1L0")</f>
        <v>K0L 1L0</v>
      </c>
      <c r="E11076" s="3"/>
      <c r="F11076" s="3"/>
      <c r="G11076" s="3"/>
      <c r="H11076" s="3"/>
    </row>
    <row r="11077">
      <c r="A11077" s="2">
        <f>IFERROR(__xludf.DUMMYFUNCTION("""COMPUTED_VALUE"""),70031.0)</f>
        <v>70031</v>
      </c>
      <c r="B11077" s="3" t="str">
        <f>IFERROR(__xludf.DUMMYFUNCTION("""COMPUTED_VALUE"""),"2859B 10TH LINE E")</f>
        <v>2859B 10TH LINE E</v>
      </c>
      <c r="C11077" s="3" t="str">
        <f>IFERROR(__xludf.DUMMYFUNCTION("""COMPUTED_VALUE"""),"CAMPBELLFORD")</f>
        <v>CAMPBELLFORD</v>
      </c>
      <c r="D11077" s="3" t="str">
        <f>IFERROR(__xludf.DUMMYFUNCTION("""COMPUTED_VALUE"""),"K0L 1L0")</f>
        <v>K0L 1L0</v>
      </c>
      <c r="E11077" s="3"/>
      <c r="F11077" s="3"/>
      <c r="G11077" s="3"/>
      <c r="H11077" s="3"/>
    </row>
    <row r="11078">
      <c r="A11078" s="2">
        <f>IFERROR(__xludf.DUMMYFUNCTION("""COMPUTED_VALUE"""),70032.0)</f>
        <v>70032</v>
      </c>
      <c r="B11078" s="3" t="str">
        <f>IFERROR(__xludf.DUMMYFUNCTION("""COMPUTED_VALUE"""),"2859C 10TH LINE E")</f>
        <v>2859C 10TH LINE E</v>
      </c>
      <c r="C11078" s="3" t="str">
        <f>IFERROR(__xludf.DUMMYFUNCTION("""COMPUTED_VALUE"""),"CAMPBELLFORD")</f>
        <v>CAMPBELLFORD</v>
      </c>
      <c r="D11078" s="3" t="str">
        <f>IFERROR(__xludf.DUMMYFUNCTION("""COMPUTED_VALUE"""),"K0L 1L0")</f>
        <v>K0L 1L0</v>
      </c>
      <c r="E11078" s="3"/>
      <c r="F11078" s="3"/>
      <c r="G11078" s="3"/>
      <c r="H11078" s="3"/>
    </row>
    <row r="11079">
      <c r="A11079" s="2">
        <f>IFERROR(__xludf.DUMMYFUNCTION("""COMPUTED_VALUE"""),70033.0)</f>
        <v>70033</v>
      </c>
      <c r="B11079" s="3" t="str">
        <f>IFERROR(__xludf.DUMMYFUNCTION("""COMPUTED_VALUE"""),"2876A 10TH LINE E")</f>
        <v>2876A 10TH LINE E</v>
      </c>
      <c r="C11079" s="3" t="str">
        <f>IFERROR(__xludf.DUMMYFUNCTION("""COMPUTED_VALUE"""),"CAMPBELLFORD")</f>
        <v>CAMPBELLFORD</v>
      </c>
      <c r="D11079" s="3" t="str">
        <f>IFERROR(__xludf.DUMMYFUNCTION("""COMPUTED_VALUE"""),"K0L 1L0")</f>
        <v>K0L 1L0</v>
      </c>
      <c r="E11079" s="3" t="str">
        <f>IFERROR(__xludf.DUMMYFUNCTION("""COMPUTED_VALUE"""),"jeff carswell ")</f>
        <v>jeff carswell </v>
      </c>
      <c r="F11079" s="3"/>
      <c r="G11079" s="3">
        <f>IFERROR(__xludf.DUMMYFUNCTION("""COMPUTED_VALUE"""),7.056326489E9)</f>
        <v>7056326489</v>
      </c>
      <c r="H11079" s="3"/>
    </row>
    <row r="11080">
      <c r="A11080" s="2">
        <f>IFERROR(__xludf.DUMMYFUNCTION("""COMPUTED_VALUE"""),70034.0)</f>
        <v>70034</v>
      </c>
      <c r="B11080" s="3" t="str">
        <f>IFERROR(__xludf.DUMMYFUNCTION("""COMPUTED_VALUE"""),"2876B 10TH LINE E")</f>
        <v>2876B 10TH LINE E</v>
      </c>
      <c r="C11080" s="3" t="str">
        <f>IFERROR(__xludf.DUMMYFUNCTION("""COMPUTED_VALUE"""),"CAMPBELLFORD")</f>
        <v>CAMPBELLFORD</v>
      </c>
      <c r="D11080" s="3" t="str">
        <f>IFERROR(__xludf.DUMMYFUNCTION("""COMPUTED_VALUE"""),"K0L 1L0")</f>
        <v>K0L 1L0</v>
      </c>
      <c r="E11080" s="3"/>
      <c r="F11080" s="3"/>
      <c r="G11080" s="3"/>
      <c r="H11080" s="3"/>
    </row>
    <row r="11081">
      <c r="A11081" s="2">
        <f>IFERROR(__xludf.DUMMYFUNCTION("""COMPUTED_VALUE"""),70035.0)</f>
        <v>70035</v>
      </c>
      <c r="B11081" s="3" t="str">
        <f>IFERROR(__xludf.DUMMYFUNCTION("""COMPUTED_VALUE"""),"2876B 10TH LINE E")</f>
        <v>2876B 10TH LINE E</v>
      </c>
      <c r="C11081" s="3" t="str">
        <f>IFERROR(__xludf.DUMMYFUNCTION("""COMPUTED_VALUE"""),"CAMPBELLFORD")</f>
        <v>CAMPBELLFORD</v>
      </c>
      <c r="D11081" s="3" t="str">
        <f>IFERROR(__xludf.DUMMYFUNCTION("""COMPUTED_VALUE"""),"K0L 1L0")</f>
        <v>K0L 1L0</v>
      </c>
      <c r="E11081" s="3"/>
      <c r="F11081" s="3"/>
      <c r="G11081" s="3"/>
      <c r="H11081" s="3"/>
    </row>
    <row r="11082">
      <c r="A11082" s="2">
        <f>IFERROR(__xludf.DUMMYFUNCTION("""COMPUTED_VALUE"""),70036.0)</f>
        <v>70036</v>
      </c>
      <c r="B11082" s="3" t="str">
        <f>IFERROR(__xludf.DUMMYFUNCTION("""COMPUTED_VALUE"""),"2876D 10TH LINE E")</f>
        <v>2876D 10TH LINE E</v>
      </c>
      <c r="C11082" s="3" t="str">
        <f>IFERROR(__xludf.DUMMYFUNCTION("""COMPUTED_VALUE"""),"CAMPBELLFORD")</f>
        <v>CAMPBELLFORD</v>
      </c>
      <c r="D11082" s="3" t="str">
        <f>IFERROR(__xludf.DUMMYFUNCTION("""COMPUTED_VALUE"""),"K0L 1L0")</f>
        <v>K0L 1L0</v>
      </c>
      <c r="E11082" s="3" t="str">
        <f>IFERROR(__xludf.DUMMYFUNCTION("""COMPUTED_VALUE"""),"jim carswell ")</f>
        <v>jim carswell </v>
      </c>
      <c r="F11082" s="3" t="str">
        <f>IFERROR(__xludf.DUMMYFUNCTION("""COMPUTED_VALUE"""),"debandjim.carswell@yahoo.ca")</f>
        <v>debandjim.carswell@yahoo.ca</v>
      </c>
      <c r="G11082" s="3">
        <f>IFERROR(__xludf.DUMMYFUNCTION("""COMPUTED_VALUE"""),7.056531578E9)</f>
        <v>7056531578</v>
      </c>
      <c r="H11082" s="3"/>
    </row>
    <row r="11083">
      <c r="A11083" s="2">
        <f>IFERROR(__xludf.DUMMYFUNCTION("""COMPUTED_VALUE"""),70037.0)</f>
        <v>70037</v>
      </c>
      <c r="B11083" s="3" t="str">
        <f>IFERROR(__xludf.DUMMYFUNCTION("""COMPUTED_VALUE"""),"2876E 10TH LINE E")</f>
        <v>2876E 10TH LINE E</v>
      </c>
      <c r="C11083" s="3" t="str">
        <f>IFERROR(__xludf.DUMMYFUNCTION("""COMPUTED_VALUE"""),"CAMPBELLFORD")</f>
        <v>CAMPBELLFORD</v>
      </c>
      <c r="D11083" s="3" t="str">
        <f>IFERROR(__xludf.DUMMYFUNCTION("""COMPUTED_VALUE"""),"K0L 1L0")</f>
        <v>K0L 1L0</v>
      </c>
      <c r="E11083" s="3" t="str">
        <f>IFERROR(__xludf.DUMMYFUNCTION("""COMPUTED_VALUE"""),"erin wood ")</f>
        <v>erin wood </v>
      </c>
      <c r="F11083" s="3" t="str">
        <f>IFERROR(__xludf.DUMMYFUNCTION("""COMPUTED_VALUE"""),"erinwood@quadra.net")</f>
        <v>erinwood@quadra.net</v>
      </c>
      <c r="G11083" s="3">
        <f>IFERROR(__xludf.DUMMYFUNCTION("""COMPUTED_VALUE"""),5.192727969E9)</f>
        <v>5192727969</v>
      </c>
      <c r="H11083" s="3"/>
    </row>
    <row r="11084">
      <c r="A11084" s="2">
        <f>IFERROR(__xludf.DUMMYFUNCTION("""COMPUTED_VALUE"""),70038.0)</f>
        <v>70038</v>
      </c>
      <c r="B11084" s="3" t="str">
        <f>IFERROR(__xludf.DUMMYFUNCTION("""COMPUTED_VALUE"""),"2876G 10TH LINE E")</f>
        <v>2876G 10TH LINE E</v>
      </c>
      <c r="C11084" s="3" t="str">
        <f>IFERROR(__xludf.DUMMYFUNCTION("""COMPUTED_VALUE"""),"CAMPBELLFORD")</f>
        <v>CAMPBELLFORD</v>
      </c>
      <c r="D11084" s="3" t="str">
        <f>IFERROR(__xludf.DUMMYFUNCTION("""COMPUTED_VALUE"""),"K0L 1L0")</f>
        <v>K0L 1L0</v>
      </c>
      <c r="E11084" s="3"/>
      <c r="F11084" s="3"/>
      <c r="G11084" s="3"/>
      <c r="H11084" s="3"/>
    </row>
    <row r="11085">
      <c r="A11085" s="2">
        <f>IFERROR(__xludf.DUMMYFUNCTION("""COMPUTED_VALUE"""),70039.0)</f>
        <v>70039</v>
      </c>
      <c r="B11085" s="3" t="str">
        <f>IFERROR(__xludf.DUMMYFUNCTION("""COMPUTED_VALUE"""),"2876H 10TH LINE E")</f>
        <v>2876H 10TH LINE E</v>
      </c>
      <c r="C11085" s="3" t="str">
        <f>IFERROR(__xludf.DUMMYFUNCTION("""COMPUTED_VALUE"""),"CAMPBELLFORD")</f>
        <v>CAMPBELLFORD</v>
      </c>
      <c r="D11085" s="3" t="str">
        <f>IFERROR(__xludf.DUMMYFUNCTION("""COMPUTED_VALUE"""),"K0L 1L0")</f>
        <v>K0L 1L0</v>
      </c>
      <c r="E11085" s="3"/>
      <c r="F11085" s="3"/>
      <c r="G11085" s="3"/>
      <c r="H11085" s="3"/>
    </row>
    <row r="11086">
      <c r="A11086" s="2">
        <f>IFERROR(__xludf.DUMMYFUNCTION("""COMPUTED_VALUE"""),70040.0)</f>
        <v>70040</v>
      </c>
      <c r="B11086" s="3" t="str">
        <f>IFERROR(__xludf.DUMMYFUNCTION("""COMPUTED_VALUE"""),"2878B 10TH LINE E")</f>
        <v>2878B 10TH LINE E</v>
      </c>
      <c r="C11086" s="3" t="str">
        <f>IFERROR(__xludf.DUMMYFUNCTION("""COMPUTED_VALUE"""),"CAMPBELLFORD")</f>
        <v>CAMPBELLFORD</v>
      </c>
      <c r="D11086" s="3" t="str">
        <f>IFERROR(__xludf.DUMMYFUNCTION("""COMPUTED_VALUE"""),"K0L 1L0")</f>
        <v>K0L 1L0</v>
      </c>
      <c r="E11086" s="3" t="str">
        <f>IFERROR(__xludf.DUMMYFUNCTION("""COMPUTED_VALUE"""),"LILLA GILBART")</f>
        <v>LILLA GILBART</v>
      </c>
      <c r="F11086" s="3" t="str">
        <f>IFERROR(__xludf.DUMMYFUNCTION("""COMPUTED_VALUE"""),"john.gilbart@rogers.com")</f>
        <v>john.gilbart@rogers.com</v>
      </c>
      <c r="G11086" s="3"/>
      <c r="H11086" s="3"/>
    </row>
    <row r="11087">
      <c r="A11087" s="2">
        <f>IFERROR(__xludf.DUMMYFUNCTION("""COMPUTED_VALUE"""),70041.0)</f>
        <v>70041</v>
      </c>
      <c r="B11087" s="3" t="str">
        <f>IFERROR(__xludf.DUMMYFUNCTION("""COMPUTED_VALUE"""),"2878C 10TH LINE E")</f>
        <v>2878C 10TH LINE E</v>
      </c>
      <c r="C11087" s="3" t="str">
        <f>IFERROR(__xludf.DUMMYFUNCTION("""COMPUTED_VALUE"""),"CAMPBELLFORD")</f>
        <v>CAMPBELLFORD</v>
      </c>
      <c r="D11087" s="3" t="str">
        <f>IFERROR(__xludf.DUMMYFUNCTION("""COMPUTED_VALUE"""),"K0L 1L0")</f>
        <v>K0L 1L0</v>
      </c>
      <c r="E11087" s="3" t="str">
        <f>IFERROR(__xludf.DUMMYFUNCTION("""COMPUTED_VALUE"""),"margaret elmhirst ")</f>
        <v>margaret elmhirst </v>
      </c>
      <c r="F11087" s="3" t="str">
        <f>IFERROR(__xludf.DUMMYFUNCTION("""COMPUTED_VALUE"""),"margaretmelmhirst@gmail.com")</f>
        <v>margaretmelmhirst@gmail.com</v>
      </c>
      <c r="G11087" s="3">
        <f>IFERROR(__xludf.DUMMYFUNCTION("""COMPUTED_VALUE"""),7.056329255E9)</f>
        <v>7056329255</v>
      </c>
      <c r="H11087" s="3">
        <f>IFERROR(__xludf.DUMMYFUNCTION("""COMPUTED_VALUE"""),7.05653692E9)</f>
        <v>7056536920</v>
      </c>
    </row>
    <row r="11088">
      <c r="A11088" s="2">
        <f>IFERROR(__xludf.DUMMYFUNCTION("""COMPUTED_VALUE"""),70042.0)</f>
        <v>70042</v>
      </c>
      <c r="B11088" s="3" t="str">
        <f>IFERROR(__xludf.DUMMYFUNCTION("""COMPUTED_VALUE"""),"2878D 10TH LINE E")</f>
        <v>2878D 10TH LINE E</v>
      </c>
      <c r="C11088" s="3" t="str">
        <f>IFERROR(__xludf.DUMMYFUNCTION("""COMPUTED_VALUE"""),"CAMPBELLFORD")</f>
        <v>CAMPBELLFORD</v>
      </c>
      <c r="D11088" s="3" t="str">
        <f>IFERROR(__xludf.DUMMYFUNCTION("""COMPUTED_VALUE"""),"K0L 1L0")</f>
        <v>K0L 1L0</v>
      </c>
      <c r="E11088" s="3" t="str">
        <f>IFERROR(__xludf.DUMMYFUNCTION("""COMPUTED_VALUE"""),"jane o'reilly")</f>
        <v>jane o'reilly</v>
      </c>
      <c r="F11088" s="3" t="str">
        <f>IFERROR(__xludf.DUMMYFUNCTION("""COMPUTED_VALUE"""),"jane.c.oreilly@gmail.com")</f>
        <v>jane.c.oreilly@gmail.com</v>
      </c>
      <c r="G11088" s="3">
        <f>IFERROR(__xludf.DUMMYFUNCTION("""COMPUTED_VALUE"""),6.472428205E9)</f>
        <v>6472428205</v>
      </c>
      <c r="H11088" s="3"/>
    </row>
    <row r="11089">
      <c r="A11089" s="2">
        <f>IFERROR(__xludf.DUMMYFUNCTION("""COMPUTED_VALUE"""),70044.0)</f>
        <v>70044</v>
      </c>
      <c r="B11089" s="3" t="str">
        <f>IFERROR(__xludf.DUMMYFUNCTION("""COMPUTED_VALUE"""),"2680 11TH LINE E")</f>
        <v>2680 11TH LINE E</v>
      </c>
      <c r="C11089" s="3" t="str">
        <f>IFERROR(__xludf.DUMMYFUNCTION("""COMPUTED_VALUE"""),"MARMORA")</f>
        <v>MARMORA</v>
      </c>
      <c r="D11089" s="3" t="str">
        <f>IFERROR(__xludf.DUMMYFUNCTION("""COMPUTED_VALUE"""),"K0K 2M0")</f>
        <v>K0K 2M0</v>
      </c>
      <c r="E11089" s="3"/>
      <c r="F11089" s="3"/>
      <c r="G11089" s="3"/>
      <c r="H11089" s="3"/>
    </row>
    <row r="11090">
      <c r="A11090" s="2">
        <f>IFERROR(__xludf.DUMMYFUNCTION("""COMPUTED_VALUE"""),70045.0)</f>
        <v>70045</v>
      </c>
      <c r="B11090" s="3" t="str">
        <f>IFERROR(__xludf.DUMMYFUNCTION("""COMPUTED_VALUE"""),"2686 11TH LINE E")</f>
        <v>2686 11TH LINE E</v>
      </c>
      <c r="C11090" s="3" t="str">
        <f>IFERROR(__xludf.DUMMYFUNCTION("""COMPUTED_VALUE"""),"MARMORA")</f>
        <v>MARMORA</v>
      </c>
      <c r="D11090" s="3" t="str">
        <f>IFERROR(__xludf.DUMMYFUNCTION("""COMPUTED_VALUE"""),"K0K 2M0")</f>
        <v>K0K 2M0</v>
      </c>
      <c r="E11090" s="3"/>
      <c r="F11090" s="3"/>
      <c r="G11090" s="3"/>
      <c r="H11090" s="3"/>
    </row>
    <row r="11091">
      <c r="A11091" s="2">
        <f>IFERROR(__xludf.DUMMYFUNCTION("""COMPUTED_VALUE"""),70046.0)</f>
        <v>70046</v>
      </c>
      <c r="B11091" s="3" t="str">
        <f>IFERROR(__xludf.DUMMYFUNCTION("""COMPUTED_VALUE"""),"2701 11TH LINE E")</f>
        <v>2701 11TH LINE E</v>
      </c>
      <c r="C11091" s="3" t="str">
        <f>IFERROR(__xludf.DUMMYFUNCTION("""COMPUTED_VALUE"""),"MARMORA")</f>
        <v>MARMORA</v>
      </c>
      <c r="D11091" s="3" t="str">
        <f>IFERROR(__xludf.DUMMYFUNCTION("""COMPUTED_VALUE"""),"K0K 2M0")</f>
        <v>K0K 2M0</v>
      </c>
      <c r="E11091" s="3"/>
      <c r="F11091" s="3"/>
      <c r="G11091" s="3"/>
      <c r="H11091" s="3"/>
    </row>
    <row r="11092">
      <c r="A11092" s="2">
        <f>IFERROR(__xludf.DUMMYFUNCTION("""COMPUTED_VALUE"""),72545.0)</f>
        <v>72545</v>
      </c>
      <c r="B11092" s="3" t="str">
        <f>IFERROR(__xludf.DUMMYFUNCTION("""COMPUTED_VALUE"""),"2706 11TH LINE E")</f>
        <v>2706 11TH LINE E</v>
      </c>
      <c r="C11092" s="3" t="str">
        <f>IFERROR(__xludf.DUMMYFUNCTION("""COMPUTED_VALUE"""),"MARMORA")</f>
        <v>MARMORA</v>
      </c>
      <c r="D11092" s="3" t="str">
        <f>IFERROR(__xludf.DUMMYFUNCTION("""COMPUTED_VALUE"""),"K0K 2M0")</f>
        <v>K0K 2M0</v>
      </c>
      <c r="E11092" s="3" t="str">
        <f>IFERROR(__xludf.DUMMYFUNCTION("""COMPUTED_VALUE"""),"Pedro Hunte")</f>
        <v>Pedro Hunte</v>
      </c>
      <c r="F11092" s="3" t="str">
        <f>IFERROR(__xludf.DUMMYFUNCTION("""COMPUTED_VALUE"""),"phunteds9@gmail.com")</f>
        <v>phunteds9@gmail.com</v>
      </c>
      <c r="G11092" s="3">
        <f>IFERROR(__xludf.DUMMYFUNCTION("""COMPUTED_VALUE"""),9.055509187E9)</f>
        <v>9055509187</v>
      </c>
      <c r="H11092" s="3">
        <f>IFERROR(__xludf.DUMMYFUNCTION("""COMPUTED_VALUE"""),9.055509197E9)</f>
        <v>9055509197</v>
      </c>
    </row>
    <row r="11093">
      <c r="A11093" s="2">
        <f>IFERROR(__xludf.DUMMYFUNCTION("""COMPUTED_VALUE"""),70047.0)</f>
        <v>70047</v>
      </c>
      <c r="B11093" s="3" t="str">
        <f>IFERROR(__xludf.DUMMYFUNCTION("""COMPUTED_VALUE"""),"2708 11TH LINE E")</f>
        <v>2708 11TH LINE E</v>
      </c>
      <c r="C11093" s="3" t="str">
        <f>IFERROR(__xludf.DUMMYFUNCTION("""COMPUTED_VALUE"""),"MARMORA")</f>
        <v>MARMORA</v>
      </c>
      <c r="D11093" s="3" t="str">
        <f>IFERROR(__xludf.DUMMYFUNCTION("""COMPUTED_VALUE"""),"K0K 2M0")</f>
        <v>K0K 2M0</v>
      </c>
      <c r="E11093" s="3"/>
      <c r="F11093" s="3"/>
      <c r="G11093" s="3"/>
      <c r="H11093" s="3"/>
    </row>
    <row r="11094">
      <c r="A11094" s="2">
        <f>IFERROR(__xludf.DUMMYFUNCTION("""COMPUTED_VALUE"""),70048.0)</f>
        <v>70048</v>
      </c>
      <c r="B11094" s="3" t="str">
        <f>IFERROR(__xludf.DUMMYFUNCTION("""COMPUTED_VALUE"""),"2710 11TH LINE E")</f>
        <v>2710 11TH LINE E</v>
      </c>
      <c r="C11094" s="3" t="str">
        <f>IFERROR(__xludf.DUMMYFUNCTION("""COMPUTED_VALUE"""),"MARMORA")</f>
        <v>MARMORA</v>
      </c>
      <c r="D11094" s="3" t="str">
        <f>IFERROR(__xludf.DUMMYFUNCTION("""COMPUTED_VALUE"""),"K0K 2M0")</f>
        <v>K0K 2M0</v>
      </c>
      <c r="E11094" s="3"/>
      <c r="F11094" s="3"/>
      <c r="G11094" s="3"/>
      <c r="H11094" s="3"/>
    </row>
    <row r="11095">
      <c r="A11095" s="2">
        <f>IFERROR(__xludf.DUMMYFUNCTION("""COMPUTED_VALUE"""),70049.0)</f>
        <v>70049</v>
      </c>
      <c r="B11095" s="3" t="str">
        <f>IFERROR(__xludf.DUMMYFUNCTION("""COMPUTED_VALUE"""),"2711 11 LINE E")</f>
        <v>2711 11 LINE E</v>
      </c>
      <c r="C11095" s="3" t="str">
        <f>IFERROR(__xludf.DUMMYFUNCTION("""COMPUTED_VALUE"""),"MARMORA")</f>
        <v>MARMORA</v>
      </c>
      <c r="D11095" s="3" t="str">
        <f>IFERROR(__xludf.DUMMYFUNCTION("""COMPUTED_VALUE"""),"K0K 2M0")</f>
        <v>K0K 2M0</v>
      </c>
      <c r="E11095" s="3"/>
      <c r="F11095" s="3"/>
      <c r="G11095" s="3"/>
      <c r="H11095" s="3"/>
    </row>
    <row r="11096">
      <c r="A11096" s="2">
        <f>IFERROR(__xludf.DUMMYFUNCTION("""COMPUTED_VALUE"""),70050.0)</f>
        <v>70050</v>
      </c>
      <c r="B11096" s="3" t="str">
        <f>IFERROR(__xludf.DUMMYFUNCTION("""COMPUTED_VALUE"""),"2718 11TH LINE E")</f>
        <v>2718 11TH LINE E</v>
      </c>
      <c r="C11096" s="3" t="str">
        <f>IFERROR(__xludf.DUMMYFUNCTION("""COMPUTED_VALUE"""),"MARMORA")</f>
        <v>MARMORA</v>
      </c>
      <c r="D11096" s="3" t="str">
        <f>IFERROR(__xludf.DUMMYFUNCTION("""COMPUTED_VALUE"""),"K0K 2M0")</f>
        <v>K0K 2M0</v>
      </c>
      <c r="E11096" s="3"/>
      <c r="F11096" s="3"/>
      <c r="G11096" s="3"/>
      <c r="H11096" s="3"/>
    </row>
    <row r="11097">
      <c r="A11097" s="2">
        <f>IFERROR(__xludf.DUMMYFUNCTION("""COMPUTED_VALUE"""),70051.0)</f>
        <v>70051</v>
      </c>
      <c r="B11097" s="3" t="str">
        <f>IFERROR(__xludf.DUMMYFUNCTION("""COMPUTED_VALUE"""),"2728 11TH LINE E")</f>
        <v>2728 11TH LINE E</v>
      </c>
      <c r="C11097" s="3" t="str">
        <f>IFERROR(__xludf.DUMMYFUNCTION("""COMPUTED_VALUE"""),"MARMORA")</f>
        <v>MARMORA</v>
      </c>
      <c r="D11097" s="3" t="str">
        <f>IFERROR(__xludf.DUMMYFUNCTION("""COMPUTED_VALUE"""),"K0K 2M0")</f>
        <v>K0K 2M0</v>
      </c>
      <c r="E11097" s="3"/>
      <c r="F11097" s="3"/>
      <c r="G11097" s="3"/>
      <c r="H11097" s="3"/>
    </row>
    <row r="11098">
      <c r="A11098" s="2">
        <f>IFERROR(__xludf.DUMMYFUNCTION("""COMPUTED_VALUE"""),70052.0)</f>
        <v>70052</v>
      </c>
      <c r="B11098" s="3" t="str">
        <f>IFERROR(__xludf.DUMMYFUNCTION("""COMPUTED_VALUE"""),"2752 11TH LINE E")</f>
        <v>2752 11TH LINE E</v>
      </c>
      <c r="C11098" s="3" t="str">
        <f>IFERROR(__xludf.DUMMYFUNCTION("""COMPUTED_VALUE"""),"MARMORA")</f>
        <v>MARMORA</v>
      </c>
      <c r="D11098" s="3" t="str">
        <f>IFERROR(__xludf.DUMMYFUNCTION("""COMPUTED_VALUE"""),"K0K 2M0")</f>
        <v>K0K 2M0</v>
      </c>
      <c r="E11098" s="3"/>
      <c r="F11098" s="3"/>
      <c r="G11098" s="3"/>
      <c r="H11098" s="3"/>
    </row>
    <row r="11099">
      <c r="A11099" s="2">
        <f>IFERROR(__xludf.DUMMYFUNCTION("""COMPUTED_VALUE"""),70053.0)</f>
        <v>70053</v>
      </c>
      <c r="B11099" s="3" t="str">
        <f>IFERROR(__xludf.DUMMYFUNCTION("""COMPUTED_VALUE"""),"2759 11TH LINE E")</f>
        <v>2759 11TH LINE E</v>
      </c>
      <c r="C11099" s="3" t="str">
        <f>IFERROR(__xludf.DUMMYFUNCTION("""COMPUTED_VALUE"""),"MARMORA")</f>
        <v>MARMORA</v>
      </c>
      <c r="D11099" s="3" t="str">
        <f>IFERROR(__xludf.DUMMYFUNCTION("""COMPUTED_VALUE"""),"K0K 2M0")</f>
        <v>K0K 2M0</v>
      </c>
      <c r="E11099" s="3"/>
      <c r="F11099" s="3"/>
      <c r="G11099" s="3"/>
      <c r="H11099" s="3"/>
    </row>
    <row r="11100">
      <c r="A11100" s="2">
        <f>IFERROR(__xludf.DUMMYFUNCTION("""COMPUTED_VALUE"""),70054.0)</f>
        <v>70054</v>
      </c>
      <c r="B11100" s="3" t="str">
        <f>IFERROR(__xludf.DUMMYFUNCTION("""COMPUTED_VALUE"""),"276011TH LINE E")</f>
        <v>276011TH LINE E</v>
      </c>
      <c r="C11100" s="3" t="str">
        <f>IFERROR(__xludf.DUMMYFUNCTION("""COMPUTED_VALUE"""),"MARMORA")</f>
        <v>MARMORA</v>
      </c>
      <c r="D11100" s="3" t="str">
        <f>IFERROR(__xludf.DUMMYFUNCTION("""COMPUTED_VALUE"""),"K0K 2M0")</f>
        <v>K0K 2M0</v>
      </c>
      <c r="E11100" s="3"/>
      <c r="F11100" s="3"/>
      <c r="G11100" s="3"/>
      <c r="H11100" s="3"/>
    </row>
    <row r="11101">
      <c r="A11101" s="2">
        <f>IFERROR(__xludf.DUMMYFUNCTION("""COMPUTED_VALUE"""),70055.0)</f>
        <v>70055</v>
      </c>
      <c r="B11101" s="3" t="str">
        <f>IFERROR(__xludf.DUMMYFUNCTION("""COMPUTED_VALUE"""),"2764 11TH LINE E")</f>
        <v>2764 11TH LINE E</v>
      </c>
      <c r="C11101" s="3" t="str">
        <f>IFERROR(__xludf.DUMMYFUNCTION("""COMPUTED_VALUE"""),"MARMORA")</f>
        <v>MARMORA</v>
      </c>
      <c r="D11101" s="3" t="str">
        <f>IFERROR(__xludf.DUMMYFUNCTION("""COMPUTED_VALUE"""),"K0K 2M0")</f>
        <v>K0K 2M0</v>
      </c>
      <c r="E11101" s="3" t="str">
        <f>IFERROR(__xludf.DUMMYFUNCTION("""COMPUTED_VALUE"""),"ARLANDRE CHAPMAN")</f>
        <v>ARLANDRE CHAPMAN</v>
      </c>
      <c r="F11101" s="3" t="str">
        <f>IFERROR(__xludf.DUMMYFUNCTION("""COMPUTED_VALUE"""),"arlandrechapman1@outlook.com")</f>
        <v>arlandrechapman1@outlook.com</v>
      </c>
      <c r="G11101" s="3"/>
      <c r="H11101" s="3"/>
    </row>
    <row r="11102">
      <c r="A11102" s="2">
        <f>IFERROR(__xludf.DUMMYFUNCTION("""COMPUTED_VALUE"""),70056.0)</f>
        <v>70056</v>
      </c>
      <c r="B11102" s="3" t="str">
        <f>IFERROR(__xludf.DUMMYFUNCTION("""COMPUTED_VALUE"""),"2775 11TH LINE E")</f>
        <v>2775 11TH LINE E</v>
      </c>
      <c r="C11102" s="3" t="str">
        <f>IFERROR(__xludf.DUMMYFUNCTION("""COMPUTED_VALUE"""),"MARMORA")</f>
        <v>MARMORA</v>
      </c>
      <c r="D11102" s="3" t="str">
        <f>IFERROR(__xludf.DUMMYFUNCTION("""COMPUTED_VALUE"""),"K0K 2M0")</f>
        <v>K0K 2M0</v>
      </c>
      <c r="E11102" s="3"/>
      <c r="F11102" s="3"/>
      <c r="G11102" s="3"/>
      <c r="H11102" s="3"/>
    </row>
    <row r="11103">
      <c r="A11103" s="2">
        <f>IFERROR(__xludf.DUMMYFUNCTION("""COMPUTED_VALUE"""),70057.0)</f>
        <v>70057</v>
      </c>
      <c r="B11103" s="3" t="str">
        <f>IFERROR(__xludf.DUMMYFUNCTION("""COMPUTED_VALUE"""),"2799 11TH LINE E")</f>
        <v>2799 11TH LINE E</v>
      </c>
      <c r="C11103" s="3" t="str">
        <f>IFERROR(__xludf.DUMMYFUNCTION("""COMPUTED_VALUE"""),"MARMORA")</f>
        <v>MARMORA</v>
      </c>
      <c r="D11103" s="3" t="str">
        <f>IFERROR(__xludf.DUMMYFUNCTION("""COMPUTED_VALUE"""),"K0K 2M0")</f>
        <v>K0K 2M0</v>
      </c>
      <c r="E11103" s="3"/>
      <c r="F11103" s="3"/>
      <c r="G11103" s="3"/>
      <c r="H11103" s="3"/>
    </row>
    <row r="11104">
      <c r="A11104" s="2">
        <f>IFERROR(__xludf.DUMMYFUNCTION("""COMPUTED_VALUE"""),70058.0)</f>
        <v>70058</v>
      </c>
      <c r="B11104" s="3" t="str">
        <f>IFERROR(__xludf.DUMMYFUNCTION("""COMPUTED_VALUE"""),"2840 11TH LINE E")</f>
        <v>2840 11TH LINE E</v>
      </c>
      <c r="C11104" s="3" t="str">
        <f>IFERROR(__xludf.DUMMYFUNCTION("""COMPUTED_VALUE"""),"MARMORA")</f>
        <v>MARMORA</v>
      </c>
      <c r="D11104" s="3" t="str">
        <f>IFERROR(__xludf.DUMMYFUNCTION("""COMPUTED_VALUE"""),"K0K 2M0")</f>
        <v>K0K 2M0</v>
      </c>
      <c r="E11104" s="3" t="str">
        <f>IFERROR(__xludf.DUMMYFUNCTION("""COMPUTED_VALUE"""),"Ralph Fry")</f>
        <v>Ralph Fry</v>
      </c>
      <c r="F11104" s="3"/>
      <c r="G11104" s="3"/>
      <c r="H11104" s="3"/>
    </row>
    <row r="11105">
      <c r="A11105" s="2">
        <f>IFERROR(__xludf.DUMMYFUNCTION("""COMPUTED_VALUE"""),70059.0)</f>
        <v>70059</v>
      </c>
      <c r="B11105" s="3" t="str">
        <f>IFERROR(__xludf.DUMMYFUNCTION("""COMPUTED_VALUE"""),"2889 11TH LINE E")</f>
        <v>2889 11TH LINE E</v>
      </c>
      <c r="C11105" s="3" t="str">
        <f>IFERROR(__xludf.DUMMYFUNCTION("""COMPUTED_VALUE"""),"MARMORA")</f>
        <v>MARMORA</v>
      </c>
      <c r="D11105" s="3" t="str">
        <f>IFERROR(__xludf.DUMMYFUNCTION("""COMPUTED_VALUE"""),"K0K 2M0")</f>
        <v>K0K 2M0</v>
      </c>
      <c r="E11105" s="3"/>
      <c r="F11105" s="3"/>
      <c r="G11105" s="3"/>
      <c r="H11105" s="3"/>
    </row>
    <row r="11106">
      <c r="A11106" s="2">
        <f>IFERROR(__xludf.DUMMYFUNCTION("""COMPUTED_VALUE"""),70060.0)</f>
        <v>70060</v>
      </c>
      <c r="B11106" s="3" t="str">
        <f>IFERROR(__xludf.DUMMYFUNCTION("""COMPUTED_VALUE"""),"2949 11TH LINE E")</f>
        <v>2949 11TH LINE E</v>
      </c>
      <c r="C11106" s="3" t="str">
        <f>IFERROR(__xludf.DUMMYFUNCTION("""COMPUTED_VALUE"""),"MARMORA")</f>
        <v>MARMORA</v>
      </c>
      <c r="D11106" s="3" t="str">
        <f>IFERROR(__xludf.DUMMYFUNCTION("""COMPUTED_VALUE"""),"K0K 2M0")</f>
        <v>K0K 2M0</v>
      </c>
      <c r="E11106" s="3"/>
      <c r="F11106" s="3"/>
      <c r="G11106" s="3"/>
      <c r="H11106" s="3"/>
    </row>
    <row r="11107">
      <c r="A11107" s="2">
        <f>IFERROR(__xludf.DUMMYFUNCTION("""COMPUTED_VALUE"""),70061.0)</f>
        <v>70061</v>
      </c>
      <c r="B11107" s="3" t="str">
        <f>IFERROR(__xludf.DUMMYFUNCTION("""COMPUTED_VALUE"""),"2970 11TH LINE E")</f>
        <v>2970 11TH LINE E</v>
      </c>
      <c r="C11107" s="3" t="str">
        <f>IFERROR(__xludf.DUMMYFUNCTION("""COMPUTED_VALUE"""),"MARMORA")</f>
        <v>MARMORA</v>
      </c>
      <c r="D11107" s="3" t="str">
        <f>IFERROR(__xludf.DUMMYFUNCTION("""COMPUTED_VALUE"""),"K0K 2M0")</f>
        <v>K0K 2M0</v>
      </c>
      <c r="E11107" s="3"/>
      <c r="F11107" s="3"/>
      <c r="G11107" s="3"/>
      <c r="H11107" s="3"/>
    </row>
    <row r="11108">
      <c r="A11108" s="2">
        <f>IFERROR(__xludf.DUMMYFUNCTION("""COMPUTED_VALUE"""),70062.0)</f>
        <v>70062</v>
      </c>
      <c r="B11108" s="3" t="str">
        <f>IFERROR(__xludf.DUMMYFUNCTION("""COMPUTED_VALUE"""),"2993 11TH LINE E")</f>
        <v>2993 11TH LINE E</v>
      </c>
      <c r="C11108" s="3" t="str">
        <f>IFERROR(__xludf.DUMMYFUNCTION("""COMPUTED_VALUE"""),"MARMORA")</f>
        <v>MARMORA</v>
      </c>
      <c r="D11108" s="3" t="str">
        <f>IFERROR(__xludf.DUMMYFUNCTION("""COMPUTED_VALUE"""),"K0K 2M0")</f>
        <v>K0K 2M0</v>
      </c>
      <c r="E11108" s="3"/>
      <c r="F11108" s="3"/>
      <c r="G11108" s="3"/>
      <c r="H11108" s="3"/>
    </row>
    <row r="11109">
      <c r="A11109" s="2">
        <f>IFERROR(__xludf.DUMMYFUNCTION("""COMPUTED_VALUE"""),70063.0)</f>
        <v>70063</v>
      </c>
      <c r="B11109" s="3" t="str">
        <f>IFERROR(__xludf.DUMMYFUNCTION("""COMPUTED_VALUE"""),"3019 11TH LINE E")</f>
        <v>3019 11TH LINE E</v>
      </c>
      <c r="C11109" s="3" t="str">
        <f>IFERROR(__xludf.DUMMYFUNCTION("""COMPUTED_VALUE"""),"MARMORA")</f>
        <v>MARMORA</v>
      </c>
      <c r="D11109" s="3" t="str">
        <f>IFERROR(__xludf.DUMMYFUNCTION("""COMPUTED_VALUE"""),"K0K 2M0")</f>
        <v>K0K 2M0</v>
      </c>
      <c r="E11109" s="3"/>
      <c r="F11109" s="3"/>
      <c r="G11109" s="3"/>
      <c r="H11109" s="3"/>
    </row>
    <row r="11110">
      <c r="A11110" s="2">
        <f>IFERROR(__xludf.DUMMYFUNCTION("""COMPUTED_VALUE"""),70068.0)</f>
        <v>70068</v>
      </c>
      <c r="B11110" s="3" t="str">
        <f>IFERROR(__xludf.DUMMYFUNCTION("""COMPUTED_VALUE"""),"2594 12TH LINE E")</f>
        <v>2594 12TH LINE E</v>
      </c>
      <c r="C11110" s="3" t="str">
        <f>IFERROR(__xludf.DUMMYFUNCTION("""COMPUTED_VALUE"""),"MARMORA")</f>
        <v>MARMORA</v>
      </c>
      <c r="D11110" s="3" t="str">
        <f>IFERROR(__xludf.DUMMYFUNCTION("""COMPUTED_VALUE"""),"K0K 2M0")</f>
        <v>K0K 2M0</v>
      </c>
      <c r="E11110" s="3" t="str">
        <f>IFERROR(__xludf.DUMMYFUNCTION("""COMPUTED_VALUE"""),"Erin Keogh")</f>
        <v>Erin Keogh</v>
      </c>
      <c r="F11110" s="3" t="str">
        <f>IFERROR(__xludf.DUMMYFUNCTION("""COMPUTED_VALUE"""),"erin.g.keogh@gmail.com")</f>
        <v>erin.g.keogh@gmail.com</v>
      </c>
      <c r="G11110" s="3">
        <f>IFERROR(__xludf.DUMMYFUNCTION("""COMPUTED_VALUE"""),6.138273694E9)</f>
        <v>6138273694</v>
      </c>
      <c r="H11110" s="3">
        <f>IFERROR(__xludf.DUMMYFUNCTION("""COMPUTED_VALUE"""),6.138271934E9)</f>
        <v>6138271934</v>
      </c>
    </row>
    <row r="11111">
      <c r="A11111" s="2">
        <f>IFERROR(__xludf.DUMMYFUNCTION("""COMPUTED_VALUE"""),70069.0)</f>
        <v>70069</v>
      </c>
      <c r="B11111" s="3" t="str">
        <f>IFERROR(__xludf.DUMMYFUNCTION("""COMPUTED_VALUE"""),"2657 12TH LINE E")</f>
        <v>2657 12TH LINE E</v>
      </c>
      <c r="C11111" s="3" t="str">
        <f>IFERROR(__xludf.DUMMYFUNCTION("""COMPUTED_VALUE"""),"MARMORA")</f>
        <v>MARMORA</v>
      </c>
      <c r="D11111" s="3" t="str">
        <f>IFERROR(__xludf.DUMMYFUNCTION("""COMPUTED_VALUE"""),"K0K 2M0")</f>
        <v>K0K 2M0</v>
      </c>
      <c r="E11111" s="3"/>
      <c r="F11111" s="3"/>
      <c r="G11111" s="3"/>
      <c r="H11111" s="3"/>
    </row>
    <row r="11112">
      <c r="A11112" s="2">
        <f>IFERROR(__xludf.DUMMYFUNCTION("""COMPUTED_VALUE"""),70070.0)</f>
        <v>70070</v>
      </c>
      <c r="B11112" s="3" t="str">
        <f>IFERROR(__xludf.DUMMYFUNCTION("""COMPUTED_VALUE"""),"2800 12TH LINE E")</f>
        <v>2800 12TH LINE E</v>
      </c>
      <c r="C11112" s="3" t="str">
        <f>IFERROR(__xludf.DUMMYFUNCTION("""COMPUTED_VALUE"""),"MARMORA")</f>
        <v>MARMORA</v>
      </c>
      <c r="D11112" s="3" t="str">
        <f>IFERROR(__xludf.DUMMYFUNCTION("""COMPUTED_VALUE"""),"K0K 2M0")</f>
        <v>K0K 2M0</v>
      </c>
      <c r="E11112" s="3"/>
      <c r="F11112" s="3"/>
      <c r="G11112" s="3"/>
      <c r="H11112" s="3"/>
    </row>
    <row r="11113">
      <c r="A11113" s="2">
        <f>IFERROR(__xludf.DUMMYFUNCTION("""COMPUTED_VALUE"""),70071.0)</f>
        <v>70071</v>
      </c>
      <c r="B11113" s="3" t="str">
        <f>IFERROR(__xludf.DUMMYFUNCTION("""COMPUTED_VALUE"""),"2838 12TH LINE E")</f>
        <v>2838 12TH LINE E</v>
      </c>
      <c r="C11113" s="3" t="str">
        <f>IFERROR(__xludf.DUMMYFUNCTION("""COMPUTED_VALUE"""),"MARMORA")</f>
        <v>MARMORA</v>
      </c>
      <c r="D11113" s="3" t="str">
        <f>IFERROR(__xludf.DUMMYFUNCTION("""COMPUTED_VALUE"""),"K0K 2M0")</f>
        <v>K0K 2M0</v>
      </c>
      <c r="E11113" s="3" t="str">
        <f>IFERROR(__xludf.DUMMYFUNCTION("""COMPUTED_VALUE"""),"Casey Jaynes")</f>
        <v>Casey Jaynes</v>
      </c>
      <c r="F11113" s="3" t="str">
        <f>IFERROR(__xludf.DUMMYFUNCTION("""COMPUTED_VALUE"""),"jaynes.casey@gmail.com")</f>
        <v>jaynes.casey@gmail.com</v>
      </c>
      <c r="G11113" s="3">
        <f>IFERROR(__xludf.DUMMYFUNCTION("""COMPUTED_VALUE"""),9.053761169E9)</f>
        <v>9053761169</v>
      </c>
      <c r="H11113" s="3"/>
    </row>
    <row r="11114">
      <c r="A11114" s="2">
        <f>IFERROR(__xludf.DUMMYFUNCTION("""COMPUTED_VALUE"""),70092.0)</f>
        <v>70092</v>
      </c>
      <c r="B11114" s="3" t="str">
        <f>IFERROR(__xludf.DUMMYFUNCTION("""COMPUTED_VALUE"""),"2838 12TH LINE W")</f>
        <v>2838 12TH LINE W</v>
      </c>
      <c r="C11114" s="3" t="str">
        <f>IFERROR(__xludf.DUMMYFUNCTION("""COMPUTED_VALUE"""),"MARMORA")</f>
        <v>MARMORA</v>
      </c>
      <c r="D11114" s="3" t="str">
        <f>IFERROR(__xludf.DUMMYFUNCTION("""COMPUTED_VALUE"""),"K0K 2M0")</f>
        <v>K0K 2M0</v>
      </c>
      <c r="E11114" s="3"/>
      <c r="F11114" s="3"/>
      <c r="G11114" s="3"/>
      <c r="H11114" s="3"/>
    </row>
    <row r="11115">
      <c r="A11115" s="2">
        <f>IFERROR(__xludf.DUMMYFUNCTION("""COMPUTED_VALUE"""),70072.0)</f>
        <v>70072</v>
      </c>
      <c r="B11115" s="3" t="str">
        <f>IFERROR(__xludf.DUMMYFUNCTION("""COMPUTED_VALUE"""),"2859 12TH LINE E")</f>
        <v>2859 12TH LINE E</v>
      </c>
      <c r="C11115" s="3" t="str">
        <f>IFERROR(__xludf.DUMMYFUNCTION("""COMPUTED_VALUE"""),"MARMORA")</f>
        <v>MARMORA</v>
      </c>
      <c r="D11115" s="3" t="str">
        <f>IFERROR(__xludf.DUMMYFUNCTION("""COMPUTED_VALUE"""),"K0K 2M0")</f>
        <v>K0K 2M0</v>
      </c>
      <c r="E11115" s="3"/>
      <c r="F11115" s="3"/>
      <c r="G11115" s="3"/>
      <c r="H11115" s="3"/>
    </row>
    <row r="11116">
      <c r="A11116" s="2">
        <f>IFERROR(__xludf.DUMMYFUNCTION("""COMPUTED_VALUE"""),70073.0)</f>
        <v>70073</v>
      </c>
      <c r="B11116" s="3" t="str">
        <f>IFERROR(__xludf.DUMMYFUNCTION("""COMPUTED_VALUE"""),"2910 12TH LINE E")</f>
        <v>2910 12TH LINE E</v>
      </c>
      <c r="C11116" s="3" t="str">
        <f>IFERROR(__xludf.DUMMYFUNCTION("""COMPUTED_VALUE"""),"MARMORA")</f>
        <v>MARMORA</v>
      </c>
      <c r="D11116" s="3" t="str">
        <f>IFERROR(__xludf.DUMMYFUNCTION("""COMPUTED_VALUE"""),"K0K 2M0")</f>
        <v>K0K 2M0</v>
      </c>
      <c r="E11116" s="3"/>
      <c r="F11116" s="3"/>
      <c r="G11116" s="3"/>
      <c r="H11116" s="3"/>
    </row>
    <row r="11117">
      <c r="A11117" s="2">
        <f>IFERROR(__xludf.DUMMYFUNCTION("""COMPUTED_VALUE"""),70074.0)</f>
        <v>70074</v>
      </c>
      <c r="B11117" s="3" t="str">
        <f>IFERROR(__xludf.DUMMYFUNCTION("""COMPUTED_VALUE"""),"2920 12TH LINE E")</f>
        <v>2920 12TH LINE E</v>
      </c>
      <c r="C11117" s="3" t="str">
        <f>IFERROR(__xludf.DUMMYFUNCTION("""COMPUTED_VALUE"""),"MARMORA")</f>
        <v>MARMORA</v>
      </c>
      <c r="D11117" s="3" t="str">
        <f>IFERROR(__xludf.DUMMYFUNCTION("""COMPUTED_VALUE"""),"K0K 2M0")</f>
        <v>K0K 2M0</v>
      </c>
      <c r="E11117" s="3"/>
      <c r="F11117" s="3"/>
      <c r="G11117" s="3"/>
      <c r="H11117" s="3"/>
    </row>
    <row r="11118">
      <c r="A11118" s="2">
        <f>IFERROR(__xludf.DUMMYFUNCTION("""COMPUTED_VALUE"""),70075.0)</f>
        <v>70075</v>
      </c>
      <c r="B11118" s="3" t="str">
        <f>IFERROR(__xludf.DUMMYFUNCTION("""COMPUTED_VALUE"""),"2933 12TH LINE E")</f>
        <v>2933 12TH LINE E</v>
      </c>
      <c r="C11118" s="3" t="str">
        <f>IFERROR(__xludf.DUMMYFUNCTION("""COMPUTED_VALUE"""),"MARMORA")</f>
        <v>MARMORA</v>
      </c>
      <c r="D11118" s="3" t="str">
        <f>IFERROR(__xludf.DUMMYFUNCTION("""COMPUTED_VALUE"""),"K0K 2M0")</f>
        <v>K0K 2M0</v>
      </c>
      <c r="E11118" s="3"/>
      <c r="F11118" s="3"/>
      <c r="G11118" s="3"/>
      <c r="H11118" s="3"/>
    </row>
    <row r="11119">
      <c r="A11119" s="2">
        <f>IFERROR(__xludf.DUMMYFUNCTION("""COMPUTED_VALUE"""),70076.0)</f>
        <v>70076</v>
      </c>
      <c r="B11119" s="3" t="str">
        <f>IFERROR(__xludf.DUMMYFUNCTION("""COMPUTED_VALUE"""),"2981 12TH LINE E")</f>
        <v>2981 12TH LINE E</v>
      </c>
      <c r="C11119" s="3" t="str">
        <f>IFERROR(__xludf.DUMMYFUNCTION("""COMPUTED_VALUE"""),"MARMORA")</f>
        <v>MARMORA</v>
      </c>
      <c r="D11119" s="3" t="str">
        <f>IFERROR(__xludf.DUMMYFUNCTION("""COMPUTED_VALUE"""),"K0K 2M0")</f>
        <v>K0K 2M0</v>
      </c>
      <c r="E11119" s="3"/>
      <c r="F11119" s="3"/>
      <c r="G11119" s="3"/>
      <c r="H11119" s="3"/>
    </row>
    <row r="11120">
      <c r="A11120" s="2">
        <f>IFERROR(__xludf.DUMMYFUNCTION("""COMPUTED_VALUE"""),70077.0)</f>
        <v>70077</v>
      </c>
      <c r="B11120" s="3" t="str">
        <f>IFERROR(__xludf.DUMMYFUNCTION("""COMPUTED_VALUE"""),"2982 12TH LINE E")</f>
        <v>2982 12TH LINE E</v>
      </c>
      <c r="C11120" s="3" t="str">
        <f>IFERROR(__xludf.DUMMYFUNCTION("""COMPUTED_VALUE"""),"MARMORA")</f>
        <v>MARMORA</v>
      </c>
      <c r="D11120" s="3" t="str">
        <f>IFERROR(__xludf.DUMMYFUNCTION("""COMPUTED_VALUE"""),"K0K 2M0")</f>
        <v>K0K 2M0</v>
      </c>
      <c r="E11120" s="3"/>
      <c r="F11120" s="3"/>
      <c r="G11120" s="3"/>
      <c r="H11120" s="3"/>
    </row>
    <row r="11121">
      <c r="A11121" s="2">
        <f>IFERROR(__xludf.DUMMYFUNCTION("""COMPUTED_VALUE"""),70078.0)</f>
        <v>70078</v>
      </c>
      <c r="B11121" s="3" t="str">
        <f>IFERROR(__xludf.DUMMYFUNCTION("""COMPUTED_VALUE"""),"2995 12TH LINE E")</f>
        <v>2995 12TH LINE E</v>
      </c>
      <c r="C11121" s="3" t="str">
        <f>IFERROR(__xludf.DUMMYFUNCTION("""COMPUTED_VALUE"""),"MARMORA")</f>
        <v>MARMORA</v>
      </c>
      <c r="D11121" s="3" t="str">
        <f>IFERROR(__xludf.DUMMYFUNCTION("""COMPUTED_VALUE"""),"K0K 2M0")</f>
        <v>K0K 2M0</v>
      </c>
      <c r="E11121" s="3"/>
      <c r="F11121" s="3"/>
      <c r="G11121" s="3"/>
      <c r="H11121" s="3"/>
    </row>
    <row r="11122">
      <c r="A11122" s="2">
        <f>IFERROR(__xludf.DUMMYFUNCTION("""COMPUTED_VALUE"""),70079.0)</f>
        <v>70079</v>
      </c>
      <c r="B11122" s="3" t="str">
        <f>IFERROR(__xludf.DUMMYFUNCTION("""COMPUTED_VALUE"""),"3033 12TH LINE E")</f>
        <v>3033 12TH LINE E</v>
      </c>
      <c r="C11122" s="3" t="str">
        <f>IFERROR(__xludf.DUMMYFUNCTION("""COMPUTED_VALUE"""),"MARMORA")</f>
        <v>MARMORA</v>
      </c>
      <c r="D11122" s="3" t="str">
        <f>IFERROR(__xludf.DUMMYFUNCTION("""COMPUTED_VALUE"""),"K0K 2M0")</f>
        <v>K0K 2M0</v>
      </c>
      <c r="E11122" s="3"/>
      <c r="F11122" s="3"/>
      <c r="G11122" s="3"/>
      <c r="H11122" s="3"/>
    </row>
    <row r="11123">
      <c r="A11123" s="2">
        <f>IFERROR(__xludf.DUMMYFUNCTION("""COMPUTED_VALUE"""),70080.0)</f>
        <v>70080</v>
      </c>
      <c r="B11123" s="3" t="str">
        <f>IFERROR(__xludf.DUMMYFUNCTION("""COMPUTED_VALUE"""),"3034 12TH LINE E")</f>
        <v>3034 12TH LINE E</v>
      </c>
      <c r="C11123" s="3" t="str">
        <f>IFERROR(__xludf.DUMMYFUNCTION("""COMPUTED_VALUE"""),"MARMORA")</f>
        <v>MARMORA</v>
      </c>
      <c r="D11123" s="3" t="str">
        <f>IFERROR(__xludf.DUMMYFUNCTION("""COMPUTED_VALUE"""),"K0K 2M0")</f>
        <v>K0K 2M0</v>
      </c>
      <c r="E11123" s="3"/>
      <c r="F11123" s="3"/>
      <c r="G11123" s="3"/>
      <c r="H11123" s="3"/>
    </row>
    <row r="11124">
      <c r="A11124" s="2">
        <f>IFERROR(__xludf.DUMMYFUNCTION("""COMPUTED_VALUE"""),70081.0)</f>
        <v>70081</v>
      </c>
      <c r="B11124" s="3" t="str">
        <f>IFERROR(__xludf.DUMMYFUNCTION("""COMPUTED_VALUE"""),"3061 12TH LINE E")</f>
        <v>3061 12TH LINE E</v>
      </c>
      <c r="C11124" s="3" t="str">
        <f>IFERROR(__xludf.DUMMYFUNCTION("""COMPUTED_VALUE"""),"MARMORA")</f>
        <v>MARMORA</v>
      </c>
      <c r="D11124" s="3" t="str">
        <f>IFERROR(__xludf.DUMMYFUNCTION("""COMPUTED_VALUE"""),"K0K 2M0")</f>
        <v>K0K 2M0</v>
      </c>
      <c r="E11124" s="3"/>
      <c r="F11124" s="3"/>
      <c r="G11124" s="3"/>
      <c r="H11124" s="3"/>
    </row>
    <row r="11125">
      <c r="A11125" s="2">
        <f>IFERROR(__xludf.DUMMYFUNCTION("""COMPUTED_VALUE"""),70082.0)</f>
        <v>70082</v>
      </c>
      <c r="B11125" s="3" t="str">
        <f>IFERROR(__xludf.DUMMYFUNCTION("""COMPUTED_VALUE"""),"3070 12TH LINE E")</f>
        <v>3070 12TH LINE E</v>
      </c>
      <c r="C11125" s="3" t="str">
        <f>IFERROR(__xludf.DUMMYFUNCTION("""COMPUTED_VALUE"""),"MARMORA")</f>
        <v>MARMORA</v>
      </c>
      <c r="D11125" s="3" t="str">
        <f>IFERROR(__xludf.DUMMYFUNCTION("""COMPUTED_VALUE"""),"K0K 2M0")</f>
        <v>K0K 2M0</v>
      </c>
      <c r="E11125" s="3"/>
      <c r="F11125" s="3"/>
      <c r="G11125" s="3"/>
      <c r="H11125" s="3"/>
    </row>
    <row r="11126">
      <c r="A11126" s="2">
        <f>IFERROR(__xludf.DUMMYFUNCTION("""COMPUTED_VALUE"""),70083.0)</f>
        <v>70083</v>
      </c>
      <c r="B11126" s="3" t="str">
        <f>IFERROR(__xludf.DUMMYFUNCTION("""COMPUTED_VALUE"""),"3077 12TH LINE E")</f>
        <v>3077 12TH LINE E</v>
      </c>
      <c r="C11126" s="3" t="str">
        <f>IFERROR(__xludf.DUMMYFUNCTION("""COMPUTED_VALUE"""),"MARMORA")</f>
        <v>MARMORA</v>
      </c>
      <c r="D11126" s="3" t="str">
        <f>IFERROR(__xludf.DUMMYFUNCTION("""COMPUTED_VALUE"""),"K0K 2M0")</f>
        <v>K0K 2M0</v>
      </c>
      <c r="E11126" s="3"/>
      <c r="F11126" s="3"/>
      <c r="G11126" s="3"/>
      <c r="H11126" s="3"/>
    </row>
    <row r="11127">
      <c r="A11127" s="2">
        <f>IFERROR(__xludf.DUMMYFUNCTION("""COMPUTED_VALUE"""),70084.0)</f>
        <v>70084</v>
      </c>
      <c r="B11127" s="3" t="str">
        <f>IFERROR(__xludf.DUMMYFUNCTION("""COMPUTED_VALUE"""),"3093 12TH LINE E")</f>
        <v>3093 12TH LINE E</v>
      </c>
      <c r="C11127" s="3" t="str">
        <f>IFERROR(__xludf.DUMMYFUNCTION("""COMPUTED_VALUE"""),"MARMORA")</f>
        <v>MARMORA</v>
      </c>
      <c r="D11127" s="3" t="str">
        <f>IFERROR(__xludf.DUMMYFUNCTION("""COMPUTED_VALUE"""),"K0K 2M0")</f>
        <v>K0K 2M0</v>
      </c>
      <c r="E11127" s="3"/>
      <c r="F11127" s="3"/>
      <c r="G11127" s="3"/>
      <c r="H11127" s="3"/>
    </row>
    <row r="11128">
      <c r="A11128" s="2">
        <f>IFERROR(__xludf.DUMMYFUNCTION("""COMPUTED_VALUE"""),70085.0)</f>
        <v>70085</v>
      </c>
      <c r="B11128" s="3" t="str">
        <f>IFERROR(__xludf.DUMMYFUNCTION("""COMPUTED_VALUE"""),"3109 12TH LINE E")</f>
        <v>3109 12TH LINE E</v>
      </c>
      <c r="C11128" s="3" t="str">
        <f>IFERROR(__xludf.DUMMYFUNCTION("""COMPUTED_VALUE"""),"MARMORA")</f>
        <v>MARMORA</v>
      </c>
      <c r="D11128" s="3" t="str">
        <f>IFERROR(__xludf.DUMMYFUNCTION("""COMPUTED_VALUE"""),"K0K 2M0")</f>
        <v>K0K 2M0</v>
      </c>
      <c r="E11128" s="3"/>
      <c r="F11128" s="3"/>
      <c r="G11128" s="3"/>
      <c r="H11128" s="3"/>
    </row>
    <row r="11129">
      <c r="A11129" s="2">
        <f>IFERROR(__xludf.DUMMYFUNCTION("""COMPUTED_VALUE"""),70086.0)</f>
        <v>70086</v>
      </c>
      <c r="B11129" s="3" t="str">
        <f>IFERROR(__xludf.DUMMYFUNCTION("""COMPUTED_VALUE"""),"3600 12TH LINE E")</f>
        <v>3600 12TH LINE E</v>
      </c>
      <c r="C11129" s="3" t="str">
        <f>IFERROR(__xludf.DUMMYFUNCTION("""COMPUTED_VALUE"""),"MARMORA")</f>
        <v>MARMORA</v>
      </c>
      <c r="D11129" s="3" t="str">
        <f>IFERROR(__xludf.DUMMYFUNCTION("""COMPUTED_VALUE"""),"K0K 2M0")</f>
        <v>K0K 2M0</v>
      </c>
      <c r="E11129" s="3"/>
      <c r="F11129" s="3"/>
      <c r="G11129" s="3"/>
      <c r="H11129" s="3"/>
    </row>
    <row r="11130">
      <c r="A11130" s="2">
        <f>IFERROR(__xludf.DUMMYFUNCTION("""COMPUTED_VALUE"""),70087.0)</f>
        <v>70087</v>
      </c>
      <c r="B11130" s="3" t="str">
        <f>IFERROR(__xludf.DUMMYFUNCTION("""COMPUTED_VALUE"""),"3610 12TH LINE E")</f>
        <v>3610 12TH LINE E</v>
      </c>
      <c r="C11130" s="3" t="str">
        <f>IFERROR(__xludf.DUMMYFUNCTION("""COMPUTED_VALUE"""),"MARMORA")</f>
        <v>MARMORA</v>
      </c>
      <c r="D11130" s="3" t="str">
        <f>IFERROR(__xludf.DUMMYFUNCTION("""COMPUTED_VALUE"""),"K0K 2M0")</f>
        <v>K0K 2M0</v>
      </c>
      <c r="E11130" s="3"/>
      <c r="F11130" s="3"/>
      <c r="G11130" s="3"/>
      <c r="H11130" s="3"/>
    </row>
    <row r="11131">
      <c r="A11131" s="2">
        <f>IFERROR(__xludf.DUMMYFUNCTION("""COMPUTED_VALUE"""),70088.0)</f>
        <v>70088</v>
      </c>
      <c r="B11131" s="3" t="str">
        <f>IFERROR(__xludf.DUMMYFUNCTION("""COMPUTED_VALUE"""),"3612 12TH LINE E")</f>
        <v>3612 12TH LINE E</v>
      </c>
      <c r="C11131" s="3" t="str">
        <f>IFERROR(__xludf.DUMMYFUNCTION("""COMPUTED_VALUE"""),"MARMORA")</f>
        <v>MARMORA</v>
      </c>
      <c r="D11131" s="3" t="str">
        <f>IFERROR(__xludf.DUMMYFUNCTION("""COMPUTED_VALUE"""),"K0K 2M0")</f>
        <v>K0K 2M0</v>
      </c>
      <c r="E11131" s="3" t="str">
        <f>IFERROR(__xludf.DUMMYFUNCTION("""COMPUTED_VALUE"""),"Urseino MELO")</f>
        <v>Urseino MELO</v>
      </c>
      <c r="F11131" s="3" t="str">
        <f>IFERROR(__xludf.DUMMYFUNCTION("""COMPUTED_VALUE"""),"jimmelo122@gmail.com")</f>
        <v>jimmelo122@gmail.com</v>
      </c>
      <c r="G11131" s="3"/>
      <c r="H11131" s="3"/>
    </row>
    <row r="11132">
      <c r="A11132" s="2">
        <f>IFERROR(__xludf.DUMMYFUNCTION("""COMPUTED_VALUE"""),70089.0)</f>
        <v>70089</v>
      </c>
      <c r="B11132" s="3" t="str">
        <f>IFERROR(__xludf.DUMMYFUNCTION("""COMPUTED_VALUE"""),"3620 12TH LINE E")</f>
        <v>3620 12TH LINE E</v>
      </c>
      <c r="C11132" s="3" t="str">
        <f>IFERROR(__xludf.DUMMYFUNCTION("""COMPUTED_VALUE"""),"MARMORA")</f>
        <v>MARMORA</v>
      </c>
      <c r="D11132" s="3" t="str">
        <f>IFERROR(__xludf.DUMMYFUNCTION("""COMPUTED_VALUE"""),"K0K 2M0")</f>
        <v>K0K 2M0</v>
      </c>
      <c r="E11132" s="3"/>
      <c r="F11132" s="3"/>
      <c r="G11132" s="3"/>
      <c r="H11132" s="3"/>
    </row>
    <row r="11133">
      <c r="A11133" s="2">
        <f>IFERROR(__xludf.DUMMYFUNCTION("""COMPUTED_VALUE"""),70090.0)</f>
        <v>70090</v>
      </c>
      <c r="B11133" s="3" t="str">
        <f>IFERROR(__xludf.DUMMYFUNCTION("""COMPUTED_VALUE"""),"4428 12TH LINE E")</f>
        <v>4428 12TH LINE E</v>
      </c>
      <c r="C11133" s="3" t="str">
        <f>IFERROR(__xludf.DUMMYFUNCTION("""COMPUTED_VALUE"""),"MARMORA")</f>
        <v>MARMORA</v>
      </c>
      <c r="D11133" s="3" t="str">
        <f>IFERROR(__xludf.DUMMYFUNCTION("""COMPUTED_VALUE"""),"K0K 2M0")</f>
        <v>K0K 2M0</v>
      </c>
      <c r="E11133" s="3"/>
      <c r="F11133" s="3"/>
      <c r="G11133" s="3"/>
      <c r="H11133" s="3"/>
    </row>
    <row r="11134">
      <c r="A11134" s="2">
        <f>IFERROR(__xludf.DUMMYFUNCTION("""COMPUTED_VALUE"""),70091.0)</f>
        <v>70091</v>
      </c>
      <c r="B11134" s="3" t="str">
        <f>IFERROR(__xludf.DUMMYFUNCTION("""COMPUTED_VALUE"""),"12TH LINE E")</f>
        <v>12TH LINE E</v>
      </c>
      <c r="C11134" s="3" t="str">
        <f>IFERROR(__xludf.DUMMYFUNCTION("""COMPUTED_VALUE"""),"MARMORA")</f>
        <v>MARMORA</v>
      </c>
      <c r="D11134" s="3" t="str">
        <f>IFERROR(__xludf.DUMMYFUNCTION("""COMPUTED_VALUE"""),"K0K 2M0")</f>
        <v>K0K 2M0</v>
      </c>
      <c r="E11134" s="3"/>
      <c r="F11134" s="3"/>
      <c r="G11134" s="3"/>
      <c r="H11134" s="3"/>
    </row>
    <row r="11135">
      <c r="A11135" s="2">
        <f>IFERROR(__xludf.DUMMYFUNCTION("""COMPUTED_VALUE"""),70093.0)</f>
        <v>70093</v>
      </c>
      <c r="B11135" s="3" t="str">
        <f>IFERROR(__xludf.DUMMYFUNCTION("""COMPUTED_VALUE"""),"1570 13TH LINE E")</f>
        <v>1570 13TH LINE E</v>
      </c>
      <c r="C11135" s="3" t="str">
        <f>IFERROR(__xludf.DUMMYFUNCTION("""COMPUTED_VALUE"""),"MARMORA")</f>
        <v>MARMORA</v>
      </c>
      <c r="D11135" s="3" t="str">
        <f>IFERROR(__xludf.DUMMYFUNCTION("""COMPUTED_VALUE"""),"K0K 2M0")</f>
        <v>K0K 2M0</v>
      </c>
      <c r="E11135" s="3"/>
      <c r="F11135" s="3"/>
      <c r="G11135" s="3"/>
      <c r="H11135" s="3"/>
    </row>
    <row r="11136">
      <c r="A11136" s="2">
        <f>IFERROR(__xludf.DUMMYFUNCTION("""COMPUTED_VALUE"""),70094.0)</f>
        <v>70094</v>
      </c>
      <c r="B11136" s="3" t="str">
        <f>IFERROR(__xludf.DUMMYFUNCTION("""COMPUTED_VALUE"""),"1571 13TH LINE E")</f>
        <v>1571 13TH LINE E</v>
      </c>
      <c r="C11136" s="3" t="str">
        <f>IFERROR(__xludf.DUMMYFUNCTION("""COMPUTED_VALUE"""),"MARMORA")</f>
        <v>MARMORA</v>
      </c>
      <c r="D11136" s="3" t="str">
        <f>IFERROR(__xludf.DUMMYFUNCTION("""COMPUTED_VALUE"""),"K0K 2M0")</f>
        <v>K0K 2M0</v>
      </c>
      <c r="E11136" s="3" t="str">
        <f>IFERROR(__xludf.DUMMYFUNCTION("""COMPUTED_VALUE"""),"denis beauparlant")</f>
        <v>denis beauparlant</v>
      </c>
      <c r="F11136" s="3" t="str">
        <f>IFERROR(__xludf.DUMMYFUNCTION("""COMPUTED_VALUE"""),"n.beauparlant@hotmail.com")</f>
        <v>n.beauparlant@hotmail.com</v>
      </c>
      <c r="G11136" s="3">
        <f>IFERROR(__xludf.DUMMYFUNCTION("""COMPUTED_VALUE"""),7.056531537E9)</f>
        <v>7056531537</v>
      </c>
      <c r="H11136" s="3">
        <f>IFERROR(__xludf.DUMMYFUNCTION("""COMPUTED_VALUE"""),7.0565383E9)</f>
        <v>7056538300</v>
      </c>
    </row>
    <row r="11137">
      <c r="A11137" s="2">
        <f>IFERROR(__xludf.DUMMYFUNCTION("""COMPUTED_VALUE"""),70095.0)</f>
        <v>70095</v>
      </c>
      <c r="B11137" s="3" t="str">
        <f>IFERROR(__xludf.DUMMYFUNCTION("""COMPUTED_VALUE"""),"1572 13TH LINE E")</f>
        <v>1572 13TH LINE E</v>
      </c>
      <c r="C11137" s="3" t="str">
        <f>IFERROR(__xludf.DUMMYFUNCTION("""COMPUTED_VALUE"""),"MARMORA")</f>
        <v>MARMORA</v>
      </c>
      <c r="D11137" s="3" t="str">
        <f>IFERROR(__xludf.DUMMYFUNCTION("""COMPUTED_VALUE"""),"K0K 2M0")</f>
        <v>K0K 2M0</v>
      </c>
      <c r="E11137" s="3"/>
      <c r="F11137" s="3"/>
      <c r="G11137" s="3"/>
      <c r="H11137" s="3"/>
    </row>
    <row r="11138">
      <c r="A11138" s="2">
        <f>IFERROR(__xludf.DUMMYFUNCTION("""COMPUTED_VALUE"""),70096.0)</f>
        <v>70096</v>
      </c>
      <c r="B11138" s="3" t="str">
        <f>IFERROR(__xludf.DUMMYFUNCTION("""COMPUTED_VALUE"""),"1650 13TH LINE E")</f>
        <v>1650 13TH LINE E</v>
      </c>
      <c r="C11138" s="3" t="str">
        <f>IFERROR(__xludf.DUMMYFUNCTION("""COMPUTED_VALUE"""),"MARMORA")</f>
        <v>MARMORA</v>
      </c>
      <c r="D11138" s="3" t="str">
        <f>IFERROR(__xludf.DUMMYFUNCTION("""COMPUTED_VALUE"""),"K0K 2M0")</f>
        <v>K0K 2M0</v>
      </c>
      <c r="E11138" s="3"/>
      <c r="F11138" s="3"/>
      <c r="G11138" s="3"/>
      <c r="H11138" s="3"/>
    </row>
    <row r="11139">
      <c r="A11139" s="2">
        <f>IFERROR(__xludf.DUMMYFUNCTION("""COMPUTED_VALUE"""),70097.0)</f>
        <v>70097</v>
      </c>
      <c r="B11139" s="3" t="str">
        <f>IFERROR(__xludf.DUMMYFUNCTION("""COMPUTED_VALUE"""),"1701 13TH LINE E")</f>
        <v>1701 13TH LINE E</v>
      </c>
      <c r="C11139" s="3" t="str">
        <f>IFERROR(__xludf.DUMMYFUNCTION("""COMPUTED_VALUE"""),"MARMORA")</f>
        <v>MARMORA</v>
      </c>
      <c r="D11139" s="3" t="str">
        <f>IFERROR(__xludf.DUMMYFUNCTION("""COMPUTED_VALUE"""),"K0K 2M0")</f>
        <v>K0K 2M0</v>
      </c>
      <c r="E11139" s="3"/>
      <c r="F11139" s="3"/>
      <c r="G11139" s="3"/>
      <c r="H11139" s="3"/>
    </row>
    <row r="11140">
      <c r="A11140" s="2">
        <f>IFERROR(__xludf.DUMMYFUNCTION("""COMPUTED_VALUE"""),70098.0)</f>
        <v>70098</v>
      </c>
      <c r="B11140" s="3" t="str">
        <f>IFERROR(__xludf.DUMMYFUNCTION("""COMPUTED_VALUE"""),"1704 13TH LINE E")</f>
        <v>1704 13TH LINE E</v>
      </c>
      <c r="C11140" s="3" t="str">
        <f>IFERROR(__xludf.DUMMYFUNCTION("""COMPUTED_VALUE"""),"MARMORA")</f>
        <v>MARMORA</v>
      </c>
      <c r="D11140" s="3" t="str">
        <f>IFERROR(__xludf.DUMMYFUNCTION("""COMPUTED_VALUE"""),"K0K 2M0")</f>
        <v>K0K 2M0</v>
      </c>
      <c r="E11140" s="3"/>
      <c r="F11140" s="3"/>
      <c r="G11140" s="3"/>
      <c r="H11140" s="3"/>
    </row>
    <row r="11141">
      <c r="A11141" s="2">
        <f>IFERROR(__xludf.DUMMYFUNCTION("""COMPUTED_VALUE"""),72549.0)</f>
        <v>72549</v>
      </c>
      <c r="B11141" s="3" t="str">
        <f>IFERROR(__xludf.DUMMYFUNCTION("""COMPUTED_VALUE"""),"1809 13TH LINE E")</f>
        <v>1809 13TH LINE E</v>
      </c>
      <c r="C11141" s="3" t="str">
        <f>IFERROR(__xludf.DUMMYFUNCTION("""COMPUTED_VALUE"""),"MARMORA")</f>
        <v>MARMORA</v>
      </c>
      <c r="D11141" s="3" t="str">
        <f>IFERROR(__xludf.DUMMYFUNCTION("""COMPUTED_VALUE"""),"K0K 2M0")</f>
        <v>K0K 2M0</v>
      </c>
      <c r="E11141" s="3"/>
      <c r="F11141" s="3"/>
      <c r="G11141" s="3"/>
      <c r="H11141" s="3"/>
    </row>
    <row r="11142">
      <c r="A11142" s="2">
        <f>IFERROR(__xludf.DUMMYFUNCTION("""COMPUTED_VALUE"""),70099.0)</f>
        <v>70099</v>
      </c>
      <c r="B11142" s="3" t="str">
        <f>IFERROR(__xludf.DUMMYFUNCTION("""COMPUTED_VALUE"""),"1840 13TH LINE E")</f>
        <v>1840 13TH LINE E</v>
      </c>
      <c r="C11142" s="3" t="str">
        <f>IFERROR(__xludf.DUMMYFUNCTION("""COMPUTED_VALUE"""),"MARMORA")</f>
        <v>MARMORA</v>
      </c>
      <c r="D11142" s="3" t="str">
        <f>IFERROR(__xludf.DUMMYFUNCTION("""COMPUTED_VALUE"""),"K0K 2M0")</f>
        <v>K0K 2M0</v>
      </c>
      <c r="E11142" s="3"/>
      <c r="F11142" s="3"/>
      <c r="G11142" s="3"/>
      <c r="H11142" s="3"/>
    </row>
    <row r="11143">
      <c r="A11143" s="2">
        <f>IFERROR(__xludf.DUMMYFUNCTION("""COMPUTED_VALUE"""),70100.0)</f>
        <v>70100</v>
      </c>
      <c r="B11143" s="3" t="str">
        <f>IFERROR(__xludf.DUMMYFUNCTION("""COMPUTED_VALUE"""),"1847 13TH LINE E")</f>
        <v>1847 13TH LINE E</v>
      </c>
      <c r="C11143" s="3" t="str">
        <f>IFERROR(__xludf.DUMMYFUNCTION("""COMPUTED_VALUE"""),"MARMORA")</f>
        <v>MARMORA</v>
      </c>
      <c r="D11143" s="3" t="str">
        <f>IFERROR(__xludf.DUMMYFUNCTION("""COMPUTED_VALUE"""),"K0K 2M0")</f>
        <v>K0K 2M0</v>
      </c>
      <c r="E11143" s="3"/>
      <c r="F11143" s="3"/>
      <c r="G11143" s="3"/>
      <c r="H11143" s="3"/>
    </row>
    <row r="11144">
      <c r="A11144" s="2">
        <f>IFERROR(__xludf.DUMMYFUNCTION("""COMPUTED_VALUE"""),70101.0)</f>
        <v>70101</v>
      </c>
      <c r="B11144" s="3" t="str">
        <f>IFERROR(__xludf.DUMMYFUNCTION("""COMPUTED_VALUE"""),"1855 13TH LINE E")</f>
        <v>1855 13TH LINE E</v>
      </c>
      <c r="C11144" s="3" t="str">
        <f>IFERROR(__xludf.DUMMYFUNCTION("""COMPUTED_VALUE"""),"MARMORA")</f>
        <v>MARMORA</v>
      </c>
      <c r="D11144" s="3" t="str">
        <f>IFERROR(__xludf.DUMMYFUNCTION("""COMPUTED_VALUE"""),"K0K 2M0")</f>
        <v>K0K 2M0</v>
      </c>
      <c r="E11144" s="3"/>
      <c r="F11144" s="3"/>
      <c r="G11144" s="3"/>
      <c r="H11144" s="3"/>
    </row>
    <row r="11145">
      <c r="A11145" s="2">
        <f>IFERROR(__xludf.DUMMYFUNCTION("""COMPUTED_VALUE"""),70102.0)</f>
        <v>70102</v>
      </c>
      <c r="B11145" s="3" t="str">
        <f>IFERROR(__xludf.DUMMYFUNCTION("""COMPUTED_VALUE"""),"1888 13TH LINE E")</f>
        <v>1888 13TH LINE E</v>
      </c>
      <c r="C11145" s="3" t="str">
        <f>IFERROR(__xludf.DUMMYFUNCTION("""COMPUTED_VALUE"""),"MARMORA")</f>
        <v>MARMORA</v>
      </c>
      <c r="D11145" s="3" t="str">
        <f>IFERROR(__xludf.DUMMYFUNCTION("""COMPUTED_VALUE"""),"K0K 2M0")</f>
        <v>K0K 2M0</v>
      </c>
      <c r="E11145" s="3"/>
      <c r="F11145" s="3"/>
      <c r="G11145" s="3"/>
      <c r="H11145" s="3"/>
    </row>
    <row r="11146">
      <c r="A11146" s="2">
        <f>IFERROR(__xludf.DUMMYFUNCTION("""COMPUTED_VALUE"""),70103.0)</f>
        <v>70103</v>
      </c>
      <c r="B11146" s="3" t="str">
        <f>IFERROR(__xludf.DUMMYFUNCTION("""COMPUTED_VALUE"""),"1898 13TH LINE E")</f>
        <v>1898 13TH LINE E</v>
      </c>
      <c r="C11146" s="3" t="str">
        <f>IFERROR(__xludf.DUMMYFUNCTION("""COMPUTED_VALUE"""),"MARMORA")</f>
        <v>MARMORA</v>
      </c>
      <c r="D11146" s="3" t="str">
        <f>IFERROR(__xludf.DUMMYFUNCTION("""COMPUTED_VALUE"""),"K0K 2M0")</f>
        <v>K0K 2M0</v>
      </c>
      <c r="E11146" s="3"/>
      <c r="F11146" s="3"/>
      <c r="G11146" s="3"/>
      <c r="H11146" s="3"/>
    </row>
    <row r="11147">
      <c r="A11147" s="2">
        <f>IFERROR(__xludf.DUMMYFUNCTION("""COMPUTED_VALUE"""),70104.0)</f>
        <v>70104</v>
      </c>
      <c r="B11147" s="3" t="str">
        <f>IFERROR(__xludf.DUMMYFUNCTION("""COMPUTED_VALUE"""),"1913 13TH LINE E")</f>
        <v>1913 13TH LINE E</v>
      </c>
      <c r="C11147" s="3" t="str">
        <f>IFERROR(__xludf.DUMMYFUNCTION("""COMPUTED_VALUE"""),"MARMORA")</f>
        <v>MARMORA</v>
      </c>
      <c r="D11147" s="3" t="str">
        <f>IFERROR(__xludf.DUMMYFUNCTION("""COMPUTED_VALUE"""),"K0K 2M0")</f>
        <v>K0K 2M0</v>
      </c>
      <c r="E11147" s="3"/>
      <c r="F11147" s="3"/>
      <c r="G11147" s="3"/>
      <c r="H11147" s="3"/>
    </row>
    <row r="11148">
      <c r="A11148" s="2">
        <f>IFERROR(__xludf.DUMMYFUNCTION("""COMPUTED_VALUE"""),70105.0)</f>
        <v>70105</v>
      </c>
      <c r="B11148" s="3" t="str">
        <f>IFERROR(__xludf.DUMMYFUNCTION("""COMPUTED_VALUE"""),"1948 13TH LINE E")</f>
        <v>1948 13TH LINE E</v>
      </c>
      <c r="C11148" s="3" t="str">
        <f>IFERROR(__xludf.DUMMYFUNCTION("""COMPUTED_VALUE"""),"MARMORA")</f>
        <v>MARMORA</v>
      </c>
      <c r="D11148" s="3" t="str">
        <f>IFERROR(__xludf.DUMMYFUNCTION("""COMPUTED_VALUE"""),"K0K 2M0")</f>
        <v>K0K 2M0</v>
      </c>
      <c r="E11148" s="3"/>
      <c r="F11148" s="3"/>
      <c r="G11148" s="3"/>
      <c r="H11148" s="3"/>
    </row>
    <row r="11149">
      <c r="A11149" s="2">
        <f>IFERROR(__xludf.DUMMYFUNCTION("""COMPUTED_VALUE"""),70106.0)</f>
        <v>70106</v>
      </c>
      <c r="B11149" s="3" t="str">
        <f>IFERROR(__xludf.DUMMYFUNCTION("""COMPUTED_VALUE"""),"1956 13TH LINE E")</f>
        <v>1956 13TH LINE E</v>
      </c>
      <c r="C11149" s="3" t="str">
        <f>IFERROR(__xludf.DUMMYFUNCTION("""COMPUTED_VALUE"""),"MARMORA")</f>
        <v>MARMORA</v>
      </c>
      <c r="D11149" s="3" t="str">
        <f>IFERROR(__xludf.DUMMYFUNCTION("""COMPUTED_VALUE"""),"K0K 2M0")</f>
        <v>K0K 2M0</v>
      </c>
      <c r="E11149" s="3"/>
      <c r="F11149" s="3"/>
      <c r="G11149" s="3"/>
      <c r="H11149" s="3"/>
    </row>
    <row r="11150">
      <c r="A11150" s="2">
        <f>IFERROR(__xludf.DUMMYFUNCTION("""COMPUTED_VALUE"""),72548.0)</f>
        <v>72548</v>
      </c>
      <c r="B11150" s="3" t="str">
        <f>IFERROR(__xludf.DUMMYFUNCTION("""COMPUTED_VALUE"""),"1995 13TH LINE E")</f>
        <v>1995 13TH LINE E</v>
      </c>
      <c r="C11150" s="3" t="str">
        <f>IFERROR(__xludf.DUMMYFUNCTION("""COMPUTED_VALUE"""),"MARMORA")</f>
        <v>MARMORA</v>
      </c>
      <c r="D11150" s="3" t="str">
        <f>IFERROR(__xludf.DUMMYFUNCTION("""COMPUTED_VALUE"""),"K0K 2M0")</f>
        <v>K0K 2M0</v>
      </c>
      <c r="E11150" s="3"/>
      <c r="F11150" s="3"/>
      <c r="G11150" s="3"/>
      <c r="H11150" s="3"/>
    </row>
    <row r="11151">
      <c r="A11151" s="2">
        <f>IFERROR(__xludf.DUMMYFUNCTION("""COMPUTED_VALUE"""),70107.0)</f>
        <v>70107</v>
      </c>
      <c r="B11151" s="3" t="str">
        <f>IFERROR(__xludf.DUMMYFUNCTION("""COMPUTED_VALUE"""),"2028 13TH LINE E")</f>
        <v>2028 13TH LINE E</v>
      </c>
      <c r="C11151" s="3" t="str">
        <f>IFERROR(__xludf.DUMMYFUNCTION("""COMPUTED_VALUE"""),"MARMORA")</f>
        <v>MARMORA</v>
      </c>
      <c r="D11151" s="3" t="str">
        <f>IFERROR(__xludf.DUMMYFUNCTION("""COMPUTED_VALUE"""),"K0K 2M0")</f>
        <v>K0K 2M0</v>
      </c>
      <c r="E11151" s="3"/>
      <c r="F11151" s="3"/>
      <c r="G11151" s="3"/>
      <c r="H11151" s="3"/>
    </row>
    <row r="11152">
      <c r="A11152" s="2">
        <f>IFERROR(__xludf.DUMMYFUNCTION("""COMPUTED_VALUE"""),70108.0)</f>
        <v>70108</v>
      </c>
      <c r="B11152" s="3" t="str">
        <f>IFERROR(__xludf.DUMMYFUNCTION("""COMPUTED_VALUE"""),"2050 13TH LINE E")</f>
        <v>2050 13TH LINE E</v>
      </c>
      <c r="C11152" s="3" t="str">
        <f>IFERROR(__xludf.DUMMYFUNCTION("""COMPUTED_VALUE"""),"MARMORA")</f>
        <v>MARMORA</v>
      </c>
      <c r="D11152" s="3" t="str">
        <f>IFERROR(__xludf.DUMMYFUNCTION("""COMPUTED_VALUE"""),"K0K 2M0")</f>
        <v>K0K 2M0</v>
      </c>
      <c r="E11152" s="3"/>
      <c r="F11152" s="3"/>
      <c r="G11152" s="3"/>
      <c r="H11152" s="3"/>
    </row>
    <row r="11153">
      <c r="A11153" s="2">
        <f>IFERROR(__xludf.DUMMYFUNCTION("""COMPUTED_VALUE"""),70109.0)</f>
        <v>70109</v>
      </c>
      <c r="B11153" s="3" t="str">
        <f>IFERROR(__xludf.DUMMYFUNCTION("""COMPUTED_VALUE"""),"2056 13TH LINE E")</f>
        <v>2056 13TH LINE E</v>
      </c>
      <c r="C11153" s="3" t="str">
        <f>IFERROR(__xludf.DUMMYFUNCTION("""COMPUTED_VALUE"""),"MARMORA")</f>
        <v>MARMORA</v>
      </c>
      <c r="D11153" s="3" t="str">
        <f>IFERROR(__xludf.DUMMYFUNCTION("""COMPUTED_VALUE"""),"K0K 2M0")</f>
        <v>K0K 2M0</v>
      </c>
      <c r="E11153" s="3"/>
      <c r="F11153" s="3"/>
      <c r="G11153" s="3"/>
      <c r="H11153" s="3"/>
    </row>
    <row r="11154">
      <c r="A11154" s="2">
        <f>IFERROR(__xludf.DUMMYFUNCTION("""COMPUTED_VALUE"""),70110.0)</f>
        <v>70110</v>
      </c>
      <c r="B11154" s="3" t="str">
        <f>IFERROR(__xludf.DUMMYFUNCTION("""COMPUTED_VALUE"""),"2093 13TH LINE E")</f>
        <v>2093 13TH LINE E</v>
      </c>
      <c r="C11154" s="3" t="str">
        <f>IFERROR(__xludf.DUMMYFUNCTION("""COMPUTED_VALUE"""),"MARMORA")</f>
        <v>MARMORA</v>
      </c>
      <c r="D11154" s="3" t="str">
        <f>IFERROR(__xludf.DUMMYFUNCTION("""COMPUTED_VALUE"""),"K0K 2M0")</f>
        <v>K0K 2M0</v>
      </c>
      <c r="E11154" s="3"/>
      <c r="F11154" s="3"/>
      <c r="G11154" s="3"/>
      <c r="H11154" s="3"/>
    </row>
    <row r="11155">
      <c r="A11155" s="2">
        <f>IFERROR(__xludf.DUMMYFUNCTION("""COMPUTED_VALUE"""),70111.0)</f>
        <v>70111</v>
      </c>
      <c r="B11155" s="3" t="str">
        <f>IFERROR(__xludf.DUMMYFUNCTION("""COMPUTED_VALUE"""),"2110 13TH LINE E")</f>
        <v>2110 13TH LINE E</v>
      </c>
      <c r="C11155" s="3" t="str">
        <f>IFERROR(__xludf.DUMMYFUNCTION("""COMPUTED_VALUE"""),"MARMORA")</f>
        <v>MARMORA</v>
      </c>
      <c r="D11155" s="3" t="str">
        <f>IFERROR(__xludf.DUMMYFUNCTION("""COMPUTED_VALUE"""),"K0K 2M0")</f>
        <v>K0K 2M0</v>
      </c>
      <c r="E11155" s="3"/>
      <c r="F11155" s="3"/>
      <c r="G11155" s="3"/>
      <c r="H11155" s="3"/>
    </row>
    <row r="11156">
      <c r="A11156" s="2">
        <f>IFERROR(__xludf.DUMMYFUNCTION("""COMPUTED_VALUE"""),70112.0)</f>
        <v>70112</v>
      </c>
      <c r="B11156" s="3" t="str">
        <f>IFERROR(__xludf.DUMMYFUNCTION("""COMPUTED_VALUE"""),"2151 13TH LINE E")</f>
        <v>2151 13TH LINE E</v>
      </c>
      <c r="C11156" s="3" t="str">
        <f>IFERROR(__xludf.DUMMYFUNCTION("""COMPUTED_VALUE"""),"MARMORA")</f>
        <v>MARMORA</v>
      </c>
      <c r="D11156" s="3" t="str">
        <f>IFERROR(__xludf.DUMMYFUNCTION("""COMPUTED_VALUE"""),"K0K 2M0")</f>
        <v>K0K 2M0</v>
      </c>
      <c r="E11156" s="3"/>
      <c r="F11156" s="3"/>
      <c r="G11156" s="3"/>
      <c r="H11156" s="3"/>
    </row>
    <row r="11157">
      <c r="A11157" s="2">
        <f>IFERROR(__xludf.DUMMYFUNCTION("""COMPUTED_VALUE"""),70113.0)</f>
        <v>70113</v>
      </c>
      <c r="B11157" s="3" t="str">
        <f>IFERROR(__xludf.DUMMYFUNCTION("""COMPUTED_VALUE"""),"2227 13TH LINE E")</f>
        <v>2227 13TH LINE E</v>
      </c>
      <c r="C11157" s="3" t="str">
        <f>IFERROR(__xludf.DUMMYFUNCTION("""COMPUTED_VALUE"""),"MARMORA")</f>
        <v>MARMORA</v>
      </c>
      <c r="D11157" s="3" t="str">
        <f>IFERROR(__xludf.DUMMYFUNCTION("""COMPUTED_VALUE"""),"K0K 2M0")</f>
        <v>K0K 2M0</v>
      </c>
      <c r="E11157" s="3"/>
      <c r="F11157" s="3"/>
      <c r="G11157" s="3"/>
      <c r="H11157" s="3"/>
    </row>
    <row r="11158">
      <c r="A11158" s="2">
        <f>IFERROR(__xludf.DUMMYFUNCTION("""COMPUTED_VALUE"""),70114.0)</f>
        <v>70114</v>
      </c>
      <c r="B11158" s="3" t="str">
        <f>IFERROR(__xludf.DUMMYFUNCTION("""COMPUTED_VALUE"""),"2239 13TH LINE E")</f>
        <v>2239 13TH LINE E</v>
      </c>
      <c r="C11158" s="3" t="str">
        <f>IFERROR(__xludf.DUMMYFUNCTION("""COMPUTED_VALUE"""),"MARMORA")</f>
        <v>MARMORA</v>
      </c>
      <c r="D11158" s="3" t="str">
        <f>IFERROR(__xludf.DUMMYFUNCTION("""COMPUTED_VALUE"""),"K0K 2M0")</f>
        <v>K0K 2M0</v>
      </c>
      <c r="E11158" s="3"/>
      <c r="F11158" s="3"/>
      <c r="G11158" s="3"/>
      <c r="H11158" s="3"/>
    </row>
    <row r="11159">
      <c r="A11159" s="2">
        <f>IFERROR(__xludf.DUMMYFUNCTION("""COMPUTED_VALUE"""),70115.0)</f>
        <v>70115</v>
      </c>
      <c r="B11159" s="3" t="str">
        <f>IFERROR(__xludf.DUMMYFUNCTION("""COMPUTED_VALUE"""),"2240 13TH LINE E")</f>
        <v>2240 13TH LINE E</v>
      </c>
      <c r="C11159" s="3" t="str">
        <f>IFERROR(__xludf.DUMMYFUNCTION("""COMPUTED_VALUE"""),"MARMORA")</f>
        <v>MARMORA</v>
      </c>
      <c r="D11159" s="3" t="str">
        <f>IFERROR(__xludf.DUMMYFUNCTION("""COMPUTED_VALUE"""),"K0K 2M0")</f>
        <v>K0K 2M0</v>
      </c>
      <c r="E11159" s="3"/>
      <c r="F11159" s="3"/>
      <c r="G11159" s="3"/>
      <c r="H11159" s="3"/>
    </row>
    <row r="11160">
      <c r="A11160" s="2">
        <f>IFERROR(__xludf.DUMMYFUNCTION("""COMPUTED_VALUE"""),70116.0)</f>
        <v>70116</v>
      </c>
      <c r="B11160" s="3" t="str">
        <f>IFERROR(__xludf.DUMMYFUNCTION("""COMPUTED_VALUE"""),"2255 13TH LINE E")</f>
        <v>2255 13TH LINE E</v>
      </c>
      <c r="C11160" s="3" t="str">
        <f>IFERROR(__xludf.DUMMYFUNCTION("""COMPUTED_VALUE"""),"MARMORA")</f>
        <v>MARMORA</v>
      </c>
      <c r="D11160" s="3" t="str">
        <f>IFERROR(__xludf.DUMMYFUNCTION("""COMPUTED_VALUE"""),"K0K 2M0")</f>
        <v>K0K 2M0</v>
      </c>
      <c r="E11160" s="3"/>
      <c r="F11160" s="3"/>
      <c r="G11160" s="3"/>
      <c r="H11160" s="3"/>
    </row>
    <row r="11161">
      <c r="A11161" s="2">
        <f>IFERROR(__xludf.DUMMYFUNCTION("""COMPUTED_VALUE"""),70117.0)</f>
        <v>70117</v>
      </c>
      <c r="B11161" s="3" t="str">
        <f>IFERROR(__xludf.DUMMYFUNCTION("""COMPUTED_VALUE"""),"2300 13TH LINE E")</f>
        <v>2300 13TH LINE E</v>
      </c>
      <c r="C11161" s="3" t="str">
        <f>IFERROR(__xludf.DUMMYFUNCTION("""COMPUTED_VALUE"""),"MARMORA")</f>
        <v>MARMORA</v>
      </c>
      <c r="D11161" s="3" t="str">
        <f>IFERROR(__xludf.DUMMYFUNCTION("""COMPUTED_VALUE"""),"K0K 2M0")</f>
        <v>K0K 2M0</v>
      </c>
      <c r="E11161" s="3"/>
      <c r="F11161" s="3"/>
      <c r="G11161" s="3"/>
      <c r="H11161" s="3"/>
    </row>
    <row r="11162">
      <c r="A11162" s="2">
        <f>IFERROR(__xludf.DUMMYFUNCTION("""COMPUTED_VALUE"""),70118.0)</f>
        <v>70118</v>
      </c>
      <c r="B11162" s="3" t="str">
        <f>IFERROR(__xludf.DUMMYFUNCTION("""COMPUTED_VALUE"""),"2336 13TH LINE E")</f>
        <v>2336 13TH LINE E</v>
      </c>
      <c r="C11162" s="3" t="str">
        <f>IFERROR(__xludf.DUMMYFUNCTION("""COMPUTED_VALUE"""),"MARMORA")</f>
        <v>MARMORA</v>
      </c>
      <c r="D11162" s="3" t="str">
        <f>IFERROR(__xludf.DUMMYFUNCTION("""COMPUTED_VALUE"""),"K0K 2M0")</f>
        <v>K0K 2M0</v>
      </c>
      <c r="E11162" s="3" t="str">
        <f>IFERROR(__xludf.DUMMYFUNCTION("""COMPUTED_VALUE"""),"Greg Miller")</f>
        <v>Greg Miller</v>
      </c>
      <c r="F11162" s="3" t="str">
        <f>IFERROR(__xludf.DUMMYFUNCTION("""COMPUTED_VALUE"""),"gamiller141@gmail.com")</f>
        <v>gamiller141@gmail.com</v>
      </c>
      <c r="G11162" s="3"/>
      <c r="H11162" s="3"/>
    </row>
    <row r="11163">
      <c r="A11163" s="2">
        <f>IFERROR(__xludf.DUMMYFUNCTION("""COMPUTED_VALUE"""),70119.0)</f>
        <v>70119</v>
      </c>
      <c r="B11163" s="3" t="str">
        <f>IFERROR(__xludf.DUMMYFUNCTION("""COMPUTED_VALUE"""),"2339 13TH LINE E")</f>
        <v>2339 13TH LINE E</v>
      </c>
      <c r="C11163" s="3" t="str">
        <f>IFERROR(__xludf.DUMMYFUNCTION("""COMPUTED_VALUE"""),"MARMORA")</f>
        <v>MARMORA</v>
      </c>
      <c r="D11163" s="3" t="str">
        <f>IFERROR(__xludf.DUMMYFUNCTION("""COMPUTED_VALUE"""),"K0K 2M0")</f>
        <v>K0K 2M0</v>
      </c>
      <c r="E11163" s="3" t="str">
        <f>IFERROR(__xludf.DUMMYFUNCTION("""COMPUTED_VALUE"""),"Bernice FERGUSON")</f>
        <v>Bernice FERGUSON</v>
      </c>
      <c r="F11163" s="3" t="str">
        <f>IFERROR(__xludf.DUMMYFUNCTION("""COMPUTED_VALUE"""),"lynfergie2000@yahoo.ca")</f>
        <v>lynfergie2000@yahoo.ca</v>
      </c>
      <c r="G11163" s="3"/>
      <c r="H11163" s="3"/>
    </row>
    <row r="11164">
      <c r="A11164" s="2">
        <f>IFERROR(__xludf.DUMMYFUNCTION("""COMPUTED_VALUE"""),70120.0)</f>
        <v>70120</v>
      </c>
      <c r="B11164" s="3" t="str">
        <f>IFERROR(__xludf.DUMMYFUNCTION("""COMPUTED_VALUE"""),"2387 13TH LINE E")</f>
        <v>2387 13TH LINE E</v>
      </c>
      <c r="C11164" s="3" t="str">
        <f>IFERROR(__xludf.DUMMYFUNCTION("""COMPUTED_VALUE"""),"MARMORA")</f>
        <v>MARMORA</v>
      </c>
      <c r="D11164" s="3" t="str">
        <f>IFERROR(__xludf.DUMMYFUNCTION("""COMPUTED_VALUE"""),"K0K 2M0")</f>
        <v>K0K 2M0</v>
      </c>
      <c r="E11164" s="3" t="str">
        <f>IFERROR(__xludf.DUMMYFUNCTION("""COMPUTED_VALUE"""),"Mike Ferreira")</f>
        <v>Mike Ferreira</v>
      </c>
      <c r="F11164" s="3" t="str">
        <f>IFERROR(__xludf.DUMMYFUNCTION("""COMPUTED_VALUE"""),"sendmikework@gmail.com")</f>
        <v>sendmikework@gmail.com</v>
      </c>
      <c r="G11164" s="3">
        <f>IFERROR(__xludf.DUMMYFUNCTION("""COMPUTED_VALUE"""),6.472749887E9)</f>
        <v>6472749887</v>
      </c>
      <c r="H11164" s="3"/>
    </row>
    <row r="11165">
      <c r="A11165" s="2">
        <f>IFERROR(__xludf.DUMMYFUNCTION("""COMPUTED_VALUE"""),70121.0)</f>
        <v>70121</v>
      </c>
      <c r="B11165" s="3" t="str">
        <f>IFERROR(__xludf.DUMMYFUNCTION("""COMPUTED_VALUE"""),"2453 13TH LINE E")</f>
        <v>2453 13TH LINE E</v>
      </c>
      <c r="C11165" s="3" t="str">
        <f>IFERROR(__xludf.DUMMYFUNCTION("""COMPUTED_VALUE"""),"MARMORA")</f>
        <v>MARMORA</v>
      </c>
      <c r="D11165" s="3" t="str">
        <f>IFERROR(__xludf.DUMMYFUNCTION("""COMPUTED_VALUE"""),"K0K 2M0")</f>
        <v>K0K 2M0</v>
      </c>
      <c r="E11165" s="3"/>
      <c r="F11165" s="3"/>
      <c r="G11165" s="3"/>
      <c r="H11165" s="3"/>
    </row>
    <row r="11166">
      <c r="A11166" s="2">
        <f>IFERROR(__xludf.DUMMYFUNCTION("""COMPUTED_VALUE"""),70122.0)</f>
        <v>70122</v>
      </c>
      <c r="B11166" s="3" t="str">
        <f>IFERROR(__xludf.DUMMYFUNCTION("""COMPUTED_VALUE"""),"2478 13TH LINE E")</f>
        <v>2478 13TH LINE E</v>
      </c>
      <c r="C11166" s="3" t="str">
        <f>IFERROR(__xludf.DUMMYFUNCTION("""COMPUTED_VALUE"""),"MARMORA")</f>
        <v>MARMORA</v>
      </c>
      <c r="D11166" s="3" t="str">
        <f>IFERROR(__xludf.DUMMYFUNCTION("""COMPUTED_VALUE"""),"K0K 2M0")</f>
        <v>K0K 2M0</v>
      </c>
      <c r="E11166" s="3"/>
      <c r="F11166" s="3"/>
      <c r="G11166" s="3"/>
      <c r="H11166" s="3"/>
    </row>
    <row r="11167">
      <c r="A11167" s="2">
        <f>IFERROR(__xludf.DUMMYFUNCTION("""COMPUTED_VALUE"""),70123.0)</f>
        <v>70123</v>
      </c>
      <c r="B11167" s="3" t="str">
        <f>IFERROR(__xludf.DUMMYFUNCTION("""COMPUTED_VALUE"""),"2518 13TH LINE E")</f>
        <v>2518 13TH LINE E</v>
      </c>
      <c r="C11167" s="3" t="str">
        <f>IFERROR(__xludf.DUMMYFUNCTION("""COMPUTED_VALUE"""),"MARMORA")</f>
        <v>MARMORA</v>
      </c>
      <c r="D11167" s="3" t="str">
        <f>IFERROR(__xludf.DUMMYFUNCTION("""COMPUTED_VALUE"""),"K0K 2M0")</f>
        <v>K0K 2M0</v>
      </c>
      <c r="E11167" s="3" t="str">
        <f>IFERROR(__xludf.DUMMYFUNCTION("""COMPUTED_VALUE"""),"Heather Milne")</f>
        <v>Heather Milne</v>
      </c>
      <c r="F11167" s="3" t="str">
        <f>IFERROR(__xludf.DUMMYFUNCTION("""COMPUTED_VALUE"""),"htrmilne@gmail.com")</f>
        <v>htrmilne@gmail.com</v>
      </c>
      <c r="G11167" s="3"/>
      <c r="H11167" s="3"/>
    </row>
    <row r="11168">
      <c r="A11168" s="2">
        <f>IFERROR(__xludf.DUMMYFUNCTION("""COMPUTED_VALUE"""),70124.0)</f>
        <v>70124</v>
      </c>
      <c r="B11168" s="3" t="str">
        <f>IFERROR(__xludf.DUMMYFUNCTION("""COMPUTED_VALUE"""),"2566 13TH LINE E")</f>
        <v>2566 13TH LINE E</v>
      </c>
      <c r="C11168" s="3" t="str">
        <f>IFERROR(__xludf.DUMMYFUNCTION("""COMPUTED_VALUE"""),"MARMORA")</f>
        <v>MARMORA</v>
      </c>
      <c r="D11168" s="3" t="str">
        <f>IFERROR(__xludf.DUMMYFUNCTION("""COMPUTED_VALUE"""),"K0K 2M0")</f>
        <v>K0K 2M0</v>
      </c>
      <c r="E11168" s="3" t="str">
        <f>IFERROR(__xludf.DUMMYFUNCTION("""COMPUTED_VALUE"""),"Ruth Anne Nelson")</f>
        <v>Ruth Anne Nelson</v>
      </c>
      <c r="F11168" s="3" t="str">
        <f>IFERROR(__xludf.DUMMYFUNCTION("""COMPUTED_VALUE"""),"ruthnelson@xplornet.com")</f>
        <v>ruthnelson@xplornet.com</v>
      </c>
      <c r="G11168" s="3">
        <f>IFERROR(__xludf.DUMMYFUNCTION("""COMPUTED_VALUE"""),7.056535112E9)</f>
        <v>7056535112</v>
      </c>
      <c r="H11168" s="3">
        <f>IFERROR(__xludf.DUMMYFUNCTION("""COMPUTED_VALUE"""),7.057507905E9)</f>
        <v>7057507905</v>
      </c>
    </row>
    <row r="11169">
      <c r="A11169" s="2">
        <f>IFERROR(__xludf.DUMMYFUNCTION("""COMPUTED_VALUE"""),70125.0)</f>
        <v>70125</v>
      </c>
      <c r="B11169" s="3" t="str">
        <f>IFERROR(__xludf.DUMMYFUNCTION("""COMPUTED_VALUE"""),"2600 13TH LINE E")</f>
        <v>2600 13TH LINE E</v>
      </c>
      <c r="C11169" s="3" t="str">
        <f>IFERROR(__xludf.DUMMYFUNCTION("""COMPUTED_VALUE"""),"MARMORA")</f>
        <v>MARMORA</v>
      </c>
      <c r="D11169" s="3" t="str">
        <f>IFERROR(__xludf.DUMMYFUNCTION("""COMPUTED_VALUE"""),"K0K 2M0")</f>
        <v>K0K 2M0</v>
      </c>
      <c r="E11169" s="3"/>
      <c r="F11169" s="3"/>
      <c r="G11169" s="3"/>
      <c r="H11169" s="3"/>
    </row>
    <row r="11170">
      <c r="A11170" s="2">
        <f>IFERROR(__xludf.DUMMYFUNCTION("""COMPUTED_VALUE"""),70126.0)</f>
        <v>70126</v>
      </c>
      <c r="B11170" s="3" t="str">
        <f>IFERROR(__xludf.DUMMYFUNCTION("""COMPUTED_VALUE"""),"2632 13TH LINE E")</f>
        <v>2632 13TH LINE E</v>
      </c>
      <c r="C11170" s="3" t="str">
        <f>IFERROR(__xludf.DUMMYFUNCTION("""COMPUTED_VALUE"""),"MARMORA")</f>
        <v>MARMORA</v>
      </c>
      <c r="D11170" s="3" t="str">
        <f>IFERROR(__xludf.DUMMYFUNCTION("""COMPUTED_VALUE"""),"K0K 2M0")</f>
        <v>K0K 2M0</v>
      </c>
      <c r="E11170" s="3"/>
      <c r="F11170" s="3"/>
      <c r="G11170" s="3"/>
      <c r="H11170" s="3"/>
    </row>
    <row r="11171">
      <c r="A11171" s="2">
        <f>IFERROR(__xludf.DUMMYFUNCTION("""COMPUTED_VALUE"""),70127.0)</f>
        <v>70127</v>
      </c>
      <c r="B11171" s="3" t="str">
        <f>IFERROR(__xludf.DUMMYFUNCTION("""COMPUTED_VALUE"""),"2641 13TH LINE E")</f>
        <v>2641 13TH LINE E</v>
      </c>
      <c r="C11171" s="3" t="str">
        <f>IFERROR(__xludf.DUMMYFUNCTION("""COMPUTED_VALUE"""),"MARMORA")</f>
        <v>MARMORA</v>
      </c>
      <c r="D11171" s="3" t="str">
        <f>IFERROR(__xludf.DUMMYFUNCTION("""COMPUTED_VALUE"""),"K0K 2M0")</f>
        <v>K0K 2M0</v>
      </c>
      <c r="E11171" s="3"/>
      <c r="F11171" s="3"/>
      <c r="G11171" s="3"/>
      <c r="H11171" s="3"/>
    </row>
    <row r="11172">
      <c r="A11172" s="2">
        <f>IFERROR(__xludf.DUMMYFUNCTION("""COMPUTED_VALUE"""),70128.0)</f>
        <v>70128</v>
      </c>
      <c r="B11172" s="3" t="str">
        <f>IFERROR(__xludf.DUMMYFUNCTION("""COMPUTED_VALUE"""),"2695 13TH LINE E")</f>
        <v>2695 13TH LINE E</v>
      </c>
      <c r="C11172" s="3" t="str">
        <f>IFERROR(__xludf.DUMMYFUNCTION("""COMPUTED_VALUE"""),"MARMORA")</f>
        <v>MARMORA</v>
      </c>
      <c r="D11172" s="3" t="str">
        <f>IFERROR(__xludf.DUMMYFUNCTION("""COMPUTED_VALUE"""),"K0K 2M0")</f>
        <v>K0K 2M0</v>
      </c>
      <c r="E11172" s="3"/>
      <c r="F11172" s="3"/>
      <c r="G11172" s="3"/>
      <c r="H11172" s="3"/>
    </row>
    <row r="11173">
      <c r="A11173" s="2">
        <f>IFERROR(__xludf.DUMMYFUNCTION("""COMPUTED_VALUE"""),70129.0)</f>
        <v>70129</v>
      </c>
      <c r="B11173" s="3" t="str">
        <f>IFERROR(__xludf.DUMMYFUNCTION("""COMPUTED_VALUE"""),"2705 13TH LINE E")</f>
        <v>2705 13TH LINE E</v>
      </c>
      <c r="C11173" s="3" t="str">
        <f>IFERROR(__xludf.DUMMYFUNCTION("""COMPUTED_VALUE"""),"MARMORA")</f>
        <v>MARMORA</v>
      </c>
      <c r="D11173" s="3" t="str">
        <f>IFERROR(__xludf.DUMMYFUNCTION("""COMPUTED_VALUE"""),"K0K 2M0")</f>
        <v>K0K 2M0</v>
      </c>
      <c r="E11173" s="3"/>
      <c r="F11173" s="3"/>
      <c r="G11173" s="3"/>
      <c r="H11173" s="3"/>
    </row>
    <row r="11174">
      <c r="A11174" s="2">
        <f>IFERROR(__xludf.DUMMYFUNCTION("""COMPUTED_VALUE"""),70130.0)</f>
        <v>70130</v>
      </c>
      <c r="B11174" s="3" t="str">
        <f>IFERROR(__xludf.DUMMYFUNCTION("""COMPUTED_VALUE"""),"2721 13TH LINE E")</f>
        <v>2721 13TH LINE E</v>
      </c>
      <c r="C11174" s="3" t="str">
        <f>IFERROR(__xludf.DUMMYFUNCTION("""COMPUTED_VALUE"""),"MARMORA")</f>
        <v>MARMORA</v>
      </c>
      <c r="D11174" s="3" t="str">
        <f>IFERROR(__xludf.DUMMYFUNCTION("""COMPUTED_VALUE"""),"K0K 2M0")</f>
        <v>K0K 2M0</v>
      </c>
      <c r="E11174" s="3"/>
      <c r="F11174" s="3"/>
      <c r="G11174" s="3"/>
      <c r="H11174" s="3"/>
    </row>
    <row r="11175">
      <c r="A11175" s="2">
        <f>IFERROR(__xludf.DUMMYFUNCTION("""COMPUTED_VALUE"""),70131.0)</f>
        <v>70131</v>
      </c>
      <c r="B11175" s="3" t="str">
        <f>IFERROR(__xludf.DUMMYFUNCTION("""COMPUTED_VALUE"""),"2772 13TH LINE E")</f>
        <v>2772 13TH LINE E</v>
      </c>
      <c r="C11175" s="3" t="str">
        <f>IFERROR(__xludf.DUMMYFUNCTION("""COMPUTED_VALUE"""),"MARMORA")</f>
        <v>MARMORA</v>
      </c>
      <c r="D11175" s="3" t="str">
        <f>IFERROR(__xludf.DUMMYFUNCTION("""COMPUTED_VALUE"""),"K0K 2M0")</f>
        <v>K0K 2M0</v>
      </c>
      <c r="E11175" s="3"/>
      <c r="F11175" s="3"/>
      <c r="G11175" s="3"/>
      <c r="H11175" s="3"/>
    </row>
    <row r="11176">
      <c r="A11176" s="2">
        <f>IFERROR(__xludf.DUMMYFUNCTION("""COMPUTED_VALUE"""),70132.0)</f>
        <v>70132</v>
      </c>
      <c r="B11176" s="3" t="str">
        <f>IFERROR(__xludf.DUMMYFUNCTION("""COMPUTED_VALUE"""),"2791 13TH LINE E")</f>
        <v>2791 13TH LINE E</v>
      </c>
      <c r="C11176" s="3" t="str">
        <f>IFERROR(__xludf.DUMMYFUNCTION("""COMPUTED_VALUE"""),"MARMORA")</f>
        <v>MARMORA</v>
      </c>
      <c r="D11176" s="3" t="str">
        <f>IFERROR(__xludf.DUMMYFUNCTION("""COMPUTED_VALUE"""),"K0K 2M0")</f>
        <v>K0K 2M0</v>
      </c>
      <c r="E11176" s="3" t="str">
        <f>IFERROR(__xludf.DUMMYFUNCTION("""COMPUTED_VALUE"""),"Craig Lain")</f>
        <v>Craig Lain</v>
      </c>
      <c r="F11176" s="3" t="str">
        <f>IFERROR(__xludf.DUMMYFUNCTION("""COMPUTED_VALUE"""),"craiglain3@gmail.com")</f>
        <v>craiglain3@gmail.com</v>
      </c>
      <c r="G11176" s="3"/>
      <c r="H11176" s="3"/>
    </row>
    <row r="11177">
      <c r="A11177" s="2">
        <f>IFERROR(__xludf.DUMMYFUNCTION("""COMPUTED_VALUE"""),70133.0)</f>
        <v>70133</v>
      </c>
      <c r="B11177" s="3" t="str">
        <f>IFERROR(__xludf.DUMMYFUNCTION("""COMPUTED_VALUE"""),"2853 13TH LINE E")</f>
        <v>2853 13TH LINE E</v>
      </c>
      <c r="C11177" s="3" t="str">
        <f>IFERROR(__xludf.DUMMYFUNCTION("""COMPUTED_VALUE"""),"MARMORA")</f>
        <v>MARMORA</v>
      </c>
      <c r="D11177" s="3" t="str">
        <f>IFERROR(__xludf.DUMMYFUNCTION("""COMPUTED_VALUE"""),"K0K 2M0")</f>
        <v>K0K 2M0</v>
      </c>
      <c r="E11177" s="3"/>
      <c r="F11177" s="3"/>
      <c r="G11177" s="3"/>
      <c r="H11177" s="3"/>
    </row>
    <row r="11178">
      <c r="A11178" s="2">
        <f>IFERROR(__xludf.DUMMYFUNCTION("""COMPUTED_VALUE"""),70134.0)</f>
        <v>70134</v>
      </c>
      <c r="B11178" s="3" t="str">
        <f>IFERROR(__xludf.DUMMYFUNCTION("""COMPUTED_VALUE"""),"2863 13TH LINE E")</f>
        <v>2863 13TH LINE E</v>
      </c>
      <c r="C11178" s="3" t="str">
        <f>IFERROR(__xludf.DUMMYFUNCTION("""COMPUTED_VALUE"""),"MARMORA")</f>
        <v>MARMORA</v>
      </c>
      <c r="D11178" s="3" t="str">
        <f>IFERROR(__xludf.DUMMYFUNCTION("""COMPUTED_VALUE"""),"K0K 2M0")</f>
        <v>K0K 2M0</v>
      </c>
      <c r="E11178" s="3"/>
      <c r="F11178" s="3"/>
      <c r="G11178" s="3"/>
      <c r="H11178" s="3"/>
    </row>
    <row r="11179">
      <c r="A11179" s="2">
        <f>IFERROR(__xludf.DUMMYFUNCTION("""COMPUTED_VALUE"""),70135.0)</f>
        <v>70135</v>
      </c>
      <c r="B11179" s="3" t="str">
        <f>IFERROR(__xludf.DUMMYFUNCTION("""COMPUTED_VALUE"""),"2871 13TH LINE E")</f>
        <v>2871 13TH LINE E</v>
      </c>
      <c r="C11179" s="3" t="str">
        <f>IFERROR(__xludf.DUMMYFUNCTION("""COMPUTED_VALUE"""),"MARMORA")</f>
        <v>MARMORA</v>
      </c>
      <c r="D11179" s="3" t="str">
        <f>IFERROR(__xludf.DUMMYFUNCTION("""COMPUTED_VALUE"""),"K0K 2M0")</f>
        <v>K0K 2M0</v>
      </c>
      <c r="E11179" s="3"/>
      <c r="F11179" s="3"/>
      <c r="G11179" s="3"/>
      <c r="H11179" s="3"/>
    </row>
    <row r="11180">
      <c r="A11180" s="2">
        <f>IFERROR(__xludf.DUMMYFUNCTION("""COMPUTED_VALUE"""),70136.0)</f>
        <v>70136</v>
      </c>
      <c r="B11180" s="3" t="str">
        <f>IFERROR(__xludf.DUMMYFUNCTION("""COMPUTED_VALUE"""),"2875 13TH LINE E")</f>
        <v>2875 13TH LINE E</v>
      </c>
      <c r="C11180" s="3" t="str">
        <f>IFERROR(__xludf.DUMMYFUNCTION("""COMPUTED_VALUE"""),"MARMORA")</f>
        <v>MARMORA</v>
      </c>
      <c r="D11180" s="3" t="str">
        <f>IFERROR(__xludf.DUMMYFUNCTION("""COMPUTED_VALUE"""),"K0K 2M0")</f>
        <v>K0K 2M0</v>
      </c>
      <c r="E11180" s="3" t="str">
        <f>IFERROR(__xludf.DUMMYFUNCTION("""COMPUTED_VALUE"""),"Allyson Luck")</f>
        <v>Allyson Luck</v>
      </c>
      <c r="F11180" s="3" t="str">
        <f>IFERROR(__xludf.DUMMYFUNCTION("""COMPUTED_VALUE"""),"allysonluck@gmail.com")</f>
        <v>allysonluck@gmail.com</v>
      </c>
      <c r="G11180" s="3"/>
      <c r="H11180" s="3"/>
    </row>
    <row r="11181">
      <c r="A11181" s="2">
        <f>IFERROR(__xludf.DUMMYFUNCTION("""COMPUTED_VALUE"""),70137.0)</f>
        <v>70137</v>
      </c>
      <c r="B11181" s="3" t="str">
        <f>IFERROR(__xludf.DUMMYFUNCTION("""COMPUTED_VALUE"""),"2877 13TH LINE E")</f>
        <v>2877 13TH LINE E</v>
      </c>
      <c r="C11181" s="3" t="str">
        <f>IFERROR(__xludf.DUMMYFUNCTION("""COMPUTED_VALUE"""),"MARMORA")</f>
        <v>MARMORA</v>
      </c>
      <c r="D11181" s="3" t="str">
        <f>IFERROR(__xludf.DUMMYFUNCTION("""COMPUTED_VALUE"""),"K0K 2M0")</f>
        <v>K0K 2M0</v>
      </c>
      <c r="E11181" s="3"/>
      <c r="F11181" s="3"/>
      <c r="G11181" s="3"/>
      <c r="H11181" s="3"/>
    </row>
    <row r="11182">
      <c r="A11182" s="2">
        <f>IFERROR(__xludf.DUMMYFUNCTION("""COMPUTED_VALUE"""),70138.0)</f>
        <v>70138</v>
      </c>
      <c r="B11182" s="3" t="str">
        <f>IFERROR(__xludf.DUMMYFUNCTION("""COMPUTED_VALUE"""),"2883 13TH LINE E")</f>
        <v>2883 13TH LINE E</v>
      </c>
      <c r="C11182" s="3" t="str">
        <f>IFERROR(__xludf.DUMMYFUNCTION("""COMPUTED_VALUE"""),"MARMORA")</f>
        <v>MARMORA</v>
      </c>
      <c r="D11182" s="3" t="str">
        <f>IFERROR(__xludf.DUMMYFUNCTION("""COMPUTED_VALUE"""),"K0K 2M0")</f>
        <v>K0K 2M0</v>
      </c>
      <c r="E11182" s="3"/>
      <c r="F11182" s="3"/>
      <c r="G11182" s="3"/>
      <c r="H11182" s="3"/>
    </row>
    <row r="11183">
      <c r="A11183" s="2">
        <f>IFERROR(__xludf.DUMMYFUNCTION("""COMPUTED_VALUE"""),70139.0)</f>
        <v>70139</v>
      </c>
      <c r="B11183" s="3" t="str">
        <f>IFERROR(__xludf.DUMMYFUNCTION("""COMPUTED_VALUE"""),"2903 13TH LINE E")</f>
        <v>2903 13TH LINE E</v>
      </c>
      <c r="C11183" s="3" t="str">
        <f>IFERROR(__xludf.DUMMYFUNCTION("""COMPUTED_VALUE"""),"MARMORA")</f>
        <v>MARMORA</v>
      </c>
      <c r="D11183" s="3" t="str">
        <f>IFERROR(__xludf.DUMMYFUNCTION("""COMPUTED_VALUE"""),"K0K 2M0")</f>
        <v>K0K 2M0</v>
      </c>
      <c r="E11183" s="3"/>
      <c r="F11183" s="3"/>
      <c r="G11183" s="3"/>
      <c r="H11183" s="3"/>
    </row>
    <row r="11184">
      <c r="A11184" s="2">
        <f>IFERROR(__xludf.DUMMYFUNCTION("""COMPUTED_VALUE"""),70140.0)</f>
        <v>70140</v>
      </c>
      <c r="B11184" s="3" t="str">
        <f>IFERROR(__xludf.DUMMYFUNCTION("""COMPUTED_VALUE"""),"2936 13TH LINE E")</f>
        <v>2936 13TH LINE E</v>
      </c>
      <c r="C11184" s="3" t="str">
        <f>IFERROR(__xludf.DUMMYFUNCTION("""COMPUTED_VALUE"""),"MARMORA")</f>
        <v>MARMORA</v>
      </c>
      <c r="D11184" s="3" t="str">
        <f>IFERROR(__xludf.DUMMYFUNCTION("""COMPUTED_VALUE"""),"K0K 2M0")</f>
        <v>K0K 2M0</v>
      </c>
      <c r="E11184" s="3"/>
      <c r="F11184" s="3"/>
      <c r="G11184" s="3"/>
      <c r="H11184" s="3"/>
    </row>
    <row r="11185">
      <c r="A11185" s="2">
        <f>IFERROR(__xludf.DUMMYFUNCTION("""COMPUTED_VALUE"""),70141.0)</f>
        <v>70141</v>
      </c>
      <c r="B11185" s="3" t="str">
        <f>IFERROR(__xludf.DUMMYFUNCTION("""COMPUTED_VALUE"""),"2945 13TH LINE E")</f>
        <v>2945 13TH LINE E</v>
      </c>
      <c r="C11185" s="3" t="str">
        <f>IFERROR(__xludf.DUMMYFUNCTION("""COMPUTED_VALUE"""),"MARMORA")</f>
        <v>MARMORA</v>
      </c>
      <c r="D11185" s="3" t="str">
        <f>IFERROR(__xludf.DUMMYFUNCTION("""COMPUTED_VALUE"""),"K0K 2M0")</f>
        <v>K0K 2M0</v>
      </c>
      <c r="E11185" s="3"/>
      <c r="F11185" s="3"/>
      <c r="G11185" s="3"/>
      <c r="H11185" s="3"/>
    </row>
    <row r="11186">
      <c r="A11186" s="2">
        <f>IFERROR(__xludf.DUMMYFUNCTION("""COMPUTED_VALUE"""),70142.0)</f>
        <v>70142</v>
      </c>
      <c r="B11186" s="3" t="str">
        <f>IFERROR(__xludf.DUMMYFUNCTION("""COMPUTED_VALUE"""),"2950 13TH LINE E")</f>
        <v>2950 13TH LINE E</v>
      </c>
      <c r="C11186" s="3" t="str">
        <f>IFERROR(__xludf.DUMMYFUNCTION("""COMPUTED_VALUE"""),"MARMORA")</f>
        <v>MARMORA</v>
      </c>
      <c r="D11186" s="3" t="str">
        <f>IFERROR(__xludf.DUMMYFUNCTION("""COMPUTED_VALUE"""),"K0K 2M0")</f>
        <v>K0K 2M0</v>
      </c>
      <c r="E11186" s="3"/>
      <c r="F11186" s="3"/>
      <c r="G11186" s="3"/>
      <c r="H11186" s="3"/>
    </row>
    <row r="11187">
      <c r="A11187" s="2">
        <f>IFERROR(__xludf.DUMMYFUNCTION("""COMPUTED_VALUE"""),70143.0)</f>
        <v>70143</v>
      </c>
      <c r="B11187" s="3" t="str">
        <f>IFERROR(__xludf.DUMMYFUNCTION("""COMPUTED_VALUE"""),"2961 13TH LINE E")</f>
        <v>2961 13TH LINE E</v>
      </c>
      <c r="C11187" s="3" t="str">
        <f>IFERROR(__xludf.DUMMYFUNCTION("""COMPUTED_VALUE"""),"MARMORA")</f>
        <v>MARMORA</v>
      </c>
      <c r="D11187" s="3" t="str">
        <f>IFERROR(__xludf.DUMMYFUNCTION("""COMPUTED_VALUE"""),"K0K 2M0")</f>
        <v>K0K 2M0</v>
      </c>
      <c r="E11187" s="3"/>
      <c r="F11187" s="3"/>
      <c r="G11187" s="3"/>
      <c r="H11187" s="3"/>
    </row>
    <row r="11188">
      <c r="A11188" s="2">
        <f>IFERROR(__xludf.DUMMYFUNCTION("""COMPUTED_VALUE"""),70144.0)</f>
        <v>70144</v>
      </c>
      <c r="B11188" s="3" t="str">
        <f>IFERROR(__xludf.DUMMYFUNCTION("""COMPUTED_VALUE"""),"2965 13TH LINE E")</f>
        <v>2965 13TH LINE E</v>
      </c>
      <c r="C11188" s="3" t="str">
        <f>IFERROR(__xludf.DUMMYFUNCTION("""COMPUTED_VALUE"""),"MARMORA")</f>
        <v>MARMORA</v>
      </c>
      <c r="D11188" s="3" t="str">
        <f>IFERROR(__xludf.DUMMYFUNCTION("""COMPUTED_VALUE"""),"K0K 2M0")</f>
        <v>K0K 2M0</v>
      </c>
      <c r="E11188" s="3"/>
      <c r="F11188" s="3"/>
      <c r="G11188" s="3"/>
      <c r="H11188" s="3"/>
    </row>
    <row r="11189">
      <c r="A11189" s="2">
        <f>IFERROR(__xludf.DUMMYFUNCTION("""COMPUTED_VALUE"""),70145.0)</f>
        <v>70145</v>
      </c>
      <c r="B11189" s="3" t="str">
        <f>IFERROR(__xludf.DUMMYFUNCTION("""COMPUTED_VALUE"""),"2969 13TH LINE E")</f>
        <v>2969 13TH LINE E</v>
      </c>
      <c r="C11189" s="3" t="str">
        <f>IFERROR(__xludf.DUMMYFUNCTION("""COMPUTED_VALUE"""),"MARMORA")</f>
        <v>MARMORA</v>
      </c>
      <c r="D11189" s="3" t="str">
        <f>IFERROR(__xludf.DUMMYFUNCTION("""COMPUTED_VALUE"""),"K0K 2M0")</f>
        <v>K0K 2M0</v>
      </c>
      <c r="E11189" s="3" t="str">
        <f>IFERROR(__xludf.DUMMYFUNCTION("""COMPUTED_VALUE"""),"John Hayley")</f>
        <v>John Hayley</v>
      </c>
      <c r="F11189" s="3" t="str">
        <f>IFERROR(__xludf.DUMMYFUNCTION("""COMPUTED_VALUE"""),"jhayley802@hotmail.com")</f>
        <v>jhayley802@hotmail.com</v>
      </c>
      <c r="G11189" s="3"/>
      <c r="H11189" s="3"/>
    </row>
    <row r="11190">
      <c r="A11190" s="2">
        <f>IFERROR(__xludf.DUMMYFUNCTION("""COMPUTED_VALUE"""),70146.0)</f>
        <v>70146</v>
      </c>
      <c r="B11190" s="3" t="str">
        <f>IFERROR(__xludf.DUMMYFUNCTION("""COMPUTED_VALUE"""),"3001 13TH LINE E")</f>
        <v>3001 13TH LINE E</v>
      </c>
      <c r="C11190" s="3" t="str">
        <f>IFERROR(__xludf.DUMMYFUNCTION("""COMPUTED_VALUE"""),"MARMORA")</f>
        <v>MARMORA</v>
      </c>
      <c r="D11190" s="3" t="str">
        <f>IFERROR(__xludf.DUMMYFUNCTION("""COMPUTED_VALUE"""),"K0K 2M0")</f>
        <v>K0K 2M0</v>
      </c>
      <c r="E11190" s="3"/>
      <c r="F11190" s="3"/>
      <c r="G11190" s="3"/>
      <c r="H11190" s="3"/>
    </row>
    <row r="11191">
      <c r="A11191" s="2">
        <f>IFERROR(__xludf.DUMMYFUNCTION("""COMPUTED_VALUE"""),70147.0)</f>
        <v>70147</v>
      </c>
      <c r="B11191" s="3" t="str">
        <f>IFERROR(__xludf.DUMMYFUNCTION("""COMPUTED_VALUE"""),"3010 13TH LINE E")</f>
        <v>3010 13TH LINE E</v>
      </c>
      <c r="C11191" s="3" t="str">
        <f>IFERROR(__xludf.DUMMYFUNCTION("""COMPUTED_VALUE"""),"MARMORA")</f>
        <v>MARMORA</v>
      </c>
      <c r="D11191" s="3" t="str">
        <f>IFERROR(__xludf.DUMMYFUNCTION("""COMPUTED_VALUE"""),"K0K 2M0")</f>
        <v>K0K 2M0</v>
      </c>
      <c r="E11191" s="3"/>
      <c r="F11191" s="3"/>
      <c r="G11191" s="3"/>
      <c r="H11191" s="3"/>
    </row>
    <row r="11192">
      <c r="A11192" s="2">
        <f>IFERROR(__xludf.DUMMYFUNCTION("""COMPUTED_VALUE"""),70148.0)</f>
        <v>70148</v>
      </c>
      <c r="B11192" s="3" t="str">
        <f>IFERROR(__xludf.DUMMYFUNCTION("""COMPUTED_VALUE"""),"3017 13TH LINE E")</f>
        <v>3017 13TH LINE E</v>
      </c>
      <c r="C11192" s="3" t="str">
        <f>IFERROR(__xludf.DUMMYFUNCTION("""COMPUTED_VALUE"""),"MARMORA")</f>
        <v>MARMORA</v>
      </c>
      <c r="D11192" s="3" t="str">
        <f>IFERROR(__xludf.DUMMYFUNCTION("""COMPUTED_VALUE"""),"K0K 2M0")</f>
        <v>K0K 2M0</v>
      </c>
      <c r="E11192" s="3" t="str">
        <f>IFERROR(__xludf.DUMMYFUNCTION("""COMPUTED_VALUE"""),"Dale Watson")</f>
        <v>Dale Watson</v>
      </c>
      <c r="F11192" s="3" t="str">
        <f>IFERROR(__xludf.DUMMYFUNCTION("""COMPUTED_VALUE"""),"drwind57@hotmail.com")</f>
        <v>drwind57@hotmail.com</v>
      </c>
      <c r="G11192" s="3"/>
      <c r="H11192" s="3">
        <f>IFERROR(__xludf.DUMMYFUNCTION("""COMPUTED_VALUE"""),7.056532412E9)</f>
        <v>7056532412</v>
      </c>
    </row>
    <row r="11193">
      <c r="A11193" s="2">
        <f>IFERROR(__xludf.DUMMYFUNCTION("""COMPUTED_VALUE"""),70149.0)</f>
        <v>70149</v>
      </c>
      <c r="B11193" s="3" t="str">
        <f>IFERROR(__xludf.DUMMYFUNCTION("""COMPUTED_VALUE"""),"3025 13TH LINE E")</f>
        <v>3025 13TH LINE E</v>
      </c>
      <c r="C11193" s="3" t="str">
        <f>IFERROR(__xludf.DUMMYFUNCTION("""COMPUTED_VALUE"""),"MARMORA")</f>
        <v>MARMORA</v>
      </c>
      <c r="D11193" s="3" t="str">
        <f>IFERROR(__xludf.DUMMYFUNCTION("""COMPUTED_VALUE"""),"K0K 2M0")</f>
        <v>K0K 2M0</v>
      </c>
      <c r="E11193" s="3"/>
      <c r="F11193" s="3"/>
      <c r="G11193" s="3"/>
      <c r="H11193" s="3"/>
    </row>
    <row r="11194">
      <c r="A11194" s="2">
        <f>IFERROR(__xludf.DUMMYFUNCTION("""COMPUTED_VALUE"""),70150.0)</f>
        <v>70150</v>
      </c>
      <c r="B11194" s="3" t="str">
        <f>IFERROR(__xludf.DUMMYFUNCTION("""COMPUTED_VALUE"""),"3033 13TH LINE E")</f>
        <v>3033 13TH LINE E</v>
      </c>
      <c r="C11194" s="3" t="str">
        <f>IFERROR(__xludf.DUMMYFUNCTION("""COMPUTED_VALUE"""),"MARMORA")</f>
        <v>MARMORA</v>
      </c>
      <c r="D11194" s="3" t="str">
        <f>IFERROR(__xludf.DUMMYFUNCTION("""COMPUTED_VALUE"""),"K0K 2M0")</f>
        <v>K0K 2M0</v>
      </c>
      <c r="E11194" s="3"/>
      <c r="F11194" s="3"/>
      <c r="G11194" s="3"/>
      <c r="H11194" s="3"/>
    </row>
    <row r="11195">
      <c r="A11195" s="2">
        <f>IFERROR(__xludf.DUMMYFUNCTION("""COMPUTED_VALUE"""),70151.0)</f>
        <v>70151</v>
      </c>
      <c r="B11195" s="3" t="str">
        <f>IFERROR(__xludf.DUMMYFUNCTION("""COMPUTED_VALUE"""),"3044 13TH LINE E")</f>
        <v>3044 13TH LINE E</v>
      </c>
      <c r="C11195" s="3" t="str">
        <f>IFERROR(__xludf.DUMMYFUNCTION("""COMPUTED_VALUE"""),"MARMORA")</f>
        <v>MARMORA</v>
      </c>
      <c r="D11195" s="3" t="str">
        <f>IFERROR(__xludf.DUMMYFUNCTION("""COMPUTED_VALUE"""),"K0K 2M0")</f>
        <v>K0K 2M0</v>
      </c>
      <c r="E11195" s="3" t="str">
        <f>IFERROR(__xludf.DUMMYFUNCTION("""COMPUTED_VALUE"""),"Brenda Powrie")</f>
        <v>Brenda Powrie</v>
      </c>
      <c r="F11195" s="3" t="str">
        <f>IFERROR(__xludf.DUMMYFUNCTION("""COMPUTED_VALUE"""),"brenda_powrie@hotmail.com")</f>
        <v>brenda_powrie@hotmail.com</v>
      </c>
      <c r="G11195" s="3"/>
      <c r="H11195" s="3"/>
    </row>
    <row r="11196">
      <c r="A11196" s="2">
        <f>IFERROR(__xludf.DUMMYFUNCTION("""COMPUTED_VALUE"""),70152.0)</f>
        <v>70152</v>
      </c>
      <c r="B11196" s="3" t="str">
        <f>IFERROR(__xludf.DUMMYFUNCTION("""COMPUTED_VALUE"""),"3067 13TH LINE E")</f>
        <v>3067 13TH LINE E</v>
      </c>
      <c r="C11196" s="3" t="str">
        <f>IFERROR(__xludf.DUMMYFUNCTION("""COMPUTED_VALUE"""),"MARMORA")</f>
        <v>MARMORA</v>
      </c>
      <c r="D11196" s="3" t="str">
        <f>IFERROR(__xludf.DUMMYFUNCTION("""COMPUTED_VALUE"""),"K0K 2M0")</f>
        <v>K0K 2M0</v>
      </c>
      <c r="E11196" s="3"/>
      <c r="F11196" s="3"/>
      <c r="G11196" s="3"/>
      <c r="H11196" s="3"/>
    </row>
    <row r="11197">
      <c r="A11197" s="2">
        <f>IFERROR(__xludf.DUMMYFUNCTION("""COMPUTED_VALUE"""),70153.0)</f>
        <v>70153</v>
      </c>
      <c r="B11197" s="3" t="str">
        <f>IFERROR(__xludf.DUMMYFUNCTION("""COMPUTED_VALUE"""),"3071 13TH LINE E")</f>
        <v>3071 13TH LINE E</v>
      </c>
      <c r="C11197" s="3" t="str">
        <f>IFERROR(__xludf.DUMMYFUNCTION("""COMPUTED_VALUE"""),"MARMORA")</f>
        <v>MARMORA</v>
      </c>
      <c r="D11197" s="3" t="str">
        <f>IFERROR(__xludf.DUMMYFUNCTION("""COMPUTED_VALUE"""),"K0K 2M0")</f>
        <v>K0K 2M0</v>
      </c>
      <c r="E11197" s="3"/>
      <c r="F11197" s="3"/>
      <c r="G11197" s="3"/>
      <c r="H11197" s="3"/>
    </row>
    <row r="11198">
      <c r="A11198" s="2">
        <f>IFERROR(__xludf.DUMMYFUNCTION("""COMPUTED_VALUE"""),70154.0)</f>
        <v>70154</v>
      </c>
      <c r="B11198" s="3" t="str">
        <f>IFERROR(__xludf.DUMMYFUNCTION("""COMPUTED_VALUE"""),"3075 13TH LINE E")</f>
        <v>3075 13TH LINE E</v>
      </c>
      <c r="C11198" s="3" t="str">
        <f>IFERROR(__xludf.DUMMYFUNCTION("""COMPUTED_VALUE"""),"MARMORA")</f>
        <v>MARMORA</v>
      </c>
      <c r="D11198" s="3" t="str">
        <f>IFERROR(__xludf.DUMMYFUNCTION("""COMPUTED_VALUE"""),"K0K 2M0")</f>
        <v>K0K 2M0</v>
      </c>
      <c r="E11198" s="3" t="str">
        <f>IFERROR(__xludf.DUMMYFUNCTION("""COMPUTED_VALUE"""),"Ida and Leonard Doherty")</f>
        <v>Ida and Leonard Doherty</v>
      </c>
      <c r="F11198" s="3" t="str">
        <f>IFERROR(__xludf.DUMMYFUNCTION("""COMPUTED_VALUE"""),"lenedadoherty@aol.com")</f>
        <v>lenedadoherty@aol.com</v>
      </c>
      <c r="G11198" s="3">
        <f>IFERROR(__xludf.DUMMYFUNCTION("""COMPUTED_VALUE"""),7.056534348E9)</f>
        <v>7056534348</v>
      </c>
      <c r="H11198" s="3"/>
    </row>
    <row r="11199">
      <c r="A11199" s="2">
        <f>IFERROR(__xludf.DUMMYFUNCTION("""COMPUTED_VALUE"""),70155.0)</f>
        <v>70155</v>
      </c>
      <c r="B11199" s="3" t="str">
        <f>IFERROR(__xludf.DUMMYFUNCTION("""COMPUTED_VALUE"""),"3009A 13TH LINE E")</f>
        <v>3009A 13TH LINE E</v>
      </c>
      <c r="C11199" s="3" t="str">
        <f>IFERROR(__xludf.DUMMYFUNCTION("""COMPUTED_VALUE"""),"MARMORA")</f>
        <v>MARMORA</v>
      </c>
      <c r="D11199" s="3" t="str">
        <f>IFERROR(__xludf.DUMMYFUNCTION("""COMPUTED_VALUE"""),"K0K 2M0")</f>
        <v>K0K 2M0</v>
      </c>
      <c r="E11199" s="3" t="str">
        <f>IFERROR(__xludf.DUMMYFUNCTION("""COMPUTED_VALUE"""),"Brian Thrasher")</f>
        <v>Brian Thrasher</v>
      </c>
      <c r="F11199" s="3" t="str">
        <f>IFERROR(__xludf.DUMMYFUNCTION("""COMPUTED_VALUE"""),"croweboy56@hotmail.com")</f>
        <v>croweboy56@hotmail.com</v>
      </c>
      <c r="G11199" s="3">
        <f>IFERROR(__xludf.DUMMYFUNCTION("""COMPUTED_VALUE"""),7.056534881E9)</f>
        <v>7056534881</v>
      </c>
      <c r="H11199" s="3">
        <f>IFERROR(__xludf.DUMMYFUNCTION("""COMPUTED_VALUE"""),6.137434881E9)</f>
        <v>6137434881</v>
      </c>
    </row>
    <row r="11200">
      <c r="A11200" s="2">
        <f>IFERROR(__xludf.DUMMYFUNCTION("""COMPUTED_VALUE"""),70156.0)</f>
        <v>70156</v>
      </c>
      <c r="B11200" s="3" t="str">
        <f>IFERROR(__xludf.DUMMYFUNCTION("""COMPUTED_VALUE"""),"3009B 13TH LINE E")</f>
        <v>3009B 13TH LINE E</v>
      </c>
      <c r="C11200" s="3" t="str">
        <f>IFERROR(__xludf.DUMMYFUNCTION("""COMPUTED_VALUE"""),"MARMORA")</f>
        <v>MARMORA</v>
      </c>
      <c r="D11200" s="3" t="str">
        <f>IFERROR(__xludf.DUMMYFUNCTION("""COMPUTED_VALUE"""),"K0K 2M0")</f>
        <v>K0K 2M0</v>
      </c>
      <c r="E11200" s="3"/>
      <c r="F11200" s="3"/>
      <c r="G11200" s="3"/>
      <c r="H11200" s="3"/>
    </row>
    <row r="11201">
      <c r="A11201" s="2">
        <f>IFERROR(__xludf.DUMMYFUNCTION("""COMPUTED_VALUE"""),70157.0)</f>
        <v>70157</v>
      </c>
      <c r="B11201" s="3" t="str">
        <f>IFERROR(__xludf.DUMMYFUNCTION("""COMPUTED_VALUE"""),"3009D 13TH LINE E")</f>
        <v>3009D 13TH LINE E</v>
      </c>
      <c r="C11201" s="3" t="str">
        <f>IFERROR(__xludf.DUMMYFUNCTION("""COMPUTED_VALUE"""),"MARMORA")</f>
        <v>MARMORA</v>
      </c>
      <c r="D11201" s="3" t="str">
        <f>IFERROR(__xludf.DUMMYFUNCTION("""COMPUTED_VALUE"""),"K0K 2M0")</f>
        <v>K0K 2M0</v>
      </c>
      <c r="E11201" s="3"/>
      <c r="F11201" s="3"/>
      <c r="G11201" s="3"/>
      <c r="H11201" s="3"/>
    </row>
    <row r="11202">
      <c r="A11202" s="2">
        <f>IFERROR(__xludf.DUMMYFUNCTION("""COMPUTED_VALUE"""),70158.0)</f>
        <v>70158</v>
      </c>
      <c r="B11202" s="3" t="str">
        <f>IFERROR(__xludf.DUMMYFUNCTION("""COMPUTED_VALUE"""),"3009E 13TH LINE E")</f>
        <v>3009E 13TH LINE E</v>
      </c>
      <c r="C11202" s="3" t="str">
        <f>IFERROR(__xludf.DUMMYFUNCTION("""COMPUTED_VALUE"""),"MARMORA")</f>
        <v>MARMORA</v>
      </c>
      <c r="D11202" s="3" t="str">
        <f>IFERROR(__xludf.DUMMYFUNCTION("""COMPUTED_VALUE"""),"K0K 2M0")</f>
        <v>K0K 2M0</v>
      </c>
      <c r="E11202" s="3" t="str">
        <f>IFERROR(__xludf.DUMMYFUNCTION("""COMPUTED_VALUE"""),"david ruth ")</f>
        <v>david ruth </v>
      </c>
      <c r="F11202" s="3" t="str">
        <f>IFERROR(__xludf.DUMMYFUNCTION("""COMPUTED_VALUE"""),"dsruth90@gmail.com")</f>
        <v>dsruth90@gmail.com</v>
      </c>
      <c r="G11202" s="3">
        <f>IFERROR(__xludf.DUMMYFUNCTION("""COMPUTED_VALUE"""),3.302063559E9)</f>
        <v>3302063559</v>
      </c>
      <c r="H11202" s="3"/>
    </row>
    <row r="11203">
      <c r="A11203" s="2">
        <f>IFERROR(__xludf.DUMMYFUNCTION("""COMPUTED_VALUE"""),70159.0)</f>
        <v>70159</v>
      </c>
      <c r="B11203" s="3" t="str">
        <f>IFERROR(__xludf.DUMMYFUNCTION("""COMPUTED_VALUE"""),"3009F 13TH LINE E")</f>
        <v>3009F 13TH LINE E</v>
      </c>
      <c r="C11203" s="3" t="str">
        <f>IFERROR(__xludf.DUMMYFUNCTION("""COMPUTED_VALUE"""),"MARMORA")</f>
        <v>MARMORA</v>
      </c>
      <c r="D11203" s="3" t="str">
        <f>IFERROR(__xludf.DUMMYFUNCTION("""COMPUTED_VALUE"""),"K0K 2M0")</f>
        <v>K0K 2M0</v>
      </c>
      <c r="E11203" s="3" t="str">
        <f>IFERROR(__xludf.DUMMYFUNCTION("""COMPUTED_VALUE"""),"barry thompson")</f>
        <v>barry thompson</v>
      </c>
      <c r="F11203" s="3" t="str">
        <f>IFERROR(__xludf.DUMMYFUNCTION("""COMPUTED_VALUE"""),"barre@knells.cn")</f>
        <v>barre@knells.cn</v>
      </c>
      <c r="G11203" s="3">
        <f>IFERROR(__xludf.DUMMYFUNCTION("""COMPUTED_VALUE"""),5.195748082E9)</f>
        <v>5195748082</v>
      </c>
      <c r="H11203" s="3"/>
    </row>
    <row r="11204">
      <c r="A11204" s="2">
        <f>IFERROR(__xludf.DUMMYFUNCTION("""COMPUTED_VALUE"""),70160.0)</f>
        <v>70160</v>
      </c>
      <c r="B11204" s="3" t="str">
        <f>IFERROR(__xludf.DUMMYFUNCTION("""COMPUTED_VALUE"""),"3009G 13TH LINE E")</f>
        <v>3009G 13TH LINE E</v>
      </c>
      <c r="C11204" s="3" t="str">
        <f>IFERROR(__xludf.DUMMYFUNCTION("""COMPUTED_VALUE"""),"MARMORA")</f>
        <v>MARMORA</v>
      </c>
      <c r="D11204" s="3" t="str">
        <f>IFERROR(__xludf.DUMMYFUNCTION("""COMPUTED_VALUE"""),"K0K 2M0")</f>
        <v>K0K 2M0</v>
      </c>
      <c r="E11204" s="3"/>
      <c r="F11204" s="3"/>
      <c r="G11204" s="3"/>
      <c r="H11204" s="3"/>
    </row>
    <row r="11205">
      <c r="A11205" s="2">
        <f>IFERROR(__xludf.DUMMYFUNCTION("""COMPUTED_VALUE"""),70161.0)</f>
        <v>70161</v>
      </c>
      <c r="B11205" s="3" t="str">
        <f>IFERROR(__xludf.DUMMYFUNCTION("""COMPUTED_VALUE"""),"13TH LINE E")</f>
        <v>13TH LINE E</v>
      </c>
      <c r="C11205" s="3" t="str">
        <f>IFERROR(__xludf.DUMMYFUNCTION("""COMPUTED_VALUE"""),"MARMORA")</f>
        <v>MARMORA</v>
      </c>
      <c r="D11205" s="3" t="str">
        <f>IFERROR(__xludf.DUMMYFUNCTION("""COMPUTED_VALUE"""),"K0K 2M0")</f>
        <v>K0K 2M0</v>
      </c>
      <c r="E11205" s="3"/>
      <c r="F11205" s="3"/>
      <c r="G11205" s="3"/>
      <c r="H11205" s="3"/>
    </row>
    <row r="11206">
      <c r="A11206" s="2">
        <f>IFERROR(__xludf.DUMMYFUNCTION("""COMPUTED_VALUE"""),70162.0)</f>
        <v>70162</v>
      </c>
      <c r="B11206" s="3" t="str">
        <f>IFERROR(__xludf.DUMMYFUNCTION("""COMPUTED_VALUE"""),"1706 14TH LINE E")</f>
        <v>1706 14TH LINE E</v>
      </c>
      <c r="C11206" s="3" t="str">
        <f>IFERROR(__xludf.DUMMYFUNCTION("""COMPUTED_VALUE"""),"MARMORA")</f>
        <v>MARMORA</v>
      </c>
      <c r="D11206" s="3" t="str">
        <f>IFERROR(__xludf.DUMMYFUNCTION("""COMPUTED_VALUE"""),"K0K 2M0")</f>
        <v>K0K 2M0</v>
      </c>
      <c r="E11206" s="3"/>
      <c r="F11206" s="3"/>
      <c r="G11206" s="3"/>
      <c r="H11206" s="3"/>
    </row>
    <row r="11207">
      <c r="A11207" s="2">
        <f>IFERROR(__xludf.DUMMYFUNCTION("""COMPUTED_VALUE"""),70163.0)</f>
        <v>70163</v>
      </c>
      <c r="B11207" s="3" t="str">
        <f>IFERROR(__xludf.DUMMYFUNCTION("""COMPUTED_VALUE"""),"1854 14TH LINE E")</f>
        <v>1854 14TH LINE E</v>
      </c>
      <c r="C11207" s="3" t="str">
        <f>IFERROR(__xludf.DUMMYFUNCTION("""COMPUTED_VALUE"""),"MARMORA")</f>
        <v>MARMORA</v>
      </c>
      <c r="D11207" s="3" t="str">
        <f>IFERROR(__xludf.DUMMYFUNCTION("""COMPUTED_VALUE"""),"K0K 2M0")</f>
        <v>K0K 2M0</v>
      </c>
      <c r="E11207" s="3"/>
      <c r="F11207" s="3"/>
      <c r="G11207" s="3"/>
      <c r="H11207" s="3"/>
    </row>
    <row r="11208">
      <c r="A11208" s="2">
        <f>IFERROR(__xludf.DUMMYFUNCTION("""COMPUTED_VALUE"""),70164.0)</f>
        <v>70164</v>
      </c>
      <c r="B11208" s="3" t="str">
        <f>IFERROR(__xludf.DUMMYFUNCTION("""COMPUTED_VALUE"""),"2131 14TH LINE E")</f>
        <v>2131 14TH LINE E</v>
      </c>
      <c r="C11208" s="3" t="str">
        <f>IFERROR(__xludf.DUMMYFUNCTION("""COMPUTED_VALUE"""),"HAVELOCK")</f>
        <v>HAVELOCK</v>
      </c>
      <c r="D11208" s="3" t="str">
        <f>IFERROR(__xludf.DUMMYFUNCTION("""COMPUTED_VALUE"""),"K0L 1Z0")</f>
        <v>K0L 1Z0</v>
      </c>
      <c r="E11208" s="3"/>
      <c r="F11208" s="3"/>
      <c r="G11208" s="3"/>
      <c r="H11208" s="3"/>
    </row>
    <row r="11209">
      <c r="A11209" s="2">
        <f>IFERROR(__xludf.DUMMYFUNCTION("""COMPUTED_VALUE"""),70165.0)</f>
        <v>70165</v>
      </c>
      <c r="B11209" s="3" t="str">
        <f>IFERROR(__xludf.DUMMYFUNCTION("""COMPUTED_VALUE"""),"2225 14TH LINE E")</f>
        <v>2225 14TH LINE E</v>
      </c>
      <c r="C11209" s="3" t="str">
        <f>IFERROR(__xludf.DUMMYFUNCTION("""COMPUTED_VALUE"""),"HAVELOCK")</f>
        <v>HAVELOCK</v>
      </c>
      <c r="D11209" s="3" t="str">
        <f>IFERROR(__xludf.DUMMYFUNCTION("""COMPUTED_VALUE"""),"K0L 1Z0")</f>
        <v>K0L 1Z0</v>
      </c>
      <c r="E11209" s="3"/>
      <c r="F11209" s="3"/>
      <c r="G11209" s="3"/>
      <c r="H11209" s="3"/>
    </row>
    <row r="11210">
      <c r="A11210" s="2">
        <f>IFERROR(__xludf.DUMMYFUNCTION("""COMPUTED_VALUE"""),70166.0)</f>
        <v>70166</v>
      </c>
      <c r="B11210" s="3" t="str">
        <f>IFERROR(__xludf.DUMMYFUNCTION("""COMPUTED_VALUE"""),"2288 14TH LINE E")</f>
        <v>2288 14TH LINE E</v>
      </c>
      <c r="C11210" s="3" t="str">
        <f>IFERROR(__xludf.DUMMYFUNCTION("""COMPUTED_VALUE"""),"HAVELOCK")</f>
        <v>HAVELOCK</v>
      </c>
      <c r="D11210" s="3" t="str">
        <f>IFERROR(__xludf.DUMMYFUNCTION("""COMPUTED_VALUE"""),"K0L 1Z0")</f>
        <v>K0L 1Z0</v>
      </c>
      <c r="E11210" s="3" t="str">
        <f>IFERROR(__xludf.DUMMYFUNCTION("""COMPUTED_VALUE"""),"Ronald Cleverdon")</f>
        <v>Ronald Cleverdon</v>
      </c>
      <c r="F11210" s="3" t="str">
        <f>IFERROR(__xludf.DUMMYFUNCTION("""COMPUTED_VALUE"""),"rcleverdon1@gmail.com")</f>
        <v>rcleverdon1@gmail.com</v>
      </c>
      <c r="G11210" s="3">
        <f>IFERROR(__xludf.DUMMYFUNCTION("""COMPUTED_VALUE"""),7.056536191E9)</f>
        <v>7056536191</v>
      </c>
      <c r="H11210" s="3">
        <f>IFERROR(__xludf.DUMMYFUNCTION("""COMPUTED_VALUE"""),7.053958191E9)</f>
        <v>7053958191</v>
      </c>
    </row>
    <row r="11211">
      <c r="A11211" s="2">
        <f>IFERROR(__xludf.DUMMYFUNCTION("""COMPUTED_VALUE"""),70167.0)</f>
        <v>70167</v>
      </c>
      <c r="B11211" s="3" t="str">
        <f>IFERROR(__xludf.DUMMYFUNCTION("""COMPUTED_VALUE"""),"2291 14TH LINE E")</f>
        <v>2291 14TH LINE E</v>
      </c>
      <c r="C11211" s="3" t="str">
        <f>IFERROR(__xludf.DUMMYFUNCTION("""COMPUTED_VALUE"""),"HAVELOCK")</f>
        <v>HAVELOCK</v>
      </c>
      <c r="D11211" s="3" t="str">
        <f>IFERROR(__xludf.DUMMYFUNCTION("""COMPUTED_VALUE"""),"K0L 1Z0")</f>
        <v>K0L 1Z0</v>
      </c>
      <c r="E11211" s="3"/>
      <c r="F11211" s="3"/>
      <c r="G11211" s="3"/>
      <c r="H11211" s="3"/>
    </row>
    <row r="11212">
      <c r="A11212" s="2">
        <f>IFERROR(__xludf.DUMMYFUNCTION("""COMPUTED_VALUE"""),70168.0)</f>
        <v>70168</v>
      </c>
      <c r="B11212" s="3" t="str">
        <f>IFERROR(__xludf.DUMMYFUNCTION("""COMPUTED_VALUE"""),"2350 14TH LINE E")</f>
        <v>2350 14TH LINE E</v>
      </c>
      <c r="C11212" s="3" t="str">
        <f>IFERROR(__xludf.DUMMYFUNCTION("""COMPUTED_VALUE"""),"HAVELOCK")</f>
        <v>HAVELOCK</v>
      </c>
      <c r="D11212" s="3" t="str">
        <f>IFERROR(__xludf.DUMMYFUNCTION("""COMPUTED_VALUE"""),"K0L 1Z0")</f>
        <v>K0L 1Z0</v>
      </c>
      <c r="E11212" s="3"/>
      <c r="F11212" s="3"/>
      <c r="G11212" s="3"/>
      <c r="H11212" s="3"/>
    </row>
    <row r="11213">
      <c r="A11213" s="2">
        <f>IFERROR(__xludf.DUMMYFUNCTION("""COMPUTED_VALUE"""),70169.0)</f>
        <v>70169</v>
      </c>
      <c r="B11213" s="3" t="str">
        <f>IFERROR(__xludf.DUMMYFUNCTION("""COMPUTED_VALUE"""),"2404 14TH LINE E")</f>
        <v>2404 14TH LINE E</v>
      </c>
      <c r="C11213" s="3" t="str">
        <f>IFERROR(__xludf.DUMMYFUNCTION("""COMPUTED_VALUE"""),"HAVELOCK")</f>
        <v>HAVELOCK</v>
      </c>
      <c r="D11213" s="3" t="str">
        <f>IFERROR(__xludf.DUMMYFUNCTION("""COMPUTED_VALUE"""),"K0L 1Z0")</f>
        <v>K0L 1Z0</v>
      </c>
      <c r="E11213" s="3"/>
      <c r="F11213" s="3"/>
      <c r="G11213" s="3"/>
      <c r="H11213" s="3"/>
    </row>
    <row r="11214">
      <c r="A11214" s="2">
        <f>IFERROR(__xludf.DUMMYFUNCTION("""COMPUTED_VALUE"""),70171.0)</f>
        <v>70171</v>
      </c>
      <c r="B11214" s="3" t="str">
        <f>IFERROR(__xludf.DUMMYFUNCTION("""COMPUTED_VALUE"""),"166 2ND LINE E")</f>
        <v>166 2ND LINE E</v>
      </c>
      <c r="C11214" s="3" t="str">
        <f>IFERROR(__xludf.DUMMYFUNCTION("""COMPUTED_VALUE"""),"CAMPBELLFORD")</f>
        <v>CAMPBELLFORD</v>
      </c>
      <c r="D11214" s="3" t="str">
        <f>IFERROR(__xludf.DUMMYFUNCTION("""COMPUTED_VALUE"""),"K0L 1L0")</f>
        <v>K0L 1L0</v>
      </c>
      <c r="E11214" s="3"/>
      <c r="F11214" s="3"/>
      <c r="G11214" s="3"/>
      <c r="H11214" s="3"/>
    </row>
    <row r="11215">
      <c r="A11215" s="2">
        <f>IFERROR(__xludf.DUMMYFUNCTION("""COMPUTED_VALUE"""),70172.0)</f>
        <v>70172</v>
      </c>
      <c r="B11215" s="3" t="str">
        <f>IFERROR(__xludf.DUMMYFUNCTION("""COMPUTED_VALUE"""),"171 2ND LINE E")</f>
        <v>171 2ND LINE E</v>
      </c>
      <c r="C11215" s="3" t="str">
        <f>IFERROR(__xludf.DUMMYFUNCTION("""COMPUTED_VALUE"""),"CAMPBELLFORD")</f>
        <v>CAMPBELLFORD</v>
      </c>
      <c r="D11215" s="3" t="str">
        <f>IFERROR(__xludf.DUMMYFUNCTION("""COMPUTED_VALUE"""),"K0L 1L0")</f>
        <v>K0L 1L0</v>
      </c>
      <c r="E11215" s="3"/>
      <c r="F11215" s="3"/>
      <c r="G11215" s="3"/>
      <c r="H11215" s="3"/>
    </row>
    <row r="11216">
      <c r="A11216" s="2">
        <f>IFERROR(__xludf.DUMMYFUNCTION("""COMPUTED_VALUE"""),70173.0)</f>
        <v>70173</v>
      </c>
      <c r="B11216" s="3" t="str">
        <f>IFERROR(__xludf.DUMMYFUNCTION("""COMPUTED_VALUE"""),"213 2ND LINE E")</f>
        <v>213 2ND LINE E</v>
      </c>
      <c r="C11216" s="3" t="str">
        <f>IFERROR(__xludf.DUMMYFUNCTION("""COMPUTED_VALUE"""),"CAMPBELLFORD")</f>
        <v>CAMPBELLFORD</v>
      </c>
      <c r="D11216" s="3" t="str">
        <f>IFERROR(__xludf.DUMMYFUNCTION("""COMPUTED_VALUE"""),"K0L 1L0")</f>
        <v>K0L 1L0</v>
      </c>
      <c r="E11216" s="3"/>
      <c r="F11216" s="3"/>
      <c r="G11216" s="3"/>
      <c r="H11216" s="3"/>
    </row>
    <row r="11217">
      <c r="A11217" s="2">
        <f>IFERROR(__xludf.DUMMYFUNCTION("""COMPUTED_VALUE"""),72552.0)</f>
        <v>72552</v>
      </c>
      <c r="B11217" s="3" t="str">
        <f>IFERROR(__xludf.DUMMYFUNCTION("""COMPUTED_VALUE"""),"271 2ND LINE E")</f>
        <v>271 2ND LINE E</v>
      </c>
      <c r="C11217" s="3" t="str">
        <f>IFERROR(__xludf.DUMMYFUNCTION("""COMPUTED_VALUE"""),"CAMPBELLFORD")</f>
        <v>CAMPBELLFORD</v>
      </c>
      <c r="D11217" s="3" t="str">
        <f>IFERROR(__xludf.DUMMYFUNCTION("""COMPUTED_VALUE"""),"K0L 1L0")</f>
        <v>K0L 1L0</v>
      </c>
      <c r="E11217" s="3"/>
      <c r="F11217" s="3"/>
      <c r="G11217" s="3"/>
      <c r="H11217" s="3"/>
    </row>
    <row r="11218">
      <c r="A11218" s="2">
        <f>IFERROR(__xludf.DUMMYFUNCTION("""COMPUTED_VALUE"""),70174.0)</f>
        <v>70174</v>
      </c>
      <c r="B11218" s="3" t="str">
        <f>IFERROR(__xludf.DUMMYFUNCTION("""COMPUTED_VALUE"""),"430 2ND LINE E")</f>
        <v>430 2ND LINE E</v>
      </c>
      <c r="C11218" s="3" t="str">
        <f>IFERROR(__xludf.DUMMYFUNCTION("""COMPUTED_VALUE"""),"CAMPBELLFORD")</f>
        <v>CAMPBELLFORD</v>
      </c>
      <c r="D11218" s="3" t="str">
        <f>IFERROR(__xludf.DUMMYFUNCTION("""COMPUTED_VALUE"""),"K0L 1L0")</f>
        <v>K0L 1L0</v>
      </c>
      <c r="E11218" s="3"/>
      <c r="F11218" s="3"/>
      <c r="G11218" s="3"/>
      <c r="H11218" s="3"/>
    </row>
    <row r="11219">
      <c r="A11219" s="2">
        <f>IFERROR(__xludf.DUMMYFUNCTION("""COMPUTED_VALUE"""),70175.0)</f>
        <v>70175</v>
      </c>
      <c r="B11219" s="3" t="str">
        <f>IFERROR(__xludf.DUMMYFUNCTION("""COMPUTED_VALUE"""),"517 2ND LINE E")</f>
        <v>517 2ND LINE E</v>
      </c>
      <c r="C11219" s="3" t="str">
        <f>IFERROR(__xludf.DUMMYFUNCTION("""COMPUTED_VALUE"""),"CAMPBELLFORD")</f>
        <v>CAMPBELLFORD</v>
      </c>
      <c r="D11219" s="3" t="str">
        <f>IFERROR(__xludf.DUMMYFUNCTION("""COMPUTED_VALUE"""),"K0L 1L0")</f>
        <v>K0L 1L0</v>
      </c>
      <c r="E11219" s="3"/>
      <c r="F11219" s="3"/>
      <c r="G11219" s="3"/>
      <c r="H11219" s="3"/>
    </row>
    <row r="11220">
      <c r="A11220" s="2">
        <f>IFERROR(__xludf.DUMMYFUNCTION("""COMPUTED_VALUE"""),70176.0)</f>
        <v>70176</v>
      </c>
      <c r="B11220" s="3" t="str">
        <f>IFERROR(__xludf.DUMMYFUNCTION("""COMPUTED_VALUE"""),"656 2ND LINE E")</f>
        <v>656 2ND LINE E</v>
      </c>
      <c r="C11220" s="3" t="str">
        <f>IFERROR(__xludf.DUMMYFUNCTION("""COMPUTED_VALUE"""),"CAMPBELLFORD")</f>
        <v>CAMPBELLFORD</v>
      </c>
      <c r="D11220" s="3" t="str">
        <f>IFERROR(__xludf.DUMMYFUNCTION("""COMPUTED_VALUE"""),"K0L 1L0")</f>
        <v>K0L 1L0</v>
      </c>
      <c r="E11220" s="3"/>
      <c r="F11220" s="3"/>
      <c r="G11220" s="3"/>
      <c r="H11220" s="3"/>
    </row>
    <row r="11221">
      <c r="A11221" s="2">
        <f>IFERROR(__xludf.DUMMYFUNCTION("""COMPUTED_VALUE"""),70177.0)</f>
        <v>70177</v>
      </c>
      <c r="B11221" s="3" t="str">
        <f>IFERROR(__xludf.DUMMYFUNCTION("""COMPUTED_VALUE"""),"680 2ND LINE E")</f>
        <v>680 2ND LINE E</v>
      </c>
      <c r="C11221" s="3" t="str">
        <f>IFERROR(__xludf.DUMMYFUNCTION("""COMPUTED_VALUE"""),"CAMPBELLFORD")</f>
        <v>CAMPBELLFORD</v>
      </c>
      <c r="D11221" s="3" t="str">
        <f>IFERROR(__xludf.DUMMYFUNCTION("""COMPUTED_VALUE"""),"K0L 1L0")</f>
        <v>K0L 1L0</v>
      </c>
      <c r="E11221" s="3"/>
      <c r="F11221" s="3"/>
      <c r="G11221" s="3"/>
      <c r="H11221" s="3"/>
    </row>
    <row r="11222">
      <c r="A11222" s="2">
        <f>IFERROR(__xludf.DUMMYFUNCTION("""COMPUTED_VALUE"""),70178.0)</f>
        <v>70178</v>
      </c>
      <c r="B11222" s="3" t="str">
        <f>IFERROR(__xludf.DUMMYFUNCTION("""COMPUTED_VALUE"""),"802 2ND LINE E")</f>
        <v>802 2ND LINE E</v>
      </c>
      <c r="C11222" s="3" t="str">
        <f>IFERROR(__xludf.DUMMYFUNCTION("""COMPUTED_VALUE"""),"CAMPBELLFORD")</f>
        <v>CAMPBELLFORD</v>
      </c>
      <c r="D11222" s="3" t="str">
        <f>IFERROR(__xludf.DUMMYFUNCTION("""COMPUTED_VALUE"""),"K0L 1L0")</f>
        <v>K0L 1L0</v>
      </c>
      <c r="E11222" s="3"/>
      <c r="F11222" s="3"/>
      <c r="G11222" s="3"/>
      <c r="H11222" s="3"/>
    </row>
    <row r="11223">
      <c r="A11223" s="2">
        <f>IFERROR(__xludf.DUMMYFUNCTION("""COMPUTED_VALUE"""),70179.0)</f>
        <v>70179</v>
      </c>
      <c r="B11223" s="3" t="str">
        <f>IFERROR(__xludf.DUMMYFUNCTION("""COMPUTED_VALUE"""),"855 2ND LINE E")</f>
        <v>855 2ND LINE E</v>
      </c>
      <c r="C11223" s="3" t="str">
        <f>IFERROR(__xludf.DUMMYFUNCTION("""COMPUTED_VALUE"""),"CAMPBELLFORD")</f>
        <v>CAMPBELLFORD</v>
      </c>
      <c r="D11223" s="3" t="str">
        <f>IFERROR(__xludf.DUMMYFUNCTION("""COMPUTED_VALUE"""),"K0L 1L0")</f>
        <v>K0L 1L0</v>
      </c>
      <c r="E11223" s="3" t="str">
        <f>IFERROR(__xludf.DUMMYFUNCTION("""COMPUTED_VALUE"""),"Helen Oroarke")</f>
        <v>Helen Oroarke</v>
      </c>
      <c r="F11223" s="3" t="str">
        <f>IFERROR(__xludf.DUMMYFUNCTION("""COMPUTED_VALUE"""),"orourkchelen@hotmail.com")</f>
        <v>orourkchelen@hotmail.com</v>
      </c>
      <c r="G11223" s="3">
        <f>IFERROR(__xludf.DUMMYFUNCTION("""COMPUTED_VALUE"""),7.057688719E9)</f>
        <v>7057688719</v>
      </c>
      <c r="H11223" s="3">
        <f>IFERROR(__xludf.DUMMYFUNCTION("""COMPUTED_VALUE"""),6.13392326E9)</f>
        <v>6133923260</v>
      </c>
    </row>
    <row r="11224">
      <c r="A11224" s="2">
        <f>IFERROR(__xludf.DUMMYFUNCTION("""COMPUTED_VALUE"""),70180.0)</f>
        <v>70180</v>
      </c>
      <c r="B11224" s="3" t="str">
        <f>IFERROR(__xludf.DUMMYFUNCTION("""COMPUTED_VALUE"""),"856 2ND LINE E")</f>
        <v>856 2ND LINE E</v>
      </c>
      <c r="C11224" s="3" t="str">
        <f>IFERROR(__xludf.DUMMYFUNCTION("""COMPUTED_VALUE"""),"CAMPBELLFORD")</f>
        <v>CAMPBELLFORD</v>
      </c>
      <c r="D11224" s="3" t="str">
        <f>IFERROR(__xludf.DUMMYFUNCTION("""COMPUTED_VALUE"""),"K0L 1L0")</f>
        <v>K0L 1L0</v>
      </c>
      <c r="E11224" s="3" t="str">
        <f>IFERROR(__xludf.DUMMYFUNCTION("""COMPUTED_VALUE"""),"Chris Makerewich ")</f>
        <v>Chris Makerewich </v>
      </c>
      <c r="F11224" s="3" t="str">
        <f>IFERROR(__xludf.DUMMYFUNCTION("""COMPUTED_VALUE"""),"chris.makerewich@gmail.com")</f>
        <v>chris.makerewich@gmail.com</v>
      </c>
      <c r="G11224" s="3">
        <f>IFERROR(__xludf.DUMMYFUNCTION("""COMPUTED_VALUE"""),2.894009734E9)</f>
        <v>2894009734</v>
      </c>
      <c r="H11224" s="3"/>
    </row>
    <row r="11225">
      <c r="A11225" s="2">
        <f>IFERROR(__xludf.DUMMYFUNCTION("""COMPUTED_VALUE"""),70181.0)</f>
        <v>70181</v>
      </c>
      <c r="B11225" s="3" t="str">
        <f>IFERROR(__xludf.DUMMYFUNCTION("""COMPUTED_VALUE"""),"862 2ND LINE E")</f>
        <v>862 2ND LINE E</v>
      </c>
      <c r="C11225" s="3" t="str">
        <f>IFERROR(__xludf.DUMMYFUNCTION("""COMPUTED_VALUE"""),"CAMPBELLFORD")</f>
        <v>CAMPBELLFORD</v>
      </c>
      <c r="D11225" s="3" t="str">
        <f>IFERROR(__xludf.DUMMYFUNCTION("""COMPUTED_VALUE"""),"K0L 1L0")</f>
        <v>K0L 1L0</v>
      </c>
      <c r="E11225" s="3"/>
      <c r="F11225" s="3"/>
      <c r="G11225" s="3"/>
      <c r="H11225" s="3"/>
    </row>
    <row r="11226">
      <c r="A11226" s="2">
        <f>IFERROR(__xludf.DUMMYFUNCTION("""COMPUTED_VALUE"""),70182.0)</f>
        <v>70182</v>
      </c>
      <c r="B11226" s="3" t="str">
        <f>IFERROR(__xludf.DUMMYFUNCTION("""COMPUTED_VALUE"""),"878 2ND LINE E")</f>
        <v>878 2ND LINE E</v>
      </c>
      <c r="C11226" s="3" t="str">
        <f>IFERROR(__xludf.DUMMYFUNCTION("""COMPUTED_VALUE"""),"CAMPBELLFORD")</f>
        <v>CAMPBELLFORD</v>
      </c>
      <c r="D11226" s="3" t="str">
        <f>IFERROR(__xludf.DUMMYFUNCTION("""COMPUTED_VALUE"""),"K0L 1L0")</f>
        <v>K0L 1L0</v>
      </c>
      <c r="E11226" s="3"/>
      <c r="F11226" s="3"/>
      <c r="G11226" s="3"/>
      <c r="H11226" s="3"/>
    </row>
    <row r="11227">
      <c r="A11227" s="2">
        <f>IFERROR(__xludf.DUMMYFUNCTION("""COMPUTED_VALUE"""),70183.0)</f>
        <v>70183</v>
      </c>
      <c r="B11227" s="3" t="str">
        <f>IFERROR(__xludf.DUMMYFUNCTION("""COMPUTED_VALUE"""),"886 2ND LINE E")</f>
        <v>886 2ND LINE E</v>
      </c>
      <c r="C11227" s="3" t="str">
        <f>IFERROR(__xludf.DUMMYFUNCTION("""COMPUTED_VALUE"""),"CAMPBELLFORD")</f>
        <v>CAMPBELLFORD</v>
      </c>
      <c r="D11227" s="3" t="str">
        <f>IFERROR(__xludf.DUMMYFUNCTION("""COMPUTED_VALUE"""),"K0L 1L0")</f>
        <v>K0L 1L0</v>
      </c>
      <c r="E11227" s="3"/>
      <c r="F11227" s="3"/>
      <c r="G11227" s="3"/>
      <c r="H11227" s="3"/>
    </row>
    <row r="11228">
      <c r="A11228" s="2">
        <f>IFERROR(__xludf.DUMMYFUNCTION("""COMPUTED_VALUE"""),70184.0)</f>
        <v>70184</v>
      </c>
      <c r="B11228" s="3" t="str">
        <f>IFERROR(__xludf.DUMMYFUNCTION("""COMPUTED_VALUE"""),"901 2ND LINE E")</f>
        <v>901 2ND LINE E</v>
      </c>
      <c r="C11228" s="3" t="str">
        <f>IFERROR(__xludf.DUMMYFUNCTION("""COMPUTED_VALUE"""),"CAMPBELLFORD")</f>
        <v>CAMPBELLFORD</v>
      </c>
      <c r="D11228" s="3" t="str">
        <f>IFERROR(__xludf.DUMMYFUNCTION("""COMPUTED_VALUE"""),"K0L 1L0")</f>
        <v>K0L 1L0</v>
      </c>
      <c r="E11228" s="3"/>
      <c r="F11228" s="3"/>
      <c r="G11228" s="3"/>
      <c r="H11228" s="3"/>
    </row>
    <row r="11229">
      <c r="A11229" s="2">
        <f>IFERROR(__xludf.DUMMYFUNCTION("""COMPUTED_VALUE"""),70185.0)</f>
        <v>70185</v>
      </c>
      <c r="B11229" s="3" t="str">
        <f>IFERROR(__xludf.DUMMYFUNCTION("""COMPUTED_VALUE"""),"939 2ND LINE E")</f>
        <v>939 2ND LINE E</v>
      </c>
      <c r="C11229" s="3" t="str">
        <f>IFERROR(__xludf.DUMMYFUNCTION("""COMPUTED_VALUE"""),"CAMPBELLFORD")</f>
        <v>CAMPBELLFORD</v>
      </c>
      <c r="D11229" s="3" t="str">
        <f>IFERROR(__xludf.DUMMYFUNCTION("""COMPUTED_VALUE"""),"K0L 1L0")</f>
        <v>K0L 1L0</v>
      </c>
      <c r="E11229" s="3"/>
      <c r="F11229" s="3"/>
      <c r="G11229" s="3"/>
      <c r="H11229" s="3"/>
    </row>
    <row r="11230">
      <c r="A11230" s="2">
        <f>IFERROR(__xludf.DUMMYFUNCTION("""COMPUTED_VALUE"""),70186.0)</f>
        <v>70186</v>
      </c>
      <c r="B11230" s="3" t="str">
        <f>IFERROR(__xludf.DUMMYFUNCTION("""COMPUTED_VALUE"""),"979 2ND LINE E")</f>
        <v>979 2ND LINE E</v>
      </c>
      <c r="C11230" s="3" t="str">
        <f>IFERROR(__xludf.DUMMYFUNCTION("""COMPUTED_VALUE"""),"CAMPBELLFORD")</f>
        <v>CAMPBELLFORD</v>
      </c>
      <c r="D11230" s="3" t="str">
        <f>IFERROR(__xludf.DUMMYFUNCTION("""COMPUTED_VALUE"""),"K0L 1L0")</f>
        <v>K0L 1L0</v>
      </c>
      <c r="E11230" s="3"/>
      <c r="F11230" s="3"/>
      <c r="G11230" s="3"/>
      <c r="H11230" s="3"/>
    </row>
    <row r="11231">
      <c r="A11231" s="2">
        <f>IFERROR(__xludf.DUMMYFUNCTION("""COMPUTED_VALUE"""),70187.0)</f>
        <v>70187</v>
      </c>
      <c r="B11231" s="3" t="str">
        <f>IFERROR(__xludf.DUMMYFUNCTION("""COMPUTED_VALUE"""),"1034 2ND LINE E")</f>
        <v>1034 2ND LINE E</v>
      </c>
      <c r="C11231" s="3" t="str">
        <f>IFERROR(__xludf.DUMMYFUNCTION("""COMPUTED_VALUE"""),"CAMPBELLFORD")</f>
        <v>CAMPBELLFORD</v>
      </c>
      <c r="D11231" s="3" t="str">
        <f>IFERROR(__xludf.DUMMYFUNCTION("""COMPUTED_VALUE"""),"K0L 1L0")</f>
        <v>K0L 1L0</v>
      </c>
      <c r="E11231" s="3"/>
      <c r="F11231" s="3"/>
      <c r="G11231" s="3"/>
      <c r="H11231" s="3"/>
    </row>
    <row r="11232">
      <c r="A11232" s="2">
        <f>IFERROR(__xludf.DUMMYFUNCTION("""COMPUTED_VALUE"""),70188.0)</f>
        <v>70188</v>
      </c>
      <c r="B11232" s="3" t="str">
        <f>IFERROR(__xludf.DUMMYFUNCTION("""COMPUTED_VALUE"""),"1107 2ND LINE E")</f>
        <v>1107 2ND LINE E</v>
      </c>
      <c r="C11232" s="3" t="str">
        <f>IFERROR(__xludf.DUMMYFUNCTION("""COMPUTED_VALUE"""),"CAMPBELLFORD")</f>
        <v>CAMPBELLFORD</v>
      </c>
      <c r="D11232" s="3" t="str">
        <f>IFERROR(__xludf.DUMMYFUNCTION("""COMPUTED_VALUE"""),"K0L 1L0")</f>
        <v>K0L 1L0</v>
      </c>
      <c r="E11232" s="3"/>
      <c r="F11232" s="3"/>
      <c r="G11232" s="3"/>
      <c r="H11232" s="3"/>
    </row>
    <row r="11233">
      <c r="A11233" s="2">
        <f>IFERROR(__xludf.DUMMYFUNCTION("""COMPUTED_VALUE"""),70189.0)</f>
        <v>70189</v>
      </c>
      <c r="B11233" s="3" t="str">
        <f>IFERROR(__xludf.DUMMYFUNCTION("""COMPUTED_VALUE"""),"1120 2ND LINE E")</f>
        <v>1120 2ND LINE E</v>
      </c>
      <c r="C11233" s="3" t="str">
        <f>IFERROR(__xludf.DUMMYFUNCTION("""COMPUTED_VALUE"""),"CAMPBELLFORD")</f>
        <v>CAMPBELLFORD</v>
      </c>
      <c r="D11233" s="3" t="str">
        <f>IFERROR(__xludf.DUMMYFUNCTION("""COMPUTED_VALUE"""),"K0L 1L0")</f>
        <v>K0L 1L0</v>
      </c>
      <c r="E11233" s="3"/>
      <c r="F11233" s="3"/>
      <c r="G11233" s="3"/>
      <c r="H11233" s="3"/>
    </row>
    <row r="11234">
      <c r="A11234" s="2">
        <f>IFERROR(__xludf.DUMMYFUNCTION("""COMPUTED_VALUE"""),70190.0)</f>
        <v>70190</v>
      </c>
      <c r="B11234" s="3" t="str">
        <f>IFERROR(__xludf.DUMMYFUNCTION("""COMPUTED_VALUE"""),"1189 2ND LINE E")</f>
        <v>1189 2ND LINE E</v>
      </c>
      <c r="C11234" s="3" t="str">
        <f>IFERROR(__xludf.DUMMYFUNCTION("""COMPUTED_VALUE"""),"CAMPBELLFORD")</f>
        <v>CAMPBELLFORD</v>
      </c>
      <c r="D11234" s="3" t="str">
        <f>IFERROR(__xludf.DUMMYFUNCTION("""COMPUTED_VALUE"""),"K0L 1L0")</f>
        <v>K0L 1L0</v>
      </c>
      <c r="E11234" s="3"/>
      <c r="F11234" s="3"/>
      <c r="G11234" s="3"/>
      <c r="H11234" s="3"/>
    </row>
    <row r="11235">
      <c r="A11235" s="2">
        <f>IFERROR(__xludf.DUMMYFUNCTION("""COMPUTED_VALUE"""),70191.0)</f>
        <v>70191</v>
      </c>
      <c r="B11235" s="3" t="str">
        <f>IFERROR(__xludf.DUMMYFUNCTION("""COMPUTED_VALUE"""),"1295 2ND LINE E")</f>
        <v>1295 2ND LINE E</v>
      </c>
      <c r="C11235" s="3" t="str">
        <f>IFERROR(__xludf.DUMMYFUNCTION("""COMPUTED_VALUE"""),"CAMPBELLFORD")</f>
        <v>CAMPBELLFORD</v>
      </c>
      <c r="D11235" s="3" t="str">
        <f>IFERROR(__xludf.DUMMYFUNCTION("""COMPUTED_VALUE"""),"K0L 1L0")</f>
        <v>K0L 1L0</v>
      </c>
      <c r="E11235" s="3"/>
      <c r="F11235" s="3"/>
      <c r="G11235" s="3"/>
      <c r="H11235" s="3"/>
    </row>
    <row r="11236">
      <c r="A11236" s="2">
        <f>IFERROR(__xludf.DUMMYFUNCTION("""COMPUTED_VALUE"""),70192.0)</f>
        <v>70192</v>
      </c>
      <c r="B11236" s="3" t="str">
        <f>IFERROR(__xludf.DUMMYFUNCTION("""COMPUTED_VALUE"""),"1299 2ND LINE E")</f>
        <v>1299 2ND LINE E</v>
      </c>
      <c r="C11236" s="3" t="str">
        <f>IFERROR(__xludf.DUMMYFUNCTION("""COMPUTED_VALUE"""),"CAMPBELLFORD")</f>
        <v>CAMPBELLFORD</v>
      </c>
      <c r="D11236" s="3" t="str">
        <f>IFERROR(__xludf.DUMMYFUNCTION("""COMPUTED_VALUE"""),"K0L 1L0")</f>
        <v>K0L 1L0</v>
      </c>
      <c r="E11236" s="3"/>
      <c r="F11236" s="3"/>
      <c r="G11236" s="3"/>
      <c r="H11236" s="3"/>
    </row>
    <row r="11237">
      <c r="A11237" s="2">
        <f>IFERROR(__xludf.DUMMYFUNCTION("""COMPUTED_VALUE"""),70193.0)</f>
        <v>70193</v>
      </c>
      <c r="B11237" s="3" t="str">
        <f>IFERROR(__xludf.DUMMYFUNCTION("""COMPUTED_VALUE"""),"1320 2ND LINE E")</f>
        <v>1320 2ND LINE E</v>
      </c>
      <c r="C11237" s="3" t="str">
        <f>IFERROR(__xludf.DUMMYFUNCTION("""COMPUTED_VALUE"""),"CAMPBELLFORD")</f>
        <v>CAMPBELLFORD</v>
      </c>
      <c r="D11237" s="3" t="str">
        <f>IFERROR(__xludf.DUMMYFUNCTION("""COMPUTED_VALUE"""),"K0L 1L0")</f>
        <v>K0L 1L0</v>
      </c>
      <c r="E11237" s="3"/>
      <c r="F11237" s="3"/>
      <c r="G11237" s="3"/>
      <c r="H11237" s="3"/>
    </row>
    <row r="11238">
      <c r="A11238" s="2">
        <f>IFERROR(__xludf.DUMMYFUNCTION("""COMPUTED_VALUE"""),70194.0)</f>
        <v>70194</v>
      </c>
      <c r="B11238" s="3" t="str">
        <f>IFERROR(__xludf.DUMMYFUNCTION("""COMPUTED_VALUE"""),"1801 2ND LINE E")</f>
        <v>1801 2ND LINE E</v>
      </c>
      <c r="C11238" s="3" t="str">
        <f>IFERROR(__xludf.DUMMYFUNCTION("""COMPUTED_VALUE"""),"CAMPBELLFORD")</f>
        <v>CAMPBELLFORD</v>
      </c>
      <c r="D11238" s="3" t="str">
        <f>IFERROR(__xludf.DUMMYFUNCTION("""COMPUTED_VALUE"""),"K0L 1L0")</f>
        <v>K0L 1L0</v>
      </c>
      <c r="E11238" s="3"/>
      <c r="F11238" s="3"/>
      <c r="G11238" s="3"/>
      <c r="H11238" s="3"/>
    </row>
    <row r="11239">
      <c r="A11239" s="2">
        <f>IFERROR(__xludf.DUMMYFUNCTION("""COMPUTED_VALUE"""),70195.0)</f>
        <v>70195</v>
      </c>
      <c r="B11239" s="3" t="str">
        <f>IFERROR(__xludf.DUMMYFUNCTION("""COMPUTED_VALUE"""),"1807 2ND LINE E")</f>
        <v>1807 2ND LINE E</v>
      </c>
      <c r="C11239" s="3" t="str">
        <f>IFERROR(__xludf.DUMMYFUNCTION("""COMPUTED_VALUE"""),"CAMPBELLFORD")</f>
        <v>CAMPBELLFORD</v>
      </c>
      <c r="D11239" s="3" t="str">
        <f>IFERROR(__xludf.DUMMYFUNCTION("""COMPUTED_VALUE"""),"K0L 1L0")</f>
        <v>K0L 1L0</v>
      </c>
      <c r="E11239" s="3"/>
      <c r="F11239" s="3"/>
      <c r="G11239" s="3"/>
      <c r="H11239" s="3"/>
    </row>
    <row r="11240">
      <c r="A11240" s="2">
        <f>IFERROR(__xludf.DUMMYFUNCTION("""COMPUTED_VALUE"""),70196.0)</f>
        <v>70196</v>
      </c>
      <c r="B11240" s="3" t="str">
        <f>IFERROR(__xludf.DUMMYFUNCTION("""COMPUTED_VALUE"""),"1813 2ND LINE E")</f>
        <v>1813 2ND LINE E</v>
      </c>
      <c r="C11240" s="3" t="str">
        <f>IFERROR(__xludf.DUMMYFUNCTION("""COMPUTED_VALUE"""),"CAMPBELLFORD")</f>
        <v>CAMPBELLFORD</v>
      </c>
      <c r="D11240" s="3" t="str">
        <f>IFERROR(__xludf.DUMMYFUNCTION("""COMPUTED_VALUE"""),"K0L 1L0")</f>
        <v>K0L 1L0</v>
      </c>
      <c r="E11240" s="3"/>
      <c r="F11240" s="3"/>
      <c r="G11240" s="3"/>
      <c r="H11240" s="3"/>
    </row>
    <row r="11241">
      <c r="A11241" s="2">
        <f>IFERROR(__xludf.DUMMYFUNCTION("""COMPUTED_VALUE"""),70197.0)</f>
        <v>70197</v>
      </c>
      <c r="B11241" s="3" t="str">
        <f>IFERROR(__xludf.DUMMYFUNCTION("""COMPUTED_VALUE"""),"1819 2ND LINE E")</f>
        <v>1819 2ND LINE E</v>
      </c>
      <c r="C11241" s="3" t="str">
        <f>IFERROR(__xludf.DUMMYFUNCTION("""COMPUTED_VALUE"""),"CAMPBELLFORD")</f>
        <v>CAMPBELLFORD</v>
      </c>
      <c r="D11241" s="3" t="str">
        <f>IFERROR(__xludf.DUMMYFUNCTION("""COMPUTED_VALUE"""),"K0L 1L0")</f>
        <v>K0L 1L0</v>
      </c>
      <c r="E11241" s="3"/>
      <c r="F11241" s="3"/>
      <c r="G11241" s="3"/>
      <c r="H11241" s="3"/>
    </row>
    <row r="11242">
      <c r="A11242" s="2">
        <f>IFERROR(__xludf.DUMMYFUNCTION("""COMPUTED_VALUE"""),70198.0)</f>
        <v>70198</v>
      </c>
      <c r="B11242" s="3" t="str">
        <f>IFERROR(__xludf.DUMMYFUNCTION("""COMPUTED_VALUE"""),"1823 2ND LINE E")</f>
        <v>1823 2ND LINE E</v>
      </c>
      <c r="C11242" s="3" t="str">
        <f>IFERROR(__xludf.DUMMYFUNCTION("""COMPUTED_VALUE"""),"CAMPBELLFORD")</f>
        <v>CAMPBELLFORD</v>
      </c>
      <c r="D11242" s="3" t="str">
        <f>IFERROR(__xludf.DUMMYFUNCTION("""COMPUTED_VALUE"""),"K0L 1L0")</f>
        <v>K0L 1L0</v>
      </c>
      <c r="E11242" s="3"/>
      <c r="F11242" s="3"/>
      <c r="G11242" s="3"/>
      <c r="H11242" s="3"/>
    </row>
    <row r="11243">
      <c r="A11243" s="2">
        <f>IFERROR(__xludf.DUMMYFUNCTION("""COMPUTED_VALUE"""),70199.0)</f>
        <v>70199</v>
      </c>
      <c r="B11243" s="3" t="str">
        <f>IFERROR(__xludf.DUMMYFUNCTION("""COMPUTED_VALUE"""),"1827 2ND LINE E")</f>
        <v>1827 2ND LINE E</v>
      </c>
      <c r="C11243" s="3" t="str">
        <f>IFERROR(__xludf.DUMMYFUNCTION("""COMPUTED_VALUE"""),"CAMPBELLFORD")</f>
        <v>CAMPBELLFORD</v>
      </c>
      <c r="D11243" s="3" t="str">
        <f>IFERROR(__xludf.DUMMYFUNCTION("""COMPUTED_VALUE"""),"K0L 1L0")</f>
        <v>K0L 1L0</v>
      </c>
      <c r="E11243" s="3"/>
      <c r="F11243" s="3"/>
      <c r="G11243" s="3"/>
      <c r="H11243" s="3"/>
    </row>
    <row r="11244">
      <c r="A11244" s="2">
        <f>IFERROR(__xludf.DUMMYFUNCTION("""COMPUTED_VALUE"""),70200.0)</f>
        <v>70200</v>
      </c>
      <c r="B11244" s="3" t="str">
        <f>IFERROR(__xludf.DUMMYFUNCTION("""COMPUTED_VALUE"""),"1831 2ND LINE E")</f>
        <v>1831 2ND LINE E</v>
      </c>
      <c r="C11244" s="3" t="str">
        <f>IFERROR(__xludf.DUMMYFUNCTION("""COMPUTED_VALUE"""),"CAMPBELLFORD")</f>
        <v>CAMPBELLFORD</v>
      </c>
      <c r="D11244" s="3" t="str">
        <f>IFERROR(__xludf.DUMMYFUNCTION("""COMPUTED_VALUE"""),"K0L 1L0")</f>
        <v>K0L 1L0</v>
      </c>
      <c r="E11244" s="3"/>
      <c r="F11244" s="3"/>
      <c r="G11244" s="3"/>
      <c r="H11244" s="3"/>
    </row>
    <row r="11245">
      <c r="A11245" s="2">
        <f>IFERROR(__xludf.DUMMYFUNCTION("""COMPUTED_VALUE"""),70201.0)</f>
        <v>70201</v>
      </c>
      <c r="B11245" s="3" t="str">
        <f>IFERROR(__xludf.DUMMYFUNCTION("""COMPUTED_VALUE"""),"1837 2ND LINE E")</f>
        <v>1837 2ND LINE E</v>
      </c>
      <c r="C11245" s="3" t="str">
        <f>IFERROR(__xludf.DUMMYFUNCTION("""COMPUTED_VALUE"""),"CAMPBELLFORD")</f>
        <v>CAMPBELLFORD</v>
      </c>
      <c r="D11245" s="3" t="str">
        <f>IFERROR(__xludf.DUMMYFUNCTION("""COMPUTED_VALUE"""),"K0L 1L0")</f>
        <v>K0L 1L0</v>
      </c>
      <c r="E11245" s="3"/>
      <c r="F11245" s="3"/>
      <c r="G11245" s="3"/>
      <c r="H11245" s="3"/>
    </row>
    <row r="11246">
      <c r="A11246" s="2">
        <f>IFERROR(__xludf.DUMMYFUNCTION("""COMPUTED_VALUE"""),70202.0)</f>
        <v>70202</v>
      </c>
      <c r="B11246" s="3" t="str">
        <f>IFERROR(__xludf.DUMMYFUNCTION("""COMPUTED_VALUE"""),"1841 2ND LINE E")</f>
        <v>1841 2ND LINE E</v>
      </c>
      <c r="C11246" s="3" t="str">
        <f>IFERROR(__xludf.DUMMYFUNCTION("""COMPUTED_VALUE"""),"CAMPBELLFORD")</f>
        <v>CAMPBELLFORD</v>
      </c>
      <c r="D11246" s="3" t="str">
        <f>IFERROR(__xludf.DUMMYFUNCTION("""COMPUTED_VALUE"""),"K0L 1L0")</f>
        <v>K0L 1L0</v>
      </c>
      <c r="E11246" s="3"/>
      <c r="F11246" s="3"/>
      <c r="G11246" s="3"/>
      <c r="H11246" s="3"/>
    </row>
    <row r="11247">
      <c r="A11247" s="2">
        <f>IFERROR(__xludf.DUMMYFUNCTION("""COMPUTED_VALUE"""),70203.0)</f>
        <v>70203</v>
      </c>
      <c r="B11247" s="3" t="str">
        <f>IFERROR(__xludf.DUMMYFUNCTION("""COMPUTED_VALUE"""),"1847 2ND LINE E")</f>
        <v>1847 2ND LINE E</v>
      </c>
      <c r="C11247" s="3" t="str">
        <f>IFERROR(__xludf.DUMMYFUNCTION("""COMPUTED_VALUE"""),"CAMPBELLFORD")</f>
        <v>CAMPBELLFORD</v>
      </c>
      <c r="D11247" s="3" t="str">
        <f>IFERROR(__xludf.DUMMYFUNCTION("""COMPUTED_VALUE"""),"K0L 1L0")</f>
        <v>K0L 1L0</v>
      </c>
      <c r="E11247" s="3"/>
      <c r="F11247" s="3"/>
      <c r="G11247" s="3"/>
      <c r="H11247" s="3"/>
    </row>
    <row r="11248">
      <c r="A11248" s="2">
        <f>IFERROR(__xludf.DUMMYFUNCTION("""COMPUTED_VALUE"""),70204.0)</f>
        <v>70204</v>
      </c>
      <c r="B11248" s="3" t="str">
        <f>IFERROR(__xludf.DUMMYFUNCTION("""COMPUTED_VALUE"""),"1851 2ND LINE E")</f>
        <v>1851 2ND LINE E</v>
      </c>
      <c r="C11248" s="3" t="str">
        <f>IFERROR(__xludf.DUMMYFUNCTION("""COMPUTED_VALUE"""),"CAMPBELLFORD")</f>
        <v>CAMPBELLFORD</v>
      </c>
      <c r="D11248" s="3" t="str">
        <f>IFERROR(__xludf.DUMMYFUNCTION("""COMPUTED_VALUE"""),"K0L 1L0")</f>
        <v>K0L 1L0</v>
      </c>
      <c r="E11248" s="3"/>
      <c r="F11248" s="3"/>
      <c r="G11248" s="3"/>
      <c r="H11248" s="3"/>
    </row>
    <row r="11249">
      <c r="A11249" s="2">
        <f>IFERROR(__xludf.DUMMYFUNCTION("""COMPUTED_VALUE"""),70205.0)</f>
        <v>70205</v>
      </c>
      <c r="B11249" s="3" t="str">
        <f>IFERROR(__xludf.DUMMYFUNCTION("""COMPUTED_VALUE"""),"1857 2ND LINE E")</f>
        <v>1857 2ND LINE E</v>
      </c>
      <c r="C11249" s="3" t="str">
        <f>IFERROR(__xludf.DUMMYFUNCTION("""COMPUTED_VALUE"""),"CAMPBELLFORD")</f>
        <v>CAMPBELLFORD</v>
      </c>
      <c r="D11249" s="3" t="str">
        <f>IFERROR(__xludf.DUMMYFUNCTION("""COMPUTED_VALUE"""),"K0L 1L0")</f>
        <v>K0L 1L0</v>
      </c>
      <c r="E11249" s="3"/>
      <c r="F11249" s="3"/>
      <c r="G11249" s="3"/>
      <c r="H11249" s="3"/>
    </row>
    <row r="11250">
      <c r="A11250" s="2">
        <f>IFERROR(__xludf.DUMMYFUNCTION("""COMPUTED_VALUE"""),70206.0)</f>
        <v>70206</v>
      </c>
      <c r="B11250" s="3" t="str">
        <f>IFERROR(__xludf.DUMMYFUNCTION("""COMPUTED_VALUE"""),"1859 2ND LINE E")</f>
        <v>1859 2ND LINE E</v>
      </c>
      <c r="C11250" s="3" t="str">
        <f>IFERROR(__xludf.DUMMYFUNCTION("""COMPUTED_VALUE"""),"CAMPBELLFORD")</f>
        <v>CAMPBELLFORD</v>
      </c>
      <c r="D11250" s="3" t="str">
        <f>IFERROR(__xludf.DUMMYFUNCTION("""COMPUTED_VALUE"""),"K0L 1L0")</f>
        <v>K0L 1L0</v>
      </c>
      <c r="E11250" s="3"/>
      <c r="F11250" s="3"/>
      <c r="G11250" s="3"/>
      <c r="H11250" s="3"/>
    </row>
    <row r="11251">
      <c r="A11251" s="2">
        <f>IFERROR(__xludf.DUMMYFUNCTION("""COMPUTED_VALUE"""),70207.0)</f>
        <v>70207</v>
      </c>
      <c r="B11251" s="3" t="str">
        <f>IFERROR(__xludf.DUMMYFUNCTION("""COMPUTED_VALUE"""),"1873 2ND LINE E")</f>
        <v>1873 2ND LINE E</v>
      </c>
      <c r="C11251" s="3" t="str">
        <f>IFERROR(__xludf.DUMMYFUNCTION("""COMPUTED_VALUE"""),"CAMPBELLFORD")</f>
        <v>CAMPBELLFORD</v>
      </c>
      <c r="D11251" s="3" t="str">
        <f>IFERROR(__xludf.DUMMYFUNCTION("""COMPUTED_VALUE"""),"K0L 1L0")</f>
        <v>K0L 1L0</v>
      </c>
      <c r="E11251" s="3"/>
      <c r="F11251" s="3"/>
      <c r="G11251" s="3"/>
      <c r="H11251" s="3"/>
    </row>
    <row r="11252">
      <c r="A11252" s="2">
        <f>IFERROR(__xludf.DUMMYFUNCTION("""COMPUTED_VALUE"""),70208.0)</f>
        <v>70208</v>
      </c>
      <c r="B11252" s="3" t="str">
        <f>IFERROR(__xludf.DUMMYFUNCTION("""COMPUTED_VALUE"""),"1879 2ND LINE E")</f>
        <v>1879 2ND LINE E</v>
      </c>
      <c r="C11252" s="3" t="str">
        <f>IFERROR(__xludf.DUMMYFUNCTION("""COMPUTED_VALUE"""),"CAMPBELLFORD")</f>
        <v>CAMPBELLFORD</v>
      </c>
      <c r="D11252" s="3" t="str">
        <f>IFERROR(__xludf.DUMMYFUNCTION("""COMPUTED_VALUE"""),"K0L 1L0")</f>
        <v>K0L 1L0</v>
      </c>
      <c r="E11252" s="3"/>
      <c r="F11252" s="3"/>
      <c r="G11252" s="3"/>
      <c r="H11252" s="3"/>
    </row>
    <row r="11253">
      <c r="A11253" s="2">
        <f>IFERROR(__xludf.DUMMYFUNCTION("""COMPUTED_VALUE"""),70209.0)</f>
        <v>70209</v>
      </c>
      <c r="B11253" s="3" t="str">
        <f>IFERROR(__xludf.DUMMYFUNCTION("""COMPUTED_VALUE"""),"1889 2ND LINE E")</f>
        <v>1889 2ND LINE E</v>
      </c>
      <c r="C11253" s="3" t="str">
        <f>IFERROR(__xludf.DUMMYFUNCTION("""COMPUTED_VALUE"""),"CAMPBELLFORD")</f>
        <v>CAMPBELLFORD</v>
      </c>
      <c r="D11253" s="3" t="str">
        <f>IFERROR(__xludf.DUMMYFUNCTION("""COMPUTED_VALUE"""),"K0L 1L0")</f>
        <v>K0L 1L0</v>
      </c>
      <c r="E11253" s="3"/>
      <c r="F11253" s="3"/>
      <c r="G11253" s="3"/>
      <c r="H11253" s="3"/>
    </row>
    <row r="11254">
      <c r="A11254" s="2">
        <f>IFERROR(__xludf.DUMMYFUNCTION("""COMPUTED_VALUE"""),70210.0)</f>
        <v>70210</v>
      </c>
      <c r="B11254" s="3" t="str">
        <f>IFERROR(__xludf.DUMMYFUNCTION("""COMPUTED_VALUE"""),"1893 2ND LINE E")</f>
        <v>1893 2ND LINE E</v>
      </c>
      <c r="C11254" s="3" t="str">
        <f>IFERROR(__xludf.DUMMYFUNCTION("""COMPUTED_VALUE"""),"CAMPBELLFORD")</f>
        <v>CAMPBELLFORD</v>
      </c>
      <c r="D11254" s="3" t="str">
        <f>IFERROR(__xludf.DUMMYFUNCTION("""COMPUTED_VALUE"""),"K0L 1L0")</f>
        <v>K0L 1L0</v>
      </c>
      <c r="E11254" s="3"/>
      <c r="F11254" s="3"/>
      <c r="G11254" s="3"/>
      <c r="H11254" s="3"/>
    </row>
    <row r="11255">
      <c r="A11255" s="2">
        <f>IFERROR(__xludf.DUMMYFUNCTION("""COMPUTED_VALUE"""),70211.0)</f>
        <v>70211</v>
      </c>
      <c r="B11255" s="3" t="str">
        <f>IFERROR(__xludf.DUMMYFUNCTION("""COMPUTED_VALUE"""),"1897 2ND LINE E")</f>
        <v>1897 2ND LINE E</v>
      </c>
      <c r="C11255" s="3" t="str">
        <f>IFERROR(__xludf.DUMMYFUNCTION("""COMPUTED_VALUE"""),"CAMPBELLFORD")</f>
        <v>CAMPBELLFORD</v>
      </c>
      <c r="D11255" s="3" t="str">
        <f>IFERROR(__xludf.DUMMYFUNCTION("""COMPUTED_VALUE"""),"K0L 1L0")</f>
        <v>K0L 1L0</v>
      </c>
      <c r="E11255" s="3"/>
      <c r="F11255" s="3"/>
      <c r="G11255" s="3"/>
      <c r="H11255" s="3"/>
    </row>
    <row r="11256">
      <c r="A11256" s="2">
        <f>IFERROR(__xludf.DUMMYFUNCTION("""COMPUTED_VALUE"""),70212.0)</f>
        <v>70212</v>
      </c>
      <c r="B11256" s="3" t="str">
        <f>IFERROR(__xludf.DUMMYFUNCTION("""COMPUTED_VALUE"""),"1919 2ND LINE E")</f>
        <v>1919 2ND LINE E</v>
      </c>
      <c r="C11256" s="3" t="str">
        <f>IFERROR(__xludf.DUMMYFUNCTION("""COMPUTED_VALUE"""),"CAMPBELLFORD")</f>
        <v>CAMPBELLFORD</v>
      </c>
      <c r="D11256" s="3" t="str">
        <f>IFERROR(__xludf.DUMMYFUNCTION("""COMPUTED_VALUE"""),"K0L 1L0")</f>
        <v>K0L 1L0</v>
      </c>
      <c r="E11256" s="3"/>
      <c r="F11256" s="3"/>
      <c r="G11256" s="3"/>
      <c r="H11256" s="3"/>
    </row>
    <row r="11257">
      <c r="A11257" s="2">
        <f>IFERROR(__xludf.DUMMYFUNCTION("""COMPUTED_VALUE"""),70213.0)</f>
        <v>70213</v>
      </c>
      <c r="B11257" s="3" t="str">
        <f>IFERROR(__xludf.DUMMYFUNCTION("""COMPUTED_VALUE"""),"1981 2ND LINE E")</f>
        <v>1981 2ND LINE E</v>
      </c>
      <c r="C11257" s="3" t="str">
        <f>IFERROR(__xludf.DUMMYFUNCTION("""COMPUTED_VALUE"""),"CAMPBELLFORD")</f>
        <v>CAMPBELLFORD</v>
      </c>
      <c r="D11257" s="3" t="str">
        <f>IFERROR(__xludf.DUMMYFUNCTION("""COMPUTED_VALUE"""),"K0L 1L0")</f>
        <v>K0L 1L0</v>
      </c>
      <c r="E11257" s="3"/>
      <c r="F11257" s="3"/>
      <c r="G11257" s="3"/>
      <c r="H11257" s="3"/>
    </row>
    <row r="11258">
      <c r="A11258" s="2">
        <f>IFERROR(__xludf.DUMMYFUNCTION("""COMPUTED_VALUE"""),70214.0)</f>
        <v>70214</v>
      </c>
      <c r="B11258" s="3" t="str">
        <f>IFERROR(__xludf.DUMMYFUNCTION("""COMPUTED_VALUE"""),"1993 2ND LINE E")</f>
        <v>1993 2ND LINE E</v>
      </c>
      <c r="C11258" s="3" t="str">
        <f>IFERROR(__xludf.DUMMYFUNCTION("""COMPUTED_VALUE"""),"CAMPBELLFORD")</f>
        <v>CAMPBELLFORD</v>
      </c>
      <c r="D11258" s="3" t="str">
        <f>IFERROR(__xludf.DUMMYFUNCTION("""COMPUTED_VALUE"""),"K0L 1L0")</f>
        <v>K0L 1L0</v>
      </c>
      <c r="E11258" s="3" t="str">
        <f>IFERROR(__xludf.DUMMYFUNCTION("""COMPUTED_VALUE"""),"Deborah MacTaggart")</f>
        <v>Deborah MacTaggart</v>
      </c>
      <c r="F11258" s="3" t="str">
        <f>IFERROR(__xludf.DUMMYFUNCTION("""COMPUTED_VALUE"""),"debmactaggart@gmail.com")</f>
        <v>debmactaggart@gmail.com</v>
      </c>
      <c r="G11258" s="3">
        <f>IFERROR(__xludf.DUMMYFUNCTION("""COMPUTED_VALUE"""),9.054091125E9)</f>
        <v>9054091125</v>
      </c>
      <c r="H11258" s="3">
        <f>IFERROR(__xludf.DUMMYFUNCTION("""COMPUTED_VALUE"""),9.054426636E9)</f>
        <v>9054426636</v>
      </c>
    </row>
    <row r="11259">
      <c r="A11259" s="2">
        <f>IFERROR(__xludf.DUMMYFUNCTION("""COMPUTED_VALUE"""),70215.0)</f>
        <v>70215</v>
      </c>
      <c r="B11259" s="3" t="str">
        <f>IFERROR(__xludf.DUMMYFUNCTION("""COMPUTED_VALUE"""),"2063 2ND LINE E")</f>
        <v>2063 2ND LINE E</v>
      </c>
      <c r="C11259" s="3" t="str">
        <f>IFERROR(__xludf.DUMMYFUNCTION("""COMPUTED_VALUE"""),"CAMPBELLFORD")</f>
        <v>CAMPBELLFORD</v>
      </c>
      <c r="D11259" s="3" t="str">
        <f>IFERROR(__xludf.DUMMYFUNCTION("""COMPUTED_VALUE"""),"K0L 1L0")</f>
        <v>K0L 1L0</v>
      </c>
      <c r="E11259" s="3"/>
      <c r="F11259" s="3"/>
      <c r="G11259" s="3"/>
      <c r="H11259" s="3"/>
    </row>
    <row r="11260">
      <c r="A11260" s="2">
        <f>IFERROR(__xludf.DUMMYFUNCTION("""COMPUTED_VALUE"""),70216.0)</f>
        <v>70216</v>
      </c>
      <c r="B11260" s="3" t="str">
        <f>IFERROR(__xludf.DUMMYFUNCTION("""COMPUTED_VALUE"""),"2065 2ND LINE E")</f>
        <v>2065 2ND LINE E</v>
      </c>
      <c r="C11260" s="3" t="str">
        <f>IFERROR(__xludf.DUMMYFUNCTION("""COMPUTED_VALUE"""),"CAMPBELLFORD")</f>
        <v>CAMPBELLFORD</v>
      </c>
      <c r="D11260" s="3" t="str">
        <f>IFERROR(__xludf.DUMMYFUNCTION("""COMPUTED_VALUE"""),"K0L 1L0")</f>
        <v>K0L 1L0</v>
      </c>
      <c r="E11260" s="3"/>
      <c r="F11260" s="3"/>
      <c r="G11260" s="3"/>
      <c r="H11260" s="3"/>
    </row>
    <row r="11261">
      <c r="A11261" s="2">
        <f>IFERROR(__xludf.DUMMYFUNCTION("""COMPUTED_VALUE"""),70217.0)</f>
        <v>70217</v>
      </c>
      <c r="B11261" s="3" t="str">
        <f>IFERROR(__xludf.DUMMYFUNCTION("""COMPUTED_VALUE"""),"2079 2ND LINE E")</f>
        <v>2079 2ND LINE E</v>
      </c>
      <c r="C11261" s="3" t="str">
        <f>IFERROR(__xludf.DUMMYFUNCTION("""COMPUTED_VALUE"""),"CAMPBELLFORD")</f>
        <v>CAMPBELLFORD</v>
      </c>
      <c r="D11261" s="3" t="str">
        <f>IFERROR(__xludf.DUMMYFUNCTION("""COMPUTED_VALUE"""),"K0L 1L0")</f>
        <v>K0L 1L0</v>
      </c>
      <c r="E11261" s="3"/>
      <c r="F11261" s="3"/>
      <c r="G11261" s="3"/>
      <c r="H11261" s="3"/>
    </row>
    <row r="11262">
      <c r="A11262" s="2">
        <f>IFERROR(__xludf.DUMMYFUNCTION("""COMPUTED_VALUE"""),70218.0)</f>
        <v>70218</v>
      </c>
      <c r="B11262" s="3" t="str">
        <f>IFERROR(__xludf.DUMMYFUNCTION("""COMPUTED_VALUE"""),"2091 2ND LINE E")</f>
        <v>2091 2ND LINE E</v>
      </c>
      <c r="C11262" s="3" t="str">
        <f>IFERROR(__xludf.DUMMYFUNCTION("""COMPUTED_VALUE"""),"CAMPBELLFORD")</f>
        <v>CAMPBELLFORD</v>
      </c>
      <c r="D11262" s="3" t="str">
        <f>IFERROR(__xludf.DUMMYFUNCTION("""COMPUTED_VALUE"""),"K0L 1L0")</f>
        <v>K0L 1L0</v>
      </c>
      <c r="E11262" s="3"/>
      <c r="F11262" s="3"/>
      <c r="G11262" s="3"/>
      <c r="H11262" s="3"/>
    </row>
    <row r="11263">
      <c r="A11263" s="2">
        <f>IFERROR(__xludf.DUMMYFUNCTION("""COMPUTED_VALUE"""),70219.0)</f>
        <v>70219</v>
      </c>
      <c r="B11263" s="3" t="str">
        <f>IFERROR(__xludf.DUMMYFUNCTION("""COMPUTED_VALUE"""),"2095 2ND LINE E")</f>
        <v>2095 2ND LINE E</v>
      </c>
      <c r="C11263" s="3" t="str">
        <f>IFERROR(__xludf.DUMMYFUNCTION("""COMPUTED_VALUE"""),"CAMPBELLFORD")</f>
        <v>CAMPBELLFORD</v>
      </c>
      <c r="D11263" s="3" t="str">
        <f>IFERROR(__xludf.DUMMYFUNCTION("""COMPUTED_VALUE"""),"K0L 1L0")</f>
        <v>K0L 1L0</v>
      </c>
      <c r="E11263" s="3"/>
      <c r="F11263" s="3"/>
      <c r="G11263" s="3"/>
      <c r="H11263" s="3"/>
    </row>
    <row r="11264">
      <c r="A11264" s="2">
        <f>IFERROR(__xludf.DUMMYFUNCTION("""COMPUTED_VALUE"""),70220.0)</f>
        <v>70220</v>
      </c>
      <c r="B11264" s="3" t="str">
        <f>IFERROR(__xludf.DUMMYFUNCTION("""COMPUTED_VALUE"""),"2109 2ND LINE E")</f>
        <v>2109 2ND LINE E</v>
      </c>
      <c r="C11264" s="3" t="str">
        <f>IFERROR(__xludf.DUMMYFUNCTION("""COMPUTED_VALUE"""),"CAMPBELLFORD")</f>
        <v>CAMPBELLFORD</v>
      </c>
      <c r="D11264" s="3" t="str">
        <f>IFERROR(__xludf.DUMMYFUNCTION("""COMPUTED_VALUE"""),"K0L 1L0")</f>
        <v>K0L 1L0</v>
      </c>
      <c r="E11264" s="3"/>
      <c r="F11264" s="3"/>
      <c r="G11264" s="3"/>
      <c r="H11264" s="3"/>
    </row>
    <row r="11265">
      <c r="A11265" s="2">
        <f>IFERROR(__xludf.DUMMYFUNCTION("""COMPUTED_VALUE"""),70221.0)</f>
        <v>70221</v>
      </c>
      <c r="B11265" s="3" t="str">
        <f>IFERROR(__xludf.DUMMYFUNCTION("""COMPUTED_VALUE"""),"2113 2ND LINE E")</f>
        <v>2113 2ND LINE E</v>
      </c>
      <c r="C11265" s="3" t="str">
        <f>IFERROR(__xludf.DUMMYFUNCTION("""COMPUTED_VALUE"""),"CAMPBELLFORD")</f>
        <v>CAMPBELLFORD</v>
      </c>
      <c r="D11265" s="3" t="str">
        <f>IFERROR(__xludf.DUMMYFUNCTION("""COMPUTED_VALUE"""),"K0L 1L0")</f>
        <v>K0L 1L0</v>
      </c>
      <c r="E11265" s="3"/>
      <c r="F11265" s="3"/>
      <c r="G11265" s="3"/>
      <c r="H11265" s="3"/>
    </row>
    <row r="11266">
      <c r="A11266" s="2">
        <f>IFERROR(__xludf.DUMMYFUNCTION("""COMPUTED_VALUE"""),70222.0)</f>
        <v>70222</v>
      </c>
      <c r="B11266" s="3" t="str">
        <f>IFERROR(__xludf.DUMMYFUNCTION("""COMPUTED_VALUE"""),"2117 2ND LINE E")</f>
        <v>2117 2ND LINE E</v>
      </c>
      <c r="C11266" s="3" t="str">
        <f>IFERROR(__xludf.DUMMYFUNCTION("""COMPUTED_VALUE"""),"CAMPBELLFORD")</f>
        <v>CAMPBELLFORD</v>
      </c>
      <c r="D11266" s="3" t="str">
        <f>IFERROR(__xludf.DUMMYFUNCTION("""COMPUTED_VALUE"""),"K0L 1L0")</f>
        <v>K0L 1L0</v>
      </c>
      <c r="E11266" s="3"/>
      <c r="F11266" s="3"/>
      <c r="G11266" s="3"/>
      <c r="H11266" s="3"/>
    </row>
    <row r="11267">
      <c r="A11267" s="2">
        <f>IFERROR(__xludf.DUMMYFUNCTION("""COMPUTED_VALUE"""),70223.0)</f>
        <v>70223</v>
      </c>
      <c r="B11267" s="3" t="str">
        <f>IFERROR(__xludf.DUMMYFUNCTION("""COMPUTED_VALUE"""),"2123 2ND LINE E")</f>
        <v>2123 2ND LINE E</v>
      </c>
      <c r="C11267" s="3" t="str">
        <f>IFERROR(__xludf.DUMMYFUNCTION("""COMPUTED_VALUE"""),"CAMPBELLFORD")</f>
        <v>CAMPBELLFORD</v>
      </c>
      <c r="D11267" s="3" t="str">
        <f>IFERROR(__xludf.DUMMYFUNCTION("""COMPUTED_VALUE"""),"K0L 1L0")</f>
        <v>K0L 1L0</v>
      </c>
      <c r="E11267" s="3"/>
      <c r="F11267" s="3"/>
      <c r="G11267" s="3"/>
      <c r="H11267" s="3"/>
    </row>
    <row r="11268">
      <c r="A11268" s="2">
        <f>IFERROR(__xludf.DUMMYFUNCTION("""COMPUTED_VALUE"""),70224.0)</f>
        <v>70224</v>
      </c>
      <c r="B11268" s="3" t="str">
        <f>IFERROR(__xludf.DUMMYFUNCTION("""COMPUTED_VALUE"""),"2131 2ND LINE E")</f>
        <v>2131 2ND LINE E</v>
      </c>
      <c r="C11268" s="3" t="str">
        <f>IFERROR(__xludf.DUMMYFUNCTION("""COMPUTED_VALUE"""),"CAMPBELLFORD")</f>
        <v>CAMPBELLFORD</v>
      </c>
      <c r="D11268" s="3" t="str">
        <f>IFERROR(__xludf.DUMMYFUNCTION("""COMPUTED_VALUE"""),"K0L 1L0")</f>
        <v>K0L 1L0</v>
      </c>
      <c r="E11268" s="3"/>
      <c r="F11268" s="3"/>
      <c r="G11268" s="3"/>
      <c r="H11268" s="3"/>
    </row>
    <row r="11269">
      <c r="A11269" s="2">
        <f>IFERROR(__xludf.DUMMYFUNCTION("""COMPUTED_VALUE"""),70225.0)</f>
        <v>70225</v>
      </c>
      <c r="B11269" s="3" t="str">
        <f>IFERROR(__xludf.DUMMYFUNCTION("""COMPUTED_VALUE"""),"2135 2ND LINE E")</f>
        <v>2135 2ND LINE E</v>
      </c>
      <c r="C11269" s="3" t="str">
        <f>IFERROR(__xludf.DUMMYFUNCTION("""COMPUTED_VALUE"""),"CAMPBELLFORD")</f>
        <v>CAMPBELLFORD</v>
      </c>
      <c r="D11269" s="3" t="str">
        <f>IFERROR(__xludf.DUMMYFUNCTION("""COMPUTED_VALUE"""),"K0L 1L0")</f>
        <v>K0L 1L0</v>
      </c>
      <c r="E11269" s="3" t="str">
        <f>IFERROR(__xludf.DUMMYFUNCTION("""COMPUTED_VALUE"""),"Julie McIsaac")</f>
        <v>Julie McIsaac</v>
      </c>
      <c r="F11269" s="3" t="str">
        <f>IFERROR(__xludf.DUMMYFUNCTION("""COMPUTED_VALUE"""),"courger_62@hotmail.com")</f>
        <v>courger_62@hotmail.com</v>
      </c>
      <c r="G11269" s="3">
        <f>IFERROR(__xludf.DUMMYFUNCTION("""COMPUTED_VALUE"""),7.059572859E9)</f>
        <v>7059572859</v>
      </c>
      <c r="H11269" s="3"/>
    </row>
    <row r="11270">
      <c r="A11270" s="2">
        <f>IFERROR(__xludf.DUMMYFUNCTION("""COMPUTED_VALUE"""),70226.0)</f>
        <v>70226</v>
      </c>
      <c r="B11270" s="3" t="str">
        <f>IFERROR(__xludf.DUMMYFUNCTION("""COMPUTED_VALUE"""),"2141 2ND LINE E")</f>
        <v>2141 2ND LINE E</v>
      </c>
      <c r="C11270" s="3" t="str">
        <f>IFERROR(__xludf.DUMMYFUNCTION("""COMPUTED_VALUE"""),"CAMPBELLFORD")</f>
        <v>CAMPBELLFORD</v>
      </c>
      <c r="D11270" s="3" t="str">
        <f>IFERROR(__xludf.DUMMYFUNCTION("""COMPUTED_VALUE"""),"K0L 1L0")</f>
        <v>K0L 1L0</v>
      </c>
      <c r="E11270" s="3" t="str">
        <f>IFERROR(__xludf.DUMMYFUNCTION("""COMPUTED_VALUE"""),"Justin Lemoire")</f>
        <v>Justin Lemoire</v>
      </c>
      <c r="F11270" s="3" t="str">
        <f>IFERROR(__xludf.DUMMYFUNCTION("""COMPUTED_VALUE"""),"lemoirecustom@outlook.com")</f>
        <v>lemoirecustom@outlook.com</v>
      </c>
      <c r="G11270" s="3">
        <f>IFERROR(__xludf.DUMMYFUNCTION("""COMPUTED_VALUE"""),7.056329794E9)</f>
        <v>7056329794</v>
      </c>
      <c r="H11270" s="3"/>
    </row>
    <row r="11271">
      <c r="A11271" s="2">
        <f>IFERROR(__xludf.DUMMYFUNCTION("""COMPUTED_VALUE"""),70227.0)</f>
        <v>70227</v>
      </c>
      <c r="B11271" s="3" t="str">
        <f>IFERROR(__xludf.DUMMYFUNCTION("""COMPUTED_VALUE"""),"2145 2ND LINE E")</f>
        <v>2145 2ND LINE E</v>
      </c>
      <c r="C11271" s="3" t="str">
        <f>IFERROR(__xludf.DUMMYFUNCTION("""COMPUTED_VALUE"""),"CAMPBELLFORD")</f>
        <v>CAMPBELLFORD</v>
      </c>
      <c r="D11271" s="3" t="str">
        <f>IFERROR(__xludf.DUMMYFUNCTION("""COMPUTED_VALUE"""),"K0L 1L0")</f>
        <v>K0L 1L0</v>
      </c>
      <c r="E11271" s="3"/>
      <c r="F11271" s="3"/>
      <c r="G11271" s="3"/>
      <c r="H11271" s="3"/>
    </row>
    <row r="11272">
      <c r="A11272" s="2">
        <f>IFERROR(__xludf.DUMMYFUNCTION("""COMPUTED_VALUE"""),70228.0)</f>
        <v>70228</v>
      </c>
      <c r="B11272" s="3" t="str">
        <f>IFERROR(__xludf.DUMMYFUNCTION("""COMPUTED_VALUE"""),"2149 2ND LINE E")</f>
        <v>2149 2ND LINE E</v>
      </c>
      <c r="C11272" s="3" t="str">
        <f>IFERROR(__xludf.DUMMYFUNCTION("""COMPUTED_VALUE"""),"CAMPBELLFORD")</f>
        <v>CAMPBELLFORD</v>
      </c>
      <c r="D11272" s="3" t="str">
        <f>IFERROR(__xludf.DUMMYFUNCTION("""COMPUTED_VALUE"""),"K0L 1L0")</f>
        <v>K0L 1L0</v>
      </c>
      <c r="E11272" s="3"/>
      <c r="F11272" s="3"/>
      <c r="G11272" s="3"/>
      <c r="H11272" s="3"/>
    </row>
    <row r="11273">
      <c r="A11273" s="2">
        <f>IFERROR(__xludf.DUMMYFUNCTION("""COMPUTED_VALUE"""),70229.0)</f>
        <v>70229</v>
      </c>
      <c r="B11273" s="3" t="str">
        <f>IFERROR(__xludf.DUMMYFUNCTION("""COMPUTED_VALUE"""),"2165 2ND LINE E")</f>
        <v>2165 2ND LINE E</v>
      </c>
      <c r="C11273" s="3" t="str">
        <f>IFERROR(__xludf.DUMMYFUNCTION("""COMPUTED_VALUE"""),"CAMPBELLFORD")</f>
        <v>CAMPBELLFORD</v>
      </c>
      <c r="D11273" s="3" t="str">
        <f>IFERROR(__xludf.DUMMYFUNCTION("""COMPUTED_VALUE"""),"K0L 1L0")</f>
        <v>K0L 1L0</v>
      </c>
      <c r="E11273" s="3"/>
      <c r="F11273" s="3"/>
      <c r="G11273" s="3"/>
      <c r="H11273" s="3"/>
    </row>
    <row r="11274">
      <c r="A11274" s="2">
        <f>IFERROR(__xludf.DUMMYFUNCTION("""COMPUTED_VALUE"""),70230.0)</f>
        <v>70230</v>
      </c>
      <c r="B11274" s="3" t="str">
        <f>IFERROR(__xludf.DUMMYFUNCTION("""COMPUTED_VALUE"""),"2197 2ND LINE E")</f>
        <v>2197 2ND LINE E</v>
      </c>
      <c r="C11274" s="3" t="str">
        <f>IFERROR(__xludf.DUMMYFUNCTION("""COMPUTED_VALUE"""),"CAMPBELLFORD")</f>
        <v>CAMPBELLFORD</v>
      </c>
      <c r="D11274" s="3" t="str">
        <f>IFERROR(__xludf.DUMMYFUNCTION("""COMPUTED_VALUE"""),"K0L 1L0")</f>
        <v>K0L 1L0</v>
      </c>
      <c r="E11274" s="3"/>
      <c r="F11274" s="3"/>
      <c r="G11274" s="3"/>
      <c r="H11274" s="3"/>
    </row>
    <row r="11275">
      <c r="A11275" s="2">
        <f>IFERROR(__xludf.DUMMYFUNCTION("""COMPUTED_VALUE"""),70231.0)</f>
        <v>70231</v>
      </c>
      <c r="B11275" s="3" t="str">
        <f>IFERROR(__xludf.DUMMYFUNCTION("""COMPUTED_VALUE"""),"2217 2ND LINE E")</f>
        <v>2217 2ND LINE E</v>
      </c>
      <c r="C11275" s="3" t="str">
        <f>IFERROR(__xludf.DUMMYFUNCTION("""COMPUTED_VALUE"""),"CAMPBELLFORD")</f>
        <v>CAMPBELLFORD</v>
      </c>
      <c r="D11275" s="3" t="str">
        <f>IFERROR(__xludf.DUMMYFUNCTION("""COMPUTED_VALUE"""),"K0L 1L0")</f>
        <v>K0L 1L0</v>
      </c>
      <c r="E11275" s="3"/>
      <c r="F11275" s="3"/>
      <c r="G11275" s="3"/>
      <c r="H11275" s="3"/>
    </row>
    <row r="11276">
      <c r="A11276" s="2">
        <f>IFERROR(__xludf.DUMMYFUNCTION("""COMPUTED_VALUE"""),70232.0)</f>
        <v>70232</v>
      </c>
      <c r="B11276" s="3" t="str">
        <f>IFERROR(__xludf.DUMMYFUNCTION("""COMPUTED_VALUE"""),"2231 2ND LINE E")</f>
        <v>2231 2ND LINE E</v>
      </c>
      <c r="C11276" s="3" t="str">
        <f>IFERROR(__xludf.DUMMYFUNCTION("""COMPUTED_VALUE"""),"CAMPBELLFORD")</f>
        <v>CAMPBELLFORD</v>
      </c>
      <c r="D11276" s="3" t="str">
        <f>IFERROR(__xludf.DUMMYFUNCTION("""COMPUTED_VALUE"""),"K0L 1L0")</f>
        <v>K0L 1L0</v>
      </c>
      <c r="E11276" s="3"/>
      <c r="F11276" s="3"/>
      <c r="G11276" s="3"/>
      <c r="H11276" s="3"/>
    </row>
    <row r="11277">
      <c r="A11277" s="2">
        <f>IFERROR(__xludf.DUMMYFUNCTION("""COMPUTED_VALUE"""),70233.0)</f>
        <v>70233</v>
      </c>
      <c r="B11277" s="3" t="str">
        <f>IFERROR(__xludf.DUMMYFUNCTION("""COMPUTED_VALUE"""),"2271 2ND LINE E")</f>
        <v>2271 2ND LINE E</v>
      </c>
      <c r="C11277" s="3" t="str">
        <f>IFERROR(__xludf.DUMMYFUNCTION("""COMPUTED_VALUE"""),"CAMPBELLFORD")</f>
        <v>CAMPBELLFORD</v>
      </c>
      <c r="D11277" s="3" t="str">
        <f>IFERROR(__xludf.DUMMYFUNCTION("""COMPUTED_VALUE"""),"K0L 1L0")</f>
        <v>K0L 1L0</v>
      </c>
      <c r="E11277" s="3"/>
      <c r="F11277" s="3"/>
      <c r="G11277" s="3"/>
      <c r="H11277" s="3"/>
    </row>
    <row r="11278">
      <c r="A11278" s="2">
        <f>IFERROR(__xludf.DUMMYFUNCTION("""COMPUTED_VALUE"""),70234.0)</f>
        <v>70234</v>
      </c>
      <c r="B11278" s="3" t="str">
        <f>IFERROR(__xludf.DUMMYFUNCTION("""COMPUTED_VALUE"""),"2301 2ND LINE E")</f>
        <v>2301 2ND LINE E</v>
      </c>
      <c r="C11278" s="3" t="str">
        <f>IFERROR(__xludf.DUMMYFUNCTION("""COMPUTED_VALUE"""),"CAMPBELLFORD")</f>
        <v>CAMPBELLFORD</v>
      </c>
      <c r="D11278" s="3" t="str">
        <f>IFERROR(__xludf.DUMMYFUNCTION("""COMPUTED_VALUE"""),"K0L 1L0")</f>
        <v>K0L 1L0</v>
      </c>
      <c r="E11278" s="3"/>
      <c r="F11278" s="3"/>
      <c r="G11278" s="3"/>
      <c r="H11278" s="3"/>
    </row>
    <row r="11279">
      <c r="A11279" s="2">
        <f>IFERROR(__xludf.DUMMYFUNCTION("""COMPUTED_VALUE"""),70235.0)</f>
        <v>70235</v>
      </c>
      <c r="B11279" s="3" t="str">
        <f>IFERROR(__xludf.DUMMYFUNCTION("""COMPUTED_VALUE"""),"2319 2ND LINE E")</f>
        <v>2319 2ND LINE E</v>
      </c>
      <c r="C11279" s="3" t="str">
        <f>IFERROR(__xludf.DUMMYFUNCTION("""COMPUTED_VALUE"""),"CAMPBELLFORD")</f>
        <v>CAMPBELLFORD</v>
      </c>
      <c r="D11279" s="3" t="str">
        <f>IFERROR(__xludf.DUMMYFUNCTION("""COMPUTED_VALUE"""),"K0L 1L0")</f>
        <v>K0L 1L0</v>
      </c>
      <c r="E11279" s="3"/>
      <c r="F11279" s="3"/>
      <c r="G11279" s="3"/>
      <c r="H11279" s="3"/>
    </row>
    <row r="11280">
      <c r="A11280" s="2">
        <f>IFERROR(__xludf.DUMMYFUNCTION("""COMPUTED_VALUE"""),70236.0)</f>
        <v>70236</v>
      </c>
      <c r="B11280" s="3" t="str">
        <f>IFERROR(__xludf.DUMMYFUNCTION("""COMPUTED_VALUE"""),"2335 2ND LINE E")</f>
        <v>2335 2ND LINE E</v>
      </c>
      <c r="C11280" s="3" t="str">
        <f>IFERROR(__xludf.DUMMYFUNCTION("""COMPUTED_VALUE"""),"CAMPBELLFORD")</f>
        <v>CAMPBELLFORD</v>
      </c>
      <c r="D11280" s="3" t="str">
        <f>IFERROR(__xludf.DUMMYFUNCTION("""COMPUTED_VALUE"""),"K0L 1L0")</f>
        <v>K0L 1L0</v>
      </c>
      <c r="E11280" s="3"/>
      <c r="F11280" s="3"/>
      <c r="G11280" s="3"/>
      <c r="H11280" s="3"/>
    </row>
    <row r="11281">
      <c r="A11281" s="2">
        <f>IFERROR(__xludf.DUMMYFUNCTION("""COMPUTED_VALUE"""),70237.0)</f>
        <v>70237</v>
      </c>
      <c r="B11281" s="3" t="str">
        <f>IFERROR(__xludf.DUMMYFUNCTION("""COMPUTED_VALUE"""),"2343 2ND LINE E")</f>
        <v>2343 2ND LINE E</v>
      </c>
      <c r="C11281" s="3" t="str">
        <f>IFERROR(__xludf.DUMMYFUNCTION("""COMPUTED_VALUE"""),"CAMPBELLFORD")</f>
        <v>CAMPBELLFORD</v>
      </c>
      <c r="D11281" s="3" t="str">
        <f>IFERROR(__xludf.DUMMYFUNCTION("""COMPUTED_VALUE"""),"K0L 1L0")</f>
        <v>K0L 1L0</v>
      </c>
      <c r="E11281" s="3"/>
      <c r="F11281" s="3"/>
      <c r="G11281" s="3"/>
      <c r="H11281" s="3"/>
    </row>
    <row r="11282">
      <c r="A11282" s="2">
        <f>IFERROR(__xludf.DUMMYFUNCTION("""COMPUTED_VALUE"""),70238.0)</f>
        <v>70238</v>
      </c>
      <c r="B11282" s="3" t="str">
        <f>IFERROR(__xludf.DUMMYFUNCTION("""COMPUTED_VALUE"""),"2374 2ND LINE E")</f>
        <v>2374 2ND LINE E</v>
      </c>
      <c r="C11282" s="3" t="str">
        <f>IFERROR(__xludf.DUMMYFUNCTION("""COMPUTED_VALUE"""),"CAMPBELLFORD")</f>
        <v>CAMPBELLFORD</v>
      </c>
      <c r="D11282" s="3" t="str">
        <f>IFERROR(__xludf.DUMMYFUNCTION("""COMPUTED_VALUE"""),"K0L 1L0")</f>
        <v>K0L 1L0</v>
      </c>
      <c r="E11282" s="3"/>
      <c r="F11282" s="3"/>
      <c r="G11282" s="3"/>
      <c r="H11282" s="3"/>
    </row>
    <row r="11283">
      <c r="A11283" s="2">
        <f>IFERROR(__xludf.DUMMYFUNCTION("""COMPUTED_VALUE"""),70239.0)</f>
        <v>70239</v>
      </c>
      <c r="B11283" s="3" t="str">
        <f>IFERROR(__xludf.DUMMYFUNCTION("""COMPUTED_VALUE"""),"1897A 2ND LINE E")</f>
        <v>1897A 2ND LINE E</v>
      </c>
      <c r="C11283" s="3" t="str">
        <f>IFERROR(__xludf.DUMMYFUNCTION("""COMPUTED_VALUE"""),"CAMPBELLFORD")</f>
        <v>CAMPBELLFORD</v>
      </c>
      <c r="D11283" s="3" t="str">
        <f>IFERROR(__xludf.DUMMYFUNCTION("""COMPUTED_VALUE"""),"K0L 1L0")</f>
        <v>K0L 1L0</v>
      </c>
      <c r="E11283" s="3"/>
      <c r="F11283" s="3"/>
      <c r="G11283" s="3"/>
      <c r="H11283" s="3"/>
    </row>
    <row r="11284">
      <c r="A11284" s="2">
        <f>IFERROR(__xludf.DUMMYFUNCTION("""COMPUTED_VALUE"""),70240.0)</f>
        <v>70240</v>
      </c>
      <c r="B11284" s="3" t="str">
        <f>IFERROR(__xludf.DUMMYFUNCTION("""COMPUTED_VALUE"""),"1897B 2ND LINE E")</f>
        <v>1897B 2ND LINE E</v>
      </c>
      <c r="C11284" s="3" t="str">
        <f>IFERROR(__xludf.DUMMYFUNCTION("""COMPUTED_VALUE"""),"CAMPBELLFORD")</f>
        <v>CAMPBELLFORD</v>
      </c>
      <c r="D11284" s="3" t="str">
        <f>IFERROR(__xludf.DUMMYFUNCTION("""COMPUTED_VALUE"""),"K0L 1L0")</f>
        <v>K0L 1L0</v>
      </c>
      <c r="E11284" s="3"/>
      <c r="F11284" s="3"/>
      <c r="G11284" s="3"/>
      <c r="H11284" s="3"/>
    </row>
    <row r="11285">
      <c r="A11285" s="2">
        <f>IFERROR(__xludf.DUMMYFUNCTION("""COMPUTED_VALUE"""),70241.0)</f>
        <v>70241</v>
      </c>
      <c r="B11285" s="3" t="str">
        <f>IFERROR(__xludf.DUMMYFUNCTION("""COMPUTED_VALUE"""),"1897C 2ND LINE E")</f>
        <v>1897C 2ND LINE E</v>
      </c>
      <c r="C11285" s="3" t="str">
        <f>IFERROR(__xludf.DUMMYFUNCTION("""COMPUTED_VALUE"""),"CAMPBELLFORD")</f>
        <v>CAMPBELLFORD</v>
      </c>
      <c r="D11285" s="3" t="str">
        <f>IFERROR(__xludf.DUMMYFUNCTION("""COMPUTED_VALUE"""),"K0L 1L0")</f>
        <v>K0L 1L0</v>
      </c>
      <c r="E11285" s="3" t="str">
        <f>IFERROR(__xludf.DUMMYFUNCTION("""COMPUTED_VALUE"""),"doug caldwell ")</f>
        <v>doug caldwell </v>
      </c>
      <c r="F11285" s="3" t="str">
        <f>IFERROR(__xludf.DUMMYFUNCTION("""COMPUTED_VALUE"""),"slug3266@gmail.com")</f>
        <v>slug3266@gmail.com</v>
      </c>
      <c r="G11285" s="3">
        <f>IFERROR(__xludf.DUMMYFUNCTION("""COMPUTED_VALUE"""),4.16450655E9)</f>
        <v>4164506550</v>
      </c>
      <c r="H11285" s="3"/>
    </row>
    <row r="11286">
      <c r="A11286" s="2">
        <f>IFERROR(__xludf.DUMMYFUNCTION("""COMPUTED_VALUE"""),70242.0)</f>
        <v>70242</v>
      </c>
      <c r="B11286" s="3" t="str">
        <f>IFERROR(__xludf.DUMMYFUNCTION("""COMPUTED_VALUE"""),"1897D 2ND LINE E")</f>
        <v>1897D 2ND LINE E</v>
      </c>
      <c r="C11286" s="3" t="str">
        <f>IFERROR(__xludf.DUMMYFUNCTION("""COMPUTED_VALUE"""),"CAMPBELLFORD")</f>
        <v>CAMPBELLFORD</v>
      </c>
      <c r="D11286" s="3" t="str">
        <f>IFERROR(__xludf.DUMMYFUNCTION("""COMPUTED_VALUE"""),"K0L 1L0")</f>
        <v>K0L 1L0</v>
      </c>
      <c r="E11286" s="3"/>
      <c r="F11286" s="3"/>
      <c r="G11286" s="3"/>
      <c r="H11286" s="3"/>
    </row>
    <row r="11287">
      <c r="A11287" s="2">
        <f>IFERROR(__xludf.DUMMYFUNCTION("""COMPUTED_VALUE"""),70243.0)</f>
        <v>70243</v>
      </c>
      <c r="B11287" s="3" t="str">
        <f>IFERROR(__xludf.DUMMYFUNCTION("""COMPUTED_VALUE"""),"2175A 2ND LINE E")</f>
        <v>2175A 2ND LINE E</v>
      </c>
      <c r="C11287" s="3" t="str">
        <f>IFERROR(__xludf.DUMMYFUNCTION("""COMPUTED_VALUE"""),"CAMPBELLFORD")</f>
        <v>CAMPBELLFORD</v>
      </c>
      <c r="D11287" s="3" t="str">
        <f>IFERROR(__xludf.DUMMYFUNCTION("""COMPUTED_VALUE"""),"K0L 1L0")</f>
        <v>K0L 1L0</v>
      </c>
      <c r="E11287" s="3" t="str">
        <f>IFERROR(__xludf.DUMMYFUNCTION("""COMPUTED_VALUE"""),"dennis cumming")</f>
        <v>dennis cumming</v>
      </c>
      <c r="F11287" s="3"/>
      <c r="G11287" s="3">
        <f>IFERROR(__xludf.DUMMYFUNCTION("""COMPUTED_VALUE"""),6.477035892E9)</f>
        <v>6477035892</v>
      </c>
      <c r="H11287" s="3"/>
    </row>
    <row r="11288">
      <c r="A11288" s="2">
        <f>IFERROR(__xludf.DUMMYFUNCTION("""COMPUTED_VALUE"""),70244.0)</f>
        <v>70244</v>
      </c>
      <c r="B11288" s="3" t="str">
        <f>IFERROR(__xludf.DUMMYFUNCTION("""COMPUTED_VALUE"""),"2175B 2ND LINE E")</f>
        <v>2175B 2ND LINE E</v>
      </c>
      <c r="C11288" s="3" t="str">
        <f>IFERROR(__xludf.DUMMYFUNCTION("""COMPUTED_VALUE"""),"CAMPBELLFORD")</f>
        <v>CAMPBELLFORD</v>
      </c>
      <c r="D11288" s="3" t="str">
        <f>IFERROR(__xludf.DUMMYFUNCTION("""COMPUTED_VALUE"""),"K0L 1L0")</f>
        <v>K0L 1L0</v>
      </c>
      <c r="E11288" s="3" t="str">
        <f>IFERROR(__xludf.DUMMYFUNCTION("""COMPUTED_VALUE"""),"BRIAN MARTORINO")</f>
        <v>BRIAN MARTORINO</v>
      </c>
      <c r="F11288" s="3" t="str">
        <f>IFERROR(__xludf.DUMMYFUNCTION("""COMPUTED_VALUE"""),"bmartorino@gmail.com")</f>
        <v>bmartorino@gmail.com</v>
      </c>
      <c r="G11288" s="3">
        <f>IFERROR(__xludf.DUMMYFUNCTION("""COMPUTED_VALUE"""),9.053750239E9)</f>
        <v>9053750239</v>
      </c>
      <c r="H11288" s="3"/>
    </row>
    <row r="11289">
      <c r="A11289" s="2">
        <f>IFERROR(__xludf.DUMMYFUNCTION("""COMPUTED_VALUE"""),70245.0)</f>
        <v>70245</v>
      </c>
      <c r="B11289" s="3" t="str">
        <f>IFERROR(__xludf.DUMMYFUNCTION("""COMPUTED_VALUE"""),"2175C 2ND LINE E")</f>
        <v>2175C 2ND LINE E</v>
      </c>
      <c r="C11289" s="3" t="str">
        <f>IFERROR(__xludf.DUMMYFUNCTION("""COMPUTED_VALUE"""),"CAMPBELLFORD")</f>
        <v>CAMPBELLFORD</v>
      </c>
      <c r="D11289" s="3" t="str">
        <f>IFERROR(__xludf.DUMMYFUNCTION("""COMPUTED_VALUE"""),"K0L 1L0")</f>
        <v>K0L 1L0</v>
      </c>
      <c r="E11289" s="3"/>
      <c r="F11289" s="3"/>
      <c r="G11289" s="3"/>
      <c r="H11289" s="3"/>
    </row>
    <row r="11290">
      <c r="A11290" s="2">
        <f>IFERROR(__xludf.DUMMYFUNCTION("""COMPUTED_VALUE"""),70246.0)</f>
        <v>70246</v>
      </c>
      <c r="B11290" s="3" t="str">
        <f>IFERROR(__xludf.DUMMYFUNCTION("""COMPUTED_VALUE"""),"2175D 2ND LINE E")</f>
        <v>2175D 2ND LINE E</v>
      </c>
      <c r="C11290" s="3" t="str">
        <f>IFERROR(__xludf.DUMMYFUNCTION("""COMPUTED_VALUE"""),"CAMPBELLFORD")</f>
        <v>CAMPBELLFORD</v>
      </c>
      <c r="D11290" s="3" t="str">
        <f>IFERROR(__xludf.DUMMYFUNCTION("""COMPUTED_VALUE"""),"K0L 1L0")</f>
        <v>K0L 1L0</v>
      </c>
      <c r="E11290" s="3" t="str">
        <f>IFERROR(__xludf.DUMMYFUNCTION("""COMPUTED_VALUE"""),"william wilson ")</f>
        <v>william wilson </v>
      </c>
      <c r="F11290" s="3" t="str">
        <f>IFERROR(__xludf.DUMMYFUNCTION("""COMPUTED_VALUE"""),"cynwil@hotmail.com")</f>
        <v>cynwil@hotmail.com</v>
      </c>
      <c r="G11290" s="3">
        <f>IFERROR(__xludf.DUMMYFUNCTION("""COMPUTED_VALUE"""),9.053279091E9)</f>
        <v>9053279091</v>
      </c>
      <c r="H11290" s="3">
        <f>IFERROR(__xludf.DUMMYFUNCTION("""COMPUTED_VALUE"""),9.059319091E9)</f>
        <v>9059319091</v>
      </c>
    </row>
    <row r="11291">
      <c r="A11291" s="2">
        <f>IFERROR(__xludf.DUMMYFUNCTION("""COMPUTED_VALUE"""),70247.0)</f>
        <v>70247</v>
      </c>
      <c r="B11291" s="3" t="str">
        <f>IFERROR(__xludf.DUMMYFUNCTION("""COMPUTED_VALUE"""),"266-330 2ND LINE E")</f>
        <v>266-330 2ND LINE E</v>
      </c>
      <c r="C11291" s="3" t="str">
        <f>IFERROR(__xludf.DUMMYFUNCTION("""COMPUTED_VALUE"""),"CAMPBELLFORD")</f>
        <v>CAMPBELLFORD</v>
      </c>
      <c r="D11291" s="3" t="str">
        <f>IFERROR(__xludf.DUMMYFUNCTION("""COMPUTED_VALUE"""),"K0L 1L0")</f>
        <v>K0L 1L0</v>
      </c>
      <c r="E11291" s="3"/>
      <c r="F11291" s="3"/>
      <c r="G11291" s="3"/>
      <c r="H11291" s="3"/>
    </row>
    <row r="11292">
      <c r="A11292" s="2">
        <f>IFERROR(__xludf.DUMMYFUNCTION("""COMPUTED_VALUE"""),70248.0)</f>
        <v>70248</v>
      </c>
      <c r="B11292" s="3" t="str">
        <f>IFERROR(__xludf.DUMMYFUNCTION("""COMPUTED_VALUE"""),"215 4TH LINE E")</f>
        <v>215 4TH LINE E</v>
      </c>
      <c r="C11292" s="3" t="str">
        <f>IFERROR(__xludf.DUMMYFUNCTION("""COMPUTED_VALUE"""),"CAMPBELLFORD")</f>
        <v>CAMPBELLFORD</v>
      </c>
      <c r="D11292" s="3" t="str">
        <f>IFERROR(__xludf.DUMMYFUNCTION("""COMPUTED_VALUE"""),"K0L 1L0")</f>
        <v>K0L 1L0</v>
      </c>
      <c r="E11292" s="3"/>
      <c r="F11292" s="3"/>
      <c r="G11292" s="3"/>
      <c r="H11292" s="3"/>
    </row>
    <row r="11293">
      <c r="A11293" s="2">
        <f>IFERROR(__xludf.DUMMYFUNCTION("""COMPUTED_VALUE"""),70249.0)</f>
        <v>70249</v>
      </c>
      <c r="B11293" s="3" t="str">
        <f>IFERROR(__xludf.DUMMYFUNCTION("""COMPUTED_VALUE"""),"244 4TH LINE E")</f>
        <v>244 4TH LINE E</v>
      </c>
      <c r="C11293" s="3" t="str">
        <f>IFERROR(__xludf.DUMMYFUNCTION("""COMPUTED_VALUE"""),"CAMPBELLFORD")</f>
        <v>CAMPBELLFORD</v>
      </c>
      <c r="D11293" s="3" t="str">
        <f>IFERROR(__xludf.DUMMYFUNCTION("""COMPUTED_VALUE"""),"K0L 1L0")</f>
        <v>K0L 1L0</v>
      </c>
      <c r="E11293" s="3"/>
      <c r="F11293" s="3"/>
      <c r="G11293" s="3"/>
      <c r="H11293" s="3"/>
    </row>
    <row r="11294">
      <c r="A11294" s="2">
        <f>IFERROR(__xludf.DUMMYFUNCTION("""COMPUTED_VALUE"""),70250.0)</f>
        <v>70250</v>
      </c>
      <c r="B11294" s="3" t="str">
        <f>IFERROR(__xludf.DUMMYFUNCTION("""COMPUTED_VALUE"""),"249 4TH LINE E")</f>
        <v>249 4TH LINE E</v>
      </c>
      <c r="C11294" s="3" t="str">
        <f>IFERROR(__xludf.DUMMYFUNCTION("""COMPUTED_VALUE"""),"CAMPBELLFORD")</f>
        <v>CAMPBELLFORD</v>
      </c>
      <c r="D11294" s="3" t="str">
        <f>IFERROR(__xludf.DUMMYFUNCTION("""COMPUTED_VALUE"""),"K0L 1L0")</f>
        <v>K0L 1L0</v>
      </c>
      <c r="E11294" s="3" t="str">
        <f>IFERROR(__xludf.DUMMYFUNCTION("""COMPUTED_VALUE"""),"gail dooher")</f>
        <v>gail dooher</v>
      </c>
      <c r="F11294" s="3"/>
      <c r="G11294" s="3">
        <f>IFERROR(__xludf.DUMMYFUNCTION("""COMPUTED_VALUE"""),7.056533817E9)</f>
        <v>7056533817</v>
      </c>
      <c r="H11294" s="3"/>
    </row>
    <row r="11295">
      <c r="A11295" s="2">
        <f>IFERROR(__xludf.DUMMYFUNCTION("""COMPUTED_VALUE"""),70251.0)</f>
        <v>70251</v>
      </c>
      <c r="B11295" s="3" t="str">
        <f>IFERROR(__xludf.DUMMYFUNCTION("""COMPUTED_VALUE"""),"1040 4TH LINE E")</f>
        <v>1040 4TH LINE E</v>
      </c>
      <c r="C11295" s="3" t="str">
        <f>IFERROR(__xludf.DUMMYFUNCTION("""COMPUTED_VALUE"""),"CAMPBELLFORD")</f>
        <v>CAMPBELLFORD</v>
      </c>
      <c r="D11295" s="3" t="str">
        <f>IFERROR(__xludf.DUMMYFUNCTION("""COMPUTED_VALUE"""),"K0L 1L0")</f>
        <v>K0L 1L0</v>
      </c>
      <c r="E11295" s="3"/>
      <c r="F11295" s="3"/>
      <c r="G11295" s="3"/>
      <c r="H11295" s="3"/>
    </row>
    <row r="11296">
      <c r="A11296" s="2">
        <f>IFERROR(__xludf.DUMMYFUNCTION("""COMPUTED_VALUE"""),70252.0)</f>
        <v>70252</v>
      </c>
      <c r="B11296" s="3" t="str">
        <f>IFERROR(__xludf.DUMMYFUNCTION("""COMPUTED_VALUE"""),"1053 4TH LINE E")</f>
        <v>1053 4TH LINE E</v>
      </c>
      <c r="C11296" s="3" t="str">
        <f>IFERROR(__xludf.DUMMYFUNCTION("""COMPUTED_VALUE"""),"CAMPBELLFORD")</f>
        <v>CAMPBELLFORD</v>
      </c>
      <c r="D11296" s="3" t="str">
        <f>IFERROR(__xludf.DUMMYFUNCTION("""COMPUTED_VALUE"""),"K0L 1L0")</f>
        <v>K0L 1L0</v>
      </c>
      <c r="E11296" s="3" t="str">
        <f>IFERROR(__xludf.DUMMYFUNCTION("""COMPUTED_VALUE"""),"Ian Kearse")</f>
        <v>Ian Kearse</v>
      </c>
      <c r="F11296" s="3" t="str">
        <f>IFERROR(__xludf.DUMMYFUNCTION("""COMPUTED_VALUE"""),"iankearse@gmail.com")</f>
        <v>iankearse@gmail.com</v>
      </c>
      <c r="G11296" s="3">
        <f>IFERROR(__xludf.DUMMYFUNCTION("""COMPUTED_VALUE"""),6.138277718E9)</f>
        <v>6138277718</v>
      </c>
      <c r="H11296" s="3">
        <f>IFERROR(__xludf.DUMMYFUNCTION("""COMPUTED_VALUE"""),6.13827198E9)</f>
        <v>6138271980</v>
      </c>
    </row>
    <row r="11297">
      <c r="A11297" s="2">
        <f>IFERROR(__xludf.DUMMYFUNCTION("""COMPUTED_VALUE"""),70253.0)</f>
        <v>70253</v>
      </c>
      <c r="B11297" s="3" t="str">
        <f>IFERROR(__xludf.DUMMYFUNCTION("""COMPUTED_VALUE"""),"1084 4TH LINE E")</f>
        <v>1084 4TH LINE E</v>
      </c>
      <c r="C11297" s="3" t="str">
        <f>IFERROR(__xludf.DUMMYFUNCTION("""COMPUTED_VALUE"""),"CAMPBELLFORD")</f>
        <v>CAMPBELLFORD</v>
      </c>
      <c r="D11297" s="3" t="str">
        <f>IFERROR(__xludf.DUMMYFUNCTION("""COMPUTED_VALUE"""),"K0L 1L0")</f>
        <v>K0L 1L0</v>
      </c>
      <c r="E11297" s="3"/>
      <c r="F11297" s="3"/>
      <c r="G11297" s="3"/>
      <c r="H11297" s="3"/>
    </row>
    <row r="11298">
      <c r="A11298" s="2">
        <f>IFERROR(__xludf.DUMMYFUNCTION("""COMPUTED_VALUE"""),70254.0)</f>
        <v>70254</v>
      </c>
      <c r="B11298" s="3" t="str">
        <f>IFERROR(__xludf.DUMMYFUNCTION("""COMPUTED_VALUE"""),"1212 4TH LINE E")</f>
        <v>1212 4TH LINE E</v>
      </c>
      <c r="C11298" s="3" t="str">
        <f>IFERROR(__xludf.DUMMYFUNCTION("""COMPUTED_VALUE"""),"CAMPBELLFORD")</f>
        <v>CAMPBELLFORD</v>
      </c>
      <c r="D11298" s="3" t="str">
        <f>IFERROR(__xludf.DUMMYFUNCTION("""COMPUTED_VALUE"""),"K0L 1L0")</f>
        <v>K0L 1L0</v>
      </c>
      <c r="E11298" s="3"/>
      <c r="F11298" s="3"/>
      <c r="G11298" s="3"/>
      <c r="H11298" s="3"/>
    </row>
    <row r="11299">
      <c r="A11299" s="2">
        <f>IFERROR(__xludf.DUMMYFUNCTION("""COMPUTED_VALUE"""),70255.0)</f>
        <v>70255</v>
      </c>
      <c r="B11299" s="3" t="str">
        <f>IFERROR(__xludf.DUMMYFUNCTION("""COMPUTED_VALUE"""),"1256 4TH LINE E")</f>
        <v>1256 4TH LINE E</v>
      </c>
      <c r="C11299" s="3" t="str">
        <f>IFERROR(__xludf.DUMMYFUNCTION("""COMPUTED_VALUE"""),"CAMPBELLFORD")</f>
        <v>CAMPBELLFORD</v>
      </c>
      <c r="D11299" s="3" t="str">
        <f>IFERROR(__xludf.DUMMYFUNCTION("""COMPUTED_VALUE"""),"K0L 1L0")</f>
        <v>K0L 1L0</v>
      </c>
      <c r="E11299" s="3"/>
      <c r="F11299" s="3"/>
      <c r="G11299" s="3"/>
      <c r="H11299" s="3"/>
    </row>
    <row r="11300">
      <c r="A11300" s="2">
        <f>IFERROR(__xludf.DUMMYFUNCTION("""COMPUTED_VALUE"""),70256.0)</f>
        <v>70256</v>
      </c>
      <c r="B11300" s="3" t="str">
        <f>IFERROR(__xludf.DUMMYFUNCTION("""COMPUTED_VALUE"""),"1341 4TH LINE E")</f>
        <v>1341 4TH LINE E</v>
      </c>
      <c r="C11300" s="3" t="str">
        <f>IFERROR(__xludf.DUMMYFUNCTION("""COMPUTED_VALUE"""),"CAMPBELLFORD")</f>
        <v>CAMPBELLFORD</v>
      </c>
      <c r="D11300" s="3" t="str">
        <f>IFERROR(__xludf.DUMMYFUNCTION("""COMPUTED_VALUE"""),"K0L 1L0")</f>
        <v>K0L 1L0</v>
      </c>
      <c r="E11300" s="3"/>
      <c r="F11300" s="3"/>
      <c r="G11300" s="3"/>
      <c r="H11300" s="3"/>
    </row>
    <row r="11301">
      <c r="A11301" s="2">
        <f>IFERROR(__xludf.DUMMYFUNCTION("""COMPUTED_VALUE"""),70257.0)</f>
        <v>70257</v>
      </c>
      <c r="B11301" s="3" t="str">
        <f>IFERROR(__xludf.DUMMYFUNCTION("""COMPUTED_VALUE"""),"1346 4TH LINE E")</f>
        <v>1346 4TH LINE E</v>
      </c>
      <c r="C11301" s="3" t="str">
        <f>IFERROR(__xludf.DUMMYFUNCTION("""COMPUTED_VALUE"""),"CAMPBELLFORD")</f>
        <v>CAMPBELLFORD</v>
      </c>
      <c r="D11301" s="3" t="str">
        <f>IFERROR(__xludf.DUMMYFUNCTION("""COMPUTED_VALUE"""),"K0L 1L0")</f>
        <v>K0L 1L0</v>
      </c>
      <c r="E11301" s="3"/>
      <c r="F11301" s="3"/>
      <c r="G11301" s="3"/>
      <c r="H11301" s="3"/>
    </row>
    <row r="11302">
      <c r="A11302" s="2">
        <f>IFERROR(__xludf.DUMMYFUNCTION("""COMPUTED_VALUE"""),70258.0)</f>
        <v>70258</v>
      </c>
      <c r="B11302" s="3" t="str">
        <f>IFERROR(__xludf.DUMMYFUNCTION("""COMPUTED_VALUE"""),"1379 4TH LINE E")</f>
        <v>1379 4TH LINE E</v>
      </c>
      <c r="C11302" s="3" t="str">
        <f>IFERROR(__xludf.DUMMYFUNCTION("""COMPUTED_VALUE"""),"CAMPBELLFORD")</f>
        <v>CAMPBELLFORD</v>
      </c>
      <c r="D11302" s="3" t="str">
        <f>IFERROR(__xludf.DUMMYFUNCTION("""COMPUTED_VALUE"""),"K0L 1L0")</f>
        <v>K0L 1L0</v>
      </c>
      <c r="E11302" s="3"/>
      <c r="F11302" s="3"/>
      <c r="G11302" s="3"/>
      <c r="H11302" s="3"/>
    </row>
    <row r="11303">
      <c r="A11303" s="2">
        <f>IFERROR(__xludf.DUMMYFUNCTION("""COMPUTED_VALUE"""),70259.0)</f>
        <v>70259</v>
      </c>
      <c r="B11303" s="3" t="str">
        <f>IFERROR(__xludf.DUMMYFUNCTION("""COMPUTED_VALUE"""),"1417 4TH LINE E")</f>
        <v>1417 4TH LINE E</v>
      </c>
      <c r="C11303" s="3" t="str">
        <f>IFERROR(__xludf.DUMMYFUNCTION("""COMPUTED_VALUE"""),"CAMPBELLFORD")</f>
        <v>CAMPBELLFORD</v>
      </c>
      <c r="D11303" s="3" t="str">
        <f>IFERROR(__xludf.DUMMYFUNCTION("""COMPUTED_VALUE"""),"K0L 1L0")</f>
        <v>K0L 1L0</v>
      </c>
      <c r="E11303" s="3"/>
      <c r="F11303" s="3"/>
      <c r="G11303" s="3"/>
      <c r="H11303" s="3"/>
    </row>
    <row r="11304">
      <c r="A11304" s="2">
        <f>IFERROR(__xludf.DUMMYFUNCTION("""COMPUTED_VALUE"""),70260.0)</f>
        <v>70260</v>
      </c>
      <c r="B11304" s="3" t="str">
        <f>IFERROR(__xludf.DUMMYFUNCTION("""COMPUTED_VALUE"""),"2013 4TH LINE E")</f>
        <v>2013 4TH LINE E</v>
      </c>
      <c r="C11304" s="3" t="str">
        <f>IFERROR(__xludf.DUMMYFUNCTION("""COMPUTED_VALUE"""),"CAMPBELLFORD")</f>
        <v>CAMPBELLFORD</v>
      </c>
      <c r="D11304" s="3" t="str">
        <f>IFERROR(__xludf.DUMMYFUNCTION("""COMPUTED_VALUE"""),"K0L 1L0")</f>
        <v>K0L 1L0</v>
      </c>
      <c r="E11304" s="3"/>
      <c r="F11304" s="3"/>
      <c r="G11304" s="3"/>
      <c r="H11304" s="3"/>
    </row>
    <row r="11305">
      <c r="A11305" s="2">
        <f>IFERROR(__xludf.DUMMYFUNCTION("""COMPUTED_VALUE"""),70261.0)</f>
        <v>70261</v>
      </c>
      <c r="B11305" s="3" t="str">
        <f>IFERROR(__xludf.DUMMYFUNCTION("""COMPUTED_VALUE"""),"2113 4TH LINE E")</f>
        <v>2113 4TH LINE E</v>
      </c>
      <c r="C11305" s="3" t="str">
        <f>IFERROR(__xludf.DUMMYFUNCTION("""COMPUTED_VALUE"""),"CAMPBELLFORD")</f>
        <v>CAMPBELLFORD</v>
      </c>
      <c r="D11305" s="3" t="str">
        <f>IFERROR(__xludf.DUMMYFUNCTION("""COMPUTED_VALUE"""),"K0L 1L0")</f>
        <v>K0L 1L0</v>
      </c>
      <c r="E11305" s="3"/>
      <c r="F11305" s="3"/>
      <c r="G11305" s="3"/>
      <c r="H11305" s="3"/>
    </row>
    <row r="11306">
      <c r="A11306" s="2">
        <f>IFERROR(__xludf.DUMMYFUNCTION("""COMPUTED_VALUE"""),72540.0)</f>
        <v>72540</v>
      </c>
      <c r="B11306" s="3" t="str">
        <f>IFERROR(__xludf.DUMMYFUNCTION("""COMPUTED_VALUE"""),"2154 4TH LINE E")</f>
        <v>2154 4TH LINE E</v>
      </c>
      <c r="C11306" s="3" t="str">
        <f>IFERROR(__xludf.DUMMYFUNCTION("""COMPUTED_VALUE"""),"CAMPBELLFORD")</f>
        <v>CAMPBELLFORD</v>
      </c>
      <c r="D11306" s="3" t="str">
        <f>IFERROR(__xludf.DUMMYFUNCTION("""COMPUTED_VALUE"""),"K0L 1L0")</f>
        <v>K0L 1L0</v>
      </c>
      <c r="E11306" s="3"/>
      <c r="F11306" s="3"/>
      <c r="G11306" s="3"/>
      <c r="H11306" s="3"/>
    </row>
    <row r="11307">
      <c r="A11307" s="2">
        <f>IFERROR(__xludf.DUMMYFUNCTION("""COMPUTED_VALUE"""),70262.0)</f>
        <v>70262</v>
      </c>
      <c r="B11307" s="3" t="str">
        <f>IFERROR(__xludf.DUMMYFUNCTION("""COMPUTED_VALUE"""),"2216 4TH LINE E")</f>
        <v>2216 4TH LINE E</v>
      </c>
      <c r="C11307" s="3" t="str">
        <f>IFERROR(__xludf.DUMMYFUNCTION("""COMPUTED_VALUE"""),"CAMPBELLFORD")</f>
        <v>CAMPBELLFORD</v>
      </c>
      <c r="D11307" s="3" t="str">
        <f>IFERROR(__xludf.DUMMYFUNCTION("""COMPUTED_VALUE"""),"K0L 1L0")</f>
        <v>K0L 1L0</v>
      </c>
      <c r="E11307" s="3"/>
      <c r="F11307" s="3"/>
      <c r="G11307" s="3"/>
      <c r="H11307" s="3"/>
    </row>
    <row r="11308">
      <c r="A11308" s="2">
        <f>IFERROR(__xludf.DUMMYFUNCTION("""COMPUTED_VALUE"""),70265.0)</f>
        <v>70265</v>
      </c>
      <c r="B11308" s="3" t="str">
        <f>IFERROR(__xludf.DUMMYFUNCTION("""COMPUTED_VALUE"""),"2778 4TH LINE E")</f>
        <v>2778 4TH LINE E</v>
      </c>
      <c r="C11308" s="3" t="str">
        <f>IFERROR(__xludf.DUMMYFUNCTION("""COMPUTED_VALUE"""),"CAMPBELLFORD")</f>
        <v>CAMPBELLFORD</v>
      </c>
      <c r="D11308" s="3" t="str">
        <f>IFERROR(__xludf.DUMMYFUNCTION("""COMPUTED_VALUE"""),"K0L 1L0")</f>
        <v>K0L 1L0</v>
      </c>
      <c r="E11308" s="3" t="str">
        <f>IFERROR(__xludf.DUMMYFUNCTION("""COMPUTED_VALUE"""),"Sharon")</f>
        <v>Sharon</v>
      </c>
      <c r="F11308" s="3"/>
      <c r="G11308" s="3"/>
      <c r="H11308" s="3"/>
    </row>
    <row r="11309">
      <c r="A11309" s="2">
        <f>IFERROR(__xludf.DUMMYFUNCTION("""COMPUTED_VALUE"""),70266.0)</f>
        <v>70266</v>
      </c>
      <c r="B11309" s="3" t="str">
        <f>IFERROR(__xludf.DUMMYFUNCTION("""COMPUTED_VALUE"""),"2896 4TH LINE E")</f>
        <v>2896 4TH LINE E</v>
      </c>
      <c r="C11309" s="3" t="str">
        <f>IFERROR(__xludf.DUMMYFUNCTION("""COMPUTED_VALUE"""),"CAMPBELLFORD")</f>
        <v>CAMPBELLFORD</v>
      </c>
      <c r="D11309" s="3" t="str">
        <f>IFERROR(__xludf.DUMMYFUNCTION("""COMPUTED_VALUE"""),"K0L 1L0")</f>
        <v>K0L 1L0</v>
      </c>
      <c r="E11309" s="3"/>
      <c r="F11309" s="3"/>
      <c r="G11309" s="3"/>
      <c r="H11309" s="3"/>
    </row>
    <row r="11310">
      <c r="A11310" s="2">
        <f>IFERROR(__xludf.DUMMYFUNCTION("""COMPUTED_VALUE"""),70267.0)</f>
        <v>70267</v>
      </c>
      <c r="B11310" s="3" t="str">
        <f>IFERROR(__xludf.DUMMYFUNCTION("""COMPUTED_VALUE"""),"2958 4TH LINE E")</f>
        <v>2958 4TH LINE E</v>
      </c>
      <c r="C11310" s="3" t="str">
        <f>IFERROR(__xludf.DUMMYFUNCTION("""COMPUTED_VALUE"""),"CAMPBELLFORD")</f>
        <v>CAMPBELLFORD</v>
      </c>
      <c r="D11310" s="3" t="str">
        <f>IFERROR(__xludf.DUMMYFUNCTION("""COMPUTED_VALUE"""),"K0L 1L0")</f>
        <v>K0L 1L0</v>
      </c>
      <c r="E11310" s="3"/>
      <c r="F11310" s="3"/>
      <c r="G11310" s="3"/>
      <c r="H11310" s="3"/>
    </row>
    <row r="11311">
      <c r="A11311" s="2">
        <f>IFERROR(__xludf.DUMMYFUNCTION("""COMPUTED_VALUE"""),70269.0)</f>
        <v>70269</v>
      </c>
      <c r="B11311" s="3" t="str">
        <f>IFERROR(__xludf.DUMMYFUNCTION("""COMPUTED_VALUE"""),"249A 4TH LINE E")</f>
        <v>249A 4TH LINE E</v>
      </c>
      <c r="C11311" s="3" t="str">
        <f>IFERROR(__xludf.DUMMYFUNCTION("""COMPUTED_VALUE"""),"CAMPBELLFORD")</f>
        <v>CAMPBELLFORD</v>
      </c>
      <c r="D11311" s="3" t="str">
        <f>IFERROR(__xludf.DUMMYFUNCTION("""COMPUTED_VALUE"""),"K0L 1L0")</f>
        <v>K0L 1L0</v>
      </c>
      <c r="E11311" s="3"/>
      <c r="F11311" s="3"/>
      <c r="G11311" s="3"/>
      <c r="H11311" s="3"/>
    </row>
    <row r="11312">
      <c r="A11312" s="2">
        <f>IFERROR(__xludf.DUMMYFUNCTION("""COMPUTED_VALUE"""),70270.0)</f>
        <v>70270</v>
      </c>
      <c r="B11312" s="3" t="str">
        <f>IFERROR(__xludf.DUMMYFUNCTION("""COMPUTED_VALUE"""),"249B 4TH LINE E")</f>
        <v>249B 4TH LINE E</v>
      </c>
      <c r="C11312" s="3" t="str">
        <f>IFERROR(__xludf.DUMMYFUNCTION("""COMPUTED_VALUE"""),"CAMPBELLFORD")</f>
        <v>CAMPBELLFORD</v>
      </c>
      <c r="D11312" s="3" t="str">
        <f>IFERROR(__xludf.DUMMYFUNCTION("""COMPUTED_VALUE"""),"K0L 1L0")</f>
        <v>K0L 1L0</v>
      </c>
      <c r="E11312" s="3"/>
      <c r="F11312" s="3"/>
      <c r="G11312" s="3"/>
      <c r="H11312" s="3"/>
    </row>
    <row r="11313">
      <c r="A11313" s="2">
        <f>IFERROR(__xludf.DUMMYFUNCTION("""COMPUTED_VALUE"""),70271.0)</f>
        <v>70271</v>
      </c>
      <c r="B11313" s="3" t="str">
        <f>IFERROR(__xludf.DUMMYFUNCTION("""COMPUTED_VALUE"""),"249C 4TH LINE E")</f>
        <v>249C 4TH LINE E</v>
      </c>
      <c r="C11313" s="3" t="str">
        <f>IFERROR(__xludf.DUMMYFUNCTION("""COMPUTED_VALUE"""),"CAMPBELLFORD")</f>
        <v>CAMPBELLFORD</v>
      </c>
      <c r="D11313" s="3" t="str">
        <f>IFERROR(__xludf.DUMMYFUNCTION("""COMPUTED_VALUE"""),"K0L 1L0")</f>
        <v>K0L 1L0</v>
      </c>
      <c r="E11313" s="3"/>
      <c r="F11313" s="3"/>
      <c r="G11313" s="3"/>
      <c r="H11313" s="3"/>
    </row>
    <row r="11314">
      <c r="A11314" s="2">
        <f>IFERROR(__xludf.DUMMYFUNCTION("""COMPUTED_VALUE"""),70272.0)</f>
        <v>70272</v>
      </c>
      <c r="B11314" s="3" t="str">
        <f>IFERROR(__xludf.DUMMYFUNCTION("""COMPUTED_VALUE"""),"249 D 4TH LINE E")</f>
        <v>249 D 4TH LINE E</v>
      </c>
      <c r="C11314" s="3" t="str">
        <f>IFERROR(__xludf.DUMMYFUNCTION("""COMPUTED_VALUE"""),"CAMPBELLFORD")</f>
        <v>CAMPBELLFORD</v>
      </c>
      <c r="D11314" s="3" t="str">
        <f>IFERROR(__xludf.DUMMYFUNCTION("""COMPUTED_VALUE"""),"K0L 1L0")</f>
        <v>K0L 1L0</v>
      </c>
      <c r="E11314" s="3"/>
      <c r="F11314" s="3"/>
      <c r="G11314" s="3"/>
      <c r="H11314" s="3"/>
    </row>
    <row r="11315">
      <c r="A11315" s="2">
        <f>IFERROR(__xludf.DUMMYFUNCTION("""COMPUTED_VALUE"""),70273.0)</f>
        <v>70273</v>
      </c>
      <c r="B11315" s="3" t="str">
        <f>IFERROR(__xludf.DUMMYFUNCTION("""COMPUTED_VALUE"""),"2401 5TH LINE E")</f>
        <v>2401 5TH LINE E</v>
      </c>
      <c r="C11315" s="3" t="str">
        <f>IFERROR(__xludf.DUMMYFUNCTION("""COMPUTED_VALUE"""),"CAMPBELLFORD")</f>
        <v>CAMPBELLFORD</v>
      </c>
      <c r="D11315" s="3" t="str">
        <f>IFERROR(__xludf.DUMMYFUNCTION("""COMPUTED_VALUE"""),"K0L 1L0")</f>
        <v>K0L 1L0</v>
      </c>
      <c r="E11315" s="3"/>
      <c r="F11315" s="3"/>
      <c r="G11315" s="3"/>
      <c r="H11315" s="3"/>
    </row>
    <row r="11316">
      <c r="A11316" s="2">
        <f>IFERROR(__xludf.DUMMYFUNCTION("""COMPUTED_VALUE"""),70274.0)</f>
        <v>70274</v>
      </c>
      <c r="B11316" s="3" t="str">
        <f>IFERROR(__xludf.DUMMYFUNCTION("""COMPUTED_VALUE"""),"2403 5TH LINE E")</f>
        <v>2403 5TH LINE E</v>
      </c>
      <c r="C11316" s="3" t="str">
        <f>IFERROR(__xludf.DUMMYFUNCTION("""COMPUTED_VALUE"""),"CAMPBELLFORD")</f>
        <v>CAMPBELLFORD</v>
      </c>
      <c r="D11316" s="3" t="str">
        <f>IFERROR(__xludf.DUMMYFUNCTION("""COMPUTED_VALUE"""),"K0L 1L0")</f>
        <v>K0L 1L0</v>
      </c>
      <c r="E11316" s="3"/>
      <c r="F11316" s="3"/>
      <c r="G11316" s="3"/>
      <c r="H11316" s="3"/>
    </row>
    <row r="11317">
      <c r="A11317" s="2">
        <f>IFERROR(__xludf.DUMMYFUNCTION("""COMPUTED_VALUE"""),72553.0)</f>
        <v>72553</v>
      </c>
      <c r="B11317" s="3" t="str">
        <f>IFERROR(__xludf.DUMMYFUNCTION("""COMPUTED_VALUE"""),"2451 5TH LINE E")</f>
        <v>2451 5TH LINE E</v>
      </c>
      <c r="C11317" s="3" t="str">
        <f>IFERROR(__xludf.DUMMYFUNCTION("""COMPUTED_VALUE"""),"CAMPBELLFORD")</f>
        <v>CAMPBELLFORD</v>
      </c>
      <c r="D11317" s="3" t="str">
        <f>IFERROR(__xludf.DUMMYFUNCTION("""COMPUTED_VALUE"""),"K0L 1L0")</f>
        <v>K0L 1L0</v>
      </c>
      <c r="E11317" s="3"/>
      <c r="F11317" s="3"/>
      <c r="G11317" s="3"/>
      <c r="H11317" s="3"/>
    </row>
    <row r="11318">
      <c r="A11318" s="2">
        <f>IFERROR(__xludf.DUMMYFUNCTION("""COMPUTED_VALUE"""),70275.0)</f>
        <v>70275</v>
      </c>
      <c r="B11318" s="3" t="str">
        <f>IFERROR(__xludf.DUMMYFUNCTION("""COMPUTED_VALUE"""),"2460 5TH LINE E")</f>
        <v>2460 5TH LINE E</v>
      </c>
      <c r="C11318" s="3" t="str">
        <f>IFERROR(__xludf.DUMMYFUNCTION("""COMPUTED_VALUE"""),"CAMPBELLFORD")</f>
        <v>CAMPBELLFORD</v>
      </c>
      <c r="D11318" s="3" t="str">
        <f>IFERROR(__xludf.DUMMYFUNCTION("""COMPUTED_VALUE"""),"K0L 1L0")</f>
        <v>K0L 1L0</v>
      </c>
      <c r="E11318" s="3" t="str">
        <f>IFERROR(__xludf.DUMMYFUNCTION("""COMPUTED_VALUE"""),"Rylan Brown")</f>
        <v>Rylan Brown</v>
      </c>
      <c r="F11318" s="3" t="str">
        <f>IFERROR(__xludf.DUMMYFUNCTION("""COMPUTED_VALUE"""),"rylan34@hotmail.com")</f>
        <v>rylan34@hotmail.com</v>
      </c>
      <c r="G11318" s="3">
        <f>IFERROR(__xludf.DUMMYFUNCTION("""COMPUTED_VALUE"""),7.056329678E9)</f>
        <v>7056329678</v>
      </c>
      <c r="H11318" s="3">
        <f>IFERROR(__xludf.DUMMYFUNCTION("""COMPUTED_VALUE"""),7.056537681E9)</f>
        <v>7056537681</v>
      </c>
    </row>
    <row r="11319">
      <c r="A11319" s="2">
        <f>IFERROR(__xludf.DUMMYFUNCTION("""COMPUTED_VALUE"""),70276.0)</f>
        <v>70276</v>
      </c>
      <c r="B11319" s="3" t="str">
        <f>IFERROR(__xludf.DUMMYFUNCTION("""COMPUTED_VALUE"""),"2466 FIFTH LINE E")</f>
        <v>2466 FIFTH LINE E</v>
      </c>
      <c r="C11319" s="3" t="str">
        <f>IFERROR(__xludf.DUMMYFUNCTION("""COMPUTED_VALUE"""),"CAMPBELLFORD")</f>
        <v>CAMPBELLFORD</v>
      </c>
      <c r="D11319" s="3" t="str">
        <f>IFERROR(__xludf.DUMMYFUNCTION("""COMPUTED_VALUE"""),"K0L 1L0")</f>
        <v>K0L 1L0</v>
      </c>
      <c r="E11319" s="3"/>
      <c r="F11319" s="3"/>
      <c r="G11319" s="3"/>
      <c r="H11319" s="3"/>
    </row>
    <row r="11320">
      <c r="A11320" s="2">
        <f>IFERROR(__xludf.DUMMYFUNCTION("""COMPUTED_VALUE"""),70277.0)</f>
        <v>70277</v>
      </c>
      <c r="B11320" s="3" t="str">
        <f>IFERROR(__xludf.DUMMYFUNCTION("""COMPUTED_VALUE"""),"2615 5TH LINE E")</f>
        <v>2615 5TH LINE E</v>
      </c>
      <c r="C11320" s="3" t="str">
        <f>IFERROR(__xludf.DUMMYFUNCTION("""COMPUTED_VALUE"""),"CAMPBELLFORD")</f>
        <v>CAMPBELLFORD</v>
      </c>
      <c r="D11320" s="3" t="str">
        <f>IFERROR(__xludf.DUMMYFUNCTION("""COMPUTED_VALUE"""),"K0L 1L0")</f>
        <v>K0L 1L0</v>
      </c>
      <c r="E11320" s="3"/>
      <c r="F11320" s="3"/>
      <c r="G11320" s="3"/>
      <c r="H11320" s="3"/>
    </row>
    <row r="11321">
      <c r="A11321" s="2">
        <f>IFERROR(__xludf.DUMMYFUNCTION("""COMPUTED_VALUE"""),70278.0)</f>
        <v>70278</v>
      </c>
      <c r="B11321" s="3" t="str">
        <f>IFERROR(__xludf.DUMMYFUNCTION("""COMPUTED_VALUE"""),"2678 5TH LINE E")</f>
        <v>2678 5TH LINE E</v>
      </c>
      <c r="C11321" s="3" t="str">
        <f>IFERROR(__xludf.DUMMYFUNCTION("""COMPUTED_VALUE"""),"CAMPBELLFORD")</f>
        <v>CAMPBELLFORD</v>
      </c>
      <c r="D11321" s="3" t="str">
        <f>IFERROR(__xludf.DUMMYFUNCTION("""COMPUTED_VALUE"""),"K0L 1L0")</f>
        <v>K0L 1L0</v>
      </c>
      <c r="E11321" s="3"/>
      <c r="F11321" s="3"/>
      <c r="G11321" s="3"/>
      <c r="H11321" s="3"/>
    </row>
    <row r="11322">
      <c r="A11322" s="2">
        <f>IFERROR(__xludf.DUMMYFUNCTION("""COMPUTED_VALUE"""),70279.0)</f>
        <v>70279</v>
      </c>
      <c r="B11322" s="3" t="str">
        <f>IFERROR(__xludf.DUMMYFUNCTION("""COMPUTED_VALUE"""),"2737 5TH LINE E")</f>
        <v>2737 5TH LINE E</v>
      </c>
      <c r="C11322" s="3" t="str">
        <f>IFERROR(__xludf.DUMMYFUNCTION("""COMPUTED_VALUE"""),"CAMPBELLFORD")</f>
        <v>CAMPBELLFORD</v>
      </c>
      <c r="D11322" s="3" t="str">
        <f>IFERROR(__xludf.DUMMYFUNCTION("""COMPUTED_VALUE"""),"K0L 1L0")</f>
        <v>K0L 1L0</v>
      </c>
      <c r="E11322" s="3"/>
      <c r="F11322" s="3"/>
      <c r="G11322" s="3"/>
      <c r="H11322" s="3"/>
    </row>
    <row r="11323">
      <c r="A11323" s="2">
        <f>IFERROR(__xludf.DUMMYFUNCTION("""COMPUTED_VALUE"""),70280.0)</f>
        <v>70280</v>
      </c>
      <c r="B11323" s="3" t="str">
        <f>IFERROR(__xludf.DUMMYFUNCTION("""COMPUTED_VALUE"""),"2746 5TH LINE E")</f>
        <v>2746 5TH LINE E</v>
      </c>
      <c r="C11323" s="3" t="str">
        <f>IFERROR(__xludf.DUMMYFUNCTION("""COMPUTED_VALUE"""),"CAMPBELLFORD")</f>
        <v>CAMPBELLFORD</v>
      </c>
      <c r="D11323" s="3" t="str">
        <f>IFERROR(__xludf.DUMMYFUNCTION("""COMPUTED_VALUE"""),"K0L 1L0")</f>
        <v>K0L 1L0</v>
      </c>
      <c r="E11323" s="3"/>
      <c r="F11323" s="3"/>
      <c r="G11323" s="3"/>
      <c r="H11323" s="3"/>
    </row>
    <row r="11324">
      <c r="A11324" s="2">
        <f>IFERROR(__xludf.DUMMYFUNCTION("""COMPUTED_VALUE"""),70281.0)</f>
        <v>70281</v>
      </c>
      <c r="B11324" s="3" t="str">
        <f>IFERROR(__xludf.DUMMYFUNCTION("""COMPUTED_VALUE"""),"2800 5TH LINE E")</f>
        <v>2800 5TH LINE E</v>
      </c>
      <c r="C11324" s="3" t="str">
        <f>IFERROR(__xludf.DUMMYFUNCTION("""COMPUTED_VALUE"""),"CAMPBELLFORD")</f>
        <v>CAMPBELLFORD</v>
      </c>
      <c r="D11324" s="3" t="str">
        <f>IFERROR(__xludf.DUMMYFUNCTION("""COMPUTED_VALUE"""),"K0L 1L0")</f>
        <v>K0L 1L0</v>
      </c>
      <c r="E11324" s="3" t="str">
        <f>IFERROR(__xludf.DUMMYFUNCTION("""COMPUTED_VALUE"""),"Lily Bennett")</f>
        <v>Lily Bennett</v>
      </c>
      <c r="F11324" s="3" t="str">
        <f>IFERROR(__xludf.DUMMYFUNCTION("""COMPUTED_VALUE"""),"lily.bennett.98@gmail.com")</f>
        <v>lily.bennett.98@gmail.com</v>
      </c>
      <c r="G11324" s="3">
        <f>IFERROR(__xludf.DUMMYFUNCTION("""COMPUTED_VALUE"""),2.263370716E9)</f>
        <v>2263370716</v>
      </c>
      <c r="H11324" s="3"/>
    </row>
    <row r="11325">
      <c r="A11325" s="2">
        <f>IFERROR(__xludf.DUMMYFUNCTION("""COMPUTED_VALUE"""),70282.0)</f>
        <v>70282</v>
      </c>
      <c r="B11325" s="3" t="str">
        <f>IFERROR(__xludf.DUMMYFUNCTION("""COMPUTED_VALUE"""),"2818 5TH LINE E")</f>
        <v>2818 5TH LINE E</v>
      </c>
      <c r="C11325" s="3" t="str">
        <f>IFERROR(__xludf.DUMMYFUNCTION("""COMPUTED_VALUE"""),"CAMPBELLFORD")</f>
        <v>CAMPBELLFORD</v>
      </c>
      <c r="D11325" s="3" t="str">
        <f>IFERROR(__xludf.DUMMYFUNCTION("""COMPUTED_VALUE"""),"K0L 1L0")</f>
        <v>K0L 1L0</v>
      </c>
      <c r="E11325" s="3"/>
      <c r="F11325" s="3"/>
      <c r="G11325" s="3"/>
      <c r="H11325" s="3"/>
    </row>
    <row r="11326">
      <c r="A11326" s="2">
        <f>IFERROR(__xludf.DUMMYFUNCTION("""COMPUTED_VALUE"""),70283.0)</f>
        <v>70283</v>
      </c>
      <c r="B11326" s="3" t="str">
        <f>IFERROR(__xludf.DUMMYFUNCTION("""COMPUTED_VALUE"""),"2822 5TH LINE E")</f>
        <v>2822 5TH LINE E</v>
      </c>
      <c r="C11326" s="3" t="str">
        <f>IFERROR(__xludf.DUMMYFUNCTION("""COMPUTED_VALUE"""),"CAMPBELLFORD")</f>
        <v>CAMPBELLFORD</v>
      </c>
      <c r="D11326" s="3" t="str">
        <f>IFERROR(__xludf.DUMMYFUNCTION("""COMPUTED_VALUE"""),"K0L 1L0")</f>
        <v>K0L 1L0</v>
      </c>
      <c r="E11326" s="3" t="str">
        <f>IFERROR(__xludf.DUMMYFUNCTION("""COMPUTED_VALUE"""),"Owen Merrill")</f>
        <v>Owen Merrill</v>
      </c>
      <c r="F11326" s="3" t="str">
        <f>IFERROR(__xludf.DUMMYFUNCTION("""COMPUTED_VALUE"""),"omerrill@htminsurance.ca")</f>
        <v>omerrill@htminsurance.ca</v>
      </c>
      <c r="G11326" s="3">
        <f>IFERROR(__xludf.DUMMYFUNCTION("""COMPUTED_VALUE"""),9.053725866E9)</f>
        <v>9053725866</v>
      </c>
      <c r="H11326" s="3">
        <f>IFERROR(__xludf.DUMMYFUNCTION("""COMPUTED_VALUE"""),7.056329199E9)</f>
        <v>7056329199</v>
      </c>
    </row>
    <row r="11327">
      <c r="A11327" s="2">
        <f>IFERROR(__xludf.DUMMYFUNCTION("""COMPUTED_VALUE"""),70284.0)</f>
        <v>70284</v>
      </c>
      <c r="B11327" s="3" t="str">
        <f>IFERROR(__xludf.DUMMYFUNCTION("""COMPUTED_VALUE"""),"2918 5TH LINE E")</f>
        <v>2918 5TH LINE E</v>
      </c>
      <c r="C11327" s="3" t="str">
        <f>IFERROR(__xludf.DUMMYFUNCTION("""COMPUTED_VALUE"""),"CAMPBELLFORD")</f>
        <v>CAMPBELLFORD</v>
      </c>
      <c r="D11327" s="3" t="str">
        <f>IFERROR(__xludf.DUMMYFUNCTION("""COMPUTED_VALUE"""),"K0L 1L0")</f>
        <v>K0L 1L0</v>
      </c>
      <c r="E11327" s="3"/>
      <c r="F11327" s="3"/>
      <c r="G11327" s="3"/>
      <c r="H11327" s="3"/>
    </row>
    <row r="11328">
      <c r="A11328" s="2">
        <f>IFERROR(__xludf.DUMMYFUNCTION("""COMPUTED_VALUE"""),70285.0)</f>
        <v>70285</v>
      </c>
      <c r="B11328" s="3" t="str">
        <f>IFERROR(__xludf.DUMMYFUNCTION("""COMPUTED_VALUE"""),"3001 5TH LINE E")</f>
        <v>3001 5TH LINE E</v>
      </c>
      <c r="C11328" s="3" t="str">
        <f>IFERROR(__xludf.DUMMYFUNCTION("""COMPUTED_VALUE"""),"CAMPBELLFORD")</f>
        <v>CAMPBELLFORD</v>
      </c>
      <c r="D11328" s="3" t="str">
        <f>IFERROR(__xludf.DUMMYFUNCTION("""COMPUTED_VALUE"""),"K0L 1L0")</f>
        <v>K0L 1L0</v>
      </c>
      <c r="E11328" s="3"/>
      <c r="F11328" s="3"/>
      <c r="G11328" s="3"/>
      <c r="H11328" s="3"/>
    </row>
    <row r="11329">
      <c r="A11329" s="2">
        <f>IFERROR(__xludf.DUMMYFUNCTION("""COMPUTED_VALUE"""),70286.0)</f>
        <v>70286</v>
      </c>
      <c r="B11329" s="3" t="str">
        <f>IFERROR(__xludf.DUMMYFUNCTION("""COMPUTED_VALUE"""),"3018 5TH LINE E")</f>
        <v>3018 5TH LINE E</v>
      </c>
      <c r="C11329" s="3" t="str">
        <f>IFERROR(__xludf.DUMMYFUNCTION("""COMPUTED_VALUE"""),"CAMPBELLFORD")</f>
        <v>CAMPBELLFORD</v>
      </c>
      <c r="D11329" s="3" t="str">
        <f>IFERROR(__xludf.DUMMYFUNCTION("""COMPUTED_VALUE"""),"K0L 1L0")</f>
        <v>K0L 1L0</v>
      </c>
      <c r="E11329" s="3"/>
      <c r="F11329" s="3"/>
      <c r="G11329" s="3"/>
      <c r="H11329" s="3"/>
    </row>
    <row r="11330">
      <c r="A11330" s="2">
        <f>IFERROR(__xludf.DUMMYFUNCTION("""COMPUTED_VALUE"""),70287.0)</f>
        <v>70287</v>
      </c>
      <c r="B11330" s="3" t="str">
        <f>IFERROR(__xludf.DUMMYFUNCTION("""COMPUTED_VALUE"""),"3071 5TH LINE E")</f>
        <v>3071 5TH LINE E</v>
      </c>
      <c r="C11330" s="3" t="str">
        <f>IFERROR(__xludf.DUMMYFUNCTION("""COMPUTED_VALUE"""),"CAMPBELLFORD")</f>
        <v>CAMPBELLFORD</v>
      </c>
      <c r="D11330" s="3" t="str">
        <f>IFERROR(__xludf.DUMMYFUNCTION("""COMPUTED_VALUE"""),"K0L 1L0")</f>
        <v>K0L 1L0</v>
      </c>
      <c r="E11330" s="3"/>
      <c r="F11330" s="3"/>
      <c r="G11330" s="3"/>
      <c r="H11330" s="3"/>
    </row>
    <row r="11331">
      <c r="A11331" s="2">
        <f>IFERROR(__xludf.DUMMYFUNCTION("""COMPUTED_VALUE"""),70288.0)</f>
        <v>70288</v>
      </c>
      <c r="B11331" s="3" t="str">
        <f>IFERROR(__xludf.DUMMYFUNCTION("""COMPUTED_VALUE"""),"3075 5TH LINE E")</f>
        <v>3075 5TH LINE E</v>
      </c>
      <c r="C11331" s="3" t="str">
        <f>IFERROR(__xludf.DUMMYFUNCTION("""COMPUTED_VALUE"""),"CAMPBELLFORD")</f>
        <v>CAMPBELLFORD</v>
      </c>
      <c r="D11331" s="3" t="str">
        <f>IFERROR(__xludf.DUMMYFUNCTION("""COMPUTED_VALUE"""),"K0L 1L0")</f>
        <v>K0L 1L0</v>
      </c>
      <c r="E11331" s="3" t="str">
        <f>IFERROR(__xludf.DUMMYFUNCTION("""COMPUTED_VALUE"""),"Catherine Vosper")</f>
        <v>Catherine Vosper</v>
      </c>
      <c r="F11331" s="3" t="str">
        <f>IFERROR(__xludf.DUMMYFUNCTION("""COMPUTED_VALUE"""),"cvosper@live.ca")</f>
        <v>cvosper@live.ca</v>
      </c>
      <c r="G11331" s="3">
        <f>IFERROR(__xludf.DUMMYFUNCTION("""COMPUTED_VALUE"""),7.056321522E9)</f>
        <v>7056321522</v>
      </c>
      <c r="H11331" s="3">
        <f>IFERROR(__xludf.DUMMYFUNCTION("""COMPUTED_VALUE"""),4.169043307E9)</f>
        <v>4169043307</v>
      </c>
    </row>
    <row r="11332">
      <c r="A11332" s="2">
        <f>IFERROR(__xludf.DUMMYFUNCTION("""COMPUTED_VALUE"""),70289.0)</f>
        <v>70289</v>
      </c>
      <c r="B11332" s="3" t="str">
        <f>IFERROR(__xludf.DUMMYFUNCTION("""COMPUTED_VALUE"""),"3096 5TH LINE E")</f>
        <v>3096 5TH LINE E</v>
      </c>
      <c r="C11332" s="3" t="str">
        <f>IFERROR(__xludf.DUMMYFUNCTION("""COMPUTED_VALUE"""),"CAMPBELLFORD")</f>
        <v>CAMPBELLFORD</v>
      </c>
      <c r="D11332" s="3" t="str">
        <f>IFERROR(__xludf.DUMMYFUNCTION("""COMPUTED_VALUE"""),"K0L 1L0")</f>
        <v>K0L 1L0</v>
      </c>
      <c r="E11332" s="3"/>
      <c r="F11332" s="3"/>
      <c r="G11332" s="3"/>
      <c r="H11332" s="3"/>
    </row>
    <row r="11333">
      <c r="A11333" s="2">
        <f>IFERROR(__xludf.DUMMYFUNCTION("""COMPUTED_VALUE"""),70290.0)</f>
        <v>70290</v>
      </c>
      <c r="B11333" s="3" t="str">
        <f>IFERROR(__xludf.DUMMYFUNCTION("""COMPUTED_VALUE"""),"3101 5TH LINE E")</f>
        <v>3101 5TH LINE E</v>
      </c>
      <c r="C11333" s="3" t="str">
        <f>IFERROR(__xludf.DUMMYFUNCTION("""COMPUTED_VALUE"""),"CAMPBELLFORD")</f>
        <v>CAMPBELLFORD</v>
      </c>
      <c r="D11333" s="3" t="str">
        <f>IFERROR(__xludf.DUMMYFUNCTION("""COMPUTED_VALUE"""),"K0L 1L0")</f>
        <v>K0L 1L0</v>
      </c>
      <c r="E11333" s="3" t="str">
        <f>IFERROR(__xludf.DUMMYFUNCTION("""COMPUTED_VALUE"""),"Sylvia RUNDLE")</f>
        <v>Sylvia RUNDLE</v>
      </c>
      <c r="F11333" s="3" t="str">
        <f>IFERROR(__xludf.DUMMYFUNCTION("""COMPUTED_VALUE"""),"Do not have email address (VerbalConsent)")</f>
        <v>Do not have email address (VerbalConsent)</v>
      </c>
      <c r="G11333" s="3"/>
      <c r="H11333" s="3"/>
    </row>
    <row r="11334">
      <c r="A11334" s="2">
        <f>IFERROR(__xludf.DUMMYFUNCTION("""COMPUTED_VALUE"""),70291.0)</f>
        <v>70291</v>
      </c>
      <c r="B11334" s="3" t="str">
        <f>IFERROR(__xludf.DUMMYFUNCTION("""COMPUTED_VALUE"""),"3309 FIFTH LINE E")</f>
        <v>3309 FIFTH LINE E</v>
      </c>
      <c r="C11334" s="3" t="str">
        <f>IFERROR(__xludf.DUMMYFUNCTION("""COMPUTED_VALUE"""),"CAMPBELLFORD")</f>
        <v>CAMPBELLFORD</v>
      </c>
      <c r="D11334" s="3" t="str">
        <f>IFERROR(__xludf.DUMMYFUNCTION("""COMPUTED_VALUE"""),"K0L 1L0")</f>
        <v>K0L 1L0</v>
      </c>
      <c r="E11334" s="3"/>
      <c r="F11334" s="3"/>
      <c r="G11334" s="3"/>
      <c r="H11334" s="3"/>
    </row>
    <row r="11335">
      <c r="A11335" s="2">
        <f>IFERROR(__xludf.DUMMYFUNCTION("""COMPUTED_VALUE"""),70292.0)</f>
        <v>70292</v>
      </c>
      <c r="B11335" s="3" t="str">
        <f>IFERROR(__xludf.DUMMYFUNCTION("""COMPUTED_VALUE"""),"3511 5TH LINE E")</f>
        <v>3511 5TH LINE E</v>
      </c>
      <c r="C11335" s="3" t="str">
        <f>IFERROR(__xludf.DUMMYFUNCTION("""COMPUTED_VALUE"""),"CAMPBELLFORD")</f>
        <v>CAMPBELLFORD</v>
      </c>
      <c r="D11335" s="3" t="str">
        <f>IFERROR(__xludf.DUMMYFUNCTION("""COMPUTED_VALUE"""),"K0L 1L0")</f>
        <v>K0L 1L0</v>
      </c>
      <c r="E11335" s="3"/>
      <c r="F11335" s="3"/>
      <c r="G11335" s="3"/>
      <c r="H11335" s="3"/>
    </row>
    <row r="11336">
      <c r="A11336" s="2">
        <f>IFERROR(__xludf.DUMMYFUNCTION("""COMPUTED_VALUE"""),70293.0)</f>
        <v>70293</v>
      </c>
      <c r="B11336" s="3" t="str">
        <f>IFERROR(__xludf.DUMMYFUNCTION("""COMPUTED_VALUE"""),"3598 5TH LINE E")</f>
        <v>3598 5TH LINE E</v>
      </c>
      <c r="C11336" s="3" t="str">
        <f>IFERROR(__xludf.DUMMYFUNCTION("""COMPUTED_VALUE"""),"CAMPBELLFORD")</f>
        <v>CAMPBELLFORD</v>
      </c>
      <c r="D11336" s="3" t="str">
        <f>IFERROR(__xludf.DUMMYFUNCTION("""COMPUTED_VALUE"""),"K0L 1L0")</f>
        <v>K0L 1L0</v>
      </c>
      <c r="E11336" s="3"/>
      <c r="F11336" s="3"/>
      <c r="G11336" s="3"/>
      <c r="H11336" s="3"/>
    </row>
    <row r="11337">
      <c r="A11337" s="2">
        <f>IFERROR(__xludf.DUMMYFUNCTION("""COMPUTED_VALUE"""),70294.0)</f>
        <v>70294</v>
      </c>
      <c r="B11337" s="3" t="str">
        <f>IFERROR(__xludf.DUMMYFUNCTION("""COMPUTED_VALUE"""),"3607 5TH LINE E")</f>
        <v>3607 5TH LINE E</v>
      </c>
      <c r="C11337" s="3" t="str">
        <f>IFERROR(__xludf.DUMMYFUNCTION("""COMPUTED_VALUE"""),"CAMPBELLFORD")</f>
        <v>CAMPBELLFORD</v>
      </c>
      <c r="D11337" s="3" t="str">
        <f>IFERROR(__xludf.DUMMYFUNCTION("""COMPUTED_VALUE"""),"K0L 1L0")</f>
        <v>K0L 1L0</v>
      </c>
      <c r="E11337" s="3"/>
      <c r="F11337" s="3"/>
      <c r="G11337" s="3"/>
      <c r="H11337" s="3"/>
    </row>
    <row r="11338">
      <c r="A11338" s="2">
        <f>IFERROR(__xludf.DUMMYFUNCTION("""COMPUTED_VALUE"""),70295.0)</f>
        <v>70295</v>
      </c>
      <c r="B11338" s="3" t="str">
        <f>IFERROR(__xludf.DUMMYFUNCTION("""COMPUTED_VALUE"""),"3640 5TH LINE E")</f>
        <v>3640 5TH LINE E</v>
      </c>
      <c r="C11338" s="3" t="str">
        <f>IFERROR(__xludf.DUMMYFUNCTION("""COMPUTED_VALUE"""),"CAMPBELLFORD")</f>
        <v>CAMPBELLFORD</v>
      </c>
      <c r="D11338" s="3" t="str">
        <f>IFERROR(__xludf.DUMMYFUNCTION("""COMPUTED_VALUE"""),"K0L 1L0")</f>
        <v>K0L 1L0</v>
      </c>
      <c r="E11338" s="3" t="str">
        <f>IFERROR(__xludf.DUMMYFUNCTION("""COMPUTED_VALUE"""),"Heber Hearns")</f>
        <v>Heber Hearns</v>
      </c>
      <c r="F11338" s="3" t="str">
        <f>IFERROR(__xludf.DUMMYFUNCTION("""COMPUTED_VALUE"""),"Heberhearns@yahoo.ca")</f>
        <v>Heberhearns@yahoo.ca</v>
      </c>
      <c r="G11338" s="3">
        <f>IFERROR(__xludf.DUMMYFUNCTION("""COMPUTED_VALUE"""),7.05653601E9)</f>
        <v>7056536010</v>
      </c>
      <c r="H11338" s="3"/>
    </row>
    <row r="11339">
      <c r="A11339" s="2">
        <f>IFERROR(__xludf.DUMMYFUNCTION("""COMPUTED_VALUE"""),70296.0)</f>
        <v>70296</v>
      </c>
      <c r="B11339" s="3" t="str">
        <f>IFERROR(__xludf.DUMMYFUNCTION("""COMPUTED_VALUE"""),"3699 5TH LINE E")</f>
        <v>3699 5TH LINE E</v>
      </c>
      <c r="C11339" s="3" t="str">
        <f>IFERROR(__xludf.DUMMYFUNCTION("""COMPUTED_VALUE"""),"CAMPBELLFORD")</f>
        <v>CAMPBELLFORD</v>
      </c>
      <c r="D11339" s="3" t="str">
        <f>IFERROR(__xludf.DUMMYFUNCTION("""COMPUTED_VALUE"""),"K0L 1L0")</f>
        <v>K0L 1L0</v>
      </c>
      <c r="E11339" s="3" t="str">
        <f>IFERROR(__xludf.DUMMYFUNCTION("""COMPUTED_VALUE"""),"Robert David Hearns")</f>
        <v>Robert David Hearns</v>
      </c>
      <c r="F11339" s="3" t="str">
        <f>IFERROR(__xludf.DUMMYFUNCTION("""COMPUTED_VALUE"""),"hearnsy3@yahoo.ca")</f>
        <v>hearnsy3@yahoo.ca</v>
      </c>
      <c r="G11339" s="3">
        <f>IFERROR(__xludf.DUMMYFUNCTION("""COMPUTED_VALUE"""),7.05653483E9)</f>
        <v>7056534830</v>
      </c>
      <c r="H11339" s="3">
        <f>IFERROR(__xludf.DUMMYFUNCTION("""COMPUTED_VALUE"""),7.056329191E9)</f>
        <v>7056329191</v>
      </c>
    </row>
    <row r="11340">
      <c r="A11340" s="2">
        <f>IFERROR(__xludf.DUMMYFUNCTION("""COMPUTED_VALUE"""),70297.0)</f>
        <v>70297</v>
      </c>
      <c r="B11340" s="3" t="str">
        <f>IFERROR(__xludf.DUMMYFUNCTION("""COMPUTED_VALUE"""),"3711 5TH LINE E")</f>
        <v>3711 5TH LINE E</v>
      </c>
      <c r="C11340" s="3" t="str">
        <f>IFERROR(__xludf.DUMMYFUNCTION("""COMPUTED_VALUE"""),"CAMPBELLFORD")</f>
        <v>CAMPBELLFORD</v>
      </c>
      <c r="D11340" s="3" t="str">
        <f>IFERROR(__xludf.DUMMYFUNCTION("""COMPUTED_VALUE"""),"K0L 1L0")</f>
        <v>K0L 1L0</v>
      </c>
      <c r="E11340" s="3"/>
      <c r="F11340" s="3"/>
      <c r="G11340" s="3"/>
      <c r="H11340" s="3"/>
    </row>
    <row r="11341">
      <c r="A11341" s="2">
        <f>IFERROR(__xludf.DUMMYFUNCTION("""COMPUTED_VALUE"""),70298.0)</f>
        <v>70298</v>
      </c>
      <c r="B11341" s="3" t="str">
        <f>IFERROR(__xludf.DUMMYFUNCTION("""COMPUTED_VALUE"""),"3712 5TH LINE E")</f>
        <v>3712 5TH LINE E</v>
      </c>
      <c r="C11341" s="3" t="str">
        <f>IFERROR(__xludf.DUMMYFUNCTION("""COMPUTED_VALUE"""),"CAMPBELLFORD")</f>
        <v>CAMPBELLFORD</v>
      </c>
      <c r="D11341" s="3" t="str">
        <f>IFERROR(__xludf.DUMMYFUNCTION("""COMPUTED_VALUE"""),"K0L 1L0")</f>
        <v>K0L 1L0</v>
      </c>
      <c r="E11341" s="3"/>
      <c r="F11341" s="3"/>
      <c r="G11341" s="3"/>
      <c r="H11341" s="3"/>
    </row>
    <row r="11342">
      <c r="A11342" s="2">
        <f>IFERROR(__xludf.DUMMYFUNCTION("""COMPUTED_VALUE"""),70299.0)</f>
        <v>70299</v>
      </c>
      <c r="B11342" s="3" t="str">
        <f>IFERROR(__xludf.DUMMYFUNCTION("""COMPUTED_VALUE"""),"3725 5TH LINE E")</f>
        <v>3725 5TH LINE E</v>
      </c>
      <c r="C11342" s="3" t="str">
        <f>IFERROR(__xludf.DUMMYFUNCTION("""COMPUTED_VALUE"""),"CAMPBELLFORD")</f>
        <v>CAMPBELLFORD</v>
      </c>
      <c r="D11342" s="3" t="str">
        <f>IFERROR(__xludf.DUMMYFUNCTION("""COMPUTED_VALUE"""),"K0L 1L0")</f>
        <v>K0L 1L0</v>
      </c>
      <c r="E11342" s="3"/>
      <c r="F11342" s="3"/>
      <c r="G11342" s="3"/>
      <c r="H11342" s="3"/>
    </row>
    <row r="11343">
      <c r="A11343" s="2">
        <f>IFERROR(__xludf.DUMMYFUNCTION("""COMPUTED_VALUE"""),70300.0)</f>
        <v>70300</v>
      </c>
      <c r="B11343" s="3" t="str">
        <f>IFERROR(__xludf.DUMMYFUNCTION("""COMPUTED_VALUE"""),"3731 5TH LINE E")</f>
        <v>3731 5TH LINE E</v>
      </c>
      <c r="C11343" s="3" t="str">
        <f>IFERROR(__xludf.DUMMYFUNCTION("""COMPUTED_VALUE"""),"CAMPBELLFORD")</f>
        <v>CAMPBELLFORD</v>
      </c>
      <c r="D11343" s="3" t="str">
        <f>IFERROR(__xludf.DUMMYFUNCTION("""COMPUTED_VALUE"""),"K0L 1L0")</f>
        <v>K0L 1L0</v>
      </c>
      <c r="E11343" s="3"/>
      <c r="F11343" s="3"/>
      <c r="G11343" s="3"/>
      <c r="H11343" s="3"/>
    </row>
    <row r="11344">
      <c r="A11344" s="2">
        <f>IFERROR(__xludf.DUMMYFUNCTION("""COMPUTED_VALUE"""),70301.0)</f>
        <v>70301</v>
      </c>
      <c r="B11344" s="3" t="str">
        <f>IFERROR(__xludf.DUMMYFUNCTION("""COMPUTED_VALUE"""),"3736 5TH LINE E")</f>
        <v>3736 5TH LINE E</v>
      </c>
      <c r="C11344" s="3" t="str">
        <f>IFERROR(__xludf.DUMMYFUNCTION("""COMPUTED_VALUE"""),"CAMPBELLFORD")</f>
        <v>CAMPBELLFORD</v>
      </c>
      <c r="D11344" s="3" t="str">
        <f>IFERROR(__xludf.DUMMYFUNCTION("""COMPUTED_VALUE"""),"K0L 1L0")</f>
        <v>K0L 1L0</v>
      </c>
      <c r="E11344" s="3"/>
      <c r="F11344" s="3"/>
      <c r="G11344" s="3"/>
      <c r="H11344" s="3"/>
    </row>
    <row r="11345">
      <c r="A11345" s="2">
        <f>IFERROR(__xludf.DUMMYFUNCTION("""COMPUTED_VALUE"""),70302.0)</f>
        <v>70302</v>
      </c>
      <c r="B11345" s="3" t="str">
        <f>IFERROR(__xludf.DUMMYFUNCTION("""COMPUTED_VALUE"""),"3740 5TH LINE E")</f>
        <v>3740 5TH LINE E</v>
      </c>
      <c r="C11345" s="3" t="str">
        <f>IFERROR(__xludf.DUMMYFUNCTION("""COMPUTED_VALUE"""),"CAMPBELLFORD")</f>
        <v>CAMPBELLFORD</v>
      </c>
      <c r="D11345" s="3" t="str">
        <f>IFERROR(__xludf.DUMMYFUNCTION("""COMPUTED_VALUE"""),"K0L 1L0")</f>
        <v>K0L 1L0</v>
      </c>
      <c r="E11345" s="3"/>
      <c r="F11345" s="3"/>
      <c r="G11345" s="3"/>
      <c r="H11345" s="3"/>
    </row>
    <row r="11346">
      <c r="A11346" s="2">
        <f>IFERROR(__xludf.DUMMYFUNCTION("""COMPUTED_VALUE"""),70303.0)</f>
        <v>70303</v>
      </c>
      <c r="B11346" s="3" t="str">
        <f>IFERROR(__xludf.DUMMYFUNCTION("""COMPUTED_VALUE"""),"3761 5TH LINE E")</f>
        <v>3761 5TH LINE E</v>
      </c>
      <c r="C11346" s="3" t="str">
        <f>IFERROR(__xludf.DUMMYFUNCTION("""COMPUTED_VALUE"""),"CAMPBELLFORD")</f>
        <v>CAMPBELLFORD</v>
      </c>
      <c r="D11346" s="3" t="str">
        <f>IFERROR(__xludf.DUMMYFUNCTION("""COMPUTED_VALUE"""),"K0L 1L0")</f>
        <v>K0L 1L0</v>
      </c>
      <c r="E11346" s="3"/>
      <c r="F11346" s="3"/>
      <c r="G11346" s="3"/>
      <c r="H11346" s="3"/>
    </row>
    <row r="11347">
      <c r="A11347" s="2">
        <f>IFERROR(__xludf.DUMMYFUNCTION("""COMPUTED_VALUE"""),70304.0)</f>
        <v>70304</v>
      </c>
      <c r="B11347" s="3" t="str">
        <f>IFERROR(__xludf.DUMMYFUNCTION("""COMPUTED_VALUE"""),"3770 5TH LINE E")</f>
        <v>3770 5TH LINE E</v>
      </c>
      <c r="C11347" s="3" t="str">
        <f>IFERROR(__xludf.DUMMYFUNCTION("""COMPUTED_VALUE"""),"CAMPBELLFORD")</f>
        <v>CAMPBELLFORD</v>
      </c>
      <c r="D11347" s="3" t="str">
        <f>IFERROR(__xludf.DUMMYFUNCTION("""COMPUTED_VALUE"""),"K0L 1L0")</f>
        <v>K0L 1L0</v>
      </c>
      <c r="E11347" s="3"/>
      <c r="F11347" s="3"/>
      <c r="G11347" s="3"/>
      <c r="H11347" s="3"/>
    </row>
    <row r="11348">
      <c r="A11348" s="2">
        <f>IFERROR(__xludf.DUMMYFUNCTION("""COMPUTED_VALUE"""),70305.0)</f>
        <v>70305</v>
      </c>
      <c r="B11348" s="3" t="str">
        <f>IFERROR(__xludf.DUMMYFUNCTION("""COMPUTED_VALUE"""),"3777 5TH LINE E")</f>
        <v>3777 5TH LINE E</v>
      </c>
      <c r="C11348" s="3" t="str">
        <f>IFERROR(__xludf.DUMMYFUNCTION("""COMPUTED_VALUE"""),"CAMPBELLFORD")</f>
        <v>CAMPBELLFORD</v>
      </c>
      <c r="D11348" s="3" t="str">
        <f>IFERROR(__xludf.DUMMYFUNCTION("""COMPUTED_VALUE"""),"K0L 1L0")</f>
        <v>K0L 1L0</v>
      </c>
      <c r="E11348" s="3"/>
      <c r="F11348" s="3"/>
      <c r="G11348" s="3"/>
      <c r="H11348" s="3"/>
    </row>
    <row r="11349">
      <c r="A11349" s="2">
        <f>IFERROR(__xludf.DUMMYFUNCTION("""COMPUTED_VALUE"""),70306.0)</f>
        <v>70306</v>
      </c>
      <c r="B11349" s="3" t="str">
        <f>IFERROR(__xludf.DUMMYFUNCTION("""COMPUTED_VALUE"""),"3790 5TH LINE E")</f>
        <v>3790 5TH LINE E</v>
      </c>
      <c r="C11349" s="3" t="str">
        <f>IFERROR(__xludf.DUMMYFUNCTION("""COMPUTED_VALUE"""),"CAMPBELLFORD")</f>
        <v>CAMPBELLFORD</v>
      </c>
      <c r="D11349" s="3" t="str">
        <f>IFERROR(__xludf.DUMMYFUNCTION("""COMPUTED_VALUE"""),"K0L 1L0")</f>
        <v>K0L 1L0</v>
      </c>
      <c r="E11349" s="3"/>
      <c r="F11349" s="3"/>
      <c r="G11349" s="3"/>
      <c r="H11349" s="3"/>
    </row>
    <row r="11350">
      <c r="A11350" s="2">
        <f>IFERROR(__xludf.DUMMYFUNCTION("""COMPUTED_VALUE"""),70307.0)</f>
        <v>70307</v>
      </c>
      <c r="B11350" s="3" t="str">
        <f>IFERROR(__xludf.DUMMYFUNCTION("""COMPUTED_VALUE"""),"3960 5TH LINE E")</f>
        <v>3960 5TH LINE E</v>
      </c>
      <c r="C11350" s="3" t="str">
        <f>IFERROR(__xludf.DUMMYFUNCTION("""COMPUTED_VALUE"""),"CAMPBELLFORD")</f>
        <v>CAMPBELLFORD</v>
      </c>
      <c r="D11350" s="3" t="str">
        <f>IFERROR(__xludf.DUMMYFUNCTION("""COMPUTED_VALUE"""),"K0L 1L0")</f>
        <v>K0L 1L0</v>
      </c>
      <c r="E11350" s="3" t="str">
        <f>IFERROR(__xludf.DUMMYFUNCTION("""COMPUTED_VALUE"""),"Ed and Patsy Burleigh")</f>
        <v>Ed and Patsy Burleigh</v>
      </c>
      <c r="F11350" s="3" t="str">
        <f>IFERROR(__xludf.DUMMYFUNCTION("""COMPUTED_VALUE"""),"burleighed@gmail.com")</f>
        <v>burleighed@gmail.com</v>
      </c>
      <c r="G11350" s="3">
        <f>IFERROR(__xludf.DUMMYFUNCTION("""COMPUTED_VALUE"""),7.056534595E9)</f>
        <v>7056534595</v>
      </c>
      <c r="H11350" s="3"/>
    </row>
    <row r="11351">
      <c r="A11351" s="2">
        <f>IFERROR(__xludf.DUMMYFUNCTION("""COMPUTED_VALUE"""),70308.0)</f>
        <v>70308</v>
      </c>
      <c r="B11351" s="3" t="str">
        <f>IFERROR(__xludf.DUMMYFUNCTION("""COMPUTED_VALUE"""),"4015 5TH LINE E")</f>
        <v>4015 5TH LINE E</v>
      </c>
      <c r="C11351" s="3" t="str">
        <f>IFERROR(__xludf.DUMMYFUNCTION("""COMPUTED_VALUE"""),"CAMPBELLFORD")</f>
        <v>CAMPBELLFORD</v>
      </c>
      <c r="D11351" s="3" t="str">
        <f>IFERROR(__xludf.DUMMYFUNCTION("""COMPUTED_VALUE"""),"K0L 1L0")</f>
        <v>K0L 1L0</v>
      </c>
      <c r="E11351" s="3"/>
      <c r="F11351" s="3"/>
      <c r="G11351" s="3"/>
      <c r="H11351" s="3"/>
    </row>
    <row r="11352">
      <c r="A11352" s="2">
        <f>IFERROR(__xludf.DUMMYFUNCTION("""COMPUTED_VALUE"""),70309.0)</f>
        <v>70309</v>
      </c>
      <c r="B11352" s="3" t="str">
        <f>IFERROR(__xludf.DUMMYFUNCTION("""COMPUTED_VALUE"""),"4030 5TH LINE E")</f>
        <v>4030 5TH LINE E</v>
      </c>
      <c r="C11352" s="3" t="str">
        <f>IFERROR(__xludf.DUMMYFUNCTION("""COMPUTED_VALUE"""),"CAMPBELLFORD")</f>
        <v>CAMPBELLFORD</v>
      </c>
      <c r="D11352" s="3" t="str">
        <f>IFERROR(__xludf.DUMMYFUNCTION("""COMPUTED_VALUE"""),"K0L 1L0")</f>
        <v>K0L 1L0</v>
      </c>
      <c r="E11352" s="3"/>
      <c r="F11352" s="3"/>
      <c r="G11352" s="3"/>
      <c r="H11352" s="3"/>
    </row>
    <row r="11353">
      <c r="A11353" s="2">
        <f>IFERROR(__xludf.DUMMYFUNCTION("""COMPUTED_VALUE"""),70310.0)</f>
        <v>70310</v>
      </c>
      <c r="B11353" s="3" t="str">
        <f>IFERROR(__xludf.DUMMYFUNCTION("""COMPUTED_VALUE"""),"4069 5TH LINE E")</f>
        <v>4069 5TH LINE E</v>
      </c>
      <c r="C11353" s="3" t="str">
        <f>IFERROR(__xludf.DUMMYFUNCTION("""COMPUTED_VALUE"""),"CAMPBELLFORD")</f>
        <v>CAMPBELLFORD</v>
      </c>
      <c r="D11353" s="3" t="str">
        <f>IFERROR(__xludf.DUMMYFUNCTION("""COMPUTED_VALUE"""),"K0L 1L0")</f>
        <v>K0L 1L0</v>
      </c>
      <c r="E11353" s="3"/>
      <c r="F11353" s="3"/>
      <c r="G11353" s="3"/>
      <c r="H11353" s="3"/>
    </row>
    <row r="11354">
      <c r="A11354" s="2">
        <f>IFERROR(__xludf.DUMMYFUNCTION("""COMPUTED_VALUE"""),70311.0)</f>
        <v>70311</v>
      </c>
      <c r="B11354" s="3" t="str">
        <f>IFERROR(__xludf.DUMMYFUNCTION("""COMPUTED_VALUE"""),"4080 5TH LINE E")</f>
        <v>4080 5TH LINE E</v>
      </c>
      <c r="C11354" s="3" t="str">
        <f>IFERROR(__xludf.DUMMYFUNCTION("""COMPUTED_VALUE"""),"CAMPBELLFORD")</f>
        <v>CAMPBELLFORD</v>
      </c>
      <c r="D11354" s="3" t="str">
        <f>IFERROR(__xludf.DUMMYFUNCTION("""COMPUTED_VALUE"""),"K0L 1L0")</f>
        <v>K0L 1L0</v>
      </c>
      <c r="E11354" s="3"/>
      <c r="F11354" s="3"/>
      <c r="G11354" s="3"/>
      <c r="H11354" s="3"/>
    </row>
    <row r="11355">
      <c r="A11355" s="2">
        <f>IFERROR(__xludf.DUMMYFUNCTION("""COMPUTED_VALUE"""),70312.0)</f>
        <v>70312</v>
      </c>
      <c r="B11355" s="3" t="str">
        <f>IFERROR(__xludf.DUMMYFUNCTION("""COMPUTED_VALUE"""),"4173 5TH LINE E")</f>
        <v>4173 5TH LINE E</v>
      </c>
      <c r="C11355" s="3" t="str">
        <f>IFERROR(__xludf.DUMMYFUNCTION("""COMPUTED_VALUE"""),"CAMPBELLFORD")</f>
        <v>CAMPBELLFORD</v>
      </c>
      <c r="D11355" s="3" t="str">
        <f>IFERROR(__xludf.DUMMYFUNCTION("""COMPUTED_VALUE"""),"K0L 1L0")</f>
        <v>K0L 1L0</v>
      </c>
      <c r="E11355" s="3" t="str">
        <f>IFERROR(__xludf.DUMMYFUNCTION("""COMPUTED_VALUE"""),"Sarah Frith")</f>
        <v>Sarah Frith</v>
      </c>
      <c r="F11355" s="3" t="str">
        <f>IFERROR(__xludf.DUMMYFUNCTION("""COMPUTED_VALUE"""),"frithsarah@hotmail.com")</f>
        <v>frithsarah@hotmail.com</v>
      </c>
      <c r="G11355" s="3">
        <f>IFERROR(__xludf.DUMMYFUNCTION("""COMPUTED_VALUE"""),7.052204345E9)</f>
        <v>7052204345</v>
      </c>
      <c r="H11355" s="3"/>
    </row>
    <row r="11356">
      <c r="A11356" s="2">
        <f>IFERROR(__xludf.DUMMYFUNCTION("""COMPUTED_VALUE"""),70313.0)</f>
        <v>70313</v>
      </c>
      <c r="B11356" s="3" t="str">
        <f>IFERROR(__xludf.DUMMYFUNCTION("""COMPUTED_VALUE"""),"4174 5TH LINE E")</f>
        <v>4174 5TH LINE E</v>
      </c>
      <c r="C11356" s="3" t="str">
        <f>IFERROR(__xludf.DUMMYFUNCTION("""COMPUTED_VALUE"""),"CAMPBELLFORD")</f>
        <v>CAMPBELLFORD</v>
      </c>
      <c r="D11356" s="3" t="str">
        <f>IFERROR(__xludf.DUMMYFUNCTION("""COMPUTED_VALUE"""),"K0L 1L0")</f>
        <v>K0L 1L0</v>
      </c>
      <c r="E11356" s="3" t="str">
        <f>IFERROR(__xludf.DUMMYFUNCTION("""COMPUTED_VALUE"""),"Suzanne DeGeer")</f>
        <v>Suzanne DeGeer</v>
      </c>
      <c r="F11356" s="3" t="str">
        <f>IFERROR(__xludf.DUMMYFUNCTION("""COMPUTED_VALUE"""),"suzanne.degeer@gmail.com")</f>
        <v>suzanne.degeer@gmail.com</v>
      </c>
      <c r="G11356" s="3">
        <f>IFERROR(__xludf.DUMMYFUNCTION("""COMPUTED_VALUE"""),7.056326071E9)</f>
        <v>7056326071</v>
      </c>
      <c r="H11356" s="3">
        <f>IFERROR(__xludf.DUMMYFUNCTION("""COMPUTED_VALUE"""),2.892512908E9)</f>
        <v>2892512908</v>
      </c>
    </row>
    <row r="11357">
      <c r="A11357" s="2">
        <f>IFERROR(__xludf.DUMMYFUNCTION("""COMPUTED_VALUE"""),70314.0)</f>
        <v>70314</v>
      </c>
      <c r="B11357" s="3" t="str">
        <f>IFERROR(__xludf.DUMMYFUNCTION("""COMPUTED_VALUE"""),"3395A 5TH LINE E")</f>
        <v>3395A 5TH LINE E</v>
      </c>
      <c r="C11357" s="3" t="str">
        <f>IFERROR(__xludf.DUMMYFUNCTION("""COMPUTED_VALUE"""),"CAMPBELLFORD")</f>
        <v>CAMPBELLFORD</v>
      </c>
      <c r="D11357" s="3" t="str">
        <f>IFERROR(__xludf.DUMMYFUNCTION("""COMPUTED_VALUE"""),"K0L 1L0")</f>
        <v>K0L 1L0</v>
      </c>
      <c r="E11357" s="3"/>
      <c r="F11357" s="3"/>
      <c r="G11357" s="3"/>
      <c r="H11357" s="3"/>
    </row>
    <row r="11358">
      <c r="A11358" s="2">
        <f>IFERROR(__xludf.DUMMYFUNCTION("""COMPUTED_VALUE"""),70315.0)</f>
        <v>70315</v>
      </c>
      <c r="B11358" s="3" t="str">
        <f>IFERROR(__xludf.DUMMYFUNCTION("""COMPUTED_VALUE"""),"3395B 5TH LINE E")</f>
        <v>3395B 5TH LINE E</v>
      </c>
      <c r="C11358" s="3" t="str">
        <f>IFERROR(__xludf.DUMMYFUNCTION("""COMPUTED_VALUE"""),"CAMPBELLFORD")</f>
        <v>CAMPBELLFORD</v>
      </c>
      <c r="D11358" s="3" t="str">
        <f>IFERROR(__xludf.DUMMYFUNCTION("""COMPUTED_VALUE"""),"K0L 1L0")</f>
        <v>K0L 1L0</v>
      </c>
      <c r="E11358" s="3"/>
      <c r="F11358" s="3"/>
      <c r="G11358" s="3"/>
      <c r="H11358" s="3"/>
    </row>
    <row r="11359">
      <c r="A11359" s="2">
        <f>IFERROR(__xludf.DUMMYFUNCTION("""COMPUTED_VALUE"""),70316.0)</f>
        <v>70316</v>
      </c>
      <c r="B11359" s="3" t="str">
        <f>IFERROR(__xludf.DUMMYFUNCTION("""COMPUTED_VALUE"""),"1625 6TH LINE E")</f>
        <v>1625 6TH LINE E</v>
      </c>
      <c r="C11359" s="3" t="str">
        <f>IFERROR(__xludf.DUMMYFUNCTION("""COMPUTED_VALUE"""),"CAMPBELLFORD")</f>
        <v>CAMPBELLFORD</v>
      </c>
      <c r="D11359" s="3" t="str">
        <f>IFERROR(__xludf.DUMMYFUNCTION("""COMPUTED_VALUE"""),"K0L 1L0")</f>
        <v>K0L 1L0</v>
      </c>
      <c r="E11359" s="3"/>
      <c r="F11359" s="3"/>
      <c r="G11359" s="3"/>
      <c r="H11359" s="3"/>
    </row>
    <row r="11360">
      <c r="A11360" s="2">
        <f>IFERROR(__xludf.DUMMYFUNCTION("""COMPUTED_VALUE"""),70317.0)</f>
        <v>70317</v>
      </c>
      <c r="B11360" s="3" t="str">
        <f>IFERROR(__xludf.DUMMYFUNCTION("""COMPUTED_VALUE"""),"2433 6TH LINE")</f>
        <v>2433 6TH LINE</v>
      </c>
      <c r="C11360" s="3" t="str">
        <f>IFERROR(__xludf.DUMMYFUNCTION("""COMPUTED_VALUE"""),"CAMPBELLFORD")</f>
        <v>CAMPBELLFORD</v>
      </c>
      <c r="D11360" s="3" t="str">
        <f>IFERROR(__xludf.DUMMYFUNCTION("""COMPUTED_VALUE"""),"K0L 1L0")</f>
        <v>K0L 1L0</v>
      </c>
      <c r="E11360" s="3"/>
      <c r="F11360" s="3"/>
      <c r="G11360" s="3"/>
      <c r="H11360" s="3"/>
    </row>
    <row r="11361">
      <c r="A11361" s="2">
        <f>IFERROR(__xludf.DUMMYFUNCTION("""COMPUTED_VALUE"""),70318.0)</f>
        <v>70318</v>
      </c>
      <c r="B11361" s="3" t="str">
        <f>IFERROR(__xludf.DUMMYFUNCTION("""COMPUTED_VALUE"""),"2768 SIXTH LINE E")</f>
        <v>2768 SIXTH LINE E</v>
      </c>
      <c r="C11361" s="3" t="str">
        <f>IFERROR(__xludf.DUMMYFUNCTION("""COMPUTED_VALUE"""),"CAMPBELLFORD")</f>
        <v>CAMPBELLFORD</v>
      </c>
      <c r="D11361" s="3" t="str">
        <f>IFERROR(__xludf.DUMMYFUNCTION("""COMPUTED_VALUE"""),"K0L 1L0")</f>
        <v>K0L 1L0</v>
      </c>
      <c r="E11361" s="3"/>
      <c r="F11361" s="3"/>
      <c r="G11361" s="3"/>
      <c r="H11361" s="3"/>
    </row>
    <row r="11362">
      <c r="A11362" s="2">
        <f>IFERROR(__xludf.DUMMYFUNCTION("""COMPUTED_VALUE"""),70324.0)</f>
        <v>70324</v>
      </c>
      <c r="B11362" s="3" t="str">
        <f>IFERROR(__xludf.DUMMYFUNCTION("""COMPUTED_VALUE"""),"1529 7TH LINE E")</f>
        <v>1529 7TH LINE E</v>
      </c>
      <c r="C11362" s="3" t="str">
        <f>IFERROR(__xludf.DUMMYFUNCTION("""COMPUTED_VALUE"""),"CAMPBELLFORD")</f>
        <v>CAMPBELLFORD</v>
      </c>
      <c r="D11362" s="3" t="str">
        <f>IFERROR(__xludf.DUMMYFUNCTION("""COMPUTED_VALUE"""),"K0L 1L0")</f>
        <v>K0L 1L0</v>
      </c>
      <c r="E11362" s="3"/>
      <c r="F11362" s="3"/>
      <c r="G11362" s="3"/>
      <c r="H11362" s="3"/>
    </row>
    <row r="11363">
      <c r="A11363" s="2">
        <f>IFERROR(__xludf.DUMMYFUNCTION("""COMPUTED_VALUE"""),70326.0)</f>
        <v>70326</v>
      </c>
      <c r="B11363" s="3" t="str">
        <f>IFERROR(__xludf.DUMMYFUNCTION("""COMPUTED_VALUE"""),"1538 7TH LINE E")</f>
        <v>1538 7TH LINE E</v>
      </c>
      <c r="C11363" s="3" t="str">
        <f>IFERROR(__xludf.DUMMYFUNCTION("""COMPUTED_VALUE"""),"CAMPBELLFORD")</f>
        <v>CAMPBELLFORD</v>
      </c>
      <c r="D11363" s="3" t="str">
        <f>IFERROR(__xludf.DUMMYFUNCTION("""COMPUTED_VALUE"""),"K0L 1L0")</f>
        <v>K0L 1L0</v>
      </c>
      <c r="E11363" s="3"/>
      <c r="F11363" s="3"/>
      <c r="G11363" s="3"/>
      <c r="H11363" s="3"/>
    </row>
    <row r="11364">
      <c r="A11364" s="2">
        <f>IFERROR(__xludf.DUMMYFUNCTION("""COMPUTED_VALUE"""),70327.0)</f>
        <v>70327</v>
      </c>
      <c r="B11364" s="3" t="str">
        <f>IFERROR(__xludf.DUMMYFUNCTION("""COMPUTED_VALUE"""),"1544 7TH LINE E")</f>
        <v>1544 7TH LINE E</v>
      </c>
      <c r="C11364" s="3" t="str">
        <f>IFERROR(__xludf.DUMMYFUNCTION("""COMPUTED_VALUE"""),"CAMPBELLFORD")</f>
        <v>CAMPBELLFORD</v>
      </c>
      <c r="D11364" s="3" t="str">
        <f>IFERROR(__xludf.DUMMYFUNCTION("""COMPUTED_VALUE"""),"K0L 1L0")</f>
        <v>K0L 1L0</v>
      </c>
      <c r="E11364" s="3"/>
      <c r="F11364" s="3"/>
      <c r="G11364" s="3"/>
      <c r="H11364" s="3"/>
    </row>
    <row r="11365">
      <c r="A11365" s="2">
        <f>IFERROR(__xludf.DUMMYFUNCTION("""COMPUTED_VALUE"""),70328.0)</f>
        <v>70328</v>
      </c>
      <c r="B11365" s="3" t="str">
        <f>IFERROR(__xludf.DUMMYFUNCTION("""COMPUTED_VALUE"""),"1601 7TH LINE E")</f>
        <v>1601 7TH LINE E</v>
      </c>
      <c r="C11365" s="3" t="str">
        <f>IFERROR(__xludf.DUMMYFUNCTION("""COMPUTED_VALUE"""),"CAMPBELLFORD")</f>
        <v>CAMPBELLFORD</v>
      </c>
      <c r="D11365" s="3" t="str">
        <f>IFERROR(__xludf.DUMMYFUNCTION("""COMPUTED_VALUE"""),"K0L 1L0")</f>
        <v>K0L 1L0</v>
      </c>
      <c r="E11365" s="3"/>
      <c r="F11365" s="3"/>
      <c r="G11365" s="3"/>
      <c r="H11365" s="3"/>
    </row>
    <row r="11366">
      <c r="A11366" s="2">
        <f>IFERROR(__xludf.DUMMYFUNCTION("""COMPUTED_VALUE"""),70329.0)</f>
        <v>70329</v>
      </c>
      <c r="B11366" s="3" t="str">
        <f>IFERROR(__xludf.DUMMYFUNCTION("""COMPUTED_VALUE"""),"1616 7TH LINE E")</f>
        <v>1616 7TH LINE E</v>
      </c>
      <c r="C11366" s="3" t="str">
        <f>IFERROR(__xludf.DUMMYFUNCTION("""COMPUTED_VALUE"""),"CAMPBELLFORD")</f>
        <v>CAMPBELLFORD</v>
      </c>
      <c r="D11366" s="3" t="str">
        <f>IFERROR(__xludf.DUMMYFUNCTION("""COMPUTED_VALUE"""),"K0L 1L0")</f>
        <v>K0L 1L0</v>
      </c>
      <c r="E11366" s="3"/>
      <c r="F11366" s="3"/>
      <c r="G11366" s="3"/>
      <c r="H11366" s="3"/>
    </row>
    <row r="11367">
      <c r="A11367" s="2">
        <f>IFERROR(__xludf.DUMMYFUNCTION("""COMPUTED_VALUE"""),70330.0)</f>
        <v>70330</v>
      </c>
      <c r="B11367" s="3" t="str">
        <f>IFERROR(__xludf.DUMMYFUNCTION("""COMPUTED_VALUE"""),"1695 7TH LINE E")</f>
        <v>1695 7TH LINE E</v>
      </c>
      <c r="C11367" s="3" t="str">
        <f>IFERROR(__xludf.DUMMYFUNCTION("""COMPUTED_VALUE"""),"CAMPBELLFORD")</f>
        <v>CAMPBELLFORD</v>
      </c>
      <c r="D11367" s="3" t="str">
        <f>IFERROR(__xludf.DUMMYFUNCTION("""COMPUTED_VALUE"""),"K0L 1L0")</f>
        <v>K0L 1L0</v>
      </c>
      <c r="E11367" s="3"/>
      <c r="F11367" s="3"/>
      <c r="G11367" s="3"/>
      <c r="H11367" s="3"/>
    </row>
    <row r="11368">
      <c r="A11368" s="2">
        <f>IFERROR(__xludf.DUMMYFUNCTION("""COMPUTED_VALUE"""),70331.0)</f>
        <v>70331</v>
      </c>
      <c r="B11368" s="3" t="str">
        <f>IFERROR(__xludf.DUMMYFUNCTION("""COMPUTED_VALUE"""),"1733 7TH LINE E")</f>
        <v>1733 7TH LINE E</v>
      </c>
      <c r="C11368" s="3" t="str">
        <f>IFERROR(__xludf.DUMMYFUNCTION("""COMPUTED_VALUE"""),"CAMPBELLFORD")</f>
        <v>CAMPBELLFORD</v>
      </c>
      <c r="D11368" s="3" t="str">
        <f>IFERROR(__xludf.DUMMYFUNCTION("""COMPUTED_VALUE"""),"K0L 1L0")</f>
        <v>K0L 1L0</v>
      </c>
      <c r="E11368" s="3"/>
      <c r="F11368" s="3"/>
      <c r="G11368" s="3"/>
      <c r="H11368" s="3"/>
    </row>
    <row r="11369">
      <c r="A11369" s="2">
        <f>IFERROR(__xludf.DUMMYFUNCTION("""COMPUTED_VALUE"""),70332.0)</f>
        <v>70332</v>
      </c>
      <c r="B11369" s="3" t="str">
        <f>IFERROR(__xludf.DUMMYFUNCTION("""COMPUTED_VALUE"""),"1793 7TH LINE E")</f>
        <v>1793 7TH LINE E</v>
      </c>
      <c r="C11369" s="3" t="str">
        <f>IFERROR(__xludf.DUMMYFUNCTION("""COMPUTED_VALUE"""),"CAMPBELLFORD")</f>
        <v>CAMPBELLFORD</v>
      </c>
      <c r="D11369" s="3" t="str">
        <f>IFERROR(__xludf.DUMMYFUNCTION("""COMPUTED_VALUE"""),"K0L 1L0")</f>
        <v>K0L 1L0</v>
      </c>
      <c r="E11369" s="3"/>
      <c r="F11369" s="3"/>
      <c r="G11369" s="3"/>
      <c r="H11369" s="3"/>
    </row>
    <row r="11370">
      <c r="A11370" s="2">
        <f>IFERROR(__xludf.DUMMYFUNCTION("""COMPUTED_VALUE"""),70333.0)</f>
        <v>70333</v>
      </c>
      <c r="B11370" s="3" t="str">
        <f>IFERROR(__xludf.DUMMYFUNCTION("""COMPUTED_VALUE"""),"1947 7TH LINE E")</f>
        <v>1947 7TH LINE E</v>
      </c>
      <c r="C11370" s="3" t="str">
        <f>IFERROR(__xludf.DUMMYFUNCTION("""COMPUTED_VALUE"""),"CAMPBELLFORD")</f>
        <v>CAMPBELLFORD</v>
      </c>
      <c r="D11370" s="3" t="str">
        <f>IFERROR(__xludf.DUMMYFUNCTION("""COMPUTED_VALUE"""),"K0L 1L0")</f>
        <v>K0L 1L0</v>
      </c>
      <c r="E11370" s="3" t="str">
        <f>IFERROR(__xludf.DUMMYFUNCTION("""COMPUTED_VALUE"""),"Mark BISSELL")</f>
        <v>Mark BISSELL</v>
      </c>
      <c r="F11370" s="3" t="str">
        <f>IFERROR(__xludf.DUMMYFUNCTION("""COMPUTED_VALUE"""),"markment1959@gmail.com")</f>
        <v>markment1959@gmail.com</v>
      </c>
      <c r="G11370" s="3"/>
      <c r="H11370" s="3"/>
    </row>
    <row r="11371">
      <c r="A11371" s="2">
        <f>IFERROR(__xludf.DUMMYFUNCTION("""COMPUTED_VALUE"""),70335.0)</f>
        <v>70335</v>
      </c>
      <c r="B11371" s="3" t="str">
        <f>IFERROR(__xludf.DUMMYFUNCTION("""COMPUTED_VALUE"""),"1986 7TH LINE E")</f>
        <v>1986 7TH LINE E</v>
      </c>
      <c r="C11371" s="3" t="str">
        <f>IFERROR(__xludf.DUMMYFUNCTION("""COMPUTED_VALUE"""),"CAMPBELLFORD")</f>
        <v>CAMPBELLFORD</v>
      </c>
      <c r="D11371" s="3" t="str">
        <f>IFERROR(__xludf.DUMMYFUNCTION("""COMPUTED_VALUE"""),"K0L 1L0")</f>
        <v>K0L 1L0</v>
      </c>
      <c r="E11371" s="3"/>
      <c r="F11371" s="3"/>
      <c r="G11371" s="3"/>
      <c r="H11371" s="3"/>
    </row>
    <row r="11372">
      <c r="A11372" s="2">
        <f>IFERROR(__xludf.DUMMYFUNCTION("""COMPUTED_VALUE"""),70336.0)</f>
        <v>70336</v>
      </c>
      <c r="B11372" s="3" t="str">
        <f>IFERROR(__xludf.DUMMYFUNCTION("""COMPUTED_VALUE"""),"2061 7TH LINE E")</f>
        <v>2061 7TH LINE E</v>
      </c>
      <c r="C11372" s="3" t="str">
        <f>IFERROR(__xludf.DUMMYFUNCTION("""COMPUTED_VALUE"""),"CAMPBELLFORD")</f>
        <v>CAMPBELLFORD</v>
      </c>
      <c r="D11372" s="3" t="str">
        <f>IFERROR(__xludf.DUMMYFUNCTION("""COMPUTED_VALUE"""),"K0L 1L0")</f>
        <v>K0L 1L0</v>
      </c>
      <c r="E11372" s="3"/>
      <c r="F11372" s="3"/>
      <c r="G11372" s="3"/>
      <c r="H11372" s="3"/>
    </row>
    <row r="11373">
      <c r="A11373" s="2">
        <f>IFERROR(__xludf.DUMMYFUNCTION("""COMPUTED_VALUE"""),70337.0)</f>
        <v>70337</v>
      </c>
      <c r="B11373" s="3" t="str">
        <f>IFERROR(__xludf.DUMMYFUNCTION("""COMPUTED_VALUE"""),"2066 7TH LINE E")</f>
        <v>2066 7TH LINE E</v>
      </c>
      <c r="C11373" s="3" t="str">
        <f>IFERROR(__xludf.DUMMYFUNCTION("""COMPUTED_VALUE"""),"CAMPBELLFORD")</f>
        <v>CAMPBELLFORD</v>
      </c>
      <c r="D11373" s="3" t="str">
        <f>IFERROR(__xludf.DUMMYFUNCTION("""COMPUTED_VALUE"""),"K0L 1L0")</f>
        <v>K0L 1L0</v>
      </c>
      <c r="E11373" s="3"/>
      <c r="F11373" s="3"/>
      <c r="G11373" s="3"/>
      <c r="H11373" s="3"/>
    </row>
    <row r="11374">
      <c r="A11374" s="2">
        <f>IFERROR(__xludf.DUMMYFUNCTION("""COMPUTED_VALUE"""),70338.0)</f>
        <v>70338</v>
      </c>
      <c r="B11374" s="3" t="str">
        <f>IFERROR(__xludf.DUMMYFUNCTION("""COMPUTED_VALUE"""),"2128 7TH LINE E")</f>
        <v>2128 7TH LINE E</v>
      </c>
      <c r="C11374" s="3" t="str">
        <f>IFERROR(__xludf.DUMMYFUNCTION("""COMPUTED_VALUE"""),"CAMPBELLFORD")</f>
        <v>CAMPBELLFORD</v>
      </c>
      <c r="D11374" s="3" t="str">
        <f>IFERROR(__xludf.DUMMYFUNCTION("""COMPUTED_VALUE"""),"K0L 1L0")</f>
        <v>K0L 1L0</v>
      </c>
      <c r="E11374" s="3"/>
      <c r="F11374" s="3"/>
      <c r="G11374" s="3"/>
      <c r="H11374" s="3"/>
    </row>
    <row r="11375">
      <c r="A11375" s="2">
        <f>IFERROR(__xludf.DUMMYFUNCTION("""COMPUTED_VALUE"""),70339.0)</f>
        <v>70339</v>
      </c>
      <c r="B11375" s="3" t="str">
        <f>IFERROR(__xludf.DUMMYFUNCTION("""COMPUTED_VALUE"""),"2132 7TH LINE E")</f>
        <v>2132 7TH LINE E</v>
      </c>
      <c r="C11375" s="3" t="str">
        <f>IFERROR(__xludf.DUMMYFUNCTION("""COMPUTED_VALUE"""),"CAMPBELLFORD")</f>
        <v>CAMPBELLFORD</v>
      </c>
      <c r="D11375" s="3" t="str">
        <f>IFERROR(__xludf.DUMMYFUNCTION("""COMPUTED_VALUE"""),"K0L 1L0")</f>
        <v>K0L 1L0</v>
      </c>
      <c r="E11375" s="3"/>
      <c r="F11375" s="3"/>
      <c r="G11375" s="3"/>
      <c r="H11375" s="3"/>
    </row>
    <row r="11376">
      <c r="A11376" s="2">
        <f>IFERROR(__xludf.DUMMYFUNCTION("""COMPUTED_VALUE"""),70340.0)</f>
        <v>70340</v>
      </c>
      <c r="B11376" s="3" t="str">
        <f>IFERROR(__xludf.DUMMYFUNCTION("""COMPUTED_VALUE"""),"2140 7TH LINE E")</f>
        <v>2140 7TH LINE E</v>
      </c>
      <c r="C11376" s="3" t="str">
        <f>IFERROR(__xludf.DUMMYFUNCTION("""COMPUTED_VALUE"""),"CAMPBELLFORD")</f>
        <v>CAMPBELLFORD</v>
      </c>
      <c r="D11376" s="3" t="str">
        <f>IFERROR(__xludf.DUMMYFUNCTION("""COMPUTED_VALUE"""),"K0L 1L0")</f>
        <v>K0L 1L0</v>
      </c>
      <c r="E11376" s="3"/>
      <c r="F11376" s="3"/>
      <c r="G11376" s="3"/>
      <c r="H11376" s="3"/>
    </row>
    <row r="11377">
      <c r="A11377" s="2">
        <f>IFERROR(__xludf.DUMMYFUNCTION("""COMPUTED_VALUE"""),70341.0)</f>
        <v>70341</v>
      </c>
      <c r="B11377" s="3" t="str">
        <f>IFERROR(__xludf.DUMMYFUNCTION("""COMPUTED_VALUE"""),"2141 7TH LINE E")</f>
        <v>2141 7TH LINE E</v>
      </c>
      <c r="C11377" s="3" t="str">
        <f>IFERROR(__xludf.DUMMYFUNCTION("""COMPUTED_VALUE"""),"CAMPBELLFORD")</f>
        <v>CAMPBELLFORD</v>
      </c>
      <c r="D11377" s="3" t="str">
        <f>IFERROR(__xludf.DUMMYFUNCTION("""COMPUTED_VALUE"""),"K0L 1L0")</f>
        <v>K0L 1L0</v>
      </c>
      <c r="E11377" s="3" t="str">
        <f>IFERROR(__xludf.DUMMYFUNCTION("""COMPUTED_VALUE"""),"Ann Turner")</f>
        <v>Ann Turner</v>
      </c>
      <c r="F11377" s="3" t="str">
        <f>IFERROR(__xludf.DUMMYFUNCTION("""COMPUTED_VALUE"""),"mrst2rocks@hotmail.com")</f>
        <v>mrst2rocks@hotmail.com</v>
      </c>
      <c r="G11377" s="3">
        <f>IFERROR(__xludf.DUMMYFUNCTION("""COMPUTED_VALUE"""),7.054552041E9)</f>
        <v>7054552041</v>
      </c>
      <c r="H11377" s="3"/>
    </row>
    <row r="11378">
      <c r="A11378" s="2">
        <f>IFERROR(__xludf.DUMMYFUNCTION("""COMPUTED_VALUE"""),70342.0)</f>
        <v>70342</v>
      </c>
      <c r="B11378" s="3" t="str">
        <f>IFERROR(__xludf.DUMMYFUNCTION("""COMPUTED_VALUE"""),"2173 7TH LINE E")</f>
        <v>2173 7TH LINE E</v>
      </c>
      <c r="C11378" s="3" t="str">
        <f>IFERROR(__xludf.DUMMYFUNCTION("""COMPUTED_VALUE"""),"CAMPBELLFORD")</f>
        <v>CAMPBELLFORD</v>
      </c>
      <c r="D11378" s="3" t="str">
        <f>IFERROR(__xludf.DUMMYFUNCTION("""COMPUTED_VALUE"""),"K0L 1L0")</f>
        <v>K0L 1L0</v>
      </c>
      <c r="E11378" s="3"/>
      <c r="F11378" s="3"/>
      <c r="G11378" s="3"/>
      <c r="H11378" s="3"/>
    </row>
    <row r="11379">
      <c r="A11379" s="2">
        <f>IFERROR(__xludf.DUMMYFUNCTION("""COMPUTED_VALUE"""),70343.0)</f>
        <v>70343</v>
      </c>
      <c r="B11379" s="3" t="str">
        <f>IFERROR(__xludf.DUMMYFUNCTION("""COMPUTED_VALUE"""),"2186 7TH LINE E")</f>
        <v>2186 7TH LINE E</v>
      </c>
      <c r="C11379" s="3" t="str">
        <f>IFERROR(__xludf.DUMMYFUNCTION("""COMPUTED_VALUE"""),"CAMPBELLFORD")</f>
        <v>CAMPBELLFORD</v>
      </c>
      <c r="D11379" s="3" t="str">
        <f>IFERROR(__xludf.DUMMYFUNCTION("""COMPUTED_VALUE"""),"K0L 1L0")</f>
        <v>K0L 1L0</v>
      </c>
      <c r="E11379" s="3" t="str">
        <f>IFERROR(__xludf.DUMMYFUNCTION("""COMPUTED_VALUE"""),"EDWIN SHEARER")</f>
        <v>EDWIN SHEARER</v>
      </c>
      <c r="F11379" s="3" t="str">
        <f>IFERROR(__xludf.DUMMYFUNCTION("""COMPUTED_VALUE"""),"edjudyshearer@gmail.com")</f>
        <v>edjudyshearer@gmail.com</v>
      </c>
      <c r="G11379" s="3">
        <f>IFERROR(__xludf.DUMMYFUNCTION("""COMPUTED_VALUE"""),6.138139332E9)</f>
        <v>6138139332</v>
      </c>
      <c r="H11379" s="3">
        <f>IFERROR(__xludf.DUMMYFUNCTION("""COMPUTED_VALUE"""),7.057727447E9)</f>
        <v>7057727447</v>
      </c>
    </row>
    <row r="11380">
      <c r="A11380" s="2">
        <f>IFERROR(__xludf.DUMMYFUNCTION("""COMPUTED_VALUE"""),70344.0)</f>
        <v>70344</v>
      </c>
      <c r="B11380" s="3" t="str">
        <f>IFERROR(__xludf.DUMMYFUNCTION("""COMPUTED_VALUE"""),"2226 7TH LINE E")</f>
        <v>2226 7TH LINE E</v>
      </c>
      <c r="C11380" s="3" t="str">
        <f>IFERROR(__xludf.DUMMYFUNCTION("""COMPUTED_VALUE"""),"CAMPBELLFORD")</f>
        <v>CAMPBELLFORD</v>
      </c>
      <c r="D11380" s="3" t="str">
        <f>IFERROR(__xludf.DUMMYFUNCTION("""COMPUTED_VALUE"""),"K0L 1L0")</f>
        <v>K0L 1L0</v>
      </c>
      <c r="E11380" s="3"/>
      <c r="F11380" s="3"/>
      <c r="G11380" s="3"/>
      <c r="H11380" s="3"/>
    </row>
    <row r="11381">
      <c r="A11381" s="2">
        <f>IFERROR(__xludf.DUMMYFUNCTION("""COMPUTED_VALUE"""),70345.0)</f>
        <v>70345</v>
      </c>
      <c r="B11381" s="3" t="str">
        <f>IFERROR(__xludf.DUMMYFUNCTION("""COMPUTED_VALUE"""),"2231 7TH LINE E")</f>
        <v>2231 7TH LINE E</v>
      </c>
      <c r="C11381" s="3" t="str">
        <f>IFERROR(__xludf.DUMMYFUNCTION("""COMPUTED_VALUE"""),"CAMPBELLFORD")</f>
        <v>CAMPBELLFORD</v>
      </c>
      <c r="D11381" s="3" t="str">
        <f>IFERROR(__xludf.DUMMYFUNCTION("""COMPUTED_VALUE"""),"K0L 1L0")</f>
        <v>K0L 1L0</v>
      </c>
      <c r="E11381" s="3"/>
      <c r="F11381" s="3"/>
      <c r="G11381" s="3"/>
      <c r="H11381" s="3"/>
    </row>
    <row r="11382">
      <c r="A11382" s="2">
        <f>IFERROR(__xludf.DUMMYFUNCTION("""COMPUTED_VALUE"""),70346.0)</f>
        <v>70346</v>
      </c>
      <c r="B11382" s="3" t="str">
        <f>IFERROR(__xludf.DUMMYFUNCTION("""COMPUTED_VALUE"""),"2346 7TH LINE E")</f>
        <v>2346 7TH LINE E</v>
      </c>
      <c r="C11382" s="3" t="str">
        <f>IFERROR(__xludf.DUMMYFUNCTION("""COMPUTED_VALUE"""),"CAMPBELLFORD")</f>
        <v>CAMPBELLFORD</v>
      </c>
      <c r="D11382" s="3" t="str">
        <f>IFERROR(__xludf.DUMMYFUNCTION("""COMPUTED_VALUE"""),"K0L 1L0")</f>
        <v>K0L 1L0</v>
      </c>
      <c r="E11382" s="3"/>
      <c r="F11382" s="3"/>
      <c r="G11382" s="3"/>
      <c r="H11382" s="3"/>
    </row>
    <row r="11383">
      <c r="A11383" s="2">
        <f>IFERROR(__xludf.DUMMYFUNCTION("""COMPUTED_VALUE"""),70347.0)</f>
        <v>70347</v>
      </c>
      <c r="B11383" s="3" t="str">
        <f>IFERROR(__xludf.DUMMYFUNCTION("""COMPUTED_VALUE"""),"2382 7TH LINE E")</f>
        <v>2382 7TH LINE E</v>
      </c>
      <c r="C11383" s="3" t="str">
        <f>IFERROR(__xludf.DUMMYFUNCTION("""COMPUTED_VALUE"""),"CAMPBELLFORD")</f>
        <v>CAMPBELLFORD</v>
      </c>
      <c r="D11383" s="3" t="str">
        <f>IFERROR(__xludf.DUMMYFUNCTION("""COMPUTED_VALUE"""),"K0L 1L0")</f>
        <v>K0L 1L0</v>
      </c>
      <c r="E11383" s="3"/>
      <c r="F11383" s="3"/>
      <c r="G11383" s="3"/>
      <c r="H11383" s="3"/>
    </row>
    <row r="11384">
      <c r="A11384" s="2">
        <f>IFERROR(__xludf.DUMMYFUNCTION("""COMPUTED_VALUE"""),70348.0)</f>
        <v>70348</v>
      </c>
      <c r="B11384" s="3" t="str">
        <f>IFERROR(__xludf.DUMMYFUNCTION("""COMPUTED_VALUE"""),"2460 7TH LINE E")</f>
        <v>2460 7TH LINE E</v>
      </c>
      <c r="C11384" s="3" t="str">
        <f>IFERROR(__xludf.DUMMYFUNCTION("""COMPUTED_VALUE"""),"CAMPBELLFORD")</f>
        <v>CAMPBELLFORD</v>
      </c>
      <c r="D11384" s="3" t="str">
        <f>IFERROR(__xludf.DUMMYFUNCTION("""COMPUTED_VALUE"""),"K0L 1L0")</f>
        <v>K0L 1L0</v>
      </c>
      <c r="E11384" s="3"/>
      <c r="F11384" s="3"/>
      <c r="G11384" s="3"/>
      <c r="H11384" s="3"/>
    </row>
    <row r="11385">
      <c r="A11385" s="2">
        <f>IFERROR(__xludf.DUMMYFUNCTION("""COMPUTED_VALUE"""),70355.0)</f>
        <v>70355</v>
      </c>
      <c r="B11385" s="3" t="str">
        <f>IFERROR(__xludf.DUMMYFUNCTION("""COMPUTED_VALUE"""),"1699 8TH LINE E")</f>
        <v>1699 8TH LINE E</v>
      </c>
      <c r="C11385" s="3" t="str">
        <f>IFERROR(__xludf.DUMMYFUNCTION("""COMPUTED_VALUE"""),"CAMPBELLFORD")</f>
        <v>CAMPBELLFORD</v>
      </c>
      <c r="D11385" s="3" t="str">
        <f>IFERROR(__xludf.DUMMYFUNCTION("""COMPUTED_VALUE"""),"K0L 1L0")</f>
        <v>K0L 1L0</v>
      </c>
      <c r="E11385" s="3"/>
      <c r="F11385" s="3"/>
      <c r="G11385" s="3"/>
      <c r="H11385" s="3"/>
    </row>
    <row r="11386">
      <c r="A11386" s="2">
        <f>IFERROR(__xludf.DUMMYFUNCTION("""COMPUTED_VALUE"""),70356.0)</f>
        <v>70356</v>
      </c>
      <c r="B11386" s="3" t="str">
        <f>IFERROR(__xludf.DUMMYFUNCTION("""COMPUTED_VALUE"""),"1803 8TH LINE E")</f>
        <v>1803 8TH LINE E</v>
      </c>
      <c r="C11386" s="3" t="str">
        <f>IFERROR(__xludf.DUMMYFUNCTION("""COMPUTED_VALUE"""),"CAMPBELLFORD")</f>
        <v>CAMPBELLFORD</v>
      </c>
      <c r="D11386" s="3" t="str">
        <f>IFERROR(__xludf.DUMMYFUNCTION("""COMPUTED_VALUE"""),"K0L 1L0")</f>
        <v>K0L 1L0</v>
      </c>
      <c r="E11386" s="3"/>
      <c r="F11386" s="3"/>
      <c r="G11386" s="3"/>
      <c r="H11386" s="3"/>
    </row>
    <row r="11387">
      <c r="A11387" s="2">
        <f>IFERROR(__xludf.DUMMYFUNCTION("""COMPUTED_VALUE"""),70357.0)</f>
        <v>70357</v>
      </c>
      <c r="B11387" s="3" t="str">
        <f>IFERROR(__xludf.DUMMYFUNCTION("""COMPUTED_VALUE"""),"1878 8TH LINE E")</f>
        <v>1878 8TH LINE E</v>
      </c>
      <c r="C11387" s="3" t="str">
        <f>IFERROR(__xludf.DUMMYFUNCTION("""COMPUTED_VALUE"""),"CAMPBELLFORD")</f>
        <v>CAMPBELLFORD</v>
      </c>
      <c r="D11387" s="3" t="str">
        <f>IFERROR(__xludf.DUMMYFUNCTION("""COMPUTED_VALUE"""),"K0L 1L0")</f>
        <v>K0L 1L0</v>
      </c>
      <c r="E11387" s="3"/>
      <c r="F11387" s="3"/>
      <c r="G11387" s="3"/>
      <c r="H11387" s="3"/>
    </row>
    <row r="11388">
      <c r="A11388" s="2">
        <f>IFERROR(__xludf.DUMMYFUNCTION("""COMPUTED_VALUE"""),70358.0)</f>
        <v>70358</v>
      </c>
      <c r="B11388" s="3" t="str">
        <f>IFERROR(__xludf.DUMMYFUNCTION("""COMPUTED_VALUE"""),"1892 8TH LINE E")</f>
        <v>1892 8TH LINE E</v>
      </c>
      <c r="C11388" s="3" t="str">
        <f>IFERROR(__xludf.DUMMYFUNCTION("""COMPUTED_VALUE"""),"CAMPBELLFORD")</f>
        <v>CAMPBELLFORD</v>
      </c>
      <c r="D11388" s="3" t="str">
        <f>IFERROR(__xludf.DUMMYFUNCTION("""COMPUTED_VALUE"""),"K0L 1L0")</f>
        <v>K0L 1L0</v>
      </c>
      <c r="E11388" s="3"/>
      <c r="F11388" s="3"/>
      <c r="G11388" s="3"/>
      <c r="H11388" s="3"/>
    </row>
    <row r="11389">
      <c r="A11389" s="2">
        <f>IFERROR(__xludf.DUMMYFUNCTION("""COMPUTED_VALUE"""),70359.0)</f>
        <v>70359</v>
      </c>
      <c r="B11389" s="3" t="str">
        <f>IFERROR(__xludf.DUMMYFUNCTION("""COMPUTED_VALUE"""),"1906 8TH LINE E")</f>
        <v>1906 8TH LINE E</v>
      </c>
      <c r="C11389" s="3" t="str">
        <f>IFERROR(__xludf.DUMMYFUNCTION("""COMPUTED_VALUE"""),"CAMPBELLFORD")</f>
        <v>CAMPBELLFORD</v>
      </c>
      <c r="D11389" s="3" t="str">
        <f>IFERROR(__xludf.DUMMYFUNCTION("""COMPUTED_VALUE"""),"K0L 1L0")</f>
        <v>K0L 1L0</v>
      </c>
      <c r="E11389" s="3"/>
      <c r="F11389" s="3"/>
      <c r="G11389" s="3"/>
      <c r="H11389" s="3"/>
    </row>
    <row r="11390">
      <c r="A11390" s="2">
        <f>IFERROR(__xludf.DUMMYFUNCTION("""COMPUTED_VALUE"""),70360.0)</f>
        <v>70360</v>
      </c>
      <c r="B11390" s="3" t="str">
        <f>IFERROR(__xludf.DUMMYFUNCTION("""COMPUTED_VALUE"""),"1948 8TH LINE E")</f>
        <v>1948 8TH LINE E</v>
      </c>
      <c r="C11390" s="3" t="str">
        <f>IFERROR(__xludf.DUMMYFUNCTION("""COMPUTED_VALUE"""),"CAMPBELLFORD")</f>
        <v>CAMPBELLFORD</v>
      </c>
      <c r="D11390" s="3" t="str">
        <f>IFERROR(__xludf.DUMMYFUNCTION("""COMPUTED_VALUE"""),"K0L 1L0")</f>
        <v>K0L 1L0</v>
      </c>
      <c r="E11390" s="3"/>
      <c r="F11390" s="3"/>
      <c r="G11390" s="3"/>
      <c r="H11390" s="3"/>
    </row>
    <row r="11391">
      <c r="A11391" s="2">
        <f>IFERROR(__xludf.DUMMYFUNCTION("""COMPUTED_VALUE"""),70361.0)</f>
        <v>70361</v>
      </c>
      <c r="B11391" s="3" t="str">
        <f>IFERROR(__xludf.DUMMYFUNCTION("""COMPUTED_VALUE"""),"2011 8TH LINE E")</f>
        <v>2011 8TH LINE E</v>
      </c>
      <c r="C11391" s="3" t="str">
        <f>IFERROR(__xludf.DUMMYFUNCTION("""COMPUTED_VALUE"""),"CAMPBELLFORD")</f>
        <v>CAMPBELLFORD</v>
      </c>
      <c r="D11391" s="3" t="str">
        <f>IFERROR(__xludf.DUMMYFUNCTION("""COMPUTED_VALUE"""),"K0L 1L0")</f>
        <v>K0L 1L0</v>
      </c>
      <c r="E11391" s="3"/>
      <c r="F11391" s="3"/>
      <c r="G11391" s="3"/>
      <c r="H11391" s="3"/>
    </row>
    <row r="11392">
      <c r="A11392" s="2">
        <f>IFERROR(__xludf.DUMMYFUNCTION("""COMPUTED_VALUE"""),70362.0)</f>
        <v>70362</v>
      </c>
      <c r="B11392" s="3" t="str">
        <f>IFERROR(__xludf.DUMMYFUNCTION("""COMPUTED_VALUE"""),"2044 8TH LINE E")</f>
        <v>2044 8TH LINE E</v>
      </c>
      <c r="C11392" s="3" t="str">
        <f>IFERROR(__xludf.DUMMYFUNCTION("""COMPUTED_VALUE"""),"CAMPBELLFORD")</f>
        <v>CAMPBELLFORD</v>
      </c>
      <c r="D11392" s="3" t="str">
        <f>IFERROR(__xludf.DUMMYFUNCTION("""COMPUTED_VALUE"""),"K0L 1L0")</f>
        <v>K0L 1L0</v>
      </c>
      <c r="E11392" s="3"/>
      <c r="F11392" s="3"/>
      <c r="G11392" s="3"/>
      <c r="H11392" s="3"/>
    </row>
    <row r="11393">
      <c r="A11393" s="2">
        <f>IFERROR(__xludf.DUMMYFUNCTION("""COMPUTED_VALUE"""),70363.0)</f>
        <v>70363</v>
      </c>
      <c r="B11393" s="3" t="str">
        <f>IFERROR(__xludf.DUMMYFUNCTION("""COMPUTED_VALUE"""),"2063 8TH LINE E")</f>
        <v>2063 8TH LINE E</v>
      </c>
      <c r="C11393" s="3" t="str">
        <f>IFERROR(__xludf.DUMMYFUNCTION("""COMPUTED_VALUE"""),"CAMPBELLFORD")</f>
        <v>CAMPBELLFORD</v>
      </c>
      <c r="D11393" s="3" t="str">
        <f>IFERROR(__xludf.DUMMYFUNCTION("""COMPUTED_VALUE"""),"K0L 1L0")</f>
        <v>K0L 1L0</v>
      </c>
      <c r="E11393" s="3"/>
      <c r="F11393" s="3"/>
      <c r="G11393" s="3"/>
      <c r="H11393" s="3"/>
    </row>
    <row r="11394">
      <c r="A11394" s="2">
        <f>IFERROR(__xludf.DUMMYFUNCTION("""COMPUTED_VALUE"""),70364.0)</f>
        <v>70364</v>
      </c>
      <c r="B11394" s="3" t="str">
        <f>IFERROR(__xludf.DUMMYFUNCTION("""COMPUTED_VALUE"""),"2086 8TH LINE E")</f>
        <v>2086 8TH LINE E</v>
      </c>
      <c r="C11394" s="3" t="str">
        <f>IFERROR(__xludf.DUMMYFUNCTION("""COMPUTED_VALUE"""),"CAMPBELLFORD")</f>
        <v>CAMPBELLFORD</v>
      </c>
      <c r="D11394" s="3" t="str">
        <f>IFERROR(__xludf.DUMMYFUNCTION("""COMPUTED_VALUE"""),"K0L 1L0")</f>
        <v>K0L 1L0</v>
      </c>
      <c r="E11394" s="3"/>
      <c r="F11394" s="3"/>
      <c r="G11394" s="3"/>
      <c r="H11394" s="3"/>
    </row>
    <row r="11395">
      <c r="A11395" s="2">
        <f>IFERROR(__xludf.DUMMYFUNCTION("""COMPUTED_VALUE"""),70365.0)</f>
        <v>70365</v>
      </c>
      <c r="B11395" s="3" t="str">
        <f>IFERROR(__xludf.DUMMYFUNCTION("""COMPUTED_VALUE"""),"2150 8TH LINE E")</f>
        <v>2150 8TH LINE E</v>
      </c>
      <c r="C11395" s="3" t="str">
        <f>IFERROR(__xludf.DUMMYFUNCTION("""COMPUTED_VALUE"""),"CAMPBELLFORD")</f>
        <v>CAMPBELLFORD</v>
      </c>
      <c r="D11395" s="3" t="str">
        <f>IFERROR(__xludf.DUMMYFUNCTION("""COMPUTED_VALUE"""),"K0L 1L0")</f>
        <v>K0L 1L0</v>
      </c>
      <c r="E11395" s="3"/>
      <c r="F11395" s="3"/>
      <c r="G11395" s="3"/>
      <c r="H11395" s="3"/>
    </row>
    <row r="11396">
      <c r="A11396" s="2">
        <f>IFERROR(__xludf.DUMMYFUNCTION("""COMPUTED_VALUE"""),70366.0)</f>
        <v>70366</v>
      </c>
      <c r="B11396" s="3" t="str">
        <f>IFERROR(__xludf.DUMMYFUNCTION("""COMPUTED_VALUE"""),"2158 8TH LINE E")</f>
        <v>2158 8TH LINE E</v>
      </c>
      <c r="C11396" s="3" t="str">
        <f>IFERROR(__xludf.DUMMYFUNCTION("""COMPUTED_VALUE"""),"CAMPBELLFORD")</f>
        <v>CAMPBELLFORD</v>
      </c>
      <c r="D11396" s="3" t="str">
        <f>IFERROR(__xludf.DUMMYFUNCTION("""COMPUTED_VALUE"""),"K0L 1L0")</f>
        <v>K0L 1L0</v>
      </c>
      <c r="E11396" s="3"/>
      <c r="F11396" s="3"/>
      <c r="G11396" s="3"/>
      <c r="H11396" s="3"/>
    </row>
    <row r="11397">
      <c r="A11397" s="2">
        <f>IFERROR(__xludf.DUMMYFUNCTION("""COMPUTED_VALUE"""),70367.0)</f>
        <v>70367</v>
      </c>
      <c r="B11397" s="3" t="str">
        <f>IFERROR(__xludf.DUMMYFUNCTION("""COMPUTED_VALUE"""),"2228 8TH LINE E")</f>
        <v>2228 8TH LINE E</v>
      </c>
      <c r="C11397" s="3" t="str">
        <f>IFERROR(__xludf.DUMMYFUNCTION("""COMPUTED_VALUE"""),"CAMPBELLFORD")</f>
        <v>CAMPBELLFORD</v>
      </c>
      <c r="D11397" s="3" t="str">
        <f>IFERROR(__xludf.DUMMYFUNCTION("""COMPUTED_VALUE"""),"K0L 1L0")</f>
        <v>K0L 1L0</v>
      </c>
      <c r="E11397" s="3"/>
      <c r="F11397" s="3"/>
      <c r="G11397" s="3"/>
      <c r="H11397" s="3"/>
    </row>
    <row r="11398">
      <c r="A11398" s="2">
        <f>IFERROR(__xludf.DUMMYFUNCTION("""COMPUTED_VALUE"""),70368.0)</f>
        <v>70368</v>
      </c>
      <c r="B11398" s="3" t="str">
        <f>IFERROR(__xludf.DUMMYFUNCTION("""COMPUTED_VALUE"""),"2248 8TH LINE E")</f>
        <v>2248 8TH LINE E</v>
      </c>
      <c r="C11398" s="3" t="str">
        <f>IFERROR(__xludf.DUMMYFUNCTION("""COMPUTED_VALUE"""),"CAMPBELLFORD")</f>
        <v>CAMPBELLFORD</v>
      </c>
      <c r="D11398" s="3" t="str">
        <f>IFERROR(__xludf.DUMMYFUNCTION("""COMPUTED_VALUE"""),"K0L 1L0")</f>
        <v>K0L 1L0</v>
      </c>
      <c r="E11398" s="3"/>
      <c r="F11398" s="3"/>
      <c r="G11398" s="3"/>
      <c r="H11398" s="3"/>
    </row>
    <row r="11399">
      <c r="A11399" s="2">
        <f>IFERROR(__xludf.DUMMYFUNCTION("""COMPUTED_VALUE"""),70369.0)</f>
        <v>70369</v>
      </c>
      <c r="B11399" s="3" t="str">
        <f>IFERROR(__xludf.DUMMYFUNCTION("""COMPUTED_VALUE"""),"2264 8TH LINE E")</f>
        <v>2264 8TH LINE E</v>
      </c>
      <c r="C11399" s="3" t="str">
        <f>IFERROR(__xludf.DUMMYFUNCTION("""COMPUTED_VALUE"""),"CAMPBELLFORD")</f>
        <v>CAMPBELLFORD</v>
      </c>
      <c r="D11399" s="3" t="str">
        <f>IFERROR(__xludf.DUMMYFUNCTION("""COMPUTED_VALUE"""),"K0L 1L0")</f>
        <v>K0L 1L0</v>
      </c>
      <c r="E11399" s="3"/>
      <c r="F11399" s="3"/>
      <c r="G11399" s="3"/>
      <c r="H11399" s="3"/>
    </row>
    <row r="11400">
      <c r="A11400" s="2">
        <f>IFERROR(__xludf.DUMMYFUNCTION("""COMPUTED_VALUE"""),70370.0)</f>
        <v>70370</v>
      </c>
      <c r="B11400" s="3" t="str">
        <f>IFERROR(__xludf.DUMMYFUNCTION("""COMPUTED_VALUE"""),"2275 8TH LINE E")</f>
        <v>2275 8TH LINE E</v>
      </c>
      <c r="C11400" s="3" t="str">
        <f>IFERROR(__xludf.DUMMYFUNCTION("""COMPUTED_VALUE"""),"CAMPBELLFORD")</f>
        <v>CAMPBELLFORD</v>
      </c>
      <c r="D11400" s="3" t="str">
        <f>IFERROR(__xludf.DUMMYFUNCTION("""COMPUTED_VALUE"""),"K0L 1L0")</f>
        <v>K0L 1L0</v>
      </c>
      <c r="E11400" s="3"/>
      <c r="F11400" s="3"/>
      <c r="G11400" s="3"/>
      <c r="H11400" s="3"/>
    </row>
    <row r="11401">
      <c r="A11401" s="2">
        <f>IFERROR(__xludf.DUMMYFUNCTION("""COMPUTED_VALUE"""),70371.0)</f>
        <v>70371</v>
      </c>
      <c r="B11401" s="3" t="str">
        <f>IFERROR(__xludf.DUMMYFUNCTION("""COMPUTED_VALUE"""),"2466 8TH LINE E")</f>
        <v>2466 8TH LINE E</v>
      </c>
      <c r="C11401" s="3" t="str">
        <f>IFERROR(__xludf.DUMMYFUNCTION("""COMPUTED_VALUE"""),"CAMPBELLFORD")</f>
        <v>CAMPBELLFORD</v>
      </c>
      <c r="D11401" s="3" t="str">
        <f>IFERROR(__xludf.DUMMYFUNCTION("""COMPUTED_VALUE"""),"K0L 1L0")</f>
        <v>K0L 1L0</v>
      </c>
      <c r="E11401" s="3" t="str">
        <f>IFERROR(__xludf.DUMMYFUNCTION("""COMPUTED_VALUE"""),"Sharalin Tippett")</f>
        <v>Sharalin Tippett</v>
      </c>
      <c r="F11401" s="3" t="str">
        <f>IFERROR(__xludf.DUMMYFUNCTION("""COMPUTED_VALUE"""),"shara.tippett@gmail.com")</f>
        <v>shara.tippett@gmail.com</v>
      </c>
      <c r="G11401" s="3">
        <f>IFERROR(__xludf.DUMMYFUNCTION("""COMPUTED_VALUE"""),7.056538517E9)</f>
        <v>7056538517</v>
      </c>
      <c r="H11401" s="3">
        <f>IFERROR(__xludf.DUMMYFUNCTION("""COMPUTED_VALUE"""),7.056612337E9)</f>
        <v>7056612337</v>
      </c>
    </row>
    <row r="11402">
      <c r="A11402" s="2">
        <f>IFERROR(__xludf.DUMMYFUNCTION("""COMPUTED_VALUE"""),70372.0)</f>
        <v>70372</v>
      </c>
      <c r="B11402" s="3" t="str">
        <f>IFERROR(__xludf.DUMMYFUNCTION("""COMPUTED_VALUE"""),"2520 8TH LINE E")</f>
        <v>2520 8TH LINE E</v>
      </c>
      <c r="C11402" s="3" t="str">
        <f>IFERROR(__xludf.DUMMYFUNCTION("""COMPUTED_VALUE"""),"CAMPBELLFORD")</f>
        <v>CAMPBELLFORD</v>
      </c>
      <c r="D11402" s="3" t="str">
        <f>IFERROR(__xludf.DUMMYFUNCTION("""COMPUTED_VALUE"""),"K0L 1L0")</f>
        <v>K0L 1L0</v>
      </c>
      <c r="E11402" s="3"/>
      <c r="F11402" s="3"/>
      <c r="G11402" s="3"/>
      <c r="H11402" s="3"/>
    </row>
    <row r="11403">
      <c r="A11403" s="2">
        <f>IFERROR(__xludf.DUMMYFUNCTION("""COMPUTED_VALUE"""),70373.0)</f>
        <v>70373</v>
      </c>
      <c r="B11403" s="3" t="str">
        <f>IFERROR(__xludf.DUMMYFUNCTION("""COMPUTED_VALUE"""),"2525 8TH LINE E")</f>
        <v>2525 8TH LINE E</v>
      </c>
      <c r="C11403" s="3" t="str">
        <f>IFERROR(__xludf.DUMMYFUNCTION("""COMPUTED_VALUE"""),"CAMPBELLFORD")</f>
        <v>CAMPBELLFORD</v>
      </c>
      <c r="D11403" s="3" t="str">
        <f>IFERROR(__xludf.DUMMYFUNCTION("""COMPUTED_VALUE"""),"K0L 1L0")</f>
        <v>K0L 1L0</v>
      </c>
      <c r="E11403" s="3" t="str">
        <f>IFERROR(__xludf.DUMMYFUNCTION("""COMPUTED_VALUE"""),"Tony Crocker &amp; Janis Eves")</f>
        <v>Tony Crocker &amp; Janis Eves</v>
      </c>
      <c r="F11403" s="3" t="str">
        <f>IFERROR(__xludf.DUMMYFUNCTION("""COMPUTED_VALUE"""),"photo@tcrocker.ca")</f>
        <v>photo@tcrocker.ca</v>
      </c>
      <c r="G11403" s="3"/>
      <c r="H11403" s="3">
        <f>IFERROR(__xludf.DUMMYFUNCTION("""COMPUTED_VALUE"""),6.13743949E9)</f>
        <v>6137439490</v>
      </c>
    </row>
    <row r="11404">
      <c r="A11404" s="2">
        <f>IFERROR(__xludf.DUMMYFUNCTION("""COMPUTED_VALUE"""),70383.0)</f>
        <v>70383</v>
      </c>
      <c r="B11404" s="3" t="str">
        <f>IFERROR(__xludf.DUMMYFUNCTION("""COMPUTED_VALUE"""),"480 ALLAN MILLS RD")</f>
        <v>480 ALLAN MILLS RD</v>
      </c>
      <c r="C11404" s="3" t="str">
        <f>IFERROR(__xludf.DUMMYFUNCTION("""COMPUTED_VALUE"""),"MARMORA")</f>
        <v>MARMORA</v>
      </c>
      <c r="D11404" s="3" t="str">
        <f>IFERROR(__xludf.DUMMYFUNCTION("""COMPUTED_VALUE"""),"K0K 2M0")</f>
        <v>K0K 2M0</v>
      </c>
      <c r="E11404" s="3" t="str">
        <f>IFERROR(__xludf.DUMMYFUNCTION("""COMPUTED_VALUE"""),"KATHRYN TRUSTHAM")</f>
        <v>KATHRYN TRUSTHAM</v>
      </c>
      <c r="F11404" s="3" t="str">
        <f>IFERROR(__xludf.DUMMYFUNCTION("""COMPUTED_VALUE"""),"ketrustham@hotmail.com")</f>
        <v>ketrustham@hotmail.com</v>
      </c>
      <c r="G11404" s="3"/>
      <c r="H11404" s="3"/>
    </row>
    <row r="11405">
      <c r="A11405" s="2">
        <f>IFERROR(__xludf.DUMMYFUNCTION("""COMPUTED_VALUE"""),70409.0)</f>
        <v>70409</v>
      </c>
      <c r="B11405" s="3" t="str">
        <f>IFERROR(__xludf.DUMMYFUNCTION("""COMPUTED_VALUE"""),"232A BALSAM CRT")</f>
        <v>232A BALSAM CRT</v>
      </c>
      <c r="C11405" s="3" t="str">
        <f>IFERROR(__xludf.DUMMYFUNCTION("""COMPUTED_VALUE"""),"HAVELOCK")</f>
        <v>HAVELOCK</v>
      </c>
      <c r="D11405" s="3" t="str">
        <f>IFERROR(__xludf.DUMMYFUNCTION("""COMPUTED_VALUE"""),"K0L 1Z0")</f>
        <v>K0L 1Z0</v>
      </c>
      <c r="E11405" s="3" t="str">
        <f>IFERROR(__xludf.DUMMYFUNCTION("""COMPUTED_VALUE"""),"szabi sarody")</f>
        <v>szabi sarody</v>
      </c>
      <c r="F11405" s="3" t="str">
        <f>IFERROR(__xludf.DUMMYFUNCTION("""COMPUTED_VALUE"""),"szadi.sarody@gmail.com")</f>
        <v>szadi.sarody@gmail.com</v>
      </c>
      <c r="G11405" s="3">
        <f>IFERROR(__xludf.DUMMYFUNCTION("""COMPUTED_VALUE"""),4.165683245E9)</f>
        <v>4165683245</v>
      </c>
      <c r="H11405" s="3"/>
    </row>
    <row r="11406">
      <c r="A11406" s="2">
        <f>IFERROR(__xludf.DUMMYFUNCTION("""COMPUTED_VALUE"""),70411.0)</f>
        <v>70411</v>
      </c>
      <c r="B11406" s="3" t="str">
        <f>IFERROR(__xludf.DUMMYFUNCTION("""COMPUTED_VALUE"""),"232B BALSAM CRT")</f>
        <v>232B BALSAM CRT</v>
      </c>
      <c r="C11406" s="3" t="str">
        <f>IFERROR(__xludf.DUMMYFUNCTION("""COMPUTED_VALUE"""),"HAVELOCK")</f>
        <v>HAVELOCK</v>
      </c>
      <c r="D11406" s="3" t="str">
        <f>IFERROR(__xludf.DUMMYFUNCTION("""COMPUTED_VALUE"""),"K0L 1Z0")</f>
        <v>K0L 1Z0</v>
      </c>
      <c r="E11406" s="3" t="str">
        <f>IFERROR(__xludf.DUMMYFUNCTION("""COMPUTED_VALUE"""),"Linda and Manuel NUNES")</f>
        <v>Linda and Manuel NUNES</v>
      </c>
      <c r="F11406" s="3" t="str">
        <f>IFERROR(__xludf.DUMMYFUNCTION("""COMPUTED_VALUE"""),"lindanunes777@yahoo.ca")</f>
        <v>lindanunes777@yahoo.ca</v>
      </c>
      <c r="G11406" s="3">
        <f>IFERROR(__xludf.DUMMYFUNCTION("""COMPUTED_VALUE"""),4.168372156E9)</f>
        <v>4168372156</v>
      </c>
      <c r="H11406" s="3">
        <f>IFERROR(__xludf.DUMMYFUNCTION("""COMPUTED_VALUE"""),4.168227182E9)</f>
        <v>4168227182</v>
      </c>
    </row>
    <row r="11407">
      <c r="A11407" s="2">
        <f>IFERROR(__xludf.DUMMYFUNCTION("""COMPUTED_VALUE"""),70410.0)</f>
        <v>70410</v>
      </c>
      <c r="B11407" s="3" t="str">
        <f>IFERROR(__xludf.DUMMYFUNCTION("""COMPUTED_VALUE"""),"232C BALSAM CRT")</f>
        <v>232C BALSAM CRT</v>
      </c>
      <c r="C11407" s="3" t="str">
        <f>IFERROR(__xludf.DUMMYFUNCTION("""COMPUTED_VALUE"""),"HAVELOCK")</f>
        <v>HAVELOCK</v>
      </c>
      <c r="D11407" s="3" t="str">
        <f>IFERROR(__xludf.DUMMYFUNCTION("""COMPUTED_VALUE"""),"K0L 1Z0")</f>
        <v>K0L 1Z0</v>
      </c>
      <c r="E11407" s="3" t="str">
        <f>IFERROR(__xludf.DUMMYFUNCTION("""COMPUTED_VALUE"""),"joe hill")</f>
        <v>joe hill</v>
      </c>
      <c r="F11407" s="3" t="str">
        <f>IFERROR(__xludf.DUMMYFUNCTION("""COMPUTED_VALUE"""),"sirjosephhill@gmail.com")</f>
        <v>sirjosephhill@gmail.com</v>
      </c>
      <c r="G11407" s="3">
        <f>IFERROR(__xludf.DUMMYFUNCTION("""COMPUTED_VALUE"""),9.059996494E9)</f>
        <v>9059996494</v>
      </c>
      <c r="H11407" s="3"/>
    </row>
    <row r="11408">
      <c r="A11408" s="2">
        <f>IFERROR(__xludf.DUMMYFUNCTION("""COMPUTED_VALUE"""),70412.0)</f>
        <v>70412</v>
      </c>
      <c r="B11408" s="3" t="str">
        <f>IFERROR(__xludf.DUMMYFUNCTION("""COMPUTED_VALUE"""),"232D BALSAM CRT")</f>
        <v>232D BALSAM CRT</v>
      </c>
      <c r="C11408" s="3" t="str">
        <f>IFERROR(__xludf.DUMMYFUNCTION("""COMPUTED_VALUE"""),"HAVELOCK")</f>
        <v>HAVELOCK</v>
      </c>
      <c r="D11408" s="3" t="str">
        <f>IFERROR(__xludf.DUMMYFUNCTION("""COMPUTED_VALUE"""),"K0L 1Z0")</f>
        <v>K0L 1Z0</v>
      </c>
      <c r="E11408" s="3"/>
      <c r="F11408" s="3"/>
      <c r="G11408" s="3"/>
      <c r="H11408" s="3"/>
    </row>
    <row r="11409">
      <c r="A11409" s="2">
        <f>IFERROR(__xludf.DUMMYFUNCTION("""COMPUTED_VALUE"""),70413.0)</f>
        <v>70413</v>
      </c>
      <c r="B11409" s="3" t="str">
        <f>IFERROR(__xludf.DUMMYFUNCTION("""COMPUTED_VALUE"""),"232E BALSAM CRT")</f>
        <v>232E BALSAM CRT</v>
      </c>
      <c r="C11409" s="3" t="str">
        <f>IFERROR(__xludf.DUMMYFUNCTION("""COMPUTED_VALUE"""),"HAVELOCK")</f>
        <v>HAVELOCK</v>
      </c>
      <c r="D11409" s="3" t="str">
        <f>IFERROR(__xludf.DUMMYFUNCTION("""COMPUTED_VALUE"""),"K0L 1Z0")</f>
        <v>K0L 1Z0</v>
      </c>
      <c r="E11409" s="3" t="str">
        <f>IFERROR(__xludf.DUMMYFUNCTION("""COMPUTED_VALUE"""),"marilyn riley")</f>
        <v>marilyn riley</v>
      </c>
      <c r="F11409" s="3" t="str">
        <f>IFERROR(__xludf.DUMMYFUNCTION("""COMPUTED_VALUE"""),"meriley219@gmail.com")</f>
        <v>meriley219@gmail.com</v>
      </c>
      <c r="G11409" s="3">
        <f>IFERROR(__xludf.DUMMYFUNCTION("""COMPUTED_VALUE"""),4.166946977E9)</f>
        <v>4166946977</v>
      </c>
      <c r="H11409" s="3">
        <f>IFERROR(__xludf.DUMMYFUNCTION("""COMPUTED_VALUE"""),4.168171074E9)</f>
        <v>4168171074</v>
      </c>
    </row>
    <row r="11410">
      <c r="A11410" s="2">
        <f>IFERROR(__xludf.DUMMYFUNCTION("""COMPUTED_VALUE"""),70414.0)</f>
        <v>70414</v>
      </c>
      <c r="B11410" s="3" t="str">
        <f>IFERROR(__xludf.DUMMYFUNCTION("""COMPUTED_VALUE"""),"232F BALSAM CRT")</f>
        <v>232F BALSAM CRT</v>
      </c>
      <c r="C11410" s="3" t="str">
        <f>IFERROR(__xludf.DUMMYFUNCTION("""COMPUTED_VALUE"""),"HAVELOCK")</f>
        <v>HAVELOCK</v>
      </c>
      <c r="D11410" s="3" t="str">
        <f>IFERROR(__xludf.DUMMYFUNCTION("""COMPUTED_VALUE"""),"K0L 1Z0")</f>
        <v>K0L 1Z0</v>
      </c>
      <c r="E11410" s="3" t="str">
        <f>IFERROR(__xludf.DUMMYFUNCTION("""COMPUTED_VALUE"""),"Dan and Frances Godfrey")</f>
        <v>Dan and Frances Godfrey</v>
      </c>
      <c r="F11410" s="3" t="str">
        <f>IFERROR(__xludf.DUMMYFUNCTION("""COMPUTED_VALUE"""),"frances.godfrey10@gmail.com")</f>
        <v>frances.godfrey10@gmail.com</v>
      </c>
      <c r="G11410" s="3">
        <f>IFERROR(__xludf.DUMMYFUNCTION("""COMPUTED_VALUE"""),7.057507411E9)</f>
        <v>7057507411</v>
      </c>
      <c r="H11410" s="3">
        <f>IFERROR(__xludf.DUMMYFUNCTION("""COMPUTED_VALUE"""),7.057317822E9)</f>
        <v>7057317822</v>
      </c>
    </row>
    <row r="11411">
      <c r="A11411" s="2">
        <f>IFERROR(__xludf.DUMMYFUNCTION("""COMPUTED_VALUE"""),70415.0)</f>
        <v>70415</v>
      </c>
      <c r="B11411" s="3" t="str">
        <f>IFERROR(__xludf.DUMMYFUNCTION("""COMPUTED_VALUE"""),"232G BALSAM CRT")</f>
        <v>232G BALSAM CRT</v>
      </c>
      <c r="C11411" s="3" t="str">
        <f>IFERROR(__xludf.DUMMYFUNCTION("""COMPUTED_VALUE"""),"HAVELOCK")</f>
        <v>HAVELOCK</v>
      </c>
      <c r="D11411" s="3" t="str">
        <f>IFERROR(__xludf.DUMMYFUNCTION("""COMPUTED_VALUE"""),"K0L 1Z0")</f>
        <v>K0L 1Z0</v>
      </c>
      <c r="E11411" s="3"/>
      <c r="F11411" s="3"/>
      <c r="G11411" s="3"/>
      <c r="H11411" s="3"/>
    </row>
    <row r="11412">
      <c r="A11412" s="2">
        <f>IFERROR(__xludf.DUMMYFUNCTION("""COMPUTED_VALUE"""),70416.0)</f>
        <v>70416</v>
      </c>
      <c r="B11412" s="3" t="str">
        <f>IFERROR(__xludf.DUMMYFUNCTION("""COMPUTED_VALUE"""),"232H BALSAM CRT")</f>
        <v>232H BALSAM CRT</v>
      </c>
      <c r="C11412" s="3" t="str">
        <f>IFERROR(__xludf.DUMMYFUNCTION("""COMPUTED_VALUE"""),"HAVELOCK")</f>
        <v>HAVELOCK</v>
      </c>
      <c r="D11412" s="3" t="str">
        <f>IFERROR(__xludf.DUMMYFUNCTION("""COMPUTED_VALUE"""),"K0L 1Z0")</f>
        <v>K0L 1Z0</v>
      </c>
      <c r="E11412" s="3"/>
      <c r="F11412" s="3"/>
      <c r="G11412" s="3"/>
      <c r="H11412" s="3"/>
    </row>
    <row r="11413">
      <c r="A11413" s="2">
        <f>IFERROR(__xludf.DUMMYFUNCTION("""COMPUTED_VALUE"""),70417.0)</f>
        <v>70417</v>
      </c>
      <c r="B11413" s="3" t="str">
        <f>IFERROR(__xludf.DUMMYFUNCTION("""COMPUTED_VALUE"""),"232I BALSAM CRT")</f>
        <v>232I BALSAM CRT</v>
      </c>
      <c r="C11413" s="3" t="str">
        <f>IFERROR(__xludf.DUMMYFUNCTION("""COMPUTED_VALUE"""),"HAVELOCK")</f>
        <v>HAVELOCK</v>
      </c>
      <c r="D11413" s="3" t="str">
        <f>IFERROR(__xludf.DUMMYFUNCTION("""COMPUTED_VALUE"""),"K0L 1Z0")</f>
        <v>K0L 1Z0</v>
      </c>
      <c r="E11413" s="3"/>
      <c r="F11413" s="3"/>
      <c r="G11413" s="3"/>
      <c r="H11413" s="3"/>
    </row>
    <row r="11414">
      <c r="A11414" s="2">
        <f>IFERROR(__xludf.DUMMYFUNCTION("""COMPUTED_VALUE"""),70418.0)</f>
        <v>70418</v>
      </c>
      <c r="B11414" s="3" t="str">
        <f>IFERROR(__xludf.DUMMYFUNCTION("""COMPUTED_VALUE"""),"232J BALSAM CRT")</f>
        <v>232J BALSAM CRT</v>
      </c>
      <c r="C11414" s="3" t="str">
        <f>IFERROR(__xludf.DUMMYFUNCTION("""COMPUTED_VALUE"""),"HAVELOCK")</f>
        <v>HAVELOCK</v>
      </c>
      <c r="D11414" s="3" t="str">
        <f>IFERROR(__xludf.DUMMYFUNCTION("""COMPUTED_VALUE"""),"K0L 1Z0")</f>
        <v>K0L 1Z0</v>
      </c>
      <c r="E11414" s="3"/>
      <c r="F11414" s="3"/>
      <c r="G11414" s="3"/>
      <c r="H11414" s="3"/>
    </row>
    <row r="11415">
      <c r="A11415" s="2">
        <f>IFERROR(__xludf.DUMMYFUNCTION("""COMPUTED_VALUE"""),70420.0)</f>
        <v>70420</v>
      </c>
      <c r="B11415" s="3" t="str">
        <f>IFERROR(__xludf.DUMMYFUNCTION("""COMPUTED_VALUE"""),"135A BLUE ROOF RD")</f>
        <v>135A BLUE ROOF RD</v>
      </c>
      <c r="C11415" s="3" t="str">
        <f>IFERROR(__xludf.DUMMYFUNCTION("""COMPUTED_VALUE"""),"CAMPBELLFORD")</f>
        <v>CAMPBELLFORD</v>
      </c>
      <c r="D11415" s="3" t="str">
        <f>IFERROR(__xludf.DUMMYFUNCTION("""COMPUTED_VALUE"""),"K0L 1L0")</f>
        <v>K0L 1L0</v>
      </c>
      <c r="E11415" s="3" t="str">
        <f>IFERROR(__xludf.DUMMYFUNCTION("""COMPUTED_VALUE"""),"LES NICOLSON")</f>
        <v>LES NICOLSON</v>
      </c>
      <c r="F11415" s="3" t="str">
        <f>IFERROR(__xludf.DUMMYFUNCTION("""COMPUTED_VALUE"""),"lesnicolson@sympatico.ca")</f>
        <v>lesnicolson@sympatico.ca</v>
      </c>
      <c r="G11415" s="3"/>
      <c r="H11415" s="3">
        <f>IFERROR(__xludf.DUMMYFUNCTION("""COMPUTED_VALUE"""),2.892212878E9)</f>
        <v>2892212878</v>
      </c>
    </row>
    <row r="11416">
      <c r="A11416" s="2">
        <f>IFERROR(__xludf.DUMMYFUNCTION("""COMPUTED_VALUE"""),70421.0)</f>
        <v>70421</v>
      </c>
      <c r="B11416" s="3" t="str">
        <f>IFERROR(__xludf.DUMMYFUNCTION("""COMPUTED_VALUE"""),"202 BLUE ROOF RD")</f>
        <v>202 BLUE ROOF RD</v>
      </c>
      <c r="C11416" s="3" t="str">
        <f>IFERROR(__xludf.DUMMYFUNCTION("""COMPUTED_VALUE"""),"CAMPBELLFORD")</f>
        <v>CAMPBELLFORD</v>
      </c>
      <c r="D11416" s="3" t="str">
        <f>IFERROR(__xludf.DUMMYFUNCTION("""COMPUTED_VALUE"""),"K0L 1L0")</f>
        <v>K0L 1L0</v>
      </c>
      <c r="E11416" s="3"/>
      <c r="F11416" s="3"/>
      <c r="G11416" s="3"/>
      <c r="H11416" s="3"/>
    </row>
    <row r="11417">
      <c r="A11417" s="2">
        <f>IFERROR(__xludf.DUMMYFUNCTION("""COMPUTED_VALUE"""),72558.0)</f>
        <v>72558</v>
      </c>
      <c r="B11417" s="3" t="str">
        <f>IFERROR(__xludf.DUMMYFUNCTION("""COMPUTED_VALUE"""),"208 BLUE ROOF RD")</f>
        <v>208 BLUE ROOF RD</v>
      </c>
      <c r="C11417" s="3" t="str">
        <f>IFERROR(__xludf.DUMMYFUNCTION("""COMPUTED_VALUE"""),"CAMPBELLFORD")</f>
        <v>CAMPBELLFORD</v>
      </c>
      <c r="D11417" s="3" t="str">
        <f>IFERROR(__xludf.DUMMYFUNCTION("""COMPUTED_VALUE"""),"K0L 1L0")</f>
        <v>K0L 1L0</v>
      </c>
      <c r="E11417" s="3"/>
      <c r="F11417" s="3"/>
      <c r="G11417" s="3"/>
      <c r="H11417" s="3"/>
    </row>
    <row r="11418">
      <c r="A11418" s="2">
        <f>IFERROR(__xludf.DUMMYFUNCTION("""COMPUTED_VALUE"""),72559.0)</f>
        <v>72559</v>
      </c>
      <c r="B11418" s="3" t="str">
        <f>IFERROR(__xludf.DUMMYFUNCTION("""COMPUTED_VALUE"""),"210 BLUE ROOF RD")</f>
        <v>210 BLUE ROOF RD</v>
      </c>
      <c r="C11418" s="3" t="str">
        <f>IFERROR(__xludf.DUMMYFUNCTION("""COMPUTED_VALUE"""),"CAMPBELLFORD")</f>
        <v>CAMPBELLFORD</v>
      </c>
      <c r="D11418" s="3" t="str">
        <f>IFERROR(__xludf.DUMMYFUNCTION("""COMPUTED_VALUE"""),"K0L 1L0")</f>
        <v>K0L 1L0</v>
      </c>
      <c r="E11418" s="3"/>
      <c r="F11418" s="3"/>
      <c r="G11418" s="3"/>
      <c r="H11418" s="3"/>
    </row>
    <row r="11419">
      <c r="A11419" s="2">
        <f>IFERROR(__xludf.DUMMYFUNCTION("""COMPUTED_VALUE"""),72562.0)</f>
        <v>72562</v>
      </c>
      <c r="B11419" s="3" t="str">
        <f>IFERROR(__xludf.DUMMYFUNCTION("""COMPUTED_VALUE"""),"222 BLUE ROOF RD")</f>
        <v>222 BLUE ROOF RD</v>
      </c>
      <c r="C11419" s="3" t="str">
        <f>IFERROR(__xludf.DUMMYFUNCTION("""COMPUTED_VALUE"""),"CAMPBELLFORD")</f>
        <v>CAMPBELLFORD</v>
      </c>
      <c r="D11419" s="3" t="str">
        <f>IFERROR(__xludf.DUMMYFUNCTION("""COMPUTED_VALUE"""),"K0L 1L0")</f>
        <v>K0L 1L0</v>
      </c>
      <c r="E11419" s="3"/>
      <c r="F11419" s="3"/>
      <c r="G11419" s="3"/>
      <c r="H11419" s="3"/>
    </row>
    <row r="11420">
      <c r="A11420" s="2">
        <f>IFERROR(__xludf.DUMMYFUNCTION("""COMPUTED_VALUE"""),72564.0)</f>
        <v>72564</v>
      </c>
      <c r="B11420" s="3" t="str">
        <f>IFERROR(__xludf.DUMMYFUNCTION("""COMPUTED_VALUE"""),"232 BLUE ROOF RD")</f>
        <v>232 BLUE ROOF RD</v>
      </c>
      <c r="C11420" s="3" t="str">
        <f>IFERROR(__xludf.DUMMYFUNCTION("""COMPUTED_VALUE"""),"CAMPBELLFORD")</f>
        <v>CAMPBELLFORD</v>
      </c>
      <c r="D11420" s="3" t="str">
        <f>IFERROR(__xludf.DUMMYFUNCTION("""COMPUTED_VALUE"""),"K0L 1L0")</f>
        <v>K0L 1L0</v>
      </c>
      <c r="E11420" s="3"/>
      <c r="F11420" s="3"/>
      <c r="G11420" s="3"/>
      <c r="H11420" s="3"/>
    </row>
    <row r="11421">
      <c r="A11421" s="2">
        <f>IFERROR(__xludf.DUMMYFUNCTION("""COMPUTED_VALUE"""),72557.0)</f>
        <v>72557</v>
      </c>
      <c r="B11421" s="3" t="str">
        <f>IFERROR(__xludf.DUMMYFUNCTION("""COMPUTED_VALUE"""),"132D BLUE ROOF RD")</f>
        <v>132D BLUE ROOF RD</v>
      </c>
      <c r="C11421" s="3" t="str">
        <f>IFERROR(__xludf.DUMMYFUNCTION("""COMPUTED_VALUE"""),"CAMPBELLFORD")</f>
        <v>CAMPBELLFORD</v>
      </c>
      <c r="D11421" s="3" t="str">
        <f>IFERROR(__xludf.DUMMYFUNCTION("""COMPUTED_VALUE"""),"K0L 1L0")</f>
        <v>K0L 1L0</v>
      </c>
      <c r="E11421" s="3"/>
      <c r="F11421" s="3"/>
      <c r="G11421" s="3"/>
      <c r="H11421" s="3"/>
    </row>
    <row r="11422">
      <c r="A11422" s="2">
        <f>IFERROR(__xludf.DUMMYFUNCTION("""COMPUTED_VALUE"""),72555.0)</f>
        <v>72555</v>
      </c>
      <c r="B11422" s="3" t="str">
        <f>IFERROR(__xludf.DUMMYFUNCTION("""COMPUTED_VALUE"""),"135B BLUE ROOF RD")</f>
        <v>135B BLUE ROOF RD</v>
      </c>
      <c r="C11422" s="3" t="str">
        <f>IFERROR(__xludf.DUMMYFUNCTION("""COMPUTED_VALUE"""),"CAMPBELLFORD")</f>
        <v>CAMPBELLFORD</v>
      </c>
      <c r="D11422" s="3" t="str">
        <f>IFERROR(__xludf.DUMMYFUNCTION("""COMPUTED_VALUE"""),"K0L 1L0")</f>
        <v>K0L 1L0</v>
      </c>
      <c r="E11422" s="3"/>
      <c r="F11422" s="3"/>
      <c r="G11422" s="3"/>
      <c r="H11422" s="3"/>
    </row>
    <row r="11423">
      <c r="A11423" s="2">
        <f>IFERROR(__xludf.DUMMYFUNCTION("""COMPUTED_VALUE"""),72556.0)</f>
        <v>72556</v>
      </c>
      <c r="B11423" s="3" t="str">
        <f>IFERROR(__xludf.DUMMYFUNCTION("""COMPUTED_VALUE"""),"135C BLUE ROOF RD")</f>
        <v>135C BLUE ROOF RD</v>
      </c>
      <c r="C11423" s="3" t="str">
        <f>IFERROR(__xludf.DUMMYFUNCTION("""COMPUTED_VALUE"""),"CAMPBELLFORD")</f>
        <v>CAMPBELLFORD</v>
      </c>
      <c r="D11423" s="3" t="str">
        <f>IFERROR(__xludf.DUMMYFUNCTION("""COMPUTED_VALUE"""),"K0L 1L0")</f>
        <v>K0L 1L0</v>
      </c>
      <c r="E11423" s="3"/>
      <c r="F11423" s="3"/>
      <c r="G11423" s="3"/>
      <c r="H11423" s="3"/>
    </row>
    <row r="11424">
      <c r="A11424" s="2">
        <f>IFERROR(__xludf.DUMMYFUNCTION("""COMPUTED_VALUE"""),72560.0)</f>
        <v>72560</v>
      </c>
      <c r="B11424" s="3" t="str">
        <f>IFERROR(__xludf.DUMMYFUNCTION("""COMPUTED_VALUE"""),"TBD1 BLUE ROOF RD")</f>
        <v>TBD1 BLUE ROOF RD</v>
      </c>
      <c r="C11424" s="3" t="str">
        <f>IFERROR(__xludf.DUMMYFUNCTION("""COMPUTED_VALUE"""),"CAMPBELLFORD")</f>
        <v>CAMPBELLFORD</v>
      </c>
      <c r="D11424" s="3" t="str">
        <f>IFERROR(__xludf.DUMMYFUNCTION("""COMPUTED_VALUE"""),"K0L 1L0")</f>
        <v>K0L 1L0</v>
      </c>
      <c r="E11424" s="3"/>
      <c r="F11424" s="3"/>
      <c r="G11424" s="3"/>
      <c r="H11424" s="3"/>
    </row>
    <row r="11425">
      <c r="A11425" s="2">
        <f>IFERROR(__xludf.DUMMYFUNCTION("""COMPUTED_VALUE"""),72561.0)</f>
        <v>72561</v>
      </c>
      <c r="B11425" s="3" t="str">
        <f>IFERROR(__xludf.DUMMYFUNCTION("""COMPUTED_VALUE"""),"TBD2 BLUE ROOF RD")</f>
        <v>TBD2 BLUE ROOF RD</v>
      </c>
      <c r="C11425" s="3" t="str">
        <f>IFERROR(__xludf.DUMMYFUNCTION("""COMPUTED_VALUE"""),"CAMPBELLFORD")</f>
        <v>CAMPBELLFORD</v>
      </c>
      <c r="D11425" s="3" t="str">
        <f>IFERROR(__xludf.DUMMYFUNCTION("""COMPUTED_VALUE"""),"K0L 1L0")</f>
        <v>K0L 1L0</v>
      </c>
      <c r="E11425" s="3"/>
      <c r="F11425" s="3"/>
      <c r="G11425" s="3"/>
      <c r="H11425" s="3"/>
    </row>
    <row r="11426">
      <c r="A11426" s="2">
        <f>IFERROR(__xludf.DUMMYFUNCTION("""COMPUTED_VALUE"""),72563.0)</f>
        <v>72563</v>
      </c>
      <c r="B11426" s="3" t="str">
        <f>IFERROR(__xludf.DUMMYFUNCTION("""COMPUTED_VALUE"""),"TBD3 BLUE ROOF RD")</f>
        <v>TBD3 BLUE ROOF RD</v>
      </c>
      <c r="C11426" s="3" t="str">
        <f>IFERROR(__xludf.DUMMYFUNCTION("""COMPUTED_VALUE"""),"CAMPBELLFORD")</f>
        <v>CAMPBELLFORD</v>
      </c>
      <c r="D11426" s="3" t="str">
        <f>IFERROR(__xludf.DUMMYFUNCTION("""COMPUTED_VALUE"""),"K0L 1L0")</f>
        <v>K0L 1L0</v>
      </c>
      <c r="E11426" s="3"/>
      <c r="F11426" s="3"/>
      <c r="G11426" s="3"/>
      <c r="H11426" s="3"/>
    </row>
    <row r="11427">
      <c r="A11427" s="2">
        <f>IFERROR(__xludf.DUMMYFUNCTION("""COMPUTED_VALUE"""),70467.0)</f>
        <v>70467</v>
      </c>
      <c r="B11427" s="3" t="str">
        <f>IFERROR(__xludf.DUMMYFUNCTION("""COMPUTED_VALUE"""),"4 BRADLEY BAY RD")</f>
        <v>4 BRADLEY BAY RD</v>
      </c>
      <c r="C11427" s="3" t="str">
        <f>IFERROR(__xludf.DUMMYFUNCTION("""COMPUTED_VALUE"""),"CAMPBELLFORD")</f>
        <v>CAMPBELLFORD</v>
      </c>
      <c r="D11427" s="3" t="str">
        <f>IFERROR(__xludf.DUMMYFUNCTION("""COMPUTED_VALUE"""),"K0L 1L0")</f>
        <v>K0L 1L0</v>
      </c>
      <c r="E11427" s="3"/>
      <c r="F11427" s="3"/>
      <c r="G11427" s="3"/>
      <c r="H11427" s="3"/>
    </row>
    <row r="11428">
      <c r="A11428" s="2">
        <f>IFERROR(__xludf.DUMMYFUNCTION("""COMPUTED_VALUE"""),70468.0)</f>
        <v>70468</v>
      </c>
      <c r="B11428" s="3" t="str">
        <f>IFERROR(__xludf.DUMMYFUNCTION("""COMPUTED_VALUE"""),"8 BRADLEY BAY RD")</f>
        <v>8 BRADLEY BAY RD</v>
      </c>
      <c r="C11428" s="3" t="str">
        <f>IFERROR(__xludf.DUMMYFUNCTION("""COMPUTED_VALUE"""),"CAMPBELLFORD")</f>
        <v>CAMPBELLFORD</v>
      </c>
      <c r="D11428" s="3" t="str">
        <f>IFERROR(__xludf.DUMMYFUNCTION("""COMPUTED_VALUE"""),"K0L 1L0")</f>
        <v>K0L 1L0</v>
      </c>
      <c r="E11428" s="3"/>
      <c r="F11428" s="3"/>
      <c r="G11428" s="3"/>
      <c r="H11428" s="3"/>
    </row>
    <row r="11429">
      <c r="A11429" s="2">
        <f>IFERROR(__xludf.DUMMYFUNCTION("""COMPUTED_VALUE"""),70469.0)</f>
        <v>70469</v>
      </c>
      <c r="B11429" s="3" t="str">
        <f>IFERROR(__xludf.DUMMYFUNCTION("""COMPUTED_VALUE"""),"18 BRADLEY BAY RD")</f>
        <v>18 BRADLEY BAY RD</v>
      </c>
      <c r="C11429" s="3" t="str">
        <f>IFERROR(__xludf.DUMMYFUNCTION("""COMPUTED_VALUE"""),"CAMPBELLFORD")</f>
        <v>CAMPBELLFORD</v>
      </c>
      <c r="D11429" s="3" t="str">
        <f>IFERROR(__xludf.DUMMYFUNCTION("""COMPUTED_VALUE"""),"K0L 1L0")</f>
        <v>K0L 1L0</v>
      </c>
      <c r="E11429" s="3"/>
      <c r="F11429" s="3"/>
      <c r="G11429" s="3"/>
      <c r="H11429" s="3"/>
    </row>
    <row r="11430">
      <c r="A11430" s="2">
        <f>IFERROR(__xludf.DUMMYFUNCTION("""COMPUTED_VALUE"""),70470.0)</f>
        <v>70470</v>
      </c>
      <c r="B11430" s="3" t="str">
        <f>IFERROR(__xludf.DUMMYFUNCTION("""COMPUTED_VALUE"""),"30 BRADLEY BAY RD")</f>
        <v>30 BRADLEY BAY RD</v>
      </c>
      <c r="C11430" s="3" t="str">
        <f>IFERROR(__xludf.DUMMYFUNCTION("""COMPUTED_VALUE"""),"CAMPBELLFORD")</f>
        <v>CAMPBELLFORD</v>
      </c>
      <c r="D11430" s="3" t="str">
        <f>IFERROR(__xludf.DUMMYFUNCTION("""COMPUTED_VALUE"""),"K0L 1L0")</f>
        <v>K0L 1L0</v>
      </c>
      <c r="E11430" s="3"/>
      <c r="F11430" s="3"/>
      <c r="G11430" s="3"/>
      <c r="H11430" s="3"/>
    </row>
    <row r="11431">
      <c r="A11431" s="2">
        <f>IFERROR(__xludf.DUMMYFUNCTION("""COMPUTED_VALUE"""),70471.0)</f>
        <v>70471</v>
      </c>
      <c r="B11431" s="3" t="str">
        <f>IFERROR(__xludf.DUMMYFUNCTION("""COMPUTED_VALUE"""),"34 BRADLEY BAY RD")</f>
        <v>34 BRADLEY BAY RD</v>
      </c>
      <c r="C11431" s="3" t="str">
        <f>IFERROR(__xludf.DUMMYFUNCTION("""COMPUTED_VALUE"""),"CAMPBELLFORD")</f>
        <v>CAMPBELLFORD</v>
      </c>
      <c r="D11431" s="3" t="str">
        <f>IFERROR(__xludf.DUMMYFUNCTION("""COMPUTED_VALUE"""),"K0L 1L0")</f>
        <v>K0L 1L0</v>
      </c>
      <c r="E11431" s="3"/>
      <c r="F11431" s="3"/>
      <c r="G11431" s="3"/>
      <c r="H11431" s="3"/>
    </row>
    <row r="11432">
      <c r="A11432" s="2">
        <f>IFERROR(__xludf.DUMMYFUNCTION("""COMPUTED_VALUE"""),70472.0)</f>
        <v>70472</v>
      </c>
      <c r="B11432" s="3" t="str">
        <f>IFERROR(__xludf.DUMMYFUNCTION("""COMPUTED_VALUE"""),"71 BRADLEY BAY RD")</f>
        <v>71 BRADLEY BAY RD</v>
      </c>
      <c r="C11432" s="3" t="str">
        <f>IFERROR(__xludf.DUMMYFUNCTION("""COMPUTED_VALUE"""),"CAMPBELLFORD")</f>
        <v>CAMPBELLFORD</v>
      </c>
      <c r="D11432" s="3" t="str">
        <f>IFERROR(__xludf.DUMMYFUNCTION("""COMPUTED_VALUE"""),"K0L 1L0")</f>
        <v>K0L 1L0</v>
      </c>
      <c r="E11432" s="3"/>
      <c r="F11432" s="3"/>
      <c r="G11432" s="3"/>
      <c r="H11432" s="3"/>
    </row>
    <row r="11433">
      <c r="A11433" s="2">
        <f>IFERROR(__xludf.DUMMYFUNCTION("""COMPUTED_VALUE"""),70473.0)</f>
        <v>70473</v>
      </c>
      <c r="B11433" s="3" t="str">
        <f>IFERROR(__xludf.DUMMYFUNCTION("""COMPUTED_VALUE"""),"220 BRADLEY BAY RD")</f>
        <v>220 BRADLEY BAY RD</v>
      </c>
      <c r="C11433" s="3" t="str">
        <f>IFERROR(__xludf.DUMMYFUNCTION("""COMPUTED_VALUE"""),"CAMPBELLFORD")</f>
        <v>CAMPBELLFORD</v>
      </c>
      <c r="D11433" s="3" t="str">
        <f>IFERROR(__xludf.DUMMYFUNCTION("""COMPUTED_VALUE"""),"K0L 1L0")</f>
        <v>K0L 1L0</v>
      </c>
      <c r="E11433" s="3"/>
      <c r="F11433" s="3"/>
      <c r="G11433" s="3"/>
      <c r="H11433" s="3"/>
    </row>
    <row r="11434">
      <c r="A11434" s="2">
        <f>IFERROR(__xludf.DUMMYFUNCTION("""COMPUTED_VALUE"""),70474.0)</f>
        <v>70474</v>
      </c>
      <c r="B11434" s="3" t="str">
        <f>IFERROR(__xludf.DUMMYFUNCTION("""COMPUTED_VALUE"""),"297 BRADLEY BAY RD")</f>
        <v>297 BRADLEY BAY RD</v>
      </c>
      <c r="C11434" s="3" t="str">
        <f>IFERROR(__xludf.DUMMYFUNCTION("""COMPUTED_VALUE"""),"CAMPBELLFORD")</f>
        <v>CAMPBELLFORD</v>
      </c>
      <c r="D11434" s="3" t="str">
        <f>IFERROR(__xludf.DUMMYFUNCTION("""COMPUTED_VALUE"""),"K0L 1L0")</f>
        <v>K0L 1L0</v>
      </c>
      <c r="E11434" s="3"/>
      <c r="F11434" s="3"/>
      <c r="G11434" s="3"/>
      <c r="H11434" s="3"/>
    </row>
    <row r="11435">
      <c r="A11435" s="2">
        <f>IFERROR(__xludf.DUMMYFUNCTION("""COMPUTED_VALUE"""),70475.0)</f>
        <v>70475</v>
      </c>
      <c r="B11435" s="3" t="str">
        <f>IFERROR(__xludf.DUMMYFUNCTION("""COMPUTED_VALUE"""),"351 BRADLEY BAY RD")</f>
        <v>351 BRADLEY BAY RD</v>
      </c>
      <c r="C11435" s="3" t="str">
        <f>IFERROR(__xludf.DUMMYFUNCTION("""COMPUTED_VALUE"""),"CAMPBELLFORD")</f>
        <v>CAMPBELLFORD</v>
      </c>
      <c r="D11435" s="3" t="str">
        <f>IFERROR(__xludf.DUMMYFUNCTION("""COMPUTED_VALUE"""),"K0L 1L0")</f>
        <v>K0L 1L0</v>
      </c>
      <c r="E11435" s="3"/>
      <c r="F11435" s="3"/>
      <c r="G11435" s="3"/>
      <c r="H11435" s="3"/>
    </row>
    <row r="11436">
      <c r="A11436" s="2">
        <f>IFERROR(__xludf.DUMMYFUNCTION("""COMPUTED_VALUE"""),70476.0)</f>
        <v>70476</v>
      </c>
      <c r="B11436" s="3" t="str">
        <f>IFERROR(__xludf.DUMMYFUNCTION("""COMPUTED_VALUE"""),"426 BRADLEY BAY RD")</f>
        <v>426 BRADLEY BAY RD</v>
      </c>
      <c r="C11436" s="3" t="str">
        <f>IFERROR(__xludf.DUMMYFUNCTION("""COMPUTED_VALUE"""),"CAMPBELLFORD")</f>
        <v>CAMPBELLFORD</v>
      </c>
      <c r="D11436" s="3" t="str">
        <f>IFERROR(__xludf.DUMMYFUNCTION("""COMPUTED_VALUE"""),"K0L 1L0")</f>
        <v>K0L 1L0</v>
      </c>
      <c r="E11436" s="3"/>
      <c r="F11436" s="3"/>
      <c r="G11436" s="3"/>
      <c r="H11436" s="3"/>
    </row>
    <row r="11437">
      <c r="A11437" s="2">
        <f>IFERROR(__xludf.DUMMYFUNCTION("""COMPUTED_VALUE"""),70477.0)</f>
        <v>70477</v>
      </c>
      <c r="B11437" s="3" t="str">
        <f>IFERROR(__xludf.DUMMYFUNCTION("""COMPUTED_VALUE"""),"661 BRADLEY BAY RD")</f>
        <v>661 BRADLEY BAY RD</v>
      </c>
      <c r="C11437" s="3" t="str">
        <f>IFERROR(__xludf.DUMMYFUNCTION("""COMPUTED_VALUE"""),"CAMPBELLFORD")</f>
        <v>CAMPBELLFORD</v>
      </c>
      <c r="D11437" s="3" t="str">
        <f>IFERROR(__xludf.DUMMYFUNCTION("""COMPUTED_VALUE"""),"K0L 1L0")</f>
        <v>K0L 1L0</v>
      </c>
      <c r="E11437" s="3"/>
      <c r="F11437" s="3"/>
      <c r="G11437" s="3"/>
      <c r="H11437" s="3"/>
    </row>
    <row r="11438">
      <c r="A11438" s="2">
        <f>IFERROR(__xludf.DUMMYFUNCTION("""COMPUTED_VALUE"""),70516.0)</f>
        <v>70516</v>
      </c>
      <c r="B11438" s="3" t="str">
        <f>IFERROR(__xludf.DUMMYFUNCTION("""COMPUTED_VALUE"""),"206 BURNBRAE RD")</f>
        <v>206 BURNBRAE RD</v>
      </c>
      <c r="C11438" s="3" t="str">
        <f>IFERROR(__xludf.DUMMYFUNCTION("""COMPUTED_VALUE"""),"CAMPBELLFORD")</f>
        <v>CAMPBELLFORD</v>
      </c>
      <c r="D11438" s="3" t="str">
        <f>IFERROR(__xludf.DUMMYFUNCTION("""COMPUTED_VALUE"""),"K0L 1L0")</f>
        <v>K0L 1L0</v>
      </c>
      <c r="E11438" s="3"/>
      <c r="F11438" s="3"/>
      <c r="G11438" s="3"/>
      <c r="H11438" s="3"/>
    </row>
    <row r="11439">
      <c r="A11439" s="2">
        <f>IFERROR(__xludf.DUMMYFUNCTION("""COMPUTED_VALUE"""),70517.0)</f>
        <v>70517</v>
      </c>
      <c r="B11439" s="3" t="str">
        <f>IFERROR(__xludf.DUMMYFUNCTION("""COMPUTED_VALUE"""),"210 BURNBRAE RD")</f>
        <v>210 BURNBRAE RD</v>
      </c>
      <c r="C11439" s="3" t="str">
        <f>IFERROR(__xludf.DUMMYFUNCTION("""COMPUTED_VALUE"""),"CAMPBELLFORD")</f>
        <v>CAMPBELLFORD</v>
      </c>
      <c r="D11439" s="3" t="str">
        <f>IFERROR(__xludf.DUMMYFUNCTION("""COMPUTED_VALUE"""),"K0L 1L0")</f>
        <v>K0L 1L0</v>
      </c>
      <c r="E11439" s="3"/>
      <c r="F11439" s="3"/>
      <c r="G11439" s="3"/>
      <c r="H11439" s="3"/>
    </row>
    <row r="11440">
      <c r="A11440" s="2">
        <f>IFERROR(__xludf.DUMMYFUNCTION("""COMPUTED_VALUE"""),70518.0)</f>
        <v>70518</v>
      </c>
      <c r="B11440" s="3" t="str">
        <f>IFERROR(__xludf.DUMMYFUNCTION("""COMPUTED_VALUE"""),"288 BURNBRAE RD")</f>
        <v>288 BURNBRAE RD</v>
      </c>
      <c r="C11440" s="3" t="str">
        <f>IFERROR(__xludf.DUMMYFUNCTION("""COMPUTED_VALUE"""),"CAMPBELLFORD")</f>
        <v>CAMPBELLFORD</v>
      </c>
      <c r="D11440" s="3" t="str">
        <f>IFERROR(__xludf.DUMMYFUNCTION("""COMPUTED_VALUE"""),"K0L 1L0")</f>
        <v>K0L 1L0</v>
      </c>
      <c r="E11440" s="3"/>
      <c r="F11440" s="3"/>
      <c r="G11440" s="3"/>
      <c r="H11440" s="3"/>
    </row>
    <row r="11441">
      <c r="A11441" s="2">
        <f>IFERROR(__xludf.DUMMYFUNCTION("""COMPUTED_VALUE"""),70520.0)</f>
        <v>70520</v>
      </c>
      <c r="B11441" s="3" t="str">
        <f>IFERROR(__xludf.DUMMYFUNCTION("""COMPUTED_VALUE"""),"1213 BURNBRAE RD")</f>
        <v>1213 BURNBRAE RD</v>
      </c>
      <c r="C11441" s="3" t="str">
        <f>IFERROR(__xludf.DUMMYFUNCTION("""COMPUTED_VALUE"""),"CAMPBELLFORD")</f>
        <v>CAMPBELLFORD</v>
      </c>
      <c r="D11441" s="3" t="str">
        <f>IFERROR(__xludf.DUMMYFUNCTION("""COMPUTED_VALUE"""),"K0L 1L0")</f>
        <v>K0L 1L0</v>
      </c>
      <c r="E11441" s="3"/>
      <c r="F11441" s="3"/>
      <c r="G11441" s="3"/>
      <c r="H11441" s="3"/>
    </row>
    <row r="11442">
      <c r="A11442" s="2">
        <f>IFERROR(__xludf.DUMMYFUNCTION("""COMPUTED_VALUE"""),70521.0)</f>
        <v>70521</v>
      </c>
      <c r="B11442" s="3" t="str">
        <f>IFERROR(__xludf.DUMMYFUNCTION("""COMPUTED_VALUE"""),"1215 BURNBRAE RD")</f>
        <v>1215 BURNBRAE RD</v>
      </c>
      <c r="C11442" s="3" t="str">
        <f>IFERROR(__xludf.DUMMYFUNCTION("""COMPUTED_VALUE"""),"CAMPBELLFORD")</f>
        <v>CAMPBELLFORD</v>
      </c>
      <c r="D11442" s="3" t="str">
        <f>IFERROR(__xludf.DUMMYFUNCTION("""COMPUTED_VALUE"""),"K0L 1L0")</f>
        <v>K0L 1L0</v>
      </c>
      <c r="E11442" s="3"/>
      <c r="F11442" s="3"/>
      <c r="G11442" s="3"/>
      <c r="H11442" s="3"/>
    </row>
    <row r="11443">
      <c r="A11443" s="2">
        <f>IFERROR(__xludf.DUMMYFUNCTION("""COMPUTED_VALUE"""),70522.0)</f>
        <v>70522</v>
      </c>
      <c r="B11443" s="3" t="str">
        <f>IFERROR(__xludf.DUMMYFUNCTION("""COMPUTED_VALUE"""),"1223 BURNBRAE RD")</f>
        <v>1223 BURNBRAE RD</v>
      </c>
      <c r="C11443" s="3" t="str">
        <f>IFERROR(__xludf.DUMMYFUNCTION("""COMPUTED_VALUE"""),"CAMPBELLFORD")</f>
        <v>CAMPBELLFORD</v>
      </c>
      <c r="D11443" s="3" t="str">
        <f>IFERROR(__xludf.DUMMYFUNCTION("""COMPUTED_VALUE"""),"K0L 1L0")</f>
        <v>K0L 1L0</v>
      </c>
      <c r="E11443" s="3"/>
      <c r="F11443" s="3"/>
      <c r="G11443" s="3"/>
      <c r="H11443" s="3"/>
    </row>
    <row r="11444">
      <c r="A11444" s="2">
        <f>IFERROR(__xludf.DUMMYFUNCTION("""COMPUTED_VALUE"""),70523.0)</f>
        <v>70523</v>
      </c>
      <c r="B11444" s="3" t="str">
        <f>IFERROR(__xludf.DUMMYFUNCTION("""COMPUTED_VALUE"""),"1227 BURNBRAE RD")</f>
        <v>1227 BURNBRAE RD</v>
      </c>
      <c r="C11444" s="3" t="str">
        <f>IFERROR(__xludf.DUMMYFUNCTION("""COMPUTED_VALUE"""),"CAMPBELLFORD")</f>
        <v>CAMPBELLFORD</v>
      </c>
      <c r="D11444" s="3" t="str">
        <f>IFERROR(__xludf.DUMMYFUNCTION("""COMPUTED_VALUE"""),"K0L 1L0")</f>
        <v>K0L 1L0</v>
      </c>
      <c r="E11444" s="3"/>
      <c r="F11444" s="3"/>
      <c r="G11444" s="3"/>
      <c r="H11444" s="3"/>
    </row>
    <row r="11445">
      <c r="A11445" s="2">
        <f>IFERROR(__xludf.DUMMYFUNCTION("""COMPUTED_VALUE"""),70507.0)</f>
        <v>70507</v>
      </c>
      <c r="B11445" s="3" t="str">
        <f>IFERROR(__xludf.DUMMYFUNCTION("""COMPUTED_VALUE"""),"1231 BURNBRAE RD E")</f>
        <v>1231 BURNBRAE RD E</v>
      </c>
      <c r="C11445" s="3" t="str">
        <f>IFERROR(__xludf.DUMMYFUNCTION("""COMPUTED_VALUE"""),"CAMPBELLFORD")</f>
        <v>CAMPBELLFORD</v>
      </c>
      <c r="D11445" s="3" t="str">
        <f>IFERROR(__xludf.DUMMYFUNCTION("""COMPUTED_VALUE"""),"K0L 1L0")</f>
        <v>K0L 1L0</v>
      </c>
      <c r="E11445" s="3"/>
      <c r="F11445" s="3"/>
      <c r="G11445" s="3"/>
      <c r="H11445" s="3"/>
    </row>
    <row r="11446">
      <c r="A11446" s="2">
        <f>IFERROR(__xludf.DUMMYFUNCTION("""COMPUTED_VALUE"""),70524.0)</f>
        <v>70524</v>
      </c>
      <c r="B11446" s="3" t="str">
        <f>IFERROR(__xludf.DUMMYFUNCTION("""COMPUTED_VALUE"""),"1241 BURNBRAE RD")</f>
        <v>1241 BURNBRAE RD</v>
      </c>
      <c r="C11446" s="3" t="str">
        <f>IFERROR(__xludf.DUMMYFUNCTION("""COMPUTED_VALUE"""),"CAMPBELLFORD")</f>
        <v>CAMPBELLFORD</v>
      </c>
      <c r="D11446" s="3" t="str">
        <f>IFERROR(__xludf.DUMMYFUNCTION("""COMPUTED_VALUE"""),"K0L 1L0")</f>
        <v>K0L 1L0</v>
      </c>
      <c r="E11446" s="3"/>
      <c r="F11446" s="3"/>
      <c r="G11446" s="3"/>
      <c r="H11446" s="3"/>
    </row>
    <row r="11447">
      <c r="A11447" s="2">
        <f>IFERROR(__xludf.DUMMYFUNCTION("""COMPUTED_VALUE"""),70525.0)</f>
        <v>70525</v>
      </c>
      <c r="B11447" s="3" t="str">
        <f>IFERROR(__xludf.DUMMYFUNCTION("""COMPUTED_VALUE"""),"1249 BURNBRAE RD")</f>
        <v>1249 BURNBRAE RD</v>
      </c>
      <c r="C11447" s="3" t="str">
        <f>IFERROR(__xludf.DUMMYFUNCTION("""COMPUTED_VALUE"""),"CAMPBELLFORD")</f>
        <v>CAMPBELLFORD</v>
      </c>
      <c r="D11447" s="3" t="str">
        <f>IFERROR(__xludf.DUMMYFUNCTION("""COMPUTED_VALUE"""),"K0L 1L0")</f>
        <v>K0L 1L0</v>
      </c>
      <c r="E11447" s="3"/>
      <c r="F11447" s="3"/>
      <c r="G11447" s="3"/>
      <c r="H11447" s="3"/>
    </row>
    <row r="11448">
      <c r="A11448" s="2">
        <f>IFERROR(__xludf.DUMMYFUNCTION("""COMPUTED_VALUE"""),70508.0)</f>
        <v>70508</v>
      </c>
      <c r="B11448" s="3" t="str">
        <f>IFERROR(__xludf.DUMMYFUNCTION("""COMPUTED_VALUE"""),"1257 BURNBRAE RD E")</f>
        <v>1257 BURNBRAE RD E</v>
      </c>
      <c r="C11448" s="3" t="str">
        <f>IFERROR(__xludf.DUMMYFUNCTION("""COMPUTED_VALUE"""),"CAMPBELLFORD")</f>
        <v>CAMPBELLFORD</v>
      </c>
      <c r="D11448" s="3" t="str">
        <f>IFERROR(__xludf.DUMMYFUNCTION("""COMPUTED_VALUE"""),"K0L 1L0")</f>
        <v>K0L 1L0</v>
      </c>
      <c r="E11448" s="3"/>
      <c r="F11448" s="3"/>
      <c r="G11448" s="3"/>
      <c r="H11448" s="3"/>
    </row>
    <row r="11449">
      <c r="A11449" s="2">
        <f>IFERROR(__xludf.DUMMYFUNCTION("""COMPUTED_VALUE"""),70526.0)</f>
        <v>70526</v>
      </c>
      <c r="B11449" s="3" t="str">
        <f>IFERROR(__xludf.DUMMYFUNCTION("""COMPUTED_VALUE"""),"1329 BURNBRAE RD")</f>
        <v>1329 BURNBRAE RD</v>
      </c>
      <c r="C11449" s="3" t="str">
        <f>IFERROR(__xludf.DUMMYFUNCTION("""COMPUTED_VALUE"""),"CAMPBELLFORD")</f>
        <v>CAMPBELLFORD</v>
      </c>
      <c r="D11449" s="3" t="str">
        <f>IFERROR(__xludf.DUMMYFUNCTION("""COMPUTED_VALUE"""),"K0L 1L0")</f>
        <v>K0L 1L0</v>
      </c>
      <c r="E11449" s="3" t="str">
        <f>IFERROR(__xludf.DUMMYFUNCTION("""COMPUTED_VALUE"""),"STEVE MCKEOWN")</f>
        <v>STEVE MCKEOWN</v>
      </c>
      <c r="F11449" s="3" t="str">
        <f>IFERROR(__xludf.DUMMYFUNCTION("""COMPUTED_VALUE"""),"stevem@team-eagle.ca")</f>
        <v>stevem@team-eagle.ca</v>
      </c>
      <c r="G11449" s="3">
        <f>IFERROR(__xludf.DUMMYFUNCTION("""COMPUTED_VALUE"""),7.056530317E9)</f>
        <v>7056530317</v>
      </c>
      <c r="H11449" s="3">
        <f>IFERROR(__xludf.DUMMYFUNCTION("""COMPUTED_VALUE"""),7.05653631E9)</f>
        <v>7056536310</v>
      </c>
    </row>
    <row r="11450">
      <c r="A11450" s="2">
        <f>IFERROR(__xludf.DUMMYFUNCTION("""COMPUTED_VALUE"""),70527.0)</f>
        <v>70527</v>
      </c>
      <c r="B11450" s="3" t="str">
        <f>IFERROR(__xludf.DUMMYFUNCTION("""COMPUTED_VALUE"""),"1333 BURNBRAE RD")</f>
        <v>1333 BURNBRAE RD</v>
      </c>
      <c r="C11450" s="3" t="str">
        <f>IFERROR(__xludf.DUMMYFUNCTION("""COMPUTED_VALUE"""),"CAMPBELLFORD")</f>
        <v>CAMPBELLFORD</v>
      </c>
      <c r="D11450" s="3" t="str">
        <f>IFERROR(__xludf.DUMMYFUNCTION("""COMPUTED_VALUE"""),"K0L 1L0")</f>
        <v>K0L 1L0</v>
      </c>
      <c r="E11450" s="3"/>
      <c r="F11450" s="3"/>
      <c r="G11450" s="3"/>
      <c r="H11450" s="3"/>
    </row>
    <row r="11451">
      <c r="A11451" s="2">
        <f>IFERROR(__xludf.DUMMYFUNCTION("""COMPUTED_VALUE"""),70509.0)</f>
        <v>70509</v>
      </c>
      <c r="B11451" s="3" t="str">
        <f>IFERROR(__xludf.DUMMYFUNCTION("""COMPUTED_VALUE"""),"1350 BURNBRAE RD E")</f>
        <v>1350 BURNBRAE RD E</v>
      </c>
      <c r="C11451" s="3" t="str">
        <f>IFERROR(__xludf.DUMMYFUNCTION("""COMPUTED_VALUE"""),"CAMPBELLFORD")</f>
        <v>CAMPBELLFORD</v>
      </c>
      <c r="D11451" s="3" t="str">
        <f>IFERROR(__xludf.DUMMYFUNCTION("""COMPUTED_VALUE"""),"K0L 1L0")</f>
        <v>K0L 1L0</v>
      </c>
      <c r="E11451" s="3"/>
      <c r="F11451" s="3"/>
      <c r="G11451" s="3"/>
      <c r="H11451" s="3"/>
    </row>
    <row r="11452">
      <c r="A11452" s="2">
        <f>IFERROR(__xludf.DUMMYFUNCTION("""COMPUTED_VALUE"""),70528.0)</f>
        <v>70528</v>
      </c>
      <c r="B11452" s="3" t="str">
        <f>IFERROR(__xludf.DUMMYFUNCTION("""COMPUTED_VALUE"""),"1535 BURNBRAE RD")</f>
        <v>1535 BURNBRAE RD</v>
      </c>
      <c r="C11452" s="3" t="str">
        <f>IFERROR(__xludf.DUMMYFUNCTION("""COMPUTED_VALUE"""),"CAMPBELLFORD")</f>
        <v>CAMPBELLFORD</v>
      </c>
      <c r="D11452" s="3" t="str">
        <f>IFERROR(__xludf.DUMMYFUNCTION("""COMPUTED_VALUE"""),"K0L 1L0")</f>
        <v>K0L 1L0</v>
      </c>
      <c r="E11452" s="3" t="str">
        <f>IFERROR(__xludf.DUMMYFUNCTION("""COMPUTED_VALUE"""),"Rob Pope")</f>
        <v>Rob Pope</v>
      </c>
      <c r="F11452" s="3" t="str">
        <f>IFERROR(__xludf.DUMMYFUNCTION("""COMPUTED_VALUE"""),"rob_pope@yahoo.com")</f>
        <v>rob_pope@yahoo.com</v>
      </c>
      <c r="G11452" s="3"/>
      <c r="H11452" s="3"/>
    </row>
    <row r="11453">
      <c r="A11453" s="2">
        <f>IFERROR(__xludf.DUMMYFUNCTION("""COMPUTED_VALUE"""),70529.0)</f>
        <v>70529</v>
      </c>
      <c r="B11453" s="3" t="str">
        <f>IFERROR(__xludf.DUMMYFUNCTION("""COMPUTED_VALUE"""),"1554 BURNBRAE RD")</f>
        <v>1554 BURNBRAE RD</v>
      </c>
      <c r="C11453" s="3" t="str">
        <f>IFERROR(__xludf.DUMMYFUNCTION("""COMPUTED_VALUE"""),"CAMPBELLFORD")</f>
        <v>CAMPBELLFORD</v>
      </c>
      <c r="D11453" s="3" t="str">
        <f>IFERROR(__xludf.DUMMYFUNCTION("""COMPUTED_VALUE"""),"K0L 1L0")</f>
        <v>K0L 1L0</v>
      </c>
      <c r="E11453" s="3"/>
      <c r="F11453" s="3"/>
      <c r="G11453" s="3"/>
      <c r="H11453" s="3"/>
    </row>
    <row r="11454">
      <c r="A11454" s="2">
        <f>IFERROR(__xludf.DUMMYFUNCTION("""COMPUTED_VALUE"""),70530.0)</f>
        <v>70530</v>
      </c>
      <c r="B11454" s="3" t="str">
        <f>IFERROR(__xludf.DUMMYFUNCTION("""COMPUTED_VALUE"""),"1632 BURNBRAE RD")</f>
        <v>1632 BURNBRAE RD</v>
      </c>
      <c r="C11454" s="3" t="str">
        <f>IFERROR(__xludf.DUMMYFUNCTION("""COMPUTED_VALUE"""),"CAMPBELLFORD")</f>
        <v>CAMPBELLFORD</v>
      </c>
      <c r="D11454" s="3" t="str">
        <f>IFERROR(__xludf.DUMMYFUNCTION("""COMPUTED_VALUE"""),"K0L 1L0")</f>
        <v>K0L 1L0</v>
      </c>
      <c r="E11454" s="3"/>
      <c r="F11454" s="3"/>
      <c r="G11454" s="3"/>
      <c r="H11454" s="3"/>
    </row>
    <row r="11455">
      <c r="A11455" s="2">
        <f>IFERROR(__xludf.DUMMYFUNCTION("""COMPUTED_VALUE"""),70531.0)</f>
        <v>70531</v>
      </c>
      <c r="B11455" s="3" t="str">
        <f>IFERROR(__xludf.DUMMYFUNCTION("""COMPUTED_VALUE"""),"1727 BURNBRAE RD")</f>
        <v>1727 BURNBRAE RD</v>
      </c>
      <c r="C11455" s="3" t="str">
        <f>IFERROR(__xludf.DUMMYFUNCTION("""COMPUTED_VALUE"""),"CAMPBELLFORD")</f>
        <v>CAMPBELLFORD</v>
      </c>
      <c r="D11455" s="3" t="str">
        <f>IFERROR(__xludf.DUMMYFUNCTION("""COMPUTED_VALUE"""),"K0L 1L0")</f>
        <v>K0L 1L0</v>
      </c>
      <c r="E11455" s="3" t="str">
        <f>IFERROR(__xludf.DUMMYFUNCTION("""COMPUTED_VALUE"""),"Christina Haig")</f>
        <v>Christina Haig</v>
      </c>
      <c r="F11455" s="3" t="str">
        <f>IFERROR(__xludf.DUMMYFUNCTION("""COMPUTED_VALUE"""),"chrishaig5505@gmail.com")</f>
        <v>chrishaig5505@gmail.com</v>
      </c>
      <c r="G11455" s="3">
        <f>IFERROR(__xludf.DUMMYFUNCTION("""COMPUTED_VALUE"""),7.056538134E9)</f>
        <v>7056538134</v>
      </c>
      <c r="H11455" s="3"/>
    </row>
    <row r="11456">
      <c r="A11456" s="2">
        <f>IFERROR(__xludf.DUMMYFUNCTION("""COMPUTED_VALUE"""),70532.0)</f>
        <v>70532</v>
      </c>
      <c r="B11456" s="3" t="str">
        <f>IFERROR(__xludf.DUMMYFUNCTION("""COMPUTED_VALUE"""),"1780 BURNBRAE RD")</f>
        <v>1780 BURNBRAE RD</v>
      </c>
      <c r="C11456" s="3" t="str">
        <f>IFERROR(__xludf.DUMMYFUNCTION("""COMPUTED_VALUE"""),"CAMPBELLFORD")</f>
        <v>CAMPBELLFORD</v>
      </c>
      <c r="D11456" s="3" t="str">
        <f>IFERROR(__xludf.DUMMYFUNCTION("""COMPUTED_VALUE"""),"K0L 1L0")</f>
        <v>K0L 1L0</v>
      </c>
      <c r="E11456" s="3"/>
      <c r="F11456" s="3"/>
      <c r="G11456" s="3"/>
      <c r="H11456" s="3"/>
    </row>
    <row r="11457">
      <c r="A11457" s="2">
        <f>IFERROR(__xludf.DUMMYFUNCTION("""COMPUTED_VALUE"""),70510.0)</f>
        <v>70510</v>
      </c>
      <c r="B11457" s="3" t="str">
        <f>IFERROR(__xludf.DUMMYFUNCTION("""COMPUTED_VALUE"""),"1890 BURNBRAE RD E")</f>
        <v>1890 BURNBRAE RD E</v>
      </c>
      <c r="C11457" s="3" t="str">
        <f>IFERROR(__xludf.DUMMYFUNCTION("""COMPUTED_VALUE"""),"CAMPBELLFORD")</f>
        <v>CAMPBELLFORD</v>
      </c>
      <c r="D11457" s="3" t="str">
        <f>IFERROR(__xludf.DUMMYFUNCTION("""COMPUTED_VALUE"""),"K0L 1L0")</f>
        <v>K0L 1L0</v>
      </c>
      <c r="E11457" s="3"/>
      <c r="F11457" s="3"/>
      <c r="G11457" s="3"/>
      <c r="H11457" s="3"/>
    </row>
    <row r="11458">
      <c r="A11458" s="2">
        <f>IFERROR(__xludf.DUMMYFUNCTION("""COMPUTED_VALUE"""),70534.0)</f>
        <v>70534</v>
      </c>
      <c r="B11458" s="3" t="str">
        <f>IFERROR(__xludf.DUMMYFUNCTION("""COMPUTED_VALUE"""),"1969 BURNBRAE RD")</f>
        <v>1969 BURNBRAE RD</v>
      </c>
      <c r="C11458" s="3" t="str">
        <f>IFERROR(__xludf.DUMMYFUNCTION("""COMPUTED_VALUE"""),"CAMPBELLFORD")</f>
        <v>CAMPBELLFORD</v>
      </c>
      <c r="D11458" s="3" t="str">
        <f>IFERROR(__xludf.DUMMYFUNCTION("""COMPUTED_VALUE"""),"K0L 1L0")</f>
        <v>K0L 1L0</v>
      </c>
      <c r="E11458" s="3"/>
      <c r="F11458" s="3"/>
      <c r="G11458" s="3"/>
      <c r="H11458" s="3"/>
    </row>
    <row r="11459">
      <c r="A11459" s="2">
        <f>IFERROR(__xludf.DUMMYFUNCTION("""COMPUTED_VALUE"""),70535.0)</f>
        <v>70535</v>
      </c>
      <c r="B11459" s="3" t="str">
        <f>IFERROR(__xludf.DUMMYFUNCTION("""COMPUTED_VALUE"""),"1978 BURNBRAE RD")</f>
        <v>1978 BURNBRAE RD</v>
      </c>
      <c r="C11459" s="3" t="str">
        <f>IFERROR(__xludf.DUMMYFUNCTION("""COMPUTED_VALUE"""),"CAMPBELLFORD")</f>
        <v>CAMPBELLFORD</v>
      </c>
      <c r="D11459" s="3" t="str">
        <f>IFERROR(__xludf.DUMMYFUNCTION("""COMPUTED_VALUE"""),"K0L 1L0")</f>
        <v>K0L 1L0</v>
      </c>
      <c r="E11459" s="3"/>
      <c r="F11459" s="3"/>
      <c r="G11459" s="3"/>
      <c r="H11459" s="3"/>
    </row>
    <row r="11460">
      <c r="A11460" s="2">
        <f>IFERROR(__xludf.DUMMYFUNCTION("""COMPUTED_VALUE"""),70536.0)</f>
        <v>70536</v>
      </c>
      <c r="B11460" s="3" t="str">
        <f>IFERROR(__xludf.DUMMYFUNCTION("""COMPUTED_VALUE"""),"2090 BURNBRAE RD")</f>
        <v>2090 BURNBRAE RD</v>
      </c>
      <c r="C11460" s="3" t="str">
        <f>IFERROR(__xludf.DUMMYFUNCTION("""COMPUTED_VALUE"""),"CAMPBELLFORD")</f>
        <v>CAMPBELLFORD</v>
      </c>
      <c r="D11460" s="3" t="str">
        <f>IFERROR(__xludf.DUMMYFUNCTION("""COMPUTED_VALUE"""),"K0L 1L0")</f>
        <v>K0L 1L0</v>
      </c>
      <c r="E11460" s="3"/>
      <c r="F11460" s="3"/>
      <c r="G11460" s="3"/>
      <c r="H11460" s="3"/>
    </row>
    <row r="11461">
      <c r="A11461" s="2">
        <f>IFERROR(__xludf.DUMMYFUNCTION("""COMPUTED_VALUE"""),70537.0)</f>
        <v>70537</v>
      </c>
      <c r="B11461" s="3" t="str">
        <f>IFERROR(__xludf.DUMMYFUNCTION("""COMPUTED_VALUE"""),"2155 BURNBRAE RD")</f>
        <v>2155 BURNBRAE RD</v>
      </c>
      <c r="C11461" s="3" t="str">
        <f>IFERROR(__xludf.DUMMYFUNCTION("""COMPUTED_VALUE"""),"CAMPBELLFORD")</f>
        <v>CAMPBELLFORD</v>
      </c>
      <c r="D11461" s="3" t="str">
        <f>IFERROR(__xludf.DUMMYFUNCTION("""COMPUTED_VALUE"""),"K0L 1L0")</f>
        <v>K0L 1L0</v>
      </c>
      <c r="E11461" s="3"/>
      <c r="F11461" s="3"/>
      <c r="G11461" s="3"/>
      <c r="H11461" s="3"/>
    </row>
    <row r="11462">
      <c r="A11462" s="2">
        <f>IFERROR(__xludf.DUMMYFUNCTION("""COMPUTED_VALUE"""),70538.0)</f>
        <v>70538</v>
      </c>
      <c r="B11462" s="3" t="str">
        <f>IFERROR(__xludf.DUMMYFUNCTION("""COMPUTED_VALUE"""),"2242 BURNBRAE RD")</f>
        <v>2242 BURNBRAE RD</v>
      </c>
      <c r="C11462" s="3" t="str">
        <f>IFERROR(__xludf.DUMMYFUNCTION("""COMPUTED_VALUE"""),"CAMPBELLFORD")</f>
        <v>CAMPBELLFORD</v>
      </c>
      <c r="D11462" s="3" t="str">
        <f>IFERROR(__xludf.DUMMYFUNCTION("""COMPUTED_VALUE"""),"K0L 1L0")</f>
        <v>K0L 1L0</v>
      </c>
      <c r="E11462" s="3"/>
      <c r="F11462" s="3"/>
      <c r="G11462" s="3"/>
      <c r="H11462" s="3"/>
    </row>
    <row r="11463">
      <c r="A11463" s="2">
        <f>IFERROR(__xludf.DUMMYFUNCTION("""COMPUTED_VALUE"""),70539.0)</f>
        <v>70539</v>
      </c>
      <c r="B11463" s="3" t="str">
        <f>IFERROR(__xludf.DUMMYFUNCTION("""COMPUTED_VALUE"""),"2291 BURNBRAE RD")</f>
        <v>2291 BURNBRAE RD</v>
      </c>
      <c r="C11463" s="3" t="str">
        <f>IFERROR(__xludf.DUMMYFUNCTION("""COMPUTED_VALUE"""),"CAMPBELLFORD")</f>
        <v>CAMPBELLFORD</v>
      </c>
      <c r="D11463" s="3" t="str">
        <f>IFERROR(__xludf.DUMMYFUNCTION("""COMPUTED_VALUE"""),"K0L 1L0")</f>
        <v>K0L 1L0</v>
      </c>
      <c r="E11463" s="3"/>
      <c r="F11463" s="3"/>
      <c r="G11463" s="3"/>
      <c r="H11463" s="3"/>
    </row>
    <row r="11464">
      <c r="A11464" s="2">
        <f>IFERROR(__xludf.DUMMYFUNCTION("""COMPUTED_VALUE"""),70540.0)</f>
        <v>70540</v>
      </c>
      <c r="B11464" s="3" t="str">
        <f>IFERROR(__xludf.DUMMYFUNCTION("""COMPUTED_VALUE"""),"2343 BURNBRAE RD")</f>
        <v>2343 BURNBRAE RD</v>
      </c>
      <c r="C11464" s="3" t="str">
        <f>IFERROR(__xludf.DUMMYFUNCTION("""COMPUTED_VALUE"""),"CAMPBELLFORD")</f>
        <v>CAMPBELLFORD</v>
      </c>
      <c r="D11464" s="3" t="str">
        <f>IFERROR(__xludf.DUMMYFUNCTION("""COMPUTED_VALUE"""),"K0L 1L0")</f>
        <v>K0L 1L0</v>
      </c>
      <c r="E11464" s="3"/>
      <c r="F11464" s="3"/>
      <c r="G11464" s="3"/>
      <c r="H11464" s="3"/>
    </row>
    <row r="11465">
      <c r="A11465" s="2">
        <f>IFERROR(__xludf.DUMMYFUNCTION("""COMPUTED_VALUE"""),70541.0)</f>
        <v>70541</v>
      </c>
      <c r="B11465" s="3" t="str">
        <f>IFERROR(__xludf.DUMMYFUNCTION("""COMPUTED_VALUE"""),"2495 BURNBRAE RD")</f>
        <v>2495 BURNBRAE RD</v>
      </c>
      <c r="C11465" s="3" t="str">
        <f>IFERROR(__xludf.DUMMYFUNCTION("""COMPUTED_VALUE"""),"CAMPBELLFORD")</f>
        <v>CAMPBELLFORD</v>
      </c>
      <c r="D11465" s="3" t="str">
        <f>IFERROR(__xludf.DUMMYFUNCTION("""COMPUTED_VALUE"""),"K0L 1L0")</f>
        <v>K0L 1L0</v>
      </c>
      <c r="E11465" s="3"/>
      <c r="F11465" s="3"/>
      <c r="G11465" s="3"/>
      <c r="H11465" s="3"/>
    </row>
    <row r="11466">
      <c r="A11466" s="2">
        <f>IFERROR(__xludf.DUMMYFUNCTION("""COMPUTED_VALUE"""),70542.0)</f>
        <v>70542</v>
      </c>
      <c r="B11466" s="3" t="str">
        <f>IFERROR(__xludf.DUMMYFUNCTION("""COMPUTED_VALUE"""),"2514 BURNBRAE RD")</f>
        <v>2514 BURNBRAE RD</v>
      </c>
      <c r="C11466" s="3" t="str">
        <f>IFERROR(__xludf.DUMMYFUNCTION("""COMPUTED_VALUE"""),"CAMPBELLFORD")</f>
        <v>CAMPBELLFORD</v>
      </c>
      <c r="D11466" s="3" t="str">
        <f>IFERROR(__xludf.DUMMYFUNCTION("""COMPUTED_VALUE"""),"K0L 1L0")</f>
        <v>K0L 1L0</v>
      </c>
      <c r="E11466" s="3"/>
      <c r="F11466" s="3"/>
      <c r="G11466" s="3"/>
      <c r="H11466" s="3"/>
    </row>
    <row r="11467">
      <c r="A11467" s="2">
        <f>IFERROR(__xludf.DUMMYFUNCTION("""COMPUTED_VALUE"""),70543.0)</f>
        <v>70543</v>
      </c>
      <c r="B11467" s="3" t="str">
        <f>IFERROR(__xludf.DUMMYFUNCTION("""COMPUTED_VALUE"""),"2550 BURNBRAE RD")</f>
        <v>2550 BURNBRAE RD</v>
      </c>
      <c r="C11467" s="3" t="str">
        <f>IFERROR(__xludf.DUMMYFUNCTION("""COMPUTED_VALUE"""),"CAMPBELLFORD")</f>
        <v>CAMPBELLFORD</v>
      </c>
      <c r="D11467" s="3" t="str">
        <f>IFERROR(__xludf.DUMMYFUNCTION("""COMPUTED_VALUE"""),"K0L 1L0")</f>
        <v>K0L 1L0</v>
      </c>
      <c r="E11467" s="3"/>
      <c r="F11467" s="3"/>
      <c r="G11467" s="3"/>
      <c r="H11467" s="3"/>
    </row>
    <row r="11468">
      <c r="A11468" s="2">
        <f>IFERROR(__xludf.DUMMYFUNCTION("""COMPUTED_VALUE"""),70544.0)</f>
        <v>70544</v>
      </c>
      <c r="B11468" s="3" t="str">
        <f>IFERROR(__xludf.DUMMYFUNCTION("""COMPUTED_VALUE"""),"2583 BURNBRAE RD")</f>
        <v>2583 BURNBRAE RD</v>
      </c>
      <c r="C11468" s="3" t="str">
        <f>IFERROR(__xludf.DUMMYFUNCTION("""COMPUTED_VALUE"""),"CAMPBELLFORD")</f>
        <v>CAMPBELLFORD</v>
      </c>
      <c r="D11468" s="3" t="str">
        <f>IFERROR(__xludf.DUMMYFUNCTION("""COMPUTED_VALUE"""),"K0L 1L0")</f>
        <v>K0L 1L0</v>
      </c>
      <c r="E11468" s="3"/>
      <c r="F11468" s="3"/>
      <c r="G11468" s="3"/>
      <c r="H11468" s="3"/>
    </row>
    <row r="11469">
      <c r="A11469" s="2">
        <f>IFERROR(__xludf.DUMMYFUNCTION("""COMPUTED_VALUE"""),70545.0)</f>
        <v>70545</v>
      </c>
      <c r="B11469" s="3" t="str">
        <f>IFERROR(__xludf.DUMMYFUNCTION("""COMPUTED_VALUE"""),"2620 BURNBRAE RD")</f>
        <v>2620 BURNBRAE RD</v>
      </c>
      <c r="C11469" s="3" t="str">
        <f>IFERROR(__xludf.DUMMYFUNCTION("""COMPUTED_VALUE"""),"CAMPBELLFORD")</f>
        <v>CAMPBELLFORD</v>
      </c>
      <c r="D11469" s="3" t="str">
        <f>IFERROR(__xludf.DUMMYFUNCTION("""COMPUTED_VALUE"""),"K0L 1L0")</f>
        <v>K0L 1L0</v>
      </c>
      <c r="E11469" s="3"/>
      <c r="F11469" s="3"/>
      <c r="G11469" s="3"/>
      <c r="H11469" s="3"/>
    </row>
    <row r="11470">
      <c r="A11470" s="2">
        <f>IFERROR(__xludf.DUMMYFUNCTION("""COMPUTED_VALUE"""),70546.0)</f>
        <v>70546</v>
      </c>
      <c r="B11470" s="3" t="str">
        <f>IFERROR(__xludf.DUMMYFUNCTION("""COMPUTED_VALUE"""),"2714 BURNBRAE RD")</f>
        <v>2714 BURNBRAE RD</v>
      </c>
      <c r="C11470" s="3" t="str">
        <f>IFERROR(__xludf.DUMMYFUNCTION("""COMPUTED_VALUE"""),"CAMPBELLFORD")</f>
        <v>CAMPBELLFORD</v>
      </c>
      <c r="D11470" s="3" t="str">
        <f>IFERROR(__xludf.DUMMYFUNCTION("""COMPUTED_VALUE"""),"K0L 1L0")</f>
        <v>K0L 1L0</v>
      </c>
      <c r="E11470" s="3"/>
      <c r="F11470" s="3"/>
      <c r="G11470" s="3"/>
      <c r="H11470" s="3"/>
    </row>
    <row r="11471">
      <c r="A11471" s="2">
        <f>IFERROR(__xludf.DUMMYFUNCTION("""COMPUTED_VALUE"""),70547.0)</f>
        <v>70547</v>
      </c>
      <c r="B11471" s="3" t="str">
        <f>IFERROR(__xludf.DUMMYFUNCTION("""COMPUTED_VALUE"""),"2800 BURNBRAE RD")</f>
        <v>2800 BURNBRAE RD</v>
      </c>
      <c r="C11471" s="3" t="str">
        <f>IFERROR(__xludf.DUMMYFUNCTION("""COMPUTED_VALUE"""),"CAMPBELLFORD")</f>
        <v>CAMPBELLFORD</v>
      </c>
      <c r="D11471" s="3" t="str">
        <f>IFERROR(__xludf.DUMMYFUNCTION("""COMPUTED_VALUE"""),"K0L 1L0")</f>
        <v>K0L 1L0</v>
      </c>
      <c r="E11471" s="3"/>
      <c r="F11471" s="3"/>
      <c r="G11471" s="3"/>
      <c r="H11471" s="3"/>
    </row>
    <row r="11472">
      <c r="A11472" s="2">
        <f>IFERROR(__xludf.DUMMYFUNCTION("""COMPUTED_VALUE"""),70559.0)</f>
        <v>70559</v>
      </c>
      <c r="B11472" s="3" t="str">
        <f>IFERROR(__xludf.DUMMYFUNCTION("""COMPUTED_VALUE"""),"160 CATCHMORE RD")</f>
        <v>160 CATCHMORE RD</v>
      </c>
      <c r="C11472" s="3" t="str">
        <f>IFERROR(__xludf.DUMMYFUNCTION("""COMPUTED_VALUE"""),"CAMPBELLFORD")</f>
        <v>CAMPBELLFORD</v>
      </c>
      <c r="D11472" s="3" t="str">
        <f>IFERROR(__xludf.DUMMYFUNCTION("""COMPUTED_VALUE"""),"K0L 1L0")</f>
        <v>K0L 1L0</v>
      </c>
      <c r="E11472" s="3"/>
      <c r="F11472" s="3"/>
      <c r="G11472" s="3"/>
      <c r="H11472" s="3"/>
    </row>
    <row r="11473">
      <c r="A11473" s="2">
        <f>IFERROR(__xludf.DUMMYFUNCTION("""COMPUTED_VALUE"""),70560.0)</f>
        <v>70560</v>
      </c>
      <c r="B11473" s="3" t="str">
        <f>IFERROR(__xludf.DUMMYFUNCTION("""COMPUTED_VALUE"""),"176 CATCHMORE RD")</f>
        <v>176 CATCHMORE RD</v>
      </c>
      <c r="C11473" s="3" t="str">
        <f>IFERROR(__xludf.DUMMYFUNCTION("""COMPUTED_VALUE"""),"CAMPBELLFORD")</f>
        <v>CAMPBELLFORD</v>
      </c>
      <c r="D11473" s="3" t="str">
        <f>IFERROR(__xludf.DUMMYFUNCTION("""COMPUTED_VALUE"""),"K0L 1L0")</f>
        <v>K0L 1L0</v>
      </c>
      <c r="E11473" s="3"/>
      <c r="F11473" s="3"/>
      <c r="G11473" s="3"/>
      <c r="H11473" s="3"/>
    </row>
    <row r="11474">
      <c r="A11474" s="2">
        <f>IFERROR(__xludf.DUMMYFUNCTION("""COMPUTED_VALUE"""),70561.0)</f>
        <v>70561</v>
      </c>
      <c r="B11474" s="3" t="str">
        <f>IFERROR(__xludf.DUMMYFUNCTION("""COMPUTED_VALUE"""),"179 CATCHMORE RD")</f>
        <v>179 CATCHMORE RD</v>
      </c>
      <c r="C11474" s="3" t="str">
        <f>IFERROR(__xludf.DUMMYFUNCTION("""COMPUTED_VALUE"""),"CAMPBELLFORD")</f>
        <v>CAMPBELLFORD</v>
      </c>
      <c r="D11474" s="3" t="str">
        <f>IFERROR(__xludf.DUMMYFUNCTION("""COMPUTED_VALUE"""),"K0L 1L0")</f>
        <v>K0L 1L0</v>
      </c>
      <c r="E11474" s="3"/>
      <c r="F11474" s="3"/>
      <c r="G11474" s="3"/>
      <c r="H11474" s="3"/>
    </row>
    <row r="11475">
      <c r="A11475" s="2">
        <f>IFERROR(__xludf.DUMMYFUNCTION("""COMPUTED_VALUE"""),70562.0)</f>
        <v>70562</v>
      </c>
      <c r="B11475" s="3" t="str">
        <f>IFERROR(__xludf.DUMMYFUNCTION("""COMPUTED_VALUE"""),"185 CATCHMORE RD")</f>
        <v>185 CATCHMORE RD</v>
      </c>
      <c r="C11475" s="3" t="str">
        <f>IFERROR(__xludf.DUMMYFUNCTION("""COMPUTED_VALUE"""),"CAMPBELLFORD")</f>
        <v>CAMPBELLFORD</v>
      </c>
      <c r="D11475" s="3" t="str">
        <f>IFERROR(__xludf.DUMMYFUNCTION("""COMPUTED_VALUE"""),"K0L 1L0")</f>
        <v>K0L 1L0</v>
      </c>
      <c r="E11475" s="3"/>
      <c r="F11475" s="3"/>
      <c r="G11475" s="3"/>
      <c r="H11475" s="3"/>
    </row>
    <row r="11476">
      <c r="A11476" s="2">
        <f>IFERROR(__xludf.DUMMYFUNCTION("""COMPUTED_VALUE"""),70563.0)</f>
        <v>70563</v>
      </c>
      <c r="B11476" s="3" t="str">
        <f>IFERROR(__xludf.DUMMYFUNCTION("""COMPUTED_VALUE"""),"266 CATCHMORE RD E")</f>
        <v>266 CATCHMORE RD E</v>
      </c>
      <c r="C11476" s="3" t="str">
        <f>IFERROR(__xludf.DUMMYFUNCTION("""COMPUTED_VALUE"""),"CAMPBELLFORD")</f>
        <v>CAMPBELLFORD</v>
      </c>
      <c r="D11476" s="3" t="str">
        <f>IFERROR(__xludf.DUMMYFUNCTION("""COMPUTED_VALUE"""),"K0L 1L0")</f>
        <v>K0L 1L0</v>
      </c>
      <c r="E11476" s="3"/>
      <c r="F11476" s="3"/>
      <c r="G11476" s="3"/>
      <c r="H11476" s="3"/>
    </row>
    <row r="11477">
      <c r="A11477" s="2">
        <f>IFERROR(__xludf.DUMMYFUNCTION("""COMPUTED_VALUE"""),70564.0)</f>
        <v>70564</v>
      </c>
      <c r="B11477" s="3" t="str">
        <f>IFERROR(__xludf.DUMMYFUNCTION("""COMPUTED_VALUE"""),"477 CATCHMORE RD")</f>
        <v>477 CATCHMORE RD</v>
      </c>
      <c r="C11477" s="3" t="str">
        <f>IFERROR(__xludf.DUMMYFUNCTION("""COMPUTED_VALUE"""),"CAMPBELLFORD")</f>
        <v>CAMPBELLFORD</v>
      </c>
      <c r="D11477" s="3" t="str">
        <f>IFERROR(__xludf.DUMMYFUNCTION("""COMPUTED_VALUE"""),"K0L 1L0")</f>
        <v>K0L 1L0</v>
      </c>
      <c r="E11477" s="3"/>
      <c r="F11477" s="3"/>
      <c r="G11477" s="3"/>
      <c r="H11477" s="3"/>
    </row>
    <row r="11478">
      <c r="A11478" s="2">
        <f>IFERROR(__xludf.DUMMYFUNCTION("""COMPUTED_VALUE"""),70565.0)</f>
        <v>70565</v>
      </c>
      <c r="B11478" s="3" t="str">
        <f>IFERROR(__xludf.DUMMYFUNCTION("""COMPUTED_VALUE"""),"493 CATCHMORE RD")</f>
        <v>493 CATCHMORE RD</v>
      </c>
      <c r="C11478" s="3" t="str">
        <f>IFERROR(__xludf.DUMMYFUNCTION("""COMPUTED_VALUE"""),"CAMPBELLFORD")</f>
        <v>CAMPBELLFORD</v>
      </c>
      <c r="D11478" s="3" t="str">
        <f>IFERROR(__xludf.DUMMYFUNCTION("""COMPUTED_VALUE"""),"K0L 1L0")</f>
        <v>K0L 1L0</v>
      </c>
      <c r="E11478" s="3"/>
      <c r="F11478" s="3"/>
      <c r="G11478" s="3"/>
      <c r="H11478" s="3"/>
    </row>
    <row r="11479">
      <c r="A11479" s="2">
        <f>IFERROR(__xludf.DUMMYFUNCTION("""COMPUTED_VALUE"""),70566.0)</f>
        <v>70566</v>
      </c>
      <c r="B11479" s="3" t="str">
        <f>IFERROR(__xludf.DUMMYFUNCTION("""COMPUTED_VALUE"""),"501 CATCHMORE RD")</f>
        <v>501 CATCHMORE RD</v>
      </c>
      <c r="C11479" s="3" t="str">
        <f>IFERROR(__xludf.DUMMYFUNCTION("""COMPUTED_VALUE"""),"CAMPBELLFORD")</f>
        <v>CAMPBELLFORD</v>
      </c>
      <c r="D11479" s="3" t="str">
        <f>IFERROR(__xludf.DUMMYFUNCTION("""COMPUTED_VALUE"""),"K0L 1L0")</f>
        <v>K0L 1L0</v>
      </c>
      <c r="E11479" s="3"/>
      <c r="F11479" s="3"/>
      <c r="G11479" s="3"/>
      <c r="H11479" s="3"/>
    </row>
    <row r="11480">
      <c r="A11480" s="2">
        <f>IFERROR(__xludf.DUMMYFUNCTION("""COMPUTED_VALUE"""),70567.0)</f>
        <v>70567</v>
      </c>
      <c r="B11480" s="3" t="str">
        <f>IFERROR(__xludf.DUMMYFUNCTION("""COMPUTED_VALUE"""),"505 CATCHMORE RD")</f>
        <v>505 CATCHMORE RD</v>
      </c>
      <c r="C11480" s="3" t="str">
        <f>IFERROR(__xludf.DUMMYFUNCTION("""COMPUTED_VALUE"""),"CAMPBELLFORD")</f>
        <v>CAMPBELLFORD</v>
      </c>
      <c r="D11480" s="3" t="str">
        <f>IFERROR(__xludf.DUMMYFUNCTION("""COMPUTED_VALUE"""),"K0L 1L0")</f>
        <v>K0L 1L0</v>
      </c>
      <c r="E11480" s="3"/>
      <c r="F11480" s="3"/>
      <c r="G11480" s="3"/>
      <c r="H11480" s="3"/>
    </row>
    <row r="11481">
      <c r="A11481" s="2">
        <f>IFERROR(__xludf.DUMMYFUNCTION("""COMPUTED_VALUE"""),70568.0)</f>
        <v>70568</v>
      </c>
      <c r="B11481" s="3" t="str">
        <f>IFERROR(__xludf.DUMMYFUNCTION("""COMPUTED_VALUE"""),"506 CATCHMORE RD")</f>
        <v>506 CATCHMORE RD</v>
      </c>
      <c r="C11481" s="3" t="str">
        <f>IFERROR(__xludf.DUMMYFUNCTION("""COMPUTED_VALUE"""),"CAMPBELLFORD")</f>
        <v>CAMPBELLFORD</v>
      </c>
      <c r="D11481" s="3" t="str">
        <f>IFERROR(__xludf.DUMMYFUNCTION("""COMPUTED_VALUE"""),"K0L 1L0")</f>
        <v>K0L 1L0</v>
      </c>
      <c r="E11481" s="3"/>
      <c r="F11481" s="3"/>
      <c r="G11481" s="3"/>
      <c r="H11481" s="3"/>
    </row>
    <row r="11482">
      <c r="A11482" s="2">
        <f>IFERROR(__xludf.DUMMYFUNCTION("""COMPUTED_VALUE"""),70569.0)</f>
        <v>70569</v>
      </c>
      <c r="B11482" s="3" t="str">
        <f>IFERROR(__xludf.DUMMYFUNCTION("""COMPUTED_VALUE"""),"509 CATCHMORE RD")</f>
        <v>509 CATCHMORE RD</v>
      </c>
      <c r="C11482" s="3" t="str">
        <f>IFERROR(__xludf.DUMMYFUNCTION("""COMPUTED_VALUE"""),"CAMPBELLFORD")</f>
        <v>CAMPBELLFORD</v>
      </c>
      <c r="D11482" s="3" t="str">
        <f>IFERROR(__xludf.DUMMYFUNCTION("""COMPUTED_VALUE"""),"K0L 1L0")</f>
        <v>K0L 1L0</v>
      </c>
      <c r="E11482" s="3" t="str">
        <f>IFERROR(__xludf.DUMMYFUNCTION("""COMPUTED_VALUE"""),"Jackson Matthews")</f>
        <v>Jackson Matthews</v>
      </c>
      <c r="F11482" s="3" t="str">
        <f>IFERROR(__xludf.DUMMYFUNCTION("""COMPUTED_VALUE"""),"jacksonmatthews905@gmail.com")</f>
        <v>jacksonmatthews905@gmail.com</v>
      </c>
      <c r="G11482" s="3">
        <f>IFERROR(__xludf.DUMMYFUNCTION("""COMPUTED_VALUE"""),9.05375448E9)</f>
        <v>9053754480</v>
      </c>
      <c r="H11482" s="3"/>
    </row>
    <row r="11483">
      <c r="A11483" s="2">
        <f>IFERROR(__xludf.DUMMYFUNCTION("""COMPUTED_VALUE"""),70570.0)</f>
        <v>70570</v>
      </c>
      <c r="B11483" s="3" t="str">
        <f>IFERROR(__xludf.DUMMYFUNCTION("""COMPUTED_VALUE"""),"517 CATCHMORE RD")</f>
        <v>517 CATCHMORE RD</v>
      </c>
      <c r="C11483" s="3" t="str">
        <f>IFERROR(__xludf.DUMMYFUNCTION("""COMPUTED_VALUE"""),"CAMPBELLFORD")</f>
        <v>CAMPBELLFORD</v>
      </c>
      <c r="D11483" s="3" t="str">
        <f>IFERROR(__xludf.DUMMYFUNCTION("""COMPUTED_VALUE"""),"K0L 1L0")</f>
        <v>K0L 1L0</v>
      </c>
      <c r="E11483" s="3"/>
      <c r="F11483" s="3"/>
      <c r="G11483" s="3"/>
      <c r="H11483" s="3"/>
    </row>
    <row r="11484">
      <c r="A11484" s="2">
        <f>IFERROR(__xludf.DUMMYFUNCTION("""COMPUTED_VALUE"""),70571.0)</f>
        <v>70571</v>
      </c>
      <c r="B11484" s="3" t="str">
        <f>IFERROR(__xludf.DUMMYFUNCTION("""COMPUTED_VALUE"""),"525 CATCHMORE RD")</f>
        <v>525 CATCHMORE RD</v>
      </c>
      <c r="C11484" s="3" t="str">
        <f>IFERROR(__xludf.DUMMYFUNCTION("""COMPUTED_VALUE"""),"CAMPBELLFORD")</f>
        <v>CAMPBELLFORD</v>
      </c>
      <c r="D11484" s="3" t="str">
        <f>IFERROR(__xludf.DUMMYFUNCTION("""COMPUTED_VALUE"""),"K0L 1L0")</f>
        <v>K0L 1L0</v>
      </c>
      <c r="E11484" s="3"/>
      <c r="F11484" s="3"/>
      <c r="G11484" s="3"/>
      <c r="H11484" s="3"/>
    </row>
    <row r="11485">
      <c r="A11485" s="2">
        <f>IFERROR(__xludf.DUMMYFUNCTION("""COMPUTED_VALUE"""),70572.0)</f>
        <v>70572</v>
      </c>
      <c r="B11485" s="3" t="str">
        <f>IFERROR(__xludf.DUMMYFUNCTION("""COMPUTED_VALUE"""),"531 CATCHMORE RD")</f>
        <v>531 CATCHMORE RD</v>
      </c>
      <c r="C11485" s="3" t="str">
        <f>IFERROR(__xludf.DUMMYFUNCTION("""COMPUTED_VALUE"""),"CAMPBELLFORD")</f>
        <v>CAMPBELLFORD</v>
      </c>
      <c r="D11485" s="3" t="str">
        <f>IFERROR(__xludf.DUMMYFUNCTION("""COMPUTED_VALUE"""),"K0L 1L0")</f>
        <v>K0L 1L0</v>
      </c>
      <c r="E11485" s="3"/>
      <c r="F11485" s="3"/>
      <c r="G11485" s="3"/>
      <c r="H11485" s="3"/>
    </row>
    <row r="11486">
      <c r="A11486" s="2">
        <f>IFERROR(__xludf.DUMMYFUNCTION("""COMPUTED_VALUE"""),70573.0)</f>
        <v>70573</v>
      </c>
      <c r="B11486" s="3" t="str">
        <f>IFERROR(__xludf.DUMMYFUNCTION("""COMPUTED_VALUE"""),"532 CATCHMORE RD")</f>
        <v>532 CATCHMORE RD</v>
      </c>
      <c r="C11486" s="3" t="str">
        <f>IFERROR(__xludf.DUMMYFUNCTION("""COMPUTED_VALUE"""),"CAMPBELLFORD")</f>
        <v>CAMPBELLFORD</v>
      </c>
      <c r="D11486" s="3" t="str">
        <f>IFERROR(__xludf.DUMMYFUNCTION("""COMPUTED_VALUE"""),"K0L 1L0")</f>
        <v>K0L 1L0</v>
      </c>
      <c r="E11486" s="3"/>
      <c r="F11486" s="3"/>
      <c r="G11486" s="3"/>
      <c r="H11486" s="3"/>
    </row>
    <row r="11487">
      <c r="A11487" s="2">
        <f>IFERROR(__xludf.DUMMYFUNCTION("""COMPUTED_VALUE"""),70574.0)</f>
        <v>70574</v>
      </c>
      <c r="B11487" s="3" t="str">
        <f>IFERROR(__xludf.DUMMYFUNCTION("""COMPUTED_VALUE"""),"535 CATCHMORE RD")</f>
        <v>535 CATCHMORE RD</v>
      </c>
      <c r="C11487" s="3" t="str">
        <f>IFERROR(__xludf.DUMMYFUNCTION("""COMPUTED_VALUE"""),"CAMPBELLFORD")</f>
        <v>CAMPBELLFORD</v>
      </c>
      <c r="D11487" s="3" t="str">
        <f>IFERROR(__xludf.DUMMYFUNCTION("""COMPUTED_VALUE"""),"K0L 1L0")</f>
        <v>K0L 1L0</v>
      </c>
      <c r="E11487" s="3"/>
      <c r="F11487" s="3"/>
      <c r="G11487" s="3"/>
      <c r="H11487" s="3"/>
    </row>
    <row r="11488">
      <c r="A11488" s="2">
        <f>IFERROR(__xludf.DUMMYFUNCTION("""COMPUTED_VALUE"""),70575.0)</f>
        <v>70575</v>
      </c>
      <c r="B11488" s="3" t="str">
        <f>IFERROR(__xludf.DUMMYFUNCTION("""COMPUTED_VALUE"""),"537 CATCHMORE RD")</f>
        <v>537 CATCHMORE RD</v>
      </c>
      <c r="C11488" s="3" t="str">
        <f>IFERROR(__xludf.DUMMYFUNCTION("""COMPUTED_VALUE"""),"CAMPBELLFORD")</f>
        <v>CAMPBELLFORD</v>
      </c>
      <c r="D11488" s="3" t="str">
        <f>IFERROR(__xludf.DUMMYFUNCTION("""COMPUTED_VALUE"""),"K0L 1L0")</f>
        <v>K0L 1L0</v>
      </c>
      <c r="E11488" s="3"/>
      <c r="F11488" s="3"/>
      <c r="G11488" s="3"/>
      <c r="H11488" s="3"/>
    </row>
    <row r="11489">
      <c r="A11489" s="2">
        <f>IFERROR(__xludf.DUMMYFUNCTION("""COMPUTED_VALUE"""),70576.0)</f>
        <v>70576</v>
      </c>
      <c r="B11489" s="3" t="str">
        <f>IFERROR(__xludf.DUMMYFUNCTION("""COMPUTED_VALUE"""),"541 CATCHMORE RD")</f>
        <v>541 CATCHMORE RD</v>
      </c>
      <c r="C11489" s="3" t="str">
        <f>IFERROR(__xludf.DUMMYFUNCTION("""COMPUTED_VALUE"""),"CAMPBELLFORD")</f>
        <v>CAMPBELLFORD</v>
      </c>
      <c r="D11489" s="3" t="str">
        <f>IFERROR(__xludf.DUMMYFUNCTION("""COMPUTED_VALUE"""),"K0L 1L0")</f>
        <v>K0L 1L0</v>
      </c>
      <c r="E11489" s="3"/>
      <c r="F11489" s="3"/>
      <c r="G11489" s="3"/>
      <c r="H11489" s="3"/>
    </row>
    <row r="11490">
      <c r="A11490" s="2">
        <f>IFERROR(__xludf.DUMMYFUNCTION("""COMPUTED_VALUE"""),70577.0)</f>
        <v>70577</v>
      </c>
      <c r="B11490" s="3" t="str">
        <f>IFERROR(__xludf.DUMMYFUNCTION("""COMPUTED_VALUE"""),"547 CATCHMORE RD")</f>
        <v>547 CATCHMORE RD</v>
      </c>
      <c r="C11490" s="3" t="str">
        <f>IFERROR(__xludf.DUMMYFUNCTION("""COMPUTED_VALUE"""),"CAMPBELLFORD")</f>
        <v>CAMPBELLFORD</v>
      </c>
      <c r="D11490" s="3" t="str">
        <f>IFERROR(__xludf.DUMMYFUNCTION("""COMPUTED_VALUE"""),"K0L 1L0")</f>
        <v>K0L 1L0</v>
      </c>
      <c r="E11490" s="3"/>
      <c r="F11490" s="3"/>
      <c r="G11490" s="3"/>
      <c r="H11490" s="3"/>
    </row>
    <row r="11491">
      <c r="A11491" s="2">
        <f>IFERROR(__xludf.DUMMYFUNCTION("""COMPUTED_VALUE"""),70578.0)</f>
        <v>70578</v>
      </c>
      <c r="B11491" s="3" t="str">
        <f>IFERROR(__xludf.DUMMYFUNCTION("""COMPUTED_VALUE"""),"548 CATCHMORE RD")</f>
        <v>548 CATCHMORE RD</v>
      </c>
      <c r="C11491" s="3" t="str">
        <f>IFERROR(__xludf.DUMMYFUNCTION("""COMPUTED_VALUE"""),"CAMPBELLFORD")</f>
        <v>CAMPBELLFORD</v>
      </c>
      <c r="D11491" s="3" t="str">
        <f>IFERROR(__xludf.DUMMYFUNCTION("""COMPUTED_VALUE"""),"K0L 1L0")</f>
        <v>K0L 1L0</v>
      </c>
      <c r="E11491" s="3"/>
      <c r="F11491" s="3"/>
      <c r="G11491" s="3"/>
      <c r="H11491" s="3"/>
    </row>
    <row r="11492">
      <c r="A11492" s="2">
        <f>IFERROR(__xludf.DUMMYFUNCTION("""COMPUTED_VALUE"""),70579.0)</f>
        <v>70579</v>
      </c>
      <c r="B11492" s="3" t="str">
        <f>IFERROR(__xludf.DUMMYFUNCTION("""COMPUTED_VALUE"""),"551 CATCHMORE RD")</f>
        <v>551 CATCHMORE RD</v>
      </c>
      <c r="C11492" s="3" t="str">
        <f>IFERROR(__xludf.DUMMYFUNCTION("""COMPUTED_VALUE"""),"CAMPBELLFORD")</f>
        <v>CAMPBELLFORD</v>
      </c>
      <c r="D11492" s="3" t="str">
        <f>IFERROR(__xludf.DUMMYFUNCTION("""COMPUTED_VALUE"""),"K0L 1L0")</f>
        <v>K0L 1L0</v>
      </c>
      <c r="E11492" s="3"/>
      <c r="F11492" s="3"/>
      <c r="G11492" s="3"/>
      <c r="H11492" s="3"/>
    </row>
    <row r="11493">
      <c r="A11493" s="2">
        <f>IFERROR(__xludf.DUMMYFUNCTION("""COMPUTED_VALUE"""),70580.0)</f>
        <v>70580</v>
      </c>
      <c r="B11493" s="3" t="str">
        <f>IFERROR(__xludf.DUMMYFUNCTION("""COMPUTED_VALUE"""),"561 CATCHMORE RD")</f>
        <v>561 CATCHMORE RD</v>
      </c>
      <c r="C11493" s="3" t="str">
        <f>IFERROR(__xludf.DUMMYFUNCTION("""COMPUTED_VALUE"""),"CAMPBELLFORD")</f>
        <v>CAMPBELLFORD</v>
      </c>
      <c r="D11493" s="3" t="str">
        <f>IFERROR(__xludf.DUMMYFUNCTION("""COMPUTED_VALUE"""),"K0L 1L0")</f>
        <v>K0L 1L0</v>
      </c>
      <c r="E11493" s="3"/>
      <c r="F11493" s="3"/>
      <c r="G11493" s="3"/>
      <c r="H11493" s="3"/>
    </row>
    <row r="11494">
      <c r="A11494" s="2">
        <f>IFERROR(__xludf.DUMMYFUNCTION("""COMPUTED_VALUE"""),70581.0)</f>
        <v>70581</v>
      </c>
      <c r="B11494" s="3" t="str">
        <f>IFERROR(__xludf.DUMMYFUNCTION("""COMPUTED_VALUE"""),"571 CATCHMORE RD")</f>
        <v>571 CATCHMORE RD</v>
      </c>
      <c r="C11494" s="3" t="str">
        <f>IFERROR(__xludf.DUMMYFUNCTION("""COMPUTED_VALUE"""),"CAMPBELLFORD")</f>
        <v>CAMPBELLFORD</v>
      </c>
      <c r="D11494" s="3" t="str">
        <f>IFERROR(__xludf.DUMMYFUNCTION("""COMPUTED_VALUE"""),"K0L 1L0")</f>
        <v>K0L 1L0</v>
      </c>
      <c r="E11494" s="3"/>
      <c r="F11494" s="3"/>
      <c r="G11494" s="3"/>
      <c r="H11494" s="3"/>
    </row>
    <row r="11495">
      <c r="A11495" s="2">
        <f>IFERROR(__xludf.DUMMYFUNCTION("""COMPUTED_VALUE"""),70582.0)</f>
        <v>70582</v>
      </c>
      <c r="B11495" s="3" t="str">
        <f>IFERROR(__xludf.DUMMYFUNCTION("""COMPUTED_VALUE"""),"8 CEDAR HILL RD")</f>
        <v>8 CEDAR HILL RD</v>
      </c>
      <c r="C11495" s="3" t="str">
        <f>IFERROR(__xludf.DUMMYFUNCTION("""COMPUTED_VALUE"""),"MARMORA")</f>
        <v>MARMORA</v>
      </c>
      <c r="D11495" s="3" t="str">
        <f>IFERROR(__xludf.DUMMYFUNCTION("""COMPUTED_VALUE"""),"K0K 2M0")</f>
        <v>K0K 2M0</v>
      </c>
      <c r="E11495" s="3"/>
      <c r="F11495" s="3"/>
      <c r="G11495" s="3"/>
      <c r="H11495" s="3"/>
    </row>
    <row r="11496">
      <c r="A11496" s="2">
        <f>IFERROR(__xludf.DUMMYFUNCTION("""COMPUTED_VALUE"""),70583.0)</f>
        <v>70583</v>
      </c>
      <c r="B11496" s="3" t="str">
        <f>IFERROR(__xludf.DUMMYFUNCTION("""COMPUTED_VALUE"""),"15 CEDAR HILL RD")</f>
        <v>15 CEDAR HILL RD</v>
      </c>
      <c r="C11496" s="3" t="str">
        <f>IFERROR(__xludf.DUMMYFUNCTION("""COMPUTED_VALUE"""),"MARMORA")</f>
        <v>MARMORA</v>
      </c>
      <c r="D11496" s="3" t="str">
        <f>IFERROR(__xludf.DUMMYFUNCTION("""COMPUTED_VALUE"""),"K0K 2M0")</f>
        <v>K0K 2M0</v>
      </c>
      <c r="E11496" s="3"/>
      <c r="F11496" s="3"/>
      <c r="G11496" s="3"/>
      <c r="H11496" s="3"/>
    </row>
    <row r="11497">
      <c r="A11497" s="2">
        <f>IFERROR(__xludf.DUMMYFUNCTION("""COMPUTED_VALUE"""),70584.0)</f>
        <v>70584</v>
      </c>
      <c r="B11497" s="3" t="str">
        <f>IFERROR(__xludf.DUMMYFUNCTION("""COMPUTED_VALUE"""),"30 CEDAR HILL RD")</f>
        <v>30 CEDAR HILL RD</v>
      </c>
      <c r="C11497" s="3" t="str">
        <f>IFERROR(__xludf.DUMMYFUNCTION("""COMPUTED_VALUE"""),"MARMORA")</f>
        <v>MARMORA</v>
      </c>
      <c r="D11497" s="3" t="str">
        <f>IFERROR(__xludf.DUMMYFUNCTION("""COMPUTED_VALUE"""),"K0K 2M0")</f>
        <v>K0K 2M0</v>
      </c>
      <c r="E11497" s="3"/>
      <c r="F11497" s="3"/>
      <c r="G11497" s="3"/>
      <c r="H11497" s="3"/>
    </row>
    <row r="11498">
      <c r="A11498" s="2">
        <f>IFERROR(__xludf.DUMMYFUNCTION("""COMPUTED_VALUE"""),70585.0)</f>
        <v>70585</v>
      </c>
      <c r="B11498" s="3" t="str">
        <f>IFERROR(__xludf.DUMMYFUNCTION("""COMPUTED_VALUE"""),"41 CEDAR HILL RD")</f>
        <v>41 CEDAR HILL RD</v>
      </c>
      <c r="C11498" s="3" t="str">
        <f>IFERROR(__xludf.DUMMYFUNCTION("""COMPUTED_VALUE"""),"MARMORA")</f>
        <v>MARMORA</v>
      </c>
      <c r="D11498" s="3" t="str">
        <f>IFERROR(__xludf.DUMMYFUNCTION("""COMPUTED_VALUE"""),"K0K 2M0")</f>
        <v>K0K 2M0</v>
      </c>
      <c r="E11498" s="3"/>
      <c r="F11498" s="3"/>
      <c r="G11498" s="3"/>
      <c r="H11498" s="3"/>
    </row>
    <row r="11499">
      <c r="A11499" s="2">
        <f>IFERROR(__xludf.DUMMYFUNCTION("""COMPUTED_VALUE"""),70586.0)</f>
        <v>70586</v>
      </c>
      <c r="B11499" s="3" t="str">
        <f>IFERROR(__xludf.DUMMYFUNCTION("""COMPUTED_VALUE"""),"51 CEDAR HILL RD")</f>
        <v>51 CEDAR HILL RD</v>
      </c>
      <c r="C11499" s="3" t="str">
        <f>IFERROR(__xludf.DUMMYFUNCTION("""COMPUTED_VALUE"""),"MARMORA")</f>
        <v>MARMORA</v>
      </c>
      <c r="D11499" s="3" t="str">
        <f>IFERROR(__xludf.DUMMYFUNCTION("""COMPUTED_VALUE"""),"K0K 2M0")</f>
        <v>K0K 2M0</v>
      </c>
      <c r="E11499" s="3"/>
      <c r="F11499" s="3"/>
      <c r="G11499" s="3"/>
      <c r="H11499" s="3"/>
    </row>
    <row r="11500">
      <c r="A11500" s="2">
        <f>IFERROR(__xludf.DUMMYFUNCTION("""COMPUTED_VALUE"""),70587.0)</f>
        <v>70587</v>
      </c>
      <c r="B11500" s="3" t="str">
        <f>IFERROR(__xludf.DUMMYFUNCTION("""COMPUTED_VALUE"""),"54 CEDAR HILL RD")</f>
        <v>54 CEDAR HILL RD</v>
      </c>
      <c r="C11500" s="3" t="str">
        <f>IFERROR(__xludf.DUMMYFUNCTION("""COMPUTED_VALUE"""),"MARMORA")</f>
        <v>MARMORA</v>
      </c>
      <c r="D11500" s="3" t="str">
        <f>IFERROR(__xludf.DUMMYFUNCTION("""COMPUTED_VALUE"""),"K0K 2M0")</f>
        <v>K0K 2M0</v>
      </c>
      <c r="E11500" s="3"/>
      <c r="F11500" s="3"/>
      <c r="G11500" s="3"/>
      <c r="H11500" s="3"/>
    </row>
    <row r="11501">
      <c r="A11501" s="2">
        <f>IFERROR(__xludf.DUMMYFUNCTION("""COMPUTED_VALUE"""),70588.0)</f>
        <v>70588</v>
      </c>
      <c r="B11501" s="3" t="str">
        <f>IFERROR(__xludf.DUMMYFUNCTION("""COMPUTED_VALUE"""),"61 CEDAR HILL RD")</f>
        <v>61 CEDAR HILL RD</v>
      </c>
      <c r="C11501" s="3" t="str">
        <f>IFERROR(__xludf.DUMMYFUNCTION("""COMPUTED_VALUE"""),"MARMORA")</f>
        <v>MARMORA</v>
      </c>
      <c r="D11501" s="3" t="str">
        <f>IFERROR(__xludf.DUMMYFUNCTION("""COMPUTED_VALUE"""),"K0K 2M0")</f>
        <v>K0K 2M0</v>
      </c>
      <c r="E11501" s="3"/>
      <c r="F11501" s="3"/>
      <c r="G11501" s="3"/>
      <c r="H11501" s="3"/>
    </row>
    <row r="11502">
      <c r="A11502" s="2">
        <f>IFERROR(__xludf.DUMMYFUNCTION("""COMPUTED_VALUE"""),70589.0)</f>
        <v>70589</v>
      </c>
      <c r="B11502" s="3" t="str">
        <f>IFERROR(__xludf.DUMMYFUNCTION("""COMPUTED_VALUE"""),"76 CEDAR HILL RD")</f>
        <v>76 CEDAR HILL RD</v>
      </c>
      <c r="C11502" s="3" t="str">
        <f>IFERROR(__xludf.DUMMYFUNCTION("""COMPUTED_VALUE"""),"MARMORA")</f>
        <v>MARMORA</v>
      </c>
      <c r="D11502" s="3" t="str">
        <f>IFERROR(__xludf.DUMMYFUNCTION("""COMPUTED_VALUE"""),"K0K 2M0")</f>
        <v>K0K 2M0</v>
      </c>
      <c r="E11502" s="3" t="str">
        <f>IFERROR(__xludf.DUMMYFUNCTION("""COMPUTED_VALUE"""),"Tara Cochrane")</f>
        <v>Tara Cochrane</v>
      </c>
      <c r="F11502" s="3" t="str">
        <f>IFERROR(__xludf.DUMMYFUNCTION("""COMPUTED_VALUE"""),"tdoucette29@gmail.com")</f>
        <v>tdoucette29@gmail.com</v>
      </c>
      <c r="G11502" s="3">
        <f>IFERROR(__xludf.DUMMYFUNCTION("""COMPUTED_VALUE"""),7.05768862E9)</f>
        <v>7057688620</v>
      </c>
      <c r="H11502" s="3"/>
    </row>
    <row r="11503">
      <c r="A11503" s="2">
        <f>IFERROR(__xludf.DUMMYFUNCTION("""COMPUTED_VALUE"""),70712.0)</f>
        <v>70712</v>
      </c>
      <c r="B11503" s="3" t="str">
        <f>IFERROR(__xludf.DUMMYFUNCTION("""COMPUTED_VALUE"""),"207 CENTRE ST")</f>
        <v>207 CENTRE ST</v>
      </c>
      <c r="C11503" s="3" t="str">
        <f>IFERROR(__xludf.DUMMYFUNCTION("""COMPUTED_VALUE"""),"CAMPBELLFORD")</f>
        <v>CAMPBELLFORD</v>
      </c>
      <c r="D11503" s="3" t="str">
        <f>IFERROR(__xludf.DUMMYFUNCTION("""COMPUTED_VALUE"""),"K0L 1L0")</f>
        <v>K0L 1L0</v>
      </c>
      <c r="E11503" s="3"/>
      <c r="F11503" s="3"/>
      <c r="G11503" s="3"/>
      <c r="H11503" s="3"/>
    </row>
    <row r="11504">
      <c r="A11504" s="2">
        <f>IFERROR(__xludf.DUMMYFUNCTION("""COMPUTED_VALUE"""),70729.0)</f>
        <v>70729</v>
      </c>
      <c r="B11504" s="3" t="str">
        <f>IFERROR(__xludf.DUMMYFUNCTION("""COMPUTED_VALUE"""),"674 CHURCH ST")</f>
        <v>674 CHURCH ST</v>
      </c>
      <c r="C11504" s="3" t="str">
        <f>IFERROR(__xludf.DUMMYFUNCTION("""COMPUTED_VALUE"""),"TRENT RIVER")</f>
        <v>TRENT RIVER</v>
      </c>
      <c r="D11504" s="3" t="str">
        <f>IFERROR(__xludf.DUMMYFUNCTION("""COMPUTED_VALUE"""),"K0L 2Z0")</f>
        <v>K0L 2Z0</v>
      </c>
      <c r="E11504" s="3"/>
      <c r="F11504" s="3"/>
      <c r="G11504" s="3"/>
      <c r="H11504" s="3"/>
    </row>
    <row r="11505">
      <c r="A11505" s="2">
        <f>IFERROR(__xludf.DUMMYFUNCTION("""COMPUTED_VALUE"""),70731.0)</f>
        <v>70731</v>
      </c>
      <c r="B11505" s="3" t="str">
        <f>IFERROR(__xludf.DUMMYFUNCTION("""COMPUTED_VALUE"""),"678 CHURCH ST")</f>
        <v>678 CHURCH ST</v>
      </c>
      <c r="C11505" s="3" t="str">
        <f>IFERROR(__xludf.DUMMYFUNCTION("""COMPUTED_VALUE"""),"TRENT RIVER")</f>
        <v>TRENT RIVER</v>
      </c>
      <c r="D11505" s="3" t="str">
        <f>IFERROR(__xludf.DUMMYFUNCTION("""COMPUTED_VALUE"""),"K0L 2Z0")</f>
        <v>K0L 2Z0</v>
      </c>
      <c r="E11505" s="3"/>
      <c r="F11505" s="3"/>
      <c r="G11505" s="3"/>
      <c r="H11505" s="3"/>
    </row>
    <row r="11506">
      <c r="A11506" s="2">
        <f>IFERROR(__xludf.DUMMYFUNCTION("""COMPUTED_VALUE"""),70733.0)</f>
        <v>70733</v>
      </c>
      <c r="B11506" s="3" t="str">
        <f>IFERROR(__xludf.DUMMYFUNCTION("""COMPUTED_VALUE"""),"680 CHURCH ST")</f>
        <v>680 CHURCH ST</v>
      </c>
      <c r="C11506" s="3" t="str">
        <f>IFERROR(__xludf.DUMMYFUNCTION("""COMPUTED_VALUE"""),"TRENT RIVER")</f>
        <v>TRENT RIVER</v>
      </c>
      <c r="D11506" s="3" t="str">
        <f>IFERROR(__xludf.DUMMYFUNCTION("""COMPUTED_VALUE"""),"K0L 2Z0")</f>
        <v>K0L 2Z0</v>
      </c>
      <c r="E11506" s="3"/>
      <c r="F11506" s="3"/>
      <c r="G11506" s="3"/>
      <c r="H11506" s="3"/>
    </row>
    <row r="11507">
      <c r="A11507" s="2">
        <f>IFERROR(__xludf.DUMMYFUNCTION("""COMPUTED_VALUE"""),70769.0)</f>
        <v>70769</v>
      </c>
      <c r="B11507" s="3" t="str">
        <f>IFERROR(__xludf.DUMMYFUNCTION("""COMPUTED_VALUE"""),"332 COLES POINT RD")</f>
        <v>332 COLES POINT RD</v>
      </c>
      <c r="C11507" s="3" t="str">
        <f>IFERROR(__xludf.DUMMYFUNCTION("""COMPUTED_VALUE"""),"MARMORA")</f>
        <v>MARMORA</v>
      </c>
      <c r="D11507" s="3" t="str">
        <f>IFERROR(__xludf.DUMMYFUNCTION("""COMPUTED_VALUE"""),"K0K 2M0")</f>
        <v>K0K 2M0</v>
      </c>
      <c r="E11507" s="3"/>
      <c r="F11507" s="3"/>
      <c r="G11507" s="3"/>
      <c r="H11507" s="3"/>
    </row>
    <row r="11508">
      <c r="A11508" s="2">
        <f>IFERROR(__xludf.DUMMYFUNCTION("""COMPUTED_VALUE"""),70775.0)</f>
        <v>70775</v>
      </c>
      <c r="B11508" s="3" t="str">
        <f>IFERROR(__xludf.DUMMYFUNCTION("""COMPUTED_VALUE"""),"CON 1 PT LOT 22 PLAN")</f>
        <v>CON 1 PT LOT 22 PLAN</v>
      </c>
      <c r="C11508" s="3" t="str">
        <f>IFERROR(__xludf.DUMMYFUNCTION("""COMPUTED_VALUE"""),"CAMPBELLFORD")</f>
        <v>CAMPBELLFORD</v>
      </c>
      <c r="D11508" s="3" t="str">
        <f>IFERROR(__xludf.DUMMYFUNCTION("""COMPUTED_VALUE"""),"K0L 1L0")</f>
        <v>K0L 1L0</v>
      </c>
      <c r="E11508" s="3"/>
      <c r="F11508" s="3"/>
      <c r="G11508" s="3"/>
      <c r="H11508" s="3"/>
    </row>
    <row r="11509">
      <c r="A11509" s="2">
        <f>IFERROR(__xludf.DUMMYFUNCTION("""COMPUTED_VALUE"""),70777.0)</f>
        <v>70777</v>
      </c>
      <c r="B11509" s="3" t="str">
        <f>IFERROR(__xludf.DUMMYFUNCTION("""COMPUTED_VALUE"""),"CON 12 PT LOT 24")</f>
        <v>CON 12 PT LOT 24</v>
      </c>
      <c r="C11509" s="3" t="str">
        <f>IFERROR(__xludf.DUMMYFUNCTION("""COMPUTED_VALUE"""),"?")</f>
        <v>?</v>
      </c>
      <c r="D11509" s="3" t="str">
        <f>IFERROR(__xludf.DUMMYFUNCTION("""COMPUTED_VALUE"""),"?")</f>
        <v>?</v>
      </c>
      <c r="E11509" s="3"/>
      <c r="F11509" s="3"/>
      <c r="G11509" s="3"/>
      <c r="H11509" s="3"/>
    </row>
    <row r="11510">
      <c r="A11510" s="2">
        <f>IFERROR(__xludf.DUMMYFUNCTION("""COMPUTED_VALUE"""),70778.0)</f>
        <v>70778</v>
      </c>
      <c r="B11510" s="3" t="str">
        <f>IFERROR(__xludf.DUMMYFUNCTION("""COMPUTED_VALUE"""),"CON 12 PT LOT 25 RP")</f>
        <v>CON 12 PT LOT 25 RP</v>
      </c>
      <c r="C11510" s="3" t="str">
        <f>IFERROR(__xludf.DUMMYFUNCTION("""COMPUTED_VALUE"""),"MARMORA")</f>
        <v>MARMORA</v>
      </c>
      <c r="D11510" s="3" t="str">
        <f>IFERROR(__xludf.DUMMYFUNCTION("""COMPUTED_VALUE"""),"K0K 2M0")</f>
        <v>K0K 2M0</v>
      </c>
      <c r="E11510" s="3"/>
      <c r="F11510" s="3"/>
      <c r="G11510" s="3"/>
      <c r="H11510" s="3"/>
    </row>
    <row r="11511">
      <c r="A11511" s="2">
        <f>IFERROR(__xludf.DUMMYFUNCTION("""COMPUTED_VALUE"""),70779.0)</f>
        <v>70779</v>
      </c>
      <c r="B11511" s="3" t="str">
        <f>IFERROR(__xludf.DUMMYFUNCTION("""COMPUTED_VALUE"""),"CON 13 N PT LOT 26")</f>
        <v>CON 13 N PT LOT 26</v>
      </c>
      <c r="C11511" s="3" t="str">
        <f>IFERROR(__xludf.DUMMYFUNCTION("""COMPUTED_VALUE"""),"MARMORA")</f>
        <v>MARMORA</v>
      </c>
      <c r="D11511" s="3" t="str">
        <f>IFERROR(__xludf.DUMMYFUNCTION("""COMPUTED_VALUE"""),"K0K 2M0")</f>
        <v>K0K 2M0</v>
      </c>
      <c r="E11511" s="3"/>
      <c r="F11511" s="3"/>
      <c r="G11511" s="3"/>
      <c r="H11511" s="3"/>
    </row>
    <row r="11512">
      <c r="A11512" s="2">
        <f>IFERROR(__xludf.DUMMYFUNCTION("""COMPUTED_VALUE"""),70780.0)</f>
        <v>70780</v>
      </c>
      <c r="B11512" s="3" t="str">
        <f>IFERROR(__xludf.DUMMYFUNCTION("""COMPUTED_VALUE"""),"CON 13 PT LOT 26")</f>
        <v>CON 13 PT LOT 26</v>
      </c>
      <c r="C11512" s="3" t="str">
        <f>IFERROR(__xludf.DUMMYFUNCTION("""COMPUTED_VALUE"""),"MARMORA")</f>
        <v>MARMORA</v>
      </c>
      <c r="D11512" s="3" t="str">
        <f>IFERROR(__xludf.DUMMYFUNCTION("""COMPUTED_VALUE"""),"K0K 2M0")</f>
        <v>K0K 2M0</v>
      </c>
      <c r="E11512" s="3"/>
      <c r="F11512" s="3"/>
      <c r="G11512" s="3"/>
      <c r="H11512" s="3"/>
    </row>
    <row r="11513">
      <c r="A11513" s="2">
        <f>IFERROR(__xludf.DUMMYFUNCTION("""COMPUTED_VALUE"""),70781.0)</f>
        <v>70781</v>
      </c>
      <c r="B11513" s="3" t="str">
        <f>IFERROR(__xludf.DUMMYFUNCTION("""COMPUTED_VALUE"""),"CON 13 PT LOT 26")</f>
        <v>CON 13 PT LOT 26</v>
      </c>
      <c r="C11513" s="3" t="str">
        <f>IFERROR(__xludf.DUMMYFUNCTION("""COMPUTED_VALUE"""),"MARMORA")</f>
        <v>MARMORA</v>
      </c>
      <c r="D11513" s="3" t="str">
        <f>IFERROR(__xludf.DUMMYFUNCTION("""COMPUTED_VALUE"""),"K0K 2M0")</f>
        <v>K0K 2M0</v>
      </c>
      <c r="E11513" s="3"/>
      <c r="F11513" s="3"/>
      <c r="G11513" s="3"/>
      <c r="H11513" s="3"/>
    </row>
    <row r="11514">
      <c r="A11514" s="2">
        <f>IFERROR(__xludf.DUMMYFUNCTION("""COMPUTED_VALUE"""),70782.0)</f>
        <v>70782</v>
      </c>
      <c r="B11514" s="3" t="str">
        <f>IFERROR(__xludf.DUMMYFUNCTION("""COMPUTED_VALUE"""),"CON 13 PT LOT 26")</f>
        <v>CON 13 PT LOT 26</v>
      </c>
      <c r="C11514" s="3" t="str">
        <f>IFERROR(__xludf.DUMMYFUNCTION("""COMPUTED_VALUE"""),"MARMORA")</f>
        <v>MARMORA</v>
      </c>
      <c r="D11514" s="3" t="str">
        <f>IFERROR(__xludf.DUMMYFUNCTION("""COMPUTED_VALUE"""),"K0K 2M0")</f>
        <v>K0K 2M0</v>
      </c>
      <c r="E11514" s="3"/>
      <c r="F11514" s="3"/>
      <c r="G11514" s="3"/>
      <c r="H11514" s="3"/>
    </row>
    <row r="11515">
      <c r="A11515" s="2">
        <f>IFERROR(__xludf.DUMMYFUNCTION("""COMPUTED_VALUE"""),70783.0)</f>
        <v>70783</v>
      </c>
      <c r="B11515" s="3" t="str">
        <f>IFERROR(__xludf.DUMMYFUNCTION("""COMPUTED_VALUE"""),"CON 13 PT LOT 26")</f>
        <v>CON 13 PT LOT 26</v>
      </c>
      <c r="C11515" s="3" t="str">
        <f>IFERROR(__xludf.DUMMYFUNCTION("""COMPUTED_VALUE"""),"MARMORA")</f>
        <v>MARMORA</v>
      </c>
      <c r="D11515" s="3" t="str">
        <f>IFERROR(__xludf.DUMMYFUNCTION("""COMPUTED_VALUE"""),"K0K 2M0")</f>
        <v>K0K 2M0</v>
      </c>
      <c r="E11515" s="3"/>
      <c r="F11515" s="3"/>
      <c r="G11515" s="3"/>
      <c r="H11515" s="3"/>
    </row>
    <row r="11516">
      <c r="A11516" s="2">
        <f>IFERROR(__xludf.DUMMYFUNCTION("""COMPUTED_VALUE"""),70785.0)</f>
        <v>70785</v>
      </c>
      <c r="B11516" s="3" t="str">
        <f>IFERROR(__xludf.DUMMYFUNCTION("""COMPUTED_VALUE"""),"CON 2 PT LOT 19")</f>
        <v>CON 2 PT LOT 19</v>
      </c>
      <c r="C11516" s="3" t="str">
        <f>IFERROR(__xludf.DUMMYFUNCTION("""COMPUTED_VALUE"""),"CAMPBELLFORD")</f>
        <v>CAMPBELLFORD</v>
      </c>
      <c r="D11516" s="3" t="str">
        <f>IFERROR(__xludf.DUMMYFUNCTION("""COMPUTED_VALUE"""),"K0L 1L0")</f>
        <v>K0L 1L0</v>
      </c>
      <c r="E11516" s="3"/>
      <c r="F11516" s="3"/>
      <c r="G11516" s="3"/>
      <c r="H11516" s="3"/>
    </row>
    <row r="11517">
      <c r="A11517" s="2">
        <f>IFERROR(__xludf.DUMMYFUNCTION("""COMPUTED_VALUE"""),70857.0)</f>
        <v>70857</v>
      </c>
      <c r="B11517" s="3" t="str">
        <f>IFERROR(__xludf.DUMMYFUNCTION("""COMPUTED_VALUE"""),"911 COUNTY RD 38")</f>
        <v>911 COUNTY RD 38</v>
      </c>
      <c r="C11517" s="3" t="str">
        <f>IFERROR(__xludf.DUMMYFUNCTION("""COMPUTED_VALUE"""),"CAMPBELLFORD")</f>
        <v>CAMPBELLFORD</v>
      </c>
      <c r="D11517" s="3" t="str">
        <f>IFERROR(__xludf.DUMMYFUNCTION("""COMPUTED_VALUE"""),"K0L 1L0")</f>
        <v>K0L 1L0</v>
      </c>
      <c r="E11517" s="3"/>
      <c r="F11517" s="3"/>
      <c r="G11517" s="3"/>
      <c r="H11517" s="3"/>
    </row>
    <row r="11518">
      <c r="A11518" s="2">
        <f>IFERROR(__xludf.DUMMYFUNCTION("""COMPUTED_VALUE"""),70858.0)</f>
        <v>70858</v>
      </c>
      <c r="B11518" s="3" t="str">
        <f>IFERROR(__xludf.DUMMYFUNCTION("""COMPUTED_VALUE"""),"929 COUNTY RD 38")</f>
        <v>929 COUNTY RD 38</v>
      </c>
      <c r="C11518" s="3" t="str">
        <f>IFERROR(__xludf.DUMMYFUNCTION("""COMPUTED_VALUE"""),"CAMPBELLFORD")</f>
        <v>CAMPBELLFORD</v>
      </c>
      <c r="D11518" s="3" t="str">
        <f>IFERROR(__xludf.DUMMYFUNCTION("""COMPUTED_VALUE"""),"K0L 1L0")</f>
        <v>K0L 1L0</v>
      </c>
      <c r="E11518" s="3"/>
      <c r="F11518" s="3"/>
      <c r="G11518" s="3"/>
      <c r="H11518" s="3"/>
    </row>
    <row r="11519">
      <c r="A11519" s="2">
        <f>IFERROR(__xludf.DUMMYFUNCTION("""COMPUTED_VALUE"""),70859.0)</f>
        <v>70859</v>
      </c>
      <c r="B11519" s="3" t="str">
        <f>IFERROR(__xludf.DUMMYFUNCTION("""COMPUTED_VALUE"""),"934 COUNTY RD 38")</f>
        <v>934 COUNTY RD 38</v>
      </c>
      <c r="C11519" s="3" t="str">
        <f>IFERROR(__xludf.DUMMYFUNCTION("""COMPUTED_VALUE"""),"CAMPBELLFORD")</f>
        <v>CAMPBELLFORD</v>
      </c>
      <c r="D11519" s="3" t="str">
        <f>IFERROR(__xludf.DUMMYFUNCTION("""COMPUTED_VALUE"""),"K0L 1L0")</f>
        <v>K0L 1L0</v>
      </c>
      <c r="E11519" s="3"/>
      <c r="F11519" s="3"/>
      <c r="G11519" s="3"/>
      <c r="H11519" s="3"/>
    </row>
    <row r="11520">
      <c r="A11520" s="2">
        <f>IFERROR(__xludf.DUMMYFUNCTION("""COMPUTED_VALUE"""),70860.0)</f>
        <v>70860</v>
      </c>
      <c r="B11520" s="3" t="str">
        <f>IFERROR(__xludf.DUMMYFUNCTION("""COMPUTED_VALUE"""),"935 COUNTY RD 38")</f>
        <v>935 COUNTY RD 38</v>
      </c>
      <c r="C11520" s="3" t="str">
        <f>IFERROR(__xludf.DUMMYFUNCTION("""COMPUTED_VALUE"""),"CAMPBELLFORD")</f>
        <v>CAMPBELLFORD</v>
      </c>
      <c r="D11520" s="3" t="str">
        <f>IFERROR(__xludf.DUMMYFUNCTION("""COMPUTED_VALUE"""),"K0L 1L0")</f>
        <v>K0L 1L0</v>
      </c>
      <c r="E11520" s="3"/>
      <c r="F11520" s="3"/>
      <c r="G11520" s="3"/>
      <c r="H11520" s="3"/>
    </row>
    <row r="11521">
      <c r="A11521" s="2">
        <f>IFERROR(__xludf.DUMMYFUNCTION("""COMPUTED_VALUE"""),70861.0)</f>
        <v>70861</v>
      </c>
      <c r="B11521" s="3" t="str">
        <f>IFERROR(__xludf.DUMMYFUNCTION("""COMPUTED_VALUE"""),"936 COUNTY RD 38")</f>
        <v>936 COUNTY RD 38</v>
      </c>
      <c r="C11521" s="3" t="str">
        <f>IFERROR(__xludf.DUMMYFUNCTION("""COMPUTED_VALUE"""),"CAMPBELLFORD")</f>
        <v>CAMPBELLFORD</v>
      </c>
      <c r="D11521" s="3" t="str">
        <f>IFERROR(__xludf.DUMMYFUNCTION("""COMPUTED_VALUE"""),"K0L 1L0")</f>
        <v>K0L 1L0</v>
      </c>
      <c r="E11521" s="3"/>
      <c r="F11521" s="3"/>
      <c r="G11521" s="3"/>
      <c r="H11521" s="3"/>
    </row>
    <row r="11522">
      <c r="A11522" s="2">
        <f>IFERROR(__xludf.DUMMYFUNCTION("""COMPUTED_VALUE"""),70862.0)</f>
        <v>70862</v>
      </c>
      <c r="B11522" s="3" t="str">
        <f>IFERROR(__xludf.DUMMYFUNCTION("""COMPUTED_VALUE"""),"939 COUNTY RD 38")</f>
        <v>939 COUNTY RD 38</v>
      </c>
      <c r="C11522" s="3" t="str">
        <f>IFERROR(__xludf.DUMMYFUNCTION("""COMPUTED_VALUE"""),"CAMPBELLFORD")</f>
        <v>CAMPBELLFORD</v>
      </c>
      <c r="D11522" s="3" t="str">
        <f>IFERROR(__xludf.DUMMYFUNCTION("""COMPUTED_VALUE"""),"K0L 1L0")</f>
        <v>K0L 1L0</v>
      </c>
      <c r="E11522" s="3"/>
      <c r="F11522" s="3"/>
      <c r="G11522" s="3"/>
      <c r="H11522" s="3"/>
    </row>
    <row r="11523">
      <c r="A11523" s="2">
        <f>IFERROR(__xludf.DUMMYFUNCTION("""COMPUTED_VALUE"""),70863.0)</f>
        <v>70863</v>
      </c>
      <c r="B11523" s="3" t="str">
        <f>IFERROR(__xludf.DUMMYFUNCTION("""COMPUTED_VALUE"""),"945 COUNTY RD 38")</f>
        <v>945 COUNTY RD 38</v>
      </c>
      <c r="C11523" s="3" t="str">
        <f>IFERROR(__xludf.DUMMYFUNCTION("""COMPUTED_VALUE"""),"CAMPBELLFORD")</f>
        <v>CAMPBELLFORD</v>
      </c>
      <c r="D11523" s="3" t="str">
        <f>IFERROR(__xludf.DUMMYFUNCTION("""COMPUTED_VALUE"""),"K0L 1L0")</f>
        <v>K0L 1L0</v>
      </c>
      <c r="E11523" s="3"/>
      <c r="F11523" s="3"/>
      <c r="G11523" s="3"/>
      <c r="H11523" s="3"/>
    </row>
    <row r="11524">
      <c r="A11524" s="2">
        <f>IFERROR(__xludf.DUMMYFUNCTION("""COMPUTED_VALUE"""),70864.0)</f>
        <v>70864</v>
      </c>
      <c r="B11524" s="3" t="str">
        <f>IFERROR(__xludf.DUMMYFUNCTION("""COMPUTED_VALUE"""),"950 COUNTY RD 38")</f>
        <v>950 COUNTY RD 38</v>
      </c>
      <c r="C11524" s="3" t="str">
        <f>IFERROR(__xludf.DUMMYFUNCTION("""COMPUTED_VALUE"""),"CAMPBELLFORD")</f>
        <v>CAMPBELLFORD</v>
      </c>
      <c r="D11524" s="3" t="str">
        <f>IFERROR(__xludf.DUMMYFUNCTION("""COMPUTED_VALUE"""),"K0L 1L0")</f>
        <v>K0L 1L0</v>
      </c>
      <c r="E11524" s="3"/>
      <c r="F11524" s="3"/>
      <c r="G11524" s="3"/>
      <c r="H11524" s="3"/>
    </row>
    <row r="11525">
      <c r="A11525" s="2">
        <f>IFERROR(__xludf.DUMMYFUNCTION("""COMPUTED_VALUE"""),70865.0)</f>
        <v>70865</v>
      </c>
      <c r="B11525" s="3" t="str">
        <f>IFERROR(__xludf.DUMMYFUNCTION("""COMPUTED_VALUE"""),"958 COUNTY RD 38")</f>
        <v>958 COUNTY RD 38</v>
      </c>
      <c r="C11525" s="3" t="str">
        <f>IFERROR(__xludf.DUMMYFUNCTION("""COMPUTED_VALUE"""),"CAMPBELLFORD")</f>
        <v>CAMPBELLFORD</v>
      </c>
      <c r="D11525" s="3" t="str">
        <f>IFERROR(__xludf.DUMMYFUNCTION("""COMPUTED_VALUE"""),"K0L 1L0")</f>
        <v>K0L 1L0</v>
      </c>
      <c r="E11525" s="3"/>
      <c r="F11525" s="3"/>
      <c r="G11525" s="3"/>
      <c r="H11525" s="3"/>
    </row>
    <row r="11526">
      <c r="A11526" s="2">
        <f>IFERROR(__xludf.DUMMYFUNCTION("""COMPUTED_VALUE"""),70866.0)</f>
        <v>70866</v>
      </c>
      <c r="B11526" s="3" t="str">
        <f>IFERROR(__xludf.DUMMYFUNCTION("""COMPUTED_VALUE"""),"963 COUNTY RD 38")</f>
        <v>963 COUNTY RD 38</v>
      </c>
      <c r="C11526" s="3" t="str">
        <f>IFERROR(__xludf.DUMMYFUNCTION("""COMPUTED_VALUE"""),"CAMPBELLFORD")</f>
        <v>CAMPBELLFORD</v>
      </c>
      <c r="D11526" s="3" t="str">
        <f>IFERROR(__xludf.DUMMYFUNCTION("""COMPUTED_VALUE"""),"K0L 1L0")</f>
        <v>K0L 1L0</v>
      </c>
      <c r="E11526" s="3"/>
      <c r="F11526" s="3"/>
      <c r="G11526" s="3"/>
      <c r="H11526" s="3"/>
    </row>
    <row r="11527">
      <c r="A11527" s="2">
        <f>IFERROR(__xludf.DUMMYFUNCTION("""COMPUTED_VALUE"""),70867.0)</f>
        <v>70867</v>
      </c>
      <c r="B11527" s="3" t="str">
        <f>IFERROR(__xludf.DUMMYFUNCTION("""COMPUTED_VALUE"""),"970 COUNTY RD 38")</f>
        <v>970 COUNTY RD 38</v>
      </c>
      <c r="C11527" s="3" t="str">
        <f>IFERROR(__xludf.DUMMYFUNCTION("""COMPUTED_VALUE"""),"CAMPBELLFORD")</f>
        <v>CAMPBELLFORD</v>
      </c>
      <c r="D11527" s="3" t="str">
        <f>IFERROR(__xludf.DUMMYFUNCTION("""COMPUTED_VALUE"""),"K0L 1L0")</f>
        <v>K0L 1L0</v>
      </c>
      <c r="E11527" s="3"/>
      <c r="F11527" s="3"/>
      <c r="G11527" s="3"/>
      <c r="H11527" s="3"/>
    </row>
    <row r="11528">
      <c r="A11528" s="2">
        <f>IFERROR(__xludf.DUMMYFUNCTION("""COMPUTED_VALUE"""),70868.0)</f>
        <v>70868</v>
      </c>
      <c r="B11528" s="3" t="str">
        <f>IFERROR(__xludf.DUMMYFUNCTION("""COMPUTED_VALUE"""),"971 COUNTY RD 38")</f>
        <v>971 COUNTY RD 38</v>
      </c>
      <c r="C11528" s="3" t="str">
        <f>IFERROR(__xludf.DUMMYFUNCTION("""COMPUTED_VALUE"""),"CAMPBELLFORD")</f>
        <v>CAMPBELLFORD</v>
      </c>
      <c r="D11528" s="3" t="str">
        <f>IFERROR(__xludf.DUMMYFUNCTION("""COMPUTED_VALUE"""),"K0L 1L0")</f>
        <v>K0L 1L0</v>
      </c>
      <c r="E11528" s="3"/>
      <c r="F11528" s="3"/>
      <c r="G11528" s="3"/>
      <c r="H11528" s="3"/>
    </row>
    <row r="11529">
      <c r="A11529" s="2">
        <f>IFERROR(__xludf.DUMMYFUNCTION("""COMPUTED_VALUE"""),70869.0)</f>
        <v>70869</v>
      </c>
      <c r="B11529" s="3" t="str">
        <f>IFERROR(__xludf.DUMMYFUNCTION("""COMPUTED_VALUE"""),"976 COUNTY RD 38")</f>
        <v>976 COUNTY RD 38</v>
      </c>
      <c r="C11529" s="3" t="str">
        <f>IFERROR(__xludf.DUMMYFUNCTION("""COMPUTED_VALUE"""),"CAMPBELLFORD")</f>
        <v>CAMPBELLFORD</v>
      </c>
      <c r="D11529" s="3" t="str">
        <f>IFERROR(__xludf.DUMMYFUNCTION("""COMPUTED_VALUE"""),"K0L 1L0")</f>
        <v>K0L 1L0</v>
      </c>
      <c r="E11529" s="3"/>
      <c r="F11529" s="3"/>
      <c r="G11529" s="3"/>
      <c r="H11529" s="3"/>
    </row>
    <row r="11530">
      <c r="A11530" s="2">
        <f>IFERROR(__xludf.DUMMYFUNCTION("""COMPUTED_VALUE"""),70870.0)</f>
        <v>70870</v>
      </c>
      <c r="B11530" s="3" t="str">
        <f>IFERROR(__xludf.DUMMYFUNCTION("""COMPUTED_VALUE"""),"977 COUNTY RD 38")</f>
        <v>977 COUNTY RD 38</v>
      </c>
      <c r="C11530" s="3" t="str">
        <f>IFERROR(__xludf.DUMMYFUNCTION("""COMPUTED_VALUE"""),"CAMPBELLFORD")</f>
        <v>CAMPBELLFORD</v>
      </c>
      <c r="D11530" s="3" t="str">
        <f>IFERROR(__xludf.DUMMYFUNCTION("""COMPUTED_VALUE"""),"K0L 1L0")</f>
        <v>K0L 1L0</v>
      </c>
      <c r="E11530" s="3"/>
      <c r="F11530" s="3"/>
      <c r="G11530" s="3"/>
      <c r="H11530" s="3"/>
    </row>
    <row r="11531">
      <c r="A11531" s="2">
        <f>IFERROR(__xludf.DUMMYFUNCTION("""COMPUTED_VALUE"""),70871.0)</f>
        <v>70871</v>
      </c>
      <c r="B11531" s="3" t="str">
        <f>IFERROR(__xludf.DUMMYFUNCTION("""COMPUTED_VALUE"""),"980 COUNTY RD 38")</f>
        <v>980 COUNTY RD 38</v>
      </c>
      <c r="C11531" s="3" t="str">
        <f>IFERROR(__xludf.DUMMYFUNCTION("""COMPUTED_VALUE"""),"CAMPBELLFORD")</f>
        <v>CAMPBELLFORD</v>
      </c>
      <c r="D11531" s="3" t="str">
        <f>IFERROR(__xludf.DUMMYFUNCTION("""COMPUTED_VALUE"""),"K0L 1L0")</f>
        <v>K0L 1L0</v>
      </c>
      <c r="E11531" s="3"/>
      <c r="F11531" s="3"/>
      <c r="G11531" s="3"/>
      <c r="H11531" s="3"/>
    </row>
    <row r="11532">
      <c r="A11532" s="2">
        <f>IFERROR(__xludf.DUMMYFUNCTION("""COMPUTED_VALUE"""),70873.0)</f>
        <v>70873</v>
      </c>
      <c r="B11532" s="3" t="str">
        <f>IFERROR(__xludf.DUMMYFUNCTION("""COMPUTED_VALUE"""),"985 COUNTY RD 38")</f>
        <v>985 COUNTY RD 38</v>
      </c>
      <c r="C11532" s="3" t="str">
        <f>IFERROR(__xludf.DUMMYFUNCTION("""COMPUTED_VALUE"""),"CAMPBELLFORD")</f>
        <v>CAMPBELLFORD</v>
      </c>
      <c r="D11532" s="3" t="str">
        <f>IFERROR(__xludf.DUMMYFUNCTION("""COMPUTED_VALUE"""),"K0L 1L0")</f>
        <v>K0L 1L0</v>
      </c>
      <c r="E11532" s="3"/>
      <c r="F11532" s="3"/>
      <c r="G11532" s="3"/>
      <c r="H11532" s="3"/>
    </row>
    <row r="11533">
      <c r="A11533" s="2">
        <f>IFERROR(__xludf.DUMMYFUNCTION("""COMPUTED_VALUE"""),70874.0)</f>
        <v>70874</v>
      </c>
      <c r="B11533" s="3" t="str">
        <f>IFERROR(__xludf.DUMMYFUNCTION("""COMPUTED_VALUE"""),"989 COUNTY RD 38")</f>
        <v>989 COUNTY RD 38</v>
      </c>
      <c r="C11533" s="3" t="str">
        <f>IFERROR(__xludf.DUMMYFUNCTION("""COMPUTED_VALUE"""),"CAMPBELLFORD")</f>
        <v>CAMPBELLFORD</v>
      </c>
      <c r="D11533" s="3" t="str">
        <f>IFERROR(__xludf.DUMMYFUNCTION("""COMPUTED_VALUE"""),"K0L 1L0")</f>
        <v>K0L 1L0</v>
      </c>
      <c r="E11533" s="3"/>
      <c r="F11533" s="3"/>
      <c r="G11533" s="3"/>
      <c r="H11533" s="3"/>
    </row>
    <row r="11534">
      <c r="A11534" s="2">
        <f>IFERROR(__xludf.DUMMYFUNCTION("""COMPUTED_VALUE"""),70875.0)</f>
        <v>70875</v>
      </c>
      <c r="B11534" s="3" t="str">
        <f>IFERROR(__xludf.DUMMYFUNCTION("""COMPUTED_VALUE"""),"993 COUNTY RD 38")</f>
        <v>993 COUNTY RD 38</v>
      </c>
      <c r="C11534" s="3" t="str">
        <f>IFERROR(__xludf.DUMMYFUNCTION("""COMPUTED_VALUE"""),"CAMPBELLFORD")</f>
        <v>CAMPBELLFORD</v>
      </c>
      <c r="D11534" s="3" t="str">
        <f>IFERROR(__xludf.DUMMYFUNCTION("""COMPUTED_VALUE"""),"K0L 1L0")</f>
        <v>K0L 1L0</v>
      </c>
      <c r="E11534" s="3"/>
      <c r="F11534" s="3"/>
      <c r="G11534" s="3"/>
      <c r="H11534" s="3"/>
    </row>
    <row r="11535">
      <c r="A11535" s="2">
        <f>IFERROR(__xludf.DUMMYFUNCTION("""COMPUTED_VALUE"""),70876.0)</f>
        <v>70876</v>
      </c>
      <c r="B11535" s="3" t="str">
        <f>IFERROR(__xludf.DUMMYFUNCTION("""COMPUTED_VALUE"""),"997 COUNTY RD 38")</f>
        <v>997 COUNTY RD 38</v>
      </c>
      <c r="C11535" s="3" t="str">
        <f>IFERROR(__xludf.DUMMYFUNCTION("""COMPUTED_VALUE"""),"CAMPBELLFORD")</f>
        <v>CAMPBELLFORD</v>
      </c>
      <c r="D11535" s="3" t="str">
        <f>IFERROR(__xludf.DUMMYFUNCTION("""COMPUTED_VALUE"""),"K0L 1L0")</f>
        <v>K0L 1L0</v>
      </c>
      <c r="E11535" s="3"/>
      <c r="F11535" s="3"/>
      <c r="G11535" s="3"/>
      <c r="H11535" s="3"/>
    </row>
    <row r="11536">
      <c r="A11536" s="2">
        <f>IFERROR(__xludf.DUMMYFUNCTION("""COMPUTED_VALUE"""),70877.0)</f>
        <v>70877</v>
      </c>
      <c r="B11536" s="3" t="str">
        <f>IFERROR(__xludf.DUMMYFUNCTION("""COMPUTED_VALUE"""),"1001 COUNTY RD 38")</f>
        <v>1001 COUNTY RD 38</v>
      </c>
      <c r="C11536" s="3" t="str">
        <f>IFERROR(__xludf.DUMMYFUNCTION("""COMPUTED_VALUE"""),"CAMPBELLFORD")</f>
        <v>CAMPBELLFORD</v>
      </c>
      <c r="D11536" s="3" t="str">
        <f>IFERROR(__xludf.DUMMYFUNCTION("""COMPUTED_VALUE"""),"K0L 1L0")</f>
        <v>K0L 1L0</v>
      </c>
      <c r="E11536" s="3"/>
      <c r="F11536" s="3"/>
      <c r="G11536" s="3"/>
      <c r="H11536" s="3"/>
    </row>
    <row r="11537">
      <c r="A11537" s="2">
        <f>IFERROR(__xludf.DUMMYFUNCTION("""COMPUTED_VALUE"""),70878.0)</f>
        <v>70878</v>
      </c>
      <c r="B11537" s="3" t="str">
        <f>IFERROR(__xludf.DUMMYFUNCTION("""COMPUTED_VALUE"""),"1006 COUNTY RD 38")</f>
        <v>1006 COUNTY RD 38</v>
      </c>
      <c r="C11537" s="3" t="str">
        <f>IFERROR(__xludf.DUMMYFUNCTION("""COMPUTED_VALUE"""),"CAMPBELLFORD")</f>
        <v>CAMPBELLFORD</v>
      </c>
      <c r="D11537" s="3" t="str">
        <f>IFERROR(__xludf.DUMMYFUNCTION("""COMPUTED_VALUE"""),"K0L 1L0")</f>
        <v>K0L 1L0</v>
      </c>
      <c r="E11537" s="3"/>
      <c r="F11537" s="3"/>
      <c r="G11537" s="3"/>
      <c r="H11537" s="3"/>
    </row>
    <row r="11538">
      <c r="A11538" s="2">
        <f>IFERROR(__xludf.DUMMYFUNCTION("""COMPUTED_VALUE"""),70879.0)</f>
        <v>70879</v>
      </c>
      <c r="B11538" s="3" t="str">
        <f>IFERROR(__xludf.DUMMYFUNCTION("""COMPUTED_VALUE"""),"1009 COUNTY RD 38")</f>
        <v>1009 COUNTY RD 38</v>
      </c>
      <c r="C11538" s="3" t="str">
        <f>IFERROR(__xludf.DUMMYFUNCTION("""COMPUTED_VALUE"""),"CAMPBELLFORD")</f>
        <v>CAMPBELLFORD</v>
      </c>
      <c r="D11538" s="3" t="str">
        <f>IFERROR(__xludf.DUMMYFUNCTION("""COMPUTED_VALUE"""),"K0L 1L0")</f>
        <v>K0L 1L0</v>
      </c>
      <c r="E11538" s="3" t="str">
        <f>IFERROR(__xludf.DUMMYFUNCTION("""COMPUTED_VALUE"""),"William Moore")</f>
        <v>William Moore</v>
      </c>
      <c r="F11538" s="3" t="str">
        <f>IFERROR(__xludf.DUMMYFUNCTION("""COMPUTED_VALUE"""),"NIL")</f>
        <v>NIL</v>
      </c>
      <c r="G11538" s="3"/>
      <c r="H11538" s="3"/>
    </row>
    <row r="11539">
      <c r="A11539" s="2">
        <f>IFERROR(__xludf.DUMMYFUNCTION("""COMPUTED_VALUE"""),70880.0)</f>
        <v>70880</v>
      </c>
      <c r="B11539" s="3" t="str">
        <f>IFERROR(__xludf.DUMMYFUNCTION("""COMPUTED_VALUE"""),"1014 COUNTY RD 38")</f>
        <v>1014 COUNTY RD 38</v>
      </c>
      <c r="C11539" s="3" t="str">
        <f>IFERROR(__xludf.DUMMYFUNCTION("""COMPUTED_VALUE"""),"CAMPBELLFORD")</f>
        <v>CAMPBELLFORD</v>
      </c>
      <c r="D11539" s="3" t="str">
        <f>IFERROR(__xludf.DUMMYFUNCTION("""COMPUTED_VALUE"""),"K0L 1L0")</f>
        <v>K0L 1L0</v>
      </c>
      <c r="E11539" s="3"/>
      <c r="F11539" s="3"/>
      <c r="G11539" s="3"/>
      <c r="H11539" s="3"/>
    </row>
    <row r="11540">
      <c r="A11540" s="2">
        <f>IFERROR(__xludf.DUMMYFUNCTION("""COMPUTED_VALUE"""),70881.0)</f>
        <v>70881</v>
      </c>
      <c r="B11540" s="3" t="str">
        <f>IFERROR(__xludf.DUMMYFUNCTION("""COMPUTED_VALUE"""),"1022 COUNTY RD 38")</f>
        <v>1022 COUNTY RD 38</v>
      </c>
      <c r="C11540" s="3" t="str">
        <f>IFERROR(__xludf.DUMMYFUNCTION("""COMPUTED_VALUE"""),"CAMPBELLFORD")</f>
        <v>CAMPBELLFORD</v>
      </c>
      <c r="D11540" s="3" t="str">
        <f>IFERROR(__xludf.DUMMYFUNCTION("""COMPUTED_VALUE"""),"K0L 1L0")</f>
        <v>K0L 1L0</v>
      </c>
      <c r="E11540" s="3"/>
      <c r="F11540" s="3"/>
      <c r="G11540" s="3"/>
      <c r="H11540" s="3"/>
    </row>
    <row r="11541">
      <c r="A11541" s="2">
        <f>IFERROR(__xludf.DUMMYFUNCTION("""COMPUTED_VALUE"""),70882.0)</f>
        <v>70882</v>
      </c>
      <c r="B11541" s="3" t="str">
        <f>IFERROR(__xludf.DUMMYFUNCTION("""COMPUTED_VALUE"""),"1033 COUNTY RD 38")</f>
        <v>1033 COUNTY RD 38</v>
      </c>
      <c r="C11541" s="3" t="str">
        <f>IFERROR(__xludf.DUMMYFUNCTION("""COMPUTED_VALUE"""),"CAMPBELLFORD")</f>
        <v>CAMPBELLFORD</v>
      </c>
      <c r="D11541" s="3" t="str">
        <f>IFERROR(__xludf.DUMMYFUNCTION("""COMPUTED_VALUE"""),"K0L 1L0")</f>
        <v>K0L 1L0</v>
      </c>
      <c r="E11541" s="3"/>
      <c r="F11541" s="3"/>
      <c r="G11541" s="3"/>
      <c r="H11541" s="3"/>
    </row>
    <row r="11542">
      <c r="A11542" s="2">
        <f>IFERROR(__xludf.DUMMYFUNCTION("""COMPUTED_VALUE"""),70883.0)</f>
        <v>70883</v>
      </c>
      <c r="B11542" s="3" t="str">
        <f>IFERROR(__xludf.DUMMYFUNCTION("""COMPUTED_VALUE"""),"1041 COUNTY RD 38")</f>
        <v>1041 COUNTY RD 38</v>
      </c>
      <c r="C11542" s="3" t="str">
        <f>IFERROR(__xludf.DUMMYFUNCTION("""COMPUTED_VALUE"""),"CAMPBELLFORD")</f>
        <v>CAMPBELLFORD</v>
      </c>
      <c r="D11542" s="3" t="str">
        <f>IFERROR(__xludf.DUMMYFUNCTION("""COMPUTED_VALUE"""),"K0L 1L0")</f>
        <v>K0L 1L0</v>
      </c>
      <c r="E11542" s="3"/>
      <c r="F11542" s="3"/>
      <c r="G11542" s="3"/>
      <c r="H11542" s="3"/>
    </row>
    <row r="11543">
      <c r="A11543" s="2">
        <f>IFERROR(__xludf.DUMMYFUNCTION("""COMPUTED_VALUE"""),70884.0)</f>
        <v>70884</v>
      </c>
      <c r="B11543" s="3" t="str">
        <f>IFERROR(__xludf.DUMMYFUNCTION("""COMPUTED_VALUE"""),"1051 COUNTY RD 38")</f>
        <v>1051 COUNTY RD 38</v>
      </c>
      <c r="C11543" s="3" t="str">
        <f>IFERROR(__xludf.DUMMYFUNCTION("""COMPUTED_VALUE"""),"CAMPBELLFORD")</f>
        <v>CAMPBELLFORD</v>
      </c>
      <c r="D11543" s="3" t="str">
        <f>IFERROR(__xludf.DUMMYFUNCTION("""COMPUTED_VALUE"""),"K0L 1L0")</f>
        <v>K0L 1L0</v>
      </c>
      <c r="E11543" s="3"/>
      <c r="F11543" s="3"/>
      <c r="G11543" s="3"/>
      <c r="H11543" s="3"/>
    </row>
    <row r="11544">
      <c r="A11544" s="2">
        <f>IFERROR(__xludf.DUMMYFUNCTION("""COMPUTED_VALUE"""),70885.0)</f>
        <v>70885</v>
      </c>
      <c r="B11544" s="3" t="str">
        <f>IFERROR(__xludf.DUMMYFUNCTION("""COMPUTED_VALUE"""),"1057 COUNTY RD 38")</f>
        <v>1057 COUNTY RD 38</v>
      </c>
      <c r="C11544" s="3" t="str">
        <f>IFERROR(__xludf.DUMMYFUNCTION("""COMPUTED_VALUE"""),"CAMPBELLFORD")</f>
        <v>CAMPBELLFORD</v>
      </c>
      <c r="D11544" s="3" t="str">
        <f>IFERROR(__xludf.DUMMYFUNCTION("""COMPUTED_VALUE"""),"K0L 1L0")</f>
        <v>K0L 1L0</v>
      </c>
      <c r="E11544" s="3"/>
      <c r="F11544" s="3"/>
      <c r="G11544" s="3"/>
      <c r="H11544" s="3"/>
    </row>
    <row r="11545">
      <c r="A11545" s="2">
        <f>IFERROR(__xludf.DUMMYFUNCTION("""COMPUTED_VALUE"""),72539.0)</f>
        <v>72539</v>
      </c>
      <c r="B11545" s="3" t="str">
        <f>IFERROR(__xludf.DUMMYFUNCTION("""COMPUTED_VALUE"""),"1248 COUNTY RD 38")</f>
        <v>1248 COUNTY RD 38</v>
      </c>
      <c r="C11545" s="3" t="str">
        <f>IFERROR(__xludf.DUMMYFUNCTION("""COMPUTED_VALUE"""),"CAMPBELLFORD")</f>
        <v>CAMPBELLFORD</v>
      </c>
      <c r="D11545" s="3" t="str">
        <f>IFERROR(__xludf.DUMMYFUNCTION("""COMPUTED_VALUE"""),"K0L 1L0")</f>
        <v>K0L 1L0</v>
      </c>
      <c r="E11545" s="3"/>
      <c r="F11545" s="3"/>
      <c r="G11545" s="3"/>
      <c r="H11545" s="3"/>
    </row>
    <row r="11546">
      <c r="A11546" s="2">
        <f>IFERROR(__xludf.DUMMYFUNCTION("""COMPUTED_VALUE"""),70886.0)</f>
        <v>70886</v>
      </c>
      <c r="B11546" s="3" t="str">
        <f>IFERROR(__xludf.DUMMYFUNCTION("""COMPUTED_VALUE"""),"1257 COUNTY RD 38")</f>
        <v>1257 COUNTY RD 38</v>
      </c>
      <c r="C11546" s="3" t="str">
        <f>IFERROR(__xludf.DUMMYFUNCTION("""COMPUTED_VALUE"""),"CAMPBELLFORD")</f>
        <v>CAMPBELLFORD</v>
      </c>
      <c r="D11546" s="3" t="str">
        <f>IFERROR(__xludf.DUMMYFUNCTION("""COMPUTED_VALUE"""),"K0L 1L0")</f>
        <v>K0L 1L0</v>
      </c>
      <c r="E11546" s="3"/>
      <c r="F11546" s="3"/>
      <c r="G11546" s="3"/>
      <c r="H11546" s="3"/>
    </row>
    <row r="11547">
      <c r="A11547" s="2">
        <f>IFERROR(__xludf.DUMMYFUNCTION("""COMPUTED_VALUE"""),70887.0)</f>
        <v>70887</v>
      </c>
      <c r="B11547" s="3" t="str">
        <f>IFERROR(__xludf.DUMMYFUNCTION("""COMPUTED_VALUE"""),"1268 COUNTY RD 38")</f>
        <v>1268 COUNTY RD 38</v>
      </c>
      <c r="C11547" s="3" t="str">
        <f>IFERROR(__xludf.DUMMYFUNCTION("""COMPUTED_VALUE"""),"CAMPBELLFORD")</f>
        <v>CAMPBELLFORD</v>
      </c>
      <c r="D11547" s="3" t="str">
        <f>IFERROR(__xludf.DUMMYFUNCTION("""COMPUTED_VALUE"""),"K0L 1L0")</f>
        <v>K0L 1L0</v>
      </c>
      <c r="E11547" s="3"/>
      <c r="F11547" s="3"/>
      <c r="G11547" s="3"/>
      <c r="H11547" s="3"/>
    </row>
    <row r="11548">
      <c r="A11548" s="2">
        <f>IFERROR(__xludf.DUMMYFUNCTION("""COMPUTED_VALUE"""),70888.0)</f>
        <v>70888</v>
      </c>
      <c r="B11548" s="3" t="str">
        <f>IFERROR(__xludf.DUMMYFUNCTION("""COMPUTED_VALUE"""),"1278 COUNTY RD 38")</f>
        <v>1278 COUNTY RD 38</v>
      </c>
      <c r="C11548" s="3" t="str">
        <f>IFERROR(__xludf.DUMMYFUNCTION("""COMPUTED_VALUE"""),"CAMPBELLFORD")</f>
        <v>CAMPBELLFORD</v>
      </c>
      <c r="D11548" s="3" t="str">
        <f>IFERROR(__xludf.DUMMYFUNCTION("""COMPUTED_VALUE"""),"K0L 1L0")</f>
        <v>K0L 1L0</v>
      </c>
      <c r="E11548" s="3"/>
      <c r="F11548" s="3"/>
      <c r="G11548" s="3"/>
      <c r="H11548" s="3"/>
    </row>
    <row r="11549">
      <c r="A11549" s="2">
        <f>IFERROR(__xludf.DUMMYFUNCTION("""COMPUTED_VALUE"""),70889.0)</f>
        <v>70889</v>
      </c>
      <c r="B11549" s="3" t="str">
        <f>IFERROR(__xludf.DUMMYFUNCTION("""COMPUTED_VALUE"""),"1409 COUNTY RD 38")</f>
        <v>1409 COUNTY RD 38</v>
      </c>
      <c r="C11549" s="3" t="str">
        <f>IFERROR(__xludf.DUMMYFUNCTION("""COMPUTED_VALUE"""),"CAMPBELLFORD")</f>
        <v>CAMPBELLFORD</v>
      </c>
      <c r="D11549" s="3" t="str">
        <f>IFERROR(__xludf.DUMMYFUNCTION("""COMPUTED_VALUE"""),"K0L 1L0")</f>
        <v>K0L 1L0</v>
      </c>
      <c r="E11549" s="3" t="str">
        <f>IFERROR(__xludf.DUMMYFUNCTION("""COMPUTED_VALUE"""),"Joy Petherick")</f>
        <v>Joy Petherick</v>
      </c>
      <c r="F11549" s="3" t="str">
        <f>IFERROR(__xludf.DUMMYFUNCTION("""COMPUTED_VALUE"""),"ejpetherick@nexicom.net")</f>
        <v>ejpetherick@nexicom.net</v>
      </c>
      <c r="G11549" s="3">
        <f>IFERROR(__xludf.DUMMYFUNCTION("""COMPUTED_VALUE"""),7.056328847E9)</f>
        <v>7056328847</v>
      </c>
      <c r="H11549" s="3"/>
    </row>
    <row r="11550">
      <c r="A11550" s="2">
        <f>IFERROR(__xludf.DUMMYFUNCTION("""COMPUTED_VALUE"""),70890.0)</f>
        <v>70890</v>
      </c>
      <c r="B11550" s="3" t="str">
        <f>IFERROR(__xludf.DUMMYFUNCTION("""COMPUTED_VALUE"""),"1505 COUNTY RD 38")</f>
        <v>1505 COUNTY RD 38</v>
      </c>
      <c r="C11550" s="3" t="str">
        <f>IFERROR(__xludf.DUMMYFUNCTION("""COMPUTED_VALUE"""),"CAMPBELLFORD")</f>
        <v>CAMPBELLFORD</v>
      </c>
      <c r="D11550" s="3" t="str">
        <f>IFERROR(__xludf.DUMMYFUNCTION("""COMPUTED_VALUE"""),"K0L 1L0")</f>
        <v>K0L 1L0</v>
      </c>
      <c r="E11550" s="3" t="str">
        <f>IFERROR(__xludf.DUMMYFUNCTION("""COMPUTED_VALUE"""),"Evan Petherick")</f>
        <v>Evan Petherick</v>
      </c>
      <c r="F11550" s="3" t="str">
        <f>IFERROR(__xludf.DUMMYFUNCTION("""COMPUTED_VALUE"""),"almerson@live.ca")</f>
        <v>almerson@live.ca</v>
      </c>
      <c r="G11550" s="3"/>
      <c r="H11550" s="3"/>
    </row>
    <row r="11551">
      <c r="A11551" s="2">
        <f>IFERROR(__xludf.DUMMYFUNCTION("""COMPUTED_VALUE"""),70891.0)</f>
        <v>70891</v>
      </c>
      <c r="B11551" s="3" t="str">
        <f>IFERROR(__xludf.DUMMYFUNCTION("""COMPUTED_VALUE"""),"1509 COUNTY RD 38")</f>
        <v>1509 COUNTY RD 38</v>
      </c>
      <c r="C11551" s="3" t="str">
        <f>IFERROR(__xludf.DUMMYFUNCTION("""COMPUTED_VALUE"""),"CAMPBELLFORD")</f>
        <v>CAMPBELLFORD</v>
      </c>
      <c r="D11551" s="3" t="str">
        <f>IFERROR(__xludf.DUMMYFUNCTION("""COMPUTED_VALUE"""),"K0L 1L0")</f>
        <v>K0L 1L0</v>
      </c>
      <c r="E11551" s="3"/>
      <c r="F11551" s="3"/>
      <c r="G11551" s="3"/>
      <c r="H11551" s="3"/>
    </row>
    <row r="11552">
      <c r="A11552" s="2">
        <f>IFERROR(__xludf.DUMMYFUNCTION("""COMPUTED_VALUE"""),70892.0)</f>
        <v>70892</v>
      </c>
      <c r="B11552" s="3" t="str">
        <f>IFERROR(__xludf.DUMMYFUNCTION("""COMPUTED_VALUE"""),"1534 COUNTY RD 38")</f>
        <v>1534 COUNTY RD 38</v>
      </c>
      <c r="C11552" s="3" t="str">
        <f>IFERROR(__xludf.DUMMYFUNCTION("""COMPUTED_VALUE"""),"CAMPBELLFORD")</f>
        <v>CAMPBELLFORD</v>
      </c>
      <c r="D11552" s="3" t="str">
        <f>IFERROR(__xludf.DUMMYFUNCTION("""COMPUTED_VALUE"""),"K0L 1L0")</f>
        <v>K0L 1L0</v>
      </c>
      <c r="E11552" s="3"/>
      <c r="F11552" s="3"/>
      <c r="G11552" s="3"/>
      <c r="H11552" s="3"/>
    </row>
    <row r="11553">
      <c r="A11553" s="2">
        <f>IFERROR(__xludf.DUMMYFUNCTION("""COMPUTED_VALUE"""),70893.0)</f>
        <v>70893</v>
      </c>
      <c r="B11553" s="3" t="str">
        <f>IFERROR(__xludf.DUMMYFUNCTION("""COMPUTED_VALUE"""),"1539 COUNTY RD 38")</f>
        <v>1539 COUNTY RD 38</v>
      </c>
      <c r="C11553" s="3" t="str">
        <f>IFERROR(__xludf.DUMMYFUNCTION("""COMPUTED_VALUE"""),"CAMPBELLFORD")</f>
        <v>CAMPBELLFORD</v>
      </c>
      <c r="D11553" s="3" t="str">
        <f>IFERROR(__xludf.DUMMYFUNCTION("""COMPUTED_VALUE"""),"K0L 1L0")</f>
        <v>K0L 1L0</v>
      </c>
      <c r="E11553" s="3" t="str">
        <f>IFERROR(__xludf.DUMMYFUNCTION("""COMPUTED_VALUE"""),"Robert SOUTHWORTH")</f>
        <v>Robert SOUTHWORTH</v>
      </c>
      <c r="F11553" s="3" t="str">
        <f>IFERROR(__xludf.DUMMYFUNCTION("""COMPUTED_VALUE"""),"n/a")</f>
        <v>n/a</v>
      </c>
      <c r="G11553" s="3"/>
      <c r="H11553" s="3"/>
    </row>
    <row r="11554">
      <c r="A11554" s="2">
        <f>IFERROR(__xludf.DUMMYFUNCTION("""COMPUTED_VALUE"""),70894.0)</f>
        <v>70894</v>
      </c>
      <c r="B11554" s="3" t="str">
        <f>IFERROR(__xludf.DUMMYFUNCTION("""COMPUTED_VALUE"""),"1596 COUNTY RD 38")</f>
        <v>1596 COUNTY RD 38</v>
      </c>
      <c r="C11554" s="3" t="str">
        <f>IFERROR(__xludf.DUMMYFUNCTION("""COMPUTED_VALUE"""),"CAMPBELLFORD")</f>
        <v>CAMPBELLFORD</v>
      </c>
      <c r="D11554" s="3" t="str">
        <f>IFERROR(__xludf.DUMMYFUNCTION("""COMPUTED_VALUE"""),"K0L 1L0")</f>
        <v>K0L 1L0</v>
      </c>
      <c r="E11554" s="3"/>
      <c r="F11554" s="3"/>
      <c r="G11554" s="3"/>
      <c r="H11554" s="3"/>
    </row>
    <row r="11555">
      <c r="A11555" s="2">
        <f>IFERROR(__xludf.DUMMYFUNCTION("""COMPUTED_VALUE"""),70895.0)</f>
        <v>70895</v>
      </c>
      <c r="B11555" s="3" t="str">
        <f>IFERROR(__xludf.DUMMYFUNCTION("""COMPUTED_VALUE"""),"1615 COUNTY RD 38")</f>
        <v>1615 COUNTY RD 38</v>
      </c>
      <c r="C11555" s="3" t="str">
        <f>IFERROR(__xludf.DUMMYFUNCTION("""COMPUTED_VALUE"""),"CAMPBELLFORD")</f>
        <v>CAMPBELLFORD</v>
      </c>
      <c r="D11555" s="3" t="str">
        <f>IFERROR(__xludf.DUMMYFUNCTION("""COMPUTED_VALUE"""),"K0L 1L0")</f>
        <v>K0L 1L0</v>
      </c>
      <c r="E11555" s="3"/>
      <c r="F11555" s="3"/>
      <c r="G11555" s="3"/>
      <c r="H11555" s="3"/>
    </row>
    <row r="11556">
      <c r="A11556" s="2">
        <f>IFERROR(__xludf.DUMMYFUNCTION("""COMPUTED_VALUE"""),70896.0)</f>
        <v>70896</v>
      </c>
      <c r="B11556" s="3" t="str">
        <f>IFERROR(__xludf.DUMMYFUNCTION("""COMPUTED_VALUE"""),"1661 COUNTY RD 38")</f>
        <v>1661 COUNTY RD 38</v>
      </c>
      <c r="C11556" s="3" t="str">
        <f>IFERROR(__xludf.DUMMYFUNCTION("""COMPUTED_VALUE"""),"CAMPBELLFORD")</f>
        <v>CAMPBELLFORD</v>
      </c>
      <c r="D11556" s="3" t="str">
        <f>IFERROR(__xludf.DUMMYFUNCTION("""COMPUTED_VALUE"""),"K0L 1L0")</f>
        <v>K0L 1L0</v>
      </c>
      <c r="E11556" s="3"/>
      <c r="F11556" s="3"/>
      <c r="G11556" s="3"/>
      <c r="H11556" s="3"/>
    </row>
    <row r="11557">
      <c r="A11557" s="2">
        <f>IFERROR(__xludf.DUMMYFUNCTION("""COMPUTED_VALUE"""),70897.0)</f>
        <v>70897</v>
      </c>
      <c r="B11557" s="3" t="str">
        <f>IFERROR(__xludf.DUMMYFUNCTION("""COMPUTED_VALUE"""),"1671 COUNTY RD 38")</f>
        <v>1671 COUNTY RD 38</v>
      </c>
      <c r="C11557" s="3" t="str">
        <f>IFERROR(__xludf.DUMMYFUNCTION("""COMPUTED_VALUE"""),"CAMPBELLFORD")</f>
        <v>CAMPBELLFORD</v>
      </c>
      <c r="D11557" s="3" t="str">
        <f>IFERROR(__xludf.DUMMYFUNCTION("""COMPUTED_VALUE"""),"K0L 1L0")</f>
        <v>K0L 1L0</v>
      </c>
      <c r="E11557" s="3"/>
      <c r="F11557" s="3"/>
      <c r="G11557" s="3"/>
      <c r="H11557" s="3"/>
    </row>
    <row r="11558">
      <c r="A11558" s="2">
        <f>IFERROR(__xludf.DUMMYFUNCTION("""COMPUTED_VALUE"""),70898.0)</f>
        <v>70898</v>
      </c>
      <c r="B11558" s="3" t="str">
        <f>IFERROR(__xludf.DUMMYFUNCTION("""COMPUTED_VALUE"""),"1678 COUNTY RD 38")</f>
        <v>1678 COUNTY RD 38</v>
      </c>
      <c r="C11558" s="3" t="str">
        <f>IFERROR(__xludf.DUMMYFUNCTION("""COMPUTED_VALUE"""),"CAMPBELLFORD")</f>
        <v>CAMPBELLFORD</v>
      </c>
      <c r="D11558" s="3" t="str">
        <f>IFERROR(__xludf.DUMMYFUNCTION("""COMPUTED_VALUE"""),"K0L 1L0")</f>
        <v>K0L 1L0</v>
      </c>
      <c r="E11558" s="3" t="str">
        <f>IFERROR(__xludf.DUMMYFUNCTION("""COMPUTED_VALUE"""),"John Graham")</f>
        <v>John Graham</v>
      </c>
      <c r="F11558" s="3" t="str">
        <f>IFERROR(__xludf.DUMMYFUNCTION("""COMPUTED_VALUE"""),"churchkeybrewing@gmail.com")</f>
        <v>churchkeybrewing@gmail.com</v>
      </c>
      <c r="G11558" s="3">
        <f>IFERROR(__xludf.DUMMYFUNCTION("""COMPUTED_VALUE"""),7.056539433E9)</f>
        <v>7056539433</v>
      </c>
      <c r="H11558" s="3"/>
    </row>
    <row r="11559">
      <c r="A11559" s="2">
        <f>IFERROR(__xludf.DUMMYFUNCTION("""COMPUTED_VALUE"""),70899.0)</f>
        <v>70899</v>
      </c>
      <c r="B11559" s="3" t="str">
        <f>IFERROR(__xludf.DUMMYFUNCTION("""COMPUTED_VALUE"""),"1696 COUNTY RD 38")</f>
        <v>1696 COUNTY RD 38</v>
      </c>
      <c r="C11559" s="3" t="str">
        <f>IFERROR(__xludf.DUMMYFUNCTION("""COMPUTED_VALUE"""),"CAMPBELLFORD")</f>
        <v>CAMPBELLFORD</v>
      </c>
      <c r="D11559" s="3" t="str">
        <f>IFERROR(__xludf.DUMMYFUNCTION("""COMPUTED_VALUE"""),"K0L 1L0")</f>
        <v>K0L 1L0</v>
      </c>
      <c r="E11559" s="3"/>
      <c r="F11559" s="3"/>
      <c r="G11559" s="3"/>
      <c r="H11559" s="3"/>
    </row>
    <row r="11560">
      <c r="A11560" s="2">
        <f>IFERROR(__xludf.DUMMYFUNCTION("""COMPUTED_VALUE"""),70900.0)</f>
        <v>70900</v>
      </c>
      <c r="B11560" s="3" t="str">
        <f>IFERROR(__xludf.DUMMYFUNCTION("""COMPUTED_VALUE"""),"1713 COUNTY RD 38")</f>
        <v>1713 COUNTY RD 38</v>
      </c>
      <c r="C11560" s="3" t="str">
        <f>IFERROR(__xludf.DUMMYFUNCTION("""COMPUTED_VALUE"""),"CAMPBELLFORD")</f>
        <v>CAMPBELLFORD</v>
      </c>
      <c r="D11560" s="3" t="str">
        <f>IFERROR(__xludf.DUMMYFUNCTION("""COMPUTED_VALUE"""),"K0L 1L0")</f>
        <v>K0L 1L0</v>
      </c>
      <c r="E11560" s="3"/>
      <c r="F11560" s="3"/>
      <c r="G11560" s="3"/>
      <c r="H11560" s="3"/>
    </row>
    <row r="11561">
      <c r="A11561" s="2">
        <f>IFERROR(__xludf.DUMMYFUNCTION("""COMPUTED_VALUE"""),70901.0)</f>
        <v>70901</v>
      </c>
      <c r="B11561" s="3" t="str">
        <f>IFERROR(__xludf.DUMMYFUNCTION("""COMPUTED_VALUE"""),"1717 COUNTY RD 38")</f>
        <v>1717 COUNTY RD 38</v>
      </c>
      <c r="C11561" s="3" t="str">
        <f>IFERROR(__xludf.DUMMYFUNCTION("""COMPUTED_VALUE"""),"CAMPBELLFORD")</f>
        <v>CAMPBELLFORD</v>
      </c>
      <c r="D11561" s="3" t="str">
        <f>IFERROR(__xludf.DUMMYFUNCTION("""COMPUTED_VALUE"""),"K0L 1L0")</f>
        <v>K0L 1L0</v>
      </c>
      <c r="E11561" s="3" t="str">
        <f>IFERROR(__xludf.DUMMYFUNCTION("""COMPUTED_VALUE"""),"Zoltan Gazso")</f>
        <v>Zoltan Gazso</v>
      </c>
      <c r="F11561" s="3" t="str">
        <f>IFERROR(__xludf.DUMMYFUNCTION("""COMPUTED_VALUE"""),"zoltangazso@outlook.com")</f>
        <v>zoltangazso@outlook.com</v>
      </c>
      <c r="G11561" s="3">
        <f>IFERROR(__xludf.DUMMYFUNCTION("""COMPUTED_VALUE"""),9.058758454E9)</f>
        <v>9058758454</v>
      </c>
      <c r="H11561" s="3"/>
    </row>
    <row r="11562">
      <c r="A11562" s="2">
        <f>IFERROR(__xludf.DUMMYFUNCTION("""COMPUTED_VALUE"""),70902.0)</f>
        <v>70902</v>
      </c>
      <c r="B11562" s="3" t="str">
        <f>IFERROR(__xludf.DUMMYFUNCTION("""COMPUTED_VALUE"""),"1858 COUNTY RD 38")</f>
        <v>1858 COUNTY RD 38</v>
      </c>
      <c r="C11562" s="3" t="str">
        <f>IFERROR(__xludf.DUMMYFUNCTION("""COMPUTED_VALUE"""),"CAMPBELLFORD")</f>
        <v>CAMPBELLFORD</v>
      </c>
      <c r="D11562" s="3" t="str">
        <f>IFERROR(__xludf.DUMMYFUNCTION("""COMPUTED_VALUE"""),"K0L 1L0")</f>
        <v>K0L 1L0</v>
      </c>
      <c r="E11562" s="3"/>
      <c r="F11562" s="3"/>
      <c r="G11562" s="3"/>
      <c r="H11562" s="3"/>
    </row>
    <row r="11563">
      <c r="A11563" s="2">
        <f>IFERROR(__xludf.DUMMYFUNCTION("""COMPUTED_VALUE"""),70903.0)</f>
        <v>70903</v>
      </c>
      <c r="B11563" s="3" t="str">
        <f>IFERROR(__xludf.DUMMYFUNCTION("""COMPUTED_VALUE"""),"1869 COUNTY RD 38")</f>
        <v>1869 COUNTY RD 38</v>
      </c>
      <c r="C11563" s="3" t="str">
        <f>IFERROR(__xludf.DUMMYFUNCTION("""COMPUTED_VALUE"""),"CAMPBELLFORD")</f>
        <v>CAMPBELLFORD</v>
      </c>
      <c r="D11563" s="3" t="str">
        <f>IFERROR(__xludf.DUMMYFUNCTION("""COMPUTED_VALUE"""),"K0L 1L0")</f>
        <v>K0L 1L0</v>
      </c>
      <c r="E11563" s="3"/>
      <c r="F11563" s="3"/>
      <c r="G11563" s="3"/>
      <c r="H11563" s="3"/>
    </row>
    <row r="11564">
      <c r="A11564" s="2">
        <f>IFERROR(__xludf.DUMMYFUNCTION("""COMPUTED_VALUE"""),70904.0)</f>
        <v>70904</v>
      </c>
      <c r="B11564" s="3" t="str">
        <f>IFERROR(__xludf.DUMMYFUNCTION("""COMPUTED_VALUE"""),"1924 COUNTY RD 38")</f>
        <v>1924 COUNTY RD 38</v>
      </c>
      <c r="C11564" s="3" t="str">
        <f>IFERROR(__xludf.DUMMYFUNCTION("""COMPUTED_VALUE"""),"CAMPBELLFORD")</f>
        <v>CAMPBELLFORD</v>
      </c>
      <c r="D11564" s="3" t="str">
        <f>IFERROR(__xludf.DUMMYFUNCTION("""COMPUTED_VALUE"""),"K0L 1L0")</f>
        <v>K0L 1L0</v>
      </c>
      <c r="E11564" s="3"/>
      <c r="F11564" s="3"/>
      <c r="G11564" s="3"/>
      <c r="H11564" s="3"/>
    </row>
    <row r="11565">
      <c r="A11565" s="2">
        <f>IFERROR(__xludf.DUMMYFUNCTION("""COMPUTED_VALUE"""),70905.0)</f>
        <v>70905</v>
      </c>
      <c r="B11565" s="3" t="str">
        <f>IFERROR(__xludf.DUMMYFUNCTION("""COMPUTED_VALUE"""),"1962 COUNTY RD 38")</f>
        <v>1962 COUNTY RD 38</v>
      </c>
      <c r="C11565" s="3" t="str">
        <f>IFERROR(__xludf.DUMMYFUNCTION("""COMPUTED_VALUE"""),"CAMPBELLFORD")</f>
        <v>CAMPBELLFORD</v>
      </c>
      <c r="D11565" s="3" t="str">
        <f>IFERROR(__xludf.DUMMYFUNCTION("""COMPUTED_VALUE"""),"K0L 1L0")</f>
        <v>K0L 1L0</v>
      </c>
      <c r="E11565" s="3"/>
      <c r="F11565" s="3"/>
      <c r="G11565" s="3"/>
      <c r="H11565" s="3"/>
    </row>
    <row r="11566">
      <c r="A11566" s="2">
        <f>IFERROR(__xludf.DUMMYFUNCTION("""COMPUTED_VALUE"""),70906.0)</f>
        <v>70906</v>
      </c>
      <c r="B11566" s="3" t="str">
        <f>IFERROR(__xludf.DUMMYFUNCTION("""COMPUTED_VALUE"""),"1985 COUNTY RD 38")</f>
        <v>1985 COUNTY RD 38</v>
      </c>
      <c r="C11566" s="3" t="str">
        <f>IFERROR(__xludf.DUMMYFUNCTION("""COMPUTED_VALUE"""),"CAMPBELLFORD")</f>
        <v>CAMPBELLFORD</v>
      </c>
      <c r="D11566" s="3" t="str">
        <f>IFERROR(__xludf.DUMMYFUNCTION("""COMPUTED_VALUE"""),"K0L 1L0")</f>
        <v>K0L 1L0</v>
      </c>
      <c r="E11566" s="3"/>
      <c r="F11566" s="3"/>
      <c r="G11566" s="3"/>
      <c r="H11566" s="3"/>
    </row>
    <row r="11567">
      <c r="A11567" s="2">
        <f>IFERROR(__xludf.DUMMYFUNCTION("""COMPUTED_VALUE"""),70907.0)</f>
        <v>70907</v>
      </c>
      <c r="B11567" s="3" t="str">
        <f>IFERROR(__xludf.DUMMYFUNCTION("""COMPUTED_VALUE"""),"2036 COUNTY RD 38")</f>
        <v>2036 COUNTY RD 38</v>
      </c>
      <c r="C11567" s="3" t="str">
        <f>IFERROR(__xludf.DUMMYFUNCTION("""COMPUTED_VALUE"""),"CAMPBELLFORD")</f>
        <v>CAMPBELLFORD</v>
      </c>
      <c r="D11567" s="3" t="str">
        <f>IFERROR(__xludf.DUMMYFUNCTION("""COMPUTED_VALUE"""),"K0L 1L0")</f>
        <v>K0L 1L0</v>
      </c>
      <c r="E11567" s="3"/>
      <c r="F11567" s="3"/>
      <c r="G11567" s="3"/>
      <c r="H11567" s="3"/>
    </row>
    <row r="11568">
      <c r="A11568" s="2">
        <f>IFERROR(__xludf.DUMMYFUNCTION("""COMPUTED_VALUE"""),70908.0)</f>
        <v>70908</v>
      </c>
      <c r="B11568" s="3" t="str">
        <f>IFERROR(__xludf.DUMMYFUNCTION("""COMPUTED_VALUE"""),"2090 COUNTY RD 38")</f>
        <v>2090 COUNTY RD 38</v>
      </c>
      <c r="C11568" s="3" t="str">
        <f>IFERROR(__xludf.DUMMYFUNCTION("""COMPUTED_VALUE"""),"CAMPBELLFORD")</f>
        <v>CAMPBELLFORD</v>
      </c>
      <c r="D11568" s="3" t="str">
        <f>IFERROR(__xludf.DUMMYFUNCTION("""COMPUTED_VALUE"""),"K0L 1L0")</f>
        <v>K0L 1L0</v>
      </c>
      <c r="E11568" s="3"/>
      <c r="F11568" s="3"/>
      <c r="G11568" s="3"/>
      <c r="H11568" s="3"/>
    </row>
    <row r="11569">
      <c r="A11569" s="2">
        <f>IFERROR(__xludf.DUMMYFUNCTION("""COMPUTED_VALUE"""),70913.0)</f>
        <v>70913</v>
      </c>
      <c r="B11569" s="3" t="str">
        <f>IFERROR(__xludf.DUMMYFUNCTION("""COMPUTED_VALUE"""),"928A COUNTY RD 38")</f>
        <v>928A COUNTY RD 38</v>
      </c>
      <c r="C11569" s="3" t="str">
        <f>IFERROR(__xludf.DUMMYFUNCTION("""COMPUTED_VALUE"""),"CAMPBELLFORD")</f>
        <v>CAMPBELLFORD</v>
      </c>
      <c r="D11569" s="3" t="str">
        <f>IFERROR(__xludf.DUMMYFUNCTION("""COMPUTED_VALUE"""),"K0L 1L0")</f>
        <v>K0L 1L0</v>
      </c>
      <c r="E11569" s="3" t="str">
        <f>IFERROR(__xludf.DUMMYFUNCTION("""COMPUTED_VALUE"""),"RON MOLE")</f>
        <v>RON MOLE</v>
      </c>
      <c r="F11569" s="3" t="str">
        <f>IFERROR(__xludf.DUMMYFUNCTION("""COMPUTED_VALUE"""),"ronlock14@gmail.com")</f>
        <v>ronlock14@gmail.com</v>
      </c>
      <c r="G11569" s="3"/>
      <c r="H11569" s="3"/>
    </row>
    <row r="11570">
      <c r="A11570" s="2">
        <f>IFERROR(__xludf.DUMMYFUNCTION("""COMPUTED_VALUE"""),70914.0)</f>
        <v>70914</v>
      </c>
      <c r="B11570" s="3" t="str">
        <f>IFERROR(__xludf.DUMMYFUNCTION("""COMPUTED_VALUE"""),"928B COUNTY RD 38")</f>
        <v>928B COUNTY RD 38</v>
      </c>
      <c r="C11570" s="3" t="str">
        <f>IFERROR(__xludf.DUMMYFUNCTION("""COMPUTED_VALUE"""),"CAMPBELLFORD")</f>
        <v>CAMPBELLFORD</v>
      </c>
      <c r="D11570" s="3" t="str">
        <f>IFERROR(__xludf.DUMMYFUNCTION("""COMPUTED_VALUE"""),"K0L 1L0")</f>
        <v>K0L 1L0</v>
      </c>
      <c r="E11570" s="3"/>
      <c r="F11570" s="3"/>
      <c r="G11570" s="3"/>
      <c r="H11570" s="3"/>
    </row>
    <row r="11571">
      <c r="A11571" s="2">
        <f>IFERROR(__xludf.DUMMYFUNCTION("""COMPUTED_VALUE"""),70915.0)</f>
        <v>70915</v>
      </c>
      <c r="B11571" s="3" t="str">
        <f>IFERROR(__xludf.DUMMYFUNCTION("""COMPUTED_VALUE"""),"928C COUNTY RD 38")</f>
        <v>928C COUNTY RD 38</v>
      </c>
      <c r="C11571" s="3" t="str">
        <f>IFERROR(__xludf.DUMMYFUNCTION("""COMPUTED_VALUE"""),"CAMPBELLFORD")</f>
        <v>CAMPBELLFORD</v>
      </c>
      <c r="D11571" s="3" t="str">
        <f>IFERROR(__xludf.DUMMYFUNCTION("""COMPUTED_VALUE"""),"K0L 1L0")</f>
        <v>K0L 1L0</v>
      </c>
      <c r="E11571" s="3"/>
      <c r="F11571" s="3"/>
      <c r="G11571" s="3"/>
      <c r="H11571" s="3"/>
    </row>
    <row r="11572">
      <c r="A11572" s="2">
        <f>IFERROR(__xludf.DUMMYFUNCTION("""COMPUTED_VALUE"""),70916.0)</f>
        <v>70916</v>
      </c>
      <c r="B11572" s="3" t="str">
        <f>IFERROR(__xludf.DUMMYFUNCTION("""COMPUTED_VALUE"""),"COUNTY RD 38")</f>
        <v>COUNTY RD 38</v>
      </c>
      <c r="C11572" s="3" t="str">
        <f>IFERROR(__xludf.DUMMYFUNCTION("""COMPUTED_VALUE"""),"CAMPBELLFORD")</f>
        <v>CAMPBELLFORD</v>
      </c>
      <c r="D11572" s="3" t="str">
        <f>IFERROR(__xludf.DUMMYFUNCTION("""COMPUTED_VALUE"""),"K0L 1L0")</f>
        <v>K0L 1L0</v>
      </c>
      <c r="E11572" s="3"/>
      <c r="F11572" s="3"/>
      <c r="G11572" s="3"/>
      <c r="H11572" s="3"/>
    </row>
    <row r="11573">
      <c r="A11573" s="2">
        <f>IFERROR(__xludf.DUMMYFUNCTION("""COMPUTED_VALUE"""),70917.0)</f>
        <v>70917</v>
      </c>
      <c r="B11573" s="3" t="str">
        <f>IFERROR(__xludf.DUMMYFUNCTION("""COMPUTED_VALUE"""),"COUNTY RD 38")</f>
        <v>COUNTY RD 38</v>
      </c>
      <c r="C11573" s="3" t="str">
        <f>IFERROR(__xludf.DUMMYFUNCTION("""COMPUTED_VALUE"""),"CAMPBELLFORD")</f>
        <v>CAMPBELLFORD</v>
      </c>
      <c r="D11573" s="3" t="str">
        <f>IFERROR(__xludf.DUMMYFUNCTION("""COMPUTED_VALUE"""),"K0L 1L0")</f>
        <v>K0L 1L0</v>
      </c>
      <c r="E11573" s="3"/>
      <c r="F11573" s="3"/>
      <c r="G11573" s="3"/>
      <c r="H11573" s="3"/>
    </row>
    <row r="11574">
      <c r="A11574" s="2">
        <f>IFERROR(__xludf.DUMMYFUNCTION("""COMPUTED_VALUE"""),70929.0)</f>
        <v>70929</v>
      </c>
      <c r="B11574" s="3" t="str">
        <f>IFERROR(__xludf.DUMMYFUNCTION("""COMPUTED_VALUE"""),"7743 COUNTY RD 50")</f>
        <v>7743 COUNTY RD 50</v>
      </c>
      <c r="C11574" s="3" t="str">
        <f>IFERROR(__xludf.DUMMYFUNCTION("""COMPUTED_VALUE"""),"CAMPBELLFORD")</f>
        <v>CAMPBELLFORD</v>
      </c>
      <c r="D11574" s="3" t="str">
        <f>IFERROR(__xludf.DUMMYFUNCTION("""COMPUTED_VALUE"""),"K0L 1L0")</f>
        <v>K0L 1L0</v>
      </c>
      <c r="E11574" s="3"/>
      <c r="F11574" s="3"/>
      <c r="G11574" s="3"/>
      <c r="H11574" s="3"/>
    </row>
    <row r="11575">
      <c r="A11575" s="2">
        <f>IFERROR(__xludf.DUMMYFUNCTION("""COMPUTED_VALUE"""),70930.0)</f>
        <v>70930</v>
      </c>
      <c r="B11575" s="3" t="str">
        <f>IFERROR(__xludf.DUMMYFUNCTION("""COMPUTED_VALUE"""),"8321 COUNTY RD 50")</f>
        <v>8321 COUNTY RD 50</v>
      </c>
      <c r="C11575" s="3" t="str">
        <f>IFERROR(__xludf.DUMMYFUNCTION("""COMPUTED_VALUE"""),"CAMPBELLFORD")</f>
        <v>CAMPBELLFORD</v>
      </c>
      <c r="D11575" s="3" t="str">
        <f>IFERROR(__xludf.DUMMYFUNCTION("""COMPUTED_VALUE"""),"K0L 1L0")</f>
        <v>K0L 1L0</v>
      </c>
      <c r="E11575" s="3" t="str">
        <f>IFERROR(__xludf.DUMMYFUNCTION("""COMPUTED_VALUE"""),"Mark Pare")</f>
        <v>Mark Pare</v>
      </c>
      <c r="F11575" s="3" t="str">
        <f>IFERROR(__xludf.DUMMYFUNCTION("""COMPUTED_VALUE"""),"m-pare@outlook.com")</f>
        <v>m-pare@outlook.com</v>
      </c>
      <c r="G11575" s="3">
        <f>IFERROR(__xludf.DUMMYFUNCTION("""COMPUTED_VALUE"""),2.896003133E9)</f>
        <v>2896003133</v>
      </c>
      <c r="H11575" s="3"/>
    </row>
    <row r="11576">
      <c r="A11576" s="2">
        <f>IFERROR(__xludf.DUMMYFUNCTION("""COMPUTED_VALUE"""),70931.0)</f>
        <v>70931</v>
      </c>
      <c r="B11576" s="3" t="str">
        <f>IFERROR(__xludf.DUMMYFUNCTION("""COMPUTED_VALUE"""),"8348 COUNTY RD 50")</f>
        <v>8348 COUNTY RD 50</v>
      </c>
      <c r="C11576" s="3" t="str">
        <f>IFERROR(__xludf.DUMMYFUNCTION("""COMPUTED_VALUE"""),"CAMPBELLFORD")</f>
        <v>CAMPBELLFORD</v>
      </c>
      <c r="D11576" s="3" t="str">
        <f>IFERROR(__xludf.DUMMYFUNCTION("""COMPUTED_VALUE"""),"K0L 1L0")</f>
        <v>K0L 1L0</v>
      </c>
      <c r="E11576" s="3"/>
      <c r="F11576" s="3"/>
      <c r="G11576" s="3"/>
      <c r="H11576" s="3"/>
    </row>
    <row r="11577">
      <c r="A11577" s="2">
        <f>IFERROR(__xludf.DUMMYFUNCTION("""COMPUTED_VALUE"""),70932.0)</f>
        <v>70932</v>
      </c>
      <c r="B11577" s="3" t="str">
        <f>IFERROR(__xludf.DUMMYFUNCTION("""COMPUTED_VALUE"""),"8495 COUNTY RD 50")</f>
        <v>8495 COUNTY RD 50</v>
      </c>
      <c r="C11577" s="3" t="str">
        <f>IFERROR(__xludf.DUMMYFUNCTION("""COMPUTED_VALUE"""),"CAMPBELLFORD")</f>
        <v>CAMPBELLFORD</v>
      </c>
      <c r="D11577" s="3" t="str">
        <f>IFERROR(__xludf.DUMMYFUNCTION("""COMPUTED_VALUE"""),"K0L 1L0")</f>
        <v>K0L 1L0</v>
      </c>
      <c r="E11577" s="3"/>
      <c r="F11577" s="3"/>
      <c r="G11577" s="3"/>
      <c r="H11577" s="3"/>
    </row>
    <row r="11578">
      <c r="A11578" s="2">
        <f>IFERROR(__xludf.DUMMYFUNCTION("""COMPUTED_VALUE"""),70933.0)</f>
        <v>70933</v>
      </c>
      <c r="B11578" s="3" t="str">
        <f>IFERROR(__xludf.DUMMYFUNCTION("""COMPUTED_VALUE"""),"217 COUNTY RD 8")</f>
        <v>217 COUNTY RD 8</v>
      </c>
      <c r="C11578" s="3" t="str">
        <f>IFERROR(__xludf.DUMMYFUNCTION("""COMPUTED_VALUE"""),"CAMPBELLFORD")</f>
        <v>CAMPBELLFORD</v>
      </c>
      <c r="D11578" s="3" t="str">
        <f>IFERROR(__xludf.DUMMYFUNCTION("""COMPUTED_VALUE"""),"K0L 1L0")</f>
        <v>K0L 1L0</v>
      </c>
      <c r="E11578" s="3"/>
      <c r="F11578" s="3"/>
      <c r="G11578" s="3"/>
      <c r="H11578" s="3"/>
    </row>
    <row r="11579">
      <c r="A11579" s="2">
        <f>IFERROR(__xludf.DUMMYFUNCTION("""COMPUTED_VALUE"""),70934.0)</f>
        <v>70934</v>
      </c>
      <c r="B11579" s="3" t="str">
        <f>IFERROR(__xludf.DUMMYFUNCTION("""COMPUTED_VALUE"""),"225 COUNTY RD 8")</f>
        <v>225 COUNTY RD 8</v>
      </c>
      <c r="C11579" s="3" t="str">
        <f>IFERROR(__xludf.DUMMYFUNCTION("""COMPUTED_VALUE"""),"CAMPBELLFORD")</f>
        <v>CAMPBELLFORD</v>
      </c>
      <c r="D11579" s="3" t="str">
        <f>IFERROR(__xludf.DUMMYFUNCTION("""COMPUTED_VALUE"""),"K0L 1L0")</f>
        <v>K0L 1L0</v>
      </c>
      <c r="E11579" s="3"/>
      <c r="F11579" s="3"/>
      <c r="G11579" s="3"/>
      <c r="H11579" s="3"/>
    </row>
    <row r="11580">
      <c r="A11580" s="2">
        <f>IFERROR(__xludf.DUMMYFUNCTION("""COMPUTED_VALUE"""),70935.0)</f>
        <v>70935</v>
      </c>
      <c r="B11580" s="3" t="str">
        <f>IFERROR(__xludf.DUMMYFUNCTION("""COMPUTED_VALUE"""),"231 COUNTY RD 8")</f>
        <v>231 COUNTY RD 8</v>
      </c>
      <c r="C11580" s="3" t="str">
        <f>IFERROR(__xludf.DUMMYFUNCTION("""COMPUTED_VALUE"""),"CAMPBELLFORD")</f>
        <v>CAMPBELLFORD</v>
      </c>
      <c r="D11580" s="3" t="str">
        <f>IFERROR(__xludf.DUMMYFUNCTION("""COMPUTED_VALUE"""),"K0L 1L0")</f>
        <v>K0L 1L0</v>
      </c>
      <c r="E11580" s="3"/>
      <c r="F11580" s="3"/>
      <c r="G11580" s="3"/>
      <c r="H11580" s="3"/>
    </row>
    <row r="11581">
      <c r="A11581" s="2">
        <f>IFERROR(__xludf.DUMMYFUNCTION("""COMPUTED_VALUE"""),70936.0)</f>
        <v>70936</v>
      </c>
      <c r="B11581" s="3" t="str">
        <f>IFERROR(__xludf.DUMMYFUNCTION("""COMPUTED_VALUE"""),"235 COUNTY RD 8")</f>
        <v>235 COUNTY RD 8</v>
      </c>
      <c r="C11581" s="3" t="str">
        <f>IFERROR(__xludf.DUMMYFUNCTION("""COMPUTED_VALUE"""),"CAMPBELLFORD")</f>
        <v>CAMPBELLFORD</v>
      </c>
      <c r="D11581" s="3" t="str">
        <f>IFERROR(__xludf.DUMMYFUNCTION("""COMPUTED_VALUE"""),"K0L 1L0")</f>
        <v>K0L 1L0</v>
      </c>
      <c r="E11581" s="3"/>
      <c r="F11581" s="3"/>
      <c r="G11581" s="3"/>
      <c r="H11581" s="3"/>
    </row>
    <row r="11582">
      <c r="A11582" s="2">
        <f>IFERROR(__xludf.DUMMYFUNCTION("""COMPUTED_VALUE"""),70937.0)</f>
        <v>70937</v>
      </c>
      <c r="B11582" s="3" t="str">
        <f>IFERROR(__xludf.DUMMYFUNCTION("""COMPUTED_VALUE"""),"239 COUNTY RD 8")</f>
        <v>239 COUNTY RD 8</v>
      </c>
      <c r="C11582" s="3" t="str">
        <f>IFERROR(__xludf.DUMMYFUNCTION("""COMPUTED_VALUE"""),"CAMPBELLFORD")</f>
        <v>CAMPBELLFORD</v>
      </c>
      <c r="D11582" s="3" t="str">
        <f>IFERROR(__xludf.DUMMYFUNCTION("""COMPUTED_VALUE"""),"K0L 1L0")</f>
        <v>K0L 1L0</v>
      </c>
      <c r="E11582" s="3" t="str">
        <f>IFERROR(__xludf.DUMMYFUNCTION("""COMPUTED_VALUE"""),"Sean Slade")</f>
        <v>Sean Slade</v>
      </c>
      <c r="F11582" s="3" t="str">
        <f>IFERROR(__xludf.DUMMYFUNCTION("""COMPUTED_VALUE"""),"seankslade@gmail.com")</f>
        <v>seankslade@gmail.com</v>
      </c>
      <c r="G11582" s="3">
        <f>IFERROR(__xludf.DUMMYFUNCTION("""COMPUTED_VALUE"""),6.473894128E9)</f>
        <v>6473894128</v>
      </c>
      <c r="H11582" s="3">
        <f>IFERROR(__xludf.DUMMYFUNCTION("""COMPUTED_VALUE"""),7.056320001E9)</f>
        <v>7056320001</v>
      </c>
    </row>
    <row r="11583">
      <c r="A11583" s="2">
        <f>IFERROR(__xludf.DUMMYFUNCTION("""COMPUTED_VALUE"""),70938.0)</f>
        <v>70938</v>
      </c>
      <c r="B11583" s="3" t="str">
        <f>IFERROR(__xludf.DUMMYFUNCTION("""COMPUTED_VALUE"""),"243 COUNTY RD 8")</f>
        <v>243 COUNTY RD 8</v>
      </c>
      <c r="C11583" s="3" t="str">
        <f>IFERROR(__xludf.DUMMYFUNCTION("""COMPUTED_VALUE"""),"CAMPBELLFORD")</f>
        <v>CAMPBELLFORD</v>
      </c>
      <c r="D11583" s="3" t="str">
        <f>IFERROR(__xludf.DUMMYFUNCTION("""COMPUTED_VALUE"""),"K0L 1L0")</f>
        <v>K0L 1L0</v>
      </c>
      <c r="E11583" s="3"/>
      <c r="F11583" s="3"/>
      <c r="G11583" s="3"/>
      <c r="H11583" s="3"/>
    </row>
    <row r="11584">
      <c r="A11584" s="2">
        <f>IFERROR(__xludf.DUMMYFUNCTION("""COMPUTED_VALUE"""),70939.0)</f>
        <v>70939</v>
      </c>
      <c r="B11584" s="3" t="str">
        <f>IFERROR(__xludf.DUMMYFUNCTION("""COMPUTED_VALUE"""),"249 COUNTY RD 8")</f>
        <v>249 COUNTY RD 8</v>
      </c>
      <c r="C11584" s="3" t="str">
        <f>IFERROR(__xludf.DUMMYFUNCTION("""COMPUTED_VALUE"""),"CAMPBELLFORD")</f>
        <v>CAMPBELLFORD</v>
      </c>
      <c r="D11584" s="3" t="str">
        <f>IFERROR(__xludf.DUMMYFUNCTION("""COMPUTED_VALUE"""),"K0L 1L0")</f>
        <v>K0L 1L0</v>
      </c>
      <c r="E11584" s="3"/>
      <c r="F11584" s="3"/>
      <c r="G11584" s="3"/>
      <c r="H11584" s="3"/>
    </row>
    <row r="11585">
      <c r="A11585" s="2">
        <f>IFERROR(__xludf.DUMMYFUNCTION("""COMPUTED_VALUE"""),70940.0)</f>
        <v>70940</v>
      </c>
      <c r="B11585" s="3" t="str">
        <f>IFERROR(__xludf.DUMMYFUNCTION("""COMPUTED_VALUE"""),"253 COUNTY RD 8")</f>
        <v>253 COUNTY RD 8</v>
      </c>
      <c r="C11585" s="3" t="str">
        <f>IFERROR(__xludf.DUMMYFUNCTION("""COMPUTED_VALUE"""),"CAMPBELLFORD")</f>
        <v>CAMPBELLFORD</v>
      </c>
      <c r="D11585" s="3" t="str">
        <f>IFERROR(__xludf.DUMMYFUNCTION("""COMPUTED_VALUE"""),"K0L 1L0")</f>
        <v>K0L 1L0</v>
      </c>
      <c r="E11585" s="3"/>
      <c r="F11585" s="3"/>
      <c r="G11585" s="3"/>
      <c r="H11585" s="3"/>
    </row>
    <row r="11586">
      <c r="A11586" s="2">
        <f>IFERROR(__xludf.DUMMYFUNCTION("""COMPUTED_VALUE"""),70941.0)</f>
        <v>70941</v>
      </c>
      <c r="B11586" s="3" t="str">
        <f>IFERROR(__xludf.DUMMYFUNCTION("""COMPUTED_VALUE"""),"259 COUNTY RD 8")</f>
        <v>259 COUNTY RD 8</v>
      </c>
      <c r="C11586" s="3" t="str">
        <f>IFERROR(__xludf.DUMMYFUNCTION("""COMPUTED_VALUE"""),"CAMPBELLFORD")</f>
        <v>CAMPBELLFORD</v>
      </c>
      <c r="D11586" s="3" t="str">
        <f>IFERROR(__xludf.DUMMYFUNCTION("""COMPUTED_VALUE"""),"K0L 1L0")</f>
        <v>K0L 1L0</v>
      </c>
      <c r="E11586" s="3"/>
      <c r="F11586" s="3"/>
      <c r="G11586" s="3"/>
      <c r="H11586" s="3"/>
    </row>
    <row r="11587">
      <c r="A11587" s="2">
        <f>IFERROR(__xludf.DUMMYFUNCTION("""COMPUTED_VALUE"""),70942.0)</f>
        <v>70942</v>
      </c>
      <c r="B11587" s="3" t="str">
        <f>IFERROR(__xludf.DUMMYFUNCTION("""COMPUTED_VALUE"""),"265 COUNTY RD 8")</f>
        <v>265 COUNTY RD 8</v>
      </c>
      <c r="C11587" s="3" t="str">
        <f>IFERROR(__xludf.DUMMYFUNCTION("""COMPUTED_VALUE"""),"CAMPBELLFORD")</f>
        <v>CAMPBELLFORD</v>
      </c>
      <c r="D11587" s="3" t="str">
        <f>IFERROR(__xludf.DUMMYFUNCTION("""COMPUTED_VALUE"""),"K0L 1L0")</f>
        <v>K0L 1L0</v>
      </c>
      <c r="E11587" s="3"/>
      <c r="F11587" s="3"/>
      <c r="G11587" s="3"/>
      <c r="H11587" s="3"/>
    </row>
    <row r="11588">
      <c r="A11588" s="2">
        <f>IFERROR(__xludf.DUMMYFUNCTION("""COMPUTED_VALUE"""),70943.0)</f>
        <v>70943</v>
      </c>
      <c r="B11588" s="3" t="str">
        <f>IFERROR(__xludf.DUMMYFUNCTION("""COMPUTED_VALUE"""),"271 COUNTY RD 8")</f>
        <v>271 COUNTY RD 8</v>
      </c>
      <c r="C11588" s="3" t="str">
        <f>IFERROR(__xludf.DUMMYFUNCTION("""COMPUTED_VALUE"""),"CAMPBELLFORD")</f>
        <v>CAMPBELLFORD</v>
      </c>
      <c r="D11588" s="3" t="str">
        <f>IFERROR(__xludf.DUMMYFUNCTION("""COMPUTED_VALUE"""),"K0L 1L0")</f>
        <v>K0L 1L0</v>
      </c>
      <c r="E11588" s="3"/>
      <c r="F11588" s="3"/>
      <c r="G11588" s="3"/>
      <c r="H11588" s="3"/>
    </row>
    <row r="11589">
      <c r="A11589" s="2">
        <f>IFERROR(__xludf.DUMMYFUNCTION("""COMPUTED_VALUE"""),70944.0)</f>
        <v>70944</v>
      </c>
      <c r="B11589" s="3" t="str">
        <f>IFERROR(__xludf.DUMMYFUNCTION("""COMPUTED_VALUE"""),"281 COUNTY RD 8")</f>
        <v>281 COUNTY RD 8</v>
      </c>
      <c r="C11589" s="3" t="str">
        <f>IFERROR(__xludf.DUMMYFUNCTION("""COMPUTED_VALUE"""),"CAMPBELLFORD")</f>
        <v>CAMPBELLFORD</v>
      </c>
      <c r="D11589" s="3" t="str">
        <f>IFERROR(__xludf.DUMMYFUNCTION("""COMPUTED_VALUE"""),"K0L 1L0")</f>
        <v>K0L 1L0</v>
      </c>
      <c r="E11589" s="3"/>
      <c r="F11589" s="3"/>
      <c r="G11589" s="3"/>
      <c r="H11589" s="3"/>
    </row>
    <row r="11590">
      <c r="A11590" s="2">
        <f>IFERROR(__xludf.DUMMYFUNCTION("""COMPUTED_VALUE"""),70945.0)</f>
        <v>70945</v>
      </c>
      <c r="B11590" s="3" t="str">
        <f>IFERROR(__xludf.DUMMYFUNCTION("""COMPUTED_VALUE"""),"289 COUNTY RD 8")</f>
        <v>289 COUNTY RD 8</v>
      </c>
      <c r="C11590" s="3" t="str">
        <f>IFERROR(__xludf.DUMMYFUNCTION("""COMPUTED_VALUE"""),"CAMPBELLFORD")</f>
        <v>CAMPBELLFORD</v>
      </c>
      <c r="D11590" s="3" t="str">
        <f>IFERROR(__xludf.DUMMYFUNCTION("""COMPUTED_VALUE"""),"K0L 1L0")</f>
        <v>K0L 1L0</v>
      </c>
      <c r="E11590" s="3"/>
      <c r="F11590" s="3"/>
      <c r="G11590" s="3"/>
      <c r="H11590" s="3"/>
    </row>
    <row r="11591">
      <c r="A11591" s="2">
        <f>IFERROR(__xludf.DUMMYFUNCTION("""COMPUTED_VALUE"""),70946.0)</f>
        <v>70946</v>
      </c>
      <c r="B11591" s="3" t="str">
        <f>IFERROR(__xludf.DUMMYFUNCTION("""COMPUTED_VALUE"""),"301 COUNTY RD 8")</f>
        <v>301 COUNTY RD 8</v>
      </c>
      <c r="C11591" s="3" t="str">
        <f>IFERROR(__xludf.DUMMYFUNCTION("""COMPUTED_VALUE"""),"CAMPBELLFORD")</f>
        <v>CAMPBELLFORD</v>
      </c>
      <c r="D11591" s="3" t="str">
        <f>IFERROR(__xludf.DUMMYFUNCTION("""COMPUTED_VALUE"""),"K0L 1L0")</f>
        <v>K0L 1L0</v>
      </c>
      <c r="E11591" s="3"/>
      <c r="F11591" s="3"/>
      <c r="G11591" s="3"/>
      <c r="H11591" s="3"/>
    </row>
    <row r="11592">
      <c r="A11592" s="2">
        <f>IFERROR(__xludf.DUMMYFUNCTION("""COMPUTED_VALUE"""),70947.0)</f>
        <v>70947</v>
      </c>
      <c r="B11592" s="3" t="str">
        <f>IFERROR(__xludf.DUMMYFUNCTION("""COMPUTED_VALUE"""),"302 COUNTY RD 8")</f>
        <v>302 COUNTY RD 8</v>
      </c>
      <c r="C11592" s="3" t="str">
        <f>IFERROR(__xludf.DUMMYFUNCTION("""COMPUTED_VALUE"""),"CAMPBELLFORD")</f>
        <v>CAMPBELLFORD</v>
      </c>
      <c r="D11592" s="3" t="str">
        <f>IFERROR(__xludf.DUMMYFUNCTION("""COMPUTED_VALUE"""),"K0L 1L0")</f>
        <v>K0L 1L0</v>
      </c>
      <c r="E11592" s="3" t="str">
        <f>IFERROR(__xludf.DUMMYFUNCTION("""COMPUTED_VALUE"""),"Olivia Hughes")</f>
        <v>Olivia Hughes</v>
      </c>
      <c r="F11592" s="3" t="str">
        <f>IFERROR(__xludf.DUMMYFUNCTION("""COMPUTED_VALUE"""),"o.hughes@hotmail.com")</f>
        <v>o.hughes@hotmail.com</v>
      </c>
      <c r="G11592" s="3"/>
      <c r="H11592" s="3"/>
    </row>
    <row r="11593">
      <c r="A11593" s="2">
        <f>IFERROR(__xludf.DUMMYFUNCTION("""COMPUTED_VALUE"""),70949.0)</f>
        <v>70949</v>
      </c>
      <c r="B11593" s="3" t="str">
        <f>IFERROR(__xludf.DUMMYFUNCTION("""COMPUTED_VALUE"""),"349 COUNTY RD 8")</f>
        <v>349 COUNTY RD 8</v>
      </c>
      <c r="C11593" s="3" t="str">
        <f>IFERROR(__xludf.DUMMYFUNCTION("""COMPUTED_VALUE"""),"CAMPBELLFORD")</f>
        <v>CAMPBELLFORD</v>
      </c>
      <c r="D11593" s="3" t="str">
        <f>IFERROR(__xludf.DUMMYFUNCTION("""COMPUTED_VALUE"""),"K0L 1L0")</f>
        <v>K0L 1L0</v>
      </c>
      <c r="E11593" s="3" t="str">
        <f>IFERROR(__xludf.DUMMYFUNCTION("""COMPUTED_VALUE"""),"Anne &amp; Russ Kinch")</f>
        <v>Anne &amp; Russ Kinch</v>
      </c>
      <c r="F11593" s="3" t="str">
        <f>IFERROR(__xludf.DUMMYFUNCTION("""COMPUTED_VALUE"""),"akinch3@gmail.com")</f>
        <v>akinch3@gmail.com</v>
      </c>
      <c r="G11593" s="3"/>
      <c r="H11593" s="3"/>
    </row>
    <row r="11594">
      <c r="A11594" s="2">
        <f>IFERROR(__xludf.DUMMYFUNCTION("""COMPUTED_VALUE"""),70950.0)</f>
        <v>70950</v>
      </c>
      <c r="B11594" s="3" t="str">
        <f>IFERROR(__xludf.DUMMYFUNCTION("""COMPUTED_VALUE"""),"361 COUNTY RD 8")</f>
        <v>361 COUNTY RD 8</v>
      </c>
      <c r="C11594" s="3" t="str">
        <f>IFERROR(__xludf.DUMMYFUNCTION("""COMPUTED_VALUE"""),"CAMPBELLFORD")</f>
        <v>CAMPBELLFORD</v>
      </c>
      <c r="D11594" s="3" t="str">
        <f>IFERROR(__xludf.DUMMYFUNCTION("""COMPUTED_VALUE"""),"K0L 1L0")</f>
        <v>K0L 1L0</v>
      </c>
      <c r="E11594" s="3"/>
      <c r="F11594" s="3"/>
      <c r="G11594" s="3"/>
      <c r="H11594" s="3"/>
    </row>
    <row r="11595">
      <c r="A11595" s="2">
        <f>IFERROR(__xludf.DUMMYFUNCTION("""COMPUTED_VALUE"""),70951.0)</f>
        <v>70951</v>
      </c>
      <c r="B11595" s="3" t="str">
        <f>IFERROR(__xludf.DUMMYFUNCTION("""COMPUTED_VALUE"""),"377 COUNTY RD 8")</f>
        <v>377 COUNTY RD 8</v>
      </c>
      <c r="C11595" s="3" t="str">
        <f>IFERROR(__xludf.DUMMYFUNCTION("""COMPUTED_VALUE"""),"CAMPBELLFORD")</f>
        <v>CAMPBELLFORD</v>
      </c>
      <c r="D11595" s="3" t="str">
        <f>IFERROR(__xludf.DUMMYFUNCTION("""COMPUTED_VALUE"""),"K0L 1L0")</f>
        <v>K0L 1L0</v>
      </c>
      <c r="E11595" s="3"/>
      <c r="F11595" s="3"/>
      <c r="G11595" s="3"/>
      <c r="H11595" s="3"/>
    </row>
    <row r="11596">
      <c r="A11596" s="2">
        <f>IFERROR(__xludf.DUMMYFUNCTION("""COMPUTED_VALUE"""),70952.0)</f>
        <v>70952</v>
      </c>
      <c r="B11596" s="3" t="str">
        <f>IFERROR(__xludf.DUMMYFUNCTION("""COMPUTED_VALUE"""),"387 COUNTY RD 8")</f>
        <v>387 COUNTY RD 8</v>
      </c>
      <c r="C11596" s="3" t="str">
        <f>IFERROR(__xludf.DUMMYFUNCTION("""COMPUTED_VALUE"""),"CAMPBELLFORD")</f>
        <v>CAMPBELLFORD</v>
      </c>
      <c r="D11596" s="3" t="str">
        <f>IFERROR(__xludf.DUMMYFUNCTION("""COMPUTED_VALUE"""),"K0L 1L0")</f>
        <v>K0L 1L0</v>
      </c>
      <c r="E11596" s="3"/>
      <c r="F11596" s="3"/>
      <c r="G11596" s="3"/>
      <c r="H11596" s="3"/>
    </row>
    <row r="11597">
      <c r="A11597" s="2">
        <f>IFERROR(__xludf.DUMMYFUNCTION("""COMPUTED_VALUE"""),70953.0)</f>
        <v>70953</v>
      </c>
      <c r="B11597" s="3" t="str">
        <f>IFERROR(__xludf.DUMMYFUNCTION("""COMPUTED_VALUE"""),"397 COUNTY RD 8")</f>
        <v>397 COUNTY RD 8</v>
      </c>
      <c r="C11597" s="3" t="str">
        <f>IFERROR(__xludf.DUMMYFUNCTION("""COMPUTED_VALUE"""),"CAMPBELLFORD")</f>
        <v>CAMPBELLFORD</v>
      </c>
      <c r="D11597" s="3" t="str">
        <f>IFERROR(__xludf.DUMMYFUNCTION("""COMPUTED_VALUE"""),"K0L 1L0")</f>
        <v>K0L 1L0</v>
      </c>
      <c r="E11597" s="3"/>
      <c r="F11597" s="3"/>
      <c r="G11597" s="3"/>
      <c r="H11597" s="3"/>
    </row>
    <row r="11598">
      <c r="A11598" s="2">
        <f>IFERROR(__xludf.DUMMYFUNCTION("""COMPUTED_VALUE"""),70954.0)</f>
        <v>70954</v>
      </c>
      <c r="B11598" s="3" t="str">
        <f>IFERROR(__xludf.DUMMYFUNCTION("""COMPUTED_VALUE"""),"425 COUNTY RD 8")</f>
        <v>425 COUNTY RD 8</v>
      </c>
      <c r="C11598" s="3" t="str">
        <f>IFERROR(__xludf.DUMMYFUNCTION("""COMPUTED_VALUE"""),"CAMPBELLFORD")</f>
        <v>CAMPBELLFORD</v>
      </c>
      <c r="D11598" s="3" t="str">
        <f>IFERROR(__xludf.DUMMYFUNCTION("""COMPUTED_VALUE"""),"K0L 1L0")</f>
        <v>K0L 1L0</v>
      </c>
      <c r="E11598" s="3"/>
      <c r="F11598" s="3"/>
      <c r="G11598" s="3"/>
      <c r="H11598" s="3"/>
    </row>
    <row r="11599">
      <c r="A11599" s="2">
        <f>IFERROR(__xludf.DUMMYFUNCTION("""COMPUTED_VALUE"""),70955.0)</f>
        <v>70955</v>
      </c>
      <c r="B11599" s="3" t="str">
        <f>IFERROR(__xludf.DUMMYFUNCTION("""COMPUTED_VALUE"""),"435 COUNTY RD 8")</f>
        <v>435 COUNTY RD 8</v>
      </c>
      <c r="C11599" s="3" t="str">
        <f>IFERROR(__xludf.DUMMYFUNCTION("""COMPUTED_VALUE"""),"CAMPBELLFORD")</f>
        <v>CAMPBELLFORD</v>
      </c>
      <c r="D11599" s="3" t="str">
        <f>IFERROR(__xludf.DUMMYFUNCTION("""COMPUTED_VALUE"""),"K0L 1L0")</f>
        <v>K0L 1L0</v>
      </c>
      <c r="E11599" s="3"/>
      <c r="F11599" s="3"/>
      <c r="G11599" s="3"/>
      <c r="H11599" s="3"/>
    </row>
    <row r="11600">
      <c r="A11600" s="2">
        <f>IFERROR(__xludf.DUMMYFUNCTION("""COMPUTED_VALUE"""),70956.0)</f>
        <v>70956</v>
      </c>
      <c r="B11600" s="3" t="str">
        <f>IFERROR(__xludf.DUMMYFUNCTION("""COMPUTED_VALUE"""),"445 COUNTY RD 8")</f>
        <v>445 COUNTY RD 8</v>
      </c>
      <c r="C11600" s="3" t="str">
        <f>IFERROR(__xludf.DUMMYFUNCTION("""COMPUTED_VALUE"""),"CAMPBELLFORD")</f>
        <v>CAMPBELLFORD</v>
      </c>
      <c r="D11600" s="3" t="str">
        <f>IFERROR(__xludf.DUMMYFUNCTION("""COMPUTED_VALUE"""),"K0L 1L0")</f>
        <v>K0L 1L0</v>
      </c>
      <c r="E11600" s="3"/>
      <c r="F11600" s="3"/>
      <c r="G11600" s="3"/>
      <c r="H11600" s="3"/>
    </row>
    <row r="11601">
      <c r="A11601" s="2">
        <f>IFERROR(__xludf.DUMMYFUNCTION("""COMPUTED_VALUE"""),70957.0)</f>
        <v>70957</v>
      </c>
      <c r="B11601" s="3" t="str">
        <f>IFERROR(__xludf.DUMMYFUNCTION("""COMPUTED_VALUE"""),"463 COUNTY RD 8")</f>
        <v>463 COUNTY RD 8</v>
      </c>
      <c r="C11601" s="3" t="str">
        <f>IFERROR(__xludf.DUMMYFUNCTION("""COMPUTED_VALUE"""),"CAMPBELLFORD")</f>
        <v>CAMPBELLFORD</v>
      </c>
      <c r="D11601" s="3" t="str">
        <f>IFERROR(__xludf.DUMMYFUNCTION("""COMPUTED_VALUE"""),"K0L 1L0")</f>
        <v>K0L 1L0</v>
      </c>
      <c r="E11601" s="3"/>
      <c r="F11601" s="3"/>
      <c r="G11601" s="3"/>
      <c r="H11601" s="3"/>
    </row>
    <row r="11602">
      <c r="A11602" s="2">
        <f>IFERROR(__xludf.DUMMYFUNCTION("""COMPUTED_VALUE"""),70958.0)</f>
        <v>70958</v>
      </c>
      <c r="B11602" s="3" t="str">
        <f>IFERROR(__xludf.DUMMYFUNCTION("""COMPUTED_VALUE"""),"513 COUNTY RD 8")</f>
        <v>513 COUNTY RD 8</v>
      </c>
      <c r="C11602" s="3" t="str">
        <f>IFERROR(__xludf.DUMMYFUNCTION("""COMPUTED_VALUE"""),"CAMPBELLFORD")</f>
        <v>CAMPBELLFORD</v>
      </c>
      <c r="D11602" s="3" t="str">
        <f>IFERROR(__xludf.DUMMYFUNCTION("""COMPUTED_VALUE"""),"K0L 1L0")</f>
        <v>K0L 1L0</v>
      </c>
      <c r="E11602" s="3"/>
      <c r="F11602" s="3"/>
      <c r="G11602" s="3"/>
      <c r="H11602" s="3"/>
    </row>
    <row r="11603">
      <c r="A11603" s="2">
        <f>IFERROR(__xludf.DUMMYFUNCTION("""COMPUTED_VALUE"""),70959.0)</f>
        <v>70959</v>
      </c>
      <c r="B11603" s="3" t="str">
        <f>IFERROR(__xludf.DUMMYFUNCTION("""COMPUTED_VALUE"""),"539 COUNTY RD 8")</f>
        <v>539 COUNTY RD 8</v>
      </c>
      <c r="C11603" s="3" t="str">
        <f>IFERROR(__xludf.DUMMYFUNCTION("""COMPUTED_VALUE"""),"CAMPBELLFORD")</f>
        <v>CAMPBELLFORD</v>
      </c>
      <c r="D11603" s="3" t="str">
        <f>IFERROR(__xludf.DUMMYFUNCTION("""COMPUTED_VALUE"""),"K0L 1L0")</f>
        <v>K0L 1L0</v>
      </c>
      <c r="E11603" s="3"/>
      <c r="F11603" s="3"/>
      <c r="G11603" s="3"/>
      <c r="H11603" s="3"/>
    </row>
    <row r="11604">
      <c r="A11604" s="2">
        <f>IFERROR(__xludf.DUMMYFUNCTION("""COMPUTED_VALUE"""),70960.0)</f>
        <v>70960</v>
      </c>
      <c r="B11604" s="3" t="str">
        <f>IFERROR(__xludf.DUMMYFUNCTION("""COMPUTED_VALUE"""),"684 COUNTY RD 8")</f>
        <v>684 COUNTY RD 8</v>
      </c>
      <c r="C11604" s="3" t="str">
        <f>IFERROR(__xludf.DUMMYFUNCTION("""COMPUTED_VALUE"""),"CAMPBELLFORD")</f>
        <v>CAMPBELLFORD</v>
      </c>
      <c r="D11604" s="3" t="str">
        <f>IFERROR(__xludf.DUMMYFUNCTION("""COMPUTED_VALUE"""),"K0L 1L0")</f>
        <v>K0L 1L0</v>
      </c>
      <c r="E11604" s="3"/>
      <c r="F11604" s="3"/>
      <c r="G11604" s="3"/>
      <c r="H11604" s="3"/>
    </row>
    <row r="11605">
      <c r="A11605" s="2">
        <f>IFERROR(__xludf.DUMMYFUNCTION("""COMPUTED_VALUE"""),70961.0)</f>
        <v>70961</v>
      </c>
      <c r="B11605" s="3" t="str">
        <f>IFERROR(__xludf.DUMMYFUNCTION("""COMPUTED_VALUE"""),"794 COUNTY RD 8")</f>
        <v>794 COUNTY RD 8</v>
      </c>
      <c r="C11605" s="3" t="str">
        <f>IFERROR(__xludf.DUMMYFUNCTION("""COMPUTED_VALUE"""),"CAMPBELLFORD")</f>
        <v>CAMPBELLFORD</v>
      </c>
      <c r="D11605" s="3" t="str">
        <f>IFERROR(__xludf.DUMMYFUNCTION("""COMPUTED_VALUE"""),"K0L 1L0")</f>
        <v>K0L 1L0</v>
      </c>
      <c r="E11605" s="3"/>
      <c r="F11605" s="3"/>
      <c r="G11605" s="3"/>
      <c r="H11605" s="3"/>
    </row>
    <row r="11606">
      <c r="A11606" s="2">
        <f>IFERROR(__xludf.DUMMYFUNCTION("""COMPUTED_VALUE"""),70962.0)</f>
        <v>70962</v>
      </c>
      <c r="B11606" s="3" t="str">
        <f>IFERROR(__xludf.DUMMYFUNCTION("""COMPUTED_VALUE"""),"799 COUNTY RD 8")</f>
        <v>799 COUNTY RD 8</v>
      </c>
      <c r="C11606" s="3" t="str">
        <f>IFERROR(__xludf.DUMMYFUNCTION("""COMPUTED_VALUE"""),"CAMPBELLFORD")</f>
        <v>CAMPBELLFORD</v>
      </c>
      <c r="D11606" s="3" t="str">
        <f>IFERROR(__xludf.DUMMYFUNCTION("""COMPUTED_VALUE"""),"K0L 1L0")</f>
        <v>K0L 1L0</v>
      </c>
      <c r="E11606" s="3"/>
      <c r="F11606" s="3"/>
      <c r="G11606" s="3"/>
      <c r="H11606" s="3"/>
    </row>
    <row r="11607">
      <c r="A11607" s="2">
        <f>IFERROR(__xludf.DUMMYFUNCTION("""COMPUTED_VALUE"""),70963.0)</f>
        <v>70963</v>
      </c>
      <c r="B11607" s="3" t="str">
        <f>IFERROR(__xludf.DUMMYFUNCTION("""COMPUTED_VALUE"""),"843 COUNTY ROAD 8")</f>
        <v>843 COUNTY ROAD 8</v>
      </c>
      <c r="C11607" s="3" t="str">
        <f>IFERROR(__xludf.DUMMYFUNCTION("""COMPUTED_VALUE"""),"CAMPBELLFORD")</f>
        <v>CAMPBELLFORD</v>
      </c>
      <c r="D11607" s="3" t="str">
        <f>IFERROR(__xludf.DUMMYFUNCTION("""COMPUTED_VALUE"""),"K0L 1L0")</f>
        <v>K0L 1L0</v>
      </c>
      <c r="E11607" s="3" t="str">
        <f>IFERROR(__xludf.DUMMYFUNCTION("""COMPUTED_VALUE"""),"Robert Pomeroy")</f>
        <v>Robert Pomeroy</v>
      </c>
      <c r="F11607" s="3" t="str">
        <f>IFERROR(__xludf.DUMMYFUNCTION("""COMPUTED_VALUE"""),"sue_pomeroy@hotmail.com")</f>
        <v>sue_pomeroy@hotmail.com</v>
      </c>
      <c r="G11607" s="3">
        <f>IFERROR(__xludf.DUMMYFUNCTION("""COMPUTED_VALUE"""),7.056534692E9)</f>
        <v>7056534692</v>
      </c>
      <c r="H11607" s="3"/>
    </row>
    <row r="11608">
      <c r="A11608" s="2">
        <f>IFERROR(__xludf.DUMMYFUNCTION("""COMPUTED_VALUE"""),70964.0)</f>
        <v>70964</v>
      </c>
      <c r="B11608" s="3" t="str">
        <f>IFERROR(__xludf.DUMMYFUNCTION("""COMPUTED_VALUE"""),"950 COUNTY RD 8")</f>
        <v>950 COUNTY RD 8</v>
      </c>
      <c r="C11608" s="3" t="str">
        <f>IFERROR(__xludf.DUMMYFUNCTION("""COMPUTED_VALUE"""),"CAMPBELLFORD")</f>
        <v>CAMPBELLFORD</v>
      </c>
      <c r="D11608" s="3" t="str">
        <f>IFERROR(__xludf.DUMMYFUNCTION("""COMPUTED_VALUE"""),"K0L 1L0")</f>
        <v>K0L 1L0</v>
      </c>
      <c r="E11608" s="3"/>
      <c r="F11608" s="3"/>
      <c r="G11608" s="3"/>
      <c r="H11608" s="3"/>
    </row>
    <row r="11609">
      <c r="A11609" s="2">
        <f>IFERROR(__xludf.DUMMYFUNCTION("""COMPUTED_VALUE"""),70965.0)</f>
        <v>70965</v>
      </c>
      <c r="B11609" s="3" t="str">
        <f>IFERROR(__xludf.DUMMYFUNCTION("""COMPUTED_VALUE"""),"1084 COUNTY RD 8")</f>
        <v>1084 COUNTY RD 8</v>
      </c>
      <c r="C11609" s="3" t="str">
        <f>IFERROR(__xludf.DUMMYFUNCTION("""COMPUTED_VALUE"""),"CAMPBELLFORD")</f>
        <v>CAMPBELLFORD</v>
      </c>
      <c r="D11609" s="3" t="str">
        <f>IFERROR(__xludf.DUMMYFUNCTION("""COMPUTED_VALUE"""),"K0L 1L0")</f>
        <v>K0L 1L0</v>
      </c>
      <c r="E11609" s="3"/>
      <c r="F11609" s="3"/>
      <c r="G11609" s="3"/>
      <c r="H11609" s="3"/>
    </row>
    <row r="11610">
      <c r="A11610" s="2">
        <f>IFERROR(__xludf.DUMMYFUNCTION("""COMPUTED_VALUE"""),70966.0)</f>
        <v>70966</v>
      </c>
      <c r="B11610" s="3" t="str">
        <f>IFERROR(__xludf.DUMMYFUNCTION("""COMPUTED_VALUE"""),"1093 COUNTY RD 8")</f>
        <v>1093 COUNTY RD 8</v>
      </c>
      <c r="C11610" s="3" t="str">
        <f>IFERROR(__xludf.DUMMYFUNCTION("""COMPUTED_VALUE"""),"CAMPBELLFORD")</f>
        <v>CAMPBELLFORD</v>
      </c>
      <c r="D11610" s="3" t="str">
        <f>IFERROR(__xludf.DUMMYFUNCTION("""COMPUTED_VALUE"""),"K0L 1L0")</f>
        <v>K0L 1L0</v>
      </c>
      <c r="E11610" s="3"/>
      <c r="F11610" s="3"/>
      <c r="G11610" s="3"/>
      <c r="H11610" s="3"/>
    </row>
    <row r="11611">
      <c r="A11611" s="2">
        <f>IFERROR(__xludf.DUMMYFUNCTION("""COMPUTED_VALUE"""),70967.0)</f>
        <v>70967</v>
      </c>
      <c r="B11611" s="3" t="str">
        <f>IFERROR(__xludf.DUMMYFUNCTION("""COMPUTED_VALUE"""),"1120 COUNTY RD 8")</f>
        <v>1120 COUNTY RD 8</v>
      </c>
      <c r="C11611" s="3" t="str">
        <f>IFERROR(__xludf.DUMMYFUNCTION("""COMPUTED_VALUE"""),"CAMPBELLFORD")</f>
        <v>CAMPBELLFORD</v>
      </c>
      <c r="D11611" s="3" t="str">
        <f>IFERROR(__xludf.DUMMYFUNCTION("""COMPUTED_VALUE"""),"K0L 1L0")</f>
        <v>K0L 1L0</v>
      </c>
      <c r="E11611" s="3"/>
      <c r="F11611" s="3"/>
      <c r="G11611" s="3"/>
      <c r="H11611" s="3"/>
    </row>
    <row r="11612">
      <c r="A11612" s="2">
        <f>IFERROR(__xludf.DUMMYFUNCTION("""COMPUTED_VALUE"""),70968.0)</f>
        <v>70968</v>
      </c>
      <c r="B11612" s="3" t="str">
        <f>IFERROR(__xludf.DUMMYFUNCTION("""COMPUTED_VALUE"""),"1147 COUNTY RD 8")</f>
        <v>1147 COUNTY RD 8</v>
      </c>
      <c r="C11612" s="3" t="str">
        <f>IFERROR(__xludf.DUMMYFUNCTION("""COMPUTED_VALUE"""),"CAMPBELLFORD")</f>
        <v>CAMPBELLFORD</v>
      </c>
      <c r="D11612" s="3" t="str">
        <f>IFERROR(__xludf.DUMMYFUNCTION("""COMPUTED_VALUE"""),"K0L 1L0")</f>
        <v>K0L 1L0</v>
      </c>
      <c r="E11612" s="3"/>
      <c r="F11612" s="3"/>
      <c r="G11612" s="3"/>
      <c r="H11612" s="3"/>
    </row>
    <row r="11613">
      <c r="A11613" s="2">
        <f>IFERROR(__xludf.DUMMYFUNCTION("""COMPUTED_VALUE"""),70969.0)</f>
        <v>70969</v>
      </c>
      <c r="B11613" s="3" t="str">
        <f>IFERROR(__xludf.DUMMYFUNCTION("""COMPUTED_VALUE"""),"1196 COUNTY RD 8")</f>
        <v>1196 COUNTY RD 8</v>
      </c>
      <c r="C11613" s="3" t="str">
        <f>IFERROR(__xludf.DUMMYFUNCTION("""COMPUTED_VALUE"""),"CAMPBELLFORD")</f>
        <v>CAMPBELLFORD</v>
      </c>
      <c r="D11613" s="3" t="str">
        <f>IFERROR(__xludf.DUMMYFUNCTION("""COMPUTED_VALUE"""),"K0L 1L0")</f>
        <v>K0L 1L0</v>
      </c>
      <c r="E11613" s="3"/>
      <c r="F11613" s="3"/>
      <c r="G11613" s="3"/>
      <c r="H11613" s="3"/>
    </row>
    <row r="11614">
      <c r="A11614" s="2">
        <f>IFERROR(__xludf.DUMMYFUNCTION("""COMPUTED_VALUE"""),70970.0)</f>
        <v>70970</v>
      </c>
      <c r="B11614" s="3" t="str">
        <f>IFERROR(__xludf.DUMMYFUNCTION("""COMPUTED_VALUE"""),"1222 COUNTY RD 8")</f>
        <v>1222 COUNTY RD 8</v>
      </c>
      <c r="C11614" s="3" t="str">
        <f>IFERROR(__xludf.DUMMYFUNCTION("""COMPUTED_VALUE"""),"CAMPBELLFORD")</f>
        <v>CAMPBELLFORD</v>
      </c>
      <c r="D11614" s="3" t="str">
        <f>IFERROR(__xludf.DUMMYFUNCTION("""COMPUTED_VALUE"""),"K0L 1L0")</f>
        <v>K0L 1L0</v>
      </c>
      <c r="E11614" s="3"/>
      <c r="F11614" s="3"/>
      <c r="G11614" s="3"/>
      <c r="H11614" s="3"/>
    </row>
    <row r="11615">
      <c r="A11615" s="2">
        <f>IFERROR(__xludf.DUMMYFUNCTION("""COMPUTED_VALUE"""),70971.0)</f>
        <v>70971</v>
      </c>
      <c r="B11615" s="3" t="str">
        <f>IFERROR(__xludf.DUMMYFUNCTION("""COMPUTED_VALUE"""),"1233 COUNTY RD 8")</f>
        <v>1233 COUNTY RD 8</v>
      </c>
      <c r="C11615" s="3" t="str">
        <f>IFERROR(__xludf.DUMMYFUNCTION("""COMPUTED_VALUE"""),"CAMPBELLFORD")</f>
        <v>CAMPBELLFORD</v>
      </c>
      <c r="D11615" s="3" t="str">
        <f>IFERROR(__xludf.DUMMYFUNCTION("""COMPUTED_VALUE"""),"K0L 1L0")</f>
        <v>K0L 1L0</v>
      </c>
      <c r="E11615" s="3"/>
      <c r="F11615" s="3"/>
      <c r="G11615" s="3"/>
      <c r="H11615" s="3"/>
    </row>
    <row r="11616">
      <c r="A11616" s="2">
        <f>IFERROR(__xludf.DUMMYFUNCTION("""COMPUTED_VALUE"""),70972.0)</f>
        <v>70972</v>
      </c>
      <c r="B11616" s="3" t="str">
        <f>IFERROR(__xludf.DUMMYFUNCTION("""COMPUTED_VALUE"""),"1293 COUNTY RD 8")</f>
        <v>1293 COUNTY RD 8</v>
      </c>
      <c r="C11616" s="3" t="str">
        <f>IFERROR(__xludf.DUMMYFUNCTION("""COMPUTED_VALUE"""),"CAMPBELLFORD")</f>
        <v>CAMPBELLFORD</v>
      </c>
      <c r="D11616" s="3" t="str">
        <f>IFERROR(__xludf.DUMMYFUNCTION("""COMPUTED_VALUE"""),"K0L 1L0")</f>
        <v>K0L 1L0</v>
      </c>
      <c r="E11616" s="3"/>
      <c r="F11616" s="3"/>
      <c r="G11616" s="3"/>
      <c r="H11616" s="3"/>
    </row>
    <row r="11617">
      <c r="A11617" s="2">
        <f>IFERROR(__xludf.DUMMYFUNCTION("""COMPUTED_VALUE"""),70973.0)</f>
        <v>70973</v>
      </c>
      <c r="B11617" s="3" t="str">
        <f>IFERROR(__xludf.DUMMYFUNCTION("""COMPUTED_VALUE"""),"1313 COUNTY RD 8")</f>
        <v>1313 COUNTY RD 8</v>
      </c>
      <c r="C11617" s="3" t="str">
        <f>IFERROR(__xludf.DUMMYFUNCTION("""COMPUTED_VALUE"""),"CAMPBELLFORD")</f>
        <v>CAMPBELLFORD</v>
      </c>
      <c r="D11617" s="3" t="str">
        <f>IFERROR(__xludf.DUMMYFUNCTION("""COMPUTED_VALUE"""),"K0L 1L0")</f>
        <v>K0L 1L0</v>
      </c>
      <c r="E11617" s="3"/>
      <c r="F11617" s="3"/>
      <c r="G11617" s="3"/>
      <c r="H11617" s="3"/>
    </row>
    <row r="11618">
      <c r="A11618" s="2">
        <f>IFERROR(__xludf.DUMMYFUNCTION("""COMPUTED_VALUE"""),70974.0)</f>
        <v>70974</v>
      </c>
      <c r="B11618" s="3" t="str">
        <f>IFERROR(__xludf.DUMMYFUNCTION("""COMPUTED_VALUE"""),"1371 COUNTY RD 8")</f>
        <v>1371 COUNTY RD 8</v>
      </c>
      <c r="C11618" s="3" t="str">
        <f>IFERROR(__xludf.DUMMYFUNCTION("""COMPUTED_VALUE"""),"CAMPBELLFORD")</f>
        <v>CAMPBELLFORD</v>
      </c>
      <c r="D11618" s="3" t="str">
        <f>IFERROR(__xludf.DUMMYFUNCTION("""COMPUTED_VALUE"""),"K0L 1L0")</f>
        <v>K0L 1L0</v>
      </c>
      <c r="E11618" s="3"/>
      <c r="F11618" s="3"/>
      <c r="G11618" s="3"/>
      <c r="H11618" s="3"/>
    </row>
    <row r="11619">
      <c r="A11619" s="2">
        <f>IFERROR(__xludf.DUMMYFUNCTION("""COMPUTED_VALUE"""),70975.0)</f>
        <v>70975</v>
      </c>
      <c r="B11619" s="3" t="str">
        <f>IFERROR(__xludf.DUMMYFUNCTION("""COMPUTED_VALUE"""),"1378 COUNTY RD 8")</f>
        <v>1378 COUNTY RD 8</v>
      </c>
      <c r="C11619" s="3" t="str">
        <f>IFERROR(__xludf.DUMMYFUNCTION("""COMPUTED_VALUE"""),"CAMPBELLFORD")</f>
        <v>CAMPBELLFORD</v>
      </c>
      <c r="D11619" s="3" t="str">
        <f>IFERROR(__xludf.DUMMYFUNCTION("""COMPUTED_VALUE"""),"K0L 1L0")</f>
        <v>K0L 1L0</v>
      </c>
      <c r="E11619" s="3"/>
      <c r="F11619" s="3"/>
      <c r="G11619" s="3"/>
      <c r="H11619" s="3"/>
    </row>
    <row r="11620">
      <c r="A11620" s="2">
        <f>IFERROR(__xludf.DUMMYFUNCTION("""COMPUTED_VALUE"""),70976.0)</f>
        <v>70976</v>
      </c>
      <c r="B11620" s="3" t="str">
        <f>IFERROR(__xludf.DUMMYFUNCTION("""COMPUTED_VALUE"""),"1412 COUNTY RD 8")</f>
        <v>1412 COUNTY RD 8</v>
      </c>
      <c r="C11620" s="3" t="str">
        <f>IFERROR(__xludf.DUMMYFUNCTION("""COMPUTED_VALUE"""),"CAMPBELLFORD")</f>
        <v>CAMPBELLFORD</v>
      </c>
      <c r="D11620" s="3" t="str">
        <f>IFERROR(__xludf.DUMMYFUNCTION("""COMPUTED_VALUE"""),"K0L 1L0")</f>
        <v>K0L 1L0</v>
      </c>
      <c r="E11620" s="3"/>
      <c r="F11620" s="3"/>
      <c r="G11620" s="3"/>
      <c r="H11620" s="3"/>
    </row>
    <row r="11621">
      <c r="A11621" s="2">
        <f>IFERROR(__xludf.DUMMYFUNCTION("""COMPUTED_VALUE"""),70977.0)</f>
        <v>70977</v>
      </c>
      <c r="B11621" s="3" t="str">
        <f>IFERROR(__xludf.DUMMYFUNCTION("""COMPUTED_VALUE"""),"1451 COUNTY RD 8")</f>
        <v>1451 COUNTY RD 8</v>
      </c>
      <c r="C11621" s="3" t="str">
        <f>IFERROR(__xludf.DUMMYFUNCTION("""COMPUTED_VALUE"""),"CAMPBELLFORD")</f>
        <v>CAMPBELLFORD</v>
      </c>
      <c r="D11621" s="3" t="str">
        <f>IFERROR(__xludf.DUMMYFUNCTION("""COMPUTED_VALUE"""),"K0L 1L0")</f>
        <v>K0L 1L0</v>
      </c>
      <c r="E11621" s="3"/>
      <c r="F11621" s="3"/>
      <c r="G11621" s="3"/>
      <c r="H11621" s="3"/>
    </row>
    <row r="11622">
      <c r="A11622" s="2">
        <f>IFERROR(__xludf.DUMMYFUNCTION("""COMPUTED_VALUE"""),70978.0)</f>
        <v>70978</v>
      </c>
      <c r="B11622" s="3" t="str">
        <f>IFERROR(__xludf.DUMMYFUNCTION("""COMPUTED_VALUE"""),"1496 COUNTY RD 8")</f>
        <v>1496 COUNTY RD 8</v>
      </c>
      <c r="C11622" s="3" t="str">
        <f>IFERROR(__xludf.DUMMYFUNCTION("""COMPUTED_VALUE"""),"CAMPBELLFORD")</f>
        <v>CAMPBELLFORD</v>
      </c>
      <c r="D11622" s="3" t="str">
        <f>IFERROR(__xludf.DUMMYFUNCTION("""COMPUTED_VALUE"""),"K0L 1L0")</f>
        <v>K0L 1L0</v>
      </c>
      <c r="E11622" s="3"/>
      <c r="F11622" s="3"/>
      <c r="G11622" s="3"/>
      <c r="H11622" s="3"/>
    </row>
    <row r="11623">
      <c r="A11623" s="2">
        <f>IFERROR(__xludf.DUMMYFUNCTION("""COMPUTED_VALUE"""),70979.0)</f>
        <v>70979</v>
      </c>
      <c r="B11623" s="3" t="str">
        <f>IFERROR(__xludf.DUMMYFUNCTION("""COMPUTED_VALUE"""),"1523 COUNTY RD 8")</f>
        <v>1523 COUNTY RD 8</v>
      </c>
      <c r="C11623" s="3" t="str">
        <f>IFERROR(__xludf.DUMMYFUNCTION("""COMPUTED_VALUE"""),"CAMPBELLFORD")</f>
        <v>CAMPBELLFORD</v>
      </c>
      <c r="D11623" s="3" t="str">
        <f>IFERROR(__xludf.DUMMYFUNCTION("""COMPUTED_VALUE"""),"K0L 1L0")</f>
        <v>K0L 1L0</v>
      </c>
      <c r="E11623" s="3"/>
      <c r="F11623" s="3"/>
      <c r="G11623" s="3"/>
      <c r="H11623" s="3"/>
    </row>
    <row r="11624">
      <c r="A11624" s="2">
        <f>IFERROR(__xludf.DUMMYFUNCTION("""COMPUTED_VALUE"""),70980.0)</f>
        <v>70980</v>
      </c>
      <c r="B11624" s="3" t="str">
        <f>IFERROR(__xludf.DUMMYFUNCTION("""COMPUTED_VALUE"""),"1575 COUNTY RD 8")</f>
        <v>1575 COUNTY RD 8</v>
      </c>
      <c r="C11624" s="3" t="str">
        <f>IFERROR(__xludf.DUMMYFUNCTION("""COMPUTED_VALUE"""),"CAMPBELLFORD")</f>
        <v>CAMPBELLFORD</v>
      </c>
      <c r="D11624" s="3" t="str">
        <f>IFERROR(__xludf.DUMMYFUNCTION("""COMPUTED_VALUE"""),"K0L 1L0")</f>
        <v>K0L 1L0</v>
      </c>
      <c r="E11624" s="3"/>
      <c r="F11624" s="3"/>
      <c r="G11624" s="3"/>
      <c r="H11624" s="3"/>
    </row>
    <row r="11625">
      <c r="A11625" s="2">
        <f>IFERROR(__xludf.DUMMYFUNCTION("""COMPUTED_VALUE"""),70981.0)</f>
        <v>70981</v>
      </c>
      <c r="B11625" s="3" t="str">
        <f>IFERROR(__xludf.DUMMYFUNCTION("""COMPUTED_VALUE"""),"1594 COUNTY RD 8")</f>
        <v>1594 COUNTY RD 8</v>
      </c>
      <c r="C11625" s="3" t="str">
        <f>IFERROR(__xludf.DUMMYFUNCTION("""COMPUTED_VALUE"""),"CAMPBELLFORD")</f>
        <v>CAMPBELLFORD</v>
      </c>
      <c r="D11625" s="3" t="str">
        <f>IFERROR(__xludf.DUMMYFUNCTION("""COMPUTED_VALUE"""),"K0L 1L0")</f>
        <v>K0L 1L0</v>
      </c>
      <c r="E11625" s="3"/>
      <c r="F11625" s="3"/>
      <c r="G11625" s="3"/>
      <c r="H11625" s="3"/>
    </row>
    <row r="11626">
      <c r="A11626" s="2">
        <f>IFERROR(__xludf.DUMMYFUNCTION("""COMPUTED_VALUE"""),70982.0)</f>
        <v>70982</v>
      </c>
      <c r="B11626" s="3" t="str">
        <f>IFERROR(__xludf.DUMMYFUNCTION("""COMPUTED_VALUE"""),"1614 COUNTY RD 8")</f>
        <v>1614 COUNTY RD 8</v>
      </c>
      <c r="C11626" s="3" t="str">
        <f>IFERROR(__xludf.DUMMYFUNCTION("""COMPUTED_VALUE"""),"CAMPBELLFORD")</f>
        <v>CAMPBELLFORD</v>
      </c>
      <c r="D11626" s="3" t="str">
        <f>IFERROR(__xludf.DUMMYFUNCTION("""COMPUTED_VALUE"""),"K0L 1L0")</f>
        <v>K0L 1L0</v>
      </c>
      <c r="E11626" s="3"/>
      <c r="F11626" s="3"/>
      <c r="G11626" s="3"/>
      <c r="H11626" s="3"/>
    </row>
    <row r="11627">
      <c r="A11627" s="2">
        <f>IFERROR(__xludf.DUMMYFUNCTION("""COMPUTED_VALUE"""),70983.0)</f>
        <v>70983</v>
      </c>
      <c r="B11627" s="3" t="str">
        <f>IFERROR(__xludf.DUMMYFUNCTION("""COMPUTED_VALUE"""),"1668 COUNTY RD 8")</f>
        <v>1668 COUNTY RD 8</v>
      </c>
      <c r="C11627" s="3" t="str">
        <f>IFERROR(__xludf.DUMMYFUNCTION("""COMPUTED_VALUE"""),"CAMPBELLFORD")</f>
        <v>CAMPBELLFORD</v>
      </c>
      <c r="D11627" s="3" t="str">
        <f>IFERROR(__xludf.DUMMYFUNCTION("""COMPUTED_VALUE"""),"K0L 1L0")</f>
        <v>K0L 1L0</v>
      </c>
      <c r="E11627" s="3" t="str">
        <f>IFERROR(__xludf.DUMMYFUNCTION("""COMPUTED_VALUE"""),"Andrew Brown")</f>
        <v>Andrew Brown</v>
      </c>
      <c r="F11627" s="3" t="str">
        <f>IFERROR(__xludf.DUMMYFUNCTION("""COMPUTED_VALUE"""),"brownshairdesign@hotmail.com")</f>
        <v>brownshairdesign@hotmail.com</v>
      </c>
      <c r="G11627" s="3">
        <f>IFERROR(__xludf.DUMMYFUNCTION("""COMPUTED_VALUE"""),3.43367911E9)</f>
        <v>3433679110</v>
      </c>
      <c r="H11627" s="3"/>
    </row>
    <row r="11628">
      <c r="A11628" s="2">
        <f>IFERROR(__xludf.DUMMYFUNCTION("""COMPUTED_VALUE"""),70984.0)</f>
        <v>70984</v>
      </c>
      <c r="B11628" s="3" t="str">
        <f>IFERROR(__xludf.DUMMYFUNCTION("""COMPUTED_VALUE"""),"1757 COUNTY RD 8")</f>
        <v>1757 COUNTY RD 8</v>
      </c>
      <c r="C11628" s="3" t="str">
        <f>IFERROR(__xludf.DUMMYFUNCTION("""COMPUTED_VALUE"""),"CAMPBELLFORD")</f>
        <v>CAMPBELLFORD</v>
      </c>
      <c r="D11628" s="3" t="str">
        <f>IFERROR(__xludf.DUMMYFUNCTION("""COMPUTED_VALUE"""),"K0L 1L0")</f>
        <v>K0L 1L0</v>
      </c>
      <c r="E11628" s="3"/>
      <c r="F11628" s="3"/>
      <c r="G11628" s="3"/>
      <c r="H11628" s="3"/>
    </row>
    <row r="11629">
      <c r="A11629" s="2">
        <f>IFERROR(__xludf.DUMMYFUNCTION("""COMPUTED_VALUE"""),70985.0)</f>
        <v>70985</v>
      </c>
      <c r="B11629" s="3" t="str">
        <f>IFERROR(__xludf.DUMMYFUNCTION("""COMPUTED_VALUE"""),"1776 COUNTY RD 8")</f>
        <v>1776 COUNTY RD 8</v>
      </c>
      <c r="C11629" s="3" t="str">
        <f>IFERROR(__xludf.DUMMYFUNCTION("""COMPUTED_VALUE"""),"CAMPBELLFORD")</f>
        <v>CAMPBELLFORD</v>
      </c>
      <c r="D11629" s="3" t="str">
        <f>IFERROR(__xludf.DUMMYFUNCTION("""COMPUTED_VALUE"""),"K0L 1L0")</f>
        <v>K0L 1L0</v>
      </c>
      <c r="E11629" s="3"/>
      <c r="F11629" s="3"/>
      <c r="G11629" s="3"/>
      <c r="H11629" s="3"/>
    </row>
    <row r="11630">
      <c r="A11630" s="2">
        <f>IFERROR(__xludf.DUMMYFUNCTION("""COMPUTED_VALUE"""),70986.0)</f>
        <v>70986</v>
      </c>
      <c r="B11630" s="3" t="str">
        <f>IFERROR(__xludf.DUMMYFUNCTION("""COMPUTED_VALUE"""),"1879 COUNTY RD 8")</f>
        <v>1879 COUNTY RD 8</v>
      </c>
      <c r="C11630" s="3" t="str">
        <f>IFERROR(__xludf.DUMMYFUNCTION("""COMPUTED_VALUE"""),"CAMPBELLFORD")</f>
        <v>CAMPBELLFORD</v>
      </c>
      <c r="D11630" s="3" t="str">
        <f>IFERROR(__xludf.DUMMYFUNCTION("""COMPUTED_VALUE"""),"K0L 1L0")</f>
        <v>K0L 1L0</v>
      </c>
      <c r="E11630" s="3"/>
      <c r="F11630" s="3"/>
      <c r="G11630" s="3"/>
      <c r="H11630" s="3"/>
    </row>
    <row r="11631">
      <c r="A11631" s="2">
        <f>IFERROR(__xludf.DUMMYFUNCTION("""COMPUTED_VALUE"""),70987.0)</f>
        <v>70987</v>
      </c>
      <c r="B11631" s="3" t="str">
        <f>IFERROR(__xludf.DUMMYFUNCTION("""COMPUTED_VALUE"""),"1896 COUNTY RD 8")</f>
        <v>1896 COUNTY RD 8</v>
      </c>
      <c r="C11631" s="3" t="str">
        <f>IFERROR(__xludf.DUMMYFUNCTION("""COMPUTED_VALUE"""),"CAMPBELLFORD")</f>
        <v>CAMPBELLFORD</v>
      </c>
      <c r="D11631" s="3" t="str">
        <f>IFERROR(__xludf.DUMMYFUNCTION("""COMPUTED_VALUE"""),"K0L 1L0")</f>
        <v>K0L 1L0</v>
      </c>
      <c r="E11631" s="3"/>
      <c r="F11631" s="3"/>
      <c r="G11631" s="3"/>
      <c r="H11631" s="3"/>
    </row>
    <row r="11632">
      <c r="A11632" s="2">
        <f>IFERROR(__xludf.DUMMYFUNCTION("""COMPUTED_VALUE"""),70988.0)</f>
        <v>70988</v>
      </c>
      <c r="B11632" s="3" t="str">
        <f>IFERROR(__xludf.DUMMYFUNCTION("""COMPUTED_VALUE"""),"2062 COUNTY RD 8")</f>
        <v>2062 COUNTY RD 8</v>
      </c>
      <c r="C11632" s="3" t="str">
        <f>IFERROR(__xludf.DUMMYFUNCTION("""COMPUTED_VALUE"""),"CAMPBELLFORD")</f>
        <v>CAMPBELLFORD</v>
      </c>
      <c r="D11632" s="3" t="str">
        <f>IFERROR(__xludf.DUMMYFUNCTION("""COMPUTED_VALUE"""),"K0L 1L0")</f>
        <v>K0L 1L0</v>
      </c>
      <c r="E11632" s="3"/>
      <c r="F11632" s="3"/>
      <c r="G11632" s="3"/>
      <c r="H11632" s="3"/>
    </row>
    <row r="11633">
      <c r="A11633" s="2">
        <f>IFERROR(__xludf.DUMMYFUNCTION("""COMPUTED_VALUE"""),70989.0)</f>
        <v>70989</v>
      </c>
      <c r="B11633" s="3" t="str">
        <f>IFERROR(__xludf.DUMMYFUNCTION("""COMPUTED_VALUE"""),"2071 COUNTY RD 8")</f>
        <v>2071 COUNTY RD 8</v>
      </c>
      <c r="C11633" s="3" t="str">
        <f>IFERROR(__xludf.DUMMYFUNCTION("""COMPUTED_VALUE"""),"CAMPBELLFORD")</f>
        <v>CAMPBELLFORD</v>
      </c>
      <c r="D11633" s="3" t="str">
        <f>IFERROR(__xludf.DUMMYFUNCTION("""COMPUTED_VALUE"""),"K0L 1L0")</f>
        <v>K0L 1L0</v>
      </c>
      <c r="E11633" s="3"/>
      <c r="F11633" s="3"/>
      <c r="G11633" s="3"/>
      <c r="H11633" s="3"/>
    </row>
    <row r="11634">
      <c r="A11634" s="2">
        <f>IFERROR(__xludf.DUMMYFUNCTION("""COMPUTED_VALUE"""),70990.0)</f>
        <v>70990</v>
      </c>
      <c r="B11634" s="3" t="str">
        <f>IFERROR(__xludf.DUMMYFUNCTION("""COMPUTED_VALUE"""),"2140 COUNTY RD 8")</f>
        <v>2140 COUNTY RD 8</v>
      </c>
      <c r="C11634" s="3" t="str">
        <f>IFERROR(__xludf.DUMMYFUNCTION("""COMPUTED_VALUE"""),"CAMPBELLFORD")</f>
        <v>CAMPBELLFORD</v>
      </c>
      <c r="D11634" s="3" t="str">
        <f>IFERROR(__xludf.DUMMYFUNCTION("""COMPUTED_VALUE"""),"K0L 1L0")</f>
        <v>K0L 1L0</v>
      </c>
      <c r="E11634" s="3"/>
      <c r="F11634" s="3"/>
      <c r="G11634" s="3"/>
      <c r="H11634" s="3"/>
    </row>
    <row r="11635">
      <c r="A11635" s="2">
        <f>IFERROR(__xludf.DUMMYFUNCTION("""COMPUTED_VALUE"""),70991.0)</f>
        <v>70991</v>
      </c>
      <c r="B11635" s="3" t="str">
        <f>IFERROR(__xludf.DUMMYFUNCTION("""COMPUTED_VALUE"""),"2325 COUNTY RD 8")</f>
        <v>2325 COUNTY RD 8</v>
      </c>
      <c r="C11635" s="3" t="str">
        <f>IFERROR(__xludf.DUMMYFUNCTION("""COMPUTED_VALUE"""),"CAMPBELLFORD")</f>
        <v>CAMPBELLFORD</v>
      </c>
      <c r="D11635" s="3" t="str">
        <f>IFERROR(__xludf.DUMMYFUNCTION("""COMPUTED_VALUE"""),"K0L 1L0")</f>
        <v>K0L 1L0</v>
      </c>
      <c r="E11635" s="3"/>
      <c r="F11635" s="3"/>
      <c r="G11635" s="3"/>
      <c r="H11635" s="3"/>
    </row>
    <row r="11636">
      <c r="A11636" s="2">
        <f>IFERROR(__xludf.DUMMYFUNCTION("""COMPUTED_VALUE"""),70992.0)</f>
        <v>70992</v>
      </c>
      <c r="B11636" s="3" t="str">
        <f>IFERROR(__xludf.DUMMYFUNCTION("""COMPUTED_VALUE"""),"2352 COUNTY RD 8")</f>
        <v>2352 COUNTY RD 8</v>
      </c>
      <c r="C11636" s="3" t="str">
        <f>IFERROR(__xludf.DUMMYFUNCTION("""COMPUTED_VALUE"""),"CAMPBELLFORD")</f>
        <v>CAMPBELLFORD</v>
      </c>
      <c r="D11636" s="3" t="str">
        <f>IFERROR(__xludf.DUMMYFUNCTION("""COMPUTED_VALUE"""),"K0L 1L0")</f>
        <v>K0L 1L0</v>
      </c>
      <c r="E11636" s="3"/>
      <c r="F11636" s="3"/>
      <c r="G11636" s="3"/>
      <c r="H11636" s="3"/>
    </row>
    <row r="11637">
      <c r="A11637" s="2">
        <f>IFERROR(__xludf.DUMMYFUNCTION("""COMPUTED_VALUE"""),70993.0)</f>
        <v>70993</v>
      </c>
      <c r="B11637" s="3" t="str">
        <f>IFERROR(__xludf.DUMMYFUNCTION("""COMPUTED_VALUE"""),"2445 COUNTY RD 8")</f>
        <v>2445 COUNTY RD 8</v>
      </c>
      <c r="C11637" s="3" t="str">
        <f>IFERROR(__xludf.DUMMYFUNCTION("""COMPUTED_VALUE"""),"CAMPBELLFORD")</f>
        <v>CAMPBELLFORD</v>
      </c>
      <c r="D11637" s="3" t="str">
        <f>IFERROR(__xludf.DUMMYFUNCTION("""COMPUTED_VALUE"""),"K0L 1L0")</f>
        <v>K0L 1L0</v>
      </c>
      <c r="E11637" s="3"/>
      <c r="F11637" s="3"/>
      <c r="G11637" s="3"/>
      <c r="H11637" s="3"/>
    </row>
    <row r="11638">
      <c r="A11638" s="2">
        <f>IFERROR(__xludf.DUMMYFUNCTION("""COMPUTED_VALUE"""),70994.0)</f>
        <v>70994</v>
      </c>
      <c r="B11638" s="3" t="str">
        <f>IFERROR(__xludf.DUMMYFUNCTION("""COMPUTED_VALUE"""),"2496 COUNTY RD 8")</f>
        <v>2496 COUNTY RD 8</v>
      </c>
      <c r="C11638" s="3" t="str">
        <f>IFERROR(__xludf.DUMMYFUNCTION("""COMPUTED_VALUE"""),"CAMPBELLFORD")</f>
        <v>CAMPBELLFORD</v>
      </c>
      <c r="D11638" s="3" t="str">
        <f>IFERROR(__xludf.DUMMYFUNCTION("""COMPUTED_VALUE"""),"K0L 1L0")</f>
        <v>K0L 1L0</v>
      </c>
      <c r="E11638" s="3"/>
      <c r="F11638" s="3"/>
      <c r="G11638" s="3"/>
      <c r="H11638" s="3"/>
    </row>
    <row r="11639">
      <c r="A11639" s="2">
        <f>IFERROR(__xludf.DUMMYFUNCTION("""COMPUTED_VALUE"""),70995.0)</f>
        <v>70995</v>
      </c>
      <c r="B11639" s="3" t="str">
        <f>IFERROR(__xludf.DUMMYFUNCTION("""COMPUTED_VALUE"""),"2605 COUNTY RD 8")</f>
        <v>2605 COUNTY RD 8</v>
      </c>
      <c r="C11639" s="3" t="str">
        <f>IFERROR(__xludf.DUMMYFUNCTION("""COMPUTED_VALUE"""),"CAMPBELLFORD")</f>
        <v>CAMPBELLFORD</v>
      </c>
      <c r="D11639" s="3" t="str">
        <f>IFERROR(__xludf.DUMMYFUNCTION("""COMPUTED_VALUE"""),"K0L 1L0")</f>
        <v>K0L 1L0</v>
      </c>
      <c r="E11639" s="3"/>
      <c r="F11639" s="3"/>
      <c r="G11639" s="3"/>
      <c r="H11639" s="3"/>
    </row>
    <row r="11640">
      <c r="A11640" s="2">
        <f>IFERROR(__xludf.DUMMYFUNCTION("""COMPUTED_VALUE"""),70996.0)</f>
        <v>70996</v>
      </c>
      <c r="B11640" s="3" t="str">
        <f>IFERROR(__xludf.DUMMYFUNCTION("""COMPUTED_VALUE"""),"2625 COUNTY RD 8")</f>
        <v>2625 COUNTY RD 8</v>
      </c>
      <c r="C11640" s="3" t="str">
        <f>IFERROR(__xludf.DUMMYFUNCTION("""COMPUTED_VALUE"""),"CAMPBELLFORD")</f>
        <v>CAMPBELLFORD</v>
      </c>
      <c r="D11640" s="3" t="str">
        <f>IFERROR(__xludf.DUMMYFUNCTION("""COMPUTED_VALUE"""),"K0L 1L0")</f>
        <v>K0L 1L0</v>
      </c>
      <c r="E11640" s="3"/>
      <c r="F11640" s="3"/>
      <c r="G11640" s="3"/>
      <c r="H11640" s="3"/>
    </row>
    <row r="11641">
      <c r="A11641" s="2">
        <f>IFERROR(__xludf.DUMMYFUNCTION("""COMPUTED_VALUE"""),70997.0)</f>
        <v>70997</v>
      </c>
      <c r="B11641" s="3" t="str">
        <f>IFERROR(__xludf.DUMMYFUNCTION("""COMPUTED_VALUE"""),"2635 COUNTY RD 8")</f>
        <v>2635 COUNTY RD 8</v>
      </c>
      <c r="C11641" s="3" t="str">
        <f>IFERROR(__xludf.DUMMYFUNCTION("""COMPUTED_VALUE"""),"CAMPBELLFORD")</f>
        <v>CAMPBELLFORD</v>
      </c>
      <c r="D11641" s="3" t="str">
        <f>IFERROR(__xludf.DUMMYFUNCTION("""COMPUTED_VALUE"""),"K0L 1L0")</f>
        <v>K0L 1L0</v>
      </c>
      <c r="E11641" s="3"/>
      <c r="F11641" s="3"/>
      <c r="G11641" s="3"/>
      <c r="H11641" s="3"/>
    </row>
    <row r="11642">
      <c r="A11642" s="2">
        <f>IFERROR(__xludf.DUMMYFUNCTION("""COMPUTED_VALUE"""),70998.0)</f>
        <v>70998</v>
      </c>
      <c r="B11642" s="3" t="str">
        <f>IFERROR(__xludf.DUMMYFUNCTION("""COMPUTED_VALUE"""),"2665 COUNTY RD 8")</f>
        <v>2665 COUNTY RD 8</v>
      </c>
      <c r="C11642" s="3" t="str">
        <f>IFERROR(__xludf.DUMMYFUNCTION("""COMPUTED_VALUE"""),"CAMPBELLFORD")</f>
        <v>CAMPBELLFORD</v>
      </c>
      <c r="D11642" s="3" t="str">
        <f>IFERROR(__xludf.DUMMYFUNCTION("""COMPUTED_VALUE"""),"K0L 1L0")</f>
        <v>K0L 1L0</v>
      </c>
      <c r="E11642" s="3"/>
      <c r="F11642" s="3"/>
      <c r="G11642" s="3"/>
      <c r="H11642" s="3"/>
    </row>
    <row r="11643">
      <c r="A11643" s="2">
        <f>IFERROR(__xludf.DUMMYFUNCTION("""COMPUTED_VALUE"""),70999.0)</f>
        <v>70999</v>
      </c>
      <c r="B11643" s="3" t="str">
        <f>IFERROR(__xludf.DUMMYFUNCTION("""COMPUTED_VALUE"""),"2702 COUNTY RD 8")</f>
        <v>2702 COUNTY RD 8</v>
      </c>
      <c r="C11643" s="3" t="str">
        <f>IFERROR(__xludf.DUMMYFUNCTION("""COMPUTED_VALUE"""),"CAMPBELLFORD")</f>
        <v>CAMPBELLFORD</v>
      </c>
      <c r="D11643" s="3" t="str">
        <f>IFERROR(__xludf.DUMMYFUNCTION("""COMPUTED_VALUE"""),"K0L 1L0")</f>
        <v>K0L 1L0</v>
      </c>
      <c r="E11643" s="3"/>
      <c r="F11643" s="3"/>
      <c r="G11643" s="3"/>
      <c r="H11643" s="3"/>
    </row>
    <row r="11644">
      <c r="A11644" s="2">
        <f>IFERROR(__xludf.DUMMYFUNCTION("""COMPUTED_VALUE"""),72542.0)</f>
        <v>72542</v>
      </c>
      <c r="B11644" s="3" t="str">
        <f>IFERROR(__xludf.DUMMYFUNCTION("""COMPUTED_VALUE"""),"2747 COUNTY RD 8")</f>
        <v>2747 COUNTY RD 8</v>
      </c>
      <c r="C11644" s="3" t="str">
        <f>IFERROR(__xludf.DUMMYFUNCTION("""COMPUTED_VALUE"""),"CAMPBELLFORD")</f>
        <v>CAMPBELLFORD</v>
      </c>
      <c r="D11644" s="3" t="str">
        <f>IFERROR(__xludf.DUMMYFUNCTION("""COMPUTED_VALUE"""),"K0L 1L0")</f>
        <v>K0L 1L0</v>
      </c>
      <c r="E11644" s="3"/>
      <c r="F11644" s="3"/>
      <c r="G11644" s="3"/>
      <c r="H11644" s="3"/>
    </row>
    <row r="11645">
      <c r="A11645" s="2">
        <f>IFERROR(__xludf.DUMMYFUNCTION("""COMPUTED_VALUE"""),72543.0)</f>
        <v>72543</v>
      </c>
      <c r="B11645" s="3" t="str">
        <f>IFERROR(__xludf.DUMMYFUNCTION("""COMPUTED_VALUE"""),"2751 COUNTY RD 8")</f>
        <v>2751 COUNTY RD 8</v>
      </c>
      <c r="C11645" s="3" t="str">
        <f>IFERROR(__xludf.DUMMYFUNCTION("""COMPUTED_VALUE"""),"CAMPBELLFORD")</f>
        <v>CAMPBELLFORD</v>
      </c>
      <c r="D11645" s="3" t="str">
        <f>IFERROR(__xludf.DUMMYFUNCTION("""COMPUTED_VALUE"""),"K0L 1L0")</f>
        <v>K0L 1L0</v>
      </c>
      <c r="E11645" s="3"/>
      <c r="F11645" s="3"/>
      <c r="G11645" s="3"/>
      <c r="H11645" s="3"/>
    </row>
    <row r="11646">
      <c r="A11646" s="2">
        <f>IFERROR(__xludf.DUMMYFUNCTION("""COMPUTED_VALUE"""),71000.0)</f>
        <v>71000</v>
      </c>
      <c r="B11646" s="3" t="str">
        <f>IFERROR(__xludf.DUMMYFUNCTION("""COMPUTED_VALUE"""),"2755 COUNTY RD 8")</f>
        <v>2755 COUNTY RD 8</v>
      </c>
      <c r="C11646" s="3" t="str">
        <f>IFERROR(__xludf.DUMMYFUNCTION("""COMPUTED_VALUE"""),"CAMPBELLFORD")</f>
        <v>CAMPBELLFORD</v>
      </c>
      <c r="D11646" s="3" t="str">
        <f>IFERROR(__xludf.DUMMYFUNCTION("""COMPUTED_VALUE"""),"K0L 1L0")</f>
        <v>K0L 1L0</v>
      </c>
      <c r="E11646" s="3"/>
      <c r="F11646" s="3"/>
      <c r="G11646" s="3"/>
      <c r="H11646" s="3"/>
    </row>
    <row r="11647">
      <c r="A11647" s="2">
        <f>IFERROR(__xludf.DUMMYFUNCTION("""COMPUTED_VALUE"""),71001.0)</f>
        <v>71001</v>
      </c>
      <c r="B11647" s="3" t="str">
        <f>IFERROR(__xludf.DUMMYFUNCTION("""COMPUTED_VALUE"""),"2771 COUNTY RD 8")</f>
        <v>2771 COUNTY RD 8</v>
      </c>
      <c r="C11647" s="3" t="str">
        <f>IFERROR(__xludf.DUMMYFUNCTION("""COMPUTED_VALUE"""),"CAMPBELLFORD")</f>
        <v>CAMPBELLFORD</v>
      </c>
      <c r="D11647" s="3" t="str">
        <f>IFERROR(__xludf.DUMMYFUNCTION("""COMPUTED_VALUE"""),"K0L 1L0")</f>
        <v>K0L 1L0</v>
      </c>
      <c r="E11647" s="3"/>
      <c r="F11647" s="3"/>
      <c r="G11647" s="3"/>
      <c r="H11647" s="3"/>
    </row>
    <row r="11648">
      <c r="A11648" s="2">
        <f>IFERROR(__xludf.DUMMYFUNCTION("""COMPUTED_VALUE"""),71002.0)</f>
        <v>71002</v>
      </c>
      <c r="B11648" s="3" t="str">
        <f>IFERROR(__xludf.DUMMYFUNCTION("""COMPUTED_VALUE"""),"2776 COUNTY RD 8")</f>
        <v>2776 COUNTY RD 8</v>
      </c>
      <c r="C11648" s="3" t="str">
        <f>IFERROR(__xludf.DUMMYFUNCTION("""COMPUTED_VALUE"""),"CAMPBELLFORD")</f>
        <v>CAMPBELLFORD</v>
      </c>
      <c r="D11648" s="3" t="str">
        <f>IFERROR(__xludf.DUMMYFUNCTION("""COMPUTED_VALUE"""),"K0L 1L0")</f>
        <v>K0L 1L0</v>
      </c>
      <c r="E11648" s="3"/>
      <c r="F11648" s="3"/>
      <c r="G11648" s="3"/>
      <c r="H11648" s="3"/>
    </row>
    <row r="11649">
      <c r="A11649" s="2">
        <f>IFERROR(__xludf.DUMMYFUNCTION("""COMPUTED_VALUE"""),71003.0)</f>
        <v>71003</v>
      </c>
      <c r="B11649" s="3" t="str">
        <f>IFERROR(__xludf.DUMMYFUNCTION("""COMPUTED_VALUE"""),"2783 COUNTY RD 8")</f>
        <v>2783 COUNTY RD 8</v>
      </c>
      <c r="C11649" s="3" t="str">
        <f>IFERROR(__xludf.DUMMYFUNCTION("""COMPUTED_VALUE"""),"CAMPBELLFORD")</f>
        <v>CAMPBELLFORD</v>
      </c>
      <c r="D11649" s="3" t="str">
        <f>IFERROR(__xludf.DUMMYFUNCTION("""COMPUTED_VALUE"""),"K0L 1L0")</f>
        <v>K0L 1L0</v>
      </c>
      <c r="E11649" s="3" t="str">
        <f>IFERROR(__xludf.DUMMYFUNCTION("""COMPUTED_VALUE"""),"Shawn Murphy")</f>
        <v>Shawn Murphy</v>
      </c>
      <c r="F11649" s="3" t="str">
        <f>IFERROR(__xludf.DUMMYFUNCTION("""COMPUTED_VALUE"""),"murphysfr@gmail.com")</f>
        <v>murphysfr@gmail.com</v>
      </c>
      <c r="G11649" s="3">
        <f>IFERROR(__xludf.DUMMYFUNCTION("""COMPUTED_VALUE"""),9.056226759E9)</f>
        <v>9056226759</v>
      </c>
      <c r="H11649" s="3"/>
    </row>
    <row r="11650">
      <c r="A11650" s="2">
        <f>IFERROR(__xludf.DUMMYFUNCTION("""COMPUTED_VALUE"""),71004.0)</f>
        <v>71004</v>
      </c>
      <c r="B11650" s="3" t="str">
        <f>IFERROR(__xludf.DUMMYFUNCTION("""COMPUTED_VALUE"""),"2785 COUNTY RD 8")</f>
        <v>2785 COUNTY RD 8</v>
      </c>
      <c r="C11650" s="3" t="str">
        <f>IFERROR(__xludf.DUMMYFUNCTION("""COMPUTED_VALUE"""),"CAMPBELLFORD")</f>
        <v>CAMPBELLFORD</v>
      </c>
      <c r="D11650" s="3" t="str">
        <f>IFERROR(__xludf.DUMMYFUNCTION("""COMPUTED_VALUE"""),"K0L 1L0")</f>
        <v>K0L 1L0</v>
      </c>
      <c r="E11650" s="3"/>
      <c r="F11650" s="3"/>
      <c r="G11650" s="3"/>
      <c r="H11650" s="3"/>
    </row>
    <row r="11651">
      <c r="A11651" s="2">
        <f>IFERROR(__xludf.DUMMYFUNCTION("""COMPUTED_VALUE"""),71005.0)</f>
        <v>71005</v>
      </c>
      <c r="B11651" s="3" t="str">
        <f>IFERROR(__xludf.DUMMYFUNCTION("""COMPUTED_VALUE"""),"2790 COUNTY RD 8")</f>
        <v>2790 COUNTY RD 8</v>
      </c>
      <c r="C11651" s="3" t="str">
        <f>IFERROR(__xludf.DUMMYFUNCTION("""COMPUTED_VALUE"""),"CAMPBELLFORD")</f>
        <v>CAMPBELLFORD</v>
      </c>
      <c r="D11651" s="3" t="str">
        <f>IFERROR(__xludf.DUMMYFUNCTION("""COMPUTED_VALUE"""),"K0L 1L0")</f>
        <v>K0L 1L0</v>
      </c>
      <c r="E11651" s="3"/>
      <c r="F11651" s="3"/>
      <c r="G11651" s="3"/>
      <c r="H11651" s="3"/>
    </row>
    <row r="11652">
      <c r="A11652" s="2">
        <f>IFERROR(__xludf.DUMMYFUNCTION("""COMPUTED_VALUE"""),71006.0)</f>
        <v>71006</v>
      </c>
      <c r="B11652" s="3" t="str">
        <f>IFERROR(__xludf.DUMMYFUNCTION("""COMPUTED_VALUE"""),"2793 COUNTY RD 8")</f>
        <v>2793 COUNTY RD 8</v>
      </c>
      <c r="C11652" s="3" t="str">
        <f>IFERROR(__xludf.DUMMYFUNCTION("""COMPUTED_VALUE"""),"CAMPBELLFORD")</f>
        <v>CAMPBELLFORD</v>
      </c>
      <c r="D11652" s="3" t="str">
        <f>IFERROR(__xludf.DUMMYFUNCTION("""COMPUTED_VALUE"""),"K0L 1L0")</f>
        <v>K0L 1L0</v>
      </c>
      <c r="E11652" s="3"/>
      <c r="F11652" s="3"/>
      <c r="G11652" s="3"/>
      <c r="H11652" s="3"/>
    </row>
    <row r="11653">
      <c r="A11653" s="2">
        <f>IFERROR(__xludf.DUMMYFUNCTION("""COMPUTED_VALUE"""),71007.0)</f>
        <v>71007</v>
      </c>
      <c r="B11653" s="3" t="str">
        <f>IFERROR(__xludf.DUMMYFUNCTION("""COMPUTED_VALUE"""),"2795 COUNTY RD 8")</f>
        <v>2795 COUNTY RD 8</v>
      </c>
      <c r="C11653" s="3" t="str">
        <f>IFERROR(__xludf.DUMMYFUNCTION("""COMPUTED_VALUE"""),"CAMPBELLFORD")</f>
        <v>CAMPBELLFORD</v>
      </c>
      <c r="D11653" s="3" t="str">
        <f>IFERROR(__xludf.DUMMYFUNCTION("""COMPUTED_VALUE"""),"K0L 1L0")</f>
        <v>K0L 1L0</v>
      </c>
      <c r="E11653" s="3"/>
      <c r="F11653" s="3"/>
      <c r="G11653" s="3"/>
      <c r="H11653" s="3"/>
    </row>
    <row r="11654">
      <c r="A11654" s="2">
        <f>IFERROR(__xludf.DUMMYFUNCTION("""COMPUTED_VALUE"""),71008.0)</f>
        <v>71008</v>
      </c>
      <c r="B11654" s="3" t="str">
        <f>IFERROR(__xludf.DUMMYFUNCTION("""COMPUTED_VALUE"""),"2798 COUNTY RD 8")</f>
        <v>2798 COUNTY RD 8</v>
      </c>
      <c r="C11654" s="3" t="str">
        <f>IFERROR(__xludf.DUMMYFUNCTION("""COMPUTED_VALUE"""),"CAMPBELLFORD")</f>
        <v>CAMPBELLFORD</v>
      </c>
      <c r="D11654" s="3" t="str">
        <f>IFERROR(__xludf.DUMMYFUNCTION("""COMPUTED_VALUE"""),"K0L 1L0")</f>
        <v>K0L 1L0</v>
      </c>
      <c r="E11654" s="3"/>
      <c r="F11654" s="3"/>
      <c r="G11654" s="3"/>
      <c r="H11654" s="3"/>
    </row>
    <row r="11655">
      <c r="A11655" s="2">
        <f>IFERROR(__xludf.DUMMYFUNCTION("""COMPUTED_VALUE"""),71009.0)</f>
        <v>71009</v>
      </c>
      <c r="B11655" s="3" t="str">
        <f>IFERROR(__xludf.DUMMYFUNCTION("""COMPUTED_VALUE"""),"2799 COUNTY RD 8")</f>
        <v>2799 COUNTY RD 8</v>
      </c>
      <c r="C11655" s="3" t="str">
        <f>IFERROR(__xludf.DUMMYFUNCTION("""COMPUTED_VALUE"""),"CAMPBELLFORD")</f>
        <v>CAMPBELLFORD</v>
      </c>
      <c r="D11655" s="3" t="str">
        <f>IFERROR(__xludf.DUMMYFUNCTION("""COMPUTED_VALUE"""),"K0L 1L0")</f>
        <v>K0L 1L0</v>
      </c>
      <c r="E11655" s="3"/>
      <c r="F11655" s="3"/>
      <c r="G11655" s="3"/>
      <c r="H11655" s="3"/>
    </row>
    <row r="11656">
      <c r="A11656" s="2">
        <f>IFERROR(__xludf.DUMMYFUNCTION("""COMPUTED_VALUE"""),71010.0)</f>
        <v>71010</v>
      </c>
      <c r="B11656" s="3" t="str">
        <f>IFERROR(__xludf.DUMMYFUNCTION("""COMPUTED_VALUE"""),"2811 COUNTY RD 8")</f>
        <v>2811 COUNTY RD 8</v>
      </c>
      <c r="C11656" s="3" t="str">
        <f>IFERROR(__xludf.DUMMYFUNCTION("""COMPUTED_VALUE"""),"CAMPBELLFORD")</f>
        <v>CAMPBELLFORD</v>
      </c>
      <c r="D11656" s="3" t="str">
        <f>IFERROR(__xludf.DUMMYFUNCTION("""COMPUTED_VALUE"""),"K0L 1L0")</f>
        <v>K0L 1L0</v>
      </c>
      <c r="E11656" s="3"/>
      <c r="F11656" s="3"/>
      <c r="G11656" s="3"/>
      <c r="H11656" s="3"/>
    </row>
    <row r="11657">
      <c r="A11657" s="2">
        <f>IFERROR(__xludf.DUMMYFUNCTION("""COMPUTED_VALUE"""),71011.0)</f>
        <v>71011</v>
      </c>
      <c r="B11657" s="3" t="str">
        <f>IFERROR(__xludf.DUMMYFUNCTION("""COMPUTED_VALUE"""),"2812 COUNTY RD 8")</f>
        <v>2812 COUNTY RD 8</v>
      </c>
      <c r="C11657" s="3" t="str">
        <f>IFERROR(__xludf.DUMMYFUNCTION("""COMPUTED_VALUE"""),"CAMPBELLFORD")</f>
        <v>CAMPBELLFORD</v>
      </c>
      <c r="D11657" s="3" t="str">
        <f>IFERROR(__xludf.DUMMYFUNCTION("""COMPUTED_VALUE"""),"K0L 1L0")</f>
        <v>K0L 1L0</v>
      </c>
      <c r="E11657" s="3"/>
      <c r="F11657" s="3"/>
      <c r="G11657" s="3"/>
      <c r="H11657" s="3"/>
    </row>
    <row r="11658">
      <c r="A11658" s="2">
        <f>IFERROR(__xludf.DUMMYFUNCTION("""COMPUTED_VALUE"""),71012.0)</f>
        <v>71012</v>
      </c>
      <c r="B11658" s="3" t="str">
        <f>IFERROR(__xludf.DUMMYFUNCTION("""COMPUTED_VALUE"""),"2830 COUNTY RD 8")</f>
        <v>2830 COUNTY RD 8</v>
      </c>
      <c r="C11658" s="3" t="str">
        <f>IFERROR(__xludf.DUMMYFUNCTION("""COMPUTED_VALUE"""),"CAMPBELLFORD")</f>
        <v>CAMPBELLFORD</v>
      </c>
      <c r="D11658" s="3" t="str">
        <f>IFERROR(__xludf.DUMMYFUNCTION("""COMPUTED_VALUE"""),"K0L 1L0")</f>
        <v>K0L 1L0</v>
      </c>
      <c r="E11658" s="3"/>
      <c r="F11658" s="3"/>
      <c r="G11658" s="3"/>
      <c r="H11658" s="3"/>
    </row>
    <row r="11659">
      <c r="A11659" s="2">
        <f>IFERROR(__xludf.DUMMYFUNCTION("""COMPUTED_VALUE"""),71013.0)</f>
        <v>71013</v>
      </c>
      <c r="B11659" s="3" t="str">
        <f>IFERROR(__xludf.DUMMYFUNCTION("""COMPUTED_VALUE"""),"2831 COUNTY RD 8")</f>
        <v>2831 COUNTY RD 8</v>
      </c>
      <c r="C11659" s="3" t="str">
        <f>IFERROR(__xludf.DUMMYFUNCTION("""COMPUTED_VALUE"""),"CAMPBELLFORD")</f>
        <v>CAMPBELLFORD</v>
      </c>
      <c r="D11659" s="3" t="str">
        <f>IFERROR(__xludf.DUMMYFUNCTION("""COMPUTED_VALUE"""),"K0L 1L0")</f>
        <v>K0L 1L0</v>
      </c>
      <c r="E11659" s="3"/>
      <c r="F11659" s="3"/>
      <c r="G11659" s="3"/>
      <c r="H11659" s="3"/>
    </row>
    <row r="11660">
      <c r="A11660" s="2">
        <f>IFERROR(__xludf.DUMMYFUNCTION("""COMPUTED_VALUE"""),71016.0)</f>
        <v>71016</v>
      </c>
      <c r="B11660" s="3" t="str">
        <f>IFERROR(__xludf.DUMMYFUNCTION("""COMPUTED_VALUE"""),"2060B COUNTY RD 8")</f>
        <v>2060B COUNTY RD 8</v>
      </c>
      <c r="C11660" s="3" t="str">
        <f>IFERROR(__xludf.DUMMYFUNCTION("""COMPUTED_VALUE"""),"CAMPBELLFORD")</f>
        <v>CAMPBELLFORD</v>
      </c>
      <c r="D11660" s="3" t="str">
        <f>IFERROR(__xludf.DUMMYFUNCTION("""COMPUTED_VALUE"""),"K0L 1L0")</f>
        <v>K0L 1L0</v>
      </c>
      <c r="E11660" s="3"/>
      <c r="F11660" s="3"/>
      <c r="G11660" s="3"/>
      <c r="H11660" s="3"/>
    </row>
    <row r="11661">
      <c r="A11661" s="2">
        <f>IFERROR(__xludf.DUMMYFUNCTION("""COMPUTED_VALUE"""),71017.0)</f>
        <v>71017</v>
      </c>
      <c r="B11661" s="3" t="str">
        <f>IFERROR(__xludf.DUMMYFUNCTION("""COMPUTED_VALUE"""),"2432B COUNTY RD 8")</f>
        <v>2432B COUNTY RD 8</v>
      </c>
      <c r="C11661" s="3" t="str">
        <f>IFERROR(__xludf.DUMMYFUNCTION("""COMPUTED_VALUE"""),"CAMPBELLFORD")</f>
        <v>CAMPBELLFORD</v>
      </c>
      <c r="D11661" s="3" t="str">
        <f>IFERROR(__xludf.DUMMYFUNCTION("""COMPUTED_VALUE"""),"K0L 1L0")</f>
        <v>K0L 1L0</v>
      </c>
      <c r="E11661" s="3"/>
      <c r="F11661" s="3"/>
      <c r="G11661" s="3"/>
      <c r="H11661" s="3"/>
    </row>
    <row r="11662">
      <c r="A11662" s="2">
        <f>IFERROR(__xludf.DUMMYFUNCTION("""COMPUTED_VALUE"""),71018.0)</f>
        <v>71018</v>
      </c>
      <c r="B11662" s="3" t="str">
        <f>IFERROR(__xludf.DUMMYFUNCTION("""COMPUTED_VALUE"""),"2500-2508 COUNTY RD 8")</f>
        <v>2500-2508 COUNTY RD 8</v>
      </c>
      <c r="C11662" s="3" t="str">
        <f>IFERROR(__xludf.DUMMYFUNCTION("""COMPUTED_VALUE"""),"CAMPBELLFORD")</f>
        <v>CAMPBELLFORD</v>
      </c>
      <c r="D11662" s="3" t="str">
        <f>IFERROR(__xludf.DUMMYFUNCTION("""COMPUTED_VALUE"""),"K0L 1L0")</f>
        <v>K0L 1L0</v>
      </c>
      <c r="E11662" s="3"/>
      <c r="F11662" s="3"/>
      <c r="G11662" s="3"/>
      <c r="H11662" s="3"/>
    </row>
    <row r="11663">
      <c r="A11663" s="2">
        <f>IFERROR(__xludf.DUMMYFUNCTION("""COMPUTED_VALUE"""),71062.0)</f>
        <v>71062</v>
      </c>
      <c r="B11663" s="3" t="str">
        <f>IFERROR(__xludf.DUMMYFUNCTION("""COMPUTED_VALUE"""),"14 CROWE BAY HTS")</f>
        <v>14 CROWE BAY HTS</v>
      </c>
      <c r="C11663" s="3" t="str">
        <f>IFERROR(__xludf.DUMMYFUNCTION("""COMPUTED_VALUE"""),"CAMPBELLFORD")</f>
        <v>CAMPBELLFORD</v>
      </c>
      <c r="D11663" s="3" t="str">
        <f>IFERROR(__xludf.DUMMYFUNCTION("""COMPUTED_VALUE"""),"K0L 1L0")</f>
        <v>K0L 1L0</v>
      </c>
      <c r="E11663" s="3" t="str">
        <f>IFERROR(__xludf.DUMMYFUNCTION("""COMPUTED_VALUE"""),"Ken &amp; Ginette Dehne")</f>
        <v>Ken &amp; Ginette Dehne</v>
      </c>
      <c r="F11663" s="3" t="str">
        <f>IFERROR(__xludf.DUMMYFUNCTION("""COMPUTED_VALUE"""),"kensstereo@yahoo.ca")</f>
        <v>kensstereo@yahoo.ca</v>
      </c>
      <c r="G11663" s="3">
        <f>IFERROR(__xludf.DUMMYFUNCTION("""COMPUTED_VALUE"""),7.05653329E9)</f>
        <v>7056533290</v>
      </c>
      <c r="H11663" s="3">
        <f>IFERROR(__xludf.DUMMYFUNCTION("""COMPUTED_VALUE"""),7.056535368E9)</f>
        <v>7056535368</v>
      </c>
    </row>
    <row r="11664">
      <c r="A11664" s="2">
        <f>IFERROR(__xludf.DUMMYFUNCTION("""COMPUTED_VALUE"""),71063.0)</f>
        <v>71063</v>
      </c>
      <c r="B11664" s="3" t="str">
        <f>IFERROR(__xludf.DUMMYFUNCTION("""COMPUTED_VALUE"""),"17 CROWE BAY HTS")</f>
        <v>17 CROWE BAY HTS</v>
      </c>
      <c r="C11664" s="3" t="str">
        <f>IFERROR(__xludf.DUMMYFUNCTION("""COMPUTED_VALUE"""),"CAMPBELLFORD")</f>
        <v>CAMPBELLFORD</v>
      </c>
      <c r="D11664" s="3" t="str">
        <f>IFERROR(__xludf.DUMMYFUNCTION("""COMPUTED_VALUE"""),"K0L 1L0")</f>
        <v>K0L 1L0</v>
      </c>
      <c r="E11664" s="3"/>
      <c r="F11664" s="3"/>
      <c r="G11664" s="3"/>
      <c r="H11664" s="3"/>
    </row>
    <row r="11665">
      <c r="A11665" s="2">
        <f>IFERROR(__xludf.DUMMYFUNCTION("""COMPUTED_VALUE"""),71064.0)</f>
        <v>71064</v>
      </c>
      <c r="B11665" s="3" t="str">
        <f>IFERROR(__xludf.DUMMYFUNCTION("""COMPUTED_VALUE"""),"22 CROWE BAY HTS")</f>
        <v>22 CROWE BAY HTS</v>
      </c>
      <c r="C11665" s="3" t="str">
        <f>IFERROR(__xludf.DUMMYFUNCTION("""COMPUTED_VALUE"""),"CAMPBELLFORD")</f>
        <v>CAMPBELLFORD</v>
      </c>
      <c r="D11665" s="3" t="str">
        <f>IFERROR(__xludf.DUMMYFUNCTION("""COMPUTED_VALUE"""),"K0L 1L0")</f>
        <v>K0L 1L0</v>
      </c>
      <c r="E11665" s="3"/>
      <c r="F11665" s="3"/>
      <c r="G11665" s="3"/>
      <c r="H11665" s="3"/>
    </row>
    <row r="11666">
      <c r="A11666" s="2">
        <f>IFERROR(__xludf.DUMMYFUNCTION("""COMPUTED_VALUE"""),71065.0)</f>
        <v>71065</v>
      </c>
      <c r="B11666" s="3" t="str">
        <f>IFERROR(__xludf.DUMMYFUNCTION("""COMPUTED_VALUE"""),"25 CROWE BAY HTS")</f>
        <v>25 CROWE BAY HTS</v>
      </c>
      <c r="C11666" s="3" t="str">
        <f>IFERROR(__xludf.DUMMYFUNCTION("""COMPUTED_VALUE"""),"CAMPBELLFORD")</f>
        <v>CAMPBELLFORD</v>
      </c>
      <c r="D11666" s="3" t="str">
        <f>IFERROR(__xludf.DUMMYFUNCTION("""COMPUTED_VALUE"""),"K0L 1L0")</f>
        <v>K0L 1L0</v>
      </c>
      <c r="E11666" s="3"/>
      <c r="F11666" s="3"/>
      <c r="G11666" s="3"/>
      <c r="H11666" s="3"/>
    </row>
    <row r="11667">
      <c r="A11667" s="2">
        <f>IFERROR(__xludf.DUMMYFUNCTION("""COMPUTED_VALUE"""),71066.0)</f>
        <v>71066</v>
      </c>
      <c r="B11667" s="3" t="str">
        <f>IFERROR(__xludf.DUMMYFUNCTION("""COMPUTED_VALUE"""),"28 CROWE BAY HTS")</f>
        <v>28 CROWE BAY HTS</v>
      </c>
      <c r="C11667" s="3" t="str">
        <f>IFERROR(__xludf.DUMMYFUNCTION("""COMPUTED_VALUE"""),"CAMPBELLFORD")</f>
        <v>CAMPBELLFORD</v>
      </c>
      <c r="D11667" s="3" t="str">
        <f>IFERROR(__xludf.DUMMYFUNCTION("""COMPUTED_VALUE"""),"K0L 1L0")</f>
        <v>K0L 1L0</v>
      </c>
      <c r="E11667" s="3"/>
      <c r="F11667" s="3"/>
      <c r="G11667" s="3"/>
      <c r="H11667" s="3"/>
    </row>
    <row r="11668">
      <c r="A11668" s="2">
        <f>IFERROR(__xludf.DUMMYFUNCTION("""COMPUTED_VALUE"""),71067.0)</f>
        <v>71067</v>
      </c>
      <c r="B11668" s="3" t="str">
        <f>IFERROR(__xludf.DUMMYFUNCTION("""COMPUTED_VALUE"""),"35 CROWE BAY HTS")</f>
        <v>35 CROWE BAY HTS</v>
      </c>
      <c r="C11668" s="3" t="str">
        <f>IFERROR(__xludf.DUMMYFUNCTION("""COMPUTED_VALUE"""),"CAMPBELLFORD")</f>
        <v>CAMPBELLFORD</v>
      </c>
      <c r="D11668" s="3" t="str">
        <f>IFERROR(__xludf.DUMMYFUNCTION("""COMPUTED_VALUE"""),"K0L 1L0")</f>
        <v>K0L 1L0</v>
      </c>
      <c r="E11668" s="3"/>
      <c r="F11668" s="3"/>
      <c r="G11668" s="3"/>
      <c r="H11668" s="3"/>
    </row>
    <row r="11669">
      <c r="A11669" s="2">
        <f>IFERROR(__xludf.DUMMYFUNCTION("""COMPUTED_VALUE"""),71068.0)</f>
        <v>71068</v>
      </c>
      <c r="B11669" s="3" t="str">
        <f>IFERROR(__xludf.DUMMYFUNCTION("""COMPUTED_VALUE"""),"43 CROWE BAY HTS")</f>
        <v>43 CROWE BAY HTS</v>
      </c>
      <c r="C11669" s="3" t="str">
        <f>IFERROR(__xludf.DUMMYFUNCTION("""COMPUTED_VALUE"""),"CAMPBELLFORD")</f>
        <v>CAMPBELLFORD</v>
      </c>
      <c r="D11669" s="3" t="str">
        <f>IFERROR(__xludf.DUMMYFUNCTION("""COMPUTED_VALUE"""),"K0L 1L0")</f>
        <v>K0L 1L0</v>
      </c>
      <c r="E11669" s="3"/>
      <c r="F11669" s="3"/>
      <c r="G11669" s="3"/>
      <c r="H11669" s="3"/>
    </row>
    <row r="11670">
      <c r="A11670" s="2">
        <f>IFERROR(__xludf.DUMMYFUNCTION("""COMPUTED_VALUE"""),71069.0)</f>
        <v>71069</v>
      </c>
      <c r="B11670" s="3" t="str">
        <f>IFERROR(__xludf.DUMMYFUNCTION("""COMPUTED_VALUE"""),"48 CROWE BAY HTS")</f>
        <v>48 CROWE BAY HTS</v>
      </c>
      <c r="C11670" s="3" t="str">
        <f>IFERROR(__xludf.DUMMYFUNCTION("""COMPUTED_VALUE"""),"CAMPBELLFORD")</f>
        <v>CAMPBELLFORD</v>
      </c>
      <c r="D11670" s="3" t="str">
        <f>IFERROR(__xludf.DUMMYFUNCTION("""COMPUTED_VALUE"""),"K0L 1L0")</f>
        <v>K0L 1L0</v>
      </c>
      <c r="E11670" s="3"/>
      <c r="F11670" s="3"/>
      <c r="G11670" s="3"/>
      <c r="H11670" s="3"/>
    </row>
    <row r="11671">
      <c r="A11671" s="2">
        <f>IFERROR(__xludf.DUMMYFUNCTION("""COMPUTED_VALUE"""),71070.0)</f>
        <v>71070</v>
      </c>
      <c r="B11671" s="3" t="str">
        <f>IFERROR(__xludf.DUMMYFUNCTION("""COMPUTED_VALUE"""),"49 CROWE BAY HTS")</f>
        <v>49 CROWE BAY HTS</v>
      </c>
      <c r="C11671" s="3" t="str">
        <f>IFERROR(__xludf.DUMMYFUNCTION("""COMPUTED_VALUE"""),"CAMPBELLFORD")</f>
        <v>CAMPBELLFORD</v>
      </c>
      <c r="D11671" s="3" t="str">
        <f>IFERROR(__xludf.DUMMYFUNCTION("""COMPUTED_VALUE"""),"K0L 1L0")</f>
        <v>K0L 1L0</v>
      </c>
      <c r="E11671" s="3"/>
      <c r="F11671" s="3"/>
      <c r="G11671" s="3"/>
      <c r="H11671" s="3"/>
    </row>
    <row r="11672">
      <c r="A11672" s="2">
        <f>IFERROR(__xludf.DUMMYFUNCTION("""COMPUTED_VALUE"""),71071.0)</f>
        <v>71071</v>
      </c>
      <c r="B11672" s="3" t="str">
        <f>IFERROR(__xludf.DUMMYFUNCTION("""COMPUTED_VALUE"""),"54 CROWE BAY HTS")</f>
        <v>54 CROWE BAY HTS</v>
      </c>
      <c r="C11672" s="3" t="str">
        <f>IFERROR(__xludf.DUMMYFUNCTION("""COMPUTED_VALUE"""),"CAMPBELLFORD")</f>
        <v>CAMPBELLFORD</v>
      </c>
      <c r="D11672" s="3" t="str">
        <f>IFERROR(__xludf.DUMMYFUNCTION("""COMPUTED_VALUE"""),"K0L 1L0")</f>
        <v>K0L 1L0</v>
      </c>
      <c r="E11672" s="3"/>
      <c r="F11672" s="3"/>
      <c r="G11672" s="3"/>
      <c r="H11672" s="3"/>
    </row>
    <row r="11673">
      <c r="A11673" s="2">
        <f>IFERROR(__xludf.DUMMYFUNCTION("""COMPUTED_VALUE"""),71072.0)</f>
        <v>71072</v>
      </c>
      <c r="B11673" s="3" t="str">
        <f>IFERROR(__xludf.DUMMYFUNCTION("""COMPUTED_VALUE"""),"57 CROWE BAY HTS")</f>
        <v>57 CROWE BAY HTS</v>
      </c>
      <c r="C11673" s="3" t="str">
        <f>IFERROR(__xludf.DUMMYFUNCTION("""COMPUTED_VALUE"""),"CAMPBELLFORD")</f>
        <v>CAMPBELLFORD</v>
      </c>
      <c r="D11673" s="3" t="str">
        <f>IFERROR(__xludf.DUMMYFUNCTION("""COMPUTED_VALUE"""),"K0L 1L0")</f>
        <v>K0L 1L0</v>
      </c>
      <c r="E11673" s="3"/>
      <c r="F11673" s="3"/>
      <c r="G11673" s="3"/>
      <c r="H11673" s="3"/>
    </row>
    <row r="11674">
      <c r="A11674" s="2">
        <f>IFERROR(__xludf.DUMMYFUNCTION("""COMPUTED_VALUE"""),71073.0)</f>
        <v>71073</v>
      </c>
      <c r="B11674" s="3" t="str">
        <f>IFERROR(__xludf.DUMMYFUNCTION("""COMPUTED_VALUE"""),"63 CROWE BAY HTS")</f>
        <v>63 CROWE BAY HTS</v>
      </c>
      <c r="C11674" s="3" t="str">
        <f>IFERROR(__xludf.DUMMYFUNCTION("""COMPUTED_VALUE"""),"CAMPBELLFORD")</f>
        <v>CAMPBELLFORD</v>
      </c>
      <c r="D11674" s="3" t="str">
        <f>IFERROR(__xludf.DUMMYFUNCTION("""COMPUTED_VALUE"""),"K0L 1L0")</f>
        <v>K0L 1L0</v>
      </c>
      <c r="E11674" s="3"/>
      <c r="F11674" s="3"/>
      <c r="G11674" s="3"/>
      <c r="H11674" s="3"/>
    </row>
    <row r="11675">
      <c r="A11675" s="2">
        <f>IFERROR(__xludf.DUMMYFUNCTION("""COMPUTED_VALUE"""),71074.0)</f>
        <v>71074</v>
      </c>
      <c r="B11675" s="3" t="str">
        <f>IFERROR(__xludf.DUMMYFUNCTION("""COMPUTED_VALUE"""),"67 CROWE BAY HTS")</f>
        <v>67 CROWE BAY HTS</v>
      </c>
      <c r="C11675" s="3" t="str">
        <f>IFERROR(__xludf.DUMMYFUNCTION("""COMPUTED_VALUE"""),"CAMPBELLFORD")</f>
        <v>CAMPBELLFORD</v>
      </c>
      <c r="D11675" s="3" t="str">
        <f>IFERROR(__xludf.DUMMYFUNCTION("""COMPUTED_VALUE"""),"K0L 1L0")</f>
        <v>K0L 1L0</v>
      </c>
      <c r="E11675" s="3"/>
      <c r="F11675" s="3"/>
      <c r="G11675" s="3"/>
      <c r="H11675" s="3"/>
    </row>
    <row r="11676">
      <c r="A11676" s="2">
        <f>IFERROR(__xludf.DUMMYFUNCTION("""COMPUTED_VALUE"""),71075.0)</f>
        <v>71075</v>
      </c>
      <c r="B11676" s="3" t="str">
        <f>IFERROR(__xludf.DUMMYFUNCTION("""COMPUTED_VALUE"""),"73 CROWE BAY HTS")</f>
        <v>73 CROWE BAY HTS</v>
      </c>
      <c r="C11676" s="3" t="str">
        <f>IFERROR(__xludf.DUMMYFUNCTION("""COMPUTED_VALUE"""),"CAMPBELLFORD")</f>
        <v>CAMPBELLFORD</v>
      </c>
      <c r="D11676" s="3" t="str">
        <f>IFERROR(__xludf.DUMMYFUNCTION("""COMPUTED_VALUE"""),"K0L 1L0")</f>
        <v>K0L 1L0</v>
      </c>
      <c r="E11676" s="3"/>
      <c r="F11676" s="3"/>
      <c r="G11676" s="3"/>
      <c r="H11676" s="3"/>
    </row>
    <row r="11677">
      <c r="A11677" s="2">
        <f>IFERROR(__xludf.DUMMYFUNCTION("""COMPUTED_VALUE"""),71076.0)</f>
        <v>71076</v>
      </c>
      <c r="B11677" s="3" t="str">
        <f>IFERROR(__xludf.DUMMYFUNCTION("""COMPUTED_VALUE"""),"77 CROWE BAY HTS")</f>
        <v>77 CROWE BAY HTS</v>
      </c>
      <c r="C11677" s="3" t="str">
        <f>IFERROR(__xludf.DUMMYFUNCTION("""COMPUTED_VALUE"""),"CAMPBELLFORD")</f>
        <v>CAMPBELLFORD</v>
      </c>
      <c r="D11677" s="3" t="str">
        <f>IFERROR(__xludf.DUMMYFUNCTION("""COMPUTED_VALUE"""),"K0L 1L0")</f>
        <v>K0L 1L0</v>
      </c>
      <c r="E11677" s="3"/>
      <c r="F11677" s="3"/>
      <c r="G11677" s="3"/>
      <c r="H11677" s="3"/>
    </row>
    <row r="11678">
      <c r="A11678" s="2">
        <f>IFERROR(__xludf.DUMMYFUNCTION("""COMPUTED_VALUE"""),71077.0)</f>
        <v>71077</v>
      </c>
      <c r="B11678" s="3" t="str">
        <f>IFERROR(__xludf.DUMMYFUNCTION("""COMPUTED_VALUE"""),"81 CROWE BAY HTS")</f>
        <v>81 CROWE BAY HTS</v>
      </c>
      <c r="C11678" s="3" t="str">
        <f>IFERROR(__xludf.DUMMYFUNCTION("""COMPUTED_VALUE"""),"CAMPBELLFORD")</f>
        <v>CAMPBELLFORD</v>
      </c>
      <c r="D11678" s="3" t="str">
        <f>IFERROR(__xludf.DUMMYFUNCTION("""COMPUTED_VALUE"""),"K0L 1L0")</f>
        <v>K0L 1L0</v>
      </c>
      <c r="E11678" s="3" t="str">
        <f>IFERROR(__xludf.DUMMYFUNCTION("""COMPUTED_VALUE"""),"PETER NEUMAYER")</f>
        <v>PETER NEUMAYER</v>
      </c>
      <c r="F11678" s="3" t="str">
        <f>IFERROR(__xludf.DUMMYFUNCTION("""COMPUTED_VALUE"""),"petval1@yahoo.com")</f>
        <v>petval1@yahoo.com</v>
      </c>
      <c r="G11678" s="3">
        <f>IFERROR(__xludf.DUMMYFUNCTION("""COMPUTED_VALUE"""),4.16684126E9)</f>
        <v>4166841260</v>
      </c>
      <c r="H11678" s="3"/>
    </row>
    <row r="11679">
      <c r="A11679" s="2">
        <f>IFERROR(__xludf.DUMMYFUNCTION("""COMPUTED_VALUE"""),71078.0)</f>
        <v>71078</v>
      </c>
      <c r="B11679" s="3" t="str">
        <f>IFERROR(__xludf.DUMMYFUNCTION("""COMPUTED_VALUE"""),"85 CROWE BAY HTS")</f>
        <v>85 CROWE BAY HTS</v>
      </c>
      <c r="C11679" s="3" t="str">
        <f>IFERROR(__xludf.DUMMYFUNCTION("""COMPUTED_VALUE"""),"CAMPBELLFORD")</f>
        <v>CAMPBELLFORD</v>
      </c>
      <c r="D11679" s="3" t="str">
        <f>IFERROR(__xludf.DUMMYFUNCTION("""COMPUTED_VALUE"""),"K0L 1L0")</f>
        <v>K0L 1L0</v>
      </c>
      <c r="E11679" s="3"/>
      <c r="F11679" s="3"/>
      <c r="G11679" s="3"/>
      <c r="H11679" s="3"/>
    </row>
    <row r="11680">
      <c r="A11680" s="2">
        <f>IFERROR(__xludf.DUMMYFUNCTION("""COMPUTED_VALUE"""),71079.0)</f>
        <v>71079</v>
      </c>
      <c r="B11680" s="3" t="str">
        <f>IFERROR(__xludf.DUMMYFUNCTION("""COMPUTED_VALUE"""),"93 CROWE BAY HTS")</f>
        <v>93 CROWE BAY HTS</v>
      </c>
      <c r="C11680" s="3" t="str">
        <f>IFERROR(__xludf.DUMMYFUNCTION("""COMPUTED_VALUE"""),"CAMPBELLFORD")</f>
        <v>CAMPBELLFORD</v>
      </c>
      <c r="D11680" s="3" t="str">
        <f>IFERROR(__xludf.DUMMYFUNCTION("""COMPUTED_VALUE"""),"K0L 1L0")</f>
        <v>K0L 1L0</v>
      </c>
      <c r="E11680" s="3"/>
      <c r="F11680" s="3"/>
      <c r="G11680" s="3"/>
      <c r="H11680" s="3"/>
    </row>
    <row r="11681">
      <c r="A11681" s="2">
        <f>IFERROR(__xludf.DUMMYFUNCTION("""COMPUTED_VALUE"""),71080.0)</f>
        <v>71080</v>
      </c>
      <c r="B11681" s="3" t="str">
        <f>IFERROR(__xludf.DUMMYFUNCTION("""COMPUTED_VALUE"""),"94 CROWE BAY HTS")</f>
        <v>94 CROWE BAY HTS</v>
      </c>
      <c r="C11681" s="3" t="str">
        <f>IFERROR(__xludf.DUMMYFUNCTION("""COMPUTED_VALUE"""),"CAMPBELLFORD")</f>
        <v>CAMPBELLFORD</v>
      </c>
      <c r="D11681" s="3" t="str">
        <f>IFERROR(__xludf.DUMMYFUNCTION("""COMPUTED_VALUE"""),"K0L 1L0")</f>
        <v>K0L 1L0</v>
      </c>
      <c r="E11681" s="3" t="str">
        <f>IFERROR(__xludf.DUMMYFUNCTION("""COMPUTED_VALUE"""),"Rita Martin")</f>
        <v>Rita Martin</v>
      </c>
      <c r="F11681" s="3" t="str">
        <f>IFERROR(__xludf.DUMMYFUNCTION("""COMPUTED_VALUE"""),"newfiefox1@hotmail.com")</f>
        <v>newfiefox1@hotmail.com</v>
      </c>
      <c r="G11681" s="3"/>
      <c r="H11681" s="3"/>
    </row>
    <row r="11682">
      <c r="A11682" s="2">
        <f>IFERROR(__xludf.DUMMYFUNCTION("""COMPUTED_VALUE"""),71081.0)</f>
        <v>71081</v>
      </c>
      <c r="B11682" s="3" t="str">
        <f>IFERROR(__xludf.DUMMYFUNCTION("""COMPUTED_VALUE"""),"29 CROWE RIVER RD")</f>
        <v>29 CROWE RIVER RD</v>
      </c>
      <c r="C11682" s="3" t="str">
        <f>IFERROR(__xludf.DUMMYFUNCTION("""COMPUTED_VALUE"""),"CAMPBELLFORD")</f>
        <v>CAMPBELLFORD</v>
      </c>
      <c r="D11682" s="3" t="str">
        <f>IFERROR(__xludf.DUMMYFUNCTION("""COMPUTED_VALUE"""),"K0L 1L0")</f>
        <v>K0L 1L0</v>
      </c>
      <c r="E11682" s="3"/>
      <c r="F11682" s="3"/>
      <c r="G11682" s="3"/>
      <c r="H11682" s="3"/>
    </row>
    <row r="11683">
      <c r="A11683" s="2">
        <f>IFERROR(__xludf.DUMMYFUNCTION("""COMPUTED_VALUE"""),71082.0)</f>
        <v>71082</v>
      </c>
      <c r="B11683" s="3" t="str">
        <f>IFERROR(__xludf.DUMMYFUNCTION("""COMPUTED_VALUE"""),"44 CROWE RIVER RD")</f>
        <v>44 CROWE RIVER RD</v>
      </c>
      <c r="C11683" s="3" t="str">
        <f>IFERROR(__xludf.DUMMYFUNCTION("""COMPUTED_VALUE"""),"CAMPBELLFORD")</f>
        <v>CAMPBELLFORD</v>
      </c>
      <c r="D11683" s="3" t="str">
        <f>IFERROR(__xludf.DUMMYFUNCTION("""COMPUTED_VALUE"""),"K0L 1L0")</f>
        <v>K0L 1L0</v>
      </c>
      <c r="E11683" s="3"/>
      <c r="F11683" s="3"/>
      <c r="G11683" s="3"/>
      <c r="H11683" s="3"/>
    </row>
    <row r="11684">
      <c r="A11684" s="2">
        <f>IFERROR(__xludf.DUMMYFUNCTION("""COMPUTED_VALUE"""),71083.0)</f>
        <v>71083</v>
      </c>
      <c r="B11684" s="3" t="str">
        <f>IFERROR(__xludf.DUMMYFUNCTION("""COMPUTED_VALUE"""),"109 CROWE RIVER RD")</f>
        <v>109 CROWE RIVER RD</v>
      </c>
      <c r="C11684" s="3" t="str">
        <f>IFERROR(__xludf.DUMMYFUNCTION("""COMPUTED_VALUE"""),"CAMPBELLFORD")</f>
        <v>CAMPBELLFORD</v>
      </c>
      <c r="D11684" s="3" t="str">
        <f>IFERROR(__xludf.DUMMYFUNCTION("""COMPUTED_VALUE"""),"K0L 1L0")</f>
        <v>K0L 1L0</v>
      </c>
      <c r="E11684" s="3" t="str">
        <f>IFERROR(__xludf.DUMMYFUNCTION("""COMPUTED_VALUE"""),"Craig Petherick")</f>
        <v>Craig Petherick</v>
      </c>
      <c r="F11684" s="3" t="str">
        <f>IFERROR(__xludf.DUMMYFUNCTION("""COMPUTED_VALUE"""),"craig.petherick@outlook.com")</f>
        <v>craig.petherick@outlook.com</v>
      </c>
      <c r="G11684" s="3">
        <f>IFERROR(__xludf.DUMMYFUNCTION("""COMPUTED_VALUE"""),7.059278672E9)</f>
        <v>7059278672</v>
      </c>
      <c r="H11684" s="3"/>
    </row>
    <row r="11685">
      <c r="A11685" s="2">
        <f>IFERROR(__xludf.DUMMYFUNCTION("""COMPUTED_VALUE"""),71084.0)</f>
        <v>71084</v>
      </c>
      <c r="B11685" s="3" t="str">
        <f>IFERROR(__xludf.DUMMYFUNCTION("""COMPUTED_VALUE"""),"195 CROWE RIVER RD")</f>
        <v>195 CROWE RIVER RD</v>
      </c>
      <c r="C11685" s="3" t="str">
        <f>IFERROR(__xludf.DUMMYFUNCTION("""COMPUTED_VALUE"""),"CAMPBELLFORD")</f>
        <v>CAMPBELLFORD</v>
      </c>
      <c r="D11685" s="3" t="str">
        <f>IFERROR(__xludf.DUMMYFUNCTION("""COMPUTED_VALUE"""),"K0L 1L0")</f>
        <v>K0L 1L0</v>
      </c>
      <c r="E11685" s="3"/>
      <c r="F11685" s="3"/>
      <c r="G11685" s="3"/>
      <c r="H11685" s="3"/>
    </row>
    <row r="11686">
      <c r="A11686" s="2">
        <f>IFERROR(__xludf.DUMMYFUNCTION("""COMPUTED_VALUE"""),71085.0)</f>
        <v>71085</v>
      </c>
      <c r="B11686" s="3" t="str">
        <f>IFERROR(__xludf.DUMMYFUNCTION("""COMPUTED_VALUE"""),"377 CROWE RIVER RD")</f>
        <v>377 CROWE RIVER RD</v>
      </c>
      <c r="C11686" s="3" t="str">
        <f>IFERROR(__xludf.DUMMYFUNCTION("""COMPUTED_VALUE"""),"CAMPBELLFORD")</f>
        <v>CAMPBELLFORD</v>
      </c>
      <c r="D11686" s="3" t="str">
        <f>IFERROR(__xludf.DUMMYFUNCTION("""COMPUTED_VALUE"""),"K0L 1L0")</f>
        <v>K0L 1L0</v>
      </c>
      <c r="E11686" s="3"/>
      <c r="F11686" s="3"/>
      <c r="G11686" s="3"/>
      <c r="H11686" s="3"/>
    </row>
    <row r="11687">
      <c r="A11687" s="2">
        <f>IFERROR(__xludf.DUMMYFUNCTION("""COMPUTED_VALUE"""),71086.0)</f>
        <v>71086</v>
      </c>
      <c r="B11687" s="3" t="str">
        <f>IFERROR(__xludf.DUMMYFUNCTION("""COMPUTED_VALUE"""),"453 CROWE RIVER RD")</f>
        <v>453 CROWE RIVER RD</v>
      </c>
      <c r="C11687" s="3" t="str">
        <f>IFERROR(__xludf.DUMMYFUNCTION("""COMPUTED_VALUE"""),"CAMPBELLFORD")</f>
        <v>CAMPBELLFORD</v>
      </c>
      <c r="D11687" s="3" t="str">
        <f>IFERROR(__xludf.DUMMYFUNCTION("""COMPUTED_VALUE"""),"K0L 1L0")</f>
        <v>K0L 1L0</v>
      </c>
      <c r="E11687" s="3"/>
      <c r="F11687" s="3"/>
      <c r="G11687" s="3"/>
      <c r="H11687" s="3"/>
    </row>
    <row r="11688">
      <c r="A11688" s="2">
        <f>IFERROR(__xludf.DUMMYFUNCTION("""COMPUTED_VALUE"""),71087.0)</f>
        <v>71087</v>
      </c>
      <c r="B11688" s="3" t="str">
        <f>IFERROR(__xludf.DUMMYFUNCTION("""COMPUTED_VALUE"""),"456 CROWE RIVER RD")</f>
        <v>456 CROWE RIVER RD</v>
      </c>
      <c r="C11688" s="3" t="str">
        <f>IFERROR(__xludf.DUMMYFUNCTION("""COMPUTED_VALUE"""),"CAMPBELLFORD")</f>
        <v>CAMPBELLFORD</v>
      </c>
      <c r="D11688" s="3" t="str">
        <f>IFERROR(__xludf.DUMMYFUNCTION("""COMPUTED_VALUE"""),"K0L 1L0")</f>
        <v>K0L 1L0</v>
      </c>
      <c r="E11688" s="3"/>
      <c r="F11688" s="3"/>
      <c r="G11688" s="3"/>
      <c r="H11688" s="3"/>
    </row>
    <row r="11689">
      <c r="A11689" s="2">
        <f>IFERROR(__xludf.DUMMYFUNCTION("""COMPUTED_VALUE"""),71088.0)</f>
        <v>71088</v>
      </c>
      <c r="B11689" s="3" t="str">
        <f>IFERROR(__xludf.DUMMYFUNCTION("""COMPUTED_VALUE"""),"460 CROWE RIVER RD")</f>
        <v>460 CROWE RIVER RD</v>
      </c>
      <c r="C11689" s="3" t="str">
        <f>IFERROR(__xludf.DUMMYFUNCTION("""COMPUTED_VALUE"""),"CAMPBELLFORD")</f>
        <v>CAMPBELLFORD</v>
      </c>
      <c r="D11689" s="3" t="str">
        <f>IFERROR(__xludf.DUMMYFUNCTION("""COMPUTED_VALUE"""),"K0L 1L0")</f>
        <v>K0L 1L0</v>
      </c>
      <c r="E11689" s="3"/>
      <c r="F11689" s="3"/>
      <c r="G11689" s="3"/>
      <c r="H11689" s="3"/>
    </row>
    <row r="11690">
      <c r="A11690" s="2">
        <f>IFERROR(__xludf.DUMMYFUNCTION("""COMPUTED_VALUE"""),71089.0)</f>
        <v>71089</v>
      </c>
      <c r="B11690" s="3" t="str">
        <f>IFERROR(__xludf.DUMMYFUNCTION("""COMPUTED_VALUE"""),"471 CROWE RIVER RD")</f>
        <v>471 CROWE RIVER RD</v>
      </c>
      <c r="C11690" s="3" t="str">
        <f>IFERROR(__xludf.DUMMYFUNCTION("""COMPUTED_VALUE"""),"CAMPBELLFORD")</f>
        <v>CAMPBELLFORD</v>
      </c>
      <c r="D11690" s="3" t="str">
        <f>IFERROR(__xludf.DUMMYFUNCTION("""COMPUTED_VALUE"""),"K0L 1L0")</f>
        <v>K0L 1L0</v>
      </c>
      <c r="E11690" s="3"/>
      <c r="F11690" s="3"/>
      <c r="G11690" s="3"/>
      <c r="H11690" s="3"/>
    </row>
    <row r="11691">
      <c r="A11691" s="2">
        <f>IFERROR(__xludf.DUMMYFUNCTION("""COMPUTED_VALUE"""),71090.0)</f>
        <v>71090</v>
      </c>
      <c r="B11691" s="3" t="str">
        <f>IFERROR(__xludf.DUMMYFUNCTION("""COMPUTED_VALUE"""),"488 CROWE RIVER RD")</f>
        <v>488 CROWE RIVER RD</v>
      </c>
      <c r="C11691" s="3" t="str">
        <f>IFERROR(__xludf.DUMMYFUNCTION("""COMPUTED_VALUE"""),"MARMORA")</f>
        <v>MARMORA</v>
      </c>
      <c r="D11691" s="3" t="str">
        <f>IFERROR(__xludf.DUMMYFUNCTION("""COMPUTED_VALUE"""),"K0K 2M0")</f>
        <v>K0K 2M0</v>
      </c>
      <c r="E11691" s="3"/>
      <c r="F11691" s="3"/>
      <c r="G11691" s="3"/>
      <c r="H11691" s="3"/>
    </row>
    <row r="11692">
      <c r="A11692" s="2">
        <f>IFERROR(__xludf.DUMMYFUNCTION("""COMPUTED_VALUE"""),71091.0)</f>
        <v>71091</v>
      </c>
      <c r="B11692" s="3" t="str">
        <f>IFERROR(__xludf.DUMMYFUNCTION("""COMPUTED_VALUE"""),"560 CROWE RIVER RD")</f>
        <v>560 CROWE RIVER RD</v>
      </c>
      <c r="C11692" s="3" t="str">
        <f>IFERROR(__xludf.DUMMYFUNCTION("""COMPUTED_VALUE"""),"MARMORA")</f>
        <v>MARMORA</v>
      </c>
      <c r="D11692" s="3" t="str">
        <f>IFERROR(__xludf.DUMMYFUNCTION("""COMPUTED_VALUE"""),"K0K 2M0")</f>
        <v>K0K 2M0</v>
      </c>
      <c r="E11692" s="3"/>
      <c r="F11692" s="3"/>
      <c r="G11692" s="3"/>
      <c r="H11692" s="3"/>
    </row>
    <row r="11693">
      <c r="A11693" s="2">
        <f>IFERROR(__xludf.DUMMYFUNCTION("""COMPUTED_VALUE"""),71092.0)</f>
        <v>71092</v>
      </c>
      <c r="B11693" s="3" t="str">
        <f>IFERROR(__xludf.DUMMYFUNCTION("""COMPUTED_VALUE"""),"592 CROWE RIVER RD")</f>
        <v>592 CROWE RIVER RD</v>
      </c>
      <c r="C11693" s="3" t="str">
        <f>IFERROR(__xludf.DUMMYFUNCTION("""COMPUTED_VALUE"""),"MARMORA")</f>
        <v>MARMORA</v>
      </c>
      <c r="D11693" s="3" t="str">
        <f>IFERROR(__xludf.DUMMYFUNCTION("""COMPUTED_VALUE"""),"K0K 2M0")</f>
        <v>K0K 2M0</v>
      </c>
      <c r="E11693" s="3"/>
      <c r="F11693" s="3"/>
      <c r="G11693" s="3"/>
      <c r="H11693" s="3"/>
    </row>
    <row r="11694">
      <c r="A11694" s="2">
        <f>IFERROR(__xludf.DUMMYFUNCTION("""COMPUTED_VALUE"""),71093.0)</f>
        <v>71093</v>
      </c>
      <c r="B11694" s="3" t="str">
        <f>IFERROR(__xludf.DUMMYFUNCTION("""COMPUTED_VALUE"""),"613 CROWE RIVER RD")</f>
        <v>613 CROWE RIVER RD</v>
      </c>
      <c r="C11694" s="3" t="str">
        <f>IFERROR(__xludf.DUMMYFUNCTION("""COMPUTED_VALUE"""),"MARMORA")</f>
        <v>MARMORA</v>
      </c>
      <c r="D11694" s="3" t="str">
        <f>IFERROR(__xludf.DUMMYFUNCTION("""COMPUTED_VALUE"""),"K0K 2M0")</f>
        <v>K0K 2M0</v>
      </c>
      <c r="E11694" s="3"/>
      <c r="F11694" s="3"/>
      <c r="G11694" s="3"/>
      <c r="H11694" s="3"/>
    </row>
    <row r="11695">
      <c r="A11695" s="2">
        <f>IFERROR(__xludf.DUMMYFUNCTION("""COMPUTED_VALUE"""),71094.0)</f>
        <v>71094</v>
      </c>
      <c r="B11695" s="3" t="str">
        <f>IFERROR(__xludf.DUMMYFUNCTION("""COMPUTED_VALUE"""),"622 CROWE RIVER RD")</f>
        <v>622 CROWE RIVER RD</v>
      </c>
      <c r="C11695" s="3" t="str">
        <f>IFERROR(__xludf.DUMMYFUNCTION("""COMPUTED_VALUE"""),"MARMORA")</f>
        <v>MARMORA</v>
      </c>
      <c r="D11695" s="3" t="str">
        <f>IFERROR(__xludf.DUMMYFUNCTION("""COMPUTED_VALUE"""),"K0K 2M0")</f>
        <v>K0K 2M0</v>
      </c>
      <c r="E11695" s="3"/>
      <c r="F11695" s="3"/>
      <c r="G11695" s="3"/>
      <c r="H11695" s="3"/>
    </row>
    <row r="11696">
      <c r="A11696" s="2">
        <f>IFERROR(__xludf.DUMMYFUNCTION("""COMPUTED_VALUE"""),71095.0)</f>
        <v>71095</v>
      </c>
      <c r="B11696" s="3" t="str">
        <f>IFERROR(__xludf.DUMMYFUNCTION("""COMPUTED_VALUE"""),"640 CROWE RIVER RD")</f>
        <v>640 CROWE RIVER RD</v>
      </c>
      <c r="C11696" s="3" t="str">
        <f>IFERROR(__xludf.DUMMYFUNCTION("""COMPUTED_VALUE"""),"MARMORA")</f>
        <v>MARMORA</v>
      </c>
      <c r="D11696" s="3" t="str">
        <f>IFERROR(__xludf.DUMMYFUNCTION("""COMPUTED_VALUE"""),"K0K 2M0")</f>
        <v>K0K 2M0</v>
      </c>
      <c r="E11696" s="3"/>
      <c r="F11696" s="3"/>
      <c r="G11696" s="3"/>
      <c r="H11696" s="3"/>
    </row>
    <row r="11697">
      <c r="A11697" s="2">
        <f>IFERROR(__xludf.DUMMYFUNCTION("""COMPUTED_VALUE"""),71096.0)</f>
        <v>71096</v>
      </c>
      <c r="B11697" s="3" t="str">
        <f>IFERROR(__xludf.DUMMYFUNCTION("""COMPUTED_VALUE"""),"715 CROWE RIVER RD")</f>
        <v>715 CROWE RIVER RD</v>
      </c>
      <c r="C11697" s="3" t="str">
        <f>IFERROR(__xludf.DUMMYFUNCTION("""COMPUTED_VALUE"""),"MARMORA")</f>
        <v>MARMORA</v>
      </c>
      <c r="D11697" s="3" t="str">
        <f>IFERROR(__xludf.DUMMYFUNCTION("""COMPUTED_VALUE"""),"K0K 2M0")</f>
        <v>K0K 2M0</v>
      </c>
      <c r="E11697" s="3"/>
      <c r="F11697" s="3"/>
      <c r="G11697" s="3"/>
      <c r="H11697" s="3"/>
    </row>
    <row r="11698">
      <c r="A11698" s="2">
        <f>IFERROR(__xludf.DUMMYFUNCTION("""COMPUTED_VALUE"""),71097.0)</f>
        <v>71097</v>
      </c>
      <c r="B11698" s="3" t="str">
        <f>IFERROR(__xludf.DUMMYFUNCTION("""COMPUTED_VALUE"""),"716 CROWE RIVER RD")</f>
        <v>716 CROWE RIVER RD</v>
      </c>
      <c r="C11698" s="3" t="str">
        <f>IFERROR(__xludf.DUMMYFUNCTION("""COMPUTED_VALUE"""),"MARMORA")</f>
        <v>MARMORA</v>
      </c>
      <c r="D11698" s="3" t="str">
        <f>IFERROR(__xludf.DUMMYFUNCTION("""COMPUTED_VALUE"""),"K0K 2M0")</f>
        <v>K0K 2M0</v>
      </c>
      <c r="E11698" s="3"/>
      <c r="F11698" s="3"/>
      <c r="G11698" s="3"/>
      <c r="H11698" s="3"/>
    </row>
    <row r="11699">
      <c r="A11699" s="2">
        <f>IFERROR(__xludf.DUMMYFUNCTION("""COMPUTED_VALUE"""),71098.0)</f>
        <v>71098</v>
      </c>
      <c r="B11699" s="3" t="str">
        <f>IFERROR(__xludf.DUMMYFUNCTION("""COMPUTED_VALUE"""),"729 CROWE RIVER RD")</f>
        <v>729 CROWE RIVER RD</v>
      </c>
      <c r="C11699" s="3" t="str">
        <f>IFERROR(__xludf.DUMMYFUNCTION("""COMPUTED_VALUE"""),"MARMORA")</f>
        <v>MARMORA</v>
      </c>
      <c r="D11699" s="3" t="str">
        <f>IFERROR(__xludf.DUMMYFUNCTION("""COMPUTED_VALUE"""),"K0K 2M0")</f>
        <v>K0K 2M0</v>
      </c>
      <c r="E11699" s="3" t="str">
        <f>IFERROR(__xludf.DUMMYFUNCTION("""COMPUTED_VALUE"""),"Edward Hick")</f>
        <v>Edward Hick</v>
      </c>
      <c r="F11699" s="3" t="str">
        <f>IFERROR(__xludf.DUMMYFUNCTION("""COMPUTED_VALUE"""),"emhick@outlook.com")</f>
        <v>emhick@outlook.com</v>
      </c>
      <c r="G11699" s="3">
        <f>IFERROR(__xludf.DUMMYFUNCTION("""COMPUTED_VALUE"""),7.05653723E9)</f>
        <v>7056537230</v>
      </c>
      <c r="H11699" s="3"/>
    </row>
    <row r="11700">
      <c r="A11700" s="2">
        <f>IFERROR(__xludf.DUMMYFUNCTION("""COMPUTED_VALUE"""),71099.0)</f>
        <v>71099</v>
      </c>
      <c r="B11700" s="3" t="str">
        <f>IFERROR(__xludf.DUMMYFUNCTION("""COMPUTED_VALUE"""),"730 CROWE RIVER RD")</f>
        <v>730 CROWE RIVER RD</v>
      </c>
      <c r="C11700" s="3" t="str">
        <f>IFERROR(__xludf.DUMMYFUNCTION("""COMPUTED_VALUE"""),"MARMORA")</f>
        <v>MARMORA</v>
      </c>
      <c r="D11700" s="3" t="str">
        <f>IFERROR(__xludf.DUMMYFUNCTION("""COMPUTED_VALUE"""),"K0K 2M0")</f>
        <v>K0K 2M0</v>
      </c>
      <c r="E11700" s="3" t="str">
        <f>IFERROR(__xludf.DUMMYFUNCTION("""COMPUTED_VALUE"""),"Stephen Brown")</f>
        <v>Stephen Brown</v>
      </c>
      <c r="F11700" s="3" t="str">
        <f>IFERROR(__xludf.DUMMYFUNCTION("""COMPUTED_VALUE"""),"steve.d.brown.sdb@gmail.com")</f>
        <v>steve.d.brown.sdb@gmail.com</v>
      </c>
      <c r="G11700" s="3">
        <f>IFERROR(__xludf.DUMMYFUNCTION("""COMPUTED_VALUE"""),7.056536738E9)</f>
        <v>7056536738</v>
      </c>
      <c r="H11700" s="3"/>
    </row>
    <row r="11701">
      <c r="A11701" s="2">
        <f>IFERROR(__xludf.DUMMYFUNCTION("""COMPUTED_VALUE"""),71100.0)</f>
        <v>71100</v>
      </c>
      <c r="B11701" s="3" t="str">
        <f>IFERROR(__xludf.DUMMYFUNCTION("""COMPUTED_VALUE"""),"735 CROWE RIVER RD")</f>
        <v>735 CROWE RIVER RD</v>
      </c>
      <c r="C11701" s="3" t="str">
        <f>IFERROR(__xludf.DUMMYFUNCTION("""COMPUTED_VALUE"""),"MARMORA")</f>
        <v>MARMORA</v>
      </c>
      <c r="D11701" s="3" t="str">
        <f>IFERROR(__xludf.DUMMYFUNCTION("""COMPUTED_VALUE"""),"K0K 2M0")</f>
        <v>K0K 2M0</v>
      </c>
      <c r="E11701" s="3"/>
      <c r="F11701" s="3"/>
      <c r="G11701" s="3"/>
      <c r="H11701" s="3"/>
    </row>
    <row r="11702">
      <c r="A11702" s="2">
        <f>IFERROR(__xludf.DUMMYFUNCTION("""COMPUTED_VALUE"""),71101.0)</f>
        <v>71101</v>
      </c>
      <c r="B11702" s="3" t="str">
        <f>IFERROR(__xludf.DUMMYFUNCTION("""COMPUTED_VALUE"""),"749 CROWE RIVER RD")</f>
        <v>749 CROWE RIVER RD</v>
      </c>
      <c r="C11702" s="3" t="str">
        <f>IFERROR(__xludf.DUMMYFUNCTION("""COMPUTED_VALUE"""),"MARMORA")</f>
        <v>MARMORA</v>
      </c>
      <c r="D11702" s="3" t="str">
        <f>IFERROR(__xludf.DUMMYFUNCTION("""COMPUTED_VALUE"""),"K0K 2M0")</f>
        <v>K0K 2M0</v>
      </c>
      <c r="E11702" s="3"/>
      <c r="F11702" s="3"/>
      <c r="G11702" s="3"/>
      <c r="H11702" s="3"/>
    </row>
    <row r="11703">
      <c r="A11703" s="2">
        <f>IFERROR(__xludf.DUMMYFUNCTION("""COMPUTED_VALUE"""),71102.0)</f>
        <v>71102</v>
      </c>
      <c r="B11703" s="3" t="str">
        <f>IFERROR(__xludf.DUMMYFUNCTION("""COMPUTED_VALUE"""),"755 CROWE RIVER RD")</f>
        <v>755 CROWE RIVER RD</v>
      </c>
      <c r="C11703" s="3" t="str">
        <f>IFERROR(__xludf.DUMMYFUNCTION("""COMPUTED_VALUE"""),"MARMORA")</f>
        <v>MARMORA</v>
      </c>
      <c r="D11703" s="3" t="str">
        <f>IFERROR(__xludf.DUMMYFUNCTION("""COMPUTED_VALUE"""),"K0K 2M0")</f>
        <v>K0K 2M0</v>
      </c>
      <c r="E11703" s="3"/>
      <c r="F11703" s="3"/>
      <c r="G11703" s="3"/>
      <c r="H11703" s="3"/>
    </row>
    <row r="11704">
      <c r="A11704" s="2">
        <f>IFERROR(__xludf.DUMMYFUNCTION("""COMPUTED_VALUE"""),71103.0)</f>
        <v>71103</v>
      </c>
      <c r="B11704" s="3" t="str">
        <f>IFERROR(__xludf.DUMMYFUNCTION("""COMPUTED_VALUE"""),"766 CROWE RIVER RD")</f>
        <v>766 CROWE RIVER RD</v>
      </c>
      <c r="C11704" s="3" t="str">
        <f>IFERROR(__xludf.DUMMYFUNCTION("""COMPUTED_VALUE"""),"MARMORA")</f>
        <v>MARMORA</v>
      </c>
      <c r="D11704" s="3" t="str">
        <f>IFERROR(__xludf.DUMMYFUNCTION("""COMPUTED_VALUE"""),"K0K 2M0")</f>
        <v>K0K 2M0</v>
      </c>
      <c r="E11704" s="3"/>
      <c r="F11704" s="3"/>
      <c r="G11704" s="3"/>
      <c r="H11704" s="3"/>
    </row>
    <row r="11705">
      <c r="A11705" s="2">
        <f>IFERROR(__xludf.DUMMYFUNCTION("""COMPUTED_VALUE"""),71104.0)</f>
        <v>71104</v>
      </c>
      <c r="B11705" s="3" t="str">
        <f>IFERROR(__xludf.DUMMYFUNCTION("""COMPUTED_VALUE"""),"770 CROWE RIVER RD")</f>
        <v>770 CROWE RIVER RD</v>
      </c>
      <c r="C11705" s="3" t="str">
        <f>IFERROR(__xludf.DUMMYFUNCTION("""COMPUTED_VALUE"""),"MARMORA")</f>
        <v>MARMORA</v>
      </c>
      <c r="D11705" s="3" t="str">
        <f>IFERROR(__xludf.DUMMYFUNCTION("""COMPUTED_VALUE"""),"K0K 2M0")</f>
        <v>K0K 2M0</v>
      </c>
      <c r="E11705" s="3"/>
      <c r="F11705" s="3"/>
      <c r="G11705" s="3"/>
      <c r="H11705" s="3"/>
    </row>
    <row r="11706">
      <c r="A11706" s="2">
        <f>IFERROR(__xludf.DUMMYFUNCTION("""COMPUTED_VALUE"""),71105.0)</f>
        <v>71105</v>
      </c>
      <c r="B11706" s="3" t="str">
        <f>IFERROR(__xludf.DUMMYFUNCTION("""COMPUTED_VALUE"""),"775 CROWE RIVER RD")</f>
        <v>775 CROWE RIVER RD</v>
      </c>
      <c r="C11706" s="3" t="str">
        <f>IFERROR(__xludf.DUMMYFUNCTION("""COMPUTED_VALUE"""),"MARMORA")</f>
        <v>MARMORA</v>
      </c>
      <c r="D11706" s="3" t="str">
        <f>IFERROR(__xludf.DUMMYFUNCTION("""COMPUTED_VALUE"""),"K0K 2M0")</f>
        <v>K0K 2M0</v>
      </c>
      <c r="E11706" s="3" t="str">
        <f>IFERROR(__xludf.DUMMYFUNCTION("""COMPUTED_VALUE"""),"Tim &amp; Dianne Craig")</f>
        <v>Tim &amp; Dianne Craig</v>
      </c>
      <c r="F11706" s="3" t="str">
        <f>IFERROR(__xludf.DUMMYFUNCTION("""COMPUTED_VALUE"""),"timc4249@gmail.com")</f>
        <v>timc4249@gmail.com</v>
      </c>
      <c r="G11706" s="3"/>
      <c r="H11706" s="3"/>
    </row>
    <row r="11707">
      <c r="A11707" s="2">
        <f>IFERROR(__xludf.DUMMYFUNCTION("""COMPUTED_VALUE"""),71106.0)</f>
        <v>71106</v>
      </c>
      <c r="B11707" s="3" t="str">
        <f>IFERROR(__xludf.DUMMYFUNCTION("""COMPUTED_VALUE"""),"785 CROWE RIVER RD")</f>
        <v>785 CROWE RIVER RD</v>
      </c>
      <c r="C11707" s="3" t="str">
        <f>IFERROR(__xludf.DUMMYFUNCTION("""COMPUTED_VALUE"""),"MARMORA")</f>
        <v>MARMORA</v>
      </c>
      <c r="D11707" s="3" t="str">
        <f>IFERROR(__xludf.DUMMYFUNCTION("""COMPUTED_VALUE"""),"K0K 2M0")</f>
        <v>K0K 2M0</v>
      </c>
      <c r="E11707" s="3"/>
      <c r="F11707" s="3"/>
      <c r="G11707" s="3"/>
      <c r="H11707" s="3"/>
    </row>
    <row r="11708">
      <c r="A11708" s="2">
        <f>IFERROR(__xludf.DUMMYFUNCTION("""COMPUTED_VALUE"""),71107.0)</f>
        <v>71107</v>
      </c>
      <c r="B11708" s="3" t="str">
        <f>IFERROR(__xludf.DUMMYFUNCTION("""COMPUTED_VALUE"""),"800 CROWE RIVER RD")</f>
        <v>800 CROWE RIVER RD</v>
      </c>
      <c r="C11708" s="3" t="str">
        <f>IFERROR(__xludf.DUMMYFUNCTION("""COMPUTED_VALUE"""),"MARMORA")</f>
        <v>MARMORA</v>
      </c>
      <c r="D11708" s="3" t="str">
        <f>IFERROR(__xludf.DUMMYFUNCTION("""COMPUTED_VALUE"""),"K0K 2M0")</f>
        <v>K0K 2M0</v>
      </c>
      <c r="E11708" s="3"/>
      <c r="F11708" s="3"/>
      <c r="G11708" s="3"/>
      <c r="H11708" s="3"/>
    </row>
    <row r="11709">
      <c r="A11709" s="2">
        <f>IFERROR(__xludf.DUMMYFUNCTION("""COMPUTED_VALUE"""),71108.0)</f>
        <v>71108</v>
      </c>
      <c r="B11709" s="3" t="str">
        <f>IFERROR(__xludf.DUMMYFUNCTION("""COMPUTED_VALUE"""),"803 CROWE RIVER RD")</f>
        <v>803 CROWE RIVER RD</v>
      </c>
      <c r="C11709" s="3" t="str">
        <f>IFERROR(__xludf.DUMMYFUNCTION("""COMPUTED_VALUE"""),"MARMORA")</f>
        <v>MARMORA</v>
      </c>
      <c r="D11709" s="3" t="str">
        <f>IFERROR(__xludf.DUMMYFUNCTION("""COMPUTED_VALUE"""),"K0K 2M0")</f>
        <v>K0K 2M0</v>
      </c>
      <c r="E11709" s="3"/>
      <c r="F11709" s="3"/>
      <c r="G11709" s="3"/>
      <c r="H11709" s="3"/>
    </row>
    <row r="11710">
      <c r="A11710" s="2">
        <f>IFERROR(__xludf.DUMMYFUNCTION("""COMPUTED_VALUE"""),71109.0)</f>
        <v>71109</v>
      </c>
      <c r="B11710" s="3" t="str">
        <f>IFERROR(__xludf.DUMMYFUNCTION("""COMPUTED_VALUE"""),"811 CROWE RIVER RD")</f>
        <v>811 CROWE RIVER RD</v>
      </c>
      <c r="C11710" s="3" t="str">
        <f>IFERROR(__xludf.DUMMYFUNCTION("""COMPUTED_VALUE"""),"MARMORA")</f>
        <v>MARMORA</v>
      </c>
      <c r="D11710" s="3" t="str">
        <f>IFERROR(__xludf.DUMMYFUNCTION("""COMPUTED_VALUE"""),"K0K 2M0")</f>
        <v>K0K 2M0</v>
      </c>
      <c r="E11710" s="3" t="str">
        <f>IFERROR(__xludf.DUMMYFUNCTION("""COMPUTED_VALUE"""),"Clifford Hinan")</f>
        <v>Clifford Hinan</v>
      </c>
      <c r="F11710" s="3" t="str">
        <f>IFERROR(__xludf.DUMMYFUNCTION("""COMPUTED_VALUE"""),"cphinan@outlook.com")</f>
        <v>cphinan@outlook.com</v>
      </c>
      <c r="G11710" s="3"/>
      <c r="H11710" s="3"/>
    </row>
    <row r="11711">
      <c r="A11711" s="2">
        <f>IFERROR(__xludf.DUMMYFUNCTION("""COMPUTED_VALUE"""),71110.0)</f>
        <v>71110</v>
      </c>
      <c r="B11711" s="3" t="str">
        <f>IFERROR(__xludf.DUMMYFUNCTION("""COMPUTED_VALUE"""),"890 CROWE RIVER RD")</f>
        <v>890 CROWE RIVER RD</v>
      </c>
      <c r="C11711" s="3" t="str">
        <f>IFERROR(__xludf.DUMMYFUNCTION("""COMPUTED_VALUE"""),"MARMORA")</f>
        <v>MARMORA</v>
      </c>
      <c r="D11711" s="3" t="str">
        <f>IFERROR(__xludf.DUMMYFUNCTION("""COMPUTED_VALUE"""),"K0K 2M0")</f>
        <v>K0K 2M0</v>
      </c>
      <c r="E11711" s="3"/>
      <c r="F11711" s="3"/>
      <c r="G11711" s="3"/>
      <c r="H11711" s="3"/>
    </row>
    <row r="11712">
      <c r="A11712" s="2">
        <f>IFERROR(__xludf.DUMMYFUNCTION("""COMPUTED_VALUE"""),71111.0)</f>
        <v>71111</v>
      </c>
      <c r="B11712" s="3" t="str">
        <f>IFERROR(__xludf.DUMMYFUNCTION("""COMPUTED_VALUE"""),"895 CROWE RIVER RD")</f>
        <v>895 CROWE RIVER RD</v>
      </c>
      <c r="C11712" s="3" t="str">
        <f>IFERROR(__xludf.DUMMYFUNCTION("""COMPUTED_VALUE"""),"MARMORA")</f>
        <v>MARMORA</v>
      </c>
      <c r="D11712" s="3" t="str">
        <f>IFERROR(__xludf.DUMMYFUNCTION("""COMPUTED_VALUE"""),"K0K 2M0")</f>
        <v>K0K 2M0</v>
      </c>
      <c r="E11712" s="3"/>
      <c r="F11712" s="3"/>
      <c r="G11712" s="3"/>
      <c r="H11712" s="3"/>
    </row>
    <row r="11713">
      <c r="A11713" s="2">
        <f>IFERROR(__xludf.DUMMYFUNCTION("""COMPUTED_VALUE"""),71112.0)</f>
        <v>71112</v>
      </c>
      <c r="B11713" s="3" t="str">
        <f>IFERROR(__xludf.DUMMYFUNCTION("""COMPUTED_VALUE"""),"955 CROWE RIVER RD")</f>
        <v>955 CROWE RIVER RD</v>
      </c>
      <c r="C11713" s="3" t="str">
        <f>IFERROR(__xludf.DUMMYFUNCTION("""COMPUTED_VALUE"""),"MARMORA")</f>
        <v>MARMORA</v>
      </c>
      <c r="D11713" s="3" t="str">
        <f>IFERROR(__xludf.DUMMYFUNCTION("""COMPUTED_VALUE"""),"K0K 2M0")</f>
        <v>K0K 2M0</v>
      </c>
      <c r="E11713" s="3"/>
      <c r="F11713" s="3"/>
      <c r="G11713" s="3"/>
      <c r="H11713" s="3"/>
    </row>
    <row r="11714">
      <c r="A11714" s="2">
        <f>IFERROR(__xludf.DUMMYFUNCTION("""COMPUTED_VALUE"""),71113.0)</f>
        <v>71113</v>
      </c>
      <c r="B11714" s="3" t="str">
        <f>IFERROR(__xludf.DUMMYFUNCTION("""COMPUTED_VALUE"""),"960 CROWE RIVER RD")</f>
        <v>960 CROWE RIVER RD</v>
      </c>
      <c r="C11714" s="3" t="str">
        <f>IFERROR(__xludf.DUMMYFUNCTION("""COMPUTED_VALUE"""),"MARMORA")</f>
        <v>MARMORA</v>
      </c>
      <c r="D11714" s="3" t="str">
        <f>IFERROR(__xludf.DUMMYFUNCTION("""COMPUTED_VALUE"""),"K0K 2M0")</f>
        <v>K0K 2M0</v>
      </c>
      <c r="E11714" s="3"/>
      <c r="F11714" s="3"/>
      <c r="G11714" s="3"/>
      <c r="H11714" s="3"/>
    </row>
    <row r="11715">
      <c r="A11715" s="2">
        <f>IFERROR(__xludf.DUMMYFUNCTION("""COMPUTED_VALUE"""),71114.0)</f>
        <v>71114</v>
      </c>
      <c r="B11715" s="3" t="str">
        <f>IFERROR(__xludf.DUMMYFUNCTION("""COMPUTED_VALUE"""),"965 CROWE RIVER RD")</f>
        <v>965 CROWE RIVER RD</v>
      </c>
      <c r="C11715" s="3" t="str">
        <f>IFERROR(__xludf.DUMMYFUNCTION("""COMPUTED_VALUE"""),"MARMORA")</f>
        <v>MARMORA</v>
      </c>
      <c r="D11715" s="3" t="str">
        <f>IFERROR(__xludf.DUMMYFUNCTION("""COMPUTED_VALUE"""),"K0K 2M0")</f>
        <v>K0K 2M0</v>
      </c>
      <c r="E11715" s="3"/>
      <c r="F11715" s="3"/>
      <c r="G11715" s="3"/>
      <c r="H11715" s="3"/>
    </row>
    <row r="11716">
      <c r="A11716" s="2">
        <f>IFERROR(__xludf.DUMMYFUNCTION("""COMPUTED_VALUE"""),72550.0)</f>
        <v>72550</v>
      </c>
      <c r="B11716" s="3" t="str">
        <f>IFERROR(__xludf.DUMMYFUNCTION("""COMPUTED_VALUE"""),"986 CROWE RIVER RD")</f>
        <v>986 CROWE RIVER RD</v>
      </c>
      <c r="C11716" s="3" t="str">
        <f>IFERROR(__xludf.DUMMYFUNCTION("""COMPUTED_VALUE"""),"MARMORA")</f>
        <v>MARMORA</v>
      </c>
      <c r="D11716" s="3" t="str">
        <f>IFERROR(__xludf.DUMMYFUNCTION("""COMPUTED_VALUE"""),"K0K 2M0")</f>
        <v>K0K 2M0</v>
      </c>
      <c r="E11716" s="3"/>
      <c r="F11716" s="3"/>
      <c r="G11716" s="3"/>
      <c r="H11716" s="3"/>
    </row>
    <row r="11717">
      <c r="A11717" s="2">
        <f>IFERROR(__xludf.DUMMYFUNCTION("""COMPUTED_VALUE"""),71115.0)</f>
        <v>71115</v>
      </c>
      <c r="B11717" s="3" t="str">
        <f>IFERROR(__xludf.DUMMYFUNCTION("""COMPUTED_VALUE"""),"1001 CROWE RIVER RD")</f>
        <v>1001 CROWE RIVER RD</v>
      </c>
      <c r="C11717" s="3" t="str">
        <f>IFERROR(__xludf.DUMMYFUNCTION("""COMPUTED_VALUE"""),"MARMORA")</f>
        <v>MARMORA</v>
      </c>
      <c r="D11717" s="3" t="str">
        <f>IFERROR(__xludf.DUMMYFUNCTION("""COMPUTED_VALUE"""),"K0K 2M0")</f>
        <v>K0K 2M0</v>
      </c>
      <c r="E11717" s="3" t="str">
        <f>IFERROR(__xludf.DUMMYFUNCTION("""COMPUTED_VALUE"""),"Jeff Hall")</f>
        <v>Jeff Hall</v>
      </c>
      <c r="F11717" s="3" t="str">
        <f>IFERROR(__xludf.DUMMYFUNCTION("""COMPUTED_VALUE"""),"jeffhall21@gmail.com")</f>
        <v>jeffhall21@gmail.com</v>
      </c>
      <c r="G11717" s="3"/>
      <c r="H11717" s="3"/>
    </row>
    <row r="11718">
      <c r="A11718" s="2">
        <f>IFERROR(__xludf.DUMMYFUNCTION("""COMPUTED_VALUE"""),72547.0)</f>
        <v>72547</v>
      </c>
      <c r="B11718" s="3" t="str">
        <f>IFERROR(__xludf.DUMMYFUNCTION("""COMPUTED_VALUE"""),"1021 CROWE RIVER RD")</f>
        <v>1021 CROWE RIVER RD</v>
      </c>
      <c r="C11718" s="3" t="str">
        <f>IFERROR(__xludf.DUMMYFUNCTION("""COMPUTED_VALUE"""),"MARMORA")</f>
        <v>MARMORA</v>
      </c>
      <c r="D11718" s="3" t="str">
        <f>IFERROR(__xludf.DUMMYFUNCTION("""COMPUTED_VALUE"""),"K0K 2M0")</f>
        <v>K0K 2M0</v>
      </c>
      <c r="E11718" s="3"/>
      <c r="F11718" s="3"/>
      <c r="G11718" s="3"/>
      <c r="H11718" s="3"/>
    </row>
    <row r="11719">
      <c r="A11719" s="2">
        <f>IFERROR(__xludf.DUMMYFUNCTION("""COMPUTED_VALUE"""),71116.0)</f>
        <v>71116</v>
      </c>
      <c r="B11719" s="3" t="str">
        <f>IFERROR(__xludf.DUMMYFUNCTION("""COMPUTED_VALUE"""),"1076 CROWE RIVER RD")</f>
        <v>1076 CROWE RIVER RD</v>
      </c>
      <c r="C11719" s="3" t="str">
        <f>IFERROR(__xludf.DUMMYFUNCTION("""COMPUTED_VALUE"""),"MARMORA")</f>
        <v>MARMORA</v>
      </c>
      <c r="D11719" s="3" t="str">
        <f>IFERROR(__xludf.DUMMYFUNCTION("""COMPUTED_VALUE"""),"K0K 2M0")</f>
        <v>K0K 2M0</v>
      </c>
      <c r="E11719" s="3"/>
      <c r="F11719" s="3"/>
      <c r="G11719" s="3"/>
      <c r="H11719" s="3"/>
    </row>
    <row r="11720">
      <c r="A11720" s="2">
        <f>IFERROR(__xludf.DUMMYFUNCTION("""COMPUTED_VALUE"""),71117.0)</f>
        <v>71117</v>
      </c>
      <c r="B11720" s="3" t="str">
        <f>IFERROR(__xludf.DUMMYFUNCTION("""COMPUTED_VALUE"""),"1108 CROWE RIVER RD")</f>
        <v>1108 CROWE RIVER RD</v>
      </c>
      <c r="C11720" s="3" t="str">
        <f>IFERROR(__xludf.DUMMYFUNCTION("""COMPUTED_VALUE"""),"MARMORA")</f>
        <v>MARMORA</v>
      </c>
      <c r="D11720" s="3" t="str">
        <f>IFERROR(__xludf.DUMMYFUNCTION("""COMPUTED_VALUE"""),"K0K 2M0")</f>
        <v>K0K 2M0</v>
      </c>
      <c r="E11720" s="3"/>
      <c r="F11720" s="3"/>
      <c r="G11720" s="3"/>
      <c r="H11720" s="3"/>
    </row>
    <row r="11721">
      <c r="A11721" s="2">
        <f>IFERROR(__xludf.DUMMYFUNCTION("""COMPUTED_VALUE"""),71119.0)</f>
        <v>71119</v>
      </c>
      <c r="B11721" s="3" t="str">
        <f>IFERROR(__xludf.DUMMYFUNCTION("""COMPUTED_VALUE"""),"724A CROWE RIVER RD")</f>
        <v>724A CROWE RIVER RD</v>
      </c>
      <c r="C11721" s="3" t="str">
        <f>IFERROR(__xludf.DUMMYFUNCTION("""COMPUTED_VALUE"""),"MARMORA")</f>
        <v>MARMORA</v>
      </c>
      <c r="D11721" s="3" t="str">
        <f>IFERROR(__xludf.DUMMYFUNCTION("""COMPUTED_VALUE"""),"K0K 2M0")</f>
        <v>K0K 2M0</v>
      </c>
      <c r="E11721" s="3" t="str">
        <f>IFERROR(__xludf.DUMMYFUNCTION("""COMPUTED_VALUE"""),"peter reid")</f>
        <v>peter reid</v>
      </c>
      <c r="F11721" s="3" t="str">
        <f>IFERROR(__xludf.DUMMYFUNCTION("""COMPUTED_VALUE"""),"petersreid@gmail.com")</f>
        <v>petersreid@gmail.com</v>
      </c>
      <c r="G11721" s="3">
        <f>IFERROR(__xludf.DUMMYFUNCTION("""COMPUTED_VALUE"""),4.165244486E9)</f>
        <v>4165244486</v>
      </c>
      <c r="H11721" s="3"/>
    </row>
    <row r="11722">
      <c r="A11722" s="2">
        <f>IFERROR(__xludf.DUMMYFUNCTION("""COMPUTED_VALUE"""),71120.0)</f>
        <v>71120</v>
      </c>
      <c r="B11722" s="3" t="str">
        <f>IFERROR(__xludf.DUMMYFUNCTION("""COMPUTED_VALUE"""),"724B CROWE RIVER RD")</f>
        <v>724B CROWE RIVER RD</v>
      </c>
      <c r="C11722" s="3" t="str">
        <f>IFERROR(__xludf.DUMMYFUNCTION("""COMPUTED_VALUE"""),"MARMORA")</f>
        <v>MARMORA</v>
      </c>
      <c r="D11722" s="3" t="str">
        <f>IFERROR(__xludf.DUMMYFUNCTION("""COMPUTED_VALUE"""),"K0K 2M0")</f>
        <v>K0K 2M0</v>
      </c>
      <c r="E11722" s="3" t="str">
        <f>IFERROR(__xludf.DUMMYFUNCTION("""COMPUTED_VALUE"""),"stephen brown ")</f>
        <v>stephen brown </v>
      </c>
      <c r="F11722" s="3" t="str">
        <f>IFERROR(__xludf.DUMMYFUNCTION("""COMPUTED_VALUE"""),"steve.d.brown.sdb.@gmail.com")</f>
        <v>steve.d.brown.sdb.@gmail.com</v>
      </c>
      <c r="G11722" s="3">
        <f>IFERROR(__xludf.DUMMYFUNCTION("""COMPUTED_VALUE"""),7.056536738E9)</f>
        <v>7056536738</v>
      </c>
      <c r="H11722" s="3">
        <f>IFERROR(__xludf.DUMMYFUNCTION("""COMPUTED_VALUE"""),7.056536214E9)</f>
        <v>7056536214</v>
      </c>
    </row>
    <row r="11723">
      <c r="A11723" s="2">
        <f>IFERROR(__xludf.DUMMYFUNCTION("""COMPUTED_VALUE"""),71121.0)</f>
        <v>71121</v>
      </c>
      <c r="B11723" s="3" t="str">
        <f>IFERROR(__xludf.DUMMYFUNCTION("""COMPUTED_VALUE"""),"724B CROWE RIVER RD")</f>
        <v>724B CROWE RIVER RD</v>
      </c>
      <c r="C11723" s="3" t="str">
        <f>IFERROR(__xludf.DUMMYFUNCTION("""COMPUTED_VALUE"""),"MARMORA")</f>
        <v>MARMORA</v>
      </c>
      <c r="D11723" s="3" t="str">
        <f>IFERROR(__xludf.DUMMYFUNCTION("""COMPUTED_VALUE"""),"K0K 2M0")</f>
        <v>K0K 2M0</v>
      </c>
      <c r="E11723" s="3"/>
      <c r="F11723" s="3"/>
      <c r="G11723" s="3"/>
      <c r="H11723" s="3"/>
    </row>
    <row r="11724">
      <c r="A11724" s="2">
        <f>IFERROR(__xludf.DUMMYFUNCTION("""COMPUTED_VALUE"""),71122.0)</f>
        <v>71122</v>
      </c>
      <c r="B11724" s="3" t="str">
        <f>IFERROR(__xludf.DUMMYFUNCTION("""COMPUTED_VALUE"""),"724C CROWE RIVER RD")</f>
        <v>724C CROWE RIVER RD</v>
      </c>
      <c r="C11724" s="3" t="str">
        <f>IFERROR(__xludf.DUMMYFUNCTION("""COMPUTED_VALUE"""),"MARMORA")</f>
        <v>MARMORA</v>
      </c>
      <c r="D11724" s="3" t="str">
        <f>IFERROR(__xludf.DUMMYFUNCTION("""COMPUTED_VALUE"""),"K0K 2M0")</f>
        <v>K0K 2M0</v>
      </c>
      <c r="E11724" s="3" t="str">
        <f>IFERROR(__xludf.DUMMYFUNCTION("""COMPUTED_VALUE"""),"alan brown")</f>
        <v>alan brown</v>
      </c>
      <c r="F11724" s="3" t="str">
        <f>IFERROR(__xludf.DUMMYFUNCTION("""COMPUTED_VALUE"""),"alanbrown724@outlook.com")</f>
        <v>alanbrown724@outlook.com</v>
      </c>
      <c r="G11724" s="3">
        <f>IFERROR(__xludf.DUMMYFUNCTION("""COMPUTED_VALUE"""),6.133297352E9)</f>
        <v>6133297352</v>
      </c>
      <c r="H11724" s="3">
        <f>IFERROR(__xludf.DUMMYFUNCTION("""COMPUTED_VALUE"""),7.056536738E9)</f>
        <v>7056536738</v>
      </c>
    </row>
    <row r="11725">
      <c r="A11725" s="2">
        <f>IFERROR(__xludf.DUMMYFUNCTION("""COMPUTED_VALUE"""),71297.0)</f>
        <v>71297</v>
      </c>
      <c r="B11725" s="3" t="str">
        <f>IFERROR(__xludf.DUMMYFUNCTION("""COMPUTED_VALUE"""),"120 FRANKLIN RD")</f>
        <v>120 FRANKLIN RD</v>
      </c>
      <c r="C11725" s="3" t="str">
        <f>IFERROR(__xludf.DUMMYFUNCTION("""COMPUTED_VALUE"""),"HAVELOCK")</f>
        <v>HAVELOCK</v>
      </c>
      <c r="D11725" s="3" t="str">
        <f>IFERROR(__xludf.DUMMYFUNCTION("""COMPUTED_VALUE"""),"K0L 1Z0")</f>
        <v>K0L 1Z0</v>
      </c>
      <c r="E11725" s="3"/>
      <c r="F11725" s="3"/>
      <c r="G11725" s="3"/>
      <c r="H11725" s="3"/>
    </row>
    <row r="11726">
      <c r="A11726" s="2">
        <f>IFERROR(__xludf.DUMMYFUNCTION("""COMPUTED_VALUE"""),71298.0)</f>
        <v>71298</v>
      </c>
      <c r="B11726" s="3" t="str">
        <f>IFERROR(__xludf.DUMMYFUNCTION("""COMPUTED_VALUE"""),"188 FRANKLIN RD")</f>
        <v>188 FRANKLIN RD</v>
      </c>
      <c r="C11726" s="3" t="str">
        <f>IFERROR(__xludf.DUMMYFUNCTION("""COMPUTED_VALUE"""),"HAVELOCK")</f>
        <v>HAVELOCK</v>
      </c>
      <c r="D11726" s="3" t="str">
        <f>IFERROR(__xludf.DUMMYFUNCTION("""COMPUTED_VALUE"""),"K0L 1Z0")</f>
        <v>K0L 1Z0</v>
      </c>
      <c r="E11726" s="3"/>
      <c r="F11726" s="3"/>
      <c r="G11726" s="3"/>
      <c r="H11726" s="3"/>
    </row>
    <row r="11727">
      <c r="A11727" s="2">
        <f>IFERROR(__xludf.DUMMYFUNCTION("""COMPUTED_VALUE"""),71299.0)</f>
        <v>71299</v>
      </c>
      <c r="B11727" s="3" t="str">
        <f>IFERROR(__xludf.DUMMYFUNCTION("""COMPUTED_VALUE"""),"220 FRANKLIN RD")</f>
        <v>220 FRANKLIN RD</v>
      </c>
      <c r="C11727" s="3" t="str">
        <f>IFERROR(__xludf.DUMMYFUNCTION("""COMPUTED_VALUE"""),"HAVELOCK")</f>
        <v>HAVELOCK</v>
      </c>
      <c r="D11727" s="3" t="str">
        <f>IFERROR(__xludf.DUMMYFUNCTION("""COMPUTED_VALUE"""),"K0L 1Z0")</f>
        <v>K0L 1Z0</v>
      </c>
      <c r="E11727" s="3"/>
      <c r="F11727" s="3"/>
      <c r="G11727" s="3"/>
      <c r="H11727" s="3"/>
    </row>
    <row r="11728">
      <c r="A11728" s="2">
        <f>IFERROR(__xludf.DUMMYFUNCTION("""COMPUTED_VALUE"""),71300.0)</f>
        <v>71300</v>
      </c>
      <c r="B11728" s="3" t="str">
        <f>IFERROR(__xludf.DUMMYFUNCTION("""COMPUTED_VALUE"""),"288 FRANKLIN RD")</f>
        <v>288 FRANKLIN RD</v>
      </c>
      <c r="C11728" s="3" t="str">
        <f>IFERROR(__xludf.DUMMYFUNCTION("""COMPUTED_VALUE"""),"HAVELOCK")</f>
        <v>HAVELOCK</v>
      </c>
      <c r="D11728" s="3" t="str">
        <f>IFERROR(__xludf.DUMMYFUNCTION("""COMPUTED_VALUE"""),"K0L 1Z0")</f>
        <v>K0L 1Z0</v>
      </c>
      <c r="E11728" s="3"/>
      <c r="F11728" s="3"/>
      <c r="G11728" s="3"/>
      <c r="H11728" s="3"/>
    </row>
    <row r="11729">
      <c r="A11729" s="2">
        <f>IFERROR(__xludf.DUMMYFUNCTION("""COMPUTED_VALUE"""),71301.0)</f>
        <v>71301</v>
      </c>
      <c r="B11729" s="3" t="str">
        <f>IFERROR(__xludf.DUMMYFUNCTION("""COMPUTED_VALUE"""),"291 FRANKLIN RD")</f>
        <v>291 FRANKLIN RD</v>
      </c>
      <c r="C11729" s="3" t="str">
        <f>IFERROR(__xludf.DUMMYFUNCTION("""COMPUTED_VALUE"""),"HAVELOCK")</f>
        <v>HAVELOCK</v>
      </c>
      <c r="D11729" s="3" t="str">
        <f>IFERROR(__xludf.DUMMYFUNCTION("""COMPUTED_VALUE"""),"K0L 1Z0")</f>
        <v>K0L 1Z0</v>
      </c>
      <c r="E11729" s="3"/>
      <c r="F11729" s="3"/>
      <c r="G11729" s="3"/>
      <c r="H11729" s="3"/>
    </row>
    <row r="11730">
      <c r="A11730" s="2">
        <f>IFERROR(__xludf.DUMMYFUNCTION("""COMPUTED_VALUE"""),71302.0)</f>
        <v>71302</v>
      </c>
      <c r="B11730" s="3" t="str">
        <f>IFERROR(__xludf.DUMMYFUNCTION("""COMPUTED_VALUE"""),"296 FRANKLIN RD")</f>
        <v>296 FRANKLIN RD</v>
      </c>
      <c r="C11730" s="3" t="str">
        <f>IFERROR(__xludf.DUMMYFUNCTION("""COMPUTED_VALUE"""),"HAVELOCK")</f>
        <v>HAVELOCK</v>
      </c>
      <c r="D11730" s="3" t="str">
        <f>IFERROR(__xludf.DUMMYFUNCTION("""COMPUTED_VALUE"""),"K0L 1Z0")</f>
        <v>K0L 1Z0</v>
      </c>
      <c r="E11730" s="3"/>
      <c r="F11730" s="3"/>
      <c r="G11730" s="3"/>
      <c r="H11730" s="3"/>
    </row>
    <row r="11731">
      <c r="A11731" s="2">
        <f>IFERROR(__xludf.DUMMYFUNCTION("""COMPUTED_VALUE"""),71303.0)</f>
        <v>71303</v>
      </c>
      <c r="B11731" s="3" t="str">
        <f>IFERROR(__xludf.DUMMYFUNCTION("""COMPUTED_VALUE"""),"298 FRANKLIN RD")</f>
        <v>298 FRANKLIN RD</v>
      </c>
      <c r="C11731" s="3" t="str">
        <f>IFERROR(__xludf.DUMMYFUNCTION("""COMPUTED_VALUE"""),"HAVELOCK")</f>
        <v>HAVELOCK</v>
      </c>
      <c r="D11731" s="3" t="str">
        <f>IFERROR(__xludf.DUMMYFUNCTION("""COMPUTED_VALUE"""),"K0L 1Z0")</f>
        <v>K0L 1Z0</v>
      </c>
      <c r="E11731" s="3"/>
      <c r="F11731" s="3"/>
      <c r="G11731" s="3"/>
      <c r="H11731" s="3"/>
    </row>
    <row r="11732">
      <c r="A11732" s="2">
        <f>IFERROR(__xludf.DUMMYFUNCTION("""COMPUTED_VALUE"""),71304.0)</f>
        <v>71304</v>
      </c>
      <c r="B11732" s="3" t="str">
        <f>IFERROR(__xludf.DUMMYFUNCTION("""COMPUTED_VALUE"""),"313 FRANKLIN RD")</f>
        <v>313 FRANKLIN RD</v>
      </c>
      <c r="C11732" s="3" t="str">
        <f>IFERROR(__xludf.DUMMYFUNCTION("""COMPUTED_VALUE"""),"HAVELOCK")</f>
        <v>HAVELOCK</v>
      </c>
      <c r="D11732" s="3" t="str">
        <f>IFERROR(__xludf.DUMMYFUNCTION("""COMPUTED_VALUE"""),"K0L 1Z0")</f>
        <v>K0L 1Z0</v>
      </c>
      <c r="E11732" s="3"/>
      <c r="F11732" s="3"/>
      <c r="G11732" s="3"/>
      <c r="H11732" s="3"/>
    </row>
    <row r="11733">
      <c r="A11733" s="2">
        <f>IFERROR(__xludf.DUMMYFUNCTION("""COMPUTED_VALUE"""),71305.0)</f>
        <v>71305</v>
      </c>
      <c r="B11733" s="3" t="str">
        <f>IFERROR(__xludf.DUMMYFUNCTION("""COMPUTED_VALUE"""),"319 FRANKLIN RD")</f>
        <v>319 FRANKLIN RD</v>
      </c>
      <c r="C11733" s="3" t="str">
        <f>IFERROR(__xludf.DUMMYFUNCTION("""COMPUTED_VALUE"""),"HAVELOCK")</f>
        <v>HAVELOCK</v>
      </c>
      <c r="D11733" s="3" t="str">
        <f>IFERROR(__xludf.DUMMYFUNCTION("""COMPUTED_VALUE"""),"K0L 1Z0")</f>
        <v>K0L 1Z0</v>
      </c>
      <c r="E11733" s="3"/>
      <c r="F11733" s="3"/>
      <c r="G11733" s="3"/>
      <c r="H11733" s="3"/>
    </row>
    <row r="11734">
      <c r="A11734" s="2">
        <f>IFERROR(__xludf.DUMMYFUNCTION("""COMPUTED_VALUE"""),71306.0)</f>
        <v>71306</v>
      </c>
      <c r="B11734" s="3" t="str">
        <f>IFERROR(__xludf.DUMMYFUNCTION("""COMPUTED_VALUE"""),"323 FRANKLIN RD")</f>
        <v>323 FRANKLIN RD</v>
      </c>
      <c r="C11734" s="3" t="str">
        <f>IFERROR(__xludf.DUMMYFUNCTION("""COMPUTED_VALUE"""),"HAVELOCK")</f>
        <v>HAVELOCK</v>
      </c>
      <c r="D11734" s="3" t="str">
        <f>IFERROR(__xludf.DUMMYFUNCTION("""COMPUTED_VALUE"""),"K0L 1Z0")</f>
        <v>K0L 1Z0</v>
      </c>
      <c r="E11734" s="3"/>
      <c r="F11734" s="3"/>
      <c r="G11734" s="3"/>
      <c r="H11734" s="3"/>
    </row>
    <row r="11735">
      <c r="A11735" s="2">
        <f>IFERROR(__xludf.DUMMYFUNCTION("""COMPUTED_VALUE"""),71448.0)</f>
        <v>71448</v>
      </c>
      <c r="B11735" s="3" t="str">
        <f>IFERROR(__xludf.DUMMYFUNCTION("""COMPUTED_VALUE"""),"48 GODDEN'S RD")</f>
        <v>48 GODDEN'S RD</v>
      </c>
      <c r="C11735" s="3" t="str">
        <f>IFERROR(__xludf.DUMMYFUNCTION("""COMPUTED_VALUE"""),"CAMPBELLFORD")</f>
        <v>CAMPBELLFORD</v>
      </c>
      <c r="D11735" s="3" t="str">
        <f>IFERROR(__xludf.DUMMYFUNCTION("""COMPUTED_VALUE"""),"K0L 1L0")</f>
        <v>K0L 1L0</v>
      </c>
      <c r="E11735" s="3"/>
      <c r="F11735" s="3"/>
      <c r="G11735" s="3"/>
      <c r="H11735" s="3"/>
    </row>
    <row r="11736">
      <c r="A11736" s="2">
        <f>IFERROR(__xludf.DUMMYFUNCTION("""COMPUTED_VALUE"""),71449.0)</f>
        <v>71449</v>
      </c>
      <c r="B11736" s="3" t="str">
        <f>IFERROR(__xludf.DUMMYFUNCTION("""COMPUTED_VALUE"""),"320 GODDENS RD")</f>
        <v>320 GODDENS RD</v>
      </c>
      <c r="C11736" s="3" t="str">
        <f>IFERROR(__xludf.DUMMYFUNCTION("""COMPUTED_VALUE"""),"CAMPBELLFORD")</f>
        <v>CAMPBELLFORD</v>
      </c>
      <c r="D11736" s="3" t="str">
        <f>IFERROR(__xludf.DUMMYFUNCTION("""COMPUTED_VALUE"""),"K0L 1L0")</f>
        <v>K0L 1L0</v>
      </c>
      <c r="E11736" s="3"/>
      <c r="F11736" s="3"/>
      <c r="G11736" s="3"/>
      <c r="H11736" s="3"/>
    </row>
    <row r="11737">
      <c r="A11737" s="2">
        <f>IFERROR(__xludf.DUMMYFUNCTION("""COMPUTED_VALUE"""),71450.0)</f>
        <v>71450</v>
      </c>
      <c r="B11737" s="3" t="str">
        <f>IFERROR(__xludf.DUMMYFUNCTION("""COMPUTED_VALUE"""),"443 GODDEN RD")</f>
        <v>443 GODDEN RD</v>
      </c>
      <c r="C11737" s="3" t="str">
        <f>IFERROR(__xludf.DUMMYFUNCTION("""COMPUTED_VALUE"""),"CAMPBELLFORD")</f>
        <v>CAMPBELLFORD</v>
      </c>
      <c r="D11737" s="3" t="str">
        <f>IFERROR(__xludf.DUMMYFUNCTION("""COMPUTED_VALUE"""),"K0L 1L0")</f>
        <v>K0L 1L0</v>
      </c>
      <c r="E11737" s="3"/>
      <c r="F11737" s="3"/>
      <c r="G11737" s="3"/>
      <c r="H11737" s="3"/>
    </row>
    <row r="11738">
      <c r="A11738" s="2">
        <f>IFERROR(__xludf.DUMMYFUNCTION("""COMPUTED_VALUE"""),71451.0)</f>
        <v>71451</v>
      </c>
      <c r="B11738" s="3" t="str">
        <f>IFERROR(__xludf.DUMMYFUNCTION("""COMPUTED_VALUE"""),"132A GODDENS RD")</f>
        <v>132A GODDENS RD</v>
      </c>
      <c r="C11738" s="3" t="str">
        <f>IFERROR(__xludf.DUMMYFUNCTION("""COMPUTED_VALUE"""),"CAMPBELLFORD")</f>
        <v>CAMPBELLFORD</v>
      </c>
      <c r="D11738" s="3" t="str">
        <f>IFERROR(__xludf.DUMMYFUNCTION("""COMPUTED_VALUE"""),"K0L 1L0")</f>
        <v>K0L 1L0</v>
      </c>
      <c r="E11738" s="3"/>
      <c r="F11738" s="3"/>
      <c r="G11738" s="3"/>
      <c r="H11738" s="3"/>
    </row>
    <row r="11739">
      <c r="A11739" s="2">
        <f>IFERROR(__xludf.DUMMYFUNCTION("""COMPUTED_VALUE"""),71452.0)</f>
        <v>71452</v>
      </c>
      <c r="B11739" s="3" t="str">
        <f>IFERROR(__xludf.DUMMYFUNCTION("""COMPUTED_VALUE"""),"132B GODDEN'S RD")</f>
        <v>132B GODDEN'S RD</v>
      </c>
      <c r="C11739" s="3" t="str">
        <f>IFERROR(__xludf.DUMMYFUNCTION("""COMPUTED_VALUE"""),"CAMPBELLFORD")</f>
        <v>CAMPBELLFORD</v>
      </c>
      <c r="D11739" s="3" t="str">
        <f>IFERROR(__xludf.DUMMYFUNCTION("""COMPUTED_VALUE"""),"K0L 1L0")</f>
        <v>K0L 1L0</v>
      </c>
      <c r="E11739" s="3"/>
      <c r="F11739" s="3"/>
      <c r="G11739" s="3"/>
      <c r="H11739" s="3"/>
    </row>
    <row r="11740">
      <c r="A11740" s="2">
        <f>IFERROR(__xludf.DUMMYFUNCTION("""COMPUTED_VALUE"""),71454.0)</f>
        <v>71454</v>
      </c>
      <c r="B11740" s="3" t="str">
        <f>IFERROR(__xludf.DUMMYFUNCTION("""COMPUTED_VALUE"""),"58 GREEN ACRES RD")</f>
        <v>58 GREEN ACRES RD</v>
      </c>
      <c r="C11740" s="3" t="str">
        <f>IFERROR(__xludf.DUMMYFUNCTION("""COMPUTED_VALUE"""),"CAMPBELLFORD")</f>
        <v>CAMPBELLFORD</v>
      </c>
      <c r="D11740" s="3" t="str">
        <f>IFERROR(__xludf.DUMMYFUNCTION("""COMPUTED_VALUE"""),"K0L 1L0")</f>
        <v>K0L 1L0</v>
      </c>
      <c r="E11740" s="3"/>
      <c r="F11740" s="3"/>
      <c r="G11740" s="3"/>
      <c r="H11740" s="3"/>
    </row>
    <row r="11741">
      <c r="A11741" s="2">
        <f>IFERROR(__xludf.DUMMYFUNCTION("""COMPUTED_VALUE"""),71455.0)</f>
        <v>71455</v>
      </c>
      <c r="B11741" s="3" t="str">
        <f>IFERROR(__xludf.DUMMYFUNCTION("""COMPUTED_VALUE"""),"250 GREEN ACRES RD")</f>
        <v>250 GREEN ACRES RD</v>
      </c>
      <c r="C11741" s="3" t="str">
        <f>IFERROR(__xludf.DUMMYFUNCTION("""COMPUTED_VALUE"""),"CAMPBELLFORD")</f>
        <v>CAMPBELLFORD</v>
      </c>
      <c r="D11741" s="3" t="str">
        <f>IFERROR(__xludf.DUMMYFUNCTION("""COMPUTED_VALUE"""),"K0L 1L0")</f>
        <v>K0L 1L0</v>
      </c>
      <c r="E11741" s="3"/>
      <c r="F11741" s="3"/>
      <c r="G11741" s="3"/>
      <c r="H11741" s="3"/>
    </row>
    <row r="11742">
      <c r="A11742" s="2">
        <f>IFERROR(__xludf.DUMMYFUNCTION("""COMPUTED_VALUE"""),71456.0)</f>
        <v>71456</v>
      </c>
      <c r="B11742" s="3" t="str">
        <f>IFERROR(__xludf.DUMMYFUNCTION("""COMPUTED_VALUE"""),"10 HAIG'S ISLAND")</f>
        <v>10 HAIG'S ISLAND</v>
      </c>
      <c r="C11742" s="3" t="str">
        <f>IFERROR(__xludf.DUMMYFUNCTION("""COMPUTED_VALUE"""),"CAMPBELLFORD")</f>
        <v>CAMPBELLFORD</v>
      </c>
      <c r="D11742" s="3" t="str">
        <f>IFERROR(__xludf.DUMMYFUNCTION("""COMPUTED_VALUE"""),"K0L 1L0")</f>
        <v>K0L 1L0</v>
      </c>
      <c r="E11742" s="3"/>
      <c r="F11742" s="3"/>
      <c r="G11742" s="3"/>
      <c r="H11742" s="3"/>
    </row>
    <row r="11743">
      <c r="A11743" s="2">
        <f>IFERROR(__xludf.DUMMYFUNCTION("""COMPUTED_VALUE"""),71457.0)</f>
        <v>71457</v>
      </c>
      <c r="B11743" s="3" t="str">
        <f>IFERROR(__xludf.DUMMYFUNCTION("""COMPUTED_VALUE"""),"40 HAIG'S ISLAND")</f>
        <v>40 HAIG'S ISLAND</v>
      </c>
      <c r="C11743" s="3" t="str">
        <f>IFERROR(__xludf.DUMMYFUNCTION("""COMPUTED_VALUE"""),"CAMPBELLFORD")</f>
        <v>CAMPBELLFORD</v>
      </c>
      <c r="D11743" s="3" t="str">
        <f>IFERROR(__xludf.DUMMYFUNCTION("""COMPUTED_VALUE"""),"K0L 1L0")</f>
        <v>K0L 1L0</v>
      </c>
      <c r="E11743" s="3"/>
      <c r="F11743" s="3"/>
      <c r="G11743" s="3"/>
      <c r="H11743" s="3"/>
    </row>
    <row r="11744">
      <c r="A11744" s="2">
        <f>IFERROR(__xludf.DUMMYFUNCTION("""COMPUTED_VALUE"""),71458.0)</f>
        <v>71458</v>
      </c>
      <c r="B11744" s="3" t="str">
        <f>IFERROR(__xludf.DUMMYFUNCTION("""COMPUTED_VALUE"""),"50 HAIG'S ISLAND")</f>
        <v>50 HAIG'S ISLAND</v>
      </c>
      <c r="C11744" s="3" t="str">
        <f>IFERROR(__xludf.DUMMYFUNCTION("""COMPUTED_VALUE"""),"CAMPBELLFORD")</f>
        <v>CAMPBELLFORD</v>
      </c>
      <c r="D11744" s="3" t="str">
        <f>IFERROR(__xludf.DUMMYFUNCTION("""COMPUTED_VALUE"""),"K0L 1L0")</f>
        <v>K0L 1L0</v>
      </c>
      <c r="E11744" s="3"/>
      <c r="F11744" s="3"/>
      <c r="G11744" s="3"/>
      <c r="H11744" s="3"/>
    </row>
    <row r="11745">
      <c r="A11745" s="2">
        <f>IFERROR(__xludf.DUMMYFUNCTION("""COMPUTED_VALUE"""),71459.0)</f>
        <v>71459</v>
      </c>
      <c r="B11745" s="3" t="str">
        <f>IFERROR(__xludf.DUMMYFUNCTION("""COMPUTED_VALUE"""),"70 HAIG'S ISLAND")</f>
        <v>70 HAIG'S ISLAND</v>
      </c>
      <c r="C11745" s="3" t="str">
        <f>IFERROR(__xludf.DUMMYFUNCTION("""COMPUTED_VALUE"""),"CAMPBELLFORD")</f>
        <v>CAMPBELLFORD</v>
      </c>
      <c r="D11745" s="3" t="str">
        <f>IFERROR(__xludf.DUMMYFUNCTION("""COMPUTED_VALUE"""),"K0L 1L0")</f>
        <v>K0L 1L0</v>
      </c>
      <c r="E11745" s="3"/>
      <c r="F11745" s="3"/>
      <c r="G11745" s="3"/>
      <c r="H11745" s="3"/>
    </row>
    <row r="11746">
      <c r="A11746" s="2">
        <f>IFERROR(__xludf.DUMMYFUNCTION("""COMPUTED_VALUE"""),71460.0)</f>
        <v>71460</v>
      </c>
      <c r="B11746" s="3" t="str">
        <f>IFERROR(__xludf.DUMMYFUNCTION("""COMPUTED_VALUE"""),"25 HAIG'S REACH RD")</f>
        <v>25 HAIG'S REACH RD</v>
      </c>
      <c r="C11746" s="3" t="str">
        <f>IFERROR(__xludf.DUMMYFUNCTION("""COMPUTED_VALUE"""),"CAMPBELLFORD")</f>
        <v>CAMPBELLFORD</v>
      </c>
      <c r="D11746" s="3" t="str">
        <f>IFERROR(__xludf.DUMMYFUNCTION("""COMPUTED_VALUE"""),"K0L 1L0")</f>
        <v>K0L 1L0</v>
      </c>
      <c r="E11746" s="3"/>
      <c r="F11746" s="3"/>
      <c r="G11746" s="3"/>
      <c r="H11746" s="3"/>
    </row>
    <row r="11747">
      <c r="A11747" s="2">
        <f>IFERROR(__xludf.DUMMYFUNCTION("""COMPUTED_VALUE"""),71461.0)</f>
        <v>71461</v>
      </c>
      <c r="B11747" s="3" t="str">
        <f>IFERROR(__xludf.DUMMYFUNCTION("""COMPUTED_VALUE"""),"30 HAIG'S REACH RD")</f>
        <v>30 HAIG'S REACH RD</v>
      </c>
      <c r="C11747" s="3" t="str">
        <f>IFERROR(__xludf.DUMMYFUNCTION("""COMPUTED_VALUE"""),"CAMPBELLFORD")</f>
        <v>CAMPBELLFORD</v>
      </c>
      <c r="D11747" s="3" t="str">
        <f>IFERROR(__xludf.DUMMYFUNCTION("""COMPUTED_VALUE"""),"K0L 1L0")</f>
        <v>K0L 1L0</v>
      </c>
      <c r="E11747" s="3"/>
      <c r="F11747" s="3"/>
      <c r="G11747" s="3"/>
      <c r="H11747" s="3"/>
    </row>
    <row r="11748">
      <c r="A11748" s="2">
        <f>IFERROR(__xludf.DUMMYFUNCTION("""COMPUTED_VALUE"""),71462.0)</f>
        <v>71462</v>
      </c>
      <c r="B11748" s="3" t="str">
        <f>IFERROR(__xludf.DUMMYFUNCTION("""COMPUTED_VALUE"""),"60 HAIG'S REACH RD")</f>
        <v>60 HAIG'S REACH RD</v>
      </c>
      <c r="C11748" s="3" t="str">
        <f>IFERROR(__xludf.DUMMYFUNCTION("""COMPUTED_VALUE"""),"CAMPBELLFORD")</f>
        <v>CAMPBELLFORD</v>
      </c>
      <c r="D11748" s="3" t="str">
        <f>IFERROR(__xludf.DUMMYFUNCTION("""COMPUTED_VALUE"""),"K0L 1L0")</f>
        <v>K0L 1L0</v>
      </c>
      <c r="E11748" s="3"/>
      <c r="F11748" s="3"/>
      <c r="G11748" s="3"/>
      <c r="H11748" s="3"/>
    </row>
    <row r="11749">
      <c r="A11749" s="2">
        <f>IFERROR(__xludf.DUMMYFUNCTION("""COMPUTED_VALUE"""),71463.0)</f>
        <v>71463</v>
      </c>
      <c r="B11749" s="3" t="str">
        <f>IFERROR(__xludf.DUMMYFUNCTION("""COMPUTED_VALUE"""),"275 HAIG'S REACH RD")</f>
        <v>275 HAIG'S REACH RD</v>
      </c>
      <c r="C11749" s="3" t="str">
        <f>IFERROR(__xludf.DUMMYFUNCTION("""COMPUTED_VALUE"""),"CAMPBELLFORD")</f>
        <v>CAMPBELLFORD</v>
      </c>
      <c r="D11749" s="3" t="str">
        <f>IFERROR(__xludf.DUMMYFUNCTION("""COMPUTED_VALUE"""),"K0L 1L0")</f>
        <v>K0L 1L0</v>
      </c>
      <c r="E11749" s="3"/>
      <c r="F11749" s="3"/>
      <c r="G11749" s="3"/>
      <c r="H11749" s="3"/>
    </row>
    <row r="11750">
      <c r="A11750" s="2">
        <f>IFERROR(__xludf.DUMMYFUNCTION("""COMPUTED_VALUE"""),71464.0)</f>
        <v>71464</v>
      </c>
      <c r="B11750" s="3" t="str">
        <f>IFERROR(__xludf.DUMMYFUNCTION("""COMPUTED_VALUE"""),"281 HAIG'S REACH RD")</f>
        <v>281 HAIG'S REACH RD</v>
      </c>
      <c r="C11750" s="3" t="str">
        <f>IFERROR(__xludf.DUMMYFUNCTION("""COMPUTED_VALUE"""),"CAMPBELLFORD")</f>
        <v>CAMPBELLFORD</v>
      </c>
      <c r="D11750" s="3" t="str">
        <f>IFERROR(__xludf.DUMMYFUNCTION("""COMPUTED_VALUE"""),"K0L 1L0")</f>
        <v>K0L 1L0</v>
      </c>
      <c r="E11750" s="3"/>
      <c r="F11750" s="3"/>
      <c r="G11750" s="3"/>
      <c r="H11750" s="3"/>
    </row>
    <row r="11751">
      <c r="A11751" s="2">
        <f>IFERROR(__xludf.DUMMYFUNCTION("""COMPUTED_VALUE"""),71465.0)</f>
        <v>71465</v>
      </c>
      <c r="B11751" s="3" t="str">
        <f>IFERROR(__xludf.DUMMYFUNCTION("""COMPUTED_VALUE"""),"287 HAIG'S REACH RD")</f>
        <v>287 HAIG'S REACH RD</v>
      </c>
      <c r="C11751" s="3" t="str">
        <f>IFERROR(__xludf.DUMMYFUNCTION("""COMPUTED_VALUE"""),"CAMPBELLFORD")</f>
        <v>CAMPBELLFORD</v>
      </c>
      <c r="D11751" s="3" t="str">
        <f>IFERROR(__xludf.DUMMYFUNCTION("""COMPUTED_VALUE"""),"K0L 1L0")</f>
        <v>K0L 1L0</v>
      </c>
      <c r="E11751" s="3"/>
      <c r="F11751" s="3"/>
      <c r="G11751" s="3"/>
      <c r="H11751" s="3"/>
    </row>
    <row r="11752">
      <c r="A11752" s="2">
        <f>IFERROR(__xludf.DUMMYFUNCTION("""COMPUTED_VALUE"""),71466.0)</f>
        <v>71466</v>
      </c>
      <c r="B11752" s="3" t="str">
        <f>IFERROR(__xludf.DUMMYFUNCTION("""COMPUTED_VALUE"""),"293 HAIG'S REACH RD")</f>
        <v>293 HAIG'S REACH RD</v>
      </c>
      <c r="C11752" s="3" t="str">
        <f>IFERROR(__xludf.DUMMYFUNCTION("""COMPUTED_VALUE"""),"CAMPBELLFORD")</f>
        <v>CAMPBELLFORD</v>
      </c>
      <c r="D11752" s="3" t="str">
        <f>IFERROR(__xludf.DUMMYFUNCTION("""COMPUTED_VALUE"""),"K0L 1L0")</f>
        <v>K0L 1L0</v>
      </c>
      <c r="E11752" s="3"/>
      <c r="F11752" s="3"/>
      <c r="G11752" s="3"/>
      <c r="H11752" s="3"/>
    </row>
    <row r="11753">
      <c r="A11753" s="2">
        <f>IFERROR(__xludf.DUMMYFUNCTION("""COMPUTED_VALUE"""),71467.0)</f>
        <v>71467</v>
      </c>
      <c r="B11753" s="3" t="str">
        <f>IFERROR(__xludf.DUMMYFUNCTION("""COMPUTED_VALUE"""),"300 HAIG'S REACH RD")</f>
        <v>300 HAIG'S REACH RD</v>
      </c>
      <c r="C11753" s="3" t="str">
        <f>IFERROR(__xludf.DUMMYFUNCTION("""COMPUTED_VALUE"""),"CAMPBELLFORD")</f>
        <v>CAMPBELLFORD</v>
      </c>
      <c r="D11753" s="3" t="str">
        <f>IFERROR(__xludf.DUMMYFUNCTION("""COMPUTED_VALUE"""),"K0L 1L0")</f>
        <v>K0L 1L0</v>
      </c>
      <c r="E11753" s="3"/>
      <c r="F11753" s="3"/>
      <c r="G11753" s="3"/>
      <c r="H11753" s="3"/>
    </row>
    <row r="11754">
      <c r="A11754" s="2">
        <f>IFERROR(__xludf.DUMMYFUNCTION("""COMPUTED_VALUE"""),71468.0)</f>
        <v>71468</v>
      </c>
      <c r="B11754" s="3" t="str">
        <f>IFERROR(__xludf.DUMMYFUNCTION("""COMPUTED_VALUE"""),"304 HAIG'S REACH RD")</f>
        <v>304 HAIG'S REACH RD</v>
      </c>
      <c r="C11754" s="3" t="str">
        <f>IFERROR(__xludf.DUMMYFUNCTION("""COMPUTED_VALUE"""),"CAMPBELLFORD")</f>
        <v>CAMPBELLFORD</v>
      </c>
      <c r="D11754" s="3" t="str">
        <f>IFERROR(__xludf.DUMMYFUNCTION("""COMPUTED_VALUE"""),"K0L 1L0")</f>
        <v>K0L 1L0</v>
      </c>
      <c r="E11754" s="3"/>
      <c r="F11754" s="3"/>
      <c r="G11754" s="3"/>
      <c r="H11754" s="3"/>
    </row>
    <row r="11755">
      <c r="A11755" s="2">
        <f>IFERROR(__xludf.DUMMYFUNCTION("""COMPUTED_VALUE"""),71469.0)</f>
        <v>71469</v>
      </c>
      <c r="B11755" s="3" t="str">
        <f>IFERROR(__xludf.DUMMYFUNCTION("""COMPUTED_VALUE"""),"309 HAIG'S REACH RD")</f>
        <v>309 HAIG'S REACH RD</v>
      </c>
      <c r="C11755" s="3" t="str">
        <f>IFERROR(__xludf.DUMMYFUNCTION("""COMPUTED_VALUE"""),"CAMPBELLFORD")</f>
        <v>CAMPBELLFORD</v>
      </c>
      <c r="D11755" s="3" t="str">
        <f>IFERROR(__xludf.DUMMYFUNCTION("""COMPUTED_VALUE"""),"K0L 1L0")</f>
        <v>K0L 1L0</v>
      </c>
      <c r="E11755" s="3"/>
      <c r="F11755" s="3"/>
      <c r="G11755" s="3"/>
      <c r="H11755" s="3"/>
    </row>
    <row r="11756">
      <c r="A11756" s="2">
        <f>IFERROR(__xludf.DUMMYFUNCTION("""COMPUTED_VALUE"""),71470.0)</f>
        <v>71470</v>
      </c>
      <c r="B11756" s="3" t="str">
        <f>IFERROR(__xludf.DUMMYFUNCTION("""COMPUTED_VALUE"""),"312 HAIG'S REACH RD")</f>
        <v>312 HAIG'S REACH RD</v>
      </c>
      <c r="C11756" s="3" t="str">
        <f>IFERROR(__xludf.DUMMYFUNCTION("""COMPUTED_VALUE"""),"CAMPBELLFORD")</f>
        <v>CAMPBELLFORD</v>
      </c>
      <c r="D11756" s="3" t="str">
        <f>IFERROR(__xludf.DUMMYFUNCTION("""COMPUTED_VALUE"""),"K0L 1L0")</f>
        <v>K0L 1L0</v>
      </c>
      <c r="E11756" s="3"/>
      <c r="F11756" s="3"/>
      <c r="G11756" s="3"/>
      <c r="H11756" s="3"/>
    </row>
    <row r="11757">
      <c r="A11757" s="2">
        <f>IFERROR(__xludf.DUMMYFUNCTION("""COMPUTED_VALUE"""),71471.0)</f>
        <v>71471</v>
      </c>
      <c r="B11757" s="3" t="str">
        <f>IFERROR(__xludf.DUMMYFUNCTION("""COMPUTED_VALUE"""),"315 HAIG'S REACH RD")</f>
        <v>315 HAIG'S REACH RD</v>
      </c>
      <c r="C11757" s="3" t="str">
        <f>IFERROR(__xludf.DUMMYFUNCTION("""COMPUTED_VALUE"""),"CAMPBELLFORD")</f>
        <v>CAMPBELLFORD</v>
      </c>
      <c r="D11757" s="3" t="str">
        <f>IFERROR(__xludf.DUMMYFUNCTION("""COMPUTED_VALUE"""),"K0L 1L0")</f>
        <v>K0L 1L0</v>
      </c>
      <c r="E11757" s="3"/>
      <c r="F11757" s="3"/>
      <c r="G11757" s="3"/>
      <c r="H11757" s="3"/>
    </row>
    <row r="11758">
      <c r="A11758" s="2">
        <f>IFERROR(__xludf.DUMMYFUNCTION("""COMPUTED_VALUE"""),71472.0)</f>
        <v>71472</v>
      </c>
      <c r="B11758" s="3" t="str">
        <f>IFERROR(__xludf.DUMMYFUNCTION("""COMPUTED_VALUE"""),"318 HAIG'S REACH RD")</f>
        <v>318 HAIG'S REACH RD</v>
      </c>
      <c r="C11758" s="3" t="str">
        <f>IFERROR(__xludf.DUMMYFUNCTION("""COMPUTED_VALUE"""),"CAMPBELLFORD")</f>
        <v>CAMPBELLFORD</v>
      </c>
      <c r="D11758" s="3" t="str">
        <f>IFERROR(__xludf.DUMMYFUNCTION("""COMPUTED_VALUE"""),"K0L 1L0")</f>
        <v>K0L 1L0</v>
      </c>
      <c r="E11758" s="3"/>
      <c r="F11758" s="3"/>
      <c r="G11758" s="3"/>
      <c r="H11758" s="3"/>
    </row>
    <row r="11759">
      <c r="A11759" s="2">
        <f>IFERROR(__xludf.DUMMYFUNCTION("""COMPUTED_VALUE"""),71473.0)</f>
        <v>71473</v>
      </c>
      <c r="B11759" s="3" t="str">
        <f>IFERROR(__xludf.DUMMYFUNCTION("""COMPUTED_VALUE"""),"321 HAIGS REACH RD")</f>
        <v>321 HAIGS REACH RD</v>
      </c>
      <c r="C11759" s="3" t="str">
        <f>IFERROR(__xludf.DUMMYFUNCTION("""COMPUTED_VALUE"""),"CAMPBELLFORD")</f>
        <v>CAMPBELLFORD</v>
      </c>
      <c r="D11759" s="3" t="str">
        <f>IFERROR(__xludf.DUMMYFUNCTION("""COMPUTED_VALUE"""),"K0L 1L0")</f>
        <v>K0L 1L0</v>
      </c>
      <c r="E11759" s="3"/>
      <c r="F11759" s="3"/>
      <c r="G11759" s="3"/>
      <c r="H11759" s="3"/>
    </row>
    <row r="11760">
      <c r="A11760" s="2">
        <f>IFERROR(__xludf.DUMMYFUNCTION("""COMPUTED_VALUE"""),71474.0)</f>
        <v>71474</v>
      </c>
      <c r="B11760" s="3" t="str">
        <f>IFERROR(__xludf.DUMMYFUNCTION("""COMPUTED_VALUE"""),"326 HAIG'S REACH RD")</f>
        <v>326 HAIG'S REACH RD</v>
      </c>
      <c r="C11760" s="3" t="str">
        <f>IFERROR(__xludf.DUMMYFUNCTION("""COMPUTED_VALUE"""),"CAMPBELLFORD")</f>
        <v>CAMPBELLFORD</v>
      </c>
      <c r="D11760" s="3" t="str">
        <f>IFERROR(__xludf.DUMMYFUNCTION("""COMPUTED_VALUE"""),"K0L 1L0")</f>
        <v>K0L 1L0</v>
      </c>
      <c r="E11760" s="3"/>
      <c r="F11760" s="3"/>
      <c r="G11760" s="3"/>
      <c r="H11760" s="3"/>
    </row>
    <row r="11761">
      <c r="A11761" s="2">
        <f>IFERROR(__xludf.DUMMYFUNCTION("""COMPUTED_VALUE"""),71475.0)</f>
        <v>71475</v>
      </c>
      <c r="B11761" s="3" t="str">
        <f>IFERROR(__xludf.DUMMYFUNCTION("""COMPUTED_VALUE"""),"331 HAIG'S REACH RD")</f>
        <v>331 HAIG'S REACH RD</v>
      </c>
      <c r="C11761" s="3" t="str">
        <f>IFERROR(__xludf.DUMMYFUNCTION("""COMPUTED_VALUE"""),"CAMPBELLFORD")</f>
        <v>CAMPBELLFORD</v>
      </c>
      <c r="D11761" s="3" t="str">
        <f>IFERROR(__xludf.DUMMYFUNCTION("""COMPUTED_VALUE"""),"K0L 1L0")</f>
        <v>K0L 1L0</v>
      </c>
      <c r="E11761" s="3"/>
      <c r="F11761" s="3"/>
      <c r="G11761" s="3"/>
      <c r="H11761" s="3"/>
    </row>
    <row r="11762">
      <c r="A11762" s="2">
        <f>IFERROR(__xludf.DUMMYFUNCTION("""COMPUTED_VALUE"""),71476.0)</f>
        <v>71476</v>
      </c>
      <c r="B11762" s="3" t="str">
        <f>IFERROR(__xludf.DUMMYFUNCTION("""COMPUTED_VALUE"""),"332 HAIG'S REACH RD")</f>
        <v>332 HAIG'S REACH RD</v>
      </c>
      <c r="C11762" s="3" t="str">
        <f>IFERROR(__xludf.DUMMYFUNCTION("""COMPUTED_VALUE"""),"CAMPBELLFORD")</f>
        <v>CAMPBELLFORD</v>
      </c>
      <c r="D11762" s="3" t="str">
        <f>IFERROR(__xludf.DUMMYFUNCTION("""COMPUTED_VALUE"""),"K0L 1L0")</f>
        <v>K0L 1L0</v>
      </c>
      <c r="E11762" s="3"/>
      <c r="F11762" s="3"/>
      <c r="G11762" s="3"/>
      <c r="H11762" s="3"/>
    </row>
    <row r="11763">
      <c r="A11763" s="2">
        <f>IFERROR(__xludf.DUMMYFUNCTION("""COMPUTED_VALUE"""),71477.0)</f>
        <v>71477</v>
      </c>
      <c r="B11763" s="3" t="str">
        <f>IFERROR(__xludf.DUMMYFUNCTION("""COMPUTED_VALUE"""),"348 HAIG'S REACH RD")</f>
        <v>348 HAIG'S REACH RD</v>
      </c>
      <c r="C11763" s="3" t="str">
        <f>IFERROR(__xludf.DUMMYFUNCTION("""COMPUTED_VALUE"""),"CAMPBELLFORD")</f>
        <v>CAMPBELLFORD</v>
      </c>
      <c r="D11763" s="3" t="str">
        <f>IFERROR(__xludf.DUMMYFUNCTION("""COMPUTED_VALUE"""),"K0L 1L0")</f>
        <v>K0L 1L0</v>
      </c>
      <c r="E11763" s="3"/>
      <c r="F11763" s="3"/>
      <c r="G11763" s="3"/>
      <c r="H11763" s="3"/>
    </row>
    <row r="11764">
      <c r="A11764" s="2">
        <f>IFERROR(__xludf.DUMMYFUNCTION("""COMPUTED_VALUE"""),71478.0)</f>
        <v>71478</v>
      </c>
      <c r="B11764" s="3" t="str">
        <f>IFERROR(__xludf.DUMMYFUNCTION("""COMPUTED_VALUE"""),"354 HAIG'S REACH RD")</f>
        <v>354 HAIG'S REACH RD</v>
      </c>
      <c r="C11764" s="3" t="str">
        <f>IFERROR(__xludf.DUMMYFUNCTION("""COMPUTED_VALUE"""),"CAMPBELLFORD")</f>
        <v>CAMPBELLFORD</v>
      </c>
      <c r="D11764" s="3" t="str">
        <f>IFERROR(__xludf.DUMMYFUNCTION("""COMPUTED_VALUE"""),"K0L 1L0")</f>
        <v>K0L 1L0</v>
      </c>
      <c r="E11764" s="3"/>
      <c r="F11764" s="3"/>
      <c r="G11764" s="3"/>
      <c r="H11764" s="3"/>
    </row>
    <row r="11765">
      <c r="A11765" s="2">
        <f>IFERROR(__xludf.DUMMYFUNCTION("""COMPUTED_VALUE"""),71479.0)</f>
        <v>71479</v>
      </c>
      <c r="B11765" s="3" t="str">
        <f>IFERROR(__xludf.DUMMYFUNCTION("""COMPUTED_VALUE"""),"358 HAIG'S REACH RD")</f>
        <v>358 HAIG'S REACH RD</v>
      </c>
      <c r="C11765" s="3" t="str">
        <f>IFERROR(__xludf.DUMMYFUNCTION("""COMPUTED_VALUE"""),"CAMPBELLFORD")</f>
        <v>CAMPBELLFORD</v>
      </c>
      <c r="D11765" s="3" t="str">
        <f>IFERROR(__xludf.DUMMYFUNCTION("""COMPUTED_VALUE"""),"K0L 1L0")</f>
        <v>K0L 1L0</v>
      </c>
      <c r="E11765" s="3"/>
      <c r="F11765" s="3"/>
      <c r="G11765" s="3"/>
      <c r="H11765" s="3"/>
    </row>
    <row r="11766">
      <c r="A11766" s="2">
        <f>IFERROR(__xludf.DUMMYFUNCTION("""COMPUTED_VALUE"""),71480.0)</f>
        <v>71480</v>
      </c>
      <c r="B11766" s="3" t="str">
        <f>IFERROR(__xludf.DUMMYFUNCTION("""COMPUTED_VALUE"""),"368 HAIG'S REACH RD")</f>
        <v>368 HAIG'S REACH RD</v>
      </c>
      <c r="C11766" s="3" t="str">
        <f>IFERROR(__xludf.DUMMYFUNCTION("""COMPUTED_VALUE"""),"CAMPBELLFORD")</f>
        <v>CAMPBELLFORD</v>
      </c>
      <c r="D11766" s="3" t="str">
        <f>IFERROR(__xludf.DUMMYFUNCTION("""COMPUTED_VALUE"""),"K0L 1L0")</f>
        <v>K0L 1L0</v>
      </c>
      <c r="E11766" s="3"/>
      <c r="F11766" s="3"/>
      <c r="G11766" s="3"/>
      <c r="H11766" s="3"/>
    </row>
    <row r="11767">
      <c r="A11767" s="2">
        <f>IFERROR(__xludf.DUMMYFUNCTION("""COMPUTED_VALUE"""),71481.0)</f>
        <v>71481</v>
      </c>
      <c r="B11767" s="3" t="str">
        <f>IFERROR(__xludf.DUMMYFUNCTION("""COMPUTED_VALUE"""),"374 HAIG'S REACH RD")</f>
        <v>374 HAIG'S REACH RD</v>
      </c>
      <c r="C11767" s="3" t="str">
        <f>IFERROR(__xludf.DUMMYFUNCTION("""COMPUTED_VALUE"""),"CAMPBELLFORD")</f>
        <v>CAMPBELLFORD</v>
      </c>
      <c r="D11767" s="3" t="str">
        <f>IFERROR(__xludf.DUMMYFUNCTION("""COMPUTED_VALUE"""),"K0L 1L0")</f>
        <v>K0L 1L0</v>
      </c>
      <c r="E11767" s="3"/>
      <c r="F11767" s="3"/>
      <c r="G11767" s="3"/>
      <c r="H11767" s="3"/>
    </row>
    <row r="11768">
      <c r="A11768" s="2">
        <f>IFERROR(__xludf.DUMMYFUNCTION("""COMPUTED_VALUE"""),71482.0)</f>
        <v>71482</v>
      </c>
      <c r="B11768" s="3" t="str">
        <f>IFERROR(__xludf.DUMMYFUNCTION("""COMPUTED_VALUE"""),"380 HAIG'S REACH RD")</f>
        <v>380 HAIG'S REACH RD</v>
      </c>
      <c r="C11768" s="3" t="str">
        <f>IFERROR(__xludf.DUMMYFUNCTION("""COMPUTED_VALUE"""),"CAMPBELLFORD")</f>
        <v>CAMPBELLFORD</v>
      </c>
      <c r="D11768" s="3" t="str">
        <f>IFERROR(__xludf.DUMMYFUNCTION("""COMPUTED_VALUE"""),"K0L 1L0")</f>
        <v>K0L 1L0</v>
      </c>
      <c r="E11768" s="3"/>
      <c r="F11768" s="3"/>
      <c r="G11768" s="3"/>
      <c r="H11768" s="3"/>
    </row>
    <row r="11769">
      <c r="A11769" s="2">
        <f>IFERROR(__xludf.DUMMYFUNCTION("""COMPUTED_VALUE"""),71483.0)</f>
        <v>71483</v>
      </c>
      <c r="B11769" s="3" t="str">
        <f>IFERROR(__xludf.DUMMYFUNCTION("""COMPUTED_VALUE"""),"390 HAIG'S REACH RD")</f>
        <v>390 HAIG'S REACH RD</v>
      </c>
      <c r="C11769" s="3" t="str">
        <f>IFERROR(__xludf.DUMMYFUNCTION("""COMPUTED_VALUE"""),"CAMPBELLFORD")</f>
        <v>CAMPBELLFORD</v>
      </c>
      <c r="D11769" s="3" t="str">
        <f>IFERROR(__xludf.DUMMYFUNCTION("""COMPUTED_VALUE"""),"K0L 1L0")</f>
        <v>K0L 1L0</v>
      </c>
      <c r="E11769" s="3"/>
      <c r="F11769" s="3"/>
      <c r="G11769" s="3"/>
      <c r="H11769" s="3"/>
    </row>
    <row r="11770">
      <c r="A11770" s="2">
        <f>IFERROR(__xludf.DUMMYFUNCTION("""COMPUTED_VALUE"""),71484.0)</f>
        <v>71484</v>
      </c>
      <c r="B11770" s="3" t="str">
        <f>IFERROR(__xludf.DUMMYFUNCTION("""COMPUTED_VALUE"""),"398 HAIG'S REACH RD")</f>
        <v>398 HAIG'S REACH RD</v>
      </c>
      <c r="C11770" s="3" t="str">
        <f>IFERROR(__xludf.DUMMYFUNCTION("""COMPUTED_VALUE"""),"CAMPBELLFORD")</f>
        <v>CAMPBELLFORD</v>
      </c>
      <c r="D11770" s="3" t="str">
        <f>IFERROR(__xludf.DUMMYFUNCTION("""COMPUTED_VALUE"""),"K0L 1L0")</f>
        <v>K0L 1L0</v>
      </c>
      <c r="E11770" s="3"/>
      <c r="F11770" s="3"/>
      <c r="G11770" s="3"/>
      <c r="H11770" s="3"/>
    </row>
    <row r="11771">
      <c r="A11771" s="2">
        <f>IFERROR(__xludf.DUMMYFUNCTION("""COMPUTED_VALUE"""),71485.0)</f>
        <v>71485</v>
      </c>
      <c r="B11771" s="3" t="str">
        <f>IFERROR(__xludf.DUMMYFUNCTION("""COMPUTED_VALUE"""),"412 HAIG'S REACH RD")</f>
        <v>412 HAIG'S REACH RD</v>
      </c>
      <c r="C11771" s="3" t="str">
        <f>IFERROR(__xludf.DUMMYFUNCTION("""COMPUTED_VALUE"""),"CAMPBELLFORD")</f>
        <v>CAMPBELLFORD</v>
      </c>
      <c r="D11771" s="3" t="str">
        <f>IFERROR(__xludf.DUMMYFUNCTION("""COMPUTED_VALUE"""),"K0L 1L0")</f>
        <v>K0L 1L0</v>
      </c>
      <c r="E11771" s="3"/>
      <c r="F11771" s="3"/>
      <c r="G11771" s="3"/>
      <c r="H11771" s="3"/>
    </row>
    <row r="11772">
      <c r="A11772" s="2">
        <f>IFERROR(__xludf.DUMMYFUNCTION("""COMPUTED_VALUE"""),71486.0)</f>
        <v>71486</v>
      </c>
      <c r="B11772" s="3" t="str">
        <f>IFERROR(__xludf.DUMMYFUNCTION("""COMPUTED_VALUE"""),"456 HAIG'S REACH RD")</f>
        <v>456 HAIG'S REACH RD</v>
      </c>
      <c r="C11772" s="3" t="str">
        <f>IFERROR(__xludf.DUMMYFUNCTION("""COMPUTED_VALUE"""),"CAMPBELLFORD")</f>
        <v>CAMPBELLFORD</v>
      </c>
      <c r="D11772" s="3" t="str">
        <f>IFERROR(__xludf.DUMMYFUNCTION("""COMPUTED_VALUE"""),"K0L 1L0")</f>
        <v>K0L 1L0</v>
      </c>
      <c r="E11772" s="3"/>
      <c r="F11772" s="3"/>
      <c r="G11772" s="3"/>
      <c r="H11772" s="3"/>
    </row>
    <row r="11773">
      <c r="A11773" s="2">
        <f>IFERROR(__xludf.DUMMYFUNCTION("""COMPUTED_VALUE"""),71487.0)</f>
        <v>71487</v>
      </c>
      <c r="B11773" s="3" t="str">
        <f>IFERROR(__xludf.DUMMYFUNCTION("""COMPUTED_VALUE"""),"464 HAIG'S REACH RD")</f>
        <v>464 HAIG'S REACH RD</v>
      </c>
      <c r="C11773" s="3" t="str">
        <f>IFERROR(__xludf.DUMMYFUNCTION("""COMPUTED_VALUE"""),"CAMPBELLFORD")</f>
        <v>CAMPBELLFORD</v>
      </c>
      <c r="D11773" s="3" t="str">
        <f>IFERROR(__xludf.DUMMYFUNCTION("""COMPUTED_VALUE"""),"K0L 1L0")</f>
        <v>K0L 1L0</v>
      </c>
      <c r="E11773" s="3"/>
      <c r="F11773" s="3"/>
      <c r="G11773" s="3"/>
      <c r="H11773" s="3"/>
    </row>
    <row r="11774">
      <c r="A11774" s="2">
        <f>IFERROR(__xludf.DUMMYFUNCTION("""COMPUTED_VALUE"""),71488.0)</f>
        <v>71488</v>
      </c>
      <c r="B11774" s="3" t="str">
        <f>IFERROR(__xludf.DUMMYFUNCTION("""COMPUTED_VALUE"""),"470 HAIG'S REACH RD")</f>
        <v>470 HAIG'S REACH RD</v>
      </c>
      <c r="C11774" s="3" t="str">
        <f>IFERROR(__xludf.DUMMYFUNCTION("""COMPUTED_VALUE"""),"CAMPBELLFORD")</f>
        <v>CAMPBELLFORD</v>
      </c>
      <c r="D11774" s="3" t="str">
        <f>IFERROR(__xludf.DUMMYFUNCTION("""COMPUTED_VALUE"""),"K0L 1L0")</f>
        <v>K0L 1L0</v>
      </c>
      <c r="E11774" s="3"/>
      <c r="F11774" s="3"/>
      <c r="G11774" s="3"/>
      <c r="H11774" s="3"/>
    </row>
    <row r="11775">
      <c r="A11775" s="2">
        <f>IFERROR(__xludf.DUMMYFUNCTION("""COMPUTED_VALUE"""),71489.0)</f>
        <v>71489</v>
      </c>
      <c r="B11775" s="3" t="str">
        <f>IFERROR(__xludf.DUMMYFUNCTION("""COMPUTED_VALUE"""),"475 HAIG'S REACH RD")</f>
        <v>475 HAIG'S REACH RD</v>
      </c>
      <c r="C11775" s="3" t="str">
        <f>IFERROR(__xludf.DUMMYFUNCTION("""COMPUTED_VALUE"""),"CAMPBELLFORD")</f>
        <v>CAMPBELLFORD</v>
      </c>
      <c r="D11775" s="3" t="str">
        <f>IFERROR(__xludf.DUMMYFUNCTION("""COMPUTED_VALUE"""),"K0L 1L0")</f>
        <v>K0L 1L0</v>
      </c>
      <c r="E11775" s="3"/>
      <c r="F11775" s="3"/>
      <c r="G11775" s="3"/>
      <c r="H11775" s="3"/>
    </row>
    <row r="11776">
      <c r="A11776" s="2">
        <f>IFERROR(__xludf.DUMMYFUNCTION("""COMPUTED_VALUE"""),71490.0)</f>
        <v>71490</v>
      </c>
      <c r="B11776" s="3" t="str">
        <f>IFERROR(__xludf.DUMMYFUNCTION("""COMPUTED_VALUE"""),"475 HAIG'S REACH RD")</f>
        <v>475 HAIG'S REACH RD</v>
      </c>
      <c r="C11776" s="3" t="str">
        <f>IFERROR(__xludf.DUMMYFUNCTION("""COMPUTED_VALUE"""),"CAMPBELLFORD")</f>
        <v>CAMPBELLFORD</v>
      </c>
      <c r="D11776" s="3" t="str">
        <f>IFERROR(__xludf.DUMMYFUNCTION("""COMPUTED_VALUE"""),"K0L 1L0")</f>
        <v>K0L 1L0</v>
      </c>
      <c r="E11776" s="3"/>
      <c r="F11776" s="3"/>
      <c r="G11776" s="3"/>
      <c r="H11776" s="3"/>
    </row>
    <row r="11777">
      <c r="A11777" s="2">
        <f>IFERROR(__xludf.DUMMYFUNCTION("""COMPUTED_VALUE"""),71491.0)</f>
        <v>71491</v>
      </c>
      <c r="B11777" s="3" t="str">
        <f>IFERROR(__xludf.DUMMYFUNCTION("""COMPUTED_VALUE"""),"476 HAIG'S REACH RD")</f>
        <v>476 HAIG'S REACH RD</v>
      </c>
      <c r="C11777" s="3" t="str">
        <f>IFERROR(__xludf.DUMMYFUNCTION("""COMPUTED_VALUE"""),"CAMPBELLFORD")</f>
        <v>CAMPBELLFORD</v>
      </c>
      <c r="D11777" s="3" t="str">
        <f>IFERROR(__xludf.DUMMYFUNCTION("""COMPUTED_VALUE"""),"K0L 1L0")</f>
        <v>K0L 1L0</v>
      </c>
      <c r="E11777" s="3"/>
      <c r="F11777" s="3"/>
      <c r="G11777" s="3"/>
      <c r="H11777" s="3"/>
    </row>
    <row r="11778">
      <c r="A11778" s="2">
        <f>IFERROR(__xludf.DUMMYFUNCTION("""COMPUTED_VALUE"""),71492.0)</f>
        <v>71492</v>
      </c>
      <c r="B11778" s="3" t="str">
        <f>IFERROR(__xludf.DUMMYFUNCTION("""COMPUTED_VALUE"""),"482 HAIG'S REACH RD")</f>
        <v>482 HAIG'S REACH RD</v>
      </c>
      <c r="C11778" s="3" t="str">
        <f>IFERROR(__xludf.DUMMYFUNCTION("""COMPUTED_VALUE"""),"CAMPBELLFORD")</f>
        <v>CAMPBELLFORD</v>
      </c>
      <c r="D11778" s="3" t="str">
        <f>IFERROR(__xludf.DUMMYFUNCTION("""COMPUTED_VALUE"""),"K0L 1L0")</f>
        <v>K0L 1L0</v>
      </c>
      <c r="E11778" s="3"/>
      <c r="F11778" s="3"/>
      <c r="G11778" s="3"/>
      <c r="H11778" s="3"/>
    </row>
    <row r="11779">
      <c r="A11779" s="2">
        <f>IFERROR(__xludf.DUMMYFUNCTION("""COMPUTED_VALUE"""),71493.0)</f>
        <v>71493</v>
      </c>
      <c r="B11779" s="3" t="str">
        <f>IFERROR(__xludf.DUMMYFUNCTION("""COMPUTED_VALUE"""),"490 HAIG'S REACH RD")</f>
        <v>490 HAIG'S REACH RD</v>
      </c>
      <c r="C11779" s="3" t="str">
        <f>IFERROR(__xludf.DUMMYFUNCTION("""COMPUTED_VALUE"""),"CAMPBELLFORD")</f>
        <v>CAMPBELLFORD</v>
      </c>
      <c r="D11779" s="3" t="str">
        <f>IFERROR(__xludf.DUMMYFUNCTION("""COMPUTED_VALUE"""),"K0L 1L0")</f>
        <v>K0L 1L0</v>
      </c>
      <c r="E11779" s="3"/>
      <c r="F11779" s="3"/>
      <c r="G11779" s="3"/>
      <c r="H11779" s="3"/>
    </row>
    <row r="11780">
      <c r="A11780" s="2">
        <f>IFERROR(__xludf.DUMMYFUNCTION("""COMPUTED_VALUE"""),71494.0)</f>
        <v>71494</v>
      </c>
      <c r="B11780" s="3" t="str">
        <f>IFERROR(__xludf.DUMMYFUNCTION("""COMPUTED_VALUE"""),"498 HAIG'S REACH RD")</f>
        <v>498 HAIG'S REACH RD</v>
      </c>
      <c r="C11780" s="3" t="str">
        <f>IFERROR(__xludf.DUMMYFUNCTION("""COMPUTED_VALUE"""),"CAMPBELLFORD")</f>
        <v>CAMPBELLFORD</v>
      </c>
      <c r="D11780" s="3" t="str">
        <f>IFERROR(__xludf.DUMMYFUNCTION("""COMPUTED_VALUE"""),"K0L 1L0")</f>
        <v>K0L 1L0</v>
      </c>
      <c r="E11780" s="3"/>
      <c r="F11780" s="3"/>
      <c r="G11780" s="3"/>
      <c r="H11780" s="3"/>
    </row>
    <row r="11781">
      <c r="A11781" s="2">
        <f>IFERROR(__xludf.DUMMYFUNCTION("""COMPUTED_VALUE"""),71495.0)</f>
        <v>71495</v>
      </c>
      <c r="B11781" s="3" t="str">
        <f>IFERROR(__xludf.DUMMYFUNCTION("""COMPUTED_VALUE"""),"551 HAIGS REACH RD")</f>
        <v>551 HAIGS REACH RD</v>
      </c>
      <c r="C11781" s="3" t="str">
        <f>IFERROR(__xludf.DUMMYFUNCTION("""COMPUTED_VALUE"""),"CAMPBELLFORD")</f>
        <v>CAMPBELLFORD</v>
      </c>
      <c r="D11781" s="3" t="str">
        <f>IFERROR(__xludf.DUMMYFUNCTION("""COMPUTED_VALUE"""),"K0L 1L0")</f>
        <v>K0L 1L0</v>
      </c>
      <c r="E11781" s="3"/>
      <c r="F11781" s="3"/>
      <c r="G11781" s="3"/>
      <c r="H11781" s="3"/>
    </row>
    <row r="11782">
      <c r="A11782" s="2">
        <f>IFERROR(__xludf.DUMMYFUNCTION("""COMPUTED_VALUE"""),71496.0)</f>
        <v>71496</v>
      </c>
      <c r="B11782" s="3" t="str">
        <f>IFERROR(__xludf.DUMMYFUNCTION("""COMPUTED_VALUE"""),"553 HAIG'S REACH RD")</f>
        <v>553 HAIG'S REACH RD</v>
      </c>
      <c r="C11782" s="3" t="str">
        <f>IFERROR(__xludf.DUMMYFUNCTION("""COMPUTED_VALUE"""),"CAMPBELLFORD")</f>
        <v>CAMPBELLFORD</v>
      </c>
      <c r="D11782" s="3" t="str">
        <f>IFERROR(__xludf.DUMMYFUNCTION("""COMPUTED_VALUE"""),"K0L 1L0")</f>
        <v>K0L 1L0</v>
      </c>
      <c r="E11782" s="3"/>
      <c r="F11782" s="3"/>
      <c r="G11782" s="3"/>
      <c r="H11782" s="3"/>
    </row>
    <row r="11783">
      <c r="A11783" s="2">
        <f>IFERROR(__xludf.DUMMYFUNCTION("""COMPUTED_VALUE"""),72554.0)</f>
        <v>72554</v>
      </c>
      <c r="B11783" s="3" t="str">
        <f>IFERROR(__xludf.DUMMYFUNCTION("""COMPUTED_VALUE"""),"555 HAIG'S REACH RD")</f>
        <v>555 HAIG'S REACH RD</v>
      </c>
      <c r="C11783" s="3" t="str">
        <f>IFERROR(__xludf.DUMMYFUNCTION("""COMPUTED_VALUE"""),"CAMPBELLFORD")</f>
        <v>CAMPBELLFORD</v>
      </c>
      <c r="D11783" s="3" t="str">
        <f>IFERROR(__xludf.DUMMYFUNCTION("""COMPUTED_VALUE"""),"K0L 1L0")</f>
        <v>K0L 1L0</v>
      </c>
      <c r="E11783" s="3"/>
      <c r="F11783" s="3"/>
      <c r="G11783" s="3"/>
      <c r="H11783" s="3"/>
    </row>
    <row r="11784">
      <c r="A11784" s="2">
        <f>IFERROR(__xludf.DUMMYFUNCTION("""COMPUTED_VALUE"""),71503.0)</f>
        <v>71503</v>
      </c>
      <c r="B11784" s="3" t="str">
        <f>IFERROR(__xludf.DUMMYFUNCTION("""COMPUTED_VALUE"""),"214 HEMLOCK LANE")</f>
        <v>214 HEMLOCK LANE</v>
      </c>
      <c r="C11784" s="3" t="str">
        <f>IFERROR(__xludf.DUMMYFUNCTION("""COMPUTED_VALUE"""),"HAVELOCK")</f>
        <v>HAVELOCK</v>
      </c>
      <c r="D11784" s="3" t="str">
        <f>IFERROR(__xludf.DUMMYFUNCTION("""COMPUTED_VALUE"""),"K0L 1Z0")</f>
        <v>K0L 1Z0</v>
      </c>
      <c r="E11784" s="3"/>
      <c r="F11784" s="3"/>
      <c r="G11784" s="3"/>
      <c r="H11784" s="3"/>
    </row>
    <row r="11785">
      <c r="A11785" s="2">
        <f>IFERROR(__xludf.DUMMYFUNCTION("""COMPUTED_VALUE"""),72551.0)</f>
        <v>72551</v>
      </c>
      <c r="B11785" s="3" t="str">
        <f>IFERROR(__xludf.DUMMYFUNCTION("""COMPUTED_VALUE"""),"215 HEMLOCK LANE")</f>
        <v>215 HEMLOCK LANE</v>
      </c>
      <c r="C11785" s="3" t="str">
        <f>IFERROR(__xludf.DUMMYFUNCTION("""COMPUTED_VALUE"""),"HAVELOCK")</f>
        <v>HAVELOCK</v>
      </c>
      <c r="D11785" s="3" t="str">
        <f>IFERROR(__xludf.DUMMYFUNCTION("""COMPUTED_VALUE"""),"K0L 1Z0")</f>
        <v>K0L 1Z0</v>
      </c>
      <c r="E11785" s="3"/>
      <c r="F11785" s="3"/>
      <c r="G11785" s="3"/>
      <c r="H11785" s="3"/>
    </row>
    <row r="11786">
      <c r="A11786" s="2">
        <f>IFERROR(__xludf.DUMMYFUNCTION("""COMPUTED_VALUE"""),71504.0)</f>
        <v>71504</v>
      </c>
      <c r="B11786" s="3" t="str">
        <f>IFERROR(__xludf.DUMMYFUNCTION("""COMPUTED_VALUE"""),"214A HEMLOCK LANE")</f>
        <v>214A HEMLOCK LANE</v>
      </c>
      <c r="C11786" s="3" t="str">
        <f>IFERROR(__xludf.DUMMYFUNCTION("""COMPUTED_VALUE"""),"HAVELOCK")</f>
        <v>HAVELOCK</v>
      </c>
      <c r="D11786" s="3" t="str">
        <f>IFERROR(__xludf.DUMMYFUNCTION("""COMPUTED_VALUE"""),"K0L 1Z0")</f>
        <v>K0L 1Z0</v>
      </c>
      <c r="E11786" s="3"/>
      <c r="F11786" s="3"/>
      <c r="G11786" s="3"/>
      <c r="H11786" s="3"/>
    </row>
    <row r="11787">
      <c r="A11787" s="2">
        <f>IFERROR(__xludf.DUMMYFUNCTION("""COMPUTED_VALUE"""),71505.0)</f>
        <v>71505</v>
      </c>
      <c r="B11787" s="3" t="str">
        <f>IFERROR(__xludf.DUMMYFUNCTION("""COMPUTED_VALUE"""),"214B HEMLOCK LANE")</f>
        <v>214B HEMLOCK LANE</v>
      </c>
      <c r="C11787" s="3" t="str">
        <f>IFERROR(__xludf.DUMMYFUNCTION("""COMPUTED_VALUE"""),"HAVELOCK")</f>
        <v>HAVELOCK</v>
      </c>
      <c r="D11787" s="3" t="str">
        <f>IFERROR(__xludf.DUMMYFUNCTION("""COMPUTED_VALUE"""),"K0L 1Z0")</f>
        <v>K0L 1Z0</v>
      </c>
      <c r="E11787" s="3"/>
      <c r="F11787" s="3"/>
      <c r="G11787" s="3"/>
      <c r="H11787" s="3"/>
    </row>
    <row r="11788">
      <c r="A11788" s="2">
        <f>IFERROR(__xludf.DUMMYFUNCTION("""COMPUTED_VALUE"""),71506.0)</f>
        <v>71506</v>
      </c>
      <c r="B11788" s="3" t="str">
        <f>IFERROR(__xludf.DUMMYFUNCTION("""COMPUTED_VALUE"""),"214C HEMLOCK LANE")</f>
        <v>214C HEMLOCK LANE</v>
      </c>
      <c r="C11788" s="3" t="str">
        <f>IFERROR(__xludf.DUMMYFUNCTION("""COMPUTED_VALUE"""),"HAVELOCK")</f>
        <v>HAVELOCK</v>
      </c>
      <c r="D11788" s="3" t="str">
        <f>IFERROR(__xludf.DUMMYFUNCTION("""COMPUTED_VALUE"""),"K0L 1Z0")</f>
        <v>K0L 1Z0</v>
      </c>
      <c r="E11788" s="3"/>
      <c r="F11788" s="3"/>
      <c r="G11788" s="3"/>
      <c r="H11788" s="3"/>
    </row>
    <row r="11789">
      <c r="A11789" s="2">
        <f>IFERROR(__xludf.DUMMYFUNCTION("""COMPUTED_VALUE"""),71507.0)</f>
        <v>71507</v>
      </c>
      <c r="B11789" s="3" t="str">
        <f>IFERROR(__xludf.DUMMYFUNCTION("""COMPUTED_VALUE"""),"214D HEMLOCK LANE")</f>
        <v>214D HEMLOCK LANE</v>
      </c>
      <c r="C11789" s="3" t="str">
        <f>IFERROR(__xludf.DUMMYFUNCTION("""COMPUTED_VALUE"""),"HAVELOCK")</f>
        <v>HAVELOCK</v>
      </c>
      <c r="D11789" s="3" t="str">
        <f>IFERROR(__xludf.DUMMYFUNCTION("""COMPUTED_VALUE"""),"K0L 1Z0")</f>
        <v>K0L 1Z0</v>
      </c>
      <c r="E11789" s="3"/>
      <c r="F11789" s="3"/>
      <c r="G11789" s="3"/>
      <c r="H11789" s="3"/>
    </row>
    <row r="11790">
      <c r="A11790" s="2">
        <f>IFERROR(__xludf.DUMMYFUNCTION("""COMPUTED_VALUE"""),71508.0)</f>
        <v>71508</v>
      </c>
      <c r="B11790" s="3" t="str">
        <f>IFERROR(__xludf.DUMMYFUNCTION("""COMPUTED_VALUE"""),"214E HEMLOCK LANE")</f>
        <v>214E HEMLOCK LANE</v>
      </c>
      <c r="C11790" s="3" t="str">
        <f>IFERROR(__xludf.DUMMYFUNCTION("""COMPUTED_VALUE"""),"HAVELOCK")</f>
        <v>HAVELOCK</v>
      </c>
      <c r="D11790" s="3" t="str">
        <f>IFERROR(__xludf.DUMMYFUNCTION("""COMPUTED_VALUE"""),"K0L 1Z0")</f>
        <v>K0L 1Z0</v>
      </c>
      <c r="E11790" s="3"/>
      <c r="F11790" s="3"/>
      <c r="G11790" s="3"/>
      <c r="H11790" s="3"/>
    </row>
    <row r="11791">
      <c r="A11791" s="2">
        <f>IFERROR(__xludf.DUMMYFUNCTION("""COMPUTED_VALUE"""),71509.0)</f>
        <v>71509</v>
      </c>
      <c r="B11791" s="3" t="str">
        <f>IFERROR(__xludf.DUMMYFUNCTION("""COMPUTED_VALUE"""),"214F HEMLOCK LANE")</f>
        <v>214F HEMLOCK LANE</v>
      </c>
      <c r="C11791" s="3" t="str">
        <f>IFERROR(__xludf.DUMMYFUNCTION("""COMPUTED_VALUE"""),"HAVELOCK")</f>
        <v>HAVELOCK</v>
      </c>
      <c r="D11791" s="3" t="str">
        <f>IFERROR(__xludf.DUMMYFUNCTION("""COMPUTED_VALUE"""),"K0L 1Z0")</f>
        <v>K0L 1Z0</v>
      </c>
      <c r="E11791" s="3"/>
      <c r="F11791" s="3"/>
      <c r="G11791" s="3"/>
      <c r="H11791" s="3"/>
    </row>
    <row r="11792">
      <c r="A11792" s="2">
        <f>IFERROR(__xludf.DUMMYFUNCTION("""COMPUTED_VALUE"""),71510.0)</f>
        <v>71510</v>
      </c>
      <c r="B11792" s="3" t="str">
        <f>IFERROR(__xludf.DUMMYFUNCTION("""COMPUTED_VALUE"""),"214G HEMLOCK LANE")</f>
        <v>214G HEMLOCK LANE</v>
      </c>
      <c r="C11792" s="3" t="str">
        <f>IFERROR(__xludf.DUMMYFUNCTION("""COMPUTED_VALUE"""),"HAVELOCK")</f>
        <v>HAVELOCK</v>
      </c>
      <c r="D11792" s="3" t="str">
        <f>IFERROR(__xludf.DUMMYFUNCTION("""COMPUTED_VALUE"""),"K0L 1Z0")</f>
        <v>K0L 1Z0</v>
      </c>
      <c r="E11792" s="3"/>
      <c r="F11792" s="3"/>
      <c r="G11792" s="3"/>
      <c r="H11792" s="3"/>
    </row>
    <row r="11793">
      <c r="A11793" s="2">
        <f>IFERROR(__xludf.DUMMYFUNCTION("""COMPUTED_VALUE"""),71511.0)</f>
        <v>71511</v>
      </c>
      <c r="B11793" s="3" t="str">
        <f>IFERROR(__xludf.DUMMYFUNCTION("""COMPUTED_VALUE"""),"3 HICKORY BAY RD")</f>
        <v>3 HICKORY BAY RD</v>
      </c>
      <c r="C11793" s="3" t="str">
        <f>IFERROR(__xludf.DUMMYFUNCTION("""COMPUTED_VALUE"""),"CAMPBELLFORD")</f>
        <v>CAMPBELLFORD</v>
      </c>
      <c r="D11793" s="3" t="str">
        <f>IFERROR(__xludf.DUMMYFUNCTION("""COMPUTED_VALUE"""),"K0L 1L0")</f>
        <v>K0L 1L0</v>
      </c>
      <c r="E11793" s="3"/>
      <c r="F11793" s="3"/>
      <c r="G11793" s="3"/>
      <c r="H11793" s="3"/>
    </row>
    <row r="11794">
      <c r="A11794" s="2">
        <f>IFERROR(__xludf.DUMMYFUNCTION("""COMPUTED_VALUE"""),71512.0)</f>
        <v>71512</v>
      </c>
      <c r="B11794" s="3" t="str">
        <f>IFERROR(__xludf.DUMMYFUNCTION("""COMPUTED_VALUE"""),"7 HICKORY BAY RD")</f>
        <v>7 HICKORY BAY RD</v>
      </c>
      <c r="C11794" s="3" t="str">
        <f>IFERROR(__xludf.DUMMYFUNCTION("""COMPUTED_VALUE"""),"CAMPBELLFORD")</f>
        <v>CAMPBELLFORD</v>
      </c>
      <c r="D11794" s="3" t="str">
        <f>IFERROR(__xludf.DUMMYFUNCTION("""COMPUTED_VALUE"""),"K0L 1L0")</f>
        <v>K0L 1L0</v>
      </c>
      <c r="E11794" s="3"/>
      <c r="F11794" s="3"/>
      <c r="G11794" s="3"/>
      <c r="H11794" s="3"/>
    </row>
    <row r="11795">
      <c r="A11795" s="2">
        <f>IFERROR(__xludf.DUMMYFUNCTION("""COMPUTED_VALUE"""),71513.0)</f>
        <v>71513</v>
      </c>
      <c r="B11795" s="3" t="str">
        <f>IFERROR(__xludf.DUMMYFUNCTION("""COMPUTED_VALUE"""),"9 HICKORY BAY RD")</f>
        <v>9 HICKORY BAY RD</v>
      </c>
      <c r="C11795" s="3" t="str">
        <f>IFERROR(__xludf.DUMMYFUNCTION("""COMPUTED_VALUE"""),"CAMPBELLFORD")</f>
        <v>CAMPBELLFORD</v>
      </c>
      <c r="D11795" s="3" t="str">
        <f>IFERROR(__xludf.DUMMYFUNCTION("""COMPUTED_VALUE"""),"K0L 1L0")</f>
        <v>K0L 1L0</v>
      </c>
      <c r="E11795" s="3"/>
      <c r="F11795" s="3"/>
      <c r="G11795" s="3"/>
      <c r="H11795" s="3"/>
    </row>
    <row r="11796">
      <c r="A11796" s="2">
        <f>IFERROR(__xludf.DUMMYFUNCTION("""COMPUTED_VALUE"""),71514.0)</f>
        <v>71514</v>
      </c>
      <c r="B11796" s="3" t="str">
        <f>IFERROR(__xludf.DUMMYFUNCTION("""COMPUTED_VALUE"""),"17 HICKORY BAY RD")</f>
        <v>17 HICKORY BAY RD</v>
      </c>
      <c r="C11796" s="3" t="str">
        <f>IFERROR(__xludf.DUMMYFUNCTION("""COMPUTED_VALUE"""),"CAMPBELLFORD")</f>
        <v>CAMPBELLFORD</v>
      </c>
      <c r="D11796" s="3" t="str">
        <f>IFERROR(__xludf.DUMMYFUNCTION("""COMPUTED_VALUE"""),"K0L 1L0")</f>
        <v>K0L 1L0</v>
      </c>
      <c r="E11796" s="3"/>
      <c r="F11796" s="3"/>
      <c r="G11796" s="3"/>
      <c r="H11796" s="3"/>
    </row>
    <row r="11797">
      <c r="A11797" s="2">
        <f>IFERROR(__xludf.DUMMYFUNCTION("""COMPUTED_VALUE"""),71515.0)</f>
        <v>71515</v>
      </c>
      <c r="B11797" s="3" t="str">
        <f>IFERROR(__xludf.DUMMYFUNCTION("""COMPUTED_VALUE"""),"21 HICKORY BAY RD")</f>
        <v>21 HICKORY BAY RD</v>
      </c>
      <c r="C11797" s="3" t="str">
        <f>IFERROR(__xludf.DUMMYFUNCTION("""COMPUTED_VALUE"""),"CAMPBELLFORD")</f>
        <v>CAMPBELLFORD</v>
      </c>
      <c r="D11797" s="3" t="str">
        <f>IFERROR(__xludf.DUMMYFUNCTION("""COMPUTED_VALUE"""),"K0L 1L0")</f>
        <v>K0L 1L0</v>
      </c>
      <c r="E11797" s="3"/>
      <c r="F11797" s="3"/>
      <c r="G11797" s="3"/>
      <c r="H11797" s="3"/>
    </row>
    <row r="11798">
      <c r="A11798" s="2">
        <f>IFERROR(__xludf.DUMMYFUNCTION("""COMPUTED_VALUE"""),71516.0)</f>
        <v>71516</v>
      </c>
      <c r="B11798" s="3" t="str">
        <f>IFERROR(__xludf.DUMMYFUNCTION("""COMPUTED_VALUE"""),"25 HICKORY BAY RD")</f>
        <v>25 HICKORY BAY RD</v>
      </c>
      <c r="C11798" s="3" t="str">
        <f>IFERROR(__xludf.DUMMYFUNCTION("""COMPUTED_VALUE"""),"CAMPBELLFORD")</f>
        <v>CAMPBELLFORD</v>
      </c>
      <c r="D11798" s="3" t="str">
        <f>IFERROR(__xludf.DUMMYFUNCTION("""COMPUTED_VALUE"""),"K0L 1L0")</f>
        <v>K0L 1L0</v>
      </c>
      <c r="E11798" s="3"/>
      <c r="F11798" s="3"/>
      <c r="G11798" s="3"/>
      <c r="H11798" s="3"/>
    </row>
    <row r="11799">
      <c r="A11799" s="2">
        <f>IFERROR(__xludf.DUMMYFUNCTION("""COMPUTED_VALUE"""),71517.0)</f>
        <v>71517</v>
      </c>
      <c r="B11799" s="3" t="str">
        <f>IFERROR(__xludf.DUMMYFUNCTION("""COMPUTED_VALUE"""),"27 HICKORY BAY RD")</f>
        <v>27 HICKORY BAY RD</v>
      </c>
      <c r="C11799" s="3" t="str">
        <f>IFERROR(__xludf.DUMMYFUNCTION("""COMPUTED_VALUE"""),"CAMPBELLFORD")</f>
        <v>CAMPBELLFORD</v>
      </c>
      <c r="D11799" s="3" t="str">
        <f>IFERROR(__xludf.DUMMYFUNCTION("""COMPUTED_VALUE"""),"K0L 1L0")</f>
        <v>K0L 1L0</v>
      </c>
      <c r="E11799" s="3"/>
      <c r="F11799" s="3"/>
      <c r="G11799" s="3"/>
      <c r="H11799" s="3"/>
    </row>
    <row r="11800">
      <c r="A11800" s="2">
        <f>IFERROR(__xludf.DUMMYFUNCTION("""COMPUTED_VALUE"""),71518.0)</f>
        <v>71518</v>
      </c>
      <c r="B11800" s="3" t="str">
        <f>IFERROR(__xludf.DUMMYFUNCTION("""COMPUTED_VALUE"""),"31 HICKORY BAY RD")</f>
        <v>31 HICKORY BAY RD</v>
      </c>
      <c r="C11800" s="3" t="str">
        <f>IFERROR(__xludf.DUMMYFUNCTION("""COMPUTED_VALUE"""),"CAMPBELLFORD")</f>
        <v>CAMPBELLFORD</v>
      </c>
      <c r="D11800" s="3" t="str">
        <f>IFERROR(__xludf.DUMMYFUNCTION("""COMPUTED_VALUE"""),"K0L 1L0")</f>
        <v>K0L 1L0</v>
      </c>
      <c r="E11800" s="3"/>
      <c r="F11800" s="3"/>
      <c r="G11800" s="3"/>
      <c r="H11800" s="3"/>
    </row>
    <row r="11801">
      <c r="A11801" s="2">
        <f>IFERROR(__xludf.DUMMYFUNCTION("""COMPUTED_VALUE"""),71519.0)</f>
        <v>71519</v>
      </c>
      <c r="B11801" s="3" t="str">
        <f>IFERROR(__xludf.DUMMYFUNCTION("""COMPUTED_VALUE"""),"35 HICKORY BAY RD")</f>
        <v>35 HICKORY BAY RD</v>
      </c>
      <c r="C11801" s="3" t="str">
        <f>IFERROR(__xludf.DUMMYFUNCTION("""COMPUTED_VALUE"""),"CAMPBELLFORD")</f>
        <v>CAMPBELLFORD</v>
      </c>
      <c r="D11801" s="3" t="str">
        <f>IFERROR(__xludf.DUMMYFUNCTION("""COMPUTED_VALUE"""),"K0L 1L0")</f>
        <v>K0L 1L0</v>
      </c>
      <c r="E11801" s="3"/>
      <c r="F11801" s="3"/>
      <c r="G11801" s="3"/>
      <c r="H11801" s="3"/>
    </row>
    <row r="11802">
      <c r="A11802" s="2">
        <f>IFERROR(__xludf.DUMMYFUNCTION("""COMPUTED_VALUE"""),71520.0)</f>
        <v>71520</v>
      </c>
      <c r="B11802" s="3" t="str">
        <f>IFERROR(__xludf.DUMMYFUNCTION("""COMPUTED_VALUE"""),"39 HICKORY BAY RD")</f>
        <v>39 HICKORY BAY RD</v>
      </c>
      <c r="C11802" s="3" t="str">
        <f>IFERROR(__xludf.DUMMYFUNCTION("""COMPUTED_VALUE"""),"CAMPBELLFORD")</f>
        <v>CAMPBELLFORD</v>
      </c>
      <c r="D11802" s="3" t="str">
        <f>IFERROR(__xludf.DUMMYFUNCTION("""COMPUTED_VALUE"""),"K0L 1L0")</f>
        <v>K0L 1L0</v>
      </c>
      <c r="E11802" s="3"/>
      <c r="F11802" s="3"/>
      <c r="G11802" s="3"/>
      <c r="H11802" s="3"/>
    </row>
    <row r="11803">
      <c r="A11803" s="2">
        <f>IFERROR(__xludf.DUMMYFUNCTION("""COMPUTED_VALUE"""),71521.0)</f>
        <v>71521</v>
      </c>
      <c r="B11803" s="3" t="str">
        <f>IFERROR(__xludf.DUMMYFUNCTION("""COMPUTED_VALUE"""),"43 HICKORY BAY RD")</f>
        <v>43 HICKORY BAY RD</v>
      </c>
      <c r="C11803" s="3" t="str">
        <f>IFERROR(__xludf.DUMMYFUNCTION("""COMPUTED_VALUE"""),"CAMPBELLFORD")</f>
        <v>CAMPBELLFORD</v>
      </c>
      <c r="D11803" s="3" t="str">
        <f>IFERROR(__xludf.DUMMYFUNCTION("""COMPUTED_VALUE"""),"K0L 1L0")</f>
        <v>K0L 1L0</v>
      </c>
      <c r="E11803" s="3"/>
      <c r="F11803" s="3"/>
      <c r="G11803" s="3"/>
      <c r="H11803" s="3"/>
    </row>
    <row r="11804">
      <c r="A11804" s="2">
        <f>IFERROR(__xludf.DUMMYFUNCTION("""COMPUTED_VALUE"""),71522.0)</f>
        <v>71522</v>
      </c>
      <c r="B11804" s="3" t="str">
        <f>IFERROR(__xludf.DUMMYFUNCTION("""COMPUTED_VALUE"""),"55 HICKORY BAY RD")</f>
        <v>55 HICKORY BAY RD</v>
      </c>
      <c r="C11804" s="3" t="str">
        <f>IFERROR(__xludf.DUMMYFUNCTION("""COMPUTED_VALUE"""),"CAMPBELLFORD")</f>
        <v>CAMPBELLFORD</v>
      </c>
      <c r="D11804" s="3" t="str">
        <f>IFERROR(__xludf.DUMMYFUNCTION("""COMPUTED_VALUE"""),"K0L 1L0")</f>
        <v>K0L 1L0</v>
      </c>
      <c r="E11804" s="3"/>
      <c r="F11804" s="3"/>
      <c r="G11804" s="3"/>
      <c r="H11804" s="3"/>
    </row>
    <row r="11805">
      <c r="A11805" s="2">
        <f>IFERROR(__xludf.DUMMYFUNCTION("""COMPUTED_VALUE"""),71523.0)</f>
        <v>71523</v>
      </c>
      <c r="B11805" s="3" t="str">
        <f>IFERROR(__xludf.DUMMYFUNCTION("""COMPUTED_VALUE"""),"63 HICKORY BAY RD")</f>
        <v>63 HICKORY BAY RD</v>
      </c>
      <c r="C11805" s="3" t="str">
        <f>IFERROR(__xludf.DUMMYFUNCTION("""COMPUTED_VALUE"""),"CAMPBELLFORD")</f>
        <v>CAMPBELLFORD</v>
      </c>
      <c r="D11805" s="3" t="str">
        <f>IFERROR(__xludf.DUMMYFUNCTION("""COMPUTED_VALUE"""),"K0L 1L0")</f>
        <v>K0L 1L0</v>
      </c>
      <c r="E11805" s="3"/>
      <c r="F11805" s="3"/>
      <c r="G11805" s="3"/>
      <c r="H11805" s="3"/>
    </row>
    <row r="11806">
      <c r="A11806" s="2">
        <f>IFERROR(__xludf.DUMMYFUNCTION("""COMPUTED_VALUE"""),71524.0)</f>
        <v>71524</v>
      </c>
      <c r="B11806" s="3" t="str">
        <f>IFERROR(__xludf.DUMMYFUNCTION("""COMPUTED_VALUE"""),"67 HICKORY BAY RD")</f>
        <v>67 HICKORY BAY RD</v>
      </c>
      <c r="C11806" s="3" t="str">
        <f>IFERROR(__xludf.DUMMYFUNCTION("""COMPUTED_VALUE"""),"CAMPBELLFORD")</f>
        <v>CAMPBELLFORD</v>
      </c>
      <c r="D11806" s="3" t="str">
        <f>IFERROR(__xludf.DUMMYFUNCTION("""COMPUTED_VALUE"""),"K0L 1L0")</f>
        <v>K0L 1L0</v>
      </c>
      <c r="E11806" s="3"/>
      <c r="F11806" s="3"/>
      <c r="G11806" s="3"/>
      <c r="H11806" s="3"/>
    </row>
    <row r="11807">
      <c r="A11807" s="2">
        <f>IFERROR(__xludf.DUMMYFUNCTION("""COMPUTED_VALUE"""),71525.0)</f>
        <v>71525</v>
      </c>
      <c r="B11807" s="3" t="str">
        <f>IFERROR(__xludf.DUMMYFUNCTION("""COMPUTED_VALUE"""),"71 HICKORY BAY RD")</f>
        <v>71 HICKORY BAY RD</v>
      </c>
      <c r="C11807" s="3" t="str">
        <f>IFERROR(__xludf.DUMMYFUNCTION("""COMPUTED_VALUE"""),"CAMPBELLFORD")</f>
        <v>CAMPBELLFORD</v>
      </c>
      <c r="D11807" s="3" t="str">
        <f>IFERROR(__xludf.DUMMYFUNCTION("""COMPUTED_VALUE"""),"K0L 1L0")</f>
        <v>K0L 1L0</v>
      </c>
      <c r="E11807" s="3"/>
      <c r="F11807" s="3"/>
      <c r="G11807" s="3"/>
      <c r="H11807" s="3"/>
    </row>
    <row r="11808">
      <c r="A11808" s="2">
        <f>IFERROR(__xludf.DUMMYFUNCTION("""COMPUTED_VALUE"""),71526.0)</f>
        <v>71526</v>
      </c>
      <c r="B11808" s="3" t="str">
        <f>IFERROR(__xludf.DUMMYFUNCTION("""COMPUTED_VALUE"""),"91 HICKORY BAY RD")</f>
        <v>91 HICKORY BAY RD</v>
      </c>
      <c r="C11808" s="3" t="str">
        <f>IFERROR(__xludf.DUMMYFUNCTION("""COMPUTED_VALUE"""),"CAMPBELLFORD")</f>
        <v>CAMPBELLFORD</v>
      </c>
      <c r="D11808" s="3" t="str">
        <f>IFERROR(__xludf.DUMMYFUNCTION("""COMPUTED_VALUE"""),"K0L 1L0")</f>
        <v>K0L 1L0</v>
      </c>
      <c r="E11808" s="3"/>
      <c r="F11808" s="3"/>
      <c r="G11808" s="3"/>
      <c r="H11808" s="3"/>
    </row>
    <row r="11809">
      <c r="A11809" s="2">
        <f>IFERROR(__xludf.DUMMYFUNCTION("""COMPUTED_VALUE"""),71527.0)</f>
        <v>71527</v>
      </c>
      <c r="B11809" s="3" t="str">
        <f>IFERROR(__xludf.DUMMYFUNCTION("""COMPUTED_VALUE"""),"95 HICKORY BAY RD")</f>
        <v>95 HICKORY BAY RD</v>
      </c>
      <c r="C11809" s="3" t="str">
        <f>IFERROR(__xludf.DUMMYFUNCTION("""COMPUTED_VALUE"""),"CAMPBELLFORD")</f>
        <v>CAMPBELLFORD</v>
      </c>
      <c r="D11809" s="3" t="str">
        <f>IFERROR(__xludf.DUMMYFUNCTION("""COMPUTED_VALUE"""),"K0L 1L0")</f>
        <v>K0L 1L0</v>
      </c>
      <c r="E11809" s="3"/>
      <c r="F11809" s="3"/>
      <c r="G11809" s="3"/>
      <c r="H11809" s="3"/>
    </row>
    <row r="11810">
      <c r="A11810" s="2">
        <f>IFERROR(__xludf.DUMMYFUNCTION("""COMPUTED_VALUE"""),71528.0)</f>
        <v>71528</v>
      </c>
      <c r="B11810" s="3" t="str">
        <f>IFERROR(__xludf.DUMMYFUNCTION("""COMPUTED_VALUE"""),"99 HICKORY BAY RD")</f>
        <v>99 HICKORY BAY RD</v>
      </c>
      <c r="C11810" s="3" t="str">
        <f>IFERROR(__xludf.DUMMYFUNCTION("""COMPUTED_VALUE"""),"CAMPBELLFORD")</f>
        <v>CAMPBELLFORD</v>
      </c>
      <c r="D11810" s="3" t="str">
        <f>IFERROR(__xludf.DUMMYFUNCTION("""COMPUTED_VALUE"""),"K0L 1L0")</f>
        <v>K0L 1L0</v>
      </c>
      <c r="E11810" s="3"/>
      <c r="F11810" s="3"/>
      <c r="G11810" s="3"/>
      <c r="H11810" s="3"/>
    </row>
    <row r="11811">
      <c r="A11811" s="2">
        <f>IFERROR(__xludf.DUMMYFUNCTION("""COMPUTED_VALUE"""),71529.0)</f>
        <v>71529</v>
      </c>
      <c r="B11811" s="3" t="str">
        <f>IFERROR(__xludf.DUMMYFUNCTION("""COMPUTED_VALUE"""),"103 HICKORY BAY RD")</f>
        <v>103 HICKORY BAY RD</v>
      </c>
      <c r="C11811" s="3" t="str">
        <f>IFERROR(__xludf.DUMMYFUNCTION("""COMPUTED_VALUE"""),"CAMPBELLFORD")</f>
        <v>CAMPBELLFORD</v>
      </c>
      <c r="D11811" s="3" t="str">
        <f>IFERROR(__xludf.DUMMYFUNCTION("""COMPUTED_VALUE"""),"K0L 1L0")</f>
        <v>K0L 1L0</v>
      </c>
      <c r="E11811" s="3" t="str">
        <f>IFERROR(__xludf.DUMMYFUNCTION("""COMPUTED_VALUE""")," Daniel Goncalves")</f>
        <v> Daniel Goncalves</v>
      </c>
      <c r="F11811" s="3" t="str">
        <f>IFERROR(__xludf.DUMMYFUNCTION("""COMPUTED_VALUE"""),"dangoncalves@proton.me")</f>
        <v>dangoncalves@proton.me</v>
      </c>
      <c r="G11811" s="3"/>
      <c r="H11811" s="3"/>
    </row>
    <row r="11812">
      <c r="A11812" s="2">
        <f>IFERROR(__xludf.DUMMYFUNCTION("""COMPUTED_VALUE"""),71530.0)</f>
        <v>71530</v>
      </c>
      <c r="B11812" s="3" t="str">
        <f>IFERROR(__xludf.DUMMYFUNCTION("""COMPUTED_VALUE"""),"108 HICKORY BAY RD")</f>
        <v>108 HICKORY BAY RD</v>
      </c>
      <c r="C11812" s="3" t="str">
        <f>IFERROR(__xludf.DUMMYFUNCTION("""COMPUTED_VALUE"""),"CAMPBELLFORD")</f>
        <v>CAMPBELLFORD</v>
      </c>
      <c r="D11812" s="3" t="str">
        <f>IFERROR(__xludf.DUMMYFUNCTION("""COMPUTED_VALUE"""),"K0L 1L0")</f>
        <v>K0L 1L0</v>
      </c>
      <c r="E11812" s="3"/>
      <c r="F11812" s="3"/>
      <c r="G11812" s="3"/>
      <c r="H11812" s="3"/>
    </row>
    <row r="11813">
      <c r="A11813" s="2">
        <f>IFERROR(__xludf.DUMMYFUNCTION("""COMPUTED_VALUE"""),71531.0)</f>
        <v>71531</v>
      </c>
      <c r="B11813" s="3" t="str">
        <f>IFERROR(__xludf.DUMMYFUNCTION("""COMPUTED_VALUE"""),"109 HICKORY BAY RD")</f>
        <v>109 HICKORY BAY RD</v>
      </c>
      <c r="C11813" s="3" t="str">
        <f>IFERROR(__xludf.DUMMYFUNCTION("""COMPUTED_VALUE"""),"CAMPBELLFORD")</f>
        <v>CAMPBELLFORD</v>
      </c>
      <c r="D11813" s="3" t="str">
        <f>IFERROR(__xludf.DUMMYFUNCTION("""COMPUTED_VALUE"""),"K0L 1L0")</f>
        <v>K0L 1L0</v>
      </c>
      <c r="E11813" s="3"/>
      <c r="F11813" s="3"/>
      <c r="G11813" s="3"/>
      <c r="H11813" s="3"/>
    </row>
    <row r="11814">
      <c r="A11814" s="2">
        <f>IFERROR(__xludf.DUMMYFUNCTION("""COMPUTED_VALUE"""),71532.0)</f>
        <v>71532</v>
      </c>
      <c r="B11814" s="3" t="str">
        <f>IFERROR(__xludf.DUMMYFUNCTION("""COMPUTED_VALUE"""),"113 HICKORY BAY RD")</f>
        <v>113 HICKORY BAY RD</v>
      </c>
      <c r="C11814" s="3" t="str">
        <f>IFERROR(__xludf.DUMMYFUNCTION("""COMPUTED_VALUE"""),"CAMPBELLFORD")</f>
        <v>CAMPBELLFORD</v>
      </c>
      <c r="D11814" s="3" t="str">
        <f>IFERROR(__xludf.DUMMYFUNCTION("""COMPUTED_VALUE"""),"K0L 1L0")</f>
        <v>K0L 1L0</v>
      </c>
      <c r="E11814" s="3"/>
      <c r="F11814" s="3"/>
      <c r="G11814" s="3"/>
      <c r="H11814" s="3"/>
    </row>
    <row r="11815">
      <c r="A11815" s="2">
        <f>IFERROR(__xludf.DUMMYFUNCTION("""COMPUTED_VALUE"""),71533.0)</f>
        <v>71533</v>
      </c>
      <c r="B11815" s="3" t="str">
        <f>IFERROR(__xludf.DUMMYFUNCTION("""COMPUTED_VALUE"""),"115 HICKORY BAY RD")</f>
        <v>115 HICKORY BAY RD</v>
      </c>
      <c r="C11815" s="3" t="str">
        <f>IFERROR(__xludf.DUMMYFUNCTION("""COMPUTED_VALUE"""),"CAMPBELLFORD")</f>
        <v>CAMPBELLFORD</v>
      </c>
      <c r="D11815" s="3" t="str">
        <f>IFERROR(__xludf.DUMMYFUNCTION("""COMPUTED_VALUE"""),"K0L 1L0")</f>
        <v>K0L 1L0</v>
      </c>
      <c r="E11815" s="3"/>
      <c r="F11815" s="3"/>
      <c r="G11815" s="3"/>
      <c r="H11815" s="3"/>
    </row>
    <row r="11816">
      <c r="A11816" s="2">
        <f>IFERROR(__xludf.DUMMYFUNCTION("""COMPUTED_VALUE"""),71534.0)</f>
        <v>71534</v>
      </c>
      <c r="B11816" s="3" t="str">
        <f>IFERROR(__xludf.DUMMYFUNCTION("""COMPUTED_VALUE"""),"116 HICKORY BAY RD")</f>
        <v>116 HICKORY BAY RD</v>
      </c>
      <c r="C11816" s="3" t="str">
        <f>IFERROR(__xludf.DUMMYFUNCTION("""COMPUTED_VALUE"""),"CAMPBELLFORD")</f>
        <v>CAMPBELLFORD</v>
      </c>
      <c r="D11816" s="3" t="str">
        <f>IFERROR(__xludf.DUMMYFUNCTION("""COMPUTED_VALUE"""),"K0L 1L0")</f>
        <v>K0L 1L0</v>
      </c>
      <c r="E11816" s="3"/>
      <c r="F11816" s="3"/>
      <c r="G11816" s="3"/>
      <c r="H11816" s="3"/>
    </row>
    <row r="11817">
      <c r="A11817" s="2">
        <f>IFERROR(__xludf.DUMMYFUNCTION("""COMPUTED_VALUE"""),71535.0)</f>
        <v>71535</v>
      </c>
      <c r="B11817" s="3" t="str">
        <f>IFERROR(__xludf.DUMMYFUNCTION("""COMPUTED_VALUE"""),"120 HICKORY BAY RD")</f>
        <v>120 HICKORY BAY RD</v>
      </c>
      <c r="C11817" s="3" t="str">
        <f>IFERROR(__xludf.DUMMYFUNCTION("""COMPUTED_VALUE"""),"CAMPBELLFORD")</f>
        <v>CAMPBELLFORD</v>
      </c>
      <c r="D11817" s="3" t="str">
        <f>IFERROR(__xludf.DUMMYFUNCTION("""COMPUTED_VALUE"""),"K0L 1L0")</f>
        <v>K0L 1L0</v>
      </c>
      <c r="E11817" s="3"/>
      <c r="F11817" s="3"/>
      <c r="G11817" s="3"/>
      <c r="H11817" s="3"/>
    </row>
    <row r="11818">
      <c r="A11818" s="2">
        <f>IFERROR(__xludf.DUMMYFUNCTION("""COMPUTED_VALUE"""),71536.0)</f>
        <v>71536</v>
      </c>
      <c r="B11818" s="3" t="str">
        <f>IFERROR(__xludf.DUMMYFUNCTION("""COMPUTED_VALUE"""),"122 HICKORY BAY RD")</f>
        <v>122 HICKORY BAY RD</v>
      </c>
      <c r="C11818" s="3" t="str">
        <f>IFERROR(__xludf.DUMMYFUNCTION("""COMPUTED_VALUE"""),"CAMPBELLFORD")</f>
        <v>CAMPBELLFORD</v>
      </c>
      <c r="D11818" s="3" t="str">
        <f>IFERROR(__xludf.DUMMYFUNCTION("""COMPUTED_VALUE"""),"K0L 1L0")</f>
        <v>K0L 1L0</v>
      </c>
      <c r="E11818" s="3"/>
      <c r="F11818" s="3"/>
      <c r="G11818" s="3"/>
      <c r="H11818" s="3"/>
    </row>
    <row r="11819">
      <c r="A11819" s="2">
        <f>IFERROR(__xludf.DUMMYFUNCTION("""COMPUTED_VALUE"""),71537.0)</f>
        <v>71537</v>
      </c>
      <c r="B11819" s="3" t="str">
        <f>IFERROR(__xludf.DUMMYFUNCTION("""COMPUTED_VALUE"""),"83-87 HICKORY BAY RD")</f>
        <v>83-87 HICKORY BAY RD</v>
      </c>
      <c r="C11819" s="3" t="str">
        <f>IFERROR(__xludf.DUMMYFUNCTION("""COMPUTED_VALUE"""),"CAMPBELLFORD")</f>
        <v>CAMPBELLFORD</v>
      </c>
      <c r="D11819" s="3" t="str">
        <f>IFERROR(__xludf.DUMMYFUNCTION("""COMPUTED_VALUE"""),"K0L 1L0")</f>
        <v>K0L 1L0</v>
      </c>
      <c r="E11819" s="3"/>
      <c r="F11819" s="3"/>
      <c r="G11819" s="3"/>
      <c r="H11819" s="3"/>
    </row>
    <row r="11820">
      <c r="A11820" s="2">
        <f>IFERROR(__xludf.DUMMYFUNCTION("""COMPUTED_VALUE"""),71552.0)</f>
        <v>71552</v>
      </c>
      <c r="B11820" s="3" t="str">
        <f>IFERROR(__xludf.DUMMYFUNCTION("""COMPUTED_VALUE"""),"11 HOARD'S CHURCH RD")</f>
        <v>11 HOARD'S CHURCH RD</v>
      </c>
      <c r="C11820" s="3" t="str">
        <f>IFERROR(__xludf.DUMMYFUNCTION("""COMPUTED_VALUE"""),"CAMPBELLFORD")</f>
        <v>CAMPBELLFORD</v>
      </c>
      <c r="D11820" s="3" t="str">
        <f>IFERROR(__xludf.DUMMYFUNCTION("""COMPUTED_VALUE"""),"K0L 1L0")</f>
        <v>K0L 1L0</v>
      </c>
      <c r="E11820" s="3"/>
      <c r="F11820" s="3"/>
      <c r="G11820" s="3"/>
      <c r="H11820" s="3"/>
    </row>
    <row r="11821">
      <c r="A11821" s="2">
        <f>IFERROR(__xludf.DUMMYFUNCTION("""COMPUTED_VALUE"""),71553.0)</f>
        <v>71553</v>
      </c>
      <c r="B11821" s="3" t="str">
        <f>IFERROR(__xludf.DUMMYFUNCTION("""COMPUTED_VALUE"""),"18 HOARD'S RD")</f>
        <v>18 HOARD'S RD</v>
      </c>
      <c r="C11821" s="3" t="str">
        <f>IFERROR(__xludf.DUMMYFUNCTION("""COMPUTED_VALUE"""),"CAMPBELLFORD")</f>
        <v>CAMPBELLFORD</v>
      </c>
      <c r="D11821" s="3" t="str">
        <f>IFERROR(__xludf.DUMMYFUNCTION("""COMPUTED_VALUE"""),"K0L 1L0")</f>
        <v>K0L 1L0</v>
      </c>
      <c r="E11821" s="3"/>
      <c r="F11821" s="3"/>
      <c r="G11821" s="3"/>
      <c r="H11821" s="3"/>
    </row>
    <row r="11822">
      <c r="A11822" s="2">
        <f>IFERROR(__xludf.DUMMYFUNCTION("""COMPUTED_VALUE"""),71554.0)</f>
        <v>71554</v>
      </c>
      <c r="B11822" s="3" t="str">
        <f>IFERROR(__xludf.DUMMYFUNCTION("""COMPUTED_VALUE"""),"37 HOARD'S CHURCH RD")</f>
        <v>37 HOARD'S CHURCH RD</v>
      </c>
      <c r="C11822" s="3" t="str">
        <f>IFERROR(__xludf.DUMMYFUNCTION("""COMPUTED_VALUE"""),"CAMPBELLFORD")</f>
        <v>CAMPBELLFORD</v>
      </c>
      <c r="D11822" s="3" t="str">
        <f>IFERROR(__xludf.DUMMYFUNCTION("""COMPUTED_VALUE"""),"K0L 1L0")</f>
        <v>K0L 1L0</v>
      </c>
      <c r="E11822" s="3"/>
      <c r="F11822" s="3"/>
      <c r="G11822" s="3"/>
      <c r="H11822" s="3"/>
    </row>
    <row r="11823">
      <c r="A11823" s="2">
        <f>IFERROR(__xludf.DUMMYFUNCTION("""COMPUTED_VALUE"""),71555.0)</f>
        <v>71555</v>
      </c>
      <c r="B11823" s="3" t="str">
        <f>IFERROR(__xludf.DUMMYFUNCTION("""COMPUTED_VALUE"""),"63 HOARD'S CHURCH RD")</f>
        <v>63 HOARD'S CHURCH RD</v>
      </c>
      <c r="C11823" s="3" t="str">
        <f>IFERROR(__xludf.DUMMYFUNCTION("""COMPUTED_VALUE"""),"CAMPBELLFORD")</f>
        <v>CAMPBELLFORD</v>
      </c>
      <c r="D11823" s="3" t="str">
        <f>IFERROR(__xludf.DUMMYFUNCTION("""COMPUTED_VALUE"""),"K0L 1L0")</f>
        <v>K0L 1L0</v>
      </c>
      <c r="E11823" s="3"/>
      <c r="F11823" s="3"/>
      <c r="G11823" s="3"/>
      <c r="H11823" s="3"/>
    </row>
    <row r="11824">
      <c r="A11824" s="2">
        <f>IFERROR(__xludf.DUMMYFUNCTION("""COMPUTED_VALUE"""),72541.0)</f>
        <v>72541</v>
      </c>
      <c r="B11824" s="3" t="str">
        <f>IFERROR(__xludf.DUMMYFUNCTION("""COMPUTED_VALUE"""),"140 HOARDS CHURCH RD")</f>
        <v>140 HOARDS CHURCH RD</v>
      </c>
      <c r="C11824" s="3" t="str">
        <f>IFERROR(__xludf.DUMMYFUNCTION("""COMPUTED_VALUE"""),"CAMPBELLFORD")</f>
        <v>CAMPBELLFORD</v>
      </c>
      <c r="D11824" s="3" t="str">
        <f>IFERROR(__xludf.DUMMYFUNCTION("""COMPUTED_VALUE"""),"K0L 1L0")</f>
        <v>K0L 1L0</v>
      </c>
      <c r="E11824" s="3"/>
      <c r="F11824" s="3"/>
      <c r="G11824" s="3"/>
      <c r="H11824" s="3"/>
    </row>
    <row r="11825">
      <c r="A11825" s="2">
        <f>IFERROR(__xludf.DUMMYFUNCTION("""COMPUTED_VALUE"""),71556.0)</f>
        <v>71556</v>
      </c>
      <c r="B11825" s="3" t="str">
        <f>IFERROR(__xludf.DUMMYFUNCTION("""COMPUTED_VALUE"""),"151 HOARD'S CHURCH RD")</f>
        <v>151 HOARD'S CHURCH RD</v>
      </c>
      <c r="C11825" s="3" t="str">
        <f>IFERROR(__xludf.DUMMYFUNCTION("""COMPUTED_VALUE"""),"CAMPBELLFORD")</f>
        <v>CAMPBELLFORD</v>
      </c>
      <c r="D11825" s="3" t="str">
        <f>IFERROR(__xludf.DUMMYFUNCTION("""COMPUTED_VALUE"""),"K0L 1L0")</f>
        <v>K0L 1L0</v>
      </c>
      <c r="E11825" s="3"/>
      <c r="F11825" s="3"/>
      <c r="G11825" s="3"/>
      <c r="H11825" s="3"/>
    </row>
    <row r="11826">
      <c r="A11826" s="2">
        <f>IFERROR(__xludf.DUMMYFUNCTION("""COMPUTED_VALUE"""),71557.0)</f>
        <v>71557</v>
      </c>
      <c r="B11826" s="3" t="str">
        <f>IFERROR(__xludf.DUMMYFUNCTION("""COMPUTED_VALUE"""),"155 HOARD'S CHURCH RD")</f>
        <v>155 HOARD'S CHURCH RD</v>
      </c>
      <c r="C11826" s="3" t="str">
        <f>IFERROR(__xludf.DUMMYFUNCTION("""COMPUTED_VALUE"""),"CAMPBELLFORD")</f>
        <v>CAMPBELLFORD</v>
      </c>
      <c r="D11826" s="3" t="str">
        <f>IFERROR(__xludf.DUMMYFUNCTION("""COMPUTED_VALUE"""),"K0L 1L0")</f>
        <v>K0L 1L0</v>
      </c>
      <c r="E11826" s="3"/>
      <c r="F11826" s="3"/>
      <c r="G11826" s="3"/>
      <c r="H11826" s="3"/>
    </row>
    <row r="11827">
      <c r="A11827" s="2">
        <f>IFERROR(__xludf.DUMMYFUNCTION("""COMPUTED_VALUE"""),71558.0)</f>
        <v>71558</v>
      </c>
      <c r="B11827" s="3" t="str">
        <f>IFERROR(__xludf.DUMMYFUNCTION("""COMPUTED_VALUE"""),"161 HOARD'S CHURCH RD")</f>
        <v>161 HOARD'S CHURCH RD</v>
      </c>
      <c r="C11827" s="3" t="str">
        <f>IFERROR(__xludf.DUMMYFUNCTION("""COMPUTED_VALUE"""),"CAMPBELLFORD")</f>
        <v>CAMPBELLFORD</v>
      </c>
      <c r="D11827" s="3" t="str">
        <f>IFERROR(__xludf.DUMMYFUNCTION("""COMPUTED_VALUE"""),"K0L 1L0")</f>
        <v>K0L 1L0</v>
      </c>
      <c r="E11827" s="3"/>
      <c r="F11827" s="3"/>
      <c r="G11827" s="3"/>
      <c r="H11827" s="3"/>
    </row>
    <row r="11828">
      <c r="A11828" s="2">
        <f>IFERROR(__xludf.DUMMYFUNCTION("""COMPUTED_VALUE"""),71559.0)</f>
        <v>71559</v>
      </c>
      <c r="B11828" s="3" t="str">
        <f>IFERROR(__xludf.DUMMYFUNCTION("""COMPUTED_VALUE"""),"180 HOARD'S CHURCH RD")</f>
        <v>180 HOARD'S CHURCH RD</v>
      </c>
      <c r="C11828" s="3" t="str">
        <f>IFERROR(__xludf.DUMMYFUNCTION("""COMPUTED_VALUE"""),"CAMPBELLFORD")</f>
        <v>CAMPBELLFORD</v>
      </c>
      <c r="D11828" s="3" t="str">
        <f>IFERROR(__xludf.DUMMYFUNCTION("""COMPUTED_VALUE"""),"K0L 1L0")</f>
        <v>K0L 1L0</v>
      </c>
      <c r="E11828" s="3"/>
      <c r="F11828" s="3"/>
      <c r="G11828" s="3"/>
      <c r="H11828" s="3"/>
    </row>
    <row r="11829">
      <c r="A11829" s="2">
        <f>IFERROR(__xludf.DUMMYFUNCTION("""COMPUTED_VALUE"""),71560.0)</f>
        <v>71560</v>
      </c>
      <c r="B11829" s="3" t="str">
        <f>IFERROR(__xludf.DUMMYFUNCTION("""COMPUTED_VALUE"""),"370 HOARD'S CHURCH RD")</f>
        <v>370 HOARD'S CHURCH RD</v>
      </c>
      <c r="C11829" s="3" t="str">
        <f>IFERROR(__xludf.DUMMYFUNCTION("""COMPUTED_VALUE"""),"CAMPBELLFORD")</f>
        <v>CAMPBELLFORD</v>
      </c>
      <c r="D11829" s="3" t="str">
        <f>IFERROR(__xludf.DUMMYFUNCTION("""COMPUTED_VALUE"""),"K0L 1L0")</f>
        <v>K0L 1L0</v>
      </c>
      <c r="E11829" s="3" t="str">
        <f>IFERROR(__xludf.DUMMYFUNCTION("""COMPUTED_VALUE"""),"PHILIP PARR and JENNIFER HARDY PARR")</f>
        <v>PHILIP PARR and JENNIFER HARDY PARR</v>
      </c>
      <c r="F11829" s="3" t="str">
        <f>IFERROR(__xludf.DUMMYFUNCTION("""COMPUTED_VALUE"""),"pkp8675309@gmail.com")</f>
        <v>pkp8675309@gmail.com</v>
      </c>
      <c r="G11829" s="3"/>
      <c r="H11829" s="3"/>
    </row>
    <row r="11830">
      <c r="A11830" s="2">
        <f>IFERROR(__xludf.DUMMYFUNCTION("""COMPUTED_VALUE"""),71561.0)</f>
        <v>71561</v>
      </c>
      <c r="B11830" s="3" t="str">
        <f>IFERROR(__xludf.DUMMYFUNCTION("""COMPUTED_VALUE"""),"375 HOARDS CHURCH RD")</f>
        <v>375 HOARDS CHURCH RD</v>
      </c>
      <c r="C11830" s="3" t="str">
        <f>IFERROR(__xludf.DUMMYFUNCTION("""COMPUTED_VALUE"""),"CAMPBELLFORD")</f>
        <v>CAMPBELLFORD</v>
      </c>
      <c r="D11830" s="3" t="str">
        <f>IFERROR(__xludf.DUMMYFUNCTION("""COMPUTED_VALUE"""),"K0L 1L0")</f>
        <v>K0L 1L0</v>
      </c>
      <c r="E11830" s="3"/>
      <c r="F11830" s="3"/>
      <c r="G11830" s="3"/>
      <c r="H11830" s="3"/>
    </row>
    <row r="11831">
      <c r="A11831" s="2">
        <f>IFERROR(__xludf.DUMMYFUNCTION("""COMPUTED_VALUE"""),71562.0)</f>
        <v>71562</v>
      </c>
      <c r="B11831" s="3" t="str">
        <f>IFERROR(__xludf.DUMMYFUNCTION("""COMPUTED_VALUE"""),"380 HOARDS CHURCH RD")</f>
        <v>380 HOARDS CHURCH RD</v>
      </c>
      <c r="C11831" s="3" t="str">
        <f>IFERROR(__xludf.DUMMYFUNCTION("""COMPUTED_VALUE"""),"CAMPBELLFORD")</f>
        <v>CAMPBELLFORD</v>
      </c>
      <c r="D11831" s="3" t="str">
        <f>IFERROR(__xludf.DUMMYFUNCTION("""COMPUTED_VALUE"""),"K0L 1L0")</f>
        <v>K0L 1L0</v>
      </c>
      <c r="E11831" s="3"/>
      <c r="F11831" s="3"/>
      <c r="G11831" s="3"/>
      <c r="H11831" s="3"/>
    </row>
    <row r="11832">
      <c r="A11832" s="2">
        <f>IFERROR(__xludf.DUMMYFUNCTION("""COMPUTED_VALUE"""),71563.0)</f>
        <v>71563</v>
      </c>
      <c r="B11832" s="3" t="str">
        <f>IFERROR(__xludf.DUMMYFUNCTION("""COMPUTED_VALUE"""),"521 HOARD'S CHURCH RD")</f>
        <v>521 HOARD'S CHURCH RD</v>
      </c>
      <c r="C11832" s="3" t="str">
        <f>IFERROR(__xludf.DUMMYFUNCTION("""COMPUTED_VALUE"""),"CAMPBELLFORD")</f>
        <v>CAMPBELLFORD</v>
      </c>
      <c r="D11832" s="3" t="str">
        <f>IFERROR(__xludf.DUMMYFUNCTION("""COMPUTED_VALUE"""),"K0L 1L0")</f>
        <v>K0L 1L0</v>
      </c>
      <c r="E11832" s="3"/>
      <c r="F11832" s="3"/>
      <c r="G11832" s="3"/>
      <c r="H11832" s="3"/>
    </row>
    <row r="11833">
      <c r="A11833" s="2">
        <f>IFERROR(__xludf.DUMMYFUNCTION("""COMPUTED_VALUE"""),71564.0)</f>
        <v>71564</v>
      </c>
      <c r="B11833" s="3" t="str">
        <f>IFERROR(__xludf.DUMMYFUNCTION("""COMPUTED_VALUE"""),"593 HOARD'S CHURCH RD")</f>
        <v>593 HOARD'S CHURCH RD</v>
      </c>
      <c r="C11833" s="3" t="str">
        <f>IFERROR(__xludf.DUMMYFUNCTION("""COMPUTED_VALUE"""),"CAMPBELLFORD")</f>
        <v>CAMPBELLFORD</v>
      </c>
      <c r="D11833" s="3" t="str">
        <f>IFERROR(__xludf.DUMMYFUNCTION("""COMPUTED_VALUE"""),"K0L 1L0")</f>
        <v>K0L 1L0</v>
      </c>
      <c r="E11833" s="3"/>
      <c r="F11833" s="3"/>
      <c r="G11833" s="3"/>
      <c r="H11833" s="3"/>
    </row>
    <row r="11834">
      <c r="A11834" s="2">
        <f>IFERROR(__xludf.DUMMYFUNCTION("""COMPUTED_VALUE"""),71615.0)</f>
        <v>71615</v>
      </c>
      <c r="B11834" s="3" t="str">
        <f>IFERROR(__xludf.DUMMYFUNCTION("""COMPUTED_VALUE"""),"151 IZUMI WAY")</f>
        <v>151 IZUMI WAY</v>
      </c>
      <c r="C11834" s="3" t="str">
        <f>IFERROR(__xludf.DUMMYFUNCTION("""COMPUTED_VALUE"""),"CAMPBELLFORD")</f>
        <v>CAMPBELLFORD</v>
      </c>
      <c r="D11834" s="3" t="str">
        <f>IFERROR(__xludf.DUMMYFUNCTION("""COMPUTED_VALUE"""),"K0L 1L0")</f>
        <v>K0L 1L0</v>
      </c>
      <c r="E11834" s="3"/>
      <c r="F11834" s="3"/>
      <c r="G11834" s="3"/>
      <c r="H11834" s="3"/>
    </row>
    <row r="11835">
      <c r="A11835" s="2">
        <f>IFERROR(__xludf.DUMMYFUNCTION("""COMPUTED_VALUE"""),71616.0)</f>
        <v>71616</v>
      </c>
      <c r="B11835" s="3" t="str">
        <f>IFERROR(__xludf.DUMMYFUNCTION("""COMPUTED_VALUE"""),"944 JAMES RD")</f>
        <v>944 JAMES RD</v>
      </c>
      <c r="C11835" s="3" t="str">
        <f>IFERROR(__xludf.DUMMYFUNCTION("""COMPUTED_VALUE"""),"CAMPBELLFORD")</f>
        <v>CAMPBELLFORD</v>
      </c>
      <c r="D11835" s="3" t="str">
        <f>IFERROR(__xludf.DUMMYFUNCTION("""COMPUTED_VALUE"""),"K0L 1L0")</f>
        <v>K0L 1L0</v>
      </c>
      <c r="E11835" s="3" t="str">
        <f>IFERROR(__xludf.DUMMYFUNCTION("""COMPUTED_VALUE"""),"Daniel King")</f>
        <v>Daniel King</v>
      </c>
      <c r="F11835" s="3" t="str">
        <f>IFERROR(__xludf.DUMMYFUNCTION("""COMPUTED_VALUE"""),"dking.rleach@gmail.com")</f>
        <v>dking.rleach@gmail.com</v>
      </c>
      <c r="G11835" s="3">
        <f>IFERROR(__xludf.DUMMYFUNCTION("""COMPUTED_VALUE"""),7.059571814E9)</f>
        <v>7059571814</v>
      </c>
      <c r="H11835" s="3">
        <f>IFERROR(__xludf.DUMMYFUNCTION("""COMPUTED_VALUE"""),6.139224438E9)</f>
        <v>6139224438</v>
      </c>
    </row>
    <row r="11836">
      <c r="A11836" s="2">
        <f>IFERROR(__xludf.DUMMYFUNCTION("""COMPUTED_VALUE"""),71617.0)</f>
        <v>71617</v>
      </c>
      <c r="B11836" s="3" t="str">
        <f>IFERROR(__xludf.DUMMYFUNCTION("""COMPUTED_VALUE"""),"990 JAMES RD")</f>
        <v>990 JAMES RD</v>
      </c>
      <c r="C11836" s="3" t="str">
        <f>IFERROR(__xludf.DUMMYFUNCTION("""COMPUTED_VALUE"""),"CAMPBELLFORD")</f>
        <v>CAMPBELLFORD</v>
      </c>
      <c r="D11836" s="3" t="str">
        <f>IFERROR(__xludf.DUMMYFUNCTION("""COMPUTED_VALUE"""),"K0L 1L0")</f>
        <v>K0L 1L0</v>
      </c>
      <c r="E11836" s="3"/>
      <c r="F11836" s="3"/>
      <c r="G11836" s="3"/>
      <c r="H11836" s="3"/>
    </row>
    <row r="11837">
      <c r="A11837" s="2">
        <f>IFERROR(__xludf.DUMMYFUNCTION("""COMPUTED_VALUE"""),71618.0)</f>
        <v>71618</v>
      </c>
      <c r="B11837" s="3" t="str">
        <f>IFERROR(__xludf.DUMMYFUNCTION("""COMPUTED_VALUE"""),"1047 JAMES RD")</f>
        <v>1047 JAMES RD</v>
      </c>
      <c r="C11837" s="3" t="str">
        <f>IFERROR(__xludf.DUMMYFUNCTION("""COMPUTED_VALUE"""),"CAMPBELLFORD")</f>
        <v>CAMPBELLFORD</v>
      </c>
      <c r="D11837" s="3" t="str">
        <f>IFERROR(__xludf.DUMMYFUNCTION("""COMPUTED_VALUE"""),"K0L 1L0")</f>
        <v>K0L 1L0</v>
      </c>
      <c r="E11837" s="3"/>
      <c r="F11837" s="3"/>
      <c r="G11837" s="3"/>
      <c r="H11837" s="3"/>
    </row>
    <row r="11838">
      <c r="A11838" s="2">
        <f>IFERROR(__xludf.DUMMYFUNCTION("""COMPUTED_VALUE"""),71619.0)</f>
        <v>71619</v>
      </c>
      <c r="B11838" s="3" t="str">
        <f>IFERROR(__xludf.DUMMYFUNCTION("""COMPUTED_VALUE"""),"1056 JAMES RD")</f>
        <v>1056 JAMES RD</v>
      </c>
      <c r="C11838" s="3" t="str">
        <f>IFERROR(__xludf.DUMMYFUNCTION("""COMPUTED_VALUE"""),"CAMPBELLFORD")</f>
        <v>CAMPBELLFORD</v>
      </c>
      <c r="D11838" s="3" t="str">
        <f>IFERROR(__xludf.DUMMYFUNCTION("""COMPUTED_VALUE"""),"K0L 1L0")</f>
        <v>K0L 1L0</v>
      </c>
      <c r="E11838" s="3"/>
      <c r="F11838" s="3"/>
      <c r="G11838" s="3"/>
      <c r="H11838" s="3"/>
    </row>
    <row r="11839">
      <c r="A11839" s="2">
        <f>IFERROR(__xludf.DUMMYFUNCTION("""COMPUTED_VALUE"""),71620.0)</f>
        <v>71620</v>
      </c>
      <c r="B11839" s="3" t="str">
        <f>IFERROR(__xludf.DUMMYFUNCTION("""COMPUTED_VALUE"""),"1077 JAMES RD")</f>
        <v>1077 JAMES RD</v>
      </c>
      <c r="C11839" s="3" t="str">
        <f>IFERROR(__xludf.DUMMYFUNCTION("""COMPUTED_VALUE"""),"CAMPBELLFORD")</f>
        <v>CAMPBELLFORD</v>
      </c>
      <c r="D11839" s="3" t="str">
        <f>IFERROR(__xludf.DUMMYFUNCTION("""COMPUTED_VALUE"""),"K0L 1L0")</f>
        <v>K0L 1L0</v>
      </c>
      <c r="E11839" s="3" t="str">
        <f>IFERROR(__xludf.DUMMYFUNCTION("""COMPUTED_VALUE"""),"Joseph Brett* Forestell")</f>
        <v>Joseph Brett* Forestell</v>
      </c>
      <c r="F11839" s="3" t="str">
        <f>IFERROR(__xludf.DUMMYFUNCTION("""COMPUTED_VALUE"""),"brettforestell@gmail.com")</f>
        <v>brettforestell@gmail.com</v>
      </c>
      <c r="G11839" s="3">
        <f>IFERROR(__xludf.DUMMYFUNCTION("""COMPUTED_VALUE"""),6.132427034E9)</f>
        <v>6132427034</v>
      </c>
      <c r="H11839" s="3"/>
    </row>
    <row r="11840">
      <c r="A11840" s="2">
        <f>IFERROR(__xludf.DUMMYFUNCTION("""COMPUTED_VALUE"""),71621.0)</f>
        <v>71621</v>
      </c>
      <c r="B11840" s="3" t="str">
        <f>IFERROR(__xludf.DUMMYFUNCTION("""COMPUTED_VALUE"""),"1082 JAMES RD")</f>
        <v>1082 JAMES RD</v>
      </c>
      <c r="C11840" s="3" t="str">
        <f>IFERROR(__xludf.DUMMYFUNCTION("""COMPUTED_VALUE"""),"CAMPBELLFORD")</f>
        <v>CAMPBELLFORD</v>
      </c>
      <c r="D11840" s="3" t="str">
        <f>IFERROR(__xludf.DUMMYFUNCTION("""COMPUTED_VALUE"""),"K0L 1L0")</f>
        <v>K0L 1L0</v>
      </c>
      <c r="E11840" s="3" t="str">
        <f>IFERROR(__xludf.DUMMYFUNCTION("""COMPUTED_VALUE"""),"danny field")</f>
        <v>danny field</v>
      </c>
      <c r="F11840" s="3"/>
      <c r="G11840" s="3">
        <f>IFERROR(__xludf.DUMMYFUNCTION("""COMPUTED_VALUE"""),4.165742761E9)</f>
        <v>4165742761</v>
      </c>
      <c r="H11840" s="3"/>
    </row>
    <row r="11841">
      <c r="A11841" s="2">
        <f>IFERROR(__xludf.DUMMYFUNCTION("""COMPUTED_VALUE"""),71622.0)</f>
        <v>71622</v>
      </c>
      <c r="B11841" s="3" t="str">
        <f>IFERROR(__xludf.DUMMYFUNCTION("""COMPUTED_VALUE"""),"1107 JAMES RD")</f>
        <v>1107 JAMES RD</v>
      </c>
      <c r="C11841" s="3" t="str">
        <f>IFERROR(__xludf.DUMMYFUNCTION("""COMPUTED_VALUE"""),"CAMPBELLFORD")</f>
        <v>CAMPBELLFORD</v>
      </c>
      <c r="D11841" s="3" t="str">
        <f>IFERROR(__xludf.DUMMYFUNCTION("""COMPUTED_VALUE"""),"K0L 1L0")</f>
        <v>K0L 1L0</v>
      </c>
      <c r="E11841" s="3"/>
      <c r="F11841" s="3"/>
      <c r="G11841" s="3"/>
      <c r="H11841" s="3"/>
    </row>
    <row r="11842">
      <c r="A11842" s="2">
        <f>IFERROR(__xludf.DUMMYFUNCTION("""COMPUTED_VALUE"""),71623.0)</f>
        <v>71623</v>
      </c>
      <c r="B11842" s="3" t="str">
        <f>IFERROR(__xludf.DUMMYFUNCTION("""COMPUTED_VALUE"""),"16 KELLEHER RD")</f>
        <v>16 KELLEHER RD</v>
      </c>
      <c r="C11842" s="3" t="str">
        <f>IFERROR(__xludf.DUMMYFUNCTION("""COMPUTED_VALUE"""),"CAMPBELLFORD")</f>
        <v>CAMPBELLFORD</v>
      </c>
      <c r="D11842" s="3" t="str">
        <f>IFERROR(__xludf.DUMMYFUNCTION("""COMPUTED_VALUE"""),"K0L 1L0")</f>
        <v>K0L 1L0</v>
      </c>
      <c r="E11842" s="3" t="str">
        <f>IFERROR(__xludf.DUMMYFUNCTION("""COMPUTED_VALUE"""),"Douglas / Sandra McMullen")</f>
        <v>Douglas / Sandra McMullen</v>
      </c>
      <c r="F11842" s="3" t="str">
        <f>IFERROR(__xludf.DUMMYFUNCTION("""COMPUTED_VALUE"""),"djmcmullen1@gmail.com")</f>
        <v>djmcmullen1@gmail.com</v>
      </c>
      <c r="G11842" s="3">
        <f>IFERROR(__xludf.DUMMYFUNCTION("""COMPUTED_VALUE"""),7.056531721E9)</f>
        <v>7056531721</v>
      </c>
      <c r="H11842" s="3">
        <f>IFERROR(__xludf.DUMMYFUNCTION("""COMPUTED_VALUE"""),7.057688022E9)</f>
        <v>7057688022</v>
      </c>
    </row>
    <row r="11843">
      <c r="A11843" s="2">
        <f>IFERROR(__xludf.DUMMYFUNCTION("""COMPUTED_VALUE"""),71624.0)</f>
        <v>71624</v>
      </c>
      <c r="B11843" s="3" t="str">
        <f>IFERROR(__xludf.DUMMYFUNCTION("""COMPUTED_VALUE"""),"34 KELLEHER RD")</f>
        <v>34 KELLEHER RD</v>
      </c>
      <c r="C11843" s="3" t="str">
        <f>IFERROR(__xludf.DUMMYFUNCTION("""COMPUTED_VALUE"""),"CAMPBELLFORD")</f>
        <v>CAMPBELLFORD</v>
      </c>
      <c r="D11843" s="3" t="str">
        <f>IFERROR(__xludf.DUMMYFUNCTION("""COMPUTED_VALUE"""),"K0L 1L0")</f>
        <v>K0L 1L0</v>
      </c>
      <c r="E11843" s="3"/>
      <c r="F11843" s="3"/>
      <c r="G11843" s="3"/>
      <c r="H11843" s="3"/>
    </row>
    <row r="11844">
      <c r="A11844" s="2">
        <f>IFERROR(__xludf.DUMMYFUNCTION("""COMPUTED_VALUE"""),71625.0)</f>
        <v>71625</v>
      </c>
      <c r="B11844" s="3" t="str">
        <f>IFERROR(__xludf.DUMMYFUNCTION("""COMPUTED_VALUE"""),"57 KELLEHER RD")</f>
        <v>57 KELLEHER RD</v>
      </c>
      <c r="C11844" s="3" t="str">
        <f>IFERROR(__xludf.DUMMYFUNCTION("""COMPUTED_VALUE"""),"CAMPBELLFORD")</f>
        <v>CAMPBELLFORD</v>
      </c>
      <c r="D11844" s="3" t="str">
        <f>IFERROR(__xludf.DUMMYFUNCTION("""COMPUTED_VALUE"""),"K0L 1L0")</f>
        <v>K0L 1L0</v>
      </c>
      <c r="E11844" s="3"/>
      <c r="F11844" s="3"/>
      <c r="G11844" s="3"/>
      <c r="H11844" s="3"/>
    </row>
    <row r="11845">
      <c r="A11845" s="2">
        <f>IFERROR(__xludf.DUMMYFUNCTION("""COMPUTED_VALUE"""),71626.0)</f>
        <v>71626</v>
      </c>
      <c r="B11845" s="3" t="str">
        <f>IFERROR(__xludf.DUMMYFUNCTION("""COMPUTED_VALUE"""),"83 KELLEHER RD")</f>
        <v>83 KELLEHER RD</v>
      </c>
      <c r="C11845" s="3" t="str">
        <f>IFERROR(__xludf.DUMMYFUNCTION("""COMPUTED_VALUE"""),"CAMPBELLFORD")</f>
        <v>CAMPBELLFORD</v>
      </c>
      <c r="D11845" s="3" t="str">
        <f>IFERROR(__xludf.DUMMYFUNCTION("""COMPUTED_VALUE"""),"K0L 1L0")</f>
        <v>K0L 1L0</v>
      </c>
      <c r="E11845" s="3"/>
      <c r="F11845" s="3"/>
      <c r="G11845" s="3"/>
      <c r="H11845" s="3"/>
    </row>
    <row r="11846">
      <c r="A11846" s="2">
        <f>IFERROR(__xludf.DUMMYFUNCTION("""COMPUTED_VALUE"""),71627.0)</f>
        <v>71627</v>
      </c>
      <c r="B11846" s="3" t="str">
        <f>IFERROR(__xludf.DUMMYFUNCTION("""COMPUTED_VALUE"""),"85 KELLEHER RD")</f>
        <v>85 KELLEHER RD</v>
      </c>
      <c r="C11846" s="3" t="str">
        <f>IFERROR(__xludf.DUMMYFUNCTION("""COMPUTED_VALUE"""),"CAMPBELLFORD")</f>
        <v>CAMPBELLFORD</v>
      </c>
      <c r="D11846" s="3" t="str">
        <f>IFERROR(__xludf.DUMMYFUNCTION("""COMPUTED_VALUE"""),"K0L 1L0")</f>
        <v>K0L 1L0</v>
      </c>
      <c r="E11846" s="3"/>
      <c r="F11846" s="3"/>
      <c r="G11846" s="3"/>
      <c r="H11846" s="3"/>
    </row>
    <row r="11847">
      <c r="A11847" s="2">
        <f>IFERROR(__xludf.DUMMYFUNCTION("""COMPUTED_VALUE"""),71628.0)</f>
        <v>71628</v>
      </c>
      <c r="B11847" s="3" t="str">
        <f>IFERROR(__xludf.DUMMYFUNCTION("""COMPUTED_VALUE"""),"91 KELLEHER RD")</f>
        <v>91 KELLEHER RD</v>
      </c>
      <c r="C11847" s="3" t="str">
        <f>IFERROR(__xludf.DUMMYFUNCTION("""COMPUTED_VALUE"""),"CAMPBELLFORD")</f>
        <v>CAMPBELLFORD</v>
      </c>
      <c r="D11847" s="3" t="str">
        <f>IFERROR(__xludf.DUMMYFUNCTION("""COMPUTED_VALUE"""),"K0L 1L0")</f>
        <v>K0L 1L0</v>
      </c>
      <c r="E11847" s="3"/>
      <c r="F11847" s="3"/>
      <c r="G11847" s="3"/>
      <c r="H11847" s="3"/>
    </row>
    <row r="11848">
      <c r="A11848" s="2">
        <f>IFERROR(__xludf.DUMMYFUNCTION("""COMPUTED_VALUE"""),71629.0)</f>
        <v>71629</v>
      </c>
      <c r="B11848" s="3" t="str">
        <f>IFERROR(__xludf.DUMMYFUNCTION("""COMPUTED_VALUE"""),"163 KELLEHER RD")</f>
        <v>163 KELLEHER RD</v>
      </c>
      <c r="C11848" s="3" t="str">
        <f>IFERROR(__xludf.DUMMYFUNCTION("""COMPUTED_VALUE"""),"CAMPBELLFORD")</f>
        <v>CAMPBELLFORD</v>
      </c>
      <c r="D11848" s="3" t="str">
        <f>IFERROR(__xludf.DUMMYFUNCTION("""COMPUTED_VALUE"""),"K0L 1L0")</f>
        <v>K0L 1L0</v>
      </c>
      <c r="E11848" s="3"/>
      <c r="F11848" s="3"/>
      <c r="G11848" s="3"/>
      <c r="H11848" s="3"/>
    </row>
    <row r="11849">
      <c r="A11849" s="2">
        <f>IFERROR(__xludf.DUMMYFUNCTION("""COMPUTED_VALUE"""),71630.0)</f>
        <v>71630</v>
      </c>
      <c r="B11849" s="3" t="str">
        <f>IFERROR(__xludf.DUMMYFUNCTION("""COMPUTED_VALUE"""),"247 KELLEHER RD")</f>
        <v>247 KELLEHER RD</v>
      </c>
      <c r="C11849" s="3" t="str">
        <f>IFERROR(__xludf.DUMMYFUNCTION("""COMPUTED_VALUE"""),"CAMPBELLFORD")</f>
        <v>CAMPBELLFORD</v>
      </c>
      <c r="D11849" s="3" t="str">
        <f>IFERROR(__xludf.DUMMYFUNCTION("""COMPUTED_VALUE"""),"K0L 1L0")</f>
        <v>K0L 1L0</v>
      </c>
      <c r="E11849" s="3" t="str">
        <f>IFERROR(__xludf.DUMMYFUNCTION("""COMPUTED_VALUE"""),"erik and kim kowal")</f>
        <v>erik and kim kowal</v>
      </c>
      <c r="F11849" s="3" t="str">
        <f>IFERROR(__xludf.DUMMYFUNCTION("""COMPUTED_VALUE"""),"erik.kowal@sympatico.ca")</f>
        <v>erik.kowal@sympatico.ca</v>
      </c>
      <c r="G11849" s="3">
        <f>IFERROR(__xludf.DUMMYFUNCTION("""COMPUTED_VALUE"""),9.058767997E9)</f>
        <v>9058767997</v>
      </c>
      <c r="H11849" s="3">
        <f>IFERROR(__xludf.DUMMYFUNCTION("""COMPUTED_VALUE"""),9.053027445E9)</f>
        <v>9053027445</v>
      </c>
    </row>
    <row r="11850">
      <c r="A11850" s="2">
        <f>IFERROR(__xludf.DUMMYFUNCTION("""COMPUTED_VALUE"""),71631.0)</f>
        <v>71631</v>
      </c>
      <c r="B11850" s="3" t="str">
        <f>IFERROR(__xludf.DUMMYFUNCTION("""COMPUTED_VALUE"""),"330 KELLEHER RD")</f>
        <v>330 KELLEHER RD</v>
      </c>
      <c r="C11850" s="3" t="str">
        <f>IFERROR(__xludf.DUMMYFUNCTION("""COMPUTED_VALUE"""),"CAMPBELLFORD")</f>
        <v>CAMPBELLFORD</v>
      </c>
      <c r="D11850" s="3" t="str">
        <f>IFERROR(__xludf.DUMMYFUNCTION("""COMPUTED_VALUE"""),"K0L 1L0")</f>
        <v>K0L 1L0</v>
      </c>
      <c r="E11850" s="3"/>
      <c r="F11850" s="3"/>
      <c r="G11850" s="3"/>
      <c r="H11850" s="3"/>
    </row>
    <row r="11851">
      <c r="A11851" s="2">
        <f>IFERROR(__xludf.DUMMYFUNCTION("""COMPUTED_VALUE"""),71632.0)</f>
        <v>71632</v>
      </c>
      <c r="B11851" s="3" t="str">
        <f>IFERROR(__xludf.DUMMYFUNCTION("""COMPUTED_VALUE"""),"368 KELLEHER RD")</f>
        <v>368 KELLEHER RD</v>
      </c>
      <c r="C11851" s="3" t="str">
        <f>IFERROR(__xludf.DUMMYFUNCTION("""COMPUTED_VALUE"""),"CAMPBELLFORD")</f>
        <v>CAMPBELLFORD</v>
      </c>
      <c r="D11851" s="3" t="str">
        <f>IFERROR(__xludf.DUMMYFUNCTION("""COMPUTED_VALUE"""),"K0L 1L0")</f>
        <v>K0L 1L0</v>
      </c>
      <c r="E11851" s="3"/>
      <c r="F11851" s="3"/>
      <c r="G11851" s="3"/>
      <c r="H11851" s="3"/>
    </row>
    <row r="11852">
      <c r="A11852" s="2">
        <f>IFERROR(__xludf.DUMMYFUNCTION("""COMPUTED_VALUE"""),71633.0)</f>
        <v>71633</v>
      </c>
      <c r="B11852" s="3" t="str">
        <f>IFERROR(__xludf.DUMMYFUNCTION("""COMPUTED_VALUE"""),"409 KELLEHER RD")</f>
        <v>409 KELLEHER RD</v>
      </c>
      <c r="C11852" s="3" t="str">
        <f>IFERROR(__xludf.DUMMYFUNCTION("""COMPUTED_VALUE"""),"CAMPBELLFORD")</f>
        <v>CAMPBELLFORD</v>
      </c>
      <c r="D11852" s="3" t="str">
        <f>IFERROR(__xludf.DUMMYFUNCTION("""COMPUTED_VALUE"""),"K0L 1L0")</f>
        <v>K0L 1L0</v>
      </c>
      <c r="E11852" s="3" t="str">
        <f>IFERROR(__xludf.DUMMYFUNCTION("""COMPUTED_VALUE"""),"James Young")</f>
        <v>James Young</v>
      </c>
      <c r="F11852" s="3" t="str">
        <f>IFERROR(__xludf.DUMMYFUNCTION("""COMPUTED_VALUE"""),"jht40@hotmail.com")</f>
        <v>jht40@hotmail.com</v>
      </c>
      <c r="G11852" s="3">
        <f>IFERROR(__xludf.DUMMYFUNCTION("""COMPUTED_VALUE"""),9.053757557E9)</f>
        <v>9053757557</v>
      </c>
      <c r="H11852" s="3"/>
    </row>
    <row r="11853">
      <c r="A11853" s="2">
        <f>IFERROR(__xludf.DUMMYFUNCTION("""COMPUTED_VALUE"""),71634.0)</f>
        <v>71634</v>
      </c>
      <c r="B11853" s="3" t="str">
        <f>IFERROR(__xludf.DUMMYFUNCTION("""COMPUTED_VALUE"""),"245A KELLEHER RD")</f>
        <v>245A KELLEHER RD</v>
      </c>
      <c r="C11853" s="3" t="str">
        <f>IFERROR(__xludf.DUMMYFUNCTION("""COMPUTED_VALUE"""),"CAMPBELLFORD")</f>
        <v>CAMPBELLFORD</v>
      </c>
      <c r="D11853" s="3" t="str">
        <f>IFERROR(__xludf.DUMMYFUNCTION("""COMPUTED_VALUE"""),"K0L 1L0")</f>
        <v>K0L 1L0</v>
      </c>
      <c r="E11853" s="3" t="str">
        <f>IFERROR(__xludf.DUMMYFUNCTION("""COMPUTED_VALUE"""),"KAJ JENSEN")</f>
        <v>KAJ JENSEN</v>
      </c>
      <c r="F11853" s="3" t="str">
        <f>IFERROR(__xludf.DUMMYFUNCTION("""COMPUTED_VALUE"""),"kajjensen@xplornet.com")</f>
        <v>kajjensen@xplornet.com</v>
      </c>
      <c r="G11853" s="3"/>
      <c r="H11853" s="3">
        <f>IFERROR(__xludf.DUMMYFUNCTION("""COMPUTED_VALUE"""),7.059572758E9)</f>
        <v>7059572758</v>
      </c>
    </row>
    <row r="11854">
      <c r="A11854" s="2">
        <f>IFERROR(__xludf.DUMMYFUNCTION("""COMPUTED_VALUE"""),71635.0)</f>
        <v>71635</v>
      </c>
      <c r="B11854" s="3" t="str">
        <f>IFERROR(__xludf.DUMMYFUNCTION("""COMPUTED_VALUE"""),"245B KELLEHER RD")</f>
        <v>245B KELLEHER RD</v>
      </c>
      <c r="C11854" s="3" t="str">
        <f>IFERROR(__xludf.DUMMYFUNCTION("""COMPUTED_VALUE"""),"CAMPBELLFORD")</f>
        <v>CAMPBELLFORD</v>
      </c>
      <c r="D11854" s="3" t="str">
        <f>IFERROR(__xludf.DUMMYFUNCTION("""COMPUTED_VALUE"""),"K0L 1L0")</f>
        <v>K0L 1L0</v>
      </c>
      <c r="E11854" s="3"/>
      <c r="F11854" s="3"/>
      <c r="G11854" s="3"/>
      <c r="H11854" s="3"/>
    </row>
    <row r="11855">
      <c r="A11855" s="2">
        <f>IFERROR(__xludf.DUMMYFUNCTION("""COMPUTED_VALUE"""),71649.0)</f>
        <v>71649</v>
      </c>
      <c r="B11855" s="3" t="str">
        <f>IFERROR(__xludf.DUMMYFUNCTION("""COMPUTED_VALUE"""),"218 KING'S GRANT RD")</f>
        <v>218 KING'S GRANT RD</v>
      </c>
      <c r="C11855" s="3" t="str">
        <f>IFERROR(__xludf.DUMMYFUNCTION("""COMPUTED_VALUE"""),"MARMORA")</f>
        <v>MARMORA</v>
      </c>
      <c r="D11855" s="3" t="str">
        <f>IFERROR(__xludf.DUMMYFUNCTION("""COMPUTED_VALUE"""),"K0K 2M0")</f>
        <v>K0K 2M0</v>
      </c>
      <c r="E11855" s="3"/>
      <c r="F11855" s="3"/>
      <c r="G11855" s="3"/>
      <c r="H11855" s="3"/>
    </row>
    <row r="11856">
      <c r="A11856" s="2">
        <f>IFERROR(__xludf.DUMMYFUNCTION("""COMPUTED_VALUE"""),71652.0)</f>
        <v>71652</v>
      </c>
      <c r="B11856" s="3" t="str">
        <f>IFERROR(__xludf.DUMMYFUNCTION("""COMPUTED_VALUE"""),"39 LAGUNA RD")</f>
        <v>39 LAGUNA RD</v>
      </c>
      <c r="C11856" s="3" t="str">
        <f>IFERROR(__xludf.DUMMYFUNCTION("""COMPUTED_VALUE"""),"CAMPBELLFORD")</f>
        <v>CAMPBELLFORD</v>
      </c>
      <c r="D11856" s="3" t="str">
        <f>IFERROR(__xludf.DUMMYFUNCTION("""COMPUTED_VALUE"""),"K0L 1L0")</f>
        <v>K0L 1L0</v>
      </c>
      <c r="E11856" s="3"/>
      <c r="F11856" s="3"/>
      <c r="G11856" s="3"/>
      <c r="H11856" s="3"/>
    </row>
    <row r="11857">
      <c r="A11857" s="2">
        <f>IFERROR(__xludf.DUMMYFUNCTION("""COMPUTED_VALUE"""),71653.0)</f>
        <v>71653</v>
      </c>
      <c r="B11857" s="3" t="str">
        <f>IFERROR(__xludf.DUMMYFUNCTION("""COMPUTED_VALUE"""),"43 LAGUNA RD")</f>
        <v>43 LAGUNA RD</v>
      </c>
      <c r="C11857" s="3" t="str">
        <f>IFERROR(__xludf.DUMMYFUNCTION("""COMPUTED_VALUE"""),"CAMPBELLFORD")</f>
        <v>CAMPBELLFORD</v>
      </c>
      <c r="D11857" s="3" t="str">
        <f>IFERROR(__xludf.DUMMYFUNCTION("""COMPUTED_VALUE"""),"K0L 1L0")</f>
        <v>K0L 1L0</v>
      </c>
      <c r="E11857" s="3"/>
      <c r="F11857" s="3"/>
      <c r="G11857" s="3"/>
      <c r="H11857" s="3"/>
    </row>
    <row r="11858">
      <c r="A11858" s="2">
        <f>IFERROR(__xludf.DUMMYFUNCTION("""COMPUTED_VALUE"""),71654.0)</f>
        <v>71654</v>
      </c>
      <c r="B11858" s="3" t="str">
        <f>IFERROR(__xludf.DUMMYFUNCTION("""COMPUTED_VALUE"""),"45 LAGUNA RD")</f>
        <v>45 LAGUNA RD</v>
      </c>
      <c r="C11858" s="3" t="str">
        <f>IFERROR(__xludf.DUMMYFUNCTION("""COMPUTED_VALUE"""),"CAMPBELLFORD")</f>
        <v>CAMPBELLFORD</v>
      </c>
      <c r="D11858" s="3" t="str">
        <f>IFERROR(__xludf.DUMMYFUNCTION("""COMPUTED_VALUE"""),"K0L 1L0")</f>
        <v>K0L 1L0</v>
      </c>
      <c r="E11858" s="3"/>
      <c r="F11858" s="3"/>
      <c r="G11858" s="3"/>
      <c r="H11858" s="3"/>
    </row>
    <row r="11859">
      <c r="A11859" s="2">
        <f>IFERROR(__xludf.DUMMYFUNCTION("""COMPUTED_VALUE"""),71655.0)</f>
        <v>71655</v>
      </c>
      <c r="B11859" s="3" t="str">
        <f>IFERROR(__xludf.DUMMYFUNCTION("""COMPUTED_VALUE"""),"49 LAGUNA RD")</f>
        <v>49 LAGUNA RD</v>
      </c>
      <c r="C11859" s="3" t="str">
        <f>IFERROR(__xludf.DUMMYFUNCTION("""COMPUTED_VALUE"""),"CAMPBELLFORD")</f>
        <v>CAMPBELLFORD</v>
      </c>
      <c r="D11859" s="3" t="str">
        <f>IFERROR(__xludf.DUMMYFUNCTION("""COMPUTED_VALUE"""),"K0L 1L0")</f>
        <v>K0L 1L0</v>
      </c>
      <c r="E11859" s="3"/>
      <c r="F11859" s="3"/>
      <c r="G11859" s="3"/>
      <c r="H11859" s="3"/>
    </row>
    <row r="11860">
      <c r="A11860" s="2">
        <f>IFERROR(__xludf.DUMMYFUNCTION("""COMPUTED_VALUE"""),71656.0)</f>
        <v>71656</v>
      </c>
      <c r="B11860" s="3" t="str">
        <f>IFERROR(__xludf.DUMMYFUNCTION("""COMPUTED_VALUE"""),"59 LAGUNA RD")</f>
        <v>59 LAGUNA RD</v>
      </c>
      <c r="C11860" s="3" t="str">
        <f>IFERROR(__xludf.DUMMYFUNCTION("""COMPUTED_VALUE"""),"CAMPBELLFORD")</f>
        <v>CAMPBELLFORD</v>
      </c>
      <c r="D11860" s="3" t="str">
        <f>IFERROR(__xludf.DUMMYFUNCTION("""COMPUTED_VALUE"""),"K0L 1L0")</f>
        <v>K0L 1L0</v>
      </c>
      <c r="E11860" s="3" t="str">
        <f>IFERROR(__xludf.DUMMYFUNCTION("""COMPUTED_VALUE"""),"Peter Lamers")</f>
        <v>Peter Lamers</v>
      </c>
      <c r="F11860" s="3" t="str">
        <f>IFERROR(__xludf.DUMMYFUNCTION("""COMPUTED_VALUE"""),"peterlamers1@yahoo.ca")</f>
        <v>peterlamers1@yahoo.ca</v>
      </c>
      <c r="G11860" s="3"/>
      <c r="H11860" s="3"/>
    </row>
    <row r="11861">
      <c r="A11861" s="2">
        <f>IFERROR(__xludf.DUMMYFUNCTION("""COMPUTED_VALUE"""),71657.0)</f>
        <v>71657</v>
      </c>
      <c r="B11861" s="3" t="str">
        <f>IFERROR(__xludf.DUMMYFUNCTION("""COMPUTED_VALUE"""),"61 LAGUNA RD")</f>
        <v>61 LAGUNA RD</v>
      </c>
      <c r="C11861" s="3" t="str">
        <f>IFERROR(__xludf.DUMMYFUNCTION("""COMPUTED_VALUE"""),"CAMPBELLFORD")</f>
        <v>CAMPBELLFORD</v>
      </c>
      <c r="D11861" s="3" t="str">
        <f>IFERROR(__xludf.DUMMYFUNCTION("""COMPUTED_VALUE"""),"K0L 1L0")</f>
        <v>K0L 1L0</v>
      </c>
      <c r="E11861" s="3"/>
      <c r="F11861" s="3"/>
      <c r="G11861" s="3"/>
      <c r="H11861" s="3"/>
    </row>
    <row r="11862">
      <c r="A11862" s="2">
        <f>IFERROR(__xludf.DUMMYFUNCTION("""COMPUTED_VALUE"""),71658.0)</f>
        <v>71658</v>
      </c>
      <c r="B11862" s="3" t="str">
        <f>IFERROR(__xludf.DUMMYFUNCTION("""COMPUTED_VALUE"""),"83 LAGUNA RD")</f>
        <v>83 LAGUNA RD</v>
      </c>
      <c r="C11862" s="3" t="str">
        <f>IFERROR(__xludf.DUMMYFUNCTION("""COMPUTED_VALUE"""),"CAMPBELLFORD")</f>
        <v>CAMPBELLFORD</v>
      </c>
      <c r="D11862" s="3" t="str">
        <f>IFERROR(__xludf.DUMMYFUNCTION("""COMPUTED_VALUE"""),"K0L 1L0")</f>
        <v>K0L 1L0</v>
      </c>
      <c r="E11862" s="3"/>
      <c r="F11862" s="3"/>
      <c r="G11862" s="3"/>
      <c r="H11862" s="3"/>
    </row>
    <row r="11863">
      <c r="A11863" s="2">
        <f>IFERROR(__xludf.DUMMYFUNCTION("""COMPUTED_VALUE"""),71659.0)</f>
        <v>71659</v>
      </c>
      <c r="B11863" s="3" t="str">
        <f>IFERROR(__xludf.DUMMYFUNCTION("""COMPUTED_VALUE"""),"86 LAGUNA RD")</f>
        <v>86 LAGUNA RD</v>
      </c>
      <c r="C11863" s="3" t="str">
        <f>IFERROR(__xludf.DUMMYFUNCTION("""COMPUTED_VALUE"""),"CAMPBELLFORD")</f>
        <v>CAMPBELLFORD</v>
      </c>
      <c r="D11863" s="3" t="str">
        <f>IFERROR(__xludf.DUMMYFUNCTION("""COMPUTED_VALUE"""),"K0L 1L0")</f>
        <v>K0L 1L0</v>
      </c>
      <c r="E11863" s="3"/>
      <c r="F11863" s="3"/>
      <c r="G11863" s="3"/>
      <c r="H11863" s="3"/>
    </row>
    <row r="11864">
      <c r="A11864" s="2">
        <f>IFERROR(__xludf.DUMMYFUNCTION("""COMPUTED_VALUE"""),71660.0)</f>
        <v>71660</v>
      </c>
      <c r="B11864" s="3" t="str">
        <f>IFERROR(__xludf.DUMMYFUNCTION("""COMPUTED_VALUE"""),"93 LAGUNA RD")</f>
        <v>93 LAGUNA RD</v>
      </c>
      <c r="C11864" s="3" t="str">
        <f>IFERROR(__xludf.DUMMYFUNCTION("""COMPUTED_VALUE"""),"CAMPBELLFORD")</f>
        <v>CAMPBELLFORD</v>
      </c>
      <c r="D11864" s="3" t="str">
        <f>IFERROR(__xludf.DUMMYFUNCTION("""COMPUTED_VALUE"""),"K0L 1L0")</f>
        <v>K0L 1L0</v>
      </c>
      <c r="E11864" s="3"/>
      <c r="F11864" s="3"/>
      <c r="G11864" s="3"/>
      <c r="H11864" s="3"/>
    </row>
    <row r="11865">
      <c r="A11865" s="2">
        <f>IFERROR(__xludf.DUMMYFUNCTION("""COMPUTED_VALUE"""),71661.0)</f>
        <v>71661</v>
      </c>
      <c r="B11865" s="3" t="str">
        <f>IFERROR(__xludf.DUMMYFUNCTION("""COMPUTED_VALUE"""),"14 LAKE RD")</f>
        <v>14 LAKE RD</v>
      </c>
      <c r="C11865" s="3" t="str">
        <f>IFERROR(__xludf.DUMMYFUNCTION("""COMPUTED_VALUE"""),"MARMORA")</f>
        <v>MARMORA</v>
      </c>
      <c r="D11865" s="3" t="str">
        <f>IFERROR(__xludf.DUMMYFUNCTION("""COMPUTED_VALUE"""),"K0K 2M0")</f>
        <v>K0K 2M0</v>
      </c>
      <c r="E11865" s="3"/>
      <c r="F11865" s="3"/>
      <c r="G11865" s="3"/>
      <c r="H11865" s="3"/>
    </row>
    <row r="11866">
      <c r="A11866" s="2">
        <f>IFERROR(__xludf.DUMMYFUNCTION("""COMPUTED_VALUE"""),71662.0)</f>
        <v>71662</v>
      </c>
      <c r="B11866" s="3" t="str">
        <f>IFERROR(__xludf.DUMMYFUNCTION("""COMPUTED_VALUE"""),"22 LAKE RD")</f>
        <v>22 LAKE RD</v>
      </c>
      <c r="C11866" s="3" t="str">
        <f>IFERROR(__xludf.DUMMYFUNCTION("""COMPUTED_VALUE"""),"MARMORA")</f>
        <v>MARMORA</v>
      </c>
      <c r="D11866" s="3" t="str">
        <f>IFERROR(__xludf.DUMMYFUNCTION("""COMPUTED_VALUE"""),"K0K 2M0")</f>
        <v>K0K 2M0</v>
      </c>
      <c r="E11866" s="3"/>
      <c r="F11866" s="3"/>
      <c r="G11866" s="3"/>
      <c r="H11866" s="3"/>
    </row>
    <row r="11867">
      <c r="A11867" s="2">
        <f>IFERROR(__xludf.DUMMYFUNCTION("""COMPUTED_VALUE"""),71663.0)</f>
        <v>71663</v>
      </c>
      <c r="B11867" s="3" t="str">
        <f>IFERROR(__xludf.DUMMYFUNCTION("""COMPUTED_VALUE"""),"23 LAKE RD")</f>
        <v>23 LAKE RD</v>
      </c>
      <c r="C11867" s="3" t="str">
        <f>IFERROR(__xludf.DUMMYFUNCTION("""COMPUTED_VALUE"""),"MARMORA")</f>
        <v>MARMORA</v>
      </c>
      <c r="D11867" s="3" t="str">
        <f>IFERROR(__xludf.DUMMYFUNCTION("""COMPUTED_VALUE"""),"K0K 2M0")</f>
        <v>K0K 2M0</v>
      </c>
      <c r="E11867" s="3" t="str">
        <f>IFERROR(__xludf.DUMMYFUNCTION("""COMPUTED_VALUE"""),"denis beauparlant")</f>
        <v>denis beauparlant</v>
      </c>
      <c r="F11867" s="3" t="str">
        <f>IFERROR(__xludf.DUMMYFUNCTION("""COMPUTED_VALUE"""),"n.beauparlant@gmail.com")</f>
        <v>n.beauparlant@gmail.com</v>
      </c>
      <c r="G11867" s="3">
        <f>IFERROR(__xludf.DUMMYFUNCTION("""COMPUTED_VALUE"""),7.056531537E9)</f>
        <v>7056531537</v>
      </c>
      <c r="H11867" s="3">
        <f>IFERROR(__xludf.DUMMYFUNCTION("""COMPUTED_VALUE"""),7.0565383E9)</f>
        <v>7056538300</v>
      </c>
    </row>
    <row r="11868">
      <c r="A11868" s="2">
        <f>IFERROR(__xludf.DUMMYFUNCTION("""COMPUTED_VALUE"""),71664.0)</f>
        <v>71664</v>
      </c>
      <c r="B11868" s="3" t="str">
        <f>IFERROR(__xludf.DUMMYFUNCTION("""COMPUTED_VALUE"""),"36 LAKE RD")</f>
        <v>36 LAKE RD</v>
      </c>
      <c r="C11868" s="3" t="str">
        <f>IFERROR(__xludf.DUMMYFUNCTION("""COMPUTED_VALUE"""),"MARMORA")</f>
        <v>MARMORA</v>
      </c>
      <c r="D11868" s="3" t="str">
        <f>IFERROR(__xludf.DUMMYFUNCTION("""COMPUTED_VALUE"""),"K0K 2M0")</f>
        <v>K0K 2M0</v>
      </c>
      <c r="E11868" s="3"/>
      <c r="F11868" s="3"/>
      <c r="G11868" s="3"/>
      <c r="H11868" s="3"/>
    </row>
    <row r="11869">
      <c r="A11869" s="2">
        <f>IFERROR(__xludf.DUMMYFUNCTION("""COMPUTED_VALUE"""),71665.0)</f>
        <v>71665</v>
      </c>
      <c r="B11869" s="3" t="str">
        <f>IFERROR(__xludf.DUMMYFUNCTION("""COMPUTED_VALUE"""),"42 LAKE RD")</f>
        <v>42 LAKE RD</v>
      </c>
      <c r="C11869" s="3" t="str">
        <f>IFERROR(__xludf.DUMMYFUNCTION("""COMPUTED_VALUE"""),"MARMORA")</f>
        <v>MARMORA</v>
      </c>
      <c r="D11869" s="3" t="str">
        <f>IFERROR(__xludf.DUMMYFUNCTION("""COMPUTED_VALUE"""),"K0K 2M0")</f>
        <v>K0K 2M0</v>
      </c>
      <c r="E11869" s="3" t="str">
        <f>IFERROR(__xludf.DUMMYFUNCTION("""COMPUTED_VALUE"""),"john prasad")</f>
        <v>john prasad</v>
      </c>
      <c r="F11869" s="3" t="str">
        <f>IFERROR(__xludf.DUMMYFUNCTION("""COMPUTED_VALUE"""),"john.prasad@sympatico.ca")</f>
        <v>john.prasad@sympatico.ca</v>
      </c>
      <c r="G11869" s="3">
        <f>IFERROR(__xludf.DUMMYFUNCTION("""COMPUTED_VALUE"""),7.056530042E9)</f>
        <v>7056530042</v>
      </c>
      <c r="H11869" s="3">
        <f>IFERROR(__xludf.DUMMYFUNCTION("""COMPUTED_VALUE"""),9.059879929E9)</f>
        <v>9059879929</v>
      </c>
    </row>
    <row r="11870">
      <c r="A11870" s="2">
        <f>IFERROR(__xludf.DUMMYFUNCTION("""COMPUTED_VALUE"""),71666.0)</f>
        <v>71666</v>
      </c>
      <c r="B11870" s="3" t="str">
        <f>IFERROR(__xludf.DUMMYFUNCTION("""COMPUTED_VALUE"""),"48 LAKE RD")</f>
        <v>48 LAKE RD</v>
      </c>
      <c r="C11870" s="3" t="str">
        <f>IFERROR(__xludf.DUMMYFUNCTION("""COMPUTED_VALUE"""),"MARMORA")</f>
        <v>MARMORA</v>
      </c>
      <c r="D11870" s="3" t="str">
        <f>IFERROR(__xludf.DUMMYFUNCTION("""COMPUTED_VALUE"""),"K0K 2M0")</f>
        <v>K0K 2M0</v>
      </c>
      <c r="E11870" s="3" t="str">
        <f>IFERROR(__xludf.DUMMYFUNCTION("""COMPUTED_VALUE"""),"todd mcquaid")</f>
        <v>todd mcquaid</v>
      </c>
      <c r="F11870" s="3" t="str">
        <f>IFERROR(__xludf.DUMMYFUNCTION("""COMPUTED_VALUE"""),"mcquaid@outlook.com")</f>
        <v>mcquaid@outlook.com</v>
      </c>
      <c r="G11870" s="3">
        <f>IFERROR(__xludf.DUMMYFUNCTION("""COMPUTED_VALUE"""),7.05653192E9)</f>
        <v>7056531920</v>
      </c>
      <c r="H11870" s="3">
        <f>IFERROR(__xludf.DUMMYFUNCTION("""COMPUTED_VALUE"""),6.138859165E9)</f>
        <v>6138859165</v>
      </c>
    </row>
    <row r="11871">
      <c r="A11871" s="2">
        <f>IFERROR(__xludf.DUMMYFUNCTION("""COMPUTED_VALUE"""),71667.0)</f>
        <v>71667</v>
      </c>
      <c r="B11871" s="3" t="str">
        <f>IFERROR(__xludf.DUMMYFUNCTION("""COMPUTED_VALUE"""),"54 LAKE RD")</f>
        <v>54 LAKE RD</v>
      </c>
      <c r="C11871" s="3" t="str">
        <f>IFERROR(__xludf.DUMMYFUNCTION("""COMPUTED_VALUE"""),"MARMORA")</f>
        <v>MARMORA</v>
      </c>
      <c r="D11871" s="3" t="str">
        <f>IFERROR(__xludf.DUMMYFUNCTION("""COMPUTED_VALUE"""),"K0K 2M0")</f>
        <v>K0K 2M0</v>
      </c>
      <c r="E11871" s="3"/>
      <c r="F11871" s="3"/>
      <c r="G11871" s="3"/>
      <c r="H11871" s="3"/>
    </row>
    <row r="11872">
      <c r="A11872" s="2">
        <f>IFERROR(__xludf.DUMMYFUNCTION("""COMPUTED_VALUE"""),71668.0)</f>
        <v>71668</v>
      </c>
      <c r="B11872" s="3" t="str">
        <f>IFERROR(__xludf.DUMMYFUNCTION("""COMPUTED_VALUE"""),"62 LAKE RD")</f>
        <v>62 LAKE RD</v>
      </c>
      <c r="C11872" s="3" t="str">
        <f>IFERROR(__xludf.DUMMYFUNCTION("""COMPUTED_VALUE"""),"MARMORA")</f>
        <v>MARMORA</v>
      </c>
      <c r="D11872" s="3" t="str">
        <f>IFERROR(__xludf.DUMMYFUNCTION("""COMPUTED_VALUE"""),"K0K 2M0")</f>
        <v>K0K 2M0</v>
      </c>
      <c r="E11872" s="3"/>
      <c r="F11872" s="3"/>
      <c r="G11872" s="3"/>
      <c r="H11872" s="3"/>
    </row>
    <row r="11873">
      <c r="A11873" s="2">
        <f>IFERROR(__xludf.DUMMYFUNCTION("""COMPUTED_VALUE"""),71669.0)</f>
        <v>71669</v>
      </c>
      <c r="B11873" s="3" t="str">
        <f>IFERROR(__xludf.DUMMYFUNCTION("""COMPUTED_VALUE"""),"65 LAKE RD")</f>
        <v>65 LAKE RD</v>
      </c>
      <c r="C11873" s="3" t="str">
        <f>IFERROR(__xludf.DUMMYFUNCTION("""COMPUTED_VALUE"""),"MARMORA")</f>
        <v>MARMORA</v>
      </c>
      <c r="D11873" s="3" t="str">
        <f>IFERROR(__xludf.DUMMYFUNCTION("""COMPUTED_VALUE"""),"K0K 2M0")</f>
        <v>K0K 2M0</v>
      </c>
      <c r="E11873" s="3" t="str">
        <f>IFERROR(__xludf.DUMMYFUNCTION("""COMPUTED_VALUE"""),"darcy swerdfieier")</f>
        <v>darcy swerdfieier</v>
      </c>
      <c r="F11873" s="3"/>
      <c r="G11873" s="3">
        <f>IFERROR(__xludf.DUMMYFUNCTION("""COMPUTED_VALUE"""),9.053492274E9)</f>
        <v>9053492274</v>
      </c>
      <c r="H11873" s="3"/>
    </row>
    <row r="11874">
      <c r="A11874" s="2">
        <f>IFERROR(__xludf.DUMMYFUNCTION("""COMPUTED_VALUE"""),71670.0)</f>
        <v>71670</v>
      </c>
      <c r="B11874" s="3" t="str">
        <f>IFERROR(__xludf.DUMMYFUNCTION("""COMPUTED_VALUE"""),"66 LAKE RD")</f>
        <v>66 LAKE RD</v>
      </c>
      <c r="C11874" s="3" t="str">
        <f>IFERROR(__xludf.DUMMYFUNCTION("""COMPUTED_VALUE"""),"MARMORA")</f>
        <v>MARMORA</v>
      </c>
      <c r="D11874" s="3" t="str">
        <f>IFERROR(__xludf.DUMMYFUNCTION("""COMPUTED_VALUE"""),"K0K 2M0")</f>
        <v>K0K 2M0</v>
      </c>
      <c r="E11874" s="3"/>
      <c r="F11874" s="3"/>
      <c r="G11874" s="3"/>
      <c r="H11874" s="3"/>
    </row>
    <row r="11875">
      <c r="A11875" s="2">
        <f>IFERROR(__xludf.DUMMYFUNCTION("""COMPUTED_VALUE"""),71671.0)</f>
        <v>71671</v>
      </c>
      <c r="B11875" s="3" t="str">
        <f>IFERROR(__xludf.DUMMYFUNCTION("""COMPUTED_VALUE"""),"68 LAKE RD")</f>
        <v>68 LAKE RD</v>
      </c>
      <c r="C11875" s="3" t="str">
        <f>IFERROR(__xludf.DUMMYFUNCTION("""COMPUTED_VALUE"""),"MARMORA")</f>
        <v>MARMORA</v>
      </c>
      <c r="D11875" s="3" t="str">
        <f>IFERROR(__xludf.DUMMYFUNCTION("""COMPUTED_VALUE"""),"K0K 2M0")</f>
        <v>K0K 2M0</v>
      </c>
      <c r="E11875" s="3"/>
      <c r="F11875" s="3"/>
      <c r="G11875" s="3"/>
      <c r="H11875" s="3"/>
    </row>
    <row r="11876">
      <c r="A11876" s="2">
        <f>IFERROR(__xludf.DUMMYFUNCTION("""COMPUTED_VALUE"""),71672.0)</f>
        <v>71672</v>
      </c>
      <c r="B11876" s="3" t="str">
        <f>IFERROR(__xludf.DUMMYFUNCTION("""COMPUTED_VALUE"""),"74 LAKE RD")</f>
        <v>74 LAKE RD</v>
      </c>
      <c r="C11876" s="3" t="str">
        <f>IFERROR(__xludf.DUMMYFUNCTION("""COMPUTED_VALUE"""),"MARMORA")</f>
        <v>MARMORA</v>
      </c>
      <c r="D11876" s="3" t="str">
        <f>IFERROR(__xludf.DUMMYFUNCTION("""COMPUTED_VALUE"""),"K0K 2M0")</f>
        <v>K0K 2M0</v>
      </c>
      <c r="E11876" s="3"/>
      <c r="F11876" s="3"/>
      <c r="G11876" s="3"/>
      <c r="H11876" s="3"/>
    </row>
    <row r="11877">
      <c r="A11877" s="2">
        <f>IFERROR(__xludf.DUMMYFUNCTION("""COMPUTED_VALUE"""),71673.0)</f>
        <v>71673</v>
      </c>
      <c r="B11877" s="3" t="str">
        <f>IFERROR(__xludf.DUMMYFUNCTION("""COMPUTED_VALUE"""),"76 LAKE RD")</f>
        <v>76 LAKE RD</v>
      </c>
      <c r="C11877" s="3" t="str">
        <f>IFERROR(__xludf.DUMMYFUNCTION("""COMPUTED_VALUE"""),"MARMORA")</f>
        <v>MARMORA</v>
      </c>
      <c r="D11877" s="3" t="str">
        <f>IFERROR(__xludf.DUMMYFUNCTION("""COMPUTED_VALUE"""),"K0K 2M0")</f>
        <v>K0K 2M0</v>
      </c>
      <c r="E11877" s="3"/>
      <c r="F11877" s="3"/>
      <c r="G11877" s="3"/>
      <c r="H11877" s="3"/>
    </row>
    <row r="11878">
      <c r="A11878" s="2">
        <f>IFERROR(__xludf.DUMMYFUNCTION("""COMPUTED_VALUE"""),71674.0)</f>
        <v>71674</v>
      </c>
      <c r="B11878" s="3" t="str">
        <f>IFERROR(__xludf.DUMMYFUNCTION("""COMPUTED_VALUE"""),"80 LAKE RD")</f>
        <v>80 LAKE RD</v>
      </c>
      <c r="C11878" s="3" t="str">
        <f>IFERROR(__xludf.DUMMYFUNCTION("""COMPUTED_VALUE"""),"MARMORA")</f>
        <v>MARMORA</v>
      </c>
      <c r="D11878" s="3" t="str">
        <f>IFERROR(__xludf.DUMMYFUNCTION("""COMPUTED_VALUE"""),"K0K 2M0")</f>
        <v>K0K 2M0</v>
      </c>
      <c r="E11878" s="3"/>
      <c r="F11878" s="3"/>
      <c r="G11878" s="3"/>
      <c r="H11878" s="3"/>
    </row>
    <row r="11879">
      <c r="A11879" s="2">
        <f>IFERROR(__xludf.DUMMYFUNCTION("""COMPUTED_VALUE"""),71675.0)</f>
        <v>71675</v>
      </c>
      <c r="B11879" s="3" t="str">
        <f>IFERROR(__xludf.DUMMYFUNCTION("""COMPUTED_VALUE"""),"82 LAKE RD")</f>
        <v>82 LAKE RD</v>
      </c>
      <c r="C11879" s="3" t="str">
        <f>IFERROR(__xludf.DUMMYFUNCTION("""COMPUTED_VALUE"""),"MARMORA")</f>
        <v>MARMORA</v>
      </c>
      <c r="D11879" s="3" t="str">
        <f>IFERROR(__xludf.DUMMYFUNCTION("""COMPUTED_VALUE"""),"K0K 2M0")</f>
        <v>K0K 2M0</v>
      </c>
      <c r="E11879" s="3"/>
      <c r="F11879" s="3"/>
      <c r="G11879" s="3"/>
      <c r="H11879" s="3"/>
    </row>
    <row r="11880">
      <c r="A11880" s="2">
        <f>IFERROR(__xludf.DUMMYFUNCTION("""COMPUTED_VALUE"""),71676.0)</f>
        <v>71676</v>
      </c>
      <c r="B11880" s="3" t="str">
        <f>IFERROR(__xludf.DUMMYFUNCTION("""COMPUTED_VALUE"""),"86 LAKE RD")</f>
        <v>86 LAKE RD</v>
      </c>
      <c r="C11880" s="3" t="str">
        <f>IFERROR(__xludf.DUMMYFUNCTION("""COMPUTED_VALUE"""),"MARMORA")</f>
        <v>MARMORA</v>
      </c>
      <c r="D11880" s="3" t="str">
        <f>IFERROR(__xludf.DUMMYFUNCTION("""COMPUTED_VALUE"""),"K0K 2M0")</f>
        <v>K0K 2M0</v>
      </c>
      <c r="E11880" s="3"/>
      <c r="F11880" s="3"/>
      <c r="G11880" s="3"/>
      <c r="H11880" s="3"/>
    </row>
    <row r="11881">
      <c r="A11881" s="2">
        <f>IFERROR(__xludf.DUMMYFUNCTION("""COMPUTED_VALUE"""),71677.0)</f>
        <v>71677</v>
      </c>
      <c r="B11881" s="3" t="str">
        <f>IFERROR(__xludf.DUMMYFUNCTION("""COMPUTED_VALUE"""),"90 LAKE RD")</f>
        <v>90 LAKE RD</v>
      </c>
      <c r="C11881" s="3" t="str">
        <f>IFERROR(__xludf.DUMMYFUNCTION("""COMPUTED_VALUE"""),"MARMORA")</f>
        <v>MARMORA</v>
      </c>
      <c r="D11881" s="3" t="str">
        <f>IFERROR(__xludf.DUMMYFUNCTION("""COMPUTED_VALUE"""),"K0K 2M0")</f>
        <v>K0K 2M0</v>
      </c>
      <c r="E11881" s="3"/>
      <c r="F11881" s="3"/>
      <c r="G11881" s="3"/>
      <c r="H11881" s="3"/>
    </row>
    <row r="11882">
      <c r="A11882" s="2">
        <f>IFERROR(__xludf.DUMMYFUNCTION("""COMPUTED_VALUE"""),71678.0)</f>
        <v>71678</v>
      </c>
      <c r="B11882" s="3" t="str">
        <f>IFERROR(__xludf.DUMMYFUNCTION("""COMPUTED_VALUE"""),"94 LAKE RD")</f>
        <v>94 LAKE RD</v>
      </c>
      <c r="C11882" s="3" t="str">
        <f>IFERROR(__xludf.DUMMYFUNCTION("""COMPUTED_VALUE"""),"MARMORA")</f>
        <v>MARMORA</v>
      </c>
      <c r="D11882" s="3" t="str">
        <f>IFERROR(__xludf.DUMMYFUNCTION("""COMPUTED_VALUE"""),"K0K 2M0")</f>
        <v>K0K 2M0</v>
      </c>
      <c r="E11882" s="3"/>
      <c r="F11882" s="3"/>
      <c r="G11882" s="3"/>
      <c r="H11882" s="3"/>
    </row>
    <row r="11883">
      <c r="A11883" s="2">
        <f>IFERROR(__xludf.DUMMYFUNCTION("""COMPUTED_VALUE"""),71679.0)</f>
        <v>71679</v>
      </c>
      <c r="B11883" s="3" t="str">
        <f>IFERROR(__xludf.DUMMYFUNCTION("""COMPUTED_VALUE"""),"96 LAKE RD")</f>
        <v>96 LAKE RD</v>
      </c>
      <c r="C11883" s="3" t="str">
        <f>IFERROR(__xludf.DUMMYFUNCTION("""COMPUTED_VALUE"""),"MARMORA")</f>
        <v>MARMORA</v>
      </c>
      <c r="D11883" s="3" t="str">
        <f>IFERROR(__xludf.DUMMYFUNCTION("""COMPUTED_VALUE"""),"K0K 2M0")</f>
        <v>K0K 2M0</v>
      </c>
      <c r="E11883" s="3"/>
      <c r="F11883" s="3"/>
      <c r="G11883" s="3"/>
      <c r="H11883" s="3"/>
    </row>
    <row r="11884">
      <c r="A11884" s="2">
        <f>IFERROR(__xludf.DUMMYFUNCTION("""COMPUTED_VALUE"""),71680.0)</f>
        <v>71680</v>
      </c>
      <c r="B11884" s="3" t="str">
        <f>IFERROR(__xludf.DUMMYFUNCTION("""COMPUTED_VALUE"""),"98 LAKE RD")</f>
        <v>98 LAKE RD</v>
      </c>
      <c r="C11884" s="3" t="str">
        <f>IFERROR(__xludf.DUMMYFUNCTION("""COMPUTED_VALUE"""),"MARMORA")</f>
        <v>MARMORA</v>
      </c>
      <c r="D11884" s="3" t="str">
        <f>IFERROR(__xludf.DUMMYFUNCTION("""COMPUTED_VALUE"""),"K0K 2M0")</f>
        <v>K0K 2M0</v>
      </c>
      <c r="E11884" s="3"/>
      <c r="F11884" s="3"/>
      <c r="G11884" s="3"/>
      <c r="H11884" s="3"/>
    </row>
    <row r="11885">
      <c r="A11885" s="2">
        <f>IFERROR(__xludf.DUMMYFUNCTION("""COMPUTED_VALUE"""),71681.0)</f>
        <v>71681</v>
      </c>
      <c r="B11885" s="3" t="str">
        <f>IFERROR(__xludf.DUMMYFUNCTION("""COMPUTED_VALUE"""),"104 LAKE RD")</f>
        <v>104 LAKE RD</v>
      </c>
      <c r="C11885" s="3" t="str">
        <f>IFERROR(__xludf.DUMMYFUNCTION("""COMPUTED_VALUE"""),"MARMORA")</f>
        <v>MARMORA</v>
      </c>
      <c r="D11885" s="3" t="str">
        <f>IFERROR(__xludf.DUMMYFUNCTION("""COMPUTED_VALUE"""),"K0K 2M0")</f>
        <v>K0K 2M0</v>
      </c>
      <c r="E11885" s="3"/>
      <c r="F11885" s="3"/>
      <c r="G11885" s="3"/>
      <c r="H11885" s="3"/>
    </row>
    <row r="11886">
      <c r="A11886" s="2">
        <f>IFERROR(__xludf.DUMMYFUNCTION("""COMPUTED_VALUE"""),71682.0)</f>
        <v>71682</v>
      </c>
      <c r="B11886" s="3" t="str">
        <f>IFERROR(__xludf.DUMMYFUNCTION("""COMPUTED_VALUE"""),"108 LAKE RD")</f>
        <v>108 LAKE RD</v>
      </c>
      <c r="C11886" s="3" t="str">
        <f>IFERROR(__xludf.DUMMYFUNCTION("""COMPUTED_VALUE"""),"MARMORA")</f>
        <v>MARMORA</v>
      </c>
      <c r="D11886" s="3" t="str">
        <f>IFERROR(__xludf.DUMMYFUNCTION("""COMPUTED_VALUE"""),"K0K 2M0")</f>
        <v>K0K 2M0</v>
      </c>
      <c r="E11886" s="3" t="str">
        <f>IFERROR(__xludf.DUMMYFUNCTION("""COMPUTED_VALUE"""),"gordon wright ")</f>
        <v>gordon wright </v>
      </c>
      <c r="F11886" s="3" t="str">
        <f>IFERROR(__xludf.DUMMYFUNCTION("""COMPUTED_VALUE"""),"gdwsales@sympatico.ca")</f>
        <v>gdwsales@sympatico.ca</v>
      </c>
      <c r="G11886" s="3">
        <f>IFERROR(__xludf.DUMMYFUNCTION("""COMPUTED_VALUE"""),4.167040764E9)</f>
        <v>4167040764</v>
      </c>
      <c r="H11886" s="3"/>
    </row>
    <row r="11887">
      <c r="A11887" s="2">
        <f>IFERROR(__xludf.DUMMYFUNCTION("""COMPUTED_VALUE"""),71683.0)</f>
        <v>71683</v>
      </c>
      <c r="B11887" s="3" t="str">
        <f>IFERROR(__xludf.DUMMYFUNCTION("""COMPUTED_VALUE"""),"112 LAKE RD")</f>
        <v>112 LAKE RD</v>
      </c>
      <c r="C11887" s="3" t="str">
        <f>IFERROR(__xludf.DUMMYFUNCTION("""COMPUTED_VALUE"""),"MARMORA")</f>
        <v>MARMORA</v>
      </c>
      <c r="D11887" s="3" t="str">
        <f>IFERROR(__xludf.DUMMYFUNCTION("""COMPUTED_VALUE"""),"K0K 2M0")</f>
        <v>K0K 2M0</v>
      </c>
      <c r="E11887" s="3"/>
      <c r="F11887" s="3"/>
      <c r="G11887" s="3"/>
      <c r="H11887" s="3"/>
    </row>
    <row r="11888">
      <c r="A11888" s="2">
        <f>IFERROR(__xludf.DUMMYFUNCTION("""COMPUTED_VALUE"""),71684.0)</f>
        <v>71684</v>
      </c>
      <c r="B11888" s="3" t="str">
        <f>IFERROR(__xludf.DUMMYFUNCTION("""COMPUTED_VALUE"""),"116 LAKE RD")</f>
        <v>116 LAKE RD</v>
      </c>
      <c r="C11888" s="3" t="str">
        <f>IFERROR(__xludf.DUMMYFUNCTION("""COMPUTED_VALUE"""),"MARMORA")</f>
        <v>MARMORA</v>
      </c>
      <c r="D11888" s="3" t="str">
        <f>IFERROR(__xludf.DUMMYFUNCTION("""COMPUTED_VALUE"""),"K0K 2M0")</f>
        <v>K0K 2M0</v>
      </c>
      <c r="E11888" s="3" t="str">
        <f>IFERROR(__xludf.DUMMYFUNCTION("""COMPUTED_VALUE"""),"william mayer")</f>
        <v>william mayer</v>
      </c>
      <c r="F11888" s="3" t="str">
        <f>IFERROR(__xludf.DUMMYFUNCTION("""COMPUTED_VALUE"""),"billmayer100@gmail.com")</f>
        <v>billmayer100@gmail.com</v>
      </c>
      <c r="G11888" s="3">
        <f>IFERROR(__xludf.DUMMYFUNCTION("""COMPUTED_VALUE"""),4.404630234E9)</f>
        <v>4404630234</v>
      </c>
      <c r="H11888" s="3"/>
    </row>
    <row r="11889">
      <c r="A11889" s="2">
        <f>IFERROR(__xludf.DUMMYFUNCTION("""COMPUTED_VALUE"""),71685.0)</f>
        <v>71685</v>
      </c>
      <c r="B11889" s="3" t="str">
        <f>IFERROR(__xludf.DUMMYFUNCTION("""COMPUTED_VALUE"""),"120 LAKE RD")</f>
        <v>120 LAKE RD</v>
      </c>
      <c r="C11889" s="3" t="str">
        <f>IFERROR(__xludf.DUMMYFUNCTION("""COMPUTED_VALUE"""),"MARMORA")</f>
        <v>MARMORA</v>
      </c>
      <c r="D11889" s="3" t="str">
        <f>IFERROR(__xludf.DUMMYFUNCTION("""COMPUTED_VALUE"""),"K0K 2M0")</f>
        <v>K0K 2M0</v>
      </c>
      <c r="E11889" s="3"/>
      <c r="F11889" s="3"/>
      <c r="G11889" s="3"/>
      <c r="H11889" s="3"/>
    </row>
    <row r="11890">
      <c r="A11890" s="2">
        <f>IFERROR(__xludf.DUMMYFUNCTION("""COMPUTED_VALUE"""),71686.0)</f>
        <v>71686</v>
      </c>
      <c r="B11890" s="3" t="str">
        <f>IFERROR(__xludf.DUMMYFUNCTION("""COMPUTED_VALUE"""),"124 LAKE RD")</f>
        <v>124 LAKE RD</v>
      </c>
      <c r="C11890" s="3" t="str">
        <f>IFERROR(__xludf.DUMMYFUNCTION("""COMPUTED_VALUE"""),"MARMORA")</f>
        <v>MARMORA</v>
      </c>
      <c r="D11890" s="3" t="str">
        <f>IFERROR(__xludf.DUMMYFUNCTION("""COMPUTED_VALUE"""),"K0K 2M0")</f>
        <v>K0K 2M0</v>
      </c>
      <c r="E11890" s="3" t="str">
        <f>IFERROR(__xludf.DUMMYFUNCTION("""COMPUTED_VALUE"""),"John Hine/Partial Private Road Owner")</f>
        <v>John Hine/Partial Private Road Owner</v>
      </c>
      <c r="F11890" s="3" t="str">
        <f>IFERROR(__xludf.DUMMYFUNCTION("""COMPUTED_VALUE"""),"pontiac.hine@gmail.comm")</f>
        <v>pontiac.hine@gmail.comm</v>
      </c>
      <c r="G11890" s="3"/>
      <c r="H11890" s="3"/>
    </row>
    <row r="11891">
      <c r="A11891" s="2">
        <f>IFERROR(__xludf.DUMMYFUNCTION("""COMPUTED_VALUE"""),71687.0)</f>
        <v>71687</v>
      </c>
      <c r="B11891" s="3" t="str">
        <f>IFERROR(__xludf.DUMMYFUNCTION("""COMPUTED_VALUE"""),"128 LAKE RD")</f>
        <v>128 LAKE RD</v>
      </c>
      <c r="C11891" s="3" t="str">
        <f>IFERROR(__xludf.DUMMYFUNCTION("""COMPUTED_VALUE"""),"MARMORA")</f>
        <v>MARMORA</v>
      </c>
      <c r="D11891" s="3" t="str">
        <f>IFERROR(__xludf.DUMMYFUNCTION("""COMPUTED_VALUE"""),"K0K 2M0")</f>
        <v>K0K 2M0</v>
      </c>
      <c r="E11891" s="3" t="str">
        <f>IFERROR(__xludf.DUMMYFUNCTION("""COMPUTED_VALUE"""),"bonnie montgomery")</f>
        <v>bonnie montgomery</v>
      </c>
      <c r="F11891" s="3" t="str">
        <f>IFERROR(__xludf.DUMMYFUNCTION("""COMPUTED_VALUE"""),"bonnie.montgomery@gmail.com")</f>
        <v>bonnie.montgomery@gmail.com</v>
      </c>
      <c r="G11891" s="3"/>
      <c r="H11891" s="3"/>
    </row>
    <row r="11892">
      <c r="A11892" s="2">
        <f>IFERROR(__xludf.DUMMYFUNCTION("""COMPUTED_VALUE"""),71688.0)</f>
        <v>71688</v>
      </c>
      <c r="B11892" s="3" t="str">
        <f>IFERROR(__xludf.DUMMYFUNCTION("""COMPUTED_VALUE"""),"144 LAKE RD")</f>
        <v>144 LAKE RD</v>
      </c>
      <c r="C11892" s="3" t="str">
        <f>IFERROR(__xludf.DUMMYFUNCTION("""COMPUTED_VALUE"""),"MARMORA")</f>
        <v>MARMORA</v>
      </c>
      <c r="D11892" s="3" t="str">
        <f>IFERROR(__xludf.DUMMYFUNCTION("""COMPUTED_VALUE"""),"K0K 2M0")</f>
        <v>K0K 2M0</v>
      </c>
      <c r="E11892" s="3"/>
      <c r="F11892" s="3"/>
      <c r="G11892" s="3"/>
      <c r="H11892" s="3"/>
    </row>
    <row r="11893">
      <c r="A11893" s="2">
        <f>IFERROR(__xludf.DUMMYFUNCTION("""COMPUTED_VALUE"""),71689.0)</f>
        <v>71689</v>
      </c>
      <c r="B11893" s="3" t="str">
        <f>IFERROR(__xludf.DUMMYFUNCTION("""COMPUTED_VALUE"""),"145 LAKE RD")</f>
        <v>145 LAKE RD</v>
      </c>
      <c r="C11893" s="3" t="str">
        <f>IFERROR(__xludf.DUMMYFUNCTION("""COMPUTED_VALUE"""),"MARMORA")</f>
        <v>MARMORA</v>
      </c>
      <c r="D11893" s="3" t="str">
        <f>IFERROR(__xludf.DUMMYFUNCTION("""COMPUTED_VALUE"""),"K0K 2M0")</f>
        <v>K0K 2M0</v>
      </c>
      <c r="E11893" s="3" t="str">
        <f>IFERROR(__xludf.DUMMYFUNCTION("""COMPUTED_VALUE"""),"lig benjamin")</f>
        <v>lig benjamin</v>
      </c>
      <c r="F11893" s="3" t="str">
        <f>IFERROR(__xludf.DUMMYFUNCTION("""COMPUTED_VALUE"""),"ligbetbenjamin@hotmail.com")</f>
        <v>ligbetbenjamin@hotmail.com</v>
      </c>
      <c r="G11893" s="3">
        <f>IFERROR(__xludf.DUMMYFUNCTION("""COMPUTED_VALUE"""),7.056532402E9)</f>
        <v>7056532402</v>
      </c>
      <c r="H11893" s="3"/>
    </row>
    <row r="11894">
      <c r="A11894" s="2">
        <f>IFERROR(__xludf.DUMMYFUNCTION("""COMPUTED_VALUE"""),71690.0)</f>
        <v>71690</v>
      </c>
      <c r="B11894" s="3" t="str">
        <f>IFERROR(__xludf.DUMMYFUNCTION("""COMPUTED_VALUE"""),"150 LAKE RD")</f>
        <v>150 LAKE RD</v>
      </c>
      <c r="C11894" s="3" t="str">
        <f>IFERROR(__xludf.DUMMYFUNCTION("""COMPUTED_VALUE"""),"MARMORA")</f>
        <v>MARMORA</v>
      </c>
      <c r="D11894" s="3" t="str">
        <f>IFERROR(__xludf.DUMMYFUNCTION("""COMPUTED_VALUE"""),"K0K 2M0")</f>
        <v>K0K 2M0</v>
      </c>
      <c r="E11894" s="3"/>
      <c r="F11894" s="3"/>
      <c r="G11894" s="3"/>
      <c r="H11894" s="3"/>
    </row>
    <row r="11895">
      <c r="A11895" s="2">
        <f>IFERROR(__xludf.DUMMYFUNCTION("""COMPUTED_VALUE"""),71691.0)</f>
        <v>71691</v>
      </c>
      <c r="B11895" s="3" t="str">
        <f>IFERROR(__xludf.DUMMYFUNCTION("""COMPUTED_VALUE"""),"154 LAKE RD")</f>
        <v>154 LAKE RD</v>
      </c>
      <c r="C11895" s="3" t="str">
        <f>IFERROR(__xludf.DUMMYFUNCTION("""COMPUTED_VALUE"""),"MARMORA")</f>
        <v>MARMORA</v>
      </c>
      <c r="D11895" s="3" t="str">
        <f>IFERROR(__xludf.DUMMYFUNCTION("""COMPUTED_VALUE"""),"K0K 2M0")</f>
        <v>K0K 2M0</v>
      </c>
      <c r="E11895" s="3"/>
      <c r="F11895" s="3"/>
      <c r="G11895" s="3"/>
      <c r="H11895" s="3"/>
    </row>
    <row r="11896">
      <c r="A11896" s="2">
        <f>IFERROR(__xludf.DUMMYFUNCTION("""COMPUTED_VALUE"""),71692.0)</f>
        <v>71692</v>
      </c>
      <c r="B11896" s="3" t="str">
        <f>IFERROR(__xludf.DUMMYFUNCTION("""COMPUTED_VALUE"""),"155 LAKE RD")</f>
        <v>155 LAKE RD</v>
      </c>
      <c r="C11896" s="3" t="str">
        <f>IFERROR(__xludf.DUMMYFUNCTION("""COMPUTED_VALUE"""),"MARMORA")</f>
        <v>MARMORA</v>
      </c>
      <c r="D11896" s="3" t="str">
        <f>IFERROR(__xludf.DUMMYFUNCTION("""COMPUTED_VALUE"""),"K0K 2M0")</f>
        <v>K0K 2M0</v>
      </c>
      <c r="E11896" s="3" t="str">
        <f>IFERROR(__xludf.DUMMYFUNCTION("""COMPUTED_VALUE"""),"charles leveile")</f>
        <v>charles leveile</v>
      </c>
      <c r="F11896" s="3"/>
      <c r="G11896" s="3">
        <f>IFERROR(__xludf.DUMMYFUNCTION("""COMPUTED_VALUE"""),9.056236085E9)</f>
        <v>9056236085</v>
      </c>
      <c r="H11896" s="3"/>
    </row>
    <row r="11897">
      <c r="A11897" s="2">
        <f>IFERROR(__xludf.DUMMYFUNCTION("""COMPUTED_VALUE"""),71693.0)</f>
        <v>71693</v>
      </c>
      <c r="B11897" s="3" t="str">
        <f>IFERROR(__xludf.DUMMYFUNCTION("""COMPUTED_VALUE"""),"156 LAKE RD")</f>
        <v>156 LAKE RD</v>
      </c>
      <c r="C11897" s="3" t="str">
        <f>IFERROR(__xludf.DUMMYFUNCTION("""COMPUTED_VALUE"""),"MARMORA")</f>
        <v>MARMORA</v>
      </c>
      <c r="D11897" s="3" t="str">
        <f>IFERROR(__xludf.DUMMYFUNCTION("""COMPUTED_VALUE"""),"K0K 2M0")</f>
        <v>K0K 2M0</v>
      </c>
      <c r="E11897" s="3" t="str">
        <f>IFERROR(__xludf.DUMMYFUNCTION("""COMPUTED_VALUE"""),"susan vokoun ")</f>
        <v>susan vokoun </v>
      </c>
      <c r="F11897" s="3" t="str">
        <f>IFERROR(__xludf.DUMMYFUNCTION("""COMPUTED_VALUE"""),"susanvokoun@yahoo.com")</f>
        <v>susanvokoun@yahoo.com</v>
      </c>
      <c r="G11897" s="3">
        <f>IFERROR(__xludf.DUMMYFUNCTION("""COMPUTED_VALUE"""),7.056330147E9)</f>
        <v>7056330147</v>
      </c>
      <c r="H11897" s="3">
        <f>IFERROR(__xludf.DUMMYFUNCTION("""COMPUTED_VALUE"""),4.4089796E9)</f>
        <v>4408979600</v>
      </c>
    </row>
    <row r="11898">
      <c r="A11898" s="2">
        <f>IFERROR(__xludf.DUMMYFUNCTION("""COMPUTED_VALUE"""),71694.0)</f>
        <v>71694</v>
      </c>
      <c r="B11898" s="3" t="str">
        <f>IFERROR(__xludf.DUMMYFUNCTION("""COMPUTED_VALUE"""),"160 LAKE RD")</f>
        <v>160 LAKE RD</v>
      </c>
      <c r="C11898" s="3" t="str">
        <f>IFERROR(__xludf.DUMMYFUNCTION("""COMPUTED_VALUE"""),"MARMORA")</f>
        <v>MARMORA</v>
      </c>
      <c r="D11898" s="3" t="str">
        <f>IFERROR(__xludf.DUMMYFUNCTION("""COMPUTED_VALUE"""),"K0K 2M0")</f>
        <v>K0K 2M0</v>
      </c>
      <c r="E11898" s="3"/>
      <c r="F11898" s="3"/>
      <c r="G11898" s="3"/>
      <c r="H11898" s="3"/>
    </row>
    <row r="11899">
      <c r="A11899" s="2">
        <f>IFERROR(__xludf.DUMMYFUNCTION("""COMPUTED_VALUE"""),71695.0)</f>
        <v>71695</v>
      </c>
      <c r="B11899" s="3" t="str">
        <f>IFERROR(__xludf.DUMMYFUNCTION("""COMPUTED_VALUE"""),"162 LAKE RD")</f>
        <v>162 LAKE RD</v>
      </c>
      <c r="C11899" s="3" t="str">
        <f>IFERROR(__xludf.DUMMYFUNCTION("""COMPUTED_VALUE"""),"MARMORA")</f>
        <v>MARMORA</v>
      </c>
      <c r="D11899" s="3" t="str">
        <f>IFERROR(__xludf.DUMMYFUNCTION("""COMPUTED_VALUE"""),"K0K 2M0")</f>
        <v>K0K 2M0</v>
      </c>
      <c r="E11899" s="3"/>
      <c r="F11899" s="3"/>
      <c r="G11899" s="3"/>
      <c r="H11899" s="3"/>
    </row>
    <row r="11900">
      <c r="A11900" s="2">
        <f>IFERROR(__xludf.DUMMYFUNCTION("""COMPUTED_VALUE"""),71696.0)</f>
        <v>71696</v>
      </c>
      <c r="B11900" s="3" t="str">
        <f>IFERROR(__xludf.DUMMYFUNCTION("""COMPUTED_VALUE"""),"166 LAKE RD")</f>
        <v>166 LAKE RD</v>
      </c>
      <c r="C11900" s="3" t="str">
        <f>IFERROR(__xludf.DUMMYFUNCTION("""COMPUTED_VALUE"""),"MARMORA")</f>
        <v>MARMORA</v>
      </c>
      <c r="D11900" s="3" t="str">
        <f>IFERROR(__xludf.DUMMYFUNCTION("""COMPUTED_VALUE"""),"K0K 2M0")</f>
        <v>K0K 2M0</v>
      </c>
      <c r="E11900" s="3"/>
      <c r="F11900" s="3"/>
      <c r="G11900" s="3"/>
      <c r="H11900" s="3"/>
    </row>
    <row r="11901">
      <c r="A11901" s="2">
        <f>IFERROR(__xludf.DUMMYFUNCTION("""COMPUTED_VALUE"""),71697.0)</f>
        <v>71697</v>
      </c>
      <c r="B11901" s="3" t="str">
        <f>IFERROR(__xludf.DUMMYFUNCTION("""COMPUTED_VALUE"""),"168 LAKE RD")</f>
        <v>168 LAKE RD</v>
      </c>
      <c r="C11901" s="3" t="str">
        <f>IFERROR(__xludf.DUMMYFUNCTION("""COMPUTED_VALUE"""),"MARMORA")</f>
        <v>MARMORA</v>
      </c>
      <c r="D11901" s="3" t="str">
        <f>IFERROR(__xludf.DUMMYFUNCTION("""COMPUTED_VALUE"""),"K0K 2M0")</f>
        <v>K0K 2M0</v>
      </c>
      <c r="E11901" s="3"/>
      <c r="F11901" s="3"/>
      <c r="G11901" s="3"/>
      <c r="H11901" s="3"/>
    </row>
    <row r="11902">
      <c r="A11902" s="2">
        <f>IFERROR(__xludf.DUMMYFUNCTION("""COMPUTED_VALUE"""),71698.0)</f>
        <v>71698</v>
      </c>
      <c r="B11902" s="3" t="str">
        <f>IFERROR(__xludf.DUMMYFUNCTION("""COMPUTED_VALUE"""),"172 LAKE RD")</f>
        <v>172 LAKE RD</v>
      </c>
      <c r="C11902" s="3" t="str">
        <f>IFERROR(__xludf.DUMMYFUNCTION("""COMPUTED_VALUE"""),"MARMORA")</f>
        <v>MARMORA</v>
      </c>
      <c r="D11902" s="3" t="str">
        <f>IFERROR(__xludf.DUMMYFUNCTION("""COMPUTED_VALUE"""),"K0K 2M0")</f>
        <v>K0K 2M0</v>
      </c>
      <c r="E11902" s="3"/>
      <c r="F11902" s="3"/>
      <c r="G11902" s="3"/>
      <c r="H11902" s="3"/>
    </row>
    <row r="11903">
      <c r="A11903" s="2">
        <f>IFERROR(__xludf.DUMMYFUNCTION("""COMPUTED_VALUE"""),71699.0)</f>
        <v>71699</v>
      </c>
      <c r="B11903" s="3" t="str">
        <f>IFERROR(__xludf.DUMMYFUNCTION("""COMPUTED_VALUE"""),"178 LAKE RD")</f>
        <v>178 LAKE RD</v>
      </c>
      <c r="C11903" s="3" t="str">
        <f>IFERROR(__xludf.DUMMYFUNCTION("""COMPUTED_VALUE"""),"MARMORA")</f>
        <v>MARMORA</v>
      </c>
      <c r="D11903" s="3" t="str">
        <f>IFERROR(__xludf.DUMMYFUNCTION("""COMPUTED_VALUE"""),"K0K 2M0")</f>
        <v>K0K 2M0</v>
      </c>
      <c r="E11903" s="3"/>
      <c r="F11903" s="3"/>
      <c r="G11903" s="3"/>
      <c r="H11903" s="3"/>
    </row>
    <row r="11904">
      <c r="A11904" s="2">
        <f>IFERROR(__xludf.DUMMYFUNCTION("""COMPUTED_VALUE"""),71700.0)</f>
        <v>71700</v>
      </c>
      <c r="B11904" s="3" t="str">
        <f>IFERROR(__xludf.DUMMYFUNCTION("""COMPUTED_VALUE"""),"184 LAKE RD")</f>
        <v>184 LAKE RD</v>
      </c>
      <c r="C11904" s="3" t="str">
        <f>IFERROR(__xludf.DUMMYFUNCTION("""COMPUTED_VALUE"""),"MARMORA")</f>
        <v>MARMORA</v>
      </c>
      <c r="D11904" s="3" t="str">
        <f>IFERROR(__xludf.DUMMYFUNCTION("""COMPUTED_VALUE"""),"K0K 2M0")</f>
        <v>K0K 2M0</v>
      </c>
      <c r="E11904" s="3"/>
      <c r="F11904" s="3"/>
      <c r="G11904" s="3"/>
      <c r="H11904" s="3"/>
    </row>
    <row r="11905">
      <c r="A11905" s="2">
        <f>IFERROR(__xludf.DUMMYFUNCTION("""COMPUTED_VALUE"""),71701.0)</f>
        <v>71701</v>
      </c>
      <c r="B11905" s="3" t="str">
        <f>IFERROR(__xludf.DUMMYFUNCTION("""COMPUTED_VALUE"""),"185 LAKE RD")</f>
        <v>185 LAKE RD</v>
      </c>
      <c r="C11905" s="3" t="str">
        <f>IFERROR(__xludf.DUMMYFUNCTION("""COMPUTED_VALUE"""),"MARMORA")</f>
        <v>MARMORA</v>
      </c>
      <c r="D11905" s="3" t="str">
        <f>IFERROR(__xludf.DUMMYFUNCTION("""COMPUTED_VALUE"""),"K0K 2M0")</f>
        <v>K0K 2M0</v>
      </c>
      <c r="E11905" s="3"/>
      <c r="F11905" s="3"/>
      <c r="G11905" s="3"/>
      <c r="H11905" s="3"/>
    </row>
    <row r="11906">
      <c r="A11906" s="2">
        <f>IFERROR(__xludf.DUMMYFUNCTION("""COMPUTED_VALUE"""),71702.0)</f>
        <v>71702</v>
      </c>
      <c r="B11906" s="3" t="str">
        <f>IFERROR(__xludf.DUMMYFUNCTION("""COMPUTED_VALUE"""),"188 LAKE RD")</f>
        <v>188 LAKE RD</v>
      </c>
      <c r="C11906" s="3" t="str">
        <f>IFERROR(__xludf.DUMMYFUNCTION("""COMPUTED_VALUE"""),"MARMORA")</f>
        <v>MARMORA</v>
      </c>
      <c r="D11906" s="3" t="str">
        <f>IFERROR(__xludf.DUMMYFUNCTION("""COMPUTED_VALUE"""),"K0K 2M0")</f>
        <v>K0K 2M0</v>
      </c>
      <c r="E11906" s="3" t="str">
        <f>IFERROR(__xludf.DUMMYFUNCTION("""COMPUTED_VALUE"""),"ellen ruttan ")</f>
        <v>ellen ruttan </v>
      </c>
      <c r="F11906" s="3" t="str">
        <f>IFERROR(__xludf.DUMMYFUNCTION("""COMPUTED_VALUE"""),"ellen.ruttan@rogers.com")</f>
        <v>ellen.ruttan@rogers.com</v>
      </c>
      <c r="G11906" s="3">
        <f>IFERROR(__xludf.DUMMYFUNCTION("""COMPUTED_VALUE"""),6.47502339E9)</f>
        <v>6475023390</v>
      </c>
      <c r="H11906" s="3"/>
    </row>
    <row r="11907">
      <c r="A11907" s="2">
        <f>IFERROR(__xludf.DUMMYFUNCTION("""COMPUTED_VALUE"""),71703.0)</f>
        <v>71703</v>
      </c>
      <c r="B11907" s="3" t="str">
        <f>IFERROR(__xludf.DUMMYFUNCTION("""COMPUTED_VALUE"""),"192 LAKE RD")</f>
        <v>192 LAKE RD</v>
      </c>
      <c r="C11907" s="3" t="str">
        <f>IFERROR(__xludf.DUMMYFUNCTION("""COMPUTED_VALUE"""),"MARMORA")</f>
        <v>MARMORA</v>
      </c>
      <c r="D11907" s="3" t="str">
        <f>IFERROR(__xludf.DUMMYFUNCTION("""COMPUTED_VALUE"""),"K0K 2M0")</f>
        <v>K0K 2M0</v>
      </c>
      <c r="E11907" s="3"/>
      <c r="F11907" s="3"/>
      <c r="G11907" s="3"/>
      <c r="H11907" s="3"/>
    </row>
    <row r="11908">
      <c r="A11908" s="2">
        <f>IFERROR(__xludf.DUMMYFUNCTION("""COMPUTED_VALUE"""),71704.0)</f>
        <v>71704</v>
      </c>
      <c r="B11908" s="3" t="str">
        <f>IFERROR(__xludf.DUMMYFUNCTION("""COMPUTED_VALUE"""),"196 LAKE RD")</f>
        <v>196 LAKE RD</v>
      </c>
      <c r="C11908" s="3" t="str">
        <f>IFERROR(__xludf.DUMMYFUNCTION("""COMPUTED_VALUE"""),"MARMORA")</f>
        <v>MARMORA</v>
      </c>
      <c r="D11908" s="3" t="str">
        <f>IFERROR(__xludf.DUMMYFUNCTION("""COMPUTED_VALUE"""),"K0K 2M0")</f>
        <v>K0K 2M0</v>
      </c>
      <c r="E11908" s="3"/>
      <c r="F11908" s="3"/>
      <c r="G11908" s="3"/>
      <c r="H11908" s="3"/>
    </row>
    <row r="11909">
      <c r="A11909" s="2">
        <f>IFERROR(__xludf.DUMMYFUNCTION("""COMPUTED_VALUE"""),71705.0)</f>
        <v>71705</v>
      </c>
      <c r="B11909" s="3" t="str">
        <f>IFERROR(__xludf.DUMMYFUNCTION("""COMPUTED_VALUE"""),"197 LAKE RD")</f>
        <v>197 LAKE RD</v>
      </c>
      <c r="C11909" s="3" t="str">
        <f>IFERROR(__xludf.DUMMYFUNCTION("""COMPUTED_VALUE"""),"MARMORA")</f>
        <v>MARMORA</v>
      </c>
      <c r="D11909" s="3" t="str">
        <f>IFERROR(__xludf.DUMMYFUNCTION("""COMPUTED_VALUE"""),"K0K 2M0")</f>
        <v>K0K 2M0</v>
      </c>
      <c r="E11909" s="3" t="str">
        <f>IFERROR(__xludf.DUMMYFUNCTION("""COMPUTED_VALUE"""),"lorne and christine o' brien ")</f>
        <v>lorne and christine o' brien </v>
      </c>
      <c r="F11909" s="3" t="str">
        <f>IFERROR(__xludf.DUMMYFUNCTION("""COMPUTED_VALUE"""),"christineob@live.ca")</f>
        <v>christineob@live.ca</v>
      </c>
      <c r="G11909" s="3">
        <f>IFERROR(__xludf.DUMMYFUNCTION("""COMPUTED_VALUE"""),7.05533755E8)</f>
        <v>705533755</v>
      </c>
      <c r="H11909" s="3"/>
    </row>
    <row r="11910">
      <c r="A11910" s="2">
        <f>IFERROR(__xludf.DUMMYFUNCTION("""COMPUTED_VALUE"""),71706.0)</f>
        <v>71706</v>
      </c>
      <c r="B11910" s="3" t="str">
        <f>IFERROR(__xludf.DUMMYFUNCTION("""COMPUTED_VALUE"""),"198 LAKE RD")</f>
        <v>198 LAKE RD</v>
      </c>
      <c r="C11910" s="3" t="str">
        <f>IFERROR(__xludf.DUMMYFUNCTION("""COMPUTED_VALUE"""),"MARMORA")</f>
        <v>MARMORA</v>
      </c>
      <c r="D11910" s="3" t="str">
        <f>IFERROR(__xludf.DUMMYFUNCTION("""COMPUTED_VALUE"""),"K0K 2M0")</f>
        <v>K0K 2M0</v>
      </c>
      <c r="E11910" s="3"/>
      <c r="F11910" s="3"/>
      <c r="G11910" s="3"/>
      <c r="H11910" s="3"/>
    </row>
    <row r="11911">
      <c r="A11911" s="2">
        <f>IFERROR(__xludf.DUMMYFUNCTION("""COMPUTED_VALUE"""),71707.0)</f>
        <v>71707</v>
      </c>
      <c r="B11911" s="3" t="str">
        <f>IFERROR(__xludf.DUMMYFUNCTION("""COMPUTED_VALUE"""),"200 LAKE RD")</f>
        <v>200 LAKE RD</v>
      </c>
      <c r="C11911" s="3" t="str">
        <f>IFERROR(__xludf.DUMMYFUNCTION("""COMPUTED_VALUE"""),"MARMORA")</f>
        <v>MARMORA</v>
      </c>
      <c r="D11911" s="3" t="str">
        <f>IFERROR(__xludf.DUMMYFUNCTION("""COMPUTED_VALUE"""),"K0K 2M0")</f>
        <v>K0K 2M0</v>
      </c>
      <c r="E11911" s="3"/>
      <c r="F11911" s="3"/>
      <c r="G11911" s="3"/>
      <c r="H11911" s="3"/>
    </row>
    <row r="11912">
      <c r="A11912" s="2">
        <f>IFERROR(__xludf.DUMMYFUNCTION("""COMPUTED_VALUE"""),71708.0)</f>
        <v>71708</v>
      </c>
      <c r="B11912" s="3" t="str">
        <f>IFERROR(__xludf.DUMMYFUNCTION("""COMPUTED_VALUE"""),"203 LAKE RD")</f>
        <v>203 LAKE RD</v>
      </c>
      <c r="C11912" s="3" t="str">
        <f>IFERROR(__xludf.DUMMYFUNCTION("""COMPUTED_VALUE"""),"MARMORA")</f>
        <v>MARMORA</v>
      </c>
      <c r="D11912" s="3" t="str">
        <f>IFERROR(__xludf.DUMMYFUNCTION("""COMPUTED_VALUE"""),"K0K 2M0")</f>
        <v>K0K 2M0</v>
      </c>
      <c r="E11912" s="3"/>
      <c r="F11912" s="3"/>
      <c r="G11912" s="3"/>
      <c r="H11912" s="3"/>
    </row>
    <row r="11913">
      <c r="A11913" s="2">
        <f>IFERROR(__xludf.DUMMYFUNCTION("""COMPUTED_VALUE"""),71709.0)</f>
        <v>71709</v>
      </c>
      <c r="B11913" s="3" t="str">
        <f>IFERROR(__xludf.DUMMYFUNCTION("""COMPUTED_VALUE"""),"205 LAKE RD")</f>
        <v>205 LAKE RD</v>
      </c>
      <c r="C11913" s="3" t="str">
        <f>IFERROR(__xludf.DUMMYFUNCTION("""COMPUTED_VALUE"""),"MARMORA")</f>
        <v>MARMORA</v>
      </c>
      <c r="D11913" s="3" t="str">
        <f>IFERROR(__xludf.DUMMYFUNCTION("""COMPUTED_VALUE"""),"K0K 2M0")</f>
        <v>K0K 2M0</v>
      </c>
      <c r="E11913" s="3"/>
      <c r="F11913" s="3"/>
      <c r="G11913" s="3"/>
      <c r="H11913" s="3"/>
    </row>
    <row r="11914">
      <c r="A11914" s="2">
        <f>IFERROR(__xludf.DUMMYFUNCTION("""COMPUTED_VALUE"""),71710.0)</f>
        <v>71710</v>
      </c>
      <c r="B11914" s="3" t="str">
        <f>IFERROR(__xludf.DUMMYFUNCTION("""COMPUTED_VALUE"""),"206 LAKE RD")</f>
        <v>206 LAKE RD</v>
      </c>
      <c r="C11914" s="3" t="str">
        <f>IFERROR(__xludf.DUMMYFUNCTION("""COMPUTED_VALUE"""),"MARMORA")</f>
        <v>MARMORA</v>
      </c>
      <c r="D11914" s="3" t="str">
        <f>IFERROR(__xludf.DUMMYFUNCTION("""COMPUTED_VALUE"""),"K0K 2M0")</f>
        <v>K0K 2M0</v>
      </c>
      <c r="E11914" s="3"/>
      <c r="F11914" s="3"/>
      <c r="G11914" s="3"/>
      <c r="H11914" s="3"/>
    </row>
    <row r="11915">
      <c r="A11915" s="2">
        <f>IFERROR(__xludf.DUMMYFUNCTION("""COMPUTED_VALUE"""),71711.0)</f>
        <v>71711</v>
      </c>
      <c r="B11915" s="3" t="str">
        <f>IFERROR(__xludf.DUMMYFUNCTION("""COMPUTED_VALUE"""),"207 LAKE RD")</f>
        <v>207 LAKE RD</v>
      </c>
      <c r="C11915" s="3" t="str">
        <f>IFERROR(__xludf.DUMMYFUNCTION("""COMPUTED_VALUE"""),"MARMORA")</f>
        <v>MARMORA</v>
      </c>
      <c r="D11915" s="3" t="str">
        <f>IFERROR(__xludf.DUMMYFUNCTION("""COMPUTED_VALUE"""),"K0K 2M0")</f>
        <v>K0K 2M0</v>
      </c>
      <c r="E11915" s="3"/>
      <c r="F11915" s="3"/>
      <c r="G11915" s="3"/>
      <c r="H11915" s="3"/>
    </row>
    <row r="11916">
      <c r="A11916" s="2">
        <f>IFERROR(__xludf.DUMMYFUNCTION("""COMPUTED_VALUE"""),71712.0)</f>
        <v>71712</v>
      </c>
      <c r="B11916" s="3" t="str">
        <f>IFERROR(__xludf.DUMMYFUNCTION("""COMPUTED_VALUE"""),"210 LAKE RD")</f>
        <v>210 LAKE RD</v>
      </c>
      <c r="C11916" s="3" t="str">
        <f>IFERROR(__xludf.DUMMYFUNCTION("""COMPUTED_VALUE"""),"MARMORA")</f>
        <v>MARMORA</v>
      </c>
      <c r="D11916" s="3" t="str">
        <f>IFERROR(__xludf.DUMMYFUNCTION("""COMPUTED_VALUE"""),"K0K 2M0")</f>
        <v>K0K 2M0</v>
      </c>
      <c r="E11916" s="3"/>
      <c r="F11916" s="3"/>
      <c r="G11916" s="3"/>
      <c r="H11916" s="3"/>
    </row>
    <row r="11917">
      <c r="A11917" s="2">
        <f>IFERROR(__xludf.DUMMYFUNCTION("""COMPUTED_VALUE"""),71713.0)</f>
        <v>71713</v>
      </c>
      <c r="B11917" s="3" t="str">
        <f>IFERROR(__xludf.DUMMYFUNCTION("""COMPUTED_VALUE"""),"218 LAKE RD")</f>
        <v>218 LAKE RD</v>
      </c>
      <c r="C11917" s="3" t="str">
        <f>IFERROR(__xludf.DUMMYFUNCTION("""COMPUTED_VALUE"""),"MARMORA")</f>
        <v>MARMORA</v>
      </c>
      <c r="D11917" s="3" t="str">
        <f>IFERROR(__xludf.DUMMYFUNCTION("""COMPUTED_VALUE"""),"K0K 2M0")</f>
        <v>K0K 2M0</v>
      </c>
      <c r="E11917" s="3"/>
      <c r="F11917" s="3"/>
      <c r="G11917" s="3"/>
      <c r="H11917" s="3"/>
    </row>
    <row r="11918">
      <c r="A11918" s="2">
        <f>IFERROR(__xludf.DUMMYFUNCTION("""COMPUTED_VALUE"""),71714.0)</f>
        <v>71714</v>
      </c>
      <c r="B11918" s="3" t="str">
        <f>IFERROR(__xludf.DUMMYFUNCTION("""COMPUTED_VALUE"""),"232 LAKE RD")</f>
        <v>232 LAKE RD</v>
      </c>
      <c r="C11918" s="3" t="str">
        <f>IFERROR(__xludf.DUMMYFUNCTION("""COMPUTED_VALUE"""),"MARMORA")</f>
        <v>MARMORA</v>
      </c>
      <c r="D11918" s="3" t="str">
        <f>IFERROR(__xludf.DUMMYFUNCTION("""COMPUTED_VALUE"""),"K0K 2M0")</f>
        <v>K0K 2M0</v>
      </c>
      <c r="E11918" s="3"/>
      <c r="F11918" s="3"/>
      <c r="G11918" s="3"/>
      <c r="H11918" s="3"/>
    </row>
    <row r="11919">
      <c r="A11919" s="2">
        <f>IFERROR(__xludf.DUMMYFUNCTION("""COMPUTED_VALUE"""),71715.0)</f>
        <v>71715</v>
      </c>
      <c r="B11919" s="3" t="str">
        <f>IFERROR(__xludf.DUMMYFUNCTION("""COMPUTED_VALUE"""),"244 LAKE RD")</f>
        <v>244 LAKE RD</v>
      </c>
      <c r="C11919" s="3" t="str">
        <f>IFERROR(__xludf.DUMMYFUNCTION("""COMPUTED_VALUE"""),"MARMORA")</f>
        <v>MARMORA</v>
      </c>
      <c r="D11919" s="3" t="str">
        <f>IFERROR(__xludf.DUMMYFUNCTION("""COMPUTED_VALUE"""),"K0K 2M0")</f>
        <v>K0K 2M0</v>
      </c>
      <c r="E11919" s="3"/>
      <c r="F11919" s="3"/>
      <c r="G11919" s="3"/>
      <c r="H11919" s="3"/>
    </row>
    <row r="11920">
      <c r="A11920" s="2">
        <f>IFERROR(__xludf.DUMMYFUNCTION("""COMPUTED_VALUE"""),71716.0)</f>
        <v>71716</v>
      </c>
      <c r="B11920" s="3" t="str">
        <f>IFERROR(__xludf.DUMMYFUNCTION("""COMPUTED_VALUE"""),"248 LAKE RD")</f>
        <v>248 LAKE RD</v>
      </c>
      <c r="C11920" s="3" t="str">
        <f>IFERROR(__xludf.DUMMYFUNCTION("""COMPUTED_VALUE"""),"MARMORA")</f>
        <v>MARMORA</v>
      </c>
      <c r="D11920" s="3" t="str">
        <f>IFERROR(__xludf.DUMMYFUNCTION("""COMPUTED_VALUE"""),"K0K 2M0")</f>
        <v>K0K 2M0</v>
      </c>
      <c r="E11920" s="3" t="str">
        <f>IFERROR(__xludf.DUMMYFUNCTION("""COMPUTED_VALUE"""),"george cooper ")</f>
        <v>george cooper </v>
      </c>
      <c r="F11920" s="3" t="str">
        <f>IFERROR(__xludf.DUMMYFUNCTION("""COMPUTED_VALUE"""),"cousgeo@sympatico.ca")</f>
        <v>cousgeo@sympatico.ca</v>
      </c>
      <c r="G11920" s="3"/>
      <c r="H11920" s="3"/>
    </row>
    <row r="11921">
      <c r="A11921" s="2">
        <f>IFERROR(__xludf.DUMMYFUNCTION("""COMPUTED_VALUE"""),71717.0)</f>
        <v>71717</v>
      </c>
      <c r="B11921" s="3" t="str">
        <f>IFERROR(__xludf.DUMMYFUNCTION("""COMPUTED_VALUE"""),"250 LAKE RD")</f>
        <v>250 LAKE RD</v>
      </c>
      <c r="C11921" s="3" t="str">
        <f>IFERROR(__xludf.DUMMYFUNCTION("""COMPUTED_VALUE"""),"MARMORA")</f>
        <v>MARMORA</v>
      </c>
      <c r="D11921" s="3" t="str">
        <f>IFERROR(__xludf.DUMMYFUNCTION("""COMPUTED_VALUE"""),"K0K 2M0")</f>
        <v>K0K 2M0</v>
      </c>
      <c r="E11921" s="3"/>
      <c r="F11921" s="3"/>
      <c r="G11921" s="3"/>
      <c r="H11921" s="3"/>
    </row>
    <row r="11922">
      <c r="A11922" s="2">
        <f>IFERROR(__xludf.DUMMYFUNCTION("""COMPUTED_VALUE"""),71718.0)</f>
        <v>71718</v>
      </c>
      <c r="B11922" s="3" t="str">
        <f>IFERROR(__xludf.DUMMYFUNCTION("""COMPUTED_VALUE"""),"252 LAKE RD")</f>
        <v>252 LAKE RD</v>
      </c>
      <c r="C11922" s="3" t="str">
        <f>IFERROR(__xludf.DUMMYFUNCTION("""COMPUTED_VALUE"""),"MARMORA")</f>
        <v>MARMORA</v>
      </c>
      <c r="D11922" s="3" t="str">
        <f>IFERROR(__xludf.DUMMYFUNCTION("""COMPUTED_VALUE"""),"K0K 2M0")</f>
        <v>K0K 2M0</v>
      </c>
      <c r="E11922" s="3" t="str">
        <f>IFERROR(__xludf.DUMMYFUNCTION("""COMPUTED_VALUE"""),"gerald frosolone")</f>
        <v>gerald frosolone</v>
      </c>
      <c r="F11922" s="3" t="str">
        <f>IFERROR(__xludf.DUMMYFUNCTION("""COMPUTED_VALUE"""),"gfrosolone@gmail.com")</f>
        <v>gfrosolone@gmail.com</v>
      </c>
      <c r="G11922" s="3">
        <f>IFERROR(__xludf.DUMMYFUNCTION("""COMPUTED_VALUE"""),4.168185174E9)</f>
        <v>4168185174</v>
      </c>
      <c r="H11922" s="3"/>
    </row>
    <row r="11923">
      <c r="A11923" s="2">
        <f>IFERROR(__xludf.DUMMYFUNCTION("""COMPUTED_VALUE"""),71719.0)</f>
        <v>71719</v>
      </c>
      <c r="B11923" s="3" t="str">
        <f>IFERROR(__xludf.DUMMYFUNCTION("""COMPUTED_VALUE"""),"260 LAKE RD")</f>
        <v>260 LAKE RD</v>
      </c>
      <c r="C11923" s="3" t="str">
        <f>IFERROR(__xludf.DUMMYFUNCTION("""COMPUTED_VALUE"""),"MARMORA")</f>
        <v>MARMORA</v>
      </c>
      <c r="D11923" s="3" t="str">
        <f>IFERROR(__xludf.DUMMYFUNCTION("""COMPUTED_VALUE"""),"K0K 2M0")</f>
        <v>K0K 2M0</v>
      </c>
      <c r="E11923" s="3" t="str">
        <f>IFERROR(__xludf.DUMMYFUNCTION("""COMPUTED_VALUE"""),"Selby Pygas")</f>
        <v>Selby Pygas</v>
      </c>
      <c r="F11923" s="3" t="str">
        <f>IFERROR(__xludf.DUMMYFUNCTION("""COMPUTED_VALUE"""),"pygas.sebe@gmail.com")</f>
        <v>pygas.sebe@gmail.com</v>
      </c>
      <c r="G11923" s="3"/>
      <c r="H11923" s="3"/>
    </row>
    <row r="11924">
      <c r="A11924" s="2">
        <f>IFERROR(__xludf.DUMMYFUNCTION("""COMPUTED_VALUE"""),71720.0)</f>
        <v>71720</v>
      </c>
      <c r="B11924" s="3" t="str">
        <f>IFERROR(__xludf.DUMMYFUNCTION("""COMPUTED_VALUE"""),"266 LAKE RD")</f>
        <v>266 LAKE RD</v>
      </c>
      <c r="C11924" s="3" t="str">
        <f>IFERROR(__xludf.DUMMYFUNCTION("""COMPUTED_VALUE"""),"MARMORA")</f>
        <v>MARMORA</v>
      </c>
      <c r="D11924" s="3" t="str">
        <f>IFERROR(__xludf.DUMMYFUNCTION("""COMPUTED_VALUE"""),"K0K 2M0")</f>
        <v>K0K 2M0</v>
      </c>
      <c r="E11924" s="3"/>
      <c r="F11924" s="3"/>
      <c r="G11924" s="3"/>
      <c r="H11924" s="3"/>
    </row>
    <row r="11925">
      <c r="A11925" s="2">
        <f>IFERROR(__xludf.DUMMYFUNCTION("""COMPUTED_VALUE"""),71721.0)</f>
        <v>71721</v>
      </c>
      <c r="B11925" s="3" t="str">
        <f>IFERROR(__xludf.DUMMYFUNCTION("""COMPUTED_VALUE"""),"276 LAKE RD")</f>
        <v>276 LAKE RD</v>
      </c>
      <c r="C11925" s="3" t="str">
        <f>IFERROR(__xludf.DUMMYFUNCTION("""COMPUTED_VALUE"""),"MARMORA")</f>
        <v>MARMORA</v>
      </c>
      <c r="D11925" s="3" t="str">
        <f>IFERROR(__xludf.DUMMYFUNCTION("""COMPUTED_VALUE"""),"K0K 2M0")</f>
        <v>K0K 2M0</v>
      </c>
      <c r="E11925" s="3" t="str">
        <f>IFERROR(__xludf.DUMMYFUNCTION("""COMPUTED_VALUE"""),"Charles Elliott")</f>
        <v>Charles Elliott</v>
      </c>
      <c r="F11925" s="3" t="str">
        <f>IFERROR(__xludf.DUMMYFUNCTION("""COMPUTED_VALUE"""),"276lakeroad@gmail.com")</f>
        <v>276lakeroad@gmail.com</v>
      </c>
      <c r="G11925" s="3"/>
      <c r="H11925" s="3"/>
    </row>
    <row r="11926">
      <c r="A11926" s="2">
        <f>IFERROR(__xludf.DUMMYFUNCTION("""COMPUTED_VALUE"""),71722.0)</f>
        <v>71722</v>
      </c>
      <c r="B11926" s="3" t="str">
        <f>IFERROR(__xludf.DUMMYFUNCTION("""COMPUTED_VALUE"""),"290 LAKE RD")</f>
        <v>290 LAKE RD</v>
      </c>
      <c r="C11926" s="3" t="str">
        <f>IFERROR(__xludf.DUMMYFUNCTION("""COMPUTED_VALUE"""),"MARMORA")</f>
        <v>MARMORA</v>
      </c>
      <c r="D11926" s="3" t="str">
        <f>IFERROR(__xludf.DUMMYFUNCTION("""COMPUTED_VALUE"""),"K0K 2M0")</f>
        <v>K0K 2M0</v>
      </c>
      <c r="E11926" s="3" t="str">
        <f>IFERROR(__xludf.DUMMYFUNCTION("""COMPUTED_VALUE"""),"anna lloyd ")</f>
        <v>anna lloyd </v>
      </c>
      <c r="F11926" s="3" t="str">
        <f>IFERROR(__xludf.DUMMYFUNCTION("""COMPUTED_VALUE"""),"annalloyd@outlook.com")</f>
        <v>annalloyd@outlook.com</v>
      </c>
      <c r="G11926" s="3">
        <f>IFERROR(__xludf.DUMMYFUNCTION("""COMPUTED_VALUE"""),4.16318432E9)</f>
        <v>4163184320</v>
      </c>
      <c r="H11926" s="3"/>
    </row>
    <row r="11927">
      <c r="A11927" s="2">
        <f>IFERROR(__xludf.DUMMYFUNCTION("""COMPUTED_VALUE"""),71723.0)</f>
        <v>71723</v>
      </c>
      <c r="B11927" s="3" t="str">
        <f>IFERROR(__xludf.DUMMYFUNCTION("""COMPUTED_VALUE"""),"308 LAKE RD")</f>
        <v>308 LAKE RD</v>
      </c>
      <c r="C11927" s="3" t="str">
        <f>IFERROR(__xludf.DUMMYFUNCTION("""COMPUTED_VALUE"""),"MARMORA")</f>
        <v>MARMORA</v>
      </c>
      <c r="D11927" s="3" t="str">
        <f>IFERROR(__xludf.DUMMYFUNCTION("""COMPUTED_VALUE"""),"K0K 2M0")</f>
        <v>K0K 2M0</v>
      </c>
      <c r="E11927" s="3"/>
      <c r="F11927" s="3"/>
      <c r="G11927" s="3"/>
      <c r="H11927" s="3"/>
    </row>
    <row r="11928">
      <c r="A11928" s="2">
        <f>IFERROR(__xludf.DUMMYFUNCTION("""COMPUTED_VALUE"""),71724.0)</f>
        <v>71724</v>
      </c>
      <c r="B11928" s="3" t="str">
        <f>IFERROR(__xludf.DUMMYFUNCTION("""COMPUTED_VALUE"""),"315 LAKE RD")</f>
        <v>315 LAKE RD</v>
      </c>
      <c r="C11928" s="3" t="str">
        <f>IFERROR(__xludf.DUMMYFUNCTION("""COMPUTED_VALUE"""),"MARMORA")</f>
        <v>MARMORA</v>
      </c>
      <c r="D11928" s="3" t="str">
        <f>IFERROR(__xludf.DUMMYFUNCTION("""COMPUTED_VALUE"""),"K0K 2M0")</f>
        <v>K0K 2M0</v>
      </c>
      <c r="E11928" s="3" t="str">
        <f>IFERROR(__xludf.DUMMYFUNCTION("""COMPUTED_VALUE"""),"Michaelene Shannon")</f>
        <v>Michaelene Shannon</v>
      </c>
      <c r="F11928" s="3" t="str">
        <f>IFERROR(__xludf.DUMMYFUNCTION("""COMPUTED_VALUE"""),"michaeleneshannon@yahoo.ca")</f>
        <v>michaeleneshannon@yahoo.ca</v>
      </c>
      <c r="G11928" s="3"/>
      <c r="H11928" s="3"/>
    </row>
    <row r="11929">
      <c r="A11929" s="2">
        <f>IFERROR(__xludf.DUMMYFUNCTION("""COMPUTED_VALUE"""),71725.0)</f>
        <v>71725</v>
      </c>
      <c r="B11929" s="3" t="str">
        <f>IFERROR(__xludf.DUMMYFUNCTION("""COMPUTED_VALUE"""),"322 LAKE RD")</f>
        <v>322 LAKE RD</v>
      </c>
      <c r="C11929" s="3" t="str">
        <f>IFERROR(__xludf.DUMMYFUNCTION("""COMPUTED_VALUE"""),"MARMORA")</f>
        <v>MARMORA</v>
      </c>
      <c r="D11929" s="3" t="str">
        <f>IFERROR(__xludf.DUMMYFUNCTION("""COMPUTED_VALUE"""),"K0K 2M0")</f>
        <v>K0K 2M0</v>
      </c>
      <c r="E11929" s="3"/>
      <c r="F11929" s="3"/>
      <c r="G11929" s="3"/>
      <c r="H11929" s="3"/>
    </row>
    <row r="11930">
      <c r="A11930" s="2">
        <f>IFERROR(__xludf.DUMMYFUNCTION("""COMPUTED_VALUE"""),71726.0)</f>
        <v>71726</v>
      </c>
      <c r="B11930" s="3" t="str">
        <f>IFERROR(__xludf.DUMMYFUNCTION("""COMPUTED_VALUE"""),"323 LAKE RD")</f>
        <v>323 LAKE RD</v>
      </c>
      <c r="C11930" s="3" t="str">
        <f>IFERROR(__xludf.DUMMYFUNCTION("""COMPUTED_VALUE"""),"MARMORA")</f>
        <v>MARMORA</v>
      </c>
      <c r="D11930" s="3" t="str">
        <f>IFERROR(__xludf.DUMMYFUNCTION("""COMPUTED_VALUE"""),"K0K 2M0")</f>
        <v>K0K 2M0</v>
      </c>
      <c r="E11930" s="3"/>
      <c r="F11930" s="3"/>
      <c r="G11930" s="3"/>
      <c r="H11930" s="3"/>
    </row>
    <row r="11931">
      <c r="A11931" s="2">
        <f>IFERROR(__xludf.DUMMYFUNCTION("""COMPUTED_VALUE"""),71727.0)</f>
        <v>71727</v>
      </c>
      <c r="B11931" s="3" t="str">
        <f>IFERROR(__xludf.DUMMYFUNCTION("""COMPUTED_VALUE"""),"358 LAKE RD")</f>
        <v>358 LAKE RD</v>
      </c>
      <c r="C11931" s="3" t="str">
        <f>IFERROR(__xludf.DUMMYFUNCTION("""COMPUTED_VALUE"""),"MARMORA")</f>
        <v>MARMORA</v>
      </c>
      <c r="D11931" s="3" t="str">
        <f>IFERROR(__xludf.DUMMYFUNCTION("""COMPUTED_VALUE"""),"K0K 2M0")</f>
        <v>K0K 2M0</v>
      </c>
      <c r="E11931" s="3"/>
      <c r="F11931" s="3"/>
      <c r="G11931" s="3"/>
      <c r="H11931" s="3"/>
    </row>
    <row r="11932">
      <c r="A11932" s="2">
        <f>IFERROR(__xludf.DUMMYFUNCTION("""COMPUTED_VALUE"""),71728.0)</f>
        <v>71728</v>
      </c>
      <c r="B11932" s="3" t="str">
        <f>IFERROR(__xludf.DUMMYFUNCTION("""COMPUTED_VALUE"""),"364 LAKE RD")</f>
        <v>364 LAKE RD</v>
      </c>
      <c r="C11932" s="3" t="str">
        <f>IFERROR(__xludf.DUMMYFUNCTION("""COMPUTED_VALUE"""),"MARMORA")</f>
        <v>MARMORA</v>
      </c>
      <c r="D11932" s="3" t="str">
        <f>IFERROR(__xludf.DUMMYFUNCTION("""COMPUTED_VALUE"""),"K0K 2M0")</f>
        <v>K0K 2M0</v>
      </c>
      <c r="E11932" s="3"/>
      <c r="F11932" s="3"/>
      <c r="G11932" s="3"/>
      <c r="H11932" s="3"/>
    </row>
    <row r="11933">
      <c r="A11933" s="2">
        <f>IFERROR(__xludf.DUMMYFUNCTION("""COMPUTED_VALUE"""),71729.0)</f>
        <v>71729</v>
      </c>
      <c r="B11933" s="3" t="str">
        <f>IFERROR(__xludf.DUMMYFUNCTION("""COMPUTED_VALUE"""),"366 LAKE RD")</f>
        <v>366 LAKE RD</v>
      </c>
      <c r="C11933" s="3" t="str">
        <f>IFERROR(__xludf.DUMMYFUNCTION("""COMPUTED_VALUE"""),"MARMORA")</f>
        <v>MARMORA</v>
      </c>
      <c r="D11933" s="3" t="str">
        <f>IFERROR(__xludf.DUMMYFUNCTION("""COMPUTED_VALUE"""),"K0K 2M0")</f>
        <v>K0K 2M0</v>
      </c>
      <c r="E11933" s="3" t="str">
        <f>IFERROR(__xludf.DUMMYFUNCTION("""COMPUTED_VALUE"""),"Bruce Garrod | Moira Robinson")</f>
        <v>Bruce Garrod | Moira Robinson</v>
      </c>
      <c r="F11933" s="3" t="str">
        <f>IFERROR(__xludf.DUMMYFUNCTION("""COMPUTED_VALUE"""),"bgarrod5545@gmail.com")</f>
        <v>bgarrod5545@gmail.com</v>
      </c>
      <c r="G11933" s="3">
        <f>IFERROR(__xludf.DUMMYFUNCTION("""COMPUTED_VALUE"""),6.135324927E9)</f>
        <v>6135324927</v>
      </c>
      <c r="H11933" s="3">
        <f>IFERROR(__xludf.DUMMYFUNCTION("""COMPUTED_VALUE"""),4.167884609E9)</f>
        <v>4167884609</v>
      </c>
    </row>
    <row r="11934">
      <c r="A11934" s="2">
        <f>IFERROR(__xludf.DUMMYFUNCTION("""COMPUTED_VALUE"""),71730.0)</f>
        <v>71730</v>
      </c>
      <c r="B11934" s="3" t="str">
        <f>IFERROR(__xludf.DUMMYFUNCTION("""COMPUTED_VALUE"""),"382 LAKE RD")</f>
        <v>382 LAKE RD</v>
      </c>
      <c r="C11934" s="3" t="str">
        <f>IFERROR(__xludf.DUMMYFUNCTION("""COMPUTED_VALUE"""),"MARMORA")</f>
        <v>MARMORA</v>
      </c>
      <c r="D11934" s="3" t="str">
        <f>IFERROR(__xludf.DUMMYFUNCTION("""COMPUTED_VALUE"""),"K0K 2M0")</f>
        <v>K0K 2M0</v>
      </c>
      <c r="E11934" s="3"/>
      <c r="F11934" s="3"/>
      <c r="G11934" s="3"/>
      <c r="H11934" s="3"/>
    </row>
    <row r="11935">
      <c r="A11935" s="2">
        <f>IFERROR(__xludf.DUMMYFUNCTION("""COMPUTED_VALUE"""),71731.0)</f>
        <v>71731</v>
      </c>
      <c r="B11935" s="3" t="str">
        <f>IFERROR(__xludf.DUMMYFUNCTION("""COMPUTED_VALUE"""),"390 LAKE RD")</f>
        <v>390 LAKE RD</v>
      </c>
      <c r="C11935" s="3" t="str">
        <f>IFERROR(__xludf.DUMMYFUNCTION("""COMPUTED_VALUE"""),"MARMORA")</f>
        <v>MARMORA</v>
      </c>
      <c r="D11935" s="3" t="str">
        <f>IFERROR(__xludf.DUMMYFUNCTION("""COMPUTED_VALUE"""),"K0K 2M0")</f>
        <v>K0K 2M0</v>
      </c>
      <c r="E11935" s="3" t="str">
        <f>IFERROR(__xludf.DUMMYFUNCTION("""COMPUTED_VALUE"""),"Arthur Van Ryn")</f>
        <v>Arthur Van Ryn</v>
      </c>
      <c r="F11935" s="3" t="str">
        <f>IFERROR(__xludf.DUMMYFUNCTION("""COMPUTED_VALUE"""),"artvanryn@gmail.com")</f>
        <v>artvanryn@gmail.com</v>
      </c>
      <c r="G11935" s="3"/>
      <c r="H11935" s="3"/>
    </row>
    <row r="11936">
      <c r="A11936" s="2">
        <f>IFERROR(__xludf.DUMMYFUNCTION("""COMPUTED_VALUE"""),71732.0)</f>
        <v>71732</v>
      </c>
      <c r="B11936" s="3" t="str">
        <f>IFERROR(__xludf.DUMMYFUNCTION("""COMPUTED_VALUE"""),"402 LAKE RD")</f>
        <v>402 LAKE RD</v>
      </c>
      <c r="C11936" s="3" t="str">
        <f>IFERROR(__xludf.DUMMYFUNCTION("""COMPUTED_VALUE"""),"MARMORA")</f>
        <v>MARMORA</v>
      </c>
      <c r="D11936" s="3" t="str">
        <f>IFERROR(__xludf.DUMMYFUNCTION("""COMPUTED_VALUE"""),"K0K 2M0")</f>
        <v>K0K 2M0</v>
      </c>
      <c r="E11936" s="3" t="str">
        <f>IFERROR(__xludf.DUMMYFUNCTION("""COMPUTED_VALUE"""),"Arthur Van Ryn")</f>
        <v>Arthur Van Ryn</v>
      </c>
      <c r="F11936" s="3" t="str">
        <f>IFERROR(__xludf.DUMMYFUNCTION("""COMPUTED_VALUE"""),"artvanryn@gmail.com")</f>
        <v>artvanryn@gmail.com</v>
      </c>
      <c r="G11936" s="3"/>
      <c r="H11936" s="3"/>
    </row>
    <row r="11937">
      <c r="A11937" s="2">
        <f>IFERROR(__xludf.DUMMYFUNCTION("""COMPUTED_VALUE"""),71734.0)</f>
        <v>71734</v>
      </c>
      <c r="B11937" s="3" t="str">
        <f>IFERROR(__xludf.DUMMYFUNCTION("""COMPUTED_VALUE"""),"408 LAKE RD")</f>
        <v>408 LAKE RD</v>
      </c>
      <c r="C11937" s="3" t="str">
        <f>IFERROR(__xludf.DUMMYFUNCTION("""COMPUTED_VALUE"""),"MARMORA")</f>
        <v>MARMORA</v>
      </c>
      <c r="D11937" s="3" t="str">
        <f>IFERROR(__xludf.DUMMYFUNCTION("""COMPUTED_VALUE"""),"K0K 2M0")</f>
        <v>K0K 2M0</v>
      </c>
      <c r="E11937" s="3"/>
      <c r="F11937" s="3"/>
      <c r="G11937" s="3"/>
      <c r="H11937" s="3"/>
    </row>
    <row r="11938">
      <c r="A11938" s="2">
        <f>IFERROR(__xludf.DUMMYFUNCTION("""COMPUTED_VALUE"""),71735.0)</f>
        <v>71735</v>
      </c>
      <c r="B11938" s="3" t="str">
        <f>IFERROR(__xludf.DUMMYFUNCTION("""COMPUTED_VALUE"""),"412 LAKE RD")</f>
        <v>412 LAKE RD</v>
      </c>
      <c r="C11938" s="3" t="str">
        <f>IFERROR(__xludf.DUMMYFUNCTION("""COMPUTED_VALUE"""),"MARMORA")</f>
        <v>MARMORA</v>
      </c>
      <c r="D11938" s="3" t="str">
        <f>IFERROR(__xludf.DUMMYFUNCTION("""COMPUTED_VALUE"""),"K0K 2M0")</f>
        <v>K0K 2M0</v>
      </c>
      <c r="E11938" s="3"/>
      <c r="F11938" s="3"/>
      <c r="G11938" s="3"/>
      <c r="H11938" s="3"/>
    </row>
    <row r="11939">
      <c r="A11939" s="2">
        <f>IFERROR(__xludf.DUMMYFUNCTION("""COMPUTED_VALUE"""),71736.0)</f>
        <v>71736</v>
      </c>
      <c r="B11939" s="3" t="str">
        <f>IFERROR(__xludf.DUMMYFUNCTION("""COMPUTED_VALUE"""),"418 LAKE RD")</f>
        <v>418 LAKE RD</v>
      </c>
      <c r="C11939" s="3" t="str">
        <f>IFERROR(__xludf.DUMMYFUNCTION("""COMPUTED_VALUE"""),"MARMORA")</f>
        <v>MARMORA</v>
      </c>
      <c r="D11939" s="3" t="str">
        <f>IFERROR(__xludf.DUMMYFUNCTION("""COMPUTED_VALUE"""),"K0K 2M0")</f>
        <v>K0K 2M0</v>
      </c>
      <c r="E11939" s="3"/>
      <c r="F11939" s="3"/>
      <c r="G11939" s="3"/>
      <c r="H11939" s="3"/>
    </row>
    <row r="11940">
      <c r="A11940" s="2">
        <f>IFERROR(__xludf.DUMMYFUNCTION("""COMPUTED_VALUE"""),71737.0)</f>
        <v>71737</v>
      </c>
      <c r="B11940" s="3" t="str">
        <f>IFERROR(__xludf.DUMMYFUNCTION("""COMPUTED_VALUE"""),"424 LAKE RD")</f>
        <v>424 LAKE RD</v>
      </c>
      <c r="C11940" s="3" t="str">
        <f>IFERROR(__xludf.DUMMYFUNCTION("""COMPUTED_VALUE"""),"MARMORA")</f>
        <v>MARMORA</v>
      </c>
      <c r="D11940" s="3" t="str">
        <f>IFERROR(__xludf.DUMMYFUNCTION("""COMPUTED_VALUE"""),"K0K 2M0")</f>
        <v>K0K 2M0</v>
      </c>
      <c r="E11940" s="3"/>
      <c r="F11940" s="3"/>
      <c r="G11940" s="3"/>
      <c r="H11940" s="3"/>
    </row>
    <row r="11941">
      <c r="A11941" s="2">
        <f>IFERROR(__xludf.DUMMYFUNCTION("""COMPUTED_VALUE"""),71738.0)</f>
        <v>71738</v>
      </c>
      <c r="B11941" s="3" t="str">
        <f>IFERROR(__xludf.DUMMYFUNCTION("""COMPUTED_VALUE"""),"428 LAKE RD")</f>
        <v>428 LAKE RD</v>
      </c>
      <c r="C11941" s="3" t="str">
        <f>IFERROR(__xludf.DUMMYFUNCTION("""COMPUTED_VALUE"""),"MARMORA")</f>
        <v>MARMORA</v>
      </c>
      <c r="D11941" s="3" t="str">
        <f>IFERROR(__xludf.DUMMYFUNCTION("""COMPUTED_VALUE"""),"K0K 2M0")</f>
        <v>K0K 2M0</v>
      </c>
      <c r="E11941" s="3"/>
      <c r="F11941" s="3"/>
      <c r="G11941" s="3"/>
      <c r="H11941" s="3"/>
    </row>
    <row r="11942">
      <c r="A11942" s="2">
        <f>IFERROR(__xludf.DUMMYFUNCTION("""COMPUTED_VALUE"""),71739.0)</f>
        <v>71739</v>
      </c>
      <c r="B11942" s="3" t="str">
        <f>IFERROR(__xludf.DUMMYFUNCTION("""COMPUTED_VALUE"""),"430 LAKE RD")</f>
        <v>430 LAKE RD</v>
      </c>
      <c r="C11942" s="3" t="str">
        <f>IFERROR(__xludf.DUMMYFUNCTION("""COMPUTED_VALUE"""),"MARMORA")</f>
        <v>MARMORA</v>
      </c>
      <c r="D11942" s="3" t="str">
        <f>IFERROR(__xludf.DUMMYFUNCTION("""COMPUTED_VALUE"""),"K0K 2M0")</f>
        <v>K0K 2M0</v>
      </c>
      <c r="E11942" s="3"/>
      <c r="F11942" s="3"/>
      <c r="G11942" s="3"/>
      <c r="H11942" s="3"/>
    </row>
    <row r="11943">
      <c r="A11943" s="2">
        <f>IFERROR(__xludf.DUMMYFUNCTION("""COMPUTED_VALUE"""),71740.0)</f>
        <v>71740</v>
      </c>
      <c r="B11943" s="3" t="str">
        <f>IFERROR(__xludf.DUMMYFUNCTION("""COMPUTED_VALUE"""),"36B LAKE RD")</f>
        <v>36B LAKE RD</v>
      </c>
      <c r="C11943" s="3" t="str">
        <f>IFERROR(__xludf.DUMMYFUNCTION("""COMPUTED_VALUE"""),"MARMORA")</f>
        <v>MARMORA</v>
      </c>
      <c r="D11943" s="3" t="str">
        <f>IFERROR(__xludf.DUMMYFUNCTION("""COMPUTED_VALUE"""),"K0K 2M0")</f>
        <v>K0K 2M0</v>
      </c>
      <c r="E11943" s="3"/>
      <c r="F11943" s="3"/>
      <c r="G11943" s="3"/>
      <c r="H11943" s="3"/>
    </row>
    <row r="11944">
      <c r="A11944" s="2">
        <f>IFERROR(__xludf.DUMMYFUNCTION("""COMPUTED_VALUE"""),71741.0)</f>
        <v>71741</v>
      </c>
      <c r="B11944" s="3" t="str">
        <f>IFERROR(__xludf.DUMMYFUNCTION("""COMPUTED_VALUE"""),"1570 LITTLE FRY AC RD")</f>
        <v>1570 LITTLE FRY AC RD</v>
      </c>
      <c r="C11944" s="3" t="str">
        <f>IFERROR(__xludf.DUMMYFUNCTION("""COMPUTED_VALUE"""),"CAMPBELLFORD")</f>
        <v>CAMPBELLFORD</v>
      </c>
      <c r="D11944" s="3" t="str">
        <f>IFERROR(__xludf.DUMMYFUNCTION("""COMPUTED_VALUE"""),"K0L 1L0")</f>
        <v>K0L 1L0</v>
      </c>
      <c r="E11944" s="3" t="str">
        <f>IFERROR(__xludf.DUMMYFUNCTION("""COMPUTED_VALUE"""),"Natalie &amp; Paul Marineau")</f>
        <v>Natalie &amp; Paul Marineau</v>
      </c>
      <c r="F11944" s="3" t="str">
        <f>IFERROR(__xludf.DUMMYFUNCTION("""COMPUTED_VALUE"""),"natalie.marineau@gmail.com")</f>
        <v>natalie.marineau@gmail.com</v>
      </c>
      <c r="G11944" s="3"/>
      <c r="H11944" s="3"/>
    </row>
    <row r="11945">
      <c r="A11945" s="2">
        <f>IFERROR(__xludf.DUMMYFUNCTION("""COMPUTED_VALUE"""),71742.0)</f>
        <v>71742</v>
      </c>
      <c r="B11945" s="3" t="str">
        <f>IFERROR(__xludf.DUMMYFUNCTION("""COMPUTED_VALUE"""),"1581 LITTLE FRY ACRES RD")</f>
        <v>1581 LITTLE FRY ACRES RD</v>
      </c>
      <c r="C11945" s="3" t="str">
        <f>IFERROR(__xludf.DUMMYFUNCTION("""COMPUTED_VALUE"""),"CAMPBELLFORD")</f>
        <v>CAMPBELLFORD</v>
      </c>
      <c r="D11945" s="3" t="str">
        <f>IFERROR(__xludf.DUMMYFUNCTION("""COMPUTED_VALUE"""),"K0L 1L0")</f>
        <v>K0L 1L0</v>
      </c>
      <c r="E11945" s="3"/>
      <c r="F11945" s="3"/>
      <c r="G11945" s="3"/>
      <c r="H11945" s="3"/>
    </row>
    <row r="11946">
      <c r="A11946" s="2">
        <f>IFERROR(__xludf.DUMMYFUNCTION("""COMPUTED_VALUE"""),71743.0)</f>
        <v>71743</v>
      </c>
      <c r="B11946" s="3" t="str">
        <f>IFERROR(__xludf.DUMMYFUNCTION("""COMPUTED_VALUE"""),"1587 LITTLE FRY ACRES RD")</f>
        <v>1587 LITTLE FRY ACRES RD</v>
      </c>
      <c r="C11946" s="3" t="str">
        <f>IFERROR(__xludf.DUMMYFUNCTION("""COMPUTED_VALUE"""),"CAMPBELLFORD")</f>
        <v>CAMPBELLFORD</v>
      </c>
      <c r="D11946" s="3" t="str">
        <f>IFERROR(__xludf.DUMMYFUNCTION("""COMPUTED_VALUE"""),"K0L 1L0")</f>
        <v>K0L 1L0</v>
      </c>
      <c r="E11946" s="3"/>
      <c r="F11946" s="3"/>
      <c r="G11946" s="3"/>
      <c r="H11946" s="3"/>
    </row>
    <row r="11947">
      <c r="A11947" s="2">
        <f>IFERROR(__xludf.DUMMYFUNCTION("""COMPUTED_VALUE"""),71744.0)</f>
        <v>71744</v>
      </c>
      <c r="B11947" s="3" t="str">
        <f>IFERROR(__xludf.DUMMYFUNCTION("""COMPUTED_VALUE"""),"1590 LITTLE FRY AC RD")</f>
        <v>1590 LITTLE FRY AC RD</v>
      </c>
      <c r="C11947" s="3" t="str">
        <f>IFERROR(__xludf.DUMMYFUNCTION("""COMPUTED_VALUE"""),"CAMPBELLFORD")</f>
        <v>CAMPBELLFORD</v>
      </c>
      <c r="D11947" s="3" t="str">
        <f>IFERROR(__xludf.DUMMYFUNCTION("""COMPUTED_VALUE"""),"K0L 1L0")</f>
        <v>K0L 1L0</v>
      </c>
      <c r="E11947" s="3"/>
      <c r="F11947" s="3"/>
      <c r="G11947" s="3"/>
      <c r="H11947" s="3"/>
    </row>
    <row r="11948">
      <c r="A11948" s="2">
        <f>IFERROR(__xludf.DUMMYFUNCTION("""COMPUTED_VALUE"""),71745.0)</f>
        <v>71745</v>
      </c>
      <c r="B11948" s="3" t="str">
        <f>IFERROR(__xludf.DUMMYFUNCTION("""COMPUTED_VALUE"""),"1593 LITTLE FRY AC RD")</f>
        <v>1593 LITTLE FRY AC RD</v>
      </c>
      <c r="C11948" s="3" t="str">
        <f>IFERROR(__xludf.DUMMYFUNCTION("""COMPUTED_VALUE"""),"CAMPBELLFORD")</f>
        <v>CAMPBELLFORD</v>
      </c>
      <c r="D11948" s="3" t="str">
        <f>IFERROR(__xludf.DUMMYFUNCTION("""COMPUTED_VALUE"""),"K0L 1L0")</f>
        <v>K0L 1L0</v>
      </c>
      <c r="E11948" s="3"/>
      <c r="F11948" s="3"/>
      <c r="G11948" s="3"/>
      <c r="H11948" s="3"/>
    </row>
    <row r="11949">
      <c r="A11949" s="2">
        <f>IFERROR(__xludf.DUMMYFUNCTION("""COMPUTED_VALUE"""),71746.0)</f>
        <v>71746</v>
      </c>
      <c r="B11949" s="3" t="str">
        <f>IFERROR(__xludf.DUMMYFUNCTION("""COMPUTED_VALUE"""),"1596 LITTLE FRY ACRES RD")</f>
        <v>1596 LITTLE FRY ACRES RD</v>
      </c>
      <c r="C11949" s="3" t="str">
        <f>IFERROR(__xludf.DUMMYFUNCTION("""COMPUTED_VALUE"""),"CAMPBELLFORD")</f>
        <v>CAMPBELLFORD</v>
      </c>
      <c r="D11949" s="3" t="str">
        <f>IFERROR(__xludf.DUMMYFUNCTION("""COMPUTED_VALUE"""),"K0L 1L0")</f>
        <v>K0L 1L0</v>
      </c>
      <c r="E11949" s="3" t="str">
        <f>IFERROR(__xludf.DUMMYFUNCTION("""COMPUTED_VALUE"""),"Kristin C McCarthy")</f>
        <v>Kristin C McCarthy</v>
      </c>
      <c r="F11949" s="3" t="str">
        <f>IFERROR(__xludf.DUMMYFUNCTION("""COMPUTED_VALUE"""),"kristinrobertson27@gmail.com")</f>
        <v>kristinrobertson27@gmail.com</v>
      </c>
      <c r="G11949" s="3">
        <f>IFERROR(__xludf.DUMMYFUNCTION("""COMPUTED_VALUE"""),4.168069564E9)</f>
        <v>4168069564</v>
      </c>
      <c r="H11949" s="3">
        <f>IFERROR(__xludf.DUMMYFUNCTION("""COMPUTED_VALUE"""),4.169173797E9)</f>
        <v>4169173797</v>
      </c>
    </row>
    <row r="11950">
      <c r="A11950" s="2">
        <f>IFERROR(__xludf.DUMMYFUNCTION("""COMPUTED_VALUE"""),71747.0)</f>
        <v>71747</v>
      </c>
      <c r="B11950" s="3" t="str">
        <f>IFERROR(__xludf.DUMMYFUNCTION("""COMPUTED_VALUE"""),"1597 LITTLE FRY ACRES RD")</f>
        <v>1597 LITTLE FRY ACRES RD</v>
      </c>
      <c r="C11950" s="3" t="str">
        <f>IFERROR(__xludf.DUMMYFUNCTION("""COMPUTED_VALUE"""),"CAMPBELLFORD")</f>
        <v>CAMPBELLFORD</v>
      </c>
      <c r="D11950" s="3" t="str">
        <f>IFERROR(__xludf.DUMMYFUNCTION("""COMPUTED_VALUE"""),"K0L 1L0")</f>
        <v>K0L 1L0</v>
      </c>
      <c r="E11950" s="3"/>
      <c r="F11950" s="3"/>
      <c r="G11950" s="3"/>
      <c r="H11950" s="3"/>
    </row>
    <row r="11951">
      <c r="A11951" s="2">
        <f>IFERROR(__xludf.DUMMYFUNCTION("""COMPUTED_VALUE"""),71748.0)</f>
        <v>71748</v>
      </c>
      <c r="B11951" s="3" t="str">
        <f>IFERROR(__xludf.DUMMYFUNCTION("""COMPUTED_VALUE"""),"1601 LITTLE FRY AC RD")</f>
        <v>1601 LITTLE FRY AC RD</v>
      </c>
      <c r="C11951" s="3" t="str">
        <f>IFERROR(__xludf.DUMMYFUNCTION("""COMPUTED_VALUE"""),"CAMPBELLFORD")</f>
        <v>CAMPBELLFORD</v>
      </c>
      <c r="D11951" s="3" t="str">
        <f>IFERROR(__xludf.DUMMYFUNCTION("""COMPUTED_VALUE"""),"K0L 1L0")</f>
        <v>K0L 1L0</v>
      </c>
      <c r="E11951" s="3"/>
      <c r="F11951" s="3"/>
      <c r="G11951" s="3"/>
      <c r="H11951" s="3"/>
    </row>
    <row r="11952">
      <c r="A11952" s="2">
        <f>IFERROR(__xludf.DUMMYFUNCTION("""COMPUTED_VALUE"""),71749.0)</f>
        <v>71749</v>
      </c>
      <c r="B11952" s="3" t="str">
        <f>IFERROR(__xludf.DUMMYFUNCTION("""COMPUTED_VALUE"""),"1604 LITTLE FRY ACRES RD")</f>
        <v>1604 LITTLE FRY ACRES RD</v>
      </c>
      <c r="C11952" s="3" t="str">
        <f>IFERROR(__xludf.DUMMYFUNCTION("""COMPUTED_VALUE"""),"CAMPBELLFORD")</f>
        <v>CAMPBELLFORD</v>
      </c>
      <c r="D11952" s="3" t="str">
        <f>IFERROR(__xludf.DUMMYFUNCTION("""COMPUTED_VALUE"""),"K0L 1L0")</f>
        <v>K0L 1L0</v>
      </c>
      <c r="E11952" s="3"/>
      <c r="F11952" s="3"/>
      <c r="G11952" s="3"/>
      <c r="H11952" s="3"/>
    </row>
    <row r="11953">
      <c r="A11953" s="2">
        <f>IFERROR(__xludf.DUMMYFUNCTION("""COMPUTED_VALUE"""),71750.0)</f>
        <v>71750</v>
      </c>
      <c r="B11953" s="3" t="str">
        <f>IFERROR(__xludf.DUMMYFUNCTION("""COMPUTED_VALUE"""),"1607 LITTLE FRY ACRES RD")</f>
        <v>1607 LITTLE FRY ACRES RD</v>
      </c>
      <c r="C11953" s="3" t="str">
        <f>IFERROR(__xludf.DUMMYFUNCTION("""COMPUTED_VALUE"""),"CAMPBELLFORD")</f>
        <v>CAMPBELLFORD</v>
      </c>
      <c r="D11953" s="3" t="str">
        <f>IFERROR(__xludf.DUMMYFUNCTION("""COMPUTED_VALUE"""),"K0L 1L0")</f>
        <v>K0L 1L0</v>
      </c>
      <c r="E11953" s="3"/>
      <c r="F11953" s="3"/>
      <c r="G11953" s="3"/>
      <c r="H11953" s="3"/>
    </row>
    <row r="11954">
      <c r="A11954" s="2">
        <f>IFERROR(__xludf.DUMMYFUNCTION("""COMPUTED_VALUE"""),71751.0)</f>
        <v>71751</v>
      </c>
      <c r="B11954" s="3" t="str">
        <f>IFERROR(__xludf.DUMMYFUNCTION("""COMPUTED_VALUE"""),"1613 LITTLE FRY ACRES RD")</f>
        <v>1613 LITTLE FRY ACRES RD</v>
      </c>
      <c r="C11954" s="3" t="str">
        <f>IFERROR(__xludf.DUMMYFUNCTION("""COMPUTED_VALUE"""),"CAMPBELLFORD")</f>
        <v>CAMPBELLFORD</v>
      </c>
      <c r="D11954" s="3" t="str">
        <f>IFERROR(__xludf.DUMMYFUNCTION("""COMPUTED_VALUE"""),"K0L 1L0")</f>
        <v>K0L 1L0</v>
      </c>
      <c r="E11954" s="3" t="str">
        <f>IFERROR(__xludf.DUMMYFUNCTION("""COMPUTED_VALUE"""),"Cynthia Johnston")</f>
        <v>Cynthia Johnston</v>
      </c>
      <c r="F11954" s="3" t="str">
        <f>IFERROR(__xludf.DUMMYFUNCTION("""COMPUTED_VALUE"""),"cindijohnston2@gmail.com")</f>
        <v>cindijohnston2@gmail.com</v>
      </c>
      <c r="G11954" s="3"/>
      <c r="H11954" s="3"/>
    </row>
    <row r="11955">
      <c r="A11955" s="2">
        <f>IFERROR(__xludf.DUMMYFUNCTION("""COMPUTED_VALUE"""),71752.0)</f>
        <v>71752</v>
      </c>
      <c r="B11955" s="3" t="str">
        <f>IFERROR(__xludf.DUMMYFUNCTION("""COMPUTED_VALUE"""),"1614 LITTLE FRY ACRES RD")</f>
        <v>1614 LITTLE FRY ACRES RD</v>
      </c>
      <c r="C11955" s="3" t="str">
        <f>IFERROR(__xludf.DUMMYFUNCTION("""COMPUTED_VALUE"""),"CAMPBELLFORD")</f>
        <v>CAMPBELLFORD</v>
      </c>
      <c r="D11955" s="3" t="str">
        <f>IFERROR(__xludf.DUMMYFUNCTION("""COMPUTED_VALUE"""),"K0L 1L0")</f>
        <v>K0L 1L0</v>
      </c>
      <c r="E11955" s="3"/>
      <c r="F11955" s="3"/>
      <c r="G11955" s="3"/>
      <c r="H11955" s="3"/>
    </row>
    <row r="11956">
      <c r="A11956" s="2">
        <f>IFERROR(__xludf.DUMMYFUNCTION("""COMPUTED_VALUE"""),71753.0)</f>
        <v>71753</v>
      </c>
      <c r="B11956" s="3" t="str">
        <f>IFERROR(__xludf.DUMMYFUNCTION("""COMPUTED_VALUE"""),"1617 LITTLE FRY ACRES RD")</f>
        <v>1617 LITTLE FRY ACRES RD</v>
      </c>
      <c r="C11956" s="3" t="str">
        <f>IFERROR(__xludf.DUMMYFUNCTION("""COMPUTED_VALUE"""),"CAMPBELLFORD")</f>
        <v>CAMPBELLFORD</v>
      </c>
      <c r="D11956" s="3" t="str">
        <f>IFERROR(__xludf.DUMMYFUNCTION("""COMPUTED_VALUE"""),"K0L 1L0")</f>
        <v>K0L 1L0</v>
      </c>
      <c r="E11956" s="3"/>
      <c r="F11956" s="3"/>
      <c r="G11956" s="3"/>
      <c r="H11956" s="3"/>
    </row>
    <row r="11957">
      <c r="A11957" s="2">
        <f>IFERROR(__xludf.DUMMYFUNCTION("""COMPUTED_VALUE"""),71754.0)</f>
        <v>71754</v>
      </c>
      <c r="B11957" s="3" t="str">
        <f>IFERROR(__xludf.DUMMYFUNCTION("""COMPUTED_VALUE"""),"1621 LITTLE FRY AC RD")</f>
        <v>1621 LITTLE FRY AC RD</v>
      </c>
      <c r="C11957" s="3" t="str">
        <f>IFERROR(__xludf.DUMMYFUNCTION("""COMPUTED_VALUE"""),"CAMPBELLFORD")</f>
        <v>CAMPBELLFORD</v>
      </c>
      <c r="D11957" s="3" t="str">
        <f>IFERROR(__xludf.DUMMYFUNCTION("""COMPUTED_VALUE"""),"K0L 1L0")</f>
        <v>K0L 1L0</v>
      </c>
      <c r="E11957" s="3"/>
      <c r="F11957" s="3"/>
      <c r="G11957" s="3"/>
      <c r="H11957" s="3"/>
    </row>
    <row r="11958">
      <c r="A11958" s="2">
        <f>IFERROR(__xludf.DUMMYFUNCTION("""COMPUTED_VALUE"""),71755.0)</f>
        <v>71755</v>
      </c>
      <c r="B11958" s="3" t="str">
        <f>IFERROR(__xludf.DUMMYFUNCTION("""COMPUTED_VALUE"""),"1625 LITTLE FRY ACRES RD")</f>
        <v>1625 LITTLE FRY ACRES RD</v>
      </c>
      <c r="C11958" s="3" t="str">
        <f>IFERROR(__xludf.DUMMYFUNCTION("""COMPUTED_VALUE"""),"CAMPBELLFORD")</f>
        <v>CAMPBELLFORD</v>
      </c>
      <c r="D11958" s="3" t="str">
        <f>IFERROR(__xludf.DUMMYFUNCTION("""COMPUTED_VALUE"""),"K0L 1L0")</f>
        <v>K0L 1L0</v>
      </c>
      <c r="E11958" s="3"/>
      <c r="F11958" s="3"/>
      <c r="G11958" s="3"/>
      <c r="H11958" s="3"/>
    </row>
    <row r="11959">
      <c r="A11959" s="2">
        <f>IFERROR(__xludf.DUMMYFUNCTION("""COMPUTED_VALUE"""),71756.0)</f>
        <v>71756</v>
      </c>
      <c r="B11959" s="3" t="str">
        <f>IFERROR(__xludf.DUMMYFUNCTION("""COMPUTED_VALUE"""),"1635 LITTLE FRY AC RD")</f>
        <v>1635 LITTLE FRY AC RD</v>
      </c>
      <c r="C11959" s="3" t="str">
        <f>IFERROR(__xludf.DUMMYFUNCTION("""COMPUTED_VALUE"""),"CAMPBELLFORD")</f>
        <v>CAMPBELLFORD</v>
      </c>
      <c r="D11959" s="3" t="str">
        <f>IFERROR(__xludf.DUMMYFUNCTION("""COMPUTED_VALUE"""),"K0L 1L0")</f>
        <v>K0L 1L0</v>
      </c>
      <c r="E11959" s="3"/>
      <c r="F11959" s="3"/>
      <c r="G11959" s="3"/>
      <c r="H11959" s="3"/>
    </row>
    <row r="11960">
      <c r="A11960" s="2">
        <f>IFERROR(__xludf.DUMMYFUNCTION("""COMPUTED_VALUE"""),71757.0)</f>
        <v>71757</v>
      </c>
      <c r="B11960" s="3" t="str">
        <f>IFERROR(__xludf.DUMMYFUNCTION("""COMPUTED_VALUE"""),"1639 LITTLE FRY AC RD")</f>
        <v>1639 LITTLE FRY AC RD</v>
      </c>
      <c r="C11960" s="3" t="str">
        <f>IFERROR(__xludf.DUMMYFUNCTION("""COMPUTED_VALUE"""),"CAMPBELLFORD")</f>
        <v>CAMPBELLFORD</v>
      </c>
      <c r="D11960" s="3" t="str">
        <f>IFERROR(__xludf.DUMMYFUNCTION("""COMPUTED_VALUE"""),"K0L 1L0")</f>
        <v>K0L 1L0</v>
      </c>
      <c r="E11960" s="3"/>
      <c r="F11960" s="3"/>
      <c r="G11960" s="3"/>
      <c r="H11960" s="3"/>
    </row>
    <row r="11961">
      <c r="A11961" s="2">
        <f>IFERROR(__xludf.DUMMYFUNCTION("""COMPUTED_VALUE"""),71758.0)</f>
        <v>71758</v>
      </c>
      <c r="B11961" s="3" t="str">
        <f>IFERROR(__xludf.DUMMYFUNCTION("""COMPUTED_VALUE"""),"1645 LITTLE FRY ACRES RD")</f>
        <v>1645 LITTLE FRY ACRES RD</v>
      </c>
      <c r="C11961" s="3" t="str">
        <f>IFERROR(__xludf.DUMMYFUNCTION("""COMPUTED_VALUE"""),"CAMPBELLFORD")</f>
        <v>CAMPBELLFORD</v>
      </c>
      <c r="D11961" s="3" t="str">
        <f>IFERROR(__xludf.DUMMYFUNCTION("""COMPUTED_VALUE"""),"K0L 1L0")</f>
        <v>K0L 1L0</v>
      </c>
      <c r="E11961" s="3"/>
      <c r="F11961" s="3"/>
      <c r="G11961" s="3"/>
      <c r="H11961" s="3"/>
    </row>
    <row r="11962">
      <c r="A11962" s="2">
        <f>IFERROR(__xludf.DUMMYFUNCTION("""COMPUTED_VALUE"""),71759.0)</f>
        <v>71759</v>
      </c>
      <c r="B11962" s="3" t="str">
        <f>IFERROR(__xludf.DUMMYFUNCTION("""COMPUTED_VALUE"""),"1649 LITTLE FRY ACRES RD")</f>
        <v>1649 LITTLE FRY ACRES RD</v>
      </c>
      <c r="C11962" s="3" t="str">
        <f>IFERROR(__xludf.DUMMYFUNCTION("""COMPUTED_VALUE"""),"CAMPBELLFORD")</f>
        <v>CAMPBELLFORD</v>
      </c>
      <c r="D11962" s="3" t="str">
        <f>IFERROR(__xludf.DUMMYFUNCTION("""COMPUTED_VALUE"""),"K0L 1L0")</f>
        <v>K0L 1L0</v>
      </c>
      <c r="E11962" s="3" t="str">
        <f>IFERROR(__xludf.DUMMYFUNCTION("""COMPUTED_VALUE"""),"Maxine Robertson")</f>
        <v>Maxine Robertson</v>
      </c>
      <c r="F11962" s="3" t="str">
        <f>IFERROR(__xludf.DUMMYFUNCTION("""COMPUTED_VALUE"""),"maxine56robertson@gmail.com")</f>
        <v>maxine56robertson@gmail.com</v>
      </c>
      <c r="G11962" s="3"/>
      <c r="H11962" s="3"/>
    </row>
    <row r="11963">
      <c r="A11963" s="2">
        <f>IFERROR(__xludf.DUMMYFUNCTION("""COMPUTED_VALUE"""),71760.0)</f>
        <v>71760</v>
      </c>
      <c r="B11963" s="3" t="str">
        <f>IFERROR(__xludf.DUMMYFUNCTION("""COMPUTED_VALUE"""),"5 LOCK PT")</f>
        <v>5 LOCK PT</v>
      </c>
      <c r="C11963" s="3" t="str">
        <f>IFERROR(__xludf.DUMMYFUNCTION("""COMPUTED_VALUE"""),"CAMPBELLFORD")</f>
        <v>CAMPBELLFORD</v>
      </c>
      <c r="D11963" s="3" t="str">
        <f>IFERROR(__xludf.DUMMYFUNCTION("""COMPUTED_VALUE"""),"K0L 1L0")</f>
        <v>K0L 1L0</v>
      </c>
      <c r="E11963" s="3"/>
      <c r="F11963" s="3"/>
      <c r="G11963" s="3"/>
      <c r="H11963" s="3"/>
    </row>
    <row r="11964">
      <c r="A11964" s="2">
        <f>IFERROR(__xludf.DUMMYFUNCTION("""COMPUTED_VALUE"""),71761.0)</f>
        <v>71761</v>
      </c>
      <c r="B11964" s="3" t="str">
        <f>IFERROR(__xludf.DUMMYFUNCTION("""COMPUTED_VALUE"""),"13 LOCK POINT RD")</f>
        <v>13 LOCK POINT RD</v>
      </c>
      <c r="C11964" s="3" t="str">
        <f>IFERROR(__xludf.DUMMYFUNCTION("""COMPUTED_VALUE"""),"CAMPBELLFORD")</f>
        <v>CAMPBELLFORD</v>
      </c>
      <c r="D11964" s="3" t="str">
        <f>IFERROR(__xludf.DUMMYFUNCTION("""COMPUTED_VALUE"""),"K0L 1L0")</f>
        <v>K0L 1L0</v>
      </c>
      <c r="E11964" s="3"/>
      <c r="F11964" s="3"/>
      <c r="G11964" s="3"/>
      <c r="H11964" s="3"/>
    </row>
    <row r="11965">
      <c r="A11965" s="2">
        <f>IFERROR(__xludf.DUMMYFUNCTION("""COMPUTED_VALUE"""),71762.0)</f>
        <v>71762</v>
      </c>
      <c r="B11965" s="3" t="str">
        <f>IFERROR(__xludf.DUMMYFUNCTION("""COMPUTED_VALUE"""),"31 LOCK PT")</f>
        <v>31 LOCK PT</v>
      </c>
      <c r="C11965" s="3" t="str">
        <f>IFERROR(__xludf.DUMMYFUNCTION("""COMPUTED_VALUE"""),"CAMPBELLFORD")</f>
        <v>CAMPBELLFORD</v>
      </c>
      <c r="D11965" s="3" t="str">
        <f>IFERROR(__xludf.DUMMYFUNCTION("""COMPUTED_VALUE"""),"K0L 1L0")</f>
        <v>K0L 1L0</v>
      </c>
      <c r="E11965" s="3"/>
      <c r="F11965" s="3"/>
      <c r="G11965" s="3"/>
      <c r="H11965" s="3"/>
    </row>
    <row r="11966">
      <c r="A11966" s="2">
        <f>IFERROR(__xludf.DUMMYFUNCTION("""COMPUTED_VALUE"""),71763.0)</f>
        <v>71763</v>
      </c>
      <c r="B11966" s="3" t="str">
        <f>IFERROR(__xludf.DUMMYFUNCTION("""COMPUTED_VALUE"""),"41 LOCK PT")</f>
        <v>41 LOCK PT</v>
      </c>
      <c r="C11966" s="3" t="str">
        <f>IFERROR(__xludf.DUMMYFUNCTION("""COMPUTED_VALUE"""),"CAMPBELLFORD")</f>
        <v>CAMPBELLFORD</v>
      </c>
      <c r="D11966" s="3" t="str">
        <f>IFERROR(__xludf.DUMMYFUNCTION("""COMPUTED_VALUE"""),"K0L 1L0")</f>
        <v>K0L 1L0</v>
      </c>
      <c r="E11966" s="3"/>
      <c r="F11966" s="3"/>
      <c r="G11966" s="3"/>
      <c r="H11966" s="3"/>
    </row>
    <row r="11967">
      <c r="A11967" s="2">
        <f>IFERROR(__xludf.DUMMYFUNCTION("""COMPUTED_VALUE"""),71764.0)</f>
        <v>71764</v>
      </c>
      <c r="B11967" s="3" t="str">
        <f>IFERROR(__xludf.DUMMYFUNCTION("""COMPUTED_VALUE"""),"51 LOCK PT")</f>
        <v>51 LOCK PT</v>
      </c>
      <c r="C11967" s="3" t="str">
        <f>IFERROR(__xludf.DUMMYFUNCTION("""COMPUTED_VALUE"""),"CAMPBELLFORD")</f>
        <v>CAMPBELLFORD</v>
      </c>
      <c r="D11967" s="3" t="str">
        <f>IFERROR(__xludf.DUMMYFUNCTION("""COMPUTED_VALUE"""),"K0L 1L0")</f>
        <v>K0L 1L0</v>
      </c>
      <c r="E11967" s="3"/>
      <c r="F11967" s="3"/>
      <c r="G11967" s="3"/>
      <c r="H11967" s="3"/>
    </row>
    <row r="11968">
      <c r="A11968" s="2">
        <f>IFERROR(__xludf.DUMMYFUNCTION("""COMPUTED_VALUE"""),71765.0)</f>
        <v>71765</v>
      </c>
      <c r="B11968" s="3" t="str">
        <f>IFERROR(__xludf.DUMMYFUNCTION("""COMPUTED_VALUE"""),"8 LOGGING TRAIL RD")</f>
        <v>8 LOGGING TRAIL RD</v>
      </c>
      <c r="C11968" s="3" t="str">
        <f>IFERROR(__xludf.DUMMYFUNCTION("""COMPUTED_VALUE"""),"MARMORA")</f>
        <v>MARMORA</v>
      </c>
      <c r="D11968" s="3" t="str">
        <f>IFERROR(__xludf.DUMMYFUNCTION("""COMPUTED_VALUE"""),"K0K 2M0")</f>
        <v>K0K 2M0</v>
      </c>
      <c r="E11968" s="3"/>
      <c r="F11968" s="3"/>
      <c r="G11968" s="3"/>
      <c r="H11968" s="3"/>
    </row>
    <row r="11969">
      <c r="A11969" s="2">
        <f>IFERROR(__xludf.DUMMYFUNCTION("""COMPUTED_VALUE"""),71766.0)</f>
        <v>71766</v>
      </c>
      <c r="B11969" s="3" t="str">
        <f>IFERROR(__xludf.DUMMYFUNCTION("""COMPUTED_VALUE"""),"90 LOGGING TRAIL RD")</f>
        <v>90 LOGGING TRAIL RD</v>
      </c>
      <c r="C11969" s="3" t="str">
        <f>IFERROR(__xludf.DUMMYFUNCTION("""COMPUTED_VALUE"""),"MARMORA")</f>
        <v>MARMORA</v>
      </c>
      <c r="D11969" s="3" t="str">
        <f>IFERROR(__xludf.DUMMYFUNCTION("""COMPUTED_VALUE"""),"K0K 2M0")</f>
        <v>K0K 2M0</v>
      </c>
      <c r="E11969" s="3"/>
      <c r="F11969" s="3"/>
      <c r="G11969" s="3"/>
      <c r="H11969" s="3"/>
    </row>
    <row r="11970">
      <c r="A11970" s="2">
        <f>IFERROR(__xludf.DUMMYFUNCTION("""COMPUTED_VALUE"""),71767.0)</f>
        <v>71767</v>
      </c>
      <c r="B11970" s="3" t="str">
        <f>IFERROR(__xludf.DUMMYFUNCTION("""COMPUTED_VALUE"""),"13 LOUCKS RD")</f>
        <v>13 LOUCKS RD</v>
      </c>
      <c r="C11970" s="3" t="str">
        <f>IFERROR(__xludf.DUMMYFUNCTION("""COMPUTED_VALUE"""),"CAMPBELLFORD")</f>
        <v>CAMPBELLFORD</v>
      </c>
      <c r="D11970" s="3" t="str">
        <f>IFERROR(__xludf.DUMMYFUNCTION("""COMPUTED_VALUE"""),"K0L 1L0")</f>
        <v>K0L 1L0</v>
      </c>
      <c r="E11970" s="3"/>
      <c r="F11970" s="3"/>
      <c r="G11970" s="3"/>
      <c r="H11970" s="3"/>
    </row>
    <row r="11971">
      <c r="A11971" s="2">
        <f>IFERROR(__xludf.DUMMYFUNCTION("""COMPUTED_VALUE"""),71768.0)</f>
        <v>71768</v>
      </c>
      <c r="B11971" s="3" t="str">
        <f>IFERROR(__xludf.DUMMYFUNCTION("""COMPUTED_VALUE"""),"28 LOUCKS RD")</f>
        <v>28 LOUCKS RD</v>
      </c>
      <c r="C11971" s="3" t="str">
        <f>IFERROR(__xludf.DUMMYFUNCTION("""COMPUTED_VALUE"""),"CAMPBELLFORD")</f>
        <v>CAMPBELLFORD</v>
      </c>
      <c r="D11971" s="3" t="str">
        <f>IFERROR(__xludf.DUMMYFUNCTION("""COMPUTED_VALUE"""),"K0L 1L0")</f>
        <v>K0L 1L0</v>
      </c>
      <c r="E11971" s="3"/>
      <c r="F11971" s="3"/>
      <c r="G11971" s="3"/>
      <c r="H11971" s="3"/>
    </row>
    <row r="11972">
      <c r="A11972" s="2">
        <f>IFERROR(__xludf.DUMMYFUNCTION("""COMPUTED_VALUE"""),71769.0)</f>
        <v>71769</v>
      </c>
      <c r="B11972" s="3" t="str">
        <f>IFERROR(__xludf.DUMMYFUNCTION("""COMPUTED_VALUE"""),"45 LOUCKS RD")</f>
        <v>45 LOUCKS RD</v>
      </c>
      <c r="C11972" s="3" t="str">
        <f>IFERROR(__xludf.DUMMYFUNCTION("""COMPUTED_VALUE"""),"CAMPBELLFORD")</f>
        <v>CAMPBELLFORD</v>
      </c>
      <c r="D11972" s="3" t="str">
        <f>IFERROR(__xludf.DUMMYFUNCTION("""COMPUTED_VALUE"""),"K0L 1L0")</f>
        <v>K0L 1L0</v>
      </c>
      <c r="E11972" s="3"/>
      <c r="F11972" s="3"/>
      <c r="G11972" s="3"/>
      <c r="H11972" s="3"/>
    </row>
    <row r="11973">
      <c r="A11973" s="2">
        <f>IFERROR(__xludf.DUMMYFUNCTION("""COMPUTED_VALUE"""),71770.0)</f>
        <v>71770</v>
      </c>
      <c r="B11973" s="3" t="str">
        <f>IFERROR(__xludf.DUMMYFUNCTION("""COMPUTED_VALUE"""),"82 LOUCKS RD")</f>
        <v>82 LOUCKS RD</v>
      </c>
      <c r="C11973" s="3" t="str">
        <f>IFERROR(__xludf.DUMMYFUNCTION("""COMPUTED_VALUE"""),"CAMPBELLFORD")</f>
        <v>CAMPBELLFORD</v>
      </c>
      <c r="D11973" s="3" t="str">
        <f>IFERROR(__xludf.DUMMYFUNCTION("""COMPUTED_VALUE"""),"K0L 1L0")</f>
        <v>K0L 1L0</v>
      </c>
      <c r="E11973" s="3"/>
      <c r="F11973" s="3"/>
      <c r="G11973" s="3"/>
      <c r="H11973" s="3"/>
    </row>
    <row r="11974">
      <c r="A11974" s="2">
        <f>IFERROR(__xludf.DUMMYFUNCTION("""COMPUTED_VALUE"""),71771.0)</f>
        <v>71771</v>
      </c>
      <c r="B11974" s="3" t="str">
        <f>IFERROR(__xludf.DUMMYFUNCTION("""COMPUTED_VALUE"""),"15 LUCKY STRIKE RD")</f>
        <v>15 LUCKY STRIKE RD</v>
      </c>
      <c r="C11974" s="3" t="str">
        <f>IFERROR(__xludf.DUMMYFUNCTION("""COMPUTED_VALUE"""),"HAVELOCK")</f>
        <v>HAVELOCK</v>
      </c>
      <c r="D11974" s="3" t="str">
        <f>IFERROR(__xludf.DUMMYFUNCTION("""COMPUTED_VALUE"""),"K0L 1Z0")</f>
        <v>K0L 1Z0</v>
      </c>
      <c r="E11974" s="3"/>
      <c r="F11974" s="3"/>
      <c r="G11974" s="3"/>
      <c r="H11974" s="3"/>
    </row>
    <row r="11975">
      <c r="A11975" s="2">
        <f>IFERROR(__xludf.DUMMYFUNCTION("""COMPUTED_VALUE"""),71810.0)</f>
        <v>71810</v>
      </c>
      <c r="B11975" s="3" t="str">
        <f>IFERROR(__xludf.DUMMYFUNCTION("""COMPUTED_VALUE"""),"16 MACK TRAIL")</f>
        <v>16 MACK TRAIL</v>
      </c>
      <c r="C11975" s="3" t="str">
        <f>IFERROR(__xludf.DUMMYFUNCTION("""COMPUTED_VALUE"""),"HAVELOCK")</f>
        <v>HAVELOCK</v>
      </c>
      <c r="D11975" s="3" t="str">
        <f>IFERROR(__xludf.DUMMYFUNCTION("""COMPUTED_VALUE"""),"K0L 1Z0")</f>
        <v>K0L 1Z0</v>
      </c>
      <c r="E11975" s="3"/>
      <c r="F11975" s="3"/>
      <c r="G11975" s="3"/>
      <c r="H11975" s="3"/>
    </row>
    <row r="11976">
      <c r="A11976" s="2">
        <f>IFERROR(__xludf.DUMMYFUNCTION("""COMPUTED_VALUE"""),71811.0)</f>
        <v>71811</v>
      </c>
      <c r="B11976" s="3" t="str">
        <f>IFERROR(__xludf.DUMMYFUNCTION("""COMPUTED_VALUE"""),"53 MACK TRAIL")</f>
        <v>53 MACK TRAIL</v>
      </c>
      <c r="C11976" s="3" t="str">
        <f>IFERROR(__xludf.DUMMYFUNCTION("""COMPUTED_VALUE"""),"HAVELOCK")</f>
        <v>HAVELOCK</v>
      </c>
      <c r="D11976" s="3" t="str">
        <f>IFERROR(__xludf.DUMMYFUNCTION("""COMPUTED_VALUE"""),"K0L 1Z0")</f>
        <v>K0L 1Z0</v>
      </c>
      <c r="E11976" s="3"/>
      <c r="F11976" s="3"/>
      <c r="G11976" s="3"/>
      <c r="H11976" s="3"/>
    </row>
    <row r="11977">
      <c r="A11977" s="2">
        <f>IFERROR(__xludf.DUMMYFUNCTION("""COMPUTED_VALUE"""),71812.0)</f>
        <v>71812</v>
      </c>
      <c r="B11977" s="3" t="str">
        <f>IFERROR(__xludf.DUMMYFUNCTION("""COMPUTED_VALUE"""),"122 MACK TRAIL")</f>
        <v>122 MACK TRAIL</v>
      </c>
      <c r="C11977" s="3" t="str">
        <f>IFERROR(__xludf.DUMMYFUNCTION("""COMPUTED_VALUE"""),"HAVELOCK")</f>
        <v>HAVELOCK</v>
      </c>
      <c r="D11977" s="3" t="str">
        <f>IFERROR(__xludf.DUMMYFUNCTION("""COMPUTED_VALUE"""),"K0L 1Z0")</f>
        <v>K0L 1Z0</v>
      </c>
      <c r="E11977" s="3" t="str">
        <f>IFERROR(__xludf.DUMMYFUNCTION("""COMPUTED_VALUE"""),"Amy Cain")</f>
        <v>Amy Cain</v>
      </c>
      <c r="F11977" s="3" t="str">
        <f>IFERROR(__xludf.DUMMYFUNCTION("""COMPUTED_VALUE"""),"amycain926@gmail.com")</f>
        <v>amycain926@gmail.com</v>
      </c>
      <c r="G11977" s="3">
        <f>IFERROR(__xludf.DUMMYFUNCTION("""COMPUTED_VALUE"""),4.164572243E9)</f>
        <v>4164572243</v>
      </c>
      <c r="H11977" s="3"/>
    </row>
    <row r="11978">
      <c r="A11978" s="2">
        <f>IFERROR(__xludf.DUMMYFUNCTION("""COMPUTED_VALUE"""),71813.0)</f>
        <v>71813</v>
      </c>
      <c r="B11978" s="3" t="str">
        <f>IFERROR(__xludf.DUMMYFUNCTION("""COMPUTED_VALUE"""),"125 MACK TRAIL")</f>
        <v>125 MACK TRAIL</v>
      </c>
      <c r="C11978" s="3" t="str">
        <f>IFERROR(__xludf.DUMMYFUNCTION("""COMPUTED_VALUE"""),"HAVELOCK")</f>
        <v>HAVELOCK</v>
      </c>
      <c r="D11978" s="3" t="str">
        <f>IFERROR(__xludf.DUMMYFUNCTION("""COMPUTED_VALUE"""),"K0L 1Z0")</f>
        <v>K0L 1Z0</v>
      </c>
      <c r="E11978" s="3"/>
      <c r="F11978" s="3"/>
      <c r="G11978" s="3"/>
      <c r="H11978" s="3"/>
    </row>
    <row r="11979">
      <c r="A11979" s="2">
        <f>IFERROR(__xludf.DUMMYFUNCTION("""COMPUTED_VALUE"""),71821.0)</f>
        <v>71821</v>
      </c>
      <c r="B11979" s="3" t="str">
        <f>IFERROR(__xludf.DUMMYFUNCTION("""COMPUTED_VALUE"""),"9 MAPLE GROVE RD")</f>
        <v>9 MAPLE GROVE RD</v>
      </c>
      <c r="C11979" s="3" t="str">
        <f>IFERROR(__xludf.DUMMYFUNCTION("""COMPUTED_VALUE"""),"MARMORA")</f>
        <v>MARMORA</v>
      </c>
      <c r="D11979" s="3" t="str">
        <f>IFERROR(__xludf.DUMMYFUNCTION("""COMPUTED_VALUE"""),"K0K 2M0")</f>
        <v>K0K 2M0</v>
      </c>
      <c r="E11979" s="3"/>
      <c r="F11979" s="3"/>
      <c r="G11979" s="3"/>
      <c r="H11979" s="3"/>
    </row>
    <row r="11980">
      <c r="A11980" s="2">
        <f>IFERROR(__xludf.DUMMYFUNCTION("""COMPUTED_VALUE"""),71822.0)</f>
        <v>71822</v>
      </c>
      <c r="B11980" s="3" t="str">
        <f>IFERROR(__xludf.DUMMYFUNCTION("""COMPUTED_VALUE"""),"11 MAPLE GROVE RD")</f>
        <v>11 MAPLE GROVE RD</v>
      </c>
      <c r="C11980" s="3" t="str">
        <f>IFERROR(__xludf.DUMMYFUNCTION("""COMPUTED_VALUE"""),"MARMORA")</f>
        <v>MARMORA</v>
      </c>
      <c r="D11980" s="3" t="str">
        <f>IFERROR(__xludf.DUMMYFUNCTION("""COMPUTED_VALUE"""),"K0K 2M0")</f>
        <v>K0K 2M0</v>
      </c>
      <c r="E11980" s="3"/>
      <c r="F11980" s="3"/>
      <c r="G11980" s="3"/>
      <c r="H11980" s="3"/>
    </row>
    <row r="11981">
      <c r="A11981" s="2">
        <f>IFERROR(__xludf.DUMMYFUNCTION("""COMPUTED_VALUE"""),71823.0)</f>
        <v>71823</v>
      </c>
      <c r="B11981" s="3" t="str">
        <f>IFERROR(__xludf.DUMMYFUNCTION("""COMPUTED_VALUE"""),"12 MAPLE GROVE RD")</f>
        <v>12 MAPLE GROVE RD</v>
      </c>
      <c r="C11981" s="3" t="str">
        <f>IFERROR(__xludf.DUMMYFUNCTION("""COMPUTED_VALUE"""),"MARMORA")</f>
        <v>MARMORA</v>
      </c>
      <c r="D11981" s="3" t="str">
        <f>IFERROR(__xludf.DUMMYFUNCTION("""COMPUTED_VALUE"""),"K0K 2M0")</f>
        <v>K0K 2M0</v>
      </c>
      <c r="E11981" s="3"/>
      <c r="F11981" s="3"/>
      <c r="G11981" s="3"/>
      <c r="H11981" s="3"/>
    </row>
    <row r="11982">
      <c r="A11982" s="2">
        <f>IFERROR(__xludf.DUMMYFUNCTION("""COMPUTED_VALUE"""),71824.0)</f>
        <v>71824</v>
      </c>
      <c r="B11982" s="3" t="str">
        <f>IFERROR(__xludf.DUMMYFUNCTION("""COMPUTED_VALUE"""),"16 MAPLE GROVE RD")</f>
        <v>16 MAPLE GROVE RD</v>
      </c>
      <c r="C11982" s="3" t="str">
        <f>IFERROR(__xludf.DUMMYFUNCTION("""COMPUTED_VALUE"""),"MARMORA")</f>
        <v>MARMORA</v>
      </c>
      <c r="D11982" s="3" t="str">
        <f>IFERROR(__xludf.DUMMYFUNCTION("""COMPUTED_VALUE"""),"K0K 2M0")</f>
        <v>K0K 2M0</v>
      </c>
      <c r="E11982" s="3"/>
      <c r="F11982" s="3"/>
      <c r="G11982" s="3"/>
      <c r="H11982" s="3"/>
    </row>
    <row r="11983">
      <c r="A11983" s="2">
        <f>IFERROR(__xludf.DUMMYFUNCTION("""COMPUTED_VALUE"""),71825.0)</f>
        <v>71825</v>
      </c>
      <c r="B11983" s="3" t="str">
        <f>IFERROR(__xludf.DUMMYFUNCTION("""COMPUTED_VALUE"""),"20 MAPLE GROVE RD")</f>
        <v>20 MAPLE GROVE RD</v>
      </c>
      <c r="C11983" s="3" t="str">
        <f>IFERROR(__xludf.DUMMYFUNCTION("""COMPUTED_VALUE"""),"MARMORA")</f>
        <v>MARMORA</v>
      </c>
      <c r="D11983" s="3" t="str">
        <f>IFERROR(__xludf.DUMMYFUNCTION("""COMPUTED_VALUE"""),"K0K 2M0")</f>
        <v>K0K 2M0</v>
      </c>
      <c r="E11983" s="3"/>
      <c r="F11983" s="3"/>
      <c r="G11983" s="3"/>
      <c r="H11983" s="3"/>
    </row>
    <row r="11984">
      <c r="A11984" s="2">
        <f>IFERROR(__xludf.DUMMYFUNCTION("""COMPUTED_VALUE"""),71826.0)</f>
        <v>71826</v>
      </c>
      <c r="B11984" s="3" t="str">
        <f>IFERROR(__xludf.DUMMYFUNCTION("""COMPUTED_VALUE"""),"24 MAPLE GROVE RD")</f>
        <v>24 MAPLE GROVE RD</v>
      </c>
      <c r="C11984" s="3" t="str">
        <f>IFERROR(__xludf.DUMMYFUNCTION("""COMPUTED_VALUE"""),"MARMORA")</f>
        <v>MARMORA</v>
      </c>
      <c r="D11984" s="3" t="str">
        <f>IFERROR(__xludf.DUMMYFUNCTION("""COMPUTED_VALUE"""),"K0K 2M0")</f>
        <v>K0K 2M0</v>
      </c>
      <c r="E11984" s="3"/>
      <c r="F11984" s="3"/>
      <c r="G11984" s="3"/>
      <c r="H11984" s="3"/>
    </row>
    <row r="11985">
      <c r="A11985" s="2">
        <f>IFERROR(__xludf.DUMMYFUNCTION("""COMPUTED_VALUE"""),71827.0)</f>
        <v>71827</v>
      </c>
      <c r="B11985" s="3" t="str">
        <f>IFERROR(__xludf.DUMMYFUNCTION("""COMPUTED_VALUE"""),"30 MAPLE GROVE RD")</f>
        <v>30 MAPLE GROVE RD</v>
      </c>
      <c r="C11985" s="3" t="str">
        <f>IFERROR(__xludf.DUMMYFUNCTION("""COMPUTED_VALUE"""),"MARMORA")</f>
        <v>MARMORA</v>
      </c>
      <c r="D11985" s="3" t="str">
        <f>IFERROR(__xludf.DUMMYFUNCTION("""COMPUTED_VALUE"""),"K0K 2M0")</f>
        <v>K0K 2M0</v>
      </c>
      <c r="E11985" s="3"/>
      <c r="F11985" s="3"/>
      <c r="G11985" s="3"/>
      <c r="H11985" s="3"/>
    </row>
    <row r="11986">
      <c r="A11986" s="2">
        <f>IFERROR(__xludf.DUMMYFUNCTION("""COMPUTED_VALUE"""),71828.0)</f>
        <v>71828</v>
      </c>
      <c r="B11986" s="3" t="str">
        <f>IFERROR(__xludf.DUMMYFUNCTION("""COMPUTED_VALUE"""),"31 MAPLE GROVE RD")</f>
        <v>31 MAPLE GROVE RD</v>
      </c>
      <c r="C11986" s="3" t="str">
        <f>IFERROR(__xludf.DUMMYFUNCTION("""COMPUTED_VALUE"""),"MARMORA")</f>
        <v>MARMORA</v>
      </c>
      <c r="D11986" s="3" t="str">
        <f>IFERROR(__xludf.DUMMYFUNCTION("""COMPUTED_VALUE"""),"K0K 2M0")</f>
        <v>K0K 2M0</v>
      </c>
      <c r="E11986" s="3"/>
      <c r="F11986" s="3"/>
      <c r="G11986" s="3"/>
      <c r="H11986" s="3"/>
    </row>
    <row r="11987">
      <c r="A11987" s="2">
        <f>IFERROR(__xludf.DUMMYFUNCTION("""COMPUTED_VALUE"""),71829.0)</f>
        <v>71829</v>
      </c>
      <c r="B11987" s="3" t="str">
        <f>IFERROR(__xludf.DUMMYFUNCTION("""COMPUTED_VALUE"""),"34 MAPLE GROVE RD")</f>
        <v>34 MAPLE GROVE RD</v>
      </c>
      <c r="C11987" s="3" t="str">
        <f>IFERROR(__xludf.DUMMYFUNCTION("""COMPUTED_VALUE"""),"MARMORA")</f>
        <v>MARMORA</v>
      </c>
      <c r="D11987" s="3" t="str">
        <f>IFERROR(__xludf.DUMMYFUNCTION("""COMPUTED_VALUE"""),"K0K 2M0")</f>
        <v>K0K 2M0</v>
      </c>
      <c r="E11987" s="3"/>
      <c r="F11987" s="3"/>
      <c r="G11987" s="3"/>
      <c r="H11987" s="3"/>
    </row>
    <row r="11988">
      <c r="A11988" s="2">
        <f>IFERROR(__xludf.DUMMYFUNCTION("""COMPUTED_VALUE"""),71830.0)</f>
        <v>71830</v>
      </c>
      <c r="B11988" s="3" t="str">
        <f>IFERROR(__xludf.DUMMYFUNCTION("""COMPUTED_VALUE"""),"37 MAPLE GROVE RD")</f>
        <v>37 MAPLE GROVE RD</v>
      </c>
      <c r="C11988" s="3" t="str">
        <f>IFERROR(__xludf.DUMMYFUNCTION("""COMPUTED_VALUE"""),"MARMORA")</f>
        <v>MARMORA</v>
      </c>
      <c r="D11988" s="3" t="str">
        <f>IFERROR(__xludf.DUMMYFUNCTION("""COMPUTED_VALUE"""),"K0K 2M0")</f>
        <v>K0K 2M0</v>
      </c>
      <c r="E11988" s="3" t="str">
        <f>IFERROR(__xludf.DUMMYFUNCTION("""COMPUTED_VALUE"""),"Robert Alexander")</f>
        <v>Robert Alexander</v>
      </c>
      <c r="F11988" s="3" t="str">
        <f>IFERROR(__xludf.DUMMYFUNCTION("""COMPUTED_VALUE"""),"ra4er@yahoo.ca")</f>
        <v>ra4er@yahoo.ca</v>
      </c>
      <c r="G11988" s="3">
        <f>IFERROR(__xludf.DUMMYFUNCTION("""COMPUTED_VALUE"""),2.894042568E9)</f>
        <v>2894042568</v>
      </c>
      <c r="H11988" s="3"/>
    </row>
    <row r="11989">
      <c r="A11989" s="2">
        <f>IFERROR(__xludf.DUMMYFUNCTION("""COMPUTED_VALUE"""),71831.0)</f>
        <v>71831</v>
      </c>
      <c r="B11989" s="3" t="str">
        <f>IFERROR(__xludf.DUMMYFUNCTION("""COMPUTED_VALUE"""),"40 MAPLE GROVE RD")</f>
        <v>40 MAPLE GROVE RD</v>
      </c>
      <c r="C11989" s="3" t="str">
        <f>IFERROR(__xludf.DUMMYFUNCTION("""COMPUTED_VALUE"""),"MARMORA")</f>
        <v>MARMORA</v>
      </c>
      <c r="D11989" s="3" t="str">
        <f>IFERROR(__xludf.DUMMYFUNCTION("""COMPUTED_VALUE"""),"K0K 2M0")</f>
        <v>K0K 2M0</v>
      </c>
      <c r="E11989" s="3"/>
      <c r="F11989" s="3"/>
      <c r="G11989" s="3"/>
      <c r="H11989" s="3"/>
    </row>
    <row r="11990">
      <c r="A11990" s="2">
        <f>IFERROR(__xludf.DUMMYFUNCTION("""COMPUTED_VALUE"""),71832.0)</f>
        <v>71832</v>
      </c>
      <c r="B11990" s="3" t="str">
        <f>IFERROR(__xludf.DUMMYFUNCTION("""COMPUTED_VALUE"""),"44 MAPLE GROVE RD")</f>
        <v>44 MAPLE GROVE RD</v>
      </c>
      <c r="C11990" s="3" t="str">
        <f>IFERROR(__xludf.DUMMYFUNCTION("""COMPUTED_VALUE"""),"MARMORA")</f>
        <v>MARMORA</v>
      </c>
      <c r="D11990" s="3" t="str">
        <f>IFERROR(__xludf.DUMMYFUNCTION("""COMPUTED_VALUE"""),"K0K 2M0")</f>
        <v>K0K 2M0</v>
      </c>
      <c r="E11990" s="3"/>
      <c r="F11990" s="3"/>
      <c r="G11990" s="3"/>
      <c r="H11990" s="3"/>
    </row>
    <row r="11991">
      <c r="A11991" s="2">
        <f>IFERROR(__xludf.DUMMYFUNCTION("""COMPUTED_VALUE"""),71889.0)</f>
        <v>71889</v>
      </c>
      <c r="B11991" s="3" t="str">
        <f>IFERROR(__xludf.DUMMYFUNCTION("""COMPUTED_VALUE"""),"15 MENIE RD")</f>
        <v>15 MENIE RD</v>
      </c>
      <c r="C11991" s="3" t="str">
        <f>IFERROR(__xludf.DUMMYFUNCTION("""COMPUTED_VALUE"""),"CAMPBELLFORD")</f>
        <v>CAMPBELLFORD</v>
      </c>
      <c r="D11991" s="3" t="str">
        <f>IFERROR(__xludf.DUMMYFUNCTION("""COMPUTED_VALUE"""),"K0L 1L0")</f>
        <v>K0L 1L0</v>
      </c>
      <c r="E11991" s="3"/>
      <c r="F11991" s="3"/>
      <c r="G11991" s="3"/>
      <c r="H11991" s="3"/>
    </row>
    <row r="11992">
      <c r="A11992" s="2">
        <f>IFERROR(__xludf.DUMMYFUNCTION("""COMPUTED_VALUE"""),71890.0)</f>
        <v>71890</v>
      </c>
      <c r="B11992" s="3" t="str">
        <f>IFERROR(__xludf.DUMMYFUNCTION("""COMPUTED_VALUE"""),"168 MENIE RD")</f>
        <v>168 MENIE RD</v>
      </c>
      <c r="C11992" s="3" t="str">
        <f>IFERROR(__xludf.DUMMYFUNCTION("""COMPUTED_VALUE"""),"CAMPBELLFORD")</f>
        <v>CAMPBELLFORD</v>
      </c>
      <c r="D11992" s="3" t="str">
        <f>IFERROR(__xludf.DUMMYFUNCTION("""COMPUTED_VALUE"""),"K0L 1L0")</f>
        <v>K0L 1L0</v>
      </c>
      <c r="E11992" s="3"/>
      <c r="F11992" s="3"/>
      <c r="G11992" s="3"/>
      <c r="H11992" s="3"/>
    </row>
    <row r="11993">
      <c r="A11993" s="2">
        <f>IFERROR(__xludf.DUMMYFUNCTION("""COMPUTED_VALUE"""),71891.0)</f>
        <v>71891</v>
      </c>
      <c r="B11993" s="3" t="str">
        <f>IFERROR(__xludf.DUMMYFUNCTION("""COMPUTED_VALUE"""),"175 MENIE RD")</f>
        <v>175 MENIE RD</v>
      </c>
      <c r="C11993" s="3" t="str">
        <f>IFERROR(__xludf.DUMMYFUNCTION("""COMPUTED_VALUE"""),"CAMPBELLFORD")</f>
        <v>CAMPBELLFORD</v>
      </c>
      <c r="D11993" s="3" t="str">
        <f>IFERROR(__xludf.DUMMYFUNCTION("""COMPUTED_VALUE"""),"K0L 1L0")</f>
        <v>K0L 1L0</v>
      </c>
      <c r="E11993" s="3"/>
      <c r="F11993" s="3"/>
      <c r="G11993" s="3"/>
      <c r="H11993" s="3"/>
    </row>
    <row r="11994">
      <c r="A11994" s="2">
        <f>IFERROR(__xludf.DUMMYFUNCTION("""COMPUTED_VALUE"""),71892.0)</f>
        <v>71892</v>
      </c>
      <c r="B11994" s="3" t="str">
        <f>IFERROR(__xludf.DUMMYFUNCTION("""COMPUTED_VALUE"""),"15 MORNINGSIDE DR")</f>
        <v>15 MORNINGSIDE DR</v>
      </c>
      <c r="C11994" s="3" t="str">
        <f>IFERROR(__xludf.DUMMYFUNCTION("""COMPUTED_VALUE"""),"HAVELOCK")</f>
        <v>HAVELOCK</v>
      </c>
      <c r="D11994" s="3" t="str">
        <f>IFERROR(__xludf.DUMMYFUNCTION("""COMPUTED_VALUE"""),"K0L 1Z0")</f>
        <v>K0L 1Z0</v>
      </c>
      <c r="E11994" s="3" t="str">
        <f>IFERROR(__xludf.DUMMYFUNCTION("""COMPUTED_VALUE"""),"Morgan Kerber")</f>
        <v>Morgan Kerber</v>
      </c>
      <c r="F11994" s="3" t="str">
        <f>IFERROR(__xludf.DUMMYFUNCTION("""COMPUTED_VALUE"""),"morgan.kerber11@gmail.com")</f>
        <v>morgan.kerber11@gmail.com</v>
      </c>
      <c r="G11994" s="3">
        <f>IFERROR(__xludf.DUMMYFUNCTION("""COMPUTED_VALUE"""),7.059311005E9)</f>
        <v>7059311005</v>
      </c>
      <c r="H11994" s="3"/>
    </row>
    <row r="11995">
      <c r="A11995" s="2">
        <f>IFERROR(__xludf.DUMMYFUNCTION("""COMPUTED_VALUE"""),71893.0)</f>
        <v>71893</v>
      </c>
      <c r="B11995" s="3" t="str">
        <f>IFERROR(__xludf.DUMMYFUNCTION("""COMPUTED_VALUE"""),"21 MORNINGSIDE DR")</f>
        <v>21 MORNINGSIDE DR</v>
      </c>
      <c r="C11995" s="3" t="str">
        <f>IFERROR(__xludf.DUMMYFUNCTION("""COMPUTED_VALUE"""),"HAVELOCK")</f>
        <v>HAVELOCK</v>
      </c>
      <c r="D11995" s="3" t="str">
        <f>IFERROR(__xludf.DUMMYFUNCTION("""COMPUTED_VALUE"""),"K0L 1Z0")</f>
        <v>K0L 1Z0</v>
      </c>
      <c r="E11995" s="3"/>
      <c r="F11995" s="3"/>
      <c r="G11995" s="3"/>
      <c r="H11995" s="3"/>
    </row>
    <row r="11996">
      <c r="A11996" s="2">
        <f>IFERROR(__xludf.DUMMYFUNCTION("""COMPUTED_VALUE"""),71913.0)</f>
        <v>71913</v>
      </c>
      <c r="B11996" s="3" t="str">
        <f>IFERROR(__xludf.DUMMYFUNCTION("""COMPUTED_VALUE"""),"82 MULLOCK DR")</f>
        <v>82 MULLOCK DR</v>
      </c>
      <c r="C11996" s="3" t="str">
        <f>IFERROR(__xludf.DUMMYFUNCTION("""COMPUTED_VALUE"""),"MARMORA")</f>
        <v>MARMORA</v>
      </c>
      <c r="D11996" s="3" t="str">
        <f>IFERROR(__xludf.DUMMYFUNCTION("""COMPUTED_VALUE"""),"K0K 2M0")</f>
        <v>K0K 2M0</v>
      </c>
      <c r="E11996" s="3"/>
      <c r="F11996" s="3"/>
      <c r="G11996" s="3"/>
      <c r="H11996" s="3"/>
    </row>
    <row r="11997">
      <c r="A11997" s="2">
        <f>IFERROR(__xludf.DUMMYFUNCTION("""COMPUTED_VALUE"""),71914.0)</f>
        <v>71914</v>
      </c>
      <c r="B11997" s="3" t="str">
        <f>IFERROR(__xludf.DUMMYFUNCTION("""COMPUTED_VALUE"""),"92 MULLOCK DR")</f>
        <v>92 MULLOCK DR</v>
      </c>
      <c r="C11997" s="3" t="str">
        <f>IFERROR(__xludf.DUMMYFUNCTION("""COMPUTED_VALUE"""),"MARMORA")</f>
        <v>MARMORA</v>
      </c>
      <c r="D11997" s="3" t="str">
        <f>IFERROR(__xludf.DUMMYFUNCTION("""COMPUTED_VALUE"""),"K0K 2M0")</f>
        <v>K0K 2M0</v>
      </c>
      <c r="E11997" s="3"/>
      <c r="F11997" s="3"/>
      <c r="G11997" s="3"/>
      <c r="H11997" s="3"/>
    </row>
    <row r="11998">
      <c r="A11998" s="2">
        <f>IFERROR(__xludf.DUMMYFUNCTION("""COMPUTED_VALUE"""),71915.0)</f>
        <v>71915</v>
      </c>
      <c r="B11998" s="3" t="str">
        <f>IFERROR(__xludf.DUMMYFUNCTION("""COMPUTED_VALUE"""),"98 MULLOCK DR")</f>
        <v>98 MULLOCK DR</v>
      </c>
      <c r="C11998" s="3" t="str">
        <f>IFERROR(__xludf.DUMMYFUNCTION("""COMPUTED_VALUE"""),"MARMORA")</f>
        <v>MARMORA</v>
      </c>
      <c r="D11998" s="3" t="str">
        <f>IFERROR(__xludf.DUMMYFUNCTION("""COMPUTED_VALUE"""),"K0K 2M0")</f>
        <v>K0K 2M0</v>
      </c>
      <c r="E11998" s="3" t="str">
        <f>IFERROR(__xludf.DUMMYFUNCTION("""COMPUTED_VALUE"""),"Weimin Chang")</f>
        <v>Weimin Chang</v>
      </c>
      <c r="F11998" s="3" t="str">
        <f>IFERROR(__xludf.DUMMYFUNCTION("""COMPUTED_VALUE"""),"chem_w_m@hotmail.com")</f>
        <v>chem_w_m@hotmail.com</v>
      </c>
      <c r="G11998" s="3">
        <f>IFERROR(__xludf.DUMMYFUNCTION("""COMPUTED_VALUE"""),4.165058024E9)</f>
        <v>4165058024</v>
      </c>
      <c r="H11998" s="3"/>
    </row>
    <row r="11999">
      <c r="A11999" s="2">
        <f>IFERROR(__xludf.DUMMYFUNCTION("""COMPUTED_VALUE"""),71916.0)</f>
        <v>71916</v>
      </c>
      <c r="B11999" s="3" t="str">
        <f>IFERROR(__xludf.DUMMYFUNCTION("""COMPUTED_VALUE"""),"100 MULLOCK DR")</f>
        <v>100 MULLOCK DR</v>
      </c>
      <c r="C11999" s="3" t="str">
        <f>IFERROR(__xludf.DUMMYFUNCTION("""COMPUTED_VALUE"""),"MARMORA")</f>
        <v>MARMORA</v>
      </c>
      <c r="D11999" s="3" t="str">
        <f>IFERROR(__xludf.DUMMYFUNCTION("""COMPUTED_VALUE"""),"K0K 2M0")</f>
        <v>K0K 2M0</v>
      </c>
      <c r="E11999" s="3" t="str">
        <f>IFERROR(__xludf.DUMMYFUNCTION("""COMPUTED_VALUE"""),"Michael Walker")</f>
        <v>Michael Walker</v>
      </c>
      <c r="F11999" s="3" t="str">
        <f>IFERROR(__xludf.DUMMYFUNCTION("""COMPUTED_VALUE"""),"mjwb4u@gmail.com")</f>
        <v>mjwb4u@gmail.com</v>
      </c>
      <c r="G11999" s="3">
        <f>IFERROR(__xludf.DUMMYFUNCTION("""COMPUTED_VALUE"""),9.052449577E9)</f>
        <v>9052449577</v>
      </c>
      <c r="H11999" s="3">
        <f>IFERROR(__xludf.DUMMYFUNCTION("""COMPUTED_VALUE"""),2.89385288E9)</f>
        <v>2893852880</v>
      </c>
    </row>
    <row r="12000">
      <c r="A12000" s="2">
        <f>IFERROR(__xludf.DUMMYFUNCTION("""COMPUTED_VALUE"""),71917.0)</f>
        <v>71917</v>
      </c>
      <c r="B12000" s="3" t="str">
        <f>IFERROR(__xludf.DUMMYFUNCTION("""COMPUTED_VALUE"""),"106 MULLOCK DR")</f>
        <v>106 MULLOCK DR</v>
      </c>
      <c r="C12000" s="3" t="str">
        <f>IFERROR(__xludf.DUMMYFUNCTION("""COMPUTED_VALUE"""),"MARMORA")</f>
        <v>MARMORA</v>
      </c>
      <c r="D12000" s="3" t="str">
        <f>IFERROR(__xludf.DUMMYFUNCTION("""COMPUTED_VALUE"""),"K0K 2M0")</f>
        <v>K0K 2M0</v>
      </c>
      <c r="E12000" s="3"/>
      <c r="F12000" s="3"/>
      <c r="G12000" s="3"/>
      <c r="H12000" s="3"/>
    </row>
    <row r="12001">
      <c r="A12001" s="2">
        <f>IFERROR(__xludf.DUMMYFUNCTION("""COMPUTED_VALUE"""),71918.0)</f>
        <v>71918</v>
      </c>
      <c r="B12001" s="3" t="str">
        <f>IFERROR(__xludf.DUMMYFUNCTION("""COMPUTED_VALUE"""),"136A MULLOCK DR")</f>
        <v>136A MULLOCK DR</v>
      </c>
      <c r="C12001" s="3" t="str">
        <f>IFERROR(__xludf.DUMMYFUNCTION("""COMPUTED_VALUE"""),"MARMORA")</f>
        <v>MARMORA</v>
      </c>
      <c r="D12001" s="3" t="str">
        <f>IFERROR(__xludf.DUMMYFUNCTION("""COMPUTED_VALUE"""),"K0K 2M0")</f>
        <v>K0K 2M0</v>
      </c>
      <c r="E12001" s="3"/>
      <c r="F12001" s="3"/>
      <c r="G12001" s="3"/>
      <c r="H12001" s="3"/>
    </row>
    <row r="12002">
      <c r="A12002" s="2">
        <f>IFERROR(__xludf.DUMMYFUNCTION("""COMPUTED_VALUE"""),71919.0)</f>
        <v>71919</v>
      </c>
      <c r="B12002" s="3" t="str">
        <f>IFERROR(__xludf.DUMMYFUNCTION("""COMPUTED_VALUE"""),"136B MULLOCK DR")</f>
        <v>136B MULLOCK DR</v>
      </c>
      <c r="C12002" s="3" t="str">
        <f>IFERROR(__xludf.DUMMYFUNCTION("""COMPUTED_VALUE"""),"MARMORA")</f>
        <v>MARMORA</v>
      </c>
      <c r="D12002" s="3" t="str">
        <f>IFERROR(__xludf.DUMMYFUNCTION("""COMPUTED_VALUE"""),"K0K 2M0")</f>
        <v>K0K 2M0</v>
      </c>
      <c r="E12002" s="3"/>
      <c r="F12002" s="3"/>
      <c r="G12002" s="3"/>
      <c r="H12002" s="3"/>
    </row>
    <row r="12003">
      <c r="A12003" s="2">
        <f>IFERROR(__xludf.DUMMYFUNCTION("""COMPUTED_VALUE"""),71972.0)</f>
        <v>71972</v>
      </c>
      <c r="B12003" s="3" t="str">
        <f>IFERROR(__xludf.DUMMYFUNCTION("""COMPUTED_VALUE"""),"10 PETHERICK'S RD")</f>
        <v>10 PETHERICK'S RD</v>
      </c>
      <c r="C12003" s="3" t="str">
        <f>IFERROR(__xludf.DUMMYFUNCTION("""COMPUTED_VALUE"""),"CAMPBELLFORD")</f>
        <v>CAMPBELLFORD</v>
      </c>
      <c r="D12003" s="3" t="str">
        <f>IFERROR(__xludf.DUMMYFUNCTION("""COMPUTED_VALUE"""),"K0L 1L0")</f>
        <v>K0L 1L0</v>
      </c>
      <c r="E12003" s="3"/>
      <c r="F12003" s="3"/>
      <c r="G12003" s="3"/>
      <c r="H12003" s="3"/>
    </row>
    <row r="12004">
      <c r="A12004" s="2">
        <f>IFERROR(__xludf.DUMMYFUNCTION("""COMPUTED_VALUE"""),71973.0)</f>
        <v>71973</v>
      </c>
      <c r="B12004" s="3" t="str">
        <f>IFERROR(__xludf.DUMMYFUNCTION("""COMPUTED_VALUE"""),"43 PETHERICK'S RD")</f>
        <v>43 PETHERICK'S RD</v>
      </c>
      <c r="C12004" s="3" t="str">
        <f>IFERROR(__xludf.DUMMYFUNCTION("""COMPUTED_VALUE"""),"CAMPBELLFORD")</f>
        <v>CAMPBELLFORD</v>
      </c>
      <c r="D12004" s="3" t="str">
        <f>IFERROR(__xludf.DUMMYFUNCTION("""COMPUTED_VALUE"""),"K0L 1L0")</f>
        <v>K0L 1L0</v>
      </c>
      <c r="E12004" s="3"/>
      <c r="F12004" s="3"/>
      <c r="G12004" s="3"/>
      <c r="H12004" s="3"/>
    </row>
    <row r="12005">
      <c r="A12005" s="2">
        <f>IFERROR(__xludf.DUMMYFUNCTION("""COMPUTED_VALUE"""),71974.0)</f>
        <v>71974</v>
      </c>
      <c r="B12005" s="3" t="str">
        <f>IFERROR(__xludf.DUMMYFUNCTION("""COMPUTED_VALUE"""),"86 PETHERICK'S RD")</f>
        <v>86 PETHERICK'S RD</v>
      </c>
      <c r="C12005" s="3" t="str">
        <f>IFERROR(__xludf.DUMMYFUNCTION("""COMPUTED_VALUE"""),"CAMPBELLFORD")</f>
        <v>CAMPBELLFORD</v>
      </c>
      <c r="D12005" s="3" t="str">
        <f>IFERROR(__xludf.DUMMYFUNCTION("""COMPUTED_VALUE"""),"K0L 1L0")</f>
        <v>K0L 1L0</v>
      </c>
      <c r="E12005" s="3"/>
      <c r="F12005" s="3"/>
      <c r="G12005" s="3"/>
      <c r="H12005" s="3"/>
    </row>
    <row r="12006">
      <c r="A12006" s="2">
        <f>IFERROR(__xludf.DUMMYFUNCTION("""COMPUTED_VALUE"""),71975.0)</f>
        <v>71975</v>
      </c>
      <c r="B12006" s="3" t="str">
        <f>IFERROR(__xludf.DUMMYFUNCTION("""COMPUTED_VALUE"""),"152 PETHERICK'S RD")</f>
        <v>152 PETHERICK'S RD</v>
      </c>
      <c r="C12006" s="3" t="str">
        <f>IFERROR(__xludf.DUMMYFUNCTION("""COMPUTED_VALUE"""),"CAMPBELLFORD")</f>
        <v>CAMPBELLFORD</v>
      </c>
      <c r="D12006" s="3" t="str">
        <f>IFERROR(__xludf.DUMMYFUNCTION("""COMPUTED_VALUE"""),"K0L 1L0")</f>
        <v>K0L 1L0</v>
      </c>
      <c r="E12006" s="3"/>
      <c r="F12006" s="3"/>
      <c r="G12006" s="3"/>
      <c r="H12006" s="3"/>
    </row>
    <row r="12007">
      <c r="A12007" s="2">
        <f>IFERROR(__xludf.DUMMYFUNCTION("""COMPUTED_VALUE"""),71976.0)</f>
        <v>71976</v>
      </c>
      <c r="B12007" s="3" t="str">
        <f>IFERROR(__xludf.DUMMYFUNCTION("""COMPUTED_VALUE"""),"337 PETHERICK'S RD")</f>
        <v>337 PETHERICK'S RD</v>
      </c>
      <c r="C12007" s="3" t="str">
        <f>IFERROR(__xludf.DUMMYFUNCTION("""COMPUTED_VALUE"""),"CAMPBELLFORD")</f>
        <v>CAMPBELLFORD</v>
      </c>
      <c r="D12007" s="3" t="str">
        <f>IFERROR(__xludf.DUMMYFUNCTION("""COMPUTED_VALUE"""),"K0L 1L0")</f>
        <v>K0L 1L0</v>
      </c>
      <c r="E12007" s="3" t="str">
        <f>IFERROR(__xludf.DUMMYFUNCTION("""COMPUTED_VALUE"""),"Barnaby MARSHALL ")</f>
        <v>Barnaby MARSHALL </v>
      </c>
      <c r="F12007" s="3" t="str">
        <f>IFERROR(__xludf.DUMMYFUNCTION("""COMPUTED_VALUE"""),"barnabymarshall@gmail.com")</f>
        <v>barnabymarshall@gmail.com</v>
      </c>
      <c r="G12007" s="3"/>
      <c r="H12007" s="3"/>
    </row>
    <row r="12008">
      <c r="A12008" s="2">
        <f>IFERROR(__xludf.DUMMYFUNCTION("""COMPUTED_VALUE"""),71977.0)</f>
        <v>71977</v>
      </c>
      <c r="B12008" s="3" t="str">
        <f>IFERROR(__xludf.DUMMYFUNCTION("""COMPUTED_VALUE"""),"442 PETHERICK'S RD")</f>
        <v>442 PETHERICK'S RD</v>
      </c>
      <c r="C12008" s="3" t="str">
        <f>IFERROR(__xludf.DUMMYFUNCTION("""COMPUTED_VALUE"""),"CAMPBELLFORD")</f>
        <v>CAMPBELLFORD</v>
      </c>
      <c r="D12008" s="3" t="str">
        <f>IFERROR(__xludf.DUMMYFUNCTION("""COMPUTED_VALUE"""),"K0L 1L0")</f>
        <v>K0L 1L0</v>
      </c>
      <c r="E12008" s="3"/>
      <c r="F12008" s="3"/>
      <c r="G12008" s="3"/>
      <c r="H12008" s="3"/>
    </row>
    <row r="12009">
      <c r="A12009" s="2">
        <f>IFERROR(__xludf.DUMMYFUNCTION("""COMPUTED_VALUE"""),71978.0)</f>
        <v>71978</v>
      </c>
      <c r="B12009" s="3" t="str">
        <f>IFERROR(__xludf.DUMMYFUNCTION("""COMPUTED_VALUE"""),"482 PETHERICK'S RD")</f>
        <v>482 PETHERICK'S RD</v>
      </c>
      <c r="C12009" s="3" t="str">
        <f>IFERROR(__xludf.DUMMYFUNCTION("""COMPUTED_VALUE"""),"CAMPBELLFORD")</f>
        <v>CAMPBELLFORD</v>
      </c>
      <c r="D12009" s="3" t="str">
        <f>IFERROR(__xludf.DUMMYFUNCTION("""COMPUTED_VALUE"""),"K0L 1L0")</f>
        <v>K0L 1L0</v>
      </c>
      <c r="E12009" s="3"/>
      <c r="F12009" s="3"/>
      <c r="G12009" s="3"/>
      <c r="H12009" s="3"/>
    </row>
    <row r="12010">
      <c r="A12010" s="2">
        <f>IFERROR(__xludf.DUMMYFUNCTION("""COMPUTED_VALUE"""),71979.0)</f>
        <v>71979</v>
      </c>
      <c r="B12010" s="3" t="str">
        <f>IFERROR(__xludf.DUMMYFUNCTION("""COMPUTED_VALUE"""),"597 PETHERICK'S RD")</f>
        <v>597 PETHERICK'S RD</v>
      </c>
      <c r="C12010" s="3" t="str">
        <f>IFERROR(__xludf.DUMMYFUNCTION("""COMPUTED_VALUE"""),"CAMPBELLFORD")</f>
        <v>CAMPBELLFORD</v>
      </c>
      <c r="D12010" s="3" t="str">
        <f>IFERROR(__xludf.DUMMYFUNCTION("""COMPUTED_VALUE"""),"K0L 1L0")</f>
        <v>K0L 1L0</v>
      </c>
      <c r="E12010" s="3"/>
      <c r="F12010" s="3"/>
      <c r="G12010" s="3"/>
      <c r="H12010" s="3"/>
    </row>
    <row r="12011">
      <c r="A12011" s="2">
        <f>IFERROR(__xludf.DUMMYFUNCTION("""COMPUTED_VALUE"""),71980.0)</f>
        <v>71980</v>
      </c>
      <c r="B12011" s="3" t="str">
        <f>IFERROR(__xludf.DUMMYFUNCTION("""COMPUTED_VALUE"""),"656 PETHERICK'S RD")</f>
        <v>656 PETHERICK'S RD</v>
      </c>
      <c r="C12011" s="3" t="str">
        <f>IFERROR(__xludf.DUMMYFUNCTION("""COMPUTED_VALUE"""),"CAMPBELLFORD")</f>
        <v>CAMPBELLFORD</v>
      </c>
      <c r="D12011" s="3" t="str">
        <f>IFERROR(__xludf.DUMMYFUNCTION("""COMPUTED_VALUE"""),"K0L 1L0")</f>
        <v>K0L 1L0</v>
      </c>
      <c r="E12011" s="3"/>
      <c r="F12011" s="3"/>
      <c r="G12011" s="3"/>
      <c r="H12011" s="3"/>
    </row>
    <row r="12012">
      <c r="A12012" s="2">
        <f>IFERROR(__xludf.DUMMYFUNCTION("""COMPUTED_VALUE"""),72544.0)</f>
        <v>72544</v>
      </c>
      <c r="B12012" s="3" t="str">
        <f>IFERROR(__xludf.DUMMYFUNCTION("""COMPUTED_VALUE"""),"893 PETHERICK'S RD")</f>
        <v>893 PETHERICK'S RD</v>
      </c>
      <c r="C12012" s="3" t="str">
        <f>IFERROR(__xludf.DUMMYFUNCTION("""COMPUTED_VALUE"""),"CAMPBELLFORD")</f>
        <v>CAMPBELLFORD</v>
      </c>
      <c r="D12012" s="3" t="str">
        <f>IFERROR(__xludf.DUMMYFUNCTION("""COMPUTED_VALUE"""),"K0L 1L0")</f>
        <v>K0L 1L0</v>
      </c>
      <c r="E12012" s="3"/>
      <c r="F12012" s="3"/>
      <c r="G12012" s="3"/>
      <c r="H12012" s="3"/>
    </row>
    <row r="12013">
      <c r="A12013" s="2">
        <f>IFERROR(__xludf.DUMMYFUNCTION("""COMPUTED_VALUE"""),71981.0)</f>
        <v>71981</v>
      </c>
      <c r="B12013" s="3" t="str">
        <f>IFERROR(__xludf.DUMMYFUNCTION("""COMPUTED_VALUE"""),"896 PETHERICK'S RD")</f>
        <v>896 PETHERICK'S RD</v>
      </c>
      <c r="C12013" s="3" t="str">
        <f>IFERROR(__xludf.DUMMYFUNCTION("""COMPUTED_VALUE"""),"CAMPBELLFORD")</f>
        <v>CAMPBELLFORD</v>
      </c>
      <c r="D12013" s="3" t="str">
        <f>IFERROR(__xludf.DUMMYFUNCTION("""COMPUTED_VALUE"""),"K0L 1L0")</f>
        <v>K0L 1L0</v>
      </c>
      <c r="E12013" s="3" t="str">
        <f>IFERROR(__xludf.DUMMYFUNCTION("""COMPUTED_VALUE"""),"Bonnie Billen")</f>
        <v>Bonnie Billen</v>
      </c>
      <c r="F12013" s="3" t="str">
        <f>IFERROR(__xludf.DUMMYFUNCTION("""COMPUTED_VALUE"""),"bonniebillen@hotmail.com")</f>
        <v>bonniebillen@hotmail.com</v>
      </c>
      <c r="G12013" s="3">
        <f>IFERROR(__xludf.DUMMYFUNCTION("""COMPUTED_VALUE"""),7.056533584E9)</f>
        <v>7056533584</v>
      </c>
      <c r="H12013" s="3"/>
    </row>
    <row r="12014">
      <c r="A12014" s="2">
        <f>IFERROR(__xludf.DUMMYFUNCTION("""COMPUTED_VALUE"""),71982.0)</f>
        <v>71982</v>
      </c>
      <c r="B12014" s="3" t="str">
        <f>IFERROR(__xludf.DUMMYFUNCTION("""COMPUTED_VALUE"""),"997 PETHERICK'S RD")</f>
        <v>997 PETHERICK'S RD</v>
      </c>
      <c r="C12014" s="3" t="str">
        <f>IFERROR(__xludf.DUMMYFUNCTION("""COMPUTED_VALUE"""),"CAMPBELLFORD")</f>
        <v>CAMPBELLFORD</v>
      </c>
      <c r="D12014" s="3" t="str">
        <f>IFERROR(__xludf.DUMMYFUNCTION("""COMPUTED_VALUE"""),"K0L 1L0")</f>
        <v>K0L 1L0</v>
      </c>
      <c r="E12014" s="3"/>
      <c r="F12014" s="3"/>
      <c r="G12014" s="3"/>
      <c r="H12014" s="3"/>
    </row>
    <row r="12015">
      <c r="A12015" s="2">
        <f>IFERROR(__xludf.DUMMYFUNCTION("""COMPUTED_VALUE"""),71983.0)</f>
        <v>71983</v>
      </c>
      <c r="B12015" s="3" t="str">
        <f>IFERROR(__xludf.DUMMYFUNCTION("""COMPUTED_VALUE"""),"1041 PETHERICK'S RD")</f>
        <v>1041 PETHERICK'S RD</v>
      </c>
      <c r="C12015" s="3" t="str">
        <f>IFERROR(__xludf.DUMMYFUNCTION("""COMPUTED_VALUE"""),"CAMPBELLFORD")</f>
        <v>CAMPBELLFORD</v>
      </c>
      <c r="D12015" s="3" t="str">
        <f>IFERROR(__xludf.DUMMYFUNCTION("""COMPUTED_VALUE"""),"K0L 1L0")</f>
        <v>K0L 1L0</v>
      </c>
      <c r="E12015" s="3"/>
      <c r="F12015" s="3"/>
      <c r="G12015" s="3"/>
      <c r="H12015" s="3"/>
    </row>
    <row r="12016">
      <c r="A12016" s="2">
        <f>IFERROR(__xludf.DUMMYFUNCTION("""COMPUTED_VALUE"""),71984.0)</f>
        <v>71984</v>
      </c>
      <c r="B12016" s="3" t="str">
        <f>IFERROR(__xludf.DUMMYFUNCTION("""COMPUTED_VALUE"""),"1091 PETHERICK'S RD")</f>
        <v>1091 PETHERICK'S RD</v>
      </c>
      <c r="C12016" s="3" t="str">
        <f>IFERROR(__xludf.DUMMYFUNCTION("""COMPUTED_VALUE"""),"CAMPBELLFORD")</f>
        <v>CAMPBELLFORD</v>
      </c>
      <c r="D12016" s="3" t="str">
        <f>IFERROR(__xludf.DUMMYFUNCTION("""COMPUTED_VALUE"""),"K0L 1L0")</f>
        <v>K0L 1L0</v>
      </c>
      <c r="E12016" s="3"/>
      <c r="F12016" s="3"/>
      <c r="G12016" s="3"/>
      <c r="H12016" s="3"/>
    </row>
    <row r="12017">
      <c r="A12017" s="2">
        <f>IFERROR(__xludf.DUMMYFUNCTION("""COMPUTED_VALUE"""),71985.0)</f>
        <v>71985</v>
      </c>
      <c r="B12017" s="3" t="str">
        <f>IFERROR(__xludf.DUMMYFUNCTION("""COMPUTED_VALUE"""),"1299 PETHERICK'S RD")</f>
        <v>1299 PETHERICK'S RD</v>
      </c>
      <c r="C12017" s="3" t="str">
        <f>IFERROR(__xludf.DUMMYFUNCTION("""COMPUTED_VALUE"""),"CAMPBELLFORD")</f>
        <v>CAMPBELLFORD</v>
      </c>
      <c r="D12017" s="3" t="str">
        <f>IFERROR(__xludf.DUMMYFUNCTION("""COMPUTED_VALUE"""),"K0L 1L0")</f>
        <v>K0L 1L0</v>
      </c>
      <c r="E12017" s="3"/>
      <c r="F12017" s="3"/>
      <c r="G12017" s="3"/>
      <c r="H12017" s="3"/>
    </row>
    <row r="12018">
      <c r="A12018" s="2">
        <f>IFERROR(__xludf.DUMMYFUNCTION("""COMPUTED_VALUE"""),71986.0)</f>
        <v>71986</v>
      </c>
      <c r="B12018" s="3" t="str">
        <f>IFERROR(__xludf.DUMMYFUNCTION("""COMPUTED_VALUE"""),"1302 PETHERICK'S RD")</f>
        <v>1302 PETHERICK'S RD</v>
      </c>
      <c r="C12018" s="3" t="str">
        <f>IFERROR(__xludf.DUMMYFUNCTION("""COMPUTED_VALUE"""),"CAMPBELLFORD")</f>
        <v>CAMPBELLFORD</v>
      </c>
      <c r="D12018" s="3" t="str">
        <f>IFERROR(__xludf.DUMMYFUNCTION("""COMPUTED_VALUE"""),"K0L 1L0")</f>
        <v>K0L 1L0</v>
      </c>
      <c r="E12018" s="3"/>
      <c r="F12018" s="3"/>
      <c r="G12018" s="3"/>
      <c r="H12018" s="3"/>
    </row>
    <row r="12019">
      <c r="A12019" s="2">
        <f>IFERROR(__xludf.DUMMYFUNCTION("""COMPUTED_VALUE"""),71987.0)</f>
        <v>71987</v>
      </c>
      <c r="B12019" s="3" t="str">
        <f>IFERROR(__xludf.DUMMYFUNCTION("""COMPUTED_VALUE"""),"1311 PETHERICK'S RD")</f>
        <v>1311 PETHERICK'S RD</v>
      </c>
      <c r="C12019" s="3" t="str">
        <f>IFERROR(__xludf.DUMMYFUNCTION("""COMPUTED_VALUE"""),"CAMPBELLFORD")</f>
        <v>CAMPBELLFORD</v>
      </c>
      <c r="D12019" s="3" t="str">
        <f>IFERROR(__xludf.DUMMYFUNCTION("""COMPUTED_VALUE"""),"K0L 1L0")</f>
        <v>K0L 1L0</v>
      </c>
      <c r="E12019" s="3"/>
      <c r="F12019" s="3"/>
      <c r="G12019" s="3"/>
      <c r="H12019" s="3"/>
    </row>
    <row r="12020">
      <c r="A12020" s="2">
        <f>IFERROR(__xludf.DUMMYFUNCTION("""COMPUTED_VALUE"""),71988.0)</f>
        <v>71988</v>
      </c>
      <c r="B12020" s="3" t="str">
        <f>IFERROR(__xludf.DUMMYFUNCTION("""COMPUTED_VALUE"""),"1437 PETHERICK'S RD")</f>
        <v>1437 PETHERICK'S RD</v>
      </c>
      <c r="C12020" s="3" t="str">
        <f>IFERROR(__xludf.DUMMYFUNCTION("""COMPUTED_VALUE"""),"CAMPBELLFORD")</f>
        <v>CAMPBELLFORD</v>
      </c>
      <c r="D12020" s="3" t="str">
        <f>IFERROR(__xludf.DUMMYFUNCTION("""COMPUTED_VALUE"""),"K0L 1L0")</f>
        <v>K0L 1L0</v>
      </c>
      <c r="E12020" s="3"/>
      <c r="F12020" s="3"/>
      <c r="G12020" s="3"/>
      <c r="H12020" s="3"/>
    </row>
    <row r="12021">
      <c r="A12021" s="2">
        <f>IFERROR(__xludf.DUMMYFUNCTION("""COMPUTED_VALUE"""),71990.0)</f>
        <v>71990</v>
      </c>
      <c r="B12021" s="3" t="str">
        <f>IFERROR(__xludf.DUMMYFUNCTION("""COMPUTED_VALUE"""),"1454 PETHERICK'S RD")</f>
        <v>1454 PETHERICK'S RD</v>
      </c>
      <c r="C12021" s="3" t="str">
        <f>IFERROR(__xludf.DUMMYFUNCTION("""COMPUTED_VALUE"""),"CAMPBELLFORD")</f>
        <v>CAMPBELLFORD</v>
      </c>
      <c r="D12021" s="3" t="str">
        <f>IFERROR(__xludf.DUMMYFUNCTION("""COMPUTED_VALUE"""),"K0L 1L0")</f>
        <v>K0L 1L0</v>
      </c>
      <c r="E12021" s="3"/>
      <c r="F12021" s="3"/>
      <c r="G12021" s="3"/>
      <c r="H12021" s="3"/>
    </row>
    <row r="12022">
      <c r="A12022" s="2">
        <f>IFERROR(__xludf.DUMMYFUNCTION("""COMPUTED_VALUE"""),71989.0)</f>
        <v>71989</v>
      </c>
      <c r="B12022" s="3" t="str">
        <f>IFERROR(__xludf.DUMMYFUNCTION("""COMPUTED_VALUE"""),"1454 PETHERICKS RD")</f>
        <v>1454 PETHERICKS RD</v>
      </c>
      <c r="C12022" s="3" t="str">
        <f>IFERROR(__xludf.DUMMYFUNCTION("""COMPUTED_VALUE"""),"CAMPBELLFORD")</f>
        <v>CAMPBELLFORD</v>
      </c>
      <c r="D12022" s="3" t="str">
        <f>IFERROR(__xludf.DUMMYFUNCTION("""COMPUTED_VALUE"""),"K0L 1L0")</f>
        <v>K0L 1L0</v>
      </c>
      <c r="E12022" s="3"/>
      <c r="F12022" s="3"/>
      <c r="G12022" s="3"/>
      <c r="H12022" s="3"/>
    </row>
    <row r="12023">
      <c r="A12023" s="2">
        <f>IFERROR(__xludf.DUMMYFUNCTION("""COMPUTED_VALUE"""),71991.0)</f>
        <v>71991</v>
      </c>
      <c r="B12023" s="3" t="str">
        <f>IFERROR(__xludf.DUMMYFUNCTION("""COMPUTED_VALUE"""),"1546 PETHERICK'S RD")</f>
        <v>1546 PETHERICK'S RD</v>
      </c>
      <c r="C12023" s="3" t="str">
        <f>IFERROR(__xludf.DUMMYFUNCTION("""COMPUTED_VALUE"""),"CAMPBELLFORD")</f>
        <v>CAMPBELLFORD</v>
      </c>
      <c r="D12023" s="3" t="str">
        <f>IFERROR(__xludf.DUMMYFUNCTION("""COMPUTED_VALUE"""),"K0L 1L0")</f>
        <v>K0L 1L0</v>
      </c>
      <c r="E12023" s="3"/>
      <c r="F12023" s="3"/>
      <c r="G12023" s="3"/>
      <c r="H12023" s="3"/>
    </row>
    <row r="12024">
      <c r="A12024" s="2">
        <f>IFERROR(__xludf.DUMMYFUNCTION("""COMPUTED_VALUE"""),71993.0)</f>
        <v>71993</v>
      </c>
      <c r="B12024" s="3" t="str">
        <f>IFERROR(__xludf.DUMMYFUNCTION("""COMPUTED_VALUE"""),"1660 PETHERICK'S RD")</f>
        <v>1660 PETHERICK'S RD</v>
      </c>
      <c r="C12024" s="3" t="str">
        <f>IFERROR(__xludf.DUMMYFUNCTION("""COMPUTED_VALUE"""),"CAMPBELLFORD")</f>
        <v>CAMPBELLFORD</v>
      </c>
      <c r="D12024" s="3" t="str">
        <f>IFERROR(__xludf.DUMMYFUNCTION("""COMPUTED_VALUE"""),"K0L 1L0")</f>
        <v>K0L 1L0</v>
      </c>
      <c r="E12024" s="3"/>
      <c r="F12024" s="3"/>
      <c r="G12024" s="3"/>
      <c r="H12024" s="3"/>
    </row>
    <row r="12025">
      <c r="A12025" s="2">
        <f>IFERROR(__xludf.DUMMYFUNCTION("""COMPUTED_VALUE"""),71994.0)</f>
        <v>71994</v>
      </c>
      <c r="B12025" s="3" t="str">
        <f>IFERROR(__xludf.DUMMYFUNCTION("""COMPUTED_VALUE"""),"2464 PETHERICK'S RD")</f>
        <v>2464 PETHERICK'S RD</v>
      </c>
      <c r="C12025" s="3" t="str">
        <f>IFERROR(__xludf.DUMMYFUNCTION("""COMPUTED_VALUE"""),"CAMPBELLFORD")</f>
        <v>CAMPBELLFORD</v>
      </c>
      <c r="D12025" s="3" t="str">
        <f>IFERROR(__xludf.DUMMYFUNCTION("""COMPUTED_VALUE"""),"K0L 1L0")</f>
        <v>K0L 1L0</v>
      </c>
      <c r="E12025" s="3"/>
      <c r="F12025" s="3"/>
      <c r="G12025" s="3"/>
      <c r="H12025" s="3"/>
    </row>
    <row r="12026">
      <c r="A12026" s="2">
        <f>IFERROR(__xludf.DUMMYFUNCTION("""COMPUTED_VALUE"""),71995.0)</f>
        <v>71995</v>
      </c>
      <c r="B12026" s="3" t="str">
        <f>IFERROR(__xludf.DUMMYFUNCTION("""COMPUTED_VALUE"""),"1624A PETHERICKS RD")</f>
        <v>1624A PETHERICKS RD</v>
      </c>
      <c r="C12026" s="3" t="str">
        <f>IFERROR(__xludf.DUMMYFUNCTION("""COMPUTED_VALUE"""),"CAMPBELLFORD")</f>
        <v>CAMPBELLFORD</v>
      </c>
      <c r="D12026" s="3" t="str">
        <f>IFERROR(__xludf.DUMMYFUNCTION("""COMPUTED_VALUE"""),"K0L 1L0")</f>
        <v>K0L 1L0</v>
      </c>
      <c r="E12026" s="3"/>
      <c r="F12026" s="3"/>
      <c r="G12026" s="3"/>
      <c r="H12026" s="3"/>
    </row>
    <row r="12027">
      <c r="A12027" s="2">
        <f>IFERROR(__xludf.DUMMYFUNCTION("""COMPUTED_VALUE"""),71996.0)</f>
        <v>71996</v>
      </c>
      <c r="B12027" s="3" t="str">
        <f>IFERROR(__xludf.DUMMYFUNCTION("""COMPUTED_VALUE"""),"1624B PETHERICKS RD")</f>
        <v>1624B PETHERICKS RD</v>
      </c>
      <c r="C12027" s="3" t="str">
        <f>IFERROR(__xludf.DUMMYFUNCTION("""COMPUTED_VALUE"""),"CAMPBELLFORD")</f>
        <v>CAMPBELLFORD</v>
      </c>
      <c r="D12027" s="3" t="str">
        <f>IFERROR(__xludf.DUMMYFUNCTION("""COMPUTED_VALUE"""),"K0L 1L0")</f>
        <v>K0L 1L0</v>
      </c>
      <c r="E12027" s="3"/>
      <c r="F12027" s="3"/>
      <c r="G12027" s="3"/>
      <c r="H12027" s="3"/>
    </row>
    <row r="12028">
      <c r="A12028" s="2">
        <f>IFERROR(__xludf.DUMMYFUNCTION("""COMPUTED_VALUE"""),71997.0)</f>
        <v>71997</v>
      </c>
      <c r="B12028" s="3" t="str">
        <f>IFERROR(__xludf.DUMMYFUNCTION("""COMPUTED_VALUE"""),"4 PINE GROVE RD")</f>
        <v>4 PINE GROVE RD</v>
      </c>
      <c r="C12028" s="3" t="str">
        <f>IFERROR(__xludf.DUMMYFUNCTION("""COMPUTED_VALUE"""),"MARMORA")</f>
        <v>MARMORA</v>
      </c>
      <c r="D12028" s="3" t="str">
        <f>IFERROR(__xludf.DUMMYFUNCTION("""COMPUTED_VALUE"""),"K0K 2M0")</f>
        <v>K0K 2M0</v>
      </c>
      <c r="E12028" s="3"/>
      <c r="F12028" s="3"/>
      <c r="G12028" s="3"/>
      <c r="H12028" s="3"/>
    </row>
    <row r="12029">
      <c r="A12029" s="2">
        <f>IFERROR(__xludf.DUMMYFUNCTION("""COMPUTED_VALUE"""),71998.0)</f>
        <v>71998</v>
      </c>
      <c r="B12029" s="3" t="str">
        <f>IFERROR(__xludf.DUMMYFUNCTION("""COMPUTED_VALUE"""),"14 PINE GROVE RD")</f>
        <v>14 PINE GROVE RD</v>
      </c>
      <c r="C12029" s="3" t="str">
        <f>IFERROR(__xludf.DUMMYFUNCTION("""COMPUTED_VALUE"""),"MARMORA")</f>
        <v>MARMORA</v>
      </c>
      <c r="D12029" s="3" t="str">
        <f>IFERROR(__xludf.DUMMYFUNCTION("""COMPUTED_VALUE"""),"K0K 2M0")</f>
        <v>K0K 2M0</v>
      </c>
      <c r="E12029" s="3"/>
      <c r="F12029" s="3"/>
      <c r="G12029" s="3"/>
      <c r="H12029" s="3"/>
    </row>
    <row r="12030">
      <c r="A12030" s="2">
        <f>IFERROR(__xludf.DUMMYFUNCTION("""COMPUTED_VALUE"""),71999.0)</f>
        <v>71999</v>
      </c>
      <c r="B12030" s="3" t="str">
        <f>IFERROR(__xludf.DUMMYFUNCTION("""COMPUTED_VALUE"""),"28 PINE GROVE RD")</f>
        <v>28 PINE GROVE RD</v>
      </c>
      <c r="C12030" s="3" t="str">
        <f>IFERROR(__xludf.DUMMYFUNCTION("""COMPUTED_VALUE"""),"MARMORA")</f>
        <v>MARMORA</v>
      </c>
      <c r="D12030" s="3" t="str">
        <f>IFERROR(__xludf.DUMMYFUNCTION("""COMPUTED_VALUE"""),"K0K 2M0")</f>
        <v>K0K 2M0</v>
      </c>
      <c r="E12030" s="3"/>
      <c r="F12030" s="3"/>
      <c r="G12030" s="3"/>
      <c r="H12030" s="3"/>
    </row>
    <row r="12031">
      <c r="A12031" s="2">
        <f>IFERROR(__xludf.DUMMYFUNCTION("""COMPUTED_VALUE"""),72000.0)</f>
        <v>72000</v>
      </c>
      <c r="B12031" s="3" t="str">
        <f>IFERROR(__xludf.DUMMYFUNCTION("""COMPUTED_VALUE"""),"29 PINE GROVE RD")</f>
        <v>29 PINE GROVE RD</v>
      </c>
      <c r="C12031" s="3" t="str">
        <f>IFERROR(__xludf.DUMMYFUNCTION("""COMPUTED_VALUE"""),"MARMORA")</f>
        <v>MARMORA</v>
      </c>
      <c r="D12031" s="3" t="str">
        <f>IFERROR(__xludf.DUMMYFUNCTION("""COMPUTED_VALUE"""),"K0K 2M0")</f>
        <v>K0K 2M0</v>
      </c>
      <c r="E12031" s="3" t="str">
        <f>IFERROR(__xludf.DUMMYFUNCTION("""COMPUTED_VALUE"""),"Michael Bowslaugh")</f>
        <v>Michael Bowslaugh</v>
      </c>
      <c r="F12031" s="3" t="str">
        <f>IFERROR(__xludf.DUMMYFUNCTION("""COMPUTED_VALUE"""),"jmbowslaugh@gmail.com")</f>
        <v>jmbowslaugh@gmail.com</v>
      </c>
      <c r="G12031" s="3">
        <f>IFERROR(__xludf.DUMMYFUNCTION("""COMPUTED_VALUE"""),5.192404701E9)</f>
        <v>5192404701</v>
      </c>
      <c r="H12031" s="3"/>
    </row>
    <row r="12032">
      <c r="A12032" s="2">
        <f>IFERROR(__xludf.DUMMYFUNCTION("""COMPUTED_VALUE"""),72001.0)</f>
        <v>72001</v>
      </c>
      <c r="B12032" s="3" t="str">
        <f>IFERROR(__xludf.DUMMYFUNCTION("""COMPUTED_VALUE"""),"36 PINE GROVE RD")</f>
        <v>36 PINE GROVE RD</v>
      </c>
      <c r="C12032" s="3" t="str">
        <f>IFERROR(__xludf.DUMMYFUNCTION("""COMPUTED_VALUE"""),"MARMORA")</f>
        <v>MARMORA</v>
      </c>
      <c r="D12032" s="3" t="str">
        <f>IFERROR(__xludf.DUMMYFUNCTION("""COMPUTED_VALUE"""),"K0K 2M0")</f>
        <v>K0K 2M0</v>
      </c>
      <c r="E12032" s="3"/>
      <c r="F12032" s="3"/>
      <c r="G12032" s="3"/>
      <c r="H12032" s="3"/>
    </row>
    <row r="12033">
      <c r="A12033" s="2">
        <f>IFERROR(__xludf.DUMMYFUNCTION("""COMPUTED_VALUE"""),72002.0)</f>
        <v>72002</v>
      </c>
      <c r="B12033" s="3" t="str">
        <f>IFERROR(__xludf.DUMMYFUNCTION("""COMPUTED_VALUE"""),"50 PINE GROVE RD")</f>
        <v>50 PINE GROVE RD</v>
      </c>
      <c r="C12033" s="3" t="str">
        <f>IFERROR(__xludf.DUMMYFUNCTION("""COMPUTED_VALUE"""),"MARMORA")</f>
        <v>MARMORA</v>
      </c>
      <c r="D12033" s="3" t="str">
        <f>IFERROR(__xludf.DUMMYFUNCTION("""COMPUTED_VALUE"""),"K0K 2M0")</f>
        <v>K0K 2M0</v>
      </c>
      <c r="E12033" s="3"/>
      <c r="F12033" s="3"/>
      <c r="G12033" s="3"/>
      <c r="H12033" s="3"/>
    </row>
    <row r="12034">
      <c r="A12034" s="2">
        <f>IFERROR(__xludf.DUMMYFUNCTION("""COMPUTED_VALUE"""),72003.0)</f>
        <v>72003</v>
      </c>
      <c r="B12034" s="3" t="str">
        <f>IFERROR(__xludf.DUMMYFUNCTION("""COMPUTED_VALUE"""),"51 PINE GROVE RD")</f>
        <v>51 PINE GROVE RD</v>
      </c>
      <c r="C12034" s="3" t="str">
        <f>IFERROR(__xludf.DUMMYFUNCTION("""COMPUTED_VALUE"""),"MARMORA")</f>
        <v>MARMORA</v>
      </c>
      <c r="D12034" s="3" t="str">
        <f>IFERROR(__xludf.DUMMYFUNCTION("""COMPUTED_VALUE"""),"K0K 2M0")</f>
        <v>K0K 2M0</v>
      </c>
      <c r="E12034" s="3"/>
      <c r="F12034" s="3"/>
      <c r="G12034" s="3"/>
      <c r="H12034" s="3"/>
    </row>
    <row r="12035">
      <c r="A12035" s="2">
        <f>IFERROR(__xludf.DUMMYFUNCTION("""COMPUTED_VALUE"""),72004.0)</f>
        <v>72004</v>
      </c>
      <c r="B12035" s="3" t="str">
        <f>IFERROR(__xludf.DUMMYFUNCTION("""COMPUTED_VALUE"""),"66 PINE GROVE RD")</f>
        <v>66 PINE GROVE RD</v>
      </c>
      <c r="C12035" s="3" t="str">
        <f>IFERROR(__xludf.DUMMYFUNCTION("""COMPUTED_VALUE"""),"MARMORA")</f>
        <v>MARMORA</v>
      </c>
      <c r="D12035" s="3" t="str">
        <f>IFERROR(__xludf.DUMMYFUNCTION("""COMPUTED_VALUE"""),"K0K 2M0")</f>
        <v>K0K 2M0</v>
      </c>
      <c r="E12035" s="3"/>
      <c r="F12035" s="3"/>
      <c r="G12035" s="3"/>
      <c r="H12035" s="3"/>
    </row>
    <row r="12036">
      <c r="A12036" s="2">
        <f>IFERROR(__xludf.DUMMYFUNCTION("""COMPUTED_VALUE"""),72056.0)</f>
        <v>72056</v>
      </c>
      <c r="B12036" s="3" t="str">
        <f>IFERROR(__xludf.DUMMYFUNCTION("""COMPUTED_VALUE"""),"1 REGO RD")</f>
        <v>1 REGO RD</v>
      </c>
      <c r="C12036" s="3" t="str">
        <f>IFERROR(__xludf.DUMMYFUNCTION("""COMPUTED_VALUE"""),"MARMORA")</f>
        <v>MARMORA</v>
      </c>
      <c r="D12036" s="3" t="str">
        <f>IFERROR(__xludf.DUMMYFUNCTION("""COMPUTED_VALUE"""),"K0K 2M0")</f>
        <v>K0K 2M0</v>
      </c>
      <c r="E12036" s="3" t="str">
        <f>IFERROR(__xludf.DUMMYFUNCTION("""COMPUTED_VALUE"""),"rick kretcheson")</f>
        <v>rick kretcheson</v>
      </c>
      <c r="F12036" s="3"/>
      <c r="G12036" s="3">
        <f>IFERROR(__xludf.DUMMYFUNCTION("""COMPUTED_VALUE"""),7.05653612E9)</f>
        <v>7056536120</v>
      </c>
      <c r="H12036" s="3"/>
    </row>
    <row r="12037">
      <c r="A12037" s="2">
        <f>IFERROR(__xludf.DUMMYFUNCTION("""COMPUTED_VALUE"""),72057.0)</f>
        <v>72057</v>
      </c>
      <c r="B12037" s="3" t="str">
        <f>IFERROR(__xludf.DUMMYFUNCTION("""COMPUTED_VALUE"""),"23 REGO RD")</f>
        <v>23 REGO RD</v>
      </c>
      <c r="C12037" s="3" t="str">
        <f>IFERROR(__xludf.DUMMYFUNCTION("""COMPUTED_VALUE"""),"MARMORA")</f>
        <v>MARMORA</v>
      </c>
      <c r="D12037" s="3" t="str">
        <f>IFERROR(__xludf.DUMMYFUNCTION("""COMPUTED_VALUE"""),"K0K 2M0")</f>
        <v>K0K 2M0</v>
      </c>
      <c r="E12037" s="3" t="str">
        <f>IFERROR(__xludf.DUMMYFUNCTION("""COMPUTED_VALUE"""),"jim corcoran")</f>
        <v>jim corcoran</v>
      </c>
      <c r="F12037" s="3" t="str">
        <f>IFERROR(__xludf.DUMMYFUNCTION("""COMPUTED_VALUE"""),"jjc9733@gmail.com")</f>
        <v>jjc9733@gmail.com</v>
      </c>
      <c r="G12037" s="3">
        <f>IFERROR(__xludf.DUMMYFUNCTION("""COMPUTED_VALUE"""),4.167224238E9)</f>
        <v>4167224238</v>
      </c>
      <c r="H12037" s="3"/>
    </row>
    <row r="12038">
      <c r="A12038" s="2">
        <f>IFERROR(__xludf.DUMMYFUNCTION("""COMPUTED_VALUE"""),72058.0)</f>
        <v>72058</v>
      </c>
      <c r="B12038" s="3" t="str">
        <f>IFERROR(__xludf.DUMMYFUNCTION("""COMPUTED_VALUE"""),"25 REGO RD")</f>
        <v>25 REGO RD</v>
      </c>
      <c r="C12038" s="3" t="str">
        <f>IFERROR(__xludf.DUMMYFUNCTION("""COMPUTED_VALUE"""),"MARMORA")</f>
        <v>MARMORA</v>
      </c>
      <c r="D12038" s="3" t="str">
        <f>IFERROR(__xludf.DUMMYFUNCTION("""COMPUTED_VALUE"""),"K0K 2M0")</f>
        <v>K0K 2M0</v>
      </c>
      <c r="E12038" s="3"/>
      <c r="F12038" s="3"/>
      <c r="G12038" s="3"/>
      <c r="H12038" s="3"/>
    </row>
    <row r="12039">
      <c r="A12039" s="2">
        <f>IFERROR(__xludf.DUMMYFUNCTION("""COMPUTED_VALUE"""),72059.0)</f>
        <v>72059</v>
      </c>
      <c r="B12039" s="3" t="str">
        <f>IFERROR(__xludf.DUMMYFUNCTION("""COMPUTED_VALUE"""),"26 REGO RD")</f>
        <v>26 REGO RD</v>
      </c>
      <c r="C12039" s="3" t="str">
        <f>IFERROR(__xludf.DUMMYFUNCTION("""COMPUTED_VALUE"""),"MARMORA")</f>
        <v>MARMORA</v>
      </c>
      <c r="D12039" s="3" t="str">
        <f>IFERROR(__xludf.DUMMYFUNCTION("""COMPUTED_VALUE"""),"K0K 2M0")</f>
        <v>K0K 2M0</v>
      </c>
      <c r="E12039" s="3"/>
      <c r="F12039" s="3"/>
      <c r="G12039" s="3"/>
      <c r="H12039" s="3"/>
    </row>
    <row r="12040">
      <c r="A12040" s="2">
        <f>IFERROR(__xludf.DUMMYFUNCTION("""COMPUTED_VALUE"""),72060.0)</f>
        <v>72060</v>
      </c>
      <c r="B12040" s="3" t="str">
        <f>IFERROR(__xludf.DUMMYFUNCTION("""COMPUTED_VALUE"""),"29 REGO RD")</f>
        <v>29 REGO RD</v>
      </c>
      <c r="C12040" s="3" t="str">
        <f>IFERROR(__xludf.DUMMYFUNCTION("""COMPUTED_VALUE"""),"MARMORA")</f>
        <v>MARMORA</v>
      </c>
      <c r="D12040" s="3" t="str">
        <f>IFERROR(__xludf.DUMMYFUNCTION("""COMPUTED_VALUE"""),"K0K 2M0")</f>
        <v>K0K 2M0</v>
      </c>
      <c r="E12040" s="3"/>
      <c r="F12040" s="3"/>
      <c r="G12040" s="3"/>
      <c r="H12040" s="3"/>
    </row>
    <row r="12041">
      <c r="A12041" s="2">
        <f>IFERROR(__xludf.DUMMYFUNCTION("""COMPUTED_VALUE"""),72061.0)</f>
        <v>72061</v>
      </c>
      <c r="B12041" s="3" t="str">
        <f>IFERROR(__xludf.DUMMYFUNCTION("""COMPUTED_VALUE"""),"36 REGO RD")</f>
        <v>36 REGO RD</v>
      </c>
      <c r="C12041" s="3" t="str">
        <f>IFERROR(__xludf.DUMMYFUNCTION("""COMPUTED_VALUE"""),"MARMORA")</f>
        <v>MARMORA</v>
      </c>
      <c r="D12041" s="3" t="str">
        <f>IFERROR(__xludf.DUMMYFUNCTION("""COMPUTED_VALUE"""),"K0K 2M0")</f>
        <v>K0K 2M0</v>
      </c>
      <c r="E12041" s="3"/>
      <c r="F12041" s="3"/>
      <c r="G12041" s="3"/>
      <c r="H12041" s="3"/>
    </row>
    <row r="12042">
      <c r="A12042" s="2">
        <f>IFERROR(__xludf.DUMMYFUNCTION("""COMPUTED_VALUE"""),72062.0)</f>
        <v>72062</v>
      </c>
      <c r="B12042" s="3" t="str">
        <f>IFERROR(__xludf.DUMMYFUNCTION("""COMPUTED_VALUE"""),"50 REGO RD")</f>
        <v>50 REGO RD</v>
      </c>
      <c r="C12042" s="3" t="str">
        <f>IFERROR(__xludf.DUMMYFUNCTION("""COMPUTED_VALUE"""),"MARMORA")</f>
        <v>MARMORA</v>
      </c>
      <c r="D12042" s="3" t="str">
        <f>IFERROR(__xludf.DUMMYFUNCTION("""COMPUTED_VALUE"""),"K0K 2M0")</f>
        <v>K0K 2M0</v>
      </c>
      <c r="E12042" s="3" t="str">
        <f>IFERROR(__xludf.DUMMYFUNCTION("""COMPUTED_VALUE"""),"Danny Rego")</f>
        <v>Danny Rego</v>
      </c>
      <c r="F12042" s="3" t="str">
        <f>IFERROR(__xludf.DUMMYFUNCTION("""COMPUTED_VALUE"""),"danny@rego.com")</f>
        <v>danny@rego.com</v>
      </c>
      <c r="G12042" s="3">
        <f>IFERROR(__xludf.DUMMYFUNCTION("""COMPUTED_VALUE"""),4.168246469E9)</f>
        <v>4168246469</v>
      </c>
      <c r="H12042" s="3"/>
    </row>
    <row r="12043">
      <c r="A12043" s="2">
        <f>IFERROR(__xludf.DUMMYFUNCTION("""COMPUTED_VALUE"""),72063.0)</f>
        <v>72063</v>
      </c>
      <c r="B12043" s="3" t="str">
        <f>IFERROR(__xludf.DUMMYFUNCTION("""COMPUTED_VALUE"""),"334 REGO RD")</f>
        <v>334 REGO RD</v>
      </c>
      <c r="C12043" s="3" t="str">
        <f>IFERROR(__xludf.DUMMYFUNCTION("""COMPUTED_VALUE"""),"MARMORA")</f>
        <v>MARMORA</v>
      </c>
      <c r="D12043" s="3" t="str">
        <f>IFERROR(__xludf.DUMMYFUNCTION("""COMPUTED_VALUE"""),"K0K 2M0")</f>
        <v>K0K 2M0</v>
      </c>
      <c r="E12043" s="3"/>
      <c r="F12043" s="3"/>
      <c r="G12043" s="3"/>
      <c r="H12043" s="3"/>
    </row>
    <row r="12044">
      <c r="A12044" s="2">
        <f>IFERROR(__xludf.DUMMYFUNCTION("""COMPUTED_VALUE"""),72064.0)</f>
        <v>72064</v>
      </c>
      <c r="B12044" s="3" t="str">
        <f>IFERROR(__xludf.DUMMYFUNCTION("""COMPUTED_VALUE"""),"352 REGO RD")</f>
        <v>352 REGO RD</v>
      </c>
      <c r="C12044" s="3" t="str">
        <f>IFERROR(__xludf.DUMMYFUNCTION("""COMPUTED_VALUE"""),"MARMORA")</f>
        <v>MARMORA</v>
      </c>
      <c r="D12044" s="3" t="str">
        <f>IFERROR(__xludf.DUMMYFUNCTION("""COMPUTED_VALUE"""),"K0K 2M0")</f>
        <v>K0K 2M0</v>
      </c>
      <c r="E12044" s="3"/>
      <c r="F12044" s="3"/>
      <c r="G12044" s="3"/>
      <c r="H12044" s="3"/>
    </row>
    <row r="12045">
      <c r="A12045" s="2">
        <f>IFERROR(__xludf.DUMMYFUNCTION("""COMPUTED_VALUE"""),72065.0)</f>
        <v>72065</v>
      </c>
      <c r="B12045" s="3" t="str">
        <f>IFERROR(__xludf.DUMMYFUNCTION("""COMPUTED_VALUE"""),"355 REGO RD")</f>
        <v>355 REGO RD</v>
      </c>
      <c r="C12045" s="3" t="str">
        <f>IFERROR(__xludf.DUMMYFUNCTION("""COMPUTED_VALUE"""),"MARMORA")</f>
        <v>MARMORA</v>
      </c>
      <c r="D12045" s="3" t="str">
        <f>IFERROR(__xludf.DUMMYFUNCTION("""COMPUTED_VALUE"""),"K0K 2M0")</f>
        <v>K0K 2M0</v>
      </c>
      <c r="E12045" s="3"/>
      <c r="F12045" s="3"/>
      <c r="G12045" s="3"/>
      <c r="H12045" s="3"/>
    </row>
    <row r="12046">
      <c r="A12046" s="2">
        <f>IFERROR(__xludf.DUMMYFUNCTION("""COMPUTED_VALUE"""),72066.0)</f>
        <v>72066</v>
      </c>
      <c r="B12046" s="3" t="str">
        <f>IFERROR(__xludf.DUMMYFUNCTION("""COMPUTED_VALUE"""),"356 REGO RD")</f>
        <v>356 REGO RD</v>
      </c>
      <c r="C12046" s="3" t="str">
        <f>IFERROR(__xludf.DUMMYFUNCTION("""COMPUTED_VALUE"""),"MARMORA")</f>
        <v>MARMORA</v>
      </c>
      <c r="D12046" s="3" t="str">
        <f>IFERROR(__xludf.DUMMYFUNCTION("""COMPUTED_VALUE"""),"K0K 2M0")</f>
        <v>K0K 2M0</v>
      </c>
      <c r="E12046" s="3"/>
      <c r="F12046" s="3"/>
      <c r="G12046" s="3"/>
      <c r="H12046" s="3"/>
    </row>
    <row r="12047">
      <c r="A12047" s="2">
        <f>IFERROR(__xludf.DUMMYFUNCTION("""COMPUTED_VALUE"""),72067.0)</f>
        <v>72067</v>
      </c>
      <c r="B12047" s="3" t="str">
        <f>IFERROR(__xludf.DUMMYFUNCTION("""COMPUTED_VALUE"""),"361 REGO RD")</f>
        <v>361 REGO RD</v>
      </c>
      <c r="C12047" s="3" t="str">
        <f>IFERROR(__xludf.DUMMYFUNCTION("""COMPUTED_VALUE"""),"MARMORA")</f>
        <v>MARMORA</v>
      </c>
      <c r="D12047" s="3" t="str">
        <f>IFERROR(__xludf.DUMMYFUNCTION("""COMPUTED_VALUE"""),"K0K 2M0")</f>
        <v>K0K 2M0</v>
      </c>
      <c r="E12047" s="3"/>
      <c r="F12047" s="3"/>
      <c r="G12047" s="3"/>
      <c r="H12047" s="3"/>
    </row>
    <row r="12048">
      <c r="A12048" s="2">
        <f>IFERROR(__xludf.DUMMYFUNCTION("""COMPUTED_VALUE"""),72068.0)</f>
        <v>72068</v>
      </c>
      <c r="B12048" s="3" t="str">
        <f>IFERROR(__xludf.DUMMYFUNCTION("""COMPUTED_VALUE"""),"363 REGO RD")</f>
        <v>363 REGO RD</v>
      </c>
      <c r="C12048" s="3" t="str">
        <f>IFERROR(__xludf.DUMMYFUNCTION("""COMPUTED_VALUE"""),"MARMORA")</f>
        <v>MARMORA</v>
      </c>
      <c r="D12048" s="3" t="str">
        <f>IFERROR(__xludf.DUMMYFUNCTION("""COMPUTED_VALUE"""),"K0K 2M0")</f>
        <v>K0K 2M0</v>
      </c>
      <c r="E12048" s="3"/>
      <c r="F12048" s="3"/>
      <c r="G12048" s="3"/>
      <c r="H12048" s="3"/>
    </row>
    <row r="12049">
      <c r="A12049" s="2">
        <f>IFERROR(__xludf.DUMMYFUNCTION("""COMPUTED_VALUE"""),72069.0)</f>
        <v>72069</v>
      </c>
      <c r="B12049" s="3" t="str">
        <f>IFERROR(__xludf.DUMMYFUNCTION("""COMPUTED_VALUE"""),"369 REGO RD")</f>
        <v>369 REGO RD</v>
      </c>
      <c r="C12049" s="3" t="str">
        <f>IFERROR(__xludf.DUMMYFUNCTION("""COMPUTED_VALUE"""),"MARMORA")</f>
        <v>MARMORA</v>
      </c>
      <c r="D12049" s="3" t="str">
        <f>IFERROR(__xludf.DUMMYFUNCTION("""COMPUTED_VALUE"""),"K0K 2M0")</f>
        <v>K0K 2M0</v>
      </c>
      <c r="E12049" s="3"/>
      <c r="F12049" s="3"/>
      <c r="G12049" s="3"/>
      <c r="H12049" s="3"/>
    </row>
    <row r="12050">
      <c r="A12050" s="2">
        <f>IFERROR(__xludf.DUMMYFUNCTION("""COMPUTED_VALUE"""),72070.0)</f>
        <v>72070</v>
      </c>
      <c r="B12050" s="3" t="str">
        <f>IFERROR(__xludf.DUMMYFUNCTION("""COMPUTED_VALUE"""),"371 REGO RD")</f>
        <v>371 REGO RD</v>
      </c>
      <c r="C12050" s="3" t="str">
        <f>IFERROR(__xludf.DUMMYFUNCTION("""COMPUTED_VALUE"""),"MARMORA")</f>
        <v>MARMORA</v>
      </c>
      <c r="D12050" s="3" t="str">
        <f>IFERROR(__xludf.DUMMYFUNCTION("""COMPUTED_VALUE"""),"K0K 2M0")</f>
        <v>K0K 2M0</v>
      </c>
      <c r="E12050" s="3"/>
      <c r="F12050" s="3"/>
      <c r="G12050" s="3"/>
      <c r="H12050" s="3"/>
    </row>
    <row r="12051">
      <c r="A12051" s="2">
        <f>IFERROR(__xludf.DUMMYFUNCTION("""COMPUTED_VALUE"""),72071.0)</f>
        <v>72071</v>
      </c>
      <c r="B12051" s="3" t="str">
        <f>IFERROR(__xludf.DUMMYFUNCTION("""COMPUTED_VALUE"""),"375 REGO RD")</f>
        <v>375 REGO RD</v>
      </c>
      <c r="C12051" s="3" t="str">
        <f>IFERROR(__xludf.DUMMYFUNCTION("""COMPUTED_VALUE"""),"MARMORA")</f>
        <v>MARMORA</v>
      </c>
      <c r="D12051" s="3" t="str">
        <f>IFERROR(__xludf.DUMMYFUNCTION("""COMPUTED_VALUE"""),"K0K 2M0")</f>
        <v>K0K 2M0</v>
      </c>
      <c r="E12051" s="3"/>
      <c r="F12051" s="3"/>
      <c r="G12051" s="3"/>
      <c r="H12051" s="3"/>
    </row>
    <row r="12052">
      <c r="A12052" s="2">
        <f>IFERROR(__xludf.DUMMYFUNCTION("""COMPUTED_VALUE"""),72072.0)</f>
        <v>72072</v>
      </c>
      <c r="B12052" s="3" t="str">
        <f>IFERROR(__xludf.DUMMYFUNCTION("""COMPUTED_VALUE"""),"377 REGO RD")</f>
        <v>377 REGO RD</v>
      </c>
      <c r="C12052" s="3" t="str">
        <f>IFERROR(__xludf.DUMMYFUNCTION("""COMPUTED_VALUE"""),"MARMORA")</f>
        <v>MARMORA</v>
      </c>
      <c r="D12052" s="3" t="str">
        <f>IFERROR(__xludf.DUMMYFUNCTION("""COMPUTED_VALUE"""),"K0K 2M0")</f>
        <v>K0K 2M0</v>
      </c>
      <c r="E12052" s="3" t="str">
        <f>IFERROR(__xludf.DUMMYFUNCTION("""COMPUTED_VALUE"""),"Alex Simpson")</f>
        <v>Alex Simpson</v>
      </c>
      <c r="F12052" s="3" t="str">
        <f>IFERROR(__xludf.DUMMYFUNCTION("""COMPUTED_VALUE"""),"alexsimpson650@live.ca")</f>
        <v>alexsimpson650@live.ca</v>
      </c>
      <c r="G12052" s="3">
        <f>IFERROR(__xludf.DUMMYFUNCTION("""COMPUTED_VALUE"""),4.16320552E9)</f>
        <v>4163205520</v>
      </c>
      <c r="H12052" s="3"/>
    </row>
    <row r="12053">
      <c r="A12053" s="2">
        <f>IFERROR(__xludf.DUMMYFUNCTION("""COMPUTED_VALUE"""),72073.0)</f>
        <v>72073</v>
      </c>
      <c r="B12053" s="3" t="str">
        <f>IFERROR(__xludf.DUMMYFUNCTION("""COMPUTED_VALUE"""),"378 REGO RD")</f>
        <v>378 REGO RD</v>
      </c>
      <c r="C12053" s="3" t="str">
        <f>IFERROR(__xludf.DUMMYFUNCTION("""COMPUTED_VALUE"""),"MARMORA")</f>
        <v>MARMORA</v>
      </c>
      <c r="D12053" s="3" t="str">
        <f>IFERROR(__xludf.DUMMYFUNCTION("""COMPUTED_VALUE"""),"K0K 2M0")</f>
        <v>K0K 2M0</v>
      </c>
      <c r="E12053" s="3"/>
      <c r="F12053" s="3"/>
      <c r="G12053" s="3"/>
      <c r="H12053" s="3"/>
    </row>
    <row r="12054">
      <c r="A12054" s="2">
        <f>IFERROR(__xludf.DUMMYFUNCTION("""COMPUTED_VALUE"""),72074.0)</f>
        <v>72074</v>
      </c>
      <c r="B12054" s="3" t="str">
        <f>IFERROR(__xludf.DUMMYFUNCTION("""COMPUTED_VALUE"""),"381 REGO RD")</f>
        <v>381 REGO RD</v>
      </c>
      <c r="C12054" s="3" t="str">
        <f>IFERROR(__xludf.DUMMYFUNCTION("""COMPUTED_VALUE"""),"MARMORA")</f>
        <v>MARMORA</v>
      </c>
      <c r="D12054" s="3" t="str">
        <f>IFERROR(__xludf.DUMMYFUNCTION("""COMPUTED_VALUE"""),"K0K 2M0")</f>
        <v>K0K 2M0</v>
      </c>
      <c r="E12054" s="3"/>
      <c r="F12054" s="3"/>
      <c r="G12054" s="3"/>
      <c r="H12054" s="3"/>
    </row>
    <row r="12055">
      <c r="A12055" s="2">
        <f>IFERROR(__xludf.DUMMYFUNCTION("""COMPUTED_VALUE"""),72075.0)</f>
        <v>72075</v>
      </c>
      <c r="B12055" s="3" t="str">
        <f>IFERROR(__xludf.DUMMYFUNCTION("""COMPUTED_VALUE"""),"385 REGO RD")</f>
        <v>385 REGO RD</v>
      </c>
      <c r="C12055" s="3" t="str">
        <f>IFERROR(__xludf.DUMMYFUNCTION("""COMPUTED_VALUE"""),"MARMORA")</f>
        <v>MARMORA</v>
      </c>
      <c r="D12055" s="3" t="str">
        <f>IFERROR(__xludf.DUMMYFUNCTION("""COMPUTED_VALUE"""),"K0K 2M0")</f>
        <v>K0K 2M0</v>
      </c>
      <c r="E12055" s="3"/>
      <c r="F12055" s="3"/>
      <c r="G12055" s="3"/>
      <c r="H12055" s="3"/>
    </row>
    <row r="12056">
      <c r="A12056" s="2">
        <f>IFERROR(__xludf.DUMMYFUNCTION("""COMPUTED_VALUE"""),72076.0)</f>
        <v>72076</v>
      </c>
      <c r="B12056" s="3" t="str">
        <f>IFERROR(__xludf.DUMMYFUNCTION("""COMPUTED_VALUE"""),"393 REGO RD")</f>
        <v>393 REGO RD</v>
      </c>
      <c r="C12056" s="3" t="str">
        <f>IFERROR(__xludf.DUMMYFUNCTION("""COMPUTED_VALUE"""),"MARMORA")</f>
        <v>MARMORA</v>
      </c>
      <c r="D12056" s="3" t="str">
        <f>IFERROR(__xludf.DUMMYFUNCTION("""COMPUTED_VALUE"""),"K0K 2M0")</f>
        <v>K0K 2M0</v>
      </c>
      <c r="E12056" s="3" t="str">
        <f>IFERROR(__xludf.DUMMYFUNCTION("""COMPUTED_VALUE"""),"Glen Ford")</f>
        <v>Glen Ford</v>
      </c>
      <c r="F12056" s="3" t="str">
        <f>IFERROR(__xludf.DUMMYFUNCTION("""COMPUTED_VALUE"""),"mrchibuku@yahoo.com")</f>
        <v>mrchibuku@yahoo.com</v>
      </c>
      <c r="G12056" s="3">
        <f>IFERROR(__xludf.DUMMYFUNCTION("""COMPUTED_VALUE"""),2.26339435E9)</f>
        <v>2263394350</v>
      </c>
      <c r="H12056" s="3"/>
    </row>
    <row r="12057">
      <c r="A12057" s="2">
        <f>IFERROR(__xludf.DUMMYFUNCTION("""COMPUTED_VALUE"""),72077.0)</f>
        <v>72077</v>
      </c>
      <c r="B12057" s="3" t="str">
        <f>IFERROR(__xludf.DUMMYFUNCTION("""COMPUTED_VALUE"""),"398 REGO RD")</f>
        <v>398 REGO RD</v>
      </c>
      <c r="C12057" s="3" t="str">
        <f>IFERROR(__xludf.DUMMYFUNCTION("""COMPUTED_VALUE"""),"MARMORA")</f>
        <v>MARMORA</v>
      </c>
      <c r="D12057" s="3" t="str">
        <f>IFERROR(__xludf.DUMMYFUNCTION("""COMPUTED_VALUE"""),"K0K 2M0")</f>
        <v>K0K 2M0</v>
      </c>
      <c r="E12057" s="3"/>
      <c r="F12057" s="3"/>
      <c r="G12057" s="3"/>
      <c r="H12057" s="3"/>
    </row>
    <row r="12058">
      <c r="A12058" s="2">
        <f>IFERROR(__xludf.DUMMYFUNCTION("""COMPUTED_VALUE"""),72078.0)</f>
        <v>72078</v>
      </c>
      <c r="B12058" s="3" t="str">
        <f>IFERROR(__xludf.DUMMYFUNCTION("""COMPUTED_VALUE"""),"403 REGO RD")</f>
        <v>403 REGO RD</v>
      </c>
      <c r="C12058" s="3" t="str">
        <f>IFERROR(__xludf.DUMMYFUNCTION("""COMPUTED_VALUE"""),"MARMORA")</f>
        <v>MARMORA</v>
      </c>
      <c r="D12058" s="3" t="str">
        <f>IFERROR(__xludf.DUMMYFUNCTION("""COMPUTED_VALUE"""),"K0K 2M0")</f>
        <v>K0K 2M0</v>
      </c>
      <c r="E12058" s="3"/>
      <c r="F12058" s="3"/>
      <c r="G12058" s="3"/>
      <c r="H12058" s="3"/>
    </row>
    <row r="12059">
      <c r="A12059" s="2">
        <f>IFERROR(__xludf.DUMMYFUNCTION("""COMPUTED_VALUE"""),72079.0)</f>
        <v>72079</v>
      </c>
      <c r="B12059" s="3" t="str">
        <f>IFERROR(__xludf.DUMMYFUNCTION("""COMPUTED_VALUE"""),"1531 REYNOLDS RD")</f>
        <v>1531 REYNOLDS RD</v>
      </c>
      <c r="C12059" s="3" t="str">
        <f>IFERROR(__xludf.DUMMYFUNCTION("""COMPUTED_VALUE"""),"HAVELOCK")</f>
        <v>HAVELOCK</v>
      </c>
      <c r="D12059" s="3" t="str">
        <f>IFERROR(__xludf.DUMMYFUNCTION("""COMPUTED_VALUE"""),"K0L 1Z0")</f>
        <v>K0L 1Z0</v>
      </c>
      <c r="E12059" s="3"/>
      <c r="F12059" s="3"/>
      <c r="G12059" s="3"/>
      <c r="H12059" s="3"/>
    </row>
    <row r="12060">
      <c r="A12060" s="2">
        <f>IFERROR(__xludf.DUMMYFUNCTION("""COMPUTED_VALUE"""),72080.0)</f>
        <v>72080</v>
      </c>
      <c r="B12060" s="3" t="str">
        <f>IFERROR(__xludf.DUMMYFUNCTION("""COMPUTED_VALUE"""),"1551 REYNOLDS RD")</f>
        <v>1551 REYNOLDS RD</v>
      </c>
      <c r="C12060" s="3" t="str">
        <f>IFERROR(__xludf.DUMMYFUNCTION("""COMPUTED_VALUE"""),"HAVELOCK")</f>
        <v>HAVELOCK</v>
      </c>
      <c r="D12060" s="3" t="str">
        <f>IFERROR(__xludf.DUMMYFUNCTION("""COMPUTED_VALUE"""),"K0L 1Z0")</f>
        <v>K0L 1Z0</v>
      </c>
      <c r="E12060" s="3"/>
      <c r="F12060" s="3"/>
      <c r="G12060" s="3"/>
      <c r="H12060" s="3"/>
    </row>
    <row r="12061">
      <c r="A12061" s="2">
        <f>IFERROR(__xludf.DUMMYFUNCTION("""COMPUTED_VALUE"""),72081.0)</f>
        <v>72081</v>
      </c>
      <c r="B12061" s="3" t="str">
        <f>IFERROR(__xludf.DUMMYFUNCTION("""COMPUTED_VALUE"""),"1551A REYNOLDS RD")</f>
        <v>1551A REYNOLDS RD</v>
      </c>
      <c r="C12061" s="3" t="str">
        <f>IFERROR(__xludf.DUMMYFUNCTION("""COMPUTED_VALUE"""),"HAVELOCK")</f>
        <v>HAVELOCK</v>
      </c>
      <c r="D12061" s="3" t="str">
        <f>IFERROR(__xludf.DUMMYFUNCTION("""COMPUTED_VALUE"""),"K0L 1Z0")</f>
        <v>K0L 1Z0</v>
      </c>
      <c r="E12061" s="3"/>
      <c r="F12061" s="3"/>
      <c r="G12061" s="3"/>
      <c r="H12061" s="3"/>
    </row>
    <row r="12062">
      <c r="A12062" s="2">
        <f>IFERROR(__xludf.DUMMYFUNCTION("""COMPUTED_VALUE"""),72082.0)</f>
        <v>72082</v>
      </c>
      <c r="B12062" s="3" t="str">
        <f>IFERROR(__xludf.DUMMYFUNCTION("""COMPUTED_VALUE"""),"1551B REYNOLDS RD")</f>
        <v>1551B REYNOLDS RD</v>
      </c>
      <c r="C12062" s="3" t="str">
        <f>IFERROR(__xludf.DUMMYFUNCTION("""COMPUTED_VALUE"""),"HAVELOCK")</f>
        <v>HAVELOCK</v>
      </c>
      <c r="D12062" s="3" t="str">
        <f>IFERROR(__xludf.DUMMYFUNCTION("""COMPUTED_VALUE"""),"K0L 1Z0")</f>
        <v>K0L 1Z0</v>
      </c>
      <c r="E12062" s="3"/>
      <c r="F12062" s="3"/>
      <c r="G12062" s="3"/>
      <c r="H12062" s="3"/>
    </row>
    <row r="12063">
      <c r="A12063" s="2">
        <f>IFERROR(__xludf.DUMMYFUNCTION("""COMPUTED_VALUE"""),72083.0)</f>
        <v>72083</v>
      </c>
      <c r="B12063" s="3" t="str">
        <f>IFERROR(__xludf.DUMMYFUNCTION("""COMPUTED_VALUE"""),"1551C REYNOLDS RD")</f>
        <v>1551C REYNOLDS RD</v>
      </c>
      <c r="C12063" s="3" t="str">
        <f>IFERROR(__xludf.DUMMYFUNCTION("""COMPUTED_VALUE"""),"HAVELOCK")</f>
        <v>HAVELOCK</v>
      </c>
      <c r="D12063" s="3" t="str">
        <f>IFERROR(__xludf.DUMMYFUNCTION("""COMPUTED_VALUE"""),"K0L 1Z0")</f>
        <v>K0L 1Z0</v>
      </c>
      <c r="E12063" s="3"/>
      <c r="F12063" s="3"/>
      <c r="G12063" s="3"/>
      <c r="H12063" s="3"/>
    </row>
    <row r="12064">
      <c r="A12064" s="2">
        <f>IFERROR(__xludf.DUMMYFUNCTION("""COMPUTED_VALUE"""),72084.0)</f>
        <v>72084</v>
      </c>
      <c r="B12064" s="3" t="str">
        <f>IFERROR(__xludf.DUMMYFUNCTION("""COMPUTED_VALUE"""),"1551E REYNOLDS RD")</f>
        <v>1551E REYNOLDS RD</v>
      </c>
      <c r="C12064" s="3" t="str">
        <f>IFERROR(__xludf.DUMMYFUNCTION("""COMPUTED_VALUE"""),"HAVELOCK")</f>
        <v>HAVELOCK</v>
      </c>
      <c r="D12064" s="3" t="str">
        <f>IFERROR(__xludf.DUMMYFUNCTION("""COMPUTED_VALUE"""),"K0L 1Z0")</f>
        <v>K0L 1Z0</v>
      </c>
      <c r="E12064" s="3"/>
      <c r="F12064" s="3"/>
      <c r="G12064" s="3"/>
      <c r="H12064" s="3"/>
    </row>
    <row r="12065">
      <c r="A12065" s="2">
        <f>IFERROR(__xludf.DUMMYFUNCTION("""COMPUTED_VALUE"""),72085.0)</f>
        <v>72085</v>
      </c>
      <c r="B12065" s="3" t="str">
        <f>IFERROR(__xludf.DUMMYFUNCTION("""COMPUTED_VALUE"""),"1551F REYNOLDS RD")</f>
        <v>1551F REYNOLDS RD</v>
      </c>
      <c r="C12065" s="3" t="str">
        <f>IFERROR(__xludf.DUMMYFUNCTION("""COMPUTED_VALUE"""),"HAVELOCK")</f>
        <v>HAVELOCK</v>
      </c>
      <c r="D12065" s="3" t="str">
        <f>IFERROR(__xludf.DUMMYFUNCTION("""COMPUTED_VALUE"""),"K0L 1Z0")</f>
        <v>K0L 1Z0</v>
      </c>
      <c r="E12065" s="3"/>
      <c r="F12065" s="3"/>
      <c r="G12065" s="3"/>
      <c r="H12065" s="3"/>
    </row>
    <row r="12066">
      <c r="A12066" s="2">
        <f>IFERROR(__xludf.DUMMYFUNCTION("""COMPUTED_VALUE"""),72086.0)</f>
        <v>72086</v>
      </c>
      <c r="B12066" s="3" t="str">
        <f>IFERROR(__xludf.DUMMYFUNCTION("""COMPUTED_VALUE"""),"1551G REYNOLDS RD")</f>
        <v>1551G REYNOLDS RD</v>
      </c>
      <c r="C12066" s="3" t="str">
        <f>IFERROR(__xludf.DUMMYFUNCTION("""COMPUTED_VALUE"""),"HAVELOCK")</f>
        <v>HAVELOCK</v>
      </c>
      <c r="D12066" s="3" t="str">
        <f>IFERROR(__xludf.DUMMYFUNCTION("""COMPUTED_VALUE"""),"K0L 1Z0")</f>
        <v>K0L 1Z0</v>
      </c>
      <c r="E12066" s="3"/>
      <c r="F12066" s="3"/>
      <c r="G12066" s="3"/>
      <c r="H12066" s="3"/>
    </row>
    <row r="12067">
      <c r="A12067" s="2">
        <f>IFERROR(__xludf.DUMMYFUNCTION("""COMPUTED_VALUE"""),72087.0)</f>
        <v>72087</v>
      </c>
      <c r="B12067" s="3" t="str">
        <f>IFERROR(__xludf.DUMMYFUNCTION("""COMPUTED_VALUE"""),"1551H REYNOLDS RD")</f>
        <v>1551H REYNOLDS RD</v>
      </c>
      <c r="C12067" s="3" t="str">
        <f>IFERROR(__xludf.DUMMYFUNCTION("""COMPUTED_VALUE"""),"HAVELOCK")</f>
        <v>HAVELOCK</v>
      </c>
      <c r="D12067" s="3" t="str">
        <f>IFERROR(__xludf.DUMMYFUNCTION("""COMPUTED_VALUE"""),"K0L 1Z0")</f>
        <v>K0L 1Z0</v>
      </c>
      <c r="E12067" s="3"/>
      <c r="F12067" s="3"/>
      <c r="G12067" s="3"/>
      <c r="H12067" s="3"/>
    </row>
    <row r="12068">
      <c r="A12068" s="2">
        <f>IFERROR(__xludf.DUMMYFUNCTION("""COMPUTED_VALUE"""),72088.0)</f>
        <v>72088</v>
      </c>
      <c r="B12068" s="3" t="str">
        <f>IFERROR(__xludf.DUMMYFUNCTION("""COMPUTED_VALUE"""),"1551I REYNOLDS RD")</f>
        <v>1551I REYNOLDS RD</v>
      </c>
      <c r="C12068" s="3" t="str">
        <f>IFERROR(__xludf.DUMMYFUNCTION("""COMPUTED_VALUE"""),"HAVELOCK")</f>
        <v>HAVELOCK</v>
      </c>
      <c r="D12068" s="3" t="str">
        <f>IFERROR(__xludf.DUMMYFUNCTION("""COMPUTED_VALUE"""),"K0L 1Z0")</f>
        <v>K0L 1Z0</v>
      </c>
      <c r="E12068" s="3"/>
      <c r="F12068" s="3"/>
      <c r="G12068" s="3"/>
      <c r="H12068" s="3"/>
    </row>
    <row r="12069">
      <c r="A12069" s="2">
        <f>IFERROR(__xludf.DUMMYFUNCTION("""COMPUTED_VALUE"""),72089.0)</f>
        <v>72089</v>
      </c>
      <c r="B12069" s="3" t="str">
        <f>IFERROR(__xludf.DUMMYFUNCTION("""COMPUTED_VALUE"""),"1551J REYNOLDS RD")</f>
        <v>1551J REYNOLDS RD</v>
      </c>
      <c r="C12069" s="3" t="str">
        <f>IFERROR(__xludf.DUMMYFUNCTION("""COMPUTED_VALUE"""),"HAVELOCK")</f>
        <v>HAVELOCK</v>
      </c>
      <c r="D12069" s="3" t="str">
        <f>IFERROR(__xludf.DUMMYFUNCTION("""COMPUTED_VALUE"""),"K0L 1Z0")</f>
        <v>K0L 1Z0</v>
      </c>
      <c r="E12069" s="3"/>
      <c r="F12069" s="3"/>
      <c r="G12069" s="3"/>
      <c r="H12069" s="3"/>
    </row>
    <row r="12070">
      <c r="A12070" s="2">
        <f>IFERROR(__xludf.DUMMYFUNCTION("""COMPUTED_VALUE"""),72090.0)</f>
        <v>72090</v>
      </c>
      <c r="B12070" s="3" t="str">
        <f>IFERROR(__xludf.DUMMYFUNCTION("""COMPUTED_VALUE"""),"1551K REYNOLDS RD")</f>
        <v>1551K REYNOLDS RD</v>
      </c>
      <c r="C12070" s="3" t="str">
        <f>IFERROR(__xludf.DUMMYFUNCTION("""COMPUTED_VALUE"""),"HAVELOCK")</f>
        <v>HAVELOCK</v>
      </c>
      <c r="D12070" s="3" t="str">
        <f>IFERROR(__xludf.DUMMYFUNCTION("""COMPUTED_VALUE"""),"K0L 1Z0")</f>
        <v>K0L 1Z0</v>
      </c>
      <c r="E12070" s="3"/>
      <c r="F12070" s="3"/>
      <c r="G12070" s="3"/>
      <c r="H12070" s="3"/>
    </row>
    <row r="12071">
      <c r="A12071" s="2">
        <f>IFERROR(__xludf.DUMMYFUNCTION("""COMPUTED_VALUE"""),72143.0)</f>
        <v>72143</v>
      </c>
      <c r="B12071" s="3" t="str">
        <f>IFERROR(__xludf.DUMMYFUNCTION("""COMPUTED_VALUE"""),"129 RIVER RD")</f>
        <v>129 RIVER RD</v>
      </c>
      <c r="C12071" s="3" t="str">
        <f>IFERROR(__xludf.DUMMYFUNCTION("""COMPUTED_VALUE"""),"CAMPBELLFORD")</f>
        <v>CAMPBELLFORD</v>
      </c>
      <c r="D12071" s="3" t="str">
        <f>IFERROR(__xludf.DUMMYFUNCTION("""COMPUTED_VALUE"""),"K0L 1L0")</f>
        <v>K0L 1L0</v>
      </c>
      <c r="E12071" s="3"/>
      <c r="F12071" s="3"/>
      <c r="G12071" s="3"/>
      <c r="H12071" s="3"/>
    </row>
    <row r="12072">
      <c r="A12072" s="2">
        <f>IFERROR(__xludf.DUMMYFUNCTION("""COMPUTED_VALUE"""),72144.0)</f>
        <v>72144</v>
      </c>
      <c r="B12072" s="3" t="str">
        <f>IFERROR(__xludf.DUMMYFUNCTION("""COMPUTED_VALUE"""),"135 RIVER RD")</f>
        <v>135 RIVER RD</v>
      </c>
      <c r="C12072" s="3" t="str">
        <f>IFERROR(__xludf.DUMMYFUNCTION("""COMPUTED_VALUE"""),"CAMPBELLFORD")</f>
        <v>CAMPBELLFORD</v>
      </c>
      <c r="D12072" s="3" t="str">
        <f>IFERROR(__xludf.DUMMYFUNCTION("""COMPUTED_VALUE"""),"K0L 1L0")</f>
        <v>K0L 1L0</v>
      </c>
      <c r="E12072" s="3"/>
      <c r="F12072" s="3"/>
      <c r="G12072" s="3"/>
      <c r="H12072" s="3"/>
    </row>
    <row r="12073">
      <c r="A12073" s="2">
        <f>IFERROR(__xludf.DUMMYFUNCTION("""COMPUTED_VALUE"""),72145.0)</f>
        <v>72145</v>
      </c>
      <c r="B12073" s="3" t="str">
        <f>IFERROR(__xludf.DUMMYFUNCTION("""COMPUTED_VALUE"""),"139 RIVER RD")</f>
        <v>139 RIVER RD</v>
      </c>
      <c r="C12073" s="3" t="str">
        <f>IFERROR(__xludf.DUMMYFUNCTION("""COMPUTED_VALUE"""),"CAMPBELLFORD")</f>
        <v>CAMPBELLFORD</v>
      </c>
      <c r="D12073" s="3" t="str">
        <f>IFERROR(__xludf.DUMMYFUNCTION("""COMPUTED_VALUE"""),"K0L 1L0")</f>
        <v>K0L 1L0</v>
      </c>
      <c r="E12073" s="3"/>
      <c r="F12073" s="3"/>
      <c r="G12073" s="3"/>
      <c r="H12073" s="3"/>
    </row>
    <row r="12074">
      <c r="A12074" s="2">
        <f>IFERROR(__xludf.DUMMYFUNCTION("""COMPUTED_VALUE"""),72146.0)</f>
        <v>72146</v>
      </c>
      <c r="B12074" s="3" t="str">
        <f>IFERROR(__xludf.DUMMYFUNCTION("""COMPUTED_VALUE"""),"145 RIVER RD")</f>
        <v>145 RIVER RD</v>
      </c>
      <c r="C12074" s="3" t="str">
        <f>IFERROR(__xludf.DUMMYFUNCTION("""COMPUTED_VALUE"""),"CAMPBELLFORD")</f>
        <v>CAMPBELLFORD</v>
      </c>
      <c r="D12074" s="3" t="str">
        <f>IFERROR(__xludf.DUMMYFUNCTION("""COMPUTED_VALUE"""),"K0L 1L0")</f>
        <v>K0L 1L0</v>
      </c>
      <c r="E12074" s="3"/>
      <c r="F12074" s="3"/>
      <c r="G12074" s="3"/>
      <c r="H12074" s="3"/>
    </row>
    <row r="12075">
      <c r="A12075" s="2">
        <f>IFERROR(__xludf.DUMMYFUNCTION("""COMPUTED_VALUE"""),72147.0)</f>
        <v>72147</v>
      </c>
      <c r="B12075" s="3" t="str">
        <f>IFERROR(__xludf.DUMMYFUNCTION("""COMPUTED_VALUE"""),"151 RIVER RD")</f>
        <v>151 RIVER RD</v>
      </c>
      <c r="C12075" s="3" t="str">
        <f>IFERROR(__xludf.DUMMYFUNCTION("""COMPUTED_VALUE"""),"CAMPBELLFORD")</f>
        <v>CAMPBELLFORD</v>
      </c>
      <c r="D12075" s="3" t="str">
        <f>IFERROR(__xludf.DUMMYFUNCTION("""COMPUTED_VALUE"""),"K0L 1L0")</f>
        <v>K0L 1L0</v>
      </c>
      <c r="E12075" s="3"/>
      <c r="F12075" s="3"/>
      <c r="G12075" s="3"/>
      <c r="H12075" s="3"/>
    </row>
    <row r="12076">
      <c r="A12076" s="2">
        <f>IFERROR(__xludf.DUMMYFUNCTION("""COMPUTED_VALUE"""),72148.0)</f>
        <v>72148</v>
      </c>
      <c r="B12076" s="3" t="str">
        <f>IFERROR(__xludf.DUMMYFUNCTION("""COMPUTED_VALUE"""),"155 RIVER RD")</f>
        <v>155 RIVER RD</v>
      </c>
      <c r="C12076" s="3" t="str">
        <f>IFERROR(__xludf.DUMMYFUNCTION("""COMPUTED_VALUE"""),"CAMPBELLFORD")</f>
        <v>CAMPBELLFORD</v>
      </c>
      <c r="D12076" s="3" t="str">
        <f>IFERROR(__xludf.DUMMYFUNCTION("""COMPUTED_VALUE"""),"K0L 1L0")</f>
        <v>K0L 1L0</v>
      </c>
      <c r="E12076" s="3"/>
      <c r="F12076" s="3"/>
      <c r="G12076" s="3"/>
      <c r="H12076" s="3"/>
    </row>
    <row r="12077">
      <c r="A12077" s="2">
        <f>IFERROR(__xludf.DUMMYFUNCTION("""COMPUTED_VALUE"""),72149.0)</f>
        <v>72149</v>
      </c>
      <c r="B12077" s="3" t="str">
        <f>IFERROR(__xludf.DUMMYFUNCTION("""COMPUTED_VALUE"""),"161 RIVER RD")</f>
        <v>161 RIVER RD</v>
      </c>
      <c r="C12077" s="3" t="str">
        <f>IFERROR(__xludf.DUMMYFUNCTION("""COMPUTED_VALUE"""),"CAMPBELLFORD")</f>
        <v>CAMPBELLFORD</v>
      </c>
      <c r="D12077" s="3" t="str">
        <f>IFERROR(__xludf.DUMMYFUNCTION("""COMPUTED_VALUE"""),"K0L 1L0")</f>
        <v>K0L 1L0</v>
      </c>
      <c r="E12077" s="3" t="str">
        <f>IFERROR(__xludf.DUMMYFUNCTION("""COMPUTED_VALUE"""),"Kenneth Brown")</f>
        <v>Kenneth Brown</v>
      </c>
      <c r="F12077" s="3" t="str">
        <f>IFERROR(__xludf.DUMMYFUNCTION("""COMPUTED_VALUE"""),"kencbrown1950@gmail.com")</f>
        <v>kencbrown1950@gmail.com</v>
      </c>
      <c r="G12077" s="3"/>
      <c r="H12077" s="3"/>
    </row>
    <row r="12078">
      <c r="A12078" s="2">
        <f>IFERROR(__xludf.DUMMYFUNCTION("""COMPUTED_VALUE"""),72150.0)</f>
        <v>72150</v>
      </c>
      <c r="B12078" s="3" t="str">
        <f>IFERROR(__xludf.DUMMYFUNCTION("""COMPUTED_VALUE"""),"164 RIVER RD")</f>
        <v>164 RIVER RD</v>
      </c>
      <c r="C12078" s="3" t="str">
        <f>IFERROR(__xludf.DUMMYFUNCTION("""COMPUTED_VALUE"""),"CAMPBELLFORD")</f>
        <v>CAMPBELLFORD</v>
      </c>
      <c r="D12078" s="3" t="str">
        <f>IFERROR(__xludf.DUMMYFUNCTION("""COMPUTED_VALUE"""),"K0L 1L0")</f>
        <v>K0L 1L0</v>
      </c>
      <c r="E12078" s="3"/>
      <c r="F12078" s="3"/>
      <c r="G12078" s="3"/>
      <c r="H12078" s="3"/>
    </row>
    <row r="12079">
      <c r="A12079" s="2">
        <f>IFERROR(__xludf.DUMMYFUNCTION("""COMPUTED_VALUE"""),72151.0)</f>
        <v>72151</v>
      </c>
      <c r="B12079" s="3" t="str">
        <f>IFERROR(__xludf.DUMMYFUNCTION("""COMPUTED_VALUE"""),"174 RIVER RD")</f>
        <v>174 RIVER RD</v>
      </c>
      <c r="C12079" s="3" t="str">
        <f>IFERROR(__xludf.DUMMYFUNCTION("""COMPUTED_VALUE"""),"CAMPBELLFORD")</f>
        <v>CAMPBELLFORD</v>
      </c>
      <c r="D12079" s="3" t="str">
        <f>IFERROR(__xludf.DUMMYFUNCTION("""COMPUTED_VALUE"""),"K0L 1L0")</f>
        <v>K0L 1L0</v>
      </c>
      <c r="E12079" s="3"/>
      <c r="F12079" s="3"/>
      <c r="G12079" s="3"/>
      <c r="H12079" s="3"/>
    </row>
    <row r="12080">
      <c r="A12080" s="2">
        <f>IFERROR(__xludf.DUMMYFUNCTION("""COMPUTED_VALUE"""),72097.0)</f>
        <v>72097</v>
      </c>
      <c r="B12080" s="3" t="str">
        <f>IFERROR(__xludf.DUMMYFUNCTION("""COMPUTED_VALUE"""),"176 RIVER RD E")</f>
        <v>176 RIVER RD E</v>
      </c>
      <c r="C12080" s="3" t="str">
        <f>IFERROR(__xludf.DUMMYFUNCTION("""COMPUTED_VALUE"""),"CAMPBELLFORD")</f>
        <v>CAMPBELLFORD</v>
      </c>
      <c r="D12080" s="3" t="str">
        <f>IFERROR(__xludf.DUMMYFUNCTION("""COMPUTED_VALUE"""),"K0L 1L0")</f>
        <v>K0L 1L0</v>
      </c>
      <c r="E12080" s="3"/>
      <c r="F12080" s="3"/>
      <c r="G12080" s="3"/>
      <c r="H12080" s="3"/>
    </row>
    <row r="12081">
      <c r="A12081" s="2">
        <f>IFERROR(__xludf.DUMMYFUNCTION("""COMPUTED_VALUE"""),72152.0)</f>
        <v>72152</v>
      </c>
      <c r="B12081" s="3" t="str">
        <f>IFERROR(__xludf.DUMMYFUNCTION("""COMPUTED_VALUE"""),"178 RIVER RD")</f>
        <v>178 RIVER RD</v>
      </c>
      <c r="C12081" s="3" t="str">
        <f>IFERROR(__xludf.DUMMYFUNCTION("""COMPUTED_VALUE"""),"CAMPBELLFORD")</f>
        <v>CAMPBELLFORD</v>
      </c>
      <c r="D12081" s="3" t="str">
        <f>IFERROR(__xludf.DUMMYFUNCTION("""COMPUTED_VALUE"""),"K0L 1L0")</f>
        <v>K0L 1L0</v>
      </c>
      <c r="E12081" s="3"/>
      <c r="F12081" s="3"/>
      <c r="G12081" s="3"/>
      <c r="H12081" s="3"/>
    </row>
    <row r="12082">
      <c r="A12082" s="2">
        <f>IFERROR(__xludf.DUMMYFUNCTION("""COMPUTED_VALUE"""),72153.0)</f>
        <v>72153</v>
      </c>
      <c r="B12082" s="3" t="str">
        <f>IFERROR(__xludf.DUMMYFUNCTION("""COMPUTED_VALUE"""),"186 RIVER RD")</f>
        <v>186 RIVER RD</v>
      </c>
      <c r="C12082" s="3" t="str">
        <f>IFERROR(__xludf.DUMMYFUNCTION("""COMPUTED_VALUE"""),"CAMPBELLFORD")</f>
        <v>CAMPBELLFORD</v>
      </c>
      <c r="D12082" s="3" t="str">
        <f>IFERROR(__xludf.DUMMYFUNCTION("""COMPUTED_VALUE"""),"K0L 1L0")</f>
        <v>K0L 1L0</v>
      </c>
      <c r="E12082" s="3"/>
      <c r="F12082" s="3"/>
      <c r="G12082" s="3"/>
      <c r="H12082" s="3"/>
    </row>
    <row r="12083">
      <c r="A12083" s="2">
        <f>IFERROR(__xludf.DUMMYFUNCTION("""COMPUTED_VALUE"""),72098.0)</f>
        <v>72098</v>
      </c>
      <c r="B12083" s="3" t="str">
        <f>IFERROR(__xludf.DUMMYFUNCTION("""COMPUTED_VALUE"""),"191 RIVER RD E")</f>
        <v>191 RIVER RD E</v>
      </c>
      <c r="C12083" s="3" t="str">
        <f>IFERROR(__xludf.DUMMYFUNCTION("""COMPUTED_VALUE"""),"CAMPBELLFORD")</f>
        <v>CAMPBELLFORD</v>
      </c>
      <c r="D12083" s="3" t="str">
        <f>IFERROR(__xludf.DUMMYFUNCTION("""COMPUTED_VALUE"""),"K0L 1L0")</f>
        <v>K0L 1L0</v>
      </c>
      <c r="E12083" s="3"/>
      <c r="F12083" s="3"/>
      <c r="G12083" s="3"/>
      <c r="H12083" s="3"/>
    </row>
    <row r="12084">
      <c r="A12084" s="2">
        <f>IFERROR(__xludf.DUMMYFUNCTION("""COMPUTED_VALUE"""),72099.0)</f>
        <v>72099</v>
      </c>
      <c r="B12084" s="3" t="str">
        <f>IFERROR(__xludf.DUMMYFUNCTION("""COMPUTED_VALUE"""),"192 RIVER RD E")</f>
        <v>192 RIVER RD E</v>
      </c>
      <c r="C12084" s="3" t="str">
        <f>IFERROR(__xludf.DUMMYFUNCTION("""COMPUTED_VALUE"""),"CAMPBELLFORD")</f>
        <v>CAMPBELLFORD</v>
      </c>
      <c r="D12084" s="3" t="str">
        <f>IFERROR(__xludf.DUMMYFUNCTION("""COMPUTED_VALUE"""),"K0L 1L0")</f>
        <v>K0L 1L0</v>
      </c>
      <c r="E12084" s="3"/>
      <c r="F12084" s="3"/>
      <c r="G12084" s="3"/>
      <c r="H12084" s="3"/>
    </row>
    <row r="12085">
      <c r="A12085" s="2">
        <f>IFERROR(__xludf.DUMMYFUNCTION("""COMPUTED_VALUE"""),72154.0)</f>
        <v>72154</v>
      </c>
      <c r="B12085" s="3" t="str">
        <f>IFERROR(__xludf.DUMMYFUNCTION("""COMPUTED_VALUE"""),"198 RIVER RD")</f>
        <v>198 RIVER RD</v>
      </c>
      <c r="C12085" s="3" t="str">
        <f>IFERROR(__xludf.DUMMYFUNCTION("""COMPUTED_VALUE"""),"CAMPBELLFORD")</f>
        <v>CAMPBELLFORD</v>
      </c>
      <c r="D12085" s="3" t="str">
        <f>IFERROR(__xludf.DUMMYFUNCTION("""COMPUTED_VALUE"""),"K0L 1L0")</f>
        <v>K0L 1L0</v>
      </c>
      <c r="E12085" s="3"/>
      <c r="F12085" s="3"/>
      <c r="G12085" s="3"/>
      <c r="H12085" s="3"/>
    </row>
    <row r="12086">
      <c r="A12086" s="2">
        <f>IFERROR(__xludf.DUMMYFUNCTION("""COMPUTED_VALUE"""),72100.0)</f>
        <v>72100</v>
      </c>
      <c r="B12086" s="3" t="str">
        <f>IFERROR(__xludf.DUMMYFUNCTION("""COMPUTED_VALUE"""),"199 RIVER RD E")</f>
        <v>199 RIVER RD E</v>
      </c>
      <c r="C12086" s="3" t="str">
        <f>IFERROR(__xludf.DUMMYFUNCTION("""COMPUTED_VALUE"""),"CAMPBELLFORD")</f>
        <v>CAMPBELLFORD</v>
      </c>
      <c r="D12086" s="3" t="str">
        <f>IFERROR(__xludf.DUMMYFUNCTION("""COMPUTED_VALUE"""),"K0L 1L0")</f>
        <v>K0L 1L0</v>
      </c>
      <c r="E12086" s="3"/>
      <c r="F12086" s="3"/>
      <c r="G12086" s="3"/>
      <c r="H12086" s="3"/>
    </row>
    <row r="12087">
      <c r="A12087" s="2">
        <f>IFERROR(__xludf.DUMMYFUNCTION("""COMPUTED_VALUE"""),72155.0)</f>
        <v>72155</v>
      </c>
      <c r="B12087" s="3" t="str">
        <f>IFERROR(__xludf.DUMMYFUNCTION("""COMPUTED_VALUE"""),"201 RIVER RD")</f>
        <v>201 RIVER RD</v>
      </c>
      <c r="C12087" s="3" t="str">
        <f>IFERROR(__xludf.DUMMYFUNCTION("""COMPUTED_VALUE"""),"CAMPBELLFORD")</f>
        <v>CAMPBELLFORD</v>
      </c>
      <c r="D12087" s="3" t="str">
        <f>IFERROR(__xludf.DUMMYFUNCTION("""COMPUTED_VALUE"""),"K0L 1L0")</f>
        <v>K0L 1L0</v>
      </c>
      <c r="E12087" s="3"/>
      <c r="F12087" s="3"/>
      <c r="G12087" s="3"/>
      <c r="H12087" s="3"/>
    </row>
    <row r="12088">
      <c r="A12088" s="2">
        <f>IFERROR(__xludf.DUMMYFUNCTION("""COMPUTED_VALUE"""),72156.0)</f>
        <v>72156</v>
      </c>
      <c r="B12088" s="3" t="str">
        <f>IFERROR(__xludf.DUMMYFUNCTION("""COMPUTED_VALUE"""),"202 RIVER RD")</f>
        <v>202 RIVER RD</v>
      </c>
      <c r="C12088" s="3" t="str">
        <f>IFERROR(__xludf.DUMMYFUNCTION("""COMPUTED_VALUE"""),"CAMPBELLFORD")</f>
        <v>CAMPBELLFORD</v>
      </c>
      <c r="D12088" s="3" t="str">
        <f>IFERROR(__xludf.DUMMYFUNCTION("""COMPUTED_VALUE"""),"K0L 1L0")</f>
        <v>K0L 1L0</v>
      </c>
      <c r="E12088" s="3" t="str">
        <f>IFERROR(__xludf.DUMMYFUNCTION("""COMPUTED_VALUE"""),"Robin Eecloo")</f>
        <v>Robin Eecloo</v>
      </c>
      <c r="F12088" s="3" t="str">
        <f>IFERROR(__xludf.DUMMYFUNCTION("""COMPUTED_VALUE"""),"reepro56@gmail.com")</f>
        <v>reepro56@gmail.com</v>
      </c>
      <c r="G12088" s="3">
        <f>IFERROR(__xludf.DUMMYFUNCTION("""COMPUTED_VALUE"""),7.059570976E9)</f>
        <v>7059570976</v>
      </c>
      <c r="H12088" s="3"/>
    </row>
    <row r="12089">
      <c r="A12089" s="2">
        <f>IFERROR(__xludf.DUMMYFUNCTION("""COMPUTED_VALUE"""),72157.0)</f>
        <v>72157</v>
      </c>
      <c r="B12089" s="3" t="str">
        <f>IFERROR(__xludf.DUMMYFUNCTION("""COMPUTED_VALUE"""),"205 RIVER RD")</f>
        <v>205 RIVER RD</v>
      </c>
      <c r="C12089" s="3" t="str">
        <f>IFERROR(__xludf.DUMMYFUNCTION("""COMPUTED_VALUE"""),"CAMPBELLFORD")</f>
        <v>CAMPBELLFORD</v>
      </c>
      <c r="D12089" s="3" t="str">
        <f>IFERROR(__xludf.DUMMYFUNCTION("""COMPUTED_VALUE"""),"K0L 1L0")</f>
        <v>K0L 1L0</v>
      </c>
      <c r="E12089" s="3"/>
      <c r="F12089" s="3"/>
      <c r="G12089" s="3"/>
      <c r="H12089" s="3"/>
    </row>
    <row r="12090">
      <c r="A12090" s="2">
        <f>IFERROR(__xludf.DUMMYFUNCTION("""COMPUTED_VALUE"""),72158.0)</f>
        <v>72158</v>
      </c>
      <c r="B12090" s="3" t="str">
        <f>IFERROR(__xludf.DUMMYFUNCTION("""COMPUTED_VALUE"""),"206 RIVER RD E")</f>
        <v>206 RIVER RD E</v>
      </c>
      <c r="C12090" s="3" t="str">
        <f>IFERROR(__xludf.DUMMYFUNCTION("""COMPUTED_VALUE"""),"CAMPBELLFORD")</f>
        <v>CAMPBELLFORD</v>
      </c>
      <c r="D12090" s="3" t="str">
        <f>IFERROR(__xludf.DUMMYFUNCTION("""COMPUTED_VALUE"""),"K0L 1L0")</f>
        <v>K0L 1L0</v>
      </c>
      <c r="E12090" s="3"/>
      <c r="F12090" s="3"/>
      <c r="G12090" s="3"/>
      <c r="H12090" s="3"/>
    </row>
    <row r="12091">
      <c r="A12091" s="2">
        <f>IFERROR(__xludf.DUMMYFUNCTION("""COMPUTED_VALUE"""),72159.0)</f>
        <v>72159</v>
      </c>
      <c r="B12091" s="3" t="str">
        <f>IFERROR(__xludf.DUMMYFUNCTION("""COMPUTED_VALUE"""),"210 RIVER RD")</f>
        <v>210 RIVER RD</v>
      </c>
      <c r="C12091" s="3" t="str">
        <f>IFERROR(__xludf.DUMMYFUNCTION("""COMPUTED_VALUE"""),"CAMPBELLFORD")</f>
        <v>CAMPBELLFORD</v>
      </c>
      <c r="D12091" s="3" t="str">
        <f>IFERROR(__xludf.DUMMYFUNCTION("""COMPUTED_VALUE"""),"K0L 1L0")</f>
        <v>K0L 1L0</v>
      </c>
      <c r="E12091" s="3" t="str">
        <f>IFERROR(__xludf.DUMMYFUNCTION("""COMPUTED_VALUE"""),"Alex Twardowsky")</f>
        <v>Alex Twardowsky</v>
      </c>
      <c r="F12091" s="3" t="str">
        <f>IFERROR(__xludf.DUMMYFUNCTION("""COMPUTED_VALUE"""),"otv_ua@hotmail.com")</f>
        <v>otv_ua@hotmail.com</v>
      </c>
      <c r="G12091" s="3"/>
      <c r="H12091" s="3"/>
    </row>
    <row r="12092">
      <c r="A12092" s="2">
        <f>IFERROR(__xludf.DUMMYFUNCTION("""COMPUTED_VALUE"""),72160.0)</f>
        <v>72160</v>
      </c>
      <c r="B12092" s="3" t="str">
        <f>IFERROR(__xludf.DUMMYFUNCTION("""COMPUTED_VALUE"""),"211 RIVER RD")</f>
        <v>211 RIVER RD</v>
      </c>
      <c r="C12092" s="3" t="str">
        <f>IFERROR(__xludf.DUMMYFUNCTION("""COMPUTED_VALUE"""),"CAMPBELLFORD")</f>
        <v>CAMPBELLFORD</v>
      </c>
      <c r="D12092" s="3" t="str">
        <f>IFERROR(__xludf.DUMMYFUNCTION("""COMPUTED_VALUE"""),"K0L 1L0")</f>
        <v>K0L 1L0</v>
      </c>
      <c r="E12092" s="3"/>
      <c r="F12092" s="3"/>
      <c r="G12092" s="3"/>
      <c r="H12092" s="3"/>
    </row>
    <row r="12093">
      <c r="A12093" s="2">
        <f>IFERROR(__xludf.DUMMYFUNCTION("""COMPUTED_VALUE"""),72101.0)</f>
        <v>72101</v>
      </c>
      <c r="B12093" s="3" t="str">
        <f>IFERROR(__xludf.DUMMYFUNCTION("""COMPUTED_VALUE"""),"214 RIVER RD E")</f>
        <v>214 RIVER RD E</v>
      </c>
      <c r="C12093" s="3" t="str">
        <f>IFERROR(__xludf.DUMMYFUNCTION("""COMPUTED_VALUE"""),"CAMPBELLFORD")</f>
        <v>CAMPBELLFORD</v>
      </c>
      <c r="D12093" s="3" t="str">
        <f>IFERROR(__xludf.DUMMYFUNCTION("""COMPUTED_VALUE"""),"K0L 1L0")</f>
        <v>K0L 1L0</v>
      </c>
      <c r="E12093" s="3"/>
      <c r="F12093" s="3"/>
      <c r="G12093" s="3"/>
      <c r="H12093" s="3"/>
    </row>
    <row r="12094">
      <c r="A12094" s="2">
        <f>IFERROR(__xludf.DUMMYFUNCTION("""COMPUTED_VALUE"""),72161.0)</f>
        <v>72161</v>
      </c>
      <c r="B12094" s="3" t="str">
        <f>IFERROR(__xludf.DUMMYFUNCTION("""COMPUTED_VALUE"""),"215 RIVER RD")</f>
        <v>215 RIVER RD</v>
      </c>
      <c r="C12094" s="3" t="str">
        <f>IFERROR(__xludf.DUMMYFUNCTION("""COMPUTED_VALUE"""),"CAMPBELLFORD")</f>
        <v>CAMPBELLFORD</v>
      </c>
      <c r="D12094" s="3" t="str">
        <f>IFERROR(__xludf.DUMMYFUNCTION("""COMPUTED_VALUE"""),"K0L 1L0")</f>
        <v>K0L 1L0</v>
      </c>
      <c r="E12094" s="3"/>
      <c r="F12094" s="3"/>
      <c r="G12094" s="3"/>
      <c r="H12094" s="3"/>
    </row>
    <row r="12095">
      <c r="A12095" s="2">
        <f>IFERROR(__xludf.DUMMYFUNCTION("""COMPUTED_VALUE"""),72162.0)</f>
        <v>72162</v>
      </c>
      <c r="B12095" s="3" t="str">
        <f>IFERROR(__xludf.DUMMYFUNCTION("""COMPUTED_VALUE"""),"220 RIVER RD")</f>
        <v>220 RIVER RD</v>
      </c>
      <c r="C12095" s="3" t="str">
        <f>IFERROR(__xludf.DUMMYFUNCTION("""COMPUTED_VALUE"""),"CAMPBELLFORD")</f>
        <v>CAMPBELLFORD</v>
      </c>
      <c r="D12095" s="3" t="str">
        <f>IFERROR(__xludf.DUMMYFUNCTION("""COMPUTED_VALUE"""),"K0L 1L0")</f>
        <v>K0L 1L0</v>
      </c>
      <c r="E12095" s="3"/>
      <c r="F12095" s="3"/>
      <c r="G12095" s="3"/>
      <c r="H12095" s="3"/>
    </row>
    <row r="12096">
      <c r="A12096" s="2">
        <f>IFERROR(__xludf.DUMMYFUNCTION("""COMPUTED_VALUE"""),72163.0)</f>
        <v>72163</v>
      </c>
      <c r="B12096" s="3" t="str">
        <f>IFERROR(__xludf.DUMMYFUNCTION("""COMPUTED_VALUE"""),"221 RIVER RD")</f>
        <v>221 RIVER RD</v>
      </c>
      <c r="C12096" s="3" t="str">
        <f>IFERROR(__xludf.DUMMYFUNCTION("""COMPUTED_VALUE"""),"CAMPBELLFORD")</f>
        <v>CAMPBELLFORD</v>
      </c>
      <c r="D12096" s="3" t="str">
        <f>IFERROR(__xludf.DUMMYFUNCTION("""COMPUTED_VALUE"""),"K0L 1L0")</f>
        <v>K0L 1L0</v>
      </c>
      <c r="E12096" s="3"/>
      <c r="F12096" s="3"/>
      <c r="G12096" s="3"/>
      <c r="H12096" s="3"/>
    </row>
    <row r="12097">
      <c r="A12097" s="2">
        <f>IFERROR(__xludf.DUMMYFUNCTION("""COMPUTED_VALUE"""),72102.0)</f>
        <v>72102</v>
      </c>
      <c r="B12097" s="3" t="str">
        <f>IFERROR(__xludf.DUMMYFUNCTION("""COMPUTED_VALUE"""),"224 RIVER RD E")</f>
        <v>224 RIVER RD E</v>
      </c>
      <c r="C12097" s="3" t="str">
        <f>IFERROR(__xludf.DUMMYFUNCTION("""COMPUTED_VALUE"""),"CAMPBELLFORD")</f>
        <v>CAMPBELLFORD</v>
      </c>
      <c r="D12097" s="3" t="str">
        <f>IFERROR(__xludf.DUMMYFUNCTION("""COMPUTED_VALUE"""),"K0L 1L0")</f>
        <v>K0L 1L0</v>
      </c>
      <c r="E12097" s="3"/>
      <c r="F12097" s="3"/>
      <c r="G12097" s="3"/>
      <c r="H12097" s="3"/>
    </row>
    <row r="12098">
      <c r="A12098" s="2">
        <f>IFERROR(__xludf.DUMMYFUNCTION("""COMPUTED_VALUE"""),72164.0)</f>
        <v>72164</v>
      </c>
      <c r="B12098" s="3" t="str">
        <f>IFERROR(__xludf.DUMMYFUNCTION("""COMPUTED_VALUE"""),"229 RIVER RD")</f>
        <v>229 RIVER RD</v>
      </c>
      <c r="C12098" s="3" t="str">
        <f>IFERROR(__xludf.DUMMYFUNCTION("""COMPUTED_VALUE"""),"CAMPBELLFORD")</f>
        <v>CAMPBELLFORD</v>
      </c>
      <c r="D12098" s="3" t="str">
        <f>IFERROR(__xludf.DUMMYFUNCTION("""COMPUTED_VALUE"""),"K0L 1L0")</f>
        <v>K0L 1L0</v>
      </c>
      <c r="E12098" s="3"/>
      <c r="F12098" s="3"/>
      <c r="G12098" s="3"/>
      <c r="H12098" s="3"/>
    </row>
    <row r="12099">
      <c r="A12099" s="2">
        <f>IFERROR(__xludf.DUMMYFUNCTION("""COMPUTED_VALUE"""),72165.0)</f>
        <v>72165</v>
      </c>
      <c r="B12099" s="3" t="str">
        <f>IFERROR(__xludf.DUMMYFUNCTION("""COMPUTED_VALUE"""),"232 RIVER RD")</f>
        <v>232 RIVER RD</v>
      </c>
      <c r="C12099" s="3" t="str">
        <f>IFERROR(__xludf.DUMMYFUNCTION("""COMPUTED_VALUE"""),"CAMPBELLFORD")</f>
        <v>CAMPBELLFORD</v>
      </c>
      <c r="D12099" s="3" t="str">
        <f>IFERROR(__xludf.DUMMYFUNCTION("""COMPUTED_VALUE"""),"K0L 1L0")</f>
        <v>K0L 1L0</v>
      </c>
      <c r="E12099" s="3"/>
      <c r="F12099" s="3"/>
      <c r="G12099" s="3"/>
      <c r="H12099" s="3"/>
    </row>
    <row r="12100">
      <c r="A12100" s="2">
        <f>IFERROR(__xludf.DUMMYFUNCTION("""COMPUTED_VALUE"""),72103.0)</f>
        <v>72103</v>
      </c>
      <c r="B12100" s="3" t="str">
        <f>IFERROR(__xludf.DUMMYFUNCTION("""COMPUTED_VALUE"""),"233 RIVER RD E")</f>
        <v>233 RIVER RD E</v>
      </c>
      <c r="C12100" s="3" t="str">
        <f>IFERROR(__xludf.DUMMYFUNCTION("""COMPUTED_VALUE"""),"CAMPBELLFORD")</f>
        <v>CAMPBELLFORD</v>
      </c>
      <c r="D12100" s="3" t="str">
        <f>IFERROR(__xludf.DUMMYFUNCTION("""COMPUTED_VALUE"""),"K0L 1L0")</f>
        <v>K0L 1L0</v>
      </c>
      <c r="E12100" s="3"/>
      <c r="F12100" s="3"/>
      <c r="G12100" s="3"/>
      <c r="H12100" s="3"/>
    </row>
    <row r="12101">
      <c r="A12101" s="2">
        <f>IFERROR(__xludf.DUMMYFUNCTION("""COMPUTED_VALUE"""),72166.0)</f>
        <v>72166</v>
      </c>
      <c r="B12101" s="3" t="str">
        <f>IFERROR(__xludf.DUMMYFUNCTION("""COMPUTED_VALUE"""),"236 RIVER RD")</f>
        <v>236 RIVER RD</v>
      </c>
      <c r="C12101" s="3" t="str">
        <f>IFERROR(__xludf.DUMMYFUNCTION("""COMPUTED_VALUE"""),"CAMPBELLFORD")</f>
        <v>CAMPBELLFORD</v>
      </c>
      <c r="D12101" s="3" t="str">
        <f>IFERROR(__xludf.DUMMYFUNCTION("""COMPUTED_VALUE"""),"K0L 1L0")</f>
        <v>K0L 1L0</v>
      </c>
      <c r="E12101" s="3"/>
      <c r="F12101" s="3"/>
      <c r="G12101" s="3"/>
      <c r="H12101" s="3"/>
    </row>
    <row r="12102">
      <c r="A12102" s="2">
        <f>IFERROR(__xludf.DUMMYFUNCTION("""COMPUTED_VALUE"""),72167.0)</f>
        <v>72167</v>
      </c>
      <c r="B12102" s="3" t="str">
        <f>IFERROR(__xludf.DUMMYFUNCTION("""COMPUTED_VALUE"""),"237 RIVER RD")</f>
        <v>237 RIVER RD</v>
      </c>
      <c r="C12102" s="3" t="str">
        <f>IFERROR(__xludf.DUMMYFUNCTION("""COMPUTED_VALUE"""),"CAMPBELLFORD")</f>
        <v>CAMPBELLFORD</v>
      </c>
      <c r="D12102" s="3" t="str">
        <f>IFERROR(__xludf.DUMMYFUNCTION("""COMPUTED_VALUE"""),"K0L 1L0")</f>
        <v>K0L 1L0</v>
      </c>
      <c r="E12102" s="3"/>
      <c r="F12102" s="3"/>
      <c r="G12102" s="3"/>
      <c r="H12102" s="3"/>
    </row>
    <row r="12103">
      <c r="A12103" s="2">
        <f>IFERROR(__xludf.DUMMYFUNCTION("""COMPUTED_VALUE"""),72168.0)</f>
        <v>72168</v>
      </c>
      <c r="B12103" s="3" t="str">
        <f>IFERROR(__xludf.DUMMYFUNCTION("""COMPUTED_VALUE"""),"240 RIVER RD")</f>
        <v>240 RIVER RD</v>
      </c>
      <c r="C12103" s="3" t="str">
        <f>IFERROR(__xludf.DUMMYFUNCTION("""COMPUTED_VALUE"""),"CAMPBELLFORD")</f>
        <v>CAMPBELLFORD</v>
      </c>
      <c r="D12103" s="3" t="str">
        <f>IFERROR(__xludf.DUMMYFUNCTION("""COMPUTED_VALUE"""),"K0L 1L0")</f>
        <v>K0L 1L0</v>
      </c>
      <c r="E12103" s="3"/>
      <c r="F12103" s="3"/>
      <c r="G12103" s="3"/>
      <c r="H12103" s="3"/>
    </row>
    <row r="12104">
      <c r="A12104" s="2">
        <f>IFERROR(__xludf.DUMMYFUNCTION("""COMPUTED_VALUE"""),72104.0)</f>
        <v>72104</v>
      </c>
      <c r="B12104" s="3" t="str">
        <f>IFERROR(__xludf.DUMMYFUNCTION("""COMPUTED_VALUE"""),"241 RIVER RD E")</f>
        <v>241 RIVER RD E</v>
      </c>
      <c r="C12104" s="3" t="str">
        <f>IFERROR(__xludf.DUMMYFUNCTION("""COMPUTED_VALUE"""),"CAMPBELLFORD")</f>
        <v>CAMPBELLFORD</v>
      </c>
      <c r="D12104" s="3" t="str">
        <f>IFERROR(__xludf.DUMMYFUNCTION("""COMPUTED_VALUE"""),"K0L 1L0")</f>
        <v>K0L 1L0</v>
      </c>
      <c r="E12104" s="3"/>
      <c r="F12104" s="3"/>
      <c r="G12104" s="3"/>
      <c r="H12104" s="3"/>
    </row>
    <row r="12105">
      <c r="A12105" s="2">
        <f>IFERROR(__xludf.DUMMYFUNCTION("""COMPUTED_VALUE"""),72169.0)</f>
        <v>72169</v>
      </c>
      <c r="B12105" s="3" t="str">
        <f>IFERROR(__xludf.DUMMYFUNCTION("""COMPUTED_VALUE"""),"245 RIVER RD")</f>
        <v>245 RIVER RD</v>
      </c>
      <c r="C12105" s="3" t="str">
        <f>IFERROR(__xludf.DUMMYFUNCTION("""COMPUTED_VALUE"""),"CAMPBELLFORD")</f>
        <v>CAMPBELLFORD</v>
      </c>
      <c r="D12105" s="3" t="str">
        <f>IFERROR(__xludf.DUMMYFUNCTION("""COMPUTED_VALUE"""),"K0L 1L0")</f>
        <v>K0L 1L0</v>
      </c>
      <c r="E12105" s="3"/>
      <c r="F12105" s="3"/>
      <c r="G12105" s="3"/>
      <c r="H12105" s="3"/>
    </row>
    <row r="12106">
      <c r="A12106" s="2">
        <f>IFERROR(__xludf.DUMMYFUNCTION("""COMPUTED_VALUE"""),72170.0)</f>
        <v>72170</v>
      </c>
      <c r="B12106" s="3" t="str">
        <f>IFERROR(__xludf.DUMMYFUNCTION("""COMPUTED_VALUE"""),"249 RIVER RD")</f>
        <v>249 RIVER RD</v>
      </c>
      <c r="C12106" s="3" t="str">
        <f>IFERROR(__xludf.DUMMYFUNCTION("""COMPUTED_VALUE"""),"CAMPBELLFORD")</f>
        <v>CAMPBELLFORD</v>
      </c>
      <c r="D12106" s="3" t="str">
        <f>IFERROR(__xludf.DUMMYFUNCTION("""COMPUTED_VALUE"""),"K0L 1L0")</f>
        <v>K0L 1L0</v>
      </c>
      <c r="E12106" s="3"/>
      <c r="F12106" s="3"/>
      <c r="G12106" s="3"/>
      <c r="H12106" s="3"/>
    </row>
    <row r="12107">
      <c r="A12107" s="2">
        <f>IFERROR(__xludf.DUMMYFUNCTION("""COMPUTED_VALUE"""),72105.0)</f>
        <v>72105</v>
      </c>
      <c r="B12107" s="3" t="str">
        <f>IFERROR(__xludf.DUMMYFUNCTION("""COMPUTED_VALUE"""),"251 RIVER RD E")</f>
        <v>251 RIVER RD E</v>
      </c>
      <c r="C12107" s="3" t="str">
        <f>IFERROR(__xludf.DUMMYFUNCTION("""COMPUTED_VALUE"""),"CAMPBELLFORD")</f>
        <v>CAMPBELLFORD</v>
      </c>
      <c r="D12107" s="3" t="str">
        <f>IFERROR(__xludf.DUMMYFUNCTION("""COMPUTED_VALUE"""),"K0L 1L0")</f>
        <v>K0L 1L0</v>
      </c>
      <c r="E12107" s="3"/>
      <c r="F12107" s="3"/>
      <c r="G12107" s="3"/>
      <c r="H12107" s="3"/>
    </row>
    <row r="12108">
      <c r="A12108" s="2">
        <f>IFERROR(__xludf.DUMMYFUNCTION("""COMPUTED_VALUE"""),72106.0)</f>
        <v>72106</v>
      </c>
      <c r="B12108" s="3" t="str">
        <f>IFERROR(__xludf.DUMMYFUNCTION("""COMPUTED_VALUE"""),"253 RIVER RD E")</f>
        <v>253 RIVER RD E</v>
      </c>
      <c r="C12108" s="3" t="str">
        <f>IFERROR(__xludf.DUMMYFUNCTION("""COMPUTED_VALUE"""),"CAMPBELLFORD")</f>
        <v>CAMPBELLFORD</v>
      </c>
      <c r="D12108" s="3" t="str">
        <f>IFERROR(__xludf.DUMMYFUNCTION("""COMPUTED_VALUE"""),"K0L 1L0")</f>
        <v>K0L 1L0</v>
      </c>
      <c r="E12108" s="3" t="str">
        <f>IFERROR(__xludf.DUMMYFUNCTION("""COMPUTED_VALUE"""),"Josee Blanchet")</f>
        <v>Josee Blanchet</v>
      </c>
      <c r="F12108" s="3" t="str">
        <f>IFERROR(__xludf.DUMMYFUNCTION("""COMPUTED_VALUE"""),"joseeblanchet2773@gmail.com")</f>
        <v>joseeblanchet2773@gmail.com</v>
      </c>
      <c r="G12108" s="3">
        <f>IFERROR(__xludf.DUMMYFUNCTION("""COMPUTED_VALUE"""),9.057258831E9)</f>
        <v>9057258831</v>
      </c>
      <c r="H12108" s="3">
        <f>IFERROR(__xludf.DUMMYFUNCTION("""COMPUTED_VALUE"""),9.052592773E9)</f>
        <v>9052592773</v>
      </c>
    </row>
    <row r="12109">
      <c r="A12109" s="2">
        <f>IFERROR(__xludf.DUMMYFUNCTION("""COMPUTED_VALUE"""),72171.0)</f>
        <v>72171</v>
      </c>
      <c r="B12109" s="3" t="str">
        <f>IFERROR(__xludf.DUMMYFUNCTION("""COMPUTED_VALUE"""),"255 RIVER RD")</f>
        <v>255 RIVER RD</v>
      </c>
      <c r="C12109" s="3" t="str">
        <f>IFERROR(__xludf.DUMMYFUNCTION("""COMPUTED_VALUE"""),"CAMPBELLFORD")</f>
        <v>CAMPBELLFORD</v>
      </c>
      <c r="D12109" s="3" t="str">
        <f>IFERROR(__xludf.DUMMYFUNCTION("""COMPUTED_VALUE"""),"K0L 1L0")</f>
        <v>K0L 1L0</v>
      </c>
      <c r="E12109" s="3"/>
      <c r="F12109" s="3"/>
      <c r="G12109" s="3"/>
      <c r="H12109" s="3"/>
    </row>
    <row r="12110">
      <c r="A12110" s="2">
        <f>IFERROR(__xludf.DUMMYFUNCTION("""COMPUTED_VALUE"""),72107.0)</f>
        <v>72107</v>
      </c>
      <c r="B12110" s="3" t="str">
        <f>IFERROR(__xludf.DUMMYFUNCTION("""COMPUTED_VALUE"""),"259 RIVER RD E")</f>
        <v>259 RIVER RD E</v>
      </c>
      <c r="C12110" s="3" t="str">
        <f>IFERROR(__xludf.DUMMYFUNCTION("""COMPUTED_VALUE"""),"CAMPBELLFORD")</f>
        <v>CAMPBELLFORD</v>
      </c>
      <c r="D12110" s="3" t="str">
        <f>IFERROR(__xludf.DUMMYFUNCTION("""COMPUTED_VALUE"""),"K0L 1L0")</f>
        <v>K0L 1L0</v>
      </c>
      <c r="E12110" s="3"/>
      <c r="F12110" s="3"/>
      <c r="G12110" s="3"/>
      <c r="H12110" s="3"/>
    </row>
    <row r="12111">
      <c r="A12111" s="2">
        <f>IFERROR(__xludf.DUMMYFUNCTION("""COMPUTED_VALUE"""),72172.0)</f>
        <v>72172</v>
      </c>
      <c r="B12111" s="3" t="str">
        <f>IFERROR(__xludf.DUMMYFUNCTION("""COMPUTED_VALUE"""),"261 RIVER RD")</f>
        <v>261 RIVER RD</v>
      </c>
      <c r="C12111" s="3" t="str">
        <f>IFERROR(__xludf.DUMMYFUNCTION("""COMPUTED_VALUE"""),"CAMPBELLFORD")</f>
        <v>CAMPBELLFORD</v>
      </c>
      <c r="D12111" s="3" t="str">
        <f>IFERROR(__xludf.DUMMYFUNCTION("""COMPUTED_VALUE"""),"K0L 1L0")</f>
        <v>K0L 1L0</v>
      </c>
      <c r="E12111" s="3"/>
      <c r="F12111" s="3"/>
      <c r="G12111" s="3"/>
      <c r="H12111" s="3"/>
    </row>
    <row r="12112">
      <c r="A12112" s="2">
        <f>IFERROR(__xludf.DUMMYFUNCTION("""COMPUTED_VALUE"""),72108.0)</f>
        <v>72108</v>
      </c>
      <c r="B12112" s="3" t="str">
        <f>IFERROR(__xludf.DUMMYFUNCTION("""COMPUTED_VALUE"""),"263 RIVER RD E")</f>
        <v>263 RIVER RD E</v>
      </c>
      <c r="C12112" s="3" t="str">
        <f>IFERROR(__xludf.DUMMYFUNCTION("""COMPUTED_VALUE"""),"CAMPBELLFORD")</f>
        <v>CAMPBELLFORD</v>
      </c>
      <c r="D12112" s="3" t="str">
        <f>IFERROR(__xludf.DUMMYFUNCTION("""COMPUTED_VALUE"""),"K0L 1L0")</f>
        <v>K0L 1L0</v>
      </c>
      <c r="E12112" s="3"/>
      <c r="F12112" s="3"/>
      <c r="G12112" s="3"/>
      <c r="H12112" s="3"/>
    </row>
    <row r="12113">
      <c r="A12113" s="2">
        <f>IFERROR(__xludf.DUMMYFUNCTION("""COMPUTED_VALUE"""),72173.0)</f>
        <v>72173</v>
      </c>
      <c r="B12113" s="3" t="str">
        <f>IFERROR(__xludf.DUMMYFUNCTION("""COMPUTED_VALUE"""),"265 RIVER RD")</f>
        <v>265 RIVER RD</v>
      </c>
      <c r="C12113" s="3" t="str">
        <f>IFERROR(__xludf.DUMMYFUNCTION("""COMPUTED_VALUE"""),"CAMPBELLFORD")</f>
        <v>CAMPBELLFORD</v>
      </c>
      <c r="D12113" s="3" t="str">
        <f>IFERROR(__xludf.DUMMYFUNCTION("""COMPUTED_VALUE"""),"K0L 1L0")</f>
        <v>K0L 1L0</v>
      </c>
      <c r="E12113" s="3"/>
      <c r="F12113" s="3"/>
      <c r="G12113" s="3"/>
      <c r="H12113" s="3"/>
    </row>
    <row r="12114">
      <c r="A12114" s="2">
        <f>IFERROR(__xludf.DUMMYFUNCTION("""COMPUTED_VALUE"""),72174.0)</f>
        <v>72174</v>
      </c>
      <c r="B12114" s="3" t="str">
        <f>IFERROR(__xludf.DUMMYFUNCTION("""COMPUTED_VALUE"""),"269 RIVER RD E")</f>
        <v>269 RIVER RD E</v>
      </c>
      <c r="C12114" s="3" t="str">
        <f>IFERROR(__xludf.DUMMYFUNCTION("""COMPUTED_VALUE"""),"CAMPBELLFORD")</f>
        <v>CAMPBELLFORD</v>
      </c>
      <c r="D12114" s="3" t="str">
        <f>IFERROR(__xludf.DUMMYFUNCTION("""COMPUTED_VALUE"""),"K0L 1L0")</f>
        <v>K0L 1L0</v>
      </c>
      <c r="E12114" s="3" t="str">
        <f>IFERROR(__xludf.DUMMYFUNCTION("""COMPUTED_VALUE"""),"ARNEL SCHIRATTI")</f>
        <v>ARNEL SCHIRATTI</v>
      </c>
      <c r="F12114" s="3" t="str">
        <f>IFERROR(__xludf.DUMMYFUNCTION("""COMPUTED_VALUE"""),"agschiratti@gmail.com")</f>
        <v>agschiratti@gmail.com</v>
      </c>
      <c r="G12114" s="3"/>
      <c r="H12114" s="3"/>
    </row>
    <row r="12115">
      <c r="A12115" s="2">
        <f>IFERROR(__xludf.DUMMYFUNCTION("""COMPUTED_VALUE"""),72178.0)</f>
        <v>72178</v>
      </c>
      <c r="B12115" s="3" t="str">
        <f>IFERROR(__xludf.DUMMYFUNCTION("""COMPUTED_VALUE"""),"286 ROSCOE AVE")</f>
        <v>286 ROSCOE AVE</v>
      </c>
      <c r="C12115" s="3" t="str">
        <f>IFERROR(__xludf.DUMMYFUNCTION("""COMPUTED_VALUE"""),"CAMPBELLFORD")</f>
        <v>CAMPBELLFORD</v>
      </c>
      <c r="D12115" s="3" t="str">
        <f>IFERROR(__xludf.DUMMYFUNCTION("""COMPUTED_VALUE"""),"K0L 1L0")</f>
        <v>K0L 1L0</v>
      </c>
      <c r="E12115" s="3"/>
      <c r="F12115" s="3"/>
      <c r="G12115" s="3"/>
      <c r="H12115" s="3"/>
    </row>
    <row r="12116">
      <c r="A12116" s="2">
        <f>IFERROR(__xludf.DUMMYFUNCTION("""COMPUTED_VALUE"""),72259.0)</f>
        <v>72259</v>
      </c>
      <c r="B12116" s="3" t="str">
        <f>IFERROR(__xludf.DUMMYFUNCTION("""COMPUTED_VALUE"""),"SEYMOUR CON 12 PT LO")</f>
        <v>SEYMOUR CON 12 PT LO</v>
      </c>
      <c r="C12116" s="3" t="str">
        <f>IFERROR(__xludf.DUMMYFUNCTION("""COMPUTED_VALUE"""),"MARMORA")</f>
        <v>MARMORA</v>
      </c>
      <c r="D12116" s="3" t="str">
        <f>IFERROR(__xludf.DUMMYFUNCTION("""COMPUTED_VALUE"""),"K0K 2M0")</f>
        <v>K0K 2M0</v>
      </c>
      <c r="E12116" s="3"/>
      <c r="F12116" s="3"/>
      <c r="G12116" s="3"/>
      <c r="H12116" s="3"/>
    </row>
    <row r="12117">
      <c r="A12117" s="2">
        <f>IFERROR(__xludf.DUMMYFUNCTION("""COMPUTED_VALUE"""),72260.0)</f>
        <v>72260</v>
      </c>
      <c r="B12117" s="3" t="str">
        <f>IFERROR(__xludf.DUMMYFUNCTION("""COMPUTED_VALUE"""),"SEYMOUR CON 12 PT LO")</f>
        <v>SEYMOUR CON 12 PT LO</v>
      </c>
      <c r="C12117" s="3" t="str">
        <f>IFERROR(__xludf.DUMMYFUNCTION("""COMPUTED_VALUE"""),"MARMORA")</f>
        <v>MARMORA</v>
      </c>
      <c r="D12117" s="3" t="str">
        <f>IFERROR(__xludf.DUMMYFUNCTION("""COMPUTED_VALUE"""),"K0K 2M0")</f>
        <v>K0K 2M0</v>
      </c>
      <c r="E12117" s="3"/>
      <c r="F12117" s="3"/>
      <c r="G12117" s="3"/>
      <c r="H12117" s="3"/>
    </row>
    <row r="12118">
      <c r="A12118" s="2">
        <f>IFERROR(__xludf.DUMMYFUNCTION("""COMPUTED_VALUE"""),72261.0)</f>
        <v>72261</v>
      </c>
      <c r="B12118" s="3" t="str">
        <f>IFERROR(__xludf.DUMMYFUNCTION("""COMPUTED_VALUE"""),"24 SLEEPY HOLLOW PL")</f>
        <v>24 SLEEPY HOLLOW PL</v>
      </c>
      <c r="C12118" s="3" t="str">
        <f>IFERROR(__xludf.DUMMYFUNCTION("""COMPUTED_VALUE"""),"?")</f>
        <v>?</v>
      </c>
      <c r="D12118" s="3" t="str">
        <f>IFERROR(__xludf.DUMMYFUNCTION("""COMPUTED_VALUE"""),"?")</f>
        <v>?</v>
      </c>
      <c r="E12118" s="3"/>
      <c r="F12118" s="3"/>
      <c r="G12118" s="3"/>
      <c r="H12118" s="3"/>
    </row>
    <row r="12119">
      <c r="A12119" s="2">
        <f>IFERROR(__xludf.DUMMYFUNCTION("""COMPUTED_VALUE"""),72306.0)</f>
        <v>72306</v>
      </c>
      <c r="B12119" s="3" t="str">
        <f>IFERROR(__xludf.DUMMYFUNCTION("""COMPUTED_VALUE"""),"112 THOMSON RD")</f>
        <v>112 THOMSON RD</v>
      </c>
      <c r="C12119" s="3" t="str">
        <f>IFERROR(__xludf.DUMMYFUNCTION("""COMPUTED_VALUE"""),"CAMPBELLFORD")</f>
        <v>CAMPBELLFORD</v>
      </c>
      <c r="D12119" s="3" t="str">
        <f>IFERROR(__xludf.DUMMYFUNCTION("""COMPUTED_VALUE"""),"K0L 1L0")</f>
        <v>K0L 1L0</v>
      </c>
      <c r="E12119" s="3"/>
      <c r="F12119" s="3"/>
      <c r="G12119" s="3"/>
      <c r="H12119" s="3"/>
    </row>
    <row r="12120">
      <c r="A12120" s="2">
        <f>IFERROR(__xludf.DUMMYFUNCTION("""COMPUTED_VALUE"""),72307.0)</f>
        <v>72307</v>
      </c>
      <c r="B12120" s="3" t="str">
        <f>IFERROR(__xludf.DUMMYFUNCTION("""COMPUTED_VALUE"""),"132 THOMSON RD")</f>
        <v>132 THOMSON RD</v>
      </c>
      <c r="C12120" s="3" t="str">
        <f>IFERROR(__xludf.DUMMYFUNCTION("""COMPUTED_VALUE"""),"CAMPBELLFORD")</f>
        <v>CAMPBELLFORD</v>
      </c>
      <c r="D12120" s="3" t="str">
        <f>IFERROR(__xludf.DUMMYFUNCTION("""COMPUTED_VALUE"""),"K0L 1L0")</f>
        <v>K0L 1L0</v>
      </c>
      <c r="E12120" s="3"/>
      <c r="F12120" s="3"/>
      <c r="G12120" s="3"/>
      <c r="H12120" s="3"/>
    </row>
    <row r="12121">
      <c r="A12121" s="2">
        <f>IFERROR(__xludf.DUMMYFUNCTION("""COMPUTED_VALUE"""),72308.0)</f>
        <v>72308</v>
      </c>
      <c r="B12121" s="3" t="str">
        <f>IFERROR(__xludf.DUMMYFUNCTION("""COMPUTED_VALUE"""),"262 THOMSON RD")</f>
        <v>262 THOMSON RD</v>
      </c>
      <c r="C12121" s="3" t="str">
        <f>IFERROR(__xludf.DUMMYFUNCTION("""COMPUTED_VALUE"""),"CAMPBELLFORD")</f>
        <v>CAMPBELLFORD</v>
      </c>
      <c r="D12121" s="3" t="str">
        <f>IFERROR(__xludf.DUMMYFUNCTION("""COMPUTED_VALUE"""),"K0L 1L0")</f>
        <v>K0L 1L0</v>
      </c>
      <c r="E12121" s="3"/>
      <c r="F12121" s="3"/>
      <c r="G12121" s="3"/>
      <c r="H12121" s="3"/>
    </row>
    <row r="12122">
      <c r="A12122" s="2">
        <f>IFERROR(__xludf.DUMMYFUNCTION("""COMPUTED_VALUE"""),72309.0)</f>
        <v>72309</v>
      </c>
      <c r="B12122" s="3" t="str">
        <f>IFERROR(__xludf.DUMMYFUNCTION("""COMPUTED_VALUE"""),"340 THOMSON RD")</f>
        <v>340 THOMSON RD</v>
      </c>
      <c r="C12122" s="3" t="str">
        <f>IFERROR(__xludf.DUMMYFUNCTION("""COMPUTED_VALUE"""),"CAMPBELLFORD")</f>
        <v>CAMPBELLFORD</v>
      </c>
      <c r="D12122" s="3" t="str">
        <f>IFERROR(__xludf.DUMMYFUNCTION("""COMPUTED_VALUE"""),"K0L 1L0")</f>
        <v>K0L 1L0</v>
      </c>
      <c r="E12122" s="3"/>
      <c r="F12122" s="3"/>
      <c r="G12122" s="3"/>
      <c r="H12122" s="3"/>
    </row>
    <row r="12123">
      <c r="A12123" s="2">
        <f>IFERROR(__xludf.DUMMYFUNCTION("""COMPUTED_VALUE"""),72310.0)</f>
        <v>72310</v>
      </c>
      <c r="B12123" s="3" t="str">
        <f>IFERROR(__xludf.DUMMYFUNCTION("""COMPUTED_VALUE"""),"349 THOMSON RD")</f>
        <v>349 THOMSON RD</v>
      </c>
      <c r="C12123" s="3" t="str">
        <f>IFERROR(__xludf.DUMMYFUNCTION("""COMPUTED_VALUE"""),"CAMPBELLFORD")</f>
        <v>CAMPBELLFORD</v>
      </c>
      <c r="D12123" s="3" t="str">
        <f>IFERROR(__xludf.DUMMYFUNCTION("""COMPUTED_VALUE"""),"K0L 1L0")</f>
        <v>K0L 1L0</v>
      </c>
      <c r="E12123" s="3"/>
      <c r="F12123" s="3"/>
      <c r="G12123" s="3"/>
      <c r="H12123" s="3"/>
    </row>
    <row r="12124">
      <c r="A12124" s="2">
        <f>IFERROR(__xludf.DUMMYFUNCTION("""COMPUTED_VALUE"""),72311.0)</f>
        <v>72311</v>
      </c>
      <c r="B12124" s="3" t="str">
        <f>IFERROR(__xludf.DUMMYFUNCTION("""COMPUTED_VALUE"""),"464 THOMSON RD")</f>
        <v>464 THOMSON RD</v>
      </c>
      <c r="C12124" s="3" t="str">
        <f>IFERROR(__xludf.DUMMYFUNCTION("""COMPUTED_VALUE"""),"CAMPBELLFORD")</f>
        <v>CAMPBELLFORD</v>
      </c>
      <c r="D12124" s="3" t="str">
        <f>IFERROR(__xludf.DUMMYFUNCTION("""COMPUTED_VALUE"""),"K0L 1L0")</f>
        <v>K0L 1L0</v>
      </c>
      <c r="E12124" s="3"/>
      <c r="F12124" s="3"/>
      <c r="G12124" s="3"/>
      <c r="H12124" s="3"/>
    </row>
    <row r="12125">
      <c r="A12125" s="2">
        <f>IFERROR(__xludf.DUMMYFUNCTION("""COMPUTED_VALUE"""),72312.0)</f>
        <v>72312</v>
      </c>
      <c r="B12125" s="3" t="str">
        <f>IFERROR(__xludf.DUMMYFUNCTION("""COMPUTED_VALUE"""),"588 THOMSON RD")</f>
        <v>588 THOMSON RD</v>
      </c>
      <c r="C12125" s="3" t="str">
        <f>IFERROR(__xludf.DUMMYFUNCTION("""COMPUTED_VALUE"""),"CAMPBELLFORD")</f>
        <v>CAMPBELLFORD</v>
      </c>
      <c r="D12125" s="3" t="str">
        <f>IFERROR(__xludf.DUMMYFUNCTION("""COMPUTED_VALUE"""),"K0L 1L0")</f>
        <v>K0L 1L0</v>
      </c>
      <c r="E12125" s="3"/>
      <c r="F12125" s="3"/>
      <c r="G12125" s="3"/>
      <c r="H12125" s="3"/>
    </row>
    <row r="12126">
      <c r="A12126" s="2">
        <f>IFERROR(__xludf.DUMMYFUNCTION("""COMPUTED_VALUE"""),72313.0)</f>
        <v>72313</v>
      </c>
      <c r="B12126" s="3" t="str">
        <f>IFERROR(__xludf.DUMMYFUNCTION("""COMPUTED_VALUE"""),"591 THOMSON RD")</f>
        <v>591 THOMSON RD</v>
      </c>
      <c r="C12126" s="3" t="str">
        <f>IFERROR(__xludf.DUMMYFUNCTION("""COMPUTED_VALUE"""),"CAMPBELLFORD")</f>
        <v>CAMPBELLFORD</v>
      </c>
      <c r="D12126" s="3" t="str">
        <f>IFERROR(__xludf.DUMMYFUNCTION("""COMPUTED_VALUE"""),"K0L 1L0")</f>
        <v>K0L 1L0</v>
      </c>
      <c r="E12126" s="3"/>
      <c r="F12126" s="3"/>
      <c r="G12126" s="3"/>
      <c r="H12126" s="3"/>
    </row>
    <row r="12127">
      <c r="A12127" s="2">
        <f>IFERROR(__xludf.DUMMYFUNCTION("""COMPUTED_VALUE"""),72314.0)</f>
        <v>72314</v>
      </c>
      <c r="B12127" s="3" t="str">
        <f>IFERROR(__xludf.DUMMYFUNCTION("""COMPUTED_VALUE"""),"3 TIMBERLANE DR")</f>
        <v>3 TIMBERLANE DR</v>
      </c>
      <c r="C12127" s="3" t="str">
        <f>IFERROR(__xludf.DUMMYFUNCTION("""COMPUTED_VALUE"""),"HAVELOCK")</f>
        <v>HAVELOCK</v>
      </c>
      <c r="D12127" s="3" t="str">
        <f>IFERROR(__xludf.DUMMYFUNCTION("""COMPUTED_VALUE"""),"K0L 1Z0")</f>
        <v>K0L 1Z0</v>
      </c>
      <c r="E12127" s="3" t="str">
        <f>IFERROR(__xludf.DUMMYFUNCTION("""COMPUTED_VALUE"""),"Ronald Mumby")</f>
        <v>Ronald Mumby</v>
      </c>
      <c r="F12127" s="3" t="str">
        <f>IFERROR(__xludf.DUMMYFUNCTION("""COMPUTED_VALUE"""),"ronandneishamumby@gmail.com")</f>
        <v>ronandneishamumby@gmail.com</v>
      </c>
      <c r="G12127" s="3"/>
      <c r="H12127" s="3"/>
    </row>
    <row r="12128">
      <c r="A12128" s="2">
        <f>IFERROR(__xludf.DUMMYFUNCTION("""COMPUTED_VALUE"""),72342.0)</f>
        <v>72342</v>
      </c>
      <c r="B12128" s="3" t="str">
        <f>IFERROR(__xludf.DUMMYFUNCTION("""COMPUTED_VALUE"""),"692 TRENT RIVER RD")</f>
        <v>692 TRENT RIVER RD</v>
      </c>
      <c r="C12128" s="3" t="str">
        <f>IFERROR(__xludf.DUMMYFUNCTION("""COMPUTED_VALUE"""),"HAVELOCK")</f>
        <v>HAVELOCK</v>
      </c>
      <c r="D12128" s="3" t="str">
        <f>IFERROR(__xludf.DUMMYFUNCTION("""COMPUTED_VALUE"""),"K0L 1Z0")</f>
        <v>K0L 1Z0</v>
      </c>
      <c r="E12128" s="3"/>
      <c r="F12128" s="3"/>
      <c r="G12128" s="3"/>
      <c r="H12128" s="3"/>
    </row>
    <row r="12129">
      <c r="A12129" s="2">
        <f>IFERROR(__xludf.DUMMYFUNCTION("""COMPUTED_VALUE"""),72343.0)</f>
        <v>72343</v>
      </c>
      <c r="B12129" s="3" t="str">
        <f>IFERROR(__xludf.DUMMYFUNCTION("""COMPUTED_VALUE"""),"707 TRENT RIVER RD")</f>
        <v>707 TRENT RIVER RD</v>
      </c>
      <c r="C12129" s="3" t="str">
        <f>IFERROR(__xludf.DUMMYFUNCTION("""COMPUTED_VALUE"""),"HAVELOCK")</f>
        <v>HAVELOCK</v>
      </c>
      <c r="D12129" s="3" t="str">
        <f>IFERROR(__xludf.DUMMYFUNCTION("""COMPUTED_VALUE"""),"K0L 1Z0")</f>
        <v>K0L 1Z0</v>
      </c>
      <c r="E12129" s="3"/>
      <c r="F12129" s="3"/>
      <c r="G12129" s="3"/>
      <c r="H12129" s="3"/>
    </row>
    <row r="12130">
      <c r="A12130" s="2">
        <f>IFERROR(__xludf.DUMMYFUNCTION("""COMPUTED_VALUE"""),72344.0)</f>
        <v>72344</v>
      </c>
      <c r="B12130" s="3" t="str">
        <f>IFERROR(__xludf.DUMMYFUNCTION("""COMPUTED_VALUE"""),"719 TRENT RIVER RD")</f>
        <v>719 TRENT RIVER RD</v>
      </c>
      <c r="C12130" s="3" t="str">
        <f>IFERROR(__xludf.DUMMYFUNCTION("""COMPUTED_VALUE"""),"HAVELOCK")</f>
        <v>HAVELOCK</v>
      </c>
      <c r="D12130" s="3" t="str">
        <f>IFERROR(__xludf.DUMMYFUNCTION("""COMPUTED_VALUE"""),"K0L 1Z0")</f>
        <v>K0L 1Z0</v>
      </c>
      <c r="E12130" s="3"/>
      <c r="F12130" s="3"/>
      <c r="G12130" s="3"/>
      <c r="H12130" s="3"/>
    </row>
    <row r="12131">
      <c r="A12131" s="2">
        <f>IFERROR(__xludf.DUMMYFUNCTION("""COMPUTED_VALUE"""),72345.0)</f>
        <v>72345</v>
      </c>
      <c r="B12131" s="3" t="str">
        <f>IFERROR(__xludf.DUMMYFUNCTION("""COMPUTED_VALUE"""),"720 TRENT RIVER RD")</f>
        <v>720 TRENT RIVER RD</v>
      </c>
      <c r="C12131" s="3" t="str">
        <f>IFERROR(__xludf.DUMMYFUNCTION("""COMPUTED_VALUE"""),"HAVELOCK")</f>
        <v>HAVELOCK</v>
      </c>
      <c r="D12131" s="3" t="str">
        <f>IFERROR(__xludf.DUMMYFUNCTION("""COMPUTED_VALUE"""),"K0L 1Z0")</f>
        <v>K0L 1Z0</v>
      </c>
      <c r="E12131" s="3"/>
      <c r="F12131" s="3"/>
      <c r="G12131" s="3"/>
      <c r="H12131" s="3"/>
    </row>
    <row r="12132">
      <c r="A12132" s="2">
        <f>IFERROR(__xludf.DUMMYFUNCTION("""COMPUTED_VALUE"""),72346.0)</f>
        <v>72346</v>
      </c>
      <c r="B12132" s="3" t="str">
        <f>IFERROR(__xludf.DUMMYFUNCTION("""COMPUTED_VALUE"""),"727 TRENT RIVER RD")</f>
        <v>727 TRENT RIVER RD</v>
      </c>
      <c r="C12132" s="3" t="str">
        <f>IFERROR(__xludf.DUMMYFUNCTION("""COMPUTED_VALUE"""),"HAVELOCK")</f>
        <v>HAVELOCK</v>
      </c>
      <c r="D12132" s="3" t="str">
        <f>IFERROR(__xludf.DUMMYFUNCTION("""COMPUTED_VALUE"""),"K0L 1Z0")</f>
        <v>K0L 1Z0</v>
      </c>
      <c r="E12132" s="3"/>
      <c r="F12132" s="3"/>
      <c r="G12132" s="3"/>
      <c r="H12132" s="3"/>
    </row>
    <row r="12133">
      <c r="A12133" s="2">
        <f>IFERROR(__xludf.DUMMYFUNCTION("""COMPUTED_VALUE"""),72347.0)</f>
        <v>72347</v>
      </c>
      <c r="B12133" s="3" t="str">
        <f>IFERROR(__xludf.DUMMYFUNCTION("""COMPUTED_VALUE"""),"855 TRENT RIVER RD")</f>
        <v>855 TRENT RIVER RD</v>
      </c>
      <c r="C12133" s="3" t="str">
        <f>IFERROR(__xludf.DUMMYFUNCTION("""COMPUTED_VALUE"""),"HAVELOCK")</f>
        <v>HAVELOCK</v>
      </c>
      <c r="D12133" s="3" t="str">
        <f>IFERROR(__xludf.DUMMYFUNCTION("""COMPUTED_VALUE"""),"K0L 1Z0")</f>
        <v>K0L 1Z0</v>
      </c>
      <c r="E12133" s="3"/>
      <c r="F12133" s="3"/>
      <c r="G12133" s="3"/>
      <c r="H12133" s="3"/>
    </row>
    <row r="12134">
      <c r="A12134" s="2">
        <f>IFERROR(__xludf.DUMMYFUNCTION("""COMPUTED_VALUE"""),72348.0)</f>
        <v>72348</v>
      </c>
      <c r="B12134" s="3" t="str">
        <f>IFERROR(__xludf.DUMMYFUNCTION("""COMPUTED_VALUE"""),"897 TRENT RIVER RD")</f>
        <v>897 TRENT RIVER RD</v>
      </c>
      <c r="C12134" s="3" t="str">
        <f>IFERROR(__xludf.DUMMYFUNCTION("""COMPUTED_VALUE"""),"HAVELOCK")</f>
        <v>HAVELOCK</v>
      </c>
      <c r="D12134" s="3" t="str">
        <f>IFERROR(__xludf.DUMMYFUNCTION("""COMPUTED_VALUE"""),"K0L 1Z0")</f>
        <v>K0L 1Z0</v>
      </c>
      <c r="E12134" s="3"/>
      <c r="F12134" s="3"/>
      <c r="G12134" s="3"/>
      <c r="H12134" s="3"/>
    </row>
    <row r="12135">
      <c r="A12135" s="2">
        <f>IFERROR(__xludf.DUMMYFUNCTION("""COMPUTED_VALUE"""),72349.0)</f>
        <v>72349</v>
      </c>
      <c r="B12135" s="3" t="str">
        <f>IFERROR(__xludf.DUMMYFUNCTION("""COMPUTED_VALUE"""),"901 TRENT RIVER RD")</f>
        <v>901 TRENT RIVER RD</v>
      </c>
      <c r="C12135" s="3" t="str">
        <f>IFERROR(__xludf.DUMMYFUNCTION("""COMPUTED_VALUE"""),"HAVELOCK")</f>
        <v>HAVELOCK</v>
      </c>
      <c r="D12135" s="3" t="str">
        <f>IFERROR(__xludf.DUMMYFUNCTION("""COMPUTED_VALUE"""),"K0L 1Z0")</f>
        <v>K0L 1Z0</v>
      </c>
      <c r="E12135" s="3"/>
      <c r="F12135" s="3"/>
      <c r="G12135" s="3"/>
      <c r="H12135" s="3"/>
    </row>
    <row r="12136">
      <c r="A12136" s="2">
        <f>IFERROR(__xludf.DUMMYFUNCTION("""COMPUTED_VALUE"""),72350.0)</f>
        <v>72350</v>
      </c>
      <c r="B12136" s="3" t="str">
        <f>IFERROR(__xludf.DUMMYFUNCTION("""COMPUTED_VALUE"""),"907 TRENT RIVER RD")</f>
        <v>907 TRENT RIVER RD</v>
      </c>
      <c r="C12136" s="3" t="str">
        <f>IFERROR(__xludf.DUMMYFUNCTION("""COMPUTED_VALUE"""),"HAVELOCK")</f>
        <v>HAVELOCK</v>
      </c>
      <c r="D12136" s="3" t="str">
        <f>IFERROR(__xludf.DUMMYFUNCTION("""COMPUTED_VALUE"""),"K0L 1Z0")</f>
        <v>K0L 1Z0</v>
      </c>
      <c r="E12136" s="3"/>
      <c r="F12136" s="3"/>
      <c r="G12136" s="3"/>
      <c r="H12136" s="3"/>
    </row>
    <row r="12137">
      <c r="A12137" s="2">
        <f>IFERROR(__xludf.DUMMYFUNCTION("""COMPUTED_VALUE"""),72351.0)</f>
        <v>72351</v>
      </c>
      <c r="B12137" s="3" t="str">
        <f>IFERROR(__xludf.DUMMYFUNCTION("""COMPUTED_VALUE"""),"915 TRENT RIVER RD")</f>
        <v>915 TRENT RIVER RD</v>
      </c>
      <c r="C12137" s="3" t="str">
        <f>IFERROR(__xludf.DUMMYFUNCTION("""COMPUTED_VALUE"""),"HAVELOCK")</f>
        <v>HAVELOCK</v>
      </c>
      <c r="D12137" s="3" t="str">
        <f>IFERROR(__xludf.DUMMYFUNCTION("""COMPUTED_VALUE"""),"K0L 1Z0")</f>
        <v>K0L 1Z0</v>
      </c>
      <c r="E12137" s="3"/>
      <c r="F12137" s="3"/>
      <c r="G12137" s="3"/>
      <c r="H12137" s="3"/>
    </row>
    <row r="12138">
      <c r="A12138" s="2">
        <f>IFERROR(__xludf.DUMMYFUNCTION("""COMPUTED_VALUE"""),72352.0)</f>
        <v>72352</v>
      </c>
      <c r="B12138" s="3" t="str">
        <f>IFERROR(__xludf.DUMMYFUNCTION("""COMPUTED_VALUE"""),"929 TRENT RIVER RD")</f>
        <v>929 TRENT RIVER RD</v>
      </c>
      <c r="C12138" s="3" t="str">
        <f>IFERROR(__xludf.DUMMYFUNCTION("""COMPUTED_VALUE"""),"HAVELOCK")</f>
        <v>HAVELOCK</v>
      </c>
      <c r="D12138" s="3" t="str">
        <f>IFERROR(__xludf.DUMMYFUNCTION("""COMPUTED_VALUE"""),"K0L 1Z0")</f>
        <v>K0L 1Z0</v>
      </c>
      <c r="E12138" s="3"/>
      <c r="F12138" s="3"/>
      <c r="G12138" s="3"/>
      <c r="H12138" s="3"/>
    </row>
    <row r="12139">
      <c r="A12139" s="2">
        <f>IFERROR(__xludf.DUMMYFUNCTION("""COMPUTED_VALUE"""),72353.0)</f>
        <v>72353</v>
      </c>
      <c r="B12139" s="3" t="str">
        <f>IFERROR(__xludf.DUMMYFUNCTION("""COMPUTED_VALUE"""),"935 TRENT RIVER RD")</f>
        <v>935 TRENT RIVER RD</v>
      </c>
      <c r="C12139" s="3" t="str">
        <f>IFERROR(__xludf.DUMMYFUNCTION("""COMPUTED_VALUE"""),"HAVELOCK")</f>
        <v>HAVELOCK</v>
      </c>
      <c r="D12139" s="3" t="str">
        <f>IFERROR(__xludf.DUMMYFUNCTION("""COMPUTED_VALUE"""),"K0L 1Z0")</f>
        <v>K0L 1Z0</v>
      </c>
      <c r="E12139" s="3"/>
      <c r="F12139" s="3"/>
      <c r="G12139" s="3"/>
      <c r="H12139" s="3"/>
    </row>
    <row r="12140">
      <c r="A12140" s="2">
        <f>IFERROR(__xludf.DUMMYFUNCTION("""COMPUTED_VALUE"""),72354.0)</f>
        <v>72354</v>
      </c>
      <c r="B12140" s="3" t="str">
        <f>IFERROR(__xludf.DUMMYFUNCTION("""COMPUTED_VALUE"""),"939 TRENT RIVER RD")</f>
        <v>939 TRENT RIVER RD</v>
      </c>
      <c r="C12140" s="3" t="str">
        <f>IFERROR(__xludf.DUMMYFUNCTION("""COMPUTED_VALUE"""),"HAVELOCK")</f>
        <v>HAVELOCK</v>
      </c>
      <c r="D12140" s="3" t="str">
        <f>IFERROR(__xludf.DUMMYFUNCTION("""COMPUTED_VALUE"""),"K0L 1Z0")</f>
        <v>K0L 1Z0</v>
      </c>
      <c r="E12140" s="3"/>
      <c r="F12140" s="3"/>
      <c r="G12140" s="3"/>
      <c r="H12140" s="3"/>
    </row>
    <row r="12141">
      <c r="A12141" s="2">
        <f>IFERROR(__xludf.DUMMYFUNCTION("""COMPUTED_VALUE"""),72355.0)</f>
        <v>72355</v>
      </c>
      <c r="B12141" s="3" t="str">
        <f>IFERROR(__xludf.DUMMYFUNCTION("""COMPUTED_VALUE"""),"945 TRENT RIVER RD")</f>
        <v>945 TRENT RIVER RD</v>
      </c>
      <c r="C12141" s="3" t="str">
        <f>IFERROR(__xludf.DUMMYFUNCTION("""COMPUTED_VALUE"""),"HAVELOCK")</f>
        <v>HAVELOCK</v>
      </c>
      <c r="D12141" s="3" t="str">
        <f>IFERROR(__xludf.DUMMYFUNCTION("""COMPUTED_VALUE"""),"K0L 1Z0")</f>
        <v>K0L 1Z0</v>
      </c>
      <c r="E12141" s="3"/>
      <c r="F12141" s="3"/>
      <c r="G12141" s="3"/>
      <c r="H12141" s="3"/>
    </row>
    <row r="12142">
      <c r="A12142" s="2">
        <f>IFERROR(__xludf.DUMMYFUNCTION("""COMPUTED_VALUE"""),72356.0)</f>
        <v>72356</v>
      </c>
      <c r="B12142" s="3" t="str">
        <f>IFERROR(__xludf.DUMMYFUNCTION("""COMPUTED_VALUE"""),"1040 TRENT RIVER RD")</f>
        <v>1040 TRENT RIVER RD</v>
      </c>
      <c r="C12142" s="3" t="str">
        <f>IFERROR(__xludf.DUMMYFUNCTION("""COMPUTED_VALUE"""),"HAVELOCK")</f>
        <v>HAVELOCK</v>
      </c>
      <c r="D12142" s="3" t="str">
        <f>IFERROR(__xludf.DUMMYFUNCTION("""COMPUTED_VALUE"""),"K0L 1Z0")</f>
        <v>K0L 1Z0</v>
      </c>
      <c r="E12142" s="3"/>
      <c r="F12142" s="3"/>
      <c r="G12142" s="3"/>
      <c r="H12142" s="3"/>
    </row>
    <row r="12143">
      <c r="A12143" s="2">
        <f>IFERROR(__xludf.DUMMYFUNCTION("""COMPUTED_VALUE"""),72357.0)</f>
        <v>72357</v>
      </c>
      <c r="B12143" s="3" t="str">
        <f>IFERROR(__xludf.DUMMYFUNCTION("""COMPUTED_VALUE"""),"1140 TRENT RIVER RD")</f>
        <v>1140 TRENT RIVER RD</v>
      </c>
      <c r="C12143" s="3" t="str">
        <f>IFERROR(__xludf.DUMMYFUNCTION("""COMPUTED_VALUE"""),"HAVELOCK")</f>
        <v>HAVELOCK</v>
      </c>
      <c r="D12143" s="3" t="str">
        <f>IFERROR(__xludf.DUMMYFUNCTION("""COMPUTED_VALUE"""),"K0L 1Z0")</f>
        <v>K0L 1Z0</v>
      </c>
      <c r="E12143" s="3"/>
      <c r="F12143" s="3"/>
      <c r="G12143" s="3"/>
      <c r="H12143" s="3"/>
    </row>
    <row r="12144">
      <c r="A12144" s="2">
        <f>IFERROR(__xludf.DUMMYFUNCTION("""COMPUTED_VALUE"""),72358.0)</f>
        <v>72358</v>
      </c>
      <c r="B12144" s="3" t="str">
        <f>IFERROR(__xludf.DUMMYFUNCTION("""COMPUTED_VALUE"""),"1188 TRENT RIVER RD")</f>
        <v>1188 TRENT RIVER RD</v>
      </c>
      <c r="C12144" s="3" t="str">
        <f>IFERROR(__xludf.DUMMYFUNCTION("""COMPUTED_VALUE"""),"HAVELOCK")</f>
        <v>HAVELOCK</v>
      </c>
      <c r="D12144" s="3" t="str">
        <f>IFERROR(__xludf.DUMMYFUNCTION("""COMPUTED_VALUE"""),"K0L 1Z0")</f>
        <v>K0L 1Z0</v>
      </c>
      <c r="E12144" s="3"/>
      <c r="F12144" s="3"/>
      <c r="G12144" s="3"/>
      <c r="H12144" s="3"/>
    </row>
    <row r="12145">
      <c r="A12145" s="2">
        <f>IFERROR(__xludf.DUMMYFUNCTION("""COMPUTED_VALUE"""),72359.0)</f>
        <v>72359</v>
      </c>
      <c r="B12145" s="3" t="str">
        <f>IFERROR(__xludf.DUMMYFUNCTION("""COMPUTED_VALUE"""),"1219 TRENT RIVER RD")</f>
        <v>1219 TRENT RIVER RD</v>
      </c>
      <c r="C12145" s="3" t="str">
        <f>IFERROR(__xludf.DUMMYFUNCTION("""COMPUTED_VALUE"""),"HAVELOCK")</f>
        <v>HAVELOCK</v>
      </c>
      <c r="D12145" s="3" t="str">
        <f>IFERROR(__xludf.DUMMYFUNCTION("""COMPUTED_VALUE"""),"K0L 1Z0")</f>
        <v>K0L 1Z0</v>
      </c>
      <c r="E12145" s="3"/>
      <c r="F12145" s="3"/>
      <c r="G12145" s="3"/>
      <c r="H12145" s="3"/>
    </row>
    <row r="12146">
      <c r="A12146" s="2">
        <f>IFERROR(__xludf.DUMMYFUNCTION("""COMPUTED_VALUE"""),72360.0)</f>
        <v>72360</v>
      </c>
      <c r="B12146" s="3" t="str">
        <f>IFERROR(__xludf.DUMMYFUNCTION("""COMPUTED_VALUE"""),"1224 TRENT RIVER RD")</f>
        <v>1224 TRENT RIVER RD</v>
      </c>
      <c r="C12146" s="3" t="str">
        <f>IFERROR(__xludf.DUMMYFUNCTION("""COMPUTED_VALUE"""),"HAVELOCK")</f>
        <v>HAVELOCK</v>
      </c>
      <c r="D12146" s="3" t="str">
        <f>IFERROR(__xludf.DUMMYFUNCTION("""COMPUTED_VALUE"""),"K0L 1Z0")</f>
        <v>K0L 1Z0</v>
      </c>
      <c r="E12146" s="3"/>
      <c r="F12146" s="3"/>
      <c r="G12146" s="3"/>
      <c r="H12146" s="3"/>
    </row>
    <row r="12147">
      <c r="A12147" s="2">
        <f>IFERROR(__xludf.DUMMYFUNCTION("""COMPUTED_VALUE"""),72361.0)</f>
        <v>72361</v>
      </c>
      <c r="B12147" s="3" t="str">
        <f>IFERROR(__xludf.DUMMYFUNCTION("""COMPUTED_VALUE"""),"1233 TRENT RIVER RD")</f>
        <v>1233 TRENT RIVER RD</v>
      </c>
      <c r="C12147" s="3" t="str">
        <f>IFERROR(__xludf.DUMMYFUNCTION("""COMPUTED_VALUE"""),"HAVELOCK")</f>
        <v>HAVELOCK</v>
      </c>
      <c r="D12147" s="3" t="str">
        <f>IFERROR(__xludf.DUMMYFUNCTION("""COMPUTED_VALUE"""),"K0L 1Z0")</f>
        <v>K0L 1Z0</v>
      </c>
      <c r="E12147" s="3"/>
      <c r="F12147" s="3"/>
      <c r="G12147" s="3"/>
      <c r="H12147" s="3"/>
    </row>
    <row r="12148">
      <c r="A12148" s="2">
        <f>IFERROR(__xludf.DUMMYFUNCTION("""COMPUTED_VALUE"""),72362.0)</f>
        <v>72362</v>
      </c>
      <c r="B12148" s="3" t="str">
        <f>IFERROR(__xludf.DUMMYFUNCTION("""COMPUTED_VALUE"""),"1238 TRENT RIVER RD")</f>
        <v>1238 TRENT RIVER RD</v>
      </c>
      <c r="C12148" s="3" t="str">
        <f>IFERROR(__xludf.DUMMYFUNCTION("""COMPUTED_VALUE"""),"HAVELOCK")</f>
        <v>HAVELOCK</v>
      </c>
      <c r="D12148" s="3" t="str">
        <f>IFERROR(__xludf.DUMMYFUNCTION("""COMPUTED_VALUE"""),"K0L 1Z0")</f>
        <v>K0L 1Z0</v>
      </c>
      <c r="E12148" s="3"/>
      <c r="F12148" s="3"/>
      <c r="G12148" s="3"/>
      <c r="H12148" s="3"/>
    </row>
    <row r="12149">
      <c r="A12149" s="2">
        <f>IFERROR(__xludf.DUMMYFUNCTION("""COMPUTED_VALUE"""),72363.0)</f>
        <v>72363</v>
      </c>
      <c r="B12149" s="3" t="str">
        <f>IFERROR(__xludf.DUMMYFUNCTION("""COMPUTED_VALUE"""),"1241 TRENT RIVER RD")</f>
        <v>1241 TRENT RIVER RD</v>
      </c>
      <c r="C12149" s="3" t="str">
        <f>IFERROR(__xludf.DUMMYFUNCTION("""COMPUTED_VALUE"""),"HAVELOCK")</f>
        <v>HAVELOCK</v>
      </c>
      <c r="D12149" s="3" t="str">
        <f>IFERROR(__xludf.DUMMYFUNCTION("""COMPUTED_VALUE"""),"K0L 1Z0")</f>
        <v>K0L 1Z0</v>
      </c>
      <c r="E12149" s="3" t="str">
        <f>IFERROR(__xludf.DUMMYFUNCTION("""COMPUTED_VALUE"""),"Roland Naegeli")</f>
        <v>Roland Naegeli</v>
      </c>
      <c r="F12149" s="3" t="str">
        <f>IFERROR(__xludf.DUMMYFUNCTION("""COMPUTED_VALUE"""),"fuzzy@persona.ca")</f>
        <v>fuzzy@persona.ca</v>
      </c>
      <c r="G12149" s="3"/>
      <c r="H12149" s="3"/>
    </row>
    <row r="12150">
      <c r="A12150" s="2">
        <f>IFERROR(__xludf.DUMMYFUNCTION("""COMPUTED_VALUE"""),72364.0)</f>
        <v>72364</v>
      </c>
      <c r="B12150" s="3" t="str">
        <f>IFERROR(__xludf.DUMMYFUNCTION("""COMPUTED_VALUE"""),"1265 TRENT RIVER RD")</f>
        <v>1265 TRENT RIVER RD</v>
      </c>
      <c r="C12150" s="3" t="str">
        <f>IFERROR(__xludf.DUMMYFUNCTION("""COMPUTED_VALUE"""),"HAVELOCK")</f>
        <v>HAVELOCK</v>
      </c>
      <c r="D12150" s="3" t="str">
        <f>IFERROR(__xludf.DUMMYFUNCTION("""COMPUTED_VALUE"""),"K0L 1Z0")</f>
        <v>K0L 1Z0</v>
      </c>
      <c r="E12150" s="3"/>
      <c r="F12150" s="3"/>
      <c r="G12150" s="3"/>
      <c r="H12150" s="3"/>
    </row>
    <row r="12151">
      <c r="A12151" s="2">
        <f>IFERROR(__xludf.DUMMYFUNCTION("""COMPUTED_VALUE"""),72365.0)</f>
        <v>72365</v>
      </c>
      <c r="B12151" s="3" t="str">
        <f>IFERROR(__xludf.DUMMYFUNCTION("""COMPUTED_VALUE"""),"1269 TRENT RIVER RD")</f>
        <v>1269 TRENT RIVER RD</v>
      </c>
      <c r="C12151" s="3" t="str">
        <f>IFERROR(__xludf.DUMMYFUNCTION("""COMPUTED_VALUE"""),"HAVELOCK")</f>
        <v>HAVELOCK</v>
      </c>
      <c r="D12151" s="3" t="str">
        <f>IFERROR(__xludf.DUMMYFUNCTION("""COMPUTED_VALUE"""),"K0L 1Z0")</f>
        <v>K0L 1Z0</v>
      </c>
      <c r="E12151" s="3"/>
      <c r="F12151" s="3"/>
      <c r="G12151" s="3"/>
      <c r="H12151" s="3"/>
    </row>
    <row r="12152">
      <c r="A12152" s="2">
        <f>IFERROR(__xludf.DUMMYFUNCTION("""COMPUTED_VALUE"""),72366.0)</f>
        <v>72366</v>
      </c>
      <c r="B12152" s="3" t="str">
        <f>IFERROR(__xludf.DUMMYFUNCTION("""COMPUTED_VALUE"""),"1272 TRENT RIVER RD")</f>
        <v>1272 TRENT RIVER RD</v>
      </c>
      <c r="C12152" s="3" t="str">
        <f>IFERROR(__xludf.DUMMYFUNCTION("""COMPUTED_VALUE"""),"HAVELOCK")</f>
        <v>HAVELOCK</v>
      </c>
      <c r="D12152" s="3" t="str">
        <f>IFERROR(__xludf.DUMMYFUNCTION("""COMPUTED_VALUE"""),"K0L 1Z0")</f>
        <v>K0L 1Z0</v>
      </c>
      <c r="E12152" s="3"/>
      <c r="F12152" s="3"/>
      <c r="G12152" s="3"/>
      <c r="H12152" s="3"/>
    </row>
    <row r="12153">
      <c r="A12153" s="2">
        <f>IFERROR(__xludf.DUMMYFUNCTION("""COMPUTED_VALUE"""),72367.0)</f>
        <v>72367</v>
      </c>
      <c r="B12153" s="3" t="str">
        <f>IFERROR(__xludf.DUMMYFUNCTION("""COMPUTED_VALUE"""),"1277 TRENT RIVER RD")</f>
        <v>1277 TRENT RIVER RD</v>
      </c>
      <c r="C12153" s="3" t="str">
        <f>IFERROR(__xludf.DUMMYFUNCTION("""COMPUTED_VALUE"""),"HAVELOCK")</f>
        <v>HAVELOCK</v>
      </c>
      <c r="D12153" s="3" t="str">
        <f>IFERROR(__xludf.DUMMYFUNCTION("""COMPUTED_VALUE"""),"K0L 1Z0")</f>
        <v>K0L 1Z0</v>
      </c>
      <c r="E12153" s="3"/>
      <c r="F12153" s="3"/>
      <c r="G12153" s="3"/>
      <c r="H12153" s="3"/>
    </row>
    <row r="12154">
      <c r="A12154" s="2">
        <f>IFERROR(__xludf.DUMMYFUNCTION("""COMPUTED_VALUE"""),72368.0)</f>
        <v>72368</v>
      </c>
      <c r="B12154" s="3" t="str">
        <f>IFERROR(__xludf.DUMMYFUNCTION("""COMPUTED_VALUE"""),"1278 TRENT RIVER RD")</f>
        <v>1278 TRENT RIVER RD</v>
      </c>
      <c r="C12154" s="3" t="str">
        <f>IFERROR(__xludf.DUMMYFUNCTION("""COMPUTED_VALUE"""),"HAVELOCK")</f>
        <v>HAVELOCK</v>
      </c>
      <c r="D12154" s="3" t="str">
        <f>IFERROR(__xludf.DUMMYFUNCTION("""COMPUTED_VALUE"""),"K0L 1Z0")</f>
        <v>K0L 1Z0</v>
      </c>
      <c r="E12154" s="3"/>
      <c r="F12154" s="3"/>
      <c r="G12154" s="3"/>
      <c r="H12154" s="3"/>
    </row>
    <row r="12155">
      <c r="A12155" s="2">
        <f>IFERROR(__xludf.DUMMYFUNCTION("""COMPUTED_VALUE"""),72369.0)</f>
        <v>72369</v>
      </c>
      <c r="B12155" s="3" t="str">
        <f>IFERROR(__xludf.DUMMYFUNCTION("""COMPUTED_VALUE"""),"1316 TRENT RIVER RD")</f>
        <v>1316 TRENT RIVER RD</v>
      </c>
      <c r="C12155" s="3" t="str">
        <f>IFERROR(__xludf.DUMMYFUNCTION("""COMPUTED_VALUE"""),"HAVELOCK")</f>
        <v>HAVELOCK</v>
      </c>
      <c r="D12155" s="3" t="str">
        <f>IFERROR(__xludf.DUMMYFUNCTION("""COMPUTED_VALUE"""),"K0L 1Z0")</f>
        <v>K0L 1Z0</v>
      </c>
      <c r="E12155" s="3"/>
      <c r="F12155" s="3"/>
      <c r="G12155" s="3"/>
      <c r="H12155" s="3"/>
    </row>
    <row r="12156">
      <c r="A12156" s="2">
        <f>IFERROR(__xludf.DUMMYFUNCTION("""COMPUTED_VALUE"""),72370.0)</f>
        <v>72370</v>
      </c>
      <c r="B12156" s="3" t="str">
        <f>IFERROR(__xludf.DUMMYFUNCTION("""COMPUTED_VALUE"""),"1340 TRENT RIVER RD")</f>
        <v>1340 TRENT RIVER RD</v>
      </c>
      <c r="C12156" s="3" t="str">
        <f>IFERROR(__xludf.DUMMYFUNCTION("""COMPUTED_VALUE"""),"HAVELOCK")</f>
        <v>HAVELOCK</v>
      </c>
      <c r="D12156" s="3" t="str">
        <f>IFERROR(__xludf.DUMMYFUNCTION("""COMPUTED_VALUE"""),"K0L 1Z0")</f>
        <v>K0L 1Z0</v>
      </c>
      <c r="E12156" s="3"/>
      <c r="F12156" s="3"/>
      <c r="G12156" s="3"/>
      <c r="H12156" s="3"/>
    </row>
    <row r="12157">
      <c r="A12157" s="2">
        <f>IFERROR(__xludf.DUMMYFUNCTION("""COMPUTED_VALUE"""),72371.0)</f>
        <v>72371</v>
      </c>
      <c r="B12157" s="3" t="str">
        <f>IFERROR(__xludf.DUMMYFUNCTION("""COMPUTED_VALUE"""),"1348 TRENT RIVER RD")</f>
        <v>1348 TRENT RIVER RD</v>
      </c>
      <c r="C12157" s="3" t="str">
        <f>IFERROR(__xludf.DUMMYFUNCTION("""COMPUTED_VALUE"""),"HAVELOCK")</f>
        <v>HAVELOCK</v>
      </c>
      <c r="D12157" s="3" t="str">
        <f>IFERROR(__xludf.DUMMYFUNCTION("""COMPUTED_VALUE"""),"K0L 1Z0")</f>
        <v>K0L 1Z0</v>
      </c>
      <c r="E12157" s="3"/>
      <c r="F12157" s="3"/>
      <c r="G12157" s="3"/>
      <c r="H12157" s="3"/>
    </row>
    <row r="12158">
      <c r="A12158" s="2">
        <f>IFERROR(__xludf.DUMMYFUNCTION("""COMPUTED_VALUE"""),72372.0)</f>
        <v>72372</v>
      </c>
      <c r="B12158" s="3" t="str">
        <f>IFERROR(__xludf.DUMMYFUNCTION("""COMPUTED_VALUE"""),"1349 TRENT RIVER RD")</f>
        <v>1349 TRENT RIVER RD</v>
      </c>
      <c r="C12158" s="3" t="str">
        <f>IFERROR(__xludf.DUMMYFUNCTION("""COMPUTED_VALUE"""),"HAVELOCK")</f>
        <v>HAVELOCK</v>
      </c>
      <c r="D12158" s="3" t="str">
        <f>IFERROR(__xludf.DUMMYFUNCTION("""COMPUTED_VALUE"""),"K0L 1Z0")</f>
        <v>K0L 1Z0</v>
      </c>
      <c r="E12158" s="3"/>
      <c r="F12158" s="3"/>
      <c r="G12158" s="3"/>
      <c r="H12158" s="3"/>
    </row>
    <row r="12159">
      <c r="A12159" s="2">
        <f>IFERROR(__xludf.DUMMYFUNCTION("""COMPUTED_VALUE"""),72373.0)</f>
        <v>72373</v>
      </c>
      <c r="B12159" s="3" t="str">
        <f>IFERROR(__xludf.DUMMYFUNCTION("""COMPUTED_VALUE"""),"1360 TRENT RIVER RD")</f>
        <v>1360 TRENT RIVER RD</v>
      </c>
      <c r="C12159" s="3" t="str">
        <f>IFERROR(__xludf.DUMMYFUNCTION("""COMPUTED_VALUE"""),"HAVELOCK")</f>
        <v>HAVELOCK</v>
      </c>
      <c r="D12159" s="3" t="str">
        <f>IFERROR(__xludf.DUMMYFUNCTION("""COMPUTED_VALUE"""),"K0L 1Z0")</f>
        <v>K0L 1Z0</v>
      </c>
      <c r="E12159" s="3" t="str">
        <f>IFERROR(__xludf.DUMMYFUNCTION("""COMPUTED_VALUE"""),"Steven Weare")</f>
        <v>Steven Weare</v>
      </c>
      <c r="F12159" s="3" t="str">
        <f>IFERROR(__xludf.DUMMYFUNCTION("""COMPUTED_VALUE"""),"stevenweare@outlook.com")</f>
        <v>stevenweare@outlook.com</v>
      </c>
      <c r="G12159" s="3"/>
      <c r="H12159" s="3"/>
    </row>
    <row r="12160">
      <c r="A12160" s="2">
        <f>IFERROR(__xludf.DUMMYFUNCTION("""COMPUTED_VALUE"""),72374.0)</f>
        <v>72374</v>
      </c>
      <c r="B12160" s="3" t="str">
        <f>IFERROR(__xludf.DUMMYFUNCTION("""COMPUTED_VALUE"""),"1369 TRENT RIVER RD")</f>
        <v>1369 TRENT RIVER RD</v>
      </c>
      <c r="C12160" s="3" t="str">
        <f>IFERROR(__xludf.DUMMYFUNCTION("""COMPUTED_VALUE"""),"HAVELOCK")</f>
        <v>HAVELOCK</v>
      </c>
      <c r="D12160" s="3" t="str">
        <f>IFERROR(__xludf.DUMMYFUNCTION("""COMPUTED_VALUE"""),"K0L 1Z0")</f>
        <v>K0L 1Z0</v>
      </c>
      <c r="E12160" s="3" t="str">
        <f>IFERROR(__xludf.DUMMYFUNCTION("""COMPUTED_VALUE"""),"MICHAEL ROBERT MCGILL")</f>
        <v>MICHAEL ROBERT MCGILL</v>
      </c>
      <c r="F12160" s="3" t="str">
        <f>IFERROR(__xludf.DUMMYFUNCTION("""COMPUTED_VALUE"""),"mcgill.al@gmail.com")</f>
        <v>mcgill.al@gmail.com</v>
      </c>
      <c r="G12160" s="3">
        <f>IFERROR(__xludf.DUMMYFUNCTION("""COMPUTED_VALUE"""),7.059334548E9)</f>
        <v>7059334548</v>
      </c>
      <c r="H12160" s="3"/>
    </row>
    <row r="12161">
      <c r="A12161" s="2">
        <f>IFERROR(__xludf.DUMMYFUNCTION("""COMPUTED_VALUE"""),72375.0)</f>
        <v>72375</v>
      </c>
      <c r="B12161" s="3" t="str">
        <f>IFERROR(__xludf.DUMMYFUNCTION("""COMPUTED_VALUE"""),"1384 TRENT RIVER RD")</f>
        <v>1384 TRENT RIVER RD</v>
      </c>
      <c r="C12161" s="3" t="str">
        <f>IFERROR(__xludf.DUMMYFUNCTION("""COMPUTED_VALUE"""),"HAVELOCK")</f>
        <v>HAVELOCK</v>
      </c>
      <c r="D12161" s="3" t="str">
        <f>IFERROR(__xludf.DUMMYFUNCTION("""COMPUTED_VALUE"""),"K0L 1Z0")</f>
        <v>K0L 1Z0</v>
      </c>
      <c r="E12161" s="3"/>
      <c r="F12161" s="3"/>
      <c r="G12161" s="3"/>
      <c r="H12161" s="3"/>
    </row>
    <row r="12162">
      <c r="A12162" s="2">
        <f>IFERROR(__xludf.DUMMYFUNCTION("""COMPUTED_VALUE"""),72376.0)</f>
        <v>72376</v>
      </c>
      <c r="B12162" s="3" t="str">
        <f>IFERROR(__xludf.DUMMYFUNCTION("""COMPUTED_VALUE"""),"1539 TRENT RIVER RD")</f>
        <v>1539 TRENT RIVER RD</v>
      </c>
      <c r="C12162" s="3" t="str">
        <f>IFERROR(__xludf.DUMMYFUNCTION("""COMPUTED_VALUE"""),"HAVELOCK")</f>
        <v>HAVELOCK</v>
      </c>
      <c r="D12162" s="3" t="str">
        <f>IFERROR(__xludf.DUMMYFUNCTION("""COMPUTED_VALUE"""),"K0L 1Z0")</f>
        <v>K0L 1Z0</v>
      </c>
      <c r="E12162" s="3"/>
      <c r="F12162" s="3"/>
      <c r="G12162" s="3"/>
      <c r="H12162" s="3"/>
    </row>
    <row r="12163">
      <c r="A12163" s="2">
        <f>IFERROR(__xludf.DUMMYFUNCTION("""COMPUTED_VALUE"""),72377.0)</f>
        <v>72377</v>
      </c>
      <c r="B12163" s="3" t="str">
        <f>IFERROR(__xludf.DUMMYFUNCTION("""COMPUTED_VALUE"""),"1561 TRENT RIVER RD")</f>
        <v>1561 TRENT RIVER RD</v>
      </c>
      <c r="C12163" s="3" t="str">
        <f>IFERROR(__xludf.DUMMYFUNCTION("""COMPUTED_VALUE"""),"HAVELOCK")</f>
        <v>HAVELOCK</v>
      </c>
      <c r="D12163" s="3" t="str">
        <f>IFERROR(__xludf.DUMMYFUNCTION("""COMPUTED_VALUE"""),"K0L 1Z0")</f>
        <v>K0L 1Z0</v>
      </c>
      <c r="E12163" s="3"/>
      <c r="F12163" s="3"/>
      <c r="G12163" s="3"/>
      <c r="H12163" s="3"/>
    </row>
    <row r="12164">
      <c r="A12164" s="2">
        <f>IFERROR(__xludf.DUMMYFUNCTION("""COMPUTED_VALUE"""),72378.0)</f>
        <v>72378</v>
      </c>
      <c r="B12164" s="3" t="str">
        <f>IFERROR(__xludf.DUMMYFUNCTION("""COMPUTED_VALUE"""),"1573 TRENT RIVER RD")</f>
        <v>1573 TRENT RIVER RD</v>
      </c>
      <c r="C12164" s="3" t="str">
        <f>IFERROR(__xludf.DUMMYFUNCTION("""COMPUTED_VALUE"""),"HAVELOCK")</f>
        <v>HAVELOCK</v>
      </c>
      <c r="D12164" s="3" t="str">
        <f>IFERROR(__xludf.DUMMYFUNCTION("""COMPUTED_VALUE"""),"K0L 1Z0")</f>
        <v>K0L 1Z0</v>
      </c>
      <c r="E12164" s="3"/>
      <c r="F12164" s="3"/>
      <c r="G12164" s="3"/>
      <c r="H12164" s="3"/>
    </row>
    <row r="12165">
      <c r="A12165" s="2">
        <f>IFERROR(__xludf.DUMMYFUNCTION("""COMPUTED_VALUE"""),72379.0)</f>
        <v>72379</v>
      </c>
      <c r="B12165" s="3" t="str">
        <f>IFERROR(__xludf.DUMMYFUNCTION("""COMPUTED_VALUE"""),"1581 TRENT RIVER RD")</f>
        <v>1581 TRENT RIVER RD</v>
      </c>
      <c r="C12165" s="3" t="str">
        <f>IFERROR(__xludf.DUMMYFUNCTION("""COMPUTED_VALUE"""),"HAVELOCK")</f>
        <v>HAVELOCK</v>
      </c>
      <c r="D12165" s="3" t="str">
        <f>IFERROR(__xludf.DUMMYFUNCTION("""COMPUTED_VALUE"""),"K0L 1Z0")</f>
        <v>K0L 1Z0</v>
      </c>
      <c r="E12165" s="3"/>
      <c r="F12165" s="3"/>
      <c r="G12165" s="3"/>
      <c r="H12165" s="3"/>
    </row>
    <row r="12166">
      <c r="A12166" s="2">
        <f>IFERROR(__xludf.DUMMYFUNCTION("""COMPUTED_VALUE"""),72380.0)</f>
        <v>72380</v>
      </c>
      <c r="B12166" s="3" t="str">
        <f>IFERROR(__xludf.DUMMYFUNCTION("""COMPUTED_VALUE"""),"1637 TRENT RIVER RD")</f>
        <v>1637 TRENT RIVER RD</v>
      </c>
      <c r="C12166" s="3" t="str">
        <f>IFERROR(__xludf.DUMMYFUNCTION("""COMPUTED_VALUE"""),"HAVELOCK")</f>
        <v>HAVELOCK</v>
      </c>
      <c r="D12166" s="3" t="str">
        <f>IFERROR(__xludf.DUMMYFUNCTION("""COMPUTED_VALUE"""),"K0L 1Z0")</f>
        <v>K0L 1Z0</v>
      </c>
      <c r="E12166" s="3" t="str">
        <f>IFERROR(__xludf.DUMMYFUNCTION("""COMPUTED_VALUE"""),"Michael Dewar ")</f>
        <v>Michael Dewar </v>
      </c>
      <c r="F12166" s="3" t="str">
        <f>IFERROR(__xludf.DUMMYFUNCTION("""COMPUTED_VALUE"""),"dewarmichael.5@gmail.com")</f>
        <v>dewarmichael.5@gmail.com</v>
      </c>
      <c r="G12166" s="3"/>
      <c r="H12166" s="3"/>
    </row>
    <row r="12167">
      <c r="A12167" s="2">
        <f>IFERROR(__xludf.DUMMYFUNCTION("""COMPUTED_VALUE"""),72381.0)</f>
        <v>72381</v>
      </c>
      <c r="B12167" s="3" t="str">
        <f>IFERROR(__xludf.DUMMYFUNCTION("""COMPUTED_VALUE"""),"1655 TRENT RIVER RD")</f>
        <v>1655 TRENT RIVER RD</v>
      </c>
      <c r="C12167" s="3" t="str">
        <f>IFERROR(__xludf.DUMMYFUNCTION("""COMPUTED_VALUE"""),"HAVELOCK")</f>
        <v>HAVELOCK</v>
      </c>
      <c r="D12167" s="3" t="str">
        <f>IFERROR(__xludf.DUMMYFUNCTION("""COMPUTED_VALUE"""),"K0L 1Z0")</f>
        <v>K0L 1Z0</v>
      </c>
      <c r="E12167" s="3" t="str">
        <f>IFERROR(__xludf.DUMMYFUNCTION("""COMPUTED_VALUE"""),"Eli Gedalof")</f>
        <v>Eli Gedalof</v>
      </c>
      <c r="F12167" s="3" t="str">
        <f>IFERROR(__xludf.DUMMYFUNCTION("""COMPUTED_VALUE"""),"egedalof@gmail.com")</f>
        <v>egedalof@gmail.com</v>
      </c>
      <c r="G12167" s="3">
        <f>IFERROR(__xludf.DUMMYFUNCTION("""COMPUTED_VALUE"""),4.167101664E9)</f>
        <v>4167101664</v>
      </c>
      <c r="H12167" s="3">
        <f>IFERROR(__xludf.DUMMYFUNCTION("""COMPUTED_VALUE"""),4.167950686E9)</f>
        <v>4167950686</v>
      </c>
    </row>
    <row r="12168">
      <c r="A12168" s="2">
        <f>IFERROR(__xludf.DUMMYFUNCTION("""COMPUTED_VALUE"""),72382.0)</f>
        <v>72382</v>
      </c>
      <c r="B12168" s="3" t="str">
        <f>IFERROR(__xludf.DUMMYFUNCTION("""COMPUTED_VALUE"""),"1759 TRENT RIVER RD")</f>
        <v>1759 TRENT RIVER RD</v>
      </c>
      <c r="C12168" s="3" t="str">
        <f>IFERROR(__xludf.DUMMYFUNCTION("""COMPUTED_VALUE"""),"HAVELOCK")</f>
        <v>HAVELOCK</v>
      </c>
      <c r="D12168" s="3" t="str">
        <f>IFERROR(__xludf.DUMMYFUNCTION("""COMPUTED_VALUE"""),"K0L 1Z0")</f>
        <v>K0L 1Z0</v>
      </c>
      <c r="E12168" s="3"/>
      <c r="F12168" s="3"/>
      <c r="G12168" s="3"/>
      <c r="H12168" s="3"/>
    </row>
    <row r="12169">
      <c r="A12169" s="2">
        <f>IFERROR(__xludf.DUMMYFUNCTION("""COMPUTED_VALUE"""),72383.0)</f>
        <v>72383</v>
      </c>
      <c r="B12169" s="3" t="str">
        <f>IFERROR(__xludf.DUMMYFUNCTION("""COMPUTED_VALUE"""),"1777 TRENT RIVER RD")</f>
        <v>1777 TRENT RIVER RD</v>
      </c>
      <c r="C12169" s="3" t="str">
        <f>IFERROR(__xludf.DUMMYFUNCTION("""COMPUTED_VALUE"""),"HAVELOCK")</f>
        <v>HAVELOCK</v>
      </c>
      <c r="D12169" s="3" t="str">
        <f>IFERROR(__xludf.DUMMYFUNCTION("""COMPUTED_VALUE"""),"K0L 1Z0")</f>
        <v>K0L 1Z0</v>
      </c>
      <c r="E12169" s="3"/>
      <c r="F12169" s="3"/>
      <c r="G12169" s="3"/>
      <c r="H12169" s="3"/>
    </row>
    <row r="12170">
      <c r="A12170" s="2">
        <f>IFERROR(__xludf.DUMMYFUNCTION("""COMPUTED_VALUE"""),72384.0)</f>
        <v>72384</v>
      </c>
      <c r="B12170" s="3" t="str">
        <f>IFERROR(__xludf.DUMMYFUNCTION("""COMPUTED_VALUE"""),"1789 TRENT RIVER RD")</f>
        <v>1789 TRENT RIVER RD</v>
      </c>
      <c r="C12170" s="3" t="str">
        <f>IFERROR(__xludf.DUMMYFUNCTION("""COMPUTED_VALUE"""),"HAVELOCK")</f>
        <v>HAVELOCK</v>
      </c>
      <c r="D12170" s="3" t="str">
        <f>IFERROR(__xludf.DUMMYFUNCTION("""COMPUTED_VALUE"""),"K0L 1Z0")</f>
        <v>K0L 1Z0</v>
      </c>
      <c r="E12170" s="3"/>
      <c r="F12170" s="3"/>
      <c r="G12170" s="3"/>
      <c r="H12170" s="3"/>
    </row>
    <row r="12171">
      <c r="A12171" s="2">
        <f>IFERROR(__xludf.DUMMYFUNCTION("""COMPUTED_VALUE"""),72385.0)</f>
        <v>72385</v>
      </c>
      <c r="B12171" s="3" t="str">
        <f>IFERROR(__xludf.DUMMYFUNCTION("""COMPUTED_VALUE"""),"1815 TRENT RIVER RD")</f>
        <v>1815 TRENT RIVER RD</v>
      </c>
      <c r="C12171" s="3" t="str">
        <f>IFERROR(__xludf.DUMMYFUNCTION("""COMPUTED_VALUE"""),"HAVELOCK")</f>
        <v>HAVELOCK</v>
      </c>
      <c r="D12171" s="3" t="str">
        <f>IFERROR(__xludf.DUMMYFUNCTION("""COMPUTED_VALUE"""),"K0L 1Z0")</f>
        <v>K0L 1Z0</v>
      </c>
      <c r="E12171" s="3" t="str">
        <f>IFERROR(__xludf.DUMMYFUNCTION("""COMPUTED_VALUE"""),"Valerie Phillips")</f>
        <v>Valerie Phillips</v>
      </c>
      <c r="F12171" s="3" t="str">
        <f>IFERROR(__xludf.DUMMYFUNCTION("""COMPUTED_VALUE"""),"valbeardmore@gmail.com")</f>
        <v>valbeardmore@gmail.com</v>
      </c>
      <c r="G12171" s="3">
        <f>IFERROR(__xludf.DUMMYFUNCTION("""COMPUTED_VALUE"""),7.057954283E9)</f>
        <v>7057954283</v>
      </c>
      <c r="H12171" s="3">
        <f>IFERROR(__xludf.DUMMYFUNCTION("""COMPUTED_VALUE"""),7.054481467E9)</f>
        <v>7054481467</v>
      </c>
    </row>
    <row r="12172">
      <c r="A12172" s="2">
        <f>IFERROR(__xludf.DUMMYFUNCTION("""COMPUTED_VALUE"""),72386.0)</f>
        <v>72386</v>
      </c>
      <c r="B12172" s="3" t="str">
        <f>IFERROR(__xludf.DUMMYFUNCTION("""COMPUTED_VALUE"""),"1825 TRENT RIVER RD")</f>
        <v>1825 TRENT RIVER RD</v>
      </c>
      <c r="C12172" s="3" t="str">
        <f>IFERROR(__xludf.DUMMYFUNCTION("""COMPUTED_VALUE"""),"HAVELOCK")</f>
        <v>HAVELOCK</v>
      </c>
      <c r="D12172" s="3" t="str">
        <f>IFERROR(__xludf.DUMMYFUNCTION("""COMPUTED_VALUE"""),"K0L 1Z0")</f>
        <v>K0L 1Z0</v>
      </c>
      <c r="E12172" s="3"/>
      <c r="F12172" s="3"/>
      <c r="G12172" s="3"/>
      <c r="H12172" s="3"/>
    </row>
    <row r="12173">
      <c r="A12173" s="2">
        <f>IFERROR(__xludf.DUMMYFUNCTION("""COMPUTED_VALUE"""),72387.0)</f>
        <v>72387</v>
      </c>
      <c r="B12173" s="3" t="str">
        <f>IFERROR(__xludf.DUMMYFUNCTION("""COMPUTED_VALUE"""),"1843 TRENT RIVER RD")</f>
        <v>1843 TRENT RIVER RD</v>
      </c>
      <c r="C12173" s="3" t="str">
        <f>IFERROR(__xludf.DUMMYFUNCTION("""COMPUTED_VALUE"""),"HAVELOCK")</f>
        <v>HAVELOCK</v>
      </c>
      <c r="D12173" s="3" t="str">
        <f>IFERROR(__xludf.DUMMYFUNCTION("""COMPUTED_VALUE"""),"K0L 1Z0")</f>
        <v>K0L 1Z0</v>
      </c>
      <c r="E12173" s="3"/>
      <c r="F12173" s="3"/>
      <c r="G12173" s="3"/>
      <c r="H12173" s="3"/>
    </row>
    <row r="12174">
      <c r="A12174" s="2">
        <f>IFERROR(__xludf.DUMMYFUNCTION("""COMPUTED_VALUE"""),72388.0)</f>
        <v>72388</v>
      </c>
      <c r="B12174" s="3" t="str">
        <f>IFERROR(__xludf.DUMMYFUNCTION("""COMPUTED_VALUE"""),"1889 TRENT RIVER RD")</f>
        <v>1889 TRENT RIVER RD</v>
      </c>
      <c r="C12174" s="3" t="str">
        <f>IFERROR(__xludf.DUMMYFUNCTION("""COMPUTED_VALUE"""),"HAVELOCK")</f>
        <v>HAVELOCK</v>
      </c>
      <c r="D12174" s="3" t="str">
        <f>IFERROR(__xludf.DUMMYFUNCTION("""COMPUTED_VALUE"""),"K0L 1Z0")</f>
        <v>K0L 1Z0</v>
      </c>
      <c r="E12174" s="3"/>
      <c r="F12174" s="3"/>
      <c r="G12174" s="3"/>
      <c r="H12174" s="3"/>
    </row>
    <row r="12175">
      <c r="A12175" s="2">
        <f>IFERROR(__xludf.DUMMYFUNCTION("""COMPUTED_VALUE"""),72389.0)</f>
        <v>72389</v>
      </c>
      <c r="B12175" s="3" t="str">
        <f>IFERROR(__xludf.DUMMYFUNCTION("""COMPUTED_VALUE"""),"723B TRENT RIVER RD")</f>
        <v>723B TRENT RIVER RD</v>
      </c>
      <c r="C12175" s="3" t="str">
        <f>IFERROR(__xludf.DUMMYFUNCTION("""COMPUTED_VALUE"""),"HAVELOCK")</f>
        <v>HAVELOCK</v>
      </c>
      <c r="D12175" s="3" t="str">
        <f>IFERROR(__xludf.DUMMYFUNCTION("""COMPUTED_VALUE"""),"K0L 1Z0")</f>
        <v>K0L 1Z0</v>
      </c>
      <c r="E12175" s="3"/>
      <c r="F12175" s="3"/>
      <c r="G12175" s="3"/>
      <c r="H12175" s="3"/>
    </row>
    <row r="12176">
      <c r="A12176" s="2">
        <f>IFERROR(__xludf.DUMMYFUNCTION("""COMPUTED_VALUE"""),72392.0)</f>
        <v>72392</v>
      </c>
      <c r="B12176" s="3" t="str">
        <f>IFERROR(__xludf.DUMMYFUNCTION("""COMPUTED_VALUE"""),"725D TRENT RIVER RD")</f>
        <v>725D TRENT RIVER RD</v>
      </c>
      <c r="C12176" s="3" t="str">
        <f>IFERROR(__xludf.DUMMYFUNCTION("""COMPUTED_VALUE"""),"HAVELOCK")</f>
        <v>HAVELOCK</v>
      </c>
      <c r="D12176" s="3" t="str">
        <f>IFERROR(__xludf.DUMMYFUNCTION("""COMPUTED_VALUE"""),"K0L 1Z0")</f>
        <v>K0L 1Z0</v>
      </c>
      <c r="E12176" s="3"/>
      <c r="F12176" s="3"/>
      <c r="G12176" s="3"/>
      <c r="H12176" s="3"/>
    </row>
    <row r="12177">
      <c r="A12177" s="2">
        <f>IFERROR(__xludf.DUMMYFUNCTION("""COMPUTED_VALUE"""),72409.0)</f>
        <v>72409</v>
      </c>
      <c r="B12177" s="3" t="str">
        <f>IFERROR(__xludf.DUMMYFUNCTION("""COMPUTED_VALUE"""),"1593A WADE RD")</f>
        <v>1593A WADE RD</v>
      </c>
      <c r="C12177" s="3" t="str">
        <f>IFERROR(__xludf.DUMMYFUNCTION("""COMPUTED_VALUE"""),"HAVELOCK")</f>
        <v>HAVELOCK</v>
      </c>
      <c r="D12177" s="3" t="str">
        <f>IFERROR(__xludf.DUMMYFUNCTION("""COMPUTED_VALUE"""),"K0L 1Z0")</f>
        <v>K0L 1Z0</v>
      </c>
      <c r="E12177" s="3"/>
      <c r="F12177" s="3"/>
      <c r="G12177" s="3"/>
      <c r="H12177" s="3"/>
    </row>
    <row r="12178">
      <c r="A12178" s="2">
        <f>IFERROR(__xludf.DUMMYFUNCTION("""COMPUTED_VALUE"""),72410.0)</f>
        <v>72410</v>
      </c>
      <c r="B12178" s="3" t="str">
        <f>IFERROR(__xludf.DUMMYFUNCTION("""COMPUTED_VALUE"""),"1593B WADE RD")</f>
        <v>1593B WADE RD</v>
      </c>
      <c r="C12178" s="3" t="str">
        <f>IFERROR(__xludf.DUMMYFUNCTION("""COMPUTED_VALUE"""),"HAVELOCK")</f>
        <v>HAVELOCK</v>
      </c>
      <c r="D12178" s="3" t="str">
        <f>IFERROR(__xludf.DUMMYFUNCTION("""COMPUTED_VALUE"""),"K0L 1Z0")</f>
        <v>K0L 1Z0</v>
      </c>
      <c r="E12178" s="3"/>
      <c r="F12178" s="3"/>
      <c r="G12178" s="3"/>
      <c r="H12178" s="3"/>
    </row>
    <row r="12179">
      <c r="A12179" s="2">
        <f>IFERROR(__xludf.DUMMYFUNCTION("""COMPUTED_VALUE"""),72411.0)</f>
        <v>72411</v>
      </c>
      <c r="B12179" s="3" t="str">
        <f>IFERROR(__xludf.DUMMYFUNCTION("""COMPUTED_VALUE"""),"1593C WADE RD")</f>
        <v>1593C WADE RD</v>
      </c>
      <c r="C12179" s="3" t="str">
        <f>IFERROR(__xludf.DUMMYFUNCTION("""COMPUTED_VALUE"""),"HAVELOCK")</f>
        <v>HAVELOCK</v>
      </c>
      <c r="D12179" s="3" t="str">
        <f>IFERROR(__xludf.DUMMYFUNCTION("""COMPUTED_VALUE"""),"K0L 1Z0")</f>
        <v>K0L 1Z0</v>
      </c>
      <c r="E12179" s="3"/>
      <c r="F12179" s="3"/>
      <c r="G12179" s="3"/>
      <c r="H12179" s="3"/>
    </row>
    <row r="12180">
      <c r="A12180" s="2">
        <f>IFERROR(__xludf.DUMMYFUNCTION("""COMPUTED_VALUE"""),72412.0)</f>
        <v>72412</v>
      </c>
      <c r="B12180" s="3" t="str">
        <f>IFERROR(__xludf.DUMMYFUNCTION("""COMPUTED_VALUE"""),"1593D WADE RD")</f>
        <v>1593D WADE RD</v>
      </c>
      <c r="C12180" s="3" t="str">
        <f>IFERROR(__xludf.DUMMYFUNCTION("""COMPUTED_VALUE"""),"HAVELOCK")</f>
        <v>HAVELOCK</v>
      </c>
      <c r="D12180" s="3" t="str">
        <f>IFERROR(__xludf.DUMMYFUNCTION("""COMPUTED_VALUE"""),"K0L 1Z0")</f>
        <v>K0L 1Z0</v>
      </c>
      <c r="E12180" s="3"/>
      <c r="F12180" s="3"/>
      <c r="G12180" s="3"/>
      <c r="H12180" s="3"/>
    </row>
    <row r="12181">
      <c r="A12181" s="2">
        <f>IFERROR(__xludf.DUMMYFUNCTION("""COMPUTED_VALUE"""),72413.0)</f>
        <v>72413</v>
      </c>
      <c r="B12181" s="3" t="str">
        <f>IFERROR(__xludf.DUMMYFUNCTION("""COMPUTED_VALUE"""),"1593E WADE RD")</f>
        <v>1593E WADE RD</v>
      </c>
      <c r="C12181" s="3" t="str">
        <f>IFERROR(__xludf.DUMMYFUNCTION("""COMPUTED_VALUE"""),"HAVELOCK")</f>
        <v>HAVELOCK</v>
      </c>
      <c r="D12181" s="3" t="str">
        <f>IFERROR(__xludf.DUMMYFUNCTION("""COMPUTED_VALUE"""),"K0L 1Z0")</f>
        <v>K0L 1Z0</v>
      </c>
      <c r="E12181" s="3"/>
      <c r="F12181" s="3"/>
      <c r="G12181" s="3"/>
      <c r="H12181" s="3"/>
    </row>
    <row r="12182">
      <c r="A12182" s="2">
        <f>IFERROR(__xludf.DUMMYFUNCTION("""COMPUTED_VALUE"""),72414.0)</f>
        <v>72414</v>
      </c>
      <c r="B12182" s="3" t="str">
        <f>IFERROR(__xludf.DUMMYFUNCTION("""COMPUTED_VALUE"""),"1593F WADE RD")</f>
        <v>1593F WADE RD</v>
      </c>
      <c r="C12182" s="3" t="str">
        <f>IFERROR(__xludf.DUMMYFUNCTION("""COMPUTED_VALUE"""),"HAVELOCK")</f>
        <v>HAVELOCK</v>
      </c>
      <c r="D12182" s="3" t="str">
        <f>IFERROR(__xludf.DUMMYFUNCTION("""COMPUTED_VALUE"""),"K0L 1Z0")</f>
        <v>K0L 1Z0</v>
      </c>
      <c r="E12182" s="3"/>
      <c r="F12182" s="3"/>
      <c r="G12182" s="3"/>
      <c r="H12182" s="3"/>
    </row>
    <row r="12183">
      <c r="A12183" s="2">
        <f>IFERROR(__xludf.DUMMYFUNCTION("""COMPUTED_VALUE"""),72415.0)</f>
        <v>72415</v>
      </c>
      <c r="B12183" s="3" t="str">
        <f>IFERROR(__xludf.DUMMYFUNCTION("""COMPUTED_VALUE"""),"1593G WADE RD")</f>
        <v>1593G WADE RD</v>
      </c>
      <c r="C12183" s="3" t="str">
        <f>IFERROR(__xludf.DUMMYFUNCTION("""COMPUTED_VALUE"""),"HAVELOCK")</f>
        <v>HAVELOCK</v>
      </c>
      <c r="D12183" s="3" t="str">
        <f>IFERROR(__xludf.DUMMYFUNCTION("""COMPUTED_VALUE"""),"K0L 1Z0")</f>
        <v>K0L 1Z0</v>
      </c>
      <c r="E12183" s="3"/>
      <c r="F12183" s="3"/>
      <c r="G12183" s="3"/>
      <c r="H12183" s="3"/>
    </row>
    <row r="12184">
      <c r="A12184" s="2">
        <f>IFERROR(__xludf.DUMMYFUNCTION("""COMPUTED_VALUE"""),72416.0)</f>
        <v>72416</v>
      </c>
      <c r="B12184" s="3" t="str">
        <f>IFERROR(__xludf.DUMMYFUNCTION("""COMPUTED_VALUE"""),"1593H WADE RD")</f>
        <v>1593H WADE RD</v>
      </c>
      <c r="C12184" s="3" t="str">
        <f>IFERROR(__xludf.DUMMYFUNCTION("""COMPUTED_VALUE"""),"HAVELOCK")</f>
        <v>HAVELOCK</v>
      </c>
      <c r="D12184" s="3" t="str">
        <f>IFERROR(__xludf.DUMMYFUNCTION("""COMPUTED_VALUE"""),"K0L 1Z0")</f>
        <v>K0L 1Z0</v>
      </c>
      <c r="E12184" s="3"/>
      <c r="F12184" s="3"/>
      <c r="G12184" s="3"/>
      <c r="H12184" s="3"/>
    </row>
    <row r="12185">
      <c r="A12185" s="2">
        <f>IFERROR(__xludf.DUMMYFUNCTION("""COMPUTED_VALUE"""),72417.0)</f>
        <v>72417</v>
      </c>
      <c r="B12185" s="3" t="str">
        <f>IFERROR(__xludf.DUMMYFUNCTION("""COMPUTED_VALUE"""),"1593I WADE RD")</f>
        <v>1593I WADE RD</v>
      </c>
      <c r="C12185" s="3" t="str">
        <f>IFERROR(__xludf.DUMMYFUNCTION("""COMPUTED_VALUE"""),"HAVELOCK")</f>
        <v>HAVELOCK</v>
      </c>
      <c r="D12185" s="3" t="str">
        <f>IFERROR(__xludf.DUMMYFUNCTION("""COMPUTED_VALUE"""),"K0L 1Z0")</f>
        <v>K0L 1Z0</v>
      </c>
      <c r="E12185" s="3"/>
      <c r="F12185" s="3"/>
      <c r="G12185" s="3"/>
      <c r="H12185" s="3"/>
    </row>
    <row r="12186">
      <c r="A12186" s="2">
        <f>IFERROR(__xludf.DUMMYFUNCTION("""COMPUTED_VALUE"""),72418.0)</f>
        <v>72418</v>
      </c>
      <c r="B12186" s="3" t="str">
        <f>IFERROR(__xludf.DUMMYFUNCTION("""COMPUTED_VALUE"""),"1593J WADE RD")</f>
        <v>1593J WADE RD</v>
      </c>
      <c r="C12186" s="3" t="str">
        <f>IFERROR(__xludf.DUMMYFUNCTION("""COMPUTED_VALUE"""),"HAVELOCK")</f>
        <v>HAVELOCK</v>
      </c>
      <c r="D12186" s="3" t="str">
        <f>IFERROR(__xludf.DUMMYFUNCTION("""COMPUTED_VALUE"""),"K0L 1Z0")</f>
        <v>K0L 1Z0</v>
      </c>
      <c r="E12186" s="3"/>
      <c r="F12186" s="3"/>
      <c r="G12186" s="3"/>
      <c r="H12186" s="3"/>
    </row>
    <row r="12187">
      <c r="A12187" s="2">
        <f>IFERROR(__xludf.DUMMYFUNCTION("""COMPUTED_VALUE"""),72420.0)</f>
        <v>72420</v>
      </c>
      <c r="B12187" s="3" t="str">
        <f>IFERROR(__xludf.DUMMYFUNCTION("""COMPUTED_VALUE"""),"13 WATER LANE")</f>
        <v>13 WATER LANE</v>
      </c>
      <c r="C12187" s="3" t="str">
        <f>IFERROR(__xludf.DUMMYFUNCTION("""COMPUTED_VALUE"""),"CAMPBELLFORD")</f>
        <v>CAMPBELLFORD</v>
      </c>
      <c r="D12187" s="3" t="str">
        <f>IFERROR(__xludf.DUMMYFUNCTION("""COMPUTED_VALUE"""),"K0L 1L0")</f>
        <v>K0L 1L0</v>
      </c>
      <c r="E12187" s="3" t="str">
        <f>IFERROR(__xludf.DUMMYFUNCTION("""COMPUTED_VALUE"""),"Devin Edwards")</f>
        <v>Devin Edwards</v>
      </c>
      <c r="F12187" s="3" t="str">
        <f>IFERROR(__xludf.DUMMYFUNCTION("""COMPUTED_VALUE"""),"Devinpledwards@live.com")</f>
        <v>Devinpledwards@live.com</v>
      </c>
      <c r="G12187" s="3">
        <f>IFERROR(__xludf.DUMMYFUNCTION("""COMPUTED_VALUE"""),7.056320576E9)</f>
        <v>7056320576</v>
      </c>
      <c r="H12187" s="3"/>
    </row>
    <row r="12188">
      <c r="A12188" s="2">
        <f>IFERROR(__xludf.DUMMYFUNCTION("""COMPUTED_VALUE"""),72421.0)</f>
        <v>72421</v>
      </c>
      <c r="B12188" s="3" t="str">
        <f>IFERROR(__xludf.DUMMYFUNCTION("""COMPUTED_VALUE"""),"2 WHISPERING WTR RD")</f>
        <v>2 WHISPERING WTR RD</v>
      </c>
      <c r="C12188" s="3" t="str">
        <f>IFERROR(__xludf.DUMMYFUNCTION("""COMPUTED_VALUE"""),"MARMORA")</f>
        <v>MARMORA</v>
      </c>
      <c r="D12188" s="3" t="str">
        <f>IFERROR(__xludf.DUMMYFUNCTION("""COMPUTED_VALUE"""),"K0K 2M0")</f>
        <v>K0K 2M0</v>
      </c>
      <c r="E12188" s="3"/>
      <c r="F12188" s="3"/>
      <c r="G12188" s="3"/>
      <c r="H12188" s="3"/>
    </row>
    <row r="12189">
      <c r="A12189" s="2">
        <f>IFERROR(__xludf.DUMMYFUNCTION("""COMPUTED_VALUE"""),72422.0)</f>
        <v>72422</v>
      </c>
      <c r="B12189" s="3" t="str">
        <f>IFERROR(__xludf.DUMMYFUNCTION("""COMPUTED_VALUE"""),"4 WHISPERING WTR RD")</f>
        <v>4 WHISPERING WTR RD</v>
      </c>
      <c r="C12189" s="3" t="str">
        <f>IFERROR(__xludf.DUMMYFUNCTION("""COMPUTED_VALUE"""),"MARMORA")</f>
        <v>MARMORA</v>
      </c>
      <c r="D12189" s="3" t="str">
        <f>IFERROR(__xludf.DUMMYFUNCTION("""COMPUTED_VALUE"""),"K0K 2M0")</f>
        <v>K0K 2M0</v>
      </c>
      <c r="E12189" s="3"/>
      <c r="F12189" s="3"/>
      <c r="G12189" s="3"/>
      <c r="H12189" s="3"/>
    </row>
    <row r="12190">
      <c r="A12190" s="2">
        <f>IFERROR(__xludf.DUMMYFUNCTION("""COMPUTED_VALUE"""),72423.0)</f>
        <v>72423</v>
      </c>
      <c r="B12190" s="3" t="str">
        <f>IFERROR(__xludf.DUMMYFUNCTION("""COMPUTED_VALUE"""),"8 WHISPERING WTR RD")</f>
        <v>8 WHISPERING WTR RD</v>
      </c>
      <c r="C12190" s="3" t="str">
        <f>IFERROR(__xludf.DUMMYFUNCTION("""COMPUTED_VALUE"""),"MARMORA")</f>
        <v>MARMORA</v>
      </c>
      <c r="D12190" s="3" t="str">
        <f>IFERROR(__xludf.DUMMYFUNCTION("""COMPUTED_VALUE"""),"K0K 2M0")</f>
        <v>K0K 2M0</v>
      </c>
      <c r="E12190" s="3"/>
      <c r="F12190" s="3"/>
      <c r="G12190" s="3"/>
      <c r="H12190" s="3"/>
    </row>
    <row r="12191">
      <c r="A12191" s="2">
        <f>IFERROR(__xludf.DUMMYFUNCTION("""COMPUTED_VALUE"""),72424.0)</f>
        <v>72424</v>
      </c>
      <c r="B12191" s="3" t="str">
        <f>IFERROR(__xludf.DUMMYFUNCTION("""COMPUTED_VALUE"""),"9 WHISPERING WTR RD")</f>
        <v>9 WHISPERING WTR RD</v>
      </c>
      <c r="C12191" s="3" t="str">
        <f>IFERROR(__xludf.DUMMYFUNCTION("""COMPUTED_VALUE"""),"MARMORA")</f>
        <v>MARMORA</v>
      </c>
      <c r="D12191" s="3" t="str">
        <f>IFERROR(__xludf.DUMMYFUNCTION("""COMPUTED_VALUE"""),"K0K 2M0")</f>
        <v>K0K 2M0</v>
      </c>
      <c r="E12191" s="3" t="str">
        <f>IFERROR(__xludf.DUMMYFUNCTION("""COMPUTED_VALUE"""),"Beth &amp; (Douglas?) Fillier")</f>
        <v>Beth &amp; (Douglas?) Fillier</v>
      </c>
      <c r="F12191" s="3" t="str">
        <f>IFERROR(__xludf.DUMMYFUNCTION("""COMPUTED_VALUE"""),"thefilliers@gmail.com")</f>
        <v>thefilliers@gmail.com</v>
      </c>
      <c r="G12191" s="3"/>
      <c r="H12191" s="3"/>
    </row>
    <row r="12192">
      <c r="A12192" s="2">
        <f>IFERROR(__xludf.DUMMYFUNCTION("""COMPUTED_VALUE"""),72425.0)</f>
        <v>72425</v>
      </c>
      <c r="B12192" s="3" t="str">
        <f>IFERROR(__xludf.DUMMYFUNCTION("""COMPUTED_VALUE"""),"12 WHISPERING WTR RD")</f>
        <v>12 WHISPERING WTR RD</v>
      </c>
      <c r="C12192" s="3" t="str">
        <f>IFERROR(__xludf.DUMMYFUNCTION("""COMPUTED_VALUE"""),"MARMORA")</f>
        <v>MARMORA</v>
      </c>
      <c r="D12192" s="3" t="str">
        <f>IFERROR(__xludf.DUMMYFUNCTION("""COMPUTED_VALUE"""),"K0K 2M0")</f>
        <v>K0K 2M0</v>
      </c>
      <c r="E12192" s="3"/>
      <c r="F12192" s="3"/>
      <c r="G12192" s="3"/>
      <c r="H12192" s="3"/>
    </row>
    <row r="12193">
      <c r="A12193" s="2">
        <f>IFERROR(__xludf.DUMMYFUNCTION("""COMPUTED_VALUE"""),72426.0)</f>
        <v>72426</v>
      </c>
      <c r="B12193" s="3" t="str">
        <f>IFERROR(__xludf.DUMMYFUNCTION("""COMPUTED_VALUE"""),"13 WHISPERING WTR RD")</f>
        <v>13 WHISPERING WTR RD</v>
      </c>
      <c r="C12193" s="3" t="str">
        <f>IFERROR(__xludf.DUMMYFUNCTION("""COMPUTED_VALUE"""),"MARMORA")</f>
        <v>MARMORA</v>
      </c>
      <c r="D12193" s="3" t="str">
        <f>IFERROR(__xludf.DUMMYFUNCTION("""COMPUTED_VALUE"""),"K0K 2M0")</f>
        <v>K0K 2M0</v>
      </c>
      <c r="E12193" s="3"/>
      <c r="F12193" s="3"/>
      <c r="G12193" s="3"/>
      <c r="H12193" s="3"/>
    </row>
    <row r="12194">
      <c r="A12194" s="2">
        <f>IFERROR(__xludf.DUMMYFUNCTION("""COMPUTED_VALUE"""),72427.0)</f>
        <v>72427</v>
      </c>
      <c r="B12194" s="3" t="str">
        <f>IFERROR(__xludf.DUMMYFUNCTION("""COMPUTED_VALUE"""),"16 WHISPERING WTR RD")</f>
        <v>16 WHISPERING WTR RD</v>
      </c>
      <c r="C12194" s="3" t="str">
        <f>IFERROR(__xludf.DUMMYFUNCTION("""COMPUTED_VALUE"""),"MARMORA")</f>
        <v>MARMORA</v>
      </c>
      <c r="D12194" s="3" t="str">
        <f>IFERROR(__xludf.DUMMYFUNCTION("""COMPUTED_VALUE"""),"K0K 2M0")</f>
        <v>K0K 2M0</v>
      </c>
      <c r="E12194" s="3"/>
      <c r="F12194" s="3"/>
      <c r="G12194" s="3"/>
      <c r="H12194" s="3"/>
    </row>
    <row r="12195">
      <c r="A12195" s="2">
        <f>IFERROR(__xludf.DUMMYFUNCTION("""COMPUTED_VALUE"""),72428.0)</f>
        <v>72428</v>
      </c>
      <c r="B12195" s="3" t="str">
        <f>IFERROR(__xludf.DUMMYFUNCTION("""COMPUTED_VALUE"""),"17 WHISPERING WATERS RD")</f>
        <v>17 WHISPERING WATERS RD</v>
      </c>
      <c r="C12195" s="3" t="str">
        <f>IFERROR(__xludf.DUMMYFUNCTION("""COMPUTED_VALUE"""),"MARMORA")</f>
        <v>MARMORA</v>
      </c>
      <c r="D12195" s="3" t="str">
        <f>IFERROR(__xludf.DUMMYFUNCTION("""COMPUTED_VALUE"""),"K0K 2M0")</f>
        <v>K0K 2M0</v>
      </c>
      <c r="E12195" s="3"/>
      <c r="F12195" s="3"/>
      <c r="G12195" s="3"/>
      <c r="H12195" s="3"/>
    </row>
    <row r="12196">
      <c r="A12196" s="2">
        <f>IFERROR(__xludf.DUMMYFUNCTION("""COMPUTED_VALUE"""),72429.0)</f>
        <v>72429</v>
      </c>
      <c r="B12196" s="3" t="str">
        <f>IFERROR(__xludf.DUMMYFUNCTION("""COMPUTED_VALUE"""),"18 WHISPERING WTR RD")</f>
        <v>18 WHISPERING WTR RD</v>
      </c>
      <c r="C12196" s="3" t="str">
        <f>IFERROR(__xludf.DUMMYFUNCTION("""COMPUTED_VALUE"""),"MARMORA")</f>
        <v>MARMORA</v>
      </c>
      <c r="D12196" s="3" t="str">
        <f>IFERROR(__xludf.DUMMYFUNCTION("""COMPUTED_VALUE"""),"K0K 2M0")</f>
        <v>K0K 2M0</v>
      </c>
      <c r="E12196" s="3"/>
      <c r="F12196" s="3"/>
      <c r="G12196" s="3"/>
      <c r="H12196" s="3"/>
    </row>
    <row r="12197">
      <c r="A12197" s="2">
        <f>IFERROR(__xludf.DUMMYFUNCTION("""COMPUTED_VALUE"""),72430.0)</f>
        <v>72430</v>
      </c>
      <c r="B12197" s="3" t="str">
        <f>IFERROR(__xludf.DUMMYFUNCTION("""COMPUTED_VALUE"""),"23 WHISPERING WATERS RD")</f>
        <v>23 WHISPERING WATERS RD</v>
      </c>
      <c r="C12197" s="3" t="str">
        <f>IFERROR(__xludf.DUMMYFUNCTION("""COMPUTED_VALUE"""),"MARMORA")</f>
        <v>MARMORA</v>
      </c>
      <c r="D12197" s="3" t="str">
        <f>IFERROR(__xludf.DUMMYFUNCTION("""COMPUTED_VALUE"""),"K0K 2M0")</f>
        <v>K0K 2M0</v>
      </c>
      <c r="E12197" s="3"/>
      <c r="F12197" s="3"/>
      <c r="G12197" s="3"/>
      <c r="H12197" s="3"/>
    </row>
    <row r="12198">
      <c r="A12198" s="2">
        <f>IFERROR(__xludf.DUMMYFUNCTION("""COMPUTED_VALUE"""),72431.0)</f>
        <v>72431</v>
      </c>
      <c r="B12198" s="3" t="str">
        <f>IFERROR(__xludf.DUMMYFUNCTION("""COMPUTED_VALUE"""),"26 WHISPERING WTR RD")</f>
        <v>26 WHISPERING WTR RD</v>
      </c>
      <c r="C12198" s="3" t="str">
        <f>IFERROR(__xludf.DUMMYFUNCTION("""COMPUTED_VALUE"""),"MARMORA")</f>
        <v>MARMORA</v>
      </c>
      <c r="D12198" s="3" t="str">
        <f>IFERROR(__xludf.DUMMYFUNCTION("""COMPUTED_VALUE"""),"K0K 2M0")</f>
        <v>K0K 2M0</v>
      </c>
      <c r="E12198" s="3"/>
      <c r="F12198" s="3"/>
      <c r="G12198" s="3"/>
      <c r="H12198" s="3"/>
    </row>
    <row r="12199">
      <c r="A12199" s="2">
        <f>IFERROR(__xludf.DUMMYFUNCTION("""COMPUTED_VALUE"""),72432.0)</f>
        <v>72432</v>
      </c>
      <c r="B12199" s="3" t="str">
        <f>IFERROR(__xludf.DUMMYFUNCTION("""COMPUTED_VALUE"""),"30 WHISPERING WTR RD")</f>
        <v>30 WHISPERING WTR RD</v>
      </c>
      <c r="C12199" s="3" t="str">
        <f>IFERROR(__xludf.DUMMYFUNCTION("""COMPUTED_VALUE"""),"MARMORA")</f>
        <v>MARMORA</v>
      </c>
      <c r="D12199" s="3" t="str">
        <f>IFERROR(__xludf.DUMMYFUNCTION("""COMPUTED_VALUE"""),"K0K 2M0")</f>
        <v>K0K 2M0</v>
      </c>
      <c r="E12199" s="3"/>
      <c r="F12199" s="3"/>
      <c r="G12199" s="3"/>
      <c r="H12199" s="3"/>
    </row>
    <row r="12200">
      <c r="A12200" s="2">
        <f>IFERROR(__xludf.DUMMYFUNCTION("""COMPUTED_VALUE"""),72433.0)</f>
        <v>72433</v>
      </c>
      <c r="B12200" s="3" t="str">
        <f>IFERROR(__xludf.DUMMYFUNCTION("""COMPUTED_VALUE"""),"35 WHISPERING WTR RD")</f>
        <v>35 WHISPERING WTR RD</v>
      </c>
      <c r="C12200" s="3" t="str">
        <f>IFERROR(__xludf.DUMMYFUNCTION("""COMPUTED_VALUE"""),"MARMORA")</f>
        <v>MARMORA</v>
      </c>
      <c r="D12200" s="3" t="str">
        <f>IFERROR(__xludf.DUMMYFUNCTION("""COMPUTED_VALUE"""),"K0K 2M0")</f>
        <v>K0K 2M0</v>
      </c>
      <c r="E12200" s="3"/>
      <c r="F12200" s="3"/>
      <c r="G12200" s="3"/>
      <c r="H12200" s="3"/>
    </row>
    <row r="12201">
      <c r="A12201" s="2">
        <f>IFERROR(__xludf.DUMMYFUNCTION("""COMPUTED_VALUE"""),72434.0)</f>
        <v>72434</v>
      </c>
      <c r="B12201" s="3" t="str">
        <f>IFERROR(__xludf.DUMMYFUNCTION("""COMPUTED_VALUE"""),"36 WHISPERING WTR RD")</f>
        <v>36 WHISPERING WTR RD</v>
      </c>
      <c r="C12201" s="3" t="str">
        <f>IFERROR(__xludf.DUMMYFUNCTION("""COMPUTED_VALUE"""),"MARMORA")</f>
        <v>MARMORA</v>
      </c>
      <c r="D12201" s="3" t="str">
        <f>IFERROR(__xludf.DUMMYFUNCTION("""COMPUTED_VALUE"""),"K0K 2M0")</f>
        <v>K0K 2M0</v>
      </c>
      <c r="E12201" s="3"/>
      <c r="F12201" s="3"/>
      <c r="G12201" s="3"/>
      <c r="H12201" s="3"/>
    </row>
    <row r="12202">
      <c r="A12202" s="2">
        <f>IFERROR(__xludf.DUMMYFUNCTION("""COMPUTED_VALUE"""),72435.0)</f>
        <v>72435</v>
      </c>
      <c r="B12202" s="3" t="str">
        <f>IFERROR(__xludf.DUMMYFUNCTION("""COMPUTED_VALUE"""),"40 WHISPERING WTR RD")</f>
        <v>40 WHISPERING WTR RD</v>
      </c>
      <c r="C12202" s="3" t="str">
        <f>IFERROR(__xludf.DUMMYFUNCTION("""COMPUTED_VALUE"""),"MARMORA")</f>
        <v>MARMORA</v>
      </c>
      <c r="D12202" s="3" t="str">
        <f>IFERROR(__xludf.DUMMYFUNCTION("""COMPUTED_VALUE"""),"K0K 2M0")</f>
        <v>K0K 2M0</v>
      </c>
      <c r="E12202" s="3"/>
      <c r="F12202" s="3"/>
      <c r="G12202" s="3"/>
      <c r="H12202" s="3"/>
    </row>
    <row r="12203">
      <c r="A12203" s="2">
        <f>IFERROR(__xludf.DUMMYFUNCTION("""COMPUTED_VALUE"""),72436.0)</f>
        <v>72436</v>
      </c>
      <c r="B12203" s="3" t="str">
        <f>IFERROR(__xludf.DUMMYFUNCTION("""COMPUTED_VALUE"""),"41 WHISPERING WTR RD")</f>
        <v>41 WHISPERING WTR RD</v>
      </c>
      <c r="C12203" s="3" t="str">
        <f>IFERROR(__xludf.DUMMYFUNCTION("""COMPUTED_VALUE"""),"MARMORA")</f>
        <v>MARMORA</v>
      </c>
      <c r="D12203" s="3" t="str">
        <f>IFERROR(__xludf.DUMMYFUNCTION("""COMPUTED_VALUE"""),"K0K 2M0")</f>
        <v>K0K 2M0</v>
      </c>
      <c r="E12203" s="3"/>
      <c r="F12203" s="3"/>
      <c r="G12203" s="3"/>
      <c r="H12203" s="3"/>
    </row>
    <row r="12204">
      <c r="A12204" s="2">
        <f>IFERROR(__xludf.DUMMYFUNCTION("""COMPUTED_VALUE"""),72437.0)</f>
        <v>72437</v>
      </c>
      <c r="B12204" s="3" t="str">
        <f>IFERROR(__xludf.DUMMYFUNCTION("""COMPUTED_VALUE"""),"47 WHISPERING WTR RD")</f>
        <v>47 WHISPERING WTR RD</v>
      </c>
      <c r="C12204" s="3" t="str">
        <f>IFERROR(__xludf.DUMMYFUNCTION("""COMPUTED_VALUE"""),"MARMORA")</f>
        <v>MARMORA</v>
      </c>
      <c r="D12204" s="3" t="str">
        <f>IFERROR(__xludf.DUMMYFUNCTION("""COMPUTED_VALUE"""),"K0K 2M0")</f>
        <v>K0K 2M0</v>
      </c>
      <c r="E12204" s="3"/>
      <c r="F12204" s="3"/>
      <c r="G12204" s="3"/>
      <c r="H12204" s="3"/>
    </row>
    <row r="12205">
      <c r="A12205" s="2">
        <f>IFERROR(__xludf.DUMMYFUNCTION("""COMPUTED_VALUE"""),72438.0)</f>
        <v>72438</v>
      </c>
      <c r="B12205" s="3" t="str">
        <f>IFERROR(__xludf.DUMMYFUNCTION("""COMPUTED_VALUE"""),"48 WHISPERING WTR RD")</f>
        <v>48 WHISPERING WTR RD</v>
      </c>
      <c r="C12205" s="3" t="str">
        <f>IFERROR(__xludf.DUMMYFUNCTION("""COMPUTED_VALUE"""),"MARMORA")</f>
        <v>MARMORA</v>
      </c>
      <c r="D12205" s="3" t="str">
        <f>IFERROR(__xludf.DUMMYFUNCTION("""COMPUTED_VALUE"""),"K0K 2M0")</f>
        <v>K0K 2M0</v>
      </c>
      <c r="E12205" s="3"/>
      <c r="F12205" s="3"/>
      <c r="G12205" s="3"/>
      <c r="H12205" s="3"/>
    </row>
    <row r="12206">
      <c r="A12206" s="2">
        <f>IFERROR(__xludf.DUMMYFUNCTION("""COMPUTED_VALUE"""),72439.0)</f>
        <v>72439</v>
      </c>
      <c r="B12206" s="3" t="str">
        <f>IFERROR(__xludf.DUMMYFUNCTION("""COMPUTED_VALUE"""),"49 WHISPERING WTR RD")</f>
        <v>49 WHISPERING WTR RD</v>
      </c>
      <c r="C12206" s="3" t="str">
        <f>IFERROR(__xludf.DUMMYFUNCTION("""COMPUTED_VALUE"""),"MARMORA")</f>
        <v>MARMORA</v>
      </c>
      <c r="D12206" s="3" t="str">
        <f>IFERROR(__xludf.DUMMYFUNCTION("""COMPUTED_VALUE"""),"K0K 2M0")</f>
        <v>K0K 2M0</v>
      </c>
      <c r="E12206" s="3"/>
      <c r="F12206" s="3"/>
      <c r="G12206" s="3"/>
      <c r="H12206" s="3"/>
    </row>
    <row r="12207">
      <c r="A12207" s="2">
        <f>IFERROR(__xludf.DUMMYFUNCTION("""COMPUTED_VALUE"""),72440.0)</f>
        <v>72440</v>
      </c>
      <c r="B12207" s="3" t="str">
        <f>IFERROR(__xludf.DUMMYFUNCTION("""COMPUTED_VALUE"""),"52 WHISPERING WTR RD")</f>
        <v>52 WHISPERING WTR RD</v>
      </c>
      <c r="C12207" s="3" t="str">
        <f>IFERROR(__xludf.DUMMYFUNCTION("""COMPUTED_VALUE"""),"MARMORA")</f>
        <v>MARMORA</v>
      </c>
      <c r="D12207" s="3" t="str">
        <f>IFERROR(__xludf.DUMMYFUNCTION("""COMPUTED_VALUE"""),"K0K 2M0")</f>
        <v>K0K 2M0</v>
      </c>
      <c r="E12207" s="3"/>
      <c r="F12207" s="3"/>
      <c r="G12207" s="3"/>
      <c r="H12207" s="3"/>
    </row>
    <row r="12208">
      <c r="A12208" s="2">
        <f>IFERROR(__xludf.DUMMYFUNCTION("""COMPUTED_VALUE"""),72441.0)</f>
        <v>72441</v>
      </c>
      <c r="B12208" s="3" t="str">
        <f>IFERROR(__xludf.DUMMYFUNCTION("""COMPUTED_VALUE"""),"60 WHISPERING WTR RD")</f>
        <v>60 WHISPERING WTR RD</v>
      </c>
      <c r="C12208" s="3" t="str">
        <f>IFERROR(__xludf.DUMMYFUNCTION("""COMPUTED_VALUE"""),"MARMORA")</f>
        <v>MARMORA</v>
      </c>
      <c r="D12208" s="3" t="str">
        <f>IFERROR(__xludf.DUMMYFUNCTION("""COMPUTED_VALUE"""),"K0K 2M0")</f>
        <v>K0K 2M0</v>
      </c>
      <c r="E12208" s="3"/>
      <c r="F12208" s="3"/>
      <c r="G12208" s="3"/>
      <c r="H12208" s="3"/>
    </row>
    <row r="12209">
      <c r="A12209" s="2">
        <f>IFERROR(__xludf.DUMMYFUNCTION("""COMPUTED_VALUE"""),72442.0)</f>
        <v>72442</v>
      </c>
      <c r="B12209" s="3" t="str">
        <f>IFERROR(__xludf.DUMMYFUNCTION("""COMPUTED_VALUE"""),"66 WHISPERING WTR RD")</f>
        <v>66 WHISPERING WTR RD</v>
      </c>
      <c r="C12209" s="3" t="str">
        <f>IFERROR(__xludf.DUMMYFUNCTION("""COMPUTED_VALUE"""),"MARMORA")</f>
        <v>MARMORA</v>
      </c>
      <c r="D12209" s="3" t="str">
        <f>IFERROR(__xludf.DUMMYFUNCTION("""COMPUTED_VALUE"""),"K0K 2M0")</f>
        <v>K0K 2M0</v>
      </c>
      <c r="E12209" s="3"/>
      <c r="F12209" s="3"/>
      <c r="G12209" s="3"/>
      <c r="H12209" s="3"/>
    </row>
    <row r="12210">
      <c r="A12210" s="2">
        <f>IFERROR(__xludf.DUMMYFUNCTION("""COMPUTED_VALUE"""),72443.0)</f>
        <v>72443</v>
      </c>
      <c r="B12210" s="3" t="str">
        <f>IFERROR(__xludf.DUMMYFUNCTION("""COMPUTED_VALUE"""),"70 WHISPERING WTR RD")</f>
        <v>70 WHISPERING WTR RD</v>
      </c>
      <c r="C12210" s="3" t="str">
        <f>IFERROR(__xludf.DUMMYFUNCTION("""COMPUTED_VALUE"""),"MARMORA")</f>
        <v>MARMORA</v>
      </c>
      <c r="D12210" s="3" t="str">
        <f>IFERROR(__xludf.DUMMYFUNCTION("""COMPUTED_VALUE"""),"K0K 2M0")</f>
        <v>K0K 2M0</v>
      </c>
      <c r="E12210" s="3"/>
      <c r="F12210" s="3"/>
      <c r="G12210" s="3"/>
      <c r="H12210" s="3"/>
    </row>
    <row r="12211">
      <c r="A12211" s="2">
        <f>IFERROR(__xludf.DUMMYFUNCTION("""COMPUTED_VALUE"""),72444.0)</f>
        <v>72444</v>
      </c>
      <c r="B12211" s="3" t="str">
        <f>IFERROR(__xludf.DUMMYFUNCTION("""COMPUTED_VALUE"""),"76 WHISPERING WTR RD")</f>
        <v>76 WHISPERING WTR RD</v>
      </c>
      <c r="C12211" s="3" t="str">
        <f>IFERROR(__xludf.DUMMYFUNCTION("""COMPUTED_VALUE"""),"MARMORA")</f>
        <v>MARMORA</v>
      </c>
      <c r="D12211" s="3" t="str">
        <f>IFERROR(__xludf.DUMMYFUNCTION("""COMPUTED_VALUE"""),"K0K 2M0")</f>
        <v>K0K 2M0</v>
      </c>
      <c r="E12211" s="3" t="str">
        <f>IFERROR(__xludf.DUMMYFUNCTION("""COMPUTED_VALUE"""),"Charles Love")</f>
        <v>Charles Love</v>
      </c>
      <c r="F12211" s="3" t="str">
        <f>IFERROR(__xludf.DUMMYFUNCTION("""COMPUTED_VALUE"""),"charleshlove@gmail.com")</f>
        <v>charleshlove@gmail.com</v>
      </c>
      <c r="G12211" s="3"/>
      <c r="H12211" s="3"/>
    </row>
    <row r="12212">
      <c r="A12212" s="2">
        <f>IFERROR(__xludf.DUMMYFUNCTION("""COMPUTED_VALUE"""),72445.0)</f>
        <v>72445</v>
      </c>
      <c r="B12212" s="3" t="str">
        <f>IFERROR(__xludf.DUMMYFUNCTION("""COMPUTED_VALUE"""),"78 WHISPERING WTR RD")</f>
        <v>78 WHISPERING WTR RD</v>
      </c>
      <c r="C12212" s="3" t="str">
        <f>IFERROR(__xludf.DUMMYFUNCTION("""COMPUTED_VALUE"""),"MARMORA")</f>
        <v>MARMORA</v>
      </c>
      <c r="D12212" s="3" t="str">
        <f>IFERROR(__xludf.DUMMYFUNCTION("""COMPUTED_VALUE"""),"K0K 2M0")</f>
        <v>K0K 2M0</v>
      </c>
      <c r="E12212" s="3"/>
      <c r="F12212" s="3"/>
      <c r="G12212" s="3"/>
      <c r="H12212" s="3"/>
    </row>
    <row r="12213">
      <c r="A12213" s="2">
        <f>IFERROR(__xludf.DUMMYFUNCTION("""COMPUTED_VALUE"""),72446.0)</f>
        <v>72446</v>
      </c>
      <c r="B12213" s="3" t="str">
        <f>IFERROR(__xludf.DUMMYFUNCTION("""COMPUTED_VALUE"""),"86 WHISPERING WTR RD")</f>
        <v>86 WHISPERING WTR RD</v>
      </c>
      <c r="C12213" s="3" t="str">
        <f>IFERROR(__xludf.DUMMYFUNCTION("""COMPUTED_VALUE"""),"MARMORA")</f>
        <v>MARMORA</v>
      </c>
      <c r="D12213" s="3" t="str">
        <f>IFERROR(__xludf.DUMMYFUNCTION("""COMPUTED_VALUE"""),"K0K 2M0")</f>
        <v>K0K 2M0</v>
      </c>
      <c r="E12213" s="3"/>
      <c r="F12213" s="3"/>
      <c r="G12213" s="3"/>
      <c r="H12213" s="3"/>
    </row>
    <row r="12214">
      <c r="A12214" s="2">
        <f>IFERROR(__xludf.DUMMYFUNCTION("""COMPUTED_VALUE"""),72447.0)</f>
        <v>72447</v>
      </c>
      <c r="B12214" s="3" t="str">
        <f>IFERROR(__xludf.DUMMYFUNCTION("""COMPUTED_VALUE"""),"89 WHISPERING WTR RD")</f>
        <v>89 WHISPERING WTR RD</v>
      </c>
      <c r="C12214" s="3" t="str">
        <f>IFERROR(__xludf.DUMMYFUNCTION("""COMPUTED_VALUE"""),"MARMORA")</f>
        <v>MARMORA</v>
      </c>
      <c r="D12214" s="3" t="str">
        <f>IFERROR(__xludf.DUMMYFUNCTION("""COMPUTED_VALUE"""),"K0K 2M0")</f>
        <v>K0K 2M0</v>
      </c>
      <c r="E12214" s="3" t="str">
        <f>IFERROR(__xludf.DUMMYFUNCTION("""COMPUTED_VALUE"""),"David Nicholas")</f>
        <v>David Nicholas</v>
      </c>
      <c r="F12214" s="3" t="str">
        <f>IFERROR(__xludf.DUMMYFUNCTION("""COMPUTED_VALUE"""),"enedetective@gmail.com")</f>
        <v>enedetective@gmail.com</v>
      </c>
      <c r="G12214" s="3">
        <f>IFERROR(__xludf.DUMMYFUNCTION("""COMPUTED_VALUE"""),7.056531967E9)</f>
        <v>7056531967</v>
      </c>
      <c r="H12214" s="3">
        <f>IFERROR(__xludf.DUMMYFUNCTION("""COMPUTED_VALUE"""),7.058686356E9)</f>
        <v>7058686356</v>
      </c>
    </row>
    <row r="12215">
      <c r="A12215" s="2">
        <f>IFERROR(__xludf.DUMMYFUNCTION("""COMPUTED_VALUE"""),72448.0)</f>
        <v>72448</v>
      </c>
      <c r="B12215" s="3" t="str">
        <f>IFERROR(__xludf.DUMMYFUNCTION("""COMPUTED_VALUE"""),"90 WHISPERING WTR RD")</f>
        <v>90 WHISPERING WTR RD</v>
      </c>
      <c r="C12215" s="3" t="str">
        <f>IFERROR(__xludf.DUMMYFUNCTION("""COMPUTED_VALUE"""),"MARMORA")</f>
        <v>MARMORA</v>
      </c>
      <c r="D12215" s="3" t="str">
        <f>IFERROR(__xludf.DUMMYFUNCTION("""COMPUTED_VALUE"""),"K0K 2M0")</f>
        <v>K0K 2M0</v>
      </c>
      <c r="E12215" s="3" t="str">
        <f>IFERROR(__xludf.DUMMYFUNCTION("""COMPUTED_VALUE"""),"Dimitar Tuparov")</f>
        <v>Dimitar Tuparov</v>
      </c>
      <c r="F12215" s="3" t="str">
        <f>IFERROR(__xludf.DUMMYFUNCTION("""COMPUTED_VALUE"""),"dimitar.tuparov@yahoo.com")</f>
        <v>dimitar.tuparov@yahoo.com</v>
      </c>
      <c r="G12215" s="3"/>
      <c r="H12215" s="3"/>
    </row>
    <row r="12216">
      <c r="A12216" s="2">
        <f>IFERROR(__xludf.DUMMYFUNCTION("""COMPUTED_VALUE"""),72449.0)</f>
        <v>72449</v>
      </c>
      <c r="B12216" s="3" t="str">
        <f>IFERROR(__xludf.DUMMYFUNCTION("""COMPUTED_VALUE"""),"94 WHISPERING WTR RD")</f>
        <v>94 WHISPERING WTR RD</v>
      </c>
      <c r="C12216" s="3" t="str">
        <f>IFERROR(__xludf.DUMMYFUNCTION("""COMPUTED_VALUE"""),"MARMORA")</f>
        <v>MARMORA</v>
      </c>
      <c r="D12216" s="3" t="str">
        <f>IFERROR(__xludf.DUMMYFUNCTION("""COMPUTED_VALUE"""),"K0K 2M0")</f>
        <v>K0K 2M0</v>
      </c>
      <c r="E12216" s="3"/>
      <c r="F12216" s="3"/>
      <c r="G12216" s="3"/>
      <c r="H12216" s="3"/>
    </row>
    <row r="12217">
      <c r="A12217" s="2">
        <f>IFERROR(__xludf.DUMMYFUNCTION("""COMPUTED_VALUE"""),72450.0)</f>
        <v>72450</v>
      </c>
      <c r="B12217" s="3" t="str">
        <f>IFERROR(__xludf.DUMMYFUNCTION("""COMPUTED_VALUE"""),"95 WHISPERING WTR RD")</f>
        <v>95 WHISPERING WTR RD</v>
      </c>
      <c r="C12217" s="3" t="str">
        <f>IFERROR(__xludf.DUMMYFUNCTION("""COMPUTED_VALUE"""),"MARMORA")</f>
        <v>MARMORA</v>
      </c>
      <c r="D12217" s="3" t="str">
        <f>IFERROR(__xludf.DUMMYFUNCTION("""COMPUTED_VALUE"""),"K0K 2M0")</f>
        <v>K0K 2M0</v>
      </c>
      <c r="E12217" s="3"/>
      <c r="F12217" s="3"/>
      <c r="G12217" s="3"/>
      <c r="H12217" s="3"/>
    </row>
    <row r="12218">
      <c r="A12218" s="2">
        <f>IFERROR(__xludf.DUMMYFUNCTION("""COMPUTED_VALUE"""),72451.0)</f>
        <v>72451</v>
      </c>
      <c r="B12218" s="3" t="str">
        <f>IFERROR(__xludf.DUMMYFUNCTION("""COMPUTED_VALUE"""),"100 WHISPERING WTR RD")</f>
        <v>100 WHISPERING WTR RD</v>
      </c>
      <c r="C12218" s="3" t="str">
        <f>IFERROR(__xludf.DUMMYFUNCTION("""COMPUTED_VALUE"""),"MARMORA")</f>
        <v>MARMORA</v>
      </c>
      <c r="D12218" s="3" t="str">
        <f>IFERROR(__xludf.DUMMYFUNCTION("""COMPUTED_VALUE"""),"K0K 2M0")</f>
        <v>K0K 2M0</v>
      </c>
      <c r="E12218" s="3"/>
      <c r="F12218" s="3"/>
      <c r="G12218" s="3"/>
      <c r="H12218" s="3"/>
    </row>
    <row r="12219">
      <c r="A12219" s="2">
        <f>IFERROR(__xludf.DUMMYFUNCTION("""COMPUTED_VALUE"""),72452.0)</f>
        <v>72452</v>
      </c>
      <c r="B12219" s="3" t="str">
        <f>IFERROR(__xludf.DUMMYFUNCTION("""COMPUTED_VALUE"""),"104 WHISPERING WATERS RD")</f>
        <v>104 WHISPERING WATERS RD</v>
      </c>
      <c r="C12219" s="3" t="str">
        <f>IFERROR(__xludf.DUMMYFUNCTION("""COMPUTED_VALUE"""),"MARMORA")</f>
        <v>MARMORA</v>
      </c>
      <c r="D12219" s="3" t="str">
        <f>IFERROR(__xludf.DUMMYFUNCTION("""COMPUTED_VALUE"""),"K0K 2M0")</f>
        <v>K0K 2M0</v>
      </c>
      <c r="E12219" s="3" t="str">
        <f>IFERROR(__xludf.DUMMYFUNCTION("""COMPUTED_VALUE"""),"Madonna Chow Romano")</f>
        <v>Madonna Chow Romano</v>
      </c>
      <c r="F12219" s="3" t="str">
        <f>IFERROR(__xludf.DUMMYFUNCTION("""COMPUTED_VALUE"""),"madonna428@gmail.com")</f>
        <v>madonna428@gmail.com</v>
      </c>
      <c r="G12219" s="3">
        <f>IFERROR(__xludf.DUMMYFUNCTION("""COMPUTED_VALUE"""),9.056266481E9)</f>
        <v>9056266481</v>
      </c>
      <c r="H12219" s="3"/>
    </row>
    <row r="12220">
      <c r="A12220" s="2">
        <f>IFERROR(__xludf.DUMMYFUNCTION("""COMPUTED_VALUE"""),72453.0)</f>
        <v>72453</v>
      </c>
      <c r="B12220" s="3" t="str">
        <f>IFERROR(__xludf.DUMMYFUNCTION("""COMPUTED_VALUE"""),"110 WHISPERING WTR RD")</f>
        <v>110 WHISPERING WTR RD</v>
      </c>
      <c r="C12220" s="3" t="str">
        <f>IFERROR(__xludf.DUMMYFUNCTION("""COMPUTED_VALUE"""),"MARMORA")</f>
        <v>MARMORA</v>
      </c>
      <c r="D12220" s="3" t="str">
        <f>IFERROR(__xludf.DUMMYFUNCTION("""COMPUTED_VALUE"""),"K0K 2M0")</f>
        <v>K0K 2M0</v>
      </c>
      <c r="E12220" s="3"/>
      <c r="F12220" s="3"/>
      <c r="G12220" s="3"/>
      <c r="H12220" s="3"/>
    </row>
    <row r="12221">
      <c r="A12221" s="2">
        <f>IFERROR(__xludf.DUMMYFUNCTION("""COMPUTED_VALUE"""),72454.0)</f>
        <v>72454</v>
      </c>
      <c r="B12221" s="3" t="str">
        <f>IFERROR(__xludf.DUMMYFUNCTION("""COMPUTED_VALUE"""),"116 WHISPERING WTR RD")</f>
        <v>116 WHISPERING WTR RD</v>
      </c>
      <c r="C12221" s="3" t="str">
        <f>IFERROR(__xludf.DUMMYFUNCTION("""COMPUTED_VALUE"""),"MARMORA")</f>
        <v>MARMORA</v>
      </c>
      <c r="D12221" s="3" t="str">
        <f>IFERROR(__xludf.DUMMYFUNCTION("""COMPUTED_VALUE"""),"K0K 2M0")</f>
        <v>K0K 2M0</v>
      </c>
      <c r="E12221" s="3"/>
      <c r="F12221" s="3"/>
      <c r="G12221" s="3"/>
      <c r="H12221" s="3"/>
    </row>
    <row r="12222">
      <c r="A12222" s="2">
        <f>IFERROR(__xludf.DUMMYFUNCTION("""COMPUTED_VALUE"""),72455.0)</f>
        <v>72455</v>
      </c>
      <c r="B12222" s="3" t="str">
        <f>IFERROR(__xludf.DUMMYFUNCTION("""COMPUTED_VALUE"""),"119 WHISPERING WTR RD")</f>
        <v>119 WHISPERING WTR RD</v>
      </c>
      <c r="C12222" s="3" t="str">
        <f>IFERROR(__xludf.DUMMYFUNCTION("""COMPUTED_VALUE"""),"MARMORA")</f>
        <v>MARMORA</v>
      </c>
      <c r="D12222" s="3" t="str">
        <f>IFERROR(__xludf.DUMMYFUNCTION("""COMPUTED_VALUE"""),"K0K 2M0")</f>
        <v>K0K 2M0</v>
      </c>
      <c r="E12222" s="3"/>
      <c r="F12222" s="3"/>
      <c r="G12222" s="3"/>
      <c r="H12222" s="3"/>
    </row>
    <row r="12223">
      <c r="A12223" s="2">
        <f>IFERROR(__xludf.DUMMYFUNCTION("""COMPUTED_VALUE"""),72456.0)</f>
        <v>72456</v>
      </c>
      <c r="B12223" s="3" t="str">
        <f>IFERROR(__xludf.DUMMYFUNCTION("""COMPUTED_VALUE"""),"120 WHISPERING WTR RD")</f>
        <v>120 WHISPERING WTR RD</v>
      </c>
      <c r="C12223" s="3" t="str">
        <f>IFERROR(__xludf.DUMMYFUNCTION("""COMPUTED_VALUE"""),"MARMORA")</f>
        <v>MARMORA</v>
      </c>
      <c r="D12223" s="3" t="str">
        <f>IFERROR(__xludf.DUMMYFUNCTION("""COMPUTED_VALUE"""),"K0K 2M0")</f>
        <v>K0K 2M0</v>
      </c>
      <c r="E12223" s="3"/>
      <c r="F12223" s="3"/>
      <c r="G12223" s="3"/>
      <c r="H12223" s="3"/>
    </row>
    <row r="12224">
      <c r="A12224" s="2">
        <f>IFERROR(__xludf.DUMMYFUNCTION("""COMPUTED_VALUE"""),72457.0)</f>
        <v>72457</v>
      </c>
      <c r="B12224" s="3" t="str">
        <f>IFERROR(__xludf.DUMMYFUNCTION("""COMPUTED_VALUE"""),"123 WHISPERING WTR RD")</f>
        <v>123 WHISPERING WTR RD</v>
      </c>
      <c r="C12224" s="3" t="str">
        <f>IFERROR(__xludf.DUMMYFUNCTION("""COMPUTED_VALUE"""),"MARMORA")</f>
        <v>MARMORA</v>
      </c>
      <c r="D12224" s="3" t="str">
        <f>IFERROR(__xludf.DUMMYFUNCTION("""COMPUTED_VALUE"""),"K0K 2M0")</f>
        <v>K0K 2M0</v>
      </c>
      <c r="E12224" s="3"/>
      <c r="F12224" s="3"/>
      <c r="G12224" s="3"/>
      <c r="H12224" s="3"/>
    </row>
    <row r="12225">
      <c r="A12225" s="2">
        <f>IFERROR(__xludf.DUMMYFUNCTION("""COMPUTED_VALUE"""),72458.0)</f>
        <v>72458</v>
      </c>
      <c r="B12225" s="3" t="str">
        <f>IFERROR(__xludf.DUMMYFUNCTION("""COMPUTED_VALUE"""),"130 WHISPERING WTR RD")</f>
        <v>130 WHISPERING WTR RD</v>
      </c>
      <c r="C12225" s="3" t="str">
        <f>IFERROR(__xludf.DUMMYFUNCTION("""COMPUTED_VALUE"""),"MARMORA")</f>
        <v>MARMORA</v>
      </c>
      <c r="D12225" s="3" t="str">
        <f>IFERROR(__xludf.DUMMYFUNCTION("""COMPUTED_VALUE"""),"K0K 2M0")</f>
        <v>K0K 2M0</v>
      </c>
      <c r="E12225" s="3"/>
      <c r="F12225" s="3"/>
      <c r="G12225" s="3"/>
      <c r="H12225" s="3"/>
    </row>
    <row r="12226">
      <c r="A12226" s="2">
        <f>IFERROR(__xludf.DUMMYFUNCTION("""COMPUTED_VALUE"""),72459.0)</f>
        <v>72459</v>
      </c>
      <c r="B12226" s="3" t="str">
        <f>IFERROR(__xludf.DUMMYFUNCTION("""COMPUTED_VALUE"""),"142 WHISPERING WTR RD")</f>
        <v>142 WHISPERING WTR RD</v>
      </c>
      <c r="C12226" s="3" t="str">
        <f>IFERROR(__xludf.DUMMYFUNCTION("""COMPUTED_VALUE"""),"MARMORA")</f>
        <v>MARMORA</v>
      </c>
      <c r="D12226" s="3" t="str">
        <f>IFERROR(__xludf.DUMMYFUNCTION("""COMPUTED_VALUE"""),"K0K 2M0")</f>
        <v>K0K 2M0</v>
      </c>
      <c r="E12226" s="3"/>
      <c r="F12226" s="3"/>
      <c r="G12226" s="3"/>
      <c r="H12226" s="3"/>
    </row>
    <row r="12227">
      <c r="A12227" s="2">
        <f>IFERROR(__xludf.DUMMYFUNCTION("""COMPUTED_VALUE"""),72460.0)</f>
        <v>72460</v>
      </c>
      <c r="B12227" s="3" t="str">
        <f>IFERROR(__xludf.DUMMYFUNCTION("""COMPUTED_VALUE"""),"150 WHISPERING WATER RD")</f>
        <v>150 WHISPERING WATER RD</v>
      </c>
      <c r="C12227" s="3" t="str">
        <f>IFERROR(__xludf.DUMMYFUNCTION("""COMPUTED_VALUE"""),"MARMORA")</f>
        <v>MARMORA</v>
      </c>
      <c r="D12227" s="3" t="str">
        <f>IFERROR(__xludf.DUMMYFUNCTION("""COMPUTED_VALUE"""),"K0K 2M0")</f>
        <v>K0K 2M0</v>
      </c>
      <c r="E12227" s="3"/>
      <c r="F12227" s="3"/>
      <c r="G12227" s="3"/>
      <c r="H12227" s="3"/>
    </row>
    <row r="12228">
      <c r="A12228" s="2">
        <f>IFERROR(__xludf.DUMMYFUNCTION("""COMPUTED_VALUE"""),72461.0)</f>
        <v>72461</v>
      </c>
      <c r="B12228" s="3" t="str">
        <f>IFERROR(__xludf.DUMMYFUNCTION("""COMPUTED_VALUE"""),"154 WHISPERING WTR RD")</f>
        <v>154 WHISPERING WTR RD</v>
      </c>
      <c r="C12228" s="3" t="str">
        <f>IFERROR(__xludf.DUMMYFUNCTION("""COMPUTED_VALUE"""),"MARMORA")</f>
        <v>MARMORA</v>
      </c>
      <c r="D12228" s="3" t="str">
        <f>IFERROR(__xludf.DUMMYFUNCTION("""COMPUTED_VALUE"""),"K0K 2M0")</f>
        <v>K0K 2M0</v>
      </c>
      <c r="E12228" s="3"/>
      <c r="F12228" s="3"/>
      <c r="G12228" s="3"/>
      <c r="H12228" s="3"/>
    </row>
    <row r="12229">
      <c r="A12229" s="2">
        <f>IFERROR(__xludf.DUMMYFUNCTION("""COMPUTED_VALUE"""),72462.0)</f>
        <v>72462</v>
      </c>
      <c r="B12229" s="3" t="str">
        <f>IFERROR(__xludf.DUMMYFUNCTION("""COMPUTED_VALUE"""),"160 WHISPERING WTR RD")</f>
        <v>160 WHISPERING WTR RD</v>
      </c>
      <c r="C12229" s="3" t="str">
        <f>IFERROR(__xludf.DUMMYFUNCTION("""COMPUTED_VALUE"""),"MARMORA")</f>
        <v>MARMORA</v>
      </c>
      <c r="D12229" s="3" t="str">
        <f>IFERROR(__xludf.DUMMYFUNCTION("""COMPUTED_VALUE"""),"K0K 2M0")</f>
        <v>K0K 2M0</v>
      </c>
      <c r="E12229" s="3"/>
      <c r="F12229" s="3"/>
      <c r="G12229" s="3"/>
      <c r="H12229" s="3"/>
    </row>
    <row r="12230">
      <c r="A12230" s="2">
        <f>IFERROR(__xludf.DUMMYFUNCTION("""COMPUTED_VALUE"""),72463.0)</f>
        <v>72463</v>
      </c>
      <c r="B12230" s="3" t="str">
        <f>IFERROR(__xludf.DUMMYFUNCTION("""COMPUTED_VALUE"""),"164 WHISPERING WTR RD")</f>
        <v>164 WHISPERING WTR RD</v>
      </c>
      <c r="C12230" s="3" t="str">
        <f>IFERROR(__xludf.DUMMYFUNCTION("""COMPUTED_VALUE"""),"MARMORA")</f>
        <v>MARMORA</v>
      </c>
      <c r="D12230" s="3" t="str">
        <f>IFERROR(__xludf.DUMMYFUNCTION("""COMPUTED_VALUE"""),"K0K 2M0")</f>
        <v>K0K 2M0</v>
      </c>
      <c r="E12230" s="3"/>
      <c r="F12230" s="3"/>
      <c r="G12230" s="3"/>
      <c r="H12230" s="3"/>
    </row>
    <row r="12231">
      <c r="A12231" s="2">
        <f>IFERROR(__xludf.DUMMYFUNCTION("""COMPUTED_VALUE"""),72464.0)</f>
        <v>72464</v>
      </c>
      <c r="B12231" s="3" t="str">
        <f>IFERROR(__xludf.DUMMYFUNCTION("""COMPUTED_VALUE"""),"168 WHISPERING WTR RD")</f>
        <v>168 WHISPERING WTR RD</v>
      </c>
      <c r="C12231" s="3" t="str">
        <f>IFERROR(__xludf.DUMMYFUNCTION("""COMPUTED_VALUE"""),"MARMORA")</f>
        <v>MARMORA</v>
      </c>
      <c r="D12231" s="3" t="str">
        <f>IFERROR(__xludf.DUMMYFUNCTION("""COMPUTED_VALUE"""),"K0K 2M0")</f>
        <v>K0K 2M0</v>
      </c>
      <c r="E12231" s="3"/>
      <c r="F12231" s="3"/>
      <c r="G12231" s="3"/>
      <c r="H12231" s="3"/>
    </row>
    <row r="12232">
      <c r="A12232" s="2">
        <f>IFERROR(__xludf.DUMMYFUNCTION("""COMPUTED_VALUE"""),72465.0)</f>
        <v>72465</v>
      </c>
      <c r="B12232" s="3" t="str">
        <f>IFERROR(__xludf.DUMMYFUNCTION("""COMPUTED_VALUE"""),"174 WHISPERING WTR RD")</f>
        <v>174 WHISPERING WTR RD</v>
      </c>
      <c r="C12232" s="3" t="str">
        <f>IFERROR(__xludf.DUMMYFUNCTION("""COMPUTED_VALUE"""),"MARMORA")</f>
        <v>MARMORA</v>
      </c>
      <c r="D12232" s="3" t="str">
        <f>IFERROR(__xludf.DUMMYFUNCTION("""COMPUTED_VALUE"""),"K0K 2M0")</f>
        <v>K0K 2M0</v>
      </c>
      <c r="E12232" s="3"/>
      <c r="F12232" s="3"/>
      <c r="G12232" s="3"/>
      <c r="H12232" s="3"/>
    </row>
    <row r="12233">
      <c r="A12233" s="2">
        <f>IFERROR(__xludf.DUMMYFUNCTION("""COMPUTED_VALUE"""),72466.0)</f>
        <v>72466</v>
      </c>
      <c r="B12233" s="3" t="str">
        <f>IFERROR(__xludf.DUMMYFUNCTION("""COMPUTED_VALUE"""),"180 WHISPERING WTR RD")</f>
        <v>180 WHISPERING WTR RD</v>
      </c>
      <c r="C12233" s="3" t="str">
        <f>IFERROR(__xludf.DUMMYFUNCTION("""COMPUTED_VALUE"""),"MARMORA")</f>
        <v>MARMORA</v>
      </c>
      <c r="D12233" s="3" t="str">
        <f>IFERROR(__xludf.DUMMYFUNCTION("""COMPUTED_VALUE"""),"K0K 2M0")</f>
        <v>K0K 2M0</v>
      </c>
      <c r="E12233" s="3"/>
      <c r="F12233" s="3"/>
      <c r="G12233" s="3"/>
      <c r="H12233" s="3"/>
    </row>
    <row r="12234">
      <c r="A12234" s="2">
        <f>IFERROR(__xludf.DUMMYFUNCTION("""COMPUTED_VALUE"""),72467.0)</f>
        <v>72467</v>
      </c>
      <c r="B12234" s="3" t="str">
        <f>IFERROR(__xludf.DUMMYFUNCTION("""COMPUTED_VALUE"""),"184 WHISPERING WTR RD")</f>
        <v>184 WHISPERING WTR RD</v>
      </c>
      <c r="C12234" s="3" t="str">
        <f>IFERROR(__xludf.DUMMYFUNCTION("""COMPUTED_VALUE"""),"MARMORA")</f>
        <v>MARMORA</v>
      </c>
      <c r="D12234" s="3" t="str">
        <f>IFERROR(__xludf.DUMMYFUNCTION("""COMPUTED_VALUE"""),"K0K 2M0")</f>
        <v>K0K 2M0</v>
      </c>
      <c r="E12234" s="3"/>
      <c r="F12234" s="3"/>
      <c r="G12234" s="3"/>
      <c r="H12234" s="3"/>
    </row>
    <row r="12235">
      <c r="A12235" s="2">
        <f>IFERROR(__xludf.DUMMYFUNCTION("""COMPUTED_VALUE"""),72468.0)</f>
        <v>72468</v>
      </c>
      <c r="B12235" s="3" t="str">
        <f>IFERROR(__xludf.DUMMYFUNCTION("""COMPUTED_VALUE"""),"188 WHISPERING WTR RD")</f>
        <v>188 WHISPERING WTR RD</v>
      </c>
      <c r="C12235" s="3" t="str">
        <f>IFERROR(__xludf.DUMMYFUNCTION("""COMPUTED_VALUE"""),"MARMORA")</f>
        <v>MARMORA</v>
      </c>
      <c r="D12235" s="3" t="str">
        <f>IFERROR(__xludf.DUMMYFUNCTION("""COMPUTED_VALUE"""),"K0K 2M0")</f>
        <v>K0K 2M0</v>
      </c>
      <c r="E12235" s="3"/>
      <c r="F12235" s="3"/>
      <c r="G12235" s="3"/>
      <c r="H12235" s="3"/>
    </row>
    <row r="12236">
      <c r="A12236" s="2">
        <f>IFERROR(__xludf.DUMMYFUNCTION("""COMPUTED_VALUE"""),72469.0)</f>
        <v>72469</v>
      </c>
      <c r="B12236" s="3" t="str">
        <f>IFERROR(__xludf.DUMMYFUNCTION("""COMPUTED_VALUE"""),"192 WHISPERING WTR RD")</f>
        <v>192 WHISPERING WTR RD</v>
      </c>
      <c r="C12236" s="3" t="str">
        <f>IFERROR(__xludf.DUMMYFUNCTION("""COMPUTED_VALUE"""),"MARMORA")</f>
        <v>MARMORA</v>
      </c>
      <c r="D12236" s="3" t="str">
        <f>IFERROR(__xludf.DUMMYFUNCTION("""COMPUTED_VALUE"""),"K0K 2M0")</f>
        <v>K0K 2M0</v>
      </c>
      <c r="E12236" s="3"/>
      <c r="F12236" s="3"/>
      <c r="G12236" s="3"/>
      <c r="H12236" s="3"/>
    </row>
    <row r="12237">
      <c r="A12237" s="2">
        <f>IFERROR(__xludf.DUMMYFUNCTION("""COMPUTED_VALUE"""),72470.0)</f>
        <v>72470</v>
      </c>
      <c r="B12237" s="3" t="str">
        <f>IFERROR(__xludf.DUMMYFUNCTION("""COMPUTED_VALUE"""),"198 WHISPERING WTR RD")</f>
        <v>198 WHISPERING WTR RD</v>
      </c>
      <c r="C12237" s="3" t="str">
        <f>IFERROR(__xludf.DUMMYFUNCTION("""COMPUTED_VALUE"""),"MARMORA")</f>
        <v>MARMORA</v>
      </c>
      <c r="D12237" s="3" t="str">
        <f>IFERROR(__xludf.DUMMYFUNCTION("""COMPUTED_VALUE"""),"K0K 2M0")</f>
        <v>K0K 2M0</v>
      </c>
      <c r="E12237" s="3"/>
      <c r="F12237" s="3"/>
      <c r="G12237" s="3"/>
      <c r="H12237" s="3"/>
    </row>
    <row r="12238">
      <c r="A12238" s="2">
        <f>IFERROR(__xludf.DUMMYFUNCTION("""COMPUTED_VALUE"""),72471.0)</f>
        <v>72471</v>
      </c>
      <c r="B12238" s="3" t="str">
        <f>IFERROR(__xludf.DUMMYFUNCTION("""COMPUTED_VALUE"""),"202 WHISPERING WTR RD")</f>
        <v>202 WHISPERING WTR RD</v>
      </c>
      <c r="C12238" s="3" t="str">
        <f>IFERROR(__xludf.DUMMYFUNCTION("""COMPUTED_VALUE"""),"MARMORA")</f>
        <v>MARMORA</v>
      </c>
      <c r="D12238" s="3" t="str">
        <f>IFERROR(__xludf.DUMMYFUNCTION("""COMPUTED_VALUE"""),"K0K 2M0")</f>
        <v>K0K 2M0</v>
      </c>
      <c r="E12238" s="3"/>
      <c r="F12238" s="3"/>
      <c r="G12238" s="3"/>
      <c r="H12238" s="3"/>
    </row>
    <row r="12239">
      <c r="A12239" s="2">
        <f>IFERROR(__xludf.DUMMYFUNCTION("""COMPUTED_VALUE"""),72472.0)</f>
        <v>72472</v>
      </c>
      <c r="B12239" s="3" t="str">
        <f>IFERROR(__xludf.DUMMYFUNCTION("""COMPUTED_VALUE"""),"204 WHISPERING WTR RD")</f>
        <v>204 WHISPERING WTR RD</v>
      </c>
      <c r="C12239" s="3" t="str">
        <f>IFERROR(__xludf.DUMMYFUNCTION("""COMPUTED_VALUE"""),"MARMORA")</f>
        <v>MARMORA</v>
      </c>
      <c r="D12239" s="3" t="str">
        <f>IFERROR(__xludf.DUMMYFUNCTION("""COMPUTED_VALUE"""),"K0K 2M0")</f>
        <v>K0K 2M0</v>
      </c>
      <c r="E12239" s="3"/>
      <c r="F12239" s="3"/>
      <c r="G12239" s="3"/>
      <c r="H12239" s="3"/>
    </row>
    <row r="12240">
      <c r="A12240" s="2">
        <f>IFERROR(__xludf.DUMMYFUNCTION("""COMPUTED_VALUE"""),72473.0)</f>
        <v>72473</v>
      </c>
      <c r="B12240" s="3" t="str">
        <f>IFERROR(__xludf.DUMMYFUNCTION("""COMPUTED_VALUE"""),"206 WHISPERING WTR RD")</f>
        <v>206 WHISPERING WTR RD</v>
      </c>
      <c r="C12240" s="3" t="str">
        <f>IFERROR(__xludf.DUMMYFUNCTION("""COMPUTED_VALUE"""),"MARMORA")</f>
        <v>MARMORA</v>
      </c>
      <c r="D12240" s="3" t="str">
        <f>IFERROR(__xludf.DUMMYFUNCTION("""COMPUTED_VALUE"""),"K0K 2M0")</f>
        <v>K0K 2M0</v>
      </c>
      <c r="E12240" s="3"/>
      <c r="F12240" s="3"/>
      <c r="G12240" s="3"/>
      <c r="H12240" s="3"/>
    </row>
    <row r="12241">
      <c r="A12241" s="2">
        <f>IFERROR(__xludf.DUMMYFUNCTION("""COMPUTED_VALUE"""),72474.0)</f>
        <v>72474</v>
      </c>
      <c r="B12241" s="3" t="str">
        <f>IFERROR(__xludf.DUMMYFUNCTION("""COMPUTED_VALUE"""),"210 WHISPERING WTR RD")</f>
        <v>210 WHISPERING WTR RD</v>
      </c>
      <c r="C12241" s="3" t="str">
        <f>IFERROR(__xludf.DUMMYFUNCTION("""COMPUTED_VALUE"""),"MARMORA")</f>
        <v>MARMORA</v>
      </c>
      <c r="D12241" s="3" t="str">
        <f>IFERROR(__xludf.DUMMYFUNCTION("""COMPUTED_VALUE"""),"K0K 2M0")</f>
        <v>K0K 2M0</v>
      </c>
      <c r="E12241" s="3"/>
      <c r="F12241" s="3"/>
      <c r="G12241" s="3"/>
      <c r="H12241" s="3"/>
    </row>
    <row r="12242">
      <c r="A12242" s="2">
        <f>IFERROR(__xludf.DUMMYFUNCTION("""COMPUTED_VALUE"""),72475.0)</f>
        <v>72475</v>
      </c>
      <c r="B12242" s="3" t="str">
        <f>IFERROR(__xludf.DUMMYFUNCTION("""COMPUTED_VALUE"""),"214 WHISPERING WTR RD")</f>
        <v>214 WHISPERING WTR RD</v>
      </c>
      <c r="C12242" s="3" t="str">
        <f>IFERROR(__xludf.DUMMYFUNCTION("""COMPUTED_VALUE"""),"MARMORA")</f>
        <v>MARMORA</v>
      </c>
      <c r="D12242" s="3" t="str">
        <f>IFERROR(__xludf.DUMMYFUNCTION("""COMPUTED_VALUE"""),"K0K 2M0")</f>
        <v>K0K 2M0</v>
      </c>
      <c r="E12242" s="3"/>
      <c r="F12242" s="3"/>
      <c r="G12242" s="3"/>
      <c r="H12242" s="3"/>
    </row>
    <row r="12243">
      <c r="A12243" s="2">
        <f>IFERROR(__xludf.DUMMYFUNCTION("""COMPUTED_VALUE"""),72476.0)</f>
        <v>72476</v>
      </c>
      <c r="B12243" s="3" t="str">
        <f>IFERROR(__xludf.DUMMYFUNCTION("""COMPUTED_VALUE"""),"220 WHISPERING WATERS RD")</f>
        <v>220 WHISPERING WATERS RD</v>
      </c>
      <c r="C12243" s="3" t="str">
        <f>IFERROR(__xludf.DUMMYFUNCTION("""COMPUTED_VALUE"""),"MARMORA")</f>
        <v>MARMORA</v>
      </c>
      <c r="D12243" s="3" t="str">
        <f>IFERROR(__xludf.DUMMYFUNCTION("""COMPUTED_VALUE"""),"K0K 2M0")</f>
        <v>K0K 2M0</v>
      </c>
      <c r="E12243" s="3"/>
      <c r="F12243" s="3"/>
      <c r="G12243" s="3"/>
      <c r="H12243" s="3"/>
    </row>
    <row r="12244">
      <c r="A12244" s="2">
        <f>IFERROR(__xludf.DUMMYFUNCTION("""COMPUTED_VALUE"""),72477.0)</f>
        <v>72477</v>
      </c>
      <c r="B12244" s="3" t="str">
        <f>IFERROR(__xludf.DUMMYFUNCTION("""COMPUTED_VALUE"""),"224 WHISPERING WTR RD")</f>
        <v>224 WHISPERING WTR RD</v>
      </c>
      <c r="C12244" s="3" t="str">
        <f>IFERROR(__xludf.DUMMYFUNCTION("""COMPUTED_VALUE"""),"MARMORA")</f>
        <v>MARMORA</v>
      </c>
      <c r="D12244" s="3" t="str">
        <f>IFERROR(__xludf.DUMMYFUNCTION("""COMPUTED_VALUE"""),"K0K 2M0")</f>
        <v>K0K 2M0</v>
      </c>
      <c r="E12244" s="3"/>
      <c r="F12244" s="3"/>
      <c r="G12244" s="3"/>
      <c r="H12244" s="3"/>
    </row>
    <row r="12245">
      <c r="A12245" s="2">
        <f>IFERROR(__xludf.DUMMYFUNCTION("""COMPUTED_VALUE"""),72478.0)</f>
        <v>72478</v>
      </c>
      <c r="B12245" s="3" t="str">
        <f>IFERROR(__xludf.DUMMYFUNCTION("""COMPUTED_VALUE"""),"228 WHISPERING WTR RD")</f>
        <v>228 WHISPERING WTR RD</v>
      </c>
      <c r="C12245" s="3" t="str">
        <f>IFERROR(__xludf.DUMMYFUNCTION("""COMPUTED_VALUE"""),"MARMORA")</f>
        <v>MARMORA</v>
      </c>
      <c r="D12245" s="3" t="str">
        <f>IFERROR(__xludf.DUMMYFUNCTION("""COMPUTED_VALUE"""),"K0K 2M0")</f>
        <v>K0K 2M0</v>
      </c>
      <c r="E12245" s="3" t="str">
        <f>IFERROR(__xludf.DUMMYFUNCTION("""COMPUTED_VALUE"""),"Dean McCreadie")</f>
        <v>Dean McCreadie</v>
      </c>
      <c r="F12245" s="3" t="str">
        <f>IFERROR(__xludf.DUMMYFUNCTION("""COMPUTED_VALUE"""),"deanmccreadie@ymail.com")</f>
        <v>deanmccreadie@ymail.com</v>
      </c>
      <c r="G12245" s="3"/>
      <c r="H12245" s="3"/>
    </row>
    <row r="12246">
      <c r="A12246" s="2">
        <f>IFERROR(__xludf.DUMMYFUNCTION("""COMPUTED_VALUE"""),72479.0)</f>
        <v>72479</v>
      </c>
      <c r="B12246" s="3" t="str">
        <f>IFERROR(__xludf.DUMMYFUNCTION("""COMPUTED_VALUE"""),"236 WHISPERING WTR RD")</f>
        <v>236 WHISPERING WTR RD</v>
      </c>
      <c r="C12246" s="3" t="str">
        <f>IFERROR(__xludf.DUMMYFUNCTION("""COMPUTED_VALUE"""),"MARMORA")</f>
        <v>MARMORA</v>
      </c>
      <c r="D12246" s="3" t="str">
        <f>IFERROR(__xludf.DUMMYFUNCTION("""COMPUTED_VALUE"""),"K0K 2M0")</f>
        <v>K0K 2M0</v>
      </c>
      <c r="E12246" s="3"/>
      <c r="F12246" s="3"/>
      <c r="G12246" s="3"/>
      <c r="H12246" s="3"/>
    </row>
    <row r="12247">
      <c r="A12247" s="2">
        <f>IFERROR(__xludf.DUMMYFUNCTION("""COMPUTED_VALUE"""),72480.0)</f>
        <v>72480</v>
      </c>
      <c r="B12247" s="3" t="str">
        <f>IFERROR(__xludf.DUMMYFUNCTION("""COMPUTED_VALUE"""),"240 WHISPERING WTR RD")</f>
        <v>240 WHISPERING WTR RD</v>
      </c>
      <c r="C12247" s="3" t="str">
        <f>IFERROR(__xludf.DUMMYFUNCTION("""COMPUTED_VALUE"""),"MARMORA")</f>
        <v>MARMORA</v>
      </c>
      <c r="D12247" s="3" t="str">
        <f>IFERROR(__xludf.DUMMYFUNCTION("""COMPUTED_VALUE"""),"K0K 2M0")</f>
        <v>K0K 2M0</v>
      </c>
      <c r="E12247" s="3"/>
      <c r="F12247" s="3"/>
      <c r="G12247" s="3"/>
      <c r="H12247" s="3"/>
    </row>
    <row r="12248">
      <c r="A12248" s="2">
        <f>IFERROR(__xludf.DUMMYFUNCTION("""COMPUTED_VALUE"""),72481.0)</f>
        <v>72481</v>
      </c>
      <c r="B12248" s="3" t="str">
        <f>IFERROR(__xludf.DUMMYFUNCTION("""COMPUTED_VALUE"""),"246 WHISPERING WTR RD")</f>
        <v>246 WHISPERING WTR RD</v>
      </c>
      <c r="C12248" s="3" t="str">
        <f>IFERROR(__xludf.DUMMYFUNCTION("""COMPUTED_VALUE"""),"MARMORA")</f>
        <v>MARMORA</v>
      </c>
      <c r="D12248" s="3" t="str">
        <f>IFERROR(__xludf.DUMMYFUNCTION("""COMPUTED_VALUE"""),"K0K 2M0")</f>
        <v>K0K 2M0</v>
      </c>
      <c r="E12248" s="3"/>
      <c r="F12248" s="3"/>
      <c r="G12248" s="3"/>
      <c r="H12248" s="3"/>
    </row>
    <row r="12249">
      <c r="A12249" s="2">
        <f>IFERROR(__xludf.DUMMYFUNCTION("""COMPUTED_VALUE"""),72482.0)</f>
        <v>72482</v>
      </c>
      <c r="B12249" s="3" t="str">
        <f>IFERROR(__xludf.DUMMYFUNCTION("""COMPUTED_VALUE"""),"250 WHISPERING WTR RD")</f>
        <v>250 WHISPERING WTR RD</v>
      </c>
      <c r="C12249" s="3" t="str">
        <f>IFERROR(__xludf.DUMMYFUNCTION("""COMPUTED_VALUE"""),"MARMORA")</f>
        <v>MARMORA</v>
      </c>
      <c r="D12249" s="3" t="str">
        <f>IFERROR(__xludf.DUMMYFUNCTION("""COMPUTED_VALUE"""),"K0K 2M0")</f>
        <v>K0K 2M0</v>
      </c>
      <c r="E12249" s="3"/>
      <c r="F12249" s="3"/>
      <c r="G12249" s="3"/>
      <c r="H12249" s="3"/>
    </row>
    <row r="12250">
      <c r="A12250" s="2">
        <f>IFERROR(__xludf.DUMMYFUNCTION("""COMPUTED_VALUE"""),72483.0)</f>
        <v>72483</v>
      </c>
      <c r="B12250" s="3" t="str">
        <f>IFERROR(__xludf.DUMMYFUNCTION("""COMPUTED_VALUE"""),"254 WHISPERING WTR RD")</f>
        <v>254 WHISPERING WTR RD</v>
      </c>
      <c r="C12250" s="3" t="str">
        <f>IFERROR(__xludf.DUMMYFUNCTION("""COMPUTED_VALUE"""),"MARMORA")</f>
        <v>MARMORA</v>
      </c>
      <c r="D12250" s="3" t="str">
        <f>IFERROR(__xludf.DUMMYFUNCTION("""COMPUTED_VALUE"""),"K0K 2M0")</f>
        <v>K0K 2M0</v>
      </c>
      <c r="E12250" s="3"/>
      <c r="F12250" s="3"/>
      <c r="G12250" s="3"/>
      <c r="H12250" s="3"/>
    </row>
    <row r="12251">
      <c r="A12251" s="2">
        <f>IFERROR(__xludf.DUMMYFUNCTION("""COMPUTED_VALUE"""),72484.0)</f>
        <v>72484</v>
      </c>
      <c r="B12251" s="3" t="str">
        <f>IFERROR(__xludf.DUMMYFUNCTION("""COMPUTED_VALUE"""),"258 WHISPERING WTR RD")</f>
        <v>258 WHISPERING WTR RD</v>
      </c>
      <c r="C12251" s="3" t="str">
        <f>IFERROR(__xludf.DUMMYFUNCTION("""COMPUTED_VALUE"""),"MARMORA")</f>
        <v>MARMORA</v>
      </c>
      <c r="D12251" s="3" t="str">
        <f>IFERROR(__xludf.DUMMYFUNCTION("""COMPUTED_VALUE"""),"K0K 2M0")</f>
        <v>K0K 2M0</v>
      </c>
      <c r="E12251" s="3"/>
      <c r="F12251" s="3"/>
      <c r="G12251" s="3"/>
      <c r="H12251" s="3"/>
    </row>
    <row r="12252">
      <c r="A12252" s="2">
        <f>IFERROR(__xludf.DUMMYFUNCTION("""COMPUTED_VALUE"""),72485.0)</f>
        <v>72485</v>
      </c>
      <c r="B12252" s="3" t="str">
        <f>IFERROR(__xludf.DUMMYFUNCTION("""COMPUTED_VALUE"""),"264 WHISPERING WTR RD")</f>
        <v>264 WHISPERING WTR RD</v>
      </c>
      <c r="C12252" s="3" t="str">
        <f>IFERROR(__xludf.DUMMYFUNCTION("""COMPUTED_VALUE"""),"MARMORA")</f>
        <v>MARMORA</v>
      </c>
      <c r="D12252" s="3" t="str">
        <f>IFERROR(__xludf.DUMMYFUNCTION("""COMPUTED_VALUE"""),"K0K 2M0")</f>
        <v>K0K 2M0</v>
      </c>
      <c r="E12252" s="3"/>
      <c r="F12252" s="3"/>
      <c r="G12252" s="3"/>
      <c r="H12252" s="3"/>
    </row>
    <row r="12253">
      <c r="A12253" s="2">
        <f>IFERROR(__xludf.DUMMYFUNCTION("""COMPUTED_VALUE"""),72486.0)</f>
        <v>72486</v>
      </c>
      <c r="B12253" s="3" t="str">
        <f>IFERROR(__xludf.DUMMYFUNCTION("""COMPUTED_VALUE"""),"268 WHISPERING WTR RD")</f>
        <v>268 WHISPERING WTR RD</v>
      </c>
      <c r="C12253" s="3" t="str">
        <f>IFERROR(__xludf.DUMMYFUNCTION("""COMPUTED_VALUE"""),"MARMORA")</f>
        <v>MARMORA</v>
      </c>
      <c r="D12253" s="3" t="str">
        <f>IFERROR(__xludf.DUMMYFUNCTION("""COMPUTED_VALUE"""),"K0K 2M0")</f>
        <v>K0K 2M0</v>
      </c>
      <c r="E12253" s="3"/>
      <c r="F12253" s="3"/>
      <c r="G12253" s="3"/>
      <c r="H12253" s="3"/>
    </row>
    <row r="12254">
      <c r="A12254" s="2">
        <f>IFERROR(__xludf.DUMMYFUNCTION("""COMPUTED_VALUE"""),72487.0)</f>
        <v>72487</v>
      </c>
      <c r="B12254" s="3" t="str">
        <f>IFERROR(__xludf.DUMMYFUNCTION("""COMPUTED_VALUE"""),"274 WHISPERING WTR RD")</f>
        <v>274 WHISPERING WTR RD</v>
      </c>
      <c r="C12254" s="3" t="str">
        <f>IFERROR(__xludf.DUMMYFUNCTION("""COMPUTED_VALUE"""),"MARMORA")</f>
        <v>MARMORA</v>
      </c>
      <c r="D12254" s="3" t="str">
        <f>IFERROR(__xludf.DUMMYFUNCTION("""COMPUTED_VALUE"""),"K0K 2M0")</f>
        <v>K0K 2M0</v>
      </c>
      <c r="E12254" s="3"/>
      <c r="F12254" s="3"/>
      <c r="G12254" s="3"/>
      <c r="H12254" s="3"/>
    </row>
    <row r="12255">
      <c r="A12255" s="2">
        <f>IFERROR(__xludf.DUMMYFUNCTION("""COMPUTED_VALUE"""),72488.0)</f>
        <v>72488</v>
      </c>
      <c r="B12255" s="3" t="str">
        <f>IFERROR(__xludf.DUMMYFUNCTION("""COMPUTED_VALUE"""),"276 WHISPERING WTR RD")</f>
        <v>276 WHISPERING WTR RD</v>
      </c>
      <c r="C12255" s="3" t="str">
        <f>IFERROR(__xludf.DUMMYFUNCTION("""COMPUTED_VALUE"""),"MARMORA")</f>
        <v>MARMORA</v>
      </c>
      <c r="D12255" s="3" t="str">
        <f>IFERROR(__xludf.DUMMYFUNCTION("""COMPUTED_VALUE"""),"K0K 2M0")</f>
        <v>K0K 2M0</v>
      </c>
      <c r="E12255" s="3"/>
      <c r="F12255" s="3"/>
      <c r="G12255" s="3"/>
      <c r="H12255" s="3"/>
    </row>
    <row r="12256">
      <c r="A12256" s="2">
        <f>IFERROR(__xludf.DUMMYFUNCTION("""COMPUTED_VALUE"""),72489.0)</f>
        <v>72489</v>
      </c>
      <c r="B12256" s="3" t="str">
        <f>IFERROR(__xludf.DUMMYFUNCTION("""COMPUTED_VALUE"""),"280 WHISPERING WTR RD")</f>
        <v>280 WHISPERING WTR RD</v>
      </c>
      <c r="C12256" s="3" t="str">
        <f>IFERROR(__xludf.DUMMYFUNCTION("""COMPUTED_VALUE"""),"MARMORA")</f>
        <v>MARMORA</v>
      </c>
      <c r="D12256" s="3" t="str">
        <f>IFERROR(__xludf.DUMMYFUNCTION("""COMPUTED_VALUE"""),"K0K 2M0")</f>
        <v>K0K 2M0</v>
      </c>
      <c r="E12256" s="3"/>
      <c r="F12256" s="3"/>
      <c r="G12256" s="3"/>
      <c r="H12256" s="3"/>
    </row>
    <row r="12257">
      <c r="A12257" s="2">
        <f>IFERROR(__xludf.DUMMYFUNCTION("""COMPUTED_VALUE"""),72490.0)</f>
        <v>72490</v>
      </c>
      <c r="B12257" s="3" t="str">
        <f>IFERROR(__xludf.DUMMYFUNCTION("""COMPUTED_VALUE"""),"284 WHISPERING WTR RD")</f>
        <v>284 WHISPERING WTR RD</v>
      </c>
      <c r="C12257" s="3" t="str">
        <f>IFERROR(__xludf.DUMMYFUNCTION("""COMPUTED_VALUE"""),"MARMORA")</f>
        <v>MARMORA</v>
      </c>
      <c r="D12257" s="3" t="str">
        <f>IFERROR(__xludf.DUMMYFUNCTION("""COMPUTED_VALUE"""),"K0K 2M0")</f>
        <v>K0K 2M0</v>
      </c>
      <c r="E12257" s="3"/>
      <c r="F12257" s="3"/>
      <c r="G12257" s="3"/>
      <c r="H12257" s="3"/>
    </row>
    <row r="12258">
      <c r="A12258" s="2">
        <f>IFERROR(__xludf.DUMMYFUNCTION("""COMPUTED_VALUE"""),72491.0)</f>
        <v>72491</v>
      </c>
      <c r="B12258" s="3" t="str">
        <f>IFERROR(__xludf.DUMMYFUNCTION("""COMPUTED_VALUE"""),"286 WHISPERING WTR RD")</f>
        <v>286 WHISPERING WTR RD</v>
      </c>
      <c r="C12258" s="3" t="str">
        <f>IFERROR(__xludf.DUMMYFUNCTION("""COMPUTED_VALUE"""),"MARMORA")</f>
        <v>MARMORA</v>
      </c>
      <c r="D12258" s="3" t="str">
        <f>IFERROR(__xludf.DUMMYFUNCTION("""COMPUTED_VALUE"""),"K0K 2M0")</f>
        <v>K0K 2M0</v>
      </c>
      <c r="E12258" s="3"/>
      <c r="F12258" s="3"/>
      <c r="G12258" s="3"/>
      <c r="H12258" s="3"/>
    </row>
    <row r="12259">
      <c r="A12259" s="2">
        <f>IFERROR(__xludf.DUMMYFUNCTION("""COMPUTED_VALUE"""),72492.0)</f>
        <v>72492</v>
      </c>
      <c r="B12259" s="3" t="str">
        <f>IFERROR(__xludf.DUMMYFUNCTION("""COMPUTED_VALUE"""),"288 WHISPERING WTR RD")</f>
        <v>288 WHISPERING WTR RD</v>
      </c>
      <c r="C12259" s="3" t="str">
        <f>IFERROR(__xludf.DUMMYFUNCTION("""COMPUTED_VALUE"""),"MARMORA")</f>
        <v>MARMORA</v>
      </c>
      <c r="D12259" s="3" t="str">
        <f>IFERROR(__xludf.DUMMYFUNCTION("""COMPUTED_VALUE"""),"K0K 2M0")</f>
        <v>K0K 2M0</v>
      </c>
      <c r="E12259" s="3"/>
      <c r="F12259" s="3"/>
      <c r="G12259" s="3"/>
      <c r="H12259" s="3"/>
    </row>
    <row r="12260">
      <c r="A12260" s="2">
        <f>IFERROR(__xludf.DUMMYFUNCTION("""COMPUTED_VALUE"""),72527.0)</f>
        <v>72527</v>
      </c>
      <c r="B12260" s="3" t="str">
        <f>IFERROR(__xludf.DUMMYFUNCTION("""COMPUTED_VALUE"""),"49 WOODLAND RD E")</f>
        <v>49 WOODLAND RD E</v>
      </c>
      <c r="C12260" s="3" t="str">
        <f>IFERROR(__xludf.DUMMYFUNCTION("""COMPUTED_VALUE"""),"CAMPBELLFORD")</f>
        <v>CAMPBELLFORD</v>
      </c>
      <c r="D12260" s="3" t="str">
        <f>IFERROR(__xludf.DUMMYFUNCTION("""COMPUTED_VALUE"""),"K0L 1L0")</f>
        <v>K0L 1L0</v>
      </c>
      <c r="E12260" s="3"/>
      <c r="F12260" s="3"/>
      <c r="G12260" s="3"/>
      <c r="H12260" s="3"/>
    </row>
    <row r="12261">
      <c r="A12261" s="2">
        <f>IFERROR(__xludf.DUMMYFUNCTION("""COMPUTED_VALUE"""),72528.0)</f>
        <v>72528</v>
      </c>
      <c r="B12261" s="3" t="str">
        <f>IFERROR(__xludf.DUMMYFUNCTION("""COMPUTED_VALUE"""),"150 WOODLAND RD E")</f>
        <v>150 WOODLAND RD E</v>
      </c>
      <c r="C12261" s="3" t="str">
        <f>IFERROR(__xludf.DUMMYFUNCTION("""COMPUTED_VALUE"""),"CAMPBELLFORD")</f>
        <v>CAMPBELLFORD</v>
      </c>
      <c r="D12261" s="3" t="str">
        <f>IFERROR(__xludf.DUMMYFUNCTION("""COMPUTED_VALUE"""),"K0L 1L0")</f>
        <v>K0L 1L0</v>
      </c>
      <c r="E12261" s="3"/>
      <c r="F12261" s="3"/>
      <c r="G12261" s="3"/>
      <c r="H12261" s="3"/>
    </row>
    <row r="12262">
      <c r="A12262" s="2">
        <f>IFERROR(__xludf.DUMMYFUNCTION("""COMPUTED_VALUE"""),72529.0)</f>
        <v>72529</v>
      </c>
      <c r="B12262" s="3" t="str">
        <f>IFERROR(__xludf.DUMMYFUNCTION("""COMPUTED_VALUE"""),"171 WOODLAND RD E")</f>
        <v>171 WOODLAND RD E</v>
      </c>
      <c r="C12262" s="3" t="str">
        <f>IFERROR(__xludf.DUMMYFUNCTION("""COMPUTED_VALUE"""),"CAMPBELLFORD")</f>
        <v>CAMPBELLFORD</v>
      </c>
      <c r="D12262" s="3" t="str">
        <f>IFERROR(__xludf.DUMMYFUNCTION("""COMPUTED_VALUE"""),"K0L 1L0")</f>
        <v>K0L 1L0</v>
      </c>
      <c r="E12262" s="3"/>
      <c r="F12262" s="3"/>
      <c r="G12262" s="3"/>
      <c r="H12262" s="3"/>
    </row>
    <row r="12263">
      <c r="A12263" s="2">
        <f>IFERROR(__xludf.DUMMYFUNCTION("""COMPUTED_VALUE"""),72530.0)</f>
        <v>72530</v>
      </c>
      <c r="B12263" s="3" t="str">
        <f>IFERROR(__xludf.DUMMYFUNCTION("""COMPUTED_VALUE"""),"293 WOODLAND RD E")</f>
        <v>293 WOODLAND RD E</v>
      </c>
      <c r="C12263" s="3" t="str">
        <f>IFERROR(__xludf.DUMMYFUNCTION("""COMPUTED_VALUE"""),"MARMORA")</f>
        <v>MARMORA</v>
      </c>
      <c r="D12263" s="3" t="str">
        <f>IFERROR(__xludf.DUMMYFUNCTION("""COMPUTED_VALUE"""),"K0K 2M0")</f>
        <v>K0K 2M0</v>
      </c>
      <c r="E12263" s="3"/>
      <c r="F12263" s="3"/>
      <c r="G12263" s="3"/>
      <c r="H12263" s="3"/>
    </row>
    <row r="12264">
      <c r="A12264" s="2">
        <f>IFERROR(__xludf.DUMMYFUNCTION("""COMPUTED_VALUE"""),72531.0)</f>
        <v>72531</v>
      </c>
      <c r="B12264" s="3" t="str">
        <f>IFERROR(__xludf.DUMMYFUNCTION("""COMPUTED_VALUE"""),"307 WOODLAND RD E")</f>
        <v>307 WOODLAND RD E</v>
      </c>
      <c r="C12264" s="3" t="str">
        <f>IFERROR(__xludf.DUMMYFUNCTION("""COMPUTED_VALUE"""),"MARMORA")</f>
        <v>MARMORA</v>
      </c>
      <c r="D12264" s="3" t="str">
        <f>IFERROR(__xludf.DUMMYFUNCTION("""COMPUTED_VALUE"""),"K0K 2M0")</f>
        <v>K0K 2M0</v>
      </c>
      <c r="E12264" s="3"/>
      <c r="F12264" s="3"/>
      <c r="G12264" s="3"/>
      <c r="H12264" s="3"/>
    </row>
    <row r="12265">
      <c r="A12265" s="2">
        <f>IFERROR(__xludf.DUMMYFUNCTION("""COMPUTED_VALUE"""),72532.0)</f>
        <v>72532</v>
      </c>
      <c r="B12265" s="3" t="str">
        <f>IFERROR(__xludf.DUMMYFUNCTION("""COMPUTED_VALUE"""),"315 WOODLAND RD E")</f>
        <v>315 WOODLAND RD E</v>
      </c>
      <c r="C12265" s="3" t="str">
        <f>IFERROR(__xludf.DUMMYFUNCTION("""COMPUTED_VALUE"""),"MARMORA")</f>
        <v>MARMORA</v>
      </c>
      <c r="D12265" s="3" t="str">
        <f>IFERROR(__xludf.DUMMYFUNCTION("""COMPUTED_VALUE"""),"K0K 2M0")</f>
        <v>K0K 2M0</v>
      </c>
      <c r="E12265" s="3"/>
      <c r="F12265" s="3"/>
      <c r="G12265" s="3"/>
      <c r="H12265" s="3"/>
    </row>
    <row r="12266">
      <c r="A12266" s="2">
        <f>IFERROR(__xludf.DUMMYFUNCTION("""COMPUTED_VALUE"""),72533.0)</f>
        <v>72533</v>
      </c>
      <c r="B12266" s="3" t="str">
        <f>IFERROR(__xludf.DUMMYFUNCTION("""COMPUTED_VALUE"""),"317 WOODLAND RD E")</f>
        <v>317 WOODLAND RD E</v>
      </c>
      <c r="C12266" s="3" t="str">
        <f>IFERROR(__xludf.DUMMYFUNCTION("""COMPUTED_VALUE"""),"MARMORA")</f>
        <v>MARMORA</v>
      </c>
      <c r="D12266" s="3" t="str">
        <f>IFERROR(__xludf.DUMMYFUNCTION("""COMPUTED_VALUE"""),"K0K 2M0")</f>
        <v>K0K 2M0</v>
      </c>
      <c r="E12266" s="3"/>
      <c r="F12266" s="3"/>
      <c r="G12266" s="3"/>
      <c r="H12266" s="3"/>
    </row>
    <row r="12267">
      <c r="A12267" s="2">
        <f>IFERROR(__xludf.DUMMYFUNCTION("""COMPUTED_VALUE"""),72534.0)</f>
        <v>72534</v>
      </c>
      <c r="B12267" s="3" t="str">
        <f>IFERROR(__xludf.DUMMYFUNCTION("""COMPUTED_VALUE"""),"15 WOODLAND ESTATE RD")</f>
        <v>15 WOODLAND ESTATE RD</v>
      </c>
      <c r="C12267" s="3" t="str">
        <f>IFERROR(__xludf.DUMMYFUNCTION("""COMPUTED_VALUE"""),"CAMPBELLFORD")</f>
        <v>CAMPBELLFORD</v>
      </c>
      <c r="D12267" s="3" t="str">
        <f>IFERROR(__xludf.DUMMYFUNCTION("""COMPUTED_VALUE"""),"K0L 1L0")</f>
        <v>K0L 1L0</v>
      </c>
      <c r="E12267" s="3"/>
      <c r="F12267" s="3"/>
      <c r="G12267" s="3"/>
      <c r="H12267" s="3"/>
    </row>
    <row r="12268">
      <c r="A12268" s="2">
        <f>IFERROR(__xludf.DUMMYFUNCTION("""COMPUTED_VALUE"""),72535.0)</f>
        <v>72535</v>
      </c>
      <c r="B12268" s="3" t="str">
        <f>IFERROR(__xludf.DUMMYFUNCTION("""COMPUTED_VALUE"""),"29 WOODLAND ESTATES")</f>
        <v>29 WOODLAND ESTATES</v>
      </c>
      <c r="C12268" s="3" t="str">
        <f>IFERROR(__xludf.DUMMYFUNCTION("""COMPUTED_VALUE"""),"CAMPBELLFORD")</f>
        <v>CAMPBELLFORD</v>
      </c>
      <c r="D12268" s="3" t="str">
        <f>IFERROR(__xludf.DUMMYFUNCTION("""COMPUTED_VALUE"""),"K0L 1L0")</f>
        <v>K0L 1L0</v>
      </c>
      <c r="E12268" s="3"/>
      <c r="F12268" s="3"/>
      <c r="G12268" s="3"/>
      <c r="H12268" s="3"/>
    </row>
    <row r="12269">
      <c r="A12269" s="2">
        <f>IFERROR(__xludf.DUMMYFUNCTION("""COMPUTED_VALUE"""),72536.0)</f>
        <v>72536</v>
      </c>
      <c r="B12269" s="3" t="str">
        <f>IFERROR(__xludf.DUMMYFUNCTION("""COMPUTED_VALUE"""),"33 WOODLAND ESTATE ST")</f>
        <v>33 WOODLAND ESTATE ST</v>
      </c>
      <c r="C12269" s="3" t="str">
        <f>IFERROR(__xludf.DUMMYFUNCTION("""COMPUTED_VALUE"""),"CAMPBELLFORD")</f>
        <v>CAMPBELLFORD</v>
      </c>
      <c r="D12269" s="3" t="str">
        <f>IFERROR(__xludf.DUMMYFUNCTION("""COMPUTED_VALUE"""),"K0L 1L0")</f>
        <v>K0L 1L0</v>
      </c>
      <c r="E12269" s="3"/>
      <c r="F12269" s="3"/>
      <c r="G12269" s="3"/>
      <c r="H12269" s="3"/>
    </row>
    <row r="12270">
      <c r="A12270" s="2">
        <f>IFERROR(__xludf.DUMMYFUNCTION("""COMPUTED_VALUE"""),72537.0)</f>
        <v>72537</v>
      </c>
      <c r="B12270" s="3" t="str">
        <f>IFERROR(__xludf.DUMMYFUNCTION("""COMPUTED_VALUE"""),"39 WOODLAND ESTATES RD")</f>
        <v>39 WOODLAND ESTATES RD</v>
      </c>
      <c r="C12270" s="3" t="str">
        <f>IFERROR(__xludf.DUMMYFUNCTION("""COMPUTED_VALUE"""),"CAMPBELLFORD")</f>
        <v>CAMPBELLFORD</v>
      </c>
      <c r="D12270" s="3" t="str">
        <f>IFERROR(__xludf.DUMMYFUNCTION("""COMPUTED_VALUE"""),"K0L 1L0")</f>
        <v>K0L 1L0</v>
      </c>
      <c r="E12270" s="3"/>
      <c r="F12270" s="3"/>
      <c r="G12270" s="3"/>
      <c r="H12270" s="3"/>
    </row>
    <row r="12271">
      <c r="A12271" s="2">
        <f>IFERROR(__xludf.DUMMYFUNCTION("""COMPUTED_VALUE"""),72538.0)</f>
        <v>72538</v>
      </c>
      <c r="B12271" s="3" t="str">
        <f>IFERROR(__xludf.DUMMYFUNCTION("""COMPUTED_VALUE"""),"66 WOODLAND ESTATES RD")</f>
        <v>66 WOODLAND ESTATES RD</v>
      </c>
      <c r="C12271" s="3" t="str">
        <f>IFERROR(__xludf.DUMMYFUNCTION("""COMPUTED_VALUE"""),"CAMPBELLFORD")</f>
        <v>CAMPBELLFORD</v>
      </c>
      <c r="D12271" s="3" t="str">
        <f>IFERROR(__xludf.DUMMYFUNCTION("""COMPUTED_VALUE"""),"K0L 1L0")</f>
        <v>K0L 1L0</v>
      </c>
      <c r="E12271" s="3"/>
      <c r="F12271" s="3"/>
      <c r="G12271" s="3"/>
      <c r="H12271" s="3"/>
    </row>
  </sheetData>
  <hyperlinks>
    <hyperlink r:id="rId1" ref="F1267"/>
    <hyperlink r:id="rId2" ref="F1439"/>
    <hyperlink r:id="rId3" ref="F1624"/>
    <hyperlink r:id="rId4" ref="F1879"/>
    <hyperlink r:id="rId5" ref="F2295"/>
    <hyperlink r:id="rId6" ref="F3230"/>
    <hyperlink r:id="rId7" ref="F4878"/>
    <hyperlink r:id="rId8" ref="F5369"/>
    <hyperlink r:id="rId9" ref="F5985"/>
    <hyperlink r:id="rId10" ref="F6162"/>
    <hyperlink r:id="rId11" ref="F6164"/>
    <hyperlink r:id="rId12" ref="F7590"/>
    <hyperlink r:id="rId13" ref="F7651"/>
  </hyperlinks>
  <drawing r:id="rId14"/>
</worksheet>
</file>